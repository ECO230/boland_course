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4d3f1eeaa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s" sheetId="1" r:id="R2b21e6a514b04f27"/>
    <x:sheet xmlns:r="http://schemas.openxmlformats.org/officeDocument/2006/relationships" name="Games" sheetId="2" r:id="Rf6df3f4386d6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25f00dbf442f8" /><Relationship Type="http://schemas.openxmlformats.org/officeDocument/2006/relationships/theme" Target="/xl/theme/theme1.xml" Id="R9c343bded40040f3" /><Relationship Type="http://schemas.openxmlformats.org/officeDocument/2006/relationships/sharedStrings" Target="/xl/sharedStrings.xml" Id="R80f66857139e4661" /><Relationship Type="http://schemas.openxmlformats.org/officeDocument/2006/relationships/worksheet" Target="/xl/worksheets/sheet1.xml" Id="R2b21e6a514b04f27" /><Relationship Type="http://schemas.openxmlformats.org/officeDocument/2006/relationships/worksheet" Target="/xl/worksheets/sheet2.xml" Id="Rf6df3f4386d6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game_id</x:v>
      </x:c>
      <x:c r="B1" t="str">
        <x:v>play_id</x:v>
      </x:c>
      <x:c r="C1" t="str">
        <x:v>quarter</x:v>
      </x:c>
      <x:c r="D1" t="str">
        <x:v>game_clock</x:v>
      </x:c>
      <x:c r="E1" t="str">
        <x:v>down</x:v>
      </x:c>
      <x:c r="F1" t="str">
        <x:v>yards_to_go</x:v>
      </x:c>
      <x:c r="G1" t="str">
        <x:v>possession_team</x:v>
      </x:c>
      <x:c r="H1" t="str">
        <x:v>defensive_team</x:v>
      </x:c>
      <x:c r="I1" t="str">
        <x:v>side_of_field</x:v>
      </x:c>
      <x:c r="J1" t="str">
        <x:v>yardline_100</x:v>
      </x:c>
      <x:c r="K1" t="str">
        <x:v>play_description</x:v>
      </x:c>
      <x:c r="L1" t="str">
        <x:v>play_type</x:v>
      </x:c>
      <x:c r="M1" t="str">
        <x:v>yards_gained</x:v>
      </x:c>
      <x:c r="N1" t="str">
        <x:v>shotgun</x:v>
      </x:c>
      <x:c r="O1" t="str">
        <x:v>no_huddle</x:v>
      </x:c>
      <x:c r="P1" t="str">
        <x:v>pass_length</x:v>
      </x:c>
      <x:c r="Q1" t="str">
        <x:v>pass_location</x:v>
      </x:c>
      <x:c r="R1" t="str">
        <x:v>air_yards</x:v>
      </x:c>
      <x:c r="S1" t="str">
        <x:v>yards_after_catch</x:v>
      </x:c>
      <x:c r="T1" t="str">
        <x:v>run_location</x:v>
      </x:c>
      <x:c r="U1" t="str">
        <x:v>run_gap</x:v>
      </x:c>
      <x:c r="V1" t="str">
        <x:v>complete_pass</x:v>
      </x:c>
      <x:c r="W1" t="str">
        <x:v>first_down</x:v>
      </x:c>
      <x:c r="X1" t="str">
        <x:v>sack</x:v>
      </x:c>
      <x:c r="Y1" t="str">
        <x:v>interception</x:v>
      </x:c>
      <x:c r="Z1" t="str">
        <x:v>fumble_lost</x:v>
      </x:c>
      <x:c r="AA1" t="str">
        <x:v>penalty</x:v>
      </x:c>
      <x:c r="AB1" t="str">
        <x:v>penalty_yards</x:v>
      </x:c>
      <x:c r="AC1" t="str">
        <x:v>touchdown</x:v>
      </x:c>
      <x:c r="AD1" t="str">
        <x:v>expected_points_added</x:v>
      </x:c>
      <x:c r="AE1" t="str">
        <x:v>successful_play</x:v>
      </x:c>
      <x:c r="AF1" t="str">
        <x:v>win_probability_added</x:v>
      </x:c>
      <x:c r="AG1" t="str">
        <x:v>season</x:v>
      </x:c>
      <x:c r="AH1" t="str">
        <x:v>season_type</x:v>
      </x:c>
      <x:c r="AI1" t="str">
        <x:v>week</x:v>
      </x:c>
      <x:c r="AJ1" t="str">
        <x:v>game_date</x:v>
      </x:c>
      <x:c r="AK1" t="str">
        <x:v>weekday</x:v>
      </x:c>
      <x:c r="AL1" t="str">
        <x:v>away_team</x:v>
      </x:c>
      <x:c r="AM1" t="str">
        <x:v>away_score</x:v>
      </x:c>
      <x:c r="AN1" t="str">
        <x:v>home_team</x:v>
      </x:c>
      <x:c r="AO1" t="str">
        <x:v>home_score</x:v>
      </x:c>
      <x:c r="AP1" t="str">
        <x:v>home_score_margin</x:v>
      </x:c>
      <x:c r="AQ1" t="str">
        <x:v>total_points</x:v>
      </x:c>
      <x:c r="AR1" t="str">
        <x:v>overtime</x:v>
      </x:c>
      <x:c r="AS1" t="str">
        <x:v>roof</x:v>
      </x:c>
      <x:c r="AT1" t="str">
        <x:v>surface</x:v>
      </x:c>
      <x:c r="AU1" t="str">
        <x:v>temperature_fahrenheit</x:v>
      </x:c>
      <x:c r="AV1" t="str">
        <x:v>wind_mph</x:v>
      </x:c>
      <x:c r="AW1" t="str">
        <x:v>stadium</x:v>
      </x:c>
    </x:row>
    <x:row r="2">
      <x:c r="A2" t="str">
        <x:v>2025_01_MIN_CHI</x:v>
      </x:c>
      <x:c r="B2" t="n">
        <x:v>1</x:v>
      </x:c>
      <x:c r="C2" t="n">
        <x:v>1</x:v>
      </x:c>
      <x:c r="D2" t="str">
        <x:v>15:00</x:v>
      </x:c>
      <x:c r="E2"/>
      <x:c r="F2" t="n">
        <x:v>0</x:v>
      </x:c>
      <x:c r="G2"/>
      <x:c r="H2"/>
      <x:c r="I2"/>
      <x:c r="J2"/>
      <x:c r="K2" t="str">
        <x:v>GAME</x:v>
      </x:c>
      <x:c r="L2"/>
      <x:c r="M2"/>
      <x:c r="N2" t="n">
        <x:v>0</x:v>
      </x:c>
      <x:c r="O2" t="n">
        <x:v>0</x:v>
      </x:c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 t="n">
        <x:v>0</x:v>
      </x:c>
      <x:c r="AE2" t="n">
        <x:v>0</x:v>
      </x:c>
      <x:c r="AF2" t="n">
        <x:v>0</x:v>
      </x:c>
      <x:c r="AG2" t="n">
        <x:f>_xlfn.XLOOKUP($A2,Games!$A$2:$A$18,Games!$B$2:$B$18,"Missing game",0)</x:f>
        <x:v>2025</x:v>
      </x:c>
      <x:c r="AH2" t="str">
        <x:f>_xlfn.XLOOKUP($A2,Games!$A$2:$A$18,Games!$C$2:$C$18,"Missing game",0)</x:f>
        <x:v>REG</x:v>
      </x:c>
      <x:c r="AI2" t="n">
        <x:f>_xlfn.XLOOKUP($A2,Games!$A$2:$A$18,Games!$D$2:$D$18,"Missing game",0)</x:f>
        <x:v>1</x:v>
      </x:c>
      <x:c r="AJ2" s="1" t="n">
        <x:f>_xlfn.XLOOKUP($A2,Games!$A$2:$A$18,Games!$E$2:$E$18,"Missing game",0)</x:f>
        <x:v>45908</x:v>
      </x:c>
      <x:c r="AK2" t="str">
        <x:f>_xlfn.XLOOKUP($A2,Games!$A$2:$A$18,Games!$F$2:$F$18,"Missing game",0)</x:f>
        <x:v>Monday</x:v>
      </x:c>
      <x:c r="AL2" t="str">
        <x:f>_xlfn.XLOOKUP($A2,Games!$A$2:$A$18,Games!$G$2:$G$18,"Missing game",0)</x:f>
        <x:v>MIN</x:v>
      </x:c>
      <x:c r="AM2" t="n">
        <x:f>_xlfn.XLOOKUP($A2,Games!$A$2:$A$18,Games!$H$2:$H$18,"Missing game",0)</x:f>
        <x:v>27</x:v>
      </x:c>
      <x:c r="AN2" t="str">
        <x:f>_xlfn.XLOOKUP($A2,Games!$A$2:$A$18,Games!$I$2:$I$18,"Missing game",0)</x:f>
        <x:v>CHI</x:v>
      </x:c>
      <x:c r="AO2" t="n">
        <x:f>_xlfn.XLOOKUP($A2,Games!$A$2:$A$18,Games!$J$2:$J$18,"Missing game",0)</x:f>
        <x:v>24</x:v>
      </x:c>
      <x:c r="AP2" t="n">
        <x:f>_xlfn.XLOOKUP($A2,Games!$A$2:$A$18,Games!$K$2:$K$18,"Missing game",0)</x:f>
        <x:v>-3</x:v>
      </x:c>
      <x:c r="AQ2" t="n">
        <x:f>_xlfn.XLOOKUP($A2,Games!$A$2:$A$18,Games!$L$2:$L$18,"Missing game",0)</x:f>
        <x:v>51</x:v>
      </x:c>
      <x:c r="AR2" t="n">
        <x:f>_xlfn.XLOOKUP($A2,Games!$A$2:$A$18,Games!$M$2:$M$18,"Missing game",0)</x:f>
        <x:v>0</x:v>
      </x:c>
      <x:c r="AS2" t="str">
        <x:f>_xlfn.XLOOKUP($A2,Games!$A$2:$A$18,Games!$N$2:$N$18,"Missing game",0)</x:f>
        <x:v>outdoors</x:v>
      </x:c>
      <x:c r="AT2" t="str">
        <x:f>_xlfn.XLOOKUP($A2,Games!$A$2:$A$18,Games!$O$2:$O$18,"Missing game",0)</x:f>
        <x:v>grass</x:v>
      </x:c>
      <x:c r="AU2" t="n">
        <x:f>_xlfn.XLOOKUP($A2,Games!$A$2:$A$18,Games!$P$2:$P$18,"Missing game",0)</x:f>
        <x:v>68</x:v>
      </x:c>
      <x:c r="AV2" t="n">
        <x:f>_xlfn.XLOOKUP($A2,Games!$A$2:$A$18,Games!$Q$2:$Q$18,"Missing game",0)</x:f>
        <x:v>6</x:v>
      </x:c>
      <x:c r="AW2" t="str">
        <x:f>_xlfn.XLOOKUP($A2,Games!$A$2:$A$18,Games!$R$2:$R$18,"Missing game",0)</x:f>
        <x:v>Soldier Field</x:v>
      </x:c>
    </x:row>
    <x:row r="3">
      <x:c r="A3" t="str">
        <x:v>2025_01_MIN_CHI</x:v>
      </x:c>
      <x:c r="B3" t="n">
        <x:v>41</x:v>
      </x:c>
      <x:c r="C3" t="n">
        <x:v>1</x:v>
      </x:c>
      <x:c r="D3" t="str">
        <x:v>15:00</x:v>
      </x:c>
      <x:c r="E3"/>
      <x:c r="F3" t="n">
        <x:v>0</x:v>
      </x:c>
      <x:c r="G3" t="str">
        <x:v>MIN</x:v>
      </x:c>
      <x:c r="H3" t="str">
        <x:v>CHI</x:v>
      </x:c>
      <x:c r="I3" t="str">
        <x:v>CHI</x:v>
      </x:c>
      <x:c r="J3" t="n">
        <x:v>35</x:v>
      </x:c>
      <x:c r="K3" t="str">
        <x:v>8-C.Santos kicks 65 yards from CHI 35 to MIN 0. 32-T.Chandler to MIN 25 for 25 yards (47-R.Hyppolite; 43-C.Jones).</x:v>
      </x:c>
      <x:c r="L3" t="str">
        <x:v>kickoff</x:v>
      </x:c>
      <x:c r="M3" t="n">
        <x:v>0</x:v>
      </x:c>
      <x:c r="N3" t="n">
        <x:v>0</x:v>
      </x:c>
      <x:c r="O3" t="n">
        <x:v>0</x:v>
      </x:c>
      <x:c r="P3"/>
      <x:c r="Q3"/>
      <x:c r="R3"/>
      <x:c r="S3"/>
      <x:c r="T3"/>
      <x:c r="U3"/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/>
      <x:c r="AC3" t="n">
        <x:v>0</x:v>
      </x:c>
      <x:c r="AD3" t="n">
        <x:v>0.028301195241510868</x:v>
      </x:c>
      <x:c r="AE3" t="n">
        <x:v>1</x:v>
      </x:c>
      <x:c r="AF3" t="n">
        <x:v>0</x:v>
      </x:c>
      <x:c r="AG3" t="n">
        <x:f>_xlfn.XLOOKUP($A3,Games!$A$2:$A$18,Games!$B$2:$B$18,"Missing game",0)</x:f>
        <x:v>2025</x:v>
      </x:c>
      <x:c r="AH3" t="str">
        <x:f>_xlfn.XLOOKUP($A3,Games!$A$2:$A$18,Games!$C$2:$C$18,"Missing game",0)</x:f>
        <x:v>REG</x:v>
      </x:c>
      <x:c r="AI3" t="n">
        <x:f>_xlfn.XLOOKUP($A3,Games!$A$2:$A$18,Games!$D$2:$D$18,"Missing game",0)</x:f>
        <x:v>1</x:v>
      </x:c>
      <x:c r="AJ3" s="1" t="n">
        <x:f>_xlfn.XLOOKUP($A3,Games!$A$2:$A$18,Games!$E$2:$E$18,"Missing game",0)</x:f>
        <x:v>45908</x:v>
      </x:c>
      <x:c r="AK3" t="str">
        <x:f>_xlfn.XLOOKUP($A3,Games!$A$2:$A$18,Games!$F$2:$F$18,"Missing game",0)</x:f>
        <x:v>Monday</x:v>
      </x:c>
      <x:c r="AL3" t="str">
        <x:f>_xlfn.XLOOKUP($A3,Games!$A$2:$A$18,Games!$G$2:$G$18,"Missing game",0)</x:f>
        <x:v>MIN</x:v>
      </x:c>
      <x:c r="AM3" t="n">
        <x:f>_xlfn.XLOOKUP($A3,Games!$A$2:$A$18,Games!$H$2:$H$18,"Missing game",0)</x:f>
        <x:v>27</x:v>
      </x:c>
      <x:c r="AN3" t="str">
        <x:f>_xlfn.XLOOKUP($A3,Games!$A$2:$A$18,Games!$I$2:$I$18,"Missing game",0)</x:f>
        <x:v>CHI</x:v>
      </x:c>
      <x:c r="AO3" t="n">
        <x:f>_xlfn.XLOOKUP($A3,Games!$A$2:$A$18,Games!$J$2:$J$18,"Missing game",0)</x:f>
        <x:v>24</x:v>
      </x:c>
      <x:c r="AP3" t="n">
        <x:f>_xlfn.XLOOKUP($A3,Games!$A$2:$A$18,Games!$K$2:$K$18,"Missing game",0)</x:f>
        <x:v>-3</x:v>
      </x:c>
      <x:c r="AQ3" t="n">
        <x:f>_xlfn.XLOOKUP($A3,Games!$A$2:$A$18,Games!$L$2:$L$18,"Missing game",0)</x:f>
        <x:v>51</x:v>
      </x:c>
      <x:c r="AR3" t="n">
        <x:f>_xlfn.XLOOKUP($A3,Games!$A$2:$A$18,Games!$M$2:$M$18,"Missing game",0)</x:f>
        <x:v>0</x:v>
      </x:c>
      <x:c r="AS3" t="str">
        <x:f>_xlfn.XLOOKUP($A3,Games!$A$2:$A$18,Games!$N$2:$N$18,"Missing game",0)</x:f>
        <x:v>outdoors</x:v>
      </x:c>
      <x:c r="AT3" t="str">
        <x:f>_xlfn.XLOOKUP($A3,Games!$A$2:$A$18,Games!$O$2:$O$18,"Missing game",0)</x:f>
        <x:v>grass</x:v>
      </x:c>
      <x:c r="AU3" t="n">
        <x:f>_xlfn.XLOOKUP($A3,Games!$A$2:$A$18,Games!$P$2:$P$18,"Missing game",0)</x:f>
        <x:v>68</x:v>
      </x:c>
      <x:c r="AV3" t="n">
        <x:f>_xlfn.XLOOKUP($A3,Games!$A$2:$A$18,Games!$Q$2:$Q$18,"Missing game",0)</x:f>
        <x:v>6</x:v>
      </x:c>
      <x:c r="AW3" t="str">
        <x:f>_xlfn.XLOOKUP($A3,Games!$A$2:$A$18,Games!$R$2:$R$18,"Missing game",0)</x:f>
        <x:v>Soldier Field</x:v>
      </x:c>
    </x:row>
    <x:row r="4">
      <x:c r="A4" t="str">
        <x:v>2025_01_MIN_CHI</x:v>
      </x:c>
      <x:c r="B4" t="n">
        <x:v>64</x:v>
      </x:c>
      <x:c r="C4" t="n">
        <x:v>1</x:v>
      </x:c>
      <x:c r="D4" t="str">
        <x:v>14:53</x:v>
      </x:c>
      <x:c r="E4" t="n">
        <x:v>1</x:v>
      </x:c>
      <x:c r="F4" t="n">
        <x:v>10</x:v>
      </x:c>
      <x:c r="G4" t="str">
        <x:v>MIN</x:v>
      </x:c>
      <x:c r="H4" t="str">
        <x:v>CHI</x:v>
      </x:c>
      <x:c r="I4" t="str">
        <x:v>MIN</x:v>
      </x:c>
      <x:c r="J4" t="n">
        <x:v>75</x:v>
      </x:c>
      <x:c r="K4" t="str">
        <x:v>(14:53) 33-A.Jones right end pushed ob at MIN 28 for 3 yards (29-T.Stevenson).</x:v>
      </x:c>
      <x:c r="L4" t="str">
        <x:v>run</x:v>
      </x:c>
      <x:c r="M4" t="n">
        <x:v>3</x:v>
      </x:c>
      <x:c r="N4" t="n">
        <x:v>0</x:v>
      </x:c>
      <x:c r="O4" t="n">
        <x:v>0</x:v>
      </x:c>
      <x:c r="P4"/>
      <x:c r="Q4"/>
      <x:c r="R4"/>
      <x:c r="S4"/>
      <x:c r="T4" t="str">
        <x:v>right</x:v>
      </x:c>
      <x:c r="U4" t="str">
        <x:v>end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/>
      <x:c r="AC4" t="n">
        <x:v>0</x:v>
      </x:c>
      <x:c r="AD4" t="n">
        <x:v>-0.39090497326105833</x:v>
      </x:c>
      <x:c r="AE4" t="n">
        <x:v>0</x:v>
      </x:c>
      <x:c r="AF4" t="n">
        <x:v>-0.011243313550949097</x:v>
      </x:c>
      <x:c r="AG4" t="n">
        <x:f>_xlfn.XLOOKUP($A4,Games!$A$2:$A$18,Games!$B$2:$B$18,"Missing game",0)</x:f>
        <x:v>2025</x:v>
      </x:c>
      <x:c r="AH4" t="str">
        <x:f>_xlfn.XLOOKUP($A4,Games!$A$2:$A$18,Games!$C$2:$C$18,"Missing game",0)</x:f>
        <x:v>REG</x:v>
      </x:c>
      <x:c r="AI4" t="n">
        <x:f>_xlfn.XLOOKUP($A4,Games!$A$2:$A$18,Games!$D$2:$D$18,"Missing game",0)</x:f>
        <x:v>1</x:v>
      </x:c>
      <x:c r="AJ4" s="1" t="n">
        <x:f>_xlfn.XLOOKUP($A4,Games!$A$2:$A$18,Games!$E$2:$E$18,"Missing game",0)</x:f>
        <x:v>45908</x:v>
      </x:c>
      <x:c r="AK4" t="str">
        <x:f>_xlfn.XLOOKUP($A4,Games!$A$2:$A$18,Games!$F$2:$F$18,"Missing game",0)</x:f>
        <x:v>Monday</x:v>
      </x:c>
      <x:c r="AL4" t="str">
        <x:f>_xlfn.XLOOKUP($A4,Games!$A$2:$A$18,Games!$G$2:$G$18,"Missing game",0)</x:f>
        <x:v>MIN</x:v>
      </x:c>
      <x:c r="AM4" t="n">
        <x:f>_xlfn.XLOOKUP($A4,Games!$A$2:$A$18,Games!$H$2:$H$18,"Missing game",0)</x:f>
        <x:v>27</x:v>
      </x:c>
      <x:c r="AN4" t="str">
        <x:f>_xlfn.XLOOKUP($A4,Games!$A$2:$A$18,Games!$I$2:$I$18,"Missing game",0)</x:f>
        <x:v>CHI</x:v>
      </x:c>
      <x:c r="AO4" t="n">
        <x:f>_xlfn.XLOOKUP($A4,Games!$A$2:$A$18,Games!$J$2:$J$18,"Missing game",0)</x:f>
        <x:v>24</x:v>
      </x:c>
      <x:c r="AP4" t="n">
        <x:f>_xlfn.XLOOKUP($A4,Games!$A$2:$A$18,Games!$K$2:$K$18,"Missing game",0)</x:f>
        <x:v>-3</x:v>
      </x:c>
      <x:c r="AQ4" t="n">
        <x:f>_xlfn.XLOOKUP($A4,Games!$A$2:$A$18,Games!$L$2:$L$18,"Missing game",0)</x:f>
        <x:v>51</x:v>
      </x:c>
      <x:c r="AR4" t="n">
        <x:f>_xlfn.XLOOKUP($A4,Games!$A$2:$A$18,Games!$M$2:$M$18,"Missing game",0)</x:f>
        <x:v>0</x:v>
      </x:c>
      <x:c r="AS4" t="str">
        <x:f>_xlfn.XLOOKUP($A4,Games!$A$2:$A$18,Games!$N$2:$N$18,"Missing game",0)</x:f>
        <x:v>outdoors</x:v>
      </x:c>
      <x:c r="AT4" t="str">
        <x:f>_xlfn.XLOOKUP($A4,Games!$A$2:$A$18,Games!$O$2:$O$18,"Missing game",0)</x:f>
        <x:v>grass</x:v>
      </x:c>
      <x:c r="AU4" t="n">
        <x:f>_xlfn.XLOOKUP($A4,Games!$A$2:$A$18,Games!$P$2:$P$18,"Missing game",0)</x:f>
        <x:v>68</x:v>
      </x:c>
      <x:c r="AV4" t="n">
        <x:f>_xlfn.XLOOKUP($A4,Games!$A$2:$A$18,Games!$Q$2:$Q$18,"Missing game",0)</x:f>
        <x:v>6</x:v>
      </x:c>
      <x:c r="AW4" t="str">
        <x:f>_xlfn.XLOOKUP($A4,Games!$A$2:$A$18,Games!$R$2:$R$18,"Missing game",0)</x:f>
        <x:v>Soldier Field</x:v>
      </x:c>
    </x:row>
    <x:row r="5">
      <x:c r="A5" t="str">
        <x:v>2025_01_MIN_CHI</x:v>
      </x:c>
      <x:c r="B5" t="n">
        <x:v>91</x:v>
      </x:c>
      <x:c r="C5" t="n">
        <x:v>1</x:v>
      </x:c>
      <x:c r="D5" t="str">
        <x:v>14:17</x:v>
      </x:c>
      <x:c r="E5" t="n">
        <x:v>2</x:v>
      </x:c>
      <x:c r="F5" t="n">
        <x:v>7</x:v>
      </x:c>
      <x:c r="G5" t="str">
        <x:v>MIN</x:v>
      </x:c>
      <x:c r="H5" t="str">
        <x:v>CHI</x:v>
      </x:c>
      <x:c r="I5" t="str">
        <x:v>MIN</x:v>
      </x:c>
      <x:c r="J5" t="n">
        <x:v>72</x:v>
      </x:c>
      <x:c r="K5" t="str">
        <x:v>(14:17) (No Huddle) 9-J.McCarthy pass short right to 84-J.Oliver pushed ob at MIN 33 for 5 yards (9-J.Brisker).</x:v>
      </x:c>
      <x:c r="L5" t="str">
        <x:v>pass</x:v>
      </x:c>
      <x:c r="M5" t="n">
        <x:v>5</x:v>
      </x:c>
      <x:c r="N5" t="n">
        <x:v>0</x:v>
      </x:c>
      <x:c r="O5" t="n">
        <x:v>1</x:v>
      </x:c>
      <x:c r="P5" t="str">
        <x:v>short</x:v>
      </x:c>
      <x:c r="Q5" t="str">
        <x:v>right</x:v>
      </x:c>
      <x:c r="R5" t="n">
        <x:v>-3</x:v>
      </x:c>
      <x:c r="S5" t="n">
        <x:v>8</x:v>
      </x:c>
      <x:c r="T5"/>
      <x:c r="U5"/>
      <x:c r="V5" t="n">
        <x:v>1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/>
      <x:c r="AC5" t="n">
        <x:v>0</x:v>
      </x:c>
      <x:c r="AD5" t="n">
        <x:v>0.2315415544435382</x:v>
      </x:c>
      <x:c r="AE5" t="n">
        <x:v>1</x:v>
      </x:c>
      <x:c r="AF5" t="n">
        <x:v>-0.002788841724395752</x:v>
      </x:c>
      <x:c r="AG5" t="n">
        <x:f>_xlfn.XLOOKUP($A5,Games!$A$2:$A$18,Games!$B$2:$B$18,"Missing game",0)</x:f>
        <x:v>2025</x:v>
      </x:c>
      <x:c r="AH5" t="str">
        <x:f>_xlfn.XLOOKUP($A5,Games!$A$2:$A$18,Games!$C$2:$C$18,"Missing game",0)</x:f>
        <x:v>REG</x:v>
      </x:c>
      <x:c r="AI5" t="n">
        <x:f>_xlfn.XLOOKUP($A5,Games!$A$2:$A$18,Games!$D$2:$D$18,"Missing game",0)</x:f>
        <x:v>1</x:v>
      </x:c>
      <x:c r="AJ5" s="1" t="n">
        <x:f>_xlfn.XLOOKUP($A5,Games!$A$2:$A$18,Games!$E$2:$E$18,"Missing game",0)</x:f>
        <x:v>45908</x:v>
      </x:c>
      <x:c r="AK5" t="str">
        <x:f>_xlfn.XLOOKUP($A5,Games!$A$2:$A$18,Games!$F$2:$F$18,"Missing game",0)</x:f>
        <x:v>Monday</x:v>
      </x:c>
      <x:c r="AL5" t="str">
        <x:f>_xlfn.XLOOKUP($A5,Games!$A$2:$A$18,Games!$G$2:$G$18,"Missing game",0)</x:f>
        <x:v>MIN</x:v>
      </x:c>
      <x:c r="AM5" t="n">
        <x:f>_xlfn.XLOOKUP($A5,Games!$A$2:$A$18,Games!$H$2:$H$18,"Missing game",0)</x:f>
        <x:v>27</x:v>
      </x:c>
      <x:c r="AN5" t="str">
        <x:f>_xlfn.XLOOKUP($A5,Games!$A$2:$A$18,Games!$I$2:$I$18,"Missing game",0)</x:f>
        <x:v>CHI</x:v>
      </x:c>
      <x:c r="AO5" t="n">
        <x:f>_xlfn.XLOOKUP($A5,Games!$A$2:$A$18,Games!$J$2:$J$18,"Missing game",0)</x:f>
        <x:v>24</x:v>
      </x:c>
      <x:c r="AP5" t="n">
        <x:f>_xlfn.XLOOKUP($A5,Games!$A$2:$A$18,Games!$K$2:$K$18,"Missing game",0)</x:f>
        <x:v>-3</x:v>
      </x:c>
      <x:c r="AQ5" t="n">
        <x:f>_xlfn.XLOOKUP($A5,Games!$A$2:$A$18,Games!$L$2:$L$18,"Missing game",0)</x:f>
        <x:v>51</x:v>
      </x:c>
      <x:c r="AR5" t="n">
        <x:f>_xlfn.XLOOKUP($A5,Games!$A$2:$A$18,Games!$M$2:$M$18,"Missing game",0)</x:f>
        <x:v>0</x:v>
      </x:c>
      <x:c r="AS5" t="str">
        <x:f>_xlfn.XLOOKUP($A5,Games!$A$2:$A$18,Games!$N$2:$N$18,"Missing game",0)</x:f>
        <x:v>outdoors</x:v>
      </x:c>
      <x:c r="AT5" t="str">
        <x:f>_xlfn.XLOOKUP($A5,Games!$A$2:$A$18,Games!$O$2:$O$18,"Missing game",0)</x:f>
        <x:v>grass</x:v>
      </x:c>
      <x:c r="AU5" t="n">
        <x:f>_xlfn.XLOOKUP($A5,Games!$A$2:$A$18,Games!$P$2:$P$18,"Missing game",0)</x:f>
        <x:v>68</x:v>
      </x:c>
      <x:c r="AV5" t="n">
        <x:f>_xlfn.XLOOKUP($A5,Games!$A$2:$A$18,Games!$Q$2:$Q$18,"Missing game",0)</x:f>
        <x:v>6</x:v>
      </x:c>
      <x:c r="AW5" t="str">
        <x:f>_xlfn.XLOOKUP($A5,Games!$A$2:$A$18,Games!$R$2:$R$18,"Missing game",0)</x:f>
        <x:v>Soldier Field</x:v>
      </x:c>
    </x:row>
    <x:row r="6">
      <x:c r="A6" t="str">
        <x:v>2025_01_MIN_CHI</x:v>
      </x:c>
      <x:c r="B6" t="n">
        <x:v>125</x:v>
      </x:c>
      <x:c r="C6" t="n">
        <x:v>1</x:v>
      </x:c>
      <x:c r="D6" t="str">
        <x:v>13:40</x:v>
      </x:c>
      <x:c r="E6" t="n">
        <x:v>3</x:v>
      </x:c>
      <x:c r="F6" t="n">
        <x:v>2</x:v>
      </x:c>
      <x:c r="G6" t="str">
        <x:v>MIN</x:v>
      </x:c>
      <x:c r="H6" t="str">
        <x:v>CHI</x:v>
      </x:c>
      <x:c r="I6" t="str">
        <x:v>MIN</x:v>
      </x:c>
      <x:c r="J6" t="n">
        <x:v>67</x:v>
      </x:c>
      <x:c r="K6" t="str">
        <x:v>(13:40) (Shotgun) 9-J.McCarthy sacked at MIN 32 for -1 yards (99-G.Dexter).</x:v>
      </x:c>
      <x:c r="L6" t="str">
        <x:v>pass</x:v>
      </x:c>
      <x:c r="M6" t="n">
        <x:v>-1</x:v>
      </x:c>
      <x:c r="N6" t="n">
        <x:v>1</x:v>
      </x:c>
      <x:c r="O6" t="n">
        <x:v>0</x:v>
      </x:c>
      <x:c r="P6"/>
      <x:c r="Q6"/>
      <x:c r="R6"/>
      <x:c r="S6"/>
      <x:c r="T6"/>
      <x:c r="U6"/>
      <x:c r="V6" t="n">
        <x:v>0</x:v>
      </x:c>
      <x:c r="W6" t="n">
        <x:v>0</x:v>
      </x:c>
      <x:c r="X6" t="n">
        <x:v>1</x:v>
      </x:c>
      <x:c r="Y6" t="n">
        <x:v>0</x:v>
      </x:c>
      <x:c r="Z6" t="n">
        <x:v>0</x:v>
      </x:c>
      <x:c r="AA6" t="n">
        <x:v>0</x:v>
      </x:c>
      <x:c r="AB6"/>
      <x:c r="AC6" t="n">
        <x:v>0</x:v>
      </x:c>
      <x:c r="AD6" t="n">
        <x:v>-1.8499416001141071</x:v>
      </x:c>
      <x:c r="AE6" t="n">
        <x:v>0</x:v>
      </x:c>
      <x:c r="AF6" t="n">
        <x:v>-0.024263381958007812</x:v>
      </x:c>
      <x:c r="AG6" t="n">
        <x:f>_xlfn.XLOOKUP($A6,Games!$A$2:$A$18,Games!$B$2:$B$18,"Missing game",0)</x:f>
        <x:v>2025</x:v>
      </x:c>
      <x:c r="AH6" t="str">
        <x:f>_xlfn.XLOOKUP($A6,Games!$A$2:$A$18,Games!$C$2:$C$18,"Missing game",0)</x:f>
        <x:v>REG</x:v>
      </x:c>
      <x:c r="AI6" t="n">
        <x:f>_xlfn.XLOOKUP($A6,Games!$A$2:$A$18,Games!$D$2:$D$18,"Missing game",0)</x:f>
        <x:v>1</x:v>
      </x:c>
      <x:c r="AJ6" s="1" t="n">
        <x:f>_xlfn.XLOOKUP($A6,Games!$A$2:$A$18,Games!$E$2:$E$18,"Missing game",0)</x:f>
        <x:v>45908</x:v>
      </x:c>
      <x:c r="AK6" t="str">
        <x:f>_xlfn.XLOOKUP($A6,Games!$A$2:$A$18,Games!$F$2:$F$18,"Missing game",0)</x:f>
        <x:v>Monday</x:v>
      </x:c>
      <x:c r="AL6" t="str">
        <x:f>_xlfn.XLOOKUP($A6,Games!$A$2:$A$18,Games!$G$2:$G$18,"Missing game",0)</x:f>
        <x:v>MIN</x:v>
      </x:c>
      <x:c r="AM6" t="n">
        <x:f>_xlfn.XLOOKUP($A6,Games!$A$2:$A$18,Games!$H$2:$H$18,"Missing game",0)</x:f>
        <x:v>27</x:v>
      </x:c>
      <x:c r="AN6" t="str">
        <x:f>_xlfn.XLOOKUP($A6,Games!$A$2:$A$18,Games!$I$2:$I$18,"Missing game",0)</x:f>
        <x:v>CHI</x:v>
      </x:c>
      <x:c r="AO6" t="n">
        <x:f>_xlfn.XLOOKUP($A6,Games!$A$2:$A$18,Games!$J$2:$J$18,"Missing game",0)</x:f>
        <x:v>24</x:v>
      </x:c>
      <x:c r="AP6" t="n">
        <x:f>_xlfn.XLOOKUP($A6,Games!$A$2:$A$18,Games!$K$2:$K$18,"Missing game",0)</x:f>
        <x:v>-3</x:v>
      </x:c>
      <x:c r="AQ6" t="n">
        <x:f>_xlfn.XLOOKUP($A6,Games!$A$2:$A$18,Games!$L$2:$L$18,"Missing game",0)</x:f>
        <x:v>51</x:v>
      </x:c>
      <x:c r="AR6" t="n">
        <x:f>_xlfn.XLOOKUP($A6,Games!$A$2:$A$18,Games!$M$2:$M$18,"Missing game",0)</x:f>
        <x:v>0</x:v>
      </x:c>
      <x:c r="AS6" t="str">
        <x:f>_xlfn.XLOOKUP($A6,Games!$A$2:$A$18,Games!$N$2:$N$18,"Missing game",0)</x:f>
        <x:v>outdoors</x:v>
      </x:c>
      <x:c r="AT6" t="str">
        <x:f>_xlfn.XLOOKUP($A6,Games!$A$2:$A$18,Games!$O$2:$O$18,"Missing game",0)</x:f>
        <x:v>grass</x:v>
      </x:c>
      <x:c r="AU6" t="n">
        <x:f>_xlfn.XLOOKUP($A6,Games!$A$2:$A$18,Games!$P$2:$P$18,"Missing game",0)</x:f>
        <x:v>68</x:v>
      </x:c>
      <x:c r="AV6" t="n">
        <x:f>_xlfn.XLOOKUP($A6,Games!$A$2:$A$18,Games!$Q$2:$Q$18,"Missing game",0)</x:f>
        <x:v>6</x:v>
      </x:c>
      <x:c r="AW6" t="str">
        <x:f>_xlfn.XLOOKUP($A6,Games!$A$2:$A$18,Games!$R$2:$R$18,"Missing game",0)</x:f>
        <x:v>Soldier Field</x:v>
      </x:c>
    </x:row>
    <x:row r="7">
      <x:c r="A7" t="str">
        <x:v>2025_01_MIN_CHI</x:v>
      </x:c>
      <x:c r="B7" t="n">
        <x:v>145</x:v>
      </x:c>
      <x:c r="C7" t="n">
        <x:v>1</x:v>
      </x:c>
      <x:c r="D7" t="str">
        <x:v>12:58</x:v>
      </x:c>
      <x:c r="E7" t="n">
        <x:v>4</x:v>
      </x:c>
      <x:c r="F7" t="n">
        <x:v>3</x:v>
      </x:c>
      <x:c r="G7" t="str">
        <x:v>MIN</x:v>
      </x:c>
      <x:c r="H7" t="str">
        <x:v>CHI</x:v>
      </x:c>
      <x:c r="I7" t="str">
        <x:v>MIN</x:v>
      </x:c>
      <x:c r="J7" t="n">
        <x:v>68</x:v>
      </x:c>
      <x:c r="K7" t="str">
        <x:v>(12:58) 17-R.Wright punts 51 yards to CHI 17, Center-42-A.DePaola. 12-D.Duvernay to CHI 39 for 22 yards (55-E.Wilson; 42-A.DePaola).</x:v>
      </x:c>
      <x:c r="L7" t="str">
        <x:v>punt</x:v>
      </x:c>
      <x:c r="M7" t="n">
        <x:v>0</x:v>
      </x:c>
      <x:c r="N7" t="n">
        <x:v>0</x:v>
      </x:c>
      <x:c r="O7" t="n">
        <x:v>0</x:v>
      </x:c>
      <x:c r="P7"/>
      <x:c r="Q7"/>
      <x:c r="R7"/>
      <x:c r="S7"/>
      <x:c r="T7"/>
      <x:c r="U7"/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/>
      <x:c r="AC7" t="n">
        <x:v>0</x:v>
      </x:c>
      <x:c r="AD7" t="n">
        <x:v>-1.2310555425938219</x:v>
      </x:c>
      <x:c r="AE7" t="n">
        <x:v>0</x:v>
      </x:c>
      <x:c r="AF7" t="n">
        <x:v>-0.03535759449005127</x:v>
      </x:c>
      <x:c r="AG7" t="n">
        <x:f>_xlfn.XLOOKUP($A7,Games!$A$2:$A$18,Games!$B$2:$B$18,"Missing game",0)</x:f>
        <x:v>2025</x:v>
      </x:c>
      <x:c r="AH7" t="str">
        <x:f>_xlfn.XLOOKUP($A7,Games!$A$2:$A$18,Games!$C$2:$C$18,"Missing game",0)</x:f>
        <x:v>REG</x:v>
      </x:c>
      <x:c r="AI7" t="n">
        <x:f>_xlfn.XLOOKUP($A7,Games!$A$2:$A$18,Games!$D$2:$D$18,"Missing game",0)</x:f>
        <x:v>1</x:v>
      </x:c>
      <x:c r="AJ7" s="1" t="n">
        <x:f>_xlfn.XLOOKUP($A7,Games!$A$2:$A$18,Games!$E$2:$E$18,"Missing game",0)</x:f>
        <x:v>45908</x:v>
      </x:c>
      <x:c r="AK7" t="str">
        <x:f>_xlfn.XLOOKUP($A7,Games!$A$2:$A$18,Games!$F$2:$F$18,"Missing game",0)</x:f>
        <x:v>Monday</x:v>
      </x:c>
      <x:c r="AL7" t="str">
        <x:f>_xlfn.XLOOKUP($A7,Games!$A$2:$A$18,Games!$G$2:$G$18,"Missing game",0)</x:f>
        <x:v>MIN</x:v>
      </x:c>
      <x:c r="AM7" t="n">
        <x:f>_xlfn.XLOOKUP($A7,Games!$A$2:$A$18,Games!$H$2:$H$18,"Missing game",0)</x:f>
        <x:v>27</x:v>
      </x:c>
      <x:c r="AN7" t="str">
        <x:f>_xlfn.XLOOKUP($A7,Games!$A$2:$A$18,Games!$I$2:$I$18,"Missing game",0)</x:f>
        <x:v>CHI</x:v>
      </x:c>
      <x:c r="AO7" t="n">
        <x:f>_xlfn.XLOOKUP($A7,Games!$A$2:$A$18,Games!$J$2:$J$18,"Missing game",0)</x:f>
        <x:v>24</x:v>
      </x:c>
      <x:c r="AP7" t="n">
        <x:f>_xlfn.XLOOKUP($A7,Games!$A$2:$A$18,Games!$K$2:$K$18,"Missing game",0)</x:f>
        <x:v>-3</x:v>
      </x:c>
      <x:c r="AQ7" t="n">
        <x:f>_xlfn.XLOOKUP($A7,Games!$A$2:$A$18,Games!$L$2:$L$18,"Missing game",0)</x:f>
        <x:v>51</x:v>
      </x:c>
      <x:c r="AR7" t="n">
        <x:f>_xlfn.XLOOKUP($A7,Games!$A$2:$A$18,Games!$M$2:$M$18,"Missing game",0)</x:f>
        <x:v>0</x:v>
      </x:c>
      <x:c r="AS7" t="str">
        <x:f>_xlfn.XLOOKUP($A7,Games!$A$2:$A$18,Games!$N$2:$N$18,"Missing game",0)</x:f>
        <x:v>outdoors</x:v>
      </x:c>
      <x:c r="AT7" t="str">
        <x:f>_xlfn.XLOOKUP($A7,Games!$A$2:$A$18,Games!$O$2:$O$18,"Missing game",0)</x:f>
        <x:v>grass</x:v>
      </x:c>
      <x:c r="AU7" t="n">
        <x:f>_xlfn.XLOOKUP($A7,Games!$A$2:$A$18,Games!$P$2:$P$18,"Missing game",0)</x:f>
        <x:v>68</x:v>
      </x:c>
      <x:c r="AV7" t="n">
        <x:f>_xlfn.XLOOKUP($A7,Games!$A$2:$A$18,Games!$Q$2:$Q$18,"Missing game",0)</x:f>
        <x:v>6</x:v>
      </x:c>
      <x:c r="AW7" t="str">
        <x:f>_xlfn.XLOOKUP($A7,Games!$A$2:$A$18,Games!$R$2:$R$18,"Missing game",0)</x:f>
        <x:v>Soldier Field</x:v>
      </x:c>
    </x:row>
    <x:row r="8">
      <x:c r="A8" t="str">
        <x:v>2025_01_MIN_CHI</x:v>
      </x:c>
      <x:c r="B8" t="n">
        <x:v>171</x:v>
      </x:c>
      <x:c r="C8" t="n">
        <x:v>1</x:v>
      </x:c>
      <x:c r="D8" t="str">
        <x:v>12:45</x:v>
      </x:c>
      <x:c r="E8" t="n">
        <x:v>1</x:v>
      </x:c>
      <x:c r="F8" t="n">
        <x:v>10</x:v>
      </x:c>
      <x:c r="G8" t="str">
        <x:v>CHI</x:v>
      </x:c>
      <x:c r="H8" t="str">
        <x:v>MIN</x:v>
      </x:c>
      <x:c r="I8" t="str">
        <x:v>CHI</x:v>
      </x:c>
      <x:c r="J8" t="n">
        <x:v>61</x:v>
      </x:c>
      <x:c r="K8" t="str">
        <x:v>(12:45) (Shotgun) 18-C.Williams pass short right to 4-D.Swift pushed ob at CHI 42 for 3 yards (0-I.Pace).</x:v>
      </x:c>
      <x:c r="L8" t="str">
        <x:v>pass</x:v>
      </x:c>
      <x:c r="M8" t="n">
        <x:v>3</x:v>
      </x:c>
      <x:c r="N8" t="n">
        <x:v>1</x:v>
      </x:c>
      <x:c r="O8" t="n">
        <x:v>0</x:v>
      </x:c>
      <x:c r="P8" t="str">
        <x:v>short</x:v>
      </x:c>
      <x:c r="Q8" t="str">
        <x:v>right</x:v>
      </x:c>
      <x:c r="R8" t="n">
        <x:v>0</x:v>
      </x:c>
      <x:c r="S8" t="n">
        <x:v>3</x:v>
      </x:c>
      <x:c r="T8"/>
      <x:c r="U8"/>
      <x:c r="V8" t="n">
        <x:v>1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/>
      <x:c r="AC8" t="n">
        <x:v>0</x:v>
      </x:c>
      <x:c r="AD8" t="n">
        <x:v>-0.3560941757168621</x:v>
      </x:c>
      <x:c r="AE8" t="n">
        <x:v>0</x:v>
      </x:c>
      <x:c r="AF8" t="n">
        <x:v>-0.010138750076293945</x:v>
      </x:c>
      <x:c r="AG8" t="n">
        <x:f>_xlfn.XLOOKUP($A8,Games!$A$2:$A$18,Games!$B$2:$B$18,"Missing game",0)</x:f>
        <x:v>2025</x:v>
      </x:c>
      <x:c r="AH8" t="str">
        <x:f>_xlfn.XLOOKUP($A8,Games!$A$2:$A$18,Games!$C$2:$C$18,"Missing game",0)</x:f>
        <x:v>REG</x:v>
      </x:c>
      <x:c r="AI8" t="n">
        <x:f>_xlfn.XLOOKUP($A8,Games!$A$2:$A$18,Games!$D$2:$D$18,"Missing game",0)</x:f>
        <x:v>1</x:v>
      </x:c>
      <x:c r="AJ8" s="1" t="n">
        <x:f>_xlfn.XLOOKUP($A8,Games!$A$2:$A$18,Games!$E$2:$E$18,"Missing game",0)</x:f>
        <x:v>45908</x:v>
      </x:c>
      <x:c r="AK8" t="str">
        <x:f>_xlfn.XLOOKUP($A8,Games!$A$2:$A$18,Games!$F$2:$F$18,"Missing game",0)</x:f>
        <x:v>Monday</x:v>
      </x:c>
      <x:c r="AL8" t="str">
        <x:f>_xlfn.XLOOKUP($A8,Games!$A$2:$A$18,Games!$G$2:$G$18,"Missing game",0)</x:f>
        <x:v>MIN</x:v>
      </x:c>
      <x:c r="AM8" t="n">
        <x:f>_xlfn.XLOOKUP($A8,Games!$A$2:$A$18,Games!$H$2:$H$18,"Missing game",0)</x:f>
        <x:v>27</x:v>
      </x:c>
      <x:c r="AN8" t="str">
        <x:f>_xlfn.XLOOKUP($A8,Games!$A$2:$A$18,Games!$I$2:$I$18,"Missing game",0)</x:f>
        <x:v>CHI</x:v>
      </x:c>
      <x:c r="AO8" t="n">
        <x:f>_xlfn.XLOOKUP($A8,Games!$A$2:$A$18,Games!$J$2:$J$18,"Missing game",0)</x:f>
        <x:v>24</x:v>
      </x:c>
      <x:c r="AP8" t="n">
        <x:f>_xlfn.XLOOKUP($A8,Games!$A$2:$A$18,Games!$K$2:$K$18,"Missing game",0)</x:f>
        <x:v>-3</x:v>
      </x:c>
      <x:c r="AQ8" t="n">
        <x:f>_xlfn.XLOOKUP($A8,Games!$A$2:$A$18,Games!$L$2:$L$18,"Missing game",0)</x:f>
        <x:v>51</x:v>
      </x:c>
      <x:c r="AR8" t="n">
        <x:f>_xlfn.XLOOKUP($A8,Games!$A$2:$A$18,Games!$M$2:$M$18,"Missing game",0)</x:f>
        <x:v>0</x:v>
      </x:c>
      <x:c r="AS8" t="str">
        <x:f>_xlfn.XLOOKUP($A8,Games!$A$2:$A$18,Games!$N$2:$N$18,"Missing game",0)</x:f>
        <x:v>outdoors</x:v>
      </x:c>
      <x:c r="AT8" t="str">
        <x:f>_xlfn.XLOOKUP($A8,Games!$A$2:$A$18,Games!$O$2:$O$18,"Missing game",0)</x:f>
        <x:v>grass</x:v>
      </x:c>
      <x:c r="AU8" t="n">
        <x:f>_xlfn.XLOOKUP($A8,Games!$A$2:$A$18,Games!$P$2:$P$18,"Missing game",0)</x:f>
        <x:v>68</x:v>
      </x:c>
      <x:c r="AV8" t="n">
        <x:f>_xlfn.XLOOKUP($A8,Games!$A$2:$A$18,Games!$Q$2:$Q$18,"Missing game",0)</x:f>
        <x:v>6</x:v>
      </x:c>
      <x:c r="AW8" t="str">
        <x:f>_xlfn.XLOOKUP($A8,Games!$A$2:$A$18,Games!$R$2:$R$18,"Missing game",0)</x:f>
        <x:v>Soldier Field</x:v>
      </x:c>
    </x:row>
    <x:row r="9">
      <x:c r="A9" t="str">
        <x:v>2025_01_MIN_CHI</x:v>
      </x:c>
      <x:c r="B9" t="n">
        <x:v>201</x:v>
      </x:c>
      <x:c r="C9" t="n">
        <x:v>1</x:v>
      </x:c>
      <x:c r="D9" t="str">
        <x:v>12:15</x:v>
      </x:c>
      <x:c r="E9" t="n">
        <x:v>2</x:v>
      </x:c>
      <x:c r="F9" t="n">
        <x:v>7</x:v>
      </x:c>
      <x:c r="G9" t="str">
        <x:v>CHI</x:v>
      </x:c>
      <x:c r="H9" t="str">
        <x:v>MIN</x:v>
      </x:c>
      <x:c r="I9" t="str">
        <x:v>CHI</x:v>
      </x:c>
      <x:c r="J9" t="n">
        <x:v>58</x:v>
      </x:c>
      <x:c r="K9" t="str">
        <x:v>(12:15) 18-C.Williams pass short left to 4-D.Swift to 50 for 8 yards (7-B.Murphy).</x:v>
      </x:c>
      <x:c r="L9" t="str">
        <x:v>pass</x:v>
      </x:c>
      <x:c r="M9" t="n">
        <x:v>8</x:v>
      </x:c>
      <x:c r="N9" t="n">
        <x:v>0</x:v>
      </x:c>
      <x:c r="O9" t="n">
        <x:v>0</x:v>
      </x:c>
      <x:c r="P9" t="str">
        <x:v>short</x:v>
      </x:c>
      <x:c r="Q9" t="str">
        <x:v>left</x:v>
      </x:c>
      <x:c r="R9" t="n">
        <x:v>-2</x:v>
      </x:c>
      <x:c r="S9" t="n">
        <x:v>10</x:v>
      </x:c>
      <x:c r="T9"/>
      <x:c r="U9"/>
      <x:c r="V9" t="n">
        <x:v>1</x:v>
      </x:c>
      <x:c r="W9" t="n">
        <x:v>1</x:v>
      </x:c>
      <x:c r="X9" t="n">
        <x:v>0</x:v>
      </x:c>
      <x:c r="Y9" t="n">
        <x:v>0</x:v>
      </x:c>
      <x:c r="Z9" t="n">
        <x:v>0</x:v>
      </x:c>
      <x:c r="AA9" t="n">
        <x:v>0</x:v>
      </x:c>
      <x:c r="AB9"/>
      <x:c r="AC9" t="n">
        <x:v>0</x:v>
      </x:c>
      <x:c r="AD9" t="n">
        <x:v>0.9711297343019396</x:v>
      </x:c>
      <x:c r="AE9" t="n">
        <x:v>1</x:v>
      </x:c>
      <x:c r="AF9" t="n">
        <x:v>0.021274030208587646</x:v>
      </x:c>
      <x:c r="AG9" t="n">
        <x:f>_xlfn.XLOOKUP($A9,Games!$A$2:$A$18,Games!$B$2:$B$18,"Missing game",0)</x:f>
        <x:v>2025</x:v>
      </x:c>
      <x:c r="AH9" t="str">
        <x:f>_xlfn.XLOOKUP($A9,Games!$A$2:$A$18,Games!$C$2:$C$18,"Missing game",0)</x:f>
        <x:v>REG</x:v>
      </x:c>
      <x:c r="AI9" t="n">
        <x:f>_xlfn.XLOOKUP($A9,Games!$A$2:$A$18,Games!$D$2:$D$18,"Missing game",0)</x:f>
        <x:v>1</x:v>
      </x:c>
      <x:c r="AJ9" s="1" t="n">
        <x:f>_xlfn.XLOOKUP($A9,Games!$A$2:$A$18,Games!$E$2:$E$18,"Missing game",0)</x:f>
        <x:v>45908</x:v>
      </x:c>
      <x:c r="AK9" t="str">
        <x:f>_xlfn.XLOOKUP($A9,Games!$A$2:$A$18,Games!$F$2:$F$18,"Missing game",0)</x:f>
        <x:v>Monday</x:v>
      </x:c>
      <x:c r="AL9" t="str">
        <x:f>_xlfn.XLOOKUP($A9,Games!$A$2:$A$18,Games!$G$2:$G$18,"Missing game",0)</x:f>
        <x:v>MIN</x:v>
      </x:c>
      <x:c r="AM9" t="n">
        <x:f>_xlfn.XLOOKUP($A9,Games!$A$2:$A$18,Games!$H$2:$H$18,"Missing game",0)</x:f>
        <x:v>27</x:v>
      </x:c>
      <x:c r="AN9" t="str">
        <x:f>_xlfn.XLOOKUP($A9,Games!$A$2:$A$18,Games!$I$2:$I$18,"Missing game",0)</x:f>
        <x:v>CHI</x:v>
      </x:c>
      <x:c r="AO9" t="n">
        <x:f>_xlfn.XLOOKUP($A9,Games!$A$2:$A$18,Games!$J$2:$J$18,"Missing game",0)</x:f>
        <x:v>24</x:v>
      </x:c>
      <x:c r="AP9" t="n">
        <x:f>_xlfn.XLOOKUP($A9,Games!$A$2:$A$18,Games!$K$2:$K$18,"Missing game",0)</x:f>
        <x:v>-3</x:v>
      </x:c>
      <x:c r="AQ9" t="n">
        <x:f>_xlfn.XLOOKUP($A9,Games!$A$2:$A$18,Games!$L$2:$L$18,"Missing game",0)</x:f>
        <x:v>51</x:v>
      </x:c>
      <x:c r="AR9" t="n">
        <x:f>_xlfn.XLOOKUP($A9,Games!$A$2:$A$18,Games!$M$2:$M$18,"Missing game",0)</x:f>
        <x:v>0</x:v>
      </x:c>
      <x:c r="AS9" t="str">
        <x:f>_xlfn.XLOOKUP($A9,Games!$A$2:$A$18,Games!$N$2:$N$18,"Missing game",0)</x:f>
        <x:v>outdoors</x:v>
      </x:c>
      <x:c r="AT9" t="str">
        <x:f>_xlfn.XLOOKUP($A9,Games!$A$2:$A$18,Games!$O$2:$O$18,"Missing game",0)</x:f>
        <x:v>grass</x:v>
      </x:c>
      <x:c r="AU9" t="n">
        <x:f>_xlfn.XLOOKUP($A9,Games!$A$2:$A$18,Games!$P$2:$P$18,"Missing game",0)</x:f>
        <x:v>68</x:v>
      </x:c>
      <x:c r="AV9" t="n">
        <x:f>_xlfn.XLOOKUP($A9,Games!$A$2:$A$18,Games!$Q$2:$Q$18,"Missing game",0)</x:f>
        <x:v>6</x:v>
      </x:c>
      <x:c r="AW9" t="str">
        <x:f>_xlfn.XLOOKUP($A9,Games!$A$2:$A$18,Games!$R$2:$R$18,"Missing game",0)</x:f>
        <x:v>Soldier Field</x:v>
      </x:c>
    </x:row>
    <x:row r="10">
      <x:c r="A10" t="str">
        <x:v>2025_01_MIN_CHI</x:v>
      </x:c>
      <x:c r="B10" t="n">
        <x:v>226</x:v>
      </x:c>
      <x:c r="C10" t="n">
        <x:v>1</x:v>
      </x:c>
      <x:c r="D10" t="str">
        <x:v>11:29</x:v>
      </x:c>
      <x:c r="E10" t="n">
        <x:v>1</x:v>
      </x:c>
      <x:c r="F10" t="n">
        <x:v>10</x:v>
      </x:c>
      <x:c r="G10" t="str">
        <x:v>CHI</x:v>
      </x:c>
      <x:c r="H10" t="str">
        <x:v>MIN</x:v>
      </x:c>
      <x:c r="I10" t="str">
        <x:v>50</x:v>
      </x:c>
      <x:c r="J10" t="n">
        <x:v>50</x:v>
      </x:c>
      <x:c r="K10" t="str">
        <x:v>(11:29) 79-T.Benedet reported in as eligible. 4-D.Swift right guard to MIN 46 for 4 yards (0-I.Pace; 43-A.Van Ginkel).</x:v>
      </x:c>
      <x:c r="L10" t="str">
        <x:v>run</x:v>
      </x:c>
      <x:c r="M10" t="n">
        <x:v>4</x:v>
      </x:c>
      <x:c r="N10" t="n">
        <x:v>0</x:v>
      </x:c>
      <x:c r="O10" t="n">
        <x:v>0</x:v>
      </x:c>
      <x:c r="P10"/>
      <x:c r="Q10"/>
      <x:c r="R10"/>
      <x:c r="S10"/>
      <x:c r="T10" t="str">
        <x:v>right</x:v>
      </x:c>
      <x:c r="U10" t="str">
        <x:v>guard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/>
      <x:c r="AC10" t="n">
        <x:v>0</x:v>
      </x:c>
      <x:c r="AD10" t="n">
        <x:v>-0.24387227976694703</x:v>
      </x:c>
      <x:c r="AE10" t="n">
        <x:v>0</x:v>
      </x:c>
      <x:c r="AF10" t="n">
        <x:v>-0.006205916404724121</x:v>
      </x:c>
      <x:c r="AG10" t="n">
        <x:f>_xlfn.XLOOKUP($A10,Games!$A$2:$A$18,Games!$B$2:$B$18,"Missing game",0)</x:f>
        <x:v>2025</x:v>
      </x:c>
      <x:c r="AH10" t="str">
        <x:f>_xlfn.XLOOKUP($A10,Games!$A$2:$A$18,Games!$C$2:$C$18,"Missing game",0)</x:f>
        <x:v>REG</x:v>
      </x:c>
      <x:c r="AI10" t="n">
        <x:f>_xlfn.XLOOKUP($A10,Games!$A$2:$A$18,Games!$D$2:$D$18,"Missing game",0)</x:f>
        <x:v>1</x:v>
      </x:c>
      <x:c r="AJ10" s="1" t="n">
        <x:f>_xlfn.XLOOKUP($A10,Games!$A$2:$A$18,Games!$E$2:$E$18,"Missing game",0)</x:f>
        <x:v>45908</x:v>
      </x:c>
      <x:c r="AK10" t="str">
        <x:f>_xlfn.XLOOKUP($A10,Games!$A$2:$A$18,Games!$F$2:$F$18,"Missing game",0)</x:f>
        <x:v>Monday</x:v>
      </x:c>
      <x:c r="AL10" t="str">
        <x:f>_xlfn.XLOOKUP($A10,Games!$A$2:$A$18,Games!$G$2:$G$18,"Missing game",0)</x:f>
        <x:v>MIN</x:v>
      </x:c>
      <x:c r="AM10" t="n">
        <x:f>_xlfn.XLOOKUP($A10,Games!$A$2:$A$18,Games!$H$2:$H$18,"Missing game",0)</x:f>
        <x:v>27</x:v>
      </x:c>
      <x:c r="AN10" t="str">
        <x:f>_xlfn.XLOOKUP($A10,Games!$A$2:$A$18,Games!$I$2:$I$18,"Missing game",0)</x:f>
        <x:v>CHI</x:v>
      </x:c>
      <x:c r="AO10" t="n">
        <x:f>_xlfn.XLOOKUP($A10,Games!$A$2:$A$18,Games!$J$2:$J$18,"Missing game",0)</x:f>
        <x:v>24</x:v>
      </x:c>
      <x:c r="AP10" t="n">
        <x:f>_xlfn.XLOOKUP($A10,Games!$A$2:$A$18,Games!$K$2:$K$18,"Missing game",0)</x:f>
        <x:v>-3</x:v>
      </x:c>
      <x:c r="AQ10" t="n">
        <x:f>_xlfn.XLOOKUP($A10,Games!$A$2:$A$18,Games!$L$2:$L$18,"Missing game",0)</x:f>
        <x:v>51</x:v>
      </x:c>
      <x:c r="AR10" t="n">
        <x:f>_xlfn.XLOOKUP($A10,Games!$A$2:$A$18,Games!$M$2:$M$18,"Missing game",0)</x:f>
        <x:v>0</x:v>
      </x:c>
      <x:c r="AS10" t="str">
        <x:f>_xlfn.XLOOKUP($A10,Games!$A$2:$A$18,Games!$N$2:$N$18,"Missing game",0)</x:f>
        <x:v>outdoors</x:v>
      </x:c>
      <x:c r="AT10" t="str">
        <x:f>_xlfn.XLOOKUP($A10,Games!$A$2:$A$18,Games!$O$2:$O$18,"Missing game",0)</x:f>
        <x:v>grass</x:v>
      </x:c>
      <x:c r="AU10" t="n">
        <x:f>_xlfn.XLOOKUP($A10,Games!$A$2:$A$18,Games!$P$2:$P$18,"Missing game",0)</x:f>
        <x:v>68</x:v>
      </x:c>
      <x:c r="AV10" t="n">
        <x:f>_xlfn.XLOOKUP($A10,Games!$A$2:$A$18,Games!$Q$2:$Q$18,"Missing game",0)</x:f>
        <x:v>6</x:v>
      </x:c>
      <x:c r="AW10" t="str">
        <x:f>_xlfn.XLOOKUP($A10,Games!$A$2:$A$18,Games!$R$2:$R$18,"Missing game",0)</x:f>
        <x:v>Soldier Field</x:v>
      </x:c>
    </x:row>
    <x:row r="11">
      <x:c r="A11" t="str">
        <x:v>2025_01_MIN_CHI</x:v>
      </x:c>
      <x:c r="B11" t="n">
        <x:v>250</x:v>
      </x:c>
      <x:c r="C11" t="n">
        <x:v>1</x:v>
      </x:c>
      <x:c r="D11" t="str">
        <x:v>10:47</x:v>
      </x:c>
      <x:c r="E11" t="n">
        <x:v>2</x:v>
      </x:c>
      <x:c r="F11" t="n">
        <x:v>6</x:v>
      </x:c>
      <x:c r="G11" t="str">
        <x:v>CHI</x:v>
      </x:c>
      <x:c r="H11" t="str">
        <x:v>MIN</x:v>
      </x:c>
      <x:c r="I11" t="str">
        <x:v>MIN</x:v>
      </x:c>
      <x:c r="J11" t="n">
        <x:v>46</x:v>
      </x:c>
      <x:c r="K11" t="str">
        <x:v>(10:47) 18-C.Williams pass short middle to 25-K.Monangai to MIN 35 for 11 yards (26-T.Jackson).</x:v>
      </x:c>
      <x:c r="L11" t="str">
        <x:v>pass</x:v>
      </x:c>
      <x:c r="M11" t="n">
        <x:v>11</x:v>
      </x:c>
      <x:c r="N11" t="n">
        <x:v>0</x:v>
      </x:c>
      <x:c r="O11" t="n">
        <x:v>0</x:v>
      </x:c>
      <x:c r="P11" t="str">
        <x:v>short</x:v>
      </x:c>
      <x:c r="Q11" t="str">
        <x:v>middle</x:v>
      </x:c>
      <x:c r="R11" t="n">
        <x:v>5</x:v>
      </x:c>
      <x:c r="S11" t="n">
        <x:v>6</x:v>
      </x:c>
      <x:c r="T11"/>
      <x:c r="U11"/>
      <x:c r="V11" t="n">
        <x:v>1</x:v>
      </x:c>
      <x:c r="W11" t="n">
        <x:v>1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/>
      <x:c r="AC11" t="n">
        <x:v>0</x:v>
      </x:c>
      <x:c r="AD11" t="n">
        <x:v>1.068297045538202</x:v>
      </x:c>
      <x:c r="AE11" t="n">
        <x:v>1</x:v>
      </x:c>
      <x:c r="AF11" t="n">
        <x:v>0.053465962409973145</x:v>
      </x:c>
      <x:c r="AG11" t="n">
        <x:f>_xlfn.XLOOKUP($A11,Games!$A$2:$A$18,Games!$B$2:$B$18,"Missing game",0)</x:f>
        <x:v>2025</x:v>
      </x:c>
      <x:c r="AH11" t="str">
        <x:f>_xlfn.XLOOKUP($A11,Games!$A$2:$A$18,Games!$C$2:$C$18,"Missing game",0)</x:f>
        <x:v>REG</x:v>
      </x:c>
      <x:c r="AI11" t="n">
        <x:f>_xlfn.XLOOKUP($A11,Games!$A$2:$A$18,Games!$D$2:$D$18,"Missing game",0)</x:f>
        <x:v>1</x:v>
      </x:c>
      <x:c r="AJ11" s="1" t="n">
        <x:f>_xlfn.XLOOKUP($A11,Games!$A$2:$A$18,Games!$E$2:$E$18,"Missing game",0)</x:f>
        <x:v>45908</x:v>
      </x:c>
      <x:c r="AK11" t="str">
        <x:f>_xlfn.XLOOKUP($A11,Games!$A$2:$A$18,Games!$F$2:$F$18,"Missing game",0)</x:f>
        <x:v>Monday</x:v>
      </x:c>
      <x:c r="AL11" t="str">
        <x:f>_xlfn.XLOOKUP($A11,Games!$A$2:$A$18,Games!$G$2:$G$18,"Missing game",0)</x:f>
        <x:v>MIN</x:v>
      </x:c>
      <x:c r="AM11" t="n">
        <x:f>_xlfn.XLOOKUP($A11,Games!$A$2:$A$18,Games!$H$2:$H$18,"Missing game",0)</x:f>
        <x:v>27</x:v>
      </x:c>
      <x:c r="AN11" t="str">
        <x:f>_xlfn.XLOOKUP($A11,Games!$A$2:$A$18,Games!$I$2:$I$18,"Missing game",0)</x:f>
        <x:v>CHI</x:v>
      </x:c>
      <x:c r="AO11" t="n">
        <x:f>_xlfn.XLOOKUP($A11,Games!$A$2:$A$18,Games!$J$2:$J$18,"Missing game",0)</x:f>
        <x:v>24</x:v>
      </x:c>
      <x:c r="AP11" t="n">
        <x:f>_xlfn.XLOOKUP($A11,Games!$A$2:$A$18,Games!$K$2:$K$18,"Missing game",0)</x:f>
        <x:v>-3</x:v>
      </x:c>
      <x:c r="AQ11" t="n">
        <x:f>_xlfn.XLOOKUP($A11,Games!$A$2:$A$18,Games!$L$2:$L$18,"Missing game",0)</x:f>
        <x:v>51</x:v>
      </x:c>
      <x:c r="AR11" t="n">
        <x:f>_xlfn.XLOOKUP($A11,Games!$A$2:$A$18,Games!$M$2:$M$18,"Missing game",0)</x:f>
        <x:v>0</x:v>
      </x:c>
      <x:c r="AS11" t="str">
        <x:f>_xlfn.XLOOKUP($A11,Games!$A$2:$A$18,Games!$N$2:$N$18,"Missing game",0)</x:f>
        <x:v>outdoors</x:v>
      </x:c>
      <x:c r="AT11" t="str">
        <x:f>_xlfn.XLOOKUP($A11,Games!$A$2:$A$18,Games!$O$2:$O$18,"Missing game",0)</x:f>
        <x:v>grass</x:v>
      </x:c>
      <x:c r="AU11" t="n">
        <x:f>_xlfn.XLOOKUP($A11,Games!$A$2:$A$18,Games!$P$2:$P$18,"Missing game",0)</x:f>
        <x:v>68</x:v>
      </x:c>
      <x:c r="AV11" t="n">
        <x:f>_xlfn.XLOOKUP($A11,Games!$A$2:$A$18,Games!$Q$2:$Q$18,"Missing game",0)</x:f>
        <x:v>6</x:v>
      </x:c>
      <x:c r="AW11" t="str">
        <x:f>_xlfn.XLOOKUP($A11,Games!$A$2:$A$18,Games!$R$2:$R$18,"Missing game",0)</x:f>
        <x:v>Soldier Field</x:v>
      </x:c>
    </x:row>
    <x:row r="12">
      <x:c r="A12" t="str">
        <x:v>2025_01_MIN_CHI</x:v>
      </x:c>
      <x:c r="B12" t="n">
        <x:v>275</x:v>
      </x:c>
      <x:c r="C12" t="n">
        <x:v>1</x:v>
      </x:c>
      <x:c r="D12" t="str">
        <x:v>10:13</x:v>
      </x:c>
      <x:c r="E12" t="n">
        <x:v>1</x:v>
      </x:c>
      <x:c r="F12" t="n">
        <x:v>10</x:v>
      </x:c>
      <x:c r="G12" t="str">
        <x:v>CHI</x:v>
      </x:c>
      <x:c r="H12" t="str">
        <x:v>MIN</x:v>
      </x:c>
      <x:c r="I12" t="str">
        <x:v>MIN</x:v>
      </x:c>
      <x:c r="J12" t="n">
        <x:v>35</x:v>
      </x:c>
      <x:c r="K12" t="str">
        <x:v>(10:13) 18-C.Williams pass short middle to 2-D.Moore to MIN 30 for 5 yards (51-B.Cashman).</x:v>
      </x:c>
      <x:c r="L12" t="str">
        <x:v>pass</x:v>
      </x:c>
      <x:c r="M12" t="n">
        <x:v>5</x:v>
      </x:c>
      <x:c r="N12" t="n">
        <x:v>0</x:v>
      </x:c>
      <x:c r="O12" t="n">
        <x:v>0</x:v>
      </x:c>
      <x:c r="P12" t="str">
        <x:v>short</x:v>
      </x:c>
      <x:c r="Q12" t="str">
        <x:v>middle</x:v>
      </x:c>
      <x:c r="R12" t="n">
        <x:v>5</x:v>
      </x:c>
      <x:c r="S12" t="n">
        <x:v>0</x:v>
      </x:c>
      <x:c r="T12"/>
      <x:c r="U12"/>
      <x:c r="V12" t="n">
        <x:v>1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/>
      <x:c r="AC12" t="n">
        <x:v>0</x:v>
      </x:c>
      <x:c r="AD12" t="n">
        <x:v>0.05386133783031255</x:v>
      </x:c>
      <x:c r="AE12" t="n">
        <x:v>1</x:v>
      </x:c>
      <x:c r="AF12" t="n">
        <x:v>-0.0074384212493896484</x:v>
      </x:c>
      <x:c r="AG12" t="n">
        <x:f>_xlfn.XLOOKUP($A12,Games!$A$2:$A$18,Games!$B$2:$B$18,"Missing game",0)</x:f>
        <x:v>2025</x:v>
      </x:c>
      <x:c r="AH12" t="str">
        <x:f>_xlfn.XLOOKUP($A12,Games!$A$2:$A$18,Games!$C$2:$C$18,"Missing game",0)</x:f>
        <x:v>REG</x:v>
      </x:c>
      <x:c r="AI12" t="n">
        <x:f>_xlfn.XLOOKUP($A12,Games!$A$2:$A$18,Games!$D$2:$D$18,"Missing game",0)</x:f>
        <x:v>1</x:v>
      </x:c>
      <x:c r="AJ12" s="1" t="n">
        <x:f>_xlfn.XLOOKUP($A12,Games!$A$2:$A$18,Games!$E$2:$E$18,"Missing game",0)</x:f>
        <x:v>45908</x:v>
      </x:c>
      <x:c r="AK12" t="str">
        <x:f>_xlfn.XLOOKUP($A12,Games!$A$2:$A$18,Games!$F$2:$F$18,"Missing game",0)</x:f>
        <x:v>Monday</x:v>
      </x:c>
      <x:c r="AL12" t="str">
        <x:f>_xlfn.XLOOKUP($A12,Games!$A$2:$A$18,Games!$G$2:$G$18,"Missing game",0)</x:f>
        <x:v>MIN</x:v>
      </x:c>
      <x:c r="AM12" t="n">
        <x:f>_xlfn.XLOOKUP($A12,Games!$A$2:$A$18,Games!$H$2:$H$18,"Missing game",0)</x:f>
        <x:v>27</x:v>
      </x:c>
      <x:c r="AN12" t="str">
        <x:f>_xlfn.XLOOKUP($A12,Games!$A$2:$A$18,Games!$I$2:$I$18,"Missing game",0)</x:f>
        <x:v>CHI</x:v>
      </x:c>
      <x:c r="AO12" t="n">
        <x:f>_xlfn.XLOOKUP($A12,Games!$A$2:$A$18,Games!$J$2:$J$18,"Missing game",0)</x:f>
        <x:v>24</x:v>
      </x:c>
      <x:c r="AP12" t="n">
        <x:f>_xlfn.XLOOKUP($A12,Games!$A$2:$A$18,Games!$K$2:$K$18,"Missing game",0)</x:f>
        <x:v>-3</x:v>
      </x:c>
      <x:c r="AQ12" t="n">
        <x:f>_xlfn.XLOOKUP($A12,Games!$A$2:$A$18,Games!$L$2:$L$18,"Missing game",0)</x:f>
        <x:v>51</x:v>
      </x:c>
      <x:c r="AR12" t="n">
        <x:f>_xlfn.XLOOKUP($A12,Games!$A$2:$A$18,Games!$M$2:$M$18,"Missing game",0)</x:f>
        <x:v>0</x:v>
      </x:c>
      <x:c r="AS12" t="str">
        <x:f>_xlfn.XLOOKUP($A12,Games!$A$2:$A$18,Games!$N$2:$N$18,"Missing game",0)</x:f>
        <x:v>outdoors</x:v>
      </x:c>
      <x:c r="AT12" t="str">
        <x:f>_xlfn.XLOOKUP($A12,Games!$A$2:$A$18,Games!$O$2:$O$18,"Missing game",0)</x:f>
        <x:v>grass</x:v>
      </x:c>
      <x:c r="AU12" t="n">
        <x:f>_xlfn.XLOOKUP($A12,Games!$A$2:$A$18,Games!$P$2:$P$18,"Missing game",0)</x:f>
        <x:v>68</x:v>
      </x:c>
      <x:c r="AV12" t="n">
        <x:f>_xlfn.XLOOKUP($A12,Games!$A$2:$A$18,Games!$Q$2:$Q$18,"Missing game",0)</x:f>
        <x:v>6</x:v>
      </x:c>
      <x:c r="AW12" t="str">
        <x:f>_xlfn.XLOOKUP($A12,Games!$A$2:$A$18,Games!$R$2:$R$18,"Missing game",0)</x:f>
        <x:v>Soldier Field</x:v>
      </x:c>
    </x:row>
    <x:row r="13">
      <x:c r="A13" t="str">
        <x:v>2025_01_MIN_CHI</x:v>
      </x:c>
      <x:c r="B13" t="n">
        <x:v>300</x:v>
      </x:c>
      <x:c r="C13" t="n">
        <x:v>1</x:v>
      </x:c>
      <x:c r="D13" t="str">
        <x:v>09:34</x:v>
      </x:c>
      <x:c r="E13" t="n">
        <x:v>2</x:v>
      </x:c>
      <x:c r="F13" t="n">
        <x:v>5</x:v>
      </x:c>
      <x:c r="G13" t="str">
        <x:v>CHI</x:v>
      </x:c>
      <x:c r="H13" t="str">
        <x:v>MIN</x:v>
      </x:c>
      <x:c r="I13" t="str">
        <x:v>MIN</x:v>
      </x:c>
      <x:c r="J13" t="n">
        <x:v>30</x:v>
      </x:c>
      <x:c r="K13" t="str">
        <x:v>(9:34) 79-T.Benedet reported in as eligible. 4-D.Swift up the middle to MIN 30 for no gain (58-J.Greenard).</x:v>
      </x:c>
      <x:c r="L13" t="str">
        <x:v>run</x:v>
      </x:c>
      <x:c r="M13" t="n">
        <x:v>0</x:v>
      </x:c>
      <x:c r="N13" t="n">
        <x:v>0</x:v>
      </x:c>
      <x:c r="O13" t="n">
        <x:v>0</x:v>
      </x:c>
      <x:c r="P13"/>
      <x:c r="Q13"/>
      <x:c r="R13"/>
      <x:c r="S13"/>
      <x:c r="T13" t="str">
        <x:v>middle</x:v>
      </x:c>
      <x:c r="U13"/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/>
      <x:c r="AC13" t="n">
        <x:v>0</x:v>
      </x:c>
      <x:c r="AD13" t="n">
        <x:v>-0.8386656123911962</x:v>
      </x:c>
      <x:c r="AE13" t="n">
        <x:v>0</x:v>
      </x:c>
      <x:c r="AF13" t="n">
        <x:v>-0.027168750762939453</x:v>
      </x:c>
      <x:c r="AG13" t="n">
        <x:f>_xlfn.XLOOKUP($A13,Games!$A$2:$A$18,Games!$B$2:$B$18,"Missing game",0)</x:f>
        <x:v>2025</x:v>
      </x:c>
      <x:c r="AH13" t="str">
        <x:f>_xlfn.XLOOKUP($A13,Games!$A$2:$A$18,Games!$C$2:$C$18,"Missing game",0)</x:f>
        <x:v>REG</x:v>
      </x:c>
      <x:c r="AI13" t="n">
        <x:f>_xlfn.XLOOKUP($A13,Games!$A$2:$A$18,Games!$D$2:$D$18,"Missing game",0)</x:f>
        <x:v>1</x:v>
      </x:c>
      <x:c r="AJ13" s="1" t="n">
        <x:f>_xlfn.XLOOKUP($A13,Games!$A$2:$A$18,Games!$E$2:$E$18,"Missing game",0)</x:f>
        <x:v>45908</x:v>
      </x:c>
      <x:c r="AK13" t="str">
        <x:f>_xlfn.XLOOKUP($A13,Games!$A$2:$A$18,Games!$F$2:$F$18,"Missing game",0)</x:f>
        <x:v>Monday</x:v>
      </x:c>
      <x:c r="AL13" t="str">
        <x:f>_xlfn.XLOOKUP($A13,Games!$A$2:$A$18,Games!$G$2:$G$18,"Missing game",0)</x:f>
        <x:v>MIN</x:v>
      </x:c>
      <x:c r="AM13" t="n">
        <x:f>_xlfn.XLOOKUP($A13,Games!$A$2:$A$18,Games!$H$2:$H$18,"Missing game",0)</x:f>
        <x:v>27</x:v>
      </x:c>
      <x:c r="AN13" t="str">
        <x:f>_xlfn.XLOOKUP($A13,Games!$A$2:$A$18,Games!$I$2:$I$18,"Missing game",0)</x:f>
        <x:v>CHI</x:v>
      </x:c>
      <x:c r="AO13" t="n">
        <x:f>_xlfn.XLOOKUP($A13,Games!$A$2:$A$18,Games!$J$2:$J$18,"Missing game",0)</x:f>
        <x:v>24</x:v>
      </x:c>
      <x:c r="AP13" t="n">
        <x:f>_xlfn.XLOOKUP($A13,Games!$A$2:$A$18,Games!$K$2:$K$18,"Missing game",0)</x:f>
        <x:v>-3</x:v>
      </x:c>
      <x:c r="AQ13" t="n">
        <x:f>_xlfn.XLOOKUP($A13,Games!$A$2:$A$18,Games!$L$2:$L$18,"Missing game",0)</x:f>
        <x:v>51</x:v>
      </x:c>
      <x:c r="AR13" t="n">
        <x:f>_xlfn.XLOOKUP($A13,Games!$A$2:$A$18,Games!$M$2:$M$18,"Missing game",0)</x:f>
        <x:v>0</x:v>
      </x:c>
      <x:c r="AS13" t="str">
        <x:f>_xlfn.XLOOKUP($A13,Games!$A$2:$A$18,Games!$N$2:$N$18,"Missing game",0)</x:f>
        <x:v>outdoors</x:v>
      </x:c>
      <x:c r="AT13" t="str">
        <x:f>_xlfn.XLOOKUP($A13,Games!$A$2:$A$18,Games!$O$2:$O$18,"Missing game",0)</x:f>
        <x:v>grass</x:v>
      </x:c>
      <x:c r="AU13" t="n">
        <x:f>_xlfn.XLOOKUP($A13,Games!$A$2:$A$18,Games!$P$2:$P$18,"Missing game",0)</x:f>
        <x:v>68</x:v>
      </x:c>
      <x:c r="AV13" t="n">
        <x:f>_xlfn.XLOOKUP($A13,Games!$A$2:$A$18,Games!$Q$2:$Q$18,"Missing game",0)</x:f>
        <x:v>6</x:v>
      </x:c>
      <x:c r="AW13" t="str">
        <x:f>_xlfn.XLOOKUP($A13,Games!$A$2:$A$18,Games!$R$2:$R$18,"Missing game",0)</x:f>
        <x:v>Soldier Field</x:v>
      </x:c>
    </x:row>
    <x:row r="14">
      <x:c r="A14" t="str">
        <x:v>2025_01_MIN_CHI</x:v>
      </x:c>
      <x:c r="B14" t="n">
        <x:v>324</x:v>
      </x:c>
      <x:c r="C14" t="n">
        <x:v>1</x:v>
      </x:c>
      <x:c r="D14" t="str">
        <x:v>08:50</x:v>
      </x:c>
      <x:c r="E14" t="n">
        <x:v>3</x:v>
      </x:c>
      <x:c r="F14" t="n">
        <x:v>5</x:v>
      </x:c>
      <x:c r="G14" t="str">
        <x:v>CHI</x:v>
      </x:c>
      <x:c r="H14" t="str">
        <x:v>MIN</x:v>
      </x:c>
      <x:c r="I14" t="str">
        <x:v>MIN</x:v>
      </x:c>
      <x:c r="J14" t="n">
        <x:v>30</x:v>
      </x:c>
      <x:c r="K14" t="str">
        <x:v>(8:50) (Shotgun) 18-C.Williams pass deep right to 15-R.Odunze ran ob at MIN 13 for 17 yards.</x:v>
      </x:c>
      <x:c r="L14" t="str">
        <x:v>pass</x:v>
      </x:c>
      <x:c r="M14" t="n">
        <x:v>17</x:v>
      </x:c>
      <x:c r="N14" t="n">
        <x:v>1</x:v>
      </x:c>
      <x:c r="O14" t="n">
        <x:v>0</x:v>
      </x:c>
      <x:c r="P14" t="str">
        <x:v>deep</x:v>
      </x:c>
      <x:c r="Q14" t="str">
        <x:v>right</x:v>
      </x:c>
      <x:c r="R14" t="n">
        <x:v>17</x:v>
      </x:c>
      <x:c r="S14" t="n">
        <x:v>0</x:v>
      </x:c>
      <x:c r="T14"/>
      <x:c r="U14"/>
      <x:c r="V14" t="n">
        <x:v>1</x:v>
      </x:c>
      <x:c r="W14" t="n">
        <x:v>1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/>
      <x:c r="AC14" t="n">
        <x:v>0</x:v>
      </x:c>
      <x:c r="AD14" t="n">
        <x:v>2.095154565467965</x:v>
      </x:c>
      <x:c r="AE14" t="n">
        <x:v>1</x:v>
      </x:c>
      <x:c r="AF14" t="n">
        <x:v>0.052223801612854004</x:v>
      </x:c>
      <x:c r="AG14" t="n">
        <x:f>_xlfn.XLOOKUP($A14,Games!$A$2:$A$18,Games!$B$2:$B$18,"Missing game",0)</x:f>
        <x:v>2025</x:v>
      </x:c>
      <x:c r="AH14" t="str">
        <x:f>_xlfn.XLOOKUP($A14,Games!$A$2:$A$18,Games!$C$2:$C$18,"Missing game",0)</x:f>
        <x:v>REG</x:v>
      </x:c>
      <x:c r="AI14" t="n">
        <x:f>_xlfn.XLOOKUP($A14,Games!$A$2:$A$18,Games!$D$2:$D$18,"Missing game",0)</x:f>
        <x:v>1</x:v>
      </x:c>
      <x:c r="AJ14" s="1" t="n">
        <x:f>_xlfn.XLOOKUP($A14,Games!$A$2:$A$18,Games!$E$2:$E$18,"Missing game",0)</x:f>
        <x:v>45908</x:v>
      </x:c>
      <x:c r="AK14" t="str">
        <x:f>_xlfn.XLOOKUP($A14,Games!$A$2:$A$18,Games!$F$2:$F$18,"Missing game",0)</x:f>
        <x:v>Monday</x:v>
      </x:c>
      <x:c r="AL14" t="str">
        <x:f>_xlfn.XLOOKUP($A14,Games!$A$2:$A$18,Games!$G$2:$G$18,"Missing game",0)</x:f>
        <x:v>MIN</x:v>
      </x:c>
      <x:c r="AM14" t="n">
        <x:f>_xlfn.XLOOKUP($A14,Games!$A$2:$A$18,Games!$H$2:$H$18,"Missing game",0)</x:f>
        <x:v>27</x:v>
      </x:c>
      <x:c r="AN14" t="str">
        <x:f>_xlfn.XLOOKUP($A14,Games!$A$2:$A$18,Games!$I$2:$I$18,"Missing game",0)</x:f>
        <x:v>CHI</x:v>
      </x:c>
      <x:c r="AO14" t="n">
        <x:f>_xlfn.XLOOKUP($A14,Games!$A$2:$A$18,Games!$J$2:$J$18,"Missing game",0)</x:f>
        <x:v>24</x:v>
      </x:c>
      <x:c r="AP14" t="n">
        <x:f>_xlfn.XLOOKUP($A14,Games!$A$2:$A$18,Games!$K$2:$K$18,"Missing game",0)</x:f>
        <x:v>-3</x:v>
      </x:c>
      <x:c r="AQ14" t="n">
        <x:f>_xlfn.XLOOKUP($A14,Games!$A$2:$A$18,Games!$L$2:$L$18,"Missing game",0)</x:f>
        <x:v>51</x:v>
      </x:c>
      <x:c r="AR14" t="n">
        <x:f>_xlfn.XLOOKUP($A14,Games!$A$2:$A$18,Games!$M$2:$M$18,"Missing game",0)</x:f>
        <x:v>0</x:v>
      </x:c>
      <x:c r="AS14" t="str">
        <x:f>_xlfn.XLOOKUP($A14,Games!$A$2:$A$18,Games!$N$2:$N$18,"Missing game",0)</x:f>
        <x:v>outdoors</x:v>
      </x:c>
      <x:c r="AT14" t="str">
        <x:f>_xlfn.XLOOKUP($A14,Games!$A$2:$A$18,Games!$O$2:$O$18,"Missing game",0)</x:f>
        <x:v>grass</x:v>
      </x:c>
      <x:c r="AU14" t="n">
        <x:f>_xlfn.XLOOKUP($A14,Games!$A$2:$A$18,Games!$P$2:$P$18,"Missing game",0)</x:f>
        <x:v>68</x:v>
      </x:c>
      <x:c r="AV14" t="n">
        <x:f>_xlfn.XLOOKUP($A14,Games!$A$2:$A$18,Games!$Q$2:$Q$18,"Missing game",0)</x:f>
        <x:v>6</x:v>
      </x:c>
      <x:c r="AW14" t="str">
        <x:f>_xlfn.XLOOKUP($A14,Games!$A$2:$A$18,Games!$R$2:$R$18,"Missing game",0)</x:f>
        <x:v>Soldier Field</x:v>
      </x:c>
    </x:row>
    <x:row r="15">
      <x:c r="A15" t="str">
        <x:v>2025_01_MIN_CHI</x:v>
      </x:c>
      <x:c r="B15" t="n">
        <x:v>341</x:v>
      </x:c>
      <x:c r="C15" t="n">
        <x:v>1</x:v>
      </x:c>
      <x:c r="D15" t="str">
        <x:v>08:50</x:v>
      </x:c>
      <x:c r="E15"/>
      <x:c r="F15" t="n">
        <x:v>0</x:v>
      </x:c>
      <x:c r="G15"/>
      <x:c r="H15"/>
      <x:c r="I15"/>
      <x:c r="J15"/>
      <x:c r="K15" t="str">
        <x:v>Timeout #1 by CHI at 08:50.</x:v>
      </x:c>
      <x:c r="L15" t="str">
        <x:v>no_play</x:v>
      </x:c>
      <x:c r="M15" t="n">
        <x:v>0</x:v>
      </x:c>
      <x:c r="N15" t="n">
        <x:v>0</x:v>
      </x:c>
      <x:c r="O15" t="n">
        <x:v>0</x:v>
      </x:c>
      <x:c r="P15"/>
      <x:c r="Q15"/>
      <x:c r="R15"/>
      <x:c r="S15"/>
      <x:c r="T15"/>
      <x:c r="U15"/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/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f>_xlfn.XLOOKUP($A15,Games!$A$2:$A$18,Games!$B$2:$B$18,"Missing game",0)</x:f>
        <x:v>2025</x:v>
      </x:c>
      <x:c r="AH15" t="str">
        <x:f>_xlfn.XLOOKUP($A15,Games!$A$2:$A$18,Games!$C$2:$C$18,"Missing game",0)</x:f>
        <x:v>REG</x:v>
      </x:c>
      <x:c r="AI15" t="n">
        <x:f>_xlfn.XLOOKUP($A15,Games!$A$2:$A$18,Games!$D$2:$D$18,"Missing game",0)</x:f>
        <x:v>1</x:v>
      </x:c>
      <x:c r="AJ15" s="1" t="n">
        <x:f>_xlfn.XLOOKUP($A15,Games!$A$2:$A$18,Games!$E$2:$E$18,"Missing game",0)</x:f>
        <x:v>45908</x:v>
      </x:c>
      <x:c r="AK15" t="str">
        <x:f>_xlfn.XLOOKUP($A15,Games!$A$2:$A$18,Games!$F$2:$F$18,"Missing game",0)</x:f>
        <x:v>Monday</x:v>
      </x:c>
      <x:c r="AL15" t="str">
        <x:f>_xlfn.XLOOKUP($A15,Games!$A$2:$A$18,Games!$G$2:$G$18,"Missing game",0)</x:f>
        <x:v>MIN</x:v>
      </x:c>
      <x:c r="AM15" t="n">
        <x:f>_xlfn.XLOOKUP($A15,Games!$A$2:$A$18,Games!$H$2:$H$18,"Missing game",0)</x:f>
        <x:v>27</x:v>
      </x:c>
      <x:c r="AN15" t="str">
        <x:f>_xlfn.XLOOKUP($A15,Games!$A$2:$A$18,Games!$I$2:$I$18,"Missing game",0)</x:f>
        <x:v>CHI</x:v>
      </x:c>
      <x:c r="AO15" t="n">
        <x:f>_xlfn.XLOOKUP($A15,Games!$A$2:$A$18,Games!$J$2:$J$18,"Missing game",0)</x:f>
        <x:v>24</x:v>
      </x:c>
      <x:c r="AP15" t="n">
        <x:f>_xlfn.XLOOKUP($A15,Games!$A$2:$A$18,Games!$K$2:$K$18,"Missing game",0)</x:f>
        <x:v>-3</x:v>
      </x:c>
      <x:c r="AQ15" t="n">
        <x:f>_xlfn.XLOOKUP($A15,Games!$A$2:$A$18,Games!$L$2:$L$18,"Missing game",0)</x:f>
        <x:v>51</x:v>
      </x:c>
      <x:c r="AR15" t="n">
        <x:f>_xlfn.XLOOKUP($A15,Games!$A$2:$A$18,Games!$M$2:$M$18,"Missing game",0)</x:f>
        <x:v>0</x:v>
      </x:c>
      <x:c r="AS15" t="str">
        <x:f>_xlfn.XLOOKUP($A15,Games!$A$2:$A$18,Games!$N$2:$N$18,"Missing game",0)</x:f>
        <x:v>outdoors</x:v>
      </x:c>
      <x:c r="AT15" t="str">
        <x:f>_xlfn.XLOOKUP($A15,Games!$A$2:$A$18,Games!$O$2:$O$18,"Missing game",0)</x:f>
        <x:v>grass</x:v>
      </x:c>
      <x:c r="AU15" t="n">
        <x:f>_xlfn.XLOOKUP($A15,Games!$A$2:$A$18,Games!$P$2:$P$18,"Missing game",0)</x:f>
        <x:v>68</x:v>
      </x:c>
      <x:c r="AV15" t="n">
        <x:f>_xlfn.XLOOKUP($A15,Games!$A$2:$A$18,Games!$Q$2:$Q$18,"Missing game",0)</x:f>
        <x:v>6</x:v>
      </x:c>
      <x:c r="AW15" t="str">
        <x:f>_xlfn.XLOOKUP($A15,Games!$A$2:$A$18,Games!$R$2:$R$18,"Missing game",0)</x:f>
        <x:v>Soldier Field</x:v>
      </x:c>
    </x:row>
    <x:row r="16">
      <x:c r="A16" t="str">
        <x:v>2025_01_MIN_CHI</x:v>
      </x:c>
      <x:c r="B16" t="n">
        <x:v>366</x:v>
      </x:c>
      <x:c r="C16" t="n">
        <x:v>1</x:v>
      </x:c>
      <x:c r="D16" t="str">
        <x:v>08:29</x:v>
      </x:c>
      <x:c r="E16" t="n">
        <x:v>1</x:v>
      </x:c>
      <x:c r="F16" t="n">
        <x:v>10</x:v>
      </x:c>
      <x:c r="G16" t="str">
        <x:v>CHI</x:v>
      </x:c>
      <x:c r="H16" t="str">
        <x:v>MIN</x:v>
      </x:c>
      <x:c r="I16" t="str">
        <x:v>MIN</x:v>
      </x:c>
      <x:c r="J16" t="n">
        <x:v>13</x:v>
      </x:c>
      <x:c r="K16" t="str">
        <x:v>(8:29) (No Huddle) 18-C.Williams pass short left to 14-O.Zaccheaus to MIN 6 for 7 yards (8-J.Okudah).</x:v>
      </x:c>
      <x:c r="L16" t="str">
        <x:v>pass</x:v>
      </x:c>
      <x:c r="M16" t="n">
        <x:v>7</x:v>
      </x:c>
      <x:c r="N16" t="n">
        <x:v>0</x:v>
      </x:c>
      <x:c r="O16" t="n">
        <x:v>1</x:v>
      </x:c>
      <x:c r="P16" t="str">
        <x:v>short</x:v>
      </x:c>
      <x:c r="Q16" t="str">
        <x:v>left</x:v>
      </x:c>
      <x:c r="R16" t="n">
        <x:v>3</x:v>
      </x:c>
      <x:c r="S16" t="n">
        <x:v>4</x:v>
      </x:c>
      <x:c r="T16"/>
      <x:c r="U16"/>
      <x:c r="V16" t="n">
        <x:v>1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/>
      <x:c r="AC16" t="n">
        <x:v>0</x:v>
      </x:c>
      <x:c r="AD16" t="n">
        <x:v>0.3874601889983751</x:v>
      </x:c>
      <x:c r="AE16" t="n">
        <x:v>1</x:v>
      </x:c>
      <x:c r="AF16" t="n">
        <x:v>0.012043654918670654</x:v>
      </x:c>
      <x:c r="AG16" t="n">
        <x:f>_xlfn.XLOOKUP($A16,Games!$A$2:$A$18,Games!$B$2:$B$18,"Missing game",0)</x:f>
        <x:v>2025</x:v>
      </x:c>
      <x:c r="AH16" t="str">
        <x:f>_xlfn.XLOOKUP($A16,Games!$A$2:$A$18,Games!$C$2:$C$18,"Missing game",0)</x:f>
        <x:v>REG</x:v>
      </x:c>
      <x:c r="AI16" t="n">
        <x:f>_xlfn.XLOOKUP($A16,Games!$A$2:$A$18,Games!$D$2:$D$18,"Missing game",0)</x:f>
        <x:v>1</x:v>
      </x:c>
      <x:c r="AJ16" s="1" t="n">
        <x:f>_xlfn.XLOOKUP($A16,Games!$A$2:$A$18,Games!$E$2:$E$18,"Missing game",0)</x:f>
        <x:v>45908</x:v>
      </x:c>
      <x:c r="AK16" t="str">
        <x:f>_xlfn.XLOOKUP($A16,Games!$A$2:$A$18,Games!$F$2:$F$18,"Missing game",0)</x:f>
        <x:v>Monday</x:v>
      </x:c>
      <x:c r="AL16" t="str">
        <x:f>_xlfn.XLOOKUP($A16,Games!$A$2:$A$18,Games!$G$2:$G$18,"Missing game",0)</x:f>
        <x:v>MIN</x:v>
      </x:c>
      <x:c r="AM16" t="n">
        <x:f>_xlfn.XLOOKUP($A16,Games!$A$2:$A$18,Games!$H$2:$H$18,"Missing game",0)</x:f>
        <x:v>27</x:v>
      </x:c>
      <x:c r="AN16" t="str">
        <x:f>_xlfn.XLOOKUP($A16,Games!$A$2:$A$18,Games!$I$2:$I$18,"Missing game",0)</x:f>
        <x:v>CHI</x:v>
      </x:c>
      <x:c r="AO16" t="n">
        <x:f>_xlfn.XLOOKUP($A16,Games!$A$2:$A$18,Games!$J$2:$J$18,"Missing game",0)</x:f>
        <x:v>24</x:v>
      </x:c>
      <x:c r="AP16" t="n">
        <x:f>_xlfn.XLOOKUP($A16,Games!$A$2:$A$18,Games!$K$2:$K$18,"Missing game",0)</x:f>
        <x:v>-3</x:v>
      </x:c>
      <x:c r="AQ16" t="n">
        <x:f>_xlfn.XLOOKUP($A16,Games!$A$2:$A$18,Games!$L$2:$L$18,"Missing game",0)</x:f>
        <x:v>51</x:v>
      </x:c>
      <x:c r="AR16" t="n">
        <x:f>_xlfn.XLOOKUP($A16,Games!$A$2:$A$18,Games!$M$2:$M$18,"Missing game",0)</x:f>
        <x:v>0</x:v>
      </x:c>
      <x:c r="AS16" t="str">
        <x:f>_xlfn.XLOOKUP($A16,Games!$A$2:$A$18,Games!$N$2:$N$18,"Missing game",0)</x:f>
        <x:v>outdoors</x:v>
      </x:c>
      <x:c r="AT16" t="str">
        <x:f>_xlfn.XLOOKUP($A16,Games!$A$2:$A$18,Games!$O$2:$O$18,"Missing game",0)</x:f>
        <x:v>grass</x:v>
      </x:c>
      <x:c r="AU16" t="n">
        <x:f>_xlfn.XLOOKUP($A16,Games!$A$2:$A$18,Games!$P$2:$P$18,"Missing game",0)</x:f>
        <x:v>68</x:v>
      </x:c>
      <x:c r="AV16" t="n">
        <x:f>_xlfn.XLOOKUP($A16,Games!$A$2:$A$18,Games!$Q$2:$Q$18,"Missing game",0)</x:f>
        <x:v>6</x:v>
      </x:c>
      <x:c r="AW16" t="str">
        <x:f>_xlfn.XLOOKUP($A16,Games!$A$2:$A$18,Games!$R$2:$R$18,"Missing game",0)</x:f>
        <x:v>Soldier Field</x:v>
      </x:c>
    </x:row>
    <x:row r="17">
      <x:c r="A17" t="str">
        <x:v>2025_01_MIN_CHI</x:v>
      </x:c>
      <x:c r="B17" t="n">
        <x:v>391</x:v>
      </x:c>
      <x:c r="C17" t="n">
        <x:v>1</x:v>
      </x:c>
      <x:c r="D17" t="str">
        <x:v>07:52</x:v>
      </x:c>
      <x:c r="E17" t="n">
        <x:v>2</x:v>
      </x:c>
      <x:c r="F17" t="n">
        <x:v>3</x:v>
      </x:c>
      <x:c r="G17" t="str">
        <x:v>CHI</x:v>
      </x:c>
      <x:c r="H17" t="str">
        <x:v>MIN</x:v>
      </x:c>
      <x:c r="I17" t="str">
        <x:v>MIN</x:v>
      </x:c>
      <x:c r="J17" t="n">
        <x:v>6</x:v>
      </x:c>
      <x:c r="K17" t="str">
        <x:v>(7:52) 4-D.Swift left tackle to MIN 9 for -3 yards (50-L.Rodriguez).</x:v>
      </x:c>
      <x:c r="L17" t="str">
        <x:v>run</x:v>
      </x:c>
      <x:c r="M17" t="n">
        <x:v>-3</x:v>
      </x:c>
      <x:c r="N17" t="n">
        <x:v>0</x:v>
      </x:c>
      <x:c r="O17" t="n">
        <x:v>0</x:v>
      </x:c>
      <x:c r="P17"/>
      <x:c r="Q17"/>
      <x:c r="R17"/>
      <x:c r="S17"/>
      <x:c r="T17" t="str">
        <x:v>left</x:v>
      </x:c>
      <x:c r="U17" t="str">
        <x:v>tackle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/>
      <x:c r="AC17" t="n">
        <x:v>0</x:v>
      </x:c>
      <x:c r="AD17" t="n">
        <x:v>-1.3963677455321886</x:v>
      </x:c>
      <x:c r="AE17" t="n">
        <x:v>0</x:v>
      </x:c>
      <x:c r="AF17" t="n">
        <x:v>-0.030184626579284668</x:v>
      </x:c>
      <x:c r="AG17" t="n">
        <x:f>_xlfn.XLOOKUP($A17,Games!$A$2:$A$18,Games!$B$2:$B$18,"Missing game",0)</x:f>
        <x:v>2025</x:v>
      </x:c>
      <x:c r="AH17" t="str">
        <x:f>_xlfn.XLOOKUP($A17,Games!$A$2:$A$18,Games!$C$2:$C$18,"Missing game",0)</x:f>
        <x:v>REG</x:v>
      </x:c>
      <x:c r="AI17" t="n">
        <x:f>_xlfn.XLOOKUP($A17,Games!$A$2:$A$18,Games!$D$2:$D$18,"Missing game",0)</x:f>
        <x:v>1</x:v>
      </x:c>
      <x:c r="AJ17" s="1" t="n">
        <x:f>_xlfn.XLOOKUP($A17,Games!$A$2:$A$18,Games!$E$2:$E$18,"Missing game",0)</x:f>
        <x:v>45908</x:v>
      </x:c>
      <x:c r="AK17" t="str">
        <x:f>_xlfn.XLOOKUP($A17,Games!$A$2:$A$18,Games!$F$2:$F$18,"Missing game",0)</x:f>
        <x:v>Monday</x:v>
      </x:c>
      <x:c r="AL17" t="str">
        <x:f>_xlfn.XLOOKUP($A17,Games!$A$2:$A$18,Games!$G$2:$G$18,"Missing game",0)</x:f>
        <x:v>MIN</x:v>
      </x:c>
      <x:c r="AM17" t="n">
        <x:f>_xlfn.XLOOKUP($A17,Games!$A$2:$A$18,Games!$H$2:$H$18,"Missing game",0)</x:f>
        <x:v>27</x:v>
      </x:c>
      <x:c r="AN17" t="str">
        <x:f>_xlfn.XLOOKUP($A17,Games!$A$2:$A$18,Games!$I$2:$I$18,"Missing game",0)</x:f>
        <x:v>CHI</x:v>
      </x:c>
      <x:c r="AO17" t="n">
        <x:f>_xlfn.XLOOKUP($A17,Games!$A$2:$A$18,Games!$J$2:$J$18,"Missing game",0)</x:f>
        <x:v>24</x:v>
      </x:c>
      <x:c r="AP17" t="n">
        <x:f>_xlfn.XLOOKUP($A17,Games!$A$2:$A$18,Games!$K$2:$K$18,"Missing game",0)</x:f>
        <x:v>-3</x:v>
      </x:c>
      <x:c r="AQ17" t="n">
        <x:f>_xlfn.XLOOKUP($A17,Games!$A$2:$A$18,Games!$L$2:$L$18,"Missing game",0)</x:f>
        <x:v>51</x:v>
      </x:c>
      <x:c r="AR17" t="n">
        <x:f>_xlfn.XLOOKUP($A17,Games!$A$2:$A$18,Games!$M$2:$M$18,"Missing game",0)</x:f>
        <x:v>0</x:v>
      </x:c>
      <x:c r="AS17" t="str">
        <x:f>_xlfn.XLOOKUP($A17,Games!$A$2:$A$18,Games!$N$2:$N$18,"Missing game",0)</x:f>
        <x:v>outdoors</x:v>
      </x:c>
      <x:c r="AT17" t="str">
        <x:f>_xlfn.XLOOKUP($A17,Games!$A$2:$A$18,Games!$O$2:$O$18,"Missing game",0)</x:f>
        <x:v>grass</x:v>
      </x:c>
      <x:c r="AU17" t="n">
        <x:f>_xlfn.XLOOKUP($A17,Games!$A$2:$A$18,Games!$P$2:$P$18,"Missing game",0)</x:f>
        <x:v>68</x:v>
      </x:c>
      <x:c r="AV17" t="n">
        <x:f>_xlfn.XLOOKUP($A17,Games!$A$2:$A$18,Games!$Q$2:$Q$18,"Missing game",0)</x:f>
        <x:v>6</x:v>
      </x:c>
      <x:c r="AW17" t="str">
        <x:f>_xlfn.XLOOKUP($A17,Games!$A$2:$A$18,Games!$R$2:$R$18,"Missing game",0)</x:f>
        <x:v>Soldier Field</x:v>
      </x:c>
    </x:row>
    <x:row r="18">
      <x:c r="A18" t="str">
        <x:v>2025_01_MIN_CHI</x:v>
      </x:c>
      <x:c r="B18" t="n">
        <x:v>403</x:v>
      </x:c>
      <x:c r="C18" t="n">
        <x:v>1</x:v>
      </x:c>
      <x:c r="D18" t="str">
        <x:v>07:52</x:v>
      </x:c>
      <x:c r="E18"/>
      <x:c r="F18" t="n">
        <x:v>0</x:v>
      </x:c>
      <x:c r="G18"/>
      <x:c r="H18"/>
      <x:c r="I18"/>
      <x:c r="J18"/>
      <x:c r="K18" t="str">
        <x:v>Timeout #1 by MIN at 07:52.</x:v>
      </x:c>
      <x:c r="L18" t="str">
        <x:v>no_play</x:v>
      </x:c>
      <x:c r="M18" t="n">
        <x:v>0</x:v>
      </x:c>
      <x:c r="N18" t="n">
        <x:v>0</x:v>
      </x:c>
      <x:c r="O18" t="n">
        <x:v>0</x:v>
      </x:c>
      <x:c r="P18"/>
      <x:c r="Q18"/>
      <x:c r="R18"/>
      <x:c r="S18"/>
      <x:c r="T18"/>
      <x:c r="U18"/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/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f>_xlfn.XLOOKUP($A18,Games!$A$2:$A$18,Games!$B$2:$B$18,"Missing game",0)</x:f>
        <x:v>2025</x:v>
      </x:c>
      <x:c r="AH18" t="str">
        <x:f>_xlfn.XLOOKUP($A18,Games!$A$2:$A$18,Games!$C$2:$C$18,"Missing game",0)</x:f>
        <x:v>REG</x:v>
      </x:c>
      <x:c r="AI18" t="n">
        <x:f>_xlfn.XLOOKUP($A18,Games!$A$2:$A$18,Games!$D$2:$D$18,"Missing game",0)</x:f>
        <x:v>1</x:v>
      </x:c>
      <x:c r="AJ18" s="1" t="n">
        <x:f>_xlfn.XLOOKUP($A18,Games!$A$2:$A$18,Games!$E$2:$E$18,"Missing game",0)</x:f>
        <x:v>45908</x:v>
      </x:c>
      <x:c r="AK18" t="str">
        <x:f>_xlfn.XLOOKUP($A18,Games!$A$2:$A$18,Games!$F$2:$F$18,"Missing game",0)</x:f>
        <x:v>Monday</x:v>
      </x:c>
      <x:c r="AL18" t="str">
        <x:f>_xlfn.XLOOKUP($A18,Games!$A$2:$A$18,Games!$G$2:$G$18,"Missing game",0)</x:f>
        <x:v>MIN</x:v>
      </x:c>
      <x:c r="AM18" t="n">
        <x:f>_xlfn.XLOOKUP($A18,Games!$A$2:$A$18,Games!$H$2:$H$18,"Missing game",0)</x:f>
        <x:v>27</x:v>
      </x:c>
      <x:c r="AN18" t="str">
        <x:f>_xlfn.XLOOKUP($A18,Games!$A$2:$A$18,Games!$I$2:$I$18,"Missing game",0)</x:f>
        <x:v>CHI</x:v>
      </x:c>
      <x:c r="AO18" t="n">
        <x:f>_xlfn.XLOOKUP($A18,Games!$A$2:$A$18,Games!$J$2:$J$18,"Missing game",0)</x:f>
        <x:v>24</x:v>
      </x:c>
      <x:c r="AP18" t="n">
        <x:f>_xlfn.XLOOKUP($A18,Games!$A$2:$A$18,Games!$K$2:$K$18,"Missing game",0)</x:f>
        <x:v>-3</x:v>
      </x:c>
      <x:c r="AQ18" t="n">
        <x:f>_xlfn.XLOOKUP($A18,Games!$A$2:$A$18,Games!$L$2:$L$18,"Missing game",0)</x:f>
        <x:v>51</x:v>
      </x:c>
      <x:c r="AR18" t="n">
        <x:f>_xlfn.XLOOKUP($A18,Games!$A$2:$A$18,Games!$M$2:$M$18,"Missing game",0)</x:f>
        <x:v>0</x:v>
      </x:c>
      <x:c r="AS18" t="str">
        <x:f>_xlfn.XLOOKUP($A18,Games!$A$2:$A$18,Games!$N$2:$N$18,"Missing game",0)</x:f>
        <x:v>outdoors</x:v>
      </x:c>
      <x:c r="AT18" t="str">
        <x:f>_xlfn.XLOOKUP($A18,Games!$A$2:$A$18,Games!$O$2:$O$18,"Missing game",0)</x:f>
        <x:v>grass</x:v>
      </x:c>
      <x:c r="AU18" t="n">
        <x:f>_xlfn.XLOOKUP($A18,Games!$A$2:$A$18,Games!$P$2:$P$18,"Missing game",0)</x:f>
        <x:v>68</x:v>
      </x:c>
      <x:c r="AV18" t="n">
        <x:f>_xlfn.XLOOKUP($A18,Games!$A$2:$A$18,Games!$Q$2:$Q$18,"Missing game",0)</x:f>
        <x:v>6</x:v>
      </x:c>
      <x:c r="AW18" t="str">
        <x:f>_xlfn.XLOOKUP($A18,Games!$A$2:$A$18,Games!$R$2:$R$18,"Missing game",0)</x:f>
        <x:v>Soldier Field</x:v>
      </x:c>
    </x:row>
    <x:row r="19">
      <x:c r="A19" t="str">
        <x:v>2025_01_MIN_CHI</x:v>
      </x:c>
      <x:c r="B19" t="n">
        <x:v>420</x:v>
      </x:c>
      <x:c r="C19" t="n">
        <x:v>1</x:v>
      </x:c>
      <x:c r="D19" t="str">
        <x:v>07:12</x:v>
      </x:c>
      <x:c r="E19" t="n">
        <x:v>3</x:v>
      </x:c>
      <x:c r="F19" t="n">
        <x:v>6</x:v>
      </x:c>
      <x:c r="G19" t="str">
        <x:v>CHI</x:v>
      </x:c>
      <x:c r="H19" t="str">
        <x:v>MIN</x:v>
      </x:c>
      <x:c r="I19" t="str">
        <x:v>MIN</x:v>
      </x:c>
      <x:c r="J19" t="n">
        <x:v>9</x:v>
      </x:c>
      <x:c r="K19" t="str">
        <x:v>(7:12) (Shotgun) 18-C.Williams scrambles left end for 9 yards, TOUCHDOWN.</x:v>
      </x:c>
      <x:c r="L19" t="str">
        <x:v>run</x:v>
      </x:c>
      <x:c r="M19" t="n">
        <x:v>9</x:v>
      </x:c>
      <x:c r="N19" t="n">
        <x:v>1</x:v>
      </x:c>
      <x:c r="O19" t="n">
        <x:v>0</x:v>
      </x:c>
      <x:c r="P19"/>
      <x:c r="Q19"/>
      <x:c r="R19"/>
      <x:c r="S19"/>
      <x:c r="T19" t="str">
        <x:v>left</x:v>
      </x:c>
      <x:c r="U19" t="str">
        <x:v>end</x:v>
      </x:c>
      <x:c r="V19" t="n">
        <x:v>0</x:v>
      </x:c>
      <x:c r="W19" t="n">
        <x:v>1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/>
      <x:c r="AC19" t="n">
        <x:v>1</x:v>
      </x:c>
      <x:c r="AD19" t="n">
        <x:v>2.817259941773955</x:v>
      </x:c>
      <x:c r="AE19" t="n">
        <x:v>1</x:v>
      </x:c>
      <x:c r="AF19" t="n">
        <x:v>0.05758909975506654</x:v>
      </x:c>
      <x:c r="AG19" t="n">
        <x:f>_xlfn.XLOOKUP($A19,Games!$A$2:$A$18,Games!$B$2:$B$18,"Missing game",0)</x:f>
        <x:v>2025</x:v>
      </x:c>
      <x:c r="AH19" t="str">
        <x:f>_xlfn.XLOOKUP($A19,Games!$A$2:$A$18,Games!$C$2:$C$18,"Missing game",0)</x:f>
        <x:v>REG</x:v>
      </x:c>
      <x:c r="AI19" t="n">
        <x:f>_xlfn.XLOOKUP($A19,Games!$A$2:$A$18,Games!$D$2:$D$18,"Missing game",0)</x:f>
        <x:v>1</x:v>
      </x:c>
      <x:c r="AJ19" s="1" t="n">
        <x:f>_xlfn.XLOOKUP($A19,Games!$A$2:$A$18,Games!$E$2:$E$18,"Missing game",0)</x:f>
        <x:v>45908</x:v>
      </x:c>
      <x:c r="AK19" t="str">
        <x:f>_xlfn.XLOOKUP($A19,Games!$A$2:$A$18,Games!$F$2:$F$18,"Missing game",0)</x:f>
        <x:v>Monday</x:v>
      </x:c>
      <x:c r="AL19" t="str">
        <x:f>_xlfn.XLOOKUP($A19,Games!$A$2:$A$18,Games!$G$2:$G$18,"Missing game",0)</x:f>
        <x:v>MIN</x:v>
      </x:c>
      <x:c r="AM19" t="n">
        <x:f>_xlfn.XLOOKUP($A19,Games!$A$2:$A$18,Games!$H$2:$H$18,"Missing game",0)</x:f>
        <x:v>27</x:v>
      </x:c>
      <x:c r="AN19" t="str">
        <x:f>_xlfn.XLOOKUP($A19,Games!$A$2:$A$18,Games!$I$2:$I$18,"Missing game",0)</x:f>
        <x:v>CHI</x:v>
      </x:c>
      <x:c r="AO19" t="n">
        <x:f>_xlfn.XLOOKUP($A19,Games!$A$2:$A$18,Games!$J$2:$J$18,"Missing game",0)</x:f>
        <x:v>24</x:v>
      </x:c>
      <x:c r="AP19" t="n">
        <x:f>_xlfn.XLOOKUP($A19,Games!$A$2:$A$18,Games!$K$2:$K$18,"Missing game",0)</x:f>
        <x:v>-3</x:v>
      </x:c>
      <x:c r="AQ19" t="n">
        <x:f>_xlfn.XLOOKUP($A19,Games!$A$2:$A$18,Games!$L$2:$L$18,"Missing game",0)</x:f>
        <x:v>51</x:v>
      </x:c>
      <x:c r="AR19" t="n">
        <x:f>_xlfn.XLOOKUP($A19,Games!$A$2:$A$18,Games!$M$2:$M$18,"Missing game",0)</x:f>
        <x:v>0</x:v>
      </x:c>
      <x:c r="AS19" t="str">
        <x:f>_xlfn.XLOOKUP($A19,Games!$A$2:$A$18,Games!$N$2:$N$18,"Missing game",0)</x:f>
        <x:v>outdoors</x:v>
      </x:c>
      <x:c r="AT19" t="str">
        <x:f>_xlfn.XLOOKUP($A19,Games!$A$2:$A$18,Games!$O$2:$O$18,"Missing game",0)</x:f>
        <x:v>grass</x:v>
      </x:c>
      <x:c r="AU19" t="n">
        <x:f>_xlfn.XLOOKUP($A19,Games!$A$2:$A$18,Games!$P$2:$P$18,"Missing game",0)</x:f>
        <x:v>68</x:v>
      </x:c>
      <x:c r="AV19" t="n">
        <x:f>_xlfn.XLOOKUP($A19,Games!$A$2:$A$18,Games!$Q$2:$Q$18,"Missing game",0)</x:f>
        <x:v>6</x:v>
      </x:c>
      <x:c r="AW19" t="str">
        <x:f>_xlfn.XLOOKUP($A19,Games!$A$2:$A$18,Games!$R$2:$R$18,"Missing game",0)</x:f>
        <x:v>Soldier Field</x:v>
      </x:c>
    </x:row>
    <x:row r="20">
      <x:c r="A20" t="str">
        <x:v>2025_01_MIN_CHI</x:v>
      </x:c>
      <x:c r="B20" t="n">
        <x:v>443</x:v>
      </x:c>
      <x:c r="C20" t="n">
        <x:v>1</x:v>
      </x:c>
      <x:c r="D20" t="str">
        <x:v>07:04</x:v>
      </x:c>
      <x:c r="E20"/>
      <x:c r="F20" t="n">
        <x:v>0</x:v>
      </x:c>
      <x:c r="G20" t="str">
        <x:v>CHI</x:v>
      </x:c>
      <x:c r="H20" t="str">
        <x:v>MIN</x:v>
      </x:c>
      <x:c r="I20" t="str">
        <x:v>MIN</x:v>
      </x:c>
      <x:c r="J20" t="n">
        <x:v>15</x:v>
      </x:c>
      <x:c r="K20" t="str">
        <x:v>8-C.Santos extra point is GOOD, Center-46-S.Daly, Holder-19-T.Taylor.</x:v>
      </x:c>
      <x:c r="L20" t="str">
        <x:v>extra_point</x:v>
      </x:c>
      <x:c r="M20" t="n">
        <x:v>0</x:v>
      </x:c>
      <x:c r="N20" t="n">
        <x:v>0</x:v>
      </x:c>
      <x:c r="O20" t="n">
        <x:v>0</x:v>
      </x:c>
      <x:c r="P20"/>
      <x:c r="Q20"/>
      <x:c r="R20"/>
      <x:c r="S20"/>
      <x:c r="T20"/>
      <x:c r="U20"/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/>
      <x:c r="AC20" t="n">
        <x:v>0</x:v>
      </x:c>
      <x:c r="AD20" t="n">
        <x:v>0.06757300310763314</x:v>
      </x:c>
      <x:c r="AE20" t="n">
        <x:v>1</x:v>
      </x:c>
      <x:c r="AF20" t="n">
        <x:v>0.0015778830148995837</x:v>
      </x:c>
      <x:c r="AG20" t="n">
        <x:f>_xlfn.XLOOKUP($A20,Games!$A$2:$A$18,Games!$B$2:$B$18,"Missing game",0)</x:f>
        <x:v>2025</x:v>
      </x:c>
      <x:c r="AH20" t="str">
        <x:f>_xlfn.XLOOKUP($A20,Games!$A$2:$A$18,Games!$C$2:$C$18,"Missing game",0)</x:f>
        <x:v>REG</x:v>
      </x:c>
      <x:c r="AI20" t="n">
        <x:f>_xlfn.XLOOKUP($A20,Games!$A$2:$A$18,Games!$D$2:$D$18,"Missing game",0)</x:f>
        <x:v>1</x:v>
      </x:c>
      <x:c r="AJ20" s="1" t="n">
        <x:f>_xlfn.XLOOKUP($A20,Games!$A$2:$A$18,Games!$E$2:$E$18,"Missing game",0)</x:f>
        <x:v>45908</x:v>
      </x:c>
      <x:c r="AK20" t="str">
        <x:f>_xlfn.XLOOKUP($A20,Games!$A$2:$A$18,Games!$F$2:$F$18,"Missing game",0)</x:f>
        <x:v>Monday</x:v>
      </x:c>
      <x:c r="AL20" t="str">
        <x:f>_xlfn.XLOOKUP($A20,Games!$A$2:$A$18,Games!$G$2:$G$18,"Missing game",0)</x:f>
        <x:v>MIN</x:v>
      </x:c>
      <x:c r="AM20" t="n">
        <x:f>_xlfn.XLOOKUP($A20,Games!$A$2:$A$18,Games!$H$2:$H$18,"Missing game",0)</x:f>
        <x:v>27</x:v>
      </x:c>
      <x:c r="AN20" t="str">
        <x:f>_xlfn.XLOOKUP($A20,Games!$A$2:$A$18,Games!$I$2:$I$18,"Missing game",0)</x:f>
        <x:v>CHI</x:v>
      </x:c>
      <x:c r="AO20" t="n">
        <x:f>_xlfn.XLOOKUP($A20,Games!$A$2:$A$18,Games!$J$2:$J$18,"Missing game",0)</x:f>
        <x:v>24</x:v>
      </x:c>
      <x:c r="AP20" t="n">
        <x:f>_xlfn.XLOOKUP($A20,Games!$A$2:$A$18,Games!$K$2:$K$18,"Missing game",0)</x:f>
        <x:v>-3</x:v>
      </x:c>
      <x:c r="AQ20" t="n">
        <x:f>_xlfn.XLOOKUP($A20,Games!$A$2:$A$18,Games!$L$2:$L$18,"Missing game",0)</x:f>
        <x:v>51</x:v>
      </x:c>
      <x:c r="AR20" t="n">
        <x:f>_xlfn.XLOOKUP($A20,Games!$A$2:$A$18,Games!$M$2:$M$18,"Missing game",0)</x:f>
        <x:v>0</x:v>
      </x:c>
      <x:c r="AS20" t="str">
        <x:f>_xlfn.XLOOKUP($A20,Games!$A$2:$A$18,Games!$N$2:$N$18,"Missing game",0)</x:f>
        <x:v>outdoors</x:v>
      </x:c>
      <x:c r="AT20" t="str">
        <x:f>_xlfn.XLOOKUP($A20,Games!$A$2:$A$18,Games!$O$2:$O$18,"Missing game",0)</x:f>
        <x:v>grass</x:v>
      </x:c>
      <x:c r="AU20" t="n">
        <x:f>_xlfn.XLOOKUP($A20,Games!$A$2:$A$18,Games!$P$2:$P$18,"Missing game",0)</x:f>
        <x:v>68</x:v>
      </x:c>
      <x:c r="AV20" t="n">
        <x:f>_xlfn.XLOOKUP($A20,Games!$A$2:$A$18,Games!$Q$2:$Q$18,"Missing game",0)</x:f>
        <x:v>6</x:v>
      </x:c>
      <x:c r="AW20" t="str">
        <x:f>_xlfn.XLOOKUP($A20,Games!$A$2:$A$18,Games!$R$2:$R$18,"Missing game",0)</x:f>
        <x:v>Soldier Field</x:v>
      </x:c>
    </x:row>
    <x:row r="21">
      <x:c r="A21" t="str">
        <x:v>2025_01_MIN_CHI</x:v>
      </x:c>
      <x:c r="B21" t="n">
        <x:v>458</x:v>
      </x:c>
      <x:c r="C21" t="n">
        <x:v>1</x:v>
      </x:c>
      <x:c r="D21" t="str">
        <x:v>07:04</x:v>
      </x:c>
      <x:c r="E21"/>
      <x:c r="F21" t="n">
        <x:v>0</x:v>
      </x:c>
      <x:c r="G21" t="str">
        <x:v>MIN</x:v>
      </x:c>
      <x:c r="H21" t="str">
        <x:v>CHI</x:v>
      </x:c>
      <x:c r="I21" t="str">
        <x:v>CHI</x:v>
      </x:c>
      <x:c r="J21" t="n">
        <x:v>35</x:v>
      </x:c>
      <x:c r="K21" t="str">
        <x:v>8-C.Santos kicks 65 yards from CHI 35 to MIN 0. 4-M.Price to MIN 24 for 24 yards (92-D.Hardy).</x:v>
      </x:c>
      <x:c r="L21" t="str">
        <x:v>kickoff</x:v>
      </x:c>
      <x:c r="M21" t="n">
        <x:v>0</x:v>
      </x:c>
      <x:c r="N21" t="n">
        <x:v>0</x:v>
      </x:c>
      <x:c r="O21" t="n">
        <x:v>0</x:v>
      </x:c>
      <x:c r="P21"/>
      <x:c r="Q21"/>
      <x:c r="R21"/>
      <x:c r="S21"/>
      <x:c r="T21"/>
      <x:c r="U21"/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/>
      <x:c r="AC21" t="n">
        <x:v>0</x:v>
      </x:c>
      <x:c r="AD21" t="n">
        <x:v>-0.15562524506822228</x:v>
      </x:c>
      <x:c r="AE21" t="n">
        <x:v>0</x:v>
      </x:c>
      <x:c r="AF21" t="n">
        <x:v>0</x:v>
      </x:c>
      <x:c r="AG21" t="n">
        <x:f>_xlfn.XLOOKUP($A21,Games!$A$2:$A$18,Games!$B$2:$B$18,"Missing game",0)</x:f>
        <x:v>2025</x:v>
      </x:c>
      <x:c r="AH21" t="str">
        <x:f>_xlfn.XLOOKUP($A21,Games!$A$2:$A$18,Games!$C$2:$C$18,"Missing game",0)</x:f>
        <x:v>REG</x:v>
      </x:c>
      <x:c r="AI21" t="n">
        <x:f>_xlfn.XLOOKUP($A21,Games!$A$2:$A$18,Games!$D$2:$D$18,"Missing game",0)</x:f>
        <x:v>1</x:v>
      </x:c>
      <x:c r="AJ21" s="1" t="n">
        <x:f>_xlfn.XLOOKUP($A21,Games!$A$2:$A$18,Games!$E$2:$E$18,"Missing game",0)</x:f>
        <x:v>45908</x:v>
      </x:c>
      <x:c r="AK21" t="str">
        <x:f>_xlfn.XLOOKUP($A21,Games!$A$2:$A$18,Games!$F$2:$F$18,"Missing game",0)</x:f>
        <x:v>Monday</x:v>
      </x:c>
      <x:c r="AL21" t="str">
        <x:f>_xlfn.XLOOKUP($A21,Games!$A$2:$A$18,Games!$G$2:$G$18,"Missing game",0)</x:f>
        <x:v>MIN</x:v>
      </x:c>
      <x:c r="AM21" t="n">
        <x:f>_xlfn.XLOOKUP($A21,Games!$A$2:$A$18,Games!$H$2:$H$18,"Missing game",0)</x:f>
        <x:v>27</x:v>
      </x:c>
      <x:c r="AN21" t="str">
        <x:f>_xlfn.XLOOKUP($A21,Games!$A$2:$A$18,Games!$I$2:$I$18,"Missing game",0)</x:f>
        <x:v>CHI</x:v>
      </x:c>
      <x:c r="AO21" t="n">
        <x:f>_xlfn.XLOOKUP($A21,Games!$A$2:$A$18,Games!$J$2:$J$18,"Missing game",0)</x:f>
        <x:v>24</x:v>
      </x:c>
      <x:c r="AP21" t="n">
        <x:f>_xlfn.XLOOKUP($A21,Games!$A$2:$A$18,Games!$K$2:$K$18,"Missing game",0)</x:f>
        <x:v>-3</x:v>
      </x:c>
      <x:c r="AQ21" t="n">
        <x:f>_xlfn.XLOOKUP($A21,Games!$A$2:$A$18,Games!$L$2:$L$18,"Missing game",0)</x:f>
        <x:v>51</x:v>
      </x:c>
      <x:c r="AR21" t="n">
        <x:f>_xlfn.XLOOKUP($A21,Games!$A$2:$A$18,Games!$M$2:$M$18,"Missing game",0)</x:f>
        <x:v>0</x:v>
      </x:c>
      <x:c r="AS21" t="str">
        <x:f>_xlfn.XLOOKUP($A21,Games!$A$2:$A$18,Games!$N$2:$N$18,"Missing game",0)</x:f>
        <x:v>outdoors</x:v>
      </x:c>
      <x:c r="AT21" t="str">
        <x:f>_xlfn.XLOOKUP($A21,Games!$A$2:$A$18,Games!$O$2:$O$18,"Missing game",0)</x:f>
        <x:v>grass</x:v>
      </x:c>
      <x:c r="AU21" t="n">
        <x:f>_xlfn.XLOOKUP($A21,Games!$A$2:$A$18,Games!$P$2:$P$18,"Missing game",0)</x:f>
        <x:v>68</x:v>
      </x:c>
      <x:c r="AV21" t="n">
        <x:f>_xlfn.XLOOKUP($A21,Games!$A$2:$A$18,Games!$Q$2:$Q$18,"Missing game",0)</x:f>
        <x:v>6</x:v>
      </x:c>
      <x:c r="AW21" t="str">
        <x:f>_xlfn.XLOOKUP($A21,Games!$A$2:$A$18,Games!$R$2:$R$18,"Missing game",0)</x:f>
        <x:v>Soldier Field</x:v>
      </x:c>
    </x:row>
    <x:row r="22">
      <x:c r="A22" t="str">
        <x:v>2025_01_MIN_CHI</x:v>
      </x:c>
      <x:c r="B22" t="n">
        <x:v>493</x:v>
      </x:c>
      <x:c r="C22" t="n">
        <x:v>1</x:v>
      </x:c>
      <x:c r="D22" t="str">
        <x:v>06:59</x:v>
      </x:c>
      <x:c r="E22" t="n">
        <x:v>1</x:v>
      </x:c>
      <x:c r="F22" t="n">
        <x:v>10</x:v>
      </x:c>
      <x:c r="G22" t="str">
        <x:v>MIN</x:v>
      </x:c>
      <x:c r="H22" t="str">
        <x:v>CHI</x:v>
      </x:c>
      <x:c r="I22" t="str">
        <x:v>MIN</x:v>
      </x:c>
      <x:c r="J22" t="n">
        <x:v>76</x:v>
      </x:c>
      <x:c r="K22" t="str">
        <x:v>(6:59) (Shotgun) 18-J.Jefferson right end pushed ob at MIN 28 for 4 yards (31-K.Byard).</x:v>
      </x:c>
      <x:c r="L22" t="str">
        <x:v>run</x:v>
      </x:c>
      <x:c r="M22" t="n">
        <x:v>4</x:v>
      </x:c>
      <x:c r="N22" t="n">
        <x:v>1</x:v>
      </x:c>
      <x:c r="O22" t="n">
        <x:v>0</x:v>
      </x:c>
      <x:c r="P22"/>
      <x:c r="Q22"/>
      <x:c r="R22"/>
      <x:c r="S22"/>
      <x:c r="T22" t="str">
        <x:v>right</x:v>
      </x:c>
      <x:c r="U22" t="str">
        <x:v>end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/>
      <x:c r="AC22" t="n">
        <x:v>0</x:v>
      </x:c>
      <x:c r="AD22" t="n">
        <x:v>-0.06732257106341422</x:v>
      </x:c>
      <x:c r="AE22" t="n">
        <x:v>0</x:v>
      </x:c>
      <x:c r="AF22" t="n">
        <x:v>-0.0058613121509552</x:v>
      </x:c>
      <x:c r="AG22" t="n">
        <x:f>_xlfn.XLOOKUP($A22,Games!$A$2:$A$18,Games!$B$2:$B$18,"Missing game",0)</x:f>
        <x:v>2025</x:v>
      </x:c>
      <x:c r="AH22" t="str">
        <x:f>_xlfn.XLOOKUP($A22,Games!$A$2:$A$18,Games!$C$2:$C$18,"Missing game",0)</x:f>
        <x:v>REG</x:v>
      </x:c>
      <x:c r="AI22" t="n">
        <x:f>_xlfn.XLOOKUP($A22,Games!$A$2:$A$18,Games!$D$2:$D$18,"Missing game",0)</x:f>
        <x:v>1</x:v>
      </x:c>
      <x:c r="AJ22" s="1" t="n">
        <x:f>_xlfn.XLOOKUP($A22,Games!$A$2:$A$18,Games!$E$2:$E$18,"Missing game",0)</x:f>
        <x:v>45908</x:v>
      </x:c>
      <x:c r="AK22" t="str">
        <x:f>_xlfn.XLOOKUP($A22,Games!$A$2:$A$18,Games!$F$2:$F$18,"Missing game",0)</x:f>
        <x:v>Monday</x:v>
      </x:c>
      <x:c r="AL22" t="str">
        <x:f>_xlfn.XLOOKUP($A22,Games!$A$2:$A$18,Games!$G$2:$G$18,"Missing game",0)</x:f>
        <x:v>MIN</x:v>
      </x:c>
      <x:c r="AM22" t="n">
        <x:f>_xlfn.XLOOKUP($A22,Games!$A$2:$A$18,Games!$H$2:$H$18,"Missing game",0)</x:f>
        <x:v>27</x:v>
      </x:c>
      <x:c r="AN22" t="str">
        <x:f>_xlfn.XLOOKUP($A22,Games!$A$2:$A$18,Games!$I$2:$I$18,"Missing game",0)</x:f>
        <x:v>CHI</x:v>
      </x:c>
      <x:c r="AO22" t="n">
        <x:f>_xlfn.XLOOKUP($A22,Games!$A$2:$A$18,Games!$J$2:$J$18,"Missing game",0)</x:f>
        <x:v>24</x:v>
      </x:c>
      <x:c r="AP22" t="n">
        <x:f>_xlfn.XLOOKUP($A22,Games!$A$2:$A$18,Games!$K$2:$K$18,"Missing game",0)</x:f>
        <x:v>-3</x:v>
      </x:c>
      <x:c r="AQ22" t="n">
        <x:f>_xlfn.XLOOKUP($A22,Games!$A$2:$A$18,Games!$L$2:$L$18,"Missing game",0)</x:f>
        <x:v>51</x:v>
      </x:c>
      <x:c r="AR22" t="n">
        <x:f>_xlfn.XLOOKUP($A22,Games!$A$2:$A$18,Games!$M$2:$M$18,"Missing game",0)</x:f>
        <x:v>0</x:v>
      </x:c>
      <x:c r="AS22" t="str">
        <x:f>_xlfn.XLOOKUP($A22,Games!$A$2:$A$18,Games!$N$2:$N$18,"Missing game",0)</x:f>
        <x:v>outdoors</x:v>
      </x:c>
      <x:c r="AT22" t="str">
        <x:f>_xlfn.XLOOKUP($A22,Games!$A$2:$A$18,Games!$O$2:$O$18,"Missing game",0)</x:f>
        <x:v>grass</x:v>
      </x:c>
      <x:c r="AU22" t="n">
        <x:f>_xlfn.XLOOKUP($A22,Games!$A$2:$A$18,Games!$P$2:$P$18,"Missing game",0)</x:f>
        <x:v>68</x:v>
      </x:c>
      <x:c r="AV22" t="n">
        <x:f>_xlfn.XLOOKUP($A22,Games!$A$2:$A$18,Games!$Q$2:$Q$18,"Missing game",0)</x:f>
        <x:v>6</x:v>
      </x:c>
      <x:c r="AW22" t="str">
        <x:f>_xlfn.XLOOKUP($A22,Games!$A$2:$A$18,Games!$R$2:$R$18,"Missing game",0)</x:f>
        <x:v>Soldier Field</x:v>
      </x:c>
    </x:row>
    <x:row r="23">
      <x:c r="A23" t="str">
        <x:v>2025_01_MIN_CHI</x:v>
      </x:c>
      <x:c r="B23" t="n">
        <x:v>520</x:v>
      </x:c>
      <x:c r="C23" t="n">
        <x:v>1</x:v>
      </x:c>
      <x:c r="D23" t="str">
        <x:v>06:21</x:v>
      </x:c>
      <x:c r="E23" t="n">
        <x:v>2</x:v>
      </x:c>
      <x:c r="F23" t="n">
        <x:v>6</x:v>
      </x:c>
      <x:c r="G23" t="str">
        <x:v>MIN</x:v>
      </x:c>
      <x:c r="H23" t="str">
        <x:v>CHI</x:v>
      </x:c>
      <x:c r="I23" t="str">
        <x:v>MIN</x:v>
      </x:c>
      <x:c r="J23" t="n">
        <x:v>72</x:v>
      </x:c>
      <x:c r="K23" t="str">
        <x:v>(6:21) 33-A.Jones right tackle to MIN 30 for 2 yards (50-G.Jarrett; 55-D.Odeyingbo).</x:v>
      </x:c>
      <x:c r="L23" t="str">
        <x:v>run</x:v>
      </x:c>
      <x:c r="M23" t="n">
        <x:v>2</x:v>
      </x:c>
      <x:c r="N23" t="n">
        <x:v>0</x:v>
      </x:c>
      <x:c r="O23" t="n">
        <x:v>0</x:v>
      </x:c>
      <x:c r="P23"/>
      <x:c r="Q23"/>
      <x:c r="R23"/>
      <x:c r="S23"/>
      <x:c r="T23" t="str">
        <x:v>right</x:v>
      </x:c>
      <x:c r="U23" t="str">
        <x:v>tackle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/>
      <x:c r="AC23" t="n">
        <x:v>0</x:v>
      </x:c>
      <x:c r="AD23" t="n">
        <x:v>-0.43330784514546394</x:v>
      </x:c>
      <x:c r="AE23" t="n">
        <x:v>0</x:v>
      </x:c>
      <x:c r="AF23" t="n">
        <x:v>-0.007108837366104126</x:v>
      </x:c>
      <x:c r="AG23" t="n">
        <x:f>_xlfn.XLOOKUP($A23,Games!$A$2:$A$18,Games!$B$2:$B$18,"Missing game",0)</x:f>
        <x:v>2025</x:v>
      </x:c>
      <x:c r="AH23" t="str">
        <x:f>_xlfn.XLOOKUP($A23,Games!$A$2:$A$18,Games!$C$2:$C$18,"Missing game",0)</x:f>
        <x:v>REG</x:v>
      </x:c>
      <x:c r="AI23" t="n">
        <x:f>_xlfn.XLOOKUP($A23,Games!$A$2:$A$18,Games!$D$2:$D$18,"Missing game",0)</x:f>
        <x:v>1</x:v>
      </x:c>
      <x:c r="AJ23" s="1" t="n">
        <x:f>_xlfn.XLOOKUP($A23,Games!$A$2:$A$18,Games!$E$2:$E$18,"Missing game",0)</x:f>
        <x:v>45908</x:v>
      </x:c>
      <x:c r="AK23" t="str">
        <x:f>_xlfn.XLOOKUP($A23,Games!$A$2:$A$18,Games!$F$2:$F$18,"Missing game",0)</x:f>
        <x:v>Monday</x:v>
      </x:c>
      <x:c r="AL23" t="str">
        <x:f>_xlfn.XLOOKUP($A23,Games!$A$2:$A$18,Games!$G$2:$G$18,"Missing game",0)</x:f>
        <x:v>MIN</x:v>
      </x:c>
      <x:c r="AM23" t="n">
        <x:f>_xlfn.XLOOKUP($A23,Games!$A$2:$A$18,Games!$H$2:$H$18,"Missing game",0)</x:f>
        <x:v>27</x:v>
      </x:c>
      <x:c r="AN23" t="str">
        <x:f>_xlfn.XLOOKUP($A23,Games!$A$2:$A$18,Games!$I$2:$I$18,"Missing game",0)</x:f>
        <x:v>CHI</x:v>
      </x:c>
      <x:c r="AO23" t="n">
        <x:f>_xlfn.XLOOKUP($A23,Games!$A$2:$A$18,Games!$J$2:$J$18,"Missing game",0)</x:f>
        <x:v>24</x:v>
      </x:c>
      <x:c r="AP23" t="n">
        <x:f>_xlfn.XLOOKUP($A23,Games!$A$2:$A$18,Games!$K$2:$K$18,"Missing game",0)</x:f>
        <x:v>-3</x:v>
      </x:c>
      <x:c r="AQ23" t="n">
        <x:f>_xlfn.XLOOKUP($A23,Games!$A$2:$A$18,Games!$L$2:$L$18,"Missing game",0)</x:f>
        <x:v>51</x:v>
      </x:c>
      <x:c r="AR23" t="n">
        <x:f>_xlfn.XLOOKUP($A23,Games!$A$2:$A$18,Games!$M$2:$M$18,"Missing game",0)</x:f>
        <x:v>0</x:v>
      </x:c>
      <x:c r="AS23" t="str">
        <x:f>_xlfn.XLOOKUP($A23,Games!$A$2:$A$18,Games!$N$2:$N$18,"Missing game",0)</x:f>
        <x:v>outdoors</x:v>
      </x:c>
      <x:c r="AT23" t="str">
        <x:f>_xlfn.XLOOKUP($A23,Games!$A$2:$A$18,Games!$O$2:$O$18,"Missing game",0)</x:f>
        <x:v>grass</x:v>
      </x:c>
      <x:c r="AU23" t="n">
        <x:f>_xlfn.XLOOKUP($A23,Games!$A$2:$A$18,Games!$P$2:$P$18,"Missing game",0)</x:f>
        <x:v>68</x:v>
      </x:c>
      <x:c r="AV23" t="n">
        <x:f>_xlfn.XLOOKUP($A23,Games!$A$2:$A$18,Games!$Q$2:$Q$18,"Missing game",0)</x:f>
        <x:v>6</x:v>
      </x:c>
      <x:c r="AW23" t="str">
        <x:f>_xlfn.XLOOKUP($A23,Games!$A$2:$A$18,Games!$R$2:$R$18,"Missing game",0)</x:f>
        <x:v>Soldier Field</x:v>
      </x:c>
    </x:row>
    <x:row r="24">
      <x:c r="A24" t="str">
        <x:v>2025_01_MIN_CHI</x:v>
      </x:c>
      <x:c r="B24" t="n">
        <x:v>542</x:v>
      </x:c>
      <x:c r="C24" t="n">
        <x:v>1</x:v>
      </x:c>
      <x:c r="D24" t="str">
        <x:v>05:41</x:v>
      </x:c>
      <x:c r="E24" t="n">
        <x:v>3</x:v>
      </x:c>
      <x:c r="F24" t="n">
        <x:v>4</x:v>
      </x:c>
      <x:c r="G24" t="str">
        <x:v>MIN</x:v>
      </x:c>
      <x:c r="H24" t="str">
        <x:v>CHI</x:v>
      </x:c>
      <x:c r="I24" t="str">
        <x:v>MIN</x:v>
      </x:c>
      <x:c r="J24" t="n">
        <x:v>70</x:v>
      </x:c>
      <x:c r="K24" t="str">
        <x:v>(5:41) (Shotgun) 9-J.McCarthy sacked at MIN 28 for -2 yards (55-D.Odeyingbo).</x:v>
      </x:c>
      <x:c r="L24" t="str">
        <x:v>pass</x:v>
      </x:c>
      <x:c r="M24" t="n">
        <x:v>-2</x:v>
      </x:c>
      <x:c r="N24" t="n">
        <x:v>1</x:v>
      </x:c>
      <x:c r="O24" t="n">
        <x:v>0</x:v>
      </x:c>
      <x:c r="P24"/>
      <x:c r="Q24"/>
      <x:c r="R24"/>
      <x:c r="S24"/>
      <x:c r="T24"/>
      <x:c r="U24"/>
      <x:c r="V24" t="n">
        <x:v>0</x:v>
      </x:c>
      <x:c r="W24" t="n">
        <x:v>0</x:v>
      </x:c>
      <x:c r="X24" t="n">
        <x:v>1</x:v>
      </x:c>
      <x:c r="Y24" t="n">
        <x:v>0</x:v>
      </x:c>
      <x:c r="Z24" t="n">
        <x:v>0</x:v>
      </x:c>
      <x:c r="AA24" t="n">
        <x:v>0</x:v>
      </x:c>
      <x:c r="AB24"/>
      <x:c r="AC24" t="n">
        <x:v>0</x:v>
      </x:c>
      <x:c r="AD24" t="n">
        <x:v>-1.6428987176623195</x:v>
      </x:c>
      <x:c r="AE24" t="n">
        <x:v>0</x:v>
      </x:c>
      <x:c r="AF24" t="n">
        <x:v>-0.03318473696708679</x:v>
      </x:c>
      <x:c r="AG24" t="n">
        <x:f>_xlfn.XLOOKUP($A24,Games!$A$2:$A$18,Games!$B$2:$B$18,"Missing game",0)</x:f>
        <x:v>2025</x:v>
      </x:c>
      <x:c r="AH24" t="str">
        <x:f>_xlfn.XLOOKUP($A24,Games!$A$2:$A$18,Games!$C$2:$C$18,"Missing game",0)</x:f>
        <x:v>REG</x:v>
      </x:c>
      <x:c r="AI24" t="n">
        <x:f>_xlfn.XLOOKUP($A24,Games!$A$2:$A$18,Games!$D$2:$D$18,"Missing game",0)</x:f>
        <x:v>1</x:v>
      </x:c>
      <x:c r="AJ24" s="1" t="n">
        <x:f>_xlfn.XLOOKUP($A24,Games!$A$2:$A$18,Games!$E$2:$E$18,"Missing game",0)</x:f>
        <x:v>45908</x:v>
      </x:c>
      <x:c r="AK24" t="str">
        <x:f>_xlfn.XLOOKUP($A24,Games!$A$2:$A$18,Games!$F$2:$F$18,"Missing game",0)</x:f>
        <x:v>Monday</x:v>
      </x:c>
      <x:c r="AL24" t="str">
        <x:f>_xlfn.XLOOKUP($A24,Games!$A$2:$A$18,Games!$G$2:$G$18,"Missing game",0)</x:f>
        <x:v>MIN</x:v>
      </x:c>
      <x:c r="AM24" t="n">
        <x:f>_xlfn.XLOOKUP($A24,Games!$A$2:$A$18,Games!$H$2:$H$18,"Missing game",0)</x:f>
        <x:v>27</x:v>
      </x:c>
      <x:c r="AN24" t="str">
        <x:f>_xlfn.XLOOKUP($A24,Games!$A$2:$A$18,Games!$I$2:$I$18,"Missing game",0)</x:f>
        <x:v>CHI</x:v>
      </x:c>
      <x:c r="AO24" t="n">
        <x:f>_xlfn.XLOOKUP($A24,Games!$A$2:$A$18,Games!$J$2:$J$18,"Missing game",0)</x:f>
        <x:v>24</x:v>
      </x:c>
      <x:c r="AP24" t="n">
        <x:f>_xlfn.XLOOKUP($A24,Games!$A$2:$A$18,Games!$K$2:$K$18,"Missing game",0)</x:f>
        <x:v>-3</x:v>
      </x:c>
      <x:c r="AQ24" t="n">
        <x:f>_xlfn.XLOOKUP($A24,Games!$A$2:$A$18,Games!$L$2:$L$18,"Missing game",0)</x:f>
        <x:v>51</x:v>
      </x:c>
      <x:c r="AR24" t="n">
        <x:f>_xlfn.XLOOKUP($A24,Games!$A$2:$A$18,Games!$M$2:$M$18,"Missing game",0)</x:f>
        <x:v>0</x:v>
      </x:c>
      <x:c r="AS24" t="str">
        <x:f>_xlfn.XLOOKUP($A24,Games!$A$2:$A$18,Games!$N$2:$N$18,"Missing game",0)</x:f>
        <x:v>outdoors</x:v>
      </x:c>
      <x:c r="AT24" t="str">
        <x:f>_xlfn.XLOOKUP($A24,Games!$A$2:$A$18,Games!$O$2:$O$18,"Missing game",0)</x:f>
        <x:v>grass</x:v>
      </x:c>
      <x:c r="AU24" t="n">
        <x:f>_xlfn.XLOOKUP($A24,Games!$A$2:$A$18,Games!$P$2:$P$18,"Missing game",0)</x:f>
        <x:v>68</x:v>
      </x:c>
      <x:c r="AV24" t="n">
        <x:f>_xlfn.XLOOKUP($A24,Games!$A$2:$A$18,Games!$Q$2:$Q$18,"Missing game",0)</x:f>
        <x:v>6</x:v>
      </x:c>
      <x:c r="AW24" t="str">
        <x:f>_xlfn.XLOOKUP($A24,Games!$A$2:$A$18,Games!$R$2:$R$18,"Missing game",0)</x:f>
        <x:v>Soldier Field</x:v>
      </x:c>
    </x:row>
    <x:row r="25">
      <x:c r="A25" t="str">
        <x:v>2025_01_MIN_CHI</x:v>
      </x:c>
      <x:c r="B25" t="n">
        <x:v>562</x:v>
      </x:c>
      <x:c r="C25" t="n">
        <x:v>1</x:v>
      </x:c>
      <x:c r="D25" t="str">
        <x:v>05:04</x:v>
      </x:c>
      <x:c r="E25" t="n">
        <x:v>4</x:v>
      </x:c>
      <x:c r="F25" t="n">
        <x:v>6</x:v>
      </x:c>
      <x:c r="G25" t="str">
        <x:v>MIN</x:v>
      </x:c>
      <x:c r="H25" t="str">
        <x:v>CHI</x:v>
      </x:c>
      <x:c r="I25" t="str">
        <x:v>MIN</x:v>
      </x:c>
      <x:c r="J25" t="n">
        <x:v>72</x:v>
      </x:c>
      <x:c r="K25" t="str">
        <x:v>(5:04) 17-R.Wright punts 54 yards to CHI 18, Center-42-A.DePaola. 12-D.Duvernay to CHI 25 for 7 yards (15-D.Turner; 37-T.Thomas).</x:v>
      </x:c>
      <x:c r="L25" t="str">
        <x:v>punt</x:v>
      </x:c>
      <x:c r="M25" t="n">
        <x:v>0</x:v>
      </x:c>
      <x:c r="N25" t="n">
        <x:v>0</x:v>
      </x:c>
      <x:c r="O25" t="n">
        <x:v>0</x:v>
      </x:c>
      <x:c r="P25"/>
      <x:c r="Q25"/>
      <x:c r="R25"/>
      <x:c r="S25"/>
      <x:c r="T25"/>
      <x:c r="U25"/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/>
      <x:c r="AC25" t="n">
        <x:v>0</x:v>
      </x:c>
      <x:c r="AD25" t="n">
        <x:v>0.09120887448079884</x:v>
      </x:c>
      <x:c r="AE25" t="n">
        <x:v>1</x:v>
      </x:c>
      <x:c r="AF25" t="n">
        <x:v>0.010095641016960144</x:v>
      </x:c>
      <x:c r="AG25" t="n">
        <x:f>_xlfn.XLOOKUP($A25,Games!$A$2:$A$18,Games!$B$2:$B$18,"Missing game",0)</x:f>
        <x:v>2025</x:v>
      </x:c>
      <x:c r="AH25" t="str">
        <x:f>_xlfn.XLOOKUP($A25,Games!$A$2:$A$18,Games!$C$2:$C$18,"Missing game",0)</x:f>
        <x:v>REG</x:v>
      </x:c>
      <x:c r="AI25" t="n">
        <x:f>_xlfn.XLOOKUP($A25,Games!$A$2:$A$18,Games!$D$2:$D$18,"Missing game",0)</x:f>
        <x:v>1</x:v>
      </x:c>
      <x:c r="AJ25" s="1" t="n">
        <x:f>_xlfn.XLOOKUP($A25,Games!$A$2:$A$18,Games!$E$2:$E$18,"Missing game",0)</x:f>
        <x:v>45908</x:v>
      </x:c>
      <x:c r="AK25" t="str">
        <x:f>_xlfn.XLOOKUP($A25,Games!$A$2:$A$18,Games!$F$2:$F$18,"Missing game",0)</x:f>
        <x:v>Monday</x:v>
      </x:c>
      <x:c r="AL25" t="str">
        <x:f>_xlfn.XLOOKUP($A25,Games!$A$2:$A$18,Games!$G$2:$G$18,"Missing game",0)</x:f>
        <x:v>MIN</x:v>
      </x:c>
      <x:c r="AM25" t="n">
        <x:f>_xlfn.XLOOKUP($A25,Games!$A$2:$A$18,Games!$H$2:$H$18,"Missing game",0)</x:f>
        <x:v>27</x:v>
      </x:c>
      <x:c r="AN25" t="str">
        <x:f>_xlfn.XLOOKUP($A25,Games!$A$2:$A$18,Games!$I$2:$I$18,"Missing game",0)</x:f>
        <x:v>CHI</x:v>
      </x:c>
      <x:c r="AO25" t="n">
        <x:f>_xlfn.XLOOKUP($A25,Games!$A$2:$A$18,Games!$J$2:$J$18,"Missing game",0)</x:f>
        <x:v>24</x:v>
      </x:c>
      <x:c r="AP25" t="n">
        <x:f>_xlfn.XLOOKUP($A25,Games!$A$2:$A$18,Games!$K$2:$K$18,"Missing game",0)</x:f>
        <x:v>-3</x:v>
      </x:c>
      <x:c r="AQ25" t="n">
        <x:f>_xlfn.XLOOKUP($A25,Games!$A$2:$A$18,Games!$L$2:$L$18,"Missing game",0)</x:f>
        <x:v>51</x:v>
      </x:c>
      <x:c r="AR25" t="n">
        <x:f>_xlfn.XLOOKUP($A25,Games!$A$2:$A$18,Games!$M$2:$M$18,"Missing game",0)</x:f>
        <x:v>0</x:v>
      </x:c>
      <x:c r="AS25" t="str">
        <x:f>_xlfn.XLOOKUP($A25,Games!$A$2:$A$18,Games!$N$2:$N$18,"Missing game",0)</x:f>
        <x:v>outdoors</x:v>
      </x:c>
      <x:c r="AT25" t="str">
        <x:f>_xlfn.XLOOKUP($A25,Games!$A$2:$A$18,Games!$O$2:$O$18,"Missing game",0)</x:f>
        <x:v>grass</x:v>
      </x:c>
      <x:c r="AU25" t="n">
        <x:f>_xlfn.XLOOKUP($A25,Games!$A$2:$A$18,Games!$P$2:$P$18,"Missing game",0)</x:f>
        <x:v>68</x:v>
      </x:c>
      <x:c r="AV25" t="n">
        <x:f>_xlfn.XLOOKUP($A25,Games!$A$2:$A$18,Games!$Q$2:$Q$18,"Missing game",0)</x:f>
        <x:v>6</x:v>
      </x:c>
      <x:c r="AW25" t="str">
        <x:f>_xlfn.XLOOKUP($A25,Games!$A$2:$A$18,Games!$R$2:$R$18,"Missing game",0)</x:f>
        <x:v>Soldier Field</x:v>
      </x:c>
    </x:row>
    <x:row r="26">
      <x:c r="A26" t="str">
        <x:v>2025_01_MIN_CHI</x:v>
      </x:c>
      <x:c r="B26" t="n">
        <x:v>588</x:v>
      </x:c>
      <x:c r="C26" t="n">
        <x:v>1</x:v>
      </x:c>
      <x:c r="D26" t="str">
        <x:v>04:51</x:v>
      </x:c>
      <x:c r="E26" t="n">
        <x:v>1</x:v>
      </x:c>
      <x:c r="F26" t="n">
        <x:v>10</x:v>
      </x:c>
      <x:c r="G26" t="str">
        <x:v>CHI</x:v>
      </x:c>
      <x:c r="H26" t="str">
        <x:v>MIN</x:v>
      </x:c>
      <x:c r="I26" t="str">
        <x:v>CHI</x:v>
      </x:c>
      <x:c r="J26" t="n">
        <x:v>75</x:v>
      </x:c>
      <x:c r="K26" t="str">
        <x:v>(4:51) 18-C.Williams pass short right to 4-D.Swift to CHI 26 for 1 yard (43-A.Van Ginkel).</x:v>
      </x:c>
      <x:c r="L26" t="str">
        <x:v>pass</x:v>
      </x:c>
      <x:c r="M26" t="n">
        <x:v>1</x:v>
      </x:c>
      <x:c r="N26" t="n">
        <x:v>0</x:v>
      </x:c>
      <x:c r="O26" t="n">
        <x:v>0</x:v>
      </x:c>
      <x:c r="P26" t="str">
        <x:v>short</x:v>
      </x:c>
      <x:c r="Q26" t="str">
        <x:v>right</x:v>
      </x:c>
      <x:c r="R26" t="n">
        <x:v>-3</x:v>
      </x:c>
      <x:c r="S26" t="n">
        <x:v>4</x:v>
      </x:c>
      <x:c r="T26"/>
      <x:c r="U26"/>
      <x:c r="V26" t="n">
        <x:v>1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/>
      <x:c r="AC26" t="n">
        <x:v>0</x:v>
      </x:c>
      <x:c r="AD26" t="n">
        <x:v>-0.5712025919929147</x:v>
      </x:c>
      <x:c r="AE26" t="n">
        <x:v>0</x:v>
      </x:c>
      <x:c r="AF26" t="n">
        <x:v>-0.0104636549949646</x:v>
      </x:c>
      <x:c r="AG26" t="n">
        <x:f>_xlfn.XLOOKUP($A26,Games!$A$2:$A$18,Games!$B$2:$B$18,"Missing game",0)</x:f>
        <x:v>2025</x:v>
      </x:c>
      <x:c r="AH26" t="str">
        <x:f>_xlfn.XLOOKUP($A26,Games!$A$2:$A$18,Games!$C$2:$C$18,"Missing game",0)</x:f>
        <x:v>REG</x:v>
      </x:c>
      <x:c r="AI26" t="n">
        <x:f>_xlfn.XLOOKUP($A26,Games!$A$2:$A$18,Games!$D$2:$D$18,"Missing game",0)</x:f>
        <x:v>1</x:v>
      </x:c>
      <x:c r="AJ26" s="1" t="n">
        <x:f>_xlfn.XLOOKUP($A26,Games!$A$2:$A$18,Games!$E$2:$E$18,"Missing game",0)</x:f>
        <x:v>45908</x:v>
      </x:c>
      <x:c r="AK26" t="str">
        <x:f>_xlfn.XLOOKUP($A26,Games!$A$2:$A$18,Games!$F$2:$F$18,"Missing game",0)</x:f>
        <x:v>Monday</x:v>
      </x:c>
      <x:c r="AL26" t="str">
        <x:f>_xlfn.XLOOKUP($A26,Games!$A$2:$A$18,Games!$G$2:$G$18,"Missing game",0)</x:f>
        <x:v>MIN</x:v>
      </x:c>
      <x:c r="AM26" t="n">
        <x:f>_xlfn.XLOOKUP($A26,Games!$A$2:$A$18,Games!$H$2:$H$18,"Missing game",0)</x:f>
        <x:v>27</x:v>
      </x:c>
      <x:c r="AN26" t="str">
        <x:f>_xlfn.XLOOKUP($A26,Games!$A$2:$A$18,Games!$I$2:$I$18,"Missing game",0)</x:f>
        <x:v>CHI</x:v>
      </x:c>
      <x:c r="AO26" t="n">
        <x:f>_xlfn.XLOOKUP($A26,Games!$A$2:$A$18,Games!$J$2:$J$18,"Missing game",0)</x:f>
        <x:v>24</x:v>
      </x:c>
      <x:c r="AP26" t="n">
        <x:f>_xlfn.XLOOKUP($A26,Games!$A$2:$A$18,Games!$K$2:$K$18,"Missing game",0)</x:f>
        <x:v>-3</x:v>
      </x:c>
      <x:c r="AQ26" t="n">
        <x:f>_xlfn.XLOOKUP($A26,Games!$A$2:$A$18,Games!$L$2:$L$18,"Missing game",0)</x:f>
        <x:v>51</x:v>
      </x:c>
      <x:c r="AR26" t="n">
        <x:f>_xlfn.XLOOKUP($A26,Games!$A$2:$A$18,Games!$M$2:$M$18,"Missing game",0)</x:f>
        <x:v>0</x:v>
      </x:c>
      <x:c r="AS26" t="str">
        <x:f>_xlfn.XLOOKUP($A26,Games!$A$2:$A$18,Games!$N$2:$N$18,"Missing game",0)</x:f>
        <x:v>outdoors</x:v>
      </x:c>
      <x:c r="AT26" t="str">
        <x:f>_xlfn.XLOOKUP($A26,Games!$A$2:$A$18,Games!$O$2:$O$18,"Missing game",0)</x:f>
        <x:v>grass</x:v>
      </x:c>
      <x:c r="AU26" t="n">
        <x:f>_xlfn.XLOOKUP($A26,Games!$A$2:$A$18,Games!$P$2:$P$18,"Missing game",0)</x:f>
        <x:v>68</x:v>
      </x:c>
      <x:c r="AV26" t="n">
        <x:f>_xlfn.XLOOKUP($A26,Games!$A$2:$A$18,Games!$Q$2:$Q$18,"Missing game",0)</x:f>
        <x:v>6</x:v>
      </x:c>
      <x:c r="AW26" t="str">
        <x:f>_xlfn.XLOOKUP($A26,Games!$A$2:$A$18,Games!$R$2:$R$18,"Missing game",0)</x:f>
        <x:v>Soldier Field</x:v>
      </x:c>
    </x:row>
    <x:row r="27">
      <x:c r="A27" t="str">
        <x:v>2025_01_MIN_CHI</x:v>
      </x:c>
      <x:c r="B27" t="n">
        <x:v>620</x:v>
      </x:c>
      <x:c r="C27" t="n">
        <x:v>1</x:v>
      </x:c>
      <x:c r="D27" t="str">
        <x:v>04:07</x:v>
      </x:c>
      <x:c r="E27" t="n">
        <x:v>2</x:v>
      </x:c>
      <x:c r="F27" t="n">
        <x:v>9</x:v>
      </x:c>
      <x:c r="G27" t="str">
        <x:v>CHI</x:v>
      </x:c>
      <x:c r="H27" t="str">
        <x:v>MIN</x:v>
      </x:c>
      <x:c r="I27" t="str">
        <x:v>CHI</x:v>
      </x:c>
      <x:c r="J27" t="n">
        <x:v>74</x:v>
      </x:c>
      <x:c r="K27" t="str">
        <x:v>(4:07) (Shotgun) 18-C.Williams scrambles right tackle to CHI 38 for 12 yards (43-A.Van Ginkel).</x:v>
      </x:c>
      <x:c r="L27" t="str">
        <x:v>run</x:v>
      </x:c>
      <x:c r="M27" t="n">
        <x:v>12</x:v>
      </x:c>
      <x:c r="N27" t="n">
        <x:v>1</x:v>
      </x:c>
      <x:c r="O27" t="n">
        <x:v>0</x:v>
      </x:c>
      <x:c r="P27"/>
      <x:c r="Q27"/>
      <x:c r="R27"/>
      <x:c r="S27"/>
      <x:c r="T27" t="str">
        <x:v>right</x:v>
      </x:c>
      <x:c r="U27" t="str">
        <x:v>tackle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/>
      <x:c r="AC27" t="n">
        <x:v>0</x:v>
      </x:c>
      <x:c r="AD27" t="n">
        <x:v>1.389129645889625</x:v>
      </x:c>
      <x:c r="AE27" t="n">
        <x:v>1</x:v>
      </x:c>
      <x:c r="AF27" t="n">
        <x:v>0.03672921657562256</x:v>
      </x:c>
      <x:c r="AG27" t="n">
        <x:f>_xlfn.XLOOKUP($A27,Games!$A$2:$A$18,Games!$B$2:$B$18,"Missing game",0)</x:f>
        <x:v>2025</x:v>
      </x:c>
      <x:c r="AH27" t="str">
        <x:f>_xlfn.XLOOKUP($A27,Games!$A$2:$A$18,Games!$C$2:$C$18,"Missing game",0)</x:f>
        <x:v>REG</x:v>
      </x:c>
      <x:c r="AI27" t="n">
        <x:f>_xlfn.XLOOKUP($A27,Games!$A$2:$A$18,Games!$D$2:$D$18,"Missing game",0)</x:f>
        <x:v>1</x:v>
      </x:c>
      <x:c r="AJ27" s="1" t="n">
        <x:f>_xlfn.XLOOKUP($A27,Games!$A$2:$A$18,Games!$E$2:$E$18,"Missing game",0)</x:f>
        <x:v>45908</x:v>
      </x:c>
      <x:c r="AK27" t="str">
        <x:f>_xlfn.XLOOKUP($A27,Games!$A$2:$A$18,Games!$F$2:$F$18,"Missing game",0)</x:f>
        <x:v>Monday</x:v>
      </x:c>
      <x:c r="AL27" t="str">
        <x:f>_xlfn.XLOOKUP($A27,Games!$A$2:$A$18,Games!$G$2:$G$18,"Missing game",0)</x:f>
        <x:v>MIN</x:v>
      </x:c>
      <x:c r="AM27" t="n">
        <x:f>_xlfn.XLOOKUP($A27,Games!$A$2:$A$18,Games!$H$2:$H$18,"Missing game",0)</x:f>
        <x:v>27</x:v>
      </x:c>
      <x:c r="AN27" t="str">
        <x:f>_xlfn.XLOOKUP($A27,Games!$A$2:$A$18,Games!$I$2:$I$18,"Missing game",0)</x:f>
        <x:v>CHI</x:v>
      </x:c>
      <x:c r="AO27" t="n">
        <x:f>_xlfn.XLOOKUP($A27,Games!$A$2:$A$18,Games!$J$2:$J$18,"Missing game",0)</x:f>
        <x:v>24</x:v>
      </x:c>
      <x:c r="AP27" t="n">
        <x:f>_xlfn.XLOOKUP($A27,Games!$A$2:$A$18,Games!$K$2:$K$18,"Missing game",0)</x:f>
        <x:v>-3</x:v>
      </x:c>
      <x:c r="AQ27" t="n">
        <x:f>_xlfn.XLOOKUP($A27,Games!$A$2:$A$18,Games!$L$2:$L$18,"Missing game",0)</x:f>
        <x:v>51</x:v>
      </x:c>
      <x:c r="AR27" t="n">
        <x:f>_xlfn.XLOOKUP($A27,Games!$A$2:$A$18,Games!$M$2:$M$18,"Missing game",0)</x:f>
        <x:v>0</x:v>
      </x:c>
      <x:c r="AS27" t="str">
        <x:f>_xlfn.XLOOKUP($A27,Games!$A$2:$A$18,Games!$N$2:$N$18,"Missing game",0)</x:f>
        <x:v>outdoors</x:v>
      </x:c>
      <x:c r="AT27" t="str">
        <x:f>_xlfn.XLOOKUP($A27,Games!$A$2:$A$18,Games!$O$2:$O$18,"Missing game",0)</x:f>
        <x:v>grass</x:v>
      </x:c>
      <x:c r="AU27" t="n">
        <x:f>_xlfn.XLOOKUP($A27,Games!$A$2:$A$18,Games!$P$2:$P$18,"Missing game",0)</x:f>
        <x:v>68</x:v>
      </x:c>
      <x:c r="AV27" t="n">
        <x:f>_xlfn.XLOOKUP($A27,Games!$A$2:$A$18,Games!$Q$2:$Q$18,"Missing game",0)</x:f>
        <x:v>6</x:v>
      </x:c>
      <x:c r="AW27" t="str">
        <x:f>_xlfn.XLOOKUP($A27,Games!$A$2:$A$18,Games!$R$2:$R$18,"Missing game",0)</x:f>
        <x:v>Soldier Field</x:v>
      </x:c>
    </x:row>
    <x:row r="28">
      <x:c r="A28" t="str">
        <x:v>2025_01_MIN_CHI</x:v>
      </x:c>
      <x:c r="B28" t="n">
        <x:v>642</x:v>
      </x:c>
      <x:c r="C28" t="n">
        <x:v>1</x:v>
      </x:c>
      <x:c r="D28" t="str">
        <x:v>03:22</x:v>
      </x:c>
      <x:c r="E28" t="n">
        <x:v>1</x:v>
      </x:c>
      <x:c r="F28" t="n">
        <x:v>10</x:v>
      </x:c>
      <x:c r="G28" t="str">
        <x:v>CHI</x:v>
      </x:c>
      <x:c r="H28" t="str">
        <x:v>MIN</x:v>
      </x:c>
      <x:c r="I28" t="str">
        <x:v>CHI</x:v>
      </x:c>
      <x:c r="J28" t="n">
        <x:v>62</x:v>
      </x:c>
      <x:c r="K28" t="str">
        <x:v>(3:22) 2-D.Moore up the middle to CHI 43 for 5 yards (93-J.Allen; 0-I.Pace).</x:v>
      </x:c>
      <x:c r="L28" t="str">
        <x:v>run</x:v>
      </x:c>
      <x:c r="M28" t="n">
        <x:v>5</x:v>
      </x:c>
      <x:c r="N28" t="n">
        <x:v>0</x:v>
      </x:c>
      <x:c r="O28" t="n">
        <x:v>0</x:v>
      </x:c>
      <x:c r="P28"/>
      <x:c r="Q28"/>
      <x:c r="R28"/>
      <x:c r="S28"/>
      <x:c r="T28" t="str">
        <x:v>middle</x:v>
      </x:c>
      <x:c r="U28"/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/>
      <x:c r="AC28" t="n">
        <x:v>0</x:v>
      </x:c>
      <x:c r="AD28" t="n">
        <x:v>0.0736074773594737</x:v>
      </x:c>
      <x:c r="AE28" t="n">
        <x:v>1</x:v>
      </x:c>
      <x:c r="AF28" t="n">
        <x:v>-0.0020626187324523926</x:v>
      </x:c>
      <x:c r="AG28" t="n">
        <x:f>_xlfn.XLOOKUP($A28,Games!$A$2:$A$18,Games!$B$2:$B$18,"Missing game",0)</x:f>
        <x:v>2025</x:v>
      </x:c>
      <x:c r="AH28" t="str">
        <x:f>_xlfn.XLOOKUP($A28,Games!$A$2:$A$18,Games!$C$2:$C$18,"Missing game",0)</x:f>
        <x:v>REG</x:v>
      </x:c>
      <x:c r="AI28" t="n">
        <x:f>_xlfn.XLOOKUP($A28,Games!$A$2:$A$18,Games!$D$2:$D$18,"Missing game",0)</x:f>
        <x:v>1</x:v>
      </x:c>
      <x:c r="AJ28" s="1" t="n">
        <x:f>_xlfn.XLOOKUP($A28,Games!$A$2:$A$18,Games!$E$2:$E$18,"Missing game",0)</x:f>
        <x:v>45908</x:v>
      </x:c>
      <x:c r="AK28" t="str">
        <x:f>_xlfn.XLOOKUP($A28,Games!$A$2:$A$18,Games!$F$2:$F$18,"Missing game",0)</x:f>
        <x:v>Monday</x:v>
      </x:c>
      <x:c r="AL28" t="str">
        <x:f>_xlfn.XLOOKUP($A28,Games!$A$2:$A$18,Games!$G$2:$G$18,"Missing game",0)</x:f>
        <x:v>MIN</x:v>
      </x:c>
      <x:c r="AM28" t="n">
        <x:f>_xlfn.XLOOKUP($A28,Games!$A$2:$A$18,Games!$H$2:$H$18,"Missing game",0)</x:f>
        <x:v>27</x:v>
      </x:c>
      <x:c r="AN28" t="str">
        <x:f>_xlfn.XLOOKUP($A28,Games!$A$2:$A$18,Games!$I$2:$I$18,"Missing game",0)</x:f>
        <x:v>CHI</x:v>
      </x:c>
      <x:c r="AO28" t="n">
        <x:f>_xlfn.XLOOKUP($A28,Games!$A$2:$A$18,Games!$J$2:$J$18,"Missing game",0)</x:f>
        <x:v>24</x:v>
      </x:c>
      <x:c r="AP28" t="n">
        <x:f>_xlfn.XLOOKUP($A28,Games!$A$2:$A$18,Games!$K$2:$K$18,"Missing game",0)</x:f>
        <x:v>-3</x:v>
      </x:c>
      <x:c r="AQ28" t="n">
        <x:f>_xlfn.XLOOKUP($A28,Games!$A$2:$A$18,Games!$L$2:$L$18,"Missing game",0)</x:f>
        <x:v>51</x:v>
      </x:c>
      <x:c r="AR28" t="n">
        <x:f>_xlfn.XLOOKUP($A28,Games!$A$2:$A$18,Games!$M$2:$M$18,"Missing game",0)</x:f>
        <x:v>0</x:v>
      </x:c>
      <x:c r="AS28" t="str">
        <x:f>_xlfn.XLOOKUP($A28,Games!$A$2:$A$18,Games!$N$2:$N$18,"Missing game",0)</x:f>
        <x:v>outdoors</x:v>
      </x:c>
      <x:c r="AT28" t="str">
        <x:f>_xlfn.XLOOKUP($A28,Games!$A$2:$A$18,Games!$O$2:$O$18,"Missing game",0)</x:f>
        <x:v>grass</x:v>
      </x:c>
      <x:c r="AU28" t="n">
        <x:f>_xlfn.XLOOKUP($A28,Games!$A$2:$A$18,Games!$P$2:$P$18,"Missing game",0)</x:f>
        <x:v>68</x:v>
      </x:c>
      <x:c r="AV28" t="n">
        <x:f>_xlfn.XLOOKUP($A28,Games!$A$2:$A$18,Games!$Q$2:$Q$18,"Missing game",0)</x:f>
        <x:v>6</x:v>
      </x:c>
      <x:c r="AW28" t="str">
        <x:f>_xlfn.XLOOKUP($A28,Games!$A$2:$A$18,Games!$R$2:$R$18,"Missing game",0)</x:f>
        <x:v>Soldier Field</x:v>
      </x:c>
    </x:row>
    <x:row r="29">
      <x:c r="A29" t="str">
        <x:v>2025_01_MIN_CHI</x:v>
      </x:c>
      <x:c r="B29" t="n">
        <x:v>664</x:v>
      </x:c>
      <x:c r="C29" t="n">
        <x:v>1</x:v>
      </x:c>
      <x:c r="D29" t="str">
        <x:v>02:40</x:v>
      </x:c>
      <x:c r="E29" t="n">
        <x:v>2</x:v>
      </x:c>
      <x:c r="F29" t="n">
        <x:v>5</x:v>
      </x:c>
      <x:c r="G29" t="str">
        <x:v>CHI</x:v>
      </x:c>
      <x:c r="H29" t="str">
        <x:v>MIN</x:v>
      </x:c>
      <x:c r="I29" t="str">
        <x:v>CHI</x:v>
      </x:c>
      <x:c r="J29" t="n">
        <x:v>57</x:v>
      </x:c>
      <x:c r="K29" t="str">
        <x:v>(2:40) PENALTY on CHI-58-D.Wright, False Start, 5 yards, enforced at CHI 43 - No Play.</x:v>
      </x:c>
      <x:c r="L29" t="str">
        <x:v>no_play</x:v>
      </x:c>
      <x:c r="M29" t="n">
        <x:v>0</x:v>
      </x:c>
      <x:c r="N29" t="n">
        <x:v>0</x:v>
      </x:c>
      <x:c r="O29" t="n">
        <x:v>0</x:v>
      </x:c>
      <x:c r="P29"/>
      <x:c r="Q29"/>
      <x:c r="R29"/>
      <x:c r="S29"/>
      <x:c r="T29"/>
      <x:c r="U29"/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1</x:v>
      </x:c>
      <x:c r="AB29" t="n">
        <x:v>5</x:v>
      </x:c>
      <x:c r="AC29" t="n">
        <x:v>0</x:v>
      </x:c>
      <x:c r="AD29" t="n">
        <x:v>-0.5724264495074749</x:v>
      </x:c>
      <x:c r="AE29" t="n">
        <x:v>0</x:v>
      </x:c>
      <x:c r="AF29" t="n">
        <x:v>-0.009573221206665039</x:v>
      </x:c>
      <x:c r="AG29" t="n">
        <x:f>_xlfn.XLOOKUP($A29,Games!$A$2:$A$18,Games!$B$2:$B$18,"Missing game",0)</x:f>
        <x:v>2025</x:v>
      </x:c>
      <x:c r="AH29" t="str">
        <x:f>_xlfn.XLOOKUP($A29,Games!$A$2:$A$18,Games!$C$2:$C$18,"Missing game",0)</x:f>
        <x:v>REG</x:v>
      </x:c>
      <x:c r="AI29" t="n">
        <x:f>_xlfn.XLOOKUP($A29,Games!$A$2:$A$18,Games!$D$2:$D$18,"Missing game",0)</x:f>
        <x:v>1</x:v>
      </x:c>
      <x:c r="AJ29" s="1" t="n">
        <x:f>_xlfn.XLOOKUP($A29,Games!$A$2:$A$18,Games!$E$2:$E$18,"Missing game",0)</x:f>
        <x:v>45908</x:v>
      </x:c>
      <x:c r="AK29" t="str">
        <x:f>_xlfn.XLOOKUP($A29,Games!$A$2:$A$18,Games!$F$2:$F$18,"Missing game",0)</x:f>
        <x:v>Monday</x:v>
      </x:c>
      <x:c r="AL29" t="str">
        <x:f>_xlfn.XLOOKUP($A29,Games!$A$2:$A$18,Games!$G$2:$G$18,"Missing game",0)</x:f>
        <x:v>MIN</x:v>
      </x:c>
      <x:c r="AM29" t="n">
        <x:f>_xlfn.XLOOKUP($A29,Games!$A$2:$A$18,Games!$H$2:$H$18,"Missing game",0)</x:f>
        <x:v>27</x:v>
      </x:c>
      <x:c r="AN29" t="str">
        <x:f>_xlfn.XLOOKUP($A29,Games!$A$2:$A$18,Games!$I$2:$I$18,"Missing game",0)</x:f>
        <x:v>CHI</x:v>
      </x:c>
      <x:c r="AO29" t="n">
        <x:f>_xlfn.XLOOKUP($A29,Games!$A$2:$A$18,Games!$J$2:$J$18,"Missing game",0)</x:f>
        <x:v>24</x:v>
      </x:c>
      <x:c r="AP29" t="n">
        <x:f>_xlfn.XLOOKUP($A29,Games!$A$2:$A$18,Games!$K$2:$K$18,"Missing game",0)</x:f>
        <x:v>-3</x:v>
      </x:c>
      <x:c r="AQ29" t="n">
        <x:f>_xlfn.XLOOKUP($A29,Games!$A$2:$A$18,Games!$L$2:$L$18,"Missing game",0)</x:f>
        <x:v>51</x:v>
      </x:c>
      <x:c r="AR29" t="n">
        <x:f>_xlfn.XLOOKUP($A29,Games!$A$2:$A$18,Games!$M$2:$M$18,"Missing game",0)</x:f>
        <x:v>0</x:v>
      </x:c>
      <x:c r="AS29" t="str">
        <x:f>_xlfn.XLOOKUP($A29,Games!$A$2:$A$18,Games!$N$2:$N$18,"Missing game",0)</x:f>
        <x:v>outdoors</x:v>
      </x:c>
      <x:c r="AT29" t="str">
        <x:f>_xlfn.XLOOKUP($A29,Games!$A$2:$A$18,Games!$O$2:$O$18,"Missing game",0)</x:f>
        <x:v>grass</x:v>
      </x:c>
      <x:c r="AU29" t="n">
        <x:f>_xlfn.XLOOKUP($A29,Games!$A$2:$A$18,Games!$P$2:$P$18,"Missing game",0)</x:f>
        <x:v>68</x:v>
      </x:c>
      <x:c r="AV29" t="n">
        <x:f>_xlfn.XLOOKUP($A29,Games!$A$2:$A$18,Games!$Q$2:$Q$18,"Missing game",0)</x:f>
        <x:v>6</x:v>
      </x:c>
      <x:c r="AW29" t="str">
        <x:f>_xlfn.XLOOKUP($A29,Games!$A$2:$A$18,Games!$R$2:$R$18,"Missing game",0)</x:f>
        <x:v>Soldier Field</x:v>
      </x:c>
    </x:row>
    <x:row r="30">
      <x:c r="A30" t="str">
        <x:v>2025_01_MIN_CHI</x:v>
      </x:c>
      <x:c r="B30" t="n">
        <x:v>688</x:v>
      </x:c>
      <x:c r="C30" t="n">
        <x:v>1</x:v>
      </x:c>
      <x:c r="D30" t="str">
        <x:v>02:22</x:v>
      </x:c>
      <x:c r="E30" t="n">
        <x:v>2</x:v>
      </x:c>
      <x:c r="F30" t="n">
        <x:v>10</x:v>
      </x:c>
      <x:c r="G30" t="str">
        <x:v>CHI</x:v>
      </x:c>
      <x:c r="H30" t="str">
        <x:v>MIN</x:v>
      </x:c>
      <x:c r="I30" t="str">
        <x:v>CHI</x:v>
      </x:c>
      <x:c r="J30" t="n">
        <x:v>62</x:v>
      </x:c>
      <x:c r="K30" t="str">
        <x:v>(2:22) (Shotgun) 18-C.Williams pass short middle to 84-C.Loveland to CHI 46 for 8 yards (2-I.Rodgers).</x:v>
      </x:c>
      <x:c r="L30" t="str">
        <x:v>pass</x:v>
      </x:c>
      <x:c r="M30" t="n">
        <x:v>8</x:v>
      </x:c>
      <x:c r="N30" t="n">
        <x:v>1</x:v>
      </x:c>
      <x:c r="O30" t="n">
        <x:v>0</x:v>
      </x:c>
      <x:c r="P30" t="str">
        <x:v>short</x:v>
      </x:c>
      <x:c r="Q30" t="str">
        <x:v>middle</x:v>
      </x:c>
      <x:c r="R30" t="n">
        <x:v>4</x:v>
      </x:c>
      <x:c r="S30" t="n">
        <x:v>4</x:v>
      </x:c>
      <x:c r="T30"/>
      <x:c r="U30"/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/>
      <x:c r="AC30" t="n">
        <x:v>0</x:v>
      </x:c>
      <x:c r="AD30" t="n">
        <x:v>0.27447692467831075</x:v>
      </x:c>
      <x:c r="AE30" t="n">
        <x:v>1</x:v>
      </x:c>
      <x:c r="AF30" t="n">
        <x:v>-0.0029358863830566406</x:v>
      </x:c>
      <x:c r="AG30" t="n">
        <x:f>_xlfn.XLOOKUP($A30,Games!$A$2:$A$18,Games!$B$2:$B$18,"Missing game",0)</x:f>
        <x:v>2025</x:v>
      </x:c>
      <x:c r="AH30" t="str">
        <x:f>_xlfn.XLOOKUP($A30,Games!$A$2:$A$18,Games!$C$2:$C$18,"Missing game",0)</x:f>
        <x:v>REG</x:v>
      </x:c>
      <x:c r="AI30" t="n">
        <x:f>_xlfn.XLOOKUP($A30,Games!$A$2:$A$18,Games!$D$2:$D$18,"Missing game",0)</x:f>
        <x:v>1</x:v>
      </x:c>
      <x:c r="AJ30" s="1" t="n">
        <x:f>_xlfn.XLOOKUP($A30,Games!$A$2:$A$18,Games!$E$2:$E$18,"Missing game",0)</x:f>
        <x:v>45908</x:v>
      </x:c>
      <x:c r="AK30" t="str">
        <x:f>_xlfn.XLOOKUP($A30,Games!$A$2:$A$18,Games!$F$2:$F$18,"Missing game",0)</x:f>
        <x:v>Monday</x:v>
      </x:c>
      <x:c r="AL30" t="str">
        <x:f>_xlfn.XLOOKUP($A30,Games!$A$2:$A$18,Games!$G$2:$G$18,"Missing game",0)</x:f>
        <x:v>MIN</x:v>
      </x:c>
      <x:c r="AM30" t="n">
        <x:f>_xlfn.XLOOKUP($A30,Games!$A$2:$A$18,Games!$H$2:$H$18,"Missing game",0)</x:f>
        <x:v>27</x:v>
      </x:c>
      <x:c r="AN30" t="str">
        <x:f>_xlfn.XLOOKUP($A30,Games!$A$2:$A$18,Games!$I$2:$I$18,"Missing game",0)</x:f>
        <x:v>CHI</x:v>
      </x:c>
      <x:c r="AO30" t="n">
        <x:f>_xlfn.XLOOKUP($A30,Games!$A$2:$A$18,Games!$J$2:$J$18,"Missing game",0)</x:f>
        <x:v>24</x:v>
      </x:c>
      <x:c r="AP30" t="n">
        <x:f>_xlfn.XLOOKUP($A30,Games!$A$2:$A$18,Games!$K$2:$K$18,"Missing game",0)</x:f>
        <x:v>-3</x:v>
      </x:c>
      <x:c r="AQ30" t="n">
        <x:f>_xlfn.XLOOKUP($A30,Games!$A$2:$A$18,Games!$L$2:$L$18,"Missing game",0)</x:f>
        <x:v>51</x:v>
      </x:c>
      <x:c r="AR30" t="n">
        <x:f>_xlfn.XLOOKUP($A30,Games!$A$2:$A$18,Games!$M$2:$M$18,"Missing game",0)</x:f>
        <x:v>0</x:v>
      </x:c>
      <x:c r="AS30" t="str">
        <x:f>_xlfn.XLOOKUP($A30,Games!$A$2:$A$18,Games!$N$2:$N$18,"Missing game",0)</x:f>
        <x:v>outdoors</x:v>
      </x:c>
      <x:c r="AT30" t="str">
        <x:f>_xlfn.XLOOKUP($A30,Games!$A$2:$A$18,Games!$O$2:$O$18,"Missing game",0)</x:f>
        <x:v>grass</x:v>
      </x:c>
      <x:c r="AU30" t="n">
        <x:f>_xlfn.XLOOKUP($A30,Games!$A$2:$A$18,Games!$P$2:$P$18,"Missing game",0)</x:f>
        <x:v>68</x:v>
      </x:c>
      <x:c r="AV30" t="n">
        <x:f>_xlfn.XLOOKUP($A30,Games!$A$2:$A$18,Games!$Q$2:$Q$18,"Missing game",0)</x:f>
        <x:v>6</x:v>
      </x:c>
      <x:c r="AW30" t="str">
        <x:f>_xlfn.XLOOKUP($A30,Games!$A$2:$A$18,Games!$R$2:$R$18,"Missing game",0)</x:f>
        <x:v>Soldier Field</x:v>
      </x:c>
    </x:row>
    <x:row r="31">
      <x:c r="A31" t="str">
        <x:v>2025_01_MIN_CHI</x:v>
      </x:c>
      <x:c r="B31" t="n">
        <x:v>713</x:v>
      </x:c>
      <x:c r="C31" t="n">
        <x:v>1</x:v>
      </x:c>
      <x:c r="D31" t="str">
        <x:v>01:45</x:v>
      </x:c>
      <x:c r="E31" t="n">
        <x:v>3</x:v>
      </x:c>
      <x:c r="F31" t="n">
        <x:v>2</x:v>
      </x:c>
      <x:c r="G31" t="str">
        <x:v>CHI</x:v>
      </x:c>
      <x:c r="H31" t="str">
        <x:v>MIN</x:v>
      </x:c>
      <x:c r="I31" t="str">
        <x:v>CHI</x:v>
      </x:c>
      <x:c r="J31" t="n">
        <x:v>54</x:v>
      </x:c>
      <x:c r="K31" t="str">
        <x:v>(1:45) (Shotgun) 18-C.Williams pass short left to 15-R.Odunze to CHI 42 for -4 yards (2-I.Rodgers).</x:v>
      </x:c>
      <x:c r="L31" t="str">
        <x:v>pass</x:v>
      </x:c>
      <x:c r="M31" t="n">
        <x:v>-4</x:v>
      </x:c>
      <x:c r="N31" t="n">
        <x:v>1</x:v>
      </x:c>
      <x:c r="O31" t="n">
        <x:v>0</x:v>
      </x:c>
      <x:c r="P31" t="str">
        <x:v>short</x:v>
      </x:c>
      <x:c r="Q31" t="str">
        <x:v>left</x:v>
      </x:c>
      <x:c r="R31" t="n">
        <x:v>-4</x:v>
      </x:c>
      <x:c r="S31" t="n">
        <x:v>0</x:v>
      </x:c>
      <x:c r="T31"/>
      <x:c r="U31"/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/>
      <x:c r="AC31" t="n">
        <x:v>0</x:v>
      </x:c>
      <x:c r="AD31" t="n">
        <x:v>-2.2568025055807084</x:v>
      </x:c>
      <x:c r="AE31" t="n">
        <x:v>0</x:v>
      </x:c>
      <x:c r="AF31" t="n">
        <x:v>-0.034782469272613525</x:v>
      </x:c>
      <x:c r="AG31" t="n">
        <x:f>_xlfn.XLOOKUP($A31,Games!$A$2:$A$18,Games!$B$2:$B$18,"Missing game",0)</x:f>
        <x:v>2025</x:v>
      </x:c>
      <x:c r="AH31" t="str">
        <x:f>_xlfn.XLOOKUP($A31,Games!$A$2:$A$18,Games!$C$2:$C$18,"Missing game",0)</x:f>
        <x:v>REG</x:v>
      </x:c>
      <x:c r="AI31" t="n">
        <x:f>_xlfn.XLOOKUP($A31,Games!$A$2:$A$18,Games!$D$2:$D$18,"Missing game",0)</x:f>
        <x:v>1</x:v>
      </x:c>
      <x:c r="AJ31" s="1" t="n">
        <x:f>_xlfn.XLOOKUP($A31,Games!$A$2:$A$18,Games!$E$2:$E$18,"Missing game",0)</x:f>
        <x:v>45908</x:v>
      </x:c>
      <x:c r="AK31" t="str">
        <x:f>_xlfn.XLOOKUP($A31,Games!$A$2:$A$18,Games!$F$2:$F$18,"Missing game",0)</x:f>
        <x:v>Monday</x:v>
      </x:c>
      <x:c r="AL31" t="str">
        <x:f>_xlfn.XLOOKUP($A31,Games!$A$2:$A$18,Games!$G$2:$G$18,"Missing game",0)</x:f>
        <x:v>MIN</x:v>
      </x:c>
      <x:c r="AM31" t="n">
        <x:f>_xlfn.XLOOKUP($A31,Games!$A$2:$A$18,Games!$H$2:$H$18,"Missing game",0)</x:f>
        <x:v>27</x:v>
      </x:c>
      <x:c r="AN31" t="str">
        <x:f>_xlfn.XLOOKUP($A31,Games!$A$2:$A$18,Games!$I$2:$I$18,"Missing game",0)</x:f>
        <x:v>CHI</x:v>
      </x:c>
      <x:c r="AO31" t="n">
        <x:f>_xlfn.XLOOKUP($A31,Games!$A$2:$A$18,Games!$J$2:$J$18,"Missing game",0)</x:f>
        <x:v>24</x:v>
      </x:c>
      <x:c r="AP31" t="n">
        <x:f>_xlfn.XLOOKUP($A31,Games!$A$2:$A$18,Games!$K$2:$K$18,"Missing game",0)</x:f>
        <x:v>-3</x:v>
      </x:c>
      <x:c r="AQ31" t="n">
        <x:f>_xlfn.XLOOKUP($A31,Games!$A$2:$A$18,Games!$L$2:$L$18,"Missing game",0)</x:f>
        <x:v>51</x:v>
      </x:c>
      <x:c r="AR31" t="n">
        <x:f>_xlfn.XLOOKUP($A31,Games!$A$2:$A$18,Games!$M$2:$M$18,"Missing game",0)</x:f>
        <x:v>0</x:v>
      </x:c>
      <x:c r="AS31" t="str">
        <x:f>_xlfn.XLOOKUP($A31,Games!$A$2:$A$18,Games!$N$2:$N$18,"Missing game",0)</x:f>
        <x:v>outdoors</x:v>
      </x:c>
      <x:c r="AT31" t="str">
        <x:f>_xlfn.XLOOKUP($A31,Games!$A$2:$A$18,Games!$O$2:$O$18,"Missing game",0)</x:f>
        <x:v>grass</x:v>
      </x:c>
      <x:c r="AU31" t="n">
        <x:f>_xlfn.XLOOKUP($A31,Games!$A$2:$A$18,Games!$P$2:$P$18,"Missing game",0)</x:f>
        <x:v>68</x:v>
      </x:c>
      <x:c r="AV31" t="n">
        <x:f>_xlfn.XLOOKUP($A31,Games!$A$2:$A$18,Games!$Q$2:$Q$18,"Missing game",0)</x:f>
        <x:v>6</x:v>
      </x:c>
      <x:c r="AW31" t="str">
        <x:f>_xlfn.XLOOKUP($A31,Games!$A$2:$A$18,Games!$R$2:$R$18,"Missing game",0)</x:f>
        <x:v>Soldier Field</x:v>
      </x:c>
    </x:row>
    <x:row r="32">
      <x:c r="A32" t="str">
        <x:v>2025_01_MIN_CHI</x:v>
      </x:c>
      <x:c r="B32" t="n">
        <x:v>748</x:v>
      </x:c>
      <x:c r="C32" t="n">
        <x:v>1</x:v>
      </x:c>
      <x:c r="D32" t="str">
        <x:v>01:04</x:v>
      </x:c>
      <x:c r="E32" t="n">
        <x:v>4</x:v>
      </x:c>
      <x:c r="F32" t="n">
        <x:v>6</x:v>
      </x:c>
      <x:c r="G32" t="str">
        <x:v>CHI</x:v>
      </x:c>
      <x:c r="H32" t="str">
        <x:v>MIN</x:v>
      </x:c>
      <x:c r="I32" t="str">
        <x:v>CHI</x:v>
      </x:c>
      <x:c r="J32" t="n">
        <x:v>58</x:v>
      </x:c>
      <x:c r="K32" t="str">
        <x:v>(1:04) 19-T.Taylor punts 39 yards to MIN 19, Center-46-S.Daly, out of bounds.</x:v>
      </x:c>
      <x:c r="L32" t="str">
        <x:v>punt</x:v>
      </x:c>
      <x:c r="M32" t="n">
        <x:v>0</x:v>
      </x:c>
      <x:c r="N32" t="n">
        <x:v>0</x:v>
      </x:c>
      <x:c r="O32" t="n">
        <x:v>0</x:v>
      </x:c>
      <x:c r="P32"/>
      <x:c r="Q32"/>
      <x:c r="R32"/>
      <x:c r="S32"/>
      <x:c r="T32"/>
      <x:c r="U32"/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/>
      <x:c r="AC32" t="n">
        <x:v>0</x:v>
      </x:c>
      <x:c r="AD32" t="n">
        <x:v>-0.25009634904563427</x:v>
      </x:c>
      <x:c r="AE32" t="n">
        <x:v>0</x:v>
      </x:c>
      <x:c r="AF32" t="n">
        <x:v>-0.0043983012437820435</x:v>
      </x:c>
      <x:c r="AG32" t="n">
        <x:f>_xlfn.XLOOKUP($A32,Games!$A$2:$A$18,Games!$B$2:$B$18,"Missing game",0)</x:f>
        <x:v>2025</x:v>
      </x:c>
      <x:c r="AH32" t="str">
        <x:f>_xlfn.XLOOKUP($A32,Games!$A$2:$A$18,Games!$C$2:$C$18,"Missing game",0)</x:f>
        <x:v>REG</x:v>
      </x:c>
      <x:c r="AI32" t="n">
        <x:f>_xlfn.XLOOKUP($A32,Games!$A$2:$A$18,Games!$D$2:$D$18,"Missing game",0)</x:f>
        <x:v>1</x:v>
      </x:c>
      <x:c r="AJ32" s="1" t="n">
        <x:f>_xlfn.XLOOKUP($A32,Games!$A$2:$A$18,Games!$E$2:$E$18,"Missing game",0)</x:f>
        <x:v>45908</x:v>
      </x:c>
      <x:c r="AK32" t="str">
        <x:f>_xlfn.XLOOKUP($A32,Games!$A$2:$A$18,Games!$F$2:$F$18,"Missing game",0)</x:f>
        <x:v>Monday</x:v>
      </x:c>
      <x:c r="AL32" t="str">
        <x:f>_xlfn.XLOOKUP($A32,Games!$A$2:$A$18,Games!$G$2:$G$18,"Missing game",0)</x:f>
        <x:v>MIN</x:v>
      </x:c>
      <x:c r="AM32" t="n">
        <x:f>_xlfn.XLOOKUP($A32,Games!$A$2:$A$18,Games!$H$2:$H$18,"Missing game",0)</x:f>
        <x:v>27</x:v>
      </x:c>
      <x:c r="AN32" t="str">
        <x:f>_xlfn.XLOOKUP($A32,Games!$A$2:$A$18,Games!$I$2:$I$18,"Missing game",0)</x:f>
        <x:v>CHI</x:v>
      </x:c>
      <x:c r="AO32" t="n">
        <x:f>_xlfn.XLOOKUP($A32,Games!$A$2:$A$18,Games!$J$2:$J$18,"Missing game",0)</x:f>
        <x:v>24</x:v>
      </x:c>
      <x:c r="AP32" t="n">
        <x:f>_xlfn.XLOOKUP($A32,Games!$A$2:$A$18,Games!$K$2:$K$18,"Missing game",0)</x:f>
        <x:v>-3</x:v>
      </x:c>
      <x:c r="AQ32" t="n">
        <x:f>_xlfn.XLOOKUP($A32,Games!$A$2:$A$18,Games!$L$2:$L$18,"Missing game",0)</x:f>
        <x:v>51</x:v>
      </x:c>
      <x:c r="AR32" t="n">
        <x:f>_xlfn.XLOOKUP($A32,Games!$A$2:$A$18,Games!$M$2:$M$18,"Missing game",0)</x:f>
        <x:v>0</x:v>
      </x:c>
      <x:c r="AS32" t="str">
        <x:f>_xlfn.XLOOKUP($A32,Games!$A$2:$A$18,Games!$N$2:$N$18,"Missing game",0)</x:f>
        <x:v>outdoors</x:v>
      </x:c>
      <x:c r="AT32" t="str">
        <x:f>_xlfn.XLOOKUP($A32,Games!$A$2:$A$18,Games!$O$2:$O$18,"Missing game",0)</x:f>
        <x:v>grass</x:v>
      </x:c>
      <x:c r="AU32" t="n">
        <x:f>_xlfn.XLOOKUP($A32,Games!$A$2:$A$18,Games!$P$2:$P$18,"Missing game",0)</x:f>
        <x:v>68</x:v>
      </x:c>
      <x:c r="AV32" t="n">
        <x:f>_xlfn.XLOOKUP($A32,Games!$A$2:$A$18,Games!$Q$2:$Q$18,"Missing game",0)</x:f>
        <x:v>6</x:v>
      </x:c>
      <x:c r="AW32" t="str">
        <x:f>_xlfn.XLOOKUP($A32,Games!$A$2:$A$18,Games!$R$2:$R$18,"Missing game",0)</x:f>
        <x:v>Soldier Field</x:v>
      </x:c>
    </x:row>
    <x:row r="33">
      <x:c r="A33" t="str">
        <x:v>2025_01_MIN_CHI</x:v>
      </x:c>
      <x:c r="B33" t="n">
        <x:v>767</x:v>
      </x:c>
      <x:c r="C33" t="n">
        <x:v>1</x:v>
      </x:c>
      <x:c r="D33" t="str">
        <x:v>00:58</x:v>
      </x:c>
      <x:c r="E33" t="n">
        <x:v>1</x:v>
      </x:c>
      <x:c r="F33" t="n">
        <x:v>10</x:v>
      </x:c>
      <x:c r="G33" t="str">
        <x:v>MIN</x:v>
      </x:c>
      <x:c r="H33" t="str">
        <x:v>CHI</x:v>
      </x:c>
      <x:c r="I33" t="str">
        <x:v>MIN</x:v>
      </x:c>
      <x:c r="J33" t="n">
        <x:v>81</x:v>
      </x:c>
      <x:c r="K33" t="str">
        <x:v>(:58) 27-J.Mason left end to MIN 25 for 6 yards (44-N.Sewell).</x:v>
      </x:c>
      <x:c r="L33" t="str">
        <x:v>run</x:v>
      </x:c>
      <x:c r="M33" t="n">
        <x:v>6</x:v>
      </x:c>
      <x:c r="N33" t="n">
        <x:v>0</x:v>
      </x:c>
      <x:c r="O33" t="n">
        <x:v>0</x:v>
      </x:c>
      <x:c r="P33"/>
      <x:c r="Q33"/>
      <x:c r="R33"/>
      <x:c r="S33"/>
      <x:c r="T33" t="str">
        <x:v>left</x:v>
      </x:c>
      <x:c r="U33" t="str">
        <x:v>end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/>
      <x:c r="AC33" t="n">
        <x:v>0</x:v>
      </x:c>
      <x:c r="AD33" t="n">
        <x:v>0.24614631803706288</x:v>
      </x:c>
      <x:c r="AE33" t="n">
        <x:v>1</x:v>
      </x:c>
      <x:c r="AF33" t="n">
        <x:v>-0.0003296583890914917</x:v>
      </x:c>
      <x:c r="AG33" t="n">
        <x:f>_xlfn.XLOOKUP($A33,Games!$A$2:$A$18,Games!$B$2:$B$18,"Missing game",0)</x:f>
        <x:v>2025</x:v>
      </x:c>
      <x:c r="AH33" t="str">
        <x:f>_xlfn.XLOOKUP($A33,Games!$A$2:$A$18,Games!$C$2:$C$18,"Missing game",0)</x:f>
        <x:v>REG</x:v>
      </x:c>
      <x:c r="AI33" t="n">
        <x:f>_xlfn.XLOOKUP($A33,Games!$A$2:$A$18,Games!$D$2:$D$18,"Missing game",0)</x:f>
        <x:v>1</x:v>
      </x:c>
      <x:c r="AJ33" s="1" t="n">
        <x:f>_xlfn.XLOOKUP($A33,Games!$A$2:$A$18,Games!$E$2:$E$18,"Missing game",0)</x:f>
        <x:v>45908</x:v>
      </x:c>
      <x:c r="AK33" t="str">
        <x:f>_xlfn.XLOOKUP($A33,Games!$A$2:$A$18,Games!$F$2:$F$18,"Missing game",0)</x:f>
        <x:v>Monday</x:v>
      </x:c>
      <x:c r="AL33" t="str">
        <x:f>_xlfn.XLOOKUP($A33,Games!$A$2:$A$18,Games!$G$2:$G$18,"Missing game",0)</x:f>
        <x:v>MIN</x:v>
      </x:c>
      <x:c r="AM33" t="n">
        <x:f>_xlfn.XLOOKUP($A33,Games!$A$2:$A$18,Games!$H$2:$H$18,"Missing game",0)</x:f>
        <x:v>27</x:v>
      </x:c>
      <x:c r="AN33" t="str">
        <x:f>_xlfn.XLOOKUP($A33,Games!$A$2:$A$18,Games!$I$2:$I$18,"Missing game",0)</x:f>
        <x:v>CHI</x:v>
      </x:c>
      <x:c r="AO33" t="n">
        <x:f>_xlfn.XLOOKUP($A33,Games!$A$2:$A$18,Games!$J$2:$J$18,"Missing game",0)</x:f>
        <x:v>24</x:v>
      </x:c>
      <x:c r="AP33" t="n">
        <x:f>_xlfn.XLOOKUP($A33,Games!$A$2:$A$18,Games!$K$2:$K$18,"Missing game",0)</x:f>
        <x:v>-3</x:v>
      </x:c>
      <x:c r="AQ33" t="n">
        <x:f>_xlfn.XLOOKUP($A33,Games!$A$2:$A$18,Games!$L$2:$L$18,"Missing game",0)</x:f>
        <x:v>51</x:v>
      </x:c>
      <x:c r="AR33" t="n">
        <x:f>_xlfn.XLOOKUP($A33,Games!$A$2:$A$18,Games!$M$2:$M$18,"Missing game",0)</x:f>
        <x:v>0</x:v>
      </x:c>
      <x:c r="AS33" t="str">
        <x:f>_xlfn.XLOOKUP($A33,Games!$A$2:$A$18,Games!$N$2:$N$18,"Missing game",0)</x:f>
        <x:v>outdoors</x:v>
      </x:c>
      <x:c r="AT33" t="str">
        <x:f>_xlfn.XLOOKUP($A33,Games!$A$2:$A$18,Games!$O$2:$O$18,"Missing game",0)</x:f>
        <x:v>grass</x:v>
      </x:c>
      <x:c r="AU33" t="n">
        <x:f>_xlfn.XLOOKUP($A33,Games!$A$2:$A$18,Games!$P$2:$P$18,"Missing game",0)</x:f>
        <x:v>68</x:v>
      </x:c>
      <x:c r="AV33" t="n">
        <x:f>_xlfn.XLOOKUP($A33,Games!$A$2:$A$18,Games!$Q$2:$Q$18,"Missing game",0)</x:f>
        <x:v>6</x:v>
      </x:c>
      <x:c r="AW33" t="str">
        <x:f>_xlfn.XLOOKUP($A33,Games!$A$2:$A$18,Games!$R$2:$R$18,"Missing game",0)</x:f>
        <x:v>Soldier Field</x:v>
      </x:c>
    </x:row>
    <x:row r="34">
      <x:c r="A34" t="str">
        <x:v>2025_01_MIN_CHI</x:v>
      </x:c>
      <x:c r="B34" t="n">
        <x:v>796</x:v>
      </x:c>
      <x:c r="C34" t="n">
        <x:v>1</x:v>
      </x:c>
      <x:c r="D34" t="str">
        <x:v>00:19</x:v>
      </x:c>
      <x:c r="E34" t="n">
        <x:v>2</x:v>
      </x:c>
      <x:c r="F34" t="n">
        <x:v>4</x:v>
      </x:c>
      <x:c r="G34" t="str">
        <x:v>MIN</x:v>
      </x:c>
      <x:c r="H34" t="str">
        <x:v>CHI</x:v>
      </x:c>
      <x:c r="I34" t="str">
        <x:v>MIN</x:v>
      </x:c>
      <x:c r="J34" t="n">
        <x:v>75</x:v>
      </x:c>
      <x:c r="K34" t="str">
        <x:v>(:19) 27-J.Mason left tackle to MIN 31 for 6 yards (91-Ch.Williams).</x:v>
      </x:c>
      <x:c r="L34" t="str">
        <x:v>run</x:v>
      </x:c>
      <x:c r="M34" t="n">
        <x:v>6</x:v>
      </x:c>
      <x:c r="N34" t="n">
        <x:v>0</x:v>
      </x:c>
      <x:c r="O34" t="n">
        <x:v>0</x:v>
      </x:c>
      <x:c r="P34"/>
      <x:c r="Q34"/>
      <x:c r="R34"/>
      <x:c r="S34"/>
      <x:c r="T34" t="str">
        <x:v>left</x:v>
      </x:c>
      <x:c r="U34" t="str">
        <x:v>tackle</x:v>
      </x:c>
      <x:c r="V34" t="n">
        <x:v>0</x:v>
      </x:c>
      <x:c r="W34" t="n">
        <x:v>1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/>
      <x:c r="AC34" t="n">
        <x:v>0</x:v>
      </x:c>
      <x:c r="AD34" t="n">
        <x:v>0.44133933586999774</x:v>
      </x:c>
      <x:c r="AE34" t="n">
        <x:v>1</x:v>
      </x:c>
      <x:c r="AF34" t="n">
        <x:v>0.007070228457450867</x:v>
      </x:c>
      <x:c r="AG34" t="n">
        <x:f>_xlfn.XLOOKUP($A34,Games!$A$2:$A$18,Games!$B$2:$B$18,"Missing game",0)</x:f>
        <x:v>2025</x:v>
      </x:c>
      <x:c r="AH34" t="str">
        <x:f>_xlfn.XLOOKUP($A34,Games!$A$2:$A$18,Games!$C$2:$C$18,"Missing game",0)</x:f>
        <x:v>REG</x:v>
      </x:c>
      <x:c r="AI34" t="n">
        <x:f>_xlfn.XLOOKUP($A34,Games!$A$2:$A$18,Games!$D$2:$D$18,"Missing game",0)</x:f>
        <x:v>1</x:v>
      </x:c>
      <x:c r="AJ34" s="1" t="n">
        <x:f>_xlfn.XLOOKUP($A34,Games!$A$2:$A$18,Games!$E$2:$E$18,"Missing game",0)</x:f>
        <x:v>45908</x:v>
      </x:c>
      <x:c r="AK34" t="str">
        <x:f>_xlfn.XLOOKUP($A34,Games!$A$2:$A$18,Games!$F$2:$F$18,"Missing game",0)</x:f>
        <x:v>Monday</x:v>
      </x:c>
      <x:c r="AL34" t="str">
        <x:f>_xlfn.XLOOKUP($A34,Games!$A$2:$A$18,Games!$G$2:$G$18,"Missing game",0)</x:f>
        <x:v>MIN</x:v>
      </x:c>
      <x:c r="AM34" t="n">
        <x:f>_xlfn.XLOOKUP($A34,Games!$A$2:$A$18,Games!$H$2:$H$18,"Missing game",0)</x:f>
        <x:v>27</x:v>
      </x:c>
      <x:c r="AN34" t="str">
        <x:f>_xlfn.XLOOKUP($A34,Games!$A$2:$A$18,Games!$I$2:$I$18,"Missing game",0)</x:f>
        <x:v>CHI</x:v>
      </x:c>
      <x:c r="AO34" t="n">
        <x:f>_xlfn.XLOOKUP($A34,Games!$A$2:$A$18,Games!$J$2:$J$18,"Missing game",0)</x:f>
        <x:v>24</x:v>
      </x:c>
      <x:c r="AP34" t="n">
        <x:f>_xlfn.XLOOKUP($A34,Games!$A$2:$A$18,Games!$K$2:$K$18,"Missing game",0)</x:f>
        <x:v>-3</x:v>
      </x:c>
      <x:c r="AQ34" t="n">
        <x:f>_xlfn.XLOOKUP($A34,Games!$A$2:$A$18,Games!$L$2:$L$18,"Missing game",0)</x:f>
        <x:v>51</x:v>
      </x:c>
      <x:c r="AR34" t="n">
        <x:f>_xlfn.XLOOKUP($A34,Games!$A$2:$A$18,Games!$M$2:$M$18,"Missing game",0)</x:f>
        <x:v>0</x:v>
      </x:c>
      <x:c r="AS34" t="str">
        <x:f>_xlfn.XLOOKUP($A34,Games!$A$2:$A$18,Games!$N$2:$N$18,"Missing game",0)</x:f>
        <x:v>outdoors</x:v>
      </x:c>
      <x:c r="AT34" t="str">
        <x:f>_xlfn.XLOOKUP($A34,Games!$A$2:$A$18,Games!$O$2:$O$18,"Missing game",0)</x:f>
        <x:v>grass</x:v>
      </x:c>
      <x:c r="AU34" t="n">
        <x:f>_xlfn.XLOOKUP($A34,Games!$A$2:$A$18,Games!$P$2:$P$18,"Missing game",0)</x:f>
        <x:v>68</x:v>
      </x:c>
      <x:c r="AV34" t="n">
        <x:f>_xlfn.XLOOKUP($A34,Games!$A$2:$A$18,Games!$Q$2:$Q$18,"Missing game",0)</x:f>
        <x:v>6</x:v>
      </x:c>
      <x:c r="AW34" t="str">
        <x:f>_xlfn.XLOOKUP($A34,Games!$A$2:$A$18,Games!$R$2:$R$18,"Missing game",0)</x:f>
        <x:v>Soldier Field</x:v>
      </x:c>
    </x:row>
    <x:row r="35">
      <x:c r="A35" t="str">
        <x:v>2025_01_MIN_CHI</x:v>
      </x:c>
      <x:c r="B35" t="n">
        <x:v>818</x:v>
      </x:c>
      <x:c r="C35" t="n">
        <x:v>1</x:v>
      </x:c>
      <x:c r="D35" t="str">
        <x:v>00:00</x:v>
      </x:c>
      <x:c r="E35"/>
      <x:c r="F35" t="n">
        <x:v>0</x:v>
      </x:c>
      <x:c r="G35" t="str">
        <x:v>MIN</x:v>
      </x:c>
      <x:c r="H35" t="str">
        <x:v>CHI</x:v>
      </x:c>
      <x:c r="I35"/>
      <x:c r="J35"/>
      <x:c r="K35" t="str">
        <x:v>END QUARTER 1</x:v>
      </x:c>
      <x:c r="L35"/>
      <x:c r="M35"/>
      <x:c r="N35" t="n">
        <x:v>0</x:v>
      </x:c>
      <x:c r="O35" t="n">
        <x:v>0</x:v>
      </x:c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 t="n">
        <x:v>0</x:v>
      </x:c>
      <x:c r="AE35" t="n">
        <x:v>0</x:v>
      </x:c>
      <x:c r="AF35" t="n">
        <x:v>0</x:v>
      </x:c>
      <x:c r="AG35" t="n">
        <x:f>_xlfn.XLOOKUP($A35,Games!$A$2:$A$18,Games!$B$2:$B$18,"Missing game",0)</x:f>
        <x:v>2025</x:v>
      </x:c>
      <x:c r="AH35" t="str">
        <x:f>_xlfn.XLOOKUP($A35,Games!$A$2:$A$18,Games!$C$2:$C$18,"Missing game",0)</x:f>
        <x:v>REG</x:v>
      </x:c>
      <x:c r="AI35" t="n">
        <x:f>_xlfn.XLOOKUP($A35,Games!$A$2:$A$18,Games!$D$2:$D$18,"Missing game",0)</x:f>
        <x:v>1</x:v>
      </x:c>
      <x:c r="AJ35" s="1" t="n">
        <x:f>_xlfn.XLOOKUP($A35,Games!$A$2:$A$18,Games!$E$2:$E$18,"Missing game",0)</x:f>
        <x:v>45908</x:v>
      </x:c>
      <x:c r="AK35" t="str">
        <x:f>_xlfn.XLOOKUP($A35,Games!$A$2:$A$18,Games!$F$2:$F$18,"Missing game",0)</x:f>
        <x:v>Monday</x:v>
      </x:c>
      <x:c r="AL35" t="str">
        <x:f>_xlfn.XLOOKUP($A35,Games!$A$2:$A$18,Games!$G$2:$G$18,"Missing game",0)</x:f>
        <x:v>MIN</x:v>
      </x:c>
      <x:c r="AM35" t="n">
        <x:f>_xlfn.XLOOKUP($A35,Games!$A$2:$A$18,Games!$H$2:$H$18,"Missing game",0)</x:f>
        <x:v>27</x:v>
      </x:c>
      <x:c r="AN35" t="str">
        <x:f>_xlfn.XLOOKUP($A35,Games!$A$2:$A$18,Games!$I$2:$I$18,"Missing game",0)</x:f>
        <x:v>CHI</x:v>
      </x:c>
      <x:c r="AO35" t="n">
        <x:f>_xlfn.XLOOKUP($A35,Games!$A$2:$A$18,Games!$J$2:$J$18,"Missing game",0)</x:f>
        <x:v>24</x:v>
      </x:c>
      <x:c r="AP35" t="n">
        <x:f>_xlfn.XLOOKUP($A35,Games!$A$2:$A$18,Games!$K$2:$K$18,"Missing game",0)</x:f>
        <x:v>-3</x:v>
      </x:c>
      <x:c r="AQ35" t="n">
        <x:f>_xlfn.XLOOKUP($A35,Games!$A$2:$A$18,Games!$L$2:$L$18,"Missing game",0)</x:f>
        <x:v>51</x:v>
      </x:c>
      <x:c r="AR35" t="n">
        <x:f>_xlfn.XLOOKUP($A35,Games!$A$2:$A$18,Games!$M$2:$M$18,"Missing game",0)</x:f>
        <x:v>0</x:v>
      </x:c>
      <x:c r="AS35" t="str">
        <x:f>_xlfn.XLOOKUP($A35,Games!$A$2:$A$18,Games!$N$2:$N$18,"Missing game",0)</x:f>
        <x:v>outdoors</x:v>
      </x:c>
      <x:c r="AT35" t="str">
        <x:f>_xlfn.XLOOKUP($A35,Games!$A$2:$A$18,Games!$O$2:$O$18,"Missing game",0)</x:f>
        <x:v>grass</x:v>
      </x:c>
      <x:c r="AU35" t="n">
        <x:f>_xlfn.XLOOKUP($A35,Games!$A$2:$A$18,Games!$P$2:$P$18,"Missing game",0)</x:f>
        <x:v>68</x:v>
      </x:c>
      <x:c r="AV35" t="n">
        <x:f>_xlfn.XLOOKUP($A35,Games!$A$2:$A$18,Games!$Q$2:$Q$18,"Missing game",0)</x:f>
        <x:v>6</x:v>
      </x:c>
      <x:c r="AW35" t="str">
        <x:f>_xlfn.XLOOKUP($A35,Games!$A$2:$A$18,Games!$R$2:$R$18,"Missing game",0)</x:f>
        <x:v>Soldier Field</x:v>
      </x:c>
    </x:row>
    <x:row r="36">
      <x:c r="A36" t="str">
        <x:v>2025_01_MIN_CHI</x:v>
      </x:c>
      <x:c r="B36" t="n">
        <x:v>838</x:v>
      </x:c>
      <x:c r="C36" t="n">
        <x:v>2</x:v>
      </x:c>
      <x:c r="D36" t="str">
        <x:v>15:00</x:v>
      </x:c>
      <x:c r="E36" t="n">
        <x:v>1</x:v>
      </x:c>
      <x:c r="F36" t="n">
        <x:v>10</x:v>
      </x:c>
      <x:c r="G36" t="str">
        <x:v>MIN</x:v>
      </x:c>
      <x:c r="H36" t="str">
        <x:v>CHI</x:v>
      </x:c>
      <x:c r="I36" t="str">
        <x:v>MIN</x:v>
      </x:c>
      <x:c r="J36" t="n">
        <x:v>69</x:v>
      </x:c>
      <x:c r="K36" t="str">
        <x:v>(15:00) (Shotgun) 9-J.McCarthy pass incomplete deep left to 33-A.Jones. PENALTY on CHI-26-N.Wright, Defensive Pass Interference, 42 yards, enforced at MIN 31 - No Play.</x:v>
      </x:c>
      <x:c r="L36" t="str">
        <x:v>no_play</x:v>
      </x:c>
      <x:c r="M36" t="n">
        <x:v>0</x:v>
      </x:c>
      <x:c r="N36" t="n">
        <x:v>1</x:v>
      </x:c>
      <x:c r="O36" t="n">
        <x:v>0</x:v>
      </x:c>
      <x:c r="P36"/>
      <x:c r="Q36"/>
      <x:c r="R36"/>
      <x:c r="S36"/>
      <x:c r="T36"/>
      <x:c r="U36"/>
      <x:c r="V36" t="n">
        <x:v>0</x:v>
      </x:c>
      <x:c r="W36" t="n">
        <x:v>1</x:v>
      </x:c>
      <x:c r="X36" t="n">
        <x:v>0</x:v>
      </x:c>
      <x:c r="Y36" t="n">
        <x:v>0</x:v>
      </x:c>
      <x:c r="Z36" t="n">
        <x:v>0</x:v>
      </x:c>
      <x:c r="AA36" t="n">
        <x:v>1</x:v>
      </x:c>
      <x:c r="AB36" t="n">
        <x:v>42</x:v>
      </x:c>
      <x:c r="AC36" t="n">
        <x:v>0</x:v>
      </x:c>
      <x:c r="AD36" t="n">
        <x:v>2.914042810094543</x:v>
      </x:c>
      <x:c r="AE36" t="n">
        <x:v>1</x:v>
      </x:c>
      <x:c r="AF36" t="n">
        <x:v>0.06743063032627106</x:v>
      </x:c>
      <x:c r="AG36" t="n">
        <x:f>_xlfn.XLOOKUP($A36,Games!$A$2:$A$18,Games!$B$2:$B$18,"Missing game",0)</x:f>
        <x:v>2025</x:v>
      </x:c>
      <x:c r="AH36" t="str">
        <x:f>_xlfn.XLOOKUP($A36,Games!$A$2:$A$18,Games!$C$2:$C$18,"Missing game",0)</x:f>
        <x:v>REG</x:v>
      </x:c>
      <x:c r="AI36" t="n">
        <x:f>_xlfn.XLOOKUP($A36,Games!$A$2:$A$18,Games!$D$2:$D$18,"Missing game",0)</x:f>
        <x:v>1</x:v>
      </x:c>
      <x:c r="AJ36" s="1" t="n">
        <x:f>_xlfn.XLOOKUP($A36,Games!$A$2:$A$18,Games!$E$2:$E$18,"Missing game",0)</x:f>
        <x:v>45908</x:v>
      </x:c>
      <x:c r="AK36" t="str">
        <x:f>_xlfn.XLOOKUP($A36,Games!$A$2:$A$18,Games!$F$2:$F$18,"Missing game",0)</x:f>
        <x:v>Monday</x:v>
      </x:c>
      <x:c r="AL36" t="str">
        <x:f>_xlfn.XLOOKUP($A36,Games!$A$2:$A$18,Games!$G$2:$G$18,"Missing game",0)</x:f>
        <x:v>MIN</x:v>
      </x:c>
      <x:c r="AM36" t="n">
        <x:f>_xlfn.XLOOKUP($A36,Games!$A$2:$A$18,Games!$H$2:$H$18,"Missing game",0)</x:f>
        <x:v>27</x:v>
      </x:c>
      <x:c r="AN36" t="str">
        <x:f>_xlfn.XLOOKUP($A36,Games!$A$2:$A$18,Games!$I$2:$I$18,"Missing game",0)</x:f>
        <x:v>CHI</x:v>
      </x:c>
      <x:c r="AO36" t="n">
        <x:f>_xlfn.XLOOKUP($A36,Games!$A$2:$A$18,Games!$J$2:$J$18,"Missing game",0)</x:f>
        <x:v>24</x:v>
      </x:c>
      <x:c r="AP36" t="n">
        <x:f>_xlfn.XLOOKUP($A36,Games!$A$2:$A$18,Games!$K$2:$K$18,"Missing game",0)</x:f>
        <x:v>-3</x:v>
      </x:c>
      <x:c r="AQ36" t="n">
        <x:f>_xlfn.XLOOKUP($A36,Games!$A$2:$A$18,Games!$L$2:$L$18,"Missing game",0)</x:f>
        <x:v>51</x:v>
      </x:c>
      <x:c r="AR36" t="n">
        <x:f>_xlfn.XLOOKUP($A36,Games!$A$2:$A$18,Games!$M$2:$M$18,"Missing game",0)</x:f>
        <x:v>0</x:v>
      </x:c>
      <x:c r="AS36" t="str">
        <x:f>_xlfn.XLOOKUP($A36,Games!$A$2:$A$18,Games!$N$2:$N$18,"Missing game",0)</x:f>
        <x:v>outdoors</x:v>
      </x:c>
      <x:c r="AT36" t="str">
        <x:f>_xlfn.XLOOKUP($A36,Games!$A$2:$A$18,Games!$O$2:$O$18,"Missing game",0)</x:f>
        <x:v>grass</x:v>
      </x:c>
      <x:c r="AU36" t="n">
        <x:f>_xlfn.XLOOKUP($A36,Games!$A$2:$A$18,Games!$P$2:$P$18,"Missing game",0)</x:f>
        <x:v>68</x:v>
      </x:c>
      <x:c r="AV36" t="n">
        <x:f>_xlfn.XLOOKUP($A36,Games!$A$2:$A$18,Games!$Q$2:$Q$18,"Missing game",0)</x:f>
        <x:v>6</x:v>
      </x:c>
      <x:c r="AW36" t="str">
        <x:f>_xlfn.XLOOKUP($A36,Games!$A$2:$A$18,Games!$R$2:$R$18,"Missing game",0)</x:f>
        <x:v>Soldier Field</x:v>
      </x:c>
    </x:row>
    <x:row r="37">
      <x:c r="A37" t="str">
        <x:v>2025_01_MIN_CHI</x:v>
      </x:c>
      <x:c r="B37" t="n">
        <x:v>872</x:v>
      </x:c>
      <x:c r="C37" t="n">
        <x:v>2</x:v>
      </x:c>
      <x:c r="D37" t="str">
        <x:v>14:53</x:v>
      </x:c>
      <x:c r="E37" t="n">
        <x:v>1</x:v>
      </x:c>
      <x:c r="F37" t="n">
        <x:v>10</x:v>
      </x:c>
      <x:c r="G37" t="str">
        <x:v>MIN</x:v>
      </x:c>
      <x:c r="H37" t="str">
        <x:v>CHI</x:v>
      </x:c>
      <x:c r="I37" t="str">
        <x:v>CHI</x:v>
      </x:c>
      <x:c r="J37" t="n">
        <x:v>27</x:v>
      </x:c>
      <x:c r="K37" t="str">
        <x:v>(14:53) (Shotgun) 9-J.McCarthy scrambles left guard to CHI 16 for 11 yards (29-T.Stevenson).</x:v>
      </x:c>
      <x:c r="L37" t="str">
        <x:v>run</x:v>
      </x:c>
      <x:c r="M37" t="n">
        <x:v>11</x:v>
      </x:c>
      <x:c r="N37" t="n">
        <x:v>1</x:v>
      </x:c>
      <x:c r="O37" t="n">
        <x:v>0</x:v>
      </x:c>
      <x:c r="P37"/>
      <x:c r="Q37"/>
      <x:c r="R37"/>
      <x:c r="S37"/>
      <x:c r="T37" t="str">
        <x:v>left</x:v>
      </x:c>
      <x:c r="U37" t="str">
        <x:v>guard</x:v>
      </x:c>
      <x:c r="V37" t="n">
        <x:v>0</x:v>
      </x:c>
      <x:c r="W37" t="n">
        <x:v>1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/>
      <x:c r="AC37" t="n">
        <x:v>0</x:v>
      </x:c>
      <x:c r="AD37" t="n">
        <x:v>0.6558267112122849</x:v>
      </x:c>
      <x:c r="AE37" t="n">
        <x:v>1</x:v>
      </x:c>
      <x:c r="AF37" t="n">
        <x:v>0.00900578498840332</x:v>
      </x:c>
      <x:c r="AG37" t="n">
        <x:f>_xlfn.XLOOKUP($A37,Games!$A$2:$A$18,Games!$B$2:$B$18,"Missing game",0)</x:f>
        <x:v>2025</x:v>
      </x:c>
      <x:c r="AH37" t="str">
        <x:f>_xlfn.XLOOKUP($A37,Games!$A$2:$A$18,Games!$C$2:$C$18,"Missing game",0)</x:f>
        <x:v>REG</x:v>
      </x:c>
      <x:c r="AI37" t="n">
        <x:f>_xlfn.XLOOKUP($A37,Games!$A$2:$A$18,Games!$D$2:$D$18,"Missing game",0)</x:f>
        <x:v>1</x:v>
      </x:c>
      <x:c r="AJ37" s="1" t="n">
        <x:f>_xlfn.XLOOKUP($A37,Games!$A$2:$A$18,Games!$E$2:$E$18,"Missing game",0)</x:f>
        <x:v>45908</x:v>
      </x:c>
      <x:c r="AK37" t="str">
        <x:f>_xlfn.XLOOKUP($A37,Games!$A$2:$A$18,Games!$F$2:$F$18,"Missing game",0)</x:f>
        <x:v>Monday</x:v>
      </x:c>
      <x:c r="AL37" t="str">
        <x:f>_xlfn.XLOOKUP($A37,Games!$A$2:$A$18,Games!$G$2:$G$18,"Missing game",0)</x:f>
        <x:v>MIN</x:v>
      </x:c>
      <x:c r="AM37" t="n">
        <x:f>_xlfn.XLOOKUP($A37,Games!$A$2:$A$18,Games!$H$2:$H$18,"Missing game",0)</x:f>
        <x:v>27</x:v>
      </x:c>
      <x:c r="AN37" t="str">
        <x:f>_xlfn.XLOOKUP($A37,Games!$A$2:$A$18,Games!$I$2:$I$18,"Missing game",0)</x:f>
        <x:v>CHI</x:v>
      </x:c>
      <x:c r="AO37" t="n">
        <x:f>_xlfn.XLOOKUP($A37,Games!$A$2:$A$18,Games!$J$2:$J$18,"Missing game",0)</x:f>
        <x:v>24</x:v>
      </x:c>
      <x:c r="AP37" t="n">
        <x:f>_xlfn.XLOOKUP($A37,Games!$A$2:$A$18,Games!$K$2:$K$18,"Missing game",0)</x:f>
        <x:v>-3</x:v>
      </x:c>
      <x:c r="AQ37" t="n">
        <x:f>_xlfn.XLOOKUP($A37,Games!$A$2:$A$18,Games!$L$2:$L$18,"Missing game",0)</x:f>
        <x:v>51</x:v>
      </x:c>
      <x:c r="AR37" t="n">
        <x:f>_xlfn.XLOOKUP($A37,Games!$A$2:$A$18,Games!$M$2:$M$18,"Missing game",0)</x:f>
        <x:v>0</x:v>
      </x:c>
      <x:c r="AS37" t="str">
        <x:f>_xlfn.XLOOKUP($A37,Games!$A$2:$A$18,Games!$N$2:$N$18,"Missing game",0)</x:f>
        <x:v>outdoors</x:v>
      </x:c>
      <x:c r="AT37" t="str">
        <x:f>_xlfn.XLOOKUP($A37,Games!$A$2:$A$18,Games!$O$2:$O$18,"Missing game",0)</x:f>
        <x:v>grass</x:v>
      </x:c>
      <x:c r="AU37" t="n">
        <x:f>_xlfn.XLOOKUP($A37,Games!$A$2:$A$18,Games!$P$2:$P$18,"Missing game",0)</x:f>
        <x:v>68</x:v>
      </x:c>
      <x:c r="AV37" t="n">
        <x:f>_xlfn.XLOOKUP($A37,Games!$A$2:$A$18,Games!$Q$2:$Q$18,"Missing game",0)</x:f>
        <x:v>6</x:v>
      </x:c>
      <x:c r="AW37" t="str">
        <x:f>_xlfn.XLOOKUP($A37,Games!$A$2:$A$18,Games!$R$2:$R$18,"Missing game",0)</x:f>
        <x:v>Soldier Field</x:v>
      </x:c>
    </x:row>
    <x:row r="38">
      <x:c r="A38" t="str">
        <x:v>2025_01_MIN_CHI</x:v>
      </x:c>
      <x:c r="B38" t="n">
        <x:v>894</x:v>
      </x:c>
      <x:c r="C38" t="n">
        <x:v>2</x:v>
      </x:c>
      <x:c r="D38" t="str">
        <x:v>14:16</x:v>
      </x:c>
      <x:c r="E38" t="n">
        <x:v>1</x:v>
      </x:c>
      <x:c r="F38" t="n">
        <x:v>10</x:v>
      </x:c>
      <x:c r="G38" t="str">
        <x:v>MIN</x:v>
      </x:c>
      <x:c r="H38" t="str">
        <x:v>CHI</x:v>
      </x:c>
      <x:c r="I38" t="str">
        <x:v>CHI</x:v>
      </x:c>
      <x:c r="J38" t="n">
        <x:v>16</x:v>
      </x:c>
      <x:c r="K38" t="str">
        <x:v>(14:16) 27-J.Mason left guard to CHI 11 for 5 yards (44-N.Sewell).</x:v>
      </x:c>
      <x:c r="L38" t="str">
        <x:v>run</x:v>
      </x:c>
      <x:c r="M38" t="n">
        <x:v>5</x:v>
      </x:c>
      <x:c r="N38" t="n">
        <x:v>0</x:v>
      </x:c>
      <x:c r="O38" t="n">
        <x:v>0</x:v>
      </x:c>
      <x:c r="P38"/>
      <x:c r="Q38"/>
      <x:c r="R38"/>
      <x:c r="S38"/>
      <x:c r="T38" t="str">
        <x:v>left</x:v>
      </x:c>
      <x:c r="U38" t="str">
        <x:v>guard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/>
      <x:c r="AC38" t="n">
        <x:v>0</x:v>
      </x:c>
      <x:c r="AD38" t="n">
        <x:v>0.09281123150140047</x:v>
      </x:c>
      <x:c r="AE38" t="n">
        <x:v>1</x:v>
      </x:c>
      <x:c r="AF38" t="n">
        <x:v>0.00543522834777832</x:v>
      </x:c>
      <x:c r="AG38" t="n">
        <x:f>_xlfn.XLOOKUP($A38,Games!$A$2:$A$18,Games!$B$2:$B$18,"Missing game",0)</x:f>
        <x:v>2025</x:v>
      </x:c>
      <x:c r="AH38" t="str">
        <x:f>_xlfn.XLOOKUP($A38,Games!$A$2:$A$18,Games!$C$2:$C$18,"Missing game",0)</x:f>
        <x:v>REG</x:v>
      </x:c>
      <x:c r="AI38" t="n">
        <x:f>_xlfn.XLOOKUP($A38,Games!$A$2:$A$18,Games!$D$2:$D$18,"Missing game",0)</x:f>
        <x:v>1</x:v>
      </x:c>
      <x:c r="AJ38" s="1" t="n">
        <x:f>_xlfn.XLOOKUP($A38,Games!$A$2:$A$18,Games!$E$2:$E$18,"Missing game",0)</x:f>
        <x:v>45908</x:v>
      </x:c>
      <x:c r="AK38" t="str">
        <x:f>_xlfn.XLOOKUP($A38,Games!$A$2:$A$18,Games!$F$2:$F$18,"Missing game",0)</x:f>
        <x:v>Monday</x:v>
      </x:c>
      <x:c r="AL38" t="str">
        <x:f>_xlfn.XLOOKUP($A38,Games!$A$2:$A$18,Games!$G$2:$G$18,"Missing game",0)</x:f>
        <x:v>MIN</x:v>
      </x:c>
      <x:c r="AM38" t="n">
        <x:f>_xlfn.XLOOKUP($A38,Games!$A$2:$A$18,Games!$H$2:$H$18,"Missing game",0)</x:f>
        <x:v>27</x:v>
      </x:c>
      <x:c r="AN38" t="str">
        <x:f>_xlfn.XLOOKUP($A38,Games!$A$2:$A$18,Games!$I$2:$I$18,"Missing game",0)</x:f>
        <x:v>CHI</x:v>
      </x:c>
      <x:c r="AO38" t="n">
        <x:f>_xlfn.XLOOKUP($A38,Games!$A$2:$A$18,Games!$J$2:$J$18,"Missing game",0)</x:f>
        <x:v>24</x:v>
      </x:c>
      <x:c r="AP38" t="n">
        <x:f>_xlfn.XLOOKUP($A38,Games!$A$2:$A$18,Games!$K$2:$K$18,"Missing game",0)</x:f>
        <x:v>-3</x:v>
      </x:c>
      <x:c r="AQ38" t="n">
        <x:f>_xlfn.XLOOKUP($A38,Games!$A$2:$A$18,Games!$L$2:$L$18,"Missing game",0)</x:f>
        <x:v>51</x:v>
      </x:c>
      <x:c r="AR38" t="n">
        <x:f>_xlfn.XLOOKUP($A38,Games!$A$2:$A$18,Games!$M$2:$M$18,"Missing game",0)</x:f>
        <x:v>0</x:v>
      </x:c>
      <x:c r="AS38" t="str">
        <x:f>_xlfn.XLOOKUP($A38,Games!$A$2:$A$18,Games!$N$2:$N$18,"Missing game",0)</x:f>
        <x:v>outdoors</x:v>
      </x:c>
      <x:c r="AT38" t="str">
        <x:f>_xlfn.XLOOKUP($A38,Games!$A$2:$A$18,Games!$O$2:$O$18,"Missing game",0)</x:f>
        <x:v>grass</x:v>
      </x:c>
      <x:c r="AU38" t="n">
        <x:f>_xlfn.XLOOKUP($A38,Games!$A$2:$A$18,Games!$P$2:$P$18,"Missing game",0)</x:f>
        <x:v>68</x:v>
      </x:c>
      <x:c r="AV38" t="n">
        <x:f>_xlfn.XLOOKUP($A38,Games!$A$2:$A$18,Games!$Q$2:$Q$18,"Missing game",0)</x:f>
        <x:v>6</x:v>
      </x:c>
      <x:c r="AW38" t="str">
        <x:f>_xlfn.XLOOKUP($A38,Games!$A$2:$A$18,Games!$R$2:$R$18,"Missing game",0)</x:f>
        <x:v>Soldier Field</x:v>
      </x:c>
    </x:row>
    <x:row r="39">
      <x:c r="A39" t="str">
        <x:v>2025_01_MIN_CHI</x:v>
      </x:c>
      <x:c r="B39" t="n">
        <x:v>916</x:v>
      </x:c>
      <x:c r="C39" t="n">
        <x:v>2</x:v>
      </x:c>
      <x:c r="D39" t="str">
        <x:v>13:39</x:v>
      </x:c>
      <x:c r="E39" t="n">
        <x:v>2</x:v>
      </x:c>
      <x:c r="F39" t="n">
        <x:v>5</x:v>
      </x:c>
      <x:c r="G39" t="str">
        <x:v>MIN</x:v>
      </x:c>
      <x:c r="H39" t="str">
        <x:v>CHI</x:v>
      </x:c>
      <x:c r="I39" t="str">
        <x:v>CHI</x:v>
      </x:c>
      <x:c r="J39" t="n">
        <x:v>11</x:v>
      </x:c>
      <x:c r="K39" t="str">
        <x:v>(13:39) 27-J.Mason left end to CHI 14 for -3 yards (26-N.Wright, 49-T.Edmunds).</x:v>
      </x:c>
      <x:c r="L39" t="str">
        <x:v>run</x:v>
      </x:c>
      <x:c r="M39" t="n">
        <x:v>-3</x:v>
      </x:c>
      <x:c r="N39" t="n">
        <x:v>0</x:v>
      </x:c>
      <x:c r="O39" t="n">
        <x:v>0</x:v>
      </x:c>
      <x:c r="P39"/>
      <x:c r="Q39"/>
      <x:c r="R39"/>
      <x:c r="S39"/>
      <x:c r="T39" t="str">
        <x:v>left</x:v>
      </x:c>
      <x:c r="U39" t="str">
        <x:v>end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/>
      <x:c r="AC39" t="n">
        <x:v>0</x:v>
      </x:c>
      <x:c r="AD39" t="n">
        <x:v>-1.2246426693163812</x:v>
      </x:c>
      <x:c r="AE39" t="n">
        <x:v>0</x:v>
      </x:c>
      <x:c r="AF39" t="n">
        <x:v>-0.029475808143615723</x:v>
      </x:c>
      <x:c r="AG39" t="n">
        <x:f>_xlfn.XLOOKUP($A39,Games!$A$2:$A$18,Games!$B$2:$B$18,"Missing game",0)</x:f>
        <x:v>2025</x:v>
      </x:c>
      <x:c r="AH39" t="str">
        <x:f>_xlfn.XLOOKUP($A39,Games!$A$2:$A$18,Games!$C$2:$C$18,"Missing game",0)</x:f>
        <x:v>REG</x:v>
      </x:c>
      <x:c r="AI39" t="n">
        <x:f>_xlfn.XLOOKUP($A39,Games!$A$2:$A$18,Games!$D$2:$D$18,"Missing game",0)</x:f>
        <x:v>1</x:v>
      </x:c>
      <x:c r="AJ39" s="1" t="n">
        <x:f>_xlfn.XLOOKUP($A39,Games!$A$2:$A$18,Games!$E$2:$E$18,"Missing game",0)</x:f>
        <x:v>45908</x:v>
      </x:c>
      <x:c r="AK39" t="str">
        <x:f>_xlfn.XLOOKUP($A39,Games!$A$2:$A$18,Games!$F$2:$F$18,"Missing game",0)</x:f>
        <x:v>Monday</x:v>
      </x:c>
      <x:c r="AL39" t="str">
        <x:f>_xlfn.XLOOKUP($A39,Games!$A$2:$A$18,Games!$G$2:$G$18,"Missing game",0)</x:f>
        <x:v>MIN</x:v>
      </x:c>
      <x:c r="AM39" t="n">
        <x:f>_xlfn.XLOOKUP($A39,Games!$A$2:$A$18,Games!$H$2:$H$18,"Missing game",0)</x:f>
        <x:v>27</x:v>
      </x:c>
      <x:c r="AN39" t="str">
        <x:f>_xlfn.XLOOKUP($A39,Games!$A$2:$A$18,Games!$I$2:$I$18,"Missing game",0)</x:f>
        <x:v>CHI</x:v>
      </x:c>
      <x:c r="AO39" t="n">
        <x:f>_xlfn.XLOOKUP($A39,Games!$A$2:$A$18,Games!$J$2:$J$18,"Missing game",0)</x:f>
        <x:v>24</x:v>
      </x:c>
      <x:c r="AP39" t="n">
        <x:f>_xlfn.XLOOKUP($A39,Games!$A$2:$A$18,Games!$K$2:$K$18,"Missing game",0)</x:f>
        <x:v>-3</x:v>
      </x:c>
      <x:c r="AQ39" t="n">
        <x:f>_xlfn.XLOOKUP($A39,Games!$A$2:$A$18,Games!$L$2:$L$18,"Missing game",0)</x:f>
        <x:v>51</x:v>
      </x:c>
      <x:c r="AR39" t="n">
        <x:f>_xlfn.XLOOKUP($A39,Games!$A$2:$A$18,Games!$M$2:$M$18,"Missing game",0)</x:f>
        <x:v>0</x:v>
      </x:c>
      <x:c r="AS39" t="str">
        <x:f>_xlfn.XLOOKUP($A39,Games!$A$2:$A$18,Games!$N$2:$N$18,"Missing game",0)</x:f>
        <x:v>outdoors</x:v>
      </x:c>
      <x:c r="AT39" t="str">
        <x:f>_xlfn.XLOOKUP($A39,Games!$A$2:$A$18,Games!$O$2:$O$18,"Missing game",0)</x:f>
        <x:v>grass</x:v>
      </x:c>
      <x:c r="AU39" t="n">
        <x:f>_xlfn.XLOOKUP($A39,Games!$A$2:$A$18,Games!$P$2:$P$18,"Missing game",0)</x:f>
        <x:v>68</x:v>
      </x:c>
      <x:c r="AV39" t="n">
        <x:f>_xlfn.XLOOKUP($A39,Games!$A$2:$A$18,Games!$Q$2:$Q$18,"Missing game",0)</x:f>
        <x:v>6</x:v>
      </x:c>
      <x:c r="AW39" t="str">
        <x:f>_xlfn.XLOOKUP($A39,Games!$A$2:$A$18,Games!$R$2:$R$18,"Missing game",0)</x:f>
        <x:v>Soldier Field</x:v>
      </x:c>
    </x:row>
    <x:row r="40">
      <x:c r="A40" t="str">
        <x:v>2025_01_MIN_CHI</x:v>
      </x:c>
      <x:c r="B40" t="n">
        <x:v>938</x:v>
      </x:c>
      <x:c r="C40" t="n">
        <x:v>2</x:v>
      </x:c>
      <x:c r="D40" t="str">
        <x:v>12:56</x:v>
      </x:c>
      <x:c r="E40" t="n">
        <x:v>3</x:v>
      </x:c>
      <x:c r="F40" t="n">
        <x:v>8</x:v>
      </x:c>
      <x:c r="G40" t="str">
        <x:v>MIN</x:v>
      </x:c>
      <x:c r="H40" t="str">
        <x:v>CHI</x:v>
      </x:c>
      <x:c r="I40" t="str">
        <x:v>CHI</x:v>
      </x:c>
      <x:c r="J40" t="n">
        <x:v>14</x:v>
      </x:c>
      <x:c r="K40" t="str">
        <x:v>(12:56) (Shotgun) 9-J.McCarthy pass incomplete short right to 18-J.Jefferson.</x:v>
      </x:c>
      <x:c r="L40" t="str">
        <x:v>pass</x:v>
      </x:c>
      <x:c r="M40" t="n">
        <x:v>0</x:v>
      </x:c>
      <x:c r="N40" t="n">
        <x:v>1</x:v>
      </x:c>
      <x:c r="O40" t="n">
        <x:v>0</x:v>
      </x:c>
      <x:c r="P40" t="str">
        <x:v>short</x:v>
      </x:c>
      <x:c r="Q40" t="str">
        <x:v>right</x:v>
      </x:c>
      <x:c r="R40" t="n">
        <x:v>8</x:v>
      </x:c>
      <x:c r="S40"/>
      <x:c r="T40"/>
      <x:c r="U40"/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/>
      <x:c r="AC40" t="n">
        <x:v>0</x:v>
      </x:c>
      <x:c r="AD40" t="n">
        <x:v>-0.8220554012377259</x:v>
      </x:c>
      <x:c r="AE40" t="n">
        <x:v>0</x:v>
      </x:c>
      <x:c r="AF40" t="n">
        <x:v>-0.038450658321380615</x:v>
      </x:c>
      <x:c r="AG40" t="n">
        <x:f>_xlfn.XLOOKUP($A40,Games!$A$2:$A$18,Games!$B$2:$B$18,"Missing game",0)</x:f>
        <x:v>2025</x:v>
      </x:c>
      <x:c r="AH40" t="str">
        <x:f>_xlfn.XLOOKUP($A40,Games!$A$2:$A$18,Games!$C$2:$C$18,"Missing game",0)</x:f>
        <x:v>REG</x:v>
      </x:c>
      <x:c r="AI40" t="n">
        <x:f>_xlfn.XLOOKUP($A40,Games!$A$2:$A$18,Games!$D$2:$D$18,"Missing game",0)</x:f>
        <x:v>1</x:v>
      </x:c>
      <x:c r="AJ40" s="1" t="n">
        <x:f>_xlfn.XLOOKUP($A40,Games!$A$2:$A$18,Games!$E$2:$E$18,"Missing game",0)</x:f>
        <x:v>45908</x:v>
      </x:c>
      <x:c r="AK40" t="str">
        <x:f>_xlfn.XLOOKUP($A40,Games!$A$2:$A$18,Games!$F$2:$F$18,"Missing game",0)</x:f>
        <x:v>Monday</x:v>
      </x:c>
      <x:c r="AL40" t="str">
        <x:f>_xlfn.XLOOKUP($A40,Games!$A$2:$A$18,Games!$G$2:$G$18,"Missing game",0)</x:f>
        <x:v>MIN</x:v>
      </x:c>
      <x:c r="AM40" t="n">
        <x:f>_xlfn.XLOOKUP($A40,Games!$A$2:$A$18,Games!$H$2:$H$18,"Missing game",0)</x:f>
        <x:v>27</x:v>
      </x:c>
      <x:c r="AN40" t="str">
        <x:f>_xlfn.XLOOKUP($A40,Games!$A$2:$A$18,Games!$I$2:$I$18,"Missing game",0)</x:f>
        <x:v>CHI</x:v>
      </x:c>
      <x:c r="AO40" t="n">
        <x:f>_xlfn.XLOOKUP($A40,Games!$A$2:$A$18,Games!$J$2:$J$18,"Missing game",0)</x:f>
        <x:v>24</x:v>
      </x:c>
      <x:c r="AP40" t="n">
        <x:f>_xlfn.XLOOKUP($A40,Games!$A$2:$A$18,Games!$K$2:$K$18,"Missing game",0)</x:f>
        <x:v>-3</x:v>
      </x:c>
      <x:c r="AQ40" t="n">
        <x:f>_xlfn.XLOOKUP($A40,Games!$A$2:$A$18,Games!$L$2:$L$18,"Missing game",0)</x:f>
        <x:v>51</x:v>
      </x:c>
      <x:c r="AR40" t="n">
        <x:f>_xlfn.XLOOKUP($A40,Games!$A$2:$A$18,Games!$M$2:$M$18,"Missing game",0)</x:f>
        <x:v>0</x:v>
      </x:c>
      <x:c r="AS40" t="str">
        <x:f>_xlfn.XLOOKUP($A40,Games!$A$2:$A$18,Games!$N$2:$N$18,"Missing game",0)</x:f>
        <x:v>outdoors</x:v>
      </x:c>
      <x:c r="AT40" t="str">
        <x:f>_xlfn.XLOOKUP($A40,Games!$A$2:$A$18,Games!$O$2:$O$18,"Missing game",0)</x:f>
        <x:v>grass</x:v>
      </x:c>
      <x:c r="AU40" t="n">
        <x:f>_xlfn.XLOOKUP($A40,Games!$A$2:$A$18,Games!$P$2:$P$18,"Missing game",0)</x:f>
        <x:v>68</x:v>
      </x:c>
      <x:c r="AV40" t="n">
        <x:f>_xlfn.XLOOKUP($A40,Games!$A$2:$A$18,Games!$Q$2:$Q$18,"Missing game",0)</x:f>
        <x:v>6</x:v>
      </x:c>
      <x:c r="AW40" t="str">
        <x:f>_xlfn.XLOOKUP($A40,Games!$A$2:$A$18,Games!$R$2:$R$18,"Missing game",0)</x:f>
        <x:v>Soldier Field</x:v>
      </x:c>
    </x:row>
    <x:row r="41">
      <x:c r="A41" t="str">
        <x:v>2025_01_MIN_CHI</x:v>
      </x:c>
      <x:c r="B41" t="n">
        <x:v>961</x:v>
      </x:c>
      <x:c r="C41" t="n">
        <x:v>2</x:v>
      </x:c>
      <x:c r="D41" t="str">
        <x:v>12:51</x:v>
      </x:c>
      <x:c r="E41" t="n">
        <x:v>4</x:v>
      </x:c>
      <x:c r="F41" t="n">
        <x:v>8</x:v>
      </x:c>
      <x:c r="G41" t="str">
        <x:v>MIN</x:v>
      </x:c>
      <x:c r="H41" t="str">
        <x:v>CHI</x:v>
      </x:c>
      <x:c r="I41" t="str">
        <x:v>CHI</x:v>
      </x:c>
      <x:c r="J41" t="n">
        <x:v>14</x:v>
      </x:c>
      <x:c r="K41" t="str">
        <x:v>(12:51) 16-W.Reichard 31 yard field goal is GOOD, Center-42-A.DePaola, Holder-17-R.Wright.</x:v>
      </x:c>
      <x:c r="L41" t="str">
        <x:v>field_goal</x:v>
      </x:c>
      <x:c r="M41" t="n">
        <x:v>0</x:v>
      </x:c>
      <x:c r="N41" t="n">
        <x:v>0</x:v>
      </x:c>
      <x:c r="O41" t="n">
        <x:v>0</x:v>
      </x:c>
      <x:c r="P41"/>
      <x:c r="Q41"/>
      <x:c r="R41"/>
      <x:c r="S41"/>
      <x:c r="T41"/>
      <x:c r="U41"/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/>
      <x:c r="AC41" t="n">
        <x:v>0</x:v>
      </x:c>
      <x:c r="AD41" t="n">
        <x:v>0.21582090640817553</x:v>
      </x:c>
      <x:c r="AE41" t="n">
        <x:v>1</x:v>
      </x:c>
      <x:c r="AF41" t="n">
        <x:v>0.022641688585281372</x:v>
      </x:c>
      <x:c r="AG41" t="n">
        <x:f>_xlfn.XLOOKUP($A41,Games!$A$2:$A$18,Games!$B$2:$B$18,"Missing game",0)</x:f>
        <x:v>2025</x:v>
      </x:c>
      <x:c r="AH41" t="str">
        <x:f>_xlfn.XLOOKUP($A41,Games!$A$2:$A$18,Games!$C$2:$C$18,"Missing game",0)</x:f>
        <x:v>REG</x:v>
      </x:c>
      <x:c r="AI41" t="n">
        <x:f>_xlfn.XLOOKUP($A41,Games!$A$2:$A$18,Games!$D$2:$D$18,"Missing game",0)</x:f>
        <x:v>1</x:v>
      </x:c>
      <x:c r="AJ41" s="1" t="n">
        <x:f>_xlfn.XLOOKUP($A41,Games!$A$2:$A$18,Games!$E$2:$E$18,"Missing game",0)</x:f>
        <x:v>45908</x:v>
      </x:c>
      <x:c r="AK41" t="str">
        <x:f>_xlfn.XLOOKUP($A41,Games!$A$2:$A$18,Games!$F$2:$F$18,"Missing game",0)</x:f>
        <x:v>Monday</x:v>
      </x:c>
      <x:c r="AL41" t="str">
        <x:f>_xlfn.XLOOKUP($A41,Games!$A$2:$A$18,Games!$G$2:$G$18,"Missing game",0)</x:f>
        <x:v>MIN</x:v>
      </x:c>
      <x:c r="AM41" t="n">
        <x:f>_xlfn.XLOOKUP($A41,Games!$A$2:$A$18,Games!$H$2:$H$18,"Missing game",0)</x:f>
        <x:v>27</x:v>
      </x:c>
      <x:c r="AN41" t="str">
        <x:f>_xlfn.XLOOKUP($A41,Games!$A$2:$A$18,Games!$I$2:$I$18,"Missing game",0)</x:f>
        <x:v>CHI</x:v>
      </x:c>
      <x:c r="AO41" t="n">
        <x:f>_xlfn.XLOOKUP($A41,Games!$A$2:$A$18,Games!$J$2:$J$18,"Missing game",0)</x:f>
        <x:v>24</x:v>
      </x:c>
      <x:c r="AP41" t="n">
        <x:f>_xlfn.XLOOKUP($A41,Games!$A$2:$A$18,Games!$K$2:$K$18,"Missing game",0)</x:f>
        <x:v>-3</x:v>
      </x:c>
      <x:c r="AQ41" t="n">
        <x:f>_xlfn.XLOOKUP($A41,Games!$A$2:$A$18,Games!$L$2:$L$18,"Missing game",0)</x:f>
        <x:v>51</x:v>
      </x:c>
      <x:c r="AR41" t="n">
        <x:f>_xlfn.XLOOKUP($A41,Games!$A$2:$A$18,Games!$M$2:$M$18,"Missing game",0)</x:f>
        <x:v>0</x:v>
      </x:c>
      <x:c r="AS41" t="str">
        <x:f>_xlfn.XLOOKUP($A41,Games!$A$2:$A$18,Games!$N$2:$N$18,"Missing game",0)</x:f>
        <x:v>outdoors</x:v>
      </x:c>
      <x:c r="AT41" t="str">
        <x:f>_xlfn.XLOOKUP($A41,Games!$A$2:$A$18,Games!$O$2:$O$18,"Missing game",0)</x:f>
        <x:v>grass</x:v>
      </x:c>
      <x:c r="AU41" t="n">
        <x:f>_xlfn.XLOOKUP($A41,Games!$A$2:$A$18,Games!$P$2:$P$18,"Missing game",0)</x:f>
        <x:v>68</x:v>
      </x:c>
      <x:c r="AV41" t="n">
        <x:f>_xlfn.XLOOKUP($A41,Games!$A$2:$A$18,Games!$Q$2:$Q$18,"Missing game",0)</x:f>
        <x:v>6</x:v>
      </x:c>
      <x:c r="AW41" t="str">
        <x:f>_xlfn.XLOOKUP($A41,Games!$A$2:$A$18,Games!$R$2:$R$18,"Missing game",0)</x:f>
        <x:v>Soldier Field</x:v>
      </x:c>
    </x:row>
    <x:row r="42">
      <x:c r="A42" t="str">
        <x:v>2025_01_MIN_CHI</x:v>
      </x:c>
      <x:c r="B42" t="n">
        <x:v>981</x:v>
      </x:c>
      <x:c r="C42" t="n">
        <x:v>2</x:v>
      </x:c>
      <x:c r="D42" t="str">
        <x:v>12:48</x:v>
      </x:c>
      <x:c r="E42"/>
      <x:c r="F42" t="n">
        <x:v>0</x:v>
      </x:c>
      <x:c r="G42" t="str">
        <x:v>CHI</x:v>
      </x:c>
      <x:c r="H42" t="str">
        <x:v>MIN</x:v>
      </x:c>
      <x:c r="I42" t="str">
        <x:v>MIN</x:v>
      </x:c>
      <x:c r="J42" t="n">
        <x:v>35</x:v>
      </x:c>
      <x:c r="K42" t="str">
        <x:v>16-W.Reichard kicks 65 yards from MIN 35 to CHI 0. 12-D.Duvernay pushed ob at CHI 34 for 34 yards (13-T.Felton). PENALTY on MIN-24-J.Ward, Illegal Formation, 5 yards, enforced at CHI 34.</x:v>
      </x:c>
      <x:c r="L42" t="str">
        <x:v>kickoff</x:v>
      </x:c>
      <x:c r="M42" t="n">
        <x:v>0</x:v>
      </x:c>
      <x:c r="N42" t="n">
        <x:v>0</x:v>
      </x:c>
      <x:c r="O42" t="n">
        <x:v>0</x:v>
      </x:c>
      <x:c r="P42"/>
      <x:c r="Q42"/>
      <x:c r="R42"/>
      <x:c r="S42"/>
      <x:c r="T42"/>
      <x:c r="U42"/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1</x:v>
      </x:c>
      <x:c r="AB42" t="n">
        <x:v>5</x:v>
      </x:c>
      <x:c r="AC42" t="n">
        <x:v>0</x:v>
      </x:c>
      <x:c r="AD42" t="n">
        <x:v>0.8331907368265092</x:v>
      </x:c>
      <x:c r="AE42" t="n">
        <x:v>1</x:v>
      </x:c>
      <x:c r="AF42" t="n">
        <x:v>0.02313476800918579</x:v>
      </x:c>
      <x:c r="AG42" t="n">
        <x:f>_xlfn.XLOOKUP($A42,Games!$A$2:$A$18,Games!$B$2:$B$18,"Missing game",0)</x:f>
        <x:v>2025</x:v>
      </x:c>
      <x:c r="AH42" t="str">
        <x:f>_xlfn.XLOOKUP($A42,Games!$A$2:$A$18,Games!$C$2:$C$18,"Missing game",0)</x:f>
        <x:v>REG</x:v>
      </x:c>
      <x:c r="AI42" t="n">
        <x:f>_xlfn.XLOOKUP($A42,Games!$A$2:$A$18,Games!$D$2:$D$18,"Missing game",0)</x:f>
        <x:v>1</x:v>
      </x:c>
      <x:c r="AJ42" s="1" t="n">
        <x:f>_xlfn.XLOOKUP($A42,Games!$A$2:$A$18,Games!$E$2:$E$18,"Missing game",0)</x:f>
        <x:v>45908</x:v>
      </x:c>
      <x:c r="AK42" t="str">
        <x:f>_xlfn.XLOOKUP($A42,Games!$A$2:$A$18,Games!$F$2:$F$18,"Missing game",0)</x:f>
        <x:v>Monday</x:v>
      </x:c>
      <x:c r="AL42" t="str">
        <x:f>_xlfn.XLOOKUP($A42,Games!$A$2:$A$18,Games!$G$2:$G$18,"Missing game",0)</x:f>
        <x:v>MIN</x:v>
      </x:c>
      <x:c r="AM42" t="n">
        <x:f>_xlfn.XLOOKUP($A42,Games!$A$2:$A$18,Games!$H$2:$H$18,"Missing game",0)</x:f>
        <x:v>27</x:v>
      </x:c>
      <x:c r="AN42" t="str">
        <x:f>_xlfn.XLOOKUP($A42,Games!$A$2:$A$18,Games!$I$2:$I$18,"Missing game",0)</x:f>
        <x:v>CHI</x:v>
      </x:c>
      <x:c r="AO42" t="n">
        <x:f>_xlfn.XLOOKUP($A42,Games!$A$2:$A$18,Games!$J$2:$J$18,"Missing game",0)</x:f>
        <x:v>24</x:v>
      </x:c>
      <x:c r="AP42" t="n">
        <x:f>_xlfn.XLOOKUP($A42,Games!$A$2:$A$18,Games!$K$2:$K$18,"Missing game",0)</x:f>
        <x:v>-3</x:v>
      </x:c>
      <x:c r="AQ42" t="n">
        <x:f>_xlfn.XLOOKUP($A42,Games!$A$2:$A$18,Games!$L$2:$L$18,"Missing game",0)</x:f>
        <x:v>51</x:v>
      </x:c>
      <x:c r="AR42" t="n">
        <x:f>_xlfn.XLOOKUP($A42,Games!$A$2:$A$18,Games!$M$2:$M$18,"Missing game",0)</x:f>
        <x:v>0</x:v>
      </x:c>
      <x:c r="AS42" t="str">
        <x:f>_xlfn.XLOOKUP($A42,Games!$A$2:$A$18,Games!$N$2:$N$18,"Missing game",0)</x:f>
        <x:v>outdoors</x:v>
      </x:c>
      <x:c r="AT42" t="str">
        <x:f>_xlfn.XLOOKUP($A42,Games!$A$2:$A$18,Games!$O$2:$O$18,"Missing game",0)</x:f>
        <x:v>grass</x:v>
      </x:c>
      <x:c r="AU42" t="n">
        <x:f>_xlfn.XLOOKUP($A42,Games!$A$2:$A$18,Games!$P$2:$P$18,"Missing game",0)</x:f>
        <x:v>68</x:v>
      </x:c>
      <x:c r="AV42" t="n">
        <x:f>_xlfn.XLOOKUP($A42,Games!$A$2:$A$18,Games!$Q$2:$Q$18,"Missing game",0)</x:f>
        <x:v>6</x:v>
      </x:c>
      <x:c r="AW42" t="str">
        <x:f>_xlfn.XLOOKUP($A42,Games!$A$2:$A$18,Games!$R$2:$R$18,"Missing game",0)</x:f>
        <x:v>Soldier Field</x:v>
      </x:c>
    </x:row>
    <x:row r="43">
      <x:c r="A43" t="str">
        <x:v>2025_01_MIN_CHI</x:v>
      </x:c>
      <x:c r="B43" t="n">
        <x:v>1027</x:v>
      </x:c>
      <x:c r="C43" t="n">
        <x:v>2</x:v>
      </x:c>
      <x:c r="D43" t="str">
        <x:v>12:41</x:v>
      </x:c>
      <x:c r="E43" t="n">
        <x:v>1</x:v>
      </x:c>
      <x:c r="F43" t="n">
        <x:v>10</x:v>
      </x:c>
      <x:c r="G43" t="str">
        <x:v>CHI</x:v>
      </x:c>
      <x:c r="H43" t="str">
        <x:v>MIN</x:v>
      </x:c>
      <x:c r="I43" t="str">
        <x:v>CHI</x:v>
      </x:c>
      <x:c r="J43" t="n">
        <x:v>61</x:v>
      </x:c>
      <x:c r="K43" t="str">
        <x:v>(12:41) (Shotgun) 18-C.Williams pass deep right to 2-D.Moore to MIN 31 for 30 yards (26-T.Jackson).</x:v>
      </x:c>
      <x:c r="L43" t="str">
        <x:v>pass</x:v>
      </x:c>
      <x:c r="M43" t="n">
        <x:v>30</x:v>
      </x:c>
      <x:c r="N43" t="n">
        <x:v>1</x:v>
      </x:c>
      <x:c r="O43" t="n">
        <x:v>0</x:v>
      </x:c>
      <x:c r="P43" t="str">
        <x:v>deep</x:v>
      </x:c>
      <x:c r="Q43" t="str">
        <x:v>right</x:v>
      </x:c>
      <x:c r="R43" t="n">
        <x:v>19</x:v>
      </x:c>
      <x:c r="S43" t="n">
        <x:v>11</x:v>
      </x:c>
      <x:c r="T43"/>
      <x:c r="U43"/>
      <x:c r="V43" t="n">
        <x:v>1</x:v>
      </x:c>
      <x:c r="W43" t="n">
        <x:v>1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/>
      <x:c r="AC43" t="n">
        <x:v>0</x:v>
      </x:c>
      <x:c r="AD43" t="n">
        <x:v>1.743657780229114</x:v>
      </x:c>
      <x:c r="AE43" t="n">
        <x:v>1</x:v>
      </x:c>
      <x:c r="AF43" t="n">
        <x:v>0.03983652591705322</x:v>
      </x:c>
      <x:c r="AG43" t="n">
        <x:f>_xlfn.XLOOKUP($A43,Games!$A$2:$A$18,Games!$B$2:$B$18,"Missing game",0)</x:f>
        <x:v>2025</x:v>
      </x:c>
      <x:c r="AH43" t="str">
        <x:f>_xlfn.XLOOKUP($A43,Games!$A$2:$A$18,Games!$C$2:$C$18,"Missing game",0)</x:f>
        <x:v>REG</x:v>
      </x:c>
      <x:c r="AI43" t="n">
        <x:f>_xlfn.XLOOKUP($A43,Games!$A$2:$A$18,Games!$D$2:$D$18,"Missing game",0)</x:f>
        <x:v>1</x:v>
      </x:c>
      <x:c r="AJ43" s="1" t="n">
        <x:f>_xlfn.XLOOKUP($A43,Games!$A$2:$A$18,Games!$E$2:$E$18,"Missing game",0)</x:f>
        <x:v>45908</x:v>
      </x:c>
      <x:c r="AK43" t="str">
        <x:f>_xlfn.XLOOKUP($A43,Games!$A$2:$A$18,Games!$F$2:$F$18,"Missing game",0)</x:f>
        <x:v>Monday</x:v>
      </x:c>
      <x:c r="AL43" t="str">
        <x:f>_xlfn.XLOOKUP($A43,Games!$A$2:$A$18,Games!$G$2:$G$18,"Missing game",0)</x:f>
        <x:v>MIN</x:v>
      </x:c>
      <x:c r="AM43" t="n">
        <x:f>_xlfn.XLOOKUP($A43,Games!$A$2:$A$18,Games!$H$2:$H$18,"Missing game",0)</x:f>
        <x:v>27</x:v>
      </x:c>
      <x:c r="AN43" t="str">
        <x:f>_xlfn.XLOOKUP($A43,Games!$A$2:$A$18,Games!$I$2:$I$18,"Missing game",0)</x:f>
        <x:v>CHI</x:v>
      </x:c>
      <x:c r="AO43" t="n">
        <x:f>_xlfn.XLOOKUP($A43,Games!$A$2:$A$18,Games!$J$2:$J$18,"Missing game",0)</x:f>
        <x:v>24</x:v>
      </x:c>
      <x:c r="AP43" t="n">
        <x:f>_xlfn.XLOOKUP($A43,Games!$A$2:$A$18,Games!$K$2:$K$18,"Missing game",0)</x:f>
        <x:v>-3</x:v>
      </x:c>
      <x:c r="AQ43" t="n">
        <x:f>_xlfn.XLOOKUP($A43,Games!$A$2:$A$18,Games!$L$2:$L$18,"Missing game",0)</x:f>
        <x:v>51</x:v>
      </x:c>
      <x:c r="AR43" t="n">
        <x:f>_xlfn.XLOOKUP($A43,Games!$A$2:$A$18,Games!$M$2:$M$18,"Missing game",0)</x:f>
        <x:v>0</x:v>
      </x:c>
      <x:c r="AS43" t="str">
        <x:f>_xlfn.XLOOKUP($A43,Games!$A$2:$A$18,Games!$N$2:$N$18,"Missing game",0)</x:f>
        <x:v>outdoors</x:v>
      </x:c>
      <x:c r="AT43" t="str">
        <x:f>_xlfn.XLOOKUP($A43,Games!$A$2:$A$18,Games!$O$2:$O$18,"Missing game",0)</x:f>
        <x:v>grass</x:v>
      </x:c>
      <x:c r="AU43" t="n">
        <x:f>_xlfn.XLOOKUP($A43,Games!$A$2:$A$18,Games!$P$2:$P$18,"Missing game",0)</x:f>
        <x:v>68</x:v>
      </x:c>
      <x:c r="AV43" t="n">
        <x:f>_xlfn.XLOOKUP($A43,Games!$A$2:$A$18,Games!$Q$2:$Q$18,"Missing game",0)</x:f>
        <x:v>6</x:v>
      </x:c>
      <x:c r="AW43" t="str">
        <x:f>_xlfn.XLOOKUP($A43,Games!$A$2:$A$18,Games!$R$2:$R$18,"Missing game",0)</x:f>
        <x:v>Soldier Field</x:v>
      </x:c>
    </x:row>
    <x:row r="44">
      <x:c r="A44" t="str">
        <x:v>2025_01_MIN_CHI</x:v>
      </x:c>
      <x:c r="B44" t="n">
        <x:v>1052</x:v>
      </x:c>
      <x:c r="C44" t="n">
        <x:v>2</x:v>
      </x:c>
      <x:c r="D44" t="str">
        <x:v>11:50</x:v>
      </x:c>
      <x:c r="E44" t="n">
        <x:v>1</x:v>
      </x:c>
      <x:c r="F44" t="n">
        <x:v>10</x:v>
      </x:c>
      <x:c r="G44" t="str">
        <x:v>CHI</x:v>
      </x:c>
      <x:c r="H44" t="str">
        <x:v>MIN</x:v>
      </x:c>
      <x:c r="I44" t="str">
        <x:v>MIN</x:v>
      </x:c>
      <x:c r="J44" t="n">
        <x:v>31</x:v>
      </x:c>
      <x:c r="K44" t="str">
        <x:v>(11:50) 2-D.Moore left tackle to MIN 30 for 1 yard (55-E.Wilson).</x:v>
      </x:c>
      <x:c r="L44" t="str">
        <x:v>run</x:v>
      </x:c>
      <x:c r="M44" t="n">
        <x:v>1</x:v>
      </x:c>
      <x:c r="N44" t="n">
        <x:v>0</x:v>
      </x:c>
      <x:c r="O44" t="n">
        <x:v>0</x:v>
      </x:c>
      <x:c r="P44"/>
      <x:c r="Q44"/>
      <x:c r="R44"/>
      <x:c r="S44"/>
      <x:c r="T44" t="str">
        <x:v>left</x:v>
      </x:c>
      <x:c r="U44" t="str">
        <x:v>tackle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/>
      <x:c r="AC44" t="n">
        <x:v>0</x:v>
      </x:c>
      <x:c r="AD44" t="n">
        <x:v>-0.39528583007631823</x:v>
      </x:c>
      <x:c r="AE44" t="n">
        <x:v>0</x:v>
      </x:c>
      <x:c r="AF44" t="n">
        <x:v>-0.00799340009689331</x:v>
      </x:c>
      <x:c r="AG44" t="n">
        <x:f>_xlfn.XLOOKUP($A44,Games!$A$2:$A$18,Games!$B$2:$B$18,"Missing game",0)</x:f>
        <x:v>2025</x:v>
      </x:c>
      <x:c r="AH44" t="str">
        <x:f>_xlfn.XLOOKUP($A44,Games!$A$2:$A$18,Games!$C$2:$C$18,"Missing game",0)</x:f>
        <x:v>REG</x:v>
      </x:c>
      <x:c r="AI44" t="n">
        <x:f>_xlfn.XLOOKUP($A44,Games!$A$2:$A$18,Games!$D$2:$D$18,"Missing game",0)</x:f>
        <x:v>1</x:v>
      </x:c>
      <x:c r="AJ44" s="1" t="n">
        <x:f>_xlfn.XLOOKUP($A44,Games!$A$2:$A$18,Games!$E$2:$E$18,"Missing game",0)</x:f>
        <x:v>45908</x:v>
      </x:c>
      <x:c r="AK44" t="str">
        <x:f>_xlfn.XLOOKUP($A44,Games!$A$2:$A$18,Games!$F$2:$F$18,"Missing game",0)</x:f>
        <x:v>Monday</x:v>
      </x:c>
      <x:c r="AL44" t="str">
        <x:f>_xlfn.XLOOKUP($A44,Games!$A$2:$A$18,Games!$G$2:$G$18,"Missing game",0)</x:f>
        <x:v>MIN</x:v>
      </x:c>
      <x:c r="AM44" t="n">
        <x:f>_xlfn.XLOOKUP($A44,Games!$A$2:$A$18,Games!$H$2:$H$18,"Missing game",0)</x:f>
        <x:v>27</x:v>
      </x:c>
      <x:c r="AN44" t="str">
        <x:f>_xlfn.XLOOKUP($A44,Games!$A$2:$A$18,Games!$I$2:$I$18,"Missing game",0)</x:f>
        <x:v>CHI</x:v>
      </x:c>
      <x:c r="AO44" t="n">
        <x:f>_xlfn.XLOOKUP($A44,Games!$A$2:$A$18,Games!$J$2:$J$18,"Missing game",0)</x:f>
        <x:v>24</x:v>
      </x:c>
      <x:c r="AP44" t="n">
        <x:f>_xlfn.XLOOKUP($A44,Games!$A$2:$A$18,Games!$K$2:$K$18,"Missing game",0)</x:f>
        <x:v>-3</x:v>
      </x:c>
      <x:c r="AQ44" t="n">
        <x:f>_xlfn.XLOOKUP($A44,Games!$A$2:$A$18,Games!$L$2:$L$18,"Missing game",0)</x:f>
        <x:v>51</x:v>
      </x:c>
      <x:c r="AR44" t="n">
        <x:f>_xlfn.XLOOKUP($A44,Games!$A$2:$A$18,Games!$M$2:$M$18,"Missing game",0)</x:f>
        <x:v>0</x:v>
      </x:c>
      <x:c r="AS44" t="str">
        <x:f>_xlfn.XLOOKUP($A44,Games!$A$2:$A$18,Games!$N$2:$N$18,"Missing game",0)</x:f>
        <x:v>outdoors</x:v>
      </x:c>
      <x:c r="AT44" t="str">
        <x:f>_xlfn.XLOOKUP($A44,Games!$A$2:$A$18,Games!$O$2:$O$18,"Missing game",0)</x:f>
        <x:v>grass</x:v>
      </x:c>
      <x:c r="AU44" t="n">
        <x:f>_xlfn.XLOOKUP($A44,Games!$A$2:$A$18,Games!$P$2:$P$18,"Missing game",0)</x:f>
        <x:v>68</x:v>
      </x:c>
      <x:c r="AV44" t="n">
        <x:f>_xlfn.XLOOKUP($A44,Games!$A$2:$A$18,Games!$Q$2:$Q$18,"Missing game",0)</x:f>
        <x:v>6</x:v>
      </x:c>
      <x:c r="AW44" t="str">
        <x:f>_xlfn.XLOOKUP($A44,Games!$A$2:$A$18,Games!$R$2:$R$18,"Missing game",0)</x:f>
        <x:v>Soldier Field</x:v>
      </x:c>
    </x:row>
    <x:row r="45">
      <x:c r="A45" t="str">
        <x:v>2025_01_MIN_CHI</x:v>
      </x:c>
      <x:c r="B45" t="n">
        <x:v>1074</x:v>
      </x:c>
      <x:c r="C45" t="n">
        <x:v>2</x:v>
      </x:c>
      <x:c r="D45" t="str">
        <x:v>11:10</x:v>
      </x:c>
      <x:c r="E45" t="n">
        <x:v>2</x:v>
      </x:c>
      <x:c r="F45" t="n">
        <x:v>9</x:v>
      </x:c>
      <x:c r="G45" t="str">
        <x:v>CHI</x:v>
      </x:c>
      <x:c r="H45" t="str">
        <x:v>MIN</x:v>
      </x:c>
      <x:c r="I45" t="str">
        <x:v>MIN</x:v>
      </x:c>
      <x:c r="J45" t="n">
        <x:v>30</x:v>
      </x:c>
      <x:c r="K45" t="str">
        <x:v>(11:10) (Shotgun) PENALTY on CHI-2-D.Moore, False Start, 5 yards, enforced at MIN 30 - No Play.</x:v>
      </x:c>
      <x:c r="L45" t="str">
        <x:v>no_play</x:v>
      </x:c>
      <x:c r="M45" t="n">
        <x:v>0</x:v>
      </x:c>
      <x:c r="N45" t="n">
        <x:v>1</x:v>
      </x:c>
      <x:c r="O45" t="n">
        <x:v>0</x:v>
      </x:c>
      <x:c r="P45"/>
      <x:c r="Q45"/>
      <x:c r="R45"/>
      <x:c r="S45"/>
      <x:c r="T45"/>
      <x:c r="U45"/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1</x:v>
      </x:c>
      <x:c r="AB45" t="n">
        <x:v>5</x:v>
      </x:c>
      <x:c r="AC45" t="n">
        <x:v>0</x:v>
      </x:c>
      <x:c r="AD45" t="n">
        <x:v>-0.6159204767900519</x:v>
      </x:c>
      <x:c r="AE45" t="n">
        <x:v>0</x:v>
      </x:c>
      <x:c r="AF45" t="n">
        <x:v>0.008275210857391357</x:v>
      </x:c>
      <x:c r="AG45" t="n">
        <x:f>_xlfn.XLOOKUP($A45,Games!$A$2:$A$18,Games!$B$2:$B$18,"Missing game",0)</x:f>
        <x:v>2025</x:v>
      </x:c>
      <x:c r="AH45" t="str">
        <x:f>_xlfn.XLOOKUP($A45,Games!$A$2:$A$18,Games!$C$2:$C$18,"Missing game",0)</x:f>
        <x:v>REG</x:v>
      </x:c>
      <x:c r="AI45" t="n">
        <x:f>_xlfn.XLOOKUP($A45,Games!$A$2:$A$18,Games!$D$2:$D$18,"Missing game",0)</x:f>
        <x:v>1</x:v>
      </x:c>
      <x:c r="AJ45" s="1" t="n">
        <x:f>_xlfn.XLOOKUP($A45,Games!$A$2:$A$18,Games!$E$2:$E$18,"Missing game",0)</x:f>
        <x:v>45908</x:v>
      </x:c>
      <x:c r="AK45" t="str">
        <x:f>_xlfn.XLOOKUP($A45,Games!$A$2:$A$18,Games!$F$2:$F$18,"Missing game",0)</x:f>
        <x:v>Monday</x:v>
      </x:c>
      <x:c r="AL45" t="str">
        <x:f>_xlfn.XLOOKUP($A45,Games!$A$2:$A$18,Games!$G$2:$G$18,"Missing game",0)</x:f>
        <x:v>MIN</x:v>
      </x:c>
      <x:c r="AM45" t="n">
        <x:f>_xlfn.XLOOKUP($A45,Games!$A$2:$A$18,Games!$H$2:$H$18,"Missing game",0)</x:f>
        <x:v>27</x:v>
      </x:c>
      <x:c r="AN45" t="str">
        <x:f>_xlfn.XLOOKUP($A45,Games!$A$2:$A$18,Games!$I$2:$I$18,"Missing game",0)</x:f>
        <x:v>CHI</x:v>
      </x:c>
      <x:c r="AO45" t="n">
        <x:f>_xlfn.XLOOKUP($A45,Games!$A$2:$A$18,Games!$J$2:$J$18,"Missing game",0)</x:f>
        <x:v>24</x:v>
      </x:c>
      <x:c r="AP45" t="n">
        <x:f>_xlfn.XLOOKUP($A45,Games!$A$2:$A$18,Games!$K$2:$K$18,"Missing game",0)</x:f>
        <x:v>-3</x:v>
      </x:c>
      <x:c r="AQ45" t="n">
        <x:f>_xlfn.XLOOKUP($A45,Games!$A$2:$A$18,Games!$L$2:$L$18,"Missing game",0)</x:f>
        <x:v>51</x:v>
      </x:c>
      <x:c r="AR45" t="n">
        <x:f>_xlfn.XLOOKUP($A45,Games!$A$2:$A$18,Games!$M$2:$M$18,"Missing game",0)</x:f>
        <x:v>0</x:v>
      </x:c>
      <x:c r="AS45" t="str">
        <x:f>_xlfn.XLOOKUP($A45,Games!$A$2:$A$18,Games!$N$2:$N$18,"Missing game",0)</x:f>
        <x:v>outdoors</x:v>
      </x:c>
      <x:c r="AT45" t="str">
        <x:f>_xlfn.XLOOKUP($A45,Games!$A$2:$A$18,Games!$O$2:$O$18,"Missing game",0)</x:f>
        <x:v>grass</x:v>
      </x:c>
      <x:c r="AU45" t="n">
        <x:f>_xlfn.XLOOKUP($A45,Games!$A$2:$A$18,Games!$P$2:$P$18,"Missing game",0)</x:f>
        <x:v>68</x:v>
      </x:c>
      <x:c r="AV45" t="n">
        <x:f>_xlfn.XLOOKUP($A45,Games!$A$2:$A$18,Games!$Q$2:$Q$18,"Missing game",0)</x:f>
        <x:v>6</x:v>
      </x:c>
      <x:c r="AW45" t="str">
        <x:f>_xlfn.XLOOKUP($A45,Games!$A$2:$A$18,Games!$R$2:$R$18,"Missing game",0)</x:f>
        <x:v>Soldier Field</x:v>
      </x:c>
    </x:row>
    <x:row r="46">
      <x:c r="A46" t="str">
        <x:v>2025_01_MIN_CHI</x:v>
      </x:c>
      <x:c r="B46" t="n">
        <x:v>1098</x:v>
      </x:c>
      <x:c r="C46" t="n">
        <x:v>2</x:v>
      </x:c>
      <x:c r="D46" t="str">
        <x:v>10:47</x:v>
      </x:c>
      <x:c r="E46" t="n">
        <x:v>2</x:v>
      </x:c>
      <x:c r="F46" t="n">
        <x:v>14</x:v>
      </x:c>
      <x:c r="G46" t="str">
        <x:v>CHI</x:v>
      </x:c>
      <x:c r="H46" t="str">
        <x:v>MIN</x:v>
      </x:c>
      <x:c r="I46" t="str">
        <x:v>MIN</x:v>
      </x:c>
      <x:c r="J46" t="n">
        <x:v>35</x:v>
      </x:c>
      <x:c r="K46" t="str">
        <x:v>(10:47) (Shotgun) 18-C.Williams scrambles left end to MIN 26 for 9 yards (7-B.Murphy).</x:v>
      </x:c>
      <x:c r="L46" t="str">
        <x:v>run</x:v>
      </x:c>
      <x:c r="M46" t="n">
        <x:v>9</x:v>
      </x:c>
      <x:c r="N46" t="n">
        <x:v>1</x:v>
      </x:c>
      <x:c r="O46" t="n">
        <x:v>0</x:v>
      </x:c>
      <x:c r="P46"/>
      <x:c r="Q46"/>
      <x:c r="R46"/>
      <x:c r="S46"/>
      <x:c r="T46" t="str">
        <x:v>left</x:v>
      </x:c>
      <x:c r="U46" t="str">
        <x:v>end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/>
      <x:c r="AC46" t="n">
        <x:v>0</x:v>
      </x:c>
      <x:c r="AD46" t="n">
        <x:v>0.547525990055874</x:v>
      </x:c>
      <x:c r="AE46" t="n">
        <x:v>1</x:v>
      </x:c>
      <x:c r="AF46" t="n">
        <x:v>-0.004794478416442871</x:v>
      </x:c>
      <x:c r="AG46" t="n">
        <x:f>_xlfn.XLOOKUP($A46,Games!$A$2:$A$18,Games!$B$2:$B$18,"Missing game",0)</x:f>
        <x:v>2025</x:v>
      </x:c>
      <x:c r="AH46" t="str">
        <x:f>_xlfn.XLOOKUP($A46,Games!$A$2:$A$18,Games!$C$2:$C$18,"Missing game",0)</x:f>
        <x:v>REG</x:v>
      </x:c>
      <x:c r="AI46" t="n">
        <x:f>_xlfn.XLOOKUP($A46,Games!$A$2:$A$18,Games!$D$2:$D$18,"Missing game",0)</x:f>
        <x:v>1</x:v>
      </x:c>
      <x:c r="AJ46" s="1" t="n">
        <x:f>_xlfn.XLOOKUP($A46,Games!$A$2:$A$18,Games!$E$2:$E$18,"Missing game",0)</x:f>
        <x:v>45908</x:v>
      </x:c>
      <x:c r="AK46" t="str">
        <x:f>_xlfn.XLOOKUP($A46,Games!$A$2:$A$18,Games!$F$2:$F$18,"Missing game",0)</x:f>
        <x:v>Monday</x:v>
      </x:c>
      <x:c r="AL46" t="str">
        <x:f>_xlfn.XLOOKUP($A46,Games!$A$2:$A$18,Games!$G$2:$G$18,"Missing game",0)</x:f>
        <x:v>MIN</x:v>
      </x:c>
      <x:c r="AM46" t="n">
        <x:f>_xlfn.XLOOKUP($A46,Games!$A$2:$A$18,Games!$H$2:$H$18,"Missing game",0)</x:f>
        <x:v>27</x:v>
      </x:c>
      <x:c r="AN46" t="str">
        <x:f>_xlfn.XLOOKUP($A46,Games!$A$2:$A$18,Games!$I$2:$I$18,"Missing game",0)</x:f>
        <x:v>CHI</x:v>
      </x:c>
      <x:c r="AO46" t="n">
        <x:f>_xlfn.XLOOKUP($A46,Games!$A$2:$A$18,Games!$J$2:$J$18,"Missing game",0)</x:f>
        <x:v>24</x:v>
      </x:c>
      <x:c r="AP46" t="n">
        <x:f>_xlfn.XLOOKUP($A46,Games!$A$2:$A$18,Games!$K$2:$K$18,"Missing game",0)</x:f>
        <x:v>-3</x:v>
      </x:c>
      <x:c r="AQ46" t="n">
        <x:f>_xlfn.XLOOKUP($A46,Games!$A$2:$A$18,Games!$L$2:$L$18,"Missing game",0)</x:f>
        <x:v>51</x:v>
      </x:c>
      <x:c r="AR46" t="n">
        <x:f>_xlfn.XLOOKUP($A46,Games!$A$2:$A$18,Games!$M$2:$M$18,"Missing game",0)</x:f>
        <x:v>0</x:v>
      </x:c>
      <x:c r="AS46" t="str">
        <x:f>_xlfn.XLOOKUP($A46,Games!$A$2:$A$18,Games!$N$2:$N$18,"Missing game",0)</x:f>
        <x:v>outdoors</x:v>
      </x:c>
      <x:c r="AT46" t="str">
        <x:f>_xlfn.XLOOKUP($A46,Games!$A$2:$A$18,Games!$O$2:$O$18,"Missing game",0)</x:f>
        <x:v>grass</x:v>
      </x:c>
      <x:c r="AU46" t="n">
        <x:f>_xlfn.XLOOKUP($A46,Games!$A$2:$A$18,Games!$P$2:$P$18,"Missing game",0)</x:f>
        <x:v>68</x:v>
      </x:c>
      <x:c r="AV46" t="n">
        <x:f>_xlfn.XLOOKUP($A46,Games!$A$2:$A$18,Games!$Q$2:$Q$18,"Missing game",0)</x:f>
        <x:v>6</x:v>
      </x:c>
      <x:c r="AW46" t="str">
        <x:f>_xlfn.XLOOKUP($A46,Games!$A$2:$A$18,Games!$R$2:$R$18,"Missing game",0)</x:f>
        <x:v>Soldier Field</x:v>
      </x:c>
    </x:row>
    <x:row r="47">
      <x:c r="A47" t="str">
        <x:v>2025_01_MIN_CHI</x:v>
      </x:c>
      <x:c r="B47" t="n">
        <x:v>1120</x:v>
      </x:c>
      <x:c r="C47" t="n">
        <x:v>2</x:v>
      </x:c>
      <x:c r="D47" t="str">
        <x:v>09:59</x:v>
      </x:c>
      <x:c r="E47" t="n">
        <x:v>3</x:v>
      </x:c>
      <x:c r="F47" t="n">
        <x:v>5</x:v>
      </x:c>
      <x:c r="G47" t="str">
        <x:v>CHI</x:v>
      </x:c>
      <x:c r="H47" t="str">
        <x:v>MIN</x:v>
      </x:c>
      <x:c r="I47" t="str">
        <x:v>MIN</x:v>
      </x:c>
      <x:c r="J47" t="n">
        <x:v>26</x:v>
      </x:c>
      <x:c r="K47" t="str">
        <x:v>(9:59) (Shotgun) PENALTY on CHI-73-J.Jackson, False Start, 5 yards, enforced at MIN 26 - No Play.</x:v>
      </x:c>
      <x:c r="L47" t="str">
        <x:v>no_play</x:v>
      </x:c>
      <x:c r="M47" t="n">
        <x:v>0</x:v>
      </x:c>
      <x:c r="N47" t="n">
        <x:v>1</x:v>
      </x:c>
      <x:c r="O47" t="n">
        <x:v>0</x:v>
      </x:c>
      <x:c r="P47"/>
      <x:c r="Q47"/>
      <x:c r="R47"/>
      <x:c r="S47"/>
      <x:c r="T47"/>
      <x:c r="U47"/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1</x:v>
      </x:c>
      <x:c r="AB47" t="n">
        <x:v>5</x:v>
      </x:c>
      <x:c r="AC47" t="n">
        <x:v>0</x:v>
      </x:c>
      <x:c r="AD47" t="n">
        <x:v>-0.5881196905393153</x:v>
      </x:c>
      <x:c r="AE47" t="n">
        <x:v>0</x:v>
      </x:c>
      <x:c r="AF47" t="n">
        <x:v>-0.01795142889022827</x:v>
      </x:c>
      <x:c r="AG47" t="n">
        <x:f>_xlfn.XLOOKUP($A47,Games!$A$2:$A$18,Games!$B$2:$B$18,"Missing game",0)</x:f>
        <x:v>2025</x:v>
      </x:c>
      <x:c r="AH47" t="str">
        <x:f>_xlfn.XLOOKUP($A47,Games!$A$2:$A$18,Games!$C$2:$C$18,"Missing game",0)</x:f>
        <x:v>REG</x:v>
      </x:c>
      <x:c r="AI47" t="n">
        <x:f>_xlfn.XLOOKUP($A47,Games!$A$2:$A$18,Games!$D$2:$D$18,"Missing game",0)</x:f>
        <x:v>1</x:v>
      </x:c>
      <x:c r="AJ47" s="1" t="n">
        <x:f>_xlfn.XLOOKUP($A47,Games!$A$2:$A$18,Games!$E$2:$E$18,"Missing game",0)</x:f>
        <x:v>45908</x:v>
      </x:c>
      <x:c r="AK47" t="str">
        <x:f>_xlfn.XLOOKUP($A47,Games!$A$2:$A$18,Games!$F$2:$F$18,"Missing game",0)</x:f>
        <x:v>Monday</x:v>
      </x:c>
      <x:c r="AL47" t="str">
        <x:f>_xlfn.XLOOKUP($A47,Games!$A$2:$A$18,Games!$G$2:$G$18,"Missing game",0)</x:f>
        <x:v>MIN</x:v>
      </x:c>
      <x:c r="AM47" t="n">
        <x:f>_xlfn.XLOOKUP($A47,Games!$A$2:$A$18,Games!$H$2:$H$18,"Missing game",0)</x:f>
        <x:v>27</x:v>
      </x:c>
      <x:c r="AN47" t="str">
        <x:f>_xlfn.XLOOKUP($A47,Games!$A$2:$A$18,Games!$I$2:$I$18,"Missing game",0)</x:f>
        <x:v>CHI</x:v>
      </x:c>
      <x:c r="AO47" t="n">
        <x:f>_xlfn.XLOOKUP($A47,Games!$A$2:$A$18,Games!$J$2:$J$18,"Missing game",0)</x:f>
        <x:v>24</x:v>
      </x:c>
      <x:c r="AP47" t="n">
        <x:f>_xlfn.XLOOKUP($A47,Games!$A$2:$A$18,Games!$K$2:$K$18,"Missing game",0)</x:f>
        <x:v>-3</x:v>
      </x:c>
      <x:c r="AQ47" t="n">
        <x:f>_xlfn.XLOOKUP($A47,Games!$A$2:$A$18,Games!$L$2:$L$18,"Missing game",0)</x:f>
        <x:v>51</x:v>
      </x:c>
      <x:c r="AR47" t="n">
        <x:f>_xlfn.XLOOKUP($A47,Games!$A$2:$A$18,Games!$M$2:$M$18,"Missing game",0)</x:f>
        <x:v>0</x:v>
      </x:c>
      <x:c r="AS47" t="str">
        <x:f>_xlfn.XLOOKUP($A47,Games!$A$2:$A$18,Games!$N$2:$N$18,"Missing game",0)</x:f>
        <x:v>outdoors</x:v>
      </x:c>
      <x:c r="AT47" t="str">
        <x:f>_xlfn.XLOOKUP($A47,Games!$A$2:$A$18,Games!$O$2:$O$18,"Missing game",0)</x:f>
        <x:v>grass</x:v>
      </x:c>
      <x:c r="AU47" t="n">
        <x:f>_xlfn.XLOOKUP($A47,Games!$A$2:$A$18,Games!$P$2:$P$18,"Missing game",0)</x:f>
        <x:v>68</x:v>
      </x:c>
      <x:c r="AV47" t="n">
        <x:f>_xlfn.XLOOKUP($A47,Games!$A$2:$A$18,Games!$Q$2:$Q$18,"Missing game",0)</x:f>
        <x:v>6</x:v>
      </x:c>
      <x:c r="AW47" t="str">
        <x:f>_xlfn.XLOOKUP($A47,Games!$A$2:$A$18,Games!$R$2:$R$18,"Missing game",0)</x:f>
        <x:v>Soldier Field</x:v>
      </x:c>
    </x:row>
    <x:row r="48">
      <x:c r="A48" t="str">
        <x:v>2025_01_MIN_CHI</x:v>
      </x:c>
      <x:c r="B48" t="n">
        <x:v>1144</x:v>
      </x:c>
      <x:c r="C48" t="n">
        <x:v>2</x:v>
      </x:c>
      <x:c r="D48" t="str">
        <x:v>09:40</x:v>
      </x:c>
      <x:c r="E48" t="n">
        <x:v>3</x:v>
      </x:c>
      <x:c r="F48" t="n">
        <x:v>10</x:v>
      </x:c>
      <x:c r="G48" t="str">
        <x:v>CHI</x:v>
      </x:c>
      <x:c r="H48" t="str">
        <x:v>MIN</x:v>
      </x:c>
      <x:c r="I48" t="str">
        <x:v>MIN</x:v>
      </x:c>
      <x:c r="J48" t="n">
        <x:v>31</x:v>
      </x:c>
      <x:c r="K48" t="str">
        <x:v>(9:40) (Shotgun) 4-D.Swift up the middle to MIN 24 for 7 yards (26-T.Jackson; 97-J.Hargrave).</x:v>
      </x:c>
      <x:c r="L48" t="str">
        <x:v>run</x:v>
      </x:c>
      <x:c r="M48" t="n">
        <x:v>7</x:v>
      </x:c>
      <x:c r="N48" t="n">
        <x:v>1</x:v>
      </x:c>
      <x:c r="O48" t="n">
        <x:v>0</x:v>
      </x:c>
      <x:c r="P48"/>
      <x:c r="Q48"/>
      <x:c r="R48"/>
      <x:c r="S48"/>
      <x:c r="T48" t="str">
        <x:v>middle</x:v>
      </x:c>
      <x:c r="U48"/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/>
      <x:c r="AC48" t="n">
        <x:v>0</x:v>
      </x:c>
      <x:c r="AD48" t="n">
        <x:v>-0.15815825044410303</x:v>
      </x:c>
      <x:c r="AE48" t="n">
        <x:v>0</x:v>
      </x:c>
      <x:c r="AF48" t="n">
        <x:v>0.0030144453048706055</x:v>
      </x:c>
      <x:c r="AG48" t="n">
        <x:f>_xlfn.XLOOKUP($A48,Games!$A$2:$A$18,Games!$B$2:$B$18,"Missing game",0)</x:f>
        <x:v>2025</x:v>
      </x:c>
      <x:c r="AH48" t="str">
        <x:f>_xlfn.XLOOKUP($A48,Games!$A$2:$A$18,Games!$C$2:$C$18,"Missing game",0)</x:f>
        <x:v>REG</x:v>
      </x:c>
      <x:c r="AI48" t="n">
        <x:f>_xlfn.XLOOKUP($A48,Games!$A$2:$A$18,Games!$D$2:$D$18,"Missing game",0)</x:f>
        <x:v>1</x:v>
      </x:c>
      <x:c r="AJ48" s="1" t="n">
        <x:f>_xlfn.XLOOKUP($A48,Games!$A$2:$A$18,Games!$E$2:$E$18,"Missing game",0)</x:f>
        <x:v>45908</x:v>
      </x:c>
      <x:c r="AK48" t="str">
        <x:f>_xlfn.XLOOKUP($A48,Games!$A$2:$A$18,Games!$F$2:$F$18,"Missing game",0)</x:f>
        <x:v>Monday</x:v>
      </x:c>
      <x:c r="AL48" t="str">
        <x:f>_xlfn.XLOOKUP($A48,Games!$A$2:$A$18,Games!$G$2:$G$18,"Missing game",0)</x:f>
        <x:v>MIN</x:v>
      </x:c>
      <x:c r="AM48" t="n">
        <x:f>_xlfn.XLOOKUP($A48,Games!$A$2:$A$18,Games!$H$2:$H$18,"Missing game",0)</x:f>
        <x:v>27</x:v>
      </x:c>
      <x:c r="AN48" t="str">
        <x:f>_xlfn.XLOOKUP($A48,Games!$A$2:$A$18,Games!$I$2:$I$18,"Missing game",0)</x:f>
        <x:v>CHI</x:v>
      </x:c>
      <x:c r="AO48" t="n">
        <x:f>_xlfn.XLOOKUP($A48,Games!$A$2:$A$18,Games!$J$2:$J$18,"Missing game",0)</x:f>
        <x:v>24</x:v>
      </x:c>
      <x:c r="AP48" t="n">
        <x:f>_xlfn.XLOOKUP($A48,Games!$A$2:$A$18,Games!$K$2:$K$18,"Missing game",0)</x:f>
        <x:v>-3</x:v>
      </x:c>
      <x:c r="AQ48" t="n">
        <x:f>_xlfn.XLOOKUP($A48,Games!$A$2:$A$18,Games!$L$2:$L$18,"Missing game",0)</x:f>
        <x:v>51</x:v>
      </x:c>
      <x:c r="AR48" t="n">
        <x:f>_xlfn.XLOOKUP($A48,Games!$A$2:$A$18,Games!$M$2:$M$18,"Missing game",0)</x:f>
        <x:v>0</x:v>
      </x:c>
      <x:c r="AS48" t="str">
        <x:f>_xlfn.XLOOKUP($A48,Games!$A$2:$A$18,Games!$N$2:$N$18,"Missing game",0)</x:f>
        <x:v>outdoors</x:v>
      </x:c>
      <x:c r="AT48" t="str">
        <x:f>_xlfn.XLOOKUP($A48,Games!$A$2:$A$18,Games!$O$2:$O$18,"Missing game",0)</x:f>
        <x:v>grass</x:v>
      </x:c>
      <x:c r="AU48" t="n">
        <x:f>_xlfn.XLOOKUP($A48,Games!$A$2:$A$18,Games!$P$2:$P$18,"Missing game",0)</x:f>
        <x:v>68</x:v>
      </x:c>
      <x:c r="AV48" t="n">
        <x:f>_xlfn.XLOOKUP($A48,Games!$A$2:$A$18,Games!$Q$2:$Q$18,"Missing game",0)</x:f>
        <x:v>6</x:v>
      </x:c>
      <x:c r="AW48" t="str">
        <x:f>_xlfn.XLOOKUP($A48,Games!$A$2:$A$18,Games!$R$2:$R$18,"Missing game",0)</x:f>
        <x:v>Soldier Field</x:v>
      </x:c>
    </x:row>
    <x:row r="49">
      <x:c r="A49" t="str">
        <x:v>2025_01_MIN_CHI</x:v>
      </x:c>
      <x:c r="B49" t="n">
        <x:v>1166</x:v>
      </x:c>
      <x:c r="C49" t="n">
        <x:v>2</x:v>
      </x:c>
      <x:c r="D49" t="str">
        <x:v>08:59</x:v>
      </x:c>
      <x:c r="E49" t="n">
        <x:v>4</x:v>
      </x:c>
      <x:c r="F49" t="n">
        <x:v>3</x:v>
      </x:c>
      <x:c r="G49" t="str">
        <x:v>CHI</x:v>
      </x:c>
      <x:c r="H49" t="str">
        <x:v>MIN</x:v>
      </x:c>
      <x:c r="I49" t="str">
        <x:v>MIN</x:v>
      </x:c>
      <x:c r="J49" t="n">
        <x:v>24</x:v>
      </x:c>
      <x:c r="K49" t="str">
        <x:v>(8:59) (Shotgun) 18-C.Williams pass incomplete short middle to 2-D.Moore.</x:v>
      </x:c>
      <x:c r="L49" t="str">
        <x:v>pass</x:v>
      </x:c>
      <x:c r="M49" t="n">
        <x:v>0</x:v>
      </x:c>
      <x:c r="N49" t="n">
        <x:v>1</x:v>
      </x:c>
      <x:c r="O49" t="n">
        <x:v>0</x:v>
      </x:c>
      <x:c r="P49" t="str">
        <x:v>short</x:v>
      </x:c>
      <x:c r="Q49" t="str">
        <x:v>middle</x:v>
      </x:c>
      <x:c r="R49" t="n">
        <x:v>14</x:v>
      </x:c>
      <x:c r="S49"/>
      <x:c r="T49"/>
      <x:c r="U49"/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/>
      <x:c r="AC49" t="n">
        <x:v>0</x:v>
      </x:c>
      <x:c r="AD49" t="n">
        <x:v>-3.5126483020721935</x:v>
      </x:c>
      <x:c r="AE49" t="n">
        <x:v>0</x:v>
      </x:c>
      <x:c r="AF49" t="n">
        <x:v>-0.07522109150886536</x:v>
      </x:c>
      <x:c r="AG49" t="n">
        <x:f>_xlfn.XLOOKUP($A49,Games!$A$2:$A$18,Games!$B$2:$B$18,"Missing game",0)</x:f>
        <x:v>2025</x:v>
      </x:c>
      <x:c r="AH49" t="str">
        <x:f>_xlfn.XLOOKUP($A49,Games!$A$2:$A$18,Games!$C$2:$C$18,"Missing game",0)</x:f>
        <x:v>REG</x:v>
      </x:c>
      <x:c r="AI49" t="n">
        <x:f>_xlfn.XLOOKUP($A49,Games!$A$2:$A$18,Games!$D$2:$D$18,"Missing game",0)</x:f>
        <x:v>1</x:v>
      </x:c>
      <x:c r="AJ49" s="1" t="n">
        <x:f>_xlfn.XLOOKUP($A49,Games!$A$2:$A$18,Games!$E$2:$E$18,"Missing game",0)</x:f>
        <x:v>45908</x:v>
      </x:c>
      <x:c r="AK49" t="str">
        <x:f>_xlfn.XLOOKUP($A49,Games!$A$2:$A$18,Games!$F$2:$F$18,"Missing game",0)</x:f>
        <x:v>Monday</x:v>
      </x:c>
      <x:c r="AL49" t="str">
        <x:f>_xlfn.XLOOKUP($A49,Games!$A$2:$A$18,Games!$G$2:$G$18,"Missing game",0)</x:f>
        <x:v>MIN</x:v>
      </x:c>
      <x:c r="AM49" t="n">
        <x:f>_xlfn.XLOOKUP($A49,Games!$A$2:$A$18,Games!$H$2:$H$18,"Missing game",0)</x:f>
        <x:v>27</x:v>
      </x:c>
      <x:c r="AN49" t="str">
        <x:f>_xlfn.XLOOKUP($A49,Games!$A$2:$A$18,Games!$I$2:$I$18,"Missing game",0)</x:f>
        <x:v>CHI</x:v>
      </x:c>
      <x:c r="AO49" t="n">
        <x:f>_xlfn.XLOOKUP($A49,Games!$A$2:$A$18,Games!$J$2:$J$18,"Missing game",0)</x:f>
        <x:v>24</x:v>
      </x:c>
      <x:c r="AP49" t="n">
        <x:f>_xlfn.XLOOKUP($A49,Games!$A$2:$A$18,Games!$K$2:$K$18,"Missing game",0)</x:f>
        <x:v>-3</x:v>
      </x:c>
      <x:c r="AQ49" t="n">
        <x:f>_xlfn.XLOOKUP($A49,Games!$A$2:$A$18,Games!$L$2:$L$18,"Missing game",0)</x:f>
        <x:v>51</x:v>
      </x:c>
      <x:c r="AR49" t="n">
        <x:f>_xlfn.XLOOKUP($A49,Games!$A$2:$A$18,Games!$M$2:$M$18,"Missing game",0)</x:f>
        <x:v>0</x:v>
      </x:c>
      <x:c r="AS49" t="str">
        <x:f>_xlfn.XLOOKUP($A49,Games!$A$2:$A$18,Games!$N$2:$N$18,"Missing game",0)</x:f>
        <x:v>outdoors</x:v>
      </x:c>
      <x:c r="AT49" t="str">
        <x:f>_xlfn.XLOOKUP($A49,Games!$A$2:$A$18,Games!$O$2:$O$18,"Missing game",0)</x:f>
        <x:v>grass</x:v>
      </x:c>
      <x:c r="AU49" t="n">
        <x:f>_xlfn.XLOOKUP($A49,Games!$A$2:$A$18,Games!$P$2:$P$18,"Missing game",0)</x:f>
        <x:v>68</x:v>
      </x:c>
      <x:c r="AV49" t="n">
        <x:f>_xlfn.XLOOKUP($A49,Games!$A$2:$A$18,Games!$Q$2:$Q$18,"Missing game",0)</x:f>
        <x:v>6</x:v>
      </x:c>
      <x:c r="AW49" t="str">
        <x:f>_xlfn.XLOOKUP($A49,Games!$A$2:$A$18,Games!$R$2:$R$18,"Missing game",0)</x:f>
        <x:v>Soldier Field</x:v>
      </x:c>
    </x:row>
    <x:row r="50">
      <x:c r="A50" t="str">
        <x:v>2025_01_MIN_CHI</x:v>
      </x:c>
      <x:c r="B50" t="n">
        <x:v>1178</x:v>
      </x:c>
      <x:c r="C50" t="n">
        <x:v>2</x:v>
      </x:c>
      <x:c r="D50" t="str">
        <x:v>08:59</x:v>
      </x:c>
      <x:c r="E50"/>
      <x:c r="F50" t="n">
        <x:v>0</x:v>
      </x:c>
      <x:c r="G50"/>
      <x:c r="H50"/>
      <x:c r="I50"/>
      <x:c r="J50"/>
      <x:c r="K50" t="str">
        <x:v>Timeout #2 by CHI at 08:59.</x:v>
      </x:c>
      <x:c r="L50" t="str">
        <x:v>no_play</x:v>
      </x:c>
      <x:c r="M50" t="n">
        <x:v>0</x:v>
      </x:c>
      <x:c r="N50" t="n">
        <x:v>0</x:v>
      </x:c>
      <x:c r="O50" t="n">
        <x:v>0</x:v>
      </x:c>
      <x:c r="P50"/>
      <x:c r="Q50"/>
      <x:c r="R50"/>
      <x:c r="S50"/>
      <x:c r="T50"/>
      <x:c r="U50"/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/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f>_xlfn.XLOOKUP($A50,Games!$A$2:$A$18,Games!$B$2:$B$18,"Missing game",0)</x:f>
        <x:v>2025</x:v>
      </x:c>
      <x:c r="AH50" t="str">
        <x:f>_xlfn.XLOOKUP($A50,Games!$A$2:$A$18,Games!$C$2:$C$18,"Missing game",0)</x:f>
        <x:v>REG</x:v>
      </x:c>
      <x:c r="AI50" t="n">
        <x:f>_xlfn.XLOOKUP($A50,Games!$A$2:$A$18,Games!$D$2:$D$18,"Missing game",0)</x:f>
        <x:v>1</x:v>
      </x:c>
      <x:c r="AJ50" s="1" t="n">
        <x:f>_xlfn.XLOOKUP($A50,Games!$A$2:$A$18,Games!$E$2:$E$18,"Missing game",0)</x:f>
        <x:v>45908</x:v>
      </x:c>
      <x:c r="AK50" t="str">
        <x:f>_xlfn.XLOOKUP($A50,Games!$A$2:$A$18,Games!$F$2:$F$18,"Missing game",0)</x:f>
        <x:v>Monday</x:v>
      </x:c>
      <x:c r="AL50" t="str">
        <x:f>_xlfn.XLOOKUP($A50,Games!$A$2:$A$18,Games!$G$2:$G$18,"Missing game",0)</x:f>
        <x:v>MIN</x:v>
      </x:c>
      <x:c r="AM50" t="n">
        <x:f>_xlfn.XLOOKUP($A50,Games!$A$2:$A$18,Games!$H$2:$H$18,"Missing game",0)</x:f>
        <x:v>27</x:v>
      </x:c>
      <x:c r="AN50" t="str">
        <x:f>_xlfn.XLOOKUP($A50,Games!$A$2:$A$18,Games!$I$2:$I$18,"Missing game",0)</x:f>
        <x:v>CHI</x:v>
      </x:c>
      <x:c r="AO50" t="n">
        <x:f>_xlfn.XLOOKUP($A50,Games!$A$2:$A$18,Games!$J$2:$J$18,"Missing game",0)</x:f>
        <x:v>24</x:v>
      </x:c>
      <x:c r="AP50" t="n">
        <x:f>_xlfn.XLOOKUP($A50,Games!$A$2:$A$18,Games!$K$2:$K$18,"Missing game",0)</x:f>
        <x:v>-3</x:v>
      </x:c>
      <x:c r="AQ50" t="n">
        <x:f>_xlfn.XLOOKUP($A50,Games!$A$2:$A$18,Games!$L$2:$L$18,"Missing game",0)</x:f>
        <x:v>51</x:v>
      </x:c>
      <x:c r="AR50" t="n">
        <x:f>_xlfn.XLOOKUP($A50,Games!$A$2:$A$18,Games!$M$2:$M$18,"Missing game",0)</x:f>
        <x:v>0</x:v>
      </x:c>
      <x:c r="AS50" t="str">
        <x:f>_xlfn.XLOOKUP($A50,Games!$A$2:$A$18,Games!$N$2:$N$18,"Missing game",0)</x:f>
        <x:v>outdoors</x:v>
      </x:c>
      <x:c r="AT50" t="str">
        <x:f>_xlfn.XLOOKUP($A50,Games!$A$2:$A$18,Games!$O$2:$O$18,"Missing game",0)</x:f>
        <x:v>grass</x:v>
      </x:c>
      <x:c r="AU50" t="n">
        <x:f>_xlfn.XLOOKUP($A50,Games!$A$2:$A$18,Games!$P$2:$P$18,"Missing game",0)</x:f>
        <x:v>68</x:v>
      </x:c>
      <x:c r="AV50" t="n">
        <x:f>_xlfn.XLOOKUP($A50,Games!$A$2:$A$18,Games!$Q$2:$Q$18,"Missing game",0)</x:f>
        <x:v>6</x:v>
      </x:c>
      <x:c r="AW50" t="str">
        <x:f>_xlfn.XLOOKUP($A50,Games!$A$2:$A$18,Games!$R$2:$R$18,"Missing game",0)</x:f>
        <x:v>Soldier Field</x:v>
      </x:c>
    </x:row>
    <x:row r="51">
      <x:c r="A51" t="str">
        <x:v>2025_01_MIN_CHI</x:v>
      </x:c>
      <x:c r="B51" t="n">
        <x:v>1196</x:v>
      </x:c>
      <x:c r="C51" t="n">
        <x:v>2</x:v>
      </x:c>
      <x:c r="D51" t="str">
        <x:v>08:55</x:v>
      </x:c>
      <x:c r="E51" t="n">
        <x:v>1</x:v>
      </x:c>
      <x:c r="F51" t="n">
        <x:v>10</x:v>
      </x:c>
      <x:c r="G51" t="str">
        <x:v>MIN</x:v>
      </x:c>
      <x:c r="H51" t="str">
        <x:v>CHI</x:v>
      </x:c>
      <x:c r="I51" t="str">
        <x:v>MIN</x:v>
      </x:c>
      <x:c r="J51" t="n">
        <x:v>75</x:v>
      </x:c>
      <x:c r="K51" t="str">
        <x:v>(8:55) 33-A.Jones left end pushed ob at MIN 26 for 1 yard (44-N.Sewell).</x:v>
      </x:c>
      <x:c r="L51" t="str">
        <x:v>run</x:v>
      </x:c>
      <x:c r="M51" t="n">
        <x:v>1</x:v>
      </x:c>
      <x:c r="N51" t="n">
        <x:v>0</x:v>
      </x:c>
      <x:c r="O51" t="n">
        <x:v>0</x:v>
      </x:c>
      <x:c r="P51"/>
      <x:c r="Q51"/>
      <x:c r="R51"/>
      <x:c r="S51"/>
      <x:c r="T51" t="str">
        <x:v>left</x:v>
      </x:c>
      <x:c r="U51" t="str">
        <x:v>end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/>
      <x:c r="AC51" t="n">
        <x:v>0</x:v>
      </x:c>
      <x:c r="AD51" t="n">
        <x:v>-0.463822805788368</x:v>
      </x:c>
      <x:c r="AE51" t="n">
        <x:v>0</x:v>
      </x:c>
      <x:c r="AF51" t="n">
        <x:v>-0.01249435544013977</x:v>
      </x:c>
      <x:c r="AG51" t="n">
        <x:f>_xlfn.XLOOKUP($A51,Games!$A$2:$A$18,Games!$B$2:$B$18,"Missing game",0)</x:f>
        <x:v>2025</x:v>
      </x:c>
      <x:c r="AH51" t="str">
        <x:f>_xlfn.XLOOKUP($A51,Games!$A$2:$A$18,Games!$C$2:$C$18,"Missing game",0)</x:f>
        <x:v>REG</x:v>
      </x:c>
      <x:c r="AI51" t="n">
        <x:f>_xlfn.XLOOKUP($A51,Games!$A$2:$A$18,Games!$D$2:$D$18,"Missing game",0)</x:f>
        <x:v>1</x:v>
      </x:c>
      <x:c r="AJ51" s="1" t="n">
        <x:f>_xlfn.XLOOKUP($A51,Games!$A$2:$A$18,Games!$E$2:$E$18,"Missing game",0)</x:f>
        <x:v>45908</x:v>
      </x:c>
      <x:c r="AK51" t="str">
        <x:f>_xlfn.XLOOKUP($A51,Games!$A$2:$A$18,Games!$F$2:$F$18,"Missing game",0)</x:f>
        <x:v>Monday</x:v>
      </x:c>
      <x:c r="AL51" t="str">
        <x:f>_xlfn.XLOOKUP($A51,Games!$A$2:$A$18,Games!$G$2:$G$18,"Missing game",0)</x:f>
        <x:v>MIN</x:v>
      </x:c>
      <x:c r="AM51" t="n">
        <x:f>_xlfn.XLOOKUP($A51,Games!$A$2:$A$18,Games!$H$2:$H$18,"Missing game",0)</x:f>
        <x:v>27</x:v>
      </x:c>
      <x:c r="AN51" t="str">
        <x:f>_xlfn.XLOOKUP($A51,Games!$A$2:$A$18,Games!$I$2:$I$18,"Missing game",0)</x:f>
        <x:v>CHI</x:v>
      </x:c>
      <x:c r="AO51" t="n">
        <x:f>_xlfn.XLOOKUP($A51,Games!$A$2:$A$18,Games!$J$2:$J$18,"Missing game",0)</x:f>
        <x:v>24</x:v>
      </x:c>
      <x:c r="AP51" t="n">
        <x:f>_xlfn.XLOOKUP($A51,Games!$A$2:$A$18,Games!$K$2:$K$18,"Missing game",0)</x:f>
        <x:v>-3</x:v>
      </x:c>
      <x:c r="AQ51" t="n">
        <x:f>_xlfn.XLOOKUP($A51,Games!$A$2:$A$18,Games!$L$2:$L$18,"Missing game",0)</x:f>
        <x:v>51</x:v>
      </x:c>
      <x:c r="AR51" t="n">
        <x:f>_xlfn.XLOOKUP($A51,Games!$A$2:$A$18,Games!$M$2:$M$18,"Missing game",0)</x:f>
        <x:v>0</x:v>
      </x:c>
      <x:c r="AS51" t="str">
        <x:f>_xlfn.XLOOKUP($A51,Games!$A$2:$A$18,Games!$N$2:$N$18,"Missing game",0)</x:f>
        <x:v>outdoors</x:v>
      </x:c>
      <x:c r="AT51" t="str">
        <x:f>_xlfn.XLOOKUP($A51,Games!$A$2:$A$18,Games!$O$2:$O$18,"Missing game",0)</x:f>
        <x:v>grass</x:v>
      </x:c>
      <x:c r="AU51" t="n">
        <x:f>_xlfn.XLOOKUP($A51,Games!$A$2:$A$18,Games!$P$2:$P$18,"Missing game",0)</x:f>
        <x:v>68</x:v>
      </x:c>
      <x:c r="AV51" t="n">
        <x:f>_xlfn.XLOOKUP($A51,Games!$A$2:$A$18,Games!$Q$2:$Q$18,"Missing game",0)</x:f>
        <x:v>6</x:v>
      </x:c>
      <x:c r="AW51" t="str">
        <x:f>_xlfn.XLOOKUP($A51,Games!$A$2:$A$18,Games!$R$2:$R$18,"Missing game",0)</x:f>
        <x:v>Soldier Field</x:v>
      </x:c>
    </x:row>
    <x:row r="52">
      <x:c r="A52" t="str">
        <x:v>2025_01_MIN_CHI</x:v>
      </x:c>
      <x:c r="B52" t="n">
        <x:v>1230</x:v>
      </x:c>
      <x:c r="C52" t="n">
        <x:v>2</x:v>
      </x:c>
      <x:c r="D52" t="str">
        <x:v>08:23</x:v>
      </x:c>
      <x:c r="E52" t="n">
        <x:v>2</x:v>
      </x:c>
      <x:c r="F52" t="n">
        <x:v>9</x:v>
      </x:c>
      <x:c r="G52" t="str">
        <x:v>MIN</x:v>
      </x:c>
      <x:c r="H52" t="str">
        <x:v>CHI</x:v>
      </x:c>
      <x:c r="I52" t="str">
        <x:v>MIN</x:v>
      </x:c>
      <x:c r="J52" t="n">
        <x:v>74</x:v>
      </x:c>
      <x:c r="K52" t="str">
        <x:v>(8:23) (Shotgun) 9-J.McCarthy pass short left to 87-T.Hockenson to MIN 30 for 4 yards (9-J.Brisker; 49-T.Edmunds).</x:v>
      </x:c>
      <x:c r="L52" t="str">
        <x:v>pass</x:v>
      </x:c>
      <x:c r="M52" t="n">
        <x:v>4</x:v>
      </x:c>
      <x:c r="N52" t="n">
        <x:v>1</x:v>
      </x:c>
      <x:c r="O52" t="n">
        <x:v>0</x:v>
      </x:c>
      <x:c r="P52" t="str">
        <x:v>short</x:v>
      </x:c>
      <x:c r="Q52" t="str">
        <x:v>left</x:v>
      </x:c>
      <x:c r="R52" t="n">
        <x:v>4</x:v>
      </x:c>
      <x:c r="S52" t="n">
        <x:v>0</x:v>
      </x:c>
      <x:c r="T52"/>
      <x:c r="U52"/>
      <x:c r="V52" t="n">
        <x:v>1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/>
      <x:c r="AC52" t="n">
        <x:v>0</x:v>
      </x:c>
      <x:c r="AD52" t="n">
        <x:v>-0.10984586412087083</x:v>
      </x:c>
      <x:c r="AE52" t="n">
        <x:v>0</x:v>
      </x:c>
      <x:c r="AF52" t="n">
        <x:v>-0.004251688718795776</x:v>
      </x:c>
      <x:c r="AG52" t="n">
        <x:f>_xlfn.XLOOKUP($A52,Games!$A$2:$A$18,Games!$B$2:$B$18,"Missing game",0)</x:f>
        <x:v>2025</x:v>
      </x:c>
      <x:c r="AH52" t="str">
        <x:f>_xlfn.XLOOKUP($A52,Games!$A$2:$A$18,Games!$C$2:$C$18,"Missing game",0)</x:f>
        <x:v>REG</x:v>
      </x:c>
      <x:c r="AI52" t="n">
        <x:f>_xlfn.XLOOKUP($A52,Games!$A$2:$A$18,Games!$D$2:$D$18,"Missing game",0)</x:f>
        <x:v>1</x:v>
      </x:c>
      <x:c r="AJ52" s="1" t="n">
        <x:f>_xlfn.XLOOKUP($A52,Games!$A$2:$A$18,Games!$E$2:$E$18,"Missing game",0)</x:f>
        <x:v>45908</x:v>
      </x:c>
      <x:c r="AK52" t="str">
        <x:f>_xlfn.XLOOKUP($A52,Games!$A$2:$A$18,Games!$F$2:$F$18,"Missing game",0)</x:f>
        <x:v>Monday</x:v>
      </x:c>
      <x:c r="AL52" t="str">
        <x:f>_xlfn.XLOOKUP($A52,Games!$A$2:$A$18,Games!$G$2:$G$18,"Missing game",0)</x:f>
        <x:v>MIN</x:v>
      </x:c>
      <x:c r="AM52" t="n">
        <x:f>_xlfn.XLOOKUP($A52,Games!$A$2:$A$18,Games!$H$2:$H$18,"Missing game",0)</x:f>
        <x:v>27</x:v>
      </x:c>
      <x:c r="AN52" t="str">
        <x:f>_xlfn.XLOOKUP($A52,Games!$A$2:$A$18,Games!$I$2:$I$18,"Missing game",0)</x:f>
        <x:v>CHI</x:v>
      </x:c>
      <x:c r="AO52" t="n">
        <x:f>_xlfn.XLOOKUP($A52,Games!$A$2:$A$18,Games!$J$2:$J$18,"Missing game",0)</x:f>
        <x:v>24</x:v>
      </x:c>
      <x:c r="AP52" t="n">
        <x:f>_xlfn.XLOOKUP($A52,Games!$A$2:$A$18,Games!$K$2:$K$18,"Missing game",0)</x:f>
        <x:v>-3</x:v>
      </x:c>
      <x:c r="AQ52" t="n">
        <x:f>_xlfn.XLOOKUP($A52,Games!$A$2:$A$18,Games!$L$2:$L$18,"Missing game",0)</x:f>
        <x:v>51</x:v>
      </x:c>
      <x:c r="AR52" t="n">
        <x:f>_xlfn.XLOOKUP($A52,Games!$A$2:$A$18,Games!$M$2:$M$18,"Missing game",0)</x:f>
        <x:v>0</x:v>
      </x:c>
      <x:c r="AS52" t="str">
        <x:f>_xlfn.XLOOKUP($A52,Games!$A$2:$A$18,Games!$N$2:$N$18,"Missing game",0)</x:f>
        <x:v>outdoors</x:v>
      </x:c>
      <x:c r="AT52" t="str">
        <x:f>_xlfn.XLOOKUP($A52,Games!$A$2:$A$18,Games!$O$2:$O$18,"Missing game",0)</x:f>
        <x:v>grass</x:v>
      </x:c>
      <x:c r="AU52" t="n">
        <x:f>_xlfn.XLOOKUP($A52,Games!$A$2:$A$18,Games!$P$2:$P$18,"Missing game",0)</x:f>
        <x:v>68</x:v>
      </x:c>
      <x:c r="AV52" t="n">
        <x:f>_xlfn.XLOOKUP($A52,Games!$A$2:$A$18,Games!$Q$2:$Q$18,"Missing game",0)</x:f>
        <x:v>6</x:v>
      </x:c>
      <x:c r="AW52" t="str">
        <x:f>_xlfn.XLOOKUP($A52,Games!$A$2:$A$18,Games!$R$2:$R$18,"Missing game",0)</x:f>
        <x:v>Soldier Field</x:v>
      </x:c>
    </x:row>
    <x:row r="53">
      <x:c r="A53" t="str">
        <x:v>2025_01_MIN_CHI</x:v>
      </x:c>
      <x:c r="B53" t="n">
        <x:v>1255</x:v>
      </x:c>
      <x:c r="C53" t="n">
        <x:v>2</x:v>
      </x:c>
      <x:c r="D53" t="str">
        <x:v>07:43</x:v>
      </x:c>
      <x:c r="E53" t="n">
        <x:v>3</x:v>
      </x:c>
      <x:c r="F53" t="n">
        <x:v>5</x:v>
      </x:c>
      <x:c r="G53" t="str">
        <x:v>MIN</x:v>
      </x:c>
      <x:c r="H53" t="str">
        <x:v>CHI</x:v>
      </x:c>
      <x:c r="I53" t="str">
        <x:v>MIN</x:v>
      </x:c>
      <x:c r="J53" t="n">
        <x:v>70</x:v>
      </x:c>
      <x:c r="K53" t="str">
        <x:v>(7:43) (Shotgun) 9-J.McCarthy pass short middle to 18-J.Jefferson to MIN 34 for 4 yards (49-T.Edmunds, 44-N.Sewell).</x:v>
      </x:c>
      <x:c r="L53" t="str">
        <x:v>pass</x:v>
      </x:c>
      <x:c r="M53" t="n">
        <x:v>4</x:v>
      </x:c>
      <x:c r="N53" t="n">
        <x:v>1</x:v>
      </x:c>
      <x:c r="O53" t="n">
        <x:v>0</x:v>
      </x:c>
      <x:c r="P53" t="str">
        <x:v>short</x:v>
      </x:c>
      <x:c r="Q53" t="str">
        <x:v>middle</x:v>
      </x:c>
      <x:c r="R53" t="n">
        <x:v>3</x:v>
      </x:c>
      <x:c r="S53" t="n">
        <x:v>1</x:v>
      </x:c>
      <x:c r="T53"/>
      <x:c r="U53"/>
      <x:c r="V53" t="n">
        <x:v>1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/>
      <x:c r="AC53" t="n">
        <x:v>0</x:v>
      </x:c>
      <x:c r="AD53" t="n">
        <x:v>-0.6831983907613903</x:v>
      </x:c>
      <x:c r="AE53" t="n">
        <x:v>0</x:v>
      </x:c>
      <x:c r="AF53" t="n">
        <x:v>-0.0023621022701263428</x:v>
      </x:c>
      <x:c r="AG53" t="n">
        <x:f>_xlfn.XLOOKUP($A53,Games!$A$2:$A$18,Games!$B$2:$B$18,"Missing game",0)</x:f>
        <x:v>2025</x:v>
      </x:c>
      <x:c r="AH53" t="str">
        <x:f>_xlfn.XLOOKUP($A53,Games!$A$2:$A$18,Games!$C$2:$C$18,"Missing game",0)</x:f>
        <x:v>REG</x:v>
      </x:c>
      <x:c r="AI53" t="n">
        <x:f>_xlfn.XLOOKUP($A53,Games!$A$2:$A$18,Games!$D$2:$D$18,"Missing game",0)</x:f>
        <x:v>1</x:v>
      </x:c>
      <x:c r="AJ53" s="1" t="n">
        <x:f>_xlfn.XLOOKUP($A53,Games!$A$2:$A$18,Games!$E$2:$E$18,"Missing game",0)</x:f>
        <x:v>45908</x:v>
      </x:c>
      <x:c r="AK53" t="str">
        <x:f>_xlfn.XLOOKUP($A53,Games!$A$2:$A$18,Games!$F$2:$F$18,"Missing game",0)</x:f>
        <x:v>Monday</x:v>
      </x:c>
      <x:c r="AL53" t="str">
        <x:f>_xlfn.XLOOKUP($A53,Games!$A$2:$A$18,Games!$G$2:$G$18,"Missing game",0)</x:f>
        <x:v>MIN</x:v>
      </x:c>
      <x:c r="AM53" t="n">
        <x:f>_xlfn.XLOOKUP($A53,Games!$A$2:$A$18,Games!$H$2:$H$18,"Missing game",0)</x:f>
        <x:v>27</x:v>
      </x:c>
      <x:c r="AN53" t="str">
        <x:f>_xlfn.XLOOKUP($A53,Games!$A$2:$A$18,Games!$I$2:$I$18,"Missing game",0)</x:f>
        <x:v>CHI</x:v>
      </x:c>
      <x:c r="AO53" t="n">
        <x:f>_xlfn.XLOOKUP($A53,Games!$A$2:$A$18,Games!$J$2:$J$18,"Missing game",0)</x:f>
        <x:v>24</x:v>
      </x:c>
      <x:c r="AP53" t="n">
        <x:f>_xlfn.XLOOKUP($A53,Games!$A$2:$A$18,Games!$K$2:$K$18,"Missing game",0)</x:f>
        <x:v>-3</x:v>
      </x:c>
      <x:c r="AQ53" t="n">
        <x:f>_xlfn.XLOOKUP($A53,Games!$A$2:$A$18,Games!$L$2:$L$18,"Missing game",0)</x:f>
        <x:v>51</x:v>
      </x:c>
      <x:c r="AR53" t="n">
        <x:f>_xlfn.XLOOKUP($A53,Games!$A$2:$A$18,Games!$M$2:$M$18,"Missing game",0)</x:f>
        <x:v>0</x:v>
      </x:c>
      <x:c r="AS53" t="str">
        <x:f>_xlfn.XLOOKUP($A53,Games!$A$2:$A$18,Games!$N$2:$N$18,"Missing game",0)</x:f>
        <x:v>outdoors</x:v>
      </x:c>
      <x:c r="AT53" t="str">
        <x:f>_xlfn.XLOOKUP($A53,Games!$A$2:$A$18,Games!$O$2:$O$18,"Missing game",0)</x:f>
        <x:v>grass</x:v>
      </x:c>
      <x:c r="AU53" t="n">
        <x:f>_xlfn.XLOOKUP($A53,Games!$A$2:$A$18,Games!$P$2:$P$18,"Missing game",0)</x:f>
        <x:v>68</x:v>
      </x:c>
      <x:c r="AV53" t="n">
        <x:f>_xlfn.XLOOKUP($A53,Games!$A$2:$A$18,Games!$Q$2:$Q$18,"Missing game",0)</x:f>
        <x:v>6</x:v>
      </x:c>
      <x:c r="AW53" t="str">
        <x:f>_xlfn.XLOOKUP($A53,Games!$A$2:$A$18,Games!$R$2:$R$18,"Missing game",0)</x:f>
        <x:v>Soldier Field</x:v>
      </x:c>
    </x:row>
    <x:row r="54">
      <x:c r="A54" t="str">
        <x:v>2025_01_MIN_CHI</x:v>
      </x:c>
      <x:c r="B54" t="n">
        <x:v>1280</x:v>
      </x:c>
      <x:c r="C54" t="n">
        <x:v>2</x:v>
      </x:c>
      <x:c r="D54" t="str">
        <x:v>06:58</x:v>
      </x:c>
      <x:c r="E54" t="n">
        <x:v>4</x:v>
      </x:c>
      <x:c r="F54" t="n">
        <x:v>1</x:v>
      </x:c>
      <x:c r="G54" t="str">
        <x:v>MIN</x:v>
      </x:c>
      <x:c r="H54" t="str">
        <x:v>CHI</x:v>
      </x:c>
      <x:c r="I54" t="str">
        <x:v>MIN</x:v>
      </x:c>
      <x:c r="J54" t="n">
        <x:v>66</x:v>
      </x:c>
      <x:c r="K54" t="str">
        <x:v>(6:58) 17-R.Wright punts 31 yards to CHI 35, Center-42-A.DePaola, out of bounds.</x:v>
      </x:c>
      <x:c r="L54" t="str">
        <x:v>punt</x:v>
      </x:c>
      <x:c r="M54" t="n">
        <x:v>0</x:v>
      </x:c>
      <x:c r="N54" t="n">
        <x:v>0</x:v>
      </x:c>
      <x:c r="O54" t="n">
        <x:v>0</x:v>
      </x:c>
      <x:c r="P54"/>
      <x:c r="Q54"/>
      <x:c r="R54"/>
      <x:c r="S54"/>
      <x:c r="T54"/>
      <x:c r="U54"/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/>
      <x:c r="AC54" t="n">
        <x:v>0</x:v>
      </x:c>
      <x:c r="AD54" t="n">
        <x:v>-1.3634528848342597</x:v>
      </x:c>
      <x:c r="AE54" t="n">
        <x:v>0</x:v>
      </x:c>
      <x:c r="AF54" t="n">
        <x:v>-0.04494273662567139</x:v>
      </x:c>
      <x:c r="AG54" t="n">
        <x:f>_xlfn.XLOOKUP($A54,Games!$A$2:$A$18,Games!$B$2:$B$18,"Missing game",0)</x:f>
        <x:v>2025</x:v>
      </x:c>
      <x:c r="AH54" t="str">
        <x:f>_xlfn.XLOOKUP($A54,Games!$A$2:$A$18,Games!$C$2:$C$18,"Missing game",0)</x:f>
        <x:v>REG</x:v>
      </x:c>
      <x:c r="AI54" t="n">
        <x:f>_xlfn.XLOOKUP($A54,Games!$A$2:$A$18,Games!$D$2:$D$18,"Missing game",0)</x:f>
        <x:v>1</x:v>
      </x:c>
      <x:c r="AJ54" s="1" t="n">
        <x:f>_xlfn.XLOOKUP($A54,Games!$A$2:$A$18,Games!$E$2:$E$18,"Missing game",0)</x:f>
        <x:v>45908</x:v>
      </x:c>
      <x:c r="AK54" t="str">
        <x:f>_xlfn.XLOOKUP($A54,Games!$A$2:$A$18,Games!$F$2:$F$18,"Missing game",0)</x:f>
        <x:v>Monday</x:v>
      </x:c>
      <x:c r="AL54" t="str">
        <x:f>_xlfn.XLOOKUP($A54,Games!$A$2:$A$18,Games!$G$2:$G$18,"Missing game",0)</x:f>
        <x:v>MIN</x:v>
      </x:c>
      <x:c r="AM54" t="n">
        <x:f>_xlfn.XLOOKUP($A54,Games!$A$2:$A$18,Games!$H$2:$H$18,"Missing game",0)</x:f>
        <x:v>27</x:v>
      </x:c>
      <x:c r="AN54" t="str">
        <x:f>_xlfn.XLOOKUP($A54,Games!$A$2:$A$18,Games!$I$2:$I$18,"Missing game",0)</x:f>
        <x:v>CHI</x:v>
      </x:c>
      <x:c r="AO54" t="n">
        <x:f>_xlfn.XLOOKUP($A54,Games!$A$2:$A$18,Games!$J$2:$J$18,"Missing game",0)</x:f>
        <x:v>24</x:v>
      </x:c>
      <x:c r="AP54" t="n">
        <x:f>_xlfn.XLOOKUP($A54,Games!$A$2:$A$18,Games!$K$2:$K$18,"Missing game",0)</x:f>
        <x:v>-3</x:v>
      </x:c>
      <x:c r="AQ54" t="n">
        <x:f>_xlfn.XLOOKUP($A54,Games!$A$2:$A$18,Games!$L$2:$L$18,"Missing game",0)</x:f>
        <x:v>51</x:v>
      </x:c>
      <x:c r="AR54" t="n">
        <x:f>_xlfn.XLOOKUP($A54,Games!$A$2:$A$18,Games!$M$2:$M$18,"Missing game",0)</x:f>
        <x:v>0</x:v>
      </x:c>
      <x:c r="AS54" t="str">
        <x:f>_xlfn.XLOOKUP($A54,Games!$A$2:$A$18,Games!$N$2:$N$18,"Missing game",0)</x:f>
        <x:v>outdoors</x:v>
      </x:c>
      <x:c r="AT54" t="str">
        <x:f>_xlfn.XLOOKUP($A54,Games!$A$2:$A$18,Games!$O$2:$O$18,"Missing game",0)</x:f>
        <x:v>grass</x:v>
      </x:c>
      <x:c r="AU54" t="n">
        <x:f>_xlfn.XLOOKUP($A54,Games!$A$2:$A$18,Games!$P$2:$P$18,"Missing game",0)</x:f>
        <x:v>68</x:v>
      </x:c>
      <x:c r="AV54" t="n">
        <x:f>_xlfn.XLOOKUP($A54,Games!$A$2:$A$18,Games!$Q$2:$Q$18,"Missing game",0)</x:f>
        <x:v>6</x:v>
      </x:c>
      <x:c r="AW54" t="str">
        <x:f>_xlfn.XLOOKUP($A54,Games!$A$2:$A$18,Games!$R$2:$R$18,"Missing game",0)</x:f>
        <x:v>Soldier Field</x:v>
      </x:c>
    </x:row>
    <x:row r="55">
      <x:c r="A55" t="str">
        <x:v>2025_01_MIN_CHI</x:v>
      </x:c>
      <x:c r="B55" t="n">
        <x:v>1299</x:v>
      </x:c>
      <x:c r="C55" t="n">
        <x:v>2</x:v>
      </x:c>
      <x:c r="D55" t="str">
        <x:v>06:52</x:v>
      </x:c>
      <x:c r="E55" t="n">
        <x:v>1</x:v>
      </x:c>
      <x:c r="F55" t="n">
        <x:v>10</x:v>
      </x:c>
      <x:c r="G55" t="str">
        <x:v>CHI</x:v>
      </x:c>
      <x:c r="H55" t="str">
        <x:v>MIN</x:v>
      </x:c>
      <x:c r="I55" t="str">
        <x:v>CHI</x:v>
      </x:c>
      <x:c r="J55" t="n">
        <x:v>65</x:v>
      </x:c>
      <x:c r="K55" t="str">
        <x:v>(6:52) 79-T.Benedet reported in as eligible. 18-C.Williams pass incomplete short right to 15-R.Odunze (90-T.Ingram-Dawkins).</x:v>
      </x:c>
      <x:c r="L55" t="str">
        <x:v>pass</x:v>
      </x:c>
      <x:c r="M55" t="n">
        <x:v>0</x:v>
      </x:c>
      <x:c r="N55" t="n">
        <x:v>0</x:v>
      </x:c>
      <x:c r="O55" t="n">
        <x:v>0</x:v>
      </x:c>
      <x:c r="P55" t="str">
        <x:v>short</x:v>
      </x:c>
      <x:c r="Q55" t="str">
        <x:v>right</x:v>
      </x:c>
      <x:c r="R55" t="n">
        <x:v>5</x:v>
      </x:c>
      <x:c r="S55"/>
      <x:c r="T55"/>
      <x:c r="U55"/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/>
      <x:c r="AC55" t="n">
        <x:v>0</x:v>
      </x:c>
      <x:c r="AD55" t="n">
        <x:v>-0.46234034304507077</x:v>
      </x:c>
      <x:c r="AE55" t="n">
        <x:v>0</x:v>
      </x:c>
      <x:c r="AF55" t="n">
        <x:v>-0.011782407760620117</x:v>
      </x:c>
      <x:c r="AG55" t="n">
        <x:f>_xlfn.XLOOKUP($A55,Games!$A$2:$A$18,Games!$B$2:$B$18,"Missing game",0)</x:f>
        <x:v>2025</x:v>
      </x:c>
      <x:c r="AH55" t="str">
        <x:f>_xlfn.XLOOKUP($A55,Games!$A$2:$A$18,Games!$C$2:$C$18,"Missing game",0)</x:f>
        <x:v>REG</x:v>
      </x:c>
      <x:c r="AI55" t="n">
        <x:f>_xlfn.XLOOKUP($A55,Games!$A$2:$A$18,Games!$D$2:$D$18,"Missing game",0)</x:f>
        <x:v>1</x:v>
      </x:c>
      <x:c r="AJ55" s="1" t="n">
        <x:f>_xlfn.XLOOKUP($A55,Games!$A$2:$A$18,Games!$E$2:$E$18,"Missing game",0)</x:f>
        <x:v>45908</x:v>
      </x:c>
      <x:c r="AK55" t="str">
        <x:f>_xlfn.XLOOKUP($A55,Games!$A$2:$A$18,Games!$F$2:$F$18,"Missing game",0)</x:f>
        <x:v>Monday</x:v>
      </x:c>
      <x:c r="AL55" t="str">
        <x:f>_xlfn.XLOOKUP($A55,Games!$A$2:$A$18,Games!$G$2:$G$18,"Missing game",0)</x:f>
        <x:v>MIN</x:v>
      </x:c>
      <x:c r="AM55" t="n">
        <x:f>_xlfn.XLOOKUP($A55,Games!$A$2:$A$18,Games!$H$2:$H$18,"Missing game",0)</x:f>
        <x:v>27</x:v>
      </x:c>
      <x:c r="AN55" t="str">
        <x:f>_xlfn.XLOOKUP($A55,Games!$A$2:$A$18,Games!$I$2:$I$18,"Missing game",0)</x:f>
        <x:v>CHI</x:v>
      </x:c>
      <x:c r="AO55" t="n">
        <x:f>_xlfn.XLOOKUP($A55,Games!$A$2:$A$18,Games!$J$2:$J$18,"Missing game",0)</x:f>
        <x:v>24</x:v>
      </x:c>
      <x:c r="AP55" t="n">
        <x:f>_xlfn.XLOOKUP($A55,Games!$A$2:$A$18,Games!$K$2:$K$18,"Missing game",0)</x:f>
        <x:v>-3</x:v>
      </x:c>
      <x:c r="AQ55" t="n">
        <x:f>_xlfn.XLOOKUP($A55,Games!$A$2:$A$18,Games!$L$2:$L$18,"Missing game",0)</x:f>
        <x:v>51</x:v>
      </x:c>
      <x:c r="AR55" t="n">
        <x:f>_xlfn.XLOOKUP($A55,Games!$A$2:$A$18,Games!$M$2:$M$18,"Missing game",0)</x:f>
        <x:v>0</x:v>
      </x:c>
      <x:c r="AS55" t="str">
        <x:f>_xlfn.XLOOKUP($A55,Games!$A$2:$A$18,Games!$N$2:$N$18,"Missing game",0)</x:f>
        <x:v>outdoors</x:v>
      </x:c>
      <x:c r="AT55" t="str">
        <x:f>_xlfn.XLOOKUP($A55,Games!$A$2:$A$18,Games!$O$2:$O$18,"Missing game",0)</x:f>
        <x:v>grass</x:v>
      </x:c>
      <x:c r="AU55" t="n">
        <x:f>_xlfn.XLOOKUP($A55,Games!$A$2:$A$18,Games!$P$2:$P$18,"Missing game",0)</x:f>
        <x:v>68</x:v>
      </x:c>
      <x:c r="AV55" t="n">
        <x:f>_xlfn.XLOOKUP($A55,Games!$A$2:$A$18,Games!$Q$2:$Q$18,"Missing game",0)</x:f>
        <x:v>6</x:v>
      </x:c>
      <x:c r="AW55" t="str">
        <x:f>_xlfn.XLOOKUP($A55,Games!$A$2:$A$18,Games!$R$2:$R$18,"Missing game",0)</x:f>
        <x:v>Soldier Field</x:v>
      </x:c>
    </x:row>
    <x:row r="56">
      <x:c r="A56" t="str">
        <x:v>2025_01_MIN_CHI</x:v>
      </x:c>
      <x:c r="B56" t="n">
        <x:v>1331</x:v>
      </x:c>
      <x:c r="C56" t="n">
        <x:v>2</x:v>
      </x:c>
      <x:c r="D56" t="str">
        <x:v>06:47</x:v>
      </x:c>
      <x:c r="E56" t="n">
        <x:v>2</x:v>
      </x:c>
      <x:c r="F56" t="n">
        <x:v>10</x:v>
      </x:c>
      <x:c r="G56" t="str">
        <x:v>CHI</x:v>
      </x:c>
      <x:c r="H56" t="str">
        <x:v>MIN</x:v>
      </x:c>
      <x:c r="I56" t="str">
        <x:v>CHI</x:v>
      </x:c>
      <x:c r="J56" t="n">
        <x:v>65</x:v>
      </x:c>
      <x:c r="K56" t="str">
        <x:v>(6:47) 18-C.Williams pass incomplete deep right to 14-O.Zaccheaus. Penalty on CHI-25-K.Monangai, Offensive Holding, declined.</x:v>
      </x:c>
      <x:c r="L56" t="str">
        <x:v>pass</x:v>
      </x:c>
      <x:c r="M56" t="n">
        <x:v>0</x:v>
      </x:c>
      <x:c r="N56" t="n">
        <x:v>0</x:v>
      </x:c>
      <x:c r="O56" t="n">
        <x:v>0</x:v>
      </x:c>
      <x:c r="P56" t="str">
        <x:v>deep</x:v>
      </x:c>
      <x:c r="Q56" t="str">
        <x:v>right</x:v>
      </x:c>
      <x:c r="R56" t="n">
        <x:v>28</x:v>
      </x:c>
      <x:c r="S56"/>
      <x:c r="T56"/>
      <x:c r="U56"/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/>
      <x:c r="AC56" t="n">
        <x:v>0</x:v>
      </x:c>
      <x:c r="AD56" t="n">
        <x:v>-0.635145602049306</x:v>
      </x:c>
      <x:c r="AE56" t="n">
        <x:v>0</x:v>
      </x:c>
      <x:c r="AF56" t="n">
        <x:v>-0.024831116199493408</x:v>
      </x:c>
      <x:c r="AG56" t="n">
        <x:f>_xlfn.XLOOKUP($A56,Games!$A$2:$A$18,Games!$B$2:$B$18,"Missing game",0)</x:f>
        <x:v>2025</x:v>
      </x:c>
      <x:c r="AH56" t="str">
        <x:f>_xlfn.XLOOKUP($A56,Games!$A$2:$A$18,Games!$C$2:$C$18,"Missing game",0)</x:f>
        <x:v>REG</x:v>
      </x:c>
      <x:c r="AI56" t="n">
        <x:f>_xlfn.XLOOKUP($A56,Games!$A$2:$A$18,Games!$D$2:$D$18,"Missing game",0)</x:f>
        <x:v>1</x:v>
      </x:c>
      <x:c r="AJ56" s="1" t="n">
        <x:f>_xlfn.XLOOKUP($A56,Games!$A$2:$A$18,Games!$E$2:$E$18,"Missing game",0)</x:f>
        <x:v>45908</x:v>
      </x:c>
      <x:c r="AK56" t="str">
        <x:f>_xlfn.XLOOKUP($A56,Games!$A$2:$A$18,Games!$F$2:$F$18,"Missing game",0)</x:f>
        <x:v>Monday</x:v>
      </x:c>
      <x:c r="AL56" t="str">
        <x:f>_xlfn.XLOOKUP($A56,Games!$A$2:$A$18,Games!$G$2:$G$18,"Missing game",0)</x:f>
        <x:v>MIN</x:v>
      </x:c>
      <x:c r="AM56" t="n">
        <x:f>_xlfn.XLOOKUP($A56,Games!$A$2:$A$18,Games!$H$2:$H$18,"Missing game",0)</x:f>
        <x:v>27</x:v>
      </x:c>
      <x:c r="AN56" t="str">
        <x:f>_xlfn.XLOOKUP($A56,Games!$A$2:$A$18,Games!$I$2:$I$18,"Missing game",0)</x:f>
        <x:v>CHI</x:v>
      </x:c>
      <x:c r="AO56" t="n">
        <x:f>_xlfn.XLOOKUP($A56,Games!$A$2:$A$18,Games!$J$2:$J$18,"Missing game",0)</x:f>
        <x:v>24</x:v>
      </x:c>
      <x:c r="AP56" t="n">
        <x:f>_xlfn.XLOOKUP($A56,Games!$A$2:$A$18,Games!$K$2:$K$18,"Missing game",0)</x:f>
        <x:v>-3</x:v>
      </x:c>
      <x:c r="AQ56" t="n">
        <x:f>_xlfn.XLOOKUP($A56,Games!$A$2:$A$18,Games!$L$2:$L$18,"Missing game",0)</x:f>
        <x:v>51</x:v>
      </x:c>
      <x:c r="AR56" t="n">
        <x:f>_xlfn.XLOOKUP($A56,Games!$A$2:$A$18,Games!$M$2:$M$18,"Missing game",0)</x:f>
        <x:v>0</x:v>
      </x:c>
      <x:c r="AS56" t="str">
        <x:f>_xlfn.XLOOKUP($A56,Games!$A$2:$A$18,Games!$N$2:$N$18,"Missing game",0)</x:f>
        <x:v>outdoors</x:v>
      </x:c>
      <x:c r="AT56" t="str">
        <x:f>_xlfn.XLOOKUP($A56,Games!$A$2:$A$18,Games!$O$2:$O$18,"Missing game",0)</x:f>
        <x:v>grass</x:v>
      </x:c>
      <x:c r="AU56" t="n">
        <x:f>_xlfn.XLOOKUP($A56,Games!$A$2:$A$18,Games!$P$2:$P$18,"Missing game",0)</x:f>
        <x:v>68</x:v>
      </x:c>
      <x:c r="AV56" t="n">
        <x:f>_xlfn.XLOOKUP($A56,Games!$A$2:$A$18,Games!$Q$2:$Q$18,"Missing game",0)</x:f>
        <x:v>6</x:v>
      </x:c>
      <x:c r="AW56" t="str">
        <x:f>_xlfn.XLOOKUP($A56,Games!$A$2:$A$18,Games!$R$2:$R$18,"Missing game",0)</x:f>
        <x:v>Soldier Field</x:v>
      </x:c>
    </x:row>
    <x:row r="57">
      <x:c r="A57" t="str">
        <x:v>2025_01_MIN_CHI</x:v>
      </x:c>
      <x:c r="B57" t="n">
        <x:v>1365</x:v>
      </x:c>
      <x:c r="C57" t="n">
        <x:v>2</x:v>
      </x:c>
      <x:c r="D57" t="str">
        <x:v>06:41</x:v>
      </x:c>
      <x:c r="E57" t="n">
        <x:v>3</x:v>
      </x:c>
      <x:c r="F57" t="n">
        <x:v>10</x:v>
      </x:c>
      <x:c r="G57" t="str">
        <x:v>CHI</x:v>
      </x:c>
      <x:c r="H57" t="str">
        <x:v>MIN</x:v>
      </x:c>
      <x:c r="I57" t="str">
        <x:v>CHI</x:v>
      </x:c>
      <x:c r="J57" t="n">
        <x:v>65</x:v>
      </x:c>
      <x:c r="K57" t="str">
        <x:v>(6:41) (Shotgun) 18-C.Williams scrambles left end pushed ob at CHI 37 for 2 yards (44-J.Metellus).</x:v>
      </x:c>
      <x:c r="L57" t="str">
        <x:v>run</x:v>
      </x:c>
      <x:c r="M57" t="n">
        <x:v>2</x:v>
      </x:c>
      <x:c r="N57" t="n">
        <x:v>1</x:v>
      </x:c>
      <x:c r="O57" t="n">
        <x:v>0</x:v>
      </x:c>
      <x:c r="P57"/>
      <x:c r="Q57"/>
      <x:c r="R57"/>
      <x:c r="S57"/>
      <x:c r="T57" t="str">
        <x:v>left</x:v>
      </x:c>
      <x:c r="U57" t="str">
        <x:v>end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/>
      <x:c r="AC57" t="n">
        <x:v>0</x:v>
      </x:c>
      <x:c r="AD57" t="n">
        <x:v>-0.9728438695892692</x:v>
      </x:c>
      <x:c r="AE57" t="n">
        <x:v>0</x:v>
      </x:c>
      <x:c r="AF57" t="n">
        <x:v>-0.012701570987701416</x:v>
      </x:c>
      <x:c r="AG57" t="n">
        <x:f>_xlfn.XLOOKUP($A57,Games!$A$2:$A$18,Games!$B$2:$B$18,"Missing game",0)</x:f>
        <x:v>2025</x:v>
      </x:c>
      <x:c r="AH57" t="str">
        <x:f>_xlfn.XLOOKUP($A57,Games!$A$2:$A$18,Games!$C$2:$C$18,"Missing game",0)</x:f>
        <x:v>REG</x:v>
      </x:c>
      <x:c r="AI57" t="n">
        <x:f>_xlfn.XLOOKUP($A57,Games!$A$2:$A$18,Games!$D$2:$D$18,"Missing game",0)</x:f>
        <x:v>1</x:v>
      </x:c>
      <x:c r="AJ57" s="1" t="n">
        <x:f>_xlfn.XLOOKUP($A57,Games!$A$2:$A$18,Games!$E$2:$E$18,"Missing game",0)</x:f>
        <x:v>45908</x:v>
      </x:c>
      <x:c r="AK57" t="str">
        <x:f>_xlfn.XLOOKUP($A57,Games!$A$2:$A$18,Games!$F$2:$F$18,"Missing game",0)</x:f>
        <x:v>Monday</x:v>
      </x:c>
      <x:c r="AL57" t="str">
        <x:f>_xlfn.XLOOKUP($A57,Games!$A$2:$A$18,Games!$G$2:$G$18,"Missing game",0)</x:f>
        <x:v>MIN</x:v>
      </x:c>
      <x:c r="AM57" t="n">
        <x:f>_xlfn.XLOOKUP($A57,Games!$A$2:$A$18,Games!$H$2:$H$18,"Missing game",0)</x:f>
        <x:v>27</x:v>
      </x:c>
      <x:c r="AN57" t="str">
        <x:f>_xlfn.XLOOKUP($A57,Games!$A$2:$A$18,Games!$I$2:$I$18,"Missing game",0)</x:f>
        <x:v>CHI</x:v>
      </x:c>
      <x:c r="AO57" t="n">
        <x:f>_xlfn.XLOOKUP($A57,Games!$A$2:$A$18,Games!$J$2:$J$18,"Missing game",0)</x:f>
        <x:v>24</x:v>
      </x:c>
      <x:c r="AP57" t="n">
        <x:f>_xlfn.XLOOKUP($A57,Games!$A$2:$A$18,Games!$K$2:$K$18,"Missing game",0)</x:f>
        <x:v>-3</x:v>
      </x:c>
      <x:c r="AQ57" t="n">
        <x:f>_xlfn.XLOOKUP($A57,Games!$A$2:$A$18,Games!$L$2:$L$18,"Missing game",0)</x:f>
        <x:v>51</x:v>
      </x:c>
      <x:c r="AR57" t="n">
        <x:f>_xlfn.XLOOKUP($A57,Games!$A$2:$A$18,Games!$M$2:$M$18,"Missing game",0)</x:f>
        <x:v>0</x:v>
      </x:c>
      <x:c r="AS57" t="str">
        <x:f>_xlfn.XLOOKUP($A57,Games!$A$2:$A$18,Games!$N$2:$N$18,"Missing game",0)</x:f>
        <x:v>outdoors</x:v>
      </x:c>
      <x:c r="AT57" t="str">
        <x:f>_xlfn.XLOOKUP($A57,Games!$A$2:$A$18,Games!$O$2:$O$18,"Missing game",0)</x:f>
        <x:v>grass</x:v>
      </x:c>
      <x:c r="AU57" t="n">
        <x:f>_xlfn.XLOOKUP($A57,Games!$A$2:$A$18,Games!$P$2:$P$18,"Missing game",0)</x:f>
        <x:v>68</x:v>
      </x:c>
      <x:c r="AV57" t="n">
        <x:f>_xlfn.XLOOKUP($A57,Games!$A$2:$A$18,Games!$Q$2:$Q$18,"Missing game",0)</x:f>
        <x:v>6</x:v>
      </x:c>
      <x:c r="AW57" t="str">
        <x:f>_xlfn.XLOOKUP($A57,Games!$A$2:$A$18,Games!$R$2:$R$18,"Missing game",0)</x:f>
        <x:v>Soldier Field</x:v>
      </x:c>
    </x:row>
    <x:row r="58">
      <x:c r="A58" t="str">
        <x:v>2025_01_MIN_CHI</x:v>
      </x:c>
      <x:c r="B58" t="n">
        <x:v>1392</x:v>
      </x:c>
      <x:c r="C58" t="n">
        <x:v>2</x:v>
      </x:c>
      <x:c r="D58" t="str">
        <x:v>06:03</x:v>
      </x:c>
      <x:c r="E58" t="n">
        <x:v>4</x:v>
      </x:c>
      <x:c r="F58" t="n">
        <x:v>8</x:v>
      </x:c>
      <x:c r="G58" t="str">
        <x:v>CHI</x:v>
      </x:c>
      <x:c r="H58" t="str">
        <x:v>MIN</x:v>
      </x:c>
      <x:c r="I58" t="str">
        <x:v>CHI</x:v>
      </x:c>
      <x:c r="J58" t="n">
        <x:v>63</x:v>
      </x:c>
      <x:c r="K58" t="str">
        <x:v>(6:03) 19-T.Taylor punts 48 yards to MIN 15, Center-46-S.Daly. 4-M.Price to MIN 24 for 9 yards (92-D.Hardy; 33-J.Jones).</x:v>
      </x:c>
      <x:c r="L58" t="str">
        <x:v>punt</x:v>
      </x:c>
      <x:c r="M58" t="n">
        <x:v>0</x:v>
      </x:c>
      <x:c r="N58" t="n">
        <x:v>0</x:v>
      </x:c>
      <x:c r="O58" t="n">
        <x:v>0</x:v>
      </x:c>
      <x:c r="P58"/>
      <x:c r="Q58"/>
      <x:c r="R58"/>
      <x:c r="S58"/>
      <x:c r="T58"/>
      <x:c r="U58"/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/>
      <x:c r="AC58" t="n">
        <x:v>0</x:v>
      </x:c>
      <x:c r="AD58" t="n">
        <x:v>-0.2904109307564795</x:v>
      </x:c>
      <x:c r="AE58" t="n">
        <x:v>0</x:v>
      </x:c>
      <x:c r="AF58" t="n">
        <x:v>-0.018788784742355347</x:v>
      </x:c>
      <x:c r="AG58" t="n">
        <x:f>_xlfn.XLOOKUP($A58,Games!$A$2:$A$18,Games!$B$2:$B$18,"Missing game",0)</x:f>
        <x:v>2025</x:v>
      </x:c>
      <x:c r="AH58" t="str">
        <x:f>_xlfn.XLOOKUP($A58,Games!$A$2:$A$18,Games!$C$2:$C$18,"Missing game",0)</x:f>
        <x:v>REG</x:v>
      </x:c>
      <x:c r="AI58" t="n">
        <x:f>_xlfn.XLOOKUP($A58,Games!$A$2:$A$18,Games!$D$2:$D$18,"Missing game",0)</x:f>
        <x:v>1</x:v>
      </x:c>
      <x:c r="AJ58" s="1" t="n">
        <x:f>_xlfn.XLOOKUP($A58,Games!$A$2:$A$18,Games!$E$2:$E$18,"Missing game",0)</x:f>
        <x:v>45908</x:v>
      </x:c>
      <x:c r="AK58" t="str">
        <x:f>_xlfn.XLOOKUP($A58,Games!$A$2:$A$18,Games!$F$2:$F$18,"Missing game",0)</x:f>
        <x:v>Monday</x:v>
      </x:c>
      <x:c r="AL58" t="str">
        <x:f>_xlfn.XLOOKUP($A58,Games!$A$2:$A$18,Games!$G$2:$G$18,"Missing game",0)</x:f>
        <x:v>MIN</x:v>
      </x:c>
      <x:c r="AM58" t="n">
        <x:f>_xlfn.XLOOKUP($A58,Games!$A$2:$A$18,Games!$H$2:$H$18,"Missing game",0)</x:f>
        <x:v>27</x:v>
      </x:c>
      <x:c r="AN58" t="str">
        <x:f>_xlfn.XLOOKUP($A58,Games!$A$2:$A$18,Games!$I$2:$I$18,"Missing game",0)</x:f>
        <x:v>CHI</x:v>
      </x:c>
      <x:c r="AO58" t="n">
        <x:f>_xlfn.XLOOKUP($A58,Games!$A$2:$A$18,Games!$J$2:$J$18,"Missing game",0)</x:f>
        <x:v>24</x:v>
      </x:c>
      <x:c r="AP58" t="n">
        <x:f>_xlfn.XLOOKUP($A58,Games!$A$2:$A$18,Games!$K$2:$K$18,"Missing game",0)</x:f>
        <x:v>-3</x:v>
      </x:c>
      <x:c r="AQ58" t="n">
        <x:f>_xlfn.XLOOKUP($A58,Games!$A$2:$A$18,Games!$L$2:$L$18,"Missing game",0)</x:f>
        <x:v>51</x:v>
      </x:c>
      <x:c r="AR58" t="n">
        <x:f>_xlfn.XLOOKUP($A58,Games!$A$2:$A$18,Games!$M$2:$M$18,"Missing game",0)</x:f>
        <x:v>0</x:v>
      </x:c>
      <x:c r="AS58" t="str">
        <x:f>_xlfn.XLOOKUP($A58,Games!$A$2:$A$18,Games!$N$2:$N$18,"Missing game",0)</x:f>
        <x:v>outdoors</x:v>
      </x:c>
      <x:c r="AT58" t="str">
        <x:f>_xlfn.XLOOKUP($A58,Games!$A$2:$A$18,Games!$O$2:$O$18,"Missing game",0)</x:f>
        <x:v>grass</x:v>
      </x:c>
      <x:c r="AU58" t="n">
        <x:f>_xlfn.XLOOKUP($A58,Games!$A$2:$A$18,Games!$P$2:$P$18,"Missing game",0)</x:f>
        <x:v>68</x:v>
      </x:c>
      <x:c r="AV58" t="n">
        <x:f>_xlfn.XLOOKUP($A58,Games!$A$2:$A$18,Games!$Q$2:$Q$18,"Missing game",0)</x:f>
        <x:v>6</x:v>
      </x:c>
      <x:c r="AW58" t="str">
        <x:f>_xlfn.XLOOKUP($A58,Games!$A$2:$A$18,Games!$R$2:$R$18,"Missing game",0)</x:f>
        <x:v>Soldier Field</x:v>
      </x:c>
    </x:row>
    <x:row r="59">
      <x:c r="A59" t="str">
        <x:v>2025_01_MIN_CHI</x:v>
      </x:c>
      <x:c r="B59" t="n">
        <x:v>1418</x:v>
      </x:c>
      <x:c r="C59" t="n">
        <x:v>2</x:v>
      </x:c>
      <x:c r="D59" t="str">
        <x:v>05:52</x:v>
      </x:c>
      <x:c r="E59" t="n">
        <x:v>1</x:v>
      </x:c>
      <x:c r="F59" t="n">
        <x:v>10</x:v>
      </x:c>
      <x:c r="G59" t="str">
        <x:v>MIN</x:v>
      </x:c>
      <x:c r="H59" t="str">
        <x:v>CHI</x:v>
      </x:c>
      <x:c r="I59" t="str">
        <x:v>MIN</x:v>
      </x:c>
      <x:c r="J59" t="n">
        <x:v>76</x:v>
      </x:c>
      <x:c r="K59" t="str">
        <x:v>(5:52) 27-J.Mason left guard to MIN 35 for 11 yards (31-K.Byard). PENALTY on MIN-67-J.Skule, Offensive Holding, 10 yards, enforced at MIN 24 - No Play.</x:v>
      </x:c>
      <x:c r="L59" t="str">
        <x:v>no_play</x:v>
      </x:c>
      <x:c r="M59" t="n">
        <x:v>0</x:v>
      </x:c>
      <x:c r="N59" t="n">
        <x:v>0</x:v>
      </x:c>
      <x:c r="O59" t="n">
        <x:v>0</x:v>
      </x:c>
      <x:c r="P59"/>
      <x:c r="Q59"/>
      <x:c r="R59"/>
      <x:c r="S59"/>
      <x:c r="T59"/>
      <x:c r="U59"/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1</x:v>
      </x:c>
      <x:c r="AB59" t="n">
        <x:v>10</x:v>
      </x:c>
      <x:c r="AC59" t="n">
        <x:v>0</x:v>
      </x:c>
      <x:c r="AD59" t="n">
        <x:v>-0.8140137745067477</x:v>
      </x:c>
      <x:c r="AE59" t="n">
        <x:v>0</x:v>
      </x:c>
      <x:c r="AF59" t="n">
        <x:v>-0.03434866666793823</x:v>
      </x:c>
      <x:c r="AG59" t="n">
        <x:f>_xlfn.XLOOKUP($A59,Games!$A$2:$A$18,Games!$B$2:$B$18,"Missing game",0)</x:f>
        <x:v>2025</x:v>
      </x:c>
      <x:c r="AH59" t="str">
        <x:f>_xlfn.XLOOKUP($A59,Games!$A$2:$A$18,Games!$C$2:$C$18,"Missing game",0)</x:f>
        <x:v>REG</x:v>
      </x:c>
      <x:c r="AI59" t="n">
        <x:f>_xlfn.XLOOKUP($A59,Games!$A$2:$A$18,Games!$D$2:$D$18,"Missing game",0)</x:f>
        <x:v>1</x:v>
      </x:c>
      <x:c r="AJ59" s="1" t="n">
        <x:f>_xlfn.XLOOKUP($A59,Games!$A$2:$A$18,Games!$E$2:$E$18,"Missing game",0)</x:f>
        <x:v>45908</x:v>
      </x:c>
      <x:c r="AK59" t="str">
        <x:f>_xlfn.XLOOKUP($A59,Games!$A$2:$A$18,Games!$F$2:$F$18,"Missing game",0)</x:f>
        <x:v>Monday</x:v>
      </x:c>
      <x:c r="AL59" t="str">
        <x:f>_xlfn.XLOOKUP($A59,Games!$A$2:$A$18,Games!$G$2:$G$18,"Missing game",0)</x:f>
        <x:v>MIN</x:v>
      </x:c>
      <x:c r="AM59" t="n">
        <x:f>_xlfn.XLOOKUP($A59,Games!$A$2:$A$18,Games!$H$2:$H$18,"Missing game",0)</x:f>
        <x:v>27</x:v>
      </x:c>
      <x:c r="AN59" t="str">
        <x:f>_xlfn.XLOOKUP($A59,Games!$A$2:$A$18,Games!$I$2:$I$18,"Missing game",0)</x:f>
        <x:v>CHI</x:v>
      </x:c>
      <x:c r="AO59" t="n">
        <x:f>_xlfn.XLOOKUP($A59,Games!$A$2:$A$18,Games!$J$2:$J$18,"Missing game",0)</x:f>
        <x:v>24</x:v>
      </x:c>
      <x:c r="AP59" t="n">
        <x:f>_xlfn.XLOOKUP($A59,Games!$A$2:$A$18,Games!$K$2:$K$18,"Missing game",0)</x:f>
        <x:v>-3</x:v>
      </x:c>
      <x:c r="AQ59" t="n">
        <x:f>_xlfn.XLOOKUP($A59,Games!$A$2:$A$18,Games!$L$2:$L$18,"Missing game",0)</x:f>
        <x:v>51</x:v>
      </x:c>
      <x:c r="AR59" t="n">
        <x:f>_xlfn.XLOOKUP($A59,Games!$A$2:$A$18,Games!$M$2:$M$18,"Missing game",0)</x:f>
        <x:v>0</x:v>
      </x:c>
      <x:c r="AS59" t="str">
        <x:f>_xlfn.XLOOKUP($A59,Games!$A$2:$A$18,Games!$N$2:$N$18,"Missing game",0)</x:f>
        <x:v>outdoors</x:v>
      </x:c>
      <x:c r="AT59" t="str">
        <x:f>_xlfn.XLOOKUP($A59,Games!$A$2:$A$18,Games!$O$2:$O$18,"Missing game",0)</x:f>
        <x:v>grass</x:v>
      </x:c>
      <x:c r="AU59" t="n">
        <x:f>_xlfn.XLOOKUP($A59,Games!$A$2:$A$18,Games!$P$2:$P$18,"Missing game",0)</x:f>
        <x:v>68</x:v>
      </x:c>
      <x:c r="AV59" t="n">
        <x:f>_xlfn.XLOOKUP($A59,Games!$A$2:$A$18,Games!$Q$2:$Q$18,"Missing game",0)</x:f>
        <x:v>6</x:v>
      </x:c>
      <x:c r="AW59" t="str">
        <x:f>_xlfn.XLOOKUP($A59,Games!$A$2:$A$18,Games!$R$2:$R$18,"Missing game",0)</x:f>
        <x:v>Soldier Field</x:v>
      </x:c>
    </x:row>
    <x:row r="60">
      <x:c r="A60" t="str">
        <x:v>2025_01_MIN_CHI</x:v>
      </x:c>
      <x:c r="B60" t="n">
        <x:v>1458</x:v>
      </x:c>
      <x:c r="C60" t="n">
        <x:v>2</x:v>
      </x:c>
      <x:c r="D60" t="str">
        <x:v>05:23</x:v>
      </x:c>
      <x:c r="E60" t="n">
        <x:v>1</x:v>
      </x:c>
      <x:c r="F60" t="n">
        <x:v>20</x:v>
      </x:c>
      <x:c r="G60" t="str">
        <x:v>MIN</x:v>
      </x:c>
      <x:c r="H60" t="str">
        <x:v>CHI</x:v>
      </x:c>
      <x:c r="I60" t="str">
        <x:v>MIN</x:v>
      </x:c>
      <x:c r="J60" t="n">
        <x:v>86</x:v>
      </x:c>
      <x:c r="K60" t="str">
        <x:v>(5:23) (Shotgun) 9-J.McCarthy pass incomplete short left to 87-T.Hockenson (49-T.Edmunds).</x:v>
      </x:c>
      <x:c r="L60" t="str">
        <x:v>pass</x:v>
      </x:c>
      <x:c r="M60" t="n">
        <x:v>0</x:v>
      </x:c>
      <x:c r="N60" t="n">
        <x:v>1</x:v>
      </x:c>
      <x:c r="O60" t="n">
        <x:v>0</x:v>
      </x:c>
      <x:c r="P60" t="str">
        <x:v>short</x:v>
      </x:c>
      <x:c r="Q60" t="str">
        <x:v>left</x:v>
      </x:c>
      <x:c r="R60" t="n">
        <x:v>2</x:v>
      </x:c>
      <x:c r="S60"/>
      <x:c r="T60"/>
      <x:c r="U60"/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/>
      <x:c r="AC60" t="n">
        <x:v>0</x:v>
      </x:c>
      <x:c r="AD60" t="n">
        <x:v>-0.48431947850622237</x:v>
      </x:c>
      <x:c r="AE60" t="n">
        <x:v>0</x:v>
      </x:c>
      <x:c r="AF60" t="n">
        <x:v>-0.011407613754272461</x:v>
      </x:c>
      <x:c r="AG60" t="n">
        <x:f>_xlfn.XLOOKUP($A60,Games!$A$2:$A$18,Games!$B$2:$B$18,"Missing game",0)</x:f>
        <x:v>2025</x:v>
      </x:c>
      <x:c r="AH60" t="str">
        <x:f>_xlfn.XLOOKUP($A60,Games!$A$2:$A$18,Games!$C$2:$C$18,"Missing game",0)</x:f>
        <x:v>REG</x:v>
      </x:c>
      <x:c r="AI60" t="n">
        <x:f>_xlfn.XLOOKUP($A60,Games!$A$2:$A$18,Games!$D$2:$D$18,"Missing game",0)</x:f>
        <x:v>1</x:v>
      </x:c>
      <x:c r="AJ60" s="1" t="n">
        <x:f>_xlfn.XLOOKUP($A60,Games!$A$2:$A$18,Games!$E$2:$E$18,"Missing game",0)</x:f>
        <x:v>45908</x:v>
      </x:c>
      <x:c r="AK60" t="str">
        <x:f>_xlfn.XLOOKUP($A60,Games!$A$2:$A$18,Games!$F$2:$F$18,"Missing game",0)</x:f>
        <x:v>Monday</x:v>
      </x:c>
      <x:c r="AL60" t="str">
        <x:f>_xlfn.XLOOKUP($A60,Games!$A$2:$A$18,Games!$G$2:$G$18,"Missing game",0)</x:f>
        <x:v>MIN</x:v>
      </x:c>
      <x:c r="AM60" t="n">
        <x:f>_xlfn.XLOOKUP($A60,Games!$A$2:$A$18,Games!$H$2:$H$18,"Missing game",0)</x:f>
        <x:v>27</x:v>
      </x:c>
      <x:c r="AN60" t="str">
        <x:f>_xlfn.XLOOKUP($A60,Games!$A$2:$A$18,Games!$I$2:$I$18,"Missing game",0)</x:f>
        <x:v>CHI</x:v>
      </x:c>
      <x:c r="AO60" t="n">
        <x:f>_xlfn.XLOOKUP($A60,Games!$A$2:$A$18,Games!$J$2:$J$18,"Missing game",0)</x:f>
        <x:v>24</x:v>
      </x:c>
      <x:c r="AP60" t="n">
        <x:f>_xlfn.XLOOKUP($A60,Games!$A$2:$A$18,Games!$K$2:$K$18,"Missing game",0)</x:f>
        <x:v>-3</x:v>
      </x:c>
      <x:c r="AQ60" t="n">
        <x:f>_xlfn.XLOOKUP($A60,Games!$A$2:$A$18,Games!$L$2:$L$18,"Missing game",0)</x:f>
        <x:v>51</x:v>
      </x:c>
      <x:c r="AR60" t="n">
        <x:f>_xlfn.XLOOKUP($A60,Games!$A$2:$A$18,Games!$M$2:$M$18,"Missing game",0)</x:f>
        <x:v>0</x:v>
      </x:c>
      <x:c r="AS60" t="str">
        <x:f>_xlfn.XLOOKUP($A60,Games!$A$2:$A$18,Games!$N$2:$N$18,"Missing game",0)</x:f>
        <x:v>outdoors</x:v>
      </x:c>
      <x:c r="AT60" t="str">
        <x:f>_xlfn.XLOOKUP($A60,Games!$A$2:$A$18,Games!$O$2:$O$18,"Missing game",0)</x:f>
        <x:v>grass</x:v>
      </x:c>
      <x:c r="AU60" t="n">
        <x:f>_xlfn.XLOOKUP($A60,Games!$A$2:$A$18,Games!$P$2:$P$18,"Missing game",0)</x:f>
        <x:v>68</x:v>
      </x:c>
      <x:c r="AV60" t="n">
        <x:f>_xlfn.XLOOKUP($A60,Games!$A$2:$A$18,Games!$Q$2:$Q$18,"Missing game",0)</x:f>
        <x:v>6</x:v>
      </x:c>
      <x:c r="AW60" t="str">
        <x:f>_xlfn.XLOOKUP($A60,Games!$A$2:$A$18,Games!$R$2:$R$18,"Missing game",0)</x:f>
        <x:v>Soldier Field</x:v>
      </x:c>
    </x:row>
    <x:row r="61">
      <x:c r="A61" t="str">
        <x:v>2025_01_MIN_CHI</x:v>
      </x:c>
      <x:c r="B61" t="n">
        <x:v>1481</x:v>
      </x:c>
      <x:c r="C61" t="n">
        <x:v>2</x:v>
      </x:c>
      <x:c r="D61" t="str">
        <x:v>05:20</x:v>
      </x:c>
      <x:c r="E61" t="n">
        <x:v>2</x:v>
      </x:c>
      <x:c r="F61" t="n">
        <x:v>20</x:v>
      </x:c>
      <x:c r="G61" t="str">
        <x:v>MIN</x:v>
      </x:c>
      <x:c r="H61" t="str">
        <x:v>CHI</x:v>
      </x:c>
      <x:c r="I61" t="str">
        <x:v>MIN</x:v>
      </x:c>
      <x:c r="J61" t="n">
        <x:v>86</x:v>
      </x:c>
      <x:c r="K61" t="str">
        <x:v>(5:20) (No Huddle, Shotgun) 9-J.McCarthy pass incomplete short right to 1-J.Nailor (55-D.Odeyingbo).</x:v>
      </x:c>
      <x:c r="L61" t="str">
        <x:v>pass</x:v>
      </x:c>
      <x:c r="M61" t="n">
        <x:v>0</x:v>
      </x:c>
      <x:c r="N61" t="n">
        <x:v>1</x:v>
      </x:c>
      <x:c r="O61" t="n">
        <x:v>1</x:v>
      </x:c>
      <x:c r="P61" t="str">
        <x:v>short</x:v>
      </x:c>
      <x:c r="Q61" t="str">
        <x:v>right</x:v>
      </x:c>
      <x:c r="R61" t="n">
        <x:v>1</x:v>
      </x:c>
      <x:c r="S61"/>
      <x:c r="T61"/>
      <x:c r="U61"/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/>
      <x:c r="AC61" t="n">
        <x:v>0</x:v>
      </x:c>
      <x:c r="AD61" t="n">
        <x:v>-0.6305659774225205</x:v>
      </x:c>
      <x:c r="AE61" t="n">
        <x:v>0</x:v>
      </x:c>
      <x:c r="AF61" t="n">
        <x:v>-0.01802515983581543</x:v>
      </x:c>
      <x:c r="AG61" t="n">
        <x:f>_xlfn.XLOOKUP($A61,Games!$A$2:$A$18,Games!$B$2:$B$18,"Missing game",0)</x:f>
        <x:v>2025</x:v>
      </x:c>
      <x:c r="AH61" t="str">
        <x:f>_xlfn.XLOOKUP($A61,Games!$A$2:$A$18,Games!$C$2:$C$18,"Missing game",0)</x:f>
        <x:v>REG</x:v>
      </x:c>
      <x:c r="AI61" t="n">
        <x:f>_xlfn.XLOOKUP($A61,Games!$A$2:$A$18,Games!$D$2:$D$18,"Missing game",0)</x:f>
        <x:v>1</x:v>
      </x:c>
      <x:c r="AJ61" s="1" t="n">
        <x:f>_xlfn.XLOOKUP($A61,Games!$A$2:$A$18,Games!$E$2:$E$18,"Missing game",0)</x:f>
        <x:v>45908</x:v>
      </x:c>
      <x:c r="AK61" t="str">
        <x:f>_xlfn.XLOOKUP($A61,Games!$A$2:$A$18,Games!$F$2:$F$18,"Missing game",0)</x:f>
        <x:v>Monday</x:v>
      </x:c>
      <x:c r="AL61" t="str">
        <x:f>_xlfn.XLOOKUP($A61,Games!$A$2:$A$18,Games!$G$2:$G$18,"Missing game",0)</x:f>
        <x:v>MIN</x:v>
      </x:c>
      <x:c r="AM61" t="n">
        <x:f>_xlfn.XLOOKUP($A61,Games!$A$2:$A$18,Games!$H$2:$H$18,"Missing game",0)</x:f>
        <x:v>27</x:v>
      </x:c>
      <x:c r="AN61" t="str">
        <x:f>_xlfn.XLOOKUP($A61,Games!$A$2:$A$18,Games!$I$2:$I$18,"Missing game",0)</x:f>
        <x:v>CHI</x:v>
      </x:c>
      <x:c r="AO61" t="n">
        <x:f>_xlfn.XLOOKUP($A61,Games!$A$2:$A$18,Games!$J$2:$J$18,"Missing game",0)</x:f>
        <x:v>24</x:v>
      </x:c>
      <x:c r="AP61" t="n">
        <x:f>_xlfn.XLOOKUP($A61,Games!$A$2:$A$18,Games!$K$2:$K$18,"Missing game",0)</x:f>
        <x:v>-3</x:v>
      </x:c>
      <x:c r="AQ61" t="n">
        <x:f>_xlfn.XLOOKUP($A61,Games!$A$2:$A$18,Games!$L$2:$L$18,"Missing game",0)</x:f>
        <x:v>51</x:v>
      </x:c>
      <x:c r="AR61" t="n">
        <x:f>_xlfn.XLOOKUP($A61,Games!$A$2:$A$18,Games!$M$2:$M$18,"Missing game",0)</x:f>
        <x:v>0</x:v>
      </x:c>
      <x:c r="AS61" t="str">
        <x:f>_xlfn.XLOOKUP($A61,Games!$A$2:$A$18,Games!$N$2:$N$18,"Missing game",0)</x:f>
        <x:v>outdoors</x:v>
      </x:c>
      <x:c r="AT61" t="str">
        <x:f>_xlfn.XLOOKUP($A61,Games!$A$2:$A$18,Games!$O$2:$O$18,"Missing game",0)</x:f>
        <x:v>grass</x:v>
      </x:c>
      <x:c r="AU61" t="n">
        <x:f>_xlfn.XLOOKUP($A61,Games!$A$2:$A$18,Games!$P$2:$P$18,"Missing game",0)</x:f>
        <x:v>68</x:v>
      </x:c>
      <x:c r="AV61" t="n">
        <x:f>_xlfn.XLOOKUP($A61,Games!$A$2:$A$18,Games!$Q$2:$Q$18,"Missing game",0)</x:f>
        <x:v>6</x:v>
      </x:c>
      <x:c r="AW61" t="str">
        <x:f>_xlfn.XLOOKUP($A61,Games!$A$2:$A$18,Games!$R$2:$R$18,"Missing game",0)</x:f>
        <x:v>Soldier Field</x:v>
      </x:c>
    </x:row>
    <x:row r="62">
      <x:c r="A62" t="str">
        <x:v>2025_01_MIN_CHI</x:v>
      </x:c>
      <x:c r="B62" t="n">
        <x:v>1504</x:v>
      </x:c>
      <x:c r="C62" t="n">
        <x:v>2</x:v>
      </x:c>
      <x:c r="D62" t="str">
        <x:v>05:15</x:v>
      </x:c>
      <x:c r="E62" t="n">
        <x:v>3</x:v>
      </x:c>
      <x:c r="F62" t="n">
        <x:v>20</x:v>
      </x:c>
      <x:c r="G62" t="str">
        <x:v>MIN</x:v>
      </x:c>
      <x:c r="H62" t="str">
        <x:v>CHI</x:v>
      </x:c>
      <x:c r="I62" t="str">
        <x:v>MIN</x:v>
      </x:c>
      <x:c r="J62" t="n">
        <x:v>86</x:v>
      </x:c>
      <x:c r="K62" t="str">
        <x:v>(5:15) (Shotgun) PENALTY on MIN, Delay of Game, 5 yards, enforced at MIN 14 - No Play.</x:v>
      </x:c>
      <x:c r="L62" t="str">
        <x:v>no_play</x:v>
      </x:c>
      <x:c r="M62" t="n">
        <x:v>0</x:v>
      </x:c>
      <x:c r="N62" t="n">
        <x:v>1</x:v>
      </x:c>
      <x:c r="O62" t="n">
        <x:v>0</x:v>
      </x:c>
      <x:c r="P62"/>
      <x:c r="Q62"/>
      <x:c r="R62"/>
      <x:c r="S62"/>
      <x:c r="T62"/>
      <x:c r="U62"/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1</x:v>
      </x:c>
      <x:c r="AB62" t="n">
        <x:v>5</x:v>
      </x:c>
      <x:c r="AC62" t="n">
        <x:v>0</x:v>
      </x:c>
      <x:c r="AD62" t="n">
        <x:v>-0.32231249299366027</x:v>
      </x:c>
      <x:c r="AE62" t="n">
        <x:v>0</x:v>
      </x:c>
      <x:c r="AF62" t="n">
        <x:v>-0.012669771909713745</x:v>
      </x:c>
      <x:c r="AG62" t="n">
        <x:f>_xlfn.XLOOKUP($A62,Games!$A$2:$A$18,Games!$B$2:$B$18,"Missing game",0)</x:f>
        <x:v>2025</x:v>
      </x:c>
      <x:c r="AH62" t="str">
        <x:f>_xlfn.XLOOKUP($A62,Games!$A$2:$A$18,Games!$C$2:$C$18,"Missing game",0)</x:f>
        <x:v>REG</x:v>
      </x:c>
      <x:c r="AI62" t="n">
        <x:f>_xlfn.XLOOKUP($A62,Games!$A$2:$A$18,Games!$D$2:$D$18,"Missing game",0)</x:f>
        <x:v>1</x:v>
      </x:c>
      <x:c r="AJ62" s="1" t="n">
        <x:f>_xlfn.XLOOKUP($A62,Games!$A$2:$A$18,Games!$E$2:$E$18,"Missing game",0)</x:f>
        <x:v>45908</x:v>
      </x:c>
      <x:c r="AK62" t="str">
        <x:f>_xlfn.XLOOKUP($A62,Games!$A$2:$A$18,Games!$F$2:$F$18,"Missing game",0)</x:f>
        <x:v>Monday</x:v>
      </x:c>
      <x:c r="AL62" t="str">
        <x:f>_xlfn.XLOOKUP($A62,Games!$A$2:$A$18,Games!$G$2:$G$18,"Missing game",0)</x:f>
        <x:v>MIN</x:v>
      </x:c>
      <x:c r="AM62" t="n">
        <x:f>_xlfn.XLOOKUP($A62,Games!$A$2:$A$18,Games!$H$2:$H$18,"Missing game",0)</x:f>
        <x:v>27</x:v>
      </x:c>
      <x:c r="AN62" t="str">
        <x:f>_xlfn.XLOOKUP($A62,Games!$A$2:$A$18,Games!$I$2:$I$18,"Missing game",0)</x:f>
        <x:v>CHI</x:v>
      </x:c>
      <x:c r="AO62" t="n">
        <x:f>_xlfn.XLOOKUP($A62,Games!$A$2:$A$18,Games!$J$2:$J$18,"Missing game",0)</x:f>
        <x:v>24</x:v>
      </x:c>
      <x:c r="AP62" t="n">
        <x:f>_xlfn.XLOOKUP($A62,Games!$A$2:$A$18,Games!$K$2:$K$18,"Missing game",0)</x:f>
        <x:v>-3</x:v>
      </x:c>
      <x:c r="AQ62" t="n">
        <x:f>_xlfn.XLOOKUP($A62,Games!$A$2:$A$18,Games!$L$2:$L$18,"Missing game",0)</x:f>
        <x:v>51</x:v>
      </x:c>
      <x:c r="AR62" t="n">
        <x:f>_xlfn.XLOOKUP($A62,Games!$A$2:$A$18,Games!$M$2:$M$18,"Missing game",0)</x:f>
        <x:v>0</x:v>
      </x:c>
      <x:c r="AS62" t="str">
        <x:f>_xlfn.XLOOKUP($A62,Games!$A$2:$A$18,Games!$N$2:$N$18,"Missing game",0)</x:f>
        <x:v>outdoors</x:v>
      </x:c>
      <x:c r="AT62" t="str">
        <x:f>_xlfn.XLOOKUP($A62,Games!$A$2:$A$18,Games!$O$2:$O$18,"Missing game",0)</x:f>
        <x:v>grass</x:v>
      </x:c>
      <x:c r="AU62" t="n">
        <x:f>_xlfn.XLOOKUP($A62,Games!$A$2:$A$18,Games!$P$2:$P$18,"Missing game",0)</x:f>
        <x:v>68</x:v>
      </x:c>
      <x:c r="AV62" t="n">
        <x:f>_xlfn.XLOOKUP($A62,Games!$A$2:$A$18,Games!$Q$2:$Q$18,"Missing game",0)</x:f>
        <x:v>6</x:v>
      </x:c>
      <x:c r="AW62" t="str">
        <x:f>_xlfn.XLOOKUP($A62,Games!$A$2:$A$18,Games!$R$2:$R$18,"Missing game",0)</x:f>
        <x:v>Soldier Field</x:v>
      </x:c>
    </x:row>
    <x:row r="63">
      <x:c r="A63" t="str">
        <x:v>2025_01_MIN_CHI</x:v>
      </x:c>
      <x:c r="B63" t="n">
        <x:v>1533</x:v>
      </x:c>
      <x:c r="C63" t="n">
        <x:v>2</x:v>
      </x:c>
      <x:c r="D63" t="str">
        <x:v>05:15</x:v>
      </x:c>
      <x:c r="E63" t="n">
        <x:v>3</x:v>
      </x:c>
      <x:c r="F63" t="n">
        <x:v>25</x:v>
      </x:c>
      <x:c r="G63" t="str">
        <x:v>MIN</x:v>
      </x:c>
      <x:c r="H63" t="str">
        <x:v>CHI</x:v>
      </x:c>
      <x:c r="I63" t="str">
        <x:v>MIN</x:v>
      </x:c>
      <x:c r="J63" t="n">
        <x:v>91</x:v>
      </x:c>
      <x:c r="K63" t="str">
        <x:v>(5:15) (Shotgun) 9-J.McCarthy pass short left to 27-J.Mason to MIN 16 for 7 yards (49-T.Edmunds).</x:v>
      </x:c>
      <x:c r="L63" t="str">
        <x:v>pass</x:v>
      </x:c>
      <x:c r="M63" t="n">
        <x:v>7</x:v>
      </x:c>
      <x:c r="N63" t="n">
        <x:v>1</x:v>
      </x:c>
      <x:c r="O63" t="n">
        <x:v>0</x:v>
      </x:c>
      <x:c r="P63" t="str">
        <x:v>short</x:v>
      </x:c>
      <x:c r="Q63" t="str">
        <x:v>left</x:v>
      </x:c>
      <x:c r="R63" t="n">
        <x:v>-5</x:v>
      </x:c>
      <x:c r="S63" t="n">
        <x:v>12</x:v>
      </x:c>
      <x:c r="T63"/>
      <x:c r="U63"/>
      <x:c r="V63" t="n">
        <x:v>1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/>
      <x:c r="AC63" t="n">
        <x:v>0</x:v>
      </x:c>
      <x:c r="AD63" t="n">
        <x:v>-0.07703274360392243</x:v>
      </x:c>
      <x:c r="AE63" t="n">
        <x:v>0</x:v>
      </x:c>
      <x:c r="AF63" t="n">
        <x:v>-0.011312171816825867</x:v>
      </x:c>
      <x:c r="AG63" t="n">
        <x:f>_xlfn.XLOOKUP($A63,Games!$A$2:$A$18,Games!$B$2:$B$18,"Missing game",0)</x:f>
        <x:v>2025</x:v>
      </x:c>
      <x:c r="AH63" t="str">
        <x:f>_xlfn.XLOOKUP($A63,Games!$A$2:$A$18,Games!$C$2:$C$18,"Missing game",0)</x:f>
        <x:v>REG</x:v>
      </x:c>
      <x:c r="AI63" t="n">
        <x:f>_xlfn.XLOOKUP($A63,Games!$A$2:$A$18,Games!$D$2:$D$18,"Missing game",0)</x:f>
        <x:v>1</x:v>
      </x:c>
      <x:c r="AJ63" s="1" t="n">
        <x:f>_xlfn.XLOOKUP($A63,Games!$A$2:$A$18,Games!$E$2:$E$18,"Missing game",0)</x:f>
        <x:v>45908</x:v>
      </x:c>
      <x:c r="AK63" t="str">
        <x:f>_xlfn.XLOOKUP($A63,Games!$A$2:$A$18,Games!$F$2:$F$18,"Missing game",0)</x:f>
        <x:v>Monday</x:v>
      </x:c>
      <x:c r="AL63" t="str">
        <x:f>_xlfn.XLOOKUP($A63,Games!$A$2:$A$18,Games!$G$2:$G$18,"Missing game",0)</x:f>
        <x:v>MIN</x:v>
      </x:c>
      <x:c r="AM63" t="n">
        <x:f>_xlfn.XLOOKUP($A63,Games!$A$2:$A$18,Games!$H$2:$H$18,"Missing game",0)</x:f>
        <x:v>27</x:v>
      </x:c>
      <x:c r="AN63" t="str">
        <x:f>_xlfn.XLOOKUP($A63,Games!$A$2:$A$18,Games!$I$2:$I$18,"Missing game",0)</x:f>
        <x:v>CHI</x:v>
      </x:c>
      <x:c r="AO63" t="n">
        <x:f>_xlfn.XLOOKUP($A63,Games!$A$2:$A$18,Games!$J$2:$J$18,"Missing game",0)</x:f>
        <x:v>24</x:v>
      </x:c>
      <x:c r="AP63" t="n">
        <x:f>_xlfn.XLOOKUP($A63,Games!$A$2:$A$18,Games!$K$2:$K$18,"Missing game",0)</x:f>
        <x:v>-3</x:v>
      </x:c>
      <x:c r="AQ63" t="n">
        <x:f>_xlfn.XLOOKUP($A63,Games!$A$2:$A$18,Games!$L$2:$L$18,"Missing game",0)</x:f>
        <x:v>51</x:v>
      </x:c>
      <x:c r="AR63" t="n">
        <x:f>_xlfn.XLOOKUP($A63,Games!$A$2:$A$18,Games!$M$2:$M$18,"Missing game",0)</x:f>
        <x:v>0</x:v>
      </x:c>
      <x:c r="AS63" t="str">
        <x:f>_xlfn.XLOOKUP($A63,Games!$A$2:$A$18,Games!$N$2:$N$18,"Missing game",0)</x:f>
        <x:v>outdoors</x:v>
      </x:c>
      <x:c r="AT63" t="str">
        <x:f>_xlfn.XLOOKUP($A63,Games!$A$2:$A$18,Games!$O$2:$O$18,"Missing game",0)</x:f>
        <x:v>grass</x:v>
      </x:c>
      <x:c r="AU63" t="n">
        <x:f>_xlfn.XLOOKUP($A63,Games!$A$2:$A$18,Games!$P$2:$P$18,"Missing game",0)</x:f>
        <x:v>68</x:v>
      </x:c>
      <x:c r="AV63" t="n">
        <x:f>_xlfn.XLOOKUP($A63,Games!$A$2:$A$18,Games!$Q$2:$Q$18,"Missing game",0)</x:f>
        <x:v>6</x:v>
      </x:c>
      <x:c r="AW63" t="str">
        <x:f>_xlfn.XLOOKUP($A63,Games!$A$2:$A$18,Games!$R$2:$R$18,"Missing game",0)</x:f>
        <x:v>Soldier Field</x:v>
      </x:c>
    </x:row>
    <x:row r="64">
      <x:c r="A64" t="str">
        <x:v>2025_01_MIN_CHI</x:v>
      </x:c>
      <x:c r="B64" t="n">
        <x:v>1558</x:v>
      </x:c>
      <x:c r="C64" t="n">
        <x:v>2</x:v>
      </x:c>
      <x:c r="D64" t="str">
        <x:v>04:39</x:v>
      </x:c>
      <x:c r="E64" t="n">
        <x:v>4</x:v>
      </x:c>
      <x:c r="F64" t="n">
        <x:v>18</x:v>
      </x:c>
      <x:c r="G64" t="str">
        <x:v>MIN</x:v>
      </x:c>
      <x:c r="H64" t="str">
        <x:v>CHI</x:v>
      </x:c>
      <x:c r="I64" t="str">
        <x:v>MIN</x:v>
      </x:c>
      <x:c r="J64" t="n">
        <x:v>84</x:v>
      </x:c>
      <x:c r="K64" t="str">
        <x:v>(4:39) 17-R.Wright punts 51 yards to CHI 33, Center-42-A.DePaola. 12-D.Duvernay to CHI 41 for 8 yards (13-T.Felton).</x:v>
      </x:c>
      <x:c r="L64" t="str">
        <x:v>punt</x:v>
      </x:c>
      <x:c r="M64" t="n">
        <x:v>0</x:v>
      </x:c>
      <x:c r="N64" t="n">
        <x:v>0</x:v>
      </x:c>
      <x:c r="O64" t="n">
        <x:v>0</x:v>
      </x:c>
      <x:c r="P64"/>
      <x:c r="Q64"/>
      <x:c r="R64"/>
      <x:c r="S64"/>
      <x:c r="T64"/>
      <x:c r="U64"/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/>
      <x:c r="AC64" t="n">
        <x:v>0</x:v>
      </x:c>
      <x:c r="AD64" t="n">
        <x:v>-0.2539978608256206</x:v>
      </x:c>
      <x:c r="AE64" t="n">
        <x:v>0</x:v>
      </x:c>
      <x:c r="AF64" t="n">
        <x:v>0.010102078318595886</x:v>
      </x:c>
      <x:c r="AG64" t="n">
        <x:f>_xlfn.XLOOKUP($A64,Games!$A$2:$A$18,Games!$B$2:$B$18,"Missing game",0)</x:f>
        <x:v>2025</x:v>
      </x:c>
      <x:c r="AH64" t="str">
        <x:f>_xlfn.XLOOKUP($A64,Games!$A$2:$A$18,Games!$C$2:$C$18,"Missing game",0)</x:f>
        <x:v>REG</x:v>
      </x:c>
      <x:c r="AI64" t="n">
        <x:f>_xlfn.XLOOKUP($A64,Games!$A$2:$A$18,Games!$D$2:$D$18,"Missing game",0)</x:f>
        <x:v>1</x:v>
      </x:c>
      <x:c r="AJ64" s="1" t="n">
        <x:f>_xlfn.XLOOKUP($A64,Games!$A$2:$A$18,Games!$E$2:$E$18,"Missing game",0)</x:f>
        <x:v>45908</x:v>
      </x:c>
      <x:c r="AK64" t="str">
        <x:f>_xlfn.XLOOKUP($A64,Games!$A$2:$A$18,Games!$F$2:$F$18,"Missing game",0)</x:f>
        <x:v>Monday</x:v>
      </x:c>
      <x:c r="AL64" t="str">
        <x:f>_xlfn.XLOOKUP($A64,Games!$A$2:$A$18,Games!$G$2:$G$18,"Missing game",0)</x:f>
        <x:v>MIN</x:v>
      </x:c>
      <x:c r="AM64" t="n">
        <x:f>_xlfn.XLOOKUP($A64,Games!$A$2:$A$18,Games!$H$2:$H$18,"Missing game",0)</x:f>
        <x:v>27</x:v>
      </x:c>
      <x:c r="AN64" t="str">
        <x:f>_xlfn.XLOOKUP($A64,Games!$A$2:$A$18,Games!$I$2:$I$18,"Missing game",0)</x:f>
        <x:v>CHI</x:v>
      </x:c>
      <x:c r="AO64" t="n">
        <x:f>_xlfn.XLOOKUP($A64,Games!$A$2:$A$18,Games!$J$2:$J$18,"Missing game",0)</x:f>
        <x:v>24</x:v>
      </x:c>
      <x:c r="AP64" t="n">
        <x:f>_xlfn.XLOOKUP($A64,Games!$A$2:$A$18,Games!$K$2:$K$18,"Missing game",0)</x:f>
        <x:v>-3</x:v>
      </x:c>
      <x:c r="AQ64" t="n">
        <x:f>_xlfn.XLOOKUP($A64,Games!$A$2:$A$18,Games!$L$2:$L$18,"Missing game",0)</x:f>
        <x:v>51</x:v>
      </x:c>
      <x:c r="AR64" t="n">
        <x:f>_xlfn.XLOOKUP($A64,Games!$A$2:$A$18,Games!$M$2:$M$18,"Missing game",0)</x:f>
        <x:v>0</x:v>
      </x:c>
      <x:c r="AS64" t="str">
        <x:f>_xlfn.XLOOKUP($A64,Games!$A$2:$A$18,Games!$N$2:$N$18,"Missing game",0)</x:f>
        <x:v>outdoors</x:v>
      </x:c>
      <x:c r="AT64" t="str">
        <x:f>_xlfn.XLOOKUP($A64,Games!$A$2:$A$18,Games!$O$2:$O$18,"Missing game",0)</x:f>
        <x:v>grass</x:v>
      </x:c>
      <x:c r="AU64" t="n">
        <x:f>_xlfn.XLOOKUP($A64,Games!$A$2:$A$18,Games!$P$2:$P$18,"Missing game",0)</x:f>
        <x:v>68</x:v>
      </x:c>
      <x:c r="AV64" t="n">
        <x:f>_xlfn.XLOOKUP($A64,Games!$A$2:$A$18,Games!$Q$2:$Q$18,"Missing game",0)</x:f>
        <x:v>6</x:v>
      </x:c>
      <x:c r="AW64" t="str">
        <x:f>_xlfn.XLOOKUP($A64,Games!$A$2:$A$18,Games!$R$2:$R$18,"Missing game",0)</x:f>
        <x:v>Soldier Field</x:v>
      </x:c>
    </x:row>
    <x:row r="65">
      <x:c r="A65" t="str">
        <x:v>2025_01_MIN_CHI</x:v>
      </x:c>
      <x:c r="B65" t="n">
        <x:v>1584</x:v>
      </x:c>
      <x:c r="C65" t="n">
        <x:v>2</x:v>
      </x:c>
      <x:c r="D65" t="str">
        <x:v>04:29</x:v>
      </x:c>
      <x:c r="E65" t="n">
        <x:v>1</x:v>
      </x:c>
      <x:c r="F65" t="n">
        <x:v>10</x:v>
      </x:c>
      <x:c r="G65" t="str">
        <x:v>CHI</x:v>
      </x:c>
      <x:c r="H65" t="str">
        <x:v>MIN</x:v>
      </x:c>
      <x:c r="I65" t="str">
        <x:v>CHI</x:v>
      </x:c>
      <x:c r="J65" t="n">
        <x:v>59</x:v>
      </x:c>
      <x:c r="K65" t="str">
        <x:v>(4:29) 4-D.Swift right guard to CHI 45 for 4 yards (93-J.Allen).</x:v>
      </x:c>
      <x:c r="L65" t="str">
        <x:v>run</x:v>
      </x:c>
      <x:c r="M65" t="n">
        <x:v>4</x:v>
      </x:c>
      <x:c r="N65" t="n">
        <x:v>0</x:v>
      </x:c>
      <x:c r="O65" t="n">
        <x:v>0</x:v>
      </x:c>
      <x:c r="P65"/>
      <x:c r="Q65"/>
      <x:c r="R65"/>
      <x:c r="S65"/>
      <x:c r="T65" t="str">
        <x:v>right</x:v>
      </x:c>
      <x:c r="U65" t="str">
        <x:v>guard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/>
      <x:c r="AC65" t="n">
        <x:v>0</x:v>
      </x:c>
      <x:c r="AD65" t="n">
        <x:v>-0.4018479962251149</x:v>
      </x:c>
      <x:c r="AE65" t="n">
        <x:v>0</x:v>
      </x:c>
      <x:c r="AF65" t="n">
        <x:v>0.000046133995056152344</x:v>
      </x:c>
      <x:c r="AG65" t="n">
        <x:f>_xlfn.XLOOKUP($A65,Games!$A$2:$A$18,Games!$B$2:$B$18,"Missing game",0)</x:f>
        <x:v>2025</x:v>
      </x:c>
      <x:c r="AH65" t="str">
        <x:f>_xlfn.XLOOKUP($A65,Games!$A$2:$A$18,Games!$C$2:$C$18,"Missing game",0)</x:f>
        <x:v>REG</x:v>
      </x:c>
      <x:c r="AI65" t="n">
        <x:f>_xlfn.XLOOKUP($A65,Games!$A$2:$A$18,Games!$D$2:$D$18,"Missing game",0)</x:f>
        <x:v>1</x:v>
      </x:c>
      <x:c r="AJ65" s="1" t="n">
        <x:f>_xlfn.XLOOKUP($A65,Games!$A$2:$A$18,Games!$E$2:$E$18,"Missing game",0)</x:f>
        <x:v>45908</x:v>
      </x:c>
      <x:c r="AK65" t="str">
        <x:f>_xlfn.XLOOKUP($A65,Games!$A$2:$A$18,Games!$F$2:$F$18,"Missing game",0)</x:f>
        <x:v>Monday</x:v>
      </x:c>
      <x:c r="AL65" t="str">
        <x:f>_xlfn.XLOOKUP($A65,Games!$A$2:$A$18,Games!$G$2:$G$18,"Missing game",0)</x:f>
        <x:v>MIN</x:v>
      </x:c>
      <x:c r="AM65" t="n">
        <x:f>_xlfn.XLOOKUP($A65,Games!$A$2:$A$18,Games!$H$2:$H$18,"Missing game",0)</x:f>
        <x:v>27</x:v>
      </x:c>
      <x:c r="AN65" t="str">
        <x:f>_xlfn.XLOOKUP($A65,Games!$A$2:$A$18,Games!$I$2:$I$18,"Missing game",0)</x:f>
        <x:v>CHI</x:v>
      </x:c>
      <x:c r="AO65" t="n">
        <x:f>_xlfn.XLOOKUP($A65,Games!$A$2:$A$18,Games!$J$2:$J$18,"Missing game",0)</x:f>
        <x:v>24</x:v>
      </x:c>
      <x:c r="AP65" t="n">
        <x:f>_xlfn.XLOOKUP($A65,Games!$A$2:$A$18,Games!$K$2:$K$18,"Missing game",0)</x:f>
        <x:v>-3</x:v>
      </x:c>
      <x:c r="AQ65" t="n">
        <x:f>_xlfn.XLOOKUP($A65,Games!$A$2:$A$18,Games!$L$2:$L$18,"Missing game",0)</x:f>
        <x:v>51</x:v>
      </x:c>
      <x:c r="AR65" t="n">
        <x:f>_xlfn.XLOOKUP($A65,Games!$A$2:$A$18,Games!$M$2:$M$18,"Missing game",0)</x:f>
        <x:v>0</x:v>
      </x:c>
      <x:c r="AS65" t="str">
        <x:f>_xlfn.XLOOKUP($A65,Games!$A$2:$A$18,Games!$N$2:$N$18,"Missing game",0)</x:f>
        <x:v>outdoors</x:v>
      </x:c>
      <x:c r="AT65" t="str">
        <x:f>_xlfn.XLOOKUP($A65,Games!$A$2:$A$18,Games!$O$2:$O$18,"Missing game",0)</x:f>
        <x:v>grass</x:v>
      </x:c>
      <x:c r="AU65" t="n">
        <x:f>_xlfn.XLOOKUP($A65,Games!$A$2:$A$18,Games!$P$2:$P$18,"Missing game",0)</x:f>
        <x:v>68</x:v>
      </x:c>
      <x:c r="AV65" t="n">
        <x:f>_xlfn.XLOOKUP($A65,Games!$A$2:$A$18,Games!$Q$2:$Q$18,"Missing game",0)</x:f>
        <x:v>6</x:v>
      </x:c>
      <x:c r="AW65" t="str">
        <x:f>_xlfn.XLOOKUP($A65,Games!$A$2:$A$18,Games!$R$2:$R$18,"Missing game",0)</x:f>
        <x:v>Soldier Field</x:v>
      </x:c>
    </x:row>
    <x:row r="66">
      <x:c r="A66" t="str">
        <x:v>2025_01_MIN_CHI</x:v>
      </x:c>
      <x:c r="B66" t="n">
        <x:v>1618</x:v>
      </x:c>
      <x:c r="C66" t="n">
        <x:v>2</x:v>
      </x:c>
      <x:c r="D66" t="str">
        <x:v>03:43</x:v>
      </x:c>
      <x:c r="E66" t="n">
        <x:v>2</x:v>
      </x:c>
      <x:c r="F66" t="n">
        <x:v>6</x:v>
      </x:c>
      <x:c r="G66" t="str">
        <x:v>CHI</x:v>
      </x:c>
      <x:c r="H66" t="str">
        <x:v>MIN</x:v>
      </x:c>
      <x:c r="I66" t="str">
        <x:v>CHI</x:v>
      </x:c>
      <x:c r="J66" t="n">
        <x:v>55</x:v>
      </x:c>
      <x:c r="K66" t="str">
        <x:v>(3:43) PENALTY on CHI-73-J.Jackson, False Start, 5 yards, enforced at CHI 45 - No Play.</x:v>
      </x:c>
      <x:c r="L66" t="str">
        <x:v>no_play</x:v>
      </x:c>
      <x:c r="M66" t="n">
        <x:v>0</x:v>
      </x:c>
      <x:c r="N66" t="n">
        <x:v>0</x:v>
      </x:c>
      <x:c r="O66" t="n">
        <x:v>0</x:v>
      </x:c>
      <x:c r="P66"/>
      <x:c r="Q66"/>
      <x:c r="R66"/>
      <x:c r="S66"/>
      <x:c r="T66"/>
      <x:c r="U66"/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1</x:v>
      </x:c>
      <x:c r="AB66" t="n">
        <x:v>5</x:v>
      </x:c>
      <x:c r="AC66" t="n">
        <x:v>0</x:v>
      </x:c>
      <x:c r="AD66" t="n">
        <x:v>-0.38567468646215275</x:v>
      </x:c>
      <x:c r="AE66" t="n">
        <x:v>0</x:v>
      </x:c>
      <x:c r="AF66" t="n">
        <x:v>-0.015474140644073486</x:v>
      </x:c>
      <x:c r="AG66" t="n">
        <x:f>_xlfn.XLOOKUP($A66,Games!$A$2:$A$18,Games!$B$2:$B$18,"Missing game",0)</x:f>
        <x:v>2025</x:v>
      </x:c>
      <x:c r="AH66" t="str">
        <x:f>_xlfn.XLOOKUP($A66,Games!$A$2:$A$18,Games!$C$2:$C$18,"Missing game",0)</x:f>
        <x:v>REG</x:v>
      </x:c>
      <x:c r="AI66" t="n">
        <x:f>_xlfn.XLOOKUP($A66,Games!$A$2:$A$18,Games!$D$2:$D$18,"Missing game",0)</x:f>
        <x:v>1</x:v>
      </x:c>
      <x:c r="AJ66" s="1" t="n">
        <x:f>_xlfn.XLOOKUP($A66,Games!$A$2:$A$18,Games!$E$2:$E$18,"Missing game",0)</x:f>
        <x:v>45908</x:v>
      </x:c>
      <x:c r="AK66" t="str">
        <x:f>_xlfn.XLOOKUP($A66,Games!$A$2:$A$18,Games!$F$2:$F$18,"Missing game",0)</x:f>
        <x:v>Monday</x:v>
      </x:c>
      <x:c r="AL66" t="str">
        <x:f>_xlfn.XLOOKUP($A66,Games!$A$2:$A$18,Games!$G$2:$G$18,"Missing game",0)</x:f>
        <x:v>MIN</x:v>
      </x:c>
      <x:c r="AM66" t="n">
        <x:f>_xlfn.XLOOKUP($A66,Games!$A$2:$A$18,Games!$H$2:$H$18,"Missing game",0)</x:f>
        <x:v>27</x:v>
      </x:c>
      <x:c r="AN66" t="str">
        <x:f>_xlfn.XLOOKUP($A66,Games!$A$2:$A$18,Games!$I$2:$I$18,"Missing game",0)</x:f>
        <x:v>CHI</x:v>
      </x:c>
      <x:c r="AO66" t="n">
        <x:f>_xlfn.XLOOKUP($A66,Games!$A$2:$A$18,Games!$J$2:$J$18,"Missing game",0)</x:f>
        <x:v>24</x:v>
      </x:c>
      <x:c r="AP66" t="n">
        <x:f>_xlfn.XLOOKUP($A66,Games!$A$2:$A$18,Games!$K$2:$K$18,"Missing game",0)</x:f>
        <x:v>-3</x:v>
      </x:c>
      <x:c r="AQ66" t="n">
        <x:f>_xlfn.XLOOKUP($A66,Games!$A$2:$A$18,Games!$L$2:$L$18,"Missing game",0)</x:f>
        <x:v>51</x:v>
      </x:c>
      <x:c r="AR66" t="n">
        <x:f>_xlfn.XLOOKUP($A66,Games!$A$2:$A$18,Games!$M$2:$M$18,"Missing game",0)</x:f>
        <x:v>0</x:v>
      </x:c>
      <x:c r="AS66" t="str">
        <x:f>_xlfn.XLOOKUP($A66,Games!$A$2:$A$18,Games!$N$2:$N$18,"Missing game",0)</x:f>
        <x:v>outdoors</x:v>
      </x:c>
      <x:c r="AT66" t="str">
        <x:f>_xlfn.XLOOKUP($A66,Games!$A$2:$A$18,Games!$O$2:$O$18,"Missing game",0)</x:f>
        <x:v>grass</x:v>
      </x:c>
      <x:c r="AU66" t="n">
        <x:f>_xlfn.XLOOKUP($A66,Games!$A$2:$A$18,Games!$P$2:$P$18,"Missing game",0)</x:f>
        <x:v>68</x:v>
      </x:c>
      <x:c r="AV66" t="n">
        <x:f>_xlfn.XLOOKUP($A66,Games!$A$2:$A$18,Games!$Q$2:$Q$18,"Missing game",0)</x:f>
        <x:v>6</x:v>
      </x:c>
      <x:c r="AW66" t="str">
        <x:f>_xlfn.XLOOKUP($A66,Games!$A$2:$A$18,Games!$R$2:$R$18,"Missing game",0)</x:f>
        <x:v>Soldier Field</x:v>
      </x:c>
    </x:row>
    <x:row r="67">
      <x:c r="A67" t="str">
        <x:v>2025_01_MIN_CHI</x:v>
      </x:c>
      <x:c r="B67" t="n">
        <x:v>1642</x:v>
      </x:c>
      <x:c r="C67" t="n">
        <x:v>2</x:v>
      </x:c>
      <x:c r="D67" t="str">
        <x:v>03:26</x:v>
      </x:c>
      <x:c r="E67" t="n">
        <x:v>2</x:v>
      </x:c>
      <x:c r="F67" t="n">
        <x:v>11</x:v>
      </x:c>
      <x:c r="G67" t="str">
        <x:v>CHI</x:v>
      </x:c>
      <x:c r="H67" t="str">
        <x:v>MIN</x:v>
      </x:c>
      <x:c r="I67" t="str">
        <x:v>CHI</x:v>
      </x:c>
      <x:c r="J67" t="n">
        <x:v>60</x:v>
      </x:c>
      <x:c r="K67" t="str">
        <x:v>(3:26) (Shotgun) 18-C.Williams pass short middle to 14-O.Zaccheaus to MIN 44 for 16 yards (51-B.Cashman; 44-J.Metellus).</x:v>
      </x:c>
      <x:c r="L67" t="str">
        <x:v>pass</x:v>
      </x:c>
      <x:c r="M67" t="n">
        <x:v>16</x:v>
      </x:c>
      <x:c r="N67" t="n">
        <x:v>1</x:v>
      </x:c>
      <x:c r="O67" t="n">
        <x:v>0</x:v>
      </x:c>
      <x:c r="P67" t="str">
        <x:v>short</x:v>
      </x:c>
      <x:c r="Q67" t="str">
        <x:v>middle</x:v>
      </x:c>
      <x:c r="R67" t="n">
        <x:v>6</x:v>
      </x:c>
      <x:c r="S67" t="n">
        <x:v>10</x:v>
      </x:c>
      <x:c r="T67"/>
      <x:c r="U67"/>
      <x:c r="V67" t="n">
        <x:v>1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/>
      <x:c r="AC67" t="n">
        <x:v>0</x:v>
      </x:c>
      <x:c r="AD67" t="n">
        <x:v>1.495626121526584</x:v>
      </x:c>
      <x:c r="AE67" t="n">
        <x:v>1</x:v>
      </x:c>
      <x:c r="AF67" t="n">
        <x:v>0.047044575214385986</x:v>
      </x:c>
      <x:c r="AG67" t="n">
        <x:f>_xlfn.XLOOKUP($A67,Games!$A$2:$A$18,Games!$B$2:$B$18,"Missing game",0)</x:f>
        <x:v>2025</x:v>
      </x:c>
      <x:c r="AH67" t="str">
        <x:f>_xlfn.XLOOKUP($A67,Games!$A$2:$A$18,Games!$C$2:$C$18,"Missing game",0)</x:f>
        <x:v>REG</x:v>
      </x:c>
      <x:c r="AI67" t="n">
        <x:f>_xlfn.XLOOKUP($A67,Games!$A$2:$A$18,Games!$D$2:$D$18,"Missing game",0)</x:f>
        <x:v>1</x:v>
      </x:c>
      <x:c r="AJ67" s="1" t="n">
        <x:f>_xlfn.XLOOKUP($A67,Games!$A$2:$A$18,Games!$E$2:$E$18,"Missing game",0)</x:f>
        <x:v>45908</x:v>
      </x:c>
      <x:c r="AK67" t="str">
        <x:f>_xlfn.XLOOKUP($A67,Games!$A$2:$A$18,Games!$F$2:$F$18,"Missing game",0)</x:f>
        <x:v>Monday</x:v>
      </x:c>
      <x:c r="AL67" t="str">
        <x:f>_xlfn.XLOOKUP($A67,Games!$A$2:$A$18,Games!$G$2:$G$18,"Missing game",0)</x:f>
        <x:v>MIN</x:v>
      </x:c>
      <x:c r="AM67" t="n">
        <x:f>_xlfn.XLOOKUP($A67,Games!$A$2:$A$18,Games!$H$2:$H$18,"Missing game",0)</x:f>
        <x:v>27</x:v>
      </x:c>
      <x:c r="AN67" t="str">
        <x:f>_xlfn.XLOOKUP($A67,Games!$A$2:$A$18,Games!$I$2:$I$18,"Missing game",0)</x:f>
        <x:v>CHI</x:v>
      </x:c>
      <x:c r="AO67" t="n">
        <x:f>_xlfn.XLOOKUP($A67,Games!$A$2:$A$18,Games!$J$2:$J$18,"Missing game",0)</x:f>
        <x:v>24</x:v>
      </x:c>
      <x:c r="AP67" t="n">
        <x:f>_xlfn.XLOOKUP($A67,Games!$A$2:$A$18,Games!$K$2:$K$18,"Missing game",0)</x:f>
        <x:v>-3</x:v>
      </x:c>
      <x:c r="AQ67" t="n">
        <x:f>_xlfn.XLOOKUP($A67,Games!$A$2:$A$18,Games!$L$2:$L$18,"Missing game",0)</x:f>
        <x:v>51</x:v>
      </x:c>
      <x:c r="AR67" t="n">
        <x:f>_xlfn.XLOOKUP($A67,Games!$A$2:$A$18,Games!$M$2:$M$18,"Missing game",0)</x:f>
        <x:v>0</x:v>
      </x:c>
      <x:c r="AS67" t="str">
        <x:f>_xlfn.XLOOKUP($A67,Games!$A$2:$A$18,Games!$N$2:$N$18,"Missing game",0)</x:f>
        <x:v>outdoors</x:v>
      </x:c>
      <x:c r="AT67" t="str">
        <x:f>_xlfn.XLOOKUP($A67,Games!$A$2:$A$18,Games!$O$2:$O$18,"Missing game",0)</x:f>
        <x:v>grass</x:v>
      </x:c>
      <x:c r="AU67" t="n">
        <x:f>_xlfn.XLOOKUP($A67,Games!$A$2:$A$18,Games!$P$2:$P$18,"Missing game",0)</x:f>
        <x:v>68</x:v>
      </x:c>
      <x:c r="AV67" t="n">
        <x:f>_xlfn.XLOOKUP($A67,Games!$A$2:$A$18,Games!$Q$2:$Q$18,"Missing game",0)</x:f>
        <x:v>6</x:v>
      </x:c>
      <x:c r="AW67" t="str">
        <x:f>_xlfn.XLOOKUP($A67,Games!$A$2:$A$18,Games!$R$2:$R$18,"Missing game",0)</x:f>
        <x:v>Soldier Field</x:v>
      </x:c>
    </x:row>
    <x:row r="68">
      <x:c r="A68" t="str">
        <x:v>2025_01_MIN_CHI</x:v>
      </x:c>
      <x:c r="B68" t="n">
        <x:v>1667</x:v>
      </x:c>
      <x:c r="C68" t="n">
        <x:v>2</x:v>
      </x:c>
      <x:c r="D68" t="str">
        <x:v>02:48</x:v>
      </x:c>
      <x:c r="E68" t="n">
        <x:v>1</x:v>
      </x:c>
      <x:c r="F68" t="n">
        <x:v>10</x:v>
      </x:c>
      <x:c r="G68" t="str">
        <x:v>CHI</x:v>
      </x:c>
      <x:c r="H68" t="str">
        <x:v>MIN</x:v>
      </x:c>
      <x:c r="I68" t="str">
        <x:v>MIN</x:v>
      </x:c>
      <x:c r="J68" t="n">
        <x:v>44</x:v>
      </x:c>
      <x:c r="K68" t="str">
        <x:v>(2:48) 4-D.Swift left end to MIN 41 for 3 yards (15-D.Turner; 93-J.Allen).</x:v>
      </x:c>
      <x:c r="L68" t="str">
        <x:v>run</x:v>
      </x:c>
      <x:c r="M68" t="n">
        <x:v>3</x:v>
      </x:c>
      <x:c r="N68" t="n">
        <x:v>0</x:v>
      </x:c>
      <x:c r="O68" t="n">
        <x:v>0</x:v>
      </x:c>
      <x:c r="P68"/>
      <x:c r="Q68"/>
      <x:c r="R68"/>
      <x:c r="S68"/>
      <x:c r="T68" t="str">
        <x:v>left</x:v>
      </x:c>
      <x:c r="U68" t="str">
        <x:v>end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/>
      <x:c r="AC68" t="n">
        <x:v>0</x:v>
      </x:c>
      <x:c r="AD68" t="n">
        <x:v>-0.2887715738033876</x:v>
      </x:c>
      <x:c r="AE68" t="n">
        <x:v>0</x:v>
      </x:c>
      <x:c r="AF68" t="n">
        <x:v>-0.010382652282714844</x:v>
      </x:c>
      <x:c r="AG68" t="n">
        <x:f>_xlfn.XLOOKUP($A68,Games!$A$2:$A$18,Games!$B$2:$B$18,"Missing game",0)</x:f>
        <x:v>2025</x:v>
      </x:c>
      <x:c r="AH68" t="str">
        <x:f>_xlfn.XLOOKUP($A68,Games!$A$2:$A$18,Games!$C$2:$C$18,"Missing game",0)</x:f>
        <x:v>REG</x:v>
      </x:c>
      <x:c r="AI68" t="n">
        <x:f>_xlfn.XLOOKUP($A68,Games!$A$2:$A$18,Games!$D$2:$D$18,"Missing game",0)</x:f>
        <x:v>1</x:v>
      </x:c>
      <x:c r="AJ68" s="1" t="n">
        <x:f>_xlfn.XLOOKUP($A68,Games!$A$2:$A$18,Games!$E$2:$E$18,"Missing game",0)</x:f>
        <x:v>45908</x:v>
      </x:c>
      <x:c r="AK68" t="str">
        <x:f>_xlfn.XLOOKUP($A68,Games!$A$2:$A$18,Games!$F$2:$F$18,"Missing game",0)</x:f>
        <x:v>Monday</x:v>
      </x:c>
      <x:c r="AL68" t="str">
        <x:f>_xlfn.XLOOKUP($A68,Games!$A$2:$A$18,Games!$G$2:$G$18,"Missing game",0)</x:f>
        <x:v>MIN</x:v>
      </x:c>
      <x:c r="AM68" t="n">
        <x:f>_xlfn.XLOOKUP($A68,Games!$A$2:$A$18,Games!$H$2:$H$18,"Missing game",0)</x:f>
        <x:v>27</x:v>
      </x:c>
      <x:c r="AN68" t="str">
        <x:f>_xlfn.XLOOKUP($A68,Games!$A$2:$A$18,Games!$I$2:$I$18,"Missing game",0)</x:f>
        <x:v>CHI</x:v>
      </x:c>
      <x:c r="AO68" t="n">
        <x:f>_xlfn.XLOOKUP($A68,Games!$A$2:$A$18,Games!$J$2:$J$18,"Missing game",0)</x:f>
        <x:v>24</x:v>
      </x:c>
      <x:c r="AP68" t="n">
        <x:f>_xlfn.XLOOKUP($A68,Games!$A$2:$A$18,Games!$K$2:$K$18,"Missing game",0)</x:f>
        <x:v>-3</x:v>
      </x:c>
      <x:c r="AQ68" t="n">
        <x:f>_xlfn.XLOOKUP($A68,Games!$A$2:$A$18,Games!$L$2:$L$18,"Missing game",0)</x:f>
        <x:v>51</x:v>
      </x:c>
      <x:c r="AR68" t="n">
        <x:f>_xlfn.XLOOKUP($A68,Games!$A$2:$A$18,Games!$M$2:$M$18,"Missing game",0)</x:f>
        <x:v>0</x:v>
      </x:c>
      <x:c r="AS68" t="str">
        <x:f>_xlfn.XLOOKUP($A68,Games!$A$2:$A$18,Games!$N$2:$N$18,"Missing game",0)</x:f>
        <x:v>outdoors</x:v>
      </x:c>
      <x:c r="AT68" t="str">
        <x:f>_xlfn.XLOOKUP($A68,Games!$A$2:$A$18,Games!$O$2:$O$18,"Missing game",0)</x:f>
        <x:v>grass</x:v>
      </x:c>
      <x:c r="AU68" t="n">
        <x:f>_xlfn.XLOOKUP($A68,Games!$A$2:$A$18,Games!$P$2:$P$18,"Missing game",0)</x:f>
        <x:v>68</x:v>
      </x:c>
      <x:c r="AV68" t="n">
        <x:f>_xlfn.XLOOKUP($A68,Games!$A$2:$A$18,Games!$Q$2:$Q$18,"Missing game",0)</x:f>
        <x:v>6</x:v>
      </x:c>
      <x:c r="AW68" t="str">
        <x:f>_xlfn.XLOOKUP($A68,Games!$A$2:$A$18,Games!$R$2:$R$18,"Missing game",0)</x:f>
        <x:v>Soldier Field</x:v>
      </x:c>
    </x:row>
    <x:row r="69">
      <x:c r="A69" t="str">
        <x:v>2025_01_MIN_CHI</x:v>
      </x:c>
      <x:c r="B69" t="n">
        <x:v>1689</x:v>
      </x:c>
      <x:c r="C69" t="n">
        <x:v>2</x:v>
      </x:c>
      <x:c r="D69" t="str">
        <x:v>02:09</x:v>
      </x:c>
      <x:c r="E69" t="n">
        <x:v>2</x:v>
      </x:c>
      <x:c r="F69" t="n">
        <x:v>7</x:v>
      </x:c>
      <x:c r="G69" t="str">
        <x:v>CHI</x:v>
      </x:c>
      <x:c r="H69" t="str">
        <x:v>MIN</x:v>
      </x:c>
      <x:c r="I69" t="str">
        <x:v>MIN</x:v>
      </x:c>
      <x:c r="J69" t="n">
        <x:v>41</x:v>
      </x:c>
      <x:c r="K69" t="str">
        <x:v>(2:09) 4-D.Swift up the middle to MIN 39 for 2 yards (0-I.Pace).</x:v>
      </x:c>
      <x:c r="L69" t="str">
        <x:v>run</x:v>
      </x:c>
      <x:c r="M69" t="n">
        <x:v>2</x:v>
      </x:c>
      <x:c r="N69" t="n">
        <x:v>0</x:v>
      </x:c>
      <x:c r="O69" t="n">
        <x:v>0</x:v>
      </x:c>
      <x:c r="P69"/>
      <x:c r="Q69"/>
      <x:c r="R69"/>
      <x:c r="S69"/>
      <x:c r="T69" t="str">
        <x:v>middle</x:v>
      </x:c>
      <x:c r="U69"/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/>
      <x:c r="AC69" t="n">
        <x:v>0</x:v>
      </x:c>
      <x:c r="AD69" t="n">
        <x:v>-0.004997629846911877</x:v>
      </x:c>
      <x:c r="AE69" t="n">
        <x:v>0</x:v>
      </x:c>
      <x:c r="AF69" t="n">
        <x:v>-0.004752814769744873</x:v>
      </x:c>
      <x:c r="AG69" t="n">
        <x:f>_xlfn.XLOOKUP($A69,Games!$A$2:$A$18,Games!$B$2:$B$18,"Missing game",0)</x:f>
        <x:v>2025</x:v>
      </x:c>
      <x:c r="AH69" t="str">
        <x:f>_xlfn.XLOOKUP($A69,Games!$A$2:$A$18,Games!$C$2:$C$18,"Missing game",0)</x:f>
        <x:v>REG</x:v>
      </x:c>
      <x:c r="AI69" t="n">
        <x:f>_xlfn.XLOOKUP($A69,Games!$A$2:$A$18,Games!$D$2:$D$18,"Missing game",0)</x:f>
        <x:v>1</x:v>
      </x:c>
      <x:c r="AJ69" s="1" t="n">
        <x:f>_xlfn.XLOOKUP($A69,Games!$A$2:$A$18,Games!$E$2:$E$18,"Missing game",0)</x:f>
        <x:v>45908</x:v>
      </x:c>
      <x:c r="AK69" t="str">
        <x:f>_xlfn.XLOOKUP($A69,Games!$A$2:$A$18,Games!$F$2:$F$18,"Missing game",0)</x:f>
        <x:v>Monday</x:v>
      </x:c>
      <x:c r="AL69" t="str">
        <x:f>_xlfn.XLOOKUP($A69,Games!$A$2:$A$18,Games!$G$2:$G$18,"Missing game",0)</x:f>
        <x:v>MIN</x:v>
      </x:c>
      <x:c r="AM69" t="n">
        <x:f>_xlfn.XLOOKUP($A69,Games!$A$2:$A$18,Games!$H$2:$H$18,"Missing game",0)</x:f>
        <x:v>27</x:v>
      </x:c>
      <x:c r="AN69" t="str">
        <x:f>_xlfn.XLOOKUP($A69,Games!$A$2:$A$18,Games!$I$2:$I$18,"Missing game",0)</x:f>
        <x:v>CHI</x:v>
      </x:c>
      <x:c r="AO69" t="n">
        <x:f>_xlfn.XLOOKUP($A69,Games!$A$2:$A$18,Games!$J$2:$J$18,"Missing game",0)</x:f>
        <x:v>24</x:v>
      </x:c>
      <x:c r="AP69" t="n">
        <x:f>_xlfn.XLOOKUP($A69,Games!$A$2:$A$18,Games!$K$2:$K$18,"Missing game",0)</x:f>
        <x:v>-3</x:v>
      </x:c>
      <x:c r="AQ69" t="n">
        <x:f>_xlfn.XLOOKUP($A69,Games!$A$2:$A$18,Games!$L$2:$L$18,"Missing game",0)</x:f>
        <x:v>51</x:v>
      </x:c>
      <x:c r="AR69" t="n">
        <x:f>_xlfn.XLOOKUP($A69,Games!$A$2:$A$18,Games!$M$2:$M$18,"Missing game",0)</x:f>
        <x:v>0</x:v>
      </x:c>
      <x:c r="AS69" t="str">
        <x:f>_xlfn.XLOOKUP($A69,Games!$A$2:$A$18,Games!$N$2:$N$18,"Missing game",0)</x:f>
        <x:v>outdoors</x:v>
      </x:c>
      <x:c r="AT69" t="str">
        <x:f>_xlfn.XLOOKUP($A69,Games!$A$2:$A$18,Games!$O$2:$O$18,"Missing game",0)</x:f>
        <x:v>grass</x:v>
      </x:c>
      <x:c r="AU69" t="n">
        <x:f>_xlfn.XLOOKUP($A69,Games!$A$2:$A$18,Games!$P$2:$P$18,"Missing game",0)</x:f>
        <x:v>68</x:v>
      </x:c>
      <x:c r="AV69" t="n">
        <x:f>_xlfn.XLOOKUP($A69,Games!$A$2:$A$18,Games!$Q$2:$Q$18,"Missing game",0)</x:f>
        <x:v>6</x:v>
      </x:c>
      <x:c r="AW69" t="str">
        <x:f>_xlfn.XLOOKUP($A69,Games!$A$2:$A$18,Games!$R$2:$R$18,"Missing game",0)</x:f>
        <x:v>Soldier Field</x:v>
      </x:c>
    </x:row>
    <x:row r="70">
      <x:c r="A70" t="str">
        <x:v>2025_01_MIN_CHI</x:v>
      </x:c>
      <x:c r="B70" t="n">
        <x:v>1711</x:v>
      </x:c>
      <x:c r="C70" t="n">
        <x:v>2</x:v>
      </x:c>
      <x:c r="D70" t="str">
        <x:v>02:00</x:v>
      </x:c>
      <x:c r="E70" t="n">
        <x:v>3</x:v>
      </x:c>
      <x:c r="F70" t="n">
        <x:v>5</x:v>
      </x:c>
      <x:c r="G70" t="str">
        <x:v>CHI</x:v>
      </x:c>
      <x:c r="H70" t="str">
        <x:v>MIN</x:v>
      </x:c>
      <x:c r="I70" t="str">
        <x:v>MIN</x:v>
      </x:c>
      <x:c r="J70" t="n">
        <x:v>39</x:v>
      </x:c>
      <x:c r="K70" t="str">
        <x:v>(2:00) (Shotgun) 18-C.Williams pass short right to 14-O.Zaccheaus pushed ob at MIN 32 for 7 yards (8-J.Okudah).</x:v>
      </x:c>
      <x:c r="L70" t="str">
        <x:v>pass</x:v>
      </x:c>
      <x:c r="M70" t="n">
        <x:v>7</x:v>
      </x:c>
      <x:c r="N70" t="n">
        <x:v>1</x:v>
      </x:c>
      <x:c r="O70" t="n">
        <x:v>0</x:v>
      </x:c>
      <x:c r="P70" t="str">
        <x:v>short</x:v>
      </x:c>
      <x:c r="Q70" t="str">
        <x:v>right</x:v>
      </x:c>
      <x:c r="R70" t="n">
        <x:v>5</x:v>
      </x:c>
      <x:c r="S70" t="n">
        <x:v>2</x:v>
      </x:c>
      <x:c r="T70"/>
      <x:c r="U70"/>
      <x:c r="V70" t="n">
        <x:v>1</x:v>
      </x:c>
      <x:c r="W70" t="n">
        <x:v>1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/>
      <x:c r="AC70" t="n">
        <x:v>0</x:v>
      </x:c>
      <x:c r="AD70" t="n">
        <x:v>1.0288327394519001</x:v>
      </x:c>
      <x:c r="AE70" t="n">
        <x:v>1</x:v>
      </x:c>
      <x:c r="AF70" t="n">
        <x:v>0.020837485790252686</x:v>
      </x:c>
      <x:c r="AG70" t="n">
        <x:f>_xlfn.XLOOKUP($A70,Games!$A$2:$A$18,Games!$B$2:$B$18,"Missing game",0)</x:f>
        <x:v>2025</x:v>
      </x:c>
      <x:c r="AH70" t="str">
        <x:f>_xlfn.XLOOKUP($A70,Games!$A$2:$A$18,Games!$C$2:$C$18,"Missing game",0)</x:f>
        <x:v>REG</x:v>
      </x:c>
      <x:c r="AI70" t="n">
        <x:f>_xlfn.XLOOKUP($A70,Games!$A$2:$A$18,Games!$D$2:$D$18,"Missing game",0)</x:f>
        <x:v>1</x:v>
      </x:c>
      <x:c r="AJ70" s="1" t="n">
        <x:f>_xlfn.XLOOKUP($A70,Games!$A$2:$A$18,Games!$E$2:$E$18,"Missing game",0)</x:f>
        <x:v>45908</x:v>
      </x:c>
      <x:c r="AK70" t="str">
        <x:f>_xlfn.XLOOKUP($A70,Games!$A$2:$A$18,Games!$F$2:$F$18,"Missing game",0)</x:f>
        <x:v>Monday</x:v>
      </x:c>
      <x:c r="AL70" t="str">
        <x:f>_xlfn.XLOOKUP($A70,Games!$A$2:$A$18,Games!$G$2:$G$18,"Missing game",0)</x:f>
        <x:v>MIN</x:v>
      </x:c>
      <x:c r="AM70" t="n">
        <x:f>_xlfn.XLOOKUP($A70,Games!$A$2:$A$18,Games!$H$2:$H$18,"Missing game",0)</x:f>
        <x:v>27</x:v>
      </x:c>
      <x:c r="AN70" t="str">
        <x:f>_xlfn.XLOOKUP($A70,Games!$A$2:$A$18,Games!$I$2:$I$18,"Missing game",0)</x:f>
        <x:v>CHI</x:v>
      </x:c>
      <x:c r="AO70" t="n">
        <x:f>_xlfn.XLOOKUP($A70,Games!$A$2:$A$18,Games!$J$2:$J$18,"Missing game",0)</x:f>
        <x:v>24</x:v>
      </x:c>
      <x:c r="AP70" t="n">
        <x:f>_xlfn.XLOOKUP($A70,Games!$A$2:$A$18,Games!$K$2:$K$18,"Missing game",0)</x:f>
        <x:v>-3</x:v>
      </x:c>
      <x:c r="AQ70" t="n">
        <x:f>_xlfn.XLOOKUP($A70,Games!$A$2:$A$18,Games!$L$2:$L$18,"Missing game",0)</x:f>
        <x:v>51</x:v>
      </x:c>
      <x:c r="AR70" t="n">
        <x:f>_xlfn.XLOOKUP($A70,Games!$A$2:$A$18,Games!$M$2:$M$18,"Missing game",0)</x:f>
        <x:v>0</x:v>
      </x:c>
      <x:c r="AS70" t="str">
        <x:f>_xlfn.XLOOKUP($A70,Games!$A$2:$A$18,Games!$N$2:$N$18,"Missing game",0)</x:f>
        <x:v>outdoors</x:v>
      </x:c>
      <x:c r="AT70" t="str">
        <x:f>_xlfn.XLOOKUP($A70,Games!$A$2:$A$18,Games!$O$2:$O$18,"Missing game",0)</x:f>
        <x:v>grass</x:v>
      </x:c>
      <x:c r="AU70" t="n">
        <x:f>_xlfn.XLOOKUP($A70,Games!$A$2:$A$18,Games!$P$2:$P$18,"Missing game",0)</x:f>
        <x:v>68</x:v>
      </x:c>
      <x:c r="AV70" t="n">
        <x:f>_xlfn.XLOOKUP($A70,Games!$A$2:$A$18,Games!$Q$2:$Q$18,"Missing game",0)</x:f>
        <x:v>6</x:v>
      </x:c>
      <x:c r="AW70" t="str">
        <x:f>_xlfn.XLOOKUP($A70,Games!$A$2:$A$18,Games!$R$2:$R$18,"Missing game",0)</x:f>
        <x:v>Soldier Field</x:v>
      </x:c>
    </x:row>
    <x:row r="71">
      <x:c r="A71" t="str">
        <x:v>2025_01_MIN_CHI</x:v>
      </x:c>
      <x:c r="B71" t="n">
        <x:v>1748</x:v>
      </x:c>
      <x:c r="C71" t="n">
        <x:v>2</x:v>
      </x:c>
      <x:c r="D71" t="str">
        <x:v>01:55</x:v>
      </x:c>
      <x:c r="E71" t="n">
        <x:v>1</x:v>
      </x:c>
      <x:c r="F71" t="n">
        <x:v>10</x:v>
      </x:c>
      <x:c r="G71" t="str">
        <x:v>CHI</x:v>
      </x:c>
      <x:c r="H71" t="str">
        <x:v>MIN</x:v>
      </x:c>
      <x:c r="I71" t="str">
        <x:v>MIN</x:v>
      </x:c>
      <x:c r="J71" t="n">
        <x:v>32</x:v>
      </x:c>
      <x:c r="K71" t="str">
        <x:v>(1:55) 4-D.Swift left tackle to MIN 29 for 3 yards (58-J.Greenard).</x:v>
      </x:c>
      <x:c r="L71" t="str">
        <x:v>run</x:v>
      </x:c>
      <x:c r="M71" t="n">
        <x:v>3</x:v>
      </x:c>
      <x:c r="N71" t="n">
        <x:v>0</x:v>
      </x:c>
      <x:c r="O71" t="n">
        <x:v>0</x:v>
      </x:c>
      <x:c r="P71"/>
      <x:c r="Q71"/>
      <x:c r="R71"/>
      <x:c r="S71"/>
      <x:c r="T71" t="str">
        <x:v>left</x:v>
      </x:c>
      <x:c r="U71" t="str">
        <x:v>tackle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/>
      <x:c r="AC71" t="n">
        <x:v>0</x:v>
      </x:c>
      <x:c r="AD71" t="n">
        <x:v>-0.22421162738464773</x:v>
      </x:c>
      <x:c r="AE71" t="n">
        <x:v>0</x:v>
      </x:c>
      <x:c r="AF71" t="n">
        <x:v>-0.005977809429168701</x:v>
      </x:c>
      <x:c r="AG71" t="n">
        <x:f>_xlfn.XLOOKUP($A71,Games!$A$2:$A$18,Games!$B$2:$B$18,"Missing game",0)</x:f>
        <x:v>2025</x:v>
      </x:c>
      <x:c r="AH71" t="str">
        <x:f>_xlfn.XLOOKUP($A71,Games!$A$2:$A$18,Games!$C$2:$C$18,"Missing game",0)</x:f>
        <x:v>REG</x:v>
      </x:c>
      <x:c r="AI71" t="n">
        <x:f>_xlfn.XLOOKUP($A71,Games!$A$2:$A$18,Games!$D$2:$D$18,"Missing game",0)</x:f>
        <x:v>1</x:v>
      </x:c>
      <x:c r="AJ71" s="1" t="n">
        <x:f>_xlfn.XLOOKUP($A71,Games!$A$2:$A$18,Games!$E$2:$E$18,"Missing game",0)</x:f>
        <x:v>45908</x:v>
      </x:c>
      <x:c r="AK71" t="str">
        <x:f>_xlfn.XLOOKUP($A71,Games!$A$2:$A$18,Games!$F$2:$F$18,"Missing game",0)</x:f>
        <x:v>Monday</x:v>
      </x:c>
      <x:c r="AL71" t="str">
        <x:f>_xlfn.XLOOKUP($A71,Games!$A$2:$A$18,Games!$G$2:$G$18,"Missing game",0)</x:f>
        <x:v>MIN</x:v>
      </x:c>
      <x:c r="AM71" t="n">
        <x:f>_xlfn.XLOOKUP($A71,Games!$A$2:$A$18,Games!$H$2:$H$18,"Missing game",0)</x:f>
        <x:v>27</x:v>
      </x:c>
      <x:c r="AN71" t="str">
        <x:f>_xlfn.XLOOKUP($A71,Games!$A$2:$A$18,Games!$I$2:$I$18,"Missing game",0)</x:f>
        <x:v>CHI</x:v>
      </x:c>
      <x:c r="AO71" t="n">
        <x:f>_xlfn.XLOOKUP($A71,Games!$A$2:$A$18,Games!$J$2:$J$18,"Missing game",0)</x:f>
        <x:v>24</x:v>
      </x:c>
      <x:c r="AP71" t="n">
        <x:f>_xlfn.XLOOKUP($A71,Games!$A$2:$A$18,Games!$K$2:$K$18,"Missing game",0)</x:f>
        <x:v>-3</x:v>
      </x:c>
      <x:c r="AQ71" t="n">
        <x:f>_xlfn.XLOOKUP($A71,Games!$A$2:$A$18,Games!$L$2:$L$18,"Missing game",0)</x:f>
        <x:v>51</x:v>
      </x:c>
      <x:c r="AR71" t="n">
        <x:f>_xlfn.XLOOKUP($A71,Games!$A$2:$A$18,Games!$M$2:$M$18,"Missing game",0)</x:f>
        <x:v>0</x:v>
      </x:c>
      <x:c r="AS71" t="str">
        <x:f>_xlfn.XLOOKUP($A71,Games!$A$2:$A$18,Games!$N$2:$N$18,"Missing game",0)</x:f>
        <x:v>outdoors</x:v>
      </x:c>
      <x:c r="AT71" t="str">
        <x:f>_xlfn.XLOOKUP($A71,Games!$A$2:$A$18,Games!$O$2:$O$18,"Missing game",0)</x:f>
        <x:v>grass</x:v>
      </x:c>
      <x:c r="AU71" t="n">
        <x:f>_xlfn.XLOOKUP($A71,Games!$A$2:$A$18,Games!$P$2:$P$18,"Missing game",0)</x:f>
        <x:v>68</x:v>
      </x:c>
      <x:c r="AV71" t="n">
        <x:f>_xlfn.XLOOKUP($A71,Games!$A$2:$A$18,Games!$Q$2:$Q$18,"Missing game",0)</x:f>
        <x:v>6</x:v>
      </x:c>
      <x:c r="AW71" t="str">
        <x:f>_xlfn.XLOOKUP($A71,Games!$A$2:$A$18,Games!$R$2:$R$18,"Missing game",0)</x:f>
        <x:v>Soldier Field</x:v>
      </x:c>
    </x:row>
    <x:row r="72">
      <x:c r="A72" t="str">
        <x:v>2025_01_MIN_CHI</x:v>
      </x:c>
      <x:c r="B72" t="n">
        <x:v>1770</x:v>
      </x:c>
      <x:c r="C72" t="n">
        <x:v>2</x:v>
      </x:c>
      <x:c r="D72" t="str">
        <x:v>01:18</x:v>
      </x:c>
      <x:c r="E72" t="n">
        <x:v>2</x:v>
      </x:c>
      <x:c r="F72" t="n">
        <x:v>7</x:v>
      </x:c>
      <x:c r="G72" t="str">
        <x:v>CHI</x:v>
      </x:c>
      <x:c r="H72" t="str">
        <x:v>MIN</x:v>
      </x:c>
      <x:c r="I72" t="str">
        <x:v>MIN</x:v>
      </x:c>
      <x:c r="J72" t="n">
        <x:v>29</x:v>
      </x:c>
      <x:c r="K72" t="str">
        <x:v>(1:18) 4-D.Swift right guard to MIN 27 for 2 yards (15-D.Turner).</x:v>
      </x:c>
      <x:c r="L72" t="str">
        <x:v>run</x:v>
      </x:c>
      <x:c r="M72" t="n">
        <x:v>2</x:v>
      </x:c>
      <x:c r="N72" t="n">
        <x:v>0</x:v>
      </x:c>
      <x:c r="O72" t="n">
        <x:v>0</x:v>
      </x:c>
      <x:c r="P72"/>
      <x:c r="Q72"/>
      <x:c r="R72"/>
      <x:c r="S72"/>
      <x:c r="T72" t="str">
        <x:v>right</x:v>
      </x:c>
      <x:c r="U72" t="str">
        <x:v>guard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/>
      <x:c r="AC72" t="n">
        <x:v>0</x:v>
      </x:c>
      <x:c r="AD72" t="n">
        <x:v>-0.09091025800444186</x:v>
      </x:c>
      <x:c r="AE72" t="n">
        <x:v>0</x:v>
      </x:c>
      <x:c r="AF72" t="n">
        <x:v>-0.013218581676483154</x:v>
      </x:c>
      <x:c r="AG72" t="n">
        <x:f>_xlfn.XLOOKUP($A72,Games!$A$2:$A$18,Games!$B$2:$B$18,"Missing game",0)</x:f>
        <x:v>2025</x:v>
      </x:c>
      <x:c r="AH72" t="str">
        <x:f>_xlfn.XLOOKUP($A72,Games!$A$2:$A$18,Games!$C$2:$C$18,"Missing game",0)</x:f>
        <x:v>REG</x:v>
      </x:c>
      <x:c r="AI72" t="n">
        <x:f>_xlfn.XLOOKUP($A72,Games!$A$2:$A$18,Games!$D$2:$D$18,"Missing game",0)</x:f>
        <x:v>1</x:v>
      </x:c>
      <x:c r="AJ72" s="1" t="n">
        <x:f>_xlfn.XLOOKUP($A72,Games!$A$2:$A$18,Games!$E$2:$E$18,"Missing game",0)</x:f>
        <x:v>45908</x:v>
      </x:c>
      <x:c r="AK72" t="str">
        <x:f>_xlfn.XLOOKUP($A72,Games!$A$2:$A$18,Games!$F$2:$F$18,"Missing game",0)</x:f>
        <x:v>Monday</x:v>
      </x:c>
      <x:c r="AL72" t="str">
        <x:f>_xlfn.XLOOKUP($A72,Games!$A$2:$A$18,Games!$G$2:$G$18,"Missing game",0)</x:f>
        <x:v>MIN</x:v>
      </x:c>
      <x:c r="AM72" t="n">
        <x:f>_xlfn.XLOOKUP($A72,Games!$A$2:$A$18,Games!$H$2:$H$18,"Missing game",0)</x:f>
        <x:v>27</x:v>
      </x:c>
      <x:c r="AN72" t="str">
        <x:f>_xlfn.XLOOKUP($A72,Games!$A$2:$A$18,Games!$I$2:$I$18,"Missing game",0)</x:f>
        <x:v>CHI</x:v>
      </x:c>
      <x:c r="AO72" t="n">
        <x:f>_xlfn.XLOOKUP($A72,Games!$A$2:$A$18,Games!$J$2:$J$18,"Missing game",0)</x:f>
        <x:v>24</x:v>
      </x:c>
      <x:c r="AP72" t="n">
        <x:f>_xlfn.XLOOKUP($A72,Games!$A$2:$A$18,Games!$K$2:$K$18,"Missing game",0)</x:f>
        <x:v>-3</x:v>
      </x:c>
      <x:c r="AQ72" t="n">
        <x:f>_xlfn.XLOOKUP($A72,Games!$A$2:$A$18,Games!$L$2:$L$18,"Missing game",0)</x:f>
        <x:v>51</x:v>
      </x:c>
      <x:c r="AR72" t="n">
        <x:f>_xlfn.XLOOKUP($A72,Games!$A$2:$A$18,Games!$M$2:$M$18,"Missing game",0)</x:f>
        <x:v>0</x:v>
      </x:c>
      <x:c r="AS72" t="str">
        <x:f>_xlfn.XLOOKUP($A72,Games!$A$2:$A$18,Games!$N$2:$N$18,"Missing game",0)</x:f>
        <x:v>outdoors</x:v>
      </x:c>
      <x:c r="AT72" t="str">
        <x:f>_xlfn.XLOOKUP($A72,Games!$A$2:$A$18,Games!$O$2:$O$18,"Missing game",0)</x:f>
        <x:v>grass</x:v>
      </x:c>
      <x:c r="AU72" t="n">
        <x:f>_xlfn.XLOOKUP($A72,Games!$A$2:$A$18,Games!$P$2:$P$18,"Missing game",0)</x:f>
        <x:v>68</x:v>
      </x:c>
      <x:c r="AV72" t="n">
        <x:f>_xlfn.XLOOKUP($A72,Games!$A$2:$A$18,Games!$Q$2:$Q$18,"Missing game",0)</x:f>
        <x:v>6</x:v>
      </x:c>
      <x:c r="AW72" t="str">
        <x:f>_xlfn.XLOOKUP($A72,Games!$A$2:$A$18,Games!$R$2:$R$18,"Missing game",0)</x:f>
        <x:v>Soldier Field</x:v>
      </x:c>
    </x:row>
    <x:row r="73">
      <x:c r="A73" t="str">
        <x:v>2025_01_MIN_CHI</x:v>
      </x:c>
      <x:c r="B73" t="n">
        <x:v>1792</x:v>
      </x:c>
      <x:c r="C73" t="n">
        <x:v>2</x:v>
      </x:c>
      <x:c r="D73" t="str">
        <x:v>00:35</x:v>
      </x:c>
      <x:c r="E73" t="n">
        <x:v>3</x:v>
      </x:c>
      <x:c r="F73" t="n">
        <x:v>5</x:v>
      </x:c>
      <x:c r="G73" t="str">
        <x:v>CHI</x:v>
      </x:c>
      <x:c r="H73" t="str">
        <x:v>MIN</x:v>
      </x:c>
      <x:c r="I73" t="str">
        <x:v>MIN</x:v>
      </x:c>
      <x:c r="J73" t="n">
        <x:v>27</x:v>
      </x:c>
      <x:c r="K73" t="str">
        <x:v>(:35) (Shotgun) 18-C.Williams pass short right to 15-R.Odunze pushed ob at MIN 24 for 3 yards (7-B.Murphy).</x:v>
      </x:c>
      <x:c r="L73" t="str">
        <x:v>pass</x:v>
      </x:c>
      <x:c r="M73" t="n">
        <x:v>3</x:v>
      </x:c>
      <x:c r="N73" t="n">
        <x:v>1</x:v>
      </x:c>
      <x:c r="O73" t="n">
        <x:v>0</x:v>
      </x:c>
      <x:c r="P73" t="str">
        <x:v>short</x:v>
      </x:c>
      <x:c r="Q73" t="str">
        <x:v>right</x:v>
      </x:c>
      <x:c r="R73" t="n">
        <x:v>3</x:v>
      </x:c>
      <x:c r="S73" t="n">
        <x:v>0</x:v>
      </x:c>
      <x:c r="T73"/>
      <x:c r="U73"/>
      <x:c r="V73" t="n">
        <x:v>1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/>
      <x:c r="AC73" t="n">
        <x:v>0</x:v>
      </x:c>
      <x:c r="AD73" t="n">
        <x:v>-0.6272876641342715</x:v>
      </x:c>
      <x:c r="AE73" t="n">
        <x:v>0</x:v>
      </x:c>
      <x:c r="AF73" t="n">
        <x:v>0.006206154823303223</x:v>
      </x:c>
      <x:c r="AG73" t="n">
        <x:f>_xlfn.XLOOKUP($A73,Games!$A$2:$A$18,Games!$B$2:$B$18,"Missing game",0)</x:f>
        <x:v>2025</x:v>
      </x:c>
      <x:c r="AH73" t="str">
        <x:f>_xlfn.XLOOKUP($A73,Games!$A$2:$A$18,Games!$C$2:$C$18,"Missing game",0)</x:f>
        <x:v>REG</x:v>
      </x:c>
      <x:c r="AI73" t="n">
        <x:f>_xlfn.XLOOKUP($A73,Games!$A$2:$A$18,Games!$D$2:$D$18,"Missing game",0)</x:f>
        <x:v>1</x:v>
      </x:c>
      <x:c r="AJ73" s="1" t="n">
        <x:f>_xlfn.XLOOKUP($A73,Games!$A$2:$A$18,Games!$E$2:$E$18,"Missing game",0)</x:f>
        <x:v>45908</x:v>
      </x:c>
      <x:c r="AK73" t="str">
        <x:f>_xlfn.XLOOKUP($A73,Games!$A$2:$A$18,Games!$F$2:$F$18,"Missing game",0)</x:f>
        <x:v>Monday</x:v>
      </x:c>
      <x:c r="AL73" t="str">
        <x:f>_xlfn.XLOOKUP($A73,Games!$A$2:$A$18,Games!$G$2:$G$18,"Missing game",0)</x:f>
        <x:v>MIN</x:v>
      </x:c>
      <x:c r="AM73" t="n">
        <x:f>_xlfn.XLOOKUP($A73,Games!$A$2:$A$18,Games!$H$2:$H$18,"Missing game",0)</x:f>
        <x:v>27</x:v>
      </x:c>
      <x:c r="AN73" t="str">
        <x:f>_xlfn.XLOOKUP($A73,Games!$A$2:$A$18,Games!$I$2:$I$18,"Missing game",0)</x:f>
        <x:v>CHI</x:v>
      </x:c>
      <x:c r="AO73" t="n">
        <x:f>_xlfn.XLOOKUP($A73,Games!$A$2:$A$18,Games!$J$2:$J$18,"Missing game",0)</x:f>
        <x:v>24</x:v>
      </x:c>
      <x:c r="AP73" t="n">
        <x:f>_xlfn.XLOOKUP($A73,Games!$A$2:$A$18,Games!$K$2:$K$18,"Missing game",0)</x:f>
        <x:v>-3</x:v>
      </x:c>
      <x:c r="AQ73" t="n">
        <x:f>_xlfn.XLOOKUP($A73,Games!$A$2:$A$18,Games!$L$2:$L$18,"Missing game",0)</x:f>
        <x:v>51</x:v>
      </x:c>
      <x:c r="AR73" t="n">
        <x:f>_xlfn.XLOOKUP($A73,Games!$A$2:$A$18,Games!$M$2:$M$18,"Missing game",0)</x:f>
        <x:v>0</x:v>
      </x:c>
      <x:c r="AS73" t="str">
        <x:f>_xlfn.XLOOKUP($A73,Games!$A$2:$A$18,Games!$N$2:$N$18,"Missing game",0)</x:f>
        <x:v>outdoors</x:v>
      </x:c>
      <x:c r="AT73" t="str">
        <x:f>_xlfn.XLOOKUP($A73,Games!$A$2:$A$18,Games!$O$2:$O$18,"Missing game",0)</x:f>
        <x:v>grass</x:v>
      </x:c>
      <x:c r="AU73" t="n">
        <x:f>_xlfn.XLOOKUP($A73,Games!$A$2:$A$18,Games!$P$2:$P$18,"Missing game",0)</x:f>
        <x:v>68</x:v>
      </x:c>
      <x:c r="AV73" t="n">
        <x:f>_xlfn.XLOOKUP($A73,Games!$A$2:$A$18,Games!$Q$2:$Q$18,"Missing game",0)</x:f>
        <x:v>6</x:v>
      </x:c>
      <x:c r="AW73" t="str">
        <x:f>_xlfn.XLOOKUP($A73,Games!$A$2:$A$18,Games!$R$2:$R$18,"Missing game",0)</x:f>
        <x:v>Soldier Field</x:v>
      </x:c>
    </x:row>
    <x:row r="74">
      <x:c r="A74" t="str">
        <x:v>2025_01_MIN_CHI</x:v>
      </x:c>
      <x:c r="B74" t="n">
        <x:v>1822</x:v>
      </x:c>
      <x:c r="C74" t="n">
        <x:v>2</x:v>
      </x:c>
      <x:c r="D74" t="str">
        <x:v>00:28</x:v>
      </x:c>
      <x:c r="E74" t="n">
        <x:v>4</x:v>
      </x:c>
      <x:c r="F74" t="n">
        <x:v>2</x:v>
      </x:c>
      <x:c r="G74" t="str">
        <x:v>CHI</x:v>
      </x:c>
      <x:c r="H74" t="str">
        <x:v>MIN</x:v>
      </x:c>
      <x:c r="I74" t="str">
        <x:v>MIN</x:v>
      </x:c>
      <x:c r="J74" t="n">
        <x:v>24</x:v>
      </x:c>
      <x:c r="K74" t="str">
        <x:v>(:28) 8-C.Santos 42 yard field goal is GOOD, Center-46-S.Daly, Holder-19-T.Taylor.</x:v>
      </x:c>
      <x:c r="L74" t="str">
        <x:v>field_goal</x:v>
      </x:c>
      <x:c r="M74" t="n">
        <x:v>0</x:v>
      </x:c>
      <x:c r="N74" t="n">
        <x:v>0</x:v>
      </x:c>
      <x:c r="O74" t="n">
        <x:v>0</x:v>
      </x:c>
      <x:c r="P74"/>
      <x:c r="Q74"/>
      <x:c r="R74"/>
      <x:c r="S74"/>
      <x:c r="T74"/>
      <x:c r="U74"/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/>
      <x:c r="AC74" t="n">
        <x:v>0</x:v>
      </x:c>
      <x:c r="AD74" t="n">
        <x:v>0.6115634055787065</x:v>
      </x:c>
      <x:c r="AE74" t="n">
        <x:v>1</x:v>
      </x:c>
      <x:c r="AF74" t="n">
        <x:v>0.00582025945186615</x:v>
      </x:c>
      <x:c r="AG74" t="n">
        <x:f>_xlfn.XLOOKUP($A74,Games!$A$2:$A$18,Games!$B$2:$B$18,"Missing game",0)</x:f>
        <x:v>2025</x:v>
      </x:c>
      <x:c r="AH74" t="str">
        <x:f>_xlfn.XLOOKUP($A74,Games!$A$2:$A$18,Games!$C$2:$C$18,"Missing game",0)</x:f>
        <x:v>REG</x:v>
      </x:c>
      <x:c r="AI74" t="n">
        <x:f>_xlfn.XLOOKUP($A74,Games!$A$2:$A$18,Games!$D$2:$D$18,"Missing game",0)</x:f>
        <x:v>1</x:v>
      </x:c>
      <x:c r="AJ74" s="1" t="n">
        <x:f>_xlfn.XLOOKUP($A74,Games!$A$2:$A$18,Games!$E$2:$E$18,"Missing game",0)</x:f>
        <x:v>45908</x:v>
      </x:c>
      <x:c r="AK74" t="str">
        <x:f>_xlfn.XLOOKUP($A74,Games!$A$2:$A$18,Games!$F$2:$F$18,"Missing game",0)</x:f>
        <x:v>Monday</x:v>
      </x:c>
      <x:c r="AL74" t="str">
        <x:f>_xlfn.XLOOKUP($A74,Games!$A$2:$A$18,Games!$G$2:$G$18,"Missing game",0)</x:f>
        <x:v>MIN</x:v>
      </x:c>
      <x:c r="AM74" t="n">
        <x:f>_xlfn.XLOOKUP($A74,Games!$A$2:$A$18,Games!$H$2:$H$18,"Missing game",0)</x:f>
        <x:v>27</x:v>
      </x:c>
      <x:c r="AN74" t="str">
        <x:f>_xlfn.XLOOKUP($A74,Games!$A$2:$A$18,Games!$I$2:$I$18,"Missing game",0)</x:f>
        <x:v>CHI</x:v>
      </x:c>
      <x:c r="AO74" t="n">
        <x:f>_xlfn.XLOOKUP($A74,Games!$A$2:$A$18,Games!$J$2:$J$18,"Missing game",0)</x:f>
        <x:v>24</x:v>
      </x:c>
      <x:c r="AP74" t="n">
        <x:f>_xlfn.XLOOKUP($A74,Games!$A$2:$A$18,Games!$K$2:$K$18,"Missing game",0)</x:f>
        <x:v>-3</x:v>
      </x:c>
      <x:c r="AQ74" t="n">
        <x:f>_xlfn.XLOOKUP($A74,Games!$A$2:$A$18,Games!$L$2:$L$18,"Missing game",0)</x:f>
        <x:v>51</x:v>
      </x:c>
      <x:c r="AR74" t="n">
        <x:f>_xlfn.XLOOKUP($A74,Games!$A$2:$A$18,Games!$M$2:$M$18,"Missing game",0)</x:f>
        <x:v>0</x:v>
      </x:c>
      <x:c r="AS74" t="str">
        <x:f>_xlfn.XLOOKUP($A74,Games!$A$2:$A$18,Games!$N$2:$N$18,"Missing game",0)</x:f>
        <x:v>outdoors</x:v>
      </x:c>
      <x:c r="AT74" t="str">
        <x:f>_xlfn.XLOOKUP($A74,Games!$A$2:$A$18,Games!$O$2:$O$18,"Missing game",0)</x:f>
        <x:v>grass</x:v>
      </x:c>
      <x:c r="AU74" t="n">
        <x:f>_xlfn.XLOOKUP($A74,Games!$A$2:$A$18,Games!$P$2:$P$18,"Missing game",0)</x:f>
        <x:v>68</x:v>
      </x:c>
      <x:c r="AV74" t="n">
        <x:f>_xlfn.XLOOKUP($A74,Games!$A$2:$A$18,Games!$Q$2:$Q$18,"Missing game",0)</x:f>
        <x:v>6</x:v>
      </x:c>
      <x:c r="AW74" t="str">
        <x:f>_xlfn.XLOOKUP($A74,Games!$A$2:$A$18,Games!$R$2:$R$18,"Missing game",0)</x:f>
        <x:v>Soldier Field</x:v>
      </x:c>
    </x:row>
    <x:row r="75">
      <x:c r="A75" t="str">
        <x:v>2025_01_MIN_CHI</x:v>
      </x:c>
      <x:c r="B75" t="n">
        <x:v>1834</x:v>
      </x:c>
      <x:c r="C75" t="n">
        <x:v>2</x:v>
      </x:c>
      <x:c r="D75" t="str">
        <x:v>00:28</x:v>
      </x:c>
      <x:c r="E75"/>
      <x:c r="F75" t="n">
        <x:v>0</x:v>
      </x:c>
      <x:c r="G75"/>
      <x:c r="H75"/>
      <x:c r="I75"/>
      <x:c r="J75"/>
      <x:c r="K75" t="str">
        <x:v>Timeout #2 by MIN at 00:28.</x:v>
      </x:c>
      <x:c r="L75" t="str">
        <x:v>no_play</x:v>
      </x:c>
      <x:c r="M75" t="n">
        <x:v>0</x:v>
      </x:c>
      <x:c r="N75" t="n">
        <x:v>0</x:v>
      </x:c>
      <x:c r="O75" t="n">
        <x:v>0</x:v>
      </x:c>
      <x:c r="P75"/>
      <x:c r="Q75"/>
      <x:c r="R75"/>
      <x:c r="S75"/>
      <x:c r="T75"/>
      <x:c r="U75"/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/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f>_xlfn.XLOOKUP($A75,Games!$A$2:$A$18,Games!$B$2:$B$18,"Missing game",0)</x:f>
        <x:v>2025</x:v>
      </x:c>
      <x:c r="AH75" t="str">
        <x:f>_xlfn.XLOOKUP($A75,Games!$A$2:$A$18,Games!$C$2:$C$18,"Missing game",0)</x:f>
        <x:v>REG</x:v>
      </x:c>
      <x:c r="AI75" t="n">
        <x:f>_xlfn.XLOOKUP($A75,Games!$A$2:$A$18,Games!$D$2:$D$18,"Missing game",0)</x:f>
        <x:v>1</x:v>
      </x:c>
      <x:c r="AJ75" s="1" t="n">
        <x:f>_xlfn.XLOOKUP($A75,Games!$A$2:$A$18,Games!$E$2:$E$18,"Missing game",0)</x:f>
        <x:v>45908</x:v>
      </x:c>
      <x:c r="AK75" t="str">
        <x:f>_xlfn.XLOOKUP($A75,Games!$A$2:$A$18,Games!$F$2:$F$18,"Missing game",0)</x:f>
        <x:v>Monday</x:v>
      </x:c>
      <x:c r="AL75" t="str">
        <x:f>_xlfn.XLOOKUP($A75,Games!$A$2:$A$18,Games!$G$2:$G$18,"Missing game",0)</x:f>
        <x:v>MIN</x:v>
      </x:c>
      <x:c r="AM75" t="n">
        <x:f>_xlfn.XLOOKUP($A75,Games!$A$2:$A$18,Games!$H$2:$H$18,"Missing game",0)</x:f>
        <x:v>27</x:v>
      </x:c>
      <x:c r="AN75" t="str">
        <x:f>_xlfn.XLOOKUP($A75,Games!$A$2:$A$18,Games!$I$2:$I$18,"Missing game",0)</x:f>
        <x:v>CHI</x:v>
      </x:c>
      <x:c r="AO75" t="n">
        <x:f>_xlfn.XLOOKUP($A75,Games!$A$2:$A$18,Games!$J$2:$J$18,"Missing game",0)</x:f>
        <x:v>24</x:v>
      </x:c>
      <x:c r="AP75" t="n">
        <x:f>_xlfn.XLOOKUP($A75,Games!$A$2:$A$18,Games!$K$2:$K$18,"Missing game",0)</x:f>
        <x:v>-3</x:v>
      </x:c>
      <x:c r="AQ75" t="n">
        <x:f>_xlfn.XLOOKUP($A75,Games!$A$2:$A$18,Games!$L$2:$L$18,"Missing game",0)</x:f>
        <x:v>51</x:v>
      </x:c>
      <x:c r="AR75" t="n">
        <x:f>_xlfn.XLOOKUP($A75,Games!$A$2:$A$18,Games!$M$2:$M$18,"Missing game",0)</x:f>
        <x:v>0</x:v>
      </x:c>
      <x:c r="AS75" t="str">
        <x:f>_xlfn.XLOOKUP($A75,Games!$A$2:$A$18,Games!$N$2:$N$18,"Missing game",0)</x:f>
        <x:v>outdoors</x:v>
      </x:c>
      <x:c r="AT75" t="str">
        <x:f>_xlfn.XLOOKUP($A75,Games!$A$2:$A$18,Games!$O$2:$O$18,"Missing game",0)</x:f>
        <x:v>grass</x:v>
      </x:c>
      <x:c r="AU75" t="n">
        <x:f>_xlfn.XLOOKUP($A75,Games!$A$2:$A$18,Games!$P$2:$P$18,"Missing game",0)</x:f>
        <x:v>68</x:v>
      </x:c>
      <x:c r="AV75" t="n">
        <x:f>_xlfn.XLOOKUP($A75,Games!$A$2:$A$18,Games!$Q$2:$Q$18,"Missing game",0)</x:f>
        <x:v>6</x:v>
      </x:c>
      <x:c r="AW75" t="str">
        <x:f>_xlfn.XLOOKUP($A75,Games!$A$2:$A$18,Games!$R$2:$R$18,"Missing game",0)</x:f>
        <x:v>Soldier Field</x:v>
      </x:c>
    </x:row>
    <x:row r="76">
      <x:c r="A76" t="str">
        <x:v>2025_01_MIN_CHI</x:v>
      </x:c>
      <x:c r="B76" t="n">
        <x:v>1849</x:v>
      </x:c>
      <x:c r="C76" t="n">
        <x:v>2</x:v>
      </x:c>
      <x:c r="D76" t="str">
        <x:v>00:24</x:v>
      </x:c>
      <x:c r="E76"/>
      <x:c r="F76" t="n">
        <x:v>0</x:v>
      </x:c>
      <x:c r="G76" t="str">
        <x:v>MIN</x:v>
      </x:c>
      <x:c r="H76" t="str">
        <x:v>CHI</x:v>
      </x:c>
      <x:c r="I76" t="str">
        <x:v>CHI</x:v>
      </x:c>
      <x:c r="J76" t="n">
        <x:v>35</x:v>
      </x:c>
      <x:c r="K76" t="str">
        <x:v>8-C.Santos kicks 59 yards from CHI 35 to MIN 6. 4-M.Price to MIN 31 for 25 yards (33-J.Jones; 92-D.Hardy).</x:v>
      </x:c>
      <x:c r="L76" t="str">
        <x:v>kickoff</x:v>
      </x:c>
      <x:c r="M76" t="n">
        <x:v>0</x:v>
      </x:c>
      <x:c r="N76" t="n">
        <x:v>0</x:v>
      </x:c>
      <x:c r="O76" t="n">
        <x:v>0</x:v>
      </x:c>
      <x:c r="P76"/>
      <x:c r="Q76"/>
      <x:c r="R76"/>
      <x:c r="S76"/>
      <x:c r="T76"/>
      <x:c r="U76"/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/>
      <x:c r="AC76" t="n">
        <x:v>0</x:v>
      </x:c>
      <x:c r="AD76" t="n">
        <x:v>0.05430863439687528</x:v>
      </x:c>
      <x:c r="AE76" t="n">
        <x:v>1</x:v>
      </x:c>
      <x:c r="AF76" t="n">
        <x:v>0.00022473931312561035</x:v>
      </x:c>
      <x:c r="AG76" t="n">
        <x:f>_xlfn.XLOOKUP($A76,Games!$A$2:$A$18,Games!$B$2:$B$18,"Missing game",0)</x:f>
        <x:v>2025</x:v>
      </x:c>
      <x:c r="AH76" t="str">
        <x:f>_xlfn.XLOOKUP($A76,Games!$A$2:$A$18,Games!$C$2:$C$18,"Missing game",0)</x:f>
        <x:v>REG</x:v>
      </x:c>
      <x:c r="AI76" t="n">
        <x:f>_xlfn.XLOOKUP($A76,Games!$A$2:$A$18,Games!$D$2:$D$18,"Missing game",0)</x:f>
        <x:v>1</x:v>
      </x:c>
      <x:c r="AJ76" s="1" t="n">
        <x:f>_xlfn.XLOOKUP($A76,Games!$A$2:$A$18,Games!$E$2:$E$18,"Missing game",0)</x:f>
        <x:v>45908</x:v>
      </x:c>
      <x:c r="AK76" t="str">
        <x:f>_xlfn.XLOOKUP($A76,Games!$A$2:$A$18,Games!$F$2:$F$18,"Missing game",0)</x:f>
        <x:v>Monday</x:v>
      </x:c>
      <x:c r="AL76" t="str">
        <x:f>_xlfn.XLOOKUP($A76,Games!$A$2:$A$18,Games!$G$2:$G$18,"Missing game",0)</x:f>
        <x:v>MIN</x:v>
      </x:c>
      <x:c r="AM76" t="n">
        <x:f>_xlfn.XLOOKUP($A76,Games!$A$2:$A$18,Games!$H$2:$H$18,"Missing game",0)</x:f>
        <x:v>27</x:v>
      </x:c>
      <x:c r="AN76" t="str">
        <x:f>_xlfn.XLOOKUP($A76,Games!$A$2:$A$18,Games!$I$2:$I$18,"Missing game",0)</x:f>
        <x:v>CHI</x:v>
      </x:c>
      <x:c r="AO76" t="n">
        <x:f>_xlfn.XLOOKUP($A76,Games!$A$2:$A$18,Games!$J$2:$J$18,"Missing game",0)</x:f>
        <x:v>24</x:v>
      </x:c>
      <x:c r="AP76" t="n">
        <x:f>_xlfn.XLOOKUP($A76,Games!$A$2:$A$18,Games!$K$2:$K$18,"Missing game",0)</x:f>
        <x:v>-3</x:v>
      </x:c>
      <x:c r="AQ76" t="n">
        <x:f>_xlfn.XLOOKUP($A76,Games!$A$2:$A$18,Games!$L$2:$L$18,"Missing game",0)</x:f>
        <x:v>51</x:v>
      </x:c>
      <x:c r="AR76" t="n">
        <x:f>_xlfn.XLOOKUP($A76,Games!$A$2:$A$18,Games!$M$2:$M$18,"Missing game",0)</x:f>
        <x:v>0</x:v>
      </x:c>
      <x:c r="AS76" t="str">
        <x:f>_xlfn.XLOOKUP($A76,Games!$A$2:$A$18,Games!$N$2:$N$18,"Missing game",0)</x:f>
        <x:v>outdoors</x:v>
      </x:c>
      <x:c r="AT76" t="str">
        <x:f>_xlfn.XLOOKUP($A76,Games!$A$2:$A$18,Games!$O$2:$O$18,"Missing game",0)</x:f>
        <x:v>grass</x:v>
      </x:c>
      <x:c r="AU76" t="n">
        <x:f>_xlfn.XLOOKUP($A76,Games!$A$2:$A$18,Games!$P$2:$P$18,"Missing game",0)</x:f>
        <x:v>68</x:v>
      </x:c>
      <x:c r="AV76" t="n">
        <x:f>_xlfn.XLOOKUP($A76,Games!$A$2:$A$18,Games!$Q$2:$Q$18,"Missing game",0)</x:f>
        <x:v>6</x:v>
      </x:c>
      <x:c r="AW76" t="str">
        <x:f>_xlfn.XLOOKUP($A76,Games!$A$2:$A$18,Games!$R$2:$R$18,"Missing game",0)</x:f>
        <x:v>Soldier Field</x:v>
      </x:c>
    </x:row>
    <x:row r="77">
      <x:c r="A77" t="str">
        <x:v>2025_01_MIN_CHI</x:v>
      </x:c>
      <x:c r="B77" t="n">
        <x:v>1872</x:v>
      </x:c>
      <x:c r="C77" t="n">
        <x:v>2</x:v>
      </x:c>
      <x:c r="D77" t="str">
        <x:v>00:19</x:v>
      </x:c>
      <x:c r="E77" t="n">
        <x:v>1</x:v>
      </x:c>
      <x:c r="F77" t="n">
        <x:v>10</x:v>
      </x:c>
      <x:c r="G77" t="str">
        <x:v>MIN</x:v>
      </x:c>
      <x:c r="H77" t="str">
        <x:v>CHI</x:v>
      </x:c>
      <x:c r="I77" t="str">
        <x:v>MIN</x:v>
      </x:c>
      <x:c r="J77" t="n">
        <x:v>69</x:v>
      </x:c>
      <x:c r="K77" t="str">
        <x:v>(:19) (Shotgun) 9-J.McCarthy pass deep left to 1-J.Nailor pushed ob at CHI 41 for 28 yards (26-N.Wright) [55-D.Odeyingbo].</x:v>
      </x:c>
      <x:c r="L77" t="str">
        <x:v>pass</x:v>
      </x:c>
      <x:c r="M77" t="n">
        <x:v>28</x:v>
      </x:c>
      <x:c r="N77" t="n">
        <x:v>1</x:v>
      </x:c>
      <x:c r="O77" t="n">
        <x:v>0</x:v>
      </x:c>
      <x:c r="P77" t="str">
        <x:v>deep</x:v>
      </x:c>
      <x:c r="Q77" t="str">
        <x:v>left</x:v>
      </x:c>
      <x:c r="R77" t="n">
        <x:v>19</x:v>
      </x:c>
      <x:c r="S77" t="n">
        <x:v>9</x:v>
      </x:c>
      <x:c r="T77"/>
      <x:c r="U77"/>
      <x:c r="V77" t="n">
        <x:v>1</x:v>
      </x:c>
      <x:c r="W77" t="n">
        <x:v>1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/>
      <x:c r="AC77" t="n">
        <x:v>0</x:v>
      </x:c>
      <x:c r="AD77" t="n">
        <x:v>0.8923141690288594</x:v>
      </x:c>
      <x:c r="AE77" t="n">
        <x:v>1</x:v>
      </x:c>
      <x:c r="AF77" t="n">
        <x:v>0.02847430109977722</x:v>
      </x:c>
      <x:c r="AG77" t="n">
        <x:f>_xlfn.XLOOKUP($A77,Games!$A$2:$A$18,Games!$B$2:$B$18,"Missing game",0)</x:f>
        <x:v>2025</x:v>
      </x:c>
      <x:c r="AH77" t="str">
        <x:f>_xlfn.XLOOKUP($A77,Games!$A$2:$A$18,Games!$C$2:$C$18,"Missing game",0)</x:f>
        <x:v>REG</x:v>
      </x:c>
      <x:c r="AI77" t="n">
        <x:f>_xlfn.XLOOKUP($A77,Games!$A$2:$A$18,Games!$D$2:$D$18,"Missing game",0)</x:f>
        <x:v>1</x:v>
      </x:c>
      <x:c r="AJ77" s="1" t="n">
        <x:f>_xlfn.XLOOKUP($A77,Games!$A$2:$A$18,Games!$E$2:$E$18,"Missing game",0)</x:f>
        <x:v>45908</x:v>
      </x:c>
      <x:c r="AK77" t="str">
        <x:f>_xlfn.XLOOKUP($A77,Games!$A$2:$A$18,Games!$F$2:$F$18,"Missing game",0)</x:f>
        <x:v>Monday</x:v>
      </x:c>
      <x:c r="AL77" t="str">
        <x:f>_xlfn.XLOOKUP($A77,Games!$A$2:$A$18,Games!$G$2:$G$18,"Missing game",0)</x:f>
        <x:v>MIN</x:v>
      </x:c>
      <x:c r="AM77" t="n">
        <x:f>_xlfn.XLOOKUP($A77,Games!$A$2:$A$18,Games!$H$2:$H$18,"Missing game",0)</x:f>
        <x:v>27</x:v>
      </x:c>
      <x:c r="AN77" t="str">
        <x:f>_xlfn.XLOOKUP($A77,Games!$A$2:$A$18,Games!$I$2:$I$18,"Missing game",0)</x:f>
        <x:v>CHI</x:v>
      </x:c>
      <x:c r="AO77" t="n">
        <x:f>_xlfn.XLOOKUP($A77,Games!$A$2:$A$18,Games!$J$2:$J$18,"Missing game",0)</x:f>
        <x:v>24</x:v>
      </x:c>
      <x:c r="AP77" t="n">
        <x:f>_xlfn.XLOOKUP($A77,Games!$A$2:$A$18,Games!$K$2:$K$18,"Missing game",0)</x:f>
        <x:v>-3</x:v>
      </x:c>
      <x:c r="AQ77" t="n">
        <x:f>_xlfn.XLOOKUP($A77,Games!$A$2:$A$18,Games!$L$2:$L$18,"Missing game",0)</x:f>
        <x:v>51</x:v>
      </x:c>
      <x:c r="AR77" t="n">
        <x:f>_xlfn.XLOOKUP($A77,Games!$A$2:$A$18,Games!$M$2:$M$18,"Missing game",0)</x:f>
        <x:v>0</x:v>
      </x:c>
      <x:c r="AS77" t="str">
        <x:f>_xlfn.XLOOKUP($A77,Games!$A$2:$A$18,Games!$N$2:$N$18,"Missing game",0)</x:f>
        <x:v>outdoors</x:v>
      </x:c>
      <x:c r="AT77" t="str">
        <x:f>_xlfn.XLOOKUP($A77,Games!$A$2:$A$18,Games!$O$2:$O$18,"Missing game",0)</x:f>
        <x:v>grass</x:v>
      </x:c>
      <x:c r="AU77" t="n">
        <x:f>_xlfn.XLOOKUP($A77,Games!$A$2:$A$18,Games!$P$2:$P$18,"Missing game",0)</x:f>
        <x:v>68</x:v>
      </x:c>
      <x:c r="AV77" t="n">
        <x:f>_xlfn.XLOOKUP($A77,Games!$A$2:$A$18,Games!$Q$2:$Q$18,"Missing game",0)</x:f>
        <x:v>6</x:v>
      </x:c>
      <x:c r="AW77" t="str">
        <x:f>_xlfn.XLOOKUP($A77,Games!$A$2:$A$18,Games!$R$2:$R$18,"Missing game",0)</x:f>
        <x:v>Soldier Field</x:v>
      </x:c>
    </x:row>
    <x:row r="78">
      <x:c r="A78" t="str">
        <x:v>2025_01_MIN_CHI</x:v>
      </x:c>
      <x:c r="B78" t="n">
        <x:v>1902</x:v>
      </x:c>
      <x:c r="C78" t="n">
        <x:v>2</x:v>
      </x:c>
      <x:c r="D78" t="str">
        <x:v>00:11</x:v>
      </x:c>
      <x:c r="E78" t="n">
        <x:v>1</x:v>
      </x:c>
      <x:c r="F78" t="n">
        <x:v>10</x:v>
      </x:c>
      <x:c r="G78" t="str">
        <x:v>MIN</x:v>
      </x:c>
      <x:c r="H78" t="str">
        <x:v>CHI</x:v>
      </x:c>
      <x:c r="I78" t="str">
        <x:v>CHI</x:v>
      </x:c>
      <x:c r="J78" t="n">
        <x:v>41</x:v>
      </x:c>
      <x:c r="K78" t="str">
        <x:v>(:11) 16-W.Reichard 59 yard field goal is GOOD, Center-42-A.DePaola, Holder-17-R.Wright.</x:v>
      </x:c>
      <x:c r="L78" t="str">
        <x:v>field_goal</x:v>
      </x:c>
      <x:c r="M78" t="n">
        <x:v>0</x:v>
      </x:c>
      <x:c r="N78" t="n">
        <x:v>0</x:v>
      </x:c>
      <x:c r="O78" t="n">
        <x:v>0</x:v>
      </x:c>
      <x:c r="P78"/>
      <x:c r="Q78"/>
      <x:c r="R78"/>
      <x:c r="S78"/>
      <x:c r="T78"/>
      <x:c r="U78"/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/>
      <x:c r="AC78" t="n">
        <x:v>0</x:v>
      </x:c>
      <x:c r="AD78" t="n">
        <x:v>1.873164389809508</x:v>
      </x:c>
      <x:c r="AE78" t="n">
        <x:v>1</x:v>
      </x:c>
      <x:c r="AF78" t="n">
        <x:v>0.02627943456172943</x:v>
      </x:c>
      <x:c r="AG78" t="n">
        <x:f>_xlfn.XLOOKUP($A78,Games!$A$2:$A$18,Games!$B$2:$B$18,"Missing game",0)</x:f>
        <x:v>2025</x:v>
      </x:c>
      <x:c r="AH78" t="str">
        <x:f>_xlfn.XLOOKUP($A78,Games!$A$2:$A$18,Games!$C$2:$C$18,"Missing game",0)</x:f>
        <x:v>REG</x:v>
      </x:c>
      <x:c r="AI78" t="n">
        <x:f>_xlfn.XLOOKUP($A78,Games!$A$2:$A$18,Games!$D$2:$D$18,"Missing game",0)</x:f>
        <x:v>1</x:v>
      </x:c>
      <x:c r="AJ78" s="1" t="n">
        <x:f>_xlfn.XLOOKUP($A78,Games!$A$2:$A$18,Games!$E$2:$E$18,"Missing game",0)</x:f>
        <x:v>45908</x:v>
      </x:c>
      <x:c r="AK78" t="str">
        <x:f>_xlfn.XLOOKUP($A78,Games!$A$2:$A$18,Games!$F$2:$F$18,"Missing game",0)</x:f>
        <x:v>Monday</x:v>
      </x:c>
      <x:c r="AL78" t="str">
        <x:f>_xlfn.XLOOKUP($A78,Games!$A$2:$A$18,Games!$G$2:$G$18,"Missing game",0)</x:f>
        <x:v>MIN</x:v>
      </x:c>
      <x:c r="AM78" t="n">
        <x:f>_xlfn.XLOOKUP($A78,Games!$A$2:$A$18,Games!$H$2:$H$18,"Missing game",0)</x:f>
        <x:v>27</x:v>
      </x:c>
      <x:c r="AN78" t="str">
        <x:f>_xlfn.XLOOKUP($A78,Games!$A$2:$A$18,Games!$I$2:$I$18,"Missing game",0)</x:f>
        <x:v>CHI</x:v>
      </x:c>
      <x:c r="AO78" t="n">
        <x:f>_xlfn.XLOOKUP($A78,Games!$A$2:$A$18,Games!$J$2:$J$18,"Missing game",0)</x:f>
        <x:v>24</x:v>
      </x:c>
      <x:c r="AP78" t="n">
        <x:f>_xlfn.XLOOKUP($A78,Games!$A$2:$A$18,Games!$K$2:$K$18,"Missing game",0)</x:f>
        <x:v>-3</x:v>
      </x:c>
      <x:c r="AQ78" t="n">
        <x:f>_xlfn.XLOOKUP($A78,Games!$A$2:$A$18,Games!$L$2:$L$18,"Missing game",0)</x:f>
        <x:v>51</x:v>
      </x:c>
      <x:c r="AR78" t="n">
        <x:f>_xlfn.XLOOKUP($A78,Games!$A$2:$A$18,Games!$M$2:$M$18,"Missing game",0)</x:f>
        <x:v>0</x:v>
      </x:c>
      <x:c r="AS78" t="str">
        <x:f>_xlfn.XLOOKUP($A78,Games!$A$2:$A$18,Games!$N$2:$N$18,"Missing game",0)</x:f>
        <x:v>outdoors</x:v>
      </x:c>
      <x:c r="AT78" t="str">
        <x:f>_xlfn.XLOOKUP($A78,Games!$A$2:$A$18,Games!$O$2:$O$18,"Missing game",0)</x:f>
        <x:v>grass</x:v>
      </x:c>
      <x:c r="AU78" t="n">
        <x:f>_xlfn.XLOOKUP($A78,Games!$A$2:$A$18,Games!$P$2:$P$18,"Missing game",0)</x:f>
        <x:v>68</x:v>
      </x:c>
      <x:c r="AV78" t="n">
        <x:f>_xlfn.XLOOKUP($A78,Games!$A$2:$A$18,Games!$Q$2:$Q$18,"Missing game",0)</x:f>
        <x:v>6</x:v>
      </x:c>
      <x:c r="AW78" t="str">
        <x:f>_xlfn.XLOOKUP($A78,Games!$A$2:$A$18,Games!$R$2:$R$18,"Missing game",0)</x:f>
        <x:v>Soldier Field</x:v>
      </x:c>
    </x:row>
    <x:row r="79">
      <x:c r="A79" t="str">
        <x:v>2025_01_MIN_CHI</x:v>
      </x:c>
      <x:c r="B79" t="n">
        <x:v>1914</x:v>
      </x:c>
      <x:c r="C79" t="n">
        <x:v>2</x:v>
      </x:c>
      <x:c r="D79" t="str">
        <x:v>00:11</x:v>
      </x:c>
      <x:c r="E79"/>
      <x:c r="F79" t="n">
        <x:v>0</x:v>
      </x:c>
      <x:c r="G79"/>
      <x:c r="H79"/>
      <x:c r="I79"/>
      <x:c r="J79"/>
      <x:c r="K79" t="str">
        <x:v>Timeout #3 by MIN at 00:11.</x:v>
      </x:c>
      <x:c r="L79" t="str">
        <x:v>no_play</x:v>
      </x:c>
      <x:c r="M79" t="n">
        <x:v>0</x:v>
      </x:c>
      <x:c r="N79" t="n">
        <x:v>0</x:v>
      </x:c>
      <x:c r="O79" t="n">
        <x:v>0</x:v>
      </x:c>
      <x:c r="P79"/>
      <x:c r="Q79"/>
      <x:c r="R79"/>
      <x:c r="S79"/>
      <x:c r="T79"/>
      <x:c r="U79"/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/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f>_xlfn.XLOOKUP($A79,Games!$A$2:$A$18,Games!$B$2:$B$18,"Missing game",0)</x:f>
        <x:v>2025</x:v>
      </x:c>
      <x:c r="AH79" t="str">
        <x:f>_xlfn.XLOOKUP($A79,Games!$A$2:$A$18,Games!$C$2:$C$18,"Missing game",0)</x:f>
        <x:v>REG</x:v>
      </x:c>
      <x:c r="AI79" t="n">
        <x:f>_xlfn.XLOOKUP($A79,Games!$A$2:$A$18,Games!$D$2:$D$18,"Missing game",0)</x:f>
        <x:v>1</x:v>
      </x:c>
      <x:c r="AJ79" s="1" t="n">
        <x:f>_xlfn.XLOOKUP($A79,Games!$A$2:$A$18,Games!$E$2:$E$18,"Missing game",0)</x:f>
        <x:v>45908</x:v>
      </x:c>
      <x:c r="AK79" t="str">
        <x:f>_xlfn.XLOOKUP($A79,Games!$A$2:$A$18,Games!$F$2:$F$18,"Missing game",0)</x:f>
        <x:v>Monday</x:v>
      </x:c>
      <x:c r="AL79" t="str">
        <x:f>_xlfn.XLOOKUP($A79,Games!$A$2:$A$18,Games!$G$2:$G$18,"Missing game",0)</x:f>
        <x:v>MIN</x:v>
      </x:c>
      <x:c r="AM79" t="n">
        <x:f>_xlfn.XLOOKUP($A79,Games!$A$2:$A$18,Games!$H$2:$H$18,"Missing game",0)</x:f>
        <x:v>27</x:v>
      </x:c>
      <x:c r="AN79" t="str">
        <x:f>_xlfn.XLOOKUP($A79,Games!$A$2:$A$18,Games!$I$2:$I$18,"Missing game",0)</x:f>
        <x:v>CHI</x:v>
      </x:c>
      <x:c r="AO79" t="n">
        <x:f>_xlfn.XLOOKUP($A79,Games!$A$2:$A$18,Games!$J$2:$J$18,"Missing game",0)</x:f>
        <x:v>24</x:v>
      </x:c>
      <x:c r="AP79" t="n">
        <x:f>_xlfn.XLOOKUP($A79,Games!$A$2:$A$18,Games!$K$2:$K$18,"Missing game",0)</x:f>
        <x:v>-3</x:v>
      </x:c>
      <x:c r="AQ79" t="n">
        <x:f>_xlfn.XLOOKUP($A79,Games!$A$2:$A$18,Games!$L$2:$L$18,"Missing game",0)</x:f>
        <x:v>51</x:v>
      </x:c>
      <x:c r="AR79" t="n">
        <x:f>_xlfn.XLOOKUP($A79,Games!$A$2:$A$18,Games!$M$2:$M$18,"Missing game",0)</x:f>
        <x:v>0</x:v>
      </x:c>
      <x:c r="AS79" t="str">
        <x:f>_xlfn.XLOOKUP($A79,Games!$A$2:$A$18,Games!$N$2:$N$18,"Missing game",0)</x:f>
        <x:v>outdoors</x:v>
      </x:c>
      <x:c r="AT79" t="str">
        <x:f>_xlfn.XLOOKUP($A79,Games!$A$2:$A$18,Games!$O$2:$O$18,"Missing game",0)</x:f>
        <x:v>grass</x:v>
      </x:c>
      <x:c r="AU79" t="n">
        <x:f>_xlfn.XLOOKUP($A79,Games!$A$2:$A$18,Games!$P$2:$P$18,"Missing game",0)</x:f>
        <x:v>68</x:v>
      </x:c>
      <x:c r="AV79" t="n">
        <x:f>_xlfn.XLOOKUP($A79,Games!$A$2:$A$18,Games!$Q$2:$Q$18,"Missing game",0)</x:f>
        <x:v>6</x:v>
      </x:c>
      <x:c r="AW79" t="str">
        <x:f>_xlfn.XLOOKUP($A79,Games!$A$2:$A$18,Games!$R$2:$R$18,"Missing game",0)</x:f>
        <x:v>Soldier Field</x:v>
      </x:c>
    </x:row>
    <x:row r="80">
      <x:c r="A80" t="str">
        <x:v>2025_01_MIN_CHI</x:v>
      </x:c>
      <x:c r="B80" t="n">
        <x:v>1929</x:v>
      </x:c>
      <x:c r="C80" t="n">
        <x:v>2</x:v>
      </x:c>
      <x:c r="D80" t="str">
        <x:v>00:06</x:v>
      </x:c>
      <x:c r="E80"/>
      <x:c r="F80" t="n">
        <x:v>0</x:v>
      </x:c>
      <x:c r="G80" t="str">
        <x:v>CHI</x:v>
      </x:c>
      <x:c r="H80" t="str">
        <x:v>MIN</x:v>
      </x:c>
      <x:c r="I80" t="str">
        <x:v>MIN</x:v>
      </x:c>
      <x:c r="J80" t="n">
        <x:v>35</x:v>
      </x:c>
      <x:c r="K80" t="str">
        <x:v>16-W.Reichard kicks 59 yards from MIN 35 to CHI 6. 10-L.Burden to 50 for 44 yards (24-J.Ward).</x:v>
      </x:c>
      <x:c r="L80" t="str">
        <x:v>kickoff</x:v>
      </x:c>
      <x:c r="M80" t="n">
        <x:v>0</x:v>
      </x:c>
      <x:c r="N80" t="n">
        <x:v>0</x:v>
      </x:c>
      <x:c r="O80" t="n">
        <x:v>0</x:v>
      </x:c>
      <x:c r="P80"/>
      <x:c r="Q80"/>
      <x:c r="R80"/>
      <x:c r="S80"/>
      <x:c r="T80"/>
      <x:c r="U80"/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/>
      <x:c r="AC80" t="n">
        <x:v>0</x:v>
      </x:c>
      <x:c r="AD80" t="n">
        <x:v>-0.01983303570887074</x:v>
      </x:c>
      <x:c r="AE80" t="n">
        <x:v>0</x:v>
      </x:c>
      <x:c r="AF80" t="n">
        <x:v>-0.04359757900238037</x:v>
      </x:c>
      <x:c r="AG80" t="n">
        <x:f>_xlfn.XLOOKUP($A80,Games!$A$2:$A$18,Games!$B$2:$B$18,"Missing game",0)</x:f>
        <x:v>2025</x:v>
      </x:c>
      <x:c r="AH80" t="str">
        <x:f>_xlfn.XLOOKUP($A80,Games!$A$2:$A$18,Games!$C$2:$C$18,"Missing game",0)</x:f>
        <x:v>REG</x:v>
      </x:c>
      <x:c r="AI80" t="n">
        <x:f>_xlfn.XLOOKUP($A80,Games!$A$2:$A$18,Games!$D$2:$D$18,"Missing game",0)</x:f>
        <x:v>1</x:v>
      </x:c>
      <x:c r="AJ80" s="1" t="n">
        <x:f>_xlfn.XLOOKUP($A80,Games!$A$2:$A$18,Games!$E$2:$E$18,"Missing game",0)</x:f>
        <x:v>45908</x:v>
      </x:c>
      <x:c r="AK80" t="str">
        <x:f>_xlfn.XLOOKUP($A80,Games!$A$2:$A$18,Games!$F$2:$F$18,"Missing game",0)</x:f>
        <x:v>Monday</x:v>
      </x:c>
      <x:c r="AL80" t="str">
        <x:f>_xlfn.XLOOKUP($A80,Games!$A$2:$A$18,Games!$G$2:$G$18,"Missing game",0)</x:f>
        <x:v>MIN</x:v>
      </x:c>
      <x:c r="AM80" t="n">
        <x:f>_xlfn.XLOOKUP($A80,Games!$A$2:$A$18,Games!$H$2:$H$18,"Missing game",0)</x:f>
        <x:v>27</x:v>
      </x:c>
      <x:c r="AN80" t="str">
        <x:f>_xlfn.XLOOKUP($A80,Games!$A$2:$A$18,Games!$I$2:$I$18,"Missing game",0)</x:f>
        <x:v>CHI</x:v>
      </x:c>
      <x:c r="AO80" t="n">
        <x:f>_xlfn.XLOOKUP($A80,Games!$A$2:$A$18,Games!$J$2:$J$18,"Missing game",0)</x:f>
        <x:v>24</x:v>
      </x:c>
      <x:c r="AP80" t="n">
        <x:f>_xlfn.XLOOKUP($A80,Games!$A$2:$A$18,Games!$K$2:$K$18,"Missing game",0)</x:f>
        <x:v>-3</x:v>
      </x:c>
      <x:c r="AQ80" t="n">
        <x:f>_xlfn.XLOOKUP($A80,Games!$A$2:$A$18,Games!$L$2:$L$18,"Missing game",0)</x:f>
        <x:v>51</x:v>
      </x:c>
      <x:c r="AR80" t="n">
        <x:f>_xlfn.XLOOKUP($A80,Games!$A$2:$A$18,Games!$M$2:$M$18,"Missing game",0)</x:f>
        <x:v>0</x:v>
      </x:c>
      <x:c r="AS80" t="str">
        <x:f>_xlfn.XLOOKUP($A80,Games!$A$2:$A$18,Games!$N$2:$N$18,"Missing game",0)</x:f>
        <x:v>outdoors</x:v>
      </x:c>
      <x:c r="AT80" t="str">
        <x:f>_xlfn.XLOOKUP($A80,Games!$A$2:$A$18,Games!$O$2:$O$18,"Missing game",0)</x:f>
        <x:v>grass</x:v>
      </x:c>
      <x:c r="AU80" t="n">
        <x:f>_xlfn.XLOOKUP($A80,Games!$A$2:$A$18,Games!$P$2:$P$18,"Missing game",0)</x:f>
        <x:v>68</x:v>
      </x:c>
      <x:c r="AV80" t="n">
        <x:f>_xlfn.XLOOKUP($A80,Games!$A$2:$A$18,Games!$Q$2:$Q$18,"Missing game",0)</x:f>
        <x:v>6</x:v>
      </x:c>
      <x:c r="AW80" t="str">
        <x:f>_xlfn.XLOOKUP($A80,Games!$A$2:$A$18,Games!$R$2:$R$18,"Missing game",0)</x:f>
        <x:v>Soldier Field</x:v>
      </x:c>
    </x:row>
    <x:row r="81">
      <x:c r="A81" t="str">
        <x:v>2025_01_MIN_CHI</x:v>
      </x:c>
      <x:c r="B81" t="n">
        <x:v>1962</x:v>
      </x:c>
      <x:c r="C81" t="n">
        <x:v>2</x:v>
      </x:c>
      <x:c r="D81" t="str">
        <x:v>00:00</x:v>
      </x:c>
      <x:c r="E81"/>
      <x:c r="F81" t="n">
        <x:v>0</x:v>
      </x:c>
      <x:c r="G81"/>
      <x:c r="H81"/>
      <x:c r="I81"/>
      <x:c r="J81"/>
      <x:c r="K81" t="str">
        <x:v>END QUARTER 2</x:v>
      </x:c>
      <x:c r="L81"/>
      <x:c r="M81"/>
      <x:c r="N81" t="n">
        <x:v>0</x:v>
      </x:c>
      <x:c r="O81" t="n">
        <x:v>0</x:v>
      </x:c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 t="n">
        <x:v>0</x:v>
      </x:c>
      <x:c r="AG81" t="n">
        <x:f>_xlfn.XLOOKUP($A81,Games!$A$2:$A$18,Games!$B$2:$B$18,"Missing game",0)</x:f>
        <x:v>2025</x:v>
      </x:c>
      <x:c r="AH81" t="str">
        <x:f>_xlfn.XLOOKUP($A81,Games!$A$2:$A$18,Games!$C$2:$C$18,"Missing game",0)</x:f>
        <x:v>REG</x:v>
      </x:c>
      <x:c r="AI81" t="n">
        <x:f>_xlfn.XLOOKUP($A81,Games!$A$2:$A$18,Games!$D$2:$D$18,"Missing game",0)</x:f>
        <x:v>1</x:v>
      </x:c>
      <x:c r="AJ81" s="1" t="n">
        <x:f>_xlfn.XLOOKUP($A81,Games!$A$2:$A$18,Games!$E$2:$E$18,"Missing game",0)</x:f>
        <x:v>45908</x:v>
      </x:c>
      <x:c r="AK81" t="str">
        <x:f>_xlfn.XLOOKUP($A81,Games!$A$2:$A$18,Games!$F$2:$F$18,"Missing game",0)</x:f>
        <x:v>Monday</x:v>
      </x:c>
      <x:c r="AL81" t="str">
        <x:f>_xlfn.XLOOKUP($A81,Games!$A$2:$A$18,Games!$G$2:$G$18,"Missing game",0)</x:f>
        <x:v>MIN</x:v>
      </x:c>
      <x:c r="AM81" t="n">
        <x:f>_xlfn.XLOOKUP($A81,Games!$A$2:$A$18,Games!$H$2:$H$18,"Missing game",0)</x:f>
        <x:v>27</x:v>
      </x:c>
      <x:c r="AN81" t="str">
        <x:f>_xlfn.XLOOKUP($A81,Games!$A$2:$A$18,Games!$I$2:$I$18,"Missing game",0)</x:f>
        <x:v>CHI</x:v>
      </x:c>
      <x:c r="AO81" t="n">
        <x:f>_xlfn.XLOOKUP($A81,Games!$A$2:$A$18,Games!$J$2:$J$18,"Missing game",0)</x:f>
        <x:v>24</x:v>
      </x:c>
      <x:c r="AP81" t="n">
        <x:f>_xlfn.XLOOKUP($A81,Games!$A$2:$A$18,Games!$K$2:$K$18,"Missing game",0)</x:f>
        <x:v>-3</x:v>
      </x:c>
      <x:c r="AQ81" t="n">
        <x:f>_xlfn.XLOOKUP($A81,Games!$A$2:$A$18,Games!$L$2:$L$18,"Missing game",0)</x:f>
        <x:v>51</x:v>
      </x:c>
      <x:c r="AR81" t="n">
        <x:f>_xlfn.XLOOKUP($A81,Games!$A$2:$A$18,Games!$M$2:$M$18,"Missing game",0)</x:f>
        <x:v>0</x:v>
      </x:c>
      <x:c r="AS81" t="str">
        <x:f>_xlfn.XLOOKUP($A81,Games!$A$2:$A$18,Games!$N$2:$N$18,"Missing game",0)</x:f>
        <x:v>outdoors</x:v>
      </x:c>
      <x:c r="AT81" t="str">
        <x:f>_xlfn.XLOOKUP($A81,Games!$A$2:$A$18,Games!$O$2:$O$18,"Missing game",0)</x:f>
        <x:v>grass</x:v>
      </x:c>
      <x:c r="AU81" t="n">
        <x:f>_xlfn.XLOOKUP($A81,Games!$A$2:$A$18,Games!$P$2:$P$18,"Missing game",0)</x:f>
        <x:v>68</x:v>
      </x:c>
      <x:c r="AV81" t="n">
        <x:f>_xlfn.XLOOKUP($A81,Games!$A$2:$A$18,Games!$Q$2:$Q$18,"Missing game",0)</x:f>
        <x:v>6</x:v>
      </x:c>
      <x:c r="AW81" t="str">
        <x:f>_xlfn.XLOOKUP($A81,Games!$A$2:$A$18,Games!$R$2:$R$18,"Missing game",0)</x:f>
        <x:v>Soldier Field</x:v>
      </x:c>
    </x:row>
    <x:row r="82">
      <x:c r="A82" t="str">
        <x:v>2025_01_MIN_CHI</x:v>
      </x:c>
      <x:c r="B82" t="n">
        <x:v>1982</x:v>
      </x:c>
      <x:c r="C82" t="n">
        <x:v>3</x:v>
      </x:c>
      <x:c r="D82" t="str">
        <x:v>15:00</x:v>
      </x:c>
      <x:c r="E82"/>
      <x:c r="F82" t="n">
        <x:v>0</x:v>
      </x:c>
      <x:c r="G82" t="str">
        <x:v>CHI</x:v>
      </x:c>
      <x:c r="H82" t="str">
        <x:v>MIN</x:v>
      </x:c>
      <x:c r="I82" t="str">
        <x:v>MIN</x:v>
      </x:c>
      <x:c r="J82" t="n">
        <x:v>35</x:v>
      </x:c>
      <x:c r="K82" t="str">
        <x:v>16-W.Reichard kicks 64 yards from MIN 35 to CHI 1. 12-D.Duvernay to CHI 22 for 21 yards (57-C.Chambliss).</x:v>
      </x:c>
      <x:c r="L82" t="str">
        <x:v>kickoff</x:v>
      </x:c>
      <x:c r="M82" t="n">
        <x:v>0</x:v>
      </x:c>
      <x:c r="N82" t="n">
        <x:v>0</x:v>
      </x:c>
      <x:c r="O82" t="n">
        <x:v>0</x:v>
      </x:c>
      <x:c r="P82"/>
      <x:c r="Q82"/>
      <x:c r="R82"/>
      <x:c r="S82"/>
      <x:c r="T82"/>
      <x:c r="U82"/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/>
      <x:c r="AC82" t="n">
        <x:v>0</x:v>
      </x:c>
      <x:c r="AD82" t="n">
        <x:v>-0.44137809704989195</x:v>
      </x:c>
      <x:c r="AE82" t="n">
        <x:v>0</x:v>
      </x:c>
      <x:c r="AF82" t="n">
        <x:v>-0.0007309913635253906</x:v>
      </x:c>
      <x:c r="AG82" t="n">
        <x:f>_xlfn.XLOOKUP($A82,Games!$A$2:$A$18,Games!$B$2:$B$18,"Missing game",0)</x:f>
        <x:v>2025</x:v>
      </x:c>
      <x:c r="AH82" t="str">
        <x:f>_xlfn.XLOOKUP($A82,Games!$A$2:$A$18,Games!$C$2:$C$18,"Missing game",0)</x:f>
        <x:v>REG</x:v>
      </x:c>
      <x:c r="AI82" t="n">
        <x:f>_xlfn.XLOOKUP($A82,Games!$A$2:$A$18,Games!$D$2:$D$18,"Missing game",0)</x:f>
        <x:v>1</x:v>
      </x:c>
      <x:c r="AJ82" s="1" t="n">
        <x:f>_xlfn.XLOOKUP($A82,Games!$A$2:$A$18,Games!$E$2:$E$18,"Missing game",0)</x:f>
        <x:v>45908</x:v>
      </x:c>
      <x:c r="AK82" t="str">
        <x:f>_xlfn.XLOOKUP($A82,Games!$A$2:$A$18,Games!$F$2:$F$18,"Missing game",0)</x:f>
        <x:v>Monday</x:v>
      </x:c>
      <x:c r="AL82" t="str">
        <x:f>_xlfn.XLOOKUP($A82,Games!$A$2:$A$18,Games!$G$2:$G$18,"Missing game",0)</x:f>
        <x:v>MIN</x:v>
      </x:c>
      <x:c r="AM82" t="n">
        <x:f>_xlfn.XLOOKUP($A82,Games!$A$2:$A$18,Games!$H$2:$H$18,"Missing game",0)</x:f>
        <x:v>27</x:v>
      </x:c>
      <x:c r="AN82" t="str">
        <x:f>_xlfn.XLOOKUP($A82,Games!$A$2:$A$18,Games!$I$2:$I$18,"Missing game",0)</x:f>
        <x:v>CHI</x:v>
      </x:c>
      <x:c r="AO82" t="n">
        <x:f>_xlfn.XLOOKUP($A82,Games!$A$2:$A$18,Games!$J$2:$J$18,"Missing game",0)</x:f>
        <x:v>24</x:v>
      </x:c>
      <x:c r="AP82" t="n">
        <x:f>_xlfn.XLOOKUP($A82,Games!$A$2:$A$18,Games!$K$2:$K$18,"Missing game",0)</x:f>
        <x:v>-3</x:v>
      </x:c>
      <x:c r="AQ82" t="n">
        <x:f>_xlfn.XLOOKUP($A82,Games!$A$2:$A$18,Games!$L$2:$L$18,"Missing game",0)</x:f>
        <x:v>51</x:v>
      </x:c>
      <x:c r="AR82" t="n">
        <x:f>_xlfn.XLOOKUP($A82,Games!$A$2:$A$18,Games!$M$2:$M$18,"Missing game",0)</x:f>
        <x:v>0</x:v>
      </x:c>
      <x:c r="AS82" t="str">
        <x:f>_xlfn.XLOOKUP($A82,Games!$A$2:$A$18,Games!$N$2:$N$18,"Missing game",0)</x:f>
        <x:v>outdoors</x:v>
      </x:c>
      <x:c r="AT82" t="str">
        <x:f>_xlfn.XLOOKUP($A82,Games!$A$2:$A$18,Games!$O$2:$O$18,"Missing game",0)</x:f>
        <x:v>grass</x:v>
      </x:c>
      <x:c r="AU82" t="n">
        <x:f>_xlfn.XLOOKUP($A82,Games!$A$2:$A$18,Games!$P$2:$P$18,"Missing game",0)</x:f>
        <x:v>68</x:v>
      </x:c>
      <x:c r="AV82" t="n">
        <x:f>_xlfn.XLOOKUP($A82,Games!$A$2:$A$18,Games!$Q$2:$Q$18,"Missing game",0)</x:f>
        <x:v>6</x:v>
      </x:c>
      <x:c r="AW82" t="str">
        <x:f>_xlfn.XLOOKUP($A82,Games!$A$2:$A$18,Games!$R$2:$R$18,"Missing game",0)</x:f>
        <x:v>Soldier Field</x:v>
      </x:c>
    </x:row>
    <x:row r="83">
      <x:c r="A83" t="str">
        <x:v>2025_01_MIN_CHI</x:v>
      </x:c>
      <x:c r="B83" t="n">
        <x:v>2015</x:v>
      </x:c>
      <x:c r="C83" t="n">
        <x:v>3</x:v>
      </x:c>
      <x:c r="D83" t="str">
        <x:v>14:54</x:v>
      </x:c>
      <x:c r="E83" t="n">
        <x:v>1</x:v>
      </x:c>
      <x:c r="F83" t="n">
        <x:v>10</x:v>
      </x:c>
      <x:c r="G83" t="str">
        <x:v>CHI</x:v>
      </x:c>
      <x:c r="H83" t="str">
        <x:v>MIN</x:v>
      </x:c>
      <x:c r="I83" t="str">
        <x:v>CHI</x:v>
      </x:c>
      <x:c r="J83" t="n">
        <x:v>78</x:v>
      </x:c>
      <x:c r="K83" t="str">
        <x:v>(14:54) 18-C.Williams pass incomplete short right to 4-D.Swift.</x:v>
      </x:c>
      <x:c r="L83" t="str">
        <x:v>pass</x:v>
      </x:c>
      <x:c r="M83" t="n">
        <x:v>0</x:v>
      </x:c>
      <x:c r="N83" t="n">
        <x:v>0</x:v>
      </x:c>
      <x:c r="O83" t="n">
        <x:v>0</x:v>
      </x:c>
      <x:c r="P83" t="str">
        <x:v>short</x:v>
      </x:c>
      <x:c r="Q83" t="str">
        <x:v>right</x:v>
      </x:c>
      <x:c r="R83" t="n">
        <x:v>-2</x:v>
      </x:c>
      <x:c r="S83"/>
      <x:c r="T83"/>
      <x:c r="U83"/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/>
      <x:c r="AC83" t="n">
        <x:v>0</x:v>
      </x:c>
      <x:c r="AD83" t="n">
        <x:v>-0.5932365953922272</x:v>
      </x:c>
      <x:c r="AE83" t="n">
        <x:v>0</x:v>
      </x:c>
      <x:c r="AF83" t="n">
        <x:v>-0.015751421451568604</x:v>
      </x:c>
      <x:c r="AG83" t="n">
        <x:f>_xlfn.XLOOKUP($A83,Games!$A$2:$A$18,Games!$B$2:$B$18,"Missing game",0)</x:f>
        <x:v>2025</x:v>
      </x:c>
      <x:c r="AH83" t="str">
        <x:f>_xlfn.XLOOKUP($A83,Games!$A$2:$A$18,Games!$C$2:$C$18,"Missing game",0)</x:f>
        <x:v>REG</x:v>
      </x:c>
      <x:c r="AI83" t="n">
        <x:f>_xlfn.XLOOKUP($A83,Games!$A$2:$A$18,Games!$D$2:$D$18,"Missing game",0)</x:f>
        <x:v>1</x:v>
      </x:c>
      <x:c r="AJ83" s="1" t="n">
        <x:f>_xlfn.XLOOKUP($A83,Games!$A$2:$A$18,Games!$E$2:$E$18,"Missing game",0)</x:f>
        <x:v>45908</x:v>
      </x:c>
      <x:c r="AK83" t="str">
        <x:f>_xlfn.XLOOKUP($A83,Games!$A$2:$A$18,Games!$F$2:$F$18,"Missing game",0)</x:f>
        <x:v>Monday</x:v>
      </x:c>
      <x:c r="AL83" t="str">
        <x:f>_xlfn.XLOOKUP($A83,Games!$A$2:$A$18,Games!$G$2:$G$18,"Missing game",0)</x:f>
        <x:v>MIN</x:v>
      </x:c>
      <x:c r="AM83" t="n">
        <x:f>_xlfn.XLOOKUP($A83,Games!$A$2:$A$18,Games!$H$2:$H$18,"Missing game",0)</x:f>
        <x:v>27</x:v>
      </x:c>
      <x:c r="AN83" t="str">
        <x:f>_xlfn.XLOOKUP($A83,Games!$A$2:$A$18,Games!$I$2:$I$18,"Missing game",0)</x:f>
        <x:v>CHI</x:v>
      </x:c>
      <x:c r="AO83" t="n">
        <x:f>_xlfn.XLOOKUP($A83,Games!$A$2:$A$18,Games!$J$2:$J$18,"Missing game",0)</x:f>
        <x:v>24</x:v>
      </x:c>
      <x:c r="AP83" t="n">
        <x:f>_xlfn.XLOOKUP($A83,Games!$A$2:$A$18,Games!$K$2:$K$18,"Missing game",0)</x:f>
        <x:v>-3</x:v>
      </x:c>
      <x:c r="AQ83" t="n">
        <x:f>_xlfn.XLOOKUP($A83,Games!$A$2:$A$18,Games!$L$2:$L$18,"Missing game",0)</x:f>
        <x:v>51</x:v>
      </x:c>
      <x:c r="AR83" t="n">
        <x:f>_xlfn.XLOOKUP($A83,Games!$A$2:$A$18,Games!$M$2:$M$18,"Missing game",0)</x:f>
        <x:v>0</x:v>
      </x:c>
      <x:c r="AS83" t="str">
        <x:f>_xlfn.XLOOKUP($A83,Games!$A$2:$A$18,Games!$N$2:$N$18,"Missing game",0)</x:f>
        <x:v>outdoors</x:v>
      </x:c>
      <x:c r="AT83" t="str">
        <x:f>_xlfn.XLOOKUP($A83,Games!$A$2:$A$18,Games!$O$2:$O$18,"Missing game",0)</x:f>
        <x:v>grass</x:v>
      </x:c>
      <x:c r="AU83" t="n">
        <x:f>_xlfn.XLOOKUP($A83,Games!$A$2:$A$18,Games!$P$2:$P$18,"Missing game",0)</x:f>
        <x:v>68</x:v>
      </x:c>
      <x:c r="AV83" t="n">
        <x:f>_xlfn.XLOOKUP($A83,Games!$A$2:$A$18,Games!$Q$2:$Q$18,"Missing game",0)</x:f>
        <x:v>6</x:v>
      </x:c>
      <x:c r="AW83" t="str">
        <x:f>_xlfn.XLOOKUP($A83,Games!$A$2:$A$18,Games!$R$2:$R$18,"Missing game",0)</x:f>
        <x:v>Soldier Field</x:v>
      </x:c>
    </x:row>
    <x:row r="84">
      <x:c r="A84" t="str">
        <x:v>2025_01_MIN_CHI</x:v>
      </x:c>
      <x:c r="B84" t="n">
        <x:v>2038</x:v>
      </x:c>
      <x:c r="C84" t="n">
        <x:v>3</x:v>
      </x:c>
      <x:c r="D84" t="str">
        <x:v>14:49</x:v>
      </x:c>
      <x:c r="E84" t="n">
        <x:v>2</x:v>
      </x:c>
      <x:c r="F84" t="n">
        <x:v>10</x:v>
      </x:c>
      <x:c r="G84" t="str">
        <x:v>CHI</x:v>
      </x:c>
      <x:c r="H84" t="str">
        <x:v>MIN</x:v>
      </x:c>
      <x:c r="I84" t="str">
        <x:v>CHI</x:v>
      </x:c>
      <x:c r="J84" t="n">
        <x:v>78</x:v>
      </x:c>
      <x:c r="K84" t="str">
        <x:v>(14:49) 18-C.Williams pass incomplete short right to 85-C.Kmet.</x:v>
      </x:c>
      <x:c r="L84" t="str">
        <x:v>pass</x:v>
      </x:c>
      <x:c r="M84" t="n">
        <x:v>0</x:v>
      </x:c>
      <x:c r="N84" t="n">
        <x:v>0</x:v>
      </x:c>
      <x:c r="O84" t="n">
        <x:v>0</x:v>
      </x:c>
      <x:c r="P84" t="str">
        <x:v>short</x:v>
      </x:c>
      <x:c r="Q84" t="str">
        <x:v>right</x:v>
      </x:c>
      <x:c r="R84" t="n">
        <x:v>2</x:v>
      </x:c>
      <x:c r="S84"/>
      <x:c r="T84"/>
      <x:c r="U84"/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/>
      <x:c r="AC84" t="n">
        <x:v>0</x:v>
      </x:c>
      <x:c r="AD84" t="n">
        <x:v>-0.8154302220791578</x:v>
      </x:c>
      <x:c r="AE84" t="n">
        <x:v>0</x:v>
      </x:c>
      <x:c r="AF84" t="n">
        <x:v>-0.02409309148788452</x:v>
      </x:c>
      <x:c r="AG84" t="n">
        <x:f>_xlfn.XLOOKUP($A84,Games!$A$2:$A$18,Games!$B$2:$B$18,"Missing game",0)</x:f>
        <x:v>2025</x:v>
      </x:c>
      <x:c r="AH84" t="str">
        <x:f>_xlfn.XLOOKUP($A84,Games!$A$2:$A$18,Games!$C$2:$C$18,"Missing game",0)</x:f>
        <x:v>REG</x:v>
      </x:c>
      <x:c r="AI84" t="n">
        <x:f>_xlfn.XLOOKUP($A84,Games!$A$2:$A$18,Games!$D$2:$D$18,"Missing game",0)</x:f>
        <x:v>1</x:v>
      </x:c>
      <x:c r="AJ84" s="1" t="n">
        <x:f>_xlfn.XLOOKUP($A84,Games!$A$2:$A$18,Games!$E$2:$E$18,"Missing game",0)</x:f>
        <x:v>45908</x:v>
      </x:c>
      <x:c r="AK84" t="str">
        <x:f>_xlfn.XLOOKUP($A84,Games!$A$2:$A$18,Games!$F$2:$F$18,"Missing game",0)</x:f>
        <x:v>Monday</x:v>
      </x:c>
      <x:c r="AL84" t="str">
        <x:f>_xlfn.XLOOKUP($A84,Games!$A$2:$A$18,Games!$G$2:$G$18,"Missing game",0)</x:f>
        <x:v>MIN</x:v>
      </x:c>
      <x:c r="AM84" t="n">
        <x:f>_xlfn.XLOOKUP($A84,Games!$A$2:$A$18,Games!$H$2:$H$18,"Missing game",0)</x:f>
        <x:v>27</x:v>
      </x:c>
      <x:c r="AN84" t="str">
        <x:f>_xlfn.XLOOKUP($A84,Games!$A$2:$A$18,Games!$I$2:$I$18,"Missing game",0)</x:f>
        <x:v>CHI</x:v>
      </x:c>
      <x:c r="AO84" t="n">
        <x:f>_xlfn.XLOOKUP($A84,Games!$A$2:$A$18,Games!$J$2:$J$18,"Missing game",0)</x:f>
        <x:v>24</x:v>
      </x:c>
      <x:c r="AP84" t="n">
        <x:f>_xlfn.XLOOKUP($A84,Games!$A$2:$A$18,Games!$K$2:$K$18,"Missing game",0)</x:f>
        <x:v>-3</x:v>
      </x:c>
      <x:c r="AQ84" t="n">
        <x:f>_xlfn.XLOOKUP($A84,Games!$A$2:$A$18,Games!$L$2:$L$18,"Missing game",0)</x:f>
        <x:v>51</x:v>
      </x:c>
      <x:c r="AR84" t="n">
        <x:f>_xlfn.XLOOKUP($A84,Games!$A$2:$A$18,Games!$M$2:$M$18,"Missing game",0)</x:f>
        <x:v>0</x:v>
      </x:c>
      <x:c r="AS84" t="str">
        <x:f>_xlfn.XLOOKUP($A84,Games!$A$2:$A$18,Games!$N$2:$N$18,"Missing game",0)</x:f>
        <x:v>outdoors</x:v>
      </x:c>
      <x:c r="AT84" t="str">
        <x:f>_xlfn.XLOOKUP($A84,Games!$A$2:$A$18,Games!$O$2:$O$18,"Missing game",0)</x:f>
        <x:v>grass</x:v>
      </x:c>
      <x:c r="AU84" t="n">
        <x:f>_xlfn.XLOOKUP($A84,Games!$A$2:$A$18,Games!$P$2:$P$18,"Missing game",0)</x:f>
        <x:v>68</x:v>
      </x:c>
      <x:c r="AV84" t="n">
        <x:f>_xlfn.XLOOKUP($A84,Games!$A$2:$A$18,Games!$Q$2:$Q$18,"Missing game",0)</x:f>
        <x:v>6</x:v>
      </x:c>
      <x:c r="AW84" t="str">
        <x:f>_xlfn.XLOOKUP($A84,Games!$A$2:$A$18,Games!$R$2:$R$18,"Missing game",0)</x:f>
        <x:v>Soldier Field</x:v>
      </x:c>
    </x:row>
    <x:row r="85">
      <x:c r="A85" t="str">
        <x:v>2025_01_MIN_CHI</x:v>
      </x:c>
      <x:c r="B85" t="n">
        <x:v>2061</x:v>
      </x:c>
      <x:c r="C85" t="n">
        <x:v>3</x:v>
      </x:c>
      <x:c r="D85" t="str">
        <x:v>14:44</x:v>
      </x:c>
      <x:c r="E85" t="n">
        <x:v>3</x:v>
      </x:c>
      <x:c r="F85" t="n">
        <x:v>10</x:v>
      </x:c>
      <x:c r="G85" t="str">
        <x:v>CHI</x:v>
      </x:c>
      <x:c r="H85" t="str">
        <x:v>MIN</x:v>
      </x:c>
      <x:c r="I85" t="str">
        <x:v>CHI</x:v>
      </x:c>
      <x:c r="J85" t="n">
        <x:v>78</x:v>
      </x:c>
      <x:c r="K85" t="str">
        <x:v>(14:44) (Shotgun) 18-C.Williams pass incomplete short left to 14-O.Zaccheaus [58-J.Greenard].</x:v>
      </x:c>
      <x:c r="L85" t="str">
        <x:v>pass</x:v>
      </x:c>
      <x:c r="M85" t="n">
        <x:v>0</x:v>
      </x:c>
      <x:c r="N85" t="n">
        <x:v>1</x:v>
      </x:c>
      <x:c r="O85" t="n">
        <x:v>0</x:v>
      </x:c>
      <x:c r="P85" t="str">
        <x:v>short</x:v>
      </x:c>
      <x:c r="Q85" t="str">
        <x:v>left</x:v>
      </x:c>
      <x:c r="R85" t="n">
        <x:v>6</x:v>
      </x:c>
      <x:c r="S85"/>
      <x:c r="T85"/>
      <x:c r="U85"/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/>
      <x:c r="AC85" t="n">
        <x:v>0</x:v>
      </x:c>
      <x:c r="AD85" t="n">
        <x:v>-1.3978958721272647</x:v>
      </x:c>
      <x:c r="AE85" t="n">
        <x:v>0</x:v>
      </x:c>
      <x:c r="AF85" t="n">
        <x:v>-0.03772062063217163</x:v>
      </x:c>
      <x:c r="AG85" t="n">
        <x:f>_xlfn.XLOOKUP($A85,Games!$A$2:$A$18,Games!$B$2:$B$18,"Missing game",0)</x:f>
        <x:v>2025</x:v>
      </x:c>
      <x:c r="AH85" t="str">
        <x:f>_xlfn.XLOOKUP($A85,Games!$A$2:$A$18,Games!$C$2:$C$18,"Missing game",0)</x:f>
        <x:v>REG</x:v>
      </x:c>
      <x:c r="AI85" t="n">
        <x:f>_xlfn.XLOOKUP($A85,Games!$A$2:$A$18,Games!$D$2:$D$18,"Missing game",0)</x:f>
        <x:v>1</x:v>
      </x:c>
      <x:c r="AJ85" s="1" t="n">
        <x:f>_xlfn.XLOOKUP($A85,Games!$A$2:$A$18,Games!$E$2:$E$18,"Missing game",0)</x:f>
        <x:v>45908</x:v>
      </x:c>
      <x:c r="AK85" t="str">
        <x:f>_xlfn.XLOOKUP($A85,Games!$A$2:$A$18,Games!$F$2:$F$18,"Missing game",0)</x:f>
        <x:v>Monday</x:v>
      </x:c>
      <x:c r="AL85" t="str">
        <x:f>_xlfn.XLOOKUP($A85,Games!$A$2:$A$18,Games!$G$2:$G$18,"Missing game",0)</x:f>
        <x:v>MIN</x:v>
      </x:c>
      <x:c r="AM85" t="n">
        <x:f>_xlfn.XLOOKUP($A85,Games!$A$2:$A$18,Games!$H$2:$H$18,"Missing game",0)</x:f>
        <x:v>27</x:v>
      </x:c>
      <x:c r="AN85" t="str">
        <x:f>_xlfn.XLOOKUP($A85,Games!$A$2:$A$18,Games!$I$2:$I$18,"Missing game",0)</x:f>
        <x:v>CHI</x:v>
      </x:c>
      <x:c r="AO85" t="n">
        <x:f>_xlfn.XLOOKUP($A85,Games!$A$2:$A$18,Games!$J$2:$J$18,"Missing game",0)</x:f>
        <x:v>24</x:v>
      </x:c>
      <x:c r="AP85" t="n">
        <x:f>_xlfn.XLOOKUP($A85,Games!$A$2:$A$18,Games!$K$2:$K$18,"Missing game",0)</x:f>
        <x:v>-3</x:v>
      </x:c>
      <x:c r="AQ85" t="n">
        <x:f>_xlfn.XLOOKUP($A85,Games!$A$2:$A$18,Games!$L$2:$L$18,"Missing game",0)</x:f>
        <x:v>51</x:v>
      </x:c>
      <x:c r="AR85" t="n">
        <x:f>_xlfn.XLOOKUP($A85,Games!$A$2:$A$18,Games!$M$2:$M$18,"Missing game",0)</x:f>
        <x:v>0</x:v>
      </x:c>
      <x:c r="AS85" t="str">
        <x:f>_xlfn.XLOOKUP($A85,Games!$A$2:$A$18,Games!$N$2:$N$18,"Missing game",0)</x:f>
        <x:v>outdoors</x:v>
      </x:c>
      <x:c r="AT85" t="str">
        <x:f>_xlfn.XLOOKUP($A85,Games!$A$2:$A$18,Games!$O$2:$O$18,"Missing game",0)</x:f>
        <x:v>grass</x:v>
      </x:c>
      <x:c r="AU85" t="n">
        <x:f>_xlfn.XLOOKUP($A85,Games!$A$2:$A$18,Games!$P$2:$P$18,"Missing game",0)</x:f>
        <x:v>68</x:v>
      </x:c>
      <x:c r="AV85" t="n">
        <x:f>_xlfn.XLOOKUP($A85,Games!$A$2:$A$18,Games!$Q$2:$Q$18,"Missing game",0)</x:f>
        <x:v>6</x:v>
      </x:c>
      <x:c r="AW85" t="str">
        <x:f>_xlfn.XLOOKUP($A85,Games!$A$2:$A$18,Games!$R$2:$R$18,"Missing game",0)</x:f>
        <x:v>Soldier Field</x:v>
      </x:c>
    </x:row>
    <x:row r="86">
      <x:c r="A86" t="str">
        <x:v>2025_01_MIN_CHI</x:v>
      </x:c>
      <x:c r="B86" t="n">
        <x:v>2084</x:v>
      </x:c>
      <x:c r="C86" t="n">
        <x:v>3</x:v>
      </x:c>
      <x:c r="D86" t="str">
        <x:v>14:41</x:v>
      </x:c>
      <x:c r="E86" t="n">
        <x:v>4</x:v>
      </x:c>
      <x:c r="F86" t="n">
        <x:v>10</x:v>
      </x:c>
      <x:c r="G86" t="str">
        <x:v>CHI</x:v>
      </x:c>
      <x:c r="H86" t="str">
        <x:v>MIN</x:v>
      </x:c>
      <x:c r="I86" t="str">
        <x:v>CHI</x:v>
      </x:c>
      <x:c r="J86" t="n">
        <x:v>78</x:v>
      </x:c>
      <x:c r="K86" t="str">
        <x:v>(14:41) 19-T.Taylor punts 47 yards to MIN 31, Center-46-S.Daly. 4-M.Price to CHI 49 for 20 yards (36-J.Owens).</x:v>
      </x:c>
      <x:c r="L86" t="str">
        <x:v>punt</x:v>
      </x:c>
      <x:c r="M86" t="n">
        <x:v>0</x:v>
      </x:c>
      <x:c r="N86" t="n">
        <x:v>0</x:v>
      </x:c>
      <x:c r="O86" t="n">
        <x:v>0</x:v>
      </x:c>
      <x:c r="P86"/>
      <x:c r="Q86"/>
      <x:c r="R86"/>
      <x:c r="S86"/>
      <x:c r="T86"/>
      <x:c r="U86"/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/>
      <x:c r="AC86" t="n">
        <x:v>0</x:v>
      </x:c>
      <x:c r="AD86" t="n">
        <x:v>-0.7887516575865448</x:v>
      </x:c>
      <x:c r="AE86" t="n">
        <x:v>0</x:v>
      </x:c>
      <x:c r="AF86" t="n">
        <x:v>0.011925101280212402</x:v>
      </x:c>
      <x:c r="AG86" t="n">
        <x:f>_xlfn.XLOOKUP($A86,Games!$A$2:$A$18,Games!$B$2:$B$18,"Missing game",0)</x:f>
        <x:v>2025</x:v>
      </x:c>
      <x:c r="AH86" t="str">
        <x:f>_xlfn.XLOOKUP($A86,Games!$A$2:$A$18,Games!$C$2:$C$18,"Missing game",0)</x:f>
        <x:v>REG</x:v>
      </x:c>
      <x:c r="AI86" t="n">
        <x:f>_xlfn.XLOOKUP($A86,Games!$A$2:$A$18,Games!$D$2:$D$18,"Missing game",0)</x:f>
        <x:v>1</x:v>
      </x:c>
      <x:c r="AJ86" s="1" t="n">
        <x:f>_xlfn.XLOOKUP($A86,Games!$A$2:$A$18,Games!$E$2:$E$18,"Missing game",0)</x:f>
        <x:v>45908</x:v>
      </x:c>
      <x:c r="AK86" t="str">
        <x:f>_xlfn.XLOOKUP($A86,Games!$A$2:$A$18,Games!$F$2:$F$18,"Missing game",0)</x:f>
        <x:v>Monday</x:v>
      </x:c>
      <x:c r="AL86" t="str">
        <x:f>_xlfn.XLOOKUP($A86,Games!$A$2:$A$18,Games!$G$2:$G$18,"Missing game",0)</x:f>
        <x:v>MIN</x:v>
      </x:c>
      <x:c r="AM86" t="n">
        <x:f>_xlfn.XLOOKUP($A86,Games!$A$2:$A$18,Games!$H$2:$H$18,"Missing game",0)</x:f>
        <x:v>27</x:v>
      </x:c>
      <x:c r="AN86" t="str">
        <x:f>_xlfn.XLOOKUP($A86,Games!$A$2:$A$18,Games!$I$2:$I$18,"Missing game",0)</x:f>
        <x:v>CHI</x:v>
      </x:c>
      <x:c r="AO86" t="n">
        <x:f>_xlfn.XLOOKUP($A86,Games!$A$2:$A$18,Games!$J$2:$J$18,"Missing game",0)</x:f>
        <x:v>24</x:v>
      </x:c>
      <x:c r="AP86" t="n">
        <x:f>_xlfn.XLOOKUP($A86,Games!$A$2:$A$18,Games!$K$2:$K$18,"Missing game",0)</x:f>
        <x:v>-3</x:v>
      </x:c>
      <x:c r="AQ86" t="n">
        <x:f>_xlfn.XLOOKUP($A86,Games!$A$2:$A$18,Games!$L$2:$L$18,"Missing game",0)</x:f>
        <x:v>51</x:v>
      </x:c>
      <x:c r="AR86" t="n">
        <x:f>_xlfn.XLOOKUP($A86,Games!$A$2:$A$18,Games!$M$2:$M$18,"Missing game",0)</x:f>
        <x:v>0</x:v>
      </x:c>
      <x:c r="AS86" t="str">
        <x:f>_xlfn.XLOOKUP($A86,Games!$A$2:$A$18,Games!$N$2:$N$18,"Missing game",0)</x:f>
        <x:v>outdoors</x:v>
      </x:c>
      <x:c r="AT86" t="str">
        <x:f>_xlfn.XLOOKUP($A86,Games!$A$2:$A$18,Games!$O$2:$O$18,"Missing game",0)</x:f>
        <x:v>grass</x:v>
      </x:c>
      <x:c r="AU86" t="n">
        <x:f>_xlfn.XLOOKUP($A86,Games!$A$2:$A$18,Games!$P$2:$P$18,"Missing game",0)</x:f>
        <x:v>68</x:v>
      </x:c>
      <x:c r="AV86" t="n">
        <x:f>_xlfn.XLOOKUP($A86,Games!$A$2:$A$18,Games!$Q$2:$Q$18,"Missing game",0)</x:f>
        <x:v>6</x:v>
      </x:c>
      <x:c r="AW86" t="str">
        <x:f>_xlfn.XLOOKUP($A86,Games!$A$2:$A$18,Games!$R$2:$R$18,"Missing game",0)</x:f>
        <x:v>Soldier Field</x:v>
      </x:c>
    </x:row>
    <x:row r="87">
      <x:c r="A87" t="str">
        <x:v>2025_01_MIN_CHI</x:v>
      </x:c>
      <x:c r="B87" t="n">
        <x:v>2110</x:v>
      </x:c>
      <x:c r="C87" t="n">
        <x:v>3</x:v>
      </x:c>
      <x:c r="D87" t="str">
        <x:v>14:28</x:v>
      </x:c>
      <x:c r="E87" t="n">
        <x:v>1</x:v>
      </x:c>
      <x:c r="F87" t="n">
        <x:v>10</x:v>
      </x:c>
      <x:c r="G87" t="str">
        <x:v>MIN</x:v>
      </x:c>
      <x:c r="H87" t="str">
        <x:v>CHI</x:v>
      </x:c>
      <x:c r="I87" t="str">
        <x:v>CHI</x:v>
      </x:c>
      <x:c r="J87" t="n">
        <x:v>49</x:v>
      </x:c>
      <x:c r="K87" t="str">
        <x:v>(14:28) 9-J.McCarthy pass incomplete short right to 18-J.Jefferson (98-M.Sweat). PENALTY on CHI-55-D.Odeyingbo, Roughing the Passer, 15 yards, enforced at CHI 49 - No Play.</x:v>
      </x:c>
      <x:c r="L87" t="str">
        <x:v>no_play</x:v>
      </x:c>
      <x:c r="M87" t="n">
        <x:v>0</x:v>
      </x:c>
      <x:c r="N87" t="n">
        <x:v>0</x:v>
      </x:c>
      <x:c r="O87" t="n">
        <x:v>0</x:v>
      </x:c>
      <x:c r="P87"/>
      <x:c r="Q87"/>
      <x:c r="R87"/>
      <x:c r="S87"/>
      <x:c r="T87"/>
      <x:c r="U87"/>
      <x:c r="V87" t="n">
        <x:v>0</x:v>
      </x:c>
      <x:c r="W87" t="n">
        <x:v>1</x:v>
      </x:c>
      <x:c r="X87" t="n">
        <x:v>0</x:v>
      </x:c>
      <x:c r="Y87" t="n">
        <x:v>0</x:v>
      </x:c>
      <x:c r="Z87" t="n">
        <x:v>0</x:v>
      </x:c>
      <x:c r="AA87" t="n">
        <x:v>1</x:v>
      </x:c>
      <x:c r="AB87" t="n">
        <x:v>15</x:v>
      </x:c>
      <x:c r="AC87" t="n">
        <x:v>0</x:v>
      </x:c>
      <x:c r="AD87" t="n">
        <x:v>0.986660155816935</x:v>
      </x:c>
      <x:c r="AE87" t="n">
        <x:v>1</x:v>
      </x:c>
      <x:c r="AF87" t="n">
        <x:v>0.05542758107185364</x:v>
      </x:c>
      <x:c r="AG87" t="n">
        <x:f>_xlfn.XLOOKUP($A87,Games!$A$2:$A$18,Games!$B$2:$B$18,"Missing game",0)</x:f>
        <x:v>2025</x:v>
      </x:c>
      <x:c r="AH87" t="str">
        <x:f>_xlfn.XLOOKUP($A87,Games!$A$2:$A$18,Games!$C$2:$C$18,"Missing game",0)</x:f>
        <x:v>REG</x:v>
      </x:c>
      <x:c r="AI87" t="n">
        <x:f>_xlfn.XLOOKUP($A87,Games!$A$2:$A$18,Games!$D$2:$D$18,"Missing game",0)</x:f>
        <x:v>1</x:v>
      </x:c>
      <x:c r="AJ87" s="1" t="n">
        <x:f>_xlfn.XLOOKUP($A87,Games!$A$2:$A$18,Games!$E$2:$E$18,"Missing game",0)</x:f>
        <x:v>45908</x:v>
      </x:c>
      <x:c r="AK87" t="str">
        <x:f>_xlfn.XLOOKUP($A87,Games!$A$2:$A$18,Games!$F$2:$F$18,"Missing game",0)</x:f>
        <x:v>Monday</x:v>
      </x:c>
      <x:c r="AL87" t="str">
        <x:f>_xlfn.XLOOKUP($A87,Games!$A$2:$A$18,Games!$G$2:$G$18,"Missing game",0)</x:f>
        <x:v>MIN</x:v>
      </x:c>
      <x:c r="AM87" t="n">
        <x:f>_xlfn.XLOOKUP($A87,Games!$A$2:$A$18,Games!$H$2:$H$18,"Missing game",0)</x:f>
        <x:v>27</x:v>
      </x:c>
      <x:c r="AN87" t="str">
        <x:f>_xlfn.XLOOKUP($A87,Games!$A$2:$A$18,Games!$I$2:$I$18,"Missing game",0)</x:f>
        <x:v>CHI</x:v>
      </x:c>
      <x:c r="AO87" t="n">
        <x:f>_xlfn.XLOOKUP($A87,Games!$A$2:$A$18,Games!$J$2:$J$18,"Missing game",0)</x:f>
        <x:v>24</x:v>
      </x:c>
      <x:c r="AP87" t="n">
        <x:f>_xlfn.XLOOKUP($A87,Games!$A$2:$A$18,Games!$K$2:$K$18,"Missing game",0)</x:f>
        <x:v>-3</x:v>
      </x:c>
      <x:c r="AQ87" t="n">
        <x:f>_xlfn.XLOOKUP($A87,Games!$A$2:$A$18,Games!$L$2:$L$18,"Missing game",0)</x:f>
        <x:v>51</x:v>
      </x:c>
      <x:c r="AR87" t="n">
        <x:f>_xlfn.XLOOKUP($A87,Games!$A$2:$A$18,Games!$M$2:$M$18,"Missing game",0)</x:f>
        <x:v>0</x:v>
      </x:c>
      <x:c r="AS87" t="str">
        <x:f>_xlfn.XLOOKUP($A87,Games!$A$2:$A$18,Games!$N$2:$N$18,"Missing game",0)</x:f>
        <x:v>outdoors</x:v>
      </x:c>
      <x:c r="AT87" t="str">
        <x:f>_xlfn.XLOOKUP($A87,Games!$A$2:$A$18,Games!$O$2:$O$18,"Missing game",0)</x:f>
        <x:v>grass</x:v>
      </x:c>
      <x:c r="AU87" t="n">
        <x:f>_xlfn.XLOOKUP($A87,Games!$A$2:$A$18,Games!$P$2:$P$18,"Missing game",0)</x:f>
        <x:v>68</x:v>
      </x:c>
      <x:c r="AV87" t="n">
        <x:f>_xlfn.XLOOKUP($A87,Games!$A$2:$A$18,Games!$Q$2:$Q$18,"Missing game",0)</x:f>
        <x:v>6</x:v>
      </x:c>
      <x:c r="AW87" t="str">
        <x:f>_xlfn.XLOOKUP($A87,Games!$A$2:$A$18,Games!$R$2:$R$18,"Missing game",0)</x:f>
        <x:v>Soldier Field</x:v>
      </x:c>
    </x:row>
    <x:row r="88">
      <x:c r="A88" t="str">
        <x:v>2025_01_MIN_CHI</x:v>
      </x:c>
      <x:c r="B88" t="n">
        <x:v>2144</x:v>
      </x:c>
      <x:c r="C88" t="n">
        <x:v>3</x:v>
      </x:c>
      <x:c r="D88" t="str">
        <x:v>14:21</x:v>
      </x:c>
      <x:c r="E88" t="n">
        <x:v>1</x:v>
      </x:c>
      <x:c r="F88" t="n">
        <x:v>10</x:v>
      </x:c>
      <x:c r="G88" t="str">
        <x:v>MIN</x:v>
      </x:c>
      <x:c r="H88" t="str">
        <x:v>CHI</x:v>
      </x:c>
      <x:c r="I88" t="str">
        <x:v>CHI</x:v>
      </x:c>
      <x:c r="J88" t="n">
        <x:v>34</x:v>
      </x:c>
      <x:c r="K88" t="str">
        <x:v>(14:21) 33-A.Jones right guard to CHI 34 for no gain (31-K.Byard).</x:v>
      </x:c>
      <x:c r="L88" t="str">
        <x:v>run</x:v>
      </x:c>
      <x:c r="M88" t="n">
        <x:v>0</x:v>
      </x:c>
      <x:c r="N88" t="n">
        <x:v>0</x:v>
      </x:c>
      <x:c r="O88" t="n">
        <x:v>0</x:v>
      </x:c>
      <x:c r="P88"/>
      <x:c r="Q88"/>
      <x:c r="R88"/>
      <x:c r="S88"/>
      <x:c r="T88" t="str">
        <x:v>right</x:v>
      </x:c>
      <x:c r="U88" t="str">
        <x:v>guard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/>
      <x:c r="AC88" t="n">
        <x:v>0</x:v>
      </x:c>
      <x:c r="AD88" t="n">
        <x:v>-0.5230165527900681</x:v>
      </x:c>
      <x:c r="AE88" t="n">
        <x:v>0</x:v>
      </x:c>
      <x:c r="AF88" t="n">
        <x:v>-0.006309539079666138</x:v>
      </x:c>
      <x:c r="AG88" t="n">
        <x:f>_xlfn.XLOOKUP($A88,Games!$A$2:$A$18,Games!$B$2:$B$18,"Missing game",0)</x:f>
        <x:v>2025</x:v>
      </x:c>
      <x:c r="AH88" t="str">
        <x:f>_xlfn.XLOOKUP($A88,Games!$A$2:$A$18,Games!$C$2:$C$18,"Missing game",0)</x:f>
        <x:v>REG</x:v>
      </x:c>
      <x:c r="AI88" t="n">
        <x:f>_xlfn.XLOOKUP($A88,Games!$A$2:$A$18,Games!$D$2:$D$18,"Missing game",0)</x:f>
        <x:v>1</x:v>
      </x:c>
      <x:c r="AJ88" s="1" t="n">
        <x:f>_xlfn.XLOOKUP($A88,Games!$A$2:$A$18,Games!$E$2:$E$18,"Missing game",0)</x:f>
        <x:v>45908</x:v>
      </x:c>
      <x:c r="AK88" t="str">
        <x:f>_xlfn.XLOOKUP($A88,Games!$A$2:$A$18,Games!$F$2:$F$18,"Missing game",0)</x:f>
        <x:v>Monday</x:v>
      </x:c>
      <x:c r="AL88" t="str">
        <x:f>_xlfn.XLOOKUP($A88,Games!$A$2:$A$18,Games!$G$2:$G$18,"Missing game",0)</x:f>
        <x:v>MIN</x:v>
      </x:c>
      <x:c r="AM88" t="n">
        <x:f>_xlfn.XLOOKUP($A88,Games!$A$2:$A$18,Games!$H$2:$H$18,"Missing game",0)</x:f>
        <x:v>27</x:v>
      </x:c>
      <x:c r="AN88" t="str">
        <x:f>_xlfn.XLOOKUP($A88,Games!$A$2:$A$18,Games!$I$2:$I$18,"Missing game",0)</x:f>
        <x:v>CHI</x:v>
      </x:c>
      <x:c r="AO88" t="n">
        <x:f>_xlfn.XLOOKUP($A88,Games!$A$2:$A$18,Games!$J$2:$J$18,"Missing game",0)</x:f>
        <x:v>24</x:v>
      </x:c>
      <x:c r="AP88" t="n">
        <x:f>_xlfn.XLOOKUP($A88,Games!$A$2:$A$18,Games!$K$2:$K$18,"Missing game",0)</x:f>
        <x:v>-3</x:v>
      </x:c>
      <x:c r="AQ88" t="n">
        <x:f>_xlfn.XLOOKUP($A88,Games!$A$2:$A$18,Games!$L$2:$L$18,"Missing game",0)</x:f>
        <x:v>51</x:v>
      </x:c>
      <x:c r="AR88" t="n">
        <x:f>_xlfn.XLOOKUP($A88,Games!$A$2:$A$18,Games!$M$2:$M$18,"Missing game",0)</x:f>
        <x:v>0</x:v>
      </x:c>
      <x:c r="AS88" t="str">
        <x:f>_xlfn.XLOOKUP($A88,Games!$A$2:$A$18,Games!$N$2:$N$18,"Missing game",0)</x:f>
        <x:v>outdoors</x:v>
      </x:c>
      <x:c r="AT88" t="str">
        <x:f>_xlfn.XLOOKUP($A88,Games!$A$2:$A$18,Games!$O$2:$O$18,"Missing game",0)</x:f>
        <x:v>grass</x:v>
      </x:c>
      <x:c r="AU88" t="n">
        <x:f>_xlfn.XLOOKUP($A88,Games!$A$2:$A$18,Games!$P$2:$P$18,"Missing game",0)</x:f>
        <x:v>68</x:v>
      </x:c>
      <x:c r="AV88" t="n">
        <x:f>_xlfn.XLOOKUP($A88,Games!$A$2:$A$18,Games!$Q$2:$Q$18,"Missing game",0)</x:f>
        <x:v>6</x:v>
      </x:c>
      <x:c r="AW88" t="str">
        <x:f>_xlfn.XLOOKUP($A88,Games!$A$2:$A$18,Games!$R$2:$R$18,"Missing game",0)</x:f>
        <x:v>Soldier Field</x:v>
      </x:c>
    </x:row>
    <x:row r="89">
      <x:c r="A89" t="str">
        <x:v>2025_01_MIN_CHI</x:v>
      </x:c>
      <x:c r="B89" t="n">
        <x:v>2166</x:v>
      </x:c>
      <x:c r="C89" t="n">
        <x:v>3</x:v>
      </x:c>
      <x:c r="D89" t="str">
        <x:v>13:50</x:v>
      </x:c>
      <x:c r="E89" t="n">
        <x:v>2</x:v>
      </x:c>
      <x:c r="F89" t="n">
        <x:v>10</x:v>
      </x:c>
      <x:c r="G89" t="str">
        <x:v>MIN</x:v>
      </x:c>
      <x:c r="H89" t="str">
        <x:v>CHI</x:v>
      </x:c>
      <x:c r="I89" t="str">
        <x:v>CHI</x:v>
      </x:c>
      <x:c r="J89" t="n">
        <x:v>34</x:v>
      </x:c>
      <x:c r="K89" t="str">
        <x:v>(13:50) (No Huddle, Shotgun) 33-A.Jones right end to CHI 32 for 2 yards (9-J.Brisker).</x:v>
      </x:c>
      <x:c r="L89" t="str">
        <x:v>run</x:v>
      </x:c>
      <x:c r="M89" t="n">
        <x:v>2</x:v>
      </x:c>
      <x:c r="N89" t="n">
        <x:v>1</x:v>
      </x:c>
      <x:c r="O89" t="n">
        <x:v>1</x:v>
      </x:c>
      <x:c r="P89"/>
      <x:c r="Q89"/>
      <x:c r="R89"/>
      <x:c r="S89"/>
      <x:c r="T89" t="str">
        <x:v>right</x:v>
      </x:c>
      <x:c r="U89" t="str">
        <x:v>end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/>
      <x:c r="AC89" t="n">
        <x:v>0</x:v>
      </x:c>
      <x:c r="AD89" t="n">
        <x:v>-0.3681291287066415</x:v>
      </x:c>
      <x:c r="AE89" t="n">
        <x:v>0</x:v>
      </x:c>
      <x:c r="AF89" t="n">
        <x:v>-0.04060453176498413</x:v>
      </x:c>
      <x:c r="AG89" t="n">
        <x:f>_xlfn.XLOOKUP($A89,Games!$A$2:$A$18,Games!$B$2:$B$18,"Missing game",0)</x:f>
        <x:v>2025</x:v>
      </x:c>
      <x:c r="AH89" t="str">
        <x:f>_xlfn.XLOOKUP($A89,Games!$A$2:$A$18,Games!$C$2:$C$18,"Missing game",0)</x:f>
        <x:v>REG</x:v>
      </x:c>
      <x:c r="AI89" t="n">
        <x:f>_xlfn.XLOOKUP($A89,Games!$A$2:$A$18,Games!$D$2:$D$18,"Missing game",0)</x:f>
        <x:v>1</x:v>
      </x:c>
      <x:c r="AJ89" s="1" t="n">
        <x:f>_xlfn.XLOOKUP($A89,Games!$A$2:$A$18,Games!$E$2:$E$18,"Missing game",0)</x:f>
        <x:v>45908</x:v>
      </x:c>
      <x:c r="AK89" t="str">
        <x:f>_xlfn.XLOOKUP($A89,Games!$A$2:$A$18,Games!$F$2:$F$18,"Missing game",0)</x:f>
        <x:v>Monday</x:v>
      </x:c>
      <x:c r="AL89" t="str">
        <x:f>_xlfn.XLOOKUP($A89,Games!$A$2:$A$18,Games!$G$2:$G$18,"Missing game",0)</x:f>
        <x:v>MIN</x:v>
      </x:c>
      <x:c r="AM89" t="n">
        <x:f>_xlfn.XLOOKUP($A89,Games!$A$2:$A$18,Games!$H$2:$H$18,"Missing game",0)</x:f>
        <x:v>27</x:v>
      </x:c>
      <x:c r="AN89" t="str">
        <x:f>_xlfn.XLOOKUP($A89,Games!$A$2:$A$18,Games!$I$2:$I$18,"Missing game",0)</x:f>
        <x:v>CHI</x:v>
      </x:c>
      <x:c r="AO89" t="n">
        <x:f>_xlfn.XLOOKUP($A89,Games!$A$2:$A$18,Games!$J$2:$J$18,"Missing game",0)</x:f>
        <x:v>24</x:v>
      </x:c>
      <x:c r="AP89" t="n">
        <x:f>_xlfn.XLOOKUP($A89,Games!$A$2:$A$18,Games!$K$2:$K$18,"Missing game",0)</x:f>
        <x:v>-3</x:v>
      </x:c>
      <x:c r="AQ89" t="n">
        <x:f>_xlfn.XLOOKUP($A89,Games!$A$2:$A$18,Games!$L$2:$L$18,"Missing game",0)</x:f>
        <x:v>51</x:v>
      </x:c>
      <x:c r="AR89" t="n">
        <x:f>_xlfn.XLOOKUP($A89,Games!$A$2:$A$18,Games!$M$2:$M$18,"Missing game",0)</x:f>
        <x:v>0</x:v>
      </x:c>
      <x:c r="AS89" t="str">
        <x:f>_xlfn.XLOOKUP($A89,Games!$A$2:$A$18,Games!$N$2:$N$18,"Missing game",0)</x:f>
        <x:v>outdoors</x:v>
      </x:c>
      <x:c r="AT89" t="str">
        <x:f>_xlfn.XLOOKUP($A89,Games!$A$2:$A$18,Games!$O$2:$O$18,"Missing game",0)</x:f>
        <x:v>grass</x:v>
      </x:c>
      <x:c r="AU89" t="n">
        <x:f>_xlfn.XLOOKUP($A89,Games!$A$2:$A$18,Games!$P$2:$P$18,"Missing game",0)</x:f>
        <x:v>68</x:v>
      </x:c>
      <x:c r="AV89" t="n">
        <x:f>_xlfn.XLOOKUP($A89,Games!$A$2:$A$18,Games!$Q$2:$Q$18,"Missing game",0)</x:f>
        <x:v>6</x:v>
      </x:c>
      <x:c r="AW89" t="str">
        <x:f>_xlfn.XLOOKUP($A89,Games!$A$2:$A$18,Games!$R$2:$R$18,"Missing game",0)</x:f>
        <x:v>Soldier Field</x:v>
      </x:c>
    </x:row>
    <x:row r="90">
      <x:c r="A90" t="str">
        <x:v>2025_01_MIN_CHI</x:v>
      </x:c>
      <x:c r="B90" t="n">
        <x:v>2188</x:v>
      </x:c>
      <x:c r="C90" t="n">
        <x:v>3</x:v>
      </x:c>
      <x:c r="D90" t="str">
        <x:v>13:03</x:v>
      </x:c>
      <x:c r="E90" t="n">
        <x:v>3</x:v>
      </x:c>
      <x:c r="F90" t="n">
        <x:v>8</x:v>
      </x:c>
      <x:c r="G90" t="str">
        <x:v>MIN</x:v>
      </x:c>
      <x:c r="H90" t="str">
        <x:v>CHI</x:v>
      </x:c>
      <x:c r="I90" t="str">
        <x:v>CHI</x:v>
      </x:c>
      <x:c r="J90" t="n">
        <x:v>32</x:v>
      </x:c>
      <x:c r="K90" t="str">
        <x:v>(13:03) (Shotgun) 9-J.McCarthy pass short left intended for 18-J.Jefferson INTERCEPTED by 26-N.Wright at CHI 26. 26-N.Wright for 74 yards, TOUCHDOWN.</x:v>
      </x:c>
      <x:c r="L90" t="str">
        <x:v>pass</x:v>
      </x:c>
      <x:c r="M90" t="n">
        <x:v>0</x:v>
      </x:c>
      <x:c r="N90" t="n">
        <x:v>1</x:v>
      </x:c>
      <x:c r="O90" t="n">
        <x:v>0</x:v>
      </x:c>
      <x:c r="P90" t="str">
        <x:v>short</x:v>
      </x:c>
      <x:c r="Q90" t="str">
        <x:v>left</x:v>
      </x:c>
      <x:c r="R90" t="n">
        <x:v>6</x:v>
      </x:c>
      <x:c r="S90"/>
      <x:c r="T90"/>
      <x:c r="U90"/>
      <x:c r="V90" t="n">
        <x:v>0</x:v>
      </x:c>
      <x:c r="W90" t="n">
        <x:v>0</x:v>
      </x:c>
      <x:c r="X90" t="n">
        <x:v>0</x:v>
      </x:c>
      <x:c r="Y90" t="n">
        <x:v>1</x:v>
      </x:c>
      <x:c r="Z90" t="n">
        <x:v>0</x:v>
      </x:c>
      <x:c r="AA90" t="n">
        <x:v>0</x:v>
      </x:c>
      <x:c r="AB90"/>
      <x:c r="AC90" t="n">
        <x:v>1</x:v>
      </x:c>
      <x:c r="AD90" t="n">
        <x:v>-9.658109150710516</x:v>
      </x:c>
      <x:c r="AE90" t="n">
        <x:v>0</x:v>
      </x:c>
      <x:c r="AF90" t="n">
        <x:v>-0.22111286029595112</x:v>
      </x:c>
      <x:c r="AG90" t="n">
        <x:f>_xlfn.XLOOKUP($A90,Games!$A$2:$A$18,Games!$B$2:$B$18,"Missing game",0)</x:f>
        <x:v>2025</x:v>
      </x:c>
      <x:c r="AH90" t="str">
        <x:f>_xlfn.XLOOKUP($A90,Games!$A$2:$A$18,Games!$C$2:$C$18,"Missing game",0)</x:f>
        <x:v>REG</x:v>
      </x:c>
      <x:c r="AI90" t="n">
        <x:f>_xlfn.XLOOKUP($A90,Games!$A$2:$A$18,Games!$D$2:$D$18,"Missing game",0)</x:f>
        <x:v>1</x:v>
      </x:c>
      <x:c r="AJ90" s="1" t="n">
        <x:f>_xlfn.XLOOKUP($A90,Games!$A$2:$A$18,Games!$E$2:$E$18,"Missing game",0)</x:f>
        <x:v>45908</x:v>
      </x:c>
      <x:c r="AK90" t="str">
        <x:f>_xlfn.XLOOKUP($A90,Games!$A$2:$A$18,Games!$F$2:$F$18,"Missing game",0)</x:f>
        <x:v>Monday</x:v>
      </x:c>
      <x:c r="AL90" t="str">
        <x:f>_xlfn.XLOOKUP($A90,Games!$A$2:$A$18,Games!$G$2:$G$18,"Missing game",0)</x:f>
        <x:v>MIN</x:v>
      </x:c>
      <x:c r="AM90" t="n">
        <x:f>_xlfn.XLOOKUP($A90,Games!$A$2:$A$18,Games!$H$2:$H$18,"Missing game",0)</x:f>
        <x:v>27</x:v>
      </x:c>
      <x:c r="AN90" t="str">
        <x:f>_xlfn.XLOOKUP($A90,Games!$A$2:$A$18,Games!$I$2:$I$18,"Missing game",0)</x:f>
        <x:v>CHI</x:v>
      </x:c>
      <x:c r="AO90" t="n">
        <x:f>_xlfn.XLOOKUP($A90,Games!$A$2:$A$18,Games!$J$2:$J$18,"Missing game",0)</x:f>
        <x:v>24</x:v>
      </x:c>
      <x:c r="AP90" t="n">
        <x:f>_xlfn.XLOOKUP($A90,Games!$A$2:$A$18,Games!$K$2:$K$18,"Missing game",0)</x:f>
        <x:v>-3</x:v>
      </x:c>
      <x:c r="AQ90" t="n">
        <x:f>_xlfn.XLOOKUP($A90,Games!$A$2:$A$18,Games!$L$2:$L$18,"Missing game",0)</x:f>
        <x:v>51</x:v>
      </x:c>
      <x:c r="AR90" t="n">
        <x:f>_xlfn.XLOOKUP($A90,Games!$A$2:$A$18,Games!$M$2:$M$18,"Missing game",0)</x:f>
        <x:v>0</x:v>
      </x:c>
      <x:c r="AS90" t="str">
        <x:f>_xlfn.XLOOKUP($A90,Games!$A$2:$A$18,Games!$N$2:$N$18,"Missing game",0)</x:f>
        <x:v>outdoors</x:v>
      </x:c>
      <x:c r="AT90" t="str">
        <x:f>_xlfn.XLOOKUP($A90,Games!$A$2:$A$18,Games!$O$2:$O$18,"Missing game",0)</x:f>
        <x:v>grass</x:v>
      </x:c>
      <x:c r="AU90" t="n">
        <x:f>_xlfn.XLOOKUP($A90,Games!$A$2:$A$18,Games!$P$2:$P$18,"Missing game",0)</x:f>
        <x:v>68</x:v>
      </x:c>
      <x:c r="AV90" t="n">
        <x:f>_xlfn.XLOOKUP($A90,Games!$A$2:$A$18,Games!$Q$2:$Q$18,"Missing game",0)</x:f>
        <x:v>6</x:v>
      </x:c>
      <x:c r="AW90" t="str">
        <x:f>_xlfn.XLOOKUP($A90,Games!$A$2:$A$18,Games!$R$2:$R$18,"Missing game",0)</x:f>
        <x:v>Soldier Field</x:v>
      </x:c>
    </x:row>
    <x:row r="91">
      <x:c r="A91" t="str">
        <x:v>2025_01_MIN_CHI</x:v>
      </x:c>
      <x:c r="B91" t="n">
        <x:v>2216</x:v>
      </x:c>
      <x:c r="C91" t="n">
        <x:v>3</x:v>
      </x:c>
      <x:c r="D91" t="str">
        <x:v>12:51</x:v>
      </x:c>
      <x:c r="E91"/>
      <x:c r="F91" t="n">
        <x:v>0</x:v>
      </x:c>
      <x:c r="G91" t="str">
        <x:v>CHI</x:v>
      </x:c>
      <x:c r="H91" t="str">
        <x:v>MIN</x:v>
      </x:c>
      <x:c r="I91" t="str">
        <x:v>MIN</x:v>
      </x:c>
      <x:c r="J91" t="n">
        <x:v>15</x:v>
      </x:c>
      <x:c r="K91" t="str">
        <x:v>8-C.Santos extra point is GOOD, Center-46-S.Daly, Holder-19-T.Taylor.</x:v>
      </x:c>
      <x:c r="L91" t="str">
        <x:v>extra_point</x:v>
      </x:c>
      <x:c r="M91" t="n">
        <x:v>0</x:v>
      </x:c>
      <x:c r="N91" t="n">
        <x:v>0</x:v>
      </x:c>
      <x:c r="O91" t="n">
        <x:v>0</x:v>
      </x:c>
      <x:c r="P91"/>
      <x:c r="Q91"/>
      <x:c r="R91"/>
      <x:c r="S91"/>
      <x:c r="T91"/>
      <x:c r="U91"/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/>
      <x:c r="AC91" t="n">
        <x:v>0</x:v>
      </x:c>
      <x:c r="AD91" t="n">
        <x:v>0.06757300310763314</x:v>
      </x:c>
      <x:c r="AE91" t="n">
        <x:v>1</x:v>
      </x:c>
      <x:c r="AF91" t="n">
        <x:v>0.001788886334717521</x:v>
      </x:c>
      <x:c r="AG91" t="n">
        <x:f>_xlfn.XLOOKUP($A91,Games!$A$2:$A$18,Games!$B$2:$B$18,"Missing game",0)</x:f>
        <x:v>2025</x:v>
      </x:c>
      <x:c r="AH91" t="str">
        <x:f>_xlfn.XLOOKUP($A91,Games!$A$2:$A$18,Games!$C$2:$C$18,"Missing game",0)</x:f>
        <x:v>REG</x:v>
      </x:c>
      <x:c r="AI91" t="n">
        <x:f>_xlfn.XLOOKUP($A91,Games!$A$2:$A$18,Games!$D$2:$D$18,"Missing game",0)</x:f>
        <x:v>1</x:v>
      </x:c>
      <x:c r="AJ91" s="1" t="n">
        <x:f>_xlfn.XLOOKUP($A91,Games!$A$2:$A$18,Games!$E$2:$E$18,"Missing game",0)</x:f>
        <x:v>45908</x:v>
      </x:c>
      <x:c r="AK91" t="str">
        <x:f>_xlfn.XLOOKUP($A91,Games!$A$2:$A$18,Games!$F$2:$F$18,"Missing game",0)</x:f>
        <x:v>Monday</x:v>
      </x:c>
      <x:c r="AL91" t="str">
        <x:f>_xlfn.XLOOKUP($A91,Games!$A$2:$A$18,Games!$G$2:$G$18,"Missing game",0)</x:f>
        <x:v>MIN</x:v>
      </x:c>
      <x:c r="AM91" t="n">
        <x:f>_xlfn.XLOOKUP($A91,Games!$A$2:$A$18,Games!$H$2:$H$18,"Missing game",0)</x:f>
        <x:v>27</x:v>
      </x:c>
      <x:c r="AN91" t="str">
        <x:f>_xlfn.XLOOKUP($A91,Games!$A$2:$A$18,Games!$I$2:$I$18,"Missing game",0)</x:f>
        <x:v>CHI</x:v>
      </x:c>
      <x:c r="AO91" t="n">
        <x:f>_xlfn.XLOOKUP($A91,Games!$A$2:$A$18,Games!$J$2:$J$18,"Missing game",0)</x:f>
        <x:v>24</x:v>
      </x:c>
      <x:c r="AP91" t="n">
        <x:f>_xlfn.XLOOKUP($A91,Games!$A$2:$A$18,Games!$K$2:$K$18,"Missing game",0)</x:f>
        <x:v>-3</x:v>
      </x:c>
      <x:c r="AQ91" t="n">
        <x:f>_xlfn.XLOOKUP($A91,Games!$A$2:$A$18,Games!$L$2:$L$18,"Missing game",0)</x:f>
        <x:v>51</x:v>
      </x:c>
      <x:c r="AR91" t="n">
        <x:f>_xlfn.XLOOKUP($A91,Games!$A$2:$A$18,Games!$M$2:$M$18,"Missing game",0)</x:f>
        <x:v>0</x:v>
      </x:c>
      <x:c r="AS91" t="str">
        <x:f>_xlfn.XLOOKUP($A91,Games!$A$2:$A$18,Games!$N$2:$N$18,"Missing game",0)</x:f>
        <x:v>outdoors</x:v>
      </x:c>
      <x:c r="AT91" t="str">
        <x:f>_xlfn.XLOOKUP($A91,Games!$A$2:$A$18,Games!$O$2:$O$18,"Missing game",0)</x:f>
        <x:v>grass</x:v>
      </x:c>
      <x:c r="AU91" t="n">
        <x:f>_xlfn.XLOOKUP($A91,Games!$A$2:$A$18,Games!$P$2:$P$18,"Missing game",0)</x:f>
        <x:v>68</x:v>
      </x:c>
      <x:c r="AV91" t="n">
        <x:f>_xlfn.XLOOKUP($A91,Games!$A$2:$A$18,Games!$Q$2:$Q$18,"Missing game",0)</x:f>
        <x:v>6</x:v>
      </x:c>
      <x:c r="AW91" t="str">
        <x:f>_xlfn.XLOOKUP($A91,Games!$A$2:$A$18,Games!$R$2:$R$18,"Missing game",0)</x:f>
        <x:v>Soldier Field</x:v>
      </x:c>
    </x:row>
    <x:row r="92">
      <x:c r="A92" t="str">
        <x:v>2025_01_MIN_CHI</x:v>
      </x:c>
      <x:c r="B92" t="n">
        <x:v>2231</x:v>
      </x:c>
      <x:c r="C92" t="n">
        <x:v>3</x:v>
      </x:c>
      <x:c r="D92" t="str">
        <x:v>12:51</x:v>
      </x:c>
      <x:c r="E92"/>
      <x:c r="F92" t="n">
        <x:v>0</x:v>
      </x:c>
      <x:c r="G92" t="str">
        <x:v>MIN</x:v>
      </x:c>
      <x:c r="H92" t="str">
        <x:v>CHI</x:v>
      </x:c>
      <x:c r="I92" t="str">
        <x:v>CHI</x:v>
      </x:c>
      <x:c r="J92" t="n">
        <x:v>35</x:v>
      </x:c>
      <x:c r="K92" t="str">
        <x:v>8-C.Santos kicks 63 yards from CHI 35 to MIN 2. 32-T.Chandler to MIN 28 for 26 yards (36-J.Owens).</x:v>
      </x:c>
      <x:c r="L92" t="str">
        <x:v>kickoff</x:v>
      </x:c>
      <x:c r="M92" t="n">
        <x:v>0</x:v>
      </x:c>
      <x:c r="N92" t="n">
        <x:v>0</x:v>
      </x:c>
      <x:c r="O92" t="n">
        <x:v>0</x:v>
      </x:c>
      <x:c r="P92"/>
      <x:c r="Q92"/>
      <x:c r="R92"/>
      <x:c r="S92"/>
      <x:c r="T92"/>
      <x:c r="U92"/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/>
      <x:c r="AC92" t="n">
        <x:v>0</x:v>
      </x:c>
      <x:c r="AD92" t="n">
        <x:v>0.11167768714949489</x:v>
      </x:c>
      <x:c r="AE92" t="n">
        <x:v>1</x:v>
      </x:c>
      <x:c r="AF92" t="n">
        <x:v>0.001114964485168457</x:v>
      </x:c>
      <x:c r="AG92" t="n">
        <x:f>_xlfn.XLOOKUP($A92,Games!$A$2:$A$18,Games!$B$2:$B$18,"Missing game",0)</x:f>
        <x:v>2025</x:v>
      </x:c>
      <x:c r="AH92" t="str">
        <x:f>_xlfn.XLOOKUP($A92,Games!$A$2:$A$18,Games!$C$2:$C$18,"Missing game",0)</x:f>
        <x:v>REG</x:v>
      </x:c>
      <x:c r="AI92" t="n">
        <x:f>_xlfn.XLOOKUP($A92,Games!$A$2:$A$18,Games!$D$2:$D$18,"Missing game",0)</x:f>
        <x:v>1</x:v>
      </x:c>
      <x:c r="AJ92" s="1" t="n">
        <x:f>_xlfn.XLOOKUP($A92,Games!$A$2:$A$18,Games!$E$2:$E$18,"Missing game",0)</x:f>
        <x:v>45908</x:v>
      </x:c>
      <x:c r="AK92" t="str">
        <x:f>_xlfn.XLOOKUP($A92,Games!$A$2:$A$18,Games!$F$2:$F$18,"Missing game",0)</x:f>
        <x:v>Monday</x:v>
      </x:c>
      <x:c r="AL92" t="str">
        <x:f>_xlfn.XLOOKUP($A92,Games!$A$2:$A$18,Games!$G$2:$G$18,"Missing game",0)</x:f>
        <x:v>MIN</x:v>
      </x:c>
      <x:c r="AM92" t="n">
        <x:f>_xlfn.XLOOKUP($A92,Games!$A$2:$A$18,Games!$H$2:$H$18,"Missing game",0)</x:f>
        <x:v>27</x:v>
      </x:c>
      <x:c r="AN92" t="str">
        <x:f>_xlfn.XLOOKUP($A92,Games!$A$2:$A$18,Games!$I$2:$I$18,"Missing game",0)</x:f>
        <x:v>CHI</x:v>
      </x:c>
      <x:c r="AO92" t="n">
        <x:f>_xlfn.XLOOKUP($A92,Games!$A$2:$A$18,Games!$J$2:$J$18,"Missing game",0)</x:f>
        <x:v>24</x:v>
      </x:c>
      <x:c r="AP92" t="n">
        <x:f>_xlfn.XLOOKUP($A92,Games!$A$2:$A$18,Games!$K$2:$K$18,"Missing game",0)</x:f>
        <x:v>-3</x:v>
      </x:c>
      <x:c r="AQ92" t="n">
        <x:f>_xlfn.XLOOKUP($A92,Games!$A$2:$A$18,Games!$L$2:$L$18,"Missing game",0)</x:f>
        <x:v>51</x:v>
      </x:c>
      <x:c r="AR92" t="n">
        <x:f>_xlfn.XLOOKUP($A92,Games!$A$2:$A$18,Games!$M$2:$M$18,"Missing game",0)</x:f>
        <x:v>0</x:v>
      </x:c>
      <x:c r="AS92" t="str">
        <x:f>_xlfn.XLOOKUP($A92,Games!$A$2:$A$18,Games!$N$2:$N$18,"Missing game",0)</x:f>
        <x:v>outdoors</x:v>
      </x:c>
      <x:c r="AT92" t="str">
        <x:f>_xlfn.XLOOKUP($A92,Games!$A$2:$A$18,Games!$O$2:$O$18,"Missing game",0)</x:f>
        <x:v>grass</x:v>
      </x:c>
      <x:c r="AU92" t="n">
        <x:f>_xlfn.XLOOKUP($A92,Games!$A$2:$A$18,Games!$P$2:$P$18,"Missing game",0)</x:f>
        <x:v>68</x:v>
      </x:c>
      <x:c r="AV92" t="n">
        <x:f>_xlfn.XLOOKUP($A92,Games!$A$2:$A$18,Games!$Q$2:$Q$18,"Missing game",0)</x:f>
        <x:v>6</x:v>
      </x:c>
      <x:c r="AW92" t="str">
        <x:f>_xlfn.XLOOKUP($A92,Games!$A$2:$A$18,Games!$R$2:$R$18,"Missing game",0)</x:f>
        <x:v>Soldier Field</x:v>
      </x:c>
    </x:row>
    <x:row r="93">
      <x:c r="A93" t="str">
        <x:v>2025_01_MIN_CHI</x:v>
      </x:c>
      <x:c r="B93" t="n">
        <x:v>2261</x:v>
      </x:c>
      <x:c r="C93" t="n">
        <x:v>3</x:v>
      </x:c>
      <x:c r="D93" t="str">
        <x:v>12:45</x:v>
      </x:c>
      <x:c r="E93" t="n">
        <x:v>1</x:v>
      </x:c>
      <x:c r="F93" t="n">
        <x:v>10</x:v>
      </x:c>
      <x:c r="G93" t="str">
        <x:v>MIN</x:v>
      </x:c>
      <x:c r="H93" t="str">
        <x:v>CHI</x:v>
      </x:c>
      <x:c r="I93" t="str">
        <x:v>MIN</x:v>
      </x:c>
      <x:c r="J93" t="n">
        <x:v>72</x:v>
      </x:c>
      <x:c r="K93" t="str">
        <x:v>(12:45) 27-J.Mason left end to MIN 31 for 3 yards (44-N.Sewell).</x:v>
      </x:c>
      <x:c r="L93" t="str">
        <x:v>run</x:v>
      </x:c>
      <x:c r="M93" t="n">
        <x:v>3</x:v>
      </x:c>
      <x:c r="N93" t="n">
        <x:v>0</x:v>
      </x:c>
      <x:c r="O93" t="n">
        <x:v>0</x:v>
      </x:c>
      <x:c r="P93"/>
      <x:c r="Q93"/>
      <x:c r="R93"/>
      <x:c r="S93"/>
      <x:c r="T93" t="str">
        <x:v>left</x:v>
      </x:c>
      <x:c r="U93" t="str">
        <x:v>end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/>
      <x:c r="AC93" t="n">
        <x:v>0</x:v>
      </x:c>
      <x:c r="AD93" t="n">
        <x:v>-0.24498073104768991</x:v>
      </x:c>
      <x:c r="AE93" t="n">
        <x:v>0</x:v>
      </x:c>
      <x:c r="AF93" t="n">
        <x:v>-0.006755724549293518</x:v>
      </x:c>
      <x:c r="AG93" t="n">
        <x:f>_xlfn.XLOOKUP($A93,Games!$A$2:$A$18,Games!$B$2:$B$18,"Missing game",0)</x:f>
        <x:v>2025</x:v>
      </x:c>
      <x:c r="AH93" t="str">
        <x:f>_xlfn.XLOOKUP($A93,Games!$A$2:$A$18,Games!$C$2:$C$18,"Missing game",0)</x:f>
        <x:v>REG</x:v>
      </x:c>
      <x:c r="AI93" t="n">
        <x:f>_xlfn.XLOOKUP($A93,Games!$A$2:$A$18,Games!$D$2:$D$18,"Missing game",0)</x:f>
        <x:v>1</x:v>
      </x:c>
      <x:c r="AJ93" s="1" t="n">
        <x:f>_xlfn.XLOOKUP($A93,Games!$A$2:$A$18,Games!$E$2:$E$18,"Missing game",0)</x:f>
        <x:v>45908</x:v>
      </x:c>
      <x:c r="AK93" t="str">
        <x:f>_xlfn.XLOOKUP($A93,Games!$A$2:$A$18,Games!$F$2:$F$18,"Missing game",0)</x:f>
        <x:v>Monday</x:v>
      </x:c>
      <x:c r="AL93" t="str">
        <x:f>_xlfn.XLOOKUP($A93,Games!$A$2:$A$18,Games!$G$2:$G$18,"Missing game",0)</x:f>
        <x:v>MIN</x:v>
      </x:c>
      <x:c r="AM93" t="n">
        <x:f>_xlfn.XLOOKUP($A93,Games!$A$2:$A$18,Games!$H$2:$H$18,"Missing game",0)</x:f>
        <x:v>27</x:v>
      </x:c>
      <x:c r="AN93" t="str">
        <x:f>_xlfn.XLOOKUP($A93,Games!$A$2:$A$18,Games!$I$2:$I$18,"Missing game",0)</x:f>
        <x:v>CHI</x:v>
      </x:c>
      <x:c r="AO93" t="n">
        <x:f>_xlfn.XLOOKUP($A93,Games!$A$2:$A$18,Games!$J$2:$J$18,"Missing game",0)</x:f>
        <x:v>24</x:v>
      </x:c>
      <x:c r="AP93" t="n">
        <x:f>_xlfn.XLOOKUP($A93,Games!$A$2:$A$18,Games!$K$2:$K$18,"Missing game",0)</x:f>
        <x:v>-3</x:v>
      </x:c>
      <x:c r="AQ93" t="n">
        <x:f>_xlfn.XLOOKUP($A93,Games!$A$2:$A$18,Games!$L$2:$L$18,"Missing game",0)</x:f>
        <x:v>51</x:v>
      </x:c>
      <x:c r="AR93" t="n">
        <x:f>_xlfn.XLOOKUP($A93,Games!$A$2:$A$18,Games!$M$2:$M$18,"Missing game",0)</x:f>
        <x:v>0</x:v>
      </x:c>
      <x:c r="AS93" t="str">
        <x:f>_xlfn.XLOOKUP($A93,Games!$A$2:$A$18,Games!$N$2:$N$18,"Missing game",0)</x:f>
        <x:v>outdoors</x:v>
      </x:c>
      <x:c r="AT93" t="str">
        <x:f>_xlfn.XLOOKUP($A93,Games!$A$2:$A$18,Games!$O$2:$O$18,"Missing game",0)</x:f>
        <x:v>grass</x:v>
      </x:c>
      <x:c r="AU93" t="n">
        <x:f>_xlfn.XLOOKUP($A93,Games!$A$2:$A$18,Games!$P$2:$P$18,"Missing game",0)</x:f>
        <x:v>68</x:v>
      </x:c>
      <x:c r="AV93" t="n">
        <x:f>_xlfn.XLOOKUP($A93,Games!$A$2:$A$18,Games!$Q$2:$Q$18,"Missing game",0)</x:f>
        <x:v>6</x:v>
      </x:c>
      <x:c r="AW93" t="str">
        <x:f>_xlfn.XLOOKUP($A93,Games!$A$2:$A$18,Games!$R$2:$R$18,"Missing game",0)</x:f>
        <x:v>Soldier Field</x:v>
      </x:c>
    </x:row>
    <x:row r="94">
      <x:c r="A94" t="str">
        <x:v>2025_01_MIN_CHI</x:v>
      </x:c>
      <x:c r="B94" t="n">
        <x:v>2283</x:v>
      </x:c>
      <x:c r="C94" t="n">
        <x:v>3</x:v>
      </x:c>
      <x:c r="D94" t="str">
        <x:v>12:04</x:v>
      </x:c>
      <x:c r="E94" t="n">
        <x:v>2</x:v>
      </x:c>
      <x:c r="F94" t="n">
        <x:v>7</x:v>
      </x:c>
      <x:c r="G94" t="str">
        <x:v>MIN</x:v>
      </x:c>
      <x:c r="H94" t="str">
        <x:v>CHI</x:v>
      </x:c>
      <x:c r="I94" t="str">
        <x:v>MIN</x:v>
      </x:c>
      <x:c r="J94" t="n">
        <x:v>69</x:v>
      </x:c>
      <x:c r="K94" t="str">
        <x:v>(12:04) 9-J.McCarthy sacked at MIN 25 for -6 yards (69-T.Kpassagnon).</x:v>
      </x:c>
      <x:c r="L94" t="str">
        <x:v>pass</x:v>
      </x:c>
      <x:c r="M94" t="n">
        <x:v>-6</x:v>
      </x:c>
      <x:c r="N94" t="n">
        <x:v>0</x:v>
      </x:c>
      <x:c r="O94" t="n">
        <x:v>0</x:v>
      </x:c>
      <x:c r="P94"/>
      <x:c r="Q94"/>
      <x:c r="R94"/>
      <x:c r="S94"/>
      <x:c r="T94"/>
      <x:c r="U94"/>
      <x:c r="V94" t="n">
        <x:v>0</x:v>
      </x:c>
      <x:c r="W94" t="n">
        <x:v>0</x:v>
      </x:c>
      <x:c r="X94" t="n">
        <x:v>1</x:v>
      </x:c>
      <x:c r="Y94" t="n">
        <x:v>0</x:v>
      </x:c>
      <x:c r="Z94" t="n">
        <x:v>0</x:v>
      </x:c>
      <x:c r="AA94" t="n">
        <x:v>0</x:v>
      </x:c>
      <x:c r="AB94"/>
      <x:c r="AC94" t="n">
        <x:v>0</x:v>
      </x:c>
      <x:c r="AD94" t="n">
        <x:v>-1.607929291203618</x:v>
      </x:c>
      <x:c r="AE94" t="n">
        <x:v>0</x:v>
      </x:c>
      <x:c r="AF94" t="n">
        <x:v>-0.03243187069892883</x:v>
      </x:c>
      <x:c r="AG94" t="n">
        <x:f>_xlfn.XLOOKUP($A94,Games!$A$2:$A$18,Games!$B$2:$B$18,"Missing game",0)</x:f>
        <x:v>2025</x:v>
      </x:c>
      <x:c r="AH94" t="str">
        <x:f>_xlfn.XLOOKUP($A94,Games!$A$2:$A$18,Games!$C$2:$C$18,"Missing game",0)</x:f>
        <x:v>REG</x:v>
      </x:c>
      <x:c r="AI94" t="n">
        <x:f>_xlfn.XLOOKUP($A94,Games!$A$2:$A$18,Games!$D$2:$D$18,"Missing game",0)</x:f>
        <x:v>1</x:v>
      </x:c>
      <x:c r="AJ94" s="1" t="n">
        <x:f>_xlfn.XLOOKUP($A94,Games!$A$2:$A$18,Games!$E$2:$E$18,"Missing game",0)</x:f>
        <x:v>45908</x:v>
      </x:c>
      <x:c r="AK94" t="str">
        <x:f>_xlfn.XLOOKUP($A94,Games!$A$2:$A$18,Games!$F$2:$F$18,"Missing game",0)</x:f>
        <x:v>Monday</x:v>
      </x:c>
      <x:c r="AL94" t="str">
        <x:f>_xlfn.XLOOKUP($A94,Games!$A$2:$A$18,Games!$G$2:$G$18,"Missing game",0)</x:f>
        <x:v>MIN</x:v>
      </x:c>
      <x:c r="AM94" t="n">
        <x:f>_xlfn.XLOOKUP($A94,Games!$A$2:$A$18,Games!$H$2:$H$18,"Missing game",0)</x:f>
        <x:v>27</x:v>
      </x:c>
      <x:c r="AN94" t="str">
        <x:f>_xlfn.XLOOKUP($A94,Games!$A$2:$A$18,Games!$I$2:$I$18,"Missing game",0)</x:f>
        <x:v>CHI</x:v>
      </x:c>
      <x:c r="AO94" t="n">
        <x:f>_xlfn.XLOOKUP($A94,Games!$A$2:$A$18,Games!$J$2:$J$18,"Missing game",0)</x:f>
        <x:v>24</x:v>
      </x:c>
      <x:c r="AP94" t="n">
        <x:f>_xlfn.XLOOKUP($A94,Games!$A$2:$A$18,Games!$K$2:$K$18,"Missing game",0)</x:f>
        <x:v>-3</x:v>
      </x:c>
      <x:c r="AQ94" t="n">
        <x:f>_xlfn.XLOOKUP($A94,Games!$A$2:$A$18,Games!$L$2:$L$18,"Missing game",0)</x:f>
        <x:v>51</x:v>
      </x:c>
      <x:c r="AR94" t="n">
        <x:f>_xlfn.XLOOKUP($A94,Games!$A$2:$A$18,Games!$M$2:$M$18,"Missing game",0)</x:f>
        <x:v>0</x:v>
      </x:c>
      <x:c r="AS94" t="str">
        <x:f>_xlfn.XLOOKUP($A94,Games!$A$2:$A$18,Games!$N$2:$N$18,"Missing game",0)</x:f>
        <x:v>outdoors</x:v>
      </x:c>
      <x:c r="AT94" t="str">
        <x:f>_xlfn.XLOOKUP($A94,Games!$A$2:$A$18,Games!$O$2:$O$18,"Missing game",0)</x:f>
        <x:v>grass</x:v>
      </x:c>
      <x:c r="AU94" t="n">
        <x:f>_xlfn.XLOOKUP($A94,Games!$A$2:$A$18,Games!$P$2:$P$18,"Missing game",0)</x:f>
        <x:v>68</x:v>
      </x:c>
      <x:c r="AV94" t="n">
        <x:f>_xlfn.XLOOKUP($A94,Games!$A$2:$A$18,Games!$Q$2:$Q$18,"Missing game",0)</x:f>
        <x:v>6</x:v>
      </x:c>
      <x:c r="AW94" t="str">
        <x:f>_xlfn.XLOOKUP($A94,Games!$A$2:$A$18,Games!$R$2:$R$18,"Missing game",0)</x:f>
        <x:v>Soldier Field</x:v>
      </x:c>
    </x:row>
    <x:row r="95">
      <x:c r="A95" t="str">
        <x:v>2025_01_MIN_CHI</x:v>
      </x:c>
      <x:c r="B95" t="n">
        <x:v>2303</x:v>
      </x:c>
      <x:c r="C95" t="n">
        <x:v>3</x:v>
      </x:c>
      <x:c r="D95" t="str">
        <x:v>11:17</x:v>
      </x:c>
      <x:c r="E95" t="n">
        <x:v>3</x:v>
      </x:c>
      <x:c r="F95" t="n">
        <x:v>13</x:v>
      </x:c>
      <x:c r="G95" t="str">
        <x:v>MIN</x:v>
      </x:c>
      <x:c r="H95" t="str">
        <x:v>CHI</x:v>
      </x:c>
      <x:c r="I95" t="str">
        <x:v>MIN</x:v>
      </x:c>
      <x:c r="J95" t="n">
        <x:v>75</x:v>
      </x:c>
      <x:c r="K95" t="str">
        <x:v>(11:17) (Shotgun) PENALTY on MIN, Delay of Game, 5 yards, enforced at MIN 25 - No Play.</x:v>
      </x:c>
      <x:c r="L95" t="str">
        <x:v>no_play</x:v>
      </x:c>
      <x:c r="M95" t="n">
        <x:v>0</x:v>
      </x:c>
      <x:c r="N95" t="n">
        <x:v>1</x:v>
      </x:c>
      <x:c r="O95" t="n">
        <x:v>0</x:v>
      </x:c>
      <x:c r="P95"/>
      <x:c r="Q95"/>
      <x:c r="R95"/>
      <x:c r="S95"/>
      <x:c r="T95"/>
      <x:c r="U95"/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1</x:v>
      </x:c>
      <x:c r="AB95" t="n">
        <x:v>5</x:v>
      </x:c>
      <x:c r="AC95" t="n">
        <x:v>0</x:v>
      </x:c>
      <x:c r="AD95" t="n">
        <x:v>-0.4492560704238713</x:v>
      </x:c>
      <x:c r="AE95" t="n">
        <x:v>0</x:v>
      </x:c>
      <x:c r="AF95" t="n">
        <x:v>-0.009577766060829163</x:v>
      </x:c>
      <x:c r="AG95" t="n">
        <x:f>_xlfn.XLOOKUP($A95,Games!$A$2:$A$18,Games!$B$2:$B$18,"Missing game",0)</x:f>
        <x:v>2025</x:v>
      </x:c>
      <x:c r="AH95" t="str">
        <x:f>_xlfn.XLOOKUP($A95,Games!$A$2:$A$18,Games!$C$2:$C$18,"Missing game",0)</x:f>
        <x:v>REG</x:v>
      </x:c>
      <x:c r="AI95" t="n">
        <x:f>_xlfn.XLOOKUP($A95,Games!$A$2:$A$18,Games!$D$2:$D$18,"Missing game",0)</x:f>
        <x:v>1</x:v>
      </x:c>
      <x:c r="AJ95" s="1" t="n">
        <x:f>_xlfn.XLOOKUP($A95,Games!$A$2:$A$18,Games!$E$2:$E$18,"Missing game",0)</x:f>
        <x:v>45908</x:v>
      </x:c>
      <x:c r="AK95" t="str">
        <x:f>_xlfn.XLOOKUP($A95,Games!$A$2:$A$18,Games!$F$2:$F$18,"Missing game",0)</x:f>
        <x:v>Monday</x:v>
      </x:c>
      <x:c r="AL95" t="str">
        <x:f>_xlfn.XLOOKUP($A95,Games!$A$2:$A$18,Games!$G$2:$G$18,"Missing game",0)</x:f>
        <x:v>MIN</x:v>
      </x:c>
      <x:c r="AM95" t="n">
        <x:f>_xlfn.XLOOKUP($A95,Games!$A$2:$A$18,Games!$H$2:$H$18,"Missing game",0)</x:f>
        <x:v>27</x:v>
      </x:c>
      <x:c r="AN95" t="str">
        <x:f>_xlfn.XLOOKUP($A95,Games!$A$2:$A$18,Games!$I$2:$I$18,"Missing game",0)</x:f>
        <x:v>CHI</x:v>
      </x:c>
      <x:c r="AO95" t="n">
        <x:f>_xlfn.XLOOKUP($A95,Games!$A$2:$A$18,Games!$J$2:$J$18,"Missing game",0)</x:f>
        <x:v>24</x:v>
      </x:c>
      <x:c r="AP95" t="n">
        <x:f>_xlfn.XLOOKUP($A95,Games!$A$2:$A$18,Games!$K$2:$K$18,"Missing game",0)</x:f>
        <x:v>-3</x:v>
      </x:c>
      <x:c r="AQ95" t="n">
        <x:f>_xlfn.XLOOKUP($A95,Games!$A$2:$A$18,Games!$L$2:$L$18,"Missing game",0)</x:f>
        <x:v>51</x:v>
      </x:c>
      <x:c r="AR95" t="n">
        <x:f>_xlfn.XLOOKUP($A95,Games!$A$2:$A$18,Games!$M$2:$M$18,"Missing game",0)</x:f>
        <x:v>0</x:v>
      </x:c>
      <x:c r="AS95" t="str">
        <x:f>_xlfn.XLOOKUP($A95,Games!$A$2:$A$18,Games!$N$2:$N$18,"Missing game",0)</x:f>
        <x:v>outdoors</x:v>
      </x:c>
      <x:c r="AT95" t="str">
        <x:f>_xlfn.XLOOKUP($A95,Games!$A$2:$A$18,Games!$O$2:$O$18,"Missing game",0)</x:f>
        <x:v>grass</x:v>
      </x:c>
      <x:c r="AU95" t="n">
        <x:f>_xlfn.XLOOKUP($A95,Games!$A$2:$A$18,Games!$P$2:$P$18,"Missing game",0)</x:f>
        <x:v>68</x:v>
      </x:c>
      <x:c r="AV95" t="n">
        <x:f>_xlfn.XLOOKUP($A95,Games!$A$2:$A$18,Games!$Q$2:$Q$18,"Missing game",0)</x:f>
        <x:v>6</x:v>
      </x:c>
      <x:c r="AW95" t="str">
        <x:f>_xlfn.XLOOKUP($A95,Games!$A$2:$A$18,Games!$R$2:$R$18,"Missing game",0)</x:f>
        <x:v>Soldier Field</x:v>
      </x:c>
    </x:row>
    <x:row r="96">
      <x:c r="A96" t="str">
        <x:v>2025_01_MIN_CHI</x:v>
      </x:c>
      <x:c r="B96" t="n">
        <x:v>2327</x:v>
      </x:c>
      <x:c r="C96" t="n">
        <x:v>3</x:v>
      </x:c>
      <x:c r="D96" t="str">
        <x:v>10:54</x:v>
      </x:c>
      <x:c r="E96" t="n">
        <x:v>3</x:v>
      </x:c>
      <x:c r="F96" t="n">
        <x:v>18</x:v>
      </x:c>
      <x:c r="G96" t="str">
        <x:v>MIN</x:v>
      </x:c>
      <x:c r="H96" t="str">
        <x:v>CHI</x:v>
      </x:c>
      <x:c r="I96" t="str">
        <x:v>MIN</x:v>
      </x:c>
      <x:c r="J96" t="n">
        <x:v>80</x:v>
      </x:c>
      <x:c r="K96" t="str">
        <x:v>(10:54) (Shotgun) 27-J.Mason up the middle to MIN 18 for -2 yards (98-M.Sweat, 99-G.Dexter).</x:v>
      </x:c>
      <x:c r="L96" t="str">
        <x:v>run</x:v>
      </x:c>
      <x:c r="M96" t="n">
        <x:v>-2</x:v>
      </x:c>
      <x:c r="N96" t="n">
        <x:v>1</x:v>
      </x:c>
      <x:c r="O96" t="n">
        <x:v>0</x:v>
      </x:c>
      <x:c r="P96"/>
      <x:c r="Q96"/>
      <x:c r="R96"/>
      <x:c r="S96"/>
      <x:c r="T96" t="str">
        <x:v>middle</x:v>
      </x:c>
      <x:c r="U96"/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/>
      <x:c r="AC96" t="n">
        <x:v>0</x:v>
      </x:c>
      <x:c r="AD96" t="n">
        <x:v>-1.0870547536760569</x:v>
      </x:c>
      <x:c r="AE96" t="n">
        <x:v>0</x:v>
      </x:c>
      <x:c r="AF96" t="n">
        <x:v>-0.016206495463848114</x:v>
      </x:c>
      <x:c r="AG96" t="n">
        <x:f>_xlfn.XLOOKUP($A96,Games!$A$2:$A$18,Games!$B$2:$B$18,"Missing game",0)</x:f>
        <x:v>2025</x:v>
      </x:c>
      <x:c r="AH96" t="str">
        <x:f>_xlfn.XLOOKUP($A96,Games!$A$2:$A$18,Games!$C$2:$C$18,"Missing game",0)</x:f>
        <x:v>REG</x:v>
      </x:c>
      <x:c r="AI96" t="n">
        <x:f>_xlfn.XLOOKUP($A96,Games!$A$2:$A$18,Games!$D$2:$D$18,"Missing game",0)</x:f>
        <x:v>1</x:v>
      </x:c>
      <x:c r="AJ96" s="1" t="n">
        <x:f>_xlfn.XLOOKUP($A96,Games!$A$2:$A$18,Games!$E$2:$E$18,"Missing game",0)</x:f>
        <x:v>45908</x:v>
      </x:c>
      <x:c r="AK96" t="str">
        <x:f>_xlfn.XLOOKUP($A96,Games!$A$2:$A$18,Games!$F$2:$F$18,"Missing game",0)</x:f>
        <x:v>Monday</x:v>
      </x:c>
      <x:c r="AL96" t="str">
        <x:f>_xlfn.XLOOKUP($A96,Games!$A$2:$A$18,Games!$G$2:$G$18,"Missing game",0)</x:f>
        <x:v>MIN</x:v>
      </x:c>
      <x:c r="AM96" t="n">
        <x:f>_xlfn.XLOOKUP($A96,Games!$A$2:$A$18,Games!$H$2:$H$18,"Missing game",0)</x:f>
        <x:v>27</x:v>
      </x:c>
      <x:c r="AN96" t="str">
        <x:f>_xlfn.XLOOKUP($A96,Games!$A$2:$A$18,Games!$I$2:$I$18,"Missing game",0)</x:f>
        <x:v>CHI</x:v>
      </x:c>
      <x:c r="AO96" t="n">
        <x:f>_xlfn.XLOOKUP($A96,Games!$A$2:$A$18,Games!$J$2:$J$18,"Missing game",0)</x:f>
        <x:v>24</x:v>
      </x:c>
      <x:c r="AP96" t="n">
        <x:f>_xlfn.XLOOKUP($A96,Games!$A$2:$A$18,Games!$K$2:$K$18,"Missing game",0)</x:f>
        <x:v>-3</x:v>
      </x:c>
      <x:c r="AQ96" t="n">
        <x:f>_xlfn.XLOOKUP($A96,Games!$A$2:$A$18,Games!$L$2:$L$18,"Missing game",0)</x:f>
        <x:v>51</x:v>
      </x:c>
      <x:c r="AR96" t="n">
        <x:f>_xlfn.XLOOKUP($A96,Games!$A$2:$A$18,Games!$M$2:$M$18,"Missing game",0)</x:f>
        <x:v>0</x:v>
      </x:c>
      <x:c r="AS96" t="str">
        <x:f>_xlfn.XLOOKUP($A96,Games!$A$2:$A$18,Games!$N$2:$N$18,"Missing game",0)</x:f>
        <x:v>outdoors</x:v>
      </x:c>
      <x:c r="AT96" t="str">
        <x:f>_xlfn.XLOOKUP($A96,Games!$A$2:$A$18,Games!$O$2:$O$18,"Missing game",0)</x:f>
        <x:v>grass</x:v>
      </x:c>
      <x:c r="AU96" t="n">
        <x:f>_xlfn.XLOOKUP($A96,Games!$A$2:$A$18,Games!$P$2:$P$18,"Missing game",0)</x:f>
        <x:v>68</x:v>
      </x:c>
      <x:c r="AV96" t="n">
        <x:f>_xlfn.XLOOKUP($A96,Games!$A$2:$A$18,Games!$Q$2:$Q$18,"Missing game",0)</x:f>
        <x:v>6</x:v>
      </x:c>
      <x:c r="AW96" t="str">
        <x:f>_xlfn.XLOOKUP($A96,Games!$A$2:$A$18,Games!$R$2:$R$18,"Missing game",0)</x:f>
        <x:v>Soldier Field</x:v>
      </x:c>
    </x:row>
    <x:row r="97">
      <x:c r="A97" t="str">
        <x:v>2025_01_MIN_CHI</x:v>
      </x:c>
      <x:c r="B97" t="n">
        <x:v>2349</x:v>
      </x:c>
      <x:c r="C97" t="n">
        <x:v>3</x:v>
      </x:c>
      <x:c r="D97" t="str">
        <x:v>10:18</x:v>
      </x:c>
      <x:c r="E97" t="n">
        <x:v>4</x:v>
      </x:c>
      <x:c r="F97" t="n">
        <x:v>20</x:v>
      </x:c>
      <x:c r="G97" t="str">
        <x:v>MIN</x:v>
      </x:c>
      <x:c r="H97" t="str">
        <x:v>CHI</x:v>
      </x:c>
      <x:c r="I97" t="str">
        <x:v>MIN</x:v>
      </x:c>
      <x:c r="J97" t="n">
        <x:v>82</x:v>
      </x:c>
      <x:c r="K97" t="str">
        <x:v>(10:18) 17-R.Wright punts 52 yards to CHI 30, Center-42-A.DePaola. 12-D.Duvernay pushed ob at CHI 36 for 6 yards (13-T.Felton). PENALTY on CHI-43-C.Jones, Offensive Holding, 10 yards, enforced at CHI 30.</x:v>
      </x:c>
      <x:c r="L97" t="str">
        <x:v>punt</x:v>
      </x:c>
      <x:c r="M97" t="n">
        <x:v>0</x:v>
      </x:c>
      <x:c r="N97" t="n">
        <x:v>0</x:v>
      </x:c>
      <x:c r="O97" t="n">
        <x:v>0</x:v>
      </x:c>
      <x:c r="P97"/>
      <x:c r="Q97"/>
      <x:c r="R97"/>
      <x:c r="S97"/>
      <x:c r="T97"/>
      <x:c r="U97"/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1</x:v>
      </x:c>
      <x:c r="AB97" t="n">
        <x:v>10</x:v>
      </x:c>
      <x:c r="AC97" t="n">
        <x:v>0</x:v>
      </x:c>
      <x:c r="AD97" t="n">
        <x:v>1.4394250358454883</x:v>
      </x:c>
      <x:c r="AE97" t="n">
        <x:v>1</x:v>
      </x:c>
      <x:c r="AF97" t="n">
        <x:v>0.02598128467798233</x:v>
      </x:c>
      <x:c r="AG97" t="n">
        <x:f>_xlfn.XLOOKUP($A97,Games!$A$2:$A$18,Games!$B$2:$B$18,"Missing game",0)</x:f>
        <x:v>2025</x:v>
      </x:c>
      <x:c r="AH97" t="str">
        <x:f>_xlfn.XLOOKUP($A97,Games!$A$2:$A$18,Games!$C$2:$C$18,"Missing game",0)</x:f>
        <x:v>REG</x:v>
      </x:c>
      <x:c r="AI97" t="n">
        <x:f>_xlfn.XLOOKUP($A97,Games!$A$2:$A$18,Games!$D$2:$D$18,"Missing game",0)</x:f>
        <x:v>1</x:v>
      </x:c>
      <x:c r="AJ97" s="1" t="n">
        <x:f>_xlfn.XLOOKUP($A97,Games!$A$2:$A$18,Games!$E$2:$E$18,"Missing game",0)</x:f>
        <x:v>45908</x:v>
      </x:c>
      <x:c r="AK97" t="str">
        <x:f>_xlfn.XLOOKUP($A97,Games!$A$2:$A$18,Games!$F$2:$F$18,"Missing game",0)</x:f>
        <x:v>Monday</x:v>
      </x:c>
      <x:c r="AL97" t="str">
        <x:f>_xlfn.XLOOKUP($A97,Games!$A$2:$A$18,Games!$G$2:$G$18,"Missing game",0)</x:f>
        <x:v>MIN</x:v>
      </x:c>
      <x:c r="AM97" t="n">
        <x:f>_xlfn.XLOOKUP($A97,Games!$A$2:$A$18,Games!$H$2:$H$18,"Missing game",0)</x:f>
        <x:v>27</x:v>
      </x:c>
      <x:c r="AN97" t="str">
        <x:f>_xlfn.XLOOKUP($A97,Games!$A$2:$A$18,Games!$I$2:$I$18,"Missing game",0)</x:f>
        <x:v>CHI</x:v>
      </x:c>
      <x:c r="AO97" t="n">
        <x:f>_xlfn.XLOOKUP($A97,Games!$A$2:$A$18,Games!$J$2:$J$18,"Missing game",0)</x:f>
        <x:v>24</x:v>
      </x:c>
      <x:c r="AP97" t="n">
        <x:f>_xlfn.XLOOKUP($A97,Games!$A$2:$A$18,Games!$K$2:$K$18,"Missing game",0)</x:f>
        <x:v>-3</x:v>
      </x:c>
      <x:c r="AQ97" t="n">
        <x:f>_xlfn.XLOOKUP($A97,Games!$A$2:$A$18,Games!$L$2:$L$18,"Missing game",0)</x:f>
        <x:v>51</x:v>
      </x:c>
      <x:c r="AR97" t="n">
        <x:f>_xlfn.XLOOKUP($A97,Games!$A$2:$A$18,Games!$M$2:$M$18,"Missing game",0)</x:f>
        <x:v>0</x:v>
      </x:c>
      <x:c r="AS97" t="str">
        <x:f>_xlfn.XLOOKUP($A97,Games!$A$2:$A$18,Games!$N$2:$N$18,"Missing game",0)</x:f>
        <x:v>outdoors</x:v>
      </x:c>
      <x:c r="AT97" t="str">
        <x:f>_xlfn.XLOOKUP($A97,Games!$A$2:$A$18,Games!$O$2:$O$18,"Missing game",0)</x:f>
        <x:v>grass</x:v>
      </x:c>
      <x:c r="AU97" t="n">
        <x:f>_xlfn.XLOOKUP($A97,Games!$A$2:$A$18,Games!$P$2:$P$18,"Missing game",0)</x:f>
        <x:v>68</x:v>
      </x:c>
      <x:c r="AV97" t="n">
        <x:f>_xlfn.XLOOKUP($A97,Games!$A$2:$A$18,Games!$Q$2:$Q$18,"Missing game",0)</x:f>
        <x:v>6</x:v>
      </x:c>
      <x:c r="AW97" t="str">
        <x:f>_xlfn.XLOOKUP($A97,Games!$A$2:$A$18,Games!$R$2:$R$18,"Missing game",0)</x:f>
        <x:v>Soldier Field</x:v>
      </x:c>
    </x:row>
    <x:row r="98">
      <x:c r="A98" t="str">
        <x:v>2025_01_MIN_CHI</x:v>
      </x:c>
      <x:c r="B98" t="n">
        <x:v>2391</x:v>
      </x:c>
      <x:c r="C98" t="n">
        <x:v>3</x:v>
      </x:c>
      <x:c r="D98" t="str">
        <x:v>10:08</x:v>
      </x:c>
      <x:c r="E98" t="n">
        <x:v>1</x:v>
      </x:c>
      <x:c r="F98" t="n">
        <x:v>10</x:v>
      </x:c>
      <x:c r="G98" t="str">
        <x:v>CHI</x:v>
      </x:c>
      <x:c r="H98" t="str">
        <x:v>MIN</x:v>
      </x:c>
      <x:c r="I98" t="str">
        <x:v>CHI</x:v>
      </x:c>
      <x:c r="J98" t="n">
        <x:v>80</x:v>
      </x:c>
      <x:c r="K98" t="str">
        <x:v>(10:08) 4-D.Swift right tackle to CHI 20 for no gain (97-J.Hargrave).</x:v>
      </x:c>
      <x:c r="L98" t="str">
        <x:v>run</x:v>
      </x:c>
      <x:c r="M98" t="n">
        <x:v>0</x:v>
      </x:c>
      <x:c r="N98" t="n">
        <x:v>0</x:v>
      </x:c>
      <x:c r="O98" t="n">
        <x:v>0</x:v>
      </x:c>
      <x:c r="P98"/>
      <x:c r="Q98"/>
      <x:c r="R98"/>
      <x:c r="S98"/>
      <x:c r="T98" t="str">
        <x:v>right</x:v>
      </x:c>
      <x:c r="U98" t="str">
        <x:v>tackle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/>
      <x:c r="AC98" t="n">
        <x:v>0</x:v>
      </x:c>
      <x:c r="AD98" t="n">
        <x:v>-0.6043860833160579</x:v>
      </x:c>
      <x:c r="AE98" t="n">
        <x:v>0</x:v>
      </x:c>
      <x:c r="AF98" t="n">
        <x:v>-0.007894039154052734</x:v>
      </x:c>
      <x:c r="AG98" t="n">
        <x:f>_xlfn.XLOOKUP($A98,Games!$A$2:$A$18,Games!$B$2:$B$18,"Missing game",0)</x:f>
        <x:v>2025</x:v>
      </x:c>
      <x:c r="AH98" t="str">
        <x:f>_xlfn.XLOOKUP($A98,Games!$A$2:$A$18,Games!$C$2:$C$18,"Missing game",0)</x:f>
        <x:v>REG</x:v>
      </x:c>
      <x:c r="AI98" t="n">
        <x:f>_xlfn.XLOOKUP($A98,Games!$A$2:$A$18,Games!$D$2:$D$18,"Missing game",0)</x:f>
        <x:v>1</x:v>
      </x:c>
      <x:c r="AJ98" s="1" t="n">
        <x:f>_xlfn.XLOOKUP($A98,Games!$A$2:$A$18,Games!$E$2:$E$18,"Missing game",0)</x:f>
        <x:v>45908</x:v>
      </x:c>
      <x:c r="AK98" t="str">
        <x:f>_xlfn.XLOOKUP($A98,Games!$A$2:$A$18,Games!$F$2:$F$18,"Missing game",0)</x:f>
        <x:v>Monday</x:v>
      </x:c>
      <x:c r="AL98" t="str">
        <x:f>_xlfn.XLOOKUP($A98,Games!$A$2:$A$18,Games!$G$2:$G$18,"Missing game",0)</x:f>
        <x:v>MIN</x:v>
      </x:c>
      <x:c r="AM98" t="n">
        <x:f>_xlfn.XLOOKUP($A98,Games!$A$2:$A$18,Games!$H$2:$H$18,"Missing game",0)</x:f>
        <x:v>27</x:v>
      </x:c>
      <x:c r="AN98" t="str">
        <x:f>_xlfn.XLOOKUP($A98,Games!$A$2:$A$18,Games!$I$2:$I$18,"Missing game",0)</x:f>
        <x:v>CHI</x:v>
      </x:c>
      <x:c r="AO98" t="n">
        <x:f>_xlfn.XLOOKUP($A98,Games!$A$2:$A$18,Games!$J$2:$J$18,"Missing game",0)</x:f>
        <x:v>24</x:v>
      </x:c>
      <x:c r="AP98" t="n">
        <x:f>_xlfn.XLOOKUP($A98,Games!$A$2:$A$18,Games!$K$2:$K$18,"Missing game",0)</x:f>
        <x:v>-3</x:v>
      </x:c>
      <x:c r="AQ98" t="n">
        <x:f>_xlfn.XLOOKUP($A98,Games!$A$2:$A$18,Games!$L$2:$L$18,"Missing game",0)</x:f>
        <x:v>51</x:v>
      </x:c>
      <x:c r="AR98" t="n">
        <x:f>_xlfn.XLOOKUP($A98,Games!$A$2:$A$18,Games!$M$2:$M$18,"Missing game",0)</x:f>
        <x:v>0</x:v>
      </x:c>
      <x:c r="AS98" t="str">
        <x:f>_xlfn.XLOOKUP($A98,Games!$A$2:$A$18,Games!$N$2:$N$18,"Missing game",0)</x:f>
        <x:v>outdoors</x:v>
      </x:c>
      <x:c r="AT98" t="str">
        <x:f>_xlfn.XLOOKUP($A98,Games!$A$2:$A$18,Games!$O$2:$O$18,"Missing game",0)</x:f>
        <x:v>grass</x:v>
      </x:c>
      <x:c r="AU98" t="n">
        <x:f>_xlfn.XLOOKUP($A98,Games!$A$2:$A$18,Games!$P$2:$P$18,"Missing game",0)</x:f>
        <x:v>68</x:v>
      </x:c>
      <x:c r="AV98" t="n">
        <x:f>_xlfn.XLOOKUP($A98,Games!$A$2:$A$18,Games!$Q$2:$Q$18,"Missing game",0)</x:f>
        <x:v>6</x:v>
      </x:c>
      <x:c r="AW98" t="str">
        <x:f>_xlfn.XLOOKUP($A98,Games!$A$2:$A$18,Games!$R$2:$R$18,"Missing game",0)</x:f>
        <x:v>Soldier Field</x:v>
      </x:c>
    </x:row>
    <x:row r="99">
      <x:c r="A99" t="str">
        <x:v>2025_01_MIN_CHI</x:v>
      </x:c>
      <x:c r="B99" t="n">
        <x:v>2420</x:v>
      </x:c>
      <x:c r="C99" t="n">
        <x:v>3</x:v>
      </x:c>
      <x:c r="D99" t="str">
        <x:v>09:29</x:v>
      </x:c>
      <x:c r="E99" t="n">
        <x:v>2</x:v>
      </x:c>
      <x:c r="F99" t="n">
        <x:v>10</x:v>
      </x:c>
      <x:c r="G99" t="str">
        <x:v>CHI</x:v>
      </x:c>
      <x:c r="H99" t="str">
        <x:v>MIN</x:v>
      </x:c>
      <x:c r="I99" t="str">
        <x:v>CHI</x:v>
      </x:c>
      <x:c r="J99" t="n">
        <x:v>80</x:v>
      </x:c>
      <x:c r="K99" t="str">
        <x:v>(9:29) 18-C.Williams pass deep left to 2-D.Moore ran ob at CHI 42 for 22 yards.</x:v>
      </x:c>
      <x:c r="L99" t="str">
        <x:v>pass</x:v>
      </x:c>
      <x:c r="M99" t="n">
        <x:v>22</x:v>
      </x:c>
      <x:c r="N99" t="n">
        <x:v>0</x:v>
      </x:c>
      <x:c r="O99" t="n">
        <x:v>0</x:v>
      </x:c>
      <x:c r="P99" t="str">
        <x:v>deep</x:v>
      </x:c>
      <x:c r="Q99" t="str">
        <x:v>left</x:v>
      </x:c>
      <x:c r="R99" t="n">
        <x:v>22</x:v>
      </x:c>
      <x:c r="S99" t="n">
        <x:v>0</x:v>
      </x:c>
      <x:c r="T99"/>
      <x:c r="U99"/>
      <x:c r="V99" t="n">
        <x:v>1</x:v>
      </x:c>
      <x:c r="W99" t="n">
        <x:v>1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/>
      <x:c r="AC99" t="n">
        <x:v>0</x:v>
      </x:c>
      <x:c r="AD99" t="n">
        <x:v>2.1308428910560906</x:v>
      </x:c>
      <x:c r="AE99" t="n">
        <x:v>1</x:v>
      </x:c>
      <x:c r="AF99" t="n">
        <x:v>0.029330313205718994</x:v>
      </x:c>
      <x:c r="AG99" t="n">
        <x:f>_xlfn.XLOOKUP($A99,Games!$A$2:$A$18,Games!$B$2:$B$18,"Missing game",0)</x:f>
        <x:v>2025</x:v>
      </x:c>
      <x:c r="AH99" t="str">
        <x:f>_xlfn.XLOOKUP($A99,Games!$A$2:$A$18,Games!$C$2:$C$18,"Missing game",0)</x:f>
        <x:v>REG</x:v>
      </x:c>
      <x:c r="AI99" t="n">
        <x:f>_xlfn.XLOOKUP($A99,Games!$A$2:$A$18,Games!$D$2:$D$18,"Missing game",0)</x:f>
        <x:v>1</x:v>
      </x:c>
      <x:c r="AJ99" s="1" t="n">
        <x:f>_xlfn.XLOOKUP($A99,Games!$A$2:$A$18,Games!$E$2:$E$18,"Missing game",0)</x:f>
        <x:v>45908</x:v>
      </x:c>
      <x:c r="AK99" t="str">
        <x:f>_xlfn.XLOOKUP($A99,Games!$A$2:$A$18,Games!$F$2:$F$18,"Missing game",0)</x:f>
        <x:v>Monday</x:v>
      </x:c>
      <x:c r="AL99" t="str">
        <x:f>_xlfn.XLOOKUP($A99,Games!$A$2:$A$18,Games!$G$2:$G$18,"Missing game",0)</x:f>
        <x:v>MIN</x:v>
      </x:c>
      <x:c r="AM99" t="n">
        <x:f>_xlfn.XLOOKUP($A99,Games!$A$2:$A$18,Games!$H$2:$H$18,"Missing game",0)</x:f>
        <x:v>27</x:v>
      </x:c>
      <x:c r="AN99" t="str">
        <x:f>_xlfn.XLOOKUP($A99,Games!$A$2:$A$18,Games!$I$2:$I$18,"Missing game",0)</x:f>
        <x:v>CHI</x:v>
      </x:c>
      <x:c r="AO99" t="n">
        <x:f>_xlfn.XLOOKUP($A99,Games!$A$2:$A$18,Games!$J$2:$J$18,"Missing game",0)</x:f>
        <x:v>24</x:v>
      </x:c>
      <x:c r="AP99" t="n">
        <x:f>_xlfn.XLOOKUP($A99,Games!$A$2:$A$18,Games!$K$2:$K$18,"Missing game",0)</x:f>
        <x:v>-3</x:v>
      </x:c>
      <x:c r="AQ99" t="n">
        <x:f>_xlfn.XLOOKUP($A99,Games!$A$2:$A$18,Games!$L$2:$L$18,"Missing game",0)</x:f>
        <x:v>51</x:v>
      </x:c>
      <x:c r="AR99" t="n">
        <x:f>_xlfn.XLOOKUP($A99,Games!$A$2:$A$18,Games!$M$2:$M$18,"Missing game",0)</x:f>
        <x:v>0</x:v>
      </x:c>
      <x:c r="AS99" t="str">
        <x:f>_xlfn.XLOOKUP($A99,Games!$A$2:$A$18,Games!$N$2:$N$18,"Missing game",0)</x:f>
        <x:v>outdoors</x:v>
      </x:c>
      <x:c r="AT99" t="str">
        <x:f>_xlfn.XLOOKUP($A99,Games!$A$2:$A$18,Games!$O$2:$O$18,"Missing game",0)</x:f>
        <x:v>grass</x:v>
      </x:c>
      <x:c r="AU99" t="n">
        <x:f>_xlfn.XLOOKUP($A99,Games!$A$2:$A$18,Games!$P$2:$P$18,"Missing game",0)</x:f>
        <x:v>68</x:v>
      </x:c>
      <x:c r="AV99" t="n">
        <x:f>_xlfn.XLOOKUP($A99,Games!$A$2:$A$18,Games!$Q$2:$Q$18,"Missing game",0)</x:f>
        <x:v>6</x:v>
      </x:c>
      <x:c r="AW99" t="str">
        <x:f>_xlfn.XLOOKUP($A99,Games!$A$2:$A$18,Games!$R$2:$R$18,"Missing game",0)</x:f>
        <x:v>Soldier Field</x:v>
      </x:c>
    </x:row>
    <x:row r="100">
      <x:c r="A100" t="str">
        <x:v>2025_01_MIN_CHI</x:v>
      </x:c>
      <x:c r="B100" t="n">
        <x:v>2450</x:v>
      </x:c>
      <x:c r="C100" t="n">
        <x:v>3</x:v>
      </x:c>
      <x:c r="D100" t="str">
        <x:v>08:54</x:v>
      </x:c>
      <x:c r="E100" t="n">
        <x:v>1</x:v>
      </x:c>
      <x:c r="F100" t="n">
        <x:v>10</x:v>
      </x:c>
      <x:c r="G100" t="str">
        <x:v>CHI</x:v>
      </x:c>
      <x:c r="H100" t="str">
        <x:v>MIN</x:v>
      </x:c>
      <x:c r="I100" t="str">
        <x:v>CHI</x:v>
      </x:c>
      <x:c r="J100" t="n">
        <x:v>58</x:v>
      </x:c>
      <x:c r="K100" t="str">
        <x:v>(8:54) 18-C.Williams pass short right to 10-L.Burden to CHI 39 for -3 yards (43-A.Van Ginkel).</x:v>
      </x:c>
      <x:c r="L100" t="str">
        <x:v>pass</x:v>
      </x:c>
      <x:c r="M100" t="n">
        <x:v>-3</x:v>
      </x:c>
      <x:c r="N100" t="n">
        <x:v>0</x:v>
      </x:c>
      <x:c r="O100" t="n">
        <x:v>0</x:v>
      </x:c>
      <x:c r="P100" t="str">
        <x:v>short</x:v>
      </x:c>
      <x:c r="Q100" t="str">
        <x:v>right</x:v>
      </x:c>
      <x:c r="R100" t="n">
        <x:v>-5</x:v>
      </x:c>
      <x:c r="S100" t="n">
        <x:v>2</x:v>
      </x:c>
      <x:c r="T100"/>
      <x:c r="U100"/>
      <x:c r="V100" t="n">
        <x:v>1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/>
      <x:c r="AC100" t="n">
        <x:v>0</x:v>
      </x:c>
      <x:c r="AD100" t="n">
        <x:v>-0.9794804314151406</x:v>
      </x:c>
      <x:c r="AE100" t="n">
        <x:v>0</x:v>
      </x:c>
      <x:c r="AF100" t="n">
        <x:v>-0.015908479690551758</x:v>
      </x:c>
      <x:c r="AG100" t="n">
        <x:f>_xlfn.XLOOKUP($A100,Games!$A$2:$A$18,Games!$B$2:$B$18,"Missing game",0)</x:f>
        <x:v>2025</x:v>
      </x:c>
      <x:c r="AH100" t="str">
        <x:f>_xlfn.XLOOKUP($A100,Games!$A$2:$A$18,Games!$C$2:$C$18,"Missing game",0)</x:f>
        <x:v>REG</x:v>
      </x:c>
      <x:c r="AI100" t="n">
        <x:f>_xlfn.XLOOKUP($A100,Games!$A$2:$A$18,Games!$D$2:$D$18,"Missing game",0)</x:f>
        <x:v>1</x:v>
      </x:c>
      <x:c r="AJ100" s="1" t="n">
        <x:f>_xlfn.XLOOKUP($A100,Games!$A$2:$A$18,Games!$E$2:$E$18,"Missing game",0)</x:f>
        <x:v>45908</x:v>
      </x:c>
      <x:c r="AK100" t="str">
        <x:f>_xlfn.XLOOKUP($A100,Games!$A$2:$A$18,Games!$F$2:$F$18,"Missing game",0)</x:f>
        <x:v>Monday</x:v>
      </x:c>
      <x:c r="AL100" t="str">
        <x:f>_xlfn.XLOOKUP($A100,Games!$A$2:$A$18,Games!$G$2:$G$18,"Missing game",0)</x:f>
        <x:v>MIN</x:v>
      </x:c>
      <x:c r="AM100" t="n">
        <x:f>_xlfn.XLOOKUP($A100,Games!$A$2:$A$18,Games!$H$2:$H$18,"Missing game",0)</x:f>
        <x:v>27</x:v>
      </x:c>
      <x:c r="AN100" t="str">
        <x:f>_xlfn.XLOOKUP($A100,Games!$A$2:$A$18,Games!$I$2:$I$18,"Missing game",0)</x:f>
        <x:v>CHI</x:v>
      </x:c>
      <x:c r="AO100" t="n">
        <x:f>_xlfn.XLOOKUP($A100,Games!$A$2:$A$18,Games!$J$2:$J$18,"Missing game",0)</x:f>
        <x:v>24</x:v>
      </x:c>
      <x:c r="AP100" t="n">
        <x:f>_xlfn.XLOOKUP($A100,Games!$A$2:$A$18,Games!$K$2:$K$18,"Missing game",0)</x:f>
        <x:v>-3</x:v>
      </x:c>
      <x:c r="AQ100" t="n">
        <x:f>_xlfn.XLOOKUP($A100,Games!$A$2:$A$18,Games!$L$2:$L$18,"Missing game",0)</x:f>
        <x:v>51</x:v>
      </x:c>
      <x:c r="AR100" t="n">
        <x:f>_xlfn.XLOOKUP($A100,Games!$A$2:$A$18,Games!$M$2:$M$18,"Missing game",0)</x:f>
        <x:v>0</x:v>
      </x:c>
      <x:c r="AS100" t="str">
        <x:f>_xlfn.XLOOKUP($A100,Games!$A$2:$A$18,Games!$N$2:$N$18,"Missing game",0)</x:f>
        <x:v>outdoors</x:v>
      </x:c>
      <x:c r="AT100" t="str">
        <x:f>_xlfn.XLOOKUP($A100,Games!$A$2:$A$18,Games!$O$2:$O$18,"Missing game",0)</x:f>
        <x:v>grass</x:v>
      </x:c>
      <x:c r="AU100" t="n">
        <x:f>_xlfn.XLOOKUP($A100,Games!$A$2:$A$18,Games!$P$2:$P$18,"Missing game",0)</x:f>
        <x:v>68</x:v>
      </x:c>
      <x:c r="AV100" t="n">
        <x:f>_xlfn.XLOOKUP($A100,Games!$A$2:$A$18,Games!$Q$2:$Q$18,"Missing game",0)</x:f>
        <x:v>6</x:v>
      </x:c>
      <x:c r="AW100" t="str">
        <x:f>_xlfn.XLOOKUP($A100,Games!$A$2:$A$18,Games!$R$2:$R$18,"Missing game",0)</x:f>
        <x:v>Soldier Field</x:v>
      </x:c>
    </x:row>
    <x:row r="101">
      <x:c r="A101" t="str">
        <x:v>2025_01_MIN_CHI</x:v>
      </x:c>
      <x:c r="B101" t="n">
        <x:v>2475</x:v>
      </x:c>
      <x:c r="C101" t="n">
        <x:v>3</x:v>
      </x:c>
      <x:c r="D101" t="str">
        <x:v>08:15</x:v>
      </x:c>
      <x:c r="E101" t="n">
        <x:v>2</x:v>
      </x:c>
      <x:c r="F101" t="n">
        <x:v>13</x:v>
      </x:c>
      <x:c r="G101" t="str">
        <x:v>CHI</x:v>
      </x:c>
      <x:c r="H101" t="str">
        <x:v>MIN</x:v>
      </x:c>
      <x:c r="I101" t="str">
        <x:v>CHI</x:v>
      </x:c>
      <x:c r="J101" t="n">
        <x:v>61</x:v>
      </x:c>
      <x:c r="K101" t="str">
        <x:v>(8:15) (Shotgun) 18-C.Williams pass incomplete short left to 14-O.Zaccheaus (43-A.Van Ginkel).</x:v>
      </x:c>
      <x:c r="L101" t="str">
        <x:v>pass</x:v>
      </x:c>
      <x:c r="M101" t="n">
        <x:v>0</x:v>
      </x:c>
      <x:c r="N101" t="n">
        <x:v>1</x:v>
      </x:c>
      <x:c r="O101" t="n">
        <x:v>0</x:v>
      </x:c>
      <x:c r="P101" t="str">
        <x:v>short</x:v>
      </x:c>
      <x:c r="Q101" t="str">
        <x:v>left</x:v>
      </x:c>
      <x:c r="R101" t="n">
        <x:v>4</x:v>
      </x:c>
      <x:c r="S101"/>
      <x:c r="T101"/>
      <x:c r="U101"/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/>
      <x:c r="AC101" t="n">
        <x:v>0</x:v>
      </x:c>
      <x:c r="AD101" t="n">
        <x:v>-0.9599469634704292</x:v>
      </x:c>
      <x:c r="AE101" t="n">
        <x:v>0</x:v>
      </x:c>
      <x:c r="AF101" t="n">
        <x:v>-0.014057934284210205</x:v>
      </x:c>
      <x:c r="AG101" t="n">
        <x:f>_xlfn.XLOOKUP($A101,Games!$A$2:$A$18,Games!$B$2:$B$18,"Missing game",0)</x:f>
        <x:v>2025</x:v>
      </x:c>
      <x:c r="AH101" t="str">
        <x:f>_xlfn.XLOOKUP($A101,Games!$A$2:$A$18,Games!$C$2:$C$18,"Missing game",0)</x:f>
        <x:v>REG</x:v>
      </x:c>
      <x:c r="AI101" t="n">
        <x:f>_xlfn.XLOOKUP($A101,Games!$A$2:$A$18,Games!$D$2:$D$18,"Missing game",0)</x:f>
        <x:v>1</x:v>
      </x:c>
      <x:c r="AJ101" s="1" t="n">
        <x:f>_xlfn.XLOOKUP($A101,Games!$A$2:$A$18,Games!$E$2:$E$18,"Missing game",0)</x:f>
        <x:v>45908</x:v>
      </x:c>
      <x:c r="AK101" t="str">
        <x:f>_xlfn.XLOOKUP($A101,Games!$A$2:$A$18,Games!$F$2:$F$18,"Missing game",0)</x:f>
        <x:v>Monday</x:v>
      </x:c>
      <x:c r="AL101" t="str">
        <x:f>_xlfn.XLOOKUP($A101,Games!$A$2:$A$18,Games!$G$2:$G$18,"Missing game",0)</x:f>
        <x:v>MIN</x:v>
      </x:c>
      <x:c r="AM101" t="n">
        <x:f>_xlfn.XLOOKUP($A101,Games!$A$2:$A$18,Games!$H$2:$H$18,"Missing game",0)</x:f>
        <x:v>27</x:v>
      </x:c>
      <x:c r="AN101" t="str">
        <x:f>_xlfn.XLOOKUP($A101,Games!$A$2:$A$18,Games!$I$2:$I$18,"Missing game",0)</x:f>
        <x:v>CHI</x:v>
      </x:c>
      <x:c r="AO101" t="n">
        <x:f>_xlfn.XLOOKUP($A101,Games!$A$2:$A$18,Games!$J$2:$J$18,"Missing game",0)</x:f>
        <x:v>24</x:v>
      </x:c>
      <x:c r="AP101" t="n">
        <x:f>_xlfn.XLOOKUP($A101,Games!$A$2:$A$18,Games!$K$2:$K$18,"Missing game",0)</x:f>
        <x:v>-3</x:v>
      </x:c>
      <x:c r="AQ101" t="n">
        <x:f>_xlfn.XLOOKUP($A101,Games!$A$2:$A$18,Games!$L$2:$L$18,"Missing game",0)</x:f>
        <x:v>51</x:v>
      </x:c>
      <x:c r="AR101" t="n">
        <x:f>_xlfn.XLOOKUP($A101,Games!$A$2:$A$18,Games!$M$2:$M$18,"Missing game",0)</x:f>
        <x:v>0</x:v>
      </x:c>
      <x:c r="AS101" t="str">
        <x:f>_xlfn.XLOOKUP($A101,Games!$A$2:$A$18,Games!$N$2:$N$18,"Missing game",0)</x:f>
        <x:v>outdoors</x:v>
      </x:c>
      <x:c r="AT101" t="str">
        <x:f>_xlfn.XLOOKUP($A101,Games!$A$2:$A$18,Games!$O$2:$O$18,"Missing game",0)</x:f>
        <x:v>grass</x:v>
      </x:c>
      <x:c r="AU101" t="n">
        <x:f>_xlfn.XLOOKUP($A101,Games!$A$2:$A$18,Games!$P$2:$P$18,"Missing game",0)</x:f>
        <x:v>68</x:v>
      </x:c>
      <x:c r="AV101" t="n">
        <x:f>_xlfn.XLOOKUP($A101,Games!$A$2:$A$18,Games!$Q$2:$Q$18,"Missing game",0)</x:f>
        <x:v>6</x:v>
      </x:c>
      <x:c r="AW101" t="str">
        <x:f>_xlfn.XLOOKUP($A101,Games!$A$2:$A$18,Games!$R$2:$R$18,"Missing game",0)</x:f>
        <x:v>Soldier Field</x:v>
      </x:c>
    </x:row>
    <x:row r="102">
      <x:c r="A102" t="str">
        <x:v>2025_01_MIN_CHI</x:v>
      </x:c>
      <x:c r="B102" t="n">
        <x:v>2498</x:v>
      </x:c>
      <x:c r="C102" t="n">
        <x:v>3</x:v>
      </x:c>
      <x:c r="D102" t="str">
        <x:v>08:11</x:v>
      </x:c>
      <x:c r="E102" t="n">
        <x:v>3</x:v>
      </x:c>
      <x:c r="F102" t="n">
        <x:v>13</x:v>
      </x:c>
      <x:c r="G102" t="str">
        <x:v>CHI</x:v>
      </x:c>
      <x:c r="H102" t="str">
        <x:v>MIN</x:v>
      </x:c>
      <x:c r="I102" t="str">
        <x:v>CHI</x:v>
      </x:c>
      <x:c r="J102" t="n">
        <x:v>61</x:v>
      </x:c>
      <x:c r="K102" t="str">
        <x:v>(8:11) (Shotgun) 18-C.Williams pass short left to 84-C.Loveland to CHI 43 for 4 yards (44-J.Metellus).</x:v>
      </x:c>
      <x:c r="L102" t="str">
        <x:v>pass</x:v>
      </x:c>
      <x:c r="M102" t="n">
        <x:v>4</x:v>
      </x:c>
      <x:c r="N102" t="n">
        <x:v>1</x:v>
      </x:c>
      <x:c r="O102" t="n">
        <x:v>0</x:v>
      </x:c>
      <x:c r="P102" t="str">
        <x:v>short</x:v>
      </x:c>
      <x:c r="Q102" t="str">
        <x:v>left</x:v>
      </x:c>
      <x:c r="R102" t="n">
        <x:v>1</x:v>
      </x:c>
      <x:c r="S102" t="n">
        <x:v>3</x:v>
      </x:c>
      <x:c r="T102"/>
      <x:c r="U102"/>
      <x:c r="V102" t="n">
        <x:v>1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/>
      <x:c r="AC102" t="n">
        <x:v>0</x:v>
      </x:c>
      <x:c r="AD102" t="n">
        <x:v>-0.8582765157334507</x:v>
      </x:c>
      <x:c r="AE102" t="n">
        <x:v>0</x:v>
      </x:c>
      <x:c r="AF102" t="n">
        <x:v>-0.009689092636108398</x:v>
      </x:c>
      <x:c r="AG102" t="n">
        <x:f>_xlfn.XLOOKUP($A102,Games!$A$2:$A$18,Games!$B$2:$B$18,"Missing game",0)</x:f>
        <x:v>2025</x:v>
      </x:c>
      <x:c r="AH102" t="str">
        <x:f>_xlfn.XLOOKUP($A102,Games!$A$2:$A$18,Games!$C$2:$C$18,"Missing game",0)</x:f>
        <x:v>REG</x:v>
      </x:c>
      <x:c r="AI102" t="n">
        <x:f>_xlfn.XLOOKUP($A102,Games!$A$2:$A$18,Games!$D$2:$D$18,"Missing game",0)</x:f>
        <x:v>1</x:v>
      </x:c>
      <x:c r="AJ102" s="1" t="n">
        <x:f>_xlfn.XLOOKUP($A102,Games!$A$2:$A$18,Games!$E$2:$E$18,"Missing game",0)</x:f>
        <x:v>45908</x:v>
      </x:c>
      <x:c r="AK102" t="str">
        <x:f>_xlfn.XLOOKUP($A102,Games!$A$2:$A$18,Games!$F$2:$F$18,"Missing game",0)</x:f>
        <x:v>Monday</x:v>
      </x:c>
      <x:c r="AL102" t="str">
        <x:f>_xlfn.XLOOKUP($A102,Games!$A$2:$A$18,Games!$G$2:$G$18,"Missing game",0)</x:f>
        <x:v>MIN</x:v>
      </x:c>
      <x:c r="AM102" t="n">
        <x:f>_xlfn.XLOOKUP($A102,Games!$A$2:$A$18,Games!$H$2:$H$18,"Missing game",0)</x:f>
        <x:v>27</x:v>
      </x:c>
      <x:c r="AN102" t="str">
        <x:f>_xlfn.XLOOKUP($A102,Games!$A$2:$A$18,Games!$I$2:$I$18,"Missing game",0)</x:f>
        <x:v>CHI</x:v>
      </x:c>
      <x:c r="AO102" t="n">
        <x:f>_xlfn.XLOOKUP($A102,Games!$A$2:$A$18,Games!$J$2:$J$18,"Missing game",0)</x:f>
        <x:v>24</x:v>
      </x:c>
      <x:c r="AP102" t="n">
        <x:f>_xlfn.XLOOKUP($A102,Games!$A$2:$A$18,Games!$K$2:$K$18,"Missing game",0)</x:f>
        <x:v>-3</x:v>
      </x:c>
      <x:c r="AQ102" t="n">
        <x:f>_xlfn.XLOOKUP($A102,Games!$A$2:$A$18,Games!$L$2:$L$18,"Missing game",0)</x:f>
        <x:v>51</x:v>
      </x:c>
      <x:c r="AR102" t="n">
        <x:f>_xlfn.XLOOKUP($A102,Games!$A$2:$A$18,Games!$M$2:$M$18,"Missing game",0)</x:f>
        <x:v>0</x:v>
      </x:c>
      <x:c r="AS102" t="str">
        <x:f>_xlfn.XLOOKUP($A102,Games!$A$2:$A$18,Games!$N$2:$N$18,"Missing game",0)</x:f>
        <x:v>outdoors</x:v>
      </x:c>
      <x:c r="AT102" t="str">
        <x:f>_xlfn.XLOOKUP($A102,Games!$A$2:$A$18,Games!$O$2:$O$18,"Missing game",0)</x:f>
        <x:v>grass</x:v>
      </x:c>
      <x:c r="AU102" t="n">
        <x:f>_xlfn.XLOOKUP($A102,Games!$A$2:$A$18,Games!$P$2:$P$18,"Missing game",0)</x:f>
        <x:v>68</x:v>
      </x:c>
      <x:c r="AV102" t="n">
        <x:f>_xlfn.XLOOKUP($A102,Games!$A$2:$A$18,Games!$Q$2:$Q$18,"Missing game",0)</x:f>
        <x:v>6</x:v>
      </x:c>
      <x:c r="AW102" t="str">
        <x:f>_xlfn.XLOOKUP($A102,Games!$A$2:$A$18,Games!$R$2:$R$18,"Missing game",0)</x:f>
        <x:v>Soldier Field</x:v>
      </x:c>
    </x:row>
    <x:row r="103">
      <x:c r="A103" t="str">
        <x:v>2025_01_MIN_CHI</x:v>
      </x:c>
      <x:c r="B103" t="n">
        <x:v>2523</x:v>
      </x:c>
      <x:c r="C103" t="n">
        <x:v>3</x:v>
      </x:c>
      <x:c r="D103" t="str">
        <x:v>07:27</x:v>
      </x:c>
      <x:c r="E103" t="n">
        <x:v>4</x:v>
      </x:c>
      <x:c r="F103" t="n">
        <x:v>9</x:v>
      </x:c>
      <x:c r="G103" t="str">
        <x:v>CHI</x:v>
      </x:c>
      <x:c r="H103" t="str">
        <x:v>MIN</x:v>
      </x:c>
      <x:c r="I103" t="str">
        <x:v>CHI</x:v>
      </x:c>
      <x:c r="J103" t="n">
        <x:v>57</x:v>
      </x:c>
      <x:c r="K103" t="str">
        <x:v>(7:27) 19-T.Taylor punts 51 yards to MIN 6, Center-46-S.Daly. 4-M.Price to MIN 23 for 17 yards (22-E.Hicks).</x:v>
      </x:c>
      <x:c r="L103" t="str">
        <x:v>punt</x:v>
      </x:c>
      <x:c r="M103" t="n">
        <x:v>0</x:v>
      </x:c>
      <x:c r="N103" t="n">
        <x:v>0</x:v>
      </x:c>
      <x:c r="O103" t="n">
        <x:v>0</x:v>
      </x:c>
      <x:c r="P103"/>
      <x:c r="Q103"/>
      <x:c r="R103"/>
      <x:c r="S103"/>
      <x:c r="T103"/>
      <x:c r="U103"/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/>
      <x:c r="AC103" t="n">
        <x:v>0</x:v>
      </x:c>
      <x:c r="AD103" t="n">
        <x:v>-0.6118806027807295</x:v>
      </x:c>
      <x:c r="AE103" t="n">
        <x:v>0</x:v>
      </x:c>
      <x:c r="AF103" t="n">
        <x:v>0.014514841139316559</x:v>
      </x:c>
      <x:c r="AG103" t="n">
        <x:f>_xlfn.XLOOKUP($A103,Games!$A$2:$A$18,Games!$B$2:$B$18,"Missing game",0)</x:f>
        <x:v>2025</x:v>
      </x:c>
      <x:c r="AH103" t="str">
        <x:f>_xlfn.XLOOKUP($A103,Games!$A$2:$A$18,Games!$C$2:$C$18,"Missing game",0)</x:f>
        <x:v>REG</x:v>
      </x:c>
      <x:c r="AI103" t="n">
        <x:f>_xlfn.XLOOKUP($A103,Games!$A$2:$A$18,Games!$D$2:$D$18,"Missing game",0)</x:f>
        <x:v>1</x:v>
      </x:c>
      <x:c r="AJ103" s="1" t="n">
        <x:f>_xlfn.XLOOKUP($A103,Games!$A$2:$A$18,Games!$E$2:$E$18,"Missing game",0)</x:f>
        <x:v>45908</x:v>
      </x:c>
      <x:c r="AK103" t="str">
        <x:f>_xlfn.XLOOKUP($A103,Games!$A$2:$A$18,Games!$F$2:$F$18,"Missing game",0)</x:f>
        <x:v>Monday</x:v>
      </x:c>
      <x:c r="AL103" t="str">
        <x:f>_xlfn.XLOOKUP($A103,Games!$A$2:$A$18,Games!$G$2:$G$18,"Missing game",0)</x:f>
        <x:v>MIN</x:v>
      </x:c>
      <x:c r="AM103" t="n">
        <x:f>_xlfn.XLOOKUP($A103,Games!$A$2:$A$18,Games!$H$2:$H$18,"Missing game",0)</x:f>
        <x:v>27</x:v>
      </x:c>
      <x:c r="AN103" t="str">
        <x:f>_xlfn.XLOOKUP($A103,Games!$A$2:$A$18,Games!$I$2:$I$18,"Missing game",0)</x:f>
        <x:v>CHI</x:v>
      </x:c>
      <x:c r="AO103" t="n">
        <x:f>_xlfn.XLOOKUP($A103,Games!$A$2:$A$18,Games!$J$2:$J$18,"Missing game",0)</x:f>
        <x:v>24</x:v>
      </x:c>
      <x:c r="AP103" t="n">
        <x:f>_xlfn.XLOOKUP($A103,Games!$A$2:$A$18,Games!$K$2:$K$18,"Missing game",0)</x:f>
        <x:v>-3</x:v>
      </x:c>
      <x:c r="AQ103" t="n">
        <x:f>_xlfn.XLOOKUP($A103,Games!$A$2:$A$18,Games!$L$2:$L$18,"Missing game",0)</x:f>
        <x:v>51</x:v>
      </x:c>
      <x:c r="AR103" t="n">
        <x:f>_xlfn.XLOOKUP($A103,Games!$A$2:$A$18,Games!$M$2:$M$18,"Missing game",0)</x:f>
        <x:v>0</x:v>
      </x:c>
      <x:c r="AS103" t="str">
        <x:f>_xlfn.XLOOKUP($A103,Games!$A$2:$A$18,Games!$N$2:$N$18,"Missing game",0)</x:f>
        <x:v>outdoors</x:v>
      </x:c>
      <x:c r="AT103" t="str">
        <x:f>_xlfn.XLOOKUP($A103,Games!$A$2:$A$18,Games!$O$2:$O$18,"Missing game",0)</x:f>
        <x:v>grass</x:v>
      </x:c>
      <x:c r="AU103" t="n">
        <x:f>_xlfn.XLOOKUP($A103,Games!$A$2:$A$18,Games!$P$2:$P$18,"Missing game",0)</x:f>
        <x:v>68</x:v>
      </x:c>
      <x:c r="AV103" t="n">
        <x:f>_xlfn.XLOOKUP($A103,Games!$A$2:$A$18,Games!$Q$2:$Q$18,"Missing game",0)</x:f>
        <x:v>6</x:v>
      </x:c>
      <x:c r="AW103" t="str">
        <x:f>_xlfn.XLOOKUP($A103,Games!$A$2:$A$18,Games!$R$2:$R$18,"Missing game",0)</x:f>
        <x:v>Soldier Field</x:v>
      </x:c>
    </x:row>
    <x:row r="104">
      <x:c r="A104" t="str">
        <x:v>2025_01_MIN_CHI</x:v>
      </x:c>
      <x:c r="B104" t="n">
        <x:v>2549</x:v>
      </x:c>
      <x:c r="C104" t="n">
        <x:v>3</x:v>
      </x:c>
      <x:c r="D104" t="str">
        <x:v>07:14</x:v>
      </x:c>
      <x:c r="E104" t="n">
        <x:v>1</x:v>
      </x:c>
      <x:c r="F104" t="n">
        <x:v>10</x:v>
      </x:c>
      <x:c r="G104" t="str">
        <x:v>MIN</x:v>
      </x:c>
      <x:c r="H104" t="str">
        <x:v>CHI</x:v>
      </x:c>
      <x:c r="I104" t="str">
        <x:v>MIN</x:v>
      </x:c>
      <x:c r="J104" t="n">
        <x:v>77</x:v>
      </x:c>
      <x:c r="K104" t="str">
        <x:v>(7:14) 9-J.McCarthy pass short right to 87-T.Hockenson to MIN 25 for 2 yards (44-N.Sewell). Chicago challenged the runner was down by contact ruling, and the play was Upheld. The ruling on the field stands. (Timeout #1.)</x:v>
      </x:c>
      <x:c r="L104" t="str">
        <x:v>pass</x:v>
      </x:c>
      <x:c r="M104" t="n">
        <x:v>2</x:v>
      </x:c>
      <x:c r="N104" t="n">
        <x:v>0</x:v>
      </x:c>
      <x:c r="O104" t="n">
        <x:v>0</x:v>
      </x:c>
      <x:c r="P104" t="str">
        <x:v>short</x:v>
      </x:c>
      <x:c r="Q104" t="str">
        <x:v>right</x:v>
      </x:c>
      <x:c r="R104" t="n">
        <x:v>2</x:v>
      </x:c>
      <x:c r="S104" t="n">
        <x:v>0</x:v>
      </x:c>
      <x:c r="T104"/>
      <x:c r="U104"/>
      <x:c r="V104" t="n">
        <x:v>1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/>
      <x:c r="AC104" t="n">
        <x:v>0</x:v>
      </x:c>
      <x:c r="AD104" t="n">
        <x:v>-0.3554494734853506</x:v>
      </x:c>
      <x:c r="AE104" t="n">
        <x:v>0</x:v>
      </x:c>
      <x:c r="AF104" t="n">
        <x:v>-0.004450798034667969</x:v>
      </x:c>
      <x:c r="AG104" t="n">
        <x:f>_xlfn.XLOOKUP($A104,Games!$A$2:$A$18,Games!$B$2:$B$18,"Missing game",0)</x:f>
        <x:v>2025</x:v>
      </x:c>
      <x:c r="AH104" t="str">
        <x:f>_xlfn.XLOOKUP($A104,Games!$A$2:$A$18,Games!$C$2:$C$18,"Missing game",0)</x:f>
        <x:v>REG</x:v>
      </x:c>
      <x:c r="AI104" t="n">
        <x:f>_xlfn.XLOOKUP($A104,Games!$A$2:$A$18,Games!$D$2:$D$18,"Missing game",0)</x:f>
        <x:v>1</x:v>
      </x:c>
      <x:c r="AJ104" s="1" t="n">
        <x:f>_xlfn.XLOOKUP($A104,Games!$A$2:$A$18,Games!$E$2:$E$18,"Missing game",0)</x:f>
        <x:v>45908</x:v>
      </x:c>
      <x:c r="AK104" t="str">
        <x:f>_xlfn.XLOOKUP($A104,Games!$A$2:$A$18,Games!$F$2:$F$18,"Missing game",0)</x:f>
        <x:v>Monday</x:v>
      </x:c>
      <x:c r="AL104" t="str">
        <x:f>_xlfn.XLOOKUP($A104,Games!$A$2:$A$18,Games!$G$2:$G$18,"Missing game",0)</x:f>
        <x:v>MIN</x:v>
      </x:c>
      <x:c r="AM104" t="n">
        <x:f>_xlfn.XLOOKUP($A104,Games!$A$2:$A$18,Games!$H$2:$H$18,"Missing game",0)</x:f>
        <x:v>27</x:v>
      </x:c>
      <x:c r="AN104" t="str">
        <x:f>_xlfn.XLOOKUP($A104,Games!$A$2:$A$18,Games!$I$2:$I$18,"Missing game",0)</x:f>
        <x:v>CHI</x:v>
      </x:c>
      <x:c r="AO104" t="n">
        <x:f>_xlfn.XLOOKUP($A104,Games!$A$2:$A$18,Games!$J$2:$J$18,"Missing game",0)</x:f>
        <x:v>24</x:v>
      </x:c>
      <x:c r="AP104" t="n">
        <x:f>_xlfn.XLOOKUP($A104,Games!$A$2:$A$18,Games!$K$2:$K$18,"Missing game",0)</x:f>
        <x:v>-3</x:v>
      </x:c>
      <x:c r="AQ104" t="n">
        <x:f>_xlfn.XLOOKUP($A104,Games!$A$2:$A$18,Games!$L$2:$L$18,"Missing game",0)</x:f>
        <x:v>51</x:v>
      </x:c>
      <x:c r="AR104" t="n">
        <x:f>_xlfn.XLOOKUP($A104,Games!$A$2:$A$18,Games!$M$2:$M$18,"Missing game",0)</x:f>
        <x:v>0</x:v>
      </x:c>
      <x:c r="AS104" t="str">
        <x:f>_xlfn.XLOOKUP($A104,Games!$A$2:$A$18,Games!$N$2:$N$18,"Missing game",0)</x:f>
        <x:v>outdoors</x:v>
      </x:c>
      <x:c r="AT104" t="str">
        <x:f>_xlfn.XLOOKUP($A104,Games!$A$2:$A$18,Games!$O$2:$O$18,"Missing game",0)</x:f>
        <x:v>grass</x:v>
      </x:c>
      <x:c r="AU104" t="n">
        <x:f>_xlfn.XLOOKUP($A104,Games!$A$2:$A$18,Games!$P$2:$P$18,"Missing game",0)</x:f>
        <x:v>68</x:v>
      </x:c>
      <x:c r="AV104" t="n">
        <x:f>_xlfn.XLOOKUP($A104,Games!$A$2:$A$18,Games!$Q$2:$Q$18,"Missing game",0)</x:f>
        <x:v>6</x:v>
      </x:c>
      <x:c r="AW104" t="str">
        <x:f>_xlfn.XLOOKUP($A104,Games!$A$2:$A$18,Games!$R$2:$R$18,"Missing game",0)</x:f>
        <x:v>Soldier Field</x:v>
      </x:c>
    </x:row>
    <x:row r="105">
      <x:c r="A105" t="str">
        <x:v>2025_01_MIN_CHI</x:v>
      </x:c>
      <x:c r="B105" t="n">
        <x:v>2626</x:v>
      </x:c>
      <x:c r="C105" t="n">
        <x:v>3</x:v>
      </x:c>
      <x:c r="D105" t="str">
        <x:v>06:39</x:v>
      </x:c>
      <x:c r="E105" t="n">
        <x:v>2</x:v>
      </x:c>
      <x:c r="F105" t="n">
        <x:v>8</x:v>
      </x:c>
      <x:c r="G105" t="str">
        <x:v>MIN</x:v>
      </x:c>
      <x:c r="H105" t="str">
        <x:v>CHI</x:v>
      </x:c>
      <x:c r="I105" t="str">
        <x:v>MIN</x:v>
      </x:c>
      <x:c r="J105" t="n">
        <x:v>75</x:v>
      </x:c>
      <x:c r="K105" t="str">
        <x:v>(6:39) 9-J.McCarthy pass short left to 33-A.Jones pushed ob at MIN 31 for 6 yards (31-K.Byard).</x:v>
      </x:c>
      <x:c r="L105" t="str">
        <x:v>pass</x:v>
      </x:c>
      <x:c r="M105" t="n">
        <x:v>6</x:v>
      </x:c>
      <x:c r="N105" t="n">
        <x:v>0</x:v>
      </x:c>
      <x:c r="O105" t="n">
        <x:v>0</x:v>
      </x:c>
      <x:c r="P105" t="str">
        <x:v>short</x:v>
      </x:c>
      <x:c r="Q105" t="str">
        <x:v>left</x:v>
      </x:c>
      <x:c r="R105" t="n">
        <x:v>-4</x:v>
      </x:c>
      <x:c r="S105" t="n">
        <x:v>10</x:v>
      </x:c>
      <x:c r="T105"/>
      <x:c r="U105"/>
      <x:c r="V105" t="n">
        <x:v>1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/>
      <x:c r="AC105" t="n">
        <x:v>0</x:v>
      </x:c>
      <x:c r="AD105" t="n">
        <x:v>0.3021798930130899</x:v>
      </x:c>
      <x:c r="AE105" t="n">
        <x:v>1</x:v>
      </x:c>
      <x:c r="AF105" t="n">
        <x:v>0.021482892334461212</x:v>
      </x:c>
      <x:c r="AG105" t="n">
        <x:f>_xlfn.XLOOKUP($A105,Games!$A$2:$A$18,Games!$B$2:$B$18,"Missing game",0)</x:f>
        <x:v>2025</x:v>
      </x:c>
      <x:c r="AH105" t="str">
        <x:f>_xlfn.XLOOKUP($A105,Games!$A$2:$A$18,Games!$C$2:$C$18,"Missing game",0)</x:f>
        <x:v>REG</x:v>
      </x:c>
      <x:c r="AI105" t="n">
        <x:f>_xlfn.XLOOKUP($A105,Games!$A$2:$A$18,Games!$D$2:$D$18,"Missing game",0)</x:f>
        <x:v>1</x:v>
      </x:c>
      <x:c r="AJ105" s="1" t="n">
        <x:f>_xlfn.XLOOKUP($A105,Games!$A$2:$A$18,Games!$E$2:$E$18,"Missing game",0)</x:f>
        <x:v>45908</x:v>
      </x:c>
      <x:c r="AK105" t="str">
        <x:f>_xlfn.XLOOKUP($A105,Games!$A$2:$A$18,Games!$F$2:$F$18,"Missing game",0)</x:f>
        <x:v>Monday</x:v>
      </x:c>
      <x:c r="AL105" t="str">
        <x:f>_xlfn.XLOOKUP($A105,Games!$A$2:$A$18,Games!$G$2:$G$18,"Missing game",0)</x:f>
        <x:v>MIN</x:v>
      </x:c>
      <x:c r="AM105" t="n">
        <x:f>_xlfn.XLOOKUP($A105,Games!$A$2:$A$18,Games!$H$2:$H$18,"Missing game",0)</x:f>
        <x:v>27</x:v>
      </x:c>
      <x:c r="AN105" t="str">
        <x:f>_xlfn.XLOOKUP($A105,Games!$A$2:$A$18,Games!$I$2:$I$18,"Missing game",0)</x:f>
        <x:v>CHI</x:v>
      </x:c>
      <x:c r="AO105" t="n">
        <x:f>_xlfn.XLOOKUP($A105,Games!$A$2:$A$18,Games!$J$2:$J$18,"Missing game",0)</x:f>
        <x:v>24</x:v>
      </x:c>
      <x:c r="AP105" t="n">
        <x:f>_xlfn.XLOOKUP($A105,Games!$A$2:$A$18,Games!$K$2:$K$18,"Missing game",0)</x:f>
        <x:v>-3</x:v>
      </x:c>
      <x:c r="AQ105" t="n">
        <x:f>_xlfn.XLOOKUP($A105,Games!$A$2:$A$18,Games!$L$2:$L$18,"Missing game",0)</x:f>
        <x:v>51</x:v>
      </x:c>
      <x:c r="AR105" t="n">
        <x:f>_xlfn.XLOOKUP($A105,Games!$A$2:$A$18,Games!$M$2:$M$18,"Missing game",0)</x:f>
        <x:v>0</x:v>
      </x:c>
      <x:c r="AS105" t="str">
        <x:f>_xlfn.XLOOKUP($A105,Games!$A$2:$A$18,Games!$N$2:$N$18,"Missing game",0)</x:f>
        <x:v>outdoors</x:v>
      </x:c>
      <x:c r="AT105" t="str">
        <x:f>_xlfn.XLOOKUP($A105,Games!$A$2:$A$18,Games!$O$2:$O$18,"Missing game",0)</x:f>
        <x:v>grass</x:v>
      </x:c>
      <x:c r="AU105" t="n">
        <x:f>_xlfn.XLOOKUP($A105,Games!$A$2:$A$18,Games!$P$2:$P$18,"Missing game",0)</x:f>
        <x:v>68</x:v>
      </x:c>
      <x:c r="AV105" t="n">
        <x:f>_xlfn.XLOOKUP($A105,Games!$A$2:$A$18,Games!$Q$2:$Q$18,"Missing game",0)</x:f>
        <x:v>6</x:v>
      </x:c>
      <x:c r="AW105" t="str">
        <x:f>_xlfn.XLOOKUP($A105,Games!$A$2:$A$18,Games!$R$2:$R$18,"Missing game",0)</x:f>
        <x:v>Soldier Field</x:v>
      </x:c>
    </x:row>
    <x:row r="106">
      <x:c r="A106" t="str">
        <x:v>2025_01_MIN_CHI</x:v>
      </x:c>
      <x:c r="B106" t="n">
        <x:v>2656</x:v>
      </x:c>
      <x:c r="C106" t="n">
        <x:v>3</x:v>
      </x:c>
      <x:c r="D106" t="str">
        <x:v>05:59</x:v>
      </x:c>
      <x:c r="E106" t="n">
        <x:v>3</x:v>
      </x:c>
      <x:c r="F106" t="n">
        <x:v>2</x:v>
      </x:c>
      <x:c r="G106" t="str">
        <x:v>MIN</x:v>
      </x:c>
      <x:c r="H106" t="str">
        <x:v>CHI</x:v>
      </x:c>
      <x:c r="I106" t="str">
        <x:v>MIN</x:v>
      </x:c>
      <x:c r="J106" t="n">
        <x:v>69</x:v>
      </x:c>
      <x:c r="K106" t="str">
        <x:v>(5:59) (Shotgun) 9-J.McCarthy pass incomplete short right to 19-A.Thielen (29-T.Stevenson).</x:v>
      </x:c>
      <x:c r="L106" t="str">
        <x:v>pass</x:v>
      </x:c>
      <x:c r="M106" t="n">
        <x:v>0</x:v>
      </x:c>
      <x:c r="N106" t="n">
        <x:v>1</x:v>
      </x:c>
      <x:c r="O106" t="n">
        <x:v>0</x:v>
      </x:c>
      <x:c r="P106" t="str">
        <x:v>short</x:v>
      </x:c>
      <x:c r="Q106" t="str">
        <x:v>right</x:v>
      </x:c>
      <x:c r="R106" t="n">
        <x:v>7</x:v>
      </x:c>
      <x:c r="S106"/>
      <x:c r="T106"/>
      <x:c r="U106"/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/>
      <x:c r="AC106" t="n">
        <x:v>0</x:v>
      </x:c>
      <x:c r="AD106" t="n">
        <x:v>-1.666348589817062</x:v>
      </x:c>
      <x:c r="AE106" t="n">
        <x:v>0</x:v>
      </x:c>
      <x:c r="AF106" t="n">
        <x:v>-0.025416500866413116</x:v>
      </x:c>
      <x:c r="AG106" t="n">
        <x:f>_xlfn.XLOOKUP($A106,Games!$A$2:$A$18,Games!$B$2:$B$18,"Missing game",0)</x:f>
        <x:v>2025</x:v>
      </x:c>
      <x:c r="AH106" t="str">
        <x:f>_xlfn.XLOOKUP($A106,Games!$A$2:$A$18,Games!$C$2:$C$18,"Missing game",0)</x:f>
        <x:v>REG</x:v>
      </x:c>
      <x:c r="AI106" t="n">
        <x:f>_xlfn.XLOOKUP($A106,Games!$A$2:$A$18,Games!$D$2:$D$18,"Missing game",0)</x:f>
        <x:v>1</x:v>
      </x:c>
      <x:c r="AJ106" s="1" t="n">
        <x:f>_xlfn.XLOOKUP($A106,Games!$A$2:$A$18,Games!$E$2:$E$18,"Missing game",0)</x:f>
        <x:v>45908</x:v>
      </x:c>
      <x:c r="AK106" t="str">
        <x:f>_xlfn.XLOOKUP($A106,Games!$A$2:$A$18,Games!$F$2:$F$18,"Missing game",0)</x:f>
        <x:v>Monday</x:v>
      </x:c>
      <x:c r="AL106" t="str">
        <x:f>_xlfn.XLOOKUP($A106,Games!$A$2:$A$18,Games!$G$2:$G$18,"Missing game",0)</x:f>
        <x:v>MIN</x:v>
      </x:c>
      <x:c r="AM106" t="n">
        <x:f>_xlfn.XLOOKUP($A106,Games!$A$2:$A$18,Games!$H$2:$H$18,"Missing game",0)</x:f>
        <x:v>27</x:v>
      </x:c>
      <x:c r="AN106" t="str">
        <x:f>_xlfn.XLOOKUP($A106,Games!$A$2:$A$18,Games!$I$2:$I$18,"Missing game",0)</x:f>
        <x:v>CHI</x:v>
      </x:c>
      <x:c r="AO106" t="n">
        <x:f>_xlfn.XLOOKUP($A106,Games!$A$2:$A$18,Games!$J$2:$J$18,"Missing game",0)</x:f>
        <x:v>24</x:v>
      </x:c>
      <x:c r="AP106" t="n">
        <x:f>_xlfn.XLOOKUP($A106,Games!$A$2:$A$18,Games!$K$2:$K$18,"Missing game",0)</x:f>
        <x:v>-3</x:v>
      </x:c>
      <x:c r="AQ106" t="n">
        <x:f>_xlfn.XLOOKUP($A106,Games!$A$2:$A$18,Games!$L$2:$L$18,"Missing game",0)</x:f>
        <x:v>51</x:v>
      </x:c>
      <x:c r="AR106" t="n">
        <x:f>_xlfn.XLOOKUP($A106,Games!$A$2:$A$18,Games!$M$2:$M$18,"Missing game",0)</x:f>
        <x:v>0</x:v>
      </x:c>
      <x:c r="AS106" t="str">
        <x:f>_xlfn.XLOOKUP($A106,Games!$A$2:$A$18,Games!$N$2:$N$18,"Missing game",0)</x:f>
        <x:v>outdoors</x:v>
      </x:c>
      <x:c r="AT106" t="str">
        <x:f>_xlfn.XLOOKUP($A106,Games!$A$2:$A$18,Games!$O$2:$O$18,"Missing game",0)</x:f>
        <x:v>grass</x:v>
      </x:c>
      <x:c r="AU106" t="n">
        <x:f>_xlfn.XLOOKUP($A106,Games!$A$2:$A$18,Games!$P$2:$P$18,"Missing game",0)</x:f>
        <x:v>68</x:v>
      </x:c>
      <x:c r="AV106" t="n">
        <x:f>_xlfn.XLOOKUP($A106,Games!$A$2:$A$18,Games!$Q$2:$Q$18,"Missing game",0)</x:f>
        <x:v>6</x:v>
      </x:c>
      <x:c r="AW106" t="str">
        <x:f>_xlfn.XLOOKUP($A106,Games!$A$2:$A$18,Games!$R$2:$R$18,"Missing game",0)</x:f>
        <x:v>Soldier Field</x:v>
      </x:c>
    </x:row>
    <x:row r="107">
      <x:c r="A107" t="str">
        <x:v>2025_01_MIN_CHI</x:v>
      </x:c>
      <x:c r="B107" t="n">
        <x:v>2691</x:v>
      </x:c>
      <x:c r="C107" t="n">
        <x:v>3</x:v>
      </x:c>
      <x:c r="D107" t="str">
        <x:v>05:53</x:v>
      </x:c>
      <x:c r="E107" t="n">
        <x:v>4</x:v>
      </x:c>
      <x:c r="F107" t="n">
        <x:v>2</x:v>
      </x:c>
      <x:c r="G107" t="str">
        <x:v>MIN</x:v>
      </x:c>
      <x:c r="H107" t="str">
        <x:v>CHI</x:v>
      </x:c>
      <x:c r="I107" t="str">
        <x:v>MIN</x:v>
      </x:c>
      <x:c r="J107" t="n">
        <x:v>69</x:v>
      </x:c>
      <x:c r="K107" t="str">
        <x:v>(5:53) 17-R.Wright punts 45 yards to CHI 24, Center-42-A.DePaola, fair catch by 12-D.Duvernay.</x:v>
      </x:c>
      <x:c r="L107" t="str">
        <x:v>punt</x:v>
      </x:c>
      <x:c r="M107" t="n">
        <x:v>0</x:v>
      </x:c>
      <x:c r="N107" t="n">
        <x:v>0</x:v>
      </x:c>
      <x:c r="O107" t="n">
        <x:v>0</x:v>
      </x:c>
      <x:c r="P107"/>
      <x:c r="Q107"/>
      <x:c r="R107"/>
      <x:c r="S107"/>
      <x:c r="T107"/>
      <x:c r="U107"/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/>
      <x:c r="AC107" t="n">
        <x:v>0</x:v>
      </x:c>
      <x:c r="AD107" t="n">
        <x:v>-0.0991617888212204</x:v>
      </x:c>
      <x:c r="AE107" t="n">
        <x:v>0</x:v>
      </x:c>
      <x:c r="AF107" t="n">
        <x:v>-0.008765541017055511</x:v>
      </x:c>
      <x:c r="AG107" t="n">
        <x:f>_xlfn.XLOOKUP($A107,Games!$A$2:$A$18,Games!$B$2:$B$18,"Missing game",0)</x:f>
        <x:v>2025</x:v>
      </x:c>
      <x:c r="AH107" t="str">
        <x:f>_xlfn.XLOOKUP($A107,Games!$A$2:$A$18,Games!$C$2:$C$18,"Missing game",0)</x:f>
        <x:v>REG</x:v>
      </x:c>
      <x:c r="AI107" t="n">
        <x:f>_xlfn.XLOOKUP($A107,Games!$A$2:$A$18,Games!$D$2:$D$18,"Missing game",0)</x:f>
        <x:v>1</x:v>
      </x:c>
      <x:c r="AJ107" s="1" t="n">
        <x:f>_xlfn.XLOOKUP($A107,Games!$A$2:$A$18,Games!$E$2:$E$18,"Missing game",0)</x:f>
        <x:v>45908</x:v>
      </x:c>
      <x:c r="AK107" t="str">
        <x:f>_xlfn.XLOOKUP($A107,Games!$A$2:$A$18,Games!$F$2:$F$18,"Missing game",0)</x:f>
        <x:v>Monday</x:v>
      </x:c>
      <x:c r="AL107" t="str">
        <x:f>_xlfn.XLOOKUP($A107,Games!$A$2:$A$18,Games!$G$2:$G$18,"Missing game",0)</x:f>
        <x:v>MIN</x:v>
      </x:c>
      <x:c r="AM107" t="n">
        <x:f>_xlfn.XLOOKUP($A107,Games!$A$2:$A$18,Games!$H$2:$H$18,"Missing game",0)</x:f>
        <x:v>27</x:v>
      </x:c>
      <x:c r="AN107" t="str">
        <x:f>_xlfn.XLOOKUP($A107,Games!$A$2:$A$18,Games!$I$2:$I$18,"Missing game",0)</x:f>
        <x:v>CHI</x:v>
      </x:c>
      <x:c r="AO107" t="n">
        <x:f>_xlfn.XLOOKUP($A107,Games!$A$2:$A$18,Games!$J$2:$J$18,"Missing game",0)</x:f>
        <x:v>24</x:v>
      </x:c>
      <x:c r="AP107" t="n">
        <x:f>_xlfn.XLOOKUP($A107,Games!$A$2:$A$18,Games!$K$2:$K$18,"Missing game",0)</x:f>
        <x:v>-3</x:v>
      </x:c>
      <x:c r="AQ107" t="n">
        <x:f>_xlfn.XLOOKUP($A107,Games!$A$2:$A$18,Games!$L$2:$L$18,"Missing game",0)</x:f>
        <x:v>51</x:v>
      </x:c>
      <x:c r="AR107" t="n">
        <x:f>_xlfn.XLOOKUP($A107,Games!$A$2:$A$18,Games!$M$2:$M$18,"Missing game",0)</x:f>
        <x:v>0</x:v>
      </x:c>
      <x:c r="AS107" t="str">
        <x:f>_xlfn.XLOOKUP($A107,Games!$A$2:$A$18,Games!$N$2:$N$18,"Missing game",0)</x:f>
        <x:v>outdoors</x:v>
      </x:c>
      <x:c r="AT107" t="str">
        <x:f>_xlfn.XLOOKUP($A107,Games!$A$2:$A$18,Games!$O$2:$O$18,"Missing game",0)</x:f>
        <x:v>grass</x:v>
      </x:c>
      <x:c r="AU107" t="n">
        <x:f>_xlfn.XLOOKUP($A107,Games!$A$2:$A$18,Games!$P$2:$P$18,"Missing game",0)</x:f>
        <x:v>68</x:v>
      </x:c>
      <x:c r="AV107" t="n">
        <x:f>_xlfn.XLOOKUP($A107,Games!$A$2:$A$18,Games!$Q$2:$Q$18,"Missing game",0)</x:f>
        <x:v>6</x:v>
      </x:c>
      <x:c r="AW107" t="str">
        <x:f>_xlfn.XLOOKUP($A107,Games!$A$2:$A$18,Games!$R$2:$R$18,"Missing game",0)</x:f>
        <x:v>Soldier Field</x:v>
      </x:c>
    </x:row>
    <x:row r="108">
      <x:c r="A108" t="str">
        <x:v>2025_01_MIN_CHI</x:v>
      </x:c>
      <x:c r="B108" t="n">
        <x:v>2711</x:v>
      </x:c>
      <x:c r="C108" t="n">
        <x:v>3</x:v>
      </x:c>
      <x:c r="D108" t="str">
        <x:v>05:46</x:v>
      </x:c>
      <x:c r="E108" t="n">
        <x:v>1</x:v>
      </x:c>
      <x:c r="F108" t="n">
        <x:v>10</x:v>
      </x:c>
      <x:c r="G108" t="str">
        <x:v>CHI</x:v>
      </x:c>
      <x:c r="H108" t="str">
        <x:v>MIN</x:v>
      </x:c>
      <x:c r="I108" t="str">
        <x:v>CHI</x:v>
      </x:c>
      <x:c r="J108" t="n">
        <x:v>76</x:v>
      </x:c>
      <x:c r="K108" t="str">
        <x:v>(5:46) 4-D.Swift right guard to CHI 33 for 9 yards (51-B.Cashman).</x:v>
      </x:c>
      <x:c r="L108" t="str">
        <x:v>run</x:v>
      </x:c>
      <x:c r="M108" t="n">
        <x:v>9</x:v>
      </x:c>
      <x:c r="N108" t="n">
        <x:v>0</x:v>
      </x:c>
      <x:c r="O108" t="n">
        <x:v>0</x:v>
      </x:c>
      <x:c r="P108"/>
      <x:c r="Q108"/>
      <x:c r="R108"/>
      <x:c r="S108"/>
      <x:c r="T108" t="str">
        <x:v>right</x:v>
      </x:c>
      <x:c r="U108" t="str">
        <x:v>guard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/>
      <x:c r="AC108" t="n">
        <x:v>0</x:v>
      </x:c>
      <x:c r="AD108" t="n">
        <x:v>1.038917210418731</x:v>
      </x:c>
      <x:c r="AE108" t="n">
        <x:v>1</x:v>
      </x:c>
      <x:c r="AF108" t="n">
        <x:v>0.004694581031799316</x:v>
      </x:c>
      <x:c r="AG108" t="n">
        <x:f>_xlfn.XLOOKUP($A108,Games!$A$2:$A$18,Games!$B$2:$B$18,"Missing game",0)</x:f>
        <x:v>2025</x:v>
      </x:c>
      <x:c r="AH108" t="str">
        <x:f>_xlfn.XLOOKUP($A108,Games!$A$2:$A$18,Games!$C$2:$C$18,"Missing game",0)</x:f>
        <x:v>REG</x:v>
      </x:c>
      <x:c r="AI108" t="n">
        <x:f>_xlfn.XLOOKUP($A108,Games!$A$2:$A$18,Games!$D$2:$D$18,"Missing game",0)</x:f>
        <x:v>1</x:v>
      </x:c>
      <x:c r="AJ108" s="1" t="n">
        <x:f>_xlfn.XLOOKUP($A108,Games!$A$2:$A$18,Games!$E$2:$E$18,"Missing game",0)</x:f>
        <x:v>45908</x:v>
      </x:c>
      <x:c r="AK108" t="str">
        <x:f>_xlfn.XLOOKUP($A108,Games!$A$2:$A$18,Games!$F$2:$F$18,"Missing game",0)</x:f>
        <x:v>Monday</x:v>
      </x:c>
      <x:c r="AL108" t="str">
        <x:f>_xlfn.XLOOKUP($A108,Games!$A$2:$A$18,Games!$G$2:$G$18,"Missing game",0)</x:f>
        <x:v>MIN</x:v>
      </x:c>
      <x:c r="AM108" t="n">
        <x:f>_xlfn.XLOOKUP($A108,Games!$A$2:$A$18,Games!$H$2:$H$18,"Missing game",0)</x:f>
        <x:v>27</x:v>
      </x:c>
      <x:c r="AN108" t="str">
        <x:f>_xlfn.XLOOKUP($A108,Games!$A$2:$A$18,Games!$I$2:$I$18,"Missing game",0)</x:f>
        <x:v>CHI</x:v>
      </x:c>
      <x:c r="AO108" t="n">
        <x:f>_xlfn.XLOOKUP($A108,Games!$A$2:$A$18,Games!$J$2:$J$18,"Missing game",0)</x:f>
        <x:v>24</x:v>
      </x:c>
      <x:c r="AP108" t="n">
        <x:f>_xlfn.XLOOKUP($A108,Games!$A$2:$A$18,Games!$K$2:$K$18,"Missing game",0)</x:f>
        <x:v>-3</x:v>
      </x:c>
      <x:c r="AQ108" t="n">
        <x:f>_xlfn.XLOOKUP($A108,Games!$A$2:$A$18,Games!$L$2:$L$18,"Missing game",0)</x:f>
        <x:v>51</x:v>
      </x:c>
      <x:c r="AR108" t="n">
        <x:f>_xlfn.XLOOKUP($A108,Games!$A$2:$A$18,Games!$M$2:$M$18,"Missing game",0)</x:f>
        <x:v>0</x:v>
      </x:c>
      <x:c r="AS108" t="str">
        <x:f>_xlfn.XLOOKUP($A108,Games!$A$2:$A$18,Games!$N$2:$N$18,"Missing game",0)</x:f>
        <x:v>outdoors</x:v>
      </x:c>
      <x:c r="AT108" t="str">
        <x:f>_xlfn.XLOOKUP($A108,Games!$A$2:$A$18,Games!$O$2:$O$18,"Missing game",0)</x:f>
        <x:v>grass</x:v>
      </x:c>
      <x:c r="AU108" t="n">
        <x:f>_xlfn.XLOOKUP($A108,Games!$A$2:$A$18,Games!$P$2:$P$18,"Missing game",0)</x:f>
        <x:v>68</x:v>
      </x:c>
      <x:c r="AV108" t="n">
        <x:f>_xlfn.XLOOKUP($A108,Games!$A$2:$A$18,Games!$Q$2:$Q$18,"Missing game",0)</x:f>
        <x:v>6</x:v>
      </x:c>
      <x:c r="AW108" t="str">
        <x:f>_xlfn.XLOOKUP($A108,Games!$A$2:$A$18,Games!$R$2:$R$18,"Missing game",0)</x:f>
        <x:v>Soldier Field</x:v>
      </x:c>
    </x:row>
    <x:row r="109">
      <x:c r="A109" t="str">
        <x:v>2025_01_MIN_CHI</x:v>
      </x:c>
      <x:c r="B109" t="n">
        <x:v>2733</x:v>
      </x:c>
      <x:c r="C109" t="n">
        <x:v>3</x:v>
      </x:c>
      <x:c r="D109" t="str">
        <x:v>05:04</x:v>
      </x:c>
      <x:c r="E109" t="n">
        <x:v>2</x:v>
      </x:c>
      <x:c r="F109" t="n">
        <x:v>1</x:v>
      </x:c>
      <x:c r="G109" t="str">
        <x:v>CHI</x:v>
      </x:c>
      <x:c r="H109" t="str">
        <x:v>MIN</x:v>
      </x:c>
      <x:c r="I109" t="str">
        <x:v>CHI</x:v>
      </x:c>
      <x:c r="J109" t="n">
        <x:v>67</x:v>
      </x:c>
      <x:c r="K109" t="str">
        <x:v>(5:04) 2-D.Moore left end to CHI 35 for 2 yards (61-J.Redmond; 43-A.Van Ginkel).</x:v>
      </x:c>
      <x:c r="L109" t="str">
        <x:v>run</x:v>
      </x:c>
      <x:c r="M109" t="n">
        <x:v>2</x:v>
      </x:c>
      <x:c r="N109" t="n">
        <x:v>0</x:v>
      </x:c>
      <x:c r="O109" t="n">
        <x:v>0</x:v>
      </x:c>
      <x:c r="P109"/>
      <x:c r="Q109"/>
      <x:c r="R109"/>
      <x:c r="S109"/>
      <x:c r="T109" t="str">
        <x:v>left</x:v>
      </x:c>
      <x:c r="U109" t="str">
        <x:v>end</x:v>
      </x:c>
      <x:c r="V109" t="n">
        <x:v>0</x:v>
      </x:c>
      <x:c r="W109" t="n">
        <x:v>1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/>
      <x:c r="AC109" t="n">
        <x:v>0</x:v>
      </x:c>
      <x:c r="AD109" t="n">
        <x:v>-0.23653643438592553</x:v>
      </x:c>
      <x:c r="AE109" t="n">
        <x:v>0</x:v>
      </x:c>
      <x:c r="AF109" t="n">
        <x:v>-0.0037216544151306152</x:v>
      </x:c>
      <x:c r="AG109" t="n">
        <x:f>_xlfn.XLOOKUP($A109,Games!$A$2:$A$18,Games!$B$2:$B$18,"Missing game",0)</x:f>
        <x:v>2025</x:v>
      </x:c>
      <x:c r="AH109" t="str">
        <x:f>_xlfn.XLOOKUP($A109,Games!$A$2:$A$18,Games!$C$2:$C$18,"Missing game",0)</x:f>
        <x:v>REG</x:v>
      </x:c>
      <x:c r="AI109" t="n">
        <x:f>_xlfn.XLOOKUP($A109,Games!$A$2:$A$18,Games!$D$2:$D$18,"Missing game",0)</x:f>
        <x:v>1</x:v>
      </x:c>
      <x:c r="AJ109" s="1" t="n">
        <x:f>_xlfn.XLOOKUP($A109,Games!$A$2:$A$18,Games!$E$2:$E$18,"Missing game",0)</x:f>
        <x:v>45908</x:v>
      </x:c>
      <x:c r="AK109" t="str">
        <x:f>_xlfn.XLOOKUP($A109,Games!$A$2:$A$18,Games!$F$2:$F$18,"Missing game",0)</x:f>
        <x:v>Monday</x:v>
      </x:c>
      <x:c r="AL109" t="str">
        <x:f>_xlfn.XLOOKUP($A109,Games!$A$2:$A$18,Games!$G$2:$G$18,"Missing game",0)</x:f>
        <x:v>MIN</x:v>
      </x:c>
      <x:c r="AM109" t="n">
        <x:f>_xlfn.XLOOKUP($A109,Games!$A$2:$A$18,Games!$H$2:$H$18,"Missing game",0)</x:f>
        <x:v>27</x:v>
      </x:c>
      <x:c r="AN109" t="str">
        <x:f>_xlfn.XLOOKUP($A109,Games!$A$2:$A$18,Games!$I$2:$I$18,"Missing game",0)</x:f>
        <x:v>CHI</x:v>
      </x:c>
      <x:c r="AO109" t="n">
        <x:f>_xlfn.XLOOKUP($A109,Games!$A$2:$A$18,Games!$J$2:$J$18,"Missing game",0)</x:f>
        <x:v>24</x:v>
      </x:c>
      <x:c r="AP109" t="n">
        <x:f>_xlfn.XLOOKUP($A109,Games!$A$2:$A$18,Games!$K$2:$K$18,"Missing game",0)</x:f>
        <x:v>-3</x:v>
      </x:c>
      <x:c r="AQ109" t="n">
        <x:f>_xlfn.XLOOKUP($A109,Games!$A$2:$A$18,Games!$L$2:$L$18,"Missing game",0)</x:f>
        <x:v>51</x:v>
      </x:c>
      <x:c r="AR109" t="n">
        <x:f>_xlfn.XLOOKUP($A109,Games!$A$2:$A$18,Games!$M$2:$M$18,"Missing game",0)</x:f>
        <x:v>0</x:v>
      </x:c>
      <x:c r="AS109" t="str">
        <x:f>_xlfn.XLOOKUP($A109,Games!$A$2:$A$18,Games!$N$2:$N$18,"Missing game",0)</x:f>
        <x:v>outdoors</x:v>
      </x:c>
      <x:c r="AT109" t="str">
        <x:f>_xlfn.XLOOKUP($A109,Games!$A$2:$A$18,Games!$O$2:$O$18,"Missing game",0)</x:f>
        <x:v>grass</x:v>
      </x:c>
      <x:c r="AU109" t="n">
        <x:f>_xlfn.XLOOKUP($A109,Games!$A$2:$A$18,Games!$P$2:$P$18,"Missing game",0)</x:f>
        <x:v>68</x:v>
      </x:c>
      <x:c r="AV109" t="n">
        <x:f>_xlfn.XLOOKUP($A109,Games!$A$2:$A$18,Games!$Q$2:$Q$18,"Missing game",0)</x:f>
        <x:v>6</x:v>
      </x:c>
      <x:c r="AW109" t="str">
        <x:f>_xlfn.XLOOKUP($A109,Games!$A$2:$A$18,Games!$R$2:$R$18,"Missing game",0)</x:f>
        <x:v>Soldier Field</x:v>
      </x:c>
    </x:row>
    <x:row r="110">
      <x:c r="A110" t="str">
        <x:v>2025_01_MIN_CHI</x:v>
      </x:c>
      <x:c r="B110" t="n">
        <x:v>2762</x:v>
      </x:c>
      <x:c r="C110" t="n">
        <x:v>3</x:v>
      </x:c>
      <x:c r="D110" t="str">
        <x:v>04:18</x:v>
      </x:c>
      <x:c r="E110" t="n">
        <x:v>1</x:v>
      </x:c>
      <x:c r="F110" t="n">
        <x:v>10</x:v>
      </x:c>
      <x:c r="G110" t="str">
        <x:v>CHI</x:v>
      </x:c>
      <x:c r="H110" t="str">
        <x:v>MIN</x:v>
      </x:c>
      <x:c r="I110" t="str">
        <x:v>CHI</x:v>
      </x:c>
      <x:c r="J110" t="n">
        <x:v>65</x:v>
      </x:c>
      <x:c r="K110" t="str">
        <x:v>(4:18) 4-D.Swift up the middle to CHI 39 for 4 yards (50-L.Rodriguez; 0-I.Pace).</x:v>
      </x:c>
      <x:c r="L110" t="str">
        <x:v>run</x:v>
      </x:c>
      <x:c r="M110" t="n">
        <x:v>4</x:v>
      </x:c>
      <x:c r="N110" t="n">
        <x:v>0</x:v>
      </x:c>
      <x:c r="O110" t="n">
        <x:v>0</x:v>
      </x:c>
      <x:c r="P110"/>
      <x:c r="Q110"/>
      <x:c r="R110"/>
      <x:c r="S110"/>
      <x:c r="T110" t="str">
        <x:v>middle</x:v>
      </x:c>
      <x:c r="U110"/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/>
      <x:c r="AC110" t="n">
        <x:v>0</x:v>
      </x:c>
      <x:c r="AD110" t="n">
        <x:v>-0.05242313607595861</x:v>
      </x:c>
      <x:c r="AE110" t="n">
        <x:v>0</x:v>
      </x:c>
      <x:c r="AF110" t="n">
        <x:v>0.0024727582931518555</x:v>
      </x:c>
      <x:c r="AG110" t="n">
        <x:f>_xlfn.XLOOKUP($A110,Games!$A$2:$A$18,Games!$B$2:$B$18,"Missing game",0)</x:f>
        <x:v>2025</x:v>
      </x:c>
      <x:c r="AH110" t="str">
        <x:f>_xlfn.XLOOKUP($A110,Games!$A$2:$A$18,Games!$C$2:$C$18,"Missing game",0)</x:f>
        <x:v>REG</x:v>
      </x:c>
      <x:c r="AI110" t="n">
        <x:f>_xlfn.XLOOKUP($A110,Games!$A$2:$A$18,Games!$D$2:$D$18,"Missing game",0)</x:f>
        <x:v>1</x:v>
      </x:c>
      <x:c r="AJ110" s="1" t="n">
        <x:f>_xlfn.XLOOKUP($A110,Games!$A$2:$A$18,Games!$E$2:$E$18,"Missing game",0)</x:f>
        <x:v>45908</x:v>
      </x:c>
      <x:c r="AK110" t="str">
        <x:f>_xlfn.XLOOKUP($A110,Games!$A$2:$A$18,Games!$F$2:$F$18,"Missing game",0)</x:f>
        <x:v>Monday</x:v>
      </x:c>
      <x:c r="AL110" t="str">
        <x:f>_xlfn.XLOOKUP($A110,Games!$A$2:$A$18,Games!$G$2:$G$18,"Missing game",0)</x:f>
        <x:v>MIN</x:v>
      </x:c>
      <x:c r="AM110" t="n">
        <x:f>_xlfn.XLOOKUP($A110,Games!$A$2:$A$18,Games!$H$2:$H$18,"Missing game",0)</x:f>
        <x:v>27</x:v>
      </x:c>
      <x:c r="AN110" t="str">
        <x:f>_xlfn.XLOOKUP($A110,Games!$A$2:$A$18,Games!$I$2:$I$18,"Missing game",0)</x:f>
        <x:v>CHI</x:v>
      </x:c>
      <x:c r="AO110" t="n">
        <x:f>_xlfn.XLOOKUP($A110,Games!$A$2:$A$18,Games!$J$2:$J$18,"Missing game",0)</x:f>
        <x:v>24</x:v>
      </x:c>
      <x:c r="AP110" t="n">
        <x:f>_xlfn.XLOOKUP($A110,Games!$A$2:$A$18,Games!$K$2:$K$18,"Missing game",0)</x:f>
        <x:v>-3</x:v>
      </x:c>
      <x:c r="AQ110" t="n">
        <x:f>_xlfn.XLOOKUP($A110,Games!$A$2:$A$18,Games!$L$2:$L$18,"Missing game",0)</x:f>
        <x:v>51</x:v>
      </x:c>
      <x:c r="AR110" t="n">
        <x:f>_xlfn.XLOOKUP($A110,Games!$A$2:$A$18,Games!$M$2:$M$18,"Missing game",0)</x:f>
        <x:v>0</x:v>
      </x:c>
      <x:c r="AS110" t="str">
        <x:f>_xlfn.XLOOKUP($A110,Games!$A$2:$A$18,Games!$N$2:$N$18,"Missing game",0)</x:f>
        <x:v>outdoors</x:v>
      </x:c>
      <x:c r="AT110" t="str">
        <x:f>_xlfn.XLOOKUP($A110,Games!$A$2:$A$18,Games!$O$2:$O$18,"Missing game",0)</x:f>
        <x:v>grass</x:v>
      </x:c>
      <x:c r="AU110" t="n">
        <x:f>_xlfn.XLOOKUP($A110,Games!$A$2:$A$18,Games!$P$2:$P$18,"Missing game",0)</x:f>
        <x:v>68</x:v>
      </x:c>
      <x:c r="AV110" t="n">
        <x:f>_xlfn.XLOOKUP($A110,Games!$A$2:$A$18,Games!$Q$2:$Q$18,"Missing game",0)</x:f>
        <x:v>6</x:v>
      </x:c>
      <x:c r="AW110" t="str">
        <x:f>_xlfn.XLOOKUP($A110,Games!$A$2:$A$18,Games!$R$2:$R$18,"Missing game",0)</x:f>
        <x:v>Soldier Field</x:v>
      </x:c>
    </x:row>
    <x:row r="111">
      <x:c r="A111" t="str">
        <x:v>2025_01_MIN_CHI</x:v>
      </x:c>
      <x:c r="B111" t="n">
        <x:v>2784</x:v>
      </x:c>
      <x:c r="C111" t="n">
        <x:v>3</x:v>
      </x:c>
      <x:c r="D111" t="str">
        <x:v>03:47</x:v>
      </x:c>
      <x:c r="E111" t="n">
        <x:v>2</x:v>
      </x:c>
      <x:c r="F111" t="n">
        <x:v>6</x:v>
      </x:c>
      <x:c r="G111" t="str">
        <x:v>CHI</x:v>
      </x:c>
      <x:c r="H111" t="str">
        <x:v>MIN</x:v>
      </x:c>
      <x:c r="I111" t="str">
        <x:v>CHI</x:v>
      </x:c>
      <x:c r="J111" t="n">
        <x:v>61</x:v>
      </x:c>
      <x:c r="K111" t="str">
        <x:v>(3:47) 18-C.Williams scrambles right end ran ob at MIN 48 for 13 yards (7-B.Murphy). MIN-51-B.Cashman was injured during the play.</x:v>
      </x:c>
      <x:c r="L111" t="str">
        <x:v>run</x:v>
      </x:c>
      <x:c r="M111" t="n">
        <x:v>13</x:v>
      </x:c>
      <x:c r="N111" t="n">
        <x:v>0</x:v>
      </x:c>
      <x:c r="O111" t="n">
        <x:v>0</x:v>
      </x:c>
      <x:c r="P111"/>
      <x:c r="Q111"/>
      <x:c r="R111"/>
      <x:c r="S111"/>
      <x:c r="T111" t="str">
        <x:v>right</x:v>
      </x:c>
      <x:c r="U111" t="str">
        <x:v>end</x:v>
      </x:c>
      <x:c r="V111" t="n">
        <x:v>0</x:v>
      </x:c>
      <x:c r="W111" t="n">
        <x:v>1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/>
      <x:c r="AC111" t="n">
        <x:v>0</x:v>
      </x:c>
      <x:c r="AD111" t="n">
        <x:v>1.2017104633850977</x:v>
      </x:c>
      <x:c r="AE111" t="n">
        <x:v>1</x:v>
      </x:c>
      <x:c r="AF111" t="n">
        <x:v>0.017621278762817383</x:v>
      </x:c>
      <x:c r="AG111" t="n">
        <x:f>_xlfn.XLOOKUP($A111,Games!$A$2:$A$18,Games!$B$2:$B$18,"Missing game",0)</x:f>
        <x:v>2025</x:v>
      </x:c>
      <x:c r="AH111" t="str">
        <x:f>_xlfn.XLOOKUP($A111,Games!$A$2:$A$18,Games!$C$2:$C$18,"Missing game",0)</x:f>
        <x:v>REG</x:v>
      </x:c>
      <x:c r="AI111" t="n">
        <x:f>_xlfn.XLOOKUP($A111,Games!$A$2:$A$18,Games!$D$2:$D$18,"Missing game",0)</x:f>
        <x:v>1</x:v>
      </x:c>
      <x:c r="AJ111" s="1" t="n">
        <x:f>_xlfn.XLOOKUP($A111,Games!$A$2:$A$18,Games!$E$2:$E$18,"Missing game",0)</x:f>
        <x:v>45908</x:v>
      </x:c>
      <x:c r="AK111" t="str">
        <x:f>_xlfn.XLOOKUP($A111,Games!$A$2:$A$18,Games!$F$2:$F$18,"Missing game",0)</x:f>
        <x:v>Monday</x:v>
      </x:c>
      <x:c r="AL111" t="str">
        <x:f>_xlfn.XLOOKUP($A111,Games!$A$2:$A$18,Games!$G$2:$G$18,"Missing game",0)</x:f>
        <x:v>MIN</x:v>
      </x:c>
      <x:c r="AM111" t="n">
        <x:f>_xlfn.XLOOKUP($A111,Games!$A$2:$A$18,Games!$H$2:$H$18,"Missing game",0)</x:f>
        <x:v>27</x:v>
      </x:c>
      <x:c r="AN111" t="str">
        <x:f>_xlfn.XLOOKUP($A111,Games!$A$2:$A$18,Games!$I$2:$I$18,"Missing game",0)</x:f>
        <x:v>CHI</x:v>
      </x:c>
      <x:c r="AO111" t="n">
        <x:f>_xlfn.XLOOKUP($A111,Games!$A$2:$A$18,Games!$J$2:$J$18,"Missing game",0)</x:f>
        <x:v>24</x:v>
      </x:c>
      <x:c r="AP111" t="n">
        <x:f>_xlfn.XLOOKUP($A111,Games!$A$2:$A$18,Games!$K$2:$K$18,"Missing game",0)</x:f>
        <x:v>-3</x:v>
      </x:c>
      <x:c r="AQ111" t="n">
        <x:f>_xlfn.XLOOKUP($A111,Games!$A$2:$A$18,Games!$L$2:$L$18,"Missing game",0)</x:f>
        <x:v>51</x:v>
      </x:c>
      <x:c r="AR111" t="n">
        <x:f>_xlfn.XLOOKUP($A111,Games!$A$2:$A$18,Games!$M$2:$M$18,"Missing game",0)</x:f>
        <x:v>0</x:v>
      </x:c>
      <x:c r="AS111" t="str">
        <x:f>_xlfn.XLOOKUP($A111,Games!$A$2:$A$18,Games!$N$2:$N$18,"Missing game",0)</x:f>
        <x:v>outdoors</x:v>
      </x:c>
      <x:c r="AT111" t="str">
        <x:f>_xlfn.XLOOKUP($A111,Games!$A$2:$A$18,Games!$O$2:$O$18,"Missing game",0)</x:f>
        <x:v>grass</x:v>
      </x:c>
      <x:c r="AU111" t="n">
        <x:f>_xlfn.XLOOKUP($A111,Games!$A$2:$A$18,Games!$P$2:$P$18,"Missing game",0)</x:f>
        <x:v>68</x:v>
      </x:c>
      <x:c r="AV111" t="n">
        <x:f>_xlfn.XLOOKUP($A111,Games!$A$2:$A$18,Games!$Q$2:$Q$18,"Missing game",0)</x:f>
        <x:v>6</x:v>
      </x:c>
      <x:c r="AW111" t="str">
        <x:f>_xlfn.XLOOKUP($A111,Games!$A$2:$A$18,Games!$R$2:$R$18,"Missing game",0)</x:f>
        <x:v>Soldier Field</x:v>
      </x:c>
    </x:row>
    <x:row r="112">
      <x:c r="A112" t="str">
        <x:v>2025_01_MIN_CHI</x:v>
      </x:c>
      <x:c r="B112" t="n">
        <x:v>2814</x:v>
      </x:c>
      <x:c r="C112" t="n">
        <x:v>3</x:v>
      </x:c>
      <x:c r="D112" t="str">
        <x:v>03:12</x:v>
      </x:c>
      <x:c r="E112" t="n">
        <x:v>1</x:v>
      </x:c>
      <x:c r="F112" t="n">
        <x:v>10</x:v>
      </x:c>
      <x:c r="G112" t="str">
        <x:v>CHI</x:v>
      </x:c>
      <x:c r="H112" t="str">
        <x:v>MIN</x:v>
      </x:c>
      <x:c r="I112" t="str">
        <x:v>MIN</x:v>
      </x:c>
      <x:c r="J112" t="n">
        <x:v>48</x:v>
      </x:c>
      <x:c r="K112" t="str">
        <x:v>(3:12) 4-D.Swift left tackle to MIN 47 for 1 yard (97-J.Hargrave; 55-E.Wilson).</x:v>
      </x:c>
      <x:c r="L112" t="str">
        <x:v>run</x:v>
      </x:c>
      <x:c r="M112" t="n">
        <x:v>1</x:v>
      </x:c>
      <x:c r="N112" t="n">
        <x:v>0</x:v>
      </x:c>
      <x:c r="O112" t="n">
        <x:v>0</x:v>
      </x:c>
      <x:c r="P112"/>
      <x:c r="Q112"/>
      <x:c r="R112"/>
      <x:c r="S112"/>
      <x:c r="T112" t="str">
        <x:v>left</x:v>
      </x:c>
      <x:c r="U112" t="str">
        <x:v>tackle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/>
      <x:c r="AC112" t="n">
        <x:v>0</x:v>
      </x:c>
      <x:c r="AD112" t="n">
        <x:v>-0.43219359207432717</x:v>
      </x:c>
      <x:c r="AE112" t="n">
        <x:v>0</x:v>
      </x:c>
      <x:c r="AF112" t="n">
        <x:v>-0.008440196514129639</x:v>
      </x:c>
      <x:c r="AG112" t="n">
        <x:f>_xlfn.XLOOKUP($A112,Games!$A$2:$A$18,Games!$B$2:$B$18,"Missing game",0)</x:f>
        <x:v>2025</x:v>
      </x:c>
      <x:c r="AH112" t="str">
        <x:f>_xlfn.XLOOKUP($A112,Games!$A$2:$A$18,Games!$C$2:$C$18,"Missing game",0)</x:f>
        <x:v>REG</x:v>
      </x:c>
      <x:c r="AI112" t="n">
        <x:f>_xlfn.XLOOKUP($A112,Games!$A$2:$A$18,Games!$D$2:$D$18,"Missing game",0)</x:f>
        <x:v>1</x:v>
      </x:c>
      <x:c r="AJ112" s="1" t="n">
        <x:f>_xlfn.XLOOKUP($A112,Games!$A$2:$A$18,Games!$E$2:$E$18,"Missing game",0)</x:f>
        <x:v>45908</x:v>
      </x:c>
      <x:c r="AK112" t="str">
        <x:f>_xlfn.XLOOKUP($A112,Games!$A$2:$A$18,Games!$F$2:$F$18,"Missing game",0)</x:f>
        <x:v>Monday</x:v>
      </x:c>
      <x:c r="AL112" t="str">
        <x:f>_xlfn.XLOOKUP($A112,Games!$A$2:$A$18,Games!$G$2:$G$18,"Missing game",0)</x:f>
        <x:v>MIN</x:v>
      </x:c>
      <x:c r="AM112" t="n">
        <x:f>_xlfn.XLOOKUP($A112,Games!$A$2:$A$18,Games!$H$2:$H$18,"Missing game",0)</x:f>
        <x:v>27</x:v>
      </x:c>
      <x:c r="AN112" t="str">
        <x:f>_xlfn.XLOOKUP($A112,Games!$A$2:$A$18,Games!$I$2:$I$18,"Missing game",0)</x:f>
        <x:v>CHI</x:v>
      </x:c>
      <x:c r="AO112" t="n">
        <x:f>_xlfn.XLOOKUP($A112,Games!$A$2:$A$18,Games!$J$2:$J$18,"Missing game",0)</x:f>
        <x:v>24</x:v>
      </x:c>
      <x:c r="AP112" t="n">
        <x:f>_xlfn.XLOOKUP($A112,Games!$A$2:$A$18,Games!$K$2:$K$18,"Missing game",0)</x:f>
        <x:v>-3</x:v>
      </x:c>
      <x:c r="AQ112" t="n">
        <x:f>_xlfn.XLOOKUP($A112,Games!$A$2:$A$18,Games!$L$2:$L$18,"Missing game",0)</x:f>
        <x:v>51</x:v>
      </x:c>
      <x:c r="AR112" t="n">
        <x:f>_xlfn.XLOOKUP($A112,Games!$A$2:$A$18,Games!$M$2:$M$18,"Missing game",0)</x:f>
        <x:v>0</x:v>
      </x:c>
      <x:c r="AS112" t="str">
        <x:f>_xlfn.XLOOKUP($A112,Games!$A$2:$A$18,Games!$N$2:$N$18,"Missing game",0)</x:f>
        <x:v>outdoors</x:v>
      </x:c>
      <x:c r="AT112" t="str">
        <x:f>_xlfn.XLOOKUP($A112,Games!$A$2:$A$18,Games!$O$2:$O$18,"Missing game",0)</x:f>
        <x:v>grass</x:v>
      </x:c>
      <x:c r="AU112" t="n">
        <x:f>_xlfn.XLOOKUP($A112,Games!$A$2:$A$18,Games!$P$2:$P$18,"Missing game",0)</x:f>
        <x:v>68</x:v>
      </x:c>
      <x:c r="AV112" t="n">
        <x:f>_xlfn.XLOOKUP($A112,Games!$A$2:$A$18,Games!$Q$2:$Q$18,"Missing game",0)</x:f>
        <x:v>6</x:v>
      </x:c>
      <x:c r="AW112" t="str">
        <x:f>_xlfn.XLOOKUP($A112,Games!$A$2:$A$18,Games!$R$2:$R$18,"Missing game",0)</x:f>
        <x:v>Soldier Field</x:v>
      </x:c>
    </x:row>
    <x:row r="113">
      <x:c r="A113" t="str">
        <x:v>2025_01_MIN_CHI</x:v>
      </x:c>
      <x:c r="B113" t="n">
        <x:v>2836</x:v>
      </x:c>
      <x:c r="C113" t="n">
        <x:v>3</x:v>
      </x:c>
      <x:c r="D113" t="str">
        <x:v>02:32</x:v>
      </x:c>
      <x:c r="E113" t="n">
        <x:v>2</x:v>
      </x:c>
      <x:c r="F113" t="n">
        <x:v>9</x:v>
      </x:c>
      <x:c r="G113" t="str">
        <x:v>CHI</x:v>
      </x:c>
      <x:c r="H113" t="str">
        <x:v>MIN</x:v>
      </x:c>
      <x:c r="I113" t="str">
        <x:v>MIN</x:v>
      </x:c>
      <x:c r="J113" t="n">
        <x:v>47</x:v>
      </x:c>
      <x:c r="K113" t="str">
        <x:v>(2:32) 4-D.Swift right guard to MIN 34 for 13 yards (2-I.Rodgers).</x:v>
      </x:c>
      <x:c r="L113" t="str">
        <x:v>run</x:v>
      </x:c>
      <x:c r="M113" t="n">
        <x:v>13</x:v>
      </x:c>
      <x:c r="N113" t="n">
        <x:v>0</x:v>
      </x:c>
      <x:c r="O113" t="n">
        <x:v>0</x:v>
      </x:c>
      <x:c r="P113"/>
      <x:c r="Q113"/>
      <x:c r="R113"/>
      <x:c r="S113"/>
      <x:c r="T113" t="str">
        <x:v>right</x:v>
      </x:c>
      <x:c r="U113" t="str">
        <x:v>guard</x:v>
      </x:c>
      <x:c r="V113" t="n">
        <x:v>0</x:v>
      </x:c>
      <x:c r="W113" t="n">
        <x:v>1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/>
      <x:c r="AC113" t="n">
        <x:v>0</x:v>
      </x:c>
      <x:c r="AD113" t="n">
        <x:v>1.2760376585647464</x:v>
      </x:c>
      <x:c r="AE113" t="n">
        <x:v>1</x:v>
      </x:c>
      <x:c r="AF113" t="n">
        <x:v>0.035360515117645264</x:v>
      </x:c>
      <x:c r="AG113" t="n">
        <x:f>_xlfn.XLOOKUP($A113,Games!$A$2:$A$18,Games!$B$2:$B$18,"Missing game",0)</x:f>
        <x:v>2025</x:v>
      </x:c>
      <x:c r="AH113" t="str">
        <x:f>_xlfn.XLOOKUP($A113,Games!$A$2:$A$18,Games!$C$2:$C$18,"Missing game",0)</x:f>
        <x:v>REG</x:v>
      </x:c>
      <x:c r="AI113" t="n">
        <x:f>_xlfn.XLOOKUP($A113,Games!$A$2:$A$18,Games!$D$2:$D$18,"Missing game",0)</x:f>
        <x:v>1</x:v>
      </x:c>
      <x:c r="AJ113" s="1" t="n">
        <x:f>_xlfn.XLOOKUP($A113,Games!$A$2:$A$18,Games!$E$2:$E$18,"Missing game",0)</x:f>
        <x:v>45908</x:v>
      </x:c>
      <x:c r="AK113" t="str">
        <x:f>_xlfn.XLOOKUP($A113,Games!$A$2:$A$18,Games!$F$2:$F$18,"Missing game",0)</x:f>
        <x:v>Monday</x:v>
      </x:c>
      <x:c r="AL113" t="str">
        <x:f>_xlfn.XLOOKUP($A113,Games!$A$2:$A$18,Games!$G$2:$G$18,"Missing game",0)</x:f>
        <x:v>MIN</x:v>
      </x:c>
      <x:c r="AM113" t="n">
        <x:f>_xlfn.XLOOKUP($A113,Games!$A$2:$A$18,Games!$H$2:$H$18,"Missing game",0)</x:f>
        <x:v>27</x:v>
      </x:c>
      <x:c r="AN113" t="str">
        <x:f>_xlfn.XLOOKUP($A113,Games!$A$2:$A$18,Games!$I$2:$I$18,"Missing game",0)</x:f>
        <x:v>CHI</x:v>
      </x:c>
      <x:c r="AO113" t="n">
        <x:f>_xlfn.XLOOKUP($A113,Games!$A$2:$A$18,Games!$J$2:$J$18,"Missing game",0)</x:f>
        <x:v>24</x:v>
      </x:c>
      <x:c r="AP113" t="n">
        <x:f>_xlfn.XLOOKUP($A113,Games!$A$2:$A$18,Games!$K$2:$K$18,"Missing game",0)</x:f>
        <x:v>-3</x:v>
      </x:c>
      <x:c r="AQ113" t="n">
        <x:f>_xlfn.XLOOKUP($A113,Games!$A$2:$A$18,Games!$L$2:$L$18,"Missing game",0)</x:f>
        <x:v>51</x:v>
      </x:c>
      <x:c r="AR113" t="n">
        <x:f>_xlfn.XLOOKUP($A113,Games!$A$2:$A$18,Games!$M$2:$M$18,"Missing game",0)</x:f>
        <x:v>0</x:v>
      </x:c>
      <x:c r="AS113" t="str">
        <x:f>_xlfn.XLOOKUP($A113,Games!$A$2:$A$18,Games!$N$2:$N$18,"Missing game",0)</x:f>
        <x:v>outdoors</x:v>
      </x:c>
      <x:c r="AT113" t="str">
        <x:f>_xlfn.XLOOKUP($A113,Games!$A$2:$A$18,Games!$O$2:$O$18,"Missing game",0)</x:f>
        <x:v>grass</x:v>
      </x:c>
      <x:c r="AU113" t="n">
        <x:f>_xlfn.XLOOKUP($A113,Games!$A$2:$A$18,Games!$P$2:$P$18,"Missing game",0)</x:f>
        <x:v>68</x:v>
      </x:c>
      <x:c r="AV113" t="n">
        <x:f>_xlfn.XLOOKUP($A113,Games!$A$2:$A$18,Games!$Q$2:$Q$18,"Missing game",0)</x:f>
        <x:v>6</x:v>
      </x:c>
      <x:c r="AW113" t="str">
        <x:f>_xlfn.XLOOKUP($A113,Games!$A$2:$A$18,Games!$R$2:$R$18,"Missing game",0)</x:f>
        <x:v>Soldier Field</x:v>
      </x:c>
    </x:row>
    <x:row r="114">
      <x:c r="A114" t="str">
        <x:v>2025_01_MIN_CHI</x:v>
      </x:c>
      <x:c r="B114" t="n">
        <x:v>2858</x:v>
      </x:c>
      <x:c r="C114" t="n">
        <x:v>3</x:v>
      </x:c>
      <x:c r="D114" t="str">
        <x:v>01:49</x:v>
      </x:c>
      <x:c r="E114" t="n">
        <x:v>1</x:v>
      </x:c>
      <x:c r="F114" t="n">
        <x:v>10</x:v>
      </x:c>
      <x:c r="G114" t="str">
        <x:v>CHI</x:v>
      </x:c>
      <x:c r="H114" t="str">
        <x:v>MIN</x:v>
      </x:c>
      <x:c r="I114" t="str">
        <x:v>MIN</x:v>
      </x:c>
      <x:c r="J114" t="n">
        <x:v>34</x:v>
      </x:c>
      <x:c r="K114" t="str">
        <x:v>(1:49) 79-T.Benedet reported in as eligible. PENALTY on MIN-97-J.Hargrave, Neutral Zone Infraction, 5 yards, enforced at MIN 34 - No Play.</x:v>
      </x:c>
      <x:c r="L114" t="str">
        <x:v>no_play</x:v>
      </x:c>
      <x:c r="M114" t="n">
        <x:v>0</x:v>
      </x:c>
      <x:c r="N114" t="n">
        <x:v>0</x:v>
      </x:c>
      <x:c r="O114" t="n">
        <x:v>0</x:v>
      </x:c>
      <x:c r="P114"/>
      <x:c r="Q114"/>
      <x:c r="R114"/>
      <x:c r="S114"/>
      <x:c r="T114"/>
      <x:c r="U114"/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1</x:v>
      </x:c>
      <x:c r="AB114" t="n">
        <x:v>5</x:v>
      </x:c>
      <x:c r="AC114" t="n">
        <x:v>0</x:v>
      </x:c>
      <x:c r="AD114" t="n">
        <x:v>0.5896392787108198</x:v>
      </x:c>
      <x:c r="AE114" t="n">
        <x:v>1</x:v>
      </x:c>
      <x:c r="AF114" t="n">
        <x:v>0.0028197765350341797</x:v>
      </x:c>
      <x:c r="AG114" t="n">
        <x:f>_xlfn.XLOOKUP($A114,Games!$A$2:$A$18,Games!$B$2:$B$18,"Missing game",0)</x:f>
        <x:v>2025</x:v>
      </x:c>
      <x:c r="AH114" t="str">
        <x:f>_xlfn.XLOOKUP($A114,Games!$A$2:$A$18,Games!$C$2:$C$18,"Missing game",0)</x:f>
        <x:v>REG</x:v>
      </x:c>
      <x:c r="AI114" t="n">
        <x:f>_xlfn.XLOOKUP($A114,Games!$A$2:$A$18,Games!$D$2:$D$18,"Missing game",0)</x:f>
        <x:v>1</x:v>
      </x:c>
      <x:c r="AJ114" s="1" t="n">
        <x:f>_xlfn.XLOOKUP($A114,Games!$A$2:$A$18,Games!$E$2:$E$18,"Missing game",0)</x:f>
        <x:v>45908</x:v>
      </x:c>
      <x:c r="AK114" t="str">
        <x:f>_xlfn.XLOOKUP($A114,Games!$A$2:$A$18,Games!$F$2:$F$18,"Missing game",0)</x:f>
        <x:v>Monday</x:v>
      </x:c>
      <x:c r="AL114" t="str">
        <x:f>_xlfn.XLOOKUP($A114,Games!$A$2:$A$18,Games!$G$2:$G$18,"Missing game",0)</x:f>
        <x:v>MIN</x:v>
      </x:c>
      <x:c r="AM114" t="n">
        <x:f>_xlfn.XLOOKUP($A114,Games!$A$2:$A$18,Games!$H$2:$H$18,"Missing game",0)</x:f>
        <x:v>27</x:v>
      </x:c>
      <x:c r="AN114" t="str">
        <x:f>_xlfn.XLOOKUP($A114,Games!$A$2:$A$18,Games!$I$2:$I$18,"Missing game",0)</x:f>
        <x:v>CHI</x:v>
      </x:c>
      <x:c r="AO114" t="n">
        <x:f>_xlfn.XLOOKUP($A114,Games!$A$2:$A$18,Games!$J$2:$J$18,"Missing game",0)</x:f>
        <x:v>24</x:v>
      </x:c>
      <x:c r="AP114" t="n">
        <x:f>_xlfn.XLOOKUP($A114,Games!$A$2:$A$18,Games!$K$2:$K$18,"Missing game",0)</x:f>
        <x:v>-3</x:v>
      </x:c>
      <x:c r="AQ114" t="n">
        <x:f>_xlfn.XLOOKUP($A114,Games!$A$2:$A$18,Games!$L$2:$L$18,"Missing game",0)</x:f>
        <x:v>51</x:v>
      </x:c>
      <x:c r="AR114" t="n">
        <x:f>_xlfn.XLOOKUP($A114,Games!$A$2:$A$18,Games!$M$2:$M$18,"Missing game",0)</x:f>
        <x:v>0</x:v>
      </x:c>
      <x:c r="AS114" t="str">
        <x:f>_xlfn.XLOOKUP($A114,Games!$A$2:$A$18,Games!$N$2:$N$18,"Missing game",0)</x:f>
        <x:v>outdoors</x:v>
      </x:c>
      <x:c r="AT114" t="str">
        <x:f>_xlfn.XLOOKUP($A114,Games!$A$2:$A$18,Games!$O$2:$O$18,"Missing game",0)</x:f>
        <x:v>grass</x:v>
      </x:c>
      <x:c r="AU114" t="n">
        <x:f>_xlfn.XLOOKUP($A114,Games!$A$2:$A$18,Games!$P$2:$P$18,"Missing game",0)</x:f>
        <x:v>68</x:v>
      </x:c>
      <x:c r="AV114" t="n">
        <x:f>_xlfn.XLOOKUP($A114,Games!$A$2:$A$18,Games!$Q$2:$Q$18,"Missing game",0)</x:f>
        <x:v>6</x:v>
      </x:c>
      <x:c r="AW114" t="str">
        <x:f>_xlfn.XLOOKUP($A114,Games!$A$2:$A$18,Games!$R$2:$R$18,"Missing game",0)</x:f>
        <x:v>Soldier Field</x:v>
      </x:c>
    </x:row>
    <x:row r="115">
      <x:c r="A115" t="str">
        <x:v>2025_01_MIN_CHI</x:v>
      </x:c>
      <x:c r="B115" t="n">
        <x:v>2884</x:v>
      </x:c>
      <x:c r="C115" t="n">
        <x:v>3</x:v>
      </x:c>
      <x:c r="D115" t="str">
        <x:v>01:34</x:v>
      </x:c>
      <x:c r="E115" t="n">
        <x:v>1</x:v>
      </x:c>
      <x:c r="F115" t="n">
        <x:v>5</x:v>
      </x:c>
      <x:c r="G115" t="str">
        <x:v>CHI</x:v>
      </x:c>
      <x:c r="H115" t="str">
        <x:v>MIN</x:v>
      </x:c>
      <x:c r="I115" t="str">
        <x:v>MIN</x:v>
      </x:c>
      <x:c r="J115" t="n">
        <x:v>29</x:v>
      </x:c>
      <x:c r="K115" t="str">
        <x:v>(1:34) 79-T.Benedet reported in as eligible. 4-D.Swift left end to MIN 24 for 5 yards (2-I.Rodgers; 44-J.Metellus).</x:v>
      </x:c>
      <x:c r="L115" t="str">
        <x:v>run</x:v>
      </x:c>
      <x:c r="M115" t="n">
        <x:v>5</x:v>
      </x:c>
      <x:c r="N115" t="n">
        <x:v>0</x:v>
      </x:c>
      <x:c r="O115" t="n">
        <x:v>0</x:v>
      </x:c>
      <x:c r="P115"/>
      <x:c r="Q115"/>
      <x:c r="R115"/>
      <x:c r="S115"/>
      <x:c r="T115" t="str">
        <x:v>left</x:v>
      </x:c>
      <x:c r="U115" t="str">
        <x:v>end</x:v>
      </x:c>
      <x:c r="V115" t="n">
        <x:v>0</x:v>
      </x:c>
      <x:c r="W115" t="n">
        <x:v>1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/>
      <x:c r="AC115" t="n">
        <x:v>0</x:v>
      </x:c>
      <x:c r="AD115" t="n">
        <x:v>0.23846665327437222</x:v>
      </x:c>
      <x:c r="AE115" t="n">
        <x:v>1</x:v>
      </x:c>
      <x:c r="AF115" t="n">
        <x:v>0.0000693202018737793</x:v>
      </x:c>
      <x:c r="AG115" t="n">
        <x:f>_xlfn.XLOOKUP($A115,Games!$A$2:$A$18,Games!$B$2:$B$18,"Missing game",0)</x:f>
        <x:v>2025</x:v>
      </x:c>
      <x:c r="AH115" t="str">
        <x:f>_xlfn.XLOOKUP($A115,Games!$A$2:$A$18,Games!$C$2:$C$18,"Missing game",0)</x:f>
        <x:v>REG</x:v>
      </x:c>
      <x:c r="AI115" t="n">
        <x:f>_xlfn.XLOOKUP($A115,Games!$A$2:$A$18,Games!$D$2:$D$18,"Missing game",0)</x:f>
        <x:v>1</x:v>
      </x:c>
      <x:c r="AJ115" s="1" t="n">
        <x:f>_xlfn.XLOOKUP($A115,Games!$A$2:$A$18,Games!$E$2:$E$18,"Missing game",0)</x:f>
        <x:v>45908</x:v>
      </x:c>
      <x:c r="AK115" t="str">
        <x:f>_xlfn.XLOOKUP($A115,Games!$A$2:$A$18,Games!$F$2:$F$18,"Missing game",0)</x:f>
        <x:v>Monday</x:v>
      </x:c>
      <x:c r="AL115" t="str">
        <x:f>_xlfn.XLOOKUP($A115,Games!$A$2:$A$18,Games!$G$2:$G$18,"Missing game",0)</x:f>
        <x:v>MIN</x:v>
      </x:c>
      <x:c r="AM115" t="n">
        <x:f>_xlfn.XLOOKUP($A115,Games!$A$2:$A$18,Games!$H$2:$H$18,"Missing game",0)</x:f>
        <x:v>27</x:v>
      </x:c>
      <x:c r="AN115" t="str">
        <x:f>_xlfn.XLOOKUP($A115,Games!$A$2:$A$18,Games!$I$2:$I$18,"Missing game",0)</x:f>
        <x:v>CHI</x:v>
      </x:c>
      <x:c r="AO115" t="n">
        <x:f>_xlfn.XLOOKUP($A115,Games!$A$2:$A$18,Games!$J$2:$J$18,"Missing game",0)</x:f>
        <x:v>24</x:v>
      </x:c>
      <x:c r="AP115" t="n">
        <x:f>_xlfn.XLOOKUP($A115,Games!$A$2:$A$18,Games!$K$2:$K$18,"Missing game",0)</x:f>
        <x:v>-3</x:v>
      </x:c>
      <x:c r="AQ115" t="n">
        <x:f>_xlfn.XLOOKUP($A115,Games!$A$2:$A$18,Games!$L$2:$L$18,"Missing game",0)</x:f>
        <x:v>51</x:v>
      </x:c>
      <x:c r="AR115" t="n">
        <x:f>_xlfn.XLOOKUP($A115,Games!$A$2:$A$18,Games!$M$2:$M$18,"Missing game",0)</x:f>
        <x:v>0</x:v>
      </x:c>
      <x:c r="AS115" t="str">
        <x:f>_xlfn.XLOOKUP($A115,Games!$A$2:$A$18,Games!$N$2:$N$18,"Missing game",0)</x:f>
        <x:v>outdoors</x:v>
      </x:c>
      <x:c r="AT115" t="str">
        <x:f>_xlfn.XLOOKUP($A115,Games!$A$2:$A$18,Games!$O$2:$O$18,"Missing game",0)</x:f>
        <x:v>grass</x:v>
      </x:c>
      <x:c r="AU115" t="n">
        <x:f>_xlfn.XLOOKUP($A115,Games!$A$2:$A$18,Games!$P$2:$P$18,"Missing game",0)</x:f>
        <x:v>68</x:v>
      </x:c>
      <x:c r="AV115" t="n">
        <x:f>_xlfn.XLOOKUP($A115,Games!$A$2:$A$18,Games!$Q$2:$Q$18,"Missing game",0)</x:f>
        <x:v>6</x:v>
      </x:c>
      <x:c r="AW115" t="str">
        <x:f>_xlfn.XLOOKUP($A115,Games!$A$2:$A$18,Games!$R$2:$R$18,"Missing game",0)</x:f>
        <x:v>Soldier Field</x:v>
      </x:c>
    </x:row>
    <x:row r="116">
      <x:c r="A116" t="str">
        <x:v>2025_01_MIN_CHI</x:v>
      </x:c>
      <x:c r="B116" t="n">
        <x:v>2906</x:v>
      </x:c>
      <x:c r="C116" t="n">
        <x:v>3</x:v>
      </x:c>
      <x:c r="D116" t="str">
        <x:v>00:49</x:v>
      </x:c>
      <x:c r="E116" t="n">
        <x:v>1</x:v>
      </x:c>
      <x:c r="F116" t="n">
        <x:v>10</x:v>
      </x:c>
      <x:c r="G116" t="str">
        <x:v>CHI</x:v>
      </x:c>
      <x:c r="H116" t="str">
        <x:v>MIN</x:v>
      </x:c>
      <x:c r="I116" t="str">
        <x:v>MIN</x:v>
      </x:c>
      <x:c r="J116" t="n">
        <x:v>24</x:v>
      </x:c>
      <x:c r="K116" t="str">
        <x:v>(:49) 18-C.Williams pass short left to 4-D.Swift pushed ob at MIN 12 for 12 yards (15-D.Turner). PENALTY on CHI-58-D.Wright, Offensive Holding, 10 yards, enforced at MIN 24 - No Play.</x:v>
      </x:c>
      <x:c r="L116" t="str">
        <x:v>no_play</x:v>
      </x:c>
      <x:c r="M116" t="n">
        <x:v>0</x:v>
      </x:c>
      <x:c r="N116" t="n">
        <x:v>0</x:v>
      </x:c>
      <x:c r="O116" t="n">
        <x:v>0</x:v>
      </x:c>
      <x:c r="P116"/>
      <x:c r="Q116"/>
      <x:c r="R116"/>
      <x:c r="S116"/>
      <x:c r="T116"/>
      <x:c r="U116"/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1</x:v>
      </x:c>
      <x:c r="AB116" t="n">
        <x:v>10</x:v>
      </x:c>
      <x:c r="AC116" t="n">
        <x:v>0</x:v>
      </x:c>
      <x:c r="AD116" t="n">
        <x:v>-1.3896481494884938</x:v>
      </x:c>
      <x:c r="AE116" t="n">
        <x:v>0</x:v>
      </x:c>
      <x:c r="AF116" t="n">
        <x:v>-0.008852899074554443</x:v>
      </x:c>
      <x:c r="AG116" t="n">
        <x:f>_xlfn.XLOOKUP($A116,Games!$A$2:$A$18,Games!$B$2:$B$18,"Missing game",0)</x:f>
        <x:v>2025</x:v>
      </x:c>
      <x:c r="AH116" t="str">
        <x:f>_xlfn.XLOOKUP($A116,Games!$A$2:$A$18,Games!$C$2:$C$18,"Missing game",0)</x:f>
        <x:v>REG</x:v>
      </x:c>
      <x:c r="AI116" t="n">
        <x:f>_xlfn.XLOOKUP($A116,Games!$A$2:$A$18,Games!$D$2:$D$18,"Missing game",0)</x:f>
        <x:v>1</x:v>
      </x:c>
      <x:c r="AJ116" s="1" t="n">
        <x:f>_xlfn.XLOOKUP($A116,Games!$A$2:$A$18,Games!$E$2:$E$18,"Missing game",0)</x:f>
        <x:v>45908</x:v>
      </x:c>
      <x:c r="AK116" t="str">
        <x:f>_xlfn.XLOOKUP($A116,Games!$A$2:$A$18,Games!$F$2:$F$18,"Missing game",0)</x:f>
        <x:v>Monday</x:v>
      </x:c>
      <x:c r="AL116" t="str">
        <x:f>_xlfn.XLOOKUP($A116,Games!$A$2:$A$18,Games!$G$2:$G$18,"Missing game",0)</x:f>
        <x:v>MIN</x:v>
      </x:c>
      <x:c r="AM116" t="n">
        <x:f>_xlfn.XLOOKUP($A116,Games!$A$2:$A$18,Games!$H$2:$H$18,"Missing game",0)</x:f>
        <x:v>27</x:v>
      </x:c>
      <x:c r="AN116" t="str">
        <x:f>_xlfn.XLOOKUP($A116,Games!$A$2:$A$18,Games!$I$2:$I$18,"Missing game",0)</x:f>
        <x:v>CHI</x:v>
      </x:c>
      <x:c r="AO116" t="n">
        <x:f>_xlfn.XLOOKUP($A116,Games!$A$2:$A$18,Games!$J$2:$J$18,"Missing game",0)</x:f>
        <x:v>24</x:v>
      </x:c>
      <x:c r="AP116" t="n">
        <x:f>_xlfn.XLOOKUP($A116,Games!$A$2:$A$18,Games!$K$2:$K$18,"Missing game",0)</x:f>
        <x:v>-3</x:v>
      </x:c>
      <x:c r="AQ116" t="n">
        <x:f>_xlfn.XLOOKUP($A116,Games!$A$2:$A$18,Games!$L$2:$L$18,"Missing game",0)</x:f>
        <x:v>51</x:v>
      </x:c>
      <x:c r="AR116" t="n">
        <x:f>_xlfn.XLOOKUP($A116,Games!$A$2:$A$18,Games!$M$2:$M$18,"Missing game",0)</x:f>
        <x:v>0</x:v>
      </x:c>
      <x:c r="AS116" t="str">
        <x:f>_xlfn.XLOOKUP($A116,Games!$A$2:$A$18,Games!$N$2:$N$18,"Missing game",0)</x:f>
        <x:v>outdoors</x:v>
      </x:c>
      <x:c r="AT116" t="str">
        <x:f>_xlfn.XLOOKUP($A116,Games!$A$2:$A$18,Games!$O$2:$O$18,"Missing game",0)</x:f>
        <x:v>grass</x:v>
      </x:c>
      <x:c r="AU116" t="n">
        <x:f>_xlfn.XLOOKUP($A116,Games!$A$2:$A$18,Games!$P$2:$P$18,"Missing game",0)</x:f>
        <x:v>68</x:v>
      </x:c>
      <x:c r="AV116" t="n">
        <x:f>_xlfn.XLOOKUP($A116,Games!$A$2:$A$18,Games!$Q$2:$Q$18,"Missing game",0)</x:f>
        <x:v>6</x:v>
      </x:c>
      <x:c r="AW116" t="str">
        <x:f>_xlfn.XLOOKUP($A116,Games!$A$2:$A$18,Games!$R$2:$R$18,"Missing game",0)</x:f>
        <x:v>Soldier Field</x:v>
      </x:c>
    </x:row>
    <x:row r="117">
      <x:c r="A117" t="str">
        <x:v>2025_01_MIN_CHI</x:v>
      </x:c>
      <x:c r="B117" t="n">
        <x:v>2952</x:v>
      </x:c>
      <x:c r="C117" t="n">
        <x:v>3</x:v>
      </x:c>
      <x:c r="D117" t="str">
        <x:v>00:19</x:v>
      </x:c>
      <x:c r="E117" t="n">
        <x:v>1</x:v>
      </x:c>
      <x:c r="F117" t="n">
        <x:v>20</x:v>
      </x:c>
      <x:c r="G117" t="str">
        <x:v>CHI</x:v>
      </x:c>
      <x:c r="H117" t="str">
        <x:v>MIN</x:v>
      </x:c>
      <x:c r="I117" t="str">
        <x:v>MIN</x:v>
      </x:c>
      <x:c r="J117" t="n">
        <x:v>34</x:v>
      </x:c>
      <x:c r="K117" t="str">
        <x:v>(:19) (Shotgun) 18-C.Williams pass incomplete short middle to 85-C.Kmet.</x:v>
      </x:c>
      <x:c r="L117" t="str">
        <x:v>pass</x:v>
      </x:c>
      <x:c r="M117" t="n">
        <x:v>0</x:v>
      </x:c>
      <x:c r="N117" t="n">
        <x:v>1</x:v>
      </x:c>
      <x:c r="O117" t="n">
        <x:v>0</x:v>
      </x:c>
      <x:c r="P117" t="str">
        <x:v>short</x:v>
      </x:c>
      <x:c r="Q117" t="str">
        <x:v>middle</x:v>
      </x:c>
      <x:c r="R117" t="n">
        <x:v>13</x:v>
      </x:c>
      <x:c r="S117"/>
      <x:c r="T117"/>
      <x:c r="U117"/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/>
      <x:c r="AC117" t="n">
        <x:v>0</x:v>
      </x:c>
      <x:c r="AD117" t="n">
        <x:v>-0.5351971236523241</x:v>
      </x:c>
      <x:c r="AE117" t="n">
        <x:v>0</x:v>
      </x:c>
      <x:c r="AF117" t="n">
        <x:v>-0.00891190767288208</x:v>
      </x:c>
      <x:c r="AG117" t="n">
        <x:f>_xlfn.XLOOKUP($A117,Games!$A$2:$A$18,Games!$B$2:$B$18,"Missing game",0)</x:f>
        <x:v>2025</x:v>
      </x:c>
      <x:c r="AH117" t="str">
        <x:f>_xlfn.XLOOKUP($A117,Games!$A$2:$A$18,Games!$C$2:$C$18,"Missing game",0)</x:f>
        <x:v>REG</x:v>
      </x:c>
      <x:c r="AI117" t="n">
        <x:f>_xlfn.XLOOKUP($A117,Games!$A$2:$A$18,Games!$D$2:$D$18,"Missing game",0)</x:f>
        <x:v>1</x:v>
      </x:c>
      <x:c r="AJ117" s="1" t="n">
        <x:f>_xlfn.XLOOKUP($A117,Games!$A$2:$A$18,Games!$E$2:$E$18,"Missing game",0)</x:f>
        <x:v>45908</x:v>
      </x:c>
      <x:c r="AK117" t="str">
        <x:f>_xlfn.XLOOKUP($A117,Games!$A$2:$A$18,Games!$F$2:$F$18,"Missing game",0)</x:f>
        <x:v>Monday</x:v>
      </x:c>
      <x:c r="AL117" t="str">
        <x:f>_xlfn.XLOOKUP($A117,Games!$A$2:$A$18,Games!$G$2:$G$18,"Missing game",0)</x:f>
        <x:v>MIN</x:v>
      </x:c>
      <x:c r="AM117" t="n">
        <x:f>_xlfn.XLOOKUP($A117,Games!$A$2:$A$18,Games!$H$2:$H$18,"Missing game",0)</x:f>
        <x:v>27</x:v>
      </x:c>
      <x:c r="AN117" t="str">
        <x:f>_xlfn.XLOOKUP($A117,Games!$A$2:$A$18,Games!$I$2:$I$18,"Missing game",0)</x:f>
        <x:v>CHI</x:v>
      </x:c>
      <x:c r="AO117" t="n">
        <x:f>_xlfn.XLOOKUP($A117,Games!$A$2:$A$18,Games!$J$2:$J$18,"Missing game",0)</x:f>
        <x:v>24</x:v>
      </x:c>
      <x:c r="AP117" t="n">
        <x:f>_xlfn.XLOOKUP($A117,Games!$A$2:$A$18,Games!$K$2:$K$18,"Missing game",0)</x:f>
        <x:v>-3</x:v>
      </x:c>
      <x:c r="AQ117" t="n">
        <x:f>_xlfn.XLOOKUP($A117,Games!$A$2:$A$18,Games!$L$2:$L$18,"Missing game",0)</x:f>
        <x:v>51</x:v>
      </x:c>
      <x:c r="AR117" t="n">
        <x:f>_xlfn.XLOOKUP($A117,Games!$A$2:$A$18,Games!$M$2:$M$18,"Missing game",0)</x:f>
        <x:v>0</x:v>
      </x:c>
      <x:c r="AS117" t="str">
        <x:f>_xlfn.XLOOKUP($A117,Games!$A$2:$A$18,Games!$N$2:$N$18,"Missing game",0)</x:f>
        <x:v>outdoors</x:v>
      </x:c>
      <x:c r="AT117" t="str">
        <x:f>_xlfn.XLOOKUP($A117,Games!$A$2:$A$18,Games!$O$2:$O$18,"Missing game",0)</x:f>
        <x:v>grass</x:v>
      </x:c>
      <x:c r="AU117" t="n">
        <x:f>_xlfn.XLOOKUP($A117,Games!$A$2:$A$18,Games!$P$2:$P$18,"Missing game",0)</x:f>
        <x:v>68</x:v>
      </x:c>
      <x:c r="AV117" t="n">
        <x:f>_xlfn.XLOOKUP($A117,Games!$A$2:$A$18,Games!$Q$2:$Q$18,"Missing game",0)</x:f>
        <x:v>6</x:v>
      </x:c>
      <x:c r="AW117" t="str">
        <x:f>_xlfn.XLOOKUP($A117,Games!$A$2:$A$18,Games!$R$2:$R$18,"Missing game",0)</x:f>
        <x:v>Soldier Field</x:v>
      </x:c>
    </x:row>
    <x:row r="118">
      <x:c r="A118" t="str">
        <x:v>2025_01_MIN_CHI</x:v>
      </x:c>
      <x:c r="B118" t="n">
        <x:v>2975</x:v>
      </x:c>
      <x:c r="C118" t="n">
        <x:v>3</x:v>
      </x:c>
      <x:c r="D118" t="str">
        <x:v>00:15</x:v>
      </x:c>
      <x:c r="E118" t="n">
        <x:v>2</x:v>
      </x:c>
      <x:c r="F118" t="n">
        <x:v>20</x:v>
      </x:c>
      <x:c r="G118" t="str">
        <x:v>CHI</x:v>
      </x:c>
      <x:c r="H118" t="str">
        <x:v>MIN</x:v>
      </x:c>
      <x:c r="I118" t="str">
        <x:v>MIN</x:v>
      </x:c>
      <x:c r="J118" t="n">
        <x:v>34</x:v>
      </x:c>
      <x:c r="K118" t="str">
        <x:v>(:15) (Shotgun) 18-C.Williams pass incomplete short left. PENALTY on CHI-18-C.Williams, Intentional Grounding, 10 yards, enforced at MIN 34.</x:v>
      </x:c>
      <x:c r="L118" t="str">
        <x:v>pass</x:v>
      </x:c>
      <x:c r="M118" t="n">
        <x:v>0</x:v>
      </x:c>
      <x:c r="N118" t="n">
        <x:v>1</x:v>
      </x:c>
      <x:c r="O118" t="n">
        <x:v>0</x:v>
      </x:c>
      <x:c r="P118" t="str">
        <x:v>short</x:v>
      </x:c>
      <x:c r="Q118" t="str">
        <x:v>left</x:v>
      </x:c>
      <x:c r="R118" t="n">
        <x:v>-4</x:v>
      </x:c>
      <x:c r="S118"/>
      <x:c r="T118"/>
      <x:c r="U118"/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1</x:v>
      </x:c>
      <x:c r="AB118" t="n">
        <x:v>10</x:v>
      </x:c>
      <x:c r="AC118" t="n">
        <x:v>0</x:v>
      </x:c>
      <x:c r="AD118" t="n">
        <x:v>-1.7348743822658435</x:v>
      </x:c>
      <x:c r="AE118" t="n">
        <x:v>0</x:v>
      </x:c>
      <x:c r="AF118" t="n">
        <x:v>-0.016077756881713867</x:v>
      </x:c>
      <x:c r="AG118" t="n">
        <x:f>_xlfn.XLOOKUP($A118,Games!$A$2:$A$18,Games!$B$2:$B$18,"Missing game",0)</x:f>
        <x:v>2025</x:v>
      </x:c>
      <x:c r="AH118" t="str">
        <x:f>_xlfn.XLOOKUP($A118,Games!$A$2:$A$18,Games!$C$2:$C$18,"Missing game",0)</x:f>
        <x:v>REG</x:v>
      </x:c>
      <x:c r="AI118" t="n">
        <x:f>_xlfn.XLOOKUP($A118,Games!$A$2:$A$18,Games!$D$2:$D$18,"Missing game",0)</x:f>
        <x:v>1</x:v>
      </x:c>
      <x:c r="AJ118" s="1" t="n">
        <x:f>_xlfn.XLOOKUP($A118,Games!$A$2:$A$18,Games!$E$2:$E$18,"Missing game",0)</x:f>
        <x:v>45908</x:v>
      </x:c>
      <x:c r="AK118" t="str">
        <x:f>_xlfn.XLOOKUP($A118,Games!$A$2:$A$18,Games!$F$2:$F$18,"Missing game",0)</x:f>
        <x:v>Monday</x:v>
      </x:c>
      <x:c r="AL118" t="str">
        <x:f>_xlfn.XLOOKUP($A118,Games!$A$2:$A$18,Games!$G$2:$G$18,"Missing game",0)</x:f>
        <x:v>MIN</x:v>
      </x:c>
      <x:c r="AM118" t="n">
        <x:f>_xlfn.XLOOKUP($A118,Games!$A$2:$A$18,Games!$H$2:$H$18,"Missing game",0)</x:f>
        <x:v>27</x:v>
      </x:c>
      <x:c r="AN118" t="str">
        <x:f>_xlfn.XLOOKUP($A118,Games!$A$2:$A$18,Games!$I$2:$I$18,"Missing game",0)</x:f>
        <x:v>CHI</x:v>
      </x:c>
      <x:c r="AO118" t="n">
        <x:f>_xlfn.XLOOKUP($A118,Games!$A$2:$A$18,Games!$J$2:$J$18,"Missing game",0)</x:f>
        <x:v>24</x:v>
      </x:c>
      <x:c r="AP118" t="n">
        <x:f>_xlfn.XLOOKUP($A118,Games!$A$2:$A$18,Games!$K$2:$K$18,"Missing game",0)</x:f>
        <x:v>-3</x:v>
      </x:c>
      <x:c r="AQ118" t="n">
        <x:f>_xlfn.XLOOKUP($A118,Games!$A$2:$A$18,Games!$L$2:$L$18,"Missing game",0)</x:f>
        <x:v>51</x:v>
      </x:c>
      <x:c r="AR118" t="n">
        <x:f>_xlfn.XLOOKUP($A118,Games!$A$2:$A$18,Games!$M$2:$M$18,"Missing game",0)</x:f>
        <x:v>0</x:v>
      </x:c>
      <x:c r="AS118" t="str">
        <x:f>_xlfn.XLOOKUP($A118,Games!$A$2:$A$18,Games!$N$2:$N$18,"Missing game",0)</x:f>
        <x:v>outdoors</x:v>
      </x:c>
      <x:c r="AT118" t="str">
        <x:f>_xlfn.XLOOKUP($A118,Games!$A$2:$A$18,Games!$O$2:$O$18,"Missing game",0)</x:f>
        <x:v>grass</x:v>
      </x:c>
      <x:c r="AU118" t="n">
        <x:f>_xlfn.XLOOKUP($A118,Games!$A$2:$A$18,Games!$P$2:$P$18,"Missing game",0)</x:f>
        <x:v>68</x:v>
      </x:c>
      <x:c r="AV118" t="n">
        <x:f>_xlfn.XLOOKUP($A118,Games!$A$2:$A$18,Games!$Q$2:$Q$18,"Missing game",0)</x:f>
        <x:v>6</x:v>
      </x:c>
      <x:c r="AW118" t="str">
        <x:f>_xlfn.XLOOKUP($A118,Games!$A$2:$A$18,Games!$R$2:$R$18,"Missing game",0)</x:f>
        <x:v>Soldier Field</x:v>
      </x:c>
    </x:row>
    <x:row r="119">
      <x:c r="A119" t="str">
        <x:v>2025_01_MIN_CHI</x:v>
      </x:c>
      <x:c r="B119" t="n">
        <x:v>3009</x:v>
      </x:c>
      <x:c r="C119" t="n">
        <x:v>3</x:v>
      </x:c>
      <x:c r="D119" t="str">
        <x:v>00:05</x:v>
      </x:c>
      <x:c r="E119" t="n">
        <x:v>3</x:v>
      </x:c>
      <x:c r="F119" t="n">
        <x:v>30</x:v>
      </x:c>
      <x:c r="G119" t="str">
        <x:v>CHI</x:v>
      </x:c>
      <x:c r="H119" t="str">
        <x:v>MIN</x:v>
      </x:c>
      <x:c r="I119" t="str">
        <x:v>MIN</x:v>
      </x:c>
      <x:c r="J119" t="n">
        <x:v>44</x:v>
      </x:c>
      <x:c r="K119" t="str">
        <x:v>(:05) (Shotgun) 18-C.Williams pass short left to 14-O.Zaccheaus to MIN 32 for 12 yards (24-J.Ward; 2-I.Rodgers).</x:v>
      </x:c>
      <x:c r="L119" t="str">
        <x:v>pass</x:v>
      </x:c>
      <x:c r="M119" t="n">
        <x:v>12</x:v>
      </x:c>
      <x:c r="N119" t="n">
        <x:v>1</x:v>
      </x:c>
      <x:c r="O119" t="n">
        <x:v>0</x:v>
      </x:c>
      <x:c r="P119" t="str">
        <x:v>short</x:v>
      </x:c>
      <x:c r="Q119" t="str">
        <x:v>left</x:v>
      </x:c>
      <x:c r="R119" t="n">
        <x:v>7</x:v>
      </x:c>
      <x:c r="S119" t="n">
        <x:v>5</x:v>
      </x:c>
      <x:c r="T119"/>
      <x:c r="U119"/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/>
      <x:c r="AC119" t="n">
        <x:v>0</x:v>
      </x:c>
      <x:c r="AD119" t="n">
        <x:v>0.4787347947874163</x:v>
      </x:c>
      <x:c r="AE119" t="n">
        <x:v>1</x:v>
      </x:c>
      <x:c r="AF119" t="n">
        <x:v>-0.005278408527374268</x:v>
      </x:c>
      <x:c r="AG119" t="n">
        <x:f>_xlfn.XLOOKUP($A119,Games!$A$2:$A$18,Games!$B$2:$B$18,"Missing game",0)</x:f>
        <x:v>2025</x:v>
      </x:c>
      <x:c r="AH119" t="str">
        <x:f>_xlfn.XLOOKUP($A119,Games!$A$2:$A$18,Games!$C$2:$C$18,"Missing game",0)</x:f>
        <x:v>REG</x:v>
      </x:c>
      <x:c r="AI119" t="n">
        <x:f>_xlfn.XLOOKUP($A119,Games!$A$2:$A$18,Games!$D$2:$D$18,"Missing game",0)</x:f>
        <x:v>1</x:v>
      </x:c>
      <x:c r="AJ119" s="1" t="n">
        <x:f>_xlfn.XLOOKUP($A119,Games!$A$2:$A$18,Games!$E$2:$E$18,"Missing game",0)</x:f>
        <x:v>45908</x:v>
      </x:c>
      <x:c r="AK119" t="str">
        <x:f>_xlfn.XLOOKUP($A119,Games!$A$2:$A$18,Games!$F$2:$F$18,"Missing game",0)</x:f>
        <x:v>Monday</x:v>
      </x:c>
      <x:c r="AL119" t="str">
        <x:f>_xlfn.XLOOKUP($A119,Games!$A$2:$A$18,Games!$G$2:$G$18,"Missing game",0)</x:f>
        <x:v>MIN</x:v>
      </x:c>
      <x:c r="AM119" t="n">
        <x:f>_xlfn.XLOOKUP($A119,Games!$A$2:$A$18,Games!$H$2:$H$18,"Missing game",0)</x:f>
        <x:v>27</x:v>
      </x:c>
      <x:c r="AN119" t="str">
        <x:f>_xlfn.XLOOKUP($A119,Games!$A$2:$A$18,Games!$I$2:$I$18,"Missing game",0)</x:f>
        <x:v>CHI</x:v>
      </x:c>
      <x:c r="AO119" t="n">
        <x:f>_xlfn.XLOOKUP($A119,Games!$A$2:$A$18,Games!$J$2:$J$18,"Missing game",0)</x:f>
        <x:v>24</x:v>
      </x:c>
      <x:c r="AP119" t="n">
        <x:f>_xlfn.XLOOKUP($A119,Games!$A$2:$A$18,Games!$K$2:$K$18,"Missing game",0)</x:f>
        <x:v>-3</x:v>
      </x:c>
      <x:c r="AQ119" t="n">
        <x:f>_xlfn.XLOOKUP($A119,Games!$A$2:$A$18,Games!$L$2:$L$18,"Missing game",0)</x:f>
        <x:v>51</x:v>
      </x:c>
      <x:c r="AR119" t="n">
        <x:f>_xlfn.XLOOKUP($A119,Games!$A$2:$A$18,Games!$M$2:$M$18,"Missing game",0)</x:f>
        <x:v>0</x:v>
      </x:c>
      <x:c r="AS119" t="str">
        <x:f>_xlfn.XLOOKUP($A119,Games!$A$2:$A$18,Games!$N$2:$N$18,"Missing game",0)</x:f>
        <x:v>outdoors</x:v>
      </x:c>
      <x:c r="AT119" t="str">
        <x:f>_xlfn.XLOOKUP($A119,Games!$A$2:$A$18,Games!$O$2:$O$18,"Missing game",0)</x:f>
        <x:v>grass</x:v>
      </x:c>
      <x:c r="AU119" t="n">
        <x:f>_xlfn.XLOOKUP($A119,Games!$A$2:$A$18,Games!$P$2:$P$18,"Missing game",0)</x:f>
        <x:v>68</x:v>
      </x:c>
      <x:c r="AV119" t="n">
        <x:f>_xlfn.XLOOKUP($A119,Games!$A$2:$A$18,Games!$Q$2:$Q$18,"Missing game",0)</x:f>
        <x:v>6</x:v>
      </x:c>
      <x:c r="AW119" t="str">
        <x:f>_xlfn.XLOOKUP($A119,Games!$A$2:$A$18,Games!$R$2:$R$18,"Missing game",0)</x:f>
        <x:v>Soldier Field</x:v>
      </x:c>
    </x:row>
    <x:row r="120">
      <x:c r="A120" t="str">
        <x:v>2025_01_MIN_CHI</x:v>
      </x:c>
      <x:c r="B120" t="n">
        <x:v>3034</x:v>
      </x:c>
      <x:c r="C120" t="n">
        <x:v>3</x:v>
      </x:c>
      <x:c r="D120" t="str">
        <x:v>00:00</x:v>
      </x:c>
      <x:c r="E120"/>
      <x:c r="F120" t="n">
        <x:v>0</x:v>
      </x:c>
      <x:c r="G120" t="str">
        <x:v>CHI</x:v>
      </x:c>
      <x:c r="H120" t="str">
        <x:v>MIN</x:v>
      </x:c>
      <x:c r="I120"/>
      <x:c r="J120"/>
      <x:c r="K120" t="str">
        <x:v>END QUARTER 3</x:v>
      </x:c>
      <x:c r="L120"/>
      <x:c r="M120"/>
      <x:c r="N120" t="n">
        <x:v>0</x:v>
      </x:c>
      <x:c r="O120" t="n">
        <x:v>0</x:v>
      </x:c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 t="n">
        <x:v>0</x:v>
      </x:c>
      <x:c r="AE120" t="n">
        <x:v>0</x:v>
      </x:c>
      <x:c r="AF120" t="n">
        <x:v>0</x:v>
      </x:c>
      <x:c r="AG120" t="n">
        <x:f>_xlfn.XLOOKUP($A120,Games!$A$2:$A$18,Games!$B$2:$B$18,"Missing game",0)</x:f>
        <x:v>2025</x:v>
      </x:c>
      <x:c r="AH120" t="str">
        <x:f>_xlfn.XLOOKUP($A120,Games!$A$2:$A$18,Games!$C$2:$C$18,"Missing game",0)</x:f>
        <x:v>REG</x:v>
      </x:c>
      <x:c r="AI120" t="n">
        <x:f>_xlfn.XLOOKUP($A120,Games!$A$2:$A$18,Games!$D$2:$D$18,"Missing game",0)</x:f>
        <x:v>1</x:v>
      </x:c>
      <x:c r="AJ120" s="1" t="n">
        <x:f>_xlfn.XLOOKUP($A120,Games!$A$2:$A$18,Games!$E$2:$E$18,"Missing game",0)</x:f>
        <x:v>45908</x:v>
      </x:c>
      <x:c r="AK120" t="str">
        <x:f>_xlfn.XLOOKUP($A120,Games!$A$2:$A$18,Games!$F$2:$F$18,"Missing game",0)</x:f>
        <x:v>Monday</x:v>
      </x:c>
      <x:c r="AL120" t="str">
        <x:f>_xlfn.XLOOKUP($A120,Games!$A$2:$A$18,Games!$G$2:$G$18,"Missing game",0)</x:f>
        <x:v>MIN</x:v>
      </x:c>
      <x:c r="AM120" t="n">
        <x:f>_xlfn.XLOOKUP($A120,Games!$A$2:$A$18,Games!$H$2:$H$18,"Missing game",0)</x:f>
        <x:v>27</x:v>
      </x:c>
      <x:c r="AN120" t="str">
        <x:f>_xlfn.XLOOKUP($A120,Games!$A$2:$A$18,Games!$I$2:$I$18,"Missing game",0)</x:f>
        <x:v>CHI</x:v>
      </x:c>
      <x:c r="AO120" t="n">
        <x:f>_xlfn.XLOOKUP($A120,Games!$A$2:$A$18,Games!$J$2:$J$18,"Missing game",0)</x:f>
        <x:v>24</x:v>
      </x:c>
      <x:c r="AP120" t="n">
        <x:f>_xlfn.XLOOKUP($A120,Games!$A$2:$A$18,Games!$K$2:$K$18,"Missing game",0)</x:f>
        <x:v>-3</x:v>
      </x:c>
      <x:c r="AQ120" t="n">
        <x:f>_xlfn.XLOOKUP($A120,Games!$A$2:$A$18,Games!$L$2:$L$18,"Missing game",0)</x:f>
        <x:v>51</x:v>
      </x:c>
      <x:c r="AR120" t="n">
        <x:f>_xlfn.XLOOKUP($A120,Games!$A$2:$A$18,Games!$M$2:$M$18,"Missing game",0)</x:f>
        <x:v>0</x:v>
      </x:c>
      <x:c r="AS120" t="str">
        <x:f>_xlfn.XLOOKUP($A120,Games!$A$2:$A$18,Games!$N$2:$N$18,"Missing game",0)</x:f>
        <x:v>outdoors</x:v>
      </x:c>
      <x:c r="AT120" t="str">
        <x:f>_xlfn.XLOOKUP($A120,Games!$A$2:$A$18,Games!$O$2:$O$18,"Missing game",0)</x:f>
        <x:v>grass</x:v>
      </x:c>
      <x:c r="AU120" t="n">
        <x:f>_xlfn.XLOOKUP($A120,Games!$A$2:$A$18,Games!$P$2:$P$18,"Missing game",0)</x:f>
        <x:v>68</x:v>
      </x:c>
      <x:c r="AV120" t="n">
        <x:f>_xlfn.XLOOKUP($A120,Games!$A$2:$A$18,Games!$Q$2:$Q$18,"Missing game",0)</x:f>
        <x:v>6</x:v>
      </x:c>
      <x:c r="AW120" t="str">
        <x:f>_xlfn.XLOOKUP($A120,Games!$A$2:$A$18,Games!$R$2:$R$18,"Missing game",0)</x:f>
        <x:v>Soldier Field</x:v>
      </x:c>
    </x:row>
    <x:row r="121">
      <x:c r="A121" t="str">
        <x:v>2025_01_MIN_CHI</x:v>
      </x:c>
      <x:c r="B121" t="n">
        <x:v>3054</x:v>
      </x:c>
      <x:c r="C121" t="n">
        <x:v>4</x:v>
      </x:c>
      <x:c r="D121" t="str">
        <x:v>15:00</x:v>
      </x:c>
      <x:c r="E121" t="n">
        <x:v>4</x:v>
      </x:c>
      <x:c r="F121" t="n">
        <x:v>18</x:v>
      </x:c>
      <x:c r="G121" t="str">
        <x:v>CHI</x:v>
      </x:c>
      <x:c r="H121" t="str">
        <x:v>MIN</x:v>
      </x:c>
      <x:c r="I121" t="str">
        <x:v>MIN</x:v>
      </x:c>
      <x:c r="J121" t="n">
        <x:v>32</x:v>
      </x:c>
      <x:c r="K121" t="str">
        <x:v>(15:00) 8-C.Santos 50 yard field goal is No Good, Wide Right, Center-46-S.Daly, Holder-19-T.Taylor.</x:v>
      </x:c>
      <x:c r="L121" t="str">
        <x:v>field_goal</x:v>
      </x:c>
      <x:c r="M121" t="n">
        <x:v>0</x:v>
      </x:c>
      <x:c r="N121" t="n">
        <x:v>0</x:v>
      </x:c>
      <x:c r="O121" t="n">
        <x:v>0</x:v>
      </x:c>
      <x:c r="P121"/>
      <x:c r="Q121"/>
      <x:c r="R121"/>
      <x:c r="S121"/>
      <x:c r="T121"/>
      <x:c r="U121"/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/>
      <x:c r="AC121" t="n">
        <x:v>0</x:v>
      </x:c>
      <x:c r="AD121" t="n">
        <x:v>-3.3916667499740667</x:v>
      </x:c>
      <x:c r="AE121" t="n">
        <x:v>0</x:v>
      </x:c>
      <x:c r="AF121" t="n">
        <x:v>-0.046706631779670715</x:v>
      </x:c>
      <x:c r="AG121" t="n">
        <x:f>_xlfn.XLOOKUP($A121,Games!$A$2:$A$18,Games!$B$2:$B$18,"Missing game",0)</x:f>
        <x:v>2025</x:v>
      </x:c>
      <x:c r="AH121" t="str">
        <x:f>_xlfn.XLOOKUP($A121,Games!$A$2:$A$18,Games!$C$2:$C$18,"Missing game",0)</x:f>
        <x:v>REG</x:v>
      </x:c>
      <x:c r="AI121" t="n">
        <x:f>_xlfn.XLOOKUP($A121,Games!$A$2:$A$18,Games!$D$2:$D$18,"Missing game",0)</x:f>
        <x:v>1</x:v>
      </x:c>
      <x:c r="AJ121" s="1" t="n">
        <x:f>_xlfn.XLOOKUP($A121,Games!$A$2:$A$18,Games!$E$2:$E$18,"Missing game",0)</x:f>
        <x:v>45908</x:v>
      </x:c>
      <x:c r="AK121" t="str">
        <x:f>_xlfn.XLOOKUP($A121,Games!$A$2:$A$18,Games!$F$2:$F$18,"Missing game",0)</x:f>
        <x:v>Monday</x:v>
      </x:c>
      <x:c r="AL121" t="str">
        <x:f>_xlfn.XLOOKUP($A121,Games!$A$2:$A$18,Games!$G$2:$G$18,"Missing game",0)</x:f>
        <x:v>MIN</x:v>
      </x:c>
      <x:c r="AM121" t="n">
        <x:f>_xlfn.XLOOKUP($A121,Games!$A$2:$A$18,Games!$H$2:$H$18,"Missing game",0)</x:f>
        <x:v>27</x:v>
      </x:c>
      <x:c r="AN121" t="str">
        <x:f>_xlfn.XLOOKUP($A121,Games!$A$2:$A$18,Games!$I$2:$I$18,"Missing game",0)</x:f>
        <x:v>CHI</x:v>
      </x:c>
      <x:c r="AO121" t="n">
        <x:f>_xlfn.XLOOKUP($A121,Games!$A$2:$A$18,Games!$J$2:$J$18,"Missing game",0)</x:f>
        <x:v>24</x:v>
      </x:c>
      <x:c r="AP121" t="n">
        <x:f>_xlfn.XLOOKUP($A121,Games!$A$2:$A$18,Games!$K$2:$K$18,"Missing game",0)</x:f>
        <x:v>-3</x:v>
      </x:c>
      <x:c r="AQ121" t="n">
        <x:f>_xlfn.XLOOKUP($A121,Games!$A$2:$A$18,Games!$L$2:$L$18,"Missing game",0)</x:f>
        <x:v>51</x:v>
      </x:c>
      <x:c r="AR121" t="n">
        <x:f>_xlfn.XLOOKUP($A121,Games!$A$2:$A$18,Games!$M$2:$M$18,"Missing game",0)</x:f>
        <x:v>0</x:v>
      </x:c>
      <x:c r="AS121" t="str">
        <x:f>_xlfn.XLOOKUP($A121,Games!$A$2:$A$18,Games!$N$2:$N$18,"Missing game",0)</x:f>
        <x:v>outdoors</x:v>
      </x:c>
      <x:c r="AT121" t="str">
        <x:f>_xlfn.XLOOKUP($A121,Games!$A$2:$A$18,Games!$O$2:$O$18,"Missing game",0)</x:f>
        <x:v>grass</x:v>
      </x:c>
      <x:c r="AU121" t="n">
        <x:f>_xlfn.XLOOKUP($A121,Games!$A$2:$A$18,Games!$P$2:$P$18,"Missing game",0)</x:f>
        <x:v>68</x:v>
      </x:c>
      <x:c r="AV121" t="n">
        <x:f>_xlfn.XLOOKUP($A121,Games!$A$2:$A$18,Games!$Q$2:$Q$18,"Missing game",0)</x:f>
        <x:v>6</x:v>
      </x:c>
      <x:c r="AW121" t="str">
        <x:f>_xlfn.XLOOKUP($A121,Games!$A$2:$A$18,Games!$R$2:$R$18,"Missing game",0)</x:f>
        <x:v>Soldier Field</x:v>
      </x:c>
    </x:row>
    <x:row r="122">
      <x:c r="A122" t="str">
        <x:v>2025_01_MIN_CHI</x:v>
      </x:c>
      <x:c r="B122" t="n">
        <x:v>3085</x:v>
      </x:c>
      <x:c r="C122" t="n">
        <x:v>4</x:v>
      </x:c>
      <x:c r="D122" t="str">
        <x:v>14:55</x:v>
      </x:c>
      <x:c r="E122" t="n">
        <x:v>1</x:v>
      </x:c>
      <x:c r="F122" t="n">
        <x:v>10</x:v>
      </x:c>
      <x:c r="G122" t="str">
        <x:v>MIN</x:v>
      </x:c>
      <x:c r="H122" t="str">
        <x:v>CHI</x:v>
      </x:c>
      <x:c r="I122" t="str">
        <x:v>MIN</x:v>
      </x:c>
      <x:c r="J122" t="n">
        <x:v>60</x:v>
      </x:c>
      <x:c r="K122" t="str">
        <x:v>(14:55) 27-J.Mason up the middle to MIN 47 for 7 yards (49-T.Edmunds; 69-T.Kpassagnon).</x:v>
      </x:c>
      <x:c r="L122" t="str">
        <x:v>run</x:v>
      </x:c>
      <x:c r="M122" t="n">
        <x:v>7</x:v>
      </x:c>
      <x:c r="N122" t="n">
        <x:v>0</x:v>
      </x:c>
      <x:c r="O122" t="n">
        <x:v>0</x:v>
      </x:c>
      <x:c r="P122"/>
      <x:c r="Q122"/>
      <x:c r="R122"/>
      <x:c r="S122"/>
      <x:c r="T122" t="str">
        <x:v>middle</x:v>
      </x:c>
      <x:c r="U122"/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/>
      <x:c r="AC122" t="n">
        <x:v>0</x:v>
      </x:c>
      <x:c r="AD122" t="n">
        <x:v>0.44856920605525374</x:v>
      </x:c>
      <x:c r="AE122" t="n">
        <x:v>1</x:v>
      </x:c>
      <x:c r="AF122" t="n">
        <x:v>-0.00713801383972168</x:v>
      </x:c>
      <x:c r="AG122" t="n">
        <x:f>_xlfn.XLOOKUP($A122,Games!$A$2:$A$18,Games!$B$2:$B$18,"Missing game",0)</x:f>
        <x:v>2025</x:v>
      </x:c>
      <x:c r="AH122" t="str">
        <x:f>_xlfn.XLOOKUP($A122,Games!$A$2:$A$18,Games!$C$2:$C$18,"Missing game",0)</x:f>
        <x:v>REG</x:v>
      </x:c>
      <x:c r="AI122" t="n">
        <x:f>_xlfn.XLOOKUP($A122,Games!$A$2:$A$18,Games!$D$2:$D$18,"Missing game",0)</x:f>
        <x:v>1</x:v>
      </x:c>
      <x:c r="AJ122" s="1" t="n">
        <x:f>_xlfn.XLOOKUP($A122,Games!$A$2:$A$18,Games!$E$2:$E$18,"Missing game",0)</x:f>
        <x:v>45908</x:v>
      </x:c>
      <x:c r="AK122" t="str">
        <x:f>_xlfn.XLOOKUP($A122,Games!$A$2:$A$18,Games!$F$2:$F$18,"Missing game",0)</x:f>
        <x:v>Monday</x:v>
      </x:c>
      <x:c r="AL122" t="str">
        <x:f>_xlfn.XLOOKUP($A122,Games!$A$2:$A$18,Games!$G$2:$G$18,"Missing game",0)</x:f>
        <x:v>MIN</x:v>
      </x:c>
      <x:c r="AM122" t="n">
        <x:f>_xlfn.XLOOKUP($A122,Games!$A$2:$A$18,Games!$H$2:$H$18,"Missing game",0)</x:f>
        <x:v>27</x:v>
      </x:c>
      <x:c r="AN122" t="str">
        <x:f>_xlfn.XLOOKUP($A122,Games!$A$2:$A$18,Games!$I$2:$I$18,"Missing game",0)</x:f>
        <x:v>CHI</x:v>
      </x:c>
      <x:c r="AO122" t="n">
        <x:f>_xlfn.XLOOKUP($A122,Games!$A$2:$A$18,Games!$J$2:$J$18,"Missing game",0)</x:f>
        <x:v>24</x:v>
      </x:c>
      <x:c r="AP122" t="n">
        <x:f>_xlfn.XLOOKUP($A122,Games!$A$2:$A$18,Games!$K$2:$K$18,"Missing game",0)</x:f>
        <x:v>-3</x:v>
      </x:c>
      <x:c r="AQ122" t="n">
        <x:f>_xlfn.XLOOKUP($A122,Games!$A$2:$A$18,Games!$L$2:$L$18,"Missing game",0)</x:f>
        <x:v>51</x:v>
      </x:c>
      <x:c r="AR122" t="n">
        <x:f>_xlfn.XLOOKUP($A122,Games!$A$2:$A$18,Games!$M$2:$M$18,"Missing game",0)</x:f>
        <x:v>0</x:v>
      </x:c>
      <x:c r="AS122" t="str">
        <x:f>_xlfn.XLOOKUP($A122,Games!$A$2:$A$18,Games!$N$2:$N$18,"Missing game",0)</x:f>
        <x:v>outdoors</x:v>
      </x:c>
      <x:c r="AT122" t="str">
        <x:f>_xlfn.XLOOKUP($A122,Games!$A$2:$A$18,Games!$O$2:$O$18,"Missing game",0)</x:f>
        <x:v>grass</x:v>
      </x:c>
      <x:c r="AU122" t="n">
        <x:f>_xlfn.XLOOKUP($A122,Games!$A$2:$A$18,Games!$P$2:$P$18,"Missing game",0)</x:f>
        <x:v>68</x:v>
      </x:c>
      <x:c r="AV122" t="n">
        <x:f>_xlfn.XLOOKUP($A122,Games!$A$2:$A$18,Games!$Q$2:$Q$18,"Missing game",0)</x:f>
        <x:v>6</x:v>
      </x:c>
      <x:c r="AW122" t="str">
        <x:f>_xlfn.XLOOKUP($A122,Games!$A$2:$A$18,Games!$R$2:$R$18,"Missing game",0)</x:f>
        <x:v>Soldier Field</x:v>
      </x:c>
    </x:row>
    <x:row r="123">
      <x:c r="A123" t="str">
        <x:v>2025_01_MIN_CHI</x:v>
      </x:c>
      <x:c r="B123" t="n">
        <x:v>3107</x:v>
      </x:c>
      <x:c r="C123" t="n">
        <x:v>4</x:v>
      </x:c>
      <x:c r="D123" t="str">
        <x:v>14:19</x:v>
      </x:c>
      <x:c r="E123" t="n">
        <x:v>2</x:v>
      </x:c>
      <x:c r="F123" t="n">
        <x:v>3</x:v>
      </x:c>
      <x:c r="G123" t="str">
        <x:v>MIN</x:v>
      </x:c>
      <x:c r="H123" t="str">
        <x:v>CHI</x:v>
      </x:c>
      <x:c r="I123" t="str">
        <x:v>MIN</x:v>
      </x:c>
      <x:c r="J123" t="n">
        <x:v>53</x:v>
      </x:c>
      <x:c r="K123" t="str">
        <x:v>(14:19) 27-J.Mason right guard to CHI 35 for 18 yards (31-K.Byard).</x:v>
      </x:c>
      <x:c r="L123" t="str">
        <x:v>run</x:v>
      </x:c>
      <x:c r="M123" t="n">
        <x:v>18</x:v>
      </x:c>
      <x:c r="N123" t="n">
        <x:v>0</x:v>
      </x:c>
      <x:c r="O123" t="n">
        <x:v>0</x:v>
      </x:c>
      <x:c r="P123"/>
      <x:c r="Q123"/>
      <x:c r="R123"/>
      <x:c r="S123"/>
      <x:c r="T123" t="str">
        <x:v>right</x:v>
      </x:c>
      <x:c r="U123" t="str">
        <x:v>guard</x:v>
      </x:c>
      <x:c r="V123" t="n">
        <x:v>0</x:v>
      </x:c>
      <x:c r="W123" t="n">
        <x:v>1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/>
      <x:c r="AC123" t="n">
        <x:v>0</x:v>
      </x:c>
      <x:c r="AD123" t="n">
        <x:v>1.1110494644381106</x:v>
      </x:c>
      <x:c r="AE123" t="n">
        <x:v>1</x:v>
      </x:c>
      <x:c r="AF123" t="n">
        <x:v>0.016700178384780884</x:v>
      </x:c>
      <x:c r="AG123" t="n">
        <x:f>_xlfn.XLOOKUP($A123,Games!$A$2:$A$18,Games!$B$2:$B$18,"Missing game",0)</x:f>
        <x:v>2025</x:v>
      </x:c>
      <x:c r="AH123" t="str">
        <x:f>_xlfn.XLOOKUP($A123,Games!$A$2:$A$18,Games!$C$2:$C$18,"Missing game",0)</x:f>
        <x:v>REG</x:v>
      </x:c>
      <x:c r="AI123" t="n">
        <x:f>_xlfn.XLOOKUP($A123,Games!$A$2:$A$18,Games!$D$2:$D$18,"Missing game",0)</x:f>
        <x:v>1</x:v>
      </x:c>
      <x:c r="AJ123" s="1" t="n">
        <x:f>_xlfn.XLOOKUP($A123,Games!$A$2:$A$18,Games!$E$2:$E$18,"Missing game",0)</x:f>
        <x:v>45908</x:v>
      </x:c>
      <x:c r="AK123" t="str">
        <x:f>_xlfn.XLOOKUP($A123,Games!$A$2:$A$18,Games!$F$2:$F$18,"Missing game",0)</x:f>
        <x:v>Monday</x:v>
      </x:c>
      <x:c r="AL123" t="str">
        <x:f>_xlfn.XLOOKUP($A123,Games!$A$2:$A$18,Games!$G$2:$G$18,"Missing game",0)</x:f>
        <x:v>MIN</x:v>
      </x:c>
      <x:c r="AM123" t="n">
        <x:f>_xlfn.XLOOKUP($A123,Games!$A$2:$A$18,Games!$H$2:$H$18,"Missing game",0)</x:f>
        <x:v>27</x:v>
      </x:c>
      <x:c r="AN123" t="str">
        <x:f>_xlfn.XLOOKUP($A123,Games!$A$2:$A$18,Games!$I$2:$I$18,"Missing game",0)</x:f>
        <x:v>CHI</x:v>
      </x:c>
      <x:c r="AO123" t="n">
        <x:f>_xlfn.XLOOKUP($A123,Games!$A$2:$A$18,Games!$J$2:$J$18,"Missing game",0)</x:f>
        <x:v>24</x:v>
      </x:c>
      <x:c r="AP123" t="n">
        <x:f>_xlfn.XLOOKUP($A123,Games!$A$2:$A$18,Games!$K$2:$K$18,"Missing game",0)</x:f>
        <x:v>-3</x:v>
      </x:c>
      <x:c r="AQ123" t="n">
        <x:f>_xlfn.XLOOKUP($A123,Games!$A$2:$A$18,Games!$L$2:$L$18,"Missing game",0)</x:f>
        <x:v>51</x:v>
      </x:c>
      <x:c r="AR123" t="n">
        <x:f>_xlfn.XLOOKUP($A123,Games!$A$2:$A$18,Games!$M$2:$M$18,"Missing game",0)</x:f>
        <x:v>0</x:v>
      </x:c>
      <x:c r="AS123" t="str">
        <x:f>_xlfn.XLOOKUP($A123,Games!$A$2:$A$18,Games!$N$2:$N$18,"Missing game",0)</x:f>
        <x:v>outdoors</x:v>
      </x:c>
      <x:c r="AT123" t="str">
        <x:f>_xlfn.XLOOKUP($A123,Games!$A$2:$A$18,Games!$O$2:$O$18,"Missing game",0)</x:f>
        <x:v>grass</x:v>
      </x:c>
      <x:c r="AU123" t="n">
        <x:f>_xlfn.XLOOKUP($A123,Games!$A$2:$A$18,Games!$P$2:$P$18,"Missing game",0)</x:f>
        <x:v>68</x:v>
      </x:c>
      <x:c r="AV123" t="n">
        <x:f>_xlfn.XLOOKUP($A123,Games!$A$2:$A$18,Games!$Q$2:$Q$18,"Missing game",0)</x:f>
        <x:v>6</x:v>
      </x:c>
      <x:c r="AW123" t="str">
        <x:f>_xlfn.XLOOKUP($A123,Games!$A$2:$A$18,Games!$R$2:$R$18,"Missing game",0)</x:f>
        <x:v>Soldier Field</x:v>
      </x:c>
    </x:row>
    <x:row r="124">
      <x:c r="A124" t="str">
        <x:v>2025_01_MIN_CHI</x:v>
      </x:c>
      <x:c r="B124" t="n">
        <x:v>3129</x:v>
      </x:c>
      <x:c r="C124" t="n">
        <x:v>4</x:v>
      </x:c>
      <x:c r="D124" t="str">
        <x:v>13:39</x:v>
      </x:c>
      <x:c r="E124" t="n">
        <x:v>1</x:v>
      </x:c>
      <x:c r="F124" t="n">
        <x:v>10</x:v>
      </x:c>
      <x:c r="G124" t="str">
        <x:v>MIN</x:v>
      </x:c>
      <x:c r="H124" t="str">
        <x:v>CHI</x:v>
      </x:c>
      <x:c r="I124" t="str">
        <x:v>CHI</x:v>
      </x:c>
      <x:c r="J124" t="n">
        <x:v>35</x:v>
      </x:c>
      <x:c r="K124" t="str">
        <x:v>(13:39) 9-J.McCarthy pass deep left to 18-J.Jefferson ran ob at CHI 18 for 17 yards [69-T.Kpassagnon].</x:v>
      </x:c>
      <x:c r="L124" t="str">
        <x:v>pass</x:v>
      </x:c>
      <x:c r="M124" t="n">
        <x:v>17</x:v>
      </x:c>
      <x:c r="N124" t="n">
        <x:v>0</x:v>
      </x:c>
      <x:c r="O124" t="n">
        <x:v>0</x:v>
      </x:c>
      <x:c r="P124" t="str">
        <x:v>deep</x:v>
      </x:c>
      <x:c r="Q124" t="str">
        <x:v>left</x:v>
      </x:c>
      <x:c r="R124" t="n">
        <x:v>17</x:v>
      </x:c>
      <x:c r="S124" t="n">
        <x:v>0</x:v>
      </x:c>
      <x:c r="T124"/>
      <x:c r="U124"/>
      <x:c r="V124" t="n">
        <x:v>1</x:v>
      </x:c>
      <x:c r="W124" t="n">
        <x:v>1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/>
      <x:c r="AC124" t="n">
        <x:v>0</x:v>
      </x:c>
      <x:c r="AD124" t="n">
        <x:v>1.1617460194975138</x:v>
      </x:c>
      <x:c r="AE124" t="n">
        <x:v>1</x:v>
      </x:c>
      <x:c r="AF124" t="n">
        <x:v>0.038431987166404724</x:v>
      </x:c>
      <x:c r="AG124" t="n">
        <x:f>_xlfn.XLOOKUP($A124,Games!$A$2:$A$18,Games!$B$2:$B$18,"Missing game",0)</x:f>
        <x:v>2025</x:v>
      </x:c>
      <x:c r="AH124" t="str">
        <x:f>_xlfn.XLOOKUP($A124,Games!$A$2:$A$18,Games!$C$2:$C$18,"Missing game",0)</x:f>
        <x:v>REG</x:v>
      </x:c>
      <x:c r="AI124" t="n">
        <x:f>_xlfn.XLOOKUP($A124,Games!$A$2:$A$18,Games!$D$2:$D$18,"Missing game",0)</x:f>
        <x:v>1</x:v>
      </x:c>
      <x:c r="AJ124" s="1" t="n">
        <x:f>_xlfn.XLOOKUP($A124,Games!$A$2:$A$18,Games!$E$2:$E$18,"Missing game",0)</x:f>
        <x:v>45908</x:v>
      </x:c>
      <x:c r="AK124" t="str">
        <x:f>_xlfn.XLOOKUP($A124,Games!$A$2:$A$18,Games!$F$2:$F$18,"Missing game",0)</x:f>
        <x:v>Monday</x:v>
      </x:c>
      <x:c r="AL124" t="str">
        <x:f>_xlfn.XLOOKUP($A124,Games!$A$2:$A$18,Games!$G$2:$G$18,"Missing game",0)</x:f>
        <x:v>MIN</x:v>
      </x:c>
      <x:c r="AM124" t="n">
        <x:f>_xlfn.XLOOKUP($A124,Games!$A$2:$A$18,Games!$H$2:$H$18,"Missing game",0)</x:f>
        <x:v>27</x:v>
      </x:c>
      <x:c r="AN124" t="str">
        <x:f>_xlfn.XLOOKUP($A124,Games!$A$2:$A$18,Games!$I$2:$I$18,"Missing game",0)</x:f>
        <x:v>CHI</x:v>
      </x:c>
      <x:c r="AO124" t="n">
        <x:f>_xlfn.XLOOKUP($A124,Games!$A$2:$A$18,Games!$J$2:$J$18,"Missing game",0)</x:f>
        <x:v>24</x:v>
      </x:c>
      <x:c r="AP124" t="n">
        <x:f>_xlfn.XLOOKUP($A124,Games!$A$2:$A$18,Games!$K$2:$K$18,"Missing game",0)</x:f>
        <x:v>-3</x:v>
      </x:c>
      <x:c r="AQ124" t="n">
        <x:f>_xlfn.XLOOKUP($A124,Games!$A$2:$A$18,Games!$L$2:$L$18,"Missing game",0)</x:f>
        <x:v>51</x:v>
      </x:c>
      <x:c r="AR124" t="n">
        <x:f>_xlfn.XLOOKUP($A124,Games!$A$2:$A$18,Games!$M$2:$M$18,"Missing game",0)</x:f>
        <x:v>0</x:v>
      </x:c>
      <x:c r="AS124" t="str">
        <x:f>_xlfn.XLOOKUP($A124,Games!$A$2:$A$18,Games!$N$2:$N$18,"Missing game",0)</x:f>
        <x:v>outdoors</x:v>
      </x:c>
      <x:c r="AT124" t="str">
        <x:f>_xlfn.XLOOKUP($A124,Games!$A$2:$A$18,Games!$O$2:$O$18,"Missing game",0)</x:f>
        <x:v>grass</x:v>
      </x:c>
      <x:c r="AU124" t="n">
        <x:f>_xlfn.XLOOKUP($A124,Games!$A$2:$A$18,Games!$P$2:$P$18,"Missing game",0)</x:f>
        <x:v>68</x:v>
      </x:c>
      <x:c r="AV124" t="n">
        <x:f>_xlfn.XLOOKUP($A124,Games!$A$2:$A$18,Games!$Q$2:$Q$18,"Missing game",0)</x:f>
        <x:v>6</x:v>
      </x:c>
      <x:c r="AW124" t="str">
        <x:f>_xlfn.XLOOKUP($A124,Games!$A$2:$A$18,Games!$R$2:$R$18,"Missing game",0)</x:f>
        <x:v>Soldier Field</x:v>
      </x:c>
    </x:row>
    <x:row r="125">
      <x:c r="A125" t="str">
        <x:v>2025_01_MIN_CHI</x:v>
      </x:c>
      <x:c r="B125" t="n">
        <x:v>3159</x:v>
      </x:c>
      <x:c r="C125" t="n">
        <x:v>4</x:v>
      </x:c>
      <x:c r="D125" t="str">
        <x:v>13:00</x:v>
      </x:c>
      <x:c r="E125" t="n">
        <x:v>1</x:v>
      </x:c>
      <x:c r="F125" t="n">
        <x:v>10</x:v>
      </x:c>
      <x:c r="G125" t="str">
        <x:v>MIN</x:v>
      </x:c>
      <x:c r="H125" t="str">
        <x:v>CHI</x:v>
      </x:c>
      <x:c r="I125" t="str">
        <x:v>CHI</x:v>
      </x:c>
      <x:c r="J125" t="n">
        <x:v>18</x:v>
      </x:c>
      <x:c r="K125" t="str">
        <x:v>(13:00) 27-J.Mason left end to CHI 13 for 5 yards (26-N.Wright).</x:v>
      </x:c>
      <x:c r="L125" t="str">
        <x:v>run</x:v>
      </x:c>
      <x:c r="M125" t="n">
        <x:v>5</x:v>
      </x:c>
      <x:c r="N125" t="n">
        <x:v>0</x:v>
      </x:c>
      <x:c r="O125" t="n">
        <x:v>0</x:v>
      </x:c>
      <x:c r="P125"/>
      <x:c r="Q125"/>
      <x:c r="R125"/>
      <x:c r="S125"/>
      <x:c r="T125" t="str">
        <x:v>left</x:v>
      </x:c>
      <x:c r="U125" t="str">
        <x:v>end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/>
      <x:c r="AC125" t="n">
        <x:v>0</x:v>
      </x:c>
      <x:c r="AD125" t="n">
        <x:v>0.06734011752996594</x:v>
      </x:c>
      <x:c r="AE125" t="n">
        <x:v>1</x:v>
      </x:c>
      <x:c r="AF125" t="n">
        <x:v>-0.002950116991996765</x:v>
      </x:c>
      <x:c r="AG125" t="n">
        <x:f>_xlfn.XLOOKUP($A125,Games!$A$2:$A$18,Games!$B$2:$B$18,"Missing game",0)</x:f>
        <x:v>2025</x:v>
      </x:c>
      <x:c r="AH125" t="str">
        <x:f>_xlfn.XLOOKUP($A125,Games!$A$2:$A$18,Games!$C$2:$C$18,"Missing game",0)</x:f>
        <x:v>REG</x:v>
      </x:c>
      <x:c r="AI125" t="n">
        <x:f>_xlfn.XLOOKUP($A125,Games!$A$2:$A$18,Games!$D$2:$D$18,"Missing game",0)</x:f>
        <x:v>1</x:v>
      </x:c>
      <x:c r="AJ125" s="1" t="n">
        <x:f>_xlfn.XLOOKUP($A125,Games!$A$2:$A$18,Games!$E$2:$E$18,"Missing game",0)</x:f>
        <x:v>45908</x:v>
      </x:c>
      <x:c r="AK125" t="str">
        <x:f>_xlfn.XLOOKUP($A125,Games!$A$2:$A$18,Games!$F$2:$F$18,"Missing game",0)</x:f>
        <x:v>Monday</x:v>
      </x:c>
      <x:c r="AL125" t="str">
        <x:f>_xlfn.XLOOKUP($A125,Games!$A$2:$A$18,Games!$G$2:$G$18,"Missing game",0)</x:f>
        <x:v>MIN</x:v>
      </x:c>
      <x:c r="AM125" t="n">
        <x:f>_xlfn.XLOOKUP($A125,Games!$A$2:$A$18,Games!$H$2:$H$18,"Missing game",0)</x:f>
        <x:v>27</x:v>
      </x:c>
      <x:c r="AN125" t="str">
        <x:f>_xlfn.XLOOKUP($A125,Games!$A$2:$A$18,Games!$I$2:$I$18,"Missing game",0)</x:f>
        <x:v>CHI</x:v>
      </x:c>
      <x:c r="AO125" t="n">
        <x:f>_xlfn.XLOOKUP($A125,Games!$A$2:$A$18,Games!$J$2:$J$18,"Missing game",0)</x:f>
        <x:v>24</x:v>
      </x:c>
      <x:c r="AP125" t="n">
        <x:f>_xlfn.XLOOKUP($A125,Games!$A$2:$A$18,Games!$K$2:$K$18,"Missing game",0)</x:f>
        <x:v>-3</x:v>
      </x:c>
      <x:c r="AQ125" t="n">
        <x:f>_xlfn.XLOOKUP($A125,Games!$A$2:$A$18,Games!$L$2:$L$18,"Missing game",0)</x:f>
        <x:v>51</x:v>
      </x:c>
      <x:c r="AR125" t="n">
        <x:f>_xlfn.XLOOKUP($A125,Games!$A$2:$A$18,Games!$M$2:$M$18,"Missing game",0)</x:f>
        <x:v>0</x:v>
      </x:c>
      <x:c r="AS125" t="str">
        <x:f>_xlfn.XLOOKUP($A125,Games!$A$2:$A$18,Games!$N$2:$N$18,"Missing game",0)</x:f>
        <x:v>outdoors</x:v>
      </x:c>
      <x:c r="AT125" t="str">
        <x:f>_xlfn.XLOOKUP($A125,Games!$A$2:$A$18,Games!$O$2:$O$18,"Missing game",0)</x:f>
        <x:v>grass</x:v>
      </x:c>
      <x:c r="AU125" t="n">
        <x:f>_xlfn.XLOOKUP($A125,Games!$A$2:$A$18,Games!$P$2:$P$18,"Missing game",0)</x:f>
        <x:v>68</x:v>
      </x:c>
      <x:c r="AV125" t="n">
        <x:f>_xlfn.XLOOKUP($A125,Games!$A$2:$A$18,Games!$Q$2:$Q$18,"Missing game",0)</x:f>
        <x:v>6</x:v>
      </x:c>
      <x:c r="AW125" t="str">
        <x:f>_xlfn.XLOOKUP($A125,Games!$A$2:$A$18,Games!$R$2:$R$18,"Missing game",0)</x:f>
        <x:v>Soldier Field</x:v>
      </x:c>
    </x:row>
    <x:row r="126">
      <x:c r="A126" t="str">
        <x:v>2025_01_MIN_CHI</x:v>
      </x:c>
      <x:c r="B126" t="n">
        <x:v>3181</x:v>
      </x:c>
      <x:c r="C126" t="n">
        <x:v>4</x:v>
      </x:c>
      <x:c r="D126" t="str">
        <x:v>12:23</x:v>
      </x:c>
      <x:c r="E126" t="n">
        <x:v>2</x:v>
      </x:c>
      <x:c r="F126" t="n">
        <x:v>5</x:v>
      </x:c>
      <x:c r="G126" t="str">
        <x:v>MIN</x:v>
      </x:c>
      <x:c r="H126" t="str">
        <x:v>CHI</x:v>
      </x:c>
      <x:c r="I126" t="str">
        <x:v>CHI</x:v>
      </x:c>
      <x:c r="J126" t="n">
        <x:v>13</x:v>
      </x:c>
      <x:c r="K126" t="str">
        <x:v>(12:23) 9-J.McCarthy pass incomplete short left to 1-J.Nailor (98-M.Sweat).</x:v>
      </x:c>
      <x:c r="L126" t="str">
        <x:v>pass</x:v>
      </x:c>
      <x:c r="M126" t="n">
        <x:v>0</x:v>
      </x:c>
      <x:c r="N126" t="n">
        <x:v>0</x:v>
      </x:c>
      <x:c r="O126" t="n">
        <x:v>0</x:v>
      </x:c>
      <x:c r="P126" t="str">
        <x:v>short</x:v>
      </x:c>
      <x:c r="Q126" t="str">
        <x:v>left</x:v>
      </x:c>
      <x:c r="R126" t="n">
        <x:v>-5</x:v>
      </x:c>
      <x:c r="S126"/>
      <x:c r="T126"/>
      <x:c r="U126"/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/>
      <x:c r="AC126" t="n">
        <x:v>0</x:v>
      </x:c>
      <x:c r="AD126" t="n">
        <x:v>-0.734092484402936</x:v>
      </x:c>
      <x:c r="AE126" t="n">
        <x:v>0</x:v>
      </x:c>
      <x:c r="AF126" t="n">
        <x:v>-0.010571897029876709</x:v>
      </x:c>
      <x:c r="AG126" t="n">
        <x:f>_xlfn.XLOOKUP($A126,Games!$A$2:$A$18,Games!$B$2:$B$18,"Missing game",0)</x:f>
        <x:v>2025</x:v>
      </x:c>
      <x:c r="AH126" t="str">
        <x:f>_xlfn.XLOOKUP($A126,Games!$A$2:$A$18,Games!$C$2:$C$18,"Missing game",0)</x:f>
        <x:v>REG</x:v>
      </x:c>
      <x:c r="AI126" t="n">
        <x:f>_xlfn.XLOOKUP($A126,Games!$A$2:$A$18,Games!$D$2:$D$18,"Missing game",0)</x:f>
        <x:v>1</x:v>
      </x:c>
      <x:c r="AJ126" s="1" t="n">
        <x:f>_xlfn.XLOOKUP($A126,Games!$A$2:$A$18,Games!$E$2:$E$18,"Missing game",0)</x:f>
        <x:v>45908</x:v>
      </x:c>
      <x:c r="AK126" t="str">
        <x:f>_xlfn.XLOOKUP($A126,Games!$A$2:$A$18,Games!$F$2:$F$18,"Missing game",0)</x:f>
        <x:v>Monday</x:v>
      </x:c>
      <x:c r="AL126" t="str">
        <x:f>_xlfn.XLOOKUP($A126,Games!$A$2:$A$18,Games!$G$2:$G$18,"Missing game",0)</x:f>
        <x:v>MIN</x:v>
      </x:c>
      <x:c r="AM126" t="n">
        <x:f>_xlfn.XLOOKUP($A126,Games!$A$2:$A$18,Games!$H$2:$H$18,"Missing game",0)</x:f>
        <x:v>27</x:v>
      </x:c>
      <x:c r="AN126" t="str">
        <x:f>_xlfn.XLOOKUP($A126,Games!$A$2:$A$18,Games!$I$2:$I$18,"Missing game",0)</x:f>
        <x:v>CHI</x:v>
      </x:c>
      <x:c r="AO126" t="n">
        <x:f>_xlfn.XLOOKUP($A126,Games!$A$2:$A$18,Games!$J$2:$J$18,"Missing game",0)</x:f>
        <x:v>24</x:v>
      </x:c>
      <x:c r="AP126" t="n">
        <x:f>_xlfn.XLOOKUP($A126,Games!$A$2:$A$18,Games!$K$2:$K$18,"Missing game",0)</x:f>
        <x:v>-3</x:v>
      </x:c>
      <x:c r="AQ126" t="n">
        <x:f>_xlfn.XLOOKUP($A126,Games!$A$2:$A$18,Games!$L$2:$L$18,"Missing game",0)</x:f>
        <x:v>51</x:v>
      </x:c>
      <x:c r="AR126" t="n">
        <x:f>_xlfn.XLOOKUP($A126,Games!$A$2:$A$18,Games!$M$2:$M$18,"Missing game",0)</x:f>
        <x:v>0</x:v>
      </x:c>
      <x:c r="AS126" t="str">
        <x:f>_xlfn.XLOOKUP($A126,Games!$A$2:$A$18,Games!$N$2:$N$18,"Missing game",0)</x:f>
        <x:v>outdoors</x:v>
      </x:c>
      <x:c r="AT126" t="str">
        <x:f>_xlfn.XLOOKUP($A126,Games!$A$2:$A$18,Games!$O$2:$O$18,"Missing game",0)</x:f>
        <x:v>grass</x:v>
      </x:c>
      <x:c r="AU126" t="n">
        <x:f>_xlfn.XLOOKUP($A126,Games!$A$2:$A$18,Games!$P$2:$P$18,"Missing game",0)</x:f>
        <x:v>68</x:v>
      </x:c>
      <x:c r="AV126" t="n">
        <x:f>_xlfn.XLOOKUP($A126,Games!$A$2:$A$18,Games!$Q$2:$Q$18,"Missing game",0)</x:f>
        <x:v>6</x:v>
      </x:c>
      <x:c r="AW126" t="str">
        <x:f>_xlfn.XLOOKUP($A126,Games!$A$2:$A$18,Games!$R$2:$R$18,"Missing game",0)</x:f>
        <x:v>Soldier Field</x:v>
      </x:c>
    </x:row>
    <x:row r="127">
      <x:c r="A127" t="str">
        <x:v>2025_01_MIN_CHI</x:v>
      </x:c>
      <x:c r="B127" t="n">
        <x:v>3204</x:v>
      </x:c>
      <x:c r="C127" t="n">
        <x:v>4</x:v>
      </x:c>
      <x:c r="D127" t="str">
        <x:v>12:18</x:v>
      </x:c>
      <x:c r="E127" t="n">
        <x:v>3</x:v>
      </x:c>
      <x:c r="F127" t="n">
        <x:v>5</x:v>
      </x:c>
      <x:c r="G127" t="str">
        <x:v>MIN</x:v>
      </x:c>
      <x:c r="H127" t="str">
        <x:v>CHI</x:v>
      </x:c>
      <x:c r="I127" t="str">
        <x:v>CHI</x:v>
      </x:c>
      <x:c r="J127" t="n">
        <x:v>13</x:v>
      </x:c>
      <x:c r="K127" t="str">
        <x:v>(12:18) (Shotgun) 9-J.McCarthy pass short middle to 18-J.Jefferson for 13 yards, TOUCHDOWN.</x:v>
      </x:c>
      <x:c r="L127" t="str">
        <x:v>pass</x:v>
      </x:c>
      <x:c r="M127" t="n">
        <x:v>13</x:v>
      </x:c>
      <x:c r="N127" t="n">
        <x:v>1</x:v>
      </x:c>
      <x:c r="O127" t="n">
        <x:v>0</x:v>
      </x:c>
      <x:c r="P127" t="str">
        <x:v>short</x:v>
      </x:c>
      <x:c r="Q127" t="str">
        <x:v>middle</x:v>
      </x:c>
      <x:c r="R127" t="n">
        <x:v>13</x:v>
      </x:c>
      <x:c r="S127" t="n">
        <x:v>0</x:v>
      </x:c>
      <x:c r="T127"/>
      <x:c r="U127"/>
      <x:c r="V127" t="n">
        <x:v>1</x:v>
      </x:c>
      <x:c r="W127" t="n">
        <x:v>1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/>
      <x:c r="AC127" t="n">
        <x:v>1</x:v>
      </x:c>
      <x:c r="AD127" t="n">
        <x:v>2.8834659578860737</x:v>
      </x:c>
      <x:c r="AE127" t="n">
        <x:v>1</x:v>
      </x:c>
      <x:c r="AF127" t="n">
        <x:v>0.06394681236147881</x:v>
      </x:c>
      <x:c r="AG127" t="n">
        <x:f>_xlfn.XLOOKUP($A127,Games!$A$2:$A$18,Games!$B$2:$B$18,"Missing game",0)</x:f>
        <x:v>2025</x:v>
      </x:c>
      <x:c r="AH127" t="str">
        <x:f>_xlfn.XLOOKUP($A127,Games!$A$2:$A$18,Games!$C$2:$C$18,"Missing game",0)</x:f>
        <x:v>REG</x:v>
      </x:c>
      <x:c r="AI127" t="n">
        <x:f>_xlfn.XLOOKUP($A127,Games!$A$2:$A$18,Games!$D$2:$D$18,"Missing game",0)</x:f>
        <x:v>1</x:v>
      </x:c>
      <x:c r="AJ127" s="1" t="n">
        <x:f>_xlfn.XLOOKUP($A127,Games!$A$2:$A$18,Games!$E$2:$E$18,"Missing game",0)</x:f>
        <x:v>45908</x:v>
      </x:c>
      <x:c r="AK127" t="str">
        <x:f>_xlfn.XLOOKUP($A127,Games!$A$2:$A$18,Games!$F$2:$F$18,"Missing game",0)</x:f>
        <x:v>Monday</x:v>
      </x:c>
      <x:c r="AL127" t="str">
        <x:f>_xlfn.XLOOKUP($A127,Games!$A$2:$A$18,Games!$G$2:$G$18,"Missing game",0)</x:f>
        <x:v>MIN</x:v>
      </x:c>
      <x:c r="AM127" t="n">
        <x:f>_xlfn.XLOOKUP($A127,Games!$A$2:$A$18,Games!$H$2:$H$18,"Missing game",0)</x:f>
        <x:v>27</x:v>
      </x:c>
      <x:c r="AN127" t="str">
        <x:f>_xlfn.XLOOKUP($A127,Games!$A$2:$A$18,Games!$I$2:$I$18,"Missing game",0)</x:f>
        <x:v>CHI</x:v>
      </x:c>
      <x:c r="AO127" t="n">
        <x:f>_xlfn.XLOOKUP($A127,Games!$A$2:$A$18,Games!$J$2:$J$18,"Missing game",0)</x:f>
        <x:v>24</x:v>
      </x:c>
      <x:c r="AP127" t="n">
        <x:f>_xlfn.XLOOKUP($A127,Games!$A$2:$A$18,Games!$K$2:$K$18,"Missing game",0)</x:f>
        <x:v>-3</x:v>
      </x:c>
      <x:c r="AQ127" t="n">
        <x:f>_xlfn.XLOOKUP($A127,Games!$A$2:$A$18,Games!$L$2:$L$18,"Missing game",0)</x:f>
        <x:v>51</x:v>
      </x:c>
      <x:c r="AR127" t="n">
        <x:f>_xlfn.XLOOKUP($A127,Games!$A$2:$A$18,Games!$M$2:$M$18,"Missing game",0)</x:f>
        <x:v>0</x:v>
      </x:c>
      <x:c r="AS127" t="str">
        <x:f>_xlfn.XLOOKUP($A127,Games!$A$2:$A$18,Games!$N$2:$N$18,"Missing game",0)</x:f>
        <x:v>outdoors</x:v>
      </x:c>
      <x:c r="AT127" t="str">
        <x:f>_xlfn.XLOOKUP($A127,Games!$A$2:$A$18,Games!$O$2:$O$18,"Missing game",0)</x:f>
        <x:v>grass</x:v>
      </x:c>
      <x:c r="AU127" t="n">
        <x:f>_xlfn.XLOOKUP($A127,Games!$A$2:$A$18,Games!$P$2:$P$18,"Missing game",0)</x:f>
        <x:v>68</x:v>
      </x:c>
      <x:c r="AV127" t="n">
        <x:f>_xlfn.XLOOKUP($A127,Games!$A$2:$A$18,Games!$Q$2:$Q$18,"Missing game",0)</x:f>
        <x:v>6</x:v>
      </x:c>
      <x:c r="AW127" t="str">
        <x:f>_xlfn.XLOOKUP($A127,Games!$A$2:$A$18,Games!$R$2:$R$18,"Missing game",0)</x:f>
        <x:v>Soldier Field</x:v>
      </x:c>
    </x:row>
    <x:row r="128">
      <x:c r="A128" t="str">
        <x:v>2025_01_MIN_CHI</x:v>
      </x:c>
      <x:c r="B128" t="n">
        <x:v>3230</x:v>
      </x:c>
      <x:c r="C128" t="n">
        <x:v>4</x:v>
      </x:c>
      <x:c r="D128" t="str">
        <x:v>12:13</x:v>
      </x:c>
      <x:c r="E128"/>
      <x:c r="F128" t="n">
        <x:v>0</x:v>
      </x:c>
      <x:c r="G128" t="str">
        <x:v>MIN</x:v>
      </x:c>
      <x:c r="H128" t="str">
        <x:v>CHI</x:v>
      </x:c>
      <x:c r="I128" t="str">
        <x:v>CHI</x:v>
      </x:c>
      <x:c r="J128" t="n">
        <x:v>2</x:v>
      </x:c>
      <x:c r="K128" t="str">
        <x:v>TWO-POINT CONVERSION ATTEMPT. 9-J.McCarthy pass to 19-A.Thielen is incomplete. ATTEMPT FAILS. PENALTY on CHI-55-D.Odeyingbo, Illegal Use of Hands, 1 yard, enforced at CHI 2 - No Play.</x:v>
      </x:c>
      <x:c r="L128" t="str">
        <x:v>no_play</x:v>
      </x:c>
      <x:c r="M128" t="n">
        <x:v>0</x:v>
      </x:c>
      <x:c r="N128" t="n">
        <x:v>0</x:v>
      </x:c>
      <x:c r="O128" t="n">
        <x:v>0</x:v>
      </x:c>
      <x:c r="P128"/>
      <x:c r="Q128"/>
      <x:c r="R128"/>
      <x:c r="S128"/>
      <x:c r="T128"/>
      <x:c r="U128"/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1</x:v>
      </x:c>
      <x:c r="AB128" t="n">
        <x:v>1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f>_xlfn.XLOOKUP($A128,Games!$A$2:$A$18,Games!$B$2:$B$18,"Missing game",0)</x:f>
        <x:v>2025</x:v>
      </x:c>
      <x:c r="AH128" t="str">
        <x:f>_xlfn.XLOOKUP($A128,Games!$A$2:$A$18,Games!$C$2:$C$18,"Missing game",0)</x:f>
        <x:v>REG</x:v>
      </x:c>
      <x:c r="AI128" t="n">
        <x:f>_xlfn.XLOOKUP($A128,Games!$A$2:$A$18,Games!$D$2:$D$18,"Missing game",0)</x:f>
        <x:v>1</x:v>
      </x:c>
      <x:c r="AJ128" s="1" t="n">
        <x:f>_xlfn.XLOOKUP($A128,Games!$A$2:$A$18,Games!$E$2:$E$18,"Missing game",0)</x:f>
        <x:v>45908</x:v>
      </x:c>
      <x:c r="AK128" t="str">
        <x:f>_xlfn.XLOOKUP($A128,Games!$A$2:$A$18,Games!$F$2:$F$18,"Missing game",0)</x:f>
        <x:v>Monday</x:v>
      </x:c>
      <x:c r="AL128" t="str">
        <x:f>_xlfn.XLOOKUP($A128,Games!$A$2:$A$18,Games!$G$2:$G$18,"Missing game",0)</x:f>
        <x:v>MIN</x:v>
      </x:c>
      <x:c r="AM128" t="n">
        <x:f>_xlfn.XLOOKUP($A128,Games!$A$2:$A$18,Games!$H$2:$H$18,"Missing game",0)</x:f>
        <x:v>27</x:v>
      </x:c>
      <x:c r="AN128" t="str">
        <x:f>_xlfn.XLOOKUP($A128,Games!$A$2:$A$18,Games!$I$2:$I$18,"Missing game",0)</x:f>
        <x:v>CHI</x:v>
      </x:c>
      <x:c r="AO128" t="n">
        <x:f>_xlfn.XLOOKUP($A128,Games!$A$2:$A$18,Games!$J$2:$J$18,"Missing game",0)</x:f>
        <x:v>24</x:v>
      </x:c>
      <x:c r="AP128" t="n">
        <x:f>_xlfn.XLOOKUP($A128,Games!$A$2:$A$18,Games!$K$2:$K$18,"Missing game",0)</x:f>
        <x:v>-3</x:v>
      </x:c>
      <x:c r="AQ128" t="n">
        <x:f>_xlfn.XLOOKUP($A128,Games!$A$2:$A$18,Games!$L$2:$L$18,"Missing game",0)</x:f>
        <x:v>51</x:v>
      </x:c>
      <x:c r="AR128" t="n">
        <x:f>_xlfn.XLOOKUP($A128,Games!$A$2:$A$18,Games!$M$2:$M$18,"Missing game",0)</x:f>
        <x:v>0</x:v>
      </x:c>
      <x:c r="AS128" t="str">
        <x:f>_xlfn.XLOOKUP($A128,Games!$A$2:$A$18,Games!$N$2:$N$18,"Missing game",0)</x:f>
        <x:v>outdoors</x:v>
      </x:c>
      <x:c r="AT128" t="str">
        <x:f>_xlfn.XLOOKUP($A128,Games!$A$2:$A$18,Games!$O$2:$O$18,"Missing game",0)</x:f>
        <x:v>grass</x:v>
      </x:c>
      <x:c r="AU128" t="n">
        <x:f>_xlfn.XLOOKUP($A128,Games!$A$2:$A$18,Games!$P$2:$P$18,"Missing game",0)</x:f>
        <x:v>68</x:v>
      </x:c>
      <x:c r="AV128" t="n">
        <x:f>_xlfn.XLOOKUP($A128,Games!$A$2:$A$18,Games!$Q$2:$Q$18,"Missing game",0)</x:f>
        <x:v>6</x:v>
      </x:c>
      <x:c r="AW128" t="str">
        <x:f>_xlfn.XLOOKUP($A128,Games!$A$2:$A$18,Games!$R$2:$R$18,"Missing game",0)</x:f>
        <x:v>Soldier Field</x:v>
      </x:c>
    </x:row>
    <x:row r="129">
      <x:c r="A129" t="str">
        <x:v>2025_01_MIN_CHI</x:v>
      </x:c>
      <x:c r="B129" t="n">
        <x:v>3254</x:v>
      </x:c>
      <x:c r="C129" t="n">
        <x:v>4</x:v>
      </x:c>
      <x:c r="D129" t="str">
        <x:v>12:13</x:v>
      </x:c>
      <x:c r="E129"/>
      <x:c r="F129" t="n">
        <x:v>0</x:v>
      </x:c>
      <x:c r="G129" t="str">
        <x:v>MIN</x:v>
      </x:c>
      <x:c r="H129" t="str">
        <x:v>CHI</x:v>
      </x:c>
      <x:c r="I129" t="str">
        <x:v>CHI</x:v>
      </x:c>
      <x:c r="J129" t="n">
        <x:v>1</x:v>
      </x:c>
      <x:c r="K129" t="str">
        <x:v>TWO-POINT CONVERSION ATTEMPT. 9-J.McCarthy pass to 84-J.Oliver is complete. ATTEMPT FAILS.</x:v>
      </x:c>
      <x:c r="L129" t="str">
        <x:v>pass</x:v>
      </x:c>
      <x:c r="M129" t="n">
        <x:v>0</x:v>
      </x:c>
      <x:c r="N129" t="n">
        <x:v>0</x:v>
      </x:c>
      <x:c r="O129" t="n">
        <x:v>0</x:v>
      </x:c>
      <x:c r="P129"/>
      <x:c r="Q129"/>
      <x:c r="R129"/>
      <x:c r="S129"/>
      <x:c r="T129"/>
      <x:c r="U129"/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/>
      <x:c r="AC129" t="n">
        <x:v>0</x:v>
      </x:c>
      <x:c r="AD129" t="n">
        <x:v>-0.947</x:v>
      </x:c>
      <x:c r="AE129" t="n">
        <x:v>0</x:v>
      </x:c>
      <x:c r="AF129" t="n">
        <x:v>-0.0243325968682766</x:v>
      </x:c>
      <x:c r="AG129" t="n">
        <x:f>_xlfn.XLOOKUP($A129,Games!$A$2:$A$18,Games!$B$2:$B$18,"Missing game",0)</x:f>
        <x:v>2025</x:v>
      </x:c>
      <x:c r="AH129" t="str">
        <x:f>_xlfn.XLOOKUP($A129,Games!$A$2:$A$18,Games!$C$2:$C$18,"Missing game",0)</x:f>
        <x:v>REG</x:v>
      </x:c>
      <x:c r="AI129" t="n">
        <x:f>_xlfn.XLOOKUP($A129,Games!$A$2:$A$18,Games!$D$2:$D$18,"Missing game",0)</x:f>
        <x:v>1</x:v>
      </x:c>
      <x:c r="AJ129" s="1" t="n">
        <x:f>_xlfn.XLOOKUP($A129,Games!$A$2:$A$18,Games!$E$2:$E$18,"Missing game",0)</x:f>
        <x:v>45908</x:v>
      </x:c>
      <x:c r="AK129" t="str">
        <x:f>_xlfn.XLOOKUP($A129,Games!$A$2:$A$18,Games!$F$2:$F$18,"Missing game",0)</x:f>
        <x:v>Monday</x:v>
      </x:c>
      <x:c r="AL129" t="str">
        <x:f>_xlfn.XLOOKUP($A129,Games!$A$2:$A$18,Games!$G$2:$G$18,"Missing game",0)</x:f>
        <x:v>MIN</x:v>
      </x:c>
      <x:c r="AM129" t="n">
        <x:f>_xlfn.XLOOKUP($A129,Games!$A$2:$A$18,Games!$H$2:$H$18,"Missing game",0)</x:f>
        <x:v>27</x:v>
      </x:c>
      <x:c r="AN129" t="str">
        <x:f>_xlfn.XLOOKUP($A129,Games!$A$2:$A$18,Games!$I$2:$I$18,"Missing game",0)</x:f>
        <x:v>CHI</x:v>
      </x:c>
      <x:c r="AO129" t="n">
        <x:f>_xlfn.XLOOKUP($A129,Games!$A$2:$A$18,Games!$J$2:$J$18,"Missing game",0)</x:f>
        <x:v>24</x:v>
      </x:c>
      <x:c r="AP129" t="n">
        <x:f>_xlfn.XLOOKUP($A129,Games!$A$2:$A$18,Games!$K$2:$K$18,"Missing game",0)</x:f>
        <x:v>-3</x:v>
      </x:c>
      <x:c r="AQ129" t="n">
        <x:f>_xlfn.XLOOKUP($A129,Games!$A$2:$A$18,Games!$L$2:$L$18,"Missing game",0)</x:f>
        <x:v>51</x:v>
      </x:c>
      <x:c r="AR129" t="n">
        <x:f>_xlfn.XLOOKUP($A129,Games!$A$2:$A$18,Games!$M$2:$M$18,"Missing game",0)</x:f>
        <x:v>0</x:v>
      </x:c>
      <x:c r="AS129" t="str">
        <x:f>_xlfn.XLOOKUP($A129,Games!$A$2:$A$18,Games!$N$2:$N$18,"Missing game",0)</x:f>
        <x:v>outdoors</x:v>
      </x:c>
      <x:c r="AT129" t="str">
        <x:f>_xlfn.XLOOKUP($A129,Games!$A$2:$A$18,Games!$O$2:$O$18,"Missing game",0)</x:f>
        <x:v>grass</x:v>
      </x:c>
      <x:c r="AU129" t="n">
        <x:f>_xlfn.XLOOKUP($A129,Games!$A$2:$A$18,Games!$P$2:$P$18,"Missing game",0)</x:f>
        <x:v>68</x:v>
      </x:c>
      <x:c r="AV129" t="n">
        <x:f>_xlfn.XLOOKUP($A129,Games!$A$2:$A$18,Games!$Q$2:$Q$18,"Missing game",0)</x:f>
        <x:v>6</x:v>
      </x:c>
      <x:c r="AW129" t="str">
        <x:f>_xlfn.XLOOKUP($A129,Games!$A$2:$A$18,Games!$R$2:$R$18,"Missing game",0)</x:f>
        <x:v>Soldier Field</x:v>
      </x:c>
    </x:row>
    <x:row r="130">
      <x:c r="A130" t="str">
        <x:v>2025_01_MIN_CHI</x:v>
      </x:c>
      <x:c r="B130" t="n">
        <x:v>3267</x:v>
      </x:c>
      <x:c r="C130" t="n">
        <x:v>4</x:v>
      </x:c>
      <x:c r="D130" t="str">
        <x:v>12:13</x:v>
      </x:c>
      <x:c r="E130"/>
      <x:c r="F130" t="n">
        <x:v>0</x:v>
      </x:c>
      <x:c r="G130" t="str">
        <x:v>CHI</x:v>
      </x:c>
      <x:c r="H130" t="str">
        <x:v>MIN</x:v>
      </x:c>
      <x:c r="I130" t="str">
        <x:v>MIN</x:v>
      </x:c>
      <x:c r="J130" t="n">
        <x:v>35</x:v>
      </x:c>
      <x:c r="K130" t="str">
        <x:v>16-W.Reichard kicks 66 yards from MIN 35 to CHI -1. 12-D.Duvernay to CHI 25 for 26 yards (55-E.Wilson).</x:v>
      </x:c>
      <x:c r="L130" t="str">
        <x:v>kickoff</x:v>
      </x:c>
      <x:c r="M130" t="n">
        <x:v>0</x:v>
      </x:c>
      <x:c r="N130" t="n">
        <x:v>0</x:v>
      </x:c>
      <x:c r="O130" t="n">
        <x:v>0</x:v>
      </x:c>
      <x:c r="P130"/>
      <x:c r="Q130"/>
      <x:c r="R130"/>
      <x:c r="S130"/>
      <x:c r="T130"/>
      <x:c r="U130"/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/>
      <x:c r="AC130" t="n">
        <x:v>0</x:v>
      </x:c>
      <x:c r="AD130" t="n">
        <x:v>-0.008373720105737448</x:v>
      </x:c>
      <x:c r="AE130" t="n">
        <x:v>0</x:v>
      </x:c>
      <x:c r="AF130" t="n">
        <x:v>0</x:v>
      </x:c>
      <x:c r="AG130" t="n">
        <x:f>_xlfn.XLOOKUP($A130,Games!$A$2:$A$18,Games!$B$2:$B$18,"Missing game",0)</x:f>
        <x:v>2025</x:v>
      </x:c>
      <x:c r="AH130" t="str">
        <x:f>_xlfn.XLOOKUP($A130,Games!$A$2:$A$18,Games!$C$2:$C$18,"Missing game",0)</x:f>
        <x:v>REG</x:v>
      </x:c>
      <x:c r="AI130" t="n">
        <x:f>_xlfn.XLOOKUP($A130,Games!$A$2:$A$18,Games!$D$2:$D$18,"Missing game",0)</x:f>
        <x:v>1</x:v>
      </x:c>
      <x:c r="AJ130" s="1" t="n">
        <x:f>_xlfn.XLOOKUP($A130,Games!$A$2:$A$18,Games!$E$2:$E$18,"Missing game",0)</x:f>
        <x:v>45908</x:v>
      </x:c>
      <x:c r="AK130" t="str">
        <x:f>_xlfn.XLOOKUP($A130,Games!$A$2:$A$18,Games!$F$2:$F$18,"Missing game",0)</x:f>
        <x:v>Monday</x:v>
      </x:c>
      <x:c r="AL130" t="str">
        <x:f>_xlfn.XLOOKUP($A130,Games!$A$2:$A$18,Games!$G$2:$G$18,"Missing game",0)</x:f>
        <x:v>MIN</x:v>
      </x:c>
      <x:c r="AM130" t="n">
        <x:f>_xlfn.XLOOKUP($A130,Games!$A$2:$A$18,Games!$H$2:$H$18,"Missing game",0)</x:f>
        <x:v>27</x:v>
      </x:c>
      <x:c r="AN130" t="str">
        <x:f>_xlfn.XLOOKUP($A130,Games!$A$2:$A$18,Games!$I$2:$I$18,"Missing game",0)</x:f>
        <x:v>CHI</x:v>
      </x:c>
      <x:c r="AO130" t="n">
        <x:f>_xlfn.XLOOKUP($A130,Games!$A$2:$A$18,Games!$J$2:$J$18,"Missing game",0)</x:f>
        <x:v>24</x:v>
      </x:c>
      <x:c r="AP130" t="n">
        <x:f>_xlfn.XLOOKUP($A130,Games!$A$2:$A$18,Games!$K$2:$K$18,"Missing game",0)</x:f>
        <x:v>-3</x:v>
      </x:c>
      <x:c r="AQ130" t="n">
        <x:f>_xlfn.XLOOKUP($A130,Games!$A$2:$A$18,Games!$L$2:$L$18,"Missing game",0)</x:f>
        <x:v>51</x:v>
      </x:c>
      <x:c r="AR130" t="n">
        <x:f>_xlfn.XLOOKUP($A130,Games!$A$2:$A$18,Games!$M$2:$M$18,"Missing game",0)</x:f>
        <x:v>0</x:v>
      </x:c>
      <x:c r="AS130" t="str">
        <x:f>_xlfn.XLOOKUP($A130,Games!$A$2:$A$18,Games!$N$2:$N$18,"Missing game",0)</x:f>
        <x:v>outdoors</x:v>
      </x:c>
      <x:c r="AT130" t="str">
        <x:f>_xlfn.XLOOKUP($A130,Games!$A$2:$A$18,Games!$O$2:$O$18,"Missing game",0)</x:f>
        <x:v>grass</x:v>
      </x:c>
      <x:c r="AU130" t="n">
        <x:f>_xlfn.XLOOKUP($A130,Games!$A$2:$A$18,Games!$P$2:$P$18,"Missing game",0)</x:f>
        <x:v>68</x:v>
      </x:c>
      <x:c r="AV130" t="n">
        <x:f>_xlfn.XLOOKUP($A130,Games!$A$2:$A$18,Games!$Q$2:$Q$18,"Missing game",0)</x:f>
        <x:v>6</x:v>
      </x:c>
      <x:c r="AW130" t="str">
        <x:f>_xlfn.XLOOKUP($A130,Games!$A$2:$A$18,Games!$R$2:$R$18,"Missing game",0)</x:f>
        <x:v>Soldier Field</x:v>
      </x:c>
    </x:row>
    <x:row r="131">
      <x:c r="A131" t="str">
        <x:v>2025_01_MIN_CHI</x:v>
      </x:c>
      <x:c r="B131" t="n">
        <x:v>3299</x:v>
      </x:c>
      <x:c r="C131" t="n">
        <x:v>4</x:v>
      </x:c>
      <x:c r="D131" t="str">
        <x:v>12:09</x:v>
      </x:c>
      <x:c r="E131" t="n">
        <x:v>1</x:v>
      </x:c>
      <x:c r="F131" t="n">
        <x:v>10</x:v>
      </x:c>
      <x:c r="G131" t="str">
        <x:v>CHI</x:v>
      </x:c>
      <x:c r="H131" t="str">
        <x:v>MIN</x:v>
      </x:c>
      <x:c r="I131" t="str">
        <x:v>CHI</x:v>
      </x:c>
      <x:c r="J131" t="n">
        <x:v>75</x:v>
      </x:c>
      <x:c r="K131" t="str">
        <x:v>(12:09) (Shotgun) 18-C.Williams sacked at CHI 17 for -8 yards (97-J.Hargrave).</x:v>
      </x:c>
      <x:c r="L131" t="str">
        <x:v>pass</x:v>
      </x:c>
      <x:c r="M131" t="n">
        <x:v>-8</x:v>
      </x:c>
      <x:c r="N131" t="n">
        <x:v>1</x:v>
      </x:c>
      <x:c r="O131" t="n">
        <x:v>0</x:v>
      </x:c>
      <x:c r="P131"/>
      <x:c r="Q131"/>
      <x:c r="R131"/>
      <x:c r="S131"/>
      <x:c r="T131"/>
      <x:c r="U131"/>
      <x:c r="V131" t="n">
        <x:v>0</x:v>
      </x:c>
      <x:c r="W131" t="n">
        <x:v>0</x:v>
      </x:c>
      <x:c r="X131" t="n">
        <x:v>1</x:v>
      </x:c>
      <x:c r="Y131" t="n">
        <x:v>0</x:v>
      </x:c>
      <x:c r="Z131" t="n">
        <x:v>0</x:v>
      </x:c>
      <x:c r="AA131" t="n">
        <x:v>0</x:v>
      </x:c>
      <x:c r="AB131"/>
      <x:c r="AC131" t="n">
        <x:v>0</x:v>
      </x:c>
      <x:c r="AD131" t="n">
        <x:v>-1.4470694514457136</x:v>
      </x:c>
      <x:c r="AE131" t="n">
        <x:v>0</x:v>
      </x:c>
      <x:c r="AF131" t="n">
        <x:v>-0.03271591663360596</x:v>
      </x:c>
      <x:c r="AG131" t="n">
        <x:f>_xlfn.XLOOKUP($A131,Games!$A$2:$A$18,Games!$B$2:$B$18,"Missing game",0)</x:f>
        <x:v>2025</x:v>
      </x:c>
      <x:c r="AH131" t="str">
        <x:f>_xlfn.XLOOKUP($A131,Games!$A$2:$A$18,Games!$C$2:$C$18,"Missing game",0)</x:f>
        <x:v>REG</x:v>
      </x:c>
      <x:c r="AI131" t="n">
        <x:f>_xlfn.XLOOKUP($A131,Games!$A$2:$A$18,Games!$D$2:$D$18,"Missing game",0)</x:f>
        <x:v>1</x:v>
      </x:c>
      <x:c r="AJ131" s="1" t="n">
        <x:f>_xlfn.XLOOKUP($A131,Games!$A$2:$A$18,Games!$E$2:$E$18,"Missing game",0)</x:f>
        <x:v>45908</x:v>
      </x:c>
      <x:c r="AK131" t="str">
        <x:f>_xlfn.XLOOKUP($A131,Games!$A$2:$A$18,Games!$F$2:$F$18,"Missing game",0)</x:f>
        <x:v>Monday</x:v>
      </x:c>
      <x:c r="AL131" t="str">
        <x:f>_xlfn.XLOOKUP($A131,Games!$A$2:$A$18,Games!$G$2:$G$18,"Missing game",0)</x:f>
        <x:v>MIN</x:v>
      </x:c>
      <x:c r="AM131" t="n">
        <x:f>_xlfn.XLOOKUP($A131,Games!$A$2:$A$18,Games!$H$2:$H$18,"Missing game",0)</x:f>
        <x:v>27</x:v>
      </x:c>
      <x:c r="AN131" t="str">
        <x:f>_xlfn.XLOOKUP($A131,Games!$A$2:$A$18,Games!$I$2:$I$18,"Missing game",0)</x:f>
        <x:v>CHI</x:v>
      </x:c>
      <x:c r="AO131" t="n">
        <x:f>_xlfn.XLOOKUP($A131,Games!$A$2:$A$18,Games!$J$2:$J$18,"Missing game",0)</x:f>
        <x:v>24</x:v>
      </x:c>
      <x:c r="AP131" t="n">
        <x:f>_xlfn.XLOOKUP($A131,Games!$A$2:$A$18,Games!$K$2:$K$18,"Missing game",0)</x:f>
        <x:v>-3</x:v>
      </x:c>
      <x:c r="AQ131" t="n">
        <x:f>_xlfn.XLOOKUP($A131,Games!$A$2:$A$18,Games!$L$2:$L$18,"Missing game",0)</x:f>
        <x:v>51</x:v>
      </x:c>
      <x:c r="AR131" t="n">
        <x:f>_xlfn.XLOOKUP($A131,Games!$A$2:$A$18,Games!$M$2:$M$18,"Missing game",0)</x:f>
        <x:v>0</x:v>
      </x:c>
      <x:c r="AS131" t="str">
        <x:f>_xlfn.XLOOKUP($A131,Games!$A$2:$A$18,Games!$N$2:$N$18,"Missing game",0)</x:f>
        <x:v>outdoors</x:v>
      </x:c>
      <x:c r="AT131" t="str">
        <x:f>_xlfn.XLOOKUP($A131,Games!$A$2:$A$18,Games!$O$2:$O$18,"Missing game",0)</x:f>
        <x:v>grass</x:v>
      </x:c>
      <x:c r="AU131" t="n">
        <x:f>_xlfn.XLOOKUP($A131,Games!$A$2:$A$18,Games!$P$2:$P$18,"Missing game",0)</x:f>
        <x:v>68</x:v>
      </x:c>
      <x:c r="AV131" t="n">
        <x:f>_xlfn.XLOOKUP($A131,Games!$A$2:$A$18,Games!$Q$2:$Q$18,"Missing game",0)</x:f>
        <x:v>6</x:v>
      </x:c>
      <x:c r="AW131" t="str">
        <x:f>_xlfn.XLOOKUP($A131,Games!$A$2:$A$18,Games!$R$2:$R$18,"Missing game",0)</x:f>
        <x:v>Soldier Field</x:v>
      </x:c>
    </x:row>
    <x:row r="132">
      <x:c r="A132" t="str">
        <x:v>2025_01_MIN_CHI</x:v>
      </x:c>
      <x:c r="B132" t="n">
        <x:v>3319</x:v>
      </x:c>
      <x:c r="C132" t="n">
        <x:v>4</x:v>
      </x:c>
      <x:c r="D132" t="str">
        <x:v>11:33</x:v>
      </x:c>
      <x:c r="E132" t="n">
        <x:v>2</x:v>
      </x:c>
      <x:c r="F132" t="n">
        <x:v>18</x:v>
      </x:c>
      <x:c r="G132" t="str">
        <x:v>CHI</x:v>
      </x:c>
      <x:c r="H132" t="str">
        <x:v>MIN</x:v>
      </x:c>
      <x:c r="I132" t="str">
        <x:v>CHI</x:v>
      </x:c>
      <x:c r="J132" t="n">
        <x:v>83</x:v>
      </x:c>
      <x:c r="K132" t="str">
        <x:v>(11:33) (Shotgun) 4-D.Swift right guard to CHI 16 for -1 yards (55-E.Wilson).</x:v>
      </x:c>
      <x:c r="L132" t="str">
        <x:v>run</x:v>
      </x:c>
      <x:c r="M132" t="n">
        <x:v>-1</x:v>
      </x:c>
      <x:c r="N132" t="n">
        <x:v>1</x:v>
      </x:c>
      <x:c r="O132" t="n">
        <x:v>0</x:v>
      </x:c>
      <x:c r="P132"/>
      <x:c r="Q132"/>
      <x:c r="R132"/>
      <x:c r="S132"/>
      <x:c r="T132" t="str">
        <x:v>right</x:v>
      </x:c>
      <x:c r="U132" t="str">
        <x:v>guard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/>
      <x:c r="AC132" t="n">
        <x:v>0</x:v>
      </x:c>
      <x:c r="AD132" t="n">
        <x:v>-0.8165794932283461</x:v>
      </x:c>
      <x:c r="AE132" t="n">
        <x:v>0</x:v>
      </x:c>
      <x:c r="AF132" t="n">
        <x:v>-0.024564743041992188</x:v>
      </x:c>
      <x:c r="AG132" t="n">
        <x:f>_xlfn.XLOOKUP($A132,Games!$A$2:$A$18,Games!$B$2:$B$18,"Missing game",0)</x:f>
        <x:v>2025</x:v>
      </x:c>
      <x:c r="AH132" t="str">
        <x:f>_xlfn.XLOOKUP($A132,Games!$A$2:$A$18,Games!$C$2:$C$18,"Missing game",0)</x:f>
        <x:v>REG</x:v>
      </x:c>
      <x:c r="AI132" t="n">
        <x:f>_xlfn.XLOOKUP($A132,Games!$A$2:$A$18,Games!$D$2:$D$18,"Missing game",0)</x:f>
        <x:v>1</x:v>
      </x:c>
      <x:c r="AJ132" s="1" t="n">
        <x:f>_xlfn.XLOOKUP($A132,Games!$A$2:$A$18,Games!$E$2:$E$18,"Missing game",0)</x:f>
        <x:v>45908</x:v>
      </x:c>
      <x:c r="AK132" t="str">
        <x:f>_xlfn.XLOOKUP($A132,Games!$A$2:$A$18,Games!$F$2:$F$18,"Missing game",0)</x:f>
        <x:v>Monday</x:v>
      </x:c>
      <x:c r="AL132" t="str">
        <x:f>_xlfn.XLOOKUP($A132,Games!$A$2:$A$18,Games!$G$2:$G$18,"Missing game",0)</x:f>
        <x:v>MIN</x:v>
      </x:c>
      <x:c r="AM132" t="n">
        <x:f>_xlfn.XLOOKUP($A132,Games!$A$2:$A$18,Games!$H$2:$H$18,"Missing game",0)</x:f>
        <x:v>27</x:v>
      </x:c>
      <x:c r="AN132" t="str">
        <x:f>_xlfn.XLOOKUP($A132,Games!$A$2:$A$18,Games!$I$2:$I$18,"Missing game",0)</x:f>
        <x:v>CHI</x:v>
      </x:c>
      <x:c r="AO132" t="n">
        <x:f>_xlfn.XLOOKUP($A132,Games!$A$2:$A$18,Games!$J$2:$J$18,"Missing game",0)</x:f>
        <x:v>24</x:v>
      </x:c>
      <x:c r="AP132" t="n">
        <x:f>_xlfn.XLOOKUP($A132,Games!$A$2:$A$18,Games!$K$2:$K$18,"Missing game",0)</x:f>
        <x:v>-3</x:v>
      </x:c>
      <x:c r="AQ132" t="n">
        <x:f>_xlfn.XLOOKUP($A132,Games!$A$2:$A$18,Games!$L$2:$L$18,"Missing game",0)</x:f>
        <x:v>51</x:v>
      </x:c>
      <x:c r="AR132" t="n">
        <x:f>_xlfn.XLOOKUP($A132,Games!$A$2:$A$18,Games!$M$2:$M$18,"Missing game",0)</x:f>
        <x:v>0</x:v>
      </x:c>
      <x:c r="AS132" t="str">
        <x:f>_xlfn.XLOOKUP($A132,Games!$A$2:$A$18,Games!$N$2:$N$18,"Missing game",0)</x:f>
        <x:v>outdoors</x:v>
      </x:c>
      <x:c r="AT132" t="str">
        <x:f>_xlfn.XLOOKUP($A132,Games!$A$2:$A$18,Games!$O$2:$O$18,"Missing game",0)</x:f>
        <x:v>grass</x:v>
      </x:c>
      <x:c r="AU132" t="n">
        <x:f>_xlfn.XLOOKUP($A132,Games!$A$2:$A$18,Games!$P$2:$P$18,"Missing game",0)</x:f>
        <x:v>68</x:v>
      </x:c>
      <x:c r="AV132" t="n">
        <x:f>_xlfn.XLOOKUP($A132,Games!$A$2:$A$18,Games!$Q$2:$Q$18,"Missing game",0)</x:f>
        <x:v>6</x:v>
      </x:c>
      <x:c r="AW132" t="str">
        <x:f>_xlfn.XLOOKUP($A132,Games!$A$2:$A$18,Games!$R$2:$R$18,"Missing game",0)</x:f>
        <x:v>Soldier Field</x:v>
      </x:c>
    </x:row>
    <x:row r="133">
      <x:c r="A133" t="str">
        <x:v>2025_01_MIN_CHI</x:v>
      </x:c>
      <x:c r="B133" t="n">
        <x:v>3341</x:v>
      </x:c>
      <x:c r="C133" t="n">
        <x:v>4</x:v>
      </x:c>
      <x:c r="D133" t="str">
        <x:v>10:53</x:v>
      </x:c>
      <x:c r="E133" t="n">
        <x:v>3</x:v>
      </x:c>
      <x:c r="F133" t="n">
        <x:v>19</x:v>
      </x:c>
      <x:c r="G133" t="str">
        <x:v>CHI</x:v>
      </x:c>
      <x:c r="H133" t="str">
        <x:v>MIN</x:v>
      </x:c>
      <x:c r="I133" t="str">
        <x:v>CHI</x:v>
      </x:c>
      <x:c r="J133" t="n">
        <x:v>84</x:v>
      </x:c>
      <x:c r="K133" t="str">
        <x:v>(10:53) (Shotgun) 18-C.Williams pass incomplete short right to 15-R.Odunze (43-A.Van Ginkel).</x:v>
      </x:c>
      <x:c r="L133" t="str">
        <x:v>pass</x:v>
      </x:c>
      <x:c r="M133" t="n">
        <x:v>0</x:v>
      </x:c>
      <x:c r="N133" t="n">
        <x:v>1</x:v>
      </x:c>
      <x:c r="O133" t="n">
        <x:v>0</x:v>
      </x:c>
      <x:c r="P133" t="str">
        <x:v>short</x:v>
      </x:c>
      <x:c r="Q133" t="str">
        <x:v>right</x:v>
      </x:c>
      <x:c r="R133" t="n">
        <x:v>-5</x:v>
      </x:c>
      <x:c r="S133"/>
      <x:c r="T133"/>
      <x:c r="U133"/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/>
      <x:c r="AC133" t="n">
        <x:v>0</x:v>
      </x:c>
      <x:c r="AD133" t="n">
        <x:v>-0.8971525286324322</x:v>
      </x:c>
      <x:c r="AE133" t="n">
        <x:v>0</x:v>
      </x:c>
      <x:c r="AF133" t="n">
        <x:v>-0.0633692741394043</x:v>
      </x:c>
      <x:c r="AG133" t="n">
        <x:f>_xlfn.XLOOKUP($A133,Games!$A$2:$A$18,Games!$B$2:$B$18,"Missing game",0)</x:f>
        <x:v>2025</x:v>
      </x:c>
      <x:c r="AH133" t="str">
        <x:f>_xlfn.XLOOKUP($A133,Games!$A$2:$A$18,Games!$C$2:$C$18,"Missing game",0)</x:f>
        <x:v>REG</x:v>
      </x:c>
      <x:c r="AI133" t="n">
        <x:f>_xlfn.XLOOKUP($A133,Games!$A$2:$A$18,Games!$D$2:$D$18,"Missing game",0)</x:f>
        <x:v>1</x:v>
      </x:c>
      <x:c r="AJ133" s="1" t="n">
        <x:f>_xlfn.XLOOKUP($A133,Games!$A$2:$A$18,Games!$E$2:$E$18,"Missing game",0)</x:f>
        <x:v>45908</x:v>
      </x:c>
      <x:c r="AK133" t="str">
        <x:f>_xlfn.XLOOKUP($A133,Games!$A$2:$A$18,Games!$F$2:$F$18,"Missing game",0)</x:f>
        <x:v>Monday</x:v>
      </x:c>
      <x:c r="AL133" t="str">
        <x:f>_xlfn.XLOOKUP($A133,Games!$A$2:$A$18,Games!$G$2:$G$18,"Missing game",0)</x:f>
        <x:v>MIN</x:v>
      </x:c>
      <x:c r="AM133" t="n">
        <x:f>_xlfn.XLOOKUP($A133,Games!$A$2:$A$18,Games!$H$2:$H$18,"Missing game",0)</x:f>
        <x:v>27</x:v>
      </x:c>
      <x:c r="AN133" t="str">
        <x:f>_xlfn.XLOOKUP($A133,Games!$A$2:$A$18,Games!$I$2:$I$18,"Missing game",0)</x:f>
        <x:v>CHI</x:v>
      </x:c>
      <x:c r="AO133" t="n">
        <x:f>_xlfn.XLOOKUP($A133,Games!$A$2:$A$18,Games!$J$2:$J$18,"Missing game",0)</x:f>
        <x:v>24</x:v>
      </x:c>
      <x:c r="AP133" t="n">
        <x:f>_xlfn.XLOOKUP($A133,Games!$A$2:$A$18,Games!$K$2:$K$18,"Missing game",0)</x:f>
        <x:v>-3</x:v>
      </x:c>
      <x:c r="AQ133" t="n">
        <x:f>_xlfn.XLOOKUP($A133,Games!$A$2:$A$18,Games!$L$2:$L$18,"Missing game",0)</x:f>
        <x:v>51</x:v>
      </x:c>
      <x:c r="AR133" t="n">
        <x:f>_xlfn.XLOOKUP($A133,Games!$A$2:$A$18,Games!$M$2:$M$18,"Missing game",0)</x:f>
        <x:v>0</x:v>
      </x:c>
      <x:c r="AS133" t="str">
        <x:f>_xlfn.XLOOKUP($A133,Games!$A$2:$A$18,Games!$N$2:$N$18,"Missing game",0)</x:f>
        <x:v>outdoors</x:v>
      </x:c>
      <x:c r="AT133" t="str">
        <x:f>_xlfn.XLOOKUP($A133,Games!$A$2:$A$18,Games!$O$2:$O$18,"Missing game",0)</x:f>
        <x:v>grass</x:v>
      </x:c>
      <x:c r="AU133" t="n">
        <x:f>_xlfn.XLOOKUP($A133,Games!$A$2:$A$18,Games!$P$2:$P$18,"Missing game",0)</x:f>
        <x:v>68</x:v>
      </x:c>
      <x:c r="AV133" t="n">
        <x:f>_xlfn.XLOOKUP($A133,Games!$A$2:$A$18,Games!$Q$2:$Q$18,"Missing game",0)</x:f>
        <x:v>6</x:v>
      </x:c>
      <x:c r="AW133" t="str">
        <x:f>_xlfn.XLOOKUP($A133,Games!$A$2:$A$18,Games!$R$2:$R$18,"Missing game",0)</x:f>
        <x:v>Soldier Field</x:v>
      </x:c>
    </x:row>
    <x:row r="134">
      <x:c r="A134" t="str">
        <x:v>2025_01_MIN_CHI</x:v>
      </x:c>
      <x:c r="B134" t="n">
        <x:v>3364</x:v>
      </x:c>
      <x:c r="C134" t="n">
        <x:v>4</x:v>
      </x:c>
      <x:c r="D134" t="str">
        <x:v>10:51</x:v>
      </x:c>
      <x:c r="E134" t="n">
        <x:v>4</x:v>
      </x:c>
      <x:c r="F134" t="n">
        <x:v>19</x:v>
      </x:c>
      <x:c r="G134" t="str">
        <x:v>CHI</x:v>
      </x:c>
      <x:c r="H134" t="str">
        <x:v>MIN</x:v>
      </x:c>
      <x:c r="I134" t="str">
        <x:v>CHI</x:v>
      </x:c>
      <x:c r="J134" t="n">
        <x:v>84</x:v>
      </x:c>
      <x:c r="K134" t="str">
        <x:v>(10:51) 19-T.Taylor punts 56 yards to MIN 28, Center-46-S.Daly. 4-M.Price to 50 for 22 yards (22-E.Hicks; 46-S.Daly).</x:v>
      </x:c>
      <x:c r="L134" t="str">
        <x:v>punt</x:v>
      </x:c>
      <x:c r="M134" t="n">
        <x:v>0</x:v>
      </x:c>
      <x:c r="N134" t="n">
        <x:v>0</x:v>
      </x:c>
      <x:c r="O134" t="n">
        <x:v>0</x:v>
      </x:c>
      <x:c r="P134"/>
      <x:c r="Q134"/>
      <x:c r="R134"/>
      <x:c r="S134"/>
      <x:c r="T134"/>
      <x:c r="U134"/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/>
      <x:c r="AC134" t="n">
        <x:v>0</x:v>
      </x:c>
      <x:c r="AD134" t="n">
        <x:v>-0.5942695017438382</x:v>
      </x:c>
      <x:c r="AE134" t="n">
        <x:v>0</x:v>
      </x:c>
      <x:c r="AF134" t="n">
        <x:v>0.015555143356323242</x:v>
      </x:c>
      <x:c r="AG134" t="n">
        <x:f>_xlfn.XLOOKUP($A134,Games!$A$2:$A$18,Games!$B$2:$B$18,"Missing game",0)</x:f>
        <x:v>2025</x:v>
      </x:c>
      <x:c r="AH134" t="str">
        <x:f>_xlfn.XLOOKUP($A134,Games!$A$2:$A$18,Games!$C$2:$C$18,"Missing game",0)</x:f>
        <x:v>REG</x:v>
      </x:c>
      <x:c r="AI134" t="n">
        <x:f>_xlfn.XLOOKUP($A134,Games!$A$2:$A$18,Games!$D$2:$D$18,"Missing game",0)</x:f>
        <x:v>1</x:v>
      </x:c>
      <x:c r="AJ134" s="1" t="n">
        <x:f>_xlfn.XLOOKUP($A134,Games!$A$2:$A$18,Games!$E$2:$E$18,"Missing game",0)</x:f>
        <x:v>45908</x:v>
      </x:c>
      <x:c r="AK134" t="str">
        <x:f>_xlfn.XLOOKUP($A134,Games!$A$2:$A$18,Games!$F$2:$F$18,"Missing game",0)</x:f>
        <x:v>Monday</x:v>
      </x:c>
      <x:c r="AL134" t="str">
        <x:f>_xlfn.XLOOKUP($A134,Games!$A$2:$A$18,Games!$G$2:$G$18,"Missing game",0)</x:f>
        <x:v>MIN</x:v>
      </x:c>
      <x:c r="AM134" t="n">
        <x:f>_xlfn.XLOOKUP($A134,Games!$A$2:$A$18,Games!$H$2:$H$18,"Missing game",0)</x:f>
        <x:v>27</x:v>
      </x:c>
      <x:c r="AN134" t="str">
        <x:f>_xlfn.XLOOKUP($A134,Games!$A$2:$A$18,Games!$I$2:$I$18,"Missing game",0)</x:f>
        <x:v>CHI</x:v>
      </x:c>
      <x:c r="AO134" t="n">
        <x:f>_xlfn.XLOOKUP($A134,Games!$A$2:$A$18,Games!$J$2:$J$18,"Missing game",0)</x:f>
        <x:v>24</x:v>
      </x:c>
      <x:c r="AP134" t="n">
        <x:f>_xlfn.XLOOKUP($A134,Games!$A$2:$A$18,Games!$K$2:$K$18,"Missing game",0)</x:f>
        <x:v>-3</x:v>
      </x:c>
      <x:c r="AQ134" t="n">
        <x:f>_xlfn.XLOOKUP($A134,Games!$A$2:$A$18,Games!$L$2:$L$18,"Missing game",0)</x:f>
        <x:v>51</x:v>
      </x:c>
      <x:c r="AR134" t="n">
        <x:f>_xlfn.XLOOKUP($A134,Games!$A$2:$A$18,Games!$M$2:$M$18,"Missing game",0)</x:f>
        <x:v>0</x:v>
      </x:c>
      <x:c r="AS134" t="str">
        <x:f>_xlfn.XLOOKUP($A134,Games!$A$2:$A$18,Games!$N$2:$N$18,"Missing game",0)</x:f>
        <x:v>outdoors</x:v>
      </x:c>
      <x:c r="AT134" t="str">
        <x:f>_xlfn.XLOOKUP($A134,Games!$A$2:$A$18,Games!$O$2:$O$18,"Missing game",0)</x:f>
        <x:v>grass</x:v>
      </x:c>
      <x:c r="AU134" t="n">
        <x:f>_xlfn.XLOOKUP($A134,Games!$A$2:$A$18,Games!$P$2:$P$18,"Missing game",0)</x:f>
        <x:v>68</x:v>
      </x:c>
      <x:c r="AV134" t="n">
        <x:f>_xlfn.XLOOKUP($A134,Games!$A$2:$A$18,Games!$Q$2:$Q$18,"Missing game",0)</x:f>
        <x:v>6</x:v>
      </x:c>
      <x:c r="AW134" t="str">
        <x:f>_xlfn.XLOOKUP($A134,Games!$A$2:$A$18,Games!$R$2:$R$18,"Missing game",0)</x:f>
        <x:v>Soldier Field</x:v>
      </x:c>
    </x:row>
    <x:row r="135">
      <x:c r="A135" t="str">
        <x:v>2025_01_MIN_CHI</x:v>
      </x:c>
      <x:c r="B135" t="n">
        <x:v>3390</x:v>
      </x:c>
      <x:c r="C135" t="n">
        <x:v>4</x:v>
      </x:c>
      <x:c r="D135" t="str">
        <x:v>10:37</x:v>
      </x:c>
      <x:c r="E135" t="n">
        <x:v>1</x:v>
      </x:c>
      <x:c r="F135" t="n">
        <x:v>10</x:v>
      </x:c>
      <x:c r="G135" t="str">
        <x:v>MIN</x:v>
      </x:c>
      <x:c r="H135" t="str">
        <x:v>CHI</x:v>
      </x:c>
      <x:c r="I135" t="str">
        <x:v>50</x:v>
      </x:c>
      <x:c r="J135" t="n">
        <x:v>50</x:v>
      </x:c>
      <x:c r="K135" t="str">
        <x:v>(10:37) 33-A.Jones right tackle to CHI 41 for 9 yards (29-T.Stevenson).</x:v>
      </x:c>
      <x:c r="L135" t="str">
        <x:v>run</x:v>
      </x:c>
      <x:c r="M135" t="n">
        <x:v>9</x:v>
      </x:c>
      <x:c r="N135" t="n">
        <x:v>0</x:v>
      </x:c>
      <x:c r="O135" t="n">
        <x:v>0</x:v>
      </x:c>
      <x:c r="P135"/>
      <x:c r="Q135"/>
      <x:c r="R135"/>
      <x:c r="S135"/>
      <x:c r="T135" t="str">
        <x:v>right</x:v>
      </x:c>
      <x:c r="U135" t="str">
        <x:v>tackle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/>
      <x:c r="AC135" t="n">
        <x:v>0</x:v>
      </x:c>
      <x:c r="AD135" t="n">
        <x:v>0.6564568707253784</x:v>
      </x:c>
      <x:c r="AE135" t="n">
        <x:v>1</x:v>
      </x:c>
      <x:c r="AF135" t="n">
        <x:v>0.016605257987976074</x:v>
      </x:c>
      <x:c r="AG135" t="n">
        <x:f>_xlfn.XLOOKUP($A135,Games!$A$2:$A$18,Games!$B$2:$B$18,"Missing game",0)</x:f>
        <x:v>2025</x:v>
      </x:c>
      <x:c r="AH135" t="str">
        <x:f>_xlfn.XLOOKUP($A135,Games!$A$2:$A$18,Games!$C$2:$C$18,"Missing game",0)</x:f>
        <x:v>REG</x:v>
      </x:c>
      <x:c r="AI135" t="n">
        <x:f>_xlfn.XLOOKUP($A135,Games!$A$2:$A$18,Games!$D$2:$D$18,"Missing game",0)</x:f>
        <x:v>1</x:v>
      </x:c>
      <x:c r="AJ135" s="1" t="n">
        <x:f>_xlfn.XLOOKUP($A135,Games!$A$2:$A$18,Games!$E$2:$E$18,"Missing game",0)</x:f>
        <x:v>45908</x:v>
      </x:c>
      <x:c r="AK135" t="str">
        <x:f>_xlfn.XLOOKUP($A135,Games!$A$2:$A$18,Games!$F$2:$F$18,"Missing game",0)</x:f>
        <x:v>Monday</x:v>
      </x:c>
      <x:c r="AL135" t="str">
        <x:f>_xlfn.XLOOKUP($A135,Games!$A$2:$A$18,Games!$G$2:$G$18,"Missing game",0)</x:f>
        <x:v>MIN</x:v>
      </x:c>
      <x:c r="AM135" t="n">
        <x:f>_xlfn.XLOOKUP($A135,Games!$A$2:$A$18,Games!$H$2:$H$18,"Missing game",0)</x:f>
        <x:v>27</x:v>
      </x:c>
      <x:c r="AN135" t="str">
        <x:f>_xlfn.XLOOKUP($A135,Games!$A$2:$A$18,Games!$I$2:$I$18,"Missing game",0)</x:f>
        <x:v>CHI</x:v>
      </x:c>
      <x:c r="AO135" t="n">
        <x:f>_xlfn.XLOOKUP($A135,Games!$A$2:$A$18,Games!$J$2:$J$18,"Missing game",0)</x:f>
        <x:v>24</x:v>
      </x:c>
      <x:c r="AP135" t="n">
        <x:f>_xlfn.XLOOKUP($A135,Games!$A$2:$A$18,Games!$K$2:$K$18,"Missing game",0)</x:f>
        <x:v>-3</x:v>
      </x:c>
      <x:c r="AQ135" t="n">
        <x:f>_xlfn.XLOOKUP($A135,Games!$A$2:$A$18,Games!$L$2:$L$18,"Missing game",0)</x:f>
        <x:v>51</x:v>
      </x:c>
      <x:c r="AR135" t="n">
        <x:f>_xlfn.XLOOKUP($A135,Games!$A$2:$A$18,Games!$M$2:$M$18,"Missing game",0)</x:f>
        <x:v>0</x:v>
      </x:c>
      <x:c r="AS135" t="str">
        <x:f>_xlfn.XLOOKUP($A135,Games!$A$2:$A$18,Games!$N$2:$N$18,"Missing game",0)</x:f>
        <x:v>outdoors</x:v>
      </x:c>
      <x:c r="AT135" t="str">
        <x:f>_xlfn.XLOOKUP($A135,Games!$A$2:$A$18,Games!$O$2:$O$18,"Missing game",0)</x:f>
        <x:v>grass</x:v>
      </x:c>
      <x:c r="AU135" t="n">
        <x:f>_xlfn.XLOOKUP($A135,Games!$A$2:$A$18,Games!$P$2:$P$18,"Missing game",0)</x:f>
        <x:v>68</x:v>
      </x:c>
      <x:c r="AV135" t="n">
        <x:f>_xlfn.XLOOKUP($A135,Games!$A$2:$A$18,Games!$Q$2:$Q$18,"Missing game",0)</x:f>
        <x:v>6</x:v>
      </x:c>
      <x:c r="AW135" t="str">
        <x:f>_xlfn.XLOOKUP($A135,Games!$A$2:$A$18,Games!$R$2:$R$18,"Missing game",0)</x:f>
        <x:v>Soldier Field</x:v>
      </x:c>
    </x:row>
    <x:row r="136">
      <x:c r="A136" t="str">
        <x:v>2025_01_MIN_CHI</x:v>
      </x:c>
      <x:c r="B136" t="n">
        <x:v>3419</x:v>
      </x:c>
      <x:c r="C136" t="n">
        <x:v>4</x:v>
      </x:c>
      <x:c r="D136" t="str">
        <x:v>10:03</x:v>
      </x:c>
      <x:c r="E136" t="n">
        <x:v>2</x:v>
      </x:c>
      <x:c r="F136" t="n">
        <x:v>1</x:v>
      </x:c>
      <x:c r="G136" t="str">
        <x:v>MIN</x:v>
      </x:c>
      <x:c r="H136" t="str">
        <x:v>CHI</x:v>
      </x:c>
      <x:c r="I136" t="str">
        <x:v>CHI</x:v>
      </x:c>
      <x:c r="J136" t="n">
        <x:v>41</x:v>
      </x:c>
      <x:c r="K136" t="str">
        <x:v>(10:03) 9-J.McCarthy pass incomplete deep right to 18-J.Jefferson. CHI-26-N.Wright was injured during the play.</x:v>
      </x:c>
      <x:c r="L136" t="str">
        <x:v>pass</x:v>
      </x:c>
      <x:c r="M136" t="n">
        <x:v>0</x:v>
      </x:c>
      <x:c r="N136" t="n">
        <x:v>0</x:v>
      </x:c>
      <x:c r="O136" t="n">
        <x:v>0</x:v>
      </x:c>
      <x:c r="P136" t="str">
        <x:v>deep</x:v>
      </x:c>
      <x:c r="Q136" t="str">
        <x:v>right</x:v>
      </x:c>
      <x:c r="R136" t="n">
        <x:v>23</x:v>
      </x:c>
      <x:c r="S136"/>
      <x:c r="T136"/>
      <x:c r="U136"/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/>
      <x:c r="AC136" t="n">
        <x:v>0</x:v>
      </x:c>
      <x:c r="AD136" t="n">
        <x:v>-0.5675516254268587</x:v>
      </x:c>
      <x:c r="AE136" t="n">
        <x:v>0</x:v>
      </x:c>
      <x:c r="AF136" t="n">
        <x:v>-0.027258068323135376</x:v>
      </x:c>
      <x:c r="AG136" t="n">
        <x:f>_xlfn.XLOOKUP($A136,Games!$A$2:$A$18,Games!$B$2:$B$18,"Missing game",0)</x:f>
        <x:v>2025</x:v>
      </x:c>
      <x:c r="AH136" t="str">
        <x:f>_xlfn.XLOOKUP($A136,Games!$A$2:$A$18,Games!$C$2:$C$18,"Missing game",0)</x:f>
        <x:v>REG</x:v>
      </x:c>
      <x:c r="AI136" t="n">
        <x:f>_xlfn.XLOOKUP($A136,Games!$A$2:$A$18,Games!$D$2:$D$18,"Missing game",0)</x:f>
        <x:v>1</x:v>
      </x:c>
      <x:c r="AJ136" s="1" t="n">
        <x:f>_xlfn.XLOOKUP($A136,Games!$A$2:$A$18,Games!$E$2:$E$18,"Missing game",0)</x:f>
        <x:v>45908</x:v>
      </x:c>
      <x:c r="AK136" t="str">
        <x:f>_xlfn.XLOOKUP($A136,Games!$A$2:$A$18,Games!$F$2:$F$18,"Missing game",0)</x:f>
        <x:v>Monday</x:v>
      </x:c>
      <x:c r="AL136" t="str">
        <x:f>_xlfn.XLOOKUP($A136,Games!$A$2:$A$18,Games!$G$2:$G$18,"Missing game",0)</x:f>
        <x:v>MIN</x:v>
      </x:c>
      <x:c r="AM136" t="n">
        <x:f>_xlfn.XLOOKUP($A136,Games!$A$2:$A$18,Games!$H$2:$H$18,"Missing game",0)</x:f>
        <x:v>27</x:v>
      </x:c>
      <x:c r="AN136" t="str">
        <x:f>_xlfn.XLOOKUP($A136,Games!$A$2:$A$18,Games!$I$2:$I$18,"Missing game",0)</x:f>
        <x:v>CHI</x:v>
      </x:c>
      <x:c r="AO136" t="n">
        <x:f>_xlfn.XLOOKUP($A136,Games!$A$2:$A$18,Games!$J$2:$J$18,"Missing game",0)</x:f>
        <x:v>24</x:v>
      </x:c>
      <x:c r="AP136" t="n">
        <x:f>_xlfn.XLOOKUP($A136,Games!$A$2:$A$18,Games!$K$2:$K$18,"Missing game",0)</x:f>
        <x:v>-3</x:v>
      </x:c>
      <x:c r="AQ136" t="n">
        <x:f>_xlfn.XLOOKUP($A136,Games!$A$2:$A$18,Games!$L$2:$L$18,"Missing game",0)</x:f>
        <x:v>51</x:v>
      </x:c>
      <x:c r="AR136" t="n">
        <x:f>_xlfn.XLOOKUP($A136,Games!$A$2:$A$18,Games!$M$2:$M$18,"Missing game",0)</x:f>
        <x:v>0</x:v>
      </x:c>
      <x:c r="AS136" t="str">
        <x:f>_xlfn.XLOOKUP($A136,Games!$A$2:$A$18,Games!$N$2:$N$18,"Missing game",0)</x:f>
        <x:v>outdoors</x:v>
      </x:c>
      <x:c r="AT136" t="str">
        <x:f>_xlfn.XLOOKUP($A136,Games!$A$2:$A$18,Games!$O$2:$O$18,"Missing game",0)</x:f>
        <x:v>grass</x:v>
      </x:c>
      <x:c r="AU136" t="n">
        <x:f>_xlfn.XLOOKUP($A136,Games!$A$2:$A$18,Games!$P$2:$P$18,"Missing game",0)</x:f>
        <x:v>68</x:v>
      </x:c>
      <x:c r="AV136" t="n">
        <x:f>_xlfn.XLOOKUP($A136,Games!$A$2:$A$18,Games!$Q$2:$Q$18,"Missing game",0)</x:f>
        <x:v>6</x:v>
      </x:c>
      <x:c r="AW136" t="str">
        <x:f>_xlfn.XLOOKUP($A136,Games!$A$2:$A$18,Games!$R$2:$R$18,"Missing game",0)</x:f>
        <x:v>Soldier Field</x:v>
      </x:c>
    </x:row>
    <x:row r="137">
      <x:c r="A137" t="str">
        <x:v>2025_01_MIN_CHI</x:v>
      </x:c>
      <x:c r="B137" t="n">
        <x:v>3442</x:v>
      </x:c>
      <x:c r="C137" t="n">
        <x:v>4</x:v>
      </x:c>
      <x:c r="D137" t="str">
        <x:v>09:57</x:v>
      </x:c>
      <x:c r="E137" t="n">
        <x:v>3</x:v>
      </x:c>
      <x:c r="F137" t="n">
        <x:v>1</x:v>
      </x:c>
      <x:c r="G137" t="str">
        <x:v>MIN</x:v>
      </x:c>
      <x:c r="H137" t="str">
        <x:v>CHI</x:v>
      </x:c>
      <x:c r="I137" t="str">
        <x:v>CHI</x:v>
      </x:c>
      <x:c r="J137" t="n">
        <x:v>41</x:v>
      </x:c>
      <x:c r="K137" t="str">
        <x:v>(9:57) 9-J.McCarthy pass incomplete deep left to 1-J.Nailor [98-M.Sweat]. PENALTY on CHI-29-T.Stevenson, Defensive Pass Interference, 14 yards, enforced at CHI 41 - No Play.</x:v>
      </x:c>
      <x:c r="L137" t="str">
        <x:v>no_play</x:v>
      </x:c>
      <x:c r="M137" t="n">
        <x:v>0</x:v>
      </x:c>
      <x:c r="N137" t="n">
        <x:v>0</x:v>
      </x:c>
      <x:c r="O137" t="n">
        <x:v>0</x:v>
      </x:c>
      <x:c r="P137"/>
      <x:c r="Q137"/>
      <x:c r="R137"/>
      <x:c r="S137"/>
      <x:c r="T137"/>
      <x:c r="U137"/>
      <x:c r="V137" t="n">
        <x:v>0</x:v>
      </x:c>
      <x:c r="W137" t="n">
        <x:v>1</x:v>
      </x:c>
      <x:c r="X137" t="n">
        <x:v>0</x:v>
      </x:c>
      <x:c r="Y137" t="n">
        <x:v>0</x:v>
      </x:c>
      <x:c r="Z137" t="n">
        <x:v>0</x:v>
      </x:c>
      <x:c r="AA137" t="n">
        <x:v>1</x:v>
      </x:c>
      <x:c r="AB137" t="n">
        <x:v>14</x:v>
      </x:c>
      <x:c r="AC137" t="n">
        <x:v>0</x:v>
      </x:c>
      <x:c r="AD137" t="n">
        <x:v>1.3085647810949013</x:v>
      </x:c>
      <x:c r="AE137" t="n">
        <x:v>1</x:v>
      </x:c>
      <x:c r="AF137" t="n">
        <x:v>0.10282409191131592</x:v>
      </x:c>
      <x:c r="AG137" t="n">
        <x:f>_xlfn.XLOOKUP($A137,Games!$A$2:$A$18,Games!$B$2:$B$18,"Missing game",0)</x:f>
        <x:v>2025</x:v>
      </x:c>
      <x:c r="AH137" t="str">
        <x:f>_xlfn.XLOOKUP($A137,Games!$A$2:$A$18,Games!$C$2:$C$18,"Missing game",0)</x:f>
        <x:v>REG</x:v>
      </x:c>
      <x:c r="AI137" t="n">
        <x:f>_xlfn.XLOOKUP($A137,Games!$A$2:$A$18,Games!$D$2:$D$18,"Missing game",0)</x:f>
        <x:v>1</x:v>
      </x:c>
      <x:c r="AJ137" s="1" t="n">
        <x:f>_xlfn.XLOOKUP($A137,Games!$A$2:$A$18,Games!$E$2:$E$18,"Missing game",0)</x:f>
        <x:v>45908</x:v>
      </x:c>
      <x:c r="AK137" t="str">
        <x:f>_xlfn.XLOOKUP($A137,Games!$A$2:$A$18,Games!$F$2:$F$18,"Missing game",0)</x:f>
        <x:v>Monday</x:v>
      </x:c>
      <x:c r="AL137" t="str">
        <x:f>_xlfn.XLOOKUP($A137,Games!$A$2:$A$18,Games!$G$2:$G$18,"Missing game",0)</x:f>
        <x:v>MIN</x:v>
      </x:c>
      <x:c r="AM137" t="n">
        <x:f>_xlfn.XLOOKUP($A137,Games!$A$2:$A$18,Games!$H$2:$H$18,"Missing game",0)</x:f>
        <x:v>27</x:v>
      </x:c>
      <x:c r="AN137" t="str">
        <x:f>_xlfn.XLOOKUP($A137,Games!$A$2:$A$18,Games!$I$2:$I$18,"Missing game",0)</x:f>
        <x:v>CHI</x:v>
      </x:c>
      <x:c r="AO137" t="n">
        <x:f>_xlfn.XLOOKUP($A137,Games!$A$2:$A$18,Games!$J$2:$J$18,"Missing game",0)</x:f>
        <x:v>24</x:v>
      </x:c>
      <x:c r="AP137" t="n">
        <x:f>_xlfn.XLOOKUP($A137,Games!$A$2:$A$18,Games!$K$2:$K$18,"Missing game",0)</x:f>
        <x:v>-3</x:v>
      </x:c>
      <x:c r="AQ137" t="n">
        <x:f>_xlfn.XLOOKUP($A137,Games!$A$2:$A$18,Games!$L$2:$L$18,"Missing game",0)</x:f>
        <x:v>51</x:v>
      </x:c>
      <x:c r="AR137" t="n">
        <x:f>_xlfn.XLOOKUP($A137,Games!$A$2:$A$18,Games!$M$2:$M$18,"Missing game",0)</x:f>
        <x:v>0</x:v>
      </x:c>
      <x:c r="AS137" t="str">
        <x:f>_xlfn.XLOOKUP($A137,Games!$A$2:$A$18,Games!$N$2:$N$18,"Missing game",0)</x:f>
        <x:v>outdoors</x:v>
      </x:c>
      <x:c r="AT137" t="str">
        <x:f>_xlfn.XLOOKUP($A137,Games!$A$2:$A$18,Games!$O$2:$O$18,"Missing game",0)</x:f>
        <x:v>grass</x:v>
      </x:c>
      <x:c r="AU137" t="n">
        <x:f>_xlfn.XLOOKUP($A137,Games!$A$2:$A$18,Games!$P$2:$P$18,"Missing game",0)</x:f>
        <x:v>68</x:v>
      </x:c>
      <x:c r="AV137" t="n">
        <x:f>_xlfn.XLOOKUP($A137,Games!$A$2:$A$18,Games!$Q$2:$Q$18,"Missing game",0)</x:f>
        <x:v>6</x:v>
      </x:c>
      <x:c r="AW137" t="str">
        <x:f>_xlfn.XLOOKUP($A137,Games!$A$2:$A$18,Games!$R$2:$R$18,"Missing game",0)</x:f>
        <x:v>Soldier Field</x:v>
      </x:c>
    </x:row>
    <x:row r="138">
      <x:c r="A138" t="str">
        <x:v>2025_01_MIN_CHI</x:v>
      </x:c>
      <x:c r="B138" t="n">
        <x:v>3486</x:v>
      </x:c>
      <x:c r="C138" t="n">
        <x:v>4</x:v>
      </x:c>
      <x:c r="D138" t="str">
        <x:v>09:52</x:v>
      </x:c>
      <x:c r="E138" t="n">
        <x:v>1</x:v>
      </x:c>
      <x:c r="F138" t="n">
        <x:v>10</x:v>
      </x:c>
      <x:c r="G138" t="str">
        <x:v>MIN</x:v>
      </x:c>
      <x:c r="H138" t="str">
        <x:v>CHI</x:v>
      </x:c>
      <x:c r="I138" t="str">
        <x:v>CHI</x:v>
      </x:c>
      <x:c r="J138" t="n">
        <x:v>27</x:v>
      </x:c>
      <x:c r="K138" t="str">
        <x:v>(9:52) (Shotgun) 9-J.McCarthy pass deep right to 33-A.Jones for 27 yards, TOUCHDOWN. ** Injury Update: CHI-26-N.Wright has returned to the game.</x:v>
      </x:c>
      <x:c r="L138" t="str">
        <x:v>pass</x:v>
      </x:c>
      <x:c r="M138" t="n">
        <x:v>27</x:v>
      </x:c>
      <x:c r="N138" t="n">
        <x:v>1</x:v>
      </x:c>
      <x:c r="O138" t="n">
        <x:v>0</x:v>
      </x:c>
      <x:c r="P138" t="str">
        <x:v>deep</x:v>
      </x:c>
      <x:c r="Q138" t="str">
        <x:v>right</x:v>
      </x:c>
      <x:c r="R138" t="n">
        <x:v>25</x:v>
      </x:c>
      <x:c r="S138" t="n">
        <x:v>2</x:v>
      </x:c>
      <x:c r="T138"/>
      <x:c r="U138"/>
      <x:c r="V138" t="n">
        <x:v>1</x:v>
      </x:c>
      <x:c r="W138" t="n">
        <x:v>1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/>
      <x:c r="AC138" t="n">
        <x:v>1</x:v>
      </x:c>
      <x:c r="AD138" t="n">
        <x:v>2.822854483150877</x:v>
      </x:c>
      <x:c r="AE138" t="n">
        <x:v>1</x:v>
      </x:c>
      <x:c r="AF138" t="n">
        <x:v>0.11698184949159618</x:v>
      </x:c>
      <x:c r="AG138" t="n">
        <x:f>_xlfn.XLOOKUP($A138,Games!$A$2:$A$18,Games!$B$2:$B$18,"Missing game",0)</x:f>
        <x:v>2025</x:v>
      </x:c>
      <x:c r="AH138" t="str">
        <x:f>_xlfn.XLOOKUP($A138,Games!$A$2:$A$18,Games!$C$2:$C$18,"Missing game",0)</x:f>
        <x:v>REG</x:v>
      </x:c>
      <x:c r="AI138" t="n">
        <x:f>_xlfn.XLOOKUP($A138,Games!$A$2:$A$18,Games!$D$2:$D$18,"Missing game",0)</x:f>
        <x:v>1</x:v>
      </x:c>
      <x:c r="AJ138" s="1" t="n">
        <x:f>_xlfn.XLOOKUP($A138,Games!$A$2:$A$18,Games!$E$2:$E$18,"Missing game",0)</x:f>
        <x:v>45908</x:v>
      </x:c>
      <x:c r="AK138" t="str">
        <x:f>_xlfn.XLOOKUP($A138,Games!$A$2:$A$18,Games!$F$2:$F$18,"Missing game",0)</x:f>
        <x:v>Monday</x:v>
      </x:c>
      <x:c r="AL138" t="str">
        <x:f>_xlfn.XLOOKUP($A138,Games!$A$2:$A$18,Games!$G$2:$G$18,"Missing game",0)</x:f>
        <x:v>MIN</x:v>
      </x:c>
      <x:c r="AM138" t="n">
        <x:f>_xlfn.XLOOKUP($A138,Games!$A$2:$A$18,Games!$H$2:$H$18,"Missing game",0)</x:f>
        <x:v>27</x:v>
      </x:c>
      <x:c r="AN138" t="str">
        <x:f>_xlfn.XLOOKUP($A138,Games!$A$2:$A$18,Games!$I$2:$I$18,"Missing game",0)</x:f>
        <x:v>CHI</x:v>
      </x:c>
      <x:c r="AO138" t="n">
        <x:f>_xlfn.XLOOKUP($A138,Games!$A$2:$A$18,Games!$J$2:$J$18,"Missing game",0)</x:f>
        <x:v>24</x:v>
      </x:c>
      <x:c r="AP138" t="n">
        <x:f>_xlfn.XLOOKUP($A138,Games!$A$2:$A$18,Games!$K$2:$K$18,"Missing game",0)</x:f>
        <x:v>-3</x:v>
      </x:c>
      <x:c r="AQ138" t="n">
        <x:f>_xlfn.XLOOKUP($A138,Games!$A$2:$A$18,Games!$L$2:$L$18,"Missing game",0)</x:f>
        <x:v>51</x:v>
      </x:c>
      <x:c r="AR138" t="n">
        <x:f>_xlfn.XLOOKUP($A138,Games!$A$2:$A$18,Games!$M$2:$M$18,"Missing game",0)</x:f>
        <x:v>0</x:v>
      </x:c>
      <x:c r="AS138" t="str">
        <x:f>_xlfn.XLOOKUP($A138,Games!$A$2:$A$18,Games!$N$2:$N$18,"Missing game",0)</x:f>
        <x:v>outdoors</x:v>
      </x:c>
      <x:c r="AT138" t="str">
        <x:f>_xlfn.XLOOKUP($A138,Games!$A$2:$A$18,Games!$O$2:$O$18,"Missing game",0)</x:f>
        <x:v>grass</x:v>
      </x:c>
      <x:c r="AU138" t="n">
        <x:f>_xlfn.XLOOKUP($A138,Games!$A$2:$A$18,Games!$P$2:$P$18,"Missing game",0)</x:f>
        <x:v>68</x:v>
      </x:c>
      <x:c r="AV138" t="n">
        <x:f>_xlfn.XLOOKUP($A138,Games!$A$2:$A$18,Games!$Q$2:$Q$18,"Missing game",0)</x:f>
        <x:v>6</x:v>
      </x:c>
      <x:c r="AW138" t="str">
        <x:f>_xlfn.XLOOKUP($A138,Games!$A$2:$A$18,Games!$R$2:$R$18,"Missing game",0)</x:f>
        <x:v>Soldier Field</x:v>
      </x:c>
    </x:row>
    <x:row r="139">
      <x:c r="A139" t="str">
        <x:v>2025_01_MIN_CHI</x:v>
      </x:c>
      <x:c r="B139" t="n">
        <x:v>3512</x:v>
      </x:c>
      <x:c r="C139" t="n">
        <x:v>4</x:v>
      </x:c>
      <x:c r="D139" t="str">
        <x:v>09:46</x:v>
      </x:c>
      <x:c r="E139"/>
      <x:c r="F139" t="n">
        <x:v>0</x:v>
      </x:c>
      <x:c r="G139" t="str">
        <x:v>MIN</x:v>
      </x:c>
      <x:c r="H139" t="str">
        <x:v>CHI</x:v>
      </x:c>
      <x:c r="I139" t="str">
        <x:v>CHI</x:v>
      </x:c>
      <x:c r="J139" t="n">
        <x:v>2</x:v>
      </x:c>
      <x:c r="K139" t="str">
        <x:v>TWO-POINT CONVERSION ATTEMPT. 9-J.McCarthy pass to 19-A.Thielen is complete. ATTEMPT SUCCEEDS.</x:v>
      </x:c>
      <x:c r="L139" t="str">
        <x:v>pass</x:v>
      </x:c>
      <x:c r="M139" t="n">
        <x:v>2</x:v>
      </x:c>
      <x:c r="N139" t="n">
        <x:v>0</x:v>
      </x:c>
      <x:c r="O139" t="n">
        <x:v>0</x:v>
      </x:c>
      <x:c r="P139"/>
      <x:c r="Q139"/>
      <x:c r="R139"/>
      <x:c r="S139"/>
      <x:c r="T139"/>
      <x:c r="U139"/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/>
      <x:c r="AC139" t="n">
        <x:v>0</x:v>
      </x:c>
      <x:c r="AD139" t="n">
        <x:v>1.053</x:v>
      </x:c>
      <x:c r="AE139" t="n">
        <x:v>1</x:v>
      </x:c>
      <x:c r="AF139" t="n">
        <x:v>0.0702156867384911</x:v>
      </x:c>
      <x:c r="AG139" t="n">
        <x:f>_xlfn.XLOOKUP($A139,Games!$A$2:$A$18,Games!$B$2:$B$18,"Missing game",0)</x:f>
        <x:v>2025</x:v>
      </x:c>
      <x:c r="AH139" t="str">
        <x:f>_xlfn.XLOOKUP($A139,Games!$A$2:$A$18,Games!$C$2:$C$18,"Missing game",0)</x:f>
        <x:v>REG</x:v>
      </x:c>
      <x:c r="AI139" t="n">
        <x:f>_xlfn.XLOOKUP($A139,Games!$A$2:$A$18,Games!$D$2:$D$18,"Missing game",0)</x:f>
        <x:v>1</x:v>
      </x:c>
      <x:c r="AJ139" s="1" t="n">
        <x:f>_xlfn.XLOOKUP($A139,Games!$A$2:$A$18,Games!$E$2:$E$18,"Missing game",0)</x:f>
        <x:v>45908</x:v>
      </x:c>
      <x:c r="AK139" t="str">
        <x:f>_xlfn.XLOOKUP($A139,Games!$A$2:$A$18,Games!$F$2:$F$18,"Missing game",0)</x:f>
        <x:v>Monday</x:v>
      </x:c>
      <x:c r="AL139" t="str">
        <x:f>_xlfn.XLOOKUP($A139,Games!$A$2:$A$18,Games!$G$2:$G$18,"Missing game",0)</x:f>
        <x:v>MIN</x:v>
      </x:c>
      <x:c r="AM139" t="n">
        <x:f>_xlfn.XLOOKUP($A139,Games!$A$2:$A$18,Games!$H$2:$H$18,"Missing game",0)</x:f>
        <x:v>27</x:v>
      </x:c>
      <x:c r="AN139" t="str">
        <x:f>_xlfn.XLOOKUP($A139,Games!$A$2:$A$18,Games!$I$2:$I$18,"Missing game",0)</x:f>
        <x:v>CHI</x:v>
      </x:c>
      <x:c r="AO139" t="n">
        <x:f>_xlfn.XLOOKUP($A139,Games!$A$2:$A$18,Games!$J$2:$J$18,"Missing game",0)</x:f>
        <x:v>24</x:v>
      </x:c>
      <x:c r="AP139" t="n">
        <x:f>_xlfn.XLOOKUP($A139,Games!$A$2:$A$18,Games!$K$2:$K$18,"Missing game",0)</x:f>
        <x:v>-3</x:v>
      </x:c>
      <x:c r="AQ139" t="n">
        <x:f>_xlfn.XLOOKUP($A139,Games!$A$2:$A$18,Games!$L$2:$L$18,"Missing game",0)</x:f>
        <x:v>51</x:v>
      </x:c>
      <x:c r="AR139" t="n">
        <x:f>_xlfn.XLOOKUP($A139,Games!$A$2:$A$18,Games!$M$2:$M$18,"Missing game",0)</x:f>
        <x:v>0</x:v>
      </x:c>
      <x:c r="AS139" t="str">
        <x:f>_xlfn.XLOOKUP($A139,Games!$A$2:$A$18,Games!$N$2:$N$18,"Missing game",0)</x:f>
        <x:v>outdoors</x:v>
      </x:c>
      <x:c r="AT139" t="str">
        <x:f>_xlfn.XLOOKUP($A139,Games!$A$2:$A$18,Games!$O$2:$O$18,"Missing game",0)</x:f>
        <x:v>grass</x:v>
      </x:c>
      <x:c r="AU139" t="n">
        <x:f>_xlfn.XLOOKUP($A139,Games!$A$2:$A$18,Games!$P$2:$P$18,"Missing game",0)</x:f>
        <x:v>68</x:v>
      </x:c>
      <x:c r="AV139" t="n">
        <x:f>_xlfn.XLOOKUP($A139,Games!$A$2:$A$18,Games!$Q$2:$Q$18,"Missing game",0)</x:f>
        <x:v>6</x:v>
      </x:c>
      <x:c r="AW139" t="str">
        <x:f>_xlfn.XLOOKUP($A139,Games!$A$2:$A$18,Games!$R$2:$R$18,"Missing game",0)</x:f>
        <x:v>Soldier Field</x:v>
      </x:c>
    </x:row>
    <x:row r="140">
      <x:c r="A140" t="str">
        <x:v>2025_01_MIN_CHI</x:v>
      </x:c>
      <x:c r="B140" t="n">
        <x:v>3528</x:v>
      </x:c>
      <x:c r="C140" t="n">
        <x:v>4</x:v>
      </x:c>
      <x:c r="D140" t="str">
        <x:v>09:46</x:v>
      </x:c>
      <x:c r="E140"/>
      <x:c r="F140" t="n">
        <x:v>0</x:v>
      </x:c>
      <x:c r="G140" t="str">
        <x:v>CHI</x:v>
      </x:c>
      <x:c r="H140" t="str">
        <x:v>MIN</x:v>
      </x:c>
      <x:c r="I140" t="str">
        <x:v>MIN</x:v>
      </x:c>
      <x:c r="J140" t="n">
        <x:v>35</x:v>
      </x:c>
      <x:c r="K140" t="str">
        <x:v>16-W.Reichard kicks 65 yards from MIN 35 to end zone, Touchback to the CHI 35.</x:v>
      </x:c>
      <x:c r="L140" t="str">
        <x:v>kickoff</x:v>
      </x:c>
      <x:c r="M140" t="n">
        <x:v>0</x:v>
      </x:c>
      <x:c r="N140" t="n">
        <x:v>0</x:v>
      </x:c>
      <x:c r="O140" t="n">
        <x:v>0</x:v>
      </x:c>
      <x:c r="P140"/>
      <x:c r="Q140"/>
      <x:c r="R140"/>
      <x:c r="S140"/>
      <x:c r="T140"/>
      <x:c r="U140"/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/>
      <x:c r="AC140" t="n">
        <x:v>0</x:v>
      </x:c>
      <x:c r="AD140" t="n">
        <x:v>0.45251535531133413</x:v>
      </x:c>
      <x:c r="AE140" t="n">
        <x:v>1</x:v>
      </x:c>
      <x:c r="AF140" t="n">
        <x:v>0.02154916524887085</x:v>
      </x:c>
      <x:c r="AG140" t="n">
        <x:f>_xlfn.XLOOKUP($A140,Games!$A$2:$A$18,Games!$B$2:$B$18,"Missing game",0)</x:f>
        <x:v>2025</x:v>
      </x:c>
      <x:c r="AH140" t="str">
        <x:f>_xlfn.XLOOKUP($A140,Games!$A$2:$A$18,Games!$C$2:$C$18,"Missing game",0)</x:f>
        <x:v>REG</x:v>
      </x:c>
      <x:c r="AI140" t="n">
        <x:f>_xlfn.XLOOKUP($A140,Games!$A$2:$A$18,Games!$D$2:$D$18,"Missing game",0)</x:f>
        <x:v>1</x:v>
      </x:c>
      <x:c r="AJ140" s="1" t="n">
        <x:f>_xlfn.XLOOKUP($A140,Games!$A$2:$A$18,Games!$E$2:$E$18,"Missing game",0)</x:f>
        <x:v>45908</x:v>
      </x:c>
      <x:c r="AK140" t="str">
        <x:f>_xlfn.XLOOKUP($A140,Games!$A$2:$A$18,Games!$F$2:$F$18,"Missing game",0)</x:f>
        <x:v>Monday</x:v>
      </x:c>
      <x:c r="AL140" t="str">
        <x:f>_xlfn.XLOOKUP($A140,Games!$A$2:$A$18,Games!$G$2:$G$18,"Missing game",0)</x:f>
        <x:v>MIN</x:v>
      </x:c>
      <x:c r="AM140" t="n">
        <x:f>_xlfn.XLOOKUP($A140,Games!$A$2:$A$18,Games!$H$2:$H$18,"Missing game",0)</x:f>
        <x:v>27</x:v>
      </x:c>
      <x:c r="AN140" t="str">
        <x:f>_xlfn.XLOOKUP($A140,Games!$A$2:$A$18,Games!$I$2:$I$18,"Missing game",0)</x:f>
        <x:v>CHI</x:v>
      </x:c>
      <x:c r="AO140" t="n">
        <x:f>_xlfn.XLOOKUP($A140,Games!$A$2:$A$18,Games!$J$2:$J$18,"Missing game",0)</x:f>
        <x:v>24</x:v>
      </x:c>
      <x:c r="AP140" t="n">
        <x:f>_xlfn.XLOOKUP($A140,Games!$A$2:$A$18,Games!$K$2:$K$18,"Missing game",0)</x:f>
        <x:v>-3</x:v>
      </x:c>
      <x:c r="AQ140" t="n">
        <x:f>_xlfn.XLOOKUP($A140,Games!$A$2:$A$18,Games!$L$2:$L$18,"Missing game",0)</x:f>
        <x:v>51</x:v>
      </x:c>
      <x:c r="AR140" t="n">
        <x:f>_xlfn.XLOOKUP($A140,Games!$A$2:$A$18,Games!$M$2:$M$18,"Missing game",0)</x:f>
        <x:v>0</x:v>
      </x:c>
      <x:c r="AS140" t="str">
        <x:f>_xlfn.XLOOKUP($A140,Games!$A$2:$A$18,Games!$N$2:$N$18,"Missing game",0)</x:f>
        <x:v>outdoors</x:v>
      </x:c>
      <x:c r="AT140" t="str">
        <x:f>_xlfn.XLOOKUP($A140,Games!$A$2:$A$18,Games!$O$2:$O$18,"Missing game",0)</x:f>
        <x:v>grass</x:v>
      </x:c>
      <x:c r="AU140" t="n">
        <x:f>_xlfn.XLOOKUP($A140,Games!$A$2:$A$18,Games!$P$2:$P$18,"Missing game",0)</x:f>
        <x:v>68</x:v>
      </x:c>
      <x:c r="AV140" t="n">
        <x:f>_xlfn.XLOOKUP($A140,Games!$A$2:$A$18,Games!$Q$2:$Q$18,"Missing game",0)</x:f>
        <x:v>6</x:v>
      </x:c>
      <x:c r="AW140" t="str">
        <x:f>_xlfn.XLOOKUP($A140,Games!$A$2:$A$18,Games!$R$2:$R$18,"Missing game",0)</x:f>
        <x:v>Soldier Field</x:v>
      </x:c>
    </x:row>
    <x:row r="141">
      <x:c r="A141" t="str">
        <x:v>2025_01_MIN_CHI</x:v>
      </x:c>
      <x:c r="B141" t="n">
        <x:v>3545</x:v>
      </x:c>
      <x:c r="C141" t="n">
        <x:v>4</x:v>
      </x:c>
      <x:c r="D141" t="str">
        <x:v>09:46</x:v>
      </x:c>
      <x:c r="E141" t="n">
        <x:v>1</x:v>
      </x:c>
      <x:c r="F141" t="n">
        <x:v>10</x:v>
      </x:c>
      <x:c r="G141" t="str">
        <x:v>CHI</x:v>
      </x:c>
      <x:c r="H141" t="str">
        <x:v>MIN</x:v>
      </x:c>
      <x:c r="I141" t="str">
        <x:v>CHI</x:v>
      </x:c>
      <x:c r="J141" t="n">
        <x:v>65</x:v>
      </x:c>
      <x:c r="K141" t="str">
        <x:v>(9:46) 4-D.Swift right end to CHI 35 for no gain (61-J.Redmond).</x:v>
      </x:c>
      <x:c r="L141" t="str">
        <x:v>run</x:v>
      </x:c>
      <x:c r="M141" t="n">
        <x:v>0</x:v>
      </x:c>
      <x:c r="N141" t="n">
        <x:v>0</x:v>
      </x:c>
      <x:c r="O141" t="n">
        <x:v>0</x:v>
      </x:c>
      <x:c r="P141"/>
      <x:c r="Q141"/>
      <x:c r="R141"/>
      <x:c r="S141"/>
      <x:c r="T141" t="str">
        <x:v>right</x:v>
      </x:c>
      <x:c r="U141" t="str">
        <x:v>end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/>
      <x:c r="AC141" t="n">
        <x:v>0</x:v>
      </x:c>
      <x:c r="AD141" t="n">
        <x:v>-0.5449067503213882</x:v>
      </x:c>
      <x:c r="AE141" t="n">
        <x:v>0</x:v>
      </x:c>
      <x:c r="AF141" t="n">
        <x:v>-0.033104002475738525</x:v>
      </x:c>
      <x:c r="AG141" t="n">
        <x:f>_xlfn.XLOOKUP($A141,Games!$A$2:$A$18,Games!$B$2:$B$18,"Missing game",0)</x:f>
        <x:v>2025</x:v>
      </x:c>
      <x:c r="AH141" t="str">
        <x:f>_xlfn.XLOOKUP($A141,Games!$A$2:$A$18,Games!$C$2:$C$18,"Missing game",0)</x:f>
        <x:v>REG</x:v>
      </x:c>
      <x:c r="AI141" t="n">
        <x:f>_xlfn.XLOOKUP($A141,Games!$A$2:$A$18,Games!$D$2:$D$18,"Missing game",0)</x:f>
        <x:v>1</x:v>
      </x:c>
      <x:c r="AJ141" s="1" t="n">
        <x:f>_xlfn.XLOOKUP($A141,Games!$A$2:$A$18,Games!$E$2:$E$18,"Missing game",0)</x:f>
        <x:v>45908</x:v>
      </x:c>
      <x:c r="AK141" t="str">
        <x:f>_xlfn.XLOOKUP($A141,Games!$A$2:$A$18,Games!$F$2:$F$18,"Missing game",0)</x:f>
        <x:v>Monday</x:v>
      </x:c>
      <x:c r="AL141" t="str">
        <x:f>_xlfn.XLOOKUP($A141,Games!$A$2:$A$18,Games!$G$2:$G$18,"Missing game",0)</x:f>
        <x:v>MIN</x:v>
      </x:c>
      <x:c r="AM141" t="n">
        <x:f>_xlfn.XLOOKUP($A141,Games!$A$2:$A$18,Games!$H$2:$H$18,"Missing game",0)</x:f>
        <x:v>27</x:v>
      </x:c>
      <x:c r="AN141" t="str">
        <x:f>_xlfn.XLOOKUP($A141,Games!$A$2:$A$18,Games!$I$2:$I$18,"Missing game",0)</x:f>
        <x:v>CHI</x:v>
      </x:c>
      <x:c r="AO141" t="n">
        <x:f>_xlfn.XLOOKUP($A141,Games!$A$2:$A$18,Games!$J$2:$J$18,"Missing game",0)</x:f>
        <x:v>24</x:v>
      </x:c>
      <x:c r="AP141" t="n">
        <x:f>_xlfn.XLOOKUP($A141,Games!$A$2:$A$18,Games!$K$2:$K$18,"Missing game",0)</x:f>
        <x:v>-3</x:v>
      </x:c>
      <x:c r="AQ141" t="n">
        <x:f>_xlfn.XLOOKUP($A141,Games!$A$2:$A$18,Games!$L$2:$L$18,"Missing game",0)</x:f>
        <x:v>51</x:v>
      </x:c>
      <x:c r="AR141" t="n">
        <x:f>_xlfn.XLOOKUP($A141,Games!$A$2:$A$18,Games!$M$2:$M$18,"Missing game",0)</x:f>
        <x:v>0</x:v>
      </x:c>
      <x:c r="AS141" t="str">
        <x:f>_xlfn.XLOOKUP($A141,Games!$A$2:$A$18,Games!$N$2:$N$18,"Missing game",0)</x:f>
        <x:v>outdoors</x:v>
      </x:c>
      <x:c r="AT141" t="str">
        <x:f>_xlfn.XLOOKUP($A141,Games!$A$2:$A$18,Games!$O$2:$O$18,"Missing game",0)</x:f>
        <x:v>grass</x:v>
      </x:c>
      <x:c r="AU141" t="n">
        <x:f>_xlfn.XLOOKUP($A141,Games!$A$2:$A$18,Games!$P$2:$P$18,"Missing game",0)</x:f>
        <x:v>68</x:v>
      </x:c>
      <x:c r="AV141" t="n">
        <x:f>_xlfn.XLOOKUP($A141,Games!$A$2:$A$18,Games!$Q$2:$Q$18,"Missing game",0)</x:f>
        <x:v>6</x:v>
      </x:c>
      <x:c r="AW141" t="str">
        <x:f>_xlfn.XLOOKUP($A141,Games!$A$2:$A$18,Games!$R$2:$R$18,"Missing game",0)</x:f>
        <x:v>Soldier Field</x:v>
      </x:c>
    </x:row>
    <x:row r="142">
      <x:c r="A142" t="str">
        <x:v>2025_01_MIN_CHI</x:v>
      </x:c>
      <x:c r="B142" t="n">
        <x:v>3567</x:v>
      </x:c>
      <x:c r="C142" t="n">
        <x:v>4</x:v>
      </x:c>
      <x:c r="D142" t="str">
        <x:v>09:05</x:v>
      </x:c>
      <x:c r="E142" t="n">
        <x:v>2</x:v>
      </x:c>
      <x:c r="F142" t="n">
        <x:v>10</x:v>
      </x:c>
      <x:c r="G142" t="str">
        <x:v>CHI</x:v>
      </x:c>
      <x:c r="H142" t="str">
        <x:v>MIN</x:v>
      </x:c>
      <x:c r="I142" t="str">
        <x:v>CHI</x:v>
      </x:c>
      <x:c r="J142" t="n">
        <x:v>65</x:v>
      </x:c>
      <x:c r="K142" t="str">
        <x:v>(9:05) (Shotgun) 18-C.Williams pass short middle to 15-R.Odunze to CHI 47 for 12 yards (44-J.Metellus).</x:v>
      </x:c>
      <x:c r="L142" t="str">
        <x:v>pass</x:v>
      </x:c>
      <x:c r="M142" t="n">
        <x:v>12</x:v>
      </x:c>
      <x:c r="N142" t="n">
        <x:v>1</x:v>
      </x:c>
      <x:c r="O142" t="n">
        <x:v>0</x:v>
      </x:c>
      <x:c r="P142" t="str">
        <x:v>short</x:v>
      </x:c>
      <x:c r="Q142" t="str">
        <x:v>middle</x:v>
      </x:c>
      <x:c r="R142" t="n">
        <x:v>10</x:v>
      </x:c>
      <x:c r="S142" t="n">
        <x:v>2</x:v>
      </x:c>
      <x:c r="T142"/>
      <x:c r="U142"/>
      <x:c r="V142" t="n">
        <x:v>1</x:v>
      </x:c>
      <x:c r="W142" t="n">
        <x:v>1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/>
      <x:c r="AC142" t="n">
        <x:v>0</x:v>
      </x:c>
      <x:c r="AD142" t="n">
        <x:v>1.3476821596268564</x:v>
      </x:c>
      <x:c r="AE142" t="n">
        <x:v>1</x:v>
      </x:c>
      <x:c r="AF142" t="n">
        <x:v>0.062324196100234985</x:v>
      </x:c>
      <x:c r="AG142" t="n">
        <x:f>_xlfn.XLOOKUP($A142,Games!$A$2:$A$18,Games!$B$2:$B$18,"Missing game",0)</x:f>
        <x:v>2025</x:v>
      </x:c>
      <x:c r="AH142" t="str">
        <x:f>_xlfn.XLOOKUP($A142,Games!$A$2:$A$18,Games!$C$2:$C$18,"Missing game",0)</x:f>
        <x:v>REG</x:v>
      </x:c>
      <x:c r="AI142" t="n">
        <x:f>_xlfn.XLOOKUP($A142,Games!$A$2:$A$18,Games!$D$2:$D$18,"Missing game",0)</x:f>
        <x:v>1</x:v>
      </x:c>
      <x:c r="AJ142" s="1" t="n">
        <x:f>_xlfn.XLOOKUP($A142,Games!$A$2:$A$18,Games!$E$2:$E$18,"Missing game",0)</x:f>
        <x:v>45908</x:v>
      </x:c>
      <x:c r="AK142" t="str">
        <x:f>_xlfn.XLOOKUP($A142,Games!$A$2:$A$18,Games!$F$2:$F$18,"Missing game",0)</x:f>
        <x:v>Monday</x:v>
      </x:c>
      <x:c r="AL142" t="str">
        <x:f>_xlfn.XLOOKUP($A142,Games!$A$2:$A$18,Games!$G$2:$G$18,"Missing game",0)</x:f>
        <x:v>MIN</x:v>
      </x:c>
      <x:c r="AM142" t="n">
        <x:f>_xlfn.XLOOKUP($A142,Games!$A$2:$A$18,Games!$H$2:$H$18,"Missing game",0)</x:f>
        <x:v>27</x:v>
      </x:c>
      <x:c r="AN142" t="str">
        <x:f>_xlfn.XLOOKUP($A142,Games!$A$2:$A$18,Games!$I$2:$I$18,"Missing game",0)</x:f>
        <x:v>CHI</x:v>
      </x:c>
      <x:c r="AO142" t="n">
        <x:f>_xlfn.XLOOKUP($A142,Games!$A$2:$A$18,Games!$J$2:$J$18,"Missing game",0)</x:f>
        <x:v>24</x:v>
      </x:c>
      <x:c r="AP142" t="n">
        <x:f>_xlfn.XLOOKUP($A142,Games!$A$2:$A$18,Games!$K$2:$K$18,"Missing game",0)</x:f>
        <x:v>-3</x:v>
      </x:c>
      <x:c r="AQ142" t="n">
        <x:f>_xlfn.XLOOKUP($A142,Games!$A$2:$A$18,Games!$L$2:$L$18,"Missing game",0)</x:f>
        <x:v>51</x:v>
      </x:c>
      <x:c r="AR142" t="n">
        <x:f>_xlfn.XLOOKUP($A142,Games!$A$2:$A$18,Games!$M$2:$M$18,"Missing game",0)</x:f>
        <x:v>0</x:v>
      </x:c>
      <x:c r="AS142" t="str">
        <x:f>_xlfn.XLOOKUP($A142,Games!$A$2:$A$18,Games!$N$2:$N$18,"Missing game",0)</x:f>
        <x:v>outdoors</x:v>
      </x:c>
      <x:c r="AT142" t="str">
        <x:f>_xlfn.XLOOKUP($A142,Games!$A$2:$A$18,Games!$O$2:$O$18,"Missing game",0)</x:f>
        <x:v>grass</x:v>
      </x:c>
      <x:c r="AU142" t="n">
        <x:f>_xlfn.XLOOKUP($A142,Games!$A$2:$A$18,Games!$P$2:$P$18,"Missing game",0)</x:f>
        <x:v>68</x:v>
      </x:c>
      <x:c r="AV142" t="n">
        <x:f>_xlfn.XLOOKUP($A142,Games!$A$2:$A$18,Games!$Q$2:$Q$18,"Missing game",0)</x:f>
        <x:v>6</x:v>
      </x:c>
      <x:c r="AW142" t="str">
        <x:f>_xlfn.XLOOKUP($A142,Games!$A$2:$A$18,Games!$R$2:$R$18,"Missing game",0)</x:f>
        <x:v>Soldier Field</x:v>
      </x:c>
    </x:row>
    <x:row r="143">
      <x:c r="A143" t="str">
        <x:v>2025_01_MIN_CHI</x:v>
      </x:c>
      <x:c r="B143" t="n">
        <x:v>3592</x:v>
      </x:c>
      <x:c r="C143" t="n">
        <x:v>4</x:v>
      </x:c>
      <x:c r="D143" t="str">
        <x:v>08:24</x:v>
      </x:c>
      <x:c r="E143" t="n">
        <x:v>1</x:v>
      </x:c>
      <x:c r="F143" t="n">
        <x:v>10</x:v>
      </x:c>
      <x:c r="G143" t="str">
        <x:v>CHI</x:v>
      </x:c>
      <x:c r="H143" t="str">
        <x:v>MIN</x:v>
      </x:c>
      <x:c r="I143" t="str">
        <x:v>CHI</x:v>
      </x:c>
      <x:c r="J143" t="n">
        <x:v>53</x:v>
      </x:c>
      <x:c r="K143" t="str">
        <x:v>(8:24) 18-C.Williams sacked ob at CHI 43 for -4 yards (97-J.Hargrave).</x:v>
      </x:c>
      <x:c r="L143" t="str">
        <x:v>pass</x:v>
      </x:c>
      <x:c r="M143" t="n">
        <x:v>-4</x:v>
      </x:c>
      <x:c r="N143" t="n">
        <x:v>0</x:v>
      </x:c>
      <x:c r="O143" t="n">
        <x:v>0</x:v>
      </x:c>
      <x:c r="P143"/>
      <x:c r="Q143"/>
      <x:c r="R143"/>
      <x:c r="S143"/>
      <x:c r="T143"/>
      <x:c r="U143"/>
      <x:c r="V143" t="n">
        <x:v>0</x:v>
      </x:c>
      <x:c r="W143" t="n">
        <x:v>0</x:v>
      </x:c>
      <x:c r="X143" t="n">
        <x:v>1</x:v>
      </x:c>
      <x:c r="Y143" t="n">
        <x:v>0</x:v>
      </x:c>
      <x:c r="Z143" t="n">
        <x:v>0</x:v>
      </x:c>
      <x:c r="AA143" t="n">
        <x:v>0</x:v>
      </x:c>
      <x:c r="AB143"/>
      <x:c r="AC143" t="n">
        <x:v>0</x:v>
      </x:c>
      <x:c r="AD143" t="n">
        <x:v>-0.8765442506410182</x:v>
      </x:c>
      <x:c r="AE143" t="n">
        <x:v>0</x:v>
      </x:c>
      <x:c r="AF143" t="n">
        <x:v>-0.050568997859954834</x:v>
      </x:c>
      <x:c r="AG143" t="n">
        <x:f>_xlfn.XLOOKUP($A143,Games!$A$2:$A$18,Games!$B$2:$B$18,"Missing game",0)</x:f>
        <x:v>2025</x:v>
      </x:c>
      <x:c r="AH143" t="str">
        <x:f>_xlfn.XLOOKUP($A143,Games!$A$2:$A$18,Games!$C$2:$C$18,"Missing game",0)</x:f>
        <x:v>REG</x:v>
      </x:c>
      <x:c r="AI143" t="n">
        <x:f>_xlfn.XLOOKUP($A143,Games!$A$2:$A$18,Games!$D$2:$D$18,"Missing game",0)</x:f>
        <x:v>1</x:v>
      </x:c>
      <x:c r="AJ143" s="1" t="n">
        <x:f>_xlfn.XLOOKUP($A143,Games!$A$2:$A$18,Games!$E$2:$E$18,"Missing game",0)</x:f>
        <x:v>45908</x:v>
      </x:c>
      <x:c r="AK143" t="str">
        <x:f>_xlfn.XLOOKUP($A143,Games!$A$2:$A$18,Games!$F$2:$F$18,"Missing game",0)</x:f>
        <x:v>Monday</x:v>
      </x:c>
      <x:c r="AL143" t="str">
        <x:f>_xlfn.XLOOKUP($A143,Games!$A$2:$A$18,Games!$G$2:$G$18,"Missing game",0)</x:f>
        <x:v>MIN</x:v>
      </x:c>
      <x:c r="AM143" t="n">
        <x:f>_xlfn.XLOOKUP($A143,Games!$A$2:$A$18,Games!$H$2:$H$18,"Missing game",0)</x:f>
        <x:v>27</x:v>
      </x:c>
      <x:c r="AN143" t="str">
        <x:f>_xlfn.XLOOKUP($A143,Games!$A$2:$A$18,Games!$I$2:$I$18,"Missing game",0)</x:f>
        <x:v>CHI</x:v>
      </x:c>
      <x:c r="AO143" t="n">
        <x:f>_xlfn.XLOOKUP($A143,Games!$A$2:$A$18,Games!$J$2:$J$18,"Missing game",0)</x:f>
        <x:v>24</x:v>
      </x:c>
      <x:c r="AP143" t="n">
        <x:f>_xlfn.XLOOKUP($A143,Games!$A$2:$A$18,Games!$K$2:$K$18,"Missing game",0)</x:f>
        <x:v>-3</x:v>
      </x:c>
      <x:c r="AQ143" t="n">
        <x:f>_xlfn.XLOOKUP($A143,Games!$A$2:$A$18,Games!$L$2:$L$18,"Missing game",0)</x:f>
        <x:v>51</x:v>
      </x:c>
      <x:c r="AR143" t="n">
        <x:f>_xlfn.XLOOKUP($A143,Games!$A$2:$A$18,Games!$M$2:$M$18,"Missing game",0)</x:f>
        <x:v>0</x:v>
      </x:c>
      <x:c r="AS143" t="str">
        <x:f>_xlfn.XLOOKUP($A143,Games!$A$2:$A$18,Games!$N$2:$N$18,"Missing game",0)</x:f>
        <x:v>outdoors</x:v>
      </x:c>
      <x:c r="AT143" t="str">
        <x:f>_xlfn.XLOOKUP($A143,Games!$A$2:$A$18,Games!$O$2:$O$18,"Missing game",0)</x:f>
        <x:v>grass</x:v>
      </x:c>
      <x:c r="AU143" t="n">
        <x:f>_xlfn.XLOOKUP($A143,Games!$A$2:$A$18,Games!$P$2:$P$18,"Missing game",0)</x:f>
        <x:v>68</x:v>
      </x:c>
      <x:c r="AV143" t="n">
        <x:f>_xlfn.XLOOKUP($A143,Games!$A$2:$A$18,Games!$Q$2:$Q$18,"Missing game",0)</x:f>
        <x:v>6</x:v>
      </x:c>
      <x:c r="AW143" t="str">
        <x:f>_xlfn.XLOOKUP($A143,Games!$A$2:$A$18,Games!$R$2:$R$18,"Missing game",0)</x:f>
        <x:v>Soldier Field</x:v>
      </x:c>
    </x:row>
    <x:row r="144">
      <x:c r="A144" t="str">
        <x:v>2025_01_MIN_CHI</x:v>
      </x:c>
      <x:c r="B144" t="n">
        <x:v>3612</x:v>
      </x:c>
      <x:c r="C144" t="n">
        <x:v>4</x:v>
      </x:c>
      <x:c r="D144" t="str">
        <x:v>07:48</x:v>
      </x:c>
      <x:c r="E144" t="n">
        <x:v>2</x:v>
      </x:c>
      <x:c r="F144" t="n">
        <x:v>14</x:v>
      </x:c>
      <x:c r="G144" t="str">
        <x:v>CHI</x:v>
      </x:c>
      <x:c r="H144" t="str">
        <x:v>MIN</x:v>
      </x:c>
      <x:c r="I144" t="str">
        <x:v>CHI</x:v>
      </x:c>
      <x:c r="J144" t="n">
        <x:v>57</x:v>
      </x:c>
      <x:c r="K144" t="str">
        <x:v>(7:48) (Shotgun) 18-C.Williams pass incomplete deep right to 15-R.Odunze.</x:v>
      </x:c>
      <x:c r="L144" t="str">
        <x:v>pass</x:v>
      </x:c>
      <x:c r="M144" t="n">
        <x:v>0</x:v>
      </x:c>
      <x:c r="N144" t="n">
        <x:v>1</x:v>
      </x:c>
      <x:c r="O144" t="n">
        <x:v>0</x:v>
      </x:c>
      <x:c r="P144" t="str">
        <x:v>deep</x:v>
      </x:c>
      <x:c r="Q144" t="str">
        <x:v>right</x:v>
      </x:c>
      <x:c r="R144" t="n">
        <x:v>20</x:v>
      </x:c>
      <x:c r="S144"/>
      <x:c r="T144"/>
      <x:c r="U144"/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/>
      <x:c r="AC144" t="n">
        <x:v>0</x:v>
      </x:c>
      <x:c r="AD144" t="n">
        <x:v>-0.8545479679014534</x:v>
      </x:c>
      <x:c r="AE144" t="n">
        <x:v>0</x:v>
      </x:c>
      <x:c r="AF144" t="n">
        <x:v>-0.046910226345062256</x:v>
      </x:c>
      <x:c r="AG144" t="n">
        <x:f>_xlfn.XLOOKUP($A144,Games!$A$2:$A$18,Games!$B$2:$B$18,"Missing game",0)</x:f>
        <x:v>2025</x:v>
      </x:c>
      <x:c r="AH144" t="str">
        <x:f>_xlfn.XLOOKUP($A144,Games!$A$2:$A$18,Games!$C$2:$C$18,"Missing game",0)</x:f>
        <x:v>REG</x:v>
      </x:c>
      <x:c r="AI144" t="n">
        <x:f>_xlfn.XLOOKUP($A144,Games!$A$2:$A$18,Games!$D$2:$D$18,"Missing game",0)</x:f>
        <x:v>1</x:v>
      </x:c>
      <x:c r="AJ144" s="1" t="n">
        <x:f>_xlfn.XLOOKUP($A144,Games!$A$2:$A$18,Games!$E$2:$E$18,"Missing game",0)</x:f>
        <x:v>45908</x:v>
      </x:c>
      <x:c r="AK144" t="str">
        <x:f>_xlfn.XLOOKUP($A144,Games!$A$2:$A$18,Games!$F$2:$F$18,"Missing game",0)</x:f>
        <x:v>Monday</x:v>
      </x:c>
      <x:c r="AL144" t="str">
        <x:f>_xlfn.XLOOKUP($A144,Games!$A$2:$A$18,Games!$G$2:$G$18,"Missing game",0)</x:f>
        <x:v>MIN</x:v>
      </x:c>
      <x:c r="AM144" t="n">
        <x:f>_xlfn.XLOOKUP($A144,Games!$A$2:$A$18,Games!$H$2:$H$18,"Missing game",0)</x:f>
        <x:v>27</x:v>
      </x:c>
      <x:c r="AN144" t="str">
        <x:f>_xlfn.XLOOKUP($A144,Games!$A$2:$A$18,Games!$I$2:$I$18,"Missing game",0)</x:f>
        <x:v>CHI</x:v>
      </x:c>
      <x:c r="AO144" t="n">
        <x:f>_xlfn.XLOOKUP($A144,Games!$A$2:$A$18,Games!$J$2:$J$18,"Missing game",0)</x:f>
        <x:v>24</x:v>
      </x:c>
      <x:c r="AP144" t="n">
        <x:f>_xlfn.XLOOKUP($A144,Games!$A$2:$A$18,Games!$K$2:$K$18,"Missing game",0)</x:f>
        <x:v>-3</x:v>
      </x:c>
      <x:c r="AQ144" t="n">
        <x:f>_xlfn.XLOOKUP($A144,Games!$A$2:$A$18,Games!$L$2:$L$18,"Missing game",0)</x:f>
        <x:v>51</x:v>
      </x:c>
      <x:c r="AR144" t="n">
        <x:f>_xlfn.XLOOKUP($A144,Games!$A$2:$A$18,Games!$M$2:$M$18,"Missing game",0)</x:f>
        <x:v>0</x:v>
      </x:c>
      <x:c r="AS144" t="str">
        <x:f>_xlfn.XLOOKUP($A144,Games!$A$2:$A$18,Games!$N$2:$N$18,"Missing game",0)</x:f>
        <x:v>outdoors</x:v>
      </x:c>
      <x:c r="AT144" t="str">
        <x:f>_xlfn.XLOOKUP($A144,Games!$A$2:$A$18,Games!$O$2:$O$18,"Missing game",0)</x:f>
        <x:v>grass</x:v>
      </x:c>
      <x:c r="AU144" t="n">
        <x:f>_xlfn.XLOOKUP($A144,Games!$A$2:$A$18,Games!$P$2:$P$18,"Missing game",0)</x:f>
        <x:v>68</x:v>
      </x:c>
      <x:c r="AV144" t="n">
        <x:f>_xlfn.XLOOKUP($A144,Games!$A$2:$A$18,Games!$Q$2:$Q$18,"Missing game",0)</x:f>
        <x:v>6</x:v>
      </x:c>
      <x:c r="AW144" t="str">
        <x:f>_xlfn.XLOOKUP($A144,Games!$A$2:$A$18,Games!$R$2:$R$18,"Missing game",0)</x:f>
        <x:v>Soldier Field</x:v>
      </x:c>
    </x:row>
    <x:row r="145">
      <x:c r="A145" t="str">
        <x:v>2025_01_MIN_CHI</x:v>
      </x:c>
      <x:c r="B145" t="n">
        <x:v>3635</x:v>
      </x:c>
      <x:c r="C145" t="n">
        <x:v>4</x:v>
      </x:c>
      <x:c r="D145" t="str">
        <x:v>07:42</x:v>
      </x:c>
      <x:c r="E145" t="n">
        <x:v>3</x:v>
      </x:c>
      <x:c r="F145" t="n">
        <x:v>14</x:v>
      </x:c>
      <x:c r="G145" t="str">
        <x:v>CHI</x:v>
      </x:c>
      <x:c r="H145" t="str">
        <x:v>MIN</x:v>
      </x:c>
      <x:c r="I145" t="str">
        <x:v>CHI</x:v>
      </x:c>
      <x:c r="J145" t="n">
        <x:v>57</x:v>
      </x:c>
      <x:c r="K145" t="str">
        <x:v>(7:42) (Shotgun) 18-C.Williams pass incomplete short left to 85-C.Kmet [58-J.Greenard].</x:v>
      </x:c>
      <x:c r="L145" t="str">
        <x:v>pass</x:v>
      </x:c>
      <x:c r="M145" t="n">
        <x:v>0</x:v>
      </x:c>
      <x:c r="N145" t="n">
        <x:v>1</x:v>
      </x:c>
      <x:c r="O145" t="n">
        <x:v>0</x:v>
      </x:c>
      <x:c r="P145" t="str">
        <x:v>short</x:v>
      </x:c>
      <x:c r="Q145" t="str">
        <x:v>left</x:v>
      </x:c>
      <x:c r="R145" t="n">
        <x:v>11</x:v>
      </x:c>
      <x:c r="S145"/>
      <x:c r="T145"/>
      <x:c r="U145"/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/>
      <x:c r="AC145" t="n">
        <x:v>0</x:v>
      </x:c>
      <x:c r="AD145" t="n">
        <x:v>-1.1703871681820601</x:v>
      </x:c>
      <x:c r="AE145" t="n">
        <x:v>0</x:v>
      </x:c>
      <x:c r="AF145" t="n">
        <x:v>-0.043958574533462524</x:v>
      </x:c>
      <x:c r="AG145" t="n">
        <x:f>_xlfn.XLOOKUP($A145,Games!$A$2:$A$18,Games!$B$2:$B$18,"Missing game",0)</x:f>
        <x:v>2025</x:v>
      </x:c>
      <x:c r="AH145" t="str">
        <x:f>_xlfn.XLOOKUP($A145,Games!$A$2:$A$18,Games!$C$2:$C$18,"Missing game",0)</x:f>
        <x:v>REG</x:v>
      </x:c>
      <x:c r="AI145" t="n">
        <x:f>_xlfn.XLOOKUP($A145,Games!$A$2:$A$18,Games!$D$2:$D$18,"Missing game",0)</x:f>
        <x:v>1</x:v>
      </x:c>
      <x:c r="AJ145" s="1" t="n">
        <x:f>_xlfn.XLOOKUP($A145,Games!$A$2:$A$18,Games!$E$2:$E$18,"Missing game",0)</x:f>
        <x:v>45908</x:v>
      </x:c>
      <x:c r="AK145" t="str">
        <x:f>_xlfn.XLOOKUP($A145,Games!$A$2:$A$18,Games!$F$2:$F$18,"Missing game",0)</x:f>
        <x:v>Monday</x:v>
      </x:c>
      <x:c r="AL145" t="str">
        <x:f>_xlfn.XLOOKUP($A145,Games!$A$2:$A$18,Games!$G$2:$G$18,"Missing game",0)</x:f>
        <x:v>MIN</x:v>
      </x:c>
      <x:c r="AM145" t="n">
        <x:f>_xlfn.XLOOKUP($A145,Games!$A$2:$A$18,Games!$H$2:$H$18,"Missing game",0)</x:f>
        <x:v>27</x:v>
      </x:c>
      <x:c r="AN145" t="str">
        <x:f>_xlfn.XLOOKUP($A145,Games!$A$2:$A$18,Games!$I$2:$I$18,"Missing game",0)</x:f>
        <x:v>CHI</x:v>
      </x:c>
      <x:c r="AO145" t="n">
        <x:f>_xlfn.XLOOKUP($A145,Games!$A$2:$A$18,Games!$J$2:$J$18,"Missing game",0)</x:f>
        <x:v>24</x:v>
      </x:c>
      <x:c r="AP145" t="n">
        <x:f>_xlfn.XLOOKUP($A145,Games!$A$2:$A$18,Games!$K$2:$K$18,"Missing game",0)</x:f>
        <x:v>-3</x:v>
      </x:c>
      <x:c r="AQ145" t="n">
        <x:f>_xlfn.XLOOKUP($A145,Games!$A$2:$A$18,Games!$L$2:$L$18,"Missing game",0)</x:f>
        <x:v>51</x:v>
      </x:c>
      <x:c r="AR145" t="n">
        <x:f>_xlfn.XLOOKUP($A145,Games!$A$2:$A$18,Games!$M$2:$M$18,"Missing game",0)</x:f>
        <x:v>0</x:v>
      </x:c>
      <x:c r="AS145" t="str">
        <x:f>_xlfn.XLOOKUP($A145,Games!$A$2:$A$18,Games!$N$2:$N$18,"Missing game",0)</x:f>
        <x:v>outdoors</x:v>
      </x:c>
      <x:c r="AT145" t="str">
        <x:f>_xlfn.XLOOKUP($A145,Games!$A$2:$A$18,Games!$O$2:$O$18,"Missing game",0)</x:f>
        <x:v>grass</x:v>
      </x:c>
      <x:c r="AU145" t="n">
        <x:f>_xlfn.XLOOKUP($A145,Games!$A$2:$A$18,Games!$P$2:$P$18,"Missing game",0)</x:f>
        <x:v>68</x:v>
      </x:c>
      <x:c r="AV145" t="n">
        <x:f>_xlfn.XLOOKUP($A145,Games!$A$2:$A$18,Games!$Q$2:$Q$18,"Missing game",0)</x:f>
        <x:v>6</x:v>
      </x:c>
      <x:c r="AW145" t="str">
        <x:f>_xlfn.XLOOKUP($A145,Games!$A$2:$A$18,Games!$R$2:$R$18,"Missing game",0)</x:f>
        <x:v>Soldier Field</x:v>
      </x:c>
    </x:row>
    <x:row r="146">
      <x:c r="A146" t="str">
        <x:v>2025_01_MIN_CHI</x:v>
      </x:c>
      <x:c r="B146" t="n">
        <x:v>3658</x:v>
      </x:c>
      <x:c r="C146" t="n">
        <x:v>4</x:v>
      </x:c>
      <x:c r="D146" t="str">
        <x:v>07:38</x:v>
      </x:c>
      <x:c r="E146" t="n">
        <x:v>4</x:v>
      </x:c>
      <x:c r="F146" t="n">
        <x:v>14</x:v>
      </x:c>
      <x:c r="G146" t="str">
        <x:v>CHI</x:v>
      </x:c>
      <x:c r="H146" t="str">
        <x:v>MIN</x:v>
      </x:c>
      <x:c r="I146" t="str">
        <x:v>CHI</x:v>
      </x:c>
      <x:c r="J146" t="n">
        <x:v>57</x:v>
      </x:c>
      <x:c r="K146" t="str">
        <x:v>(7:38) 19-T.Taylor punts 25 yards to MIN 32, Center-46-S.Daly, downed by CHI-46-S.Daly.</x:v>
      </x:c>
      <x:c r="L146" t="str">
        <x:v>punt</x:v>
      </x:c>
      <x:c r="M146" t="n">
        <x:v>0</x:v>
      </x:c>
      <x:c r="N146" t="n">
        <x:v>0</x:v>
      </x:c>
      <x:c r="O146" t="n">
        <x:v>0</x:v>
      </x:c>
      <x:c r="P146"/>
      <x:c r="Q146"/>
      <x:c r="R146"/>
      <x:c r="S146"/>
      <x:c r="T146"/>
      <x:c r="U146"/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/>
      <x:c r="AC146" t="n">
        <x:v>0</x:v>
      </x:c>
      <x:c r="AD146" t="n">
        <x:v>-1.0537154225166887</x:v>
      </x:c>
      <x:c r="AE146" t="n">
        <x:v>0</x:v>
      </x:c>
      <x:c r="AF146" t="n">
        <x:v>-0.06469464302062988</x:v>
      </x:c>
      <x:c r="AG146" t="n">
        <x:f>_xlfn.XLOOKUP($A146,Games!$A$2:$A$18,Games!$B$2:$B$18,"Missing game",0)</x:f>
        <x:v>2025</x:v>
      </x:c>
      <x:c r="AH146" t="str">
        <x:f>_xlfn.XLOOKUP($A146,Games!$A$2:$A$18,Games!$C$2:$C$18,"Missing game",0)</x:f>
        <x:v>REG</x:v>
      </x:c>
      <x:c r="AI146" t="n">
        <x:f>_xlfn.XLOOKUP($A146,Games!$A$2:$A$18,Games!$D$2:$D$18,"Missing game",0)</x:f>
        <x:v>1</x:v>
      </x:c>
      <x:c r="AJ146" s="1" t="n">
        <x:f>_xlfn.XLOOKUP($A146,Games!$A$2:$A$18,Games!$E$2:$E$18,"Missing game",0)</x:f>
        <x:v>45908</x:v>
      </x:c>
      <x:c r="AK146" t="str">
        <x:f>_xlfn.XLOOKUP($A146,Games!$A$2:$A$18,Games!$F$2:$F$18,"Missing game",0)</x:f>
        <x:v>Monday</x:v>
      </x:c>
      <x:c r="AL146" t="str">
        <x:f>_xlfn.XLOOKUP($A146,Games!$A$2:$A$18,Games!$G$2:$G$18,"Missing game",0)</x:f>
        <x:v>MIN</x:v>
      </x:c>
      <x:c r="AM146" t="n">
        <x:f>_xlfn.XLOOKUP($A146,Games!$A$2:$A$18,Games!$H$2:$H$18,"Missing game",0)</x:f>
        <x:v>27</x:v>
      </x:c>
      <x:c r="AN146" t="str">
        <x:f>_xlfn.XLOOKUP($A146,Games!$A$2:$A$18,Games!$I$2:$I$18,"Missing game",0)</x:f>
        <x:v>CHI</x:v>
      </x:c>
      <x:c r="AO146" t="n">
        <x:f>_xlfn.XLOOKUP($A146,Games!$A$2:$A$18,Games!$J$2:$J$18,"Missing game",0)</x:f>
        <x:v>24</x:v>
      </x:c>
      <x:c r="AP146" t="n">
        <x:f>_xlfn.XLOOKUP($A146,Games!$A$2:$A$18,Games!$K$2:$K$18,"Missing game",0)</x:f>
        <x:v>-3</x:v>
      </x:c>
      <x:c r="AQ146" t="n">
        <x:f>_xlfn.XLOOKUP($A146,Games!$A$2:$A$18,Games!$L$2:$L$18,"Missing game",0)</x:f>
        <x:v>51</x:v>
      </x:c>
      <x:c r="AR146" t="n">
        <x:f>_xlfn.XLOOKUP($A146,Games!$A$2:$A$18,Games!$M$2:$M$18,"Missing game",0)</x:f>
        <x:v>0</x:v>
      </x:c>
      <x:c r="AS146" t="str">
        <x:f>_xlfn.XLOOKUP($A146,Games!$A$2:$A$18,Games!$N$2:$N$18,"Missing game",0)</x:f>
        <x:v>outdoors</x:v>
      </x:c>
      <x:c r="AT146" t="str">
        <x:f>_xlfn.XLOOKUP($A146,Games!$A$2:$A$18,Games!$O$2:$O$18,"Missing game",0)</x:f>
        <x:v>grass</x:v>
      </x:c>
      <x:c r="AU146" t="n">
        <x:f>_xlfn.XLOOKUP($A146,Games!$A$2:$A$18,Games!$P$2:$P$18,"Missing game",0)</x:f>
        <x:v>68</x:v>
      </x:c>
      <x:c r="AV146" t="n">
        <x:f>_xlfn.XLOOKUP($A146,Games!$A$2:$A$18,Games!$Q$2:$Q$18,"Missing game",0)</x:f>
        <x:v>6</x:v>
      </x:c>
      <x:c r="AW146" t="str">
        <x:f>_xlfn.XLOOKUP($A146,Games!$A$2:$A$18,Games!$R$2:$R$18,"Missing game",0)</x:f>
        <x:v>Soldier Field</x:v>
      </x:c>
    </x:row>
    <x:row r="147">
      <x:c r="A147" t="str">
        <x:v>2025_01_MIN_CHI</x:v>
      </x:c>
      <x:c r="B147" t="n">
        <x:v>3687</x:v>
      </x:c>
      <x:c r="C147" t="n">
        <x:v>4</x:v>
      </x:c>
      <x:c r="D147" t="str">
        <x:v>07:24</x:v>
      </x:c>
      <x:c r="E147" t="n">
        <x:v>1</x:v>
      </x:c>
      <x:c r="F147" t="n">
        <x:v>10</x:v>
      </x:c>
      <x:c r="G147" t="str">
        <x:v>MIN</x:v>
      </x:c>
      <x:c r="H147" t="str">
        <x:v>CHI</x:v>
      </x:c>
      <x:c r="I147" t="str">
        <x:v>MIN</x:v>
      </x:c>
      <x:c r="J147" t="n">
        <x:v>68</x:v>
      </x:c>
      <x:c r="K147" t="str">
        <x:v>(7:24) 27-J.Mason right guard to CHI 49 for 19 yards (26-N.Wright; 49-T.Edmunds).</x:v>
      </x:c>
      <x:c r="L147" t="str">
        <x:v>run</x:v>
      </x:c>
      <x:c r="M147" t="n">
        <x:v>19</x:v>
      </x:c>
      <x:c r="N147" t="n">
        <x:v>0</x:v>
      </x:c>
      <x:c r="O147" t="n">
        <x:v>0</x:v>
      </x:c>
      <x:c r="P147"/>
      <x:c r="Q147"/>
      <x:c r="R147"/>
      <x:c r="S147"/>
      <x:c r="T147" t="str">
        <x:v>right</x:v>
      </x:c>
      <x:c r="U147" t="str">
        <x:v>guard</x:v>
      </x:c>
      <x:c r="V147" t="n">
        <x:v>0</x:v>
      </x:c>
      <x:c r="W147" t="n">
        <x:v>1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/>
      <x:c r="AC147" t="n">
        <x:v>0</x:v>
      </x:c>
      <x:c r="AD147" t="n">
        <x:v>1.082621939247474</x:v>
      </x:c>
      <x:c r="AE147" t="n">
        <x:v>1</x:v>
      </x:c>
      <x:c r="AF147" t="n">
        <x:v>0.055217206478118896</x:v>
      </x:c>
      <x:c r="AG147" t="n">
        <x:f>_xlfn.XLOOKUP($A147,Games!$A$2:$A$18,Games!$B$2:$B$18,"Missing game",0)</x:f>
        <x:v>2025</x:v>
      </x:c>
      <x:c r="AH147" t="str">
        <x:f>_xlfn.XLOOKUP($A147,Games!$A$2:$A$18,Games!$C$2:$C$18,"Missing game",0)</x:f>
        <x:v>REG</x:v>
      </x:c>
      <x:c r="AI147" t="n">
        <x:f>_xlfn.XLOOKUP($A147,Games!$A$2:$A$18,Games!$D$2:$D$18,"Missing game",0)</x:f>
        <x:v>1</x:v>
      </x:c>
      <x:c r="AJ147" s="1" t="n">
        <x:f>_xlfn.XLOOKUP($A147,Games!$A$2:$A$18,Games!$E$2:$E$18,"Missing game",0)</x:f>
        <x:v>45908</x:v>
      </x:c>
      <x:c r="AK147" t="str">
        <x:f>_xlfn.XLOOKUP($A147,Games!$A$2:$A$18,Games!$F$2:$F$18,"Missing game",0)</x:f>
        <x:v>Monday</x:v>
      </x:c>
      <x:c r="AL147" t="str">
        <x:f>_xlfn.XLOOKUP($A147,Games!$A$2:$A$18,Games!$G$2:$G$18,"Missing game",0)</x:f>
        <x:v>MIN</x:v>
      </x:c>
      <x:c r="AM147" t="n">
        <x:f>_xlfn.XLOOKUP($A147,Games!$A$2:$A$18,Games!$H$2:$H$18,"Missing game",0)</x:f>
        <x:v>27</x:v>
      </x:c>
      <x:c r="AN147" t="str">
        <x:f>_xlfn.XLOOKUP($A147,Games!$A$2:$A$18,Games!$I$2:$I$18,"Missing game",0)</x:f>
        <x:v>CHI</x:v>
      </x:c>
      <x:c r="AO147" t="n">
        <x:f>_xlfn.XLOOKUP($A147,Games!$A$2:$A$18,Games!$J$2:$J$18,"Missing game",0)</x:f>
        <x:v>24</x:v>
      </x:c>
      <x:c r="AP147" t="n">
        <x:f>_xlfn.XLOOKUP($A147,Games!$A$2:$A$18,Games!$K$2:$K$18,"Missing game",0)</x:f>
        <x:v>-3</x:v>
      </x:c>
      <x:c r="AQ147" t="n">
        <x:f>_xlfn.XLOOKUP($A147,Games!$A$2:$A$18,Games!$L$2:$L$18,"Missing game",0)</x:f>
        <x:v>51</x:v>
      </x:c>
      <x:c r="AR147" t="n">
        <x:f>_xlfn.XLOOKUP($A147,Games!$A$2:$A$18,Games!$M$2:$M$18,"Missing game",0)</x:f>
        <x:v>0</x:v>
      </x:c>
      <x:c r="AS147" t="str">
        <x:f>_xlfn.XLOOKUP($A147,Games!$A$2:$A$18,Games!$N$2:$N$18,"Missing game",0)</x:f>
        <x:v>outdoors</x:v>
      </x:c>
      <x:c r="AT147" t="str">
        <x:f>_xlfn.XLOOKUP($A147,Games!$A$2:$A$18,Games!$O$2:$O$18,"Missing game",0)</x:f>
        <x:v>grass</x:v>
      </x:c>
      <x:c r="AU147" t="n">
        <x:f>_xlfn.XLOOKUP($A147,Games!$A$2:$A$18,Games!$P$2:$P$18,"Missing game",0)</x:f>
        <x:v>68</x:v>
      </x:c>
      <x:c r="AV147" t="n">
        <x:f>_xlfn.XLOOKUP($A147,Games!$A$2:$A$18,Games!$Q$2:$Q$18,"Missing game",0)</x:f>
        <x:v>6</x:v>
      </x:c>
      <x:c r="AW147" t="str">
        <x:f>_xlfn.XLOOKUP($A147,Games!$A$2:$A$18,Games!$R$2:$R$18,"Missing game",0)</x:f>
        <x:v>Soldier Field</x:v>
      </x:c>
    </x:row>
    <x:row r="148">
      <x:c r="A148" t="str">
        <x:v>2025_01_MIN_CHI</x:v>
      </x:c>
      <x:c r="B148" t="n">
        <x:v>3709</x:v>
      </x:c>
      <x:c r="C148" t="n">
        <x:v>4</x:v>
      </x:c>
      <x:c r="D148" t="str">
        <x:v>06:39</x:v>
      </x:c>
      <x:c r="E148" t="n">
        <x:v>1</x:v>
      </x:c>
      <x:c r="F148" t="n">
        <x:v>10</x:v>
      </x:c>
      <x:c r="G148" t="str">
        <x:v>MIN</x:v>
      </x:c>
      <x:c r="H148" t="str">
        <x:v>CHI</x:v>
      </x:c>
      <x:c r="I148" t="str">
        <x:v>CHI</x:v>
      </x:c>
      <x:c r="J148" t="n">
        <x:v>49</x:v>
      </x:c>
      <x:c r="K148" t="str">
        <x:v>(6:39) 27-J.Mason left tackle to CHI 49 for no gain (44-N.Sewell).</x:v>
      </x:c>
      <x:c r="L148" t="str">
        <x:v>run</x:v>
      </x:c>
      <x:c r="M148" t="n">
        <x:v>0</x:v>
      </x:c>
      <x:c r="N148" t="n">
        <x:v>0</x:v>
      </x:c>
      <x:c r="O148" t="n">
        <x:v>0</x:v>
      </x:c>
      <x:c r="P148"/>
      <x:c r="Q148"/>
      <x:c r="R148"/>
      <x:c r="S148"/>
      <x:c r="T148" t="str">
        <x:v>left</x:v>
      </x:c>
      <x:c r="U148" t="str">
        <x:v>tackle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/>
      <x:c r="AC148" t="n">
        <x:v>0</x:v>
      </x:c>
      <x:c r="AD148" t="n">
        <x:v>-0.44896757369861007</x:v>
      </x:c>
      <x:c r="AE148" t="n">
        <x:v>0</x:v>
      </x:c>
      <x:c r="AF148" t="n">
        <x:v>-0.01781284809112549</x:v>
      </x:c>
      <x:c r="AG148" t="n">
        <x:f>_xlfn.XLOOKUP($A148,Games!$A$2:$A$18,Games!$B$2:$B$18,"Missing game",0)</x:f>
        <x:v>2025</x:v>
      </x:c>
      <x:c r="AH148" t="str">
        <x:f>_xlfn.XLOOKUP($A148,Games!$A$2:$A$18,Games!$C$2:$C$18,"Missing game",0)</x:f>
        <x:v>REG</x:v>
      </x:c>
      <x:c r="AI148" t="n">
        <x:f>_xlfn.XLOOKUP($A148,Games!$A$2:$A$18,Games!$D$2:$D$18,"Missing game",0)</x:f>
        <x:v>1</x:v>
      </x:c>
      <x:c r="AJ148" s="1" t="n">
        <x:f>_xlfn.XLOOKUP($A148,Games!$A$2:$A$18,Games!$E$2:$E$18,"Missing game",0)</x:f>
        <x:v>45908</x:v>
      </x:c>
      <x:c r="AK148" t="str">
        <x:f>_xlfn.XLOOKUP($A148,Games!$A$2:$A$18,Games!$F$2:$F$18,"Missing game",0)</x:f>
        <x:v>Monday</x:v>
      </x:c>
      <x:c r="AL148" t="str">
        <x:f>_xlfn.XLOOKUP($A148,Games!$A$2:$A$18,Games!$G$2:$G$18,"Missing game",0)</x:f>
        <x:v>MIN</x:v>
      </x:c>
      <x:c r="AM148" t="n">
        <x:f>_xlfn.XLOOKUP($A148,Games!$A$2:$A$18,Games!$H$2:$H$18,"Missing game",0)</x:f>
        <x:v>27</x:v>
      </x:c>
      <x:c r="AN148" t="str">
        <x:f>_xlfn.XLOOKUP($A148,Games!$A$2:$A$18,Games!$I$2:$I$18,"Missing game",0)</x:f>
        <x:v>CHI</x:v>
      </x:c>
      <x:c r="AO148" t="n">
        <x:f>_xlfn.XLOOKUP($A148,Games!$A$2:$A$18,Games!$J$2:$J$18,"Missing game",0)</x:f>
        <x:v>24</x:v>
      </x:c>
      <x:c r="AP148" t="n">
        <x:f>_xlfn.XLOOKUP($A148,Games!$A$2:$A$18,Games!$K$2:$K$18,"Missing game",0)</x:f>
        <x:v>-3</x:v>
      </x:c>
      <x:c r="AQ148" t="n">
        <x:f>_xlfn.XLOOKUP($A148,Games!$A$2:$A$18,Games!$L$2:$L$18,"Missing game",0)</x:f>
        <x:v>51</x:v>
      </x:c>
      <x:c r="AR148" t="n">
        <x:f>_xlfn.XLOOKUP($A148,Games!$A$2:$A$18,Games!$M$2:$M$18,"Missing game",0)</x:f>
        <x:v>0</x:v>
      </x:c>
      <x:c r="AS148" t="str">
        <x:f>_xlfn.XLOOKUP($A148,Games!$A$2:$A$18,Games!$N$2:$N$18,"Missing game",0)</x:f>
        <x:v>outdoors</x:v>
      </x:c>
      <x:c r="AT148" t="str">
        <x:f>_xlfn.XLOOKUP($A148,Games!$A$2:$A$18,Games!$O$2:$O$18,"Missing game",0)</x:f>
        <x:v>grass</x:v>
      </x:c>
      <x:c r="AU148" t="n">
        <x:f>_xlfn.XLOOKUP($A148,Games!$A$2:$A$18,Games!$P$2:$P$18,"Missing game",0)</x:f>
        <x:v>68</x:v>
      </x:c>
      <x:c r="AV148" t="n">
        <x:f>_xlfn.XLOOKUP($A148,Games!$A$2:$A$18,Games!$Q$2:$Q$18,"Missing game",0)</x:f>
        <x:v>6</x:v>
      </x:c>
      <x:c r="AW148" t="str">
        <x:f>_xlfn.XLOOKUP($A148,Games!$A$2:$A$18,Games!$R$2:$R$18,"Missing game",0)</x:f>
        <x:v>Soldier Field</x:v>
      </x:c>
    </x:row>
    <x:row r="149">
      <x:c r="A149" t="str">
        <x:v>2025_01_MIN_CHI</x:v>
      </x:c>
      <x:c r="B149" t="n">
        <x:v>3731</x:v>
      </x:c>
      <x:c r="C149" t="n">
        <x:v>4</x:v>
      </x:c>
      <x:c r="D149" t="str">
        <x:v>06:02</x:v>
      </x:c>
      <x:c r="E149" t="n">
        <x:v>2</x:v>
      </x:c>
      <x:c r="F149" t="n">
        <x:v>10</x:v>
      </x:c>
      <x:c r="G149" t="str">
        <x:v>MIN</x:v>
      </x:c>
      <x:c r="H149" t="str">
        <x:v>CHI</x:v>
      </x:c>
      <x:c r="I149" t="str">
        <x:v>CHI</x:v>
      </x:c>
      <x:c r="J149" t="n">
        <x:v>49</x:v>
      </x:c>
      <x:c r="K149" t="str">
        <x:v>(6:02) (Shotgun) 9-J.McCarthy pass short right to 87-T.Hockenson pushed ob at CHI 40 for 9 yards (49-T.Edmunds).</x:v>
      </x:c>
      <x:c r="L149" t="str">
        <x:v>pass</x:v>
      </x:c>
      <x:c r="M149" t="n">
        <x:v>9</x:v>
      </x:c>
      <x:c r="N149" t="n">
        <x:v>1</x:v>
      </x:c>
      <x:c r="O149" t="n">
        <x:v>0</x:v>
      </x:c>
      <x:c r="P149" t="str">
        <x:v>short</x:v>
      </x:c>
      <x:c r="Q149" t="str">
        <x:v>right</x:v>
      </x:c>
      <x:c r="R149" t="n">
        <x:v>5</x:v>
      </x:c>
      <x:c r="S149" t="n">
        <x:v>4</x:v>
      </x:c>
      <x:c r="T149"/>
      <x:c r="U149"/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/>
      <x:c r="AC149" t="n">
        <x:v>0</x:v>
      </x:c>
      <x:c r="AD149" t="n">
        <x:v>0.681981201749295</x:v>
      </x:c>
      <x:c r="AE149" t="n">
        <x:v>1</x:v>
      </x:c>
      <x:c r="AF149" t="n">
        <x:v>0.023624897003173828</x:v>
      </x:c>
      <x:c r="AG149" t="n">
        <x:f>_xlfn.XLOOKUP($A149,Games!$A$2:$A$18,Games!$B$2:$B$18,"Missing game",0)</x:f>
        <x:v>2025</x:v>
      </x:c>
      <x:c r="AH149" t="str">
        <x:f>_xlfn.XLOOKUP($A149,Games!$A$2:$A$18,Games!$C$2:$C$18,"Missing game",0)</x:f>
        <x:v>REG</x:v>
      </x:c>
      <x:c r="AI149" t="n">
        <x:f>_xlfn.XLOOKUP($A149,Games!$A$2:$A$18,Games!$D$2:$D$18,"Missing game",0)</x:f>
        <x:v>1</x:v>
      </x:c>
      <x:c r="AJ149" s="1" t="n">
        <x:f>_xlfn.XLOOKUP($A149,Games!$A$2:$A$18,Games!$E$2:$E$18,"Missing game",0)</x:f>
        <x:v>45908</x:v>
      </x:c>
      <x:c r="AK149" t="str">
        <x:f>_xlfn.XLOOKUP($A149,Games!$A$2:$A$18,Games!$F$2:$F$18,"Missing game",0)</x:f>
        <x:v>Monday</x:v>
      </x:c>
      <x:c r="AL149" t="str">
        <x:f>_xlfn.XLOOKUP($A149,Games!$A$2:$A$18,Games!$G$2:$G$18,"Missing game",0)</x:f>
        <x:v>MIN</x:v>
      </x:c>
      <x:c r="AM149" t="n">
        <x:f>_xlfn.XLOOKUP($A149,Games!$A$2:$A$18,Games!$H$2:$H$18,"Missing game",0)</x:f>
        <x:v>27</x:v>
      </x:c>
      <x:c r="AN149" t="str">
        <x:f>_xlfn.XLOOKUP($A149,Games!$A$2:$A$18,Games!$I$2:$I$18,"Missing game",0)</x:f>
        <x:v>CHI</x:v>
      </x:c>
      <x:c r="AO149" t="n">
        <x:f>_xlfn.XLOOKUP($A149,Games!$A$2:$A$18,Games!$J$2:$J$18,"Missing game",0)</x:f>
        <x:v>24</x:v>
      </x:c>
      <x:c r="AP149" t="n">
        <x:f>_xlfn.XLOOKUP($A149,Games!$A$2:$A$18,Games!$K$2:$K$18,"Missing game",0)</x:f>
        <x:v>-3</x:v>
      </x:c>
      <x:c r="AQ149" t="n">
        <x:f>_xlfn.XLOOKUP($A149,Games!$A$2:$A$18,Games!$L$2:$L$18,"Missing game",0)</x:f>
        <x:v>51</x:v>
      </x:c>
      <x:c r="AR149" t="n">
        <x:f>_xlfn.XLOOKUP($A149,Games!$A$2:$A$18,Games!$M$2:$M$18,"Missing game",0)</x:f>
        <x:v>0</x:v>
      </x:c>
      <x:c r="AS149" t="str">
        <x:f>_xlfn.XLOOKUP($A149,Games!$A$2:$A$18,Games!$N$2:$N$18,"Missing game",0)</x:f>
        <x:v>outdoors</x:v>
      </x:c>
      <x:c r="AT149" t="str">
        <x:f>_xlfn.XLOOKUP($A149,Games!$A$2:$A$18,Games!$O$2:$O$18,"Missing game",0)</x:f>
        <x:v>grass</x:v>
      </x:c>
      <x:c r="AU149" t="n">
        <x:f>_xlfn.XLOOKUP($A149,Games!$A$2:$A$18,Games!$P$2:$P$18,"Missing game",0)</x:f>
        <x:v>68</x:v>
      </x:c>
      <x:c r="AV149" t="n">
        <x:f>_xlfn.XLOOKUP($A149,Games!$A$2:$A$18,Games!$Q$2:$Q$18,"Missing game",0)</x:f>
        <x:v>6</x:v>
      </x:c>
      <x:c r="AW149" t="str">
        <x:f>_xlfn.XLOOKUP($A149,Games!$A$2:$A$18,Games!$R$2:$R$18,"Missing game",0)</x:f>
        <x:v>Soldier Field</x:v>
      </x:c>
    </x:row>
    <x:row r="150">
      <x:c r="A150" t="str">
        <x:v>2025_01_MIN_CHI</x:v>
      </x:c>
      <x:c r="B150" t="n">
        <x:v>3761</x:v>
      </x:c>
      <x:c r="C150" t="n">
        <x:v>4</x:v>
      </x:c>
      <x:c r="D150" t="str">
        <x:v>05:20</x:v>
      </x:c>
      <x:c r="E150" t="n">
        <x:v>3</x:v>
      </x:c>
      <x:c r="F150" t="n">
        <x:v>1</x:v>
      </x:c>
      <x:c r="G150" t="str">
        <x:v>MIN</x:v>
      </x:c>
      <x:c r="H150" t="str">
        <x:v>CHI</x:v>
      </x:c>
      <x:c r="I150" t="str">
        <x:v>CHI</x:v>
      </x:c>
      <x:c r="J150" t="n">
        <x:v>40</x:v>
      </x:c>
      <x:c r="K150" t="str">
        <x:v>(5:20) 33-A.Jones left guard to CHI 38 for 2 yards (9-J.Brisker).</x:v>
      </x:c>
      <x:c r="L150" t="str">
        <x:v>run</x:v>
      </x:c>
      <x:c r="M150" t="n">
        <x:v>2</x:v>
      </x:c>
      <x:c r="N150" t="n">
        <x:v>0</x:v>
      </x:c>
      <x:c r="O150" t="n">
        <x:v>0</x:v>
      </x:c>
      <x:c r="P150"/>
      <x:c r="Q150"/>
      <x:c r="R150"/>
      <x:c r="S150"/>
      <x:c r="T150" t="str">
        <x:v>left</x:v>
      </x:c>
      <x:c r="U150" t="str">
        <x:v>guard</x:v>
      </x:c>
      <x:c r="V150" t="n">
        <x:v>0</x:v>
      </x:c>
      <x:c r="W150" t="n">
        <x:v>1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/>
      <x:c r="AC150" t="n">
        <x:v>0</x:v>
      </x:c>
      <x:c r="AD150" t="n">
        <x:v>0.4052444228436798</x:v>
      </x:c>
      <x:c r="AE150" t="n">
        <x:v>1</x:v>
      </x:c>
      <x:c r="AF150" t="n">
        <x:v>0.02195572853088379</x:v>
      </x:c>
      <x:c r="AG150" t="n">
        <x:f>_xlfn.XLOOKUP($A150,Games!$A$2:$A$18,Games!$B$2:$B$18,"Missing game",0)</x:f>
        <x:v>2025</x:v>
      </x:c>
      <x:c r="AH150" t="str">
        <x:f>_xlfn.XLOOKUP($A150,Games!$A$2:$A$18,Games!$C$2:$C$18,"Missing game",0)</x:f>
        <x:v>REG</x:v>
      </x:c>
      <x:c r="AI150" t="n">
        <x:f>_xlfn.XLOOKUP($A150,Games!$A$2:$A$18,Games!$D$2:$D$18,"Missing game",0)</x:f>
        <x:v>1</x:v>
      </x:c>
      <x:c r="AJ150" s="1" t="n">
        <x:f>_xlfn.XLOOKUP($A150,Games!$A$2:$A$18,Games!$E$2:$E$18,"Missing game",0)</x:f>
        <x:v>45908</x:v>
      </x:c>
      <x:c r="AK150" t="str">
        <x:f>_xlfn.XLOOKUP($A150,Games!$A$2:$A$18,Games!$F$2:$F$18,"Missing game",0)</x:f>
        <x:v>Monday</x:v>
      </x:c>
      <x:c r="AL150" t="str">
        <x:f>_xlfn.XLOOKUP($A150,Games!$A$2:$A$18,Games!$G$2:$G$18,"Missing game",0)</x:f>
        <x:v>MIN</x:v>
      </x:c>
      <x:c r="AM150" t="n">
        <x:f>_xlfn.XLOOKUP($A150,Games!$A$2:$A$18,Games!$H$2:$H$18,"Missing game",0)</x:f>
        <x:v>27</x:v>
      </x:c>
      <x:c r="AN150" t="str">
        <x:f>_xlfn.XLOOKUP($A150,Games!$A$2:$A$18,Games!$I$2:$I$18,"Missing game",0)</x:f>
        <x:v>CHI</x:v>
      </x:c>
      <x:c r="AO150" t="n">
        <x:f>_xlfn.XLOOKUP($A150,Games!$A$2:$A$18,Games!$J$2:$J$18,"Missing game",0)</x:f>
        <x:v>24</x:v>
      </x:c>
      <x:c r="AP150" t="n">
        <x:f>_xlfn.XLOOKUP($A150,Games!$A$2:$A$18,Games!$K$2:$K$18,"Missing game",0)</x:f>
        <x:v>-3</x:v>
      </x:c>
      <x:c r="AQ150" t="n">
        <x:f>_xlfn.XLOOKUP($A150,Games!$A$2:$A$18,Games!$L$2:$L$18,"Missing game",0)</x:f>
        <x:v>51</x:v>
      </x:c>
      <x:c r="AR150" t="n">
        <x:f>_xlfn.XLOOKUP($A150,Games!$A$2:$A$18,Games!$M$2:$M$18,"Missing game",0)</x:f>
        <x:v>0</x:v>
      </x:c>
      <x:c r="AS150" t="str">
        <x:f>_xlfn.XLOOKUP($A150,Games!$A$2:$A$18,Games!$N$2:$N$18,"Missing game",0)</x:f>
        <x:v>outdoors</x:v>
      </x:c>
      <x:c r="AT150" t="str">
        <x:f>_xlfn.XLOOKUP($A150,Games!$A$2:$A$18,Games!$O$2:$O$18,"Missing game",0)</x:f>
        <x:v>grass</x:v>
      </x:c>
      <x:c r="AU150" t="n">
        <x:f>_xlfn.XLOOKUP($A150,Games!$A$2:$A$18,Games!$P$2:$P$18,"Missing game",0)</x:f>
        <x:v>68</x:v>
      </x:c>
      <x:c r="AV150" t="n">
        <x:f>_xlfn.XLOOKUP($A150,Games!$A$2:$A$18,Games!$Q$2:$Q$18,"Missing game",0)</x:f>
        <x:v>6</x:v>
      </x:c>
      <x:c r="AW150" t="str">
        <x:f>_xlfn.XLOOKUP($A150,Games!$A$2:$A$18,Games!$R$2:$R$18,"Missing game",0)</x:f>
        <x:v>Soldier Field</x:v>
      </x:c>
    </x:row>
    <x:row r="151">
      <x:c r="A151" t="str">
        <x:v>2025_01_MIN_CHI</x:v>
      </x:c>
      <x:c r="B151" t="n">
        <x:v>3783</x:v>
      </x:c>
      <x:c r="C151" t="n">
        <x:v>4</x:v>
      </x:c>
      <x:c r="D151" t="str">
        <x:v>04:38</x:v>
      </x:c>
      <x:c r="E151" t="n">
        <x:v>1</x:v>
      </x:c>
      <x:c r="F151" t="n">
        <x:v>10</x:v>
      </x:c>
      <x:c r="G151" t="str">
        <x:v>MIN</x:v>
      </x:c>
      <x:c r="H151" t="str">
        <x:v>CHI</x:v>
      </x:c>
      <x:c r="I151" t="str">
        <x:v>CHI</x:v>
      </x:c>
      <x:c r="J151" t="n">
        <x:v>38</x:v>
      </x:c>
      <x:c r="K151" t="str">
        <x:v>(4:38) 33-A.Jones left tackle to CHI 34 for 4 yards (50-G.Jarrett; 47-R.Hyppolite).</x:v>
      </x:c>
      <x:c r="L151" t="str">
        <x:v>run</x:v>
      </x:c>
      <x:c r="M151" t="n">
        <x:v>4</x:v>
      </x:c>
      <x:c r="N151" t="n">
        <x:v>0</x:v>
      </x:c>
      <x:c r="O151" t="n">
        <x:v>0</x:v>
      </x:c>
      <x:c r="P151"/>
      <x:c r="Q151"/>
      <x:c r="R151"/>
      <x:c r="S151"/>
      <x:c r="T151" t="str">
        <x:v>left</x:v>
      </x:c>
      <x:c r="U151" t="str">
        <x:v>tackle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/>
      <x:c r="AC151" t="n">
        <x:v>0</x:v>
      </x:c>
      <x:c r="AD151" t="n">
        <x:v>-0.2805694480193779</x:v>
      </x:c>
      <x:c r="AE151" t="n">
        <x:v>0</x:v>
      </x:c>
      <x:c r="AF151" t="n">
        <x:v>-0.002481400966644287</x:v>
      </x:c>
      <x:c r="AG151" t="n">
        <x:f>_xlfn.XLOOKUP($A151,Games!$A$2:$A$18,Games!$B$2:$B$18,"Missing game",0)</x:f>
        <x:v>2025</x:v>
      </x:c>
      <x:c r="AH151" t="str">
        <x:f>_xlfn.XLOOKUP($A151,Games!$A$2:$A$18,Games!$C$2:$C$18,"Missing game",0)</x:f>
        <x:v>REG</x:v>
      </x:c>
      <x:c r="AI151" t="n">
        <x:f>_xlfn.XLOOKUP($A151,Games!$A$2:$A$18,Games!$D$2:$D$18,"Missing game",0)</x:f>
        <x:v>1</x:v>
      </x:c>
      <x:c r="AJ151" s="1" t="n">
        <x:f>_xlfn.XLOOKUP($A151,Games!$A$2:$A$18,Games!$E$2:$E$18,"Missing game",0)</x:f>
        <x:v>45908</x:v>
      </x:c>
      <x:c r="AK151" t="str">
        <x:f>_xlfn.XLOOKUP($A151,Games!$A$2:$A$18,Games!$F$2:$F$18,"Missing game",0)</x:f>
        <x:v>Monday</x:v>
      </x:c>
      <x:c r="AL151" t="str">
        <x:f>_xlfn.XLOOKUP($A151,Games!$A$2:$A$18,Games!$G$2:$G$18,"Missing game",0)</x:f>
        <x:v>MIN</x:v>
      </x:c>
      <x:c r="AM151" t="n">
        <x:f>_xlfn.XLOOKUP($A151,Games!$A$2:$A$18,Games!$H$2:$H$18,"Missing game",0)</x:f>
        <x:v>27</x:v>
      </x:c>
      <x:c r="AN151" t="str">
        <x:f>_xlfn.XLOOKUP($A151,Games!$A$2:$A$18,Games!$I$2:$I$18,"Missing game",0)</x:f>
        <x:v>CHI</x:v>
      </x:c>
      <x:c r="AO151" t="n">
        <x:f>_xlfn.XLOOKUP($A151,Games!$A$2:$A$18,Games!$J$2:$J$18,"Missing game",0)</x:f>
        <x:v>24</x:v>
      </x:c>
      <x:c r="AP151" t="n">
        <x:f>_xlfn.XLOOKUP($A151,Games!$A$2:$A$18,Games!$K$2:$K$18,"Missing game",0)</x:f>
        <x:v>-3</x:v>
      </x:c>
      <x:c r="AQ151" t="n">
        <x:f>_xlfn.XLOOKUP($A151,Games!$A$2:$A$18,Games!$L$2:$L$18,"Missing game",0)</x:f>
        <x:v>51</x:v>
      </x:c>
      <x:c r="AR151" t="n">
        <x:f>_xlfn.XLOOKUP($A151,Games!$A$2:$A$18,Games!$M$2:$M$18,"Missing game",0)</x:f>
        <x:v>0</x:v>
      </x:c>
      <x:c r="AS151" t="str">
        <x:f>_xlfn.XLOOKUP($A151,Games!$A$2:$A$18,Games!$N$2:$N$18,"Missing game",0)</x:f>
        <x:v>outdoors</x:v>
      </x:c>
      <x:c r="AT151" t="str">
        <x:f>_xlfn.XLOOKUP($A151,Games!$A$2:$A$18,Games!$O$2:$O$18,"Missing game",0)</x:f>
        <x:v>grass</x:v>
      </x:c>
      <x:c r="AU151" t="n">
        <x:f>_xlfn.XLOOKUP($A151,Games!$A$2:$A$18,Games!$P$2:$P$18,"Missing game",0)</x:f>
        <x:v>68</x:v>
      </x:c>
      <x:c r="AV151" t="n">
        <x:f>_xlfn.XLOOKUP($A151,Games!$A$2:$A$18,Games!$Q$2:$Q$18,"Missing game",0)</x:f>
        <x:v>6</x:v>
      </x:c>
      <x:c r="AW151" t="str">
        <x:f>_xlfn.XLOOKUP($A151,Games!$A$2:$A$18,Games!$R$2:$R$18,"Missing game",0)</x:f>
        <x:v>Soldier Field</x:v>
      </x:c>
    </x:row>
    <x:row r="152">
      <x:c r="A152" t="str">
        <x:v>2025_01_MIN_CHI</x:v>
      </x:c>
      <x:c r="B152" t="n">
        <x:v>3805</x:v>
      </x:c>
      <x:c r="C152" t="n">
        <x:v>4</x:v>
      </x:c>
      <x:c r="D152" t="str">
        <x:v>03:58</x:v>
      </x:c>
      <x:c r="E152" t="n">
        <x:v>2</x:v>
      </x:c>
      <x:c r="F152" t="n">
        <x:v>6</x:v>
      </x:c>
      <x:c r="G152" t="str">
        <x:v>MIN</x:v>
      </x:c>
      <x:c r="H152" t="str">
        <x:v>CHI</x:v>
      </x:c>
      <x:c r="I152" t="str">
        <x:v>CHI</x:v>
      </x:c>
      <x:c r="J152" t="n">
        <x:v>34</x:v>
      </x:c>
      <x:c r="K152" t="str">
        <x:v>(3:58) 9-J.McCarthy pass short right to 33-A.Jones pushed ob at CHI 23 for 11 yards (44-N.Sewell).</x:v>
      </x:c>
      <x:c r="L152" t="str">
        <x:v>pass</x:v>
      </x:c>
      <x:c r="M152" t="n">
        <x:v>11</x:v>
      </x:c>
      <x:c r="N152" t="n">
        <x:v>0</x:v>
      </x:c>
      <x:c r="O152" t="n">
        <x:v>0</x:v>
      </x:c>
      <x:c r="P152" t="str">
        <x:v>short</x:v>
      </x:c>
      <x:c r="Q152" t="str">
        <x:v>right</x:v>
      </x:c>
      <x:c r="R152" t="n">
        <x:v>0</x:v>
      </x:c>
      <x:c r="S152" t="n">
        <x:v>11</x:v>
      </x:c>
      <x:c r="T152"/>
      <x:c r="U152"/>
      <x:c r="V152" t="n">
        <x:v>1</x:v>
      </x:c>
      <x:c r="W152" t="n">
        <x:v>1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/>
      <x:c r="AC152" t="n">
        <x:v>0</x:v>
      </x:c>
      <x:c r="AD152" t="n">
        <x:v>1.0632557385251857</x:v>
      </x:c>
      <x:c r="AE152" t="n">
        <x:v>1</x:v>
      </x:c>
      <x:c r="AF152" t="n">
        <x:v>0.025000810623168945</x:v>
      </x:c>
      <x:c r="AG152" t="n">
        <x:f>_xlfn.XLOOKUP($A152,Games!$A$2:$A$18,Games!$B$2:$B$18,"Missing game",0)</x:f>
        <x:v>2025</x:v>
      </x:c>
      <x:c r="AH152" t="str">
        <x:f>_xlfn.XLOOKUP($A152,Games!$A$2:$A$18,Games!$C$2:$C$18,"Missing game",0)</x:f>
        <x:v>REG</x:v>
      </x:c>
      <x:c r="AI152" t="n">
        <x:f>_xlfn.XLOOKUP($A152,Games!$A$2:$A$18,Games!$D$2:$D$18,"Missing game",0)</x:f>
        <x:v>1</x:v>
      </x:c>
      <x:c r="AJ152" s="1" t="n">
        <x:f>_xlfn.XLOOKUP($A152,Games!$A$2:$A$18,Games!$E$2:$E$18,"Missing game",0)</x:f>
        <x:v>45908</x:v>
      </x:c>
      <x:c r="AK152" t="str">
        <x:f>_xlfn.XLOOKUP($A152,Games!$A$2:$A$18,Games!$F$2:$F$18,"Missing game",0)</x:f>
        <x:v>Monday</x:v>
      </x:c>
      <x:c r="AL152" t="str">
        <x:f>_xlfn.XLOOKUP($A152,Games!$A$2:$A$18,Games!$G$2:$G$18,"Missing game",0)</x:f>
        <x:v>MIN</x:v>
      </x:c>
      <x:c r="AM152" t="n">
        <x:f>_xlfn.XLOOKUP($A152,Games!$A$2:$A$18,Games!$H$2:$H$18,"Missing game",0)</x:f>
        <x:v>27</x:v>
      </x:c>
      <x:c r="AN152" t="str">
        <x:f>_xlfn.XLOOKUP($A152,Games!$A$2:$A$18,Games!$I$2:$I$18,"Missing game",0)</x:f>
        <x:v>CHI</x:v>
      </x:c>
      <x:c r="AO152" t="n">
        <x:f>_xlfn.XLOOKUP($A152,Games!$A$2:$A$18,Games!$J$2:$J$18,"Missing game",0)</x:f>
        <x:v>24</x:v>
      </x:c>
      <x:c r="AP152" t="n">
        <x:f>_xlfn.XLOOKUP($A152,Games!$A$2:$A$18,Games!$K$2:$K$18,"Missing game",0)</x:f>
        <x:v>-3</x:v>
      </x:c>
      <x:c r="AQ152" t="n">
        <x:f>_xlfn.XLOOKUP($A152,Games!$A$2:$A$18,Games!$L$2:$L$18,"Missing game",0)</x:f>
        <x:v>51</x:v>
      </x:c>
      <x:c r="AR152" t="n">
        <x:f>_xlfn.XLOOKUP($A152,Games!$A$2:$A$18,Games!$M$2:$M$18,"Missing game",0)</x:f>
        <x:v>0</x:v>
      </x:c>
      <x:c r="AS152" t="str">
        <x:f>_xlfn.XLOOKUP($A152,Games!$A$2:$A$18,Games!$N$2:$N$18,"Missing game",0)</x:f>
        <x:v>outdoors</x:v>
      </x:c>
      <x:c r="AT152" t="str">
        <x:f>_xlfn.XLOOKUP($A152,Games!$A$2:$A$18,Games!$O$2:$O$18,"Missing game",0)</x:f>
        <x:v>grass</x:v>
      </x:c>
      <x:c r="AU152" t="n">
        <x:f>_xlfn.XLOOKUP($A152,Games!$A$2:$A$18,Games!$P$2:$P$18,"Missing game",0)</x:f>
        <x:v>68</x:v>
      </x:c>
      <x:c r="AV152" t="n">
        <x:f>_xlfn.XLOOKUP($A152,Games!$A$2:$A$18,Games!$Q$2:$Q$18,"Missing game",0)</x:f>
        <x:v>6</x:v>
      </x:c>
      <x:c r="AW152" t="str">
        <x:f>_xlfn.XLOOKUP($A152,Games!$A$2:$A$18,Games!$R$2:$R$18,"Missing game",0)</x:f>
        <x:v>Soldier Field</x:v>
      </x:c>
    </x:row>
    <x:row r="153">
      <x:c r="A153" t="str">
        <x:v>2025_01_MIN_CHI</x:v>
      </x:c>
      <x:c r="B153" t="n">
        <x:v>3835</x:v>
      </x:c>
      <x:c r="C153" t="n">
        <x:v>4</x:v>
      </x:c>
      <x:c r="D153" t="str">
        <x:v>03:52</x:v>
      </x:c>
      <x:c r="E153" t="n">
        <x:v>1</x:v>
      </x:c>
      <x:c r="F153" t="n">
        <x:v>10</x:v>
      </x:c>
      <x:c r="G153" t="str">
        <x:v>MIN</x:v>
      </x:c>
      <x:c r="H153" t="str">
        <x:v>CHI</x:v>
      </x:c>
      <x:c r="I153" t="str">
        <x:v>CHI</x:v>
      </x:c>
      <x:c r="J153" t="n">
        <x:v>23</x:v>
      </x:c>
      <x:c r="K153" t="str">
        <x:v>(3:52) 27-J.Mason left guard to CHI 24 for -1 yards (98-M.Sweat, 44-N.Sewell).</x:v>
      </x:c>
      <x:c r="L153" t="str">
        <x:v>run</x:v>
      </x:c>
      <x:c r="M153" t="n">
        <x:v>-1</x:v>
      </x:c>
      <x:c r="N153" t="n">
        <x:v>0</x:v>
      </x:c>
      <x:c r="O153" t="n">
        <x:v>0</x:v>
      </x:c>
      <x:c r="P153"/>
      <x:c r="Q153"/>
      <x:c r="R153"/>
      <x:c r="S153"/>
      <x:c r="T153" t="str">
        <x:v>left</x:v>
      </x:c>
      <x:c r="U153" t="str">
        <x:v>guard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/>
      <x:c r="AC153" t="n">
        <x:v>0</x:v>
      </x:c>
      <x:c r="AD153" t="n">
        <x:v>-0.8675843711243942</x:v>
      </x:c>
      <x:c r="AE153" t="n">
        <x:v>0</x:v>
      </x:c>
      <x:c r="AF153" t="n">
        <x:v>-0.02390974760055542</x:v>
      </x:c>
      <x:c r="AG153" t="n">
        <x:f>_xlfn.XLOOKUP($A153,Games!$A$2:$A$18,Games!$B$2:$B$18,"Missing game",0)</x:f>
        <x:v>2025</x:v>
      </x:c>
      <x:c r="AH153" t="str">
        <x:f>_xlfn.XLOOKUP($A153,Games!$A$2:$A$18,Games!$C$2:$C$18,"Missing game",0)</x:f>
        <x:v>REG</x:v>
      </x:c>
      <x:c r="AI153" t="n">
        <x:f>_xlfn.XLOOKUP($A153,Games!$A$2:$A$18,Games!$D$2:$D$18,"Missing game",0)</x:f>
        <x:v>1</x:v>
      </x:c>
      <x:c r="AJ153" s="1" t="n">
        <x:f>_xlfn.XLOOKUP($A153,Games!$A$2:$A$18,Games!$E$2:$E$18,"Missing game",0)</x:f>
        <x:v>45908</x:v>
      </x:c>
      <x:c r="AK153" t="str">
        <x:f>_xlfn.XLOOKUP($A153,Games!$A$2:$A$18,Games!$F$2:$F$18,"Missing game",0)</x:f>
        <x:v>Monday</x:v>
      </x:c>
      <x:c r="AL153" t="str">
        <x:f>_xlfn.XLOOKUP($A153,Games!$A$2:$A$18,Games!$G$2:$G$18,"Missing game",0)</x:f>
        <x:v>MIN</x:v>
      </x:c>
      <x:c r="AM153" t="n">
        <x:f>_xlfn.XLOOKUP($A153,Games!$A$2:$A$18,Games!$H$2:$H$18,"Missing game",0)</x:f>
        <x:v>27</x:v>
      </x:c>
      <x:c r="AN153" t="str">
        <x:f>_xlfn.XLOOKUP($A153,Games!$A$2:$A$18,Games!$I$2:$I$18,"Missing game",0)</x:f>
        <x:v>CHI</x:v>
      </x:c>
      <x:c r="AO153" t="n">
        <x:f>_xlfn.XLOOKUP($A153,Games!$A$2:$A$18,Games!$J$2:$J$18,"Missing game",0)</x:f>
        <x:v>24</x:v>
      </x:c>
      <x:c r="AP153" t="n">
        <x:f>_xlfn.XLOOKUP($A153,Games!$A$2:$A$18,Games!$K$2:$K$18,"Missing game",0)</x:f>
        <x:v>-3</x:v>
      </x:c>
      <x:c r="AQ153" t="n">
        <x:f>_xlfn.XLOOKUP($A153,Games!$A$2:$A$18,Games!$L$2:$L$18,"Missing game",0)</x:f>
        <x:v>51</x:v>
      </x:c>
      <x:c r="AR153" t="n">
        <x:f>_xlfn.XLOOKUP($A153,Games!$A$2:$A$18,Games!$M$2:$M$18,"Missing game",0)</x:f>
        <x:v>0</x:v>
      </x:c>
      <x:c r="AS153" t="str">
        <x:f>_xlfn.XLOOKUP($A153,Games!$A$2:$A$18,Games!$N$2:$N$18,"Missing game",0)</x:f>
        <x:v>outdoors</x:v>
      </x:c>
      <x:c r="AT153" t="str">
        <x:f>_xlfn.XLOOKUP($A153,Games!$A$2:$A$18,Games!$O$2:$O$18,"Missing game",0)</x:f>
        <x:v>grass</x:v>
      </x:c>
      <x:c r="AU153" t="n">
        <x:f>_xlfn.XLOOKUP($A153,Games!$A$2:$A$18,Games!$P$2:$P$18,"Missing game",0)</x:f>
        <x:v>68</x:v>
      </x:c>
      <x:c r="AV153" t="n">
        <x:f>_xlfn.XLOOKUP($A153,Games!$A$2:$A$18,Games!$Q$2:$Q$18,"Missing game",0)</x:f>
        <x:v>6</x:v>
      </x:c>
      <x:c r="AW153" t="str">
        <x:f>_xlfn.XLOOKUP($A153,Games!$A$2:$A$18,Games!$R$2:$R$18,"Missing game",0)</x:f>
        <x:v>Soldier Field</x:v>
      </x:c>
    </x:row>
    <x:row r="154">
      <x:c r="A154" t="str">
        <x:v>2025_01_MIN_CHI</x:v>
      </x:c>
      <x:c r="B154" t="n">
        <x:v>3857</x:v>
      </x:c>
      <x:c r="C154" t="n">
        <x:v>4</x:v>
      </x:c>
      <x:c r="D154" t="str">
        <x:v>03:09</x:v>
      </x:c>
      <x:c r="E154" t="n">
        <x:v>2</x:v>
      </x:c>
      <x:c r="F154" t="n">
        <x:v>11</x:v>
      </x:c>
      <x:c r="G154" t="str">
        <x:v>MIN</x:v>
      </x:c>
      <x:c r="H154" t="str">
        <x:v>CHI</x:v>
      </x:c>
      <x:c r="I154" t="str">
        <x:v>CHI</x:v>
      </x:c>
      <x:c r="J154" t="n">
        <x:v>24</x:v>
      </x:c>
      <x:c r="K154" t="str">
        <x:v>(3:09) (Shotgun) 9-J.McCarthy pass short right to 18-J.Jefferson to CHI 14 for 10 yards (50-G.Jarrett).</x:v>
      </x:c>
      <x:c r="L154" t="str">
        <x:v>pass</x:v>
      </x:c>
      <x:c r="M154" t="n">
        <x:v>10</x:v>
      </x:c>
      <x:c r="N154" t="n">
        <x:v>1</x:v>
      </x:c>
      <x:c r="O154" t="n">
        <x:v>0</x:v>
      </x:c>
      <x:c r="P154" t="str">
        <x:v>short</x:v>
      </x:c>
      <x:c r="Q154" t="str">
        <x:v>right</x:v>
      </x:c>
      <x:c r="R154" t="n">
        <x:v>-1</x:v>
      </x:c>
      <x:c r="S154" t="n">
        <x:v>11</x:v>
      </x:c>
      <x:c r="T154"/>
      <x:c r="U154"/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/>
      <x:c r="AC154" t="n">
        <x:v>0</x:v>
      </x:c>
      <x:c r="AD154" t="n">
        <x:v>0.9277088721864857</x:v>
      </x:c>
      <x:c r="AE154" t="n">
        <x:v>1</x:v>
      </x:c>
      <x:c r="AF154" t="n">
        <x:v>0.04441899061203003</x:v>
      </x:c>
      <x:c r="AG154" t="n">
        <x:f>_xlfn.XLOOKUP($A154,Games!$A$2:$A$18,Games!$B$2:$B$18,"Missing game",0)</x:f>
        <x:v>2025</x:v>
      </x:c>
      <x:c r="AH154" t="str">
        <x:f>_xlfn.XLOOKUP($A154,Games!$A$2:$A$18,Games!$C$2:$C$18,"Missing game",0)</x:f>
        <x:v>REG</x:v>
      </x:c>
      <x:c r="AI154" t="n">
        <x:f>_xlfn.XLOOKUP($A154,Games!$A$2:$A$18,Games!$D$2:$D$18,"Missing game",0)</x:f>
        <x:v>1</x:v>
      </x:c>
      <x:c r="AJ154" s="1" t="n">
        <x:f>_xlfn.XLOOKUP($A154,Games!$A$2:$A$18,Games!$E$2:$E$18,"Missing game",0)</x:f>
        <x:v>45908</x:v>
      </x:c>
      <x:c r="AK154" t="str">
        <x:f>_xlfn.XLOOKUP($A154,Games!$A$2:$A$18,Games!$F$2:$F$18,"Missing game",0)</x:f>
        <x:v>Monday</x:v>
      </x:c>
      <x:c r="AL154" t="str">
        <x:f>_xlfn.XLOOKUP($A154,Games!$A$2:$A$18,Games!$G$2:$G$18,"Missing game",0)</x:f>
        <x:v>MIN</x:v>
      </x:c>
      <x:c r="AM154" t="n">
        <x:f>_xlfn.XLOOKUP($A154,Games!$A$2:$A$18,Games!$H$2:$H$18,"Missing game",0)</x:f>
        <x:v>27</x:v>
      </x:c>
      <x:c r="AN154" t="str">
        <x:f>_xlfn.XLOOKUP($A154,Games!$A$2:$A$18,Games!$I$2:$I$18,"Missing game",0)</x:f>
        <x:v>CHI</x:v>
      </x:c>
      <x:c r="AO154" t="n">
        <x:f>_xlfn.XLOOKUP($A154,Games!$A$2:$A$18,Games!$J$2:$J$18,"Missing game",0)</x:f>
        <x:v>24</x:v>
      </x:c>
      <x:c r="AP154" t="n">
        <x:f>_xlfn.XLOOKUP($A154,Games!$A$2:$A$18,Games!$K$2:$K$18,"Missing game",0)</x:f>
        <x:v>-3</x:v>
      </x:c>
      <x:c r="AQ154" t="n">
        <x:f>_xlfn.XLOOKUP($A154,Games!$A$2:$A$18,Games!$L$2:$L$18,"Missing game",0)</x:f>
        <x:v>51</x:v>
      </x:c>
      <x:c r="AR154" t="n">
        <x:f>_xlfn.XLOOKUP($A154,Games!$A$2:$A$18,Games!$M$2:$M$18,"Missing game",0)</x:f>
        <x:v>0</x:v>
      </x:c>
      <x:c r="AS154" t="str">
        <x:f>_xlfn.XLOOKUP($A154,Games!$A$2:$A$18,Games!$N$2:$N$18,"Missing game",0)</x:f>
        <x:v>outdoors</x:v>
      </x:c>
      <x:c r="AT154" t="str">
        <x:f>_xlfn.XLOOKUP($A154,Games!$A$2:$A$18,Games!$O$2:$O$18,"Missing game",0)</x:f>
        <x:v>grass</x:v>
      </x:c>
      <x:c r="AU154" t="n">
        <x:f>_xlfn.XLOOKUP($A154,Games!$A$2:$A$18,Games!$P$2:$P$18,"Missing game",0)</x:f>
        <x:v>68</x:v>
      </x:c>
      <x:c r="AV154" t="n">
        <x:f>_xlfn.XLOOKUP($A154,Games!$A$2:$A$18,Games!$Q$2:$Q$18,"Missing game",0)</x:f>
        <x:v>6</x:v>
      </x:c>
      <x:c r="AW154" t="str">
        <x:f>_xlfn.XLOOKUP($A154,Games!$A$2:$A$18,Games!$R$2:$R$18,"Missing game",0)</x:f>
        <x:v>Soldier Field</x:v>
      </x:c>
    </x:row>
    <x:row r="155">
      <x:c r="A155" t="str">
        <x:v>2025_01_MIN_CHI</x:v>
      </x:c>
      <x:c r="B155" t="n">
        <x:v>3882</x:v>
      </x:c>
      <x:c r="C155" t="n">
        <x:v>4</x:v>
      </x:c>
      <x:c r="D155" t="str">
        <x:v>02:59</x:v>
      </x:c>
      <x:c r="E155" t="n">
        <x:v>3</x:v>
      </x:c>
      <x:c r="F155" t="n">
        <x:v>1</x:v>
      </x:c>
      <x:c r="G155" t="str">
        <x:v>MIN</x:v>
      </x:c>
      <x:c r="H155" t="str">
        <x:v>CHI</x:v>
      </x:c>
      <x:c r="I155" t="str">
        <x:v>CHI</x:v>
      </x:c>
      <x:c r="J155" t="n">
        <x:v>14</x:v>
      </x:c>
      <x:c r="K155" t="str">
        <x:v>(2:59) (Shotgun) 9-J.McCarthy right end for 14 yards, TOUCHDOWN.</x:v>
      </x:c>
      <x:c r="L155" t="str">
        <x:v>run</x:v>
      </x:c>
      <x:c r="M155" t="n">
        <x:v>14</x:v>
      </x:c>
      <x:c r="N155" t="n">
        <x:v>1</x:v>
      </x:c>
      <x:c r="O155" t="n">
        <x:v>0</x:v>
      </x:c>
      <x:c r="P155"/>
      <x:c r="Q155"/>
      <x:c r="R155"/>
      <x:c r="S155"/>
      <x:c r="T155" t="str">
        <x:v>right</x:v>
      </x:c>
      <x:c r="U155" t="str">
        <x:v>end</x:v>
      </x:c>
      <x:c r="V155" t="n">
        <x:v>0</x:v>
      </x:c>
      <x:c r="W155" t="n">
        <x:v>1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/>
      <x:c r="AC155" t="n">
        <x:v>1</x:v>
      </x:c>
      <x:c r="AD155" t="n">
        <x:v>2.723166892887093</x:v>
      </x:c>
      <x:c r="AE155" t="n">
        <x:v>1</x:v>
      </x:c>
      <x:c r="AF155" t="n">
        <x:v>0.08488200932570789</x:v>
      </x:c>
      <x:c r="AG155" t="n">
        <x:f>_xlfn.XLOOKUP($A155,Games!$A$2:$A$18,Games!$B$2:$B$18,"Missing game",0)</x:f>
        <x:v>2025</x:v>
      </x:c>
      <x:c r="AH155" t="str">
        <x:f>_xlfn.XLOOKUP($A155,Games!$A$2:$A$18,Games!$C$2:$C$18,"Missing game",0)</x:f>
        <x:v>REG</x:v>
      </x:c>
      <x:c r="AI155" t="n">
        <x:f>_xlfn.XLOOKUP($A155,Games!$A$2:$A$18,Games!$D$2:$D$18,"Missing game",0)</x:f>
        <x:v>1</x:v>
      </x:c>
      <x:c r="AJ155" s="1" t="n">
        <x:f>_xlfn.XLOOKUP($A155,Games!$A$2:$A$18,Games!$E$2:$E$18,"Missing game",0)</x:f>
        <x:v>45908</x:v>
      </x:c>
      <x:c r="AK155" t="str">
        <x:f>_xlfn.XLOOKUP($A155,Games!$A$2:$A$18,Games!$F$2:$F$18,"Missing game",0)</x:f>
        <x:v>Monday</x:v>
      </x:c>
      <x:c r="AL155" t="str">
        <x:f>_xlfn.XLOOKUP($A155,Games!$A$2:$A$18,Games!$G$2:$G$18,"Missing game",0)</x:f>
        <x:v>MIN</x:v>
      </x:c>
      <x:c r="AM155" t="n">
        <x:f>_xlfn.XLOOKUP($A155,Games!$A$2:$A$18,Games!$H$2:$H$18,"Missing game",0)</x:f>
        <x:v>27</x:v>
      </x:c>
      <x:c r="AN155" t="str">
        <x:f>_xlfn.XLOOKUP($A155,Games!$A$2:$A$18,Games!$I$2:$I$18,"Missing game",0)</x:f>
        <x:v>CHI</x:v>
      </x:c>
      <x:c r="AO155" t="n">
        <x:f>_xlfn.XLOOKUP($A155,Games!$A$2:$A$18,Games!$J$2:$J$18,"Missing game",0)</x:f>
        <x:v>24</x:v>
      </x:c>
      <x:c r="AP155" t="n">
        <x:f>_xlfn.XLOOKUP($A155,Games!$A$2:$A$18,Games!$K$2:$K$18,"Missing game",0)</x:f>
        <x:v>-3</x:v>
      </x:c>
      <x:c r="AQ155" t="n">
        <x:f>_xlfn.XLOOKUP($A155,Games!$A$2:$A$18,Games!$L$2:$L$18,"Missing game",0)</x:f>
        <x:v>51</x:v>
      </x:c>
      <x:c r="AR155" t="n">
        <x:f>_xlfn.XLOOKUP($A155,Games!$A$2:$A$18,Games!$M$2:$M$18,"Missing game",0)</x:f>
        <x:v>0</x:v>
      </x:c>
      <x:c r="AS155" t="str">
        <x:f>_xlfn.XLOOKUP($A155,Games!$A$2:$A$18,Games!$N$2:$N$18,"Missing game",0)</x:f>
        <x:v>outdoors</x:v>
      </x:c>
      <x:c r="AT155" t="str">
        <x:f>_xlfn.XLOOKUP($A155,Games!$A$2:$A$18,Games!$O$2:$O$18,"Missing game",0)</x:f>
        <x:v>grass</x:v>
      </x:c>
      <x:c r="AU155" t="n">
        <x:f>_xlfn.XLOOKUP($A155,Games!$A$2:$A$18,Games!$P$2:$P$18,"Missing game",0)</x:f>
        <x:v>68</x:v>
      </x:c>
      <x:c r="AV155" t="n">
        <x:f>_xlfn.XLOOKUP($A155,Games!$A$2:$A$18,Games!$Q$2:$Q$18,"Missing game",0)</x:f>
        <x:v>6</x:v>
      </x:c>
      <x:c r="AW155" t="str">
        <x:f>_xlfn.XLOOKUP($A155,Games!$A$2:$A$18,Games!$R$2:$R$18,"Missing game",0)</x:f>
        <x:v>Soldier Field</x:v>
      </x:c>
    </x:row>
    <x:row r="156">
      <x:c r="A156" t="str">
        <x:v>2025_01_MIN_CHI</x:v>
      </x:c>
      <x:c r="B156" t="n">
        <x:v>3894</x:v>
      </x:c>
      <x:c r="C156" t="n">
        <x:v>4</x:v>
      </x:c>
      <x:c r="D156" t="str">
        <x:v>02:59</x:v>
      </x:c>
      <x:c r="E156"/>
      <x:c r="F156" t="n">
        <x:v>0</x:v>
      </x:c>
      <x:c r="G156"/>
      <x:c r="H156"/>
      <x:c r="I156"/>
      <x:c r="J156"/>
      <x:c r="K156" t="str">
        <x:v>Timeout #2 by CHI at 02:59.</x:v>
      </x:c>
      <x:c r="L156" t="str">
        <x:v>no_play</x:v>
      </x:c>
      <x:c r="M156" t="n">
        <x:v>0</x:v>
      </x:c>
      <x:c r="N156" t="n">
        <x:v>0</x:v>
      </x:c>
      <x:c r="O156" t="n">
        <x:v>0</x:v>
      </x:c>
      <x:c r="P156"/>
      <x:c r="Q156"/>
      <x:c r="R156"/>
      <x:c r="S156"/>
      <x:c r="T156"/>
      <x:c r="U156"/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/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f>_xlfn.XLOOKUP($A156,Games!$A$2:$A$18,Games!$B$2:$B$18,"Missing game",0)</x:f>
        <x:v>2025</x:v>
      </x:c>
      <x:c r="AH156" t="str">
        <x:f>_xlfn.XLOOKUP($A156,Games!$A$2:$A$18,Games!$C$2:$C$18,"Missing game",0)</x:f>
        <x:v>REG</x:v>
      </x:c>
      <x:c r="AI156" t="n">
        <x:f>_xlfn.XLOOKUP($A156,Games!$A$2:$A$18,Games!$D$2:$D$18,"Missing game",0)</x:f>
        <x:v>1</x:v>
      </x:c>
      <x:c r="AJ156" s="1" t="n">
        <x:f>_xlfn.XLOOKUP($A156,Games!$A$2:$A$18,Games!$E$2:$E$18,"Missing game",0)</x:f>
        <x:v>45908</x:v>
      </x:c>
      <x:c r="AK156" t="str">
        <x:f>_xlfn.XLOOKUP($A156,Games!$A$2:$A$18,Games!$F$2:$F$18,"Missing game",0)</x:f>
        <x:v>Monday</x:v>
      </x:c>
      <x:c r="AL156" t="str">
        <x:f>_xlfn.XLOOKUP($A156,Games!$A$2:$A$18,Games!$G$2:$G$18,"Missing game",0)</x:f>
        <x:v>MIN</x:v>
      </x:c>
      <x:c r="AM156" t="n">
        <x:f>_xlfn.XLOOKUP($A156,Games!$A$2:$A$18,Games!$H$2:$H$18,"Missing game",0)</x:f>
        <x:v>27</x:v>
      </x:c>
      <x:c r="AN156" t="str">
        <x:f>_xlfn.XLOOKUP($A156,Games!$A$2:$A$18,Games!$I$2:$I$18,"Missing game",0)</x:f>
        <x:v>CHI</x:v>
      </x:c>
      <x:c r="AO156" t="n">
        <x:f>_xlfn.XLOOKUP($A156,Games!$A$2:$A$18,Games!$J$2:$J$18,"Missing game",0)</x:f>
        <x:v>24</x:v>
      </x:c>
      <x:c r="AP156" t="n">
        <x:f>_xlfn.XLOOKUP($A156,Games!$A$2:$A$18,Games!$K$2:$K$18,"Missing game",0)</x:f>
        <x:v>-3</x:v>
      </x:c>
      <x:c r="AQ156" t="n">
        <x:f>_xlfn.XLOOKUP($A156,Games!$A$2:$A$18,Games!$L$2:$L$18,"Missing game",0)</x:f>
        <x:v>51</x:v>
      </x:c>
      <x:c r="AR156" t="n">
        <x:f>_xlfn.XLOOKUP($A156,Games!$A$2:$A$18,Games!$M$2:$M$18,"Missing game",0)</x:f>
        <x:v>0</x:v>
      </x:c>
      <x:c r="AS156" t="str">
        <x:f>_xlfn.XLOOKUP($A156,Games!$A$2:$A$18,Games!$N$2:$N$18,"Missing game",0)</x:f>
        <x:v>outdoors</x:v>
      </x:c>
      <x:c r="AT156" t="str">
        <x:f>_xlfn.XLOOKUP($A156,Games!$A$2:$A$18,Games!$O$2:$O$18,"Missing game",0)</x:f>
        <x:v>grass</x:v>
      </x:c>
      <x:c r="AU156" t="n">
        <x:f>_xlfn.XLOOKUP($A156,Games!$A$2:$A$18,Games!$P$2:$P$18,"Missing game",0)</x:f>
        <x:v>68</x:v>
      </x:c>
      <x:c r="AV156" t="n">
        <x:f>_xlfn.XLOOKUP($A156,Games!$A$2:$A$18,Games!$Q$2:$Q$18,"Missing game",0)</x:f>
        <x:v>6</x:v>
      </x:c>
      <x:c r="AW156" t="str">
        <x:f>_xlfn.XLOOKUP($A156,Games!$A$2:$A$18,Games!$R$2:$R$18,"Missing game",0)</x:f>
        <x:v>Soldier Field</x:v>
      </x:c>
    </x:row>
    <x:row r="157">
      <x:c r="A157" t="str">
        <x:v>2025_01_MIN_CHI</x:v>
      </x:c>
      <x:c r="B157" t="n">
        <x:v>3912</x:v>
      </x:c>
      <x:c r="C157" t="n">
        <x:v>4</x:v>
      </x:c>
      <x:c r="D157" t="str">
        <x:v>02:53</x:v>
      </x:c>
      <x:c r="E157"/>
      <x:c r="F157" t="n">
        <x:v>0</x:v>
      </x:c>
      <x:c r="G157" t="str">
        <x:v>MIN</x:v>
      </x:c>
      <x:c r="H157" t="str">
        <x:v>CHI</x:v>
      </x:c>
      <x:c r="I157" t="str">
        <x:v>CHI</x:v>
      </x:c>
      <x:c r="J157" t="n">
        <x:v>15</x:v>
      </x:c>
      <x:c r="K157" t="str">
        <x:v>16-W.Reichard extra point is GOOD, Center-42-A.DePaola, Holder-17-R.Wright.</x:v>
      </x:c>
      <x:c r="L157" t="str">
        <x:v>extra_point</x:v>
      </x:c>
      <x:c r="M157" t="n">
        <x:v>0</x:v>
      </x:c>
      <x:c r="N157" t="n">
        <x:v>0</x:v>
      </x:c>
      <x:c r="O157" t="n">
        <x:v>0</x:v>
      </x:c>
      <x:c r="P157"/>
      <x:c r="Q157"/>
      <x:c r="R157"/>
      <x:c r="S157"/>
      <x:c r="T157"/>
      <x:c r="U157"/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/>
      <x:c r="AC157" t="n">
        <x:v>0</x:v>
      </x:c>
      <x:c r="AD157" t="n">
        <x:v>0.06757300310763314</x:v>
      </x:c>
      <x:c r="AE157" t="n">
        <x:v>1</x:v>
      </x:c>
      <x:c r="AF157" t="n">
        <x:v>0.0012972992675652772</x:v>
      </x:c>
      <x:c r="AG157" t="n">
        <x:f>_xlfn.XLOOKUP($A157,Games!$A$2:$A$18,Games!$B$2:$B$18,"Missing game",0)</x:f>
        <x:v>2025</x:v>
      </x:c>
      <x:c r="AH157" t="str">
        <x:f>_xlfn.XLOOKUP($A157,Games!$A$2:$A$18,Games!$C$2:$C$18,"Missing game",0)</x:f>
        <x:v>REG</x:v>
      </x:c>
      <x:c r="AI157" t="n">
        <x:f>_xlfn.XLOOKUP($A157,Games!$A$2:$A$18,Games!$D$2:$D$18,"Missing game",0)</x:f>
        <x:v>1</x:v>
      </x:c>
      <x:c r="AJ157" s="1" t="n">
        <x:f>_xlfn.XLOOKUP($A157,Games!$A$2:$A$18,Games!$E$2:$E$18,"Missing game",0)</x:f>
        <x:v>45908</x:v>
      </x:c>
      <x:c r="AK157" t="str">
        <x:f>_xlfn.XLOOKUP($A157,Games!$A$2:$A$18,Games!$F$2:$F$18,"Missing game",0)</x:f>
        <x:v>Monday</x:v>
      </x:c>
      <x:c r="AL157" t="str">
        <x:f>_xlfn.XLOOKUP($A157,Games!$A$2:$A$18,Games!$G$2:$G$18,"Missing game",0)</x:f>
        <x:v>MIN</x:v>
      </x:c>
      <x:c r="AM157" t="n">
        <x:f>_xlfn.XLOOKUP($A157,Games!$A$2:$A$18,Games!$H$2:$H$18,"Missing game",0)</x:f>
        <x:v>27</x:v>
      </x:c>
      <x:c r="AN157" t="str">
        <x:f>_xlfn.XLOOKUP($A157,Games!$A$2:$A$18,Games!$I$2:$I$18,"Missing game",0)</x:f>
        <x:v>CHI</x:v>
      </x:c>
      <x:c r="AO157" t="n">
        <x:f>_xlfn.XLOOKUP($A157,Games!$A$2:$A$18,Games!$J$2:$J$18,"Missing game",0)</x:f>
        <x:v>24</x:v>
      </x:c>
      <x:c r="AP157" t="n">
        <x:f>_xlfn.XLOOKUP($A157,Games!$A$2:$A$18,Games!$K$2:$K$18,"Missing game",0)</x:f>
        <x:v>-3</x:v>
      </x:c>
      <x:c r="AQ157" t="n">
        <x:f>_xlfn.XLOOKUP($A157,Games!$A$2:$A$18,Games!$L$2:$L$18,"Missing game",0)</x:f>
        <x:v>51</x:v>
      </x:c>
      <x:c r="AR157" t="n">
        <x:f>_xlfn.XLOOKUP($A157,Games!$A$2:$A$18,Games!$M$2:$M$18,"Missing game",0)</x:f>
        <x:v>0</x:v>
      </x:c>
      <x:c r="AS157" t="str">
        <x:f>_xlfn.XLOOKUP($A157,Games!$A$2:$A$18,Games!$N$2:$N$18,"Missing game",0)</x:f>
        <x:v>outdoors</x:v>
      </x:c>
      <x:c r="AT157" t="str">
        <x:f>_xlfn.XLOOKUP($A157,Games!$A$2:$A$18,Games!$O$2:$O$18,"Missing game",0)</x:f>
        <x:v>grass</x:v>
      </x:c>
      <x:c r="AU157" t="n">
        <x:f>_xlfn.XLOOKUP($A157,Games!$A$2:$A$18,Games!$P$2:$P$18,"Missing game",0)</x:f>
        <x:v>68</x:v>
      </x:c>
      <x:c r="AV157" t="n">
        <x:f>_xlfn.XLOOKUP($A157,Games!$A$2:$A$18,Games!$Q$2:$Q$18,"Missing game",0)</x:f>
        <x:v>6</x:v>
      </x:c>
      <x:c r="AW157" t="str">
        <x:f>_xlfn.XLOOKUP($A157,Games!$A$2:$A$18,Games!$R$2:$R$18,"Missing game",0)</x:f>
        <x:v>Soldier Field</x:v>
      </x:c>
    </x:row>
    <x:row r="158">
      <x:c r="A158" t="str">
        <x:v>2025_01_MIN_CHI</x:v>
      </x:c>
      <x:c r="B158" t="n">
        <x:v>3927</x:v>
      </x:c>
      <x:c r="C158" t="n">
        <x:v>4</x:v>
      </x:c>
      <x:c r="D158" t="str">
        <x:v>02:53</x:v>
      </x:c>
      <x:c r="E158"/>
      <x:c r="F158" t="n">
        <x:v>0</x:v>
      </x:c>
      <x:c r="G158" t="str">
        <x:v>CHI</x:v>
      </x:c>
      <x:c r="H158" t="str">
        <x:v>MIN</x:v>
      </x:c>
      <x:c r="I158" t="str">
        <x:v>MIN</x:v>
      </x:c>
      <x:c r="J158" t="n">
        <x:v>35</x:v>
      </x:c>
      <x:c r="K158" t="str">
        <x:v>16-W.Reichard kicks 65 yards from MIN 35 to end zone, Touchback to the CHI 35.</x:v>
      </x:c>
      <x:c r="L158" t="str">
        <x:v>kickoff</x:v>
      </x:c>
      <x:c r="M158" t="n">
        <x:v>0</x:v>
      </x:c>
      <x:c r="N158" t="n">
        <x:v>0</x:v>
      </x:c>
      <x:c r="O158" t="n">
        <x:v>0</x:v>
      </x:c>
      <x:c r="P158"/>
      <x:c r="Q158"/>
      <x:c r="R158"/>
      <x:c r="S158"/>
      <x:c r="T158"/>
      <x:c r="U158"/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/>
      <x:c r="AC158" t="n">
        <x:v>0</x:v>
      </x:c>
      <x:c r="AD158" t="n">
        <x:v>0.544464886886999</x:v>
      </x:c>
      <x:c r="AE158" t="n">
        <x:v>1</x:v>
      </x:c>
      <x:c r="AF158" t="n">
        <x:v>0.004157934337854385</x:v>
      </x:c>
      <x:c r="AG158" t="n">
        <x:f>_xlfn.XLOOKUP($A158,Games!$A$2:$A$18,Games!$B$2:$B$18,"Missing game",0)</x:f>
        <x:v>2025</x:v>
      </x:c>
      <x:c r="AH158" t="str">
        <x:f>_xlfn.XLOOKUP($A158,Games!$A$2:$A$18,Games!$C$2:$C$18,"Missing game",0)</x:f>
        <x:v>REG</x:v>
      </x:c>
      <x:c r="AI158" t="n">
        <x:f>_xlfn.XLOOKUP($A158,Games!$A$2:$A$18,Games!$D$2:$D$18,"Missing game",0)</x:f>
        <x:v>1</x:v>
      </x:c>
      <x:c r="AJ158" s="1" t="n">
        <x:f>_xlfn.XLOOKUP($A158,Games!$A$2:$A$18,Games!$E$2:$E$18,"Missing game",0)</x:f>
        <x:v>45908</x:v>
      </x:c>
      <x:c r="AK158" t="str">
        <x:f>_xlfn.XLOOKUP($A158,Games!$A$2:$A$18,Games!$F$2:$F$18,"Missing game",0)</x:f>
        <x:v>Monday</x:v>
      </x:c>
      <x:c r="AL158" t="str">
        <x:f>_xlfn.XLOOKUP($A158,Games!$A$2:$A$18,Games!$G$2:$G$18,"Missing game",0)</x:f>
        <x:v>MIN</x:v>
      </x:c>
      <x:c r="AM158" t="n">
        <x:f>_xlfn.XLOOKUP($A158,Games!$A$2:$A$18,Games!$H$2:$H$18,"Missing game",0)</x:f>
        <x:v>27</x:v>
      </x:c>
      <x:c r="AN158" t="str">
        <x:f>_xlfn.XLOOKUP($A158,Games!$A$2:$A$18,Games!$I$2:$I$18,"Missing game",0)</x:f>
        <x:v>CHI</x:v>
      </x:c>
      <x:c r="AO158" t="n">
        <x:f>_xlfn.XLOOKUP($A158,Games!$A$2:$A$18,Games!$J$2:$J$18,"Missing game",0)</x:f>
        <x:v>24</x:v>
      </x:c>
      <x:c r="AP158" t="n">
        <x:f>_xlfn.XLOOKUP($A158,Games!$A$2:$A$18,Games!$K$2:$K$18,"Missing game",0)</x:f>
        <x:v>-3</x:v>
      </x:c>
      <x:c r="AQ158" t="n">
        <x:f>_xlfn.XLOOKUP($A158,Games!$A$2:$A$18,Games!$L$2:$L$18,"Missing game",0)</x:f>
        <x:v>51</x:v>
      </x:c>
      <x:c r="AR158" t="n">
        <x:f>_xlfn.XLOOKUP($A158,Games!$A$2:$A$18,Games!$M$2:$M$18,"Missing game",0)</x:f>
        <x:v>0</x:v>
      </x:c>
      <x:c r="AS158" t="str">
        <x:f>_xlfn.XLOOKUP($A158,Games!$A$2:$A$18,Games!$N$2:$N$18,"Missing game",0)</x:f>
        <x:v>outdoors</x:v>
      </x:c>
      <x:c r="AT158" t="str">
        <x:f>_xlfn.XLOOKUP($A158,Games!$A$2:$A$18,Games!$O$2:$O$18,"Missing game",0)</x:f>
        <x:v>grass</x:v>
      </x:c>
      <x:c r="AU158" t="n">
        <x:f>_xlfn.XLOOKUP($A158,Games!$A$2:$A$18,Games!$P$2:$P$18,"Missing game",0)</x:f>
        <x:v>68</x:v>
      </x:c>
      <x:c r="AV158" t="n">
        <x:f>_xlfn.XLOOKUP($A158,Games!$A$2:$A$18,Games!$Q$2:$Q$18,"Missing game",0)</x:f>
        <x:v>6</x:v>
      </x:c>
      <x:c r="AW158" t="str">
        <x:f>_xlfn.XLOOKUP($A158,Games!$A$2:$A$18,Games!$R$2:$R$18,"Missing game",0)</x:f>
        <x:v>Soldier Field</x:v>
      </x:c>
    </x:row>
    <x:row r="159">
      <x:c r="A159" t="str">
        <x:v>2025_01_MIN_CHI</x:v>
      </x:c>
      <x:c r="B159" t="n">
        <x:v>3944</x:v>
      </x:c>
      <x:c r="C159" t="n">
        <x:v>4</x:v>
      </x:c>
      <x:c r="D159" t="str">
        <x:v>02:53</x:v>
      </x:c>
      <x:c r="E159" t="n">
        <x:v>1</x:v>
      </x:c>
      <x:c r="F159" t="n">
        <x:v>10</x:v>
      </x:c>
      <x:c r="G159" t="str">
        <x:v>CHI</x:v>
      </x:c>
      <x:c r="H159" t="str">
        <x:v>MIN</x:v>
      </x:c>
      <x:c r="I159" t="str">
        <x:v>CHI</x:v>
      </x:c>
      <x:c r="J159" t="n">
        <x:v>65</x:v>
      </x:c>
      <x:c r="K159" t="str">
        <x:v>(2:53) (Shotgun) 18-C.Williams pass deep middle to 85-C.Kmet to MIN 34 for 31 yards (24-J.Ward).</x:v>
      </x:c>
      <x:c r="L159" t="str">
        <x:v>pass</x:v>
      </x:c>
      <x:c r="M159" t="n">
        <x:v>31</x:v>
      </x:c>
      <x:c r="N159" t="n">
        <x:v>1</x:v>
      </x:c>
      <x:c r="O159" t="n">
        <x:v>0</x:v>
      </x:c>
      <x:c r="P159" t="str">
        <x:v>deep</x:v>
      </x:c>
      <x:c r="Q159" t="str">
        <x:v>middle</x:v>
      </x:c>
      <x:c r="R159" t="n">
        <x:v>31</x:v>
      </x:c>
      <x:c r="S159" t="n">
        <x:v>0</x:v>
      </x:c>
      <x:c r="T159"/>
      <x:c r="U159"/>
      <x:c r="V159" t="n">
        <x:v>1</x:v>
      </x:c>
      <x:c r="W159" t="n">
        <x:v>1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/>
      <x:c r="AC159" t="n">
        <x:v>0</x:v>
      </x:c>
      <x:c r="AD159" t="n">
        <x:v>1.5810357221052982</x:v>
      </x:c>
      <x:c r="AE159" t="n">
        <x:v>1</x:v>
      </x:c>
      <x:c r="AF159" t="n">
        <x:v>0.016735386103391647</x:v>
      </x:c>
      <x:c r="AG159" t="n">
        <x:f>_xlfn.XLOOKUP($A159,Games!$A$2:$A$18,Games!$B$2:$B$18,"Missing game",0)</x:f>
        <x:v>2025</x:v>
      </x:c>
      <x:c r="AH159" t="str">
        <x:f>_xlfn.XLOOKUP($A159,Games!$A$2:$A$18,Games!$C$2:$C$18,"Missing game",0)</x:f>
        <x:v>REG</x:v>
      </x:c>
      <x:c r="AI159" t="n">
        <x:f>_xlfn.XLOOKUP($A159,Games!$A$2:$A$18,Games!$D$2:$D$18,"Missing game",0)</x:f>
        <x:v>1</x:v>
      </x:c>
      <x:c r="AJ159" s="1" t="n">
        <x:f>_xlfn.XLOOKUP($A159,Games!$A$2:$A$18,Games!$E$2:$E$18,"Missing game",0)</x:f>
        <x:v>45908</x:v>
      </x:c>
      <x:c r="AK159" t="str">
        <x:f>_xlfn.XLOOKUP($A159,Games!$A$2:$A$18,Games!$F$2:$F$18,"Missing game",0)</x:f>
        <x:v>Monday</x:v>
      </x:c>
      <x:c r="AL159" t="str">
        <x:f>_xlfn.XLOOKUP($A159,Games!$A$2:$A$18,Games!$G$2:$G$18,"Missing game",0)</x:f>
        <x:v>MIN</x:v>
      </x:c>
      <x:c r="AM159" t="n">
        <x:f>_xlfn.XLOOKUP($A159,Games!$A$2:$A$18,Games!$H$2:$H$18,"Missing game",0)</x:f>
        <x:v>27</x:v>
      </x:c>
      <x:c r="AN159" t="str">
        <x:f>_xlfn.XLOOKUP($A159,Games!$A$2:$A$18,Games!$I$2:$I$18,"Missing game",0)</x:f>
        <x:v>CHI</x:v>
      </x:c>
      <x:c r="AO159" t="n">
        <x:f>_xlfn.XLOOKUP($A159,Games!$A$2:$A$18,Games!$J$2:$J$18,"Missing game",0)</x:f>
        <x:v>24</x:v>
      </x:c>
      <x:c r="AP159" t="n">
        <x:f>_xlfn.XLOOKUP($A159,Games!$A$2:$A$18,Games!$K$2:$K$18,"Missing game",0)</x:f>
        <x:v>-3</x:v>
      </x:c>
      <x:c r="AQ159" t="n">
        <x:f>_xlfn.XLOOKUP($A159,Games!$A$2:$A$18,Games!$L$2:$L$18,"Missing game",0)</x:f>
        <x:v>51</x:v>
      </x:c>
      <x:c r="AR159" t="n">
        <x:f>_xlfn.XLOOKUP($A159,Games!$A$2:$A$18,Games!$M$2:$M$18,"Missing game",0)</x:f>
        <x:v>0</x:v>
      </x:c>
      <x:c r="AS159" t="str">
        <x:f>_xlfn.XLOOKUP($A159,Games!$A$2:$A$18,Games!$N$2:$N$18,"Missing game",0)</x:f>
        <x:v>outdoors</x:v>
      </x:c>
      <x:c r="AT159" t="str">
        <x:f>_xlfn.XLOOKUP($A159,Games!$A$2:$A$18,Games!$O$2:$O$18,"Missing game",0)</x:f>
        <x:v>grass</x:v>
      </x:c>
      <x:c r="AU159" t="n">
        <x:f>_xlfn.XLOOKUP($A159,Games!$A$2:$A$18,Games!$P$2:$P$18,"Missing game",0)</x:f>
        <x:v>68</x:v>
      </x:c>
      <x:c r="AV159" t="n">
        <x:f>_xlfn.XLOOKUP($A159,Games!$A$2:$A$18,Games!$Q$2:$Q$18,"Missing game",0)</x:f>
        <x:v>6</x:v>
      </x:c>
      <x:c r="AW159" t="str">
        <x:f>_xlfn.XLOOKUP($A159,Games!$A$2:$A$18,Games!$R$2:$R$18,"Missing game",0)</x:f>
        <x:v>Soldier Field</x:v>
      </x:c>
    </x:row>
    <x:row r="160">
      <x:c r="A160" t="str">
        <x:v>2025_01_MIN_CHI</x:v>
      </x:c>
      <x:c r="B160" t="n">
        <x:v>3969</x:v>
      </x:c>
      <x:c r="C160" t="n">
        <x:v>4</x:v>
      </x:c>
      <x:c r="D160" t="str">
        <x:v>02:32</x:v>
      </x:c>
      <x:c r="E160" t="n">
        <x:v>1</x:v>
      </x:c>
      <x:c r="F160" t="n">
        <x:v>10</x:v>
      </x:c>
      <x:c r="G160" t="str">
        <x:v>CHI</x:v>
      </x:c>
      <x:c r="H160" t="str">
        <x:v>MIN</x:v>
      </x:c>
      <x:c r="I160" t="str">
        <x:v>MIN</x:v>
      </x:c>
      <x:c r="J160" t="n">
        <x:v>34</x:v>
      </x:c>
      <x:c r="K160" t="str">
        <x:v>(2:32) (No Huddle) 18-C.Williams pass incomplete deep left to 2-D.Moore.</x:v>
      </x:c>
      <x:c r="L160" t="str">
        <x:v>pass</x:v>
      </x:c>
      <x:c r="M160" t="n">
        <x:v>0</x:v>
      </x:c>
      <x:c r="N160" t="n">
        <x:v>0</x:v>
      </x:c>
      <x:c r="O160" t="n">
        <x:v>1</x:v>
      </x:c>
      <x:c r="P160" t="str">
        <x:v>deep</x:v>
      </x:c>
      <x:c r="Q160" t="str">
        <x:v>left</x:v>
      </x:c>
      <x:c r="R160" t="n">
        <x:v>34</x:v>
      </x:c>
      <x:c r="S160"/>
      <x:c r="T160"/>
      <x:c r="U160"/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/>
      <x:c r="AC160" t="n">
        <x:v>0</x:v>
      </x:c>
      <x:c r="AD160" t="n">
        <x:v>-0.4144427062710747</x:v>
      </x:c>
      <x:c r="AE160" t="n">
        <x:v>0</x:v>
      </x:c>
      <x:c r="AF160" t="n">
        <x:v>-0.006598424166440964</x:v>
      </x:c>
      <x:c r="AG160" t="n">
        <x:f>_xlfn.XLOOKUP($A160,Games!$A$2:$A$18,Games!$B$2:$B$18,"Missing game",0)</x:f>
        <x:v>2025</x:v>
      </x:c>
      <x:c r="AH160" t="str">
        <x:f>_xlfn.XLOOKUP($A160,Games!$A$2:$A$18,Games!$C$2:$C$18,"Missing game",0)</x:f>
        <x:v>REG</x:v>
      </x:c>
      <x:c r="AI160" t="n">
        <x:f>_xlfn.XLOOKUP($A160,Games!$A$2:$A$18,Games!$D$2:$D$18,"Missing game",0)</x:f>
        <x:v>1</x:v>
      </x:c>
      <x:c r="AJ160" s="1" t="n">
        <x:f>_xlfn.XLOOKUP($A160,Games!$A$2:$A$18,Games!$E$2:$E$18,"Missing game",0)</x:f>
        <x:v>45908</x:v>
      </x:c>
      <x:c r="AK160" t="str">
        <x:f>_xlfn.XLOOKUP($A160,Games!$A$2:$A$18,Games!$F$2:$F$18,"Missing game",0)</x:f>
        <x:v>Monday</x:v>
      </x:c>
      <x:c r="AL160" t="str">
        <x:f>_xlfn.XLOOKUP($A160,Games!$A$2:$A$18,Games!$G$2:$G$18,"Missing game",0)</x:f>
        <x:v>MIN</x:v>
      </x:c>
      <x:c r="AM160" t="n">
        <x:f>_xlfn.XLOOKUP($A160,Games!$A$2:$A$18,Games!$H$2:$H$18,"Missing game",0)</x:f>
        <x:v>27</x:v>
      </x:c>
      <x:c r="AN160" t="str">
        <x:f>_xlfn.XLOOKUP($A160,Games!$A$2:$A$18,Games!$I$2:$I$18,"Missing game",0)</x:f>
        <x:v>CHI</x:v>
      </x:c>
      <x:c r="AO160" t="n">
        <x:f>_xlfn.XLOOKUP($A160,Games!$A$2:$A$18,Games!$J$2:$J$18,"Missing game",0)</x:f>
        <x:v>24</x:v>
      </x:c>
      <x:c r="AP160" t="n">
        <x:f>_xlfn.XLOOKUP($A160,Games!$A$2:$A$18,Games!$K$2:$K$18,"Missing game",0)</x:f>
        <x:v>-3</x:v>
      </x:c>
      <x:c r="AQ160" t="n">
        <x:f>_xlfn.XLOOKUP($A160,Games!$A$2:$A$18,Games!$L$2:$L$18,"Missing game",0)</x:f>
        <x:v>51</x:v>
      </x:c>
      <x:c r="AR160" t="n">
        <x:f>_xlfn.XLOOKUP($A160,Games!$A$2:$A$18,Games!$M$2:$M$18,"Missing game",0)</x:f>
        <x:v>0</x:v>
      </x:c>
      <x:c r="AS160" t="str">
        <x:f>_xlfn.XLOOKUP($A160,Games!$A$2:$A$18,Games!$N$2:$N$18,"Missing game",0)</x:f>
        <x:v>outdoors</x:v>
      </x:c>
      <x:c r="AT160" t="str">
        <x:f>_xlfn.XLOOKUP($A160,Games!$A$2:$A$18,Games!$O$2:$O$18,"Missing game",0)</x:f>
        <x:v>grass</x:v>
      </x:c>
      <x:c r="AU160" t="n">
        <x:f>_xlfn.XLOOKUP($A160,Games!$A$2:$A$18,Games!$P$2:$P$18,"Missing game",0)</x:f>
        <x:v>68</x:v>
      </x:c>
      <x:c r="AV160" t="n">
        <x:f>_xlfn.XLOOKUP($A160,Games!$A$2:$A$18,Games!$Q$2:$Q$18,"Missing game",0)</x:f>
        <x:v>6</x:v>
      </x:c>
      <x:c r="AW160" t="str">
        <x:f>_xlfn.XLOOKUP($A160,Games!$A$2:$A$18,Games!$R$2:$R$18,"Missing game",0)</x:f>
        <x:v>Soldier Field</x:v>
      </x:c>
    </x:row>
    <x:row r="161">
      <x:c r="A161" t="str">
        <x:v>2025_01_MIN_CHI</x:v>
      </x:c>
      <x:c r="B161" t="n">
        <x:v>3992</x:v>
      </x:c>
      <x:c r="C161" t="n">
        <x:v>4</x:v>
      </x:c>
      <x:c r="D161" t="str">
        <x:v>02:26</x:v>
      </x:c>
      <x:c r="E161" t="n">
        <x:v>2</x:v>
      </x:c>
      <x:c r="F161" t="n">
        <x:v>10</x:v>
      </x:c>
      <x:c r="G161" t="str">
        <x:v>CHI</x:v>
      </x:c>
      <x:c r="H161" t="str">
        <x:v>MIN</x:v>
      </x:c>
      <x:c r="I161" t="str">
        <x:v>MIN</x:v>
      </x:c>
      <x:c r="J161" t="n">
        <x:v>34</x:v>
      </x:c>
      <x:c r="K161" t="str">
        <x:v>(2:26) (Shotgun) 18-C.Williams pass incomplete short right to 4-D.Swift.</x:v>
      </x:c>
      <x:c r="L161" t="str">
        <x:v>pass</x:v>
      </x:c>
      <x:c r="M161" t="n">
        <x:v>0</x:v>
      </x:c>
      <x:c r="N161" t="n">
        <x:v>1</x:v>
      </x:c>
      <x:c r="O161" t="n">
        <x:v>0</x:v>
      </x:c>
      <x:c r="P161" t="str">
        <x:v>short</x:v>
      </x:c>
      <x:c r="Q161" t="str">
        <x:v>right</x:v>
      </x:c>
      <x:c r="R161" t="n">
        <x:v>4</x:v>
      </x:c>
      <x:c r="S161"/>
      <x:c r="T161"/>
      <x:c r="U161"/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/>
      <x:c r="AC161" t="n">
        <x:v>0</x:v>
      </x:c>
      <x:c r="AD161" t="n">
        <x:v>-0.46728532324777916</x:v>
      </x:c>
      <x:c r="AE161" t="n">
        <x:v>0</x:v>
      </x:c>
      <x:c r="AF161" t="n">
        <x:v>-0.0071356818079948425</x:v>
      </x:c>
      <x:c r="AG161" t="n">
        <x:f>_xlfn.XLOOKUP($A161,Games!$A$2:$A$18,Games!$B$2:$B$18,"Missing game",0)</x:f>
        <x:v>2025</x:v>
      </x:c>
      <x:c r="AH161" t="str">
        <x:f>_xlfn.XLOOKUP($A161,Games!$A$2:$A$18,Games!$C$2:$C$18,"Missing game",0)</x:f>
        <x:v>REG</x:v>
      </x:c>
      <x:c r="AI161" t="n">
        <x:f>_xlfn.XLOOKUP($A161,Games!$A$2:$A$18,Games!$D$2:$D$18,"Missing game",0)</x:f>
        <x:v>1</x:v>
      </x:c>
      <x:c r="AJ161" s="1" t="n">
        <x:f>_xlfn.XLOOKUP($A161,Games!$A$2:$A$18,Games!$E$2:$E$18,"Missing game",0)</x:f>
        <x:v>45908</x:v>
      </x:c>
      <x:c r="AK161" t="str">
        <x:f>_xlfn.XLOOKUP($A161,Games!$A$2:$A$18,Games!$F$2:$F$18,"Missing game",0)</x:f>
        <x:v>Monday</x:v>
      </x:c>
      <x:c r="AL161" t="str">
        <x:f>_xlfn.XLOOKUP($A161,Games!$A$2:$A$18,Games!$G$2:$G$18,"Missing game",0)</x:f>
        <x:v>MIN</x:v>
      </x:c>
      <x:c r="AM161" t="n">
        <x:f>_xlfn.XLOOKUP($A161,Games!$A$2:$A$18,Games!$H$2:$H$18,"Missing game",0)</x:f>
        <x:v>27</x:v>
      </x:c>
      <x:c r="AN161" t="str">
        <x:f>_xlfn.XLOOKUP($A161,Games!$A$2:$A$18,Games!$I$2:$I$18,"Missing game",0)</x:f>
        <x:v>CHI</x:v>
      </x:c>
      <x:c r="AO161" t="n">
        <x:f>_xlfn.XLOOKUP($A161,Games!$A$2:$A$18,Games!$J$2:$J$18,"Missing game",0)</x:f>
        <x:v>24</x:v>
      </x:c>
      <x:c r="AP161" t="n">
        <x:f>_xlfn.XLOOKUP($A161,Games!$A$2:$A$18,Games!$K$2:$K$18,"Missing game",0)</x:f>
        <x:v>-3</x:v>
      </x:c>
      <x:c r="AQ161" t="n">
        <x:f>_xlfn.XLOOKUP($A161,Games!$A$2:$A$18,Games!$L$2:$L$18,"Missing game",0)</x:f>
        <x:v>51</x:v>
      </x:c>
      <x:c r="AR161" t="n">
        <x:f>_xlfn.XLOOKUP($A161,Games!$A$2:$A$18,Games!$M$2:$M$18,"Missing game",0)</x:f>
        <x:v>0</x:v>
      </x:c>
      <x:c r="AS161" t="str">
        <x:f>_xlfn.XLOOKUP($A161,Games!$A$2:$A$18,Games!$N$2:$N$18,"Missing game",0)</x:f>
        <x:v>outdoors</x:v>
      </x:c>
      <x:c r="AT161" t="str">
        <x:f>_xlfn.XLOOKUP($A161,Games!$A$2:$A$18,Games!$O$2:$O$18,"Missing game",0)</x:f>
        <x:v>grass</x:v>
      </x:c>
      <x:c r="AU161" t="n">
        <x:f>_xlfn.XLOOKUP($A161,Games!$A$2:$A$18,Games!$P$2:$P$18,"Missing game",0)</x:f>
        <x:v>68</x:v>
      </x:c>
      <x:c r="AV161" t="n">
        <x:f>_xlfn.XLOOKUP($A161,Games!$A$2:$A$18,Games!$Q$2:$Q$18,"Missing game",0)</x:f>
        <x:v>6</x:v>
      </x:c>
      <x:c r="AW161" t="str">
        <x:f>_xlfn.XLOOKUP($A161,Games!$A$2:$A$18,Games!$R$2:$R$18,"Missing game",0)</x:f>
        <x:v>Soldier Field</x:v>
      </x:c>
    </x:row>
    <x:row r="162">
      <x:c r="A162" t="str">
        <x:v>2025_01_MIN_CHI</x:v>
      </x:c>
      <x:c r="B162" t="n">
        <x:v>4015</x:v>
      </x:c>
      <x:c r="C162" t="n">
        <x:v>4</x:v>
      </x:c>
      <x:c r="D162" t="str">
        <x:v>02:21</x:v>
      </x:c>
      <x:c r="E162" t="n">
        <x:v>3</x:v>
      </x:c>
      <x:c r="F162" t="n">
        <x:v>10</x:v>
      </x:c>
      <x:c r="G162" t="str">
        <x:v>CHI</x:v>
      </x:c>
      <x:c r="H162" t="str">
        <x:v>MIN</x:v>
      </x:c>
      <x:c r="I162" t="str">
        <x:v>MIN</x:v>
      </x:c>
      <x:c r="J162" t="n">
        <x:v>34</x:v>
      </x:c>
      <x:c r="K162" t="str">
        <x:v>(2:21) (Shotgun) 18-C.Williams pass incomplete deep middle to 15-R.Odunze [97-J.Hargrave]. PENALTY on MIN-7-B.Murphy, Illegal Contact, 5 yards, enforced at MIN 34 - No Play.</x:v>
      </x:c>
      <x:c r="L162" t="str">
        <x:v>no_play</x:v>
      </x:c>
      <x:c r="M162" t="n">
        <x:v>0</x:v>
      </x:c>
      <x:c r="N162" t="n">
        <x:v>1</x:v>
      </x:c>
      <x:c r="O162" t="n">
        <x:v>0</x:v>
      </x:c>
      <x:c r="P162"/>
      <x:c r="Q162"/>
      <x:c r="R162"/>
      <x:c r="S162"/>
      <x:c r="T162"/>
      <x:c r="U162"/>
      <x:c r="V162" t="n">
        <x:v>0</x:v>
      </x:c>
      <x:c r="W162" t="n">
        <x:v>1</x:v>
      </x:c>
      <x:c r="X162" t="n">
        <x:v>0</x:v>
      </x:c>
      <x:c r="Y162" t="n">
        <x:v>0</x:v>
      </x:c>
      <x:c r="Z162" t="n">
        <x:v>0</x:v>
      </x:c>
      <x:c r="AA162" t="n">
        <x:v>1</x:v>
      </x:c>
      <x:c r="AB162" t="n">
        <x:v>5</x:v>
      </x:c>
      <x:c r="AC162" t="n">
        <x:v>0</x:v>
      </x:c>
      <x:c r="AD162" t="n">
        <x:v>1.1488972377264872</x:v>
      </x:c>
      <x:c r="AE162" t="n">
        <x:v>1</x:v>
      </x:c>
      <x:c r="AF162" t="n">
        <x:v>0.013734105974435806</x:v>
      </x:c>
      <x:c r="AG162" t="n">
        <x:f>_xlfn.XLOOKUP($A162,Games!$A$2:$A$18,Games!$B$2:$B$18,"Missing game",0)</x:f>
        <x:v>2025</x:v>
      </x:c>
      <x:c r="AH162" t="str">
        <x:f>_xlfn.XLOOKUP($A162,Games!$A$2:$A$18,Games!$C$2:$C$18,"Missing game",0)</x:f>
        <x:v>REG</x:v>
      </x:c>
      <x:c r="AI162" t="n">
        <x:f>_xlfn.XLOOKUP($A162,Games!$A$2:$A$18,Games!$D$2:$D$18,"Missing game",0)</x:f>
        <x:v>1</x:v>
      </x:c>
      <x:c r="AJ162" s="1" t="n">
        <x:f>_xlfn.XLOOKUP($A162,Games!$A$2:$A$18,Games!$E$2:$E$18,"Missing game",0)</x:f>
        <x:v>45908</x:v>
      </x:c>
      <x:c r="AK162" t="str">
        <x:f>_xlfn.XLOOKUP($A162,Games!$A$2:$A$18,Games!$F$2:$F$18,"Missing game",0)</x:f>
        <x:v>Monday</x:v>
      </x:c>
      <x:c r="AL162" t="str">
        <x:f>_xlfn.XLOOKUP($A162,Games!$A$2:$A$18,Games!$G$2:$G$18,"Missing game",0)</x:f>
        <x:v>MIN</x:v>
      </x:c>
      <x:c r="AM162" t="n">
        <x:f>_xlfn.XLOOKUP($A162,Games!$A$2:$A$18,Games!$H$2:$H$18,"Missing game",0)</x:f>
        <x:v>27</x:v>
      </x:c>
      <x:c r="AN162" t="str">
        <x:f>_xlfn.XLOOKUP($A162,Games!$A$2:$A$18,Games!$I$2:$I$18,"Missing game",0)</x:f>
        <x:v>CHI</x:v>
      </x:c>
      <x:c r="AO162" t="n">
        <x:f>_xlfn.XLOOKUP($A162,Games!$A$2:$A$18,Games!$J$2:$J$18,"Missing game",0)</x:f>
        <x:v>24</x:v>
      </x:c>
      <x:c r="AP162" t="n">
        <x:f>_xlfn.XLOOKUP($A162,Games!$A$2:$A$18,Games!$K$2:$K$18,"Missing game",0)</x:f>
        <x:v>-3</x:v>
      </x:c>
      <x:c r="AQ162" t="n">
        <x:f>_xlfn.XLOOKUP($A162,Games!$A$2:$A$18,Games!$L$2:$L$18,"Missing game",0)</x:f>
        <x:v>51</x:v>
      </x:c>
      <x:c r="AR162" t="n">
        <x:f>_xlfn.XLOOKUP($A162,Games!$A$2:$A$18,Games!$M$2:$M$18,"Missing game",0)</x:f>
        <x:v>0</x:v>
      </x:c>
      <x:c r="AS162" t="str">
        <x:f>_xlfn.XLOOKUP($A162,Games!$A$2:$A$18,Games!$N$2:$N$18,"Missing game",0)</x:f>
        <x:v>outdoors</x:v>
      </x:c>
      <x:c r="AT162" t="str">
        <x:f>_xlfn.XLOOKUP($A162,Games!$A$2:$A$18,Games!$O$2:$O$18,"Missing game",0)</x:f>
        <x:v>grass</x:v>
      </x:c>
      <x:c r="AU162" t="n">
        <x:f>_xlfn.XLOOKUP($A162,Games!$A$2:$A$18,Games!$P$2:$P$18,"Missing game",0)</x:f>
        <x:v>68</x:v>
      </x:c>
      <x:c r="AV162" t="n">
        <x:f>_xlfn.XLOOKUP($A162,Games!$A$2:$A$18,Games!$Q$2:$Q$18,"Missing game",0)</x:f>
        <x:v>6</x:v>
      </x:c>
      <x:c r="AW162" t="str">
        <x:f>_xlfn.XLOOKUP($A162,Games!$A$2:$A$18,Games!$R$2:$R$18,"Missing game",0)</x:f>
        <x:v>Soldier Field</x:v>
      </x:c>
    </x:row>
    <x:row r="163">
      <x:c r="A163" t="str">
        <x:v>2025_01_MIN_CHI</x:v>
      </x:c>
      <x:c r="B163" t="n">
        <x:v>4049</x:v>
      </x:c>
      <x:c r="C163" t="n">
        <x:v>4</x:v>
      </x:c>
      <x:c r="D163" t="str">
        <x:v>02:16</x:v>
      </x:c>
      <x:c r="E163" t="n">
        <x:v>1</x:v>
      </x:c>
      <x:c r="F163" t="n">
        <x:v>10</x:v>
      </x:c>
      <x:c r="G163" t="str">
        <x:v>CHI</x:v>
      </x:c>
      <x:c r="H163" t="str">
        <x:v>MIN</x:v>
      </x:c>
      <x:c r="I163" t="str">
        <x:v>MIN</x:v>
      </x:c>
      <x:c r="J163" t="n">
        <x:v>29</x:v>
      </x:c>
      <x:c r="K163" t="str">
        <x:v>(2:16) (Shotgun) 18-C.Williams pass incomplete short middle to 2-D.Moore (24-J.Ward). CHI-2-D.Moore was injured during the play. PENALTY on MIN-0-I.Pace, Roughing the Passer, 15 yards, enforced at MIN 29 - No Play.</x:v>
      </x:c>
      <x:c r="L163" t="str">
        <x:v>no_play</x:v>
      </x:c>
      <x:c r="M163" t="n">
        <x:v>0</x:v>
      </x:c>
      <x:c r="N163" t="n">
        <x:v>1</x:v>
      </x:c>
      <x:c r="O163" t="n">
        <x:v>0</x:v>
      </x:c>
      <x:c r="P163"/>
      <x:c r="Q163"/>
      <x:c r="R163"/>
      <x:c r="S163"/>
      <x:c r="T163"/>
      <x:c r="U163"/>
      <x:c r="V163" t="n">
        <x:v>0</x:v>
      </x:c>
      <x:c r="W163" t="n">
        <x:v>1</x:v>
      </x:c>
      <x:c r="X163" t="n">
        <x:v>0</x:v>
      </x:c>
      <x:c r="Y163" t="n">
        <x:v>0</x:v>
      </x:c>
      <x:c r="Z163" t="n">
        <x:v>0</x:v>
      </x:c>
      <x:c r="AA163" t="n">
        <x:v>1</x:v>
      </x:c>
      <x:c r="AB163" t="n">
        <x:v>15</x:v>
      </x:c>
      <x:c r="AC163" t="n">
        <x:v>0</x:v>
      </x:c>
      <x:c r="AD163" t="n">
        <x:v>1.229525734554045</x:v>
      </x:c>
      <x:c r="AE163" t="n">
        <x:v>1</x:v>
      </x:c>
      <x:c r="AF163" t="n">
        <x:v>0.014106892049312592</x:v>
      </x:c>
      <x:c r="AG163" t="n">
        <x:f>_xlfn.XLOOKUP($A163,Games!$A$2:$A$18,Games!$B$2:$B$18,"Missing game",0)</x:f>
        <x:v>2025</x:v>
      </x:c>
      <x:c r="AH163" t="str">
        <x:f>_xlfn.XLOOKUP($A163,Games!$A$2:$A$18,Games!$C$2:$C$18,"Missing game",0)</x:f>
        <x:v>REG</x:v>
      </x:c>
      <x:c r="AI163" t="n">
        <x:f>_xlfn.XLOOKUP($A163,Games!$A$2:$A$18,Games!$D$2:$D$18,"Missing game",0)</x:f>
        <x:v>1</x:v>
      </x:c>
      <x:c r="AJ163" s="1" t="n">
        <x:f>_xlfn.XLOOKUP($A163,Games!$A$2:$A$18,Games!$E$2:$E$18,"Missing game",0)</x:f>
        <x:v>45908</x:v>
      </x:c>
      <x:c r="AK163" t="str">
        <x:f>_xlfn.XLOOKUP($A163,Games!$A$2:$A$18,Games!$F$2:$F$18,"Missing game",0)</x:f>
        <x:v>Monday</x:v>
      </x:c>
      <x:c r="AL163" t="str">
        <x:f>_xlfn.XLOOKUP($A163,Games!$A$2:$A$18,Games!$G$2:$G$18,"Missing game",0)</x:f>
        <x:v>MIN</x:v>
      </x:c>
      <x:c r="AM163" t="n">
        <x:f>_xlfn.XLOOKUP($A163,Games!$A$2:$A$18,Games!$H$2:$H$18,"Missing game",0)</x:f>
        <x:v>27</x:v>
      </x:c>
      <x:c r="AN163" t="str">
        <x:f>_xlfn.XLOOKUP($A163,Games!$A$2:$A$18,Games!$I$2:$I$18,"Missing game",0)</x:f>
        <x:v>CHI</x:v>
      </x:c>
      <x:c r="AO163" t="n">
        <x:f>_xlfn.XLOOKUP($A163,Games!$A$2:$A$18,Games!$J$2:$J$18,"Missing game",0)</x:f>
        <x:v>24</x:v>
      </x:c>
      <x:c r="AP163" t="n">
        <x:f>_xlfn.XLOOKUP($A163,Games!$A$2:$A$18,Games!$K$2:$K$18,"Missing game",0)</x:f>
        <x:v>-3</x:v>
      </x:c>
      <x:c r="AQ163" t="n">
        <x:f>_xlfn.XLOOKUP($A163,Games!$A$2:$A$18,Games!$L$2:$L$18,"Missing game",0)</x:f>
        <x:v>51</x:v>
      </x:c>
      <x:c r="AR163" t="n">
        <x:f>_xlfn.XLOOKUP($A163,Games!$A$2:$A$18,Games!$M$2:$M$18,"Missing game",0)</x:f>
        <x:v>0</x:v>
      </x:c>
      <x:c r="AS163" t="str">
        <x:f>_xlfn.XLOOKUP($A163,Games!$A$2:$A$18,Games!$N$2:$N$18,"Missing game",0)</x:f>
        <x:v>outdoors</x:v>
      </x:c>
      <x:c r="AT163" t="str">
        <x:f>_xlfn.XLOOKUP($A163,Games!$A$2:$A$18,Games!$O$2:$O$18,"Missing game",0)</x:f>
        <x:v>grass</x:v>
      </x:c>
      <x:c r="AU163" t="n">
        <x:f>_xlfn.XLOOKUP($A163,Games!$A$2:$A$18,Games!$P$2:$P$18,"Missing game",0)</x:f>
        <x:v>68</x:v>
      </x:c>
      <x:c r="AV163" t="n">
        <x:f>_xlfn.XLOOKUP($A163,Games!$A$2:$A$18,Games!$Q$2:$Q$18,"Missing game",0)</x:f>
        <x:v>6</x:v>
      </x:c>
      <x:c r="AW163" t="str">
        <x:f>_xlfn.XLOOKUP($A163,Games!$A$2:$A$18,Games!$R$2:$R$18,"Missing game",0)</x:f>
        <x:v>Soldier Field</x:v>
      </x:c>
    </x:row>
    <x:row r="164">
      <x:c r="A164" t="str">
        <x:v>2025_01_MIN_CHI</x:v>
      </x:c>
      <x:c r="B164" t="n">
        <x:v>4086</x:v>
      </x:c>
      <x:c r="C164" t="n">
        <x:v>4</x:v>
      </x:c>
      <x:c r="D164" t="str">
        <x:v>02:12</x:v>
      </x:c>
      <x:c r="E164" t="n">
        <x:v>1</x:v>
      </x:c>
      <x:c r="F164" t="n">
        <x:v>10</x:v>
      </x:c>
      <x:c r="G164" t="str">
        <x:v>CHI</x:v>
      </x:c>
      <x:c r="H164" t="str">
        <x:v>MIN</x:v>
      </x:c>
      <x:c r="I164" t="str">
        <x:v>MIN</x:v>
      </x:c>
      <x:c r="J164" t="n">
        <x:v>14</x:v>
      </x:c>
      <x:c r="K164" t="str">
        <x:v>(2:12) (Shotgun) 18-C.Williams scrambles up the middle for 14 yards, TOUCHDOWN. Penalty on MIN-7-B.Murphy, Illegal Contact, declined. The Replay Official reviewed the runner broke the plane ruling, and the play was REVERSED. (Shotgun) 18-C.Williams scrambles up the middle pushed ob at MIN 1 for 13 yards (26-T.Jackson). PENALTY on MIN-7-B.Murphy, Illegal Contact, 0 yards, enforced at MIN 1.</x:v>
      </x:c>
      <x:c r="L164" t="str">
        <x:v>run</x:v>
      </x:c>
      <x:c r="M164" t="n">
        <x:v>13</x:v>
      </x:c>
      <x:c r="N164" t="n">
        <x:v>1</x:v>
      </x:c>
      <x:c r="O164" t="n">
        <x:v>0</x:v>
      </x:c>
      <x:c r="P164"/>
      <x:c r="Q164"/>
      <x:c r="R164"/>
      <x:c r="S164"/>
      <x:c r="T164" t="str">
        <x:v>middle</x:v>
      </x:c>
      <x:c r="U164"/>
      <x:c r="V164" t="n">
        <x:v>0</x:v>
      </x:c>
      <x:c r="W164" t="n">
        <x:v>1</x:v>
      </x:c>
      <x:c r="X164" t="n">
        <x:v>0</x:v>
      </x:c>
      <x:c r="Y164" t="n">
        <x:v>0</x:v>
      </x:c>
      <x:c r="Z164" t="n">
        <x:v>0</x:v>
      </x:c>
      <x:c r="AA164" t="n">
        <x:v>1</x:v>
      </x:c>
      <x:c r="AB164" t="n">
        <x:v>0</x:v>
      </x:c>
      <x:c r="AC164" t="n">
        <x:v>0</x:v>
      </x:c>
      <x:c r="AD164" t="n">
        <x:v>1.6514920155896107</x:v>
      </x:c>
      <x:c r="AE164" t="n">
        <x:v>1</x:v>
      </x:c>
      <x:c r="AF164" t="n">
        <x:v>0.01998680830001831</x:v>
      </x:c>
      <x:c r="AG164" t="n">
        <x:f>_xlfn.XLOOKUP($A164,Games!$A$2:$A$18,Games!$B$2:$B$18,"Missing game",0)</x:f>
        <x:v>2025</x:v>
      </x:c>
      <x:c r="AH164" t="str">
        <x:f>_xlfn.XLOOKUP($A164,Games!$A$2:$A$18,Games!$C$2:$C$18,"Missing game",0)</x:f>
        <x:v>REG</x:v>
      </x:c>
      <x:c r="AI164" t="n">
        <x:f>_xlfn.XLOOKUP($A164,Games!$A$2:$A$18,Games!$D$2:$D$18,"Missing game",0)</x:f>
        <x:v>1</x:v>
      </x:c>
      <x:c r="AJ164" s="1" t="n">
        <x:f>_xlfn.XLOOKUP($A164,Games!$A$2:$A$18,Games!$E$2:$E$18,"Missing game",0)</x:f>
        <x:v>45908</x:v>
      </x:c>
      <x:c r="AK164" t="str">
        <x:f>_xlfn.XLOOKUP($A164,Games!$A$2:$A$18,Games!$F$2:$F$18,"Missing game",0)</x:f>
        <x:v>Monday</x:v>
      </x:c>
      <x:c r="AL164" t="str">
        <x:f>_xlfn.XLOOKUP($A164,Games!$A$2:$A$18,Games!$G$2:$G$18,"Missing game",0)</x:f>
        <x:v>MIN</x:v>
      </x:c>
      <x:c r="AM164" t="n">
        <x:f>_xlfn.XLOOKUP($A164,Games!$A$2:$A$18,Games!$H$2:$H$18,"Missing game",0)</x:f>
        <x:v>27</x:v>
      </x:c>
      <x:c r="AN164" t="str">
        <x:f>_xlfn.XLOOKUP($A164,Games!$A$2:$A$18,Games!$I$2:$I$18,"Missing game",0)</x:f>
        <x:v>CHI</x:v>
      </x:c>
      <x:c r="AO164" t="n">
        <x:f>_xlfn.XLOOKUP($A164,Games!$A$2:$A$18,Games!$J$2:$J$18,"Missing game",0)</x:f>
        <x:v>24</x:v>
      </x:c>
      <x:c r="AP164" t="n">
        <x:f>_xlfn.XLOOKUP($A164,Games!$A$2:$A$18,Games!$K$2:$K$18,"Missing game",0)</x:f>
        <x:v>-3</x:v>
      </x:c>
      <x:c r="AQ164" t="n">
        <x:f>_xlfn.XLOOKUP($A164,Games!$A$2:$A$18,Games!$L$2:$L$18,"Missing game",0)</x:f>
        <x:v>51</x:v>
      </x:c>
      <x:c r="AR164" t="n">
        <x:f>_xlfn.XLOOKUP($A164,Games!$A$2:$A$18,Games!$M$2:$M$18,"Missing game",0)</x:f>
        <x:v>0</x:v>
      </x:c>
      <x:c r="AS164" t="str">
        <x:f>_xlfn.XLOOKUP($A164,Games!$A$2:$A$18,Games!$N$2:$N$18,"Missing game",0)</x:f>
        <x:v>outdoors</x:v>
      </x:c>
      <x:c r="AT164" t="str">
        <x:f>_xlfn.XLOOKUP($A164,Games!$A$2:$A$18,Games!$O$2:$O$18,"Missing game",0)</x:f>
        <x:v>grass</x:v>
      </x:c>
      <x:c r="AU164" t="n">
        <x:f>_xlfn.XLOOKUP($A164,Games!$A$2:$A$18,Games!$P$2:$P$18,"Missing game",0)</x:f>
        <x:v>68</x:v>
      </x:c>
      <x:c r="AV164" t="n">
        <x:f>_xlfn.XLOOKUP($A164,Games!$A$2:$A$18,Games!$Q$2:$Q$18,"Missing game",0)</x:f>
        <x:v>6</x:v>
      </x:c>
      <x:c r="AW164" t="str">
        <x:f>_xlfn.XLOOKUP($A164,Games!$A$2:$A$18,Games!$R$2:$R$18,"Missing game",0)</x:f>
        <x:v>Soldier Field</x:v>
      </x:c>
    </x:row>
    <x:row r="165">
      <x:c r="A165" t="str">
        <x:v>2025_01_MIN_CHI</x:v>
      </x:c>
      <x:c r="B165" t="n">
        <x:v>4181</x:v>
      </x:c>
      <x:c r="C165" t="n">
        <x:v>4</x:v>
      </x:c>
      <x:c r="D165" t="str">
        <x:v>02:05</x:v>
      </x:c>
      <x:c r="E165" t="n">
        <x:v>1</x:v>
      </x:c>
      <x:c r="F165" t="n">
        <x:v>1</x:v>
      </x:c>
      <x:c r="G165" t="str">
        <x:v>CHI</x:v>
      </x:c>
      <x:c r="H165" t="str">
        <x:v>MIN</x:v>
      </x:c>
      <x:c r="I165" t="str">
        <x:v>MIN</x:v>
      </x:c>
      <x:c r="J165" t="n">
        <x:v>1</x:v>
      </x:c>
      <x:c r="K165" t="str">
        <x:v>(2:05) 18-C.Williams pass short middle to 15-R.Odunze for 1 yard, TOUCHDOWN.</x:v>
      </x:c>
      <x:c r="L165" t="str">
        <x:v>pass</x:v>
      </x:c>
      <x:c r="M165" t="n">
        <x:v>1</x:v>
      </x:c>
      <x:c r="N165" t="n">
        <x:v>0</x:v>
      </x:c>
      <x:c r="O165" t="n">
        <x:v>0</x:v>
      </x:c>
      <x:c r="P165" t="str">
        <x:v>short</x:v>
      </x:c>
      <x:c r="Q165" t="str">
        <x:v>middle</x:v>
      </x:c>
      <x:c r="R165" t="n">
        <x:v>1</x:v>
      </x:c>
      <x:c r="S165" t="n">
        <x:v>0</x:v>
      </x:c>
      <x:c r="T165"/>
      <x:c r="U165"/>
      <x:c r="V165" t="n">
        <x:v>1</x:v>
      </x:c>
      <x:c r="W165" t="n">
        <x:v>1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/>
      <x:c r="AC165" t="n">
        <x:v>1</x:v>
      </x:c>
      <x:c r="AD165" t="n">
        <x:v>0.6878001073928317</x:v>
      </x:c>
      <x:c r="AE165" t="n">
        <x:v>1</x:v>
      </x:c>
      <x:c r="AF165" t="n">
        <x:v>0.029554117304996685</x:v>
      </x:c>
      <x:c r="AG165" t="n">
        <x:f>_xlfn.XLOOKUP($A165,Games!$A$2:$A$18,Games!$B$2:$B$18,"Missing game",0)</x:f>
        <x:v>2025</x:v>
      </x:c>
      <x:c r="AH165" t="str">
        <x:f>_xlfn.XLOOKUP($A165,Games!$A$2:$A$18,Games!$C$2:$C$18,"Missing game",0)</x:f>
        <x:v>REG</x:v>
      </x:c>
      <x:c r="AI165" t="n">
        <x:f>_xlfn.XLOOKUP($A165,Games!$A$2:$A$18,Games!$D$2:$D$18,"Missing game",0)</x:f>
        <x:v>1</x:v>
      </x:c>
      <x:c r="AJ165" s="1" t="n">
        <x:f>_xlfn.XLOOKUP($A165,Games!$A$2:$A$18,Games!$E$2:$E$18,"Missing game",0)</x:f>
        <x:v>45908</x:v>
      </x:c>
      <x:c r="AK165" t="str">
        <x:f>_xlfn.XLOOKUP($A165,Games!$A$2:$A$18,Games!$F$2:$F$18,"Missing game",0)</x:f>
        <x:v>Monday</x:v>
      </x:c>
      <x:c r="AL165" t="str">
        <x:f>_xlfn.XLOOKUP($A165,Games!$A$2:$A$18,Games!$G$2:$G$18,"Missing game",0)</x:f>
        <x:v>MIN</x:v>
      </x:c>
      <x:c r="AM165" t="n">
        <x:f>_xlfn.XLOOKUP($A165,Games!$A$2:$A$18,Games!$H$2:$H$18,"Missing game",0)</x:f>
        <x:v>27</x:v>
      </x:c>
      <x:c r="AN165" t="str">
        <x:f>_xlfn.XLOOKUP($A165,Games!$A$2:$A$18,Games!$I$2:$I$18,"Missing game",0)</x:f>
        <x:v>CHI</x:v>
      </x:c>
      <x:c r="AO165" t="n">
        <x:f>_xlfn.XLOOKUP($A165,Games!$A$2:$A$18,Games!$J$2:$J$18,"Missing game",0)</x:f>
        <x:v>24</x:v>
      </x:c>
      <x:c r="AP165" t="n">
        <x:f>_xlfn.XLOOKUP($A165,Games!$A$2:$A$18,Games!$K$2:$K$18,"Missing game",0)</x:f>
        <x:v>-3</x:v>
      </x:c>
      <x:c r="AQ165" t="n">
        <x:f>_xlfn.XLOOKUP($A165,Games!$A$2:$A$18,Games!$L$2:$L$18,"Missing game",0)</x:f>
        <x:v>51</x:v>
      </x:c>
      <x:c r="AR165" t="n">
        <x:f>_xlfn.XLOOKUP($A165,Games!$A$2:$A$18,Games!$M$2:$M$18,"Missing game",0)</x:f>
        <x:v>0</x:v>
      </x:c>
      <x:c r="AS165" t="str">
        <x:f>_xlfn.XLOOKUP($A165,Games!$A$2:$A$18,Games!$N$2:$N$18,"Missing game",0)</x:f>
        <x:v>outdoors</x:v>
      </x:c>
      <x:c r="AT165" t="str">
        <x:f>_xlfn.XLOOKUP($A165,Games!$A$2:$A$18,Games!$O$2:$O$18,"Missing game",0)</x:f>
        <x:v>grass</x:v>
      </x:c>
      <x:c r="AU165" t="n">
        <x:f>_xlfn.XLOOKUP($A165,Games!$A$2:$A$18,Games!$P$2:$P$18,"Missing game",0)</x:f>
        <x:v>68</x:v>
      </x:c>
      <x:c r="AV165" t="n">
        <x:f>_xlfn.XLOOKUP($A165,Games!$A$2:$A$18,Games!$Q$2:$Q$18,"Missing game",0)</x:f>
        <x:v>6</x:v>
      </x:c>
      <x:c r="AW165" t="str">
        <x:f>_xlfn.XLOOKUP($A165,Games!$A$2:$A$18,Games!$R$2:$R$18,"Missing game",0)</x:f>
        <x:v>Soldier Field</x:v>
      </x:c>
    </x:row>
    <x:row r="166">
      <x:c r="A166" t="str">
        <x:v>2025_01_MIN_CHI</x:v>
      </x:c>
      <x:c r="B166" t="n">
        <x:v>4210</x:v>
      </x:c>
      <x:c r="C166" t="n">
        <x:v>4</x:v>
      </x:c>
      <x:c r="D166" t="str">
        <x:v>02:02</x:v>
      </x:c>
      <x:c r="E166"/>
      <x:c r="F166" t="n">
        <x:v>0</x:v>
      </x:c>
      <x:c r="G166" t="str">
        <x:v>CHI</x:v>
      </x:c>
      <x:c r="H166" t="str">
        <x:v>MIN</x:v>
      </x:c>
      <x:c r="I166" t="str">
        <x:v>MIN</x:v>
      </x:c>
      <x:c r="J166" t="n">
        <x:v>15</x:v>
      </x:c>
      <x:c r="K166" t="str">
        <x:v>8-C.Santos extra point is GOOD, Center-46-S.Daly, Holder-19-T.Taylor.</x:v>
      </x:c>
      <x:c r="L166" t="str">
        <x:v>extra_point</x:v>
      </x:c>
      <x:c r="M166" t="n">
        <x:v>0</x:v>
      </x:c>
      <x:c r="N166" t="n">
        <x:v>0</x:v>
      </x:c>
      <x:c r="O166" t="n">
        <x:v>0</x:v>
      </x:c>
      <x:c r="P166"/>
      <x:c r="Q166"/>
      <x:c r="R166"/>
      <x:c r="S166"/>
      <x:c r="T166"/>
      <x:c r="U166"/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/>
      <x:c r="AC166" t="n">
        <x:v>0</x:v>
      </x:c>
      <x:c r="AD166" t="n">
        <x:v>0.06757300310763314</x:v>
      </x:c>
      <x:c r="AE166" t="n">
        <x:v>1</x:v>
      </x:c>
      <x:c r="AF166" t="n">
        <x:v>0.001678046005054279</x:v>
      </x:c>
      <x:c r="AG166" t="n">
        <x:f>_xlfn.XLOOKUP($A166,Games!$A$2:$A$18,Games!$B$2:$B$18,"Missing game",0)</x:f>
        <x:v>2025</x:v>
      </x:c>
      <x:c r="AH166" t="str">
        <x:f>_xlfn.XLOOKUP($A166,Games!$A$2:$A$18,Games!$C$2:$C$18,"Missing game",0)</x:f>
        <x:v>REG</x:v>
      </x:c>
      <x:c r="AI166" t="n">
        <x:f>_xlfn.XLOOKUP($A166,Games!$A$2:$A$18,Games!$D$2:$D$18,"Missing game",0)</x:f>
        <x:v>1</x:v>
      </x:c>
      <x:c r="AJ166" s="1" t="n">
        <x:f>_xlfn.XLOOKUP($A166,Games!$A$2:$A$18,Games!$E$2:$E$18,"Missing game",0)</x:f>
        <x:v>45908</x:v>
      </x:c>
      <x:c r="AK166" t="str">
        <x:f>_xlfn.XLOOKUP($A166,Games!$A$2:$A$18,Games!$F$2:$F$18,"Missing game",0)</x:f>
        <x:v>Monday</x:v>
      </x:c>
      <x:c r="AL166" t="str">
        <x:f>_xlfn.XLOOKUP($A166,Games!$A$2:$A$18,Games!$G$2:$G$18,"Missing game",0)</x:f>
        <x:v>MIN</x:v>
      </x:c>
      <x:c r="AM166" t="n">
        <x:f>_xlfn.XLOOKUP($A166,Games!$A$2:$A$18,Games!$H$2:$H$18,"Missing game",0)</x:f>
        <x:v>27</x:v>
      </x:c>
      <x:c r="AN166" t="str">
        <x:f>_xlfn.XLOOKUP($A166,Games!$A$2:$A$18,Games!$I$2:$I$18,"Missing game",0)</x:f>
        <x:v>CHI</x:v>
      </x:c>
      <x:c r="AO166" t="n">
        <x:f>_xlfn.XLOOKUP($A166,Games!$A$2:$A$18,Games!$J$2:$J$18,"Missing game",0)</x:f>
        <x:v>24</x:v>
      </x:c>
      <x:c r="AP166" t="n">
        <x:f>_xlfn.XLOOKUP($A166,Games!$A$2:$A$18,Games!$K$2:$K$18,"Missing game",0)</x:f>
        <x:v>-3</x:v>
      </x:c>
      <x:c r="AQ166" t="n">
        <x:f>_xlfn.XLOOKUP($A166,Games!$A$2:$A$18,Games!$L$2:$L$18,"Missing game",0)</x:f>
        <x:v>51</x:v>
      </x:c>
      <x:c r="AR166" t="n">
        <x:f>_xlfn.XLOOKUP($A166,Games!$A$2:$A$18,Games!$M$2:$M$18,"Missing game",0)</x:f>
        <x:v>0</x:v>
      </x:c>
      <x:c r="AS166" t="str">
        <x:f>_xlfn.XLOOKUP($A166,Games!$A$2:$A$18,Games!$N$2:$N$18,"Missing game",0)</x:f>
        <x:v>outdoors</x:v>
      </x:c>
      <x:c r="AT166" t="str">
        <x:f>_xlfn.XLOOKUP($A166,Games!$A$2:$A$18,Games!$O$2:$O$18,"Missing game",0)</x:f>
        <x:v>grass</x:v>
      </x:c>
      <x:c r="AU166" t="n">
        <x:f>_xlfn.XLOOKUP($A166,Games!$A$2:$A$18,Games!$P$2:$P$18,"Missing game",0)</x:f>
        <x:v>68</x:v>
      </x:c>
      <x:c r="AV166" t="n">
        <x:f>_xlfn.XLOOKUP($A166,Games!$A$2:$A$18,Games!$Q$2:$Q$18,"Missing game",0)</x:f>
        <x:v>6</x:v>
      </x:c>
      <x:c r="AW166" t="str">
        <x:f>_xlfn.XLOOKUP($A166,Games!$A$2:$A$18,Games!$R$2:$R$18,"Missing game",0)</x:f>
        <x:v>Soldier Field</x:v>
      </x:c>
    </x:row>
    <x:row r="167">
      <x:c r="A167" t="str">
        <x:v>2025_01_MIN_CHI</x:v>
      </x:c>
      <x:c r="B167" t="n">
        <x:v>4225</x:v>
      </x:c>
      <x:c r="C167" t="n">
        <x:v>4</x:v>
      </x:c>
      <x:c r="D167" t="str">
        <x:v>02:02</x:v>
      </x:c>
      <x:c r="E167"/>
      <x:c r="F167" t="n">
        <x:v>0</x:v>
      </x:c>
      <x:c r="G167" t="str">
        <x:v>MIN</x:v>
      </x:c>
      <x:c r="H167" t="str">
        <x:v>CHI</x:v>
      </x:c>
      <x:c r="I167" t="str">
        <x:v>CHI</x:v>
      </x:c>
      <x:c r="J167" t="n">
        <x:v>35</x:v>
      </x:c>
      <x:c r="K167" t="str">
        <x:v>8-C.Santos kicks 72 yards from CHI 35 to MIN -7. 32-T.Chandler to MIN 26 for 33 yards (47-R.Hyppolite).</x:v>
      </x:c>
      <x:c r="L167" t="str">
        <x:v>kickoff</x:v>
      </x:c>
      <x:c r="M167" t="n">
        <x:v>0</x:v>
      </x:c>
      <x:c r="N167" t="n">
        <x:v>0</x:v>
      </x:c>
      <x:c r="O167" t="n">
        <x:v>0</x:v>
      </x:c>
      <x:c r="P167"/>
      <x:c r="Q167"/>
      <x:c r="R167"/>
      <x:c r="S167"/>
      <x:c r="T167"/>
      <x:c r="U167"/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/>
      <x:c r="AC167" t="n">
        <x:v>0</x:v>
      </x:c>
      <x:c r="AD167" t="n">
        <x:v>-0.15827711892779917</x:v>
      </x:c>
      <x:c r="AE167" t="n">
        <x:v>0</x:v>
      </x:c>
      <x:c r="AF167" t="n">
        <x:v>0</x:v>
      </x:c>
      <x:c r="AG167" t="n">
        <x:f>_xlfn.XLOOKUP($A167,Games!$A$2:$A$18,Games!$B$2:$B$18,"Missing game",0)</x:f>
        <x:v>2025</x:v>
      </x:c>
      <x:c r="AH167" t="str">
        <x:f>_xlfn.XLOOKUP($A167,Games!$A$2:$A$18,Games!$C$2:$C$18,"Missing game",0)</x:f>
        <x:v>REG</x:v>
      </x:c>
      <x:c r="AI167" t="n">
        <x:f>_xlfn.XLOOKUP($A167,Games!$A$2:$A$18,Games!$D$2:$D$18,"Missing game",0)</x:f>
        <x:v>1</x:v>
      </x:c>
      <x:c r="AJ167" s="1" t="n">
        <x:f>_xlfn.XLOOKUP($A167,Games!$A$2:$A$18,Games!$E$2:$E$18,"Missing game",0)</x:f>
        <x:v>45908</x:v>
      </x:c>
      <x:c r="AK167" t="str">
        <x:f>_xlfn.XLOOKUP($A167,Games!$A$2:$A$18,Games!$F$2:$F$18,"Missing game",0)</x:f>
        <x:v>Monday</x:v>
      </x:c>
      <x:c r="AL167" t="str">
        <x:f>_xlfn.XLOOKUP($A167,Games!$A$2:$A$18,Games!$G$2:$G$18,"Missing game",0)</x:f>
        <x:v>MIN</x:v>
      </x:c>
      <x:c r="AM167" t="n">
        <x:f>_xlfn.XLOOKUP($A167,Games!$A$2:$A$18,Games!$H$2:$H$18,"Missing game",0)</x:f>
        <x:v>27</x:v>
      </x:c>
      <x:c r="AN167" t="str">
        <x:f>_xlfn.XLOOKUP($A167,Games!$A$2:$A$18,Games!$I$2:$I$18,"Missing game",0)</x:f>
        <x:v>CHI</x:v>
      </x:c>
      <x:c r="AO167" t="n">
        <x:f>_xlfn.XLOOKUP($A167,Games!$A$2:$A$18,Games!$J$2:$J$18,"Missing game",0)</x:f>
        <x:v>24</x:v>
      </x:c>
      <x:c r="AP167" t="n">
        <x:f>_xlfn.XLOOKUP($A167,Games!$A$2:$A$18,Games!$K$2:$K$18,"Missing game",0)</x:f>
        <x:v>-3</x:v>
      </x:c>
      <x:c r="AQ167" t="n">
        <x:f>_xlfn.XLOOKUP($A167,Games!$A$2:$A$18,Games!$L$2:$L$18,"Missing game",0)</x:f>
        <x:v>51</x:v>
      </x:c>
      <x:c r="AR167" t="n">
        <x:f>_xlfn.XLOOKUP($A167,Games!$A$2:$A$18,Games!$M$2:$M$18,"Missing game",0)</x:f>
        <x:v>0</x:v>
      </x:c>
      <x:c r="AS167" t="str">
        <x:f>_xlfn.XLOOKUP($A167,Games!$A$2:$A$18,Games!$N$2:$N$18,"Missing game",0)</x:f>
        <x:v>outdoors</x:v>
      </x:c>
      <x:c r="AT167" t="str">
        <x:f>_xlfn.XLOOKUP($A167,Games!$A$2:$A$18,Games!$O$2:$O$18,"Missing game",0)</x:f>
        <x:v>grass</x:v>
      </x:c>
      <x:c r="AU167" t="n">
        <x:f>_xlfn.XLOOKUP($A167,Games!$A$2:$A$18,Games!$P$2:$P$18,"Missing game",0)</x:f>
        <x:v>68</x:v>
      </x:c>
      <x:c r="AV167" t="n">
        <x:f>_xlfn.XLOOKUP($A167,Games!$A$2:$A$18,Games!$Q$2:$Q$18,"Missing game",0)</x:f>
        <x:v>6</x:v>
      </x:c>
      <x:c r="AW167" t="str">
        <x:f>_xlfn.XLOOKUP($A167,Games!$A$2:$A$18,Games!$R$2:$R$18,"Missing game",0)</x:f>
        <x:v>Soldier Field</x:v>
      </x:c>
    </x:row>
    <x:row r="168">
      <x:c r="A168" t="str">
        <x:v>2025_01_MIN_CHI</x:v>
      </x:c>
      <x:c r="B168" t="n">
        <x:v>4248</x:v>
      </x:c>
      <x:c r="C168" t="n">
        <x:v>4</x:v>
      </x:c>
      <x:c r="D168" t="str">
        <x:v>01:55</x:v>
      </x:c>
      <x:c r="E168" t="n">
        <x:v>1</x:v>
      </x:c>
      <x:c r="F168" t="n">
        <x:v>10</x:v>
      </x:c>
      <x:c r="G168" t="str">
        <x:v>MIN</x:v>
      </x:c>
      <x:c r="H168" t="str">
        <x:v>CHI</x:v>
      </x:c>
      <x:c r="I168" t="str">
        <x:v>MIN</x:v>
      </x:c>
      <x:c r="J168" t="n">
        <x:v>74</x:v>
      </x:c>
      <x:c r="K168" t="str">
        <x:v>(1:55) 27-J.Mason right tackle to MIN 29 for 3 yards (31-K.Byard).</x:v>
      </x:c>
      <x:c r="L168" t="str">
        <x:v>run</x:v>
      </x:c>
      <x:c r="M168" t="n">
        <x:v>3</x:v>
      </x:c>
      <x:c r="N168" t="n">
        <x:v>0</x:v>
      </x:c>
      <x:c r="O168" t="n">
        <x:v>0</x:v>
      </x:c>
      <x:c r="P168"/>
      <x:c r="Q168"/>
      <x:c r="R168"/>
      <x:c r="S168"/>
      <x:c r="T168" t="str">
        <x:v>right</x:v>
      </x:c>
      <x:c r="U168" t="str">
        <x:v>tackle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/>
      <x:c r="AC168" t="n">
        <x:v>0</x:v>
      </x:c>
      <x:c r="AD168" t="n">
        <x:v>-0.4556339194532484</x:v>
      </x:c>
      <x:c r="AE168" t="n">
        <x:v>0</x:v>
      </x:c>
      <x:c r="AF168" t="n">
        <x:v>-0.002272188663482666</x:v>
      </x:c>
      <x:c r="AG168" t="n">
        <x:f>_xlfn.XLOOKUP($A168,Games!$A$2:$A$18,Games!$B$2:$B$18,"Missing game",0)</x:f>
        <x:v>2025</x:v>
      </x:c>
      <x:c r="AH168" t="str">
        <x:f>_xlfn.XLOOKUP($A168,Games!$A$2:$A$18,Games!$C$2:$C$18,"Missing game",0)</x:f>
        <x:v>REG</x:v>
      </x:c>
      <x:c r="AI168" t="n">
        <x:f>_xlfn.XLOOKUP($A168,Games!$A$2:$A$18,Games!$D$2:$D$18,"Missing game",0)</x:f>
        <x:v>1</x:v>
      </x:c>
      <x:c r="AJ168" s="1" t="n">
        <x:f>_xlfn.XLOOKUP($A168,Games!$A$2:$A$18,Games!$E$2:$E$18,"Missing game",0)</x:f>
        <x:v>45908</x:v>
      </x:c>
      <x:c r="AK168" t="str">
        <x:f>_xlfn.XLOOKUP($A168,Games!$A$2:$A$18,Games!$F$2:$F$18,"Missing game",0)</x:f>
        <x:v>Monday</x:v>
      </x:c>
      <x:c r="AL168" t="str">
        <x:f>_xlfn.XLOOKUP($A168,Games!$A$2:$A$18,Games!$G$2:$G$18,"Missing game",0)</x:f>
        <x:v>MIN</x:v>
      </x:c>
      <x:c r="AM168" t="n">
        <x:f>_xlfn.XLOOKUP($A168,Games!$A$2:$A$18,Games!$H$2:$H$18,"Missing game",0)</x:f>
        <x:v>27</x:v>
      </x:c>
      <x:c r="AN168" t="str">
        <x:f>_xlfn.XLOOKUP($A168,Games!$A$2:$A$18,Games!$I$2:$I$18,"Missing game",0)</x:f>
        <x:v>CHI</x:v>
      </x:c>
      <x:c r="AO168" t="n">
        <x:f>_xlfn.XLOOKUP($A168,Games!$A$2:$A$18,Games!$J$2:$J$18,"Missing game",0)</x:f>
        <x:v>24</x:v>
      </x:c>
      <x:c r="AP168" t="n">
        <x:f>_xlfn.XLOOKUP($A168,Games!$A$2:$A$18,Games!$K$2:$K$18,"Missing game",0)</x:f>
        <x:v>-3</x:v>
      </x:c>
      <x:c r="AQ168" t="n">
        <x:f>_xlfn.XLOOKUP($A168,Games!$A$2:$A$18,Games!$L$2:$L$18,"Missing game",0)</x:f>
        <x:v>51</x:v>
      </x:c>
      <x:c r="AR168" t="n">
        <x:f>_xlfn.XLOOKUP($A168,Games!$A$2:$A$18,Games!$M$2:$M$18,"Missing game",0)</x:f>
        <x:v>0</x:v>
      </x:c>
      <x:c r="AS168" t="str">
        <x:f>_xlfn.XLOOKUP($A168,Games!$A$2:$A$18,Games!$N$2:$N$18,"Missing game",0)</x:f>
        <x:v>outdoors</x:v>
      </x:c>
      <x:c r="AT168" t="str">
        <x:f>_xlfn.XLOOKUP($A168,Games!$A$2:$A$18,Games!$O$2:$O$18,"Missing game",0)</x:f>
        <x:v>grass</x:v>
      </x:c>
      <x:c r="AU168" t="n">
        <x:f>_xlfn.XLOOKUP($A168,Games!$A$2:$A$18,Games!$P$2:$P$18,"Missing game",0)</x:f>
        <x:v>68</x:v>
      </x:c>
      <x:c r="AV168" t="n">
        <x:f>_xlfn.XLOOKUP($A168,Games!$A$2:$A$18,Games!$Q$2:$Q$18,"Missing game",0)</x:f>
        <x:v>6</x:v>
      </x:c>
      <x:c r="AW168" t="str">
        <x:f>_xlfn.XLOOKUP($A168,Games!$A$2:$A$18,Games!$R$2:$R$18,"Missing game",0)</x:f>
        <x:v>Soldier Field</x:v>
      </x:c>
    </x:row>
    <x:row r="169">
      <x:c r="A169" t="str">
        <x:v>2025_01_MIN_CHI</x:v>
      </x:c>
      <x:c r="B169" t="n">
        <x:v>4277</x:v>
      </x:c>
      <x:c r="C169" t="n">
        <x:v>4</x:v>
      </x:c>
      <x:c r="D169" t="str">
        <x:v>01:47</x:v>
      </x:c>
      <x:c r="E169" t="n">
        <x:v>2</x:v>
      </x:c>
      <x:c r="F169" t="n">
        <x:v>7</x:v>
      </x:c>
      <x:c r="G169" t="str">
        <x:v>MIN</x:v>
      </x:c>
      <x:c r="H169" t="str">
        <x:v>CHI</x:v>
      </x:c>
      <x:c r="I169" t="str">
        <x:v>MIN</x:v>
      </x:c>
      <x:c r="J169" t="n">
        <x:v>71</x:v>
      </x:c>
      <x:c r="K169" t="str">
        <x:v>(1:47) 27-J.Mason right tackle to MIN 30 for 1 yard (9-J.Brisker).</x:v>
      </x:c>
      <x:c r="L169" t="str">
        <x:v>run</x:v>
      </x:c>
      <x:c r="M169" t="n">
        <x:v>1</x:v>
      </x:c>
      <x:c r="N169" t="n">
        <x:v>0</x:v>
      </x:c>
      <x:c r="O169" t="n">
        <x:v>0</x:v>
      </x:c>
      <x:c r="P169"/>
      <x:c r="Q169"/>
      <x:c r="R169"/>
      <x:c r="S169"/>
      <x:c r="T169" t="str">
        <x:v>right</x:v>
      </x:c>
      <x:c r="U169" t="str">
        <x:v>tackle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/>
      <x:c r="AC169" t="n">
        <x:v>0</x:v>
      </x:c>
      <x:c r="AD169" t="n">
        <x:v>-0.12684846099000424</x:v>
      </x:c>
      <x:c r="AE169" t="n">
        <x:v>0</x:v>
      </x:c>
      <x:c r="AF169" t="n">
        <x:v>0.04142731428146362</x:v>
      </x:c>
      <x:c r="AG169" t="n">
        <x:f>_xlfn.XLOOKUP($A169,Games!$A$2:$A$18,Games!$B$2:$B$18,"Missing game",0)</x:f>
        <x:v>2025</x:v>
      </x:c>
      <x:c r="AH169" t="str">
        <x:f>_xlfn.XLOOKUP($A169,Games!$A$2:$A$18,Games!$C$2:$C$18,"Missing game",0)</x:f>
        <x:v>REG</x:v>
      </x:c>
      <x:c r="AI169" t="n">
        <x:f>_xlfn.XLOOKUP($A169,Games!$A$2:$A$18,Games!$D$2:$D$18,"Missing game",0)</x:f>
        <x:v>1</x:v>
      </x:c>
      <x:c r="AJ169" s="1" t="n">
        <x:f>_xlfn.XLOOKUP($A169,Games!$A$2:$A$18,Games!$E$2:$E$18,"Missing game",0)</x:f>
        <x:v>45908</x:v>
      </x:c>
      <x:c r="AK169" t="str">
        <x:f>_xlfn.XLOOKUP($A169,Games!$A$2:$A$18,Games!$F$2:$F$18,"Missing game",0)</x:f>
        <x:v>Monday</x:v>
      </x:c>
      <x:c r="AL169" t="str">
        <x:f>_xlfn.XLOOKUP($A169,Games!$A$2:$A$18,Games!$G$2:$G$18,"Missing game",0)</x:f>
        <x:v>MIN</x:v>
      </x:c>
      <x:c r="AM169" t="n">
        <x:f>_xlfn.XLOOKUP($A169,Games!$A$2:$A$18,Games!$H$2:$H$18,"Missing game",0)</x:f>
        <x:v>27</x:v>
      </x:c>
      <x:c r="AN169" t="str">
        <x:f>_xlfn.XLOOKUP($A169,Games!$A$2:$A$18,Games!$I$2:$I$18,"Missing game",0)</x:f>
        <x:v>CHI</x:v>
      </x:c>
      <x:c r="AO169" t="n">
        <x:f>_xlfn.XLOOKUP($A169,Games!$A$2:$A$18,Games!$J$2:$J$18,"Missing game",0)</x:f>
        <x:v>24</x:v>
      </x:c>
      <x:c r="AP169" t="n">
        <x:f>_xlfn.XLOOKUP($A169,Games!$A$2:$A$18,Games!$K$2:$K$18,"Missing game",0)</x:f>
        <x:v>-3</x:v>
      </x:c>
      <x:c r="AQ169" t="n">
        <x:f>_xlfn.XLOOKUP($A169,Games!$A$2:$A$18,Games!$L$2:$L$18,"Missing game",0)</x:f>
        <x:v>51</x:v>
      </x:c>
      <x:c r="AR169" t="n">
        <x:f>_xlfn.XLOOKUP($A169,Games!$A$2:$A$18,Games!$M$2:$M$18,"Missing game",0)</x:f>
        <x:v>0</x:v>
      </x:c>
      <x:c r="AS169" t="str">
        <x:f>_xlfn.XLOOKUP($A169,Games!$A$2:$A$18,Games!$N$2:$N$18,"Missing game",0)</x:f>
        <x:v>outdoors</x:v>
      </x:c>
      <x:c r="AT169" t="str">
        <x:f>_xlfn.XLOOKUP($A169,Games!$A$2:$A$18,Games!$O$2:$O$18,"Missing game",0)</x:f>
        <x:v>grass</x:v>
      </x:c>
      <x:c r="AU169" t="n">
        <x:f>_xlfn.XLOOKUP($A169,Games!$A$2:$A$18,Games!$P$2:$P$18,"Missing game",0)</x:f>
        <x:v>68</x:v>
      </x:c>
      <x:c r="AV169" t="n">
        <x:f>_xlfn.XLOOKUP($A169,Games!$A$2:$A$18,Games!$Q$2:$Q$18,"Missing game",0)</x:f>
        <x:v>6</x:v>
      </x:c>
      <x:c r="AW169" t="str">
        <x:f>_xlfn.XLOOKUP($A169,Games!$A$2:$A$18,Games!$R$2:$R$18,"Missing game",0)</x:f>
        <x:v>Soldier Field</x:v>
      </x:c>
    </x:row>
    <x:row r="170">
      <x:c r="A170" t="str">
        <x:v>2025_01_MIN_CHI</x:v>
      </x:c>
      <x:c r="B170" t="n">
        <x:v>4289</x:v>
      </x:c>
      <x:c r="C170" t="n">
        <x:v>4</x:v>
      </x:c>
      <x:c r="D170" t="str">
        <x:v>01:47</x:v>
      </x:c>
      <x:c r="E170"/>
      <x:c r="F170" t="n">
        <x:v>0</x:v>
      </x:c>
      <x:c r="G170"/>
      <x:c r="H170"/>
      <x:c r="I170"/>
      <x:c r="J170"/>
      <x:c r="K170" t="str">
        <x:v>Timeout #3 by CHI at 01:47.</x:v>
      </x:c>
      <x:c r="L170" t="str">
        <x:v>no_play</x:v>
      </x:c>
      <x:c r="M170" t="n">
        <x:v>0</x:v>
      </x:c>
      <x:c r="N170" t="n">
        <x:v>0</x:v>
      </x:c>
      <x:c r="O170" t="n">
        <x:v>0</x:v>
      </x:c>
      <x:c r="P170"/>
      <x:c r="Q170"/>
      <x:c r="R170"/>
      <x:c r="S170"/>
      <x:c r="T170"/>
      <x:c r="U170"/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/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f>_xlfn.XLOOKUP($A170,Games!$A$2:$A$18,Games!$B$2:$B$18,"Missing game",0)</x:f>
        <x:v>2025</x:v>
      </x:c>
      <x:c r="AH170" t="str">
        <x:f>_xlfn.XLOOKUP($A170,Games!$A$2:$A$18,Games!$C$2:$C$18,"Missing game",0)</x:f>
        <x:v>REG</x:v>
      </x:c>
      <x:c r="AI170" t="n">
        <x:f>_xlfn.XLOOKUP($A170,Games!$A$2:$A$18,Games!$D$2:$D$18,"Missing game",0)</x:f>
        <x:v>1</x:v>
      </x:c>
      <x:c r="AJ170" s="1" t="n">
        <x:f>_xlfn.XLOOKUP($A170,Games!$A$2:$A$18,Games!$E$2:$E$18,"Missing game",0)</x:f>
        <x:v>45908</x:v>
      </x:c>
      <x:c r="AK170" t="str">
        <x:f>_xlfn.XLOOKUP($A170,Games!$A$2:$A$18,Games!$F$2:$F$18,"Missing game",0)</x:f>
        <x:v>Monday</x:v>
      </x:c>
      <x:c r="AL170" t="str">
        <x:f>_xlfn.XLOOKUP($A170,Games!$A$2:$A$18,Games!$G$2:$G$18,"Missing game",0)</x:f>
        <x:v>MIN</x:v>
      </x:c>
      <x:c r="AM170" t="n">
        <x:f>_xlfn.XLOOKUP($A170,Games!$A$2:$A$18,Games!$H$2:$H$18,"Missing game",0)</x:f>
        <x:v>27</x:v>
      </x:c>
      <x:c r="AN170" t="str">
        <x:f>_xlfn.XLOOKUP($A170,Games!$A$2:$A$18,Games!$I$2:$I$18,"Missing game",0)</x:f>
        <x:v>CHI</x:v>
      </x:c>
      <x:c r="AO170" t="n">
        <x:f>_xlfn.XLOOKUP($A170,Games!$A$2:$A$18,Games!$J$2:$J$18,"Missing game",0)</x:f>
        <x:v>24</x:v>
      </x:c>
      <x:c r="AP170" t="n">
        <x:f>_xlfn.XLOOKUP($A170,Games!$A$2:$A$18,Games!$K$2:$K$18,"Missing game",0)</x:f>
        <x:v>-3</x:v>
      </x:c>
      <x:c r="AQ170" t="n">
        <x:f>_xlfn.XLOOKUP($A170,Games!$A$2:$A$18,Games!$L$2:$L$18,"Missing game",0)</x:f>
        <x:v>51</x:v>
      </x:c>
      <x:c r="AR170" t="n">
        <x:f>_xlfn.XLOOKUP($A170,Games!$A$2:$A$18,Games!$M$2:$M$18,"Missing game",0)</x:f>
        <x:v>0</x:v>
      </x:c>
      <x:c r="AS170" t="str">
        <x:f>_xlfn.XLOOKUP($A170,Games!$A$2:$A$18,Games!$N$2:$N$18,"Missing game",0)</x:f>
        <x:v>outdoors</x:v>
      </x:c>
      <x:c r="AT170" t="str">
        <x:f>_xlfn.XLOOKUP($A170,Games!$A$2:$A$18,Games!$O$2:$O$18,"Missing game",0)</x:f>
        <x:v>grass</x:v>
      </x:c>
      <x:c r="AU170" t="n">
        <x:f>_xlfn.XLOOKUP($A170,Games!$A$2:$A$18,Games!$P$2:$P$18,"Missing game",0)</x:f>
        <x:v>68</x:v>
      </x:c>
      <x:c r="AV170" t="n">
        <x:f>_xlfn.XLOOKUP($A170,Games!$A$2:$A$18,Games!$Q$2:$Q$18,"Missing game",0)</x:f>
        <x:v>6</x:v>
      </x:c>
      <x:c r="AW170" t="str">
        <x:f>_xlfn.XLOOKUP($A170,Games!$A$2:$A$18,Games!$R$2:$R$18,"Missing game",0)</x:f>
        <x:v>Soldier Field</x:v>
      </x:c>
    </x:row>
    <x:row r="171">
      <x:c r="A171" t="str">
        <x:v>2025_01_MIN_CHI</x:v>
      </x:c>
      <x:c r="B171" t="n">
        <x:v>4306</x:v>
      </x:c>
      <x:c r="C171" t="n">
        <x:v>4</x:v>
      </x:c>
      <x:c r="D171" t="str">
        <x:v>01:02</x:v>
      </x:c>
      <x:c r="E171" t="n">
        <x:v>3</x:v>
      </x:c>
      <x:c r="F171" t="n">
        <x:v>6</x:v>
      </x:c>
      <x:c r="G171" t="str">
        <x:v>MIN</x:v>
      </x:c>
      <x:c r="H171" t="str">
        <x:v>CHI</x:v>
      </x:c>
      <x:c r="I171" t="str">
        <x:v>MIN</x:v>
      </x:c>
      <x:c r="J171" t="n">
        <x:v>70</x:v>
      </x:c>
      <x:c r="K171" t="str">
        <x:v>(1:02) 27-J.Mason left tackle to MIN 31 for 1 yard (99-G.Dexter).</x:v>
      </x:c>
      <x:c r="L171" t="str">
        <x:v>run</x:v>
      </x:c>
      <x:c r="M171" t="n">
        <x:v>1</x:v>
      </x:c>
      <x:c r="N171" t="n">
        <x:v>0</x:v>
      </x:c>
      <x:c r="O171" t="n">
        <x:v>0</x:v>
      </x:c>
      <x:c r="P171"/>
      <x:c r="Q171"/>
      <x:c r="R171"/>
      <x:c r="S171"/>
      <x:c r="T171" t="str">
        <x:v>left</x:v>
      </x:c>
      <x:c r="U171" t="str">
        <x:v>tackle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/>
      <x:c r="AC171" t="n">
        <x:v>0</x:v>
      </x:c>
      <x:c r="AD171" t="n">
        <x:v>-0.1526978790643625</x:v>
      </x:c>
      <x:c r="AE171" t="n">
        <x:v>0</x:v>
      </x:c>
      <x:c r="AF171" t="n">
        <x:v>-0.04413193464279175</x:v>
      </x:c>
      <x:c r="AG171" t="n">
        <x:f>_xlfn.XLOOKUP($A171,Games!$A$2:$A$18,Games!$B$2:$B$18,"Missing game",0)</x:f>
        <x:v>2025</x:v>
      </x:c>
      <x:c r="AH171" t="str">
        <x:f>_xlfn.XLOOKUP($A171,Games!$A$2:$A$18,Games!$C$2:$C$18,"Missing game",0)</x:f>
        <x:v>REG</x:v>
      </x:c>
      <x:c r="AI171" t="n">
        <x:f>_xlfn.XLOOKUP($A171,Games!$A$2:$A$18,Games!$D$2:$D$18,"Missing game",0)</x:f>
        <x:v>1</x:v>
      </x:c>
      <x:c r="AJ171" s="1" t="n">
        <x:f>_xlfn.XLOOKUP($A171,Games!$A$2:$A$18,Games!$E$2:$E$18,"Missing game",0)</x:f>
        <x:v>45908</x:v>
      </x:c>
      <x:c r="AK171" t="str">
        <x:f>_xlfn.XLOOKUP($A171,Games!$A$2:$A$18,Games!$F$2:$F$18,"Missing game",0)</x:f>
        <x:v>Monday</x:v>
      </x:c>
      <x:c r="AL171" t="str">
        <x:f>_xlfn.XLOOKUP($A171,Games!$A$2:$A$18,Games!$G$2:$G$18,"Missing game",0)</x:f>
        <x:v>MIN</x:v>
      </x:c>
      <x:c r="AM171" t="n">
        <x:f>_xlfn.XLOOKUP($A171,Games!$A$2:$A$18,Games!$H$2:$H$18,"Missing game",0)</x:f>
        <x:v>27</x:v>
      </x:c>
      <x:c r="AN171" t="str">
        <x:f>_xlfn.XLOOKUP($A171,Games!$A$2:$A$18,Games!$I$2:$I$18,"Missing game",0)</x:f>
        <x:v>CHI</x:v>
      </x:c>
      <x:c r="AO171" t="n">
        <x:f>_xlfn.XLOOKUP($A171,Games!$A$2:$A$18,Games!$J$2:$J$18,"Missing game",0)</x:f>
        <x:v>24</x:v>
      </x:c>
      <x:c r="AP171" t="n">
        <x:f>_xlfn.XLOOKUP($A171,Games!$A$2:$A$18,Games!$K$2:$K$18,"Missing game",0)</x:f>
        <x:v>-3</x:v>
      </x:c>
      <x:c r="AQ171" t="n">
        <x:f>_xlfn.XLOOKUP($A171,Games!$A$2:$A$18,Games!$L$2:$L$18,"Missing game",0)</x:f>
        <x:v>51</x:v>
      </x:c>
      <x:c r="AR171" t="n">
        <x:f>_xlfn.XLOOKUP($A171,Games!$A$2:$A$18,Games!$M$2:$M$18,"Missing game",0)</x:f>
        <x:v>0</x:v>
      </x:c>
      <x:c r="AS171" t="str">
        <x:f>_xlfn.XLOOKUP($A171,Games!$A$2:$A$18,Games!$N$2:$N$18,"Missing game",0)</x:f>
        <x:v>outdoors</x:v>
      </x:c>
      <x:c r="AT171" t="str">
        <x:f>_xlfn.XLOOKUP($A171,Games!$A$2:$A$18,Games!$O$2:$O$18,"Missing game",0)</x:f>
        <x:v>grass</x:v>
      </x:c>
      <x:c r="AU171" t="n">
        <x:f>_xlfn.XLOOKUP($A171,Games!$A$2:$A$18,Games!$P$2:$P$18,"Missing game",0)</x:f>
        <x:v>68</x:v>
      </x:c>
      <x:c r="AV171" t="n">
        <x:f>_xlfn.XLOOKUP($A171,Games!$A$2:$A$18,Games!$Q$2:$Q$18,"Missing game",0)</x:f>
        <x:v>6</x:v>
      </x:c>
      <x:c r="AW171" t="str">
        <x:f>_xlfn.XLOOKUP($A171,Games!$A$2:$A$18,Games!$R$2:$R$18,"Missing game",0)</x:f>
        <x:v>Soldier Field</x:v>
      </x:c>
    </x:row>
    <x:row r="172">
      <x:c r="A172" t="str">
        <x:v>2025_01_MIN_CHI</x:v>
      </x:c>
      <x:c r="B172" t="n">
        <x:v>4318</x:v>
      </x:c>
      <x:c r="C172" t="n">
        <x:v>4</x:v>
      </x:c>
      <x:c r="D172" t="str">
        <x:v>01:02</x:v>
      </x:c>
      <x:c r="E172"/>
      <x:c r="F172" t="n">
        <x:v>0</x:v>
      </x:c>
      <x:c r="G172"/>
      <x:c r="H172"/>
      <x:c r="I172"/>
      <x:c r="J172"/>
      <x:c r="K172" t="str">
        <x:v>Timeout #1 by MIN at 01:02.</x:v>
      </x:c>
      <x:c r="L172" t="str">
        <x:v>no_play</x:v>
      </x:c>
      <x:c r="M172" t="n">
        <x:v>0</x:v>
      </x:c>
      <x:c r="N172" t="n">
        <x:v>0</x:v>
      </x:c>
      <x:c r="O172" t="n">
        <x:v>0</x:v>
      </x:c>
      <x:c r="P172"/>
      <x:c r="Q172"/>
      <x:c r="R172"/>
      <x:c r="S172"/>
      <x:c r="T172"/>
      <x:c r="U172"/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/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f>_xlfn.XLOOKUP($A172,Games!$A$2:$A$18,Games!$B$2:$B$18,"Missing game",0)</x:f>
        <x:v>2025</x:v>
      </x:c>
      <x:c r="AH172" t="str">
        <x:f>_xlfn.XLOOKUP($A172,Games!$A$2:$A$18,Games!$C$2:$C$18,"Missing game",0)</x:f>
        <x:v>REG</x:v>
      </x:c>
      <x:c r="AI172" t="n">
        <x:f>_xlfn.XLOOKUP($A172,Games!$A$2:$A$18,Games!$D$2:$D$18,"Missing game",0)</x:f>
        <x:v>1</x:v>
      </x:c>
      <x:c r="AJ172" s="1" t="n">
        <x:f>_xlfn.XLOOKUP($A172,Games!$A$2:$A$18,Games!$E$2:$E$18,"Missing game",0)</x:f>
        <x:v>45908</x:v>
      </x:c>
      <x:c r="AK172" t="str">
        <x:f>_xlfn.XLOOKUP($A172,Games!$A$2:$A$18,Games!$F$2:$F$18,"Missing game",0)</x:f>
        <x:v>Monday</x:v>
      </x:c>
      <x:c r="AL172" t="str">
        <x:f>_xlfn.XLOOKUP($A172,Games!$A$2:$A$18,Games!$G$2:$G$18,"Missing game",0)</x:f>
        <x:v>MIN</x:v>
      </x:c>
      <x:c r="AM172" t="n">
        <x:f>_xlfn.XLOOKUP($A172,Games!$A$2:$A$18,Games!$H$2:$H$18,"Missing game",0)</x:f>
        <x:v>27</x:v>
      </x:c>
      <x:c r="AN172" t="str">
        <x:f>_xlfn.XLOOKUP($A172,Games!$A$2:$A$18,Games!$I$2:$I$18,"Missing game",0)</x:f>
        <x:v>CHI</x:v>
      </x:c>
      <x:c r="AO172" t="n">
        <x:f>_xlfn.XLOOKUP($A172,Games!$A$2:$A$18,Games!$J$2:$J$18,"Missing game",0)</x:f>
        <x:v>24</x:v>
      </x:c>
      <x:c r="AP172" t="n">
        <x:f>_xlfn.XLOOKUP($A172,Games!$A$2:$A$18,Games!$K$2:$K$18,"Missing game",0)</x:f>
        <x:v>-3</x:v>
      </x:c>
      <x:c r="AQ172" t="n">
        <x:f>_xlfn.XLOOKUP($A172,Games!$A$2:$A$18,Games!$L$2:$L$18,"Missing game",0)</x:f>
        <x:v>51</x:v>
      </x:c>
      <x:c r="AR172" t="n">
        <x:f>_xlfn.XLOOKUP($A172,Games!$A$2:$A$18,Games!$M$2:$M$18,"Missing game",0)</x:f>
        <x:v>0</x:v>
      </x:c>
      <x:c r="AS172" t="str">
        <x:f>_xlfn.XLOOKUP($A172,Games!$A$2:$A$18,Games!$N$2:$N$18,"Missing game",0)</x:f>
        <x:v>outdoors</x:v>
      </x:c>
      <x:c r="AT172" t="str">
        <x:f>_xlfn.XLOOKUP($A172,Games!$A$2:$A$18,Games!$O$2:$O$18,"Missing game",0)</x:f>
        <x:v>grass</x:v>
      </x:c>
      <x:c r="AU172" t="n">
        <x:f>_xlfn.XLOOKUP($A172,Games!$A$2:$A$18,Games!$P$2:$P$18,"Missing game",0)</x:f>
        <x:v>68</x:v>
      </x:c>
      <x:c r="AV172" t="n">
        <x:f>_xlfn.XLOOKUP($A172,Games!$A$2:$A$18,Games!$Q$2:$Q$18,"Missing game",0)</x:f>
        <x:v>6</x:v>
      </x:c>
      <x:c r="AW172" t="str">
        <x:f>_xlfn.XLOOKUP($A172,Games!$A$2:$A$18,Games!$R$2:$R$18,"Missing game",0)</x:f>
        <x:v>Soldier Field</x:v>
      </x:c>
    </x:row>
    <x:row r="173">
      <x:c r="A173" t="str">
        <x:v>2025_01_MIN_CHI</x:v>
      </x:c>
      <x:c r="B173" t="n">
        <x:v>4335</x:v>
      </x:c>
      <x:c r="C173" t="n">
        <x:v>4</x:v>
      </x:c>
      <x:c r="D173" t="str">
        <x:v>00:16</x:v>
      </x:c>
      <x:c r="E173" t="n">
        <x:v>4</x:v>
      </x:c>
      <x:c r="F173" t="n">
        <x:v>5</x:v>
      </x:c>
      <x:c r="G173" t="str">
        <x:v>MIN</x:v>
      </x:c>
      <x:c r="H173" t="str">
        <x:v>CHI</x:v>
      </x:c>
      <x:c r="I173" t="str">
        <x:v>MIN</x:v>
      </x:c>
      <x:c r="J173" t="n">
        <x:v>69</x:v>
      </x:c>
      <x:c r="K173" t="str">
        <x:v>(:16) 17-R.Wright punts 49 yards to CHI 20, Center-42-A.DePaola, fair catch by 12-D.Duvernay.</x:v>
      </x:c>
      <x:c r="L173" t="str">
        <x:v>punt</x:v>
      </x:c>
      <x:c r="M173" t="n">
        <x:v>0</x:v>
      </x:c>
      <x:c r="N173" t="n">
        <x:v>0</x:v>
      </x:c>
      <x:c r="O173" t="n">
        <x:v>0</x:v>
      </x:c>
      <x:c r="P173"/>
      <x:c r="Q173"/>
      <x:c r="R173"/>
      <x:c r="S173"/>
      <x:c r="T173"/>
      <x:c r="U173"/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/>
      <x:c r="AC173" t="n">
        <x:v>0</x:v>
      </x:c>
      <x:c r="AD173" t="n">
        <x:v>0.019655892479931936</x:v>
      </x:c>
      <x:c r="AE173" t="n">
        <x:v>1</x:v>
      </x:c>
      <x:c r="AF173" t="n">
        <x:v>0.05177876353263855</x:v>
      </x:c>
      <x:c r="AG173" t="n">
        <x:f>_xlfn.XLOOKUP($A173,Games!$A$2:$A$18,Games!$B$2:$B$18,"Missing game",0)</x:f>
        <x:v>2025</x:v>
      </x:c>
      <x:c r="AH173" t="str">
        <x:f>_xlfn.XLOOKUP($A173,Games!$A$2:$A$18,Games!$C$2:$C$18,"Missing game",0)</x:f>
        <x:v>REG</x:v>
      </x:c>
      <x:c r="AI173" t="n">
        <x:f>_xlfn.XLOOKUP($A173,Games!$A$2:$A$18,Games!$D$2:$D$18,"Missing game",0)</x:f>
        <x:v>1</x:v>
      </x:c>
      <x:c r="AJ173" s="1" t="n">
        <x:f>_xlfn.XLOOKUP($A173,Games!$A$2:$A$18,Games!$E$2:$E$18,"Missing game",0)</x:f>
        <x:v>45908</x:v>
      </x:c>
      <x:c r="AK173" t="str">
        <x:f>_xlfn.XLOOKUP($A173,Games!$A$2:$A$18,Games!$F$2:$F$18,"Missing game",0)</x:f>
        <x:v>Monday</x:v>
      </x:c>
      <x:c r="AL173" t="str">
        <x:f>_xlfn.XLOOKUP($A173,Games!$A$2:$A$18,Games!$G$2:$G$18,"Missing game",0)</x:f>
        <x:v>MIN</x:v>
      </x:c>
      <x:c r="AM173" t="n">
        <x:f>_xlfn.XLOOKUP($A173,Games!$A$2:$A$18,Games!$H$2:$H$18,"Missing game",0)</x:f>
        <x:v>27</x:v>
      </x:c>
      <x:c r="AN173" t="str">
        <x:f>_xlfn.XLOOKUP($A173,Games!$A$2:$A$18,Games!$I$2:$I$18,"Missing game",0)</x:f>
        <x:v>CHI</x:v>
      </x:c>
      <x:c r="AO173" t="n">
        <x:f>_xlfn.XLOOKUP($A173,Games!$A$2:$A$18,Games!$J$2:$J$18,"Missing game",0)</x:f>
        <x:v>24</x:v>
      </x:c>
      <x:c r="AP173" t="n">
        <x:f>_xlfn.XLOOKUP($A173,Games!$A$2:$A$18,Games!$K$2:$K$18,"Missing game",0)</x:f>
        <x:v>-3</x:v>
      </x:c>
      <x:c r="AQ173" t="n">
        <x:f>_xlfn.XLOOKUP($A173,Games!$A$2:$A$18,Games!$L$2:$L$18,"Missing game",0)</x:f>
        <x:v>51</x:v>
      </x:c>
      <x:c r="AR173" t="n">
        <x:f>_xlfn.XLOOKUP($A173,Games!$A$2:$A$18,Games!$M$2:$M$18,"Missing game",0)</x:f>
        <x:v>0</x:v>
      </x:c>
      <x:c r="AS173" t="str">
        <x:f>_xlfn.XLOOKUP($A173,Games!$A$2:$A$18,Games!$N$2:$N$18,"Missing game",0)</x:f>
        <x:v>outdoors</x:v>
      </x:c>
      <x:c r="AT173" t="str">
        <x:f>_xlfn.XLOOKUP($A173,Games!$A$2:$A$18,Games!$O$2:$O$18,"Missing game",0)</x:f>
        <x:v>grass</x:v>
      </x:c>
      <x:c r="AU173" t="n">
        <x:f>_xlfn.XLOOKUP($A173,Games!$A$2:$A$18,Games!$P$2:$P$18,"Missing game",0)</x:f>
        <x:v>68</x:v>
      </x:c>
      <x:c r="AV173" t="n">
        <x:f>_xlfn.XLOOKUP($A173,Games!$A$2:$A$18,Games!$Q$2:$Q$18,"Missing game",0)</x:f>
        <x:v>6</x:v>
      </x:c>
      <x:c r="AW173" t="str">
        <x:f>_xlfn.XLOOKUP($A173,Games!$A$2:$A$18,Games!$R$2:$R$18,"Missing game",0)</x:f>
        <x:v>Soldier Field</x:v>
      </x:c>
    </x:row>
    <x:row r="174">
      <x:c r="A174" t="str">
        <x:v>2025_01_MIN_CHI</x:v>
      </x:c>
      <x:c r="B174" t="n">
        <x:v>4347</x:v>
      </x:c>
      <x:c r="C174" t="n">
        <x:v>4</x:v>
      </x:c>
      <x:c r="D174" t="str">
        <x:v>00:16</x:v>
      </x:c>
      <x:c r="E174"/>
      <x:c r="F174" t="n">
        <x:v>0</x:v>
      </x:c>
      <x:c r="G174"/>
      <x:c r="H174"/>
      <x:c r="I174"/>
      <x:c r="J174"/>
      <x:c r="K174" t="str">
        <x:v>Timeout #2 by MIN at 00:16.</x:v>
      </x:c>
      <x:c r="L174" t="str">
        <x:v>no_play</x:v>
      </x:c>
      <x:c r="M174" t="n">
        <x:v>0</x:v>
      </x:c>
      <x:c r="N174" t="n">
        <x:v>0</x:v>
      </x:c>
      <x:c r="O174" t="n">
        <x:v>0</x:v>
      </x:c>
      <x:c r="P174"/>
      <x:c r="Q174"/>
      <x:c r="R174"/>
      <x:c r="S174"/>
      <x:c r="T174"/>
      <x:c r="U174"/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/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f>_xlfn.XLOOKUP($A174,Games!$A$2:$A$18,Games!$B$2:$B$18,"Missing game",0)</x:f>
        <x:v>2025</x:v>
      </x:c>
      <x:c r="AH174" t="str">
        <x:f>_xlfn.XLOOKUP($A174,Games!$A$2:$A$18,Games!$C$2:$C$18,"Missing game",0)</x:f>
        <x:v>REG</x:v>
      </x:c>
      <x:c r="AI174" t="n">
        <x:f>_xlfn.XLOOKUP($A174,Games!$A$2:$A$18,Games!$D$2:$D$18,"Missing game",0)</x:f>
        <x:v>1</x:v>
      </x:c>
      <x:c r="AJ174" s="1" t="n">
        <x:f>_xlfn.XLOOKUP($A174,Games!$A$2:$A$18,Games!$E$2:$E$18,"Missing game",0)</x:f>
        <x:v>45908</x:v>
      </x:c>
      <x:c r="AK174" t="str">
        <x:f>_xlfn.XLOOKUP($A174,Games!$A$2:$A$18,Games!$F$2:$F$18,"Missing game",0)</x:f>
        <x:v>Monday</x:v>
      </x:c>
      <x:c r="AL174" t="str">
        <x:f>_xlfn.XLOOKUP($A174,Games!$A$2:$A$18,Games!$G$2:$G$18,"Missing game",0)</x:f>
        <x:v>MIN</x:v>
      </x:c>
      <x:c r="AM174" t="n">
        <x:f>_xlfn.XLOOKUP($A174,Games!$A$2:$A$18,Games!$H$2:$H$18,"Missing game",0)</x:f>
        <x:v>27</x:v>
      </x:c>
      <x:c r="AN174" t="str">
        <x:f>_xlfn.XLOOKUP($A174,Games!$A$2:$A$18,Games!$I$2:$I$18,"Missing game",0)</x:f>
        <x:v>CHI</x:v>
      </x:c>
      <x:c r="AO174" t="n">
        <x:f>_xlfn.XLOOKUP($A174,Games!$A$2:$A$18,Games!$J$2:$J$18,"Missing game",0)</x:f>
        <x:v>24</x:v>
      </x:c>
      <x:c r="AP174" t="n">
        <x:f>_xlfn.XLOOKUP($A174,Games!$A$2:$A$18,Games!$K$2:$K$18,"Missing game",0)</x:f>
        <x:v>-3</x:v>
      </x:c>
      <x:c r="AQ174" t="n">
        <x:f>_xlfn.XLOOKUP($A174,Games!$A$2:$A$18,Games!$L$2:$L$18,"Missing game",0)</x:f>
        <x:v>51</x:v>
      </x:c>
      <x:c r="AR174" t="n">
        <x:f>_xlfn.XLOOKUP($A174,Games!$A$2:$A$18,Games!$M$2:$M$18,"Missing game",0)</x:f>
        <x:v>0</x:v>
      </x:c>
      <x:c r="AS174" t="str">
        <x:f>_xlfn.XLOOKUP($A174,Games!$A$2:$A$18,Games!$N$2:$N$18,"Missing game",0)</x:f>
        <x:v>outdoors</x:v>
      </x:c>
      <x:c r="AT174" t="str">
        <x:f>_xlfn.XLOOKUP($A174,Games!$A$2:$A$18,Games!$O$2:$O$18,"Missing game",0)</x:f>
        <x:v>grass</x:v>
      </x:c>
      <x:c r="AU174" t="n">
        <x:f>_xlfn.XLOOKUP($A174,Games!$A$2:$A$18,Games!$P$2:$P$18,"Missing game",0)</x:f>
        <x:v>68</x:v>
      </x:c>
      <x:c r="AV174" t="n">
        <x:f>_xlfn.XLOOKUP($A174,Games!$A$2:$A$18,Games!$Q$2:$Q$18,"Missing game",0)</x:f>
        <x:v>6</x:v>
      </x:c>
      <x:c r="AW174" t="str">
        <x:f>_xlfn.XLOOKUP($A174,Games!$A$2:$A$18,Games!$R$2:$R$18,"Missing game",0)</x:f>
        <x:v>Soldier Field</x:v>
      </x:c>
    </x:row>
    <x:row r="175">
      <x:c r="A175" t="str">
        <x:v>2025_01_MIN_CHI</x:v>
      </x:c>
      <x:c r="B175" t="n">
        <x:v>4362</x:v>
      </x:c>
      <x:c r="C175" t="n">
        <x:v>4</x:v>
      </x:c>
      <x:c r="D175" t="str">
        <x:v>00:09</x:v>
      </x:c>
      <x:c r="E175" t="n">
        <x:v>1</x:v>
      </x:c>
      <x:c r="F175" t="n">
        <x:v>10</x:v>
      </x:c>
      <x:c r="G175" t="str">
        <x:v>CHI</x:v>
      </x:c>
      <x:c r="H175" t="str">
        <x:v>MIN</x:v>
      </x:c>
      <x:c r="I175" t="str">
        <x:v>CHI</x:v>
      </x:c>
      <x:c r="J175" t="n">
        <x:v>80</x:v>
      </x:c>
      <x:c r="K175" t="str">
        <x:v>(:09) (Shotgun) 18-C.Williams Aborted. 52-D.Dalman FUMBLES at CHI 16, recovered by CHI-2-D.Moore at CHI 16. 2-D.Moore pushed ob at CHI 21 for 5 yards (2-I.Rodgers). ** Injury Update: CHI-2-D.Moore has returned to the game. PENALTY on CHI, Illegal Shift, 5 yards, enforced at CHI 20 - No Play.</x:v>
      </x:c>
      <x:c r="L175" t="str">
        <x:v>no_play</x:v>
      </x:c>
      <x:c r="M175" t="n">
        <x:v>0</x:v>
      </x:c>
      <x:c r="N175" t="n">
        <x:v>1</x:v>
      </x:c>
      <x:c r="O175" t="n">
        <x:v>0</x:v>
      </x:c>
      <x:c r="P175"/>
      <x:c r="Q175"/>
      <x:c r="R175"/>
      <x:c r="S175"/>
      <x:c r="T175"/>
      <x:c r="U175"/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1</x:v>
      </x:c>
      <x:c r="AB175" t="n">
        <x:v>5</x:v>
      </x:c>
      <x:c r="AC175" t="n">
        <x:v>0</x:v>
      </x:c>
      <x:c r="AD175" t="n">
        <x:v>-0.0680743106349837</x:v>
      </x:c>
      <x:c r="AE175" t="n">
        <x:v>0</x:v>
      </x:c>
      <x:c r="AF175" t="n">
        <x:v>-0.0077734291553497314</x:v>
      </x:c>
      <x:c r="AG175" t="n">
        <x:f>_xlfn.XLOOKUP($A175,Games!$A$2:$A$18,Games!$B$2:$B$18,"Missing game",0)</x:f>
        <x:v>2025</x:v>
      </x:c>
      <x:c r="AH175" t="str">
        <x:f>_xlfn.XLOOKUP($A175,Games!$A$2:$A$18,Games!$C$2:$C$18,"Missing game",0)</x:f>
        <x:v>REG</x:v>
      </x:c>
      <x:c r="AI175" t="n">
        <x:f>_xlfn.XLOOKUP($A175,Games!$A$2:$A$18,Games!$D$2:$D$18,"Missing game",0)</x:f>
        <x:v>1</x:v>
      </x:c>
      <x:c r="AJ175" s="1" t="n">
        <x:f>_xlfn.XLOOKUP($A175,Games!$A$2:$A$18,Games!$E$2:$E$18,"Missing game",0)</x:f>
        <x:v>45908</x:v>
      </x:c>
      <x:c r="AK175" t="str">
        <x:f>_xlfn.XLOOKUP($A175,Games!$A$2:$A$18,Games!$F$2:$F$18,"Missing game",0)</x:f>
        <x:v>Monday</x:v>
      </x:c>
      <x:c r="AL175" t="str">
        <x:f>_xlfn.XLOOKUP($A175,Games!$A$2:$A$18,Games!$G$2:$G$18,"Missing game",0)</x:f>
        <x:v>MIN</x:v>
      </x:c>
      <x:c r="AM175" t="n">
        <x:f>_xlfn.XLOOKUP($A175,Games!$A$2:$A$18,Games!$H$2:$H$18,"Missing game",0)</x:f>
        <x:v>27</x:v>
      </x:c>
      <x:c r="AN175" t="str">
        <x:f>_xlfn.XLOOKUP($A175,Games!$A$2:$A$18,Games!$I$2:$I$18,"Missing game",0)</x:f>
        <x:v>CHI</x:v>
      </x:c>
      <x:c r="AO175" t="n">
        <x:f>_xlfn.XLOOKUP($A175,Games!$A$2:$A$18,Games!$J$2:$J$18,"Missing game",0)</x:f>
        <x:v>24</x:v>
      </x:c>
      <x:c r="AP175" t="n">
        <x:f>_xlfn.XLOOKUP($A175,Games!$A$2:$A$18,Games!$K$2:$K$18,"Missing game",0)</x:f>
        <x:v>-3</x:v>
      </x:c>
      <x:c r="AQ175" t="n">
        <x:f>_xlfn.XLOOKUP($A175,Games!$A$2:$A$18,Games!$L$2:$L$18,"Missing game",0)</x:f>
        <x:v>51</x:v>
      </x:c>
      <x:c r="AR175" t="n">
        <x:f>_xlfn.XLOOKUP($A175,Games!$A$2:$A$18,Games!$M$2:$M$18,"Missing game",0)</x:f>
        <x:v>0</x:v>
      </x:c>
      <x:c r="AS175" t="str">
        <x:f>_xlfn.XLOOKUP($A175,Games!$A$2:$A$18,Games!$N$2:$N$18,"Missing game",0)</x:f>
        <x:v>outdoors</x:v>
      </x:c>
      <x:c r="AT175" t="str">
        <x:f>_xlfn.XLOOKUP($A175,Games!$A$2:$A$18,Games!$O$2:$O$18,"Missing game",0)</x:f>
        <x:v>grass</x:v>
      </x:c>
      <x:c r="AU175" t="n">
        <x:f>_xlfn.XLOOKUP($A175,Games!$A$2:$A$18,Games!$P$2:$P$18,"Missing game",0)</x:f>
        <x:v>68</x:v>
      </x:c>
      <x:c r="AV175" t="n">
        <x:f>_xlfn.XLOOKUP($A175,Games!$A$2:$A$18,Games!$Q$2:$Q$18,"Missing game",0)</x:f>
        <x:v>6</x:v>
      </x:c>
      <x:c r="AW175" t="str">
        <x:f>_xlfn.XLOOKUP($A175,Games!$A$2:$A$18,Games!$R$2:$R$18,"Missing game",0)</x:f>
        <x:v>Soldier Field</x:v>
      </x:c>
    </x:row>
    <x:row r="176">
      <x:c r="A176" t="str">
        <x:v>2025_01_MIN_CHI</x:v>
      </x:c>
      <x:c r="B176" t="n">
        <x:v>4400</x:v>
      </x:c>
      <x:c r="C176" t="n">
        <x:v>4</x:v>
      </x:c>
      <x:c r="D176" t="str">
        <x:v>00:05</x:v>
      </x:c>
      <x:c r="E176" t="n">
        <x:v>1</x:v>
      </x:c>
      <x:c r="F176" t="n">
        <x:v>15</x:v>
      </x:c>
      <x:c r="G176" t="str">
        <x:v>CHI</x:v>
      </x:c>
      <x:c r="H176" t="str">
        <x:v>MIN</x:v>
      </x:c>
      <x:c r="I176" t="str">
        <x:v>CHI</x:v>
      </x:c>
      <x:c r="J176" t="n">
        <x:v>85</x:v>
      </x:c>
      <x:c r="K176" t="str">
        <x:v>(:05) (Shotgun) 18-C.Williams pass short right to 15-R.Odunze to CHI 23 for 8 yards. Lateral to 2-D.Moore to CHI 36 for 13 yards (44-J.Metellus, 37-T.Thomas). FUMBLES (37-T.Thomas), touched at CHI 34, RECOVERED by MIN-24-J.Ward at CHI 35. MIN-8-J.Okudah was injured during the play.</x:v>
      </x:c>
      <x:c r="L176" t="str">
        <x:v>pass</x:v>
      </x:c>
      <x:c r="M176" t="n">
        <x:v>19</x:v>
      </x:c>
      <x:c r="N176" t="n">
        <x:v>1</x:v>
      </x:c>
      <x:c r="O176" t="n">
        <x:v>0</x:v>
      </x:c>
      <x:c r="P176" t="str">
        <x:v>short</x:v>
      </x:c>
      <x:c r="Q176" t="str">
        <x:v>right</x:v>
      </x:c>
      <x:c r="R176" t="n">
        <x:v>8</x:v>
      </x:c>
      <x:c r="S176" t="n">
        <x:v>0</x:v>
      </x:c>
      <x:c r="T176"/>
      <x:c r="U176"/>
      <x:c r="V176" t="n">
        <x:v>1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0</x:v>
      </x:c>
      <x:c r="AB176"/>
      <x:c r="AC176" t="n">
        <x:v>0</x:v>
      </x:c>
      <x:c r="AD176" t="n">
        <x:v>0.049861259874887764</x:v>
      </x:c>
      <x:c r="AE176" t="n">
        <x:v>1</x:v>
      </x:c>
      <x:c r="AF176" t="n">
        <x:v>-0.06613439321517944</x:v>
      </x:c>
      <x:c r="AG176" t="n">
        <x:f>_xlfn.XLOOKUP($A176,Games!$A$2:$A$18,Games!$B$2:$B$18,"Missing game",0)</x:f>
        <x:v>2025</x:v>
      </x:c>
      <x:c r="AH176" t="str">
        <x:f>_xlfn.XLOOKUP($A176,Games!$A$2:$A$18,Games!$C$2:$C$18,"Missing game",0)</x:f>
        <x:v>REG</x:v>
      </x:c>
      <x:c r="AI176" t="n">
        <x:f>_xlfn.XLOOKUP($A176,Games!$A$2:$A$18,Games!$D$2:$D$18,"Missing game",0)</x:f>
        <x:v>1</x:v>
      </x:c>
      <x:c r="AJ176" s="1" t="n">
        <x:f>_xlfn.XLOOKUP($A176,Games!$A$2:$A$18,Games!$E$2:$E$18,"Missing game",0)</x:f>
        <x:v>45908</x:v>
      </x:c>
      <x:c r="AK176" t="str">
        <x:f>_xlfn.XLOOKUP($A176,Games!$A$2:$A$18,Games!$F$2:$F$18,"Missing game",0)</x:f>
        <x:v>Monday</x:v>
      </x:c>
      <x:c r="AL176" t="str">
        <x:f>_xlfn.XLOOKUP($A176,Games!$A$2:$A$18,Games!$G$2:$G$18,"Missing game",0)</x:f>
        <x:v>MIN</x:v>
      </x:c>
      <x:c r="AM176" t="n">
        <x:f>_xlfn.XLOOKUP($A176,Games!$A$2:$A$18,Games!$H$2:$H$18,"Missing game",0)</x:f>
        <x:v>27</x:v>
      </x:c>
      <x:c r="AN176" t="str">
        <x:f>_xlfn.XLOOKUP($A176,Games!$A$2:$A$18,Games!$I$2:$I$18,"Missing game",0)</x:f>
        <x:v>CHI</x:v>
      </x:c>
      <x:c r="AO176" t="n">
        <x:f>_xlfn.XLOOKUP($A176,Games!$A$2:$A$18,Games!$J$2:$J$18,"Missing game",0)</x:f>
        <x:v>24</x:v>
      </x:c>
      <x:c r="AP176" t="n">
        <x:f>_xlfn.XLOOKUP($A176,Games!$A$2:$A$18,Games!$K$2:$K$18,"Missing game",0)</x:f>
        <x:v>-3</x:v>
      </x:c>
      <x:c r="AQ176" t="n">
        <x:f>_xlfn.XLOOKUP($A176,Games!$A$2:$A$18,Games!$L$2:$L$18,"Missing game",0)</x:f>
        <x:v>51</x:v>
      </x:c>
      <x:c r="AR176" t="n">
        <x:f>_xlfn.XLOOKUP($A176,Games!$A$2:$A$18,Games!$M$2:$M$18,"Missing game",0)</x:f>
        <x:v>0</x:v>
      </x:c>
      <x:c r="AS176" t="str">
        <x:f>_xlfn.XLOOKUP($A176,Games!$A$2:$A$18,Games!$N$2:$N$18,"Missing game",0)</x:f>
        <x:v>outdoors</x:v>
      </x:c>
      <x:c r="AT176" t="str">
        <x:f>_xlfn.XLOOKUP($A176,Games!$A$2:$A$18,Games!$O$2:$O$18,"Missing game",0)</x:f>
        <x:v>grass</x:v>
      </x:c>
      <x:c r="AU176" t="n">
        <x:f>_xlfn.XLOOKUP($A176,Games!$A$2:$A$18,Games!$P$2:$P$18,"Missing game",0)</x:f>
        <x:v>68</x:v>
      </x:c>
      <x:c r="AV176" t="n">
        <x:f>_xlfn.XLOOKUP($A176,Games!$A$2:$A$18,Games!$Q$2:$Q$18,"Missing game",0)</x:f>
        <x:v>6</x:v>
      </x:c>
      <x:c r="AW176" t="str">
        <x:f>_xlfn.XLOOKUP($A176,Games!$A$2:$A$18,Games!$R$2:$R$18,"Missing game",0)</x:f>
        <x:v>Soldier Field</x:v>
      </x:c>
    </x:row>
    <x:row r="177">
      <x:c r="A177" t="str">
        <x:v>2025_01_MIN_CHI</x:v>
      </x:c>
      <x:c r="B177" t="n">
        <x:v>4451</x:v>
      </x:c>
      <x:c r="C177" t="n">
        <x:v>4</x:v>
      </x:c>
      <x:c r="D177" t="str">
        <x:v>00:00</x:v>
      </x:c>
      <x:c r="E177"/>
      <x:c r="F177" t="n">
        <x:v>0</x:v>
      </x:c>
      <x:c r="G177" t="str">
        <x:v>CHI</x:v>
      </x:c>
      <x:c r="H177" t="str">
        <x:v>MIN</x:v>
      </x:c>
      <x:c r="I177"/>
      <x:c r="J177"/>
      <x:c r="K177" t="str">
        <x:v>END GAME</x:v>
      </x:c>
      <x:c r="L177"/>
      <x:c r="M177"/>
      <x:c r="N177" t="n">
        <x:v>0</x:v>
      </x:c>
      <x:c r="O177" t="n">
        <x:v>0</x:v>
      </x:c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 t="n">
        <x:f>_xlfn.XLOOKUP($A177,Games!$A$2:$A$18,Games!$B$2:$B$18,"Missing game",0)</x:f>
        <x:v>2025</x:v>
      </x:c>
      <x:c r="AH177" t="str">
        <x:f>_xlfn.XLOOKUP($A177,Games!$A$2:$A$18,Games!$C$2:$C$18,"Missing game",0)</x:f>
        <x:v>REG</x:v>
      </x:c>
      <x:c r="AI177" t="n">
        <x:f>_xlfn.XLOOKUP($A177,Games!$A$2:$A$18,Games!$D$2:$D$18,"Missing game",0)</x:f>
        <x:v>1</x:v>
      </x:c>
      <x:c r="AJ177" s="1" t="n">
        <x:f>_xlfn.XLOOKUP($A177,Games!$A$2:$A$18,Games!$E$2:$E$18,"Missing game",0)</x:f>
        <x:v>45908</x:v>
      </x:c>
      <x:c r="AK177" t="str">
        <x:f>_xlfn.XLOOKUP($A177,Games!$A$2:$A$18,Games!$F$2:$F$18,"Missing game",0)</x:f>
        <x:v>Monday</x:v>
      </x:c>
      <x:c r="AL177" t="str">
        <x:f>_xlfn.XLOOKUP($A177,Games!$A$2:$A$18,Games!$G$2:$G$18,"Missing game",0)</x:f>
        <x:v>MIN</x:v>
      </x:c>
      <x:c r="AM177" t="n">
        <x:f>_xlfn.XLOOKUP($A177,Games!$A$2:$A$18,Games!$H$2:$H$18,"Missing game",0)</x:f>
        <x:v>27</x:v>
      </x:c>
      <x:c r="AN177" t="str">
        <x:f>_xlfn.XLOOKUP($A177,Games!$A$2:$A$18,Games!$I$2:$I$18,"Missing game",0)</x:f>
        <x:v>CHI</x:v>
      </x:c>
      <x:c r="AO177" t="n">
        <x:f>_xlfn.XLOOKUP($A177,Games!$A$2:$A$18,Games!$J$2:$J$18,"Missing game",0)</x:f>
        <x:v>24</x:v>
      </x:c>
      <x:c r="AP177" t="n">
        <x:f>_xlfn.XLOOKUP($A177,Games!$A$2:$A$18,Games!$K$2:$K$18,"Missing game",0)</x:f>
        <x:v>-3</x:v>
      </x:c>
      <x:c r="AQ177" t="n">
        <x:f>_xlfn.XLOOKUP($A177,Games!$A$2:$A$18,Games!$L$2:$L$18,"Missing game",0)</x:f>
        <x:v>51</x:v>
      </x:c>
      <x:c r="AR177" t="n">
        <x:f>_xlfn.XLOOKUP($A177,Games!$A$2:$A$18,Games!$M$2:$M$18,"Missing game",0)</x:f>
        <x:v>0</x:v>
      </x:c>
      <x:c r="AS177" t="str">
        <x:f>_xlfn.XLOOKUP($A177,Games!$A$2:$A$18,Games!$N$2:$N$18,"Missing game",0)</x:f>
        <x:v>outdoors</x:v>
      </x:c>
      <x:c r="AT177" t="str">
        <x:f>_xlfn.XLOOKUP($A177,Games!$A$2:$A$18,Games!$O$2:$O$18,"Missing game",0)</x:f>
        <x:v>grass</x:v>
      </x:c>
      <x:c r="AU177" t="n">
        <x:f>_xlfn.XLOOKUP($A177,Games!$A$2:$A$18,Games!$P$2:$P$18,"Missing game",0)</x:f>
        <x:v>68</x:v>
      </x:c>
      <x:c r="AV177" t="n">
        <x:f>_xlfn.XLOOKUP($A177,Games!$A$2:$A$18,Games!$Q$2:$Q$18,"Missing game",0)</x:f>
        <x:v>6</x:v>
      </x:c>
      <x:c r="AW177" t="str">
        <x:f>_xlfn.XLOOKUP($A177,Games!$A$2:$A$18,Games!$R$2:$R$18,"Missing game",0)</x:f>
        <x:v>Soldier Field</x:v>
      </x:c>
    </x:row>
    <x:row r="178">
      <x:c r="A178" t="str">
        <x:v>2025_02_ATL_MIN</x:v>
      </x:c>
      <x:c r="B178" t="n">
        <x:v>1</x:v>
      </x:c>
      <x:c r="C178" t="n">
        <x:v>1</x:v>
      </x:c>
      <x:c r="D178" t="str">
        <x:v>15:00</x:v>
      </x:c>
      <x:c r="E178"/>
      <x:c r="F178" t="n">
        <x:v>0</x:v>
      </x:c>
      <x:c r="G178"/>
      <x:c r="H178"/>
      <x:c r="I178"/>
      <x:c r="J178"/>
      <x:c r="K178" t="str">
        <x:v>GAME</x:v>
      </x:c>
      <x:c r="L178"/>
      <x:c r="M178"/>
      <x:c r="N178" t="n">
        <x:v>0</x:v>
      </x:c>
      <x:c r="O178" t="n">
        <x:v>0</x:v>
      </x:c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 t="n">
        <x:v>0</x:v>
      </x:c>
      <x:c r="AE178" t="n">
        <x:v>0</x:v>
      </x:c>
      <x:c r="AF178" t="n">
        <x:v>0</x:v>
      </x:c>
      <x:c r="AG178" t="n">
        <x:f>_xlfn.XLOOKUP($A178,Games!$A$2:$A$18,Games!$B$2:$B$18,"Missing game",0)</x:f>
        <x:v>2025</x:v>
      </x:c>
      <x:c r="AH178" t="str">
        <x:f>_xlfn.XLOOKUP($A178,Games!$A$2:$A$18,Games!$C$2:$C$18,"Missing game",0)</x:f>
        <x:v>REG</x:v>
      </x:c>
      <x:c r="AI178" t="n">
        <x:f>_xlfn.XLOOKUP($A178,Games!$A$2:$A$18,Games!$D$2:$D$18,"Missing game",0)</x:f>
        <x:v>2</x:v>
      </x:c>
      <x:c r="AJ178" s="1" t="n">
        <x:f>_xlfn.XLOOKUP($A178,Games!$A$2:$A$18,Games!$E$2:$E$18,"Missing game",0)</x:f>
        <x:v>45914</x:v>
      </x:c>
      <x:c r="AK178" t="str">
        <x:f>_xlfn.XLOOKUP($A178,Games!$A$2:$A$18,Games!$F$2:$F$18,"Missing game",0)</x:f>
        <x:v>Sunday</x:v>
      </x:c>
      <x:c r="AL178" t="str">
        <x:f>_xlfn.XLOOKUP($A178,Games!$A$2:$A$18,Games!$G$2:$G$18,"Missing game",0)</x:f>
        <x:v>ATL</x:v>
      </x:c>
      <x:c r="AM178" t="n">
        <x:f>_xlfn.XLOOKUP($A178,Games!$A$2:$A$18,Games!$H$2:$H$18,"Missing game",0)</x:f>
        <x:v>22</x:v>
      </x:c>
      <x:c r="AN178" t="str">
        <x:f>_xlfn.XLOOKUP($A178,Games!$A$2:$A$18,Games!$I$2:$I$18,"Missing game",0)</x:f>
        <x:v>MIN</x:v>
      </x:c>
      <x:c r="AO178" t="n">
        <x:f>_xlfn.XLOOKUP($A178,Games!$A$2:$A$18,Games!$J$2:$J$18,"Missing game",0)</x:f>
        <x:v>6</x:v>
      </x:c>
      <x:c r="AP178" t="n">
        <x:f>_xlfn.XLOOKUP($A178,Games!$A$2:$A$18,Games!$K$2:$K$18,"Missing game",0)</x:f>
        <x:v>-16</x:v>
      </x:c>
      <x:c r="AQ178" t="n">
        <x:f>_xlfn.XLOOKUP($A178,Games!$A$2:$A$18,Games!$L$2:$L$18,"Missing game",0)</x:f>
        <x:v>28</x:v>
      </x:c>
      <x:c r="AR178" t="n">
        <x:f>_xlfn.XLOOKUP($A178,Games!$A$2:$A$18,Games!$M$2:$M$18,"Missing game",0)</x:f>
        <x:v>0</x:v>
      </x:c>
      <x:c r="AS178" t="str">
        <x:f>_xlfn.XLOOKUP($A178,Games!$A$2:$A$18,Games!$N$2:$N$18,"Missing game",0)</x:f>
        <x:v>dome</x:v>
      </x:c>
      <x:c r="AT178" t="str">
        <x:f>_xlfn.XLOOKUP($A178,Games!$A$2:$A$18,Games!$O$2:$O$18,"Missing game",0)</x:f>
        <x:v>sportturf</x:v>
      </x:c>
      <x:c r="AU178" t="str">
        <x:f>_xlfn.XLOOKUP($A178,Games!$A$2:$A$18,Games!$P$2:$P$18,"Missing game",0)</x:f>
      </x:c>
      <x:c r="AV178" t="str">
        <x:f>_xlfn.XLOOKUP($A178,Games!$A$2:$A$18,Games!$Q$2:$Q$18,"Missing game",0)</x:f>
      </x:c>
      <x:c r="AW178" t="str">
        <x:f>_xlfn.XLOOKUP($A178,Games!$A$2:$A$18,Games!$R$2:$R$18,"Missing game",0)</x:f>
        <x:v>U.S. Bank Stadium</x:v>
      </x:c>
    </x:row>
    <x:row r="179">
      <x:c r="A179" t="str">
        <x:v>2025_02_ATL_MIN</x:v>
      </x:c>
      <x:c r="B179" t="n">
        <x:v>40</x:v>
      </x:c>
      <x:c r="C179" t="n">
        <x:v>1</x:v>
      </x:c>
      <x:c r="D179" t="str">
        <x:v>15:00</x:v>
      </x:c>
      <x:c r="E179"/>
      <x:c r="F179" t="n">
        <x:v>0</x:v>
      </x:c>
      <x:c r="G179" t="str">
        <x:v>ATL</x:v>
      </x:c>
      <x:c r="H179" t="str">
        <x:v>MIN</x:v>
      </x:c>
      <x:c r="I179" t="str">
        <x:v>MIN</x:v>
      </x:c>
      <x:c r="J179" t="n">
        <x:v>35</x:v>
      </x:c>
      <x:c r="K179" t="str">
        <x:v>16-W.Reichard kicks 65 yards from MIN 35 to end zone, Touchback to the ATL 35.</x:v>
      </x:c>
      <x:c r="L179" t="str">
        <x:v>kickoff</x:v>
      </x:c>
      <x:c r="M179" t="n">
        <x:v>0</x:v>
      </x:c>
      <x:c r="N179" t="n">
        <x:v>0</x:v>
      </x:c>
      <x:c r="O179" t="n">
        <x:v>0</x:v>
      </x:c>
      <x:c r="P179"/>
      <x:c r="Q179"/>
      <x:c r="R179"/>
      <x:c r="S179"/>
      <x:c r="T179"/>
      <x:c r="U179"/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/>
      <x:c r="AC179" t="n">
        <x:v>0</x:v>
      </x:c>
      <x:c r="AD179" t="n">
        <x:v>0.499796514865011</x:v>
      </x:c>
      <x:c r="AE179" t="n">
        <x:v>1</x:v>
      </x:c>
      <x:c r="AF179" t="n">
        <x:v>0.015445202589035034</x:v>
      </x:c>
      <x:c r="AG179" t="n">
        <x:f>_xlfn.XLOOKUP($A179,Games!$A$2:$A$18,Games!$B$2:$B$18,"Missing game",0)</x:f>
        <x:v>2025</x:v>
      </x:c>
      <x:c r="AH179" t="str">
        <x:f>_xlfn.XLOOKUP($A179,Games!$A$2:$A$18,Games!$C$2:$C$18,"Missing game",0)</x:f>
        <x:v>REG</x:v>
      </x:c>
      <x:c r="AI179" t="n">
        <x:f>_xlfn.XLOOKUP($A179,Games!$A$2:$A$18,Games!$D$2:$D$18,"Missing game",0)</x:f>
        <x:v>2</x:v>
      </x:c>
      <x:c r="AJ179" s="1" t="n">
        <x:f>_xlfn.XLOOKUP($A179,Games!$A$2:$A$18,Games!$E$2:$E$18,"Missing game",0)</x:f>
        <x:v>45914</x:v>
      </x:c>
      <x:c r="AK179" t="str">
        <x:f>_xlfn.XLOOKUP($A179,Games!$A$2:$A$18,Games!$F$2:$F$18,"Missing game",0)</x:f>
        <x:v>Sunday</x:v>
      </x:c>
      <x:c r="AL179" t="str">
        <x:f>_xlfn.XLOOKUP($A179,Games!$A$2:$A$18,Games!$G$2:$G$18,"Missing game",0)</x:f>
        <x:v>ATL</x:v>
      </x:c>
      <x:c r="AM179" t="n">
        <x:f>_xlfn.XLOOKUP($A179,Games!$A$2:$A$18,Games!$H$2:$H$18,"Missing game",0)</x:f>
        <x:v>22</x:v>
      </x:c>
      <x:c r="AN179" t="str">
        <x:f>_xlfn.XLOOKUP($A179,Games!$A$2:$A$18,Games!$I$2:$I$18,"Missing game",0)</x:f>
        <x:v>MIN</x:v>
      </x:c>
      <x:c r="AO179" t="n">
        <x:f>_xlfn.XLOOKUP($A179,Games!$A$2:$A$18,Games!$J$2:$J$18,"Missing game",0)</x:f>
        <x:v>6</x:v>
      </x:c>
      <x:c r="AP179" t="n">
        <x:f>_xlfn.XLOOKUP($A179,Games!$A$2:$A$18,Games!$K$2:$K$18,"Missing game",0)</x:f>
        <x:v>-16</x:v>
      </x:c>
      <x:c r="AQ179" t="n">
        <x:f>_xlfn.XLOOKUP($A179,Games!$A$2:$A$18,Games!$L$2:$L$18,"Missing game",0)</x:f>
        <x:v>28</x:v>
      </x:c>
      <x:c r="AR179" t="n">
        <x:f>_xlfn.XLOOKUP($A179,Games!$A$2:$A$18,Games!$M$2:$M$18,"Missing game",0)</x:f>
        <x:v>0</x:v>
      </x:c>
      <x:c r="AS179" t="str">
        <x:f>_xlfn.XLOOKUP($A179,Games!$A$2:$A$18,Games!$N$2:$N$18,"Missing game",0)</x:f>
        <x:v>dome</x:v>
      </x:c>
      <x:c r="AT179" t="str">
        <x:f>_xlfn.XLOOKUP($A179,Games!$A$2:$A$18,Games!$O$2:$O$18,"Missing game",0)</x:f>
        <x:v>sportturf</x:v>
      </x:c>
      <x:c r="AU179" t="str">
        <x:f>_xlfn.XLOOKUP($A179,Games!$A$2:$A$18,Games!$P$2:$P$18,"Missing game",0)</x:f>
      </x:c>
      <x:c r="AV179" t="str">
        <x:f>_xlfn.XLOOKUP($A179,Games!$A$2:$A$18,Games!$Q$2:$Q$18,"Missing game",0)</x:f>
      </x:c>
      <x:c r="AW179" t="str">
        <x:f>_xlfn.XLOOKUP($A179,Games!$A$2:$A$18,Games!$R$2:$R$18,"Missing game",0)</x:f>
        <x:v>U.S. Bank Stadium</x:v>
      </x:c>
    </x:row>
    <x:row r="180">
      <x:c r="A180" t="str">
        <x:v>2025_02_ATL_MIN</x:v>
      </x:c>
      <x:c r="B180" t="n">
        <x:v>57</x:v>
      </x:c>
      <x:c r="C180" t="n">
        <x:v>1</x:v>
      </x:c>
      <x:c r="D180" t="str">
        <x:v>15:00</x:v>
      </x:c>
      <x:c r="E180" t="n">
        <x:v>1</x:v>
      </x:c>
      <x:c r="F180" t="n">
        <x:v>10</x:v>
      </x:c>
      <x:c r="G180" t="str">
        <x:v>ATL</x:v>
      </x:c>
      <x:c r="H180" t="str">
        <x:v>MIN</x:v>
      </x:c>
      <x:c r="I180" t="str">
        <x:v>ATL</x:v>
      </x:c>
      <x:c r="J180" t="n">
        <x:v>65</x:v>
      </x:c>
      <x:c r="K180" t="str">
        <x:v>(15:00) (Shotgun) 7-B.Robinson left tackle to MIN 40 for 25 yards (26-T.Jackson).</x:v>
      </x:c>
      <x:c r="L180" t="str">
        <x:v>run</x:v>
      </x:c>
      <x:c r="M180" t="n">
        <x:v>25</x:v>
      </x:c>
      <x:c r="N180" t="n">
        <x:v>1</x:v>
      </x:c>
      <x:c r="O180" t="n">
        <x:v>0</x:v>
      </x:c>
      <x:c r="P180"/>
      <x:c r="Q180"/>
      <x:c r="R180"/>
      <x:c r="S180"/>
      <x:c r="T180" t="str">
        <x:v>left</x:v>
      </x:c>
      <x:c r="U180" t="str">
        <x:v>tackle</x:v>
      </x:c>
      <x:c r="V180" t="n">
        <x:v>0</x:v>
      </x:c>
      <x:c r="W180" t="n">
        <x:v>1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/>
      <x:c r="AC180" t="n">
        <x:v>0</x:v>
      </x:c>
      <x:c r="AD180" t="n">
        <x:v>1.8952390179038048</x:v>
      </x:c>
      <x:c r="AE180" t="n">
        <x:v>1</x:v>
      </x:c>
      <x:c r="AF180" t="n">
        <x:v>0.06354081630706787</x:v>
      </x:c>
      <x:c r="AG180" t="n">
        <x:f>_xlfn.XLOOKUP($A180,Games!$A$2:$A$18,Games!$B$2:$B$18,"Missing game",0)</x:f>
        <x:v>2025</x:v>
      </x:c>
      <x:c r="AH180" t="str">
        <x:f>_xlfn.XLOOKUP($A180,Games!$A$2:$A$18,Games!$C$2:$C$18,"Missing game",0)</x:f>
        <x:v>REG</x:v>
      </x:c>
      <x:c r="AI180" t="n">
        <x:f>_xlfn.XLOOKUP($A180,Games!$A$2:$A$18,Games!$D$2:$D$18,"Missing game",0)</x:f>
        <x:v>2</x:v>
      </x:c>
      <x:c r="AJ180" s="1" t="n">
        <x:f>_xlfn.XLOOKUP($A180,Games!$A$2:$A$18,Games!$E$2:$E$18,"Missing game",0)</x:f>
        <x:v>45914</x:v>
      </x:c>
      <x:c r="AK180" t="str">
        <x:f>_xlfn.XLOOKUP($A180,Games!$A$2:$A$18,Games!$F$2:$F$18,"Missing game",0)</x:f>
        <x:v>Sunday</x:v>
      </x:c>
      <x:c r="AL180" t="str">
        <x:f>_xlfn.XLOOKUP($A180,Games!$A$2:$A$18,Games!$G$2:$G$18,"Missing game",0)</x:f>
        <x:v>ATL</x:v>
      </x:c>
      <x:c r="AM180" t="n">
        <x:f>_xlfn.XLOOKUP($A180,Games!$A$2:$A$18,Games!$H$2:$H$18,"Missing game",0)</x:f>
        <x:v>22</x:v>
      </x:c>
      <x:c r="AN180" t="str">
        <x:f>_xlfn.XLOOKUP($A180,Games!$A$2:$A$18,Games!$I$2:$I$18,"Missing game",0)</x:f>
        <x:v>MIN</x:v>
      </x:c>
      <x:c r="AO180" t="n">
        <x:f>_xlfn.XLOOKUP($A180,Games!$A$2:$A$18,Games!$J$2:$J$18,"Missing game",0)</x:f>
        <x:v>6</x:v>
      </x:c>
      <x:c r="AP180" t="n">
        <x:f>_xlfn.XLOOKUP($A180,Games!$A$2:$A$18,Games!$K$2:$K$18,"Missing game",0)</x:f>
        <x:v>-16</x:v>
      </x:c>
      <x:c r="AQ180" t="n">
        <x:f>_xlfn.XLOOKUP($A180,Games!$A$2:$A$18,Games!$L$2:$L$18,"Missing game",0)</x:f>
        <x:v>28</x:v>
      </x:c>
      <x:c r="AR180" t="n">
        <x:f>_xlfn.XLOOKUP($A180,Games!$A$2:$A$18,Games!$M$2:$M$18,"Missing game",0)</x:f>
        <x:v>0</x:v>
      </x:c>
      <x:c r="AS180" t="str">
        <x:f>_xlfn.XLOOKUP($A180,Games!$A$2:$A$18,Games!$N$2:$N$18,"Missing game",0)</x:f>
        <x:v>dome</x:v>
      </x:c>
      <x:c r="AT180" t="str">
        <x:f>_xlfn.XLOOKUP($A180,Games!$A$2:$A$18,Games!$O$2:$O$18,"Missing game",0)</x:f>
        <x:v>sportturf</x:v>
      </x:c>
      <x:c r="AU180" t="str">
        <x:f>_xlfn.XLOOKUP($A180,Games!$A$2:$A$18,Games!$P$2:$P$18,"Missing game",0)</x:f>
      </x:c>
      <x:c r="AV180" t="str">
        <x:f>_xlfn.XLOOKUP($A180,Games!$A$2:$A$18,Games!$Q$2:$Q$18,"Missing game",0)</x:f>
      </x:c>
      <x:c r="AW180" t="str">
        <x:f>_xlfn.XLOOKUP($A180,Games!$A$2:$A$18,Games!$R$2:$R$18,"Missing game",0)</x:f>
        <x:v>U.S. Bank Stadium</x:v>
      </x:c>
    </x:row>
    <x:row r="181">
      <x:c r="A181" t="str">
        <x:v>2025_02_ATL_MIN</x:v>
      </x:c>
      <x:c r="B181" t="n">
        <x:v>79</x:v>
      </x:c>
      <x:c r="C181" t="n">
        <x:v>1</x:v>
      </x:c>
      <x:c r="D181" t="str">
        <x:v>14:20</x:v>
      </x:c>
      <x:c r="E181" t="n">
        <x:v>1</x:v>
      </x:c>
      <x:c r="F181" t="n">
        <x:v>10</x:v>
      </x:c>
      <x:c r="G181" t="str">
        <x:v>ATL</x:v>
      </x:c>
      <x:c r="H181" t="str">
        <x:v>MIN</x:v>
      </x:c>
      <x:c r="I181" t="str">
        <x:v>MIN</x:v>
      </x:c>
      <x:c r="J181" t="n">
        <x:v>40</x:v>
      </x:c>
      <x:c r="K181" t="str">
        <x:v>(14:20) (Shotgun) 7-B.Robinson right tackle to MIN 23 for 17 yards (7-B.Murphy; 26-T.Jackson).</x:v>
      </x:c>
      <x:c r="L181" t="str">
        <x:v>run</x:v>
      </x:c>
      <x:c r="M181" t="n">
        <x:v>17</x:v>
      </x:c>
      <x:c r="N181" t="n">
        <x:v>1</x:v>
      </x:c>
      <x:c r="O181" t="n">
        <x:v>0</x:v>
      </x:c>
      <x:c r="P181"/>
      <x:c r="Q181"/>
      <x:c r="R181"/>
      <x:c r="S181"/>
      <x:c r="T181" t="str">
        <x:v>right</x:v>
      </x:c>
      <x:c r="U181" t="str">
        <x:v>tackle</x:v>
      </x:c>
      <x:c r="V181" t="n">
        <x:v>0</x:v>
      </x:c>
      <x:c r="W181" t="n">
        <x:v>1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/>
      <x:c r="AC181" t="n">
        <x:v>0</x:v>
      </x:c>
      <x:c r="AD181" t="n">
        <x:v>1.1801370639586821</x:v>
      </x:c>
      <x:c r="AE181" t="n">
        <x:v>1</x:v>
      </x:c>
      <x:c r="AF181" t="n">
        <x:v>0.048534512519836426</x:v>
      </x:c>
      <x:c r="AG181" t="n">
        <x:f>_xlfn.XLOOKUP($A181,Games!$A$2:$A$18,Games!$B$2:$B$18,"Missing game",0)</x:f>
        <x:v>2025</x:v>
      </x:c>
      <x:c r="AH181" t="str">
        <x:f>_xlfn.XLOOKUP($A181,Games!$A$2:$A$18,Games!$C$2:$C$18,"Missing game",0)</x:f>
        <x:v>REG</x:v>
      </x:c>
      <x:c r="AI181" t="n">
        <x:f>_xlfn.XLOOKUP($A181,Games!$A$2:$A$18,Games!$D$2:$D$18,"Missing game",0)</x:f>
        <x:v>2</x:v>
      </x:c>
      <x:c r="AJ181" s="1" t="n">
        <x:f>_xlfn.XLOOKUP($A181,Games!$A$2:$A$18,Games!$E$2:$E$18,"Missing game",0)</x:f>
        <x:v>45914</x:v>
      </x:c>
      <x:c r="AK181" t="str">
        <x:f>_xlfn.XLOOKUP($A181,Games!$A$2:$A$18,Games!$F$2:$F$18,"Missing game",0)</x:f>
        <x:v>Sunday</x:v>
      </x:c>
      <x:c r="AL181" t="str">
        <x:f>_xlfn.XLOOKUP($A181,Games!$A$2:$A$18,Games!$G$2:$G$18,"Missing game",0)</x:f>
        <x:v>ATL</x:v>
      </x:c>
      <x:c r="AM181" t="n">
        <x:f>_xlfn.XLOOKUP($A181,Games!$A$2:$A$18,Games!$H$2:$H$18,"Missing game",0)</x:f>
        <x:v>22</x:v>
      </x:c>
      <x:c r="AN181" t="str">
        <x:f>_xlfn.XLOOKUP($A181,Games!$A$2:$A$18,Games!$I$2:$I$18,"Missing game",0)</x:f>
        <x:v>MIN</x:v>
      </x:c>
      <x:c r="AO181" t="n">
        <x:f>_xlfn.XLOOKUP($A181,Games!$A$2:$A$18,Games!$J$2:$J$18,"Missing game",0)</x:f>
        <x:v>6</x:v>
      </x:c>
      <x:c r="AP181" t="n">
        <x:f>_xlfn.XLOOKUP($A181,Games!$A$2:$A$18,Games!$K$2:$K$18,"Missing game",0)</x:f>
        <x:v>-16</x:v>
      </x:c>
      <x:c r="AQ181" t="n">
        <x:f>_xlfn.XLOOKUP($A181,Games!$A$2:$A$18,Games!$L$2:$L$18,"Missing game",0)</x:f>
        <x:v>28</x:v>
      </x:c>
      <x:c r="AR181" t="n">
        <x:f>_xlfn.XLOOKUP($A181,Games!$A$2:$A$18,Games!$M$2:$M$18,"Missing game",0)</x:f>
        <x:v>0</x:v>
      </x:c>
      <x:c r="AS181" t="str">
        <x:f>_xlfn.XLOOKUP($A181,Games!$A$2:$A$18,Games!$N$2:$N$18,"Missing game",0)</x:f>
        <x:v>dome</x:v>
      </x:c>
      <x:c r="AT181" t="str">
        <x:f>_xlfn.XLOOKUP($A181,Games!$A$2:$A$18,Games!$O$2:$O$18,"Missing game",0)</x:f>
        <x:v>sportturf</x:v>
      </x:c>
      <x:c r="AU181" t="str">
        <x:f>_xlfn.XLOOKUP($A181,Games!$A$2:$A$18,Games!$P$2:$P$18,"Missing game",0)</x:f>
      </x:c>
      <x:c r="AV181" t="str">
        <x:f>_xlfn.XLOOKUP($A181,Games!$A$2:$A$18,Games!$Q$2:$Q$18,"Missing game",0)</x:f>
      </x:c>
      <x:c r="AW181" t="str">
        <x:f>_xlfn.XLOOKUP($A181,Games!$A$2:$A$18,Games!$R$2:$R$18,"Missing game",0)</x:f>
        <x:v>U.S. Bank Stadium</x:v>
      </x:c>
    </x:row>
    <x:row r="182">
      <x:c r="A182" t="str">
        <x:v>2025_02_ATL_MIN</x:v>
      </x:c>
      <x:c r="B182" t="n">
        <x:v>101</x:v>
      </x:c>
      <x:c r="C182" t="n">
        <x:v>1</x:v>
      </x:c>
      <x:c r="D182" t="str">
        <x:v>13:40</x:v>
      </x:c>
      <x:c r="E182" t="n">
        <x:v>1</x:v>
      </x:c>
      <x:c r="F182" t="n">
        <x:v>10</x:v>
      </x:c>
      <x:c r="G182" t="str">
        <x:v>ATL</x:v>
      </x:c>
      <x:c r="H182" t="str">
        <x:v>MIN</x:v>
      </x:c>
      <x:c r="I182" t="str">
        <x:v>MIN</x:v>
      </x:c>
      <x:c r="J182" t="n">
        <x:v>23</x:v>
      </x:c>
      <x:c r="K182" t="str">
        <x:v>(13:40) (Shotgun) 7-B.Robinson right tackle to MIN 18 for 5 yards (15-D.Turner; 61-J.Redmond).</x:v>
      </x:c>
      <x:c r="L182" t="str">
        <x:v>run</x:v>
      </x:c>
      <x:c r="M182" t="n">
        <x:v>5</x:v>
      </x:c>
      <x:c r="N182" t="n">
        <x:v>1</x:v>
      </x:c>
      <x:c r="O182" t="n">
        <x:v>0</x:v>
      </x:c>
      <x:c r="P182"/>
      <x:c r="Q182"/>
      <x:c r="R182"/>
      <x:c r="S182"/>
      <x:c r="T182" t="str">
        <x:v>right</x:v>
      </x:c>
      <x:c r="U182" t="str">
        <x:v>tackle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/>
      <x:c r="AC182" t="n">
        <x:v>0</x:v>
      </x:c>
      <x:c r="AD182" t="n">
        <x:v>0.19774275401141495</x:v>
      </x:c>
      <x:c r="AE182" t="n">
        <x:v>1</x:v>
      </x:c>
      <x:c r="AF182" t="n">
        <x:v>-0.013125240802764893</x:v>
      </x:c>
      <x:c r="AG182" t="n">
        <x:f>_xlfn.XLOOKUP($A182,Games!$A$2:$A$18,Games!$B$2:$B$18,"Missing game",0)</x:f>
        <x:v>2025</x:v>
      </x:c>
      <x:c r="AH182" t="str">
        <x:f>_xlfn.XLOOKUP($A182,Games!$A$2:$A$18,Games!$C$2:$C$18,"Missing game",0)</x:f>
        <x:v>REG</x:v>
      </x:c>
      <x:c r="AI182" t="n">
        <x:f>_xlfn.XLOOKUP($A182,Games!$A$2:$A$18,Games!$D$2:$D$18,"Missing game",0)</x:f>
        <x:v>2</x:v>
      </x:c>
      <x:c r="AJ182" s="1" t="n">
        <x:f>_xlfn.XLOOKUP($A182,Games!$A$2:$A$18,Games!$E$2:$E$18,"Missing game",0)</x:f>
        <x:v>45914</x:v>
      </x:c>
      <x:c r="AK182" t="str">
        <x:f>_xlfn.XLOOKUP($A182,Games!$A$2:$A$18,Games!$F$2:$F$18,"Missing game",0)</x:f>
        <x:v>Sunday</x:v>
      </x:c>
      <x:c r="AL182" t="str">
        <x:f>_xlfn.XLOOKUP($A182,Games!$A$2:$A$18,Games!$G$2:$G$18,"Missing game",0)</x:f>
        <x:v>ATL</x:v>
      </x:c>
      <x:c r="AM182" t="n">
        <x:f>_xlfn.XLOOKUP($A182,Games!$A$2:$A$18,Games!$H$2:$H$18,"Missing game",0)</x:f>
        <x:v>22</x:v>
      </x:c>
      <x:c r="AN182" t="str">
        <x:f>_xlfn.XLOOKUP($A182,Games!$A$2:$A$18,Games!$I$2:$I$18,"Missing game",0)</x:f>
        <x:v>MIN</x:v>
      </x:c>
      <x:c r="AO182" t="n">
        <x:f>_xlfn.XLOOKUP($A182,Games!$A$2:$A$18,Games!$J$2:$J$18,"Missing game",0)</x:f>
        <x:v>6</x:v>
      </x:c>
      <x:c r="AP182" t="n">
        <x:f>_xlfn.XLOOKUP($A182,Games!$A$2:$A$18,Games!$K$2:$K$18,"Missing game",0)</x:f>
        <x:v>-16</x:v>
      </x:c>
      <x:c r="AQ182" t="n">
        <x:f>_xlfn.XLOOKUP($A182,Games!$A$2:$A$18,Games!$L$2:$L$18,"Missing game",0)</x:f>
        <x:v>28</x:v>
      </x:c>
      <x:c r="AR182" t="n">
        <x:f>_xlfn.XLOOKUP($A182,Games!$A$2:$A$18,Games!$M$2:$M$18,"Missing game",0)</x:f>
        <x:v>0</x:v>
      </x:c>
      <x:c r="AS182" t="str">
        <x:f>_xlfn.XLOOKUP($A182,Games!$A$2:$A$18,Games!$N$2:$N$18,"Missing game",0)</x:f>
        <x:v>dome</x:v>
      </x:c>
      <x:c r="AT182" t="str">
        <x:f>_xlfn.XLOOKUP($A182,Games!$A$2:$A$18,Games!$O$2:$O$18,"Missing game",0)</x:f>
        <x:v>sportturf</x:v>
      </x:c>
      <x:c r="AU182" t="str">
        <x:f>_xlfn.XLOOKUP($A182,Games!$A$2:$A$18,Games!$P$2:$P$18,"Missing game",0)</x:f>
      </x:c>
      <x:c r="AV182" t="str">
        <x:f>_xlfn.XLOOKUP($A182,Games!$A$2:$A$18,Games!$Q$2:$Q$18,"Missing game",0)</x:f>
      </x:c>
      <x:c r="AW182" t="str">
        <x:f>_xlfn.XLOOKUP($A182,Games!$A$2:$A$18,Games!$R$2:$R$18,"Missing game",0)</x:f>
        <x:v>U.S. Bank Stadium</x:v>
      </x:c>
    </x:row>
    <x:row r="183">
      <x:c r="A183" t="str">
        <x:v>2025_02_ATL_MIN</x:v>
      </x:c>
      <x:c r="B183" t="n">
        <x:v>123</x:v>
      </x:c>
      <x:c r="C183" t="n">
        <x:v>1</x:v>
      </x:c>
      <x:c r="D183" t="str">
        <x:v>13:00</x:v>
      </x:c>
      <x:c r="E183" t="n">
        <x:v>2</x:v>
      </x:c>
      <x:c r="F183" t="n">
        <x:v>5</x:v>
      </x:c>
      <x:c r="G183" t="str">
        <x:v>ATL</x:v>
      </x:c>
      <x:c r="H183" t="str">
        <x:v>MIN</x:v>
      </x:c>
      <x:c r="I183" t="str">
        <x:v>MIN</x:v>
      </x:c>
      <x:c r="J183" t="n">
        <x:v>18</x:v>
      </x:c>
      <x:c r="K183" t="str">
        <x:v>(13:00) (Shotgun) 7-B.Robinson left guard to MIN 18 for no gain (93-J.Allen).</x:v>
      </x:c>
      <x:c r="L183" t="str">
        <x:v>run</x:v>
      </x:c>
      <x:c r="M183" t="n">
        <x:v>0</x:v>
      </x:c>
      <x:c r="N183" t="n">
        <x:v>1</x:v>
      </x:c>
      <x:c r="O183" t="n">
        <x:v>0</x:v>
      </x:c>
      <x:c r="P183"/>
      <x:c r="Q183"/>
      <x:c r="R183"/>
      <x:c r="S183"/>
      <x:c r="T183" t="str">
        <x:v>left</x:v>
      </x:c>
      <x:c r="U183" t="str">
        <x:v>guard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/>
      <x:c r="AC183" t="n">
        <x:v>0</x:v>
      </x:c>
      <x:c r="AD183" t="n">
        <x:v>-0.8003350743092597</x:v>
      </x:c>
      <x:c r="AE183" t="n">
        <x:v>0</x:v>
      </x:c>
      <x:c r="AF183" t="n">
        <x:v>-0.029458463191986084</x:v>
      </x:c>
      <x:c r="AG183" t="n">
        <x:f>_xlfn.XLOOKUP($A183,Games!$A$2:$A$18,Games!$B$2:$B$18,"Missing game",0)</x:f>
        <x:v>2025</x:v>
      </x:c>
      <x:c r="AH183" t="str">
        <x:f>_xlfn.XLOOKUP($A183,Games!$A$2:$A$18,Games!$C$2:$C$18,"Missing game",0)</x:f>
        <x:v>REG</x:v>
      </x:c>
      <x:c r="AI183" t="n">
        <x:f>_xlfn.XLOOKUP($A183,Games!$A$2:$A$18,Games!$D$2:$D$18,"Missing game",0)</x:f>
        <x:v>2</x:v>
      </x:c>
      <x:c r="AJ183" s="1" t="n">
        <x:f>_xlfn.XLOOKUP($A183,Games!$A$2:$A$18,Games!$E$2:$E$18,"Missing game",0)</x:f>
        <x:v>45914</x:v>
      </x:c>
      <x:c r="AK183" t="str">
        <x:f>_xlfn.XLOOKUP($A183,Games!$A$2:$A$18,Games!$F$2:$F$18,"Missing game",0)</x:f>
        <x:v>Sunday</x:v>
      </x:c>
      <x:c r="AL183" t="str">
        <x:f>_xlfn.XLOOKUP($A183,Games!$A$2:$A$18,Games!$G$2:$G$18,"Missing game",0)</x:f>
        <x:v>ATL</x:v>
      </x:c>
      <x:c r="AM183" t="n">
        <x:f>_xlfn.XLOOKUP($A183,Games!$A$2:$A$18,Games!$H$2:$H$18,"Missing game",0)</x:f>
        <x:v>22</x:v>
      </x:c>
      <x:c r="AN183" t="str">
        <x:f>_xlfn.XLOOKUP($A183,Games!$A$2:$A$18,Games!$I$2:$I$18,"Missing game",0)</x:f>
        <x:v>MIN</x:v>
      </x:c>
      <x:c r="AO183" t="n">
        <x:f>_xlfn.XLOOKUP($A183,Games!$A$2:$A$18,Games!$J$2:$J$18,"Missing game",0)</x:f>
        <x:v>6</x:v>
      </x:c>
      <x:c r="AP183" t="n">
        <x:f>_xlfn.XLOOKUP($A183,Games!$A$2:$A$18,Games!$K$2:$K$18,"Missing game",0)</x:f>
        <x:v>-16</x:v>
      </x:c>
      <x:c r="AQ183" t="n">
        <x:f>_xlfn.XLOOKUP($A183,Games!$A$2:$A$18,Games!$L$2:$L$18,"Missing game",0)</x:f>
        <x:v>28</x:v>
      </x:c>
      <x:c r="AR183" t="n">
        <x:f>_xlfn.XLOOKUP($A183,Games!$A$2:$A$18,Games!$M$2:$M$18,"Missing game",0)</x:f>
        <x:v>0</x:v>
      </x:c>
      <x:c r="AS183" t="str">
        <x:f>_xlfn.XLOOKUP($A183,Games!$A$2:$A$18,Games!$N$2:$N$18,"Missing game",0)</x:f>
        <x:v>dome</x:v>
      </x:c>
      <x:c r="AT183" t="str">
        <x:f>_xlfn.XLOOKUP($A183,Games!$A$2:$A$18,Games!$O$2:$O$18,"Missing game",0)</x:f>
        <x:v>sportturf</x:v>
      </x:c>
      <x:c r="AU183" t="str">
        <x:f>_xlfn.XLOOKUP($A183,Games!$A$2:$A$18,Games!$P$2:$P$18,"Missing game",0)</x:f>
      </x:c>
      <x:c r="AV183" t="str">
        <x:f>_xlfn.XLOOKUP($A183,Games!$A$2:$A$18,Games!$Q$2:$Q$18,"Missing game",0)</x:f>
      </x:c>
      <x:c r="AW183" t="str">
        <x:f>_xlfn.XLOOKUP($A183,Games!$A$2:$A$18,Games!$R$2:$R$18,"Missing game",0)</x:f>
        <x:v>U.S. Bank Stadium</x:v>
      </x:c>
    </x:row>
    <x:row r="184">
      <x:c r="A184" t="str">
        <x:v>2025_02_ATL_MIN</x:v>
      </x:c>
      <x:c r="B184" t="n">
        <x:v>145</x:v>
      </x:c>
      <x:c r="C184" t="n">
        <x:v>1</x:v>
      </x:c>
      <x:c r="D184" t="str">
        <x:v>12:16</x:v>
      </x:c>
      <x:c r="E184" t="n">
        <x:v>3</x:v>
      </x:c>
      <x:c r="F184" t="n">
        <x:v>5</x:v>
      </x:c>
      <x:c r="G184" t="str">
        <x:v>ATL</x:v>
      </x:c>
      <x:c r="H184" t="str">
        <x:v>MIN</x:v>
      </x:c>
      <x:c r="I184" t="str">
        <x:v>MIN</x:v>
      </x:c>
      <x:c r="J184" t="n">
        <x:v>18</x:v>
      </x:c>
      <x:c r="K184" t="str">
        <x:v>(12:16) (Shotgun) PENALTY on ATL-70-J.Matthews, False Start, 5 yards, enforced at MIN 18 - No Play.</x:v>
      </x:c>
      <x:c r="L184" t="str">
        <x:v>no_play</x:v>
      </x:c>
      <x:c r="M184" t="n">
        <x:v>0</x:v>
      </x:c>
      <x:c r="N184" t="n">
        <x:v>1</x:v>
      </x:c>
      <x:c r="O184" t="n">
        <x:v>0</x:v>
      </x:c>
      <x:c r="P184"/>
      <x:c r="Q184"/>
      <x:c r="R184"/>
      <x:c r="S184"/>
      <x:c r="T184"/>
      <x:c r="U184"/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1</x:v>
      </x:c>
      <x:c r="AB184" t="n">
        <x:v>5</x:v>
      </x:c>
      <x:c r="AC184" t="n">
        <x:v>0</x:v>
      </x:c>
      <x:c r="AD184" t="n">
        <x:v>-0.4659286158857867</x:v>
      </x:c>
      <x:c r="AE184" t="n">
        <x:v>0</x:v>
      </x:c>
      <x:c r="AF184" t="n">
        <x:v>-0.010967433452606201</x:v>
      </x:c>
      <x:c r="AG184" t="n">
        <x:f>_xlfn.XLOOKUP($A184,Games!$A$2:$A$18,Games!$B$2:$B$18,"Missing game",0)</x:f>
        <x:v>2025</x:v>
      </x:c>
      <x:c r="AH184" t="str">
        <x:f>_xlfn.XLOOKUP($A184,Games!$A$2:$A$18,Games!$C$2:$C$18,"Missing game",0)</x:f>
        <x:v>REG</x:v>
      </x:c>
      <x:c r="AI184" t="n">
        <x:f>_xlfn.XLOOKUP($A184,Games!$A$2:$A$18,Games!$D$2:$D$18,"Missing game",0)</x:f>
        <x:v>2</x:v>
      </x:c>
      <x:c r="AJ184" s="1" t="n">
        <x:f>_xlfn.XLOOKUP($A184,Games!$A$2:$A$18,Games!$E$2:$E$18,"Missing game",0)</x:f>
        <x:v>45914</x:v>
      </x:c>
      <x:c r="AK184" t="str">
        <x:f>_xlfn.XLOOKUP($A184,Games!$A$2:$A$18,Games!$F$2:$F$18,"Missing game",0)</x:f>
        <x:v>Sunday</x:v>
      </x:c>
      <x:c r="AL184" t="str">
        <x:f>_xlfn.XLOOKUP($A184,Games!$A$2:$A$18,Games!$G$2:$G$18,"Missing game",0)</x:f>
        <x:v>ATL</x:v>
      </x:c>
      <x:c r="AM184" t="n">
        <x:f>_xlfn.XLOOKUP($A184,Games!$A$2:$A$18,Games!$H$2:$H$18,"Missing game",0)</x:f>
        <x:v>22</x:v>
      </x:c>
      <x:c r="AN184" t="str">
        <x:f>_xlfn.XLOOKUP($A184,Games!$A$2:$A$18,Games!$I$2:$I$18,"Missing game",0)</x:f>
        <x:v>MIN</x:v>
      </x:c>
      <x:c r="AO184" t="n">
        <x:f>_xlfn.XLOOKUP($A184,Games!$A$2:$A$18,Games!$J$2:$J$18,"Missing game",0)</x:f>
        <x:v>6</x:v>
      </x:c>
      <x:c r="AP184" t="n">
        <x:f>_xlfn.XLOOKUP($A184,Games!$A$2:$A$18,Games!$K$2:$K$18,"Missing game",0)</x:f>
        <x:v>-16</x:v>
      </x:c>
      <x:c r="AQ184" t="n">
        <x:f>_xlfn.XLOOKUP($A184,Games!$A$2:$A$18,Games!$L$2:$L$18,"Missing game",0)</x:f>
        <x:v>28</x:v>
      </x:c>
      <x:c r="AR184" t="n">
        <x:f>_xlfn.XLOOKUP($A184,Games!$A$2:$A$18,Games!$M$2:$M$18,"Missing game",0)</x:f>
        <x:v>0</x:v>
      </x:c>
      <x:c r="AS184" t="str">
        <x:f>_xlfn.XLOOKUP($A184,Games!$A$2:$A$18,Games!$N$2:$N$18,"Missing game",0)</x:f>
        <x:v>dome</x:v>
      </x:c>
      <x:c r="AT184" t="str">
        <x:f>_xlfn.XLOOKUP($A184,Games!$A$2:$A$18,Games!$O$2:$O$18,"Missing game",0)</x:f>
        <x:v>sportturf</x:v>
      </x:c>
      <x:c r="AU184" t="str">
        <x:f>_xlfn.XLOOKUP($A184,Games!$A$2:$A$18,Games!$P$2:$P$18,"Missing game",0)</x:f>
      </x:c>
      <x:c r="AV184" t="str">
        <x:f>_xlfn.XLOOKUP($A184,Games!$A$2:$A$18,Games!$Q$2:$Q$18,"Missing game",0)</x:f>
      </x:c>
      <x:c r="AW184" t="str">
        <x:f>_xlfn.XLOOKUP($A184,Games!$A$2:$A$18,Games!$R$2:$R$18,"Missing game",0)</x:f>
        <x:v>U.S. Bank Stadium</x:v>
      </x:c>
    </x:row>
    <x:row r="185">
      <x:c r="A185" t="str">
        <x:v>2025_02_ATL_MIN</x:v>
      </x:c>
      <x:c r="B185" t="n">
        <x:v>157</x:v>
      </x:c>
      <x:c r="C185" t="n">
        <x:v>1</x:v>
      </x:c>
      <x:c r="D185" t="str">
        <x:v>12:16</x:v>
      </x:c>
      <x:c r="E185"/>
      <x:c r="F185" t="n">
        <x:v>0</x:v>
      </x:c>
      <x:c r="G185"/>
      <x:c r="H185"/>
      <x:c r="I185"/>
      <x:c r="J185"/>
      <x:c r="K185" t="str">
        <x:v>Timeout #1 by ATL at 12:16.</x:v>
      </x:c>
      <x:c r="L185" t="str">
        <x:v>no_play</x:v>
      </x:c>
      <x:c r="M185" t="n">
        <x:v>0</x:v>
      </x:c>
      <x:c r="N185" t="n">
        <x:v>0</x:v>
      </x:c>
      <x:c r="O185" t="n">
        <x:v>0</x:v>
      </x:c>
      <x:c r="P185"/>
      <x:c r="Q185"/>
      <x:c r="R185"/>
      <x:c r="S185"/>
      <x:c r="T185"/>
      <x:c r="U185"/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/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f>_xlfn.XLOOKUP($A185,Games!$A$2:$A$18,Games!$B$2:$B$18,"Missing game",0)</x:f>
        <x:v>2025</x:v>
      </x:c>
      <x:c r="AH185" t="str">
        <x:f>_xlfn.XLOOKUP($A185,Games!$A$2:$A$18,Games!$C$2:$C$18,"Missing game",0)</x:f>
        <x:v>REG</x:v>
      </x:c>
      <x:c r="AI185" t="n">
        <x:f>_xlfn.XLOOKUP($A185,Games!$A$2:$A$18,Games!$D$2:$D$18,"Missing game",0)</x:f>
        <x:v>2</x:v>
      </x:c>
      <x:c r="AJ185" s="1" t="n">
        <x:f>_xlfn.XLOOKUP($A185,Games!$A$2:$A$18,Games!$E$2:$E$18,"Missing game",0)</x:f>
        <x:v>45914</x:v>
      </x:c>
      <x:c r="AK185" t="str">
        <x:f>_xlfn.XLOOKUP($A185,Games!$A$2:$A$18,Games!$F$2:$F$18,"Missing game",0)</x:f>
        <x:v>Sunday</x:v>
      </x:c>
      <x:c r="AL185" t="str">
        <x:f>_xlfn.XLOOKUP($A185,Games!$A$2:$A$18,Games!$G$2:$G$18,"Missing game",0)</x:f>
        <x:v>ATL</x:v>
      </x:c>
      <x:c r="AM185" t="n">
        <x:f>_xlfn.XLOOKUP($A185,Games!$A$2:$A$18,Games!$H$2:$H$18,"Missing game",0)</x:f>
        <x:v>22</x:v>
      </x:c>
      <x:c r="AN185" t="str">
        <x:f>_xlfn.XLOOKUP($A185,Games!$A$2:$A$18,Games!$I$2:$I$18,"Missing game",0)</x:f>
        <x:v>MIN</x:v>
      </x:c>
      <x:c r="AO185" t="n">
        <x:f>_xlfn.XLOOKUP($A185,Games!$A$2:$A$18,Games!$J$2:$J$18,"Missing game",0)</x:f>
        <x:v>6</x:v>
      </x:c>
      <x:c r="AP185" t="n">
        <x:f>_xlfn.XLOOKUP($A185,Games!$A$2:$A$18,Games!$K$2:$K$18,"Missing game",0)</x:f>
        <x:v>-16</x:v>
      </x:c>
      <x:c r="AQ185" t="n">
        <x:f>_xlfn.XLOOKUP($A185,Games!$A$2:$A$18,Games!$L$2:$L$18,"Missing game",0)</x:f>
        <x:v>28</x:v>
      </x:c>
      <x:c r="AR185" t="n">
        <x:f>_xlfn.XLOOKUP($A185,Games!$A$2:$A$18,Games!$M$2:$M$18,"Missing game",0)</x:f>
        <x:v>0</x:v>
      </x:c>
      <x:c r="AS185" t="str">
        <x:f>_xlfn.XLOOKUP($A185,Games!$A$2:$A$18,Games!$N$2:$N$18,"Missing game",0)</x:f>
        <x:v>dome</x:v>
      </x:c>
      <x:c r="AT185" t="str">
        <x:f>_xlfn.XLOOKUP($A185,Games!$A$2:$A$18,Games!$O$2:$O$18,"Missing game",0)</x:f>
        <x:v>sportturf</x:v>
      </x:c>
      <x:c r="AU185" t="str">
        <x:f>_xlfn.XLOOKUP($A185,Games!$A$2:$A$18,Games!$P$2:$P$18,"Missing game",0)</x:f>
      </x:c>
      <x:c r="AV185" t="str">
        <x:f>_xlfn.XLOOKUP($A185,Games!$A$2:$A$18,Games!$Q$2:$Q$18,"Missing game",0)</x:f>
      </x:c>
      <x:c r="AW185" t="str">
        <x:f>_xlfn.XLOOKUP($A185,Games!$A$2:$A$18,Games!$R$2:$R$18,"Missing game",0)</x:f>
        <x:v>U.S. Bank Stadium</x:v>
      </x:c>
    </x:row>
    <x:row r="186">
      <x:c r="A186" t="str">
        <x:v>2025_02_ATL_MIN</x:v>
      </x:c>
      <x:c r="B186" t="n">
        <x:v>176</x:v>
      </x:c>
      <x:c r="C186" t="n">
        <x:v>1</x:v>
      </x:c>
      <x:c r="D186" t="str">
        <x:v>12:16</x:v>
      </x:c>
      <x:c r="E186" t="n">
        <x:v>3</x:v>
      </x:c>
      <x:c r="F186" t="n">
        <x:v>10</x:v>
      </x:c>
      <x:c r="G186" t="str">
        <x:v>ATL</x:v>
      </x:c>
      <x:c r="H186" t="str">
        <x:v>MIN</x:v>
      </x:c>
      <x:c r="I186" t="str">
        <x:v>MIN</x:v>
      </x:c>
      <x:c r="J186" t="n">
        <x:v>23</x:v>
      </x:c>
      <x:c r="K186" t="str">
        <x:v>(12:16) (Shotgun) 9-M.Penix pass short right to 8-K.Pitts to MIN 15 for 8 yards (44-J.Metellus).</x:v>
      </x:c>
      <x:c r="L186" t="str">
        <x:v>pass</x:v>
      </x:c>
      <x:c r="M186" t="n">
        <x:v>8</x:v>
      </x:c>
      <x:c r="N186" t="n">
        <x:v>1</x:v>
      </x:c>
      <x:c r="O186" t="n">
        <x:v>0</x:v>
      </x:c>
      <x:c r="P186" t="str">
        <x:v>short</x:v>
      </x:c>
      <x:c r="Q186" t="str">
        <x:v>right</x:v>
      </x:c>
      <x:c r="R186" t="n">
        <x:v>6</x:v>
      </x:c>
      <x:c r="S186" t="n">
        <x:v>2</x:v>
      </x:c>
      <x:c r="T186"/>
      <x:c r="U186"/>
      <x:c r="V186" t="n">
        <x:v>1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/>
      <x:c r="AC186" t="n">
        <x:v>0</x:v>
      </x:c>
      <x:c r="AD186" t="n">
        <x:v>-0.5697740104515105</x:v>
      </x:c>
      <x:c r="AE186" t="n">
        <x:v>0</x:v>
      </x:c>
      <x:c r="AF186" t="n">
        <x:v>-0.021303564310073853</x:v>
      </x:c>
      <x:c r="AG186" t="n">
        <x:f>_xlfn.XLOOKUP($A186,Games!$A$2:$A$18,Games!$B$2:$B$18,"Missing game",0)</x:f>
        <x:v>2025</x:v>
      </x:c>
      <x:c r="AH186" t="str">
        <x:f>_xlfn.XLOOKUP($A186,Games!$A$2:$A$18,Games!$C$2:$C$18,"Missing game",0)</x:f>
        <x:v>REG</x:v>
      </x:c>
      <x:c r="AI186" t="n">
        <x:f>_xlfn.XLOOKUP($A186,Games!$A$2:$A$18,Games!$D$2:$D$18,"Missing game",0)</x:f>
        <x:v>2</x:v>
      </x:c>
      <x:c r="AJ186" s="1" t="n">
        <x:f>_xlfn.XLOOKUP($A186,Games!$A$2:$A$18,Games!$E$2:$E$18,"Missing game",0)</x:f>
        <x:v>45914</x:v>
      </x:c>
      <x:c r="AK186" t="str">
        <x:f>_xlfn.XLOOKUP($A186,Games!$A$2:$A$18,Games!$F$2:$F$18,"Missing game",0)</x:f>
        <x:v>Sunday</x:v>
      </x:c>
      <x:c r="AL186" t="str">
        <x:f>_xlfn.XLOOKUP($A186,Games!$A$2:$A$18,Games!$G$2:$G$18,"Missing game",0)</x:f>
        <x:v>ATL</x:v>
      </x:c>
      <x:c r="AM186" t="n">
        <x:f>_xlfn.XLOOKUP($A186,Games!$A$2:$A$18,Games!$H$2:$H$18,"Missing game",0)</x:f>
        <x:v>22</x:v>
      </x:c>
      <x:c r="AN186" t="str">
        <x:f>_xlfn.XLOOKUP($A186,Games!$A$2:$A$18,Games!$I$2:$I$18,"Missing game",0)</x:f>
        <x:v>MIN</x:v>
      </x:c>
      <x:c r="AO186" t="n">
        <x:f>_xlfn.XLOOKUP($A186,Games!$A$2:$A$18,Games!$J$2:$J$18,"Missing game",0)</x:f>
        <x:v>6</x:v>
      </x:c>
      <x:c r="AP186" t="n">
        <x:f>_xlfn.XLOOKUP($A186,Games!$A$2:$A$18,Games!$K$2:$K$18,"Missing game",0)</x:f>
        <x:v>-16</x:v>
      </x:c>
      <x:c r="AQ186" t="n">
        <x:f>_xlfn.XLOOKUP($A186,Games!$A$2:$A$18,Games!$L$2:$L$18,"Missing game",0)</x:f>
        <x:v>28</x:v>
      </x:c>
      <x:c r="AR186" t="n">
        <x:f>_xlfn.XLOOKUP($A186,Games!$A$2:$A$18,Games!$M$2:$M$18,"Missing game",0)</x:f>
        <x:v>0</x:v>
      </x:c>
      <x:c r="AS186" t="str">
        <x:f>_xlfn.XLOOKUP($A186,Games!$A$2:$A$18,Games!$N$2:$N$18,"Missing game",0)</x:f>
        <x:v>dome</x:v>
      </x:c>
      <x:c r="AT186" t="str">
        <x:f>_xlfn.XLOOKUP($A186,Games!$A$2:$A$18,Games!$O$2:$O$18,"Missing game",0)</x:f>
        <x:v>sportturf</x:v>
      </x:c>
      <x:c r="AU186" t="str">
        <x:f>_xlfn.XLOOKUP($A186,Games!$A$2:$A$18,Games!$P$2:$P$18,"Missing game",0)</x:f>
      </x:c>
      <x:c r="AV186" t="str">
        <x:f>_xlfn.XLOOKUP($A186,Games!$A$2:$A$18,Games!$Q$2:$Q$18,"Missing game",0)</x:f>
      </x:c>
      <x:c r="AW186" t="str">
        <x:f>_xlfn.XLOOKUP($A186,Games!$A$2:$A$18,Games!$R$2:$R$18,"Missing game",0)</x:f>
        <x:v>U.S. Bank Stadium</x:v>
      </x:c>
    </x:row>
    <x:row r="187">
      <x:c r="A187" t="str">
        <x:v>2025_02_ATL_MIN</x:v>
      </x:c>
      <x:c r="B187" t="n">
        <x:v>201</x:v>
      </x:c>
      <x:c r="C187" t="n">
        <x:v>1</x:v>
      </x:c>
      <x:c r="D187" t="str">
        <x:v>11:27</x:v>
      </x:c>
      <x:c r="E187" t="n">
        <x:v>4</x:v>
      </x:c>
      <x:c r="F187" t="n">
        <x:v>2</x:v>
      </x:c>
      <x:c r="G187" t="str">
        <x:v>ATL</x:v>
      </x:c>
      <x:c r="H187" t="str">
        <x:v>MIN</x:v>
      </x:c>
      <x:c r="I187" t="str">
        <x:v>MIN</x:v>
      </x:c>
      <x:c r="J187" t="n">
        <x:v>15</x:v>
      </x:c>
      <x:c r="K187" t="str">
        <x:v>(11:27) (Run formation) PENALTY on ATL, Delay of Game, 5 yards, enforced at MIN 15 - No Play.</x:v>
      </x:c>
      <x:c r="L187" t="str">
        <x:v>no_play</x:v>
      </x:c>
      <x:c r="M187" t="n">
        <x:v>0</x:v>
      </x:c>
      <x:c r="N187" t="n">
        <x:v>0</x:v>
      </x:c>
      <x:c r="O187" t="n">
        <x:v>0</x:v>
      </x:c>
      <x:c r="P187"/>
      <x:c r="Q187"/>
      <x:c r="R187"/>
      <x:c r="S187"/>
      <x:c r="T187"/>
      <x:c r="U187"/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1</x:v>
      </x:c>
      <x:c r="AB187" t="n">
        <x:v>5</x:v>
      </x:c>
      <x:c r="AC187" t="n">
        <x:v>0</x:v>
      </x:c>
      <x:c r="AD187" t="n">
        <x:v>-0.4052862983315362</x:v>
      </x:c>
      <x:c r="AE187" t="n">
        <x:v>0</x:v>
      </x:c>
      <x:c r="AF187" t="n">
        <x:v>-0.02343490719795227</x:v>
      </x:c>
      <x:c r="AG187" t="n">
        <x:f>_xlfn.XLOOKUP($A187,Games!$A$2:$A$18,Games!$B$2:$B$18,"Missing game",0)</x:f>
        <x:v>2025</x:v>
      </x:c>
      <x:c r="AH187" t="str">
        <x:f>_xlfn.XLOOKUP($A187,Games!$A$2:$A$18,Games!$C$2:$C$18,"Missing game",0)</x:f>
        <x:v>REG</x:v>
      </x:c>
      <x:c r="AI187" t="n">
        <x:f>_xlfn.XLOOKUP($A187,Games!$A$2:$A$18,Games!$D$2:$D$18,"Missing game",0)</x:f>
        <x:v>2</x:v>
      </x:c>
      <x:c r="AJ187" s="1" t="n">
        <x:f>_xlfn.XLOOKUP($A187,Games!$A$2:$A$18,Games!$E$2:$E$18,"Missing game",0)</x:f>
        <x:v>45914</x:v>
      </x:c>
      <x:c r="AK187" t="str">
        <x:f>_xlfn.XLOOKUP($A187,Games!$A$2:$A$18,Games!$F$2:$F$18,"Missing game",0)</x:f>
        <x:v>Sunday</x:v>
      </x:c>
      <x:c r="AL187" t="str">
        <x:f>_xlfn.XLOOKUP($A187,Games!$A$2:$A$18,Games!$G$2:$G$18,"Missing game",0)</x:f>
        <x:v>ATL</x:v>
      </x:c>
      <x:c r="AM187" t="n">
        <x:f>_xlfn.XLOOKUP($A187,Games!$A$2:$A$18,Games!$H$2:$H$18,"Missing game",0)</x:f>
        <x:v>22</x:v>
      </x:c>
      <x:c r="AN187" t="str">
        <x:f>_xlfn.XLOOKUP($A187,Games!$A$2:$A$18,Games!$I$2:$I$18,"Missing game",0)</x:f>
        <x:v>MIN</x:v>
      </x:c>
      <x:c r="AO187" t="n">
        <x:f>_xlfn.XLOOKUP($A187,Games!$A$2:$A$18,Games!$J$2:$J$18,"Missing game",0)</x:f>
        <x:v>6</x:v>
      </x:c>
      <x:c r="AP187" t="n">
        <x:f>_xlfn.XLOOKUP($A187,Games!$A$2:$A$18,Games!$K$2:$K$18,"Missing game",0)</x:f>
        <x:v>-16</x:v>
      </x:c>
      <x:c r="AQ187" t="n">
        <x:f>_xlfn.XLOOKUP($A187,Games!$A$2:$A$18,Games!$L$2:$L$18,"Missing game",0)</x:f>
        <x:v>28</x:v>
      </x:c>
      <x:c r="AR187" t="n">
        <x:f>_xlfn.XLOOKUP($A187,Games!$A$2:$A$18,Games!$M$2:$M$18,"Missing game",0)</x:f>
        <x:v>0</x:v>
      </x:c>
      <x:c r="AS187" t="str">
        <x:f>_xlfn.XLOOKUP($A187,Games!$A$2:$A$18,Games!$N$2:$N$18,"Missing game",0)</x:f>
        <x:v>dome</x:v>
      </x:c>
      <x:c r="AT187" t="str">
        <x:f>_xlfn.XLOOKUP($A187,Games!$A$2:$A$18,Games!$O$2:$O$18,"Missing game",0)</x:f>
        <x:v>sportturf</x:v>
      </x:c>
      <x:c r="AU187" t="str">
        <x:f>_xlfn.XLOOKUP($A187,Games!$A$2:$A$18,Games!$P$2:$P$18,"Missing game",0)</x:f>
      </x:c>
      <x:c r="AV187" t="str">
        <x:f>_xlfn.XLOOKUP($A187,Games!$A$2:$A$18,Games!$Q$2:$Q$18,"Missing game",0)</x:f>
      </x:c>
      <x:c r="AW187" t="str">
        <x:f>_xlfn.XLOOKUP($A187,Games!$A$2:$A$18,Games!$R$2:$R$18,"Missing game",0)</x:f>
        <x:v>U.S. Bank Stadium</x:v>
      </x:c>
    </x:row>
    <x:row r="188">
      <x:c r="A188" t="str">
        <x:v>2025_02_ATL_MIN</x:v>
      </x:c>
      <x:c r="B188" t="n">
        <x:v>225</x:v>
      </x:c>
      <x:c r="C188" t="n">
        <x:v>1</x:v>
      </x:c>
      <x:c r="D188" t="str">
        <x:v>11:15</x:v>
      </x:c>
      <x:c r="E188" t="n">
        <x:v>4</x:v>
      </x:c>
      <x:c r="F188" t="n">
        <x:v>7</x:v>
      </x:c>
      <x:c r="G188" t="str">
        <x:v>ATL</x:v>
      </x:c>
      <x:c r="H188" t="str">
        <x:v>MIN</x:v>
      </x:c>
      <x:c r="I188" t="str">
        <x:v>MIN</x:v>
      </x:c>
      <x:c r="J188" t="n">
        <x:v>20</x:v>
      </x:c>
      <x:c r="K188" t="str">
        <x:v>(11:15) 39-J.Romo 38 yard field goal is GOOD, Center-49-L.McCullough, Holder-13-B.Pinion.</x:v>
      </x:c>
      <x:c r="L188" t="str">
        <x:v>field_goal</x:v>
      </x:c>
      <x:c r="M188" t="n">
        <x:v>0</x:v>
      </x:c>
      <x:c r="N188" t="n">
        <x:v>0</x:v>
      </x:c>
      <x:c r="O188" t="n">
        <x:v>0</x:v>
      </x:c>
      <x:c r="P188"/>
      <x:c r="Q188"/>
      <x:c r="R188"/>
      <x:c r="S188"/>
      <x:c r="T188"/>
      <x:c r="U188"/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/>
      <x:c r="AC188" t="n">
        <x:v>0</x:v>
      </x:c>
      <x:c r="AD188" t="n">
        <x:v>0.4601572899499087</x:v>
      </x:c>
      <x:c r="AE188" t="n">
        <x:v>1</x:v>
      </x:c>
      <x:c r="AF188" t="n">
        <x:v>0.021342158317565918</x:v>
      </x:c>
      <x:c r="AG188" t="n">
        <x:f>_xlfn.XLOOKUP($A188,Games!$A$2:$A$18,Games!$B$2:$B$18,"Missing game",0)</x:f>
        <x:v>2025</x:v>
      </x:c>
      <x:c r="AH188" t="str">
        <x:f>_xlfn.XLOOKUP($A188,Games!$A$2:$A$18,Games!$C$2:$C$18,"Missing game",0)</x:f>
        <x:v>REG</x:v>
      </x:c>
      <x:c r="AI188" t="n">
        <x:f>_xlfn.XLOOKUP($A188,Games!$A$2:$A$18,Games!$D$2:$D$18,"Missing game",0)</x:f>
        <x:v>2</x:v>
      </x:c>
      <x:c r="AJ188" s="1" t="n">
        <x:f>_xlfn.XLOOKUP($A188,Games!$A$2:$A$18,Games!$E$2:$E$18,"Missing game",0)</x:f>
        <x:v>45914</x:v>
      </x:c>
      <x:c r="AK188" t="str">
        <x:f>_xlfn.XLOOKUP($A188,Games!$A$2:$A$18,Games!$F$2:$F$18,"Missing game",0)</x:f>
        <x:v>Sunday</x:v>
      </x:c>
      <x:c r="AL188" t="str">
        <x:f>_xlfn.XLOOKUP($A188,Games!$A$2:$A$18,Games!$G$2:$G$18,"Missing game",0)</x:f>
        <x:v>ATL</x:v>
      </x:c>
      <x:c r="AM188" t="n">
        <x:f>_xlfn.XLOOKUP($A188,Games!$A$2:$A$18,Games!$H$2:$H$18,"Missing game",0)</x:f>
        <x:v>22</x:v>
      </x:c>
      <x:c r="AN188" t="str">
        <x:f>_xlfn.XLOOKUP($A188,Games!$A$2:$A$18,Games!$I$2:$I$18,"Missing game",0)</x:f>
        <x:v>MIN</x:v>
      </x:c>
      <x:c r="AO188" t="n">
        <x:f>_xlfn.XLOOKUP($A188,Games!$A$2:$A$18,Games!$J$2:$J$18,"Missing game",0)</x:f>
        <x:v>6</x:v>
      </x:c>
      <x:c r="AP188" t="n">
        <x:f>_xlfn.XLOOKUP($A188,Games!$A$2:$A$18,Games!$K$2:$K$18,"Missing game",0)</x:f>
        <x:v>-16</x:v>
      </x:c>
      <x:c r="AQ188" t="n">
        <x:f>_xlfn.XLOOKUP($A188,Games!$A$2:$A$18,Games!$L$2:$L$18,"Missing game",0)</x:f>
        <x:v>28</x:v>
      </x:c>
      <x:c r="AR188" t="n">
        <x:f>_xlfn.XLOOKUP($A188,Games!$A$2:$A$18,Games!$M$2:$M$18,"Missing game",0)</x:f>
        <x:v>0</x:v>
      </x:c>
      <x:c r="AS188" t="str">
        <x:f>_xlfn.XLOOKUP($A188,Games!$A$2:$A$18,Games!$N$2:$N$18,"Missing game",0)</x:f>
        <x:v>dome</x:v>
      </x:c>
      <x:c r="AT188" t="str">
        <x:f>_xlfn.XLOOKUP($A188,Games!$A$2:$A$18,Games!$O$2:$O$18,"Missing game",0)</x:f>
        <x:v>sportturf</x:v>
      </x:c>
      <x:c r="AU188" t="str">
        <x:f>_xlfn.XLOOKUP($A188,Games!$A$2:$A$18,Games!$P$2:$P$18,"Missing game",0)</x:f>
      </x:c>
      <x:c r="AV188" t="str">
        <x:f>_xlfn.XLOOKUP($A188,Games!$A$2:$A$18,Games!$Q$2:$Q$18,"Missing game",0)</x:f>
      </x:c>
      <x:c r="AW188" t="str">
        <x:f>_xlfn.XLOOKUP($A188,Games!$A$2:$A$18,Games!$R$2:$R$18,"Missing game",0)</x:f>
        <x:v>U.S. Bank Stadium</x:v>
      </x:c>
    </x:row>
    <x:row r="189">
      <x:c r="A189" t="str">
        <x:v>2025_02_ATL_MIN</x:v>
      </x:c>
      <x:c r="B189" t="n">
        <x:v>247</x:v>
      </x:c>
      <x:c r="C189" t="n">
        <x:v>1</x:v>
      </x:c>
      <x:c r="D189" t="str">
        <x:v>11:12</x:v>
      </x:c>
      <x:c r="E189"/>
      <x:c r="F189" t="n">
        <x:v>0</x:v>
      </x:c>
      <x:c r="G189" t="str">
        <x:v>MIN</x:v>
      </x:c>
      <x:c r="H189" t="str">
        <x:v>ATL</x:v>
      </x:c>
      <x:c r="I189" t="str">
        <x:v>ATL</x:v>
      </x:c>
      <x:c r="J189" t="n">
        <x:v>35</x:v>
      </x:c>
      <x:c r="K189" t="str">
        <x:v>13-B.Pinion kicks 62 yards from ATL 35 to MIN 3. 4-M.Price to MIN 27 for 24 yards (20-D.Alford; 51-D.Malone).</x:v>
      </x:c>
      <x:c r="L189" t="str">
        <x:v>kickoff</x:v>
      </x:c>
      <x:c r="M189" t="n">
        <x:v>0</x:v>
      </x:c>
      <x:c r="N189" t="n">
        <x:v>0</x:v>
      </x:c>
      <x:c r="O189" t="n">
        <x:v>0</x:v>
      </x:c>
      <x:c r="P189"/>
      <x:c r="Q189"/>
      <x:c r="R189"/>
      <x:c r="S189"/>
      <x:c r="T189"/>
      <x:c r="U189"/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/>
      <x:c r="AC189" t="n">
        <x:v>0</x:v>
      </x:c>
      <x:c r="AD189" t="n">
        <x:v>0.12106143031269312</x:v>
      </x:c>
      <x:c r="AE189" t="n">
        <x:v>1</x:v>
      </x:c>
      <x:c r="AF189" t="n">
        <x:v>0</x:v>
      </x:c>
      <x:c r="AG189" t="n">
        <x:f>_xlfn.XLOOKUP($A189,Games!$A$2:$A$18,Games!$B$2:$B$18,"Missing game",0)</x:f>
        <x:v>2025</x:v>
      </x:c>
      <x:c r="AH189" t="str">
        <x:f>_xlfn.XLOOKUP($A189,Games!$A$2:$A$18,Games!$C$2:$C$18,"Missing game",0)</x:f>
        <x:v>REG</x:v>
      </x:c>
      <x:c r="AI189" t="n">
        <x:f>_xlfn.XLOOKUP($A189,Games!$A$2:$A$18,Games!$D$2:$D$18,"Missing game",0)</x:f>
        <x:v>2</x:v>
      </x:c>
      <x:c r="AJ189" s="1" t="n">
        <x:f>_xlfn.XLOOKUP($A189,Games!$A$2:$A$18,Games!$E$2:$E$18,"Missing game",0)</x:f>
        <x:v>45914</x:v>
      </x:c>
      <x:c r="AK189" t="str">
        <x:f>_xlfn.XLOOKUP($A189,Games!$A$2:$A$18,Games!$F$2:$F$18,"Missing game",0)</x:f>
        <x:v>Sunday</x:v>
      </x:c>
      <x:c r="AL189" t="str">
        <x:f>_xlfn.XLOOKUP($A189,Games!$A$2:$A$18,Games!$G$2:$G$18,"Missing game",0)</x:f>
        <x:v>ATL</x:v>
      </x:c>
      <x:c r="AM189" t="n">
        <x:f>_xlfn.XLOOKUP($A189,Games!$A$2:$A$18,Games!$H$2:$H$18,"Missing game",0)</x:f>
        <x:v>22</x:v>
      </x:c>
      <x:c r="AN189" t="str">
        <x:f>_xlfn.XLOOKUP($A189,Games!$A$2:$A$18,Games!$I$2:$I$18,"Missing game",0)</x:f>
        <x:v>MIN</x:v>
      </x:c>
      <x:c r="AO189" t="n">
        <x:f>_xlfn.XLOOKUP($A189,Games!$A$2:$A$18,Games!$J$2:$J$18,"Missing game",0)</x:f>
        <x:v>6</x:v>
      </x:c>
      <x:c r="AP189" t="n">
        <x:f>_xlfn.XLOOKUP($A189,Games!$A$2:$A$18,Games!$K$2:$K$18,"Missing game",0)</x:f>
        <x:v>-16</x:v>
      </x:c>
      <x:c r="AQ189" t="n">
        <x:f>_xlfn.XLOOKUP($A189,Games!$A$2:$A$18,Games!$L$2:$L$18,"Missing game",0)</x:f>
        <x:v>28</x:v>
      </x:c>
      <x:c r="AR189" t="n">
        <x:f>_xlfn.XLOOKUP($A189,Games!$A$2:$A$18,Games!$M$2:$M$18,"Missing game",0)</x:f>
        <x:v>0</x:v>
      </x:c>
      <x:c r="AS189" t="str">
        <x:f>_xlfn.XLOOKUP($A189,Games!$A$2:$A$18,Games!$N$2:$N$18,"Missing game",0)</x:f>
        <x:v>dome</x:v>
      </x:c>
      <x:c r="AT189" t="str">
        <x:f>_xlfn.XLOOKUP($A189,Games!$A$2:$A$18,Games!$O$2:$O$18,"Missing game",0)</x:f>
        <x:v>sportturf</x:v>
      </x:c>
      <x:c r="AU189" t="str">
        <x:f>_xlfn.XLOOKUP($A189,Games!$A$2:$A$18,Games!$P$2:$P$18,"Missing game",0)</x:f>
      </x:c>
      <x:c r="AV189" t="str">
        <x:f>_xlfn.XLOOKUP($A189,Games!$A$2:$A$18,Games!$Q$2:$Q$18,"Missing game",0)</x:f>
      </x:c>
      <x:c r="AW189" t="str">
        <x:f>_xlfn.XLOOKUP($A189,Games!$A$2:$A$18,Games!$R$2:$R$18,"Missing game",0)</x:f>
        <x:v>U.S. Bank Stadium</x:v>
      </x:c>
    </x:row>
    <x:row r="190">
      <x:c r="A190" t="str">
        <x:v>2025_02_ATL_MIN</x:v>
      </x:c>
      <x:c r="B190" t="n">
        <x:v>277</x:v>
      </x:c>
      <x:c r="C190" t="n">
        <x:v>1</x:v>
      </x:c>
      <x:c r="D190" t="str">
        <x:v>11:06</x:v>
      </x:c>
      <x:c r="E190" t="n">
        <x:v>1</x:v>
      </x:c>
      <x:c r="F190" t="n">
        <x:v>10</x:v>
      </x:c>
      <x:c r="G190" t="str">
        <x:v>MIN</x:v>
      </x:c>
      <x:c r="H190" t="str">
        <x:v>ATL</x:v>
      </x:c>
      <x:c r="I190" t="str">
        <x:v>MIN</x:v>
      </x:c>
      <x:c r="J190" t="n">
        <x:v>73</x:v>
      </x:c>
      <x:c r="K190" t="str">
        <x:v>(11:06) (Shotgun) 9-J.McCarthy pass short left to 1-J.Nailor ran ob at MIN 29 for 2 yards.</x:v>
      </x:c>
      <x:c r="L190" t="str">
        <x:v>pass</x:v>
      </x:c>
      <x:c r="M190" t="n">
        <x:v>2</x:v>
      </x:c>
      <x:c r="N190" t="n">
        <x:v>1</x:v>
      </x:c>
      <x:c r="O190" t="n">
        <x:v>0</x:v>
      </x:c>
      <x:c r="P190" t="str">
        <x:v>short</x:v>
      </x:c>
      <x:c r="Q190" t="str">
        <x:v>left</x:v>
      </x:c>
      <x:c r="R190" t="n">
        <x:v>2</x:v>
      </x:c>
      <x:c r="S190" t="n">
        <x:v>0</x:v>
      </x:c>
      <x:c r="T190"/>
      <x:c r="U190"/>
      <x:c r="V190" t="n">
        <x:v>1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/>
      <x:c r="AC190" t="n">
        <x:v>0</x:v>
      </x:c>
      <x:c r="AD190" t="n">
        <x:v>-0.42388433404266834</x:v>
      </x:c>
      <x:c r="AE190" t="n">
        <x:v>0</x:v>
      </x:c>
      <x:c r="AF190" t="n">
        <x:v>-0.009958148002624512</x:v>
      </x:c>
      <x:c r="AG190" t="n">
        <x:f>_xlfn.XLOOKUP($A190,Games!$A$2:$A$18,Games!$B$2:$B$18,"Missing game",0)</x:f>
        <x:v>2025</x:v>
      </x:c>
      <x:c r="AH190" t="str">
        <x:f>_xlfn.XLOOKUP($A190,Games!$A$2:$A$18,Games!$C$2:$C$18,"Missing game",0)</x:f>
        <x:v>REG</x:v>
      </x:c>
      <x:c r="AI190" t="n">
        <x:f>_xlfn.XLOOKUP($A190,Games!$A$2:$A$18,Games!$D$2:$D$18,"Missing game",0)</x:f>
        <x:v>2</x:v>
      </x:c>
      <x:c r="AJ190" s="1" t="n">
        <x:f>_xlfn.XLOOKUP($A190,Games!$A$2:$A$18,Games!$E$2:$E$18,"Missing game",0)</x:f>
        <x:v>45914</x:v>
      </x:c>
      <x:c r="AK190" t="str">
        <x:f>_xlfn.XLOOKUP($A190,Games!$A$2:$A$18,Games!$F$2:$F$18,"Missing game",0)</x:f>
        <x:v>Sunday</x:v>
      </x:c>
      <x:c r="AL190" t="str">
        <x:f>_xlfn.XLOOKUP($A190,Games!$A$2:$A$18,Games!$G$2:$G$18,"Missing game",0)</x:f>
        <x:v>ATL</x:v>
      </x:c>
      <x:c r="AM190" t="n">
        <x:f>_xlfn.XLOOKUP($A190,Games!$A$2:$A$18,Games!$H$2:$H$18,"Missing game",0)</x:f>
        <x:v>22</x:v>
      </x:c>
      <x:c r="AN190" t="str">
        <x:f>_xlfn.XLOOKUP($A190,Games!$A$2:$A$18,Games!$I$2:$I$18,"Missing game",0)</x:f>
        <x:v>MIN</x:v>
      </x:c>
      <x:c r="AO190" t="n">
        <x:f>_xlfn.XLOOKUP($A190,Games!$A$2:$A$18,Games!$J$2:$J$18,"Missing game",0)</x:f>
        <x:v>6</x:v>
      </x:c>
      <x:c r="AP190" t="n">
        <x:f>_xlfn.XLOOKUP($A190,Games!$A$2:$A$18,Games!$K$2:$K$18,"Missing game",0)</x:f>
        <x:v>-16</x:v>
      </x:c>
      <x:c r="AQ190" t="n">
        <x:f>_xlfn.XLOOKUP($A190,Games!$A$2:$A$18,Games!$L$2:$L$18,"Missing game",0)</x:f>
        <x:v>28</x:v>
      </x:c>
      <x:c r="AR190" t="n">
        <x:f>_xlfn.XLOOKUP($A190,Games!$A$2:$A$18,Games!$M$2:$M$18,"Missing game",0)</x:f>
        <x:v>0</x:v>
      </x:c>
      <x:c r="AS190" t="str">
        <x:f>_xlfn.XLOOKUP($A190,Games!$A$2:$A$18,Games!$N$2:$N$18,"Missing game",0)</x:f>
        <x:v>dome</x:v>
      </x:c>
      <x:c r="AT190" t="str">
        <x:f>_xlfn.XLOOKUP($A190,Games!$A$2:$A$18,Games!$O$2:$O$18,"Missing game",0)</x:f>
        <x:v>sportturf</x:v>
      </x:c>
      <x:c r="AU190" t="str">
        <x:f>_xlfn.XLOOKUP($A190,Games!$A$2:$A$18,Games!$P$2:$P$18,"Missing game",0)</x:f>
      </x:c>
      <x:c r="AV190" t="str">
        <x:f>_xlfn.XLOOKUP($A190,Games!$A$2:$A$18,Games!$Q$2:$Q$18,"Missing game",0)</x:f>
      </x:c>
      <x:c r="AW190" t="str">
        <x:f>_xlfn.XLOOKUP($A190,Games!$A$2:$A$18,Games!$R$2:$R$18,"Missing game",0)</x:f>
        <x:v>U.S. Bank Stadium</x:v>
      </x:c>
    </x:row>
    <x:row r="191">
      <x:c r="A191" t="str">
        <x:v>2025_02_ATL_MIN</x:v>
      </x:c>
      <x:c r="B191" t="n">
        <x:v>307</x:v>
      </x:c>
      <x:c r="C191" t="n">
        <x:v>1</x:v>
      </x:c>
      <x:c r="D191" t="str">
        <x:v>10:32</x:v>
      </x:c>
      <x:c r="E191" t="n">
        <x:v>2</x:v>
      </x:c>
      <x:c r="F191" t="n">
        <x:v>8</x:v>
      </x:c>
      <x:c r="G191" t="str">
        <x:v>MIN</x:v>
      </x:c>
      <x:c r="H191" t="str">
        <x:v>ATL</x:v>
      </x:c>
      <x:c r="I191" t="str">
        <x:v>MIN</x:v>
      </x:c>
      <x:c r="J191" t="n">
        <x:v>71</x:v>
      </x:c>
      <x:c r="K191" t="str">
        <x:v>(10:32) 33-A.Jones right end to MIN 30 for 1 yard (0-D.Deablo).</x:v>
      </x:c>
      <x:c r="L191" t="str">
        <x:v>run</x:v>
      </x:c>
      <x:c r="M191" t="n">
        <x:v>1</x:v>
      </x:c>
      <x:c r="N191" t="n">
        <x:v>0</x:v>
      </x:c>
      <x:c r="O191" t="n">
        <x:v>0</x:v>
      </x:c>
      <x:c r="P191"/>
      <x:c r="Q191"/>
      <x:c r="R191"/>
      <x:c r="S191"/>
      <x:c r="T191" t="str">
        <x:v>right</x:v>
      </x:c>
      <x:c r="U191" t="str">
        <x:v>end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/>
      <x:c r="AC191" t="n">
        <x:v>0</x:v>
      </x:c>
      <x:c r="AD191" t="n">
        <x:v>-0.6981805358082056</x:v>
      </x:c>
      <x:c r="AE191" t="n">
        <x:v>0</x:v>
      </x:c>
      <x:c r="AF191" t="n">
        <x:v>-0.022057533264160156</x:v>
      </x:c>
      <x:c r="AG191" t="n">
        <x:f>_xlfn.XLOOKUP($A191,Games!$A$2:$A$18,Games!$B$2:$B$18,"Missing game",0)</x:f>
        <x:v>2025</x:v>
      </x:c>
      <x:c r="AH191" t="str">
        <x:f>_xlfn.XLOOKUP($A191,Games!$A$2:$A$18,Games!$C$2:$C$18,"Missing game",0)</x:f>
        <x:v>REG</x:v>
      </x:c>
      <x:c r="AI191" t="n">
        <x:f>_xlfn.XLOOKUP($A191,Games!$A$2:$A$18,Games!$D$2:$D$18,"Missing game",0)</x:f>
        <x:v>2</x:v>
      </x:c>
      <x:c r="AJ191" s="1" t="n">
        <x:f>_xlfn.XLOOKUP($A191,Games!$A$2:$A$18,Games!$E$2:$E$18,"Missing game",0)</x:f>
        <x:v>45914</x:v>
      </x:c>
      <x:c r="AK191" t="str">
        <x:f>_xlfn.XLOOKUP($A191,Games!$A$2:$A$18,Games!$F$2:$F$18,"Missing game",0)</x:f>
        <x:v>Sunday</x:v>
      </x:c>
      <x:c r="AL191" t="str">
        <x:f>_xlfn.XLOOKUP($A191,Games!$A$2:$A$18,Games!$G$2:$G$18,"Missing game",0)</x:f>
        <x:v>ATL</x:v>
      </x:c>
      <x:c r="AM191" t="n">
        <x:f>_xlfn.XLOOKUP($A191,Games!$A$2:$A$18,Games!$H$2:$H$18,"Missing game",0)</x:f>
        <x:v>22</x:v>
      </x:c>
      <x:c r="AN191" t="str">
        <x:f>_xlfn.XLOOKUP($A191,Games!$A$2:$A$18,Games!$I$2:$I$18,"Missing game",0)</x:f>
        <x:v>MIN</x:v>
      </x:c>
      <x:c r="AO191" t="n">
        <x:f>_xlfn.XLOOKUP($A191,Games!$A$2:$A$18,Games!$J$2:$J$18,"Missing game",0)</x:f>
        <x:v>6</x:v>
      </x:c>
      <x:c r="AP191" t="n">
        <x:f>_xlfn.XLOOKUP($A191,Games!$A$2:$A$18,Games!$K$2:$K$18,"Missing game",0)</x:f>
        <x:v>-16</x:v>
      </x:c>
      <x:c r="AQ191" t="n">
        <x:f>_xlfn.XLOOKUP($A191,Games!$A$2:$A$18,Games!$L$2:$L$18,"Missing game",0)</x:f>
        <x:v>28</x:v>
      </x:c>
      <x:c r="AR191" t="n">
        <x:f>_xlfn.XLOOKUP($A191,Games!$A$2:$A$18,Games!$M$2:$M$18,"Missing game",0)</x:f>
        <x:v>0</x:v>
      </x:c>
      <x:c r="AS191" t="str">
        <x:f>_xlfn.XLOOKUP($A191,Games!$A$2:$A$18,Games!$N$2:$N$18,"Missing game",0)</x:f>
        <x:v>dome</x:v>
      </x:c>
      <x:c r="AT191" t="str">
        <x:f>_xlfn.XLOOKUP($A191,Games!$A$2:$A$18,Games!$O$2:$O$18,"Missing game",0)</x:f>
        <x:v>sportturf</x:v>
      </x:c>
      <x:c r="AU191" t="str">
        <x:f>_xlfn.XLOOKUP($A191,Games!$A$2:$A$18,Games!$P$2:$P$18,"Missing game",0)</x:f>
      </x:c>
      <x:c r="AV191" t="str">
        <x:f>_xlfn.XLOOKUP($A191,Games!$A$2:$A$18,Games!$Q$2:$Q$18,"Missing game",0)</x:f>
      </x:c>
      <x:c r="AW191" t="str">
        <x:f>_xlfn.XLOOKUP($A191,Games!$A$2:$A$18,Games!$R$2:$R$18,"Missing game",0)</x:f>
        <x:v>U.S. Bank Stadium</x:v>
      </x:c>
    </x:row>
    <x:row r="192">
      <x:c r="A192" t="str">
        <x:v>2025_02_ATL_MIN</x:v>
      </x:c>
      <x:c r="B192" t="n">
        <x:v>329</x:v>
      </x:c>
      <x:c r="C192" t="n">
        <x:v>1</x:v>
      </x:c>
      <x:c r="D192" t="str">
        <x:v>09:51</x:v>
      </x:c>
      <x:c r="E192" t="n">
        <x:v>3</x:v>
      </x:c>
      <x:c r="F192" t="n">
        <x:v>7</x:v>
      </x:c>
      <x:c r="G192" t="str">
        <x:v>MIN</x:v>
      </x:c>
      <x:c r="H192" t="str">
        <x:v>ATL</x:v>
      </x:c>
      <x:c r="I192" t="str">
        <x:v>MIN</x:v>
      </x:c>
      <x:c r="J192" t="n">
        <x:v>70</x:v>
      </x:c>
      <x:c r="K192" t="str">
        <x:v>(9:51) (Shotgun) 9-J.McCarthy scrambles right end to MIN 36 for 6 yards (3-J.Bates).</x:v>
      </x:c>
      <x:c r="L192" t="str">
        <x:v>run</x:v>
      </x:c>
      <x:c r="M192" t="n">
        <x:v>6</x:v>
      </x:c>
      <x:c r="N192" t="n">
        <x:v>1</x:v>
      </x:c>
      <x:c r="O192" t="n">
        <x:v>0</x:v>
      </x:c>
      <x:c r="P192"/>
      <x:c r="Q192"/>
      <x:c r="R192"/>
      <x:c r="S192"/>
      <x:c r="T192" t="str">
        <x:v>right</x:v>
      </x:c>
      <x:c r="U192" t="str">
        <x:v>end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/>
      <x:c r="AC192" t="n">
        <x:v>0</x:v>
      </x:c>
      <x:c r="AD192" t="n">
        <x:v>-0.44626272935420275</x:v>
      </x:c>
      <x:c r="AE192" t="n">
        <x:v>0</x:v>
      </x:c>
      <x:c r="AF192" t="n">
        <x:v>0.011717677116394043</x:v>
      </x:c>
      <x:c r="AG192" t="n">
        <x:f>_xlfn.XLOOKUP($A192,Games!$A$2:$A$18,Games!$B$2:$B$18,"Missing game",0)</x:f>
        <x:v>2025</x:v>
      </x:c>
      <x:c r="AH192" t="str">
        <x:f>_xlfn.XLOOKUP($A192,Games!$A$2:$A$18,Games!$C$2:$C$18,"Missing game",0)</x:f>
        <x:v>REG</x:v>
      </x:c>
      <x:c r="AI192" t="n">
        <x:f>_xlfn.XLOOKUP($A192,Games!$A$2:$A$18,Games!$D$2:$D$18,"Missing game",0)</x:f>
        <x:v>2</x:v>
      </x:c>
      <x:c r="AJ192" s="1" t="n">
        <x:f>_xlfn.XLOOKUP($A192,Games!$A$2:$A$18,Games!$E$2:$E$18,"Missing game",0)</x:f>
        <x:v>45914</x:v>
      </x:c>
      <x:c r="AK192" t="str">
        <x:f>_xlfn.XLOOKUP($A192,Games!$A$2:$A$18,Games!$F$2:$F$18,"Missing game",0)</x:f>
        <x:v>Sunday</x:v>
      </x:c>
      <x:c r="AL192" t="str">
        <x:f>_xlfn.XLOOKUP($A192,Games!$A$2:$A$18,Games!$G$2:$G$18,"Missing game",0)</x:f>
        <x:v>ATL</x:v>
      </x:c>
      <x:c r="AM192" t="n">
        <x:f>_xlfn.XLOOKUP($A192,Games!$A$2:$A$18,Games!$H$2:$H$18,"Missing game",0)</x:f>
        <x:v>22</x:v>
      </x:c>
      <x:c r="AN192" t="str">
        <x:f>_xlfn.XLOOKUP($A192,Games!$A$2:$A$18,Games!$I$2:$I$18,"Missing game",0)</x:f>
        <x:v>MIN</x:v>
      </x:c>
      <x:c r="AO192" t="n">
        <x:f>_xlfn.XLOOKUP($A192,Games!$A$2:$A$18,Games!$J$2:$J$18,"Missing game",0)</x:f>
        <x:v>6</x:v>
      </x:c>
      <x:c r="AP192" t="n">
        <x:f>_xlfn.XLOOKUP($A192,Games!$A$2:$A$18,Games!$K$2:$K$18,"Missing game",0)</x:f>
        <x:v>-16</x:v>
      </x:c>
      <x:c r="AQ192" t="n">
        <x:f>_xlfn.XLOOKUP($A192,Games!$A$2:$A$18,Games!$L$2:$L$18,"Missing game",0)</x:f>
        <x:v>28</x:v>
      </x:c>
      <x:c r="AR192" t="n">
        <x:f>_xlfn.XLOOKUP($A192,Games!$A$2:$A$18,Games!$M$2:$M$18,"Missing game",0)</x:f>
        <x:v>0</x:v>
      </x:c>
      <x:c r="AS192" t="str">
        <x:f>_xlfn.XLOOKUP($A192,Games!$A$2:$A$18,Games!$N$2:$N$18,"Missing game",0)</x:f>
        <x:v>dome</x:v>
      </x:c>
      <x:c r="AT192" t="str">
        <x:f>_xlfn.XLOOKUP($A192,Games!$A$2:$A$18,Games!$O$2:$O$18,"Missing game",0)</x:f>
        <x:v>sportturf</x:v>
      </x:c>
      <x:c r="AU192" t="str">
        <x:f>_xlfn.XLOOKUP($A192,Games!$A$2:$A$18,Games!$P$2:$P$18,"Missing game",0)</x:f>
      </x:c>
      <x:c r="AV192" t="str">
        <x:f>_xlfn.XLOOKUP($A192,Games!$A$2:$A$18,Games!$Q$2:$Q$18,"Missing game",0)</x:f>
      </x:c>
      <x:c r="AW192" t="str">
        <x:f>_xlfn.XLOOKUP($A192,Games!$A$2:$A$18,Games!$R$2:$R$18,"Missing game",0)</x:f>
        <x:v>U.S. Bank Stadium</x:v>
      </x:c>
    </x:row>
    <x:row r="193">
      <x:c r="A193" t="str">
        <x:v>2025_02_ATL_MIN</x:v>
      </x:c>
      <x:c r="B193" t="n">
        <x:v>351</x:v>
      </x:c>
      <x:c r="C193" t="n">
        <x:v>1</x:v>
      </x:c>
      <x:c r="D193" t="str">
        <x:v>09:26</x:v>
      </x:c>
      <x:c r="E193" t="n">
        <x:v>4</x:v>
      </x:c>
      <x:c r="F193" t="n">
        <x:v>1</x:v>
      </x:c>
      <x:c r="G193" t="str">
        <x:v>MIN</x:v>
      </x:c>
      <x:c r="H193" t="str">
        <x:v>ATL</x:v>
      </x:c>
      <x:c r="I193" t="str">
        <x:v>MIN</x:v>
      </x:c>
      <x:c r="J193" t="n">
        <x:v>64</x:v>
      </x:c>
      <x:c r="K193" t="str">
        <x:v>(9:26) (No Huddle) 9-J.McCarthy FUMBLES (Aborted) at MIN 36, and recovers at MIN 36. 9-J.McCarthy to MIN 36 for no gain (55-K.Elliss).</x:v>
      </x:c>
      <x:c r="L193" t="str">
        <x:v>run</x:v>
      </x:c>
      <x:c r="M193" t="n">
        <x:v>0</x:v>
      </x:c>
      <x:c r="N193" t="n">
        <x:v>0</x:v>
      </x:c>
      <x:c r="O193" t="n">
        <x:v>1</x:v>
      </x:c>
      <x:c r="P193"/>
      <x:c r="Q193"/>
      <x:c r="R193"/>
      <x:c r="S193"/>
      <x:c r="T193"/>
      <x:c r="U193"/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/>
      <x:c r="AC193" t="n">
        <x:v>0</x:v>
      </x:c>
      <x:c r="AD193" t="n">
        <x:v>-3.9757333528250456</x:v>
      </x:c>
      <x:c r="AE193" t="n">
        <x:v>0</x:v>
      </x:c>
      <x:c r="AF193" t="n">
        <x:v>-0.09893852472305298</x:v>
      </x:c>
      <x:c r="AG193" t="n">
        <x:f>_xlfn.XLOOKUP($A193,Games!$A$2:$A$18,Games!$B$2:$B$18,"Missing game",0)</x:f>
        <x:v>2025</x:v>
      </x:c>
      <x:c r="AH193" t="str">
        <x:f>_xlfn.XLOOKUP($A193,Games!$A$2:$A$18,Games!$C$2:$C$18,"Missing game",0)</x:f>
        <x:v>REG</x:v>
      </x:c>
      <x:c r="AI193" t="n">
        <x:f>_xlfn.XLOOKUP($A193,Games!$A$2:$A$18,Games!$D$2:$D$18,"Missing game",0)</x:f>
        <x:v>2</x:v>
      </x:c>
      <x:c r="AJ193" s="1" t="n">
        <x:f>_xlfn.XLOOKUP($A193,Games!$A$2:$A$18,Games!$E$2:$E$18,"Missing game",0)</x:f>
        <x:v>45914</x:v>
      </x:c>
      <x:c r="AK193" t="str">
        <x:f>_xlfn.XLOOKUP($A193,Games!$A$2:$A$18,Games!$F$2:$F$18,"Missing game",0)</x:f>
        <x:v>Sunday</x:v>
      </x:c>
      <x:c r="AL193" t="str">
        <x:f>_xlfn.XLOOKUP($A193,Games!$A$2:$A$18,Games!$G$2:$G$18,"Missing game",0)</x:f>
        <x:v>ATL</x:v>
      </x:c>
      <x:c r="AM193" t="n">
        <x:f>_xlfn.XLOOKUP($A193,Games!$A$2:$A$18,Games!$H$2:$H$18,"Missing game",0)</x:f>
        <x:v>22</x:v>
      </x:c>
      <x:c r="AN193" t="str">
        <x:f>_xlfn.XLOOKUP($A193,Games!$A$2:$A$18,Games!$I$2:$I$18,"Missing game",0)</x:f>
        <x:v>MIN</x:v>
      </x:c>
      <x:c r="AO193" t="n">
        <x:f>_xlfn.XLOOKUP($A193,Games!$A$2:$A$18,Games!$J$2:$J$18,"Missing game",0)</x:f>
        <x:v>6</x:v>
      </x:c>
      <x:c r="AP193" t="n">
        <x:f>_xlfn.XLOOKUP($A193,Games!$A$2:$A$18,Games!$K$2:$K$18,"Missing game",0)</x:f>
        <x:v>-16</x:v>
      </x:c>
      <x:c r="AQ193" t="n">
        <x:f>_xlfn.XLOOKUP($A193,Games!$A$2:$A$18,Games!$L$2:$L$18,"Missing game",0)</x:f>
        <x:v>28</x:v>
      </x:c>
      <x:c r="AR193" t="n">
        <x:f>_xlfn.XLOOKUP($A193,Games!$A$2:$A$18,Games!$M$2:$M$18,"Missing game",0)</x:f>
        <x:v>0</x:v>
      </x:c>
      <x:c r="AS193" t="str">
        <x:f>_xlfn.XLOOKUP($A193,Games!$A$2:$A$18,Games!$N$2:$N$18,"Missing game",0)</x:f>
        <x:v>dome</x:v>
      </x:c>
      <x:c r="AT193" t="str">
        <x:f>_xlfn.XLOOKUP($A193,Games!$A$2:$A$18,Games!$O$2:$O$18,"Missing game",0)</x:f>
        <x:v>sportturf</x:v>
      </x:c>
      <x:c r="AU193" t="str">
        <x:f>_xlfn.XLOOKUP($A193,Games!$A$2:$A$18,Games!$P$2:$P$18,"Missing game",0)</x:f>
      </x:c>
      <x:c r="AV193" t="str">
        <x:f>_xlfn.XLOOKUP($A193,Games!$A$2:$A$18,Games!$Q$2:$Q$18,"Missing game",0)</x:f>
      </x:c>
      <x:c r="AW193" t="str">
        <x:f>_xlfn.XLOOKUP($A193,Games!$A$2:$A$18,Games!$R$2:$R$18,"Missing game",0)</x:f>
        <x:v>U.S. Bank Stadium</x:v>
      </x:c>
    </x:row>
    <x:row r="194">
      <x:c r="A194" t="str">
        <x:v>2025_02_ATL_MIN</x:v>
      </x:c>
      <x:c r="B194" t="n">
        <x:v>373</x:v>
      </x:c>
      <x:c r="C194" t="n">
        <x:v>1</x:v>
      </x:c>
      <x:c r="D194" t="str">
        <x:v>09:18</x:v>
      </x:c>
      <x:c r="E194" t="n">
        <x:v>1</x:v>
      </x:c>
      <x:c r="F194" t="n">
        <x:v>10</x:v>
      </x:c>
      <x:c r="G194" t="str">
        <x:v>ATL</x:v>
      </x:c>
      <x:c r="H194" t="str">
        <x:v>MIN</x:v>
      </x:c>
      <x:c r="I194" t="str">
        <x:v>MIN</x:v>
      </x:c>
      <x:c r="J194" t="n">
        <x:v>36</x:v>
      </x:c>
      <x:c r="K194" t="str">
        <x:v>(9:18) (Shotgun) 7-B.Robinson right end to MIN 29 for 7 yards (7-B.Murphy).</x:v>
      </x:c>
      <x:c r="L194" t="str">
        <x:v>run</x:v>
      </x:c>
      <x:c r="M194" t="n">
        <x:v>7</x:v>
      </x:c>
      <x:c r="N194" t="n">
        <x:v>1</x:v>
      </x:c>
      <x:c r="O194" t="n">
        <x:v>0</x:v>
      </x:c>
      <x:c r="P194"/>
      <x:c r="Q194"/>
      <x:c r="R194"/>
      <x:c r="S194"/>
      <x:c r="T194" t="str">
        <x:v>right</x:v>
      </x:c>
      <x:c r="U194" t="str">
        <x:v>end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/>
      <x:c r="AC194" t="n">
        <x:v>0</x:v>
      </x:c>
      <x:c r="AD194" t="n">
        <x:v>0.45482408348470926</x:v>
      </x:c>
      <x:c r="AE194" t="n">
        <x:v>1</x:v>
      </x:c>
      <x:c r="AF194" t="n">
        <x:v>-0.007809638977050781</x:v>
      </x:c>
      <x:c r="AG194" t="n">
        <x:f>_xlfn.XLOOKUP($A194,Games!$A$2:$A$18,Games!$B$2:$B$18,"Missing game",0)</x:f>
        <x:v>2025</x:v>
      </x:c>
      <x:c r="AH194" t="str">
        <x:f>_xlfn.XLOOKUP($A194,Games!$A$2:$A$18,Games!$C$2:$C$18,"Missing game",0)</x:f>
        <x:v>REG</x:v>
      </x:c>
      <x:c r="AI194" t="n">
        <x:f>_xlfn.XLOOKUP($A194,Games!$A$2:$A$18,Games!$D$2:$D$18,"Missing game",0)</x:f>
        <x:v>2</x:v>
      </x:c>
      <x:c r="AJ194" s="1" t="n">
        <x:f>_xlfn.XLOOKUP($A194,Games!$A$2:$A$18,Games!$E$2:$E$18,"Missing game",0)</x:f>
        <x:v>45914</x:v>
      </x:c>
      <x:c r="AK194" t="str">
        <x:f>_xlfn.XLOOKUP($A194,Games!$A$2:$A$18,Games!$F$2:$F$18,"Missing game",0)</x:f>
        <x:v>Sunday</x:v>
      </x:c>
      <x:c r="AL194" t="str">
        <x:f>_xlfn.XLOOKUP($A194,Games!$A$2:$A$18,Games!$G$2:$G$18,"Missing game",0)</x:f>
        <x:v>ATL</x:v>
      </x:c>
      <x:c r="AM194" t="n">
        <x:f>_xlfn.XLOOKUP($A194,Games!$A$2:$A$18,Games!$H$2:$H$18,"Missing game",0)</x:f>
        <x:v>22</x:v>
      </x:c>
      <x:c r="AN194" t="str">
        <x:f>_xlfn.XLOOKUP($A194,Games!$A$2:$A$18,Games!$I$2:$I$18,"Missing game",0)</x:f>
        <x:v>MIN</x:v>
      </x:c>
      <x:c r="AO194" t="n">
        <x:f>_xlfn.XLOOKUP($A194,Games!$A$2:$A$18,Games!$J$2:$J$18,"Missing game",0)</x:f>
        <x:v>6</x:v>
      </x:c>
      <x:c r="AP194" t="n">
        <x:f>_xlfn.XLOOKUP($A194,Games!$A$2:$A$18,Games!$K$2:$K$18,"Missing game",0)</x:f>
        <x:v>-16</x:v>
      </x:c>
      <x:c r="AQ194" t="n">
        <x:f>_xlfn.XLOOKUP($A194,Games!$A$2:$A$18,Games!$L$2:$L$18,"Missing game",0)</x:f>
        <x:v>28</x:v>
      </x:c>
      <x:c r="AR194" t="n">
        <x:f>_xlfn.XLOOKUP($A194,Games!$A$2:$A$18,Games!$M$2:$M$18,"Missing game",0)</x:f>
        <x:v>0</x:v>
      </x:c>
      <x:c r="AS194" t="str">
        <x:f>_xlfn.XLOOKUP($A194,Games!$A$2:$A$18,Games!$N$2:$N$18,"Missing game",0)</x:f>
        <x:v>dome</x:v>
      </x:c>
      <x:c r="AT194" t="str">
        <x:f>_xlfn.XLOOKUP($A194,Games!$A$2:$A$18,Games!$O$2:$O$18,"Missing game",0)</x:f>
        <x:v>sportturf</x:v>
      </x:c>
      <x:c r="AU194" t="str">
        <x:f>_xlfn.XLOOKUP($A194,Games!$A$2:$A$18,Games!$P$2:$P$18,"Missing game",0)</x:f>
      </x:c>
      <x:c r="AV194" t="str">
        <x:f>_xlfn.XLOOKUP($A194,Games!$A$2:$A$18,Games!$Q$2:$Q$18,"Missing game",0)</x:f>
      </x:c>
      <x:c r="AW194" t="str">
        <x:f>_xlfn.XLOOKUP($A194,Games!$A$2:$A$18,Games!$R$2:$R$18,"Missing game",0)</x:f>
        <x:v>U.S. Bank Stadium</x:v>
      </x:c>
    </x:row>
    <x:row r="195">
      <x:c r="A195" t="str">
        <x:v>2025_02_ATL_MIN</x:v>
      </x:c>
      <x:c r="B195" t="n">
        <x:v>395</x:v>
      </x:c>
      <x:c r="C195" t="n">
        <x:v>1</x:v>
      </x:c>
      <x:c r="D195" t="str">
        <x:v>08:37</x:v>
      </x:c>
      <x:c r="E195" t="n">
        <x:v>2</x:v>
      </x:c>
      <x:c r="F195" t="n">
        <x:v>3</x:v>
      </x:c>
      <x:c r="G195" t="str">
        <x:v>ATL</x:v>
      </x:c>
      <x:c r="H195" t="str">
        <x:v>MIN</x:v>
      </x:c>
      <x:c r="I195" t="str">
        <x:v>MIN</x:v>
      </x:c>
      <x:c r="J195" t="n">
        <x:v>29</x:v>
      </x:c>
      <x:c r="K195" t="str">
        <x:v>(8:37) (Shotgun) 9-M.Penix pass incomplete short right to 7-B.Robinson [58-J.Greenard].</x:v>
      </x:c>
      <x:c r="L195" t="str">
        <x:v>pass</x:v>
      </x:c>
      <x:c r="M195" t="n">
        <x:v>0</x:v>
      </x:c>
      <x:c r="N195" t="n">
        <x:v>1</x:v>
      </x:c>
      <x:c r="O195" t="n">
        <x:v>0</x:v>
      </x:c>
      <x:c r="P195" t="str">
        <x:v>short</x:v>
      </x:c>
      <x:c r="Q195" t="str">
        <x:v>right</x:v>
      </x:c>
      <x:c r="R195" t="n">
        <x:v>-6</x:v>
      </x:c>
      <x:c r="S195"/>
      <x:c r="T195"/>
      <x:c r="U195"/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/>
      <x:c r="AC195" t="n">
        <x:v>0</x:v>
      </x:c>
      <x:c r="AD195" t="n">
        <x:v>-0.6816431439947337</x:v>
      </x:c>
      <x:c r="AE195" t="n">
        <x:v>0</x:v>
      </x:c>
      <x:c r="AF195" t="n">
        <x:v>-0.023983895778656006</x:v>
      </x:c>
      <x:c r="AG195" t="n">
        <x:f>_xlfn.XLOOKUP($A195,Games!$A$2:$A$18,Games!$B$2:$B$18,"Missing game",0)</x:f>
        <x:v>2025</x:v>
      </x:c>
      <x:c r="AH195" t="str">
        <x:f>_xlfn.XLOOKUP($A195,Games!$A$2:$A$18,Games!$C$2:$C$18,"Missing game",0)</x:f>
        <x:v>REG</x:v>
      </x:c>
      <x:c r="AI195" t="n">
        <x:f>_xlfn.XLOOKUP($A195,Games!$A$2:$A$18,Games!$D$2:$D$18,"Missing game",0)</x:f>
        <x:v>2</x:v>
      </x:c>
      <x:c r="AJ195" s="1" t="n">
        <x:f>_xlfn.XLOOKUP($A195,Games!$A$2:$A$18,Games!$E$2:$E$18,"Missing game",0)</x:f>
        <x:v>45914</x:v>
      </x:c>
      <x:c r="AK195" t="str">
        <x:f>_xlfn.XLOOKUP($A195,Games!$A$2:$A$18,Games!$F$2:$F$18,"Missing game",0)</x:f>
        <x:v>Sunday</x:v>
      </x:c>
      <x:c r="AL195" t="str">
        <x:f>_xlfn.XLOOKUP($A195,Games!$A$2:$A$18,Games!$G$2:$G$18,"Missing game",0)</x:f>
        <x:v>ATL</x:v>
      </x:c>
      <x:c r="AM195" t="n">
        <x:f>_xlfn.XLOOKUP($A195,Games!$A$2:$A$18,Games!$H$2:$H$18,"Missing game",0)</x:f>
        <x:v>22</x:v>
      </x:c>
      <x:c r="AN195" t="str">
        <x:f>_xlfn.XLOOKUP($A195,Games!$A$2:$A$18,Games!$I$2:$I$18,"Missing game",0)</x:f>
        <x:v>MIN</x:v>
      </x:c>
      <x:c r="AO195" t="n">
        <x:f>_xlfn.XLOOKUP($A195,Games!$A$2:$A$18,Games!$J$2:$J$18,"Missing game",0)</x:f>
        <x:v>6</x:v>
      </x:c>
      <x:c r="AP195" t="n">
        <x:f>_xlfn.XLOOKUP($A195,Games!$A$2:$A$18,Games!$K$2:$K$18,"Missing game",0)</x:f>
        <x:v>-16</x:v>
      </x:c>
      <x:c r="AQ195" t="n">
        <x:f>_xlfn.XLOOKUP($A195,Games!$A$2:$A$18,Games!$L$2:$L$18,"Missing game",0)</x:f>
        <x:v>28</x:v>
      </x:c>
      <x:c r="AR195" t="n">
        <x:f>_xlfn.XLOOKUP($A195,Games!$A$2:$A$18,Games!$M$2:$M$18,"Missing game",0)</x:f>
        <x:v>0</x:v>
      </x:c>
      <x:c r="AS195" t="str">
        <x:f>_xlfn.XLOOKUP($A195,Games!$A$2:$A$18,Games!$N$2:$N$18,"Missing game",0)</x:f>
        <x:v>dome</x:v>
      </x:c>
      <x:c r="AT195" t="str">
        <x:f>_xlfn.XLOOKUP($A195,Games!$A$2:$A$18,Games!$O$2:$O$18,"Missing game",0)</x:f>
        <x:v>sportturf</x:v>
      </x:c>
      <x:c r="AU195" t="str">
        <x:f>_xlfn.XLOOKUP($A195,Games!$A$2:$A$18,Games!$P$2:$P$18,"Missing game",0)</x:f>
      </x:c>
      <x:c r="AV195" t="str">
        <x:f>_xlfn.XLOOKUP($A195,Games!$A$2:$A$18,Games!$Q$2:$Q$18,"Missing game",0)</x:f>
      </x:c>
      <x:c r="AW195" t="str">
        <x:f>_xlfn.XLOOKUP($A195,Games!$A$2:$A$18,Games!$R$2:$R$18,"Missing game",0)</x:f>
        <x:v>U.S. Bank Stadium</x:v>
      </x:c>
    </x:row>
    <x:row r="196">
      <x:c r="A196" t="str">
        <x:v>2025_02_ATL_MIN</x:v>
      </x:c>
      <x:c r="B196" t="n">
        <x:v>430</x:v>
      </x:c>
      <x:c r="C196" t="n">
        <x:v>1</x:v>
      </x:c>
      <x:c r="D196" t="str">
        <x:v>08:34</x:v>
      </x:c>
      <x:c r="E196" t="n">
        <x:v>3</x:v>
      </x:c>
      <x:c r="F196" t="n">
        <x:v>3</x:v>
      </x:c>
      <x:c r="G196" t="str">
        <x:v>ATL</x:v>
      </x:c>
      <x:c r="H196" t="str">
        <x:v>MIN</x:v>
      </x:c>
      <x:c r="I196" t="str">
        <x:v>MIN</x:v>
      </x:c>
      <x:c r="J196" t="n">
        <x:v>29</x:v>
      </x:c>
      <x:c r="K196" t="str">
        <x:v>(8:34) (Shotgun) 9-M.Penix pass short right to 8-K.Pitts to MIN 15 for 14 yards (26-T.Jackson).</x:v>
      </x:c>
      <x:c r="L196" t="str">
        <x:v>pass</x:v>
      </x:c>
      <x:c r="M196" t="n">
        <x:v>14</x:v>
      </x:c>
      <x:c r="N196" t="n">
        <x:v>1</x:v>
      </x:c>
      <x:c r="O196" t="n">
        <x:v>0</x:v>
      </x:c>
      <x:c r="P196" t="str">
        <x:v>short</x:v>
      </x:c>
      <x:c r="Q196" t="str">
        <x:v>right</x:v>
      </x:c>
      <x:c r="R196" t="n">
        <x:v>5</x:v>
      </x:c>
      <x:c r="S196" t="n">
        <x:v>9</x:v>
      </x:c>
      <x:c r="T196"/>
      <x:c r="U196"/>
      <x:c r="V196" t="n">
        <x:v>1</x:v>
      </x:c>
      <x:c r="W196" t="n">
        <x:v>1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/>
      <x:c r="AC196" t="n">
        <x:v>0</x:v>
      </x:c>
      <x:c r="AD196" t="n">
        <x:v>1.801840838859789</x:v>
      </x:c>
      <x:c r="AE196" t="n">
        <x:v>1</x:v>
      </x:c>
      <x:c r="AF196" t="n">
        <x:v>0.057630717754364014</x:v>
      </x:c>
      <x:c r="AG196" t="n">
        <x:f>_xlfn.XLOOKUP($A196,Games!$A$2:$A$18,Games!$B$2:$B$18,"Missing game",0)</x:f>
        <x:v>2025</x:v>
      </x:c>
      <x:c r="AH196" t="str">
        <x:f>_xlfn.XLOOKUP($A196,Games!$A$2:$A$18,Games!$C$2:$C$18,"Missing game",0)</x:f>
        <x:v>REG</x:v>
      </x:c>
      <x:c r="AI196" t="n">
        <x:f>_xlfn.XLOOKUP($A196,Games!$A$2:$A$18,Games!$D$2:$D$18,"Missing game",0)</x:f>
        <x:v>2</x:v>
      </x:c>
      <x:c r="AJ196" s="1" t="n">
        <x:f>_xlfn.XLOOKUP($A196,Games!$A$2:$A$18,Games!$E$2:$E$18,"Missing game",0)</x:f>
        <x:v>45914</x:v>
      </x:c>
      <x:c r="AK196" t="str">
        <x:f>_xlfn.XLOOKUP($A196,Games!$A$2:$A$18,Games!$F$2:$F$18,"Missing game",0)</x:f>
        <x:v>Sunday</x:v>
      </x:c>
      <x:c r="AL196" t="str">
        <x:f>_xlfn.XLOOKUP($A196,Games!$A$2:$A$18,Games!$G$2:$G$18,"Missing game",0)</x:f>
        <x:v>ATL</x:v>
      </x:c>
      <x:c r="AM196" t="n">
        <x:f>_xlfn.XLOOKUP($A196,Games!$A$2:$A$18,Games!$H$2:$H$18,"Missing game",0)</x:f>
        <x:v>22</x:v>
      </x:c>
      <x:c r="AN196" t="str">
        <x:f>_xlfn.XLOOKUP($A196,Games!$A$2:$A$18,Games!$I$2:$I$18,"Missing game",0)</x:f>
        <x:v>MIN</x:v>
      </x:c>
      <x:c r="AO196" t="n">
        <x:f>_xlfn.XLOOKUP($A196,Games!$A$2:$A$18,Games!$J$2:$J$18,"Missing game",0)</x:f>
        <x:v>6</x:v>
      </x:c>
      <x:c r="AP196" t="n">
        <x:f>_xlfn.XLOOKUP($A196,Games!$A$2:$A$18,Games!$K$2:$K$18,"Missing game",0)</x:f>
        <x:v>-16</x:v>
      </x:c>
      <x:c r="AQ196" t="n">
        <x:f>_xlfn.XLOOKUP($A196,Games!$A$2:$A$18,Games!$L$2:$L$18,"Missing game",0)</x:f>
        <x:v>28</x:v>
      </x:c>
      <x:c r="AR196" t="n">
        <x:f>_xlfn.XLOOKUP($A196,Games!$A$2:$A$18,Games!$M$2:$M$18,"Missing game",0)</x:f>
        <x:v>0</x:v>
      </x:c>
      <x:c r="AS196" t="str">
        <x:f>_xlfn.XLOOKUP($A196,Games!$A$2:$A$18,Games!$N$2:$N$18,"Missing game",0)</x:f>
        <x:v>dome</x:v>
      </x:c>
      <x:c r="AT196" t="str">
        <x:f>_xlfn.XLOOKUP($A196,Games!$A$2:$A$18,Games!$O$2:$O$18,"Missing game",0)</x:f>
        <x:v>sportturf</x:v>
      </x:c>
      <x:c r="AU196" t="str">
        <x:f>_xlfn.XLOOKUP($A196,Games!$A$2:$A$18,Games!$P$2:$P$18,"Missing game",0)</x:f>
      </x:c>
      <x:c r="AV196" t="str">
        <x:f>_xlfn.XLOOKUP($A196,Games!$A$2:$A$18,Games!$Q$2:$Q$18,"Missing game",0)</x:f>
      </x:c>
      <x:c r="AW196" t="str">
        <x:f>_xlfn.XLOOKUP($A196,Games!$A$2:$A$18,Games!$R$2:$R$18,"Missing game",0)</x:f>
        <x:v>U.S. Bank Stadium</x:v>
      </x:c>
    </x:row>
    <x:row r="197">
      <x:c r="A197" t="str">
        <x:v>2025_02_ATL_MIN</x:v>
      </x:c>
      <x:c r="B197" t="n">
        <x:v>455</x:v>
      </x:c>
      <x:c r="C197" t="n">
        <x:v>1</x:v>
      </x:c>
      <x:c r="D197" t="str">
        <x:v>07:48</x:v>
      </x:c>
      <x:c r="E197" t="n">
        <x:v>1</x:v>
      </x:c>
      <x:c r="F197" t="n">
        <x:v>10</x:v>
      </x:c>
      <x:c r="G197" t="str">
        <x:v>ATL</x:v>
      </x:c>
      <x:c r="H197" t="str">
        <x:v>MIN</x:v>
      </x:c>
      <x:c r="I197" t="str">
        <x:v>MIN</x:v>
      </x:c>
      <x:c r="J197" t="n">
        <x:v>15</x:v>
      </x:c>
      <x:c r="K197" t="str">
        <x:v>(7:48) (Shotgun) 9-M.Penix pass short right to 7-B.Robinson pushed ob at MIN 10 for 5 yards (44-J.Metellus).</x:v>
      </x:c>
      <x:c r="L197" t="str">
        <x:v>pass</x:v>
      </x:c>
      <x:c r="M197" t="n">
        <x:v>5</x:v>
      </x:c>
      <x:c r="N197" t="n">
        <x:v>1</x:v>
      </x:c>
      <x:c r="O197" t="n">
        <x:v>0</x:v>
      </x:c>
      <x:c r="P197" t="str">
        <x:v>short</x:v>
      </x:c>
      <x:c r="Q197" t="str">
        <x:v>right</x:v>
      </x:c>
      <x:c r="R197" t="n">
        <x:v>4</x:v>
      </x:c>
      <x:c r="S197" t="n">
        <x:v>1</x:v>
      </x:c>
      <x:c r="T197"/>
      <x:c r="U197"/>
      <x:c r="V197" t="n">
        <x:v>1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/>
      <x:c r="AC197" t="n">
        <x:v>0</x:v>
      </x:c>
      <x:c r="AD197" t="n">
        <x:v>-0.031017890898510814</x:v>
      </x:c>
      <x:c r="AE197" t="n">
        <x:v>0</x:v>
      </x:c>
      <x:c r="AF197" t="n">
        <x:v>0.012935817241668701</x:v>
      </x:c>
      <x:c r="AG197" t="n">
        <x:f>_xlfn.XLOOKUP($A197,Games!$A$2:$A$18,Games!$B$2:$B$18,"Missing game",0)</x:f>
        <x:v>2025</x:v>
      </x:c>
      <x:c r="AH197" t="str">
        <x:f>_xlfn.XLOOKUP($A197,Games!$A$2:$A$18,Games!$C$2:$C$18,"Missing game",0)</x:f>
        <x:v>REG</x:v>
      </x:c>
      <x:c r="AI197" t="n">
        <x:f>_xlfn.XLOOKUP($A197,Games!$A$2:$A$18,Games!$D$2:$D$18,"Missing game",0)</x:f>
        <x:v>2</x:v>
      </x:c>
      <x:c r="AJ197" s="1" t="n">
        <x:f>_xlfn.XLOOKUP($A197,Games!$A$2:$A$18,Games!$E$2:$E$18,"Missing game",0)</x:f>
        <x:v>45914</x:v>
      </x:c>
      <x:c r="AK197" t="str">
        <x:f>_xlfn.XLOOKUP($A197,Games!$A$2:$A$18,Games!$F$2:$F$18,"Missing game",0)</x:f>
        <x:v>Sunday</x:v>
      </x:c>
      <x:c r="AL197" t="str">
        <x:f>_xlfn.XLOOKUP($A197,Games!$A$2:$A$18,Games!$G$2:$G$18,"Missing game",0)</x:f>
        <x:v>ATL</x:v>
      </x:c>
      <x:c r="AM197" t="n">
        <x:f>_xlfn.XLOOKUP($A197,Games!$A$2:$A$18,Games!$H$2:$H$18,"Missing game",0)</x:f>
        <x:v>22</x:v>
      </x:c>
      <x:c r="AN197" t="str">
        <x:f>_xlfn.XLOOKUP($A197,Games!$A$2:$A$18,Games!$I$2:$I$18,"Missing game",0)</x:f>
        <x:v>MIN</x:v>
      </x:c>
      <x:c r="AO197" t="n">
        <x:f>_xlfn.XLOOKUP($A197,Games!$A$2:$A$18,Games!$J$2:$J$18,"Missing game",0)</x:f>
        <x:v>6</x:v>
      </x:c>
      <x:c r="AP197" t="n">
        <x:f>_xlfn.XLOOKUP($A197,Games!$A$2:$A$18,Games!$K$2:$K$18,"Missing game",0)</x:f>
        <x:v>-16</x:v>
      </x:c>
      <x:c r="AQ197" t="n">
        <x:f>_xlfn.XLOOKUP($A197,Games!$A$2:$A$18,Games!$L$2:$L$18,"Missing game",0)</x:f>
        <x:v>28</x:v>
      </x:c>
      <x:c r="AR197" t="n">
        <x:f>_xlfn.XLOOKUP($A197,Games!$A$2:$A$18,Games!$M$2:$M$18,"Missing game",0)</x:f>
        <x:v>0</x:v>
      </x:c>
      <x:c r="AS197" t="str">
        <x:f>_xlfn.XLOOKUP($A197,Games!$A$2:$A$18,Games!$N$2:$N$18,"Missing game",0)</x:f>
        <x:v>dome</x:v>
      </x:c>
      <x:c r="AT197" t="str">
        <x:f>_xlfn.XLOOKUP($A197,Games!$A$2:$A$18,Games!$O$2:$O$18,"Missing game",0)</x:f>
        <x:v>sportturf</x:v>
      </x:c>
      <x:c r="AU197" t="str">
        <x:f>_xlfn.XLOOKUP($A197,Games!$A$2:$A$18,Games!$P$2:$P$18,"Missing game",0)</x:f>
      </x:c>
      <x:c r="AV197" t="str">
        <x:f>_xlfn.XLOOKUP($A197,Games!$A$2:$A$18,Games!$Q$2:$Q$18,"Missing game",0)</x:f>
      </x:c>
      <x:c r="AW197" t="str">
        <x:f>_xlfn.XLOOKUP($A197,Games!$A$2:$A$18,Games!$R$2:$R$18,"Missing game",0)</x:f>
        <x:v>U.S. Bank Stadium</x:v>
      </x:c>
    </x:row>
    <x:row r="198">
      <x:c r="A198" t="str">
        <x:v>2025_02_ATL_MIN</x:v>
      </x:c>
      <x:c r="B198" t="n">
        <x:v>485</x:v>
      </x:c>
      <x:c r="C198" t="n">
        <x:v>1</x:v>
      </x:c>
      <x:c r="D198" t="str">
        <x:v>07:07</x:v>
      </x:c>
      <x:c r="E198" t="n">
        <x:v>2</x:v>
      </x:c>
      <x:c r="F198" t="n">
        <x:v>5</x:v>
      </x:c>
      <x:c r="G198" t="str">
        <x:v>ATL</x:v>
      </x:c>
      <x:c r="H198" t="str">
        <x:v>MIN</x:v>
      </x:c>
      <x:c r="I198" t="str">
        <x:v>MIN</x:v>
      </x:c>
      <x:c r="J198" t="n">
        <x:v>10</x:v>
      </x:c>
      <x:c r="K198" t="str">
        <x:v>(7:07) (Shotgun) 9-M.Penix pass incomplete short right to 7-B.Robinson.</x:v>
      </x:c>
      <x:c r="L198" t="str">
        <x:v>pass</x:v>
      </x:c>
      <x:c r="M198" t="n">
        <x:v>0</x:v>
      </x:c>
      <x:c r="N198" t="n">
        <x:v>1</x:v>
      </x:c>
      <x:c r="O198" t="n">
        <x:v>0</x:v>
      </x:c>
      <x:c r="P198" t="str">
        <x:v>short</x:v>
      </x:c>
      <x:c r="Q198" t="str">
        <x:v>right</x:v>
      </x:c>
      <x:c r="R198" t="n">
        <x:v>5</x:v>
      </x:c>
      <x:c r="S198"/>
      <x:c r="T198"/>
      <x:c r="U198"/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/>
      <x:c r="AC198" t="n">
        <x:v>0</x:v>
      </x:c>
      <x:c r="AD198" t="n">
        <x:v>-0.7547997224610299</x:v>
      </x:c>
      <x:c r="AE198" t="n">
        <x:v>0</x:v>
      </x:c>
      <x:c r="AF198" t="n">
        <x:v>-0.014102578163146973</x:v>
      </x:c>
      <x:c r="AG198" t="n">
        <x:f>_xlfn.XLOOKUP($A198,Games!$A$2:$A$18,Games!$B$2:$B$18,"Missing game",0)</x:f>
        <x:v>2025</x:v>
      </x:c>
      <x:c r="AH198" t="str">
        <x:f>_xlfn.XLOOKUP($A198,Games!$A$2:$A$18,Games!$C$2:$C$18,"Missing game",0)</x:f>
        <x:v>REG</x:v>
      </x:c>
      <x:c r="AI198" t="n">
        <x:f>_xlfn.XLOOKUP($A198,Games!$A$2:$A$18,Games!$D$2:$D$18,"Missing game",0)</x:f>
        <x:v>2</x:v>
      </x:c>
      <x:c r="AJ198" s="1" t="n">
        <x:f>_xlfn.XLOOKUP($A198,Games!$A$2:$A$18,Games!$E$2:$E$18,"Missing game",0)</x:f>
        <x:v>45914</x:v>
      </x:c>
      <x:c r="AK198" t="str">
        <x:f>_xlfn.XLOOKUP($A198,Games!$A$2:$A$18,Games!$F$2:$F$18,"Missing game",0)</x:f>
        <x:v>Sunday</x:v>
      </x:c>
      <x:c r="AL198" t="str">
        <x:f>_xlfn.XLOOKUP($A198,Games!$A$2:$A$18,Games!$G$2:$G$18,"Missing game",0)</x:f>
        <x:v>ATL</x:v>
      </x:c>
      <x:c r="AM198" t="n">
        <x:f>_xlfn.XLOOKUP($A198,Games!$A$2:$A$18,Games!$H$2:$H$18,"Missing game",0)</x:f>
        <x:v>22</x:v>
      </x:c>
      <x:c r="AN198" t="str">
        <x:f>_xlfn.XLOOKUP($A198,Games!$A$2:$A$18,Games!$I$2:$I$18,"Missing game",0)</x:f>
        <x:v>MIN</x:v>
      </x:c>
      <x:c r="AO198" t="n">
        <x:f>_xlfn.XLOOKUP($A198,Games!$A$2:$A$18,Games!$J$2:$J$18,"Missing game",0)</x:f>
        <x:v>6</x:v>
      </x:c>
      <x:c r="AP198" t="n">
        <x:f>_xlfn.XLOOKUP($A198,Games!$A$2:$A$18,Games!$K$2:$K$18,"Missing game",0)</x:f>
        <x:v>-16</x:v>
      </x:c>
      <x:c r="AQ198" t="n">
        <x:f>_xlfn.XLOOKUP($A198,Games!$A$2:$A$18,Games!$L$2:$L$18,"Missing game",0)</x:f>
        <x:v>28</x:v>
      </x:c>
      <x:c r="AR198" t="n">
        <x:f>_xlfn.XLOOKUP($A198,Games!$A$2:$A$18,Games!$M$2:$M$18,"Missing game",0)</x:f>
        <x:v>0</x:v>
      </x:c>
      <x:c r="AS198" t="str">
        <x:f>_xlfn.XLOOKUP($A198,Games!$A$2:$A$18,Games!$N$2:$N$18,"Missing game",0)</x:f>
        <x:v>dome</x:v>
      </x:c>
      <x:c r="AT198" t="str">
        <x:f>_xlfn.XLOOKUP($A198,Games!$A$2:$A$18,Games!$O$2:$O$18,"Missing game",0)</x:f>
        <x:v>sportturf</x:v>
      </x:c>
      <x:c r="AU198" t="str">
        <x:f>_xlfn.XLOOKUP($A198,Games!$A$2:$A$18,Games!$P$2:$P$18,"Missing game",0)</x:f>
      </x:c>
      <x:c r="AV198" t="str">
        <x:f>_xlfn.XLOOKUP($A198,Games!$A$2:$A$18,Games!$Q$2:$Q$18,"Missing game",0)</x:f>
      </x:c>
      <x:c r="AW198" t="str">
        <x:f>_xlfn.XLOOKUP($A198,Games!$A$2:$A$18,Games!$R$2:$R$18,"Missing game",0)</x:f>
        <x:v>U.S. Bank Stadium</x:v>
      </x:c>
    </x:row>
    <x:row r="199">
      <x:c r="A199" t="str">
        <x:v>2025_02_ATL_MIN</x:v>
      </x:c>
      <x:c r="B199" t="n">
        <x:v>508</x:v>
      </x:c>
      <x:c r="C199" t="n">
        <x:v>1</x:v>
      </x:c>
      <x:c r="D199" t="str">
        <x:v>06:58</x:v>
      </x:c>
      <x:c r="E199" t="n">
        <x:v>3</x:v>
      </x:c>
      <x:c r="F199" t="n">
        <x:v>5</x:v>
      </x:c>
      <x:c r="G199" t="str">
        <x:v>ATL</x:v>
      </x:c>
      <x:c r="H199" t="str">
        <x:v>MIN</x:v>
      </x:c>
      <x:c r="I199" t="str">
        <x:v>MIN</x:v>
      </x:c>
      <x:c r="J199" t="n">
        <x:v>10</x:v>
      </x:c>
      <x:c r="K199" t="str">
        <x:v>(6:58) (Shotgun) 9-M.Penix pass incomplete short left to 1-D.Mooney.</x:v>
      </x:c>
      <x:c r="L199" t="str">
        <x:v>pass</x:v>
      </x:c>
      <x:c r="M199" t="n">
        <x:v>0</x:v>
      </x:c>
      <x:c r="N199" t="n">
        <x:v>1</x:v>
      </x:c>
      <x:c r="O199" t="n">
        <x:v>0</x:v>
      </x:c>
      <x:c r="P199" t="str">
        <x:v>short</x:v>
      </x:c>
      <x:c r="Q199" t="str">
        <x:v>left</x:v>
      </x:c>
      <x:c r="R199" t="n">
        <x:v>10</x:v>
      </x:c>
      <x:c r="S199"/>
      <x:c r="T199"/>
      <x:c r="U199"/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/>
      <x:c r="AC199" t="n">
        <x:v>0</x:v>
      </x:c>
      <x:c r="AD199" t="n">
        <x:v>-1.3033991804131193</x:v>
      </x:c>
      <x:c r="AE199" t="n">
        <x:v>0</x:v>
      </x:c>
      <x:c r="AF199" t="n">
        <x:v>-0.052793681621551514</x:v>
      </x:c>
      <x:c r="AG199" t="n">
        <x:f>_xlfn.XLOOKUP($A199,Games!$A$2:$A$18,Games!$B$2:$B$18,"Missing game",0)</x:f>
        <x:v>2025</x:v>
      </x:c>
      <x:c r="AH199" t="str">
        <x:f>_xlfn.XLOOKUP($A199,Games!$A$2:$A$18,Games!$C$2:$C$18,"Missing game",0)</x:f>
        <x:v>REG</x:v>
      </x:c>
      <x:c r="AI199" t="n">
        <x:f>_xlfn.XLOOKUP($A199,Games!$A$2:$A$18,Games!$D$2:$D$18,"Missing game",0)</x:f>
        <x:v>2</x:v>
      </x:c>
      <x:c r="AJ199" s="1" t="n">
        <x:f>_xlfn.XLOOKUP($A199,Games!$A$2:$A$18,Games!$E$2:$E$18,"Missing game",0)</x:f>
        <x:v>45914</x:v>
      </x:c>
      <x:c r="AK199" t="str">
        <x:f>_xlfn.XLOOKUP($A199,Games!$A$2:$A$18,Games!$F$2:$F$18,"Missing game",0)</x:f>
        <x:v>Sunday</x:v>
      </x:c>
      <x:c r="AL199" t="str">
        <x:f>_xlfn.XLOOKUP($A199,Games!$A$2:$A$18,Games!$G$2:$G$18,"Missing game",0)</x:f>
        <x:v>ATL</x:v>
      </x:c>
      <x:c r="AM199" t="n">
        <x:f>_xlfn.XLOOKUP($A199,Games!$A$2:$A$18,Games!$H$2:$H$18,"Missing game",0)</x:f>
        <x:v>22</x:v>
      </x:c>
      <x:c r="AN199" t="str">
        <x:f>_xlfn.XLOOKUP($A199,Games!$A$2:$A$18,Games!$I$2:$I$18,"Missing game",0)</x:f>
        <x:v>MIN</x:v>
      </x:c>
      <x:c r="AO199" t="n">
        <x:f>_xlfn.XLOOKUP($A199,Games!$A$2:$A$18,Games!$J$2:$J$18,"Missing game",0)</x:f>
        <x:v>6</x:v>
      </x:c>
      <x:c r="AP199" t="n">
        <x:f>_xlfn.XLOOKUP($A199,Games!$A$2:$A$18,Games!$K$2:$K$18,"Missing game",0)</x:f>
        <x:v>-16</x:v>
      </x:c>
      <x:c r="AQ199" t="n">
        <x:f>_xlfn.XLOOKUP($A199,Games!$A$2:$A$18,Games!$L$2:$L$18,"Missing game",0)</x:f>
        <x:v>28</x:v>
      </x:c>
      <x:c r="AR199" t="n">
        <x:f>_xlfn.XLOOKUP($A199,Games!$A$2:$A$18,Games!$M$2:$M$18,"Missing game",0)</x:f>
        <x:v>0</x:v>
      </x:c>
      <x:c r="AS199" t="str">
        <x:f>_xlfn.XLOOKUP($A199,Games!$A$2:$A$18,Games!$N$2:$N$18,"Missing game",0)</x:f>
        <x:v>dome</x:v>
      </x:c>
      <x:c r="AT199" t="str">
        <x:f>_xlfn.XLOOKUP($A199,Games!$A$2:$A$18,Games!$O$2:$O$18,"Missing game",0)</x:f>
        <x:v>sportturf</x:v>
      </x:c>
      <x:c r="AU199" t="str">
        <x:f>_xlfn.XLOOKUP($A199,Games!$A$2:$A$18,Games!$P$2:$P$18,"Missing game",0)</x:f>
      </x:c>
      <x:c r="AV199" t="str">
        <x:f>_xlfn.XLOOKUP($A199,Games!$A$2:$A$18,Games!$Q$2:$Q$18,"Missing game",0)</x:f>
      </x:c>
      <x:c r="AW199" t="str">
        <x:f>_xlfn.XLOOKUP($A199,Games!$A$2:$A$18,Games!$R$2:$R$18,"Missing game",0)</x:f>
        <x:v>U.S. Bank Stadium</x:v>
      </x:c>
    </x:row>
    <x:row r="200">
      <x:c r="A200" t="str">
        <x:v>2025_02_ATL_MIN</x:v>
      </x:c>
      <x:c r="B200" t="n">
        <x:v>531</x:v>
      </x:c>
      <x:c r="C200" t="n">
        <x:v>1</x:v>
      </x:c>
      <x:c r="D200" t="str">
        <x:v>06:51</x:v>
      </x:c>
      <x:c r="E200" t="n">
        <x:v>4</x:v>
      </x:c>
      <x:c r="F200" t="n">
        <x:v>5</x:v>
      </x:c>
      <x:c r="G200" t="str">
        <x:v>ATL</x:v>
      </x:c>
      <x:c r="H200" t="str">
        <x:v>MIN</x:v>
      </x:c>
      <x:c r="I200" t="str">
        <x:v>MIN</x:v>
      </x:c>
      <x:c r="J200" t="n">
        <x:v>10</x:v>
      </x:c>
      <x:c r="K200" t="str">
        <x:v>(6:51) 39-J.Romo 29 yard field goal is GOOD, Center-49-L.McCullough, Holder-13-B.Pinion.</x:v>
      </x:c>
      <x:c r="L200" t="str">
        <x:v>field_goal</x:v>
      </x:c>
      <x:c r="M200" t="n">
        <x:v>0</x:v>
      </x:c>
      <x:c r="N200" t="n">
        <x:v>0</x:v>
      </x:c>
      <x:c r="O200" t="n">
        <x:v>0</x:v>
      </x:c>
      <x:c r="P200"/>
      <x:c r="Q200"/>
      <x:c r="R200"/>
      <x:c r="S200"/>
      <x:c r="T200"/>
      <x:c r="U200"/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/>
      <x:c r="AC200" t="n">
        <x:v>0</x:v>
      </x:c>
      <x:c r="AD200" t="n">
        <x:v>0.06868313183252495</x:v>
      </x:c>
      <x:c r="AE200" t="n">
        <x:v>1</x:v>
      </x:c>
      <x:c r="AF200" t="n">
        <x:v>0.02031886577606201</x:v>
      </x:c>
      <x:c r="AG200" t="n">
        <x:f>_xlfn.XLOOKUP($A200,Games!$A$2:$A$18,Games!$B$2:$B$18,"Missing game",0)</x:f>
        <x:v>2025</x:v>
      </x:c>
      <x:c r="AH200" t="str">
        <x:f>_xlfn.XLOOKUP($A200,Games!$A$2:$A$18,Games!$C$2:$C$18,"Missing game",0)</x:f>
        <x:v>REG</x:v>
      </x:c>
      <x:c r="AI200" t="n">
        <x:f>_xlfn.XLOOKUP($A200,Games!$A$2:$A$18,Games!$D$2:$D$18,"Missing game",0)</x:f>
        <x:v>2</x:v>
      </x:c>
      <x:c r="AJ200" s="1" t="n">
        <x:f>_xlfn.XLOOKUP($A200,Games!$A$2:$A$18,Games!$E$2:$E$18,"Missing game",0)</x:f>
        <x:v>45914</x:v>
      </x:c>
      <x:c r="AK200" t="str">
        <x:f>_xlfn.XLOOKUP($A200,Games!$A$2:$A$18,Games!$F$2:$F$18,"Missing game",0)</x:f>
        <x:v>Sunday</x:v>
      </x:c>
      <x:c r="AL200" t="str">
        <x:f>_xlfn.XLOOKUP($A200,Games!$A$2:$A$18,Games!$G$2:$G$18,"Missing game",0)</x:f>
        <x:v>ATL</x:v>
      </x:c>
      <x:c r="AM200" t="n">
        <x:f>_xlfn.XLOOKUP($A200,Games!$A$2:$A$18,Games!$H$2:$H$18,"Missing game",0)</x:f>
        <x:v>22</x:v>
      </x:c>
      <x:c r="AN200" t="str">
        <x:f>_xlfn.XLOOKUP($A200,Games!$A$2:$A$18,Games!$I$2:$I$18,"Missing game",0)</x:f>
        <x:v>MIN</x:v>
      </x:c>
      <x:c r="AO200" t="n">
        <x:f>_xlfn.XLOOKUP($A200,Games!$A$2:$A$18,Games!$J$2:$J$18,"Missing game",0)</x:f>
        <x:v>6</x:v>
      </x:c>
      <x:c r="AP200" t="n">
        <x:f>_xlfn.XLOOKUP($A200,Games!$A$2:$A$18,Games!$K$2:$K$18,"Missing game",0)</x:f>
        <x:v>-16</x:v>
      </x:c>
      <x:c r="AQ200" t="n">
        <x:f>_xlfn.XLOOKUP($A200,Games!$A$2:$A$18,Games!$L$2:$L$18,"Missing game",0)</x:f>
        <x:v>28</x:v>
      </x:c>
      <x:c r="AR200" t="n">
        <x:f>_xlfn.XLOOKUP($A200,Games!$A$2:$A$18,Games!$M$2:$M$18,"Missing game",0)</x:f>
        <x:v>0</x:v>
      </x:c>
      <x:c r="AS200" t="str">
        <x:f>_xlfn.XLOOKUP($A200,Games!$A$2:$A$18,Games!$N$2:$N$18,"Missing game",0)</x:f>
        <x:v>dome</x:v>
      </x:c>
      <x:c r="AT200" t="str">
        <x:f>_xlfn.XLOOKUP($A200,Games!$A$2:$A$18,Games!$O$2:$O$18,"Missing game",0)</x:f>
        <x:v>sportturf</x:v>
      </x:c>
      <x:c r="AU200" t="str">
        <x:f>_xlfn.XLOOKUP($A200,Games!$A$2:$A$18,Games!$P$2:$P$18,"Missing game",0)</x:f>
      </x:c>
      <x:c r="AV200" t="str">
        <x:f>_xlfn.XLOOKUP($A200,Games!$A$2:$A$18,Games!$Q$2:$Q$18,"Missing game",0)</x:f>
      </x:c>
      <x:c r="AW200" t="str">
        <x:f>_xlfn.XLOOKUP($A200,Games!$A$2:$A$18,Games!$R$2:$R$18,"Missing game",0)</x:f>
        <x:v>U.S. Bank Stadium</x:v>
      </x:c>
    </x:row>
    <x:row r="201">
      <x:c r="A201" t="str">
        <x:v>2025_02_ATL_MIN</x:v>
      </x:c>
      <x:c r="B201" t="n">
        <x:v>551</x:v>
      </x:c>
      <x:c r="C201" t="n">
        <x:v>1</x:v>
      </x:c>
      <x:c r="D201" t="str">
        <x:v>06:48</x:v>
      </x:c>
      <x:c r="E201"/>
      <x:c r="F201" t="n">
        <x:v>0</x:v>
      </x:c>
      <x:c r="G201" t="str">
        <x:v>MIN</x:v>
      </x:c>
      <x:c r="H201" t="str">
        <x:v>ATL</x:v>
      </x:c>
      <x:c r="I201" t="str">
        <x:v>ATL</x:v>
      </x:c>
      <x:c r="J201" t="n">
        <x:v>35</x:v>
      </x:c>
      <x:c r="K201" t="str">
        <x:v>13-B.Pinion kicks 66 yards from ATL 35 to MIN -1. 4-M.Price to MIN 24 for 25 yards (28-M.Ford). PENALTY on MIN-59-G.Murphy, Offensive Holding, 10 yards, enforced at MIN 24.</x:v>
      </x:c>
      <x:c r="L201" t="str">
        <x:v>kickoff</x:v>
      </x:c>
      <x:c r="M201" t="n">
        <x:v>0</x:v>
      </x:c>
      <x:c r="N201" t="n">
        <x:v>0</x:v>
      </x:c>
      <x:c r="O201" t="n">
        <x:v>0</x:v>
      </x:c>
      <x:c r="P201"/>
      <x:c r="Q201"/>
      <x:c r="R201"/>
      <x:c r="S201"/>
      <x:c r="T201"/>
      <x:c r="U201"/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1</x:v>
      </x:c>
      <x:c r="AB201" t="n">
        <x:v>10</x:v>
      </x:c>
      <x:c r="AC201" t="n">
        <x:v>0</x:v>
      </x:c>
      <x:c r="AD201" t="n">
        <x:v>-0.7685726573690772</x:v>
      </x:c>
      <x:c r="AE201" t="n">
        <x:v>0</x:v>
      </x:c>
      <x:c r="AF201" t="n">
        <x:v>-0.012017011642456055</x:v>
      </x:c>
      <x:c r="AG201" t="n">
        <x:f>_xlfn.XLOOKUP($A201,Games!$A$2:$A$18,Games!$B$2:$B$18,"Missing game",0)</x:f>
        <x:v>2025</x:v>
      </x:c>
      <x:c r="AH201" t="str">
        <x:f>_xlfn.XLOOKUP($A201,Games!$A$2:$A$18,Games!$C$2:$C$18,"Missing game",0)</x:f>
        <x:v>REG</x:v>
      </x:c>
      <x:c r="AI201" t="n">
        <x:f>_xlfn.XLOOKUP($A201,Games!$A$2:$A$18,Games!$D$2:$D$18,"Missing game",0)</x:f>
        <x:v>2</x:v>
      </x:c>
      <x:c r="AJ201" s="1" t="n">
        <x:f>_xlfn.XLOOKUP($A201,Games!$A$2:$A$18,Games!$E$2:$E$18,"Missing game",0)</x:f>
        <x:v>45914</x:v>
      </x:c>
      <x:c r="AK201" t="str">
        <x:f>_xlfn.XLOOKUP($A201,Games!$A$2:$A$18,Games!$F$2:$F$18,"Missing game",0)</x:f>
        <x:v>Sunday</x:v>
      </x:c>
      <x:c r="AL201" t="str">
        <x:f>_xlfn.XLOOKUP($A201,Games!$A$2:$A$18,Games!$G$2:$G$18,"Missing game",0)</x:f>
        <x:v>ATL</x:v>
      </x:c>
      <x:c r="AM201" t="n">
        <x:f>_xlfn.XLOOKUP($A201,Games!$A$2:$A$18,Games!$H$2:$H$18,"Missing game",0)</x:f>
        <x:v>22</x:v>
      </x:c>
      <x:c r="AN201" t="str">
        <x:f>_xlfn.XLOOKUP($A201,Games!$A$2:$A$18,Games!$I$2:$I$18,"Missing game",0)</x:f>
        <x:v>MIN</x:v>
      </x:c>
      <x:c r="AO201" t="n">
        <x:f>_xlfn.XLOOKUP($A201,Games!$A$2:$A$18,Games!$J$2:$J$18,"Missing game",0)</x:f>
        <x:v>6</x:v>
      </x:c>
      <x:c r="AP201" t="n">
        <x:f>_xlfn.XLOOKUP($A201,Games!$A$2:$A$18,Games!$K$2:$K$18,"Missing game",0)</x:f>
        <x:v>-16</x:v>
      </x:c>
      <x:c r="AQ201" t="n">
        <x:f>_xlfn.XLOOKUP($A201,Games!$A$2:$A$18,Games!$L$2:$L$18,"Missing game",0)</x:f>
        <x:v>28</x:v>
      </x:c>
      <x:c r="AR201" t="n">
        <x:f>_xlfn.XLOOKUP($A201,Games!$A$2:$A$18,Games!$M$2:$M$18,"Missing game",0)</x:f>
        <x:v>0</x:v>
      </x:c>
      <x:c r="AS201" t="str">
        <x:f>_xlfn.XLOOKUP($A201,Games!$A$2:$A$18,Games!$N$2:$N$18,"Missing game",0)</x:f>
        <x:v>dome</x:v>
      </x:c>
      <x:c r="AT201" t="str">
        <x:f>_xlfn.XLOOKUP($A201,Games!$A$2:$A$18,Games!$O$2:$O$18,"Missing game",0)</x:f>
        <x:v>sportturf</x:v>
      </x:c>
      <x:c r="AU201" t="str">
        <x:f>_xlfn.XLOOKUP($A201,Games!$A$2:$A$18,Games!$P$2:$P$18,"Missing game",0)</x:f>
      </x:c>
      <x:c r="AV201" t="str">
        <x:f>_xlfn.XLOOKUP($A201,Games!$A$2:$A$18,Games!$Q$2:$Q$18,"Missing game",0)</x:f>
      </x:c>
      <x:c r="AW201" t="str">
        <x:f>_xlfn.XLOOKUP($A201,Games!$A$2:$A$18,Games!$R$2:$R$18,"Missing game",0)</x:f>
        <x:v>U.S. Bank Stadium</x:v>
      </x:c>
    </x:row>
    <x:row r="202">
      <x:c r="A202" t="str">
        <x:v>2025_02_ATL_MIN</x:v>
      </x:c>
      <x:c r="B202" t="n">
        <x:v>612</x:v>
      </x:c>
      <x:c r="C202" t="n">
        <x:v>1</x:v>
      </x:c>
      <x:c r="D202" t="str">
        <x:v>06:43</x:v>
      </x:c>
      <x:c r="E202" t="n">
        <x:v>1</x:v>
      </x:c>
      <x:c r="F202" t="n">
        <x:v>10</x:v>
      </x:c>
      <x:c r="G202" t="str">
        <x:v>MIN</x:v>
      </x:c>
      <x:c r="H202" t="str">
        <x:v>ATL</x:v>
      </x:c>
      <x:c r="I202" t="str">
        <x:v>MIN</x:v>
      </x:c>
      <x:c r="J202" t="n">
        <x:v>86</x:v>
      </x:c>
      <x:c r="K202" t="str">
        <x:v>(6:43) 33-A.Jones right end to MIN 21 for 7 yards (21-M.Hughes).</x:v>
      </x:c>
      <x:c r="L202" t="str">
        <x:v>run</x:v>
      </x:c>
      <x:c r="M202" t="n">
        <x:v>7</x:v>
      </x:c>
      <x:c r="N202" t="n">
        <x:v>0</x:v>
      </x:c>
      <x:c r="O202" t="n">
        <x:v>0</x:v>
      </x:c>
      <x:c r="P202"/>
      <x:c r="Q202"/>
      <x:c r="R202"/>
      <x:c r="S202"/>
      <x:c r="T202" t="str">
        <x:v>right</x:v>
      </x:c>
      <x:c r="U202" t="str">
        <x:v>end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/>
      <x:c r="AC202" t="n">
        <x:v>0</x:v>
      </x:c>
      <x:c r="AD202" t="n">
        <x:v>0.2873841472901404</x:v>
      </x:c>
      <x:c r="AE202" t="n">
        <x:v>1</x:v>
      </x:c>
      <x:c r="AF202" t="n">
        <x:v>0.008212059736251831</x:v>
      </x:c>
      <x:c r="AG202" t="n">
        <x:f>_xlfn.XLOOKUP($A202,Games!$A$2:$A$18,Games!$B$2:$B$18,"Missing game",0)</x:f>
        <x:v>2025</x:v>
      </x:c>
      <x:c r="AH202" t="str">
        <x:f>_xlfn.XLOOKUP($A202,Games!$A$2:$A$18,Games!$C$2:$C$18,"Missing game",0)</x:f>
        <x:v>REG</x:v>
      </x:c>
      <x:c r="AI202" t="n">
        <x:f>_xlfn.XLOOKUP($A202,Games!$A$2:$A$18,Games!$D$2:$D$18,"Missing game",0)</x:f>
        <x:v>2</x:v>
      </x:c>
      <x:c r="AJ202" s="1" t="n">
        <x:f>_xlfn.XLOOKUP($A202,Games!$A$2:$A$18,Games!$E$2:$E$18,"Missing game",0)</x:f>
        <x:v>45914</x:v>
      </x:c>
      <x:c r="AK202" t="str">
        <x:f>_xlfn.XLOOKUP($A202,Games!$A$2:$A$18,Games!$F$2:$F$18,"Missing game",0)</x:f>
        <x:v>Sunday</x:v>
      </x:c>
      <x:c r="AL202" t="str">
        <x:f>_xlfn.XLOOKUP($A202,Games!$A$2:$A$18,Games!$G$2:$G$18,"Missing game",0)</x:f>
        <x:v>ATL</x:v>
      </x:c>
      <x:c r="AM202" t="n">
        <x:f>_xlfn.XLOOKUP($A202,Games!$A$2:$A$18,Games!$H$2:$H$18,"Missing game",0)</x:f>
        <x:v>22</x:v>
      </x:c>
      <x:c r="AN202" t="str">
        <x:f>_xlfn.XLOOKUP($A202,Games!$A$2:$A$18,Games!$I$2:$I$18,"Missing game",0)</x:f>
        <x:v>MIN</x:v>
      </x:c>
      <x:c r="AO202" t="n">
        <x:f>_xlfn.XLOOKUP($A202,Games!$A$2:$A$18,Games!$J$2:$J$18,"Missing game",0)</x:f>
        <x:v>6</x:v>
      </x:c>
      <x:c r="AP202" t="n">
        <x:f>_xlfn.XLOOKUP($A202,Games!$A$2:$A$18,Games!$K$2:$K$18,"Missing game",0)</x:f>
        <x:v>-16</x:v>
      </x:c>
      <x:c r="AQ202" t="n">
        <x:f>_xlfn.XLOOKUP($A202,Games!$A$2:$A$18,Games!$L$2:$L$18,"Missing game",0)</x:f>
        <x:v>28</x:v>
      </x:c>
      <x:c r="AR202" t="n">
        <x:f>_xlfn.XLOOKUP($A202,Games!$A$2:$A$18,Games!$M$2:$M$18,"Missing game",0)</x:f>
        <x:v>0</x:v>
      </x:c>
      <x:c r="AS202" t="str">
        <x:f>_xlfn.XLOOKUP($A202,Games!$A$2:$A$18,Games!$N$2:$N$18,"Missing game",0)</x:f>
        <x:v>dome</x:v>
      </x:c>
      <x:c r="AT202" t="str">
        <x:f>_xlfn.XLOOKUP($A202,Games!$A$2:$A$18,Games!$O$2:$O$18,"Missing game",0)</x:f>
        <x:v>sportturf</x:v>
      </x:c>
      <x:c r="AU202" t="str">
        <x:f>_xlfn.XLOOKUP($A202,Games!$A$2:$A$18,Games!$P$2:$P$18,"Missing game",0)</x:f>
      </x:c>
      <x:c r="AV202" t="str">
        <x:f>_xlfn.XLOOKUP($A202,Games!$A$2:$A$18,Games!$Q$2:$Q$18,"Missing game",0)</x:f>
      </x:c>
      <x:c r="AW202" t="str">
        <x:f>_xlfn.XLOOKUP($A202,Games!$A$2:$A$18,Games!$R$2:$R$18,"Missing game",0)</x:f>
        <x:v>U.S. Bank Stadium</x:v>
      </x:c>
    </x:row>
    <x:row r="203">
      <x:c r="A203" t="str">
        <x:v>2025_02_ATL_MIN</x:v>
      </x:c>
      <x:c r="B203" t="n">
        <x:v>634</x:v>
      </x:c>
      <x:c r="C203" t="n">
        <x:v>1</x:v>
      </x:c>
      <x:c r="D203" t="str">
        <x:v>06:05</x:v>
      </x:c>
      <x:c r="E203" t="n">
        <x:v>2</x:v>
      </x:c>
      <x:c r="F203" t="n">
        <x:v>3</x:v>
      </x:c>
      <x:c r="G203" t="str">
        <x:v>MIN</x:v>
      </x:c>
      <x:c r="H203" t="str">
        <x:v>ATL</x:v>
      </x:c>
      <x:c r="I203" t="str">
        <x:v>MIN</x:v>
      </x:c>
      <x:c r="J203" t="n">
        <x:v>79</x:v>
      </x:c>
      <x:c r="K203" t="str">
        <x:v>(6:05) 33-A.Jones left end to MIN 22 for 1 yard (17-A.Ebiketie).</x:v>
      </x:c>
      <x:c r="L203" t="str">
        <x:v>run</x:v>
      </x:c>
      <x:c r="M203" t="n">
        <x:v>1</x:v>
      </x:c>
      <x:c r="N203" t="n">
        <x:v>0</x:v>
      </x:c>
      <x:c r="O203" t="n">
        <x:v>0</x:v>
      </x:c>
      <x:c r="P203"/>
      <x:c r="Q203"/>
      <x:c r="R203"/>
      <x:c r="S203"/>
      <x:c r="T203" t="str">
        <x:v>left</x:v>
      </x:c>
      <x:c r="U203" t="str">
        <x:v>end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/>
      <x:c r="AC203" t="n">
        <x:v>0</x:v>
      </x:c>
      <x:c r="AD203" t="n">
        <x:v>-0.5561892385594547</x:v>
      </x:c>
      <x:c r="AE203" t="n">
        <x:v>0</x:v>
      </x:c>
      <x:c r="AF203" t="n">
        <x:v>-0.009476453065872192</x:v>
      </x:c>
      <x:c r="AG203" t="n">
        <x:f>_xlfn.XLOOKUP($A203,Games!$A$2:$A$18,Games!$B$2:$B$18,"Missing game",0)</x:f>
        <x:v>2025</x:v>
      </x:c>
      <x:c r="AH203" t="str">
        <x:f>_xlfn.XLOOKUP($A203,Games!$A$2:$A$18,Games!$C$2:$C$18,"Missing game",0)</x:f>
        <x:v>REG</x:v>
      </x:c>
      <x:c r="AI203" t="n">
        <x:f>_xlfn.XLOOKUP($A203,Games!$A$2:$A$18,Games!$D$2:$D$18,"Missing game",0)</x:f>
        <x:v>2</x:v>
      </x:c>
      <x:c r="AJ203" s="1" t="n">
        <x:f>_xlfn.XLOOKUP($A203,Games!$A$2:$A$18,Games!$E$2:$E$18,"Missing game",0)</x:f>
        <x:v>45914</x:v>
      </x:c>
      <x:c r="AK203" t="str">
        <x:f>_xlfn.XLOOKUP($A203,Games!$A$2:$A$18,Games!$F$2:$F$18,"Missing game",0)</x:f>
        <x:v>Sunday</x:v>
      </x:c>
      <x:c r="AL203" t="str">
        <x:f>_xlfn.XLOOKUP($A203,Games!$A$2:$A$18,Games!$G$2:$G$18,"Missing game",0)</x:f>
        <x:v>ATL</x:v>
      </x:c>
      <x:c r="AM203" t="n">
        <x:f>_xlfn.XLOOKUP($A203,Games!$A$2:$A$18,Games!$H$2:$H$18,"Missing game",0)</x:f>
        <x:v>22</x:v>
      </x:c>
      <x:c r="AN203" t="str">
        <x:f>_xlfn.XLOOKUP($A203,Games!$A$2:$A$18,Games!$I$2:$I$18,"Missing game",0)</x:f>
        <x:v>MIN</x:v>
      </x:c>
      <x:c r="AO203" t="n">
        <x:f>_xlfn.XLOOKUP($A203,Games!$A$2:$A$18,Games!$J$2:$J$18,"Missing game",0)</x:f>
        <x:v>6</x:v>
      </x:c>
      <x:c r="AP203" t="n">
        <x:f>_xlfn.XLOOKUP($A203,Games!$A$2:$A$18,Games!$K$2:$K$18,"Missing game",0)</x:f>
        <x:v>-16</x:v>
      </x:c>
      <x:c r="AQ203" t="n">
        <x:f>_xlfn.XLOOKUP($A203,Games!$A$2:$A$18,Games!$L$2:$L$18,"Missing game",0)</x:f>
        <x:v>28</x:v>
      </x:c>
      <x:c r="AR203" t="n">
        <x:f>_xlfn.XLOOKUP($A203,Games!$A$2:$A$18,Games!$M$2:$M$18,"Missing game",0)</x:f>
        <x:v>0</x:v>
      </x:c>
      <x:c r="AS203" t="str">
        <x:f>_xlfn.XLOOKUP($A203,Games!$A$2:$A$18,Games!$N$2:$N$18,"Missing game",0)</x:f>
        <x:v>dome</x:v>
      </x:c>
      <x:c r="AT203" t="str">
        <x:f>_xlfn.XLOOKUP($A203,Games!$A$2:$A$18,Games!$O$2:$O$18,"Missing game",0)</x:f>
        <x:v>sportturf</x:v>
      </x:c>
      <x:c r="AU203" t="str">
        <x:f>_xlfn.XLOOKUP($A203,Games!$A$2:$A$18,Games!$P$2:$P$18,"Missing game",0)</x:f>
      </x:c>
      <x:c r="AV203" t="str">
        <x:f>_xlfn.XLOOKUP($A203,Games!$A$2:$A$18,Games!$Q$2:$Q$18,"Missing game",0)</x:f>
      </x:c>
      <x:c r="AW203" t="str">
        <x:f>_xlfn.XLOOKUP($A203,Games!$A$2:$A$18,Games!$R$2:$R$18,"Missing game",0)</x:f>
        <x:v>U.S. Bank Stadium</x:v>
      </x:c>
    </x:row>
    <x:row r="204">
      <x:c r="A204" t="str">
        <x:v>2025_02_ATL_MIN</x:v>
      </x:c>
      <x:c r="B204" t="n">
        <x:v>656</x:v>
      </x:c>
      <x:c r="C204" t="n">
        <x:v>1</x:v>
      </x:c>
      <x:c r="D204" t="str">
        <x:v>05:26</x:v>
      </x:c>
      <x:c r="E204" t="n">
        <x:v>3</x:v>
      </x:c>
      <x:c r="F204" t="n">
        <x:v>2</x:v>
      </x:c>
      <x:c r="G204" t="str">
        <x:v>MIN</x:v>
      </x:c>
      <x:c r="H204" t="str">
        <x:v>ATL</x:v>
      </x:c>
      <x:c r="I204" t="str">
        <x:v>MIN</x:v>
      </x:c>
      <x:c r="J204" t="n">
        <x:v>78</x:v>
      </x:c>
      <x:c r="K204" t="str">
        <x:v>(5:26) (Shotgun) 9-J.McCarthy sacked at MIN 13 for -9 yards (sack split by 27-J.Pearce and 54-B.Dorlus).</x:v>
      </x:c>
      <x:c r="L204" t="str">
        <x:v>pass</x:v>
      </x:c>
      <x:c r="M204" t="n">
        <x:v>-9</x:v>
      </x:c>
      <x:c r="N204" t="n">
        <x:v>1</x:v>
      </x:c>
      <x:c r="O204" t="n">
        <x:v>0</x:v>
      </x:c>
      <x:c r="P204"/>
      <x:c r="Q204"/>
      <x:c r="R204"/>
      <x:c r="S204"/>
      <x:c r="T204"/>
      <x:c r="U204"/>
      <x:c r="V204" t="n">
        <x:v>0</x:v>
      </x:c>
      <x:c r="W204" t="n">
        <x:v>0</x:v>
      </x:c>
      <x:c r="X204" t="n">
        <x:v>1</x:v>
      </x:c>
      <x:c r="Y204" t="n">
        <x:v>0</x:v>
      </x:c>
      <x:c r="Z204" t="n">
        <x:v>0</x:v>
      </x:c>
      <x:c r="AA204" t="n">
        <x:v>0</x:v>
      </x:c>
      <x:c r="AB204"/>
      <x:c r="AC204" t="n">
        <x:v>0</x:v>
      </x:c>
      <x:c r="AD204" t="n">
        <x:v>-2.707258489448577</x:v>
      </x:c>
      <x:c r="AE204" t="n">
        <x:v>0</x:v>
      </x:c>
      <x:c r="AF204" t="n">
        <x:v>-0.06411504745483398</x:v>
      </x:c>
      <x:c r="AG204" t="n">
        <x:f>_xlfn.XLOOKUP($A204,Games!$A$2:$A$18,Games!$B$2:$B$18,"Missing game",0)</x:f>
        <x:v>2025</x:v>
      </x:c>
      <x:c r="AH204" t="str">
        <x:f>_xlfn.XLOOKUP($A204,Games!$A$2:$A$18,Games!$C$2:$C$18,"Missing game",0)</x:f>
        <x:v>REG</x:v>
      </x:c>
      <x:c r="AI204" t="n">
        <x:f>_xlfn.XLOOKUP($A204,Games!$A$2:$A$18,Games!$D$2:$D$18,"Missing game",0)</x:f>
        <x:v>2</x:v>
      </x:c>
      <x:c r="AJ204" s="1" t="n">
        <x:f>_xlfn.XLOOKUP($A204,Games!$A$2:$A$18,Games!$E$2:$E$18,"Missing game",0)</x:f>
        <x:v>45914</x:v>
      </x:c>
      <x:c r="AK204" t="str">
        <x:f>_xlfn.XLOOKUP($A204,Games!$A$2:$A$18,Games!$F$2:$F$18,"Missing game",0)</x:f>
        <x:v>Sunday</x:v>
      </x:c>
      <x:c r="AL204" t="str">
        <x:f>_xlfn.XLOOKUP($A204,Games!$A$2:$A$18,Games!$G$2:$G$18,"Missing game",0)</x:f>
        <x:v>ATL</x:v>
      </x:c>
      <x:c r="AM204" t="n">
        <x:f>_xlfn.XLOOKUP($A204,Games!$A$2:$A$18,Games!$H$2:$H$18,"Missing game",0)</x:f>
        <x:v>22</x:v>
      </x:c>
      <x:c r="AN204" t="str">
        <x:f>_xlfn.XLOOKUP($A204,Games!$A$2:$A$18,Games!$I$2:$I$18,"Missing game",0)</x:f>
        <x:v>MIN</x:v>
      </x:c>
      <x:c r="AO204" t="n">
        <x:f>_xlfn.XLOOKUP($A204,Games!$A$2:$A$18,Games!$J$2:$J$18,"Missing game",0)</x:f>
        <x:v>6</x:v>
      </x:c>
      <x:c r="AP204" t="n">
        <x:f>_xlfn.XLOOKUP($A204,Games!$A$2:$A$18,Games!$K$2:$K$18,"Missing game",0)</x:f>
        <x:v>-16</x:v>
      </x:c>
      <x:c r="AQ204" t="n">
        <x:f>_xlfn.XLOOKUP($A204,Games!$A$2:$A$18,Games!$L$2:$L$18,"Missing game",0)</x:f>
        <x:v>28</x:v>
      </x:c>
      <x:c r="AR204" t="n">
        <x:f>_xlfn.XLOOKUP($A204,Games!$A$2:$A$18,Games!$M$2:$M$18,"Missing game",0)</x:f>
        <x:v>0</x:v>
      </x:c>
      <x:c r="AS204" t="str">
        <x:f>_xlfn.XLOOKUP($A204,Games!$A$2:$A$18,Games!$N$2:$N$18,"Missing game",0)</x:f>
        <x:v>dome</x:v>
      </x:c>
      <x:c r="AT204" t="str">
        <x:f>_xlfn.XLOOKUP($A204,Games!$A$2:$A$18,Games!$O$2:$O$18,"Missing game",0)</x:f>
        <x:v>sportturf</x:v>
      </x:c>
      <x:c r="AU204" t="str">
        <x:f>_xlfn.XLOOKUP($A204,Games!$A$2:$A$18,Games!$P$2:$P$18,"Missing game",0)</x:f>
      </x:c>
      <x:c r="AV204" t="str">
        <x:f>_xlfn.XLOOKUP($A204,Games!$A$2:$A$18,Games!$Q$2:$Q$18,"Missing game",0)</x:f>
      </x:c>
      <x:c r="AW204" t="str">
        <x:f>_xlfn.XLOOKUP($A204,Games!$A$2:$A$18,Games!$R$2:$R$18,"Missing game",0)</x:f>
        <x:v>U.S. Bank Stadium</x:v>
      </x:c>
    </x:row>
    <x:row r="205">
      <x:c r="A205" t="str">
        <x:v>2025_02_ATL_MIN</x:v>
      </x:c>
      <x:c r="B205" t="n">
        <x:v>676</x:v>
      </x:c>
      <x:c r="C205" t="n">
        <x:v>1</x:v>
      </x:c>
      <x:c r="D205" t="str">
        <x:v>04:42</x:v>
      </x:c>
      <x:c r="E205" t="n">
        <x:v>4</x:v>
      </x:c>
      <x:c r="F205" t="n">
        <x:v>11</x:v>
      </x:c>
      <x:c r="G205" t="str">
        <x:v>MIN</x:v>
      </x:c>
      <x:c r="H205" t="str">
        <x:v>ATL</x:v>
      </x:c>
      <x:c r="I205" t="str">
        <x:v>MIN</x:v>
      </x:c>
      <x:c r="J205" t="n">
        <x:v>87</x:v>
      </x:c>
      <x:c r="K205" t="str">
        <x:v>(4:42) 17-R.Wright punts 59 yards to ATL 28, Center-42-A.DePaola, fair catch by 20-D.Alford.</x:v>
      </x:c>
      <x:c r="L205" t="str">
        <x:v>punt</x:v>
      </x:c>
      <x:c r="M205" t="n">
        <x:v>0</x:v>
      </x:c>
      <x:c r="N205" t="n">
        <x:v>0</x:v>
      </x:c>
      <x:c r="O205" t="n">
        <x:v>0</x:v>
      </x:c>
      <x:c r="P205"/>
      <x:c r="Q205"/>
      <x:c r="R205"/>
      <x:c r="S205"/>
      <x:c r="T205"/>
      <x:c r="U205"/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/>
      <x:c r="AC205" t="n">
        <x:v>0</x:v>
      </x:c>
      <x:c r="AD205" t="n">
        <x:v>0.8275178896728903</x:v>
      </x:c>
      <x:c r="AE205" t="n">
        <x:v>1</x:v>
      </x:c>
      <x:c r="AF205" t="n">
        <x:v>-0.007738471031188965</x:v>
      </x:c>
      <x:c r="AG205" t="n">
        <x:f>_xlfn.XLOOKUP($A205,Games!$A$2:$A$18,Games!$B$2:$B$18,"Missing game",0)</x:f>
        <x:v>2025</x:v>
      </x:c>
      <x:c r="AH205" t="str">
        <x:f>_xlfn.XLOOKUP($A205,Games!$A$2:$A$18,Games!$C$2:$C$18,"Missing game",0)</x:f>
        <x:v>REG</x:v>
      </x:c>
      <x:c r="AI205" t="n">
        <x:f>_xlfn.XLOOKUP($A205,Games!$A$2:$A$18,Games!$D$2:$D$18,"Missing game",0)</x:f>
        <x:v>2</x:v>
      </x:c>
      <x:c r="AJ205" s="1" t="n">
        <x:f>_xlfn.XLOOKUP($A205,Games!$A$2:$A$18,Games!$E$2:$E$18,"Missing game",0)</x:f>
        <x:v>45914</x:v>
      </x:c>
      <x:c r="AK205" t="str">
        <x:f>_xlfn.XLOOKUP($A205,Games!$A$2:$A$18,Games!$F$2:$F$18,"Missing game",0)</x:f>
        <x:v>Sunday</x:v>
      </x:c>
      <x:c r="AL205" t="str">
        <x:f>_xlfn.XLOOKUP($A205,Games!$A$2:$A$18,Games!$G$2:$G$18,"Missing game",0)</x:f>
        <x:v>ATL</x:v>
      </x:c>
      <x:c r="AM205" t="n">
        <x:f>_xlfn.XLOOKUP($A205,Games!$A$2:$A$18,Games!$H$2:$H$18,"Missing game",0)</x:f>
        <x:v>22</x:v>
      </x:c>
      <x:c r="AN205" t="str">
        <x:f>_xlfn.XLOOKUP($A205,Games!$A$2:$A$18,Games!$I$2:$I$18,"Missing game",0)</x:f>
        <x:v>MIN</x:v>
      </x:c>
      <x:c r="AO205" t="n">
        <x:f>_xlfn.XLOOKUP($A205,Games!$A$2:$A$18,Games!$J$2:$J$18,"Missing game",0)</x:f>
        <x:v>6</x:v>
      </x:c>
      <x:c r="AP205" t="n">
        <x:f>_xlfn.XLOOKUP($A205,Games!$A$2:$A$18,Games!$K$2:$K$18,"Missing game",0)</x:f>
        <x:v>-16</x:v>
      </x:c>
      <x:c r="AQ205" t="n">
        <x:f>_xlfn.XLOOKUP($A205,Games!$A$2:$A$18,Games!$L$2:$L$18,"Missing game",0)</x:f>
        <x:v>28</x:v>
      </x:c>
      <x:c r="AR205" t="n">
        <x:f>_xlfn.XLOOKUP($A205,Games!$A$2:$A$18,Games!$M$2:$M$18,"Missing game",0)</x:f>
        <x:v>0</x:v>
      </x:c>
      <x:c r="AS205" t="str">
        <x:f>_xlfn.XLOOKUP($A205,Games!$A$2:$A$18,Games!$N$2:$N$18,"Missing game",0)</x:f>
        <x:v>dome</x:v>
      </x:c>
      <x:c r="AT205" t="str">
        <x:f>_xlfn.XLOOKUP($A205,Games!$A$2:$A$18,Games!$O$2:$O$18,"Missing game",0)</x:f>
        <x:v>sportturf</x:v>
      </x:c>
      <x:c r="AU205" t="str">
        <x:f>_xlfn.XLOOKUP($A205,Games!$A$2:$A$18,Games!$P$2:$P$18,"Missing game",0)</x:f>
      </x:c>
      <x:c r="AV205" t="str">
        <x:f>_xlfn.XLOOKUP($A205,Games!$A$2:$A$18,Games!$Q$2:$Q$18,"Missing game",0)</x:f>
      </x:c>
      <x:c r="AW205" t="str">
        <x:f>_xlfn.XLOOKUP($A205,Games!$A$2:$A$18,Games!$R$2:$R$18,"Missing game",0)</x:f>
        <x:v>U.S. Bank Stadium</x:v>
      </x:c>
    </x:row>
    <x:row r="206">
      <x:c r="A206" t="str">
        <x:v>2025_02_ATL_MIN</x:v>
      </x:c>
      <x:c r="B206" t="n">
        <x:v>696</x:v>
      </x:c>
      <x:c r="C206" t="n">
        <x:v>1</x:v>
      </x:c>
      <x:c r="D206" t="str">
        <x:v>04:35</x:v>
      </x:c>
      <x:c r="E206" t="n">
        <x:v>1</x:v>
      </x:c>
      <x:c r="F206" t="n">
        <x:v>10</x:v>
      </x:c>
      <x:c r="G206" t="str">
        <x:v>ATL</x:v>
      </x:c>
      <x:c r="H206" t="str">
        <x:v>MIN</x:v>
      </x:c>
      <x:c r="I206" t="str">
        <x:v>ATL</x:v>
      </x:c>
      <x:c r="J206" t="n">
        <x:v>72</x:v>
      </x:c>
      <x:c r="K206" t="str">
        <x:v>(4:35) (Shotgun) 9-M.Penix pass short right to 25-T.Allgeier to ATL 31 for 3 yards (2-I.Rodgers). PENALTY on MIN-7-B.Murphy, Illegal Contact, 5 yards, enforced at ATL 28 - No Play.</x:v>
      </x:c>
      <x:c r="L206" t="str">
        <x:v>no_play</x:v>
      </x:c>
      <x:c r="M206" t="n">
        <x:v>0</x:v>
      </x:c>
      <x:c r="N206" t="n">
        <x:v>1</x:v>
      </x:c>
      <x:c r="O206" t="n">
        <x:v>0</x:v>
      </x:c>
      <x:c r="P206"/>
      <x:c r="Q206"/>
      <x:c r="R206"/>
      <x:c r="S206"/>
      <x:c r="T206"/>
      <x:c r="U206"/>
      <x:c r="V206" t="n">
        <x:v>0</x:v>
      </x:c>
      <x:c r="W206" t="n">
        <x:v>1</x:v>
      </x:c>
      <x:c r="X206" t="n">
        <x:v>0</x:v>
      </x:c>
      <x:c r="Y206" t="n">
        <x:v>0</x:v>
      </x:c>
      <x:c r="Z206" t="n">
        <x:v>0</x:v>
      </x:c>
      <x:c r="AA206" t="n">
        <x:v>1</x:v>
      </x:c>
      <x:c r="AB206" t="n">
        <x:v>5</x:v>
      </x:c>
      <x:c r="AC206" t="n">
        <x:v>0</x:v>
      </x:c>
      <x:c r="AD206" t="n">
        <x:v>0.37298308755271137</x:v>
      </x:c>
      <x:c r="AE206" t="n">
        <x:v>1</x:v>
      </x:c>
      <x:c r="AF206" t="n">
        <x:v>0.014530062675476074</x:v>
      </x:c>
      <x:c r="AG206" t="n">
        <x:f>_xlfn.XLOOKUP($A206,Games!$A$2:$A$18,Games!$B$2:$B$18,"Missing game",0)</x:f>
        <x:v>2025</x:v>
      </x:c>
      <x:c r="AH206" t="str">
        <x:f>_xlfn.XLOOKUP($A206,Games!$A$2:$A$18,Games!$C$2:$C$18,"Missing game",0)</x:f>
        <x:v>REG</x:v>
      </x:c>
      <x:c r="AI206" t="n">
        <x:f>_xlfn.XLOOKUP($A206,Games!$A$2:$A$18,Games!$D$2:$D$18,"Missing game",0)</x:f>
        <x:v>2</x:v>
      </x:c>
      <x:c r="AJ206" s="1" t="n">
        <x:f>_xlfn.XLOOKUP($A206,Games!$A$2:$A$18,Games!$E$2:$E$18,"Missing game",0)</x:f>
        <x:v>45914</x:v>
      </x:c>
      <x:c r="AK206" t="str">
        <x:f>_xlfn.XLOOKUP($A206,Games!$A$2:$A$18,Games!$F$2:$F$18,"Missing game",0)</x:f>
        <x:v>Sunday</x:v>
      </x:c>
      <x:c r="AL206" t="str">
        <x:f>_xlfn.XLOOKUP($A206,Games!$A$2:$A$18,Games!$G$2:$G$18,"Missing game",0)</x:f>
        <x:v>ATL</x:v>
      </x:c>
      <x:c r="AM206" t="n">
        <x:f>_xlfn.XLOOKUP($A206,Games!$A$2:$A$18,Games!$H$2:$H$18,"Missing game",0)</x:f>
        <x:v>22</x:v>
      </x:c>
      <x:c r="AN206" t="str">
        <x:f>_xlfn.XLOOKUP($A206,Games!$A$2:$A$18,Games!$I$2:$I$18,"Missing game",0)</x:f>
        <x:v>MIN</x:v>
      </x:c>
      <x:c r="AO206" t="n">
        <x:f>_xlfn.XLOOKUP($A206,Games!$A$2:$A$18,Games!$J$2:$J$18,"Missing game",0)</x:f>
        <x:v>6</x:v>
      </x:c>
      <x:c r="AP206" t="n">
        <x:f>_xlfn.XLOOKUP($A206,Games!$A$2:$A$18,Games!$K$2:$K$18,"Missing game",0)</x:f>
        <x:v>-16</x:v>
      </x:c>
      <x:c r="AQ206" t="n">
        <x:f>_xlfn.XLOOKUP($A206,Games!$A$2:$A$18,Games!$L$2:$L$18,"Missing game",0)</x:f>
        <x:v>28</x:v>
      </x:c>
      <x:c r="AR206" t="n">
        <x:f>_xlfn.XLOOKUP($A206,Games!$A$2:$A$18,Games!$M$2:$M$18,"Missing game",0)</x:f>
        <x:v>0</x:v>
      </x:c>
      <x:c r="AS206" t="str">
        <x:f>_xlfn.XLOOKUP($A206,Games!$A$2:$A$18,Games!$N$2:$N$18,"Missing game",0)</x:f>
        <x:v>dome</x:v>
      </x:c>
      <x:c r="AT206" t="str">
        <x:f>_xlfn.XLOOKUP($A206,Games!$A$2:$A$18,Games!$O$2:$O$18,"Missing game",0)</x:f>
        <x:v>sportturf</x:v>
      </x:c>
      <x:c r="AU206" t="str">
        <x:f>_xlfn.XLOOKUP($A206,Games!$A$2:$A$18,Games!$P$2:$P$18,"Missing game",0)</x:f>
      </x:c>
      <x:c r="AV206" t="str">
        <x:f>_xlfn.XLOOKUP($A206,Games!$A$2:$A$18,Games!$Q$2:$Q$18,"Missing game",0)</x:f>
      </x:c>
      <x:c r="AW206" t="str">
        <x:f>_xlfn.XLOOKUP($A206,Games!$A$2:$A$18,Games!$R$2:$R$18,"Missing game",0)</x:f>
        <x:v>U.S. Bank Stadium</x:v>
      </x:c>
    </x:row>
    <x:row r="207">
      <x:c r="A207" t="str">
        <x:v>2025_02_ATL_MIN</x:v>
      </x:c>
      <x:c r="B207" t="n">
        <x:v>739</x:v>
      </x:c>
      <x:c r="C207" t="n">
        <x:v>1</x:v>
      </x:c>
      <x:c r="D207" t="str">
        <x:v>04:08</x:v>
      </x:c>
      <x:c r="E207" t="n">
        <x:v>1</x:v>
      </x:c>
      <x:c r="F207" t="n">
        <x:v>10</x:v>
      </x:c>
      <x:c r="G207" t="str">
        <x:v>ATL</x:v>
      </x:c>
      <x:c r="H207" t="str">
        <x:v>MIN</x:v>
      </x:c>
      <x:c r="I207" t="str">
        <x:v>ATL</x:v>
      </x:c>
      <x:c r="J207" t="n">
        <x:v>67</x:v>
      </x:c>
      <x:c r="K207" t="str">
        <x:v>(4:08) (Shotgun) 25-T.Allgeier up the middle to ATL 38 for 5 yards (97-J.Hargrave).</x:v>
      </x:c>
      <x:c r="L207" t="str">
        <x:v>run</x:v>
      </x:c>
      <x:c r="M207" t="n">
        <x:v>5</x:v>
      </x:c>
      <x:c r="N207" t="n">
        <x:v>1</x:v>
      </x:c>
      <x:c r="O207" t="n">
        <x:v>0</x:v>
      </x:c>
      <x:c r="P207"/>
      <x:c r="Q207"/>
      <x:c r="R207"/>
      <x:c r="S207"/>
      <x:c r="T207" t="str">
        <x:v>middle</x:v>
      </x:c>
      <x:c r="U207"/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/>
      <x:c r="AC207" t="n">
        <x:v>0</x:v>
      </x:c>
      <x:c r="AD207" t="n">
        <x:v>-0.0490651607979089</x:v>
      </x:c>
      <x:c r="AE207" t="n">
        <x:v>0</x:v>
      </x:c>
      <x:c r="AF207" t="n">
        <x:v>0.002010822296142578</x:v>
      </x:c>
      <x:c r="AG207" t="n">
        <x:f>_xlfn.XLOOKUP($A207,Games!$A$2:$A$18,Games!$B$2:$B$18,"Missing game",0)</x:f>
        <x:v>2025</x:v>
      </x:c>
      <x:c r="AH207" t="str">
        <x:f>_xlfn.XLOOKUP($A207,Games!$A$2:$A$18,Games!$C$2:$C$18,"Missing game",0)</x:f>
        <x:v>REG</x:v>
      </x:c>
      <x:c r="AI207" t="n">
        <x:f>_xlfn.XLOOKUP($A207,Games!$A$2:$A$18,Games!$D$2:$D$18,"Missing game",0)</x:f>
        <x:v>2</x:v>
      </x:c>
      <x:c r="AJ207" s="1" t="n">
        <x:f>_xlfn.XLOOKUP($A207,Games!$A$2:$A$18,Games!$E$2:$E$18,"Missing game",0)</x:f>
        <x:v>45914</x:v>
      </x:c>
      <x:c r="AK207" t="str">
        <x:f>_xlfn.XLOOKUP($A207,Games!$A$2:$A$18,Games!$F$2:$F$18,"Missing game",0)</x:f>
        <x:v>Sunday</x:v>
      </x:c>
      <x:c r="AL207" t="str">
        <x:f>_xlfn.XLOOKUP($A207,Games!$A$2:$A$18,Games!$G$2:$G$18,"Missing game",0)</x:f>
        <x:v>ATL</x:v>
      </x:c>
      <x:c r="AM207" t="n">
        <x:f>_xlfn.XLOOKUP($A207,Games!$A$2:$A$18,Games!$H$2:$H$18,"Missing game",0)</x:f>
        <x:v>22</x:v>
      </x:c>
      <x:c r="AN207" t="str">
        <x:f>_xlfn.XLOOKUP($A207,Games!$A$2:$A$18,Games!$I$2:$I$18,"Missing game",0)</x:f>
        <x:v>MIN</x:v>
      </x:c>
      <x:c r="AO207" t="n">
        <x:f>_xlfn.XLOOKUP($A207,Games!$A$2:$A$18,Games!$J$2:$J$18,"Missing game",0)</x:f>
        <x:v>6</x:v>
      </x:c>
      <x:c r="AP207" t="n">
        <x:f>_xlfn.XLOOKUP($A207,Games!$A$2:$A$18,Games!$K$2:$K$18,"Missing game",0)</x:f>
        <x:v>-16</x:v>
      </x:c>
      <x:c r="AQ207" t="n">
        <x:f>_xlfn.XLOOKUP($A207,Games!$A$2:$A$18,Games!$L$2:$L$18,"Missing game",0)</x:f>
        <x:v>28</x:v>
      </x:c>
      <x:c r="AR207" t="n">
        <x:f>_xlfn.XLOOKUP($A207,Games!$A$2:$A$18,Games!$M$2:$M$18,"Missing game",0)</x:f>
        <x:v>0</x:v>
      </x:c>
      <x:c r="AS207" t="str">
        <x:f>_xlfn.XLOOKUP($A207,Games!$A$2:$A$18,Games!$N$2:$N$18,"Missing game",0)</x:f>
        <x:v>dome</x:v>
      </x:c>
      <x:c r="AT207" t="str">
        <x:f>_xlfn.XLOOKUP($A207,Games!$A$2:$A$18,Games!$O$2:$O$18,"Missing game",0)</x:f>
        <x:v>sportturf</x:v>
      </x:c>
      <x:c r="AU207" t="str">
        <x:f>_xlfn.XLOOKUP($A207,Games!$A$2:$A$18,Games!$P$2:$P$18,"Missing game",0)</x:f>
      </x:c>
      <x:c r="AV207" t="str">
        <x:f>_xlfn.XLOOKUP($A207,Games!$A$2:$A$18,Games!$Q$2:$Q$18,"Missing game",0)</x:f>
      </x:c>
      <x:c r="AW207" t="str">
        <x:f>_xlfn.XLOOKUP($A207,Games!$A$2:$A$18,Games!$R$2:$R$18,"Missing game",0)</x:f>
        <x:v>U.S. Bank Stadium</x:v>
      </x:c>
    </x:row>
    <x:row r="208">
      <x:c r="A208" t="str">
        <x:v>2025_02_ATL_MIN</x:v>
      </x:c>
      <x:c r="B208" t="n">
        <x:v>761</x:v>
      </x:c>
      <x:c r="C208" t="n">
        <x:v>1</x:v>
      </x:c>
      <x:c r="D208" t="str">
        <x:v>03:25</x:v>
      </x:c>
      <x:c r="E208" t="n">
        <x:v>2</x:v>
      </x:c>
      <x:c r="F208" t="n">
        <x:v>5</x:v>
      </x:c>
      <x:c r="G208" t="str">
        <x:v>ATL</x:v>
      </x:c>
      <x:c r="H208" t="str">
        <x:v>MIN</x:v>
      </x:c>
      <x:c r="I208" t="str">
        <x:v>ATL</x:v>
      </x:c>
      <x:c r="J208" t="n">
        <x:v>62</x:v>
      </x:c>
      <x:c r="K208" t="str">
        <x:v>(3:25) (Shotgun) 25-T.Allgeier right guard to ATL 44 for 6 yards (58-J.Greenard; 0-I.Pace).</x:v>
      </x:c>
      <x:c r="L208" t="str">
        <x:v>run</x:v>
      </x:c>
      <x:c r="M208" t="n">
        <x:v>6</x:v>
      </x:c>
      <x:c r="N208" t="n">
        <x:v>1</x:v>
      </x:c>
      <x:c r="O208" t="n">
        <x:v>0</x:v>
      </x:c>
      <x:c r="P208"/>
      <x:c r="Q208"/>
      <x:c r="R208"/>
      <x:c r="S208"/>
      <x:c r="T208" t="str">
        <x:v>right</x:v>
      </x:c>
      <x:c r="U208" t="str">
        <x:v>guard</x:v>
      </x:c>
      <x:c r="V208" t="n">
        <x:v>0</x:v>
      </x:c>
      <x:c r="W208" t="n">
        <x:v>1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/>
      <x:c r="AC208" t="n">
        <x:v>0</x:v>
      </x:c>
      <x:c r="AD208" t="n">
        <x:v>0.756637712707743</x:v>
      </x:c>
      <x:c r="AE208" t="n">
        <x:v>1</x:v>
      </x:c>
      <x:c r="AF208" t="n">
        <x:v>0.01715749502182007</x:v>
      </x:c>
      <x:c r="AG208" t="n">
        <x:f>_xlfn.XLOOKUP($A208,Games!$A$2:$A$18,Games!$B$2:$B$18,"Missing game",0)</x:f>
        <x:v>2025</x:v>
      </x:c>
      <x:c r="AH208" t="str">
        <x:f>_xlfn.XLOOKUP($A208,Games!$A$2:$A$18,Games!$C$2:$C$18,"Missing game",0)</x:f>
        <x:v>REG</x:v>
      </x:c>
      <x:c r="AI208" t="n">
        <x:f>_xlfn.XLOOKUP($A208,Games!$A$2:$A$18,Games!$D$2:$D$18,"Missing game",0)</x:f>
        <x:v>2</x:v>
      </x:c>
      <x:c r="AJ208" s="1" t="n">
        <x:f>_xlfn.XLOOKUP($A208,Games!$A$2:$A$18,Games!$E$2:$E$18,"Missing game",0)</x:f>
        <x:v>45914</x:v>
      </x:c>
      <x:c r="AK208" t="str">
        <x:f>_xlfn.XLOOKUP($A208,Games!$A$2:$A$18,Games!$F$2:$F$18,"Missing game",0)</x:f>
        <x:v>Sunday</x:v>
      </x:c>
      <x:c r="AL208" t="str">
        <x:f>_xlfn.XLOOKUP($A208,Games!$A$2:$A$18,Games!$G$2:$G$18,"Missing game",0)</x:f>
        <x:v>ATL</x:v>
      </x:c>
      <x:c r="AM208" t="n">
        <x:f>_xlfn.XLOOKUP($A208,Games!$A$2:$A$18,Games!$H$2:$H$18,"Missing game",0)</x:f>
        <x:v>22</x:v>
      </x:c>
      <x:c r="AN208" t="str">
        <x:f>_xlfn.XLOOKUP($A208,Games!$A$2:$A$18,Games!$I$2:$I$18,"Missing game",0)</x:f>
        <x:v>MIN</x:v>
      </x:c>
      <x:c r="AO208" t="n">
        <x:f>_xlfn.XLOOKUP($A208,Games!$A$2:$A$18,Games!$J$2:$J$18,"Missing game",0)</x:f>
        <x:v>6</x:v>
      </x:c>
      <x:c r="AP208" t="n">
        <x:f>_xlfn.XLOOKUP($A208,Games!$A$2:$A$18,Games!$K$2:$K$18,"Missing game",0)</x:f>
        <x:v>-16</x:v>
      </x:c>
      <x:c r="AQ208" t="n">
        <x:f>_xlfn.XLOOKUP($A208,Games!$A$2:$A$18,Games!$L$2:$L$18,"Missing game",0)</x:f>
        <x:v>28</x:v>
      </x:c>
      <x:c r="AR208" t="n">
        <x:f>_xlfn.XLOOKUP($A208,Games!$A$2:$A$18,Games!$M$2:$M$18,"Missing game",0)</x:f>
        <x:v>0</x:v>
      </x:c>
      <x:c r="AS208" t="str">
        <x:f>_xlfn.XLOOKUP($A208,Games!$A$2:$A$18,Games!$N$2:$N$18,"Missing game",0)</x:f>
        <x:v>dome</x:v>
      </x:c>
      <x:c r="AT208" t="str">
        <x:f>_xlfn.XLOOKUP($A208,Games!$A$2:$A$18,Games!$O$2:$O$18,"Missing game",0)</x:f>
        <x:v>sportturf</x:v>
      </x:c>
      <x:c r="AU208" t="str">
        <x:f>_xlfn.XLOOKUP($A208,Games!$A$2:$A$18,Games!$P$2:$P$18,"Missing game",0)</x:f>
      </x:c>
      <x:c r="AV208" t="str">
        <x:f>_xlfn.XLOOKUP($A208,Games!$A$2:$A$18,Games!$Q$2:$Q$18,"Missing game",0)</x:f>
      </x:c>
      <x:c r="AW208" t="str">
        <x:f>_xlfn.XLOOKUP($A208,Games!$A$2:$A$18,Games!$R$2:$R$18,"Missing game",0)</x:f>
        <x:v>U.S. Bank Stadium</x:v>
      </x:c>
    </x:row>
    <x:row r="209">
      <x:c r="A209" t="str">
        <x:v>2025_02_ATL_MIN</x:v>
      </x:c>
      <x:c r="B209" t="n">
        <x:v>783</x:v>
      </x:c>
      <x:c r="C209" t="n">
        <x:v>1</x:v>
      </x:c>
      <x:c r="D209" t="str">
        <x:v>02:44</x:v>
      </x:c>
      <x:c r="E209" t="n">
        <x:v>1</x:v>
      </x:c>
      <x:c r="F209" t="n">
        <x:v>10</x:v>
      </x:c>
      <x:c r="G209" t="str">
        <x:v>ATL</x:v>
      </x:c>
      <x:c r="H209" t="str">
        <x:v>MIN</x:v>
      </x:c>
      <x:c r="I209" t="str">
        <x:v>ATL</x:v>
      </x:c>
      <x:c r="J209" t="n">
        <x:v>56</x:v>
      </x:c>
      <x:c r="K209" t="str">
        <x:v>(2:44) (Shotgun) 9-M.Penix pass short right to 8-K.Pitts to MIN 44 for 12 yards (2-I.Rodgers).</x:v>
      </x:c>
      <x:c r="L209" t="str">
        <x:v>pass</x:v>
      </x:c>
      <x:c r="M209" t="n">
        <x:v>12</x:v>
      </x:c>
      <x:c r="N209" t="n">
        <x:v>1</x:v>
      </x:c>
      <x:c r="O209" t="n">
        <x:v>0</x:v>
      </x:c>
      <x:c r="P209" t="str">
        <x:v>short</x:v>
      </x:c>
      <x:c r="Q209" t="str">
        <x:v>right</x:v>
      </x:c>
      <x:c r="R209" t="n">
        <x:v>12</x:v>
      </x:c>
      <x:c r="S209" t="n">
        <x:v>0</x:v>
      </x:c>
      <x:c r="T209"/>
      <x:c r="U209"/>
      <x:c r="V209" t="n">
        <x:v>1</x:v>
      </x:c>
      <x:c r="W209" t="n">
        <x:v>1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/>
      <x:c r="AC209" t="n">
        <x:v>0</x:v>
      </x:c>
      <x:c r="AD209" t="n">
        <x:v>0.8025328672956675</x:v>
      </x:c>
      <x:c r="AE209" t="n">
        <x:v>1</x:v>
      </x:c>
      <x:c r="AF209" t="n">
        <x:v>0.01201564073562622</x:v>
      </x:c>
      <x:c r="AG209" t="n">
        <x:f>_xlfn.XLOOKUP($A209,Games!$A$2:$A$18,Games!$B$2:$B$18,"Missing game",0)</x:f>
        <x:v>2025</x:v>
      </x:c>
      <x:c r="AH209" t="str">
        <x:f>_xlfn.XLOOKUP($A209,Games!$A$2:$A$18,Games!$C$2:$C$18,"Missing game",0)</x:f>
        <x:v>REG</x:v>
      </x:c>
      <x:c r="AI209" t="n">
        <x:f>_xlfn.XLOOKUP($A209,Games!$A$2:$A$18,Games!$D$2:$D$18,"Missing game",0)</x:f>
        <x:v>2</x:v>
      </x:c>
      <x:c r="AJ209" s="1" t="n">
        <x:f>_xlfn.XLOOKUP($A209,Games!$A$2:$A$18,Games!$E$2:$E$18,"Missing game",0)</x:f>
        <x:v>45914</x:v>
      </x:c>
      <x:c r="AK209" t="str">
        <x:f>_xlfn.XLOOKUP($A209,Games!$A$2:$A$18,Games!$F$2:$F$18,"Missing game",0)</x:f>
        <x:v>Sunday</x:v>
      </x:c>
      <x:c r="AL209" t="str">
        <x:f>_xlfn.XLOOKUP($A209,Games!$A$2:$A$18,Games!$G$2:$G$18,"Missing game",0)</x:f>
        <x:v>ATL</x:v>
      </x:c>
      <x:c r="AM209" t="n">
        <x:f>_xlfn.XLOOKUP($A209,Games!$A$2:$A$18,Games!$H$2:$H$18,"Missing game",0)</x:f>
        <x:v>22</x:v>
      </x:c>
      <x:c r="AN209" t="str">
        <x:f>_xlfn.XLOOKUP($A209,Games!$A$2:$A$18,Games!$I$2:$I$18,"Missing game",0)</x:f>
        <x:v>MIN</x:v>
      </x:c>
      <x:c r="AO209" t="n">
        <x:f>_xlfn.XLOOKUP($A209,Games!$A$2:$A$18,Games!$J$2:$J$18,"Missing game",0)</x:f>
        <x:v>6</x:v>
      </x:c>
      <x:c r="AP209" t="n">
        <x:f>_xlfn.XLOOKUP($A209,Games!$A$2:$A$18,Games!$K$2:$K$18,"Missing game",0)</x:f>
        <x:v>-16</x:v>
      </x:c>
      <x:c r="AQ209" t="n">
        <x:f>_xlfn.XLOOKUP($A209,Games!$A$2:$A$18,Games!$L$2:$L$18,"Missing game",0)</x:f>
        <x:v>28</x:v>
      </x:c>
      <x:c r="AR209" t="n">
        <x:f>_xlfn.XLOOKUP($A209,Games!$A$2:$A$18,Games!$M$2:$M$18,"Missing game",0)</x:f>
        <x:v>0</x:v>
      </x:c>
      <x:c r="AS209" t="str">
        <x:f>_xlfn.XLOOKUP($A209,Games!$A$2:$A$18,Games!$N$2:$N$18,"Missing game",0)</x:f>
        <x:v>dome</x:v>
      </x:c>
      <x:c r="AT209" t="str">
        <x:f>_xlfn.XLOOKUP($A209,Games!$A$2:$A$18,Games!$O$2:$O$18,"Missing game",0)</x:f>
        <x:v>sportturf</x:v>
      </x:c>
      <x:c r="AU209" t="str">
        <x:f>_xlfn.XLOOKUP($A209,Games!$A$2:$A$18,Games!$P$2:$P$18,"Missing game",0)</x:f>
      </x:c>
      <x:c r="AV209" t="str">
        <x:f>_xlfn.XLOOKUP($A209,Games!$A$2:$A$18,Games!$Q$2:$Q$18,"Missing game",0)</x:f>
      </x:c>
      <x:c r="AW209" t="str">
        <x:f>_xlfn.XLOOKUP($A209,Games!$A$2:$A$18,Games!$R$2:$R$18,"Missing game",0)</x:f>
        <x:v>U.S. Bank Stadium</x:v>
      </x:c>
    </x:row>
    <x:row r="210">
      <x:c r="A210" t="str">
        <x:v>2025_02_ATL_MIN</x:v>
      </x:c>
      <x:c r="B210" t="n">
        <x:v>808</x:v>
      </x:c>
      <x:c r="C210" t="n">
        <x:v>1</x:v>
      </x:c>
      <x:c r="D210" t="str">
        <x:v>02:00</x:v>
      </x:c>
      <x:c r="E210" t="n">
        <x:v>1</x:v>
      </x:c>
      <x:c r="F210" t="n">
        <x:v>10</x:v>
      </x:c>
      <x:c r="G210" t="str">
        <x:v>ATL</x:v>
      </x:c>
      <x:c r="H210" t="str">
        <x:v>MIN</x:v>
      </x:c>
      <x:c r="I210" t="str">
        <x:v>MIN</x:v>
      </x:c>
      <x:c r="J210" t="n">
        <x:v>44</x:v>
      </x:c>
      <x:c r="K210" t="str">
        <x:v>(2:00) (Shotgun) PENALTY on ATL-8-K.Pitts, False Start, 4 yards, enforced at MIN 44 - No Play.</x:v>
      </x:c>
      <x:c r="L210" t="str">
        <x:v>no_play</x:v>
      </x:c>
      <x:c r="M210" t="n">
        <x:v>0</x:v>
      </x:c>
      <x:c r="N210" t="n">
        <x:v>1</x:v>
      </x:c>
      <x:c r="O210" t="n">
        <x:v>0</x:v>
      </x:c>
      <x:c r="P210"/>
      <x:c r="Q210"/>
      <x:c r="R210"/>
      <x:c r="S210"/>
      <x:c r="T210"/>
      <x:c r="U210"/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1</x:v>
      </x:c>
      <x:c r="AB210" t="n">
        <x:v>4</x:v>
      </x:c>
      <x:c r="AC210" t="n">
        <x:v>0</x:v>
      </x:c>
      <x:c r="AD210" t="n">
        <x:v>-0.604226132389158</x:v>
      </x:c>
      <x:c r="AE210" t="n">
        <x:v>0</x:v>
      </x:c>
      <x:c r="AF210" t="n">
        <x:v>-0.021461784839630127</x:v>
      </x:c>
      <x:c r="AG210" t="n">
        <x:f>_xlfn.XLOOKUP($A210,Games!$A$2:$A$18,Games!$B$2:$B$18,"Missing game",0)</x:f>
        <x:v>2025</x:v>
      </x:c>
      <x:c r="AH210" t="str">
        <x:f>_xlfn.XLOOKUP($A210,Games!$A$2:$A$18,Games!$C$2:$C$18,"Missing game",0)</x:f>
        <x:v>REG</x:v>
      </x:c>
      <x:c r="AI210" t="n">
        <x:f>_xlfn.XLOOKUP($A210,Games!$A$2:$A$18,Games!$D$2:$D$18,"Missing game",0)</x:f>
        <x:v>2</x:v>
      </x:c>
      <x:c r="AJ210" s="1" t="n">
        <x:f>_xlfn.XLOOKUP($A210,Games!$A$2:$A$18,Games!$E$2:$E$18,"Missing game",0)</x:f>
        <x:v>45914</x:v>
      </x:c>
      <x:c r="AK210" t="str">
        <x:f>_xlfn.XLOOKUP($A210,Games!$A$2:$A$18,Games!$F$2:$F$18,"Missing game",0)</x:f>
        <x:v>Sunday</x:v>
      </x:c>
      <x:c r="AL210" t="str">
        <x:f>_xlfn.XLOOKUP($A210,Games!$A$2:$A$18,Games!$G$2:$G$18,"Missing game",0)</x:f>
        <x:v>ATL</x:v>
      </x:c>
      <x:c r="AM210" t="n">
        <x:f>_xlfn.XLOOKUP($A210,Games!$A$2:$A$18,Games!$H$2:$H$18,"Missing game",0)</x:f>
        <x:v>22</x:v>
      </x:c>
      <x:c r="AN210" t="str">
        <x:f>_xlfn.XLOOKUP($A210,Games!$A$2:$A$18,Games!$I$2:$I$18,"Missing game",0)</x:f>
        <x:v>MIN</x:v>
      </x:c>
      <x:c r="AO210" t="n">
        <x:f>_xlfn.XLOOKUP($A210,Games!$A$2:$A$18,Games!$J$2:$J$18,"Missing game",0)</x:f>
        <x:v>6</x:v>
      </x:c>
      <x:c r="AP210" t="n">
        <x:f>_xlfn.XLOOKUP($A210,Games!$A$2:$A$18,Games!$K$2:$K$18,"Missing game",0)</x:f>
        <x:v>-16</x:v>
      </x:c>
      <x:c r="AQ210" t="n">
        <x:f>_xlfn.XLOOKUP($A210,Games!$A$2:$A$18,Games!$L$2:$L$18,"Missing game",0)</x:f>
        <x:v>28</x:v>
      </x:c>
      <x:c r="AR210" t="n">
        <x:f>_xlfn.XLOOKUP($A210,Games!$A$2:$A$18,Games!$M$2:$M$18,"Missing game",0)</x:f>
        <x:v>0</x:v>
      </x:c>
      <x:c r="AS210" t="str">
        <x:f>_xlfn.XLOOKUP($A210,Games!$A$2:$A$18,Games!$N$2:$N$18,"Missing game",0)</x:f>
        <x:v>dome</x:v>
      </x:c>
      <x:c r="AT210" t="str">
        <x:f>_xlfn.XLOOKUP($A210,Games!$A$2:$A$18,Games!$O$2:$O$18,"Missing game",0)</x:f>
        <x:v>sportturf</x:v>
      </x:c>
      <x:c r="AU210" t="str">
        <x:f>_xlfn.XLOOKUP($A210,Games!$A$2:$A$18,Games!$P$2:$P$18,"Missing game",0)</x:f>
      </x:c>
      <x:c r="AV210" t="str">
        <x:f>_xlfn.XLOOKUP($A210,Games!$A$2:$A$18,Games!$Q$2:$Q$18,"Missing game",0)</x:f>
      </x:c>
      <x:c r="AW210" t="str">
        <x:f>_xlfn.XLOOKUP($A210,Games!$A$2:$A$18,Games!$R$2:$R$18,"Missing game",0)</x:f>
        <x:v>U.S. Bank Stadium</x:v>
      </x:c>
    </x:row>
    <x:row r="211">
      <x:c r="A211" t="str">
        <x:v>2025_02_ATL_MIN</x:v>
      </x:c>
      <x:c r="B211" t="n">
        <x:v>832</x:v>
      </x:c>
      <x:c r="C211" t="n">
        <x:v>1</x:v>
      </x:c>
      <x:c r="D211" t="str">
        <x:v>01:40</x:v>
      </x:c>
      <x:c r="E211" t="n">
        <x:v>1</x:v>
      </x:c>
      <x:c r="F211" t="n">
        <x:v>14</x:v>
      </x:c>
      <x:c r="G211" t="str">
        <x:v>ATL</x:v>
      </x:c>
      <x:c r="H211" t="str">
        <x:v>MIN</x:v>
      </x:c>
      <x:c r="I211" t="str">
        <x:v>MIN</x:v>
      </x:c>
      <x:c r="J211" t="n">
        <x:v>48</x:v>
      </x:c>
      <x:c r="K211" t="str">
        <x:v>(1:40) (Shotgun) 9-M.Penix pass short right to 5-D.London to MIN 30 for 18 yards (55-E.Wilson). FUMBLES (55-E.Wilson), RECOVERED by MIN-26-T.Jackson at MIN 23. 26-T.Jackson to MIN 32 for 9 yards (5-D.London).</x:v>
      </x:c>
      <x:c r="L211" t="str">
        <x:v>pass</x:v>
      </x:c>
      <x:c r="M211" t="n">
        <x:v>18</x:v>
      </x:c>
      <x:c r="N211" t="n">
        <x:v>1</x:v>
      </x:c>
      <x:c r="O211" t="n">
        <x:v>0</x:v>
      </x:c>
      <x:c r="P211" t="str">
        <x:v>short</x:v>
      </x:c>
      <x:c r="Q211" t="str">
        <x:v>right</x:v>
      </x:c>
      <x:c r="R211" t="n">
        <x:v>13</x:v>
      </x:c>
      <x:c r="S211" t="n">
        <x:v>5</x:v>
      </x:c>
      <x:c r="T211"/>
      <x:c r="U211"/>
      <x:c r="V211" t="n">
        <x:v>1</x:v>
      </x:c>
      <x:c r="W211" t="n">
        <x:v>0</x:v>
      </x:c>
      <x:c r="X211" t="n">
        <x:v>0</x:v>
      </x:c>
      <x:c r="Y211" t="n">
        <x:v>0</x:v>
      </x:c>
      <x:c r="Z211" t="n">
        <x:v>1</x:v>
      </x:c>
      <x:c r="AA211" t="n">
        <x:v>0</x:v>
      </x:c>
      <x:c r="AB211"/>
      <x:c r="AC211" t="n">
        <x:v>0</x:v>
      </x:c>
      <x:c r="AD211" t="n">
        <x:v>-4.596817086916417</x:v>
      </x:c>
      <x:c r="AE211" t="n">
        <x:v>0</x:v>
      </x:c>
      <x:c r="AF211" t="n">
        <x:v>-0.11329132318496704</x:v>
      </x:c>
      <x:c r="AG211" t="n">
        <x:f>_xlfn.XLOOKUP($A211,Games!$A$2:$A$18,Games!$B$2:$B$18,"Missing game",0)</x:f>
        <x:v>2025</x:v>
      </x:c>
      <x:c r="AH211" t="str">
        <x:f>_xlfn.XLOOKUP($A211,Games!$A$2:$A$18,Games!$C$2:$C$18,"Missing game",0)</x:f>
        <x:v>REG</x:v>
      </x:c>
      <x:c r="AI211" t="n">
        <x:f>_xlfn.XLOOKUP($A211,Games!$A$2:$A$18,Games!$D$2:$D$18,"Missing game",0)</x:f>
        <x:v>2</x:v>
      </x:c>
      <x:c r="AJ211" s="1" t="n">
        <x:f>_xlfn.XLOOKUP($A211,Games!$A$2:$A$18,Games!$E$2:$E$18,"Missing game",0)</x:f>
        <x:v>45914</x:v>
      </x:c>
      <x:c r="AK211" t="str">
        <x:f>_xlfn.XLOOKUP($A211,Games!$A$2:$A$18,Games!$F$2:$F$18,"Missing game",0)</x:f>
        <x:v>Sunday</x:v>
      </x:c>
      <x:c r="AL211" t="str">
        <x:f>_xlfn.XLOOKUP($A211,Games!$A$2:$A$18,Games!$G$2:$G$18,"Missing game",0)</x:f>
        <x:v>ATL</x:v>
      </x:c>
      <x:c r="AM211" t="n">
        <x:f>_xlfn.XLOOKUP($A211,Games!$A$2:$A$18,Games!$H$2:$H$18,"Missing game",0)</x:f>
        <x:v>22</x:v>
      </x:c>
      <x:c r="AN211" t="str">
        <x:f>_xlfn.XLOOKUP($A211,Games!$A$2:$A$18,Games!$I$2:$I$18,"Missing game",0)</x:f>
        <x:v>MIN</x:v>
      </x:c>
      <x:c r="AO211" t="n">
        <x:f>_xlfn.XLOOKUP($A211,Games!$A$2:$A$18,Games!$J$2:$J$18,"Missing game",0)</x:f>
        <x:v>6</x:v>
      </x:c>
      <x:c r="AP211" t="n">
        <x:f>_xlfn.XLOOKUP($A211,Games!$A$2:$A$18,Games!$K$2:$K$18,"Missing game",0)</x:f>
        <x:v>-16</x:v>
      </x:c>
      <x:c r="AQ211" t="n">
        <x:f>_xlfn.XLOOKUP($A211,Games!$A$2:$A$18,Games!$L$2:$L$18,"Missing game",0)</x:f>
        <x:v>28</x:v>
      </x:c>
      <x:c r="AR211" t="n">
        <x:f>_xlfn.XLOOKUP($A211,Games!$A$2:$A$18,Games!$M$2:$M$18,"Missing game",0)</x:f>
        <x:v>0</x:v>
      </x:c>
      <x:c r="AS211" t="str">
        <x:f>_xlfn.XLOOKUP($A211,Games!$A$2:$A$18,Games!$N$2:$N$18,"Missing game",0)</x:f>
        <x:v>dome</x:v>
      </x:c>
      <x:c r="AT211" t="str">
        <x:f>_xlfn.XLOOKUP($A211,Games!$A$2:$A$18,Games!$O$2:$O$18,"Missing game",0)</x:f>
        <x:v>sportturf</x:v>
      </x:c>
      <x:c r="AU211" t="str">
        <x:f>_xlfn.XLOOKUP($A211,Games!$A$2:$A$18,Games!$P$2:$P$18,"Missing game",0)</x:f>
      </x:c>
      <x:c r="AV211" t="str">
        <x:f>_xlfn.XLOOKUP($A211,Games!$A$2:$A$18,Games!$Q$2:$Q$18,"Missing game",0)</x:f>
      </x:c>
      <x:c r="AW211" t="str">
        <x:f>_xlfn.XLOOKUP($A211,Games!$A$2:$A$18,Games!$R$2:$R$18,"Missing game",0)</x:f>
        <x:v>U.S. Bank Stadium</x:v>
      </x:c>
    </x:row>
    <x:row r="212">
      <x:c r="A212" t="str">
        <x:v>2025_02_ATL_MIN</x:v>
      </x:c>
      <x:c r="B212" t="n">
        <x:v>873</x:v>
      </x:c>
      <x:c r="C212" t="n">
        <x:v>1</x:v>
      </x:c>
      <x:c r="D212" t="str">
        <x:v>01:28</x:v>
      </x:c>
      <x:c r="E212" t="n">
        <x:v>1</x:v>
      </x:c>
      <x:c r="F212" t="n">
        <x:v>10</x:v>
      </x:c>
      <x:c r="G212" t="str">
        <x:v>MIN</x:v>
      </x:c>
      <x:c r="H212" t="str">
        <x:v>ATL</x:v>
      </x:c>
      <x:c r="I212" t="str">
        <x:v>MIN</x:v>
      </x:c>
      <x:c r="J212" t="n">
        <x:v>68</x:v>
      </x:c>
      <x:c r="K212" t="str">
        <x:v>(1:28) 9-J.McCarthy pass short right to 18-J.Jefferson ran ob at MIN 41 for 9 yards.</x:v>
      </x:c>
      <x:c r="L212" t="str">
        <x:v>pass</x:v>
      </x:c>
      <x:c r="M212" t="n">
        <x:v>9</x:v>
      </x:c>
      <x:c r="N212" t="n">
        <x:v>0</x:v>
      </x:c>
      <x:c r="O212" t="n">
        <x:v>0</x:v>
      </x:c>
      <x:c r="P212" t="str">
        <x:v>short</x:v>
      </x:c>
      <x:c r="Q212" t="str">
        <x:v>right</x:v>
      </x:c>
      <x:c r="R212" t="n">
        <x:v>11</x:v>
      </x:c>
      <x:c r="S212" t="n">
        <x:v>-2</x:v>
      </x:c>
      <x:c r="T212"/>
      <x:c r="U212"/>
      <x:c r="V212" t="n">
        <x:v>1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/>
      <x:c r="AC212" t="n">
        <x:v>0</x:v>
      </x:c>
      <x:c r="AD212" t="n">
        <x:v>0.5567257390357554</x:v>
      </x:c>
      <x:c r="AE212" t="n">
        <x:v>1</x:v>
      </x:c>
      <x:c r="AF212" t="n">
        <x:v>0.028932243585586548</x:v>
      </x:c>
      <x:c r="AG212" t="n">
        <x:f>_xlfn.XLOOKUP($A212,Games!$A$2:$A$18,Games!$B$2:$B$18,"Missing game",0)</x:f>
        <x:v>2025</x:v>
      </x:c>
      <x:c r="AH212" t="str">
        <x:f>_xlfn.XLOOKUP($A212,Games!$A$2:$A$18,Games!$C$2:$C$18,"Missing game",0)</x:f>
        <x:v>REG</x:v>
      </x:c>
      <x:c r="AI212" t="n">
        <x:f>_xlfn.XLOOKUP($A212,Games!$A$2:$A$18,Games!$D$2:$D$18,"Missing game",0)</x:f>
        <x:v>2</x:v>
      </x:c>
      <x:c r="AJ212" s="1" t="n">
        <x:f>_xlfn.XLOOKUP($A212,Games!$A$2:$A$18,Games!$E$2:$E$18,"Missing game",0)</x:f>
        <x:v>45914</x:v>
      </x:c>
      <x:c r="AK212" t="str">
        <x:f>_xlfn.XLOOKUP($A212,Games!$A$2:$A$18,Games!$F$2:$F$18,"Missing game",0)</x:f>
        <x:v>Sunday</x:v>
      </x:c>
      <x:c r="AL212" t="str">
        <x:f>_xlfn.XLOOKUP($A212,Games!$A$2:$A$18,Games!$G$2:$G$18,"Missing game",0)</x:f>
        <x:v>ATL</x:v>
      </x:c>
      <x:c r="AM212" t="n">
        <x:f>_xlfn.XLOOKUP($A212,Games!$A$2:$A$18,Games!$H$2:$H$18,"Missing game",0)</x:f>
        <x:v>22</x:v>
      </x:c>
      <x:c r="AN212" t="str">
        <x:f>_xlfn.XLOOKUP($A212,Games!$A$2:$A$18,Games!$I$2:$I$18,"Missing game",0)</x:f>
        <x:v>MIN</x:v>
      </x:c>
      <x:c r="AO212" t="n">
        <x:f>_xlfn.XLOOKUP($A212,Games!$A$2:$A$18,Games!$J$2:$J$18,"Missing game",0)</x:f>
        <x:v>6</x:v>
      </x:c>
      <x:c r="AP212" t="n">
        <x:f>_xlfn.XLOOKUP($A212,Games!$A$2:$A$18,Games!$K$2:$K$18,"Missing game",0)</x:f>
        <x:v>-16</x:v>
      </x:c>
      <x:c r="AQ212" t="n">
        <x:f>_xlfn.XLOOKUP($A212,Games!$A$2:$A$18,Games!$L$2:$L$18,"Missing game",0)</x:f>
        <x:v>28</x:v>
      </x:c>
      <x:c r="AR212" t="n">
        <x:f>_xlfn.XLOOKUP($A212,Games!$A$2:$A$18,Games!$M$2:$M$18,"Missing game",0)</x:f>
        <x:v>0</x:v>
      </x:c>
      <x:c r="AS212" t="str">
        <x:f>_xlfn.XLOOKUP($A212,Games!$A$2:$A$18,Games!$N$2:$N$18,"Missing game",0)</x:f>
        <x:v>dome</x:v>
      </x:c>
      <x:c r="AT212" t="str">
        <x:f>_xlfn.XLOOKUP($A212,Games!$A$2:$A$18,Games!$O$2:$O$18,"Missing game",0)</x:f>
        <x:v>sportturf</x:v>
      </x:c>
      <x:c r="AU212" t="str">
        <x:f>_xlfn.XLOOKUP($A212,Games!$A$2:$A$18,Games!$P$2:$P$18,"Missing game",0)</x:f>
      </x:c>
      <x:c r="AV212" t="str">
        <x:f>_xlfn.XLOOKUP($A212,Games!$A$2:$A$18,Games!$Q$2:$Q$18,"Missing game",0)</x:f>
      </x:c>
      <x:c r="AW212" t="str">
        <x:f>_xlfn.XLOOKUP($A212,Games!$A$2:$A$18,Games!$R$2:$R$18,"Missing game",0)</x:f>
        <x:v>U.S. Bank Stadium</x:v>
      </x:c>
    </x:row>
    <x:row r="213">
      <x:c r="A213" t="str">
        <x:v>2025_02_ATL_MIN</x:v>
      </x:c>
      <x:c r="B213" t="n">
        <x:v>910</x:v>
      </x:c>
      <x:c r="C213" t="n">
        <x:v>1</x:v>
      </x:c>
      <x:c r="D213" t="str">
        <x:v>00:49</x:v>
      </x:c>
      <x:c r="E213" t="n">
        <x:v>2</x:v>
      </x:c>
      <x:c r="F213" t="n">
        <x:v>1</x:v>
      </x:c>
      <x:c r="G213" t="str">
        <x:v>MIN</x:v>
      </x:c>
      <x:c r="H213" t="str">
        <x:v>ATL</x:v>
      </x:c>
      <x:c r="I213" t="str">
        <x:v>MIN</x:v>
      </x:c>
      <x:c r="J213" t="n">
        <x:v>59</x:v>
      </x:c>
      <x:c r="K213" t="str">
        <x:v>(:49) 27-J.Mason left end to MIN 40 for -1 yards (90-D.Onyemata).</x:v>
      </x:c>
      <x:c r="L213" t="str">
        <x:v>run</x:v>
      </x:c>
      <x:c r="M213" t="n">
        <x:v>-1</x:v>
      </x:c>
      <x:c r="N213" t="n">
        <x:v>0</x:v>
      </x:c>
      <x:c r="O213" t="n">
        <x:v>0</x:v>
      </x:c>
      <x:c r="P213"/>
      <x:c r="Q213"/>
      <x:c r="R213"/>
      <x:c r="S213"/>
      <x:c r="T213" t="str">
        <x:v>left</x:v>
      </x:c>
      <x:c r="U213" t="str">
        <x:v>end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/>
      <x:c r="AC213" t="n">
        <x:v>0</x:v>
      </x:c>
      <x:c r="AD213" t="n">
        <x:v>-1.025422234321013</x:v>
      </x:c>
      <x:c r="AE213" t="n">
        <x:v>0</x:v>
      </x:c>
      <x:c r="AF213" t="n">
        <x:v>-0.0386219322681427</x:v>
      </x:c>
      <x:c r="AG213" t="n">
        <x:f>_xlfn.XLOOKUP($A213,Games!$A$2:$A$18,Games!$B$2:$B$18,"Missing game",0)</x:f>
        <x:v>2025</x:v>
      </x:c>
      <x:c r="AH213" t="str">
        <x:f>_xlfn.XLOOKUP($A213,Games!$A$2:$A$18,Games!$C$2:$C$18,"Missing game",0)</x:f>
        <x:v>REG</x:v>
      </x:c>
      <x:c r="AI213" t="n">
        <x:f>_xlfn.XLOOKUP($A213,Games!$A$2:$A$18,Games!$D$2:$D$18,"Missing game",0)</x:f>
        <x:v>2</x:v>
      </x:c>
      <x:c r="AJ213" s="1" t="n">
        <x:f>_xlfn.XLOOKUP($A213,Games!$A$2:$A$18,Games!$E$2:$E$18,"Missing game",0)</x:f>
        <x:v>45914</x:v>
      </x:c>
      <x:c r="AK213" t="str">
        <x:f>_xlfn.XLOOKUP($A213,Games!$A$2:$A$18,Games!$F$2:$F$18,"Missing game",0)</x:f>
        <x:v>Sunday</x:v>
      </x:c>
      <x:c r="AL213" t="str">
        <x:f>_xlfn.XLOOKUP($A213,Games!$A$2:$A$18,Games!$G$2:$G$18,"Missing game",0)</x:f>
        <x:v>ATL</x:v>
      </x:c>
      <x:c r="AM213" t="n">
        <x:f>_xlfn.XLOOKUP($A213,Games!$A$2:$A$18,Games!$H$2:$H$18,"Missing game",0)</x:f>
        <x:v>22</x:v>
      </x:c>
      <x:c r="AN213" t="str">
        <x:f>_xlfn.XLOOKUP($A213,Games!$A$2:$A$18,Games!$I$2:$I$18,"Missing game",0)</x:f>
        <x:v>MIN</x:v>
      </x:c>
      <x:c r="AO213" t="n">
        <x:f>_xlfn.XLOOKUP($A213,Games!$A$2:$A$18,Games!$J$2:$J$18,"Missing game",0)</x:f>
        <x:v>6</x:v>
      </x:c>
      <x:c r="AP213" t="n">
        <x:f>_xlfn.XLOOKUP($A213,Games!$A$2:$A$18,Games!$K$2:$K$18,"Missing game",0)</x:f>
        <x:v>-16</x:v>
      </x:c>
      <x:c r="AQ213" t="n">
        <x:f>_xlfn.XLOOKUP($A213,Games!$A$2:$A$18,Games!$L$2:$L$18,"Missing game",0)</x:f>
        <x:v>28</x:v>
      </x:c>
      <x:c r="AR213" t="n">
        <x:f>_xlfn.XLOOKUP($A213,Games!$A$2:$A$18,Games!$M$2:$M$18,"Missing game",0)</x:f>
        <x:v>0</x:v>
      </x:c>
      <x:c r="AS213" t="str">
        <x:f>_xlfn.XLOOKUP($A213,Games!$A$2:$A$18,Games!$N$2:$N$18,"Missing game",0)</x:f>
        <x:v>dome</x:v>
      </x:c>
      <x:c r="AT213" t="str">
        <x:f>_xlfn.XLOOKUP($A213,Games!$A$2:$A$18,Games!$O$2:$O$18,"Missing game",0)</x:f>
        <x:v>sportturf</x:v>
      </x:c>
      <x:c r="AU213" t="str">
        <x:f>_xlfn.XLOOKUP($A213,Games!$A$2:$A$18,Games!$P$2:$P$18,"Missing game",0)</x:f>
      </x:c>
      <x:c r="AV213" t="str">
        <x:f>_xlfn.XLOOKUP($A213,Games!$A$2:$A$18,Games!$Q$2:$Q$18,"Missing game",0)</x:f>
      </x:c>
      <x:c r="AW213" t="str">
        <x:f>_xlfn.XLOOKUP($A213,Games!$A$2:$A$18,Games!$R$2:$R$18,"Missing game",0)</x:f>
        <x:v>U.S. Bank Stadium</x:v>
      </x:c>
    </x:row>
    <x:row r="214">
      <x:c r="A214" t="str">
        <x:v>2025_02_ATL_MIN</x:v>
      </x:c>
      <x:c r="B214" t="n">
        <x:v>932</x:v>
      </x:c>
      <x:c r="C214" t="n">
        <x:v>1</x:v>
      </x:c>
      <x:c r="D214" t="str">
        <x:v>00:07</x:v>
      </x:c>
      <x:c r="E214" t="n">
        <x:v>3</x:v>
      </x:c>
      <x:c r="F214" t="n">
        <x:v>2</x:v>
      </x:c>
      <x:c r="G214" t="str">
        <x:v>MIN</x:v>
      </x:c>
      <x:c r="H214" t="str">
        <x:v>ATL</x:v>
      </x:c>
      <x:c r="I214" t="str">
        <x:v>MIN</x:v>
      </x:c>
      <x:c r="J214" t="n">
        <x:v>60</x:v>
      </x:c>
      <x:c r="K214" t="str">
        <x:v>(:07) (Shotgun) 27-J.Mason up the middle to MIN 43 for 3 yards (11-J.Walker; 54-B.Dorlus).</x:v>
      </x:c>
      <x:c r="L214" t="str">
        <x:v>run</x:v>
      </x:c>
      <x:c r="M214" t="n">
        <x:v>3</x:v>
      </x:c>
      <x:c r="N214" t="n">
        <x:v>1</x:v>
      </x:c>
      <x:c r="O214" t="n">
        <x:v>0</x:v>
      </x:c>
      <x:c r="P214"/>
      <x:c r="Q214"/>
      <x:c r="R214"/>
      <x:c r="S214"/>
      <x:c r="T214" t="str">
        <x:v>middle</x:v>
      </x:c>
      <x:c r="U214"/>
      <x:c r="V214" t="n">
        <x:v>0</x:v>
      </x:c>
      <x:c r="W214" t="n">
        <x:v>1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/>
      <x:c r="AC214" t="n">
        <x:v>0</x:v>
      </x:c>
      <x:c r="AD214" t="n">
        <x:v>0.8521034761797637</x:v>
      </x:c>
      <x:c r="AE214" t="n">
        <x:v>1</x:v>
      </x:c>
      <x:c r="AF214" t="n">
        <x:v>0.030923157930374146</x:v>
      </x:c>
      <x:c r="AG214" t="n">
        <x:f>_xlfn.XLOOKUP($A214,Games!$A$2:$A$18,Games!$B$2:$B$18,"Missing game",0)</x:f>
        <x:v>2025</x:v>
      </x:c>
      <x:c r="AH214" t="str">
        <x:f>_xlfn.XLOOKUP($A214,Games!$A$2:$A$18,Games!$C$2:$C$18,"Missing game",0)</x:f>
        <x:v>REG</x:v>
      </x:c>
      <x:c r="AI214" t="n">
        <x:f>_xlfn.XLOOKUP($A214,Games!$A$2:$A$18,Games!$D$2:$D$18,"Missing game",0)</x:f>
        <x:v>2</x:v>
      </x:c>
      <x:c r="AJ214" s="1" t="n">
        <x:f>_xlfn.XLOOKUP($A214,Games!$A$2:$A$18,Games!$E$2:$E$18,"Missing game",0)</x:f>
        <x:v>45914</x:v>
      </x:c>
      <x:c r="AK214" t="str">
        <x:f>_xlfn.XLOOKUP($A214,Games!$A$2:$A$18,Games!$F$2:$F$18,"Missing game",0)</x:f>
        <x:v>Sunday</x:v>
      </x:c>
      <x:c r="AL214" t="str">
        <x:f>_xlfn.XLOOKUP($A214,Games!$A$2:$A$18,Games!$G$2:$G$18,"Missing game",0)</x:f>
        <x:v>ATL</x:v>
      </x:c>
      <x:c r="AM214" t="n">
        <x:f>_xlfn.XLOOKUP($A214,Games!$A$2:$A$18,Games!$H$2:$H$18,"Missing game",0)</x:f>
        <x:v>22</x:v>
      </x:c>
      <x:c r="AN214" t="str">
        <x:f>_xlfn.XLOOKUP($A214,Games!$A$2:$A$18,Games!$I$2:$I$18,"Missing game",0)</x:f>
        <x:v>MIN</x:v>
      </x:c>
      <x:c r="AO214" t="n">
        <x:f>_xlfn.XLOOKUP($A214,Games!$A$2:$A$18,Games!$J$2:$J$18,"Missing game",0)</x:f>
        <x:v>6</x:v>
      </x:c>
      <x:c r="AP214" t="n">
        <x:f>_xlfn.XLOOKUP($A214,Games!$A$2:$A$18,Games!$K$2:$K$18,"Missing game",0)</x:f>
        <x:v>-16</x:v>
      </x:c>
      <x:c r="AQ214" t="n">
        <x:f>_xlfn.XLOOKUP($A214,Games!$A$2:$A$18,Games!$L$2:$L$18,"Missing game",0)</x:f>
        <x:v>28</x:v>
      </x:c>
      <x:c r="AR214" t="n">
        <x:f>_xlfn.XLOOKUP($A214,Games!$A$2:$A$18,Games!$M$2:$M$18,"Missing game",0)</x:f>
        <x:v>0</x:v>
      </x:c>
      <x:c r="AS214" t="str">
        <x:f>_xlfn.XLOOKUP($A214,Games!$A$2:$A$18,Games!$N$2:$N$18,"Missing game",0)</x:f>
        <x:v>dome</x:v>
      </x:c>
      <x:c r="AT214" t="str">
        <x:f>_xlfn.XLOOKUP($A214,Games!$A$2:$A$18,Games!$O$2:$O$18,"Missing game",0)</x:f>
        <x:v>sportturf</x:v>
      </x:c>
      <x:c r="AU214" t="str">
        <x:f>_xlfn.XLOOKUP($A214,Games!$A$2:$A$18,Games!$P$2:$P$18,"Missing game",0)</x:f>
      </x:c>
      <x:c r="AV214" t="str">
        <x:f>_xlfn.XLOOKUP($A214,Games!$A$2:$A$18,Games!$Q$2:$Q$18,"Missing game",0)</x:f>
      </x:c>
      <x:c r="AW214" t="str">
        <x:f>_xlfn.XLOOKUP($A214,Games!$A$2:$A$18,Games!$R$2:$R$18,"Missing game",0)</x:f>
        <x:v>U.S. Bank Stadium</x:v>
      </x:c>
    </x:row>
    <x:row r="215">
      <x:c r="A215" t="str">
        <x:v>2025_02_ATL_MIN</x:v>
      </x:c>
      <x:c r="B215" t="n">
        <x:v>954</x:v>
      </x:c>
      <x:c r="C215" t="n">
        <x:v>1</x:v>
      </x:c>
      <x:c r="D215" t="str">
        <x:v>00:00</x:v>
      </x:c>
      <x:c r="E215"/>
      <x:c r="F215" t="n">
        <x:v>0</x:v>
      </x:c>
      <x:c r="G215" t="str">
        <x:v>MIN</x:v>
      </x:c>
      <x:c r="H215" t="str">
        <x:v>ATL</x:v>
      </x:c>
      <x:c r="I215"/>
      <x:c r="J215"/>
      <x:c r="K215" t="str">
        <x:v>END QUARTER 1</x:v>
      </x:c>
      <x:c r="L215"/>
      <x:c r="M215"/>
      <x:c r="N215" t="n">
        <x:v>0</x:v>
      </x:c>
      <x:c r="O215" t="n">
        <x:v>0</x:v>
      </x:c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 t="n">
        <x:v>0</x:v>
      </x:c>
      <x:c r="AE215" t="n">
        <x:v>0</x:v>
      </x:c>
      <x:c r="AF215" t="n">
        <x:v>0</x:v>
      </x:c>
      <x:c r="AG215" t="n">
        <x:f>_xlfn.XLOOKUP($A215,Games!$A$2:$A$18,Games!$B$2:$B$18,"Missing game",0)</x:f>
        <x:v>2025</x:v>
      </x:c>
      <x:c r="AH215" t="str">
        <x:f>_xlfn.XLOOKUP($A215,Games!$A$2:$A$18,Games!$C$2:$C$18,"Missing game",0)</x:f>
        <x:v>REG</x:v>
      </x:c>
      <x:c r="AI215" t="n">
        <x:f>_xlfn.XLOOKUP($A215,Games!$A$2:$A$18,Games!$D$2:$D$18,"Missing game",0)</x:f>
        <x:v>2</x:v>
      </x:c>
      <x:c r="AJ215" s="1" t="n">
        <x:f>_xlfn.XLOOKUP($A215,Games!$A$2:$A$18,Games!$E$2:$E$18,"Missing game",0)</x:f>
        <x:v>45914</x:v>
      </x:c>
      <x:c r="AK215" t="str">
        <x:f>_xlfn.XLOOKUP($A215,Games!$A$2:$A$18,Games!$F$2:$F$18,"Missing game",0)</x:f>
        <x:v>Sunday</x:v>
      </x:c>
      <x:c r="AL215" t="str">
        <x:f>_xlfn.XLOOKUP($A215,Games!$A$2:$A$18,Games!$G$2:$G$18,"Missing game",0)</x:f>
        <x:v>ATL</x:v>
      </x:c>
      <x:c r="AM215" t="n">
        <x:f>_xlfn.XLOOKUP($A215,Games!$A$2:$A$18,Games!$H$2:$H$18,"Missing game",0)</x:f>
        <x:v>22</x:v>
      </x:c>
      <x:c r="AN215" t="str">
        <x:f>_xlfn.XLOOKUP($A215,Games!$A$2:$A$18,Games!$I$2:$I$18,"Missing game",0)</x:f>
        <x:v>MIN</x:v>
      </x:c>
      <x:c r="AO215" t="n">
        <x:f>_xlfn.XLOOKUP($A215,Games!$A$2:$A$18,Games!$J$2:$J$18,"Missing game",0)</x:f>
        <x:v>6</x:v>
      </x:c>
      <x:c r="AP215" t="n">
        <x:f>_xlfn.XLOOKUP($A215,Games!$A$2:$A$18,Games!$K$2:$K$18,"Missing game",0)</x:f>
        <x:v>-16</x:v>
      </x:c>
      <x:c r="AQ215" t="n">
        <x:f>_xlfn.XLOOKUP($A215,Games!$A$2:$A$18,Games!$L$2:$L$18,"Missing game",0)</x:f>
        <x:v>28</x:v>
      </x:c>
      <x:c r="AR215" t="n">
        <x:f>_xlfn.XLOOKUP($A215,Games!$A$2:$A$18,Games!$M$2:$M$18,"Missing game",0)</x:f>
        <x:v>0</x:v>
      </x:c>
      <x:c r="AS215" t="str">
        <x:f>_xlfn.XLOOKUP($A215,Games!$A$2:$A$18,Games!$N$2:$N$18,"Missing game",0)</x:f>
        <x:v>dome</x:v>
      </x:c>
      <x:c r="AT215" t="str">
        <x:f>_xlfn.XLOOKUP($A215,Games!$A$2:$A$18,Games!$O$2:$O$18,"Missing game",0)</x:f>
        <x:v>sportturf</x:v>
      </x:c>
      <x:c r="AU215" t="str">
        <x:f>_xlfn.XLOOKUP($A215,Games!$A$2:$A$18,Games!$P$2:$P$18,"Missing game",0)</x:f>
      </x:c>
      <x:c r="AV215" t="str">
        <x:f>_xlfn.XLOOKUP($A215,Games!$A$2:$A$18,Games!$Q$2:$Q$18,"Missing game",0)</x:f>
      </x:c>
      <x:c r="AW215" t="str">
        <x:f>_xlfn.XLOOKUP($A215,Games!$A$2:$A$18,Games!$R$2:$R$18,"Missing game",0)</x:f>
        <x:v>U.S. Bank Stadium</x:v>
      </x:c>
    </x:row>
    <x:row r="216">
      <x:c r="A216" t="str">
        <x:v>2025_02_ATL_MIN</x:v>
      </x:c>
      <x:c r="B216" t="n">
        <x:v>974</x:v>
      </x:c>
      <x:c r="C216" t="n">
        <x:v>2</x:v>
      </x:c>
      <x:c r="D216" t="str">
        <x:v>15:00</x:v>
      </x:c>
      <x:c r="E216" t="n">
        <x:v>1</x:v>
      </x:c>
      <x:c r="F216" t="n">
        <x:v>10</x:v>
      </x:c>
      <x:c r="G216" t="str">
        <x:v>MIN</x:v>
      </x:c>
      <x:c r="H216" t="str">
        <x:v>ATL</x:v>
      </x:c>
      <x:c r="I216" t="str">
        <x:v>MIN</x:v>
      </x:c>
      <x:c r="J216" t="n">
        <x:v>57</x:v>
      </x:c>
      <x:c r="K216" t="str">
        <x:v>(15:00) 9-J.McCarthy pass short right to 27-J.Mason to MIN 45 for 2 yards (33-B.Bowman; 90-D.Onyemata).</x:v>
      </x:c>
      <x:c r="L216" t="str">
        <x:v>pass</x:v>
      </x:c>
      <x:c r="M216" t="n">
        <x:v>2</x:v>
      </x:c>
      <x:c r="N216" t="n">
        <x:v>0</x:v>
      </x:c>
      <x:c r="O216" t="n">
        <x:v>0</x:v>
      </x:c>
      <x:c r="P216" t="str">
        <x:v>short</x:v>
      </x:c>
      <x:c r="Q216" t="str">
        <x:v>right</x:v>
      </x:c>
      <x:c r="R216" t="n">
        <x:v>-4</x:v>
      </x:c>
      <x:c r="S216" t="n">
        <x:v>6</x:v>
      </x:c>
      <x:c r="T216"/>
      <x:c r="U216"/>
      <x:c r="V216" t="n">
        <x:v>1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/>
      <x:c r="AC216" t="n">
        <x:v>0</x:v>
      </x:c>
      <x:c r="AD216" t="n">
        <x:v>-0.5504600007552654</x:v>
      </x:c>
      <x:c r="AE216" t="n">
        <x:v>0</x:v>
      </x:c>
      <x:c r="AF216" t="n">
        <x:v>-0.01645594835281372</x:v>
      </x:c>
      <x:c r="AG216" t="n">
        <x:f>_xlfn.XLOOKUP($A216,Games!$A$2:$A$18,Games!$B$2:$B$18,"Missing game",0)</x:f>
        <x:v>2025</x:v>
      </x:c>
      <x:c r="AH216" t="str">
        <x:f>_xlfn.XLOOKUP($A216,Games!$A$2:$A$18,Games!$C$2:$C$18,"Missing game",0)</x:f>
        <x:v>REG</x:v>
      </x:c>
      <x:c r="AI216" t="n">
        <x:f>_xlfn.XLOOKUP($A216,Games!$A$2:$A$18,Games!$D$2:$D$18,"Missing game",0)</x:f>
        <x:v>2</x:v>
      </x:c>
      <x:c r="AJ216" s="1" t="n">
        <x:f>_xlfn.XLOOKUP($A216,Games!$A$2:$A$18,Games!$E$2:$E$18,"Missing game",0)</x:f>
        <x:v>45914</x:v>
      </x:c>
      <x:c r="AK216" t="str">
        <x:f>_xlfn.XLOOKUP($A216,Games!$A$2:$A$18,Games!$F$2:$F$18,"Missing game",0)</x:f>
        <x:v>Sunday</x:v>
      </x:c>
      <x:c r="AL216" t="str">
        <x:f>_xlfn.XLOOKUP($A216,Games!$A$2:$A$18,Games!$G$2:$G$18,"Missing game",0)</x:f>
        <x:v>ATL</x:v>
      </x:c>
      <x:c r="AM216" t="n">
        <x:f>_xlfn.XLOOKUP($A216,Games!$A$2:$A$18,Games!$H$2:$H$18,"Missing game",0)</x:f>
        <x:v>22</x:v>
      </x:c>
      <x:c r="AN216" t="str">
        <x:f>_xlfn.XLOOKUP($A216,Games!$A$2:$A$18,Games!$I$2:$I$18,"Missing game",0)</x:f>
        <x:v>MIN</x:v>
      </x:c>
      <x:c r="AO216" t="n">
        <x:f>_xlfn.XLOOKUP($A216,Games!$A$2:$A$18,Games!$J$2:$J$18,"Missing game",0)</x:f>
        <x:v>6</x:v>
      </x:c>
      <x:c r="AP216" t="n">
        <x:f>_xlfn.XLOOKUP($A216,Games!$A$2:$A$18,Games!$K$2:$K$18,"Missing game",0)</x:f>
        <x:v>-16</x:v>
      </x:c>
      <x:c r="AQ216" t="n">
        <x:f>_xlfn.XLOOKUP($A216,Games!$A$2:$A$18,Games!$L$2:$L$18,"Missing game",0)</x:f>
        <x:v>28</x:v>
      </x:c>
      <x:c r="AR216" t="n">
        <x:f>_xlfn.XLOOKUP($A216,Games!$A$2:$A$18,Games!$M$2:$M$18,"Missing game",0)</x:f>
        <x:v>0</x:v>
      </x:c>
      <x:c r="AS216" t="str">
        <x:f>_xlfn.XLOOKUP($A216,Games!$A$2:$A$18,Games!$N$2:$N$18,"Missing game",0)</x:f>
        <x:v>dome</x:v>
      </x:c>
      <x:c r="AT216" t="str">
        <x:f>_xlfn.XLOOKUP($A216,Games!$A$2:$A$18,Games!$O$2:$O$18,"Missing game",0)</x:f>
        <x:v>sportturf</x:v>
      </x:c>
      <x:c r="AU216" t="str">
        <x:f>_xlfn.XLOOKUP($A216,Games!$A$2:$A$18,Games!$P$2:$P$18,"Missing game",0)</x:f>
      </x:c>
      <x:c r="AV216" t="str">
        <x:f>_xlfn.XLOOKUP($A216,Games!$A$2:$A$18,Games!$Q$2:$Q$18,"Missing game",0)</x:f>
      </x:c>
      <x:c r="AW216" t="str">
        <x:f>_xlfn.XLOOKUP($A216,Games!$A$2:$A$18,Games!$R$2:$R$18,"Missing game",0)</x:f>
        <x:v>U.S. Bank Stadium</x:v>
      </x:c>
    </x:row>
    <x:row r="217">
      <x:c r="A217" t="str">
        <x:v>2025_02_ATL_MIN</x:v>
      </x:c>
      <x:c r="B217" t="n">
        <x:v>999</x:v>
      </x:c>
      <x:c r="C217" t="n">
        <x:v>2</x:v>
      </x:c>
      <x:c r="D217" t="str">
        <x:v>14:23</x:v>
      </x:c>
      <x:c r="E217" t="n">
        <x:v>2</x:v>
      </x:c>
      <x:c r="F217" t="n">
        <x:v>8</x:v>
      </x:c>
      <x:c r="G217" t="str">
        <x:v>MIN</x:v>
      </x:c>
      <x:c r="H217" t="str">
        <x:v>ATL</x:v>
      </x:c>
      <x:c r="I217" t="str">
        <x:v>MIN</x:v>
      </x:c>
      <x:c r="J217" t="n">
        <x:v>55</x:v>
      </x:c>
      <x:c r="K217" t="str">
        <x:v>(14:23) 9-J.McCarthy scrambles left end ran ob at MIN 47 for 2 yards (33-B.Bowman; 27-J.Pearce).</x:v>
      </x:c>
      <x:c r="L217" t="str">
        <x:v>run</x:v>
      </x:c>
      <x:c r="M217" t="n">
        <x:v>2</x:v>
      </x:c>
      <x:c r="N217" t="n">
        <x:v>0</x:v>
      </x:c>
      <x:c r="O217" t="n">
        <x:v>0</x:v>
      </x:c>
      <x:c r="P217"/>
      <x:c r="Q217"/>
      <x:c r="R217"/>
      <x:c r="S217"/>
      <x:c r="T217" t="str">
        <x:v>left</x:v>
      </x:c>
      <x:c r="U217" t="str">
        <x:v>end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/>
      <x:c r="AC217" t="n">
        <x:v>0</x:v>
      </x:c>
      <x:c r="AD217" t="n">
        <x:v>-0.5751894423738122</x:v>
      </x:c>
      <x:c r="AE217" t="n">
        <x:v>0</x:v>
      </x:c>
      <x:c r="AF217" t="n">
        <x:v>-0.022466838359832764</x:v>
      </x:c>
      <x:c r="AG217" t="n">
        <x:f>_xlfn.XLOOKUP($A217,Games!$A$2:$A$18,Games!$B$2:$B$18,"Missing game",0)</x:f>
        <x:v>2025</x:v>
      </x:c>
      <x:c r="AH217" t="str">
        <x:f>_xlfn.XLOOKUP($A217,Games!$A$2:$A$18,Games!$C$2:$C$18,"Missing game",0)</x:f>
        <x:v>REG</x:v>
      </x:c>
      <x:c r="AI217" t="n">
        <x:f>_xlfn.XLOOKUP($A217,Games!$A$2:$A$18,Games!$D$2:$D$18,"Missing game",0)</x:f>
        <x:v>2</x:v>
      </x:c>
      <x:c r="AJ217" s="1" t="n">
        <x:f>_xlfn.XLOOKUP($A217,Games!$A$2:$A$18,Games!$E$2:$E$18,"Missing game",0)</x:f>
        <x:v>45914</x:v>
      </x:c>
      <x:c r="AK217" t="str">
        <x:f>_xlfn.XLOOKUP($A217,Games!$A$2:$A$18,Games!$F$2:$F$18,"Missing game",0)</x:f>
        <x:v>Sunday</x:v>
      </x:c>
      <x:c r="AL217" t="str">
        <x:f>_xlfn.XLOOKUP($A217,Games!$A$2:$A$18,Games!$G$2:$G$18,"Missing game",0)</x:f>
        <x:v>ATL</x:v>
      </x:c>
      <x:c r="AM217" t="n">
        <x:f>_xlfn.XLOOKUP($A217,Games!$A$2:$A$18,Games!$H$2:$H$18,"Missing game",0)</x:f>
        <x:v>22</x:v>
      </x:c>
      <x:c r="AN217" t="str">
        <x:f>_xlfn.XLOOKUP($A217,Games!$A$2:$A$18,Games!$I$2:$I$18,"Missing game",0)</x:f>
        <x:v>MIN</x:v>
      </x:c>
      <x:c r="AO217" t="n">
        <x:f>_xlfn.XLOOKUP($A217,Games!$A$2:$A$18,Games!$J$2:$J$18,"Missing game",0)</x:f>
        <x:v>6</x:v>
      </x:c>
      <x:c r="AP217" t="n">
        <x:f>_xlfn.XLOOKUP($A217,Games!$A$2:$A$18,Games!$K$2:$K$18,"Missing game",0)</x:f>
        <x:v>-16</x:v>
      </x:c>
      <x:c r="AQ217" t="n">
        <x:f>_xlfn.XLOOKUP($A217,Games!$A$2:$A$18,Games!$L$2:$L$18,"Missing game",0)</x:f>
        <x:v>28</x:v>
      </x:c>
      <x:c r="AR217" t="n">
        <x:f>_xlfn.XLOOKUP($A217,Games!$A$2:$A$18,Games!$M$2:$M$18,"Missing game",0)</x:f>
        <x:v>0</x:v>
      </x:c>
      <x:c r="AS217" t="str">
        <x:f>_xlfn.XLOOKUP($A217,Games!$A$2:$A$18,Games!$N$2:$N$18,"Missing game",0)</x:f>
        <x:v>dome</x:v>
      </x:c>
      <x:c r="AT217" t="str">
        <x:f>_xlfn.XLOOKUP($A217,Games!$A$2:$A$18,Games!$O$2:$O$18,"Missing game",0)</x:f>
        <x:v>sportturf</x:v>
      </x:c>
      <x:c r="AU217" t="str">
        <x:f>_xlfn.XLOOKUP($A217,Games!$A$2:$A$18,Games!$P$2:$P$18,"Missing game",0)</x:f>
      </x:c>
      <x:c r="AV217" t="str">
        <x:f>_xlfn.XLOOKUP($A217,Games!$A$2:$A$18,Games!$Q$2:$Q$18,"Missing game",0)</x:f>
      </x:c>
      <x:c r="AW217" t="str">
        <x:f>_xlfn.XLOOKUP($A217,Games!$A$2:$A$18,Games!$R$2:$R$18,"Missing game",0)</x:f>
        <x:v>U.S. Bank Stadium</x:v>
      </x:c>
    </x:row>
    <x:row r="218">
      <x:c r="A218" t="str">
        <x:v>2025_02_ATL_MIN</x:v>
      </x:c>
      <x:c r="B218" t="n">
        <x:v>1026</x:v>
      </x:c>
      <x:c r="C218" t="n">
        <x:v>2</x:v>
      </x:c>
      <x:c r="D218" t="str">
        <x:v>13:45</x:v>
      </x:c>
      <x:c r="E218" t="n">
        <x:v>3</x:v>
      </x:c>
      <x:c r="F218" t="n">
        <x:v>6</x:v>
      </x:c>
      <x:c r="G218" t="str">
        <x:v>MIN</x:v>
      </x:c>
      <x:c r="H218" t="str">
        <x:v>ATL</x:v>
      </x:c>
      <x:c r="I218" t="str">
        <x:v>MIN</x:v>
      </x:c>
      <x:c r="J218" t="n">
        <x:v>53</x:v>
      </x:c>
      <x:c r="K218" t="str">
        <x:v>(13:45) (Shotgun) 9-J.McCarthy pass short right to 1-J.Nailor to ATL 41 for 12 yards (33-B.Bowman).</x:v>
      </x:c>
      <x:c r="L218" t="str">
        <x:v>pass</x:v>
      </x:c>
      <x:c r="M218" t="n">
        <x:v>12</x:v>
      </x:c>
      <x:c r="N218" t="n">
        <x:v>1</x:v>
      </x:c>
      <x:c r="O218" t="n">
        <x:v>0</x:v>
      </x:c>
      <x:c r="P218" t="str">
        <x:v>short</x:v>
      </x:c>
      <x:c r="Q218" t="str">
        <x:v>right</x:v>
      </x:c>
      <x:c r="R218" t="n">
        <x:v>11</x:v>
      </x:c>
      <x:c r="S218" t="n">
        <x:v>1</x:v>
      </x:c>
      <x:c r="T218"/>
      <x:c r="U218"/>
      <x:c r="V218" t="n">
        <x:v>1</x:v>
      </x:c>
      <x:c r="W218" t="n">
        <x:v>1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/>
      <x:c r="AC218" t="n">
        <x:v>0</x:v>
      </x:c>
      <x:c r="AD218" t="n">
        <x:v>1.89004462887533</x:v>
      </x:c>
      <x:c r="AE218" t="n">
        <x:v>1</x:v>
      </x:c>
      <x:c r="AF218" t="n">
        <x:v>0.058645665645599365</x:v>
      </x:c>
      <x:c r="AG218" t="n">
        <x:f>_xlfn.XLOOKUP($A218,Games!$A$2:$A$18,Games!$B$2:$B$18,"Missing game",0)</x:f>
        <x:v>2025</x:v>
      </x:c>
      <x:c r="AH218" t="str">
        <x:f>_xlfn.XLOOKUP($A218,Games!$A$2:$A$18,Games!$C$2:$C$18,"Missing game",0)</x:f>
        <x:v>REG</x:v>
      </x:c>
      <x:c r="AI218" t="n">
        <x:f>_xlfn.XLOOKUP($A218,Games!$A$2:$A$18,Games!$D$2:$D$18,"Missing game",0)</x:f>
        <x:v>2</x:v>
      </x:c>
      <x:c r="AJ218" s="1" t="n">
        <x:f>_xlfn.XLOOKUP($A218,Games!$A$2:$A$18,Games!$E$2:$E$18,"Missing game",0)</x:f>
        <x:v>45914</x:v>
      </x:c>
      <x:c r="AK218" t="str">
        <x:f>_xlfn.XLOOKUP($A218,Games!$A$2:$A$18,Games!$F$2:$F$18,"Missing game",0)</x:f>
        <x:v>Sunday</x:v>
      </x:c>
      <x:c r="AL218" t="str">
        <x:f>_xlfn.XLOOKUP($A218,Games!$A$2:$A$18,Games!$G$2:$G$18,"Missing game",0)</x:f>
        <x:v>ATL</x:v>
      </x:c>
      <x:c r="AM218" t="n">
        <x:f>_xlfn.XLOOKUP($A218,Games!$A$2:$A$18,Games!$H$2:$H$18,"Missing game",0)</x:f>
        <x:v>22</x:v>
      </x:c>
      <x:c r="AN218" t="str">
        <x:f>_xlfn.XLOOKUP($A218,Games!$A$2:$A$18,Games!$I$2:$I$18,"Missing game",0)</x:f>
        <x:v>MIN</x:v>
      </x:c>
      <x:c r="AO218" t="n">
        <x:f>_xlfn.XLOOKUP($A218,Games!$A$2:$A$18,Games!$J$2:$J$18,"Missing game",0)</x:f>
        <x:v>6</x:v>
      </x:c>
      <x:c r="AP218" t="n">
        <x:f>_xlfn.XLOOKUP($A218,Games!$A$2:$A$18,Games!$K$2:$K$18,"Missing game",0)</x:f>
        <x:v>-16</x:v>
      </x:c>
      <x:c r="AQ218" t="n">
        <x:f>_xlfn.XLOOKUP($A218,Games!$A$2:$A$18,Games!$L$2:$L$18,"Missing game",0)</x:f>
        <x:v>28</x:v>
      </x:c>
      <x:c r="AR218" t="n">
        <x:f>_xlfn.XLOOKUP($A218,Games!$A$2:$A$18,Games!$M$2:$M$18,"Missing game",0)</x:f>
        <x:v>0</x:v>
      </x:c>
      <x:c r="AS218" t="str">
        <x:f>_xlfn.XLOOKUP($A218,Games!$A$2:$A$18,Games!$N$2:$N$18,"Missing game",0)</x:f>
        <x:v>dome</x:v>
      </x:c>
      <x:c r="AT218" t="str">
        <x:f>_xlfn.XLOOKUP($A218,Games!$A$2:$A$18,Games!$O$2:$O$18,"Missing game",0)</x:f>
        <x:v>sportturf</x:v>
      </x:c>
      <x:c r="AU218" t="str">
        <x:f>_xlfn.XLOOKUP($A218,Games!$A$2:$A$18,Games!$P$2:$P$18,"Missing game",0)</x:f>
      </x:c>
      <x:c r="AV218" t="str">
        <x:f>_xlfn.XLOOKUP($A218,Games!$A$2:$A$18,Games!$Q$2:$Q$18,"Missing game",0)</x:f>
      </x:c>
      <x:c r="AW218" t="str">
        <x:f>_xlfn.XLOOKUP($A218,Games!$A$2:$A$18,Games!$R$2:$R$18,"Missing game",0)</x:f>
        <x:v>U.S. Bank Stadium</x:v>
      </x:c>
    </x:row>
    <x:row r="219">
      <x:c r="A219" t="str">
        <x:v>2025_02_ATL_MIN</x:v>
      </x:c>
      <x:c r="B219" t="n">
        <x:v>1051</x:v>
      </x:c>
      <x:c r="C219" t="n">
        <x:v>2</x:v>
      </x:c>
      <x:c r="D219" t="str">
        <x:v>13:03</x:v>
      </x:c>
      <x:c r="E219" t="n">
        <x:v>1</x:v>
      </x:c>
      <x:c r="F219" t="n">
        <x:v>10</x:v>
      </x:c>
      <x:c r="G219" t="str">
        <x:v>MIN</x:v>
      </x:c>
      <x:c r="H219" t="str">
        <x:v>ATL</x:v>
      </x:c>
      <x:c r="I219" t="str">
        <x:v>ATL</x:v>
      </x:c>
      <x:c r="J219" t="n">
        <x:v>41</x:v>
      </x:c>
      <x:c r="K219" t="str">
        <x:v>(13:03) 27-J.Mason left tackle to ATL 35 for 6 yards (96-Z.Harrison).</x:v>
      </x:c>
      <x:c r="L219" t="str">
        <x:v>run</x:v>
      </x:c>
      <x:c r="M219" t="n">
        <x:v>6</x:v>
      </x:c>
      <x:c r="N219" t="n">
        <x:v>0</x:v>
      </x:c>
      <x:c r="O219" t="n">
        <x:v>0</x:v>
      </x:c>
      <x:c r="P219"/>
      <x:c r="Q219"/>
      <x:c r="R219"/>
      <x:c r="S219"/>
      <x:c r="T219" t="str">
        <x:v>left</x:v>
      </x:c>
      <x:c r="U219" t="str">
        <x:v>tackle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/>
      <x:c r="AC219" t="n">
        <x:v>0</x:v>
      </x:c>
      <x:c r="AD219" t="n">
        <x:v>0.16278728062752634</x:v>
      </x:c>
      <x:c r="AE219" t="n">
        <x:v>1</x:v>
      </x:c>
      <x:c r="AF219" t="n">
        <x:v>0.012883603572845459</x:v>
      </x:c>
      <x:c r="AG219" t="n">
        <x:f>_xlfn.XLOOKUP($A219,Games!$A$2:$A$18,Games!$B$2:$B$18,"Missing game",0)</x:f>
        <x:v>2025</x:v>
      </x:c>
      <x:c r="AH219" t="str">
        <x:f>_xlfn.XLOOKUP($A219,Games!$A$2:$A$18,Games!$C$2:$C$18,"Missing game",0)</x:f>
        <x:v>REG</x:v>
      </x:c>
      <x:c r="AI219" t="n">
        <x:f>_xlfn.XLOOKUP($A219,Games!$A$2:$A$18,Games!$D$2:$D$18,"Missing game",0)</x:f>
        <x:v>2</x:v>
      </x:c>
      <x:c r="AJ219" s="1" t="n">
        <x:f>_xlfn.XLOOKUP($A219,Games!$A$2:$A$18,Games!$E$2:$E$18,"Missing game",0)</x:f>
        <x:v>45914</x:v>
      </x:c>
      <x:c r="AK219" t="str">
        <x:f>_xlfn.XLOOKUP($A219,Games!$A$2:$A$18,Games!$F$2:$F$18,"Missing game",0)</x:f>
        <x:v>Sunday</x:v>
      </x:c>
      <x:c r="AL219" t="str">
        <x:f>_xlfn.XLOOKUP($A219,Games!$A$2:$A$18,Games!$G$2:$G$18,"Missing game",0)</x:f>
        <x:v>ATL</x:v>
      </x:c>
      <x:c r="AM219" t="n">
        <x:f>_xlfn.XLOOKUP($A219,Games!$A$2:$A$18,Games!$H$2:$H$18,"Missing game",0)</x:f>
        <x:v>22</x:v>
      </x:c>
      <x:c r="AN219" t="str">
        <x:f>_xlfn.XLOOKUP($A219,Games!$A$2:$A$18,Games!$I$2:$I$18,"Missing game",0)</x:f>
        <x:v>MIN</x:v>
      </x:c>
      <x:c r="AO219" t="n">
        <x:f>_xlfn.XLOOKUP($A219,Games!$A$2:$A$18,Games!$J$2:$J$18,"Missing game",0)</x:f>
        <x:v>6</x:v>
      </x:c>
      <x:c r="AP219" t="n">
        <x:f>_xlfn.XLOOKUP($A219,Games!$A$2:$A$18,Games!$K$2:$K$18,"Missing game",0)</x:f>
        <x:v>-16</x:v>
      </x:c>
      <x:c r="AQ219" t="n">
        <x:f>_xlfn.XLOOKUP($A219,Games!$A$2:$A$18,Games!$L$2:$L$18,"Missing game",0)</x:f>
        <x:v>28</x:v>
      </x:c>
      <x:c r="AR219" t="n">
        <x:f>_xlfn.XLOOKUP($A219,Games!$A$2:$A$18,Games!$M$2:$M$18,"Missing game",0)</x:f>
        <x:v>0</x:v>
      </x:c>
      <x:c r="AS219" t="str">
        <x:f>_xlfn.XLOOKUP($A219,Games!$A$2:$A$18,Games!$N$2:$N$18,"Missing game",0)</x:f>
        <x:v>dome</x:v>
      </x:c>
      <x:c r="AT219" t="str">
        <x:f>_xlfn.XLOOKUP($A219,Games!$A$2:$A$18,Games!$O$2:$O$18,"Missing game",0)</x:f>
        <x:v>sportturf</x:v>
      </x:c>
      <x:c r="AU219" t="str">
        <x:f>_xlfn.XLOOKUP($A219,Games!$A$2:$A$18,Games!$P$2:$P$18,"Missing game",0)</x:f>
      </x:c>
      <x:c r="AV219" t="str">
        <x:f>_xlfn.XLOOKUP($A219,Games!$A$2:$A$18,Games!$Q$2:$Q$18,"Missing game",0)</x:f>
      </x:c>
      <x:c r="AW219" t="str">
        <x:f>_xlfn.XLOOKUP($A219,Games!$A$2:$A$18,Games!$R$2:$R$18,"Missing game",0)</x:f>
        <x:v>U.S. Bank Stadium</x:v>
      </x:c>
    </x:row>
    <x:row r="220">
      <x:c r="A220" t="str">
        <x:v>2025_02_ATL_MIN</x:v>
      </x:c>
      <x:c r="B220" t="n">
        <x:v>1073</x:v>
      </x:c>
      <x:c r="C220" t="n">
        <x:v>2</x:v>
      </x:c>
      <x:c r="D220" t="str">
        <x:v>12:28</x:v>
      </x:c>
      <x:c r="E220" t="n">
        <x:v>2</x:v>
      </x:c>
      <x:c r="F220" t="n">
        <x:v>4</x:v>
      </x:c>
      <x:c r="G220" t="str">
        <x:v>MIN</x:v>
      </x:c>
      <x:c r="H220" t="str">
        <x:v>ATL</x:v>
      </x:c>
      <x:c r="I220" t="str">
        <x:v>ATL</x:v>
      </x:c>
      <x:c r="J220" t="n">
        <x:v>35</x:v>
      </x:c>
      <x:c r="K220" t="str">
        <x:v>(12:28) PENALTY on MIN-76-W.Fries, False Start, 5 yards, enforced at ATL 35 - No Play.</x:v>
      </x:c>
      <x:c r="L220" t="str">
        <x:v>no_play</x:v>
      </x:c>
      <x:c r="M220" t="n">
        <x:v>0</x:v>
      </x:c>
      <x:c r="N220" t="n">
        <x:v>0</x:v>
      </x:c>
      <x:c r="O220" t="n">
        <x:v>0</x:v>
      </x:c>
      <x:c r="P220"/>
      <x:c r="Q220"/>
      <x:c r="R220"/>
      <x:c r="S220"/>
      <x:c r="T220"/>
      <x:c r="U220"/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1</x:v>
      </x:c>
      <x:c r="AB220" t="n">
        <x:v>5</x:v>
      </x:c>
      <x:c r="AC220" t="n">
        <x:v>0</x:v>
      </x:c>
      <x:c r="AD220" t="n">
        <x:v>-0.7354737230343744</x:v>
      </x:c>
      <x:c r="AE220" t="n">
        <x:v>0</x:v>
      </x:c>
      <x:c r="AF220" t="n">
        <x:v>-0.026792138814926147</x:v>
      </x:c>
      <x:c r="AG220" t="n">
        <x:f>_xlfn.XLOOKUP($A220,Games!$A$2:$A$18,Games!$B$2:$B$18,"Missing game",0)</x:f>
        <x:v>2025</x:v>
      </x:c>
      <x:c r="AH220" t="str">
        <x:f>_xlfn.XLOOKUP($A220,Games!$A$2:$A$18,Games!$C$2:$C$18,"Missing game",0)</x:f>
        <x:v>REG</x:v>
      </x:c>
      <x:c r="AI220" t="n">
        <x:f>_xlfn.XLOOKUP($A220,Games!$A$2:$A$18,Games!$D$2:$D$18,"Missing game",0)</x:f>
        <x:v>2</x:v>
      </x:c>
      <x:c r="AJ220" s="1" t="n">
        <x:f>_xlfn.XLOOKUP($A220,Games!$A$2:$A$18,Games!$E$2:$E$18,"Missing game",0)</x:f>
        <x:v>45914</x:v>
      </x:c>
      <x:c r="AK220" t="str">
        <x:f>_xlfn.XLOOKUP($A220,Games!$A$2:$A$18,Games!$F$2:$F$18,"Missing game",0)</x:f>
        <x:v>Sunday</x:v>
      </x:c>
      <x:c r="AL220" t="str">
        <x:f>_xlfn.XLOOKUP($A220,Games!$A$2:$A$18,Games!$G$2:$G$18,"Missing game",0)</x:f>
        <x:v>ATL</x:v>
      </x:c>
      <x:c r="AM220" t="n">
        <x:f>_xlfn.XLOOKUP($A220,Games!$A$2:$A$18,Games!$H$2:$H$18,"Missing game",0)</x:f>
        <x:v>22</x:v>
      </x:c>
      <x:c r="AN220" t="str">
        <x:f>_xlfn.XLOOKUP($A220,Games!$A$2:$A$18,Games!$I$2:$I$18,"Missing game",0)</x:f>
        <x:v>MIN</x:v>
      </x:c>
      <x:c r="AO220" t="n">
        <x:f>_xlfn.XLOOKUP($A220,Games!$A$2:$A$18,Games!$J$2:$J$18,"Missing game",0)</x:f>
        <x:v>6</x:v>
      </x:c>
      <x:c r="AP220" t="n">
        <x:f>_xlfn.XLOOKUP($A220,Games!$A$2:$A$18,Games!$K$2:$K$18,"Missing game",0)</x:f>
        <x:v>-16</x:v>
      </x:c>
      <x:c r="AQ220" t="n">
        <x:f>_xlfn.XLOOKUP($A220,Games!$A$2:$A$18,Games!$L$2:$L$18,"Missing game",0)</x:f>
        <x:v>28</x:v>
      </x:c>
      <x:c r="AR220" t="n">
        <x:f>_xlfn.XLOOKUP($A220,Games!$A$2:$A$18,Games!$M$2:$M$18,"Missing game",0)</x:f>
        <x:v>0</x:v>
      </x:c>
      <x:c r="AS220" t="str">
        <x:f>_xlfn.XLOOKUP($A220,Games!$A$2:$A$18,Games!$N$2:$N$18,"Missing game",0)</x:f>
        <x:v>dome</x:v>
      </x:c>
      <x:c r="AT220" t="str">
        <x:f>_xlfn.XLOOKUP($A220,Games!$A$2:$A$18,Games!$O$2:$O$18,"Missing game",0)</x:f>
        <x:v>sportturf</x:v>
      </x:c>
      <x:c r="AU220" t="str">
        <x:f>_xlfn.XLOOKUP($A220,Games!$A$2:$A$18,Games!$P$2:$P$18,"Missing game",0)</x:f>
      </x:c>
      <x:c r="AV220" t="str">
        <x:f>_xlfn.XLOOKUP($A220,Games!$A$2:$A$18,Games!$Q$2:$Q$18,"Missing game",0)</x:f>
      </x:c>
      <x:c r="AW220" t="str">
        <x:f>_xlfn.XLOOKUP($A220,Games!$A$2:$A$18,Games!$R$2:$R$18,"Missing game",0)</x:f>
        <x:v>U.S. Bank Stadium</x:v>
      </x:c>
    </x:row>
    <x:row r="221">
      <x:c r="A221" t="str">
        <x:v>2025_02_ATL_MIN</x:v>
      </x:c>
      <x:c r="B221" t="n">
        <x:v>1097</x:v>
      </x:c>
      <x:c r="C221" t="n">
        <x:v>2</x:v>
      </x:c>
      <x:c r="D221" t="str">
        <x:v>12:11</x:v>
      </x:c>
      <x:c r="E221" t="n">
        <x:v>2</x:v>
      </x:c>
      <x:c r="F221" t="n">
        <x:v>9</x:v>
      </x:c>
      <x:c r="G221" t="str">
        <x:v>MIN</x:v>
      </x:c>
      <x:c r="H221" t="str">
        <x:v>ATL</x:v>
      </x:c>
      <x:c r="I221" t="str">
        <x:v>ATL</x:v>
      </x:c>
      <x:c r="J221" t="n">
        <x:v>40</x:v>
      </x:c>
      <x:c r="K221" t="str">
        <x:v>(12:11) (Shotgun) 27-J.Mason left guard to ATL 32 for 8 yards (24-A.Terrell; 55-K.Elliss).</x:v>
      </x:c>
      <x:c r="L221" t="str">
        <x:v>run</x:v>
      </x:c>
      <x:c r="M221" t="n">
        <x:v>8</x:v>
      </x:c>
      <x:c r="N221" t="n">
        <x:v>1</x:v>
      </x:c>
      <x:c r="O221" t="n">
        <x:v>0</x:v>
      </x:c>
      <x:c r="P221"/>
      <x:c r="Q221"/>
      <x:c r="R221"/>
      <x:c r="S221"/>
      <x:c r="T221" t="str">
        <x:v>left</x:v>
      </x:c>
      <x:c r="U221" t="str">
        <x:v>guard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/>
      <x:c r="AC221" t="n">
        <x:v>0</x:v>
      </x:c>
      <x:c r="AD221" t="n">
        <x:v>0.6238303822465241</x:v>
      </x:c>
      <x:c r="AE221" t="n">
        <x:v>1</x:v>
      </x:c>
      <x:c r="AF221" t="n">
        <x:v>0.00993618369102478</x:v>
      </x:c>
      <x:c r="AG221" t="n">
        <x:f>_xlfn.XLOOKUP($A221,Games!$A$2:$A$18,Games!$B$2:$B$18,"Missing game",0)</x:f>
        <x:v>2025</x:v>
      </x:c>
      <x:c r="AH221" t="str">
        <x:f>_xlfn.XLOOKUP($A221,Games!$A$2:$A$18,Games!$C$2:$C$18,"Missing game",0)</x:f>
        <x:v>REG</x:v>
      </x:c>
      <x:c r="AI221" t="n">
        <x:f>_xlfn.XLOOKUP($A221,Games!$A$2:$A$18,Games!$D$2:$D$18,"Missing game",0)</x:f>
        <x:v>2</x:v>
      </x:c>
      <x:c r="AJ221" s="1" t="n">
        <x:f>_xlfn.XLOOKUP($A221,Games!$A$2:$A$18,Games!$E$2:$E$18,"Missing game",0)</x:f>
        <x:v>45914</x:v>
      </x:c>
      <x:c r="AK221" t="str">
        <x:f>_xlfn.XLOOKUP($A221,Games!$A$2:$A$18,Games!$F$2:$F$18,"Missing game",0)</x:f>
        <x:v>Sunday</x:v>
      </x:c>
      <x:c r="AL221" t="str">
        <x:f>_xlfn.XLOOKUP($A221,Games!$A$2:$A$18,Games!$G$2:$G$18,"Missing game",0)</x:f>
        <x:v>ATL</x:v>
      </x:c>
      <x:c r="AM221" t="n">
        <x:f>_xlfn.XLOOKUP($A221,Games!$A$2:$A$18,Games!$H$2:$H$18,"Missing game",0)</x:f>
        <x:v>22</x:v>
      </x:c>
      <x:c r="AN221" t="str">
        <x:f>_xlfn.XLOOKUP($A221,Games!$A$2:$A$18,Games!$I$2:$I$18,"Missing game",0)</x:f>
        <x:v>MIN</x:v>
      </x:c>
      <x:c r="AO221" t="n">
        <x:f>_xlfn.XLOOKUP($A221,Games!$A$2:$A$18,Games!$J$2:$J$18,"Missing game",0)</x:f>
        <x:v>6</x:v>
      </x:c>
      <x:c r="AP221" t="n">
        <x:f>_xlfn.XLOOKUP($A221,Games!$A$2:$A$18,Games!$K$2:$K$18,"Missing game",0)</x:f>
        <x:v>-16</x:v>
      </x:c>
      <x:c r="AQ221" t="n">
        <x:f>_xlfn.XLOOKUP($A221,Games!$A$2:$A$18,Games!$L$2:$L$18,"Missing game",0)</x:f>
        <x:v>28</x:v>
      </x:c>
      <x:c r="AR221" t="n">
        <x:f>_xlfn.XLOOKUP($A221,Games!$A$2:$A$18,Games!$M$2:$M$18,"Missing game",0)</x:f>
        <x:v>0</x:v>
      </x:c>
      <x:c r="AS221" t="str">
        <x:f>_xlfn.XLOOKUP($A221,Games!$A$2:$A$18,Games!$N$2:$N$18,"Missing game",0)</x:f>
        <x:v>dome</x:v>
      </x:c>
      <x:c r="AT221" t="str">
        <x:f>_xlfn.XLOOKUP($A221,Games!$A$2:$A$18,Games!$O$2:$O$18,"Missing game",0)</x:f>
        <x:v>sportturf</x:v>
      </x:c>
      <x:c r="AU221" t="str">
        <x:f>_xlfn.XLOOKUP($A221,Games!$A$2:$A$18,Games!$P$2:$P$18,"Missing game",0)</x:f>
      </x:c>
      <x:c r="AV221" t="str">
        <x:f>_xlfn.XLOOKUP($A221,Games!$A$2:$A$18,Games!$Q$2:$Q$18,"Missing game",0)</x:f>
      </x:c>
      <x:c r="AW221" t="str">
        <x:f>_xlfn.XLOOKUP($A221,Games!$A$2:$A$18,Games!$R$2:$R$18,"Missing game",0)</x:f>
        <x:v>U.S. Bank Stadium</x:v>
      </x:c>
    </x:row>
    <x:row r="222">
      <x:c r="A222" t="str">
        <x:v>2025_02_ATL_MIN</x:v>
      </x:c>
      <x:c r="B222" t="n">
        <x:v>1119</x:v>
      </x:c>
      <x:c r="C222" t="n">
        <x:v>2</x:v>
      </x:c>
      <x:c r="D222" t="str">
        <x:v>11:24</x:v>
      </x:c>
      <x:c r="E222" t="n">
        <x:v>3</x:v>
      </x:c>
      <x:c r="F222" t="n">
        <x:v>1</x:v>
      </x:c>
      <x:c r="G222" t="str">
        <x:v>MIN</x:v>
      </x:c>
      <x:c r="H222" t="str">
        <x:v>ATL</x:v>
      </x:c>
      <x:c r="I222" t="str">
        <x:v>ATL</x:v>
      </x:c>
      <x:c r="J222" t="n">
        <x:v>32</x:v>
      </x:c>
      <x:c r="K222" t="str">
        <x:v>(11:24) (Shotgun) 27-J.Mason up the middle to ATL 30 for 2 yards (17-A.Ebiketie).</x:v>
      </x:c>
      <x:c r="L222" t="str">
        <x:v>run</x:v>
      </x:c>
      <x:c r="M222" t="n">
        <x:v>2</x:v>
      </x:c>
      <x:c r="N222" t="n">
        <x:v>1</x:v>
      </x:c>
      <x:c r="O222" t="n">
        <x:v>0</x:v>
      </x:c>
      <x:c r="P222"/>
      <x:c r="Q222"/>
      <x:c r="R222"/>
      <x:c r="S222"/>
      <x:c r="T222" t="str">
        <x:v>middle</x:v>
      </x:c>
      <x:c r="U222"/>
      <x:c r="V222" t="n">
        <x:v>0</x:v>
      </x:c>
      <x:c r="W222" t="n">
        <x:v>1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/>
      <x:c r="AC222" t="n">
        <x:v>0</x:v>
      </x:c>
      <x:c r="AD222" t="n">
        <x:v>0.5375226590549573</x:v>
      </x:c>
      <x:c r="AE222" t="n">
        <x:v>1</x:v>
      </x:c>
      <x:c r="AF222" t="n">
        <x:v>0.03808906674385071</x:v>
      </x:c>
      <x:c r="AG222" t="n">
        <x:f>_xlfn.XLOOKUP($A222,Games!$A$2:$A$18,Games!$B$2:$B$18,"Missing game",0)</x:f>
        <x:v>2025</x:v>
      </x:c>
      <x:c r="AH222" t="str">
        <x:f>_xlfn.XLOOKUP($A222,Games!$A$2:$A$18,Games!$C$2:$C$18,"Missing game",0)</x:f>
        <x:v>REG</x:v>
      </x:c>
      <x:c r="AI222" t="n">
        <x:f>_xlfn.XLOOKUP($A222,Games!$A$2:$A$18,Games!$D$2:$D$18,"Missing game",0)</x:f>
        <x:v>2</x:v>
      </x:c>
      <x:c r="AJ222" s="1" t="n">
        <x:f>_xlfn.XLOOKUP($A222,Games!$A$2:$A$18,Games!$E$2:$E$18,"Missing game",0)</x:f>
        <x:v>45914</x:v>
      </x:c>
      <x:c r="AK222" t="str">
        <x:f>_xlfn.XLOOKUP($A222,Games!$A$2:$A$18,Games!$F$2:$F$18,"Missing game",0)</x:f>
        <x:v>Sunday</x:v>
      </x:c>
      <x:c r="AL222" t="str">
        <x:f>_xlfn.XLOOKUP($A222,Games!$A$2:$A$18,Games!$G$2:$G$18,"Missing game",0)</x:f>
        <x:v>ATL</x:v>
      </x:c>
      <x:c r="AM222" t="n">
        <x:f>_xlfn.XLOOKUP($A222,Games!$A$2:$A$18,Games!$H$2:$H$18,"Missing game",0)</x:f>
        <x:v>22</x:v>
      </x:c>
      <x:c r="AN222" t="str">
        <x:f>_xlfn.XLOOKUP($A222,Games!$A$2:$A$18,Games!$I$2:$I$18,"Missing game",0)</x:f>
        <x:v>MIN</x:v>
      </x:c>
      <x:c r="AO222" t="n">
        <x:f>_xlfn.XLOOKUP($A222,Games!$A$2:$A$18,Games!$J$2:$J$18,"Missing game",0)</x:f>
        <x:v>6</x:v>
      </x:c>
      <x:c r="AP222" t="n">
        <x:f>_xlfn.XLOOKUP($A222,Games!$A$2:$A$18,Games!$K$2:$K$18,"Missing game",0)</x:f>
        <x:v>-16</x:v>
      </x:c>
      <x:c r="AQ222" t="n">
        <x:f>_xlfn.XLOOKUP($A222,Games!$A$2:$A$18,Games!$L$2:$L$18,"Missing game",0)</x:f>
        <x:v>28</x:v>
      </x:c>
      <x:c r="AR222" t="n">
        <x:f>_xlfn.XLOOKUP($A222,Games!$A$2:$A$18,Games!$M$2:$M$18,"Missing game",0)</x:f>
        <x:v>0</x:v>
      </x:c>
      <x:c r="AS222" t="str">
        <x:f>_xlfn.XLOOKUP($A222,Games!$A$2:$A$18,Games!$N$2:$N$18,"Missing game",0)</x:f>
        <x:v>dome</x:v>
      </x:c>
      <x:c r="AT222" t="str">
        <x:f>_xlfn.XLOOKUP($A222,Games!$A$2:$A$18,Games!$O$2:$O$18,"Missing game",0)</x:f>
        <x:v>sportturf</x:v>
      </x:c>
      <x:c r="AU222" t="str">
        <x:f>_xlfn.XLOOKUP($A222,Games!$A$2:$A$18,Games!$P$2:$P$18,"Missing game",0)</x:f>
      </x:c>
      <x:c r="AV222" t="str">
        <x:f>_xlfn.XLOOKUP($A222,Games!$A$2:$A$18,Games!$Q$2:$Q$18,"Missing game",0)</x:f>
      </x:c>
      <x:c r="AW222" t="str">
        <x:f>_xlfn.XLOOKUP($A222,Games!$A$2:$A$18,Games!$R$2:$R$18,"Missing game",0)</x:f>
        <x:v>U.S. Bank Stadium</x:v>
      </x:c>
    </x:row>
    <x:row r="223">
      <x:c r="A223" t="str">
        <x:v>2025_02_ATL_MIN</x:v>
      </x:c>
      <x:c r="B223" t="n">
        <x:v>1141</x:v>
      </x:c>
      <x:c r="C223" t="n">
        <x:v>2</x:v>
      </x:c>
      <x:c r="D223" t="str">
        <x:v>10:44</x:v>
      </x:c>
      <x:c r="E223" t="n">
        <x:v>1</x:v>
      </x:c>
      <x:c r="F223" t="n">
        <x:v>10</x:v>
      </x:c>
      <x:c r="G223" t="str">
        <x:v>MIN</x:v>
      </x:c>
      <x:c r="H223" t="str">
        <x:v>ATL</x:v>
      </x:c>
      <x:c r="I223" t="str">
        <x:v>ATL</x:v>
      </x:c>
      <x:c r="J223" t="n">
        <x:v>30</x:v>
      </x:c>
      <x:c r="K223" t="str">
        <x:v>(10:44) (Shotgun) 9-J.McCarthy sacked at ATL 38 for -8 yards (56-L.Floyd).</x:v>
      </x:c>
      <x:c r="L223" t="str">
        <x:v>pass</x:v>
      </x:c>
      <x:c r="M223" t="n">
        <x:v>-8</x:v>
      </x:c>
      <x:c r="N223" t="n">
        <x:v>1</x:v>
      </x:c>
      <x:c r="O223" t="n">
        <x:v>0</x:v>
      </x:c>
      <x:c r="P223"/>
      <x:c r="Q223"/>
      <x:c r="R223"/>
      <x:c r="S223"/>
      <x:c r="T223"/>
      <x:c r="U223"/>
      <x:c r="V223" t="n">
        <x:v>0</x:v>
      </x:c>
      <x:c r="W223" t="n">
        <x:v>0</x:v>
      </x:c>
      <x:c r="X223" t="n">
        <x:v>1</x:v>
      </x:c>
      <x:c r="Y223" t="n">
        <x:v>0</x:v>
      </x:c>
      <x:c r="Z223" t="n">
        <x:v>0</x:v>
      </x:c>
      <x:c r="AA223" t="n">
        <x:v>0</x:v>
      </x:c>
      <x:c r="AB223"/>
      <x:c r="AC223" t="n">
        <x:v>0</x:v>
      </x:c>
      <x:c r="AD223" t="n">
        <x:v>-1.533583389944397</x:v>
      </x:c>
      <x:c r="AE223" t="n">
        <x:v>0</x:v>
      </x:c>
      <x:c r="AF223" t="n">
        <x:v>-0.04247435927391052</x:v>
      </x:c>
      <x:c r="AG223" t="n">
        <x:f>_xlfn.XLOOKUP($A223,Games!$A$2:$A$18,Games!$B$2:$B$18,"Missing game",0)</x:f>
        <x:v>2025</x:v>
      </x:c>
      <x:c r="AH223" t="str">
        <x:f>_xlfn.XLOOKUP($A223,Games!$A$2:$A$18,Games!$C$2:$C$18,"Missing game",0)</x:f>
        <x:v>REG</x:v>
      </x:c>
      <x:c r="AI223" t="n">
        <x:f>_xlfn.XLOOKUP($A223,Games!$A$2:$A$18,Games!$D$2:$D$18,"Missing game",0)</x:f>
        <x:v>2</x:v>
      </x:c>
      <x:c r="AJ223" s="1" t="n">
        <x:f>_xlfn.XLOOKUP($A223,Games!$A$2:$A$18,Games!$E$2:$E$18,"Missing game",0)</x:f>
        <x:v>45914</x:v>
      </x:c>
      <x:c r="AK223" t="str">
        <x:f>_xlfn.XLOOKUP($A223,Games!$A$2:$A$18,Games!$F$2:$F$18,"Missing game",0)</x:f>
        <x:v>Sunday</x:v>
      </x:c>
      <x:c r="AL223" t="str">
        <x:f>_xlfn.XLOOKUP($A223,Games!$A$2:$A$18,Games!$G$2:$G$18,"Missing game",0)</x:f>
        <x:v>ATL</x:v>
      </x:c>
      <x:c r="AM223" t="n">
        <x:f>_xlfn.XLOOKUP($A223,Games!$A$2:$A$18,Games!$H$2:$H$18,"Missing game",0)</x:f>
        <x:v>22</x:v>
      </x:c>
      <x:c r="AN223" t="str">
        <x:f>_xlfn.XLOOKUP($A223,Games!$A$2:$A$18,Games!$I$2:$I$18,"Missing game",0)</x:f>
        <x:v>MIN</x:v>
      </x:c>
      <x:c r="AO223" t="n">
        <x:f>_xlfn.XLOOKUP($A223,Games!$A$2:$A$18,Games!$J$2:$J$18,"Missing game",0)</x:f>
        <x:v>6</x:v>
      </x:c>
      <x:c r="AP223" t="n">
        <x:f>_xlfn.XLOOKUP($A223,Games!$A$2:$A$18,Games!$K$2:$K$18,"Missing game",0)</x:f>
        <x:v>-16</x:v>
      </x:c>
      <x:c r="AQ223" t="n">
        <x:f>_xlfn.XLOOKUP($A223,Games!$A$2:$A$18,Games!$L$2:$L$18,"Missing game",0)</x:f>
        <x:v>28</x:v>
      </x:c>
      <x:c r="AR223" t="n">
        <x:f>_xlfn.XLOOKUP($A223,Games!$A$2:$A$18,Games!$M$2:$M$18,"Missing game",0)</x:f>
        <x:v>0</x:v>
      </x:c>
      <x:c r="AS223" t="str">
        <x:f>_xlfn.XLOOKUP($A223,Games!$A$2:$A$18,Games!$N$2:$N$18,"Missing game",0)</x:f>
        <x:v>dome</x:v>
      </x:c>
      <x:c r="AT223" t="str">
        <x:f>_xlfn.XLOOKUP($A223,Games!$A$2:$A$18,Games!$O$2:$O$18,"Missing game",0)</x:f>
        <x:v>sportturf</x:v>
      </x:c>
      <x:c r="AU223" t="str">
        <x:f>_xlfn.XLOOKUP($A223,Games!$A$2:$A$18,Games!$P$2:$P$18,"Missing game",0)</x:f>
      </x:c>
      <x:c r="AV223" t="str">
        <x:f>_xlfn.XLOOKUP($A223,Games!$A$2:$A$18,Games!$Q$2:$Q$18,"Missing game",0)</x:f>
      </x:c>
      <x:c r="AW223" t="str">
        <x:f>_xlfn.XLOOKUP($A223,Games!$A$2:$A$18,Games!$R$2:$R$18,"Missing game",0)</x:f>
        <x:v>U.S. Bank Stadium</x:v>
      </x:c>
    </x:row>
    <x:row r="224">
      <x:c r="A224" t="str">
        <x:v>2025_02_ATL_MIN</x:v>
      </x:c>
      <x:c r="B224" t="n">
        <x:v>1161</x:v>
      </x:c>
      <x:c r="C224" t="n">
        <x:v>2</x:v>
      </x:c>
      <x:c r="D224" t="str">
        <x:v>10:04</x:v>
      </x:c>
      <x:c r="E224" t="n">
        <x:v>2</x:v>
      </x:c>
      <x:c r="F224" t="n">
        <x:v>18</x:v>
      </x:c>
      <x:c r="G224" t="str">
        <x:v>MIN</x:v>
      </x:c>
      <x:c r="H224" t="str">
        <x:v>ATL</x:v>
      </x:c>
      <x:c r="I224" t="str">
        <x:v>ATL</x:v>
      </x:c>
      <x:c r="J224" t="n">
        <x:v>38</x:v>
      </x:c>
      <x:c r="K224" t="str">
        <x:v>(10:04) (Shotgun) 9-J.McCarthy pass incomplete short middle to 87-T.Hockenson (0-D.Deablo).</x:v>
      </x:c>
      <x:c r="L224" t="str">
        <x:v>pass</x:v>
      </x:c>
      <x:c r="M224" t="n">
        <x:v>0</x:v>
      </x:c>
      <x:c r="N224" t="n">
        <x:v>1</x:v>
      </x:c>
      <x:c r="O224" t="n">
        <x:v>0</x:v>
      </x:c>
      <x:c r="P224" t="str">
        <x:v>short</x:v>
      </x:c>
      <x:c r="Q224" t="str">
        <x:v>middle</x:v>
      </x:c>
      <x:c r="R224" t="n">
        <x:v>7</x:v>
      </x:c>
      <x:c r="S224"/>
      <x:c r="T224"/>
      <x:c r="U224"/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/>
      <x:c r="AC224" t="n">
        <x:v>0</x:v>
      </x:c>
      <x:c r="AD224" t="n">
        <x:v>-0.918673112988472</x:v>
      </x:c>
      <x:c r="AE224" t="n">
        <x:v>0</x:v>
      </x:c>
      <x:c r="AF224" t="n">
        <x:v>-0.03763219714164734</x:v>
      </x:c>
      <x:c r="AG224" t="n">
        <x:f>_xlfn.XLOOKUP($A224,Games!$A$2:$A$18,Games!$B$2:$B$18,"Missing game",0)</x:f>
        <x:v>2025</x:v>
      </x:c>
      <x:c r="AH224" t="str">
        <x:f>_xlfn.XLOOKUP($A224,Games!$A$2:$A$18,Games!$C$2:$C$18,"Missing game",0)</x:f>
        <x:v>REG</x:v>
      </x:c>
      <x:c r="AI224" t="n">
        <x:f>_xlfn.XLOOKUP($A224,Games!$A$2:$A$18,Games!$D$2:$D$18,"Missing game",0)</x:f>
        <x:v>2</x:v>
      </x:c>
      <x:c r="AJ224" s="1" t="n">
        <x:f>_xlfn.XLOOKUP($A224,Games!$A$2:$A$18,Games!$E$2:$E$18,"Missing game",0)</x:f>
        <x:v>45914</x:v>
      </x:c>
      <x:c r="AK224" t="str">
        <x:f>_xlfn.XLOOKUP($A224,Games!$A$2:$A$18,Games!$F$2:$F$18,"Missing game",0)</x:f>
        <x:v>Sunday</x:v>
      </x:c>
      <x:c r="AL224" t="str">
        <x:f>_xlfn.XLOOKUP($A224,Games!$A$2:$A$18,Games!$G$2:$G$18,"Missing game",0)</x:f>
        <x:v>ATL</x:v>
      </x:c>
      <x:c r="AM224" t="n">
        <x:f>_xlfn.XLOOKUP($A224,Games!$A$2:$A$18,Games!$H$2:$H$18,"Missing game",0)</x:f>
        <x:v>22</x:v>
      </x:c>
      <x:c r="AN224" t="str">
        <x:f>_xlfn.XLOOKUP($A224,Games!$A$2:$A$18,Games!$I$2:$I$18,"Missing game",0)</x:f>
        <x:v>MIN</x:v>
      </x:c>
      <x:c r="AO224" t="n">
        <x:f>_xlfn.XLOOKUP($A224,Games!$A$2:$A$18,Games!$J$2:$J$18,"Missing game",0)</x:f>
        <x:v>6</x:v>
      </x:c>
      <x:c r="AP224" t="n">
        <x:f>_xlfn.XLOOKUP($A224,Games!$A$2:$A$18,Games!$K$2:$K$18,"Missing game",0)</x:f>
        <x:v>-16</x:v>
      </x:c>
      <x:c r="AQ224" t="n">
        <x:f>_xlfn.XLOOKUP($A224,Games!$A$2:$A$18,Games!$L$2:$L$18,"Missing game",0)</x:f>
        <x:v>28</x:v>
      </x:c>
      <x:c r="AR224" t="n">
        <x:f>_xlfn.XLOOKUP($A224,Games!$A$2:$A$18,Games!$M$2:$M$18,"Missing game",0)</x:f>
        <x:v>0</x:v>
      </x:c>
      <x:c r="AS224" t="str">
        <x:f>_xlfn.XLOOKUP($A224,Games!$A$2:$A$18,Games!$N$2:$N$18,"Missing game",0)</x:f>
        <x:v>dome</x:v>
      </x:c>
      <x:c r="AT224" t="str">
        <x:f>_xlfn.XLOOKUP($A224,Games!$A$2:$A$18,Games!$O$2:$O$18,"Missing game",0)</x:f>
        <x:v>sportturf</x:v>
      </x:c>
      <x:c r="AU224" t="str">
        <x:f>_xlfn.XLOOKUP($A224,Games!$A$2:$A$18,Games!$P$2:$P$18,"Missing game",0)</x:f>
      </x:c>
      <x:c r="AV224" t="str">
        <x:f>_xlfn.XLOOKUP($A224,Games!$A$2:$A$18,Games!$Q$2:$Q$18,"Missing game",0)</x:f>
      </x:c>
      <x:c r="AW224" t="str">
        <x:f>_xlfn.XLOOKUP($A224,Games!$A$2:$A$18,Games!$R$2:$R$18,"Missing game",0)</x:f>
        <x:v>U.S. Bank Stadium</x:v>
      </x:c>
    </x:row>
    <x:row r="225">
      <x:c r="A225" t="str">
        <x:v>2025_02_ATL_MIN</x:v>
      </x:c>
      <x:c r="B225" t="n">
        <x:v>1184</x:v>
      </x:c>
      <x:c r="C225" t="n">
        <x:v>2</x:v>
      </x:c>
      <x:c r="D225" t="str">
        <x:v>10:00</x:v>
      </x:c>
      <x:c r="E225" t="n">
        <x:v>3</x:v>
      </x:c>
      <x:c r="F225" t="n">
        <x:v>18</x:v>
      </x:c>
      <x:c r="G225" t="str">
        <x:v>MIN</x:v>
      </x:c>
      <x:c r="H225" t="str">
        <x:v>ATL</x:v>
      </x:c>
      <x:c r="I225" t="str">
        <x:v>ATL</x:v>
      </x:c>
      <x:c r="J225" t="n">
        <x:v>38</x:v>
      </x:c>
      <x:c r="K225" t="str">
        <x:v>(10:00) (Shotgun) 9-J.McCarthy pass deep right to 19-A.Thielen to ATL 19 for 19 yards (33-B.Bowman).</x:v>
      </x:c>
      <x:c r="L225" t="str">
        <x:v>pass</x:v>
      </x:c>
      <x:c r="M225" t="n">
        <x:v>19</x:v>
      </x:c>
      <x:c r="N225" t="n">
        <x:v>1</x:v>
      </x:c>
      <x:c r="O225" t="n">
        <x:v>0</x:v>
      </x:c>
      <x:c r="P225" t="str">
        <x:v>deep</x:v>
      </x:c>
      <x:c r="Q225" t="str">
        <x:v>right</x:v>
      </x:c>
      <x:c r="R225" t="n">
        <x:v>19</x:v>
      </x:c>
      <x:c r="S225" t="n">
        <x:v>0</x:v>
      </x:c>
      <x:c r="T225"/>
      <x:c r="U225"/>
      <x:c r="V225" t="n">
        <x:v>1</x:v>
      </x:c>
      <x:c r="W225" t="n">
        <x:v>1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/>
      <x:c r="AC225" t="n">
        <x:v>0</x:v>
      </x:c>
      <x:c r="AD225" t="n">
        <x:v>3.0805224518990144</x:v>
      </x:c>
      <x:c r="AE225" t="n">
        <x:v>1</x:v>
      </x:c>
      <x:c r="AF225" t="n">
        <x:v>0.0904281735420227</x:v>
      </x:c>
      <x:c r="AG225" t="n">
        <x:f>_xlfn.XLOOKUP($A225,Games!$A$2:$A$18,Games!$B$2:$B$18,"Missing game",0)</x:f>
        <x:v>2025</x:v>
      </x:c>
      <x:c r="AH225" t="str">
        <x:f>_xlfn.XLOOKUP($A225,Games!$A$2:$A$18,Games!$C$2:$C$18,"Missing game",0)</x:f>
        <x:v>REG</x:v>
      </x:c>
      <x:c r="AI225" t="n">
        <x:f>_xlfn.XLOOKUP($A225,Games!$A$2:$A$18,Games!$D$2:$D$18,"Missing game",0)</x:f>
        <x:v>2</x:v>
      </x:c>
      <x:c r="AJ225" s="1" t="n">
        <x:f>_xlfn.XLOOKUP($A225,Games!$A$2:$A$18,Games!$E$2:$E$18,"Missing game",0)</x:f>
        <x:v>45914</x:v>
      </x:c>
      <x:c r="AK225" t="str">
        <x:f>_xlfn.XLOOKUP($A225,Games!$A$2:$A$18,Games!$F$2:$F$18,"Missing game",0)</x:f>
        <x:v>Sunday</x:v>
      </x:c>
      <x:c r="AL225" t="str">
        <x:f>_xlfn.XLOOKUP($A225,Games!$A$2:$A$18,Games!$G$2:$G$18,"Missing game",0)</x:f>
        <x:v>ATL</x:v>
      </x:c>
      <x:c r="AM225" t="n">
        <x:f>_xlfn.XLOOKUP($A225,Games!$A$2:$A$18,Games!$H$2:$H$18,"Missing game",0)</x:f>
        <x:v>22</x:v>
      </x:c>
      <x:c r="AN225" t="str">
        <x:f>_xlfn.XLOOKUP($A225,Games!$A$2:$A$18,Games!$I$2:$I$18,"Missing game",0)</x:f>
        <x:v>MIN</x:v>
      </x:c>
      <x:c r="AO225" t="n">
        <x:f>_xlfn.XLOOKUP($A225,Games!$A$2:$A$18,Games!$J$2:$J$18,"Missing game",0)</x:f>
        <x:v>6</x:v>
      </x:c>
      <x:c r="AP225" t="n">
        <x:f>_xlfn.XLOOKUP($A225,Games!$A$2:$A$18,Games!$K$2:$K$18,"Missing game",0)</x:f>
        <x:v>-16</x:v>
      </x:c>
      <x:c r="AQ225" t="n">
        <x:f>_xlfn.XLOOKUP($A225,Games!$A$2:$A$18,Games!$L$2:$L$18,"Missing game",0)</x:f>
        <x:v>28</x:v>
      </x:c>
      <x:c r="AR225" t="n">
        <x:f>_xlfn.XLOOKUP($A225,Games!$A$2:$A$18,Games!$M$2:$M$18,"Missing game",0)</x:f>
        <x:v>0</x:v>
      </x:c>
      <x:c r="AS225" t="str">
        <x:f>_xlfn.XLOOKUP($A225,Games!$A$2:$A$18,Games!$N$2:$N$18,"Missing game",0)</x:f>
        <x:v>dome</x:v>
      </x:c>
      <x:c r="AT225" t="str">
        <x:f>_xlfn.XLOOKUP($A225,Games!$A$2:$A$18,Games!$O$2:$O$18,"Missing game",0)</x:f>
        <x:v>sportturf</x:v>
      </x:c>
      <x:c r="AU225" t="str">
        <x:f>_xlfn.XLOOKUP($A225,Games!$A$2:$A$18,Games!$P$2:$P$18,"Missing game",0)</x:f>
      </x:c>
      <x:c r="AV225" t="str">
        <x:f>_xlfn.XLOOKUP($A225,Games!$A$2:$A$18,Games!$Q$2:$Q$18,"Missing game",0)</x:f>
      </x:c>
      <x:c r="AW225" t="str">
        <x:f>_xlfn.XLOOKUP($A225,Games!$A$2:$A$18,Games!$R$2:$R$18,"Missing game",0)</x:f>
        <x:v>U.S. Bank Stadium</x:v>
      </x:c>
    </x:row>
    <x:row r="226">
      <x:c r="A226" t="str">
        <x:v>2025_02_ATL_MIN</x:v>
      </x:c>
      <x:c r="B226" t="n">
        <x:v>1209</x:v>
      </x:c>
      <x:c r="C226" t="n">
        <x:v>2</x:v>
      </x:c>
      <x:c r="D226" t="str">
        <x:v>09:18</x:v>
      </x:c>
      <x:c r="E226" t="n">
        <x:v>1</x:v>
      </x:c>
      <x:c r="F226" t="n">
        <x:v>10</x:v>
      </x:c>
      <x:c r="G226" t="str">
        <x:v>MIN</x:v>
      </x:c>
      <x:c r="H226" t="str">
        <x:v>ATL</x:v>
      </x:c>
      <x:c r="I226" t="str">
        <x:v>ATL</x:v>
      </x:c>
      <x:c r="J226" t="n">
        <x:v>19</x:v>
      </x:c>
      <x:c r="K226" t="str">
        <x:v>(9:18) (No Huddle, Shotgun) 9-J.McCarthy pass deep right to 1-J.Nailor pushed ob at ATL 2 for 17 yards (24-A.Terrell).</x:v>
      </x:c>
      <x:c r="L226" t="str">
        <x:v>pass</x:v>
      </x:c>
      <x:c r="M226" t="n">
        <x:v>17</x:v>
      </x:c>
      <x:c r="N226" t="n">
        <x:v>1</x:v>
      </x:c>
      <x:c r="O226" t="n">
        <x:v>1</x:v>
      </x:c>
      <x:c r="P226" t="str">
        <x:v>deep</x:v>
      </x:c>
      <x:c r="Q226" t="str">
        <x:v>right</x:v>
      </x:c>
      <x:c r="R226" t="n">
        <x:v>17</x:v>
      </x:c>
      <x:c r="S226" t="n">
        <x:v>0</x:v>
      </x:c>
      <x:c r="T226"/>
      <x:c r="U226"/>
      <x:c r="V226" t="n">
        <x:v>1</x:v>
      </x:c>
      <x:c r="W226" t="n">
        <x:v>1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/>
      <x:c r="AC226" t="n">
        <x:v>0</x:v>
      </x:c>
      <x:c r="AD226" t="n">
        <x:v>1.5517639311146922</x:v>
      </x:c>
      <x:c r="AE226" t="n">
        <x:v>1</x:v>
      </x:c>
      <x:c r="AF226" t="n">
        <x:v>0.030811786651611328</x:v>
      </x:c>
      <x:c r="AG226" t="n">
        <x:f>_xlfn.XLOOKUP($A226,Games!$A$2:$A$18,Games!$B$2:$B$18,"Missing game",0)</x:f>
        <x:v>2025</x:v>
      </x:c>
      <x:c r="AH226" t="str">
        <x:f>_xlfn.XLOOKUP($A226,Games!$A$2:$A$18,Games!$C$2:$C$18,"Missing game",0)</x:f>
        <x:v>REG</x:v>
      </x:c>
      <x:c r="AI226" t="n">
        <x:f>_xlfn.XLOOKUP($A226,Games!$A$2:$A$18,Games!$D$2:$D$18,"Missing game",0)</x:f>
        <x:v>2</x:v>
      </x:c>
      <x:c r="AJ226" s="1" t="n">
        <x:f>_xlfn.XLOOKUP($A226,Games!$A$2:$A$18,Games!$E$2:$E$18,"Missing game",0)</x:f>
        <x:v>45914</x:v>
      </x:c>
      <x:c r="AK226" t="str">
        <x:f>_xlfn.XLOOKUP($A226,Games!$A$2:$A$18,Games!$F$2:$F$18,"Missing game",0)</x:f>
        <x:v>Sunday</x:v>
      </x:c>
      <x:c r="AL226" t="str">
        <x:f>_xlfn.XLOOKUP($A226,Games!$A$2:$A$18,Games!$G$2:$G$18,"Missing game",0)</x:f>
        <x:v>ATL</x:v>
      </x:c>
      <x:c r="AM226" t="n">
        <x:f>_xlfn.XLOOKUP($A226,Games!$A$2:$A$18,Games!$H$2:$H$18,"Missing game",0)</x:f>
        <x:v>22</x:v>
      </x:c>
      <x:c r="AN226" t="str">
        <x:f>_xlfn.XLOOKUP($A226,Games!$A$2:$A$18,Games!$I$2:$I$18,"Missing game",0)</x:f>
        <x:v>MIN</x:v>
      </x:c>
      <x:c r="AO226" t="n">
        <x:f>_xlfn.XLOOKUP($A226,Games!$A$2:$A$18,Games!$J$2:$J$18,"Missing game",0)</x:f>
        <x:v>6</x:v>
      </x:c>
      <x:c r="AP226" t="n">
        <x:f>_xlfn.XLOOKUP($A226,Games!$A$2:$A$18,Games!$K$2:$K$18,"Missing game",0)</x:f>
        <x:v>-16</x:v>
      </x:c>
      <x:c r="AQ226" t="n">
        <x:f>_xlfn.XLOOKUP($A226,Games!$A$2:$A$18,Games!$L$2:$L$18,"Missing game",0)</x:f>
        <x:v>28</x:v>
      </x:c>
      <x:c r="AR226" t="n">
        <x:f>_xlfn.XLOOKUP($A226,Games!$A$2:$A$18,Games!$M$2:$M$18,"Missing game",0)</x:f>
        <x:v>0</x:v>
      </x:c>
      <x:c r="AS226" t="str">
        <x:f>_xlfn.XLOOKUP($A226,Games!$A$2:$A$18,Games!$N$2:$N$18,"Missing game",0)</x:f>
        <x:v>dome</x:v>
      </x:c>
      <x:c r="AT226" t="str">
        <x:f>_xlfn.XLOOKUP($A226,Games!$A$2:$A$18,Games!$O$2:$O$18,"Missing game",0)</x:f>
        <x:v>sportturf</x:v>
      </x:c>
      <x:c r="AU226" t="str">
        <x:f>_xlfn.XLOOKUP($A226,Games!$A$2:$A$18,Games!$P$2:$P$18,"Missing game",0)</x:f>
      </x:c>
      <x:c r="AV226" t="str">
        <x:f>_xlfn.XLOOKUP($A226,Games!$A$2:$A$18,Games!$Q$2:$Q$18,"Missing game",0)</x:f>
      </x:c>
      <x:c r="AW226" t="str">
        <x:f>_xlfn.XLOOKUP($A226,Games!$A$2:$A$18,Games!$R$2:$R$18,"Missing game",0)</x:f>
        <x:v>U.S. Bank Stadium</x:v>
      </x:c>
    </x:row>
    <x:row r="227">
      <x:c r="A227" t="str">
        <x:v>2025_02_ATL_MIN</x:v>
      </x:c>
      <x:c r="B227" t="n">
        <x:v>1239</x:v>
      </x:c>
      <x:c r="C227" t="n">
        <x:v>2</x:v>
      </x:c>
      <x:c r="D227" t="str">
        <x:v>08:39</x:v>
      </x:c>
      <x:c r="E227" t="n">
        <x:v>1</x:v>
      </x:c>
      <x:c r="F227" t="n">
        <x:v>2</x:v>
      </x:c>
      <x:c r="G227" t="str">
        <x:v>MIN</x:v>
      </x:c>
      <x:c r="H227" t="str">
        <x:v>ATL</x:v>
      </x:c>
      <x:c r="I227" t="str">
        <x:v>ATL</x:v>
      </x:c>
      <x:c r="J227" t="n">
        <x:v>2</x:v>
      </x:c>
      <x:c r="K227" t="str">
        <x:v>(8:39) 9-J.McCarthy to ATL 7 for -5 yards. FUMBLES, and recovers at ATL 8. 9-J.McCarthy pass incomplete short right to 18-J.Jefferson [55-K.Elliss].</x:v>
      </x:c>
      <x:c r="L227" t="str">
        <x:v>pass</x:v>
      </x:c>
      <x:c r="M227" t="n">
        <x:v>0</x:v>
      </x:c>
      <x:c r="N227" t="n">
        <x:v>0</x:v>
      </x:c>
      <x:c r="O227" t="n">
        <x:v>0</x:v>
      </x:c>
      <x:c r="P227" t="str">
        <x:v>short</x:v>
      </x:c>
      <x:c r="Q227" t="str">
        <x:v>right</x:v>
      </x:c>
      <x:c r="R227" t="n">
        <x:v>2</x:v>
      </x:c>
      <x:c r="S227"/>
      <x:c r="T227"/>
      <x:c r="U227"/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/>
      <x:c r="AC227" t="n">
        <x:v>0</x:v>
      </x:c>
      <x:c r="AD227" t="n">
        <x:v>-0.3588565503596328</x:v>
      </x:c>
      <x:c r="AE227" t="n">
        <x:v>0</x:v>
      </x:c>
      <x:c r="AF227" t="n">
        <x:v>-0.012130379676818848</x:v>
      </x:c>
      <x:c r="AG227" t="n">
        <x:f>_xlfn.XLOOKUP($A227,Games!$A$2:$A$18,Games!$B$2:$B$18,"Missing game",0)</x:f>
        <x:v>2025</x:v>
      </x:c>
      <x:c r="AH227" t="str">
        <x:f>_xlfn.XLOOKUP($A227,Games!$A$2:$A$18,Games!$C$2:$C$18,"Missing game",0)</x:f>
        <x:v>REG</x:v>
      </x:c>
      <x:c r="AI227" t="n">
        <x:f>_xlfn.XLOOKUP($A227,Games!$A$2:$A$18,Games!$D$2:$D$18,"Missing game",0)</x:f>
        <x:v>2</x:v>
      </x:c>
      <x:c r="AJ227" s="1" t="n">
        <x:f>_xlfn.XLOOKUP($A227,Games!$A$2:$A$18,Games!$E$2:$E$18,"Missing game",0)</x:f>
        <x:v>45914</x:v>
      </x:c>
      <x:c r="AK227" t="str">
        <x:f>_xlfn.XLOOKUP($A227,Games!$A$2:$A$18,Games!$F$2:$F$18,"Missing game",0)</x:f>
        <x:v>Sunday</x:v>
      </x:c>
      <x:c r="AL227" t="str">
        <x:f>_xlfn.XLOOKUP($A227,Games!$A$2:$A$18,Games!$G$2:$G$18,"Missing game",0)</x:f>
        <x:v>ATL</x:v>
      </x:c>
      <x:c r="AM227" t="n">
        <x:f>_xlfn.XLOOKUP($A227,Games!$A$2:$A$18,Games!$H$2:$H$18,"Missing game",0)</x:f>
        <x:v>22</x:v>
      </x:c>
      <x:c r="AN227" t="str">
        <x:f>_xlfn.XLOOKUP($A227,Games!$A$2:$A$18,Games!$I$2:$I$18,"Missing game",0)</x:f>
        <x:v>MIN</x:v>
      </x:c>
      <x:c r="AO227" t="n">
        <x:f>_xlfn.XLOOKUP($A227,Games!$A$2:$A$18,Games!$J$2:$J$18,"Missing game",0)</x:f>
        <x:v>6</x:v>
      </x:c>
      <x:c r="AP227" t="n">
        <x:f>_xlfn.XLOOKUP($A227,Games!$A$2:$A$18,Games!$K$2:$K$18,"Missing game",0)</x:f>
        <x:v>-16</x:v>
      </x:c>
      <x:c r="AQ227" t="n">
        <x:f>_xlfn.XLOOKUP($A227,Games!$A$2:$A$18,Games!$L$2:$L$18,"Missing game",0)</x:f>
        <x:v>28</x:v>
      </x:c>
      <x:c r="AR227" t="n">
        <x:f>_xlfn.XLOOKUP($A227,Games!$A$2:$A$18,Games!$M$2:$M$18,"Missing game",0)</x:f>
        <x:v>0</x:v>
      </x:c>
      <x:c r="AS227" t="str">
        <x:f>_xlfn.XLOOKUP($A227,Games!$A$2:$A$18,Games!$N$2:$N$18,"Missing game",0)</x:f>
        <x:v>dome</x:v>
      </x:c>
      <x:c r="AT227" t="str">
        <x:f>_xlfn.XLOOKUP($A227,Games!$A$2:$A$18,Games!$O$2:$O$18,"Missing game",0)</x:f>
        <x:v>sportturf</x:v>
      </x:c>
      <x:c r="AU227" t="str">
        <x:f>_xlfn.XLOOKUP($A227,Games!$A$2:$A$18,Games!$P$2:$P$18,"Missing game",0)</x:f>
      </x:c>
      <x:c r="AV227" t="str">
        <x:f>_xlfn.XLOOKUP($A227,Games!$A$2:$A$18,Games!$Q$2:$Q$18,"Missing game",0)</x:f>
      </x:c>
      <x:c r="AW227" t="str">
        <x:f>_xlfn.XLOOKUP($A227,Games!$A$2:$A$18,Games!$R$2:$R$18,"Missing game",0)</x:f>
        <x:v>U.S. Bank Stadium</x:v>
      </x:c>
    </x:row>
    <x:row r="228">
      <x:c r="A228" t="str">
        <x:v>2025_02_ATL_MIN</x:v>
      </x:c>
      <x:c r="B228" t="n">
        <x:v>1278</x:v>
      </x:c>
      <x:c r="C228" t="n">
        <x:v>2</x:v>
      </x:c>
      <x:c r="D228" t="str">
        <x:v>08:32</x:v>
      </x:c>
      <x:c r="E228" t="n">
        <x:v>2</x:v>
      </x:c>
      <x:c r="F228" t="n">
        <x:v>2</x:v>
      </x:c>
      <x:c r="G228" t="str">
        <x:v>MIN</x:v>
      </x:c>
      <x:c r="H228" t="str">
        <x:v>ATL</x:v>
      </x:c>
      <x:c r="I228" t="str">
        <x:v>ATL</x:v>
      </x:c>
      <x:c r="J228" t="n">
        <x:v>2</x:v>
      </x:c>
      <x:c r="K228" t="str">
        <x:v>(8:32) PENALTY on MIN, Delay of Game, 5 yards, enforced at ATL 2 - No Play.</x:v>
      </x:c>
      <x:c r="L228" t="str">
        <x:v>no_play</x:v>
      </x:c>
      <x:c r="M228" t="n">
        <x:v>0</x:v>
      </x:c>
      <x:c r="N228" t="n">
        <x:v>0</x:v>
      </x:c>
      <x:c r="O228" t="n">
        <x:v>0</x:v>
      </x:c>
      <x:c r="P228"/>
      <x:c r="Q228"/>
      <x:c r="R228"/>
      <x:c r="S228"/>
      <x:c r="T228"/>
      <x:c r="U228"/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1</x:v>
      </x:c>
      <x:c r="AB228" t="n">
        <x:v>5</x:v>
      </x:c>
      <x:c r="AC228" t="n">
        <x:v>0</x:v>
      </x:c>
      <x:c r="AD228" t="n">
        <x:v>-0.9332567196106538</x:v>
      </x:c>
      <x:c r="AE228" t="n">
        <x:v>0</x:v>
      </x:c>
      <x:c r="AF228" t="n">
        <x:v>-0.029609709978103638</x:v>
      </x:c>
      <x:c r="AG228" t="n">
        <x:f>_xlfn.XLOOKUP($A228,Games!$A$2:$A$18,Games!$B$2:$B$18,"Missing game",0)</x:f>
        <x:v>2025</x:v>
      </x:c>
      <x:c r="AH228" t="str">
        <x:f>_xlfn.XLOOKUP($A228,Games!$A$2:$A$18,Games!$C$2:$C$18,"Missing game",0)</x:f>
        <x:v>REG</x:v>
      </x:c>
      <x:c r="AI228" t="n">
        <x:f>_xlfn.XLOOKUP($A228,Games!$A$2:$A$18,Games!$D$2:$D$18,"Missing game",0)</x:f>
        <x:v>2</x:v>
      </x:c>
      <x:c r="AJ228" s="1" t="n">
        <x:f>_xlfn.XLOOKUP($A228,Games!$A$2:$A$18,Games!$E$2:$E$18,"Missing game",0)</x:f>
        <x:v>45914</x:v>
      </x:c>
      <x:c r="AK228" t="str">
        <x:f>_xlfn.XLOOKUP($A228,Games!$A$2:$A$18,Games!$F$2:$F$18,"Missing game",0)</x:f>
        <x:v>Sunday</x:v>
      </x:c>
      <x:c r="AL228" t="str">
        <x:f>_xlfn.XLOOKUP($A228,Games!$A$2:$A$18,Games!$G$2:$G$18,"Missing game",0)</x:f>
        <x:v>ATL</x:v>
      </x:c>
      <x:c r="AM228" t="n">
        <x:f>_xlfn.XLOOKUP($A228,Games!$A$2:$A$18,Games!$H$2:$H$18,"Missing game",0)</x:f>
        <x:v>22</x:v>
      </x:c>
      <x:c r="AN228" t="str">
        <x:f>_xlfn.XLOOKUP($A228,Games!$A$2:$A$18,Games!$I$2:$I$18,"Missing game",0)</x:f>
        <x:v>MIN</x:v>
      </x:c>
      <x:c r="AO228" t="n">
        <x:f>_xlfn.XLOOKUP($A228,Games!$A$2:$A$18,Games!$J$2:$J$18,"Missing game",0)</x:f>
        <x:v>6</x:v>
      </x:c>
      <x:c r="AP228" t="n">
        <x:f>_xlfn.XLOOKUP($A228,Games!$A$2:$A$18,Games!$K$2:$K$18,"Missing game",0)</x:f>
        <x:v>-16</x:v>
      </x:c>
      <x:c r="AQ228" t="n">
        <x:f>_xlfn.XLOOKUP($A228,Games!$A$2:$A$18,Games!$L$2:$L$18,"Missing game",0)</x:f>
        <x:v>28</x:v>
      </x:c>
      <x:c r="AR228" t="n">
        <x:f>_xlfn.XLOOKUP($A228,Games!$A$2:$A$18,Games!$M$2:$M$18,"Missing game",0)</x:f>
        <x:v>0</x:v>
      </x:c>
      <x:c r="AS228" t="str">
        <x:f>_xlfn.XLOOKUP($A228,Games!$A$2:$A$18,Games!$N$2:$N$18,"Missing game",0)</x:f>
        <x:v>dome</x:v>
      </x:c>
      <x:c r="AT228" t="str">
        <x:f>_xlfn.XLOOKUP($A228,Games!$A$2:$A$18,Games!$O$2:$O$18,"Missing game",0)</x:f>
        <x:v>sportturf</x:v>
      </x:c>
      <x:c r="AU228" t="str">
        <x:f>_xlfn.XLOOKUP($A228,Games!$A$2:$A$18,Games!$P$2:$P$18,"Missing game",0)</x:f>
      </x:c>
      <x:c r="AV228" t="str">
        <x:f>_xlfn.XLOOKUP($A228,Games!$A$2:$A$18,Games!$Q$2:$Q$18,"Missing game",0)</x:f>
      </x:c>
      <x:c r="AW228" t="str">
        <x:f>_xlfn.XLOOKUP($A228,Games!$A$2:$A$18,Games!$R$2:$R$18,"Missing game",0)</x:f>
        <x:v>U.S. Bank Stadium</x:v>
      </x:c>
    </x:row>
    <x:row r="229">
      <x:c r="A229" t="str">
        <x:v>2025_02_ATL_MIN</x:v>
      </x:c>
      <x:c r="B229" t="n">
        <x:v>1302</x:v>
      </x:c>
      <x:c r="C229" t="n">
        <x:v>2</x:v>
      </x:c>
      <x:c r="D229" t="str">
        <x:v>08:32</x:v>
      </x:c>
      <x:c r="E229" t="n">
        <x:v>2</x:v>
      </x:c>
      <x:c r="F229" t="n">
        <x:v>7</x:v>
      </x:c>
      <x:c r="G229" t="str">
        <x:v>MIN</x:v>
      </x:c>
      <x:c r="H229" t="str">
        <x:v>ATL</x:v>
      </x:c>
      <x:c r="I229" t="str">
        <x:v>ATL</x:v>
      </x:c>
      <x:c r="J229" t="n">
        <x:v>7</x:v>
      </x:c>
      <x:c r="K229" t="str">
        <x:v>(8:32) 9-J.McCarthy sacked at ATL 14 for -7 yards (11-J.Walker).</x:v>
      </x:c>
      <x:c r="L229" t="str">
        <x:v>pass</x:v>
      </x:c>
      <x:c r="M229" t="n">
        <x:v>-7</x:v>
      </x:c>
      <x:c r="N229" t="n">
        <x:v>0</x:v>
      </x:c>
      <x:c r="O229" t="n">
        <x:v>0</x:v>
      </x:c>
      <x:c r="P229"/>
      <x:c r="Q229"/>
      <x:c r="R229"/>
      <x:c r="S229"/>
      <x:c r="T229"/>
      <x:c r="U229"/>
      <x:c r="V229" t="n">
        <x:v>0</x:v>
      </x:c>
      <x:c r="W229" t="n">
        <x:v>0</x:v>
      </x:c>
      <x:c r="X229" t="n">
        <x:v>1</x:v>
      </x:c>
      <x:c r="Y229" t="n">
        <x:v>0</x:v>
      </x:c>
      <x:c r="Z229" t="n">
        <x:v>0</x:v>
      </x:c>
      <x:c r="AA229" t="n">
        <x:v>0</x:v>
      </x:c>
      <x:c r="AB229"/>
      <x:c r="AC229" t="n">
        <x:v>0</x:v>
      </x:c>
      <x:c r="AD229" t="n">
        <x:v>-1.6671315662097186</x:v>
      </x:c>
      <x:c r="AE229" t="n">
        <x:v>0</x:v>
      </x:c>
      <x:c r="AF229" t="n">
        <x:v>-0.05342110991477966</x:v>
      </x:c>
      <x:c r="AG229" t="n">
        <x:f>_xlfn.XLOOKUP($A229,Games!$A$2:$A$18,Games!$B$2:$B$18,"Missing game",0)</x:f>
        <x:v>2025</x:v>
      </x:c>
      <x:c r="AH229" t="str">
        <x:f>_xlfn.XLOOKUP($A229,Games!$A$2:$A$18,Games!$C$2:$C$18,"Missing game",0)</x:f>
        <x:v>REG</x:v>
      </x:c>
      <x:c r="AI229" t="n">
        <x:f>_xlfn.XLOOKUP($A229,Games!$A$2:$A$18,Games!$D$2:$D$18,"Missing game",0)</x:f>
        <x:v>2</x:v>
      </x:c>
      <x:c r="AJ229" s="1" t="n">
        <x:f>_xlfn.XLOOKUP($A229,Games!$A$2:$A$18,Games!$E$2:$E$18,"Missing game",0)</x:f>
        <x:v>45914</x:v>
      </x:c>
      <x:c r="AK229" t="str">
        <x:f>_xlfn.XLOOKUP($A229,Games!$A$2:$A$18,Games!$F$2:$F$18,"Missing game",0)</x:f>
        <x:v>Sunday</x:v>
      </x:c>
      <x:c r="AL229" t="str">
        <x:f>_xlfn.XLOOKUP($A229,Games!$A$2:$A$18,Games!$G$2:$G$18,"Missing game",0)</x:f>
        <x:v>ATL</x:v>
      </x:c>
      <x:c r="AM229" t="n">
        <x:f>_xlfn.XLOOKUP($A229,Games!$A$2:$A$18,Games!$H$2:$H$18,"Missing game",0)</x:f>
        <x:v>22</x:v>
      </x:c>
      <x:c r="AN229" t="str">
        <x:f>_xlfn.XLOOKUP($A229,Games!$A$2:$A$18,Games!$I$2:$I$18,"Missing game",0)</x:f>
        <x:v>MIN</x:v>
      </x:c>
      <x:c r="AO229" t="n">
        <x:f>_xlfn.XLOOKUP($A229,Games!$A$2:$A$18,Games!$J$2:$J$18,"Missing game",0)</x:f>
        <x:v>6</x:v>
      </x:c>
      <x:c r="AP229" t="n">
        <x:f>_xlfn.XLOOKUP($A229,Games!$A$2:$A$18,Games!$K$2:$K$18,"Missing game",0)</x:f>
        <x:v>-16</x:v>
      </x:c>
      <x:c r="AQ229" t="n">
        <x:f>_xlfn.XLOOKUP($A229,Games!$A$2:$A$18,Games!$L$2:$L$18,"Missing game",0)</x:f>
        <x:v>28</x:v>
      </x:c>
      <x:c r="AR229" t="n">
        <x:f>_xlfn.XLOOKUP($A229,Games!$A$2:$A$18,Games!$M$2:$M$18,"Missing game",0)</x:f>
        <x:v>0</x:v>
      </x:c>
      <x:c r="AS229" t="str">
        <x:f>_xlfn.XLOOKUP($A229,Games!$A$2:$A$18,Games!$N$2:$N$18,"Missing game",0)</x:f>
        <x:v>dome</x:v>
      </x:c>
      <x:c r="AT229" t="str">
        <x:f>_xlfn.XLOOKUP($A229,Games!$A$2:$A$18,Games!$O$2:$O$18,"Missing game",0)</x:f>
        <x:v>sportturf</x:v>
      </x:c>
      <x:c r="AU229" t="str">
        <x:f>_xlfn.XLOOKUP($A229,Games!$A$2:$A$18,Games!$P$2:$P$18,"Missing game",0)</x:f>
      </x:c>
      <x:c r="AV229" t="str">
        <x:f>_xlfn.XLOOKUP($A229,Games!$A$2:$A$18,Games!$Q$2:$Q$18,"Missing game",0)</x:f>
      </x:c>
      <x:c r="AW229" t="str">
        <x:f>_xlfn.XLOOKUP($A229,Games!$A$2:$A$18,Games!$R$2:$R$18,"Missing game",0)</x:f>
        <x:v>U.S. Bank Stadium</x:v>
      </x:c>
    </x:row>
    <x:row r="230">
      <x:c r="A230" t="str">
        <x:v>2025_02_ATL_MIN</x:v>
      </x:c>
      <x:c r="B230" t="n">
        <x:v>1322</x:v>
      </x:c>
      <x:c r="C230" t="n">
        <x:v>2</x:v>
      </x:c>
      <x:c r="D230" t="str">
        <x:v>07:50</x:v>
      </x:c>
      <x:c r="E230" t="n">
        <x:v>3</x:v>
      </x:c>
      <x:c r="F230" t="n">
        <x:v>14</x:v>
      </x:c>
      <x:c r="G230" t="str">
        <x:v>MIN</x:v>
      </x:c>
      <x:c r="H230" t="str">
        <x:v>ATL</x:v>
      </x:c>
      <x:c r="I230" t="str">
        <x:v>ATL</x:v>
      </x:c>
      <x:c r="J230" t="n">
        <x:v>14</x:v>
      </x:c>
      <x:c r="K230" t="str">
        <x:v>(7:50) (Shotgun) 9-J.McCarthy sacked at ATL 15 for -1 yards (sack split by 98-R.Orhorhoro and 96-Z.Harrison).</x:v>
      </x:c>
      <x:c r="L230" t="str">
        <x:v>pass</x:v>
      </x:c>
      <x:c r="M230" t="n">
        <x:v>-1</x:v>
      </x:c>
      <x:c r="N230" t="n">
        <x:v>1</x:v>
      </x:c>
      <x:c r="O230" t="n">
        <x:v>0</x:v>
      </x:c>
      <x:c r="P230"/>
      <x:c r="Q230"/>
      <x:c r="R230"/>
      <x:c r="S230"/>
      <x:c r="T230"/>
      <x:c r="U230"/>
      <x:c r="V230" t="n">
        <x:v>0</x:v>
      </x:c>
      <x:c r="W230" t="n">
        <x:v>0</x:v>
      </x:c>
      <x:c r="X230" t="n">
        <x:v>1</x:v>
      </x:c>
      <x:c r="Y230" t="n">
        <x:v>0</x:v>
      </x:c>
      <x:c r="Z230" t="n">
        <x:v>0</x:v>
      </x:c>
      <x:c r="AA230" t="n">
        <x:v>0</x:v>
      </x:c>
      <x:c r="AB230"/>
      <x:c r="AC230" t="n">
        <x:v>0</x:v>
      </x:c>
      <x:c r="AD230" t="n">
        <x:v>-0.5353316071024783</x:v>
      </x:c>
      <x:c r="AE230" t="n">
        <x:v>0</x:v>
      </x:c>
      <x:c r="AF230" t="n">
        <x:v>-0.03313472867012024</x:v>
      </x:c>
      <x:c r="AG230" t="n">
        <x:f>_xlfn.XLOOKUP($A230,Games!$A$2:$A$18,Games!$B$2:$B$18,"Missing game",0)</x:f>
        <x:v>2025</x:v>
      </x:c>
      <x:c r="AH230" t="str">
        <x:f>_xlfn.XLOOKUP($A230,Games!$A$2:$A$18,Games!$C$2:$C$18,"Missing game",0)</x:f>
        <x:v>REG</x:v>
      </x:c>
      <x:c r="AI230" t="n">
        <x:f>_xlfn.XLOOKUP($A230,Games!$A$2:$A$18,Games!$D$2:$D$18,"Missing game",0)</x:f>
        <x:v>2</x:v>
      </x:c>
      <x:c r="AJ230" s="1" t="n">
        <x:f>_xlfn.XLOOKUP($A230,Games!$A$2:$A$18,Games!$E$2:$E$18,"Missing game",0)</x:f>
        <x:v>45914</x:v>
      </x:c>
      <x:c r="AK230" t="str">
        <x:f>_xlfn.XLOOKUP($A230,Games!$A$2:$A$18,Games!$F$2:$F$18,"Missing game",0)</x:f>
        <x:v>Sunday</x:v>
      </x:c>
      <x:c r="AL230" t="str">
        <x:f>_xlfn.XLOOKUP($A230,Games!$A$2:$A$18,Games!$G$2:$G$18,"Missing game",0)</x:f>
        <x:v>ATL</x:v>
      </x:c>
      <x:c r="AM230" t="n">
        <x:f>_xlfn.XLOOKUP($A230,Games!$A$2:$A$18,Games!$H$2:$H$18,"Missing game",0)</x:f>
        <x:v>22</x:v>
      </x:c>
      <x:c r="AN230" t="str">
        <x:f>_xlfn.XLOOKUP($A230,Games!$A$2:$A$18,Games!$I$2:$I$18,"Missing game",0)</x:f>
        <x:v>MIN</x:v>
      </x:c>
      <x:c r="AO230" t="n">
        <x:f>_xlfn.XLOOKUP($A230,Games!$A$2:$A$18,Games!$J$2:$J$18,"Missing game",0)</x:f>
        <x:v>6</x:v>
      </x:c>
      <x:c r="AP230" t="n">
        <x:f>_xlfn.XLOOKUP($A230,Games!$A$2:$A$18,Games!$K$2:$K$18,"Missing game",0)</x:f>
        <x:v>-16</x:v>
      </x:c>
      <x:c r="AQ230" t="n">
        <x:f>_xlfn.XLOOKUP($A230,Games!$A$2:$A$18,Games!$L$2:$L$18,"Missing game",0)</x:f>
        <x:v>28</x:v>
      </x:c>
      <x:c r="AR230" t="n">
        <x:f>_xlfn.XLOOKUP($A230,Games!$A$2:$A$18,Games!$M$2:$M$18,"Missing game",0)</x:f>
        <x:v>0</x:v>
      </x:c>
      <x:c r="AS230" t="str">
        <x:f>_xlfn.XLOOKUP($A230,Games!$A$2:$A$18,Games!$N$2:$N$18,"Missing game",0)</x:f>
        <x:v>dome</x:v>
      </x:c>
      <x:c r="AT230" t="str">
        <x:f>_xlfn.XLOOKUP($A230,Games!$A$2:$A$18,Games!$O$2:$O$18,"Missing game",0)</x:f>
        <x:v>sportturf</x:v>
      </x:c>
      <x:c r="AU230" t="str">
        <x:f>_xlfn.XLOOKUP($A230,Games!$A$2:$A$18,Games!$P$2:$P$18,"Missing game",0)</x:f>
      </x:c>
      <x:c r="AV230" t="str">
        <x:f>_xlfn.XLOOKUP($A230,Games!$A$2:$A$18,Games!$Q$2:$Q$18,"Missing game",0)</x:f>
      </x:c>
      <x:c r="AW230" t="str">
        <x:f>_xlfn.XLOOKUP($A230,Games!$A$2:$A$18,Games!$R$2:$R$18,"Missing game",0)</x:f>
        <x:v>U.S. Bank Stadium</x:v>
      </x:c>
    </x:row>
    <x:row r="231">
      <x:c r="A231" t="str">
        <x:v>2025_02_ATL_MIN</x:v>
      </x:c>
      <x:c r="B231" t="n">
        <x:v>1342</x:v>
      </x:c>
      <x:c r="C231" t="n">
        <x:v>2</x:v>
      </x:c>
      <x:c r="D231" t="str">
        <x:v>07:08</x:v>
      </x:c>
      <x:c r="E231" t="n">
        <x:v>4</x:v>
      </x:c>
      <x:c r="F231" t="n">
        <x:v>15</x:v>
      </x:c>
      <x:c r="G231" t="str">
        <x:v>MIN</x:v>
      </x:c>
      <x:c r="H231" t="str">
        <x:v>ATL</x:v>
      </x:c>
      <x:c r="I231" t="str">
        <x:v>ATL</x:v>
      </x:c>
      <x:c r="J231" t="n">
        <x:v>15</x:v>
      </x:c>
      <x:c r="K231" t="str">
        <x:v>(7:08) 16-W.Reichard 33 yard field goal is GOOD, Center-42-A.DePaola, Holder-17-R.Wright.</x:v>
      </x:c>
      <x:c r="L231" t="str">
        <x:v>field_goal</x:v>
      </x:c>
      <x:c r="M231" t="n">
        <x:v>0</x:v>
      </x:c>
      <x:c r="N231" t="n">
        <x:v>0</x:v>
      </x:c>
      <x:c r="O231" t="n">
        <x:v>0</x:v>
      </x:c>
      <x:c r="P231"/>
      <x:c r="Q231"/>
      <x:c r="R231"/>
      <x:c r="S231"/>
      <x:c r="T231"/>
      <x:c r="U231"/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/>
      <x:c r="AC231" t="n">
        <x:v>0</x:v>
      </x:c>
      <x:c r="AD231" t="n">
        <x:v>0.21677638136787936</x:v>
      </x:c>
      <x:c r="AE231" t="n">
        <x:v>1</x:v>
      </x:c>
      <x:c r="AF231" t="n">
        <x:v>0.04568031430244446</x:v>
      </x:c>
      <x:c r="AG231" t="n">
        <x:f>_xlfn.XLOOKUP($A231,Games!$A$2:$A$18,Games!$B$2:$B$18,"Missing game",0)</x:f>
        <x:v>2025</x:v>
      </x:c>
      <x:c r="AH231" t="str">
        <x:f>_xlfn.XLOOKUP($A231,Games!$A$2:$A$18,Games!$C$2:$C$18,"Missing game",0)</x:f>
        <x:v>REG</x:v>
      </x:c>
      <x:c r="AI231" t="n">
        <x:f>_xlfn.XLOOKUP($A231,Games!$A$2:$A$18,Games!$D$2:$D$18,"Missing game",0)</x:f>
        <x:v>2</x:v>
      </x:c>
      <x:c r="AJ231" s="1" t="n">
        <x:f>_xlfn.XLOOKUP($A231,Games!$A$2:$A$18,Games!$E$2:$E$18,"Missing game",0)</x:f>
        <x:v>45914</x:v>
      </x:c>
      <x:c r="AK231" t="str">
        <x:f>_xlfn.XLOOKUP($A231,Games!$A$2:$A$18,Games!$F$2:$F$18,"Missing game",0)</x:f>
        <x:v>Sunday</x:v>
      </x:c>
      <x:c r="AL231" t="str">
        <x:f>_xlfn.XLOOKUP($A231,Games!$A$2:$A$18,Games!$G$2:$G$18,"Missing game",0)</x:f>
        <x:v>ATL</x:v>
      </x:c>
      <x:c r="AM231" t="n">
        <x:f>_xlfn.XLOOKUP($A231,Games!$A$2:$A$18,Games!$H$2:$H$18,"Missing game",0)</x:f>
        <x:v>22</x:v>
      </x:c>
      <x:c r="AN231" t="str">
        <x:f>_xlfn.XLOOKUP($A231,Games!$A$2:$A$18,Games!$I$2:$I$18,"Missing game",0)</x:f>
        <x:v>MIN</x:v>
      </x:c>
      <x:c r="AO231" t="n">
        <x:f>_xlfn.XLOOKUP($A231,Games!$A$2:$A$18,Games!$J$2:$J$18,"Missing game",0)</x:f>
        <x:v>6</x:v>
      </x:c>
      <x:c r="AP231" t="n">
        <x:f>_xlfn.XLOOKUP($A231,Games!$A$2:$A$18,Games!$K$2:$K$18,"Missing game",0)</x:f>
        <x:v>-16</x:v>
      </x:c>
      <x:c r="AQ231" t="n">
        <x:f>_xlfn.XLOOKUP($A231,Games!$A$2:$A$18,Games!$L$2:$L$18,"Missing game",0)</x:f>
        <x:v>28</x:v>
      </x:c>
      <x:c r="AR231" t="n">
        <x:f>_xlfn.XLOOKUP($A231,Games!$A$2:$A$18,Games!$M$2:$M$18,"Missing game",0)</x:f>
        <x:v>0</x:v>
      </x:c>
      <x:c r="AS231" t="str">
        <x:f>_xlfn.XLOOKUP($A231,Games!$A$2:$A$18,Games!$N$2:$N$18,"Missing game",0)</x:f>
        <x:v>dome</x:v>
      </x:c>
      <x:c r="AT231" t="str">
        <x:f>_xlfn.XLOOKUP($A231,Games!$A$2:$A$18,Games!$O$2:$O$18,"Missing game",0)</x:f>
        <x:v>sportturf</x:v>
      </x:c>
      <x:c r="AU231" t="str">
        <x:f>_xlfn.XLOOKUP($A231,Games!$A$2:$A$18,Games!$P$2:$P$18,"Missing game",0)</x:f>
      </x:c>
      <x:c r="AV231" t="str">
        <x:f>_xlfn.XLOOKUP($A231,Games!$A$2:$A$18,Games!$Q$2:$Q$18,"Missing game",0)</x:f>
      </x:c>
      <x:c r="AW231" t="str">
        <x:f>_xlfn.XLOOKUP($A231,Games!$A$2:$A$18,Games!$R$2:$R$18,"Missing game",0)</x:f>
        <x:v>U.S. Bank Stadium</x:v>
      </x:c>
    </x:row>
    <x:row r="232">
      <x:c r="A232" t="str">
        <x:v>2025_02_ATL_MIN</x:v>
      </x:c>
      <x:c r="B232" t="n">
        <x:v>1362</x:v>
      </x:c>
      <x:c r="C232" t="n">
        <x:v>2</x:v>
      </x:c>
      <x:c r="D232" t="str">
        <x:v>07:06</x:v>
      </x:c>
      <x:c r="E232"/>
      <x:c r="F232" t="n">
        <x:v>0</x:v>
      </x:c>
      <x:c r="G232" t="str">
        <x:v>ATL</x:v>
      </x:c>
      <x:c r="H232" t="str">
        <x:v>MIN</x:v>
      </x:c>
      <x:c r="I232" t="str">
        <x:v>MIN</x:v>
      </x:c>
      <x:c r="J232" t="n">
        <x:v>35</x:v>
      </x:c>
      <x:c r="K232" t="str">
        <x:v>16-W.Reichard kicks 63 yards from MIN 35 to ATL 2. 20-D.Alford MUFFS catch, and recovers at ATL 2. 20-D.Alford to ATL 23 for 21 yards (0-I.Pace).</x:v>
      </x:c>
      <x:c r="L232" t="str">
        <x:v>kickoff</x:v>
      </x:c>
      <x:c r="M232" t="n">
        <x:v>0</x:v>
      </x:c>
      <x:c r="N232" t="n">
        <x:v>0</x:v>
      </x:c>
      <x:c r="O232" t="n">
        <x:v>0</x:v>
      </x:c>
      <x:c r="P232"/>
      <x:c r="Q232"/>
      <x:c r="R232"/>
      <x:c r="S232"/>
      <x:c r="T232"/>
      <x:c r="U232"/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/>
      <x:c r="AC232" t="n">
        <x:v>0</x:v>
      </x:c>
      <x:c r="AD232" t="n">
        <x:v>-0.17948390753008425</x:v>
      </x:c>
      <x:c r="AE232" t="n">
        <x:v>0</x:v>
      </x:c>
      <x:c r="AF232" t="n">
        <x:v>0.00032275915145874023</x:v>
      </x:c>
      <x:c r="AG232" t="n">
        <x:f>_xlfn.XLOOKUP($A232,Games!$A$2:$A$18,Games!$B$2:$B$18,"Missing game",0)</x:f>
        <x:v>2025</x:v>
      </x:c>
      <x:c r="AH232" t="str">
        <x:f>_xlfn.XLOOKUP($A232,Games!$A$2:$A$18,Games!$C$2:$C$18,"Missing game",0)</x:f>
        <x:v>REG</x:v>
      </x:c>
      <x:c r="AI232" t="n">
        <x:f>_xlfn.XLOOKUP($A232,Games!$A$2:$A$18,Games!$D$2:$D$18,"Missing game",0)</x:f>
        <x:v>2</x:v>
      </x:c>
      <x:c r="AJ232" s="1" t="n">
        <x:f>_xlfn.XLOOKUP($A232,Games!$A$2:$A$18,Games!$E$2:$E$18,"Missing game",0)</x:f>
        <x:v>45914</x:v>
      </x:c>
      <x:c r="AK232" t="str">
        <x:f>_xlfn.XLOOKUP($A232,Games!$A$2:$A$18,Games!$F$2:$F$18,"Missing game",0)</x:f>
        <x:v>Sunday</x:v>
      </x:c>
      <x:c r="AL232" t="str">
        <x:f>_xlfn.XLOOKUP($A232,Games!$A$2:$A$18,Games!$G$2:$G$18,"Missing game",0)</x:f>
        <x:v>ATL</x:v>
      </x:c>
      <x:c r="AM232" t="n">
        <x:f>_xlfn.XLOOKUP($A232,Games!$A$2:$A$18,Games!$H$2:$H$18,"Missing game",0)</x:f>
        <x:v>22</x:v>
      </x:c>
      <x:c r="AN232" t="str">
        <x:f>_xlfn.XLOOKUP($A232,Games!$A$2:$A$18,Games!$I$2:$I$18,"Missing game",0)</x:f>
        <x:v>MIN</x:v>
      </x:c>
      <x:c r="AO232" t="n">
        <x:f>_xlfn.XLOOKUP($A232,Games!$A$2:$A$18,Games!$J$2:$J$18,"Missing game",0)</x:f>
        <x:v>6</x:v>
      </x:c>
      <x:c r="AP232" t="n">
        <x:f>_xlfn.XLOOKUP($A232,Games!$A$2:$A$18,Games!$K$2:$K$18,"Missing game",0)</x:f>
        <x:v>-16</x:v>
      </x:c>
      <x:c r="AQ232" t="n">
        <x:f>_xlfn.XLOOKUP($A232,Games!$A$2:$A$18,Games!$L$2:$L$18,"Missing game",0)</x:f>
        <x:v>28</x:v>
      </x:c>
      <x:c r="AR232" t="n">
        <x:f>_xlfn.XLOOKUP($A232,Games!$A$2:$A$18,Games!$M$2:$M$18,"Missing game",0)</x:f>
        <x:v>0</x:v>
      </x:c>
      <x:c r="AS232" t="str">
        <x:f>_xlfn.XLOOKUP($A232,Games!$A$2:$A$18,Games!$N$2:$N$18,"Missing game",0)</x:f>
        <x:v>dome</x:v>
      </x:c>
      <x:c r="AT232" t="str">
        <x:f>_xlfn.XLOOKUP($A232,Games!$A$2:$A$18,Games!$O$2:$O$18,"Missing game",0)</x:f>
        <x:v>sportturf</x:v>
      </x:c>
      <x:c r="AU232" t="str">
        <x:f>_xlfn.XLOOKUP($A232,Games!$A$2:$A$18,Games!$P$2:$P$18,"Missing game",0)</x:f>
      </x:c>
      <x:c r="AV232" t="str">
        <x:f>_xlfn.XLOOKUP($A232,Games!$A$2:$A$18,Games!$Q$2:$Q$18,"Missing game",0)</x:f>
      </x:c>
      <x:c r="AW232" t="str">
        <x:f>_xlfn.XLOOKUP($A232,Games!$A$2:$A$18,Games!$R$2:$R$18,"Missing game",0)</x:f>
        <x:v>U.S. Bank Stadium</x:v>
      </x:c>
    </x:row>
    <x:row r="233">
      <x:c r="A233" t="str">
        <x:v>2025_02_ATL_MIN</x:v>
      </x:c>
      <x:c r="B233" t="n">
        <x:v>1405</x:v>
      </x:c>
      <x:c r="C233" t="n">
        <x:v>2</x:v>
      </x:c>
      <x:c r="D233" t="str">
        <x:v>07:00</x:v>
      </x:c>
      <x:c r="E233" t="n">
        <x:v>1</x:v>
      </x:c>
      <x:c r="F233" t="n">
        <x:v>10</x:v>
      </x:c>
      <x:c r="G233" t="str">
        <x:v>ATL</x:v>
      </x:c>
      <x:c r="H233" t="str">
        <x:v>MIN</x:v>
      </x:c>
      <x:c r="I233" t="str">
        <x:v>ATL</x:v>
      </x:c>
      <x:c r="J233" t="n">
        <x:v>77</x:v>
      </x:c>
      <x:c r="K233" t="str">
        <x:v>(7:00) (Shotgun) 7-B.Robinson up the middle to ATL 30 for 7 yards (97-J.Hargrave; 26-T.Jackson).</x:v>
      </x:c>
      <x:c r="L233" t="str">
        <x:v>run</x:v>
      </x:c>
      <x:c r="M233" t="n">
        <x:v>7</x:v>
      </x:c>
      <x:c r="N233" t="n">
        <x:v>1</x:v>
      </x:c>
      <x:c r="O233" t="n">
        <x:v>0</x:v>
      </x:c>
      <x:c r="P233"/>
      <x:c r="Q233"/>
      <x:c r="R233"/>
      <x:c r="S233"/>
      <x:c r="T233" t="str">
        <x:v>middle</x:v>
      </x:c>
      <x:c r="U233"/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/>
      <x:c r="AC233" t="n">
        <x:v>0</x:v>
      </x:c>
      <x:c r="AD233" t="n">
        <x:v>0.3909233540762216</x:v>
      </x:c>
      <x:c r="AE233" t="n">
        <x:v>1</x:v>
      </x:c>
      <x:c r="AF233" t="n">
        <x:v>-0.009261488914489746</x:v>
      </x:c>
      <x:c r="AG233" t="n">
        <x:f>_xlfn.XLOOKUP($A233,Games!$A$2:$A$18,Games!$B$2:$B$18,"Missing game",0)</x:f>
        <x:v>2025</x:v>
      </x:c>
      <x:c r="AH233" t="str">
        <x:f>_xlfn.XLOOKUP($A233,Games!$A$2:$A$18,Games!$C$2:$C$18,"Missing game",0)</x:f>
        <x:v>REG</x:v>
      </x:c>
      <x:c r="AI233" t="n">
        <x:f>_xlfn.XLOOKUP($A233,Games!$A$2:$A$18,Games!$D$2:$D$18,"Missing game",0)</x:f>
        <x:v>2</x:v>
      </x:c>
      <x:c r="AJ233" s="1" t="n">
        <x:f>_xlfn.XLOOKUP($A233,Games!$A$2:$A$18,Games!$E$2:$E$18,"Missing game",0)</x:f>
        <x:v>45914</x:v>
      </x:c>
      <x:c r="AK233" t="str">
        <x:f>_xlfn.XLOOKUP($A233,Games!$A$2:$A$18,Games!$F$2:$F$18,"Missing game",0)</x:f>
        <x:v>Sunday</x:v>
      </x:c>
      <x:c r="AL233" t="str">
        <x:f>_xlfn.XLOOKUP($A233,Games!$A$2:$A$18,Games!$G$2:$G$18,"Missing game",0)</x:f>
        <x:v>ATL</x:v>
      </x:c>
      <x:c r="AM233" t="n">
        <x:f>_xlfn.XLOOKUP($A233,Games!$A$2:$A$18,Games!$H$2:$H$18,"Missing game",0)</x:f>
        <x:v>22</x:v>
      </x:c>
      <x:c r="AN233" t="str">
        <x:f>_xlfn.XLOOKUP($A233,Games!$A$2:$A$18,Games!$I$2:$I$18,"Missing game",0)</x:f>
        <x:v>MIN</x:v>
      </x:c>
      <x:c r="AO233" t="n">
        <x:f>_xlfn.XLOOKUP($A233,Games!$A$2:$A$18,Games!$J$2:$J$18,"Missing game",0)</x:f>
        <x:v>6</x:v>
      </x:c>
      <x:c r="AP233" t="n">
        <x:f>_xlfn.XLOOKUP($A233,Games!$A$2:$A$18,Games!$K$2:$K$18,"Missing game",0)</x:f>
        <x:v>-16</x:v>
      </x:c>
      <x:c r="AQ233" t="n">
        <x:f>_xlfn.XLOOKUP($A233,Games!$A$2:$A$18,Games!$L$2:$L$18,"Missing game",0)</x:f>
        <x:v>28</x:v>
      </x:c>
      <x:c r="AR233" t="n">
        <x:f>_xlfn.XLOOKUP($A233,Games!$A$2:$A$18,Games!$M$2:$M$18,"Missing game",0)</x:f>
        <x:v>0</x:v>
      </x:c>
      <x:c r="AS233" t="str">
        <x:f>_xlfn.XLOOKUP($A233,Games!$A$2:$A$18,Games!$N$2:$N$18,"Missing game",0)</x:f>
        <x:v>dome</x:v>
      </x:c>
      <x:c r="AT233" t="str">
        <x:f>_xlfn.XLOOKUP($A233,Games!$A$2:$A$18,Games!$O$2:$O$18,"Missing game",0)</x:f>
        <x:v>sportturf</x:v>
      </x:c>
      <x:c r="AU233" t="str">
        <x:f>_xlfn.XLOOKUP($A233,Games!$A$2:$A$18,Games!$P$2:$P$18,"Missing game",0)</x:f>
      </x:c>
      <x:c r="AV233" t="str">
        <x:f>_xlfn.XLOOKUP($A233,Games!$A$2:$A$18,Games!$Q$2:$Q$18,"Missing game",0)</x:f>
      </x:c>
      <x:c r="AW233" t="str">
        <x:f>_xlfn.XLOOKUP($A233,Games!$A$2:$A$18,Games!$R$2:$R$18,"Missing game",0)</x:f>
        <x:v>U.S. Bank Stadium</x:v>
      </x:c>
    </x:row>
    <x:row r="234">
      <x:c r="A234" t="str">
        <x:v>2025_02_ATL_MIN</x:v>
      </x:c>
      <x:c r="B234" t="n">
        <x:v>1427</x:v>
      </x:c>
      <x:c r="C234" t="n">
        <x:v>2</x:v>
      </x:c>
      <x:c r="D234" t="str">
        <x:v>06:21</x:v>
      </x:c>
      <x:c r="E234" t="n">
        <x:v>2</x:v>
      </x:c>
      <x:c r="F234" t="n">
        <x:v>3</x:v>
      </x:c>
      <x:c r="G234" t="str">
        <x:v>ATL</x:v>
      </x:c>
      <x:c r="H234" t="str">
        <x:v>MIN</x:v>
      </x:c>
      <x:c r="I234" t="str">
        <x:v>ATL</x:v>
      </x:c>
      <x:c r="J234" t="n">
        <x:v>70</x:v>
      </x:c>
      <x:c r="K234" t="str">
        <x:v>(6:21) (Shotgun) 7-B.Robinson right guard to ATL 32 for 2 yards (93-J.Allen).</x:v>
      </x:c>
      <x:c r="L234" t="str">
        <x:v>run</x:v>
      </x:c>
      <x:c r="M234" t="n">
        <x:v>2</x:v>
      </x:c>
      <x:c r="N234" t="n">
        <x:v>1</x:v>
      </x:c>
      <x:c r="O234" t="n">
        <x:v>0</x:v>
      </x:c>
      <x:c r="P234"/>
      <x:c r="Q234"/>
      <x:c r="R234"/>
      <x:c r="S234"/>
      <x:c r="T234" t="str">
        <x:v>right</x:v>
      </x:c>
      <x:c r="U234" t="str">
        <x:v>guard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/>
      <x:c r="AC234" t="n">
        <x:v>0</x:v>
      </x:c>
      <x:c r="AD234" t="n">
        <x:v>-0.20756537606939673</x:v>
      </x:c>
      <x:c r="AE234" t="n">
        <x:v>0</x:v>
      </x:c>
      <x:c r="AF234" t="n">
        <x:v>0.006059587001800537</x:v>
      </x:c>
      <x:c r="AG234" t="n">
        <x:f>_xlfn.XLOOKUP($A234,Games!$A$2:$A$18,Games!$B$2:$B$18,"Missing game",0)</x:f>
        <x:v>2025</x:v>
      </x:c>
      <x:c r="AH234" t="str">
        <x:f>_xlfn.XLOOKUP($A234,Games!$A$2:$A$18,Games!$C$2:$C$18,"Missing game",0)</x:f>
        <x:v>REG</x:v>
      </x:c>
      <x:c r="AI234" t="n">
        <x:f>_xlfn.XLOOKUP($A234,Games!$A$2:$A$18,Games!$D$2:$D$18,"Missing game",0)</x:f>
        <x:v>2</x:v>
      </x:c>
      <x:c r="AJ234" s="1" t="n">
        <x:f>_xlfn.XLOOKUP($A234,Games!$A$2:$A$18,Games!$E$2:$E$18,"Missing game",0)</x:f>
        <x:v>45914</x:v>
      </x:c>
      <x:c r="AK234" t="str">
        <x:f>_xlfn.XLOOKUP($A234,Games!$A$2:$A$18,Games!$F$2:$F$18,"Missing game",0)</x:f>
        <x:v>Sunday</x:v>
      </x:c>
      <x:c r="AL234" t="str">
        <x:f>_xlfn.XLOOKUP($A234,Games!$A$2:$A$18,Games!$G$2:$G$18,"Missing game",0)</x:f>
        <x:v>ATL</x:v>
      </x:c>
      <x:c r="AM234" t="n">
        <x:f>_xlfn.XLOOKUP($A234,Games!$A$2:$A$18,Games!$H$2:$H$18,"Missing game",0)</x:f>
        <x:v>22</x:v>
      </x:c>
      <x:c r="AN234" t="str">
        <x:f>_xlfn.XLOOKUP($A234,Games!$A$2:$A$18,Games!$I$2:$I$18,"Missing game",0)</x:f>
        <x:v>MIN</x:v>
      </x:c>
      <x:c r="AO234" t="n">
        <x:f>_xlfn.XLOOKUP($A234,Games!$A$2:$A$18,Games!$J$2:$J$18,"Missing game",0)</x:f>
        <x:v>6</x:v>
      </x:c>
      <x:c r="AP234" t="n">
        <x:f>_xlfn.XLOOKUP($A234,Games!$A$2:$A$18,Games!$K$2:$K$18,"Missing game",0)</x:f>
        <x:v>-16</x:v>
      </x:c>
      <x:c r="AQ234" t="n">
        <x:f>_xlfn.XLOOKUP($A234,Games!$A$2:$A$18,Games!$L$2:$L$18,"Missing game",0)</x:f>
        <x:v>28</x:v>
      </x:c>
      <x:c r="AR234" t="n">
        <x:f>_xlfn.XLOOKUP($A234,Games!$A$2:$A$18,Games!$M$2:$M$18,"Missing game",0)</x:f>
        <x:v>0</x:v>
      </x:c>
      <x:c r="AS234" t="str">
        <x:f>_xlfn.XLOOKUP($A234,Games!$A$2:$A$18,Games!$N$2:$N$18,"Missing game",0)</x:f>
        <x:v>dome</x:v>
      </x:c>
      <x:c r="AT234" t="str">
        <x:f>_xlfn.XLOOKUP($A234,Games!$A$2:$A$18,Games!$O$2:$O$18,"Missing game",0)</x:f>
        <x:v>sportturf</x:v>
      </x:c>
      <x:c r="AU234" t="str">
        <x:f>_xlfn.XLOOKUP($A234,Games!$A$2:$A$18,Games!$P$2:$P$18,"Missing game",0)</x:f>
      </x:c>
      <x:c r="AV234" t="str">
        <x:f>_xlfn.XLOOKUP($A234,Games!$A$2:$A$18,Games!$Q$2:$Q$18,"Missing game",0)</x:f>
      </x:c>
      <x:c r="AW234" t="str">
        <x:f>_xlfn.XLOOKUP($A234,Games!$A$2:$A$18,Games!$R$2:$R$18,"Missing game",0)</x:f>
        <x:v>U.S. Bank Stadium</x:v>
      </x:c>
    </x:row>
    <x:row r="235">
      <x:c r="A235" t="str">
        <x:v>2025_02_ATL_MIN</x:v>
      </x:c>
      <x:c r="B235" t="n">
        <x:v>1449</x:v>
      </x:c>
      <x:c r="C235" t="n">
        <x:v>2</x:v>
      </x:c>
      <x:c r="D235" t="str">
        <x:v>05:42</x:v>
      </x:c>
      <x:c r="E235" t="n">
        <x:v>3</x:v>
      </x:c>
      <x:c r="F235" t="n">
        <x:v>1</x:v>
      </x:c>
      <x:c r="G235" t="str">
        <x:v>ATL</x:v>
      </x:c>
      <x:c r="H235" t="str">
        <x:v>MIN</x:v>
      </x:c>
      <x:c r="I235" t="str">
        <x:v>ATL</x:v>
      </x:c>
      <x:c r="J235" t="n">
        <x:v>68</x:v>
      </x:c>
      <x:c r="K235" t="str">
        <x:v>(5:42) 25-T.Allgeier up the middle to ATL 36 for 4 yards (0-I.Pace).</x:v>
      </x:c>
      <x:c r="L235" t="str">
        <x:v>run</x:v>
      </x:c>
      <x:c r="M235" t="n">
        <x:v>4</x:v>
      </x:c>
      <x:c r="N235" t="n">
        <x:v>0</x:v>
      </x:c>
      <x:c r="O235" t="n">
        <x:v>0</x:v>
      </x:c>
      <x:c r="P235"/>
      <x:c r="Q235"/>
      <x:c r="R235"/>
      <x:c r="S235"/>
      <x:c r="T235" t="str">
        <x:v>middle</x:v>
      </x:c>
      <x:c r="U235"/>
      <x:c r="V235" t="n">
        <x:v>0</x:v>
      </x:c>
      <x:c r="W235" t="n">
        <x:v>1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/>
      <x:c r="AC235" t="n">
        <x:v>0</x:v>
      </x:c>
      <x:c r="AD235" t="n">
        <x:v>0.564706233330071</x:v>
      </x:c>
      <x:c r="AE235" t="n">
        <x:v>1</x:v>
      </x:c>
      <x:c r="AF235" t="n">
        <x:v>0.02443331480026245</x:v>
      </x:c>
      <x:c r="AG235" t="n">
        <x:f>_xlfn.XLOOKUP($A235,Games!$A$2:$A$18,Games!$B$2:$B$18,"Missing game",0)</x:f>
        <x:v>2025</x:v>
      </x:c>
      <x:c r="AH235" t="str">
        <x:f>_xlfn.XLOOKUP($A235,Games!$A$2:$A$18,Games!$C$2:$C$18,"Missing game",0)</x:f>
        <x:v>REG</x:v>
      </x:c>
      <x:c r="AI235" t="n">
        <x:f>_xlfn.XLOOKUP($A235,Games!$A$2:$A$18,Games!$D$2:$D$18,"Missing game",0)</x:f>
        <x:v>2</x:v>
      </x:c>
      <x:c r="AJ235" s="1" t="n">
        <x:f>_xlfn.XLOOKUP($A235,Games!$A$2:$A$18,Games!$E$2:$E$18,"Missing game",0)</x:f>
        <x:v>45914</x:v>
      </x:c>
      <x:c r="AK235" t="str">
        <x:f>_xlfn.XLOOKUP($A235,Games!$A$2:$A$18,Games!$F$2:$F$18,"Missing game",0)</x:f>
        <x:v>Sunday</x:v>
      </x:c>
      <x:c r="AL235" t="str">
        <x:f>_xlfn.XLOOKUP($A235,Games!$A$2:$A$18,Games!$G$2:$G$18,"Missing game",0)</x:f>
        <x:v>ATL</x:v>
      </x:c>
      <x:c r="AM235" t="n">
        <x:f>_xlfn.XLOOKUP($A235,Games!$A$2:$A$18,Games!$H$2:$H$18,"Missing game",0)</x:f>
        <x:v>22</x:v>
      </x:c>
      <x:c r="AN235" t="str">
        <x:f>_xlfn.XLOOKUP($A235,Games!$A$2:$A$18,Games!$I$2:$I$18,"Missing game",0)</x:f>
        <x:v>MIN</x:v>
      </x:c>
      <x:c r="AO235" t="n">
        <x:f>_xlfn.XLOOKUP($A235,Games!$A$2:$A$18,Games!$J$2:$J$18,"Missing game",0)</x:f>
        <x:v>6</x:v>
      </x:c>
      <x:c r="AP235" t="n">
        <x:f>_xlfn.XLOOKUP($A235,Games!$A$2:$A$18,Games!$K$2:$K$18,"Missing game",0)</x:f>
        <x:v>-16</x:v>
      </x:c>
      <x:c r="AQ235" t="n">
        <x:f>_xlfn.XLOOKUP($A235,Games!$A$2:$A$18,Games!$L$2:$L$18,"Missing game",0)</x:f>
        <x:v>28</x:v>
      </x:c>
      <x:c r="AR235" t="n">
        <x:f>_xlfn.XLOOKUP($A235,Games!$A$2:$A$18,Games!$M$2:$M$18,"Missing game",0)</x:f>
        <x:v>0</x:v>
      </x:c>
      <x:c r="AS235" t="str">
        <x:f>_xlfn.XLOOKUP($A235,Games!$A$2:$A$18,Games!$N$2:$N$18,"Missing game",0)</x:f>
        <x:v>dome</x:v>
      </x:c>
      <x:c r="AT235" t="str">
        <x:f>_xlfn.XLOOKUP($A235,Games!$A$2:$A$18,Games!$O$2:$O$18,"Missing game",0)</x:f>
        <x:v>sportturf</x:v>
      </x:c>
      <x:c r="AU235" t="str">
        <x:f>_xlfn.XLOOKUP($A235,Games!$A$2:$A$18,Games!$P$2:$P$18,"Missing game",0)</x:f>
      </x:c>
      <x:c r="AV235" t="str">
        <x:f>_xlfn.XLOOKUP($A235,Games!$A$2:$A$18,Games!$Q$2:$Q$18,"Missing game",0)</x:f>
      </x:c>
      <x:c r="AW235" t="str">
        <x:f>_xlfn.XLOOKUP($A235,Games!$A$2:$A$18,Games!$R$2:$R$18,"Missing game",0)</x:f>
        <x:v>U.S. Bank Stadium</x:v>
      </x:c>
    </x:row>
    <x:row r="236">
      <x:c r="A236" t="str">
        <x:v>2025_02_ATL_MIN</x:v>
      </x:c>
      <x:c r="B236" t="n">
        <x:v>1471</x:v>
      </x:c>
      <x:c r="C236" t="n">
        <x:v>2</x:v>
      </x:c>
      <x:c r="D236" t="str">
        <x:v>05:03</x:v>
      </x:c>
      <x:c r="E236" t="n">
        <x:v>1</x:v>
      </x:c>
      <x:c r="F236" t="n">
        <x:v>10</x:v>
      </x:c>
      <x:c r="G236" t="str">
        <x:v>ATL</x:v>
      </x:c>
      <x:c r="H236" t="str">
        <x:v>MIN</x:v>
      </x:c>
      <x:c r="I236" t="str">
        <x:v>ATL</x:v>
      </x:c>
      <x:c r="J236" t="n">
        <x:v>64</x:v>
      </x:c>
      <x:c r="K236" t="str">
        <x:v>(5:03) (Shotgun) 9-M.Penix sacked at ATL 26 for -10 yards (15-D.Turner).</x:v>
      </x:c>
      <x:c r="L236" t="str">
        <x:v>pass</x:v>
      </x:c>
      <x:c r="M236" t="n">
        <x:v>-10</x:v>
      </x:c>
      <x:c r="N236" t="n">
        <x:v>1</x:v>
      </x:c>
      <x:c r="O236" t="n">
        <x:v>0</x:v>
      </x:c>
      <x:c r="P236"/>
      <x:c r="Q236"/>
      <x:c r="R236"/>
      <x:c r="S236"/>
      <x:c r="T236"/>
      <x:c r="U236"/>
      <x:c r="V236" t="n">
        <x:v>0</x:v>
      </x:c>
      <x:c r="W236" t="n">
        <x:v>0</x:v>
      </x:c>
      <x:c r="X236" t="n">
        <x:v>1</x:v>
      </x:c>
      <x:c r="Y236" t="n">
        <x:v>0</x:v>
      </x:c>
      <x:c r="Z236" t="n">
        <x:v>0</x:v>
      </x:c>
      <x:c r="AA236" t="n">
        <x:v>0</x:v>
      </x:c>
      <x:c r="AB236"/>
      <x:c r="AC236" t="n">
        <x:v>0</x:v>
      </x:c>
      <x:c r="AD236" t="n">
        <x:v>-1.6323100556619465</x:v>
      </x:c>
      <x:c r="AE236" t="n">
        <x:v>0</x:v>
      </x:c>
      <x:c r="AF236" t="n">
        <x:v>-0.0540652871131897</x:v>
      </x:c>
      <x:c r="AG236" t="n">
        <x:f>_xlfn.XLOOKUP($A236,Games!$A$2:$A$18,Games!$B$2:$B$18,"Missing game",0)</x:f>
        <x:v>2025</x:v>
      </x:c>
      <x:c r="AH236" t="str">
        <x:f>_xlfn.XLOOKUP($A236,Games!$A$2:$A$18,Games!$C$2:$C$18,"Missing game",0)</x:f>
        <x:v>REG</x:v>
      </x:c>
      <x:c r="AI236" t="n">
        <x:f>_xlfn.XLOOKUP($A236,Games!$A$2:$A$18,Games!$D$2:$D$18,"Missing game",0)</x:f>
        <x:v>2</x:v>
      </x:c>
      <x:c r="AJ236" s="1" t="n">
        <x:f>_xlfn.XLOOKUP($A236,Games!$A$2:$A$18,Games!$E$2:$E$18,"Missing game",0)</x:f>
        <x:v>45914</x:v>
      </x:c>
      <x:c r="AK236" t="str">
        <x:f>_xlfn.XLOOKUP($A236,Games!$A$2:$A$18,Games!$F$2:$F$18,"Missing game",0)</x:f>
        <x:v>Sunday</x:v>
      </x:c>
      <x:c r="AL236" t="str">
        <x:f>_xlfn.XLOOKUP($A236,Games!$A$2:$A$18,Games!$G$2:$G$18,"Missing game",0)</x:f>
        <x:v>ATL</x:v>
      </x:c>
      <x:c r="AM236" t="n">
        <x:f>_xlfn.XLOOKUP($A236,Games!$A$2:$A$18,Games!$H$2:$H$18,"Missing game",0)</x:f>
        <x:v>22</x:v>
      </x:c>
      <x:c r="AN236" t="str">
        <x:f>_xlfn.XLOOKUP($A236,Games!$A$2:$A$18,Games!$I$2:$I$18,"Missing game",0)</x:f>
        <x:v>MIN</x:v>
      </x:c>
      <x:c r="AO236" t="n">
        <x:f>_xlfn.XLOOKUP($A236,Games!$A$2:$A$18,Games!$J$2:$J$18,"Missing game",0)</x:f>
        <x:v>6</x:v>
      </x:c>
      <x:c r="AP236" t="n">
        <x:f>_xlfn.XLOOKUP($A236,Games!$A$2:$A$18,Games!$K$2:$K$18,"Missing game",0)</x:f>
        <x:v>-16</x:v>
      </x:c>
      <x:c r="AQ236" t="n">
        <x:f>_xlfn.XLOOKUP($A236,Games!$A$2:$A$18,Games!$L$2:$L$18,"Missing game",0)</x:f>
        <x:v>28</x:v>
      </x:c>
      <x:c r="AR236" t="n">
        <x:f>_xlfn.XLOOKUP($A236,Games!$A$2:$A$18,Games!$M$2:$M$18,"Missing game",0)</x:f>
        <x:v>0</x:v>
      </x:c>
      <x:c r="AS236" t="str">
        <x:f>_xlfn.XLOOKUP($A236,Games!$A$2:$A$18,Games!$N$2:$N$18,"Missing game",0)</x:f>
        <x:v>dome</x:v>
      </x:c>
      <x:c r="AT236" t="str">
        <x:f>_xlfn.XLOOKUP($A236,Games!$A$2:$A$18,Games!$O$2:$O$18,"Missing game",0)</x:f>
        <x:v>sportturf</x:v>
      </x:c>
      <x:c r="AU236" t="str">
        <x:f>_xlfn.XLOOKUP($A236,Games!$A$2:$A$18,Games!$P$2:$P$18,"Missing game",0)</x:f>
      </x:c>
      <x:c r="AV236" t="str">
        <x:f>_xlfn.XLOOKUP($A236,Games!$A$2:$A$18,Games!$Q$2:$Q$18,"Missing game",0)</x:f>
      </x:c>
      <x:c r="AW236" t="str">
        <x:f>_xlfn.XLOOKUP($A236,Games!$A$2:$A$18,Games!$R$2:$R$18,"Missing game",0)</x:f>
        <x:v>U.S. Bank Stadium</x:v>
      </x:c>
    </x:row>
    <x:row r="237">
      <x:c r="A237" t="str">
        <x:v>2025_02_ATL_MIN</x:v>
      </x:c>
      <x:c r="B237" t="n">
        <x:v>1491</x:v>
      </x:c>
      <x:c r="C237" t="n">
        <x:v>2</x:v>
      </x:c>
      <x:c r="D237" t="str">
        <x:v>04:16</x:v>
      </x:c>
      <x:c r="E237" t="n">
        <x:v>2</x:v>
      </x:c>
      <x:c r="F237" t="n">
        <x:v>20</x:v>
      </x:c>
      <x:c r="G237" t="str">
        <x:v>ATL</x:v>
      </x:c>
      <x:c r="H237" t="str">
        <x:v>MIN</x:v>
      </x:c>
      <x:c r="I237" t="str">
        <x:v>ATL</x:v>
      </x:c>
      <x:c r="J237" t="n">
        <x:v>74</x:v>
      </x:c>
      <x:c r="K237" t="str">
        <x:v>(4:16) (Shotgun) 9-M.Penix pass incomplete short middle to 34-R.McCloud.</x:v>
      </x:c>
      <x:c r="L237" t="str">
        <x:v>pass</x:v>
      </x:c>
      <x:c r="M237" t="n">
        <x:v>0</x:v>
      </x:c>
      <x:c r="N237" t="n">
        <x:v>1</x:v>
      </x:c>
      <x:c r="O237" t="n">
        <x:v>0</x:v>
      </x:c>
      <x:c r="P237" t="str">
        <x:v>short</x:v>
      </x:c>
      <x:c r="Q237" t="str">
        <x:v>middle</x:v>
      </x:c>
      <x:c r="R237" t="n">
        <x:v>5</x:v>
      </x:c>
      <x:c r="S237"/>
      <x:c r="T237"/>
      <x:c r="U237"/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/>
      <x:c r="AC237" t="n">
        <x:v>0</x:v>
      </x:c>
      <x:c r="AD237" t="n">
        <x:v>-0.6843461827374995</x:v>
      </x:c>
      <x:c r="AE237" t="n">
        <x:v>0</x:v>
      </x:c>
      <x:c r="AF237" t="n">
        <x:v>-0.014610826969146729</x:v>
      </x:c>
      <x:c r="AG237" t="n">
        <x:f>_xlfn.XLOOKUP($A237,Games!$A$2:$A$18,Games!$B$2:$B$18,"Missing game",0)</x:f>
        <x:v>2025</x:v>
      </x:c>
      <x:c r="AH237" t="str">
        <x:f>_xlfn.XLOOKUP($A237,Games!$A$2:$A$18,Games!$C$2:$C$18,"Missing game",0)</x:f>
        <x:v>REG</x:v>
      </x:c>
      <x:c r="AI237" t="n">
        <x:f>_xlfn.XLOOKUP($A237,Games!$A$2:$A$18,Games!$D$2:$D$18,"Missing game",0)</x:f>
        <x:v>2</x:v>
      </x:c>
      <x:c r="AJ237" s="1" t="n">
        <x:f>_xlfn.XLOOKUP($A237,Games!$A$2:$A$18,Games!$E$2:$E$18,"Missing game",0)</x:f>
        <x:v>45914</x:v>
      </x:c>
      <x:c r="AK237" t="str">
        <x:f>_xlfn.XLOOKUP($A237,Games!$A$2:$A$18,Games!$F$2:$F$18,"Missing game",0)</x:f>
        <x:v>Sunday</x:v>
      </x:c>
      <x:c r="AL237" t="str">
        <x:f>_xlfn.XLOOKUP($A237,Games!$A$2:$A$18,Games!$G$2:$G$18,"Missing game",0)</x:f>
        <x:v>ATL</x:v>
      </x:c>
      <x:c r="AM237" t="n">
        <x:f>_xlfn.XLOOKUP($A237,Games!$A$2:$A$18,Games!$H$2:$H$18,"Missing game",0)</x:f>
        <x:v>22</x:v>
      </x:c>
      <x:c r="AN237" t="str">
        <x:f>_xlfn.XLOOKUP($A237,Games!$A$2:$A$18,Games!$I$2:$I$18,"Missing game",0)</x:f>
        <x:v>MIN</x:v>
      </x:c>
      <x:c r="AO237" t="n">
        <x:f>_xlfn.XLOOKUP($A237,Games!$A$2:$A$18,Games!$J$2:$J$18,"Missing game",0)</x:f>
        <x:v>6</x:v>
      </x:c>
      <x:c r="AP237" t="n">
        <x:f>_xlfn.XLOOKUP($A237,Games!$A$2:$A$18,Games!$K$2:$K$18,"Missing game",0)</x:f>
        <x:v>-16</x:v>
      </x:c>
      <x:c r="AQ237" t="n">
        <x:f>_xlfn.XLOOKUP($A237,Games!$A$2:$A$18,Games!$L$2:$L$18,"Missing game",0)</x:f>
        <x:v>28</x:v>
      </x:c>
      <x:c r="AR237" t="n">
        <x:f>_xlfn.XLOOKUP($A237,Games!$A$2:$A$18,Games!$M$2:$M$18,"Missing game",0)</x:f>
        <x:v>0</x:v>
      </x:c>
      <x:c r="AS237" t="str">
        <x:f>_xlfn.XLOOKUP($A237,Games!$A$2:$A$18,Games!$N$2:$N$18,"Missing game",0)</x:f>
        <x:v>dome</x:v>
      </x:c>
      <x:c r="AT237" t="str">
        <x:f>_xlfn.XLOOKUP($A237,Games!$A$2:$A$18,Games!$O$2:$O$18,"Missing game",0)</x:f>
        <x:v>sportturf</x:v>
      </x:c>
      <x:c r="AU237" t="str">
        <x:f>_xlfn.XLOOKUP($A237,Games!$A$2:$A$18,Games!$P$2:$P$18,"Missing game",0)</x:f>
      </x:c>
      <x:c r="AV237" t="str">
        <x:f>_xlfn.XLOOKUP($A237,Games!$A$2:$A$18,Games!$Q$2:$Q$18,"Missing game",0)</x:f>
      </x:c>
      <x:c r="AW237" t="str">
        <x:f>_xlfn.XLOOKUP($A237,Games!$A$2:$A$18,Games!$R$2:$R$18,"Missing game",0)</x:f>
        <x:v>U.S. Bank Stadium</x:v>
      </x:c>
    </x:row>
    <x:row r="238">
      <x:c r="A238" t="str">
        <x:v>2025_02_ATL_MIN</x:v>
      </x:c>
      <x:c r="B238" t="n">
        <x:v>1514</x:v>
      </x:c>
      <x:c r="C238" t="n">
        <x:v>2</x:v>
      </x:c>
      <x:c r="D238" t="str">
        <x:v>04:10</x:v>
      </x:c>
      <x:c r="E238" t="n">
        <x:v>3</x:v>
      </x:c>
      <x:c r="F238" t="n">
        <x:v>20</x:v>
      </x:c>
      <x:c r="G238" t="str">
        <x:v>ATL</x:v>
      </x:c>
      <x:c r="H238" t="str">
        <x:v>MIN</x:v>
      </x:c>
      <x:c r="I238" t="str">
        <x:v>ATL</x:v>
      </x:c>
      <x:c r="J238" t="n">
        <x:v>74</x:v>
      </x:c>
      <x:c r="K238" t="str">
        <x:v>(4:10) (Shotgun) 9-M.Penix pass short right to 7-B.Robinson pushed ob at ATL 41 for 15 yards (2-I.Rodgers).</x:v>
      </x:c>
      <x:c r="L238" t="str">
        <x:v>pass</x:v>
      </x:c>
      <x:c r="M238" t="n">
        <x:v>15</x:v>
      </x:c>
      <x:c r="N238" t="n">
        <x:v>1</x:v>
      </x:c>
      <x:c r="O238" t="n">
        <x:v>0</x:v>
      </x:c>
      <x:c r="P238" t="str">
        <x:v>short</x:v>
      </x:c>
      <x:c r="Q238" t="str">
        <x:v>right</x:v>
      </x:c>
      <x:c r="R238" t="n">
        <x:v>-1</x:v>
      </x:c>
      <x:c r="S238" t="n">
        <x:v>16</x:v>
      </x:c>
      <x:c r="T238"/>
      <x:c r="U238"/>
      <x:c r="V238" t="n">
        <x:v>1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/>
      <x:c r="AC238" t="n">
        <x:v>0</x:v>
      </x:c>
      <x:c r="AD238" t="n">
        <x:v>-0.027680229977704585</x:v>
      </x:c>
      <x:c r="AE238" t="n">
        <x:v>0</x:v>
      </x:c>
      <x:c r="AF238" t="n">
        <x:v>0.0027955174446105957</x:v>
      </x:c>
      <x:c r="AG238" t="n">
        <x:f>_xlfn.XLOOKUP($A238,Games!$A$2:$A$18,Games!$B$2:$B$18,"Missing game",0)</x:f>
        <x:v>2025</x:v>
      </x:c>
      <x:c r="AH238" t="str">
        <x:f>_xlfn.XLOOKUP($A238,Games!$A$2:$A$18,Games!$C$2:$C$18,"Missing game",0)</x:f>
        <x:v>REG</x:v>
      </x:c>
      <x:c r="AI238" t="n">
        <x:f>_xlfn.XLOOKUP($A238,Games!$A$2:$A$18,Games!$D$2:$D$18,"Missing game",0)</x:f>
        <x:v>2</x:v>
      </x:c>
      <x:c r="AJ238" s="1" t="n">
        <x:f>_xlfn.XLOOKUP($A238,Games!$A$2:$A$18,Games!$E$2:$E$18,"Missing game",0)</x:f>
        <x:v>45914</x:v>
      </x:c>
      <x:c r="AK238" t="str">
        <x:f>_xlfn.XLOOKUP($A238,Games!$A$2:$A$18,Games!$F$2:$F$18,"Missing game",0)</x:f>
        <x:v>Sunday</x:v>
      </x:c>
      <x:c r="AL238" t="str">
        <x:f>_xlfn.XLOOKUP($A238,Games!$A$2:$A$18,Games!$G$2:$G$18,"Missing game",0)</x:f>
        <x:v>ATL</x:v>
      </x:c>
      <x:c r="AM238" t="n">
        <x:f>_xlfn.XLOOKUP($A238,Games!$A$2:$A$18,Games!$H$2:$H$18,"Missing game",0)</x:f>
        <x:v>22</x:v>
      </x:c>
      <x:c r="AN238" t="str">
        <x:f>_xlfn.XLOOKUP($A238,Games!$A$2:$A$18,Games!$I$2:$I$18,"Missing game",0)</x:f>
        <x:v>MIN</x:v>
      </x:c>
      <x:c r="AO238" t="n">
        <x:f>_xlfn.XLOOKUP($A238,Games!$A$2:$A$18,Games!$J$2:$J$18,"Missing game",0)</x:f>
        <x:v>6</x:v>
      </x:c>
      <x:c r="AP238" t="n">
        <x:f>_xlfn.XLOOKUP($A238,Games!$A$2:$A$18,Games!$K$2:$K$18,"Missing game",0)</x:f>
        <x:v>-16</x:v>
      </x:c>
      <x:c r="AQ238" t="n">
        <x:f>_xlfn.XLOOKUP($A238,Games!$A$2:$A$18,Games!$L$2:$L$18,"Missing game",0)</x:f>
        <x:v>28</x:v>
      </x:c>
      <x:c r="AR238" t="n">
        <x:f>_xlfn.XLOOKUP($A238,Games!$A$2:$A$18,Games!$M$2:$M$18,"Missing game",0)</x:f>
        <x:v>0</x:v>
      </x:c>
      <x:c r="AS238" t="str">
        <x:f>_xlfn.XLOOKUP($A238,Games!$A$2:$A$18,Games!$N$2:$N$18,"Missing game",0)</x:f>
        <x:v>dome</x:v>
      </x:c>
      <x:c r="AT238" t="str">
        <x:f>_xlfn.XLOOKUP($A238,Games!$A$2:$A$18,Games!$O$2:$O$18,"Missing game",0)</x:f>
        <x:v>sportturf</x:v>
      </x:c>
      <x:c r="AU238" t="str">
        <x:f>_xlfn.XLOOKUP($A238,Games!$A$2:$A$18,Games!$P$2:$P$18,"Missing game",0)</x:f>
      </x:c>
      <x:c r="AV238" t="str">
        <x:f>_xlfn.XLOOKUP($A238,Games!$A$2:$A$18,Games!$Q$2:$Q$18,"Missing game",0)</x:f>
      </x:c>
      <x:c r="AW238" t="str">
        <x:f>_xlfn.XLOOKUP($A238,Games!$A$2:$A$18,Games!$R$2:$R$18,"Missing game",0)</x:f>
        <x:v>U.S. Bank Stadium</x:v>
      </x:c>
    </x:row>
    <x:row r="239">
      <x:c r="A239" t="str">
        <x:v>2025_02_ATL_MIN</x:v>
      </x:c>
      <x:c r="B239" t="n">
        <x:v>1549</x:v>
      </x:c>
      <x:c r="C239" t="n">
        <x:v>2</x:v>
      </x:c>
      <x:c r="D239" t="str">
        <x:v>03:31</x:v>
      </x:c>
      <x:c r="E239" t="n">
        <x:v>4</x:v>
      </x:c>
      <x:c r="F239" t="n">
        <x:v>5</x:v>
      </x:c>
      <x:c r="G239" t="str">
        <x:v>ATL</x:v>
      </x:c>
      <x:c r="H239" t="str">
        <x:v>MIN</x:v>
      </x:c>
      <x:c r="I239" t="str">
        <x:v>ATL</x:v>
      </x:c>
      <x:c r="J239" t="n">
        <x:v>59</x:v>
      </x:c>
      <x:c r="K239" t="str">
        <x:v>(3:31) 13-B.Pinion punts 46 yards to MIN 13, Center-49-L.McCullough. 4-M.Price to MIN 13 for no gain (28-M.Ford).</x:v>
      </x:c>
      <x:c r="L239" t="str">
        <x:v>punt</x:v>
      </x:c>
      <x:c r="M239" t="n">
        <x:v>0</x:v>
      </x:c>
      <x:c r="N239" t="n">
        <x:v>0</x:v>
      </x:c>
      <x:c r="O239" t="n">
        <x:v>0</x:v>
      </x:c>
      <x:c r="P239"/>
      <x:c r="Q239"/>
      <x:c r="R239"/>
      <x:c r="S239"/>
      <x:c r="T239"/>
      <x:c r="U239"/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/>
      <x:c r="AC239" t="n">
        <x:v>0</x:v>
      </x:c>
      <x:c r="AD239" t="n">
        <x:v>0.027875895728357136</x:v>
      </x:c>
      <x:c r="AE239" t="n">
        <x:v>1</x:v>
      </x:c>
      <x:c r="AF239" t="n">
        <x:v>0.006434977054595947</x:v>
      </x:c>
      <x:c r="AG239" t="n">
        <x:f>_xlfn.XLOOKUP($A239,Games!$A$2:$A$18,Games!$B$2:$B$18,"Missing game",0)</x:f>
        <x:v>2025</x:v>
      </x:c>
      <x:c r="AH239" t="str">
        <x:f>_xlfn.XLOOKUP($A239,Games!$A$2:$A$18,Games!$C$2:$C$18,"Missing game",0)</x:f>
        <x:v>REG</x:v>
      </x:c>
      <x:c r="AI239" t="n">
        <x:f>_xlfn.XLOOKUP($A239,Games!$A$2:$A$18,Games!$D$2:$D$18,"Missing game",0)</x:f>
        <x:v>2</x:v>
      </x:c>
      <x:c r="AJ239" s="1" t="n">
        <x:f>_xlfn.XLOOKUP($A239,Games!$A$2:$A$18,Games!$E$2:$E$18,"Missing game",0)</x:f>
        <x:v>45914</x:v>
      </x:c>
      <x:c r="AK239" t="str">
        <x:f>_xlfn.XLOOKUP($A239,Games!$A$2:$A$18,Games!$F$2:$F$18,"Missing game",0)</x:f>
        <x:v>Sunday</x:v>
      </x:c>
      <x:c r="AL239" t="str">
        <x:f>_xlfn.XLOOKUP($A239,Games!$A$2:$A$18,Games!$G$2:$G$18,"Missing game",0)</x:f>
        <x:v>ATL</x:v>
      </x:c>
      <x:c r="AM239" t="n">
        <x:f>_xlfn.XLOOKUP($A239,Games!$A$2:$A$18,Games!$H$2:$H$18,"Missing game",0)</x:f>
        <x:v>22</x:v>
      </x:c>
      <x:c r="AN239" t="str">
        <x:f>_xlfn.XLOOKUP($A239,Games!$A$2:$A$18,Games!$I$2:$I$18,"Missing game",0)</x:f>
        <x:v>MIN</x:v>
      </x:c>
      <x:c r="AO239" t="n">
        <x:f>_xlfn.XLOOKUP($A239,Games!$A$2:$A$18,Games!$J$2:$J$18,"Missing game",0)</x:f>
        <x:v>6</x:v>
      </x:c>
      <x:c r="AP239" t="n">
        <x:f>_xlfn.XLOOKUP($A239,Games!$A$2:$A$18,Games!$K$2:$K$18,"Missing game",0)</x:f>
        <x:v>-16</x:v>
      </x:c>
      <x:c r="AQ239" t="n">
        <x:f>_xlfn.XLOOKUP($A239,Games!$A$2:$A$18,Games!$L$2:$L$18,"Missing game",0)</x:f>
        <x:v>28</x:v>
      </x:c>
      <x:c r="AR239" t="n">
        <x:f>_xlfn.XLOOKUP($A239,Games!$A$2:$A$18,Games!$M$2:$M$18,"Missing game",0)</x:f>
        <x:v>0</x:v>
      </x:c>
      <x:c r="AS239" t="str">
        <x:f>_xlfn.XLOOKUP($A239,Games!$A$2:$A$18,Games!$N$2:$N$18,"Missing game",0)</x:f>
        <x:v>dome</x:v>
      </x:c>
      <x:c r="AT239" t="str">
        <x:f>_xlfn.XLOOKUP($A239,Games!$A$2:$A$18,Games!$O$2:$O$18,"Missing game",0)</x:f>
        <x:v>sportturf</x:v>
      </x:c>
      <x:c r="AU239" t="str">
        <x:f>_xlfn.XLOOKUP($A239,Games!$A$2:$A$18,Games!$P$2:$P$18,"Missing game",0)</x:f>
      </x:c>
      <x:c r="AV239" t="str">
        <x:f>_xlfn.XLOOKUP($A239,Games!$A$2:$A$18,Games!$Q$2:$Q$18,"Missing game",0)</x:f>
      </x:c>
      <x:c r="AW239" t="str">
        <x:f>_xlfn.XLOOKUP($A239,Games!$A$2:$A$18,Games!$R$2:$R$18,"Missing game",0)</x:f>
        <x:v>U.S. Bank Stadium</x:v>
      </x:c>
    </x:row>
    <x:row r="240">
      <x:c r="A240" t="str">
        <x:v>2025_02_ATL_MIN</x:v>
      </x:c>
      <x:c r="B240" t="n">
        <x:v>1575</x:v>
      </x:c>
      <x:c r="C240" t="n">
        <x:v>2</x:v>
      </x:c>
      <x:c r="D240" t="str">
        <x:v>03:23</x:v>
      </x:c>
      <x:c r="E240" t="n">
        <x:v>1</x:v>
      </x:c>
      <x:c r="F240" t="n">
        <x:v>10</x:v>
      </x:c>
      <x:c r="G240" t="str">
        <x:v>MIN</x:v>
      </x:c>
      <x:c r="H240" t="str">
        <x:v>ATL</x:v>
      </x:c>
      <x:c r="I240" t="str">
        <x:v>MIN</x:v>
      </x:c>
      <x:c r="J240" t="n">
        <x:v>87</x:v>
      </x:c>
      <x:c r="K240" t="str">
        <x:v>(3:23) (Shotgun) 33-A.Jones up the middle to MIN 19 for 6 yards (0-D.Deablo; 96-Z.Harrison).</x:v>
      </x:c>
      <x:c r="L240" t="str">
        <x:v>run</x:v>
      </x:c>
      <x:c r="M240" t="n">
        <x:v>6</x:v>
      </x:c>
      <x:c r="N240" t="n">
        <x:v>1</x:v>
      </x:c>
      <x:c r="O240" t="n">
        <x:v>0</x:v>
      </x:c>
      <x:c r="P240"/>
      <x:c r="Q240"/>
      <x:c r="R240"/>
      <x:c r="S240"/>
      <x:c r="T240" t="str">
        <x:v>middle</x:v>
      </x:c>
      <x:c r="U240"/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/>
      <x:c r="AC240" t="n">
        <x:v>0</x:v>
      </x:c>
      <x:c r="AD240" t="n">
        <x:v>0.1927772567141801</x:v>
      </x:c>
      <x:c r="AE240" t="n">
        <x:v>1</x:v>
      </x:c>
      <x:c r="AF240" t="n">
        <x:v>0.006218641996383667</x:v>
      </x:c>
      <x:c r="AG240" t="n">
        <x:f>_xlfn.XLOOKUP($A240,Games!$A$2:$A$18,Games!$B$2:$B$18,"Missing game",0)</x:f>
        <x:v>2025</x:v>
      </x:c>
      <x:c r="AH240" t="str">
        <x:f>_xlfn.XLOOKUP($A240,Games!$A$2:$A$18,Games!$C$2:$C$18,"Missing game",0)</x:f>
        <x:v>REG</x:v>
      </x:c>
      <x:c r="AI240" t="n">
        <x:f>_xlfn.XLOOKUP($A240,Games!$A$2:$A$18,Games!$D$2:$D$18,"Missing game",0)</x:f>
        <x:v>2</x:v>
      </x:c>
      <x:c r="AJ240" s="1" t="n">
        <x:f>_xlfn.XLOOKUP($A240,Games!$A$2:$A$18,Games!$E$2:$E$18,"Missing game",0)</x:f>
        <x:v>45914</x:v>
      </x:c>
      <x:c r="AK240" t="str">
        <x:f>_xlfn.XLOOKUP($A240,Games!$A$2:$A$18,Games!$F$2:$F$18,"Missing game",0)</x:f>
        <x:v>Sunday</x:v>
      </x:c>
      <x:c r="AL240" t="str">
        <x:f>_xlfn.XLOOKUP($A240,Games!$A$2:$A$18,Games!$G$2:$G$18,"Missing game",0)</x:f>
        <x:v>ATL</x:v>
      </x:c>
      <x:c r="AM240" t="n">
        <x:f>_xlfn.XLOOKUP($A240,Games!$A$2:$A$18,Games!$H$2:$H$18,"Missing game",0)</x:f>
        <x:v>22</x:v>
      </x:c>
      <x:c r="AN240" t="str">
        <x:f>_xlfn.XLOOKUP($A240,Games!$A$2:$A$18,Games!$I$2:$I$18,"Missing game",0)</x:f>
        <x:v>MIN</x:v>
      </x:c>
      <x:c r="AO240" t="n">
        <x:f>_xlfn.XLOOKUP($A240,Games!$A$2:$A$18,Games!$J$2:$J$18,"Missing game",0)</x:f>
        <x:v>6</x:v>
      </x:c>
      <x:c r="AP240" t="n">
        <x:f>_xlfn.XLOOKUP($A240,Games!$A$2:$A$18,Games!$K$2:$K$18,"Missing game",0)</x:f>
        <x:v>-16</x:v>
      </x:c>
      <x:c r="AQ240" t="n">
        <x:f>_xlfn.XLOOKUP($A240,Games!$A$2:$A$18,Games!$L$2:$L$18,"Missing game",0)</x:f>
        <x:v>28</x:v>
      </x:c>
      <x:c r="AR240" t="n">
        <x:f>_xlfn.XLOOKUP($A240,Games!$A$2:$A$18,Games!$M$2:$M$18,"Missing game",0)</x:f>
        <x:v>0</x:v>
      </x:c>
      <x:c r="AS240" t="str">
        <x:f>_xlfn.XLOOKUP($A240,Games!$A$2:$A$18,Games!$N$2:$N$18,"Missing game",0)</x:f>
        <x:v>dome</x:v>
      </x:c>
      <x:c r="AT240" t="str">
        <x:f>_xlfn.XLOOKUP($A240,Games!$A$2:$A$18,Games!$O$2:$O$18,"Missing game",0)</x:f>
        <x:v>sportturf</x:v>
      </x:c>
      <x:c r="AU240" t="str">
        <x:f>_xlfn.XLOOKUP($A240,Games!$A$2:$A$18,Games!$P$2:$P$18,"Missing game",0)</x:f>
      </x:c>
      <x:c r="AV240" t="str">
        <x:f>_xlfn.XLOOKUP($A240,Games!$A$2:$A$18,Games!$Q$2:$Q$18,"Missing game",0)</x:f>
      </x:c>
      <x:c r="AW240" t="str">
        <x:f>_xlfn.XLOOKUP($A240,Games!$A$2:$A$18,Games!$R$2:$R$18,"Missing game",0)</x:f>
        <x:v>U.S. Bank Stadium</x:v>
      </x:c>
    </x:row>
    <x:row r="241">
      <x:c r="A241" t="str">
        <x:v>2025_02_ATL_MIN</x:v>
      </x:c>
      <x:c r="B241" t="n">
        <x:v>1604</x:v>
      </x:c>
      <x:c r="C241" t="n">
        <x:v>2</x:v>
      </x:c>
      <x:c r="D241" t="str">
        <x:v>02:50</x:v>
      </x:c>
      <x:c r="E241" t="n">
        <x:v>2</x:v>
      </x:c>
      <x:c r="F241" t="n">
        <x:v>4</x:v>
      </x:c>
      <x:c r="G241" t="str">
        <x:v>MIN</x:v>
      </x:c>
      <x:c r="H241" t="str">
        <x:v>ATL</x:v>
      </x:c>
      <x:c r="I241" t="str">
        <x:v>MIN</x:v>
      </x:c>
      <x:c r="J241" t="n">
        <x:v>81</x:v>
      </x:c>
      <x:c r="K241" t="str">
        <x:v>(2:50) (Shotgun) 9-J.McCarthy pass short middle to 19-A.Thielen to MIN 26 for 7 yards (24-A.Terrell).</x:v>
      </x:c>
      <x:c r="L241" t="str">
        <x:v>pass</x:v>
      </x:c>
      <x:c r="M241" t="n">
        <x:v>7</x:v>
      </x:c>
      <x:c r="N241" t="n">
        <x:v>1</x:v>
      </x:c>
      <x:c r="O241" t="n">
        <x:v>0</x:v>
      </x:c>
      <x:c r="P241" t="str">
        <x:v>short</x:v>
      </x:c>
      <x:c r="Q241" t="str">
        <x:v>middle</x:v>
      </x:c>
      <x:c r="R241" t="n">
        <x:v>7</x:v>
      </x:c>
      <x:c r="S241" t="n">
        <x:v>0</x:v>
      </x:c>
      <x:c r="T241"/>
      <x:c r="U241"/>
      <x:c r="V241" t="n">
        <x:v>1</x:v>
      </x:c>
      <x:c r="W241" t="n">
        <x:v>1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/>
      <x:c r="AC241" t="n">
        <x:v>0</x:v>
      </x:c>
      <x:c r="AD241" t="n">
        <x:v>0.5569287753896788</x:v>
      </x:c>
      <x:c r="AE241" t="n">
        <x:v>1</x:v>
      </x:c>
      <x:c r="AF241" t="n">
        <x:v>0.000013649463653564453</x:v>
      </x:c>
      <x:c r="AG241" t="n">
        <x:f>_xlfn.XLOOKUP($A241,Games!$A$2:$A$18,Games!$B$2:$B$18,"Missing game",0)</x:f>
        <x:v>2025</x:v>
      </x:c>
      <x:c r="AH241" t="str">
        <x:f>_xlfn.XLOOKUP($A241,Games!$A$2:$A$18,Games!$C$2:$C$18,"Missing game",0)</x:f>
        <x:v>REG</x:v>
      </x:c>
      <x:c r="AI241" t="n">
        <x:f>_xlfn.XLOOKUP($A241,Games!$A$2:$A$18,Games!$D$2:$D$18,"Missing game",0)</x:f>
        <x:v>2</x:v>
      </x:c>
      <x:c r="AJ241" s="1" t="n">
        <x:f>_xlfn.XLOOKUP($A241,Games!$A$2:$A$18,Games!$E$2:$E$18,"Missing game",0)</x:f>
        <x:v>45914</x:v>
      </x:c>
      <x:c r="AK241" t="str">
        <x:f>_xlfn.XLOOKUP($A241,Games!$A$2:$A$18,Games!$F$2:$F$18,"Missing game",0)</x:f>
        <x:v>Sunday</x:v>
      </x:c>
      <x:c r="AL241" t="str">
        <x:f>_xlfn.XLOOKUP($A241,Games!$A$2:$A$18,Games!$G$2:$G$18,"Missing game",0)</x:f>
        <x:v>ATL</x:v>
      </x:c>
      <x:c r="AM241" t="n">
        <x:f>_xlfn.XLOOKUP($A241,Games!$A$2:$A$18,Games!$H$2:$H$18,"Missing game",0)</x:f>
        <x:v>22</x:v>
      </x:c>
      <x:c r="AN241" t="str">
        <x:f>_xlfn.XLOOKUP($A241,Games!$A$2:$A$18,Games!$I$2:$I$18,"Missing game",0)</x:f>
        <x:v>MIN</x:v>
      </x:c>
      <x:c r="AO241" t="n">
        <x:f>_xlfn.XLOOKUP($A241,Games!$A$2:$A$18,Games!$J$2:$J$18,"Missing game",0)</x:f>
        <x:v>6</x:v>
      </x:c>
      <x:c r="AP241" t="n">
        <x:f>_xlfn.XLOOKUP($A241,Games!$A$2:$A$18,Games!$K$2:$K$18,"Missing game",0)</x:f>
        <x:v>-16</x:v>
      </x:c>
      <x:c r="AQ241" t="n">
        <x:f>_xlfn.XLOOKUP($A241,Games!$A$2:$A$18,Games!$L$2:$L$18,"Missing game",0)</x:f>
        <x:v>28</x:v>
      </x:c>
      <x:c r="AR241" t="n">
        <x:f>_xlfn.XLOOKUP($A241,Games!$A$2:$A$18,Games!$M$2:$M$18,"Missing game",0)</x:f>
        <x:v>0</x:v>
      </x:c>
      <x:c r="AS241" t="str">
        <x:f>_xlfn.XLOOKUP($A241,Games!$A$2:$A$18,Games!$N$2:$N$18,"Missing game",0)</x:f>
        <x:v>dome</x:v>
      </x:c>
      <x:c r="AT241" t="str">
        <x:f>_xlfn.XLOOKUP($A241,Games!$A$2:$A$18,Games!$O$2:$O$18,"Missing game",0)</x:f>
        <x:v>sportturf</x:v>
      </x:c>
      <x:c r="AU241" t="str">
        <x:f>_xlfn.XLOOKUP($A241,Games!$A$2:$A$18,Games!$P$2:$P$18,"Missing game",0)</x:f>
      </x:c>
      <x:c r="AV241" t="str">
        <x:f>_xlfn.XLOOKUP($A241,Games!$A$2:$A$18,Games!$Q$2:$Q$18,"Missing game",0)</x:f>
      </x:c>
      <x:c r="AW241" t="str">
        <x:f>_xlfn.XLOOKUP($A241,Games!$A$2:$A$18,Games!$R$2:$R$18,"Missing game",0)</x:f>
        <x:v>U.S. Bank Stadium</x:v>
      </x:c>
    </x:row>
    <x:row r="242">
      <x:c r="A242" t="str">
        <x:v>2025_02_ATL_MIN</x:v>
      </x:c>
      <x:c r="B242" t="n">
        <x:v>1629</x:v>
      </x:c>
      <x:c r="C242" t="n">
        <x:v>2</x:v>
      </x:c>
      <x:c r="D242" t="str">
        <x:v>02:12</x:v>
      </x:c>
      <x:c r="E242" t="n">
        <x:v>1</x:v>
      </x:c>
      <x:c r="F242" t="n">
        <x:v>10</x:v>
      </x:c>
      <x:c r="G242" t="str">
        <x:v>MIN</x:v>
      </x:c>
      <x:c r="H242" t="str">
        <x:v>ATL</x:v>
      </x:c>
      <x:c r="I242" t="str">
        <x:v>MIN</x:v>
      </x:c>
      <x:c r="J242" t="n">
        <x:v>74</x:v>
      </x:c>
      <x:c r="K242" t="str">
        <x:v>(2:12) 9-J.McCarthy pass short right intended for 1-J.Nailor INTERCEPTED by 33-B.Bowman at MIN 38. 33-B.Bowman to MIN 38 for no gain (1-J.Nailor).</x:v>
      </x:c>
      <x:c r="L242" t="str">
        <x:v>pass</x:v>
      </x:c>
      <x:c r="M242" t="n">
        <x:v>0</x:v>
      </x:c>
      <x:c r="N242" t="n">
        <x:v>0</x:v>
      </x:c>
      <x:c r="O242" t="n">
        <x:v>0</x:v>
      </x:c>
      <x:c r="P242" t="str">
        <x:v>short</x:v>
      </x:c>
      <x:c r="Q242" t="str">
        <x:v>right</x:v>
      </x:c>
      <x:c r="R242" t="n">
        <x:v>12</x:v>
      </x:c>
      <x:c r="S242"/>
      <x:c r="T242"/>
      <x:c r="U242"/>
      <x:c r="V242" t="n">
        <x:v>0</x:v>
      </x:c>
      <x:c r="W242" t="n">
        <x:v>0</x:v>
      </x:c>
      <x:c r="X242" t="n">
        <x:v>0</x:v>
      </x:c>
      <x:c r="Y242" t="n">
        <x:v>1</x:v>
      </x:c>
      <x:c r="Z242" t="n">
        <x:v>0</x:v>
      </x:c>
      <x:c r="AA242" t="n">
        <x:v>0</x:v>
      </x:c>
      <x:c r="AB242"/>
      <x:c r="AC242" t="n">
        <x:v>0</x:v>
      </x:c>
      <x:c r="AD242" t="n">
        <x:v>-4.556995913037099</x:v>
      </x:c>
      <x:c r="AE242" t="n">
        <x:v>0</x:v>
      </x:c>
      <x:c r="AF242" t="n">
        <x:v>-0.12043145298957825</x:v>
      </x:c>
      <x:c r="AG242" t="n">
        <x:f>_xlfn.XLOOKUP($A242,Games!$A$2:$A$18,Games!$B$2:$B$18,"Missing game",0)</x:f>
        <x:v>2025</x:v>
      </x:c>
      <x:c r="AH242" t="str">
        <x:f>_xlfn.XLOOKUP($A242,Games!$A$2:$A$18,Games!$C$2:$C$18,"Missing game",0)</x:f>
        <x:v>REG</x:v>
      </x:c>
      <x:c r="AI242" t="n">
        <x:f>_xlfn.XLOOKUP($A242,Games!$A$2:$A$18,Games!$D$2:$D$18,"Missing game",0)</x:f>
        <x:v>2</x:v>
      </x:c>
      <x:c r="AJ242" s="1" t="n">
        <x:f>_xlfn.XLOOKUP($A242,Games!$A$2:$A$18,Games!$E$2:$E$18,"Missing game",0)</x:f>
        <x:v>45914</x:v>
      </x:c>
      <x:c r="AK242" t="str">
        <x:f>_xlfn.XLOOKUP($A242,Games!$A$2:$A$18,Games!$F$2:$F$18,"Missing game",0)</x:f>
        <x:v>Sunday</x:v>
      </x:c>
      <x:c r="AL242" t="str">
        <x:f>_xlfn.XLOOKUP($A242,Games!$A$2:$A$18,Games!$G$2:$G$18,"Missing game",0)</x:f>
        <x:v>ATL</x:v>
      </x:c>
      <x:c r="AM242" t="n">
        <x:f>_xlfn.XLOOKUP($A242,Games!$A$2:$A$18,Games!$H$2:$H$18,"Missing game",0)</x:f>
        <x:v>22</x:v>
      </x:c>
      <x:c r="AN242" t="str">
        <x:f>_xlfn.XLOOKUP($A242,Games!$A$2:$A$18,Games!$I$2:$I$18,"Missing game",0)</x:f>
        <x:v>MIN</x:v>
      </x:c>
      <x:c r="AO242" t="n">
        <x:f>_xlfn.XLOOKUP($A242,Games!$A$2:$A$18,Games!$J$2:$J$18,"Missing game",0)</x:f>
        <x:v>6</x:v>
      </x:c>
      <x:c r="AP242" t="n">
        <x:f>_xlfn.XLOOKUP($A242,Games!$A$2:$A$18,Games!$K$2:$K$18,"Missing game",0)</x:f>
        <x:v>-16</x:v>
      </x:c>
      <x:c r="AQ242" t="n">
        <x:f>_xlfn.XLOOKUP($A242,Games!$A$2:$A$18,Games!$L$2:$L$18,"Missing game",0)</x:f>
        <x:v>28</x:v>
      </x:c>
      <x:c r="AR242" t="n">
        <x:f>_xlfn.XLOOKUP($A242,Games!$A$2:$A$18,Games!$M$2:$M$18,"Missing game",0)</x:f>
        <x:v>0</x:v>
      </x:c>
      <x:c r="AS242" t="str">
        <x:f>_xlfn.XLOOKUP($A242,Games!$A$2:$A$18,Games!$N$2:$N$18,"Missing game",0)</x:f>
        <x:v>dome</x:v>
      </x:c>
      <x:c r="AT242" t="str">
        <x:f>_xlfn.XLOOKUP($A242,Games!$A$2:$A$18,Games!$O$2:$O$18,"Missing game",0)</x:f>
        <x:v>sportturf</x:v>
      </x:c>
      <x:c r="AU242" t="str">
        <x:f>_xlfn.XLOOKUP($A242,Games!$A$2:$A$18,Games!$P$2:$P$18,"Missing game",0)</x:f>
      </x:c>
      <x:c r="AV242" t="str">
        <x:f>_xlfn.XLOOKUP($A242,Games!$A$2:$A$18,Games!$Q$2:$Q$18,"Missing game",0)</x:f>
      </x:c>
      <x:c r="AW242" t="str">
        <x:f>_xlfn.XLOOKUP($A242,Games!$A$2:$A$18,Games!$R$2:$R$18,"Missing game",0)</x:f>
        <x:v>U.S. Bank Stadium</x:v>
      </x:c>
    </x:row>
    <x:row r="243">
      <x:c r="A243" t="str">
        <x:v>2025_02_ATL_MIN</x:v>
      </x:c>
      <x:c r="B243" t="n">
        <x:v>1656</x:v>
      </x:c>
      <x:c r="C243" t="n">
        <x:v>2</x:v>
      </x:c>
      <x:c r="D243" t="str">
        <x:v>02:03</x:v>
      </x:c>
      <x:c r="E243" t="n">
        <x:v>1</x:v>
      </x:c>
      <x:c r="F243" t="n">
        <x:v>10</x:v>
      </x:c>
      <x:c r="G243" t="str">
        <x:v>ATL</x:v>
      </x:c>
      <x:c r="H243" t="str">
        <x:v>MIN</x:v>
      </x:c>
      <x:c r="I243" t="str">
        <x:v>MIN</x:v>
      </x:c>
      <x:c r="J243" t="n">
        <x:v>38</x:v>
      </x:c>
      <x:c r="K243" t="str">
        <x:v>(2:03) (Shotgun) 7-B.Robinson right tackle to MIN 35 for 3 yards (61-J.Redmond).</x:v>
      </x:c>
      <x:c r="L243" t="str">
        <x:v>run</x:v>
      </x:c>
      <x:c r="M243" t="n">
        <x:v>3</x:v>
      </x:c>
      <x:c r="N243" t="n">
        <x:v>1</x:v>
      </x:c>
      <x:c r="O243" t="n">
        <x:v>0</x:v>
      </x:c>
      <x:c r="P243"/>
      <x:c r="Q243"/>
      <x:c r="R243"/>
      <x:c r="S243"/>
      <x:c r="T243" t="str">
        <x:v>right</x:v>
      </x:c>
      <x:c r="U243" t="str">
        <x:v>tackle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/>
      <x:c r="AC243" t="n">
        <x:v>0</x:v>
      </x:c>
      <x:c r="AD243" t="n">
        <x:v>-0.25694859540089965</x:v>
      </x:c>
      <x:c r="AE243" t="n">
        <x:v>0</x:v>
      </x:c>
      <x:c r="AF243" t="n">
        <x:v>-0.012290477752685547</x:v>
      </x:c>
      <x:c r="AG243" t="n">
        <x:f>_xlfn.XLOOKUP($A243,Games!$A$2:$A$18,Games!$B$2:$B$18,"Missing game",0)</x:f>
        <x:v>2025</x:v>
      </x:c>
      <x:c r="AH243" t="str">
        <x:f>_xlfn.XLOOKUP($A243,Games!$A$2:$A$18,Games!$C$2:$C$18,"Missing game",0)</x:f>
        <x:v>REG</x:v>
      </x:c>
      <x:c r="AI243" t="n">
        <x:f>_xlfn.XLOOKUP($A243,Games!$A$2:$A$18,Games!$D$2:$D$18,"Missing game",0)</x:f>
        <x:v>2</x:v>
      </x:c>
      <x:c r="AJ243" s="1" t="n">
        <x:f>_xlfn.XLOOKUP($A243,Games!$A$2:$A$18,Games!$E$2:$E$18,"Missing game",0)</x:f>
        <x:v>45914</x:v>
      </x:c>
      <x:c r="AK243" t="str">
        <x:f>_xlfn.XLOOKUP($A243,Games!$A$2:$A$18,Games!$F$2:$F$18,"Missing game",0)</x:f>
        <x:v>Sunday</x:v>
      </x:c>
      <x:c r="AL243" t="str">
        <x:f>_xlfn.XLOOKUP($A243,Games!$A$2:$A$18,Games!$G$2:$G$18,"Missing game",0)</x:f>
        <x:v>ATL</x:v>
      </x:c>
      <x:c r="AM243" t="n">
        <x:f>_xlfn.XLOOKUP($A243,Games!$A$2:$A$18,Games!$H$2:$H$18,"Missing game",0)</x:f>
        <x:v>22</x:v>
      </x:c>
      <x:c r="AN243" t="str">
        <x:f>_xlfn.XLOOKUP($A243,Games!$A$2:$A$18,Games!$I$2:$I$18,"Missing game",0)</x:f>
        <x:v>MIN</x:v>
      </x:c>
      <x:c r="AO243" t="n">
        <x:f>_xlfn.XLOOKUP($A243,Games!$A$2:$A$18,Games!$J$2:$J$18,"Missing game",0)</x:f>
        <x:v>6</x:v>
      </x:c>
      <x:c r="AP243" t="n">
        <x:f>_xlfn.XLOOKUP($A243,Games!$A$2:$A$18,Games!$K$2:$K$18,"Missing game",0)</x:f>
        <x:v>-16</x:v>
      </x:c>
      <x:c r="AQ243" t="n">
        <x:f>_xlfn.XLOOKUP($A243,Games!$A$2:$A$18,Games!$L$2:$L$18,"Missing game",0)</x:f>
        <x:v>28</x:v>
      </x:c>
      <x:c r="AR243" t="n">
        <x:f>_xlfn.XLOOKUP($A243,Games!$A$2:$A$18,Games!$M$2:$M$18,"Missing game",0)</x:f>
        <x:v>0</x:v>
      </x:c>
      <x:c r="AS243" t="str">
        <x:f>_xlfn.XLOOKUP($A243,Games!$A$2:$A$18,Games!$N$2:$N$18,"Missing game",0)</x:f>
        <x:v>dome</x:v>
      </x:c>
      <x:c r="AT243" t="str">
        <x:f>_xlfn.XLOOKUP($A243,Games!$A$2:$A$18,Games!$O$2:$O$18,"Missing game",0)</x:f>
        <x:v>sportturf</x:v>
      </x:c>
      <x:c r="AU243" t="str">
        <x:f>_xlfn.XLOOKUP($A243,Games!$A$2:$A$18,Games!$P$2:$P$18,"Missing game",0)</x:f>
      </x:c>
      <x:c r="AV243" t="str">
        <x:f>_xlfn.XLOOKUP($A243,Games!$A$2:$A$18,Games!$Q$2:$Q$18,"Missing game",0)</x:f>
      </x:c>
      <x:c r="AW243" t="str">
        <x:f>_xlfn.XLOOKUP($A243,Games!$A$2:$A$18,Games!$R$2:$R$18,"Missing game",0)</x:f>
        <x:v>U.S. Bank Stadium</x:v>
      </x:c>
    </x:row>
    <x:row r="244">
      <x:c r="A244" t="str">
        <x:v>2025_02_ATL_MIN</x:v>
      </x:c>
      <x:c r="B244" t="n">
        <x:v>1678</x:v>
      </x:c>
      <x:c r="C244" t="n">
        <x:v>2</x:v>
      </x:c>
      <x:c r="D244" t="str">
        <x:v>01:59</x:v>
      </x:c>
      <x:c r="E244" t="n">
        <x:v>2</x:v>
      </x:c>
      <x:c r="F244" t="n">
        <x:v>7</x:v>
      </x:c>
      <x:c r="G244" t="str">
        <x:v>ATL</x:v>
      </x:c>
      <x:c r="H244" t="str">
        <x:v>MIN</x:v>
      </x:c>
      <x:c r="I244" t="str">
        <x:v>MIN</x:v>
      </x:c>
      <x:c r="J244" t="n">
        <x:v>35</x:v>
      </x:c>
      <x:c r="K244" t="str">
        <x:v>(1:59) (Shotgun) 9-M.Penix pass incomplete short right to 5-D.London [58-J.Greenard]. MIN-58-J.Greenard was injured during the play. Penalty on MIN-58-J.Greenard, Defensive Offside, offsetting, enforced at MIN 35 - No Play. Penalty on ATL-71-E.Wilkinson, Offensive Holding, offsetting.</x:v>
      </x:c>
      <x:c r="L244" t="str">
        <x:v>no_play</x:v>
      </x:c>
      <x:c r="M244"/>
      <x:c r="N244" t="n">
        <x:v>1</x:v>
      </x:c>
      <x:c r="O244" t="n">
        <x:v>0</x:v>
      </x:c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 t="n">
        <x:v>0.09965252527035773</x:v>
      </x:c>
      <x:c r="AE244" t="n">
        <x:v>1</x:v>
      </x:c>
      <x:c r="AF244" t="n">
        <x:v>0</x:v>
      </x:c>
      <x:c r="AG244" t="n">
        <x:f>_xlfn.XLOOKUP($A244,Games!$A$2:$A$18,Games!$B$2:$B$18,"Missing game",0)</x:f>
        <x:v>2025</x:v>
      </x:c>
      <x:c r="AH244" t="str">
        <x:f>_xlfn.XLOOKUP($A244,Games!$A$2:$A$18,Games!$C$2:$C$18,"Missing game",0)</x:f>
        <x:v>REG</x:v>
      </x:c>
      <x:c r="AI244" t="n">
        <x:f>_xlfn.XLOOKUP($A244,Games!$A$2:$A$18,Games!$D$2:$D$18,"Missing game",0)</x:f>
        <x:v>2</x:v>
      </x:c>
      <x:c r="AJ244" s="1" t="n">
        <x:f>_xlfn.XLOOKUP($A244,Games!$A$2:$A$18,Games!$E$2:$E$18,"Missing game",0)</x:f>
        <x:v>45914</x:v>
      </x:c>
      <x:c r="AK244" t="str">
        <x:f>_xlfn.XLOOKUP($A244,Games!$A$2:$A$18,Games!$F$2:$F$18,"Missing game",0)</x:f>
        <x:v>Sunday</x:v>
      </x:c>
      <x:c r="AL244" t="str">
        <x:f>_xlfn.XLOOKUP($A244,Games!$A$2:$A$18,Games!$G$2:$G$18,"Missing game",0)</x:f>
        <x:v>ATL</x:v>
      </x:c>
      <x:c r="AM244" t="n">
        <x:f>_xlfn.XLOOKUP($A244,Games!$A$2:$A$18,Games!$H$2:$H$18,"Missing game",0)</x:f>
        <x:v>22</x:v>
      </x:c>
      <x:c r="AN244" t="str">
        <x:f>_xlfn.XLOOKUP($A244,Games!$A$2:$A$18,Games!$I$2:$I$18,"Missing game",0)</x:f>
        <x:v>MIN</x:v>
      </x:c>
      <x:c r="AO244" t="n">
        <x:f>_xlfn.XLOOKUP($A244,Games!$A$2:$A$18,Games!$J$2:$J$18,"Missing game",0)</x:f>
        <x:v>6</x:v>
      </x:c>
      <x:c r="AP244" t="n">
        <x:f>_xlfn.XLOOKUP($A244,Games!$A$2:$A$18,Games!$K$2:$K$18,"Missing game",0)</x:f>
        <x:v>-16</x:v>
      </x:c>
      <x:c r="AQ244" t="n">
        <x:f>_xlfn.XLOOKUP($A244,Games!$A$2:$A$18,Games!$L$2:$L$18,"Missing game",0)</x:f>
        <x:v>28</x:v>
      </x:c>
      <x:c r="AR244" t="n">
        <x:f>_xlfn.XLOOKUP($A244,Games!$A$2:$A$18,Games!$M$2:$M$18,"Missing game",0)</x:f>
        <x:v>0</x:v>
      </x:c>
      <x:c r="AS244" t="str">
        <x:f>_xlfn.XLOOKUP($A244,Games!$A$2:$A$18,Games!$N$2:$N$18,"Missing game",0)</x:f>
        <x:v>dome</x:v>
      </x:c>
      <x:c r="AT244" t="str">
        <x:f>_xlfn.XLOOKUP($A244,Games!$A$2:$A$18,Games!$O$2:$O$18,"Missing game",0)</x:f>
        <x:v>sportturf</x:v>
      </x:c>
      <x:c r="AU244" t="str">
        <x:f>_xlfn.XLOOKUP($A244,Games!$A$2:$A$18,Games!$P$2:$P$18,"Missing game",0)</x:f>
      </x:c>
      <x:c r="AV244" t="str">
        <x:f>_xlfn.XLOOKUP($A244,Games!$A$2:$A$18,Games!$Q$2:$Q$18,"Missing game",0)</x:f>
      </x:c>
      <x:c r="AW244" t="str">
        <x:f>_xlfn.XLOOKUP($A244,Games!$A$2:$A$18,Games!$R$2:$R$18,"Missing game",0)</x:f>
        <x:v>U.S. Bank Stadium</x:v>
      </x:c>
    </x:row>
    <x:row r="245">
      <x:c r="A245" t="str">
        <x:v>2025_02_ATL_MIN</x:v>
      </x:c>
      <x:c r="B245" t="n">
        <x:v>1722</x:v>
      </x:c>
      <x:c r="C245" t="n">
        <x:v>2</x:v>
      </x:c>
      <x:c r="D245" t="str">
        <x:v>01:56</x:v>
      </x:c>
      <x:c r="E245" t="n">
        <x:v>2</x:v>
      </x:c>
      <x:c r="F245" t="n">
        <x:v>7</x:v>
      </x:c>
      <x:c r="G245" t="str">
        <x:v>ATL</x:v>
      </x:c>
      <x:c r="H245" t="str">
        <x:v>MIN</x:v>
      </x:c>
      <x:c r="I245" t="str">
        <x:v>MIN</x:v>
      </x:c>
      <x:c r="J245" t="n">
        <x:v>35</x:v>
      </x:c>
      <x:c r="K245" t="str">
        <x:v>(1:56) (Shotgun) 7-B.Robinson right end to MIN 29 for 6 yards (0-I.Pace; 93-J.Allen).</x:v>
      </x:c>
      <x:c r="L245" t="str">
        <x:v>run</x:v>
      </x:c>
      <x:c r="M245" t="n">
        <x:v>6</x:v>
      </x:c>
      <x:c r="N245" t="n">
        <x:v>1</x:v>
      </x:c>
      <x:c r="O245" t="n">
        <x:v>0</x:v>
      </x:c>
      <x:c r="P245"/>
      <x:c r="Q245"/>
      <x:c r="R245"/>
      <x:c r="S245"/>
      <x:c r="T245" t="str">
        <x:v>right</x:v>
      </x:c>
      <x:c r="U245" t="str">
        <x:v>end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/>
      <x:c r="AC245" t="n">
        <x:v>0</x:v>
      </x:c>
      <x:c r="AD245" t="n">
        <x:v>0.44685689418110996</x:v>
      </x:c>
      <x:c r="AE245" t="n">
        <x:v>1</x:v>
      </x:c>
      <x:c r="AF245" t="n">
        <x:v>0.0026442408561706543</x:v>
      </x:c>
      <x:c r="AG245" t="n">
        <x:f>_xlfn.XLOOKUP($A245,Games!$A$2:$A$18,Games!$B$2:$B$18,"Missing game",0)</x:f>
        <x:v>2025</x:v>
      </x:c>
      <x:c r="AH245" t="str">
        <x:f>_xlfn.XLOOKUP($A245,Games!$A$2:$A$18,Games!$C$2:$C$18,"Missing game",0)</x:f>
        <x:v>REG</x:v>
      </x:c>
      <x:c r="AI245" t="n">
        <x:f>_xlfn.XLOOKUP($A245,Games!$A$2:$A$18,Games!$D$2:$D$18,"Missing game",0)</x:f>
        <x:v>2</x:v>
      </x:c>
      <x:c r="AJ245" s="1" t="n">
        <x:f>_xlfn.XLOOKUP($A245,Games!$A$2:$A$18,Games!$E$2:$E$18,"Missing game",0)</x:f>
        <x:v>45914</x:v>
      </x:c>
      <x:c r="AK245" t="str">
        <x:f>_xlfn.XLOOKUP($A245,Games!$A$2:$A$18,Games!$F$2:$F$18,"Missing game",0)</x:f>
        <x:v>Sunday</x:v>
      </x:c>
      <x:c r="AL245" t="str">
        <x:f>_xlfn.XLOOKUP($A245,Games!$A$2:$A$18,Games!$G$2:$G$18,"Missing game",0)</x:f>
        <x:v>ATL</x:v>
      </x:c>
      <x:c r="AM245" t="n">
        <x:f>_xlfn.XLOOKUP($A245,Games!$A$2:$A$18,Games!$H$2:$H$18,"Missing game",0)</x:f>
        <x:v>22</x:v>
      </x:c>
      <x:c r="AN245" t="str">
        <x:f>_xlfn.XLOOKUP($A245,Games!$A$2:$A$18,Games!$I$2:$I$18,"Missing game",0)</x:f>
        <x:v>MIN</x:v>
      </x:c>
      <x:c r="AO245" t="n">
        <x:f>_xlfn.XLOOKUP($A245,Games!$A$2:$A$18,Games!$J$2:$J$18,"Missing game",0)</x:f>
        <x:v>6</x:v>
      </x:c>
      <x:c r="AP245" t="n">
        <x:f>_xlfn.XLOOKUP($A245,Games!$A$2:$A$18,Games!$K$2:$K$18,"Missing game",0)</x:f>
        <x:v>-16</x:v>
      </x:c>
      <x:c r="AQ245" t="n">
        <x:f>_xlfn.XLOOKUP($A245,Games!$A$2:$A$18,Games!$L$2:$L$18,"Missing game",0)</x:f>
        <x:v>28</x:v>
      </x:c>
      <x:c r="AR245" t="n">
        <x:f>_xlfn.XLOOKUP($A245,Games!$A$2:$A$18,Games!$M$2:$M$18,"Missing game",0)</x:f>
        <x:v>0</x:v>
      </x:c>
      <x:c r="AS245" t="str">
        <x:f>_xlfn.XLOOKUP($A245,Games!$A$2:$A$18,Games!$N$2:$N$18,"Missing game",0)</x:f>
        <x:v>dome</x:v>
      </x:c>
      <x:c r="AT245" t="str">
        <x:f>_xlfn.XLOOKUP($A245,Games!$A$2:$A$18,Games!$O$2:$O$18,"Missing game",0)</x:f>
        <x:v>sportturf</x:v>
      </x:c>
      <x:c r="AU245" t="str">
        <x:f>_xlfn.XLOOKUP($A245,Games!$A$2:$A$18,Games!$P$2:$P$18,"Missing game",0)</x:f>
      </x:c>
      <x:c r="AV245" t="str">
        <x:f>_xlfn.XLOOKUP($A245,Games!$A$2:$A$18,Games!$Q$2:$Q$18,"Missing game",0)</x:f>
      </x:c>
      <x:c r="AW245" t="str">
        <x:f>_xlfn.XLOOKUP($A245,Games!$A$2:$A$18,Games!$R$2:$R$18,"Missing game",0)</x:f>
        <x:v>U.S. Bank Stadium</x:v>
      </x:c>
    </x:row>
    <x:row r="246">
      <x:c r="A246" t="str">
        <x:v>2025_02_ATL_MIN</x:v>
      </x:c>
      <x:c r="B246" t="n">
        <x:v>1734</x:v>
      </x:c>
      <x:c r="C246" t="n">
        <x:v>2</x:v>
      </x:c>
      <x:c r="D246" t="str">
        <x:v>01:56</x:v>
      </x:c>
      <x:c r="E246"/>
      <x:c r="F246" t="n">
        <x:v>0</x:v>
      </x:c>
      <x:c r="G246"/>
      <x:c r="H246"/>
      <x:c r="I246"/>
      <x:c r="J246"/>
      <x:c r="K246" t="str">
        <x:v>Timeout #1 by MIN at 01:56.</x:v>
      </x:c>
      <x:c r="L246" t="str">
        <x:v>no_play</x:v>
      </x:c>
      <x:c r="M246" t="n">
        <x:v>0</x:v>
      </x:c>
      <x:c r="N246" t="n">
        <x:v>0</x:v>
      </x:c>
      <x:c r="O246" t="n">
        <x:v>0</x:v>
      </x:c>
      <x:c r="P246"/>
      <x:c r="Q246"/>
      <x:c r="R246"/>
      <x:c r="S246"/>
      <x:c r="T246"/>
      <x:c r="U246"/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/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f>_xlfn.XLOOKUP($A246,Games!$A$2:$A$18,Games!$B$2:$B$18,"Missing game",0)</x:f>
        <x:v>2025</x:v>
      </x:c>
      <x:c r="AH246" t="str">
        <x:f>_xlfn.XLOOKUP($A246,Games!$A$2:$A$18,Games!$C$2:$C$18,"Missing game",0)</x:f>
        <x:v>REG</x:v>
      </x:c>
      <x:c r="AI246" t="n">
        <x:f>_xlfn.XLOOKUP($A246,Games!$A$2:$A$18,Games!$D$2:$D$18,"Missing game",0)</x:f>
        <x:v>2</x:v>
      </x:c>
      <x:c r="AJ246" s="1" t="n">
        <x:f>_xlfn.XLOOKUP($A246,Games!$A$2:$A$18,Games!$E$2:$E$18,"Missing game",0)</x:f>
        <x:v>45914</x:v>
      </x:c>
      <x:c r="AK246" t="str">
        <x:f>_xlfn.XLOOKUP($A246,Games!$A$2:$A$18,Games!$F$2:$F$18,"Missing game",0)</x:f>
        <x:v>Sunday</x:v>
      </x:c>
      <x:c r="AL246" t="str">
        <x:f>_xlfn.XLOOKUP($A246,Games!$A$2:$A$18,Games!$G$2:$G$18,"Missing game",0)</x:f>
        <x:v>ATL</x:v>
      </x:c>
      <x:c r="AM246" t="n">
        <x:f>_xlfn.XLOOKUP($A246,Games!$A$2:$A$18,Games!$H$2:$H$18,"Missing game",0)</x:f>
        <x:v>22</x:v>
      </x:c>
      <x:c r="AN246" t="str">
        <x:f>_xlfn.XLOOKUP($A246,Games!$A$2:$A$18,Games!$I$2:$I$18,"Missing game",0)</x:f>
        <x:v>MIN</x:v>
      </x:c>
      <x:c r="AO246" t="n">
        <x:f>_xlfn.XLOOKUP($A246,Games!$A$2:$A$18,Games!$J$2:$J$18,"Missing game",0)</x:f>
        <x:v>6</x:v>
      </x:c>
      <x:c r="AP246" t="n">
        <x:f>_xlfn.XLOOKUP($A246,Games!$A$2:$A$18,Games!$K$2:$K$18,"Missing game",0)</x:f>
        <x:v>-16</x:v>
      </x:c>
      <x:c r="AQ246" t="n">
        <x:f>_xlfn.XLOOKUP($A246,Games!$A$2:$A$18,Games!$L$2:$L$18,"Missing game",0)</x:f>
        <x:v>28</x:v>
      </x:c>
      <x:c r="AR246" t="n">
        <x:f>_xlfn.XLOOKUP($A246,Games!$A$2:$A$18,Games!$M$2:$M$18,"Missing game",0)</x:f>
        <x:v>0</x:v>
      </x:c>
      <x:c r="AS246" t="str">
        <x:f>_xlfn.XLOOKUP($A246,Games!$A$2:$A$18,Games!$N$2:$N$18,"Missing game",0)</x:f>
        <x:v>dome</x:v>
      </x:c>
      <x:c r="AT246" t="str">
        <x:f>_xlfn.XLOOKUP($A246,Games!$A$2:$A$18,Games!$O$2:$O$18,"Missing game",0)</x:f>
        <x:v>sportturf</x:v>
      </x:c>
      <x:c r="AU246" t="str">
        <x:f>_xlfn.XLOOKUP($A246,Games!$A$2:$A$18,Games!$P$2:$P$18,"Missing game",0)</x:f>
      </x:c>
      <x:c r="AV246" t="str">
        <x:f>_xlfn.XLOOKUP($A246,Games!$A$2:$A$18,Games!$Q$2:$Q$18,"Missing game",0)</x:f>
      </x:c>
      <x:c r="AW246" t="str">
        <x:f>_xlfn.XLOOKUP($A246,Games!$A$2:$A$18,Games!$R$2:$R$18,"Missing game",0)</x:f>
        <x:v>U.S. Bank Stadium</x:v>
      </x:c>
    </x:row>
    <x:row r="247">
      <x:c r="A247" t="str">
        <x:v>2025_02_ATL_MIN</x:v>
      </x:c>
      <x:c r="B247" t="n">
        <x:v>1751</x:v>
      </x:c>
      <x:c r="C247" t="n">
        <x:v>2</x:v>
      </x:c>
      <x:c r="D247" t="str">
        <x:v>01:14</x:v>
      </x:c>
      <x:c r="E247" t="n">
        <x:v>3</x:v>
      </x:c>
      <x:c r="F247" t="n">
        <x:v>1</x:v>
      </x:c>
      <x:c r="G247" t="str">
        <x:v>ATL</x:v>
      </x:c>
      <x:c r="H247" t="str">
        <x:v>MIN</x:v>
      </x:c>
      <x:c r="I247" t="str">
        <x:v>MIN</x:v>
      </x:c>
      <x:c r="J247" t="n">
        <x:v>29</x:v>
      </x:c>
      <x:c r="K247" t="str">
        <x:v>(1:14) 25-T.Allgeier left tackle to MIN 19 for 10 yards (55-E.Wilson; 7-B.Murphy). ** Injury Update: MIN-58-J.Greenard has returned to the game.</x:v>
      </x:c>
      <x:c r="L247" t="str">
        <x:v>run</x:v>
      </x:c>
      <x:c r="M247" t="n">
        <x:v>10</x:v>
      </x:c>
      <x:c r="N247" t="n">
        <x:v>0</x:v>
      </x:c>
      <x:c r="O247" t="n">
        <x:v>0</x:v>
      </x:c>
      <x:c r="P247"/>
      <x:c r="Q247"/>
      <x:c r="R247"/>
      <x:c r="S247"/>
      <x:c r="T247" t="str">
        <x:v>left</x:v>
      </x:c>
      <x:c r="U247" t="str">
        <x:v>tackle</x:v>
      </x:c>
      <x:c r="V247" t="n">
        <x:v>0</x:v>
      </x:c>
      <x:c r="W247" t="n">
        <x:v>1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/>
      <x:c r="AC247" t="n">
        <x:v>0</x:v>
      </x:c>
      <x:c r="AD247" t="n">
        <x:v>0.8912015352980234</x:v>
      </x:c>
      <x:c r="AE247" t="n">
        <x:v>1</x:v>
      </x:c>
      <x:c r="AF247" t="n">
        <x:v>0.05288732051849365</x:v>
      </x:c>
      <x:c r="AG247" t="n">
        <x:f>_xlfn.XLOOKUP($A247,Games!$A$2:$A$18,Games!$B$2:$B$18,"Missing game",0)</x:f>
        <x:v>2025</x:v>
      </x:c>
      <x:c r="AH247" t="str">
        <x:f>_xlfn.XLOOKUP($A247,Games!$A$2:$A$18,Games!$C$2:$C$18,"Missing game",0)</x:f>
        <x:v>REG</x:v>
      </x:c>
      <x:c r="AI247" t="n">
        <x:f>_xlfn.XLOOKUP($A247,Games!$A$2:$A$18,Games!$D$2:$D$18,"Missing game",0)</x:f>
        <x:v>2</x:v>
      </x:c>
      <x:c r="AJ247" s="1" t="n">
        <x:f>_xlfn.XLOOKUP($A247,Games!$A$2:$A$18,Games!$E$2:$E$18,"Missing game",0)</x:f>
        <x:v>45914</x:v>
      </x:c>
      <x:c r="AK247" t="str">
        <x:f>_xlfn.XLOOKUP($A247,Games!$A$2:$A$18,Games!$F$2:$F$18,"Missing game",0)</x:f>
        <x:v>Sunday</x:v>
      </x:c>
      <x:c r="AL247" t="str">
        <x:f>_xlfn.XLOOKUP($A247,Games!$A$2:$A$18,Games!$G$2:$G$18,"Missing game",0)</x:f>
        <x:v>ATL</x:v>
      </x:c>
      <x:c r="AM247" t="n">
        <x:f>_xlfn.XLOOKUP($A247,Games!$A$2:$A$18,Games!$H$2:$H$18,"Missing game",0)</x:f>
        <x:v>22</x:v>
      </x:c>
      <x:c r="AN247" t="str">
        <x:f>_xlfn.XLOOKUP($A247,Games!$A$2:$A$18,Games!$I$2:$I$18,"Missing game",0)</x:f>
        <x:v>MIN</x:v>
      </x:c>
      <x:c r="AO247" t="n">
        <x:f>_xlfn.XLOOKUP($A247,Games!$A$2:$A$18,Games!$J$2:$J$18,"Missing game",0)</x:f>
        <x:v>6</x:v>
      </x:c>
      <x:c r="AP247" t="n">
        <x:f>_xlfn.XLOOKUP($A247,Games!$A$2:$A$18,Games!$K$2:$K$18,"Missing game",0)</x:f>
        <x:v>-16</x:v>
      </x:c>
      <x:c r="AQ247" t="n">
        <x:f>_xlfn.XLOOKUP($A247,Games!$A$2:$A$18,Games!$L$2:$L$18,"Missing game",0)</x:f>
        <x:v>28</x:v>
      </x:c>
      <x:c r="AR247" t="n">
        <x:f>_xlfn.XLOOKUP($A247,Games!$A$2:$A$18,Games!$M$2:$M$18,"Missing game",0)</x:f>
        <x:v>0</x:v>
      </x:c>
      <x:c r="AS247" t="str">
        <x:f>_xlfn.XLOOKUP($A247,Games!$A$2:$A$18,Games!$N$2:$N$18,"Missing game",0)</x:f>
        <x:v>dome</x:v>
      </x:c>
      <x:c r="AT247" t="str">
        <x:f>_xlfn.XLOOKUP($A247,Games!$A$2:$A$18,Games!$O$2:$O$18,"Missing game",0)</x:f>
        <x:v>sportturf</x:v>
      </x:c>
      <x:c r="AU247" t="str">
        <x:f>_xlfn.XLOOKUP($A247,Games!$A$2:$A$18,Games!$P$2:$P$18,"Missing game",0)</x:f>
      </x:c>
      <x:c r="AV247" t="str">
        <x:f>_xlfn.XLOOKUP($A247,Games!$A$2:$A$18,Games!$Q$2:$Q$18,"Missing game",0)</x:f>
      </x:c>
      <x:c r="AW247" t="str">
        <x:f>_xlfn.XLOOKUP($A247,Games!$A$2:$A$18,Games!$R$2:$R$18,"Missing game",0)</x:f>
        <x:v>U.S. Bank Stadium</x:v>
      </x:c>
    </x:row>
    <x:row r="248">
      <x:c r="A248" t="str">
        <x:v>2025_02_ATL_MIN</x:v>
      </x:c>
      <x:c r="B248" t="n">
        <x:v>1773</x:v>
      </x:c>
      <x:c r="C248" t="n">
        <x:v>2</x:v>
      </x:c>
      <x:c r="D248" t="str">
        <x:v>00:41</x:v>
      </x:c>
      <x:c r="E248" t="n">
        <x:v>1</x:v>
      </x:c>
      <x:c r="F248" t="n">
        <x:v>10</x:v>
      </x:c>
      <x:c r="G248" t="str">
        <x:v>ATL</x:v>
      </x:c>
      <x:c r="H248" t="str">
        <x:v>MIN</x:v>
      </x:c>
      <x:c r="I248" t="str">
        <x:v>MIN</x:v>
      </x:c>
      <x:c r="J248" t="n">
        <x:v>19</x:v>
      </x:c>
      <x:c r="K248" t="str">
        <x:v>(:41) (No Huddle, Shotgun) 9-M.Penix pass short left to 25-T.Allgeier pushed ob at MIN 15 for 4 yards (0-I.Pace).</x:v>
      </x:c>
      <x:c r="L248" t="str">
        <x:v>pass</x:v>
      </x:c>
      <x:c r="M248" t="n">
        <x:v>4</x:v>
      </x:c>
      <x:c r="N248" t="n">
        <x:v>1</x:v>
      </x:c>
      <x:c r="O248" t="n">
        <x:v>1</x:v>
      </x:c>
      <x:c r="P248" t="str">
        <x:v>short</x:v>
      </x:c>
      <x:c r="Q248" t="str">
        <x:v>left</x:v>
      </x:c>
      <x:c r="R248" t="n">
        <x:v>3</x:v>
      </x:c>
      <x:c r="S248" t="n">
        <x:v>1</x:v>
      </x:c>
      <x:c r="T248"/>
      <x:c r="U248"/>
      <x:c r="V248" t="n">
        <x:v>1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/>
      <x:c r="AC248" t="n">
        <x:v>0</x:v>
      </x:c>
      <x:c r="AD248" t="n">
        <x:v>-0.02851759613258764</x:v>
      </x:c>
      <x:c r="AE248" t="n">
        <x:v>0</x:v>
      </x:c>
      <x:c r="AF248" t="n">
        <x:v>-0.008561432361602783</x:v>
      </x:c>
      <x:c r="AG248" t="n">
        <x:f>_xlfn.XLOOKUP($A248,Games!$A$2:$A$18,Games!$B$2:$B$18,"Missing game",0)</x:f>
        <x:v>2025</x:v>
      </x:c>
      <x:c r="AH248" t="str">
        <x:f>_xlfn.XLOOKUP($A248,Games!$A$2:$A$18,Games!$C$2:$C$18,"Missing game",0)</x:f>
        <x:v>REG</x:v>
      </x:c>
      <x:c r="AI248" t="n">
        <x:f>_xlfn.XLOOKUP($A248,Games!$A$2:$A$18,Games!$D$2:$D$18,"Missing game",0)</x:f>
        <x:v>2</x:v>
      </x:c>
      <x:c r="AJ248" s="1" t="n">
        <x:f>_xlfn.XLOOKUP($A248,Games!$A$2:$A$18,Games!$E$2:$E$18,"Missing game",0)</x:f>
        <x:v>45914</x:v>
      </x:c>
      <x:c r="AK248" t="str">
        <x:f>_xlfn.XLOOKUP($A248,Games!$A$2:$A$18,Games!$F$2:$F$18,"Missing game",0)</x:f>
        <x:v>Sunday</x:v>
      </x:c>
      <x:c r="AL248" t="str">
        <x:f>_xlfn.XLOOKUP($A248,Games!$A$2:$A$18,Games!$G$2:$G$18,"Missing game",0)</x:f>
        <x:v>ATL</x:v>
      </x:c>
      <x:c r="AM248" t="n">
        <x:f>_xlfn.XLOOKUP($A248,Games!$A$2:$A$18,Games!$H$2:$H$18,"Missing game",0)</x:f>
        <x:v>22</x:v>
      </x:c>
      <x:c r="AN248" t="str">
        <x:f>_xlfn.XLOOKUP($A248,Games!$A$2:$A$18,Games!$I$2:$I$18,"Missing game",0)</x:f>
        <x:v>MIN</x:v>
      </x:c>
      <x:c r="AO248" t="n">
        <x:f>_xlfn.XLOOKUP($A248,Games!$A$2:$A$18,Games!$J$2:$J$18,"Missing game",0)</x:f>
        <x:v>6</x:v>
      </x:c>
      <x:c r="AP248" t="n">
        <x:f>_xlfn.XLOOKUP($A248,Games!$A$2:$A$18,Games!$K$2:$K$18,"Missing game",0)</x:f>
        <x:v>-16</x:v>
      </x:c>
      <x:c r="AQ248" t="n">
        <x:f>_xlfn.XLOOKUP($A248,Games!$A$2:$A$18,Games!$L$2:$L$18,"Missing game",0)</x:f>
        <x:v>28</x:v>
      </x:c>
      <x:c r="AR248" t="n">
        <x:f>_xlfn.XLOOKUP($A248,Games!$A$2:$A$18,Games!$M$2:$M$18,"Missing game",0)</x:f>
        <x:v>0</x:v>
      </x:c>
      <x:c r="AS248" t="str">
        <x:f>_xlfn.XLOOKUP($A248,Games!$A$2:$A$18,Games!$N$2:$N$18,"Missing game",0)</x:f>
        <x:v>dome</x:v>
      </x:c>
      <x:c r="AT248" t="str">
        <x:f>_xlfn.XLOOKUP($A248,Games!$A$2:$A$18,Games!$O$2:$O$18,"Missing game",0)</x:f>
        <x:v>sportturf</x:v>
      </x:c>
      <x:c r="AU248" t="str">
        <x:f>_xlfn.XLOOKUP($A248,Games!$A$2:$A$18,Games!$P$2:$P$18,"Missing game",0)</x:f>
      </x:c>
      <x:c r="AV248" t="str">
        <x:f>_xlfn.XLOOKUP($A248,Games!$A$2:$A$18,Games!$Q$2:$Q$18,"Missing game",0)</x:f>
      </x:c>
      <x:c r="AW248" t="str">
        <x:f>_xlfn.XLOOKUP($A248,Games!$A$2:$A$18,Games!$R$2:$R$18,"Missing game",0)</x:f>
        <x:v>U.S. Bank Stadium</x:v>
      </x:c>
    </x:row>
    <x:row r="249">
      <x:c r="A249" t="str">
        <x:v>2025_02_ATL_MIN</x:v>
      </x:c>
      <x:c r="B249" t="n">
        <x:v>1803</x:v>
      </x:c>
      <x:c r="C249" t="n">
        <x:v>2</x:v>
      </x:c>
      <x:c r="D249" t="str">
        <x:v>00:36</x:v>
      </x:c>
      <x:c r="E249" t="n">
        <x:v>2</x:v>
      </x:c>
      <x:c r="F249" t="n">
        <x:v>6</x:v>
      </x:c>
      <x:c r="G249" t="str">
        <x:v>ATL</x:v>
      </x:c>
      <x:c r="H249" t="str">
        <x:v>MIN</x:v>
      </x:c>
      <x:c r="I249" t="str">
        <x:v>MIN</x:v>
      </x:c>
      <x:c r="J249" t="n">
        <x:v>15</x:v>
      </x:c>
      <x:c r="K249" t="str">
        <x:v>(:36) (Shotgun) 9-M.Penix pass incomplete short left to 1-D.Mooney.</x:v>
      </x:c>
      <x:c r="L249" t="str">
        <x:v>pass</x:v>
      </x:c>
      <x:c r="M249" t="n">
        <x:v>0</x:v>
      </x:c>
      <x:c r="N249" t="n">
        <x:v>1</x:v>
      </x:c>
      <x:c r="O249" t="n">
        <x:v>0</x:v>
      </x:c>
      <x:c r="P249" t="str">
        <x:v>short</x:v>
      </x:c>
      <x:c r="Q249" t="str">
        <x:v>left</x:v>
      </x:c>
      <x:c r="R249" t="n">
        <x:v>15</x:v>
      </x:c>
      <x:c r="S249"/>
      <x:c r="T249"/>
      <x:c r="U249"/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/>
      <x:c r="AC249" t="n">
        <x:v>0</x:v>
      </x:c>
      <x:c r="AD249" t="n">
        <x:v>-0.5820357642951421</x:v>
      </x:c>
      <x:c r="AE249" t="n">
        <x:v>0</x:v>
      </x:c>
      <x:c r="AF249" t="n">
        <x:v>-0.0030765533447265625</x:v>
      </x:c>
      <x:c r="AG249" t="n">
        <x:f>_xlfn.XLOOKUP($A249,Games!$A$2:$A$18,Games!$B$2:$B$18,"Missing game",0)</x:f>
        <x:v>2025</x:v>
      </x:c>
      <x:c r="AH249" t="str">
        <x:f>_xlfn.XLOOKUP($A249,Games!$A$2:$A$18,Games!$C$2:$C$18,"Missing game",0)</x:f>
        <x:v>REG</x:v>
      </x:c>
      <x:c r="AI249" t="n">
        <x:f>_xlfn.XLOOKUP($A249,Games!$A$2:$A$18,Games!$D$2:$D$18,"Missing game",0)</x:f>
        <x:v>2</x:v>
      </x:c>
      <x:c r="AJ249" s="1" t="n">
        <x:f>_xlfn.XLOOKUP($A249,Games!$A$2:$A$18,Games!$E$2:$E$18,"Missing game",0)</x:f>
        <x:v>45914</x:v>
      </x:c>
      <x:c r="AK249" t="str">
        <x:f>_xlfn.XLOOKUP($A249,Games!$A$2:$A$18,Games!$F$2:$F$18,"Missing game",0)</x:f>
        <x:v>Sunday</x:v>
      </x:c>
      <x:c r="AL249" t="str">
        <x:f>_xlfn.XLOOKUP($A249,Games!$A$2:$A$18,Games!$G$2:$G$18,"Missing game",0)</x:f>
        <x:v>ATL</x:v>
      </x:c>
      <x:c r="AM249" t="n">
        <x:f>_xlfn.XLOOKUP($A249,Games!$A$2:$A$18,Games!$H$2:$H$18,"Missing game",0)</x:f>
        <x:v>22</x:v>
      </x:c>
      <x:c r="AN249" t="str">
        <x:f>_xlfn.XLOOKUP($A249,Games!$A$2:$A$18,Games!$I$2:$I$18,"Missing game",0)</x:f>
        <x:v>MIN</x:v>
      </x:c>
      <x:c r="AO249" t="n">
        <x:f>_xlfn.XLOOKUP($A249,Games!$A$2:$A$18,Games!$J$2:$J$18,"Missing game",0)</x:f>
        <x:v>6</x:v>
      </x:c>
      <x:c r="AP249" t="n">
        <x:f>_xlfn.XLOOKUP($A249,Games!$A$2:$A$18,Games!$K$2:$K$18,"Missing game",0)</x:f>
        <x:v>-16</x:v>
      </x:c>
      <x:c r="AQ249" t="n">
        <x:f>_xlfn.XLOOKUP($A249,Games!$A$2:$A$18,Games!$L$2:$L$18,"Missing game",0)</x:f>
        <x:v>28</x:v>
      </x:c>
      <x:c r="AR249" t="n">
        <x:f>_xlfn.XLOOKUP($A249,Games!$A$2:$A$18,Games!$M$2:$M$18,"Missing game",0)</x:f>
        <x:v>0</x:v>
      </x:c>
      <x:c r="AS249" t="str">
        <x:f>_xlfn.XLOOKUP($A249,Games!$A$2:$A$18,Games!$N$2:$N$18,"Missing game",0)</x:f>
        <x:v>dome</x:v>
      </x:c>
      <x:c r="AT249" t="str">
        <x:f>_xlfn.XLOOKUP($A249,Games!$A$2:$A$18,Games!$O$2:$O$18,"Missing game",0)</x:f>
        <x:v>sportturf</x:v>
      </x:c>
      <x:c r="AU249" t="str">
        <x:f>_xlfn.XLOOKUP($A249,Games!$A$2:$A$18,Games!$P$2:$P$18,"Missing game",0)</x:f>
      </x:c>
      <x:c r="AV249" t="str">
        <x:f>_xlfn.XLOOKUP($A249,Games!$A$2:$A$18,Games!$Q$2:$Q$18,"Missing game",0)</x:f>
      </x:c>
      <x:c r="AW249" t="str">
        <x:f>_xlfn.XLOOKUP($A249,Games!$A$2:$A$18,Games!$R$2:$R$18,"Missing game",0)</x:f>
        <x:v>U.S. Bank Stadium</x:v>
      </x:c>
    </x:row>
    <x:row r="250">
      <x:c r="A250" t="str">
        <x:v>2025_02_ATL_MIN</x:v>
      </x:c>
      <x:c r="B250" t="n">
        <x:v>1829</x:v>
      </x:c>
      <x:c r="C250" t="n">
        <x:v>2</x:v>
      </x:c>
      <x:c r="D250" t="str">
        <x:v>00:33</x:v>
      </x:c>
      <x:c r="E250" t="n">
        <x:v>3</x:v>
      </x:c>
      <x:c r="F250" t="n">
        <x:v>6</x:v>
      </x:c>
      <x:c r="G250" t="str">
        <x:v>ATL</x:v>
      </x:c>
      <x:c r="H250" t="str">
        <x:v>MIN</x:v>
      </x:c>
      <x:c r="I250" t="str">
        <x:v>MIN</x:v>
      </x:c>
      <x:c r="J250" t="n">
        <x:v>15</x:v>
      </x:c>
      <x:c r="K250" t="str">
        <x:v>(:33) (Shotgun) 9-M.Penix pass incomplete short right to 34-R.McCloud [93-J.Allen].</x:v>
      </x:c>
      <x:c r="L250" t="str">
        <x:v>pass</x:v>
      </x:c>
      <x:c r="M250" t="n">
        <x:v>0</x:v>
      </x:c>
      <x:c r="N250" t="n">
        <x:v>1</x:v>
      </x:c>
      <x:c r="O250" t="n">
        <x:v>0</x:v>
      </x:c>
      <x:c r="P250" t="str">
        <x:v>short</x:v>
      </x:c>
      <x:c r="Q250" t="str">
        <x:v>right</x:v>
      </x:c>
      <x:c r="R250" t="n">
        <x:v>15</x:v>
      </x:c>
      <x:c r="S250"/>
      <x:c r="T250"/>
      <x:c r="U250"/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/>
      <x:c r="AC250" t="n">
        <x:v>0</x:v>
      </x:c>
      <x:c r="AD250" t="n">
        <x:v>-0.9727479572221203</x:v>
      </x:c>
      <x:c r="AE250" t="n">
        <x:v>0</x:v>
      </x:c>
      <x:c r="AF250" t="n">
        <x:v>-0.05528879165649414</x:v>
      </x:c>
      <x:c r="AG250" t="n">
        <x:f>_xlfn.XLOOKUP($A250,Games!$A$2:$A$18,Games!$B$2:$B$18,"Missing game",0)</x:f>
        <x:v>2025</x:v>
      </x:c>
      <x:c r="AH250" t="str">
        <x:f>_xlfn.XLOOKUP($A250,Games!$A$2:$A$18,Games!$C$2:$C$18,"Missing game",0)</x:f>
        <x:v>REG</x:v>
      </x:c>
      <x:c r="AI250" t="n">
        <x:f>_xlfn.XLOOKUP($A250,Games!$A$2:$A$18,Games!$D$2:$D$18,"Missing game",0)</x:f>
        <x:v>2</x:v>
      </x:c>
      <x:c r="AJ250" s="1" t="n">
        <x:f>_xlfn.XLOOKUP($A250,Games!$A$2:$A$18,Games!$E$2:$E$18,"Missing game",0)</x:f>
        <x:v>45914</x:v>
      </x:c>
      <x:c r="AK250" t="str">
        <x:f>_xlfn.XLOOKUP($A250,Games!$A$2:$A$18,Games!$F$2:$F$18,"Missing game",0)</x:f>
        <x:v>Sunday</x:v>
      </x:c>
      <x:c r="AL250" t="str">
        <x:f>_xlfn.XLOOKUP($A250,Games!$A$2:$A$18,Games!$G$2:$G$18,"Missing game",0)</x:f>
        <x:v>ATL</x:v>
      </x:c>
      <x:c r="AM250" t="n">
        <x:f>_xlfn.XLOOKUP($A250,Games!$A$2:$A$18,Games!$H$2:$H$18,"Missing game",0)</x:f>
        <x:v>22</x:v>
      </x:c>
      <x:c r="AN250" t="str">
        <x:f>_xlfn.XLOOKUP($A250,Games!$A$2:$A$18,Games!$I$2:$I$18,"Missing game",0)</x:f>
        <x:v>MIN</x:v>
      </x:c>
      <x:c r="AO250" t="n">
        <x:f>_xlfn.XLOOKUP($A250,Games!$A$2:$A$18,Games!$J$2:$J$18,"Missing game",0)</x:f>
        <x:v>6</x:v>
      </x:c>
      <x:c r="AP250" t="n">
        <x:f>_xlfn.XLOOKUP($A250,Games!$A$2:$A$18,Games!$K$2:$K$18,"Missing game",0)</x:f>
        <x:v>-16</x:v>
      </x:c>
      <x:c r="AQ250" t="n">
        <x:f>_xlfn.XLOOKUP($A250,Games!$A$2:$A$18,Games!$L$2:$L$18,"Missing game",0)</x:f>
        <x:v>28</x:v>
      </x:c>
      <x:c r="AR250" t="n">
        <x:f>_xlfn.XLOOKUP($A250,Games!$A$2:$A$18,Games!$M$2:$M$18,"Missing game",0)</x:f>
        <x:v>0</x:v>
      </x:c>
      <x:c r="AS250" t="str">
        <x:f>_xlfn.XLOOKUP($A250,Games!$A$2:$A$18,Games!$N$2:$N$18,"Missing game",0)</x:f>
        <x:v>dome</x:v>
      </x:c>
      <x:c r="AT250" t="str">
        <x:f>_xlfn.XLOOKUP($A250,Games!$A$2:$A$18,Games!$O$2:$O$18,"Missing game",0)</x:f>
        <x:v>sportturf</x:v>
      </x:c>
      <x:c r="AU250" t="str">
        <x:f>_xlfn.XLOOKUP($A250,Games!$A$2:$A$18,Games!$P$2:$P$18,"Missing game",0)</x:f>
      </x:c>
      <x:c r="AV250" t="str">
        <x:f>_xlfn.XLOOKUP($A250,Games!$A$2:$A$18,Games!$Q$2:$Q$18,"Missing game",0)</x:f>
      </x:c>
      <x:c r="AW250" t="str">
        <x:f>_xlfn.XLOOKUP($A250,Games!$A$2:$A$18,Games!$R$2:$R$18,"Missing game",0)</x:f>
        <x:v>U.S. Bank Stadium</x:v>
      </x:c>
    </x:row>
    <x:row r="251">
      <x:c r="A251" t="str">
        <x:v>2025_02_ATL_MIN</x:v>
      </x:c>
      <x:c r="B251" t="n">
        <x:v>1855</x:v>
      </x:c>
      <x:c r="C251" t="n">
        <x:v>2</x:v>
      </x:c>
      <x:c r="D251" t="str">
        <x:v>00:28</x:v>
      </x:c>
      <x:c r="E251" t="n">
        <x:v>4</x:v>
      </x:c>
      <x:c r="F251" t="n">
        <x:v>6</x:v>
      </x:c>
      <x:c r="G251" t="str">
        <x:v>ATL</x:v>
      </x:c>
      <x:c r="H251" t="str">
        <x:v>MIN</x:v>
      </x:c>
      <x:c r="I251" t="str">
        <x:v>MIN</x:v>
      </x:c>
      <x:c r="J251" t="n">
        <x:v>15</x:v>
      </x:c>
      <x:c r="K251" t="str">
        <x:v>(:28) 39-J.Romo 33 yard field goal is GOOD, Center-49-L.McCullough, Holder-13-B.Pinion.</x:v>
      </x:c>
      <x:c r="L251" t="str">
        <x:v>field_goal</x:v>
      </x:c>
      <x:c r="M251" t="n">
        <x:v>0</x:v>
      </x:c>
      <x:c r="N251" t="n">
        <x:v>0</x:v>
      </x:c>
      <x:c r="O251" t="n">
        <x:v>0</x:v>
      </x:c>
      <x:c r="P251"/>
      <x:c r="Q251"/>
      <x:c r="R251"/>
      <x:c r="S251"/>
      <x:c r="T251"/>
      <x:c r="U251"/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/>
      <x:c r="AC251" t="n">
        <x:v>0</x:v>
      </x:c>
      <x:c r="AD251" t="n">
        <x:v>0.174694952384991</x:v>
      </x:c>
      <x:c r="AE251" t="n">
        <x:v>1</x:v>
      </x:c>
      <x:c r="AF251" t="n">
        <x:v>0.027976810932159424</x:v>
      </x:c>
      <x:c r="AG251" t="n">
        <x:f>_xlfn.XLOOKUP($A251,Games!$A$2:$A$18,Games!$B$2:$B$18,"Missing game",0)</x:f>
        <x:v>2025</x:v>
      </x:c>
      <x:c r="AH251" t="str">
        <x:f>_xlfn.XLOOKUP($A251,Games!$A$2:$A$18,Games!$C$2:$C$18,"Missing game",0)</x:f>
        <x:v>REG</x:v>
      </x:c>
      <x:c r="AI251" t="n">
        <x:f>_xlfn.XLOOKUP($A251,Games!$A$2:$A$18,Games!$D$2:$D$18,"Missing game",0)</x:f>
        <x:v>2</x:v>
      </x:c>
      <x:c r="AJ251" s="1" t="n">
        <x:f>_xlfn.XLOOKUP($A251,Games!$A$2:$A$18,Games!$E$2:$E$18,"Missing game",0)</x:f>
        <x:v>45914</x:v>
      </x:c>
      <x:c r="AK251" t="str">
        <x:f>_xlfn.XLOOKUP($A251,Games!$A$2:$A$18,Games!$F$2:$F$18,"Missing game",0)</x:f>
        <x:v>Sunday</x:v>
      </x:c>
      <x:c r="AL251" t="str">
        <x:f>_xlfn.XLOOKUP($A251,Games!$A$2:$A$18,Games!$G$2:$G$18,"Missing game",0)</x:f>
        <x:v>ATL</x:v>
      </x:c>
      <x:c r="AM251" t="n">
        <x:f>_xlfn.XLOOKUP($A251,Games!$A$2:$A$18,Games!$H$2:$H$18,"Missing game",0)</x:f>
        <x:v>22</x:v>
      </x:c>
      <x:c r="AN251" t="str">
        <x:f>_xlfn.XLOOKUP($A251,Games!$A$2:$A$18,Games!$I$2:$I$18,"Missing game",0)</x:f>
        <x:v>MIN</x:v>
      </x:c>
      <x:c r="AO251" t="n">
        <x:f>_xlfn.XLOOKUP($A251,Games!$A$2:$A$18,Games!$J$2:$J$18,"Missing game",0)</x:f>
        <x:v>6</x:v>
      </x:c>
      <x:c r="AP251" t="n">
        <x:f>_xlfn.XLOOKUP($A251,Games!$A$2:$A$18,Games!$K$2:$K$18,"Missing game",0)</x:f>
        <x:v>-16</x:v>
      </x:c>
      <x:c r="AQ251" t="n">
        <x:f>_xlfn.XLOOKUP($A251,Games!$A$2:$A$18,Games!$L$2:$L$18,"Missing game",0)</x:f>
        <x:v>28</x:v>
      </x:c>
      <x:c r="AR251" t="n">
        <x:f>_xlfn.XLOOKUP($A251,Games!$A$2:$A$18,Games!$M$2:$M$18,"Missing game",0)</x:f>
        <x:v>0</x:v>
      </x:c>
      <x:c r="AS251" t="str">
        <x:f>_xlfn.XLOOKUP($A251,Games!$A$2:$A$18,Games!$N$2:$N$18,"Missing game",0)</x:f>
        <x:v>dome</x:v>
      </x:c>
      <x:c r="AT251" t="str">
        <x:f>_xlfn.XLOOKUP($A251,Games!$A$2:$A$18,Games!$O$2:$O$18,"Missing game",0)</x:f>
        <x:v>sportturf</x:v>
      </x:c>
      <x:c r="AU251" t="str">
        <x:f>_xlfn.XLOOKUP($A251,Games!$A$2:$A$18,Games!$P$2:$P$18,"Missing game",0)</x:f>
      </x:c>
      <x:c r="AV251" t="str">
        <x:f>_xlfn.XLOOKUP($A251,Games!$A$2:$A$18,Games!$Q$2:$Q$18,"Missing game",0)</x:f>
      </x:c>
      <x:c r="AW251" t="str">
        <x:f>_xlfn.XLOOKUP($A251,Games!$A$2:$A$18,Games!$R$2:$R$18,"Missing game",0)</x:f>
        <x:v>U.S. Bank Stadium</x:v>
      </x:c>
    </x:row>
    <x:row r="252">
      <x:c r="A252" t="str">
        <x:v>2025_02_ATL_MIN</x:v>
      </x:c>
      <x:c r="B252" t="n">
        <x:v>1875</x:v>
      </x:c>
      <x:c r="C252" t="n">
        <x:v>2</x:v>
      </x:c>
      <x:c r="D252" t="str">
        <x:v>00:25</x:v>
      </x:c>
      <x:c r="E252"/>
      <x:c r="F252" t="n">
        <x:v>0</x:v>
      </x:c>
      <x:c r="G252" t="str">
        <x:v>MIN</x:v>
      </x:c>
      <x:c r="H252" t="str">
        <x:v>ATL</x:v>
      </x:c>
      <x:c r="I252" t="str">
        <x:v>ATL</x:v>
      </x:c>
      <x:c r="J252" t="n">
        <x:v>35</x:v>
      </x:c>
      <x:c r="K252" t="str">
        <x:v>13-B.Pinion kicks 60 yards from ATL 35 to MIN 5. 4-M.Price to MIN 20 for 15 yards (42-J.Woods).</x:v>
      </x:c>
      <x:c r="L252" t="str">
        <x:v>kickoff</x:v>
      </x:c>
      <x:c r="M252" t="n">
        <x:v>0</x:v>
      </x:c>
      <x:c r="N252" t="n">
        <x:v>0</x:v>
      </x:c>
      <x:c r="O252" t="n">
        <x:v>0</x:v>
      </x:c>
      <x:c r="P252"/>
      <x:c r="Q252"/>
      <x:c r="R252"/>
      <x:c r="S252"/>
      <x:c r="T252"/>
      <x:c r="U252"/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/>
      <x:c r="AC252" t="n">
        <x:v>0</x:v>
      </x:c>
      <x:c r="AD252" t="n">
        <x:v>-0.26534407993312925</x:v>
      </x:c>
      <x:c r="AE252" t="n">
        <x:v>0</x:v>
      </x:c>
      <x:c r="AF252" t="n">
        <x:v>-0.0044476985931396484</x:v>
      </x:c>
      <x:c r="AG252" t="n">
        <x:f>_xlfn.XLOOKUP($A252,Games!$A$2:$A$18,Games!$B$2:$B$18,"Missing game",0)</x:f>
        <x:v>2025</x:v>
      </x:c>
      <x:c r="AH252" t="str">
        <x:f>_xlfn.XLOOKUP($A252,Games!$A$2:$A$18,Games!$C$2:$C$18,"Missing game",0)</x:f>
        <x:v>REG</x:v>
      </x:c>
      <x:c r="AI252" t="n">
        <x:f>_xlfn.XLOOKUP($A252,Games!$A$2:$A$18,Games!$D$2:$D$18,"Missing game",0)</x:f>
        <x:v>2</x:v>
      </x:c>
      <x:c r="AJ252" s="1" t="n">
        <x:f>_xlfn.XLOOKUP($A252,Games!$A$2:$A$18,Games!$E$2:$E$18,"Missing game",0)</x:f>
        <x:v>45914</x:v>
      </x:c>
      <x:c r="AK252" t="str">
        <x:f>_xlfn.XLOOKUP($A252,Games!$A$2:$A$18,Games!$F$2:$F$18,"Missing game",0)</x:f>
        <x:v>Sunday</x:v>
      </x:c>
      <x:c r="AL252" t="str">
        <x:f>_xlfn.XLOOKUP($A252,Games!$A$2:$A$18,Games!$G$2:$G$18,"Missing game",0)</x:f>
        <x:v>ATL</x:v>
      </x:c>
      <x:c r="AM252" t="n">
        <x:f>_xlfn.XLOOKUP($A252,Games!$A$2:$A$18,Games!$H$2:$H$18,"Missing game",0)</x:f>
        <x:v>22</x:v>
      </x:c>
      <x:c r="AN252" t="str">
        <x:f>_xlfn.XLOOKUP($A252,Games!$A$2:$A$18,Games!$I$2:$I$18,"Missing game",0)</x:f>
        <x:v>MIN</x:v>
      </x:c>
      <x:c r="AO252" t="n">
        <x:f>_xlfn.XLOOKUP($A252,Games!$A$2:$A$18,Games!$J$2:$J$18,"Missing game",0)</x:f>
        <x:v>6</x:v>
      </x:c>
      <x:c r="AP252" t="n">
        <x:f>_xlfn.XLOOKUP($A252,Games!$A$2:$A$18,Games!$K$2:$K$18,"Missing game",0)</x:f>
        <x:v>-16</x:v>
      </x:c>
      <x:c r="AQ252" t="n">
        <x:f>_xlfn.XLOOKUP($A252,Games!$A$2:$A$18,Games!$L$2:$L$18,"Missing game",0)</x:f>
        <x:v>28</x:v>
      </x:c>
      <x:c r="AR252" t="n">
        <x:f>_xlfn.XLOOKUP($A252,Games!$A$2:$A$18,Games!$M$2:$M$18,"Missing game",0)</x:f>
        <x:v>0</x:v>
      </x:c>
      <x:c r="AS252" t="str">
        <x:f>_xlfn.XLOOKUP($A252,Games!$A$2:$A$18,Games!$N$2:$N$18,"Missing game",0)</x:f>
        <x:v>dome</x:v>
      </x:c>
      <x:c r="AT252" t="str">
        <x:f>_xlfn.XLOOKUP($A252,Games!$A$2:$A$18,Games!$O$2:$O$18,"Missing game",0)</x:f>
        <x:v>sportturf</x:v>
      </x:c>
      <x:c r="AU252" t="str">
        <x:f>_xlfn.XLOOKUP($A252,Games!$A$2:$A$18,Games!$P$2:$P$18,"Missing game",0)</x:f>
      </x:c>
      <x:c r="AV252" t="str">
        <x:f>_xlfn.XLOOKUP($A252,Games!$A$2:$A$18,Games!$Q$2:$Q$18,"Missing game",0)</x:f>
      </x:c>
      <x:c r="AW252" t="str">
        <x:f>_xlfn.XLOOKUP($A252,Games!$A$2:$A$18,Games!$R$2:$R$18,"Missing game",0)</x:f>
        <x:v>U.S. Bank Stadium</x:v>
      </x:c>
    </x:row>
    <x:row r="253">
      <x:c r="A253" t="str">
        <x:v>2025_02_ATL_MIN</x:v>
      </x:c>
      <x:c r="B253" t="n">
        <x:v>1898</x:v>
      </x:c>
      <x:c r="C253" t="n">
        <x:v>2</x:v>
      </x:c>
      <x:c r="D253" t="str">
        <x:v>00:18</x:v>
      </x:c>
      <x:c r="E253" t="n">
        <x:v>1</x:v>
      </x:c>
      <x:c r="F253" t="n">
        <x:v>10</x:v>
      </x:c>
      <x:c r="G253" t="str">
        <x:v>MIN</x:v>
      </x:c>
      <x:c r="H253" t="str">
        <x:v>ATL</x:v>
      </x:c>
      <x:c r="I253" t="str">
        <x:v>MIN</x:v>
      </x:c>
      <x:c r="J253" t="n">
        <x:v>80</x:v>
      </x:c>
      <x:c r="K253" t="str">
        <x:v>(:18) (Shotgun) 9-J.McCarthy sacked at MIN 17 for -3 yards (54-B.Dorlus). ATL-24-A.Terrell was injured during the play.</x:v>
      </x:c>
      <x:c r="L253" t="str">
        <x:v>pass</x:v>
      </x:c>
      <x:c r="M253" t="n">
        <x:v>-3</x:v>
      </x:c>
      <x:c r="N253" t="n">
        <x:v>1</x:v>
      </x:c>
      <x:c r="O253" t="n">
        <x:v>0</x:v>
      </x:c>
      <x:c r="P253"/>
      <x:c r="Q253"/>
      <x:c r="R253"/>
      <x:c r="S253"/>
      <x:c r="T253"/>
      <x:c r="U253"/>
      <x:c r="V253" t="n">
        <x:v>0</x:v>
      </x:c>
      <x:c r="W253" t="n">
        <x:v>0</x:v>
      </x:c>
      <x:c r="X253" t="n">
        <x:v>1</x:v>
      </x:c>
      <x:c r="Y253" t="n">
        <x:v>0</x:v>
      </x:c>
      <x:c r="Z253" t="n">
        <x:v>0</x:v>
      </x:c>
      <x:c r="AA253" t="n">
        <x:v>0</x:v>
      </x:c>
      <x:c r="AB253"/>
      <x:c r="AC253" t="n">
        <x:v>0</x:v>
      </x:c>
      <x:c r="AD253" t="n">
        <x:v>-0.1682432993547991</x:v>
      </x:c>
      <x:c r="AE253" t="n">
        <x:v>0</x:v>
      </x:c>
      <x:c r="AF253" t="n">
        <x:v>-0.01546284556388855</x:v>
      </x:c>
      <x:c r="AG253" t="n">
        <x:f>_xlfn.XLOOKUP($A253,Games!$A$2:$A$18,Games!$B$2:$B$18,"Missing game",0)</x:f>
        <x:v>2025</x:v>
      </x:c>
      <x:c r="AH253" t="str">
        <x:f>_xlfn.XLOOKUP($A253,Games!$A$2:$A$18,Games!$C$2:$C$18,"Missing game",0)</x:f>
        <x:v>REG</x:v>
      </x:c>
      <x:c r="AI253" t="n">
        <x:f>_xlfn.XLOOKUP($A253,Games!$A$2:$A$18,Games!$D$2:$D$18,"Missing game",0)</x:f>
        <x:v>2</x:v>
      </x:c>
      <x:c r="AJ253" s="1" t="n">
        <x:f>_xlfn.XLOOKUP($A253,Games!$A$2:$A$18,Games!$E$2:$E$18,"Missing game",0)</x:f>
        <x:v>45914</x:v>
      </x:c>
      <x:c r="AK253" t="str">
        <x:f>_xlfn.XLOOKUP($A253,Games!$A$2:$A$18,Games!$F$2:$F$18,"Missing game",0)</x:f>
        <x:v>Sunday</x:v>
      </x:c>
      <x:c r="AL253" t="str">
        <x:f>_xlfn.XLOOKUP($A253,Games!$A$2:$A$18,Games!$G$2:$G$18,"Missing game",0)</x:f>
        <x:v>ATL</x:v>
      </x:c>
      <x:c r="AM253" t="n">
        <x:f>_xlfn.XLOOKUP($A253,Games!$A$2:$A$18,Games!$H$2:$H$18,"Missing game",0)</x:f>
        <x:v>22</x:v>
      </x:c>
      <x:c r="AN253" t="str">
        <x:f>_xlfn.XLOOKUP($A253,Games!$A$2:$A$18,Games!$I$2:$I$18,"Missing game",0)</x:f>
        <x:v>MIN</x:v>
      </x:c>
      <x:c r="AO253" t="n">
        <x:f>_xlfn.XLOOKUP($A253,Games!$A$2:$A$18,Games!$J$2:$J$18,"Missing game",0)</x:f>
        <x:v>6</x:v>
      </x:c>
      <x:c r="AP253" t="n">
        <x:f>_xlfn.XLOOKUP($A253,Games!$A$2:$A$18,Games!$K$2:$K$18,"Missing game",0)</x:f>
        <x:v>-16</x:v>
      </x:c>
      <x:c r="AQ253" t="n">
        <x:f>_xlfn.XLOOKUP($A253,Games!$A$2:$A$18,Games!$L$2:$L$18,"Missing game",0)</x:f>
        <x:v>28</x:v>
      </x:c>
      <x:c r="AR253" t="n">
        <x:f>_xlfn.XLOOKUP($A253,Games!$A$2:$A$18,Games!$M$2:$M$18,"Missing game",0)</x:f>
        <x:v>0</x:v>
      </x:c>
      <x:c r="AS253" t="str">
        <x:f>_xlfn.XLOOKUP($A253,Games!$A$2:$A$18,Games!$N$2:$N$18,"Missing game",0)</x:f>
        <x:v>dome</x:v>
      </x:c>
      <x:c r="AT253" t="str">
        <x:f>_xlfn.XLOOKUP($A253,Games!$A$2:$A$18,Games!$O$2:$O$18,"Missing game",0)</x:f>
        <x:v>sportturf</x:v>
      </x:c>
      <x:c r="AU253" t="str">
        <x:f>_xlfn.XLOOKUP($A253,Games!$A$2:$A$18,Games!$P$2:$P$18,"Missing game",0)</x:f>
      </x:c>
      <x:c r="AV253" t="str">
        <x:f>_xlfn.XLOOKUP($A253,Games!$A$2:$A$18,Games!$Q$2:$Q$18,"Missing game",0)</x:f>
      </x:c>
      <x:c r="AW253" t="str">
        <x:f>_xlfn.XLOOKUP($A253,Games!$A$2:$A$18,Games!$R$2:$R$18,"Missing game",0)</x:f>
        <x:v>U.S. Bank Stadium</x:v>
      </x:c>
    </x:row>
    <x:row r="254">
      <x:c r="A254" t="str">
        <x:v>2025_02_ATL_MIN</x:v>
      </x:c>
      <x:c r="B254" t="n">
        <x:v>1921</x:v>
      </x:c>
      <x:c r="C254" t="n">
        <x:v>2</x:v>
      </x:c>
      <x:c r="D254" t="str">
        <x:v>00:12</x:v>
      </x:c>
      <x:c r="E254" t="n">
        <x:v>2</x:v>
      </x:c>
      <x:c r="F254" t="n">
        <x:v>13</x:v>
      </x:c>
      <x:c r="G254" t="str">
        <x:v>MIN</x:v>
      </x:c>
      <x:c r="H254" t="str">
        <x:v>ATL</x:v>
      </x:c>
      <x:c r="I254" t="str">
        <x:v>MIN</x:v>
      </x:c>
      <x:c r="J254" t="n">
        <x:v>83</x:v>
      </x:c>
      <x:c r="K254" t="str">
        <x:v>(:12) (Shotgun) 9-J.McCarthy pass deep middle to 18-J.Jefferson to ATL 33 for 50 yards (31-X.Watts; 3-J.Bates).</x:v>
      </x:c>
      <x:c r="L254" t="str">
        <x:v>pass</x:v>
      </x:c>
      <x:c r="M254" t="n">
        <x:v>50</x:v>
      </x:c>
      <x:c r="N254" t="n">
        <x:v>1</x:v>
      </x:c>
      <x:c r="O254" t="n">
        <x:v>0</x:v>
      </x:c>
      <x:c r="P254" t="str">
        <x:v>deep</x:v>
      </x:c>
      <x:c r="Q254" t="str">
        <x:v>middle</x:v>
      </x:c>
      <x:c r="R254" t="n">
        <x:v>30</x:v>
      </x:c>
      <x:c r="S254" t="n">
        <x:v>20</x:v>
      </x:c>
      <x:c r="T254"/>
      <x:c r="U254"/>
      <x:c r="V254" t="n">
        <x:v>1</x:v>
      </x:c>
      <x:c r="W254" t="n">
        <x:v>1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/>
      <x:c r="AC254" t="n">
        <x:v>0</x:v>
      </x:c>
      <x:c r="AD254" t="n">
        <x:v>2.0448595619137055</x:v>
      </x:c>
      <x:c r="AE254" t="n">
        <x:v>1</x:v>
      </x:c>
      <x:c r="AF254" t="n">
        <x:v>0.10359477996826172</x:v>
      </x:c>
      <x:c r="AG254" t="n">
        <x:f>_xlfn.XLOOKUP($A254,Games!$A$2:$A$18,Games!$B$2:$B$18,"Missing game",0)</x:f>
        <x:v>2025</x:v>
      </x:c>
      <x:c r="AH254" t="str">
        <x:f>_xlfn.XLOOKUP($A254,Games!$A$2:$A$18,Games!$C$2:$C$18,"Missing game",0)</x:f>
        <x:v>REG</x:v>
      </x:c>
      <x:c r="AI254" t="n">
        <x:f>_xlfn.XLOOKUP($A254,Games!$A$2:$A$18,Games!$D$2:$D$18,"Missing game",0)</x:f>
        <x:v>2</x:v>
      </x:c>
      <x:c r="AJ254" s="1" t="n">
        <x:f>_xlfn.XLOOKUP($A254,Games!$A$2:$A$18,Games!$E$2:$E$18,"Missing game",0)</x:f>
        <x:v>45914</x:v>
      </x:c>
      <x:c r="AK254" t="str">
        <x:f>_xlfn.XLOOKUP($A254,Games!$A$2:$A$18,Games!$F$2:$F$18,"Missing game",0)</x:f>
        <x:v>Sunday</x:v>
      </x:c>
      <x:c r="AL254" t="str">
        <x:f>_xlfn.XLOOKUP($A254,Games!$A$2:$A$18,Games!$G$2:$G$18,"Missing game",0)</x:f>
        <x:v>ATL</x:v>
      </x:c>
      <x:c r="AM254" t="n">
        <x:f>_xlfn.XLOOKUP($A254,Games!$A$2:$A$18,Games!$H$2:$H$18,"Missing game",0)</x:f>
        <x:v>22</x:v>
      </x:c>
      <x:c r="AN254" t="str">
        <x:f>_xlfn.XLOOKUP($A254,Games!$A$2:$A$18,Games!$I$2:$I$18,"Missing game",0)</x:f>
        <x:v>MIN</x:v>
      </x:c>
      <x:c r="AO254" t="n">
        <x:f>_xlfn.XLOOKUP($A254,Games!$A$2:$A$18,Games!$J$2:$J$18,"Missing game",0)</x:f>
        <x:v>6</x:v>
      </x:c>
      <x:c r="AP254" t="n">
        <x:f>_xlfn.XLOOKUP($A254,Games!$A$2:$A$18,Games!$K$2:$K$18,"Missing game",0)</x:f>
        <x:v>-16</x:v>
      </x:c>
      <x:c r="AQ254" t="n">
        <x:f>_xlfn.XLOOKUP($A254,Games!$A$2:$A$18,Games!$L$2:$L$18,"Missing game",0)</x:f>
        <x:v>28</x:v>
      </x:c>
      <x:c r="AR254" t="n">
        <x:f>_xlfn.XLOOKUP($A254,Games!$A$2:$A$18,Games!$M$2:$M$18,"Missing game",0)</x:f>
        <x:v>0</x:v>
      </x:c>
      <x:c r="AS254" t="str">
        <x:f>_xlfn.XLOOKUP($A254,Games!$A$2:$A$18,Games!$N$2:$N$18,"Missing game",0)</x:f>
        <x:v>dome</x:v>
      </x:c>
      <x:c r="AT254" t="str">
        <x:f>_xlfn.XLOOKUP($A254,Games!$A$2:$A$18,Games!$O$2:$O$18,"Missing game",0)</x:f>
        <x:v>sportturf</x:v>
      </x:c>
      <x:c r="AU254" t="str">
        <x:f>_xlfn.XLOOKUP($A254,Games!$A$2:$A$18,Games!$P$2:$P$18,"Missing game",0)</x:f>
      </x:c>
      <x:c r="AV254" t="str">
        <x:f>_xlfn.XLOOKUP($A254,Games!$A$2:$A$18,Games!$Q$2:$Q$18,"Missing game",0)</x:f>
      </x:c>
      <x:c r="AW254" t="str">
        <x:f>_xlfn.XLOOKUP($A254,Games!$A$2:$A$18,Games!$R$2:$R$18,"Missing game",0)</x:f>
        <x:v>U.S. Bank Stadium</x:v>
      </x:c>
    </x:row>
    <x:row r="255">
      <x:c r="A255" t="str">
        <x:v>2025_02_ATL_MIN</x:v>
      </x:c>
      <x:c r="B255" t="n">
        <x:v>1933</x:v>
      </x:c>
      <x:c r="C255" t="n">
        <x:v>2</x:v>
      </x:c>
      <x:c r="D255" t="str">
        <x:v>00:12</x:v>
      </x:c>
      <x:c r="E255"/>
      <x:c r="F255" t="n">
        <x:v>0</x:v>
      </x:c>
      <x:c r="G255"/>
      <x:c r="H255"/>
      <x:c r="I255"/>
      <x:c r="J255"/>
      <x:c r="K255" t="str">
        <x:v>Timeout #2 by ATL at 00:12.</x:v>
      </x:c>
      <x:c r="L255" t="str">
        <x:v>no_play</x:v>
      </x:c>
      <x:c r="M255" t="n">
        <x:v>0</x:v>
      </x:c>
      <x:c r="N255" t="n">
        <x:v>0</x:v>
      </x:c>
      <x:c r="O255" t="n">
        <x:v>0</x:v>
      </x:c>
      <x:c r="P255"/>
      <x:c r="Q255"/>
      <x:c r="R255"/>
      <x:c r="S255"/>
      <x:c r="T255"/>
      <x:c r="U255"/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/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f>_xlfn.XLOOKUP($A255,Games!$A$2:$A$18,Games!$B$2:$B$18,"Missing game",0)</x:f>
        <x:v>2025</x:v>
      </x:c>
      <x:c r="AH255" t="str">
        <x:f>_xlfn.XLOOKUP($A255,Games!$A$2:$A$18,Games!$C$2:$C$18,"Missing game",0)</x:f>
        <x:v>REG</x:v>
      </x:c>
      <x:c r="AI255" t="n">
        <x:f>_xlfn.XLOOKUP($A255,Games!$A$2:$A$18,Games!$D$2:$D$18,"Missing game",0)</x:f>
        <x:v>2</x:v>
      </x:c>
      <x:c r="AJ255" s="1" t="n">
        <x:f>_xlfn.XLOOKUP($A255,Games!$A$2:$A$18,Games!$E$2:$E$18,"Missing game",0)</x:f>
        <x:v>45914</x:v>
      </x:c>
      <x:c r="AK255" t="str">
        <x:f>_xlfn.XLOOKUP($A255,Games!$A$2:$A$18,Games!$F$2:$F$18,"Missing game",0)</x:f>
        <x:v>Sunday</x:v>
      </x:c>
      <x:c r="AL255" t="str">
        <x:f>_xlfn.XLOOKUP($A255,Games!$A$2:$A$18,Games!$G$2:$G$18,"Missing game",0)</x:f>
        <x:v>ATL</x:v>
      </x:c>
      <x:c r="AM255" t="n">
        <x:f>_xlfn.XLOOKUP($A255,Games!$A$2:$A$18,Games!$H$2:$H$18,"Missing game",0)</x:f>
        <x:v>22</x:v>
      </x:c>
      <x:c r="AN255" t="str">
        <x:f>_xlfn.XLOOKUP($A255,Games!$A$2:$A$18,Games!$I$2:$I$18,"Missing game",0)</x:f>
        <x:v>MIN</x:v>
      </x:c>
      <x:c r="AO255" t="n">
        <x:f>_xlfn.XLOOKUP($A255,Games!$A$2:$A$18,Games!$J$2:$J$18,"Missing game",0)</x:f>
        <x:v>6</x:v>
      </x:c>
      <x:c r="AP255" t="n">
        <x:f>_xlfn.XLOOKUP($A255,Games!$A$2:$A$18,Games!$K$2:$K$18,"Missing game",0)</x:f>
        <x:v>-16</x:v>
      </x:c>
      <x:c r="AQ255" t="n">
        <x:f>_xlfn.XLOOKUP($A255,Games!$A$2:$A$18,Games!$L$2:$L$18,"Missing game",0)</x:f>
        <x:v>28</x:v>
      </x:c>
      <x:c r="AR255" t="n">
        <x:f>_xlfn.XLOOKUP($A255,Games!$A$2:$A$18,Games!$M$2:$M$18,"Missing game",0)</x:f>
        <x:v>0</x:v>
      </x:c>
      <x:c r="AS255" t="str">
        <x:f>_xlfn.XLOOKUP($A255,Games!$A$2:$A$18,Games!$N$2:$N$18,"Missing game",0)</x:f>
        <x:v>dome</x:v>
      </x:c>
      <x:c r="AT255" t="str">
        <x:f>_xlfn.XLOOKUP($A255,Games!$A$2:$A$18,Games!$O$2:$O$18,"Missing game",0)</x:f>
        <x:v>sportturf</x:v>
      </x:c>
      <x:c r="AU255" t="str">
        <x:f>_xlfn.XLOOKUP($A255,Games!$A$2:$A$18,Games!$P$2:$P$18,"Missing game",0)</x:f>
      </x:c>
      <x:c r="AV255" t="str">
        <x:f>_xlfn.XLOOKUP($A255,Games!$A$2:$A$18,Games!$Q$2:$Q$18,"Missing game",0)</x:f>
      </x:c>
      <x:c r="AW255" t="str">
        <x:f>_xlfn.XLOOKUP($A255,Games!$A$2:$A$18,Games!$R$2:$R$18,"Missing game",0)</x:f>
        <x:v>U.S. Bank Stadium</x:v>
      </x:c>
    </x:row>
    <x:row r="256">
      <x:c r="A256" t="str">
        <x:v>2025_02_ATL_MIN</x:v>
      </x:c>
      <x:c r="B256" t="n">
        <x:v>1953</x:v>
      </x:c>
      <x:c r="C256" t="n">
        <x:v>2</x:v>
      </x:c>
      <x:c r="D256" t="str">
        <x:v>00:02</x:v>
      </x:c>
      <x:c r="E256" t="n">
        <x:v>1</x:v>
      </x:c>
      <x:c r="F256" t="n">
        <x:v>10</x:v>
      </x:c>
      <x:c r="G256" t="str">
        <x:v>MIN</x:v>
      </x:c>
      <x:c r="H256" t="str">
        <x:v>ATL</x:v>
      </x:c>
      <x:c r="I256" t="str">
        <x:v>ATL</x:v>
      </x:c>
      <x:c r="J256" t="n">
        <x:v>33</x:v>
      </x:c>
      <x:c r="K256" t="str">
        <x:v>(:02) 16-W.Reichard 51 yard field goal is GOOD, Center-42-A.DePaola, Holder-17-R.Wright.</x:v>
      </x:c>
      <x:c r="L256" t="str">
        <x:v>field_goal</x:v>
      </x:c>
      <x:c r="M256" t="n">
        <x:v>0</x:v>
      </x:c>
      <x:c r="N256" t="n">
        <x:v>0</x:v>
      </x:c>
      <x:c r="O256" t="n">
        <x:v>0</x:v>
      </x:c>
      <x:c r="P256"/>
      <x:c r="Q256"/>
      <x:c r="R256"/>
      <x:c r="S256"/>
      <x:c r="T256"/>
      <x:c r="U256"/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/>
      <x:c r="AC256" t="n">
        <x:v>0</x:v>
      </x:c>
      <x:c r="AD256" t="n">
        <x:v>0.8490100239095622</x:v>
      </x:c>
      <x:c r="AE256" t="n">
        <x:v>1</x:v>
      </x:c>
      <x:c r="AF256" t="n">
        <x:v>0.004028111696243286</x:v>
      </x:c>
      <x:c r="AG256" t="n">
        <x:f>_xlfn.XLOOKUP($A256,Games!$A$2:$A$18,Games!$B$2:$B$18,"Missing game",0)</x:f>
        <x:v>2025</x:v>
      </x:c>
      <x:c r="AH256" t="str">
        <x:f>_xlfn.XLOOKUP($A256,Games!$A$2:$A$18,Games!$C$2:$C$18,"Missing game",0)</x:f>
        <x:v>REG</x:v>
      </x:c>
      <x:c r="AI256" t="n">
        <x:f>_xlfn.XLOOKUP($A256,Games!$A$2:$A$18,Games!$D$2:$D$18,"Missing game",0)</x:f>
        <x:v>2</x:v>
      </x:c>
      <x:c r="AJ256" s="1" t="n">
        <x:f>_xlfn.XLOOKUP($A256,Games!$A$2:$A$18,Games!$E$2:$E$18,"Missing game",0)</x:f>
        <x:v>45914</x:v>
      </x:c>
      <x:c r="AK256" t="str">
        <x:f>_xlfn.XLOOKUP($A256,Games!$A$2:$A$18,Games!$F$2:$F$18,"Missing game",0)</x:f>
        <x:v>Sunday</x:v>
      </x:c>
      <x:c r="AL256" t="str">
        <x:f>_xlfn.XLOOKUP($A256,Games!$A$2:$A$18,Games!$G$2:$G$18,"Missing game",0)</x:f>
        <x:v>ATL</x:v>
      </x:c>
      <x:c r="AM256" t="n">
        <x:f>_xlfn.XLOOKUP($A256,Games!$A$2:$A$18,Games!$H$2:$H$18,"Missing game",0)</x:f>
        <x:v>22</x:v>
      </x:c>
      <x:c r="AN256" t="str">
        <x:f>_xlfn.XLOOKUP($A256,Games!$A$2:$A$18,Games!$I$2:$I$18,"Missing game",0)</x:f>
        <x:v>MIN</x:v>
      </x:c>
      <x:c r="AO256" t="n">
        <x:f>_xlfn.XLOOKUP($A256,Games!$A$2:$A$18,Games!$J$2:$J$18,"Missing game",0)</x:f>
        <x:v>6</x:v>
      </x:c>
      <x:c r="AP256" t="n">
        <x:f>_xlfn.XLOOKUP($A256,Games!$A$2:$A$18,Games!$K$2:$K$18,"Missing game",0)</x:f>
        <x:v>-16</x:v>
      </x:c>
      <x:c r="AQ256" t="n">
        <x:f>_xlfn.XLOOKUP($A256,Games!$A$2:$A$18,Games!$L$2:$L$18,"Missing game",0)</x:f>
        <x:v>28</x:v>
      </x:c>
      <x:c r="AR256" t="n">
        <x:f>_xlfn.XLOOKUP($A256,Games!$A$2:$A$18,Games!$M$2:$M$18,"Missing game",0)</x:f>
        <x:v>0</x:v>
      </x:c>
      <x:c r="AS256" t="str">
        <x:f>_xlfn.XLOOKUP($A256,Games!$A$2:$A$18,Games!$N$2:$N$18,"Missing game",0)</x:f>
        <x:v>dome</x:v>
      </x:c>
      <x:c r="AT256" t="str">
        <x:f>_xlfn.XLOOKUP($A256,Games!$A$2:$A$18,Games!$O$2:$O$18,"Missing game",0)</x:f>
        <x:v>sportturf</x:v>
      </x:c>
      <x:c r="AU256" t="str">
        <x:f>_xlfn.XLOOKUP($A256,Games!$A$2:$A$18,Games!$P$2:$P$18,"Missing game",0)</x:f>
      </x:c>
      <x:c r="AV256" t="str">
        <x:f>_xlfn.XLOOKUP($A256,Games!$A$2:$A$18,Games!$Q$2:$Q$18,"Missing game",0)</x:f>
      </x:c>
      <x:c r="AW256" t="str">
        <x:f>_xlfn.XLOOKUP($A256,Games!$A$2:$A$18,Games!$R$2:$R$18,"Missing game",0)</x:f>
        <x:v>U.S. Bank Stadium</x:v>
      </x:c>
    </x:row>
    <x:row r="257">
      <x:c r="A257" t="str">
        <x:v>2025_02_ATL_MIN</x:v>
      </x:c>
      <x:c r="B257" t="n">
        <x:v>1965</x:v>
      </x:c>
      <x:c r="C257" t="n">
        <x:v>2</x:v>
      </x:c>
      <x:c r="D257" t="str">
        <x:v>00:02</x:v>
      </x:c>
      <x:c r="E257"/>
      <x:c r="F257" t="n">
        <x:v>0</x:v>
      </x:c>
      <x:c r="G257"/>
      <x:c r="H257"/>
      <x:c r="I257"/>
      <x:c r="J257"/>
      <x:c r="K257" t="str">
        <x:v>Timeout #2 by MIN at 00:02.</x:v>
      </x:c>
      <x:c r="L257" t="str">
        <x:v>no_play</x:v>
      </x:c>
      <x:c r="M257" t="n">
        <x:v>0</x:v>
      </x:c>
      <x:c r="N257" t="n">
        <x:v>0</x:v>
      </x:c>
      <x:c r="O257" t="n">
        <x:v>0</x:v>
      </x:c>
      <x:c r="P257"/>
      <x:c r="Q257"/>
      <x:c r="R257"/>
      <x:c r="S257"/>
      <x:c r="T257"/>
      <x:c r="U257"/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/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f>_xlfn.XLOOKUP($A257,Games!$A$2:$A$18,Games!$B$2:$B$18,"Missing game",0)</x:f>
        <x:v>2025</x:v>
      </x:c>
      <x:c r="AH257" t="str">
        <x:f>_xlfn.XLOOKUP($A257,Games!$A$2:$A$18,Games!$C$2:$C$18,"Missing game",0)</x:f>
        <x:v>REG</x:v>
      </x:c>
      <x:c r="AI257" t="n">
        <x:f>_xlfn.XLOOKUP($A257,Games!$A$2:$A$18,Games!$D$2:$D$18,"Missing game",0)</x:f>
        <x:v>2</x:v>
      </x:c>
      <x:c r="AJ257" s="1" t="n">
        <x:f>_xlfn.XLOOKUP($A257,Games!$A$2:$A$18,Games!$E$2:$E$18,"Missing game",0)</x:f>
        <x:v>45914</x:v>
      </x:c>
      <x:c r="AK257" t="str">
        <x:f>_xlfn.XLOOKUP($A257,Games!$A$2:$A$18,Games!$F$2:$F$18,"Missing game",0)</x:f>
        <x:v>Sunday</x:v>
      </x:c>
      <x:c r="AL257" t="str">
        <x:f>_xlfn.XLOOKUP($A257,Games!$A$2:$A$18,Games!$G$2:$G$18,"Missing game",0)</x:f>
        <x:v>ATL</x:v>
      </x:c>
      <x:c r="AM257" t="n">
        <x:f>_xlfn.XLOOKUP($A257,Games!$A$2:$A$18,Games!$H$2:$H$18,"Missing game",0)</x:f>
        <x:v>22</x:v>
      </x:c>
      <x:c r="AN257" t="str">
        <x:f>_xlfn.XLOOKUP($A257,Games!$A$2:$A$18,Games!$I$2:$I$18,"Missing game",0)</x:f>
        <x:v>MIN</x:v>
      </x:c>
      <x:c r="AO257" t="n">
        <x:f>_xlfn.XLOOKUP($A257,Games!$A$2:$A$18,Games!$J$2:$J$18,"Missing game",0)</x:f>
        <x:v>6</x:v>
      </x:c>
      <x:c r="AP257" t="n">
        <x:f>_xlfn.XLOOKUP($A257,Games!$A$2:$A$18,Games!$K$2:$K$18,"Missing game",0)</x:f>
        <x:v>-16</x:v>
      </x:c>
      <x:c r="AQ257" t="n">
        <x:f>_xlfn.XLOOKUP($A257,Games!$A$2:$A$18,Games!$L$2:$L$18,"Missing game",0)</x:f>
        <x:v>28</x:v>
      </x:c>
      <x:c r="AR257" t="n">
        <x:f>_xlfn.XLOOKUP($A257,Games!$A$2:$A$18,Games!$M$2:$M$18,"Missing game",0)</x:f>
        <x:v>0</x:v>
      </x:c>
      <x:c r="AS257" t="str">
        <x:f>_xlfn.XLOOKUP($A257,Games!$A$2:$A$18,Games!$N$2:$N$18,"Missing game",0)</x:f>
        <x:v>dome</x:v>
      </x:c>
      <x:c r="AT257" t="str">
        <x:f>_xlfn.XLOOKUP($A257,Games!$A$2:$A$18,Games!$O$2:$O$18,"Missing game",0)</x:f>
        <x:v>sportturf</x:v>
      </x:c>
      <x:c r="AU257" t="str">
        <x:f>_xlfn.XLOOKUP($A257,Games!$A$2:$A$18,Games!$P$2:$P$18,"Missing game",0)</x:f>
      </x:c>
      <x:c r="AV257" t="str">
        <x:f>_xlfn.XLOOKUP($A257,Games!$A$2:$A$18,Games!$Q$2:$Q$18,"Missing game",0)</x:f>
      </x:c>
      <x:c r="AW257" t="str">
        <x:f>_xlfn.XLOOKUP($A257,Games!$A$2:$A$18,Games!$R$2:$R$18,"Missing game",0)</x:f>
        <x:v>U.S. Bank Stadium</x:v>
      </x:c>
    </x:row>
    <x:row r="258">
      <x:c r="A258" t="str">
        <x:v>2025_02_ATL_MIN</x:v>
      </x:c>
      <x:c r="B258" t="n">
        <x:v>1980</x:v>
      </x:c>
      <x:c r="C258" t="n">
        <x:v>2</x:v>
      </x:c>
      <x:c r="D258" t="str">
        <x:v>00:00</x:v>
      </x:c>
      <x:c r="E258"/>
      <x:c r="F258" t="n">
        <x:v>0</x:v>
      </x:c>
      <x:c r="G258"/>
      <x:c r="H258"/>
      <x:c r="I258"/>
      <x:c r="J258"/>
      <x:c r="K258" t="str">
        <x:v>END QUARTER 2</x:v>
      </x:c>
      <x:c r="L258"/>
      <x:c r="M258"/>
      <x:c r="N258" t="n">
        <x:v>0</x:v>
      </x:c>
      <x:c r="O258" t="n">
        <x:v>0</x:v>
      </x:c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 t="n">
        <x:v>0</x:v>
      </x:c>
      <x:c r="AG258" t="n">
        <x:f>_xlfn.XLOOKUP($A258,Games!$A$2:$A$18,Games!$B$2:$B$18,"Missing game",0)</x:f>
        <x:v>2025</x:v>
      </x:c>
      <x:c r="AH258" t="str">
        <x:f>_xlfn.XLOOKUP($A258,Games!$A$2:$A$18,Games!$C$2:$C$18,"Missing game",0)</x:f>
        <x:v>REG</x:v>
      </x:c>
      <x:c r="AI258" t="n">
        <x:f>_xlfn.XLOOKUP($A258,Games!$A$2:$A$18,Games!$D$2:$D$18,"Missing game",0)</x:f>
        <x:v>2</x:v>
      </x:c>
      <x:c r="AJ258" s="1" t="n">
        <x:f>_xlfn.XLOOKUP($A258,Games!$A$2:$A$18,Games!$E$2:$E$18,"Missing game",0)</x:f>
        <x:v>45914</x:v>
      </x:c>
      <x:c r="AK258" t="str">
        <x:f>_xlfn.XLOOKUP($A258,Games!$A$2:$A$18,Games!$F$2:$F$18,"Missing game",0)</x:f>
        <x:v>Sunday</x:v>
      </x:c>
      <x:c r="AL258" t="str">
        <x:f>_xlfn.XLOOKUP($A258,Games!$A$2:$A$18,Games!$G$2:$G$18,"Missing game",0)</x:f>
        <x:v>ATL</x:v>
      </x:c>
      <x:c r="AM258" t="n">
        <x:f>_xlfn.XLOOKUP($A258,Games!$A$2:$A$18,Games!$H$2:$H$18,"Missing game",0)</x:f>
        <x:v>22</x:v>
      </x:c>
      <x:c r="AN258" t="str">
        <x:f>_xlfn.XLOOKUP($A258,Games!$A$2:$A$18,Games!$I$2:$I$18,"Missing game",0)</x:f>
        <x:v>MIN</x:v>
      </x:c>
      <x:c r="AO258" t="n">
        <x:f>_xlfn.XLOOKUP($A258,Games!$A$2:$A$18,Games!$J$2:$J$18,"Missing game",0)</x:f>
        <x:v>6</x:v>
      </x:c>
      <x:c r="AP258" t="n">
        <x:f>_xlfn.XLOOKUP($A258,Games!$A$2:$A$18,Games!$K$2:$K$18,"Missing game",0)</x:f>
        <x:v>-16</x:v>
      </x:c>
      <x:c r="AQ258" t="n">
        <x:f>_xlfn.XLOOKUP($A258,Games!$A$2:$A$18,Games!$L$2:$L$18,"Missing game",0)</x:f>
        <x:v>28</x:v>
      </x:c>
      <x:c r="AR258" t="n">
        <x:f>_xlfn.XLOOKUP($A258,Games!$A$2:$A$18,Games!$M$2:$M$18,"Missing game",0)</x:f>
        <x:v>0</x:v>
      </x:c>
      <x:c r="AS258" t="str">
        <x:f>_xlfn.XLOOKUP($A258,Games!$A$2:$A$18,Games!$N$2:$N$18,"Missing game",0)</x:f>
        <x:v>dome</x:v>
      </x:c>
      <x:c r="AT258" t="str">
        <x:f>_xlfn.XLOOKUP($A258,Games!$A$2:$A$18,Games!$O$2:$O$18,"Missing game",0)</x:f>
        <x:v>sportturf</x:v>
      </x:c>
      <x:c r="AU258" t="str">
        <x:f>_xlfn.XLOOKUP($A258,Games!$A$2:$A$18,Games!$P$2:$P$18,"Missing game",0)</x:f>
      </x:c>
      <x:c r="AV258" t="str">
        <x:f>_xlfn.XLOOKUP($A258,Games!$A$2:$A$18,Games!$Q$2:$Q$18,"Missing game",0)</x:f>
      </x:c>
      <x:c r="AW258" t="str">
        <x:f>_xlfn.XLOOKUP($A258,Games!$A$2:$A$18,Games!$R$2:$R$18,"Missing game",0)</x:f>
        <x:v>U.S. Bank Stadium</x:v>
      </x:c>
    </x:row>
    <x:row r="259">
      <x:c r="A259" t="str">
        <x:v>2025_02_ATL_MIN</x:v>
      </x:c>
      <x:c r="B259" t="n">
        <x:v>1998</x:v>
      </x:c>
      <x:c r="C259" t="n">
        <x:v>3</x:v>
      </x:c>
      <x:c r="D259" t="str">
        <x:v>15:00</x:v>
      </x:c>
      <x:c r="E259"/>
      <x:c r="F259" t="n">
        <x:v>0</x:v>
      </x:c>
      <x:c r="G259" t="str">
        <x:v>MIN</x:v>
      </x:c>
      <x:c r="H259" t="str">
        <x:v>ATL</x:v>
      </x:c>
      <x:c r="I259" t="str">
        <x:v>ATL</x:v>
      </x:c>
      <x:c r="J259" t="n">
        <x:v>35</x:v>
      </x:c>
      <x:c r="K259" t="str">
        <x:v>13-B.Pinion kicks 62 yards from ATL 35 to MIN 3. 4-M.Price to MIN 22 for 19 yards (20-D.Alford).</x:v>
      </x:c>
      <x:c r="L259" t="str">
        <x:v>kickoff</x:v>
      </x:c>
      <x:c r="M259" t="n">
        <x:v>0</x:v>
      </x:c>
      <x:c r="N259" t="n">
        <x:v>0</x:v>
      </x:c>
      <x:c r="O259" t="n">
        <x:v>0</x:v>
      </x:c>
      <x:c r="P259"/>
      <x:c r="Q259"/>
      <x:c r="R259"/>
      <x:c r="S259"/>
      <x:c r="T259"/>
      <x:c r="U259"/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/>
      <x:c r="AC259" t="n">
        <x:v>0</x:v>
      </x:c>
      <x:c r="AD259" t="n">
        <x:v>-0.4047208274714649</x:v>
      </x:c>
      <x:c r="AE259" t="n">
        <x:v>0</x:v>
      </x:c>
      <x:c r="AF259" t="n">
        <x:v>0.0007062256336212158</x:v>
      </x:c>
      <x:c r="AG259" t="n">
        <x:f>_xlfn.XLOOKUP($A259,Games!$A$2:$A$18,Games!$B$2:$B$18,"Missing game",0)</x:f>
        <x:v>2025</x:v>
      </x:c>
      <x:c r="AH259" t="str">
        <x:f>_xlfn.XLOOKUP($A259,Games!$A$2:$A$18,Games!$C$2:$C$18,"Missing game",0)</x:f>
        <x:v>REG</x:v>
      </x:c>
      <x:c r="AI259" t="n">
        <x:f>_xlfn.XLOOKUP($A259,Games!$A$2:$A$18,Games!$D$2:$D$18,"Missing game",0)</x:f>
        <x:v>2</x:v>
      </x:c>
      <x:c r="AJ259" s="1" t="n">
        <x:f>_xlfn.XLOOKUP($A259,Games!$A$2:$A$18,Games!$E$2:$E$18,"Missing game",0)</x:f>
        <x:v>45914</x:v>
      </x:c>
      <x:c r="AK259" t="str">
        <x:f>_xlfn.XLOOKUP($A259,Games!$A$2:$A$18,Games!$F$2:$F$18,"Missing game",0)</x:f>
        <x:v>Sunday</x:v>
      </x:c>
      <x:c r="AL259" t="str">
        <x:f>_xlfn.XLOOKUP($A259,Games!$A$2:$A$18,Games!$G$2:$G$18,"Missing game",0)</x:f>
        <x:v>ATL</x:v>
      </x:c>
      <x:c r="AM259" t="n">
        <x:f>_xlfn.XLOOKUP($A259,Games!$A$2:$A$18,Games!$H$2:$H$18,"Missing game",0)</x:f>
        <x:v>22</x:v>
      </x:c>
      <x:c r="AN259" t="str">
        <x:f>_xlfn.XLOOKUP($A259,Games!$A$2:$A$18,Games!$I$2:$I$18,"Missing game",0)</x:f>
        <x:v>MIN</x:v>
      </x:c>
      <x:c r="AO259" t="n">
        <x:f>_xlfn.XLOOKUP($A259,Games!$A$2:$A$18,Games!$J$2:$J$18,"Missing game",0)</x:f>
        <x:v>6</x:v>
      </x:c>
      <x:c r="AP259" t="n">
        <x:f>_xlfn.XLOOKUP($A259,Games!$A$2:$A$18,Games!$K$2:$K$18,"Missing game",0)</x:f>
        <x:v>-16</x:v>
      </x:c>
      <x:c r="AQ259" t="n">
        <x:f>_xlfn.XLOOKUP($A259,Games!$A$2:$A$18,Games!$L$2:$L$18,"Missing game",0)</x:f>
        <x:v>28</x:v>
      </x:c>
      <x:c r="AR259" t="n">
        <x:f>_xlfn.XLOOKUP($A259,Games!$A$2:$A$18,Games!$M$2:$M$18,"Missing game",0)</x:f>
        <x:v>0</x:v>
      </x:c>
      <x:c r="AS259" t="str">
        <x:f>_xlfn.XLOOKUP($A259,Games!$A$2:$A$18,Games!$N$2:$N$18,"Missing game",0)</x:f>
        <x:v>dome</x:v>
      </x:c>
      <x:c r="AT259" t="str">
        <x:f>_xlfn.XLOOKUP($A259,Games!$A$2:$A$18,Games!$O$2:$O$18,"Missing game",0)</x:f>
        <x:v>sportturf</x:v>
      </x:c>
      <x:c r="AU259" t="str">
        <x:f>_xlfn.XLOOKUP($A259,Games!$A$2:$A$18,Games!$P$2:$P$18,"Missing game",0)</x:f>
      </x:c>
      <x:c r="AV259" t="str">
        <x:f>_xlfn.XLOOKUP($A259,Games!$A$2:$A$18,Games!$Q$2:$Q$18,"Missing game",0)</x:f>
      </x:c>
      <x:c r="AW259" t="str">
        <x:f>_xlfn.XLOOKUP($A259,Games!$A$2:$A$18,Games!$R$2:$R$18,"Missing game",0)</x:f>
        <x:v>U.S. Bank Stadium</x:v>
      </x:c>
    </x:row>
    <x:row r="260">
      <x:c r="A260" t="str">
        <x:v>2025_02_ATL_MIN</x:v>
      </x:c>
      <x:c r="B260" t="n">
        <x:v>2031</x:v>
      </x:c>
      <x:c r="C260" t="n">
        <x:v>3</x:v>
      </x:c>
      <x:c r="D260" t="str">
        <x:v>14:55</x:v>
      </x:c>
      <x:c r="E260" t="n">
        <x:v>1</x:v>
      </x:c>
      <x:c r="F260" t="n">
        <x:v>10</x:v>
      </x:c>
      <x:c r="G260" t="str">
        <x:v>MIN</x:v>
      </x:c>
      <x:c r="H260" t="str">
        <x:v>ATL</x:v>
      </x:c>
      <x:c r="I260" t="str">
        <x:v>MIN</x:v>
      </x:c>
      <x:c r="J260" t="n">
        <x:v>78</x:v>
      </x:c>
      <x:c r="K260" t="str">
        <x:v>(14:55) 33-A.Jones left end pushed ob at MIN 30 for 8 yards (31-X.Watts).</x:v>
      </x:c>
      <x:c r="L260" t="str">
        <x:v>run</x:v>
      </x:c>
      <x:c r="M260" t="n">
        <x:v>8</x:v>
      </x:c>
      <x:c r="N260" t="n">
        <x:v>0</x:v>
      </x:c>
      <x:c r="O260" t="n">
        <x:v>0</x:v>
      </x:c>
      <x:c r="P260"/>
      <x:c r="Q260"/>
      <x:c r="R260"/>
      <x:c r="S260"/>
      <x:c r="T260" t="str">
        <x:v>left</x:v>
      </x:c>
      <x:c r="U260" t="str">
        <x:v>end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/>
      <x:c r="AC260" t="n">
        <x:v>0</x:v>
      </x:c>
      <x:c r="AD260" t="n">
        <x:v>0.7820284063927829</x:v>
      </x:c>
      <x:c r="AE260" t="n">
        <x:v>1</x:v>
      </x:c>
      <x:c r="AF260" t="n">
        <x:v>0.02163061499595642</x:v>
      </x:c>
      <x:c r="AG260" t="n">
        <x:f>_xlfn.XLOOKUP($A260,Games!$A$2:$A$18,Games!$B$2:$B$18,"Missing game",0)</x:f>
        <x:v>2025</x:v>
      </x:c>
      <x:c r="AH260" t="str">
        <x:f>_xlfn.XLOOKUP($A260,Games!$A$2:$A$18,Games!$C$2:$C$18,"Missing game",0)</x:f>
        <x:v>REG</x:v>
      </x:c>
      <x:c r="AI260" t="n">
        <x:f>_xlfn.XLOOKUP($A260,Games!$A$2:$A$18,Games!$D$2:$D$18,"Missing game",0)</x:f>
        <x:v>2</x:v>
      </x:c>
      <x:c r="AJ260" s="1" t="n">
        <x:f>_xlfn.XLOOKUP($A260,Games!$A$2:$A$18,Games!$E$2:$E$18,"Missing game",0)</x:f>
        <x:v>45914</x:v>
      </x:c>
      <x:c r="AK260" t="str">
        <x:f>_xlfn.XLOOKUP($A260,Games!$A$2:$A$18,Games!$F$2:$F$18,"Missing game",0)</x:f>
        <x:v>Sunday</x:v>
      </x:c>
      <x:c r="AL260" t="str">
        <x:f>_xlfn.XLOOKUP($A260,Games!$A$2:$A$18,Games!$G$2:$G$18,"Missing game",0)</x:f>
        <x:v>ATL</x:v>
      </x:c>
      <x:c r="AM260" t="n">
        <x:f>_xlfn.XLOOKUP($A260,Games!$A$2:$A$18,Games!$H$2:$H$18,"Missing game",0)</x:f>
        <x:v>22</x:v>
      </x:c>
      <x:c r="AN260" t="str">
        <x:f>_xlfn.XLOOKUP($A260,Games!$A$2:$A$18,Games!$I$2:$I$18,"Missing game",0)</x:f>
        <x:v>MIN</x:v>
      </x:c>
      <x:c r="AO260" t="n">
        <x:f>_xlfn.XLOOKUP($A260,Games!$A$2:$A$18,Games!$J$2:$J$18,"Missing game",0)</x:f>
        <x:v>6</x:v>
      </x:c>
      <x:c r="AP260" t="n">
        <x:f>_xlfn.XLOOKUP($A260,Games!$A$2:$A$18,Games!$K$2:$K$18,"Missing game",0)</x:f>
        <x:v>-16</x:v>
      </x:c>
      <x:c r="AQ260" t="n">
        <x:f>_xlfn.XLOOKUP($A260,Games!$A$2:$A$18,Games!$L$2:$L$18,"Missing game",0)</x:f>
        <x:v>28</x:v>
      </x:c>
      <x:c r="AR260" t="n">
        <x:f>_xlfn.XLOOKUP($A260,Games!$A$2:$A$18,Games!$M$2:$M$18,"Missing game",0)</x:f>
        <x:v>0</x:v>
      </x:c>
      <x:c r="AS260" t="str">
        <x:f>_xlfn.XLOOKUP($A260,Games!$A$2:$A$18,Games!$N$2:$N$18,"Missing game",0)</x:f>
        <x:v>dome</x:v>
      </x:c>
      <x:c r="AT260" t="str">
        <x:f>_xlfn.XLOOKUP($A260,Games!$A$2:$A$18,Games!$O$2:$O$18,"Missing game",0)</x:f>
        <x:v>sportturf</x:v>
      </x:c>
      <x:c r="AU260" t="str">
        <x:f>_xlfn.XLOOKUP($A260,Games!$A$2:$A$18,Games!$P$2:$P$18,"Missing game",0)</x:f>
      </x:c>
      <x:c r="AV260" t="str">
        <x:f>_xlfn.XLOOKUP($A260,Games!$A$2:$A$18,Games!$Q$2:$Q$18,"Missing game",0)</x:f>
      </x:c>
      <x:c r="AW260" t="str">
        <x:f>_xlfn.XLOOKUP($A260,Games!$A$2:$A$18,Games!$R$2:$R$18,"Missing game",0)</x:f>
        <x:v>U.S. Bank Stadium</x:v>
      </x:c>
    </x:row>
    <x:row r="261">
      <x:c r="A261" t="str">
        <x:v>2025_02_ATL_MIN</x:v>
      </x:c>
      <x:c r="B261" t="n">
        <x:v>2058</x:v>
      </x:c>
      <x:c r="C261" t="n">
        <x:v>3</x:v>
      </x:c>
      <x:c r="D261" t="str">
        <x:v>14:20</x:v>
      </x:c>
      <x:c r="E261" t="n">
        <x:v>2</x:v>
      </x:c>
      <x:c r="F261" t="n">
        <x:v>2</x:v>
      </x:c>
      <x:c r="G261" t="str">
        <x:v>MIN</x:v>
      </x:c>
      <x:c r="H261" t="str">
        <x:v>ATL</x:v>
      </x:c>
      <x:c r="I261" t="str">
        <x:v>MIN</x:v>
      </x:c>
      <x:c r="J261" t="n">
        <x:v>70</x:v>
      </x:c>
      <x:c r="K261" t="str">
        <x:v>(14:20) 9-J.McCarthy pass incomplete deep left to 19-A.Thielen.</x:v>
      </x:c>
      <x:c r="L261" t="str">
        <x:v>pass</x:v>
      </x:c>
      <x:c r="M261" t="n">
        <x:v>0</x:v>
      </x:c>
      <x:c r="N261" t="n">
        <x:v>0</x:v>
      </x:c>
      <x:c r="O261" t="n">
        <x:v>0</x:v>
      </x:c>
      <x:c r="P261" t="str">
        <x:v>deep</x:v>
      </x:c>
      <x:c r="Q261" t="str">
        <x:v>left</x:v>
      </x:c>
      <x:c r="R261" t="n">
        <x:v>32</x:v>
      </x:c>
      <x:c r="S261"/>
      <x:c r="T261"/>
      <x:c r="U261"/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/>
      <x:c r="AC261" t="n">
        <x:v>0</x:v>
      </x:c>
      <x:c r="AD261" t="n">
        <x:v>-0.7655407069250941</x:v>
      </x:c>
      <x:c r="AE261" t="n">
        <x:v>0</x:v>
      </x:c>
      <x:c r="AF261" t="n">
        <x:v>-0.03023478388786316</x:v>
      </x:c>
      <x:c r="AG261" t="n">
        <x:f>_xlfn.XLOOKUP($A261,Games!$A$2:$A$18,Games!$B$2:$B$18,"Missing game",0)</x:f>
        <x:v>2025</x:v>
      </x:c>
      <x:c r="AH261" t="str">
        <x:f>_xlfn.XLOOKUP($A261,Games!$A$2:$A$18,Games!$C$2:$C$18,"Missing game",0)</x:f>
        <x:v>REG</x:v>
      </x:c>
      <x:c r="AI261" t="n">
        <x:f>_xlfn.XLOOKUP($A261,Games!$A$2:$A$18,Games!$D$2:$D$18,"Missing game",0)</x:f>
        <x:v>2</x:v>
      </x:c>
      <x:c r="AJ261" s="1" t="n">
        <x:f>_xlfn.XLOOKUP($A261,Games!$A$2:$A$18,Games!$E$2:$E$18,"Missing game",0)</x:f>
        <x:v>45914</x:v>
      </x:c>
      <x:c r="AK261" t="str">
        <x:f>_xlfn.XLOOKUP($A261,Games!$A$2:$A$18,Games!$F$2:$F$18,"Missing game",0)</x:f>
        <x:v>Sunday</x:v>
      </x:c>
      <x:c r="AL261" t="str">
        <x:f>_xlfn.XLOOKUP($A261,Games!$A$2:$A$18,Games!$G$2:$G$18,"Missing game",0)</x:f>
        <x:v>ATL</x:v>
      </x:c>
      <x:c r="AM261" t="n">
        <x:f>_xlfn.XLOOKUP($A261,Games!$A$2:$A$18,Games!$H$2:$H$18,"Missing game",0)</x:f>
        <x:v>22</x:v>
      </x:c>
      <x:c r="AN261" t="str">
        <x:f>_xlfn.XLOOKUP($A261,Games!$A$2:$A$18,Games!$I$2:$I$18,"Missing game",0)</x:f>
        <x:v>MIN</x:v>
      </x:c>
      <x:c r="AO261" t="n">
        <x:f>_xlfn.XLOOKUP($A261,Games!$A$2:$A$18,Games!$J$2:$J$18,"Missing game",0)</x:f>
        <x:v>6</x:v>
      </x:c>
      <x:c r="AP261" t="n">
        <x:f>_xlfn.XLOOKUP($A261,Games!$A$2:$A$18,Games!$K$2:$K$18,"Missing game",0)</x:f>
        <x:v>-16</x:v>
      </x:c>
      <x:c r="AQ261" t="n">
        <x:f>_xlfn.XLOOKUP($A261,Games!$A$2:$A$18,Games!$L$2:$L$18,"Missing game",0)</x:f>
        <x:v>28</x:v>
      </x:c>
      <x:c r="AR261" t="n">
        <x:f>_xlfn.XLOOKUP($A261,Games!$A$2:$A$18,Games!$M$2:$M$18,"Missing game",0)</x:f>
        <x:v>0</x:v>
      </x:c>
      <x:c r="AS261" t="str">
        <x:f>_xlfn.XLOOKUP($A261,Games!$A$2:$A$18,Games!$N$2:$N$18,"Missing game",0)</x:f>
        <x:v>dome</x:v>
      </x:c>
      <x:c r="AT261" t="str">
        <x:f>_xlfn.XLOOKUP($A261,Games!$A$2:$A$18,Games!$O$2:$O$18,"Missing game",0)</x:f>
        <x:v>sportturf</x:v>
      </x:c>
      <x:c r="AU261" t="str">
        <x:f>_xlfn.XLOOKUP($A261,Games!$A$2:$A$18,Games!$P$2:$P$18,"Missing game",0)</x:f>
      </x:c>
      <x:c r="AV261" t="str">
        <x:f>_xlfn.XLOOKUP($A261,Games!$A$2:$A$18,Games!$Q$2:$Q$18,"Missing game",0)</x:f>
      </x:c>
      <x:c r="AW261" t="str">
        <x:f>_xlfn.XLOOKUP($A261,Games!$A$2:$A$18,Games!$R$2:$R$18,"Missing game",0)</x:f>
        <x:v>U.S. Bank Stadium</x:v>
      </x:c>
    </x:row>
    <x:row r="262">
      <x:c r="A262" t="str">
        <x:v>2025_02_ATL_MIN</x:v>
      </x:c>
      <x:c r="B262" t="n">
        <x:v>2081</x:v>
      </x:c>
      <x:c r="C262" t="n">
        <x:v>3</x:v>
      </x:c>
      <x:c r="D262" t="str">
        <x:v>14:14</x:v>
      </x:c>
      <x:c r="E262" t="n">
        <x:v>3</x:v>
      </x:c>
      <x:c r="F262" t="n">
        <x:v>2</x:v>
      </x:c>
      <x:c r="G262" t="str">
        <x:v>MIN</x:v>
      </x:c>
      <x:c r="H262" t="str">
        <x:v>ATL</x:v>
      </x:c>
      <x:c r="I262" t="str">
        <x:v>MIN</x:v>
      </x:c>
      <x:c r="J262" t="n">
        <x:v>70</x:v>
      </x:c>
      <x:c r="K262" t="str">
        <x:v>(14:14) (Shotgun) 9-J.McCarthy pass short right intended for 87-T.Hockenson INTERCEPTED by 33-B.Bowman at MIN 36. 33-B.Bowman to MIN 10 for 26 yards (67-J.Skule). The Replay Official reviewed the interception ruling, and the play was REVERSED. (Shotgun) 9-J.McCarthy pass incomplete short right to 87-T.Hockenson (33-B.Bowman).</x:v>
      </x:c>
      <x:c r="L262" t="str">
        <x:v>pass</x:v>
      </x:c>
      <x:c r="M262" t="n">
        <x:v>0</x:v>
      </x:c>
      <x:c r="N262" t="n">
        <x:v>1</x:v>
      </x:c>
      <x:c r="O262" t="n">
        <x:v>0</x:v>
      </x:c>
      <x:c r="P262" t="str">
        <x:v>short</x:v>
      </x:c>
      <x:c r="Q262" t="str">
        <x:v>right</x:v>
      </x:c>
      <x:c r="R262" t="n">
        <x:v>6</x:v>
      </x:c>
      <x:c r="S262"/>
      <x:c r="T262"/>
      <x:c r="U262"/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/>
      <x:c r="AC262" t="n">
        <x:v>0</x:v>
      </x:c>
      <x:c r="AD262" t="n">
        <x:v>-1.9394248225726187</x:v>
      </x:c>
      <x:c r="AE262" t="n">
        <x:v>0</x:v>
      </x:c>
      <x:c r="AF262" t="n">
        <x:v>-0.054746776819229126</x:v>
      </x:c>
      <x:c r="AG262" t="n">
        <x:f>_xlfn.XLOOKUP($A262,Games!$A$2:$A$18,Games!$B$2:$B$18,"Missing game",0)</x:f>
        <x:v>2025</x:v>
      </x:c>
      <x:c r="AH262" t="str">
        <x:f>_xlfn.XLOOKUP($A262,Games!$A$2:$A$18,Games!$C$2:$C$18,"Missing game",0)</x:f>
        <x:v>REG</x:v>
      </x:c>
      <x:c r="AI262" t="n">
        <x:f>_xlfn.XLOOKUP($A262,Games!$A$2:$A$18,Games!$D$2:$D$18,"Missing game",0)</x:f>
        <x:v>2</x:v>
      </x:c>
      <x:c r="AJ262" s="1" t="n">
        <x:f>_xlfn.XLOOKUP($A262,Games!$A$2:$A$18,Games!$E$2:$E$18,"Missing game",0)</x:f>
        <x:v>45914</x:v>
      </x:c>
      <x:c r="AK262" t="str">
        <x:f>_xlfn.XLOOKUP($A262,Games!$A$2:$A$18,Games!$F$2:$F$18,"Missing game",0)</x:f>
        <x:v>Sunday</x:v>
      </x:c>
      <x:c r="AL262" t="str">
        <x:f>_xlfn.XLOOKUP($A262,Games!$A$2:$A$18,Games!$G$2:$G$18,"Missing game",0)</x:f>
        <x:v>ATL</x:v>
      </x:c>
      <x:c r="AM262" t="n">
        <x:f>_xlfn.XLOOKUP($A262,Games!$A$2:$A$18,Games!$H$2:$H$18,"Missing game",0)</x:f>
        <x:v>22</x:v>
      </x:c>
      <x:c r="AN262" t="str">
        <x:f>_xlfn.XLOOKUP($A262,Games!$A$2:$A$18,Games!$I$2:$I$18,"Missing game",0)</x:f>
        <x:v>MIN</x:v>
      </x:c>
      <x:c r="AO262" t="n">
        <x:f>_xlfn.XLOOKUP($A262,Games!$A$2:$A$18,Games!$J$2:$J$18,"Missing game",0)</x:f>
        <x:v>6</x:v>
      </x:c>
      <x:c r="AP262" t="n">
        <x:f>_xlfn.XLOOKUP($A262,Games!$A$2:$A$18,Games!$K$2:$K$18,"Missing game",0)</x:f>
        <x:v>-16</x:v>
      </x:c>
      <x:c r="AQ262" t="n">
        <x:f>_xlfn.XLOOKUP($A262,Games!$A$2:$A$18,Games!$L$2:$L$18,"Missing game",0)</x:f>
        <x:v>28</x:v>
      </x:c>
      <x:c r="AR262" t="n">
        <x:f>_xlfn.XLOOKUP($A262,Games!$A$2:$A$18,Games!$M$2:$M$18,"Missing game",0)</x:f>
        <x:v>0</x:v>
      </x:c>
      <x:c r="AS262" t="str">
        <x:f>_xlfn.XLOOKUP($A262,Games!$A$2:$A$18,Games!$N$2:$N$18,"Missing game",0)</x:f>
        <x:v>dome</x:v>
      </x:c>
      <x:c r="AT262" t="str">
        <x:f>_xlfn.XLOOKUP($A262,Games!$A$2:$A$18,Games!$O$2:$O$18,"Missing game",0)</x:f>
        <x:v>sportturf</x:v>
      </x:c>
      <x:c r="AU262" t="str">
        <x:f>_xlfn.XLOOKUP($A262,Games!$A$2:$A$18,Games!$P$2:$P$18,"Missing game",0)</x:f>
      </x:c>
      <x:c r="AV262" t="str">
        <x:f>_xlfn.XLOOKUP($A262,Games!$A$2:$A$18,Games!$Q$2:$Q$18,"Missing game",0)</x:f>
      </x:c>
      <x:c r="AW262" t="str">
        <x:f>_xlfn.XLOOKUP($A262,Games!$A$2:$A$18,Games!$R$2:$R$18,"Missing game",0)</x:f>
        <x:v>U.S. Bank Stadium</x:v>
      </x:c>
    </x:row>
    <x:row r="263">
      <x:c r="A263" t="str">
        <x:v>2025_02_ATL_MIN</x:v>
      </x:c>
      <x:c r="B263" t="n">
        <x:v>2124</x:v>
      </x:c>
      <x:c r="C263" t="n">
        <x:v>3</x:v>
      </x:c>
      <x:c r="D263" t="str">
        <x:v>14:11</x:v>
      </x:c>
      <x:c r="E263" t="n">
        <x:v>4</x:v>
      </x:c>
      <x:c r="F263" t="n">
        <x:v>2</x:v>
      </x:c>
      <x:c r="G263" t="str">
        <x:v>MIN</x:v>
      </x:c>
      <x:c r="H263" t="str">
        <x:v>ATL</x:v>
      </x:c>
      <x:c r="I263" t="str">
        <x:v>MIN</x:v>
      </x:c>
      <x:c r="J263" t="n">
        <x:v>70</x:v>
      </x:c>
      <x:c r="K263" t="str">
        <x:v>(14:11) 17-R.Wright punts 49 yards to ATL 21, Center-42-A.DePaola, fair catch by 35-N.Brooks.</x:v>
      </x:c>
      <x:c r="L263" t="str">
        <x:v>punt</x:v>
      </x:c>
      <x:c r="M263" t="n">
        <x:v>0</x:v>
      </x:c>
      <x:c r="N263" t="n">
        <x:v>0</x:v>
      </x:c>
      <x:c r="O263" t="n">
        <x:v>0</x:v>
      </x:c>
      <x:c r="P263"/>
      <x:c r="Q263"/>
      <x:c r="R263"/>
      <x:c r="S263"/>
      <x:c r="T263"/>
      <x:c r="U263"/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/>
      <x:c r="AC263" t="n">
        <x:v>0</x:v>
      </x:c>
      <x:c r="AD263" t="n">
        <x:v>-0.19569242652505636</x:v>
      </x:c>
      <x:c r="AE263" t="n">
        <x:v>0</x:v>
      </x:c>
      <x:c r="AF263" t="n">
        <x:v>0.027939558029174805</x:v>
      </x:c>
      <x:c r="AG263" t="n">
        <x:f>_xlfn.XLOOKUP($A263,Games!$A$2:$A$18,Games!$B$2:$B$18,"Missing game",0)</x:f>
        <x:v>2025</x:v>
      </x:c>
      <x:c r="AH263" t="str">
        <x:f>_xlfn.XLOOKUP($A263,Games!$A$2:$A$18,Games!$C$2:$C$18,"Missing game",0)</x:f>
        <x:v>REG</x:v>
      </x:c>
      <x:c r="AI263" t="n">
        <x:f>_xlfn.XLOOKUP($A263,Games!$A$2:$A$18,Games!$D$2:$D$18,"Missing game",0)</x:f>
        <x:v>2</x:v>
      </x:c>
      <x:c r="AJ263" s="1" t="n">
        <x:f>_xlfn.XLOOKUP($A263,Games!$A$2:$A$18,Games!$E$2:$E$18,"Missing game",0)</x:f>
        <x:v>45914</x:v>
      </x:c>
      <x:c r="AK263" t="str">
        <x:f>_xlfn.XLOOKUP($A263,Games!$A$2:$A$18,Games!$F$2:$F$18,"Missing game",0)</x:f>
        <x:v>Sunday</x:v>
      </x:c>
      <x:c r="AL263" t="str">
        <x:f>_xlfn.XLOOKUP($A263,Games!$A$2:$A$18,Games!$G$2:$G$18,"Missing game",0)</x:f>
        <x:v>ATL</x:v>
      </x:c>
      <x:c r="AM263" t="n">
        <x:f>_xlfn.XLOOKUP($A263,Games!$A$2:$A$18,Games!$H$2:$H$18,"Missing game",0)</x:f>
        <x:v>22</x:v>
      </x:c>
      <x:c r="AN263" t="str">
        <x:f>_xlfn.XLOOKUP($A263,Games!$A$2:$A$18,Games!$I$2:$I$18,"Missing game",0)</x:f>
        <x:v>MIN</x:v>
      </x:c>
      <x:c r="AO263" t="n">
        <x:f>_xlfn.XLOOKUP($A263,Games!$A$2:$A$18,Games!$J$2:$J$18,"Missing game",0)</x:f>
        <x:v>6</x:v>
      </x:c>
      <x:c r="AP263" t="n">
        <x:f>_xlfn.XLOOKUP($A263,Games!$A$2:$A$18,Games!$K$2:$K$18,"Missing game",0)</x:f>
        <x:v>-16</x:v>
      </x:c>
      <x:c r="AQ263" t="n">
        <x:f>_xlfn.XLOOKUP($A263,Games!$A$2:$A$18,Games!$L$2:$L$18,"Missing game",0)</x:f>
        <x:v>28</x:v>
      </x:c>
      <x:c r="AR263" t="n">
        <x:f>_xlfn.XLOOKUP($A263,Games!$A$2:$A$18,Games!$M$2:$M$18,"Missing game",0)</x:f>
        <x:v>0</x:v>
      </x:c>
      <x:c r="AS263" t="str">
        <x:f>_xlfn.XLOOKUP($A263,Games!$A$2:$A$18,Games!$N$2:$N$18,"Missing game",0)</x:f>
        <x:v>dome</x:v>
      </x:c>
      <x:c r="AT263" t="str">
        <x:f>_xlfn.XLOOKUP($A263,Games!$A$2:$A$18,Games!$O$2:$O$18,"Missing game",0)</x:f>
        <x:v>sportturf</x:v>
      </x:c>
      <x:c r="AU263" t="str">
        <x:f>_xlfn.XLOOKUP($A263,Games!$A$2:$A$18,Games!$P$2:$P$18,"Missing game",0)</x:f>
      </x:c>
      <x:c r="AV263" t="str">
        <x:f>_xlfn.XLOOKUP($A263,Games!$A$2:$A$18,Games!$Q$2:$Q$18,"Missing game",0)</x:f>
      </x:c>
      <x:c r="AW263" t="str">
        <x:f>_xlfn.XLOOKUP($A263,Games!$A$2:$A$18,Games!$R$2:$R$18,"Missing game",0)</x:f>
        <x:v>U.S. Bank Stadium</x:v>
      </x:c>
    </x:row>
    <x:row r="264">
      <x:c r="A264" t="str">
        <x:v>2025_02_ATL_MIN</x:v>
      </x:c>
      <x:c r="B264" t="n">
        <x:v>2200</x:v>
      </x:c>
      <x:c r="C264" t="n">
        <x:v>3</x:v>
      </x:c>
      <x:c r="D264" t="str">
        <x:v>14:04</x:v>
      </x:c>
      <x:c r="E264" t="n">
        <x:v>1</x:v>
      </x:c>
      <x:c r="F264" t="n">
        <x:v>10</x:v>
      </x:c>
      <x:c r="G264" t="str">
        <x:v>ATL</x:v>
      </x:c>
      <x:c r="H264" t="str">
        <x:v>MIN</x:v>
      </x:c>
      <x:c r="I264" t="str">
        <x:v>ATL</x:v>
      </x:c>
      <x:c r="J264" t="n">
        <x:v>79</x:v>
      </x:c>
      <x:c r="K264" t="str">
        <x:v>(14:04) (Shotgun) 7-B.Robinson left tackle to ATL 30 for 9 yards (58-J.Greenard; 26-T.Jackson).</x:v>
      </x:c>
      <x:c r="L264" t="str">
        <x:v>run</x:v>
      </x:c>
      <x:c r="M264" t="n">
        <x:v>9</x:v>
      </x:c>
      <x:c r="N264" t="n">
        <x:v>1</x:v>
      </x:c>
      <x:c r="O264" t="n">
        <x:v>0</x:v>
      </x:c>
      <x:c r="P264"/>
      <x:c r="Q264"/>
      <x:c r="R264"/>
      <x:c r="S264"/>
      <x:c r="T264" t="str">
        <x:v>left</x:v>
      </x:c>
      <x:c r="U264" t="str">
        <x:v>tackle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/>
      <x:c r="AC264" t="n">
        <x:v>0</x:v>
      </x:c>
      <x:c r="AD264" t="n">
        <x:v>0.946149337105453</x:v>
      </x:c>
      <x:c r="AE264" t="n">
        <x:v>1</x:v>
      </x:c>
      <x:c r="AF264" t="n">
        <x:v>0.01493138074874878</x:v>
      </x:c>
      <x:c r="AG264" t="n">
        <x:f>_xlfn.XLOOKUP($A264,Games!$A$2:$A$18,Games!$B$2:$B$18,"Missing game",0)</x:f>
        <x:v>2025</x:v>
      </x:c>
      <x:c r="AH264" t="str">
        <x:f>_xlfn.XLOOKUP($A264,Games!$A$2:$A$18,Games!$C$2:$C$18,"Missing game",0)</x:f>
        <x:v>REG</x:v>
      </x:c>
      <x:c r="AI264" t="n">
        <x:f>_xlfn.XLOOKUP($A264,Games!$A$2:$A$18,Games!$D$2:$D$18,"Missing game",0)</x:f>
        <x:v>2</x:v>
      </x:c>
      <x:c r="AJ264" s="1" t="n">
        <x:f>_xlfn.XLOOKUP($A264,Games!$A$2:$A$18,Games!$E$2:$E$18,"Missing game",0)</x:f>
        <x:v>45914</x:v>
      </x:c>
      <x:c r="AK264" t="str">
        <x:f>_xlfn.XLOOKUP($A264,Games!$A$2:$A$18,Games!$F$2:$F$18,"Missing game",0)</x:f>
        <x:v>Sunday</x:v>
      </x:c>
      <x:c r="AL264" t="str">
        <x:f>_xlfn.XLOOKUP($A264,Games!$A$2:$A$18,Games!$G$2:$G$18,"Missing game",0)</x:f>
        <x:v>ATL</x:v>
      </x:c>
      <x:c r="AM264" t="n">
        <x:f>_xlfn.XLOOKUP($A264,Games!$A$2:$A$18,Games!$H$2:$H$18,"Missing game",0)</x:f>
        <x:v>22</x:v>
      </x:c>
      <x:c r="AN264" t="str">
        <x:f>_xlfn.XLOOKUP($A264,Games!$A$2:$A$18,Games!$I$2:$I$18,"Missing game",0)</x:f>
        <x:v>MIN</x:v>
      </x:c>
      <x:c r="AO264" t="n">
        <x:f>_xlfn.XLOOKUP($A264,Games!$A$2:$A$18,Games!$J$2:$J$18,"Missing game",0)</x:f>
        <x:v>6</x:v>
      </x:c>
      <x:c r="AP264" t="n">
        <x:f>_xlfn.XLOOKUP($A264,Games!$A$2:$A$18,Games!$K$2:$K$18,"Missing game",0)</x:f>
        <x:v>-16</x:v>
      </x:c>
      <x:c r="AQ264" t="n">
        <x:f>_xlfn.XLOOKUP($A264,Games!$A$2:$A$18,Games!$L$2:$L$18,"Missing game",0)</x:f>
        <x:v>28</x:v>
      </x:c>
      <x:c r="AR264" t="n">
        <x:f>_xlfn.XLOOKUP($A264,Games!$A$2:$A$18,Games!$M$2:$M$18,"Missing game",0)</x:f>
        <x:v>0</x:v>
      </x:c>
      <x:c r="AS264" t="str">
        <x:f>_xlfn.XLOOKUP($A264,Games!$A$2:$A$18,Games!$N$2:$N$18,"Missing game",0)</x:f>
        <x:v>dome</x:v>
      </x:c>
      <x:c r="AT264" t="str">
        <x:f>_xlfn.XLOOKUP($A264,Games!$A$2:$A$18,Games!$O$2:$O$18,"Missing game",0)</x:f>
        <x:v>sportturf</x:v>
      </x:c>
      <x:c r="AU264" t="str">
        <x:f>_xlfn.XLOOKUP($A264,Games!$A$2:$A$18,Games!$P$2:$P$18,"Missing game",0)</x:f>
      </x:c>
      <x:c r="AV264" t="str">
        <x:f>_xlfn.XLOOKUP($A264,Games!$A$2:$A$18,Games!$Q$2:$Q$18,"Missing game",0)</x:f>
      </x:c>
      <x:c r="AW264" t="str">
        <x:f>_xlfn.XLOOKUP($A264,Games!$A$2:$A$18,Games!$R$2:$R$18,"Missing game",0)</x:f>
        <x:v>U.S. Bank Stadium</x:v>
      </x:c>
    </x:row>
    <x:row r="265">
      <x:c r="A265" t="str">
        <x:v>2025_02_ATL_MIN</x:v>
      </x:c>
      <x:c r="B265" t="n">
        <x:v>2222</x:v>
      </x:c>
      <x:c r="C265" t="n">
        <x:v>3</x:v>
      </x:c>
      <x:c r="D265" t="str">
        <x:v>13:23</x:v>
      </x:c>
      <x:c r="E265" t="n">
        <x:v>2</x:v>
      </x:c>
      <x:c r="F265" t="n">
        <x:v>1</x:v>
      </x:c>
      <x:c r="G265" t="str">
        <x:v>ATL</x:v>
      </x:c>
      <x:c r="H265" t="str">
        <x:v>MIN</x:v>
      </x:c>
      <x:c r="I265" t="str">
        <x:v>ATL</x:v>
      </x:c>
      <x:c r="J265" t="n">
        <x:v>70</x:v>
      </x:c>
      <x:c r="K265" t="str">
        <x:v>(13:23) (Shotgun) 7-B.Robinson right guard to ATL 32 for 2 yards (61-J.Redmond; 15-D.Turner).</x:v>
      </x:c>
      <x:c r="L265" t="str">
        <x:v>run</x:v>
      </x:c>
      <x:c r="M265" t="n">
        <x:v>2</x:v>
      </x:c>
      <x:c r="N265" t="n">
        <x:v>1</x:v>
      </x:c>
      <x:c r="O265" t="n">
        <x:v>0</x:v>
      </x:c>
      <x:c r="P265"/>
      <x:c r="Q265"/>
      <x:c r="R265"/>
      <x:c r="S265"/>
      <x:c r="T265" t="str">
        <x:v>right</x:v>
      </x:c>
      <x:c r="U265" t="str">
        <x:v>guard</x:v>
      </x:c>
      <x:c r="V265" t="n">
        <x:v>0</x:v>
      </x:c>
      <x:c r="W265" t="n">
        <x:v>1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/>
      <x:c r="AC265" t="n">
        <x:v>0</x:v>
      </x:c>
      <x:c r="AD265" t="n">
        <x:v>-0.03562831785529852</x:v>
      </x:c>
      <x:c r="AE265" t="n">
        <x:v>0</x:v>
      </x:c>
      <x:c r="AF265" t="n">
        <x:v>-0.00016641616821289062</x:v>
      </x:c>
      <x:c r="AG265" t="n">
        <x:f>_xlfn.XLOOKUP($A265,Games!$A$2:$A$18,Games!$B$2:$B$18,"Missing game",0)</x:f>
        <x:v>2025</x:v>
      </x:c>
      <x:c r="AH265" t="str">
        <x:f>_xlfn.XLOOKUP($A265,Games!$A$2:$A$18,Games!$C$2:$C$18,"Missing game",0)</x:f>
        <x:v>REG</x:v>
      </x:c>
      <x:c r="AI265" t="n">
        <x:f>_xlfn.XLOOKUP($A265,Games!$A$2:$A$18,Games!$D$2:$D$18,"Missing game",0)</x:f>
        <x:v>2</x:v>
      </x:c>
      <x:c r="AJ265" s="1" t="n">
        <x:f>_xlfn.XLOOKUP($A265,Games!$A$2:$A$18,Games!$E$2:$E$18,"Missing game",0)</x:f>
        <x:v>45914</x:v>
      </x:c>
      <x:c r="AK265" t="str">
        <x:f>_xlfn.XLOOKUP($A265,Games!$A$2:$A$18,Games!$F$2:$F$18,"Missing game",0)</x:f>
        <x:v>Sunday</x:v>
      </x:c>
      <x:c r="AL265" t="str">
        <x:f>_xlfn.XLOOKUP($A265,Games!$A$2:$A$18,Games!$G$2:$G$18,"Missing game",0)</x:f>
        <x:v>ATL</x:v>
      </x:c>
      <x:c r="AM265" t="n">
        <x:f>_xlfn.XLOOKUP($A265,Games!$A$2:$A$18,Games!$H$2:$H$18,"Missing game",0)</x:f>
        <x:v>22</x:v>
      </x:c>
      <x:c r="AN265" t="str">
        <x:f>_xlfn.XLOOKUP($A265,Games!$A$2:$A$18,Games!$I$2:$I$18,"Missing game",0)</x:f>
        <x:v>MIN</x:v>
      </x:c>
      <x:c r="AO265" t="n">
        <x:f>_xlfn.XLOOKUP($A265,Games!$A$2:$A$18,Games!$J$2:$J$18,"Missing game",0)</x:f>
        <x:v>6</x:v>
      </x:c>
      <x:c r="AP265" t="n">
        <x:f>_xlfn.XLOOKUP($A265,Games!$A$2:$A$18,Games!$K$2:$K$18,"Missing game",0)</x:f>
        <x:v>-16</x:v>
      </x:c>
      <x:c r="AQ265" t="n">
        <x:f>_xlfn.XLOOKUP($A265,Games!$A$2:$A$18,Games!$L$2:$L$18,"Missing game",0)</x:f>
        <x:v>28</x:v>
      </x:c>
      <x:c r="AR265" t="n">
        <x:f>_xlfn.XLOOKUP($A265,Games!$A$2:$A$18,Games!$M$2:$M$18,"Missing game",0)</x:f>
        <x:v>0</x:v>
      </x:c>
      <x:c r="AS265" t="str">
        <x:f>_xlfn.XLOOKUP($A265,Games!$A$2:$A$18,Games!$N$2:$N$18,"Missing game",0)</x:f>
        <x:v>dome</x:v>
      </x:c>
      <x:c r="AT265" t="str">
        <x:f>_xlfn.XLOOKUP($A265,Games!$A$2:$A$18,Games!$O$2:$O$18,"Missing game",0)</x:f>
        <x:v>sportturf</x:v>
      </x:c>
      <x:c r="AU265" t="str">
        <x:f>_xlfn.XLOOKUP($A265,Games!$A$2:$A$18,Games!$P$2:$P$18,"Missing game",0)</x:f>
      </x:c>
      <x:c r="AV265" t="str">
        <x:f>_xlfn.XLOOKUP($A265,Games!$A$2:$A$18,Games!$Q$2:$Q$18,"Missing game",0)</x:f>
      </x:c>
      <x:c r="AW265" t="str">
        <x:f>_xlfn.XLOOKUP($A265,Games!$A$2:$A$18,Games!$R$2:$R$18,"Missing game",0)</x:f>
        <x:v>U.S. Bank Stadium</x:v>
      </x:c>
    </x:row>
    <x:row r="266">
      <x:c r="A266" t="str">
        <x:v>2025_02_ATL_MIN</x:v>
      </x:c>
      <x:c r="B266" t="n">
        <x:v>2244</x:v>
      </x:c>
      <x:c r="C266" t="n">
        <x:v>3</x:v>
      </x:c>
      <x:c r="D266" t="str">
        <x:v>12:42</x:v>
      </x:c>
      <x:c r="E266" t="n">
        <x:v>1</x:v>
      </x:c>
      <x:c r="F266" t="n">
        <x:v>10</x:v>
      </x:c>
      <x:c r="G266" t="str">
        <x:v>ATL</x:v>
      </x:c>
      <x:c r="H266" t="str">
        <x:v>MIN</x:v>
      </x:c>
      <x:c r="I266" t="str">
        <x:v>ATL</x:v>
      </x:c>
      <x:c r="J266" t="n">
        <x:v>68</x:v>
      </x:c>
      <x:c r="K266" t="str">
        <x:v>(12:42) (Shotgun) PENALTY on ATL-71-E.Wilkinson, False Start, 5 yards, enforced at ATL 32 - No Play.</x:v>
      </x:c>
      <x:c r="L266" t="str">
        <x:v>no_play</x:v>
      </x:c>
      <x:c r="M266" t="n">
        <x:v>0</x:v>
      </x:c>
      <x:c r="N266" t="n">
        <x:v>1</x:v>
      </x:c>
      <x:c r="O266" t="n">
        <x:v>0</x:v>
      </x:c>
      <x:c r="P266"/>
      <x:c r="Q266"/>
      <x:c r="R266"/>
      <x:c r="S266"/>
      <x:c r="T266"/>
      <x:c r="U266"/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1</x:v>
      </x:c>
      <x:c r="AB266" t="n">
        <x:v>5</x:v>
      </x:c>
      <x:c r="AC266" t="n">
        <x:v>0</x:v>
      </x:c>
      <x:c r="AD266" t="n">
        <x:v>-0.7184704751707613</x:v>
      </x:c>
      <x:c r="AE266" t="n">
        <x:v>0</x:v>
      </x:c>
      <x:c r="AF266" t="n">
        <x:v>-0.02744162082672119</x:v>
      </x:c>
      <x:c r="AG266" t="n">
        <x:f>_xlfn.XLOOKUP($A266,Games!$A$2:$A$18,Games!$B$2:$B$18,"Missing game",0)</x:f>
        <x:v>2025</x:v>
      </x:c>
      <x:c r="AH266" t="str">
        <x:f>_xlfn.XLOOKUP($A266,Games!$A$2:$A$18,Games!$C$2:$C$18,"Missing game",0)</x:f>
        <x:v>REG</x:v>
      </x:c>
      <x:c r="AI266" t="n">
        <x:f>_xlfn.XLOOKUP($A266,Games!$A$2:$A$18,Games!$D$2:$D$18,"Missing game",0)</x:f>
        <x:v>2</x:v>
      </x:c>
      <x:c r="AJ266" s="1" t="n">
        <x:f>_xlfn.XLOOKUP($A266,Games!$A$2:$A$18,Games!$E$2:$E$18,"Missing game",0)</x:f>
        <x:v>45914</x:v>
      </x:c>
      <x:c r="AK266" t="str">
        <x:f>_xlfn.XLOOKUP($A266,Games!$A$2:$A$18,Games!$F$2:$F$18,"Missing game",0)</x:f>
        <x:v>Sunday</x:v>
      </x:c>
      <x:c r="AL266" t="str">
        <x:f>_xlfn.XLOOKUP($A266,Games!$A$2:$A$18,Games!$G$2:$G$18,"Missing game",0)</x:f>
        <x:v>ATL</x:v>
      </x:c>
      <x:c r="AM266" t="n">
        <x:f>_xlfn.XLOOKUP($A266,Games!$A$2:$A$18,Games!$H$2:$H$18,"Missing game",0)</x:f>
        <x:v>22</x:v>
      </x:c>
      <x:c r="AN266" t="str">
        <x:f>_xlfn.XLOOKUP($A266,Games!$A$2:$A$18,Games!$I$2:$I$18,"Missing game",0)</x:f>
        <x:v>MIN</x:v>
      </x:c>
      <x:c r="AO266" t="n">
        <x:f>_xlfn.XLOOKUP($A266,Games!$A$2:$A$18,Games!$J$2:$J$18,"Missing game",0)</x:f>
        <x:v>6</x:v>
      </x:c>
      <x:c r="AP266" t="n">
        <x:f>_xlfn.XLOOKUP($A266,Games!$A$2:$A$18,Games!$K$2:$K$18,"Missing game",0)</x:f>
        <x:v>-16</x:v>
      </x:c>
      <x:c r="AQ266" t="n">
        <x:f>_xlfn.XLOOKUP($A266,Games!$A$2:$A$18,Games!$L$2:$L$18,"Missing game",0)</x:f>
        <x:v>28</x:v>
      </x:c>
      <x:c r="AR266" t="n">
        <x:f>_xlfn.XLOOKUP($A266,Games!$A$2:$A$18,Games!$M$2:$M$18,"Missing game",0)</x:f>
        <x:v>0</x:v>
      </x:c>
      <x:c r="AS266" t="str">
        <x:f>_xlfn.XLOOKUP($A266,Games!$A$2:$A$18,Games!$N$2:$N$18,"Missing game",0)</x:f>
        <x:v>dome</x:v>
      </x:c>
      <x:c r="AT266" t="str">
        <x:f>_xlfn.XLOOKUP($A266,Games!$A$2:$A$18,Games!$O$2:$O$18,"Missing game",0)</x:f>
        <x:v>sportturf</x:v>
      </x:c>
      <x:c r="AU266" t="str">
        <x:f>_xlfn.XLOOKUP($A266,Games!$A$2:$A$18,Games!$P$2:$P$18,"Missing game",0)</x:f>
      </x:c>
      <x:c r="AV266" t="str">
        <x:f>_xlfn.XLOOKUP($A266,Games!$A$2:$A$18,Games!$Q$2:$Q$18,"Missing game",0)</x:f>
      </x:c>
      <x:c r="AW266" t="str">
        <x:f>_xlfn.XLOOKUP($A266,Games!$A$2:$A$18,Games!$R$2:$R$18,"Missing game",0)</x:f>
        <x:v>U.S. Bank Stadium</x:v>
      </x:c>
    </x:row>
    <x:row r="267">
      <x:c r="A267" t="str">
        <x:v>2025_02_ATL_MIN</x:v>
      </x:c>
      <x:c r="B267" t="n">
        <x:v>2268</x:v>
      </x:c>
      <x:c r="C267" t="n">
        <x:v>3</x:v>
      </x:c>
      <x:c r="D267" t="str">
        <x:v>12:20</x:v>
      </x:c>
      <x:c r="E267" t="n">
        <x:v>1</x:v>
      </x:c>
      <x:c r="F267" t="n">
        <x:v>15</x:v>
      </x:c>
      <x:c r="G267" t="str">
        <x:v>ATL</x:v>
      </x:c>
      <x:c r="H267" t="str">
        <x:v>MIN</x:v>
      </x:c>
      <x:c r="I267" t="str">
        <x:v>ATL</x:v>
      </x:c>
      <x:c r="J267" t="n">
        <x:v>73</x:v>
      </x:c>
      <x:c r="K267" t="str">
        <x:v>(12:20) (Shotgun) 9-M.Penix pass incomplete short right to 5-D.London.</x:v>
      </x:c>
      <x:c r="L267" t="str">
        <x:v>pass</x:v>
      </x:c>
      <x:c r="M267" t="n">
        <x:v>0</x:v>
      </x:c>
      <x:c r="N267" t="n">
        <x:v>1</x:v>
      </x:c>
      <x:c r="O267" t="n">
        <x:v>0</x:v>
      </x:c>
      <x:c r="P267" t="str">
        <x:v>short</x:v>
      </x:c>
      <x:c r="Q267" t="str">
        <x:v>right</x:v>
      </x:c>
      <x:c r="R267" t="n">
        <x:v>9</x:v>
      </x:c>
      <x:c r="S267"/>
      <x:c r="T267"/>
      <x:c r="U267"/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/>
      <x:c r="AC267" t="n">
        <x:v>0</x:v>
      </x:c>
      <x:c r="AD267" t="n">
        <x:v>-0.6931274659000337</x:v>
      </x:c>
      <x:c r="AE267" t="n">
        <x:v>0</x:v>
      </x:c>
      <x:c r="AF267" t="n">
        <x:v>-0.018036305904388428</x:v>
      </x:c>
      <x:c r="AG267" t="n">
        <x:f>_xlfn.XLOOKUP($A267,Games!$A$2:$A$18,Games!$B$2:$B$18,"Missing game",0)</x:f>
        <x:v>2025</x:v>
      </x:c>
      <x:c r="AH267" t="str">
        <x:f>_xlfn.XLOOKUP($A267,Games!$A$2:$A$18,Games!$C$2:$C$18,"Missing game",0)</x:f>
        <x:v>REG</x:v>
      </x:c>
      <x:c r="AI267" t="n">
        <x:f>_xlfn.XLOOKUP($A267,Games!$A$2:$A$18,Games!$D$2:$D$18,"Missing game",0)</x:f>
        <x:v>2</x:v>
      </x:c>
      <x:c r="AJ267" s="1" t="n">
        <x:f>_xlfn.XLOOKUP($A267,Games!$A$2:$A$18,Games!$E$2:$E$18,"Missing game",0)</x:f>
        <x:v>45914</x:v>
      </x:c>
      <x:c r="AK267" t="str">
        <x:f>_xlfn.XLOOKUP($A267,Games!$A$2:$A$18,Games!$F$2:$F$18,"Missing game",0)</x:f>
        <x:v>Sunday</x:v>
      </x:c>
      <x:c r="AL267" t="str">
        <x:f>_xlfn.XLOOKUP($A267,Games!$A$2:$A$18,Games!$G$2:$G$18,"Missing game",0)</x:f>
        <x:v>ATL</x:v>
      </x:c>
      <x:c r="AM267" t="n">
        <x:f>_xlfn.XLOOKUP($A267,Games!$A$2:$A$18,Games!$H$2:$H$18,"Missing game",0)</x:f>
        <x:v>22</x:v>
      </x:c>
      <x:c r="AN267" t="str">
        <x:f>_xlfn.XLOOKUP($A267,Games!$A$2:$A$18,Games!$I$2:$I$18,"Missing game",0)</x:f>
        <x:v>MIN</x:v>
      </x:c>
      <x:c r="AO267" t="n">
        <x:f>_xlfn.XLOOKUP($A267,Games!$A$2:$A$18,Games!$J$2:$J$18,"Missing game",0)</x:f>
        <x:v>6</x:v>
      </x:c>
      <x:c r="AP267" t="n">
        <x:f>_xlfn.XLOOKUP($A267,Games!$A$2:$A$18,Games!$K$2:$K$18,"Missing game",0)</x:f>
        <x:v>-16</x:v>
      </x:c>
      <x:c r="AQ267" t="n">
        <x:f>_xlfn.XLOOKUP($A267,Games!$A$2:$A$18,Games!$L$2:$L$18,"Missing game",0)</x:f>
        <x:v>28</x:v>
      </x:c>
      <x:c r="AR267" t="n">
        <x:f>_xlfn.XLOOKUP($A267,Games!$A$2:$A$18,Games!$M$2:$M$18,"Missing game",0)</x:f>
        <x:v>0</x:v>
      </x:c>
      <x:c r="AS267" t="str">
        <x:f>_xlfn.XLOOKUP($A267,Games!$A$2:$A$18,Games!$N$2:$N$18,"Missing game",0)</x:f>
        <x:v>dome</x:v>
      </x:c>
      <x:c r="AT267" t="str">
        <x:f>_xlfn.XLOOKUP($A267,Games!$A$2:$A$18,Games!$O$2:$O$18,"Missing game",0)</x:f>
        <x:v>sportturf</x:v>
      </x:c>
      <x:c r="AU267" t="str">
        <x:f>_xlfn.XLOOKUP($A267,Games!$A$2:$A$18,Games!$P$2:$P$18,"Missing game",0)</x:f>
      </x:c>
      <x:c r="AV267" t="str">
        <x:f>_xlfn.XLOOKUP($A267,Games!$A$2:$A$18,Games!$Q$2:$Q$18,"Missing game",0)</x:f>
      </x:c>
      <x:c r="AW267" t="str">
        <x:f>_xlfn.XLOOKUP($A267,Games!$A$2:$A$18,Games!$R$2:$R$18,"Missing game",0)</x:f>
        <x:v>U.S. Bank Stadium</x:v>
      </x:c>
    </x:row>
    <x:row r="268">
      <x:c r="A268" t="str">
        <x:v>2025_02_ATL_MIN</x:v>
      </x:c>
      <x:c r="B268" t="n">
        <x:v>2291</x:v>
      </x:c>
      <x:c r="C268" t="n">
        <x:v>3</x:v>
      </x:c>
      <x:c r="D268" t="str">
        <x:v>12:18</x:v>
      </x:c>
      <x:c r="E268" t="n">
        <x:v>2</x:v>
      </x:c>
      <x:c r="F268" t="n">
        <x:v>15</x:v>
      </x:c>
      <x:c r="G268" t="str">
        <x:v>ATL</x:v>
      </x:c>
      <x:c r="H268" t="str">
        <x:v>MIN</x:v>
      </x:c>
      <x:c r="I268" t="str">
        <x:v>ATL</x:v>
      </x:c>
      <x:c r="J268" t="n">
        <x:v>73</x:v>
      </x:c>
      <x:c r="K268" t="str">
        <x:v>(12:18) (No Huddle, Shotgun) Direct snap to 7-B.Robinson. 7-B.Robinson up the middle to ATL 38 for 11 yards (24-J.Ward).</x:v>
      </x:c>
      <x:c r="L268" t="str">
        <x:v>run</x:v>
      </x:c>
      <x:c r="M268" t="n">
        <x:v>11</x:v>
      </x:c>
      <x:c r="N268" t="n">
        <x:v>1</x:v>
      </x:c>
      <x:c r="O268" t="n">
        <x:v>1</x:v>
      </x:c>
      <x:c r="P268"/>
      <x:c r="Q268"/>
      <x:c r="R268"/>
      <x:c r="S268"/>
      <x:c r="T268" t="str">
        <x:v>middle</x:v>
      </x:c>
      <x:c r="U268"/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/>
      <x:c r="AC268" t="n">
        <x:v>0</x:v>
      </x:c>
      <x:c r="AD268" t="n">
        <x:v>0.6214311355724931</x:v>
      </x:c>
      <x:c r="AE268" t="n">
        <x:v>1</x:v>
      </x:c>
      <x:c r="AF268" t="n">
        <x:v>0.028796672821044922</x:v>
      </x:c>
      <x:c r="AG268" t="n">
        <x:f>_xlfn.XLOOKUP($A268,Games!$A$2:$A$18,Games!$B$2:$B$18,"Missing game",0)</x:f>
        <x:v>2025</x:v>
      </x:c>
      <x:c r="AH268" t="str">
        <x:f>_xlfn.XLOOKUP($A268,Games!$A$2:$A$18,Games!$C$2:$C$18,"Missing game",0)</x:f>
        <x:v>REG</x:v>
      </x:c>
      <x:c r="AI268" t="n">
        <x:f>_xlfn.XLOOKUP($A268,Games!$A$2:$A$18,Games!$D$2:$D$18,"Missing game",0)</x:f>
        <x:v>2</x:v>
      </x:c>
      <x:c r="AJ268" s="1" t="n">
        <x:f>_xlfn.XLOOKUP($A268,Games!$A$2:$A$18,Games!$E$2:$E$18,"Missing game",0)</x:f>
        <x:v>45914</x:v>
      </x:c>
      <x:c r="AK268" t="str">
        <x:f>_xlfn.XLOOKUP($A268,Games!$A$2:$A$18,Games!$F$2:$F$18,"Missing game",0)</x:f>
        <x:v>Sunday</x:v>
      </x:c>
      <x:c r="AL268" t="str">
        <x:f>_xlfn.XLOOKUP($A268,Games!$A$2:$A$18,Games!$G$2:$G$18,"Missing game",0)</x:f>
        <x:v>ATL</x:v>
      </x:c>
      <x:c r="AM268" t="n">
        <x:f>_xlfn.XLOOKUP($A268,Games!$A$2:$A$18,Games!$H$2:$H$18,"Missing game",0)</x:f>
        <x:v>22</x:v>
      </x:c>
      <x:c r="AN268" t="str">
        <x:f>_xlfn.XLOOKUP($A268,Games!$A$2:$A$18,Games!$I$2:$I$18,"Missing game",0)</x:f>
        <x:v>MIN</x:v>
      </x:c>
      <x:c r="AO268" t="n">
        <x:f>_xlfn.XLOOKUP($A268,Games!$A$2:$A$18,Games!$J$2:$J$18,"Missing game",0)</x:f>
        <x:v>6</x:v>
      </x:c>
      <x:c r="AP268" t="n">
        <x:f>_xlfn.XLOOKUP($A268,Games!$A$2:$A$18,Games!$K$2:$K$18,"Missing game",0)</x:f>
        <x:v>-16</x:v>
      </x:c>
      <x:c r="AQ268" t="n">
        <x:f>_xlfn.XLOOKUP($A268,Games!$A$2:$A$18,Games!$L$2:$L$18,"Missing game",0)</x:f>
        <x:v>28</x:v>
      </x:c>
      <x:c r="AR268" t="n">
        <x:f>_xlfn.XLOOKUP($A268,Games!$A$2:$A$18,Games!$M$2:$M$18,"Missing game",0)</x:f>
        <x:v>0</x:v>
      </x:c>
      <x:c r="AS268" t="str">
        <x:f>_xlfn.XLOOKUP($A268,Games!$A$2:$A$18,Games!$N$2:$N$18,"Missing game",0)</x:f>
        <x:v>dome</x:v>
      </x:c>
      <x:c r="AT268" t="str">
        <x:f>_xlfn.XLOOKUP($A268,Games!$A$2:$A$18,Games!$O$2:$O$18,"Missing game",0)</x:f>
        <x:v>sportturf</x:v>
      </x:c>
      <x:c r="AU268" t="str">
        <x:f>_xlfn.XLOOKUP($A268,Games!$A$2:$A$18,Games!$P$2:$P$18,"Missing game",0)</x:f>
      </x:c>
      <x:c r="AV268" t="str">
        <x:f>_xlfn.XLOOKUP($A268,Games!$A$2:$A$18,Games!$Q$2:$Q$18,"Missing game",0)</x:f>
      </x:c>
      <x:c r="AW268" t="str">
        <x:f>_xlfn.XLOOKUP($A268,Games!$A$2:$A$18,Games!$R$2:$R$18,"Missing game",0)</x:f>
        <x:v>U.S. Bank Stadium</x:v>
      </x:c>
    </x:row>
    <x:row r="269">
      <x:c r="A269" t="str">
        <x:v>2025_02_ATL_MIN</x:v>
      </x:c>
      <x:c r="B269" t="n">
        <x:v>2315</x:v>
      </x:c>
      <x:c r="C269" t="n">
        <x:v>3</x:v>
      </x:c>
      <x:c r="D269" t="str">
        <x:v>11:42</x:v>
      </x:c>
      <x:c r="E269" t="n">
        <x:v>3</x:v>
      </x:c>
      <x:c r="F269" t="n">
        <x:v>4</x:v>
      </x:c>
      <x:c r="G269" t="str">
        <x:v>ATL</x:v>
      </x:c>
      <x:c r="H269" t="str">
        <x:v>MIN</x:v>
      </x:c>
      <x:c r="I269" t="str">
        <x:v>ATL</x:v>
      </x:c>
      <x:c r="J269" t="n">
        <x:v>62</x:v>
      </x:c>
      <x:c r="K269" t="str">
        <x:v>(11:42) (No Huddle, Shotgun) 9-M.Penix pass short left to 1-D.Mooney to ATL 49 for 11 yards (7-B.Murphy).</x:v>
      </x:c>
      <x:c r="L269" t="str">
        <x:v>pass</x:v>
      </x:c>
      <x:c r="M269" t="n">
        <x:v>11</x:v>
      </x:c>
      <x:c r="N269" t="n">
        <x:v>1</x:v>
      </x:c>
      <x:c r="O269" t="n">
        <x:v>1</x:v>
      </x:c>
      <x:c r="P269" t="str">
        <x:v>short</x:v>
      </x:c>
      <x:c r="Q269" t="str">
        <x:v>left</x:v>
      </x:c>
      <x:c r="R269" t="n">
        <x:v>11</x:v>
      </x:c>
      <x:c r="S269" t="n">
        <x:v>0</x:v>
      </x:c>
      <x:c r="T269"/>
      <x:c r="U269"/>
      <x:c r="V269" t="n">
        <x:v>1</x:v>
      </x:c>
      <x:c r="W269" t="n">
        <x:v>1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/>
      <x:c r="AC269" t="n">
        <x:v>0</x:v>
      </x:c>
      <x:c r="AD269" t="n">
        <x:v>1.8026110285427421</x:v>
      </x:c>
      <x:c r="AE269" t="n">
        <x:v>1</x:v>
      </x:c>
      <x:c r="AF269" t="n">
        <x:v>0.08037936687469482</x:v>
      </x:c>
      <x:c r="AG269" t="n">
        <x:f>_xlfn.XLOOKUP($A269,Games!$A$2:$A$18,Games!$B$2:$B$18,"Missing game",0)</x:f>
        <x:v>2025</x:v>
      </x:c>
      <x:c r="AH269" t="str">
        <x:f>_xlfn.XLOOKUP($A269,Games!$A$2:$A$18,Games!$C$2:$C$18,"Missing game",0)</x:f>
        <x:v>REG</x:v>
      </x:c>
      <x:c r="AI269" t="n">
        <x:f>_xlfn.XLOOKUP($A269,Games!$A$2:$A$18,Games!$D$2:$D$18,"Missing game",0)</x:f>
        <x:v>2</x:v>
      </x:c>
      <x:c r="AJ269" s="1" t="n">
        <x:f>_xlfn.XLOOKUP($A269,Games!$A$2:$A$18,Games!$E$2:$E$18,"Missing game",0)</x:f>
        <x:v>45914</x:v>
      </x:c>
      <x:c r="AK269" t="str">
        <x:f>_xlfn.XLOOKUP($A269,Games!$A$2:$A$18,Games!$F$2:$F$18,"Missing game",0)</x:f>
        <x:v>Sunday</x:v>
      </x:c>
      <x:c r="AL269" t="str">
        <x:f>_xlfn.XLOOKUP($A269,Games!$A$2:$A$18,Games!$G$2:$G$18,"Missing game",0)</x:f>
        <x:v>ATL</x:v>
      </x:c>
      <x:c r="AM269" t="n">
        <x:f>_xlfn.XLOOKUP($A269,Games!$A$2:$A$18,Games!$H$2:$H$18,"Missing game",0)</x:f>
        <x:v>22</x:v>
      </x:c>
      <x:c r="AN269" t="str">
        <x:f>_xlfn.XLOOKUP($A269,Games!$A$2:$A$18,Games!$I$2:$I$18,"Missing game",0)</x:f>
        <x:v>MIN</x:v>
      </x:c>
      <x:c r="AO269" t="n">
        <x:f>_xlfn.XLOOKUP($A269,Games!$A$2:$A$18,Games!$J$2:$J$18,"Missing game",0)</x:f>
        <x:v>6</x:v>
      </x:c>
      <x:c r="AP269" t="n">
        <x:f>_xlfn.XLOOKUP($A269,Games!$A$2:$A$18,Games!$K$2:$K$18,"Missing game",0)</x:f>
        <x:v>-16</x:v>
      </x:c>
      <x:c r="AQ269" t="n">
        <x:f>_xlfn.XLOOKUP($A269,Games!$A$2:$A$18,Games!$L$2:$L$18,"Missing game",0)</x:f>
        <x:v>28</x:v>
      </x:c>
      <x:c r="AR269" t="n">
        <x:f>_xlfn.XLOOKUP($A269,Games!$A$2:$A$18,Games!$M$2:$M$18,"Missing game",0)</x:f>
        <x:v>0</x:v>
      </x:c>
      <x:c r="AS269" t="str">
        <x:f>_xlfn.XLOOKUP($A269,Games!$A$2:$A$18,Games!$N$2:$N$18,"Missing game",0)</x:f>
        <x:v>dome</x:v>
      </x:c>
      <x:c r="AT269" t="str">
        <x:f>_xlfn.XLOOKUP($A269,Games!$A$2:$A$18,Games!$O$2:$O$18,"Missing game",0)</x:f>
        <x:v>sportturf</x:v>
      </x:c>
      <x:c r="AU269" t="str">
        <x:f>_xlfn.XLOOKUP($A269,Games!$A$2:$A$18,Games!$P$2:$P$18,"Missing game",0)</x:f>
      </x:c>
      <x:c r="AV269" t="str">
        <x:f>_xlfn.XLOOKUP($A269,Games!$A$2:$A$18,Games!$Q$2:$Q$18,"Missing game",0)</x:f>
      </x:c>
      <x:c r="AW269" t="str">
        <x:f>_xlfn.XLOOKUP($A269,Games!$A$2:$A$18,Games!$R$2:$R$18,"Missing game",0)</x:f>
        <x:v>U.S. Bank Stadium</x:v>
      </x:c>
    </x:row>
    <x:row r="270">
      <x:c r="A270" t="str">
        <x:v>2025_02_ATL_MIN</x:v>
      </x:c>
      <x:c r="B270" t="n">
        <x:v>2340</x:v>
      </x:c>
      <x:c r="C270" t="n">
        <x:v>3</x:v>
      </x:c>
      <x:c r="D270" t="str">
        <x:v>11:04</x:v>
      </x:c>
      <x:c r="E270" t="n">
        <x:v>1</x:v>
      </x:c>
      <x:c r="F270" t="n">
        <x:v>10</x:v>
      </x:c>
      <x:c r="G270" t="str">
        <x:v>ATL</x:v>
      </x:c>
      <x:c r="H270" t="str">
        <x:v>MIN</x:v>
      </x:c>
      <x:c r="I270" t="str">
        <x:v>ATL</x:v>
      </x:c>
      <x:c r="J270" t="n">
        <x:v>51</x:v>
      </x:c>
      <x:c r="K270" t="str">
        <x:v>(11:04) (Shotgun) 25-T.Allgeier left end to ATL 48 for -1 yards (61-J.Redmond, 90-T.Ingram-Dawkins).</x:v>
      </x:c>
      <x:c r="L270" t="str">
        <x:v>run</x:v>
      </x:c>
      <x:c r="M270" t="n">
        <x:v>-1</x:v>
      </x:c>
      <x:c r="N270" t="n">
        <x:v>1</x:v>
      </x:c>
      <x:c r="O270" t="n">
        <x:v>0</x:v>
      </x:c>
      <x:c r="P270"/>
      <x:c r="Q270"/>
      <x:c r="R270"/>
      <x:c r="S270"/>
      <x:c r="T270" t="str">
        <x:v>left</x:v>
      </x:c>
      <x:c r="U270" t="str">
        <x:v>end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/>
      <x:c r="AC270" t="n">
        <x:v>0</x:v>
      </x:c>
      <x:c r="AD270" t="n">
        <x:v>-0.8276074740570039</x:v>
      </x:c>
      <x:c r="AE270" t="n">
        <x:v>0</x:v>
      </x:c>
      <x:c r="AF270" t="n">
        <x:v>-0.02836078405380249</x:v>
      </x:c>
      <x:c r="AG270" t="n">
        <x:f>_xlfn.XLOOKUP($A270,Games!$A$2:$A$18,Games!$B$2:$B$18,"Missing game",0)</x:f>
        <x:v>2025</x:v>
      </x:c>
      <x:c r="AH270" t="str">
        <x:f>_xlfn.XLOOKUP($A270,Games!$A$2:$A$18,Games!$C$2:$C$18,"Missing game",0)</x:f>
        <x:v>REG</x:v>
      </x:c>
      <x:c r="AI270" t="n">
        <x:f>_xlfn.XLOOKUP($A270,Games!$A$2:$A$18,Games!$D$2:$D$18,"Missing game",0)</x:f>
        <x:v>2</x:v>
      </x:c>
      <x:c r="AJ270" s="1" t="n">
        <x:f>_xlfn.XLOOKUP($A270,Games!$A$2:$A$18,Games!$E$2:$E$18,"Missing game",0)</x:f>
        <x:v>45914</x:v>
      </x:c>
      <x:c r="AK270" t="str">
        <x:f>_xlfn.XLOOKUP($A270,Games!$A$2:$A$18,Games!$F$2:$F$18,"Missing game",0)</x:f>
        <x:v>Sunday</x:v>
      </x:c>
      <x:c r="AL270" t="str">
        <x:f>_xlfn.XLOOKUP($A270,Games!$A$2:$A$18,Games!$G$2:$G$18,"Missing game",0)</x:f>
        <x:v>ATL</x:v>
      </x:c>
      <x:c r="AM270" t="n">
        <x:f>_xlfn.XLOOKUP($A270,Games!$A$2:$A$18,Games!$H$2:$H$18,"Missing game",0)</x:f>
        <x:v>22</x:v>
      </x:c>
      <x:c r="AN270" t="str">
        <x:f>_xlfn.XLOOKUP($A270,Games!$A$2:$A$18,Games!$I$2:$I$18,"Missing game",0)</x:f>
        <x:v>MIN</x:v>
      </x:c>
      <x:c r="AO270" t="n">
        <x:f>_xlfn.XLOOKUP($A270,Games!$A$2:$A$18,Games!$J$2:$J$18,"Missing game",0)</x:f>
        <x:v>6</x:v>
      </x:c>
      <x:c r="AP270" t="n">
        <x:f>_xlfn.XLOOKUP($A270,Games!$A$2:$A$18,Games!$K$2:$K$18,"Missing game",0)</x:f>
        <x:v>-16</x:v>
      </x:c>
      <x:c r="AQ270" t="n">
        <x:f>_xlfn.XLOOKUP($A270,Games!$A$2:$A$18,Games!$L$2:$L$18,"Missing game",0)</x:f>
        <x:v>28</x:v>
      </x:c>
      <x:c r="AR270" t="n">
        <x:f>_xlfn.XLOOKUP($A270,Games!$A$2:$A$18,Games!$M$2:$M$18,"Missing game",0)</x:f>
        <x:v>0</x:v>
      </x:c>
      <x:c r="AS270" t="str">
        <x:f>_xlfn.XLOOKUP($A270,Games!$A$2:$A$18,Games!$N$2:$N$18,"Missing game",0)</x:f>
        <x:v>dome</x:v>
      </x:c>
      <x:c r="AT270" t="str">
        <x:f>_xlfn.XLOOKUP($A270,Games!$A$2:$A$18,Games!$O$2:$O$18,"Missing game",0)</x:f>
        <x:v>sportturf</x:v>
      </x:c>
      <x:c r="AU270" t="str">
        <x:f>_xlfn.XLOOKUP($A270,Games!$A$2:$A$18,Games!$P$2:$P$18,"Missing game",0)</x:f>
      </x:c>
      <x:c r="AV270" t="str">
        <x:f>_xlfn.XLOOKUP($A270,Games!$A$2:$A$18,Games!$Q$2:$Q$18,"Missing game",0)</x:f>
      </x:c>
      <x:c r="AW270" t="str">
        <x:f>_xlfn.XLOOKUP($A270,Games!$A$2:$A$18,Games!$R$2:$R$18,"Missing game",0)</x:f>
        <x:v>U.S. Bank Stadium</x:v>
      </x:c>
    </x:row>
    <x:row r="271">
      <x:c r="A271" t="str">
        <x:v>2025_02_ATL_MIN</x:v>
      </x:c>
      <x:c r="B271" t="n">
        <x:v>2362</x:v>
      </x:c>
      <x:c r="C271" t="n">
        <x:v>3</x:v>
      </x:c>
      <x:c r="D271" t="str">
        <x:v>10:21</x:v>
      </x:c>
      <x:c r="E271" t="n">
        <x:v>2</x:v>
      </x:c>
      <x:c r="F271" t="n">
        <x:v>11</x:v>
      </x:c>
      <x:c r="G271" t="str">
        <x:v>ATL</x:v>
      </x:c>
      <x:c r="H271" t="str">
        <x:v>MIN</x:v>
      </x:c>
      <x:c r="I271" t="str">
        <x:v>ATL</x:v>
      </x:c>
      <x:c r="J271" t="n">
        <x:v>52</x:v>
      </x:c>
      <x:c r="K271" t="str">
        <x:v>(10:21) (Shotgun) 9-M.Penix pass short right to 1-D.Mooney to MIN 43 for 9 yards (7-B.Murphy).</x:v>
      </x:c>
      <x:c r="L271" t="str">
        <x:v>pass</x:v>
      </x:c>
      <x:c r="M271" t="n">
        <x:v>9</x:v>
      </x:c>
      <x:c r="N271" t="n">
        <x:v>1</x:v>
      </x:c>
      <x:c r="O271" t="n">
        <x:v>0</x:v>
      </x:c>
      <x:c r="P271" t="str">
        <x:v>short</x:v>
      </x:c>
      <x:c r="Q271" t="str">
        <x:v>right</x:v>
      </x:c>
      <x:c r="R271" t="n">
        <x:v>4</x:v>
      </x:c>
      <x:c r="S271" t="n">
        <x:v>5</x:v>
      </x:c>
      <x:c r="T271"/>
      <x:c r="U271"/>
      <x:c r="V271" t="n">
        <x:v>1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/>
      <x:c r="AC271" t="n">
        <x:v>0</x:v>
      </x:c>
      <x:c r="AD271" t="n">
        <x:v>0.4840818380471319</x:v>
      </x:c>
      <x:c r="AE271" t="n">
        <x:v>1</x:v>
      </x:c>
      <x:c r="AF271" t="n">
        <x:v>0.0042893290519714355</x:v>
      </x:c>
      <x:c r="AG271" t="n">
        <x:f>_xlfn.XLOOKUP($A271,Games!$A$2:$A$18,Games!$B$2:$B$18,"Missing game",0)</x:f>
        <x:v>2025</x:v>
      </x:c>
      <x:c r="AH271" t="str">
        <x:f>_xlfn.XLOOKUP($A271,Games!$A$2:$A$18,Games!$C$2:$C$18,"Missing game",0)</x:f>
        <x:v>REG</x:v>
      </x:c>
      <x:c r="AI271" t="n">
        <x:f>_xlfn.XLOOKUP($A271,Games!$A$2:$A$18,Games!$D$2:$D$18,"Missing game",0)</x:f>
        <x:v>2</x:v>
      </x:c>
      <x:c r="AJ271" s="1" t="n">
        <x:f>_xlfn.XLOOKUP($A271,Games!$A$2:$A$18,Games!$E$2:$E$18,"Missing game",0)</x:f>
        <x:v>45914</x:v>
      </x:c>
      <x:c r="AK271" t="str">
        <x:f>_xlfn.XLOOKUP($A271,Games!$A$2:$A$18,Games!$F$2:$F$18,"Missing game",0)</x:f>
        <x:v>Sunday</x:v>
      </x:c>
      <x:c r="AL271" t="str">
        <x:f>_xlfn.XLOOKUP($A271,Games!$A$2:$A$18,Games!$G$2:$G$18,"Missing game",0)</x:f>
        <x:v>ATL</x:v>
      </x:c>
      <x:c r="AM271" t="n">
        <x:f>_xlfn.XLOOKUP($A271,Games!$A$2:$A$18,Games!$H$2:$H$18,"Missing game",0)</x:f>
        <x:v>22</x:v>
      </x:c>
      <x:c r="AN271" t="str">
        <x:f>_xlfn.XLOOKUP($A271,Games!$A$2:$A$18,Games!$I$2:$I$18,"Missing game",0)</x:f>
        <x:v>MIN</x:v>
      </x:c>
      <x:c r="AO271" t="n">
        <x:f>_xlfn.XLOOKUP($A271,Games!$A$2:$A$18,Games!$J$2:$J$18,"Missing game",0)</x:f>
        <x:v>6</x:v>
      </x:c>
      <x:c r="AP271" t="n">
        <x:f>_xlfn.XLOOKUP($A271,Games!$A$2:$A$18,Games!$K$2:$K$18,"Missing game",0)</x:f>
        <x:v>-16</x:v>
      </x:c>
      <x:c r="AQ271" t="n">
        <x:f>_xlfn.XLOOKUP($A271,Games!$A$2:$A$18,Games!$L$2:$L$18,"Missing game",0)</x:f>
        <x:v>28</x:v>
      </x:c>
      <x:c r="AR271" t="n">
        <x:f>_xlfn.XLOOKUP($A271,Games!$A$2:$A$18,Games!$M$2:$M$18,"Missing game",0)</x:f>
        <x:v>0</x:v>
      </x:c>
      <x:c r="AS271" t="str">
        <x:f>_xlfn.XLOOKUP($A271,Games!$A$2:$A$18,Games!$N$2:$N$18,"Missing game",0)</x:f>
        <x:v>dome</x:v>
      </x:c>
      <x:c r="AT271" t="str">
        <x:f>_xlfn.XLOOKUP($A271,Games!$A$2:$A$18,Games!$O$2:$O$18,"Missing game",0)</x:f>
        <x:v>sportturf</x:v>
      </x:c>
      <x:c r="AU271" t="str">
        <x:f>_xlfn.XLOOKUP($A271,Games!$A$2:$A$18,Games!$P$2:$P$18,"Missing game",0)</x:f>
      </x:c>
      <x:c r="AV271" t="str">
        <x:f>_xlfn.XLOOKUP($A271,Games!$A$2:$A$18,Games!$Q$2:$Q$18,"Missing game",0)</x:f>
      </x:c>
      <x:c r="AW271" t="str">
        <x:f>_xlfn.XLOOKUP($A271,Games!$A$2:$A$18,Games!$R$2:$R$18,"Missing game",0)</x:f>
        <x:v>U.S. Bank Stadium</x:v>
      </x:c>
    </x:row>
    <x:row r="272">
      <x:c r="A272" t="str">
        <x:v>2025_02_ATL_MIN</x:v>
      </x:c>
      <x:c r="B272" t="n">
        <x:v>2387</x:v>
      </x:c>
      <x:c r="C272" t="n">
        <x:v>3</x:v>
      </x:c>
      <x:c r="D272" t="str">
        <x:v>09:39</x:v>
      </x:c>
      <x:c r="E272" t="n">
        <x:v>3</x:v>
      </x:c>
      <x:c r="F272" t="n">
        <x:v>2</x:v>
      </x:c>
      <x:c r="G272" t="str">
        <x:v>ATL</x:v>
      </x:c>
      <x:c r="H272" t="str">
        <x:v>MIN</x:v>
      </x:c>
      <x:c r="I272" t="str">
        <x:v>MIN</x:v>
      </x:c>
      <x:c r="J272" t="n">
        <x:v>43</x:v>
      </x:c>
      <x:c r="K272" t="str">
        <x:v>(9:39) 25-T.Allgeier left tackle to MIN 40 for 3 yards (15-D.Turner).</x:v>
      </x:c>
      <x:c r="L272" t="str">
        <x:v>run</x:v>
      </x:c>
      <x:c r="M272" t="n">
        <x:v>3</x:v>
      </x:c>
      <x:c r="N272" t="n">
        <x:v>0</x:v>
      </x:c>
      <x:c r="O272" t="n">
        <x:v>0</x:v>
      </x:c>
      <x:c r="P272"/>
      <x:c r="Q272"/>
      <x:c r="R272"/>
      <x:c r="S272"/>
      <x:c r="T272" t="str">
        <x:v>left</x:v>
      </x:c>
      <x:c r="U272" t="str">
        <x:v>tackle</x:v>
      </x:c>
      <x:c r="V272" t="n">
        <x:v>0</x:v>
      </x:c>
      <x:c r="W272" t="n">
        <x:v>1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/>
      <x:c r="AC272" t="n">
        <x:v>0</x:v>
      </x:c>
      <x:c r="AD272" t="n">
        <x:v>1.1198016710113734</x:v>
      </x:c>
      <x:c r="AE272" t="n">
        <x:v>1</x:v>
      </x:c>
      <x:c r="AF272" t="n">
        <x:v>0.05057042837142944</x:v>
      </x:c>
      <x:c r="AG272" t="n">
        <x:f>_xlfn.XLOOKUP($A272,Games!$A$2:$A$18,Games!$B$2:$B$18,"Missing game",0)</x:f>
        <x:v>2025</x:v>
      </x:c>
      <x:c r="AH272" t="str">
        <x:f>_xlfn.XLOOKUP($A272,Games!$A$2:$A$18,Games!$C$2:$C$18,"Missing game",0)</x:f>
        <x:v>REG</x:v>
      </x:c>
      <x:c r="AI272" t="n">
        <x:f>_xlfn.XLOOKUP($A272,Games!$A$2:$A$18,Games!$D$2:$D$18,"Missing game",0)</x:f>
        <x:v>2</x:v>
      </x:c>
      <x:c r="AJ272" s="1" t="n">
        <x:f>_xlfn.XLOOKUP($A272,Games!$A$2:$A$18,Games!$E$2:$E$18,"Missing game",0)</x:f>
        <x:v>45914</x:v>
      </x:c>
      <x:c r="AK272" t="str">
        <x:f>_xlfn.XLOOKUP($A272,Games!$A$2:$A$18,Games!$F$2:$F$18,"Missing game",0)</x:f>
        <x:v>Sunday</x:v>
      </x:c>
      <x:c r="AL272" t="str">
        <x:f>_xlfn.XLOOKUP($A272,Games!$A$2:$A$18,Games!$G$2:$G$18,"Missing game",0)</x:f>
        <x:v>ATL</x:v>
      </x:c>
      <x:c r="AM272" t="n">
        <x:f>_xlfn.XLOOKUP($A272,Games!$A$2:$A$18,Games!$H$2:$H$18,"Missing game",0)</x:f>
        <x:v>22</x:v>
      </x:c>
      <x:c r="AN272" t="str">
        <x:f>_xlfn.XLOOKUP($A272,Games!$A$2:$A$18,Games!$I$2:$I$18,"Missing game",0)</x:f>
        <x:v>MIN</x:v>
      </x:c>
      <x:c r="AO272" t="n">
        <x:f>_xlfn.XLOOKUP($A272,Games!$A$2:$A$18,Games!$J$2:$J$18,"Missing game",0)</x:f>
        <x:v>6</x:v>
      </x:c>
      <x:c r="AP272" t="n">
        <x:f>_xlfn.XLOOKUP($A272,Games!$A$2:$A$18,Games!$K$2:$K$18,"Missing game",0)</x:f>
        <x:v>-16</x:v>
      </x:c>
      <x:c r="AQ272" t="n">
        <x:f>_xlfn.XLOOKUP($A272,Games!$A$2:$A$18,Games!$L$2:$L$18,"Missing game",0)</x:f>
        <x:v>28</x:v>
      </x:c>
      <x:c r="AR272" t="n">
        <x:f>_xlfn.XLOOKUP($A272,Games!$A$2:$A$18,Games!$M$2:$M$18,"Missing game",0)</x:f>
        <x:v>0</x:v>
      </x:c>
      <x:c r="AS272" t="str">
        <x:f>_xlfn.XLOOKUP($A272,Games!$A$2:$A$18,Games!$N$2:$N$18,"Missing game",0)</x:f>
        <x:v>dome</x:v>
      </x:c>
      <x:c r="AT272" t="str">
        <x:f>_xlfn.XLOOKUP($A272,Games!$A$2:$A$18,Games!$O$2:$O$18,"Missing game",0)</x:f>
        <x:v>sportturf</x:v>
      </x:c>
      <x:c r="AU272" t="str">
        <x:f>_xlfn.XLOOKUP($A272,Games!$A$2:$A$18,Games!$P$2:$P$18,"Missing game",0)</x:f>
      </x:c>
      <x:c r="AV272" t="str">
        <x:f>_xlfn.XLOOKUP($A272,Games!$A$2:$A$18,Games!$Q$2:$Q$18,"Missing game",0)</x:f>
      </x:c>
      <x:c r="AW272" t="str">
        <x:f>_xlfn.XLOOKUP($A272,Games!$A$2:$A$18,Games!$R$2:$R$18,"Missing game",0)</x:f>
        <x:v>U.S. Bank Stadium</x:v>
      </x:c>
    </x:row>
    <x:row r="273">
      <x:c r="A273" t="str">
        <x:v>2025_02_ATL_MIN</x:v>
      </x:c>
      <x:c r="B273" t="n">
        <x:v>2409</x:v>
      </x:c>
      <x:c r="C273" t="n">
        <x:v>3</x:v>
      </x:c>
      <x:c r="D273" t="str">
        <x:v>09:00</x:v>
      </x:c>
      <x:c r="E273" t="n">
        <x:v>1</x:v>
      </x:c>
      <x:c r="F273" t="n">
        <x:v>10</x:v>
      </x:c>
      <x:c r="G273" t="str">
        <x:v>ATL</x:v>
      </x:c>
      <x:c r="H273" t="str">
        <x:v>MIN</x:v>
      </x:c>
      <x:c r="I273" t="str">
        <x:v>MIN</x:v>
      </x:c>
      <x:c r="J273" t="n">
        <x:v>40</x:v>
      </x:c>
      <x:c r="K273" t="str">
        <x:v>(9:00) (Shotgun) 7-B.Robinson up the middle to MIN 22 for 18 yards (26-T.Jackson).</x:v>
      </x:c>
      <x:c r="L273" t="str">
        <x:v>run</x:v>
      </x:c>
      <x:c r="M273" t="n">
        <x:v>18</x:v>
      </x:c>
      <x:c r="N273" t="n">
        <x:v>1</x:v>
      </x:c>
      <x:c r="O273" t="n">
        <x:v>0</x:v>
      </x:c>
      <x:c r="P273"/>
      <x:c r="Q273"/>
      <x:c r="R273"/>
      <x:c r="S273"/>
      <x:c r="T273" t="str">
        <x:v>middle</x:v>
      </x:c>
      <x:c r="U273"/>
      <x:c r="V273" t="n">
        <x:v>0</x:v>
      </x:c>
      <x:c r="W273" t="n">
        <x:v>1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/>
      <x:c r="AC273" t="n">
        <x:v>0</x:v>
      </x:c>
      <x:c r="AD273" t="n">
        <x:v>1.2934825747506693</x:v>
      </x:c>
      <x:c r="AE273" t="n">
        <x:v>1</x:v>
      </x:c>
      <x:c r="AF273" t="n">
        <x:v>0.024439573287963867</x:v>
      </x:c>
      <x:c r="AG273" t="n">
        <x:f>_xlfn.XLOOKUP($A273,Games!$A$2:$A$18,Games!$B$2:$B$18,"Missing game",0)</x:f>
        <x:v>2025</x:v>
      </x:c>
      <x:c r="AH273" t="str">
        <x:f>_xlfn.XLOOKUP($A273,Games!$A$2:$A$18,Games!$C$2:$C$18,"Missing game",0)</x:f>
        <x:v>REG</x:v>
      </x:c>
      <x:c r="AI273" t="n">
        <x:f>_xlfn.XLOOKUP($A273,Games!$A$2:$A$18,Games!$D$2:$D$18,"Missing game",0)</x:f>
        <x:v>2</x:v>
      </x:c>
      <x:c r="AJ273" s="1" t="n">
        <x:f>_xlfn.XLOOKUP($A273,Games!$A$2:$A$18,Games!$E$2:$E$18,"Missing game",0)</x:f>
        <x:v>45914</x:v>
      </x:c>
      <x:c r="AK273" t="str">
        <x:f>_xlfn.XLOOKUP($A273,Games!$A$2:$A$18,Games!$F$2:$F$18,"Missing game",0)</x:f>
        <x:v>Sunday</x:v>
      </x:c>
      <x:c r="AL273" t="str">
        <x:f>_xlfn.XLOOKUP($A273,Games!$A$2:$A$18,Games!$G$2:$G$18,"Missing game",0)</x:f>
        <x:v>ATL</x:v>
      </x:c>
      <x:c r="AM273" t="n">
        <x:f>_xlfn.XLOOKUP($A273,Games!$A$2:$A$18,Games!$H$2:$H$18,"Missing game",0)</x:f>
        <x:v>22</x:v>
      </x:c>
      <x:c r="AN273" t="str">
        <x:f>_xlfn.XLOOKUP($A273,Games!$A$2:$A$18,Games!$I$2:$I$18,"Missing game",0)</x:f>
        <x:v>MIN</x:v>
      </x:c>
      <x:c r="AO273" t="n">
        <x:f>_xlfn.XLOOKUP($A273,Games!$A$2:$A$18,Games!$J$2:$J$18,"Missing game",0)</x:f>
        <x:v>6</x:v>
      </x:c>
      <x:c r="AP273" t="n">
        <x:f>_xlfn.XLOOKUP($A273,Games!$A$2:$A$18,Games!$K$2:$K$18,"Missing game",0)</x:f>
        <x:v>-16</x:v>
      </x:c>
      <x:c r="AQ273" t="n">
        <x:f>_xlfn.XLOOKUP($A273,Games!$A$2:$A$18,Games!$L$2:$L$18,"Missing game",0)</x:f>
        <x:v>28</x:v>
      </x:c>
      <x:c r="AR273" t="n">
        <x:f>_xlfn.XLOOKUP($A273,Games!$A$2:$A$18,Games!$M$2:$M$18,"Missing game",0)</x:f>
        <x:v>0</x:v>
      </x:c>
      <x:c r="AS273" t="str">
        <x:f>_xlfn.XLOOKUP($A273,Games!$A$2:$A$18,Games!$N$2:$N$18,"Missing game",0)</x:f>
        <x:v>dome</x:v>
      </x:c>
      <x:c r="AT273" t="str">
        <x:f>_xlfn.XLOOKUP($A273,Games!$A$2:$A$18,Games!$O$2:$O$18,"Missing game",0)</x:f>
        <x:v>sportturf</x:v>
      </x:c>
      <x:c r="AU273" t="str">
        <x:f>_xlfn.XLOOKUP($A273,Games!$A$2:$A$18,Games!$P$2:$P$18,"Missing game",0)</x:f>
      </x:c>
      <x:c r="AV273" t="str">
        <x:f>_xlfn.XLOOKUP($A273,Games!$A$2:$A$18,Games!$Q$2:$Q$18,"Missing game",0)</x:f>
      </x:c>
      <x:c r="AW273" t="str">
        <x:f>_xlfn.XLOOKUP($A273,Games!$A$2:$A$18,Games!$R$2:$R$18,"Missing game",0)</x:f>
        <x:v>U.S. Bank Stadium</x:v>
      </x:c>
    </x:row>
    <x:row r="274">
      <x:c r="A274" t="str">
        <x:v>2025_02_ATL_MIN</x:v>
      </x:c>
      <x:c r="B274" t="n">
        <x:v>2431</x:v>
      </x:c>
      <x:c r="C274" t="n">
        <x:v>3</x:v>
      </x:c>
      <x:c r="D274" t="str">
        <x:v>08:19</x:v>
      </x:c>
      <x:c r="E274" t="n">
        <x:v>1</x:v>
      </x:c>
      <x:c r="F274" t="n">
        <x:v>10</x:v>
      </x:c>
      <x:c r="G274" t="str">
        <x:v>ATL</x:v>
      </x:c>
      <x:c r="H274" t="str">
        <x:v>MIN</x:v>
      </x:c>
      <x:c r="I274" t="str">
        <x:v>MIN</x:v>
      </x:c>
      <x:c r="J274" t="n">
        <x:v>22</x:v>
      </x:c>
      <x:c r="K274" t="str">
        <x:v>(8:19) (Shotgun) 7-B.Robinson left guard to MIN 19 for 3 yards (93-J.Allen; 26-T.Jackson).</x:v>
      </x:c>
      <x:c r="L274" t="str">
        <x:v>run</x:v>
      </x:c>
      <x:c r="M274" t="n">
        <x:v>3</x:v>
      </x:c>
      <x:c r="N274" t="n">
        <x:v>1</x:v>
      </x:c>
      <x:c r="O274" t="n">
        <x:v>0</x:v>
      </x:c>
      <x:c r="P274"/>
      <x:c r="Q274"/>
      <x:c r="R274"/>
      <x:c r="S274"/>
      <x:c r="T274" t="str">
        <x:v>left</x:v>
      </x:c>
      <x:c r="U274" t="str">
        <x:v>guard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/>
      <x:c r="AC274" t="n">
        <x:v>0</x:v>
      </x:c>
      <x:c r="AD274" t="n">
        <x:v>-0.3633421533741057</x:v>
      </x:c>
      <x:c r="AE274" t="n">
        <x:v>0</x:v>
      </x:c>
      <x:c r="AF274" t="n">
        <x:v>0.0020157694816589355</x:v>
      </x:c>
      <x:c r="AG274" t="n">
        <x:f>_xlfn.XLOOKUP($A274,Games!$A$2:$A$18,Games!$B$2:$B$18,"Missing game",0)</x:f>
        <x:v>2025</x:v>
      </x:c>
      <x:c r="AH274" t="str">
        <x:f>_xlfn.XLOOKUP($A274,Games!$A$2:$A$18,Games!$C$2:$C$18,"Missing game",0)</x:f>
        <x:v>REG</x:v>
      </x:c>
      <x:c r="AI274" t="n">
        <x:f>_xlfn.XLOOKUP($A274,Games!$A$2:$A$18,Games!$D$2:$D$18,"Missing game",0)</x:f>
        <x:v>2</x:v>
      </x:c>
      <x:c r="AJ274" s="1" t="n">
        <x:f>_xlfn.XLOOKUP($A274,Games!$A$2:$A$18,Games!$E$2:$E$18,"Missing game",0)</x:f>
        <x:v>45914</x:v>
      </x:c>
      <x:c r="AK274" t="str">
        <x:f>_xlfn.XLOOKUP($A274,Games!$A$2:$A$18,Games!$F$2:$F$18,"Missing game",0)</x:f>
        <x:v>Sunday</x:v>
      </x:c>
      <x:c r="AL274" t="str">
        <x:f>_xlfn.XLOOKUP($A274,Games!$A$2:$A$18,Games!$G$2:$G$18,"Missing game",0)</x:f>
        <x:v>ATL</x:v>
      </x:c>
      <x:c r="AM274" t="n">
        <x:f>_xlfn.XLOOKUP($A274,Games!$A$2:$A$18,Games!$H$2:$H$18,"Missing game",0)</x:f>
        <x:v>22</x:v>
      </x:c>
      <x:c r="AN274" t="str">
        <x:f>_xlfn.XLOOKUP($A274,Games!$A$2:$A$18,Games!$I$2:$I$18,"Missing game",0)</x:f>
        <x:v>MIN</x:v>
      </x:c>
      <x:c r="AO274" t="n">
        <x:f>_xlfn.XLOOKUP($A274,Games!$A$2:$A$18,Games!$J$2:$J$18,"Missing game",0)</x:f>
        <x:v>6</x:v>
      </x:c>
      <x:c r="AP274" t="n">
        <x:f>_xlfn.XLOOKUP($A274,Games!$A$2:$A$18,Games!$K$2:$K$18,"Missing game",0)</x:f>
        <x:v>-16</x:v>
      </x:c>
      <x:c r="AQ274" t="n">
        <x:f>_xlfn.XLOOKUP($A274,Games!$A$2:$A$18,Games!$L$2:$L$18,"Missing game",0)</x:f>
        <x:v>28</x:v>
      </x:c>
      <x:c r="AR274" t="n">
        <x:f>_xlfn.XLOOKUP($A274,Games!$A$2:$A$18,Games!$M$2:$M$18,"Missing game",0)</x:f>
        <x:v>0</x:v>
      </x:c>
      <x:c r="AS274" t="str">
        <x:f>_xlfn.XLOOKUP($A274,Games!$A$2:$A$18,Games!$N$2:$N$18,"Missing game",0)</x:f>
        <x:v>dome</x:v>
      </x:c>
      <x:c r="AT274" t="str">
        <x:f>_xlfn.XLOOKUP($A274,Games!$A$2:$A$18,Games!$O$2:$O$18,"Missing game",0)</x:f>
        <x:v>sportturf</x:v>
      </x:c>
      <x:c r="AU274" t="str">
        <x:f>_xlfn.XLOOKUP($A274,Games!$A$2:$A$18,Games!$P$2:$P$18,"Missing game",0)</x:f>
      </x:c>
      <x:c r="AV274" t="str">
        <x:f>_xlfn.XLOOKUP($A274,Games!$A$2:$A$18,Games!$Q$2:$Q$18,"Missing game",0)</x:f>
      </x:c>
      <x:c r="AW274" t="str">
        <x:f>_xlfn.XLOOKUP($A274,Games!$A$2:$A$18,Games!$R$2:$R$18,"Missing game",0)</x:f>
        <x:v>U.S. Bank Stadium</x:v>
      </x:c>
    </x:row>
    <x:row r="275">
      <x:c r="A275" t="str">
        <x:v>2025_02_ATL_MIN</x:v>
      </x:c>
      <x:c r="B275" t="n">
        <x:v>2453</x:v>
      </x:c>
      <x:c r="C275" t="n">
        <x:v>3</x:v>
      </x:c>
      <x:c r="D275" t="str">
        <x:v>07:47</x:v>
      </x:c>
      <x:c r="E275" t="n">
        <x:v>2</x:v>
      </x:c>
      <x:c r="F275" t="n">
        <x:v>7</x:v>
      </x:c>
      <x:c r="G275" t="str">
        <x:v>ATL</x:v>
      </x:c>
      <x:c r="H275" t="str">
        <x:v>MIN</x:v>
      </x:c>
      <x:c r="I275" t="str">
        <x:v>MIN</x:v>
      </x:c>
      <x:c r="J275" t="n">
        <x:v>19</x:v>
      </x:c>
      <x:c r="K275" t="str">
        <x:v>(7:47) (No Huddle, Shotgun) 9-M.Penix pass short left to 7-B.Robinson pushed ob at MIN 14 for 5 yards (7-B.Murphy).</x:v>
      </x:c>
      <x:c r="L275" t="str">
        <x:v>pass</x:v>
      </x:c>
      <x:c r="M275" t="n">
        <x:v>5</x:v>
      </x:c>
      <x:c r="N275" t="n">
        <x:v>1</x:v>
      </x:c>
      <x:c r="O275" t="n">
        <x:v>1</x:v>
      </x:c>
      <x:c r="P275" t="str">
        <x:v>short</x:v>
      </x:c>
      <x:c r="Q275" t="str">
        <x:v>left</x:v>
      </x:c>
      <x:c r="R275" t="n">
        <x:v>5</x:v>
      </x:c>
      <x:c r="S275" t="n">
        <x:v>0</x:v>
      </x:c>
      <x:c r="T275"/>
      <x:c r="U275"/>
      <x:c r="V275" t="n">
        <x:v>1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/>
      <x:c r="AC275" t="n">
        <x:v>0</x:v>
      </x:c>
      <x:c r="AD275" t="n">
        <x:v>0.28089062438812107</x:v>
      </x:c>
      <x:c r="AE275" t="n">
        <x:v>1</x:v>
      </x:c>
      <x:c r="AF275" t="n">
        <x:v>0.01425468921661377</x:v>
      </x:c>
      <x:c r="AG275" t="n">
        <x:f>_xlfn.XLOOKUP($A275,Games!$A$2:$A$18,Games!$B$2:$B$18,"Missing game",0)</x:f>
        <x:v>2025</x:v>
      </x:c>
      <x:c r="AH275" t="str">
        <x:f>_xlfn.XLOOKUP($A275,Games!$A$2:$A$18,Games!$C$2:$C$18,"Missing game",0)</x:f>
        <x:v>REG</x:v>
      </x:c>
      <x:c r="AI275" t="n">
        <x:f>_xlfn.XLOOKUP($A275,Games!$A$2:$A$18,Games!$D$2:$D$18,"Missing game",0)</x:f>
        <x:v>2</x:v>
      </x:c>
      <x:c r="AJ275" s="1" t="n">
        <x:f>_xlfn.XLOOKUP($A275,Games!$A$2:$A$18,Games!$E$2:$E$18,"Missing game",0)</x:f>
        <x:v>45914</x:v>
      </x:c>
      <x:c r="AK275" t="str">
        <x:f>_xlfn.XLOOKUP($A275,Games!$A$2:$A$18,Games!$F$2:$F$18,"Missing game",0)</x:f>
        <x:v>Sunday</x:v>
      </x:c>
      <x:c r="AL275" t="str">
        <x:f>_xlfn.XLOOKUP($A275,Games!$A$2:$A$18,Games!$G$2:$G$18,"Missing game",0)</x:f>
        <x:v>ATL</x:v>
      </x:c>
      <x:c r="AM275" t="n">
        <x:f>_xlfn.XLOOKUP($A275,Games!$A$2:$A$18,Games!$H$2:$H$18,"Missing game",0)</x:f>
        <x:v>22</x:v>
      </x:c>
      <x:c r="AN275" t="str">
        <x:f>_xlfn.XLOOKUP($A275,Games!$A$2:$A$18,Games!$I$2:$I$18,"Missing game",0)</x:f>
        <x:v>MIN</x:v>
      </x:c>
      <x:c r="AO275" t="n">
        <x:f>_xlfn.XLOOKUP($A275,Games!$A$2:$A$18,Games!$J$2:$J$18,"Missing game",0)</x:f>
        <x:v>6</x:v>
      </x:c>
      <x:c r="AP275" t="n">
        <x:f>_xlfn.XLOOKUP($A275,Games!$A$2:$A$18,Games!$K$2:$K$18,"Missing game",0)</x:f>
        <x:v>-16</x:v>
      </x:c>
      <x:c r="AQ275" t="n">
        <x:f>_xlfn.XLOOKUP($A275,Games!$A$2:$A$18,Games!$L$2:$L$18,"Missing game",0)</x:f>
        <x:v>28</x:v>
      </x:c>
      <x:c r="AR275" t="n">
        <x:f>_xlfn.XLOOKUP($A275,Games!$A$2:$A$18,Games!$M$2:$M$18,"Missing game",0)</x:f>
        <x:v>0</x:v>
      </x:c>
      <x:c r="AS275" t="str">
        <x:f>_xlfn.XLOOKUP($A275,Games!$A$2:$A$18,Games!$N$2:$N$18,"Missing game",0)</x:f>
        <x:v>dome</x:v>
      </x:c>
      <x:c r="AT275" t="str">
        <x:f>_xlfn.XLOOKUP($A275,Games!$A$2:$A$18,Games!$O$2:$O$18,"Missing game",0)</x:f>
        <x:v>sportturf</x:v>
      </x:c>
      <x:c r="AU275" t="str">
        <x:f>_xlfn.XLOOKUP($A275,Games!$A$2:$A$18,Games!$P$2:$P$18,"Missing game",0)</x:f>
      </x:c>
      <x:c r="AV275" t="str">
        <x:f>_xlfn.XLOOKUP($A275,Games!$A$2:$A$18,Games!$Q$2:$Q$18,"Missing game",0)</x:f>
      </x:c>
      <x:c r="AW275" t="str">
        <x:f>_xlfn.XLOOKUP($A275,Games!$A$2:$A$18,Games!$R$2:$R$18,"Missing game",0)</x:f>
        <x:v>U.S. Bank Stadium</x:v>
      </x:c>
    </x:row>
    <x:row r="276">
      <x:c r="A276" t="str">
        <x:v>2025_02_ATL_MIN</x:v>
      </x:c>
      <x:c r="B276" t="n">
        <x:v>2483</x:v>
      </x:c>
      <x:c r="C276" t="n">
        <x:v>3</x:v>
      </x:c>
      <x:c r="D276" t="str">
        <x:v>07:07</x:v>
      </x:c>
      <x:c r="E276" t="n">
        <x:v>3</x:v>
      </x:c>
      <x:c r="F276" t="n">
        <x:v>2</x:v>
      </x:c>
      <x:c r="G276" t="str">
        <x:v>ATL</x:v>
      </x:c>
      <x:c r="H276" t="str">
        <x:v>MIN</x:v>
      </x:c>
      <x:c r="I276" t="str">
        <x:v>MIN</x:v>
      </x:c>
      <x:c r="J276" t="n">
        <x:v>14</x:v>
      </x:c>
      <x:c r="K276" t="str">
        <x:v>(7:07) 25-T.Allgeier right guard to MIN 15 for -1 yards (0-I.Pace, 93-J.Allen).</x:v>
      </x:c>
      <x:c r="L276" t="str">
        <x:v>run</x:v>
      </x:c>
      <x:c r="M276" t="n">
        <x:v>-1</x:v>
      </x:c>
      <x:c r="N276" t="n">
        <x:v>0</x:v>
      </x:c>
      <x:c r="O276" t="n">
        <x:v>0</x:v>
      </x:c>
      <x:c r="P276"/>
      <x:c r="Q276"/>
      <x:c r="R276"/>
      <x:c r="S276"/>
      <x:c r="T276" t="str">
        <x:v>right</x:v>
      </x:c>
      <x:c r="U276" t="str">
        <x:v>guard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/>
      <x:c r="AC276" t="n">
        <x:v>0</x:v>
      </x:c>
      <x:c r="AD276" t="n">
        <x:v>-1.7860498249118066</x:v>
      </x:c>
      <x:c r="AE276" t="n">
        <x:v>0</x:v>
      </x:c>
      <x:c r="AF276" t="n">
        <x:v>-0.04597252607345581</x:v>
      </x:c>
      <x:c r="AG276" t="n">
        <x:f>_xlfn.XLOOKUP($A276,Games!$A$2:$A$18,Games!$B$2:$B$18,"Missing game",0)</x:f>
        <x:v>2025</x:v>
      </x:c>
      <x:c r="AH276" t="str">
        <x:f>_xlfn.XLOOKUP($A276,Games!$A$2:$A$18,Games!$C$2:$C$18,"Missing game",0)</x:f>
        <x:v>REG</x:v>
      </x:c>
      <x:c r="AI276" t="n">
        <x:f>_xlfn.XLOOKUP($A276,Games!$A$2:$A$18,Games!$D$2:$D$18,"Missing game",0)</x:f>
        <x:v>2</x:v>
      </x:c>
      <x:c r="AJ276" s="1" t="n">
        <x:f>_xlfn.XLOOKUP($A276,Games!$A$2:$A$18,Games!$E$2:$E$18,"Missing game",0)</x:f>
        <x:v>45914</x:v>
      </x:c>
      <x:c r="AK276" t="str">
        <x:f>_xlfn.XLOOKUP($A276,Games!$A$2:$A$18,Games!$F$2:$F$18,"Missing game",0)</x:f>
        <x:v>Sunday</x:v>
      </x:c>
      <x:c r="AL276" t="str">
        <x:f>_xlfn.XLOOKUP($A276,Games!$A$2:$A$18,Games!$G$2:$G$18,"Missing game",0)</x:f>
        <x:v>ATL</x:v>
      </x:c>
      <x:c r="AM276" t="n">
        <x:f>_xlfn.XLOOKUP($A276,Games!$A$2:$A$18,Games!$H$2:$H$18,"Missing game",0)</x:f>
        <x:v>22</x:v>
      </x:c>
      <x:c r="AN276" t="str">
        <x:f>_xlfn.XLOOKUP($A276,Games!$A$2:$A$18,Games!$I$2:$I$18,"Missing game",0)</x:f>
        <x:v>MIN</x:v>
      </x:c>
      <x:c r="AO276" t="n">
        <x:f>_xlfn.XLOOKUP($A276,Games!$A$2:$A$18,Games!$J$2:$J$18,"Missing game",0)</x:f>
        <x:v>6</x:v>
      </x:c>
      <x:c r="AP276" t="n">
        <x:f>_xlfn.XLOOKUP($A276,Games!$A$2:$A$18,Games!$K$2:$K$18,"Missing game",0)</x:f>
        <x:v>-16</x:v>
      </x:c>
      <x:c r="AQ276" t="n">
        <x:f>_xlfn.XLOOKUP($A276,Games!$A$2:$A$18,Games!$L$2:$L$18,"Missing game",0)</x:f>
        <x:v>28</x:v>
      </x:c>
      <x:c r="AR276" t="n">
        <x:f>_xlfn.XLOOKUP($A276,Games!$A$2:$A$18,Games!$M$2:$M$18,"Missing game",0)</x:f>
        <x:v>0</x:v>
      </x:c>
      <x:c r="AS276" t="str">
        <x:f>_xlfn.XLOOKUP($A276,Games!$A$2:$A$18,Games!$N$2:$N$18,"Missing game",0)</x:f>
        <x:v>dome</x:v>
      </x:c>
      <x:c r="AT276" t="str">
        <x:f>_xlfn.XLOOKUP($A276,Games!$A$2:$A$18,Games!$O$2:$O$18,"Missing game",0)</x:f>
        <x:v>sportturf</x:v>
      </x:c>
      <x:c r="AU276" t="str">
        <x:f>_xlfn.XLOOKUP($A276,Games!$A$2:$A$18,Games!$P$2:$P$18,"Missing game",0)</x:f>
      </x:c>
      <x:c r="AV276" t="str">
        <x:f>_xlfn.XLOOKUP($A276,Games!$A$2:$A$18,Games!$Q$2:$Q$18,"Missing game",0)</x:f>
      </x:c>
      <x:c r="AW276" t="str">
        <x:f>_xlfn.XLOOKUP($A276,Games!$A$2:$A$18,Games!$R$2:$R$18,"Missing game",0)</x:f>
        <x:v>U.S. Bank Stadium</x:v>
      </x:c>
    </x:row>
    <x:row r="277">
      <x:c r="A277" t="str">
        <x:v>2025_02_ATL_MIN</x:v>
      </x:c>
      <x:c r="B277" t="n">
        <x:v>2505</x:v>
      </x:c>
      <x:c r="C277" t="n">
        <x:v>3</x:v>
      </x:c>
      <x:c r="D277" t="str">
        <x:v>06:20</x:v>
      </x:c>
      <x:c r="E277" t="n">
        <x:v>4</x:v>
      </x:c>
      <x:c r="F277" t="n">
        <x:v>3</x:v>
      </x:c>
      <x:c r="G277" t="str">
        <x:v>ATL</x:v>
      </x:c>
      <x:c r="H277" t="str">
        <x:v>MIN</x:v>
      </x:c>
      <x:c r="I277" t="str">
        <x:v>MIN</x:v>
      </x:c>
      <x:c r="J277" t="n">
        <x:v>15</x:v>
      </x:c>
      <x:c r="K277" t="str">
        <x:v>(6:20) 39-J.Romo 33 yard field goal is GOOD, Center-49-L.McCullough, Holder-13-B.Pinion.</x:v>
      </x:c>
      <x:c r="L277" t="str">
        <x:v>field_goal</x:v>
      </x:c>
      <x:c r="M277" t="n">
        <x:v>0</x:v>
      </x:c>
      <x:c r="N277" t="n">
        <x:v>0</x:v>
      </x:c>
      <x:c r="O277" t="n">
        <x:v>0</x:v>
      </x:c>
      <x:c r="P277"/>
      <x:c r="Q277"/>
      <x:c r="R277"/>
      <x:c r="S277"/>
      <x:c r="T277"/>
      <x:c r="U277"/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/>
      <x:c r="AC277" t="n">
        <x:v>0</x:v>
      </x:c>
      <x:c r="AD277" t="n">
        <x:v>0.1937111087662018</x:v>
      </x:c>
      <x:c r="AE277" t="n">
        <x:v>1</x:v>
      </x:c>
      <x:c r="AF277" t="n">
        <x:v>0.006327271461486816</x:v>
      </x:c>
      <x:c r="AG277" t="n">
        <x:f>_xlfn.XLOOKUP($A277,Games!$A$2:$A$18,Games!$B$2:$B$18,"Missing game",0)</x:f>
        <x:v>2025</x:v>
      </x:c>
      <x:c r="AH277" t="str">
        <x:f>_xlfn.XLOOKUP($A277,Games!$A$2:$A$18,Games!$C$2:$C$18,"Missing game",0)</x:f>
        <x:v>REG</x:v>
      </x:c>
      <x:c r="AI277" t="n">
        <x:f>_xlfn.XLOOKUP($A277,Games!$A$2:$A$18,Games!$D$2:$D$18,"Missing game",0)</x:f>
        <x:v>2</x:v>
      </x:c>
      <x:c r="AJ277" s="1" t="n">
        <x:f>_xlfn.XLOOKUP($A277,Games!$A$2:$A$18,Games!$E$2:$E$18,"Missing game",0)</x:f>
        <x:v>45914</x:v>
      </x:c>
      <x:c r="AK277" t="str">
        <x:f>_xlfn.XLOOKUP($A277,Games!$A$2:$A$18,Games!$F$2:$F$18,"Missing game",0)</x:f>
        <x:v>Sunday</x:v>
      </x:c>
      <x:c r="AL277" t="str">
        <x:f>_xlfn.XLOOKUP($A277,Games!$A$2:$A$18,Games!$G$2:$G$18,"Missing game",0)</x:f>
        <x:v>ATL</x:v>
      </x:c>
      <x:c r="AM277" t="n">
        <x:f>_xlfn.XLOOKUP($A277,Games!$A$2:$A$18,Games!$H$2:$H$18,"Missing game",0)</x:f>
        <x:v>22</x:v>
      </x:c>
      <x:c r="AN277" t="str">
        <x:f>_xlfn.XLOOKUP($A277,Games!$A$2:$A$18,Games!$I$2:$I$18,"Missing game",0)</x:f>
        <x:v>MIN</x:v>
      </x:c>
      <x:c r="AO277" t="n">
        <x:f>_xlfn.XLOOKUP($A277,Games!$A$2:$A$18,Games!$J$2:$J$18,"Missing game",0)</x:f>
        <x:v>6</x:v>
      </x:c>
      <x:c r="AP277" t="n">
        <x:f>_xlfn.XLOOKUP($A277,Games!$A$2:$A$18,Games!$K$2:$K$18,"Missing game",0)</x:f>
        <x:v>-16</x:v>
      </x:c>
      <x:c r="AQ277" t="n">
        <x:f>_xlfn.XLOOKUP($A277,Games!$A$2:$A$18,Games!$L$2:$L$18,"Missing game",0)</x:f>
        <x:v>28</x:v>
      </x:c>
      <x:c r="AR277" t="n">
        <x:f>_xlfn.XLOOKUP($A277,Games!$A$2:$A$18,Games!$M$2:$M$18,"Missing game",0)</x:f>
        <x:v>0</x:v>
      </x:c>
      <x:c r="AS277" t="str">
        <x:f>_xlfn.XLOOKUP($A277,Games!$A$2:$A$18,Games!$N$2:$N$18,"Missing game",0)</x:f>
        <x:v>dome</x:v>
      </x:c>
      <x:c r="AT277" t="str">
        <x:f>_xlfn.XLOOKUP($A277,Games!$A$2:$A$18,Games!$O$2:$O$18,"Missing game",0)</x:f>
        <x:v>sportturf</x:v>
      </x:c>
      <x:c r="AU277" t="str">
        <x:f>_xlfn.XLOOKUP($A277,Games!$A$2:$A$18,Games!$P$2:$P$18,"Missing game",0)</x:f>
      </x:c>
      <x:c r="AV277" t="str">
        <x:f>_xlfn.XLOOKUP($A277,Games!$A$2:$A$18,Games!$Q$2:$Q$18,"Missing game",0)</x:f>
      </x:c>
      <x:c r="AW277" t="str">
        <x:f>_xlfn.XLOOKUP($A277,Games!$A$2:$A$18,Games!$R$2:$R$18,"Missing game",0)</x:f>
        <x:v>U.S. Bank Stadium</x:v>
      </x:c>
    </x:row>
    <x:row r="278">
      <x:c r="A278" t="str">
        <x:v>2025_02_ATL_MIN</x:v>
      </x:c>
      <x:c r="B278" t="n">
        <x:v>2525</x:v>
      </x:c>
      <x:c r="C278" t="n">
        <x:v>3</x:v>
      </x:c>
      <x:c r="D278" t="str">
        <x:v>06:17</x:v>
      </x:c>
      <x:c r="E278"/>
      <x:c r="F278" t="n">
        <x:v>0</x:v>
      </x:c>
      <x:c r="G278" t="str">
        <x:v>MIN</x:v>
      </x:c>
      <x:c r="H278" t="str">
        <x:v>ATL</x:v>
      </x:c>
      <x:c r="I278" t="str">
        <x:v>ATL</x:v>
      </x:c>
      <x:c r="J278" t="n">
        <x:v>35</x:v>
      </x:c>
      <x:c r="K278" t="str">
        <x:v>13-B.Pinion kicks 66 yards from ATL 35 to MIN -1. 4-M.Price to MIN 31 for 32 yards (23-D.Hellams).</x:v>
      </x:c>
      <x:c r="L278" t="str">
        <x:v>kickoff</x:v>
      </x:c>
      <x:c r="M278" t="n">
        <x:v>0</x:v>
      </x:c>
      <x:c r="N278" t="n">
        <x:v>0</x:v>
      </x:c>
      <x:c r="O278" t="n">
        <x:v>0</x:v>
      </x:c>
      <x:c r="P278"/>
      <x:c r="Q278"/>
      <x:c r="R278"/>
      <x:c r="S278"/>
      <x:c r="T278"/>
      <x:c r="U278"/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/>
      <x:c r="AC278" t="n">
        <x:v>0</x:v>
      </x:c>
      <x:c r="AD278" t="n">
        <x:v>0.3274800768122077</x:v>
      </x:c>
      <x:c r="AE278" t="n">
        <x:v>1</x:v>
      </x:c>
      <x:c r="AF278" t="n">
        <x:v>0.006979197263717651</x:v>
      </x:c>
      <x:c r="AG278" t="n">
        <x:f>_xlfn.XLOOKUP($A278,Games!$A$2:$A$18,Games!$B$2:$B$18,"Missing game",0)</x:f>
        <x:v>2025</x:v>
      </x:c>
      <x:c r="AH278" t="str">
        <x:f>_xlfn.XLOOKUP($A278,Games!$A$2:$A$18,Games!$C$2:$C$18,"Missing game",0)</x:f>
        <x:v>REG</x:v>
      </x:c>
      <x:c r="AI278" t="n">
        <x:f>_xlfn.XLOOKUP($A278,Games!$A$2:$A$18,Games!$D$2:$D$18,"Missing game",0)</x:f>
        <x:v>2</x:v>
      </x:c>
      <x:c r="AJ278" s="1" t="n">
        <x:f>_xlfn.XLOOKUP($A278,Games!$A$2:$A$18,Games!$E$2:$E$18,"Missing game",0)</x:f>
        <x:v>45914</x:v>
      </x:c>
      <x:c r="AK278" t="str">
        <x:f>_xlfn.XLOOKUP($A278,Games!$A$2:$A$18,Games!$F$2:$F$18,"Missing game",0)</x:f>
        <x:v>Sunday</x:v>
      </x:c>
      <x:c r="AL278" t="str">
        <x:f>_xlfn.XLOOKUP($A278,Games!$A$2:$A$18,Games!$G$2:$G$18,"Missing game",0)</x:f>
        <x:v>ATL</x:v>
      </x:c>
      <x:c r="AM278" t="n">
        <x:f>_xlfn.XLOOKUP($A278,Games!$A$2:$A$18,Games!$H$2:$H$18,"Missing game",0)</x:f>
        <x:v>22</x:v>
      </x:c>
      <x:c r="AN278" t="str">
        <x:f>_xlfn.XLOOKUP($A278,Games!$A$2:$A$18,Games!$I$2:$I$18,"Missing game",0)</x:f>
        <x:v>MIN</x:v>
      </x:c>
      <x:c r="AO278" t="n">
        <x:f>_xlfn.XLOOKUP($A278,Games!$A$2:$A$18,Games!$J$2:$J$18,"Missing game",0)</x:f>
        <x:v>6</x:v>
      </x:c>
      <x:c r="AP278" t="n">
        <x:f>_xlfn.XLOOKUP($A278,Games!$A$2:$A$18,Games!$K$2:$K$18,"Missing game",0)</x:f>
        <x:v>-16</x:v>
      </x:c>
      <x:c r="AQ278" t="n">
        <x:f>_xlfn.XLOOKUP($A278,Games!$A$2:$A$18,Games!$L$2:$L$18,"Missing game",0)</x:f>
        <x:v>28</x:v>
      </x:c>
      <x:c r="AR278" t="n">
        <x:f>_xlfn.XLOOKUP($A278,Games!$A$2:$A$18,Games!$M$2:$M$18,"Missing game",0)</x:f>
        <x:v>0</x:v>
      </x:c>
      <x:c r="AS278" t="str">
        <x:f>_xlfn.XLOOKUP($A278,Games!$A$2:$A$18,Games!$N$2:$N$18,"Missing game",0)</x:f>
        <x:v>dome</x:v>
      </x:c>
      <x:c r="AT278" t="str">
        <x:f>_xlfn.XLOOKUP($A278,Games!$A$2:$A$18,Games!$O$2:$O$18,"Missing game",0)</x:f>
        <x:v>sportturf</x:v>
      </x:c>
      <x:c r="AU278" t="str">
        <x:f>_xlfn.XLOOKUP($A278,Games!$A$2:$A$18,Games!$P$2:$P$18,"Missing game",0)</x:f>
      </x:c>
      <x:c r="AV278" t="str">
        <x:f>_xlfn.XLOOKUP($A278,Games!$A$2:$A$18,Games!$Q$2:$Q$18,"Missing game",0)</x:f>
      </x:c>
      <x:c r="AW278" t="str">
        <x:f>_xlfn.XLOOKUP($A278,Games!$A$2:$A$18,Games!$R$2:$R$18,"Missing game",0)</x:f>
        <x:v>U.S. Bank Stadium</x:v>
      </x:c>
    </x:row>
    <x:row r="279">
      <x:c r="A279" t="str">
        <x:v>2025_02_ATL_MIN</x:v>
      </x:c>
      <x:c r="B279" t="n">
        <x:v>2555</x:v>
      </x:c>
      <x:c r="C279" t="n">
        <x:v>3</x:v>
      </x:c>
      <x:c r="D279" t="str">
        <x:v>06:11</x:v>
      </x:c>
      <x:c r="E279" t="n">
        <x:v>1</x:v>
      </x:c>
      <x:c r="F279" t="n">
        <x:v>10</x:v>
      </x:c>
      <x:c r="G279" t="str">
        <x:v>MIN</x:v>
      </x:c>
      <x:c r="H279" t="str">
        <x:v>ATL</x:v>
      </x:c>
      <x:c r="I279" t="str">
        <x:v>MIN</x:v>
      </x:c>
      <x:c r="J279" t="n">
        <x:v>69</x:v>
      </x:c>
      <x:c r="K279" t="str">
        <x:v>(6:11) 27-J.Mason up the middle to MIN 34 for 3 yards (96-Z.Harrison; 90-D.Onyemata).</x:v>
      </x:c>
      <x:c r="L279" t="str">
        <x:v>run</x:v>
      </x:c>
      <x:c r="M279" t="n">
        <x:v>3</x:v>
      </x:c>
      <x:c r="N279" t="n">
        <x:v>0</x:v>
      </x:c>
      <x:c r="O279" t="n">
        <x:v>0</x:v>
      </x:c>
      <x:c r="P279"/>
      <x:c r="Q279"/>
      <x:c r="R279"/>
      <x:c r="S279"/>
      <x:c r="T279" t="str">
        <x:v>middle</x:v>
      </x:c>
      <x:c r="U279"/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/>
      <x:c r="AC279" t="n">
        <x:v>0</x:v>
      </x:c>
      <x:c r="AD279" t="n">
        <x:v>-0.3256580699235201</x:v>
      </x:c>
      <x:c r="AE279" t="n">
        <x:v>0</x:v>
      </x:c>
      <x:c r="AF279" t="n">
        <x:v>-0.0048104822635650635</x:v>
      </x:c>
      <x:c r="AG279" t="n">
        <x:f>_xlfn.XLOOKUP($A279,Games!$A$2:$A$18,Games!$B$2:$B$18,"Missing game",0)</x:f>
        <x:v>2025</x:v>
      </x:c>
      <x:c r="AH279" t="str">
        <x:f>_xlfn.XLOOKUP($A279,Games!$A$2:$A$18,Games!$C$2:$C$18,"Missing game",0)</x:f>
        <x:v>REG</x:v>
      </x:c>
      <x:c r="AI279" t="n">
        <x:f>_xlfn.XLOOKUP($A279,Games!$A$2:$A$18,Games!$D$2:$D$18,"Missing game",0)</x:f>
        <x:v>2</x:v>
      </x:c>
      <x:c r="AJ279" s="1" t="n">
        <x:f>_xlfn.XLOOKUP($A279,Games!$A$2:$A$18,Games!$E$2:$E$18,"Missing game",0)</x:f>
        <x:v>45914</x:v>
      </x:c>
      <x:c r="AK279" t="str">
        <x:f>_xlfn.XLOOKUP($A279,Games!$A$2:$A$18,Games!$F$2:$F$18,"Missing game",0)</x:f>
        <x:v>Sunday</x:v>
      </x:c>
      <x:c r="AL279" t="str">
        <x:f>_xlfn.XLOOKUP($A279,Games!$A$2:$A$18,Games!$G$2:$G$18,"Missing game",0)</x:f>
        <x:v>ATL</x:v>
      </x:c>
      <x:c r="AM279" t="n">
        <x:f>_xlfn.XLOOKUP($A279,Games!$A$2:$A$18,Games!$H$2:$H$18,"Missing game",0)</x:f>
        <x:v>22</x:v>
      </x:c>
      <x:c r="AN279" t="str">
        <x:f>_xlfn.XLOOKUP($A279,Games!$A$2:$A$18,Games!$I$2:$I$18,"Missing game",0)</x:f>
        <x:v>MIN</x:v>
      </x:c>
      <x:c r="AO279" t="n">
        <x:f>_xlfn.XLOOKUP($A279,Games!$A$2:$A$18,Games!$J$2:$J$18,"Missing game",0)</x:f>
        <x:v>6</x:v>
      </x:c>
      <x:c r="AP279" t="n">
        <x:f>_xlfn.XLOOKUP($A279,Games!$A$2:$A$18,Games!$K$2:$K$18,"Missing game",0)</x:f>
        <x:v>-16</x:v>
      </x:c>
      <x:c r="AQ279" t="n">
        <x:f>_xlfn.XLOOKUP($A279,Games!$A$2:$A$18,Games!$L$2:$L$18,"Missing game",0)</x:f>
        <x:v>28</x:v>
      </x:c>
      <x:c r="AR279" t="n">
        <x:f>_xlfn.XLOOKUP($A279,Games!$A$2:$A$18,Games!$M$2:$M$18,"Missing game",0)</x:f>
        <x:v>0</x:v>
      </x:c>
      <x:c r="AS279" t="str">
        <x:f>_xlfn.XLOOKUP($A279,Games!$A$2:$A$18,Games!$N$2:$N$18,"Missing game",0)</x:f>
        <x:v>dome</x:v>
      </x:c>
      <x:c r="AT279" t="str">
        <x:f>_xlfn.XLOOKUP($A279,Games!$A$2:$A$18,Games!$O$2:$O$18,"Missing game",0)</x:f>
        <x:v>sportturf</x:v>
      </x:c>
      <x:c r="AU279" t="str">
        <x:f>_xlfn.XLOOKUP($A279,Games!$A$2:$A$18,Games!$P$2:$P$18,"Missing game",0)</x:f>
      </x:c>
      <x:c r="AV279" t="str">
        <x:f>_xlfn.XLOOKUP($A279,Games!$A$2:$A$18,Games!$Q$2:$Q$18,"Missing game",0)</x:f>
      </x:c>
      <x:c r="AW279" t="str">
        <x:f>_xlfn.XLOOKUP($A279,Games!$A$2:$A$18,Games!$R$2:$R$18,"Missing game",0)</x:f>
        <x:v>U.S. Bank Stadium</x:v>
      </x:c>
    </x:row>
    <x:row r="280">
      <x:c r="A280" t="str">
        <x:v>2025_02_ATL_MIN</x:v>
      </x:c>
      <x:c r="B280" t="n">
        <x:v>2577</x:v>
      </x:c>
      <x:c r="C280" t="n">
        <x:v>3</x:v>
      </x:c>
      <x:c r="D280" t="str">
        <x:v>05:32</x:v>
      </x:c>
      <x:c r="E280" t="n">
        <x:v>2</x:v>
      </x:c>
      <x:c r="F280" t="n">
        <x:v>7</x:v>
      </x:c>
      <x:c r="G280" t="str">
        <x:v>MIN</x:v>
      </x:c>
      <x:c r="H280" t="str">
        <x:v>ATL</x:v>
      </x:c>
      <x:c r="I280" t="str">
        <x:v>MIN</x:v>
      </x:c>
      <x:c r="J280" t="n">
        <x:v>66</x:v>
      </x:c>
      <x:c r="K280" t="str">
        <x:v>(5:32) (Shotgun) 9-J.McCarthy pass short right to 27-J.Mason to MIN 40 for 6 yards (20-D.Alford).</x:v>
      </x:c>
      <x:c r="L280" t="str">
        <x:v>pass</x:v>
      </x:c>
      <x:c r="M280" t="n">
        <x:v>6</x:v>
      </x:c>
      <x:c r="N280" t="n">
        <x:v>1</x:v>
      </x:c>
      <x:c r="O280" t="n">
        <x:v>0</x:v>
      </x:c>
      <x:c r="P280" t="str">
        <x:v>short</x:v>
      </x:c>
      <x:c r="Q280" t="str">
        <x:v>right</x:v>
      </x:c>
      <x:c r="R280" t="n">
        <x:v>-1</x:v>
      </x:c>
      <x:c r="S280" t="n">
        <x:v>7</x:v>
      </x:c>
      <x:c r="T280"/>
      <x:c r="U280"/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/>
      <x:c r="AC280" t="n">
        <x:v>0</x:v>
      </x:c>
      <x:c r="AD280" t="n">
        <x:v>0.4282250474207103</x:v>
      </x:c>
      <x:c r="AE280" t="n">
        <x:v>1</x:v>
      </x:c>
      <x:c r="AF280" t="n">
        <x:v>0.005578368902206421</x:v>
      </x:c>
      <x:c r="AG280" t="n">
        <x:f>_xlfn.XLOOKUP($A280,Games!$A$2:$A$18,Games!$B$2:$B$18,"Missing game",0)</x:f>
        <x:v>2025</x:v>
      </x:c>
      <x:c r="AH280" t="str">
        <x:f>_xlfn.XLOOKUP($A280,Games!$A$2:$A$18,Games!$C$2:$C$18,"Missing game",0)</x:f>
        <x:v>REG</x:v>
      </x:c>
      <x:c r="AI280" t="n">
        <x:f>_xlfn.XLOOKUP($A280,Games!$A$2:$A$18,Games!$D$2:$D$18,"Missing game",0)</x:f>
        <x:v>2</x:v>
      </x:c>
      <x:c r="AJ280" s="1" t="n">
        <x:f>_xlfn.XLOOKUP($A280,Games!$A$2:$A$18,Games!$E$2:$E$18,"Missing game",0)</x:f>
        <x:v>45914</x:v>
      </x:c>
      <x:c r="AK280" t="str">
        <x:f>_xlfn.XLOOKUP($A280,Games!$A$2:$A$18,Games!$F$2:$F$18,"Missing game",0)</x:f>
        <x:v>Sunday</x:v>
      </x:c>
      <x:c r="AL280" t="str">
        <x:f>_xlfn.XLOOKUP($A280,Games!$A$2:$A$18,Games!$G$2:$G$18,"Missing game",0)</x:f>
        <x:v>ATL</x:v>
      </x:c>
      <x:c r="AM280" t="n">
        <x:f>_xlfn.XLOOKUP($A280,Games!$A$2:$A$18,Games!$H$2:$H$18,"Missing game",0)</x:f>
        <x:v>22</x:v>
      </x:c>
      <x:c r="AN280" t="str">
        <x:f>_xlfn.XLOOKUP($A280,Games!$A$2:$A$18,Games!$I$2:$I$18,"Missing game",0)</x:f>
        <x:v>MIN</x:v>
      </x:c>
      <x:c r="AO280" t="n">
        <x:f>_xlfn.XLOOKUP($A280,Games!$A$2:$A$18,Games!$J$2:$J$18,"Missing game",0)</x:f>
        <x:v>6</x:v>
      </x:c>
      <x:c r="AP280" t="n">
        <x:f>_xlfn.XLOOKUP($A280,Games!$A$2:$A$18,Games!$K$2:$K$18,"Missing game",0)</x:f>
        <x:v>-16</x:v>
      </x:c>
      <x:c r="AQ280" t="n">
        <x:f>_xlfn.XLOOKUP($A280,Games!$A$2:$A$18,Games!$L$2:$L$18,"Missing game",0)</x:f>
        <x:v>28</x:v>
      </x:c>
      <x:c r="AR280" t="n">
        <x:f>_xlfn.XLOOKUP($A280,Games!$A$2:$A$18,Games!$M$2:$M$18,"Missing game",0)</x:f>
        <x:v>0</x:v>
      </x:c>
      <x:c r="AS280" t="str">
        <x:f>_xlfn.XLOOKUP($A280,Games!$A$2:$A$18,Games!$N$2:$N$18,"Missing game",0)</x:f>
        <x:v>dome</x:v>
      </x:c>
      <x:c r="AT280" t="str">
        <x:f>_xlfn.XLOOKUP($A280,Games!$A$2:$A$18,Games!$O$2:$O$18,"Missing game",0)</x:f>
        <x:v>sportturf</x:v>
      </x:c>
      <x:c r="AU280" t="str">
        <x:f>_xlfn.XLOOKUP($A280,Games!$A$2:$A$18,Games!$P$2:$P$18,"Missing game",0)</x:f>
      </x:c>
      <x:c r="AV280" t="str">
        <x:f>_xlfn.XLOOKUP($A280,Games!$A$2:$A$18,Games!$Q$2:$Q$18,"Missing game",0)</x:f>
      </x:c>
      <x:c r="AW280" t="str">
        <x:f>_xlfn.XLOOKUP($A280,Games!$A$2:$A$18,Games!$R$2:$R$18,"Missing game",0)</x:f>
        <x:v>U.S. Bank Stadium</x:v>
      </x:c>
    </x:row>
    <x:row r="281">
      <x:c r="A281" t="str">
        <x:v>2025_02_ATL_MIN</x:v>
      </x:c>
      <x:c r="B281" t="n">
        <x:v>2602</x:v>
      </x:c>
      <x:c r="C281" t="n">
        <x:v>3</x:v>
      </x:c>
      <x:c r="D281" t="str">
        <x:v>04:50</x:v>
      </x:c>
      <x:c r="E281" t="n">
        <x:v>3</x:v>
      </x:c>
      <x:c r="F281" t="n">
        <x:v>1</x:v>
      </x:c>
      <x:c r="G281" t="str">
        <x:v>MIN</x:v>
      </x:c>
      <x:c r="H281" t="str">
        <x:v>ATL</x:v>
      </x:c>
      <x:c r="I281" t="str">
        <x:v>MIN</x:v>
      </x:c>
      <x:c r="J281" t="n">
        <x:v>60</x:v>
      </x:c>
      <x:c r="K281" t="str">
        <x:v>(4:50) (Shotgun) 27-J.Mason up the middle to MIN 40 for no gain (0-D.Deablo; 55-K.Elliss).</x:v>
      </x:c>
      <x:c r="L281" t="str">
        <x:v>run</x:v>
      </x:c>
      <x:c r="M281" t="n">
        <x:v>0</x:v>
      </x:c>
      <x:c r="N281" t="n">
        <x:v>1</x:v>
      </x:c>
      <x:c r="O281" t="n">
        <x:v>0</x:v>
      </x:c>
      <x:c r="P281"/>
      <x:c r="Q281"/>
      <x:c r="R281"/>
      <x:c r="S281"/>
      <x:c r="T281" t="str">
        <x:v>middle</x:v>
      </x:c>
      <x:c r="U281"/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/>
      <x:c r="AC281" t="n">
        <x:v>0</x:v>
      </x:c>
      <x:c r="AD281" t="n">
        <x:v>-1.8256965042091906</x:v>
      </x:c>
      <x:c r="AE281" t="n">
        <x:v>0</x:v>
      </x:c>
      <x:c r="AF281" t="n">
        <x:v>-0.06227728724479675</x:v>
      </x:c>
      <x:c r="AG281" t="n">
        <x:f>_xlfn.XLOOKUP($A281,Games!$A$2:$A$18,Games!$B$2:$B$18,"Missing game",0)</x:f>
        <x:v>2025</x:v>
      </x:c>
      <x:c r="AH281" t="str">
        <x:f>_xlfn.XLOOKUP($A281,Games!$A$2:$A$18,Games!$C$2:$C$18,"Missing game",0)</x:f>
        <x:v>REG</x:v>
      </x:c>
      <x:c r="AI281" t="n">
        <x:f>_xlfn.XLOOKUP($A281,Games!$A$2:$A$18,Games!$D$2:$D$18,"Missing game",0)</x:f>
        <x:v>2</x:v>
      </x:c>
      <x:c r="AJ281" s="1" t="n">
        <x:f>_xlfn.XLOOKUP($A281,Games!$A$2:$A$18,Games!$E$2:$E$18,"Missing game",0)</x:f>
        <x:v>45914</x:v>
      </x:c>
      <x:c r="AK281" t="str">
        <x:f>_xlfn.XLOOKUP($A281,Games!$A$2:$A$18,Games!$F$2:$F$18,"Missing game",0)</x:f>
        <x:v>Sunday</x:v>
      </x:c>
      <x:c r="AL281" t="str">
        <x:f>_xlfn.XLOOKUP($A281,Games!$A$2:$A$18,Games!$G$2:$G$18,"Missing game",0)</x:f>
        <x:v>ATL</x:v>
      </x:c>
      <x:c r="AM281" t="n">
        <x:f>_xlfn.XLOOKUP($A281,Games!$A$2:$A$18,Games!$H$2:$H$18,"Missing game",0)</x:f>
        <x:v>22</x:v>
      </x:c>
      <x:c r="AN281" t="str">
        <x:f>_xlfn.XLOOKUP($A281,Games!$A$2:$A$18,Games!$I$2:$I$18,"Missing game",0)</x:f>
        <x:v>MIN</x:v>
      </x:c>
      <x:c r="AO281" t="n">
        <x:f>_xlfn.XLOOKUP($A281,Games!$A$2:$A$18,Games!$J$2:$J$18,"Missing game",0)</x:f>
        <x:v>6</x:v>
      </x:c>
      <x:c r="AP281" t="n">
        <x:f>_xlfn.XLOOKUP($A281,Games!$A$2:$A$18,Games!$K$2:$K$18,"Missing game",0)</x:f>
        <x:v>-16</x:v>
      </x:c>
      <x:c r="AQ281" t="n">
        <x:f>_xlfn.XLOOKUP($A281,Games!$A$2:$A$18,Games!$L$2:$L$18,"Missing game",0)</x:f>
        <x:v>28</x:v>
      </x:c>
      <x:c r="AR281" t="n">
        <x:f>_xlfn.XLOOKUP($A281,Games!$A$2:$A$18,Games!$M$2:$M$18,"Missing game",0)</x:f>
        <x:v>0</x:v>
      </x:c>
      <x:c r="AS281" t="str">
        <x:f>_xlfn.XLOOKUP($A281,Games!$A$2:$A$18,Games!$N$2:$N$18,"Missing game",0)</x:f>
        <x:v>dome</x:v>
      </x:c>
      <x:c r="AT281" t="str">
        <x:f>_xlfn.XLOOKUP($A281,Games!$A$2:$A$18,Games!$O$2:$O$18,"Missing game",0)</x:f>
        <x:v>sportturf</x:v>
      </x:c>
      <x:c r="AU281" t="str">
        <x:f>_xlfn.XLOOKUP($A281,Games!$A$2:$A$18,Games!$P$2:$P$18,"Missing game",0)</x:f>
      </x:c>
      <x:c r="AV281" t="str">
        <x:f>_xlfn.XLOOKUP($A281,Games!$A$2:$A$18,Games!$Q$2:$Q$18,"Missing game",0)</x:f>
      </x:c>
      <x:c r="AW281" t="str">
        <x:f>_xlfn.XLOOKUP($A281,Games!$A$2:$A$18,Games!$R$2:$R$18,"Missing game",0)</x:f>
        <x:v>U.S. Bank Stadium</x:v>
      </x:c>
    </x:row>
    <x:row r="282">
      <x:c r="A282" t="str">
        <x:v>2025_02_ATL_MIN</x:v>
      </x:c>
      <x:c r="B282" t="n">
        <x:v>2624</x:v>
      </x:c>
      <x:c r="C282" t="n">
        <x:v>3</x:v>
      </x:c>
      <x:c r="D282" t="str">
        <x:v>04:05</x:v>
      </x:c>
      <x:c r="E282" t="n">
        <x:v>4</x:v>
      </x:c>
      <x:c r="F282" t="n">
        <x:v>1</x:v>
      </x:c>
      <x:c r="G282" t="str">
        <x:v>MIN</x:v>
      </x:c>
      <x:c r="H282" t="str">
        <x:v>ATL</x:v>
      </x:c>
      <x:c r="I282" t="str">
        <x:v>MIN</x:v>
      </x:c>
      <x:c r="J282" t="n">
        <x:v>60</x:v>
      </x:c>
      <x:c r="K282" t="str">
        <x:v>(4:05) 9-J.McCarthy up the middle to MIN 41 for 1 yard (90-D.Onyemata).</x:v>
      </x:c>
      <x:c r="L282" t="str">
        <x:v>run</x:v>
      </x:c>
      <x:c r="M282" t="n">
        <x:v>1</x:v>
      </x:c>
      <x:c r="N282" t="n">
        <x:v>0</x:v>
      </x:c>
      <x:c r="O282" t="n">
        <x:v>0</x:v>
      </x:c>
      <x:c r="P282"/>
      <x:c r="Q282"/>
      <x:c r="R282"/>
      <x:c r="S282"/>
      <x:c r="T282" t="str">
        <x:v>middle</x:v>
      </x:c>
      <x:c r="U282"/>
      <x:c r="V282" t="n">
        <x:v>0</x:v>
      </x:c>
      <x:c r="W282" t="n">
        <x:v>1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/>
      <x:c r="AC282" t="n">
        <x:v>0</x:v>
      </x:c>
      <x:c r="AD282" t="n">
        <x:v>2.2532054195180535</x:v>
      </x:c>
      <x:c r="AE282" t="n">
        <x:v>1</x:v>
      </x:c>
      <x:c r="AF282" t="n">
        <x:v>0.05306851863861084</x:v>
      </x:c>
      <x:c r="AG282" t="n">
        <x:f>_xlfn.XLOOKUP($A282,Games!$A$2:$A$18,Games!$B$2:$B$18,"Missing game",0)</x:f>
        <x:v>2025</x:v>
      </x:c>
      <x:c r="AH282" t="str">
        <x:f>_xlfn.XLOOKUP($A282,Games!$A$2:$A$18,Games!$C$2:$C$18,"Missing game",0)</x:f>
        <x:v>REG</x:v>
      </x:c>
      <x:c r="AI282" t="n">
        <x:f>_xlfn.XLOOKUP($A282,Games!$A$2:$A$18,Games!$D$2:$D$18,"Missing game",0)</x:f>
        <x:v>2</x:v>
      </x:c>
      <x:c r="AJ282" s="1" t="n">
        <x:f>_xlfn.XLOOKUP($A282,Games!$A$2:$A$18,Games!$E$2:$E$18,"Missing game",0)</x:f>
        <x:v>45914</x:v>
      </x:c>
      <x:c r="AK282" t="str">
        <x:f>_xlfn.XLOOKUP($A282,Games!$A$2:$A$18,Games!$F$2:$F$18,"Missing game",0)</x:f>
        <x:v>Sunday</x:v>
      </x:c>
      <x:c r="AL282" t="str">
        <x:f>_xlfn.XLOOKUP($A282,Games!$A$2:$A$18,Games!$G$2:$G$18,"Missing game",0)</x:f>
        <x:v>ATL</x:v>
      </x:c>
      <x:c r="AM282" t="n">
        <x:f>_xlfn.XLOOKUP($A282,Games!$A$2:$A$18,Games!$H$2:$H$18,"Missing game",0)</x:f>
        <x:v>22</x:v>
      </x:c>
      <x:c r="AN282" t="str">
        <x:f>_xlfn.XLOOKUP($A282,Games!$A$2:$A$18,Games!$I$2:$I$18,"Missing game",0)</x:f>
        <x:v>MIN</x:v>
      </x:c>
      <x:c r="AO282" t="n">
        <x:f>_xlfn.XLOOKUP($A282,Games!$A$2:$A$18,Games!$J$2:$J$18,"Missing game",0)</x:f>
        <x:v>6</x:v>
      </x:c>
      <x:c r="AP282" t="n">
        <x:f>_xlfn.XLOOKUP($A282,Games!$A$2:$A$18,Games!$K$2:$K$18,"Missing game",0)</x:f>
        <x:v>-16</x:v>
      </x:c>
      <x:c r="AQ282" t="n">
        <x:f>_xlfn.XLOOKUP($A282,Games!$A$2:$A$18,Games!$L$2:$L$18,"Missing game",0)</x:f>
        <x:v>28</x:v>
      </x:c>
      <x:c r="AR282" t="n">
        <x:f>_xlfn.XLOOKUP($A282,Games!$A$2:$A$18,Games!$M$2:$M$18,"Missing game",0)</x:f>
        <x:v>0</x:v>
      </x:c>
      <x:c r="AS282" t="str">
        <x:f>_xlfn.XLOOKUP($A282,Games!$A$2:$A$18,Games!$N$2:$N$18,"Missing game",0)</x:f>
        <x:v>dome</x:v>
      </x:c>
      <x:c r="AT282" t="str">
        <x:f>_xlfn.XLOOKUP($A282,Games!$A$2:$A$18,Games!$O$2:$O$18,"Missing game",0)</x:f>
        <x:v>sportturf</x:v>
      </x:c>
      <x:c r="AU282" t="str">
        <x:f>_xlfn.XLOOKUP($A282,Games!$A$2:$A$18,Games!$P$2:$P$18,"Missing game",0)</x:f>
      </x:c>
      <x:c r="AV282" t="str">
        <x:f>_xlfn.XLOOKUP($A282,Games!$A$2:$A$18,Games!$Q$2:$Q$18,"Missing game",0)</x:f>
      </x:c>
      <x:c r="AW282" t="str">
        <x:f>_xlfn.XLOOKUP($A282,Games!$A$2:$A$18,Games!$R$2:$R$18,"Missing game",0)</x:f>
        <x:v>U.S. Bank Stadium</x:v>
      </x:c>
    </x:row>
    <x:row r="283">
      <x:c r="A283" t="str">
        <x:v>2025_02_ATL_MIN</x:v>
      </x:c>
      <x:c r="B283" t="n">
        <x:v>2646</x:v>
      </x:c>
      <x:c r="C283" t="n">
        <x:v>3</x:v>
      </x:c>
      <x:c r="D283" t="str">
        <x:v>03:21</x:v>
      </x:c>
      <x:c r="E283" t="n">
        <x:v>1</x:v>
      </x:c>
      <x:c r="F283" t="n">
        <x:v>10</x:v>
      </x:c>
      <x:c r="G283" t="str">
        <x:v>MIN</x:v>
      </x:c>
      <x:c r="H283" t="str">
        <x:v>ATL</x:v>
      </x:c>
      <x:c r="I283" t="str">
        <x:v>MIN</x:v>
      </x:c>
      <x:c r="J283" t="n">
        <x:v>59</x:v>
      </x:c>
      <x:c r="K283" t="str">
        <x:v>(3:21) 27-J.Mason left end to ATL 41 for 18 yards (31-X.Watts). PENALTY on MIN-73-W.Rouse, Offensive Holding, 10 yards, enforced at MIN 41 - No Play.</x:v>
      </x:c>
      <x:c r="L283" t="str">
        <x:v>no_play</x:v>
      </x:c>
      <x:c r="M283" t="n">
        <x:v>0</x:v>
      </x:c>
      <x:c r="N283" t="n">
        <x:v>0</x:v>
      </x:c>
      <x:c r="O283" t="n">
        <x:v>0</x:v>
      </x:c>
      <x:c r="P283"/>
      <x:c r="Q283"/>
      <x:c r="R283"/>
      <x:c r="S283"/>
      <x:c r="T283"/>
      <x:c r="U283"/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1</x:v>
      </x:c>
      <x:c r="AB283" t="n">
        <x:v>10</x:v>
      </x:c>
      <x:c r="AC283" t="n">
        <x:v>0</x:v>
      </x:c>
      <x:c r="AD283" t="n">
        <x:v>-0.8253023345023394</x:v>
      </x:c>
      <x:c r="AE283" t="n">
        <x:v>0</x:v>
      </x:c>
      <x:c r="AF283" t="n">
        <x:v>-0.029471099376678467</x:v>
      </x:c>
      <x:c r="AG283" t="n">
        <x:f>_xlfn.XLOOKUP($A283,Games!$A$2:$A$18,Games!$B$2:$B$18,"Missing game",0)</x:f>
        <x:v>2025</x:v>
      </x:c>
      <x:c r="AH283" t="str">
        <x:f>_xlfn.XLOOKUP($A283,Games!$A$2:$A$18,Games!$C$2:$C$18,"Missing game",0)</x:f>
        <x:v>REG</x:v>
      </x:c>
      <x:c r="AI283" t="n">
        <x:f>_xlfn.XLOOKUP($A283,Games!$A$2:$A$18,Games!$D$2:$D$18,"Missing game",0)</x:f>
        <x:v>2</x:v>
      </x:c>
      <x:c r="AJ283" s="1" t="n">
        <x:f>_xlfn.XLOOKUP($A283,Games!$A$2:$A$18,Games!$E$2:$E$18,"Missing game",0)</x:f>
        <x:v>45914</x:v>
      </x:c>
      <x:c r="AK283" t="str">
        <x:f>_xlfn.XLOOKUP($A283,Games!$A$2:$A$18,Games!$F$2:$F$18,"Missing game",0)</x:f>
        <x:v>Sunday</x:v>
      </x:c>
      <x:c r="AL283" t="str">
        <x:f>_xlfn.XLOOKUP($A283,Games!$A$2:$A$18,Games!$G$2:$G$18,"Missing game",0)</x:f>
        <x:v>ATL</x:v>
      </x:c>
      <x:c r="AM283" t="n">
        <x:f>_xlfn.XLOOKUP($A283,Games!$A$2:$A$18,Games!$H$2:$H$18,"Missing game",0)</x:f>
        <x:v>22</x:v>
      </x:c>
      <x:c r="AN283" t="str">
        <x:f>_xlfn.XLOOKUP($A283,Games!$A$2:$A$18,Games!$I$2:$I$18,"Missing game",0)</x:f>
        <x:v>MIN</x:v>
      </x:c>
      <x:c r="AO283" t="n">
        <x:f>_xlfn.XLOOKUP($A283,Games!$A$2:$A$18,Games!$J$2:$J$18,"Missing game",0)</x:f>
        <x:v>6</x:v>
      </x:c>
      <x:c r="AP283" t="n">
        <x:f>_xlfn.XLOOKUP($A283,Games!$A$2:$A$18,Games!$K$2:$K$18,"Missing game",0)</x:f>
        <x:v>-16</x:v>
      </x:c>
      <x:c r="AQ283" t="n">
        <x:f>_xlfn.XLOOKUP($A283,Games!$A$2:$A$18,Games!$L$2:$L$18,"Missing game",0)</x:f>
        <x:v>28</x:v>
      </x:c>
      <x:c r="AR283" t="n">
        <x:f>_xlfn.XLOOKUP($A283,Games!$A$2:$A$18,Games!$M$2:$M$18,"Missing game",0)</x:f>
        <x:v>0</x:v>
      </x:c>
      <x:c r="AS283" t="str">
        <x:f>_xlfn.XLOOKUP($A283,Games!$A$2:$A$18,Games!$N$2:$N$18,"Missing game",0)</x:f>
        <x:v>dome</x:v>
      </x:c>
      <x:c r="AT283" t="str">
        <x:f>_xlfn.XLOOKUP($A283,Games!$A$2:$A$18,Games!$O$2:$O$18,"Missing game",0)</x:f>
        <x:v>sportturf</x:v>
      </x:c>
      <x:c r="AU283" t="str">
        <x:f>_xlfn.XLOOKUP($A283,Games!$A$2:$A$18,Games!$P$2:$P$18,"Missing game",0)</x:f>
      </x:c>
      <x:c r="AV283" t="str">
        <x:f>_xlfn.XLOOKUP($A283,Games!$A$2:$A$18,Games!$Q$2:$Q$18,"Missing game",0)</x:f>
      </x:c>
      <x:c r="AW283" t="str">
        <x:f>_xlfn.XLOOKUP($A283,Games!$A$2:$A$18,Games!$R$2:$R$18,"Missing game",0)</x:f>
        <x:v>U.S. Bank Stadium</x:v>
      </x:c>
    </x:row>
    <x:row r="284">
      <x:c r="A284" t="str">
        <x:v>2025_02_ATL_MIN</x:v>
      </x:c>
      <x:c r="B284" t="n">
        <x:v>2679</x:v>
      </x:c>
      <x:c r="C284" t="n">
        <x:v>3</x:v>
      </x:c>
      <x:c r="D284" t="str">
        <x:v>02:56</x:v>
      </x:c>
      <x:c r="E284" t="n">
        <x:v>1</x:v>
      </x:c>
      <x:c r="F284" t="n">
        <x:v>20</x:v>
      </x:c>
      <x:c r="G284" t="str">
        <x:v>MIN</x:v>
      </x:c>
      <x:c r="H284" t="str">
        <x:v>ATL</x:v>
      </x:c>
      <x:c r="I284" t="str">
        <x:v>MIN</x:v>
      </x:c>
      <x:c r="J284" t="n">
        <x:v>69</x:v>
      </x:c>
      <x:c r="K284" t="str">
        <x:v>(2:56) 9-J.McCarthy pass incomplete short right to 33-A.Jones.</x:v>
      </x:c>
      <x:c r="L284" t="str">
        <x:v>pass</x:v>
      </x:c>
      <x:c r="M284" t="n">
        <x:v>0</x:v>
      </x:c>
      <x:c r="N284" t="n">
        <x:v>0</x:v>
      </x:c>
      <x:c r="O284" t="n">
        <x:v>0</x:v>
      </x:c>
      <x:c r="P284" t="str">
        <x:v>short</x:v>
      </x:c>
      <x:c r="Q284" t="str">
        <x:v>right</x:v>
      </x:c>
      <x:c r="R284" t="n">
        <x:v>-5</x:v>
      </x:c>
      <x:c r="S284"/>
      <x:c r="T284"/>
      <x:c r="U284"/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/>
      <x:c r="AC284" t="n">
        <x:v>0</x:v>
      </x:c>
      <x:c r="AD284" t="n">
        <x:v>-0.6057117329910398</x:v>
      </x:c>
      <x:c r="AE284" t="n">
        <x:v>0</x:v>
      </x:c>
      <x:c r="AF284" t="n">
        <x:v>-0.026669710874557495</x:v>
      </x:c>
      <x:c r="AG284" t="n">
        <x:f>_xlfn.XLOOKUP($A284,Games!$A$2:$A$18,Games!$B$2:$B$18,"Missing game",0)</x:f>
        <x:v>2025</x:v>
      </x:c>
      <x:c r="AH284" t="str">
        <x:f>_xlfn.XLOOKUP($A284,Games!$A$2:$A$18,Games!$C$2:$C$18,"Missing game",0)</x:f>
        <x:v>REG</x:v>
      </x:c>
      <x:c r="AI284" t="n">
        <x:f>_xlfn.XLOOKUP($A284,Games!$A$2:$A$18,Games!$D$2:$D$18,"Missing game",0)</x:f>
        <x:v>2</x:v>
      </x:c>
      <x:c r="AJ284" s="1" t="n">
        <x:f>_xlfn.XLOOKUP($A284,Games!$A$2:$A$18,Games!$E$2:$E$18,"Missing game",0)</x:f>
        <x:v>45914</x:v>
      </x:c>
      <x:c r="AK284" t="str">
        <x:f>_xlfn.XLOOKUP($A284,Games!$A$2:$A$18,Games!$F$2:$F$18,"Missing game",0)</x:f>
        <x:v>Sunday</x:v>
      </x:c>
      <x:c r="AL284" t="str">
        <x:f>_xlfn.XLOOKUP($A284,Games!$A$2:$A$18,Games!$G$2:$G$18,"Missing game",0)</x:f>
        <x:v>ATL</x:v>
      </x:c>
      <x:c r="AM284" t="n">
        <x:f>_xlfn.XLOOKUP($A284,Games!$A$2:$A$18,Games!$H$2:$H$18,"Missing game",0)</x:f>
        <x:v>22</x:v>
      </x:c>
      <x:c r="AN284" t="str">
        <x:f>_xlfn.XLOOKUP($A284,Games!$A$2:$A$18,Games!$I$2:$I$18,"Missing game",0)</x:f>
        <x:v>MIN</x:v>
      </x:c>
      <x:c r="AO284" t="n">
        <x:f>_xlfn.XLOOKUP($A284,Games!$A$2:$A$18,Games!$J$2:$J$18,"Missing game",0)</x:f>
        <x:v>6</x:v>
      </x:c>
      <x:c r="AP284" t="n">
        <x:f>_xlfn.XLOOKUP($A284,Games!$A$2:$A$18,Games!$K$2:$K$18,"Missing game",0)</x:f>
        <x:v>-16</x:v>
      </x:c>
      <x:c r="AQ284" t="n">
        <x:f>_xlfn.XLOOKUP($A284,Games!$A$2:$A$18,Games!$L$2:$L$18,"Missing game",0)</x:f>
        <x:v>28</x:v>
      </x:c>
      <x:c r="AR284" t="n">
        <x:f>_xlfn.XLOOKUP($A284,Games!$A$2:$A$18,Games!$M$2:$M$18,"Missing game",0)</x:f>
        <x:v>0</x:v>
      </x:c>
      <x:c r="AS284" t="str">
        <x:f>_xlfn.XLOOKUP($A284,Games!$A$2:$A$18,Games!$N$2:$N$18,"Missing game",0)</x:f>
        <x:v>dome</x:v>
      </x:c>
      <x:c r="AT284" t="str">
        <x:f>_xlfn.XLOOKUP($A284,Games!$A$2:$A$18,Games!$O$2:$O$18,"Missing game",0)</x:f>
        <x:v>sportturf</x:v>
      </x:c>
      <x:c r="AU284" t="str">
        <x:f>_xlfn.XLOOKUP($A284,Games!$A$2:$A$18,Games!$P$2:$P$18,"Missing game",0)</x:f>
      </x:c>
      <x:c r="AV284" t="str">
        <x:f>_xlfn.XLOOKUP($A284,Games!$A$2:$A$18,Games!$Q$2:$Q$18,"Missing game",0)</x:f>
      </x:c>
      <x:c r="AW284" t="str">
        <x:f>_xlfn.XLOOKUP($A284,Games!$A$2:$A$18,Games!$R$2:$R$18,"Missing game",0)</x:f>
        <x:v>U.S. Bank Stadium</x:v>
      </x:c>
    </x:row>
    <x:row r="285">
      <x:c r="A285" t="str">
        <x:v>2025_02_ATL_MIN</x:v>
      </x:c>
      <x:c r="B285" t="n">
        <x:v>2702</x:v>
      </x:c>
      <x:c r="C285" t="n">
        <x:v>3</x:v>
      </x:c>
      <x:c r="D285" t="str">
        <x:v>02:52</x:v>
      </x:c>
      <x:c r="E285" t="n">
        <x:v>2</x:v>
      </x:c>
      <x:c r="F285" t="n">
        <x:v>20</x:v>
      </x:c>
      <x:c r="G285" t="str">
        <x:v>MIN</x:v>
      </x:c>
      <x:c r="H285" t="str">
        <x:v>ATL</x:v>
      </x:c>
      <x:c r="I285" t="str">
        <x:v>MIN</x:v>
      </x:c>
      <x:c r="J285" t="n">
        <x:v>69</x:v>
      </x:c>
      <x:c r="K285" t="str">
        <x:v>(2:52) (No Huddle, Shotgun) 9-J.McCarthy scrambles left end to MIN 47 for 16 yards (55-K.Elliss).</x:v>
      </x:c>
      <x:c r="L285" t="str">
        <x:v>run</x:v>
      </x:c>
      <x:c r="M285" t="n">
        <x:v>16</x:v>
      </x:c>
      <x:c r="N285" t="n">
        <x:v>1</x:v>
      </x:c>
      <x:c r="O285" t="n">
        <x:v>1</x:v>
      </x:c>
      <x:c r="P285"/>
      <x:c r="Q285"/>
      <x:c r="R285"/>
      <x:c r="S285"/>
      <x:c r="T285" t="str">
        <x:v>left</x:v>
      </x:c>
      <x:c r="U285" t="str">
        <x:v>end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/>
      <x:c r="AC285" t="n">
        <x:v>0</x:v>
      </x:c>
      <x:c r="AD285" t="n">
        <x:v>0.8026101703289896</x:v>
      </x:c>
      <x:c r="AE285" t="n">
        <x:v>1</x:v>
      </x:c>
      <x:c r="AF285" t="n">
        <x:v>0.03276103734970093</x:v>
      </x:c>
      <x:c r="AG285" t="n">
        <x:f>_xlfn.XLOOKUP($A285,Games!$A$2:$A$18,Games!$B$2:$B$18,"Missing game",0)</x:f>
        <x:v>2025</x:v>
      </x:c>
      <x:c r="AH285" t="str">
        <x:f>_xlfn.XLOOKUP($A285,Games!$A$2:$A$18,Games!$C$2:$C$18,"Missing game",0)</x:f>
        <x:v>REG</x:v>
      </x:c>
      <x:c r="AI285" t="n">
        <x:f>_xlfn.XLOOKUP($A285,Games!$A$2:$A$18,Games!$D$2:$D$18,"Missing game",0)</x:f>
        <x:v>2</x:v>
      </x:c>
      <x:c r="AJ285" s="1" t="n">
        <x:f>_xlfn.XLOOKUP($A285,Games!$A$2:$A$18,Games!$E$2:$E$18,"Missing game",0)</x:f>
        <x:v>45914</x:v>
      </x:c>
      <x:c r="AK285" t="str">
        <x:f>_xlfn.XLOOKUP($A285,Games!$A$2:$A$18,Games!$F$2:$F$18,"Missing game",0)</x:f>
        <x:v>Sunday</x:v>
      </x:c>
      <x:c r="AL285" t="str">
        <x:f>_xlfn.XLOOKUP($A285,Games!$A$2:$A$18,Games!$G$2:$G$18,"Missing game",0)</x:f>
        <x:v>ATL</x:v>
      </x:c>
      <x:c r="AM285" t="n">
        <x:f>_xlfn.XLOOKUP($A285,Games!$A$2:$A$18,Games!$H$2:$H$18,"Missing game",0)</x:f>
        <x:v>22</x:v>
      </x:c>
      <x:c r="AN285" t="str">
        <x:f>_xlfn.XLOOKUP($A285,Games!$A$2:$A$18,Games!$I$2:$I$18,"Missing game",0)</x:f>
        <x:v>MIN</x:v>
      </x:c>
      <x:c r="AO285" t="n">
        <x:f>_xlfn.XLOOKUP($A285,Games!$A$2:$A$18,Games!$J$2:$J$18,"Missing game",0)</x:f>
        <x:v>6</x:v>
      </x:c>
      <x:c r="AP285" t="n">
        <x:f>_xlfn.XLOOKUP($A285,Games!$A$2:$A$18,Games!$K$2:$K$18,"Missing game",0)</x:f>
        <x:v>-16</x:v>
      </x:c>
      <x:c r="AQ285" t="n">
        <x:f>_xlfn.XLOOKUP($A285,Games!$A$2:$A$18,Games!$L$2:$L$18,"Missing game",0)</x:f>
        <x:v>28</x:v>
      </x:c>
      <x:c r="AR285" t="n">
        <x:f>_xlfn.XLOOKUP($A285,Games!$A$2:$A$18,Games!$M$2:$M$18,"Missing game",0)</x:f>
        <x:v>0</x:v>
      </x:c>
      <x:c r="AS285" t="str">
        <x:f>_xlfn.XLOOKUP($A285,Games!$A$2:$A$18,Games!$N$2:$N$18,"Missing game",0)</x:f>
        <x:v>dome</x:v>
      </x:c>
      <x:c r="AT285" t="str">
        <x:f>_xlfn.XLOOKUP($A285,Games!$A$2:$A$18,Games!$O$2:$O$18,"Missing game",0)</x:f>
        <x:v>sportturf</x:v>
      </x:c>
      <x:c r="AU285" t="str">
        <x:f>_xlfn.XLOOKUP($A285,Games!$A$2:$A$18,Games!$P$2:$P$18,"Missing game",0)</x:f>
      </x:c>
      <x:c r="AV285" t="str">
        <x:f>_xlfn.XLOOKUP($A285,Games!$A$2:$A$18,Games!$Q$2:$Q$18,"Missing game",0)</x:f>
      </x:c>
      <x:c r="AW285" t="str">
        <x:f>_xlfn.XLOOKUP($A285,Games!$A$2:$A$18,Games!$R$2:$R$18,"Missing game",0)</x:f>
        <x:v>U.S. Bank Stadium</x:v>
      </x:c>
    </x:row>
    <x:row r="286">
      <x:c r="A286" t="str">
        <x:v>2025_02_ATL_MIN</x:v>
      </x:c>
      <x:c r="B286" t="n">
        <x:v>2724</x:v>
      </x:c>
      <x:c r="C286" t="n">
        <x:v>3</x:v>
      </x:c>
      <x:c r="D286" t="str">
        <x:v>02:01</x:v>
      </x:c>
      <x:c r="E286" t="n">
        <x:v>3</x:v>
      </x:c>
      <x:c r="F286" t="n">
        <x:v>4</x:v>
      </x:c>
      <x:c r="G286" t="str">
        <x:v>MIN</x:v>
      </x:c>
      <x:c r="H286" t="str">
        <x:v>ATL</x:v>
      </x:c>
      <x:c r="I286" t="str">
        <x:v>MIN</x:v>
      </x:c>
      <x:c r="J286" t="n">
        <x:v>53</x:v>
      </x:c>
      <x:c r="K286" t="str">
        <x:v>(2:01) (Shotgun) PENALTY on MIN-75-B.O'Neill, False Start, 5 yards, enforced at MIN 47 - No Play.</x:v>
      </x:c>
      <x:c r="L286" t="str">
        <x:v>no_play</x:v>
      </x:c>
      <x:c r="M286" t="n">
        <x:v>0</x:v>
      </x:c>
      <x:c r="N286" t="n">
        <x:v>1</x:v>
      </x:c>
      <x:c r="O286" t="n">
        <x:v>0</x:v>
      </x:c>
      <x:c r="P286"/>
      <x:c r="Q286"/>
      <x:c r="R286"/>
      <x:c r="S286"/>
      <x:c r="T286"/>
      <x:c r="U286"/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1</x:v>
      </x:c>
      <x:c r="AB286" t="n">
        <x:v>5</x:v>
      </x:c>
      <x:c r="AC286" t="n">
        <x:v>0</x:v>
      </x:c>
      <x:c r="AD286" t="n">
        <x:v>-0.7342761282343417</x:v>
      </x:c>
      <x:c r="AE286" t="n">
        <x:v>0</x:v>
      </x:c>
      <x:c r="AF286" t="n">
        <x:v>-0.05101531744003296</x:v>
      </x:c>
      <x:c r="AG286" t="n">
        <x:f>_xlfn.XLOOKUP($A286,Games!$A$2:$A$18,Games!$B$2:$B$18,"Missing game",0)</x:f>
        <x:v>2025</x:v>
      </x:c>
      <x:c r="AH286" t="str">
        <x:f>_xlfn.XLOOKUP($A286,Games!$A$2:$A$18,Games!$C$2:$C$18,"Missing game",0)</x:f>
        <x:v>REG</x:v>
      </x:c>
      <x:c r="AI286" t="n">
        <x:f>_xlfn.XLOOKUP($A286,Games!$A$2:$A$18,Games!$D$2:$D$18,"Missing game",0)</x:f>
        <x:v>2</x:v>
      </x:c>
      <x:c r="AJ286" s="1" t="n">
        <x:f>_xlfn.XLOOKUP($A286,Games!$A$2:$A$18,Games!$E$2:$E$18,"Missing game",0)</x:f>
        <x:v>45914</x:v>
      </x:c>
      <x:c r="AK286" t="str">
        <x:f>_xlfn.XLOOKUP($A286,Games!$A$2:$A$18,Games!$F$2:$F$18,"Missing game",0)</x:f>
        <x:v>Sunday</x:v>
      </x:c>
      <x:c r="AL286" t="str">
        <x:f>_xlfn.XLOOKUP($A286,Games!$A$2:$A$18,Games!$G$2:$G$18,"Missing game",0)</x:f>
        <x:v>ATL</x:v>
      </x:c>
      <x:c r="AM286" t="n">
        <x:f>_xlfn.XLOOKUP($A286,Games!$A$2:$A$18,Games!$H$2:$H$18,"Missing game",0)</x:f>
        <x:v>22</x:v>
      </x:c>
      <x:c r="AN286" t="str">
        <x:f>_xlfn.XLOOKUP($A286,Games!$A$2:$A$18,Games!$I$2:$I$18,"Missing game",0)</x:f>
        <x:v>MIN</x:v>
      </x:c>
      <x:c r="AO286" t="n">
        <x:f>_xlfn.XLOOKUP($A286,Games!$A$2:$A$18,Games!$J$2:$J$18,"Missing game",0)</x:f>
        <x:v>6</x:v>
      </x:c>
      <x:c r="AP286" t="n">
        <x:f>_xlfn.XLOOKUP($A286,Games!$A$2:$A$18,Games!$K$2:$K$18,"Missing game",0)</x:f>
        <x:v>-16</x:v>
      </x:c>
      <x:c r="AQ286" t="n">
        <x:f>_xlfn.XLOOKUP($A286,Games!$A$2:$A$18,Games!$L$2:$L$18,"Missing game",0)</x:f>
        <x:v>28</x:v>
      </x:c>
      <x:c r="AR286" t="n">
        <x:f>_xlfn.XLOOKUP($A286,Games!$A$2:$A$18,Games!$M$2:$M$18,"Missing game",0)</x:f>
        <x:v>0</x:v>
      </x:c>
      <x:c r="AS286" t="str">
        <x:f>_xlfn.XLOOKUP($A286,Games!$A$2:$A$18,Games!$N$2:$N$18,"Missing game",0)</x:f>
        <x:v>dome</x:v>
      </x:c>
      <x:c r="AT286" t="str">
        <x:f>_xlfn.XLOOKUP($A286,Games!$A$2:$A$18,Games!$O$2:$O$18,"Missing game",0)</x:f>
        <x:v>sportturf</x:v>
      </x:c>
      <x:c r="AU286" t="str">
        <x:f>_xlfn.XLOOKUP($A286,Games!$A$2:$A$18,Games!$P$2:$P$18,"Missing game",0)</x:f>
      </x:c>
      <x:c r="AV286" t="str">
        <x:f>_xlfn.XLOOKUP($A286,Games!$A$2:$A$18,Games!$Q$2:$Q$18,"Missing game",0)</x:f>
      </x:c>
      <x:c r="AW286" t="str">
        <x:f>_xlfn.XLOOKUP($A286,Games!$A$2:$A$18,Games!$R$2:$R$18,"Missing game",0)</x:f>
        <x:v>U.S. Bank Stadium</x:v>
      </x:c>
    </x:row>
    <x:row r="287">
      <x:c r="A287" t="str">
        <x:v>2025_02_ATL_MIN</x:v>
      </x:c>
      <x:c r="B287" t="n">
        <x:v>2748</x:v>
      </x:c>
      <x:c r="C287" t="n">
        <x:v>3</x:v>
      </x:c>
      <x:c r="D287" t="str">
        <x:v>01:42</x:v>
      </x:c>
      <x:c r="E287" t="n">
        <x:v>3</x:v>
      </x:c>
      <x:c r="F287" t="n">
        <x:v>9</x:v>
      </x:c>
      <x:c r="G287" t="str">
        <x:v>MIN</x:v>
      </x:c>
      <x:c r="H287" t="str">
        <x:v>ATL</x:v>
      </x:c>
      <x:c r="I287" t="str">
        <x:v>MIN</x:v>
      </x:c>
      <x:c r="J287" t="n">
        <x:v>58</x:v>
      </x:c>
      <x:c r="K287" t="str">
        <x:v>(1:42) (Shotgun) 9-J.McCarthy pass incomplete short right to 18-J.Jefferson [56-L.Floyd].</x:v>
      </x:c>
      <x:c r="L287" t="str">
        <x:v>pass</x:v>
      </x:c>
      <x:c r="M287" t="n">
        <x:v>0</x:v>
      </x:c>
      <x:c r="N287" t="n">
        <x:v>1</x:v>
      </x:c>
      <x:c r="O287" t="n">
        <x:v>0</x:v>
      </x:c>
      <x:c r="P287" t="str">
        <x:v>short</x:v>
      </x:c>
      <x:c r="Q287" t="str">
        <x:v>right</x:v>
      </x:c>
      <x:c r="R287" t="n">
        <x:v>8</x:v>
      </x:c>
      <x:c r="S287"/>
      <x:c r="T287"/>
      <x:c r="U287"/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/>
      <x:c r="AC287" t="n">
        <x:v>0</x:v>
      </x:c>
      <x:c r="AD287" t="n">
        <x:v>-1.5918832616880536</x:v>
      </x:c>
      <x:c r="AE287" t="n">
        <x:v>0</x:v>
      </x:c>
      <x:c r="AF287" t="n">
        <x:v>-0.017576947808265686</x:v>
      </x:c>
      <x:c r="AG287" t="n">
        <x:f>_xlfn.XLOOKUP($A287,Games!$A$2:$A$18,Games!$B$2:$B$18,"Missing game",0)</x:f>
        <x:v>2025</x:v>
      </x:c>
      <x:c r="AH287" t="str">
        <x:f>_xlfn.XLOOKUP($A287,Games!$A$2:$A$18,Games!$C$2:$C$18,"Missing game",0)</x:f>
        <x:v>REG</x:v>
      </x:c>
      <x:c r="AI287" t="n">
        <x:f>_xlfn.XLOOKUP($A287,Games!$A$2:$A$18,Games!$D$2:$D$18,"Missing game",0)</x:f>
        <x:v>2</x:v>
      </x:c>
      <x:c r="AJ287" s="1" t="n">
        <x:f>_xlfn.XLOOKUP($A287,Games!$A$2:$A$18,Games!$E$2:$E$18,"Missing game",0)</x:f>
        <x:v>45914</x:v>
      </x:c>
      <x:c r="AK287" t="str">
        <x:f>_xlfn.XLOOKUP($A287,Games!$A$2:$A$18,Games!$F$2:$F$18,"Missing game",0)</x:f>
        <x:v>Sunday</x:v>
      </x:c>
      <x:c r="AL287" t="str">
        <x:f>_xlfn.XLOOKUP($A287,Games!$A$2:$A$18,Games!$G$2:$G$18,"Missing game",0)</x:f>
        <x:v>ATL</x:v>
      </x:c>
      <x:c r="AM287" t="n">
        <x:f>_xlfn.XLOOKUP($A287,Games!$A$2:$A$18,Games!$H$2:$H$18,"Missing game",0)</x:f>
        <x:v>22</x:v>
      </x:c>
      <x:c r="AN287" t="str">
        <x:f>_xlfn.XLOOKUP($A287,Games!$A$2:$A$18,Games!$I$2:$I$18,"Missing game",0)</x:f>
        <x:v>MIN</x:v>
      </x:c>
      <x:c r="AO287" t="n">
        <x:f>_xlfn.XLOOKUP($A287,Games!$A$2:$A$18,Games!$J$2:$J$18,"Missing game",0)</x:f>
        <x:v>6</x:v>
      </x:c>
      <x:c r="AP287" t="n">
        <x:f>_xlfn.XLOOKUP($A287,Games!$A$2:$A$18,Games!$K$2:$K$18,"Missing game",0)</x:f>
        <x:v>-16</x:v>
      </x:c>
      <x:c r="AQ287" t="n">
        <x:f>_xlfn.XLOOKUP($A287,Games!$A$2:$A$18,Games!$L$2:$L$18,"Missing game",0)</x:f>
        <x:v>28</x:v>
      </x:c>
      <x:c r="AR287" t="n">
        <x:f>_xlfn.XLOOKUP($A287,Games!$A$2:$A$18,Games!$M$2:$M$18,"Missing game",0)</x:f>
        <x:v>0</x:v>
      </x:c>
      <x:c r="AS287" t="str">
        <x:f>_xlfn.XLOOKUP($A287,Games!$A$2:$A$18,Games!$N$2:$N$18,"Missing game",0)</x:f>
        <x:v>dome</x:v>
      </x:c>
      <x:c r="AT287" t="str">
        <x:f>_xlfn.XLOOKUP($A287,Games!$A$2:$A$18,Games!$O$2:$O$18,"Missing game",0)</x:f>
        <x:v>sportturf</x:v>
      </x:c>
      <x:c r="AU287" t="str">
        <x:f>_xlfn.XLOOKUP($A287,Games!$A$2:$A$18,Games!$P$2:$P$18,"Missing game",0)</x:f>
      </x:c>
      <x:c r="AV287" t="str">
        <x:f>_xlfn.XLOOKUP($A287,Games!$A$2:$A$18,Games!$Q$2:$Q$18,"Missing game",0)</x:f>
      </x:c>
      <x:c r="AW287" t="str">
        <x:f>_xlfn.XLOOKUP($A287,Games!$A$2:$A$18,Games!$R$2:$R$18,"Missing game",0)</x:f>
        <x:v>U.S. Bank Stadium</x:v>
      </x:c>
    </x:row>
    <x:row r="288">
      <x:c r="A288" t="str">
        <x:v>2025_02_ATL_MIN</x:v>
      </x:c>
      <x:c r="B288" t="n">
        <x:v>2771</x:v>
      </x:c>
      <x:c r="C288" t="n">
        <x:v>3</x:v>
      </x:c>
      <x:c r="D288" t="str">
        <x:v>01:35</x:v>
      </x:c>
      <x:c r="E288" t="n">
        <x:v>4</x:v>
      </x:c>
      <x:c r="F288" t="n">
        <x:v>9</x:v>
      </x:c>
      <x:c r="G288" t="str">
        <x:v>MIN</x:v>
      </x:c>
      <x:c r="H288" t="str">
        <x:v>ATL</x:v>
      </x:c>
      <x:c r="I288" t="str">
        <x:v>MIN</x:v>
      </x:c>
      <x:c r="J288" t="n">
        <x:v>58</x:v>
      </x:c>
      <x:c r="K288" t="str">
        <x:v>(1:35) 17-R.Wright punts 41 yards to ATL 17, Center-42-A.DePaola, fair catch by 35-N.Brooks.</x:v>
      </x:c>
      <x:c r="L288" t="str">
        <x:v>punt</x:v>
      </x:c>
      <x:c r="M288" t="n">
        <x:v>0</x:v>
      </x:c>
      <x:c r="N288" t="n">
        <x:v>0</x:v>
      </x:c>
      <x:c r="O288" t="n">
        <x:v>0</x:v>
      </x:c>
      <x:c r="P288"/>
      <x:c r="Q288"/>
      <x:c r="R288"/>
      <x:c r="S288"/>
      <x:c r="T288"/>
      <x:c r="U288"/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/>
      <x:c r="AC288" t="n">
        <x:v>0</x:v>
      </x:c>
      <x:c r="AD288" t="n">
        <x:v>-0.18877627979964018</x:v>
      </x:c>
      <x:c r="AE288" t="n">
        <x:v>0</x:v>
      </x:c>
      <x:c r="AF288" t="n">
        <x:v>0.012111946940422058</x:v>
      </x:c>
      <x:c r="AG288" t="n">
        <x:f>_xlfn.XLOOKUP($A288,Games!$A$2:$A$18,Games!$B$2:$B$18,"Missing game",0)</x:f>
        <x:v>2025</x:v>
      </x:c>
      <x:c r="AH288" t="str">
        <x:f>_xlfn.XLOOKUP($A288,Games!$A$2:$A$18,Games!$C$2:$C$18,"Missing game",0)</x:f>
        <x:v>REG</x:v>
      </x:c>
      <x:c r="AI288" t="n">
        <x:f>_xlfn.XLOOKUP($A288,Games!$A$2:$A$18,Games!$D$2:$D$18,"Missing game",0)</x:f>
        <x:v>2</x:v>
      </x:c>
      <x:c r="AJ288" s="1" t="n">
        <x:f>_xlfn.XLOOKUP($A288,Games!$A$2:$A$18,Games!$E$2:$E$18,"Missing game",0)</x:f>
        <x:v>45914</x:v>
      </x:c>
      <x:c r="AK288" t="str">
        <x:f>_xlfn.XLOOKUP($A288,Games!$A$2:$A$18,Games!$F$2:$F$18,"Missing game",0)</x:f>
        <x:v>Sunday</x:v>
      </x:c>
      <x:c r="AL288" t="str">
        <x:f>_xlfn.XLOOKUP($A288,Games!$A$2:$A$18,Games!$G$2:$G$18,"Missing game",0)</x:f>
        <x:v>ATL</x:v>
      </x:c>
      <x:c r="AM288" t="n">
        <x:f>_xlfn.XLOOKUP($A288,Games!$A$2:$A$18,Games!$H$2:$H$18,"Missing game",0)</x:f>
        <x:v>22</x:v>
      </x:c>
      <x:c r="AN288" t="str">
        <x:f>_xlfn.XLOOKUP($A288,Games!$A$2:$A$18,Games!$I$2:$I$18,"Missing game",0)</x:f>
        <x:v>MIN</x:v>
      </x:c>
      <x:c r="AO288" t="n">
        <x:f>_xlfn.XLOOKUP($A288,Games!$A$2:$A$18,Games!$J$2:$J$18,"Missing game",0)</x:f>
        <x:v>6</x:v>
      </x:c>
      <x:c r="AP288" t="n">
        <x:f>_xlfn.XLOOKUP($A288,Games!$A$2:$A$18,Games!$K$2:$K$18,"Missing game",0)</x:f>
        <x:v>-16</x:v>
      </x:c>
      <x:c r="AQ288" t="n">
        <x:f>_xlfn.XLOOKUP($A288,Games!$A$2:$A$18,Games!$L$2:$L$18,"Missing game",0)</x:f>
        <x:v>28</x:v>
      </x:c>
      <x:c r="AR288" t="n">
        <x:f>_xlfn.XLOOKUP($A288,Games!$A$2:$A$18,Games!$M$2:$M$18,"Missing game",0)</x:f>
        <x:v>0</x:v>
      </x:c>
      <x:c r="AS288" t="str">
        <x:f>_xlfn.XLOOKUP($A288,Games!$A$2:$A$18,Games!$N$2:$N$18,"Missing game",0)</x:f>
        <x:v>dome</x:v>
      </x:c>
      <x:c r="AT288" t="str">
        <x:f>_xlfn.XLOOKUP($A288,Games!$A$2:$A$18,Games!$O$2:$O$18,"Missing game",0)</x:f>
        <x:v>sportturf</x:v>
      </x:c>
      <x:c r="AU288" t="str">
        <x:f>_xlfn.XLOOKUP($A288,Games!$A$2:$A$18,Games!$P$2:$P$18,"Missing game",0)</x:f>
      </x:c>
      <x:c r="AV288" t="str">
        <x:f>_xlfn.XLOOKUP($A288,Games!$A$2:$A$18,Games!$Q$2:$Q$18,"Missing game",0)</x:f>
      </x:c>
      <x:c r="AW288" t="str">
        <x:f>_xlfn.XLOOKUP($A288,Games!$A$2:$A$18,Games!$R$2:$R$18,"Missing game",0)</x:f>
        <x:v>U.S. Bank Stadium</x:v>
      </x:c>
    </x:row>
    <x:row r="289">
      <x:c r="A289" t="str">
        <x:v>2025_02_ATL_MIN</x:v>
      </x:c>
      <x:c r="B289" t="n">
        <x:v>2791</x:v>
      </x:c>
      <x:c r="C289" t="n">
        <x:v>3</x:v>
      </x:c>
      <x:c r="D289" t="str">
        <x:v>01:28</x:v>
      </x:c>
      <x:c r="E289" t="n">
        <x:v>1</x:v>
      </x:c>
      <x:c r="F289" t="n">
        <x:v>10</x:v>
      </x:c>
      <x:c r="G289" t="str">
        <x:v>ATL</x:v>
      </x:c>
      <x:c r="H289" t="str">
        <x:v>MIN</x:v>
      </x:c>
      <x:c r="I289" t="str">
        <x:v>ATL</x:v>
      </x:c>
      <x:c r="J289" t="n">
        <x:v>83</x:v>
      </x:c>
      <x:c r="K289" t="str">
        <x:v>(1:28) (Shotgun) 7-B.Robinson left tackle to ATL 21 for 4 yards (58-J.Greenard; 97-J.Hargrave).</x:v>
      </x:c>
      <x:c r="L289" t="str">
        <x:v>run</x:v>
      </x:c>
      <x:c r="M289" t="n">
        <x:v>4</x:v>
      </x:c>
      <x:c r="N289" t="n">
        <x:v>1</x:v>
      </x:c>
      <x:c r="O289" t="n">
        <x:v>0</x:v>
      </x:c>
      <x:c r="P289"/>
      <x:c r="Q289"/>
      <x:c r="R289"/>
      <x:c r="S289"/>
      <x:c r="T289" t="str">
        <x:v>left</x:v>
      </x:c>
      <x:c r="U289" t="str">
        <x:v>tackle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/>
      <x:c r="AC289" t="n">
        <x:v>0</x:v>
      </x:c>
      <x:c r="AD289" t="n">
        <x:v>-0.17448687087744474</x:v>
      </x:c>
      <x:c r="AE289" t="n">
        <x:v>0</x:v>
      </x:c>
      <x:c r="AF289" t="n">
        <x:v>-0.004567086696624756</x:v>
      </x:c>
      <x:c r="AG289" t="n">
        <x:f>_xlfn.XLOOKUP($A289,Games!$A$2:$A$18,Games!$B$2:$B$18,"Missing game",0)</x:f>
        <x:v>2025</x:v>
      </x:c>
      <x:c r="AH289" t="str">
        <x:f>_xlfn.XLOOKUP($A289,Games!$A$2:$A$18,Games!$C$2:$C$18,"Missing game",0)</x:f>
        <x:v>REG</x:v>
      </x:c>
      <x:c r="AI289" t="n">
        <x:f>_xlfn.XLOOKUP($A289,Games!$A$2:$A$18,Games!$D$2:$D$18,"Missing game",0)</x:f>
        <x:v>2</x:v>
      </x:c>
      <x:c r="AJ289" s="1" t="n">
        <x:f>_xlfn.XLOOKUP($A289,Games!$A$2:$A$18,Games!$E$2:$E$18,"Missing game",0)</x:f>
        <x:v>45914</x:v>
      </x:c>
      <x:c r="AK289" t="str">
        <x:f>_xlfn.XLOOKUP($A289,Games!$A$2:$A$18,Games!$F$2:$F$18,"Missing game",0)</x:f>
        <x:v>Sunday</x:v>
      </x:c>
      <x:c r="AL289" t="str">
        <x:f>_xlfn.XLOOKUP($A289,Games!$A$2:$A$18,Games!$G$2:$G$18,"Missing game",0)</x:f>
        <x:v>ATL</x:v>
      </x:c>
      <x:c r="AM289" t="n">
        <x:f>_xlfn.XLOOKUP($A289,Games!$A$2:$A$18,Games!$H$2:$H$18,"Missing game",0)</x:f>
        <x:v>22</x:v>
      </x:c>
      <x:c r="AN289" t="str">
        <x:f>_xlfn.XLOOKUP($A289,Games!$A$2:$A$18,Games!$I$2:$I$18,"Missing game",0)</x:f>
        <x:v>MIN</x:v>
      </x:c>
      <x:c r="AO289" t="n">
        <x:f>_xlfn.XLOOKUP($A289,Games!$A$2:$A$18,Games!$J$2:$J$18,"Missing game",0)</x:f>
        <x:v>6</x:v>
      </x:c>
      <x:c r="AP289" t="n">
        <x:f>_xlfn.XLOOKUP($A289,Games!$A$2:$A$18,Games!$K$2:$K$18,"Missing game",0)</x:f>
        <x:v>-16</x:v>
      </x:c>
      <x:c r="AQ289" t="n">
        <x:f>_xlfn.XLOOKUP($A289,Games!$A$2:$A$18,Games!$L$2:$L$18,"Missing game",0)</x:f>
        <x:v>28</x:v>
      </x:c>
      <x:c r="AR289" t="n">
        <x:f>_xlfn.XLOOKUP($A289,Games!$A$2:$A$18,Games!$M$2:$M$18,"Missing game",0)</x:f>
        <x:v>0</x:v>
      </x:c>
      <x:c r="AS289" t="str">
        <x:f>_xlfn.XLOOKUP($A289,Games!$A$2:$A$18,Games!$N$2:$N$18,"Missing game",0)</x:f>
        <x:v>dome</x:v>
      </x:c>
      <x:c r="AT289" t="str">
        <x:f>_xlfn.XLOOKUP($A289,Games!$A$2:$A$18,Games!$O$2:$O$18,"Missing game",0)</x:f>
        <x:v>sportturf</x:v>
      </x:c>
      <x:c r="AU289" t="str">
        <x:f>_xlfn.XLOOKUP($A289,Games!$A$2:$A$18,Games!$P$2:$P$18,"Missing game",0)</x:f>
      </x:c>
      <x:c r="AV289" t="str">
        <x:f>_xlfn.XLOOKUP($A289,Games!$A$2:$A$18,Games!$Q$2:$Q$18,"Missing game",0)</x:f>
      </x:c>
      <x:c r="AW289" t="str">
        <x:f>_xlfn.XLOOKUP($A289,Games!$A$2:$A$18,Games!$R$2:$R$18,"Missing game",0)</x:f>
        <x:v>U.S. Bank Stadium</x:v>
      </x:c>
    </x:row>
    <x:row r="290">
      <x:c r="A290" t="str">
        <x:v>2025_02_ATL_MIN</x:v>
      </x:c>
      <x:c r="B290" t="n">
        <x:v>2820</x:v>
      </x:c>
      <x:c r="C290" t="n">
        <x:v>3</x:v>
      </x:c>
      <x:c r="D290" t="str">
        <x:v>00:58</x:v>
      </x:c>
      <x:c r="E290" t="n">
        <x:v>2</x:v>
      </x:c>
      <x:c r="F290" t="n">
        <x:v>6</x:v>
      </x:c>
      <x:c r="G290" t="str">
        <x:v>ATL</x:v>
      </x:c>
      <x:c r="H290" t="str">
        <x:v>MIN</x:v>
      </x:c>
      <x:c r="I290" t="str">
        <x:v>ATL</x:v>
      </x:c>
      <x:c r="J290" t="n">
        <x:v>79</x:v>
      </x:c>
      <x:c r="K290" t="str">
        <x:v>(:58) (No Huddle, Shotgun) 9-M.Penix sacked at ATL 13 for -8 yards (58-J.Greenard).</x:v>
      </x:c>
      <x:c r="L290" t="str">
        <x:v>pass</x:v>
      </x:c>
      <x:c r="M290" t="n">
        <x:v>-8</x:v>
      </x:c>
      <x:c r="N290" t="n">
        <x:v>1</x:v>
      </x:c>
      <x:c r="O290" t="n">
        <x:v>1</x:v>
      </x:c>
      <x:c r="P290"/>
      <x:c r="Q290"/>
      <x:c r="R290"/>
      <x:c r="S290"/>
      <x:c r="T290"/>
      <x:c r="U290"/>
      <x:c r="V290" t="n">
        <x:v>0</x:v>
      </x:c>
      <x:c r="W290" t="n">
        <x:v>0</x:v>
      </x:c>
      <x:c r="X290" t="n">
        <x:v>1</x:v>
      </x:c>
      <x:c r="Y290" t="n">
        <x:v>0</x:v>
      </x:c>
      <x:c r="Z290" t="n">
        <x:v>0</x:v>
      </x:c>
      <x:c r="AA290" t="n">
        <x:v>0</x:v>
      </x:c>
      <x:c r="AB290"/>
      <x:c r="AC290" t="n">
        <x:v>0</x:v>
      </x:c>
      <x:c r="AD290" t="n">
        <x:v>-1.943022188730538</x:v>
      </x:c>
      <x:c r="AE290" t="n">
        <x:v>0</x:v>
      </x:c>
      <x:c r="AF290" t="n">
        <x:v>-0.05461162328720093</x:v>
      </x:c>
      <x:c r="AG290" t="n">
        <x:f>_xlfn.XLOOKUP($A290,Games!$A$2:$A$18,Games!$B$2:$B$18,"Missing game",0)</x:f>
        <x:v>2025</x:v>
      </x:c>
      <x:c r="AH290" t="str">
        <x:f>_xlfn.XLOOKUP($A290,Games!$A$2:$A$18,Games!$C$2:$C$18,"Missing game",0)</x:f>
        <x:v>REG</x:v>
      </x:c>
      <x:c r="AI290" t="n">
        <x:f>_xlfn.XLOOKUP($A290,Games!$A$2:$A$18,Games!$D$2:$D$18,"Missing game",0)</x:f>
        <x:v>2</x:v>
      </x:c>
      <x:c r="AJ290" s="1" t="n">
        <x:f>_xlfn.XLOOKUP($A290,Games!$A$2:$A$18,Games!$E$2:$E$18,"Missing game",0)</x:f>
        <x:v>45914</x:v>
      </x:c>
      <x:c r="AK290" t="str">
        <x:f>_xlfn.XLOOKUP($A290,Games!$A$2:$A$18,Games!$F$2:$F$18,"Missing game",0)</x:f>
        <x:v>Sunday</x:v>
      </x:c>
      <x:c r="AL290" t="str">
        <x:f>_xlfn.XLOOKUP($A290,Games!$A$2:$A$18,Games!$G$2:$G$18,"Missing game",0)</x:f>
        <x:v>ATL</x:v>
      </x:c>
      <x:c r="AM290" t="n">
        <x:f>_xlfn.XLOOKUP($A290,Games!$A$2:$A$18,Games!$H$2:$H$18,"Missing game",0)</x:f>
        <x:v>22</x:v>
      </x:c>
      <x:c r="AN290" t="str">
        <x:f>_xlfn.XLOOKUP($A290,Games!$A$2:$A$18,Games!$I$2:$I$18,"Missing game",0)</x:f>
        <x:v>MIN</x:v>
      </x:c>
      <x:c r="AO290" t="n">
        <x:f>_xlfn.XLOOKUP($A290,Games!$A$2:$A$18,Games!$J$2:$J$18,"Missing game",0)</x:f>
        <x:v>6</x:v>
      </x:c>
      <x:c r="AP290" t="n">
        <x:f>_xlfn.XLOOKUP($A290,Games!$A$2:$A$18,Games!$K$2:$K$18,"Missing game",0)</x:f>
        <x:v>-16</x:v>
      </x:c>
      <x:c r="AQ290" t="n">
        <x:f>_xlfn.XLOOKUP($A290,Games!$A$2:$A$18,Games!$L$2:$L$18,"Missing game",0)</x:f>
        <x:v>28</x:v>
      </x:c>
      <x:c r="AR290" t="n">
        <x:f>_xlfn.XLOOKUP($A290,Games!$A$2:$A$18,Games!$M$2:$M$18,"Missing game",0)</x:f>
        <x:v>0</x:v>
      </x:c>
      <x:c r="AS290" t="str">
        <x:f>_xlfn.XLOOKUP($A290,Games!$A$2:$A$18,Games!$N$2:$N$18,"Missing game",0)</x:f>
        <x:v>dome</x:v>
      </x:c>
      <x:c r="AT290" t="str">
        <x:f>_xlfn.XLOOKUP($A290,Games!$A$2:$A$18,Games!$O$2:$O$18,"Missing game",0)</x:f>
        <x:v>sportturf</x:v>
      </x:c>
      <x:c r="AU290" t="str">
        <x:f>_xlfn.XLOOKUP($A290,Games!$A$2:$A$18,Games!$P$2:$P$18,"Missing game",0)</x:f>
      </x:c>
      <x:c r="AV290" t="str">
        <x:f>_xlfn.XLOOKUP($A290,Games!$A$2:$A$18,Games!$Q$2:$Q$18,"Missing game",0)</x:f>
      </x:c>
      <x:c r="AW290" t="str">
        <x:f>_xlfn.XLOOKUP($A290,Games!$A$2:$A$18,Games!$R$2:$R$18,"Missing game",0)</x:f>
        <x:v>U.S. Bank Stadium</x:v>
      </x:c>
    </x:row>
    <x:row r="291">
      <x:c r="A291" t="str">
        <x:v>2025_02_ATL_MIN</x:v>
      </x:c>
      <x:c r="B291" t="n">
        <x:v>2840</x:v>
      </x:c>
      <x:c r="C291" t="n">
        <x:v>3</x:v>
      </x:c>
      <x:c r="D291" t="str">
        <x:v>00:15</x:v>
      </x:c>
      <x:c r="E291" t="n">
        <x:v>3</x:v>
      </x:c>
      <x:c r="F291" t="n">
        <x:v>14</x:v>
      </x:c>
      <x:c r="G291" t="str">
        <x:v>ATL</x:v>
      </x:c>
      <x:c r="H291" t="str">
        <x:v>MIN</x:v>
      </x:c>
      <x:c r="I291" t="str">
        <x:v>ATL</x:v>
      </x:c>
      <x:c r="J291" t="n">
        <x:v>87</x:v>
      </x:c>
      <x:c r="K291" t="str">
        <x:v>(:15) (Shotgun) 9-M.Penix pass incomplete short right to 8-K.Pitts (44-J.Metellus).</x:v>
      </x:c>
      <x:c r="L291" t="str">
        <x:v>pass</x:v>
      </x:c>
      <x:c r="M291" t="n">
        <x:v>0</x:v>
      </x:c>
      <x:c r="N291" t="n">
        <x:v>1</x:v>
      </x:c>
      <x:c r="O291" t="n">
        <x:v>0</x:v>
      </x:c>
      <x:c r="P291" t="str">
        <x:v>short</x:v>
      </x:c>
      <x:c r="Q291" t="str">
        <x:v>right</x:v>
      </x:c>
      <x:c r="R291" t="n">
        <x:v>3</x:v>
      </x:c>
      <x:c r="S291"/>
      <x:c r="T291"/>
      <x:c r="U291"/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/>
      <x:c r="AC291" t="n">
        <x:v>0</x:v>
      </x:c>
      <x:c r="AD291" t="n">
        <x:v>-1.0019241743721068</x:v>
      </x:c>
      <x:c r="AE291" t="n">
        <x:v>0</x:v>
      </x:c>
      <x:c r="AF291" t="n">
        <x:v>-0.035034239292144775</x:v>
      </x:c>
      <x:c r="AG291" t="n">
        <x:f>_xlfn.XLOOKUP($A291,Games!$A$2:$A$18,Games!$B$2:$B$18,"Missing game",0)</x:f>
        <x:v>2025</x:v>
      </x:c>
      <x:c r="AH291" t="str">
        <x:f>_xlfn.XLOOKUP($A291,Games!$A$2:$A$18,Games!$C$2:$C$18,"Missing game",0)</x:f>
        <x:v>REG</x:v>
      </x:c>
      <x:c r="AI291" t="n">
        <x:f>_xlfn.XLOOKUP($A291,Games!$A$2:$A$18,Games!$D$2:$D$18,"Missing game",0)</x:f>
        <x:v>2</x:v>
      </x:c>
      <x:c r="AJ291" s="1" t="n">
        <x:f>_xlfn.XLOOKUP($A291,Games!$A$2:$A$18,Games!$E$2:$E$18,"Missing game",0)</x:f>
        <x:v>45914</x:v>
      </x:c>
      <x:c r="AK291" t="str">
        <x:f>_xlfn.XLOOKUP($A291,Games!$A$2:$A$18,Games!$F$2:$F$18,"Missing game",0)</x:f>
        <x:v>Sunday</x:v>
      </x:c>
      <x:c r="AL291" t="str">
        <x:f>_xlfn.XLOOKUP($A291,Games!$A$2:$A$18,Games!$G$2:$G$18,"Missing game",0)</x:f>
        <x:v>ATL</x:v>
      </x:c>
      <x:c r="AM291" t="n">
        <x:f>_xlfn.XLOOKUP($A291,Games!$A$2:$A$18,Games!$H$2:$H$18,"Missing game",0)</x:f>
        <x:v>22</x:v>
      </x:c>
      <x:c r="AN291" t="str">
        <x:f>_xlfn.XLOOKUP($A291,Games!$A$2:$A$18,Games!$I$2:$I$18,"Missing game",0)</x:f>
        <x:v>MIN</x:v>
      </x:c>
      <x:c r="AO291" t="n">
        <x:f>_xlfn.XLOOKUP($A291,Games!$A$2:$A$18,Games!$J$2:$J$18,"Missing game",0)</x:f>
        <x:v>6</x:v>
      </x:c>
      <x:c r="AP291" t="n">
        <x:f>_xlfn.XLOOKUP($A291,Games!$A$2:$A$18,Games!$K$2:$K$18,"Missing game",0)</x:f>
        <x:v>-16</x:v>
      </x:c>
      <x:c r="AQ291" t="n">
        <x:f>_xlfn.XLOOKUP($A291,Games!$A$2:$A$18,Games!$L$2:$L$18,"Missing game",0)</x:f>
        <x:v>28</x:v>
      </x:c>
      <x:c r="AR291" t="n">
        <x:f>_xlfn.XLOOKUP($A291,Games!$A$2:$A$18,Games!$M$2:$M$18,"Missing game",0)</x:f>
        <x:v>0</x:v>
      </x:c>
      <x:c r="AS291" t="str">
        <x:f>_xlfn.XLOOKUP($A291,Games!$A$2:$A$18,Games!$N$2:$N$18,"Missing game",0)</x:f>
        <x:v>dome</x:v>
      </x:c>
      <x:c r="AT291" t="str">
        <x:f>_xlfn.XLOOKUP($A291,Games!$A$2:$A$18,Games!$O$2:$O$18,"Missing game",0)</x:f>
        <x:v>sportturf</x:v>
      </x:c>
      <x:c r="AU291" t="str">
        <x:f>_xlfn.XLOOKUP($A291,Games!$A$2:$A$18,Games!$P$2:$P$18,"Missing game",0)</x:f>
      </x:c>
      <x:c r="AV291" t="str">
        <x:f>_xlfn.XLOOKUP($A291,Games!$A$2:$A$18,Games!$Q$2:$Q$18,"Missing game",0)</x:f>
      </x:c>
      <x:c r="AW291" t="str">
        <x:f>_xlfn.XLOOKUP($A291,Games!$A$2:$A$18,Games!$R$2:$R$18,"Missing game",0)</x:f>
        <x:v>U.S. Bank Stadium</x:v>
      </x:c>
    </x:row>
    <x:row r="292">
      <x:c r="A292" t="str">
        <x:v>2025_02_ATL_MIN</x:v>
      </x:c>
      <x:c r="B292" t="n">
        <x:v>2863</x:v>
      </x:c>
      <x:c r="C292" t="n">
        <x:v>3</x:v>
      </x:c>
      <x:c r="D292" t="str">
        <x:v>00:10</x:v>
      </x:c>
      <x:c r="E292" t="n">
        <x:v>4</x:v>
      </x:c>
      <x:c r="F292" t="n">
        <x:v>14</x:v>
      </x:c>
      <x:c r="G292" t="str">
        <x:v>ATL</x:v>
      </x:c>
      <x:c r="H292" t="str">
        <x:v>MIN</x:v>
      </x:c>
      <x:c r="I292" t="str">
        <x:v>ATL</x:v>
      </x:c>
      <x:c r="J292" t="n">
        <x:v>87</x:v>
      </x:c>
      <x:c r="K292" t="str">
        <x:v>(:10) 13-B.Pinion punts 45 yards to MIN 42, Center-49-L.McCullough. 4-M.Price to MIN 48 for 6 yards (23-D.Hellams; 42-J.Woods).</x:v>
      </x:c>
      <x:c r="L292" t="str">
        <x:v>punt</x:v>
      </x:c>
      <x:c r="M292" t="n">
        <x:v>0</x:v>
      </x:c>
      <x:c r="N292" t="n">
        <x:v>0</x:v>
      </x:c>
      <x:c r="O292" t="n">
        <x:v>0</x:v>
      </x:c>
      <x:c r="P292"/>
      <x:c r="Q292"/>
      <x:c r="R292"/>
      <x:c r="S292"/>
      <x:c r="T292"/>
      <x:c r="U292"/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/>
      <x:c r="AC292" t="n">
        <x:v>0</x:v>
      </x:c>
      <x:c r="AD292" t="n">
        <x:v>-0.38326019258238375</x:v>
      </x:c>
      <x:c r="AE292" t="n">
        <x:v>0</x:v>
      </x:c>
      <x:c r="AF292" t="n">
        <x:v>0.014512956142425537</x:v>
      </x:c>
      <x:c r="AG292" t="n">
        <x:f>_xlfn.XLOOKUP($A292,Games!$A$2:$A$18,Games!$B$2:$B$18,"Missing game",0)</x:f>
        <x:v>2025</x:v>
      </x:c>
      <x:c r="AH292" t="str">
        <x:f>_xlfn.XLOOKUP($A292,Games!$A$2:$A$18,Games!$C$2:$C$18,"Missing game",0)</x:f>
        <x:v>REG</x:v>
      </x:c>
      <x:c r="AI292" t="n">
        <x:f>_xlfn.XLOOKUP($A292,Games!$A$2:$A$18,Games!$D$2:$D$18,"Missing game",0)</x:f>
        <x:v>2</x:v>
      </x:c>
      <x:c r="AJ292" s="1" t="n">
        <x:f>_xlfn.XLOOKUP($A292,Games!$A$2:$A$18,Games!$E$2:$E$18,"Missing game",0)</x:f>
        <x:v>45914</x:v>
      </x:c>
      <x:c r="AK292" t="str">
        <x:f>_xlfn.XLOOKUP($A292,Games!$A$2:$A$18,Games!$F$2:$F$18,"Missing game",0)</x:f>
        <x:v>Sunday</x:v>
      </x:c>
      <x:c r="AL292" t="str">
        <x:f>_xlfn.XLOOKUP($A292,Games!$A$2:$A$18,Games!$G$2:$G$18,"Missing game",0)</x:f>
        <x:v>ATL</x:v>
      </x:c>
      <x:c r="AM292" t="n">
        <x:f>_xlfn.XLOOKUP($A292,Games!$A$2:$A$18,Games!$H$2:$H$18,"Missing game",0)</x:f>
        <x:v>22</x:v>
      </x:c>
      <x:c r="AN292" t="str">
        <x:f>_xlfn.XLOOKUP($A292,Games!$A$2:$A$18,Games!$I$2:$I$18,"Missing game",0)</x:f>
        <x:v>MIN</x:v>
      </x:c>
      <x:c r="AO292" t="n">
        <x:f>_xlfn.XLOOKUP($A292,Games!$A$2:$A$18,Games!$J$2:$J$18,"Missing game",0)</x:f>
        <x:v>6</x:v>
      </x:c>
      <x:c r="AP292" t="n">
        <x:f>_xlfn.XLOOKUP($A292,Games!$A$2:$A$18,Games!$K$2:$K$18,"Missing game",0)</x:f>
        <x:v>-16</x:v>
      </x:c>
      <x:c r="AQ292" t="n">
        <x:f>_xlfn.XLOOKUP($A292,Games!$A$2:$A$18,Games!$L$2:$L$18,"Missing game",0)</x:f>
        <x:v>28</x:v>
      </x:c>
      <x:c r="AR292" t="n">
        <x:f>_xlfn.XLOOKUP($A292,Games!$A$2:$A$18,Games!$M$2:$M$18,"Missing game",0)</x:f>
        <x:v>0</x:v>
      </x:c>
      <x:c r="AS292" t="str">
        <x:f>_xlfn.XLOOKUP($A292,Games!$A$2:$A$18,Games!$N$2:$N$18,"Missing game",0)</x:f>
        <x:v>dome</x:v>
      </x:c>
      <x:c r="AT292" t="str">
        <x:f>_xlfn.XLOOKUP($A292,Games!$A$2:$A$18,Games!$O$2:$O$18,"Missing game",0)</x:f>
        <x:v>sportturf</x:v>
      </x:c>
      <x:c r="AU292" t="str">
        <x:f>_xlfn.XLOOKUP($A292,Games!$A$2:$A$18,Games!$P$2:$P$18,"Missing game",0)</x:f>
      </x:c>
      <x:c r="AV292" t="str">
        <x:f>_xlfn.XLOOKUP($A292,Games!$A$2:$A$18,Games!$Q$2:$Q$18,"Missing game",0)</x:f>
      </x:c>
      <x:c r="AW292" t="str">
        <x:f>_xlfn.XLOOKUP($A292,Games!$A$2:$A$18,Games!$R$2:$R$18,"Missing game",0)</x:f>
        <x:v>U.S. Bank Stadium</x:v>
      </x:c>
    </x:row>
    <x:row r="293">
      <x:c r="A293" t="str">
        <x:v>2025_02_ATL_MIN</x:v>
      </x:c>
      <x:c r="B293" t="n">
        <x:v>2889</x:v>
      </x:c>
      <x:c r="C293" t="n">
        <x:v>3</x:v>
      </x:c>
      <x:c r="D293" t="str">
        <x:v>00:00</x:v>
      </x:c>
      <x:c r="E293"/>
      <x:c r="F293" t="n">
        <x:v>0</x:v>
      </x:c>
      <x:c r="G293" t="str">
        <x:v>MIN</x:v>
      </x:c>
      <x:c r="H293" t="str">
        <x:v>ATL</x:v>
      </x:c>
      <x:c r="I293"/>
      <x:c r="J293"/>
      <x:c r="K293" t="str">
        <x:v>END QUARTER 3</x:v>
      </x:c>
      <x:c r="L293"/>
      <x:c r="M293"/>
      <x:c r="N293" t="n">
        <x:v>0</x:v>
      </x:c>
      <x:c r="O293" t="n">
        <x:v>0</x:v>
      </x:c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 t="n">
        <x:v>0</x:v>
      </x:c>
      <x:c r="AE293" t="n">
        <x:v>0</x:v>
      </x:c>
      <x:c r="AF293" t="n">
        <x:v>0</x:v>
      </x:c>
      <x:c r="AG293" t="n">
        <x:f>_xlfn.XLOOKUP($A293,Games!$A$2:$A$18,Games!$B$2:$B$18,"Missing game",0)</x:f>
        <x:v>2025</x:v>
      </x:c>
      <x:c r="AH293" t="str">
        <x:f>_xlfn.XLOOKUP($A293,Games!$A$2:$A$18,Games!$C$2:$C$18,"Missing game",0)</x:f>
        <x:v>REG</x:v>
      </x:c>
      <x:c r="AI293" t="n">
        <x:f>_xlfn.XLOOKUP($A293,Games!$A$2:$A$18,Games!$D$2:$D$18,"Missing game",0)</x:f>
        <x:v>2</x:v>
      </x:c>
      <x:c r="AJ293" s="1" t="n">
        <x:f>_xlfn.XLOOKUP($A293,Games!$A$2:$A$18,Games!$E$2:$E$18,"Missing game",0)</x:f>
        <x:v>45914</x:v>
      </x:c>
      <x:c r="AK293" t="str">
        <x:f>_xlfn.XLOOKUP($A293,Games!$A$2:$A$18,Games!$F$2:$F$18,"Missing game",0)</x:f>
        <x:v>Sunday</x:v>
      </x:c>
      <x:c r="AL293" t="str">
        <x:f>_xlfn.XLOOKUP($A293,Games!$A$2:$A$18,Games!$G$2:$G$18,"Missing game",0)</x:f>
        <x:v>ATL</x:v>
      </x:c>
      <x:c r="AM293" t="n">
        <x:f>_xlfn.XLOOKUP($A293,Games!$A$2:$A$18,Games!$H$2:$H$18,"Missing game",0)</x:f>
        <x:v>22</x:v>
      </x:c>
      <x:c r="AN293" t="str">
        <x:f>_xlfn.XLOOKUP($A293,Games!$A$2:$A$18,Games!$I$2:$I$18,"Missing game",0)</x:f>
        <x:v>MIN</x:v>
      </x:c>
      <x:c r="AO293" t="n">
        <x:f>_xlfn.XLOOKUP($A293,Games!$A$2:$A$18,Games!$J$2:$J$18,"Missing game",0)</x:f>
        <x:v>6</x:v>
      </x:c>
      <x:c r="AP293" t="n">
        <x:f>_xlfn.XLOOKUP($A293,Games!$A$2:$A$18,Games!$K$2:$K$18,"Missing game",0)</x:f>
        <x:v>-16</x:v>
      </x:c>
      <x:c r="AQ293" t="n">
        <x:f>_xlfn.XLOOKUP($A293,Games!$A$2:$A$18,Games!$L$2:$L$18,"Missing game",0)</x:f>
        <x:v>28</x:v>
      </x:c>
      <x:c r="AR293" t="n">
        <x:f>_xlfn.XLOOKUP($A293,Games!$A$2:$A$18,Games!$M$2:$M$18,"Missing game",0)</x:f>
        <x:v>0</x:v>
      </x:c>
      <x:c r="AS293" t="str">
        <x:f>_xlfn.XLOOKUP($A293,Games!$A$2:$A$18,Games!$N$2:$N$18,"Missing game",0)</x:f>
        <x:v>dome</x:v>
      </x:c>
      <x:c r="AT293" t="str">
        <x:f>_xlfn.XLOOKUP($A293,Games!$A$2:$A$18,Games!$O$2:$O$18,"Missing game",0)</x:f>
        <x:v>sportturf</x:v>
      </x:c>
      <x:c r="AU293" t="str">
        <x:f>_xlfn.XLOOKUP($A293,Games!$A$2:$A$18,Games!$P$2:$P$18,"Missing game",0)</x:f>
      </x:c>
      <x:c r="AV293" t="str">
        <x:f>_xlfn.XLOOKUP($A293,Games!$A$2:$A$18,Games!$Q$2:$Q$18,"Missing game",0)</x:f>
      </x:c>
      <x:c r="AW293" t="str">
        <x:f>_xlfn.XLOOKUP($A293,Games!$A$2:$A$18,Games!$R$2:$R$18,"Missing game",0)</x:f>
        <x:v>U.S. Bank Stadium</x:v>
      </x:c>
    </x:row>
    <x:row r="294">
      <x:c r="A294" t="str">
        <x:v>2025_02_ATL_MIN</x:v>
      </x:c>
      <x:c r="B294" t="n">
        <x:v>2909</x:v>
      </x:c>
      <x:c r="C294" t="n">
        <x:v>4</x:v>
      </x:c>
      <x:c r="D294" t="str">
        <x:v>15:00</x:v>
      </x:c>
      <x:c r="E294" t="n">
        <x:v>1</x:v>
      </x:c>
      <x:c r="F294" t="n">
        <x:v>10</x:v>
      </x:c>
      <x:c r="G294" t="str">
        <x:v>MIN</x:v>
      </x:c>
      <x:c r="H294" t="str">
        <x:v>ATL</x:v>
      </x:c>
      <x:c r="I294" t="str">
        <x:v>MIN</x:v>
      </x:c>
      <x:c r="J294" t="n">
        <x:v>52</x:v>
      </x:c>
      <x:c r="K294" t="str">
        <x:v>(15:00) (Shotgun) 9-J.McCarthy sacked at MIN 40 for -8 yards (96-Z.Harrison). FUMBLES (96-Z.Harrison) [96-Z.Harrison], RECOVERED by ATL-0-D.Deablo at MIN 38.</x:v>
      </x:c>
      <x:c r="L294" t="str">
        <x:v>pass</x:v>
      </x:c>
      <x:c r="M294" t="n">
        <x:v>-10</x:v>
      </x:c>
      <x:c r="N294" t="n">
        <x:v>1</x:v>
      </x:c>
      <x:c r="O294" t="n">
        <x:v>0</x:v>
      </x:c>
      <x:c r="P294"/>
      <x:c r="Q294"/>
      <x:c r="R294"/>
      <x:c r="S294"/>
      <x:c r="T294"/>
      <x:c r="U294"/>
      <x:c r="V294" t="n">
        <x:v>0</x:v>
      </x:c>
      <x:c r="W294" t="n">
        <x:v>0</x:v>
      </x:c>
      <x:c r="X294" t="n">
        <x:v>1</x:v>
      </x:c>
      <x:c r="Y294" t="n">
        <x:v>0</x:v>
      </x:c>
      <x:c r="Z294" t="n">
        <x:v>1</x:v>
      </x:c>
      <x:c r="AA294" t="n">
        <x:v>0</x:v>
      </x:c>
      <x:c r="AB294"/>
      <x:c r="AC294" t="n">
        <x:v>0</x:v>
      </x:c>
      <x:c r="AD294" t="n">
        <x:v>-6.385581113398075</x:v>
      </x:c>
      <x:c r="AE294" t="n">
        <x:v>0</x:v>
      </x:c>
      <x:c r="AF294" t="n">
        <x:v>-0.14962667226791382</x:v>
      </x:c>
      <x:c r="AG294" t="n">
        <x:f>_xlfn.XLOOKUP($A294,Games!$A$2:$A$18,Games!$B$2:$B$18,"Missing game",0)</x:f>
        <x:v>2025</x:v>
      </x:c>
      <x:c r="AH294" t="str">
        <x:f>_xlfn.XLOOKUP($A294,Games!$A$2:$A$18,Games!$C$2:$C$18,"Missing game",0)</x:f>
        <x:v>REG</x:v>
      </x:c>
      <x:c r="AI294" t="n">
        <x:f>_xlfn.XLOOKUP($A294,Games!$A$2:$A$18,Games!$D$2:$D$18,"Missing game",0)</x:f>
        <x:v>2</x:v>
      </x:c>
      <x:c r="AJ294" s="1" t="n">
        <x:f>_xlfn.XLOOKUP($A294,Games!$A$2:$A$18,Games!$E$2:$E$18,"Missing game",0)</x:f>
        <x:v>45914</x:v>
      </x:c>
      <x:c r="AK294" t="str">
        <x:f>_xlfn.XLOOKUP($A294,Games!$A$2:$A$18,Games!$F$2:$F$18,"Missing game",0)</x:f>
        <x:v>Sunday</x:v>
      </x:c>
      <x:c r="AL294" t="str">
        <x:f>_xlfn.XLOOKUP($A294,Games!$A$2:$A$18,Games!$G$2:$G$18,"Missing game",0)</x:f>
        <x:v>ATL</x:v>
      </x:c>
      <x:c r="AM294" t="n">
        <x:f>_xlfn.XLOOKUP($A294,Games!$A$2:$A$18,Games!$H$2:$H$18,"Missing game",0)</x:f>
        <x:v>22</x:v>
      </x:c>
      <x:c r="AN294" t="str">
        <x:f>_xlfn.XLOOKUP($A294,Games!$A$2:$A$18,Games!$I$2:$I$18,"Missing game",0)</x:f>
        <x:v>MIN</x:v>
      </x:c>
      <x:c r="AO294" t="n">
        <x:f>_xlfn.XLOOKUP($A294,Games!$A$2:$A$18,Games!$J$2:$J$18,"Missing game",0)</x:f>
        <x:v>6</x:v>
      </x:c>
      <x:c r="AP294" t="n">
        <x:f>_xlfn.XLOOKUP($A294,Games!$A$2:$A$18,Games!$K$2:$K$18,"Missing game",0)</x:f>
        <x:v>-16</x:v>
      </x:c>
      <x:c r="AQ294" t="n">
        <x:f>_xlfn.XLOOKUP($A294,Games!$A$2:$A$18,Games!$L$2:$L$18,"Missing game",0)</x:f>
        <x:v>28</x:v>
      </x:c>
      <x:c r="AR294" t="n">
        <x:f>_xlfn.XLOOKUP($A294,Games!$A$2:$A$18,Games!$M$2:$M$18,"Missing game",0)</x:f>
        <x:v>0</x:v>
      </x:c>
      <x:c r="AS294" t="str">
        <x:f>_xlfn.XLOOKUP($A294,Games!$A$2:$A$18,Games!$N$2:$N$18,"Missing game",0)</x:f>
        <x:v>dome</x:v>
      </x:c>
      <x:c r="AT294" t="str">
        <x:f>_xlfn.XLOOKUP($A294,Games!$A$2:$A$18,Games!$O$2:$O$18,"Missing game",0)</x:f>
        <x:v>sportturf</x:v>
      </x:c>
      <x:c r="AU294" t="str">
        <x:f>_xlfn.XLOOKUP($A294,Games!$A$2:$A$18,Games!$P$2:$P$18,"Missing game",0)</x:f>
      </x:c>
      <x:c r="AV294" t="str">
        <x:f>_xlfn.XLOOKUP($A294,Games!$A$2:$A$18,Games!$Q$2:$Q$18,"Missing game",0)</x:f>
      </x:c>
      <x:c r="AW294" t="str">
        <x:f>_xlfn.XLOOKUP($A294,Games!$A$2:$A$18,Games!$R$2:$R$18,"Missing game",0)</x:f>
        <x:v>U.S. Bank Stadium</x:v>
      </x:c>
    </x:row>
    <x:row r="295">
      <x:c r="A295" t="str">
        <x:v>2025_02_ATL_MIN</x:v>
      </x:c>
      <x:c r="B295" t="n">
        <x:v>2944</x:v>
      </x:c>
      <x:c r="C295" t="n">
        <x:v>4</x:v>
      </x:c>
      <x:c r="D295" t="str">
        <x:v>14:55</x:v>
      </x:c>
      <x:c r="E295" t="n">
        <x:v>1</x:v>
      </x:c>
      <x:c r="F295" t="n">
        <x:v>10</x:v>
      </x:c>
      <x:c r="G295" t="str">
        <x:v>ATL</x:v>
      </x:c>
      <x:c r="H295" t="str">
        <x:v>MIN</x:v>
      </x:c>
      <x:c r="I295" t="str">
        <x:v>MIN</x:v>
      </x:c>
      <x:c r="J295" t="n">
        <x:v>38</x:v>
      </x:c>
      <x:c r="K295" t="str">
        <x:v>(14:55) (Shotgun) 7-B.Robinson right tackle to MIN 30 for 8 yards (97-J.Hargrave).</x:v>
      </x:c>
      <x:c r="L295" t="str">
        <x:v>run</x:v>
      </x:c>
      <x:c r="M295" t="n">
        <x:v>8</x:v>
      </x:c>
      <x:c r="N295" t="n">
        <x:v>1</x:v>
      </x:c>
      <x:c r="O295" t="n">
        <x:v>0</x:v>
      </x:c>
      <x:c r="P295"/>
      <x:c r="Q295"/>
      <x:c r="R295"/>
      <x:c r="S295"/>
      <x:c r="T295" t="str">
        <x:v>right</x:v>
      </x:c>
      <x:c r="U295" t="str">
        <x:v>tackle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/>
      <x:c r="AC295" t="n">
        <x:v>0</x:v>
      </x:c>
      <x:c r="AD295" t="n">
        <x:v>0.5382540231803432</x:v>
      </x:c>
      <x:c r="AE295" t="n">
        <x:v>1</x:v>
      </x:c>
      <x:c r="AF295" t="n">
        <x:v>0.01013803482055664</x:v>
      </x:c>
      <x:c r="AG295" t="n">
        <x:f>_xlfn.XLOOKUP($A295,Games!$A$2:$A$18,Games!$B$2:$B$18,"Missing game",0)</x:f>
        <x:v>2025</x:v>
      </x:c>
      <x:c r="AH295" t="str">
        <x:f>_xlfn.XLOOKUP($A295,Games!$A$2:$A$18,Games!$C$2:$C$18,"Missing game",0)</x:f>
        <x:v>REG</x:v>
      </x:c>
      <x:c r="AI295" t="n">
        <x:f>_xlfn.XLOOKUP($A295,Games!$A$2:$A$18,Games!$D$2:$D$18,"Missing game",0)</x:f>
        <x:v>2</x:v>
      </x:c>
      <x:c r="AJ295" s="1" t="n">
        <x:f>_xlfn.XLOOKUP($A295,Games!$A$2:$A$18,Games!$E$2:$E$18,"Missing game",0)</x:f>
        <x:v>45914</x:v>
      </x:c>
      <x:c r="AK295" t="str">
        <x:f>_xlfn.XLOOKUP($A295,Games!$A$2:$A$18,Games!$F$2:$F$18,"Missing game",0)</x:f>
        <x:v>Sunday</x:v>
      </x:c>
      <x:c r="AL295" t="str">
        <x:f>_xlfn.XLOOKUP($A295,Games!$A$2:$A$18,Games!$G$2:$G$18,"Missing game",0)</x:f>
        <x:v>ATL</x:v>
      </x:c>
      <x:c r="AM295" t="n">
        <x:f>_xlfn.XLOOKUP($A295,Games!$A$2:$A$18,Games!$H$2:$H$18,"Missing game",0)</x:f>
        <x:v>22</x:v>
      </x:c>
      <x:c r="AN295" t="str">
        <x:f>_xlfn.XLOOKUP($A295,Games!$A$2:$A$18,Games!$I$2:$I$18,"Missing game",0)</x:f>
        <x:v>MIN</x:v>
      </x:c>
      <x:c r="AO295" t="n">
        <x:f>_xlfn.XLOOKUP($A295,Games!$A$2:$A$18,Games!$J$2:$J$18,"Missing game",0)</x:f>
        <x:v>6</x:v>
      </x:c>
      <x:c r="AP295" t="n">
        <x:f>_xlfn.XLOOKUP($A295,Games!$A$2:$A$18,Games!$K$2:$K$18,"Missing game",0)</x:f>
        <x:v>-16</x:v>
      </x:c>
      <x:c r="AQ295" t="n">
        <x:f>_xlfn.XLOOKUP($A295,Games!$A$2:$A$18,Games!$L$2:$L$18,"Missing game",0)</x:f>
        <x:v>28</x:v>
      </x:c>
      <x:c r="AR295" t="n">
        <x:f>_xlfn.XLOOKUP($A295,Games!$A$2:$A$18,Games!$M$2:$M$18,"Missing game",0)</x:f>
        <x:v>0</x:v>
      </x:c>
      <x:c r="AS295" t="str">
        <x:f>_xlfn.XLOOKUP($A295,Games!$A$2:$A$18,Games!$N$2:$N$18,"Missing game",0)</x:f>
        <x:v>dome</x:v>
      </x:c>
      <x:c r="AT295" t="str">
        <x:f>_xlfn.XLOOKUP($A295,Games!$A$2:$A$18,Games!$O$2:$O$18,"Missing game",0)</x:f>
        <x:v>sportturf</x:v>
      </x:c>
      <x:c r="AU295" t="str">
        <x:f>_xlfn.XLOOKUP($A295,Games!$A$2:$A$18,Games!$P$2:$P$18,"Missing game",0)</x:f>
      </x:c>
      <x:c r="AV295" t="str">
        <x:f>_xlfn.XLOOKUP($A295,Games!$A$2:$A$18,Games!$Q$2:$Q$18,"Missing game",0)</x:f>
      </x:c>
      <x:c r="AW295" t="str">
        <x:f>_xlfn.XLOOKUP($A295,Games!$A$2:$A$18,Games!$R$2:$R$18,"Missing game",0)</x:f>
        <x:v>U.S. Bank Stadium</x:v>
      </x:c>
    </x:row>
    <x:row r="296">
      <x:c r="A296" t="str">
        <x:v>2025_02_ATL_MIN</x:v>
      </x:c>
      <x:c r="B296" t="n">
        <x:v>2966</x:v>
      </x:c>
      <x:c r="C296" t="n">
        <x:v>4</x:v>
      </x:c>
      <x:c r="D296" t="str">
        <x:v>14:17</x:v>
      </x:c>
      <x:c r="E296" t="n">
        <x:v>2</x:v>
      </x:c>
      <x:c r="F296" t="n">
        <x:v>2</x:v>
      </x:c>
      <x:c r="G296" t="str">
        <x:v>ATL</x:v>
      </x:c>
      <x:c r="H296" t="str">
        <x:v>MIN</x:v>
      </x:c>
      <x:c r="I296" t="str">
        <x:v>MIN</x:v>
      </x:c>
      <x:c r="J296" t="n">
        <x:v>30</x:v>
      </x:c>
      <x:c r="K296" t="str">
        <x:v>(14:17) (Shotgun) 7-B.Robinson left end to MIN 28 for 2 yards (15-D.Turner).</x:v>
      </x:c>
      <x:c r="L296" t="str">
        <x:v>run</x:v>
      </x:c>
      <x:c r="M296" t="n">
        <x:v>2</x:v>
      </x:c>
      <x:c r="N296" t="n">
        <x:v>1</x:v>
      </x:c>
      <x:c r="O296" t="n">
        <x:v>0</x:v>
      </x:c>
      <x:c r="P296"/>
      <x:c r="Q296"/>
      <x:c r="R296"/>
      <x:c r="S296"/>
      <x:c r="T296" t="str">
        <x:v>left</x:v>
      </x:c>
      <x:c r="U296" t="str">
        <x:v>end</x:v>
      </x:c>
      <x:c r="V296" t="n">
        <x:v>0</x:v>
      </x:c>
      <x:c r="W296" t="n">
        <x:v>1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/>
      <x:c r="AC296" t="n">
        <x:v>0</x:v>
      </x:c>
      <x:c r="AD296" t="n">
        <x:v>0.1795903603779152</x:v>
      </x:c>
      <x:c r="AE296" t="n">
        <x:v>1</x:v>
      </x:c>
      <x:c r="AF296" t="n">
        <x:v>0.008067607879638672</x:v>
      </x:c>
      <x:c r="AG296" t="n">
        <x:f>_xlfn.XLOOKUP($A296,Games!$A$2:$A$18,Games!$B$2:$B$18,"Missing game",0)</x:f>
        <x:v>2025</x:v>
      </x:c>
      <x:c r="AH296" t="str">
        <x:f>_xlfn.XLOOKUP($A296,Games!$A$2:$A$18,Games!$C$2:$C$18,"Missing game",0)</x:f>
        <x:v>REG</x:v>
      </x:c>
      <x:c r="AI296" t="n">
        <x:f>_xlfn.XLOOKUP($A296,Games!$A$2:$A$18,Games!$D$2:$D$18,"Missing game",0)</x:f>
        <x:v>2</x:v>
      </x:c>
      <x:c r="AJ296" s="1" t="n">
        <x:f>_xlfn.XLOOKUP($A296,Games!$A$2:$A$18,Games!$E$2:$E$18,"Missing game",0)</x:f>
        <x:v>45914</x:v>
      </x:c>
      <x:c r="AK296" t="str">
        <x:f>_xlfn.XLOOKUP($A296,Games!$A$2:$A$18,Games!$F$2:$F$18,"Missing game",0)</x:f>
        <x:v>Sunday</x:v>
      </x:c>
      <x:c r="AL296" t="str">
        <x:f>_xlfn.XLOOKUP($A296,Games!$A$2:$A$18,Games!$G$2:$G$18,"Missing game",0)</x:f>
        <x:v>ATL</x:v>
      </x:c>
      <x:c r="AM296" t="n">
        <x:f>_xlfn.XLOOKUP($A296,Games!$A$2:$A$18,Games!$H$2:$H$18,"Missing game",0)</x:f>
        <x:v>22</x:v>
      </x:c>
      <x:c r="AN296" t="str">
        <x:f>_xlfn.XLOOKUP($A296,Games!$A$2:$A$18,Games!$I$2:$I$18,"Missing game",0)</x:f>
        <x:v>MIN</x:v>
      </x:c>
      <x:c r="AO296" t="n">
        <x:f>_xlfn.XLOOKUP($A296,Games!$A$2:$A$18,Games!$J$2:$J$18,"Missing game",0)</x:f>
        <x:v>6</x:v>
      </x:c>
      <x:c r="AP296" t="n">
        <x:f>_xlfn.XLOOKUP($A296,Games!$A$2:$A$18,Games!$K$2:$K$18,"Missing game",0)</x:f>
        <x:v>-16</x:v>
      </x:c>
      <x:c r="AQ296" t="n">
        <x:f>_xlfn.XLOOKUP($A296,Games!$A$2:$A$18,Games!$L$2:$L$18,"Missing game",0)</x:f>
        <x:v>28</x:v>
      </x:c>
      <x:c r="AR296" t="n">
        <x:f>_xlfn.XLOOKUP($A296,Games!$A$2:$A$18,Games!$M$2:$M$18,"Missing game",0)</x:f>
        <x:v>0</x:v>
      </x:c>
      <x:c r="AS296" t="str">
        <x:f>_xlfn.XLOOKUP($A296,Games!$A$2:$A$18,Games!$N$2:$N$18,"Missing game",0)</x:f>
        <x:v>dome</x:v>
      </x:c>
      <x:c r="AT296" t="str">
        <x:f>_xlfn.XLOOKUP($A296,Games!$A$2:$A$18,Games!$O$2:$O$18,"Missing game",0)</x:f>
        <x:v>sportturf</x:v>
      </x:c>
      <x:c r="AU296" t="str">
        <x:f>_xlfn.XLOOKUP($A296,Games!$A$2:$A$18,Games!$P$2:$P$18,"Missing game",0)</x:f>
      </x:c>
      <x:c r="AV296" t="str">
        <x:f>_xlfn.XLOOKUP($A296,Games!$A$2:$A$18,Games!$Q$2:$Q$18,"Missing game",0)</x:f>
      </x:c>
      <x:c r="AW296" t="str">
        <x:f>_xlfn.XLOOKUP($A296,Games!$A$2:$A$18,Games!$R$2:$R$18,"Missing game",0)</x:f>
        <x:v>U.S. Bank Stadium</x:v>
      </x:c>
    </x:row>
    <x:row r="297">
      <x:c r="A297" t="str">
        <x:v>2025_02_ATL_MIN</x:v>
      </x:c>
      <x:c r="B297" t="n">
        <x:v>2988</x:v>
      </x:c>
      <x:c r="C297" t="n">
        <x:v>4</x:v>
      </x:c>
      <x:c r="D297" t="str">
        <x:v>13:34</x:v>
      </x:c>
      <x:c r="E297" t="n">
        <x:v>1</x:v>
      </x:c>
      <x:c r="F297" t="n">
        <x:v>10</x:v>
      </x:c>
      <x:c r="G297" t="str">
        <x:v>ATL</x:v>
      </x:c>
      <x:c r="H297" t="str">
        <x:v>MIN</x:v>
      </x:c>
      <x:c r="I297" t="str">
        <x:v>MIN</x:v>
      </x:c>
      <x:c r="J297" t="n">
        <x:v>28</x:v>
      </x:c>
      <x:c r="K297" t="str">
        <x:v>(13:34) (Shotgun) 7-B.Robinson left end to MIN 30 for -2 yards (2-I.Rodgers).</x:v>
      </x:c>
      <x:c r="L297" t="str">
        <x:v>run</x:v>
      </x:c>
      <x:c r="M297" t="n">
        <x:v>-2</x:v>
      </x:c>
      <x:c r="N297" t="n">
        <x:v>1</x:v>
      </x:c>
      <x:c r="O297" t="n">
        <x:v>0</x:v>
      </x:c>
      <x:c r="P297"/>
      <x:c r="Q297"/>
      <x:c r="R297"/>
      <x:c r="S297"/>
      <x:c r="T297" t="str">
        <x:v>left</x:v>
      </x:c>
      <x:c r="U297" t="str">
        <x:v>end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/>
      <x:c r="AC297" t="n">
        <x:v>0</x:v>
      </x:c>
      <x:c r="AD297" t="n">
        <x:v>-0.969664010219276</x:v>
      </x:c>
      <x:c r="AE297" t="n">
        <x:v>0</x:v>
      </x:c>
      <x:c r="AF297" t="n">
        <x:v>-0.013239026069641113</x:v>
      </x:c>
      <x:c r="AG297" t="n">
        <x:f>_xlfn.XLOOKUP($A297,Games!$A$2:$A$18,Games!$B$2:$B$18,"Missing game",0)</x:f>
        <x:v>2025</x:v>
      </x:c>
      <x:c r="AH297" t="str">
        <x:f>_xlfn.XLOOKUP($A297,Games!$A$2:$A$18,Games!$C$2:$C$18,"Missing game",0)</x:f>
        <x:v>REG</x:v>
      </x:c>
      <x:c r="AI297" t="n">
        <x:f>_xlfn.XLOOKUP($A297,Games!$A$2:$A$18,Games!$D$2:$D$18,"Missing game",0)</x:f>
        <x:v>2</x:v>
      </x:c>
      <x:c r="AJ297" s="1" t="n">
        <x:f>_xlfn.XLOOKUP($A297,Games!$A$2:$A$18,Games!$E$2:$E$18,"Missing game",0)</x:f>
        <x:v>45914</x:v>
      </x:c>
      <x:c r="AK297" t="str">
        <x:f>_xlfn.XLOOKUP($A297,Games!$A$2:$A$18,Games!$F$2:$F$18,"Missing game",0)</x:f>
        <x:v>Sunday</x:v>
      </x:c>
      <x:c r="AL297" t="str">
        <x:f>_xlfn.XLOOKUP($A297,Games!$A$2:$A$18,Games!$G$2:$G$18,"Missing game",0)</x:f>
        <x:v>ATL</x:v>
      </x:c>
      <x:c r="AM297" t="n">
        <x:f>_xlfn.XLOOKUP($A297,Games!$A$2:$A$18,Games!$H$2:$H$18,"Missing game",0)</x:f>
        <x:v>22</x:v>
      </x:c>
      <x:c r="AN297" t="str">
        <x:f>_xlfn.XLOOKUP($A297,Games!$A$2:$A$18,Games!$I$2:$I$18,"Missing game",0)</x:f>
        <x:v>MIN</x:v>
      </x:c>
      <x:c r="AO297" t="n">
        <x:f>_xlfn.XLOOKUP($A297,Games!$A$2:$A$18,Games!$J$2:$J$18,"Missing game",0)</x:f>
        <x:v>6</x:v>
      </x:c>
      <x:c r="AP297" t="n">
        <x:f>_xlfn.XLOOKUP($A297,Games!$A$2:$A$18,Games!$K$2:$K$18,"Missing game",0)</x:f>
        <x:v>-16</x:v>
      </x:c>
      <x:c r="AQ297" t="n">
        <x:f>_xlfn.XLOOKUP($A297,Games!$A$2:$A$18,Games!$L$2:$L$18,"Missing game",0)</x:f>
        <x:v>28</x:v>
      </x:c>
      <x:c r="AR297" t="n">
        <x:f>_xlfn.XLOOKUP($A297,Games!$A$2:$A$18,Games!$M$2:$M$18,"Missing game",0)</x:f>
        <x:v>0</x:v>
      </x:c>
      <x:c r="AS297" t="str">
        <x:f>_xlfn.XLOOKUP($A297,Games!$A$2:$A$18,Games!$N$2:$N$18,"Missing game",0)</x:f>
        <x:v>dome</x:v>
      </x:c>
      <x:c r="AT297" t="str">
        <x:f>_xlfn.XLOOKUP($A297,Games!$A$2:$A$18,Games!$O$2:$O$18,"Missing game",0)</x:f>
        <x:v>sportturf</x:v>
      </x:c>
      <x:c r="AU297" t="str">
        <x:f>_xlfn.XLOOKUP($A297,Games!$A$2:$A$18,Games!$P$2:$P$18,"Missing game",0)</x:f>
      </x:c>
      <x:c r="AV297" t="str">
        <x:f>_xlfn.XLOOKUP($A297,Games!$A$2:$A$18,Games!$Q$2:$Q$18,"Missing game",0)</x:f>
      </x:c>
      <x:c r="AW297" t="str">
        <x:f>_xlfn.XLOOKUP($A297,Games!$A$2:$A$18,Games!$R$2:$R$18,"Missing game",0)</x:f>
        <x:v>U.S. Bank Stadium</x:v>
      </x:c>
    </x:row>
    <x:row r="298">
      <x:c r="A298" t="str">
        <x:v>2025_02_ATL_MIN</x:v>
      </x:c>
      <x:c r="B298" t="n">
        <x:v>3010</x:v>
      </x:c>
      <x:c r="C298" t="n">
        <x:v>4</x:v>
      </x:c>
      <x:c r="D298" t="str">
        <x:v>12:53</x:v>
      </x:c>
      <x:c r="E298" t="n">
        <x:v>2</x:v>
      </x:c>
      <x:c r="F298" t="n">
        <x:v>12</x:v>
      </x:c>
      <x:c r="G298" t="str">
        <x:v>ATL</x:v>
      </x:c>
      <x:c r="H298" t="str">
        <x:v>MIN</x:v>
      </x:c>
      <x:c r="I298" t="str">
        <x:v>MIN</x:v>
      </x:c>
      <x:c r="J298" t="n">
        <x:v>30</x:v>
      </x:c>
      <x:c r="K298" t="str">
        <x:v>(12:53) (Shotgun) 9-M.Penix sacked at MIN 39 for -9 yards (61-J.Redmond).</x:v>
      </x:c>
      <x:c r="L298" t="str">
        <x:v>pass</x:v>
      </x:c>
      <x:c r="M298" t="n">
        <x:v>-9</x:v>
      </x:c>
      <x:c r="N298" t="n">
        <x:v>1</x:v>
      </x:c>
      <x:c r="O298" t="n">
        <x:v>0</x:v>
      </x:c>
      <x:c r="P298"/>
      <x:c r="Q298"/>
      <x:c r="R298"/>
      <x:c r="S298"/>
      <x:c r="T298"/>
      <x:c r="U298"/>
      <x:c r="V298" t="n">
        <x:v>0</x:v>
      </x:c>
      <x:c r="W298" t="n">
        <x:v>0</x:v>
      </x:c>
      <x:c r="X298" t="n">
        <x:v>1</x:v>
      </x:c>
      <x:c r="Y298" t="n">
        <x:v>0</x:v>
      </x:c>
      <x:c r="Z298" t="n">
        <x:v>0</x:v>
      </x:c>
      <x:c r="AA298" t="n">
        <x:v>0</x:v>
      </x:c>
      <x:c r="AB298"/>
      <x:c r="AC298" t="n">
        <x:v>0</x:v>
      </x:c>
      <x:c r="AD298" t="n">
        <x:v>-2.0208728110883385</x:v>
      </x:c>
      <x:c r="AE298" t="n">
        <x:v>0</x:v>
      </x:c>
      <x:c r="AF298" t="n">
        <x:v>-0.03236031532287598</x:v>
      </x:c>
      <x:c r="AG298" t="n">
        <x:f>_xlfn.XLOOKUP($A298,Games!$A$2:$A$18,Games!$B$2:$B$18,"Missing game",0)</x:f>
        <x:v>2025</x:v>
      </x:c>
      <x:c r="AH298" t="str">
        <x:f>_xlfn.XLOOKUP($A298,Games!$A$2:$A$18,Games!$C$2:$C$18,"Missing game",0)</x:f>
        <x:v>REG</x:v>
      </x:c>
      <x:c r="AI298" t="n">
        <x:f>_xlfn.XLOOKUP($A298,Games!$A$2:$A$18,Games!$D$2:$D$18,"Missing game",0)</x:f>
        <x:v>2</x:v>
      </x:c>
      <x:c r="AJ298" s="1" t="n">
        <x:f>_xlfn.XLOOKUP($A298,Games!$A$2:$A$18,Games!$E$2:$E$18,"Missing game",0)</x:f>
        <x:v>45914</x:v>
      </x:c>
      <x:c r="AK298" t="str">
        <x:f>_xlfn.XLOOKUP($A298,Games!$A$2:$A$18,Games!$F$2:$F$18,"Missing game",0)</x:f>
        <x:v>Sunday</x:v>
      </x:c>
      <x:c r="AL298" t="str">
        <x:f>_xlfn.XLOOKUP($A298,Games!$A$2:$A$18,Games!$G$2:$G$18,"Missing game",0)</x:f>
        <x:v>ATL</x:v>
      </x:c>
      <x:c r="AM298" t="n">
        <x:f>_xlfn.XLOOKUP($A298,Games!$A$2:$A$18,Games!$H$2:$H$18,"Missing game",0)</x:f>
        <x:v>22</x:v>
      </x:c>
      <x:c r="AN298" t="str">
        <x:f>_xlfn.XLOOKUP($A298,Games!$A$2:$A$18,Games!$I$2:$I$18,"Missing game",0)</x:f>
        <x:v>MIN</x:v>
      </x:c>
      <x:c r="AO298" t="n">
        <x:f>_xlfn.XLOOKUP($A298,Games!$A$2:$A$18,Games!$J$2:$J$18,"Missing game",0)</x:f>
        <x:v>6</x:v>
      </x:c>
      <x:c r="AP298" t="n">
        <x:f>_xlfn.XLOOKUP($A298,Games!$A$2:$A$18,Games!$K$2:$K$18,"Missing game",0)</x:f>
        <x:v>-16</x:v>
      </x:c>
      <x:c r="AQ298" t="n">
        <x:f>_xlfn.XLOOKUP($A298,Games!$A$2:$A$18,Games!$L$2:$L$18,"Missing game",0)</x:f>
        <x:v>28</x:v>
      </x:c>
      <x:c r="AR298" t="n">
        <x:f>_xlfn.XLOOKUP($A298,Games!$A$2:$A$18,Games!$M$2:$M$18,"Missing game",0)</x:f>
        <x:v>0</x:v>
      </x:c>
      <x:c r="AS298" t="str">
        <x:f>_xlfn.XLOOKUP($A298,Games!$A$2:$A$18,Games!$N$2:$N$18,"Missing game",0)</x:f>
        <x:v>dome</x:v>
      </x:c>
      <x:c r="AT298" t="str">
        <x:f>_xlfn.XLOOKUP($A298,Games!$A$2:$A$18,Games!$O$2:$O$18,"Missing game",0)</x:f>
        <x:v>sportturf</x:v>
      </x:c>
      <x:c r="AU298" t="str">
        <x:f>_xlfn.XLOOKUP($A298,Games!$A$2:$A$18,Games!$P$2:$P$18,"Missing game",0)</x:f>
      </x:c>
      <x:c r="AV298" t="str">
        <x:f>_xlfn.XLOOKUP($A298,Games!$A$2:$A$18,Games!$Q$2:$Q$18,"Missing game",0)</x:f>
      </x:c>
      <x:c r="AW298" t="str">
        <x:f>_xlfn.XLOOKUP($A298,Games!$A$2:$A$18,Games!$R$2:$R$18,"Missing game",0)</x:f>
        <x:v>U.S. Bank Stadium</x:v>
      </x:c>
    </x:row>
    <x:row r="299">
      <x:c r="A299" t="str">
        <x:v>2025_02_ATL_MIN</x:v>
      </x:c>
      <x:c r="B299" t="n">
        <x:v>3030</x:v>
      </x:c>
      <x:c r="C299" t="n">
        <x:v>4</x:v>
      </x:c>
      <x:c r="D299" t="str">
        <x:v>12:06</x:v>
      </x:c>
      <x:c r="E299" t="n">
        <x:v>3</x:v>
      </x:c>
      <x:c r="F299" t="n">
        <x:v>21</x:v>
      </x:c>
      <x:c r="G299" t="str">
        <x:v>ATL</x:v>
      </x:c>
      <x:c r="H299" t="str">
        <x:v>MIN</x:v>
      </x:c>
      <x:c r="I299" t="str">
        <x:v>MIN</x:v>
      </x:c>
      <x:c r="J299" t="n">
        <x:v>39</x:v>
      </x:c>
      <x:c r="K299" t="str">
        <x:v>(12:06) (Shotgun) 9-M.Penix pass short left to 8-K.Pitts to MIN 36 for 3 yards (44-J.Metellus).</x:v>
      </x:c>
      <x:c r="L299" t="str">
        <x:v>pass</x:v>
      </x:c>
      <x:c r="M299" t="n">
        <x:v>3</x:v>
      </x:c>
      <x:c r="N299" t="n">
        <x:v>1</x:v>
      </x:c>
      <x:c r="O299" t="n">
        <x:v>0</x:v>
      </x:c>
      <x:c r="P299" t="str">
        <x:v>short</x:v>
      </x:c>
      <x:c r="Q299" t="str">
        <x:v>left</x:v>
      </x:c>
      <x:c r="R299" t="n">
        <x:v>3</x:v>
      </x:c>
      <x:c r="S299" t="n">
        <x:v>0</x:v>
      </x:c>
      <x:c r="T299"/>
      <x:c r="U299"/>
      <x:c r="V299" t="n">
        <x:v>1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/>
      <x:c r="AC299" t="n">
        <x:v>0</x:v>
      </x:c>
      <x:c r="AD299" t="n">
        <x:v>0.07386337854004021</x:v>
      </x:c>
      <x:c r="AE299" t="n">
        <x:v>1</x:v>
      </x:c>
      <x:c r="AF299" t="n">
        <x:v>-0.01946192979812622</x:v>
      </x:c>
      <x:c r="AG299" t="n">
        <x:f>_xlfn.XLOOKUP($A299,Games!$A$2:$A$18,Games!$B$2:$B$18,"Missing game",0)</x:f>
        <x:v>2025</x:v>
      </x:c>
      <x:c r="AH299" t="str">
        <x:f>_xlfn.XLOOKUP($A299,Games!$A$2:$A$18,Games!$C$2:$C$18,"Missing game",0)</x:f>
        <x:v>REG</x:v>
      </x:c>
      <x:c r="AI299" t="n">
        <x:f>_xlfn.XLOOKUP($A299,Games!$A$2:$A$18,Games!$D$2:$D$18,"Missing game",0)</x:f>
        <x:v>2</x:v>
      </x:c>
      <x:c r="AJ299" s="1" t="n">
        <x:f>_xlfn.XLOOKUP($A299,Games!$A$2:$A$18,Games!$E$2:$E$18,"Missing game",0)</x:f>
        <x:v>45914</x:v>
      </x:c>
      <x:c r="AK299" t="str">
        <x:f>_xlfn.XLOOKUP($A299,Games!$A$2:$A$18,Games!$F$2:$F$18,"Missing game",0)</x:f>
        <x:v>Sunday</x:v>
      </x:c>
      <x:c r="AL299" t="str">
        <x:f>_xlfn.XLOOKUP($A299,Games!$A$2:$A$18,Games!$G$2:$G$18,"Missing game",0)</x:f>
        <x:v>ATL</x:v>
      </x:c>
      <x:c r="AM299" t="n">
        <x:f>_xlfn.XLOOKUP($A299,Games!$A$2:$A$18,Games!$H$2:$H$18,"Missing game",0)</x:f>
        <x:v>22</x:v>
      </x:c>
      <x:c r="AN299" t="str">
        <x:f>_xlfn.XLOOKUP($A299,Games!$A$2:$A$18,Games!$I$2:$I$18,"Missing game",0)</x:f>
        <x:v>MIN</x:v>
      </x:c>
      <x:c r="AO299" t="n">
        <x:f>_xlfn.XLOOKUP($A299,Games!$A$2:$A$18,Games!$J$2:$J$18,"Missing game",0)</x:f>
        <x:v>6</x:v>
      </x:c>
      <x:c r="AP299" t="n">
        <x:f>_xlfn.XLOOKUP($A299,Games!$A$2:$A$18,Games!$K$2:$K$18,"Missing game",0)</x:f>
        <x:v>-16</x:v>
      </x:c>
      <x:c r="AQ299" t="n">
        <x:f>_xlfn.XLOOKUP($A299,Games!$A$2:$A$18,Games!$L$2:$L$18,"Missing game",0)</x:f>
        <x:v>28</x:v>
      </x:c>
      <x:c r="AR299" t="n">
        <x:f>_xlfn.XLOOKUP($A299,Games!$A$2:$A$18,Games!$M$2:$M$18,"Missing game",0)</x:f>
        <x:v>0</x:v>
      </x:c>
      <x:c r="AS299" t="str">
        <x:f>_xlfn.XLOOKUP($A299,Games!$A$2:$A$18,Games!$N$2:$N$18,"Missing game",0)</x:f>
        <x:v>dome</x:v>
      </x:c>
      <x:c r="AT299" t="str">
        <x:f>_xlfn.XLOOKUP($A299,Games!$A$2:$A$18,Games!$O$2:$O$18,"Missing game",0)</x:f>
        <x:v>sportturf</x:v>
      </x:c>
      <x:c r="AU299" t="str">
        <x:f>_xlfn.XLOOKUP($A299,Games!$A$2:$A$18,Games!$P$2:$P$18,"Missing game",0)</x:f>
      </x:c>
      <x:c r="AV299" t="str">
        <x:f>_xlfn.XLOOKUP($A299,Games!$A$2:$A$18,Games!$Q$2:$Q$18,"Missing game",0)</x:f>
      </x:c>
      <x:c r="AW299" t="str">
        <x:f>_xlfn.XLOOKUP($A299,Games!$A$2:$A$18,Games!$R$2:$R$18,"Missing game",0)</x:f>
        <x:v>U.S. Bank Stadium</x:v>
      </x:c>
    </x:row>
    <x:row r="300">
      <x:c r="A300" t="str">
        <x:v>2025_02_ATL_MIN</x:v>
      </x:c>
      <x:c r="B300" t="n">
        <x:v>3042</x:v>
      </x:c>
      <x:c r="C300" t="n">
        <x:v>4</x:v>
      </x:c>
      <x:c r="D300" t="str">
        <x:v>12:06</x:v>
      </x:c>
      <x:c r="E300"/>
      <x:c r="F300" t="n">
        <x:v>0</x:v>
      </x:c>
      <x:c r="G300"/>
      <x:c r="H300"/>
      <x:c r="I300"/>
      <x:c r="J300"/>
      <x:c r="K300" t="str">
        <x:v>Timeout #1 by ATL at 12:06.</x:v>
      </x:c>
      <x:c r="L300" t="str">
        <x:v>no_play</x:v>
      </x:c>
      <x:c r="M300" t="n">
        <x:v>0</x:v>
      </x:c>
      <x:c r="N300" t="n">
        <x:v>0</x:v>
      </x:c>
      <x:c r="O300" t="n">
        <x:v>0</x:v>
      </x:c>
      <x:c r="P300"/>
      <x:c r="Q300"/>
      <x:c r="R300"/>
      <x:c r="S300"/>
      <x:c r="T300"/>
      <x:c r="U300"/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/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f>_xlfn.XLOOKUP($A300,Games!$A$2:$A$18,Games!$B$2:$B$18,"Missing game",0)</x:f>
        <x:v>2025</x:v>
      </x:c>
      <x:c r="AH300" t="str">
        <x:f>_xlfn.XLOOKUP($A300,Games!$A$2:$A$18,Games!$C$2:$C$18,"Missing game",0)</x:f>
        <x:v>REG</x:v>
      </x:c>
      <x:c r="AI300" t="n">
        <x:f>_xlfn.XLOOKUP($A300,Games!$A$2:$A$18,Games!$D$2:$D$18,"Missing game",0)</x:f>
        <x:v>2</x:v>
      </x:c>
      <x:c r="AJ300" s="1" t="n">
        <x:f>_xlfn.XLOOKUP($A300,Games!$A$2:$A$18,Games!$E$2:$E$18,"Missing game",0)</x:f>
        <x:v>45914</x:v>
      </x:c>
      <x:c r="AK300" t="str">
        <x:f>_xlfn.XLOOKUP($A300,Games!$A$2:$A$18,Games!$F$2:$F$18,"Missing game",0)</x:f>
        <x:v>Sunday</x:v>
      </x:c>
      <x:c r="AL300" t="str">
        <x:f>_xlfn.XLOOKUP($A300,Games!$A$2:$A$18,Games!$G$2:$G$18,"Missing game",0)</x:f>
        <x:v>ATL</x:v>
      </x:c>
      <x:c r="AM300" t="n">
        <x:f>_xlfn.XLOOKUP($A300,Games!$A$2:$A$18,Games!$H$2:$H$18,"Missing game",0)</x:f>
        <x:v>22</x:v>
      </x:c>
      <x:c r="AN300" t="str">
        <x:f>_xlfn.XLOOKUP($A300,Games!$A$2:$A$18,Games!$I$2:$I$18,"Missing game",0)</x:f>
        <x:v>MIN</x:v>
      </x:c>
      <x:c r="AO300" t="n">
        <x:f>_xlfn.XLOOKUP($A300,Games!$A$2:$A$18,Games!$J$2:$J$18,"Missing game",0)</x:f>
        <x:v>6</x:v>
      </x:c>
      <x:c r="AP300" t="n">
        <x:f>_xlfn.XLOOKUP($A300,Games!$A$2:$A$18,Games!$K$2:$K$18,"Missing game",0)</x:f>
        <x:v>-16</x:v>
      </x:c>
      <x:c r="AQ300" t="n">
        <x:f>_xlfn.XLOOKUP($A300,Games!$A$2:$A$18,Games!$L$2:$L$18,"Missing game",0)</x:f>
        <x:v>28</x:v>
      </x:c>
      <x:c r="AR300" t="n">
        <x:f>_xlfn.XLOOKUP($A300,Games!$A$2:$A$18,Games!$M$2:$M$18,"Missing game",0)</x:f>
        <x:v>0</x:v>
      </x:c>
      <x:c r="AS300" t="str">
        <x:f>_xlfn.XLOOKUP($A300,Games!$A$2:$A$18,Games!$N$2:$N$18,"Missing game",0)</x:f>
        <x:v>dome</x:v>
      </x:c>
      <x:c r="AT300" t="str">
        <x:f>_xlfn.XLOOKUP($A300,Games!$A$2:$A$18,Games!$O$2:$O$18,"Missing game",0)</x:f>
        <x:v>sportturf</x:v>
      </x:c>
      <x:c r="AU300" t="str">
        <x:f>_xlfn.XLOOKUP($A300,Games!$A$2:$A$18,Games!$P$2:$P$18,"Missing game",0)</x:f>
      </x:c>
      <x:c r="AV300" t="str">
        <x:f>_xlfn.XLOOKUP($A300,Games!$A$2:$A$18,Games!$Q$2:$Q$18,"Missing game",0)</x:f>
      </x:c>
      <x:c r="AW300" t="str">
        <x:f>_xlfn.XLOOKUP($A300,Games!$A$2:$A$18,Games!$R$2:$R$18,"Missing game",0)</x:f>
        <x:v>U.S. Bank Stadium</x:v>
      </x:c>
    </x:row>
    <x:row r="301">
      <x:c r="A301" t="str">
        <x:v>2025_02_ATL_MIN</x:v>
      </x:c>
      <x:c r="B301" t="n">
        <x:v>3062</x:v>
      </x:c>
      <x:c r="C301" t="n">
        <x:v>4</x:v>
      </x:c>
      <x:c r="D301" t="str">
        <x:v>11:21</x:v>
      </x:c>
      <x:c r="E301" t="n">
        <x:v>4</x:v>
      </x:c>
      <x:c r="F301" t="n">
        <x:v>18</x:v>
      </x:c>
      <x:c r="G301" t="str">
        <x:v>ATL</x:v>
      </x:c>
      <x:c r="H301" t="str">
        <x:v>MIN</x:v>
      </x:c>
      <x:c r="I301" t="str">
        <x:v>MIN</x:v>
      </x:c>
      <x:c r="J301" t="n">
        <x:v>36</x:v>
      </x:c>
      <x:c r="K301" t="str">
        <x:v>(11:21) 39-J.Romo 54 yard field goal is GOOD, Center-49-L.McCullough, Holder-13-B.Pinion.</x:v>
      </x:c>
      <x:c r="L301" t="str">
        <x:v>field_goal</x:v>
      </x:c>
      <x:c r="M301" t="n">
        <x:v>0</x:v>
      </x:c>
      <x:c r="N301" t="n">
        <x:v>0</x:v>
      </x:c>
      <x:c r="O301" t="n">
        <x:v>0</x:v>
      </x:c>
      <x:c r="P301"/>
      <x:c r="Q301"/>
      <x:c r="R301"/>
      <x:c r="S301"/>
      <x:c r="T301"/>
      <x:c r="U301"/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/>
      <x:c r="AC301" t="n">
        <x:v>0</x:v>
      </x:c>
      <x:c r="AD301" t="n">
        <x:v>1.7139369588807363</x:v>
      </x:c>
      <x:c r="AE301" t="n">
        <x:v>1</x:v>
      </x:c>
      <x:c r="AF301" t="n">
        <x:v>0.03468778729438782</x:v>
      </x:c>
      <x:c r="AG301" t="n">
        <x:f>_xlfn.XLOOKUP($A301,Games!$A$2:$A$18,Games!$B$2:$B$18,"Missing game",0)</x:f>
        <x:v>2025</x:v>
      </x:c>
      <x:c r="AH301" t="str">
        <x:f>_xlfn.XLOOKUP($A301,Games!$A$2:$A$18,Games!$C$2:$C$18,"Missing game",0)</x:f>
        <x:v>REG</x:v>
      </x:c>
      <x:c r="AI301" t="n">
        <x:f>_xlfn.XLOOKUP($A301,Games!$A$2:$A$18,Games!$D$2:$D$18,"Missing game",0)</x:f>
        <x:v>2</x:v>
      </x:c>
      <x:c r="AJ301" s="1" t="n">
        <x:f>_xlfn.XLOOKUP($A301,Games!$A$2:$A$18,Games!$E$2:$E$18,"Missing game",0)</x:f>
        <x:v>45914</x:v>
      </x:c>
      <x:c r="AK301" t="str">
        <x:f>_xlfn.XLOOKUP($A301,Games!$A$2:$A$18,Games!$F$2:$F$18,"Missing game",0)</x:f>
        <x:v>Sunday</x:v>
      </x:c>
      <x:c r="AL301" t="str">
        <x:f>_xlfn.XLOOKUP($A301,Games!$A$2:$A$18,Games!$G$2:$G$18,"Missing game",0)</x:f>
        <x:v>ATL</x:v>
      </x:c>
      <x:c r="AM301" t="n">
        <x:f>_xlfn.XLOOKUP($A301,Games!$A$2:$A$18,Games!$H$2:$H$18,"Missing game",0)</x:f>
        <x:v>22</x:v>
      </x:c>
      <x:c r="AN301" t="str">
        <x:f>_xlfn.XLOOKUP($A301,Games!$A$2:$A$18,Games!$I$2:$I$18,"Missing game",0)</x:f>
        <x:v>MIN</x:v>
      </x:c>
      <x:c r="AO301" t="n">
        <x:f>_xlfn.XLOOKUP($A301,Games!$A$2:$A$18,Games!$J$2:$J$18,"Missing game",0)</x:f>
        <x:v>6</x:v>
      </x:c>
      <x:c r="AP301" t="n">
        <x:f>_xlfn.XLOOKUP($A301,Games!$A$2:$A$18,Games!$K$2:$K$18,"Missing game",0)</x:f>
        <x:v>-16</x:v>
      </x:c>
      <x:c r="AQ301" t="n">
        <x:f>_xlfn.XLOOKUP($A301,Games!$A$2:$A$18,Games!$L$2:$L$18,"Missing game",0)</x:f>
        <x:v>28</x:v>
      </x:c>
      <x:c r="AR301" t="n">
        <x:f>_xlfn.XLOOKUP($A301,Games!$A$2:$A$18,Games!$M$2:$M$18,"Missing game",0)</x:f>
        <x:v>0</x:v>
      </x:c>
      <x:c r="AS301" t="str">
        <x:f>_xlfn.XLOOKUP($A301,Games!$A$2:$A$18,Games!$N$2:$N$18,"Missing game",0)</x:f>
        <x:v>dome</x:v>
      </x:c>
      <x:c r="AT301" t="str">
        <x:f>_xlfn.XLOOKUP($A301,Games!$A$2:$A$18,Games!$O$2:$O$18,"Missing game",0)</x:f>
        <x:v>sportturf</x:v>
      </x:c>
      <x:c r="AU301" t="str">
        <x:f>_xlfn.XLOOKUP($A301,Games!$A$2:$A$18,Games!$P$2:$P$18,"Missing game",0)</x:f>
      </x:c>
      <x:c r="AV301" t="str">
        <x:f>_xlfn.XLOOKUP($A301,Games!$A$2:$A$18,Games!$Q$2:$Q$18,"Missing game",0)</x:f>
      </x:c>
      <x:c r="AW301" t="str">
        <x:f>_xlfn.XLOOKUP($A301,Games!$A$2:$A$18,Games!$R$2:$R$18,"Missing game",0)</x:f>
        <x:v>U.S. Bank Stadium</x:v>
      </x:c>
    </x:row>
    <x:row r="302">
      <x:c r="A302" t="str">
        <x:v>2025_02_ATL_MIN</x:v>
      </x:c>
      <x:c r="B302" t="n">
        <x:v>3082</x:v>
      </x:c>
      <x:c r="C302" t="n">
        <x:v>4</x:v>
      </x:c>
      <x:c r="D302" t="str">
        <x:v>11:16</x:v>
      </x:c>
      <x:c r="E302"/>
      <x:c r="F302" t="n">
        <x:v>0</x:v>
      </x:c>
      <x:c r="G302" t="str">
        <x:v>MIN</x:v>
      </x:c>
      <x:c r="H302" t="str">
        <x:v>ATL</x:v>
      </x:c>
      <x:c r="I302" t="str">
        <x:v>ATL</x:v>
      </x:c>
      <x:c r="J302" t="n">
        <x:v>35</x:v>
      </x:c>
      <x:c r="K302" t="str">
        <x:v>13-B.Pinion kicks 66 yards from ATL 35 to MIN -1. 4-M.Price to MIN 19 for 20 yards (28-M.Ford; 42-J.Woods).</x:v>
      </x:c>
      <x:c r="L302" t="str">
        <x:v>kickoff</x:v>
      </x:c>
      <x:c r="M302" t="n">
        <x:v>0</x:v>
      </x:c>
      <x:c r="N302" t="n">
        <x:v>0</x:v>
      </x:c>
      <x:c r="O302" t="n">
        <x:v>0</x:v>
      </x:c>
      <x:c r="P302"/>
      <x:c r="Q302"/>
      <x:c r="R302"/>
      <x:c r="S302"/>
      <x:c r="T302"/>
      <x:c r="U302"/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/>
      <x:c r="AC302" t="n">
        <x:v>0</x:v>
      </x:c>
      <x:c r="AD302" t="n">
        <x:v>-0.40603582677431405</x:v>
      </x:c>
      <x:c r="AE302" t="n">
        <x:v>0</x:v>
      </x:c>
      <x:c r="AF302" t="n">
        <x:v>-0.0040645599365234375</x:v>
      </x:c>
      <x:c r="AG302" t="n">
        <x:f>_xlfn.XLOOKUP($A302,Games!$A$2:$A$18,Games!$B$2:$B$18,"Missing game",0)</x:f>
        <x:v>2025</x:v>
      </x:c>
      <x:c r="AH302" t="str">
        <x:f>_xlfn.XLOOKUP($A302,Games!$A$2:$A$18,Games!$C$2:$C$18,"Missing game",0)</x:f>
        <x:v>REG</x:v>
      </x:c>
      <x:c r="AI302" t="n">
        <x:f>_xlfn.XLOOKUP($A302,Games!$A$2:$A$18,Games!$D$2:$D$18,"Missing game",0)</x:f>
        <x:v>2</x:v>
      </x:c>
      <x:c r="AJ302" s="1" t="n">
        <x:f>_xlfn.XLOOKUP($A302,Games!$A$2:$A$18,Games!$E$2:$E$18,"Missing game",0)</x:f>
        <x:v>45914</x:v>
      </x:c>
      <x:c r="AK302" t="str">
        <x:f>_xlfn.XLOOKUP($A302,Games!$A$2:$A$18,Games!$F$2:$F$18,"Missing game",0)</x:f>
        <x:v>Sunday</x:v>
      </x:c>
      <x:c r="AL302" t="str">
        <x:f>_xlfn.XLOOKUP($A302,Games!$A$2:$A$18,Games!$G$2:$G$18,"Missing game",0)</x:f>
        <x:v>ATL</x:v>
      </x:c>
      <x:c r="AM302" t="n">
        <x:f>_xlfn.XLOOKUP($A302,Games!$A$2:$A$18,Games!$H$2:$H$18,"Missing game",0)</x:f>
        <x:v>22</x:v>
      </x:c>
      <x:c r="AN302" t="str">
        <x:f>_xlfn.XLOOKUP($A302,Games!$A$2:$A$18,Games!$I$2:$I$18,"Missing game",0)</x:f>
        <x:v>MIN</x:v>
      </x:c>
      <x:c r="AO302" t="n">
        <x:f>_xlfn.XLOOKUP($A302,Games!$A$2:$A$18,Games!$J$2:$J$18,"Missing game",0)</x:f>
        <x:v>6</x:v>
      </x:c>
      <x:c r="AP302" t="n">
        <x:f>_xlfn.XLOOKUP($A302,Games!$A$2:$A$18,Games!$K$2:$K$18,"Missing game",0)</x:f>
        <x:v>-16</x:v>
      </x:c>
      <x:c r="AQ302" t="n">
        <x:f>_xlfn.XLOOKUP($A302,Games!$A$2:$A$18,Games!$L$2:$L$18,"Missing game",0)</x:f>
        <x:v>28</x:v>
      </x:c>
      <x:c r="AR302" t="n">
        <x:f>_xlfn.XLOOKUP($A302,Games!$A$2:$A$18,Games!$M$2:$M$18,"Missing game",0)</x:f>
        <x:v>0</x:v>
      </x:c>
      <x:c r="AS302" t="str">
        <x:f>_xlfn.XLOOKUP($A302,Games!$A$2:$A$18,Games!$N$2:$N$18,"Missing game",0)</x:f>
        <x:v>dome</x:v>
      </x:c>
      <x:c r="AT302" t="str">
        <x:f>_xlfn.XLOOKUP($A302,Games!$A$2:$A$18,Games!$O$2:$O$18,"Missing game",0)</x:f>
        <x:v>sportturf</x:v>
      </x:c>
      <x:c r="AU302" t="str">
        <x:f>_xlfn.XLOOKUP($A302,Games!$A$2:$A$18,Games!$P$2:$P$18,"Missing game",0)</x:f>
      </x:c>
      <x:c r="AV302" t="str">
        <x:f>_xlfn.XLOOKUP($A302,Games!$A$2:$A$18,Games!$Q$2:$Q$18,"Missing game",0)</x:f>
      </x:c>
      <x:c r="AW302" t="str">
        <x:f>_xlfn.XLOOKUP($A302,Games!$A$2:$A$18,Games!$R$2:$R$18,"Missing game",0)</x:f>
        <x:v>U.S. Bank Stadium</x:v>
      </x:c>
    </x:row>
    <x:row r="303">
      <x:c r="A303" t="str">
        <x:v>2025_02_ATL_MIN</x:v>
      </x:c>
      <x:c r="B303" t="n">
        <x:v>3117</x:v>
      </x:c>
      <x:c r="C303" t="n">
        <x:v>4</x:v>
      </x:c>
      <x:c r="D303" t="str">
        <x:v>11:11</x:v>
      </x:c>
      <x:c r="E303" t="n">
        <x:v>1</x:v>
      </x:c>
      <x:c r="F303" t="n">
        <x:v>10</x:v>
      </x:c>
      <x:c r="G303" t="str">
        <x:v>MIN</x:v>
      </x:c>
      <x:c r="H303" t="str">
        <x:v>ATL</x:v>
      </x:c>
      <x:c r="I303" t="str">
        <x:v>MIN</x:v>
      </x:c>
      <x:c r="J303" t="n">
        <x:v>81</x:v>
      </x:c>
      <x:c r="K303" t="str">
        <x:v>(11:11) (Shotgun) 27-J.Mason left tackle to MIN 26 for 7 yards (0-D.Deablo; 3-J.Bates).</x:v>
      </x:c>
      <x:c r="L303" t="str">
        <x:v>run</x:v>
      </x:c>
      <x:c r="M303" t="n">
        <x:v>7</x:v>
      </x:c>
      <x:c r="N303" t="n">
        <x:v>1</x:v>
      </x:c>
      <x:c r="O303" t="n">
        <x:v>0</x:v>
      </x:c>
      <x:c r="P303"/>
      <x:c r="Q303"/>
      <x:c r="R303"/>
      <x:c r="S303"/>
      <x:c r="T303" t="str">
        <x:v>left</x:v>
      </x:c>
      <x:c r="U303" t="str">
        <x:v>tackle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/>
      <x:c r="AC303" t="n">
        <x:v>0</x:v>
      </x:c>
      <x:c r="AD303" t="n">
        <x:v>0.326474538538605</x:v>
      </x:c>
      <x:c r="AE303" t="n">
        <x:v>1</x:v>
      </x:c>
      <x:c r="AF303" t="n">
        <x:v>-0.024133428931236267</x:v>
      </x:c>
      <x:c r="AG303" t="n">
        <x:f>_xlfn.XLOOKUP($A303,Games!$A$2:$A$18,Games!$B$2:$B$18,"Missing game",0)</x:f>
        <x:v>2025</x:v>
      </x:c>
      <x:c r="AH303" t="str">
        <x:f>_xlfn.XLOOKUP($A303,Games!$A$2:$A$18,Games!$C$2:$C$18,"Missing game",0)</x:f>
        <x:v>REG</x:v>
      </x:c>
      <x:c r="AI303" t="n">
        <x:f>_xlfn.XLOOKUP($A303,Games!$A$2:$A$18,Games!$D$2:$D$18,"Missing game",0)</x:f>
        <x:v>2</x:v>
      </x:c>
      <x:c r="AJ303" s="1" t="n">
        <x:f>_xlfn.XLOOKUP($A303,Games!$A$2:$A$18,Games!$E$2:$E$18,"Missing game",0)</x:f>
        <x:v>45914</x:v>
      </x:c>
      <x:c r="AK303" t="str">
        <x:f>_xlfn.XLOOKUP($A303,Games!$A$2:$A$18,Games!$F$2:$F$18,"Missing game",0)</x:f>
        <x:v>Sunday</x:v>
      </x:c>
      <x:c r="AL303" t="str">
        <x:f>_xlfn.XLOOKUP($A303,Games!$A$2:$A$18,Games!$G$2:$G$18,"Missing game",0)</x:f>
        <x:v>ATL</x:v>
      </x:c>
      <x:c r="AM303" t="n">
        <x:f>_xlfn.XLOOKUP($A303,Games!$A$2:$A$18,Games!$H$2:$H$18,"Missing game",0)</x:f>
        <x:v>22</x:v>
      </x:c>
      <x:c r="AN303" t="str">
        <x:f>_xlfn.XLOOKUP($A303,Games!$A$2:$A$18,Games!$I$2:$I$18,"Missing game",0)</x:f>
        <x:v>MIN</x:v>
      </x:c>
      <x:c r="AO303" t="n">
        <x:f>_xlfn.XLOOKUP($A303,Games!$A$2:$A$18,Games!$J$2:$J$18,"Missing game",0)</x:f>
        <x:v>6</x:v>
      </x:c>
      <x:c r="AP303" t="n">
        <x:f>_xlfn.XLOOKUP($A303,Games!$A$2:$A$18,Games!$K$2:$K$18,"Missing game",0)</x:f>
        <x:v>-16</x:v>
      </x:c>
      <x:c r="AQ303" t="n">
        <x:f>_xlfn.XLOOKUP($A303,Games!$A$2:$A$18,Games!$L$2:$L$18,"Missing game",0)</x:f>
        <x:v>28</x:v>
      </x:c>
      <x:c r="AR303" t="n">
        <x:f>_xlfn.XLOOKUP($A303,Games!$A$2:$A$18,Games!$M$2:$M$18,"Missing game",0)</x:f>
        <x:v>0</x:v>
      </x:c>
      <x:c r="AS303" t="str">
        <x:f>_xlfn.XLOOKUP($A303,Games!$A$2:$A$18,Games!$N$2:$N$18,"Missing game",0)</x:f>
        <x:v>dome</x:v>
      </x:c>
      <x:c r="AT303" t="str">
        <x:f>_xlfn.XLOOKUP($A303,Games!$A$2:$A$18,Games!$O$2:$O$18,"Missing game",0)</x:f>
        <x:v>sportturf</x:v>
      </x:c>
      <x:c r="AU303" t="str">
        <x:f>_xlfn.XLOOKUP($A303,Games!$A$2:$A$18,Games!$P$2:$P$18,"Missing game",0)</x:f>
      </x:c>
      <x:c r="AV303" t="str">
        <x:f>_xlfn.XLOOKUP($A303,Games!$A$2:$A$18,Games!$Q$2:$Q$18,"Missing game",0)</x:f>
      </x:c>
      <x:c r="AW303" t="str">
        <x:f>_xlfn.XLOOKUP($A303,Games!$A$2:$A$18,Games!$R$2:$R$18,"Missing game",0)</x:f>
        <x:v>U.S. Bank Stadium</x:v>
      </x:c>
    </x:row>
    <x:row r="304">
      <x:c r="A304" t="str">
        <x:v>2025_02_ATL_MIN</x:v>
      </x:c>
      <x:c r="B304" t="n">
        <x:v>3146</x:v>
      </x:c>
      <x:c r="C304" t="n">
        <x:v>4</x:v>
      </x:c>
      <x:c r="D304" t="str">
        <x:v>10:35</x:v>
      </x:c>
      <x:c r="E304" t="n">
        <x:v>2</x:v>
      </x:c>
      <x:c r="F304" t="n">
        <x:v>3</x:v>
      </x:c>
      <x:c r="G304" t="str">
        <x:v>MIN</x:v>
      </x:c>
      <x:c r="H304" t="str">
        <x:v>ATL</x:v>
      </x:c>
      <x:c r="I304" t="str">
        <x:v>MIN</x:v>
      </x:c>
      <x:c r="J304" t="n">
        <x:v>74</x:v>
      </x:c>
      <x:c r="K304" t="str">
        <x:v>(10:35) (No Huddle) 27-J.Mason right end to MIN 28 for 2 yards (90-D.Onyemata).</x:v>
      </x:c>
      <x:c r="L304" t="str">
        <x:v>run</x:v>
      </x:c>
      <x:c r="M304" t="n">
        <x:v>2</x:v>
      </x:c>
      <x:c r="N304" t="n">
        <x:v>0</x:v>
      </x:c>
      <x:c r="O304" t="n">
        <x:v>1</x:v>
      </x:c>
      <x:c r="P304"/>
      <x:c r="Q304"/>
      <x:c r="R304"/>
      <x:c r="S304"/>
      <x:c r="T304" t="str">
        <x:v>right</x:v>
      </x:c>
      <x:c r="U304" t="str">
        <x:v>end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/>
      <x:c r="AC304" t="n">
        <x:v>0</x:v>
      </x:c>
      <x:c r="AD304" t="n">
        <x:v>-0.13616994163021445</x:v>
      </x:c>
      <x:c r="AE304" t="n">
        <x:v>0</x:v>
      </x:c>
      <x:c r="AF304" t="n">
        <x:v>0.009335502982139587</x:v>
      </x:c>
      <x:c r="AG304" t="n">
        <x:f>_xlfn.XLOOKUP($A304,Games!$A$2:$A$18,Games!$B$2:$B$18,"Missing game",0)</x:f>
        <x:v>2025</x:v>
      </x:c>
      <x:c r="AH304" t="str">
        <x:f>_xlfn.XLOOKUP($A304,Games!$A$2:$A$18,Games!$C$2:$C$18,"Missing game",0)</x:f>
        <x:v>REG</x:v>
      </x:c>
      <x:c r="AI304" t="n">
        <x:f>_xlfn.XLOOKUP($A304,Games!$A$2:$A$18,Games!$D$2:$D$18,"Missing game",0)</x:f>
        <x:v>2</x:v>
      </x:c>
      <x:c r="AJ304" s="1" t="n">
        <x:f>_xlfn.XLOOKUP($A304,Games!$A$2:$A$18,Games!$E$2:$E$18,"Missing game",0)</x:f>
        <x:v>45914</x:v>
      </x:c>
      <x:c r="AK304" t="str">
        <x:f>_xlfn.XLOOKUP($A304,Games!$A$2:$A$18,Games!$F$2:$F$18,"Missing game",0)</x:f>
        <x:v>Sunday</x:v>
      </x:c>
      <x:c r="AL304" t="str">
        <x:f>_xlfn.XLOOKUP($A304,Games!$A$2:$A$18,Games!$G$2:$G$18,"Missing game",0)</x:f>
        <x:v>ATL</x:v>
      </x:c>
      <x:c r="AM304" t="n">
        <x:f>_xlfn.XLOOKUP($A304,Games!$A$2:$A$18,Games!$H$2:$H$18,"Missing game",0)</x:f>
        <x:v>22</x:v>
      </x:c>
      <x:c r="AN304" t="str">
        <x:f>_xlfn.XLOOKUP($A304,Games!$A$2:$A$18,Games!$I$2:$I$18,"Missing game",0)</x:f>
        <x:v>MIN</x:v>
      </x:c>
      <x:c r="AO304" t="n">
        <x:f>_xlfn.XLOOKUP($A304,Games!$A$2:$A$18,Games!$J$2:$J$18,"Missing game",0)</x:f>
        <x:v>6</x:v>
      </x:c>
      <x:c r="AP304" t="n">
        <x:f>_xlfn.XLOOKUP($A304,Games!$A$2:$A$18,Games!$K$2:$K$18,"Missing game",0)</x:f>
        <x:v>-16</x:v>
      </x:c>
      <x:c r="AQ304" t="n">
        <x:f>_xlfn.XLOOKUP($A304,Games!$A$2:$A$18,Games!$L$2:$L$18,"Missing game",0)</x:f>
        <x:v>28</x:v>
      </x:c>
      <x:c r="AR304" t="n">
        <x:f>_xlfn.XLOOKUP($A304,Games!$A$2:$A$18,Games!$M$2:$M$18,"Missing game",0)</x:f>
        <x:v>0</x:v>
      </x:c>
      <x:c r="AS304" t="str">
        <x:f>_xlfn.XLOOKUP($A304,Games!$A$2:$A$18,Games!$N$2:$N$18,"Missing game",0)</x:f>
        <x:v>dome</x:v>
      </x:c>
      <x:c r="AT304" t="str">
        <x:f>_xlfn.XLOOKUP($A304,Games!$A$2:$A$18,Games!$O$2:$O$18,"Missing game",0)</x:f>
        <x:v>sportturf</x:v>
      </x:c>
      <x:c r="AU304" t="str">
        <x:f>_xlfn.XLOOKUP($A304,Games!$A$2:$A$18,Games!$P$2:$P$18,"Missing game",0)</x:f>
      </x:c>
      <x:c r="AV304" t="str">
        <x:f>_xlfn.XLOOKUP($A304,Games!$A$2:$A$18,Games!$Q$2:$Q$18,"Missing game",0)</x:f>
      </x:c>
      <x:c r="AW304" t="str">
        <x:f>_xlfn.XLOOKUP($A304,Games!$A$2:$A$18,Games!$R$2:$R$18,"Missing game",0)</x:f>
        <x:v>U.S. Bank Stadium</x:v>
      </x:c>
    </x:row>
    <x:row r="305">
      <x:c r="A305" t="str">
        <x:v>2025_02_ATL_MIN</x:v>
      </x:c>
      <x:c r="B305" t="n">
        <x:v>3168</x:v>
      </x:c>
      <x:c r="C305" t="n">
        <x:v>4</x:v>
      </x:c>
      <x:c r="D305" t="str">
        <x:v>09:52</x:v>
      </x:c>
      <x:c r="E305" t="n">
        <x:v>3</x:v>
      </x:c>
      <x:c r="F305" t="n">
        <x:v>1</x:v>
      </x:c>
      <x:c r="G305" t="str">
        <x:v>MIN</x:v>
      </x:c>
      <x:c r="H305" t="str">
        <x:v>ATL</x:v>
      </x:c>
      <x:c r="I305" t="str">
        <x:v>MIN</x:v>
      </x:c>
      <x:c r="J305" t="n">
        <x:v>72</x:v>
      </x:c>
      <x:c r="K305" t="str">
        <x:v>(9:52) (Shotgun) 9-J.McCarthy pass incomplete deep left to 1-J.Nailor.</x:v>
      </x:c>
      <x:c r="L305" t="str">
        <x:v>pass</x:v>
      </x:c>
      <x:c r="M305" t="n">
        <x:v>0</x:v>
      </x:c>
      <x:c r="N305" t="n">
        <x:v>1</x:v>
      </x:c>
      <x:c r="O305" t="n">
        <x:v>0</x:v>
      </x:c>
      <x:c r="P305" t="str">
        <x:v>deep</x:v>
      </x:c>
      <x:c r="Q305" t="str">
        <x:v>left</x:v>
      </x:c>
      <x:c r="R305" t="n">
        <x:v>40</x:v>
      </x:c>
      <x:c r="S305"/>
      <x:c r="T305"/>
      <x:c r="U305"/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/>
      <x:c r="AC305" t="n">
        <x:v>0</x:v>
      </x:c>
      <x:c r="AD305" t="n">
        <x:v>-1.6688362313434482</x:v>
      </x:c>
      <x:c r="AE305" t="n">
        <x:v>0</x:v>
      </x:c>
      <x:c r="AF305" t="n">
        <x:v>-0.04414268583059311</x:v>
      </x:c>
      <x:c r="AG305" t="n">
        <x:f>_xlfn.XLOOKUP($A305,Games!$A$2:$A$18,Games!$B$2:$B$18,"Missing game",0)</x:f>
        <x:v>2025</x:v>
      </x:c>
      <x:c r="AH305" t="str">
        <x:f>_xlfn.XLOOKUP($A305,Games!$A$2:$A$18,Games!$C$2:$C$18,"Missing game",0)</x:f>
        <x:v>REG</x:v>
      </x:c>
      <x:c r="AI305" t="n">
        <x:f>_xlfn.XLOOKUP($A305,Games!$A$2:$A$18,Games!$D$2:$D$18,"Missing game",0)</x:f>
        <x:v>2</x:v>
      </x:c>
      <x:c r="AJ305" s="1" t="n">
        <x:f>_xlfn.XLOOKUP($A305,Games!$A$2:$A$18,Games!$E$2:$E$18,"Missing game",0)</x:f>
        <x:v>45914</x:v>
      </x:c>
      <x:c r="AK305" t="str">
        <x:f>_xlfn.XLOOKUP($A305,Games!$A$2:$A$18,Games!$F$2:$F$18,"Missing game",0)</x:f>
        <x:v>Sunday</x:v>
      </x:c>
      <x:c r="AL305" t="str">
        <x:f>_xlfn.XLOOKUP($A305,Games!$A$2:$A$18,Games!$G$2:$G$18,"Missing game",0)</x:f>
        <x:v>ATL</x:v>
      </x:c>
      <x:c r="AM305" t="n">
        <x:f>_xlfn.XLOOKUP($A305,Games!$A$2:$A$18,Games!$H$2:$H$18,"Missing game",0)</x:f>
        <x:v>22</x:v>
      </x:c>
      <x:c r="AN305" t="str">
        <x:f>_xlfn.XLOOKUP($A305,Games!$A$2:$A$18,Games!$I$2:$I$18,"Missing game",0)</x:f>
        <x:v>MIN</x:v>
      </x:c>
      <x:c r="AO305" t="n">
        <x:f>_xlfn.XLOOKUP($A305,Games!$A$2:$A$18,Games!$J$2:$J$18,"Missing game",0)</x:f>
        <x:v>6</x:v>
      </x:c>
      <x:c r="AP305" t="n">
        <x:f>_xlfn.XLOOKUP($A305,Games!$A$2:$A$18,Games!$K$2:$K$18,"Missing game",0)</x:f>
        <x:v>-16</x:v>
      </x:c>
      <x:c r="AQ305" t="n">
        <x:f>_xlfn.XLOOKUP($A305,Games!$A$2:$A$18,Games!$L$2:$L$18,"Missing game",0)</x:f>
        <x:v>28</x:v>
      </x:c>
      <x:c r="AR305" t="n">
        <x:f>_xlfn.XLOOKUP($A305,Games!$A$2:$A$18,Games!$M$2:$M$18,"Missing game",0)</x:f>
        <x:v>0</x:v>
      </x:c>
      <x:c r="AS305" t="str">
        <x:f>_xlfn.XLOOKUP($A305,Games!$A$2:$A$18,Games!$N$2:$N$18,"Missing game",0)</x:f>
        <x:v>dome</x:v>
      </x:c>
      <x:c r="AT305" t="str">
        <x:f>_xlfn.XLOOKUP($A305,Games!$A$2:$A$18,Games!$O$2:$O$18,"Missing game",0)</x:f>
        <x:v>sportturf</x:v>
      </x:c>
      <x:c r="AU305" t="str">
        <x:f>_xlfn.XLOOKUP($A305,Games!$A$2:$A$18,Games!$P$2:$P$18,"Missing game",0)</x:f>
      </x:c>
      <x:c r="AV305" t="str">
        <x:f>_xlfn.XLOOKUP($A305,Games!$A$2:$A$18,Games!$Q$2:$Q$18,"Missing game",0)</x:f>
      </x:c>
      <x:c r="AW305" t="str">
        <x:f>_xlfn.XLOOKUP($A305,Games!$A$2:$A$18,Games!$R$2:$R$18,"Missing game",0)</x:f>
        <x:v>U.S. Bank Stadium</x:v>
      </x:c>
    </x:row>
    <x:row r="306">
      <x:c r="A306" t="str">
        <x:v>2025_02_ATL_MIN</x:v>
      </x:c>
      <x:c r="B306" t="n">
        <x:v>3191</x:v>
      </x:c>
      <x:c r="C306" t="n">
        <x:v>4</x:v>
      </x:c>
      <x:c r="D306" t="str">
        <x:v>09:47</x:v>
      </x:c>
      <x:c r="E306" t="n">
        <x:v>4</x:v>
      </x:c>
      <x:c r="F306" t="n">
        <x:v>1</x:v>
      </x:c>
      <x:c r="G306" t="str">
        <x:v>MIN</x:v>
      </x:c>
      <x:c r="H306" t="str">
        <x:v>ATL</x:v>
      </x:c>
      <x:c r="I306" t="str">
        <x:v>MIN</x:v>
      </x:c>
      <x:c r="J306" t="n">
        <x:v>72</x:v>
      </x:c>
      <x:c r="K306" t="str">
        <x:v>(9:47) 17-R.Wright punts 55 yards to ATL 17, Center-42-A.DePaola, fair catch by 35-N.Brooks.</x:v>
      </x:c>
      <x:c r="L306" t="str">
        <x:v>punt</x:v>
      </x:c>
      <x:c r="M306" t="n">
        <x:v>0</x:v>
      </x:c>
      <x:c r="N306" t="n">
        <x:v>0</x:v>
      </x:c>
      <x:c r="O306" t="n">
        <x:v>0</x:v>
      </x:c>
      <x:c r="P306"/>
      <x:c r="Q306"/>
      <x:c r="R306"/>
      <x:c r="S306"/>
      <x:c r="T306"/>
      <x:c r="U306"/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/>
      <x:c r="AC306" t="n">
        <x:v>0</x:v>
      </x:c>
      <x:c r="AD306" t="n">
        <x:v>-0.4416834875009954</x:v>
      </x:c>
      <x:c r="AE306" t="n">
        <x:v>0</x:v>
      </x:c>
      <x:c r="AF306" t="n">
        <x:v>-0.01074046641588211</x:v>
      </x:c>
      <x:c r="AG306" t="n">
        <x:f>_xlfn.XLOOKUP($A306,Games!$A$2:$A$18,Games!$B$2:$B$18,"Missing game",0)</x:f>
        <x:v>2025</x:v>
      </x:c>
      <x:c r="AH306" t="str">
        <x:f>_xlfn.XLOOKUP($A306,Games!$A$2:$A$18,Games!$C$2:$C$18,"Missing game",0)</x:f>
        <x:v>REG</x:v>
      </x:c>
      <x:c r="AI306" t="n">
        <x:f>_xlfn.XLOOKUP($A306,Games!$A$2:$A$18,Games!$D$2:$D$18,"Missing game",0)</x:f>
        <x:v>2</x:v>
      </x:c>
      <x:c r="AJ306" s="1" t="n">
        <x:f>_xlfn.XLOOKUP($A306,Games!$A$2:$A$18,Games!$E$2:$E$18,"Missing game",0)</x:f>
        <x:v>45914</x:v>
      </x:c>
      <x:c r="AK306" t="str">
        <x:f>_xlfn.XLOOKUP($A306,Games!$A$2:$A$18,Games!$F$2:$F$18,"Missing game",0)</x:f>
        <x:v>Sunday</x:v>
      </x:c>
      <x:c r="AL306" t="str">
        <x:f>_xlfn.XLOOKUP($A306,Games!$A$2:$A$18,Games!$G$2:$G$18,"Missing game",0)</x:f>
        <x:v>ATL</x:v>
      </x:c>
      <x:c r="AM306" t="n">
        <x:f>_xlfn.XLOOKUP($A306,Games!$A$2:$A$18,Games!$H$2:$H$18,"Missing game",0)</x:f>
        <x:v>22</x:v>
      </x:c>
      <x:c r="AN306" t="str">
        <x:f>_xlfn.XLOOKUP($A306,Games!$A$2:$A$18,Games!$I$2:$I$18,"Missing game",0)</x:f>
        <x:v>MIN</x:v>
      </x:c>
      <x:c r="AO306" t="n">
        <x:f>_xlfn.XLOOKUP($A306,Games!$A$2:$A$18,Games!$J$2:$J$18,"Missing game",0)</x:f>
        <x:v>6</x:v>
      </x:c>
      <x:c r="AP306" t="n">
        <x:f>_xlfn.XLOOKUP($A306,Games!$A$2:$A$18,Games!$K$2:$K$18,"Missing game",0)</x:f>
        <x:v>-16</x:v>
      </x:c>
      <x:c r="AQ306" t="n">
        <x:f>_xlfn.XLOOKUP($A306,Games!$A$2:$A$18,Games!$L$2:$L$18,"Missing game",0)</x:f>
        <x:v>28</x:v>
      </x:c>
      <x:c r="AR306" t="n">
        <x:f>_xlfn.XLOOKUP($A306,Games!$A$2:$A$18,Games!$M$2:$M$18,"Missing game",0)</x:f>
        <x:v>0</x:v>
      </x:c>
      <x:c r="AS306" t="str">
        <x:f>_xlfn.XLOOKUP($A306,Games!$A$2:$A$18,Games!$N$2:$N$18,"Missing game",0)</x:f>
        <x:v>dome</x:v>
      </x:c>
      <x:c r="AT306" t="str">
        <x:f>_xlfn.XLOOKUP($A306,Games!$A$2:$A$18,Games!$O$2:$O$18,"Missing game",0)</x:f>
        <x:v>sportturf</x:v>
      </x:c>
      <x:c r="AU306" t="str">
        <x:f>_xlfn.XLOOKUP($A306,Games!$A$2:$A$18,Games!$P$2:$P$18,"Missing game",0)</x:f>
      </x:c>
      <x:c r="AV306" t="str">
        <x:f>_xlfn.XLOOKUP($A306,Games!$A$2:$A$18,Games!$Q$2:$Q$18,"Missing game",0)</x:f>
      </x:c>
      <x:c r="AW306" t="str">
        <x:f>_xlfn.XLOOKUP($A306,Games!$A$2:$A$18,Games!$R$2:$R$18,"Missing game",0)</x:f>
        <x:v>U.S. Bank Stadium</x:v>
      </x:c>
    </x:row>
    <x:row r="307">
      <x:c r="A307" t="str">
        <x:v>2025_02_ATL_MIN</x:v>
      </x:c>
      <x:c r="B307" t="n">
        <x:v>3211</x:v>
      </x:c>
      <x:c r="C307" t="n">
        <x:v>4</x:v>
      </x:c>
      <x:c r="D307" t="str">
        <x:v>09:39</x:v>
      </x:c>
      <x:c r="E307" t="n">
        <x:v>1</x:v>
      </x:c>
      <x:c r="F307" t="n">
        <x:v>10</x:v>
      </x:c>
      <x:c r="G307" t="str">
        <x:v>ATL</x:v>
      </x:c>
      <x:c r="H307" t="str">
        <x:v>MIN</x:v>
      </x:c>
      <x:c r="I307" t="str">
        <x:v>ATL</x:v>
      </x:c>
      <x:c r="J307" t="n">
        <x:v>83</x:v>
      </x:c>
      <x:c r="K307" t="str">
        <x:v>(9:39) (Shotgun) 7-B.Robinson right tackle to ATL 19 for 2 yards (97-J.Hargrave; 55-E.Wilson).</x:v>
      </x:c>
      <x:c r="L307" t="str">
        <x:v>run</x:v>
      </x:c>
      <x:c r="M307" t="n">
        <x:v>2</x:v>
      </x:c>
      <x:c r="N307" t="n">
        <x:v>1</x:v>
      </x:c>
      <x:c r="O307" t="n">
        <x:v>0</x:v>
      </x:c>
      <x:c r="P307"/>
      <x:c r="Q307"/>
      <x:c r="R307"/>
      <x:c r="S307"/>
      <x:c r="T307" t="str">
        <x:v>right</x:v>
      </x:c>
      <x:c r="U307" t="str">
        <x:v>tackle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/>
      <x:c r="AC307" t="n">
        <x:v>0</x:v>
      </x:c>
      <x:c r="AD307" t="n">
        <x:v>-0.411142582539469</x:v>
      </x:c>
      <x:c r="AE307" t="n">
        <x:v>0</x:v>
      </x:c>
      <x:c r="AF307" t="n">
        <x:v>-0.010969281196594238</x:v>
      </x:c>
      <x:c r="AG307" t="n">
        <x:f>_xlfn.XLOOKUP($A307,Games!$A$2:$A$18,Games!$B$2:$B$18,"Missing game",0)</x:f>
        <x:v>2025</x:v>
      </x:c>
      <x:c r="AH307" t="str">
        <x:f>_xlfn.XLOOKUP($A307,Games!$A$2:$A$18,Games!$C$2:$C$18,"Missing game",0)</x:f>
        <x:v>REG</x:v>
      </x:c>
      <x:c r="AI307" t="n">
        <x:f>_xlfn.XLOOKUP($A307,Games!$A$2:$A$18,Games!$D$2:$D$18,"Missing game",0)</x:f>
        <x:v>2</x:v>
      </x:c>
      <x:c r="AJ307" s="1" t="n">
        <x:f>_xlfn.XLOOKUP($A307,Games!$A$2:$A$18,Games!$E$2:$E$18,"Missing game",0)</x:f>
        <x:v>45914</x:v>
      </x:c>
      <x:c r="AK307" t="str">
        <x:f>_xlfn.XLOOKUP($A307,Games!$A$2:$A$18,Games!$F$2:$F$18,"Missing game",0)</x:f>
        <x:v>Sunday</x:v>
      </x:c>
      <x:c r="AL307" t="str">
        <x:f>_xlfn.XLOOKUP($A307,Games!$A$2:$A$18,Games!$G$2:$G$18,"Missing game",0)</x:f>
        <x:v>ATL</x:v>
      </x:c>
      <x:c r="AM307" t="n">
        <x:f>_xlfn.XLOOKUP($A307,Games!$A$2:$A$18,Games!$H$2:$H$18,"Missing game",0)</x:f>
        <x:v>22</x:v>
      </x:c>
      <x:c r="AN307" t="str">
        <x:f>_xlfn.XLOOKUP($A307,Games!$A$2:$A$18,Games!$I$2:$I$18,"Missing game",0)</x:f>
        <x:v>MIN</x:v>
      </x:c>
      <x:c r="AO307" t="n">
        <x:f>_xlfn.XLOOKUP($A307,Games!$A$2:$A$18,Games!$J$2:$J$18,"Missing game",0)</x:f>
        <x:v>6</x:v>
      </x:c>
      <x:c r="AP307" t="n">
        <x:f>_xlfn.XLOOKUP($A307,Games!$A$2:$A$18,Games!$K$2:$K$18,"Missing game",0)</x:f>
        <x:v>-16</x:v>
      </x:c>
      <x:c r="AQ307" t="n">
        <x:f>_xlfn.XLOOKUP($A307,Games!$A$2:$A$18,Games!$L$2:$L$18,"Missing game",0)</x:f>
        <x:v>28</x:v>
      </x:c>
      <x:c r="AR307" t="n">
        <x:f>_xlfn.XLOOKUP($A307,Games!$A$2:$A$18,Games!$M$2:$M$18,"Missing game",0)</x:f>
        <x:v>0</x:v>
      </x:c>
      <x:c r="AS307" t="str">
        <x:f>_xlfn.XLOOKUP($A307,Games!$A$2:$A$18,Games!$N$2:$N$18,"Missing game",0)</x:f>
        <x:v>dome</x:v>
      </x:c>
      <x:c r="AT307" t="str">
        <x:f>_xlfn.XLOOKUP($A307,Games!$A$2:$A$18,Games!$O$2:$O$18,"Missing game",0)</x:f>
        <x:v>sportturf</x:v>
      </x:c>
      <x:c r="AU307" t="str">
        <x:f>_xlfn.XLOOKUP($A307,Games!$A$2:$A$18,Games!$P$2:$P$18,"Missing game",0)</x:f>
      </x:c>
      <x:c r="AV307" t="str">
        <x:f>_xlfn.XLOOKUP($A307,Games!$A$2:$A$18,Games!$Q$2:$Q$18,"Missing game",0)</x:f>
      </x:c>
      <x:c r="AW307" t="str">
        <x:f>_xlfn.XLOOKUP($A307,Games!$A$2:$A$18,Games!$R$2:$R$18,"Missing game",0)</x:f>
        <x:v>U.S. Bank Stadium</x:v>
      </x:c>
    </x:row>
    <x:row r="308">
      <x:c r="A308" t="str">
        <x:v>2025_02_ATL_MIN</x:v>
      </x:c>
      <x:c r="B308" t="n">
        <x:v>3240</x:v>
      </x:c>
      <x:c r="C308" t="n">
        <x:v>4</x:v>
      </x:c>
      <x:c r="D308" t="str">
        <x:v>08:55</x:v>
      </x:c>
      <x:c r="E308" t="n">
        <x:v>2</x:v>
      </x:c>
      <x:c r="F308" t="n">
        <x:v>8</x:v>
      </x:c>
      <x:c r="G308" t="str">
        <x:v>ATL</x:v>
      </x:c>
      <x:c r="H308" t="str">
        <x:v>MIN</x:v>
      </x:c>
      <x:c r="I308" t="str">
        <x:v>ATL</x:v>
      </x:c>
      <x:c r="J308" t="n">
        <x:v>81</x:v>
      </x:c>
      <x:c r="K308" t="str">
        <x:v>(8:55) (Shotgun) 7-B.Robinson left tackle to ATL 25 for 6 yards (93-J.Allen; 55-E.Wilson).</x:v>
      </x:c>
      <x:c r="L308" t="str">
        <x:v>run</x:v>
      </x:c>
      <x:c r="M308" t="n">
        <x:v>6</x:v>
      </x:c>
      <x:c r="N308" t="n">
        <x:v>1</x:v>
      </x:c>
      <x:c r="O308" t="n">
        <x:v>0</x:v>
      </x:c>
      <x:c r="P308"/>
      <x:c r="Q308"/>
      <x:c r="R308"/>
      <x:c r="S308"/>
      <x:c r="T308" t="str">
        <x:v>left</x:v>
      </x:c>
      <x:c r="U308" t="str">
        <x:v>tackle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/>
      <x:c r="AC308" t="n">
        <x:v>0</x:v>
      </x:c>
      <x:c r="AD308" t="n">
        <x:v>0.3829377149231732</x:v>
      </x:c>
      <x:c r="AE308" t="n">
        <x:v>1</x:v>
      </x:c>
      <x:c r="AF308" t="n">
        <x:v>0.03960227966308594</x:v>
      </x:c>
      <x:c r="AG308" t="n">
        <x:f>_xlfn.XLOOKUP($A308,Games!$A$2:$A$18,Games!$B$2:$B$18,"Missing game",0)</x:f>
        <x:v>2025</x:v>
      </x:c>
      <x:c r="AH308" t="str">
        <x:f>_xlfn.XLOOKUP($A308,Games!$A$2:$A$18,Games!$C$2:$C$18,"Missing game",0)</x:f>
        <x:v>REG</x:v>
      </x:c>
      <x:c r="AI308" t="n">
        <x:f>_xlfn.XLOOKUP($A308,Games!$A$2:$A$18,Games!$D$2:$D$18,"Missing game",0)</x:f>
        <x:v>2</x:v>
      </x:c>
      <x:c r="AJ308" s="1" t="n">
        <x:f>_xlfn.XLOOKUP($A308,Games!$A$2:$A$18,Games!$E$2:$E$18,"Missing game",0)</x:f>
        <x:v>45914</x:v>
      </x:c>
      <x:c r="AK308" t="str">
        <x:f>_xlfn.XLOOKUP($A308,Games!$A$2:$A$18,Games!$F$2:$F$18,"Missing game",0)</x:f>
        <x:v>Sunday</x:v>
      </x:c>
      <x:c r="AL308" t="str">
        <x:f>_xlfn.XLOOKUP($A308,Games!$A$2:$A$18,Games!$G$2:$G$18,"Missing game",0)</x:f>
        <x:v>ATL</x:v>
      </x:c>
      <x:c r="AM308" t="n">
        <x:f>_xlfn.XLOOKUP($A308,Games!$A$2:$A$18,Games!$H$2:$H$18,"Missing game",0)</x:f>
        <x:v>22</x:v>
      </x:c>
      <x:c r="AN308" t="str">
        <x:f>_xlfn.XLOOKUP($A308,Games!$A$2:$A$18,Games!$I$2:$I$18,"Missing game",0)</x:f>
        <x:v>MIN</x:v>
      </x:c>
      <x:c r="AO308" t="n">
        <x:f>_xlfn.XLOOKUP($A308,Games!$A$2:$A$18,Games!$J$2:$J$18,"Missing game",0)</x:f>
        <x:v>6</x:v>
      </x:c>
      <x:c r="AP308" t="n">
        <x:f>_xlfn.XLOOKUP($A308,Games!$A$2:$A$18,Games!$K$2:$K$18,"Missing game",0)</x:f>
        <x:v>-16</x:v>
      </x:c>
      <x:c r="AQ308" t="n">
        <x:f>_xlfn.XLOOKUP($A308,Games!$A$2:$A$18,Games!$L$2:$L$18,"Missing game",0)</x:f>
        <x:v>28</x:v>
      </x:c>
      <x:c r="AR308" t="n">
        <x:f>_xlfn.XLOOKUP($A308,Games!$A$2:$A$18,Games!$M$2:$M$18,"Missing game",0)</x:f>
        <x:v>0</x:v>
      </x:c>
      <x:c r="AS308" t="str">
        <x:f>_xlfn.XLOOKUP($A308,Games!$A$2:$A$18,Games!$N$2:$N$18,"Missing game",0)</x:f>
        <x:v>dome</x:v>
      </x:c>
      <x:c r="AT308" t="str">
        <x:f>_xlfn.XLOOKUP($A308,Games!$A$2:$A$18,Games!$O$2:$O$18,"Missing game",0)</x:f>
        <x:v>sportturf</x:v>
      </x:c>
      <x:c r="AU308" t="str">
        <x:f>_xlfn.XLOOKUP($A308,Games!$A$2:$A$18,Games!$P$2:$P$18,"Missing game",0)</x:f>
      </x:c>
      <x:c r="AV308" t="str">
        <x:f>_xlfn.XLOOKUP($A308,Games!$A$2:$A$18,Games!$Q$2:$Q$18,"Missing game",0)</x:f>
      </x:c>
      <x:c r="AW308" t="str">
        <x:f>_xlfn.XLOOKUP($A308,Games!$A$2:$A$18,Games!$R$2:$R$18,"Missing game",0)</x:f>
        <x:v>U.S. Bank Stadium</x:v>
      </x:c>
    </x:row>
    <x:row r="309">
      <x:c r="A309" t="str">
        <x:v>2025_02_ATL_MIN</x:v>
      </x:c>
      <x:c r="B309" t="n">
        <x:v>3262</x:v>
      </x:c>
      <x:c r="C309" t="n">
        <x:v>4</x:v>
      </x:c>
      <x:c r="D309" t="str">
        <x:v>08:12</x:v>
      </x:c>
      <x:c r="E309" t="n">
        <x:v>3</x:v>
      </x:c>
      <x:c r="F309" t="n">
        <x:v>2</x:v>
      </x:c>
      <x:c r="G309" t="str">
        <x:v>ATL</x:v>
      </x:c>
      <x:c r="H309" t="str">
        <x:v>MIN</x:v>
      </x:c>
      <x:c r="I309" t="str">
        <x:v>ATL</x:v>
      </x:c>
      <x:c r="J309" t="n">
        <x:v>75</x:v>
      </x:c>
      <x:c r="K309" t="str">
        <x:v>(8:12) (Shotgun) 9-M.Penix pass short left to 5-D.London to ATL 35 for 10 yards (2-I.Rodgers).</x:v>
      </x:c>
      <x:c r="L309" t="str">
        <x:v>pass</x:v>
      </x:c>
      <x:c r="M309" t="n">
        <x:v>10</x:v>
      </x:c>
      <x:c r="N309" t="n">
        <x:v>1</x:v>
      </x:c>
      <x:c r="O309" t="n">
        <x:v>0</x:v>
      </x:c>
      <x:c r="P309" t="str">
        <x:v>short</x:v>
      </x:c>
      <x:c r="Q309" t="str">
        <x:v>left</x:v>
      </x:c>
      <x:c r="R309" t="n">
        <x:v>5</x:v>
      </x:c>
      <x:c r="S309" t="n">
        <x:v>5</x:v>
      </x:c>
      <x:c r="T309"/>
      <x:c r="U309"/>
      <x:c r="V309" t="n">
        <x:v>1</x:v>
      </x:c>
      <x:c r="W309" t="n">
        <x:v>1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/>
      <x:c r="AC309" t="n">
        <x:v>0</x:v>
      </x:c>
      <x:c r="AD309" t="n">
        <x:v>1.1560763895977288</x:v>
      </x:c>
      <x:c r="AE309" t="n">
        <x:v>1</x:v>
      </x:c>
      <x:c r="AF309" t="n">
        <x:v>0.016253113746643066</x:v>
      </x:c>
      <x:c r="AG309" t="n">
        <x:f>_xlfn.XLOOKUP($A309,Games!$A$2:$A$18,Games!$B$2:$B$18,"Missing game",0)</x:f>
        <x:v>2025</x:v>
      </x:c>
      <x:c r="AH309" t="str">
        <x:f>_xlfn.XLOOKUP($A309,Games!$A$2:$A$18,Games!$C$2:$C$18,"Missing game",0)</x:f>
        <x:v>REG</x:v>
      </x:c>
      <x:c r="AI309" t="n">
        <x:f>_xlfn.XLOOKUP($A309,Games!$A$2:$A$18,Games!$D$2:$D$18,"Missing game",0)</x:f>
        <x:v>2</x:v>
      </x:c>
      <x:c r="AJ309" s="1" t="n">
        <x:f>_xlfn.XLOOKUP($A309,Games!$A$2:$A$18,Games!$E$2:$E$18,"Missing game",0)</x:f>
        <x:v>45914</x:v>
      </x:c>
      <x:c r="AK309" t="str">
        <x:f>_xlfn.XLOOKUP($A309,Games!$A$2:$A$18,Games!$F$2:$F$18,"Missing game",0)</x:f>
        <x:v>Sunday</x:v>
      </x:c>
      <x:c r="AL309" t="str">
        <x:f>_xlfn.XLOOKUP($A309,Games!$A$2:$A$18,Games!$G$2:$G$18,"Missing game",0)</x:f>
        <x:v>ATL</x:v>
      </x:c>
      <x:c r="AM309" t="n">
        <x:f>_xlfn.XLOOKUP($A309,Games!$A$2:$A$18,Games!$H$2:$H$18,"Missing game",0)</x:f>
        <x:v>22</x:v>
      </x:c>
      <x:c r="AN309" t="str">
        <x:f>_xlfn.XLOOKUP($A309,Games!$A$2:$A$18,Games!$I$2:$I$18,"Missing game",0)</x:f>
        <x:v>MIN</x:v>
      </x:c>
      <x:c r="AO309" t="n">
        <x:f>_xlfn.XLOOKUP($A309,Games!$A$2:$A$18,Games!$J$2:$J$18,"Missing game",0)</x:f>
        <x:v>6</x:v>
      </x:c>
      <x:c r="AP309" t="n">
        <x:f>_xlfn.XLOOKUP($A309,Games!$A$2:$A$18,Games!$K$2:$K$18,"Missing game",0)</x:f>
        <x:v>-16</x:v>
      </x:c>
      <x:c r="AQ309" t="n">
        <x:f>_xlfn.XLOOKUP($A309,Games!$A$2:$A$18,Games!$L$2:$L$18,"Missing game",0)</x:f>
        <x:v>28</x:v>
      </x:c>
      <x:c r="AR309" t="n">
        <x:f>_xlfn.XLOOKUP($A309,Games!$A$2:$A$18,Games!$M$2:$M$18,"Missing game",0)</x:f>
        <x:v>0</x:v>
      </x:c>
      <x:c r="AS309" t="str">
        <x:f>_xlfn.XLOOKUP($A309,Games!$A$2:$A$18,Games!$N$2:$N$18,"Missing game",0)</x:f>
        <x:v>dome</x:v>
      </x:c>
      <x:c r="AT309" t="str">
        <x:f>_xlfn.XLOOKUP($A309,Games!$A$2:$A$18,Games!$O$2:$O$18,"Missing game",0)</x:f>
        <x:v>sportturf</x:v>
      </x:c>
      <x:c r="AU309" t="str">
        <x:f>_xlfn.XLOOKUP($A309,Games!$A$2:$A$18,Games!$P$2:$P$18,"Missing game",0)</x:f>
      </x:c>
      <x:c r="AV309" t="str">
        <x:f>_xlfn.XLOOKUP($A309,Games!$A$2:$A$18,Games!$Q$2:$Q$18,"Missing game",0)</x:f>
      </x:c>
      <x:c r="AW309" t="str">
        <x:f>_xlfn.XLOOKUP($A309,Games!$A$2:$A$18,Games!$R$2:$R$18,"Missing game",0)</x:f>
        <x:v>U.S. Bank Stadium</x:v>
      </x:c>
    </x:row>
    <x:row r="310">
      <x:c r="A310" t="str">
        <x:v>2025_02_ATL_MIN</x:v>
      </x:c>
      <x:c r="B310" t="n">
        <x:v>3292</x:v>
      </x:c>
      <x:c r="C310" t="n">
        <x:v>4</x:v>
      </x:c>
      <x:c r="D310" t="str">
        <x:v>07:29</x:v>
      </x:c>
      <x:c r="E310" t="n">
        <x:v>1</x:v>
      </x:c>
      <x:c r="F310" t="n">
        <x:v>10</x:v>
      </x:c>
      <x:c r="G310" t="str">
        <x:v>ATL</x:v>
      </x:c>
      <x:c r="H310" t="str">
        <x:v>MIN</x:v>
      </x:c>
      <x:c r="I310" t="str">
        <x:v>ATL</x:v>
      </x:c>
      <x:c r="J310" t="n">
        <x:v>65</x:v>
      </x:c>
      <x:c r="K310" t="str">
        <x:v>(7:29) (Shotgun) 25-T.Allgeier right end to ATL 37 for 2 yards (0-I.Pace; 55-E.Wilson). PENALTY on ATL-70-J.Matthews, Offensive Holding, 10 yards, enforced at ATL 35 - No Play.</x:v>
      </x:c>
      <x:c r="L310" t="str">
        <x:v>no_play</x:v>
      </x:c>
      <x:c r="M310" t="n">
        <x:v>0</x:v>
      </x:c>
      <x:c r="N310" t="n">
        <x:v>1</x:v>
      </x:c>
      <x:c r="O310" t="n">
        <x:v>0</x:v>
      </x:c>
      <x:c r="P310"/>
      <x:c r="Q310"/>
      <x:c r="R310"/>
      <x:c r="S310"/>
      <x:c r="T310"/>
      <x:c r="U310"/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1</x:v>
      </x:c>
      <x:c r="AB310" t="n">
        <x:v>10</x:v>
      </x:c>
      <x:c r="AC310" t="n">
        <x:v>0</x:v>
      </x:c>
      <x:c r="AD310" t="n">
        <x:v>-0.9290226416196674</x:v>
      </x:c>
      <x:c r="AE310" t="n">
        <x:v>0</x:v>
      </x:c>
      <x:c r="AF310" t="n">
        <x:v>-0.00915902853012085</x:v>
      </x:c>
      <x:c r="AG310" t="n">
        <x:f>_xlfn.XLOOKUP($A310,Games!$A$2:$A$18,Games!$B$2:$B$18,"Missing game",0)</x:f>
        <x:v>2025</x:v>
      </x:c>
      <x:c r="AH310" t="str">
        <x:f>_xlfn.XLOOKUP($A310,Games!$A$2:$A$18,Games!$C$2:$C$18,"Missing game",0)</x:f>
        <x:v>REG</x:v>
      </x:c>
      <x:c r="AI310" t="n">
        <x:f>_xlfn.XLOOKUP($A310,Games!$A$2:$A$18,Games!$D$2:$D$18,"Missing game",0)</x:f>
        <x:v>2</x:v>
      </x:c>
      <x:c r="AJ310" s="1" t="n">
        <x:f>_xlfn.XLOOKUP($A310,Games!$A$2:$A$18,Games!$E$2:$E$18,"Missing game",0)</x:f>
        <x:v>45914</x:v>
      </x:c>
      <x:c r="AK310" t="str">
        <x:f>_xlfn.XLOOKUP($A310,Games!$A$2:$A$18,Games!$F$2:$F$18,"Missing game",0)</x:f>
        <x:v>Sunday</x:v>
      </x:c>
      <x:c r="AL310" t="str">
        <x:f>_xlfn.XLOOKUP($A310,Games!$A$2:$A$18,Games!$G$2:$G$18,"Missing game",0)</x:f>
        <x:v>ATL</x:v>
      </x:c>
      <x:c r="AM310" t="n">
        <x:f>_xlfn.XLOOKUP($A310,Games!$A$2:$A$18,Games!$H$2:$H$18,"Missing game",0)</x:f>
        <x:v>22</x:v>
      </x:c>
      <x:c r="AN310" t="str">
        <x:f>_xlfn.XLOOKUP($A310,Games!$A$2:$A$18,Games!$I$2:$I$18,"Missing game",0)</x:f>
        <x:v>MIN</x:v>
      </x:c>
      <x:c r="AO310" t="n">
        <x:f>_xlfn.XLOOKUP($A310,Games!$A$2:$A$18,Games!$J$2:$J$18,"Missing game",0)</x:f>
        <x:v>6</x:v>
      </x:c>
      <x:c r="AP310" t="n">
        <x:f>_xlfn.XLOOKUP($A310,Games!$A$2:$A$18,Games!$K$2:$K$18,"Missing game",0)</x:f>
        <x:v>-16</x:v>
      </x:c>
      <x:c r="AQ310" t="n">
        <x:f>_xlfn.XLOOKUP($A310,Games!$A$2:$A$18,Games!$L$2:$L$18,"Missing game",0)</x:f>
        <x:v>28</x:v>
      </x:c>
      <x:c r="AR310" t="n">
        <x:f>_xlfn.XLOOKUP($A310,Games!$A$2:$A$18,Games!$M$2:$M$18,"Missing game",0)</x:f>
        <x:v>0</x:v>
      </x:c>
      <x:c r="AS310" t="str">
        <x:f>_xlfn.XLOOKUP($A310,Games!$A$2:$A$18,Games!$N$2:$N$18,"Missing game",0)</x:f>
        <x:v>dome</x:v>
      </x:c>
      <x:c r="AT310" t="str">
        <x:f>_xlfn.XLOOKUP($A310,Games!$A$2:$A$18,Games!$O$2:$O$18,"Missing game",0)</x:f>
        <x:v>sportturf</x:v>
      </x:c>
      <x:c r="AU310" t="str">
        <x:f>_xlfn.XLOOKUP($A310,Games!$A$2:$A$18,Games!$P$2:$P$18,"Missing game",0)</x:f>
      </x:c>
      <x:c r="AV310" t="str">
        <x:f>_xlfn.XLOOKUP($A310,Games!$A$2:$A$18,Games!$Q$2:$Q$18,"Missing game",0)</x:f>
      </x:c>
      <x:c r="AW310" t="str">
        <x:f>_xlfn.XLOOKUP($A310,Games!$A$2:$A$18,Games!$R$2:$R$18,"Missing game",0)</x:f>
        <x:v>U.S. Bank Stadium</x:v>
      </x:c>
    </x:row>
    <x:row r="311">
      <x:c r="A311" t="str">
        <x:v>2025_02_ATL_MIN</x:v>
      </x:c>
      <x:c r="B311" t="n">
        <x:v>3325</x:v>
      </x:c>
      <x:c r="C311" t="n">
        <x:v>4</x:v>
      </x:c>
      <x:c r="D311" t="str">
        <x:v>07:02</x:v>
      </x:c>
      <x:c r="E311" t="n">
        <x:v>1</x:v>
      </x:c>
      <x:c r="F311" t="n">
        <x:v>20</x:v>
      </x:c>
      <x:c r="G311" t="str">
        <x:v>ATL</x:v>
      </x:c>
      <x:c r="H311" t="str">
        <x:v>MIN</x:v>
      </x:c>
      <x:c r="I311" t="str">
        <x:v>ATL</x:v>
      </x:c>
      <x:c r="J311" t="n">
        <x:v>75</x:v>
      </x:c>
      <x:c r="K311" t="str">
        <x:v>(7:02) (Shotgun) 9-M.Penix pass short left to 5-D.London to ATL 46 for 21 yards (26-T.Jackson).</x:v>
      </x:c>
      <x:c r="L311" t="str">
        <x:v>pass</x:v>
      </x:c>
      <x:c r="M311" t="n">
        <x:v>21</x:v>
      </x:c>
      <x:c r="N311" t="n">
        <x:v>1</x:v>
      </x:c>
      <x:c r="O311" t="n">
        <x:v>0</x:v>
      </x:c>
      <x:c r="P311" t="str">
        <x:v>short</x:v>
      </x:c>
      <x:c r="Q311" t="str">
        <x:v>left</x:v>
      </x:c>
      <x:c r="R311" t="n">
        <x:v>6</x:v>
      </x:c>
      <x:c r="S311" t="n">
        <x:v>15</x:v>
      </x:c>
      <x:c r="T311"/>
      <x:c r="U311"/>
      <x:c r="V311" t="n">
        <x:v>1</x:v>
      </x:c>
      <x:c r="W311" t="n">
        <x:v>1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/>
      <x:c r="AC311" t="n">
        <x:v>0</x:v>
      </x:c>
      <x:c r="AD311" t="n">
        <x:v>1.6237591640092432</x:v>
      </x:c>
      <x:c r="AE311" t="n">
        <x:v>1</x:v>
      </x:c>
      <x:c r="AF311" t="n">
        <x:v>0.015782594680786133</x:v>
      </x:c>
      <x:c r="AG311" t="n">
        <x:f>_xlfn.XLOOKUP($A311,Games!$A$2:$A$18,Games!$B$2:$B$18,"Missing game",0)</x:f>
        <x:v>2025</x:v>
      </x:c>
      <x:c r="AH311" t="str">
        <x:f>_xlfn.XLOOKUP($A311,Games!$A$2:$A$18,Games!$C$2:$C$18,"Missing game",0)</x:f>
        <x:v>REG</x:v>
      </x:c>
      <x:c r="AI311" t="n">
        <x:f>_xlfn.XLOOKUP($A311,Games!$A$2:$A$18,Games!$D$2:$D$18,"Missing game",0)</x:f>
        <x:v>2</x:v>
      </x:c>
      <x:c r="AJ311" s="1" t="n">
        <x:f>_xlfn.XLOOKUP($A311,Games!$A$2:$A$18,Games!$E$2:$E$18,"Missing game",0)</x:f>
        <x:v>45914</x:v>
      </x:c>
      <x:c r="AK311" t="str">
        <x:f>_xlfn.XLOOKUP($A311,Games!$A$2:$A$18,Games!$F$2:$F$18,"Missing game",0)</x:f>
        <x:v>Sunday</x:v>
      </x:c>
      <x:c r="AL311" t="str">
        <x:f>_xlfn.XLOOKUP($A311,Games!$A$2:$A$18,Games!$G$2:$G$18,"Missing game",0)</x:f>
        <x:v>ATL</x:v>
      </x:c>
      <x:c r="AM311" t="n">
        <x:f>_xlfn.XLOOKUP($A311,Games!$A$2:$A$18,Games!$H$2:$H$18,"Missing game",0)</x:f>
        <x:v>22</x:v>
      </x:c>
      <x:c r="AN311" t="str">
        <x:f>_xlfn.XLOOKUP($A311,Games!$A$2:$A$18,Games!$I$2:$I$18,"Missing game",0)</x:f>
        <x:v>MIN</x:v>
      </x:c>
      <x:c r="AO311" t="n">
        <x:f>_xlfn.XLOOKUP($A311,Games!$A$2:$A$18,Games!$J$2:$J$18,"Missing game",0)</x:f>
        <x:v>6</x:v>
      </x:c>
      <x:c r="AP311" t="n">
        <x:f>_xlfn.XLOOKUP($A311,Games!$A$2:$A$18,Games!$K$2:$K$18,"Missing game",0)</x:f>
        <x:v>-16</x:v>
      </x:c>
      <x:c r="AQ311" t="n">
        <x:f>_xlfn.XLOOKUP($A311,Games!$A$2:$A$18,Games!$L$2:$L$18,"Missing game",0)</x:f>
        <x:v>28</x:v>
      </x:c>
      <x:c r="AR311" t="n">
        <x:f>_xlfn.XLOOKUP($A311,Games!$A$2:$A$18,Games!$M$2:$M$18,"Missing game",0)</x:f>
        <x:v>0</x:v>
      </x:c>
      <x:c r="AS311" t="str">
        <x:f>_xlfn.XLOOKUP($A311,Games!$A$2:$A$18,Games!$N$2:$N$18,"Missing game",0)</x:f>
        <x:v>dome</x:v>
      </x:c>
      <x:c r="AT311" t="str">
        <x:f>_xlfn.XLOOKUP($A311,Games!$A$2:$A$18,Games!$O$2:$O$18,"Missing game",0)</x:f>
        <x:v>sportturf</x:v>
      </x:c>
      <x:c r="AU311" t="str">
        <x:f>_xlfn.XLOOKUP($A311,Games!$A$2:$A$18,Games!$P$2:$P$18,"Missing game",0)</x:f>
      </x:c>
      <x:c r="AV311" t="str">
        <x:f>_xlfn.XLOOKUP($A311,Games!$A$2:$A$18,Games!$Q$2:$Q$18,"Missing game",0)</x:f>
      </x:c>
      <x:c r="AW311" t="str">
        <x:f>_xlfn.XLOOKUP($A311,Games!$A$2:$A$18,Games!$R$2:$R$18,"Missing game",0)</x:f>
        <x:v>U.S. Bank Stadium</x:v>
      </x:c>
    </x:row>
    <x:row r="312">
      <x:c r="A312" t="str">
        <x:v>2025_02_ATL_MIN</x:v>
      </x:c>
      <x:c r="B312" t="n">
        <x:v>3350</x:v>
      </x:c>
      <x:c r="C312" t="n">
        <x:v>4</x:v>
      </x:c>
      <x:c r="D312" t="str">
        <x:v>06:21</x:v>
      </x:c>
      <x:c r="E312" t="n">
        <x:v>1</x:v>
      </x:c>
      <x:c r="F312" t="n">
        <x:v>10</x:v>
      </x:c>
      <x:c r="G312" t="str">
        <x:v>ATL</x:v>
      </x:c>
      <x:c r="H312" t="str">
        <x:v>MIN</x:v>
      </x:c>
      <x:c r="I312" t="str">
        <x:v>ATL</x:v>
      </x:c>
      <x:c r="J312" t="n">
        <x:v>54</x:v>
      </x:c>
      <x:c r="K312" t="str">
        <x:v>(6:21) (Shotgun) 25-T.Allgeier left tackle to 50 for 4 yards (61-J.Redmond; 50-L.Rodriguez). MIN-59-G.Murphy was injured during the play.</x:v>
      </x:c>
      <x:c r="L312" t="str">
        <x:v>run</x:v>
      </x:c>
      <x:c r="M312" t="n">
        <x:v>4</x:v>
      </x:c>
      <x:c r="N312" t="n">
        <x:v>1</x:v>
      </x:c>
      <x:c r="O312" t="n">
        <x:v>0</x:v>
      </x:c>
      <x:c r="P312"/>
      <x:c r="Q312"/>
      <x:c r="R312"/>
      <x:c r="S312"/>
      <x:c r="T312" t="str">
        <x:v>left</x:v>
      </x:c>
      <x:c r="U312" t="str">
        <x:v>tackle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/>
      <x:c r="AC312" t="n">
        <x:v>0</x:v>
      </x:c>
      <x:c r="AD312" t="n">
        <x:v>-0.21463035303168</x:v>
      </x:c>
      <x:c r="AE312" t="n">
        <x:v>0</x:v>
      </x:c>
      <x:c r="AF312" t="n">
        <x:v>-0.002392709255218506</x:v>
      </x:c>
      <x:c r="AG312" t="n">
        <x:f>_xlfn.XLOOKUP($A312,Games!$A$2:$A$18,Games!$B$2:$B$18,"Missing game",0)</x:f>
        <x:v>2025</x:v>
      </x:c>
      <x:c r="AH312" t="str">
        <x:f>_xlfn.XLOOKUP($A312,Games!$A$2:$A$18,Games!$C$2:$C$18,"Missing game",0)</x:f>
        <x:v>REG</x:v>
      </x:c>
      <x:c r="AI312" t="n">
        <x:f>_xlfn.XLOOKUP($A312,Games!$A$2:$A$18,Games!$D$2:$D$18,"Missing game",0)</x:f>
        <x:v>2</x:v>
      </x:c>
      <x:c r="AJ312" s="1" t="n">
        <x:f>_xlfn.XLOOKUP($A312,Games!$A$2:$A$18,Games!$E$2:$E$18,"Missing game",0)</x:f>
        <x:v>45914</x:v>
      </x:c>
      <x:c r="AK312" t="str">
        <x:f>_xlfn.XLOOKUP($A312,Games!$A$2:$A$18,Games!$F$2:$F$18,"Missing game",0)</x:f>
        <x:v>Sunday</x:v>
      </x:c>
      <x:c r="AL312" t="str">
        <x:f>_xlfn.XLOOKUP($A312,Games!$A$2:$A$18,Games!$G$2:$G$18,"Missing game",0)</x:f>
        <x:v>ATL</x:v>
      </x:c>
      <x:c r="AM312" t="n">
        <x:f>_xlfn.XLOOKUP($A312,Games!$A$2:$A$18,Games!$H$2:$H$18,"Missing game",0)</x:f>
        <x:v>22</x:v>
      </x:c>
      <x:c r="AN312" t="str">
        <x:f>_xlfn.XLOOKUP($A312,Games!$A$2:$A$18,Games!$I$2:$I$18,"Missing game",0)</x:f>
        <x:v>MIN</x:v>
      </x:c>
      <x:c r="AO312" t="n">
        <x:f>_xlfn.XLOOKUP($A312,Games!$A$2:$A$18,Games!$J$2:$J$18,"Missing game",0)</x:f>
        <x:v>6</x:v>
      </x:c>
      <x:c r="AP312" t="n">
        <x:f>_xlfn.XLOOKUP($A312,Games!$A$2:$A$18,Games!$K$2:$K$18,"Missing game",0)</x:f>
        <x:v>-16</x:v>
      </x:c>
      <x:c r="AQ312" t="n">
        <x:f>_xlfn.XLOOKUP($A312,Games!$A$2:$A$18,Games!$L$2:$L$18,"Missing game",0)</x:f>
        <x:v>28</x:v>
      </x:c>
      <x:c r="AR312" t="n">
        <x:f>_xlfn.XLOOKUP($A312,Games!$A$2:$A$18,Games!$M$2:$M$18,"Missing game",0)</x:f>
        <x:v>0</x:v>
      </x:c>
      <x:c r="AS312" t="str">
        <x:f>_xlfn.XLOOKUP($A312,Games!$A$2:$A$18,Games!$N$2:$N$18,"Missing game",0)</x:f>
        <x:v>dome</x:v>
      </x:c>
      <x:c r="AT312" t="str">
        <x:f>_xlfn.XLOOKUP($A312,Games!$A$2:$A$18,Games!$O$2:$O$18,"Missing game",0)</x:f>
        <x:v>sportturf</x:v>
      </x:c>
      <x:c r="AU312" t="str">
        <x:f>_xlfn.XLOOKUP($A312,Games!$A$2:$A$18,Games!$P$2:$P$18,"Missing game",0)</x:f>
      </x:c>
      <x:c r="AV312" t="str">
        <x:f>_xlfn.XLOOKUP($A312,Games!$A$2:$A$18,Games!$Q$2:$Q$18,"Missing game",0)</x:f>
      </x:c>
      <x:c r="AW312" t="str">
        <x:f>_xlfn.XLOOKUP($A312,Games!$A$2:$A$18,Games!$R$2:$R$18,"Missing game",0)</x:f>
        <x:v>U.S. Bank Stadium</x:v>
      </x:c>
    </x:row>
    <x:row r="313">
      <x:c r="A313" t="str">
        <x:v>2025_02_ATL_MIN</x:v>
      </x:c>
      <x:c r="B313" t="n">
        <x:v>3375</x:v>
      </x:c>
      <x:c r="C313" t="n">
        <x:v>4</x:v>
      </x:c>
      <x:c r="D313" t="str">
        <x:v>05:42</x:v>
      </x:c>
      <x:c r="E313" t="n">
        <x:v>2</x:v>
      </x:c>
      <x:c r="F313" t="n">
        <x:v>6</x:v>
      </x:c>
      <x:c r="G313" t="str">
        <x:v>ATL</x:v>
      </x:c>
      <x:c r="H313" t="str">
        <x:v>MIN</x:v>
      </x:c>
      <x:c r="I313" t="str">
        <x:v>50</x:v>
      </x:c>
      <x:c r="J313" t="n">
        <x:v>50</x:v>
      </x:c>
      <x:c r="K313" t="str">
        <x:v>(5:42) (Shotgun) 25-T.Allgeier right end pushed ob at MIN 37 for 13 yards (7-B.Murphy).</x:v>
      </x:c>
      <x:c r="L313" t="str">
        <x:v>run</x:v>
      </x:c>
      <x:c r="M313" t="n">
        <x:v>13</x:v>
      </x:c>
      <x:c r="N313" t="n">
        <x:v>1</x:v>
      </x:c>
      <x:c r="O313" t="n">
        <x:v>0</x:v>
      </x:c>
      <x:c r="P313"/>
      <x:c r="Q313"/>
      <x:c r="R313"/>
      <x:c r="S313"/>
      <x:c r="T313" t="str">
        <x:v>right</x:v>
      </x:c>
      <x:c r="U313" t="str">
        <x:v>end</x:v>
      </x:c>
      <x:c r="V313" t="n">
        <x:v>0</x:v>
      </x:c>
      <x:c r="W313" t="n">
        <x:v>1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/>
      <x:c r="AC313" t="n">
        <x:v>0</x:v>
      </x:c>
      <x:c r="AD313" t="n">
        <x:v>1.288679078221321</x:v>
      </x:c>
      <x:c r="AE313" t="n">
        <x:v>1</x:v>
      </x:c>
      <x:c r="AF313" t="n">
        <x:v>0.010340392589569092</x:v>
      </x:c>
      <x:c r="AG313" t="n">
        <x:f>_xlfn.XLOOKUP($A313,Games!$A$2:$A$18,Games!$B$2:$B$18,"Missing game",0)</x:f>
        <x:v>2025</x:v>
      </x:c>
      <x:c r="AH313" t="str">
        <x:f>_xlfn.XLOOKUP($A313,Games!$A$2:$A$18,Games!$C$2:$C$18,"Missing game",0)</x:f>
        <x:v>REG</x:v>
      </x:c>
      <x:c r="AI313" t="n">
        <x:f>_xlfn.XLOOKUP($A313,Games!$A$2:$A$18,Games!$D$2:$D$18,"Missing game",0)</x:f>
        <x:v>2</x:v>
      </x:c>
      <x:c r="AJ313" s="1" t="n">
        <x:f>_xlfn.XLOOKUP($A313,Games!$A$2:$A$18,Games!$E$2:$E$18,"Missing game",0)</x:f>
        <x:v>45914</x:v>
      </x:c>
      <x:c r="AK313" t="str">
        <x:f>_xlfn.XLOOKUP($A313,Games!$A$2:$A$18,Games!$F$2:$F$18,"Missing game",0)</x:f>
        <x:v>Sunday</x:v>
      </x:c>
      <x:c r="AL313" t="str">
        <x:f>_xlfn.XLOOKUP($A313,Games!$A$2:$A$18,Games!$G$2:$G$18,"Missing game",0)</x:f>
        <x:v>ATL</x:v>
      </x:c>
      <x:c r="AM313" t="n">
        <x:f>_xlfn.XLOOKUP($A313,Games!$A$2:$A$18,Games!$H$2:$H$18,"Missing game",0)</x:f>
        <x:v>22</x:v>
      </x:c>
      <x:c r="AN313" t="str">
        <x:f>_xlfn.XLOOKUP($A313,Games!$A$2:$A$18,Games!$I$2:$I$18,"Missing game",0)</x:f>
        <x:v>MIN</x:v>
      </x:c>
      <x:c r="AO313" t="n">
        <x:f>_xlfn.XLOOKUP($A313,Games!$A$2:$A$18,Games!$J$2:$J$18,"Missing game",0)</x:f>
        <x:v>6</x:v>
      </x:c>
      <x:c r="AP313" t="n">
        <x:f>_xlfn.XLOOKUP($A313,Games!$A$2:$A$18,Games!$K$2:$K$18,"Missing game",0)</x:f>
        <x:v>-16</x:v>
      </x:c>
      <x:c r="AQ313" t="n">
        <x:f>_xlfn.XLOOKUP($A313,Games!$A$2:$A$18,Games!$L$2:$L$18,"Missing game",0)</x:f>
        <x:v>28</x:v>
      </x:c>
      <x:c r="AR313" t="n">
        <x:f>_xlfn.XLOOKUP($A313,Games!$A$2:$A$18,Games!$M$2:$M$18,"Missing game",0)</x:f>
        <x:v>0</x:v>
      </x:c>
      <x:c r="AS313" t="str">
        <x:f>_xlfn.XLOOKUP($A313,Games!$A$2:$A$18,Games!$N$2:$N$18,"Missing game",0)</x:f>
        <x:v>dome</x:v>
      </x:c>
      <x:c r="AT313" t="str">
        <x:f>_xlfn.XLOOKUP($A313,Games!$A$2:$A$18,Games!$O$2:$O$18,"Missing game",0)</x:f>
        <x:v>sportturf</x:v>
      </x:c>
      <x:c r="AU313" t="str">
        <x:f>_xlfn.XLOOKUP($A313,Games!$A$2:$A$18,Games!$P$2:$P$18,"Missing game",0)</x:f>
      </x:c>
      <x:c r="AV313" t="str">
        <x:f>_xlfn.XLOOKUP($A313,Games!$A$2:$A$18,Games!$Q$2:$Q$18,"Missing game",0)</x:f>
      </x:c>
      <x:c r="AW313" t="str">
        <x:f>_xlfn.XLOOKUP($A313,Games!$A$2:$A$18,Games!$R$2:$R$18,"Missing game",0)</x:f>
        <x:v>U.S. Bank Stadium</x:v>
      </x:c>
    </x:row>
    <x:row r="314">
      <x:c r="A314" t="str">
        <x:v>2025_02_ATL_MIN</x:v>
      </x:c>
      <x:c r="B314" t="n">
        <x:v>3414</x:v>
      </x:c>
      <x:c r="C314" t="n">
        <x:v>4</x:v>
      </x:c>
      <x:c r="D314" t="str">
        <x:v>05:06</x:v>
      </x:c>
      <x:c r="E314" t="n">
        <x:v>1</x:v>
      </x:c>
      <x:c r="F314" t="n">
        <x:v>10</x:v>
      </x:c>
      <x:c r="G314" t="str">
        <x:v>ATL</x:v>
      </x:c>
      <x:c r="H314" t="str">
        <x:v>MIN</x:v>
      </x:c>
      <x:c r="I314" t="str">
        <x:v>MIN</x:v>
      </x:c>
      <x:c r="J314" t="n">
        <x:v>37</x:v>
      </x:c>
      <x:c r="K314" t="str">
        <x:v>(5:06) (Shotgun) 25-T.Allgeier left tackle to MIN 20 for 17 yards (26-T.Jackson).</x:v>
      </x:c>
      <x:c r="L314" t="str">
        <x:v>run</x:v>
      </x:c>
      <x:c r="M314" t="n">
        <x:v>17</x:v>
      </x:c>
      <x:c r="N314" t="n">
        <x:v>1</x:v>
      </x:c>
      <x:c r="O314" t="n">
        <x:v>0</x:v>
      </x:c>
      <x:c r="P314"/>
      <x:c r="Q314"/>
      <x:c r="R314"/>
      <x:c r="S314"/>
      <x:c r="T314" t="str">
        <x:v>left</x:v>
      </x:c>
      <x:c r="U314" t="str">
        <x:v>tackle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/>
      <x:c r="AC314" t="n">
        <x:v>0</x:v>
      </x:c>
      <x:c r="AD314" t="n">
        <x:v>0.9079554249183275</x:v>
      </x:c>
      <x:c r="AE314" t="n">
        <x:v>1</x:v>
      </x:c>
      <x:c r="AF314" t="n">
        <x:v>0.006539762020111084</x:v>
      </x:c>
      <x:c r="AG314" t="n">
        <x:f>_xlfn.XLOOKUP($A314,Games!$A$2:$A$18,Games!$B$2:$B$18,"Missing game",0)</x:f>
        <x:v>2025</x:v>
      </x:c>
      <x:c r="AH314" t="str">
        <x:f>_xlfn.XLOOKUP($A314,Games!$A$2:$A$18,Games!$C$2:$C$18,"Missing game",0)</x:f>
        <x:v>REG</x:v>
      </x:c>
      <x:c r="AI314" t="n">
        <x:f>_xlfn.XLOOKUP($A314,Games!$A$2:$A$18,Games!$D$2:$D$18,"Missing game",0)</x:f>
        <x:v>2</x:v>
      </x:c>
      <x:c r="AJ314" s="1" t="n">
        <x:f>_xlfn.XLOOKUP($A314,Games!$A$2:$A$18,Games!$E$2:$E$18,"Missing game",0)</x:f>
        <x:v>45914</x:v>
      </x:c>
      <x:c r="AK314" t="str">
        <x:f>_xlfn.XLOOKUP($A314,Games!$A$2:$A$18,Games!$F$2:$F$18,"Missing game",0)</x:f>
        <x:v>Sunday</x:v>
      </x:c>
      <x:c r="AL314" t="str">
        <x:f>_xlfn.XLOOKUP($A314,Games!$A$2:$A$18,Games!$G$2:$G$18,"Missing game",0)</x:f>
        <x:v>ATL</x:v>
      </x:c>
      <x:c r="AM314" t="n">
        <x:f>_xlfn.XLOOKUP($A314,Games!$A$2:$A$18,Games!$H$2:$H$18,"Missing game",0)</x:f>
        <x:v>22</x:v>
      </x:c>
      <x:c r="AN314" t="str">
        <x:f>_xlfn.XLOOKUP($A314,Games!$A$2:$A$18,Games!$I$2:$I$18,"Missing game",0)</x:f>
        <x:v>MIN</x:v>
      </x:c>
      <x:c r="AO314" t="n">
        <x:f>_xlfn.XLOOKUP($A314,Games!$A$2:$A$18,Games!$J$2:$J$18,"Missing game",0)</x:f>
        <x:v>6</x:v>
      </x:c>
      <x:c r="AP314" t="n">
        <x:f>_xlfn.XLOOKUP($A314,Games!$A$2:$A$18,Games!$K$2:$K$18,"Missing game",0)</x:f>
        <x:v>-16</x:v>
      </x:c>
      <x:c r="AQ314" t="n">
        <x:f>_xlfn.XLOOKUP($A314,Games!$A$2:$A$18,Games!$L$2:$L$18,"Missing game",0)</x:f>
        <x:v>28</x:v>
      </x:c>
      <x:c r="AR314" t="n">
        <x:f>_xlfn.XLOOKUP($A314,Games!$A$2:$A$18,Games!$M$2:$M$18,"Missing game",0)</x:f>
        <x:v>0</x:v>
      </x:c>
      <x:c r="AS314" t="str">
        <x:f>_xlfn.XLOOKUP($A314,Games!$A$2:$A$18,Games!$N$2:$N$18,"Missing game",0)</x:f>
        <x:v>dome</x:v>
      </x:c>
      <x:c r="AT314" t="str">
        <x:f>_xlfn.XLOOKUP($A314,Games!$A$2:$A$18,Games!$O$2:$O$18,"Missing game",0)</x:f>
        <x:v>sportturf</x:v>
      </x:c>
      <x:c r="AU314" t="str">
        <x:f>_xlfn.XLOOKUP($A314,Games!$A$2:$A$18,Games!$P$2:$P$18,"Missing game",0)</x:f>
      </x:c>
      <x:c r="AV314" t="str">
        <x:f>_xlfn.XLOOKUP($A314,Games!$A$2:$A$18,Games!$Q$2:$Q$18,"Missing game",0)</x:f>
      </x:c>
      <x:c r="AW314" t="str">
        <x:f>_xlfn.XLOOKUP($A314,Games!$A$2:$A$18,Games!$R$2:$R$18,"Missing game",0)</x:f>
        <x:v>U.S. Bank Stadium</x:v>
      </x:c>
    </x:row>
    <x:row r="315">
      <x:c r="A315" t="str">
        <x:v>2025_02_ATL_MIN</x:v>
      </x:c>
      <x:c r="B315" t="n">
        <x:v>3436</x:v>
      </x:c>
      <x:c r="C315" t="n">
        <x:v>4</x:v>
      </x:c>
      <x:c r="D315" t="str">
        <x:v>04:22</x:v>
      </x:c>
      <x:c r="E315" t="n">
        <x:v>1</x:v>
      </x:c>
      <x:c r="F315" t="n">
        <x:v>10</x:v>
      </x:c>
      <x:c r="G315" t="str">
        <x:v>ATL</x:v>
      </x:c>
      <x:c r="H315" t="str">
        <x:v>MIN</x:v>
      </x:c>
      <x:c r="I315" t="str">
        <x:v>MIN</x:v>
      </x:c>
      <x:c r="J315" t="n">
        <x:v>20</x:v>
      </x:c>
      <x:c r="K315" t="str">
        <x:v>(4:22) (Shotgun) 25-T.Allgeier left guard to MIN 19 for 1 yard (0-I.Pace).</x:v>
      </x:c>
      <x:c r="L315" t="str">
        <x:v>run</x:v>
      </x:c>
      <x:c r="M315" t="n">
        <x:v>1</x:v>
      </x:c>
      <x:c r="N315" t="n">
        <x:v>1</x:v>
      </x:c>
      <x:c r="O315" t="n">
        <x:v>0</x:v>
      </x:c>
      <x:c r="P315"/>
      <x:c r="Q315"/>
      <x:c r="R315"/>
      <x:c r="S315"/>
      <x:c r="T315" t="str">
        <x:v>left</x:v>
      </x:c>
      <x:c r="U315" t="str">
        <x:v>guard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/>
      <x:c r="AC315" t="n">
        <x:v>0</x:v>
      </x:c>
      <x:c r="AD315" t="n">
        <x:v>-0.3804102899739519</x:v>
      </x:c>
      <x:c r="AE315" t="n">
        <x:v>0</x:v>
      </x:c>
      <x:c r="AF315" t="n">
        <x:v>-0.00340193510055542</x:v>
      </x:c>
      <x:c r="AG315" t="n">
        <x:f>_xlfn.XLOOKUP($A315,Games!$A$2:$A$18,Games!$B$2:$B$18,"Missing game",0)</x:f>
        <x:v>2025</x:v>
      </x:c>
      <x:c r="AH315" t="str">
        <x:f>_xlfn.XLOOKUP($A315,Games!$A$2:$A$18,Games!$C$2:$C$18,"Missing game",0)</x:f>
        <x:v>REG</x:v>
      </x:c>
      <x:c r="AI315" t="n">
        <x:f>_xlfn.XLOOKUP($A315,Games!$A$2:$A$18,Games!$D$2:$D$18,"Missing game",0)</x:f>
        <x:v>2</x:v>
      </x:c>
      <x:c r="AJ315" s="1" t="n">
        <x:f>_xlfn.XLOOKUP($A315,Games!$A$2:$A$18,Games!$E$2:$E$18,"Missing game",0)</x:f>
        <x:v>45914</x:v>
      </x:c>
      <x:c r="AK315" t="str">
        <x:f>_xlfn.XLOOKUP($A315,Games!$A$2:$A$18,Games!$F$2:$F$18,"Missing game",0)</x:f>
        <x:v>Sunday</x:v>
      </x:c>
      <x:c r="AL315" t="str">
        <x:f>_xlfn.XLOOKUP($A315,Games!$A$2:$A$18,Games!$G$2:$G$18,"Missing game",0)</x:f>
        <x:v>ATL</x:v>
      </x:c>
      <x:c r="AM315" t="n">
        <x:f>_xlfn.XLOOKUP($A315,Games!$A$2:$A$18,Games!$H$2:$H$18,"Missing game",0)</x:f>
        <x:v>22</x:v>
      </x:c>
      <x:c r="AN315" t="str">
        <x:f>_xlfn.XLOOKUP($A315,Games!$A$2:$A$18,Games!$I$2:$I$18,"Missing game",0)</x:f>
        <x:v>MIN</x:v>
      </x:c>
      <x:c r="AO315" t="n">
        <x:f>_xlfn.XLOOKUP($A315,Games!$A$2:$A$18,Games!$J$2:$J$18,"Missing game",0)</x:f>
        <x:v>6</x:v>
      </x:c>
      <x:c r="AP315" t="n">
        <x:f>_xlfn.XLOOKUP($A315,Games!$A$2:$A$18,Games!$K$2:$K$18,"Missing game",0)</x:f>
        <x:v>-16</x:v>
      </x:c>
      <x:c r="AQ315" t="n">
        <x:f>_xlfn.XLOOKUP($A315,Games!$A$2:$A$18,Games!$L$2:$L$18,"Missing game",0)</x:f>
        <x:v>28</x:v>
      </x:c>
      <x:c r="AR315" t="n">
        <x:f>_xlfn.XLOOKUP($A315,Games!$A$2:$A$18,Games!$M$2:$M$18,"Missing game",0)</x:f>
        <x:v>0</x:v>
      </x:c>
      <x:c r="AS315" t="str">
        <x:f>_xlfn.XLOOKUP($A315,Games!$A$2:$A$18,Games!$N$2:$N$18,"Missing game",0)</x:f>
        <x:v>dome</x:v>
      </x:c>
      <x:c r="AT315" t="str">
        <x:f>_xlfn.XLOOKUP($A315,Games!$A$2:$A$18,Games!$O$2:$O$18,"Missing game",0)</x:f>
        <x:v>sportturf</x:v>
      </x:c>
      <x:c r="AU315" t="str">
        <x:f>_xlfn.XLOOKUP($A315,Games!$A$2:$A$18,Games!$P$2:$P$18,"Missing game",0)</x:f>
      </x:c>
      <x:c r="AV315" t="str">
        <x:f>_xlfn.XLOOKUP($A315,Games!$A$2:$A$18,Games!$Q$2:$Q$18,"Missing game",0)</x:f>
      </x:c>
      <x:c r="AW315" t="str">
        <x:f>_xlfn.XLOOKUP($A315,Games!$A$2:$A$18,Games!$R$2:$R$18,"Missing game",0)</x:f>
        <x:v>U.S. Bank Stadium</x:v>
      </x:c>
    </x:row>
    <x:row r="316">
      <x:c r="A316" t="str">
        <x:v>2025_02_ATL_MIN</x:v>
      </x:c>
      <x:c r="B316" t="n">
        <x:v>3458</x:v>
      </x:c>
      <x:c r="C316" t="n">
        <x:v>4</x:v>
      </x:c>
      <x:c r="D316" t="str">
        <x:v>04:18</x:v>
      </x:c>
      <x:c r="E316" t="n">
        <x:v>2</x:v>
      </x:c>
      <x:c r="F316" t="n">
        <x:v>9</x:v>
      </x:c>
      <x:c r="G316" t="str">
        <x:v>ATL</x:v>
      </x:c>
      <x:c r="H316" t="str">
        <x:v>MIN</x:v>
      </x:c>
      <x:c r="I316" t="str">
        <x:v>MIN</x:v>
      </x:c>
      <x:c r="J316" t="n">
        <x:v>19</x:v>
      </x:c>
      <x:c r="K316" t="str">
        <x:v>(4:18) (Shotgun) 7-B.Robinson right guard to MIN 17 for 2 yards (0-I.Pace).</x:v>
      </x:c>
      <x:c r="L316" t="str">
        <x:v>run</x:v>
      </x:c>
      <x:c r="M316" t="n">
        <x:v>2</x:v>
      </x:c>
      <x:c r="N316" t="n">
        <x:v>1</x:v>
      </x:c>
      <x:c r="O316" t="n">
        <x:v>0</x:v>
      </x:c>
      <x:c r="P316"/>
      <x:c r="Q316"/>
      <x:c r="R316"/>
      <x:c r="S316"/>
      <x:c r="T316" t="str">
        <x:v>right</x:v>
      </x:c>
      <x:c r="U316" t="str">
        <x:v>guard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/>
      <x:c r="AC316" t="n">
        <x:v>0</x:v>
      </x:c>
      <x:c r="AD316" t="n">
        <x:v>-0.39593291509663686</x:v>
      </x:c>
      <x:c r="AE316" t="n">
        <x:v>0</x:v>
      </x:c>
      <x:c r="AF316" t="n">
        <x:v>0.003306269645690918</x:v>
      </x:c>
      <x:c r="AG316" t="n">
        <x:f>_xlfn.XLOOKUP($A316,Games!$A$2:$A$18,Games!$B$2:$B$18,"Missing game",0)</x:f>
        <x:v>2025</x:v>
      </x:c>
      <x:c r="AH316" t="str">
        <x:f>_xlfn.XLOOKUP($A316,Games!$A$2:$A$18,Games!$C$2:$C$18,"Missing game",0)</x:f>
        <x:v>REG</x:v>
      </x:c>
      <x:c r="AI316" t="n">
        <x:f>_xlfn.XLOOKUP($A316,Games!$A$2:$A$18,Games!$D$2:$D$18,"Missing game",0)</x:f>
        <x:v>2</x:v>
      </x:c>
      <x:c r="AJ316" s="1" t="n">
        <x:f>_xlfn.XLOOKUP($A316,Games!$A$2:$A$18,Games!$E$2:$E$18,"Missing game",0)</x:f>
        <x:v>45914</x:v>
      </x:c>
      <x:c r="AK316" t="str">
        <x:f>_xlfn.XLOOKUP($A316,Games!$A$2:$A$18,Games!$F$2:$F$18,"Missing game",0)</x:f>
        <x:v>Sunday</x:v>
      </x:c>
      <x:c r="AL316" t="str">
        <x:f>_xlfn.XLOOKUP($A316,Games!$A$2:$A$18,Games!$G$2:$G$18,"Missing game",0)</x:f>
        <x:v>ATL</x:v>
      </x:c>
      <x:c r="AM316" t="n">
        <x:f>_xlfn.XLOOKUP($A316,Games!$A$2:$A$18,Games!$H$2:$H$18,"Missing game",0)</x:f>
        <x:v>22</x:v>
      </x:c>
      <x:c r="AN316" t="str">
        <x:f>_xlfn.XLOOKUP($A316,Games!$A$2:$A$18,Games!$I$2:$I$18,"Missing game",0)</x:f>
        <x:v>MIN</x:v>
      </x:c>
      <x:c r="AO316" t="n">
        <x:f>_xlfn.XLOOKUP($A316,Games!$A$2:$A$18,Games!$J$2:$J$18,"Missing game",0)</x:f>
        <x:v>6</x:v>
      </x:c>
      <x:c r="AP316" t="n">
        <x:f>_xlfn.XLOOKUP($A316,Games!$A$2:$A$18,Games!$K$2:$K$18,"Missing game",0)</x:f>
        <x:v>-16</x:v>
      </x:c>
      <x:c r="AQ316" t="n">
        <x:f>_xlfn.XLOOKUP($A316,Games!$A$2:$A$18,Games!$L$2:$L$18,"Missing game",0)</x:f>
        <x:v>28</x:v>
      </x:c>
      <x:c r="AR316" t="n">
        <x:f>_xlfn.XLOOKUP($A316,Games!$A$2:$A$18,Games!$M$2:$M$18,"Missing game",0)</x:f>
        <x:v>0</x:v>
      </x:c>
      <x:c r="AS316" t="str">
        <x:f>_xlfn.XLOOKUP($A316,Games!$A$2:$A$18,Games!$N$2:$N$18,"Missing game",0)</x:f>
        <x:v>dome</x:v>
      </x:c>
      <x:c r="AT316" t="str">
        <x:f>_xlfn.XLOOKUP($A316,Games!$A$2:$A$18,Games!$O$2:$O$18,"Missing game",0)</x:f>
        <x:v>sportturf</x:v>
      </x:c>
      <x:c r="AU316" t="str">
        <x:f>_xlfn.XLOOKUP($A316,Games!$A$2:$A$18,Games!$P$2:$P$18,"Missing game",0)</x:f>
      </x:c>
      <x:c r="AV316" t="str">
        <x:f>_xlfn.XLOOKUP($A316,Games!$A$2:$A$18,Games!$Q$2:$Q$18,"Missing game",0)</x:f>
      </x:c>
      <x:c r="AW316" t="str">
        <x:f>_xlfn.XLOOKUP($A316,Games!$A$2:$A$18,Games!$R$2:$R$18,"Missing game",0)</x:f>
        <x:v>U.S. Bank Stadium</x:v>
      </x:c>
    </x:row>
    <x:row r="317">
      <x:c r="A317" t="str">
        <x:v>2025_02_ATL_MIN</x:v>
      </x:c>
      <x:c r="B317" t="n">
        <x:v>3470</x:v>
      </x:c>
      <x:c r="C317" t="n">
        <x:v>4</x:v>
      </x:c>
      <x:c r="D317" t="str">
        <x:v>04:18</x:v>
      </x:c>
      <x:c r="E317"/>
      <x:c r="F317" t="n">
        <x:v>0</x:v>
      </x:c>
      <x:c r="G317"/>
      <x:c r="H317"/>
      <x:c r="I317"/>
      <x:c r="J317"/>
      <x:c r="K317" t="str">
        <x:v>Timeout #1 by MIN at 04:18.</x:v>
      </x:c>
      <x:c r="L317" t="str">
        <x:v>no_play</x:v>
      </x:c>
      <x:c r="M317" t="n">
        <x:v>0</x:v>
      </x:c>
      <x:c r="N317" t="n">
        <x:v>0</x:v>
      </x:c>
      <x:c r="O317" t="n">
        <x:v>0</x:v>
      </x:c>
      <x:c r="P317"/>
      <x:c r="Q317"/>
      <x:c r="R317"/>
      <x:c r="S317"/>
      <x:c r="T317"/>
      <x:c r="U317"/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/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f>_xlfn.XLOOKUP($A317,Games!$A$2:$A$18,Games!$B$2:$B$18,"Missing game",0)</x:f>
        <x:v>2025</x:v>
      </x:c>
      <x:c r="AH317" t="str">
        <x:f>_xlfn.XLOOKUP($A317,Games!$A$2:$A$18,Games!$C$2:$C$18,"Missing game",0)</x:f>
        <x:v>REG</x:v>
      </x:c>
      <x:c r="AI317" t="n">
        <x:f>_xlfn.XLOOKUP($A317,Games!$A$2:$A$18,Games!$D$2:$D$18,"Missing game",0)</x:f>
        <x:v>2</x:v>
      </x:c>
      <x:c r="AJ317" s="1" t="n">
        <x:f>_xlfn.XLOOKUP($A317,Games!$A$2:$A$18,Games!$E$2:$E$18,"Missing game",0)</x:f>
        <x:v>45914</x:v>
      </x:c>
      <x:c r="AK317" t="str">
        <x:f>_xlfn.XLOOKUP($A317,Games!$A$2:$A$18,Games!$F$2:$F$18,"Missing game",0)</x:f>
        <x:v>Sunday</x:v>
      </x:c>
      <x:c r="AL317" t="str">
        <x:f>_xlfn.XLOOKUP($A317,Games!$A$2:$A$18,Games!$G$2:$G$18,"Missing game",0)</x:f>
        <x:v>ATL</x:v>
      </x:c>
      <x:c r="AM317" t="n">
        <x:f>_xlfn.XLOOKUP($A317,Games!$A$2:$A$18,Games!$H$2:$H$18,"Missing game",0)</x:f>
        <x:v>22</x:v>
      </x:c>
      <x:c r="AN317" t="str">
        <x:f>_xlfn.XLOOKUP($A317,Games!$A$2:$A$18,Games!$I$2:$I$18,"Missing game",0)</x:f>
        <x:v>MIN</x:v>
      </x:c>
      <x:c r="AO317" t="n">
        <x:f>_xlfn.XLOOKUP($A317,Games!$A$2:$A$18,Games!$J$2:$J$18,"Missing game",0)</x:f>
        <x:v>6</x:v>
      </x:c>
      <x:c r="AP317" t="n">
        <x:f>_xlfn.XLOOKUP($A317,Games!$A$2:$A$18,Games!$K$2:$K$18,"Missing game",0)</x:f>
        <x:v>-16</x:v>
      </x:c>
      <x:c r="AQ317" t="n">
        <x:f>_xlfn.XLOOKUP($A317,Games!$A$2:$A$18,Games!$L$2:$L$18,"Missing game",0)</x:f>
        <x:v>28</x:v>
      </x:c>
      <x:c r="AR317" t="n">
        <x:f>_xlfn.XLOOKUP($A317,Games!$A$2:$A$18,Games!$M$2:$M$18,"Missing game",0)</x:f>
        <x:v>0</x:v>
      </x:c>
      <x:c r="AS317" t="str">
        <x:f>_xlfn.XLOOKUP($A317,Games!$A$2:$A$18,Games!$N$2:$N$18,"Missing game",0)</x:f>
        <x:v>dome</x:v>
      </x:c>
      <x:c r="AT317" t="str">
        <x:f>_xlfn.XLOOKUP($A317,Games!$A$2:$A$18,Games!$O$2:$O$18,"Missing game",0)</x:f>
        <x:v>sportturf</x:v>
      </x:c>
      <x:c r="AU317" t="str">
        <x:f>_xlfn.XLOOKUP($A317,Games!$A$2:$A$18,Games!$P$2:$P$18,"Missing game",0)</x:f>
      </x:c>
      <x:c r="AV317" t="str">
        <x:f>_xlfn.XLOOKUP($A317,Games!$A$2:$A$18,Games!$Q$2:$Q$18,"Missing game",0)</x:f>
      </x:c>
      <x:c r="AW317" t="str">
        <x:f>_xlfn.XLOOKUP($A317,Games!$A$2:$A$18,Games!$R$2:$R$18,"Missing game",0)</x:f>
        <x:v>U.S. Bank Stadium</x:v>
      </x:c>
    </x:row>
    <x:row r="318">
      <x:c r="A318" t="str">
        <x:v>2025_02_ATL_MIN</x:v>
      </x:c>
      <x:c r="B318" t="n">
        <x:v>3492</x:v>
      </x:c>
      <x:c r="C318" t="n">
        <x:v>4</x:v>
      </x:c>
      <x:c r="D318" t="str">
        <x:v>04:15</x:v>
      </x:c>
      <x:c r="E318" t="n">
        <x:v>3</x:v>
      </x:c>
      <x:c r="F318" t="n">
        <x:v>7</x:v>
      </x:c>
      <x:c r="G318" t="str">
        <x:v>ATL</x:v>
      </x:c>
      <x:c r="H318" t="str">
        <x:v>MIN</x:v>
      </x:c>
      <x:c r="I318" t="str">
        <x:v>MIN</x:v>
      </x:c>
      <x:c r="J318" t="n">
        <x:v>17</x:v>
      </x:c>
      <x:c r="K318" t="str">
        <x:v>(4:15) (Shotgun) 7-B.Robinson right tackle to MIN 11 for 6 yards (93-J.Allen).</x:v>
      </x:c>
      <x:c r="L318" t="str">
        <x:v>run</x:v>
      </x:c>
      <x:c r="M318" t="n">
        <x:v>6</x:v>
      </x:c>
      <x:c r="N318" t="n">
        <x:v>1</x:v>
      </x:c>
      <x:c r="O318" t="n">
        <x:v>0</x:v>
      </x:c>
      <x:c r="P318"/>
      <x:c r="Q318"/>
      <x:c r="R318"/>
      <x:c r="S318"/>
      <x:c r="T318" t="str">
        <x:v>right</x:v>
      </x:c>
      <x:c r="U318" t="str">
        <x:v>tackle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/>
      <x:c r="AC318" t="n">
        <x:v>0</x:v>
      </x:c>
      <x:c r="AD318" t="n">
        <x:v>-0.6072402494028211</x:v>
      </x:c>
      <x:c r="AE318" t="n">
        <x:v>0</x:v>
      </x:c>
      <x:c r="AF318" t="n">
        <x:v>0.0005213618278503418</x:v>
      </x:c>
      <x:c r="AG318" t="n">
        <x:f>_xlfn.XLOOKUP($A318,Games!$A$2:$A$18,Games!$B$2:$B$18,"Missing game",0)</x:f>
        <x:v>2025</x:v>
      </x:c>
      <x:c r="AH318" t="str">
        <x:f>_xlfn.XLOOKUP($A318,Games!$A$2:$A$18,Games!$C$2:$C$18,"Missing game",0)</x:f>
        <x:v>REG</x:v>
      </x:c>
      <x:c r="AI318" t="n">
        <x:f>_xlfn.XLOOKUP($A318,Games!$A$2:$A$18,Games!$D$2:$D$18,"Missing game",0)</x:f>
        <x:v>2</x:v>
      </x:c>
      <x:c r="AJ318" s="1" t="n">
        <x:f>_xlfn.XLOOKUP($A318,Games!$A$2:$A$18,Games!$E$2:$E$18,"Missing game",0)</x:f>
        <x:v>45914</x:v>
      </x:c>
      <x:c r="AK318" t="str">
        <x:f>_xlfn.XLOOKUP($A318,Games!$A$2:$A$18,Games!$F$2:$F$18,"Missing game",0)</x:f>
        <x:v>Sunday</x:v>
      </x:c>
      <x:c r="AL318" t="str">
        <x:f>_xlfn.XLOOKUP($A318,Games!$A$2:$A$18,Games!$G$2:$G$18,"Missing game",0)</x:f>
        <x:v>ATL</x:v>
      </x:c>
      <x:c r="AM318" t="n">
        <x:f>_xlfn.XLOOKUP($A318,Games!$A$2:$A$18,Games!$H$2:$H$18,"Missing game",0)</x:f>
        <x:v>22</x:v>
      </x:c>
      <x:c r="AN318" t="str">
        <x:f>_xlfn.XLOOKUP($A318,Games!$A$2:$A$18,Games!$I$2:$I$18,"Missing game",0)</x:f>
        <x:v>MIN</x:v>
      </x:c>
      <x:c r="AO318" t="n">
        <x:f>_xlfn.XLOOKUP($A318,Games!$A$2:$A$18,Games!$J$2:$J$18,"Missing game",0)</x:f>
        <x:v>6</x:v>
      </x:c>
      <x:c r="AP318" t="n">
        <x:f>_xlfn.XLOOKUP($A318,Games!$A$2:$A$18,Games!$K$2:$K$18,"Missing game",0)</x:f>
        <x:v>-16</x:v>
      </x:c>
      <x:c r="AQ318" t="n">
        <x:f>_xlfn.XLOOKUP($A318,Games!$A$2:$A$18,Games!$L$2:$L$18,"Missing game",0)</x:f>
        <x:v>28</x:v>
      </x:c>
      <x:c r="AR318" t="n">
        <x:f>_xlfn.XLOOKUP($A318,Games!$A$2:$A$18,Games!$M$2:$M$18,"Missing game",0)</x:f>
        <x:v>0</x:v>
      </x:c>
      <x:c r="AS318" t="str">
        <x:f>_xlfn.XLOOKUP($A318,Games!$A$2:$A$18,Games!$N$2:$N$18,"Missing game",0)</x:f>
        <x:v>dome</x:v>
      </x:c>
      <x:c r="AT318" t="str">
        <x:f>_xlfn.XLOOKUP($A318,Games!$A$2:$A$18,Games!$O$2:$O$18,"Missing game",0)</x:f>
        <x:v>sportturf</x:v>
      </x:c>
      <x:c r="AU318" t="str">
        <x:f>_xlfn.XLOOKUP($A318,Games!$A$2:$A$18,Games!$P$2:$P$18,"Missing game",0)</x:f>
      </x:c>
      <x:c r="AV318" t="str">
        <x:f>_xlfn.XLOOKUP($A318,Games!$A$2:$A$18,Games!$Q$2:$Q$18,"Missing game",0)</x:f>
      </x:c>
      <x:c r="AW318" t="str">
        <x:f>_xlfn.XLOOKUP($A318,Games!$A$2:$A$18,Games!$R$2:$R$18,"Missing game",0)</x:f>
        <x:v>U.S. Bank Stadium</x:v>
      </x:c>
    </x:row>
    <x:row r="319">
      <x:c r="A319" t="str">
        <x:v>2025_02_ATL_MIN</x:v>
      </x:c>
      <x:c r="B319" t="n">
        <x:v>3504</x:v>
      </x:c>
      <x:c r="C319" t="n">
        <x:v>4</x:v>
      </x:c>
      <x:c r="D319" t="str">
        <x:v>04:15</x:v>
      </x:c>
      <x:c r="E319"/>
      <x:c r="F319" t="n">
        <x:v>0</x:v>
      </x:c>
      <x:c r="G319"/>
      <x:c r="H319"/>
      <x:c r="I319"/>
      <x:c r="J319"/>
      <x:c r="K319" t="str">
        <x:v>Timeout #2 by MIN at 04:15.</x:v>
      </x:c>
      <x:c r="L319" t="str">
        <x:v>no_play</x:v>
      </x:c>
      <x:c r="M319" t="n">
        <x:v>0</x:v>
      </x:c>
      <x:c r="N319" t="n">
        <x:v>0</x:v>
      </x:c>
      <x:c r="O319" t="n">
        <x:v>0</x:v>
      </x:c>
      <x:c r="P319"/>
      <x:c r="Q319"/>
      <x:c r="R319"/>
      <x:c r="S319"/>
      <x:c r="T319"/>
      <x:c r="U319"/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/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f>_xlfn.XLOOKUP($A319,Games!$A$2:$A$18,Games!$B$2:$B$18,"Missing game",0)</x:f>
        <x:v>2025</x:v>
      </x:c>
      <x:c r="AH319" t="str">
        <x:f>_xlfn.XLOOKUP($A319,Games!$A$2:$A$18,Games!$C$2:$C$18,"Missing game",0)</x:f>
        <x:v>REG</x:v>
      </x:c>
      <x:c r="AI319" t="n">
        <x:f>_xlfn.XLOOKUP($A319,Games!$A$2:$A$18,Games!$D$2:$D$18,"Missing game",0)</x:f>
        <x:v>2</x:v>
      </x:c>
      <x:c r="AJ319" s="1" t="n">
        <x:f>_xlfn.XLOOKUP($A319,Games!$A$2:$A$18,Games!$E$2:$E$18,"Missing game",0)</x:f>
        <x:v>45914</x:v>
      </x:c>
      <x:c r="AK319" t="str">
        <x:f>_xlfn.XLOOKUP($A319,Games!$A$2:$A$18,Games!$F$2:$F$18,"Missing game",0)</x:f>
        <x:v>Sunday</x:v>
      </x:c>
      <x:c r="AL319" t="str">
        <x:f>_xlfn.XLOOKUP($A319,Games!$A$2:$A$18,Games!$G$2:$G$18,"Missing game",0)</x:f>
        <x:v>ATL</x:v>
      </x:c>
      <x:c r="AM319" t="n">
        <x:f>_xlfn.XLOOKUP($A319,Games!$A$2:$A$18,Games!$H$2:$H$18,"Missing game",0)</x:f>
        <x:v>22</x:v>
      </x:c>
      <x:c r="AN319" t="str">
        <x:f>_xlfn.XLOOKUP($A319,Games!$A$2:$A$18,Games!$I$2:$I$18,"Missing game",0)</x:f>
        <x:v>MIN</x:v>
      </x:c>
      <x:c r="AO319" t="n">
        <x:f>_xlfn.XLOOKUP($A319,Games!$A$2:$A$18,Games!$J$2:$J$18,"Missing game",0)</x:f>
        <x:v>6</x:v>
      </x:c>
      <x:c r="AP319" t="n">
        <x:f>_xlfn.XLOOKUP($A319,Games!$A$2:$A$18,Games!$K$2:$K$18,"Missing game",0)</x:f>
        <x:v>-16</x:v>
      </x:c>
      <x:c r="AQ319" t="n">
        <x:f>_xlfn.XLOOKUP($A319,Games!$A$2:$A$18,Games!$L$2:$L$18,"Missing game",0)</x:f>
        <x:v>28</x:v>
      </x:c>
      <x:c r="AR319" t="n">
        <x:f>_xlfn.XLOOKUP($A319,Games!$A$2:$A$18,Games!$M$2:$M$18,"Missing game",0)</x:f>
        <x:v>0</x:v>
      </x:c>
      <x:c r="AS319" t="str">
        <x:f>_xlfn.XLOOKUP($A319,Games!$A$2:$A$18,Games!$N$2:$N$18,"Missing game",0)</x:f>
        <x:v>dome</x:v>
      </x:c>
      <x:c r="AT319" t="str">
        <x:f>_xlfn.XLOOKUP($A319,Games!$A$2:$A$18,Games!$O$2:$O$18,"Missing game",0)</x:f>
        <x:v>sportturf</x:v>
      </x:c>
      <x:c r="AU319" t="str">
        <x:f>_xlfn.XLOOKUP($A319,Games!$A$2:$A$18,Games!$P$2:$P$18,"Missing game",0)</x:f>
      </x:c>
      <x:c r="AV319" t="str">
        <x:f>_xlfn.XLOOKUP($A319,Games!$A$2:$A$18,Games!$Q$2:$Q$18,"Missing game",0)</x:f>
      </x:c>
      <x:c r="AW319" t="str">
        <x:f>_xlfn.XLOOKUP($A319,Games!$A$2:$A$18,Games!$R$2:$R$18,"Missing game",0)</x:f>
        <x:v>U.S. Bank Stadium</x:v>
      </x:c>
    </x:row>
    <x:row r="320">
      <x:c r="A320" t="str">
        <x:v>2025_02_ATL_MIN</x:v>
      </x:c>
      <x:c r="B320" t="n">
        <x:v>3521</x:v>
      </x:c>
      <x:c r="C320" t="n">
        <x:v>4</x:v>
      </x:c>
      <x:c r="D320" t="str">
        <x:v>04:08</x:v>
      </x:c>
      <x:c r="E320" t="n">
        <x:v>4</x:v>
      </x:c>
      <x:c r="F320" t="n">
        <x:v>1</x:v>
      </x:c>
      <x:c r="G320" t="str">
        <x:v>ATL</x:v>
      </x:c>
      <x:c r="H320" t="str">
        <x:v>MIN</x:v>
      </x:c>
      <x:c r="I320" t="str">
        <x:v>MIN</x:v>
      </x:c>
      <x:c r="J320" t="n">
        <x:v>11</x:v>
      </x:c>
      <x:c r="K320" t="str">
        <x:v>(4:08) (Run formation) PENALTY on MIN-61-J.Redmond, Neutral Zone Infraction, 5 yards, enforced at MIN 11 - No Play.</x:v>
      </x:c>
      <x:c r="L320" t="str">
        <x:v>no_play</x:v>
      </x:c>
      <x:c r="M320" t="n">
        <x:v>0</x:v>
      </x:c>
      <x:c r="N320" t="n">
        <x:v>0</x:v>
      </x:c>
      <x:c r="O320" t="n">
        <x:v>0</x:v>
      </x:c>
      <x:c r="P320"/>
      <x:c r="Q320"/>
      <x:c r="R320"/>
      <x:c r="S320"/>
      <x:c r="T320"/>
      <x:c r="U320"/>
      <x:c r="V320" t="n">
        <x:v>0</x:v>
      </x:c>
      <x:c r="W320" t="n">
        <x:v>1</x:v>
      </x:c>
      <x:c r="X320" t="n">
        <x:v>0</x:v>
      </x:c>
      <x:c r="Y320" t="n">
        <x:v>0</x:v>
      </x:c>
      <x:c r="Z320" t="n">
        <x:v>0</x:v>
      </x:c>
      <x:c r="AA320" t="n">
        <x:v>1</x:v>
      </x:c>
      <x:c r="AB320" t="n">
        <x:v>5</x:v>
      </x:c>
      <x:c r="AC320" t="n">
        <x:v>0</x:v>
      </x:c>
      <x:c r="AD320" t="n">
        <x:v>2.4108041537110694</x:v>
      </x:c>
      <x:c r="AE320" t="n">
        <x:v>1</x:v>
      </x:c>
      <x:c r="AF320" t="n">
        <x:v>0.010279595851898193</x:v>
      </x:c>
      <x:c r="AG320" t="n">
        <x:f>_xlfn.XLOOKUP($A320,Games!$A$2:$A$18,Games!$B$2:$B$18,"Missing game",0)</x:f>
        <x:v>2025</x:v>
      </x:c>
      <x:c r="AH320" t="str">
        <x:f>_xlfn.XLOOKUP($A320,Games!$A$2:$A$18,Games!$C$2:$C$18,"Missing game",0)</x:f>
        <x:v>REG</x:v>
      </x:c>
      <x:c r="AI320" t="n">
        <x:f>_xlfn.XLOOKUP($A320,Games!$A$2:$A$18,Games!$D$2:$D$18,"Missing game",0)</x:f>
        <x:v>2</x:v>
      </x:c>
      <x:c r="AJ320" s="1" t="n">
        <x:f>_xlfn.XLOOKUP($A320,Games!$A$2:$A$18,Games!$E$2:$E$18,"Missing game",0)</x:f>
        <x:v>45914</x:v>
      </x:c>
      <x:c r="AK320" t="str">
        <x:f>_xlfn.XLOOKUP($A320,Games!$A$2:$A$18,Games!$F$2:$F$18,"Missing game",0)</x:f>
        <x:v>Sunday</x:v>
      </x:c>
      <x:c r="AL320" t="str">
        <x:f>_xlfn.XLOOKUP($A320,Games!$A$2:$A$18,Games!$G$2:$G$18,"Missing game",0)</x:f>
        <x:v>ATL</x:v>
      </x:c>
      <x:c r="AM320" t="n">
        <x:f>_xlfn.XLOOKUP($A320,Games!$A$2:$A$18,Games!$H$2:$H$18,"Missing game",0)</x:f>
        <x:v>22</x:v>
      </x:c>
      <x:c r="AN320" t="str">
        <x:f>_xlfn.XLOOKUP($A320,Games!$A$2:$A$18,Games!$I$2:$I$18,"Missing game",0)</x:f>
        <x:v>MIN</x:v>
      </x:c>
      <x:c r="AO320" t="n">
        <x:f>_xlfn.XLOOKUP($A320,Games!$A$2:$A$18,Games!$J$2:$J$18,"Missing game",0)</x:f>
        <x:v>6</x:v>
      </x:c>
      <x:c r="AP320" t="n">
        <x:f>_xlfn.XLOOKUP($A320,Games!$A$2:$A$18,Games!$K$2:$K$18,"Missing game",0)</x:f>
        <x:v>-16</x:v>
      </x:c>
      <x:c r="AQ320" t="n">
        <x:f>_xlfn.XLOOKUP($A320,Games!$A$2:$A$18,Games!$L$2:$L$18,"Missing game",0)</x:f>
        <x:v>28</x:v>
      </x:c>
      <x:c r="AR320" t="n">
        <x:f>_xlfn.XLOOKUP($A320,Games!$A$2:$A$18,Games!$M$2:$M$18,"Missing game",0)</x:f>
        <x:v>0</x:v>
      </x:c>
      <x:c r="AS320" t="str">
        <x:f>_xlfn.XLOOKUP($A320,Games!$A$2:$A$18,Games!$N$2:$N$18,"Missing game",0)</x:f>
        <x:v>dome</x:v>
      </x:c>
      <x:c r="AT320" t="str">
        <x:f>_xlfn.XLOOKUP($A320,Games!$A$2:$A$18,Games!$O$2:$O$18,"Missing game",0)</x:f>
        <x:v>sportturf</x:v>
      </x:c>
      <x:c r="AU320" t="str">
        <x:f>_xlfn.XLOOKUP($A320,Games!$A$2:$A$18,Games!$P$2:$P$18,"Missing game",0)</x:f>
      </x:c>
      <x:c r="AV320" t="str">
        <x:f>_xlfn.XLOOKUP($A320,Games!$A$2:$A$18,Games!$Q$2:$Q$18,"Missing game",0)</x:f>
      </x:c>
      <x:c r="AW320" t="str">
        <x:f>_xlfn.XLOOKUP($A320,Games!$A$2:$A$18,Games!$R$2:$R$18,"Missing game",0)</x:f>
        <x:v>U.S. Bank Stadium</x:v>
      </x:c>
    </x:row>
    <x:row r="321">
      <x:c r="A321" t="str">
        <x:v>2025_02_ATL_MIN</x:v>
      </x:c>
      <x:c r="B321" t="n">
        <x:v>3533</x:v>
      </x:c>
      <x:c r="C321" t="n">
        <x:v>4</x:v>
      </x:c>
      <x:c r="D321" t="str">
        <x:v>04:08</x:v>
      </x:c>
      <x:c r="E321"/>
      <x:c r="F321" t="n">
        <x:v>0</x:v>
      </x:c>
      <x:c r="G321"/>
      <x:c r="H321"/>
      <x:c r="I321"/>
      <x:c r="J321"/>
      <x:c r="K321" t="str">
        <x:v>Timeout #3 by MIN at 04:08.</x:v>
      </x:c>
      <x:c r="L321" t="str">
        <x:v>no_play</x:v>
      </x:c>
      <x:c r="M321" t="n">
        <x:v>0</x:v>
      </x:c>
      <x:c r="N321" t="n">
        <x:v>0</x:v>
      </x:c>
      <x:c r="O321" t="n">
        <x:v>0</x:v>
      </x:c>
      <x:c r="P321"/>
      <x:c r="Q321"/>
      <x:c r="R321"/>
      <x:c r="S321"/>
      <x:c r="T321"/>
      <x:c r="U321"/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/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f>_xlfn.XLOOKUP($A321,Games!$A$2:$A$18,Games!$B$2:$B$18,"Missing game",0)</x:f>
        <x:v>2025</x:v>
      </x:c>
      <x:c r="AH321" t="str">
        <x:f>_xlfn.XLOOKUP($A321,Games!$A$2:$A$18,Games!$C$2:$C$18,"Missing game",0)</x:f>
        <x:v>REG</x:v>
      </x:c>
      <x:c r="AI321" t="n">
        <x:f>_xlfn.XLOOKUP($A321,Games!$A$2:$A$18,Games!$D$2:$D$18,"Missing game",0)</x:f>
        <x:v>2</x:v>
      </x:c>
      <x:c r="AJ321" s="1" t="n">
        <x:f>_xlfn.XLOOKUP($A321,Games!$A$2:$A$18,Games!$E$2:$E$18,"Missing game",0)</x:f>
        <x:v>45914</x:v>
      </x:c>
      <x:c r="AK321" t="str">
        <x:f>_xlfn.XLOOKUP($A321,Games!$A$2:$A$18,Games!$F$2:$F$18,"Missing game",0)</x:f>
        <x:v>Sunday</x:v>
      </x:c>
      <x:c r="AL321" t="str">
        <x:f>_xlfn.XLOOKUP($A321,Games!$A$2:$A$18,Games!$G$2:$G$18,"Missing game",0)</x:f>
        <x:v>ATL</x:v>
      </x:c>
      <x:c r="AM321" t="n">
        <x:f>_xlfn.XLOOKUP($A321,Games!$A$2:$A$18,Games!$H$2:$H$18,"Missing game",0)</x:f>
        <x:v>22</x:v>
      </x:c>
      <x:c r="AN321" t="str">
        <x:f>_xlfn.XLOOKUP($A321,Games!$A$2:$A$18,Games!$I$2:$I$18,"Missing game",0)</x:f>
        <x:v>MIN</x:v>
      </x:c>
      <x:c r="AO321" t="n">
        <x:f>_xlfn.XLOOKUP($A321,Games!$A$2:$A$18,Games!$J$2:$J$18,"Missing game",0)</x:f>
        <x:v>6</x:v>
      </x:c>
      <x:c r="AP321" t="n">
        <x:f>_xlfn.XLOOKUP($A321,Games!$A$2:$A$18,Games!$K$2:$K$18,"Missing game",0)</x:f>
        <x:v>-16</x:v>
      </x:c>
      <x:c r="AQ321" t="n">
        <x:f>_xlfn.XLOOKUP($A321,Games!$A$2:$A$18,Games!$L$2:$L$18,"Missing game",0)</x:f>
        <x:v>28</x:v>
      </x:c>
      <x:c r="AR321" t="n">
        <x:f>_xlfn.XLOOKUP($A321,Games!$A$2:$A$18,Games!$M$2:$M$18,"Missing game",0)</x:f>
        <x:v>0</x:v>
      </x:c>
      <x:c r="AS321" t="str">
        <x:f>_xlfn.XLOOKUP($A321,Games!$A$2:$A$18,Games!$N$2:$N$18,"Missing game",0)</x:f>
        <x:v>dome</x:v>
      </x:c>
      <x:c r="AT321" t="str">
        <x:f>_xlfn.XLOOKUP($A321,Games!$A$2:$A$18,Games!$O$2:$O$18,"Missing game",0)</x:f>
        <x:v>sportturf</x:v>
      </x:c>
      <x:c r="AU321" t="str">
        <x:f>_xlfn.XLOOKUP($A321,Games!$A$2:$A$18,Games!$P$2:$P$18,"Missing game",0)</x:f>
      </x:c>
      <x:c r="AV321" t="str">
        <x:f>_xlfn.XLOOKUP($A321,Games!$A$2:$A$18,Games!$Q$2:$Q$18,"Missing game",0)</x:f>
      </x:c>
      <x:c r="AW321" t="str">
        <x:f>_xlfn.XLOOKUP($A321,Games!$A$2:$A$18,Games!$R$2:$R$18,"Missing game",0)</x:f>
        <x:v>U.S. Bank Stadium</x:v>
      </x:c>
    </x:row>
    <x:row r="322">
      <x:c r="A322" t="str">
        <x:v>2025_02_ATL_MIN</x:v>
      </x:c>
      <x:c r="B322" t="n">
        <x:v>3552</x:v>
      </x:c>
      <x:c r="C322" t="n">
        <x:v>4</x:v>
      </x:c>
      <x:c r="D322" t="str">
        <x:v>04:08</x:v>
      </x:c>
      <x:c r="E322" t="n">
        <x:v>1</x:v>
      </x:c>
      <x:c r="F322" t="n">
        <x:v>6</x:v>
      </x:c>
      <x:c r="G322" t="str">
        <x:v>ATL</x:v>
      </x:c>
      <x:c r="H322" t="str">
        <x:v>MIN</x:v>
      </x:c>
      <x:c r="I322" t="str">
        <x:v>MIN</x:v>
      </x:c>
      <x:c r="J322" t="n">
        <x:v>6</x:v>
      </x:c>
      <x:c r="K322" t="str">
        <x:v>(4:08) 25-T.Allgeier left tackle to MIN 5 for 1 yard (0-I.Pace).</x:v>
      </x:c>
      <x:c r="L322" t="str">
        <x:v>run</x:v>
      </x:c>
      <x:c r="M322" t="n">
        <x:v>1</x:v>
      </x:c>
      <x:c r="N322" t="n">
        <x:v>0</x:v>
      </x:c>
      <x:c r="O322" t="n">
        <x:v>0</x:v>
      </x:c>
      <x:c r="P322"/>
      <x:c r="Q322"/>
      <x:c r="R322"/>
      <x:c r="S322"/>
      <x:c r="T322" t="str">
        <x:v>left</x:v>
      </x:c>
      <x:c r="U322" t="str">
        <x:v>tackle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/>
      <x:c r="AC322" t="n">
        <x:v>0</x:v>
      </x:c>
      <x:c r="AD322" t="n">
        <x:v>-0.38930878759128973</x:v>
      </x:c>
      <x:c r="AE322" t="n">
        <x:v>0</x:v>
      </x:c>
      <x:c r="AF322" t="n">
        <x:v>-0.0030527114868164062</x:v>
      </x:c>
      <x:c r="AG322" t="n">
        <x:f>_xlfn.XLOOKUP($A322,Games!$A$2:$A$18,Games!$B$2:$B$18,"Missing game",0)</x:f>
        <x:v>2025</x:v>
      </x:c>
      <x:c r="AH322" t="str">
        <x:f>_xlfn.XLOOKUP($A322,Games!$A$2:$A$18,Games!$C$2:$C$18,"Missing game",0)</x:f>
        <x:v>REG</x:v>
      </x:c>
      <x:c r="AI322" t="n">
        <x:f>_xlfn.XLOOKUP($A322,Games!$A$2:$A$18,Games!$D$2:$D$18,"Missing game",0)</x:f>
        <x:v>2</x:v>
      </x:c>
      <x:c r="AJ322" s="1" t="n">
        <x:f>_xlfn.XLOOKUP($A322,Games!$A$2:$A$18,Games!$E$2:$E$18,"Missing game",0)</x:f>
        <x:v>45914</x:v>
      </x:c>
      <x:c r="AK322" t="str">
        <x:f>_xlfn.XLOOKUP($A322,Games!$A$2:$A$18,Games!$F$2:$F$18,"Missing game",0)</x:f>
        <x:v>Sunday</x:v>
      </x:c>
      <x:c r="AL322" t="str">
        <x:f>_xlfn.XLOOKUP($A322,Games!$A$2:$A$18,Games!$G$2:$G$18,"Missing game",0)</x:f>
        <x:v>ATL</x:v>
      </x:c>
      <x:c r="AM322" t="n">
        <x:f>_xlfn.XLOOKUP($A322,Games!$A$2:$A$18,Games!$H$2:$H$18,"Missing game",0)</x:f>
        <x:v>22</x:v>
      </x:c>
      <x:c r="AN322" t="str">
        <x:f>_xlfn.XLOOKUP($A322,Games!$A$2:$A$18,Games!$I$2:$I$18,"Missing game",0)</x:f>
        <x:v>MIN</x:v>
      </x:c>
      <x:c r="AO322" t="n">
        <x:f>_xlfn.XLOOKUP($A322,Games!$A$2:$A$18,Games!$J$2:$J$18,"Missing game",0)</x:f>
        <x:v>6</x:v>
      </x:c>
      <x:c r="AP322" t="n">
        <x:f>_xlfn.XLOOKUP($A322,Games!$A$2:$A$18,Games!$K$2:$K$18,"Missing game",0)</x:f>
        <x:v>-16</x:v>
      </x:c>
      <x:c r="AQ322" t="n">
        <x:f>_xlfn.XLOOKUP($A322,Games!$A$2:$A$18,Games!$L$2:$L$18,"Missing game",0)</x:f>
        <x:v>28</x:v>
      </x:c>
      <x:c r="AR322" t="n">
        <x:f>_xlfn.XLOOKUP($A322,Games!$A$2:$A$18,Games!$M$2:$M$18,"Missing game",0)</x:f>
        <x:v>0</x:v>
      </x:c>
      <x:c r="AS322" t="str">
        <x:f>_xlfn.XLOOKUP($A322,Games!$A$2:$A$18,Games!$N$2:$N$18,"Missing game",0)</x:f>
        <x:v>dome</x:v>
      </x:c>
      <x:c r="AT322" t="str">
        <x:f>_xlfn.XLOOKUP($A322,Games!$A$2:$A$18,Games!$O$2:$O$18,"Missing game",0)</x:f>
        <x:v>sportturf</x:v>
      </x:c>
      <x:c r="AU322" t="str">
        <x:f>_xlfn.XLOOKUP($A322,Games!$A$2:$A$18,Games!$P$2:$P$18,"Missing game",0)</x:f>
      </x:c>
      <x:c r="AV322" t="str">
        <x:f>_xlfn.XLOOKUP($A322,Games!$A$2:$A$18,Games!$Q$2:$Q$18,"Missing game",0)</x:f>
      </x:c>
      <x:c r="AW322" t="str">
        <x:f>_xlfn.XLOOKUP($A322,Games!$A$2:$A$18,Games!$R$2:$R$18,"Missing game",0)</x:f>
        <x:v>U.S. Bank Stadium</x:v>
      </x:c>
    </x:row>
    <x:row r="323">
      <x:c r="A323" t="str">
        <x:v>2025_02_ATL_MIN</x:v>
      </x:c>
      <x:c r="B323" t="n">
        <x:v>3574</x:v>
      </x:c>
      <x:c r="C323" t="n">
        <x:v>4</x:v>
      </x:c>
      <x:c r="D323" t="str">
        <x:v>03:25</x:v>
      </x:c>
      <x:c r="E323" t="n">
        <x:v>2</x:v>
      </x:c>
      <x:c r="F323" t="n">
        <x:v>5</x:v>
      </x:c>
      <x:c r="G323" t="str">
        <x:v>ATL</x:v>
      </x:c>
      <x:c r="H323" t="str">
        <x:v>MIN</x:v>
      </x:c>
      <x:c r="I323" t="str">
        <x:v>MIN</x:v>
      </x:c>
      <x:c r="J323" t="n">
        <x:v>5</x:v>
      </x:c>
      <x:c r="K323" t="str">
        <x:v>(3:25) 25-T.Allgeier right guard for 5 yards, TOUCHDOWN.</x:v>
      </x:c>
      <x:c r="L323" t="str">
        <x:v>run</x:v>
      </x:c>
      <x:c r="M323" t="n">
        <x:v>5</x:v>
      </x:c>
      <x:c r="N323" t="n">
        <x:v>0</x:v>
      </x:c>
      <x:c r="O323" t="n">
        <x:v>0</x:v>
      </x:c>
      <x:c r="P323"/>
      <x:c r="Q323"/>
      <x:c r="R323"/>
      <x:c r="S323"/>
      <x:c r="T323" t="str">
        <x:v>right</x:v>
      </x:c>
      <x:c r="U323" t="str">
        <x:v>guard</x:v>
      </x:c>
      <x:c r="V323" t="n">
        <x:v>0</x:v>
      </x:c>
      <x:c r="W323" t="n">
        <x:v>1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/>
      <x:c r="AC323" t="n">
        <x:v>1</x:v>
      </x:c>
      <x:c r="AD323" t="n">
        <x:v>1.9319051635684446</x:v>
      </x:c>
      <x:c r="AE323" t="n">
        <x:v>1</x:v>
      </x:c>
      <x:c r="AF323" t="n">
        <x:v>0.019836600030081253</x:v>
      </x:c>
      <x:c r="AG323" t="n">
        <x:f>_xlfn.XLOOKUP($A323,Games!$A$2:$A$18,Games!$B$2:$B$18,"Missing game",0)</x:f>
        <x:v>2025</x:v>
      </x:c>
      <x:c r="AH323" t="str">
        <x:f>_xlfn.XLOOKUP($A323,Games!$A$2:$A$18,Games!$C$2:$C$18,"Missing game",0)</x:f>
        <x:v>REG</x:v>
      </x:c>
      <x:c r="AI323" t="n">
        <x:f>_xlfn.XLOOKUP($A323,Games!$A$2:$A$18,Games!$D$2:$D$18,"Missing game",0)</x:f>
        <x:v>2</x:v>
      </x:c>
      <x:c r="AJ323" s="1" t="n">
        <x:f>_xlfn.XLOOKUP($A323,Games!$A$2:$A$18,Games!$E$2:$E$18,"Missing game",0)</x:f>
        <x:v>45914</x:v>
      </x:c>
      <x:c r="AK323" t="str">
        <x:f>_xlfn.XLOOKUP($A323,Games!$A$2:$A$18,Games!$F$2:$F$18,"Missing game",0)</x:f>
        <x:v>Sunday</x:v>
      </x:c>
      <x:c r="AL323" t="str">
        <x:f>_xlfn.XLOOKUP($A323,Games!$A$2:$A$18,Games!$G$2:$G$18,"Missing game",0)</x:f>
        <x:v>ATL</x:v>
      </x:c>
      <x:c r="AM323" t="n">
        <x:f>_xlfn.XLOOKUP($A323,Games!$A$2:$A$18,Games!$H$2:$H$18,"Missing game",0)</x:f>
        <x:v>22</x:v>
      </x:c>
      <x:c r="AN323" t="str">
        <x:f>_xlfn.XLOOKUP($A323,Games!$A$2:$A$18,Games!$I$2:$I$18,"Missing game",0)</x:f>
        <x:v>MIN</x:v>
      </x:c>
      <x:c r="AO323" t="n">
        <x:f>_xlfn.XLOOKUP($A323,Games!$A$2:$A$18,Games!$J$2:$J$18,"Missing game",0)</x:f>
        <x:v>6</x:v>
      </x:c>
      <x:c r="AP323" t="n">
        <x:f>_xlfn.XLOOKUP($A323,Games!$A$2:$A$18,Games!$K$2:$K$18,"Missing game",0)</x:f>
        <x:v>-16</x:v>
      </x:c>
      <x:c r="AQ323" t="n">
        <x:f>_xlfn.XLOOKUP($A323,Games!$A$2:$A$18,Games!$L$2:$L$18,"Missing game",0)</x:f>
        <x:v>28</x:v>
      </x:c>
      <x:c r="AR323" t="n">
        <x:f>_xlfn.XLOOKUP($A323,Games!$A$2:$A$18,Games!$M$2:$M$18,"Missing game",0)</x:f>
        <x:v>0</x:v>
      </x:c>
      <x:c r="AS323" t="str">
        <x:f>_xlfn.XLOOKUP($A323,Games!$A$2:$A$18,Games!$N$2:$N$18,"Missing game",0)</x:f>
        <x:v>dome</x:v>
      </x:c>
      <x:c r="AT323" t="str">
        <x:f>_xlfn.XLOOKUP($A323,Games!$A$2:$A$18,Games!$O$2:$O$18,"Missing game",0)</x:f>
        <x:v>sportturf</x:v>
      </x:c>
      <x:c r="AU323" t="str">
        <x:f>_xlfn.XLOOKUP($A323,Games!$A$2:$A$18,Games!$P$2:$P$18,"Missing game",0)</x:f>
      </x:c>
      <x:c r="AV323" t="str">
        <x:f>_xlfn.XLOOKUP($A323,Games!$A$2:$A$18,Games!$Q$2:$Q$18,"Missing game",0)</x:f>
      </x:c>
      <x:c r="AW323" t="str">
        <x:f>_xlfn.XLOOKUP($A323,Games!$A$2:$A$18,Games!$R$2:$R$18,"Missing game",0)</x:f>
        <x:v>U.S. Bank Stadium</x:v>
      </x:c>
    </x:row>
    <x:row r="324">
      <x:c r="A324" t="str">
        <x:v>2025_02_ATL_MIN</x:v>
      </x:c>
      <x:c r="B324" t="n">
        <x:v>3597</x:v>
      </x:c>
      <x:c r="C324" t="n">
        <x:v>4</x:v>
      </x:c>
      <x:c r="D324" t="str">
        <x:v>03:22</x:v>
      </x:c>
      <x:c r="E324"/>
      <x:c r="F324" t="n">
        <x:v>0</x:v>
      </x:c>
      <x:c r="G324" t="str">
        <x:v>ATL</x:v>
      </x:c>
      <x:c r="H324" t="str">
        <x:v>MIN</x:v>
      </x:c>
      <x:c r="I324" t="str">
        <x:v>MIN</x:v>
      </x:c>
      <x:c r="J324" t="n">
        <x:v>15</x:v>
      </x:c>
      <x:c r="K324" t="str">
        <x:v>39-J.Romo extra point is GOOD, Center-49-L.McCullough, Holder-13-B.Pinion.</x:v>
      </x:c>
      <x:c r="L324" t="str">
        <x:v>extra_point</x:v>
      </x:c>
      <x:c r="M324" t="n">
        <x:v>0</x:v>
      </x:c>
      <x:c r="N324" t="n">
        <x:v>0</x:v>
      </x:c>
      <x:c r="O324" t="n">
        <x:v>0</x:v>
      </x:c>
      <x:c r="P324"/>
      <x:c r="Q324"/>
      <x:c r="R324"/>
      <x:c r="S324"/>
      <x:c r="T324"/>
      <x:c r="U324"/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/>
      <x:c r="AC324" t="n">
        <x:v>0</x:v>
      </x:c>
      <x:c r="AD324" t="n">
        <x:v>0.05117156607063911</x:v>
      </x:c>
      <x:c r="AE324" t="n">
        <x:v>1</x:v>
      </x:c>
      <x:c r="AF324" t="n">
        <x:v>0.00014192997640194438</x:v>
      </x:c>
      <x:c r="AG324" t="n">
        <x:f>_xlfn.XLOOKUP($A324,Games!$A$2:$A$18,Games!$B$2:$B$18,"Missing game",0)</x:f>
        <x:v>2025</x:v>
      </x:c>
      <x:c r="AH324" t="str">
        <x:f>_xlfn.XLOOKUP($A324,Games!$A$2:$A$18,Games!$C$2:$C$18,"Missing game",0)</x:f>
        <x:v>REG</x:v>
      </x:c>
      <x:c r="AI324" t="n">
        <x:f>_xlfn.XLOOKUP($A324,Games!$A$2:$A$18,Games!$D$2:$D$18,"Missing game",0)</x:f>
        <x:v>2</x:v>
      </x:c>
      <x:c r="AJ324" s="1" t="n">
        <x:f>_xlfn.XLOOKUP($A324,Games!$A$2:$A$18,Games!$E$2:$E$18,"Missing game",0)</x:f>
        <x:v>45914</x:v>
      </x:c>
      <x:c r="AK324" t="str">
        <x:f>_xlfn.XLOOKUP($A324,Games!$A$2:$A$18,Games!$F$2:$F$18,"Missing game",0)</x:f>
        <x:v>Sunday</x:v>
      </x:c>
      <x:c r="AL324" t="str">
        <x:f>_xlfn.XLOOKUP($A324,Games!$A$2:$A$18,Games!$G$2:$G$18,"Missing game",0)</x:f>
        <x:v>ATL</x:v>
      </x:c>
      <x:c r="AM324" t="n">
        <x:f>_xlfn.XLOOKUP($A324,Games!$A$2:$A$18,Games!$H$2:$H$18,"Missing game",0)</x:f>
        <x:v>22</x:v>
      </x:c>
      <x:c r="AN324" t="str">
        <x:f>_xlfn.XLOOKUP($A324,Games!$A$2:$A$18,Games!$I$2:$I$18,"Missing game",0)</x:f>
        <x:v>MIN</x:v>
      </x:c>
      <x:c r="AO324" t="n">
        <x:f>_xlfn.XLOOKUP($A324,Games!$A$2:$A$18,Games!$J$2:$J$18,"Missing game",0)</x:f>
        <x:v>6</x:v>
      </x:c>
      <x:c r="AP324" t="n">
        <x:f>_xlfn.XLOOKUP($A324,Games!$A$2:$A$18,Games!$K$2:$K$18,"Missing game",0)</x:f>
        <x:v>-16</x:v>
      </x:c>
      <x:c r="AQ324" t="n">
        <x:f>_xlfn.XLOOKUP($A324,Games!$A$2:$A$18,Games!$L$2:$L$18,"Missing game",0)</x:f>
        <x:v>28</x:v>
      </x:c>
      <x:c r="AR324" t="n">
        <x:f>_xlfn.XLOOKUP($A324,Games!$A$2:$A$18,Games!$M$2:$M$18,"Missing game",0)</x:f>
        <x:v>0</x:v>
      </x:c>
      <x:c r="AS324" t="str">
        <x:f>_xlfn.XLOOKUP($A324,Games!$A$2:$A$18,Games!$N$2:$N$18,"Missing game",0)</x:f>
        <x:v>dome</x:v>
      </x:c>
      <x:c r="AT324" t="str">
        <x:f>_xlfn.XLOOKUP($A324,Games!$A$2:$A$18,Games!$O$2:$O$18,"Missing game",0)</x:f>
        <x:v>sportturf</x:v>
      </x:c>
      <x:c r="AU324" t="str">
        <x:f>_xlfn.XLOOKUP($A324,Games!$A$2:$A$18,Games!$P$2:$P$18,"Missing game",0)</x:f>
      </x:c>
      <x:c r="AV324" t="str">
        <x:f>_xlfn.XLOOKUP($A324,Games!$A$2:$A$18,Games!$Q$2:$Q$18,"Missing game",0)</x:f>
      </x:c>
      <x:c r="AW324" t="str">
        <x:f>_xlfn.XLOOKUP($A324,Games!$A$2:$A$18,Games!$R$2:$R$18,"Missing game",0)</x:f>
        <x:v>U.S. Bank Stadium</x:v>
      </x:c>
    </x:row>
    <x:row r="325">
      <x:c r="A325" t="str">
        <x:v>2025_02_ATL_MIN</x:v>
      </x:c>
      <x:c r="B325" t="n">
        <x:v>3612</x:v>
      </x:c>
      <x:c r="C325" t="n">
        <x:v>4</x:v>
      </x:c>
      <x:c r="D325" t="str">
        <x:v>03:22</x:v>
      </x:c>
      <x:c r="E325"/>
      <x:c r="F325" t="n">
        <x:v>0</x:v>
      </x:c>
      <x:c r="G325" t="str">
        <x:v>MIN</x:v>
      </x:c>
      <x:c r="H325" t="str">
        <x:v>ATL</x:v>
      </x:c>
      <x:c r="I325" t="str">
        <x:v>ATL</x:v>
      </x:c>
      <x:c r="J325" t="n">
        <x:v>35</x:v>
      </x:c>
      <x:c r="K325" t="str">
        <x:v>13-B.Pinion kicks 65 yards from ATL 35 to end zone, Touchback to the MIN 35. PENALTY on MIN-85-B.Yurosek, Illegal Formation, 5 yards, enforced at MIN 35.</x:v>
      </x:c>
      <x:c r="L325" t="str">
        <x:v>kickoff</x:v>
      </x:c>
      <x:c r="M325" t="n">
        <x:v>0</x:v>
      </x:c>
      <x:c r="N325" t="n">
        <x:v>0</x:v>
      </x:c>
      <x:c r="O325" t="n">
        <x:v>0</x:v>
      </x:c>
      <x:c r="P325"/>
      <x:c r="Q325"/>
      <x:c r="R325"/>
      <x:c r="S325"/>
      <x:c r="T325"/>
      <x:c r="U325"/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1</x:v>
      </x:c>
      <x:c r="AB325" t="n">
        <x:v>5</x:v>
      </x:c>
      <x:c r="AC325" t="n">
        <x:v>0</x:v>
      </x:c>
      <x:c r="AD325" t="n">
        <x:v>0.289625845849514</x:v>
      </x:c>
      <x:c r="AE325" t="n">
        <x:v>1</x:v>
      </x:c>
      <x:c r="AF325" t="n">
        <x:v>-0.000005662906914949417</x:v>
      </x:c>
      <x:c r="AG325" t="n">
        <x:f>_xlfn.XLOOKUP($A325,Games!$A$2:$A$18,Games!$B$2:$B$18,"Missing game",0)</x:f>
        <x:v>2025</x:v>
      </x:c>
      <x:c r="AH325" t="str">
        <x:f>_xlfn.XLOOKUP($A325,Games!$A$2:$A$18,Games!$C$2:$C$18,"Missing game",0)</x:f>
        <x:v>REG</x:v>
      </x:c>
      <x:c r="AI325" t="n">
        <x:f>_xlfn.XLOOKUP($A325,Games!$A$2:$A$18,Games!$D$2:$D$18,"Missing game",0)</x:f>
        <x:v>2</x:v>
      </x:c>
      <x:c r="AJ325" s="1" t="n">
        <x:f>_xlfn.XLOOKUP($A325,Games!$A$2:$A$18,Games!$E$2:$E$18,"Missing game",0)</x:f>
        <x:v>45914</x:v>
      </x:c>
      <x:c r="AK325" t="str">
        <x:f>_xlfn.XLOOKUP($A325,Games!$A$2:$A$18,Games!$F$2:$F$18,"Missing game",0)</x:f>
        <x:v>Sunday</x:v>
      </x:c>
      <x:c r="AL325" t="str">
        <x:f>_xlfn.XLOOKUP($A325,Games!$A$2:$A$18,Games!$G$2:$G$18,"Missing game",0)</x:f>
        <x:v>ATL</x:v>
      </x:c>
      <x:c r="AM325" t="n">
        <x:f>_xlfn.XLOOKUP($A325,Games!$A$2:$A$18,Games!$H$2:$H$18,"Missing game",0)</x:f>
        <x:v>22</x:v>
      </x:c>
      <x:c r="AN325" t="str">
        <x:f>_xlfn.XLOOKUP($A325,Games!$A$2:$A$18,Games!$I$2:$I$18,"Missing game",0)</x:f>
        <x:v>MIN</x:v>
      </x:c>
      <x:c r="AO325" t="n">
        <x:f>_xlfn.XLOOKUP($A325,Games!$A$2:$A$18,Games!$J$2:$J$18,"Missing game",0)</x:f>
        <x:v>6</x:v>
      </x:c>
      <x:c r="AP325" t="n">
        <x:f>_xlfn.XLOOKUP($A325,Games!$A$2:$A$18,Games!$K$2:$K$18,"Missing game",0)</x:f>
        <x:v>-16</x:v>
      </x:c>
      <x:c r="AQ325" t="n">
        <x:f>_xlfn.XLOOKUP($A325,Games!$A$2:$A$18,Games!$L$2:$L$18,"Missing game",0)</x:f>
        <x:v>28</x:v>
      </x:c>
      <x:c r="AR325" t="n">
        <x:f>_xlfn.XLOOKUP($A325,Games!$A$2:$A$18,Games!$M$2:$M$18,"Missing game",0)</x:f>
        <x:v>0</x:v>
      </x:c>
      <x:c r="AS325" t="str">
        <x:f>_xlfn.XLOOKUP($A325,Games!$A$2:$A$18,Games!$N$2:$N$18,"Missing game",0)</x:f>
        <x:v>dome</x:v>
      </x:c>
      <x:c r="AT325" t="str">
        <x:f>_xlfn.XLOOKUP($A325,Games!$A$2:$A$18,Games!$O$2:$O$18,"Missing game",0)</x:f>
        <x:v>sportturf</x:v>
      </x:c>
      <x:c r="AU325" t="str">
        <x:f>_xlfn.XLOOKUP($A325,Games!$A$2:$A$18,Games!$P$2:$P$18,"Missing game",0)</x:f>
      </x:c>
      <x:c r="AV325" t="str">
        <x:f>_xlfn.XLOOKUP($A325,Games!$A$2:$A$18,Games!$Q$2:$Q$18,"Missing game",0)</x:f>
      </x:c>
      <x:c r="AW325" t="str">
        <x:f>_xlfn.XLOOKUP($A325,Games!$A$2:$A$18,Games!$R$2:$R$18,"Missing game",0)</x:f>
        <x:v>U.S. Bank Stadium</x:v>
      </x:c>
    </x:row>
    <x:row r="326">
      <x:c r="A326" t="str">
        <x:v>2025_02_ATL_MIN</x:v>
      </x:c>
      <x:c r="B326" t="n">
        <x:v>3636</x:v>
      </x:c>
      <x:c r="C326" t="n">
        <x:v>4</x:v>
      </x:c>
      <x:c r="D326" t="str">
        <x:v>03:22</x:v>
      </x:c>
      <x:c r="E326" t="n">
        <x:v>1</x:v>
      </x:c>
      <x:c r="F326" t="n">
        <x:v>10</x:v>
      </x:c>
      <x:c r="G326" t="str">
        <x:v>MIN</x:v>
      </x:c>
      <x:c r="H326" t="str">
        <x:v>ATL</x:v>
      </x:c>
      <x:c r="I326" t="str">
        <x:v>MIN</x:v>
      </x:c>
      <x:c r="J326" t="n">
        <x:v>70</x:v>
      </x:c>
      <x:c r="K326" t="str">
        <x:v>(3:22) (Shotgun) 9-J.McCarthy pass incomplete short left to 27-J.Mason [56-L.Floyd].</x:v>
      </x:c>
      <x:c r="L326" t="str">
        <x:v>pass</x:v>
      </x:c>
      <x:c r="M326" t="n">
        <x:v>0</x:v>
      </x:c>
      <x:c r="N326" t="n">
        <x:v>1</x:v>
      </x:c>
      <x:c r="O326" t="n">
        <x:v>0</x:v>
      </x:c>
      <x:c r="P326" t="str">
        <x:v>short</x:v>
      </x:c>
      <x:c r="Q326" t="str">
        <x:v>left</x:v>
      </x:c>
      <x:c r="R326" t="n">
        <x:v>1</x:v>
      </x:c>
      <x:c r="S326"/>
      <x:c r="T326"/>
      <x:c r="U326"/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/>
      <x:c r="AC326" t="n">
        <x:v>0</x:v>
      </x:c>
      <x:c r="AD326" t="n">
        <x:v>-0.43964305974077433</x:v>
      </x:c>
      <x:c r="AE326" t="n">
        <x:v>0</x:v>
      </x:c>
      <x:c r="AF326" t="n">
        <x:v>-0.0005479385145008564</x:v>
      </x:c>
      <x:c r="AG326" t="n">
        <x:f>_xlfn.XLOOKUP($A326,Games!$A$2:$A$18,Games!$B$2:$B$18,"Missing game",0)</x:f>
        <x:v>2025</x:v>
      </x:c>
      <x:c r="AH326" t="str">
        <x:f>_xlfn.XLOOKUP($A326,Games!$A$2:$A$18,Games!$C$2:$C$18,"Missing game",0)</x:f>
        <x:v>REG</x:v>
      </x:c>
      <x:c r="AI326" t="n">
        <x:f>_xlfn.XLOOKUP($A326,Games!$A$2:$A$18,Games!$D$2:$D$18,"Missing game",0)</x:f>
        <x:v>2</x:v>
      </x:c>
      <x:c r="AJ326" s="1" t="n">
        <x:f>_xlfn.XLOOKUP($A326,Games!$A$2:$A$18,Games!$E$2:$E$18,"Missing game",0)</x:f>
        <x:v>45914</x:v>
      </x:c>
      <x:c r="AK326" t="str">
        <x:f>_xlfn.XLOOKUP($A326,Games!$A$2:$A$18,Games!$F$2:$F$18,"Missing game",0)</x:f>
        <x:v>Sunday</x:v>
      </x:c>
      <x:c r="AL326" t="str">
        <x:f>_xlfn.XLOOKUP($A326,Games!$A$2:$A$18,Games!$G$2:$G$18,"Missing game",0)</x:f>
        <x:v>ATL</x:v>
      </x:c>
      <x:c r="AM326" t="n">
        <x:f>_xlfn.XLOOKUP($A326,Games!$A$2:$A$18,Games!$H$2:$H$18,"Missing game",0)</x:f>
        <x:v>22</x:v>
      </x:c>
      <x:c r="AN326" t="str">
        <x:f>_xlfn.XLOOKUP($A326,Games!$A$2:$A$18,Games!$I$2:$I$18,"Missing game",0)</x:f>
        <x:v>MIN</x:v>
      </x:c>
      <x:c r="AO326" t="n">
        <x:f>_xlfn.XLOOKUP($A326,Games!$A$2:$A$18,Games!$J$2:$J$18,"Missing game",0)</x:f>
        <x:v>6</x:v>
      </x:c>
      <x:c r="AP326" t="n">
        <x:f>_xlfn.XLOOKUP($A326,Games!$A$2:$A$18,Games!$K$2:$K$18,"Missing game",0)</x:f>
        <x:v>-16</x:v>
      </x:c>
      <x:c r="AQ326" t="n">
        <x:f>_xlfn.XLOOKUP($A326,Games!$A$2:$A$18,Games!$L$2:$L$18,"Missing game",0)</x:f>
        <x:v>28</x:v>
      </x:c>
      <x:c r="AR326" t="n">
        <x:f>_xlfn.XLOOKUP($A326,Games!$A$2:$A$18,Games!$M$2:$M$18,"Missing game",0)</x:f>
        <x:v>0</x:v>
      </x:c>
      <x:c r="AS326" t="str">
        <x:f>_xlfn.XLOOKUP($A326,Games!$A$2:$A$18,Games!$N$2:$N$18,"Missing game",0)</x:f>
        <x:v>dome</x:v>
      </x:c>
      <x:c r="AT326" t="str">
        <x:f>_xlfn.XLOOKUP($A326,Games!$A$2:$A$18,Games!$O$2:$O$18,"Missing game",0)</x:f>
        <x:v>sportturf</x:v>
      </x:c>
      <x:c r="AU326" t="str">
        <x:f>_xlfn.XLOOKUP($A326,Games!$A$2:$A$18,Games!$P$2:$P$18,"Missing game",0)</x:f>
      </x:c>
      <x:c r="AV326" t="str">
        <x:f>_xlfn.XLOOKUP($A326,Games!$A$2:$A$18,Games!$Q$2:$Q$18,"Missing game",0)</x:f>
      </x:c>
      <x:c r="AW326" t="str">
        <x:f>_xlfn.XLOOKUP($A326,Games!$A$2:$A$18,Games!$R$2:$R$18,"Missing game",0)</x:f>
        <x:v>U.S. Bank Stadium</x:v>
      </x:c>
    </x:row>
    <x:row r="327">
      <x:c r="A327" t="str">
        <x:v>2025_02_ATL_MIN</x:v>
      </x:c>
      <x:c r="B327" t="n">
        <x:v>3671</x:v>
      </x:c>
      <x:c r="C327" t="n">
        <x:v>4</x:v>
      </x:c>
      <x:c r="D327" t="str">
        <x:v>03:18</x:v>
      </x:c>
      <x:c r="E327" t="n">
        <x:v>2</x:v>
      </x:c>
      <x:c r="F327" t="n">
        <x:v>10</x:v>
      </x:c>
      <x:c r="G327" t="str">
        <x:v>MIN</x:v>
      </x:c>
      <x:c r="H327" t="str">
        <x:v>ATL</x:v>
      </x:c>
      <x:c r="I327" t="str">
        <x:v>MIN</x:v>
      </x:c>
      <x:c r="J327" t="n">
        <x:v>70</x:v>
      </x:c>
      <x:c r="K327" t="str">
        <x:v>(3:18) (Shotgun) 9-J.McCarthy pass short right to 87-T.Hockenson ran ob at MIN 42 for 12 yards (21-M.Hughes).</x:v>
      </x:c>
      <x:c r="L327" t="str">
        <x:v>pass</x:v>
      </x:c>
      <x:c r="M327" t="n">
        <x:v>12</x:v>
      </x:c>
      <x:c r="N327" t="n">
        <x:v>1</x:v>
      </x:c>
      <x:c r="O327" t="n">
        <x:v>0</x:v>
      </x:c>
      <x:c r="P327" t="str">
        <x:v>short</x:v>
      </x:c>
      <x:c r="Q327" t="str">
        <x:v>right</x:v>
      </x:c>
      <x:c r="R327" t="n">
        <x:v>6</x:v>
      </x:c>
      <x:c r="S327" t="n">
        <x:v>6</x:v>
      </x:c>
      <x:c r="T327"/>
      <x:c r="U327"/>
      <x:c r="V327" t="n">
        <x:v>1</x:v>
      </x:c>
      <x:c r="W327" t="n">
        <x:v>1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/>
      <x:c r="AC327" t="n">
        <x:v>0</x:v>
      </x:c>
      <x:c r="AD327" t="n">
        <x:v>0.9645194709883071</x:v>
      </x:c>
      <x:c r="AE327" t="n">
        <x:v>1</x:v>
      </x:c>
      <x:c r="AF327" t="n">
        <x:v>0.0005479385145008564</x:v>
      </x:c>
      <x:c r="AG327" t="n">
        <x:f>_xlfn.XLOOKUP($A327,Games!$A$2:$A$18,Games!$B$2:$B$18,"Missing game",0)</x:f>
        <x:v>2025</x:v>
      </x:c>
      <x:c r="AH327" t="str">
        <x:f>_xlfn.XLOOKUP($A327,Games!$A$2:$A$18,Games!$C$2:$C$18,"Missing game",0)</x:f>
        <x:v>REG</x:v>
      </x:c>
      <x:c r="AI327" t="n">
        <x:f>_xlfn.XLOOKUP($A327,Games!$A$2:$A$18,Games!$D$2:$D$18,"Missing game",0)</x:f>
        <x:v>2</x:v>
      </x:c>
      <x:c r="AJ327" s="1" t="n">
        <x:f>_xlfn.XLOOKUP($A327,Games!$A$2:$A$18,Games!$E$2:$E$18,"Missing game",0)</x:f>
        <x:v>45914</x:v>
      </x:c>
      <x:c r="AK327" t="str">
        <x:f>_xlfn.XLOOKUP($A327,Games!$A$2:$A$18,Games!$F$2:$F$18,"Missing game",0)</x:f>
        <x:v>Sunday</x:v>
      </x:c>
      <x:c r="AL327" t="str">
        <x:f>_xlfn.XLOOKUP($A327,Games!$A$2:$A$18,Games!$G$2:$G$18,"Missing game",0)</x:f>
        <x:v>ATL</x:v>
      </x:c>
      <x:c r="AM327" t="n">
        <x:f>_xlfn.XLOOKUP($A327,Games!$A$2:$A$18,Games!$H$2:$H$18,"Missing game",0)</x:f>
        <x:v>22</x:v>
      </x:c>
      <x:c r="AN327" t="str">
        <x:f>_xlfn.XLOOKUP($A327,Games!$A$2:$A$18,Games!$I$2:$I$18,"Missing game",0)</x:f>
        <x:v>MIN</x:v>
      </x:c>
      <x:c r="AO327" t="n">
        <x:f>_xlfn.XLOOKUP($A327,Games!$A$2:$A$18,Games!$J$2:$J$18,"Missing game",0)</x:f>
        <x:v>6</x:v>
      </x:c>
      <x:c r="AP327" t="n">
        <x:f>_xlfn.XLOOKUP($A327,Games!$A$2:$A$18,Games!$K$2:$K$18,"Missing game",0)</x:f>
        <x:v>-16</x:v>
      </x:c>
      <x:c r="AQ327" t="n">
        <x:f>_xlfn.XLOOKUP($A327,Games!$A$2:$A$18,Games!$L$2:$L$18,"Missing game",0)</x:f>
        <x:v>28</x:v>
      </x:c>
      <x:c r="AR327" t="n">
        <x:f>_xlfn.XLOOKUP($A327,Games!$A$2:$A$18,Games!$M$2:$M$18,"Missing game",0)</x:f>
        <x:v>0</x:v>
      </x:c>
      <x:c r="AS327" t="str">
        <x:f>_xlfn.XLOOKUP($A327,Games!$A$2:$A$18,Games!$N$2:$N$18,"Missing game",0)</x:f>
        <x:v>dome</x:v>
      </x:c>
      <x:c r="AT327" t="str">
        <x:f>_xlfn.XLOOKUP($A327,Games!$A$2:$A$18,Games!$O$2:$O$18,"Missing game",0)</x:f>
        <x:v>sportturf</x:v>
      </x:c>
      <x:c r="AU327" t="str">
        <x:f>_xlfn.XLOOKUP($A327,Games!$A$2:$A$18,Games!$P$2:$P$18,"Missing game",0)</x:f>
      </x:c>
      <x:c r="AV327" t="str">
        <x:f>_xlfn.XLOOKUP($A327,Games!$A$2:$A$18,Games!$Q$2:$Q$18,"Missing game",0)</x:f>
      </x:c>
      <x:c r="AW327" t="str">
        <x:f>_xlfn.XLOOKUP($A327,Games!$A$2:$A$18,Games!$R$2:$R$18,"Missing game",0)</x:f>
        <x:v>U.S. Bank Stadium</x:v>
      </x:c>
    </x:row>
    <x:row r="328">
      <x:c r="A328" t="str">
        <x:v>2025_02_ATL_MIN</x:v>
      </x:c>
      <x:c r="B328" t="n">
        <x:v>3701</x:v>
      </x:c>
      <x:c r="C328" t="n">
        <x:v>4</x:v>
      </x:c>
      <x:c r="D328" t="str">
        <x:v>03:10</x:v>
      </x:c>
      <x:c r="E328" t="n">
        <x:v>1</x:v>
      </x:c>
      <x:c r="F328" t="n">
        <x:v>10</x:v>
      </x:c>
      <x:c r="G328" t="str">
        <x:v>MIN</x:v>
      </x:c>
      <x:c r="H328" t="str">
        <x:v>ATL</x:v>
      </x:c>
      <x:c r="I328" t="str">
        <x:v>MIN</x:v>
      </x:c>
      <x:c r="J328" t="n">
        <x:v>58</x:v>
      </x:c>
      <x:c r="K328" t="str">
        <x:v>(3:10) (Shotgun) 9-J.McCarthy pass deep right to 18-J.Jefferson to ATL 36 for 22 yards (20-D.Alford).</x:v>
      </x:c>
      <x:c r="L328" t="str">
        <x:v>pass</x:v>
      </x:c>
      <x:c r="M328" t="n">
        <x:v>22</x:v>
      </x:c>
      <x:c r="N328" t="n">
        <x:v>1</x:v>
      </x:c>
      <x:c r="O328" t="n">
        <x:v>0</x:v>
      </x:c>
      <x:c r="P328" t="str">
        <x:v>deep</x:v>
      </x:c>
      <x:c r="Q328" t="str">
        <x:v>right</x:v>
      </x:c>
      <x:c r="R328" t="n">
        <x:v>18</x:v>
      </x:c>
      <x:c r="S328" t="n">
        <x:v>4</x:v>
      </x:c>
      <x:c r="T328"/>
      <x:c r="U328"/>
      <x:c r="V328" t="n">
        <x:v>1</x:v>
      </x:c>
      <x:c r="W328" t="n">
        <x:v>1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/>
      <x:c r="AC328" t="n">
        <x:v>0</x:v>
      </x:c>
      <x:c r="AD328" t="n">
        <x:v>1.1842930052953307</x:v>
      </x:c>
      <x:c r="AE328" t="n">
        <x:v>1</x:v>
      </x:c>
      <x:c r="AF328" t="n">
        <x:v>-0.000047744251787662506</x:v>
      </x:c>
      <x:c r="AG328" t="n">
        <x:f>_xlfn.XLOOKUP($A328,Games!$A$2:$A$18,Games!$B$2:$B$18,"Missing game",0)</x:f>
        <x:v>2025</x:v>
      </x:c>
      <x:c r="AH328" t="str">
        <x:f>_xlfn.XLOOKUP($A328,Games!$A$2:$A$18,Games!$C$2:$C$18,"Missing game",0)</x:f>
        <x:v>REG</x:v>
      </x:c>
      <x:c r="AI328" t="n">
        <x:f>_xlfn.XLOOKUP($A328,Games!$A$2:$A$18,Games!$D$2:$D$18,"Missing game",0)</x:f>
        <x:v>2</x:v>
      </x:c>
      <x:c r="AJ328" s="1" t="n">
        <x:f>_xlfn.XLOOKUP($A328,Games!$A$2:$A$18,Games!$E$2:$E$18,"Missing game",0)</x:f>
        <x:v>45914</x:v>
      </x:c>
      <x:c r="AK328" t="str">
        <x:f>_xlfn.XLOOKUP($A328,Games!$A$2:$A$18,Games!$F$2:$F$18,"Missing game",0)</x:f>
        <x:v>Sunday</x:v>
      </x:c>
      <x:c r="AL328" t="str">
        <x:f>_xlfn.XLOOKUP($A328,Games!$A$2:$A$18,Games!$G$2:$G$18,"Missing game",0)</x:f>
        <x:v>ATL</x:v>
      </x:c>
      <x:c r="AM328" t="n">
        <x:f>_xlfn.XLOOKUP($A328,Games!$A$2:$A$18,Games!$H$2:$H$18,"Missing game",0)</x:f>
        <x:v>22</x:v>
      </x:c>
      <x:c r="AN328" t="str">
        <x:f>_xlfn.XLOOKUP($A328,Games!$A$2:$A$18,Games!$I$2:$I$18,"Missing game",0)</x:f>
        <x:v>MIN</x:v>
      </x:c>
      <x:c r="AO328" t="n">
        <x:f>_xlfn.XLOOKUP($A328,Games!$A$2:$A$18,Games!$J$2:$J$18,"Missing game",0)</x:f>
        <x:v>6</x:v>
      </x:c>
      <x:c r="AP328" t="n">
        <x:f>_xlfn.XLOOKUP($A328,Games!$A$2:$A$18,Games!$K$2:$K$18,"Missing game",0)</x:f>
        <x:v>-16</x:v>
      </x:c>
      <x:c r="AQ328" t="n">
        <x:f>_xlfn.XLOOKUP($A328,Games!$A$2:$A$18,Games!$L$2:$L$18,"Missing game",0)</x:f>
        <x:v>28</x:v>
      </x:c>
      <x:c r="AR328" t="n">
        <x:f>_xlfn.XLOOKUP($A328,Games!$A$2:$A$18,Games!$M$2:$M$18,"Missing game",0)</x:f>
        <x:v>0</x:v>
      </x:c>
      <x:c r="AS328" t="str">
        <x:f>_xlfn.XLOOKUP($A328,Games!$A$2:$A$18,Games!$N$2:$N$18,"Missing game",0)</x:f>
        <x:v>dome</x:v>
      </x:c>
      <x:c r="AT328" t="str">
        <x:f>_xlfn.XLOOKUP($A328,Games!$A$2:$A$18,Games!$O$2:$O$18,"Missing game",0)</x:f>
        <x:v>sportturf</x:v>
      </x:c>
      <x:c r="AU328" t="str">
        <x:f>_xlfn.XLOOKUP($A328,Games!$A$2:$A$18,Games!$P$2:$P$18,"Missing game",0)</x:f>
      </x:c>
      <x:c r="AV328" t="str">
        <x:f>_xlfn.XLOOKUP($A328,Games!$A$2:$A$18,Games!$Q$2:$Q$18,"Missing game",0)</x:f>
      </x:c>
      <x:c r="AW328" t="str">
        <x:f>_xlfn.XLOOKUP($A328,Games!$A$2:$A$18,Games!$R$2:$R$18,"Missing game",0)</x:f>
        <x:v>U.S. Bank Stadium</x:v>
      </x:c>
    </x:row>
    <x:row r="329">
      <x:c r="A329" t="str">
        <x:v>2025_02_ATL_MIN</x:v>
      </x:c>
      <x:c r="B329" t="n">
        <x:v>3726</x:v>
      </x:c>
      <x:c r="C329" t="n">
        <x:v>4</x:v>
      </x:c>
      <x:c r="D329" t="str">
        <x:v>02:41</x:v>
      </x:c>
      <x:c r="E329" t="n">
        <x:v>1</x:v>
      </x:c>
      <x:c r="F329" t="n">
        <x:v>10</x:v>
      </x:c>
      <x:c r="G329" t="str">
        <x:v>MIN</x:v>
      </x:c>
      <x:c r="H329" t="str">
        <x:v>ATL</x:v>
      </x:c>
      <x:c r="I329" t="str">
        <x:v>ATL</x:v>
      </x:c>
      <x:c r="J329" t="n">
        <x:v>36</x:v>
      </x:c>
      <x:c r="K329" t="str">
        <x:v>(2:41) (No Huddle, Shotgun) 9-J.McCarthy pass deep right intended for 18-J.Jefferson INTERCEPTED by 31-X.Watts at ATL 3. 31-X.Watts ran ob at ATL 3 for no gain. Penalty on MIN-19-A.Thielen, Illegal Shift, declined.</x:v>
      </x:c>
      <x:c r="L329" t="str">
        <x:v>pass</x:v>
      </x:c>
      <x:c r="M329" t="n">
        <x:v>0</x:v>
      </x:c>
      <x:c r="N329" t="n">
        <x:v>1</x:v>
      </x:c>
      <x:c r="O329" t="n">
        <x:v>1</x:v>
      </x:c>
      <x:c r="P329" t="str">
        <x:v>deep</x:v>
      </x:c>
      <x:c r="Q329" t="str">
        <x:v>right</x:v>
      </x:c>
      <x:c r="R329" t="n">
        <x:v>33</x:v>
      </x:c>
      <x:c r="S329"/>
      <x:c r="T329"/>
      <x:c r="U329"/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0</x:v>
      </x:c>
      <x:c r="AA329" t="n">
        <x:v>0</x:v>
      </x:c>
      <x:c r="AB329"/>
      <x:c r="AC329" t="n">
        <x:v>0</x:v>
      </x:c>
      <x:c r="AD329" t="n">
        <x:v>-3.4074007104791235</x:v>
      </x:c>
      <x:c r="AE329" t="n">
        <x:v>0</x:v>
      </x:c>
      <x:c r="AF329" t="n">
        <x:v>-0.0010397352743893862</x:v>
      </x:c>
      <x:c r="AG329" t="n">
        <x:f>_xlfn.XLOOKUP($A329,Games!$A$2:$A$18,Games!$B$2:$B$18,"Missing game",0)</x:f>
        <x:v>2025</x:v>
      </x:c>
      <x:c r="AH329" t="str">
        <x:f>_xlfn.XLOOKUP($A329,Games!$A$2:$A$18,Games!$C$2:$C$18,"Missing game",0)</x:f>
        <x:v>REG</x:v>
      </x:c>
      <x:c r="AI329" t="n">
        <x:f>_xlfn.XLOOKUP($A329,Games!$A$2:$A$18,Games!$D$2:$D$18,"Missing game",0)</x:f>
        <x:v>2</x:v>
      </x:c>
      <x:c r="AJ329" s="1" t="n">
        <x:f>_xlfn.XLOOKUP($A329,Games!$A$2:$A$18,Games!$E$2:$E$18,"Missing game",0)</x:f>
        <x:v>45914</x:v>
      </x:c>
      <x:c r="AK329" t="str">
        <x:f>_xlfn.XLOOKUP($A329,Games!$A$2:$A$18,Games!$F$2:$F$18,"Missing game",0)</x:f>
        <x:v>Sunday</x:v>
      </x:c>
      <x:c r="AL329" t="str">
        <x:f>_xlfn.XLOOKUP($A329,Games!$A$2:$A$18,Games!$G$2:$G$18,"Missing game",0)</x:f>
        <x:v>ATL</x:v>
      </x:c>
      <x:c r="AM329" t="n">
        <x:f>_xlfn.XLOOKUP($A329,Games!$A$2:$A$18,Games!$H$2:$H$18,"Missing game",0)</x:f>
        <x:v>22</x:v>
      </x:c>
      <x:c r="AN329" t="str">
        <x:f>_xlfn.XLOOKUP($A329,Games!$A$2:$A$18,Games!$I$2:$I$18,"Missing game",0)</x:f>
        <x:v>MIN</x:v>
      </x:c>
      <x:c r="AO329" t="n">
        <x:f>_xlfn.XLOOKUP($A329,Games!$A$2:$A$18,Games!$J$2:$J$18,"Missing game",0)</x:f>
        <x:v>6</x:v>
      </x:c>
      <x:c r="AP329" t="n">
        <x:f>_xlfn.XLOOKUP($A329,Games!$A$2:$A$18,Games!$K$2:$K$18,"Missing game",0)</x:f>
        <x:v>-16</x:v>
      </x:c>
      <x:c r="AQ329" t="n">
        <x:f>_xlfn.XLOOKUP($A329,Games!$A$2:$A$18,Games!$L$2:$L$18,"Missing game",0)</x:f>
        <x:v>28</x:v>
      </x:c>
      <x:c r="AR329" t="n">
        <x:f>_xlfn.XLOOKUP($A329,Games!$A$2:$A$18,Games!$M$2:$M$18,"Missing game",0)</x:f>
        <x:v>0</x:v>
      </x:c>
      <x:c r="AS329" t="str">
        <x:f>_xlfn.XLOOKUP($A329,Games!$A$2:$A$18,Games!$N$2:$N$18,"Missing game",0)</x:f>
        <x:v>dome</x:v>
      </x:c>
      <x:c r="AT329" t="str">
        <x:f>_xlfn.XLOOKUP($A329,Games!$A$2:$A$18,Games!$O$2:$O$18,"Missing game",0)</x:f>
        <x:v>sportturf</x:v>
      </x:c>
      <x:c r="AU329" t="str">
        <x:f>_xlfn.XLOOKUP($A329,Games!$A$2:$A$18,Games!$P$2:$P$18,"Missing game",0)</x:f>
      </x:c>
      <x:c r="AV329" t="str">
        <x:f>_xlfn.XLOOKUP($A329,Games!$A$2:$A$18,Games!$Q$2:$Q$18,"Missing game",0)</x:f>
      </x:c>
      <x:c r="AW329" t="str">
        <x:f>_xlfn.XLOOKUP($A329,Games!$A$2:$A$18,Games!$R$2:$R$18,"Missing game",0)</x:f>
        <x:v>U.S. Bank Stadium</x:v>
      </x:c>
    </x:row>
    <x:row r="330">
      <x:c r="A330" t="str">
        <x:v>2025_02_ATL_MIN</x:v>
      </x:c>
      <x:c r="B330" t="n">
        <x:v>3769</x:v>
      </x:c>
      <x:c r="C330" t="n">
        <x:v>4</x:v>
      </x:c>
      <x:c r="D330" t="str">
        <x:v>02:35</x:v>
      </x:c>
      <x:c r="E330" t="n">
        <x:v>1</x:v>
      </x:c>
      <x:c r="F330" t="n">
        <x:v>10</x:v>
      </x:c>
      <x:c r="G330" t="str">
        <x:v>ATL</x:v>
      </x:c>
      <x:c r="H330" t="str">
        <x:v>MIN</x:v>
      </x:c>
      <x:c r="I330" t="str">
        <x:v>ATL</x:v>
      </x:c>
      <x:c r="J330" t="n">
        <x:v>97</x:v>
      </x:c>
      <x:c r="K330" t="str">
        <x:v>(2:35) 25-T.Allgeier up the middle to ATL 10 for 7 yards (37-T.Thomas).</x:v>
      </x:c>
      <x:c r="L330" t="str">
        <x:v>run</x:v>
      </x:c>
      <x:c r="M330" t="n">
        <x:v>7</x:v>
      </x:c>
      <x:c r="N330" t="n">
        <x:v>0</x:v>
      </x:c>
      <x:c r="O330" t="n">
        <x:v>0</x:v>
      </x:c>
      <x:c r="P330"/>
      <x:c r="Q330"/>
      <x:c r="R330"/>
      <x:c r="S330"/>
      <x:c r="T330" t="str">
        <x:v>middle</x:v>
      </x:c>
      <x:c r="U330"/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/>
      <x:c r="AC330" t="n">
        <x:v>0</x:v>
      </x:c>
      <x:c r="AD330" t="n">
        <x:v>-0.08737208682578057</x:v>
      </x:c>
      <x:c r="AE330" t="n">
        <x:v>0</x:v>
      </x:c>
      <x:c r="AF330" t="n">
        <x:v>-0.00024247169494628906</x:v>
      </x:c>
      <x:c r="AG330" t="n">
        <x:f>_xlfn.XLOOKUP($A330,Games!$A$2:$A$18,Games!$B$2:$B$18,"Missing game",0)</x:f>
        <x:v>2025</x:v>
      </x:c>
      <x:c r="AH330" t="str">
        <x:f>_xlfn.XLOOKUP($A330,Games!$A$2:$A$18,Games!$C$2:$C$18,"Missing game",0)</x:f>
        <x:v>REG</x:v>
      </x:c>
      <x:c r="AI330" t="n">
        <x:f>_xlfn.XLOOKUP($A330,Games!$A$2:$A$18,Games!$D$2:$D$18,"Missing game",0)</x:f>
        <x:v>2</x:v>
      </x:c>
      <x:c r="AJ330" s="1" t="n">
        <x:f>_xlfn.XLOOKUP($A330,Games!$A$2:$A$18,Games!$E$2:$E$18,"Missing game",0)</x:f>
        <x:v>45914</x:v>
      </x:c>
      <x:c r="AK330" t="str">
        <x:f>_xlfn.XLOOKUP($A330,Games!$A$2:$A$18,Games!$F$2:$F$18,"Missing game",0)</x:f>
        <x:v>Sunday</x:v>
      </x:c>
      <x:c r="AL330" t="str">
        <x:f>_xlfn.XLOOKUP($A330,Games!$A$2:$A$18,Games!$G$2:$G$18,"Missing game",0)</x:f>
        <x:v>ATL</x:v>
      </x:c>
      <x:c r="AM330" t="n">
        <x:f>_xlfn.XLOOKUP($A330,Games!$A$2:$A$18,Games!$H$2:$H$18,"Missing game",0)</x:f>
        <x:v>22</x:v>
      </x:c>
      <x:c r="AN330" t="str">
        <x:f>_xlfn.XLOOKUP($A330,Games!$A$2:$A$18,Games!$I$2:$I$18,"Missing game",0)</x:f>
        <x:v>MIN</x:v>
      </x:c>
      <x:c r="AO330" t="n">
        <x:f>_xlfn.XLOOKUP($A330,Games!$A$2:$A$18,Games!$J$2:$J$18,"Missing game",0)</x:f>
        <x:v>6</x:v>
      </x:c>
      <x:c r="AP330" t="n">
        <x:f>_xlfn.XLOOKUP($A330,Games!$A$2:$A$18,Games!$K$2:$K$18,"Missing game",0)</x:f>
        <x:v>-16</x:v>
      </x:c>
      <x:c r="AQ330" t="n">
        <x:f>_xlfn.XLOOKUP($A330,Games!$A$2:$A$18,Games!$L$2:$L$18,"Missing game",0)</x:f>
        <x:v>28</x:v>
      </x:c>
      <x:c r="AR330" t="n">
        <x:f>_xlfn.XLOOKUP($A330,Games!$A$2:$A$18,Games!$M$2:$M$18,"Missing game",0)</x:f>
        <x:v>0</x:v>
      </x:c>
      <x:c r="AS330" t="str">
        <x:f>_xlfn.XLOOKUP($A330,Games!$A$2:$A$18,Games!$N$2:$N$18,"Missing game",0)</x:f>
        <x:v>dome</x:v>
      </x:c>
      <x:c r="AT330" t="str">
        <x:f>_xlfn.XLOOKUP($A330,Games!$A$2:$A$18,Games!$O$2:$O$18,"Missing game",0)</x:f>
        <x:v>sportturf</x:v>
      </x:c>
      <x:c r="AU330" t="str">
        <x:f>_xlfn.XLOOKUP($A330,Games!$A$2:$A$18,Games!$P$2:$P$18,"Missing game",0)</x:f>
      </x:c>
      <x:c r="AV330" t="str">
        <x:f>_xlfn.XLOOKUP($A330,Games!$A$2:$A$18,Games!$Q$2:$Q$18,"Missing game",0)</x:f>
      </x:c>
      <x:c r="AW330" t="str">
        <x:f>_xlfn.XLOOKUP($A330,Games!$A$2:$A$18,Games!$R$2:$R$18,"Missing game",0)</x:f>
        <x:v>U.S. Bank Stadium</x:v>
      </x:c>
    </x:row>
    <x:row r="331">
      <x:c r="A331" t="str">
        <x:v>2025_02_ATL_MIN</x:v>
      </x:c>
      <x:c r="B331" t="n">
        <x:v>3791</x:v>
      </x:c>
      <x:c r="C331" t="n">
        <x:v>4</x:v>
      </x:c>
      <x:c r="D331" t="str">
        <x:v>02:00</x:v>
      </x:c>
      <x:c r="E331" t="n">
        <x:v>2</x:v>
      </x:c>
      <x:c r="F331" t="n">
        <x:v>3</x:v>
      </x:c>
      <x:c r="G331" t="str">
        <x:v>ATL</x:v>
      </x:c>
      <x:c r="H331" t="str">
        <x:v>MIN</x:v>
      </x:c>
      <x:c r="I331" t="str">
        <x:v>ATL</x:v>
      </x:c>
      <x:c r="J331" t="n">
        <x:v>90</x:v>
      </x:c>
      <x:c r="K331" t="str">
        <x:v>(2:00) 25-T.Allgeier up the middle to ATL 12 for 2 yards (90-T.Ingram-Dawkins; 50-L.Rodriguez).</x:v>
      </x:c>
      <x:c r="L331" t="str">
        <x:v>run</x:v>
      </x:c>
      <x:c r="M331" t="n">
        <x:v>2</x:v>
      </x:c>
      <x:c r="N331" t="n">
        <x:v>0</x:v>
      </x:c>
      <x:c r="O331" t="n">
        <x:v>0</x:v>
      </x:c>
      <x:c r="P331"/>
      <x:c r="Q331"/>
      <x:c r="R331"/>
      <x:c r="S331"/>
      <x:c r="T331" t="str">
        <x:v>middle</x:v>
      </x:c>
      <x:c r="U331"/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/>
      <x:c r="AC331" t="n">
        <x:v>0</x:v>
      </x:c>
      <x:c r="AD331" t="n">
        <x:v>-0.04295378096867353</x:v>
      </x:c>
      <x:c r="AE331" t="n">
        <x:v>0</x:v>
      </x:c>
      <x:c r="AF331" t="n">
        <x:v>0.00044983625411987305</x:v>
      </x:c>
      <x:c r="AG331" t="n">
        <x:f>_xlfn.XLOOKUP($A331,Games!$A$2:$A$18,Games!$B$2:$B$18,"Missing game",0)</x:f>
        <x:v>2025</x:v>
      </x:c>
      <x:c r="AH331" t="str">
        <x:f>_xlfn.XLOOKUP($A331,Games!$A$2:$A$18,Games!$C$2:$C$18,"Missing game",0)</x:f>
        <x:v>REG</x:v>
      </x:c>
      <x:c r="AI331" t="n">
        <x:f>_xlfn.XLOOKUP($A331,Games!$A$2:$A$18,Games!$D$2:$D$18,"Missing game",0)</x:f>
        <x:v>2</x:v>
      </x:c>
      <x:c r="AJ331" s="1" t="n">
        <x:f>_xlfn.XLOOKUP($A331,Games!$A$2:$A$18,Games!$E$2:$E$18,"Missing game",0)</x:f>
        <x:v>45914</x:v>
      </x:c>
      <x:c r="AK331" t="str">
        <x:f>_xlfn.XLOOKUP($A331,Games!$A$2:$A$18,Games!$F$2:$F$18,"Missing game",0)</x:f>
        <x:v>Sunday</x:v>
      </x:c>
      <x:c r="AL331" t="str">
        <x:f>_xlfn.XLOOKUP($A331,Games!$A$2:$A$18,Games!$G$2:$G$18,"Missing game",0)</x:f>
        <x:v>ATL</x:v>
      </x:c>
      <x:c r="AM331" t="n">
        <x:f>_xlfn.XLOOKUP($A331,Games!$A$2:$A$18,Games!$H$2:$H$18,"Missing game",0)</x:f>
        <x:v>22</x:v>
      </x:c>
      <x:c r="AN331" t="str">
        <x:f>_xlfn.XLOOKUP($A331,Games!$A$2:$A$18,Games!$I$2:$I$18,"Missing game",0)</x:f>
        <x:v>MIN</x:v>
      </x:c>
      <x:c r="AO331" t="n">
        <x:f>_xlfn.XLOOKUP($A331,Games!$A$2:$A$18,Games!$J$2:$J$18,"Missing game",0)</x:f>
        <x:v>6</x:v>
      </x:c>
      <x:c r="AP331" t="n">
        <x:f>_xlfn.XLOOKUP($A331,Games!$A$2:$A$18,Games!$K$2:$K$18,"Missing game",0)</x:f>
        <x:v>-16</x:v>
      </x:c>
      <x:c r="AQ331" t="n">
        <x:f>_xlfn.XLOOKUP($A331,Games!$A$2:$A$18,Games!$L$2:$L$18,"Missing game",0)</x:f>
        <x:v>28</x:v>
      </x:c>
      <x:c r="AR331" t="n">
        <x:f>_xlfn.XLOOKUP($A331,Games!$A$2:$A$18,Games!$M$2:$M$18,"Missing game",0)</x:f>
        <x:v>0</x:v>
      </x:c>
      <x:c r="AS331" t="str">
        <x:f>_xlfn.XLOOKUP($A331,Games!$A$2:$A$18,Games!$N$2:$N$18,"Missing game",0)</x:f>
        <x:v>dome</x:v>
      </x:c>
      <x:c r="AT331" t="str">
        <x:f>_xlfn.XLOOKUP($A331,Games!$A$2:$A$18,Games!$O$2:$O$18,"Missing game",0)</x:f>
        <x:v>sportturf</x:v>
      </x:c>
      <x:c r="AU331" t="str">
        <x:f>_xlfn.XLOOKUP($A331,Games!$A$2:$A$18,Games!$P$2:$P$18,"Missing game",0)</x:f>
      </x:c>
      <x:c r="AV331" t="str">
        <x:f>_xlfn.XLOOKUP($A331,Games!$A$2:$A$18,Games!$Q$2:$Q$18,"Missing game",0)</x:f>
      </x:c>
      <x:c r="AW331" t="str">
        <x:f>_xlfn.XLOOKUP($A331,Games!$A$2:$A$18,Games!$R$2:$R$18,"Missing game",0)</x:f>
        <x:v>U.S. Bank Stadium</x:v>
      </x:c>
    </x:row>
    <x:row r="332">
      <x:c r="A332" t="str">
        <x:v>2025_02_ATL_MIN</x:v>
      </x:c>
      <x:c r="B332" t="n">
        <x:v>3820</x:v>
      </x:c>
      <x:c r="C332" t="n">
        <x:v>4</x:v>
      </x:c>
      <x:c r="D332" t="str">
        <x:v>01:14</x:v>
      </x:c>
      <x:c r="E332" t="n">
        <x:v>3</x:v>
      </x:c>
      <x:c r="F332" t="n">
        <x:v>1</x:v>
      </x:c>
      <x:c r="G332" t="str">
        <x:v>ATL</x:v>
      </x:c>
      <x:c r="H332" t="str">
        <x:v>MIN</x:v>
      </x:c>
      <x:c r="I332" t="str">
        <x:v>ATL</x:v>
      </x:c>
      <x:c r="J332" t="n">
        <x:v>88</x:v>
      </x:c>
      <x:c r="K332" t="str">
        <x:v>(1:14) (Shotgun) 25-T.Allgeier right tackle to ATL 12 for no gain (55-E.Wilson; 37-T.Thomas).</x:v>
      </x:c>
      <x:c r="L332" t="str">
        <x:v>run</x:v>
      </x:c>
      <x:c r="M332" t="n">
        <x:v>0</x:v>
      </x:c>
      <x:c r="N332" t="n">
        <x:v>1</x:v>
      </x:c>
      <x:c r="O332" t="n">
        <x:v>0</x:v>
      </x:c>
      <x:c r="P332"/>
      <x:c r="Q332"/>
      <x:c r="R332"/>
      <x:c r="S332"/>
      <x:c r="T332" t="str">
        <x:v>right</x:v>
      </x:c>
      <x:c r="U332" t="str">
        <x:v>tackle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/>
      <x:c r="AC332" t="n">
        <x:v>0</x:v>
      </x:c>
      <x:c r="AD332" t="n">
        <x:v>-0.264306673547253</x:v>
      </x:c>
      <x:c r="AE332" t="n">
        <x:v>0</x:v>
      </x:c>
      <x:c r="AF332" t="n">
        <x:v>0.000013887882232666016</x:v>
      </x:c>
      <x:c r="AG332" t="n">
        <x:f>_xlfn.XLOOKUP($A332,Games!$A$2:$A$18,Games!$B$2:$B$18,"Missing game",0)</x:f>
        <x:v>2025</x:v>
      </x:c>
      <x:c r="AH332" t="str">
        <x:f>_xlfn.XLOOKUP($A332,Games!$A$2:$A$18,Games!$C$2:$C$18,"Missing game",0)</x:f>
        <x:v>REG</x:v>
      </x:c>
      <x:c r="AI332" t="n">
        <x:f>_xlfn.XLOOKUP($A332,Games!$A$2:$A$18,Games!$D$2:$D$18,"Missing game",0)</x:f>
        <x:v>2</x:v>
      </x:c>
      <x:c r="AJ332" s="1" t="n">
        <x:f>_xlfn.XLOOKUP($A332,Games!$A$2:$A$18,Games!$E$2:$E$18,"Missing game",0)</x:f>
        <x:v>45914</x:v>
      </x:c>
      <x:c r="AK332" t="str">
        <x:f>_xlfn.XLOOKUP($A332,Games!$A$2:$A$18,Games!$F$2:$F$18,"Missing game",0)</x:f>
        <x:v>Sunday</x:v>
      </x:c>
      <x:c r="AL332" t="str">
        <x:f>_xlfn.XLOOKUP($A332,Games!$A$2:$A$18,Games!$G$2:$G$18,"Missing game",0)</x:f>
        <x:v>ATL</x:v>
      </x:c>
      <x:c r="AM332" t="n">
        <x:f>_xlfn.XLOOKUP($A332,Games!$A$2:$A$18,Games!$H$2:$H$18,"Missing game",0)</x:f>
        <x:v>22</x:v>
      </x:c>
      <x:c r="AN332" t="str">
        <x:f>_xlfn.XLOOKUP($A332,Games!$A$2:$A$18,Games!$I$2:$I$18,"Missing game",0)</x:f>
        <x:v>MIN</x:v>
      </x:c>
      <x:c r="AO332" t="n">
        <x:f>_xlfn.XLOOKUP($A332,Games!$A$2:$A$18,Games!$J$2:$J$18,"Missing game",0)</x:f>
        <x:v>6</x:v>
      </x:c>
      <x:c r="AP332" t="n">
        <x:f>_xlfn.XLOOKUP($A332,Games!$A$2:$A$18,Games!$K$2:$K$18,"Missing game",0)</x:f>
        <x:v>-16</x:v>
      </x:c>
      <x:c r="AQ332" t="n">
        <x:f>_xlfn.XLOOKUP($A332,Games!$A$2:$A$18,Games!$L$2:$L$18,"Missing game",0)</x:f>
        <x:v>28</x:v>
      </x:c>
      <x:c r="AR332" t="n">
        <x:f>_xlfn.XLOOKUP($A332,Games!$A$2:$A$18,Games!$M$2:$M$18,"Missing game",0)</x:f>
        <x:v>0</x:v>
      </x:c>
      <x:c r="AS332" t="str">
        <x:f>_xlfn.XLOOKUP($A332,Games!$A$2:$A$18,Games!$N$2:$N$18,"Missing game",0)</x:f>
        <x:v>dome</x:v>
      </x:c>
      <x:c r="AT332" t="str">
        <x:f>_xlfn.XLOOKUP($A332,Games!$A$2:$A$18,Games!$O$2:$O$18,"Missing game",0)</x:f>
        <x:v>sportturf</x:v>
      </x:c>
      <x:c r="AU332" t="str">
        <x:f>_xlfn.XLOOKUP($A332,Games!$A$2:$A$18,Games!$P$2:$P$18,"Missing game",0)</x:f>
      </x:c>
      <x:c r="AV332" t="str">
        <x:f>_xlfn.XLOOKUP($A332,Games!$A$2:$A$18,Games!$Q$2:$Q$18,"Missing game",0)</x:f>
      </x:c>
      <x:c r="AW332" t="str">
        <x:f>_xlfn.XLOOKUP($A332,Games!$A$2:$A$18,Games!$R$2:$R$18,"Missing game",0)</x:f>
        <x:v>U.S. Bank Stadium</x:v>
      </x:c>
    </x:row>
    <x:row r="333">
      <x:c r="A333" t="str">
        <x:v>2025_02_ATL_MIN</x:v>
      </x:c>
      <x:c r="B333" t="n">
        <x:v>3842</x:v>
      </x:c>
      <x:c r="C333" t="n">
        <x:v>4</x:v>
      </x:c>
      <x:c r="D333" t="str">
        <x:v>00:28</x:v>
      </x:c>
      <x:c r="E333" t="n">
        <x:v>4</x:v>
      </x:c>
      <x:c r="F333" t="n">
        <x:v>1</x:v>
      </x:c>
      <x:c r="G333" t="str">
        <x:v>ATL</x:v>
      </x:c>
      <x:c r="H333" t="str">
        <x:v>MIN</x:v>
      </x:c>
      <x:c r="I333" t="str">
        <x:v>ATL</x:v>
      </x:c>
      <x:c r="J333" t="n">
        <x:v>88</x:v>
      </x:c>
      <x:c r="K333" t="str">
        <x:v>(:28) 13-B.Pinion punts 46 yards to MIN 42, Center-49-L.McCullough. 4-M.Price MUFFS catch, RECOVERED by ATL-28-M.Ford at MIN 44.</x:v>
      </x:c>
      <x:c r="L333" t="str">
        <x:v>punt</x:v>
      </x:c>
      <x:c r="M333" t="n">
        <x:v>0</x:v>
      </x:c>
      <x:c r="N333" t="n">
        <x:v>0</x:v>
      </x:c>
      <x:c r="O333" t="n">
        <x:v>0</x:v>
      </x:c>
      <x:c r="P333"/>
      <x:c r="Q333"/>
      <x:c r="R333"/>
      <x:c r="S333"/>
      <x:c r="T333"/>
      <x:c r="U333"/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1</x:v>
      </x:c>
      <x:c r="AA333" t="n">
        <x:v>0</x:v>
      </x:c>
      <x:c r="AB333"/>
      <x:c r="AC333" t="n">
        <x:v>0</x:v>
      </x:c>
      <x:c r="AD333" t="n">
        <x:v>1.9664482627995312</x:v>
      </x:c>
      <x:c r="AE333" t="n">
        <x:v>1</x:v>
      </x:c>
      <x:c r="AF333" t="n">
        <x:v>0.0005565285682678223</x:v>
      </x:c>
      <x:c r="AG333" t="n">
        <x:f>_xlfn.XLOOKUP($A333,Games!$A$2:$A$18,Games!$B$2:$B$18,"Missing game",0)</x:f>
        <x:v>2025</x:v>
      </x:c>
      <x:c r="AH333" t="str">
        <x:f>_xlfn.XLOOKUP($A333,Games!$A$2:$A$18,Games!$C$2:$C$18,"Missing game",0)</x:f>
        <x:v>REG</x:v>
      </x:c>
      <x:c r="AI333" t="n">
        <x:f>_xlfn.XLOOKUP($A333,Games!$A$2:$A$18,Games!$D$2:$D$18,"Missing game",0)</x:f>
        <x:v>2</x:v>
      </x:c>
      <x:c r="AJ333" s="1" t="n">
        <x:f>_xlfn.XLOOKUP($A333,Games!$A$2:$A$18,Games!$E$2:$E$18,"Missing game",0)</x:f>
        <x:v>45914</x:v>
      </x:c>
      <x:c r="AK333" t="str">
        <x:f>_xlfn.XLOOKUP($A333,Games!$A$2:$A$18,Games!$F$2:$F$18,"Missing game",0)</x:f>
        <x:v>Sunday</x:v>
      </x:c>
      <x:c r="AL333" t="str">
        <x:f>_xlfn.XLOOKUP($A333,Games!$A$2:$A$18,Games!$G$2:$G$18,"Missing game",0)</x:f>
        <x:v>ATL</x:v>
      </x:c>
      <x:c r="AM333" t="n">
        <x:f>_xlfn.XLOOKUP($A333,Games!$A$2:$A$18,Games!$H$2:$H$18,"Missing game",0)</x:f>
        <x:v>22</x:v>
      </x:c>
      <x:c r="AN333" t="str">
        <x:f>_xlfn.XLOOKUP($A333,Games!$A$2:$A$18,Games!$I$2:$I$18,"Missing game",0)</x:f>
        <x:v>MIN</x:v>
      </x:c>
      <x:c r="AO333" t="n">
        <x:f>_xlfn.XLOOKUP($A333,Games!$A$2:$A$18,Games!$J$2:$J$18,"Missing game",0)</x:f>
        <x:v>6</x:v>
      </x:c>
      <x:c r="AP333" t="n">
        <x:f>_xlfn.XLOOKUP($A333,Games!$A$2:$A$18,Games!$K$2:$K$18,"Missing game",0)</x:f>
        <x:v>-16</x:v>
      </x:c>
      <x:c r="AQ333" t="n">
        <x:f>_xlfn.XLOOKUP($A333,Games!$A$2:$A$18,Games!$L$2:$L$18,"Missing game",0)</x:f>
        <x:v>28</x:v>
      </x:c>
      <x:c r="AR333" t="n">
        <x:f>_xlfn.XLOOKUP($A333,Games!$A$2:$A$18,Games!$M$2:$M$18,"Missing game",0)</x:f>
        <x:v>0</x:v>
      </x:c>
      <x:c r="AS333" t="str">
        <x:f>_xlfn.XLOOKUP($A333,Games!$A$2:$A$18,Games!$N$2:$N$18,"Missing game",0)</x:f>
        <x:v>dome</x:v>
      </x:c>
      <x:c r="AT333" t="str">
        <x:f>_xlfn.XLOOKUP($A333,Games!$A$2:$A$18,Games!$O$2:$O$18,"Missing game",0)</x:f>
        <x:v>sportturf</x:v>
      </x:c>
      <x:c r="AU333" t="str">
        <x:f>_xlfn.XLOOKUP($A333,Games!$A$2:$A$18,Games!$P$2:$P$18,"Missing game",0)</x:f>
      </x:c>
      <x:c r="AV333" t="str">
        <x:f>_xlfn.XLOOKUP($A333,Games!$A$2:$A$18,Games!$Q$2:$Q$18,"Missing game",0)</x:f>
      </x:c>
      <x:c r="AW333" t="str">
        <x:f>_xlfn.XLOOKUP($A333,Games!$A$2:$A$18,Games!$R$2:$R$18,"Missing game",0)</x:f>
        <x:v>U.S. Bank Stadium</x:v>
      </x:c>
    </x:row>
    <x:row r="334">
      <x:c r="A334" t="str">
        <x:v>2025_02_ATL_MIN</x:v>
      </x:c>
      <x:c r="B334" t="n">
        <x:v>3858</x:v>
      </x:c>
      <x:c r="C334" t="n">
        <x:v>4</x:v>
      </x:c>
      <x:c r="D334" t="str">
        <x:v>00:28</x:v>
      </x:c>
      <x:c r="E334"/>
      <x:c r="F334" t="n">
        <x:v>0</x:v>
      </x:c>
      <x:c r="G334"/>
      <x:c r="H334"/>
      <x:c r="I334"/>
      <x:c r="J334"/>
      <x:c r="K334" t="str">
        <x:v>Timeout #2 by ATL at 00:28.</x:v>
      </x:c>
      <x:c r="L334" t="str">
        <x:v>no_play</x:v>
      </x:c>
      <x:c r="M334" t="n">
        <x:v>0</x:v>
      </x:c>
      <x:c r="N334" t="n">
        <x:v>0</x:v>
      </x:c>
      <x:c r="O334" t="n">
        <x:v>0</x:v>
      </x:c>
      <x:c r="P334"/>
      <x:c r="Q334"/>
      <x:c r="R334"/>
      <x:c r="S334"/>
      <x:c r="T334"/>
      <x:c r="U334"/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/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f>_xlfn.XLOOKUP($A334,Games!$A$2:$A$18,Games!$B$2:$B$18,"Missing game",0)</x:f>
        <x:v>2025</x:v>
      </x:c>
      <x:c r="AH334" t="str">
        <x:f>_xlfn.XLOOKUP($A334,Games!$A$2:$A$18,Games!$C$2:$C$18,"Missing game",0)</x:f>
        <x:v>REG</x:v>
      </x:c>
      <x:c r="AI334" t="n">
        <x:f>_xlfn.XLOOKUP($A334,Games!$A$2:$A$18,Games!$D$2:$D$18,"Missing game",0)</x:f>
        <x:v>2</x:v>
      </x:c>
      <x:c r="AJ334" s="1" t="n">
        <x:f>_xlfn.XLOOKUP($A334,Games!$A$2:$A$18,Games!$E$2:$E$18,"Missing game",0)</x:f>
        <x:v>45914</x:v>
      </x:c>
      <x:c r="AK334" t="str">
        <x:f>_xlfn.XLOOKUP($A334,Games!$A$2:$A$18,Games!$F$2:$F$18,"Missing game",0)</x:f>
        <x:v>Sunday</x:v>
      </x:c>
      <x:c r="AL334" t="str">
        <x:f>_xlfn.XLOOKUP($A334,Games!$A$2:$A$18,Games!$G$2:$G$18,"Missing game",0)</x:f>
        <x:v>ATL</x:v>
      </x:c>
      <x:c r="AM334" t="n">
        <x:f>_xlfn.XLOOKUP($A334,Games!$A$2:$A$18,Games!$H$2:$H$18,"Missing game",0)</x:f>
        <x:v>22</x:v>
      </x:c>
      <x:c r="AN334" t="str">
        <x:f>_xlfn.XLOOKUP($A334,Games!$A$2:$A$18,Games!$I$2:$I$18,"Missing game",0)</x:f>
        <x:v>MIN</x:v>
      </x:c>
      <x:c r="AO334" t="n">
        <x:f>_xlfn.XLOOKUP($A334,Games!$A$2:$A$18,Games!$J$2:$J$18,"Missing game",0)</x:f>
        <x:v>6</x:v>
      </x:c>
      <x:c r="AP334" t="n">
        <x:f>_xlfn.XLOOKUP($A334,Games!$A$2:$A$18,Games!$K$2:$K$18,"Missing game",0)</x:f>
        <x:v>-16</x:v>
      </x:c>
      <x:c r="AQ334" t="n">
        <x:f>_xlfn.XLOOKUP($A334,Games!$A$2:$A$18,Games!$L$2:$L$18,"Missing game",0)</x:f>
        <x:v>28</x:v>
      </x:c>
      <x:c r="AR334" t="n">
        <x:f>_xlfn.XLOOKUP($A334,Games!$A$2:$A$18,Games!$M$2:$M$18,"Missing game",0)</x:f>
        <x:v>0</x:v>
      </x:c>
      <x:c r="AS334" t="str">
        <x:f>_xlfn.XLOOKUP($A334,Games!$A$2:$A$18,Games!$N$2:$N$18,"Missing game",0)</x:f>
        <x:v>dome</x:v>
      </x:c>
      <x:c r="AT334" t="str">
        <x:f>_xlfn.XLOOKUP($A334,Games!$A$2:$A$18,Games!$O$2:$O$18,"Missing game",0)</x:f>
        <x:v>sportturf</x:v>
      </x:c>
      <x:c r="AU334" t="str">
        <x:f>_xlfn.XLOOKUP($A334,Games!$A$2:$A$18,Games!$P$2:$P$18,"Missing game",0)</x:f>
      </x:c>
      <x:c r="AV334" t="str">
        <x:f>_xlfn.XLOOKUP($A334,Games!$A$2:$A$18,Games!$Q$2:$Q$18,"Missing game",0)</x:f>
      </x:c>
      <x:c r="AW334" t="str">
        <x:f>_xlfn.XLOOKUP($A334,Games!$A$2:$A$18,Games!$R$2:$R$18,"Missing game",0)</x:f>
        <x:v>U.S. Bank Stadium</x:v>
      </x:c>
    </x:row>
    <x:row r="335">
      <x:c r="A335" t="str">
        <x:v>2025_02_ATL_MIN</x:v>
      </x:c>
      <x:c r="B335" t="n">
        <x:v>3879</x:v>
      </x:c>
      <x:c r="C335" t="n">
        <x:v>4</x:v>
      </x:c>
      <x:c r="D335" t="str">
        <x:v>00:20</x:v>
      </x:c>
      <x:c r="E335" t="n">
        <x:v>1</x:v>
      </x:c>
      <x:c r="F335" t="n">
        <x:v>10</x:v>
      </x:c>
      <x:c r="G335" t="str">
        <x:v>ATL</x:v>
      </x:c>
      <x:c r="H335" t="str">
        <x:v>MIN</x:v>
      </x:c>
      <x:c r="I335" t="str">
        <x:v>MIN</x:v>
      </x:c>
      <x:c r="J335" t="n">
        <x:v>44</x:v>
      </x:c>
      <x:c r="K335" t="str">
        <x:v>(:20) 9-M.Penix kneels to MIN 45 for -1 yards.</x:v>
      </x:c>
      <x:c r="L335" t="str">
        <x:v>qb_kneel</x:v>
      </x:c>
      <x:c r="M335" t="n">
        <x:v>-1</x:v>
      </x:c>
      <x:c r="N335" t="n">
        <x:v>0</x:v>
      </x:c>
      <x:c r="O335" t="n">
        <x:v>0</x:v>
      </x:c>
      <x:c r="P335"/>
      <x:c r="Q335"/>
      <x:c r="R335"/>
      <x:c r="S335"/>
      <x:c r="T335"/>
      <x:c r="U335"/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/>
      <x:c r="AC335" t="n">
        <x:v>0</x:v>
      </x:c>
      <x:c r="AD335" t="n">
        <x:v>-1.6006159279495478</x:v>
      </x:c>
      <x:c r="AE335" t="n">
        <x:v>0</x:v>
      </x:c>
      <x:c r="AF335"/>
      <x:c r="AG335" t="n">
        <x:f>_xlfn.XLOOKUP($A335,Games!$A$2:$A$18,Games!$B$2:$B$18,"Missing game",0)</x:f>
        <x:v>2025</x:v>
      </x:c>
      <x:c r="AH335" t="str">
        <x:f>_xlfn.XLOOKUP($A335,Games!$A$2:$A$18,Games!$C$2:$C$18,"Missing game",0)</x:f>
        <x:v>REG</x:v>
      </x:c>
      <x:c r="AI335" t="n">
        <x:f>_xlfn.XLOOKUP($A335,Games!$A$2:$A$18,Games!$D$2:$D$18,"Missing game",0)</x:f>
        <x:v>2</x:v>
      </x:c>
      <x:c r="AJ335" s="1" t="n">
        <x:f>_xlfn.XLOOKUP($A335,Games!$A$2:$A$18,Games!$E$2:$E$18,"Missing game",0)</x:f>
        <x:v>45914</x:v>
      </x:c>
      <x:c r="AK335" t="str">
        <x:f>_xlfn.XLOOKUP($A335,Games!$A$2:$A$18,Games!$F$2:$F$18,"Missing game",0)</x:f>
        <x:v>Sunday</x:v>
      </x:c>
      <x:c r="AL335" t="str">
        <x:f>_xlfn.XLOOKUP($A335,Games!$A$2:$A$18,Games!$G$2:$G$18,"Missing game",0)</x:f>
        <x:v>ATL</x:v>
      </x:c>
      <x:c r="AM335" t="n">
        <x:f>_xlfn.XLOOKUP($A335,Games!$A$2:$A$18,Games!$H$2:$H$18,"Missing game",0)</x:f>
        <x:v>22</x:v>
      </x:c>
      <x:c r="AN335" t="str">
        <x:f>_xlfn.XLOOKUP($A335,Games!$A$2:$A$18,Games!$I$2:$I$18,"Missing game",0)</x:f>
        <x:v>MIN</x:v>
      </x:c>
      <x:c r="AO335" t="n">
        <x:f>_xlfn.XLOOKUP($A335,Games!$A$2:$A$18,Games!$J$2:$J$18,"Missing game",0)</x:f>
        <x:v>6</x:v>
      </x:c>
      <x:c r="AP335" t="n">
        <x:f>_xlfn.XLOOKUP($A335,Games!$A$2:$A$18,Games!$K$2:$K$18,"Missing game",0)</x:f>
        <x:v>-16</x:v>
      </x:c>
      <x:c r="AQ335" t="n">
        <x:f>_xlfn.XLOOKUP($A335,Games!$A$2:$A$18,Games!$L$2:$L$18,"Missing game",0)</x:f>
        <x:v>28</x:v>
      </x:c>
      <x:c r="AR335" t="n">
        <x:f>_xlfn.XLOOKUP($A335,Games!$A$2:$A$18,Games!$M$2:$M$18,"Missing game",0)</x:f>
        <x:v>0</x:v>
      </x:c>
      <x:c r="AS335" t="str">
        <x:f>_xlfn.XLOOKUP($A335,Games!$A$2:$A$18,Games!$N$2:$N$18,"Missing game",0)</x:f>
        <x:v>dome</x:v>
      </x:c>
      <x:c r="AT335" t="str">
        <x:f>_xlfn.XLOOKUP($A335,Games!$A$2:$A$18,Games!$O$2:$O$18,"Missing game",0)</x:f>
        <x:v>sportturf</x:v>
      </x:c>
      <x:c r="AU335" t="str">
        <x:f>_xlfn.XLOOKUP($A335,Games!$A$2:$A$18,Games!$P$2:$P$18,"Missing game",0)</x:f>
      </x:c>
      <x:c r="AV335" t="str">
        <x:f>_xlfn.XLOOKUP($A335,Games!$A$2:$A$18,Games!$Q$2:$Q$18,"Missing game",0)</x:f>
      </x:c>
      <x:c r="AW335" t="str">
        <x:f>_xlfn.XLOOKUP($A335,Games!$A$2:$A$18,Games!$R$2:$R$18,"Missing game",0)</x:f>
        <x:v>U.S. Bank Stadium</x:v>
      </x:c>
    </x:row>
    <x:row r="336">
      <x:c r="A336" t="str">
        <x:v>2025_02_ATL_MIN</x:v>
      </x:c>
      <x:c r="B336" t="n">
        <x:v>3901</x:v>
      </x:c>
      <x:c r="C336" t="n">
        <x:v>4</x:v>
      </x:c>
      <x:c r="D336" t="str">
        <x:v>00:00</x:v>
      </x:c>
      <x:c r="E336"/>
      <x:c r="F336" t="n">
        <x:v>0</x:v>
      </x:c>
      <x:c r="G336" t="str">
        <x:v>ATL</x:v>
      </x:c>
      <x:c r="H336" t="str">
        <x:v>MIN</x:v>
      </x:c>
      <x:c r="I336"/>
      <x:c r="J336"/>
      <x:c r="K336" t="str">
        <x:v>END GAME</x:v>
      </x:c>
      <x:c r="L336"/>
      <x:c r="M336"/>
      <x:c r="N336" t="n">
        <x:v>0</x:v>
      </x:c>
      <x:c r="O336" t="n">
        <x:v>0</x:v>
      </x:c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 t="n">
        <x:f>_xlfn.XLOOKUP($A336,Games!$A$2:$A$18,Games!$B$2:$B$18,"Missing game",0)</x:f>
        <x:v>2025</x:v>
      </x:c>
      <x:c r="AH336" t="str">
        <x:f>_xlfn.XLOOKUP($A336,Games!$A$2:$A$18,Games!$C$2:$C$18,"Missing game",0)</x:f>
        <x:v>REG</x:v>
      </x:c>
      <x:c r="AI336" t="n">
        <x:f>_xlfn.XLOOKUP($A336,Games!$A$2:$A$18,Games!$D$2:$D$18,"Missing game",0)</x:f>
        <x:v>2</x:v>
      </x:c>
      <x:c r="AJ336" s="1" t="n">
        <x:f>_xlfn.XLOOKUP($A336,Games!$A$2:$A$18,Games!$E$2:$E$18,"Missing game",0)</x:f>
        <x:v>45914</x:v>
      </x:c>
      <x:c r="AK336" t="str">
        <x:f>_xlfn.XLOOKUP($A336,Games!$A$2:$A$18,Games!$F$2:$F$18,"Missing game",0)</x:f>
        <x:v>Sunday</x:v>
      </x:c>
      <x:c r="AL336" t="str">
        <x:f>_xlfn.XLOOKUP($A336,Games!$A$2:$A$18,Games!$G$2:$G$18,"Missing game",0)</x:f>
        <x:v>ATL</x:v>
      </x:c>
      <x:c r="AM336" t="n">
        <x:f>_xlfn.XLOOKUP($A336,Games!$A$2:$A$18,Games!$H$2:$H$18,"Missing game",0)</x:f>
        <x:v>22</x:v>
      </x:c>
      <x:c r="AN336" t="str">
        <x:f>_xlfn.XLOOKUP($A336,Games!$A$2:$A$18,Games!$I$2:$I$18,"Missing game",0)</x:f>
        <x:v>MIN</x:v>
      </x:c>
      <x:c r="AO336" t="n">
        <x:f>_xlfn.XLOOKUP($A336,Games!$A$2:$A$18,Games!$J$2:$J$18,"Missing game",0)</x:f>
        <x:v>6</x:v>
      </x:c>
      <x:c r="AP336" t="n">
        <x:f>_xlfn.XLOOKUP($A336,Games!$A$2:$A$18,Games!$K$2:$K$18,"Missing game",0)</x:f>
        <x:v>-16</x:v>
      </x:c>
      <x:c r="AQ336" t="n">
        <x:f>_xlfn.XLOOKUP($A336,Games!$A$2:$A$18,Games!$L$2:$L$18,"Missing game",0)</x:f>
        <x:v>28</x:v>
      </x:c>
      <x:c r="AR336" t="n">
        <x:f>_xlfn.XLOOKUP($A336,Games!$A$2:$A$18,Games!$M$2:$M$18,"Missing game",0)</x:f>
        <x:v>0</x:v>
      </x:c>
      <x:c r="AS336" t="str">
        <x:f>_xlfn.XLOOKUP($A336,Games!$A$2:$A$18,Games!$N$2:$N$18,"Missing game",0)</x:f>
        <x:v>dome</x:v>
      </x:c>
      <x:c r="AT336" t="str">
        <x:f>_xlfn.XLOOKUP($A336,Games!$A$2:$A$18,Games!$O$2:$O$18,"Missing game",0)</x:f>
        <x:v>sportturf</x:v>
      </x:c>
      <x:c r="AU336" t="str">
        <x:f>_xlfn.XLOOKUP($A336,Games!$A$2:$A$18,Games!$P$2:$P$18,"Missing game",0)</x:f>
      </x:c>
      <x:c r="AV336" t="str">
        <x:f>_xlfn.XLOOKUP($A336,Games!$A$2:$A$18,Games!$Q$2:$Q$18,"Missing game",0)</x:f>
      </x:c>
      <x:c r="AW336" t="str">
        <x:f>_xlfn.XLOOKUP($A336,Games!$A$2:$A$18,Games!$R$2:$R$18,"Missing game",0)</x:f>
        <x:v>U.S. Bank Stadium</x:v>
      </x:c>
    </x:row>
    <x:row r="337">
      <x:c r="A337" t="str">
        <x:v>2025_03_CIN_MIN</x:v>
      </x:c>
      <x:c r="B337" t="n">
        <x:v>1</x:v>
      </x:c>
      <x:c r="C337" t="n">
        <x:v>1</x:v>
      </x:c>
      <x:c r="D337" t="str">
        <x:v>15:00</x:v>
      </x:c>
      <x:c r="E337"/>
      <x:c r="F337" t="n">
        <x:v>0</x:v>
      </x:c>
      <x:c r="G337"/>
      <x:c r="H337"/>
      <x:c r="I337"/>
      <x:c r="J337"/>
      <x:c r="K337" t="str">
        <x:v>GAME</x:v>
      </x:c>
      <x:c r="L337"/>
      <x:c r="M337"/>
      <x:c r="N337" t="n">
        <x:v>0</x:v>
      </x:c>
      <x:c r="O337" t="n">
        <x:v>0</x:v>
      </x:c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 t="n">
        <x:v>0</x:v>
      </x:c>
      <x:c r="AE337" t="n">
        <x:v>0</x:v>
      </x:c>
      <x:c r="AF337" t="n">
        <x:v>0</x:v>
      </x:c>
      <x:c r="AG337" t="n">
        <x:f>_xlfn.XLOOKUP($A337,Games!$A$2:$A$18,Games!$B$2:$B$18,"Missing game",0)</x:f>
        <x:v>2025</x:v>
      </x:c>
      <x:c r="AH337" t="str">
        <x:f>_xlfn.XLOOKUP($A337,Games!$A$2:$A$18,Games!$C$2:$C$18,"Missing game",0)</x:f>
        <x:v>REG</x:v>
      </x:c>
      <x:c r="AI337" t="n">
        <x:f>_xlfn.XLOOKUP($A337,Games!$A$2:$A$18,Games!$D$2:$D$18,"Missing game",0)</x:f>
        <x:v>3</x:v>
      </x:c>
      <x:c r="AJ337" s="1" t="n">
        <x:f>_xlfn.XLOOKUP($A337,Games!$A$2:$A$18,Games!$E$2:$E$18,"Missing game",0)</x:f>
        <x:v>45921</x:v>
      </x:c>
      <x:c r="AK337" t="str">
        <x:f>_xlfn.XLOOKUP($A337,Games!$A$2:$A$18,Games!$F$2:$F$18,"Missing game",0)</x:f>
        <x:v>Sunday</x:v>
      </x:c>
      <x:c r="AL337" t="str">
        <x:f>_xlfn.XLOOKUP($A337,Games!$A$2:$A$18,Games!$G$2:$G$18,"Missing game",0)</x:f>
        <x:v>CIN</x:v>
      </x:c>
      <x:c r="AM337" t="n">
        <x:f>_xlfn.XLOOKUP($A337,Games!$A$2:$A$18,Games!$H$2:$H$18,"Missing game",0)</x:f>
        <x:v>10</x:v>
      </x:c>
      <x:c r="AN337" t="str">
        <x:f>_xlfn.XLOOKUP($A337,Games!$A$2:$A$18,Games!$I$2:$I$18,"Missing game",0)</x:f>
        <x:v>MIN</x:v>
      </x:c>
      <x:c r="AO337" t="n">
        <x:f>_xlfn.XLOOKUP($A337,Games!$A$2:$A$18,Games!$J$2:$J$18,"Missing game",0)</x:f>
        <x:v>48</x:v>
      </x:c>
      <x:c r="AP337" t="n">
        <x:f>_xlfn.XLOOKUP($A337,Games!$A$2:$A$18,Games!$K$2:$K$18,"Missing game",0)</x:f>
        <x:v>38</x:v>
      </x:c>
      <x:c r="AQ337" t="n">
        <x:f>_xlfn.XLOOKUP($A337,Games!$A$2:$A$18,Games!$L$2:$L$18,"Missing game",0)</x:f>
        <x:v>58</x:v>
      </x:c>
      <x:c r="AR337" t="n">
        <x:f>_xlfn.XLOOKUP($A337,Games!$A$2:$A$18,Games!$M$2:$M$18,"Missing game",0)</x:f>
        <x:v>0</x:v>
      </x:c>
      <x:c r="AS337" t="str">
        <x:f>_xlfn.XLOOKUP($A337,Games!$A$2:$A$18,Games!$N$2:$N$18,"Missing game",0)</x:f>
        <x:v>dome</x:v>
      </x:c>
      <x:c r="AT337" t="str">
        <x:f>_xlfn.XLOOKUP($A337,Games!$A$2:$A$18,Games!$O$2:$O$18,"Missing game",0)</x:f>
        <x:v>sportturf</x:v>
      </x:c>
      <x:c r="AU337" t="str">
        <x:f>_xlfn.XLOOKUP($A337,Games!$A$2:$A$18,Games!$P$2:$P$18,"Missing game",0)</x:f>
      </x:c>
      <x:c r="AV337" t="str">
        <x:f>_xlfn.XLOOKUP($A337,Games!$A$2:$A$18,Games!$Q$2:$Q$18,"Missing game",0)</x:f>
      </x:c>
      <x:c r="AW337" t="str">
        <x:f>_xlfn.XLOOKUP($A337,Games!$A$2:$A$18,Games!$R$2:$R$18,"Missing game",0)</x:f>
        <x:v>U.S. Bank Stadium</x:v>
      </x:c>
    </x:row>
    <x:row r="338">
      <x:c r="A338" t="str">
        <x:v>2025_03_CIN_MIN</x:v>
      </x:c>
      <x:c r="B338" t="n">
        <x:v>40</x:v>
      </x:c>
      <x:c r="C338" t="n">
        <x:v>1</x:v>
      </x:c>
      <x:c r="D338" t="str">
        <x:v>15:00</x:v>
      </x:c>
      <x:c r="E338"/>
      <x:c r="F338" t="n">
        <x:v>0</x:v>
      </x:c>
      <x:c r="G338" t="str">
        <x:v>MIN</x:v>
      </x:c>
      <x:c r="H338" t="str">
        <x:v>CIN</x:v>
      </x:c>
      <x:c r="I338" t="str">
        <x:v>CIN</x:v>
      </x:c>
      <x:c r="J338" t="n">
        <x:v>35</x:v>
      </x:c>
      <x:c r="K338" t="str">
        <x:v>2-E.McPherson kicks 57 yards from CIN 35 to MIN 8. 4-M.Price to MIN 36 for 28 yards (24-M.Wilson).</x:v>
      </x:c>
      <x:c r="L338" t="str">
        <x:v>kickoff</x:v>
      </x:c>
      <x:c r="M338" t="n">
        <x:v>0</x:v>
      </x:c>
      <x:c r="N338" t="n">
        <x:v>0</x:v>
      </x:c>
      <x:c r="O338" t="n">
        <x:v>0</x:v>
      </x:c>
      <x:c r="P338"/>
      <x:c r="Q338"/>
      <x:c r="R338"/>
      <x:c r="S338"/>
      <x:c r="T338"/>
      <x:c r="U338"/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/>
      <x:c r="AC338" t="n">
        <x:v>0</x:v>
      </x:c>
      <x:c r="AD338" t="n">
        <x:v>0.6877557667903602</x:v>
      </x:c>
      <x:c r="AE338" t="n">
        <x:v>1</x:v>
      </x:c>
      <x:c r="AF338" t="n">
        <x:v>0.02631157636642456</x:v>
      </x:c>
      <x:c r="AG338" t="n">
        <x:f>_xlfn.XLOOKUP($A338,Games!$A$2:$A$18,Games!$B$2:$B$18,"Missing game",0)</x:f>
        <x:v>2025</x:v>
      </x:c>
      <x:c r="AH338" t="str">
        <x:f>_xlfn.XLOOKUP($A338,Games!$A$2:$A$18,Games!$C$2:$C$18,"Missing game",0)</x:f>
        <x:v>REG</x:v>
      </x:c>
      <x:c r="AI338" t="n">
        <x:f>_xlfn.XLOOKUP($A338,Games!$A$2:$A$18,Games!$D$2:$D$18,"Missing game",0)</x:f>
        <x:v>3</x:v>
      </x:c>
      <x:c r="AJ338" s="1" t="n">
        <x:f>_xlfn.XLOOKUP($A338,Games!$A$2:$A$18,Games!$E$2:$E$18,"Missing game",0)</x:f>
        <x:v>45921</x:v>
      </x:c>
      <x:c r="AK338" t="str">
        <x:f>_xlfn.XLOOKUP($A338,Games!$A$2:$A$18,Games!$F$2:$F$18,"Missing game",0)</x:f>
        <x:v>Sunday</x:v>
      </x:c>
      <x:c r="AL338" t="str">
        <x:f>_xlfn.XLOOKUP($A338,Games!$A$2:$A$18,Games!$G$2:$G$18,"Missing game",0)</x:f>
        <x:v>CIN</x:v>
      </x:c>
      <x:c r="AM338" t="n">
        <x:f>_xlfn.XLOOKUP($A338,Games!$A$2:$A$18,Games!$H$2:$H$18,"Missing game",0)</x:f>
        <x:v>10</x:v>
      </x:c>
      <x:c r="AN338" t="str">
        <x:f>_xlfn.XLOOKUP($A338,Games!$A$2:$A$18,Games!$I$2:$I$18,"Missing game",0)</x:f>
        <x:v>MIN</x:v>
      </x:c>
      <x:c r="AO338" t="n">
        <x:f>_xlfn.XLOOKUP($A338,Games!$A$2:$A$18,Games!$J$2:$J$18,"Missing game",0)</x:f>
        <x:v>48</x:v>
      </x:c>
      <x:c r="AP338" t="n">
        <x:f>_xlfn.XLOOKUP($A338,Games!$A$2:$A$18,Games!$K$2:$K$18,"Missing game",0)</x:f>
        <x:v>38</x:v>
      </x:c>
      <x:c r="AQ338" t="n">
        <x:f>_xlfn.XLOOKUP($A338,Games!$A$2:$A$18,Games!$L$2:$L$18,"Missing game",0)</x:f>
        <x:v>58</x:v>
      </x:c>
      <x:c r="AR338" t="n">
        <x:f>_xlfn.XLOOKUP($A338,Games!$A$2:$A$18,Games!$M$2:$M$18,"Missing game",0)</x:f>
        <x:v>0</x:v>
      </x:c>
      <x:c r="AS338" t="str">
        <x:f>_xlfn.XLOOKUP($A338,Games!$A$2:$A$18,Games!$N$2:$N$18,"Missing game",0)</x:f>
        <x:v>dome</x:v>
      </x:c>
      <x:c r="AT338" t="str">
        <x:f>_xlfn.XLOOKUP($A338,Games!$A$2:$A$18,Games!$O$2:$O$18,"Missing game",0)</x:f>
        <x:v>sportturf</x:v>
      </x:c>
      <x:c r="AU338" t="str">
        <x:f>_xlfn.XLOOKUP($A338,Games!$A$2:$A$18,Games!$P$2:$P$18,"Missing game",0)</x:f>
      </x:c>
      <x:c r="AV338" t="str">
        <x:f>_xlfn.XLOOKUP($A338,Games!$A$2:$A$18,Games!$Q$2:$Q$18,"Missing game",0)</x:f>
      </x:c>
      <x:c r="AW338" t="str">
        <x:f>_xlfn.XLOOKUP($A338,Games!$A$2:$A$18,Games!$R$2:$R$18,"Missing game",0)</x:f>
        <x:v>U.S. Bank Stadium</x:v>
      </x:c>
    </x:row>
    <x:row r="339">
      <x:c r="A339" t="str">
        <x:v>2025_03_CIN_MIN</x:v>
      </x:c>
      <x:c r="B339" t="n">
        <x:v>63</x:v>
      </x:c>
      <x:c r="C339" t="n">
        <x:v>1</x:v>
      </x:c>
      <x:c r="D339" t="str">
        <x:v>14:55</x:v>
      </x:c>
      <x:c r="E339" t="n">
        <x:v>1</x:v>
      </x:c>
      <x:c r="F339" t="n">
        <x:v>10</x:v>
      </x:c>
      <x:c r="G339" t="str">
        <x:v>MIN</x:v>
      </x:c>
      <x:c r="H339" t="str">
        <x:v>CIN</x:v>
      </x:c>
      <x:c r="I339" t="str">
        <x:v>MIN</x:v>
      </x:c>
      <x:c r="J339" t="n">
        <x:v>64</x:v>
      </x:c>
      <x:c r="K339" t="str">
        <x:v>(14:55) 27-J.Mason left end pushed ob at MIN 46 for 10 yards (28-J.Newton). PENALTY on CIN-92-B.Hill, Defensive Holding, 5 yards, enforced at MIN 46. Penalty on CIN-23-D.Hill, Illegal Use of Hands, declined.</x:v>
      </x:c>
      <x:c r="L339" t="str">
        <x:v>run</x:v>
      </x:c>
      <x:c r="M339" t="n">
        <x:v>10</x:v>
      </x:c>
      <x:c r="N339" t="n">
        <x:v>0</x:v>
      </x:c>
      <x:c r="O339" t="n">
        <x:v>0</x:v>
      </x:c>
      <x:c r="P339"/>
      <x:c r="Q339"/>
      <x:c r="R339"/>
      <x:c r="S339"/>
      <x:c r="T339" t="str">
        <x:v>left</x:v>
      </x:c>
      <x:c r="U339" t="str">
        <x:v>end</x:v>
      </x:c>
      <x:c r="V339" t="n">
        <x:v>0</x:v>
      </x:c>
      <x:c r="W339" t="n">
        <x:v>1</x:v>
      </x:c>
      <x:c r="X339" t="n">
        <x:v>0</x:v>
      </x:c>
      <x:c r="Y339" t="n">
        <x:v>0</x:v>
      </x:c>
      <x:c r="Z339" t="n">
        <x:v>0</x:v>
      </x:c>
      <x:c r="AA339" t="n">
        <x:v>1</x:v>
      </x:c>
      <x:c r="AB339" t="n">
        <x:v>5</x:v>
      </x:c>
      <x:c r="AC339" t="n">
        <x:v>0</x:v>
      </x:c>
      <x:c r="AD339" t="n">
        <x:v>0.786311702337116</x:v>
      </x:c>
      <x:c r="AE339" t="n">
        <x:v>1</x:v>
      </x:c>
      <x:c r="AF339" t="n">
        <x:v>0.011873304843902588</x:v>
      </x:c>
      <x:c r="AG339" t="n">
        <x:f>_xlfn.XLOOKUP($A339,Games!$A$2:$A$18,Games!$B$2:$B$18,"Missing game",0)</x:f>
        <x:v>2025</x:v>
      </x:c>
      <x:c r="AH339" t="str">
        <x:f>_xlfn.XLOOKUP($A339,Games!$A$2:$A$18,Games!$C$2:$C$18,"Missing game",0)</x:f>
        <x:v>REG</x:v>
      </x:c>
      <x:c r="AI339" t="n">
        <x:f>_xlfn.XLOOKUP($A339,Games!$A$2:$A$18,Games!$D$2:$D$18,"Missing game",0)</x:f>
        <x:v>3</x:v>
      </x:c>
      <x:c r="AJ339" s="1" t="n">
        <x:f>_xlfn.XLOOKUP($A339,Games!$A$2:$A$18,Games!$E$2:$E$18,"Missing game",0)</x:f>
        <x:v>45921</x:v>
      </x:c>
      <x:c r="AK339" t="str">
        <x:f>_xlfn.XLOOKUP($A339,Games!$A$2:$A$18,Games!$F$2:$F$18,"Missing game",0)</x:f>
        <x:v>Sunday</x:v>
      </x:c>
      <x:c r="AL339" t="str">
        <x:f>_xlfn.XLOOKUP($A339,Games!$A$2:$A$18,Games!$G$2:$G$18,"Missing game",0)</x:f>
        <x:v>CIN</x:v>
      </x:c>
      <x:c r="AM339" t="n">
        <x:f>_xlfn.XLOOKUP($A339,Games!$A$2:$A$18,Games!$H$2:$H$18,"Missing game",0)</x:f>
        <x:v>10</x:v>
      </x:c>
      <x:c r="AN339" t="str">
        <x:f>_xlfn.XLOOKUP($A339,Games!$A$2:$A$18,Games!$I$2:$I$18,"Missing game",0)</x:f>
        <x:v>MIN</x:v>
      </x:c>
      <x:c r="AO339" t="n">
        <x:f>_xlfn.XLOOKUP($A339,Games!$A$2:$A$18,Games!$J$2:$J$18,"Missing game",0)</x:f>
        <x:v>48</x:v>
      </x:c>
      <x:c r="AP339" t="n">
        <x:f>_xlfn.XLOOKUP($A339,Games!$A$2:$A$18,Games!$K$2:$K$18,"Missing game",0)</x:f>
        <x:v>38</x:v>
      </x:c>
      <x:c r="AQ339" t="n">
        <x:f>_xlfn.XLOOKUP($A339,Games!$A$2:$A$18,Games!$L$2:$L$18,"Missing game",0)</x:f>
        <x:v>58</x:v>
      </x:c>
      <x:c r="AR339" t="n">
        <x:f>_xlfn.XLOOKUP($A339,Games!$A$2:$A$18,Games!$M$2:$M$18,"Missing game",0)</x:f>
        <x:v>0</x:v>
      </x:c>
      <x:c r="AS339" t="str">
        <x:f>_xlfn.XLOOKUP($A339,Games!$A$2:$A$18,Games!$N$2:$N$18,"Missing game",0)</x:f>
        <x:v>dome</x:v>
      </x:c>
      <x:c r="AT339" t="str">
        <x:f>_xlfn.XLOOKUP($A339,Games!$A$2:$A$18,Games!$O$2:$O$18,"Missing game",0)</x:f>
        <x:v>sportturf</x:v>
      </x:c>
      <x:c r="AU339" t="str">
        <x:f>_xlfn.XLOOKUP($A339,Games!$A$2:$A$18,Games!$P$2:$P$18,"Missing game",0)</x:f>
      </x:c>
      <x:c r="AV339" t="str">
        <x:f>_xlfn.XLOOKUP($A339,Games!$A$2:$A$18,Games!$Q$2:$Q$18,"Missing game",0)</x:f>
      </x:c>
      <x:c r="AW339" t="str">
        <x:f>_xlfn.XLOOKUP($A339,Games!$A$2:$A$18,Games!$R$2:$R$18,"Missing game",0)</x:f>
        <x:v>U.S. Bank Stadium</x:v>
      </x:c>
    </x:row>
    <x:row r="340">
      <x:c r="A340" t="str">
        <x:v>2025_03_CIN_MIN</x:v>
      </x:c>
      <x:c r="B340" t="n">
        <x:v>96</x:v>
      </x:c>
      <x:c r="C340" t="n">
        <x:v>1</x:v>
      </x:c>
      <x:c r="D340" t="str">
        <x:v>14:41</x:v>
      </x:c>
      <x:c r="E340" t="n">
        <x:v>1</x:v>
      </x:c>
      <x:c r="F340" t="n">
        <x:v>10</x:v>
      </x:c>
      <x:c r="G340" t="str">
        <x:v>MIN</x:v>
      </x:c>
      <x:c r="H340" t="str">
        <x:v>CIN</x:v>
      </x:c>
      <x:c r="I340" t="str">
        <x:v>CIN</x:v>
      </x:c>
      <x:c r="J340" t="n">
        <x:v>49</x:v>
      </x:c>
      <x:c r="K340" t="str">
        <x:v>(14:41) (Shotgun) 11-C.Wentz pass short right to 18-J.Jefferson to CIN 48 for 1 yard (23-D.Hill). PENALTY on CIN-23-D.Hill, Low Block, 15 yards, enforced at CIN 48.</x:v>
      </x:c>
      <x:c r="L340" t="str">
        <x:v>pass</x:v>
      </x:c>
      <x:c r="M340" t="n">
        <x:v>1</x:v>
      </x:c>
      <x:c r="N340" t="n">
        <x:v>1</x:v>
      </x:c>
      <x:c r="O340" t="n">
        <x:v>0</x:v>
      </x:c>
      <x:c r="P340" t="str">
        <x:v>short</x:v>
      </x:c>
      <x:c r="Q340" t="str">
        <x:v>right</x:v>
      </x:c>
      <x:c r="R340" t="n">
        <x:v>-4</x:v>
      </x:c>
      <x:c r="S340" t="n">
        <x:v>5</x:v>
      </x:c>
      <x:c r="T340"/>
      <x:c r="U340"/>
      <x:c r="V340" t="n">
        <x:v>1</x:v>
      </x:c>
      <x:c r="W340" t="n">
        <x:v>1</x:v>
      </x:c>
      <x:c r="X340" t="n">
        <x:v>0</x:v>
      </x:c>
      <x:c r="Y340" t="n">
        <x:v>0</x:v>
      </x:c>
      <x:c r="Z340" t="n">
        <x:v>0</x:v>
      </x:c>
      <x:c r="AA340" t="n">
        <x:v>1</x:v>
      </x:c>
      <x:c r="AB340" t="n">
        <x:v>15</x:v>
      </x:c>
      <x:c r="AC340" t="n">
        <x:v>0</x:v>
      </x:c>
      <x:c r="AD340" t="n">
        <x:v>0.9326889754738659</x:v>
      </x:c>
      <x:c r="AE340" t="n">
        <x:v>1</x:v>
      </x:c>
      <x:c r="AF340" t="n">
        <x:v>0.04792904853820801</x:v>
      </x:c>
      <x:c r="AG340" t="n">
        <x:f>_xlfn.XLOOKUP($A340,Games!$A$2:$A$18,Games!$B$2:$B$18,"Missing game",0)</x:f>
        <x:v>2025</x:v>
      </x:c>
      <x:c r="AH340" t="str">
        <x:f>_xlfn.XLOOKUP($A340,Games!$A$2:$A$18,Games!$C$2:$C$18,"Missing game",0)</x:f>
        <x:v>REG</x:v>
      </x:c>
      <x:c r="AI340" t="n">
        <x:f>_xlfn.XLOOKUP($A340,Games!$A$2:$A$18,Games!$D$2:$D$18,"Missing game",0)</x:f>
        <x:v>3</x:v>
      </x:c>
      <x:c r="AJ340" s="1" t="n">
        <x:f>_xlfn.XLOOKUP($A340,Games!$A$2:$A$18,Games!$E$2:$E$18,"Missing game",0)</x:f>
        <x:v>45921</x:v>
      </x:c>
      <x:c r="AK340" t="str">
        <x:f>_xlfn.XLOOKUP($A340,Games!$A$2:$A$18,Games!$F$2:$F$18,"Missing game",0)</x:f>
        <x:v>Sunday</x:v>
      </x:c>
      <x:c r="AL340" t="str">
        <x:f>_xlfn.XLOOKUP($A340,Games!$A$2:$A$18,Games!$G$2:$G$18,"Missing game",0)</x:f>
        <x:v>CIN</x:v>
      </x:c>
      <x:c r="AM340" t="n">
        <x:f>_xlfn.XLOOKUP($A340,Games!$A$2:$A$18,Games!$H$2:$H$18,"Missing game",0)</x:f>
        <x:v>10</x:v>
      </x:c>
      <x:c r="AN340" t="str">
        <x:f>_xlfn.XLOOKUP($A340,Games!$A$2:$A$18,Games!$I$2:$I$18,"Missing game",0)</x:f>
        <x:v>MIN</x:v>
      </x:c>
      <x:c r="AO340" t="n">
        <x:f>_xlfn.XLOOKUP($A340,Games!$A$2:$A$18,Games!$J$2:$J$18,"Missing game",0)</x:f>
        <x:v>48</x:v>
      </x:c>
      <x:c r="AP340" t="n">
        <x:f>_xlfn.XLOOKUP($A340,Games!$A$2:$A$18,Games!$K$2:$K$18,"Missing game",0)</x:f>
        <x:v>38</x:v>
      </x:c>
      <x:c r="AQ340" t="n">
        <x:f>_xlfn.XLOOKUP($A340,Games!$A$2:$A$18,Games!$L$2:$L$18,"Missing game",0)</x:f>
        <x:v>58</x:v>
      </x:c>
      <x:c r="AR340" t="n">
        <x:f>_xlfn.XLOOKUP($A340,Games!$A$2:$A$18,Games!$M$2:$M$18,"Missing game",0)</x:f>
        <x:v>0</x:v>
      </x:c>
      <x:c r="AS340" t="str">
        <x:f>_xlfn.XLOOKUP($A340,Games!$A$2:$A$18,Games!$N$2:$N$18,"Missing game",0)</x:f>
        <x:v>dome</x:v>
      </x:c>
      <x:c r="AT340" t="str">
        <x:f>_xlfn.XLOOKUP($A340,Games!$A$2:$A$18,Games!$O$2:$O$18,"Missing game",0)</x:f>
        <x:v>sportturf</x:v>
      </x:c>
      <x:c r="AU340" t="str">
        <x:f>_xlfn.XLOOKUP($A340,Games!$A$2:$A$18,Games!$P$2:$P$18,"Missing game",0)</x:f>
      </x:c>
      <x:c r="AV340" t="str">
        <x:f>_xlfn.XLOOKUP($A340,Games!$A$2:$A$18,Games!$Q$2:$Q$18,"Missing game",0)</x:f>
      </x:c>
      <x:c r="AW340" t="str">
        <x:f>_xlfn.XLOOKUP($A340,Games!$A$2:$A$18,Games!$R$2:$R$18,"Missing game",0)</x:f>
        <x:v>U.S. Bank Stadium</x:v>
      </x:c>
    </x:row>
    <x:row r="341">
      <x:c r="A341" t="str">
        <x:v>2025_03_CIN_MIN</x:v>
      </x:c>
      <x:c r="B341" t="n">
        <x:v>137</x:v>
      </x:c>
      <x:c r="C341" t="n">
        <x:v>1</x:v>
      </x:c>
      <x:c r="D341" t="str">
        <x:v>14:25</x:v>
      </x:c>
      <x:c r="E341" t="n">
        <x:v>1</x:v>
      </x:c>
      <x:c r="F341" t="n">
        <x:v>10</x:v>
      </x:c>
      <x:c r="G341" t="str">
        <x:v>MIN</x:v>
      </x:c>
      <x:c r="H341" t="str">
        <x:v>CIN</x:v>
      </x:c>
      <x:c r="I341" t="str">
        <x:v>CIN</x:v>
      </x:c>
      <x:c r="J341" t="n">
        <x:v>33</x:v>
      </x:c>
      <x:c r="K341" t="str">
        <x:v>(14:25) 11-C.Wentz pass short middle to 18-J.Jefferson to CIN 17 for 16 yards (22-G.Stone).</x:v>
      </x:c>
      <x:c r="L341" t="str">
        <x:v>pass</x:v>
      </x:c>
      <x:c r="M341" t="n">
        <x:v>16</x:v>
      </x:c>
      <x:c r="N341" t="n">
        <x:v>0</x:v>
      </x:c>
      <x:c r="O341" t="n">
        <x:v>0</x:v>
      </x:c>
      <x:c r="P341" t="str">
        <x:v>short</x:v>
      </x:c>
      <x:c r="Q341" t="str">
        <x:v>middle</x:v>
      </x:c>
      <x:c r="R341" t="n">
        <x:v>14</x:v>
      </x:c>
      <x:c r="S341" t="n">
        <x:v>2</x:v>
      </x:c>
      <x:c r="T341"/>
      <x:c r="U341"/>
      <x:c r="V341" t="n">
        <x:v>1</x:v>
      </x:c>
      <x:c r="W341" t="n">
        <x:v>1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/>
      <x:c r="AC341" t="n">
        <x:v>0</x:v>
      </x:c>
      <x:c r="AD341" t="n">
        <x:v>0.9745909092016518</x:v>
      </x:c>
      <x:c r="AE341" t="n">
        <x:v>1</x:v>
      </x:c>
      <x:c r="AF341" t="n">
        <x:v>0.027356982231140137</x:v>
      </x:c>
      <x:c r="AG341" t="n">
        <x:f>_xlfn.XLOOKUP($A341,Games!$A$2:$A$18,Games!$B$2:$B$18,"Missing game",0)</x:f>
        <x:v>2025</x:v>
      </x:c>
      <x:c r="AH341" t="str">
        <x:f>_xlfn.XLOOKUP($A341,Games!$A$2:$A$18,Games!$C$2:$C$18,"Missing game",0)</x:f>
        <x:v>REG</x:v>
      </x:c>
      <x:c r="AI341" t="n">
        <x:f>_xlfn.XLOOKUP($A341,Games!$A$2:$A$18,Games!$D$2:$D$18,"Missing game",0)</x:f>
        <x:v>3</x:v>
      </x:c>
      <x:c r="AJ341" s="1" t="n">
        <x:f>_xlfn.XLOOKUP($A341,Games!$A$2:$A$18,Games!$E$2:$E$18,"Missing game",0)</x:f>
        <x:v>45921</x:v>
      </x:c>
      <x:c r="AK341" t="str">
        <x:f>_xlfn.XLOOKUP($A341,Games!$A$2:$A$18,Games!$F$2:$F$18,"Missing game",0)</x:f>
        <x:v>Sunday</x:v>
      </x:c>
      <x:c r="AL341" t="str">
        <x:f>_xlfn.XLOOKUP($A341,Games!$A$2:$A$18,Games!$G$2:$G$18,"Missing game",0)</x:f>
        <x:v>CIN</x:v>
      </x:c>
      <x:c r="AM341" t="n">
        <x:f>_xlfn.XLOOKUP($A341,Games!$A$2:$A$18,Games!$H$2:$H$18,"Missing game",0)</x:f>
        <x:v>10</x:v>
      </x:c>
      <x:c r="AN341" t="str">
        <x:f>_xlfn.XLOOKUP($A341,Games!$A$2:$A$18,Games!$I$2:$I$18,"Missing game",0)</x:f>
        <x:v>MIN</x:v>
      </x:c>
      <x:c r="AO341" t="n">
        <x:f>_xlfn.XLOOKUP($A341,Games!$A$2:$A$18,Games!$J$2:$J$18,"Missing game",0)</x:f>
        <x:v>48</x:v>
      </x:c>
      <x:c r="AP341" t="n">
        <x:f>_xlfn.XLOOKUP($A341,Games!$A$2:$A$18,Games!$K$2:$K$18,"Missing game",0)</x:f>
        <x:v>38</x:v>
      </x:c>
      <x:c r="AQ341" t="n">
        <x:f>_xlfn.XLOOKUP($A341,Games!$A$2:$A$18,Games!$L$2:$L$18,"Missing game",0)</x:f>
        <x:v>58</x:v>
      </x:c>
      <x:c r="AR341" t="n">
        <x:f>_xlfn.XLOOKUP($A341,Games!$A$2:$A$18,Games!$M$2:$M$18,"Missing game",0)</x:f>
        <x:v>0</x:v>
      </x:c>
      <x:c r="AS341" t="str">
        <x:f>_xlfn.XLOOKUP($A341,Games!$A$2:$A$18,Games!$N$2:$N$18,"Missing game",0)</x:f>
        <x:v>dome</x:v>
      </x:c>
      <x:c r="AT341" t="str">
        <x:f>_xlfn.XLOOKUP($A341,Games!$A$2:$A$18,Games!$O$2:$O$18,"Missing game",0)</x:f>
        <x:v>sportturf</x:v>
      </x:c>
      <x:c r="AU341" t="str">
        <x:f>_xlfn.XLOOKUP($A341,Games!$A$2:$A$18,Games!$P$2:$P$18,"Missing game",0)</x:f>
      </x:c>
      <x:c r="AV341" t="str">
        <x:f>_xlfn.XLOOKUP($A341,Games!$A$2:$A$18,Games!$Q$2:$Q$18,"Missing game",0)</x:f>
      </x:c>
      <x:c r="AW341" t="str">
        <x:f>_xlfn.XLOOKUP($A341,Games!$A$2:$A$18,Games!$R$2:$R$18,"Missing game",0)</x:f>
        <x:v>U.S. Bank Stadium</x:v>
      </x:c>
    </x:row>
    <x:row r="342">
      <x:c r="A342" t="str">
        <x:v>2025_03_CIN_MIN</x:v>
      </x:c>
      <x:c r="B342" t="n">
        <x:v>162</x:v>
      </x:c>
      <x:c r="C342" t="n">
        <x:v>1</x:v>
      </x:c>
      <x:c r="D342" t="str">
        <x:v>13:43</x:v>
      </x:c>
      <x:c r="E342" t="n">
        <x:v>1</x:v>
      </x:c>
      <x:c r="F342" t="n">
        <x:v>10</x:v>
      </x:c>
      <x:c r="G342" t="str">
        <x:v>MIN</x:v>
      </x:c>
      <x:c r="H342" t="str">
        <x:v>CIN</x:v>
      </x:c>
      <x:c r="I342" t="str">
        <x:v>CIN</x:v>
      </x:c>
      <x:c r="J342" t="n">
        <x:v>17</x:v>
      </x:c>
      <x:c r="K342" t="str">
        <x:v>(13:43) 11-C.Wentz pass incomplete deep left to 19-A.Thielen.</x:v>
      </x:c>
      <x:c r="L342" t="str">
        <x:v>pass</x:v>
      </x:c>
      <x:c r="M342" t="n">
        <x:v>0</x:v>
      </x:c>
      <x:c r="N342" t="n">
        <x:v>0</x:v>
      </x:c>
      <x:c r="O342" t="n">
        <x:v>0</x:v>
      </x:c>
      <x:c r="P342" t="str">
        <x:v>deep</x:v>
      </x:c>
      <x:c r="Q342" t="str">
        <x:v>left</x:v>
      </x:c>
      <x:c r="R342" t="n">
        <x:v>17</x:v>
      </x:c>
      <x:c r="S342"/>
      <x:c r="T342"/>
      <x:c r="U342"/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/>
      <x:c r="AC342" t="n">
        <x:v>0</x:v>
      </x:c>
      <x:c r="AD342" t="n">
        <x:v>-0.42500048712827265</x:v>
      </x:c>
      <x:c r="AE342" t="n">
        <x:v>0</x:v>
      </x:c>
      <x:c r="AF342" t="n">
        <x:v>-0.014106214046478271</x:v>
      </x:c>
      <x:c r="AG342" t="n">
        <x:f>_xlfn.XLOOKUP($A342,Games!$A$2:$A$18,Games!$B$2:$B$18,"Missing game",0)</x:f>
        <x:v>2025</x:v>
      </x:c>
      <x:c r="AH342" t="str">
        <x:f>_xlfn.XLOOKUP($A342,Games!$A$2:$A$18,Games!$C$2:$C$18,"Missing game",0)</x:f>
        <x:v>REG</x:v>
      </x:c>
      <x:c r="AI342" t="n">
        <x:f>_xlfn.XLOOKUP($A342,Games!$A$2:$A$18,Games!$D$2:$D$18,"Missing game",0)</x:f>
        <x:v>3</x:v>
      </x:c>
      <x:c r="AJ342" s="1" t="n">
        <x:f>_xlfn.XLOOKUP($A342,Games!$A$2:$A$18,Games!$E$2:$E$18,"Missing game",0)</x:f>
        <x:v>45921</x:v>
      </x:c>
      <x:c r="AK342" t="str">
        <x:f>_xlfn.XLOOKUP($A342,Games!$A$2:$A$18,Games!$F$2:$F$18,"Missing game",0)</x:f>
        <x:v>Sunday</x:v>
      </x:c>
      <x:c r="AL342" t="str">
        <x:f>_xlfn.XLOOKUP($A342,Games!$A$2:$A$18,Games!$G$2:$G$18,"Missing game",0)</x:f>
        <x:v>CIN</x:v>
      </x:c>
      <x:c r="AM342" t="n">
        <x:f>_xlfn.XLOOKUP($A342,Games!$A$2:$A$18,Games!$H$2:$H$18,"Missing game",0)</x:f>
        <x:v>10</x:v>
      </x:c>
      <x:c r="AN342" t="str">
        <x:f>_xlfn.XLOOKUP($A342,Games!$A$2:$A$18,Games!$I$2:$I$18,"Missing game",0)</x:f>
        <x:v>MIN</x:v>
      </x:c>
      <x:c r="AO342" t="n">
        <x:f>_xlfn.XLOOKUP($A342,Games!$A$2:$A$18,Games!$J$2:$J$18,"Missing game",0)</x:f>
        <x:v>48</x:v>
      </x:c>
      <x:c r="AP342" t="n">
        <x:f>_xlfn.XLOOKUP($A342,Games!$A$2:$A$18,Games!$K$2:$K$18,"Missing game",0)</x:f>
        <x:v>38</x:v>
      </x:c>
      <x:c r="AQ342" t="n">
        <x:f>_xlfn.XLOOKUP($A342,Games!$A$2:$A$18,Games!$L$2:$L$18,"Missing game",0)</x:f>
        <x:v>58</x:v>
      </x:c>
      <x:c r="AR342" t="n">
        <x:f>_xlfn.XLOOKUP($A342,Games!$A$2:$A$18,Games!$M$2:$M$18,"Missing game",0)</x:f>
        <x:v>0</x:v>
      </x:c>
      <x:c r="AS342" t="str">
        <x:f>_xlfn.XLOOKUP($A342,Games!$A$2:$A$18,Games!$N$2:$N$18,"Missing game",0)</x:f>
        <x:v>dome</x:v>
      </x:c>
      <x:c r="AT342" t="str">
        <x:f>_xlfn.XLOOKUP($A342,Games!$A$2:$A$18,Games!$O$2:$O$18,"Missing game",0)</x:f>
        <x:v>sportturf</x:v>
      </x:c>
      <x:c r="AU342" t="str">
        <x:f>_xlfn.XLOOKUP($A342,Games!$A$2:$A$18,Games!$P$2:$P$18,"Missing game",0)</x:f>
      </x:c>
      <x:c r="AV342" t="str">
        <x:f>_xlfn.XLOOKUP($A342,Games!$A$2:$A$18,Games!$Q$2:$Q$18,"Missing game",0)</x:f>
      </x:c>
      <x:c r="AW342" t="str">
        <x:f>_xlfn.XLOOKUP($A342,Games!$A$2:$A$18,Games!$R$2:$R$18,"Missing game",0)</x:f>
        <x:v>U.S. Bank Stadium</x:v>
      </x:c>
    </x:row>
    <x:row r="343">
      <x:c r="A343" t="str">
        <x:v>2025_03_CIN_MIN</x:v>
      </x:c>
      <x:c r="B343" t="n">
        <x:v>197</x:v>
      </x:c>
      <x:c r="C343" t="n">
        <x:v>1</x:v>
      </x:c>
      <x:c r="D343" t="str">
        <x:v>13:36</x:v>
      </x:c>
      <x:c r="E343" t="n">
        <x:v>2</x:v>
      </x:c>
      <x:c r="F343" t="n">
        <x:v>10</x:v>
      </x:c>
      <x:c r="G343" t="str">
        <x:v>MIN</x:v>
      </x:c>
      <x:c r="H343" t="str">
        <x:v>CIN</x:v>
      </x:c>
      <x:c r="I343" t="str">
        <x:v>CIN</x:v>
      </x:c>
      <x:c r="J343" t="n">
        <x:v>17</x:v>
      </x:c>
      <x:c r="K343" t="str">
        <x:v>(13:36) (Shotgun) 27-J.Mason right tackle to CIN 12 for 5 yards (90-K.Jenkins).</x:v>
      </x:c>
      <x:c r="L343" t="str">
        <x:v>run</x:v>
      </x:c>
      <x:c r="M343" t="n">
        <x:v>5</x:v>
      </x:c>
      <x:c r="N343" t="n">
        <x:v>1</x:v>
      </x:c>
      <x:c r="O343" t="n">
        <x:v>0</x:v>
      </x:c>
      <x:c r="P343"/>
      <x:c r="Q343"/>
      <x:c r="R343"/>
      <x:c r="S343"/>
      <x:c r="T343" t="str">
        <x:v>right</x:v>
      </x:c>
      <x:c r="U343" t="str">
        <x:v>tackle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/>
      <x:c r="AC343" t="n">
        <x:v>0</x:v>
      </x:c>
      <x:c r="AD343" t="n">
        <x:v>-0.25844889250583947</x:v>
      </x:c>
      <x:c r="AE343" t="n">
        <x:v>0</x:v>
      </x:c>
      <x:c r="AF343" t="n">
        <x:v>0.00029265880584716797</x:v>
      </x:c>
      <x:c r="AG343" t="n">
        <x:f>_xlfn.XLOOKUP($A343,Games!$A$2:$A$18,Games!$B$2:$B$18,"Missing game",0)</x:f>
        <x:v>2025</x:v>
      </x:c>
      <x:c r="AH343" t="str">
        <x:f>_xlfn.XLOOKUP($A343,Games!$A$2:$A$18,Games!$C$2:$C$18,"Missing game",0)</x:f>
        <x:v>REG</x:v>
      </x:c>
      <x:c r="AI343" t="n">
        <x:f>_xlfn.XLOOKUP($A343,Games!$A$2:$A$18,Games!$D$2:$D$18,"Missing game",0)</x:f>
        <x:v>3</x:v>
      </x:c>
      <x:c r="AJ343" s="1" t="n">
        <x:f>_xlfn.XLOOKUP($A343,Games!$A$2:$A$18,Games!$E$2:$E$18,"Missing game",0)</x:f>
        <x:v>45921</x:v>
      </x:c>
      <x:c r="AK343" t="str">
        <x:f>_xlfn.XLOOKUP($A343,Games!$A$2:$A$18,Games!$F$2:$F$18,"Missing game",0)</x:f>
        <x:v>Sunday</x:v>
      </x:c>
      <x:c r="AL343" t="str">
        <x:f>_xlfn.XLOOKUP($A343,Games!$A$2:$A$18,Games!$G$2:$G$18,"Missing game",0)</x:f>
        <x:v>CIN</x:v>
      </x:c>
      <x:c r="AM343" t="n">
        <x:f>_xlfn.XLOOKUP($A343,Games!$A$2:$A$18,Games!$H$2:$H$18,"Missing game",0)</x:f>
        <x:v>10</x:v>
      </x:c>
      <x:c r="AN343" t="str">
        <x:f>_xlfn.XLOOKUP($A343,Games!$A$2:$A$18,Games!$I$2:$I$18,"Missing game",0)</x:f>
        <x:v>MIN</x:v>
      </x:c>
      <x:c r="AO343" t="n">
        <x:f>_xlfn.XLOOKUP($A343,Games!$A$2:$A$18,Games!$J$2:$J$18,"Missing game",0)</x:f>
        <x:v>48</x:v>
      </x:c>
      <x:c r="AP343" t="n">
        <x:f>_xlfn.XLOOKUP($A343,Games!$A$2:$A$18,Games!$K$2:$K$18,"Missing game",0)</x:f>
        <x:v>38</x:v>
      </x:c>
      <x:c r="AQ343" t="n">
        <x:f>_xlfn.XLOOKUP($A343,Games!$A$2:$A$18,Games!$L$2:$L$18,"Missing game",0)</x:f>
        <x:v>58</x:v>
      </x:c>
      <x:c r="AR343" t="n">
        <x:f>_xlfn.XLOOKUP($A343,Games!$A$2:$A$18,Games!$M$2:$M$18,"Missing game",0)</x:f>
        <x:v>0</x:v>
      </x:c>
      <x:c r="AS343" t="str">
        <x:f>_xlfn.XLOOKUP($A343,Games!$A$2:$A$18,Games!$N$2:$N$18,"Missing game",0)</x:f>
        <x:v>dome</x:v>
      </x:c>
      <x:c r="AT343" t="str">
        <x:f>_xlfn.XLOOKUP($A343,Games!$A$2:$A$18,Games!$O$2:$O$18,"Missing game",0)</x:f>
        <x:v>sportturf</x:v>
      </x:c>
      <x:c r="AU343" t="str">
        <x:f>_xlfn.XLOOKUP($A343,Games!$A$2:$A$18,Games!$P$2:$P$18,"Missing game",0)</x:f>
      </x:c>
      <x:c r="AV343" t="str">
        <x:f>_xlfn.XLOOKUP($A343,Games!$A$2:$A$18,Games!$Q$2:$Q$18,"Missing game",0)</x:f>
      </x:c>
      <x:c r="AW343" t="str">
        <x:f>_xlfn.XLOOKUP($A343,Games!$A$2:$A$18,Games!$R$2:$R$18,"Missing game",0)</x:f>
        <x:v>U.S. Bank Stadium</x:v>
      </x:c>
    </x:row>
    <x:row r="344">
      <x:c r="A344" t="str">
        <x:v>2025_03_CIN_MIN</x:v>
      </x:c>
      <x:c r="B344" t="n">
        <x:v>219</x:v>
      </x:c>
      <x:c r="C344" t="n">
        <x:v>1</x:v>
      </x:c>
      <x:c r="D344" t="str">
        <x:v>13:01</x:v>
      </x:c>
      <x:c r="E344" t="n">
        <x:v>3</x:v>
      </x:c>
      <x:c r="F344" t="n">
        <x:v>5</x:v>
      </x:c>
      <x:c r="G344" t="str">
        <x:v>MIN</x:v>
      </x:c>
      <x:c r="H344" t="str">
        <x:v>CIN</x:v>
      </x:c>
      <x:c r="I344" t="str">
        <x:v>CIN</x:v>
      </x:c>
      <x:c r="J344" t="n">
        <x:v>12</x:v>
      </x:c>
      <x:c r="K344" t="str">
        <x:v>(13:01) (Shotgun) 11-C.Wentz pass short right to 84-J.Oliver for 12 yards, TOUCHDOWN.</x:v>
      </x:c>
      <x:c r="L344" t="str">
        <x:v>pass</x:v>
      </x:c>
      <x:c r="M344" t="n">
        <x:v>12</x:v>
      </x:c>
      <x:c r="N344" t="n">
        <x:v>1</x:v>
      </x:c>
      <x:c r="O344" t="n">
        <x:v>0</x:v>
      </x:c>
      <x:c r="P344" t="str">
        <x:v>short</x:v>
      </x:c>
      <x:c r="Q344" t="str">
        <x:v>right</x:v>
      </x:c>
      <x:c r="R344" t="n">
        <x:v>6</x:v>
      </x:c>
      <x:c r="S344" t="n">
        <x:v>6</x:v>
      </x:c>
      <x:c r="T344"/>
      <x:c r="U344"/>
      <x:c r="V344" t="n">
        <x:v>1</x:v>
      </x:c>
      <x:c r="W344" t="n">
        <x:v>1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/>
      <x:c r="AC344" t="n">
        <x:v>1</x:v>
      </x:c>
      <x:c r="AD344" t="n">
        <x:v>2.460818041814491</x:v>
      </x:c>
      <x:c r="AE344" t="n">
        <x:v>1</x:v>
      </x:c>
      <x:c r="AF344" t="n">
        <x:v>0.05202852010200598</x:v>
      </x:c>
      <x:c r="AG344" t="n">
        <x:f>_xlfn.XLOOKUP($A344,Games!$A$2:$A$18,Games!$B$2:$B$18,"Missing game",0)</x:f>
        <x:v>2025</x:v>
      </x:c>
      <x:c r="AH344" t="str">
        <x:f>_xlfn.XLOOKUP($A344,Games!$A$2:$A$18,Games!$C$2:$C$18,"Missing game",0)</x:f>
        <x:v>REG</x:v>
      </x:c>
      <x:c r="AI344" t="n">
        <x:f>_xlfn.XLOOKUP($A344,Games!$A$2:$A$18,Games!$D$2:$D$18,"Missing game",0)</x:f>
        <x:v>3</x:v>
      </x:c>
      <x:c r="AJ344" s="1" t="n">
        <x:f>_xlfn.XLOOKUP($A344,Games!$A$2:$A$18,Games!$E$2:$E$18,"Missing game",0)</x:f>
        <x:v>45921</x:v>
      </x:c>
      <x:c r="AK344" t="str">
        <x:f>_xlfn.XLOOKUP($A344,Games!$A$2:$A$18,Games!$F$2:$F$18,"Missing game",0)</x:f>
        <x:v>Sunday</x:v>
      </x:c>
      <x:c r="AL344" t="str">
        <x:f>_xlfn.XLOOKUP($A344,Games!$A$2:$A$18,Games!$G$2:$G$18,"Missing game",0)</x:f>
        <x:v>CIN</x:v>
      </x:c>
      <x:c r="AM344" t="n">
        <x:f>_xlfn.XLOOKUP($A344,Games!$A$2:$A$18,Games!$H$2:$H$18,"Missing game",0)</x:f>
        <x:v>10</x:v>
      </x:c>
      <x:c r="AN344" t="str">
        <x:f>_xlfn.XLOOKUP($A344,Games!$A$2:$A$18,Games!$I$2:$I$18,"Missing game",0)</x:f>
        <x:v>MIN</x:v>
      </x:c>
      <x:c r="AO344" t="n">
        <x:f>_xlfn.XLOOKUP($A344,Games!$A$2:$A$18,Games!$J$2:$J$18,"Missing game",0)</x:f>
        <x:v>48</x:v>
      </x:c>
      <x:c r="AP344" t="n">
        <x:f>_xlfn.XLOOKUP($A344,Games!$A$2:$A$18,Games!$K$2:$K$18,"Missing game",0)</x:f>
        <x:v>38</x:v>
      </x:c>
      <x:c r="AQ344" t="n">
        <x:f>_xlfn.XLOOKUP($A344,Games!$A$2:$A$18,Games!$L$2:$L$18,"Missing game",0)</x:f>
        <x:v>58</x:v>
      </x:c>
      <x:c r="AR344" t="n">
        <x:f>_xlfn.XLOOKUP($A344,Games!$A$2:$A$18,Games!$M$2:$M$18,"Missing game",0)</x:f>
        <x:v>0</x:v>
      </x:c>
      <x:c r="AS344" t="str">
        <x:f>_xlfn.XLOOKUP($A344,Games!$A$2:$A$18,Games!$N$2:$N$18,"Missing game",0)</x:f>
        <x:v>dome</x:v>
      </x:c>
      <x:c r="AT344" t="str">
        <x:f>_xlfn.XLOOKUP($A344,Games!$A$2:$A$18,Games!$O$2:$O$18,"Missing game",0)</x:f>
        <x:v>sportturf</x:v>
      </x:c>
      <x:c r="AU344" t="str">
        <x:f>_xlfn.XLOOKUP($A344,Games!$A$2:$A$18,Games!$P$2:$P$18,"Missing game",0)</x:f>
      </x:c>
      <x:c r="AV344" t="str">
        <x:f>_xlfn.XLOOKUP($A344,Games!$A$2:$A$18,Games!$Q$2:$Q$18,"Missing game",0)</x:f>
      </x:c>
      <x:c r="AW344" t="str">
        <x:f>_xlfn.XLOOKUP($A344,Games!$A$2:$A$18,Games!$R$2:$R$18,"Missing game",0)</x:f>
        <x:v>U.S. Bank Stadium</x:v>
      </x:c>
    </x:row>
    <x:row r="345">
      <x:c r="A345" t="str">
        <x:v>2025_03_CIN_MIN</x:v>
      </x:c>
      <x:c r="B345" t="n">
        <x:v>245</x:v>
      </x:c>
      <x:c r="C345" t="n">
        <x:v>1</x:v>
      </x:c>
      <x:c r="D345" t="str">
        <x:v>12:57</x:v>
      </x:c>
      <x:c r="E345"/>
      <x:c r="F345" t="n">
        <x:v>0</x:v>
      </x:c>
      <x:c r="G345" t="str">
        <x:v>MIN</x:v>
      </x:c>
      <x:c r="H345" t="str">
        <x:v>CIN</x:v>
      </x:c>
      <x:c r="I345" t="str">
        <x:v>CIN</x:v>
      </x:c>
      <x:c r="J345" t="n">
        <x:v>15</x:v>
      </x:c>
      <x:c r="K345" t="str">
        <x:v>16-W.Reichard extra point is GOOD, Center-42-A.DePaola, Holder-17-R.Wright.</x:v>
      </x:c>
      <x:c r="L345" t="str">
        <x:v>extra_point</x:v>
      </x:c>
      <x:c r="M345" t="n">
        <x:v>0</x:v>
      </x:c>
      <x:c r="N345" t="n">
        <x:v>0</x:v>
      </x:c>
      <x:c r="O345" t="n">
        <x:v>0</x:v>
      </x:c>
      <x:c r="P345"/>
      <x:c r="Q345"/>
      <x:c r="R345"/>
      <x:c r="S345"/>
      <x:c r="T345"/>
      <x:c r="U345"/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/>
      <x:c r="AC345" t="n">
        <x:v>0</x:v>
      </x:c>
      <x:c r="AD345" t="n">
        <x:v>0.05117156607063911</x:v>
      </x:c>
      <x:c r="AE345" t="n">
        <x:v>1</x:v>
      </x:c>
      <x:c r="AF345" t="n">
        <x:v>0.0013477969222249753</x:v>
      </x:c>
      <x:c r="AG345" t="n">
        <x:f>_xlfn.XLOOKUP($A345,Games!$A$2:$A$18,Games!$B$2:$B$18,"Missing game",0)</x:f>
        <x:v>2025</x:v>
      </x:c>
      <x:c r="AH345" t="str">
        <x:f>_xlfn.XLOOKUP($A345,Games!$A$2:$A$18,Games!$C$2:$C$18,"Missing game",0)</x:f>
        <x:v>REG</x:v>
      </x:c>
      <x:c r="AI345" t="n">
        <x:f>_xlfn.XLOOKUP($A345,Games!$A$2:$A$18,Games!$D$2:$D$18,"Missing game",0)</x:f>
        <x:v>3</x:v>
      </x:c>
      <x:c r="AJ345" s="1" t="n">
        <x:f>_xlfn.XLOOKUP($A345,Games!$A$2:$A$18,Games!$E$2:$E$18,"Missing game",0)</x:f>
        <x:v>45921</x:v>
      </x:c>
      <x:c r="AK345" t="str">
        <x:f>_xlfn.XLOOKUP($A345,Games!$A$2:$A$18,Games!$F$2:$F$18,"Missing game",0)</x:f>
        <x:v>Sunday</x:v>
      </x:c>
      <x:c r="AL345" t="str">
        <x:f>_xlfn.XLOOKUP($A345,Games!$A$2:$A$18,Games!$G$2:$G$18,"Missing game",0)</x:f>
        <x:v>CIN</x:v>
      </x:c>
      <x:c r="AM345" t="n">
        <x:f>_xlfn.XLOOKUP($A345,Games!$A$2:$A$18,Games!$H$2:$H$18,"Missing game",0)</x:f>
        <x:v>10</x:v>
      </x:c>
      <x:c r="AN345" t="str">
        <x:f>_xlfn.XLOOKUP($A345,Games!$A$2:$A$18,Games!$I$2:$I$18,"Missing game",0)</x:f>
        <x:v>MIN</x:v>
      </x:c>
      <x:c r="AO345" t="n">
        <x:f>_xlfn.XLOOKUP($A345,Games!$A$2:$A$18,Games!$J$2:$J$18,"Missing game",0)</x:f>
        <x:v>48</x:v>
      </x:c>
      <x:c r="AP345" t="n">
        <x:f>_xlfn.XLOOKUP($A345,Games!$A$2:$A$18,Games!$K$2:$K$18,"Missing game",0)</x:f>
        <x:v>38</x:v>
      </x:c>
      <x:c r="AQ345" t="n">
        <x:f>_xlfn.XLOOKUP($A345,Games!$A$2:$A$18,Games!$L$2:$L$18,"Missing game",0)</x:f>
        <x:v>58</x:v>
      </x:c>
      <x:c r="AR345" t="n">
        <x:f>_xlfn.XLOOKUP($A345,Games!$A$2:$A$18,Games!$M$2:$M$18,"Missing game",0)</x:f>
        <x:v>0</x:v>
      </x:c>
      <x:c r="AS345" t="str">
        <x:f>_xlfn.XLOOKUP($A345,Games!$A$2:$A$18,Games!$N$2:$N$18,"Missing game",0)</x:f>
        <x:v>dome</x:v>
      </x:c>
      <x:c r="AT345" t="str">
        <x:f>_xlfn.XLOOKUP($A345,Games!$A$2:$A$18,Games!$O$2:$O$18,"Missing game",0)</x:f>
        <x:v>sportturf</x:v>
      </x:c>
      <x:c r="AU345" t="str">
        <x:f>_xlfn.XLOOKUP($A345,Games!$A$2:$A$18,Games!$P$2:$P$18,"Missing game",0)</x:f>
      </x:c>
      <x:c r="AV345" t="str">
        <x:f>_xlfn.XLOOKUP($A345,Games!$A$2:$A$18,Games!$Q$2:$Q$18,"Missing game",0)</x:f>
      </x:c>
      <x:c r="AW345" t="str">
        <x:f>_xlfn.XLOOKUP($A345,Games!$A$2:$A$18,Games!$R$2:$R$18,"Missing game",0)</x:f>
        <x:v>U.S. Bank Stadium</x:v>
      </x:c>
    </x:row>
    <x:row r="346">
      <x:c r="A346" t="str">
        <x:v>2025_03_CIN_MIN</x:v>
      </x:c>
      <x:c r="B346" t="n">
        <x:v>260</x:v>
      </x:c>
      <x:c r="C346" t="n">
        <x:v>1</x:v>
      </x:c>
      <x:c r="D346" t="str">
        <x:v>12:57</x:v>
      </x:c>
      <x:c r="E346"/>
      <x:c r="F346" t="n">
        <x:v>0</x:v>
      </x:c>
      <x:c r="G346" t="str">
        <x:v>CIN</x:v>
      </x:c>
      <x:c r="H346" t="str">
        <x:v>MIN</x:v>
      </x:c>
      <x:c r="I346" t="str">
        <x:v>MIN</x:v>
      </x:c>
      <x:c r="J346" t="n">
        <x:v>35</x:v>
      </x:c>
      <x:c r="K346" t="str">
        <x:v>16-W.Reichard kicks 52 yards from MIN 35 to CIN 13. 34-S.Perine to CIN 29 for 16 yards (8-J.Okudah).</x:v>
      </x:c>
      <x:c r="L346" t="str">
        <x:v>kickoff</x:v>
      </x:c>
      <x:c r="M346" t="n">
        <x:v>0</x:v>
      </x:c>
      <x:c r="N346" t="n">
        <x:v>0</x:v>
      </x:c>
      <x:c r="O346" t="n">
        <x:v>0</x:v>
      </x:c>
      <x:c r="P346"/>
      <x:c r="Q346"/>
      <x:c r="R346"/>
      <x:c r="S346"/>
      <x:c r="T346"/>
      <x:c r="U346"/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/>
      <x:c r="AC346" t="n">
        <x:v>0</x:v>
      </x:c>
      <x:c r="AD346" t="n">
        <x:v>0.28175089228898287</x:v>
      </x:c>
      <x:c r="AE346" t="n">
        <x:v>1</x:v>
      </x:c>
      <x:c r="AF346" t="n">
        <x:v>0.0017806291580200195</x:v>
      </x:c>
      <x:c r="AG346" t="n">
        <x:f>_xlfn.XLOOKUP($A346,Games!$A$2:$A$18,Games!$B$2:$B$18,"Missing game",0)</x:f>
        <x:v>2025</x:v>
      </x:c>
      <x:c r="AH346" t="str">
        <x:f>_xlfn.XLOOKUP($A346,Games!$A$2:$A$18,Games!$C$2:$C$18,"Missing game",0)</x:f>
        <x:v>REG</x:v>
      </x:c>
      <x:c r="AI346" t="n">
        <x:f>_xlfn.XLOOKUP($A346,Games!$A$2:$A$18,Games!$D$2:$D$18,"Missing game",0)</x:f>
        <x:v>3</x:v>
      </x:c>
      <x:c r="AJ346" s="1" t="n">
        <x:f>_xlfn.XLOOKUP($A346,Games!$A$2:$A$18,Games!$E$2:$E$18,"Missing game",0)</x:f>
        <x:v>45921</x:v>
      </x:c>
      <x:c r="AK346" t="str">
        <x:f>_xlfn.XLOOKUP($A346,Games!$A$2:$A$18,Games!$F$2:$F$18,"Missing game",0)</x:f>
        <x:v>Sunday</x:v>
      </x:c>
      <x:c r="AL346" t="str">
        <x:f>_xlfn.XLOOKUP($A346,Games!$A$2:$A$18,Games!$G$2:$G$18,"Missing game",0)</x:f>
        <x:v>CIN</x:v>
      </x:c>
      <x:c r="AM346" t="n">
        <x:f>_xlfn.XLOOKUP($A346,Games!$A$2:$A$18,Games!$H$2:$H$18,"Missing game",0)</x:f>
        <x:v>10</x:v>
      </x:c>
      <x:c r="AN346" t="str">
        <x:f>_xlfn.XLOOKUP($A346,Games!$A$2:$A$18,Games!$I$2:$I$18,"Missing game",0)</x:f>
        <x:v>MIN</x:v>
      </x:c>
      <x:c r="AO346" t="n">
        <x:f>_xlfn.XLOOKUP($A346,Games!$A$2:$A$18,Games!$J$2:$J$18,"Missing game",0)</x:f>
        <x:v>48</x:v>
      </x:c>
      <x:c r="AP346" t="n">
        <x:f>_xlfn.XLOOKUP($A346,Games!$A$2:$A$18,Games!$K$2:$K$18,"Missing game",0)</x:f>
        <x:v>38</x:v>
      </x:c>
      <x:c r="AQ346" t="n">
        <x:f>_xlfn.XLOOKUP($A346,Games!$A$2:$A$18,Games!$L$2:$L$18,"Missing game",0)</x:f>
        <x:v>58</x:v>
      </x:c>
      <x:c r="AR346" t="n">
        <x:f>_xlfn.XLOOKUP($A346,Games!$A$2:$A$18,Games!$M$2:$M$18,"Missing game",0)</x:f>
        <x:v>0</x:v>
      </x:c>
      <x:c r="AS346" t="str">
        <x:f>_xlfn.XLOOKUP($A346,Games!$A$2:$A$18,Games!$N$2:$N$18,"Missing game",0)</x:f>
        <x:v>dome</x:v>
      </x:c>
      <x:c r="AT346" t="str">
        <x:f>_xlfn.XLOOKUP($A346,Games!$A$2:$A$18,Games!$O$2:$O$18,"Missing game",0)</x:f>
        <x:v>sportturf</x:v>
      </x:c>
      <x:c r="AU346" t="str">
        <x:f>_xlfn.XLOOKUP($A346,Games!$A$2:$A$18,Games!$P$2:$P$18,"Missing game",0)</x:f>
      </x:c>
      <x:c r="AV346" t="str">
        <x:f>_xlfn.XLOOKUP($A346,Games!$A$2:$A$18,Games!$Q$2:$Q$18,"Missing game",0)</x:f>
      </x:c>
      <x:c r="AW346" t="str">
        <x:f>_xlfn.XLOOKUP($A346,Games!$A$2:$A$18,Games!$R$2:$R$18,"Missing game",0)</x:f>
        <x:v>U.S. Bank Stadium</x:v>
      </x:c>
    </x:row>
    <x:row r="347">
      <x:c r="A347" t="str">
        <x:v>2025_03_CIN_MIN</x:v>
      </x:c>
      <x:c r="B347" t="n">
        <x:v>290</x:v>
      </x:c>
      <x:c r="C347" t="n">
        <x:v>1</x:v>
      </x:c>
      <x:c r="D347" t="str">
        <x:v>12:53</x:v>
      </x:c>
      <x:c r="E347" t="n">
        <x:v>1</x:v>
      </x:c>
      <x:c r="F347" t="n">
        <x:v>10</x:v>
      </x:c>
      <x:c r="G347" t="str">
        <x:v>CIN</x:v>
      </x:c>
      <x:c r="H347" t="str">
        <x:v>MIN</x:v>
      </x:c>
      <x:c r="I347" t="str">
        <x:v>CIN</x:v>
      </x:c>
      <x:c r="J347" t="n">
        <x:v>71</x:v>
      </x:c>
      <x:c r="K347" t="str">
        <x:v>(12:53) 30-C.Brown right end to CIN 28 for -1 yards (58-J.Greenard).</x:v>
      </x:c>
      <x:c r="L347" t="str">
        <x:v>run</x:v>
      </x:c>
      <x:c r="M347" t="n">
        <x:v>-1</x:v>
      </x:c>
      <x:c r="N347" t="n">
        <x:v>0</x:v>
      </x:c>
      <x:c r="O347" t="n">
        <x:v>0</x:v>
      </x:c>
      <x:c r="P347"/>
      <x:c r="Q347"/>
      <x:c r="R347"/>
      <x:c r="S347"/>
      <x:c r="T347" t="str">
        <x:v>right</x:v>
      </x:c>
      <x:c r="U347" t="str">
        <x:v>end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/>
      <x:c r="AC347" t="n">
        <x:v>0</x:v>
      </x:c>
      <x:c r="AD347" t="n">
        <x:v>-1.0175507934764028</x:v>
      </x:c>
      <x:c r="AE347" t="n">
        <x:v>0</x:v>
      </x:c>
      <x:c r="AF347" t="n">
        <x:v>-0.020296841859817505</x:v>
      </x:c>
      <x:c r="AG347" t="n">
        <x:f>_xlfn.XLOOKUP($A347,Games!$A$2:$A$18,Games!$B$2:$B$18,"Missing game",0)</x:f>
        <x:v>2025</x:v>
      </x:c>
      <x:c r="AH347" t="str">
        <x:f>_xlfn.XLOOKUP($A347,Games!$A$2:$A$18,Games!$C$2:$C$18,"Missing game",0)</x:f>
        <x:v>REG</x:v>
      </x:c>
      <x:c r="AI347" t="n">
        <x:f>_xlfn.XLOOKUP($A347,Games!$A$2:$A$18,Games!$D$2:$D$18,"Missing game",0)</x:f>
        <x:v>3</x:v>
      </x:c>
      <x:c r="AJ347" s="1" t="n">
        <x:f>_xlfn.XLOOKUP($A347,Games!$A$2:$A$18,Games!$E$2:$E$18,"Missing game",0)</x:f>
        <x:v>45921</x:v>
      </x:c>
      <x:c r="AK347" t="str">
        <x:f>_xlfn.XLOOKUP($A347,Games!$A$2:$A$18,Games!$F$2:$F$18,"Missing game",0)</x:f>
        <x:v>Sunday</x:v>
      </x:c>
      <x:c r="AL347" t="str">
        <x:f>_xlfn.XLOOKUP($A347,Games!$A$2:$A$18,Games!$G$2:$G$18,"Missing game",0)</x:f>
        <x:v>CIN</x:v>
      </x:c>
      <x:c r="AM347" t="n">
        <x:f>_xlfn.XLOOKUP($A347,Games!$A$2:$A$18,Games!$H$2:$H$18,"Missing game",0)</x:f>
        <x:v>10</x:v>
      </x:c>
      <x:c r="AN347" t="str">
        <x:f>_xlfn.XLOOKUP($A347,Games!$A$2:$A$18,Games!$I$2:$I$18,"Missing game",0)</x:f>
        <x:v>MIN</x:v>
      </x:c>
      <x:c r="AO347" t="n">
        <x:f>_xlfn.XLOOKUP($A347,Games!$A$2:$A$18,Games!$J$2:$J$18,"Missing game",0)</x:f>
        <x:v>48</x:v>
      </x:c>
      <x:c r="AP347" t="n">
        <x:f>_xlfn.XLOOKUP($A347,Games!$A$2:$A$18,Games!$K$2:$K$18,"Missing game",0)</x:f>
        <x:v>38</x:v>
      </x:c>
      <x:c r="AQ347" t="n">
        <x:f>_xlfn.XLOOKUP($A347,Games!$A$2:$A$18,Games!$L$2:$L$18,"Missing game",0)</x:f>
        <x:v>58</x:v>
      </x:c>
      <x:c r="AR347" t="n">
        <x:f>_xlfn.XLOOKUP($A347,Games!$A$2:$A$18,Games!$M$2:$M$18,"Missing game",0)</x:f>
        <x:v>0</x:v>
      </x:c>
      <x:c r="AS347" t="str">
        <x:f>_xlfn.XLOOKUP($A347,Games!$A$2:$A$18,Games!$N$2:$N$18,"Missing game",0)</x:f>
        <x:v>dome</x:v>
      </x:c>
      <x:c r="AT347" t="str">
        <x:f>_xlfn.XLOOKUP($A347,Games!$A$2:$A$18,Games!$O$2:$O$18,"Missing game",0)</x:f>
        <x:v>sportturf</x:v>
      </x:c>
      <x:c r="AU347" t="str">
        <x:f>_xlfn.XLOOKUP($A347,Games!$A$2:$A$18,Games!$P$2:$P$18,"Missing game",0)</x:f>
      </x:c>
      <x:c r="AV347" t="str">
        <x:f>_xlfn.XLOOKUP($A347,Games!$A$2:$A$18,Games!$Q$2:$Q$18,"Missing game",0)</x:f>
      </x:c>
      <x:c r="AW347" t="str">
        <x:f>_xlfn.XLOOKUP($A347,Games!$A$2:$A$18,Games!$R$2:$R$18,"Missing game",0)</x:f>
        <x:v>U.S. Bank Stadium</x:v>
      </x:c>
    </x:row>
    <x:row r="348">
      <x:c r="A348" t="str">
        <x:v>2025_03_CIN_MIN</x:v>
      </x:c>
      <x:c r="B348" t="n">
        <x:v>312</x:v>
      </x:c>
      <x:c r="C348" t="n">
        <x:v>1</x:v>
      </x:c>
      <x:c r="D348" t="str">
        <x:v>12:17</x:v>
      </x:c>
      <x:c r="E348" t="n">
        <x:v>2</x:v>
      </x:c>
      <x:c r="F348" t="n">
        <x:v>11</x:v>
      </x:c>
      <x:c r="G348" t="str">
        <x:v>CIN</x:v>
      </x:c>
      <x:c r="H348" t="str">
        <x:v>MIN</x:v>
      </x:c>
      <x:c r="I348" t="str">
        <x:v>CIN</x:v>
      </x:c>
      <x:c r="J348" t="n">
        <x:v>72</x:v>
      </x:c>
      <x:c r="K348" t="str">
        <x:v>(12:17) (Shotgun) 6-J.Browning pass short left to 1-J.Chase pushed ob at CIN 29 for 1 yard (7-B.Murphy).</x:v>
      </x:c>
      <x:c r="L348" t="str">
        <x:v>pass</x:v>
      </x:c>
      <x:c r="M348" t="n">
        <x:v>1</x:v>
      </x:c>
      <x:c r="N348" t="n">
        <x:v>1</x:v>
      </x:c>
      <x:c r="O348" t="n">
        <x:v>0</x:v>
      </x:c>
      <x:c r="P348" t="str">
        <x:v>short</x:v>
      </x:c>
      <x:c r="Q348" t="str">
        <x:v>left</x:v>
      </x:c>
      <x:c r="R348" t="n">
        <x:v>-4</x:v>
      </x:c>
      <x:c r="S348" t="n">
        <x:v>5</x:v>
      </x:c>
      <x:c r="T348"/>
      <x:c r="U348"/>
      <x:c r="V348" t="n">
        <x:v>1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/>
      <x:c r="AC348" t="n">
        <x:v>0</x:v>
      </x:c>
      <x:c r="AD348" t="n">
        <x:v>-0.3896407135762274</x:v>
      </x:c>
      <x:c r="AE348" t="n">
        <x:v>0</x:v>
      </x:c>
      <x:c r="AF348" t="n">
        <x:v>-0.008835256099700928</x:v>
      </x:c>
      <x:c r="AG348" t="n">
        <x:f>_xlfn.XLOOKUP($A348,Games!$A$2:$A$18,Games!$B$2:$B$18,"Missing game",0)</x:f>
        <x:v>2025</x:v>
      </x:c>
      <x:c r="AH348" t="str">
        <x:f>_xlfn.XLOOKUP($A348,Games!$A$2:$A$18,Games!$C$2:$C$18,"Missing game",0)</x:f>
        <x:v>REG</x:v>
      </x:c>
      <x:c r="AI348" t="n">
        <x:f>_xlfn.XLOOKUP($A348,Games!$A$2:$A$18,Games!$D$2:$D$18,"Missing game",0)</x:f>
        <x:v>3</x:v>
      </x:c>
      <x:c r="AJ348" s="1" t="n">
        <x:f>_xlfn.XLOOKUP($A348,Games!$A$2:$A$18,Games!$E$2:$E$18,"Missing game",0)</x:f>
        <x:v>45921</x:v>
      </x:c>
      <x:c r="AK348" t="str">
        <x:f>_xlfn.XLOOKUP($A348,Games!$A$2:$A$18,Games!$F$2:$F$18,"Missing game",0)</x:f>
        <x:v>Sunday</x:v>
      </x:c>
      <x:c r="AL348" t="str">
        <x:f>_xlfn.XLOOKUP($A348,Games!$A$2:$A$18,Games!$G$2:$G$18,"Missing game",0)</x:f>
        <x:v>CIN</x:v>
      </x:c>
      <x:c r="AM348" t="n">
        <x:f>_xlfn.XLOOKUP($A348,Games!$A$2:$A$18,Games!$H$2:$H$18,"Missing game",0)</x:f>
        <x:v>10</x:v>
      </x:c>
      <x:c r="AN348" t="str">
        <x:f>_xlfn.XLOOKUP($A348,Games!$A$2:$A$18,Games!$I$2:$I$18,"Missing game",0)</x:f>
        <x:v>MIN</x:v>
      </x:c>
      <x:c r="AO348" t="n">
        <x:f>_xlfn.XLOOKUP($A348,Games!$A$2:$A$18,Games!$J$2:$J$18,"Missing game",0)</x:f>
        <x:v>48</x:v>
      </x:c>
      <x:c r="AP348" t="n">
        <x:f>_xlfn.XLOOKUP($A348,Games!$A$2:$A$18,Games!$K$2:$K$18,"Missing game",0)</x:f>
        <x:v>38</x:v>
      </x:c>
      <x:c r="AQ348" t="n">
        <x:f>_xlfn.XLOOKUP($A348,Games!$A$2:$A$18,Games!$L$2:$L$18,"Missing game",0)</x:f>
        <x:v>58</x:v>
      </x:c>
      <x:c r="AR348" t="n">
        <x:f>_xlfn.XLOOKUP($A348,Games!$A$2:$A$18,Games!$M$2:$M$18,"Missing game",0)</x:f>
        <x:v>0</x:v>
      </x:c>
      <x:c r="AS348" t="str">
        <x:f>_xlfn.XLOOKUP($A348,Games!$A$2:$A$18,Games!$N$2:$N$18,"Missing game",0)</x:f>
        <x:v>dome</x:v>
      </x:c>
      <x:c r="AT348" t="str">
        <x:f>_xlfn.XLOOKUP($A348,Games!$A$2:$A$18,Games!$O$2:$O$18,"Missing game",0)</x:f>
        <x:v>sportturf</x:v>
      </x:c>
      <x:c r="AU348" t="str">
        <x:f>_xlfn.XLOOKUP($A348,Games!$A$2:$A$18,Games!$P$2:$P$18,"Missing game",0)</x:f>
      </x:c>
      <x:c r="AV348" t="str">
        <x:f>_xlfn.XLOOKUP($A348,Games!$A$2:$A$18,Games!$Q$2:$Q$18,"Missing game",0)</x:f>
      </x:c>
      <x:c r="AW348" t="str">
        <x:f>_xlfn.XLOOKUP($A348,Games!$A$2:$A$18,Games!$R$2:$R$18,"Missing game",0)</x:f>
        <x:v>U.S. Bank Stadium</x:v>
      </x:c>
    </x:row>
    <x:row r="349">
      <x:c r="A349" t="str">
        <x:v>2025_03_CIN_MIN</x:v>
      </x:c>
      <x:c r="B349" t="n">
        <x:v>342</x:v>
      </x:c>
      <x:c r="C349" t="n">
        <x:v>1</x:v>
      </x:c>
      <x:c r="D349" t="str">
        <x:v>11:32</x:v>
      </x:c>
      <x:c r="E349" t="n">
        <x:v>3</x:v>
      </x:c>
      <x:c r="F349" t="n">
        <x:v>10</x:v>
      </x:c>
      <x:c r="G349" t="str">
        <x:v>CIN</x:v>
      </x:c>
      <x:c r="H349" t="str">
        <x:v>MIN</x:v>
      </x:c>
      <x:c r="I349" t="str">
        <x:v>CIN</x:v>
      </x:c>
      <x:c r="J349" t="n">
        <x:v>71</x:v>
      </x:c>
      <x:c r="K349" t="str">
        <x:v>(11:32) (Shotgun) 6-J.Browning pass incomplete short right to 1-J.Chase (7-B.Murphy).</x:v>
      </x:c>
      <x:c r="L349" t="str">
        <x:v>pass</x:v>
      </x:c>
      <x:c r="M349" t="n">
        <x:v>0</x:v>
      </x:c>
      <x:c r="N349" t="n">
        <x:v>1</x:v>
      </x:c>
      <x:c r="O349" t="n">
        <x:v>0</x:v>
      </x:c>
      <x:c r="P349" t="str">
        <x:v>short</x:v>
      </x:c>
      <x:c r="Q349" t="str">
        <x:v>right</x:v>
      </x:c>
      <x:c r="R349" t="n">
        <x:v>4</x:v>
      </x:c>
      <x:c r="S349"/>
      <x:c r="T349"/>
      <x:c r="U349"/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/>
      <x:c r="AC349" t="n">
        <x:v>0</x:v>
      </x:c>
      <x:c r="AD349" t="n">
        <x:v>-1.392638980410993</x:v>
      </x:c>
      <x:c r="AE349" t="n">
        <x:v>0</x:v>
      </x:c>
      <x:c r="AF349" t="n">
        <x:v>-0.021115213632583618</x:v>
      </x:c>
      <x:c r="AG349" t="n">
        <x:f>_xlfn.XLOOKUP($A349,Games!$A$2:$A$18,Games!$B$2:$B$18,"Missing game",0)</x:f>
        <x:v>2025</x:v>
      </x:c>
      <x:c r="AH349" t="str">
        <x:f>_xlfn.XLOOKUP($A349,Games!$A$2:$A$18,Games!$C$2:$C$18,"Missing game",0)</x:f>
        <x:v>REG</x:v>
      </x:c>
      <x:c r="AI349" t="n">
        <x:f>_xlfn.XLOOKUP($A349,Games!$A$2:$A$18,Games!$D$2:$D$18,"Missing game",0)</x:f>
        <x:v>3</x:v>
      </x:c>
      <x:c r="AJ349" s="1" t="n">
        <x:f>_xlfn.XLOOKUP($A349,Games!$A$2:$A$18,Games!$E$2:$E$18,"Missing game",0)</x:f>
        <x:v>45921</x:v>
      </x:c>
      <x:c r="AK349" t="str">
        <x:f>_xlfn.XLOOKUP($A349,Games!$A$2:$A$18,Games!$F$2:$F$18,"Missing game",0)</x:f>
        <x:v>Sunday</x:v>
      </x:c>
      <x:c r="AL349" t="str">
        <x:f>_xlfn.XLOOKUP($A349,Games!$A$2:$A$18,Games!$G$2:$G$18,"Missing game",0)</x:f>
        <x:v>CIN</x:v>
      </x:c>
      <x:c r="AM349" t="n">
        <x:f>_xlfn.XLOOKUP($A349,Games!$A$2:$A$18,Games!$H$2:$H$18,"Missing game",0)</x:f>
        <x:v>10</x:v>
      </x:c>
      <x:c r="AN349" t="str">
        <x:f>_xlfn.XLOOKUP($A349,Games!$A$2:$A$18,Games!$I$2:$I$18,"Missing game",0)</x:f>
        <x:v>MIN</x:v>
      </x:c>
      <x:c r="AO349" t="n">
        <x:f>_xlfn.XLOOKUP($A349,Games!$A$2:$A$18,Games!$J$2:$J$18,"Missing game",0)</x:f>
        <x:v>48</x:v>
      </x:c>
      <x:c r="AP349" t="n">
        <x:f>_xlfn.XLOOKUP($A349,Games!$A$2:$A$18,Games!$K$2:$K$18,"Missing game",0)</x:f>
        <x:v>38</x:v>
      </x:c>
      <x:c r="AQ349" t="n">
        <x:f>_xlfn.XLOOKUP($A349,Games!$A$2:$A$18,Games!$L$2:$L$18,"Missing game",0)</x:f>
        <x:v>58</x:v>
      </x:c>
      <x:c r="AR349" t="n">
        <x:f>_xlfn.XLOOKUP($A349,Games!$A$2:$A$18,Games!$M$2:$M$18,"Missing game",0)</x:f>
        <x:v>0</x:v>
      </x:c>
      <x:c r="AS349" t="str">
        <x:f>_xlfn.XLOOKUP($A349,Games!$A$2:$A$18,Games!$N$2:$N$18,"Missing game",0)</x:f>
        <x:v>dome</x:v>
      </x:c>
      <x:c r="AT349" t="str">
        <x:f>_xlfn.XLOOKUP($A349,Games!$A$2:$A$18,Games!$O$2:$O$18,"Missing game",0)</x:f>
        <x:v>sportturf</x:v>
      </x:c>
      <x:c r="AU349" t="str">
        <x:f>_xlfn.XLOOKUP($A349,Games!$A$2:$A$18,Games!$P$2:$P$18,"Missing game",0)</x:f>
      </x:c>
      <x:c r="AV349" t="str">
        <x:f>_xlfn.XLOOKUP($A349,Games!$A$2:$A$18,Games!$Q$2:$Q$18,"Missing game",0)</x:f>
      </x:c>
      <x:c r="AW349" t="str">
        <x:f>_xlfn.XLOOKUP($A349,Games!$A$2:$A$18,Games!$R$2:$R$18,"Missing game",0)</x:f>
        <x:v>U.S. Bank Stadium</x:v>
      </x:c>
    </x:row>
    <x:row r="350">
      <x:c r="A350" t="str">
        <x:v>2025_03_CIN_MIN</x:v>
      </x:c>
      <x:c r="B350" t="n">
        <x:v>365</x:v>
      </x:c>
      <x:c r="C350" t="n">
        <x:v>1</x:v>
      </x:c>
      <x:c r="D350" t="str">
        <x:v>11:28</x:v>
      </x:c>
      <x:c r="E350" t="n">
        <x:v>4</x:v>
      </x:c>
      <x:c r="F350" t="n">
        <x:v>10</x:v>
      </x:c>
      <x:c r="G350" t="str">
        <x:v>CIN</x:v>
      </x:c>
      <x:c r="H350" t="str">
        <x:v>MIN</x:v>
      </x:c>
      <x:c r="I350" t="str">
        <x:v>CIN</x:v>
      </x:c>
      <x:c r="J350" t="n">
        <x:v>71</x:v>
      </x:c>
      <x:c r="K350" t="str">
        <x:v>(11:28) 8-R.Rehkow punts 51 yards to MIN 20, Center-46-W.Wagner. 4-M.Price to MIN 26 for 6 yards (38-D.Ivey; 49-B.Carter).</x:v>
      </x:c>
      <x:c r="L350" t="str">
        <x:v>punt</x:v>
      </x:c>
      <x:c r="M350" t="n">
        <x:v>0</x:v>
      </x:c>
      <x:c r="N350" t="n">
        <x:v>0</x:v>
      </x:c>
      <x:c r="O350" t="n">
        <x:v>0</x:v>
      </x:c>
      <x:c r="P350"/>
      <x:c r="Q350"/>
      <x:c r="R350"/>
      <x:c r="S350"/>
      <x:c r="T350"/>
      <x:c r="U350"/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/>
      <x:c r="AC350" t="n">
        <x:v>0</x:v>
      </x:c>
      <x:c r="AD350" t="n">
        <x:v>-0.3628281196579337</x:v>
      </x:c>
      <x:c r="AE350" t="n">
        <x:v>0</x:v>
      </x:c>
      <x:c r="AF350" t="n">
        <x:v>0.029890239238739014</x:v>
      </x:c>
      <x:c r="AG350" t="n">
        <x:f>_xlfn.XLOOKUP($A350,Games!$A$2:$A$18,Games!$B$2:$B$18,"Missing game",0)</x:f>
        <x:v>2025</x:v>
      </x:c>
      <x:c r="AH350" t="str">
        <x:f>_xlfn.XLOOKUP($A350,Games!$A$2:$A$18,Games!$C$2:$C$18,"Missing game",0)</x:f>
        <x:v>REG</x:v>
      </x:c>
      <x:c r="AI350" t="n">
        <x:f>_xlfn.XLOOKUP($A350,Games!$A$2:$A$18,Games!$D$2:$D$18,"Missing game",0)</x:f>
        <x:v>3</x:v>
      </x:c>
      <x:c r="AJ350" s="1" t="n">
        <x:f>_xlfn.XLOOKUP($A350,Games!$A$2:$A$18,Games!$E$2:$E$18,"Missing game",0)</x:f>
        <x:v>45921</x:v>
      </x:c>
      <x:c r="AK350" t="str">
        <x:f>_xlfn.XLOOKUP($A350,Games!$A$2:$A$18,Games!$F$2:$F$18,"Missing game",0)</x:f>
        <x:v>Sunday</x:v>
      </x:c>
      <x:c r="AL350" t="str">
        <x:f>_xlfn.XLOOKUP($A350,Games!$A$2:$A$18,Games!$G$2:$G$18,"Missing game",0)</x:f>
        <x:v>CIN</x:v>
      </x:c>
      <x:c r="AM350" t="n">
        <x:f>_xlfn.XLOOKUP($A350,Games!$A$2:$A$18,Games!$H$2:$H$18,"Missing game",0)</x:f>
        <x:v>10</x:v>
      </x:c>
      <x:c r="AN350" t="str">
        <x:f>_xlfn.XLOOKUP($A350,Games!$A$2:$A$18,Games!$I$2:$I$18,"Missing game",0)</x:f>
        <x:v>MIN</x:v>
      </x:c>
      <x:c r="AO350" t="n">
        <x:f>_xlfn.XLOOKUP($A350,Games!$A$2:$A$18,Games!$J$2:$J$18,"Missing game",0)</x:f>
        <x:v>48</x:v>
      </x:c>
      <x:c r="AP350" t="n">
        <x:f>_xlfn.XLOOKUP($A350,Games!$A$2:$A$18,Games!$K$2:$K$18,"Missing game",0)</x:f>
        <x:v>38</x:v>
      </x:c>
      <x:c r="AQ350" t="n">
        <x:f>_xlfn.XLOOKUP($A350,Games!$A$2:$A$18,Games!$L$2:$L$18,"Missing game",0)</x:f>
        <x:v>58</x:v>
      </x:c>
      <x:c r="AR350" t="n">
        <x:f>_xlfn.XLOOKUP($A350,Games!$A$2:$A$18,Games!$M$2:$M$18,"Missing game",0)</x:f>
        <x:v>0</x:v>
      </x:c>
      <x:c r="AS350" t="str">
        <x:f>_xlfn.XLOOKUP($A350,Games!$A$2:$A$18,Games!$N$2:$N$18,"Missing game",0)</x:f>
        <x:v>dome</x:v>
      </x:c>
      <x:c r="AT350" t="str">
        <x:f>_xlfn.XLOOKUP($A350,Games!$A$2:$A$18,Games!$O$2:$O$18,"Missing game",0)</x:f>
        <x:v>sportturf</x:v>
      </x:c>
      <x:c r="AU350" t="str">
        <x:f>_xlfn.XLOOKUP($A350,Games!$A$2:$A$18,Games!$P$2:$P$18,"Missing game",0)</x:f>
      </x:c>
      <x:c r="AV350" t="str">
        <x:f>_xlfn.XLOOKUP($A350,Games!$A$2:$A$18,Games!$Q$2:$Q$18,"Missing game",0)</x:f>
      </x:c>
      <x:c r="AW350" t="str">
        <x:f>_xlfn.XLOOKUP($A350,Games!$A$2:$A$18,Games!$R$2:$R$18,"Missing game",0)</x:f>
        <x:v>U.S. Bank Stadium</x:v>
      </x:c>
    </x:row>
    <x:row r="351">
      <x:c r="A351" t="str">
        <x:v>2025_03_CIN_MIN</x:v>
      </x:c>
      <x:c r="B351" t="n">
        <x:v>391</x:v>
      </x:c>
      <x:c r="C351" t="n">
        <x:v>1</x:v>
      </x:c>
      <x:c r="D351" t="str">
        <x:v>11:16</x:v>
      </x:c>
      <x:c r="E351" t="n">
        <x:v>1</x:v>
      </x:c>
      <x:c r="F351" t="n">
        <x:v>10</x:v>
      </x:c>
      <x:c r="G351" t="str">
        <x:v>MIN</x:v>
      </x:c>
      <x:c r="H351" t="str">
        <x:v>CIN</x:v>
      </x:c>
      <x:c r="I351" t="str">
        <x:v>MIN</x:v>
      </x:c>
      <x:c r="J351" t="n">
        <x:v>74</x:v>
      </x:c>
      <x:c r="K351" t="str">
        <x:v>(11:16) 27-J.Mason left tackle to MIN 29 for 3 yards (98-T.Slaton; 90-K.Jenkins).</x:v>
      </x:c>
      <x:c r="L351" t="str">
        <x:v>run</x:v>
      </x:c>
      <x:c r="M351" t="n">
        <x:v>3</x:v>
      </x:c>
      <x:c r="N351" t="n">
        <x:v>0</x:v>
      </x:c>
      <x:c r="O351" t="n">
        <x:v>0</x:v>
      </x:c>
      <x:c r="P351"/>
      <x:c r="Q351"/>
      <x:c r="R351"/>
      <x:c r="S351"/>
      <x:c r="T351" t="str">
        <x:v>left</x:v>
      </x:c>
      <x:c r="U351" t="str">
        <x:v>tackle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/>
      <x:c r="AC351" t="n">
        <x:v>0</x:v>
      </x:c>
      <x:c r="AD351" t="n">
        <x:v>-0.27207356970757246</x:v>
      </x:c>
      <x:c r="AE351" t="n">
        <x:v>0</x:v>
      </x:c>
      <x:c r="AF351" t="n">
        <x:v>-0.005451500415802002</x:v>
      </x:c>
      <x:c r="AG351" t="n">
        <x:f>_xlfn.XLOOKUP($A351,Games!$A$2:$A$18,Games!$B$2:$B$18,"Missing game",0)</x:f>
        <x:v>2025</x:v>
      </x:c>
      <x:c r="AH351" t="str">
        <x:f>_xlfn.XLOOKUP($A351,Games!$A$2:$A$18,Games!$C$2:$C$18,"Missing game",0)</x:f>
        <x:v>REG</x:v>
      </x:c>
      <x:c r="AI351" t="n">
        <x:f>_xlfn.XLOOKUP($A351,Games!$A$2:$A$18,Games!$D$2:$D$18,"Missing game",0)</x:f>
        <x:v>3</x:v>
      </x:c>
      <x:c r="AJ351" s="1" t="n">
        <x:f>_xlfn.XLOOKUP($A351,Games!$A$2:$A$18,Games!$E$2:$E$18,"Missing game",0)</x:f>
        <x:v>45921</x:v>
      </x:c>
      <x:c r="AK351" t="str">
        <x:f>_xlfn.XLOOKUP($A351,Games!$A$2:$A$18,Games!$F$2:$F$18,"Missing game",0)</x:f>
        <x:v>Sunday</x:v>
      </x:c>
      <x:c r="AL351" t="str">
        <x:f>_xlfn.XLOOKUP($A351,Games!$A$2:$A$18,Games!$G$2:$G$18,"Missing game",0)</x:f>
        <x:v>CIN</x:v>
      </x:c>
      <x:c r="AM351" t="n">
        <x:f>_xlfn.XLOOKUP($A351,Games!$A$2:$A$18,Games!$H$2:$H$18,"Missing game",0)</x:f>
        <x:v>10</x:v>
      </x:c>
      <x:c r="AN351" t="str">
        <x:f>_xlfn.XLOOKUP($A351,Games!$A$2:$A$18,Games!$I$2:$I$18,"Missing game",0)</x:f>
        <x:v>MIN</x:v>
      </x:c>
      <x:c r="AO351" t="n">
        <x:f>_xlfn.XLOOKUP($A351,Games!$A$2:$A$18,Games!$J$2:$J$18,"Missing game",0)</x:f>
        <x:v>48</x:v>
      </x:c>
      <x:c r="AP351" t="n">
        <x:f>_xlfn.XLOOKUP($A351,Games!$A$2:$A$18,Games!$K$2:$K$18,"Missing game",0)</x:f>
        <x:v>38</x:v>
      </x:c>
      <x:c r="AQ351" t="n">
        <x:f>_xlfn.XLOOKUP($A351,Games!$A$2:$A$18,Games!$L$2:$L$18,"Missing game",0)</x:f>
        <x:v>58</x:v>
      </x:c>
      <x:c r="AR351" t="n">
        <x:f>_xlfn.XLOOKUP($A351,Games!$A$2:$A$18,Games!$M$2:$M$18,"Missing game",0)</x:f>
        <x:v>0</x:v>
      </x:c>
      <x:c r="AS351" t="str">
        <x:f>_xlfn.XLOOKUP($A351,Games!$A$2:$A$18,Games!$N$2:$N$18,"Missing game",0)</x:f>
        <x:v>dome</x:v>
      </x:c>
      <x:c r="AT351" t="str">
        <x:f>_xlfn.XLOOKUP($A351,Games!$A$2:$A$18,Games!$O$2:$O$18,"Missing game",0)</x:f>
        <x:v>sportturf</x:v>
      </x:c>
      <x:c r="AU351" t="str">
        <x:f>_xlfn.XLOOKUP($A351,Games!$A$2:$A$18,Games!$P$2:$P$18,"Missing game",0)</x:f>
      </x:c>
      <x:c r="AV351" t="str">
        <x:f>_xlfn.XLOOKUP($A351,Games!$A$2:$A$18,Games!$Q$2:$Q$18,"Missing game",0)</x:f>
      </x:c>
      <x:c r="AW351" t="str">
        <x:f>_xlfn.XLOOKUP($A351,Games!$A$2:$A$18,Games!$R$2:$R$18,"Missing game",0)</x:f>
        <x:v>U.S. Bank Stadium</x:v>
      </x:c>
    </x:row>
    <x:row r="352">
      <x:c r="A352" t="str">
        <x:v>2025_03_CIN_MIN</x:v>
      </x:c>
      <x:c r="B352" t="n">
        <x:v>425</x:v>
      </x:c>
      <x:c r="C352" t="n">
        <x:v>1</x:v>
      </x:c>
      <x:c r="D352" t="str">
        <x:v>10:39</x:v>
      </x:c>
      <x:c r="E352" t="n">
        <x:v>2</x:v>
      </x:c>
      <x:c r="F352" t="n">
        <x:v>7</x:v>
      </x:c>
      <x:c r="G352" t="str">
        <x:v>MIN</x:v>
      </x:c>
      <x:c r="H352" t="str">
        <x:v>CIN</x:v>
      </x:c>
      <x:c r="I352" t="str">
        <x:v>MIN</x:v>
      </x:c>
      <x:c r="J352" t="n">
        <x:v>71</x:v>
      </x:c>
      <x:c r="K352" t="str">
        <x:v>(10:39) (Shotgun) 27-J.Mason left tackle to MIN 32 for 3 yards (92-B.Hill).</x:v>
      </x:c>
      <x:c r="L352" t="str">
        <x:v>run</x:v>
      </x:c>
      <x:c r="M352" t="n">
        <x:v>3</x:v>
      </x:c>
      <x:c r="N352" t="n">
        <x:v>1</x:v>
      </x:c>
      <x:c r="O352" t="n">
        <x:v>0</x:v>
      </x:c>
      <x:c r="P352"/>
      <x:c r="Q352"/>
      <x:c r="R352"/>
      <x:c r="S352"/>
      <x:c r="T352" t="str">
        <x:v>left</x:v>
      </x:c>
      <x:c r="U352" t="str">
        <x:v>tackle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/>
      <x:c r="AC352" t="n">
        <x:v>0</x:v>
      </x:c>
      <x:c r="AD352" t="n">
        <x:v>-0.3878302574157715</x:v>
      </x:c>
      <x:c r="AE352" t="n">
        <x:v>0</x:v>
      </x:c>
      <x:c r="AF352" t="n">
        <x:v>0.02979058027267456</x:v>
      </x:c>
      <x:c r="AG352" t="n">
        <x:f>_xlfn.XLOOKUP($A352,Games!$A$2:$A$18,Games!$B$2:$B$18,"Missing game",0)</x:f>
        <x:v>2025</x:v>
      </x:c>
      <x:c r="AH352" t="str">
        <x:f>_xlfn.XLOOKUP($A352,Games!$A$2:$A$18,Games!$C$2:$C$18,"Missing game",0)</x:f>
        <x:v>REG</x:v>
      </x:c>
      <x:c r="AI352" t="n">
        <x:f>_xlfn.XLOOKUP($A352,Games!$A$2:$A$18,Games!$D$2:$D$18,"Missing game",0)</x:f>
        <x:v>3</x:v>
      </x:c>
      <x:c r="AJ352" s="1" t="n">
        <x:f>_xlfn.XLOOKUP($A352,Games!$A$2:$A$18,Games!$E$2:$E$18,"Missing game",0)</x:f>
        <x:v>45921</x:v>
      </x:c>
      <x:c r="AK352" t="str">
        <x:f>_xlfn.XLOOKUP($A352,Games!$A$2:$A$18,Games!$F$2:$F$18,"Missing game",0)</x:f>
        <x:v>Sunday</x:v>
      </x:c>
      <x:c r="AL352" t="str">
        <x:f>_xlfn.XLOOKUP($A352,Games!$A$2:$A$18,Games!$G$2:$G$18,"Missing game",0)</x:f>
        <x:v>CIN</x:v>
      </x:c>
      <x:c r="AM352" t="n">
        <x:f>_xlfn.XLOOKUP($A352,Games!$A$2:$A$18,Games!$H$2:$H$18,"Missing game",0)</x:f>
        <x:v>10</x:v>
      </x:c>
      <x:c r="AN352" t="str">
        <x:f>_xlfn.XLOOKUP($A352,Games!$A$2:$A$18,Games!$I$2:$I$18,"Missing game",0)</x:f>
        <x:v>MIN</x:v>
      </x:c>
      <x:c r="AO352" t="n">
        <x:f>_xlfn.XLOOKUP($A352,Games!$A$2:$A$18,Games!$J$2:$J$18,"Missing game",0)</x:f>
        <x:v>48</x:v>
      </x:c>
      <x:c r="AP352" t="n">
        <x:f>_xlfn.XLOOKUP($A352,Games!$A$2:$A$18,Games!$K$2:$K$18,"Missing game",0)</x:f>
        <x:v>38</x:v>
      </x:c>
      <x:c r="AQ352" t="n">
        <x:f>_xlfn.XLOOKUP($A352,Games!$A$2:$A$18,Games!$L$2:$L$18,"Missing game",0)</x:f>
        <x:v>58</x:v>
      </x:c>
      <x:c r="AR352" t="n">
        <x:f>_xlfn.XLOOKUP($A352,Games!$A$2:$A$18,Games!$M$2:$M$18,"Missing game",0)</x:f>
        <x:v>0</x:v>
      </x:c>
      <x:c r="AS352" t="str">
        <x:f>_xlfn.XLOOKUP($A352,Games!$A$2:$A$18,Games!$N$2:$N$18,"Missing game",0)</x:f>
        <x:v>dome</x:v>
      </x:c>
      <x:c r="AT352" t="str">
        <x:f>_xlfn.XLOOKUP($A352,Games!$A$2:$A$18,Games!$O$2:$O$18,"Missing game",0)</x:f>
        <x:v>sportturf</x:v>
      </x:c>
      <x:c r="AU352" t="str">
        <x:f>_xlfn.XLOOKUP($A352,Games!$A$2:$A$18,Games!$P$2:$P$18,"Missing game",0)</x:f>
      </x:c>
      <x:c r="AV352" t="str">
        <x:f>_xlfn.XLOOKUP($A352,Games!$A$2:$A$18,Games!$Q$2:$Q$18,"Missing game",0)</x:f>
      </x:c>
      <x:c r="AW352" t="str">
        <x:f>_xlfn.XLOOKUP($A352,Games!$A$2:$A$18,Games!$R$2:$R$18,"Missing game",0)</x:f>
        <x:v>U.S. Bank Stadium</x:v>
      </x:c>
    </x:row>
    <x:row r="353">
      <x:c r="A353" t="str">
        <x:v>2025_03_CIN_MIN</x:v>
      </x:c>
      <x:c r="B353" t="n">
        <x:v>447</x:v>
      </x:c>
      <x:c r="C353" t="n">
        <x:v>1</x:v>
      </x:c>
      <x:c r="D353" t="str">
        <x:v>10:02</x:v>
      </x:c>
      <x:c r="E353" t="n">
        <x:v>3</x:v>
      </x:c>
      <x:c r="F353" t="n">
        <x:v>4</x:v>
      </x:c>
      <x:c r="G353" t="str">
        <x:v>MIN</x:v>
      </x:c>
      <x:c r="H353" t="str">
        <x:v>CIN</x:v>
      </x:c>
      <x:c r="I353" t="str">
        <x:v>MIN</x:v>
      </x:c>
      <x:c r="J353" t="n">
        <x:v>68</x:v>
      </x:c>
      <x:c r="K353" t="str">
        <x:v>(10:02) (Shotgun) PENALTY on MIN-71-C.Darrisaw, False Start, 5 yards, enforced at MIN 32 - No Play.</x:v>
      </x:c>
      <x:c r="L353" t="str">
        <x:v>no_play</x:v>
      </x:c>
      <x:c r="M353" t="n">
        <x:v>0</x:v>
      </x:c>
      <x:c r="N353" t="n">
        <x:v>1</x:v>
      </x:c>
      <x:c r="O353" t="n">
        <x:v>0</x:v>
      </x:c>
      <x:c r="P353"/>
      <x:c r="Q353"/>
      <x:c r="R353"/>
      <x:c r="S353"/>
      <x:c r="T353"/>
      <x:c r="U353"/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1</x:v>
      </x:c>
      <x:c r="AB353" t="n">
        <x:v>5</x:v>
      </x:c>
      <x:c r="AC353" t="n">
        <x:v>0</x:v>
      </x:c>
      <x:c r="AD353" t="n">
        <x:v>-0.7242490919306874</x:v>
      </x:c>
      <x:c r="AE353" t="n">
        <x:v>0</x:v>
      </x:c>
      <x:c r="AF353" t="n">
        <x:v>-0.03399395942687988</x:v>
      </x:c>
      <x:c r="AG353" t="n">
        <x:f>_xlfn.XLOOKUP($A353,Games!$A$2:$A$18,Games!$B$2:$B$18,"Missing game",0)</x:f>
        <x:v>2025</x:v>
      </x:c>
      <x:c r="AH353" t="str">
        <x:f>_xlfn.XLOOKUP($A353,Games!$A$2:$A$18,Games!$C$2:$C$18,"Missing game",0)</x:f>
        <x:v>REG</x:v>
      </x:c>
      <x:c r="AI353" t="n">
        <x:f>_xlfn.XLOOKUP($A353,Games!$A$2:$A$18,Games!$D$2:$D$18,"Missing game",0)</x:f>
        <x:v>3</x:v>
      </x:c>
      <x:c r="AJ353" s="1" t="n">
        <x:f>_xlfn.XLOOKUP($A353,Games!$A$2:$A$18,Games!$E$2:$E$18,"Missing game",0)</x:f>
        <x:v>45921</x:v>
      </x:c>
      <x:c r="AK353" t="str">
        <x:f>_xlfn.XLOOKUP($A353,Games!$A$2:$A$18,Games!$F$2:$F$18,"Missing game",0)</x:f>
        <x:v>Sunday</x:v>
      </x:c>
      <x:c r="AL353" t="str">
        <x:f>_xlfn.XLOOKUP($A353,Games!$A$2:$A$18,Games!$G$2:$G$18,"Missing game",0)</x:f>
        <x:v>CIN</x:v>
      </x:c>
      <x:c r="AM353" t="n">
        <x:f>_xlfn.XLOOKUP($A353,Games!$A$2:$A$18,Games!$H$2:$H$18,"Missing game",0)</x:f>
        <x:v>10</x:v>
      </x:c>
      <x:c r="AN353" t="str">
        <x:f>_xlfn.XLOOKUP($A353,Games!$A$2:$A$18,Games!$I$2:$I$18,"Missing game",0)</x:f>
        <x:v>MIN</x:v>
      </x:c>
      <x:c r="AO353" t="n">
        <x:f>_xlfn.XLOOKUP($A353,Games!$A$2:$A$18,Games!$J$2:$J$18,"Missing game",0)</x:f>
        <x:v>48</x:v>
      </x:c>
      <x:c r="AP353" t="n">
        <x:f>_xlfn.XLOOKUP($A353,Games!$A$2:$A$18,Games!$K$2:$K$18,"Missing game",0)</x:f>
        <x:v>38</x:v>
      </x:c>
      <x:c r="AQ353" t="n">
        <x:f>_xlfn.XLOOKUP($A353,Games!$A$2:$A$18,Games!$L$2:$L$18,"Missing game",0)</x:f>
        <x:v>58</x:v>
      </x:c>
      <x:c r="AR353" t="n">
        <x:f>_xlfn.XLOOKUP($A353,Games!$A$2:$A$18,Games!$M$2:$M$18,"Missing game",0)</x:f>
        <x:v>0</x:v>
      </x:c>
      <x:c r="AS353" t="str">
        <x:f>_xlfn.XLOOKUP($A353,Games!$A$2:$A$18,Games!$N$2:$N$18,"Missing game",0)</x:f>
        <x:v>dome</x:v>
      </x:c>
      <x:c r="AT353" t="str">
        <x:f>_xlfn.XLOOKUP($A353,Games!$A$2:$A$18,Games!$O$2:$O$18,"Missing game",0)</x:f>
        <x:v>sportturf</x:v>
      </x:c>
      <x:c r="AU353" t="str">
        <x:f>_xlfn.XLOOKUP($A353,Games!$A$2:$A$18,Games!$P$2:$P$18,"Missing game",0)</x:f>
      </x:c>
      <x:c r="AV353" t="str">
        <x:f>_xlfn.XLOOKUP($A353,Games!$A$2:$A$18,Games!$Q$2:$Q$18,"Missing game",0)</x:f>
      </x:c>
      <x:c r="AW353" t="str">
        <x:f>_xlfn.XLOOKUP($A353,Games!$A$2:$A$18,Games!$R$2:$R$18,"Missing game",0)</x:f>
        <x:v>U.S. Bank Stadium</x:v>
      </x:c>
    </x:row>
    <x:row r="354">
      <x:c r="A354" t="str">
        <x:v>2025_03_CIN_MIN</x:v>
      </x:c>
      <x:c r="B354" t="n">
        <x:v>471</x:v>
      </x:c>
      <x:c r="C354" t="n">
        <x:v>1</x:v>
      </x:c>
      <x:c r="D354" t="str">
        <x:v>09:45</x:v>
      </x:c>
      <x:c r="E354" t="n">
        <x:v>3</x:v>
      </x:c>
      <x:c r="F354" t="n">
        <x:v>9</x:v>
      </x:c>
      <x:c r="G354" t="str">
        <x:v>MIN</x:v>
      </x:c>
      <x:c r="H354" t="str">
        <x:v>CIN</x:v>
      </x:c>
      <x:c r="I354" t="str">
        <x:v>MIN</x:v>
      </x:c>
      <x:c r="J354" t="n">
        <x:v>73</x:v>
      </x:c>
      <x:c r="K354" t="str">
        <x:v>(9:45) (Shotgun) 11-C.Wentz sacked at MIN 17 for -10 yards (sack split by 90-K.Jenkins and 99-M.Murphy).</x:v>
      </x:c>
      <x:c r="L354" t="str">
        <x:v>pass</x:v>
      </x:c>
      <x:c r="M354" t="n">
        <x:v>-10</x:v>
      </x:c>
      <x:c r="N354" t="n">
        <x:v>1</x:v>
      </x:c>
      <x:c r="O354" t="n">
        <x:v>0</x:v>
      </x:c>
      <x:c r="P354"/>
      <x:c r="Q354"/>
      <x:c r="R354"/>
      <x:c r="S354"/>
      <x:c r="T354"/>
      <x:c r="U354"/>
      <x:c r="V354" t="n">
        <x:v>0</x:v>
      </x:c>
      <x:c r="W354" t="n">
        <x:v>0</x:v>
      </x:c>
      <x:c r="X354" t="n">
        <x:v>1</x:v>
      </x:c>
      <x:c r="Y354" t="n">
        <x:v>0</x:v>
      </x:c>
      <x:c r="Z354" t="n">
        <x:v>0</x:v>
      </x:c>
      <x:c r="AA354" t="n">
        <x:v>0</x:v>
      </x:c>
      <x:c r="AB354"/>
      <x:c r="AC354" t="n">
        <x:v>0</x:v>
      </x:c>
      <x:c r="AD354" t="n">
        <x:v>-2.442123248707503</x:v>
      </x:c>
      <x:c r="AE354" t="n">
        <x:v>0</x:v>
      </x:c>
      <x:c r="AF354" t="n">
        <x:v>-0.03683209419250488</x:v>
      </x:c>
      <x:c r="AG354" t="n">
        <x:f>_xlfn.XLOOKUP($A354,Games!$A$2:$A$18,Games!$B$2:$B$18,"Missing game",0)</x:f>
        <x:v>2025</x:v>
      </x:c>
      <x:c r="AH354" t="str">
        <x:f>_xlfn.XLOOKUP($A354,Games!$A$2:$A$18,Games!$C$2:$C$18,"Missing game",0)</x:f>
        <x:v>REG</x:v>
      </x:c>
      <x:c r="AI354" t="n">
        <x:f>_xlfn.XLOOKUP($A354,Games!$A$2:$A$18,Games!$D$2:$D$18,"Missing game",0)</x:f>
        <x:v>3</x:v>
      </x:c>
      <x:c r="AJ354" s="1" t="n">
        <x:f>_xlfn.XLOOKUP($A354,Games!$A$2:$A$18,Games!$E$2:$E$18,"Missing game",0)</x:f>
        <x:v>45921</x:v>
      </x:c>
      <x:c r="AK354" t="str">
        <x:f>_xlfn.XLOOKUP($A354,Games!$A$2:$A$18,Games!$F$2:$F$18,"Missing game",0)</x:f>
        <x:v>Sunday</x:v>
      </x:c>
      <x:c r="AL354" t="str">
        <x:f>_xlfn.XLOOKUP($A354,Games!$A$2:$A$18,Games!$G$2:$G$18,"Missing game",0)</x:f>
        <x:v>CIN</x:v>
      </x:c>
      <x:c r="AM354" t="n">
        <x:f>_xlfn.XLOOKUP($A354,Games!$A$2:$A$18,Games!$H$2:$H$18,"Missing game",0)</x:f>
        <x:v>10</x:v>
      </x:c>
      <x:c r="AN354" t="str">
        <x:f>_xlfn.XLOOKUP($A354,Games!$A$2:$A$18,Games!$I$2:$I$18,"Missing game",0)</x:f>
        <x:v>MIN</x:v>
      </x:c>
      <x:c r="AO354" t="n">
        <x:f>_xlfn.XLOOKUP($A354,Games!$A$2:$A$18,Games!$J$2:$J$18,"Missing game",0)</x:f>
        <x:v>48</x:v>
      </x:c>
      <x:c r="AP354" t="n">
        <x:f>_xlfn.XLOOKUP($A354,Games!$A$2:$A$18,Games!$K$2:$K$18,"Missing game",0)</x:f>
        <x:v>38</x:v>
      </x:c>
      <x:c r="AQ354" t="n">
        <x:f>_xlfn.XLOOKUP($A354,Games!$A$2:$A$18,Games!$L$2:$L$18,"Missing game",0)</x:f>
        <x:v>58</x:v>
      </x:c>
      <x:c r="AR354" t="n">
        <x:f>_xlfn.XLOOKUP($A354,Games!$A$2:$A$18,Games!$M$2:$M$18,"Missing game",0)</x:f>
        <x:v>0</x:v>
      </x:c>
      <x:c r="AS354" t="str">
        <x:f>_xlfn.XLOOKUP($A354,Games!$A$2:$A$18,Games!$N$2:$N$18,"Missing game",0)</x:f>
        <x:v>dome</x:v>
      </x:c>
      <x:c r="AT354" t="str">
        <x:f>_xlfn.XLOOKUP($A354,Games!$A$2:$A$18,Games!$O$2:$O$18,"Missing game",0)</x:f>
        <x:v>sportturf</x:v>
      </x:c>
      <x:c r="AU354" t="str">
        <x:f>_xlfn.XLOOKUP($A354,Games!$A$2:$A$18,Games!$P$2:$P$18,"Missing game",0)</x:f>
      </x:c>
      <x:c r="AV354" t="str">
        <x:f>_xlfn.XLOOKUP($A354,Games!$A$2:$A$18,Games!$Q$2:$Q$18,"Missing game",0)</x:f>
      </x:c>
      <x:c r="AW354" t="str">
        <x:f>_xlfn.XLOOKUP($A354,Games!$A$2:$A$18,Games!$R$2:$R$18,"Missing game",0)</x:f>
        <x:v>U.S. Bank Stadium</x:v>
      </x:c>
    </x:row>
    <x:row r="355">
      <x:c r="A355" t="str">
        <x:v>2025_03_CIN_MIN</x:v>
      </x:c>
      <x:c r="B355" t="n">
        <x:v>491</x:v>
      </x:c>
      <x:c r="C355" t="n">
        <x:v>1</x:v>
      </x:c>
      <x:c r="D355" t="str">
        <x:v>09:02</x:v>
      </x:c>
      <x:c r="E355" t="n">
        <x:v>4</x:v>
      </x:c>
      <x:c r="F355" t="n">
        <x:v>19</x:v>
      </x:c>
      <x:c r="G355" t="str">
        <x:v>MIN</x:v>
      </x:c>
      <x:c r="H355" t="str">
        <x:v>CIN</x:v>
      </x:c>
      <x:c r="I355" t="str">
        <x:v>MIN</x:v>
      </x:c>
      <x:c r="J355" t="n">
        <x:v>83</x:v>
      </x:c>
      <x:c r="K355" t="str">
        <x:v>(9:02) 17-R.Wright punts 44 yards to CIN 39, Center-42-A.DePaola. 15-C.Jones pushed ob at CIN 48 for 9 yards (85-B.Yurosek).</x:v>
      </x:c>
      <x:c r="L355" t="str">
        <x:v>punt</x:v>
      </x:c>
      <x:c r="M355" t="n">
        <x:v>0</x:v>
      </x:c>
      <x:c r="N355" t="n">
        <x:v>0</x:v>
      </x:c>
      <x:c r="O355" t="n">
        <x:v>0</x:v>
      </x:c>
      <x:c r="P355"/>
      <x:c r="Q355"/>
      <x:c r="R355"/>
      <x:c r="S355"/>
      <x:c r="T355"/>
      <x:c r="U355"/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/>
      <x:c r="AC355" t="n">
        <x:v>0</x:v>
      </x:c>
      <x:c r="AD355" t="n">
        <x:v>-0.5027599025052041</x:v>
      </x:c>
      <x:c r="AE355" t="n">
        <x:v>0</x:v>
      </x:c>
      <x:c r="AF355" t="n">
        <x:v>-0.0015155673027038574</x:v>
      </x:c>
      <x:c r="AG355" t="n">
        <x:f>_xlfn.XLOOKUP($A355,Games!$A$2:$A$18,Games!$B$2:$B$18,"Missing game",0)</x:f>
        <x:v>2025</x:v>
      </x:c>
      <x:c r="AH355" t="str">
        <x:f>_xlfn.XLOOKUP($A355,Games!$A$2:$A$18,Games!$C$2:$C$18,"Missing game",0)</x:f>
        <x:v>REG</x:v>
      </x:c>
      <x:c r="AI355" t="n">
        <x:f>_xlfn.XLOOKUP($A355,Games!$A$2:$A$18,Games!$D$2:$D$18,"Missing game",0)</x:f>
        <x:v>3</x:v>
      </x:c>
      <x:c r="AJ355" s="1" t="n">
        <x:f>_xlfn.XLOOKUP($A355,Games!$A$2:$A$18,Games!$E$2:$E$18,"Missing game",0)</x:f>
        <x:v>45921</x:v>
      </x:c>
      <x:c r="AK355" t="str">
        <x:f>_xlfn.XLOOKUP($A355,Games!$A$2:$A$18,Games!$F$2:$F$18,"Missing game",0)</x:f>
        <x:v>Sunday</x:v>
      </x:c>
      <x:c r="AL355" t="str">
        <x:f>_xlfn.XLOOKUP($A355,Games!$A$2:$A$18,Games!$G$2:$G$18,"Missing game",0)</x:f>
        <x:v>CIN</x:v>
      </x:c>
      <x:c r="AM355" t="n">
        <x:f>_xlfn.XLOOKUP($A355,Games!$A$2:$A$18,Games!$H$2:$H$18,"Missing game",0)</x:f>
        <x:v>10</x:v>
      </x:c>
      <x:c r="AN355" t="str">
        <x:f>_xlfn.XLOOKUP($A355,Games!$A$2:$A$18,Games!$I$2:$I$18,"Missing game",0)</x:f>
        <x:v>MIN</x:v>
      </x:c>
      <x:c r="AO355" t="n">
        <x:f>_xlfn.XLOOKUP($A355,Games!$A$2:$A$18,Games!$J$2:$J$18,"Missing game",0)</x:f>
        <x:v>48</x:v>
      </x:c>
      <x:c r="AP355" t="n">
        <x:f>_xlfn.XLOOKUP($A355,Games!$A$2:$A$18,Games!$K$2:$K$18,"Missing game",0)</x:f>
        <x:v>38</x:v>
      </x:c>
      <x:c r="AQ355" t="n">
        <x:f>_xlfn.XLOOKUP($A355,Games!$A$2:$A$18,Games!$L$2:$L$18,"Missing game",0)</x:f>
        <x:v>58</x:v>
      </x:c>
      <x:c r="AR355" t="n">
        <x:f>_xlfn.XLOOKUP($A355,Games!$A$2:$A$18,Games!$M$2:$M$18,"Missing game",0)</x:f>
        <x:v>0</x:v>
      </x:c>
      <x:c r="AS355" t="str">
        <x:f>_xlfn.XLOOKUP($A355,Games!$A$2:$A$18,Games!$N$2:$N$18,"Missing game",0)</x:f>
        <x:v>dome</x:v>
      </x:c>
      <x:c r="AT355" t="str">
        <x:f>_xlfn.XLOOKUP($A355,Games!$A$2:$A$18,Games!$O$2:$O$18,"Missing game",0)</x:f>
        <x:v>sportturf</x:v>
      </x:c>
      <x:c r="AU355" t="str">
        <x:f>_xlfn.XLOOKUP($A355,Games!$A$2:$A$18,Games!$P$2:$P$18,"Missing game",0)</x:f>
      </x:c>
      <x:c r="AV355" t="str">
        <x:f>_xlfn.XLOOKUP($A355,Games!$A$2:$A$18,Games!$Q$2:$Q$18,"Missing game",0)</x:f>
      </x:c>
      <x:c r="AW355" t="str">
        <x:f>_xlfn.XLOOKUP($A355,Games!$A$2:$A$18,Games!$R$2:$R$18,"Missing game",0)</x:f>
        <x:v>U.S. Bank Stadium</x:v>
      </x:c>
    </x:row>
    <x:row r="356">
      <x:c r="A356" t="str">
        <x:v>2025_03_CIN_MIN</x:v>
      </x:c>
      <x:c r="B356" t="n">
        <x:v>527</x:v>
      </x:c>
      <x:c r="C356" t="n">
        <x:v>1</x:v>
      </x:c>
      <x:c r="D356" t="str">
        <x:v>08:49</x:v>
      </x:c>
      <x:c r="E356" t="n">
        <x:v>1</x:v>
      </x:c>
      <x:c r="F356" t="n">
        <x:v>10</x:v>
      </x:c>
      <x:c r="G356" t="str">
        <x:v>CIN</x:v>
      </x:c>
      <x:c r="H356" t="str">
        <x:v>MIN</x:v>
      </x:c>
      <x:c r="I356" t="str">
        <x:v>CIN</x:v>
      </x:c>
      <x:c r="J356" t="n">
        <x:v>52</x:v>
      </x:c>
      <x:c r="K356" t="str">
        <x:v>(8:49) 1-J.Chase left end to MIN 43 for 9 yards (44-J.Metellus).</x:v>
      </x:c>
      <x:c r="L356" t="str">
        <x:v>run</x:v>
      </x:c>
      <x:c r="M356" t="n">
        <x:v>9</x:v>
      </x:c>
      <x:c r="N356" t="n">
        <x:v>0</x:v>
      </x:c>
      <x:c r="O356" t="n">
        <x:v>0</x:v>
      </x:c>
      <x:c r="P356"/>
      <x:c r="Q356"/>
      <x:c r="R356"/>
      <x:c r="S356"/>
      <x:c r="T356" t="str">
        <x:v>left</x:v>
      </x:c>
      <x:c r="U356" t="str">
        <x:v>end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/>
      <x:c r="AC356" t="n">
        <x:v>0</x:v>
      </x:c>
      <x:c r="AD356" t="n">
        <x:v>0.6876874112058431</x:v>
      </x:c>
      <x:c r="AE356" t="n">
        <x:v>1</x:v>
      </x:c>
      <x:c r="AF356" t="n">
        <x:v>0.009319573640823364</x:v>
      </x:c>
      <x:c r="AG356" t="n">
        <x:f>_xlfn.XLOOKUP($A356,Games!$A$2:$A$18,Games!$B$2:$B$18,"Missing game",0)</x:f>
        <x:v>2025</x:v>
      </x:c>
      <x:c r="AH356" t="str">
        <x:f>_xlfn.XLOOKUP($A356,Games!$A$2:$A$18,Games!$C$2:$C$18,"Missing game",0)</x:f>
        <x:v>REG</x:v>
      </x:c>
      <x:c r="AI356" t="n">
        <x:f>_xlfn.XLOOKUP($A356,Games!$A$2:$A$18,Games!$D$2:$D$18,"Missing game",0)</x:f>
        <x:v>3</x:v>
      </x:c>
      <x:c r="AJ356" s="1" t="n">
        <x:f>_xlfn.XLOOKUP($A356,Games!$A$2:$A$18,Games!$E$2:$E$18,"Missing game",0)</x:f>
        <x:v>45921</x:v>
      </x:c>
      <x:c r="AK356" t="str">
        <x:f>_xlfn.XLOOKUP($A356,Games!$A$2:$A$18,Games!$F$2:$F$18,"Missing game",0)</x:f>
        <x:v>Sunday</x:v>
      </x:c>
      <x:c r="AL356" t="str">
        <x:f>_xlfn.XLOOKUP($A356,Games!$A$2:$A$18,Games!$G$2:$G$18,"Missing game",0)</x:f>
        <x:v>CIN</x:v>
      </x:c>
      <x:c r="AM356" t="n">
        <x:f>_xlfn.XLOOKUP($A356,Games!$A$2:$A$18,Games!$H$2:$H$18,"Missing game",0)</x:f>
        <x:v>10</x:v>
      </x:c>
      <x:c r="AN356" t="str">
        <x:f>_xlfn.XLOOKUP($A356,Games!$A$2:$A$18,Games!$I$2:$I$18,"Missing game",0)</x:f>
        <x:v>MIN</x:v>
      </x:c>
      <x:c r="AO356" t="n">
        <x:f>_xlfn.XLOOKUP($A356,Games!$A$2:$A$18,Games!$J$2:$J$18,"Missing game",0)</x:f>
        <x:v>48</x:v>
      </x:c>
      <x:c r="AP356" t="n">
        <x:f>_xlfn.XLOOKUP($A356,Games!$A$2:$A$18,Games!$K$2:$K$18,"Missing game",0)</x:f>
        <x:v>38</x:v>
      </x:c>
      <x:c r="AQ356" t="n">
        <x:f>_xlfn.XLOOKUP($A356,Games!$A$2:$A$18,Games!$L$2:$L$18,"Missing game",0)</x:f>
        <x:v>58</x:v>
      </x:c>
      <x:c r="AR356" t="n">
        <x:f>_xlfn.XLOOKUP($A356,Games!$A$2:$A$18,Games!$M$2:$M$18,"Missing game",0)</x:f>
        <x:v>0</x:v>
      </x:c>
      <x:c r="AS356" t="str">
        <x:f>_xlfn.XLOOKUP($A356,Games!$A$2:$A$18,Games!$N$2:$N$18,"Missing game",0)</x:f>
        <x:v>dome</x:v>
      </x:c>
      <x:c r="AT356" t="str">
        <x:f>_xlfn.XLOOKUP($A356,Games!$A$2:$A$18,Games!$O$2:$O$18,"Missing game",0)</x:f>
        <x:v>sportturf</x:v>
      </x:c>
      <x:c r="AU356" t="str">
        <x:f>_xlfn.XLOOKUP($A356,Games!$A$2:$A$18,Games!$P$2:$P$18,"Missing game",0)</x:f>
      </x:c>
      <x:c r="AV356" t="str">
        <x:f>_xlfn.XLOOKUP($A356,Games!$A$2:$A$18,Games!$Q$2:$Q$18,"Missing game",0)</x:f>
      </x:c>
      <x:c r="AW356" t="str">
        <x:f>_xlfn.XLOOKUP($A356,Games!$A$2:$A$18,Games!$R$2:$R$18,"Missing game",0)</x:f>
        <x:v>U.S. Bank Stadium</x:v>
      </x:c>
    </x:row>
    <x:row r="357">
      <x:c r="A357" t="str">
        <x:v>2025_03_CIN_MIN</x:v>
      </x:c>
      <x:c r="B357" t="n">
        <x:v>556</x:v>
      </x:c>
      <x:c r="C357" t="n">
        <x:v>1</x:v>
      </x:c>
      <x:c r="D357" t="str">
        <x:v>08:18</x:v>
      </x:c>
      <x:c r="E357" t="n">
        <x:v>2</x:v>
      </x:c>
      <x:c r="F357" t="n">
        <x:v>1</x:v>
      </x:c>
      <x:c r="G357" t="str">
        <x:v>CIN</x:v>
      </x:c>
      <x:c r="H357" t="str">
        <x:v>MIN</x:v>
      </x:c>
      <x:c r="I357" t="str">
        <x:v>MIN</x:v>
      </x:c>
      <x:c r="J357" t="n">
        <x:v>43</x:v>
      </x:c>
      <x:c r="K357" t="str">
        <x:v>(8:18) 6-J.Browning up the middle to MIN 40 for 3 yards (0-I.Pace).</x:v>
      </x:c>
      <x:c r="L357" t="str">
        <x:v>run</x:v>
      </x:c>
      <x:c r="M357" t="n">
        <x:v>3</x:v>
      </x:c>
      <x:c r="N357" t="n">
        <x:v>0</x:v>
      </x:c>
      <x:c r="O357" t="n">
        <x:v>0</x:v>
      </x:c>
      <x:c r="P357"/>
      <x:c r="Q357"/>
      <x:c r="R357"/>
      <x:c r="S357"/>
      <x:c r="T357" t="str">
        <x:v>middle</x:v>
      </x:c>
      <x:c r="U357"/>
      <x:c r="V357" t="n">
        <x:v>0</x:v>
      </x:c>
      <x:c r="W357" t="n">
        <x:v>1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/>
      <x:c r="AC357" t="n">
        <x:v>0</x:v>
      </x:c>
      <x:c r="AD357" t="n">
        <x:v>0.13696190132759511</x:v>
      </x:c>
      <x:c r="AE357" t="n">
        <x:v>1</x:v>
      </x:c>
      <x:c r="AF357" t="n">
        <x:v>0.002682328224182129</x:v>
      </x:c>
      <x:c r="AG357" t="n">
        <x:f>_xlfn.XLOOKUP($A357,Games!$A$2:$A$18,Games!$B$2:$B$18,"Missing game",0)</x:f>
        <x:v>2025</x:v>
      </x:c>
      <x:c r="AH357" t="str">
        <x:f>_xlfn.XLOOKUP($A357,Games!$A$2:$A$18,Games!$C$2:$C$18,"Missing game",0)</x:f>
        <x:v>REG</x:v>
      </x:c>
      <x:c r="AI357" t="n">
        <x:f>_xlfn.XLOOKUP($A357,Games!$A$2:$A$18,Games!$D$2:$D$18,"Missing game",0)</x:f>
        <x:v>3</x:v>
      </x:c>
      <x:c r="AJ357" s="1" t="n">
        <x:f>_xlfn.XLOOKUP($A357,Games!$A$2:$A$18,Games!$E$2:$E$18,"Missing game",0)</x:f>
        <x:v>45921</x:v>
      </x:c>
      <x:c r="AK357" t="str">
        <x:f>_xlfn.XLOOKUP($A357,Games!$A$2:$A$18,Games!$F$2:$F$18,"Missing game",0)</x:f>
        <x:v>Sunday</x:v>
      </x:c>
      <x:c r="AL357" t="str">
        <x:f>_xlfn.XLOOKUP($A357,Games!$A$2:$A$18,Games!$G$2:$G$18,"Missing game",0)</x:f>
        <x:v>CIN</x:v>
      </x:c>
      <x:c r="AM357" t="n">
        <x:f>_xlfn.XLOOKUP($A357,Games!$A$2:$A$18,Games!$H$2:$H$18,"Missing game",0)</x:f>
        <x:v>10</x:v>
      </x:c>
      <x:c r="AN357" t="str">
        <x:f>_xlfn.XLOOKUP($A357,Games!$A$2:$A$18,Games!$I$2:$I$18,"Missing game",0)</x:f>
        <x:v>MIN</x:v>
      </x:c>
      <x:c r="AO357" t="n">
        <x:f>_xlfn.XLOOKUP($A357,Games!$A$2:$A$18,Games!$J$2:$J$18,"Missing game",0)</x:f>
        <x:v>48</x:v>
      </x:c>
      <x:c r="AP357" t="n">
        <x:f>_xlfn.XLOOKUP($A357,Games!$A$2:$A$18,Games!$K$2:$K$18,"Missing game",0)</x:f>
        <x:v>38</x:v>
      </x:c>
      <x:c r="AQ357" t="n">
        <x:f>_xlfn.XLOOKUP($A357,Games!$A$2:$A$18,Games!$L$2:$L$18,"Missing game",0)</x:f>
        <x:v>58</x:v>
      </x:c>
      <x:c r="AR357" t="n">
        <x:f>_xlfn.XLOOKUP($A357,Games!$A$2:$A$18,Games!$M$2:$M$18,"Missing game",0)</x:f>
        <x:v>0</x:v>
      </x:c>
      <x:c r="AS357" t="str">
        <x:f>_xlfn.XLOOKUP($A357,Games!$A$2:$A$18,Games!$N$2:$N$18,"Missing game",0)</x:f>
        <x:v>dome</x:v>
      </x:c>
      <x:c r="AT357" t="str">
        <x:f>_xlfn.XLOOKUP($A357,Games!$A$2:$A$18,Games!$O$2:$O$18,"Missing game",0)</x:f>
        <x:v>sportturf</x:v>
      </x:c>
      <x:c r="AU357" t="str">
        <x:f>_xlfn.XLOOKUP($A357,Games!$A$2:$A$18,Games!$P$2:$P$18,"Missing game",0)</x:f>
      </x:c>
      <x:c r="AV357" t="str">
        <x:f>_xlfn.XLOOKUP($A357,Games!$A$2:$A$18,Games!$Q$2:$Q$18,"Missing game",0)</x:f>
      </x:c>
      <x:c r="AW357" t="str">
        <x:f>_xlfn.XLOOKUP($A357,Games!$A$2:$A$18,Games!$R$2:$R$18,"Missing game",0)</x:f>
        <x:v>U.S. Bank Stadium</x:v>
      </x:c>
    </x:row>
    <x:row r="358">
      <x:c r="A358" t="str">
        <x:v>2025_03_CIN_MIN</x:v>
      </x:c>
      <x:c r="B358" t="n">
        <x:v>578</x:v>
      </x:c>
      <x:c r="C358" t="n">
        <x:v>1</x:v>
      </x:c>
      <x:c r="D358" t="str">
        <x:v>07:44</x:v>
      </x:c>
      <x:c r="E358" t="n">
        <x:v>1</x:v>
      </x:c>
      <x:c r="F358" t="n">
        <x:v>10</x:v>
      </x:c>
      <x:c r="G358" t="str">
        <x:v>CIN</x:v>
      </x:c>
      <x:c r="H358" t="str">
        <x:v>MIN</x:v>
      </x:c>
      <x:c r="I358" t="str">
        <x:v>MIN</x:v>
      </x:c>
      <x:c r="J358" t="n">
        <x:v>40</x:v>
      </x:c>
      <x:c r="K358" t="str">
        <x:v>(7:44) 6-J.Browning pass short left to 86-N.Fant to MIN 30 for 10 yards (44-J.Metellus).</x:v>
      </x:c>
      <x:c r="L358" t="str">
        <x:v>pass</x:v>
      </x:c>
      <x:c r="M358" t="n">
        <x:v>10</x:v>
      </x:c>
      <x:c r="N358" t="n">
        <x:v>0</x:v>
      </x:c>
      <x:c r="O358" t="n">
        <x:v>0</x:v>
      </x:c>
      <x:c r="P358" t="str">
        <x:v>short</x:v>
      </x:c>
      <x:c r="Q358" t="str">
        <x:v>left</x:v>
      </x:c>
      <x:c r="R358" t="n">
        <x:v>5</x:v>
      </x:c>
      <x:c r="S358" t="n">
        <x:v>5</x:v>
      </x:c>
      <x:c r="T358"/>
      <x:c r="U358"/>
      <x:c r="V358" t="n">
        <x:v>1</x:v>
      </x:c>
      <x:c r="W358" t="n">
        <x:v>1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/>
      <x:c r="AC358" t="n">
        <x:v>0</x:v>
      </x:c>
      <x:c r="AD358" t="n">
        <x:v>0.6628827109234408</x:v>
      </x:c>
      <x:c r="AE358" t="n">
        <x:v>1</x:v>
      </x:c>
      <x:c r="AF358" t="n">
        <x:v>0.03149726986885071</x:v>
      </x:c>
      <x:c r="AG358" t="n">
        <x:f>_xlfn.XLOOKUP($A358,Games!$A$2:$A$18,Games!$B$2:$B$18,"Missing game",0)</x:f>
        <x:v>2025</x:v>
      </x:c>
      <x:c r="AH358" t="str">
        <x:f>_xlfn.XLOOKUP($A358,Games!$A$2:$A$18,Games!$C$2:$C$18,"Missing game",0)</x:f>
        <x:v>REG</x:v>
      </x:c>
      <x:c r="AI358" t="n">
        <x:f>_xlfn.XLOOKUP($A358,Games!$A$2:$A$18,Games!$D$2:$D$18,"Missing game",0)</x:f>
        <x:v>3</x:v>
      </x:c>
      <x:c r="AJ358" s="1" t="n">
        <x:f>_xlfn.XLOOKUP($A358,Games!$A$2:$A$18,Games!$E$2:$E$18,"Missing game",0)</x:f>
        <x:v>45921</x:v>
      </x:c>
      <x:c r="AK358" t="str">
        <x:f>_xlfn.XLOOKUP($A358,Games!$A$2:$A$18,Games!$F$2:$F$18,"Missing game",0)</x:f>
        <x:v>Sunday</x:v>
      </x:c>
      <x:c r="AL358" t="str">
        <x:f>_xlfn.XLOOKUP($A358,Games!$A$2:$A$18,Games!$G$2:$G$18,"Missing game",0)</x:f>
        <x:v>CIN</x:v>
      </x:c>
      <x:c r="AM358" t="n">
        <x:f>_xlfn.XLOOKUP($A358,Games!$A$2:$A$18,Games!$H$2:$H$18,"Missing game",0)</x:f>
        <x:v>10</x:v>
      </x:c>
      <x:c r="AN358" t="str">
        <x:f>_xlfn.XLOOKUP($A358,Games!$A$2:$A$18,Games!$I$2:$I$18,"Missing game",0)</x:f>
        <x:v>MIN</x:v>
      </x:c>
      <x:c r="AO358" t="n">
        <x:f>_xlfn.XLOOKUP($A358,Games!$A$2:$A$18,Games!$J$2:$J$18,"Missing game",0)</x:f>
        <x:v>48</x:v>
      </x:c>
      <x:c r="AP358" t="n">
        <x:f>_xlfn.XLOOKUP($A358,Games!$A$2:$A$18,Games!$K$2:$K$18,"Missing game",0)</x:f>
        <x:v>38</x:v>
      </x:c>
      <x:c r="AQ358" t="n">
        <x:f>_xlfn.XLOOKUP($A358,Games!$A$2:$A$18,Games!$L$2:$L$18,"Missing game",0)</x:f>
        <x:v>58</x:v>
      </x:c>
      <x:c r="AR358" t="n">
        <x:f>_xlfn.XLOOKUP($A358,Games!$A$2:$A$18,Games!$M$2:$M$18,"Missing game",0)</x:f>
        <x:v>0</x:v>
      </x:c>
      <x:c r="AS358" t="str">
        <x:f>_xlfn.XLOOKUP($A358,Games!$A$2:$A$18,Games!$N$2:$N$18,"Missing game",0)</x:f>
        <x:v>dome</x:v>
      </x:c>
      <x:c r="AT358" t="str">
        <x:f>_xlfn.XLOOKUP($A358,Games!$A$2:$A$18,Games!$O$2:$O$18,"Missing game",0)</x:f>
        <x:v>sportturf</x:v>
      </x:c>
      <x:c r="AU358" t="str">
        <x:f>_xlfn.XLOOKUP($A358,Games!$A$2:$A$18,Games!$P$2:$P$18,"Missing game",0)</x:f>
      </x:c>
      <x:c r="AV358" t="str">
        <x:f>_xlfn.XLOOKUP($A358,Games!$A$2:$A$18,Games!$Q$2:$Q$18,"Missing game",0)</x:f>
      </x:c>
      <x:c r="AW358" t="str">
        <x:f>_xlfn.XLOOKUP($A358,Games!$A$2:$A$18,Games!$R$2:$R$18,"Missing game",0)</x:f>
        <x:v>U.S. Bank Stadium</x:v>
      </x:c>
    </x:row>
    <x:row r="359">
      <x:c r="A359" t="str">
        <x:v>2025_03_CIN_MIN</x:v>
      </x:c>
      <x:c r="B359" t="n">
        <x:v>603</x:v>
      </x:c>
      <x:c r="C359" t="n">
        <x:v>1</x:v>
      </x:c>
      <x:c r="D359" t="str">
        <x:v>07:08</x:v>
      </x:c>
      <x:c r="E359" t="n">
        <x:v>1</x:v>
      </x:c>
      <x:c r="F359" t="n">
        <x:v>10</x:v>
      </x:c>
      <x:c r="G359" t="str">
        <x:v>CIN</x:v>
      </x:c>
      <x:c r="H359" t="str">
        <x:v>MIN</x:v>
      </x:c>
      <x:c r="I359" t="str">
        <x:v>MIN</x:v>
      </x:c>
      <x:c r="J359" t="n">
        <x:v>30</x:v>
      </x:c>
      <x:c r="K359" t="str">
        <x:v>(7:08) 30-C.Brown right guard to MIN 29 for 1 yard (55-E.Wilson). FUMBLES (55-E.Wilson), and recovers at MIN 29.</x:v>
      </x:c>
      <x:c r="L359" t="str">
        <x:v>run</x:v>
      </x:c>
      <x:c r="M359" t="n">
        <x:v>1</x:v>
      </x:c>
      <x:c r="N359" t="n">
        <x:v>0</x:v>
      </x:c>
      <x:c r="O359" t="n">
        <x:v>0</x:v>
      </x:c>
      <x:c r="P359"/>
      <x:c r="Q359"/>
      <x:c r="R359"/>
      <x:c r="S359"/>
      <x:c r="T359" t="str">
        <x:v>right</x:v>
      </x:c>
      <x:c r="U359" t="str">
        <x:v>guard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/>
      <x:c r="AC359" t="n">
        <x:v>0</x:v>
      </x:c>
      <x:c r="AD359" t="n">
        <x:v>-0.4061151340138167</x:v>
      </x:c>
      <x:c r="AE359" t="n">
        <x:v>0</x:v>
      </x:c>
      <x:c r="AF359" t="n">
        <x:v>-0.013097554445266724</x:v>
      </x:c>
      <x:c r="AG359" t="n">
        <x:f>_xlfn.XLOOKUP($A359,Games!$A$2:$A$18,Games!$B$2:$B$18,"Missing game",0)</x:f>
        <x:v>2025</x:v>
      </x:c>
      <x:c r="AH359" t="str">
        <x:f>_xlfn.XLOOKUP($A359,Games!$A$2:$A$18,Games!$C$2:$C$18,"Missing game",0)</x:f>
        <x:v>REG</x:v>
      </x:c>
      <x:c r="AI359" t="n">
        <x:f>_xlfn.XLOOKUP($A359,Games!$A$2:$A$18,Games!$D$2:$D$18,"Missing game",0)</x:f>
        <x:v>3</x:v>
      </x:c>
      <x:c r="AJ359" s="1" t="n">
        <x:f>_xlfn.XLOOKUP($A359,Games!$A$2:$A$18,Games!$E$2:$E$18,"Missing game",0)</x:f>
        <x:v>45921</x:v>
      </x:c>
      <x:c r="AK359" t="str">
        <x:f>_xlfn.XLOOKUP($A359,Games!$A$2:$A$18,Games!$F$2:$F$18,"Missing game",0)</x:f>
        <x:v>Sunday</x:v>
      </x:c>
      <x:c r="AL359" t="str">
        <x:f>_xlfn.XLOOKUP($A359,Games!$A$2:$A$18,Games!$G$2:$G$18,"Missing game",0)</x:f>
        <x:v>CIN</x:v>
      </x:c>
      <x:c r="AM359" t="n">
        <x:f>_xlfn.XLOOKUP($A359,Games!$A$2:$A$18,Games!$H$2:$H$18,"Missing game",0)</x:f>
        <x:v>10</x:v>
      </x:c>
      <x:c r="AN359" t="str">
        <x:f>_xlfn.XLOOKUP($A359,Games!$A$2:$A$18,Games!$I$2:$I$18,"Missing game",0)</x:f>
        <x:v>MIN</x:v>
      </x:c>
      <x:c r="AO359" t="n">
        <x:f>_xlfn.XLOOKUP($A359,Games!$A$2:$A$18,Games!$J$2:$J$18,"Missing game",0)</x:f>
        <x:v>48</x:v>
      </x:c>
      <x:c r="AP359" t="n">
        <x:f>_xlfn.XLOOKUP($A359,Games!$A$2:$A$18,Games!$K$2:$K$18,"Missing game",0)</x:f>
        <x:v>38</x:v>
      </x:c>
      <x:c r="AQ359" t="n">
        <x:f>_xlfn.XLOOKUP($A359,Games!$A$2:$A$18,Games!$L$2:$L$18,"Missing game",0)</x:f>
        <x:v>58</x:v>
      </x:c>
      <x:c r="AR359" t="n">
        <x:f>_xlfn.XLOOKUP($A359,Games!$A$2:$A$18,Games!$M$2:$M$18,"Missing game",0)</x:f>
        <x:v>0</x:v>
      </x:c>
      <x:c r="AS359" t="str">
        <x:f>_xlfn.XLOOKUP($A359,Games!$A$2:$A$18,Games!$N$2:$N$18,"Missing game",0)</x:f>
        <x:v>dome</x:v>
      </x:c>
      <x:c r="AT359" t="str">
        <x:f>_xlfn.XLOOKUP($A359,Games!$A$2:$A$18,Games!$O$2:$O$18,"Missing game",0)</x:f>
        <x:v>sportturf</x:v>
      </x:c>
      <x:c r="AU359" t="str">
        <x:f>_xlfn.XLOOKUP($A359,Games!$A$2:$A$18,Games!$P$2:$P$18,"Missing game",0)</x:f>
      </x:c>
      <x:c r="AV359" t="str">
        <x:f>_xlfn.XLOOKUP($A359,Games!$A$2:$A$18,Games!$Q$2:$Q$18,"Missing game",0)</x:f>
      </x:c>
      <x:c r="AW359" t="str">
        <x:f>_xlfn.XLOOKUP($A359,Games!$A$2:$A$18,Games!$R$2:$R$18,"Missing game",0)</x:f>
        <x:v>U.S. Bank Stadium</x:v>
      </x:c>
    </x:row>
    <x:row r="360">
      <x:c r="A360" t="str">
        <x:v>2025_03_CIN_MIN</x:v>
      </x:c>
      <x:c r="B360" t="n">
        <x:v>641</x:v>
      </x:c>
      <x:c r="C360" t="n">
        <x:v>1</x:v>
      </x:c>
      <x:c r="D360" t="str">
        <x:v>06:25</x:v>
      </x:c>
      <x:c r="E360" t="n">
        <x:v>2</x:v>
      </x:c>
      <x:c r="F360" t="n">
        <x:v>9</x:v>
      </x:c>
      <x:c r="G360" t="str">
        <x:v>CIN</x:v>
      </x:c>
      <x:c r="H360" t="str">
        <x:v>MIN</x:v>
      </x:c>
      <x:c r="I360" t="str">
        <x:v>MIN</x:v>
      </x:c>
      <x:c r="J360" t="n">
        <x:v>29</x:v>
      </x:c>
      <x:c r="K360" t="str">
        <x:v>(6:25) (Shotgun) 6-J.Browning pass deep right intended for 30-C.Brown INTERCEPTED by 2-I.Rodgers (22-H.Smith) [0-I.Pace] at MIN 13. 2-I.Rodgers for 87 yards, TOUCHDOWN.</x:v>
      </x:c>
      <x:c r="L360" t="str">
        <x:v>pass</x:v>
      </x:c>
      <x:c r="M360" t="n">
        <x:v>0</x:v>
      </x:c>
      <x:c r="N360" t="n">
        <x:v>1</x:v>
      </x:c>
      <x:c r="O360" t="n">
        <x:v>0</x:v>
      </x:c>
      <x:c r="P360" t="str">
        <x:v>deep</x:v>
      </x:c>
      <x:c r="Q360" t="str">
        <x:v>right</x:v>
      </x:c>
      <x:c r="R360" t="n">
        <x:v>16</x:v>
      </x:c>
      <x:c r="S360"/>
      <x:c r="T360"/>
      <x:c r="U360"/>
      <x:c r="V360" t="n">
        <x:v>0</x:v>
      </x:c>
      <x:c r="W360" t="n">
        <x:v>0</x:v>
      </x:c>
      <x:c r="X360" t="n">
        <x:v>0</x:v>
      </x:c>
      <x:c r="Y360" t="n">
        <x:v>1</x:v>
      </x:c>
      <x:c r="Z360" t="n">
        <x:v>0</x:v>
      </x:c>
      <x:c r="AA360" t="n">
        <x:v>0</x:v>
      </x:c>
      <x:c r="AB360"/>
      <x:c r="AC360" t="n">
        <x:v>1</x:v>
      </x:c>
      <x:c r="AD360" t="n">
        <x:v>-10.645283785299398</x:v>
      </x:c>
      <x:c r="AE360" t="n">
        <x:v>0</x:v>
      </x:c>
      <x:c r="AF360" t="n">
        <x:v>-0.20073451101779938</x:v>
      </x:c>
      <x:c r="AG360" t="n">
        <x:f>_xlfn.XLOOKUP($A360,Games!$A$2:$A$18,Games!$B$2:$B$18,"Missing game",0)</x:f>
        <x:v>2025</x:v>
      </x:c>
      <x:c r="AH360" t="str">
        <x:f>_xlfn.XLOOKUP($A360,Games!$A$2:$A$18,Games!$C$2:$C$18,"Missing game",0)</x:f>
        <x:v>REG</x:v>
      </x:c>
      <x:c r="AI360" t="n">
        <x:f>_xlfn.XLOOKUP($A360,Games!$A$2:$A$18,Games!$D$2:$D$18,"Missing game",0)</x:f>
        <x:v>3</x:v>
      </x:c>
      <x:c r="AJ360" s="1" t="n">
        <x:f>_xlfn.XLOOKUP($A360,Games!$A$2:$A$18,Games!$E$2:$E$18,"Missing game",0)</x:f>
        <x:v>45921</x:v>
      </x:c>
      <x:c r="AK360" t="str">
        <x:f>_xlfn.XLOOKUP($A360,Games!$A$2:$A$18,Games!$F$2:$F$18,"Missing game",0)</x:f>
        <x:v>Sunday</x:v>
      </x:c>
      <x:c r="AL360" t="str">
        <x:f>_xlfn.XLOOKUP($A360,Games!$A$2:$A$18,Games!$G$2:$G$18,"Missing game",0)</x:f>
        <x:v>CIN</x:v>
      </x:c>
      <x:c r="AM360" t="n">
        <x:f>_xlfn.XLOOKUP($A360,Games!$A$2:$A$18,Games!$H$2:$H$18,"Missing game",0)</x:f>
        <x:v>10</x:v>
      </x:c>
      <x:c r="AN360" t="str">
        <x:f>_xlfn.XLOOKUP($A360,Games!$A$2:$A$18,Games!$I$2:$I$18,"Missing game",0)</x:f>
        <x:v>MIN</x:v>
      </x:c>
      <x:c r="AO360" t="n">
        <x:f>_xlfn.XLOOKUP($A360,Games!$A$2:$A$18,Games!$J$2:$J$18,"Missing game",0)</x:f>
        <x:v>48</x:v>
      </x:c>
      <x:c r="AP360" t="n">
        <x:f>_xlfn.XLOOKUP($A360,Games!$A$2:$A$18,Games!$K$2:$K$18,"Missing game",0)</x:f>
        <x:v>38</x:v>
      </x:c>
      <x:c r="AQ360" t="n">
        <x:f>_xlfn.XLOOKUP($A360,Games!$A$2:$A$18,Games!$L$2:$L$18,"Missing game",0)</x:f>
        <x:v>58</x:v>
      </x:c>
      <x:c r="AR360" t="n">
        <x:f>_xlfn.XLOOKUP($A360,Games!$A$2:$A$18,Games!$M$2:$M$18,"Missing game",0)</x:f>
        <x:v>0</x:v>
      </x:c>
      <x:c r="AS360" t="str">
        <x:f>_xlfn.XLOOKUP($A360,Games!$A$2:$A$18,Games!$N$2:$N$18,"Missing game",0)</x:f>
        <x:v>dome</x:v>
      </x:c>
      <x:c r="AT360" t="str">
        <x:f>_xlfn.XLOOKUP($A360,Games!$A$2:$A$18,Games!$O$2:$O$18,"Missing game",0)</x:f>
        <x:v>sportturf</x:v>
      </x:c>
      <x:c r="AU360" t="str">
        <x:f>_xlfn.XLOOKUP($A360,Games!$A$2:$A$18,Games!$P$2:$P$18,"Missing game",0)</x:f>
      </x:c>
      <x:c r="AV360" t="str">
        <x:f>_xlfn.XLOOKUP($A360,Games!$A$2:$A$18,Games!$Q$2:$Q$18,"Missing game",0)</x:f>
      </x:c>
      <x:c r="AW360" t="str">
        <x:f>_xlfn.XLOOKUP($A360,Games!$A$2:$A$18,Games!$R$2:$R$18,"Missing game",0)</x:f>
        <x:v>U.S. Bank Stadium</x:v>
      </x:c>
    </x:row>
    <x:row r="361">
      <x:c r="A361" t="str">
        <x:v>2025_03_CIN_MIN</x:v>
      </x:c>
      <x:c r="B361" t="n">
        <x:v>669</x:v>
      </x:c>
      <x:c r="C361" t="n">
        <x:v>1</x:v>
      </x:c>
      <x:c r="D361" t="str">
        <x:v>06:08</x:v>
      </x:c>
      <x:c r="E361"/>
      <x:c r="F361" t="n">
        <x:v>0</x:v>
      </x:c>
      <x:c r="G361" t="str">
        <x:v>MIN</x:v>
      </x:c>
      <x:c r="H361" t="str">
        <x:v>CIN</x:v>
      </x:c>
      <x:c r="I361" t="str">
        <x:v>CIN</x:v>
      </x:c>
      <x:c r="J361" t="n">
        <x:v>15</x:v>
      </x:c>
      <x:c r="K361" t="str">
        <x:v>16-W.Reichard extra point is GOOD, Center-42-A.DePaola, Holder-17-R.Wright.</x:v>
      </x:c>
      <x:c r="L361" t="str">
        <x:v>extra_point</x:v>
      </x:c>
      <x:c r="M361" t="n">
        <x:v>0</x:v>
      </x:c>
      <x:c r="N361" t="n">
        <x:v>0</x:v>
      </x:c>
      <x:c r="O361" t="n">
        <x:v>0</x:v>
      </x:c>
      <x:c r="P361"/>
      <x:c r="Q361"/>
      <x:c r="R361"/>
      <x:c r="S361"/>
      <x:c r="T361"/>
      <x:c r="U361"/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/>
      <x:c r="AC361" t="n">
        <x:v>0</x:v>
      </x:c>
      <x:c r="AD361" t="n">
        <x:v>0.05117156607063911</x:v>
      </x:c>
      <x:c r="AE361" t="n">
        <x:v>1</x:v>
      </x:c>
      <x:c r="AF361" t="n">
        <x:v>0</x:v>
      </x:c>
      <x:c r="AG361" t="n">
        <x:f>_xlfn.XLOOKUP($A361,Games!$A$2:$A$18,Games!$B$2:$B$18,"Missing game",0)</x:f>
        <x:v>2025</x:v>
      </x:c>
      <x:c r="AH361" t="str">
        <x:f>_xlfn.XLOOKUP($A361,Games!$A$2:$A$18,Games!$C$2:$C$18,"Missing game",0)</x:f>
        <x:v>REG</x:v>
      </x:c>
      <x:c r="AI361" t="n">
        <x:f>_xlfn.XLOOKUP($A361,Games!$A$2:$A$18,Games!$D$2:$D$18,"Missing game",0)</x:f>
        <x:v>3</x:v>
      </x:c>
      <x:c r="AJ361" s="1" t="n">
        <x:f>_xlfn.XLOOKUP($A361,Games!$A$2:$A$18,Games!$E$2:$E$18,"Missing game",0)</x:f>
        <x:v>45921</x:v>
      </x:c>
      <x:c r="AK361" t="str">
        <x:f>_xlfn.XLOOKUP($A361,Games!$A$2:$A$18,Games!$F$2:$F$18,"Missing game",0)</x:f>
        <x:v>Sunday</x:v>
      </x:c>
      <x:c r="AL361" t="str">
        <x:f>_xlfn.XLOOKUP($A361,Games!$A$2:$A$18,Games!$G$2:$G$18,"Missing game",0)</x:f>
        <x:v>CIN</x:v>
      </x:c>
      <x:c r="AM361" t="n">
        <x:f>_xlfn.XLOOKUP($A361,Games!$A$2:$A$18,Games!$H$2:$H$18,"Missing game",0)</x:f>
        <x:v>10</x:v>
      </x:c>
      <x:c r="AN361" t="str">
        <x:f>_xlfn.XLOOKUP($A361,Games!$A$2:$A$18,Games!$I$2:$I$18,"Missing game",0)</x:f>
        <x:v>MIN</x:v>
      </x:c>
      <x:c r="AO361" t="n">
        <x:f>_xlfn.XLOOKUP($A361,Games!$A$2:$A$18,Games!$J$2:$J$18,"Missing game",0)</x:f>
        <x:v>48</x:v>
      </x:c>
      <x:c r="AP361" t="n">
        <x:f>_xlfn.XLOOKUP($A361,Games!$A$2:$A$18,Games!$K$2:$K$18,"Missing game",0)</x:f>
        <x:v>38</x:v>
      </x:c>
      <x:c r="AQ361" t="n">
        <x:f>_xlfn.XLOOKUP($A361,Games!$A$2:$A$18,Games!$L$2:$L$18,"Missing game",0)</x:f>
        <x:v>58</x:v>
      </x:c>
      <x:c r="AR361" t="n">
        <x:f>_xlfn.XLOOKUP($A361,Games!$A$2:$A$18,Games!$M$2:$M$18,"Missing game",0)</x:f>
        <x:v>0</x:v>
      </x:c>
      <x:c r="AS361" t="str">
        <x:f>_xlfn.XLOOKUP($A361,Games!$A$2:$A$18,Games!$N$2:$N$18,"Missing game",0)</x:f>
        <x:v>dome</x:v>
      </x:c>
      <x:c r="AT361" t="str">
        <x:f>_xlfn.XLOOKUP($A361,Games!$A$2:$A$18,Games!$O$2:$O$18,"Missing game",0)</x:f>
        <x:v>sportturf</x:v>
      </x:c>
      <x:c r="AU361" t="str">
        <x:f>_xlfn.XLOOKUP($A361,Games!$A$2:$A$18,Games!$P$2:$P$18,"Missing game",0)</x:f>
      </x:c>
      <x:c r="AV361" t="str">
        <x:f>_xlfn.XLOOKUP($A361,Games!$A$2:$A$18,Games!$Q$2:$Q$18,"Missing game",0)</x:f>
      </x:c>
      <x:c r="AW361" t="str">
        <x:f>_xlfn.XLOOKUP($A361,Games!$A$2:$A$18,Games!$R$2:$R$18,"Missing game",0)</x:f>
        <x:v>U.S. Bank Stadium</x:v>
      </x:c>
    </x:row>
    <x:row r="362">
      <x:c r="A362" t="str">
        <x:v>2025_03_CIN_MIN</x:v>
      </x:c>
      <x:c r="B362" t="n">
        <x:v>684</x:v>
      </x:c>
      <x:c r="C362" t="n">
        <x:v>1</x:v>
      </x:c>
      <x:c r="D362" t="str">
        <x:v>06:08</x:v>
      </x:c>
      <x:c r="E362"/>
      <x:c r="F362" t="n">
        <x:v>0</x:v>
      </x:c>
      <x:c r="G362" t="str">
        <x:v>CIN</x:v>
      </x:c>
      <x:c r="H362" t="str">
        <x:v>MIN</x:v>
      </x:c>
      <x:c r="I362" t="str">
        <x:v>MIN</x:v>
      </x:c>
      <x:c r="J362" t="n">
        <x:v>35</x:v>
      </x:c>
      <x:c r="K362" t="str">
        <x:v>16-W.Reichard kicks 62 yards from MIN 35 to CIN 3. 15-C.Jones to CIN 25 for 22 yards (37-T.Thomas; 0-I.Pace).</x:v>
      </x:c>
      <x:c r="L362" t="str">
        <x:v>kickoff</x:v>
      </x:c>
      <x:c r="M362" t="n">
        <x:v>0</x:v>
      </x:c>
      <x:c r="N362" t="n">
        <x:v>0</x:v>
      </x:c>
      <x:c r="O362" t="n">
        <x:v>0</x:v>
      </x:c>
      <x:c r="P362"/>
      <x:c r="Q362"/>
      <x:c r="R362"/>
      <x:c r="S362"/>
      <x:c r="T362"/>
      <x:c r="U362"/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/>
      <x:c r="AC362" t="n">
        <x:v>0</x:v>
      </x:c>
      <x:c r="AD362" t="n">
        <x:v>-0.0002832743339240551</x:v>
      </x:c>
      <x:c r="AE362" t="n">
        <x:v>0</x:v>
      </x:c>
      <x:c r="AF362" t="n">
        <x:v>0</x:v>
      </x:c>
      <x:c r="AG362" t="n">
        <x:f>_xlfn.XLOOKUP($A362,Games!$A$2:$A$18,Games!$B$2:$B$18,"Missing game",0)</x:f>
        <x:v>2025</x:v>
      </x:c>
      <x:c r="AH362" t="str">
        <x:f>_xlfn.XLOOKUP($A362,Games!$A$2:$A$18,Games!$C$2:$C$18,"Missing game",0)</x:f>
        <x:v>REG</x:v>
      </x:c>
      <x:c r="AI362" t="n">
        <x:f>_xlfn.XLOOKUP($A362,Games!$A$2:$A$18,Games!$D$2:$D$18,"Missing game",0)</x:f>
        <x:v>3</x:v>
      </x:c>
      <x:c r="AJ362" s="1" t="n">
        <x:f>_xlfn.XLOOKUP($A362,Games!$A$2:$A$18,Games!$E$2:$E$18,"Missing game",0)</x:f>
        <x:v>45921</x:v>
      </x:c>
      <x:c r="AK362" t="str">
        <x:f>_xlfn.XLOOKUP($A362,Games!$A$2:$A$18,Games!$F$2:$F$18,"Missing game",0)</x:f>
        <x:v>Sunday</x:v>
      </x:c>
      <x:c r="AL362" t="str">
        <x:f>_xlfn.XLOOKUP($A362,Games!$A$2:$A$18,Games!$G$2:$G$18,"Missing game",0)</x:f>
        <x:v>CIN</x:v>
      </x:c>
      <x:c r="AM362" t="n">
        <x:f>_xlfn.XLOOKUP($A362,Games!$A$2:$A$18,Games!$H$2:$H$18,"Missing game",0)</x:f>
        <x:v>10</x:v>
      </x:c>
      <x:c r="AN362" t="str">
        <x:f>_xlfn.XLOOKUP($A362,Games!$A$2:$A$18,Games!$I$2:$I$18,"Missing game",0)</x:f>
        <x:v>MIN</x:v>
      </x:c>
      <x:c r="AO362" t="n">
        <x:f>_xlfn.XLOOKUP($A362,Games!$A$2:$A$18,Games!$J$2:$J$18,"Missing game",0)</x:f>
        <x:v>48</x:v>
      </x:c>
      <x:c r="AP362" t="n">
        <x:f>_xlfn.XLOOKUP($A362,Games!$A$2:$A$18,Games!$K$2:$K$18,"Missing game",0)</x:f>
        <x:v>38</x:v>
      </x:c>
      <x:c r="AQ362" t="n">
        <x:f>_xlfn.XLOOKUP($A362,Games!$A$2:$A$18,Games!$L$2:$L$18,"Missing game",0)</x:f>
        <x:v>58</x:v>
      </x:c>
      <x:c r="AR362" t="n">
        <x:f>_xlfn.XLOOKUP($A362,Games!$A$2:$A$18,Games!$M$2:$M$18,"Missing game",0)</x:f>
        <x:v>0</x:v>
      </x:c>
      <x:c r="AS362" t="str">
        <x:f>_xlfn.XLOOKUP($A362,Games!$A$2:$A$18,Games!$N$2:$N$18,"Missing game",0)</x:f>
        <x:v>dome</x:v>
      </x:c>
      <x:c r="AT362" t="str">
        <x:f>_xlfn.XLOOKUP($A362,Games!$A$2:$A$18,Games!$O$2:$O$18,"Missing game",0)</x:f>
        <x:v>sportturf</x:v>
      </x:c>
      <x:c r="AU362" t="str">
        <x:f>_xlfn.XLOOKUP($A362,Games!$A$2:$A$18,Games!$P$2:$P$18,"Missing game",0)</x:f>
      </x:c>
      <x:c r="AV362" t="str">
        <x:f>_xlfn.XLOOKUP($A362,Games!$A$2:$A$18,Games!$Q$2:$Q$18,"Missing game",0)</x:f>
      </x:c>
      <x:c r="AW362" t="str">
        <x:f>_xlfn.XLOOKUP($A362,Games!$A$2:$A$18,Games!$R$2:$R$18,"Missing game",0)</x:f>
        <x:v>U.S. Bank Stadium</x:v>
      </x:c>
    </x:row>
    <x:row r="363">
      <x:c r="A363" t="str">
        <x:v>2025_03_CIN_MIN</x:v>
      </x:c>
      <x:c r="B363" t="n">
        <x:v>714</x:v>
      </x:c>
      <x:c r="C363" t="n">
        <x:v>1</x:v>
      </x:c>
      <x:c r="D363" t="str">
        <x:v>06:03</x:v>
      </x:c>
      <x:c r="E363" t="n">
        <x:v>1</x:v>
      </x:c>
      <x:c r="F363" t="n">
        <x:v>10</x:v>
      </x:c>
      <x:c r="G363" t="str">
        <x:v>CIN</x:v>
      </x:c>
      <x:c r="H363" t="str">
        <x:v>MIN</x:v>
      </x:c>
      <x:c r="I363" t="str">
        <x:v>CIN</x:v>
      </x:c>
      <x:c r="J363" t="n">
        <x:v>75</x:v>
      </x:c>
      <x:c r="K363" t="str">
        <x:v>(6:03) (Shotgun) 30-C.Brown left tackle to CIN 27 for 2 yards (93-J.Allen).</x:v>
      </x:c>
      <x:c r="L363" t="str">
        <x:v>run</x:v>
      </x:c>
      <x:c r="M363" t="n">
        <x:v>2</x:v>
      </x:c>
      <x:c r="N363" t="n">
        <x:v>1</x:v>
      </x:c>
      <x:c r="O363" t="n">
        <x:v>0</x:v>
      </x:c>
      <x:c r="P363"/>
      <x:c r="Q363"/>
      <x:c r="R363"/>
      <x:c r="S363"/>
      <x:c r="T363" t="str">
        <x:v>left</x:v>
      </x:c>
      <x:c r="U363" t="str">
        <x:v>tackle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/>
      <x:c r="AC363" t="n">
        <x:v>0</x:v>
      </x:c>
      <x:c r="AD363" t="n">
        <x:v>-0.5530275828205049</x:v>
      </x:c>
      <x:c r="AE363" t="n">
        <x:v>0</x:v>
      </x:c>
      <x:c r="AF363" t="n">
        <x:v>-0.008854135870933533</x:v>
      </x:c>
      <x:c r="AG363" t="n">
        <x:f>_xlfn.XLOOKUP($A363,Games!$A$2:$A$18,Games!$B$2:$B$18,"Missing game",0)</x:f>
        <x:v>2025</x:v>
      </x:c>
      <x:c r="AH363" t="str">
        <x:f>_xlfn.XLOOKUP($A363,Games!$A$2:$A$18,Games!$C$2:$C$18,"Missing game",0)</x:f>
        <x:v>REG</x:v>
      </x:c>
      <x:c r="AI363" t="n">
        <x:f>_xlfn.XLOOKUP($A363,Games!$A$2:$A$18,Games!$D$2:$D$18,"Missing game",0)</x:f>
        <x:v>3</x:v>
      </x:c>
      <x:c r="AJ363" s="1" t="n">
        <x:f>_xlfn.XLOOKUP($A363,Games!$A$2:$A$18,Games!$E$2:$E$18,"Missing game",0)</x:f>
        <x:v>45921</x:v>
      </x:c>
      <x:c r="AK363" t="str">
        <x:f>_xlfn.XLOOKUP($A363,Games!$A$2:$A$18,Games!$F$2:$F$18,"Missing game",0)</x:f>
        <x:v>Sunday</x:v>
      </x:c>
      <x:c r="AL363" t="str">
        <x:f>_xlfn.XLOOKUP($A363,Games!$A$2:$A$18,Games!$G$2:$G$18,"Missing game",0)</x:f>
        <x:v>CIN</x:v>
      </x:c>
      <x:c r="AM363" t="n">
        <x:f>_xlfn.XLOOKUP($A363,Games!$A$2:$A$18,Games!$H$2:$H$18,"Missing game",0)</x:f>
        <x:v>10</x:v>
      </x:c>
      <x:c r="AN363" t="str">
        <x:f>_xlfn.XLOOKUP($A363,Games!$A$2:$A$18,Games!$I$2:$I$18,"Missing game",0)</x:f>
        <x:v>MIN</x:v>
      </x:c>
      <x:c r="AO363" t="n">
        <x:f>_xlfn.XLOOKUP($A363,Games!$A$2:$A$18,Games!$J$2:$J$18,"Missing game",0)</x:f>
        <x:v>48</x:v>
      </x:c>
      <x:c r="AP363" t="n">
        <x:f>_xlfn.XLOOKUP($A363,Games!$A$2:$A$18,Games!$K$2:$K$18,"Missing game",0)</x:f>
        <x:v>38</x:v>
      </x:c>
      <x:c r="AQ363" t="n">
        <x:f>_xlfn.XLOOKUP($A363,Games!$A$2:$A$18,Games!$L$2:$L$18,"Missing game",0)</x:f>
        <x:v>58</x:v>
      </x:c>
      <x:c r="AR363" t="n">
        <x:f>_xlfn.XLOOKUP($A363,Games!$A$2:$A$18,Games!$M$2:$M$18,"Missing game",0)</x:f>
        <x:v>0</x:v>
      </x:c>
      <x:c r="AS363" t="str">
        <x:f>_xlfn.XLOOKUP($A363,Games!$A$2:$A$18,Games!$N$2:$N$18,"Missing game",0)</x:f>
        <x:v>dome</x:v>
      </x:c>
      <x:c r="AT363" t="str">
        <x:f>_xlfn.XLOOKUP($A363,Games!$A$2:$A$18,Games!$O$2:$O$18,"Missing game",0)</x:f>
        <x:v>sportturf</x:v>
      </x:c>
      <x:c r="AU363" t="str">
        <x:f>_xlfn.XLOOKUP($A363,Games!$A$2:$A$18,Games!$P$2:$P$18,"Missing game",0)</x:f>
      </x:c>
      <x:c r="AV363" t="str">
        <x:f>_xlfn.XLOOKUP($A363,Games!$A$2:$A$18,Games!$Q$2:$Q$18,"Missing game",0)</x:f>
      </x:c>
      <x:c r="AW363" t="str">
        <x:f>_xlfn.XLOOKUP($A363,Games!$A$2:$A$18,Games!$R$2:$R$18,"Missing game",0)</x:f>
        <x:v>U.S. Bank Stadium</x:v>
      </x:c>
    </x:row>
    <x:row r="364">
      <x:c r="A364" t="str">
        <x:v>2025_03_CIN_MIN</x:v>
      </x:c>
      <x:c r="B364" t="n">
        <x:v>736</x:v>
      </x:c>
      <x:c r="C364" t="n">
        <x:v>1</x:v>
      </x:c>
      <x:c r="D364" t="str">
        <x:v>05:25</x:v>
      </x:c>
      <x:c r="E364" t="n">
        <x:v>2</x:v>
      </x:c>
      <x:c r="F364" t="n">
        <x:v>8</x:v>
      </x:c>
      <x:c r="G364" t="str">
        <x:v>CIN</x:v>
      </x:c>
      <x:c r="H364" t="str">
        <x:v>MIN</x:v>
      </x:c>
      <x:c r="I364" t="str">
        <x:v>CIN</x:v>
      </x:c>
      <x:c r="J364" t="n">
        <x:v>73</x:v>
      </x:c>
      <x:c r="K364" t="str">
        <x:v>(5:25) (Shotgun) 30-C.Brown up the middle to CIN 27 for no gain (15-D.Turner; 93-J.Allen).</x:v>
      </x:c>
      <x:c r="L364" t="str">
        <x:v>run</x:v>
      </x:c>
      <x:c r="M364" t="n">
        <x:v>0</x:v>
      </x:c>
      <x:c r="N364" t="n">
        <x:v>1</x:v>
      </x:c>
      <x:c r="O364" t="n">
        <x:v>0</x:v>
      </x:c>
      <x:c r="P364"/>
      <x:c r="Q364"/>
      <x:c r="R364"/>
      <x:c r="S364"/>
      <x:c r="T364" t="str">
        <x:v>middle</x:v>
      </x:c>
      <x:c r="U364"/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/>
      <x:c r="AC364" t="n">
        <x:v>0</x:v>
      </x:c>
      <x:c r="AD364" t="n">
        <x:v>-0.7155372835695744</x:v>
      </x:c>
      <x:c r="AE364" t="n">
        <x:v>0</x:v>
      </x:c>
      <x:c r="AF364" t="n">
        <x:v>-0.014933392405509949</x:v>
      </x:c>
      <x:c r="AG364" t="n">
        <x:f>_xlfn.XLOOKUP($A364,Games!$A$2:$A$18,Games!$B$2:$B$18,"Missing game",0)</x:f>
        <x:v>2025</x:v>
      </x:c>
      <x:c r="AH364" t="str">
        <x:f>_xlfn.XLOOKUP($A364,Games!$A$2:$A$18,Games!$C$2:$C$18,"Missing game",0)</x:f>
        <x:v>REG</x:v>
      </x:c>
      <x:c r="AI364" t="n">
        <x:f>_xlfn.XLOOKUP($A364,Games!$A$2:$A$18,Games!$D$2:$D$18,"Missing game",0)</x:f>
        <x:v>3</x:v>
      </x:c>
      <x:c r="AJ364" s="1" t="n">
        <x:f>_xlfn.XLOOKUP($A364,Games!$A$2:$A$18,Games!$E$2:$E$18,"Missing game",0)</x:f>
        <x:v>45921</x:v>
      </x:c>
      <x:c r="AK364" t="str">
        <x:f>_xlfn.XLOOKUP($A364,Games!$A$2:$A$18,Games!$F$2:$F$18,"Missing game",0)</x:f>
        <x:v>Sunday</x:v>
      </x:c>
      <x:c r="AL364" t="str">
        <x:f>_xlfn.XLOOKUP($A364,Games!$A$2:$A$18,Games!$G$2:$G$18,"Missing game",0)</x:f>
        <x:v>CIN</x:v>
      </x:c>
      <x:c r="AM364" t="n">
        <x:f>_xlfn.XLOOKUP($A364,Games!$A$2:$A$18,Games!$H$2:$H$18,"Missing game",0)</x:f>
        <x:v>10</x:v>
      </x:c>
      <x:c r="AN364" t="str">
        <x:f>_xlfn.XLOOKUP($A364,Games!$A$2:$A$18,Games!$I$2:$I$18,"Missing game",0)</x:f>
        <x:v>MIN</x:v>
      </x:c>
      <x:c r="AO364" t="n">
        <x:f>_xlfn.XLOOKUP($A364,Games!$A$2:$A$18,Games!$J$2:$J$18,"Missing game",0)</x:f>
        <x:v>48</x:v>
      </x:c>
      <x:c r="AP364" t="n">
        <x:f>_xlfn.XLOOKUP($A364,Games!$A$2:$A$18,Games!$K$2:$K$18,"Missing game",0)</x:f>
        <x:v>38</x:v>
      </x:c>
      <x:c r="AQ364" t="n">
        <x:f>_xlfn.XLOOKUP($A364,Games!$A$2:$A$18,Games!$L$2:$L$18,"Missing game",0)</x:f>
        <x:v>58</x:v>
      </x:c>
      <x:c r="AR364" t="n">
        <x:f>_xlfn.XLOOKUP($A364,Games!$A$2:$A$18,Games!$M$2:$M$18,"Missing game",0)</x:f>
        <x:v>0</x:v>
      </x:c>
      <x:c r="AS364" t="str">
        <x:f>_xlfn.XLOOKUP($A364,Games!$A$2:$A$18,Games!$N$2:$N$18,"Missing game",0)</x:f>
        <x:v>dome</x:v>
      </x:c>
      <x:c r="AT364" t="str">
        <x:f>_xlfn.XLOOKUP($A364,Games!$A$2:$A$18,Games!$O$2:$O$18,"Missing game",0)</x:f>
        <x:v>sportturf</x:v>
      </x:c>
      <x:c r="AU364" t="str">
        <x:f>_xlfn.XLOOKUP($A364,Games!$A$2:$A$18,Games!$P$2:$P$18,"Missing game",0)</x:f>
      </x:c>
      <x:c r="AV364" t="str">
        <x:f>_xlfn.XLOOKUP($A364,Games!$A$2:$A$18,Games!$Q$2:$Q$18,"Missing game",0)</x:f>
      </x:c>
      <x:c r="AW364" t="str">
        <x:f>_xlfn.XLOOKUP($A364,Games!$A$2:$A$18,Games!$R$2:$R$18,"Missing game",0)</x:f>
        <x:v>U.S. Bank Stadium</x:v>
      </x:c>
    </x:row>
    <x:row r="365">
      <x:c r="A365" t="str">
        <x:v>2025_03_CIN_MIN</x:v>
      </x:c>
      <x:c r="B365" t="n">
        <x:v>758</x:v>
      </x:c>
      <x:c r="C365" t="n">
        <x:v>1</x:v>
      </x:c>
      <x:c r="D365" t="str">
        <x:v>04:39</x:v>
      </x:c>
      <x:c r="E365" t="n">
        <x:v>3</x:v>
      </x:c>
      <x:c r="F365" t="n">
        <x:v>8</x:v>
      </x:c>
      <x:c r="G365" t="str">
        <x:v>CIN</x:v>
      </x:c>
      <x:c r="H365" t="str">
        <x:v>MIN</x:v>
      </x:c>
      <x:c r="I365" t="str">
        <x:v>CIN</x:v>
      </x:c>
      <x:c r="J365" t="n">
        <x:v>73</x:v>
      </x:c>
      <x:c r="K365" t="str">
        <x:v>(4:39) (Shotgun) 6-J.Browning sacked at CIN 18 for -9 yards (43-A.Van Ginkel).</x:v>
      </x:c>
      <x:c r="L365" t="str">
        <x:v>pass</x:v>
      </x:c>
      <x:c r="M365" t="n">
        <x:v>-9</x:v>
      </x:c>
      <x:c r="N365" t="n">
        <x:v>1</x:v>
      </x:c>
      <x:c r="O365" t="n">
        <x:v>0</x:v>
      </x:c>
      <x:c r="P365"/>
      <x:c r="Q365"/>
      <x:c r="R365"/>
      <x:c r="S365"/>
      <x:c r="T365"/>
      <x:c r="U365"/>
      <x:c r="V365" t="n">
        <x:v>0</x:v>
      </x:c>
      <x:c r="W365" t="n">
        <x:v>0</x:v>
      </x:c>
      <x:c r="X365" t="n">
        <x:v>1</x:v>
      </x:c>
      <x:c r="Y365" t="n">
        <x:v>0</x:v>
      </x:c>
      <x:c r="Z365" t="n">
        <x:v>0</x:v>
      </x:c>
      <x:c r="AA365" t="n">
        <x:v>0</x:v>
      </x:c>
      <x:c r="AB365"/>
      <x:c r="AC365" t="n">
        <x:v>0</x:v>
      </x:c>
      <x:c r="AD365" t="n">
        <x:v>-2.1864629830233753</x:v>
      </x:c>
      <x:c r="AE365" t="n">
        <x:v>0</x:v>
      </x:c>
      <x:c r="AF365" t="n">
        <x:v>-0.01827383041381836</x:v>
      </x:c>
      <x:c r="AG365" t="n">
        <x:f>_xlfn.XLOOKUP($A365,Games!$A$2:$A$18,Games!$B$2:$B$18,"Missing game",0)</x:f>
        <x:v>2025</x:v>
      </x:c>
      <x:c r="AH365" t="str">
        <x:f>_xlfn.XLOOKUP($A365,Games!$A$2:$A$18,Games!$C$2:$C$18,"Missing game",0)</x:f>
        <x:v>REG</x:v>
      </x:c>
      <x:c r="AI365" t="n">
        <x:f>_xlfn.XLOOKUP($A365,Games!$A$2:$A$18,Games!$D$2:$D$18,"Missing game",0)</x:f>
        <x:v>3</x:v>
      </x:c>
      <x:c r="AJ365" s="1" t="n">
        <x:f>_xlfn.XLOOKUP($A365,Games!$A$2:$A$18,Games!$E$2:$E$18,"Missing game",0)</x:f>
        <x:v>45921</x:v>
      </x:c>
      <x:c r="AK365" t="str">
        <x:f>_xlfn.XLOOKUP($A365,Games!$A$2:$A$18,Games!$F$2:$F$18,"Missing game",0)</x:f>
        <x:v>Sunday</x:v>
      </x:c>
      <x:c r="AL365" t="str">
        <x:f>_xlfn.XLOOKUP($A365,Games!$A$2:$A$18,Games!$G$2:$G$18,"Missing game",0)</x:f>
        <x:v>CIN</x:v>
      </x:c>
      <x:c r="AM365" t="n">
        <x:f>_xlfn.XLOOKUP($A365,Games!$A$2:$A$18,Games!$H$2:$H$18,"Missing game",0)</x:f>
        <x:v>10</x:v>
      </x:c>
      <x:c r="AN365" t="str">
        <x:f>_xlfn.XLOOKUP($A365,Games!$A$2:$A$18,Games!$I$2:$I$18,"Missing game",0)</x:f>
        <x:v>MIN</x:v>
      </x:c>
      <x:c r="AO365" t="n">
        <x:f>_xlfn.XLOOKUP($A365,Games!$A$2:$A$18,Games!$J$2:$J$18,"Missing game",0)</x:f>
        <x:v>48</x:v>
      </x:c>
      <x:c r="AP365" t="n">
        <x:f>_xlfn.XLOOKUP($A365,Games!$A$2:$A$18,Games!$K$2:$K$18,"Missing game",0)</x:f>
        <x:v>38</x:v>
      </x:c>
      <x:c r="AQ365" t="n">
        <x:f>_xlfn.XLOOKUP($A365,Games!$A$2:$A$18,Games!$L$2:$L$18,"Missing game",0)</x:f>
        <x:v>58</x:v>
      </x:c>
      <x:c r="AR365" t="n">
        <x:f>_xlfn.XLOOKUP($A365,Games!$A$2:$A$18,Games!$M$2:$M$18,"Missing game",0)</x:f>
        <x:v>0</x:v>
      </x:c>
      <x:c r="AS365" t="str">
        <x:f>_xlfn.XLOOKUP($A365,Games!$A$2:$A$18,Games!$N$2:$N$18,"Missing game",0)</x:f>
        <x:v>dome</x:v>
      </x:c>
      <x:c r="AT365" t="str">
        <x:f>_xlfn.XLOOKUP($A365,Games!$A$2:$A$18,Games!$O$2:$O$18,"Missing game",0)</x:f>
        <x:v>sportturf</x:v>
      </x:c>
      <x:c r="AU365" t="str">
        <x:f>_xlfn.XLOOKUP($A365,Games!$A$2:$A$18,Games!$P$2:$P$18,"Missing game",0)</x:f>
      </x:c>
      <x:c r="AV365" t="str">
        <x:f>_xlfn.XLOOKUP($A365,Games!$A$2:$A$18,Games!$Q$2:$Q$18,"Missing game",0)</x:f>
      </x:c>
      <x:c r="AW365" t="str">
        <x:f>_xlfn.XLOOKUP($A365,Games!$A$2:$A$18,Games!$R$2:$R$18,"Missing game",0)</x:f>
        <x:v>U.S. Bank Stadium</x:v>
      </x:c>
    </x:row>
    <x:row r="366">
      <x:c r="A366" t="str">
        <x:v>2025_03_CIN_MIN</x:v>
      </x:c>
      <x:c r="B366" t="n">
        <x:v>778</x:v>
      </x:c>
      <x:c r="C366" t="n">
        <x:v>1</x:v>
      </x:c>
      <x:c r="D366" t="str">
        <x:v>03:59</x:v>
      </x:c>
      <x:c r="E366" t="n">
        <x:v>4</x:v>
      </x:c>
      <x:c r="F366" t="n">
        <x:v>17</x:v>
      </x:c>
      <x:c r="G366" t="str">
        <x:v>CIN</x:v>
      </x:c>
      <x:c r="H366" t="str">
        <x:v>MIN</x:v>
      </x:c>
      <x:c r="I366" t="str">
        <x:v>CIN</x:v>
      </x:c>
      <x:c r="J366" t="n">
        <x:v>82</x:v>
      </x:c>
      <x:c r="K366" t="str">
        <x:v>(3:59) 8-R.Rehkow punts 55 yards to MIN 27, Center-46-W.Wagner. 4-M.Price to MIN 43 for 16 yards (46-W.Wagner; 50-S.Heyward).</x:v>
      </x:c>
      <x:c r="L366" t="str">
        <x:v>punt</x:v>
      </x:c>
      <x:c r="M366" t="n">
        <x:v>0</x:v>
      </x:c>
      <x:c r="N366" t="n">
        <x:v>0</x:v>
      </x:c>
      <x:c r="O366" t="n">
        <x:v>0</x:v>
      </x:c>
      <x:c r="P366"/>
      <x:c r="Q366"/>
      <x:c r="R366"/>
      <x:c r="S366"/>
      <x:c r="T366"/>
      <x:c r="U366"/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/>
      <x:c r="AC366" t="n">
        <x:v>0</x:v>
      </x:c>
      <x:c r="AD366" t="n">
        <x:v>-0.3385904475580901</x:v>
      </x:c>
      <x:c r="AE366" t="n">
        <x:v>0</x:v>
      </x:c>
      <x:c r="AF366" t="n">
        <x:v>-0.012048587203025818</x:v>
      </x:c>
      <x:c r="AG366" t="n">
        <x:f>_xlfn.XLOOKUP($A366,Games!$A$2:$A$18,Games!$B$2:$B$18,"Missing game",0)</x:f>
        <x:v>2025</x:v>
      </x:c>
      <x:c r="AH366" t="str">
        <x:f>_xlfn.XLOOKUP($A366,Games!$A$2:$A$18,Games!$C$2:$C$18,"Missing game",0)</x:f>
        <x:v>REG</x:v>
      </x:c>
      <x:c r="AI366" t="n">
        <x:f>_xlfn.XLOOKUP($A366,Games!$A$2:$A$18,Games!$D$2:$D$18,"Missing game",0)</x:f>
        <x:v>3</x:v>
      </x:c>
      <x:c r="AJ366" s="1" t="n">
        <x:f>_xlfn.XLOOKUP($A366,Games!$A$2:$A$18,Games!$E$2:$E$18,"Missing game",0)</x:f>
        <x:v>45921</x:v>
      </x:c>
      <x:c r="AK366" t="str">
        <x:f>_xlfn.XLOOKUP($A366,Games!$A$2:$A$18,Games!$F$2:$F$18,"Missing game",0)</x:f>
        <x:v>Sunday</x:v>
      </x:c>
      <x:c r="AL366" t="str">
        <x:f>_xlfn.XLOOKUP($A366,Games!$A$2:$A$18,Games!$G$2:$G$18,"Missing game",0)</x:f>
        <x:v>CIN</x:v>
      </x:c>
      <x:c r="AM366" t="n">
        <x:f>_xlfn.XLOOKUP($A366,Games!$A$2:$A$18,Games!$H$2:$H$18,"Missing game",0)</x:f>
        <x:v>10</x:v>
      </x:c>
      <x:c r="AN366" t="str">
        <x:f>_xlfn.XLOOKUP($A366,Games!$A$2:$A$18,Games!$I$2:$I$18,"Missing game",0)</x:f>
        <x:v>MIN</x:v>
      </x:c>
      <x:c r="AO366" t="n">
        <x:f>_xlfn.XLOOKUP($A366,Games!$A$2:$A$18,Games!$J$2:$J$18,"Missing game",0)</x:f>
        <x:v>48</x:v>
      </x:c>
      <x:c r="AP366" t="n">
        <x:f>_xlfn.XLOOKUP($A366,Games!$A$2:$A$18,Games!$K$2:$K$18,"Missing game",0)</x:f>
        <x:v>38</x:v>
      </x:c>
      <x:c r="AQ366" t="n">
        <x:f>_xlfn.XLOOKUP($A366,Games!$A$2:$A$18,Games!$L$2:$L$18,"Missing game",0)</x:f>
        <x:v>58</x:v>
      </x:c>
      <x:c r="AR366" t="n">
        <x:f>_xlfn.XLOOKUP($A366,Games!$A$2:$A$18,Games!$M$2:$M$18,"Missing game",0)</x:f>
        <x:v>0</x:v>
      </x:c>
      <x:c r="AS366" t="str">
        <x:f>_xlfn.XLOOKUP($A366,Games!$A$2:$A$18,Games!$N$2:$N$18,"Missing game",0)</x:f>
        <x:v>dome</x:v>
      </x:c>
      <x:c r="AT366" t="str">
        <x:f>_xlfn.XLOOKUP($A366,Games!$A$2:$A$18,Games!$O$2:$O$18,"Missing game",0)</x:f>
        <x:v>sportturf</x:v>
      </x:c>
      <x:c r="AU366" t="str">
        <x:f>_xlfn.XLOOKUP($A366,Games!$A$2:$A$18,Games!$P$2:$P$18,"Missing game",0)</x:f>
      </x:c>
      <x:c r="AV366" t="str">
        <x:f>_xlfn.XLOOKUP($A366,Games!$A$2:$A$18,Games!$Q$2:$Q$18,"Missing game",0)</x:f>
      </x:c>
      <x:c r="AW366" t="str">
        <x:f>_xlfn.XLOOKUP($A366,Games!$A$2:$A$18,Games!$R$2:$R$18,"Missing game",0)</x:f>
        <x:v>U.S. Bank Stadium</x:v>
      </x:c>
    </x:row>
    <x:row r="367">
      <x:c r="A367" t="str">
        <x:v>2025_03_CIN_MIN</x:v>
      </x:c>
      <x:c r="B367" t="n">
        <x:v>804</x:v>
      </x:c>
      <x:c r="C367" t="n">
        <x:v>1</x:v>
      </x:c>
      <x:c r="D367" t="str">
        <x:v>03:46</x:v>
      </x:c>
      <x:c r="E367" t="n">
        <x:v>1</x:v>
      </x:c>
      <x:c r="F367" t="n">
        <x:v>10</x:v>
      </x:c>
      <x:c r="G367" t="str">
        <x:v>MIN</x:v>
      </x:c>
      <x:c r="H367" t="str">
        <x:v>CIN</x:v>
      </x:c>
      <x:c r="I367" t="str">
        <x:v>MIN</x:v>
      </x:c>
      <x:c r="J367" t="n">
        <x:v>57</x:v>
      </x:c>
      <x:c r="K367" t="str">
        <x:v>(3:46) 11-C.Wentz sacked at MIN 38 for -5 yards (58-J.Ossai).</x:v>
      </x:c>
      <x:c r="L367" t="str">
        <x:v>pass</x:v>
      </x:c>
      <x:c r="M367" t="n">
        <x:v>-5</x:v>
      </x:c>
      <x:c r="N367" t="n">
        <x:v>0</x:v>
      </x:c>
      <x:c r="O367" t="n">
        <x:v>0</x:v>
      </x:c>
      <x:c r="P367"/>
      <x:c r="Q367"/>
      <x:c r="R367"/>
      <x:c r="S367"/>
      <x:c r="T367"/>
      <x:c r="U367"/>
      <x:c r="V367" t="n">
        <x:v>0</x:v>
      </x:c>
      <x:c r="W367" t="n">
        <x:v>0</x:v>
      </x:c>
      <x:c r="X367" t="n">
        <x:v>1</x:v>
      </x:c>
      <x:c r="Y367" t="n">
        <x:v>0</x:v>
      </x:c>
      <x:c r="Z367" t="n">
        <x:v>0</x:v>
      </x:c>
      <x:c r="AA367" t="n">
        <x:v>0</x:v>
      </x:c>
      <x:c r="AB367"/>
      <x:c r="AC367" t="n">
        <x:v>0</x:v>
      </x:c>
      <x:c r="AD367" t="n">
        <x:v>-1.2309363654349</x:v>
      </x:c>
      <x:c r="AE367" t="n">
        <x:v>0</x:v>
      </x:c>
      <x:c r="AF367" t="n">
        <x:v>-0.01731884479522705</x:v>
      </x:c>
      <x:c r="AG367" t="n">
        <x:f>_xlfn.XLOOKUP($A367,Games!$A$2:$A$18,Games!$B$2:$B$18,"Missing game",0)</x:f>
        <x:v>2025</x:v>
      </x:c>
      <x:c r="AH367" t="str">
        <x:f>_xlfn.XLOOKUP($A367,Games!$A$2:$A$18,Games!$C$2:$C$18,"Missing game",0)</x:f>
        <x:v>REG</x:v>
      </x:c>
      <x:c r="AI367" t="n">
        <x:f>_xlfn.XLOOKUP($A367,Games!$A$2:$A$18,Games!$D$2:$D$18,"Missing game",0)</x:f>
        <x:v>3</x:v>
      </x:c>
      <x:c r="AJ367" s="1" t="n">
        <x:f>_xlfn.XLOOKUP($A367,Games!$A$2:$A$18,Games!$E$2:$E$18,"Missing game",0)</x:f>
        <x:v>45921</x:v>
      </x:c>
      <x:c r="AK367" t="str">
        <x:f>_xlfn.XLOOKUP($A367,Games!$A$2:$A$18,Games!$F$2:$F$18,"Missing game",0)</x:f>
        <x:v>Sunday</x:v>
      </x:c>
      <x:c r="AL367" t="str">
        <x:f>_xlfn.XLOOKUP($A367,Games!$A$2:$A$18,Games!$G$2:$G$18,"Missing game",0)</x:f>
        <x:v>CIN</x:v>
      </x:c>
      <x:c r="AM367" t="n">
        <x:f>_xlfn.XLOOKUP($A367,Games!$A$2:$A$18,Games!$H$2:$H$18,"Missing game",0)</x:f>
        <x:v>10</x:v>
      </x:c>
      <x:c r="AN367" t="str">
        <x:f>_xlfn.XLOOKUP($A367,Games!$A$2:$A$18,Games!$I$2:$I$18,"Missing game",0)</x:f>
        <x:v>MIN</x:v>
      </x:c>
      <x:c r="AO367" t="n">
        <x:f>_xlfn.XLOOKUP($A367,Games!$A$2:$A$18,Games!$J$2:$J$18,"Missing game",0)</x:f>
        <x:v>48</x:v>
      </x:c>
      <x:c r="AP367" t="n">
        <x:f>_xlfn.XLOOKUP($A367,Games!$A$2:$A$18,Games!$K$2:$K$18,"Missing game",0)</x:f>
        <x:v>38</x:v>
      </x:c>
      <x:c r="AQ367" t="n">
        <x:f>_xlfn.XLOOKUP($A367,Games!$A$2:$A$18,Games!$L$2:$L$18,"Missing game",0)</x:f>
        <x:v>58</x:v>
      </x:c>
      <x:c r="AR367" t="n">
        <x:f>_xlfn.XLOOKUP($A367,Games!$A$2:$A$18,Games!$M$2:$M$18,"Missing game",0)</x:f>
        <x:v>0</x:v>
      </x:c>
      <x:c r="AS367" t="str">
        <x:f>_xlfn.XLOOKUP($A367,Games!$A$2:$A$18,Games!$N$2:$N$18,"Missing game",0)</x:f>
        <x:v>dome</x:v>
      </x:c>
      <x:c r="AT367" t="str">
        <x:f>_xlfn.XLOOKUP($A367,Games!$A$2:$A$18,Games!$O$2:$O$18,"Missing game",0)</x:f>
        <x:v>sportturf</x:v>
      </x:c>
      <x:c r="AU367" t="str">
        <x:f>_xlfn.XLOOKUP($A367,Games!$A$2:$A$18,Games!$P$2:$P$18,"Missing game",0)</x:f>
      </x:c>
      <x:c r="AV367" t="str">
        <x:f>_xlfn.XLOOKUP($A367,Games!$A$2:$A$18,Games!$Q$2:$Q$18,"Missing game",0)</x:f>
      </x:c>
      <x:c r="AW367" t="str">
        <x:f>_xlfn.XLOOKUP($A367,Games!$A$2:$A$18,Games!$R$2:$R$18,"Missing game",0)</x:f>
        <x:v>U.S. Bank Stadium</x:v>
      </x:c>
    </x:row>
    <x:row r="368">
      <x:c r="A368" t="str">
        <x:v>2025_03_CIN_MIN</x:v>
      </x:c>
      <x:c r="B368" t="n">
        <x:v>831</x:v>
      </x:c>
      <x:c r="C368" t="n">
        <x:v>1</x:v>
      </x:c>
      <x:c r="D368" t="str">
        <x:v>03:01</x:v>
      </x:c>
      <x:c r="E368" t="n">
        <x:v>2</x:v>
      </x:c>
      <x:c r="F368" t="n">
        <x:v>15</x:v>
      </x:c>
      <x:c r="G368" t="str">
        <x:v>MIN</x:v>
      </x:c>
      <x:c r="H368" t="str">
        <x:v>CIN</x:v>
      </x:c>
      <x:c r="I368" t="str">
        <x:v>MIN</x:v>
      </x:c>
      <x:c r="J368" t="n">
        <x:v>62</x:v>
      </x:c>
      <x:c r="K368" t="str">
        <x:v>(3:01) (Shotgun) 11-C.Wentz pass short right to 1-J.Nailor ran ob at MIN 46 for 8 yards (44-D.Knight).</x:v>
      </x:c>
      <x:c r="L368" t="str">
        <x:v>pass</x:v>
      </x:c>
      <x:c r="M368" t="n">
        <x:v>8</x:v>
      </x:c>
      <x:c r="N368" t="n">
        <x:v>1</x:v>
      </x:c>
      <x:c r="O368" t="n">
        <x:v>0</x:v>
      </x:c>
      <x:c r="P368" t="str">
        <x:v>short</x:v>
      </x:c>
      <x:c r="Q368" t="str">
        <x:v>right</x:v>
      </x:c>
      <x:c r="R368" t="n">
        <x:v>2</x:v>
      </x:c>
      <x:c r="S368" t="n">
        <x:v>6</x:v>
      </x:c>
      <x:c r="T368"/>
      <x:c r="U368"/>
      <x:c r="V368" t="n">
        <x:v>1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/>
      <x:c r="AC368" t="n">
        <x:v>0</x:v>
      </x:c>
      <x:c r="AD368" t="n">
        <x:v>0.07448833319358528</x:v>
      </x:c>
      <x:c r="AE368" t="n">
        <x:v>1</x:v>
      </x:c>
      <x:c r="AF368" t="n">
        <x:v>0.011276304721832275</x:v>
      </x:c>
      <x:c r="AG368" t="n">
        <x:f>_xlfn.XLOOKUP($A368,Games!$A$2:$A$18,Games!$B$2:$B$18,"Missing game",0)</x:f>
        <x:v>2025</x:v>
      </x:c>
      <x:c r="AH368" t="str">
        <x:f>_xlfn.XLOOKUP($A368,Games!$A$2:$A$18,Games!$C$2:$C$18,"Missing game",0)</x:f>
        <x:v>REG</x:v>
      </x:c>
      <x:c r="AI368" t="n">
        <x:f>_xlfn.XLOOKUP($A368,Games!$A$2:$A$18,Games!$D$2:$D$18,"Missing game",0)</x:f>
        <x:v>3</x:v>
      </x:c>
      <x:c r="AJ368" s="1" t="n">
        <x:f>_xlfn.XLOOKUP($A368,Games!$A$2:$A$18,Games!$E$2:$E$18,"Missing game",0)</x:f>
        <x:v>45921</x:v>
      </x:c>
      <x:c r="AK368" t="str">
        <x:f>_xlfn.XLOOKUP($A368,Games!$A$2:$A$18,Games!$F$2:$F$18,"Missing game",0)</x:f>
        <x:v>Sunday</x:v>
      </x:c>
      <x:c r="AL368" t="str">
        <x:f>_xlfn.XLOOKUP($A368,Games!$A$2:$A$18,Games!$G$2:$G$18,"Missing game",0)</x:f>
        <x:v>CIN</x:v>
      </x:c>
      <x:c r="AM368" t="n">
        <x:f>_xlfn.XLOOKUP($A368,Games!$A$2:$A$18,Games!$H$2:$H$18,"Missing game",0)</x:f>
        <x:v>10</x:v>
      </x:c>
      <x:c r="AN368" t="str">
        <x:f>_xlfn.XLOOKUP($A368,Games!$A$2:$A$18,Games!$I$2:$I$18,"Missing game",0)</x:f>
        <x:v>MIN</x:v>
      </x:c>
      <x:c r="AO368" t="n">
        <x:f>_xlfn.XLOOKUP($A368,Games!$A$2:$A$18,Games!$J$2:$J$18,"Missing game",0)</x:f>
        <x:v>48</x:v>
      </x:c>
      <x:c r="AP368" t="n">
        <x:f>_xlfn.XLOOKUP($A368,Games!$A$2:$A$18,Games!$K$2:$K$18,"Missing game",0)</x:f>
        <x:v>38</x:v>
      </x:c>
      <x:c r="AQ368" t="n">
        <x:f>_xlfn.XLOOKUP($A368,Games!$A$2:$A$18,Games!$L$2:$L$18,"Missing game",0)</x:f>
        <x:v>58</x:v>
      </x:c>
      <x:c r="AR368" t="n">
        <x:f>_xlfn.XLOOKUP($A368,Games!$A$2:$A$18,Games!$M$2:$M$18,"Missing game",0)</x:f>
        <x:v>0</x:v>
      </x:c>
      <x:c r="AS368" t="str">
        <x:f>_xlfn.XLOOKUP($A368,Games!$A$2:$A$18,Games!$N$2:$N$18,"Missing game",0)</x:f>
        <x:v>dome</x:v>
      </x:c>
      <x:c r="AT368" t="str">
        <x:f>_xlfn.XLOOKUP($A368,Games!$A$2:$A$18,Games!$O$2:$O$18,"Missing game",0)</x:f>
        <x:v>sportturf</x:v>
      </x:c>
      <x:c r="AU368" t="str">
        <x:f>_xlfn.XLOOKUP($A368,Games!$A$2:$A$18,Games!$P$2:$P$18,"Missing game",0)</x:f>
      </x:c>
      <x:c r="AV368" t="str">
        <x:f>_xlfn.XLOOKUP($A368,Games!$A$2:$A$18,Games!$Q$2:$Q$18,"Missing game",0)</x:f>
      </x:c>
      <x:c r="AW368" t="str">
        <x:f>_xlfn.XLOOKUP($A368,Games!$A$2:$A$18,Games!$R$2:$R$18,"Missing game",0)</x:f>
        <x:v>U.S. Bank Stadium</x:v>
      </x:c>
    </x:row>
    <x:row r="369">
      <x:c r="A369" t="str">
        <x:v>2025_03_CIN_MIN</x:v>
      </x:c>
      <x:c r="B369" t="n">
        <x:v>861</x:v>
      </x:c>
      <x:c r="C369" t="n">
        <x:v>1</x:v>
      </x:c>
      <x:c r="D369" t="str">
        <x:v>02:24</x:v>
      </x:c>
      <x:c r="E369" t="n">
        <x:v>3</x:v>
      </x:c>
      <x:c r="F369" t="n">
        <x:v>7</x:v>
      </x:c>
      <x:c r="G369" t="str">
        <x:v>MIN</x:v>
      </x:c>
      <x:c r="H369" t="str">
        <x:v>CIN</x:v>
      </x:c>
      <x:c r="I369" t="str">
        <x:v>MIN</x:v>
      </x:c>
      <x:c r="J369" t="n">
        <x:v>54</x:v>
      </x:c>
      <x:c r="K369" t="str">
        <x:v>(2:24) (Shotgun) 11-C.Wentz scrambles left end to MIN 47 for 1 yard (99-M.Murphy).</x:v>
      </x:c>
      <x:c r="L369" t="str">
        <x:v>run</x:v>
      </x:c>
      <x:c r="M369" t="n">
        <x:v>1</x:v>
      </x:c>
      <x:c r="N369" t="n">
        <x:v>1</x:v>
      </x:c>
      <x:c r="O369" t="n">
        <x:v>0</x:v>
      </x:c>
      <x:c r="P369"/>
      <x:c r="Q369"/>
      <x:c r="R369"/>
      <x:c r="S369"/>
      <x:c r="T369" t="str">
        <x:v>left</x:v>
      </x:c>
      <x:c r="U369" t="str">
        <x:v>end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/>
      <x:c r="AC369" t="n">
        <x:v>0</x:v>
      </x:c>
      <x:c r="AD369" t="n">
        <x:v>-1.5844657851848751</x:v>
      </x:c>
      <x:c r="AE369" t="n">
        <x:v>0</x:v>
      </x:c>
      <x:c r="AF369" t="n">
        <x:v>-0.02630615234375</x:v>
      </x:c>
      <x:c r="AG369" t="n">
        <x:f>_xlfn.XLOOKUP($A369,Games!$A$2:$A$18,Games!$B$2:$B$18,"Missing game",0)</x:f>
        <x:v>2025</x:v>
      </x:c>
      <x:c r="AH369" t="str">
        <x:f>_xlfn.XLOOKUP($A369,Games!$A$2:$A$18,Games!$C$2:$C$18,"Missing game",0)</x:f>
        <x:v>REG</x:v>
      </x:c>
      <x:c r="AI369" t="n">
        <x:f>_xlfn.XLOOKUP($A369,Games!$A$2:$A$18,Games!$D$2:$D$18,"Missing game",0)</x:f>
        <x:v>3</x:v>
      </x:c>
      <x:c r="AJ369" s="1" t="n">
        <x:f>_xlfn.XLOOKUP($A369,Games!$A$2:$A$18,Games!$E$2:$E$18,"Missing game",0)</x:f>
        <x:v>45921</x:v>
      </x:c>
      <x:c r="AK369" t="str">
        <x:f>_xlfn.XLOOKUP($A369,Games!$A$2:$A$18,Games!$F$2:$F$18,"Missing game",0)</x:f>
        <x:v>Sunday</x:v>
      </x:c>
      <x:c r="AL369" t="str">
        <x:f>_xlfn.XLOOKUP($A369,Games!$A$2:$A$18,Games!$G$2:$G$18,"Missing game",0)</x:f>
        <x:v>CIN</x:v>
      </x:c>
      <x:c r="AM369" t="n">
        <x:f>_xlfn.XLOOKUP($A369,Games!$A$2:$A$18,Games!$H$2:$H$18,"Missing game",0)</x:f>
        <x:v>10</x:v>
      </x:c>
      <x:c r="AN369" t="str">
        <x:f>_xlfn.XLOOKUP($A369,Games!$A$2:$A$18,Games!$I$2:$I$18,"Missing game",0)</x:f>
        <x:v>MIN</x:v>
      </x:c>
      <x:c r="AO369" t="n">
        <x:f>_xlfn.XLOOKUP($A369,Games!$A$2:$A$18,Games!$J$2:$J$18,"Missing game",0)</x:f>
        <x:v>48</x:v>
      </x:c>
      <x:c r="AP369" t="n">
        <x:f>_xlfn.XLOOKUP($A369,Games!$A$2:$A$18,Games!$K$2:$K$18,"Missing game",0)</x:f>
        <x:v>38</x:v>
      </x:c>
      <x:c r="AQ369" t="n">
        <x:f>_xlfn.XLOOKUP($A369,Games!$A$2:$A$18,Games!$L$2:$L$18,"Missing game",0)</x:f>
        <x:v>58</x:v>
      </x:c>
      <x:c r="AR369" t="n">
        <x:f>_xlfn.XLOOKUP($A369,Games!$A$2:$A$18,Games!$M$2:$M$18,"Missing game",0)</x:f>
        <x:v>0</x:v>
      </x:c>
      <x:c r="AS369" t="str">
        <x:f>_xlfn.XLOOKUP($A369,Games!$A$2:$A$18,Games!$N$2:$N$18,"Missing game",0)</x:f>
        <x:v>dome</x:v>
      </x:c>
      <x:c r="AT369" t="str">
        <x:f>_xlfn.XLOOKUP($A369,Games!$A$2:$A$18,Games!$O$2:$O$18,"Missing game",0)</x:f>
        <x:v>sportturf</x:v>
      </x:c>
      <x:c r="AU369" t="str">
        <x:f>_xlfn.XLOOKUP($A369,Games!$A$2:$A$18,Games!$P$2:$P$18,"Missing game",0)</x:f>
      </x:c>
      <x:c r="AV369" t="str">
        <x:f>_xlfn.XLOOKUP($A369,Games!$A$2:$A$18,Games!$Q$2:$Q$18,"Missing game",0)</x:f>
      </x:c>
      <x:c r="AW369" t="str">
        <x:f>_xlfn.XLOOKUP($A369,Games!$A$2:$A$18,Games!$R$2:$R$18,"Missing game",0)</x:f>
        <x:v>U.S. Bank Stadium</x:v>
      </x:c>
    </x:row>
    <x:row r="370">
      <x:c r="A370" t="str">
        <x:v>2025_03_CIN_MIN</x:v>
      </x:c>
      <x:c r="B370" t="n">
        <x:v>883</x:v>
      </x:c>
      <x:c r="C370" t="n">
        <x:v>1</x:v>
      </x:c>
      <x:c r="D370" t="str">
        <x:v>01:45</x:v>
      </x:c>
      <x:c r="E370" t="n">
        <x:v>4</x:v>
      </x:c>
      <x:c r="F370" t="n">
        <x:v>6</x:v>
      </x:c>
      <x:c r="G370" t="str">
        <x:v>MIN</x:v>
      </x:c>
      <x:c r="H370" t="str">
        <x:v>CIN</x:v>
      </x:c>
      <x:c r="I370" t="str">
        <x:v>MIN</x:v>
      </x:c>
      <x:c r="J370" t="n">
        <x:v>53</x:v>
      </x:c>
      <x:c r="K370" t="str">
        <x:v>(1:45) 17-R.Wright punts 46 yards to CIN 7, Center-42-A.DePaola, fair catch by 15-C.Jones.</x:v>
      </x:c>
      <x:c r="L370" t="str">
        <x:v>punt</x:v>
      </x:c>
      <x:c r="M370" t="n">
        <x:v>0</x:v>
      </x:c>
      <x:c r="N370" t="n">
        <x:v>0</x:v>
      </x:c>
      <x:c r="O370" t="n">
        <x:v>0</x:v>
      </x:c>
      <x:c r="P370"/>
      <x:c r="Q370"/>
      <x:c r="R370"/>
      <x:c r="S370"/>
      <x:c r="T370"/>
      <x:c r="U370"/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/>
      <x:c r="AC370" t="n">
        <x:v>0</x:v>
      </x:c>
      <x:c r="AD370" t="n">
        <x:v>0.13352666283026338</x:v>
      </x:c>
      <x:c r="AE370" t="n">
        <x:v>1</x:v>
      </x:c>
      <x:c r="AF370" t="n">
        <x:v>0.004869729280471802</x:v>
      </x:c>
      <x:c r="AG370" t="n">
        <x:f>_xlfn.XLOOKUP($A370,Games!$A$2:$A$18,Games!$B$2:$B$18,"Missing game",0)</x:f>
        <x:v>2025</x:v>
      </x:c>
      <x:c r="AH370" t="str">
        <x:f>_xlfn.XLOOKUP($A370,Games!$A$2:$A$18,Games!$C$2:$C$18,"Missing game",0)</x:f>
        <x:v>REG</x:v>
      </x:c>
      <x:c r="AI370" t="n">
        <x:f>_xlfn.XLOOKUP($A370,Games!$A$2:$A$18,Games!$D$2:$D$18,"Missing game",0)</x:f>
        <x:v>3</x:v>
      </x:c>
      <x:c r="AJ370" s="1" t="n">
        <x:f>_xlfn.XLOOKUP($A370,Games!$A$2:$A$18,Games!$E$2:$E$18,"Missing game",0)</x:f>
        <x:v>45921</x:v>
      </x:c>
      <x:c r="AK370" t="str">
        <x:f>_xlfn.XLOOKUP($A370,Games!$A$2:$A$18,Games!$F$2:$F$18,"Missing game",0)</x:f>
        <x:v>Sunday</x:v>
      </x:c>
      <x:c r="AL370" t="str">
        <x:f>_xlfn.XLOOKUP($A370,Games!$A$2:$A$18,Games!$G$2:$G$18,"Missing game",0)</x:f>
        <x:v>CIN</x:v>
      </x:c>
      <x:c r="AM370" t="n">
        <x:f>_xlfn.XLOOKUP($A370,Games!$A$2:$A$18,Games!$H$2:$H$18,"Missing game",0)</x:f>
        <x:v>10</x:v>
      </x:c>
      <x:c r="AN370" t="str">
        <x:f>_xlfn.XLOOKUP($A370,Games!$A$2:$A$18,Games!$I$2:$I$18,"Missing game",0)</x:f>
        <x:v>MIN</x:v>
      </x:c>
      <x:c r="AO370" t="n">
        <x:f>_xlfn.XLOOKUP($A370,Games!$A$2:$A$18,Games!$J$2:$J$18,"Missing game",0)</x:f>
        <x:v>48</x:v>
      </x:c>
      <x:c r="AP370" t="n">
        <x:f>_xlfn.XLOOKUP($A370,Games!$A$2:$A$18,Games!$K$2:$K$18,"Missing game",0)</x:f>
        <x:v>38</x:v>
      </x:c>
      <x:c r="AQ370" t="n">
        <x:f>_xlfn.XLOOKUP($A370,Games!$A$2:$A$18,Games!$L$2:$L$18,"Missing game",0)</x:f>
        <x:v>58</x:v>
      </x:c>
      <x:c r="AR370" t="n">
        <x:f>_xlfn.XLOOKUP($A370,Games!$A$2:$A$18,Games!$M$2:$M$18,"Missing game",0)</x:f>
        <x:v>0</x:v>
      </x:c>
      <x:c r="AS370" t="str">
        <x:f>_xlfn.XLOOKUP($A370,Games!$A$2:$A$18,Games!$N$2:$N$18,"Missing game",0)</x:f>
        <x:v>dome</x:v>
      </x:c>
      <x:c r="AT370" t="str">
        <x:f>_xlfn.XLOOKUP($A370,Games!$A$2:$A$18,Games!$O$2:$O$18,"Missing game",0)</x:f>
        <x:v>sportturf</x:v>
      </x:c>
      <x:c r="AU370" t="str">
        <x:f>_xlfn.XLOOKUP($A370,Games!$A$2:$A$18,Games!$P$2:$P$18,"Missing game",0)</x:f>
      </x:c>
      <x:c r="AV370" t="str">
        <x:f>_xlfn.XLOOKUP($A370,Games!$A$2:$A$18,Games!$Q$2:$Q$18,"Missing game",0)</x:f>
      </x:c>
      <x:c r="AW370" t="str">
        <x:f>_xlfn.XLOOKUP($A370,Games!$A$2:$A$18,Games!$R$2:$R$18,"Missing game",0)</x:f>
        <x:v>U.S. Bank Stadium</x:v>
      </x:c>
    </x:row>
    <x:row r="371">
      <x:c r="A371" t="str">
        <x:v>2025_03_CIN_MIN</x:v>
      </x:c>
      <x:c r="B371" t="n">
        <x:v>903</x:v>
      </x:c>
      <x:c r="C371" t="n">
        <x:v>1</x:v>
      </x:c>
      <x:c r="D371" t="str">
        <x:v>01:39</x:v>
      </x:c>
      <x:c r="E371" t="n">
        <x:v>1</x:v>
      </x:c>
      <x:c r="F371" t="n">
        <x:v>10</x:v>
      </x:c>
      <x:c r="G371" t="str">
        <x:v>CIN</x:v>
      </x:c>
      <x:c r="H371" t="str">
        <x:v>MIN</x:v>
      </x:c>
      <x:c r="I371" t="str">
        <x:v>CIN</x:v>
      </x:c>
      <x:c r="J371" t="n">
        <x:v>93</x:v>
      </x:c>
      <x:c r="K371" t="str">
        <x:v>(1:39) 30-C.Brown up the middle to CIN 5 for -2 yards (50-L.Rodriguez).</x:v>
      </x:c>
      <x:c r="L371" t="str">
        <x:v>run</x:v>
      </x:c>
      <x:c r="M371" t="n">
        <x:v>-2</x:v>
      </x:c>
      <x:c r="N371" t="n">
        <x:v>0</x:v>
      </x:c>
      <x:c r="O371" t="n">
        <x:v>0</x:v>
      </x:c>
      <x:c r="P371"/>
      <x:c r="Q371"/>
      <x:c r="R371"/>
      <x:c r="S371"/>
      <x:c r="T371" t="str">
        <x:v>middle</x:v>
      </x:c>
      <x:c r="U371"/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/>
      <x:c r="AC371" t="n">
        <x:v>0</x:v>
      </x:c>
      <x:c r="AD371" t="n">
        <x:v>-1.2039631006773561</x:v>
      </x:c>
      <x:c r="AE371" t="n">
        <x:v>0</x:v>
      </x:c>
      <x:c r="AF371" t="n">
        <x:v>-0.016998521983623505</x:v>
      </x:c>
      <x:c r="AG371" t="n">
        <x:f>_xlfn.XLOOKUP($A371,Games!$A$2:$A$18,Games!$B$2:$B$18,"Missing game",0)</x:f>
        <x:v>2025</x:v>
      </x:c>
      <x:c r="AH371" t="str">
        <x:f>_xlfn.XLOOKUP($A371,Games!$A$2:$A$18,Games!$C$2:$C$18,"Missing game",0)</x:f>
        <x:v>REG</x:v>
      </x:c>
      <x:c r="AI371" t="n">
        <x:f>_xlfn.XLOOKUP($A371,Games!$A$2:$A$18,Games!$D$2:$D$18,"Missing game",0)</x:f>
        <x:v>3</x:v>
      </x:c>
      <x:c r="AJ371" s="1" t="n">
        <x:f>_xlfn.XLOOKUP($A371,Games!$A$2:$A$18,Games!$E$2:$E$18,"Missing game",0)</x:f>
        <x:v>45921</x:v>
      </x:c>
      <x:c r="AK371" t="str">
        <x:f>_xlfn.XLOOKUP($A371,Games!$A$2:$A$18,Games!$F$2:$F$18,"Missing game",0)</x:f>
        <x:v>Sunday</x:v>
      </x:c>
      <x:c r="AL371" t="str">
        <x:f>_xlfn.XLOOKUP($A371,Games!$A$2:$A$18,Games!$G$2:$G$18,"Missing game",0)</x:f>
        <x:v>CIN</x:v>
      </x:c>
      <x:c r="AM371" t="n">
        <x:f>_xlfn.XLOOKUP($A371,Games!$A$2:$A$18,Games!$H$2:$H$18,"Missing game",0)</x:f>
        <x:v>10</x:v>
      </x:c>
      <x:c r="AN371" t="str">
        <x:f>_xlfn.XLOOKUP($A371,Games!$A$2:$A$18,Games!$I$2:$I$18,"Missing game",0)</x:f>
        <x:v>MIN</x:v>
      </x:c>
      <x:c r="AO371" t="n">
        <x:f>_xlfn.XLOOKUP($A371,Games!$A$2:$A$18,Games!$J$2:$J$18,"Missing game",0)</x:f>
        <x:v>48</x:v>
      </x:c>
      <x:c r="AP371" t="n">
        <x:f>_xlfn.XLOOKUP($A371,Games!$A$2:$A$18,Games!$K$2:$K$18,"Missing game",0)</x:f>
        <x:v>38</x:v>
      </x:c>
      <x:c r="AQ371" t="n">
        <x:f>_xlfn.XLOOKUP($A371,Games!$A$2:$A$18,Games!$L$2:$L$18,"Missing game",0)</x:f>
        <x:v>58</x:v>
      </x:c>
      <x:c r="AR371" t="n">
        <x:f>_xlfn.XLOOKUP($A371,Games!$A$2:$A$18,Games!$M$2:$M$18,"Missing game",0)</x:f>
        <x:v>0</x:v>
      </x:c>
      <x:c r="AS371" t="str">
        <x:f>_xlfn.XLOOKUP($A371,Games!$A$2:$A$18,Games!$N$2:$N$18,"Missing game",0)</x:f>
        <x:v>dome</x:v>
      </x:c>
      <x:c r="AT371" t="str">
        <x:f>_xlfn.XLOOKUP($A371,Games!$A$2:$A$18,Games!$O$2:$O$18,"Missing game",0)</x:f>
        <x:v>sportturf</x:v>
      </x:c>
      <x:c r="AU371" t="str">
        <x:f>_xlfn.XLOOKUP($A371,Games!$A$2:$A$18,Games!$P$2:$P$18,"Missing game",0)</x:f>
      </x:c>
      <x:c r="AV371" t="str">
        <x:f>_xlfn.XLOOKUP($A371,Games!$A$2:$A$18,Games!$Q$2:$Q$18,"Missing game",0)</x:f>
      </x:c>
      <x:c r="AW371" t="str">
        <x:f>_xlfn.XLOOKUP($A371,Games!$A$2:$A$18,Games!$R$2:$R$18,"Missing game",0)</x:f>
        <x:v>U.S. Bank Stadium</x:v>
      </x:c>
    </x:row>
    <x:row r="372">
      <x:c r="A372" t="str">
        <x:v>2025_03_CIN_MIN</x:v>
      </x:c>
      <x:c r="B372" t="n">
        <x:v>925</x:v>
      </x:c>
      <x:c r="C372" t="n">
        <x:v>1</x:v>
      </x:c>
      <x:c r="D372" t="str">
        <x:v>01:00</x:v>
      </x:c>
      <x:c r="E372" t="n">
        <x:v>2</x:v>
      </x:c>
      <x:c r="F372" t="n">
        <x:v>12</x:v>
      </x:c>
      <x:c r="G372" t="str">
        <x:v>CIN</x:v>
      </x:c>
      <x:c r="H372" t="str">
        <x:v>MIN</x:v>
      </x:c>
      <x:c r="I372" t="str">
        <x:v>CIN</x:v>
      </x:c>
      <x:c r="J372" t="n">
        <x:v>95</x:v>
      </x:c>
      <x:c r="K372" t="str">
        <x:v>(1:00) (Shotgun) 6-J.Browning pass incomplete short left to 89-D.Sample [15-D.Turner].</x:v>
      </x:c>
      <x:c r="L372" t="str">
        <x:v>pass</x:v>
      </x:c>
      <x:c r="M372" t="n">
        <x:v>0</x:v>
      </x:c>
      <x:c r="N372" t="n">
        <x:v>1</x:v>
      </x:c>
      <x:c r="O372" t="n">
        <x:v>0</x:v>
      </x:c>
      <x:c r="P372" t="str">
        <x:v>short</x:v>
      </x:c>
      <x:c r="Q372" t="str">
        <x:v>left</x:v>
      </x:c>
      <x:c r="R372" t="n">
        <x:v>6</x:v>
      </x:c>
      <x:c r="S372"/>
      <x:c r="T372"/>
      <x:c r="U372"/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/>
      <x:c r="AC372" t="n">
        <x:v>0</x:v>
      </x:c>
      <x:c r="AD372" t="n">
        <x:v>-0.6537230433896184</x:v>
      </x:c>
      <x:c r="AE372" t="n">
        <x:v>0</x:v>
      </x:c>
      <x:c r="AF372" t="n">
        <x:v>-0.011915355920791626</x:v>
      </x:c>
      <x:c r="AG372" t="n">
        <x:f>_xlfn.XLOOKUP($A372,Games!$A$2:$A$18,Games!$B$2:$B$18,"Missing game",0)</x:f>
        <x:v>2025</x:v>
      </x:c>
      <x:c r="AH372" t="str">
        <x:f>_xlfn.XLOOKUP($A372,Games!$A$2:$A$18,Games!$C$2:$C$18,"Missing game",0)</x:f>
        <x:v>REG</x:v>
      </x:c>
      <x:c r="AI372" t="n">
        <x:f>_xlfn.XLOOKUP($A372,Games!$A$2:$A$18,Games!$D$2:$D$18,"Missing game",0)</x:f>
        <x:v>3</x:v>
      </x:c>
      <x:c r="AJ372" s="1" t="n">
        <x:f>_xlfn.XLOOKUP($A372,Games!$A$2:$A$18,Games!$E$2:$E$18,"Missing game",0)</x:f>
        <x:v>45921</x:v>
      </x:c>
      <x:c r="AK372" t="str">
        <x:f>_xlfn.XLOOKUP($A372,Games!$A$2:$A$18,Games!$F$2:$F$18,"Missing game",0)</x:f>
        <x:v>Sunday</x:v>
      </x:c>
      <x:c r="AL372" t="str">
        <x:f>_xlfn.XLOOKUP($A372,Games!$A$2:$A$18,Games!$G$2:$G$18,"Missing game",0)</x:f>
        <x:v>CIN</x:v>
      </x:c>
      <x:c r="AM372" t="n">
        <x:f>_xlfn.XLOOKUP($A372,Games!$A$2:$A$18,Games!$H$2:$H$18,"Missing game",0)</x:f>
        <x:v>10</x:v>
      </x:c>
      <x:c r="AN372" t="str">
        <x:f>_xlfn.XLOOKUP($A372,Games!$A$2:$A$18,Games!$I$2:$I$18,"Missing game",0)</x:f>
        <x:v>MIN</x:v>
      </x:c>
      <x:c r="AO372" t="n">
        <x:f>_xlfn.XLOOKUP($A372,Games!$A$2:$A$18,Games!$J$2:$J$18,"Missing game",0)</x:f>
        <x:v>48</x:v>
      </x:c>
      <x:c r="AP372" t="n">
        <x:f>_xlfn.XLOOKUP($A372,Games!$A$2:$A$18,Games!$K$2:$K$18,"Missing game",0)</x:f>
        <x:v>38</x:v>
      </x:c>
      <x:c r="AQ372" t="n">
        <x:f>_xlfn.XLOOKUP($A372,Games!$A$2:$A$18,Games!$L$2:$L$18,"Missing game",0)</x:f>
        <x:v>58</x:v>
      </x:c>
      <x:c r="AR372" t="n">
        <x:f>_xlfn.XLOOKUP($A372,Games!$A$2:$A$18,Games!$M$2:$M$18,"Missing game",0)</x:f>
        <x:v>0</x:v>
      </x:c>
      <x:c r="AS372" t="str">
        <x:f>_xlfn.XLOOKUP($A372,Games!$A$2:$A$18,Games!$N$2:$N$18,"Missing game",0)</x:f>
        <x:v>dome</x:v>
      </x:c>
      <x:c r="AT372" t="str">
        <x:f>_xlfn.XLOOKUP($A372,Games!$A$2:$A$18,Games!$O$2:$O$18,"Missing game",0)</x:f>
        <x:v>sportturf</x:v>
      </x:c>
      <x:c r="AU372" t="str">
        <x:f>_xlfn.XLOOKUP($A372,Games!$A$2:$A$18,Games!$P$2:$P$18,"Missing game",0)</x:f>
      </x:c>
      <x:c r="AV372" t="str">
        <x:f>_xlfn.XLOOKUP($A372,Games!$A$2:$A$18,Games!$Q$2:$Q$18,"Missing game",0)</x:f>
      </x:c>
      <x:c r="AW372" t="str">
        <x:f>_xlfn.XLOOKUP($A372,Games!$A$2:$A$18,Games!$R$2:$R$18,"Missing game",0)</x:f>
        <x:v>U.S. Bank Stadium</x:v>
      </x:c>
    </x:row>
    <x:row r="373">
      <x:c r="A373" t="str">
        <x:v>2025_03_CIN_MIN</x:v>
      </x:c>
      <x:c r="B373" t="n">
        <x:v>948</x:v>
      </x:c>
      <x:c r="C373" t="n">
        <x:v>1</x:v>
      </x:c>
      <x:c r="D373" t="str">
        <x:v>00:55</x:v>
      </x:c>
      <x:c r="E373" t="n">
        <x:v>3</x:v>
      </x:c>
      <x:c r="F373" t="n">
        <x:v>12</x:v>
      </x:c>
      <x:c r="G373" t="str">
        <x:v>CIN</x:v>
      </x:c>
      <x:c r="H373" t="str">
        <x:v>MIN</x:v>
      </x:c>
      <x:c r="I373" t="str">
        <x:v>CIN</x:v>
      </x:c>
      <x:c r="J373" t="n">
        <x:v>95</x:v>
      </x:c>
      <x:c r="K373" t="str">
        <x:v>(:55) (Shotgun) 34-S.Perine up the middle to CIN 16 for 11 yards (44-J.Metellus, 97-J.Hargrave). (Virtual Measurement). Cincinnati challenged the short of the line to gain ruling, and the play was REVERSED. (Shotgun) 34-S.Perine up the middle to CIN 17 for 12 yards (44-J.Metellus, 97-J.Hargrave).</x:v>
      </x:c>
      <x:c r="L373" t="str">
        <x:v>run</x:v>
      </x:c>
      <x:c r="M373" t="n">
        <x:v>12</x:v>
      </x:c>
      <x:c r="N373" t="n">
        <x:v>1</x:v>
      </x:c>
      <x:c r="O373" t="n">
        <x:v>0</x:v>
      </x:c>
      <x:c r="P373"/>
      <x:c r="Q373"/>
      <x:c r="R373"/>
      <x:c r="S373"/>
      <x:c r="T373" t="str">
        <x:v>middle</x:v>
      </x:c>
      <x:c r="U373"/>
      <x:c r="V373" t="n">
        <x:v>0</x:v>
      </x:c>
      <x:c r="W373" t="n">
        <x:v>1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/>
      <x:c r="AC373" t="n">
        <x:v>0</x:v>
      </x:c>
      <x:c r="AD373" t="n">
        <x:v>2.59739621845074</x:v>
      </x:c>
      <x:c r="AE373" t="n">
        <x:v>1</x:v>
      </x:c>
      <x:c r="AF373" t="n">
        <x:v>0.04079032689332962</x:v>
      </x:c>
      <x:c r="AG373" t="n">
        <x:f>_xlfn.XLOOKUP($A373,Games!$A$2:$A$18,Games!$B$2:$B$18,"Missing game",0)</x:f>
        <x:v>2025</x:v>
      </x:c>
      <x:c r="AH373" t="str">
        <x:f>_xlfn.XLOOKUP($A373,Games!$A$2:$A$18,Games!$C$2:$C$18,"Missing game",0)</x:f>
        <x:v>REG</x:v>
      </x:c>
      <x:c r="AI373" t="n">
        <x:f>_xlfn.XLOOKUP($A373,Games!$A$2:$A$18,Games!$D$2:$D$18,"Missing game",0)</x:f>
        <x:v>3</x:v>
      </x:c>
      <x:c r="AJ373" s="1" t="n">
        <x:f>_xlfn.XLOOKUP($A373,Games!$A$2:$A$18,Games!$E$2:$E$18,"Missing game",0)</x:f>
        <x:v>45921</x:v>
      </x:c>
      <x:c r="AK373" t="str">
        <x:f>_xlfn.XLOOKUP($A373,Games!$A$2:$A$18,Games!$F$2:$F$18,"Missing game",0)</x:f>
        <x:v>Sunday</x:v>
      </x:c>
      <x:c r="AL373" t="str">
        <x:f>_xlfn.XLOOKUP($A373,Games!$A$2:$A$18,Games!$G$2:$G$18,"Missing game",0)</x:f>
        <x:v>CIN</x:v>
      </x:c>
      <x:c r="AM373" t="n">
        <x:f>_xlfn.XLOOKUP($A373,Games!$A$2:$A$18,Games!$H$2:$H$18,"Missing game",0)</x:f>
        <x:v>10</x:v>
      </x:c>
      <x:c r="AN373" t="str">
        <x:f>_xlfn.XLOOKUP($A373,Games!$A$2:$A$18,Games!$I$2:$I$18,"Missing game",0)</x:f>
        <x:v>MIN</x:v>
      </x:c>
      <x:c r="AO373" t="n">
        <x:f>_xlfn.XLOOKUP($A373,Games!$A$2:$A$18,Games!$J$2:$J$18,"Missing game",0)</x:f>
        <x:v>48</x:v>
      </x:c>
      <x:c r="AP373" t="n">
        <x:f>_xlfn.XLOOKUP($A373,Games!$A$2:$A$18,Games!$K$2:$K$18,"Missing game",0)</x:f>
        <x:v>38</x:v>
      </x:c>
      <x:c r="AQ373" t="n">
        <x:f>_xlfn.XLOOKUP($A373,Games!$A$2:$A$18,Games!$L$2:$L$18,"Missing game",0)</x:f>
        <x:v>58</x:v>
      </x:c>
      <x:c r="AR373" t="n">
        <x:f>_xlfn.XLOOKUP($A373,Games!$A$2:$A$18,Games!$M$2:$M$18,"Missing game",0)</x:f>
        <x:v>0</x:v>
      </x:c>
      <x:c r="AS373" t="str">
        <x:f>_xlfn.XLOOKUP($A373,Games!$A$2:$A$18,Games!$N$2:$N$18,"Missing game",0)</x:f>
        <x:v>dome</x:v>
      </x:c>
      <x:c r="AT373" t="str">
        <x:f>_xlfn.XLOOKUP($A373,Games!$A$2:$A$18,Games!$O$2:$O$18,"Missing game",0)</x:f>
        <x:v>sportturf</x:v>
      </x:c>
      <x:c r="AU373" t="str">
        <x:f>_xlfn.XLOOKUP($A373,Games!$A$2:$A$18,Games!$P$2:$P$18,"Missing game",0)</x:f>
      </x:c>
      <x:c r="AV373" t="str">
        <x:f>_xlfn.XLOOKUP($A373,Games!$A$2:$A$18,Games!$Q$2:$Q$18,"Missing game",0)</x:f>
      </x:c>
      <x:c r="AW373" t="str">
        <x:f>_xlfn.XLOOKUP($A373,Games!$A$2:$A$18,Games!$R$2:$R$18,"Missing game",0)</x:f>
        <x:v>U.S. Bank Stadium</x:v>
      </x:c>
    </x:row>
    <x:row r="374">
      <x:c r="A374" t="str">
        <x:v>2025_03_CIN_MIN</x:v>
      </x:c>
      <x:c r="B374" t="n">
        <x:v>983</x:v>
      </x:c>
      <x:c r="C374" t="n">
        <x:v>1</x:v>
      </x:c>
      <x:c r="D374" t="str">
        <x:v>00:23</x:v>
      </x:c>
      <x:c r="E374" t="n">
        <x:v>1</x:v>
      </x:c>
      <x:c r="F374" t="n">
        <x:v>10</x:v>
      </x:c>
      <x:c r="G374" t="str">
        <x:v>CIN</x:v>
      </x:c>
      <x:c r="H374" t="str">
        <x:v>MIN</x:v>
      </x:c>
      <x:c r="I374" t="str">
        <x:v>CIN</x:v>
      </x:c>
      <x:c r="J374" t="n">
        <x:v>83</x:v>
      </x:c>
      <x:c r="K374" t="str">
        <x:v>(:23) (Shotgun) 6-J.Browning pass short right to 86-N.Fant to CIN 20 for 3 yards (55-E.Wilson) [0-I.Pace].</x:v>
      </x:c>
      <x:c r="L374" t="str">
        <x:v>pass</x:v>
      </x:c>
      <x:c r="M374" t="n">
        <x:v>3</x:v>
      </x:c>
      <x:c r="N374" t="n">
        <x:v>1</x:v>
      </x:c>
      <x:c r="O374" t="n">
        <x:v>0</x:v>
      </x:c>
      <x:c r="P374" t="str">
        <x:v>short</x:v>
      </x:c>
      <x:c r="Q374" t="str">
        <x:v>right</x:v>
      </x:c>
      <x:c r="R374" t="n">
        <x:v>2</x:v>
      </x:c>
      <x:c r="S374" t="n">
        <x:v>1</x:v>
      </x:c>
      <x:c r="T374"/>
      <x:c r="U374"/>
      <x:c r="V374" t="n">
        <x:v>1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/>
      <x:c r="AC374" t="n">
        <x:v>0</x:v>
      </x:c>
      <x:c r="AD374" t="n">
        <x:v>-0.3822600170969963</x:v>
      </x:c>
      <x:c r="AE374" t="n">
        <x:v>0</x:v>
      </x:c>
      <x:c r="AF374" t="n">
        <x:v>-0.002838313579559326</x:v>
      </x:c>
      <x:c r="AG374" t="n">
        <x:f>_xlfn.XLOOKUP($A374,Games!$A$2:$A$18,Games!$B$2:$B$18,"Missing game",0)</x:f>
        <x:v>2025</x:v>
      </x:c>
      <x:c r="AH374" t="str">
        <x:f>_xlfn.XLOOKUP($A374,Games!$A$2:$A$18,Games!$C$2:$C$18,"Missing game",0)</x:f>
        <x:v>REG</x:v>
      </x:c>
      <x:c r="AI374" t="n">
        <x:f>_xlfn.XLOOKUP($A374,Games!$A$2:$A$18,Games!$D$2:$D$18,"Missing game",0)</x:f>
        <x:v>3</x:v>
      </x:c>
      <x:c r="AJ374" s="1" t="n">
        <x:f>_xlfn.XLOOKUP($A374,Games!$A$2:$A$18,Games!$E$2:$E$18,"Missing game",0)</x:f>
        <x:v>45921</x:v>
      </x:c>
      <x:c r="AK374" t="str">
        <x:f>_xlfn.XLOOKUP($A374,Games!$A$2:$A$18,Games!$F$2:$F$18,"Missing game",0)</x:f>
        <x:v>Sunday</x:v>
      </x:c>
      <x:c r="AL374" t="str">
        <x:f>_xlfn.XLOOKUP($A374,Games!$A$2:$A$18,Games!$G$2:$G$18,"Missing game",0)</x:f>
        <x:v>CIN</x:v>
      </x:c>
      <x:c r="AM374" t="n">
        <x:f>_xlfn.XLOOKUP($A374,Games!$A$2:$A$18,Games!$H$2:$H$18,"Missing game",0)</x:f>
        <x:v>10</x:v>
      </x:c>
      <x:c r="AN374" t="str">
        <x:f>_xlfn.XLOOKUP($A374,Games!$A$2:$A$18,Games!$I$2:$I$18,"Missing game",0)</x:f>
        <x:v>MIN</x:v>
      </x:c>
      <x:c r="AO374" t="n">
        <x:f>_xlfn.XLOOKUP($A374,Games!$A$2:$A$18,Games!$J$2:$J$18,"Missing game",0)</x:f>
        <x:v>48</x:v>
      </x:c>
      <x:c r="AP374" t="n">
        <x:f>_xlfn.XLOOKUP($A374,Games!$A$2:$A$18,Games!$K$2:$K$18,"Missing game",0)</x:f>
        <x:v>38</x:v>
      </x:c>
      <x:c r="AQ374" t="n">
        <x:f>_xlfn.XLOOKUP($A374,Games!$A$2:$A$18,Games!$L$2:$L$18,"Missing game",0)</x:f>
        <x:v>58</x:v>
      </x:c>
      <x:c r="AR374" t="n">
        <x:f>_xlfn.XLOOKUP($A374,Games!$A$2:$A$18,Games!$M$2:$M$18,"Missing game",0)</x:f>
        <x:v>0</x:v>
      </x:c>
      <x:c r="AS374" t="str">
        <x:f>_xlfn.XLOOKUP($A374,Games!$A$2:$A$18,Games!$N$2:$N$18,"Missing game",0)</x:f>
        <x:v>dome</x:v>
      </x:c>
      <x:c r="AT374" t="str">
        <x:f>_xlfn.XLOOKUP($A374,Games!$A$2:$A$18,Games!$O$2:$O$18,"Missing game",0)</x:f>
        <x:v>sportturf</x:v>
      </x:c>
      <x:c r="AU374" t="str">
        <x:f>_xlfn.XLOOKUP($A374,Games!$A$2:$A$18,Games!$P$2:$P$18,"Missing game",0)</x:f>
      </x:c>
      <x:c r="AV374" t="str">
        <x:f>_xlfn.XLOOKUP($A374,Games!$A$2:$A$18,Games!$Q$2:$Q$18,"Missing game",0)</x:f>
      </x:c>
      <x:c r="AW374" t="str">
        <x:f>_xlfn.XLOOKUP($A374,Games!$A$2:$A$18,Games!$R$2:$R$18,"Missing game",0)</x:f>
        <x:v>U.S. Bank Stadium</x:v>
      </x:c>
    </x:row>
    <x:row r="375">
      <x:c r="A375" t="str">
        <x:v>2025_03_CIN_MIN</x:v>
      </x:c>
      <x:c r="B375" t="n">
        <x:v>1039</x:v>
      </x:c>
      <x:c r="C375" t="n">
        <x:v>1</x:v>
      </x:c>
      <x:c r="D375" t="str">
        <x:v>00:00</x:v>
      </x:c>
      <x:c r="E375"/>
      <x:c r="F375" t="n">
        <x:v>0</x:v>
      </x:c>
      <x:c r="G375" t="str">
        <x:v>CIN</x:v>
      </x:c>
      <x:c r="H375" t="str">
        <x:v>MIN</x:v>
      </x:c>
      <x:c r="I375"/>
      <x:c r="J375"/>
      <x:c r="K375" t="str">
        <x:v>END QUARTER 1</x:v>
      </x:c>
      <x:c r="L375"/>
      <x:c r="M375"/>
      <x:c r="N375" t="n">
        <x:v>0</x:v>
      </x:c>
      <x:c r="O375" t="n">
        <x:v>0</x:v>
      </x:c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 t="n">
        <x:v>0</x:v>
      </x:c>
      <x:c r="AE375" t="n">
        <x:v>0</x:v>
      </x:c>
      <x:c r="AF375" t="n">
        <x:v>0</x:v>
      </x:c>
      <x:c r="AG375" t="n">
        <x:f>_xlfn.XLOOKUP($A375,Games!$A$2:$A$18,Games!$B$2:$B$18,"Missing game",0)</x:f>
        <x:v>2025</x:v>
      </x:c>
      <x:c r="AH375" t="str">
        <x:f>_xlfn.XLOOKUP($A375,Games!$A$2:$A$18,Games!$C$2:$C$18,"Missing game",0)</x:f>
        <x:v>REG</x:v>
      </x:c>
      <x:c r="AI375" t="n">
        <x:f>_xlfn.XLOOKUP($A375,Games!$A$2:$A$18,Games!$D$2:$D$18,"Missing game",0)</x:f>
        <x:v>3</x:v>
      </x:c>
      <x:c r="AJ375" s="1" t="n">
        <x:f>_xlfn.XLOOKUP($A375,Games!$A$2:$A$18,Games!$E$2:$E$18,"Missing game",0)</x:f>
        <x:v>45921</x:v>
      </x:c>
      <x:c r="AK375" t="str">
        <x:f>_xlfn.XLOOKUP($A375,Games!$A$2:$A$18,Games!$F$2:$F$18,"Missing game",0)</x:f>
        <x:v>Sunday</x:v>
      </x:c>
      <x:c r="AL375" t="str">
        <x:f>_xlfn.XLOOKUP($A375,Games!$A$2:$A$18,Games!$G$2:$G$18,"Missing game",0)</x:f>
        <x:v>CIN</x:v>
      </x:c>
      <x:c r="AM375" t="n">
        <x:f>_xlfn.XLOOKUP($A375,Games!$A$2:$A$18,Games!$H$2:$H$18,"Missing game",0)</x:f>
        <x:v>10</x:v>
      </x:c>
      <x:c r="AN375" t="str">
        <x:f>_xlfn.XLOOKUP($A375,Games!$A$2:$A$18,Games!$I$2:$I$18,"Missing game",0)</x:f>
        <x:v>MIN</x:v>
      </x:c>
      <x:c r="AO375" t="n">
        <x:f>_xlfn.XLOOKUP($A375,Games!$A$2:$A$18,Games!$J$2:$J$18,"Missing game",0)</x:f>
        <x:v>48</x:v>
      </x:c>
      <x:c r="AP375" t="n">
        <x:f>_xlfn.XLOOKUP($A375,Games!$A$2:$A$18,Games!$K$2:$K$18,"Missing game",0)</x:f>
        <x:v>38</x:v>
      </x:c>
      <x:c r="AQ375" t="n">
        <x:f>_xlfn.XLOOKUP($A375,Games!$A$2:$A$18,Games!$L$2:$L$18,"Missing game",0)</x:f>
        <x:v>58</x:v>
      </x:c>
      <x:c r="AR375" t="n">
        <x:f>_xlfn.XLOOKUP($A375,Games!$A$2:$A$18,Games!$M$2:$M$18,"Missing game",0)</x:f>
        <x:v>0</x:v>
      </x:c>
      <x:c r="AS375" t="str">
        <x:f>_xlfn.XLOOKUP($A375,Games!$A$2:$A$18,Games!$N$2:$N$18,"Missing game",0)</x:f>
        <x:v>dome</x:v>
      </x:c>
      <x:c r="AT375" t="str">
        <x:f>_xlfn.XLOOKUP($A375,Games!$A$2:$A$18,Games!$O$2:$O$18,"Missing game",0)</x:f>
        <x:v>sportturf</x:v>
      </x:c>
      <x:c r="AU375" t="str">
        <x:f>_xlfn.XLOOKUP($A375,Games!$A$2:$A$18,Games!$P$2:$P$18,"Missing game",0)</x:f>
      </x:c>
      <x:c r="AV375" t="str">
        <x:f>_xlfn.XLOOKUP($A375,Games!$A$2:$A$18,Games!$Q$2:$Q$18,"Missing game",0)</x:f>
      </x:c>
      <x:c r="AW375" t="str">
        <x:f>_xlfn.XLOOKUP($A375,Games!$A$2:$A$18,Games!$R$2:$R$18,"Missing game",0)</x:f>
        <x:v>U.S. Bank Stadium</x:v>
      </x:c>
    </x:row>
    <x:row r="376">
      <x:c r="A376" t="str">
        <x:v>2025_03_CIN_MIN</x:v>
      </x:c>
      <x:c r="B376" t="n">
        <x:v>1059</x:v>
      </x:c>
      <x:c r="C376" t="n">
        <x:v>2</x:v>
      </x:c>
      <x:c r="D376" t="str">
        <x:v>15:00</x:v>
      </x:c>
      <x:c r="E376" t="n">
        <x:v>2</x:v>
      </x:c>
      <x:c r="F376" t="n">
        <x:v>7</x:v>
      </x:c>
      <x:c r="G376" t="str">
        <x:v>CIN</x:v>
      </x:c>
      <x:c r="H376" t="str">
        <x:v>MIN</x:v>
      </x:c>
      <x:c r="I376" t="str">
        <x:v>CIN</x:v>
      </x:c>
      <x:c r="J376" t="n">
        <x:v>80</x:v>
      </x:c>
      <x:c r="K376" t="str">
        <x:v>(15:00) 6-J.Browning pass incomplete short right [93-J.Allen].</x:v>
      </x:c>
      <x:c r="L376" t="str">
        <x:v>pass</x:v>
      </x:c>
      <x:c r="M376" t="n">
        <x:v>0</x:v>
      </x:c>
      <x:c r="N376" t="n">
        <x:v>0</x:v>
      </x:c>
      <x:c r="O376" t="n">
        <x:v>0</x:v>
      </x:c>
      <x:c r="P376" t="str">
        <x:v>short</x:v>
      </x:c>
      <x:c r="Q376" t="str">
        <x:v>right</x:v>
      </x:c>
      <x:c r="R376" t="n">
        <x:v>5</x:v>
      </x:c>
      <x:c r="S376"/>
      <x:c r="T376"/>
      <x:c r="U376"/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/>
      <x:c r="AC376" t="n">
        <x:v>0</x:v>
      </x:c>
      <x:c r="AD376" t="n">
        <x:v>-0.7778024040162563</x:v>
      </x:c>
      <x:c r="AE376" t="n">
        <x:v>0</x:v>
      </x:c>
      <x:c r="AF376" t="n">
        <x:v>-0.01419919729232788</x:v>
      </x:c>
      <x:c r="AG376" t="n">
        <x:f>_xlfn.XLOOKUP($A376,Games!$A$2:$A$18,Games!$B$2:$B$18,"Missing game",0)</x:f>
        <x:v>2025</x:v>
      </x:c>
      <x:c r="AH376" t="str">
        <x:f>_xlfn.XLOOKUP($A376,Games!$A$2:$A$18,Games!$C$2:$C$18,"Missing game",0)</x:f>
        <x:v>REG</x:v>
      </x:c>
      <x:c r="AI376" t="n">
        <x:f>_xlfn.XLOOKUP($A376,Games!$A$2:$A$18,Games!$D$2:$D$18,"Missing game",0)</x:f>
        <x:v>3</x:v>
      </x:c>
      <x:c r="AJ376" s="1" t="n">
        <x:f>_xlfn.XLOOKUP($A376,Games!$A$2:$A$18,Games!$E$2:$E$18,"Missing game",0)</x:f>
        <x:v>45921</x:v>
      </x:c>
      <x:c r="AK376" t="str">
        <x:f>_xlfn.XLOOKUP($A376,Games!$A$2:$A$18,Games!$F$2:$F$18,"Missing game",0)</x:f>
        <x:v>Sunday</x:v>
      </x:c>
      <x:c r="AL376" t="str">
        <x:f>_xlfn.XLOOKUP($A376,Games!$A$2:$A$18,Games!$G$2:$G$18,"Missing game",0)</x:f>
        <x:v>CIN</x:v>
      </x:c>
      <x:c r="AM376" t="n">
        <x:f>_xlfn.XLOOKUP($A376,Games!$A$2:$A$18,Games!$H$2:$H$18,"Missing game",0)</x:f>
        <x:v>10</x:v>
      </x:c>
      <x:c r="AN376" t="str">
        <x:f>_xlfn.XLOOKUP($A376,Games!$A$2:$A$18,Games!$I$2:$I$18,"Missing game",0)</x:f>
        <x:v>MIN</x:v>
      </x:c>
      <x:c r="AO376" t="n">
        <x:f>_xlfn.XLOOKUP($A376,Games!$A$2:$A$18,Games!$J$2:$J$18,"Missing game",0)</x:f>
        <x:v>48</x:v>
      </x:c>
      <x:c r="AP376" t="n">
        <x:f>_xlfn.XLOOKUP($A376,Games!$A$2:$A$18,Games!$K$2:$K$18,"Missing game",0)</x:f>
        <x:v>38</x:v>
      </x:c>
      <x:c r="AQ376" t="n">
        <x:f>_xlfn.XLOOKUP($A376,Games!$A$2:$A$18,Games!$L$2:$L$18,"Missing game",0)</x:f>
        <x:v>58</x:v>
      </x:c>
      <x:c r="AR376" t="n">
        <x:f>_xlfn.XLOOKUP($A376,Games!$A$2:$A$18,Games!$M$2:$M$18,"Missing game",0)</x:f>
        <x:v>0</x:v>
      </x:c>
      <x:c r="AS376" t="str">
        <x:f>_xlfn.XLOOKUP($A376,Games!$A$2:$A$18,Games!$N$2:$N$18,"Missing game",0)</x:f>
        <x:v>dome</x:v>
      </x:c>
      <x:c r="AT376" t="str">
        <x:f>_xlfn.XLOOKUP($A376,Games!$A$2:$A$18,Games!$O$2:$O$18,"Missing game",0)</x:f>
        <x:v>sportturf</x:v>
      </x:c>
      <x:c r="AU376" t="str">
        <x:f>_xlfn.XLOOKUP($A376,Games!$A$2:$A$18,Games!$P$2:$P$18,"Missing game",0)</x:f>
      </x:c>
      <x:c r="AV376" t="str">
        <x:f>_xlfn.XLOOKUP($A376,Games!$A$2:$A$18,Games!$Q$2:$Q$18,"Missing game",0)</x:f>
      </x:c>
      <x:c r="AW376" t="str">
        <x:f>_xlfn.XLOOKUP($A376,Games!$A$2:$A$18,Games!$R$2:$R$18,"Missing game",0)</x:f>
        <x:v>U.S. Bank Stadium</x:v>
      </x:c>
    </x:row>
    <x:row r="377">
      <x:c r="A377" t="str">
        <x:v>2025_03_CIN_MIN</x:v>
      </x:c>
      <x:c r="B377" t="n">
        <x:v>1082</x:v>
      </x:c>
      <x:c r="C377" t="n">
        <x:v>2</x:v>
      </x:c>
      <x:c r="D377" t="str">
        <x:v>14:56</x:v>
      </x:c>
      <x:c r="E377" t="n">
        <x:v>3</x:v>
      </x:c>
      <x:c r="F377" t="n">
        <x:v>7</x:v>
      </x:c>
      <x:c r="G377" t="str">
        <x:v>CIN</x:v>
      </x:c>
      <x:c r="H377" t="str">
        <x:v>MIN</x:v>
      </x:c>
      <x:c r="I377" t="str">
        <x:v>CIN</x:v>
      </x:c>
      <x:c r="J377" t="n">
        <x:v>80</x:v>
      </x:c>
      <x:c r="K377" t="str">
        <x:v>(14:56) (Shotgun) 6-J.Browning pass short right to 1-J.Chase to CIN 36 for 16 yards (8-J.Okudah). PENALTY on CIN-63-D.Fairchild, Offensive Holding, 10 yards, enforced at CIN 20 - No Play.</x:v>
      </x:c>
      <x:c r="L377" t="str">
        <x:v>no_play</x:v>
      </x:c>
      <x:c r="M377" t="n">
        <x:v>0</x:v>
      </x:c>
      <x:c r="N377" t="n">
        <x:v>1</x:v>
      </x:c>
      <x:c r="O377" t="n">
        <x:v>0</x:v>
      </x:c>
      <x:c r="P377"/>
      <x:c r="Q377"/>
      <x:c r="R377"/>
      <x:c r="S377"/>
      <x:c r="T377"/>
      <x:c r="U377"/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1</x:v>
      </x:c>
      <x:c r="AB377" t="n">
        <x:v>10</x:v>
      </x:c>
      <x:c r="AC377" t="n">
        <x:v>0</x:v>
      </x:c>
      <x:c r="AD377" t="n">
        <x:v>-1.2109563564881682</x:v>
      </x:c>
      <x:c r="AE377" t="n">
        <x:v>0</x:v>
      </x:c>
      <x:c r="AF377" t="n">
        <x:v>-0.023897357285022736</x:v>
      </x:c>
      <x:c r="AG377" t="n">
        <x:f>_xlfn.XLOOKUP($A377,Games!$A$2:$A$18,Games!$B$2:$B$18,"Missing game",0)</x:f>
        <x:v>2025</x:v>
      </x:c>
      <x:c r="AH377" t="str">
        <x:f>_xlfn.XLOOKUP($A377,Games!$A$2:$A$18,Games!$C$2:$C$18,"Missing game",0)</x:f>
        <x:v>REG</x:v>
      </x:c>
      <x:c r="AI377" t="n">
        <x:f>_xlfn.XLOOKUP($A377,Games!$A$2:$A$18,Games!$D$2:$D$18,"Missing game",0)</x:f>
        <x:v>3</x:v>
      </x:c>
      <x:c r="AJ377" s="1" t="n">
        <x:f>_xlfn.XLOOKUP($A377,Games!$A$2:$A$18,Games!$E$2:$E$18,"Missing game",0)</x:f>
        <x:v>45921</x:v>
      </x:c>
      <x:c r="AK377" t="str">
        <x:f>_xlfn.XLOOKUP($A377,Games!$A$2:$A$18,Games!$F$2:$F$18,"Missing game",0)</x:f>
        <x:v>Sunday</x:v>
      </x:c>
      <x:c r="AL377" t="str">
        <x:f>_xlfn.XLOOKUP($A377,Games!$A$2:$A$18,Games!$G$2:$G$18,"Missing game",0)</x:f>
        <x:v>CIN</x:v>
      </x:c>
      <x:c r="AM377" t="n">
        <x:f>_xlfn.XLOOKUP($A377,Games!$A$2:$A$18,Games!$H$2:$H$18,"Missing game",0)</x:f>
        <x:v>10</x:v>
      </x:c>
      <x:c r="AN377" t="str">
        <x:f>_xlfn.XLOOKUP($A377,Games!$A$2:$A$18,Games!$I$2:$I$18,"Missing game",0)</x:f>
        <x:v>MIN</x:v>
      </x:c>
      <x:c r="AO377" t="n">
        <x:f>_xlfn.XLOOKUP($A377,Games!$A$2:$A$18,Games!$J$2:$J$18,"Missing game",0)</x:f>
        <x:v>48</x:v>
      </x:c>
      <x:c r="AP377" t="n">
        <x:f>_xlfn.XLOOKUP($A377,Games!$A$2:$A$18,Games!$K$2:$K$18,"Missing game",0)</x:f>
        <x:v>38</x:v>
      </x:c>
      <x:c r="AQ377" t="n">
        <x:f>_xlfn.XLOOKUP($A377,Games!$A$2:$A$18,Games!$L$2:$L$18,"Missing game",0)</x:f>
        <x:v>58</x:v>
      </x:c>
      <x:c r="AR377" t="n">
        <x:f>_xlfn.XLOOKUP($A377,Games!$A$2:$A$18,Games!$M$2:$M$18,"Missing game",0)</x:f>
        <x:v>0</x:v>
      </x:c>
      <x:c r="AS377" t="str">
        <x:f>_xlfn.XLOOKUP($A377,Games!$A$2:$A$18,Games!$N$2:$N$18,"Missing game",0)</x:f>
        <x:v>dome</x:v>
      </x:c>
      <x:c r="AT377" t="str">
        <x:f>_xlfn.XLOOKUP($A377,Games!$A$2:$A$18,Games!$O$2:$O$18,"Missing game",0)</x:f>
        <x:v>sportturf</x:v>
      </x:c>
      <x:c r="AU377" t="str">
        <x:f>_xlfn.XLOOKUP($A377,Games!$A$2:$A$18,Games!$P$2:$P$18,"Missing game",0)</x:f>
      </x:c>
      <x:c r="AV377" t="str">
        <x:f>_xlfn.XLOOKUP($A377,Games!$A$2:$A$18,Games!$Q$2:$Q$18,"Missing game",0)</x:f>
      </x:c>
      <x:c r="AW377" t="str">
        <x:f>_xlfn.XLOOKUP($A377,Games!$A$2:$A$18,Games!$R$2:$R$18,"Missing game",0)</x:f>
        <x:v>U.S. Bank Stadium</x:v>
      </x:c>
    </x:row>
    <x:row r="378">
      <x:c r="A378" t="str">
        <x:v>2025_03_CIN_MIN</x:v>
      </x:c>
      <x:c r="B378" t="n">
        <x:v>1118</x:v>
      </x:c>
      <x:c r="C378" t="n">
        <x:v>2</x:v>
      </x:c>
      <x:c r="D378" t="str">
        <x:v>14:39</x:v>
      </x:c>
      <x:c r="E378" t="n">
        <x:v>3</x:v>
      </x:c>
      <x:c r="F378" t="n">
        <x:v>17</x:v>
      </x:c>
      <x:c r="G378" t="str">
        <x:v>CIN</x:v>
      </x:c>
      <x:c r="H378" t="str">
        <x:v>MIN</x:v>
      </x:c>
      <x:c r="I378" t="str">
        <x:v>CIN</x:v>
      </x:c>
      <x:c r="J378" t="n">
        <x:v>90</x:v>
      </x:c>
      <x:c r="K378" t="str">
        <x:v>(14:39) (Shotgun) 34-S.Perine up the middle to CIN 11 for 1 yard (55-E.Wilson, 93-J.Allen).</x:v>
      </x:c>
      <x:c r="L378" t="str">
        <x:v>run</x:v>
      </x:c>
      <x:c r="M378" t="n">
        <x:v>1</x:v>
      </x:c>
      <x:c r="N378" t="n">
        <x:v>1</x:v>
      </x:c>
      <x:c r="O378" t="n">
        <x:v>0</x:v>
      </x:c>
      <x:c r="P378"/>
      <x:c r="Q378"/>
      <x:c r="R378"/>
      <x:c r="S378"/>
      <x:c r="T378" t="str">
        <x:v>middle</x:v>
      </x:c>
      <x:c r="U378"/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/>
      <x:c r="AC378" t="n">
        <x:v>0</x:v>
      </x:c>
      <x:c r="AD378" t="n">
        <x:v>-0.8523098891600966</x:v>
      </x:c>
      <x:c r="AE378" t="n">
        <x:v>0</x:v>
      </x:c>
      <x:c r="AF378" t="n">
        <x:v>-0.004239290952682495</x:v>
      </x:c>
      <x:c r="AG378" t="n">
        <x:f>_xlfn.XLOOKUP($A378,Games!$A$2:$A$18,Games!$B$2:$B$18,"Missing game",0)</x:f>
        <x:v>2025</x:v>
      </x:c>
      <x:c r="AH378" t="str">
        <x:f>_xlfn.XLOOKUP($A378,Games!$A$2:$A$18,Games!$C$2:$C$18,"Missing game",0)</x:f>
        <x:v>REG</x:v>
      </x:c>
      <x:c r="AI378" t="n">
        <x:f>_xlfn.XLOOKUP($A378,Games!$A$2:$A$18,Games!$D$2:$D$18,"Missing game",0)</x:f>
        <x:v>3</x:v>
      </x:c>
      <x:c r="AJ378" s="1" t="n">
        <x:f>_xlfn.XLOOKUP($A378,Games!$A$2:$A$18,Games!$E$2:$E$18,"Missing game",0)</x:f>
        <x:v>45921</x:v>
      </x:c>
      <x:c r="AK378" t="str">
        <x:f>_xlfn.XLOOKUP($A378,Games!$A$2:$A$18,Games!$F$2:$F$18,"Missing game",0)</x:f>
        <x:v>Sunday</x:v>
      </x:c>
      <x:c r="AL378" t="str">
        <x:f>_xlfn.XLOOKUP($A378,Games!$A$2:$A$18,Games!$G$2:$G$18,"Missing game",0)</x:f>
        <x:v>CIN</x:v>
      </x:c>
      <x:c r="AM378" t="n">
        <x:f>_xlfn.XLOOKUP($A378,Games!$A$2:$A$18,Games!$H$2:$H$18,"Missing game",0)</x:f>
        <x:v>10</x:v>
      </x:c>
      <x:c r="AN378" t="str">
        <x:f>_xlfn.XLOOKUP($A378,Games!$A$2:$A$18,Games!$I$2:$I$18,"Missing game",0)</x:f>
        <x:v>MIN</x:v>
      </x:c>
      <x:c r="AO378" t="n">
        <x:f>_xlfn.XLOOKUP($A378,Games!$A$2:$A$18,Games!$J$2:$J$18,"Missing game",0)</x:f>
        <x:v>48</x:v>
      </x:c>
      <x:c r="AP378" t="n">
        <x:f>_xlfn.XLOOKUP($A378,Games!$A$2:$A$18,Games!$K$2:$K$18,"Missing game",0)</x:f>
        <x:v>38</x:v>
      </x:c>
      <x:c r="AQ378" t="n">
        <x:f>_xlfn.XLOOKUP($A378,Games!$A$2:$A$18,Games!$L$2:$L$18,"Missing game",0)</x:f>
        <x:v>58</x:v>
      </x:c>
      <x:c r="AR378" t="n">
        <x:f>_xlfn.XLOOKUP($A378,Games!$A$2:$A$18,Games!$M$2:$M$18,"Missing game",0)</x:f>
        <x:v>0</x:v>
      </x:c>
      <x:c r="AS378" t="str">
        <x:f>_xlfn.XLOOKUP($A378,Games!$A$2:$A$18,Games!$N$2:$N$18,"Missing game",0)</x:f>
        <x:v>dome</x:v>
      </x:c>
      <x:c r="AT378" t="str">
        <x:f>_xlfn.XLOOKUP($A378,Games!$A$2:$A$18,Games!$O$2:$O$18,"Missing game",0)</x:f>
        <x:v>sportturf</x:v>
      </x:c>
      <x:c r="AU378" t="str">
        <x:f>_xlfn.XLOOKUP($A378,Games!$A$2:$A$18,Games!$P$2:$P$18,"Missing game",0)</x:f>
      </x:c>
      <x:c r="AV378" t="str">
        <x:f>_xlfn.XLOOKUP($A378,Games!$A$2:$A$18,Games!$Q$2:$Q$18,"Missing game",0)</x:f>
      </x:c>
      <x:c r="AW378" t="str">
        <x:f>_xlfn.XLOOKUP($A378,Games!$A$2:$A$18,Games!$R$2:$R$18,"Missing game",0)</x:f>
        <x:v>U.S. Bank Stadium</x:v>
      </x:c>
    </x:row>
    <x:row r="379">
      <x:c r="A379" t="str">
        <x:v>2025_03_CIN_MIN</x:v>
      </x:c>
      <x:c r="B379" t="n">
        <x:v>1140</x:v>
      </x:c>
      <x:c r="C379" t="n">
        <x:v>2</x:v>
      </x:c>
      <x:c r="D379" t="str">
        <x:v>13:54</x:v>
      </x:c>
      <x:c r="E379" t="n">
        <x:v>4</x:v>
      </x:c>
      <x:c r="F379" t="n">
        <x:v>16</x:v>
      </x:c>
      <x:c r="G379" t="str">
        <x:v>CIN</x:v>
      </x:c>
      <x:c r="H379" t="str">
        <x:v>MIN</x:v>
      </x:c>
      <x:c r="I379" t="str">
        <x:v>CIN</x:v>
      </x:c>
      <x:c r="J379" t="n">
        <x:v>89</x:v>
      </x:c>
      <x:c r="K379" t="str">
        <x:v>(13:54) 8-R.Rehkow punts 32 yards to CIN 43, Center-46-W.Wagner, out of bounds.</x:v>
      </x:c>
      <x:c r="L379" t="str">
        <x:v>punt</x:v>
      </x:c>
      <x:c r="M379" t="n">
        <x:v>0</x:v>
      </x:c>
      <x:c r="N379" t="n">
        <x:v>0</x:v>
      </x:c>
      <x:c r="O379" t="n">
        <x:v>0</x:v>
      </x:c>
      <x:c r="P379"/>
      <x:c r="Q379"/>
      <x:c r="R379"/>
      <x:c r="S379"/>
      <x:c r="T379"/>
      <x:c r="U379"/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/>
      <x:c r="AC379" t="n">
        <x:v>0</x:v>
      </x:c>
      <x:c r="AD379" t="n">
        <x:v>-0.6216066724155098</x:v>
      </x:c>
      <x:c r="AE379" t="n">
        <x:v>0</x:v>
      </x:c>
      <x:c r="AF379" t="n">
        <x:v>-0.010612763464450836</x:v>
      </x:c>
      <x:c r="AG379" t="n">
        <x:f>_xlfn.XLOOKUP($A379,Games!$A$2:$A$18,Games!$B$2:$B$18,"Missing game",0)</x:f>
        <x:v>2025</x:v>
      </x:c>
      <x:c r="AH379" t="str">
        <x:f>_xlfn.XLOOKUP($A379,Games!$A$2:$A$18,Games!$C$2:$C$18,"Missing game",0)</x:f>
        <x:v>REG</x:v>
      </x:c>
      <x:c r="AI379" t="n">
        <x:f>_xlfn.XLOOKUP($A379,Games!$A$2:$A$18,Games!$D$2:$D$18,"Missing game",0)</x:f>
        <x:v>3</x:v>
      </x:c>
      <x:c r="AJ379" s="1" t="n">
        <x:f>_xlfn.XLOOKUP($A379,Games!$A$2:$A$18,Games!$E$2:$E$18,"Missing game",0)</x:f>
        <x:v>45921</x:v>
      </x:c>
      <x:c r="AK379" t="str">
        <x:f>_xlfn.XLOOKUP($A379,Games!$A$2:$A$18,Games!$F$2:$F$18,"Missing game",0)</x:f>
        <x:v>Sunday</x:v>
      </x:c>
      <x:c r="AL379" t="str">
        <x:f>_xlfn.XLOOKUP($A379,Games!$A$2:$A$18,Games!$G$2:$G$18,"Missing game",0)</x:f>
        <x:v>CIN</x:v>
      </x:c>
      <x:c r="AM379" t="n">
        <x:f>_xlfn.XLOOKUP($A379,Games!$A$2:$A$18,Games!$H$2:$H$18,"Missing game",0)</x:f>
        <x:v>10</x:v>
      </x:c>
      <x:c r="AN379" t="str">
        <x:f>_xlfn.XLOOKUP($A379,Games!$A$2:$A$18,Games!$I$2:$I$18,"Missing game",0)</x:f>
        <x:v>MIN</x:v>
      </x:c>
      <x:c r="AO379" t="n">
        <x:f>_xlfn.XLOOKUP($A379,Games!$A$2:$A$18,Games!$J$2:$J$18,"Missing game",0)</x:f>
        <x:v>48</x:v>
      </x:c>
      <x:c r="AP379" t="n">
        <x:f>_xlfn.XLOOKUP($A379,Games!$A$2:$A$18,Games!$K$2:$K$18,"Missing game",0)</x:f>
        <x:v>38</x:v>
      </x:c>
      <x:c r="AQ379" t="n">
        <x:f>_xlfn.XLOOKUP($A379,Games!$A$2:$A$18,Games!$L$2:$L$18,"Missing game",0)</x:f>
        <x:v>58</x:v>
      </x:c>
      <x:c r="AR379" t="n">
        <x:f>_xlfn.XLOOKUP($A379,Games!$A$2:$A$18,Games!$M$2:$M$18,"Missing game",0)</x:f>
        <x:v>0</x:v>
      </x:c>
      <x:c r="AS379" t="str">
        <x:f>_xlfn.XLOOKUP($A379,Games!$A$2:$A$18,Games!$N$2:$N$18,"Missing game",0)</x:f>
        <x:v>dome</x:v>
      </x:c>
      <x:c r="AT379" t="str">
        <x:f>_xlfn.XLOOKUP($A379,Games!$A$2:$A$18,Games!$O$2:$O$18,"Missing game",0)</x:f>
        <x:v>sportturf</x:v>
      </x:c>
      <x:c r="AU379" t="str">
        <x:f>_xlfn.XLOOKUP($A379,Games!$A$2:$A$18,Games!$P$2:$P$18,"Missing game",0)</x:f>
      </x:c>
      <x:c r="AV379" t="str">
        <x:f>_xlfn.XLOOKUP($A379,Games!$A$2:$A$18,Games!$Q$2:$Q$18,"Missing game",0)</x:f>
      </x:c>
      <x:c r="AW379" t="str">
        <x:f>_xlfn.XLOOKUP($A379,Games!$A$2:$A$18,Games!$R$2:$R$18,"Missing game",0)</x:f>
        <x:v>U.S. Bank Stadium</x:v>
      </x:c>
    </x:row>
    <x:row r="380">
      <x:c r="A380" t="str">
        <x:v>2025_03_CIN_MIN</x:v>
      </x:c>
      <x:c r="B380" t="n">
        <x:v>1159</x:v>
      </x:c>
      <x:c r="C380" t="n">
        <x:v>2</x:v>
      </x:c>
      <x:c r="D380" t="str">
        <x:v>13:48</x:v>
      </x:c>
      <x:c r="E380" t="n">
        <x:v>1</x:v>
      </x:c>
      <x:c r="F380" t="n">
        <x:v>10</x:v>
      </x:c>
      <x:c r="G380" t="str">
        <x:v>MIN</x:v>
      </x:c>
      <x:c r="H380" t="str">
        <x:v>CIN</x:v>
      </x:c>
      <x:c r="I380" t="str">
        <x:v>CIN</x:v>
      </x:c>
      <x:c r="J380" t="n">
        <x:v>43</x:v>
      </x:c>
      <x:c r="K380" t="str">
        <x:v>(13:48) 27-J.Mason right guard to CIN 34 for 9 yards (27-J.Battle).</x:v>
      </x:c>
      <x:c r="L380" t="str">
        <x:v>run</x:v>
      </x:c>
      <x:c r="M380" t="n">
        <x:v>9</x:v>
      </x:c>
      <x:c r="N380" t="n">
        <x:v>0</x:v>
      </x:c>
      <x:c r="O380" t="n">
        <x:v>0</x:v>
      </x:c>
      <x:c r="P380"/>
      <x:c r="Q380"/>
      <x:c r="R380"/>
      <x:c r="S380"/>
      <x:c r="T380" t="str">
        <x:v>right</x:v>
      </x:c>
      <x:c r="U380" t="str">
        <x:v>guard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/>
      <x:c r="AC380" t="n">
        <x:v>0</x:v>
      </x:c>
      <x:c r="AD380" t="n">
        <x:v>0.6991034653037786</x:v>
      </x:c>
      <x:c r="AE380" t="n">
        <x:v>1</x:v>
      </x:c>
      <x:c r="AF380" t="n">
        <x:v>0.005184769630432129</x:v>
      </x:c>
      <x:c r="AG380" t="n">
        <x:f>_xlfn.XLOOKUP($A380,Games!$A$2:$A$18,Games!$B$2:$B$18,"Missing game",0)</x:f>
        <x:v>2025</x:v>
      </x:c>
      <x:c r="AH380" t="str">
        <x:f>_xlfn.XLOOKUP($A380,Games!$A$2:$A$18,Games!$C$2:$C$18,"Missing game",0)</x:f>
        <x:v>REG</x:v>
      </x:c>
      <x:c r="AI380" t="n">
        <x:f>_xlfn.XLOOKUP($A380,Games!$A$2:$A$18,Games!$D$2:$D$18,"Missing game",0)</x:f>
        <x:v>3</x:v>
      </x:c>
      <x:c r="AJ380" s="1" t="n">
        <x:f>_xlfn.XLOOKUP($A380,Games!$A$2:$A$18,Games!$E$2:$E$18,"Missing game",0)</x:f>
        <x:v>45921</x:v>
      </x:c>
      <x:c r="AK380" t="str">
        <x:f>_xlfn.XLOOKUP($A380,Games!$A$2:$A$18,Games!$F$2:$F$18,"Missing game",0)</x:f>
        <x:v>Sunday</x:v>
      </x:c>
      <x:c r="AL380" t="str">
        <x:f>_xlfn.XLOOKUP($A380,Games!$A$2:$A$18,Games!$G$2:$G$18,"Missing game",0)</x:f>
        <x:v>CIN</x:v>
      </x:c>
      <x:c r="AM380" t="n">
        <x:f>_xlfn.XLOOKUP($A380,Games!$A$2:$A$18,Games!$H$2:$H$18,"Missing game",0)</x:f>
        <x:v>10</x:v>
      </x:c>
      <x:c r="AN380" t="str">
        <x:f>_xlfn.XLOOKUP($A380,Games!$A$2:$A$18,Games!$I$2:$I$18,"Missing game",0)</x:f>
        <x:v>MIN</x:v>
      </x:c>
      <x:c r="AO380" t="n">
        <x:f>_xlfn.XLOOKUP($A380,Games!$A$2:$A$18,Games!$J$2:$J$18,"Missing game",0)</x:f>
        <x:v>48</x:v>
      </x:c>
      <x:c r="AP380" t="n">
        <x:f>_xlfn.XLOOKUP($A380,Games!$A$2:$A$18,Games!$K$2:$K$18,"Missing game",0)</x:f>
        <x:v>38</x:v>
      </x:c>
      <x:c r="AQ380" t="n">
        <x:f>_xlfn.XLOOKUP($A380,Games!$A$2:$A$18,Games!$L$2:$L$18,"Missing game",0)</x:f>
        <x:v>58</x:v>
      </x:c>
      <x:c r="AR380" t="n">
        <x:f>_xlfn.XLOOKUP($A380,Games!$A$2:$A$18,Games!$M$2:$M$18,"Missing game",0)</x:f>
        <x:v>0</x:v>
      </x:c>
      <x:c r="AS380" t="str">
        <x:f>_xlfn.XLOOKUP($A380,Games!$A$2:$A$18,Games!$N$2:$N$18,"Missing game",0)</x:f>
        <x:v>dome</x:v>
      </x:c>
      <x:c r="AT380" t="str">
        <x:f>_xlfn.XLOOKUP($A380,Games!$A$2:$A$18,Games!$O$2:$O$18,"Missing game",0)</x:f>
        <x:v>sportturf</x:v>
      </x:c>
      <x:c r="AU380" t="str">
        <x:f>_xlfn.XLOOKUP($A380,Games!$A$2:$A$18,Games!$P$2:$P$18,"Missing game",0)</x:f>
      </x:c>
      <x:c r="AV380" t="str">
        <x:f>_xlfn.XLOOKUP($A380,Games!$A$2:$A$18,Games!$Q$2:$Q$18,"Missing game",0)</x:f>
      </x:c>
      <x:c r="AW380" t="str">
        <x:f>_xlfn.XLOOKUP($A380,Games!$A$2:$A$18,Games!$R$2:$R$18,"Missing game",0)</x:f>
        <x:v>U.S. Bank Stadium</x:v>
      </x:c>
    </x:row>
    <x:row r="381">
      <x:c r="A381" t="str">
        <x:v>2025_03_CIN_MIN</x:v>
      </x:c>
      <x:c r="B381" t="n">
        <x:v>1187</x:v>
      </x:c>
      <x:c r="C381" t="n">
        <x:v>2</x:v>
      </x:c>
      <x:c r="D381" t="str">
        <x:v>13:19</x:v>
      </x:c>
      <x:c r="E381" t="n">
        <x:v>2</x:v>
      </x:c>
      <x:c r="F381" t="n">
        <x:v>1</x:v>
      </x:c>
      <x:c r="G381" t="str">
        <x:v>MIN</x:v>
      </x:c>
      <x:c r="H381" t="str">
        <x:v>CIN</x:v>
      </x:c>
      <x:c r="I381" t="str">
        <x:v>CIN</x:v>
      </x:c>
      <x:c r="J381" t="n">
        <x:v>34</x:v>
      </x:c>
      <x:c r="K381" t="str">
        <x:v>(13:19) 27-J.Mason left guard to CIN 32 for 2 yards (98-T.Slaton).</x:v>
      </x:c>
      <x:c r="L381" t="str">
        <x:v>run</x:v>
      </x:c>
      <x:c r="M381" t="n">
        <x:v>2</x:v>
      </x:c>
      <x:c r="N381" t="n">
        <x:v>0</x:v>
      </x:c>
      <x:c r="O381" t="n">
        <x:v>0</x:v>
      </x:c>
      <x:c r="P381"/>
      <x:c r="Q381"/>
      <x:c r="R381"/>
      <x:c r="S381"/>
      <x:c r="T381" t="str">
        <x:v>left</x:v>
      </x:c>
      <x:c r="U381" t="str">
        <x:v>guard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/>
      <x:c r="AC381" t="n">
        <x:v>0</x:v>
      </x:c>
      <x:c r="AD381" t="n">
        <x:v>0.08506008528638631</x:v>
      </x:c>
      <x:c r="AE381" t="n">
        <x:v>1</x:v>
      </x:c>
      <x:c r="AF381" t="n">
        <x:v>-0.001564323902130127</x:v>
      </x:c>
      <x:c r="AG381" t="n">
        <x:f>_xlfn.XLOOKUP($A381,Games!$A$2:$A$18,Games!$B$2:$B$18,"Missing game",0)</x:f>
        <x:v>2025</x:v>
      </x:c>
      <x:c r="AH381" t="str">
        <x:f>_xlfn.XLOOKUP($A381,Games!$A$2:$A$18,Games!$C$2:$C$18,"Missing game",0)</x:f>
        <x:v>REG</x:v>
      </x:c>
      <x:c r="AI381" t="n">
        <x:f>_xlfn.XLOOKUP($A381,Games!$A$2:$A$18,Games!$D$2:$D$18,"Missing game",0)</x:f>
        <x:v>3</x:v>
      </x:c>
      <x:c r="AJ381" s="1" t="n">
        <x:f>_xlfn.XLOOKUP($A381,Games!$A$2:$A$18,Games!$E$2:$E$18,"Missing game",0)</x:f>
        <x:v>45921</x:v>
      </x:c>
      <x:c r="AK381" t="str">
        <x:f>_xlfn.XLOOKUP($A381,Games!$A$2:$A$18,Games!$F$2:$F$18,"Missing game",0)</x:f>
        <x:v>Sunday</x:v>
      </x:c>
      <x:c r="AL381" t="str">
        <x:f>_xlfn.XLOOKUP($A381,Games!$A$2:$A$18,Games!$G$2:$G$18,"Missing game",0)</x:f>
        <x:v>CIN</x:v>
      </x:c>
      <x:c r="AM381" t="n">
        <x:f>_xlfn.XLOOKUP($A381,Games!$A$2:$A$18,Games!$H$2:$H$18,"Missing game",0)</x:f>
        <x:v>10</x:v>
      </x:c>
      <x:c r="AN381" t="str">
        <x:f>_xlfn.XLOOKUP($A381,Games!$A$2:$A$18,Games!$I$2:$I$18,"Missing game",0)</x:f>
        <x:v>MIN</x:v>
      </x:c>
      <x:c r="AO381" t="n">
        <x:f>_xlfn.XLOOKUP($A381,Games!$A$2:$A$18,Games!$J$2:$J$18,"Missing game",0)</x:f>
        <x:v>48</x:v>
      </x:c>
      <x:c r="AP381" t="n">
        <x:f>_xlfn.XLOOKUP($A381,Games!$A$2:$A$18,Games!$K$2:$K$18,"Missing game",0)</x:f>
        <x:v>38</x:v>
      </x:c>
      <x:c r="AQ381" t="n">
        <x:f>_xlfn.XLOOKUP($A381,Games!$A$2:$A$18,Games!$L$2:$L$18,"Missing game",0)</x:f>
        <x:v>58</x:v>
      </x:c>
      <x:c r="AR381" t="n">
        <x:f>_xlfn.XLOOKUP($A381,Games!$A$2:$A$18,Games!$M$2:$M$18,"Missing game",0)</x:f>
        <x:v>0</x:v>
      </x:c>
      <x:c r="AS381" t="str">
        <x:f>_xlfn.XLOOKUP($A381,Games!$A$2:$A$18,Games!$N$2:$N$18,"Missing game",0)</x:f>
        <x:v>dome</x:v>
      </x:c>
      <x:c r="AT381" t="str">
        <x:f>_xlfn.XLOOKUP($A381,Games!$A$2:$A$18,Games!$O$2:$O$18,"Missing game",0)</x:f>
        <x:v>sportturf</x:v>
      </x:c>
      <x:c r="AU381" t="str">
        <x:f>_xlfn.XLOOKUP($A381,Games!$A$2:$A$18,Games!$P$2:$P$18,"Missing game",0)</x:f>
      </x:c>
      <x:c r="AV381" t="str">
        <x:f>_xlfn.XLOOKUP($A381,Games!$A$2:$A$18,Games!$Q$2:$Q$18,"Missing game",0)</x:f>
      </x:c>
      <x:c r="AW381" t="str">
        <x:f>_xlfn.XLOOKUP($A381,Games!$A$2:$A$18,Games!$R$2:$R$18,"Missing game",0)</x:f>
        <x:v>U.S. Bank Stadium</x:v>
      </x:c>
    </x:row>
    <x:row r="382">
      <x:c r="A382" t="str">
        <x:v>2025_03_CIN_MIN</x:v>
      </x:c>
      <x:c r="B382" t="n">
        <x:v>1209</x:v>
      </x:c>
      <x:c r="C382" t="n">
        <x:v>2</x:v>
      </x:c>
      <x:c r="D382" t="str">
        <x:v>12:40</x:v>
      </x:c>
      <x:c r="E382" t="n">
        <x:v>1</x:v>
      </x:c>
      <x:c r="F382" t="n">
        <x:v>10</x:v>
      </x:c>
      <x:c r="G382" t="str">
        <x:v>MIN</x:v>
      </x:c>
      <x:c r="H382" t="str">
        <x:v>CIN</x:v>
      </x:c>
      <x:c r="I382" t="str">
        <x:v>CIN</x:v>
      </x:c>
      <x:c r="J382" t="n">
        <x:v>32</x:v>
      </x:c>
      <x:c r="K382" t="str">
        <x:v>(12:40) (Shotgun) 36-Z.Scott left end to CIN 20 for 12 yards (22-G.Stone). PENALTY on MIN-76-W.Fries, Illegal Block Above the Waist, 10 yards, enforced at CIN 29.</x:v>
      </x:c>
      <x:c r="L382" t="str">
        <x:v>run</x:v>
      </x:c>
      <x:c r="M382" t="n">
        <x:v>3</x:v>
      </x:c>
      <x:c r="N382" t="n">
        <x:v>1</x:v>
      </x:c>
      <x:c r="O382" t="n">
        <x:v>0</x:v>
      </x:c>
      <x:c r="P382"/>
      <x:c r="Q382"/>
      <x:c r="R382"/>
      <x:c r="S382"/>
      <x:c r="T382" t="str">
        <x:v>left</x:v>
      </x:c>
      <x:c r="U382" t="str">
        <x:v>end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1</x:v>
      </x:c>
      <x:c r="AB382" t="n">
        <x:v>10</x:v>
      </x:c>
      <x:c r="AC382" t="n">
        <x:v>0</x:v>
      </x:c>
      <x:c r="AD382" t="n">
        <x:v>-0.99559503456112</x:v>
      </x:c>
      <x:c r="AE382" t="n">
        <x:v>0</x:v>
      </x:c>
      <x:c r="AF382" t="n">
        <x:v>-0.0037245750427246094</x:v>
      </x:c>
      <x:c r="AG382" t="n">
        <x:f>_xlfn.XLOOKUP($A382,Games!$A$2:$A$18,Games!$B$2:$B$18,"Missing game",0)</x:f>
        <x:v>2025</x:v>
      </x:c>
      <x:c r="AH382" t="str">
        <x:f>_xlfn.XLOOKUP($A382,Games!$A$2:$A$18,Games!$C$2:$C$18,"Missing game",0)</x:f>
        <x:v>REG</x:v>
      </x:c>
      <x:c r="AI382" t="n">
        <x:f>_xlfn.XLOOKUP($A382,Games!$A$2:$A$18,Games!$D$2:$D$18,"Missing game",0)</x:f>
        <x:v>3</x:v>
      </x:c>
      <x:c r="AJ382" s="1" t="n">
        <x:f>_xlfn.XLOOKUP($A382,Games!$A$2:$A$18,Games!$E$2:$E$18,"Missing game",0)</x:f>
        <x:v>45921</x:v>
      </x:c>
      <x:c r="AK382" t="str">
        <x:f>_xlfn.XLOOKUP($A382,Games!$A$2:$A$18,Games!$F$2:$F$18,"Missing game",0)</x:f>
        <x:v>Sunday</x:v>
      </x:c>
      <x:c r="AL382" t="str">
        <x:f>_xlfn.XLOOKUP($A382,Games!$A$2:$A$18,Games!$G$2:$G$18,"Missing game",0)</x:f>
        <x:v>CIN</x:v>
      </x:c>
      <x:c r="AM382" t="n">
        <x:f>_xlfn.XLOOKUP($A382,Games!$A$2:$A$18,Games!$H$2:$H$18,"Missing game",0)</x:f>
        <x:v>10</x:v>
      </x:c>
      <x:c r="AN382" t="str">
        <x:f>_xlfn.XLOOKUP($A382,Games!$A$2:$A$18,Games!$I$2:$I$18,"Missing game",0)</x:f>
        <x:v>MIN</x:v>
      </x:c>
      <x:c r="AO382" t="n">
        <x:f>_xlfn.XLOOKUP($A382,Games!$A$2:$A$18,Games!$J$2:$J$18,"Missing game",0)</x:f>
        <x:v>48</x:v>
      </x:c>
      <x:c r="AP382" t="n">
        <x:f>_xlfn.XLOOKUP($A382,Games!$A$2:$A$18,Games!$K$2:$K$18,"Missing game",0)</x:f>
        <x:v>38</x:v>
      </x:c>
      <x:c r="AQ382" t="n">
        <x:f>_xlfn.XLOOKUP($A382,Games!$A$2:$A$18,Games!$L$2:$L$18,"Missing game",0)</x:f>
        <x:v>58</x:v>
      </x:c>
      <x:c r="AR382" t="n">
        <x:f>_xlfn.XLOOKUP($A382,Games!$A$2:$A$18,Games!$M$2:$M$18,"Missing game",0)</x:f>
        <x:v>0</x:v>
      </x:c>
      <x:c r="AS382" t="str">
        <x:f>_xlfn.XLOOKUP($A382,Games!$A$2:$A$18,Games!$N$2:$N$18,"Missing game",0)</x:f>
        <x:v>dome</x:v>
      </x:c>
      <x:c r="AT382" t="str">
        <x:f>_xlfn.XLOOKUP($A382,Games!$A$2:$A$18,Games!$O$2:$O$18,"Missing game",0)</x:f>
        <x:v>sportturf</x:v>
      </x:c>
      <x:c r="AU382" t="str">
        <x:f>_xlfn.XLOOKUP($A382,Games!$A$2:$A$18,Games!$P$2:$P$18,"Missing game",0)</x:f>
      </x:c>
      <x:c r="AV382" t="str">
        <x:f>_xlfn.XLOOKUP($A382,Games!$A$2:$A$18,Games!$Q$2:$Q$18,"Missing game",0)</x:f>
      </x:c>
      <x:c r="AW382" t="str">
        <x:f>_xlfn.XLOOKUP($A382,Games!$A$2:$A$18,Games!$R$2:$R$18,"Missing game",0)</x:f>
        <x:v>U.S. Bank Stadium</x:v>
      </x:c>
    </x:row>
    <x:row r="383">
      <x:c r="A383" t="str">
        <x:v>2025_03_CIN_MIN</x:v>
      </x:c>
      <x:c r="B383" t="n">
        <x:v>1242</x:v>
      </x:c>
      <x:c r="C383" t="n">
        <x:v>2</x:v>
      </x:c>
      <x:c r="D383" t="str">
        <x:v>12:23</x:v>
      </x:c>
      <x:c r="E383" t="n">
        <x:v>1</x:v>
      </x:c>
      <x:c r="F383" t="n">
        <x:v>17</x:v>
      </x:c>
      <x:c r="G383" t="str">
        <x:v>MIN</x:v>
      </x:c>
      <x:c r="H383" t="str">
        <x:v>CIN</x:v>
      </x:c>
      <x:c r="I383" t="str">
        <x:v>CIN</x:v>
      </x:c>
      <x:c r="J383" t="n">
        <x:v>39</x:v>
      </x:c>
      <x:c r="K383" t="str">
        <x:v>(12:23) (Shotgun) 11-C.Wentz pass short middle to 87-T.Hockenson to CIN 26 for 13 yards (55-L.Wilson; 42-O.Burks).</x:v>
      </x:c>
      <x:c r="L383" t="str">
        <x:v>pass</x:v>
      </x:c>
      <x:c r="M383" t="n">
        <x:v>13</x:v>
      </x:c>
      <x:c r="N383" t="n">
        <x:v>1</x:v>
      </x:c>
      <x:c r="O383" t="n">
        <x:v>0</x:v>
      </x:c>
      <x:c r="P383" t="str">
        <x:v>short</x:v>
      </x:c>
      <x:c r="Q383" t="str">
        <x:v>middle</x:v>
      </x:c>
      <x:c r="R383" t="n">
        <x:v>7</x:v>
      </x:c>
      <x:c r="S383" t="n">
        <x:v>6</x:v>
      </x:c>
      <x:c r="T383"/>
      <x:c r="U383"/>
      <x:c r="V383" t="n">
        <x:v>1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/>
      <x:c r="AC383" t="n">
        <x:v>0</x:v>
      </x:c>
      <x:c r="AD383" t="n">
        <x:v>1.2434020759537816</x:v>
      </x:c>
      <x:c r="AE383" t="n">
        <x:v>1</x:v>
      </x:c>
      <x:c r="AF383" t="n">
        <x:v>0.006574511528015137</x:v>
      </x:c>
      <x:c r="AG383" t="n">
        <x:f>_xlfn.XLOOKUP($A383,Games!$A$2:$A$18,Games!$B$2:$B$18,"Missing game",0)</x:f>
        <x:v>2025</x:v>
      </x:c>
      <x:c r="AH383" t="str">
        <x:f>_xlfn.XLOOKUP($A383,Games!$A$2:$A$18,Games!$C$2:$C$18,"Missing game",0)</x:f>
        <x:v>REG</x:v>
      </x:c>
      <x:c r="AI383" t="n">
        <x:f>_xlfn.XLOOKUP($A383,Games!$A$2:$A$18,Games!$D$2:$D$18,"Missing game",0)</x:f>
        <x:v>3</x:v>
      </x:c>
      <x:c r="AJ383" s="1" t="n">
        <x:f>_xlfn.XLOOKUP($A383,Games!$A$2:$A$18,Games!$E$2:$E$18,"Missing game",0)</x:f>
        <x:v>45921</x:v>
      </x:c>
      <x:c r="AK383" t="str">
        <x:f>_xlfn.XLOOKUP($A383,Games!$A$2:$A$18,Games!$F$2:$F$18,"Missing game",0)</x:f>
        <x:v>Sunday</x:v>
      </x:c>
      <x:c r="AL383" t="str">
        <x:f>_xlfn.XLOOKUP($A383,Games!$A$2:$A$18,Games!$G$2:$G$18,"Missing game",0)</x:f>
        <x:v>CIN</x:v>
      </x:c>
      <x:c r="AM383" t="n">
        <x:f>_xlfn.XLOOKUP($A383,Games!$A$2:$A$18,Games!$H$2:$H$18,"Missing game",0)</x:f>
        <x:v>10</x:v>
      </x:c>
      <x:c r="AN383" t="str">
        <x:f>_xlfn.XLOOKUP($A383,Games!$A$2:$A$18,Games!$I$2:$I$18,"Missing game",0)</x:f>
        <x:v>MIN</x:v>
      </x:c>
      <x:c r="AO383" t="n">
        <x:f>_xlfn.XLOOKUP($A383,Games!$A$2:$A$18,Games!$J$2:$J$18,"Missing game",0)</x:f>
        <x:v>48</x:v>
      </x:c>
      <x:c r="AP383" t="n">
        <x:f>_xlfn.XLOOKUP($A383,Games!$A$2:$A$18,Games!$K$2:$K$18,"Missing game",0)</x:f>
        <x:v>38</x:v>
      </x:c>
      <x:c r="AQ383" t="n">
        <x:f>_xlfn.XLOOKUP($A383,Games!$A$2:$A$18,Games!$L$2:$L$18,"Missing game",0)</x:f>
        <x:v>58</x:v>
      </x:c>
      <x:c r="AR383" t="n">
        <x:f>_xlfn.XLOOKUP($A383,Games!$A$2:$A$18,Games!$M$2:$M$18,"Missing game",0)</x:f>
        <x:v>0</x:v>
      </x:c>
      <x:c r="AS383" t="str">
        <x:f>_xlfn.XLOOKUP($A383,Games!$A$2:$A$18,Games!$N$2:$N$18,"Missing game",0)</x:f>
        <x:v>dome</x:v>
      </x:c>
      <x:c r="AT383" t="str">
        <x:f>_xlfn.XLOOKUP($A383,Games!$A$2:$A$18,Games!$O$2:$O$18,"Missing game",0)</x:f>
        <x:v>sportturf</x:v>
      </x:c>
      <x:c r="AU383" t="str">
        <x:f>_xlfn.XLOOKUP($A383,Games!$A$2:$A$18,Games!$P$2:$P$18,"Missing game",0)</x:f>
      </x:c>
      <x:c r="AV383" t="str">
        <x:f>_xlfn.XLOOKUP($A383,Games!$A$2:$A$18,Games!$Q$2:$Q$18,"Missing game",0)</x:f>
      </x:c>
      <x:c r="AW383" t="str">
        <x:f>_xlfn.XLOOKUP($A383,Games!$A$2:$A$18,Games!$R$2:$R$18,"Missing game",0)</x:f>
        <x:v>U.S. Bank Stadium</x:v>
      </x:c>
    </x:row>
    <x:row r="384">
      <x:c r="A384" t="str">
        <x:v>2025_03_CIN_MIN</x:v>
      </x:c>
      <x:c r="B384" t="n">
        <x:v>1267</x:v>
      </x:c>
      <x:c r="C384" t="n">
        <x:v>2</x:v>
      </x:c>
      <x:c r="D384" t="str">
        <x:v>11:40</x:v>
      </x:c>
      <x:c r="E384" t="n">
        <x:v>2</x:v>
      </x:c>
      <x:c r="F384" t="n">
        <x:v>4</x:v>
      </x:c>
      <x:c r="G384" t="str">
        <x:v>MIN</x:v>
      </x:c>
      <x:c r="H384" t="str">
        <x:v>CIN</x:v>
      </x:c>
      <x:c r="I384" t="str">
        <x:v>CIN</x:v>
      </x:c>
      <x:c r="J384" t="n">
        <x:v>26</x:v>
      </x:c>
      <x:c r="K384" t="str">
        <x:v>(11:40) 36-Z.Scott left guard to CIN 23 for 3 yards (55-L.Wilson).</x:v>
      </x:c>
      <x:c r="L384" t="str">
        <x:v>run</x:v>
      </x:c>
      <x:c r="M384" t="n">
        <x:v>3</x:v>
      </x:c>
      <x:c r="N384" t="n">
        <x:v>0</x:v>
      </x:c>
      <x:c r="O384" t="n">
        <x:v>0</x:v>
      </x:c>
      <x:c r="P384"/>
      <x:c r="Q384"/>
      <x:c r="R384"/>
      <x:c r="S384"/>
      <x:c r="T384" t="str">
        <x:v>left</x:v>
      </x:c>
      <x:c r="U384" t="str">
        <x:v>guard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/>
      <x:c r="AC384" t="n">
        <x:v>0</x:v>
      </x:c>
      <x:c r="AD384" t="n">
        <x:v>0.037185752065852284</x:v>
      </x:c>
      <x:c r="AE384" t="n">
        <x:v>1</x:v>
      </x:c>
      <x:c r="AF384" t="n">
        <x:v>-0.0034009814262390137</x:v>
      </x:c>
      <x:c r="AG384" t="n">
        <x:f>_xlfn.XLOOKUP($A384,Games!$A$2:$A$18,Games!$B$2:$B$18,"Missing game",0)</x:f>
        <x:v>2025</x:v>
      </x:c>
      <x:c r="AH384" t="str">
        <x:f>_xlfn.XLOOKUP($A384,Games!$A$2:$A$18,Games!$C$2:$C$18,"Missing game",0)</x:f>
        <x:v>REG</x:v>
      </x:c>
      <x:c r="AI384" t="n">
        <x:f>_xlfn.XLOOKUP($A384,Games!$A$2:$A$18,Games!$D$2:$D$18,"Missing game",0)</x:f>
        <x:v>3</x:v>
      </x:c>
      <x:c r="AJ384" s="1" t="n">
        <x:f>_xlfn.XLOOKUP($A384,Games!$A$2:$A$18,Games!$E$2:$E$18,"Missing game",0)</x:f>
        <x:v>45921</x:v>
      </x:c>
      <x:c r="AK384" t="str">
        <x:f>_xlfn.XLOOKUP($A384,Games!$A$2:$A$18,Games!$F$2:$F$18,"Missing game",0)</x:f>
        <x:v>Sunday</x:v>
      </x:c>
      <x:c r="AL384" t="str">
        <x:f>_xlfn.XLOOKUP($A384,Games!$A$2:$A$18,Games!$G$2:$G$18,"Missing game",0)</x:f>
        <x:v>CIN</x:v>
      </x:c>
      <x:c r="AM384" t="n">
        <x:f>_xlfn.XLOOKUP($A384,Games!$A$2:$A$18,Games!$H$2:$H$18,"Missing game",0)</x:f>
        <x:v>10</x:v>
      </x:c>
      <x:c r="AN384" t="str">
        <x:f>_xlfn.XLOOKUP($A384,Games!$A$2:$A$18,Games!$I$2:$I$18,"Missing game",0)</x:f>
        <x:v>MIN</x:v>
      </x:c>
      <x:c r="AO384" t="n">
        <x:f>_xlfn.XLOOKUP($A384,Games!$A$2:$A$18,Games!$J$2:$J$18,"Missing game",0)</x:f>
        <x:v>48</x:v>
      </x:c>
      <x:c r="AP384" t="n">
        <x:f>_xlfn.XLOOKUP($A384,Games!$A$2:$A$18,Games!$K$2:$K$18,"Missing game",0)</x:f>
        <x:v>38</x:v>
      </x:c>
      <x:c r="AQ384" t="n">
        <x:f>_xlfn.XLOOKUP($A384,Games!$A$2:$A$18,Games!$L$2:$L$18,"Missing game",0)</x:f>
        <x:v>58</x:v>
      </x:c>
      <x:c r="AR384" t="n">
        <x:f>_xlfn.XLOOKUP($A384,Games!$A$2:$A$18,Games!$M$2:$M$18,"Missing game",0)</x:f>
        <x:v>0</x:v>
      </x:c>
      <x:c r="AS384" t="str">
        <x:f>_xlfn.XLOOKUP($A384,Games!$A$2:$A$18,Games!$N$2:$N$18,"Missing game",0)</x:f>
        <x:v>dome</x:v>
      </x:c>
      <x:c r="AT384" t="str">
        <x:f>_xlfn.XLOOKUP($A384,Games!$A$2:$A$18,Games!$O$2:$O$18,"Missing game",0)</x:f>
        <x:v>sportturf</x:v>
      </x:c>
      <x:c r="AU384" t="str">
        <x:f>_xlfn.XLOOKUP($A384,Games!$A$2:$A$18,Games!$P$2:$P$18,"Missing game",0)</x:f>
      </x:c>
      <x:c r="AV384" t="str">
        <x:f>_xlfn.XLOOKUP($A384,Games!$A$2:$A$18,Games!$Q$2:$Q$18,"Missing game",0)</x:f>
      </x:c>
      <x:c r="AW384" t="str">
        <x:f>_xlfn.XLOOKUP($A384,Games!$A$2:$A$18,Games!$R$2:$R$18,"Missing game",0)</x:f>
        <x:v>U.S. Bank Stadium</x:v>
      </x:c>
    </x:row>
    <x:row r="385">
      <x:c r="A385" t="str">
        <x:v>2025_03_CIN_MIN</x:v>
      </x:c>
      <x:c r="B385" t="n">
        <x:v>1289</x:v>
      </x:c>
      <x:c r="C385" t="n">
        <x:v>2</x:v>
      </x:c>
      <x:c r="D385" t="str">
        <x:v>10:58</x:v>
      </x:c>
      <x:c r="E385" t="n">
        <x:v>3</x:v>
      </x:c>
      <x:c r="F385" t="n">
        <x:v>1</x:v>
      </x:c>
      <x:c r="G385" t="str">
        <x:v>MIN</x:v>
      </x:c>
      <x:c r="H385" t="str">
        <x:v>CIN</x:v>
      </x:c>
      <x:c r="I385" t="str">
        <x:v>CIN</x:v>
      </x:c>
      <x:c r="J385" t="n">
        <x:v>23</x:v>
      </x:c>
      <x:c r="K385" t="str">
        <x:v>(10:58) (Shotgun) 36-Z.Scott up the middle to CIN 21 for 2 yards (91-T.Hendrickson).</x:v>
      </x:c>
      <x:c r="L385" t="str">
        <x:v>run</x:v>
      </x:c>
      <x:c r="M385" t="n">
        <x:v>2</x:v>
      </x:c>
      <x:c r="N385" t="n">
        <x:v>1</x:v>
      </x:c>
      <x:c r="O385" t="n">
        <x:v>0</x:v>
      </x:c>
      <x:c r="P385"/>
      <x:c r="Q385"/>
      <x:c r="R385"/>
      <x:c r="S385"/>
      <x:c r="T385" t="str">
        <x:v>middle</x:v>
      </x:c>
      <x:c r="U385"/>
      <x:c r="V385" t="n">
        <x:v>0</x:v>
      </x:c>
      <x:c r="W385" t="n">
        <x:v>1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/>
      <x:c r="AC385" t="n">
        <x:v>0</x:v>
      </x:c>
      <x:c r="AD385" t="n">
        <x:v>0.4288170316722244</x:v>
      </x:c>
      <x:c r="AE385" t="n">
        <x:v>1</x:v>
      </x:c>
      <x:c r="AF385" t="n">
        <x:v>-0.00003713369369506836</x:v>
      </x:c>
      <x:c r="AG385" t="n">
        <x:f>_xlfn.XLOOKUP($A385,Games!$A$2:$A$18,Games!$B$2:$B$18,"Missing game",0)</x:f>
        <x:v>2025</x:v>
      </x:c>
      <x:c r="AH385" t="str">
        <x:f>_xlfn.XLOOKUP($A385,Games!$A$2:$A$18,Games!$C$2:$C$18,"Missing game",0)</x:f>
        <x:v>REG</x:v>
      </x:c>
      <x:c r="AI385" t="n">
        <x:f>_xlfn.XLOOKUP($A385,Games!$A$2:$A$18,Games!$D$2:$D$18,"Missing game",0)</x:f>
        <x:v>3</x:v>
      </x:c>
      <x:c r="AJ385" s="1" t="n">
        <x:f>_xlfn.XLOOKUP($A385,Games!$A$2:$A$18,Games!$E$2:$E$18,"Missing game",0)</x:f>
        <x:v>45921</x:v>
      </x:c>
      <x:c r="AK385" t="str">
        <x:f>_xlfn.XLOOKUP($A385,Games!$A$2:$A$18,Games!$F$2:$F$18,"Missing game",0)</x:f>
        <x:v>Sunday</x:v>
      </x:c>
      <x:c r="AL385" t="str">
        <x:f>_xlfn.XLOOKUP($A385,Games!$A$2:$A$18,Games!$G$2:$G$18,"Missing game",0)</x:f>
        <x:v>CIN</x:v>
      </x:c>
      <x:c r="AM385" t="n">
        <x:f>_xlfn.XLOOKUP($A385,Games!$A$2:$A$18,Games!$H$2:$H$18,"Missing game",0)</x:f>
        <x:v>10</x:v>
      </x:c>
      <x:c r="AN385" t="str">
        <x:f>_xlfn.XLOOKUP($A385,Games!$A$2:$A$18,Games!$I$2:$I$18,"Missing game",0)</x:f>
        <x:v>MIN</x:v>
      </x:c>
      <x:c r="AO385" t="n">
        <x:f>_xlfn.XLOOKUP($A385,Games!$A$2:$A$18,Games!$J$2:$J$18,"Missing game",0)</x:f>
        <x:v>48</x:v>
      </x:c>
      <x:c r="AP385" t="n">
        <x:f>_xlfn.XLOOKUP($A385,Games!$A$2:$A$18,Games!$K$2:$K$18,"Missing game",0)</x:f>
        <x:v>38</x:v>
      </x:c>
      <x:c r="AQ385" t="n">
        <x:f>_xlfn.XLOOKUP($A385,Games!$A$2:$A$18,Games!$L$2:$L$18,"Missing game",0)</x:f>
        <x:v>58</x:v>
      </x:c>
      <x:c r="AR385" t="n">
        <x:f>_xlfn.XLOOKUP($A385,Games!$A$2:$A$18,Games!$M$2:$M$18,"Missing game",0)</x:f>
        <x:v>0</x:v>
      </x:c>
      <x:c r="AS385" t="str">
        <x:f>_xlfn.XLOOKUP($A385,Games!$A$2:$A$18,Games!$N$2:$N$18,"Missing game",0)</x:f>
        <x:v>dome</x:v>
      </x:c>
      <x:c r="AT385" t="str">
        <x:f>_xlfn.XLOOKUP($A385,Games!$A$2:$A$18,Games!$O$2:$O$18,"Missing game",0)</x:f>
        <x:v>sportturf</x:v>
      </x:c>
      <x:c r="AU385" t="str">
        <x:f>_xlfn.XLOOKUP($A385,Games!$A$2:$A$18,Games!$P$2:$P$18,"Missing game",0)</x:f>
      </x:c>
      <x:c r="AV385" t="str">
        <x:f>_xlfn.XLOOKUP($A385,Games!$A$2:$A$18,Games!$Q$2:$Q$18,"Missing game",0)</x:f>
      </x:c>
      <x:c r="AW385" t="str">
        <x:f>_xlfn.XLOOKUP($A385,Games!$A$2:$A$18,Games!$R$2:$R$18,"Missing game",0)</x:f>
        <x:v>U.S. Bank Stadium</x:v>
      </x:c>
    </x:row>
    <x:row r="386">
      <x:c r="A386" t="str">
        <x:v>2025_03_CIN_MIN</x:v>
      </x:c>
      <x:c r="B386" t="n">
        <x:v>1311</x:v>
      </x:c>
      <x:c r="C386" t="n">
        <x:v>2</x:v>
      </x:c>
      <x:c r="D386" t="str">
        <x:v>10:15</x:v>
      </x:c>
      <x:c r="E386" t="n">
        <x:v>1</x:v>
      </x:c>
      <x:c r="F386" t="n">
        <x:v>10</x:v>
      </x:c>
      <x:c r="G386" t="str">
        <x:v>MIN</x:v>
      </x:c>
      <x:c r="H386" t="str">
        <x:v>CIN</x:v>
      </x:c>
      <x:c r="I386" t="str">
        <x:v>CIN</x:v>
      </x:c>
      <x:c r="J386" t="n">
        <x:v>21</x:v>
      </x:c>
      <x:c r="K386" t="str">
        <x:v>(10:15) (Shotgun) 11-C.Wentz pass incomplete short right to 87-T.Hockenson.</x:v>
      </x:c>
      <x:c r="L386" t="str">
        <x:v>pass</x:v>
      </x:c>
      <x:c r="M386" t="n">
        <x:v>0</x:v>
      </x:c>
      <x:c r="N386" t="n">
        <x:v>1</x:v>
      </x:c>
      <x:c r="O386" t="n">
        <x:v>0</x:v>
      </x:c>
      <x:c r="P386" t="str">
        <x:v>short</x:v>
      </x:c>
      <x:c r="Q386" t="str">
        <x:v>right</x:v>
      </x:c>
      <x:c r="R386" t="n">
        <x:v>14</x:v>
      </x:c>
      <x:c r="S386"/>
      <x:c r="T386"/>
      <x:c r="U386"/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/>
      <x:c r="AC386" t="n">
        <x:v>0</x:v>
      </x:c>
      <x:c r="AD386" t="n">
        <x:v>-0.45693809539079666</x:v>
      </x:c>
      <x:c r="AE386" t="n">
        <x:v>0</x:v>
      </x:c>
      <x:c r="AF386" t="n">
        <x:v>-0.0059282779693603516</x:v>
      </x:c>
      <x:c r="AG386" t="n">
        <x:f>_xlfn.XLOOKUP($A386,Games!$A$2:$A$18,Games!$B$2:$B$18,"Missing game",0)</x:f>
        <x:v>2025</x:v>
      </x:c>
      <x:c r="AH386" t="str">
        <x:f>_xlfn.XLOOKUP($A386,Games!$A$2:$A$18,Games!$C$2:$C$18,"Missing game",0)</x:f>
        <x:v>REG</x:v>
      </x:c>
      <x:c r="AI386" t="n">
        <x:f>_xlfn.XLOOKUP($A386,Games!$A$2:$A$18,Games!$D$2:$D$18,"Missing game",0)</x:f>
        <x:v>3</x:v>
      </x:c>
      <x:c r="AJ386" s="1" t="n">
        <x:f>_xlfn.XLOOKUP($A386,Games!$A$2:$A$18,Games!$E$2:$E$18,"Missing game",0)</x:f>
        <x:v>45921</x:v>
      </x:c>
      <x:c r="AK386" t="str">
        <x:f>_xlfn.XLOOKUP($A386,Games!$A$2:$A$18,Games!$F$2:$F$18,"Missing game",0)</x:f>
        <x:v>Sunday</x:v>
      </x:c>
      <x:c r="AL386" t="str">
        <x:f>_xlfn.XLOOKUP($A386,Games!$A$2:$A$18,Games!$G$2:$G$18,"Missing game",0)</x:f>
        <x:v>CIN</x:v>
      </x:c>
      <x:c r="AM386" t="n">
        <x:f>_xlfn.XLOOKUP($A386,Games!$A$2:$A$18,Games!$H$2:$H$18,"Missing game",0)</x:f>
        <x:v>10</x:v>
      </x:c>
      <x:c r="AN386" t="str">
        <x:f>_xlfn.XLOOKUP($A386,Games!$A$2:$A$18,Games!$I$2:$I$18,"Missing game",0)</x:f>
        <x:v>MIN</x:v>
      </x:c>
      <x:c r="AO386" t="n">
        <x:f>_xlfn.XLOOKUP($A386,Games!$A$2:$A$18,Games!$J$2:$J$18,"Missing game",0)</x:f>
        <x:v>48</x:v>
      </x:c>
      <x:c r="AP386" t="n">
        <x:f>_xlfn.XLOOKUP($A386,Games!$A$2:$A$18,Games!$K$2:$K$18,"Missing game",0)</x:f>
        <x:v>38</x:v>
      </x:c>
      <x:c r="AQ386" t="n">
        <x:f>_xlfn.XLOOKUP($A386,Games!$A$2:$A$18,Games!$L$2:$L$18,"Missing game",0)</x:f>
        <x:v>58</x:v>
      </x:c>
      <x:c r="AR386" t="n">
        <x:f>_xlfn.XLOOKUP($A386,Games!$A$2:$A$18,Games!$M$2:$M$18,"Missing game",0)</x:f>
        <x:v>0</x:v>
      </x:c>
      <x:c r="AS386" t="str">
        <x:f>_xlfn.XLOOKUP($A386,Games!$A$2:$A$18,Games!$N$2:$N$18,"Missing game",0)</x:f>
        <x:v>dome</x:v>
      </x:c>
      <x:c r="AT386" t="str">
        <x:f>_xlfn.XLOOKUP($A386,Games!$A$2:$A$18,Games!$O$2:$O$18,"Missing game",0)</x:f>
        <x:v>sportturf</x:v>
      </x:c>
      <x:c r="AU386" t="str">
        <x:f>_xlfn.XLOOKUP($A386,Games!$A$2:$A$18,Games!$P$2:$P$18,"Missing game",0)</x:f>
      </x:c>
      <x:c r="AV386" t="str">
        <x:f>_xlfn.XLOOKUP($A386,Games!$A$2:$A$18,Games!$Q$2:$Q$18,"Missing game",0)</x:f>
      </x:c>
      <x:c r="AW386" t="str">
        <x:f>_xlfn.XLOOKUP($A386,Games!$A$2:$A$18,Games!$R$2:$R$18,"Missing game",0)</x:f>
        <x:v>U.S. Bank Stadium</x:v>
      </x:c>
    </x:row>
    <x:row r="387">
      <x:c r="A387" t="str">
        <x:v>2025_03_CIN_MIN</x:v>
      </x:c>
      <x:c r="B387" t="n">
        <x:v>1334</x:v>
      </x:c>
      <x:c r="C387" t="n">
        <x:v>2</x:v>
      </x:c>
      <x:c r="D387" t="str">
        <x:v>10:10</x:v>
      </x:c>
      <x:c r="E387" t="n">
        <x:v>2</x:v>
      </x:c>
      <x:c r="F387" t="n">
        <x:v>10</x:v>
      </x:c>
      <x:c r="G387" t="str">
        <x:v>MIN</x:v>
      </x:c>
      <x:c r="H387" t="str">
        <x:v>CIN</x:v>
      </x:c>
      <x:c r="I387" t="str">
        <x:v>CIN</x:v>
      </x:c>
      <x:c r="J387" t="n">
        <x:v>21</x:v>
      </x:c>
      <x:c r="K387" t="str">
        <x:v>(10:10) 27-J.Mason left guard to CIN 17 for 4 yards (92-B.Hill; 27-J.Battle).</x:v>
      </x:c>
      <x:c r="L387" t="str">
        <x:v>run</x:v>
      </x:c>
      <x:c r="M387" t="n">
        <x:v>4</x:v>
      </x:c>
      <x:c r="N387" t="n">
        <x:v>0</x:v>
      </x:c>
      <x:c r="O387" t="n">
        <x:v>0</x:v>
      </x:c>
      <x:c r="P387"/>
      <x:c r="Q387"/>
      <x:c r="R387"/>
      <x:c r="S387"/>
      <x:c r="T387" t="str">
        <x:v>left</x:v>
      </x:c>
      <x:c r="U387" t="str">
        <x:v>guard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/>
      <x:c r="AC387" t="n">
        <x:v>0</x:v>
      </x:c>
      <x:c r="AD387" t="n">
        <x:v>-0.39910205372143537</x:v>
      </x:c>
      <x:c r="AE387" t="n">
        <x:v>0</x:v>
      </x:c>
      <x:c r="AF387" t="n">
        <x:v>0.0011917352676391602</x:v>
      </x:c>
      <x:c r="AG387" t="n">
        <x:f>_xlfn.XLOOKUP($A387,Games!$A$2:$A$18,Games!$B$2:$B$18,"Missing game",0)</x:f>
        <x:v>2025</x:v>
      </x:c>
      <x:c r="AH387" t="str">
        <x:f>_xlfn.XLOOKUP($A387,Games!$A$2:$A$18,Games!$C$2:$C$18,"Missing game",0)</x:f>
        <x:v>REG</x:v>
      </x:c>
      <x:c r="AI387" t="n">
        <x:f>_xlfn.XLOOKUP($A387,Games!$A$2:$A$18,Games!$D$2:$D$18,"Missing game",0)</x:f>
        <x:v>3</x:v>
      </x:c>
      <x:c r="AJ387" s="1" t="n">
        <x:f>_xlfn.XLOOKUP($A387,Games!$A$2:$A$18,Games!$E$2:$E$18,"Missing game",0)</x:f>
        <x:v>45921</x:v>
      </x:c>
      <x:c r="AK387" t="str">
        <x:f>_xlfn.XLOOKUP($A387,Games!$A$2:$A$18,Games!$F$2:$F$18,"Missing game",0)</x:f>
        <x:v>Sunday</x:v>
      </x:c>
      <x:c r="AL387" t="str">
        <x:f>_xlfn.XLOOKUP($A387,Games!$A$2:$A$18,Games!$G$2:$G$18,"Missing game",0)</x:f>
        <x:v>CIN</x:v>
      </x:c>
      <x:c r="AM387" t="n">
        <x:f>_xlfn.XLOOKUP($A387,Games!$A$2:$A$18,Games!$H$2:$H$18,"Missing game",0)</x:f>
        <x:v>10</x:v>
      </x:c>
      <x:c r="AN387" t="str">
        <x:f>_xlfn.XLOOKUP($A387,Games!$A$2:$A$18,Games!$I$2:$I$18,"Missing game",0)</x:f>
        <x:v>MIN</x:v>
      </x:c>
      <x:c r="AO387" t="n">
        <x:f>_xlfn.XLOOKUP($A387,Games!$A$2:$A$18,Games!$J$2:$J$18,"Missing game",0)</x:f>
        <x:v>48</x:v>
      </x:c>
      <x:c r="AP387" t="n">
        <x:f>_xlfn.XLOOKUP($A387,Games!$A$2:$A$18,Games!$K$2:$K$18,"Missing game",0)</x:f>
        <x:v>38</x:v>
      </x:c>
      <x:c r="AQ387" t="n">
        <x:f>_xlfn.XLOOKUP($A387,Games!$A$2:$A$18,Games!$L$2:$L$18,"Missing game",0)</x:f>
        <x:v>58</x:v>
      </x:c>
      <x:c r="AR387" t="n">
        <x:f>_xlfn.XLOOKUP($A387,Games!$A$2:$A$18,Games!$M$2:$M$18,"Missing game",0)</x:f>
        <x:v>0</x:v>
      </x:c>
      <x:c r="AS387" t="str">
        <x:f>_xlfn.XLOOKUP($A387,Games!$A$2:$A$18,Games!$N$2:$N$18,"Missing game",0)</x:f>
        <x:v>dome</x:v>
      </x:c>
      <x:c r="AT387" t="str">
        <x:f>_xlfn.XLOOKUP($A387,Games!$A$2:$A$18,Games!$O$2:$O$18,"Missing game",0)</x:f>
        <x:v>sportturf</x:v>
      </x:c>
      <x:c r="AU387" t="str">
        <x:f>_xlfn.XLOOKUP($A387,Games!$A$2:$A$18,Games!$P$2:$P$18,"Missing game",0)</x:f>
      </x:c>
      <x:c r="AV387" t="str">
        <x:f>_xlfn.XLOOKUP($A387,Games!$A$2:$A$18,Games!$Q$2:$Q$18,"Missing game",0)</x:f>
      </x:c>
      <x:c r="AW387" t="str">
        <x:f>_xlfn.XLOOKUP($A387,Games!$A$2:$A$18,Games!$R$2:$R$18,"Missing game",0)</x:f>
        <x:v>U.S. Bank Stadium</x:v>
      </x:c>
    </x:row>
    <x:row r="388">
      <x:c r="A388" t="str">
        <x:v>2025_03_CIN_MIN</x:v>
      </x:c>
      <x:c r="B388" t="n">
        <x:v>1356</x:v>
      </x:c>
      <x:c r="C388" t="n">
        <x:v>2</x:v>
      </x:c>
      <x:c r="D388" t="str">
        <x:v>09:28</x:v>
      </x:c>
      <x:c r="E388" t="n">
        <x:v>3</x:v>
      </x:c>
      <x:c r="F388" t="n">
        <x:v>6</x:v>
      </x:c>
      <x:c r="G388" t="str">
        <x:v>MIN</x:v>
      </x:c>
      <x:c r="H388" t="str">
        <x:v>CIN</x:v>
      </x:c>
      <x:c r="I388" t="str">
        <x:v>CIN</x:v>
      </x:c>
      <x:c r="J388" t="n">
        <x:v>17</x:v>
      </x:c>
      <x:c r="K388" t="str">
        <x:v>(9:28) (Shotgun) 11-C.Wentz pass incomplete short middle to 1-J.Nailor [22-G.Stone].</x:v>
      </x:c>
      <x:c r="L388" t="str">
        <x:v>pass</x:v>
      </x:c>
      <x:c r="M388" t="n">
        <x:v>0</x:v>
      </x:c>
      <x:c r="N388" t="n">
        <x:v>1</x:v>
      </x:c>
      <x:c r="O388" t="n">
        <x:v>0</x:v>
      </x:c>
      <x:c r="P388" t="str">
        <x:v>short</x:v>
      </x:c>
      <x:c r="Q388" t="str">
        <x:v>middle</x:v>
      </x:c>
      <x:c r="R388" t="n">
        <x:v>15</x:v>
      </x:c>
      <x:c r="S388"/>
      <x:c r="T388"/>
      <x:c r="U388"/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/>
      <x:c r="AC388" t="n">
        <x:v>0</x:v>
      </x:c>
      <x:c r="AD388" t="n">
        <x:v>-1.1706757354673285</x:v>
      </x:c>
      <x:c r="AE388" t="n">
        <x:v>0</x:v>
      </x:c>
      <x:c r="AF388" t="n">
        <x:v>-0.015062272548675537</x:v>
      </x:c>
      <x:c r="AG388" t="n">
        <x:f>_xlfn.XLOOKUP($A388,Games!$A$2:$A$18,Games!$B$2:$B$18,"Missing game",0)</x:f>
        <x:v>2025</x:v>
      </x:c>
      <x:c r="AH388" t="str">
        <x:f>_xlfn.XLOOKUP($A388,Games!$A$2:$A$18,Games!$C$2:$C$18,"Missing game",0)</x:f>
        <x:v>REG</x:v>
      </x:c>
      <x:c r="AI388" t="n">
        <x:f>_xlfn.XLOOKUP($A388,Games!$A$2:$A$18,Games!$D$2:$D$18,"Missing game",0)</x:f>
        <x:v>3</x:v>
      </x:c>
      <x:c r="AJ388" s="1" t="n">
        <x:f>_xlfn.XLOOKUP($A388,Games!$A$2:$A$18,Games!$E$2:$E$18,"Missing game",0)</x:f>
        <x:v>45921</x:v>
      </x:c>
      <x:c r="AK388" t="str">
        <x:f>_xlfn.XLOOKUP($A388,Games!$A$2:$A$18,Games!$F$2:$F$18,"Missing game",0)</x:f>
        <x:v>Sunday</x:v>
      </x:c>
      <x:c r="AL388" t="str">
        <x:f>_xlfn.XLOOKUP($A388,Games!$A$2:$A$18,Games!$G$2:$G$18,"Missing game",0)</x:f>
        <x:v>CIN</x:v>
      </x:c>
      <x:c r="AM388" t="n">
        <x:f>_xlfn.XLOOKUP($A388,Games!$A$2:$A$18,Games!$H$2:$H$18,"Missing game",0)</x:f>
        <x:v>10</x:v>
      </x:c>
      <x:c r="AN388" t="str">
        <x:f>_xlfn.XLOOKUP($A388,Games!$A$2:$A$18,Games!$I$2:$I$18,"Missing game",0)</x:f>
        <x:v>MIN</x:v>
      </x:c>
      <x:c r="AO388" t="n">
        <x:f>_xlfn.XLOOKUP($A388,Games!$A$2:$A$18,Games!$J$2:$J$18,"Missing game",0)</x:f>
        <x:v>48</x:v>
      </x:c>
      <x:c r="AP388" t="n">
        <x:f>_xlfn.XLOOKUP($A388,Games!$A$2:$A$18,Games!$K$2:$K$18,"Missing game",0)</x:f>
        <x:v>38</x:v>
      </x:c>
      <x:c r="AQ388" t="n">
        <x:f>_xlfn.XLOOKUP($A388,Games!$A$2:$A$18,Games!$L$2:$L$18,"Missing game",0)</x:f>
        <x:v>58</x:v>
      </x:c>
      <x:c r="AR388" t="n">
        <x:f>_xlfn.XLOOKUP($A388,Games!$A$2:$A$18,Games!$M$2:$M$18,"Missing game",0)</x:f>
        <x:v>0</x:v>
      </x:c>
      <x:c r="AS388" t="str">
        <x:f>_xlfn.XLOOKUP($A388,Games!$A$2:$A$18,Games!$N$2:$N$18,"Missing game",0)</x:f>
        <x:v>dome</x:v>
      </x:c>
      <x:c r="AT388" t="str">
        <x:f>_xlfn.XLOOKUP($A388,Games!$A$2:$A$18,Games!$O$2:$O$18,"Missing game",0)</x:f>
        <x:v>sportturf</x:v>
      </x:c>
      <x:c r="AU388" t="str">
        <x:f>_xlfn.XLOOKUP($A388,Games!$A$2:$A$18,Games!$P$2:$P$18,"Missing game",0)</x:f>
      </x:c>
      <x:c r="AV388" t="str">
        <x:f>_xlfn.XLOOKUP($A388,Games!$A$2:$A$18,Games!$Q$2:$Q$18,"Missing game",0)</x:f>
      </x:c>
      <x:c r="AW388" t="str">
        <x:f>_xlfn.XLOOKUP($A388,Games!$A$2:$A$18,Games!$R$2:$R$18,"Missing game",0)</x:f>
        <x:v>U.S. Bank Stadium</x:v>
      </x:c>
    </x:row>
    <x:row r="389">
      <x:c r="A389" t="str">
        <x:v>2025_03_CIN_MIN</x:v>
      </x:c>
      <x:c r="B389" t="n">
        <x:v>1379</x:v>
      </x:c>
      <x:c r="C389" t="n">
        <x:v>2</x:v>
      </x:c>
      <x:c r="D389" t="str">
        <x:v>09:23</x:v>
      </x:c>
      <x:c r="E389" t="n">
        <x:v>4</x:v>
      </x:c>
      <x:c r="F389" t="n">
        <x:v>6</x:v>
      </x:c>
      <x:c r="G389" t="str">
        <x:v>MIN</x:v>
      </x:c>
      <x:c r="H389" t="str">
        <x:v>CIN</x:v>
      </x:c>
      <x:c r="I389" t="str">
        <x:v>CIN</x:v>
      </x:c>
      <x:c r="J389" t="n">
        <x:v>17</x:v>
      </x:c>
      <x:c r="K389" t="str">
        <x:v>(9:23) 16-W.Reichard 35 yard field goal is GOOD, Center-42-A.DePaola, Holder-17-R.Wright.</x:v>
      </x:c>
      <x:c r="L389" t="str">
        <x:v>field_goal</x:v>
      </x:c>
      <x:c r="M389" t="n">
        <x:v>0</x:v>
      </x:c>
      <x:c r="N389" t="n">
        <x:v>0</x:v>
      </x:c>
      <x:c r="O389" t="n">
        <x:v>0</x:v>
      </x:c>
      <x:c r="P389"/>
      <x:c r="Q389"/>
      <x:c r="R389"/>
      <x:c r="S389"/>
      <x:c r="T389"/>
      <x:c r="U389"/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/>
      <x:c r="AC389" t="n">
        <x:v>0</x:v>
      </x:c>
      <x:c r="AD389" t="n">
        <x:v>0.32264253929092623</x:v>
      </x:c>
      <x:c r="AE389" t="n">
        <x:v>1</x:v>
      </x:c>
      <x:c r="AF389" t="n">
        <x:v>-0.003987543284893036</x:v>
      </x:c>
      <x:c r="AG389" t="n">
        <x:f>_xlfn.XLOOKUP($A389,Games!$A$2:$A$18,Games!$B$2:$B$18,"Missing game",0)</x:f>
        <x:v>2025</x:v>
      </x:c>
      <x:c r="AH389" t="str">
        <x:f>_xlfn.XLOOKUP($A389,Games!$A$2:$A$18,Games!$C$2:$C$18,"Missing game",0)</x:f>
        <x:v>REG</x:v>
      </x:c>
      <x:c r="AI389" t="n">
        <x:f>_xlfn.XLOOKUP($A389,Games!$A$2:$A$18,Games!$D$2:$D$18,"Missing game",0)</x:f>
        <x:v>3</x:v>
      </x:c>
      <x:c r="AJ389" s="1" t="n">
        <x:f>_xlfn.XLOOKUP($A389,Games!$A$2:$A$18,Games!$E$2:$E$18,"Missing game",0)</x:f>
        <x:v>45921</x:v>
      </x:c>
      <x:c r="AK389" t="str">
        <x:f>_xlfn.XLOOKUP($A389,Games!$A$2:$A$18,Games!$F$2:$F$18,"Missing game",0)</x:f>
        <x:v>Sunday</x:v>
      </x:c>
      <x:c r="AL389" t="str">
        <x:f>_xlfn.XLOOKUP($A389,Games!$A$2:$A$18,Games!$G$2:$G$18,"Missing game",0)</x:f>
        <x:v>CIN</x:v>
      </x:c>
      <x:c r="AM389" t="n">
        <x:f>_xlfn.XLOOKUP($A389,Games!$A$2:$A$18,Games!$H$2:$H$18,"Missing game",0)</x:f>
        <x:v>10</x:v>
      </x:c>
      <x:c r="AN389" t="str">
        <x:f>_xlfn.XLOOKUP($A389,Games!$A$2:$A$18,Games!$I$2:$I$18,"Missing game",0)</x:f>
        <x:v>MIN</x:v>
      </x:c>
      <x:c r="AO389" t="n">
        <x:f>_xlfn.XLOOKUP($A389,Games!$A$2:$A$18,Games!$J$2:$J$18,"Missing game",0)</x:f>
        <x:v>48</x:v>
      </x:c>
      <x:c r="AP389" t="n">
        <x:f>_xlfn.XLOOKUP($A389,Games!$A$2:$A$18,Games!$K$2:$K$18,"Missing game",0)</x:f>
        <x:v>38</x:v>
      </x:c>
      <x:c r="AQ389" t="n">
        <x:f>_xlfn.XLOOKUP($A389,Games!$A$2:$A$18,Games!$L$2:$L$18,"Missing game",0)</x:f>
        <x:v>58</x:v>
      </x:c>
      <x:c r="AR389" t="n">
        <x:f>_xlfn.XLOOKUP($A389,Games!$A$2:$A$18,Games!$M$2:$M$18,"Missing game",0)</x:f>
        <x:v>0</x:v>
      </x:c>
      <x:c r="AS389" t="str">
        <x:f>_xlfn.XLOOKUP($A389,Games!$A$2:$A$18,Games!$N$2:$N$18,"Missing game",0)</x:f>
        <x:v>dome</x:v>
      </x:c>
      <x:c r="AT389" t="str">
        <x:f>_xlfn.XLOOKUP($A389,Games!$A$2:$A$18,Games!$O$2:$O$18,"Missing game",0)</x:f>
        <x:v>sportturf</x:v>
      </x:c>
      <x:c r="AU389" t="str">
        <x:f>_xlfn.XLOOKUP($A389,Games!$A$2:$A$18,Games!$P$2:$P$18,"Missing game",0)</x:f>
      </x:c>
      <x:c r="AV389" t="str">
        <x:f>_xlfn.XLOOKUP($A389,Games!$A$2:$A$18,Games!$Q$2:$Q$18,"Missing game",0)</x:f>
      </x:c>
      <x:c r="AW389" t="str">
        <x:f>_xlfn.XLOOKUP($A389,Games!$A$2:$A$18,Games!$R$2:$R$18,"Missing game",0)</x:f>
        <x:v>U.S. Bank Stadium</x:v>
      </x:c>
    </x:row>
    <x:row r="390">
      <x:c r="A390" t="str">
        <x:v>2025_03_CIN_MIN</x:v>
      </x:c>
      <x:c r="B390" t="n">
        <x:v>1399</x:v>
      </x:c>
      <x:c r="C390" t="n">
        <x:v>2</x:v>
      </x:c>
      <x:c r="D390" t="str">
        <x:v>09:20</x:v>
      </x:c>
      <x:c r="E390"/>
      <x:c r="F390" t="n">
        <x:v>0</x:v>
      </x:c>
      <x:c r="G390" t="str">
        <x:v>CIN</x:v>
      </x:c>
      <x:c r="H390" t="str">
        <x:v>MIN</x:v>
      </x:c>
      <x:c r="I390" t="str">
        <x:v>MIN</x:v>
      </x:c>
      <x:c r="J390" t="n">
        <x:v>35</x:v>
      </x:c>
      <x:c r="K390" t="str">
        <x:v>16-W.Reichard kicks 64 yards from MIN 35 to CIN 1. 34-S.Perine to CIN 25 for 24 yards (0-I.Pace; 37-T.Thomas).</x:v>
      </x:c>
      <x:c r="L390" t="str">
        <x:v>kickoff</x:v>
      </x:c>
      <x:c r="M390" t="n">
        <x:v>0</x:v>
      </x:c>
      <x:c r="N390" t="n">
        <x:v>0</x:v>
      </x:c>
      <x:c r="O390" t="n">
        <x:v>0</x:v>
      </x:c>
      <x:c r="P390"/>
      <x:c r="Q390"/>
      <x:c r="R390"/>
      <x:c r="S390"/>
      <x:c r="T390"/>
      <x:c r="U390"/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/>
      <x:c r="AC390" t="n">
        <x:v>0</x:v>
      </x:c>
      <x:c r="AD390" t="n">
        <x:v>0.0003320598043501377</x:v>
      </x:c>
      <x:c r="AE390" t="n">
        <x:v>1</x:v>
      </x:c>
      <x:c r="AF390" t="n">
        <x:v>0</x:v>
      </x:c>
      <x:c r="AG390" t="n">
        <x:f>_xlfn.XLOOKUP($A390,Games!$A$2:$A$18,Games!$B$2:$B$18,"Missing game",0)</x:f>
        <x:v>2025</x:v>
      </x:c>
      <x:c r="AH390" t="str">
        <x:f>_xlfn.XLOOKUP($A390,Games!$A$2:$A$18,Games!$C$2:$C$18,"Missing game",0)</x:f>
        <x:v>REG</x:v>
      </x:c>
      <x:c r="AI390" t="n">
        <x:f>_xlfn.XLOOKUP($A390,Games!$A$2:$A$18,Games!$D$2:$D$18,"Missing game",0)</x:f>
        <x:v>3</x:v>
      </x:c>
      <x:c r="AJ390" s="1" t="n">
        <x:f>_xlfn.XLOOKUP($A390,Games!$A$2:$A$18,Games!$E$2:$E$18,"Missing game",0)</x:f>
        <x:v>45921</x:v>
      </x:c>
      <x:c r="AK390" t="str">
        <x:f>_xlfn.XLOOKUP($A390,Games!$A$2:$A$18,Games!$F$2:$F$18,"Missing game",0)</x:f>
        <x:v>Sunday</x:v>
      </x:c>
      <x:c r="AL390" t="str">
        <x:f>_xlfn.XLOOKUP($A390,Games!$A$2:$A$18,Games!$G$2:$G$18,"Missing game",0)</x:f>
        <x:v>CIN</x:v>
      </x:c>
      <x:c r="AM390" t="n">
        <x:f>_xlfn.XLOOKUP($A390,Games!$A$2:$A$18,Games!$H$2:$H$18,"Missing game",0)</x:f>
        <x:v>10</x:v>
      </x:c>
      <x:c r="AN390" t="str">
        <x:f>_xlfn.XLOOKUP($A390,Games!$A$2:$A$18,Games!$I$2:$I$18,"Missing game",0)</x:f>
        <x:v>MIN</x:v>
      </x:c>
      <x:c r="AO390" t="n">
        <x:f>_xlfn.XLOOKUP($A390,Games!$A$2:$A$18,Games!$J$2:$J$18,"Missing game",0)</x:f>
        <x:v>48</x:v>
      </x:c>
      <x:c r="AP390" t="n">
        <x:f>_xlfn.XLOOKUP($A390,Games!$A$2:$A$18,Games!$K$2:$K$18,"Missing game",0)</x:f>
        <x:v>38</x:v>
      </x:c>
      <x:c r="AQ390" t="n">
        <x:f>_xlfn.XLOOKUP($A390,Games!$A$2:$A$18,Games!$L$2:$L$18,"Missing game",0)</x:f>
        <x:v>58</x:v>
      </x:c>
      <x:c r="AR390" t="n">
        <x:f>_xlfn.XLOOKUP($A390,Games!$A$2:$A$18,Games!$M$2:$M$18,"Missing game",0)</x:f>
        <x:v>0</x:v>
      </x:c>
      <x:c r="AS390" t="str">
        <x:f>_xlfn.XLOOKUP($A390,Games!$A$2:$A$18,Games!$N$2:$N$18,"Missing game",0)</x:f>
        <x:v>dome</x:v>
      </x:c>
      <x:c r="AT390" t="str">
        <x:f>_xlfn.XLOOKUP($A390,Games!$A$2:$A$18,Games!$O$2:$O$18,"Missing game",0)</x:f>
        <x:v>sportturf</x:v>
      </x:c>
      <x:c r="AU390" t="str">
        <x:f>_xlfn.XLOOKUP($A390,Games!$A$2:$A$18,Games!$P$2:$P$18,"Missing game",0)</x:f>
      </x:c>
      <x:c r="AV390" t="str">
        <x:f>_xlfn.XLOOKUP($A390,Games!$A$2:$A$18,Games!$Q$2:$Q$18,"Missing game",0)</x:f>
      </x:c>
      <x:c r="AW390" t="str">
        <x:f>_xlfn.XLOOKUP($A390,Games!$A$2:$A$18,Games!$R$2:$R$18,"Missing game",0)</x:f>
        <x:v>U.S. Bank Stadium</x:v>
      </x:c>
    </x:row>
    <x:row r="391">
      <x:c r="A391" t="str">
        <x:v>2025_03_CIN_MIN</x:v>
      </x:c>
      <x:c r="B391" t="n">
        <x:v>1429</x:v>
      </x:c>
      <x:c r="C391" t="n">
        <x:v>2</x:v>
      </x:c>
      <x:c r="D391" t="str">
        <x:v>09:15</x:v>
      </x:c>
      <x:c r="E391" t="n">
        <x:v>1</x:v>
      </x:c>
      <x:c r="F391" t="n">
        <x:v>10</x:v>
      </x:c>
      <x:c r="G391" t="str">
        <x:v>CIN</x:v>
      </x:c>
      <x:c r="H391" t="str">
        <x:v>MIN</x:v>
      </x:c>
      <x:c r="I391" t="str">
        <x:v>CIN</x:v>
      </x:c>
      <x:c r="J391" t="n">
        <x:v>75</x:v>
      </x:c>
      <x:c r="K391" t="str">
        <x:v>(9:15) (Shotgun) 6-J.Browning pass short right to 86-N.Fant to CIN 27 for 2 yards (2-I.Rodgers).</x:v>
      </x:c>
      <x:c r="L391" t="str">
        <x:v>pass</x:v>
      </x:c>
      <x:c r="M391" t="n">
        <x:v>2</x:v>
      </x:c>
      <x:c r="N391" t="n">
        <x:v>1</x:v>
      </x:c>
      <x:c r="O391" t="n">
        <x:v>0</x:v>
      </x:c>
      <x:c r="P391" t="str">
        <x:v>short</x:v>
      </x:c>
      <x:c r="Q391" t="str">
        <x:v>right</x:v>
      </x:c>
      <x:c r="R391" t="n">
        <x:v>-3</x:v>
      </x:c>
      <x:c r="S391" t="n">
        <x:v>5</x:v>
      </x:c>
      <x:c r="T391"/>
      <x:c r="U391"/>
      <x:c r="V391" t="n">
        <x:v>1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/>
      <x:c r="AC391" t="n">
        <x:v>0</x:v>
      </x:c>
      <x:c r="AD391" t="n">
        <x:v>-0.5231772353872657</x:v>
      </x:c>
      <x:c r="AE391" t="n">
        <x:v>0</x:v>
      </x:c>
      <x:c r="AF391" t="n">
        <x:v>-0.006435580551624298</x:v>
      </x:c>
      <x:c r="AG391" t="n">
        <x:f>_xlfn.XLOOKUP($A391,Games!$A$2:$A$18,Games!$B$2:$B$18,"Missing game",0)</x:f>
        <x:v>2025</x:v>
      </x:c>
      <x:c r="AH391" t="str">
        <x:f>_xlfn.XLOOKUP($A391,Games!$A$2:$A$18,Games!$C$2:$C$18,"Missing game",0)</x:f>
        <x:v>REG</x:v>
      </x:c>
      <x:c r="AI391" t="n">
        <x:f>_xlfn.XLOOKUP($A391,Games!$A$2:$A$18,Games!$D$2:$D$18,"Missing game",0)</x:f>
        <x:v>3</x:v>
      </x:c>
      <x:c r="AJ391" s="1" t="n">
        <x:f>_xlfn.XLOOKUP($A391,Games!$A$2:$A$18,Games!$E$2:$E$18,"Missing game",0)</x:f>
        <x:v>45921</x:v>
      </x:c>
      <x:c r="AK391" t="str">
        <x:f>_xlfn.XLOOKUP($A391,Games!$A$2:$A$18,Games!$F$2:$F$18,"Missing game",0)</x:f>
        <x:v>Sunday</x:v>
      </x:c>
      <x:c r="AL391" t="str">
        <x:f>_xlfn.XLOOKUP($A391,Games!$A$2:$A$18,Games!$G$2:$G$18,"Missing game",0)</x:f>
        <x:v>CIN</x:v>
      </x:c>
      <x:c r="AM391" t="n">
        <x:f>_xlfn.XLOOKUP($A391,Games!$A$2:$A$18,Games!$H$2:$H$18,"Missing game",0)</x:f>
        <x:v>10</x:v>
      </x:c>
      <x:c r="AN391" t="str">
        <x:f>_xlfn.XLOOKUP($A391,Games!$A$2:$A$18,Games!$I$2:$I$18,"Missing game",0)</x:f>
        <x:v>MIN</x:v>
      </x:c>
      <x:c r="AO391" t="n">
        <x:f>_xlfn.XLOOKUP($A391,Games!$A$2:$A$18,Games!$J$2:$J$18,"Missing game",0)</x:f>
        <x:v>48</x:v>
      </x:c>
      <x:c r="AP391" t="n">
        <x:f>_xlfn.XLOOKUP($A391,Games!$A$2:$A$18,Games!$K$2:$K$18,"Missing game",0)</x:f>
        <x:v>38</x:v>
      </x:c>
      <x:c r="AQ391" t="n">
        <x:f>_xlfn.XLOOKUP($A391,Games!$A$2:$A$18,Games!$L$2:$L$18,"Missing game",0)</x:f>
        <x:v>58</x:v>
      </x:c>
      <x:c r="AR391" t="n">
        <x:f>_xlfn.XLOOKUP($A391,Games!$A$2:$A$18,Games!$M$2:$M$18,"Missing game",0)</x:f>
        <x:v>0</x:v>
      </x:c>
      <x:c r="AS391" t="str">
        <x:f>_xlfn.XLOOKUP($A391,Games!$A$2:$A$18,Games!$N$2:$N$18,"Missing game",0)</x:f>
        <x:v>dome</x:v>
      </x:c>
      <x:c r="AT391" t="str">
        <x:f>_xlfn.XLOOKUP($A391,Games!$A$2:$A$18,Games!$O$2:$O$18,"Missing game",0)</x:f>
        <x:v>sportturf</x:v>
      </x:c>
      <x:c r="AU391" t="str">
        <x:f>_xlfn.XLOOKUP($A391,Games!$A$2:$A$18,Games!$P$2:$P$18,"Missing game",0)</x:f>
      </x:c>
      <x:c r="AV391" t="str">
        <x:f>_xlfn.XLOOKUP($A391,Games!$A$2:$A$18,Games!$Q$2:$Q$18,"Missing game",0)</x:f>
      </x:c>
      <x:c r="AW391" t="str">
        <x:f>_xlfn.XLOOKUP($A391,Games!$A$2:$A$18,Games!$R$2:$R$18,"Missing game",0)</x:f>
        <x:v>U.S. Bank Stadium</x:v>
      </x:c>
    </x:row>
    <x:row r="392">
      <x:c r="A392" t="str">
        <x:v>2025_03_CIN_MIN</x:v>
      </x:c>
      <x:c r="B392" t="n">
        <x:v>1458</x:v>
      </x:c>
      <x:c r="C392" t="n">
        <x:v>2</x:v>
      </x:c>
      <x:c r="D392" t="str">
        <x:v>08:35</x:v>
      </x:c>
      <x:c r="E392" t="n">
        <x:v>2</x:v>
      </x:c>
      <x:c r="F392" t="n">
        <x:v>8</x:v>
      </x:c>
      <x:c r="G392" t="str">
        <x:v>CIN</x:v>
      </x:c>
      <x:c r="H392" t="str">
        <x:v>MIN</x:v>
      </x:c>
      <x:c r="I392" t="str">
        <x:v>CIN</x:v>
      </x:c>
      <x:c r="J392" t="n">
        <x:v>73</x:v>
      </x:c>
      <x:c r="K392" t="str">
        <x:v>(8:35) (Shotgun) 30-C.Brown up the middle to CIN 30 for 3 yards (50-L.Rodriguez; 0-I.Pace).</x:v>
      </x:c>
      <x:c r="L392" t="str">
        <x:v>run</x:v>
      </x:c>
      <x:c r="M392" t="n">
        <x:v>3</x:v>
      </x:c>
      <x:c r="N392" t="n">
        <x:v>1</x:v>
      </x:c>
      <x:c r="O392" t="n">
        <x:v>0</x:v>
      </x:c>
      <x:c r="P392"/>
      <x:c r="Q392"/>
      <x:c r="R392"/>
      <x:c r="S392"/>
      <x:c r="T392" t="str">
        <x:v>middle</x:v>
      </x:c>
      <x:c r="U392"/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/>
      <x:c r="AC392" t="n">
        <x:v>0</x:v>
      </x:c>
      <x:c r="AD392" t="n">
        <x:v>-0.1884387880563736</x:v>
      </x:c>
      <x:c r="AE392" t="n">
        <x:v>0</x:v>
      </x:c>
      <x:c r="AF392" t="n">
        <x:v>-0.006698191165924072</x:v>
      </x:c>
      <x:c r="AG392" t="n">
        <x:f>_xlfn.XLOOKUP($A392,Games!$A$2:$A$18,Games!$B$2:$B$18,"Missing game",0)</x:f>
        <x:v>2025</x:v>
      </x:c>
      <x:c r="AH392" t="str">
        <x:f>_xlfn.XLOOKUP($A392,Games!$A$2:$A$18,Games!$C$2:$C$18,"Missing game",0)</x:f>
        <x:v>REG</x:v>
      </x:c>
      <x:c r="AI392" t="n">
        <x:f>_xlfn.XLOOKUP($A392,Games!$A$2:$A$18,Games!$D$2:$D$18,"Missing game",0)</x:f>
        <x:v>3</x:v>
      </x:c>
      <x:c r="AJ392" s="1" t="n">
        <x:f>_xlfn.XLOOKUP($A392,Games!$A$2:$A$18,Games!$E$2:$E$18,"Missing game",0)</x:f>
        <x:v>45921</x:v>
      </x:c>
      <x:c r="AK392" t="str">
        <x:f>_xlfn.XLOOKUP($A392,Games!$A$2:$A$18,Games!$F$2:$F$18,"Missing game",0)</x:f>
        <x:v>Sunday</x:v>
      </x:c>
      <x:c r="AL392" t="str">
        <x:f>_xlfn.XLOOKUP($A392,Games!$A$2:$A$18,Games!$G$2:$G$18,"Missing game",0)</x:f>
        <x:v>CIN</x:v>
      </x:c>
      <x:c r="AM392" t="n">
        <x:f>_xlfn.XLOOKUP($A392,Games!$A$2:$A$18,Games!$H$2:$H$18,"Missing game",0)</x:f>
        <x:v>10</x:v>
      </x:c>
      <x:c r="AN392" t="str">
        <x:f>_xlfn.XLOOKUP($A392,Games!$A$2:$A$18,Games!$I$2:$I$18,"Missing game",0)</x:f>
        <x:v>MIN</x:v>
      </x:c>
      <x:c r="AO392" t="n">
        <x:f>_xlfn.XLOOKUP($A392,Games!$A$2:$A$18,Games!$J$2:$J$18,"Missing game",0)</x:f>
        <x:v>48</x:v>
      </x:c>
      <x:c r="AP392" t="n">
        <x:f>_xlfn.XLOOKUP($A392,Games!$A$2:$A$18,Games!$K$2:$K$18,"Missing game",0)</x:f>
        <x:v>38</x:v>
      </x:c>
      <x:c r="AQ392" t="n">
        <x:f>_xlfn.XLOOKUP($A392,Games!$A$2:$A$18,Games!$L$2:$L$18,"Missing game",0)</x:f>
        <x:v>58</x:v>
      </x:c>
      <x:c r="AR392" t="n">
        <x:f>_xlfn.XLOOKUP($A392,Games!$A$2:$A$18,Games!$M$2:$M$18,"Missing game",0)</x:f>
        <x:v>0</x:v>
      </x:c>
      <x:c r="AS392" t="str">
        <x:f>_xlfn.XLOOKUP($A392,Games!$A$2:$A$18,Games!$N$2:$N$18,"Missing game",0)</x:f>
        <x:v>dome</x:v>
      </x:c>
      <x:c r="AT392" t="str">
        <x:f>_xlfn.XLOOKUP($A392,Games!$A$2:$A$18,Games!$O$2:$O$18,"Missing game",0)</x:f>
        <x:v>sportturf</x:v>
      </x:c>
      <x:c r="AU392" t="str">
        <x:f>_xlfn.XLOOKUP($A392,Games!$A$2:$A$18,Games!$P$2:$P$18,"Missing game",0)</x:f>
      </x:c>
      <x:c r="AV392" t="str">
        <x:f>_xlfn.XLOOKUP($A392,Games!$A$2:$A$18,Games!$Q$2:$Q$18,"Missing game",0)</x:f>
      </x:c>
      <x:c r="AW392" t="str">
        <x:f>_xlfn.XLOOKUP($A392,Games!$A$2:$A$18,Games!$R$2:$R$18,"Missing game",0)</x:f>
        <x:v>U.S. Bank Stadium</x:v>
      </x:c>
    </x:row>
    <x:row r="393">
      <x:c r="A393" t="str">
        <x:v>2025_03_CIN_MIN</x:v>
      </x:c>
      <x:c r="B393" t="n">
        <x:v>1484</x:v>
      </x:c>
      <x:c r="C393" t="n">
        <x:v>2</x:v>
      </x:c>
      <x:c r="D393" t="str">
        <x:v>07:55</x:v>
      </x:c>
      <x:c r="E393" t="n">
        <x:v>3</x:v>
      </x:c>
      <x:c r="F393" t="n">
        <x:v>5</x:v>
      </x:c>
      <x:c r="G393" t="str">
        <x:v>CIN</x:v>
      </x:c>
      <x:c r="H393" t="str">
        <x:v>MIN</x:v>
      </x:c>
      <x:c r="I393" t="str">
        <x:v>CIN</x:v>
      </x:c>
      <x:c r="J393" t="n">
        <x:v>70</x:v>
      </x:c>
      <x:c r="K393" t="str">
        <x:v>(7:55) (Shotgun) 6-J.Browning pass short middle to 5-T.Higgins to CIN 45 for 15 yards (8-J.Okudah). PENALTY on MIN-8-J.Okudah, Unnecessary Roughness, 15 yards, enforced at CIN 45.</x:v>
      </x:c>
      <x:c r="L393" t="str">
        <x:v>pass</x:v>
      </x:c>
      <x:c r="M393" t="n">
        <x:v>15</x:v>
      </x:c>
      <x:c r="N393" t="n">
        <x:v>1</x:v>
      </x:c>
      <x:c r="O393" t="n">
        <x:v>0</x:v>
      </x:c>
      <x:c r="P393" t="str">
        <x:v>short</x:v>
      </x:c>
      <x:c r="Q393" t="str">
        <x:v>middle</x:v>
      </x:c>
      <x:c r="R393" t="n">
        <x:v>12</x:v>
      </x:c>
      <x:c r="S393" t="n">
        <x:v>3</x:v>
      </x:c>
      <x:c r="T393"/>
      <x:c r="U393"/>
      <x:c r="V393" t="n">
        <x:v>1</x:v>
      </x:c>
      <x:c r="W393" t="n">
        <x:v>1</x:v>
      </x:c>
      <x:c r="X393" t="n">
        <x:v>0</x:v>
      </x:c>
      <x:c r="Y393" t="n">
        <x:v>0</x:v>
      </x:c>
      <x:c r="Z393" t="n">
        <x:v>0</x:v>
      </x:c>
      <x:c r="AA393" t="n">
        <x:v>1</x:v>
      </x:c>
      <x:c r="AB393" t="n">
        <x:v>15</x:v>
      </x:c>
      <x:c r="AC393" t="n">
        <x:v>0</x:v>
      </x:c>
      <x:c r="AD393" t="n">
        <x:v>2.810115628875792</x:v>
      </x:c>
      <x:c r="AE393" t="n">
        <x:v>1</x:v>
      </x:c>
      <x:c r="AF393" t="n">
        <x:v>0.03223058581352234</x:v>
      </x:c>
      <x:c r="AG393" t="n">
        <x:f>_xlfn.XLOOKUP($A393,Games!$A$2:$A$18,Games!$B$2:$B$18,"Missing game",0)</x:f>
        <x:v>2025</x:v>
      </x:c>
      <x:c r="AH393" t="str">
        <x:f>_xlfn.XLOOKUP($A393,Games!$A$2:$A$18,Games!$C$2:$C$18,"Missing game",0)</x:f>
        <x:v>REG</x:v>
      </x:c>
      <x:c r="AI393" t="n">
        <x:f>_xlfn.XLOOKUP($A393,Games!$A$2:$A$18,Games!$D$2:$D$18,"Missing game",0)</x:f>
        <x:v>3</x:v>
      </x:c>
      <x:c r="AJ393" s="1" t="n">
        <x:f>_xlfn.XLOOKUP($A393,Games!$A$2:$A$18,Games!$E$2:$E$18,"Missing game",0)</x:f>
        <x:v>45921</x:v>
      </x:c>
      <x:c r="AK393" t="str">
        <x:f>_xlfn.XLOOKUP($A393,Games!$A$2:$A$18,Games!$F$2:$F$18,"Missing game",0)</x:f>
        <x:v>Sunday</x:v>
      </x:c>
      <x:c r="AL393" t="str">
        <x:f>_xlfn.XLOOKUP($A393,Games!$A$2:$A$18,Games!$G$2:$G$18,"Missing game",0)</x:f>
        <x:v>CIN</x:v>
      </x:c>
      <x:c r="AM393" t="n">
        <x:f>_xlfn.XLOOKUP($A393,Games!$A$2:$A$18,Games!$H$2:$H$18,"Missing game",0)</x:f>
        <x:v>10</x:v>
      </x:c>
      <x:c r="AN393" t="str">
        <x:f>_xlfn.XLOOKUP($A393,Games!$A$2:$A$18,Games!$I$2:$I$18,"Missing game",0)</x:f>
        <x:v>MIN</x:v>
      </x:c>
      <x:c r="AO393" t="n">
        <x:f>_xlfn.XLOOKUP($A393,Games!$A$2:$A$18,Games!$J$2:$J$18,"Missing game",0)</x:f>
        <x:v>48</x:v>
      </x:c>
      <x:c r="AP393" t="n">
        <x:f>_xlfn.XLOOKUP($A393,Games!$A$2:$A$18,Games!$K$2:$K$18,"Missing game",0)</x:f>
        <x:v>38</x:v>
      </x:c>
      <x:c r="AQ393" t="n">
        <x:f>_xlfn.XLOOKUP($A393,Games!$A$2:$A$18,Games!$L$2:$L$18,"Missing game",0)</x:f>
        <x:v>58</x:v>
      </x:c>
      <x:c r="AR393" t="n">
        <x:f>_xlfn.XLOOKUP($A393,Games!$A$2:$A$18,Games!$M$2:$M$18,"Missing game",0)</x:f>
        <x:v>0</x:v>
      </x:c>
      <x:c r="AS393" t="str">
        <x:f>_xlfn.XLOOKUP($A393,Games!$A$2:$A$18,Games!$N$2:$N$18,"Missing game",0)</x:f>
        <x:v>dome</x:v>
      </x:c>
      <x:c r="AT393" t="str">
        <x:f>_xlfn.XLOOKUP($A393,Games!$A$2:$A$18,Games!$O$2:$O$18,"Missing game",0)</x:f>
        <x:v>sportturf</x:v>
      </x:c>
      <x:c r="AU393" t="str">
        <x:f>_xlfn.XLOOKUP($A393,Games!$A$2:$A$18,Games!$P$2:$P$18,"Missing game",0)</x:f>
      </x:c>
      <x:c r="AV393" t="str">
        <x:f>_xlfn.XLOOKUP($A393,Games!$A$2:$A$18,Games!$Q$2:$Q$18,"Missing game",0)</x:f>
      </x:c>
      <x:c r="AW393" t="str">
        <x:f>_xlfn.XLOOKUP($A393,Games!$A$2:$A$18,Games!$R$2:$R$18,"Missing game",0)</x:f>
        <x:v>U.S. Bank Stadium</x:v>
      </x:c>
    </x:row>
    <x:row r="394">
      <x:c r="A394" t="str">
        <x:v>2025_03_CIN_MIN</x:v>
      </x:c>
      <x:c r="B394" t="n">
        <x:v>1521</x:v>
      </x:c>
      <x:c r="C394" t="n">
        <x:v>2</x:v>
      </x:c>
      <x:c r="D394" t="str">
        <x:v>07:31</x:v>
      </x:c>
      <x:c r="E394" t="n">
        <x:v>1</x:v>
      </x:c>
      <x:c r="F394" t="n">
        <x:v>10</x:v>
      </x:c>
      <x:c r="G394" t="str">
        <x:v>CIN</x:v>
      </x:c>
      <x:c r="H394" t="str">
        <x:v>MIN</x:v>
      </x:c>
      <x:c r="I394" t="str">
        <x:v>MIN</x:v>
      </x:c>
      <x:c r="J394" t="n">
        <x:v>40</x:v>
      </x:c>
      <x:c r="K394" t="str">
        <x:v>(7:31) (Shotgun) 6-J.Browning pass short middle to 1-J.Chase pushed ob at MIN 38 for 2 yards (7-B.Murphy).</x:v>
      </x:c>
      <x:c r="L394" t="str">
        <x:v>pass</x:v>
      </x:c>
      <x:c r="M394" t="n">
        <x:v>2</x:v>
      </x:c>
      <x:c r="N394" t="n">
        <x:v>1</x:v>
      </x:c>
      <x:c r="O394" t="n">
        <x:v>0</x:v>
      </x:c>
      <x:c r="P394" t="str">
        <x:v>short</x:v>
      </x:c>
      <x:c r="Q394" t="str">
        <x:v>middle</x:v>
      </x:c>
      <x:c r="R394" t="n">
        <x:v>-3</x:v>
      </x:c>
      <x:c r="S394" t="n">
        <x:v>5</x:v>
      </x:c>
      <x:c r="T394"/>
      <x:c r="U394"/>
      <x:c r="V394" t="n">
        <x:v>1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/>
      <x:c r="AC394" t="n">
        <x:v>0</x:v>
      </x:c>
      <x:c r="AD394" t="n">
        <x:v>-0.39119656186085194</x:v>
      </x:c>
      <x:c r="AE394" t="n">
        <x:v>0</x:v>
      </x:c>
      <x:c r="AF394" t="n">
        <x:v>-0.006207674741744995</x:v>
      </x:c>
      <x:c r="AG394" t="n">
        <x:f>_xlfn.XLOOKUP($A394,Games!$A$2:$A$18,Games!$B$2:$B$18,"Missing game",0)</x:f>
        <x:v>2025</x:v>
      </x:c>
      <x:c r="AH394" t="str">
        <x:f>_xlfn.XLOOKUP($A394,Games!$A$2:$A$18,Games!$C$2:$C$18,"Missing game",0)</x:f>
        <x:v>REG</x:v>
      </x:c>
      <x:c r="AI394" t="n">
        <x:f>_xlfn.XLOOKUP($A394,Games!$A$2:$A$18,Games!$D$2:$D$18,"Missing game",0)</x:f>
        <x:v>3</x:v>
      </x:c>
      <x:c r="AJ394" s="1" t="n">
        <x:f>_xlfn.XLOOKUP($A394,Games!$A$2:$A$18,Games!$E$2:$E$18,"Missing game",0)</x:f>
        <x:v>45921</x:v>
      </x:c>
      <x:c r="AK394" t="str">
        <x:f>_xlfn.XLOOKUP($A394,Games!$A$2:$A$18,Games!$F$2:$F$18,"Missing game",0)</x:f>
        <x:v>Sunday</x:v>
      </x:c>
      <x:c r="AL394" t="str">
        <x:f>_xlfn.XLOOKUP($A394,Games!$A$2:$A$18,Games!$G$2:$G$18,"Missing game",0)</x:f>
        <x:v>CIN</x:v>
      </x:c>
      <x:c r="AM394" t="n">
        <x:f>_xlfn.XLOOKUP($A394,Games!$A$2:$A$18,Games!$H$2:$H$18,"Missing game",0)</x:f>
        <x:v>10</x:v>
      </x:c>
      <x:c r="AN394" t="str">
        <x:f>_xlfn.XLOOKUP($A394,Games!$A$2:$A$18,Games!$I$2:$I$18,"Missing game",0)</x:f>
        <x:v>MIN</x:v>
      </x:c>
      <x:c r="AO394" t="n">
        <x:f>_xlfn.XLOOKUP($A394,Games!$A$2:$A$18,Games!$J$2:$J$18,"Missing game",0)</x:f>
        <x:v>48</x:v>
      </x:c>
      <x:c r="AP394" t="n">
        <x:f>_xlfn.XLOOKUP($A394,Games!$A$2:$A$18,Games!$K$2:$K$18,"Missing game",0)</x:f>
        <x:v>38</x:v>
      </x:c>
      <x:c r="AQ394" t="n">
        <x:f>_xlfn.XLOOKUP($A394,Games!$A$2:$A$18,Games!$L$2:$L$18,"Missing game",0)</x:f>
        <x:v>58</x:v>
      </x:c>
      <x:c r="AR394" t="n">
        <x:f>_xlfn.XLOOKUP($A394,Games!$A$2:$A$18,Games!$M$2:$M$18,"Missing game",0)</x:f>
        <x:v>0</x:v>
      </x:c>
      <x:c r="AS394" t="str">
        <x:f>_xlfn.XLOOKUP($A394,Games!$A$2:$A$18,Games!$N$2:$N$18,"Missing game",0)</x:f>
        <x:v>dome</x:v>
      </x:c>
      <x:c r="AT394" t="str">
        <x:f>_xlfn.XLOOKUP($A394,Games!$A$2:$A$18,Games!$O$2:$O$18,"Missing game",0)</x:f>
        <x:v>sportturf</x:v>
      </x:c>
      <x:c r="AU394" t="str">
        <x:f>_xlfn.XLOOKUP($A394,Games!$A$2:$A$18,Games!$P$2:$P$18,"Missing game",0)</x:f>
      </x:c>
      <x:c r="AV394" t="str">
        <x:f>_xlfn.XLOOKUP($A394,Games!$A$2:$A$18,Games!$Q$2:$Q$18,"Missing game",0)</x:f>
      </x:c>
      <x:c r="AW394" t="str">
        <x:f>_xlfn.XLOOKUP($A394,Games!$A$2:$A$18,Games!$R$2:$R$18,"Missing game",0)</x:f>
        <x:v>U.S. Bank Stadium</x:v>
      </x:c>
    </x:row>
    <x:row r="395">
      <x:c r="A395" t="str">
        <x:v>2025_03_CIN_MIN</x:v>
      </x:c>
      <x:c r="B395" t="n">
        <x:v>1551</x:v>
      </x:c>
      <x:c r="C395" t="n">
        <x:v>2</x:v>
      </x:c>
      <x:c r="D395" t="str">
        <x:v>06:52</x:v>
      </x:c>
      <x:c r="E395" t="n">
        <x:v>2</x:v>
      </x:c>
      <x:c r="F395" t="n">
        <x:v>8</x:v>
      </x:c>
      <x:c r="G395" t="str">
        <x:v>CIN</x:v>
      </x:c>
      <x:c r="H395" t="str">
        <x:v>MIN</x:v>
      </x:c>
      <x:c r="I395" t="str">
        <x:v>MIN</x:v>
      </x:c>
      <x:c r="J395" t="n">
        <x:v>38</x:v>
      </x:c>
      <x:c r="K395" t="str">
        <x:v>(6:52) (Shotgun) 6-J.Browning pass short left to 30-C.Brown to MIN 29 for 9 yards (7-B.Murphy; 44-J.Metellus).</x:v>
      </x:c>
      <x:c r="L395" t="str">
        <x:v>pass</x:v>
      </x:c>
      <x:c r="M395" t="n">
        <x:v>9</x:v>
      </x:c>
      <x:c r="N395" t="n">
        <x:v>1</x:v>
      </x:c>
      <x:c r="O395" t="n">
        <x:v>0</x:v>
      </x:c>
      <x:c r="P395" t="str">
        <x:v>short</x:v>
      </x:c>
      <x:c r="Q395" t="str">
        <x:v>left</x:v>
      </x:c>
      <x:c r="R395" t="n">
        <x:v>-3</x:v>
      </x:c>
      <x:c r="S395" t="n">
        <x:v>12</x:v>
      </x:c>
      <x:c r="T395"/>
      <x:c r="U395"/>
      <x:c r="V395" t="n">
        <x:v>1</x:v>
      </x:c>
      <x:c r="W395" t="n">
        <x:v>1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/>
      <x:c r="AC395" t="n">
        <x:v>0</x:v>
      </x:c>
      <x:c r="AD395" t="n">
        <x:v>1.0448821788304485</x:v>
      </x:c>
      <x:c r="AE395" t="n">
        <x:v>1</x:v>
      </x:c>
      <x:c r="AF395" t="n">
        <x:v>0.016982123255729675</x:v>
      </x:c>
      <x:c r="AG395" t="n">
        <x:f>_xlfn.XLOOKUP($A395,Games!$A$2:$A$18,Games!$B$2:$B$18,"Missing game",0)</x:f>
        <x:v>2025</x:v>
      </x:c>
      <x:c r="AH395" t="str">
        <x:f>_xlfn.XLOOKUP($A395,Games!$A$2:$A$18,Games!$C$2:$C$18,"Missing game",0)</x:f>
        <x:v>REG</x:v>
      </x:c>
      <x:c r="AI395" t="n">
        <x:f>_xlfn.XLOOKUP($A395,Games!$A$2:$A$18,Games!$D$2:$D$18,"Missing game",0)</x:f>
        <x:v>3</x:v>
      </x:c>
      <x:c r="AJ395" s="1" t="n">
        <x:f>_xlfn.XLOOKUP($A395,Games!$A$2:$A$18,Games!$E$2:$E$18,"Missing game",0)</x:f>
        <x:v>45921</x:v>
      </x:c>
      <x:c r="AK395" t="str">
        <x:f>_xlfn.XLOOKUP($A395,Games!$A$2:$A$18,Games!$F$2:$F$18,"Missing game",0)</x:f>
        <x:v>Sunday</x:v>
      </x:c>
      <x:c r="AL395" t="str">
        <x:f>_xlfn.XLOOKUP($A395,Games!$A$2:$A$18,Games!$G$2:$G$18,"Missing game",0)</x:f>
        <x:v>CIN</x:v>
      </x:c>
      <x:c r="AM395" t="n">
        <x:f>_xlfn.XLOOKUP($A395,Games!$A$2:$A$18,Games!$H$2:$H$18,"Missing game",0)</x:f>
        <x:v>10</x:v>
      </x:c>
      <x:c r="AN395" t="str">
        <x:f>_xlfn.XLOOKUP($A395,Games!$A$2:$A$18,Games!$I$2:$I$18,"Missing game",0)</x:f>
        <x:v>MIN</x:v>
      </x:c>
      <x:c r="AO395" t="n">
        <x:f>_xlfn.XLOOKUP($A395,Games!$A$2:$A$18,Games!$J$2:$J$18,"Missing game",0)</x:f>
        <x:v>48</x:v>
      </x:c>
      <x:c r="AP395" t="n">
        <x:f>_xlfn.XLOOKUP($A395,Games!$A$2:$A$18,Games!$K$2:$K$18,"Missing game",0)</x:f>
        <x:v>38</x:v>
      </x:c>
      <x:c r="AQ395" t="n">
        <x:f>_xlfn.XLOOKUP($A395,Games!$A$2:$A$18,Games!$L$2:$L$18,"Missing game",0)</x:f>
        <x:v>58</x:v>
      </x:c>
      <x:c r="AR395" t="n">
        <x:f>_xlfn.XLOOKUP($A395,Games!$A$2:$A$18,Games!$M$2:$M$18,"Missing game",0)</x:f>
        <x:v>0</x:v>
      </x:c>
      <x:c r="AS395" t="str">
        <x:f>_xlfn.XLOOKUP($A395,Games!$A$2:$A$18,Games!$N$2:$N$18,"Missing game",0)</x:f>
        <x:v>dome</x:v>
      </x:c>
      <x:c r="AT395" t="str">
        <x:f>_xlfn.XLOOKUP($A395,Games!$A$2:$A$18,Games!$O$2:$O$18,"Missing game",0)</x:f>
        <x:v>sportturf</x:v>
      </x:c>
      <x:c r="AU395" t="str">
        <x:f>_xlfn.XLOOKUP($A395,Games!$A$2:$A$18,Games!$P$2:$P$18,"Missing game",0)</x:f>
      </x:c>
      <x:c r="AV395" t="str">
        <x:f>_xlfn.XLOOKUP($A395,Games!$A$2:$A$18,Games!$Q$2:$Q$18,"Missing game",0)</x:f>
      </x:c>
      <x:c r="AW395" t="str">
        <x:f>_xlfn.XLOOKUP($A395,Games!$A$2:$A$18,Games!$R$2:$R$18,"Missing game",0)</x:f>
        <x:v>U.S. Bank Stadium</x:v>
      </x:c>
    </x:row>
    <x:row r="396">
      <x:c r="A396" t="str">
        <x:v>2025_03_CIN_MIN</x:v>
      </x:c>
      <x:c r="B396" t="n">
        <x:v>1576</x:v>
      </x:c>
      <x:c r="C396" t="n">
        <x:v>2</x:v>
      </x:c>
      <x:c r="D396" t="str">
        <x:v>06:15</x:v>
      </x:c>
      <x:c r="E396" t="n">
        <x:v>1</x:v>
      </x:c>
      <x:c r="F396" t="n">
        <x:v>10</x:v>
      </x:c>
      <x:c r="G396" t="str">
        <x:v>CIN</x:v>
      </x:c>
      <x:c r="H396" t="str">
        <x:v>MIN</x:v>
      </x:c>
      <x:c r="I396" t="str">
        <x:v>MIN</x:v>
      </x:c>
      <x:c r="J396" t="n">
        <x:v>29</x:v>
      </x:c>
      <x:c r="K396" t="str">
        <x:v>(6:15) 30-C.Brown right guard to MIN 29 for no gain (0-I.Pace, 55-E.Wilson).</x:v>
      </x:c>
      <x:c r="L396" t="str">
        <x:v>run</x:v>
      </x:c>
      <x:c r="M396" t="n">
        <x:v>0</x:v>
      </x:c>
      <x:c r="N396" t="n">
        <x:v>0</x:v>
      </x:c>
      <x:c r="O396" t="n">
        <x:v>0</x:v>
      </x:c>
      <x:c r="P396"/>
      <x:c r="Q396"/>
      <x:c r="R396"/>
      <x:c r="S396"/>
      <x:c r="T396" t="str">
        <x:v>right</x:v>
      </x:c>
      <x:c r="U396" t="str">
        <x:v>guard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/>
      <x:c r="AC396" t="n">
        <x:v>0</x:v>
      </x:c>
      <x:c r="AD396" t="n">
        <x:v>-0.41930562973720953</x:v>
      </x:c>
      <x:c r="AE396" t="n">
        <x:v>0</x:v>
      </x:c>
      <x:c r="AF396" t="n">
        <x:v>-0.006646454334259033</x:v>
      </x:c>
      <x:c r="AG396" t="n">
        <x:f>_xlfn.XLOOKUP($A396,Games!$A$2:$A$18,Games!$B$2:$B$18,"Missing game",0)</x:f>
        <x:v>2025</x:v>
      </x:c>
      <x:c r="AH396" t="str">
        <x:f>_xlfn.XLOOKUP($A396,Games!$A$2:$A$18,Games!$C$2:$C$18,"Missing game",0)</x:f>
        <x:v>REG</x:v>
      </x:c>
      <x:c r="AI396" t="n">
        <x:f>_xlfn.XLOOKUP($A396,Games!$A$2:$A$18,Games!$D$2:$D$18,"Missing game",0)</x:f>
        <x:v>3</x:v>
      </x:c>
      <x:c r="AJ396" s="1" t="n">
        <x:f>_xlfn.XLOOKUP($A396,Games!$A$2:$A$18,Games!$E$2:$E$18,"Missing game",0)</x:f>
        <x:v>45921</x:v>
      </x:c>
      <x:c r="AK396" t="str">
        <x:f>_xlfn.XLOOKUP($A396,Games!$A$2:$A$18,Games!$F$2:$F$18,"Missing game",0)</x:f>
        <x:v>Sunday</x:v>
      </x:c>
      <x:c r="AL396" t="str">
        <x:f>_xlfn.XLOOKUP($A396,Games!$A$2:$A$18,Games!$G$2:$G$18,"Missing game",0)</x:f>
        <x:v>CIN</x:v>
      </x:c>
      <x:c r="AM396" t="n">
        <x:f>_xlfn.XLOOKUP($A396,Games!$A$2:$A$18,Games!$H$2:$H$18,"Missing game",0)</x:f>
        <x:v>10</x:v>
      </x:c>
      <x:c r="AN396" t="str">
        <x:f>_xlfn.XLOOKUP($A396,Games!$A$2:$A$18,Games!$I$2:$I$18,"Missing game",0)</x:f>
        <x:v>MIN</x:v>
      </x:c>
      <x:c r="AO396" t="n">
        <x:f>_xlfn.XLOOKUP($A396,Games!$A$2:$A$18,Games!$J$2:$J$18,"Missing game",0)</x:f>
        <x:v>48</x:v>
      </x:c>
      <x:c r="AP396" t="n">
        <x:f>_xlfn.XLOOKUP($A396,Games!$A$2:$A$18,Games!$K$2:$K$18,"Missing game",0)</x:f>
        <x:v>38</x:v>
      </x:c>
      <x:c r="AQ396" t="n">
        <x:f>_xlfn.XLOOKUP($A396,Games!$A$2:$A$18,Games!$L$2:$L$18,"Missing game",0)</x:f>
        <x:v>58</x:v>
      </x:c>
      <x:c r="AR396" t="n">
        <x:f>_xlfn.XLOOKUP($A396,Games!$A$2:$A$18,Games!$M$2:$M$18,"Missing game",0)</x:f>
        <x:v>0</x:v>
      </x:c>
      <x:c r="AS396" t="str">
        <x:f>_xlfn.XLOOKUP($A396,Games!$A$2:$A$18,Games!$N$2:$N$18,"Missing game",0)</x:f>
        <x:v>dome</x:v>
      </x:c>
      <x:c r="AT396" t="str">
        <x:f>_xlfn.XLOOKUP($A396,Games!$A$2:$A$18,Games!$O$2:$O$18,"Missing game",0)</x:f>
        <x:v>sportturf</x:v>
      </x:c>
      <x:c r="AU396" t="str">
        <x:f>_xlfn.XLOOKUP($A396,Games!$A$2:$A$18,Games!$P$2:$P$18,"Missing game",0)</x:f>
      </x:c>
      <x:c r="AV396" t="str">
        <x:f>_xlfn.XLOOKUP($A396,Games!$A$2:$A$18,Games!$Q$2:$Q$18,"Missing game",0)</x:f>
      </x:c>
      <x:c r="AW396" t="str">
        <x:f>_xlfn.XLOOKUP($A396,Games!$A$2:$A$18,Games!$R$2:$R$18,"Missing game",0)</x:f>
        <x:v>U.S. Bank Stadium</x:v>
      </x:c>
    </x:row>
    <x:row r="397">
      <x:c r="A397" t="str">
        <x:v>2025_03_CIN_MIN</x:v>
      </x:c>
      <x:c r="B397" t="n">
        <x:v>1598</x:v>
      </x:c>
      <x:c r="C397" t="n">
        <x:v>2</x:v>
      </x:c>
      <x:c r="D397" t="str">
        <x:v>05:39</x:v>
      </x:c>
      <x:c r="E397" t="n">
        <x:v>2</x:v>
      </x:c>
      <x:c r="F397" t="n">
        <x:v>10</x:v>
      </x:c>
      <x:c r="G397" t="str">
        <x:v>CIN</x:v>
      </x:c>
      <x:c r="H397" t="str">
        <x:v>MIN</x:v>
      </x:c>
      <x:c r="I397" t="str">
        <x:v>MIN</x:v>
      </x:c>
      <x:c r="J397" t="n">
        <x:v>29</x:v>
      </x:c>
      <x:c r="K397" t="str">
        <x:v>(5:39) (Shotgun) 6-J.Browning pass short right to 30-C.Brown to MIN 27 for 2 yards (55-E.Wilson).</x:v>
      </x:c>
      <x:c r="L397" t="str">
        <x:v>pass</x:v>
      </x:c>
      <x:c r="M397" t="n">
        <x:v>2</x:v>
      </x:c>
      <x:c r="N397" t="n">
        <x:v>1</x:v>
      </x:c>
      <x:c r="O397" t="n">
        <x:v>0</x:v>
      </x:c>
      <x:c r="P397" t="str">
        <x:v>short</x:v>
      </x:c>
      <x:c r="Q397" t="str">
        <x:v>right</x:v>
      </x:c>
      <x:c r="R397" t="n">
        <x:v>1</x:v>
      </x:c>
      <x:c r="S397" t="n">
        <x:v>1</x:v>
      </x:c>
      <x:c r="T397"/>
      <x:c r="U397"/>
      <x:c r="V397" t="n">
        <x:v>1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/>
      <x:c r="AC397" t="n">
        <x:v>0</x:v>
      </x:c>
      <x:c r="AD397" t="n">
        <x:v>-0.7503814594238065</x:v>
      </x:c>
      <x:c r="AE397" t="n">
        <x:v>0</x:v>
      </x:c>
      <x:c r="AF397" t="n">
        <x:v>-0.02511782944202423</x:v>
      </x:c>
      <x:c r="AG397" t="n">
        <x:f>_xlfn.XLOOKUP($A397,Games!$A$2:$A$18,Games!$B$2:$B$18,"Missing game",0)</x:f>
        <x:v>2025</x:v>
      </x:c>
      <x:c r="AH397" t="str">
        <x:f>_xlfn.XLOOKUP($A397,Games!$A$2:$A$18,Games!$C$2:$C$18,"Missing game",0)</x:f>
        <x:v>REG</x:v>
      </x:c>
      <x:c r="AI397" t="n">
        <x:f>_xlfn.XLOOKUP($A397,Games!$A$2:$A$18,Games!$D$2:$D$18,"Missing game",0)</x:f>
        <x:v>3</x:v>
      </x:c>
      <x:c r="AJ397" s="1" t="n">
        <x:f>_xlfn.XLOOKUP($A397,Games!$A$2:$A$18,Games!$E$2:$E$18,"Missing game",0)</x:f>
        <x:v>45921</x:v>
      </x:c>
      <x:c r="AK397" t="str">
        <x:f>_xlfn.XLOOKUP($A397,Games!$A$2:$A$18,Games!$F$2:$F$18,"Missing game",0)</x:f>
        <x:v>Sunday</x:v>
      </x:c>
      <x:c r="AL397" t="str">
        <x:f>_xlfn.XLOOKUP($A397,Games!$A$2:$A$18,Games!$G$2:$G$18,"Missing game",0)</x:f>
        <x:v>CIN</x:v>
      </x:c>
      <x:c r="AM397" t="n">
        <x:f>_xlfn.XLOOKUP($A397,Games!$A$2:$A$18,Games!$H$2:$H$18,"Missing game",0)</x:f>
        <x:v>10</x:v>
      </x:c>
      <x:c r="AN397" t="str">
        <x:f>_xlfn.XLOOKUP($A397,Games!$A$2:$A$18,Games!$I$2:$I$18,"Missing game",0)</x:f>
        <x:v>MIN</x:v>
      </x:c>
      <x:c r="AO397" t="n">
        <x:f>_xlfn.XLOOKUP($A397,Games!$A$2:$A$18,Games!$J$2:$J$18,"Missing game",0)</x:f>
        <x:v>48</x:v>
      </x:c>
      <x:c r="AP397" t="n">
        <x:f>_xlfn.XLOOKUP($A397,Games!$A$2:$A$18,Games!$K$2:$K$18,"Missing game",0)</x:f>
        <x:v>38</x:v>
      </x:c>
      <x:c r="AQ397" t="n">
        <x:f>_xlfn.XLOOKUP($A397,Games!$A$2:$A$18,Games!$L$2:$L$18,"Missing game",0)</x:f>
        <x:v>58</x:v>
      </x:c>
      <x:c r="AR397" t="n">
        <x:f>_xlfn.XLOOKUP($A397,Games!$A$2:$A$18,Games!$M$2:$M$18,"Missing game",0)</x:f>
        <x:v>0</x:v>
      </x:c>
      <x:c r="AS397" t="str">
        <x:f>_xlfn.XLOOKUP($A397,Games!$A$2:$A$18,Games!$N$2:$N$18,"Missing game",0)</x:f>
        <x:v>dome</x:v>
      </x:c>
      <x:c r="AT397" t="str">
        <x:f>_xlfn.XLOOKUP($A397,Games!$A$2:$A$18,Games!$O$2:$O$18,"Missing game",0)</x:f>
        <x:v>sportturf</x:v>
      </x:c>
      <x:c r="AU397" t="str">
        <x:f>_xlfn.XLOOKUP($A397,Games!$A$2:$A$18,Games!$P$2:$P$18,"Missing game",0)</x:f>
      </x:c>
      <x:c r="AV397" t="str">
        <x:f>_xlfn.XLOOKUP($A397,Games!$A$2:$A$18,Games!$Q$2:$Q$18,"Missing game",0)</x:f>
      </x:c>
      <x:c r="AW397" t="str">
        <x:f>_xlfn.XLOOKUP($A397,Games!$A$2:$A$18,Games!$R$2:$R$18,"Missing game",0)</x:f>
        <x:v>U.S. Bank Stadium</x:v>
      </x:c>
    </x:row>
    <x:row r="398">
      <x:c r="A398" t="str">
        <x:v>2025_03_CIN_MIN</x:v>
      </x:c>
      <x:c r="B398" t="n">
        <x:v>1623</x:v>
      </x:c>
      <x:c r="C398" t="n">
        <x:v>2</x:v>
      </x:c>
      <x:c r="D398" t="str">
        <x:v>04:51</x:v>
      </x:c>
      <x:c r="E398" t="n">
        <x:v>3</x:v>
      </x:c>
      <x:c r="F398" t="n">
        <x:v>8</x:v>
      </x:c>
      <x:c r="G398" t="str">
        <x:v>CIN</x:v>
      </x:c>
      <x:c r="H398" t="str">
        <x:v>MIN</x:v>
      </x:c>
      <x:c r="I398" t="str">
        <x:v>MIN</x:v>
      </x:c>
      <x:c r="J398" t="n">
        <x:v>27</x:v>
      </x:c>
      <x:c r="K398" t="str">
        <x:v>(4:51) (Shotgun) 6-J.Browning pass incomplete deep left to 5-T.Higgins (2-I.Rodgers) [58-J.Greenard].</x:v>
      </x:c>
      <x:c r="L398" t="str">
        <x:v>pass</x:v>
      </x:c>
      <x:c r="M398" t="n">
        <x:v>0</x:v>
      </x:c>
      <x:c r="N398" t="n">
        <x:v>1</x:v>
      </x:c>
      <x:c r="O398" t="n">
        <x:v>0</x:v>
      </x:c>
      <x:c r="P398" t="str">
        <x:v>deep</x:v>
      </x:c>
      <x:c r="Q398" t="str">
        <x:v>left</x:v>
      </x:c>
      <x:c r="R398" t="n">
        <x:v>27</x:v>
      </x:c>
      <x:c r="S398"/>
      <x:c r="T398"/>
      <x:c r="U398"/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/>
      <x:c r="AC398" t="n">
        <x:v>0</x:v>
      </x:c>
      <x:c r="AD398" t="n">
        <x:v>-0.9270178545415322</x:v>
      </x:c>
      <x:c r="AE398" t="n">
        <x:v>0</x:v>
      </x:c>
      <x:c r="AF398" t="n">
        <x:v>-0.00785645842552185</x:v>
      </x:c>
      <x:c r="AG398" t="n">
        <x:f>_xlfn.XLOOKUP($A398,Games!$A$2:$A$18,Games!$B$2:$B$18,"Missing game",0)</x:f>
        <x:v>2025</x:v>
      </x:c>
      <x:c r="AH398" t="str">
        <x:f>_xlfn.XLOOKUP($A398,Games!$A$2:$A$18,Games!$C$2:$C$18,"Missing game",0)</x:f>
        <x:v>REG</x:v>
      </x:c>
      <x:c r="AI398" t="n">
        <x:f>_xlfn.XLOOKUP($A398,Games!$A$2:$A$18,Games!$D$2:$D$18,"Missing game",0)</x:f>
        <x:v>3</x:v>
      </x:c>
      <x:c r="AJ398" s="1" t="n">
        <x:f>_xlfn.XLOOKUP($A398,Games!$A$2:$A$18,Games!$E$2:$E$18,"Missing game",0)</x:f>
        <x:v>45921</x:v>
      </x:c>
      <x:c r="AK398" t="str">
        <x:f>_xlfn.XLOOKUP($A398,Games!$A$2:$A$18,Games!$F$2:$F$18,"Missing game",0)</x:f>
        <x:v>Sunday</x:v>
      </x:c>
      <x:c r="AL398" t="str">
        <x:f>_xlfn.XLOOKUP($A398,Games!$A$2:$A$18,Games!$G$2:$G$18,"Missing game",0)</x:f>
        <x:v>CIN</x:v>
      </x:c>
      <x:c r="AM398" t="n">
        <x:f>_xlfn.XLOOKUP($A398,Games!$A$2:$A$18,Games!$H$2:$H$18,"Missing game",0)</x:f>
        <x:v>10</x:v>
      </x:c>
      <x:c r="AN398" t="str">
        <x:f>_xlfn.XLOOKUP($A398,Games!$A$2:$A$18,Games!$I$2:$I$18,"Missing game",0)</x:f>
        <x:v>MIN</x:v>
      </x:c>
      <x:c r="AO398" t="n">
        <x:f>_xlfn.XLOOKUP($A398,Games!$A$2:$A$18,Games!$J$2:$J$18,"Missing game",0)</x:f>
        <x:v>48</x:v>
      </x:c>
      <x:c r="AP398" t="n">
        <x:f>_xlfn.XLOOKUP($A398,Games!$A$2:$A$18,Games!$K$2:$K$18,"Missing game",0)</x:f>
        <x:v>38</x:v>
      </x:c>
      <x:c r="AQ398" t="n">
        <x:f>_xlfn.XLOOKUP($A398,Games!$A$2:$A$18,Games!$L$2:$L$18,"Missing game",0)</x:f>
        <x:v>58</x:v>
      </x:c>
      <x:c r="AR398" t="n">
        <x:f>_xlfn.XLOOKUP($A398,Games!$A$2:$A$18,Games!$M$2:$M$18,"Missing game",0)</x:f>
        <x:v>0</x:v>
      </x:c>
      <x:c r="AS398" t="str">
        <x:f>_xlfn.XLOOKUP($A398,Games!$A$2:$A$18,Games!$N$2:$N$18,"Missing game",0)</x:f>
        <x:v>dome</x:v>
      </x:c>
      <x:c r="AT398" t="str">
        <x:f>_xlfn.XLOOKUP($A398,Games!$A$2:$A$18,Games!$O$2:$O$18,"Missing game",0)</x:f>
        <x:v>sportturf</x:v>
      </x:c>
      <x:c r="AU398" t="str">
        <x:f>_xlfn.XLOOKUP($A398,Games!$A$2:$A$18,Games!$P$2:$P$18,"Missing game",0)</x:f>
      </x:c>
      <x:c r="AV398" t="str">
        <x:f>_xlfn.XLOOKUP($A398,Games!$A$2:$A$18,Games!$Q$2:$Q$18,"Missing game",0)</x:f>
      </x:c>
      <x:c r="AW398" t="str">
        <x:f>_xlfn.XLOOKUP($A398,Games!$A$2:$A$18,Games!$R$2:$R$18,"Missing game",0)</x:f>
        <x:v>U.S. Bank Stadium</x:v>
      </x:c>
    </x:row>
    <x:row r="399">
      <x:c r="A399" t="str">
        <x:v>2025_03_CIN_MIN</x:v>
      </x:c>
      <x:c r="B399" t="n">
        <x:v>1635</x:v>
      </x:c>
      <x:c r="C399" t="n">
        <x:v>2</x:v>
      </x:c>
      <x:c r="D399" t="str">
        <x:v>04:51</x:v>
      </x:c>
      <x:c r="E399"/>
      <x:c r="F399" t="n">
        <x:v>0</x:v>
      </x:c>
      <x:c r="G399"/>
      <x:c r="H399"/>
      <x:c r="I399"/>
      <x:c r="J399"/>
      <x:c r="K399" t="str">
        <x:v>Timeout #1 by CIN at 04:51.</x:v>
      </x:c>
      <x:c r="L399" t="str">
        <x:v>no_play</x:v>
      </x:c>
      <x:c r="M399" t="n">
        <x:v>0</x:v>
      </x:c>
      <x:c r="N399" t="n">
        <x:v>0</x:v>
      </x:c>
      <x:c r="O399" t="n">
        <x:v>0</x:v>
      </x:c>
      <x:c r="P399"/>
      <x:c r="Q399"/>
      <x:c r="R399"/>
      <x:c r="S399"/>
      <x:c r="T399"/>
      <x:c r="U399"/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/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f>_xlfn.XLOOKUP($A399,Games!$A$2:$A$18,Games!$B$2:$B$18,"Missing game",0)</x:f>
        <x:v>2025</x:v>
      </x:c>
      <x:c r="AH399" t="str">
        <x:f>_xlfn.XLOOKUP($A399,Games!$A$2:$A$18,Games!$C$2:$C$18,"Missing game",0)</x:f>
        <x:v>REG</x:v>
      </x:c>
      <x:c r="AI399" t="n">
        <x:f>_xlfn.XLOOKUP($A399,Games!$A$2:$A$18,Games!$D$2:$D$18,"Missing game",0)</x:f>
        <x:v>3</x:v>
      </x:c>
      <x:c r="AJ399" s="1" t="n">
        <x:f>_xlfn.XLOOKUP($A399,Games!$A$2:$A$18,Games!$E$2:$E$18,"Missing game",0)</x:f>
        <x:v>45921</x:v>
      </x:c>
      <x:c r="AK399" t="str">
        <x:f>_xlfn.XLOOKUP($A399,Games!$A$2:$A$18,Games!$F$2:$F$18,"Missing game",0)</x:f>
        <x:v>Sunday</x:v>
      </x:c>
      <x:c r="AL399" t="str">
        <x:f>_xlfn.XLOOKUP($A399,Games!$A$2:$A$18,Games!$G$2:$G$18,"Missing game",0)</x:f>
        <x:v>CIN</x:v>
      </x:c>
      <x:c r="AM399" t="n">
        <x:f>_xlfn.XLOOKUP($A399,Games!$A$2:$A$18,Games!$H$2:$H$18,"Missing game",0)</x:f>
        <x:v>10</x:v>
      </x:c>
      <x:c r="AN399" t="str">
        <x:f>_xlfn.XLOOKUP($A399,Games!$A$2:$A$18,Games!$I$2:$I$18,"Missing game",0)</x:f>
        <x:v>MIN</x:v>
      </x:c>
      <x:c r="AO399" t="n">
        <x:f>_xlfn.XLOOKUP($A399,Games!$A$2:$A$18,Games!$J$2:$J$18,"Missing game",0)</x:f>
        <x:v>48</x:v>
      </x:c>
      <x:c r="AP399" t="n">
        <x:f>_xlfn.XLOOKUP($A399,Games!$A$2:$A$18,Games!$K$2:$K$18,"Missing game",0)</x:f>
        <x:v>38</x:v>
      </x:c>
      <x:c r="AQ399" t="n">
        <x:f>_xlfn.XLOOKUP($A399,Games!$A$2:$A$18,Games!$L$2:$L$18,"Missing game",0)</x:f>
        <x:v>58</x:v>
      </x:c>
      <x:c r="AR399" t="n">
        <x:f>_xlfn.XLOOKUP($A399,Games!$A$2:$A$18,Games!$M$2:$M$18,"Missing game",0)</x:f>
        <x:v>0</x:v>
      </x:c>
      <x:c r="AS399" t="str">
        <x:f>_xlfn.XLOOKUP($A399,Games!$A$2:$A$18,Games!$N$2:$N$18,"Missing game",0)</x:f>
        <x:v>dome</x:v>
      </x:c>
      <x:c r="AT399" t="str">
        <x:f>_xlfn.XLOOKUP($A399,Games!$A$2:$A$18,Games!$O$2:$O$18,"Missing game",0)</x:f>
        <x:v>sportturf</x:v>
      </x:c>
      <x:c r="AU399" t="str">
        <x:f>_xlfn.XLOOKUP($A399,Games!$A$2:$A$18,Games!$P$2:$P$18,"Missing game",0)</x:f>
      </x:c>
      <x:c r="AV399" t="str">
        <x:f>_xlfn.XLOOKUP($A399,Games!$A$2:$A$18,Games!$Q$2:$Q$18,"Missing game",0)</x:f>
      </x:c>
      <x:c r="AW399" t="str">
        <x:f>_xlfn.XLOOKUP($A399,Games!$A$2:$A$18,Games!$R$2:$R$18,"Missing game",0)</x:f>
        <x:v>U.S. Bank Stadium</x:v>
      </x:c>
    </x:row>
    <x:row r="400">
      <x:c r="A400" t="str">
        <x:v>2025_03_CIN_MIN</x:v>
      </x:c>
      <x:c r="B400" t="n">
        <x:v>1653</x:v>
      </x:c>
      <x:c r="C400" t="n">
        <x:v>2</x:v>
      </x:c>
      <x:c r="D400" t="str">
        <x:v>04:46</x:v>
      </x:c>
      <x:c r="E400" t="n">
        <x:v>4</x:v>
      </x:c>
      <x:c r="F400" t="n">
        <x:v>8</x:v>
      </x:c>
      <x:c r="G400" t="str">
        <x:v>CIN</x:v>
      </x:c>
      <x:c r="H400" t="str">
        <x:v>MIN</x:v>
      </x:c>
      <x:c r="I400" t="str">
        <x:v>MIN</x:v>
      </x:c>
      <x:c r="J400" t="n">
        <x:v>27</x:v>
      </x:c>
      <x:c r="K400" t="str">
        <x:v>(4:46) 2-E.McPherson 45 yard field goal is GOOD, Center-46-W.Wagner, Holder-8-R.Rehkow.</x:v>
      </x:c>
      <x:c r="L400" t="str">
        <x:v>field_goal</x:v>
      </x:c>
      <x:c r="M400" t="n">
        <x:v>0</x:v>
      </x:c>
      <x:c r="N400" t="n">
        <x:v>0</x:v>
      </x:c>
      <x:c r="O400" t="n">
        <x:v>0</x:v>
      </x:c>
      <x:c r="P400"/>
      <x:c r="Q400"/>
      <x:c r="R400"/>
      <x:c r="S400"/>
      <x:c r="T400"/>
      <x:c r="U400"/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/>
      <x:c r="AC400" t="n">
        <x:v>0</x:v>
      </x:c>
      <x:c r="AD400" t="n">
        <x:v>1.047156443310428</x:v>
      </x:c>
      <x:c r="AE400" t="n">
        <x:v>1</x:v>
      </x:c>
      <x:c r="AF400" t="n">
        <x:v>-0.000048980116844177246</x:v>
      </x:c>
      <x:c r="AG400" t="n">
        <x:f>_xlfn.XLOOKUP($A400,Games!$A$2:$A$18,Games!$B$2:$B$18,"Missing game",0)</x:f>
        <x:v>2025</x:v>
      </x:c>
      <x:c r="AH400" t="str">
        <x:f>_xlfn.XLOOKUP($A400,Games!$A$2:$A$18,Games!$C$2:$C$18,"Missing game",0)</x:f>
        <x:v>REG</x:v>
      </x:c>
      <x:c r="AI400" t="n">
        <x:f>_xlfn.XLOOKUP($A400,Games!$A$2:$A$18,Games!$D$2:$D$18,"Missing game",0)</x:f>
        <x:v>3</x:v>
      </x:c>
      <x:c r="AJ400" s="1" t="n">
        <x:f>_xlfn.XLOOKUP($A400,Games!$A$2:$A$18,Games!$E$2:$E$18,"Missing game",0)</x:f>
        <x:v>45921</x:v>
      </x:c>
      <x:c r="AK400" t="str">
        <x:f>_xlfn.XLOOKUP($A400,Games!$A$2:$A$18,Games!$F$2:$F$18,"Missing game",0)</x:f>
        <x:v>Sunday</x:v>
      </x:c>
      <x:c r="AL400" t="str">
        <x:f>_xlfn.XLOOKUP($A400,Games!$A$2:$A$18,Games!$G$2:$G$18,"Missing game",0)</x:f>
        <x:v>CIN</x:v>
      </x:c>
      <x:c r="AM400" t="n">
        <x:f>_xlfn.XLOOKUP($A400,Games!$A$2:$A$18,Games!$H$2:$H$18,"Missing game",0)</x:f>
        <x:v>10</x:v>
      </x:c>
      <x:c r="AN400" t="str">
        <x:f>_xlfn.XLOOKUP($A400,Games!$A$2:$A$18,Games!$I$2:$I$18,"Missing game",0)</x:f>
        <x:v>MIN</x:v>
      </x:c>
      <x:c r="AO400" t="n">
        <x:f>_xlfn.XLOOKUP($A400,Games!$A$2:$A$18,Games!$J$2:$J$18,"Missing game",0)</x:f>
        <x:v>48</x:v>
      </x:c>
      <x:c r="AP400" t="n">
        <x:f>_xlfn.XLOOKUP($A400,Games!$A$2:$A$18,Games!$K$2:$K$18,"Missing game",0)</x:f>
        <x:v>38</x:v>
      </x:c>
      <x:c r="AQ400" t="n">
        <x:f>_xlfn.XLOOKUP($A400,Games!$A$2:$A$18,Games!$L$2:$L$18,"Missing game",0)</x:f>
        <x:v>58</x:v>
      </x:c>
      <x:c r="AR400" t="n">
        <x:f>_xlfn.XLOOKUP($A400,Games!$A$2:$A$18,Games!$M$2:$M$18,"Missing game",0)</x:f>
        <x:v>0</x:v>
      </x:c>
      <x:c r="AS400" t="str">
        <x:f>_xlfn.XLOOKUP($A400,Games!$A$2:$A$18,Games!$N$2:$N$18,"Missing game",0)</x:f>
        <x:v>dome</x:v>
      </x:c>
      <x:c r="AT400" t="str">
        <x:f>_xlfn.XLOOKUP($A400,Games!$A$2:$A$18,Games!$O$2:$O$18,"Missing game",0)</x:f>
        <x:v>sportturf</x:v>
      </x:c>
      <x:c r="AU400" t="str">
        <x:f>_xlfn.XLOOKUP($A400,Games!$A$2:$A$18,Games!$P$2:$P$18,"Missing game",0)</x:f>
      </x:c>
      <x:c r="AV400" t="str">
        <x:f>_xlfn.XLOOKUP($A400,Games!$A$2:$A$18,Games!$Q$2:$Q$18,"Missing game",0)</x:f>
      </x:c>
      <x:c r="AW400" t="str">
        <x:f>_xlfn.XLOOKUP($A400,Games!$A$2:$A$18,Games!$R$2:$R$18,"Missing game",0)</x:f>
        <x:v>U.S. Bank Stadium</x:v>
      </x:c>
    </x:row>
    <x:row r="401">
      <x:c r="A401" t="str">
        <x:v>2025_03_CIN_MIN</x:v>
      </x:c>
      <x:c r="B401" t="n">
        <x:v>1673</x:v>
      </x:c>
      <x:c r="C401" t="n">
        <x:v>2</x:v>
      </x:c>
      <x:c r="D401" t="str">
        <x:v>04:42</x:v>
      </x:c>
      <x:c r="E401"/>
      <x:c r="F401" t="n">
        <x:v>0</x:v>
      </x:c>
      <x:c r="G401" t="str">
        <x:v>MIN</x:v>
      </x:c>
      <x:c r="H401" t="str">
        <x:v>CIN</x:v>
      </x:c>
      <x:c r="I401" t="str">
        <x:v>CIN</x:v>
      </x:c>
      <x:c r="J401" t="n">
        <x:v>35</x:v>
      </x:c>
      <x:c r="K401" t="str">
        <x:v>2-E.McPherson kicks 64 yards from CIN 35 to MIN 1. 4-M.Price to MIN 23 for 22 yards (26-T.Anderson; 42-O.Burks).</x:v>
      </x:c>
      <x:c r="L401" t="str">
        <x:v>kickoff</x:v>
      </x:c>
      <x:c r="M401" t="n">
        <x:v>0</x:v>
      </x:c>
      <x:c r="N401" t="n">
        <x:v>0</x:v>
      </x:c>
      <x:c r="O401" t="n">
        <x:v>0</x:v>
      </x:c>
      <x:c r="P401"/>
      <x:c r="Q401"/>
      <x:c r="R401"/>
      <x:c r="S401"/>
      <x:c r="T401"/>
      <x:c r="U401"/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/>
      <x:c r="AC401" t="n">
        <x:v>0</x:v>
      </x:c>
      <x:c r="AD401" t="n">
        <x:v>-0.11652173846960068</x:v>
      </x:c>
      <x:c r="AE401" t="n">
        <x:v>0</x:v>
      </x:c>
      <x:c r="AF401" t="n">
        <x:v>-0.0012484192848205566</x:v>
      </x:c>
      <x:c r="AG401" t="n">
        <x:f>_xlfn.XLOOKUP($A401,Games!$A$2:$A$18,Games!$B$2:$B$18,"Missing game",0)</x:f>
        <x:v>2025</x:v>
      </x:c>
      <x:c r="AH401" t="str">
        <x:f>_xlfn.XLOOKUP($A401,Games!$A$2:$A$18,Games!$C$2:$C$18,"Missing game",0)</x:f>
        <x:v>REG</x:v>
      </x:c>
      <x:c r="AI401" t="n">
        <x:f>_xlfn.XLOOKUP($A401,Games!$A$2:$A$18,Games!$D$2:$D$18,"Missing game",0)</x:f>
        <x:v>3</x:v>
      </x:c>
      <x:c r="AJ401" s="1" t="n">
        <x:f>_xlfn.XLOOKUP($A401,Games!$A$2:$A$18,Games!$E$2:$E$18,"Missing game",0)</x:f>
        <x:v>45921</x:v>
      </x:c>
      <x:c r="AK401" t="str">
        <x:f>_xlfn.XLOOKUP($A401,Games!$A$2:$A$18,Games!$F$2:$F$18,"Missing game",0)</x:f>
        <x:v>Sunday</x:v>
      </x:c>
      <x:c r="AL401" t="str">
        <x:f>_xlfn.XLOOKUP($A401,Games!$A$2:$A$18,Games!$G$2:$G$18,"Missing game",0)</x:f>
        <x:v>CIN</x:v>
      </x:c>
      <x:c r="AM401" t="n">
        <x:f>_xlfn.XLOOKUP($A401,Games!$A$2:$A$18,Games!$H$2:$H$18,"Missing game",0)</x:f>
        <x:v>10</x:v>
      </x:c>
      <x:c r="AN401" t="str">
        <x:f>_xlfn.XLOOKUP($A401,Games!$A$2:$A$18,Games!$I$2:$I$18,"Missing game",0)</x:f>
        <x:v>MIN</x:v>
      </x:c>
      <x:c r="AO401" t="n">
        <x:f>_xlfn.XLOOKUP($A401,Games!$A$2:$A$18,Games!$J$2:$J$18,"Missing game",0)</x:f>
        <x:v>48</x:v>
      </x:c>
      <x:c r="AP401" t="n">
        <x:f>_xlfn.XLOOKUP($A401,Games!$A$2:$A$18,Games!$K$2:$K$18,"Missing game",0)</x:f>
        <x:v>38</x:v>
      </x:c>
      <x:c r="AQ401" t="n">
        <x:f>_xlfn.XLOOKUP($A401,Games!$A$2:$A$18,Games!$L$2:$L$18,"Missing game",0)</x:f>
        <x:v>58</x:v>
      </x:c>
      <x:c r="AR401" t="n">
        <x:f>_xlfn.XLOOKUP($A401,Games!$A$2:$A$18,Games!$M$2:$M$18,"Missing game",0)</x:f>
        <x:v>0</x:v>
      </x:c>
      <x:c r="AS401" t="str">
        <x:f>_xlfn.XLOOKUP($A401,Games!$A$2:$A$18,Games!$N$2:$N$18,"Missing game",0)</x:f>
        <x:v>dome</x:v>
      </x:c>
      <x:c r="AT401" t="str">
        <x:f>_xlfn.XLOOKUP($A401,Games!$A$2:$A$18,Games!$O$2:$O$18,"Missing game",0)</x:f>
        <x:v>sportturf</x:v>
      </x:c>
      <x:c r="AU401" t="str">
        <x:f>_xlfn.XLOOKUP($A401,Games!$A$2:$A$18,Games!$P$2:$P$18,"Missing game",0)</x:f>
      </x:c>
      <x:c r="AV401" t="str">
        <x:f>_xlfn.XLOOKUP($A401,Games!$A$2:$A$18,Games!$Q$2:$Q$18,"Missing game",0)</x:f>
      </x:c>
      <x:c r="AW401" t="str">
        <x:f>_xlfn.XLOOKUP($A401,Games!$A$2:$A$18,Games!$R$2:$R$18,"Missing game",0)</x:f>
        <x:v>U.S. Bank Stadium</x:v>
      </x:c>
    </x:row>
    <x:row r="402">
      <x:c r="A402" t="str">
        <x:v>2025_03_CIN_MIN</x:v>
      </x:c>
      <x:c r="B402" t="n">
        <x:v>1703</x:v>
      </x:c>
      <x:c r="C402" t="n">
        <x:v>2</x:v>
      </x:c>
      <x:c r="D402" t="str">
        <x:v>04:37</x:v>
      </x:c>
      <x:c r="E402" t="n">
        <x:v>1</x:v>
      </x:c>
      <x:c r="F402" t="n">
        <x:v>10</x:v>
      </x:c>
      <x:c r="G402" t="str">
        <x:v>MIN</x:v>
      </x:c>
      <x:c r="H402" t="str">
        <x:v>CIN</x:v>
      </x:c>
      <x:c r="I402" t="str">
        <x:v>MIN</x:v>
      </x:c>
      <x:c r="J402" t="n">
        <x:v>77</x:v>
      </x:c>
      <x:c r="K402" t="str">
        <x:v>(4:37) (Shotgun) PENALTY on MIN-87-T.Hockenson, False Start, 5 yards, enforced at MIN 23 - No Play.</x:v>
      </x:c>
      <x:c r="L402" t="str">
        <x:v>no_play</x:v>
      </x:c>
      <x:c r="M402" t="n">
        <x:v>0</x:v>
      </x:c>
      <x:c r="N402" t="n">
        <x:v>1</x:v>
      </x:c>
      <x:c r="O402" t="n">
        <x:v>0</x:v>
      </x:c>
      <x:c r="P402"/>
      <x:c r="Q402"/>
      <x:c r="R402"/>
      <x:c r="S402"/>
      <x:c r="T402"/>
      <x:c r="U402"/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1</x:v>
      </x:c>
      <x:c r="AB402" t="n">
        <x:v>5</x:v>
      </x:c>
      <x:c r="AC402" t="n">
        <x:v>0</x:v>
      </x:c>
      <x:c r="AD402" t="n">
        <x:v>-0.6259311593603343</x:v>
      </x:c>
      <x:c r="AE402" t="n">
        <x:v>0</x:v>
      </x:c>
      <x:c r="AF402" t="n">
        <x:v>-0.0063002705574035645</x:v>
      </x:c>
      <x:c r="AG402" t="n">
        <x:f>_xlfn.XLOOKUP($A402,Games!$A$2:$A$18,Games!$B$2:$B$18,"Missing game",0)</x:f>
        <x:v>2025</x:v>
      </x:c>
      <x:c r="AH402" t="str">
        <x:f>_xlfn.XLOOKUP($A402,Games!$A$2:$A$18,Games!$C$2:$C$18,"Missing game",0)</x:f>
        <x:v>REG</x:v>
      </x:c>
      <x:c r="AI402" t="n">
        <x:f>_xlfn.XLOOKUP($A402,Games!$A$2:$A$18,Games!$D$2:$D$18,"Missing game",0)</x:f>
        <x:v>3</x:v>
      </x:c>
      <x:c r="AJ402" s="1" t="n">
        <x:f>_xlfn.XLOOKUP($A402,Games!$A$2:$A$18,Games!$E$2:$E$18,"Missing game",0)</x:f>
        <x:v>45921</x:v>
      </x:c>
      <x:c r="AK402" t="str">
        <x:f>_xlfn.XLOOKUP($A402,Games!$A$2:$A$18,Games!$F$2:$F$18,"Missing game",0)</x:f>
        <x:v>Sunday</x:v>
      </x:c>
      <x:c r="AL402" t="str">
        <x:f>_xlfn.XLOOKUP($A402,Games!$A$2:$A$18,Games!$G$2:$G$18,"Missing game",0)</x:f>
        <x:v>CIN</x:v>
      </x:c>
      <x:c r="AM402" t="n">
        <x:f>_xlfn.XLOOKUP($A402,Games!$A$2:$A$18,Games!$H$2:$H$18,"Missing game",0)</x:f>
        <x:v>10</x:v>
      </x:c>
      <x:c r="AN402" t="str">
        <x:f>_xlfn.XLOOKUP($A402,Games!$A$2:$A$18,Games!$I$2:$I$18,"Missing game",0)</x:f>
        <x:v>MIN</x:v>
      </x:c>
      <x:c r="AO402" t="n">
        <x:f>_xlfn.XLOOKUP($A402,Games!$A$2:$A$18,Games!$J$2:$J$18,"Missing game",0)</x:f>
        <x:v>48</x:v>
      </x:c>
      <x:c r="AP402" t="n">
        <x:f>_xlfn.XLOOKUP($A402,Games!$A$2:$A$18,Games!$K$2:$K$18,"Missing game",0)</x:f>
        <x:v>38</x:v>
      </x:c>
      <x:c r="AQ402" t="n">
        <x:f>_xlfn.XLOOKUP($A402,Games!$A$2:$A$18,Games!$L$2:$L$18,"Missing game",0)</x:f>
        <x:v>58</x:v>
      </x:c>
      <x:c r="AR402" t="n">
        <x:f>_xlfn.XLOOKUP($A402,Games!$A$2:$A$18,Games!$M$2:$M$18,"Missing game",0)</x:f>
        <x:v>0</x:v>
      </x:c>
      <x:c r="AS402" t="str">
        <x:f>_xlfn.XLOOKUP($A402,Games!$A$2:$A$18,Games!$N$2:$N$18,"Missing game",0)</x:f>
        <x:v>dome</x:v>
      </x:c>
      <x:c r="AT402" t="str">
        <x:f>_xlfn.XLOOKUP($A402,Games!$A$2:$A$18,Games!$O$2:$O$18,"Missing game",0)</x:f>
        <x:v>sportturf</x:v>
      </x:c>
      <x:c r="AU402" t="str">
        <x:f>_xlfn.XLOOKUP($A402,Games!$A$2:$A$18,Games!$P$2:$P$18,"Missing game",0)</x:f>
      </x:c>
      <x:c r="AV402" t="str">
        <x:f>_xlfn.XLOOKUP($A402,Games!$A$2:$A$18,Games!$Q$2:$Q$18,"Missing game",0)</x:f>
      </x:c>
      <x:c r="AW402" t="str">
        <x:f>_xlfn.XLOOKUP($A402,Games!$A$2:$A$18,Games!$R$2:$R$18,"Missing game",0)</x:f>
        <x:v>U.S. Bank Stadium</x:v>
      </x:c>
    </x:row>
    <x:row r="403">
      <x:c r="A403" t="str">
        <x:v>2025_03_CIN_MIN</x:v>
      </x:c>
      <x:c r="B403" t="n">
        <x:v>1727</x:v>
      </x:c>
      <x:c r="C403" t="n">
        <x:v>2</x:v>
      </x:c>
      <x:c r="D403" t="str">
        <x:v>04:37</x:v>
      </x:c>
      <x:c r="E403" t="n">
        <x:v>1</x:v>
      </x:c>
      <x:c r="F403" t="n">
        <x:v>15</x:v>
      </x:c>
      <x:c r="G403" t="str">
        <x:v>MIN</x:v>
      </x:c>
      <x:c r="H403" t="str">
        <x:v>CIN</x:v>
      </x:c>
      <x:c r="I403" t="str">
        <x:v>MIN</x:v>
      </x:c>
      <x:c r="J403" t="n">
        <x:v>82</x:v>
      </x:c>
      <x:c r="K403" t="str">
        <x:v>(4:37) (Shotgun) 11-C.Wentz pass incomplete short left to 18-J.Jefferson (20-D.Turner).</x:v>
      </x:c>
      <x:c r="L403" t="str">
        <x:v>pass</x:v>
      </x:c>
      <x:c r="M403" t="n">
        <x:v>0</x:v>
      </x:c>
      <x:c r="N403" t="n">
        <x:v>1</x:v>
      </x:c>
      <x:c r="O403" t="n">
        <x:v>0</x:v>
      </x:c>
      <x:c r="P403" t="str">
        <x:v>short</x:v>
      </x:c>
      <x:c r="Q403" t="str">
        <x:v>left</x:v>
      </x:c>
      <x:c r="R403" t="n">
        <x:v>3</x:v>
      </x:c>
      <x:c r="S403"/>
      <x:c r="T403"/>
      <x:c r="U403"/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/>
      <x:c r="AC403" t="n">
        <x:v>0</x:v>
      </x:c>
      <x:c r="AD403" t="n">
        <x:v>-0.5509607475250959</x:v>
      </x:c>
      <x:c r="AE403" t="n">
        <x:v>0</x:v>
      </x:c>
      <x:c r="AF403" t="n">
        <x:v>-0.006257772445678711</x:v>
      </x:c>
      <x:c r="AG403" t="n">
        <x:f>_xlfn.XLOOKUP($A403,Games!$A$2:$A$18,Games!$B$2:$B$18,"Missing game",0)</x:f>
        <x:v>2025</x:v>
      </x:c>
      <x:c r="AH403" t="str">
        <x:f>_xlfn.XLOOKUP($A403,Games!$A$2:$A$18,Games!$C$2:$C$18,"Missing game",0)</x:f>
        <x:v>REG</x:v>
      </x:c>
      <x:c r="AI403" t="n">
        <x:f>_xlfn.XLOOKUP($A403,Games!$A$2:$A$18,Games!$D$2:$D$18,"Missing game",0)</x:f>
        <x:v>3</x:v>
      </x:c>
      <x:c r="AJ403" s="1" t="n">
        <x:f>_xlfn.XLOOKUP($A403,Games!$A$2:$A$18,Games!$E$2:$E$18,"Missing game",0)</x:f>
        <x:v>45921</x:v>
      </x:c>
      <x:c r="AK403" t="str">
        <x:f>_xlfn.XLOOKUP($A403,Games!$A$2:$A$18,Games!$F$2:$F$18,"Missing game",0)</x:f>
        <x:v>Sunday</x:v>
      </x:c>
      <x:c r="AL403" t="str">
        <x:f>_xlfn.XLOOKUP($A403,Games!$A$2:$A$18,Games!$G$2:$G$18,"Missing game",0)</x:f>
        <x:v>CIN</x:v>
      </x:c>
      <x:c r="AM403" t="n">
        <x:f>_xlfn.XLOOKUP($A403,Games!$A$2:$A$18,Games!$H$2:$H$18,"Missing game",0)</x:f>
        <x:v>10</x:v>
      </x:c>
      <x:c r="AN403" t="str">
        <x:f>_xlfn.XLOOKUP($A403,Games!$A$2:$A$18,Games!$I$2:$I$18,"Missing game",0)</x:f>
        <x:v>MIN</x:v>
      </x:c>
      <x:c r="AO403" t="n">
        <x:f>_xlfn.XLOOKUP($A403,Games!$A$2:$A$18,Games!$J$2:$J$18,"Missing game",0)</x:f>
        <x:v>48</x:v>
      </x:c>
      <x:c r="AP403" t="n">
        <x:f>_xlfn.XLOOKUP($A403,Games!$A$2:$A$18,Games!$K$2:$K$18,"Missing game",0)</x:f>
        <x:v>38</x:v>
      </x:c>
      <x:c r="AQ403" t="n">
        <x:f>_xlfn.XLOOKUP($A403,Games!$A$2:$A$18,Games!$L$2:$L$18,"Missing game",0)</x:f>
        <x:v>58</x:v>
      </x:c>
      <x:c r="AR403" t="n">
        <x:f>_xlfn.XLOOKUP($A403,Games!$A$2:$A$18,Games!$M$2:$M$18,"Missing game",0)</x:f>
        <x:v>0</x:v>
      </x:c>
      <x:c r="AS403" t="str">
        <x:f>_xlfn.XLOOKUP($A403,Games!$A$2:$A$18,Games!$N$2:$N$18,"Missing game",0)</x:f>
        <x:v>dome</x:v>
      </x:c>
      <x:c r="AT403" t="str">
        <x:f>_xlfn.XLOOKUP($A403,Games!$A$2:$A$18,Games!$O$2:$O$18,"Missing game",0)</x:f>
        <x:v>sportturf</x:v>
      </x:c>
      <x:c r="AU403" t="str">
        <x:f>_xlfn.XLOOKUP($A403,Games!$A$2:$A$18,Games!$P$2:$P$18,"Missing game",0)</x:f>
      </x:c>
      <x:c r="AV403" t="str">
        <x:f>_xlfn.XLOOKUP($A403,Games!$A$2:$A$18,Games!$Q$2:$Q$18,"Missing game",0)</x:f>
      </x:c>
      <x:c r="AW403" t="str">
        <x:f>_xlfn.XLOOKUP($A403,Games!$A$2:$A$18,Games!$R$2:$R$18,"Missing game",0)</x:f>
        <x:v>U.S. Bank Stadium</x:v>
      </x:c>
    </x:row>
    <x:row r="404">
      <x:c r="A404" t="str">
        <x:v>2025_03_CIN_MIN</x:v>
      </x:c>
      <x:c r="B404" t="n">
        <x:v>1750</x:v>
      </x:c>
      <x:c r="C404" t="n">
        <x:v>2</x:v>
      </x:c>
      <x:c r="D404" t="str">
        <x:v>04:34</x:v>
      </x:c>
      <x:c r="E404" t="n">
        <x:v>2</x:v>
      </x:c>
      <x:c r="F404" t="n">
        <x:v>15</x:v>
      </x:c>
      <x:c r="G404" t="str">
        <x:v>MIN</x:v>
      </x:c>
      <x:c r="H404" t="str">
        <x:v>CIN</x:v>
      </x:c>
      <x:c r="I404" t="str">
        <x:v>MIN</x:v>
      </x:c>
      <x:c r="J404" t="n">
        <x:v>82</x:v>
      </x:c>
      <x:c r="K404" t="str">
        <x:v>(4:34) (Shotgun) 11-C.Wentz pass short left to 18-J.Jefferson to MIN 26 for 8 yards (49-B.Carter; 22-G.Stone).</x:v>
      </x:c>
      <x:c r="L404" t="str">
        <x:v>pass</x:v>
      </x:c>
      <x:c r="M404" t="n">
        <x:v>8</x:v>
      </x:c>
      <x:c r="N404" t="n">
        <x:v>1</x:v>
      </x:c>
      <x:c r="O404" t="n">
        <x:v>0</x:v>
      </x:c>
      <x:c r="P404" t="str">
        <x:v>short</x:v>
      </x:c>
      <x:c r="Q404" t="str">
        <x:v>left</x:v>
      </x:c>
      <x:c r="R404" t="n">
        <x:v>-3</x:v>
      </x:c>
      <x:c r="S404" t="n">
        <x:v>11</x:v>
      </x:c>
      <x:c r="T404"/>
      <x:c r="U404"/>
      <x:c r="V404" t="n">
        <x:v>1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/>
      <x:c r="AC404" t="n">
        <x:v>0</x:v>
      </x:c>
      <x:c r="AD404" t="n">
        <x:v>0.32965263281948864</x:v>
      </x:c>
      <x:c r="AE404" t="n">
        <x:v>1</x:v>
      </x:c>
      <x:c r="AF404" t="n">
        <x:v>0.002032160758972168</x:v>
      </x:c>
      <x:c r="AG404" t="n">
        <x:f>_xlfn.XLOOKUP($A404,Games!$A$2:$A$18,Games!$B$2:$B$18,"Missing game",0)</x:f>
        <x:v>2025</x:v>
      </x:c>
      <x:c r="AH404" t="str">
        <x:f>_xlfn.XLOOKUP($A404,Games!$A$2:$A$18,Games!$C$2:$C$18,"Missing game",0)</x:f>
        <x:v>REG</x:v>
      </x:c>
      <x:c r="AI404" t="n">
        <x:f>_xlfn.XLOOKUP($A404,Games!$A$2:$A$18,Games!$D$2:$D$18,"Missing game",0)</x:f>
        <x:v>3</x:v>
      </x:c>
      <x:c r="AJ404" s="1" t="n">
        <x:f>_xlfn.XLOOKUP($A404,Games!$A$2:$A$18,Games!$E$2:$E$18,"Missing game",0)</x:f>
        <x:v>45921</x:v>
      </x:c>
      <x:c r="AK404" t="str">
        <x:f>_xlfn.XLOOKUP($A404,Games!$A$2:$A$18,Games!$F$2:$F$18,"Missing game",0)</x:f>
        <x:v>Sunday</x:v>
      </x:c>
      <x:c r="AL404" t="str">
        <x:f>_xlfn.XLOOKUP($A404,Games!$A$2:$A$18,Games!$G$2:$G$18,"Missing game",0)</x:f>
        <x:v>CIN</x:v>
      </x:c>
      <x:c r="AM404" t="n">
        <x:f>_xlfn.XLOOKUP($A404,Games!$A$2:$A$18,Games!$H$2:$H$18,"Missing game",0)</x:f>
        <x:v>10</x:v>
      </x:c>
      <x:c r="AN404" t="str">
        <x:f>_xlfn.XLOOKUP($A404,Games!$A$2:$A$18,Games!$I$2:$I$18,"Missing game",0)</x:f>
        <x:v>MIN</x:v>
      </x:c>
      <x:c r="AO404" t="n">
        <x:f>_xlfn.XLOOKUP($A404,Games!$A$2:$A$18,Games!$J$2:$J$18,"Missing game",0)</x:f>
        <x:v>48</x:v>
      </x:c>
      <x:c r="AP404" t="n">
        <x:f>_xlfn.XLOOKUP($A404,Games!$A$2:$A$18,Games!$K$2:$K$18,"Missing game",0)</x:f>
        <x:v>38</x:v>
      </x:c>
      <x:c r="AQ404" t="n">
        <x:f>_xlfn.XLOOKUP($A404,Games!$A$2:$A$18,Games!$L$2:$L$18,"Missing game",0)</x:f>
        <x:v>58</x:v>
      </x:c>
      <x:c r="AR404" t="n">
        <x:f>_xlfn.XLOOKUP($A404,Games!$A$2:$A$18,Games!$M$2:$M$18,"Missing game",0)</x:f>
        <x:v>0</x:v>
      </x:c>
      <x:c r="AS404" t="str">
        <x:f>_xlfn.XLOOKUP($A404,Games!$A$2:$A$18,Games!$N$2:$N$18,"Missing game",0)</x:f>
        <x:v>dome</x:v>
      </x:c>
      <x:c r="AT404" t="str">
        <x:f>_xlfn.XLOOKUP($A404,Games!$A$2:$A$18,Games!$O$2:$O$18,"Missing game",0)</x:f>
        <x:v>sportturf</x:v>
      </x:c>
      <x:c r="AU404" t="str">
        <x:f>_xlfn.XLOOKUP($A404,Games!$A$2:$A$18,Games!$P$2:$P$18,"Missing game",0)</x:f>
      </x:c>
      <x:c r="AV404" t="str">
        <x:f>_xlfn.XLOOKUP($A404,Games!$A$2:$A$18,Games!$Q$2:$Q$18,"Missing game",0)</x:f>
      </x:c>
      <x:c r="AW404" t="str">
        <x:f>_xlfn.XLOOKUP($A404,Games!$A$2:$A$18,Games!$R$2:$R$18,"Missing game",0)</x:f>
        <x:v>U.S. Bank Stadium</x:v>
      </x:c>
    </x:row>
    <x:row r="405">
      <x:c r="A405" t="str">
        <x:v>2025_03_CIN_MIN</x:v>
      </x:c>
      <x:c r="B405" t="n">
        <x:v>1775</x:v>
      </x:c>
      <x:c r="C405" t="n">
        <x:v>2</x:v>
      </x:c>
      <x:c r="D405" t="str">
        <x:v>03:54</x:v>
      </x:c>
      <x:c r="E405" t="n">
        <x:v>3</x:v>
      </x:c>
      <x:c r="F405" t="n">
        <x:v>7</x:v>
      </x:c>
      <x:c r="G405" t="str">
        <x:v>MIN</x:v>
      </x:c>
      <x:c r="H405" t="str">
        <x:v>CIN</x:v>
      </x:c>
      <x:c r="I405" t="str">
        <x:v>MIN</x:v>
      </x:c>
      <x:c r="J405" t="n">
        <x:v>74</x:v>
      </x:c>
      <x:c r="K405" t="str">
        <x:v>(3:54) (Shotgun) PENALTY on MIN-65-M.Jurgens, False Start, 5 yards, enforced at MIN 26 - No Play.</x:v>
      </x:c>
      <x:c r="L405" t="str">
        <x:v>no_play</x:v>
      </x:c>
      <x:c r="M405" t="n">
        <x:v>0</x:v>
      </x:c>
      <x:c r="N405" t="n">
        <x:v>1</x:v>
      </x:c>
      <x:c r="O405" t="n">
        <x:v>0</x:v>
      </x:c>
      <x:c r="P405"/>
      <x:c r="Q405"/>
      <x:c r="R405"/>
      <x:c r="S405"/>
      <x:c r="T405"/>
      <x:c r="U405"/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1</x:v>
      </x:c>
      <x:c r="AB405" t="n">
        <x:v>5</x:v>
      </x:c>
      <x:c r="AC405" t="n">
        <x:v>0</x:v>
      </x:c>
      <x:c r="AD405" t="n">
        <x:v>-0.6053226504009217</x:v>
      </x:c>
      <x:c r="AE405" t="n">
        <x:v>0</x:v>
      </x:c>
      <x:c r="AF405" t="n">
        <x:v>-0.010273754596710205</x:v>
      </x:c>
      <x:c r="AG405" t="n">
        <x:f>_xlfn.XLOOKUP($A405,Games!$A$2:$A$18,Games!$B$2:$B$18,"Missing game",0)</x:f>
        <x:v>2025</x:v>
      </x:c>
      <x:c r="AH405" t="str">
        <x:f>_xlfn.XLOOKUP($A405,Games!$A$2:$A$18,Games!$C$2:$C$18,"Missing game",0)</x:f>
        <x:v>REG</x:v>
      </x:c>
      <x:c r="AI405" t="n">
        <x:f>_xlfn.XLOOKUP($A405,Games!$A$2:$A$18,Games!$D$2:$D$18,"Missing game",0)</x:f>
        <x:v>3</x:v>
      </x:c>
      <x:c r="AJ405" s="1" t="n">
        <x:f>_xlfn.XLOOKUP($A405,Games!$A$2:$A$18,Games!$E$2:$E$18,"Missing game",0)</x:f>
        <x:v>45921</x:v>
      </x:c>
      <x:c r="AK405" t="str">
        <x:f>_xlfn.XLOOKUP($A405,Games!$A$2:$A$18,Games!$F$2:$F$18,"Missing game",0)</x:f>
        <x:v>Sunday</x:v>
      </x:c>
      <x:c r="AL405" t="str">
        <x:f>_xlfn.XLOOKUP($A405,Games!$A$2:$A$18,Games!$G$2:$G$18,"Missing game",0)</x:f>
        <x:v>CIN</x:v>
      </x:c>
      <x:c r="AM405" t="n">
        <x:f>_xlfn.XLOOKUP($A405,Games!$A$2:$A$18,Games!$H$2:$H$18,"Missing game",0)</x:f>
        <x:v>10</x:v>
      </x:c>
      <x:c r="AN405" t="str">
        <x:f>_xlfn.XLOOKUP($A405,Games!$A$2:$A$18,Games!$I$2:$I$18,"Missing game",0)</x:f>
        <x:v>MIN</x:v>
      </x:c>
      <x:c r="AO405" t="n">
        <x:f>_xlfn.XLOOKUP($A405,Games!$A$2:$A$18,Games!$J$2:$J$18,"Missing game",0)</x:f>
        <x:v>48</x:v>
      </x:c>
      <x:c r="AP405" t="n">
        <x:f>_xlfn.XLOOKUP($A405,Games!$A$2:$A$18,Games!$K$2:$K$18,"Missing game",0)</x:f>
        <x:v>38</x:v>
      </x:c>
      <x:c r="AQ405" t="n">
        <x:f>_xlfn.XLOOKUP($A405,Games!$A$2:$A$18,Games!$L$2:$L$18,"Missing game",0)</x:f>
        <x:v>58</x:v>
      </x:c>
      <x:c r="AR405" t="n">
        <x:f>_xlfn.XLOOKUP($A405,Games!$A$2:$A$18,Games!$M$2:$M$18,"Missing game",0)</x:f>
        <x:v>0</x:v>
      </x:c>
      <x:c r="AS405" t="str">
        <x:f>_xlfn.XLOOKUP($A405,Games!$A$2:$A$18,Games!$N$2:$N$18,"Missing game",0)</x:f>
        <x:v>dome</x:v>
      </x:c>
      <x:c r="AT405" t="str">
        <x:f>_xlfn.XLOOKUP($A405,Games!$A$2:$A$18,Games!$O$2:$O$18,"Missing game",0)</x:f>
        <x:v>sportturf</x:v>
      </x:c>
      <x:c r="AU405" t="str">
        <x:f>_xlfn.XLOOKUP($A405,Games!$A$2:$A$18,Games!$P$2:$P$18,"Missing game",0)</x:f>
      </x:c>
      <x:c r="AV405" t="str">
        <x:f>_xlfn.XLOOKUP($A405,Games!$A$2:$A$18,Games!$Q$2:$Q$18,"Missing game",0)</x:f>
      </x:c>
      <x:c r="AW405" t="str">
        <x:f>_xlfn.XLOOKUP($A405,Games!$A$2:$A$18,Games!$R$2:$R$18,"Missing game",0)</x:f>
        <x:v>U.S. Bank Stadium</x:v>
      </x:c>
    </x:row>
    <x:row r="406">
      <x:c r="A406" t="str">
        <x:v>2025_03_CIN_MIN</x:v>
      </x:c>
      <x:c r="B406" t="n">
        <x:v>1799</x:v>
      </x:c>
      <x:c r="C406" t="n">
        <x:v>2</x:v>
      </x:c>
      <x:c r="D406" t="str">
        <x:v>03:38</x:v>
      </x:c>
      <x:c r="E406" t="n">
        <x:v>3</x:v>
      </x:c>
      <x:c r="F406" t="n">
        <x:v>12</x:v>
      </x:c>
      <x:c r="G406" t="str">
        <x:v>MIN</x:v>
      </x:c>
      <x:c r="H406" t="str">
        <x:v>CIN</x:v>
      </x:c>
      <x:c r="I406" t="str">
        <x:v>MIN</x:v>
      </x:c>
      <x:c r="J406" t="n">
        <x:v>79</x:v>
      </x:c>
      <x:c r="K406" t="str">
        <x:v>(3:38) (Shotgun) 11-C.Wentz sacked at MIN 17 for -4 yards (90-K.Jenkins).</x:v>
      </x:c>
      <x:c r="L406" t="str">
        <x:v>pass</x:v>
      </x:c>
      <x:c r="M406" t="n">
        <x:v>-4</x:v>
      </x:c>
      <x:c r="N406" t="n">
        <x:v>1</x:v>
      </x:c>
      <x:c r="O406" t="n">
        <x:v>0</x:v>
      </x:c>
      <x:c r="P406"/>
      <x:c r="Q406"/>
      <x:c r="R406"/>
      <x:c r="S406"/>
      <x:c r="T406"/>
      <x:c r="U406"/>
      <x:c r="V406" t="n">
        <x:v>0</x:v>
      </x:c>
      <x:c r="W406" t="n">
        <x:v>0</x:v>
      </x:c>
      <x:c r="X406" t="n">
        <x:v>1</x:v>
      </x:c>
      <x:c r="Y406" t="n">
        <x:v>0</x:v>
      </x:c>
      <x:c r="Z406" t="n">
        <x:v>0</x:v>
      </x:c>
      <x:c r="AA406" t="n">
        <x:v>0</x:v>
      </x:c>
      <x:c r="AB406"/>
      <x:c r="AC406" t="n">
        <x:v>0</x:v>
      </x:c>
      <x:c r="AD406" t="n">
        <x:v>-1.0242600755300373</x:v>
      </x:c>
      <x:c r="AE406" t="n">
        <x:v>0</x:v>
      </x:c>
      <x:c r="AF406" t="n">
        <x:v>-0.02166152000427246</x:v>
      </x:c>
      <x:c r="AG406" t="n">
        <x:f>_xlfn.XLOOKUP($A406,Games!$A$2:$A$18,Games!$B$2:$B$18,"Missing game",0)</x:f>
        <x:v>2025</x:v>
      </x:c>
      <x:c r="AH406" t="str">
        <x:f>_xlfn.XLOOKUP($A406,Games!$A$2:$A$18,Games!$C$2:$C$18,"Missing game",0)</x:f>
        <x:v>REG</x:v>
      </x:c>
      <x:c r="AI406" t="n">
        <x:f>_xlfn.XLOOKUP($A406,Games!$A$2:$A$18,Games!$D$2:$D$18,"Missing game",0)</x:f>
        <x:v>3</x:v>
      </x:c>
      <x:c r="AJ406" s="1" t="n">
        <x:f>_xlfn.XLOOKUP($A406,Games!$A$2:$A$18,Games!$E$2:$E$18,"Missing game",0)</x:f>
        <x:v>45921</x:v>
      </x:c>
      <x:c r="AK406" t="str">
        <x:f>_xlfn.XLOOKUP($A406,Games!$A$2:$A$18,Games!$F$2:$F$18,"Missing game",0)</x:f>
        <x:v>Sunday</x:v>
      </x:c>
      <x:c r="AL406" t="str">
        <x:f>_xlfn.XLOOKUP($A406,Games!$A$2:$A$18,Games!$G$2:$G$18,"Missing game",0)</x:f>
        <x:v>CIN</x:v>
      </x:c>
      <x:c r="AM406" t="n">
        <x:f>_xlfn.XLOOKUP($A406,Games!$A$2:$A$18,Games!$H$2:$H$18,"Missing game",0)</x:f>
        <x:v>10</x:v>
      </x:c>
      <x:c r="AN406" t="str">
        <x:f>_xlfn.XLOOKUP($A406,Games!$A$2:$A$18,Games!$I$2:$I$18,"Missing game",0)</x:f>
        <x:v>MIN</x:v>
      </x:c>
      <x:c r="AO406" t="n">
        <x:f>_xlfn.XLOOKUP($A406,Games!$A$2:$A$18,Games!$J$2:$J$18,"Missing game",0)</x:f>
        <x:v>48</x:v>
      </x:c>
      <x:c r="AP406" t="n">
        <x:f>_xlfn.XLOOKUP($A406,Games!$A$2:$A$18,Games!$K$2:$K$18,"Missing game",0)</x:f>
        <x:v>38</x:v>
      </x:c>
      <x:c r="AQ406" t="n">
        <x:f>_xlfn.XLOOKUP($A406,Games!$A$2:$A$18,Games!$L$2:$L$18,"Missing game",0)</x:f>
        <x:v>58</x:v>
      </x:c>
      <x:c r="AR406" t="n">
        <x:f>_xlfn.XLOOKUP($A406,Games!$A$2:$A$18,Games!$M$2:$M$18,"Missing game",0)</x:f>
        <x:v>0</x:v>
      </x:c>
      <x:c r="AS406" t="str">
        <x:f>_xlfn.XLOOKUP($A406,Games!$A$2:$A$18,Games!$N$2:$N$18,"Missing game",0)</x:f>
        <x:v>dome</x:v>
      </x:c>
      <x:c r="AT406" t="str">
        <x:f>_xlfn.XLOOKUP($A406,Games!$A$2:$A$18,Games!$O$2:$O$18,"Missing game",0)</x:f>
        <x:v>sportturf</x:v>
      </x:c>
      <x:c r="AU406" t="str">
        <x:f>_xlfn.XLOOKUP($A406,Games!$A$2:$A$18,Games!$P$2:$P$18,"Missing game",0)</x:f>
      </x:c>
      <x:c r="AV406" t="str">
        <x:f>_xlfn.XLOOKUP($A406,Games!$A$2:$A$18,Games!$Q$2:$Q$18,"Missing game",0)</x:f>
      </x:c>
      <x:c r="AW406" t="str">
        <x:f>_xlfn.XLOOKUP($A406,Games!$A$2:$A$18,Games!$R$2:$R$18,"Missing game",0)</x:f>
        <x:v>U.S. Bank Stadium</x:v>
      </x:c>
    </x:row>
    <x:row r="407">
      <x:c r="A407" t="str">
        <x:v>2025_03_CIN_MIN</x:v>
      </x:c>
      <x:c r="B407" t="n">
        <x:v>1819</x:v>
      </x:c>
      <x:c r="C407" t="n">
        <x:v>2</x:v>
      </x:c>
      <x:c r="D407" t="str">
        <x:v>02:59</x:v>
      </x:c>
      <x:c r="E407" t="n">
        <x:v>4</x:v>
      </x:c>
      <x:c r="F407" t="n">
        <x:v>16</x:v>
      </x:c>
      <x:c r="G407" t="str">
        <x:v>MIN</x:v>
      </x:c>
      <x:c r="H407" t="str">
        <x:v>CIN</x:v>
      </x:c>
      <x:c r="I407" t="str">
        <x:v>MIN</x:v>
      </x:c>
      <x:c r="J407" t="n">
        <x:v>83</x:v>
      </x:c>
      <x:c r="K407" t="str">
        <x:v>(2:59) 17-R.Wright punts 46 yards to CIN 37, Center-42-A.DePaola, fair catch by 15-C.Jones. PENALTY on MIN-37-T.Thomas, Fair Catch Interference, 15 yards, enforced at CIN 37.</x:v>
      </x:c>
      <x:c r="L407" t="str">
        <x:v>punt</x:v>
      </x:c>
      <x:c r="M407" t="n">
        <x:v>0</x:v>
      </x:c>
      <x:c r="N407" t="n">
        <x:v>0</x:v>
      </x:c>
      <x:c r="O407" t="n">
        <x:v>0</x:v>
      </x:c>
      <x:c r="P407"/>
      <x:c r="Q407"/>
      <x:c r="R407"/>
      <x:c r="S407"/>
      <x:c r="T407"/>
      <x:c r="U407"/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1</x:v>
      </x:c>
      <x:c r="AB407" t="n">
        <x:v>15</x:v>
      </x:c>
      <x:c r="AC407" t="n">
        <x:v>0</x:v>
      </x:c>
      <x:c r="AD407" t="n">
        <x:v>-1.0344380020396784</x:v>
      </x:c>
      <x:c r="AE407" t="n">
        <x:v>0</x:v>
      </x:c>
      <x:c r="AF407" t="n">
        <x:v>-0.007629290223121643</x:v>
      </x:c>
      <x:c r="AG407" t="n">
        <x:f>_xlfn.XLOOKUP($A407,Games!$A$2:$A$18,Games!$B$2:$B$18,"Missing game",0)</x:f>
        <x:v>2025</x:v>
      </x:c>
      <x:c r="AH407" t="str">
        <x:f>_xlfn.XLOOKUP($A407,Games!$A$2:$A$18,Games!$C$2:$C$18,"Missing game",0)</x:f>
        <x:v>REG</x:v>
      </x:c>
      <x:c r="AI407" t="n">
        <x:f>_xlfn.XLOOKUP($A407,Games!$A$2:$A$18,Games!$D$2:$D$18,"Missing game",0)</x:f>
        <x:v>3</x:v>
      </x:c>
      <x:c r="AJ407" s="1" t="n">
        <x:f>_xlfn.XLOOKUP($A407,Games!$A$2:$A$18,Games!$E$2:$E$18,"Missing game",0)</x:f>
        <x:v>45921</x:v>
      </x:c>
      <x:c r="AK407" t="str">
        <x:f>_xlfn.XLOOKUP($A407,Games!$A$2:$A$18,Games!$F$2:$F$18,"Missing game",0)</x:f>
        <x:v>Sunday</x:v>
      </x:c>
      <x:c r="AL407" t="str">
        <x:f>_xlfn.XLOOKUP($A407,Games!$A$2:$A$18,Games!$G$2:$G$18,"Missing game",0)</x:f>
        <x:v>CIN</x:v>
      </x:c>
      <x:c r="AM407" t="n">
        <x:f>_xlfn.XLOOKUP($A407,Games!$A$2:$A$18,Games!$H$2:$H$18,"Missing game",0)</x:f>
        <x:v>10</x:v>
      </x:c>
      <x:c r="AN407" t="str">
        <x:f>_xlfn.XLOOKUP($A407,Games!$A$2:$A$18,Games!$I$2:$I$18,"Missing game",0)</x:f>
        <x:v>MIN</x:v>
      </x:c>
      <x:c r="AO407" t="n">
        <x:f>_xlfn.XLOOKUP($A407,Games!$A$2:$A$18,Games!$J$2:$J$18,"Missing game",0)</x:f>
        <x:v>48</x:v>
      </x:c>
      <x:c r="AP407" t="n">
        <x:f>_xlfn.XLOOKUP($A407,Games!$A$2:$A$18,Games!$K$2:$K$18,"Missing game",0)</x:f>
        <x:v>38</x:v>
      </x:c>
      <x:c r="AQ407" t="n">
        <x:f>_xlfn.XLOOKUP($A407,Games!$A$2:$A$18,Games!$L$2:$L$18,"Missing game",0)</x:f>
        <x:v>58</x:v>
      </x:c>
      <x:c r="AR407" t="n">
        <x:f>_xlfn.XLOOKUP($A407,Games!$A$2:$A$18,Games!$M$2:$M$18,"Missing game",0)</x:f>
        <x:v>0</x:v>
      </x:c>
      <x:c r="AS407" t="str">
        <x:f>_xlfn.XLOOKUP($A407,Games!$A$2:$A$18,Games!$N$2:$N$18,"Missing game",0)</x:f>
        <x:v>dome</x:v>
      </x:c>
      <x:c r="AT407" t="str">
        <x:f>_xlfn.XLOOKUP($A407,Games!$A$2:$A$18,Games!$O$2:$O$18,"Missing game",0)</x:f>
        <x:v>sportturf</x:v>
      </x:c>
      <x:c r="AU407" t="str">
        <x:f>_xlfn.XLOOKUP($A407,Games!$A$2:$A$18,Games!$P$2:$P$18,"Missing game",0)</x:f>
      </x:c>
      <x:c r="AV407" t="str">
        <x:f>_xlfn.XLOOKUP($A407,Games!$A$2:$A$18,Games!$Q$2:$Q$18,"Missing game",0)</x:f>
      </x:c>
      <x:c r="AW407" t="str">
        <x:f>_xlfn.XLOOKUP($A407,Games!$A$2:$A$18,Games!$R$2:$R$18,"Missing game",0)</x:f>
        <x:v>U.S. Bank Stadium</x:v>
      </x:c>
    </x:row>
    <x:row r="408">
      <x:c r="A408" t="str">
        <x:v>2025_03_CIN_MIN</x:v>
      </x:c>
      <x:c r="B408" t="n">
        <x:v>1850</x:v>
      </x:c>
      <x:c r="C408" t="n">
        <x:v>2</x:v>
      </x:c>
      <x:c r="D408" t="str">
        <x:v>02:52</x:v>
      </x:c>
      <x:c r="E408" t="n">
        <x:v>1</x:v>
      </x:c>
      <x:c r="F408" t="n">
        <x:v>10</x:v>
      </x:c>
      <x:c r="G408" t="str">
        <x:v>CIN</x:v>
      </x:c>
      <x:c r="H408" t="str">
        <x:v>MIN</x:v>
      </x:c>
      <x:c r="I408" t="str">
        <x:v>MIN</x:v>
      </x:c>
      <x:c r="J408" t="n">
        <x:v>48</x:v>
      </x:c>
      <x:c r="K408" t="str">
        <x:v>(2:52) 6-J.Browning pass short middle to 86-N.Fant to MIN 39 for 9 yards (55-E.Wilson) [0-I.Pace].</x:v>
      </x:c>
      <x:c r="L408" t="str">
        <x:v>pass</x:v>
      </x:c>
      <x:c r="M408" t="n">
        <x:v>9</x:v>
      </x:c>
      <x:c r="N408" t="n">
        <x:v>0</x:v>
      </x:c>
      <x:c r="O408" t="n">
        <x:v>0</x:v>
      </x:c>
      <x:c r="P408" t="str">
        <x:v>short</x:v>
      </x:c>
      <x:c r="Q408" t="str">
        <x:v>middle</x:v>
      </x:c>
      <x:c r="R408" t="n">
        <x:v>9</x:v>
      </x:c>
      <x:c r="S408" t="n">
        <x:v>0</x:v>
      </x:c>
      <x:c r="T408"/>
      <x:c r="U408"/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/>
      <x:c r="AC408" t="n">
        <x:v>0</x:v>
      </x:c>
      <x:c r="AD408" t="n">
        <x:v>0.6717922260868363</x:v>
      </x:c>
      <x:c r="AE408" t="n">
        <x:v>1</x:v>
      </x:c>
      <x:c r="AF408" t="n">
        <x:v>0.005145758390426636</x:v>
      </x:c>
      <x:c r="AG408" t="n">
        <x:f>_xlfn.XLOOKUP($A408,Games!$A$2:$A$18,Games!$B$2:$B$18,"Missing game",0)</x:f>
        <x:v>2025</x:v>
      </x:c>
      <x:c r="AH408" t="str">
        <x:f>_xlfn.XLOOKUP($A408,Games!$A$2:$A$18,Games!$C$2:$C$18,"Missing game",0)</x:f>
        <x:v>REG</x:v>
      </x:c>
      <x:c r="AI408" t="n">
        <x:f>_xlfn.XLOOKUP($A408,Games!$A$2:$A$18,Games!$D$2:$D$18,"Missing game",0)</x:f>
        <x:v>3</x:v>
      </x:c>
      <x:c r="AJ408" s="1" t="n">
        <x:f>_xlfn.XLOOKUP($A408,Games!$A$2:$A$18,Games!$E$2:$E$18,"Missing game",0)</x:f>
        <x:v>45921</x:v>
      </x:c>
      <x:c r="AK408" t="str">
        <x:f>_xlfn.XLOOKUP($A408,Games!$A$2:$A$18,Games!$F$2:$F$18,"Missing game",0)</x:f>
        <x:v>Sunday</x:v>
      </x:c>
      <x:c r="AL408" t="str">
        <x:f>_xlfn.XLOOKUP($A408,Games!$A$2:$A$18,Games!$G$2:$G$18,"Missing game",0)</x:f>
        <x:v>CIN</x:v>
      </x:c>
      <x:c r="AM408" t="n">
        <x:f>_xlfn.XLOOKUP($A408,Games!$A$2:$A$18,Games!$H$2:$H$18,"Missing game",0)</x:f>
        <x:v>10</x:v>
      </x:c>
      <x:c r="AN408" t="str">
        <x:f>_xlfn.XLOOKUP($A408,Games!$A$2:$A$18,Games!$I$2:$I$18,"Missing game",0)</x:f>
        <x:v>MIN</x:v>
      </x:c>
      <x:c r="AO408" t="n">
        <x:f>_xlfn.XLOOKUP($A408,Games!$A$2:$A$18,Games!$J$2:$J$18,"Missing game",0)</x:f>
        <x:v>48</x:v>
      </x:c>
      <x:c r="AP408" t="n">
        <x:f>_xlfn.XLOOKUP($A408,Games!$A$2:$A$18,Games!$K$2:$K$18,"Missing game",0)</x:f>
        <x:v>38</x:v>
      </x:c>
      <x:c r="AQ408" t="n">
        <x:f>_xlfn.XLOOKUP($A408,Games!$A$2:$A$18,Games!$L$2:$L$18,"Missing game",0)</x:f>
        <x:v>58</x:v>
      </x:c>
      <x:c r="AR408" t="n">
        <x:f>_xlfn.XLOOKUP($A408,Games!$A$2:$A$18,Games!$M$2:$M$18,"Missing game",0)</x:f>
        <x:v>0</x:v>
      </x:c>
      <x:c r="AS408" t="str">
        <x:f>_xlfn.XLOOKUP($A408,Games!$A$2:$A$18,Games!$N$2:$N$18,"Missing game",0)</x:f>
        <x:v>dome</x:v>
      </x:c>
      <x:c r="AT408" t="str">
        <x:f>_xlfn.XLOOKUP($A408,Games!$A$2:$A$18,Games!$O$2:$O$18,"Missing game",0)</x:f>
        <x:v>sportturf</x:v>
      </x:c>
      <x:c r="AU408" t="str">
        <x:f>_xlfn.XLOOKUP($A408,Games!$A$2:$A$18,Games!$P$2:$P$18,"Missing game",0)</x:f>
      </x:c>
      <x:c r="AV408" t="str">
        <x:f>_xlfn.XLOOKUP($A408,Games!$A$2:$A$18,Games!$Q$2:$Q$18,"Missing game",0)</x:f>
      </x:c>
      <x:c r="AW408" t="str">
        <x:f>_xlfn.XLOOKUP($A408,Games!$A$2:$A$18,Games!$R$2:$R$18,"Missing game",0)</x:f>
        <x:v>U.S. Bank Stadium</x:v>
      </x:c>
    </x:row>
    <x:row r="409">
      <x:c r="A409" t="str">
        <x:v>2025_03_CIN_MIN</x:v>
      </x:c>
      <x:c r="B409" t="n">
        <x:v>1882</x:v>
      </x:c>
      <x:c r="C409" t="n">
        <x:v>2</x:v>
      </x:c>
      <x:c r="D409" t="str">
        <x:v>02:15</x:v>
      </x:c>
      <x:c r="E409" t="n">
        <x:v>2</x:v>
      </x:c>
      <x:c r="F409" t="n">
        <x:v>1</x:v>
      </x:c>
      <x:c r="G409" t="str">
        <x:v>CIN</x:v>
      </x:c>
      <x:c r="H409" t="str">
        <x:v>MIN</x:v>
      </x:c>
      <x:c r="I409" t="str">
        <x:v>MIN</x:v>
      </x:c>
      <x:c r="J409" t="n">
        <x:v>39</x:v>
      </x:c>
      <x:c r="K409" t="str">
        <x:v>(2:15) (Shotgun) 34-S.Perine right guard to MIN 36 for 3 yards (0-I.Pace).</x:v>
      </x:c>
      <x:c r="L409" t="str">
        <x:v>run</x:v>
      </x:c>
      <x:c r="M409" t="n">
        <x:v>3</x:v>
      </x:c>
      <x:c r="N409" t="n">
        <x:v>1</x:v>
      </x:c>
      <x:c r="O409" t="n">
        <x:v>0</x:v>
      </x:c>
      <x:c r="P409"/>
      <x:c r="Q409"/>
      <x:c r="R409"/>
      <x:c r="S409"/>
      <x:c r="T409" t="str">
        <x:v>right</x:v>
      </x:c>
      <x:c r="U409" t="str">
        <x:v>guard</x:v>
      </x:c>
      <x:c r="V409" t="n">
        <x:v>0</x:v>
      </x:c>
      <x:c r="W409" t="n">
        <x:v>1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/>
      <x:c r="AC409" t="n">
        <x:v>0</x:v>
      </x:c>
      <x:c r="AD409" t="n">
        <x:v>0.053763533011078835</x:v>
      </x:c>
      <x:c r="AE409" t="n">
        <x:v>1</x:v>
      </x:c>
      <x:c r="AF409" t="n">
        <x:v>-0.006829291582107544</x:v>
      </x:c>
      <x:c r="AG409" t="n">
        <x:f>_xlfn.XLOOKUP($A409,Games!$A$2:$A$18,Games!$B$2:$B$18,"Missing game",0)</x:f>
        <x:v>2025</x:v>
      </x:c>
      <x:c r="AH409" t="str">
        <x:f>_xlfn.XLOOKUP($A409,Games!$A$2:$A$18,Games!$C$2:$C$18,"Missing game",0)</x:f>
        <x:v>REG</x:v>
      </x:c>
      <x:c r="AI409" t="n">
        <x:f>_xlfn.XLOOKUP($A409,Games!$A$2:$A$18,Games!$D$2:$D$18,"Missing game",0)</x:f>
        <x:v>3</x:v>
      </x:c>
      <x:c r="AJ409" s="1" t="n">
        <x:f>_xlfn.XLOOKUP($A409,Games!$A$2:$A$18,Games!$E$2:$E$18,"Missing game",0)</x:f>
        <x:v>45921</x:v>
      </x:c>
      <x:c r="AK409" t="str">
        <x:f>_xlfn.XLOOKUP($A409,Games!$A$2:$A$18,Games!$F$2:$F$18,"Missing game",0)</x:f>
        <x:v>Sunday</x:v>
      </x:c>
      <x:c r="AL409" t="str">
        <x:f>_xlfn.XLOOKUP($A409,Games!$A$2:$A$18,Games!$G$2:$G$18,"Missing game",0)</x:f>
        <x:v>CIN</x:v>
      </x:c>
      <x:c r="AM409" t="n">
        <x:f>_xlfn.XLOOKUP($A409,Games!$A$2:$A$18,Games!$H$2:$H$18,"Missing game",0)</x:f>
        <x:v>10</x:v>
      </x:c>
      <x:c r="AN409" t="str">
        <x:f>_xlfn.XLOOKUP($A409,Games!$A$2:$A$18,Games!$I$2:$I$18,"Missing game",0)</x:f>
        <x:v>MIN</x:v>
      </x:c>
      <x:c r="AO409" t="n">
        <x:f>_xlfn.XLOOKUP($A409,Games!$A$2:$A$18,Games!$J$2:$J$18,"Missing game",0)</x:f>
        <x:v>48</x:v>
      </x:c>
      <x:c r="AP409" t="n">
        <x:f>_xlfn.XLOOKUP($A409,Games!$A$2:$A$18,Games!$K$2:$K$18,"Missing game",0)</x:f>
        <x:v>38</x:v>
      </x:c>
      <x:c r="AQ409" t="n">
        <x:f>_xlfn.XLOOKUP($A409,Games!$A$2:$A$18,Games!$L$2:$L$18,"Missing game",0)</x:f>
        <x:v>58</x:v>
      </x:c>
      <x:c r="AR409" t="n">
        <x:f>_xlfn.XLOOKUP($A409,Games!$A$2:$A$18,Games!$M$2:$M$18,"Missing game",0)</x:f>
        <x:v>0</x:v>
      </x:c>
      <x:c r="AS409" t="str">
        <x:f>_xlfn.XLOOKUP($A409,Games!$A$2:$A$18,Games!$N$2:$N$18,"Missing game",0)</x:f>
        <x:v>dome</x:v>
      </x:c>
      <x:c r="AT409" t="str">
        <x:f>_xlfn.XLOOKUP($A409,Games!$A$2:$A$18,Games!$O$2:$O$18,"Missing game",0)</x:f>
        <x:v>sportturf</x:v>
      </x:c>
      <x:c r="AU409" t="str">
        <x:f>_xlfn.XLOOKUP($A409,Games!$A$2:$A$18,Games!$P$2:$P$18,"Missing game",0)</x:f>
      </x:c>
      <x:c r="AV409" t="str">
        <x:f>_xlfn.XLOOKUP($A409,Games!$A$2:$A$18,Games!$Q$2:$Q$18,"Missing game",0)</x:f>
      </x:c>
      <x:c r="AW409" t="str">
        <x:f>_xlfn.XLOOKUP($A409,Games!$A$2:$A$18,Games!$R$2:$R$18,"Missing game",0)</x:f>
        <x:v>U.S. Bank Stadium</x:v>
      </x:c>
    </x:row>
    <x:row r="410">
      <x:c r="A410" t="str">
        <x:v>2025_03_CIN_MIN</x:v>
      </x:c>
      <x:c r="B410" t="n">
        <x:v>1904</x:v>
      </x:c>
      <x:c r="C410" t="n">
        <x:v>2</x:v>
      </x:c>
      <x:c r="D410" t="str">
        <x:v>02:00</x:v>
      </x:c>
      <x:c r="E410" t="n">
        <x:v>1</x:v>
      </x:c>
      <x:c r="F410" t="n">
        <x:v>10</x:v>
      </x:c>
      <x:c r="G410" t="str">
        <x:v>CIN</x:v>
      </x:c>
      <x:c r="H410" t="str">
        <x:v>MIN</x:v>
      </x:c>
      <x:c r="I410" t="str">
        <x:v>MIN</x:v>
      </x:c>
      <x:c r="J410" t="n">
        <x:v>36</x:v>
      </x:c>
      <x:c r="K410" t="str">
        <x:v>(2:00) (Shotgun) 6-J.Browning pass short right to 86-N.Fant to MIN 32 for 4 yards (2-I.Rodgers). FUMBLES (2-I.Rodgers), RECOVERED by MIN-2-I.Rodgers at MIN 34. 2-I.Rodgers for 66 yards, TOUCHDOWN.</x:v>
      </x:c>
      <x:c r="L410" t="str">
        <x:v>pass</x:v>
      </x:c>
      <x:c r="M410" t="n">
        <x:v>2</x:v>
      </x:c>
      <x:c r="N410" t="n">
        <x:v>1</x:v>
      </x:c>
      <x:c r="O410" t="n">
        <x:v>0</x:v>
      </x:c>
      <x:c r="P410" t="str">
        <x:v>short</x:v>
      </x:c>
      <x:c r="Q410" t="str">
        <x:v>right</x:v>
      </x:c>
      <x:c r="R410" t="n">
        <x:v>0</x:v>
      </x:c>
      <x:c r="S410" t="n">
        <x:v>2</x:v>
      </x:c>
      <x:c r="T410"/>
      <x:c r="U410"/>
      <x:c r="V410" t="n">
        <x:v>1</x:v>
      </x:c>
      <x:c r="W410" t="n">
        <x:v>0</x:v>
      </x:c>
      <x:c r="X410" t="n">
        <x:v>0</x:v>
      </x:c>
      <x:c r="Y410" t="n">
        <x:v>0</x:v>
      </x:c>
      <x:c r="Z410" t="n">
        <x:v>1</x:v>
      </x:c>
      <x:c r="AA410" t="n">
        <x:v>0</x:v>
      </x:c>
      <x:c r="AB410"/>
      <x:c r="AC410" t="n">
        <x:v>1</x:v>
      </x:c>
      <x:c r="AD410" t="n">
        <x:v>-10.271178221853916</x:v>
      </x:c>
      <x:c r="AE410" t="n">
        <x:v>0</x:v>
      </x:c>
      <x:c r="AF410" t="n">
        <x:v>-0.09822763075666063</x:v>
      </x:c>
      <x:c r="AG410" t="n">
        <x:f>_xlfn.XLOOKUP($A410,Games!$A$2:$A$18,Games!$B$2:$B$18,"Missing game",0)</x:f>
        <x:v>2025</x:v>
      </x:c>
      <x:c r="AH410" t="str">
        <x:f>_xlfn.XLOOKUP($A410,Games!$A$2:$A$18,Games!$C$2:$C$18,"Missing game",0)</x:f>
        <x:v>REG</x:v>
      </x:c>
      <x:c r="AI410" t="n">
        <x:f>_xlfn.XLOOKUP($A410,Games!$A$2:$A$18,Games!$D$2:$D$18,"Missing game",0)</x:f>
        <x:v>3</x:v>
      </x:c>
      <x:c r="AJ410" s="1" t="n">
        <x:f>_xlfn.XLOOKUP($A410,Games!$A$2:$A$18,Games!$E$2:$E$18,"Missing game",0)</x:f>
        <x:v>45921</x:v>
      </x:c>
      <x:c r="AK410" t="str">
        <x:f>_xlfn.XLOOKUP($A410,Games!$A$2:$A$18,Games!$F$2:$F$18,"Missing game",0)</x:f>
        <x:v>Sunday</x:v>
      </x:c>
      <x:c r="AL410" t="str">
        <x:f>_xlfn.XLOOKUP($A410,Games!$A$2:$A$18,Games!$G$2:$G$18,"Missing game",0)</x:f>
        <x:v>CIN</x:v>
      </x:c>
      <x:c r="AM410" t="n">
        <x:f>_xlfn.XLOOKUP($A410,Games!$A$2:$A$18,Games!$H$2:$H$18,"Missing game",0)</x:f>
        <x:v>10</x:v>
      </x:c>
      <x:c r="AN410" t="str">
        <x:f>_xlfn.XLOOKUP($A410,Games!$A$2:$A$18,Games!$I$2:$I$18,"Missing game",0)</x:f>
        <x:v>MIN</x:v>
      </x:c>
      <x:c r="AO410" t="n">
        <x:f>_xlfn.XLOOKUP($A410,Games!$A$2:$A$18,Games!$J$2:$J$18,"Missing game",0)</x:f>
        <x:v>48</x:v>
      </x:c>
      <x:c r="AP410" t="n">
        <x:f>_xlfn.XLOOKUP($A410,Games!$A$2:$A$18,Games!$K$2:$K$18,"Missing game",0)</x:f>
        <x:v>38</x:v>
      </x:c>
      <x:c r="AQ410" t="n">
        <x:f>_xlfn.XLOOKUP($A410,Games!$A$2:$A$18,Games!$L$2:$L$18,"Missing game",0)</x:f>
        <x:v>58</x:v>
      </x:c>
      <x:c r="AR410" t="n">
        <x:f>_xlfn.XLOOKUP($A410,Games!$A$2:$A$18,Games!$M$2:$M$18,"Missing game",0)</x:f>
        <x:v>0</x:v>
      </x:c>
      <x:c r="AS410" t="str">
        <x:f>_xlfn.XLOOKUP($A410,Games!$A$2:$A$18,Games!$N$2:$N$18,"Missing game",0)</x:f>
        <x:v>dome</x:v>
      </x:c>
      <x:c r="AT410" t="str">
        <x:f>_xlfn.XLOOKUP($A410,Games!$A$2:$A$18,Games!$O$2:$O$18,"Missing game",0)</x:f>
        <x:v>sportturf</x:v>
      </x:c>
      <x:c r="AU410" t="str">
        <x:f>_xlfn.XLOOKUP($A410,Games!$A$2:$A$18,Games!$P$2:$P$18,"Missing game",0)</x:f>
      </x:c>
      <x:c r="AV410" t="str">
        <x:f>_xlfn.XLOOKUP($A410,Games!$A$2:$A$18,Games!$Q$2:$Q$18,"Missing game",0)</x:f>
      </x:c>
      <x:c r="AW410" t="str">
        <x:f>_xlfn.XLOOKUP($A410,Games!$A$2:$A$18,Games!$R$2:$R$18,"Missing game",0)</x:f>
        <x:v>U.S. Bank Stadium</x:v>
      </x:c>
    </x:row>
    <x:row r="411">
      <x:c r="A411" t="str">
        <x:v>2025_03_CIN_MIN</x:v>
      </x:c>
      <x:c r="B411" t="n">
        <x:v>1953</x:v>
      </x:c>
      <x:c r="C411" t="n">
        <x:v>2</x:v>
      </x:c>
      <x:c r="D411" t="str">
        <x:v>01:47</x:v>
      </x:c>
      <x:c r="E411"/>
      <x:c r="F411" t="n">
        <x:v>0</x:v>
      </x:c>
      <x:c r="G411" t="str">
        <x:v>MIN</x:v>
      </x:c>
      <x:c r="H411" t="str">
        <x:v>CIN</x:v>
      </x:c>
      <x:c r="I411" t="str">
        <x:v>CIN</x:v>
      </x:c>
      <x:c r="J411" t="n">
        <x:v>15</x:v>
      </x:c>
      <x:c r="K411" t="str">
        <x:v>16-W.Reichard extra point is GOOD, Center-42-A.DePaola, Holder-17-R.Wright.</x:v>
      </x:c>
      <x:c r="L411" t="str">
        <x:v>extra_point</x:v>
      </x:c>
      <x:c r="M411" t="n">
        <x:v>0</x:v>
      </x:c>
      <x:c r="N411" t="n">
        <x:v>0</x:v>
      </x:c>
      <x:c r="O411" t="n">
        <x:v>0</x:v>
      </x:c>
      <x:c r="P411"/>
      <x:c r="Q411"/>
      <x:c r="R411"/>
      <x:c r="S411"/>
      <x:c r="T411"/>
      <x:c r="U411"/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/>
      <x:c r="AC411" t="n">
        <x:v>0</x:v>
      </x:c>
      <x:c r="AD411" t="n">
        <x:v>0.05117156607063911</x:v>
      </x:c>
      <x:c r="AE411" t="n">
        <x:v>1</x:v>
      </x:c>
      <x:c r="AF411" t="n">
        <x:v>-0.0006587276382886698</x:v>
      </x:c>
      <x:c r="AG411" t="n">
        <x:f>_xlfn.XLOOKUP($A411,Games!$A$2:$A$18,Games!$B$2:$B$18,"Missing game",0)</x:f>
        <x:v>2025</x:v>
      </x:c>
      <x:c r="AH411" t="str">
        <x:f>_xlfn.XLOOKUP($A411,Games!$A$2:$A$18,Games!$C$2:$C$18,"Missing game",0)</x:f>
        <x:v>REG</x:v>
      </x:c>
      <x:c r="AI411" t="n">
        <x:f>_xlfn.XLOOKUP($A411,Games!$A$2:$A$18,Games!$D$2:$D$18,"Missing game",0)</x:f>
        <x:v>3</x:v>
      </x:c>
      <x:c r="AJ411" s="1" t="n">
        <x:f>_xlfn.XLOOKUP($A411,Games!$A$2:$A$18,Games!$E$2:$E$18,"Missing game",0)</x:f>
        <x:v>45921</x:v>
      </x:c>
      <x:c r="AK411" t="str">
        <x:f>_xlfn.XLOOKUP($A411,Games!$A$2:$A$18,Games!$F$2:$F$18,"Missing game",0)</x:f>
        <x:v>Sunday</x:v>
      </x:c>
      <x:c r="AL411" t="str">
        <x:f>_xlfn.XLOOKUP($A411,Games!$A$2:$A$18,Games!$G$2:$G$18,"Missing game",0)</x:f>
        <x:v>CIN</x:v>
      </x:c>
      <x:c r="AM411" t="n">
        <x:f>_xlfn.XLOOKUP($A411,Games!$A$2:$A$18,Games!$H$2:$H$18,"Missing game",0)</x:f>
        <x:v>10</x:v>
      </x:c>
      <x:c r="AN411" t="str">
        <x:f>_xlfn.XLOOKUP($A411,Games!$A$2:$A$18,Games!$I$2:$I$18,"Missing game",0)</x:f>
        <x:v>MIN</x:v>
      </x:c>
      <x:c r="AO411" t="n">
        <x:f>_xlfn.XLOOKUP($A411,Games!$A$2:$A$18,Games!$J$2:$J$18,"Missing game",0)</x:f>
        <x:v>48</x:v>
      </x:c>
      <x:c r="AP411" t="n">
        <x:f>_xlfn.XLOOKUP($A411,Games!$A$2:$A$18,Games!$K$2:$K$18,"Missing game",0)</x:f>
        <x:v>38</x:v>
      </x:c>
      <x:c r="AQ411" t="n">
        <x:f>_xlfn.XLOOKUP($A411,Games!$A$2:$A$18,Games!$L$2:$L$18,"Missing game",0)</x:f>
        <x:v>58</x:v>
      </x:c>
      <x:c r="AR411" t="n">
        <x:f>_xlfn.XLOOKUP($A411,Games!$A$2:$A$18,Games!$M$2:$M$18,"Missing game",0)</x:f>
        <x:v>0</x:v>
      </x:c>
      <x:c r="AS411" t="str">
        <x:f>_xlfn.XLOOKUP($A411,Games!$A$2:$A$18,Games!$N$2:$N$18,"Missing game",0)</x:f>
        <x:v>dome</x:v>
      </x:c>
      <x:c r="AT411" t="str">
        <x:f>_xlfn.XLOOKUP($A411,Games!$A$2:$A$18,Games!$O$2:$O$18,"Missing game",0)</x:f>
        <x:v>sportturf</x:v>
      </x:c>
      <x:c r="AU411" t="str">
        <x:f>_xlfn.XLOOKUP($A411,Games!$A$2:$A$18,Games!$P$2:$P$18,"Missing game",0)</x:f>
      </x:c>
      <x:c r="AV411" t="str">
        <x:f>_xlfn.XLOOKUP($A411,Games!$A$2:$A$18,Games!$Q$2:$Q$18,"Missing game",0)</x:f>
      </x:c>
      <x:c r="AW411" t="str">
        <x:f>_xlfn.XLOOKUP($A411,Games!$A$2:$A$18,Games!$R$2:$R$18,"Missing game",0)</x:f>
        <x:v>U.S. Bank Stadium</x:v>
      </x:c>
    </x:row>
    <x:row r="412">
      <x:c r="A412" t="str">
        <x:v>2025_03_CIN_MIN</x:v>
      </x:c>
      <x:c r="B412" t="n">
        <x:v>1968</x:v>
      </x:c>
      <x:c r="C412" t="n">
        <x:v>2</x:v>
      </x:c>
      <x:c r="D412" t="str">
        <x:v>01:47</x:v>
      </x:c>
      <x:c r="E412"/>
      <x:c r="F412" t="n">
        <x:v>0</x:v>
      </x:c>
      <x:c r="G412" t="str">
        <x:v>CIN</x:v>
      </x:c>
      <x:c r="H412" t="str">
        <x:v>MIN</x:v>
      </x:c>
      <x:c r="I412" t="str">
        <x:v>MIN</x:v>
      </x:c>
      <x:c r="J412" t="n">
        <x:v>35</x:v>
      </x:c>
      <x:c r="K412" t="str">
        <x:v>16-W.Reichard kicks 59 yards from MIN 35 to CIN 6. 34-S.Perine to CIN 27 for 21 yards (0-I.Pace).</x:v>
      </x:c>
      <x:c r="L412" t="str">
        <x:v>kickoff</x:v>
      </x:c>
      <x:c r="M412" t="n">
        <x:v>0</x:v>
      </x:c>
      <x:c r="N412" t="n">
        <x:v>0</x:v>
      </x:c>
      <x:c r="O412" t="n">
        <x:v>0</x:v>
      </x:c>
      <x:c r="P412"/>
      <x:c r="Q412"/>
      <x:c r="R412"/>
      <x:c r="S412"/>
      <x:c r="T412"/>
      <x:c r="U412"/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/>
      <x:c r="AC412" t="n">
        <x:v>0</x:v>
      </x:c>
      <x:c r="AD412" t="n">
        <x:v>0.23981719987932593</x:v>
      </x:c>
      <x:c r="AE412" t="n">
        <x:v>1</x:v>
      </x:c>
      <x:c r="AF412" t="n">
        <x:v>0</x:v>
      </x:c>
      <x:c r="AG412" t="n">
        <x:f>_xlfn.XLOOKUP($A412,Games!$A$2:$A$18,Games!$B$2:$B$18,"Missing game",0)</x:f>
        <x:v>2025</x:v>
      </x:c>
      <x:c r="AH412" t="str">
        <x:f>_xlfn.XLOOKUP($A412,Games!$A$2:$A$18,Games!$C$2:$C$18,"Missing game",0)</x:f>
        <x:v>REG</x:v>
      </x:c>
      <x:c r="AI412" t="n">
        <x:f>_xlfn.XLOOKUP($A412,Games!$A$2:$A$18,Games!$D$2:$D$18,"Missing game",0)</x:f>
        <x:v>3</x:v>
      </x:c>
      <x:c r="AJ412" s="1" t="n">
        <x:f>_xlfn.XLOOKUP($A412,Games!$A$2:$A$18,Games!$E$2:$E$18,"Missing game",0)</x:f>
        <x:v>45921</x:v>
      </x:c>
      <x:c r="AK412" t="str">
        <x:f>_xlfn.XLOOKUP($A412,Games!$A$2:$A$18,Games!$F$2:$F$18,"Missing game",0)</x:f>
        <x:v>Sunday</x:v>
      </x:c>
      <x:c r="AL412" t="str">
        <x:f>_xlfn.XLOOKUP($A412,Games!$A$2:$A$18,Games!$G$2:$G$18,"Missing game",0)</x:f>
        <x:v>CIN</x:v>
      </x:c>
      <x:c r="AM412" t="n">
        <x:f>_xlfn.XLOOKUP($A412,Games!$A$2:$A$18,Games!$H$2:$H$18,"Missing game",0)</x:f>
        <x:v>10</x:v>
      </x:c>
      <x:c r="AN412" t="str">
        <x:f>_xlfn.XLOOKUP($A412,Games!$A$2:$A$18,Games!$I$2:$I$18,"Missing game",0)</x:f>
        <x:v>MIN</x:v>
      </x:c>
      <x:c r="AO412" t="n">
        <x:f>_xlfn.XLOOKUP($A412,Games!$A$2:$A$18,Games!$J$2:$J$18,"Missing game",0)</x:f>
        <x:v>48</x:v>
      </x:c>
      <x:c r="AP412" t="n">
        <x:f>_xlfn.XLOOKUP($A412,Games!$A$2:$A$18,Games!$K$2:$K$18,"Missing game",0)</x:f>
        <x:v>38</x:v>
      </x:c>
      <x:c r="AQ412" t="n">
        <x:f>_xlfn.XLOOKUP($A412,Games!$A$2:$A$18,Games!$L$2:$L$18,"Missing game",0)</x:f>
        <x:v>58</x:v>
      </x:c>
      <x:c r="AR412" t="n">
        <x:f>_xlfn.XLOOKUP($A412,Games!$A$2:$A$18,Games!$M$2:$M$18,"Missing game",0)</x:f>
        <x:v>0</x:v>
      </x:c>
      <x:c r="AS412" t="str">
        <x:f>_xlfn.XLOOKUP($A412,Games!$A$2:$A$18,Games!$N$2:$N$18,"Missing game",0)</x:f>
        <x:v>dome</x:v>
      </x:c>
      <x:c r="AT412" t="str">
        <x:f>_xlfn.XLOOKUP($A412,Games!$A$2:$A$18,Games!$O$2:$O$18,"Missing game",0)</x:f>
        <x:v>sportturf</x:v>
      </x:c>
      <x:c r="AU412" t="str">
        <x:f>_xlfn.XLOOKUP($A412,Games!$A$2:$A$18,Games!$P$2:$P$18,"Missing game",0)</x:f>
      </x:c>
      <x:c r="AV412" t="str">
        <x:f>_xlfn.XLOOKUP($A412,Games!$A$2:$A$18,Games!$Q$2:$Q$18,"Missing game",0)</x:f>
      </x:c>
      <x:c r="AW412" t="str">
        <x:f>_xlfn.XLOOKUP($A412,Games!$A$2:$A$18,Games!$R$2:$R$18,"Missing game",0)</x:f>
        <x:v>U.S. Bank Stadium</x:v>
      </x:c>
    </x:row>
    <x:row r="413">
      <x:c r="A413" t="str">
        <x:v>2025_03_CIN_MIN</x:v>
      </x:c>
      <x:c r="B413" t="n">
        <x:v>1991</x:v>
      </x:c>
      <x:c r="C413" t="n">
        <x:v>2</x:v>
      </x:c>
      <x:c r="D413" t="str">
        <x:v>01:42</x:v>
      </x:c>
      <x:c r="E413" t="n">
        <x:v>1</x:v>
      </x:c>
      <x:c r="F413" t="n">
        <x:v>10</x:v>
      </x:c>
      <x:c r="G413" t="str">
        <x:v>CIN</x:v>
      </x:c>
      <x:c r="H413" t="str">
        <x:v>MIN</x:v>
      </x:c>
      <x:c r="I413" t="str">
        <x:v>CIN</x:v>
      </x:c>
      <x:c r="J413" t="n">
        <x:v>73</x:v>
      </x:c>
      <x:c r="K413" t="str">
        <x:v>(1:42) (Shotgun) 6-J.Browning pass incomplete short right to 88-M.Gesicki.</x:v>
      </x:c>
      <x:c r="L413" t="str">
        <x:v>pass</x:v>
      </x:c>
      <x:c r="M413" t="n">
        <x:v>0</x:v>
      </x:c>
      <x:c r="N413" t="n">
        <x:v>1</x:v>
      </x:c>
      <x:c r="O413" t="n">
        <x:v>0</x:v>
      </x:c>
      <x:c r="P413" t="str">
        <x:v>short</x:v>
      </x:c>
      <x:c r="Q413" t="str">
        <x:v>right</x:v>
      </x:c>
      <x:c r="R413" t="n">
        <x:v>1</x:v>
      </x:c>
      <x:c r="S413"/>
      <x:c r="T413"/>
      <x:c r="U413"/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/>
      <x:c r="AC413" t="n">
        <x:v>0</x:v>
      </x:c>
      <x:c r="AD413" t="n">
        <x:v>-0.2798381602624431</x:v>
      </x:c>
      <x:c r="AE413" t="n">
        <x:v>0</x:v>
      </x:c>
      <x:c r="AF413" t="n">
        <x:v>-0.004715923219919205</x:v>
      </x:c>
      <x:c r="AG413" t="n">
        <x:f>_xlfn.XLOOKUP($A413,Games!$A$2:$A$18,Games!$B$2:$B$18,"Missing game",0)</x:f>
        <x:v>2025</x:v>
      </x:c>
      <x:c r="AH413" t="str">
        <x:f>_xlfn.XLOOKUP($A413,Games!$A$2:$A$18,Games!$C$2:$C$18,"Missing game",0)</x:f>
        <x:v>REG</x:v>
      </x:c>
      <x:c r="AI413" t="n">
        <x:f>_xlfn.XLOOKUP($A413,Games!$A$2:$A$18,Games!$D$2:$D$18,"Missing game",0)</x:f>
        <x:v>3</x:v>
      </x:c>
      <x:c r="AJ413" s="1" t="n">
        <x:f>_xlfn.XLOOKUP($A413,Games!$A$2:$A$18,Games!$E$2:$E$18,"Missing game",0)</x:f>
        <x:v>45921</x:v>
      </x:c>
      <x:c r="AK413" t="str">
        <x:f>_xlfn.XLOOKUP($A413,Games!$A$2:$A$18,Games!$F$2:$F$18,"Missing game",0)</x:f>
        <x:v>Sunday</x:v>
      </x:c>
      <x:c r="AL413" t="str">
        <x:f>_xlfn.XLOOKUP($A413,Games!$A$2:$A$18,Games!$G$2:$G$18,"Missing game",0)</x:f>
        <x:v>CIN</x:v>
      </x:c>
      <x:c r="AM413" t="n">
        <x:f>_xlfn.XLOOKUP($A413,Games!$A$2:$A$18,Games!$H$2:$H$18,"Missing game",0)</x:f>
        <x:v>10</x:v>
      </x:c>
      <x:c r="AN413" t="str">
        <x:f>_xlfn.XLOOKUP($A413,Games!$A$2:$A$18,Games!$I$2:$I$18,"Missing game",0)</x:f>
        <x:v>MIN</x:v>
      </x:c>
      <x:c r="AO413" t="n">
        <x:f>_xlfn.XLOOKUP($A413,Games!$A$2:$A$18,Games!$J$2:$J$18,"Missing game",0)</x:f>
        <x:v>48</x:v>
      </x:c>
      <x:c r="AP413" t="n">
        <x:f>_xlfn.XLOOKUP($A413,Games!$A$2:$A$18,Games!$K$2:$K$18,"Missing game",0)</x:f>
        <x:v>38</x:v>
      </x:c>
      <x:c r="AQ413" t="n">
        <x:f>_xlfn.XLOOKUP($A413,Games!$A$2:$A$18,Games!$L$2:$L$18,"Missing game",0)</x:f>
        <x:v>58</x:v>
      </x:c>
      <x:c r="AR413" t="n">
        <x:f>_xlfn.XLOOKUP($A413,Games!$A$2:$A$18,Games!$M$2:$M$18,"Missing game",0)</x:f>
        <x:v>0</x:v>
      </x:c>
      <x:c r="AS413" t="str">
        <x:f>_xlfn.XLOOKUP($A413,Games!$A$2:$A$18,Games!$N$2:$N$18,"Missing game",0)</x:f>
        <x:v>dome</x:v>
      </x:c>
      <x:c r="AT413" t="str">
        <x:f>_xlfn.XLOOKUP($A413,Games!$A$2:$A$18,Games!$O$2:$O$18,"Missing game",0)</x:f>
        <x:v>sportturf</x:v>
      </x:c>
      <x:c r="AU413" t="str">
        <x:f>_xlfn.XLOOKUP($A413,Games!$A$2:$A$18,Games!$P$2:$P$18,"Missing game",0)</x:f>
      </x:c>
      <x:c r="AV413" t="str">
        <x:f>_xlfn.XLOOKUP($A413,Games!$A$2:$A$18,Games!$Q$2:$Q$18,"Missing game",0)</x:f>
      </x:c>
      <x:c r="AW413" t="str">
        <x:f>_xlfn.XLOOKUP($A413,Games!$A$2:$A$18,Games!$R$2:$R$18,"Missing game",0)</x:f>
        <x:v>U.S. Bank Stadium</x:v>
      </x:c>
    </x:row>
    <x:row r="414">
      <x:c r="A414" t="str">
        <x:v>2025_03_CIN_MIN</x:v>
      </x:c>
      <x:c r="B414" t="n">
        <x:v>2014</x:v>
      </x:c>
      <x:c r="C414" t="n">
        <x:v>2</x:v>
      </x:c>
      <x:c r="D414" t="str">
        <x:v>01:38</x:v>
      </x:c>
      <x:c r="E414" t="n">
        <x:v>2</x:v>
      </x:c>
      <x:c r="F414" t="n">
        <x:v>10</x:v>
      </x:c>
      <x:c r="G414" t="str">
        <x:v>CIN</x:v>
      </x:c>
      <x:c r="H414" t="str">
        <x:v>MIN</x:v>
      </x:c>
      <x:c r="I414" t="str">
        <x:v>CIN</x:v>
      </x:c>
      <x:c r="J414" t="n">
        <x:v>73</x:v>
      </x:c>
      <x:c r="K414" t="str">
        <x:v>(1:38) (Shotgun) 6-J.Browning pass short middle to 88-M.Gesicki to CIN 36 for 9 yards (44-J.Metellus). PENALTY on MIN-93-J.Allen, Defensive Offside, 5 yards, enforced at CIN 27 - No Play.</x:v>
      </x:c>
      <x:c r="L414" t="str">
        <x:v>no_play</x:v>
      </x:c>
      <x:c r="M414" t="n">
        <x:v>0</x:v>
      </x:c>
      <x:c r="N414" t="n">
        <x:v>1</x:v>
      </x:c>
      <x:c r="O414" t="n">
        <x:v>0</x:v>
      </x:c>
      <x:c r="P414"/>
      <x:c r="Q414"/>
      <x:c r="R414"/>
      <x:c r="S414"/>
      <x:c r="T414"/>
      <x:c r="U414"/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1</x:v>
      </x:c>
      <x:c r="AB414" t="n">
        <x:v>5</x:v>
      </x:c>
      <x:c r="AC414" t="n">
        <x:v>0</x:v>
      </x:c>
      <x:c r="AD414" t="n">
        <x:v>0.45857643941417336</x:v>
      </x:c>
      <x:c r="AE414" t="n">
        <x:v>1</x:v>
      </x:c>
      <x:c r="AF414" t="n">
        <x:v>0.006444685161113739</x:v>
      </x:c>
      <x:c r="AG414" t="n">
        <x:f>_xlfn.XLOOKUP($A414,Games!$A$2:$A$18,Games!$B$2:$B$18,"Missing game",0)</x:f>
        <x:v>2025</x:v>
      </x:c>
      <x:c r="AH414" t="str">
        <x:f>_xlfn.XLOOKUP($A414,Games!$A$2:$A$18,Games!$C$2:$C$18,"Missing game",0)</x:f>
        <x:v>REG</x:v>
      </x:c>
      <x:c r="AI414" t="n">
        <x:f>_xlfn.XLOOKUP($A414,Games!$A$2:$A$18,Games!$D$2:$D$18,"Missing game",0)</x:f>
        <x:v>3</x:v>
      </x:c>
      <x:c r="AJ414" s="1" t="n">
        <x:f>_xlfn.XLOOKUP($A414,Games!$A$2:$A$18,Games!$E$2:$E$18,"Missing game",0)</x:f>
        <x:v>45921</x:v>
      </x:c>
      <x:c r="AK414" t="str">
        <x:f>_xlfn.XLOOKUP($A414,Games!$A$2:$A$18,Games!$F$2:$F$18,"Missing game",0)</x:f>
        <x:v>Sunday</x:v>
      </x:c>
      <x:c r="AL414" t="str">
        <x:f>_xlfn.XLOOKUP($A414,Games!$A$2:$A$18,Games!$G$2:$G$18,"Missing game",0)</x:f>
        <x:v>CIN</x:v>
      </x:c>
      <x:c r="AM414" t="n">
        <x:f>_xlfn.XLOOKUP($A414,Games!$A$2:$A$18,Games!$H$2:$H$18,"Missing game",0)</x:f>
        <x:v>10</x:v>
      </x:c>
      <x:c r="AN414" t="str">
        <x:f>_xlfn.XLOOKUP($A414,Games!$A$2:$A$18,Games!$I$2:$I$18,"Missing game",0)</x:f>
        <x:v>MIN</x:v>
      </x:c>
      <x:c r="AO414" t="n">
        <x:f>_xlfn.XLOOKUP($A414,Games!$A$2:$A$18,Games!$J$2:$J$18,"Missing game",0)</x:f>
        <x:v>48</x:v>
      </x:c>
      <x:c r="AP414" t="n">
        <x:f>_xlfn.XLOOKUP($A414,Games!$A$2:$A$18,Games!$K$2:$K$18,"Missing game",0)</x:f>
        <x:v>38</x:v>
      </x:c>
      <x:c r="AQ414" t="n">
        <x:f>_xlfn.XLOOKUP($A414,Games!$A$2:$A$18,Games!$L$2:$L$18,"Missing game",0)</x:f>
        <x:v>58</x:v>
      </x:c>
      <x:c r="AR414" t="n">
        <x:f>_xlfn.XLOOKUP($A414,Games!$A$2:$A$18,Games!$M$2:$M$18,"Missing game",0)</x:f>
        <x:v>0</x:v>
      </x:c>
      <x:c r="AS414" t="str">
        <x:f>_xlfn.XLOOKUP($A414,Games!$A$2:$A$18,Games!$N$2:$N$18,"Missing game",0)</x:f>
        <x:v>dome</x:v>
      </x:c>
      <x:c r="AT414" t="str">
        <x:f>_xlfn.XLOOKUP($A414,Games!$A$2:$A$18,Games!$O$2:$O$18,"Missing game",0)</x:f>
        <x:v>sportturf</x:v>
      </x:c>
      <x:c r="AU414" t="str">
        <x:f>_xlfn.XLOOKUP($A414,Games!$A$2:$A$18,Games!$P$2:$P$18,"Missing game",0)</x:f>
      </x:c>
      <x:c r="AV414" t="str">
        <x:f>_xlfn.XLOOKUP($A414,Games!$A$2:$A$18,Games!$Q$2:$Q$18,"Missing game",0)</x:f>
      </x:c>
      <x:c r="AW414" t="str">
        <x:f>_xlfn.XLOOKUP($A414,Games!$A$2:$A$18,Games!$R$2:$R$18,"Missing game",0)</x:f>
        <x:v>U.S. Bank Stadium</x:v>
      </x:c>
    </x:row>
    <x:row r="415">
      <x:c r="A415" t="str">
        <x:v>2025_03_CIN_MIN</x:v>
      </x:c>
      <x:c r="B415" t="n">
        <x:v>2050</x:v>
      </x:c>
      <x:c r="C415" t="n">
        <x:v>2</x:v>
      </x:c>
      <x:c r="D415" t="str">
        <x:v>01:31</x:v>
      </x:c>
      <x:c r="E415" t="n">
        <x:v>2</x:v>
      </x:c>
      <x:c r="F415" t="n">
        <x:v>5</x:v>
      </x:c>
      <x:c r="G415" t="str">
        <x:v>CIN</x:v>
      </x:c>
      <x:c r="H415" t="str">
        <x:v>MIN</x:v>
      </x:c>
      <x:c r="I415" t="str">
        <x:v>CIN</x:v>
      </x:c>
      <x:c r="J415" t="n">
        <x:v>68</x:v>
      </x:c>
      <x:c r="K415" t="str">
        <x:v>(1:31) (Shotgun) 6-J.Browning pass short right to 1-J.Chase to CIN 47 for 15 yards (2-I.Rodgers). FUMBLES (2-I.Rodgers), RECOVERED by MIN-8-J.Okudah at MIN 48. 8-J.Okudah to MIN 48 for no gain (1-J.Chase). Penalty on CIN-5-T.Higgins, Illegal Motion, declined. Penalty on CIN-6-J.Browning, Illegal Forward Pass, declined.</x:v>
      </x:c>
      <x:c r="L415" t="str">
        <x:v>pass</x:v>
      </x:c>
      <x:c r="M415" t="n">
        <x:v>15</x:v>
      </x:c>
      <x:c r="N415" t="n">
        <x:v>1</x:v>
      </x:c>
      <x:c r="O415" t="n">
        <x:v>0</x:v>
      </x:c>
      <x:c r="P415" t="str">
        <x:v>short</x:v>
      </x:c>
      <x:c r="Q415" t="str">
        <x:v>right</x:v>
      </x:c>
      <x:c r="R415" t="n">
        <x:v>9</x:v>
      </x:c>
      <x:c r="S415" t="n">
        <x:v>6</x:v>
      </x:c>
      <x:c r="T415"/>
      <x:c r="U415"/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1</x:v>
      </x:c>
      <x:c r="AA415" t="n">
        <x:v>0</x:v>
      </x:c>
      <x:c r="AB415"/>
      <x:c r="AC415" t="n">
        <x:v>0</x:v>
      </x:c>
      <x:c r="AD415" t="n">
        <x:v>-3.5878798582125455</x:v>
      </x:c>
      <x:c r="AE415" t="n">
        <x:v>0</x:v>
      </x:c>
      <x:c r="AF415" t="n">
        <x:v>-0.0199984610080719</x:v>
      </x:c>
      <x:c r="AG415" t="n">
        <x:f>_xlfn.XLOOKUP($A415,Games!$A$2:$A$18,Games!$B$2:$B$18,"Missing game",0)</x:f>
        <x:v>2025</x:v>
      </x:c>
      <x:c r="AH415" t="str">
        <x:f>_xlfn.XLOOKUP($A415,Games!$A$2:$A$18,Games!$C$2:$C$18,"Missing game",0)</x:f>
        <x:v>REG</x:v>
      </x:c>
      <x:c r="AI415" t="n">
        <x:f>_xlfn.XLOOKUP($A415,Games!$A$2:$A$18,Games!$D$2:$D$18,"Missing game",0)</x:f>
        <x:v>3</x:v>
      </x:c>
      <x:c r="AJ415" s="1" t="n">
        <x:f>_xlfn.XLOOKUP($A415,Games!$A$2:$A$18,Games!$E$2:$E$18,"Missing game",0)</x:f>
        <x:v>45921</x:v>
      </x:c>
      <x:c r="AK415" t="str">
        <x:f>_xlfn.XLOOKUP($A415,Games!$A$2:$A$18,Games!$F$2:$F$18,"Missing game",0)</x:f>
        <x:v>Sunday</x:v>
      </x:c>
      <x:c r="AL415" t="str">
        <x:f>_xlfn.XLOOKUP($A415,Games!$A$2:$A$18,Games!$G$2:$G$18,"Missing game",0)</x:f>
        <x:v>CIN</x:v>
      </x:c>
      <x:c r="AM415" t="n">
        <x:f>_xlfn.XLOOKUP($A415,Games!$A$2:$A$18,Games!$H$2:$H$18,"Missing game",0)</x:f>
        <x:v>10</x:v>
      </x:c>
      <x:c r="AN415" t="str">
        <x:f>_xlfn.XLOOKUP($A415,Games!$A$2:$A$18,Games!$I$2:$I$18,"Missing game",0)</x:f>
        <x:v>MIN</x:v>
      </x:c>
      <x:c r="AO415" t="n">
        <x:f>_xlfn.XLOOKUP($A415,Games!$A$2:$A$18,Games!$J$2:$J$18,"Missing game",0)</x:f>
        <x:v>48</x:v>
      </x:c>
      <x:c r="AP415" t="n">
        <x:f>_xlfn.XLOOKUP($A415,Games!$A$2:$A$18,Games!$K$2:$K$18,"Missing game",0)</x:f>
        <x:v>38</x:v>
      </x:c>
      <x:c r="AQ415" t="n">
        <x:f>_xlfn.XLOOKUP($A415,Games!$A$2:$A$18,Games!$L$2:$L$18,"Missing game",0)</x:f>
        <x:v>58</x:v>
      </x:c>
      <x:c r="AR415" t="n">
        <x:f>_xlfn.XLOOKUP($A415,Games!$A$2:$A$18,Games!$M$2:$M$18,"Missing game",0)</x:f>
        <x:v>0</x:v>
      </x:c>
      <x:c r="AS415" t="str">
        <x:f>_xlfn.XLOOKUP($A415,Games!$A$2:$A$18,Games!$N$2:$N$18,"Missing game",0)</x:f>
        <x:v>dome</x:v>
      </x:c>
      <x:c r="AT415" t="str">
        <x:f>_xlfn.XLOOKUP($A415,Games!$A$2:$A$18,Games!$O$2:$O$18,"Missing game",0)</x:f>
        <x:v>sportturf</x:v>
      </x:c>
      <x:c r="AU415" t="str">
        <x:f>_xlfn.XLOOKUP($A415,Games!$A$2:$A$18,Games!$P$2:$P$18,"Missing game",0)</x:f>
      </x:c>
      <x:c r="AV415" t="str">
        <x:f>_xlfn.XLOOKUP($A415,Games!$A$2:$A$18,Games!$Q$2:$Q$18,"Missing game",0)</x:f>
      </x:c>
      <x:c r="AW415" t="str">
        <x:f>_xlfn.XLOOKUP($A415,Games!$A$2:$A$18,Games!$R$2:$R$18,"Missing game",0)</x:f>
        <x:v>U.S. Bank Stadium</x:v>
      </x:c>
    </x:row>
    <x:row r="416">
      <x:c r="A416" t="str">
        <x:v>2025_03_CIN_MIN</x:v>
      </x:c>
      <x:c r="B416" t="n">
        <x:v>2106</x:v>
      </x:c>
      <x:c r="C416" t="n">
        <x:v>2</x:v>
      </x:c>
      <x:c r="D416" t="str">
        <x:v>01:21</x:v>
      </x:c>
      <x:c r="E416" t="n">
        <x:v>1</x:v>
      </x:c>
      <x:c r="F416" t="n">
        <x:v>10</x:v>
      </x:c>
      <x:c r="G416" t="str">
        <x:v>MIN</x:v>
      </x:c>
      <x:c r="H416" t="str">
        <x:v>CIN</x:v>
      </x:c>
      <x:c r="I416" t="str">
        <x:v>MIN</x:v>
      </x:c>
      <x:c r="J416" t="n">
        <x:v>52</x:v>
      </x:c>
      <x:c r="K416" t="str">
        <x:v>(1:21) (Shotgun) 11-C.Wentz pass short left to 18-J.Jefferson to CIN 16 for 36 yards (44-D.Knight; 55-L.Wilson).</x:v>
      </x:c>
      <x:c r="L416" t="str">
        <x:v>pass</x:v>
      </x:c>
      <x:c r="M416" t="n">
        <x:v>36</x:v>
      </x:c>
      <x:c r="N416" t="n">
        <x:v>1</x:v>
      </x:c>
      <x:c r="O416" t="n">
        <x:v>0</x:v>
      </x:c>
      <x:c r="P416" t="str">
        <x:v>short</x:v>
      </x:c>
      <x:c r="Q416" t="str">
        <x:v>left</x:v>
      </x:c>
      <x:c r="R416" t="n">
        <x:v>14</x:v>
      </x:c>
      <x:c r="S416" t="n">
        <x:v>22</x:v>
      </x:c>
      <x:c r="T416"/>
      <x:c r="U416"/>
      <x:c r="V416" t="n">
        <x:v>1</x:v>
      </x:c>
      <x:c r="W416" t="n">
        <x:v>1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/>
      <x:c r="AC416" t="n">
        <x:v>0</x:v>
      </x:c>
      <x:c r="AD416" t="n">
        <x:v>2.137204084021505</x:v>
      </x:c>
      <x:c r="AE416" t="n">
        <x:v>1</x:v>
      </x:c>
      <x:c r="AF416" t="n">
        <x:v>0.007269680500030518</x:v>
      </x:c>
      <x:c r="AG416" t="n">
        <x:f>_xlfn.XLOOKUP($A416,Games!$A$2:$A$18,Games!$B$2:$B$18,"Missing game",0)</x:f>
        <x:v>2025</x:v>
      </x:c>
      <x:c r="AH416" t="str">
        <x:f>_xlfn.XLOOKUP($A416,Games!$A$2:$A$18,Games!$C$2:$C$18,"Missing game",0)</x:f>
        <x:v>REG</x:v>
      </x:c>
      <x:c r="AI416" t="n">
        <x:f>_xlfn.XLOOKUP($A416,Games!$A$2:$A$18,Games!$D$2:$D$18,"Missing game",0)</x:f>
        <x:v>3</x:v>
      </x:c>
      <x:c r="AJ416" s="1" t="n">
        <x:f>_xlfn.XLOOKUP($A416,Games!$A$2:$A$18,Games!$E$2:$E$18,"Missing game",0)</x:f>
        <x:v>45921</x:v>
      </x:c>
      <x:c r="AK416" t="str">
        <x:f>_xlfn.XLOOKUP($A416,Games!$A$2:$A$18,Games!$F$2:$F$18,"Missing game",0)</x:f>
        <x:v>Sunday</x:v>
      </x:c>
      <x:c r="AL416" t="str">
        <x:f>_xlfn.XLOOKUP($A416,Games!$A$2:$A$18,Games!$G$2:$G$18,"Missing game",0)</x:f>
        <x:v>CIN</x:v>
      </x:c>
      <x:c r="AM416" t="n">
        <x:f>_xlfn.XLOOKUP($A416,Games!$A$2:$A$18,Games!$H$2:$H$18,"Missing game",0)</x:f>
        <x:v>10</x:v>
      </x:c>
      <x:c r="AN416" t="str">
        <x:f>_xlfn.XLOOKUP($A416,Games!$A$2:$A$18,Games!$I$2:$I$18,"Missing game",0)</x:f>
        <x:v>MIN</x:v>
      </x:c>
      <x:c r="AO416" t="n">
        <x:f>_xlfn.XLOOKUP($A416,Games!$A$2:$A$18,Games!$J$2:$J$18,"Missing game",0)</x:f>
        <x:v>48</x:v>
      </x:c>
      <x:c r="AP416" t="n">
        <x:f>_xlfn.XLOOKUP($A416,Games!$A$2:$A$18,Games!$K$2:$K$18,"Missing game",0)</x:f>
        <x:v>38</x:v>
      </x:c>
      <x:c r="AQ416" t="n">
        <x:f>_xlfn.XLOOKUP($A416,Games!$A$2:$A$18,Games!$L$2:$L$18,"Missing game",0)</x:f>
        <x:v>58</x:v>
      </x:c>
      <x:c r="AR416" t="n">
        <x:f>_xlfn.XLOOKUP($A416,Games!$A$2:$A$18,Games!$M$2:$M$18,"Missing game",0)</x:f>
        <x:v>0</x:v>
      </x:c>
      <x:c r="AS416" t="str">
        <x:f>_xlfn.XLOOKUP($A416,Games!$A$2:$A$18,Games!$N$2:$N$18,"Missing game",0)</x:f>
        <x:v>dome</x:v>
      </x:c>
      <x:c r="AT416" t="str">
        <x:f>_xlfn.XLOOKUP($A416,Games!$A$2:$A$18,Games!$O$2:$O$18,"Missing game",0)</x:f>
        <x:v>sportturf</x:v>
      </x:c>
      <x:c r="AU416" t="str">
        <x:f>_xlfn.XLOOKUP($A416,Games!$A$2:$A$18,Games!$P$2:$P$18,"Missing game",0)</x:f>
      </x:c>
      <x:c r="AV416" t="str">
        <x:f>_xlfn.XLOOKUP($A416,Games!$A$2:$A$18,Games!$Q$2:$Q$18,"Missing game",0)</x:f>
      </x:c>
      <x:c r="AW416" t="str">
        <x:f>_xlfn.XLOOKUP($A416,Games!$A$2:$A$18,Games!$R$2:$R$18,"Missing game",0)</x:f>
        <x:v>U.S. Bank Stadium</x:v>
      </x:c>
    </x:row>
    <x:row r="417">
      <x:c r="A417" t="str">
        <x:v>2025_03_CIN_MIN</x:v>
      </x:c>
      <x:c r="B417" t="n">
        <x:v>2131</x:v>
      </x:c>
      <x:c r="C417" t="n">
        <x:v>2</x:v>
      </x:c>
      <x:c r="D417" t="str">
        <x:v>00:40</x:v>
      </x:c>
      <x:c r="E417" t="n">
        <x:v>1</x:v>
      </x:c>
      <x:c r="F417" t="n">
        <x:v>10</x:v>
      </x:c>
      <x:c r="G417" t="str">
        <x:v>MIN</x:v>
      </x:c>
      <x:c r="H417" t="str">
        <x:v>CIN</x:v>
      </x:c>
      <x:c r="I417" t="str">
        <x:v>CIN</x:v>
      </x:c>
      <x:c r="J417" t="n">
        <x:v>16</x:v>
      </x:c>
      <x:c r="K417" t="str">
        <x:v>(:40) (Shotgun) 11-C.Wentz pass short right to 87-T.Hockenson pushed ob at CIN 5 for 11 yards (27-J.Battle).</x:v>
      </x:c>
      <x:c r="L417" t="str">
        <x:v>pass</x:v>
      </x:c>
      <x:c r="M417" t="n">
        <x:v>11</x:v>
      </x:c>
      <x:c r="N417" t="n">
        <x:v>1</x:v>
      </x:c>
      <x:c r="O417" t="n">
        <x:v>0</x:v>
      </x:c>
      <x:c r="P417" t="str">
        <x:v>short</x:v>
      </x:c>
      <x:c r="Q417" t="str">
        <x:v>right</x:v>
      </x:c>
      <x:c r="R417" t="n">
        <x:v>10</x:v>
      </x:c>
      <x:c r="S417" t="n">
        <x:v>1</x:v>
      </x:c>
      <x:c r="T417"/>
      <x:c r="U417"/>
      <x:c r="V417" t="n">
        <x:v>1</x:v>
      </x:c>
      <x:c r="W417" t="n">
        <x:v>1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/>
      <x:c r="AC417" t="n">
        <x:v>0</x:v>
      </x:c>
      <x:c r="AD417" t="n">
        <x:v>1.1535355431842618</x:v>
      </x:c>
      <x:c r="AE417" t="n">
        <x:v>1</x:v>
      </x:c>
      <x:c r="AF417" t="n">
        <x:v>0.00041043758392333984</x:v>
      </x:c>
      <x:c r="AG417" t="n">
        <x:f>_xlfn.XLOOKUP($A417,Games!$A$2:$A$18,Games!$B$2:$B$18,"Missing game",0)</x:f>
        <x:v>2025</x:v>
      </x:c>
      <x:c r="AH417" t="str">
        <x:f>_xlfn.XLOOKUP($A417,Games!$A$2:$A$18,Games!$C$2:$C$18,"Missing game",0)</x:f>
        <x:v>REG</x:v>
      </x:c>
      <x:c r="AI417" t="n">
        <x:f>_xlfn.XLOOKUP($A417,Games!$A$2:$A$18,Games!$D$2:$D$18,"Missing game",0)</x:f>
        <x:v>3</x:v>
      </x:c>
      <x:c r="AJ417" s="1" t="n">
        <x:f>_xlfn.XLOOKUP($A417,Games!$A$2:$A$18,Games!$E$2:$E$18,"Missing game",0)</x:f>
        <x:v>45921</x:v>
      </x:c>
      <x:c r="AK417" t="str">
        <x:f>_xlfn.XLOOKUP($A417,Games!$A$2:$A$18,Games!$F$2:$F$18,"Missing game",0)</x:f>
        <x:v>Sunday</x:v>
      </x:c>
      <x:c r="AL417" t="str">
        <x:f>_xlfn.XLOOKUP($A417,Games!$A$2:$A$18,Games!$G$2:$G$18,"Missing game",0)</x:f>
        <x:v>CIN</x:v>
      </x:c>
      <x:c r="AM417" t="n">
        <x:f>_xlfn.XLOOKUP($A417,Games!$A$2:$A$18,Games!$H$2:$H$18,"Missing game",0)</x:f>
        <x:v>10</x:v>
      </x:c>
      <x:c r="AN417" t="str">
        <x:f>_xlfn.XLOOKUP($A417,Games!$A$2:$A$18,Games!$I$2:$I$18,"Missing game",0)</x:f>
        <x:v>MIN</x:v>
      </x:c>
      <x:c r="AO417" t="n">
        <x:f>_xlfn.XLOOKUP($A417,Games!$A$2:$A$18,Games!$J$2:$J$18,"Missing game",0)</x:f>
        <x:v>48</x:v>
      </x:c>
      <x:c r="AP417" t="n">
        <x:f>_xlfn.XLOOKUP($A417,Games!$A$2:$A$18,Games!$K$2:$K$18,"Missing game",0)</x:f>
        <x:v>38</x:v>
      </x:c>
      <x:c r="AQ417" t="n">
        <x:f>_xlfn.XLOOKUP($A417,Games!$A$2:$A$18,Games!$L$2:$L$18,"Missing game",0)</x:f>
        <x:v>58</x:v>
      </x:c>
      <x:c r="AR417" t="n">
        <x:f>_xlfn.XLOOKUP($A417,Games!$A$2:$A$18,Games!$M$2:$M$18,"Missing game",0)</x:f>
        <x:v>0</x:v>
      </x:c>
      <x:c r="AS417" t="str">
        <x:f>_xlfn.XLOOKUP($A417,Games!$A$2:$A$18,Games!$N$2:$N$18,"Missing game",0)</x:f>
        <x:v>dome</x:v>
      </x:c>
      <x:c r="AT417" t="str">
        <x:f>_xlfn.XLOOKUP($A417,Games!$A$2:$A$18,Games!$O$2:$O$18,"Missing game",0)</x:f>
        <x:v>sportturf</x:v>
      </x:c>
      <x:c r="AU417" t="str">
        <x:f>_xlfn.XLOOKUP($A417,Games!$A$2:$A$18,Games!$P$2:$P$18,"Missing game",0)</x:f>
      </x:c>
      <x:c r="AV417" t="str">
        <x:f>_xlfn.XLOOKUP($A417,Games!$A$2:$A$18,Games!$Q$2:$Q$18,"Missing game",0)</x:f>
      </x:c>
      <x:c r="AW417" t="str">
        <x:f>_xlfn.XLOOKUP($A417,Games!$A$2:$A$18,Games!$R$2:$R$18,"Missing game",0)</x:f>
        <x:v>U.S. Bank Stadium</x:v>
      </x:c>
    </x:row>
    <x:row r="418">
      <x:c r="A418" t="str">
        <x:v>2025_03_CIN_MIN</x:v>
      </x:c>
      <x:c r="B418" t="n">
        <x:v>2166</x:v>
      </x:c>
      <x:c r="C418" t="n">
        <x:v>2</x:v>
      </x:c>
      <x:c r="D418" t="str">
        <x:v>00:36</x:v>
      </x:c>
      <x:c r="E418" t="n">
        <x:v>1</x:v>
      </x:c>
      <x:c r="F418" t="n">
        <x:v>5</x:v>
      </x:c>
      <x:c r="G418" t="str">
        <x:v>MIN</x:v>
      </x:c>
      <x:c r="H418" t="str">
        <x:v>CIN</x:v>
      </x:c>
      <x:c r="I418" t="str">
        <x:v>CIN</x:v>
      </x:c>
      <x:c r="J418" t="n">
        <x:v>5</x:v>
      </x:c>
      <x:c r="K418" t="str">
        <x:v>(:36) (Shotgun) 27-J.Mason left guard for 5 yards, TOUCHDOWN.</x:v>
      </x:c>
      <x:c r="L418" t="str">
        <x:v>run</x:v>
      </x:c>
      <x:c r="M418" t="n">
        <x:v>5</x:v>
      </x:c>
      <x:c r="N418" t="n">
        <x:v>1</x:v>
      </x:c>
      <x:c r="O418" t="n">
        <x:v>0</x:v>
      </x:c>
      <x:c r="P418"/>
      <x:c r="Q418"/>
      <x:c r="R418"/>
      <x:c r="S418"/>
      <x:c r="T418" t="str">
        <x:v>left</x:v>
      </x:c>
      <x:c r="U418" t="str">
        <x:v>guard</x:v>
      </x:c>
      <x:c r="V418" t="n">
        <x:v>0</x:v>
      </x:c>
      <x:c r="W418" t="n">
        <x:v>1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/>
      <x:c r="AC418" t="n">
        <x:v>1</x:v>
      </x:c>
      <x:c r="AD418" t="n">
        <x:v>1.3831255732802674</x:v>
      </x:c>
      <x:c r="AE418" t="n">
        <x:v>1</x:v>
      </x:c>
      <x:c r="AF418" t="n">
        <x:v>0.02347906120121479</x:v>
      </x:c>
      <x:c r="AG418" t="n">
        <x:f>_xlfn.XLOOKUP($A418,Games!$A$2:$A$18,Games!$B$2:$B$18,"Missing game",0)</x:f>
        <x:v>2025</x:v>
      </x:c>
      <x:c r="AH418" t="str">
        <x:f>_xlfn.XLOOKUP($A418,Games!$A$2:$A$18,Games!$C$2:$C$18,"Missing game",0)</x:f>
        <x:v>REG</x:v>
      </x:c>
      <x:c r="AI418" t="n">
        <x:f>_xlfn.XLOOKUP($A418,Games!$A$2:$A$18,Games!$D$2:$D$18,"Missing game",0)</x:f>
        <x:v>3</x:v>
      </x:c>
      <x:c r="AJ418" s="1" t="n">
        <x:f>_xlfn.XLOOKUP($A418,Games!$A$2:$A$18,Games!$E$2:$E$18,"Missing game",0)</x:f>
        <x:v>45921</x:v>
      </x:c>
      <x:c r="AK418" t="str">
        <x:f>_xlfn.XLOOKUP($A418,Games!$A$2:$A$18,Games!$F$2:$F$18,"Missing game",0)</x:f>
        <x:v>Sunday</x:v>
      </x:c>
      <x:c r="AL418" t="str">
        <x:f>_xlfn.XLOOKUP($A418,Games!$A$2:$A$18,Games!$G$2:$G$18,"Missing game",0)</x:f>
        <x:v>CIN</x:v>
      </x:c>
      <x:c r="AM418" t="n">
        <x:f>_xlfn.XLOOKUP($A418,Games!$A$2:$A$18,Games!$H$2:$H$18,"Missing game",0)</x:f>
        <x:v>10</x:v>
      </x:c>
      <x:c r="AN418" t="str">
        <x:f>_xlfn.XLOOKUP($A418,Games!$A$2:$A$18,Games!$I$2:$I$18,"Missing game",0)</x:f>
        <x:v>MIN</x:v>
      </x:c>
      <x:c r="AO418" t="n">
        <x:f>_xlfn.XLOOKUP($A418,Games!$A$2:$A$18,Games!$J$2:$J$18,"Missing game",0)</x:f>
        <x:v>48</x:v>
      </x:c>
      <x:c r="AP418" t="n">
        <x:f>_xlfn.XLOOKUP($A418,Games!$A$2:$A$18,Games!$K$2:$K$18,"Missing game",0)</x:f>
        <x:v>38</x:v>
      </x:c>
      <x:c r="AQ418" t="n">
        <x:f>_xlfn.XLOOKUP($A418,Games!$A$2:$A$18,Games!$L$2:$L$18,"Missing game",0)</x:f>
        <x:v>58</x:v>
      </x:c>
      <x:c r="AR418" t="n">
        <x:f>_xlfn.XLOOKUP($A418,Games!$A$2:$A$18,Games!$M$2:$M$18,"Missing game",0)</x:f>
        <x:v>0</x:v>
      </x:c>
      <x:c r="AS418" t="str">
        <x:f>_xlfn.XLOOKUP($A418,Games!$A$2:$A$18,Games!$N$2:$N$18,"Missing game",0)</x:f>
        <x:v>dome</x:v>
      </x:c>
      <x:c r="AT418" t="str">
        <x:f>_xlfn.XLOOKUP($A418,Games!$A$2:$A$18,Games!$O$2:$O$18,"Missing game",0)</x:f>
        <x:v>sportturf</x:v>
      </x:c>
      <x:c r="AU418" t="str">
        <x:f>_xlfn.XLOOKUP($A418,Games!$A$2:$A$18,Games!$P$2:$P$18,"Missing game",0)</x:f>
      </x:c>
      <x:c r="AV418" t="str">
        <x:f>_xlfn.XLOOKUP($A418,Games!$A$2:$A$18,Games!$Q$2:$Q$18,"Missing game",0)</x:f>
      </x:c>
      <x:c r="AW418" t="str">
        <x:f>_xlfn.XLOOKUP($A418,Games!$A$2:$A$18,Games!$R$2:$R$18,"Missing game",0)</x:f>
        <x:v>U.S. Bank Stadium</x:v>
      </x:c>
    </x:row>
    <x:row r="419">
      <x:c r="A419" t="str">
        <x:v>2025_03_CIN_MIN</x:v>
      </x:c>
      <x:c r="B419" t="n">
        <x:v>2189</x:v>
      </x:c>
      <x:c r="C419" t="n">
        <x:v>2</x:v>
      </x:c>
      <x:c r="D419" t="str">
        <x:v>00:33</x:v>
      </x:c>
      <x:c r="E419"/>
      <x:c r="F419" t="n">
        <x:v>0</x:v>
      </x:c>
      <x:c r="G419" t="str">
        <x:v>MIN</x:v>
      </x:c>
      <x:c r="H419" t="str">
        <x:v>CIN</x:v>
      </x:c>
      <x:c r="I419" t="str">
        <x:v>CIN</x:v>
      </x:c>
      <x:c r="J419" t="n">
        <x:v>15</x:v>
      </x:c>
      <x:c r="K419" t="str">
        <x:v>16-W.Reichard extra point is GOOD, Center-42-A.DePaola, Holder-17-R.Wright.</x:v>
      </x:c>
      <x:c r="L419" t="str">
        <x:v>extra_point</x:v>
      </x:c>
      <x:c r="M419" t="n">
        <x:v>0</x:v>
      </x:c>
      <x:c r="N419" t="n">
        <x:v>0</x:v>
      </x:c>
      <x:c r="O419" t="n">
        <x:v>0</x:v>
      </x:c>
      <x:c r="P419"/>
      <x:c r="Q419"/>
      <x:c r="R419"/>
      <x:c r="S419"/>
      <x:c r="T419"/>
      <x:c r="U419"/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/>
      <x:c r="AC419" t="n">
        <x:v>0</x:v>
      </x:c>
      <x:c r="AD419" t="n">
        <x:v>0.05117156607063911</x:v>
      </x:c>
      <x:c r="AE419" t="n">
        <x:v>1</x:v>
      </x:c>
      <x:c r="AF419" t="n">
        <x:v>0</x:v>
      </x:c>
      <x:c r="AG419" t="n">
        <x:f>_xlfn.XLOOKUP($A419,Games!$A$2:$A$18,Games!$B$2:$B$18,"Missing game",0)</x:f>
        <x:v>2025</x:v>
      </x:c>
      <x:c r="AH419" t="str">
        <x:f>_xlfn.XLOOKUP($A419,Games!$A$2:$A$18,Games!$C$2:$C$18,"Missing game",0)</x:f>
        <x:v>REG</x:v>
      </x:c>
      <x:c r="AI419" t="n">
        <x:f>_xlfn.XLOOKUP($A419,Games!$A$2:$A$18,Games!$D$2:$D$18,"Missing game",0)</x:f>
        <x:v>3</x:v>
      </x:c>
      <x:c r="AJ419" s="1" t="n">
        <x:f>_xlfn.XLOOKUP($A419,Games!$A$2:$A$18,Games!$E$2:$E$18,"Missing game",0)</x:f>
        <x:v>45921</x:v>
      </x:c>
      <x:c r="AK419" t="str">
        <x:f>_xlfn.XLOOKUP($A419,Games!$A$2:$A$18,Games!$F$2:$F$18,"Missing game",0)</x:f>
        <x:v>Sunday</x:v>
      </x:c>
      <x:c r="AL419" t="str">
        <x:f>_xlfn.XLOOKUP($A419,Games!$A$2:$A$18,Games!$G$2:$G$18,"Missing game",0)</x:f>
        <x:v>CIN</x:v>
      </x:c>
      <x:c r="AM419" t="n">
        <x:f>_xlfn.XLOOKUP($A419,Games!$A$2:$A$18,Games!$H$2:$H$18,"Missing game",0)</x:f>
        <x:v>10</x:v>
      </x:c>
      <x:c r="AN419" t="str">
        <x:f>_xlfn.XLOOKUP($A419,Games!$A$2:$A$18,Games!$I$2:$I$18,"Missing game",0)</x:f>
        <x:v>MIN</x:v>
      </x:c>
      <x:c r="AO419" t="n">
        <x:f>_xlfn.XLOOKUP($A419,Games!$A$2:$A$18,Games!$J$2:$J$18,"Missing game",0)</x:f>
        <x:v>48</x:v>
      </x:c>
      <x:c r="AP419" t="n">
        <x:f>_xlfn.XLOOKUP($A419,Games!$A$2:$A$18,Games!$K$2:$K$18,"Missing game",0)</x:f>
        <x:v>38</x:v>
      </x:c>
      <x:c r="AQ419" t="n">
        <x:f>_xlfn.XLOOKUP($A419,Games!$A$2:$A$18,Games!$L$2:$L$18,"Missing game",0)</x:f>
        <x:v>58</x:v>
      </x:c>
      <x:c r="AR419" t="n">
        <x:f>_xlfn.XLOOKUP($A419,Games!$A$2:$A$18,Games!$M$2:$M$18,"Missing game",0)</x:f>
        <x:v>0</x:v>
      </x:c>
      <x:c r="AS419" t="str">
        <x:f>_xlfn.XLOOKUP($A419,Games!$A$2:$A$18,Games!$N$2:$N$18,"Missing game",0)</x:f>
        <x:v>dome</x:v>
      </x:c>
      <x:c r="AT419" t="str">
        <x:f>_xlfn.XLOOKUP($A419,Games!$A$2:$A$18,Games!$O$2:$O$18,"Missing game",0)</x:f>
        <x:v>sportturf</x:v>
      </x:c>
      <x:c r="AU419" t="str">
        <x:f>_xlfn.XLOOKUP($A419,Games!$A$2:$A$18,Games!$P$2:$P$18,"Missing game",0)</x:f>
      </x:c>
      <x:c r="AV419" t="str">
        <x:f>_xlfn.XLOOKUP($A419,Games!$A$2:$A$18,Games!$Q$2:$Q$18,"Missing game",0)</x:f>
      </x:c>
      <x:c r="AW419" t="str">
        <x:f>_xlfn.XLOOKUP($A419,Games!$A$2:$A$18,Games!$R$2:$R$18,"Missing game",0)</x:f>
        <x:v>U.S. Bank Stadium</x:v>
      </x:c>
    </x:row>
    <x:row r="420">
      <x:c r="A420" t="str">
        <x:v>2025_03_CIN_MIN</x:v>
      </x:c>
      <x:c r="B420" t="n">
        <x:v>2209</x:v>
      </x:c>
      <x:c r="C420" t="n">
        <x:v>2</x:v>
      </x:c>
      <x:c r="D420" t="str">
        <x:v>00:33</x:v>
      </x:c>
      <x:c r="E420"/>
      <x:c r="F420" t="n">
        <x:v>0</x:v>
      </x:c>
      <x:c r="G420" t="str">
        <x:v>CIN</x:v>
      </x:c>
      <x:c r="H420" t="str">
        <x:v>MIN</x:v>
      </x:c>
      <x:c r="I420" t="str">
        <x:v>MIN</x:v>
      </x:c>
      <x:c r="J420" t="n">
        <x:v>35</x:v>
      </x:c>
      <x:c r="K420" t="str">
        <x:v>16-W.Reichard kicks 62 yards from MIN 35 to CIN 3. 34-S.Perine to CIN 30 for 27 yards (0-I.Pace, 57-C.Chambliss).</x:v>
      </x:c>
      <x:c r="L420" t="str">
        <x:v>kickoff</x:v>
      </x:c>
      <x:c r="M420" t="n">
        <x:v>0</x:v>
      </x:c>
      <x:c r="N420" t="n">
        <x:v>0</x:v>
      </x:c>
      <x:c r="O420" t="n">
        <x:v>0</x:v>
      </x:c>
      <x:c r="P420"/>
      <x:c r="Q420"/>
      <x:c r="R420"/>
      <x:c r="S420"/>
      <x:c r="T420"/>
      <x:c r="U420"/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/>
      <x:c r="AC420" t="n">
        <x:v>0</x:v>
      </x:c>
      <x:c r="AD420" t="n">
        <x:v>-0.004996504576411098</x:v>
      </x:c>
      <x:c r="AE420" t="n">
        <x:v>0</x:v>
      </x:c>
      <x:c r="AF420" t="n">
        <x:v>0.00027716439217329025</x:v>
      </x:c>
      <x:c r="AG420" t="n">
        <x:f>_xlfn.XLOOKUP($A420,Games!$A$2:$A$18,Games!$B$2:$B$18,"Missing game",0)</x:f>
        <x:v>2025</x:v>
      </x:c>
      <x:c r="AH420" t="str">
        <x:f>_xlfn.XLOOKUP($A420,Games!$A$2:$A$18,Games!$C$2:$C$18,"Missing game",0)</x:f>
        <x:v>REG</x:v>
      </x:c>
      <x:c r="AI420" t="n">
        <x:f>_xlfn.XLOOKUP($A420,Games!$A$2:$A$18,Games!$D$2:$D$18,"Missing game",0)</x:f>
        <x:v>3</x:v>
      </x:c>
      <x:c r="AJ420" s="1" t="n">
        <x:f>_xlfn.XLOOKUP($A420,Games!$A$2:$A$18,Games!$E$2:$E$18,"Missing game",0)</x:f>
        <x:v>45921</x:v>
      </x:c>
      <x:c r="AK420" t="str">
        <x:f>_xlfn.XLOOKUP($A420,Games!$A$2:$A$18,Games!$F$2:$F$18,"Missing game",0)</x:f>
        <x:v>Sunday</x:v>
      </x:c>
      <x:c r="AL420" t="str">
        <x:f>_xlfn.XLOOKUP($A420,Games!$A$2:$A$18,Games!$G$2:$G$18,"Missing game",0)</x:f>
        <x:v>CIN</x:v>
      </x:c>
      <x:c r="AM420" t="n">
        <x:f>_xlfn.XLOOKUP($A420,Games!$A$2:$A$18,Games!$H$2:$H$18,"Missing game",0)</x:f>
        <x:v>10</x:v>
      </x:c>
      <x:c r="AN420" t="str">
        <x:f>_xlfn.XLOOKUP($A420,Games!$A$2:$A$18,Games!$I$2:$I$18,"Missing game",0)</x:f>
        <x:v>MIN</x:v>
      </x:c>
      <x:c r="AO420" t="n">
        <x:f>_xlfn.XLOOKUP($A420,Games!$A$2:$A$18,Games!$J$2:$J$18,"Missing game",0)</x:f>
        <x:v>48</x:v>
      </x:c>
      <x:c r="AP420" t="n">
        <x:f>_xlfn.XLOOKUP($A420,Games!$A$2:$A$18,Games!$K$2:$K$18,"Missing game",0)</x:f>
        <x:v>38</x:v>
      </x:c>
      <x:c r="AQ420" t="n">
        <x:f>_xlfn.XLOOKUP($A420,Games!$A$2:$A$18,Games!$L$2:$L$18,"Missing game",0)</x:f>
        <x:v>58</x:v>
      </x:c>
      <x:c r="AR420" t="n">
        <x:f>_xlfn.XLOOKUP($A420,Games!$A$2:$A$18,Games!$M$2:$M$18,"Missing game",0)</x:f>
        <x:v>0</x:v>
      </x:c>
      <x:c r="AS420" t="str">
        <x:f>_xlfn.XLOOKUP($A420,Games!$A$2:$A$18,Games!$N$2:$N$18,"Missing game",0)</x:f>
        <x:v>dome</x:v>
      </x:c>
      <x:c r="AT420" t="str">
        <x:f>_xlfn.XLOOKUP($A420,Games!$A$2:$A$18,Games!$O$2:$O$18,"Missing game",0)</x:f>
        <x:v>sportturf</x:v>
      </x:c>
      <x:c r="AU420" t="str">
        <x:f>_xlfn.XLOOKUP($A420,Games!$A$2:$A$18,Games!$P$2:$P$18,"Missing game",0)</x:f>
      </x:c>
      <x:c r="AV420" t="str">
        <x:f>_xlfn.XLOOKUP($A420,Games!$A$2:$A$18,Games!$Q$2:$Q$18,"Missing game",0)</x:f>
      </x:c>
      <x:c r="AW420" t="str">
        <x:f>_xlfn.XLOOKUP($A420,Games!$A$2:$A$18,Games!$R$2:$R$18,"Missing game",0)</x:f>
        <x:v>U.S. Bank Stadium</x:v>
      </x:c>
    </x:row>
    <x:row r="421">
      <x:c r="A421" t="str">
        <x:v>2025_03_CIN_MIN</x:v>
      </x:c>
      <x:c r="B421" t="n">
        <x:v>2248</x:v>
      </x:c>
      <x:c r="C421" t="n">
        <x:v>2</x:v>
      </x:c>
      <x:c r="D421" t="str">
        <x:v>00:28</x:v>
      </x:c>
      <x:c r="E421" t="n">
        <x:v>1</x:v>
      </x:c>
      <x:c r="F421" t="n">
        <x:v>10</x:v>
      </x:c>
      <x:c r="G421" t="str">
        <x:v>CIN</x:v>
      </x:c>
      <x:c r="H421" t="str">
        <x:v>MIN</x:v>
      </x:c>
      <x:c r="I421" t="str">
        <x:v>CIN</x:v>
      </x:c>
      <x:c r="J421" t="n">
        <x:v>70</x:v>
      </x:c>
      <x:c r="K421" t="str">
        <x:v>(:28) (Shotgun) 34-S.Perine left guard to CIN 35 for 5 yards (61-J.Redmond). FUMBLES (61-J.Redmond), touched at CIN 47, RECOVERED by MIN-93-J.Allen at CIN 47.</x:v>
      </x:c>
      <x:c r="L421" t="str">
        <x:v>run</x:v>
      </x:c>
      <x:c r="M421" t="n">
        <x:v>5</x:v>
      </x:c>
      <x:c r="N421" t="n">
        <x:v>1</x:v>
      </x:c>
      <x:c r="O421" t="n">
        <x:v>0</x:v>
      </x:c>
      <x:c r="P421"/>
      <x:c r="Q421"/>
      <x:c r="R421"/>
      <x:c r="S421"/>
      <x:c r="T421" t="str">
        <x:v>left</x:v>
      </x:c>
      <x:c r="U421" t="str">
        <x:v>guard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1</x:v>
      </x:c>
      <x:c r="AA421" t="n">
        <x:v>0</x:v>
      </x:c>
      <x:c r="AB421"/>
      <x:c r="AC421" t="n">
        <x:v>0</x:v>
      </x:c>
      <x:c r="AD421" t="n">
        <x:v>-2.4255440711858682</x:v>
      </x:c>
      <x:c r="AE421" t="n">
        <x:v>0</x:v>
      </x:c>
      <x:c r="AF421" t="n">
        <x:v>-0.0006614783778786659</x:v>
      </x:c>
      <x:c r="AG421" t="n">
        <x:f>_xlfn.XLOOKUP($A421,Games!$A$2:$A$18,Games!$B$2:$B$18,"Missing game",0)</x:f>
        <x:v>2025</x:v>
      </x:c>
      <x:c r="AH421" t="str">
        <x:f>_xlfn.XLOOKUP($A421,Games!$A$2:$A$18,Games!$C$2:$C$18,"Missing game",0)</x:f>
        <x:v>REG</x:v>
      </x:c>
      <x:c r="AI421" t="n">
        <x:f>_xlfn.XLOOKUP($A421,Games!$A$2:$A$18,Games!$D$2:$D$18,"Missing game",0)</x:f>
        <x:v>3</x:v>
      </x:c>
      <x:c r="AJ421" s="1" t="n">
        <x:f>_xlfn.XLOOKUP($A421,Games!$A$2:$A$18,Games!$E$2:$E$18,"Missing game",0)</x:f>
        <x:v>45921</x:v>
      </x:c>
      <x:c r="AK421" t="str">
        <x:f>_xlfn.XLOOKUP($A421,Games!$A$2:$A$18,Games!$F$2:$F$18,"Missing game",0)</x:f>
        <x:v>Sunday</x:v>
      </x:c>
      <x:c r="AL421" t="str">
        <x:f>_xlfn.XLOOKUP($A421,Games!$A$2:$A$18,Games!$G$2:$G$18,"Missing game",0)</x:f>
        <x:v>CIN</x:v>
      </x:c>
      <x:c r="AM421" t="n">
        <x:f>_xlfn.XLOOKUP($A421,Games!$A$2:$A$18,Games!$H$2:$H$18,"Missing game",0)</x:f>
        <x:v>10</x:v>
      </x:c>
      <x:c r="AN421" t="str">
        <x:f>_xlfn.XLOOKUP($A421,Games!$A$2:$A$18,Games!$I$2:$I$18,"Missing game",0)</x:f>
        <x:v>MIN</x:v>
      </x:c>
      <x:c r="AO421" t="n">
        <x:f>_xlfn.XLOOKUP($A421,Games!$A$2:$A$18,Games!$J$2:$J$18,"Missing game",0)</x:f>
        <x:v>48</x:v>
      </x:c>
      <x:c r="AP421" t="n">
        <x:f>_xlfn.XLOOKUP($A421,Games!$A$2:$A$18,Games!$K$2:$K$18,"Missing game",0)</x:f>
        <x:v>38</x:v>
      </x:c>
      <x:c r="AQ421" t="n">
        <x:f>_xlfn.XLOOKUP($A421,Games!$A$2:$A$18,Games!$L$2:$L$18,"Missing game",0)</x:f>
        <x:v>58</x:v>
      </x:c>
      <x:c r="AR421" t="n">
        <x:f>_xlfn.XLOOKUP($A421,Games!$A$2:$A$18,Games!$M$2:$M$18,"Missing game",0)</x:f>
        <x:v>0</x:v>
      </x:c>
      <x:c r="AS421" t="str">
        <x:f>_xlfn.XLOOKUP($A421,Games!$A$2:$A$18,Games!$N$2:$N$18,"Missing game",0)</x:f>
        <x:v>dome</x:v>
      </x:c>
      <x:c r="AT421" t="str">
        <x:f>_xlfn.XLOOKUP($A421,Games!$A$2:$A$18,Games!$O$2:$O$18,"Missing game",0)</x:f>
        <x:v>sportturf</x:v>
      </x:c>
      <x:c r="AU421" t="str">
        <x:f>_xlfn.XLOOKUP($A421,Games!$A$2:$A$18,Games!$P$2:$P$18,"Missing game",0)</x:f>
      </x:c>
      <x:c r="AV421" t="str">
        <x:f>_xlfn.XLOOKUP($A421,Games!$A$2:$A$18,Games!$Q$2:$Q$18,"Missing game",0)</x:f>
      </x:c>
      <x:c r="AW421" t="str">
        <x:f>_xlfn.XLOOKUP($A421,Games!$A$2:$A$18,Games!$R$2:$R$18,"Missing game",0)</x:f>
        <x:v>U.S. Bank Stadium</x:v>
      </x:c>
    </x:row>
    <x:row r="422">
      <x:c r="A422" t="str">
        <x:v>2025_03_CIN_MIN</x:v>
      </x:c>
      <x:c r="B422" t="n">
        <x:v>2286</x:v>
      </x:c>
      <x:c r="C422" t="n">
        <x:v>2</x:v>
      </x:c>
      <x:c r="D422" t="str">
        <x:v>00:20</x:v>
      </x:c>
      <x:c r="E422" t="n">
        <x:v>1</x:v>
      </x:c>
      <x:c r="F422" t="n">
        <x:v>10</x:v>
      </x:c>
      <x:c r="G422" t="str">
        <x:v>MIN</x:v>
      </x:c>
      <x:c r="H422" t="str">
        <x:v>CIN</x:v>
      </x:c>
      <x:c r="I422" t="str">
        <x:v>CIN</x:v>
      </x:c>
      <x:c r="J422" t="n">
        <x:v>47</x:v>
      </x:c>
      <x:c r="K422" t="str">
        <x:v>(:20) (Shotgun) 18-J.Jefferson pass short right to 36-Z.Scott pushed ob at CIN 39 for 8 yards (55-L.Wilson). PENALTY on MIN-64-B.Brandel, Illegal Formation, 5 yards, enforced at CIN 47 - No Play.</x:v>
      </x:c>
      <x:c r="L422" t="str">
        <x:v>no_play</x:v>
      </x:c>
      <x:c r="M422" t="n">
        <x:v>0</x:v>
      </x:c>
      <x:c r="N422" t="n">
        <x:v>1</x:v>
      </x:c>
      <x:c r="O422" t="n">
        <x:v>0</x:v>
      </x:c>
      <x:c r="P422"/>
      <x:c r="Q422"/>
      <x:c r="R422"/>
      <x:c r="S422"/>
      <x:c r="T422"/>
      <x:c r="U422"/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1</x:v>
      </x:c>
      <x:c r="AB422" t="n">
        <x:v>5</x:v>
      </x:c>
      <x:c r="AC422" t="n">
        <x:v>0</x:v>
      </x:c>
      <x:c r="AD422" t="n">
        <x:v>-0.7552878544083796</x:v>
      </x:c>
      <x:c r="AE422" t="n">
        <x:v>0</x:v>
      </x:c>
      <x:c r="AF422" t="n">
        <x:v>-0.000047326087951660156</x:v>
      </x:c>
      <x:c r="AG422" t="n">
        <x:f>_xlfn.XLOOKUP($A422,Games!$A$2:$A$18,Games!$B$2:$B$18,"Missing game",0)</x:f>
        <x:v>2025</x:v>
      </x:c>
      <x:c r="AH422" t="str">
        <x:f>_xlfn.XLOOKUP($A422,Games!$A$2:$A$18,Games!$C$2:$C$18,"Missing game",0)</x:f>
        <x:v>REG</x:v>
      </x:c>
      <x:c r="AI422" t="n">
        <x:f>_xlfn.XLOOKUP($A422,Games!$A$2:$A$18,Games!$D$2:$D$18,"Missing game",0)</x:f>
        <x:v>3</x:v>
      </x:c>
      <x:c r="AJ422" s="1" t="n">
        <x:f>_xlfn.XLOOKUP($A422,Games!$A$2:$A$18,Games!$E$2:$E$18,"Missing game",0)</x:f>
        <x:v>45921</x:v>
      </x:c>
      <x:c r="AK422" t="str">
        <x:f>_xlfn.XLOOKUP($A422,Games!$A$2:$A$18,Games!$F$2:$F$18,"Missing game",0)</x:f>
        <x:v>Sunday</x:v>
      </x:c>
      <x:c r="AL422" t="str">
        <x:f>_xlfn.XLOOKUP($A422,Games!$A$2:$A$18,Games!$G$2:$G$18,"Missing game",0)</x:f>
        <x:v>CIN</x:v>
      </x:c>
      <x:c r="AM422" t="n">
        <x:f>_xlfn.XLOOKUP($A422,Games!$A$2:$A$18,Games!$H$2:$H$18,"Missing game",0)</x:f>
        <x:v>10</x:v>
      </x:c>
      <x:c r="AN422" t="str">
        <x:f>_xlfn.XLOOKUP($A422,Games!$A$2:$A$18,Games!$I$2:$I$18,"Missing game",0)</x:f>
        <x:v>MIN</x:v>
      </x:c>
      <x:c r="AO422" t="n">
        <x:f>_xlfn.XLOOKUP($A422,Games!$A$2:$A$18,Games!$J$2:$J$18,"Missing game",0)</x:f>
        <x:v>48</x:v>
      </x:c>
      <x:c r="AP422" t="n">
        <x:f>_xlfn.XLOOKUP($A422,Games!$A$2:$A$18,Games!$K$2:$K$18,"Missing game",0)</x:f>
        <x:v>38</x:v>
      </x:c>
      <x:c r="AQ422" t="n">
        <x:f>_xlfn.XLOOKUP($A422,Games!$A$2:$A$18,Games!$L$2:$L$18,"Missing game",0)</x:f>
        <x:v>58</x:v>
      </x:c>
      <x:c r="AR422" t="n">
        <x:f>_xlfn.XLOOKUP($A422,Games!$A$2:$A$18,Games!$M$2:$M$18,"Missing game",0)</x:f>
        <x:v>0</x:v>
      </x:c>
      <x:c r="AS422" t="str">
        <x:f>_xlfn.XLOOKUP($A422,Games!$A$2:$A$18,Games!$N$2:$N$18,"Missing game",0)</x:f>
        <x:v>dome</x:v>
      </x:c>
      <x:c r="AT422" t="str">
        <x:f>_xlfn.XLOOKUP($A422,Games!$A$2:$A$18,Games!$O$2:$O$18,"Missing game",0)</x:f>
        <x:v>sportturf</x:v>
      </x:c>
      <x:c r="AU422" t="str">
        <x:f>_xlfn.XLOOKUP($A422,Games!$A$2:$A$18,Games!$P$2:$P$18,"Missing game",0)</x:f>
      </x:c>
      <x:c r="AV422" t="str">
        <x:f>_xlfn.XLOOKUP($A422,Games!$A$2:$A$18,Games!$Q$2:$Q$18,"Missing game",0)</x:f>
      </x:c>
      <x:c r="AW422" t="str">
        <x:f>_xlfn.XLOOKUP($A422,Games!$A$2:$A$18,Games!$R$2:$R$18,"Missing game",0)</x:f>
        <x:v>U.S. Bank Stadium</x:v>
      </x:c>
    </x:row>
    <x:row r="423">
      <x:c r="A423" t="str">
        <x:v>2025_03_CIN_MIN</x:v>
      </x:c>
      <x:c r="B423" t="n">
        <x:v>2331</x:v>
      </x:c>
      <x:c r="C423" t="n">
        <x:v>2</x:v>
      </x:c>
      <x:c r="D423" t="str">
        <x:v>00:14</x:v>
      </x:c>
      <x:c r="E423" t="n">
        <x:v>1</x:v>
      </x:c>
      <x:c r="F423" t="n">
        <x:v>15</x:v>
      </x:c>
      <x:c r="G423" t="str">
        <x:v>MIN</x:v>
      </x:c>
      <x:c r="H423" t="str">
        <x:v>CIN</x:v>
      </x:c>
      <x:c r="I423" t="str">
        <x:v>MIN</x:v>
      </x:c>
      <x:c r="J423" t="n">
        <x:v>52</x:v>
      </x:c>
      <x:c r="K423" t="str">
        <x:v>(:14) (Shotgun) 11-C.Wentz pass incomplete deep right to 1-J.Nailor.</x:v>
      </x:c>
      <x:c r="L423" t="str">
        <x:v>pass</x:v>
      </x:c>
      <x:c r="M423" t="n">
        <x:v>0</x:v>
      </x:c>
      <x:c r="N423" t="n">
        <x:v>1</x:v>
      </x:c>
      <x:c r="O423" t="n">
        <x:v>0</x:v>
      </x:c>
      <x:c r="P423" t="str">
        <x:v>deep</x:v>
      </x:c>
      <x:c r="Q423" t="str">
        <x:v>right</x:v>
      </x:c>
      <x:c r="R423" t="n">
        <x:v>25</x:v>
      </x:c>
      <x:c r="S423"/>
      <x:c r="T423"/>
      <x:c r="U423"/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/>
      <x:c r="AC423" t="n">
        <x:v>0</x:v>
      </x:c>
      <x:c r="AD423" t="n">
        <x:v>-0.34417739580385387</x:v>
      </x:c>
      <x:c r="AE423" t="n">
        <x:v>0</x:v>
      </x:c>
      <x:c r="AF423" t="n">
        <x:v>-0.000270843505859375</x:v>
      </x:c>
      <x:c r="AG423" t="n">
        <x:f>_xlfn.XLOOKUP($A423,Games!$A$2:$A$18,Games!$B$2:$B$18,"Missing game",0)</x:f>
        <x:v>2025</x:v>
      </x:c>
      <x:c r="AH423" t="str">
        <x:f>_xlfn.XLOOKUP($A423,Games!$A$2:$A$18,Games!$C$2:$C$18,"Missing game",0)</x:f>
        <x:v>REG</x:v>
      </x:c>
      <x:c r="AI423" t="n">
        <x:f>_xlfn.XLOOKUP($A423,Games!$A$2:$A$18,Games!$D$2:$D$18,"Missing game",0)</x:f>
        <x:v>3</x:v>
      </x:c>
      <x:c r="AJ423" s="1" t="n">
        <x:f>_xlfn.XLOOKUP($A423,Games!$A$2:$A$18,Games!$E$2:$E$18,"Missing game",0)</x:f>
        <x:v>45921</x:v>
      </x:c>
      <x:c r="AK423" t="str">
        <x:f>_xlfn.XLOOKUP($A423,Games!$A$2:$A$18,Games!$F$2:$F$18,"Missing game",0)</x:f>
        <x:v>Sunday</x:v>
      </x:c>
      <x:c r="AL423" t="str">
        <x:f>_xlfn.XLOOKUP($A423,Games!$A$2:$A$18,Games!$G$2:$G$18,"Missing game",0)</x:f>
        <x:v>CIN</x:v>
      </x:c>
      <x:c r="AM423" t="n">
        <x:f>_xlfn.XLOOKUP($A423,Games!$A$2:$A$18,Games!$H$2:$H$18,"Missing game",0)</x:f>
        <x:v>10</x:v>
      </x:c>
      <x:c r="AN423" t="str">
        <x:f>_xlfn.XLOOKUP($A423,Games!$A$2:$A$18,Games!$I$2:$I$18,"Missing game",0)</x:f>
        <x:v>MIN</x:v>
      </x:c>
      <x:c r="AO423" t="n">
        <x:f>_xlfn.XLOOKUP($A423,Games!$A$2:$A$18,Games!$J$2:$J$18,"Missing game",0)</x:f>
        <x:v>48</x:v>
      </x:c>
      <x:c r="AP423" t="n">
        <x:f>_xlfn.XLOOKUP($A423,Games!$A$2:$A$18,Games!$K$2:$K$18,"Missing game",0)</x:f>
        <x:v>38</x:v>
      </x:c>
      <x:c r="AQ423" t="n">
        <x:f>_xlfn.XLOOKUP($A423,Games!$A$2:$A$18,Games!$L$2:$L$18,"Missing game",0)</x:f>
        <x:v>58</x:v>
      </x:c>
      <x:c r="AR423" t="n">
        <x:f>_xlfn.XLOOKUP($A423,Games!$A$2:$A$18,Games!$M$2:$M$18,"Missing game",0)</x:f>
        <x:v>0</x:v>
      </x:c>
      <x:c r="AS423" t="str">
        <x:f>_xlfn.XLOOKUP($A423,Games!$A$2:$A$18,Games!$N$2:$N$18,"Missing game",0)</x:f>
        <x:v>dome</x:v>
      </x:c>
      <x:c r="AT423" t="str">
        <x:f>_xlfn.XLOOKUP($A423,Games!$A$2:$A$18,Games!$O$2:$O$18,"Missing game",0)</x:f>
        <x:v>sportturf</x:v>
      </x:c>
      <x:c r="AU423" t="str">
        <x:f>_xlfn.XLOOKUP($A423,Games!$A$2:$A$18,Games!$P$2:$P$18,"Missing game",0)</x:f>
      </x:c>
      <x:c r="AV423" t="str">
        <x:f>_xlfn.XLOOKUP($A423,Games!$A$2:$A$18,Games!$Q$2:$Q$18,"Missing game",0)</x:f>
      </x:c>
      <x:c r="AW423" t="str">
        <x:f>_xlfn.XLOOKUP($A423,Games!$A$2:$A$18,Games!$R$2:$R$18,"Missing game",0)</x:f>
        <x:v>U.S. Bank Stadium</x:v>
      </x:c>
    </x:row>
    <x:row r="424">
      <x:c r="A424" t="str">
        <x:v>2025_03_CIN_MIN</x:v>
      </x:c>
      <x:c r="B424" t="n">
        <x:v>2354</x:v>
      </x:c>
      <x:c r="C424" t="n">
        <x:v>2</x:v>
      </x:c>
      <x:c r="D424" t="str">
        <x:v>00:09</x:v>
      </x:c>
      <x:c r="E424" t="n">
        <x:v>2</x:v>
      </x:c>
      <x:c r="F424" t="n">
        <x:v>15</x:v>
      </x:c>
      <x:c r="G424" t="str">
        <x:v>MIN</x:v>
      </x:c>
      <x:c r="H424" t="str">
        <x:v>CIN</x:v>
      </x:c>
      <x:c r="I424" t="str">
        <x:v>MIN</x:v>
      </x:c>
      <x:c r="J424" t="n">
        <x:v>52</x:v>
      </x:c>
      <x:c r="K424" t="str">
        <x:v>(:09) (Shotgun) 36-Z.Scott right guard to CIN 44 for 8 yards (44-D.Knight).</x:v>
      </x:c>
      <x:c r="L424" t="str">
        <x:v>run</x:v>
      </x:c>
      <x:c r="M424" t="n">
        <x:v>8</x:v>
      </x:c>
      <x:c r="N424" t="n">
        <x:v>1</x:v>
      </x:c>
      <x:c r="O424" t="n">
        <x:v>0</x:v>
      </x:c>
      <x:c r="P424"/>
      <x:c r="Q424"/>
      <x:c r="R424"/>
      <x:c r="S424"/>
      <x:c r="T424" t="str">
        <x:v>right</x:v>
      </x:c>
      <x:c r="U424" t="str">
        <x:v>guard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/>
      <x:c r="AC424" t="n">
        <x:v>0</x:v>
      </x:c>
      <x:c r="AD424" t="n">
        <x:v>0.26350409333826974</x:v>
      </x:c>
      <x:c r="AE424" t="n">
        <x:v>1</x:v>
      </x:c>
      <x:c r="AF424" t="n">
        <x:v>-0.0007004141807556152</x:v>
      </x:c>
      <x:c r="AG424" t="n">
        <x:f>_xlfn.XLOOKUP($A424,Games!$A$2:$A$18,Games!$B$2:$B$18,"Missing game",0)</x:f>
        <x:v>2025</x:v>
      </x:c>
      <x:c r="AH424" t="str">
        <x:f>_xlfn.XLOOKUP($A424,Games!$A$2:$A$18,Games!$C$2:$C$18,"Missing game",0)</x:f>
        <x:v>REG</x:v>
      </x:c>
      <x:c r="AI424" t="n">
        <x:f>_xlfn.XLOOKUP($A424,Games!$A$2:$A$18,Games!$D$2:$D$18,"Missing game",0)</x:f>
        <x:v>3</x:v>
      </x:c>
      <x:c r="AJ424" s="1" t="n">
        <x:f>_xlfn.XLOOKUP($A424,Games!$A$2:$A$18,Games!$E$2:$E$18,"Missing game",0)</x:f>
        <x:v>45921</x:v>
      </x:c>
      <x:c r="AK424" t="str">
        <x:f>_xlfn.XLOOKUP($A424,Games!$A$2:$A$18,Games!$F$2:$F$18,"Missing game",0)</x:f>
        <x:v>Sunday</x:v>
      </x:c>
      <x:c r="AL424" t="str">
        <x:f>_xlfn.XLOOKUP($A424,Games!$A$2:$A$18,Games!$G$2:$G$18,"Missing game",0)</x:f>
        <x:v>CIN</x:v>
      </x:c>
      <x:c r="AM424" t="n">
        <x:f>_xlfn.XLOOKUP($A424,Games!$A$2:$A$18,Games!$H$2:$H$18,"Missing game",0)</x:f>
        <x:v>10</x:v>
      </x:c>
      <x:c r="AN424" t="str">
        <x:f>_xlfn.XLOOKUP($A424,Games!$A$2:$A$18,Games!$I$2:$I$18,"Missing game",0)</x:f>
        <x:v>MIN</x:v>
      </x:c>
      <x:c r="AO424" t="n">
        <x:f>_xlfn.XLOOKUP($A424,Games!$A$2:$A$18,Games!$J$2:$J$18,"Missing game",0)</x:f>
        <x:v>48</x:v>
      </x:c>
      <x:c r="AP424" t="n">
        <x:f>_xlfn.XLOOKUP($A424,Games!$A$2:$A$18,Games!$K$2:$K$18,"Missing game",0)</x:f>
        <x:v>38</x:v>
      </x:c>
      <x:c r="AQ424" t="n">
        <x:f>_xlfn.XLOOKUP($A424,Games!$A$2:$A$18,Games!$L$2:$L$18,"Missing game",0)</x:f>
        <x:v>58</x:v>
      </x:c>
      <x:c r="AR424" t="n">
        <x:f>_xlfn.XLOOKUP($A424,Games!$A$2:$A$18,Games!$M$2:$M$18,"Missing game",0)</x:f>
        <x:v>0</x:v>
      </x:c>
      <x:c r="AS424" t="str">
        <x:f>_xlfn.XLOOKUP($A424,Games!$A$2:$A$18,Games!$N$2:$N$18,"Missing game",0)</x:f>
        <x:v>dome</x:v>
      </x:c>
      <x:c r="AT424" t="str">
        <x:f>_xlfn.XLOOKUP($A424,Games!$A$2:$A$18,Games!$O$2:$O$18,"Missing game",0)</x:f>
        <x:v>sportturf</x:v>
      </x:c>
      <x:c r="AU424" t="str">
        <x:f>_xlfn.XLOOKUP($A424,Games!$A$2:$A$18,Games!$P$2:$P$18,"Missing game",0)</x:f>
      </x:c>
      <x:c r="AV424" t="str">
        <x:f>_xlfn.XLOOKUP($A424,Games!$A$2:$A$18,Games!$Q$2:$Q$18,"Missing game",0)</x:f>
      </x:c>
      <x:c r="AW424" t="str">
        <x:f>_xlfn.XLOOKUP($A424,Games!$A$2:$A$18,Games!$R$2:$R$18,"Missing game",0)</x:f>
        <x:v>U.S. Bank Stadium</x:v>
      </x:c>
    </x:row>
    <x:row r="425">
      <x:c r="A425" t="str">
        <x:v>2025_03_CIN_MIN</x:v>
      </x:c>
      <x:c r="B425" t="n">
        <x:v>2376</x:v>
      </x:c>
      <x:c r="C425" t="n">
        <x:v>2</x:v>
      </x:c>
      <x:c r="D425" t="str">
        <x:v>00:06</x:v>
      </x:c>
      <x:c r="E425" t="n">
        <x:v>3</x:v>
      </x:c>
      <x:c r="F425" t="n">
        <x:v>7</x:v>
      </x:c>
      <x:c r="G425" t="str">
        <x:v>MIN</x:v>
      </x:c>
      <x:c r="H425" t="str">
        <x:v>CIN</x:v>
      </x:c>
      <x:c r="I425" t="str">
        <x:v>CIN</x:v>
      </x:c>
      <x:c r="J425" t="n">
        <x:v>44</x:v>
      </x:c>
      <x:c r="K425" t="str">
        <x:v>(:06) (Shotgun) 11-C.Wentz pass incomplete short left to 18-J.Jefferson.</x:v>
      </x:c>
      <x:c r="L425" t="str">
        <x:v>pass</x:v>
      </x:c>
      <x:c r="M425" t="n">
        <x:v>0</x:v>
      </x:c>
      <x:c r="N425" t="n">
        <x:v>1</x:v>
      </x:c>
      <x:c r="O425" t="n">
        <x:v>0</x:v>
      </x:c>
      <x:c r="P425" t="str">
        <x:v>short</x:v>
      </x:c>
      <x:c r="Q425" t="str">
        <x:v>left</x:v>
      </x:c>
      <x:c r="R425" t="n">
        <x:v>15</x:v>
      </x:c>
      <x:c r="S425"/>
      <x:c r="T425"/>
      <x:c r="U425"/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/>
      <x:c r="AC425" t="n">
        <x:v>0</x:v>
      </x:c>
      <x:c r="AD425" t="n">
        <x:v>0.26330744209736534</x:v>
      </x:c>
      <x:c r="AE425" t="n">
        <x:v>1</x:v>
      </x:c>
      <x:c r="AF425" t="n">
        <x:v>-0.0010003447532653809</x:v>
      </x:c>
      <x:c r="AG425" t="n">
        <x:f>_xlfn.XLOOKUP($A425,Games!$A$2:$A$18,Games!$B$2:$B$18,"Missing game",0)</x:f>
        <x:v>2025</x:v>
      </x:c>
      <x:c r="AH425" t="str">
        <x:f>_xlfn.XLOOKUP($A425,Games!$A$2:$A$18,Games!$C$2:$C$18,"Missing game",0)</x:f>
        <x:v>REG</x:v>
      </x:c>
      <x:c r="AI425" t="n">
        <x:f>_xlfn.XLOOKUP($A425,Games!$A$2:$A$18,Games!$D$2:$D$18,"Missing game",0)</x:f>
        <x:v>3</x:v>
      </x:c>
      <x:c r="AJ425" s="1" t="n">
        <x:f>_xlfn.XLOOKUP($A425,Games!$A$2:$A$18,Games!$E$2:$E$18,"Missing game",0)</x:f>
        <x:v>45921</x:v>
      </x:c>
      <x:c r="AK425" t="str">
        <x:f>_xlfn.XLOOKUP($A425,Games!$A$2:$A$18,Games!$F$2:$F$18,"Missing game",0)</x:f>
        <x:v>Sunday</x:v>
      </x:c>
      <x:c r="AL425" t="str">
        <x:f>_xlfn.XLOOKUP($A425,Games!$A$2:$A$18,Games!$G$2:$G$18,"Missing game",0)</x:f>
        <x:v>CIN</x:v>
      </x:c>
      <x:c r="AM425" t="n">
        <x:f>_xlfn.XLOOKUP($A425,Games!$A$2:$A$18,Games!$H$2:$H$18,"Missing game",0)</x:f>
        <x:v>10</x:v>
      </x:c>
      <x:c r="AN425" t="str">
        <x:f>_xlfn.XLOOKUP($A425,Games!$A$2:$A$18,Games!$I$2:$I$18,"Missing game",0)</x:f>
        <x:v>MIN</x:v>
      </x:c>
      <x:c r="AO425" t="n">
        <x:f>_xlfn.XLOOKUP($A425,Games!$A$2:$A$18,Games!$J$2:$J$18,"Missing game",0)</x:f>
        <x:v>48</x:v>
      </x:c>
      <x:c r="AP425" t="n">
        <x:f>_xlfn.XLOOKUP($A425,Games!$A$2:$A$18,Games!$K$2:$K$18,"Missing game",0)</x:f>
        <x:v>38</x:v>
      </x:c>
      <x:c r="AQ425" t="n">
        <x:f>_xlfn.XLOOKUP($A425,Games!$A$2:$A$18,Games!$L$2:$L$18,"Missing game",0)</x:f>
        <x:v>58</x:v>
      </x:c>
      <x:c r="AR425" t="n">
        <x:f>_xlfn.XLOOKUP($A425,Games!$A$2:$A$18,Games!$M$2:$M$18,"Missing game",0)</x:f>
        <x:v>0</x:v>
      </x:c>
      <x:c r="AS425" t="str">
        <x:f>_xlfn.XLOOKUP($A425,Games!$A$2:$A$18,Games!$N$2:$N$18,"Missing game",0)</x:f>
        <x:v>dome</x:v>
      </x:c>
      <x:c r="AT425" t="str">
        <x:f>_xlfn.XLOOKUP($A425,Games!$A$2:$A$18,Games!$O$2:$O$18,"Missing game",0)</x:f>
        <x:v>sportturf</x:v>
      </x:c>
      <x:c r="AU425" t="str">
        <x:f>_xlfn.XLOOKUP($A425,Games!$A$2:$A$18,Games!$P$2:$P$18,"Missing game",0)</x:f>
      </x:c>
      <x:c r="AV425" t="str">
        <x:f>_xlfn.XLOOKUP($A425,Games!$A$2:$A$18,Games!$Q$2:$Q$18,"Missing game",0)</x:f>
      </x:c>
      <x:c r="AW425" t="str">
        <x:f>_xlfn.XLOOKUP($A425,Games!$A$2:$A$18,Games!$R$2:$R$18,"Missing game",0)</x:f>
        <x:v>U.S. Bank Stadium</x:v>
      </x:c>
    </x:row>
    <x:row r="426">
      <x:c r="A426" t="str">
        <x:v>2025_03_CIN_MIN</x:v>
      </x:c>
      <x:c r="B426" t="n">
        <x:v>2388</x:v>
      </x:c>
      <x:c r="C426" t="n">
        <x:v>2</x:v>
      </x:c>
      <x:c r="D426" t="str">
        <x:v>00:06</x:v>
      </x:c>
      <x:c r="E426"/>
      <x:c r="F426" t="n">
        <x:v>0</x:v>
      </x:c>
      <x:c r="G426"/>
      <x:c r="H426"/>
      <x:c r="I426"/>
      <x:c r="J426"/>
      <x:c r="K426" t="str">
        <x:v>Timeout #1 by MIN at 00:06.</x:v>
      </x:c>
      <x:c r="L426" t="str">
        <x:v>no_play</x:v>
      </x:c>
      <x:c r="M426" t="n">
        <x:v>0</x:v>
      </x:c>
      <x:c r="N426" t="n">
        <x:v>0</x:v>
      </x:c>
      <x:c r="O426" t="n">
        <x:v>0</x:v>
      </x:c>
      <x:c r="P426"/>
      <x:c r="Q426"/>
      <x:c r="R426"/>
      <x:c r="S426"/>
      <x:c r="T426"/>
      <x:c r="U426"/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/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f>_xlfn.XLOOKUP($A426,Games!$A$2:$A$18,Games!$B$2:$B$18,"Missing game",0)</x:f>
        <x:v>2025</x:v>
      </x:c>
      <x:c r="AH426" t="str">
        <x:f>_xlfn.XLOOKUP($A426,Games!$A$2:$A$18,Games!$C$2:$C$18,"Missing game",0)</x:f>
        <x:v>REG</x:v>
      </x:c>
      <x:c r="AI426" t="n">
        <x:f>_xlfn.XLOOKUP($A426,Games!$A$2:$A$18,Games!$D$2:$D$18,"Missing game",0)</x:f>
        <x:v>3</x:v>
      </x:c>
      <x:c r="AJ426" s="1" t="n">
        <x:f>_xlfn.XLOOKUP($A426,Games!$A$2:$A$18,Games!$E$2:$E$18,"Missing game",0)</x:f>
        <x:v>45921</x:v>
      </x:c>
      <x:c r="AK426" t="str">
        <x:f>_xlfn.XLOOKUP($A426,Games!$A$2:$A$18,Games!$F$2:$F$18,"Missing game",0)</x:f>
        <x:v>Sunday</x:v>
      </x:c>
      <x:c r="AL426" t="str">
        <x:f>_xlfn.XLOOKUP($A426,Games!$A$2:$A$18,Games!$G$2:$G$18,"Missing game",0)</x:f>
        <x:v>CIN</x:v>
      </x:c>
      <x:c r="AM426" t="n">
        <x:f>_xlfn.XLOOKUP($A426,Games!$A$2:$A$18,Games!$H$2:$H$18,"Missing game",0)</x:f>
        <x:v>10</x:v>
      </x:c>
      <x:c r="AN426" t="str">
        <x:f>_xlfn.XLOOKUP($A426,Games!$A$2:$A$18,Games!$I$2:$I$18,"Missing game",0)</x:f>
        <x:v>MIN</x:v>
      </x:c>
      <x:c r="AO426" t="n">
        <x:f>_xlfn.XLOOKUP($A426,Games!$A$2:$A$18,Games!$J$2:$J$18,"Missing game",0)</x:f>
        <x:v>48</x:v>
      </x:c>
      <x:c r="AP426" t="n">
        <x:f>_xlfn.XLOOKUP($A426,Games!$A$2:$A$18,Games!$K$2:$K$18,"Missing game",0)</x:f>
        <x:v>38</x:v>
      </x:c>
      <x:c r="AQ426" t="n">
        <x:f>_xlfn.XLOOKUP($A426,Games!$A$2:$A$18,Games!$L$2:$L$18,"Missing game",0)</x:f>
        <x:v>58</x:v>
      </x:c>
      <x:c r="AR426" t="n">
        <x:f>_xlfn.XLOOKUP($A426,Games!$A$2:$A$18,Games!$M$2:$M$18,"Missing game",0)</x:f>
        <x:v>0</x:v>
      </x:c>
      <x:c r="AS426" t="str">
        <x:f>_xlfn.XLOOKUP($A426,Games!$A$2:$A$18,Games!$N$2:$N$18,"Missing game",0)</x:f>
        <x:v>dome</x:v>
      </x:c>
      <x:c r="AT426" t="str">
        <x:f>_xlfn.XLOOKUP($A426,Games!$A$2:$A$18,Games!$O$2:$O$18,"Missing game",0)</x:f>
        <x:v>sportturf</x:v>
      </x:c>
      <x:c r="AU426" t="str">
        <x:f>_xlfn.XLOOKUP($A426,Games!$A$2:$A$18,Games!$P$2:$P$18,"Missing game",0)</x:f>
      </x:c>
      <x:c r="AV426" t="str">
        <x:f>_xlfn.XLOOKUP($A426,Games!$A$2:$A$18,Games!$Q$2:$Q$18,"Missing game",0)</x:f>
      </x:c>
      <x:c r="AW426" t="str">
        <x:f>_xlfn.XLOOKUP($A426,Games!$A$2:$A$18,Games!$R$2:$R$18,"Missing game",0)</x:f>
        <x:v>U.S. Bank Stadium</x:v>
      </x:c>
    </x:row>
    <x:row r="427">
      <x:c r="A427" t="str">
        <x:v>2025_03_CIN_MIN</x:v>
      </x:c>
      <x:c r="B427" t="n">
        <x:v>2395</x:v>
      </x:c>
      <x:c r="C427" t="n">
        <x:v>2</x:v>
      </x:c>
      <x:c r="D427" t="str">
        <x:v>00:06</x:v>
      </x:c>
      <x:c r="E427"/>
      <x:c r="F427" t="n">
        <x:v>0</x:v>
      </x:c>
      <x:c r="G427"/>
      <x:c r="H427"/>
      <x:c r="I427"/>
      <x:c r="J427"/>
      <x:c r="K427" t="str">
        <x:v>Timeout #2 by CIN at 00:06.</x:v>
      </x:c>
      <x:c r="L427" t="str">
        <x:v>no_play</x:v>
      </x:c>
      <x:c r="M427" t="n">
        <x:v>0</x:v>
      </x:c>
      <x:c r="N427" t="n">
        <x:v>0</x:v>
      </x:c>
      <x:c r="O427" t="n">
        <x:v>0</x:v>
      </x:c>
      <x:c r="P427"/>
      <x:c r="Q427"/>
      <x:c r="R427"/>
      <x:c r="S427"/>
      <x:c r="T427"/>
      <x:c r="U427"/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/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f>_xlfn.XLOOKUP($A427,Games!$A$2:$A$18,Games!$B$2:$B$18,"Missing game",0)</x:f>
        <x:v>2025</x:v>
      </x:c>
      <x:c r="AH427" t="str">
        <x:f>_xlfn.XLOOKUP($A427,Games!$A$2:$A$18,Games!$C$2:$C$18,"Missing game",0)</x:f>
        <x:v>REG</x:v>
      </x:c>
      <x:c r="AI427" t="n">
        <x:f>_xlfn.XLOOKUP($A427,Games!$A$2:$A$18,Games!$D$2:$D$18,"Missing game",0)</x:f>
        <x:v>3</x:v>
      </x:c>
      <x:c r="AJ427" s="1" t="n">
        <x:f>_xlfn.XLOOKUP($A427,Games!$A$2:$A$18,Games!$E$2:$E$18,"Missing game",0)</x:f>
        <x:v>45921</x:v>
      </x:c>
      <x:c r="AK427" t="str">
        <x:f>_xlfn.XLOOKUP($A427,Games!$A$2:$A$18,Games!$F$2:$F$18,"Missing game",0)</x:f>
        <x:v>Sunday</x:v>
      </x:c>
      <x:c r="AL427" t="str">
        <x:f>_xlfn.XLOOKUP($A427,Games!$A$2:$A$18,Games!$G$2:$G$18,"Missing game",0)</x:f>
        <x:v>CIN</x:v>
      </x:c>
      <x:c r="AM427" t="n">
        <x:f>_xlfn.XLOOKUP($A427,Games!$A$2:$A$18,Games!$H$2:$H$18,"Missing game",0)</x:f>
        <x:v>10</x:v>
      </x:c>
      <x:c r="AN427" t="str">
        <x:f>_xlfn.XLOOKUP($A427,Games!$A$2:$A$18,Games!$I$2:$I$18,"Missing game",0)</x:f>
        <x:v>MIN</x:v>
      </x:c>
      <x:c r="AO427" t="n">
        <x:f>_xlfn.XLOOKUP($A427,Games!$A$2:$A$18,Games!$J$2:$J$18,"Missing game",0)</x:f>
        <x:v>48</x:v>
      </x:c>
      <x:c r="AP427" t="n">
        <x:f>_xlfn.XLOOKUP($A427,Games!$A$2:$A$18,Games!$K$2:$K$18,"Missing game",0)</x:f>
        <x:v>38</x:v>
      </x:c>
      <x:c r="AQ427" t="n">
        <x:f>_xlfn.XLOOKUP($A427,Games!$A$2:$A$18,Games!$L$2:$L$18,"Missing game",0)</x:f>
        <x:v>58</x:v>
      </x:c>
      <x:c r="AR427" t="n">
        <x:f>_xlfn.XLOOKUP($A427,Games!$A$2:$A$18,Games!$M$2:$M$18,"Missing game",0)</x:f>
        <x:v>0</x:v>
      </x:c>
      <x:c r="AS427" t="str">
        <x:f>_xlfn.XLOOKUP($A427,Games!$A$2:$A$18,Games!$N$2:$N$18,"Missing game",0)</x:f>
        <x:v>dome</x:v>
      </x:c>
      <x:c r="AT427" t="str">
        <x:f>_xlfn.XLOOKUP($A427,Games!$A$2:$A$18,Games!$O$2:$O$18,"Missing game",0)</x:f>
        <x:v>sportturf</x:v>
      </x:c>
      <x:c r="AU427" t="str">
        <x:f>_xlfn.XLOOKUP($A427,Games!$A$2:$A$18,Games!$P$2:$P$18,"Missing game",0)</x:f>
      </x:c>
      <x:c r="AV427" t="str">
        <x:f>_xlfn.XLOOKUP($A427,Games!$A$2:$A$18,Games!$Q$2:$Q$18,"Missing game",0)</x:f>
      </x:c>
      <x:c r="AW427" t="str">
        <x:f>_xlfn.XLOOKUP($A427,Games!$A$2:$A$18,Games!$R$2:$R$18,"Missing game",0)</x:f>
        <x:v>U.S. Bank Stadium</x:v>
      </x:c>
    </x:row>
    <x:row r="428">
      <x:c r="A428" t="str">
        <x:v>2025_03_CIN_MIN</x:v>
      </x:c>
      <x:c r="B428" t="n">
        <x:v>2413</x:v>
      </x:c>
      <x:c r="C428" t="n">
        <x:v>2</x:v>
      </x:c>
      <x:c r="D428" t="str">
        <x:v>00:03</x:v>
      </x:c>
      <x:c r="E428" t="n">
        <x:v>4</x:v>
      </x:c>
      <x:c r="F428" t="n">
        <x:v>7</x:v>
      </x:c>
      <x:c r="G428" t="str">
        <x:v>MIN</x:v>
      </x:c>
      <x:c r="H428" t="str">
        <x:v>CIN</x:v>
      </x:c>
      <x:c r="I428" t="str">
        <x:v>CIN</x:v>
      </x:c>
      <x:c r="J428" t="n">
        <x:v>44</x:v>
      </x:c>
      <x:c r="K428" t="str">
        <x:v>(:03) 16-W.Reichard 62 yard field goal is GOOD, Center-42-A.DePaola, Holder-17-R.Wright.</x:v>
      </x:c>
      <x:c r="L428" t="str">
        <x:v>field_goal</x:v>
      </x:c>
      <x:c r="M428" t="n">
        <x:v>0</x:v>
      </x:c>
      <x:c r="N428" t="n">
        <x:v>0</x:v>
      </x:c>
      <x:c r="O428" t="n">
        <x:v>0</x:v>
      </x:c>
      <x:c r="P428"/>
      <x:c r="Q428"/>
      <x:c r="R428"/>
      <x:c r="S428"/>
      <x:c r="T428"/>
      <x:c r="U428"/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/>
      <x:c r="AC428" t="n">
        <x:v>0</x:v>
      </x:c>
      <x:c r="AD428" t="n">
        <x:v>1.8051533956076955</x:v>
      </x:c>
      <x:c r="AE428" t="n">
        <x:v>1</x:v>
      </x:c>
      <x:c r="AF428" t="n">
        <x:v>-0.00022311322391033173</x:v>
      </x:c>
      <x:c r="AG428" t="n">
        <x:f>_xlfn.XLOOKUP($A428,Games!$A$2:$A$18,Games!$B$2:$B$18,"Missing game",0)</x:f>
        <x:v>2025</x:v>
      </x:c>
      <x:c r="AH428" t="str">
        <x:f>_xlfn.XLOOKUP($A428,Games!$A$2:$A$18,Games!$C$2:$C$18,"Missing game",0)</x:f>
        <x:v>REG</x:v>
      </x:c>
      <x:c r="AI428" t="n">
        <x:f>_xlfn.XLOOKUP($A428,Games!$A$2:$A$18,Games!$D$2:$D$18,"Missing game",0)</x:f>
        <x:v>3</x:v>
      </x:c>
      <x:c r="AJ428" s="1" t="n">
        <x:f>_xlfn.XLOOKUP($A428,Games!$A$2:$A$18,Games!$E$2:$E$18,"Missing game",0)</x:f>
        <x:v>45921</x:v>
      </x:c>
      <x:c r="AK428" t="str">
        <x:f>_xlfn.XLOOKUP($A428,Games!$A$2:$A$18,Games!$F$2:$F$18,"Missing game",0)</x:f>
        <x:v>Sunday</x:v>
      </x:c>
      <x:c r="AL428" t="str">
        <x:f>_xlfn.XLOOKUP($A428,Games!$A$2:$A$18,Games!$G$2:$G$18,"Missing game",0)</x:f>
        <x:v>CIN</x:v>
      </x:c>
      <x:c r="AM428" t="n">
        <x:f>_xlfn.XLOOKUP($A428,Games!$A$2:$A$18,Games!$H$2:$H$18,"Missing game",0)</x:f>
        <x:v>10</x:v>
      </x:c>
      <x:c r="AN428" t="str">
        <x:f>_xlfn.XLOOKUP($A428,Games!$A$2:$A$18,Games!$I$2:$I$18,"Missing game",0)</x:f>
        <x:v>MIN</x:v>
      </x:c>
      <x:c r="AO428" t="n">
        <x:f>_xlfn.XLOOKUP($A428,Games!$A$2:$A$18,Games!$J$2:$J$18,"Missing game",0)</x:f>
        <x:v>48</x:v>
      </x:c>
      <x:c r="AP428" t="n">
        <x:f>_xlfn.XLOOKUP($A428,Games!$A$2:$A$18,Games!$K$2:$K$18,"Missing game",0)</x:f>
        <x:v>38</x:v>
      </x:c>
      <x:c r="AQ428" t="n">
        <x:f>_xlfn.XLOOKUP($A428,Games!$A$2:$A$18,Games!$L$2:$L$18,"Missing game",0)</x:f>
        <x:v>58</x:v>
      </x:c>
      <x:c r="AR428" t="n">
        <x:f>_xlfn.XLOOKUP($A428,Games!$A$2:$A$18,Games!$M$2:$M$18,"Missing game",0)</x:f>
        <x:v>0</x:v>
      </x:c>
      <x:c r="AS428" t="str">
        <x:f>_xlfn.XLOOKUP($A428,Games!$A$2:$A$18,Games!$N$2:$N$18,"Missing game",0)</x:f>
        <x:v>dome</x:v>
      </x:c>
      <x:c r="AT428" t="str">
        <x:f>_xlfn.XLOOKUP($A428,Games!$A$2:$A$18,Games!$O$2:$O$18,"Missing game",0)</x:f>
        <x:v>sportturf</x:v>
      </x:c>
      <x:c r="AU428" t="str">
        <x:f>_xlfn.XLOOKUP($A428,Games!$A$2:$A$18,Games!$P$2:$P$18,"Missing game",0)</x:f>
      </x:c>
      <x:c r="AV428" t="str">
        <x:f>_xlfn.XLOOKUP($A428,Games!$A$2:$A$18,Games!$Q$2:$Q$18,"Missing game",0)</x:f>
      </x:c>
      <x:c r="AW428" t="str">
        <x:f>_xlfn.XLOOKUP($A428,Games!$A$2:$A$18,Games!$R$2:$R$18,"Missing game",0)</x:f>
        <x:v>U.S. Bank Stadium</x:v>
      </x:c>
    </x:row>
    <x:row r="429">
      <x:c r="A429" t="str">
        <x:v>2025_03_CIN_MIN</x:v>
      </x:c>
      <x:c r="B429" t="n">
        <x:v>2431</x:v>
      </x:c>
      <x:c r="C429" t="n">
        <x:v>2</x:v>
      </x:c>
      <x:c r="D429" t="str">
        <x:v>00:03</x:v>
      </x:c>
      <x:c r="E429"/>
      <x:c r="F429" t="n">
        <x:v>0</x:v>
      </x:c>
      <x:c r="G429"/>
      <x:c r="H429"/>
      <x:c r="I429"/>
      <x:c r="J429"/>
      <x:c r="K429" t="str">
        <x:v>Timeout #3 by CIN at 00:03.</x:v>
      </x:c>
      <x:c r="L429" t="str">
        <x:v>no_play</x:v>
      </x:c>
      <x:c r="M429" t="n">
        <x:v>0</x:v>
      </x:c>
      <x:c r="N429" t="n">
        <x:v>0</x:v>
      </x:c>
      <x:c r="O429" t="n">
        <x:v>0</x:v>
      </x:c>
      <x:c r="P429"/>
      <x:c r="Q429"/>
      <x:c r="R429"/>
      <x:c r="S429"/>
      <x:c r="T429"/>
      <x:c r="U429"/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/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f>_xlfn.XLOOKUP($A429,Games!$A$2:$A$18,Games!$B$2:$B$18,"Missing game",0)</x:f>
        <x:v>2025</x:v>
      </x:c>
      <x:c r="AH429" t="str">
        <x:f>_xlfn.XLOOKUP($A429,Games!$A$2:$A$18,Games!$C$2:$C$18,"Missing game",0)</x:f>
        <x:v>REG</x:v>
      </x:c>
      <x:c r="AI429" t="n">
        <x:f>_xlfn.XLOOKUP($A429,Games!$A$2:$A$18,Games!$D$2:$D$18,"Missing game",0)</x:f>
        <x:v>3</x:v>
      </x:c>
      <x:c r="AJ429" s="1" t="n">
        <x:f>_xlfn.XLOOKUP($A429,Games!$A$2:$A$18,Games!$E$2:$E$18,"Missing game",0)</x:f>
        <x:v>45921</x:v>
      </x:c>
      <x:c r="AK429" t="str">
        <x:f>_xlfn.XLOOKUP($A429,Games!$A$2:$A$18,Games!$F$2:$F$18,"Missing game",0)</x:f>
        <x:v>Sunday</x:v>
      </x:c>
      <x:c r="AL429" t="str">
        <x:f>_xlfn.XLOOKUP($A429,Games!$A$2:$A$18,Games!$G$2:$G$18,"Missing game",0)</x:f>
        <x:v>CIN</x:v>
      </x:c>
      <x:c r="AM429" t="n">
        <x:f>_xlfn.XLOOKUP($A429,Games!$A$2:$A$18,Games!$H$2:$H$18,"Missing game",0)</x:f>
        <x:v>10</x:v>
      </x:c>
      <x:c r="AN429" t="str">
        <x:f>_xlfn.XLOOKUP($A429,Games!$A$2:$A$18,Games!$I$2:$I$18,"Missing game",0)</x:f>
        <x:v>MIN</x:v>
      </x:c>
      <x:c r="AO429" t="n">
        <x:f>_xlfn.XLOOKUP($A429,Games!$A$2:$A$18,Games!$J$2:$J$18,"Missing game",0)</x:f>
        <x:v>48</x:v>
      </x:c>
      <x:c r="AP429" t="n">
        <x:f>_xlfn.XLOOKUP($A429,Games!$A$2:$A$18,Games!$K$2:$K$18,"Missing game",0)</x:f>
        <x:v>38</x:v>
      </x:c>
      <x:c r="AQ429" t="n">
        <x:f>_xlfn.XLOOKUP($A429,Games!$A$2:$A$18,Games!$L$2:$L$18,"Missing game",0)</x:f>
        <x:v>58</x:v>
      </x:c>
      <x:c r="AR429" t="n">
        <x:f>_xlfn.XLOOKUP($A429,Games!$A$2:$A$18,Games!$M$2:$M$18,"Missing game",0)</x:f>
        <x:v>0</x:v>
      </x:c>
      <x:c r="AS429" t="str">
        <x:f>_xlfn.XLOOKUP($A429,Games!$A$2:$A$18,Games!$N$2:$N$18,"Missing game",0)</x:f>
        <x:v>dome</x:v>
      </x:c>
      <x:c r="AT429" t="str">
        <x:f>_xlfn.XLOOKUP($A429,Games!$A$2:$A$18,Games!$O$2:$O$18,"Missing game",0)</x:f>
        <x:v>sportturf</x:v>
      </x:c>
      <x:c r="AU429" t="str">
        <x:f>_xlfn.XLOOKUP($A429,Games!$A$2:$A$18,Games!$P$2:$P$18,"Missing game",0)</x:f>
      </x:c>
      <x:c r="AV429" t="str">
        <x:f>_xlfn.XLOOKUP($A429,Games!$A$2:$A$18,Games!$Q$2:$Q$18,"Missing game",0)</x:f>
      </x:c>
      <x:c r="AW429" t="str">
        <x:f>_xlfn.XLOOKUP($A429,Games!$A$2:$A$18,Games!$R$2:$R$18,"Missing game",0)</x:f>
        <x:v>U.S. Bank Stadium</x:v>
      </x:c>
    </x:row>
    <x:row r="430">
      <x:c r="A430" t="str">
        <x:v>2025_03_CIN_MIN</x:v>
      </x:c>
      <x:c r="B430" t="n">
        <x:v>2440</x:v>
      </x:c>
      <x:c r="C430" t="n">
        <x:v>2</x:v>
      </x:c>
      <x:c r="D430" t="str">
        <x:v>00:00</x:v>
      </x:c>
      <x:c r="E430"/>
      <x:c r="F430" t="n">
        <x:v>0</x:v>
      </x:c>
      <x:c r="G430"/>
      <x:c r="H430"/>
      <x:c r="I430"/>
      <x:c r="J430"/>
      <x:c r="K430" t="str">
        <x:v>END QUARTER 2</x:v>
      </x:c>
      <x:c r="L430"/>
      <x:c r="M430"/>
      <x:c r="N430" t="n">
        <x:v>0</x:v>
      </x:c>
      <x:c r="O430" t="n">
        <x:v>0</x:v>
      </x:c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 t="n">
        <x:v>0</x:v>
      </x:c>
      <x:c r="AG430" t="n">
        <x:f>_xlfn.XLOOKUP($A430,Games!$A$2:$A$18,Games!$B$2:$B$18,"Missing game",0)</x:f>
        <x:v>2025</x:v>
      </x:c>
      <x:c r="AH430" t="str">
        <x:f>_xlfn.XLOOKUP($A430,Games!$A$2:$A$18,Games!$C$2:$C$18,"Missing game",0)</x:f>
        <x:v>REG</x:v>
      </x:c>
      <x:c r="AI430" t="n">
        <x:f>_xlfn.XLOOKUP($A430,Games!$A$2:$A$18,Games!$D$2:$D$18,"Missing game",0)</x:f>
        <x:v>3</x:v>
      </x:c>
      <x:c r="AJ430" s="1" t="n">
        <x:f>_xlfn.XLOOKUP($A430,Games!$A$2:$A$18,Games!$E$2:$E$18,"Missing game",0)</x:f>
        <x:v>45921</x:v>
      </x:c>
      <x:c r="AK430" t="str">
        <x:f>_xlfn.XLOOKUP($A430,Games!$A$2:$A$18,Games!$F$2:$F$18,"Missing game",0)</x:f>
        <x:v>Sunday</x:v>
      </x:c>
      <x:c r="AL430" t="str">
        <x:f>_xlfn.XLOOKUP($A430,Games!$A$2:$A$18,Games!$G$2:$G$18,"Missing game",0)</x:f>
        <x:v>CIN</x:v>
      </x:c>
      <x:c r="AM430" t="n">
        <x:f>_xlfn.XLOOKUP($A430,Games!$A$2:$A$18,Games!$H$2:$H$18,"Missing game",0)</x:f>
        <x:v>10</x:v>
      </x:c>
      <x:c r="AN430" t="str">
        <x:f>_xlfn.XLOOKUP($A430,Games!$A$2:$A$18,Games!$I$2:$I$18,"Missing game",0)</x:f>
        <x:v>MIN</x:v>
      </x:c>
      <x:c r="AO430" t="n">
        <x:f>_xlfn.XLOOKUP($A430,Games!$A$2:$A$18,Games!$J$2:$J$18,"Missing game",0)</x:f>
        <x:v>48</x:v>
      </x:c>
      <x:c r="AP430" t="n">
        <x:f>_xlfn.XLOOKUP($A430,Games!$A$2:$A$18,Games!$K$2:$K$18,"Missing game",0)</x:f>
        <x:v>38</x:v>
      </x:c>
      <x:c r="AQ430" t="n">
        <x:f>_xlfn.XLOOKUP($A430,Games!$A$2:$A$18,Games!$L$2:$L$18,"Missing game",0)</x:f>
        <x:v>58</x:v>
      </x:c>
      <x:c r="AR430" t="n">
        <x:f>_xlfn.XLOOKUP($A430,Games!$A$2:$A$18,Games!$M$2:$M$18,"Missing game",0)</x:f>
        <x:v>0</x:v>
      </x:c>
      <x:c r="AS430" t="str">
        <x:f>_xlfn.XLOOKUP($A430,Games!$A$2:$A$18,Games!$N$2:$N$18,"Missing game",0)</x:f>
        <x:v>dome</x:v>
      </x:c>
      <x:c r="AT430" t="str">
        <x:f>_xlfn.XLOOKUP($A430,Games!$A$2:$A$18,Games!$O$2:$O$18,"Missing game",0)</x:f>
        <x:v>sportturf</x:v>
      </x:c>
      <x:c r="AU430" t="str">
        <x:f>_xlfn.XLOOKUP($A430,Games!$A$2:$A$18,Games!$P$2:$P$18,"Missing game",0)</x:f>
      </x:c>
      <x:c r="AV430" t="str">
        <x:f>_xlfn.XLOOKUP($A430,Games!$A$2:$A$18,Games!$Q$2:$Q$18,"Missing game",0)</x:f>
      </x:c>
      <x:c r="AW430" t="str">
        <x:f>_xlfn.XLOOKUP($A430,Games!$A$2:$A$18,Games!$R$2:$R$18,"Missing game",0)</x:f>
        <x:v>U.S. Bank Stadium</x:v>
      </x:c>
    </x:row>
    <x:row r="431">
      <x:c r="A431" t="str">
        <x:v>2025_03_CIN_MIN</x:v>
      </x:c>
      <x:c r="B431" t="n">
        <x:v>2458</x:v>
      </x:c>
      <x:c r="C431" t="n">
        <x:v>3</x:v>
      </x:c>
      <x:c r="D431" t="str">
        <x:v>15:00</x:v>
      </x:c>
      <x:c r="E431"/>
      <x:c r="F431" t="n">
        <x:v>0</x:v>
      </x:c>
      <x:c r="G431" t="str">
        <x:v>CIN</x:v>
      </x:c>
      <x:c r="H431" t="str">
        <x:v>MIN</x:v>
      </x:c>
      <x:c r="I431" t="str">
        <x:v>MIN</x:v>
      </x:c>
      <x:c r="J431" t="n">
        <x:v>35</x:v>
      </x:c>
      <x:c r="K431" t="str">
        <x:v>16-W.Reichard kicks 58 yards from MIN 35 to CIN 7. 15-C.Jones to CIN 24 for 17 yards (57-C.Chambliss).</x:v>
      </x:c>
      <x:c r="L431" t="str">
        <x:v>kickoff</x:v>
      </x:c>
      <x:c r="M431" t="n">
        <x:v>0</x:v>
      </x:c>
      <x:c r="N431" t="n">
        <x:v>0</x:v>
      </x:c>
      <x:c r="O431" t="n">
        <x:v>0</x:v>
      </x:c>
      <x:c r="P431"/>
      <x:c r="Q431"/>
      <x:c r="R431"/>
      <x:c r="S431"/>
      <x:c r="T431"/>
      <x:c r="U431"/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/>
      <x:c r="AC431" t="n">
        <x:v>0</x:v>
      </x:c>
      <x:c r="AD431" t="n">
        <x:v>-0.24408097937703133</x:v>
      </x:c>
      <x:c r="AE431" t="n">
        <x:v>0</x:v>
      </x:c>
      <x:c r="AF431" t="n">
        <x:v>-0.00015443004667758942</x:v>
      </x:c>
      <x:c r="AG431" t="n">
        <x:f>_xlfn.XLOOKUP($A431,Games!$A$2:$A$18,Games!$B$2:$B$18,"Missing game",0)</x:f>
        <x:v>2025</x:v>
      </x:c>
      <x:c r="AH431" t="str">
        <x:f>_xlfn.XLOOKUP($A431,Games!$A$2:$A$18,Games!$C$2:$C$18,"Missing game",0)</x:f>
        <x:v>REG</x:v>
      </x:c>
      <x:c r="AI431" t="n">
        <x:f>_xlfn.XLOOKUP($A431,Games!$A$2:$A$18,Games!$D$2:$D$18,"Missing game",0)</x:f>
        <x:v>3</x:v>
      </x:c>
      <x:c r="AJ431" s="1" t="n">
        <x:f>_xlfn.XLOOKUP($A431,Games!$A$2:$A$18,Games!$E$2:$E$18,"Missing game",0)</x:f>
        <x:v>45921</x:v>
      </x:c>
      <x:c r="AK431" t="str">
        <x:f>_xlfn.XLOOKUP($A431,Games!$A$2:$A$18,Games!$F$2:$F$18,"Missing game",0)</x:f>
        <x:v>Sunday</x:v>
      </x:c>
      <x:c r="AL431" t="str">
        <x:f>_xlfn.XLOOKUP($A431,Games!$A$2:$A$18,Games!$G$2:$G$18,"Missing game",0)</x:f>
        <x:v>CIN</x:v>
      </x:c>
      <x:c r="AM431" t="n">
        <x:f>_xlfn.XLOOKUP($A431,Games!$A$2:$A$18,Games!$H$2:$H$18,"Missing game",0)</x:f>
        <x:v>10</x:v>
      </x:c>
      <x:c r="AN431" t="str">
        <x:f>_xlfn.XLOOKUP($A431,Games!$A$2:$A$18,Games!$I$2:$I$18,"Missing game",0)</x:f>
        <x:v>MIN</x:v>
      </x:c>
      <x:c r="AO431" t="n">
        <x:f>_xlfn.XLOOKUP($A431,Games!$A$2:$A$18,Games!$J$2:$J$18,"Missing game",0)</x:f>
        <x:v>48</x:v>
      </x:c>
      <x:c r="AP431" t="n">
        <x:f>_xlfn.XLOOKUP($A431,Games!$A$2:$A$18,Games!$K$2:$K$18,"Missing game",0)</x:f>
        <x:v>38</x:v>
      </x:c>
      <x:c r="AQ431" t="n">
        <x:f>_xlfn.XLOOKUP($A431,Games!$A$2:$A$18,Games!$L$2:$L$18,"Missing game",0)</x:f>
        <x:v>58</x:v>
      </x:c>
      <x:c r="AR431" t="n">
        <x:f>_xlfn.XLOOKUP($A431,Games!$A$2:$A$18,Games!$M$2:$M$18,"Missing game",0)</x:f>
        <x:v>0</x:v>
      </x:c>
      <x:c r="AS431" t="str">
        <x:f>_xlfn.XLOOKUP($A431,Games!$A$2:$A$18,Games!$N$2:$N$18,"Missing game",0)</x:f>
        <x:v>dome</x:v>
      </x:c>
      <x:c r="AT431" t="str">
        <x:f>_xlfn.XLOOKUP($A431,Games!$A$2:$A$18,Games!$O$2:$O$18,"Missing game",0)</x:f>
        <x:v>sportturf</x:v>
      </x:c>
      <x:c r="AU431" t="str">
        <x:f>_xlfn.XLOOKUP($A431,Games!$A$2:$A$18,Games!$P$2:$P$18,"Missing game",0)</x:f>
      </x:c>
      <x:c r="AV431" t="str">
        <x:f>_xlfn.XLOOKUP($A431,Games!$A$2:$A$18,Games!$Q$2:$Q$18,"Missing game",0)</x:f>
      </x:c>
      <x:c r="AW431" t="str">
        <x:f>_xlfn.XLOOKUP($A431,Games!$A$2:$A$18,Games!$R$2:$R$18,"Missing game",0)</x:f>
        <x:v>U.S. Bank Stadium</x:v>
      </x:c>
    </x:row>
    <x:row r="432">
      <x:c r="A432" t="str">
        <x:v>2025_03_CIN_MIN</x:v>
      </x:c>
      <x:c r="B432" t="n">
        <x:v>2498</x:v>
      </x:c>
      <x:c r="C432" t="n">
        <x:v>3</x:v>
      </x:c>
      <x:c r="D432" t="str">
        <x:v>14:54</x:v>
      </x:c>
      <x:c r="E432" t="n">
        <x:v>1</x:v>
      </x:c>
      <x:c r="F432" t="n">
        <x:v>10</x:v>
      </x:c>
      <x:c r="G432" t="str">
        <x:v>CIN</x:v>
      </x:c>
      <x:c r="H432" t="str">
        <x:v>MIN</x:v>
      </x:c>
      <x:c r="I432" t="str">
        <x:v>CIN</x:v>
      </x:c>
      <x:c r="J432" t="n">
        <x:v>76</x:v>
      </x:c>
      <x:c r="K432" t="str">
        <x:v>(14:54) 30-C.Brown right guard to CIN 23 for -1 yards (58-J.Greenard).</x:v>
      </x:c>
      <x:c r="L432" t="str">
        <x:v>run</x:v>
      </x:c>
      <x:c r="M432" t="n">
        <x:v>-1</x:v>
      </x:c>
      <x:c r="N432" t="n">
        <x:v>0</x:v>
      </x:c>
      <x:c r="O432" t="n">
        <x:v>0</x:v>
      </x:c>
      <x:c r="P432"/>
      <x:c r="Q432"/>
      <x:c r="R432"/>
      <x:c r="S432"/>
      <x:c r="T432" t="str">
        <x:v>right</x:v>
      </x:c>
      <x:c r="U432" t="str">
        <x:v>guard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/>
      <x:c r="AC432" t="n">
        <x:v>0</x:v>
      </x:c>
      <x:c r="AD432" t="n">
        <x:v>-0.8792420900426805</x:v>
      </x:c>
      <x:c r="AE432" t="n">
        <x:v>0</x:v>
      </x:c>
      <x:c r="AF432" t="n">
        <x:v>-0.0005672881379723549</x:v>
      </x:c>
      <x:c r="AG432" t="n">
        <x:f>_xlfn.XLOOKUP($A432,Games!$A$2:$A$18,Games!$B$2:$B$18,"Missing game",0)</x:f>
        <x:v>2025</x:v>
      </x:c>
      <x:c r="AH432" t="str">
        <x:f>_xlfn.XLOOKUP($A432,Games!$A$2:$A$18,Games!$C$2:$C$18,"Missing game",0)</x:f>
        <x:v>REG</x:v>
      </x:c>
      <x:c r="AI432" t="n">
        <x:f>_xlfn.XLOOKUP($A432,Games!$A$2:$A$18,Games!$D$2:$D$18,"Missing game",0)</x:f>
        <x:v>3</x:v>
      </x:c>
      <x:c r="AJ432" s="1" t="n">
        <x:f>_xlfn.XLOOKUP($A432,Games!$A$2:$A$18,Games!$E$2:$E$18,"Missing game",0)</x:f>
        <x:v>45921</x:v>
      </x:c>
      <x:c r="AK432" t="str">
        <x:f>_xlfn.XLOOKUP($A432,Games!$A$2:$A$18,Games!$F$2:$F$18,"Missing game",0)</x:f>
        <x:v>Sunday</x:v>
      </x:c>
      <x:c r="AL432" t="str">
        <x:f>_xlfn.XLOOKUP($A432,Games!$A$2:$A$18,Games!$G$2:$G$18,"Missing game",0)</x:f>
        <x:v>CIN</x:v>
      </x:c>
      <x:c r="AM432" t="n">
        <x:f>_xlfn.XLOOKUP($A432,Games!$A$2:$A$18,Games!$H$2:$H$18,"Missing game",0)</x:f>
        <x:v>10</x:v>
      </x:c>
      <x:c r="AN432" t="str">
        <x:f>_xlfn.XLOOKUP($A432,Games!$A$2:$A$18,Games!$I$2:$I$18,"Missing game",0)</x:f>
        <x:v>MIN</x:v>
      </x:c>
      <x:c r="AO432" t="n">
        <x:f>_xlfn.XLOOKUP($A432,Games!$A$2:$A$18,Games!$J$2:$J$18,"Missing game",0)</x:f>
        <x:v>48</x:v>
      </x:c>
      <x:c r="AP432" t="n">
        <x:f>_xlfn.XLOOKUP($A432,Games!$A$2:$A$18,Games!$K$2:$K$18,"Missing game",0)</x:f>
        <x:v>38</x:v>
      </x:c>
      <x:c r="AQ432" t="n">
        <x:f>_xlfn.XLOOKUP($A432,Games!$A$2:$A$18,Games!$L$2:$L$18,"Missing game",0)</x:f>
        <x:v>58</x:v>
      </x:c>
      <x:c r="AR432" t="n">
        <x:f>_xlfn.XLOOKUP($A432,Games!$A$2:$A$18,Games!$M$2:$M$18,"Missing game",0)</x:f>
        <x:v>0</x:v>
      </x:c>
      <x:c r="AS432" t="str">
        <x:f>_xlfn.XLOOKUP($A432,Games!$A$2:$A$18,Games!$N$2:$N$18,"Missing game",0)</x:f>
        <x:v>dome</x:v>
      </x:c>
      <x:c r="AT432" t="str">
        <x:f>_xlfn.XLOOKUP($A432,Games!$A$2:$A$18,Games!$O$2:$O$18,"Missing game",0)</x:f>
        <x:v>sportturf</x:v>
      </x:c>
      <x:c r="AU432" t="str">
        <x:f>_xlfn.XLOOKUP($A432,Games!$A$2:$A$18,Games!$P$2:$P$18,"Missing game",0)</x:f>
      </x:c>
      <x:c r="AV432" t="str">
        <x:f>_xlfn.XLOOKUP($A432,Games!$A$2:$A$18,Games!$Q$2:$Q$18,"Missing game",0)</x:f>
      </x:c>
      <x:c r="AW432" t="str">
        <x:f>_xlfn.XLOOKUP($A432,Games!$A$2:$A$18,Games!$R$2:$R$18,"Missing game",0)</x:f>
        <x:v>U.S. Bank Stadium</x:v>
      </x:c>
    </x:row>
    <x:row r="433">
      <x:c r="A433" t="str">
        <x:v>2025_03_CIN_MIN</x:v>
      </x:c>
      <x:c r="B433" t="n">
        <x:v>2520</x:v>
      </x:c>
      <x:c r="C433" t="n">
        <x:v>3</x:v>
      </x:c>
      <x:c r="D433" t="str">
        <x:v>14:18</x:v>
      </x:c>
      <x:c r="E433" t="n">
        <x:v>2</x:v>
      </x:c>
      <x:c r="F433" t="n">
        <x:v>11</x:v>
      </x:c>
      <x:c r="G433" t="str">
        <x:v>CIN</x:v>
      </x:c>
      <x:c r="H433" t="str">
        <x:v>MIN</x:v>
      </x:c>
      <x:c r="I433" t="str">
        <x:v>CIN</x:v>
      </x:c>
      <x:c r="J433" t="n">
        <x:v>77</x:v>
      </x:c>
      <x:c r="K433" t="str">
        <x:v>(14:18) (Shotgun) 30-C.Brown right guard to CIN 27 for 4 yards (55-E.Wilson; 58-J.Greenard).</x:v>
      </x:c>
      <x:c r="L433" t="str">
        <x:v>run</x:v>
      </x:c>
      <x:c r="M433" t="n">
        <x:v>4</x:v>
      </x:c>
      <x:c r="N433" t="n">
        <x:v>1</x:v>
      </x:c>
      <x:c r="O433" t="n">
        <x:v>0</x:v>
      </x:c>
      <x:c r="P433"/>
      <x:c r="Q433"/>
      <x:c r="R433"/>
      <x:c r="S433"/>
      <x:c r="T433" t="str">
        <x:v>right</x:v>
      </x:c>
      <x:c r="U433" t="str">
        <x:v>guard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/>
      <x:c r="AC433" t="n">
        <x:v>0</x:v>
      </x:c>
      <x:c r="AD433" t="n">
        <x:v>-0.03018755605444312</x:v>
      </x:c>
      <x:c r="AE433" t="n">
        <x:v>0</x:v>
      </x:c>
      <x:c r="AF433" t="n">
        <x:v>0.00028383592143654823</x:v>
      </x:c>
      <x:c r="AG433" t="n">
        <x:f>_xlfn.XLOOKUP($A433,Games!$A$2:$A$18,Games!$B$2:$B$18,"Missing game",0)</x:f>
        <x:v>2025</x:v>
      </x:c>
      <x:c r="AH433" t="str">
        <x:f>_xlfn.XLOOKUP($A433,Games!$A$2:$A$18,Games!$C$2:$C$18,"Missing game",0)</x:f>
        <x:v>REG</x:v>
      </x:c>
      <x:c r="AI433" t="n">
        <x:f>_xlfn.XLOOKUP($A433,Games!$A$2:$A$18,Games!$D$2:$D$18,"Missing game",0)</x:f>
        <x:v>3</x:v>
      </x:c>
      <x:c r="AJ433" s="1" t="n">
        <x:f>_xlfn.XLOOKUP($A433,Games!$A$2:$A$18,Games!$E$2:$E$18,"Missing game",0)</x:f>
        <x:v>45921</x:v>
      </x:c>
      <x:c r="AK433" t="str">
        <x:f>_xlfn.XLOOKUP($A433,Games!$A$2:$A$18,Games!$F$2:$F$18,"Missing game",0)</x:f>
        <x:v>Sunday</x:v>
      </x:c>
      <x:c r="AL433" t="str">
        <x:f>_xlfn.XLOOKUP($A433,Games!$A$2:$A$18,Games!$G$2:$G$18,"Missing game",0)</x:f>
        <x:v>CIN</x:v>
      </x:c>
      <x:c r="AM433" t="n">
        <x:f>_xlfn.XLOOKUP($A433,Games!$A$2:$A$18,Games!$H$2:$H$18,"Missing game",0)</x:f>
        <x:v>10</x:v>
      </x:c>
      <x:c r="AN433" t="str">
        <x:f>_xlfn.XLOOKUP($A433,Games!$A$2:$A$18,Games!$I$2:$I$18,"Missing game",0)</x:f>
        <x:v>MIN</x:v>
      </x:c>
      <x:c r="AO433" t="n">
        <x:f>_xlfn.XLOOKUP($A433,Games!$A$2:$A$18,Games!$J$2:$J$18,"Missing game",0)</x:f>
        <x:v>48</x:v>
      </x:c>
      <x:c r="AP433" t="n">
        <x:f>_xlfn.XLOOKUP($A433,Games!$A$2:$A$18,Games!$K$2:$K$18,"Missing game",0)</x:f>
        <x:v>38</x:v>
      </x:c>
      <x:c r="AQ433" t="n">
        <x:f>_xlfn.XLOOKUP($A433,Games!$A$2:$A$18,Games!$L$2:$L$18,"Missing game",0)</x:f>
        <x:v>58</x:v>
      </x:c>
      <x:c r="AR433" t="n">
        <x:f>_xlfn.XLOOKUP($A433,Games!$A$2:$A$18,Games!$M$2:$M$18,"Missing game",0)</x:f>
        <x:v>0</x:v>
      </x:c>
      <x:c r="AS433" t="str">
        <x:f>_xlfn.XLOOKUP($A433,Games!$A$2:$A$18,Games!$N$2:$N$18,"Missing game",0)</x:f>
        <x:v>dome</x:v>
      </x:c>
      <x:c r="AT433" t="str">
        <x:f>_xlfn.XLOOKUP($A433,Games!$A$2:$A$18,Games!$O$2:$O$18,"Missing game",0)</x:f>
        <x:v>sportturf</x:v>
      </x:c>
      <x:c r="AU433" t="str">
        <x:f>_xlfn.XLOOKUP($A433,Games!$A$2:$A$18,Games!$P$2:$P$18,"Missing game",0)</x:f>
      </x:c>
      <x:c r="AV433" t="str">
        <x:f>_xlfn.XLOOKUP($A433,Games!$A$2:$A$18,Games!$Q$2:$Q$18,"Missing game",0)</x:f>
      </x:c>
      <x:c r="AW433" t="str">
        <x:f>_xlfn.XLOOKUP($A433,Games!$A$2:$A$18,Games!$R$2:$R$18,"Missing game",0)</x:f>
        <x:v>U.S. Bank Stadium</x:v>
      </x:c>
    </x:row>
    <x:row r="434">
      <x:c r="A434" t="str">
        <x:v>2025_03_CIN_MIN</x:v>
      </x:c>
      <x:c r="B434" t="n">
        <x:v>2542</x:v>
      </x:c>
      <x:c r="C434" t="n">
        <x:v>3</x:v>
      </x:c>
      <x:c r="D434" t="str">
        <x:v>13:34</x:v>
      </x:c>
      <x:c r="E434" t="n">
        <x:v>3</x:v>
      </x:c>
      <x:c r="F434" t="n">
        <x:v>7</x:v>
      </x:c>
      <x:c r="G434" t="str">
        <x:v>CIN</x:v>
      </x:c>
      <x:c r="H434" t="str">
        <x:v>MIN</x:v>
      </x:c>
      <x:c r="I434" t="str">
        <x:v>CIN</x:v>
      </x:c>
      <x:c r="J434" t="n">
        <x:v>73</x:v>
      </x:c>
      <x:c r="K434" t="str">
        <x:v>(13:34) (Shotgun) 6-J.Browning sacked ob at CIN 27 for 0 yards (43-A.Van Ginkel).</x:v>
      </x:c>
      <x:c r="L434" t="str">
        <x:v>pass</x:v>
      </x:c>
      <x:c r="M434" t="n">
        <x:v>0</x:v>
      </x:c>
      <x:c r="N434" t="n">
        <x:v>1</x:v>
      </x:c>
      <x:c r="O434" t="n">
        <x:v>0</x:v>
      </x:c>
      <x:c r="P434"/>
      <x:c r="Q434"/>
      <x:c r="R434"/>
      <x:c r="S434"/>
      <x:c r="T434"/>
      <x:c r="U434"/>
      <x:c r="V434" t="n">
        <x:v>0</x:v>
      </x:c>
      <x:c r="W434" t="n">
        <x:v>0</x:v>
      </x:c>
      <x:c r="X434" t="n">
        <x:v>1</x:v>
      </x:c>
      <x:c r="Y434" t="n">
        <x:v>0</x:v>
      </x:c>
      <x:c r="Z434" t="n">
        <x:v>0</x:v>
      </x:c>
      <x:c r="AA434" t="n">
        <x:v>0</x:v>
      </x:c>
      <x:c r="AB434"/>
      <x:c r="AC434" t="n">
        <x:v>0</x:v>
      </x:c>
      <x:c r="AD434" t="n">
        <x:v>-1.5142266168259084</x:v>
      </x:c>
      <x:c r="AE434" t="n">
        <x:v>0</x:v>
      </x:c>
      <x:c r="AF434" t="n">
        <x:v>0.0003163903020322323</x:v>
      </x:c>
      <x:c r="AG434" t="n">
        <x:f>_xlfn.XLOOKUP($A434,Games!$A$2:$A$18,Games!$B$2:$B$18,"Missing game",0)</x:f>
        <x:v>2025</x:v>
      </x:c>
      <x:c r="AH434" t="str">
        <x:f>_xlfn.XLOOKUP($A434,Games!$A$2:$A$18,Games!$C$2:$C$18,"Missing game",0)</x:f>
        <x:v>REG</x:v>
      </x:c>
      <x:c r="AI434" t="n">
        <x:f>_xlfn.XLOOKUP($A434,Games!$A$2:$A$18,Games!$D$2:$D$18,"Missing game",0)</x:f>
        <x:v>3</x:v>
      </x:c>
      <x:c r="AJ434" s="1" t="n">
        <x:f>_xlfn.XLOOKUP($A434,Games!$A$2:$A$18,Games!$E$2:$E$18,"Missing game",0)</x:f>
        <x:v>45921</x:v>
      </x:c>
      <x:c r="AK434" t="str">
        <x:f>_xlfn.XLOOKUP($A434,Games!$A$2:$A$18,Games!$F$2:$F$18,"Missing game",0)</x:f>
        <x:v>Sunday</x:v>
      </x:c>
      <x:c r="AL434" t="str">
        <x:f>_xlfn.XLOOKUP($A434,Games!$A$2:$A$18,Games!$G$2:$G$18,"Missing game",0)</x:f>
        <x:v>CIN</x:v>
      </x:c>
      <x:c r="AM434" t="n">
        <x:f>_xlfn.XLOOKUP($A434,Games!$A$2:$A$18,Games!$H$2:$H$18,"Missing game",0)</x:f>
        <x:v>10</x:v>
      </x:c>
      <x:c r="AN434" t="str">
        <x:f>_xlfn.XLOOKUP($A434,Games!$A$2:$A$18,Games!$I$2:$I$18,"Missing game",0)</x:f>
        <x:v>MIN</x:v>
      </x:c>
      <x:c r="AO434" t="n">
        <x:f>_xlfn.XLOOKUP($A434,Games!$A$2:$A$18,Games!$J$2:$J$18,"Missing game",0)</x:f>
        <x:v>48</x:v>
      </x:c>
      <x:c r="AP434" t="n">
        <x:f>_xlfn.XLOOKUP($A434,Games!$A$2:$A$18,Games!$K$2:$K$18,"Missing game",0)</x:f>
        <x:v>38</x:v>
      </x:c>
      <x:c r="AQ434" t="n">
        <x:f>_xlfn.XLOOKUP($A434,Games!$A$2:$A$18,Games!$L$2:$L$18,"Missing game",0)</x:f>
        <x:v>58</x:v>
      </x:c>
      <x:c r="AR434" t="n">
        <x:f>_xlfn.XLOOKUP($A434,Games!$A$2:$A$18,Games!$M$2:$M$18,"Missing game",0)</x:f>
        <x:v>0</x:v>
      </x:c>
      <x:c r="AS434" t="str">
        <x:f>_xlfn.XLOOKUP($A434,Games!$A$2:$A$18,Games!$N$2:$N$18,"Missing game",0)</x:f>
        <x:v>dome</x:v>
      </x:c>
      <x:c r="AT434" t="str">
        <x:f>_xlfn.XLOOKUP($A434,Games!$A$2:$A$18,Games!$O$2:$O$18,"Missing game",0)</x:f>
        <x:v>sportturf</x:v>
      </x:c>
      <x:c r="AU434" t="str">
        <x:f>_xlfn.XLOOKUP($A434,Games!$A$2:$A$18,Games!$P$2:$P$18,"Missing game",0)</x:f>
      </x:c>
      <x:c r="AV434" t="str">
        <x:f>_xlfn.XLOOKUP($A434,Games!$A$2:$A$18,Games!$Q$2:$Q$18,"Missing game",0)</x:f>
      </x:c>
      <x:c r="AW434" t="str">
        <x:f>_xlfn.XLOOKUP($A434,Games!$A$2:$A$18,Games!$R$2:$R$18,"Missing game",0)</x:f>
        <x:v>U.S. Bank Stadium</x:v>
      </x:c>
    </x:row>
    <x:row r="435">
      <x:c r="A435" t="str">
        <x:v>2025_03_CIN_MIN</x:v>
      </x:c>
      <x:c r="B435" t="n">
        <x:v>2571</x:v>
      </x:c>
      <x:c r="C435" t="n">
        <x:v>3</x:v>
      </x:c>
      <x:c r="D435" t="str">
        <x:v>12:55</x:v>
      </x:c>
      <x:c r="E435" t="n">
        <x:v>4</x:v>
      </x:c>
      <x:c r="F435" t="n">
        <x:v>7</x:v>
      </x:c>
      <x:c r="G435" t="str">
        <x:v>CIN</x:v>
      </x:c>
      <x:c r="H435" t="str">
        <x:v>MIN</x:v>
      </x:c>
      <x:c r="I435" t="str">
        <x:v>CIN</x:v>
      </x:c>
      <x:c r="J435" t="n">
        <x:v>73</x:v>
      </x:c>
      <x:c r="K435" t="str">
        <x:v>(12:55) 8-R.Rehkow punts 68 yards to MIN 5, Center-46-W.Wagner. 4-M.Price to MIN 11 for 6 yards (42-O.Burks). PENALTY on CIN-37-P.Jules, Face Mask, 15 yards, enforced at MIN 11.</x:v>
      </x:c>
      <x:c r="L435" t="str">
        <x:v>punt</x:v>
      </x:c>
      <x:c r="M435" t="n">
        <x:v>0</x:v>
      </x:c>
      <x:c r="N435" t="n">
        <x:v>0</x:v>
      </x:c>
      <x:c r="O435" t="n">
        <x:v>0</x:v>
      </x:c>
      <x:c r="P435"/>
      <x:c r="Q435"/>
      <x:c r="R435"/>
      <x:c r="S435"/>
      <x:c r="T435"/>
      <x:c r="U435"/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1</x:v>
      </x:c>
      <x:c r="AB435" t="n">
        <x:v>15</x:v>
      </x:c>
      <x:c r="AC435" t="n">
        <x:v>0</x:v>
      </x:c>
      <x:c r="AD435" t="n">
        <x:v>-0.2217733827419579</x:v>
      </x:c>
      <x:c r="AE435" t="n">
        <x:v>0</x:v>
      </x:c>
      <x:c r="AF435" t="n">
        <x:v>-0.003215367905795574</x:v>
      </x:c>
      <x:c r="AG435" t="n">
        <x:f>_xlfn.XLOOKUP($A435,Games!$A$2:$A$18,Games!$B$2:$B$18,"Missing game",0)</x:f>
        <x:v>2025</x:v>
      </x:c>
      <x:c r="AH435" t="str">
        <x:f>_xlfn.XLOOKUP($A435,Games!$A$2:$A$18,Games!$C$2:$C$18,"Missing game",0)</x:f>
        <x:v>REG</x:v>
      </x:c>
      <x:c r="AI435" t="n">
        <x:f>_xlfn.XLOOKUP($A435,Games!$A$2:$A$18,Games!$D$2:$D$18,"Missing game",0)</x:f>
        <x:v>3</x:v>
      </x:c>
      <x:c r="AJ435" s="1" t="n">
        <x:f>_xlfn.XLOOKUP($A435,Games!$A$2:$A$18,Games!$E$2:$E$18,"Missing game",0)</x:f>
        <x:v>45921</x:v>
      </x:c>
      <x:c r="AK435" t="str">
        <x:f>_xlfn.XLOOKUP($A435,Games!$A$2:$A$18,Games!$F$2:$F$18,"Missing game",0)</x:f>
        <x:v>Sunday</x:v>
      </x:c>
      <x:c r="AL435" t="str">
        <x:f>_xlfn.XLOOKUP($A435,Games!$A$2:$A$18,Games!$G$2:$G$18,"Missing game",0)</x:f>
        <x:v>CIN</x:v>
      </x:c>
      <x:c r="AM435" t="n">
        <x:f>_xlfn.XLOOKUP($A435,Games!$A$2:$A$18,Games!$H$2:$H$18,"Missing game",0)</x:f>
        <x:v>10</x:v>
      </x:c>
      <x:c r="AN435" t="str">
        <x:f>_xlfn.XLOOKUP($A435,Games!$A$2:$A$18,Games!$I$2:$I$18,"Missing game",0)</x:f>
        <x:v>MIN</x:v>
      </x:c>
      <x:c r="AO435" t="n">
        <x:f>_xlfn.XLOOKUP($A435,Games!$A$2:$A$18,Games!$J$2:$J$18,"Missing game",0)</x:f>
        <x:v>48</x:v>
      </x:c>
      <x:c r="AP435" t="n">
        <x:f>_xlfn.XLOOKUP($A435,Games!$A$2:$A$18,Games!$K$2:$K$18,"Missing game",0)</x:f>
        <x:v>38</x:v>
      </x:c>
      <x:c r="AQ435" t="n">
        <x:f>_xlfn.XLOOKUP($A435,Games!$A$2:$A$18,Games!$L$2:$L$18,"Missing game",0)</x:f>
        <x:v>58</x:v>
      </x:c>
      <x:c r="AR435" t="n">
        <x:f>_xlfn.XLOOKUP($A435,Games!$A$2:$A$18,Games!$M$2:$M$18,"Missing game",0)</x:f>
        <x:v>0</x:v>
      </x:c>
      <x:c r="AS435" t="str">
        <x:f>_xlfn.XLOOKUP($A435,Games!$A$2:$A$18,Games!$N$2:$N$18,"Missing game",0)</x:f>
        <x:v>dome</x:v>
      </x:c>
      <x:c r="AT435" t="str">
        <x:f>_xlfn.XLOOKUP($A435,Games!$A$2:$A$18,Games!$O$2:$O$18,"Missing game",0)</x:f>
        <x:v>sportturf</x:v>
      </x:c>
      <x:c r="AU435" t="str">
        <x:f>_xlfn.XLOOKUP($A435,Games!$A$2:$A$18,Games!$P$2:$P$18,"Missing game",0)</x:f>
      </x:c>
      <x:c r="AV435" t="str">
        <x:f>_xlfn.XLOOKUP($A435,Games!$A$2:$A$18,Games!$Q$2:$Q$18,"Missing game",0)</x:f>
      </x:c>
      <x:c r="AW435" t="str">
        <x:f>_xlfn.XLOOKUP($A435,Games!$A$2:$A$18,Games!$R$2:$R$18,"Missing game",0)</x:f>
        <x:v>U.S. Bank Stadium</x:v>
      </x:c>
    </x:row>
    <x:row r="436">
      <x:c r="A436" t="str">
        <x:v>2025_03_CIN_MIN</x:v>
      </x:c>
      <x:c r="B436" t="n">
        <x:v>2613</x:v>
      </x:c>
      <x:c r="C436" t="n">
        <x:v>3</x:v>
      </x:c>
      <x:c r="D436" t="str">
        <x:v>12:42</x:v>
      </x:c>
      <x:c r="E436" t="n">
        <x:v>1</x:v>
      </x:c>
      <x:c r="F436" t="n">
        <x:v>10</x:v>
      </x:c>
      <x:c r="G436" t="str">
        <x:v>MIN</x:v>
      </x:c>
      <x:c r="H436" t="str">
        <x:v>CIN</x:v>
      </x:c>
      <x:c r="I436" t="str">
        <x:v>MIN</x:v>
      </x:c>
      <x:c r="J436" t="n">
        <x:v>74</x:v>
      </x:c>
      <x:c r="K436" t="str">
        <x:v>(12:42) 27-J.Mason left end to MIN 45 for 19 yards (44-D.Knight; 27-J.Battle).</x:v>
      </x:c>
      <x:c r="L436" t="str">
        <x:v>run</x:v>
      </x:c>
      <x:c r="M436" t="n">
        <x:v>19</x:v>
      </x:c>
      <x:c r="N436" t="n">
        <x:v>0</x:v>
      </x:c>
      <x:c r="O436" t="n">
        <x:v>0</x:v>
      </x:c>
      <x:c r="P436"/>
      <x:c r="Q436"/>
      <x:c r="R436"/>
      <x:c r="S436"/>
      <x:c r="T436" t="str">
        <x:v>left</x:v>
      </x:c>
      <x:c r="U436" t="str">
        <x:v>end</x:v>
      </x:c>
      <x:c r="V436" t="n">
        <x:v>0</x:v>
      </x:c>
      <x:c r="W436" t="n">
        <x:v>1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/>
      <x:c r="AC436" t="n">
        <x:v>0</x:v>
      </x:c>
      <x:c r="AD436" t="n">
        <x:v>1.0520251719281077</x:v>
      </x:c>
      <x:c r="AE436" t="n">
        <x:v>1</x:v>
      </x:c>
      <x:c r="AF436" t="n">
        <x:v>0.00027245283126831055</x:v>
      </x:c>
      <x:c r="AG436" t="n">
        <x:f>_xlfn.XLOOKUP($A436,Games!$A$2:$A$18,Games!$B$2:$B$18,"Missing game",0)</x:f>
        <x:v>2025</x:v>
      </x:c>
      <x:c r="AH436" t="str">
        <x:f>_xlfn.XLOOKUP($A436,Games!$A$2:$A$18,Games!$C$2:$C$18,"Missing game",0)</x:f>
        <x:v>REG</x:v>
      </x:c>
      <x:c r="AI436" t="n">
        <x:f>_xlfn.XLOOKUP($A436,Games!$A$2:$A$18,Games!$D$2:$D$18,"Missing game",0)</x:f>
        <x:v>3</x:v>
      </x:c>
      <x:c r="AJ436" s="1" t="n">
        <x:f>_xlfn.XLOOKUP($A436,Games!$A$2:$A$18,Games!$E$2:$E$18,"Missing game",0)</x:f>
        <x:v>45921</x:v>
      </x:c>
      <x:c r="AK436" t="str">
        <x:f>_xlfn.XLOOKUP($A436,Games!$A$2:$A$18,Games!$F$2:$F$18,"Missing game",0)</x:f>
        <x:v>Sunday</x:v>
      </x:c>
      <x:c r="AL436" t="str">
        <x:f>_xlfn.XLOOKUP($A436,Games!$A$2:$A$18,Games!$G$2:$G$18,"Missing game",0)</x:f>
        <x:v>CIN</x:v>
      </x:c>
      <x:c r="AM436" t="n">
        <x:f>_xlfn.XLOOKUP($A436,Games!$A$2:$A$18,Games!$H$2:$H$18,"Missing game",0)</x:f>
        <x:v>10</x:v>
      </x:c>
      <x:c r="AN436" t="str">
        <x:f>_xlfn.XLOOKUP($A436,Games!$A$2:$A$18,Games!$I$2:$I$18,"Missing game",0)</x:f>
        <x:v>MIN</x:v>
      </x:c>
      <x:c r="AO436" t="n">
        <x:f>_xlfn.XLOOKUP($A436,Games!$A$2:$A$18,Games!$J$2:$J$18,"Missing game",0)</x:f>
        <x:v>48</x:v>
      </x:c>
      <x:c r="AP436" t="n">
        <x:f>_xlfn.XLOOKUP($A436,Games!$A$2:$A$18,Games!$K$2:$K$18,"Missing game",0)</x:f>
        <x:v>38</x:v>
      </x:c>
      <x:c r="AQ436" t="n">
        <x:f>_xlfn.XLOOKUP($A436,Games!$A$2:$A$18,Games!$L$2:$L$18,"Missing game",0)</x:f>
        <x:v>58</x:v>
      </x:c>
      <x:c r="AR436" t="n">
        <x:f>_xlfn.XLOOKUP($A436,Games!$A$2:$A$18,Games!$M$2:$M$18,"Missing game",0)</x:f>
        <x:v>0</x:v>
      </x:c>
      <x:c r="AS436" t="str">
        <x:f>_xlfn.XLOOKUP($A436,Games!$A$2:$A$18,Games!$N$2:$N$18,"Missing game",0)</x:f>
        <x:v>dome</x:v>
      </x:c>
      <x:c r="AT436" t="str">
        <x:f>_xlfn.XLOOKUP($A436,Games!$A$2:$A$18,Games!$O$2:$O$18,"Missing game",0)</x:f>
        <x:v>sportturf</x:v>
      </x:c>
      <x:c r="AU436" t="str">
        <x:f>_xlfn.XLOOKUP($A436,Games!$A$2:$A$18,Games!$P$2:$P$18,"Missing game",0)</x:f>
      </x:c>
      <x:c r="AV436" t="str">
        <x:f>_xlfn.XLOOKUP($A436,Games!$A$2:$A$18,Games!$Q$2:$Q$18,"Missing game",0)</x:f>
      </x:c>
      <x:c r="AW436" t="str">
        <x:f>_xlfn.XLOOKUP($A436,Games!$A$2:$A$18,Games!$R$2:$R$18,"Missing game",0)</x:f>
        <x:v>U.S. Bank Stadium</x:v>
      </x:c>
    </x:row>
    <x:row r="437">
      <x:c r="A437" t="str">
        <x:v>2025_03_CIN_MIN</x:v>
      </x:c>
      <x:c r="B437" t="n">
        <x:v>2642</x:v>
      </x:c>
      <x:c r="C437" t="n">
        <x:v>3</x:v>
      </x:c>
      <x:c r="D437" t="str">
        <x:v>11:59</x:v>
      </x:c>
      <x:c r="E437" t="n">
        <x:v>1</x:v>
      </x:c>
      <x:c r="F437" t="n">
        <x:v>10</x:v>
      </x:c>
      <x:c r="G437" t="str">
        <x:v>MIN</x:v>
      </x:c>
      <x:c r="H437" t="str">
        <x:v>CIN</x:v>
      </x:c>
      <x:c r="I437" t="str">
        <x:v>MIN</x:v>
      </x:c>
      <x:c r="J437" t="n">
        <x:v>55</x:v>
      </x:c>
      <x:c r="K437" t="str">
        <x:v>(11:59) 27-J.Mason right end pushed ob at CIN 47 for 8 yards (27-J.Battle).</x:v>
      </x:c>
      <x:c r="L437" t="str">
        <x:v>run</x:v>
      </x:c>
      <x:c r="M437" t="n">
        <x:v>8</x:v>
      </x:c>
      <x:c r="N437" t="n">
        <x:v>0</x:v>
      </x:c>
      <x:c r="O437" t="n">
        <x:v>0</x:v>
      </x:c>
      <x:c r="P437"/>
      <x:c r="Q437"/>
      <x:c r="R437"/>
      <x:c r="S437"/>
      <x:c r="T437" t="str">
        <x:v>right</x:v>
      </x:c>
      <x:c r="U437" t="str">
        <x:v>end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/>
      <x:c r="AC437" t="n">
        <x:v>0</x:v>
      </x:c>
      <x:c r="AD437" t="n">
        <x:v>0.48819706751964986</x:v>
      </x:c>
      <x:c r="AE437" t="n">
        <x:v>1</x:v>
      </x:c>
      <x:c r="AF437" t="n">
        <x:v>-0.0001081228256225586</x:v>
      </x:c>
      <x:c r="AG437" t="n">
        <x:f>_xlfn.XLOOKUP($A437,Games!$A$2:$A$18,Games!$B$2:$B$18,"Missing game",0)</x:f>
        <x:v>2025</x:v>
      </x:c>
      <x:c r="AH437" t="str">
        <x:f>_xlfn.XLOOKUP($A437,Games!$A$2:$A$18,Games!$C$2:$C$18,"Missing game",0)</x:f>
        <x:v>REG</x:v>
      </x:c>
      <x:c r="AI437" t="n">
        <x:f>_xlfn.XLOOKUP($A437,Games!$A$2:$A$18,Games!$D$2:$D$18,"Missing game",0)</x:f>
        <x:v>3</x:v>
      </x:c>
      <x:c r="AJ437" s="1" t="n">
        <x:f>_xlfn.XLOOKUP($A437,Games!$A$2:$A$18,Games!$E$2:$E$18,"Missing game",0)</x:f>
        <x:v>45921</x:v>
      </x:c>
      <x:c r="AK437" t="str">
        <x:f>_xlfn.XLOOKUP($A437,Games!$A$2:$A$18,Games!$F$2:$F$18,"Missing game",0)</x:f>
        <x:v>Sunday</x:v>
      </x:c>
      <x:c r="AL437" t="str">
        <x:f>_xlfn.XLOOKUP($A437,Games!$A$2:$A$18,Games!$G$2:$G$18,"Missing game",0)</x:f>
        <x:v>CIN</x:v>
      </x:c>
      <x:c r="AM437" t="n">
        <x:f>_xlfn.XLOOKUP($A437,Games!$A$2:$A$18,Games!$H$2:$H$18,"Missing game",0)</x:f>
        <x:v>10</x:v>
      </x:c>
      <x:c r="AN437" t="str">
        <x:f>_xlfn.XLOOKUP($A437,Games!$A$2:$A$18,Games!$I$2:$I$18,"Missing game",0)</x:f>
        <x:v>MIN</x:v>
      </x:c>
      <x:c r="AO437" t="n">
        <x:f>_xlfn.XLOOKUP($A437,Games!$A$2:$A$18,Games!$J$2:$J$18,"Missing game",0)</x:f>
        <x:v>48</x:v>
      </x:c>
      <x:c r="AP437" t="n">
        <x:f>_xlfn.XLOOKUP($A437,Games!$A$2:$A$18,Games!$K$2:$K$18,"Missing game",0)</x:f>
        <x:v>38</x:v>
      </x:c>
      <x:c r="AQ437" t="n">
        <x:f>_xlfn.XLOOKUP($A437,Games!$A$2:$A$18,Games!$L$2:$L$18,"Missing game",0)</x:f>
        <x:v>58</x:v>
      </x:c>
      <x:c r="AR437" t="n">
        <x:f>_xlfn.XLOOKUP($A437,Games!$A$2:$A$18,Games!$M$2:$M$18,"Missing game",0)</x:f>
        <x:v>0</x:v>
      </x:c>
      <x:c r="AS437" t="str">
        <x:f>_xlfn.XLOOKUP($A437,Games!$A$2:$A$18,Games!$N$2:$N$18,"Missing game",0)</x:f>
        <x:v>dome</x:v>
      </x:c>
      <x:c r="AT437" t="str">
        <x:f>_xlfn.XLOOKUP($A437,Games!$A$2:$A$18,Games!$O$2:$O$18,"Missing game",0)</x:f>
        <x:v>sportturf</x:v>
      </x:c>
      <x:c r="AU437" t="str">
        <x:f>_xlfn.XLOOKUP($A437,Games!$A$2:$A$18,Games!$P$2:$P$18,"Missing game",0)</x:f>
      </x:c>
      <x:c r="AV437" t="str">
        <x:f>_xlfn.XLOOKUP($A437,Games!$A$2:$A$18,Games!$Q$2:$Q$18,"Missing game",0)</x:f>
      </x:c>
      <x:c r="AW437" t="str">
        <x:f>_xlfn.XLOOKUP($A437,Games!$A$2:$A$18,Games!$R$2:$R$18,"Missing game",0)</x:f>
        <x:v>U.S. Bank Stadium</x:v>
      </x:c>
    </x:row>
    <x:row r="438">
      <x:c r="A438" t="str">
        <x:v>2025_03_CIN_MIN</x:v>
      </x:c>
      <x:c r="B438" t="n">
        <x:v>2669</x:v>
      </x:c>
      <x:c r="C438" t="n">
        <x:v>3</x:v>
      </x:c>
      <x:c r="D438" t="str">
        <x:v>11:33</x:v>
      </x:c>
      <x:c r="E438" t="n">
        <x:v>2</x:v>
      </x:c>
      <x:c r="F438" t="n">
        <x:v>2</x:v>
      </x:c>
      <x:c r="G438" t="str">
        <x:v>MIN</x:v>
      </x:c>
      <x:c r="H438" t="str">
        <x:v>CIN</x:v>
      </x:c>
      <x:c r="I438" t="str">
        <x:v>CIN</x:v>
      </x:c>
      <x:c r="J438" t="n">
        <x:v>47</x:v>
      </x:c>
      <x:c r="K438" t="str">
        <x:v>(11:33) (No Huddle, Shotgun) PENALTY on MIN-74-D.Jackson, False Start, 5 yards, enforced at CIN 47 - No Play.</x:v>
      </x:c>
      <x:c r="L438" t="str">
        <x:v>no_play</x:v>
      </x:c>
      <x:c r="M438" t="n">
        <x:v>0</x:v>
      </x:c>
      <x:c r="N438" t="n">
        <x:v>1</x:v>
      </x:c>
      <x:c r="O438" t="n">
        <x:v>1</x:v>
      </x:c>
      <x:c r="P438"/>
      <x:c r="Q438"/>
      <x:c r="R438"/>
      <x:c r="S438"/>
      <x:c r="T438"/>
      <x:c r="U438"/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1</x:v>
      </x:c>
      <x:c r="AB438" t="n">
        <x:v>5</x:v>
      </x:c>
      <x:c r="AC438" t="n">
        <x:v>0</x:v>
      </x:c>
      <x:c r="AD438" t="n">
        <x:v>-0.7897345726378262</x:v>
      </x:c>
      <x:c r="AE438" t="n">
        <x:v>0</x:v>
      </x:c>
      <x:c r="AF438" t="n">
        <x:v>0.00002866983413696289</x:v>
      </x:c>
      <x:c r="AG438" t="n">
        <x:f>_xlfn.XLOOKUP($A438,Games!$A$2:$A$18,Games!$B$2:$B$18,"Missing game",0)</x:f>
        <x:v>2025</x:v>
      </x:c>
      <x:c r="AH438" t="str">
        <x:f>_xlfn.XLOOKUP($A438,Games!$A$2:$A$18,Games!$C$2:$C$18,"Missing game",0)</x:f>
        <x:v>REG</x:v>
      </x:c>
      <x:c r="AI438" t="n">
        <x:f>_xlfn.XLOOKUP($A438,Games!$A$2:$A$18,Games!$D$2:$D$18,"Missing game",0)</x:f>
        <x:v>3</x:v>
      </x:c>
      <x:c r="AJ438" s="1" t="n">
        <x:f>_xlfn.XLOOKUP($A438,Games!$A$2:$A$18,Games!$E$2:$E$18,"Missing game",0)</x:f>
        <x:v>45921</x:v>
      </x:c>
      <x:c r="AK438" t="str">
        <x:f>_xlfn.XLOOKUP($A438,Games!$A$2:$A$18,Games!$F$2:$F$18,"Missing game",0)</x:f>
        <x:v>Sunday</x:v>
      </x:c>
      <x:c r="AL438" t="str">
        <x:f>_xlfn.XLOOKUP($A438,Games!$A$2:$A$18,Games!$G$2:$G$18,"Missing game",0)</x:f>
        <x:v>CIN</x:v>
      </x:c>
      <x:c r="AM438" t="n">
        <x:f>_xlfn.XLOOKUP($A438,Games!$A$2:$A$18,Games!$H$2:$H$18,"Missing game",0)</x:f>
        <x:v>10</x:v>
      </x:c>
      <x:c r="AN438" t="str">
        <x:f>_xlfn.XLOOKUP($A438,Games!$A$2:$A$18,Games!$I$2:$I$18,"Missing game",0)</x:f>
        <x:v>MIN</x:v>
      </x:c>
      <x:c r="AO438" t="n">
        <x:f>_xlfn.XLOOKUP($A438,Games!$A$2:$A$18,Games!$J$2:$J$18,"Missing game",0)</x:f>
        <x:v>48</x:v>
      </x:c>
      <x:c r="AP438" t="n">
        <x:f>_xlfn.XLOOKUP($A438,Games!$A$2:$A$18,Games!$K$2:$K$18,"Missing game",0)</x:f>
        <x:v>38</x:v>
      </x:c>
      <x:c r="AQ438" t="n">
        <x:f>_xlfn.XLOOKUP($A438,Games!$A$2:$A$18,Games!$L$2:$L$18,"Missing game",0)</x:f>
        <x:v>58</x:v>
      </x:c>
      <x:c r="AR438" t="n">
        <x:f>_xlfn.XLOOKUP($A438,Games!$A$2:$A$18,Games!$M$2:$M$18,"Missing game",0)</x:f>
        <x:v>0</x:v>
      </x:c>
      <x:c r="AS438" t="str">
        <x:f>_xlfn.XLOOKUP($A438,Games!$A$2:$A$18,Games!$N$2:$N$18,"Missing game",0)</x:f>
        <x:v>dome</x:v>
      </x:c>
      <x:c r="AT438" t="str">
        <x:f>_xlfn.XLOOKUP($A438,Games!$A$2:$A$18,Games!$O$2:$O$18,"Missing game",0)</x:f>
        <x:v>sportturf</x:v>
      </x:c>
      <x:c r="AU438" t="str">
        <x:f>_xlfn.XLOOKUP($A438,Games!$A$2:$A$18,Games!$P$2:$P$18,"Missing game",0)</x:f>
      </x:c>
      <x:c r="AV438" t="str">
        <x:f>_xlfn.XLOOKUP($A438,Games!$A$2:$A$18,Games!$Q$2:$Q$18,"Missing game",0)</x:f>
      </x:c>
      <x:c r="AW438" t="str">
        <x:f>_xlfn.XLOOKUP($A438,Games!$A$2:$A$18,Games!$R$2:$R$18,"Missing game",0)</x:f>
        <x:v>U.S. Bank Stadium</x:v>
      </x:c>
    </x:row>
    <x:row r="439">
      <x:c r="A439" t="str">
        <x:v>2025_03_CIN_MIN</x:v>
      </x:c>
      <x:c r="B439" t="n">
        <x:v>2693</x:v>
      </x:c>
      <x:c r="C439" t="n">
        <x:v>3</x:v>
      </x:c>
      <x:c r="D439" t="str">
        <x:v>11:17</x:v>
      </x:c>
      <x:c r="E439" t="n">
        <x:v>2</x:v>
      </x:c>
      <x:c r="F439" t="n">
        <x:v>7</x:v>
      </x:c>
      <x:c r="G439" t="str">
        <x:v>MIN</x:v>
      </x:c>
      <x:c r="H439" t="str">
        <x:v>CIN</x:v>
      </x:c>
      <x:c r="I439" t="str">
        <x:v>MIN</x:v>
      </x:c>
      <x:c r="J439" t="n">
        <x:v>52</x:v>
      </x:c>
      <x:c r="K439" t="str">
        <x:v>(11:17) (Shotgun) 27-J.Mason up the middle to CIN 47 for 5 yards (92-B.Hill; 55-L.Wilson).</x:v>
      </x:c>
      <x:c r="L439" t="str">
        <x:v>run</x:v>
      </x:c>
      <x:c r="M439" t="n">
        <x:v>5</x:v>
      </x:c>
      <x:c r="N439" t="n">
        <x:v>1</x:v>
      </x:c>
      <x:c r="O439" t="n">
        <x:v>0</x:v>
      </x:c>
      <x:c r="P439"/>
      <x:c r="Q439"/>
      <x:c r="R439"/>
      <x:c r="S439"/>
      <x:c r="T439" t="str">
        <x:v>middle</x:v>
      </x:c>
      <x:c r="U439"/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/>
      <x:c r="AC439" t="n">
        <x:v>0</x:v>
      </x:c>
      <x:c r="AD439" t="n">
        <x:v>-0.015945334685966372</x:v>
      </x:c>
      <x:c r="AE439" t="n">
        <x:v>0</x:v>
      </x:c>
      <x:c r="AF439" t="n">
        <x:v>0.0001596212387084961</x:v>
      </x:c>
      <x:c r="AG439" t="n">
        <x:f>_xlfn.XLOOKUP($A439,Games!$A$2:$A$18,Games!$B$2:$B$18,"Missing game",0)</x:f>
        <x:v>2025</x:v>
      </x:c>
      <x:c r="AH439" t="str">
        <x:f>_xlfn.XLOOKUP($A439,Games!$A$2:$A$18,Games!$C$2:$C$18,"Missing game",0)</x:f>
        <x:v>REG</x:v>
      </x:c>
      <x:c r="AI439" t="n">
        <x:f>_xlfn.XLOOKUP($A439,Games!$A$2:$A$18,Games!$D$2:$D$18,"Missing game",0)</x:f>
        <x:v>3</x:v>
      </x:c>
      <x:c r="AJ439" s="1" t="n">
        <x:f>_xlfn.XLOOKUP($A439,Games!$A$2:$A$18,Games!$E$2:$E$18,"Missing game",0)</x:f>
        <x:v>45921</x:v>
      </x:c>
      <x:c r="AK439" t="str">
        <x:f>_xlfn.XLOOKUP($A439,Games!$A$2:$A$18,Games!$F$2:$F$18,"Missing game",0)</x:f>
        <x:v>Sunday</x:v>
      </x:c>
      <x:c r="AL439" t="str">
        <x:f>_xlfn.XLOOKUP($A439,Games!$A$2:$A$18,Games!$G$2:$G$18,"Missing game",0)</x:f>
        <x:v>CIN</x:v>
      </x:c>
      <x:c r="AM439" t="n">
        <x:f>_xlfn.XLOOKUP($A439,Games!$A$2:$A$18,Games!$H$2:$H$18,"Missing game",0)</x:f>
        <x:v>10</x:v>
      </x:c>
      <x:c r="AN439" t="str">
        <x:f>_xlfn.XLOOKUP($A439,Games!$A$2:$A$18,Games!$I$2:$I$18,"Missing game",0)</x:f>
        <x:v>MIN</x:v>
      </x:c>
      <x:c r="AO439" t="n">
        <x:f>_xlfn.XLOOKUP($A439,Games!$A$2:$A$18,Games!$J$2:$J$18,"Missing game",0)</x:f>
        <x:v>48</x:v>
      </x:c>
      <x:c r="AP439" t="n">
        <x:f>_xlfn.XLOOKUP($A439,Games!$A$2:$A$18,Games!$K$2:$K$18,"Missing game",0)</x:f>
        <x:v>38</x:v>
      </x:c>
      <x:c r="AQ439" t="n">
        <x:f>_xlfn.XLOOKUP($A439,Games!$A$2:$A$18,Games!$L$2:$L$18,"Missing game",0)</x:f>
        <x:v>58</x:v>
      </x:c>
      <x:c r="AR439" t="n">
        <x:f>_xlfn.XLOOKUP($A439,Games!$A$2:$A$18,Games!$M$2:$M$18,"Missing game",0)</x:f>
        <x:v>0</x:v>
      </x:c>
      <x:c r="AS439" t="str">
        <x:f>_xlfn.XLOOKUP($A439,Games!$A$2:$A$18,Games!$N$2:$N$18,"Missing game",0)</x:f>
        <x:v>dome</x:v>
      </x:c>
      <x:c r="AT439" t="str">
        <x:f>_xlfn.XLOOKUP($A439,Games!$A$2:$A$18,Games!$O$2:$O$18,"Missing game",0)</x:f>
        <x:v>sportturf</x:v>
      </x:c>
      <x:c r="AU439" t="str">
        <x:f>_xlfn.XLOOKUP($A439,Games!$A$2:$A$18,Games!$P$2:$P$18,"Missing game",0)</x:f>
      </x:c>
      <x:c r="AV439" t="str">
        <x:f>_xlfn.XLOOKUP($A439,Games!$A$2:$A$18,Games!$Q$2:$Q$18,"Missing game",0)</x:f>
      </x:c>
      <x:c r="AW439" t="str">
        <x:f>_xlfn.XLOOKUP($A439,Games!$A$2:$A$18,Games!$R$2:$R$18,"Missing game",0)</x:f>
        <x:v>U.S. Bank Stadium</x:v>
      </x:c>
    </x:row>
    <x:row r="440">
      <x:c r="A440" t="str">
        <x:v>2025_03_CIN_MIN</x:v>
      </x:c>
      <x:c r="B440" t="n">
        <x:v>2715</x:v>
      </x:c>
      <x:c r="C440" t="n">
        <x:v>3</x:v>
      </x:c>
      <x:c r="D440" t="str">
        <x:v>10:37</x:v>
      </x:c>
      <x:c r="E440" t="n">
        <x:v>3</x:v>
      </x:c>
      <x:c r="F440" t="n">
        <x:v>2</x:v>
      </x:c>
      <x:c r="G440" t="str">
        <x:v>MIN</x:v>
      </x:c>
      <x:c r="H440" t="str">
        <x:v>CIN</x:v>
      </x:c>
      <x:c r="I440" t="str">
        <x:v>CIN</x:v>
      </x:c>
      <x:c r="J440" t="n">
        <x:v>47</x:v>
      </x:c>
      <x:c r="K440" t="str">
        <x:v>(10:37) (Shotgun) 11-C.Wentz pass short right to 1-J.Nailor to CIN 40 for 7 yards (23-D.Hill).</x:v>
      </x:c>
      <x:c r="L440" t="str">
        <x:v>pass</x:v>
      </x:c>
      <x:c r="M440" t="n">
        <x:v>7</x:v>
      </x:c>
      <x:c r="N440" t="n">
        <x:v>1</x:v>
      </x:c>
      <x:c r="O440" t="n">
        <x:v>0</x:v>
      </x:c>
      <x:c r="P440" t="str">
        <x:v>short</x:v>
      </x:c>
      <x:c r="Q440" t="str">
        <x:v>right</x:v>
      </x:c>
      <x:c r="R440" t="n">
        <x:v>5</x:v>
      </x:c>
      <x:c r="S440" t="n">
        <x:v>2</x:v>
      </x:c>
      <x:c r="T440"/>
      <x:c r="U440"/>
      <x:c r="V440" t="n">
        <x:v>1</x:v>
      </x:c>
      <x:c r="W440" t="n">
        <x:v>1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/>
      <x:c r="AC440" t="n">
        <x:v>0</x:v>
      </x:c>
      <x:c r="AD440" t="n">
        <x:v>1.1154542013537139</x:v>
      </x:c>
      <x:c r="AE440" t="n">
        <x:v>1</x:v>
      </x:c>
      <x:c r="AF440" t="n">
        <x:v>0.0000979304313659668</x:v>
      </x:c>
      <x:c r="AG440" t="n">
        <x:f>_xlfn.XLOOKUP($A440,Games!$A$2:$A$18,Games!$B$2:$B$18,"Missing game",0)</x:f>
        <x:v>2025</x:v>
      </x:c>
      <x:c r="AH440" t="str">
        <x:f>_xlfn.XLOOKUP($A440,Games!$A$2:$A$18,Games!$C$2:$C$18,"Missing game",0)</x:f>
        <x:v>REG</x:v>
      </x:c>
      <x:c r="AI440" t="n">
        <x:f>_xlfn.XLOOKUP($A440,Games!$A$2:$A$18,Games!$D$2:$D$18,"Missing game",0)</x:f>
        <x:v>3</x:v>
      </x:c>
      <x:c r="AJ440" s="1" t="n">
        <x:f>_xlfn.XLOOKUP($A440,Games!$A$2:$A$18,Games!$E$2:$E$18,"Missing game",0)</x:f>
        <x:v>45921</x:v>
      </x:c>
      <x:c r="AK440" t="str">
        <x:f>_xlfn.XLOOKUP($A440,Games!$A$2:$A$18,Games!$F$2:$F$18,"Missing game",0)</x:f>
        <x:v>Sunday</x:v>
      </x:c>
      <x:c r="AL440" t="str">
        <x:f>_xlfn.XLOOKUP($A440,Games!$A$2:$A$18,Games!$G$2:$G$18,"Missing game",0)</x:f>
        <x:v>CIN</x:v>
      </x:c>
      <x:c r="AM440" t="n">
        <x:f>_xlfn.XLOOKUP($A440,Games!$A$2:$A$18,Games!$H$2:$H$18,"Missing game",0)</x:f>
        <x:v>10</x:v>
      </x:c>
      <x:c r="AN440" t="str">
        <x:f>_xlfn.XLOOKUP($A440,Games!$A$2:$A$18,Games!$I$2:$I$18,"Missing game",0)</x:f>
        <x:v>MIN</x:v>
      </x:c>
      <x:c r="AO440" t="n">
        <x:f>_xlfn.XLOOKUP($A440,Games!$A$2:$A$18,Games!$J$2:$J$18,"Missing game",0)</x:f>
        <x:v>48</x:v>
      </x:c>
      <x:c r="AP440" t="n">
        <x:f>_xlfn.XLOOKUP($A440,Games!$A$2:$A$18,Games!$K$2:$K$18,"Missing game",0)</x:f>
        <x:v>38</x:v>
      </x:c>
      <x:c r="AQ440" t="n">
        <x:f>_xlfn.XLOOKUP($A440,Games!$A$2:$A$18,Games!$L$2:$L$18,"Missing game",0)</x:f>
        <x:v>58</x:v>
      </x:c>
      <x:c r="AR440" t="n">
        <x:f>_xlfn.XLOOKUP($A440,Games!$A$2:$A$18,Games!$M$2:$M$18,"Missing game",0)</x:f>
        <x:v>0</x:v>
      </x:c>
      <x:c r="AS440" t="str">
        <x:f>_xlfn.XLOOKUP($A440,Games!$A$2:$A$18,Games!$N$2:$N$18,"Missing game",0)</x:f>
        <x:v>dome</x:v>
      </x:c>
      <x:c r="AT440" t="str">
        <x:f>_xlfn.XLOOKUP($A440,Games!$A$2:$A$18,Games!$O$2:$O$18,"Missing game",0)</x:f>
        <x:v>sportturf</x:v>
      </x:c>
      <x:c r="AU440" t="str">
        <x:f>_xlfn.XLOOKUP($A440,Games!$A$2:$A$18,Games!$P$2:$P$18,"Missing game",0)</x:f>
      </x:c>
      <x:c r="AV440" t="str">
        <x:f>_xlfn.XLOOKUP($A440,Games!$A$2:$A$18,Games!$Q$2:$Q$18,"Missing game",0)</x:f>
      </x:c>
      <x:c r="AW440" t="str">
        <x:f>_xlfn.XLOOKUP($A440,Games!$A$2:$A$18,Games!$R$2:$R$18,"Missing game",0)</x:f>
        <x:v>U.S. Bank Stadium</x:v>
      </x:c>
    </x:row>
    <x:row r="441">
      <x:c r="A441" t="str">
        <x:v>2025_03_CIN_MIN</x:v>
      </x:c>
      <x:c r="B441" t="n">
        <x:v>2745</x:v>
      </x:c>
      <x:c r="C441" t="n">
        <x:v>3</x:v>
      </x:c>
      <x:c r="D441" t="str">
        <x:v>09:52</x:v>
      </x:c>
      <x:c r="E441" t="n">
        <x:v>1</x:v>
      </x:c>
      <x:c r="F441" t="n">
        <x:v>10</x:v>
      </x:c>
      <x:c r="G441" t="str">
        <x:v>MIN</x:v>
      </x:c>
      <x:c r="H441" t="str">
        <x:v>CIN</x:v>
      </x:c>
      <x:c r="I441" t="str">
        <x:v>CIN</x:v>
      </x:c>
      <x:c r="J441" t="n">
        <x:v>40</x:v>
      </x:c>
      <x:c r="K441" t="str">
        <x:v>(9:52) 27-J.Mason left end to CIN 35 for 5 yards (96-C.Sample, 22-G.Stone). PENALTY on MIN-65-M.Jurgens, Offensive Holding, 10 yards, enforced at CIN 40 - No Play.</x:v>
      </x:c>
      <x:c r="L441" t="str">
        <x:v>no_play</x:v>
      </x:c>
      <x:c r="M441" t="n">
        <x:v>0</x:v>
      </x:c>
      <x:c r="N441" t="n">
        <x:v>0</x:v>
      </x:c>
      <x:c r="O441" t="n">
        <x:v>0</x:v>
      </x:c>
      <x:c r="P441"/>
      <x:c r="Q441"/>
      <x:c r="R441"/>
      <x:c r="S441"/>
      <x:c r="T441"/>
      <x:c r="U441"/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1</x:v>
      </x:c>
      <x:c r="AB441" t="n">
        <x:v>10</x:v>
      </x:c>
      <x:c r="AC441" t="n">
        <x:v>0</x:v>
      </x:c>
      <x:c r="AD441" t="n">
        <x:v>-0.8656121715903282</x:v>
      </x:c>
      <x:c r="AE441" t="n">
        <x:v>0</x:v>
      </x:c>
      <x:c r="AF441" t="n">
        <x:v>0.000026881694793701172</x:v>
      </x:c>
      <x:c r="AG441" t="n">
        <x:f>_xlfn.XLOOKUP($A441,Games!$A$2:$A$18,Games!$B$2:$B$18,"Missing game",0)</x:f>
        <x:v>2025</x:v>
      </x:c>
      <x:c r="AH441" t="str">
        <x:f>_xlfn.XLOOKUP($A441,Games!$A$2:$A$18,Games!$C$2:$C$18,"Missing game",0)</x:f>
        <x:v>REG</x:v>
      </x:c>
      <x:c r="AI441" t="n">
        <x:f>_xlfn.XLOOKUP($A441,Games!$A$2:$A$18,Games!$D$2:$D$18,"Missing game",0)</x:f>
        <x:v>3</x:v>
      </x:c>
      <x:c r="AJ441" s="1" t="n">
        <x:f>_xlfn.XLOOKUP($A441,Games!$A$2:$A$18,Games!$E$2:$E$18,"Missing game",0)</x:f>
        <x:v>45921</x:v>
      </x:c>
      <x:c r="AK441" t="str">
        <x:f>_xlfn.XLOOKUP($A441,Games!$A$2:$A$18,Games!$F$2:$F$18,"Missing game",0)</x:f>
        <x:v>Sunday</x:v>
      </x:c>
      <x:c r="AL441" t="str">
        <x:f>_xlfn.XLOOKUP($A441,Games!$A$2:$A$18,Games!$G$2:$G$18,"Missing game",0)</x:f>
        <x:v>CIN</x:v>
      </x:c>
      <x:c r="AM441" t="n">
        <x:f>_xlfn.XLOOKUP($A441,Games!$A$2:$A$18,Games!$H$2:$H$18,"Missing game",0)</x:f>
        <x:v>10</x:v>
      </x:c>
      <x:c r="AN441" t="str">
        <x:f>_xlfn.XLOOKUP($A441,Games!$A$2:$A$18,Games!$I$2:$I$18,"Missing game",0)</x:f>
        <x:v>MIN</x:v>
      </x:c>
      <x:c r="AO441" t="n">
        <x:f>_xlfn.XLOOKUP($A441,Games!$A$2:$A$18,Games!$J$2:$J$18,"Missing game",0)</x:f>
        <x:v>48</x:v>
      </x:c>
      <x:c r="AP441" t="n">
        <x:f>_xlfn.XLOOKUP($A441,Games!$A$2:$A$18,Games!$K$2:$K$18,"Missing game",0)</x:f>
        <x:v>38</x:v>
      </x:c>
      <x:c r="AQ441" t="n">
        <x:f>_xlfn.XLOOKUP($A441,Games!$A$2:$A$18,Games!$L$2:$L$18,"Missing game",0)</x:f>
        <x:v>58</x:v>
      </x:c>
      <x:c r="AR441" t="n">
        <x:f>_xlfn.XLOOKUP($A441,Games!$A$2:$A$18,Games!$M$2:$M$18,"Missing game",0)</x:f>
        <x:v>0</x:v>
      </x:c>
      <x:c r="AS441" t="str">
        <x:f>_xlfn.XLOOKUP($A441,Games!$A$2:$A$18,Games!$N$2:$N$18,"Missing game",0)</x:f>
        <x:v>dome</x:v>
      </x:c>
      <x:c r="AT441" t="str">
        <x:f>_xlfn.XLOOKUP($A441,Games!$A$2:$A$18,Games!$O$2:$O$18,"Missing game",0)</x:f>
        <x:v>sportturf</x:v>
      </x:c>
      <x:c r="AU441" t="str">
        <x:f>_xlfn.XLOOKUP($A441,Games!$A$2:$A$18,Games!$P$2:$P$18,"Missing game",0)</x:f>
      </x:c>
      <x:c r="AV441" t="str">
        <x:f>_xlfn.XLOOKUP($A441,Games!$A$2:$A$18,Games!$Q$2:$Q$18,"Missing game",0)</x:f>
      </x:c>
      <x:c r="AW441" t="str">
        <x:f>_xlfn.XLOOKUP($A441,Games!$A$2:$A$18,Games!$R$2:$R$18,"Missing game",0)</x:f>
        <x:v>U.S. Bank Stadium</x:v>
      </x:c>
    </x:row>
    <x:row r="442">
      <x:c r="A442" t="str">
        <x:v>2025_03_CIN_MIN</x:v>
      </x:c>
      <x:c r="B442" t="n">
        <x:v>2778</x:v>
      </x:c>
      <x:c r="C442" t="n">
        <x:v>3</x:v>
      </x:c>
      <x:c r="D442" t="str">
        <x:v>09:27</x:v>
      </x:c>
      <x:c r="E442" t="n">
        <x:v>1</x:v>
      </x:c>
      <x:c r="F442" t="n">
        <x:v>20</x:v>
      </x:c>
      <x:c r="G442" t="str">
        <x:v>MIN</x:v>
      </x:c>
      <x:c r="H442" t="str">
        <x:v>CIN</x:v>
      </x:c>
      <x:c r="I442" t="str">
        <x:v>50</x:v>
      </x:c>
      <x:c r="J442" t="n">
        <x:v>50</x:v>
      </x:c>
      <x:c r="K442" t="str">
        <x:v>(9:27) (Shotgun) 11-C.Wentz pass short right to 18-J.Jefferson to CIN 36 for 14 yards (20-D.Turner).</x:v>
      </x:c>
      <x:c r="L442" t="str">
        <x:v>pass</x:v>
      </x:c>
      <x:c r="M442" t="n">
        <x:v>14</x:v>
      </x:c>
      <x:c r="N442" t="n">
        <x:v>1</x:v>
      </x:c>
      <x:c r="O442" t="n">
        <x:v>0</x:v>
      </x:c>
      <x:c r="P442" t="str">
        <x:v>short</x:v>
      </x:c>
      <x:c r="Q442" t="str">
        <x:v>right</x:v>
      </x:c>
      <x:c r="R442" t="n">
        <x:v>10</x:v>
      </x:c>
      <x:c r="S442" t="n">
        <x:v>4</x:v>
      </x:c>
      <x:c r="T442"/>
      <x:c r="U442"/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/>
      <x:c r="AC442" t="n">
        <x:v>0</x:v>
      </x:c>
      <x:c r="AD442" t="n">
        <x:v>0.6759710765909404</x:v>
      </x:c>
      <x:c r="AE442" t="n">
        <x:v>1</x:v>
      </x:c>
      <x:c r="AF442" t="n">
        <x:v>-0.000054001808166503906</x:v>
      </x:c>
      <x:c r="AG442" t="n">
        <x:f>_xlfn.XLOOKUP($A442,Games!$A$2:$A$18,Games!$B$2:$B$18,"Missing game",0)</x:f>
        <x:v>2025</x:v>
      </x:c>
      <x:c r="AH442" t="str">
        <x:f>_xlfn.XLOOKUP($A442,Games!$A$2:$A$18,Games!$C$2:$C$18,"Missing game",0)</x:f>
        <x:v>REG</x:v>
      </x:c>
      <x:c r="AI442" t="n">
        <x:f>_xlfn.XLOOKUP($A442,Games!$A$2:$A$18,Games!$D$2:$D$18,"Missing game",0)</x:f>
        <x:v>3</x:v>
      </x:c>
      <x:c r="AJ442" s="1" t="n">
        <x:f>_xlfn.XLOOKUP($A442,Games!$A$2:$A$18,Games!$E$2:$E$18,"Missing game",0)</x:f>
        <x:v>45921</x:v>
      </x:c>
      <x:c r="AK442" t="str">
        <x:f>_xlfn.XLOOKUP($A442,Games!$A$2:$A$18,Games!$F$2:$F$18,"Missing game",0)</x:f>
        <x:v>Sunday</x:v>
      </x:c>
      <x:c r="AL442" t="str">
        <x:f>_xlfn.XLOOKUP($A442,Games!$A$2:$A$18,Games!$G$2:$G$18,"Missing game",0)</x:f>
        <x:v>CIN</x:v>
      </x:c>
      <x:c r="AM442" t="n">
        <x:f>_xlfn.XLOOKUP($A442,Games!$A$2:$A$18,Games!$H$2:$H$18,"Missing game",0)</x:f>
        <x:v>10</x:v>
      </x:c>
      <x:c r="AN442" t="str">
        <x:f>_xlfn.XLOOKUP($A442,Games!$A$2:$A$18,Games!$I$2:$I$18,"Missing game",0)</x:f>
        <x:v>MIN</x:v>
      </x:c>
      <x:c r="AO442" t="n">
        <x:f>_xlfn.XLOOKUP($A442,Games!$A$2:$A$18,Games!$J$2:$J$18,"Missing game",0)</x:f>
        <x:v>48</x:v>
      </x:c>
      <x:c r="AP442" t="n">
        <x:f>_xlfn.XLOOKUP($A442,Games!$A$2:$A$18,Games!$K$2:$K$18,"Missing game",0)</x:f>
        <x:v>38</x:v>
      </x:c>
      <x:c r="AQ442" t="n">
        <x:f>_xlfn.XLOOKUP($A442,Games!$A$2:$A$18,Games!$L$2:$L$18,"Missing game",0)</x:f>
        <x:v>58</x:v>
      </x:c>
      <x:c r="AR442" t="n">
        <x:f>_xlfn.XLOOKUP($A442,Games!$A$2:$A$18,Games!$M$2:$M$18,"Missing game",0)</x:f>
        <x:v>0</x:v>
      </x:c>
      <x:c r="AS442" t="str">
        <x:f>_xlfn.XLOOKUP($A442,Games!$A$2:$A$18,Games!$N$2:$N$18,"Missing game",0)</x:f>
        <x:v>dome</x:v>
      </x:c>
      <x:c r="AT442" t="str">
        <x:f>_xlfn.XLOOKUP($A442,Games!$A$2:$A$18,Games!$O$2:$O$18,"Missing game",0)</x:f>
        <x:v>sportturf</x:v>
      </x:c>
      <x:c r="AU442" t="str">
        <x:f>_xlfn.XLOOKUP($A442,Games!$A$2:$A$18,Games!$P$2:$P$18,"Missing game",0)</x:f>
      </x:c>
      <x:c r="AV442" t="str">
        <x:f>_xlfn.XLOOKUP($A442,Games!$A$2:$A$18,Games!$Q$2:$Q$18,"Missing game",0)</x:f>
      </x:c>
      <x:c r="AW442" t="str">
        <x:f>_xlfn.XLOOKUP($A442,Games!$A$2:$A$18,Games!$R$2:$R$18,"Missing game",0)</x:f>
        <x:v>U.S. Bank Stadium</x:v>
      </x:c>
    </x:row>
    <x:row r="443">
      <x:c r="A443" t="str">
        <x:v>2025_03_CIN_MIN</x:v>
      </x:c>
      <x:c r="B443" t="n">
        <x:v>2803</x:v>
      </x:c>
      <x:c r="C443" t="n">
        <x:v>3</x:v>
      </x:c>
      <x:c r="D443" t="str">
        <x:v>08:42</x:v>
      </x:c>
      <x:c r="E443" t="n">
        <x:v>2</x:v>
      </x:c>
      <x:c r="F443" t="n">
        <x:v>6</x:v>
      </x:c>
      <x:c r="G443" t="str">
        <x:v>MIN</x:v>
      </x:c>
      <x:c r="H443" t="str">
        <x:v>CIN</x:v>
      </x:c>
      <x:c r="I443" t="str">
        <x:v>CIN</x:v>
      </x:c>
      <x:c r="J443" t="n">
        <x:v>36</x:v>
      </x:c>
      <x:c r="K443" t="str">
        <x:v>(8:42) 36-Z.Scott left end to CIN 25 for 11 yards (55-L.Wilson). MIN-74-D.Jackson was injured during the play.</x:v>
      </x:c>
      <x:c r="L443" t="str">
        <x:v>run</x:v>
      </x:c>
      <x:c r="M443" t="n">
        <x:v>11</x:v>
      </x:c>
      <x:c r="N443" t="n">
        <x:v>0</x:v>
      </x:c>
      <x:c r="O443" t="n">
        <x:v>0</x:v>
      </x:c>
      <x:c r="P443"/>
      <x:c r="Q443"/>
      <x:c r="R443"/>
      <x:c r="S443"/>
      <x:c r="T443" t="str">
        <x:v>left</x:v>
      </x:c>
      <x:c r="U443" t="str">
        <x:v>end</x:v>
      </x:c>
      <x:c r="V443" t="n">
        <x:v>0</x:v>
      </x:c>
      <x:c r="W443" t="n">
        <x:v>1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/>
      <x:c r="AC443" t="n">
        <x:v>0</x:v>
      </x:c>
      <x:c r="AD443" t="n">
        <x:v>1.1553758492227644</x:v>
      </x:c>
      <x:c r="AE443" t="n">
        <x:v>1</x:v>
      </x:c>
      <x:c r="AF443" t="n">
        <x:v>0.00006890296936035156</x:v>
      </x:c>
      <x:c r="AG443" t="n">
        <x:f>_xlfn.XLOOKUP($A443,Games!$A$2:$A$18,Games!$B$2:$B$18,"Missing game",0)</x:f>
        <x:v>2025</x:v>
      </x:c>
      <x:c r="AH443" t="str">
        <x:f>_xlfn.XLOOKUP($A443,Games!$A$2:$A$18,Games!$C$2:$C$18,"Missing game",0)</x:f>
        <x:v>REG</x:v>
      </x:c>
      <x:c r="AI443" t="n">
        <x:f>_xlfn.XLOOKUP($A443,Games!$A$2:$A$18,Games!$D$2:$D$18,"Missing game",0)</x:f>
        <x:v>3</x:v>
      </x:c>
      <x:c r="AJ443" s="1" t="n">
        <x:f>_xlfn.XLOOKUP($A443,Games!$A$2:$A$18,Games!$E$2:$E$18,"Missing game",0)</x:f>
        <x:v>45921</x:v>
      </x:c>
      <x:c r="AK443" t="str">
        <x:f>_xlfn.XLOOKUP($A443,Games!$A$2:$A$18,Games!$F$2:$F$18,"Missing game",0)</x:f>
        <x:v>Sunday</x:v>
      </x:c>
      <x:c r="AL443" t="str">
        <x:f>_xlfn.XLOOKUP($A443,Games!$A$2:$A$18,Games!$G$2:$G$18,"Missing game",0)</x:f>
        <x:v>CIN</x:v>
      </x:c>
      <x:c r="AM443" t="n">
        <x:f>_xlfn.XLOOKUP($A443,Games!$A$2:$A$18,Games!$H$2:$H$18,"Missing game",0)</x:f>
        <x:v>10</x:v>
      </x:c>
      <x:c r="AN443" t="str">
        <x:f>_xlfn.XLOOKUP($A443,Games!$A$2:$A$18,Games!$I$2:$I$18,"Missing game",0)</x:f>
        <x:v>MIN</x:v>
      </x:c>
      <x:c r="AO443" t="n">
        <x:f>_xlfn.XLOOKUP($A443,Games!$A$2:$A$18,Games!$J$2:$J$18,"Missing game",0)</x:f>
        <x:v>48</x:v>
      </x:c>
      <x:c r="AP443" t="n">
        <x:f>_xlfn.XLOOKUP($A443,Games!$A$2:$A$18,Games!$K$2:$K$18,"Missing game",0)</x:f>
        <x:v>38</x:v>
      </x:c>
      <x:c r="AQ443" t="n">
        <x:f>_xlfn.XLOOKUP($A443,Games!$A$2:$A$18,Games!$L$2:$L$18,"Missing game",0)</x:f>
        <x:v>58</x:v>
      </x:c>
      <x:c r="AR443" t="n">
        <x:f>_xlfn.XLOOKUP($A443,Games!$A$2:$A$18,Games!$M$2:$M$18,"Missing game",0)</x:f>
        <x:v>0</x:v>
      </x:c>
      <x:c r="AS443" t="str">
        <x:f>_xlfn.XLOOKUP($A443,Games!$A$2:$A$18,Games!$N$2:$N$18,"Missing game",0)</x:f>
        <x:v>dome</x:v>
      </x:c>
      <x:c r="AT443" t="str">
        <x:f>_xlfn.XLOOKUP($A443,Games!$A$2:$A$18,Games!$O$2:$O$18,"Missing game",0)</x:f>
        <x:v>sportturf</x:v>
      </x:c>
      <x:c r="AU443" t="str">
        <x:f>_xlfn.XLOOKUP($A443,Games!$A$2:$A$18,Games!$P$2:$P$18,"Missing game",0)</x:f>
      </x:c>
      <x:c r="AV443" t="str">
        <x:f>_xlfn.XLOOKUP($A443,Games!$A$2:$A$18,Games!$Q$2:$Q$18,"Missing game",0)</x:f>
      </x:c>
      <x:c r="AW443" t="str">
        <x:f>_xlfn.XLOOKUP($A443,Games!$A$2:$A$18,Games!$R$2:$R$18,"Missing game",0)</x:f>
        <x:v>U.S. Bank Stadium</x:v>
      </x:c>
    </x:row>
    <x:row r="444">
      <x:c r="A444" t="str">
        <x:v>2025_03_CIN_MIN</x:v>
      </x:c>
      <x:c r="B444" t="n">
        <x:v>2825</x:v>
      </x:c>
      <x:c r="C444" t="n">
        <x:v>3</x:v>
      </x:c>
      <x:c r="D444" t="str">
        <x:v>08:00</x:v>
      </x:c>
      <x:c r="E444" t="n">
        <x:v>1</x:v>
      </x:c>
      <x:c r="F444" t="n">
        <x:v>10</x:v>
      </x:c>
      <x:c r="G444" t="str">
        <x:v>MIN</x:v>
      </x:c>
      <x:c r="H444" t="str">
        <x:v>CIN</x:v>
      </x:c>
      <x:c r="I444" t="str">
        <x:v>CIN</x:v>
      </x:c>
      <x:c r="J444" t="n">
        <x:v>25</x:v>
      </x:c>
      <x:c r="K444" t="str">
        <x:v>(8:00) 27-J.Mason right tackle to CIN 24 for 1 yard (42-O.Burks; 90-K.Jenkins).</x:v>
      </x:c>
      <x:c r="L444" t="str">
        <x:v>run</x:v>
      </x:c>
      <x:c r="M444" t="n">
        <x:v>1</x:v>
      </x:c>
      <x:c r="N444" t="n">
        <x:v>0</x:v>
      </x:c>
      <x:c r="O444" t="n">
        <x:v>0</x:v>
      </x:c>
      <x:c r="P444"/>
      <x:c r="Q444"/>
      <x:c r="R444"/>
      <x:c r="S444"/>
      <x:c r="T444" t="str">
        <x:v>right</x:v>
      </x:c>
      <x:c r="U444" t="str">
        <x:v>tackle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/>
      <x:c r="AC444" t="n">
        <x:v>0</x:v>
      </x:c>
      <x:c r="AD444" t="n">
        <x:v>-0.30561416456475854</x:v>
      </x:c>
      <x:c r="AE444" t="n">
        <x:v>0</x:v>
      </x:c>
      <x:c r="AF444" t="n">
        <x:v>-0.00014925003051757812</x:v>
      </x:c>
      <x:c r="AG444" t="n">
        <x:f>_xlfn.XLOOKUP($A444,Games!$A$2:$A$18,Games!$B$2:$B$18,"Missing game",0)</x:f>
        <x:v>2025</x:v>
      </x:c>
      <x:c r="AH444" t="str">
        <x:f>_xlfn.XLOOKUP($A444,Games!$A$2:$A$18,Games!$C$2:$C$18,"Missing game",0)</x:f>
        <x:v>REG</x:v>
      </x:c>
      <x:c r="AI444" t="n">
        <x:f>_xlfn.XLOOKUP($A444,Games!$A$2:$A$18,Games!$D$2:$D$18,"Missing game",0)</x:f>
        <x:v>3</x:v>
      </x:c>
      <x:c r="AJ444" s="1" t="n">
        <x:f>_xlfn.XLOOKUP($A444,Games!$A$2:$A$18,Games!$E$2:$E$18,"Missing game",0)</x:f>
        <x:v>45921</x:v>
      </x:c>
      <x:c r="AK444" t="str">
        <x:f>_xlfn.XLOOKUP($A444,Games!$A$2:$A$18,Games!$F$2:$F$18,"Missing game",0)</x:f>
        <x:v>Sunday</x:v>
      </x:c>
      <x:c r="AL444" t="str">
        <x:f>_xlfn.XLOOKUP($A444,Games!$A$2:$A$18,Games!$G$2:$G$18,"Missing game",0)</x:f>
        <x:v>CIN</x:v>
      </x:c>
      <x:c r="AM444" t="n">
        <x:f>_xlfn.XLOOKUP($A444,Games!$A$2:$A$18,Games!$H$2:$H$18,"Missing game",0)</x:f>
        <x:v>10</x:v>
      </x:c>
      <x:c r="AN444" t="str">
        <x:f>_xlfn.XLOOKUP($A444,Games!$A$2:$A$18,Games!$I$2:$I$18,"Missing game",0)</x:f>
        <x:v>MIN</x:v>
      </x:c>
      <x:c r="AO444" t="n">
        <x:f>_xlfn.XLOOKUP($A444,Games!$A$2:$A$18,Games!$J$2:$J$18,"Missing game",0)</x:f>
        <x:v>48</x:v>
      </x:c>
      <x:c r="AP444" t="n">
        <x:f>_xlfn.XLOOKUP($A444,Games!$A$2:$A$18,Games!$K$2:$K$18,"Missing game",0)</x:f>
        <x:v>38</x:v>
      </x:c>
      <x:c r="AQ444" t="n">
        <x:f>_xlfn.XLOOKUP($A444,Games!$A$2:$A$18,Games!$L$2:$L$18,"Missing game",0)</x:f>
        <x:v>58</x:v>
      </x:c>
      <x:c r="AR444" t="n">
        <x:f>_xlfn.XLOOKUP($A444,Games!$A$2:$A$18,Games!$M$2:$M$18,"Missing game",0)</x:f>
        <x:v>0</x:v>
      </x:c>
      <x:c r="AS444" t="str">
        <x:f>_xlfn.XLOOKUP($A444,Games!$A$2:$A$18,Games!$N$2:$N$18,"Missing game",0)</x:f>
        <x:v>dome</x:v>
      </x:c>
      <x:c r="AT444" t="str">
        <x:f>_xlfn.XLOOKUP($A444,Games!$A$2:$A$18,Games!$O$2:$O$18,"Missing game",0)</x:f>
        <x:v>sportturf</x:v>
      </x:c>
      <x:c r="AU444" t="str">
        <x:f>_xlfn.XLOOKUP($A444,Games!$A$2:$A$18,Games!$P$2:$P$18,"Missing game",0)</x:f>
      </x:c>
      <x:c r="AV444" t="str">
        <x:f>_xlfn.XLOOKUP($A444,Games!$A$2:$A$18,Games!$Q$2:$Q$18,"Missing game",0)</x:f>
      </x:c>
      <x:c r="AW444" t="str">
        <x:f>_xlfn.XLOOKUP($A444,Games!$A$2:$A$18,Games!$R$2:$R$18,"Missing game",0)</x:f>
        <x:v>U.S. Bank Stadium</x:v>
      </x:c>
    </x:row>
    <x:row r="445">
      <x:c r="A445" t="str">
        <x:v>2025_03_CIN_MIN</x:v>
      </x:c>
      <x:c r="B445" t="n">
        <x:v>2857</x:v>
      </x:c>
      <x:c r="C445" t="n">
        <x:v>3</x:v>
      </x:c>
      <x:c r="D445" t="str">
        <x:v>07:21</x:v>
      </x:c>
      <x:c r="E445" t="n">
        <x:v>2</x:v>
      </x:c>
      <x:c r="F445" t="n">
        <x:v>9</x:v>
      </x:c>
      <x:c r="G445" t="str">
        <x:v>MIN</x:v>
      </x:c>
      <x:c r="H445" t="str">
        <x:v>CIN</x:v>
      </x:c>
      <x:c r="I445" t="str">
        <x:v>CIN</x:v>
      </x:c>
      <x:c r="J445" t="n">
        <x:v>24</x:v>
      </x:c>
      <x:c r="K445" t="str">
        <x:v>(7:21) (Shotgun) 11-C.Wentz pass short middle to 87-T.Hockenson to CIN 15 for 9 yards (27-J.Battle).</x:v>
      </x:c>
      <x:c r="L445" t="str">
        <x:v>pass</x:v>
      </x:c>
      <x:c r="M445" t="n">
        <x:v>9</x:v>
      </x:c>
      <x:c r="N445" t="n">
        <x:v>1</x:v>
      </x:c>
      <x:c r="O445" t="n">
        <x:v>0</x:v>
      </x:c>
      <x:c r="P445" t="str">
        <x:v>short</x:v>
      </x:c>
      <x:c r="Q445" t="str">
        <x:v>middle</x:v>
      </x:c>
      <x:c r="R445" t="n">
        <x:v>7</x:v>
      </x:c>
      <x:c r="S445" t="n">
        <x:v>2</x:v>
      </x:c>
      <x:c r="T445"/>
      <x:c r="U445"/>
      <x:c r="V445" t="n">
        <x:v>1</x:v>
      </x:c>
      <x:c r="W445" t="n">
        <x:v>1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/>
      <x:c r="AC445" t="n">
        <x:v>0</x:v>
      </x:c>
      <x:c r="AD445" t="n">
        <x:v>0.9351330201607198</x:v>
      </x:c>
      <x:c r="AE445" t="n">
        <x:v>1</x:v>
      </x:c>
      <x:c r="AF445" t="n">
        <x:v>0.00012934207916259766</x:v>
      </x:c>
      <x:c r="AG445" t="n">
        <x:f>_xlfn.XLOOKUP($A445,Games!$A$2:$A$18,Games!$B$2:$B$18,"Missing game",0)</x:f>
        <x:v>2025</x:v>
      </x:c>
      <x:c r="AH445" t="str">
        <x:f>_xlfn.XLOOKUP($A445,Games!$A$2:$A$18,Games!$C$2:$C$18,"Missing game",0)</x:f>
        <x:v>REG</x:v>
      </x:c>
      <x:c r="AI445" t="n">
        <x:f>_xlfn.XLOOKUP($A445,Games!$A$2:$A$18,Games!$D$2:$D$18,"Missing game",0)</x:f>
        <x:v>3</x:v>
      </x:c>
      <x:c r="AJ445" s="1" t="n">
        <x:f>_xlfn.XLOOKUP($A445,Games!$A$2:$A$18,Games!$E$2:$E$18,"Missing game",0)</x:f>
        <x:v>45921</x:v>
      </x:c>
      <x:c r="AK445" t="str">
        <x:f>_xlfn.XLOOKUP($A445,Games!$A$2:$A$18,Games!$F$2:$F$18,"Missing game",0)</x:f>
        <x:v>Sunday</x:v>
      </x:c>
      <x:c r="AL445" t="str">
        <x:f>_xlfn.XLOOKUP($A445,Games!$A$2:$A$18,Games!$G$2:$G$18,"Missing game",0)</x:f>
        <x:v>CIN</x:v>
      </x:c>
      <x:c r="AM445" t="n">
        <x:f>_xlfn.XLOOKUP($A445,Games!$A$2:$A$18,Games!$H$2:$H$18,"Missing game",0)</x:f>
        <x:v>10</x:v>
      </x:c>
      <x:c r="AN445" t="str">
        <x:f>_xlfn.XLOOKUP($A445,Games!$A$2:$A$18,Games!$I$2:$I$18,"Missing game",0)</x:f>
        <x:v>MIN</x:v>
      </x:c>
      <x:c r="AO445" t="n">
        <x:f>_xlfn.XLOOKUP($A445,Games!$A$2:$A$18,Games!$J$2:$J$18,"Missing game",0)</x:f>
        <x:v>48</x:v>
      </x:c>
      <x:c r="AP445" t="n">
        <x:f>_xlfn.XLOOKUP($A445,Games!$A$2:$A$18,Games!$K$2:$K$18,"Missing game",0)</x:f>
        <x:v>38</x:v>
      </x:c>
      <x:c r="AQ445" t="n">
        <x:f>_xlfn.XLOOKUP($A445,Games!$A$2:$A$18,Games!$L$2:$L$18,"Missing game",0)</x:f>
        <x:v>58</x:v>
      </x:c>
      <x:c r="AR445" t="n">
        <x:f>_xlfn.XLOOKUP($A445,Games!$A$2:$A$18,Games!$M$2:$M$18,"Missing game",0)</x:f>
        <x:v>0</x:v>
      </x:c>
      <x:c r="AS445" t="str">
        <x:f>_xlfn.XLOOKUP($A445,Games!$A$2:$A$18,Games!$N$2:$N$18,"Missing game",0)</x:f>
        <x:v>dome</x:v>
      </x:c>
      <x:c r="AT445" t="str">
        <x:f>_xlfn.XLOOKUP($A445,Games!$A$2:$A$18,Games!$O$2:$O$18,"Missing game",0)</x:f>
        <x:v>sportturf</x:v>
      </x:c>
      <x:c r="AU445" t="str">
        <x:f>_xlfn.XLOOKUP($A445,Games!$A$2:$A$18,Games!$P$2:$P$18,"Missing game",0)</x:f>
      </x:c>
      <x:c r="AV445" t="str">
        <x:f>_xlfn.XLOOKUP($A445,Games!$A$2:$A$18,Games!$Q$2:$Q$18,"Missing game",0)</x:f>
      </x:c>
      <x:c r="AW445" t="str">
        <x:f>_xlfn.XLOOKUP($A445,Games!$A$2:$A$18,Games!$R$2:$R$18,"Missing game",0)</x:f>
        <x:v>U.S. Bank Stadium</x:v>
      </x:c>
    </x:row>
    <x:row r="446">
      <x:c r="A446" t="str">
        <x:v>2025_03_CIN_MIN</x:v>
      </x:c>
      <x:c r="B446" t="n">
        <x:v>2882</x:v>
      </x:c>
      <x:c r="C446" t="n">
        <x:v>3</x:v>
      </x:c>
      <x:c r="D446" t="str">
        <x:v>06:44</x:v>
      </x:c>
      <x:c r="E446" t="n">
        <x:v>1</x:v>
      </x:c>
      <x:c r="F446" t="n">
        <x:v>10</x:v>
      </x:c>
      <x:c r="G446" t="str">
        <x:v>MIN</x:v>
      </x:c>
      <x:c r="H446" t="str">
        <x:v>CIN</x:v>
      </x:c>
      <x:c r="I446" t="str">
        <x:v>CIN</x:v>
      </x:c>
      <x:c r="J446" t="n">
        <x:v>15</x:v>
      </x:c>
      <x:c r="K446" t="str">
        <x:v>(6:44) (Shotgun) 11-C.Wentz pass short right to 87-T.Hockenson pushed ob at CIN 4 for 11 yards (44-D.Knight).</x:v>
      </x:c>
      <x:c r="L446" t="str">
        <x:v>pass</x:v>
      </x:c>
      <x:c r="M446" t="n">
        <x:v>11</x:v>
      </x:c>
      <x:c r="N446" t="n">
        <x:v>1</x:v>
      </x:c>
      <x:c r="O446" t="n">
        <x:v>0</x:v>
      </x:c>
      <x:c r="P446" t="str">
        <x:v>short</x:v>
      </x:c>
      <x:c r="Q446" t="str">
        <x:v>right</x:v>
      </x:c>
      <x:c r="R446" t="n">
        <x:v>2</x:v>
      </x:c>
      <x:c r="S446" t="n">
        <x:v>9</x:v>
      </x:c>
      <x:c r="T446"/>
      <x:c r="U446"/>
      <x:c r="V446" t="n">
        <x:v>1</x:v>
      </x:c>
      <x:c r="W446" t="n">
        <x:v>1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/>
      <x:c r="AC446" t="n">
        <x:v>0</x:v>
      </x:c>
      <x:c r="AD446" t="n">
        <x:v>0.8393819449702278</x:v>
      </x:c>
      <x:c r="AE446" t="n">
        <x:v>1</x:v>
      </x:c>
      <x:c r="AF446" t="n">
        <x:v>0.00009995698928833008</x:v>
      </x:c>
      <x:c r="AG446" t="n">
        <x:f>_xlfn.XLOOKUP($A446,Games!$A$2:$A$18,Games!$B$2:$B$18,"Missing game",0)</x:f>
        <x:v>2025</x:v>
      </x:c>
      <x:c r="AH446" t="str">
        <x:f>_xlfn.XLOOKUP($A446,Games!$A$2:$A$18,Games!$C$2:$C$18,"Missing game",0)</x:f>
        <x:v>REG</x:v>
      </x:c>
      <x:c r="AI446" t="n">
        <x:f>_xlfn.XLOOKUP($A446,Games!$A$2:$A$18,Games!$D$2:$D$18,"Missing game",0)</x:f>
        <x:v>3</x:v>
      </x:c>
      <x:c r="AJ446" s="1" t="n">
        <x:f>_xlfn.XLOOKUP($A446,Games!$A$2:$A$18,Games!$E$2:$E$18,"Missing game",0)</x:f>
        <x:v>45921</x:v>
      </x:c>
      <x:c r="AK446" t="str">
        <x:f>_xlfn.XLOOKUP($A446,Games!$A$2:$A$18,Games!$F$2:$F$18,"Missing game",0)</x:f>
        <x:v>Sunday</x:v>
      </x:c>
      <x:c r="AL446" t="str">
        <x:f>_xlfn.XLOOKUP($A446,Games!$A$2:$A$18,Games!$G$2:$G$18,"Missing game",0)</x:f>
        <x:v>CIN</x:v>
      </x:c>
      <x:c r="AM446" t="n">
        <x:f>_xlfn.XLOOKUP($A446,Games!$A$2:$A$18,Games!$H$2:$H$18,"Missing game",0)</x:f>
        <x:v>10</x:v>
      </x:c>
      <x:c r="AN446" t="str">
        <x:f>_xlfn.XLOOKUP($A446,Games!$A$2:$A$18,Games!$I$2:$I$18,"Missing game",0)</x:f>
        <x:v>MIN</x:v>
      </x:c>
      <x:c r="AO446" t="n">
        <x:f>_xlfn.XLOOKUP($A446,Games!$A$2:$A$18,Games!$J$2:$J$18,"Missing game",0)</x:f>
        <x:v>48</x:v>
      </x:c>
      <x:c r="AP446" t="n">
        <x:f>_xlfn.XLOOKUP($A446,Games!$A$2:$A$18,Games!$K$2:$K$18,"Missing game",0)</x:f>
        <x:v>38</x:v>
      </x:c>
      <x:c r="AQ446" t="n">
        <x:f>_xlfn.XLOOKUP($A446,Games!$A$2:$A$18,Games!$L$2:$L$18,"Missing game",0)</x:f>
        <x:v>58</x:v>
      </x:c>
      <x:c r="AR446" t="n">
        <x:f>_xlfn.XLOOKUP($A446,Games!$A$2:$A$18,Games!$M$2:$M$18,"Missing game",0)</x:f>
        <x:v>0</x:v>
      </x:c>
      <x:c r="AS446" t="str">
        <x:f>_xlfn.XLOOKUP($A446,Games!$A$2:$A$18,Games!$N$2:$N$18,"Missing game",0)</x:f>
        <x:v>dome</x:v>
      </x:c>
      <x:c r="AT446" t="str">
        <x:f>_xlfn.XLOOKUP($A446,Games!$A$2:$A$18,Games!$O$2:$O$18,"Missing game",0)</x:f>
        <x:v>sportturf</x:v>
      </x:c>
      <x:c r="AU446" t="str">
        <x:f>_xlfn.XLOOKUP($A446,Games!$A$2:$A$18,Games!$P$2:$P$18,"Missing game",0)</x:f>
      </x:c>
      <x:c r="AV446" t="str">
        <x:f>_xlfn.XLOOKUP($A446,Games!$A$2:$A$18,Games!$Q$2:$Q$18,"Missing game",0)</x:f>
      </x:c>
      <x:c r="AW446" t="str">
        <x:f>_xlfn.XLOOKUP($A446,Games!$A$2:$A$18,Games!$R$2:$R$18,"Missing game",0)</x:f>
        <x:v>U.S. Bank Stadium</x:v>
      </x:c>
    </x:row>
    <x:row r="447">
      <x:c r="A447" t="str">
        <x:v>2025_03_CIN_MIN</x:v>
      </x:c>
      <x:c r="B447" t="n">
        <x:v>2912</x:v>
      </x:c>
      <x:c r="C447" t="n">
        <x:v>3</x:v>
      </x:c>
      <x:c r="D447" t="str">
        <x:v>06:04</x:v>
      </x:c>
      <x:c r="E447" t="n">
        <x:v>1</x:v>
      </x:c>
      <x:c r="F447" t="n">
        <x:v>4</x:v>
      </x:c>
      <x:c r="G447" t="str">
        <x:v>MIN</x:v>
      </x:c>
      <x:c r="H447" t="str">
        <x:v>CIN</x:v>
      </x:c>
      <x:c r="I447" t="str">
        <x:v>CIN</x:v>
      </x:c>
      <x:c r="J447" t="n">
        <x:v>4</x:v>
      </x:c>
      <x:c r="K447" t="str">
        <x:v>(6:04) 27-J.Mason up the middle for 4 yards, TOUCHDOWN.</x:v>
      </x:c>
      <x:c r="L447" t="str">
        <x:v>run</x:v>
      </x:c>
      <x:c r="M447" t="n">
        <x:v>4</x:v>
      </x:c>
      <x:c r="N447" t="n">
        <x:v>0</x:v>
      </x:c>
      <x:c r="O447" t="n">
        <x:v>0</x:v>
      </x:c>
      <x:c r="P447"/>
      <x:c r="Q447"/>
      <x:c r="R447"/>
      <x:c r="S447"/>
      <x:c r="T447" t="str">
        <x:v>middle</x:v>
      </x:c>
      <x:c r="U447"/>
      <x:c r="V447" t="n">
        <x:v>0</x:v>
      </x:c>
      <x:c r="W447" t="n">
        <x:v>1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/>
      <x:c r="AC447" t="n">
        <x:v>1</x:v>
      </x:c>
      <x:c r="AD447" t="n">
        <x:v>0.8341086449800059</x:v>
      </x:c>
      <x:c r="AE447" t="n">
        <x:v>1</x:v>
      </x:c>
      <x:c r="AF447" t="n">
        <x:v>0.0002575736741290413</x:v>
      </x:c>
      <x:c r="AG447" t="n">
        <x:f>_xlfn.XLOOKUP($A447,Games!$A$2:$A$18,Games!$B$2:$B$18,"Missing game",0)</x:f>
        <x:v>2025</x:v>
      </x:c>
      <x:c r="AH447" t="str">
        <x:f>_xlfn.XLOOKUP($A447,Games!$A$2:$A$18,Games!$C$2:$C$18,"Missing game",0)</x:f>
        <x:v>REG</x:v>
      </x:c>
      <x:c r="AI447" t="n">
        <x:f>_xlfn.XLOOKUP($A447,Games!$A$2:$A$18,Games!$D$2:$D$18,"Missing game",0)</x:f>
        <x:v>3</x:v>
      </x:c>
      <x:c r="AJ447" s="1" t="n">
        <x:f>_xlfn.XLOOKUP($A447,Games!$A$2:$A$18,Games!$E$2:$E$18,"Missing game",0)</x:f>
        <x:v>45921</x:v>
      </x:c>
      <x:c r="AK447" t="str">
        <x:f>_xlfn.XLOOKUP($A447,Games!$A$2:$A$18,Games!$F$2:$F$18,"Missing game",0)</x:f>
        <x:v>Sunday</x:v>
      </x:c>
      <x:c r="AL447" t="str">
        <x:f>_xlfn.XLOOKUP($A447,Games!$A$2:$A$18,Games!$G$2:$G$18,"Missing game",0)</x:f>
        <x:v>CIN</x:v>
      </x:c>
      <x:c r="AM447" t="n">
        <x:f>_xlfn.XLOOKUP($A447,Games!$A$2:$A$18,Games!$H$2:$H$18,"Missing game",0)</x:f>
        <x:v>10</x:v>
      </x:c>
      <x:c r="AN447" t="str">
        <x:f>_xlfn.XLOOKUP($A447,Games!$A$2:$A$18,Games!$I$2:$I$18,"Missing game",0)</x:f>
        <x:v>MIN</x:v>
      </x:c>
      <x:c r="AO447" t="n">
        <x:f>_xlfn.XLOOKUP($A447,Games!$A$2:$A$18,Games!$J$2:$J$18,"Missing game",0)</x:f>
        <x:v>48</x:v>
      </x:c>
      <x:c r="AP447" t="n">
        <x:f>_xlfn.XLOOKUP($A447,Games!$A$2:$A$18,Games!$K$2:$K$18,"Missing game",0)</x:f>
        <x:v>38</x:v>
      </x:c>
      <x:c r="AQ447" t="n">
        <x:f>_xlfn.XLOOKUP($A447,Games!$A$2:$A$18,Games!$L$2:$L$18,"Missing game",0)</x:f>
        <x:v>58</x:v>
      </x:c>
      <x:c r="AR447" t="n">
        <x:f>_xlfn.XLOOKUP($A447,Games!$A$2:$A$18,Games!$M$2:$M$18,"Missing game",0)</x:f>
        <x:v>0</x:v>
      </x:c>
      <x:c r="AS447" t="str">
        <x:f>_xlfn.XLOOKUP($A447,Games!$A$2:$A$18,Games!$N$2:$N$18,"Missing game",0)</x:f>
        <x:v>dome</x:v>
      </x:c>
      <x:c r="AT447" t="str">
        <x:f>_xlfn.XLOOKUP($A447,Games!$A$2:$A$18,Games!$O$2:$O$18,"Missing game",0)</x:f>
        <x:v>sportturf</x:v>
      </x:c>
      <x:c r="AU447" t="str">
        <x:f>_xlfn.XLOOKUP($A447,Games!$A$2:$A$18,Games!$P$2:$P$18,"Missing game",0)</x:f>
      </x:c>
      <x:c r="AV447" t="str">
        <x:f>_xlfn.XLOOKUP($A447,Games!$A$2:$A$18,Games!$Q$2:$Q$18,"Missing game",0)</x:f>
      </x:c>
      <x:c r="AW447" t="str">
        <x:f>_xlfn.XLOOKUP($A447,Games!$A$2:$A$18,Games!$R$2:$R$18,"Missing game",0)</x:f>
        <x:v>U.S. Bank Stadium</x:v>
      </x:c>
    </x:row>
    <x:row r="448">
      <x:c r="A448" t="str">
        <x:v>2025_03_CIN_MIN</x:v>
      </x:c>
      <x:c r="B448" t="n">
        <x:v>2935</x:v>
      </x:c>
      <x:c r="C448" t="n">
        <x:v>3</x:v>
      </x:c>
      <x:c r="D448" t="str">
        <x:v>06:00</x:v>
      </x:c>
      <x:c r="E448"/>
      <x:c r="F448" t="n">
        <x:v>0</x:v>
      </x:c>
      <x:c r="G448" t="str">
        <x:v>MIN</x:v>
      </x:c>
      <x:c r="H448" t="str">
        <x:v>CIN</x:v>
      </x:c>
      <x:c r="I448" t="str">
        <x:v>CIN</x:v>
      </x:c>
      <x:c r="J448" t="n">
        <x:v>15</x:v>
      </x:c>
      <x:c r="K448" t="str">
        <x:v>16-W.Reichard extra point is GOOD, Center-42-A.DePaola, Holder-17-R.Wright.</x:v>
      </x:c>
      <x:c r="L448" t="str">
        <x:v>extra_point</x:v>
      </x:c>
      <x:c r="M448" t="n">
        <x:v>0</x:v>
      </x:c>
      <x:c r="N448" t="n">
        <x:v>0</x:v>
      </x:c>
      <x:c r="O448" t="n">
        <x:v>0</x:v>
      </x:c>
      <x:c r="P448"/>
      <x:c r="Q448"/>
      <x:c r="R448"/>
      <x:c r="S448"/>
      <x:c r="T448"/>
      <x:c r="U448"/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/>
      <x:c r="AC448" t="n">
        <x:v>0</x:v>
      </x:c>
      <x:c r="AD448" t="n">
        <x:v>0.05117156607063911</x:v>
      </x:c>
      <x:c r="AE448" t="n">
        <x:v>1</x:v>
      </x:c>
      <x:c r="AF448" t="n">
        <x:v>0.0000013880765310503307</x:v>
      </x:c>
      <x:c r="AG448" t="n">
        <x:f>_xlfn.XLOOKUP($A448,Games!$A$2:$A$18,Games!$B$2:$B$18,"Missing game",0)</x:f>
        <x:v>2025</x:v>
      </x:c>
      <x:c r="AH448" t="str">
        <x:f>_xlfn.XLOOKUP($A448,Games!$A$2:$A$18,Games!$C$2:$C$18,"Missing game",0)</x:f>
        <x:v>REG</x:v>
      </x:c>
      <x:c r="AI448" t="n">
        <x:f>_xlfn.XLOOKUP($A448,Games!$A$2:$A$18,Games!$D$2:$D$18,"Missing game",0)</x:f>
        <x:v>3</x:v>
      </x:c>
      <x:c r="AJ448" s="1" t="n">
        <x:f>_xlfn.XLOOKUP($A448,Games!$A$2:$A$18,Games!$E$2:$E$18,"Missing game",0)</x:f>
        <x:v>45921</x:v>
      </x:c>
      <x:c r="AK448" t="str">
        <x:f>_xlfn.XLOOKUP($A448,Games!$A$2:$A$18,Games!$F$2:$F$18,"Missing game",0)</x:f>
        <x:v>Sunday</x:v>
      </x:c>
      <x:c r="AL448" t="str">
        <x:f>_xlfn.XLOOKUP($A448,Games!$A$2:$A$18,Games!$G$2:$G$18,"Missing game",0)</x:f>
        <x:v>CIN</x:v>
      </x:c>
      <x:c r="AM448" t="n">
        <x:f>_xlfn.XLOOKUP($A448,Games!$A$2:$A$18,Games!$H$2:$H$18,"Missing game",0)</x:f>
        <x:v>10</x:v>
      </x:c>
      <x:c r="AN448" t="str">
        <x:f>_xlfn.XLOOKUP($A448,Games!$A$2:$A$18,Games!$I$2:$I$18,"Missing game",0)</x:f>
        <x:v>MIN</x:v>
      </x:c>
      <x:c r="AO448" t="n">
        <x:f>_xlfn.XLOOKUP($A448,Games!$A$2:$A$18,Games!$J$2:$J$18,"Missing game",0)</x:f>
        <x:v>48</x:v>
      </x:c>
      <x:c r="AP448" t="n">
        <x:f>_xlfn.XLOOKUP($A448,Games!$A$2:$A$18,Games!$K$2:$K$18,"Missing game",0)</x:f>
        <x:v>38</x:v>
      </x:c>
      <x:c r="AQ448" t="n">
        <x:f>_xlfn.XLOOKUP($A448,Games!$A$2:$A$18,Games!$L$2:$L$18,"Missing game",0)</x:f>
        <x:v>58</x:v>
      </x:c>
      <x:c r="AR448" t="n">
        <x:f>_xlfn.XLOOKUP($A448,Games!$A$2:$A$18,Games!$M$2:$M$18,"Missing game",0)</x:f>
        <x:v>0</x:v>
      </x:c>
      <x:c r="AS448" t="str">
        <x:f>_xlfn.XLOOKUP($A448,Games!$A$2:$A$18,Games!$N$2:$N$18,"Missing game",0)</x:f>
        <x:v>dome</x:v>
      </x:c>
      <x:c r="AT448" t="str">
        <x:f>_xlfn.XLOOKUP($A448,Games!$A$2:$A$18,Games!$O$2:$O$18,"Missing game",0)</x:f>
        <x:v>sportturf</x:v>
      </x:c>
      <x:c r="AU448" t="str">
        <x:f>_xlfn.XLOOKUP($A448,Games!$A$2:$A$18,Games!$P$2:$P$18,"Missing game",0)</x:f>
      </x:c>
      <x:c r="AV448" t="str">
        <x:f>_xlfn.XLOOKUP($A448,Games!$A$2:$A$18,Games!$Q$2:$Q$18,"Missing game",0)</x:f>
      </x:c>
      <x:c r="AW448" t="str">
        <x:f>_xlfn.XLOOKUP($A448,Games!$A$2:$A$18,Games!$R$2:$R$18,"Missing game",0)</x:f>
        <x:v>U.S. Bank Stadium</x:v>
      </x:c>
    </x:row>
    <x:row r="449">
      <x:c r="A449" t="str">
        <x:v>2025_03_CIN_MIN</x:v>
      </x:c>
      <x:c r="B449" t="n">
        <x:v>2950</x:v>
      </x:c>
      <x:c r="C449" t="n">
        <x:v>3</x:v>
      </x:c>
      <x:c r="D449" t="str">
        <x:v>06:00</x:v>
      </x:c>
      <x:c r="E449"/>
      <x:c r="F449" t="n">
        <x:v>0</x:v>
      </x:c>
      <x:c r="G449" t="str">
        <x:v>CIN</x:v>
      </x:c>
      <x:c r="H449" t="str">
        <x:v>MIN</x:v>
      </x:c>
      <x:c r="I449" t="str">
        <x:v>MIN</x:v>
      </x:c>
      <x:c r="J449" t="n">
        <x:v>35</x:v>
      </x:c>
      <x:c r="K449" t="str">
        <x:v>16-W.Reichard kicks 57 yards from MIN 35 to CIN 8. 15-C.Jones to CIN 30 for 22 yards (13-T.Felton).</x:v>
      </x:c>
      <x:c r="L449" t="str">
        <x:v>kickoff</x:v>
      </x:c>
      <x:c r="M449" t="n">
        <x:v>0</x:v>
      </x:c>
      <x:c r="N449" t="n">
        <x:v>0</x:v>
      </x:c>
      <x:c r="O449" t="n">
        <x:v>0</x:v>
      </x:c>
      <x:c r="P449"/>
      <x:c r="Q449"/>
      <x:c r="R449"/>
      <x:c r="S449"/>
      <x:c r="T449"/>
      <x:c r="U449"/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/>
      <x:c r="AC449" t="n">
        <x:v>0</x:v>
      </x:c>
      <x:c r="AD449" t="n">
        <x:v>0.2694543800316751</x:v>
      </x:c>
      <x:c r="AE449" t="n">
        <x:v>1</x:v>
      </x:c>
      <x:c r="AF449" t="n">
        <x:v>0.00005138077540323138</x:v>
      </x:c>
      <x:c r="AG449" t="n">
        <x:f>_xlfn.XLOOKUP($A449,Games!$A$2:$A$18,Games!$B$2:$B$18,"Missing game",0)</x:f>
        <x:v>2025</x:v>
      </x:c>
      <x:c r="AH449" t="str">
        <x:f>_xlfn.XLOOKUP($A449,Games!$A$2:$A$18,Games!$C$2:$C$18,"Missing game",0)</x:f>
        <x:v>REG</x:v>
      </x:c>
      <x:c r="AI449" t="n">
        <x:f>_xlfn.XLOOKUP($A449,Games!$A$2:$A$18,Games!$D$2:$D$18,"Missing game",0)</x:f>
        <x:v>3</x:v>
      </x:c>
      <x:c r="AJ449" s="1" t="n">
        <x:f>_xlfn.XLOOKUP($A449,Games!$A$2:$A$18,Games!$E$2:$E$18,"Missing game",0)</x:f>
        <x:v>45921</x:v>
      </x:c>
      <x:c r="AK449" t="str">
        <x:f>_xlfn.XLOOKUP($A449,Games!$A$2:$A$18,Games!$F$2:$F$18,"Missing game",0)</x:f>
        <x:v>Sunday</x:v>
      </x:c>
      <x:c r="AL449" t="str">
        <x:f>_xlfn.XLOOKUP($A449,Games!$A$2:$A$18,Games!$G$2:$G$18,"Missing game",0)</x:f>
        <x:v>CIN</x:v>
      </x:c>
      <x:c r="AM449" t="n">
        <x:f>_xlfn.XLOOKUP($A449,Games!$A$2:$A$18,Games!$H$2:$H$18,"Missing game",0)</x:f>
        <x:v>10</x:v>
      </x:c>
      <x:c r="AN449" t="str">
        <x:f>_xlfn.XLOOKUP($A449,Games!$A$2:$A$18,Games!$I$2:$I$18,"Missing game",0)</x:f>
        <x:v>MIN</x:v>
      </x:c>
      <x:c r="AO449" t="n">
        <x:f>_xlfn.XLOOKUP($A449,Games!$A$2:$A$18,Games!$J$2:$J$18,"Missing game",0)</x:f>
        <x:v>48</x:v>
      </x:c>
      <x:c r="AP449" t="n">
        <x:f>_xlfn.XLOOKUP($A449,Games!$A$2:$A$18,Games!$K$2:$K$18,"Missing game",0)</x:f>
        <x:v>38</x:v>
      </x:c>
      <x:c r="AQ449" t="n">
        <x:f>_xlfn.XLOOKUP($A449,Games!$A$2:$A$18,Games!$L$2:$L$18,"Missing game",0)</x:f>
        <x:v>58</x:v>
      </x:c>
      <x:c r="AR449" t="n">
        <x:f>_xlfn.XLOOKUP($A449,Games!$A$2:$A$18,Games!$M$2:$M$18,"Missing game",0)</x:f>
        <x:v>0</x:v>
      </x:c>
      <x:c r="AS449" t="str">
        <x:f>_xlfn.XLOOKUP($A449,Games!$A$2:$A$18,Games!$N$2:$N$18,"Missing game",0)</x:f>
        <x:v>dome</x:v>
      </x:c>
      <x:c r="AT449" t="str">
        <x:f>_xlfn.XLOOKUP($A449,Games!$A$2:$A$18,Games!$O$2:$O$18,"Missing game",0)</x:f>
        <x:v>sportturf</x:v>
      </x:c>
      <x:c r="AU449" t="str">
        <x:f>_xlfn.XLOOKUP($A449,Games!$A$2:$A$18,Games!$P$2:$P$18,"Missing game",0)</x:f>
      </x:c>
      <x:c r="AV449" t="str">
        <x:f>_xlfn.XLOOKUP($A449,Games!$A$2:$A$18,Games!$Q$2:$Q$18,"Missing game",0)</x:f>
      </x:c>
      <x:c r="AW449" t="str">
        <x:f>_xlfn.XLOOKUP($A449,Games!$A$2:$A$18,Games!$R$2:$R$18,"Missing game",0)</x:f>
        <x:v>U.S. Bank Stadium</x:v>
      </x:c>
    </x:row>
    <x:row r="450">
      <x:c r="A450" t="str">
        <x:v>2025_03_CIN_MIN</x:v>
      </x:c>
      <x:c r="B450" t="n">
        <x:v>2980</x:v>
      </x:c>
      <x:c r="C450" t="n">
        <x:v>3</x:v>
      </x:c>
      <x:c r="D450" t="str">
        <x:v>05:55</x:v>
      </x:c>
      <x:c r="E450" t="n">
        <x:v>1</x:v>
      </x:c>
      <x:c r="F450" t="n">
        <x:v>10</x:v>
      </x:c>
      <x:c r="G450" t="str">
        <x:v>CIN</x:v>
      </x:c>
      <x:c r="H450" t="str">
        <x:v>MIN</x:v>
      </x:c>
      <x:c r="I450" t="str">
        <x:v>CIN</x:v>
      </x:c>
      <x:c r="J450" t="n">
        <x:v>70</x:v>
      </x:c>
      <x:c r="K450" t="str">
        <x:v>(5:55) (Shotgun) 6-J.Browning pass short left to 1-J.Chase pushed ob at CIN 34 for 4 yards (0-I.Pace).</x:v>
      </x:c>
      <x:c r="L450" t="str">
        <x:v>pass</x:v>
      </x:c>
      <x:c r="M450" t="n">
        <x:v>4</x:v>
      </x:c>
      <x:c r="N450" t="n">
        <x:v>1</x:v>
      </x:c>
      <x:c r="O450" t="n">
        <x:v>0</x:v>
      </x:c>
      <x:c r="P450" t="str">
        <x:v>short</x:v>
      </x:c>
      <x:c r="Q450" t="str">
        <x:v>left</x:v>
      </x:c>
      <x:c r="R450" t="n">
        <x:v>1</x:v>
      </x:c>
      <x:c r="S450" t="n">
        <x:v>3</x:v>
      </x:c>
      <x:c r="T450"/>
      <x:c r="U450"/>
      <x:c r="V450" t="n">
        <x:v>1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/>
      <x:c r="AC450" t="n">
        <x:v>0</x:v>
      </x:c>
      <x:c r="AD450" t="n">
        <x:v>-0.13534631300717592</x:v>
      </x:c>
      <x:c r="AE450" t="n">
        <x:v>0</x:v>
      </x:c>
      <x:c r="AF450" t="n">
        <x:v>-0.000009381386917084455</x:v>
      </x:c>
      <x:c r="AG450" t="n">
        <x:f>_xlfn.XLOOKUP($A450,Games!$A$2:$A$18,Games!$B$2:$B$18,"Missing game",0)</x:f>
        <x:v>2025</x:v>
      </x:c>
      <x:c r="AH450" t="str">
        <x:f>_xlfn.XLOOKUP($A450,Games!$A$2:$A$18,Games!$C$2:$C$18,"Missing game",0)</x:f>
        <x:v>REG</x:v>
      </x:c>
      <x:c r="AI450" t="n">
        <x:f>_xlfn.XLOOKUP($A450,Games!$A$2:$A$18,Games!$D$2:$D$18,"Missing game",0)</x:f>
        <x:v>3</x:v>
      </x:c>
      <x:c r="AJ450" s="1" t="n">
        <x:f>_xlfn.XLOOKUP($A450,Games!$A$2:$A$18,Games!$E$2:$E$18,"Missing game",0)</x:f>
        <x:v>45921</x:v>
      </x:c>
      <x:c r="AK450" t="str">
        <x:f>_xlfn.XLOOKUP($A450,Games!$A$2:$A$18,Games!$F$2:$F$18,"Missing game",0)</x:f>
        <x:v>Sunday</x:v>
      </x:c>
      <x:c r="AL450" t="str">
        <x:f>_xlfn.XLOOKUP($A450,Games!$A$2:$A$18,Games!$G$2:$G$18,"Missing game",0)</x:f>
        <x:v>CIN</x:v>
      </x:c>
      <x:c r="AM450" t="n">
        <x:f>_xlfn.XLOOKUP($A450,Games!$A$2:$A$18,Games!$H$2:$H$18,"Missing game",0)</x:f>
        <x:v>10</x:v>
      </x:c>
      <x:c r="AN450" t="str">
        <x:f>_xlfn.XLOOKUP($A450,Games!$A$2:$A$18,Games!$I$2:$I$18,"Missing game",0)</x:f>
        <x:v>MIN</x:v>
      </x:c>
      <x:c r="AO450" t="n">
        <x:f>_xlfn.XLOOKUP($A450,Games!$A$2:$A$18,Games!$J$2:$J$18,"Missing game",0)</x:f>
        <x:v>48</x:v>
      </x:c>
      <x:c r="AP450" t="n">
        <x:f>_xlfn.XLOOKUP($A450,Games!$A$2:$A$18,Games!$K$2:$K$18,"Missing game",0)</x:f>
        <x:v>38</x:v>
      </x:c>
      <x:c r="AQ450" t="n">
        <x:f>_xlfn.XLOOKUP($A450,Games!$A$2:$A$18,Games!$L$2:$L$18,"Missing game",0)</x:f>
        <x:v>58</x:v>
      </x:c>
      <x:c r="AR450" t="n">
        <x:f>_xlfn.XLOOKUP($A450,Games!$A$2:$A$18,Games!$M$2:$M$18,"Missing game",0)</x:f>
        <x:v>0</x:v>
      </x:c>
      <x:c r="AS450" t="str">
        <x:f>_xlfn.XLOOKUP($A450,Games!$A$2:$A$18,Games!$N$2:$N$18,"Missing game",0)</x:f>
        <x:v>dome</x:v>
      </x:c>
      <x:c r="AT450" t="str">
        <x:f>_xlfn.XLOOKUP($A450,Games!$A$2:$A$18,Games!$O$2:$O$18,"Missing game",0)</x:f>
        <x:v>sportturf</x:v>
      </x:c>
      <x:c r="AU450" t="str">
        <x:f>_xlfn.XLOOKUP($A450,Games!$A$2:$A$18,Games!$P$2:$P$18,"Missing game",0)</x:f>
      </x:c>
      <x:c r="AV450" t="str">
        <x:f>_xlfn.XLOOKUP($A450,Games!$A$2:$A$18,Games!$Q$2:$Q$18,"Missing game",0)</x:f>
      </x:c>
      <x:c r="AW450" t="str">
        <x:f>_xlfn.XLOOKUP($A450,Games!$A$2:$A$18,Games!$R$2:$R$18,"Missing game",0)</x:f>
        <x:v>U.S. Bank Stadium</x:v>
      </x:c>
    </x:row>
    <x:row r="451">
      <x:c r="A451" t="str">
        <x:v>2025_03_CIN_MIN</x:v>
      </x:c>
      <x:c r="B451" t="n">
        <x:v>3010</x:v>
      </x:c>
      <x:c r="C451" t="n">
        <x:v>3</x:v>
      </x:c>
      <x:c r="D451" t="str">
        <x:v>05:20</x:v>
      </x:c>
      <x:c r="E451" t="n">
        <x:v>2</x:v>
      </x:c>
      <x:c r="F451" t="n">
        <x:v>6</x:v>
      </x:c>
      <x:c r="G451" t="str">
        <x:v>CIN</x:v>
      </x:c>
      <x:c r="H451" t="str">
        <x:v>MIN</x:v>
      </x:c>
      <x:c r="I451" t="str">
        <x:v>CIN</x:v>
      </x:c>
      <x:c r="J451" t="n">
        <x:v>66</x:v>
      </x:c>
      <x:c r="K451" t="str">
        <x:v>(5:20) (Shotgun) 6-J.Browning pass short right to 30-C.Brown pushed ob at CIN 38 for 4 yards (50-L.Rodriguez).</x:v>
      </x:c>
      <x:c r="L451" t="str">
        <x:v>pass</x:v>
      </x:c>
      <x:c r="M451" t="n">
        <x:v>4</x:v>
      </x:c>
      <x:c r="N451" t="n">
        <x:v>1</x:v>
      </x:c>
      <x:c r="O451" t="n">
        <x:v>0</x:v>
      </x:c>
      <x:c r="P451" t="str">
        <x:v>short</x:v>
      </x:c>
      <x:c r="Q451" t="str">
        <x:v>right</x:v>
      </x:c>
      <x:c r="R451" t="n">
        <x:v>3</x:v>
      </x:c>
      <x:c r="S451" t="n">
        <x:v>1</x:v>
      </x:c>
      <x:c r="T451"/>
      <x:c r="U451"/>
      <x:c r="V451" t="n">
        <x:v>1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/>
      <x:c r="AC451" t="n">
        <x:v>0</x:v>
      </x:c>
      <x:c r="AD451" t="n">
        <x:v>-0.14688266394659877</x:v>
      </x:c>
      <x:c r="AE451" t="n">
        <x:v>0</x:v>
      </x:c>
      <x:c r="AF451" t="n">
        <x:v>-0.00016079438501037657</x:v>
      </x:c>
      <x:c r="AG451" t="n">
        <x:f>_xlfn.XLOOKUP($A451,Games!$A$2:$A$18,Games!$B$2:$B$18,"Missing game",0)</x:f>
        <x:v>2025</x:v>
      </x:c>
      <x:c r="AH451" t="str">
        <x:f>_xlfn.XLOOKUP($A451,Games!$A$2:$A$18,Games!$C$2:$C$18,"Missing game",0)</x:f>
        <x:v>REG</x:v>
      </x:c>
      <x:c r="AI451" t="n">
        <x:f>_xlfn.XLOOKUP($A451,Games!$A$2:$A$18,Games!$D$2:$D$18,"Missing game",0)</x:f>
        <x:v>3</x:v>
      </x:c>
      <x:c r="AJ451" s="1" t="n">
        <x:f>_xlfn.XLOOKUP($A451,Games!$A$2:$A$18,Games!$E$2:$E$18,"Missing game",0)</x:f>
        <x:v>45921</x:v>
      </x:c>
      <x:c r="AK451" t="str">
        <x:f>_xlfn.XLOOKUP($A451,Games!$A$2:$A$18,Games!$F$2:$F$18,"Missing game",0)</x:f>
        <x:v>Sunday</x:v>
      </x:c>
      <x:c r="AL451" t="str">
        <x:f>_xlfn.XLOOKUP($A451,Games!$A$2:$A$18,Games!$G$2:$G$18,"Missing game",0)</x:f>
        <x:v>CIN</x:v>
      </x:c>
      <x:c r="AM451" t="n">
        <x:f>_xlfn.XLOOKUP($A451,Games!$A$2:$A$18,Games!$H$2:$H$18,"Missing game",0)</x:f>
        <x:v>10</x:v>
      </x:c>
      <x:c r="AN451" t="str">
        <x:f>_xlfn.XLOOKUP($A451,Games!$A$2:$A$18,Games!$I$2:$I$18,"Missing game",0)</x:f>
        <x:v>MIN</x:v>
      </x:c>
      <x:c r="AO451" t="n">
        <x:f>_xlfn.XLOOKUP($A451,Games!$A$2:$A$18,Games!$J$2:$J$18,"Missing game",0)</x:f>
        <x:v>48</x:v>
      </x:c>
      <x:c r="AP451" t="n">
        <x:f>_xlfn.XLOOKUP($A451,Games!$A$2:$A$18,Games!$K$2:$K$18,"Missing game",0)</x:f>
        <x:v>38</x:v>
      </x:c>
      <x:c r="AQ451" t="n">
        <x:f>_xlfn.XLOOKUP($A451,Games!$A$2:$A$18,Games!$L$2:$L$18,"Missing game",0)</x:f>
        <x:v>58</x:v>
      </x:c>
      <x:c r="AR451" t="n">
        <x:f>_xlfn.XLOOKUP($A451,Games!$A$2:$A$18,Games!$M$2:$M$18,"Missing game",0)</x:f>
        <x:v>0</x:v>
      </x:c>
      <x:c r="AS451" t="str">
        <x:f>_xlfn.XLOOKUP($A451,Games!$A$2:$A$18,Games!$N$2:$N$18,"Missing game",0)</x:f>
        <x:v>dome</x:v>
      </x:c>
      <x:c r="AT451" t="str">
        <x:f>_xlfn.XLOOKUP($A451,Games!$A$2:$A$18,Games!$O$2:$O$18,"Missing game",0)</x:f>
        <x:v>sportturf</x:v>
      </x:c>
      <x:c r="AU451" t="str">
        <x:f>_xlfn.XLOOKUP($A451,Games!$A$2:$A$18,Games!$P$2:$P$18,"Missing game",0)</x:f>
      </x:c>
      <x:c r="AV451" t="str">
        <x:f>_xlfn.XLOOKUP($A451,Games!$A$2:$A$18,Games!$Q$2:$Q$18,"Missing game",0)</x:f>
      </x:c>
      <x:c r="AW451" t="str">
        <x:f>_xlfn.XLOOKUP($A451,Games!$A$2:$A$18,Games!$R$2:$R$18,"Missing game",0)</x:f>
        <x:v>U.S. Bank Stadium</x:v>
      </x:c>
    </x:row>
    <x:row r="452">
      <x:c r="A452" t="str">
        <x:v>2025_03_CIN_MIN</x:v>
      </x:c>
      <x:c r="B452" t="n">
        <x:v>3040</x:v>
      </x:c>
      <x:c r="C452" t="n">
        <x:v>3</x:v>
      </x:c>
      <x:c r="D452" t="str">
        <x:v>04:38</x:v>
      </x:c>
      <x:c r="E452" t="n">
        <x:v>3</x:v>
      </x:c>
      <x:c r="F452" t="n">
        <x:v>2</x:v>
      </x:c>
      <x:c r="G452" t="str">
        <x:v>CIN</x:v>
      </x:c>
      <x:c r="H452" t="str">
        <x:v>MIN</x:v>
      </x:c>
      <x:c r="I452" t="str">
        <x:v>CIN</x:v>
      </x:c>
      <x:c r="J452" t="n">
        <x:v>62</x:v>
      </x:c>
      <x:c r="K452" t="str">
        <x:v>(4:38) (Shotgun) 6-J.Browning pass short middle to 89-D.Sample to MIN 46 for 16 yards (44-J.Metellus).</x:v>
      </x:c>
      <x:c r="L452" t="str">
        <x:v>pass</x:v>
      </x:c>
      <x:c r="M452" t="n">
        <x:v>16</x:v>
      </x:c>
      <x:c r="N452" t="n">
        <x:v>1</x:v>
      </x:c>
      <x:c r="O452" t="n">
        <x:v>0</x:v>
      </x:c>
      <x:c r="P452" t="str">
        <x:v>short</x:v>
      </x:c>
      <x:c r="Q452" t="str">
        <x:v>middle</x:v>
      </x:c>
      <x:c r="R452" t="n">
        <x:v>4</x:v>
      </x:c>
      <x:c r="S452" t="n">
        <x:v>12</x:v>
      </x:c>
      <x:c r="T452"/>
      <x:c r="U452"/>
      <x:c r="V452" t="n">
        <x:v>1</x:v>
      </x:c>
      <x:c r="W452" t="n">
        <x:v>1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/>
      <x:c r="AC452" t="n">
        <x:v>0</x:v>
      </x:c>
      <x:c r="AD452" t="n">
        <x:v>1.8590934399981052</x:v>
      </x:c>
      <x:c r="AE452" t="n">
        <x:v>1</x:v>
      </x:c>
      <x:c r="AF452" t="n">
        <x:v>-0.000030333263566717505</x:v>
      </x:c>
      <x:c r="AG452" t="n">
        <x:f>_xlfn.XLOOKUP($A452,Games!$A$2:$A$18,Games!$B$2:$B$18,"Missing game",0)</x:f>
        <x:v>2025</x:v>
      </x:c>
      <x:c r="AH452" t="str">
        <x:f>_xlfn.XLOOKUP($A452,Games!$A$2:$A$18,Games!$C$2:$C$18,"Missing game",0)</x:f>
        <x:v>REG</x:v>
      </x:c>
      <x:c r="AI452" t="n">
        <x:f>_xlfn.XLOOKUP($A452,Games!$A$2:$A$18,Games!$D$2:$D$18,"Missing game",0)</x:f>
        <x:v>3</x:v>
      </x:c>
      <x:c r="AJ452" s="1" t="n">
        <x:f>_xlfn.XLOOKUP($A452,Games!$A$2:$A$18,Games!$E$2:$E$18,"Missing game",0)</x:f>
        <x:v>45921</x:v>
      </x:c>
      <x:c r="AK452" t="str">
        <x:f>_xlfn.XLOOKUP($A452,Games!$A$2:$A$18,Games!$F$2:$F$18,"Missing game",0)</x:f>
        <x:v>Sunday</x:v>
      </x:c>
      <x:c r="AL452" t="str">
        <x:f>_xlfn.XLOOKUP($A452,Games!$A$2:$A$18,Games!$G$2:$G$18,"Missing game",0)</x:f>
        <x:v>CIN</x:v>
      </x:c>
      <x:c r="AM452" t="n">
        <x:f>_xlfn.XLOOKUP($A452,Games!$A$2:$A$18,Games!$H$2:$H$18,"Missing game",0)</x:f>
        <x:v>10</x:v>
      </x:c>
      <x:c r="AN452" t="str">
        <x:f>_xlfn.XLOOKUP($A452,Games!$A$2:$A$18,Games!$I$2:$I$18,"Missing game",0)</x:f>
        <x:v>MIN</x:v>
      </x:c>
      <x:c r="AO452" t="n">
        <x:f>_xlfn.XLOOKUP($A452,Games!$A$2:$A$18,Games!$J$2:$J$18,"Missing game",0)</x:f>
        <x:v>48</x:v>
      </x:c>
      <x:c r="AP452" t="n">
        <x:f>_xlfn.XLOOKUP($A452,Games!$A$2:$A$18,Games!$K$2:$K$18,"Missing game",0)</x:f>
        <x:v>38</x:v>
      </x:c>
      <x:c r="AQ452" t="n">
        <x:f>_xlfn.XLOOKUP($A452,Games!$A$2:$A$18,Games!$L$2:$L$18,"Missing game",0)</x:f>
        <x:v>58</x:v>
      </x:c>
      <x:c r="AR452" t="n">
        <x:f>_xlfn.XLOOKUP($A452,Games!$A$2:$A$18,Games!$M$2:$M$18,"Missing game",0)</x:f>
        <x:v>0</x:v>
      </x:c>
      <x:c r="AS452" t="str">
        <x:f>_xlfn.XLOOKUP($A452,Games!$A$2:$A$18,Games!$N$2:$N$18,"Missing game",0)</x:f>
        <x:v>dome</x:v>
      </x:c>
      <x:c r="AT452" t="str">
        <x:f>_xlfn.XLOOKUP($A452,Games!$A$2:$A$18,Games!$O$2:$O$18,"Missing game",0)</x:f>
        <x:v>sportturf</x:v>
      </x:c>
      <x:c r="AU452" t="str">
        <x:f>_xlfn.XLOOKUP($A452,Games!$A$2:$A$18,Games!$P$2:$P$18,"Missing game",0)</x:f>
      </x:c>
      <x:c r="AV452" t="str">
        <x:f>_xlfn.XLOOKUP($A452,Games!$A$2:$A$18,Games!$Q$2:$Q$18,"Missing game",0)</x:f>
      </x:c>
      <x:c r="AW452" t="str">
        <x:f>_xlfn.XLOOKUP($A452,Games!$A$2:$A$18,Games!$R$2:$R$18,"Missing game",0)</x:f>
        <x:v>U.S. Bank Stadium</x:v>
      </x:c>
    </x:row>
    <x:row r="453">
      <x:c r="A453" t="str">
        <x:v>2025_03_CIN_MIN</x:v>
      </x:c>
      <x:c r="B453" t="n">
        <x:v>3065</x:v>
      </x:c>
      <x:c r="C453" t="n">
        <x:v>3</x:v>
      </x:c>
      <x:c r="D453" t="str">
        <x:v>03:59</x:v>
      </x:c>
      <x:c r="E453" t="n">
        <x:v>1</x:v>
      </x:c>
      <x:c r="F453" t="n">
        <x:v>10</x:v>
      </x:c>
      <x:c r="G453" t="str">
        <x:v>CIN</x:v>
      </x:c>
      <x:c r="H453" t="str">
        <x:v>MIN</x:v>
      </x:c>
      <x:c r="I453" t="str">
        <x:v>MIN</x:v>
      </x:c>
      <x:c r="J453" t="n">
        <x:v>46</x:v>
      </x:c>
      <x:c r="K453" t="str">
        <x:v>(3:59) 6-J.Browning pass incomplete short left to 82-M.Tinsley.</x:v>
      </x:c>
      <x:c r="L453" t="str">
        <x:v>pass</x:v>
      </x:c>
      <x:c r="M453" t="n">
        <x:v>0</x:v>
      </x:c>
      <x:c r="N453" t="n">
        <x:v>0</x:v>
      </x:c>
      <x:c r="O453" t="n">
        <x:v>0</x:v>
      </x:c>
      <x:c r="P453" t="str">
        <x:v>short</x:v>
      </x:c>
      <x:c r="Q453" t="str">
        <x:v>left</x:v>
      </x:c>
      <x:c r="R453" t="n">
        <x:v>0</x:v>
      </x:c>
      <x:c r="S453"/>
      <x:c r="T453"/>
      <x:c r="U453"/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/>
      <x:c r="AC453" t="n">
        <x:v>0</x:v>
      </x:c>
      <x:c r="AD453" t="n">
        <x:v>-0.547401865478605</x:v>
      </x:c>
      <x:c r="AE453" t="n">
        <x:v>0</x:v>
      </x:c>
      <x:c r="AF453" t="n">
        <x:v>0.000012483680620789528</x:v>
      </x:c>
      <x:c r="AG453" t="n">
        <x:f>_xlfn.XLOOKUP($A453,Games!$A$2:$A$18,Games!$B$2:$B$18,"Missing game",0)</x:f>
        <x:v>2025</x:v>
      </x:c>
      <x:c r="AH453" t="str">
        <x:f>_xlfn.XLOOKUP($A453,Games!$A$2:$A$18,Games!$C$2:$C$18,"Missing game",0)</x:f>
        <x:v>REG</x:v>
      </x:c>
      <x:c r="AI453" t="n">
        <x:f>_xlfn.XLOOKUP($A453,Games!$A$2:$A$18,Games!$D$2:$D$18,"Missing game",0)</x:f>
        <x:v>3</x:v>
      </x:c>
      <x:c r="AJ453" s="1" t="n">
        <x:f>_xlfn.XLOOKUP($A453,Games!$A$2:$A$18,Games!$E$2:$E$18,"Missing game",0)</x:f>
        <x:v>45921</x:v>
      </x:c>
      <x:c r="AK453" t="str">
        <x:f>_xlfn.XLOOKUP($A453,Games!$A$2:$A$18,Games!$F$2:$F$18,"Missing game",0)</x:f>
        <x:v>Sunday</x:v>
      </x:c>
      <x:c r="AL453" t="str">
        <x:f>_xlfn.XLOOKUP($A453,Games!$A$2:$A$18,Games!$G$2:$G$18,"Missing game",0)</x:f>
        <x:v>CIN</x:v>
      </x:c>
      <x:c r="AM453" t="n">
        <x:f>_xlfn.XLOOKUP($A453,Games!$A$2:$A$18,Games!$H$2:$H$18,"Missing game",0)</x:f>
        <x:v>10</x:v>
      </x:c>
      <x:c r="AN453" t="str">
        <x:f>_xlfn.XLOOKUP($A453,Games!$A$2:$A$18,Games!$I$2:$I$18,"Missing game",0)</x:f>
        <x:v>MIN</x:v>
      </x:c>
      <x:c r="AO453" t="n">
        <x:f>_xlfn.XLOOKUP($A453,Games!$A$2:$A$18,Games!$J$2:$J$18,"Missing game",0)</x:f>
        <x:v>48</x:v>
      </x:c>
      <x:c r="AP453" t="n">
        <x:f>_xlfn.XLOOKUP($A453,Games!$A$2:$A$18,Games!$K$2:$K$18,"Missing game",0)</x:f>
        <x:v>38</x:v>
      </x:c>
      <x:c r="AQ453" t="n">
        <x:f>_xlfn.XLOOKUP($A453,Games!$A$2:$A$18,Games!$L$2:$L$18,"Missing game",0)</x:f>
        <x:v>58</x:v>
      </x:c>
      <x:c r="AR453" t="n">
        <x:f>_xlfn.XLOOKUP($A453,Games!$A$2:$A$18,Games!$M$2:$M$18,"Missing game",0)</x:f>
        <x:v>0</x:v>
      </x:c>
      <x:c r="AS453" t="str">
        <x:f>_xlfn.XLOOKUP($A453,Games!$A$2:$A$18,Games!$N$2:$N$18,"Missing game",0)</x:f>
        <x:v>dome</x:v>
      </x:c>
      <x:c r="AT453" t="str">
        <x:f>_xlfn.XLOOKUP($A453,Games!$A$2:$A$18,Games!$O$2:$O$18,"Missing game",0)</x:f>
        <x:v>sportturf</x:v>
      </x:c>
      <x:c r="AU453" t="str">
        <x:f>_xlfn.XLOOKUP($A453,Games!$A$2:$A$18,Games!$P$2:$P$18,"Missing game",0)</x:f>
      </x:c>
      <x:c r="AV453" t="str">
        <x:f>_xlfn.XLOOKUP($A453,Games!$A$2:$A$18,Games!$Q$2:$Q$18,"Missing game",0)</x:f>
      </x:c>
      <x:c r="AW453" t="str">
        <x:f>_xlfn.XLOOKUP($A453,Games!$A$2:$A$18,Games!$R$2:$R$18,"Missing game",0)</x:f>
        <x:v>U.S. Bank Stadium</x:v>
      </x:c>
    </x:row>
    <x:row r="454">
      <x:c r="A454" t="str">
        <x:v>2025_03_CIN_MIN</x:v>
      </x:c>
      <x:c r="B454" t="n">
        <x:v>3088</x:v>
      </x:c>
      <x:c r="C454" t="n">
        <x:v>3</x:v>
      </x:c>
      <x:c r="D454" t="str">
        <x:v>03:55</x:v>
      </x:c>
      <x:c r="E454" t="n">
        <x:v>2</x:v>
      </x:c>
      <x:c r="F454" t="n">
        <x:v>10</x:v>
      </x:c>
      <x:c r="G454" t="str">
        <x:v>CIN</x:v>
      </x:c>
      <x:c r="H454" t="str">
        <x:v>MIN</x:v>
      </x:c>
      <x:c r="I454" t="str">
        <x:v>MIN</x:v>
      </x:c>
      <x:c r="J454" t="n">
        <x:v>46</x:v>
      </x:c>
      <x:c r="K454" t="str">
        <x:v>(3:55) (Shotgun) 6-J.Browning pass short middle intended for 88-M.Gesicki INTERCEPTED by 44-J.Metellus at MIN 32. 44-J.Metellus to MIN 32 for no gain (88-M.Gesicki).</x:v>
      </x:c>
      <x:c r="L454" t="str">
        <x:v>pass</x:v>
      </x:c>
      <x:c r="M454" t="n">
        <x:v>0</x:v>
      </x:c>
      <x:c r="N454" t="n">
        <x:v>1</x:v>
      </x:c>
      <x:c r="O454" t="n">
        <x:v>0</x:v>
      </x:c>
      <x:c r="P454" t="str">
        <x:v>short</x:v>
      </x:c>
      <x:c r="Q454" t="str">
        <x:v>middle</x:v>
      </x:c>
      <x:c r="R454" t="n">
        <x:v>14</x:v>
      </x:c>
      <x:c r="S454"/>
      <x:c r="T454"/>
      <x:c r="U454"/>
      <x:c r="V454" t="n">
        <x:v>0</x:v>
      </x:c>
      <x:c r="W454" t="n">
        <x:v>0</x:v>
      </x:c>
      <x:c r="X454" t="n">
        <x:v>0</x:v>
      </x:c>
      <x:c r="Y454" t="n">
        <x:v>1</x:v>
      </x:c>
      <x:c r="Z454" t="n">
        <x:v>0</x:v>
      </x:c>
      <x:c r="AA454" t="n">
        <x:v>0</x:v>
      </x:c>
      <x:c r="AB454"/>
      <x:c r="AC454" t="n">
        <x:v>0</x:v>
      </x:c>
      <x:c r="AD454" t="n">
        <x:v>-4.511247082613409</x:v>
      </x:c>
      <x:c r="AE454" t="n">
        <x:v>0</x:v>
      </x:c>
      <x:c r="AF454" t="n">
        <x:v>-0.00031696719815954566</x:v>
      </x:c>
      <x:c r="AG454" t="n">
        <x:f>_xlfn.XLOOKUP($A454,Games!$A$2:$A$18,Games!$B$2:$B$18,"Missing game",0)</x:f>
        <x:v>2025</x:v>
      </x:c>
      <x:c r="AH454" t="str">
        <x:f>_xlfn.XLOOKUP($A454,Games!$A$2:$A$18,Games!$C$2:$C$18,"Missing game",0)</x:f>
        <x:v>REG</x:v>
      </x:c>
      <x:c r="AI454" t="n">
        <x:f>_xlfn.XLOOKUP($A454,Games!$A$2:$A$18,Games!$D$2:$D$18,"Missing game",0)</x:f>
        <x:v>3</x:v>
      </x:c>
      <x:c r="AJ454" s="1" t="n">
        <x:f>_xlfn.XLOOKUP($A454,Games!$A$2:$A$18,Games!$E$2:$E$18,"Missing game",0)</x:f>
        <x:v>45921</x:v>
      </x:c>
      <x:c r="AK454" t="str">
        <x:f>_xlfn.XLOOKUP($A454,Games!$A$2:$A$18,Games!$F$2:$F$18,"Missing game",0)</x:f>
        <x:v>Sunday</x:v>
      </x:c>
      <x:c r="AL454" t="str">
        <x:f>_xlfn.XLOOKUP($A454,Games!$A$2:$A$18,Games!$G$2:$G$18,"Missing game",0)</x:f>
        <x:v>CIN</x:v>
      </x:c>
      <x:c r="AM454" t="n">
        <x:f>_xlfn.XLOOKUP($A454,Games!$A$2:$A$18,Games!$H$2:$H$18,"Missing game",0)</x:f>
        <x:v>10</x:v>
      </x:c>
      <x:c r="AN454" t="str">
        <x:f>_xlfn.XLOOKUP($A454,Games!$A$2:$A$18,Games!$I$2:$I$18,"Missing game",0)</x:f>
        <x:v>MIN</x:v>
      </x:c>
      <x:c r="AO454" t="n">
        <x:f>_xlfn.XLOOKUP($A454,Games!$A$2:$A$18,Games!$J$2:$J$18,"Missing game",0)</x:f>
        <x:v>48</x:v>
      </x:c>
      <x:c r="AP454" t="n">
        <x:f>_xlfn.XLOOKUP($A454,Games!$A$2:$A$18,Games!$K$2:$K$18,"Missing game",0)</x:f>
        <x:v>38</x:v>
      </x:c>
      <x:c r="AQ454" t="n">
        <x:f>_xlfn.XLOOKUP($A454,Games!$A$2:$A$18,Games!$L$2:$L$18,"Missing game",0)</x:f>
        <x:v>58</x:v>
      </x:c>
      <x:c r="AR454" t="n">
        <x:f>_xlfn.XLOOKUP($A454,Games!$A$2:$A$18,Games!$M$2:$M$18,"Missing game",0)</x:f>
        <x:v>0</x:v>
      </x:c>
      <x:c r="AS454" t="str">
        <x:f>_xlfn.XLOOKUP($A454,Games!$A$2:$A$18,Games!$N$2:$N$18,"Missing game",0)</x:f>
        <x:v>dome</x:v>
      </x:c>
      <x:c r="AT454" t="str">
        <x:f>_xlfn.XLOOKUP($A454,Games!$A$2:$A$18,Games!$O$2:$O$18,"Missing game",0)</x:f>
        <x:v>sportturf</x:v>
      </x:c>
      <x:c r="AU454" t="str">
        <x:f>_xlfn.XLOOKUP($A454,Games!$A$2:$A$18,Games!$P$2:$P$18,"Missing game",0)</x:f>
      </x:c>
      <x:c r="AV454" t="str">
        <x:f>_xlfn.XLOOKUP($A454,Games!$A$2:$A$18,Games!$Q$2:$Q$18,"Missing game",0)</x:f>
      </x:c>
      <x:c r="AW454" t="str">
        <x:f>_xlfn.XLOOKUP($A454,Games!$A$2:$A$18,Games!$R$2:$R$18,"Missing game",0)</x:f>
        <x:v>U.S. Bank Stadium</x:v>
      </x:c>
    </x:row>
    <x:row r="455">
      <x:c r="A455" t="str">
        <x:v>2025_03_CIN_MIN</x:v>
      </x:c>
      <x:c r="B455" t="n">
        <x:v>3115</x:v>
      </x:c>
      <x:c r="C455" t="n">
        <x:v>3</x:v>
      </x:c>
      <x:c r="D455" t="str">
        <x:v>03:49</x:v>
      </x:c>
      <x:c r="E455" t="n">
        <x:v>1</x:v>
      </x:c>
      <x:c r="F455" t="n">
        <x:v>10</x:v>
      </x:c>
      <x:c r="G455" t="str">
        <x:v>MIN</x:v>
      </x:c>
      <x:c r="H455" t="str">
        <x:v>CIN</x:v>
      </x:c>
      <x:c r="I455" t="str">
        <x:v>MIN</x:v>
      </x:c>
      <x:c r="J455" t="n">
        <x:v>68</x:v>
      </x:c>
      <x:c r="K455" t="str">
        <x:v>(3:49) 27-J.Mason left end pushed ob at CIN 44 for 24 yards (22-G.Stone). ** Injury Update: MIN-74-D.Jackson has returned to the game.</x:v>
      </x:c>
      <x:c r="L455" t="str">
        <x:v>run</x:v>
      </x:c>
      <x:c r="M455" t="n">
        <x:v>24</x:v>
      </x:c>
      <x:c r="N455" t="n">
        <x:v>0</x:v>
      </x:c>
      <x:c r="O455" t="n">
        <x:v>0</x:v>
      </x:c>
      <x:c r="P455"/>
      <x:c r="Q455"/>
      <x:c r="R455"/>
      <x:c r="S455"/>
      <x:c r="T455" t="str">
        <x:v>left</x:v>
      </x:c>
      <x:c r="U455" t="str">
        <x:v>end</x:v>
      </x:c>
      <x:c r="V455" t="n">
        <x:v>0</x:v>
      </x:c>
      <x:c r="W455" t="n">
        <x:v>1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/>
      <x:c r="AC455" t="n">
        <x:v>0</x:v>
      </x:c>
      <x:c r="AD455" t="n">
        <x:v>1.2772430994082242</x:v>
      </x:c>
      <x:c r="AE455" t="n">
        <x:v>1</x:v>
      </x:c>
      <x:c r="AF455" t="n">
        <x:v>0</x:v>
      </x:c>
      <x:c r="AG455" t="n">
        <x:f>_xlfn.XLOOKUP($A455,Games!$A$2:$A$18,Games!$B$2:$B$18,"Missing game",0)</x:f>
        <x:v>2025</x:v>
      </x:c>
      <x:c r="AH455" t="str">
        <x:f>_xlfn.XLOOKUP($A455,Games!$A$2:$A$18,Games!$C$2:$C$18,"Missing game",0)</x:f>
        <x:v>REG</x:v>
      </x:c>
      <x:c r="AI455" t="n">
        <x:f>_xlfn.XLOOKUP($A455,Games!$A$2:$A$18,Games!$D$2:$D$18,"Missing game",0)</x:f>
        <x:v>3</x:v>
      </x:c>
      <x:c r="AJ455" s="1" t="n">
        <x:f>_xlfn.XLOOKUP($A455,Games!$A$2:$A$18,Games!$E$2:$E$18,"Missing game",0)</x:f>
        <x:v>45921</x:v>
      </x:c>
      <x:c r="AK455" t="str">
        <x:f>_xlfn.XLOOKUP($A455,Games!$A$2:$A$18,Games!$F$2:$F$18,"Missing game",0)</x:f>
        <x:v>Sunday</x:v>
      </x:c>
      <x:c r="AL455" t="str">
        <x:f>_xlfn.XLOOKUP($A455,Games!$A$2:$A$18,Games!$G$2:$G$18,"Missing game",0)</x:f>
        <x:v>CIN</x:v>
      </x:c>
      <x:c r="AM455" t="n">
        <x:f>_xlfn.XLOOKUP($A455,Games!$A$2:$A$18,Games!$H$2:$H$18,"Missing game",0)</x:f>
        <x:v>10</x:v>
      </x:c>
      <x:c r="AN455" t="str">
        <x:f>_xlfn.XLOOKUP($A455,Games!$A$2:$A$18,Games!$I$2:$I$18,"Missing game",0)</x:f>
        <x:v>MIN</x:v>
      </x:c>
      <x:c r="AO455" t="n">
        <x:f>_xlfn.XLOOKUP($A455,Games!$A$2:$A$18,Games!$J$2:$J$18,"Missing game",0)</x:f>
        <x:v>48</x:v>
      </x:c>
      <x:c r="AP455" t="n">
        <x:f>_xlfn.XLOOKUP($A455,Games!$A$2:$A$18,Games!$K$2:$K$18,"Missing game",0)</x:f>
        <x:v>38</x:v>
      </x:c>
      <x:c r="AQ455" t="n">
        <x:f>_xlfn.XLOOKUP($A455,Games!$A$2:$A$18,Games!$L$2:$L$18,"Missing game",0)</x:f>
        <x:v>58</x:v>
      </x:c>
      <x:c r="AR455" t="n">
        <x:f>_xlfn.XLOOKUP($A455,Games!$A$2:$A$18,Games!$M$2:$M$18,"Missing game",0)</x:f>
        <x:v>0</x:v>
      </x:c>
      <x:c r="AS455" t="str">
        <x:f>_xlfn.XLOOKUP($A455,Games!$A$2:$A$18,Games!$N$2:$N$18,"Missing game",0)</x:f>
        <x:v>dome</x:v>
      </x:c>
      <x:c r="AT455" t="str">
        <x:f>_xlfn.XLOOKUP($A455,Games!$A$2:$A$18,Games!$O$2:$O$18,"Missing game",0)</x:f>
        <x:v>sportturf</x:v>
      </x:c>
      <x:c r="AU455" t="str">
        <x:f>_xlfn.XLOOKUP($A455,Games!$A$2:$A$18,Games!$P$2:$P$18,"Missing game",0)</x:f>
      </x:c>
      <x:c r="AV455" t="str">
        <x:f>_xlfn.XLOOKUP($A455,Games!$A$2:$A$18,Games!$Q$2:$Q$18,"Missing game",0)</x:f>
      </x:c>
      <x:c r="AW455" t="str">
        <x:f>_xlfn.XLOOKUP($A455,Games!$A$2:$A$18,Games!$R$2:$R$18,"Missing game",0)</x:f>
        <x:v>U.S. Bank Stadium</x:v>
      </x:c>
    </x:row>
    <x:row r="456">
      <x:c r="A456" t="str">
        <x:v>2025_03_CIN_MIN</x:v>
      </x:c>
      <x:c r="B456" t="n">
        <x:v>3149</x:v>
      </x:c>
      <x:c r="C456" t="n">
        <x:v>3</x:v>
      </x:c>
      <x:c r="D456" t="str">
        <x:v>03:05</x:v>
      </x:c>
      <x:c r="E456" t="n">
        <x:v>1</x:v>
      </x:c>
      <x:c r="F456" t="n">
        <x:v>10</x:v>
      </x:c>
      <x:c r="G456" t="str">
        <x:v>MIN</x:v>
      </x:c>
      <x:c r="H456" t="str">
        <x:v>CIN</x:v>
      </x:c>
      <x:c r="I456" t="str">
        <x:v>CIN</x:v>
      </x:c>
      <x:c r="J456" t="n">
        <x:v>44</x:v>
      </x:c>
      <x:c r="K456" t="str">
        <x:v>(3:05) 11-C.Wentz pass deep right to 1-J.Nailor to CIN 22 for 22 yards (20-D.Turner).</x:v>
      </x:c>
      <x:c r="L456" t="str">
        <x:v>pass</x:v>
      </x:c>
      <x:c r="M456" t="n">
        <x:v>22</x:v>
      </x:c>
      <x:c r="N456" t="n">
        <x:v>0</x:v>
      </x:c>
      <x:c r="O456" t="n">
        <x:v>0</x:v>
      </x:c>
      <x:c r="P456" t="str">
        <x:v>deep</x:v>
      </x:c>
      <x:c r="Q456" t="str">
        <x:v>right</x:v>
      </x:c>
      <x:c r="R456" t="n">
        <x:v>17</x:v>
      </x:c>
      <x:c r="S456" t="n">
        <x:v>5</x:v>
      </x:c>
      <x:c r="T456"/>
      <x:c r="U456"/>
      <x:c r="V456" t="n">
        <x:v>1</x:v>
      </x:c>
      <x:c r="W456" t="n">
        <x:v>1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/>
      <x:c r="AC456" t="n">
        <x:v>0</x:v>
      </x:c>
      <x:c r="AD456" t="n">
        <x:v>1.5212030299007893</x:v>
      </x:c>
      <x:c r="AE456" t="n">
        <x:v>1</x:v>
      </x:c>
      <x:c r="AF456" t="n">
        <x:v>0.000018358230590820312</x:v>
      </x:c>
      <x:c r="AG456" t="n">
        <x:f>_xlfn.XLOOKUP($A456,Games!$A$2:$A$18,Games!$B$2:$B$18,"Missing game",0)</x:f>
        <x:v>2025</x:v>
      </x:c>
      <x:c r="AH456" t="str">
        <x:f>_xlfn.XLOOKUP($A456,Games!$A$2:$A$18,Games!$C$2:$C$18,"Missing game",0)</x:f>
        <x:v>REG</x:v>
      </x:c>
      <x:c r="AI456" t="n">
        <x:f>_xlfn.XLOOKUP($A456,Games!$A$2:$A$18,Games!$D$2:$D$18,"Missing game",0)</x:f>
        <x:v>3</x:v>
      </x:c>
      <x:c r="AJ456" s="1" t="n">
        <x:f>_xlfn.XLOOKUP($A456,Games!$A$2:$A$18,Games!$E$2:$E$18,"Missing game",0)</x:f>
        <x:v>45921</x:v>
      </x:c>
      <x:c r="AK456" t="str">
        <x:f>_xlfn.XLOOKUP($A456,Games!$A$2:$A$18,Games!$F$2:$F$18,"Missing game",0)</x:f>
        <x:v>Sunday</x:v>
      </x:c>
      <x:c r="AL456" t="str">
        <x:f>_xlfn.XLOOKUP($A456,Games!$A$2:$A$18,Games!$G$2:$G$18,"Missing game",0)</x:f>
        <x:v>CIN</x:v>
      </x:c>
      <x:c r="AM456" t="n">
        <x:f>_xlfn.XLOOKUP($A456,Games!$A$2:$A$18,Games!$H$2:$H$18,"Missing game",0)</x:f>
        <x:v>10</x:v>
      </x:c>
      <x:c r="AN456" t="str">
        <x:f>_xlfn.XLOOKUP($A456,Games!$A$2:$A$18,Games!$I$2:$I$18,"Missing game",0)</x:f>
        <x:v>MIN</x:v>
      </x:c>
      <x:c r="AO456" t="n">
        <x:f>_xlfn.XLOOKUP($A456,Games!$A$2:$A$18,Games!$J$2:$J$18,"Missing game",0)</x:f>
        <x:v>48</x:v>
      </x:c>
      <x:c r="AP456" t="n">
        <x:f>_xlfn.XLOOKUP($A456,Games!$A$2:$A$18,Games!$K$2:$K$18,"Missing game",0)</x:f>
        <x:v>38</x:v>
      </x:c>
      <x:c r="AQ456" t="n">
        <x:f>_xlfn.XLOOKUP($A456,Games!$A$2:$A$18,Games!$L$2:$L$18,"Missing game",0)</x:f>
        <x:v>58</x:v>
      </x:c>
      <x:c r="AR456" t="n">
        <x:f>_xlfn.XLOOKUP($A456,Games!$A$2:$A$18,Games!$M$2:$M$18,"Missing game",0)</x:f>
        <x:v>0</x:v>
      </x:c>
      <x:c r="AS456" t="str">
        <x:f>_xlfn.XLOOKUP($A456,Games!$A$2:$A$18,Games!$N$2:$N$18,"Missing game",0)</x:f>
        <x:v>dome</x:v>
      </x:c>
      <x:c r="AT456" t="str">
        <x:f>_xlfn.XLOOKUP($A456,Games!$A$2:$A$18,Games!$O$2:$O$18,"Missing game",0)</x:f>
        <x:v>sportturf</x:v>
      </x:c>
      <x:c r="AU456" t="str">
        <x:f>_xlfn.XLOOKUP($A456,Games!$A$2:$A$18,Games!$P$2:$P$18,"Missing game",0)</x:f>
      </x:c>
      <x:c r="AV456" t="str">
        <x:f>_xlfn.XLOOKUP($A456,Games!$A$2:$A$18,Games!$Q$2:$Q$18,"Missing game",0)</x:f>
      </x:c>
      <x:c r="AW456" t="str">
        <x:f>_xlfn.XLOOKUP($A456,Games!$A$2:$A$18,Games!$R$2:$R$18,"Missing game",0)</x:f>
        <x:v>U.S. Bank Stadium</x:v>
      </x:c>
    </x:row>
    <x:row r="457">
      <x:c r="A457" t="str">
        <x:v>2025_03_CIN_MIN</x:v>
      </x:c>
      <x:c r="B457" t="n">
        <x:v>3174</x:v>
      </x:c>
      <x:c r="C457" t="n">
        <x:v>3</x:v>
      </x:c>
      <x:c r="D457" t="str">
        <x:v>02:26</x:v>
      </x:c>
      <x:c r="E457" t="n">
        <x:v>1</x:v>
      </x:c>
      <x:c r="F457" t="n">
        <x:v>10</x:v>
      </x:c>
      <x:c r="G457" t="str">
        <x:v>MIN</x:v>
      </x:c>
      <x:c r="H457" t="str">
        <x:v>CIN</x:v>
      </x:c>
      <x:c r="I457" t="str">
        <x:v>CIN</x:v>
      </x:c>
      <x:c r="J457" t="n">
        <x:v>22</x:v>
      </x:c>
      <x:c r="K457" t="str">
        <x:v>(2:26) 27-J.Mason right end to CIN 9 for 13 yards (27-J.Battle).</x:v>
      </x:c>
      <x:c r="L457" t="str">
        <x:v>run</x:v>
      </x:c>
      <x:c r="M457" t="n">
        <x:v>13</x:v>
      </x:c>
      <x:c r="N457" t="n">
        <x:v>0</x:v>
      </x:c>
      <x:c r="O457" t="n">
        <x:v>0</x:v>
      </x:c>
      <x:c r="P457"/>
      <x:c r="Q457"/>
      <x:c r="R457"/>
      <x:c r="S457"/>
      <x:c r="T457" t="str">
        <x:v>right</x:v>
      </x:c>
      <x:c r="U457" t="str">
        <x:v>end</x:v>
      </x:c>
      <x:c r="V457" t="n">
        <x:v>0</x:v>
      </x:c>
      <x:c r="W457" t="n">
        <x:v>1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/>
      <x:c r="AC457" t="n">
        <x:v>0</x:v>
      </x:c>
      <x:c r="AD457" t="n">
        <x:v>0.5728571850340813</x:v>
      </x:c>
      <x:c r="AE457" t="n">
        <x:v>1</x:v>
      </x:c>
      <x:c r="AF457" t="n">
        <x:v>-0.000012874603271484375</x:v>
      </x:c>
      <x:c r="AG457" t="n">
        <x:f>_xlfn.XLOOKUP($A457,Games!$A$2:$A$18,Games!$B$2:$B$18,"Missing game",0)</x:f>
        <x:v>2025</x:v>
      </x:c>
      <x:c r="AH457" t="str">
        <x:f>_xlfn.XLOOKUP($A457,Games!$A$2:$A$18,Games!$C$2:$C$18,"Missing game",0)</x:f>
        <x:v>REG</x:v>
      </x:c>
      <x:c r="AI457" t="n">
        <x:f>_xlfn.XLOOKUP($A457,Games!$A$2:$A$18,Games!$D$2:$D$18,"Missing game",0)</x:f>
        <x:v>3</x:v>
      </x:c>
      <x:c r="AJ457" s="1" t="n">
        <x:f>_xlfn.XLOOKUP($A457,Games!$A$2:$A$18,Games!$E$2:$E$18,"Missing game",0)</x:f>
        <x:v>45921</x:v>
      </x:c>
      <x:c r="AK457" t="str">
        <x:f>_xlfn.XLOOKUP($A457,Games!$A$2:$A$18,Games!$F$2:$F$18,"Missing game",0)</x:f>
        <x:v>Sunday</x:v>
      </x:c>
      <x:c r="AL457" t="str">
        <x:f>_xlfn.XLOOKUP($A457,Games!$A$2:$A$18,Games!$G$2:$G$18,"Missing game",0)</x:f>
        <x:v>CIN</x:v>
      </x:c>
      <x:c r="AM457" t="n">
        <x:f>_xlfn.XLOOKUP($A457,Games!$A$2:$A$18,Games!$H$2:$H$18,"Missing game",0)</x:f>
        <x:v>10</x:v>
      </x:c>
      <x:c r="AN457" t="str">
        <x:f>_xlfn.XLOOKUP($A457,Games!$A$2:$A$18,Games!$I$2:$I$18,"Missing game",0)</x:f>
        <x:v>MIN</x:v>
      </x:c>
      <x:c r="AO457" t="n">
        <x:f>_xlfn.XLOOKUP($A457,Games!$A$2:$A$18,Games!$J$2:$J$18,"Missing game",0)</x:f>
        <x:v>48</x:v>
      </x:c>
      <x:c r="AP457" t="n">
        <x:f>_xlfn.XLOOKUP($A457,Games!$A$2:$A$18,Games!$K$2:$K$18,"Missing game",0)</x:f>
        <x:v>38</x:v>
      </x:c>
      <x:c r="AQ457" t="n">
        <x:f>_xlfn.XLOOKUP($A457,Games!$A$2:$A$18,Games!$L$2:$L$18,"Missing game",0)</x:f>
        <x:v>58</x:v>
      </x:c>
      <x:c r="AR457" t="n">
        <x:f>_xlfn.XLOOKUP($A457,Games!$A$2:$A$18,Games!$M$2:$M$18,"Missing game",0)</x:f>
        <x:v>0</x:v>
      </x:c>
      <x:c r="AS457" t="str">
        <x:f>_xlfn.XLOOKUP($A457,Games!$A$2:$A$18,Games!$N$2:$N$18,"Missing game",0)</x:f>
        <x:v>dome</x:v>
      </x:c>
      <x:c r="AT457" t="str">
        <x:f>_xlfn.XLOOKUP($A457,Games!$A$2:$A$18,Games!$O$2:$O$18,"Missing game",0)</x:f>
        <x:v>sportturf</x:v>
      </x:c>
      <x:c r="AU457" t="str">
        <x:f>_xlfn.XLOOKUP($A457,Games!$A$2:$A$18,Games!$P$2:$P$18,"Missing game",0)</x:f>
      </x:c>
      <x:c r="AV457" t="str">
        <x:f>_xlfn.XLOOKUP($A457,Games!$A$2:$A$18,Games!$Q$2:$Q$18,"Missing game",0)</x:f>
      </x:c>
      <x:c r="AW457" t="str">
        <x:f>_xlfn.XLOOKUP($A457,Games!$A$2:$A$18,Games!$R$2:$R$18,"Missing game",0)</x:f>
        <x:v>U.S. Bank Stadium</x:v>
      </x:c>
    </x:row>
    <x:row r="458">
      <x:c r="A458" t="str">
        <x:v>2025_03_CIN_MIN</x:v>
      </x:c>
      <x:c r="B458" t="n">
        <x:v>3196</x:v>
      </x:c>
      <x:c r="C458" t="n">
        <x:v>3</x:v>
      </x:c>
      <x:c r="D458" t="str">
        <x:v>01:43</x:v>
      </x:c>
      <x:c r="E458" t="n">
        <x:v>1</x:v>
      </x:c>
      <x:c r="F458" t="n">
        <x:v>9</x:v>
      </x:c>
      <x:c r="G458" t="str">
        <x:v>MIN</x:v>
      </x:c>
      <x:c r="H458" t="str">
        <x:v>CIN</x:v>
      </x:c>
      <x:c r="I458" t="str">
        <x:v>CIN</x:v>
      </x:c>
      <x:c r="J458" t="n">
        <x:v>9</x:v>
      </x:c>
      <x:c r="K458" t="str">
        <x:v>(1:43) 27-J.Mason right tackle to CIN 8 for 1 yard (49-B.Carter).</x:v>
      </x:c>
      <x:c r="L458" t="str">
        <x:v>run</x:v>
      </x:c>
      <x:c r="M458" t="n">
        <x:v>1</x:v>
      </x:c>
      <x:c r="N458" t="n">
        <x:v>0</x:v>
      </x:c>
      <x:c r="O458" t="n">
        <x:v>0</x:v>
      </x:c>
      <x:c r="P458"/>
      <x:c r="Q458"/>
      <x:c r="R458"/>
      <x:c r="S458"/>
      <x:c r="T458" t="str">
        <x:v>right</x:v>
      </x:c>
      <x:c r="U458" t="str">
        <x:v>tackle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/>
      <x:c r="AC458" t="n">
        <x:v>0</x:v>
      </x:c>
      <x:c r="AD458" t="n">
        <x:v>-0.42832217714749277</x:v>
      </x:c>
      <x:c r="AE458" t="n">
        <x:v>0</x:v>
      </x:c>
      <x:c r="AF458" t="n">
        <x:v>-0.00002014636993408203</x:v>
      </x:c>
      <x:c r="AG458" t="n">
        <x:f>_xlfn.XLOOKUP($A458,Games!$A$2:$A$18,Games!$B$2:$B$18,"Missing game",0)</x:f>
        <x:v>2025</x:v>
      </x:c>
      <x:c r="AH458" t="str">
        <x:f>_xlfn.XLOOKUP($A458,Games!$A$2:$A$18,Games!$C$2:$C$18,"Missing game",0)</x:f>
        <x:v>REG</x:v>
      </x:c>
      <x:c r="AI458" t="n">
        <x:f>_xlfn.XLOOKUP($A458,Games!$A$2:$A$18,Games!$D$2:$D$18,"Missing game",0)</x:f>
        <x:v>3</x:v>
      </x:c>
      <x:c r="AJ458" s="1" t="n">
        <x:f>_xlfn.XLOOKUP($A458,Games!$A$2:$A$18,Games!$E$2:$E$18,"Missing game",0)</x:f>
        <x:v>45921</x:v>
      </x:c>
      <x:c r="AK458" t="str">
        <x:f>_xlfn.XLOOKUP($A458,Games!$A$2:$A$18,Games!$F$2:$F$18,"Missing game",0)</x:f>
        <x:v>Sunday</x:v>
      </x:c>
      <x:c r="AL458" t="str">
        <x:f>_xlfn.XLOOKUP($A458,Games!$A$2:$A$18,Games!$G$2:$G$18,"Missing game",0)</x:f>
        <x:v>CIN</x:v>
      </x:c>
      <x:c r="AM458" t="n">
        <x:f>_xlfn.XLOOKUP($A458,Games!$A$2:$A$18,Games!$H$2:$H$18,"Missing game",0)</x:f>
        <x:v>10</x:v>
      </x:c>
      <x:c r="AN458" t="str">
        <x:f>_xlfn.XLOOKUP($A458,Games!$A$2:$A$18,Games!$I$2:$I$18,"Missing game",0)</x:f>
        <x:v>MIN</x:v>
      </x:c>
      <x:c r="AO458" t="n">
        <x:f>_xlfn.XLOOKUP($A458,Games!$A$2:$A$18,Games!$J$2:$J$18,"Missing game",0)</x:f>
        <x:v>48</x:v>
      </x:c>
      <x:c r="AP458" t="n">
        <x:f>_xlfn.XLOOKUP($A458,Games!$A$2:$A$18,Games!$K$2:$K$18,"Missing game",0)</x:f>
        <x:v>38</x:v>
      </x:c>
      <x:c r="AQ458" t="n">
        <x:f>_xlfn.XLOOKUP($A458,Games!$A$2:$A$18,Games!$L$2:$L$18,"Missing game",0)</x:f>
        <x:v>58</x:v>
      </x:c>
      <x:c r="AR458" t="n">
        <x:f>_xlfn.XLOOKUP($A458,Games!$A$2:$A$18,Games!$M$2:$M$18,"Missing game",0)</x:f>
        <x:v>0</x:v>
      </x:c>
      <x:c r="AS458" t="str">
        <x:f>_xlfn.XLOOKUP($A458,Games!$A$2:$A$18,Games!$N$2:$N$18,"Missing game",0)</x:f>
        <x:v>dome</x:v>
      </x:c>
      <x:c r="AT458" t="str">
        <x:f>_xlfn.XLOOKUP($A458,Games!$A$2:$A$18,Games!$O$2:$O$18,"Missing game",0)</x:f>
        <x:v>sportturf</x:v>
      </x:c>
      <x:c r="AU458" t="str">
        <x:f>_xlfn.XLOOKUP($A458,Games!$A$2:$A$18,Games!$P$2:$P$18,"Missing game",0)</x:f>
      </x:c>
      <x:c r="AV458" t="str">
        <x:f>_xlfn.XLOOKUP($A458,Games!$A$2:$A$18,Games!$Q$2:$Q$18,"Missing game",0)</x:f>
      </x:c>
      <x:c r="AW458" t="str">
        <x:f>_xlfn.XLOOKUP($A458,Games!$A$2:$A$18,Games!$R$2:$R$18,"Missing game",0)</x:f>
        <x:v>U.S. Bank Stadium</x:v>
      </x:c>
    </x:row>
    <x:row r="459">
      <x:c r="A459" t="str">
        <x:v>2025_03_CIN_MIN</x:v>
      </x:c>
      <x:c r="B459" t="n">
        <x:v>3221</x:v>
      </x:c>
      <x:c r="C459" t="n">
        <x:v>3</x:v>
      </x:c>
      <x:c r="D459" t="str">
        <x:v>01:02</x:v>
      </x:c>
      <x:c r="E459" t="n">
        <x:v>2</x:v>
      </x:c>
      <x:c r="F459" t="n">
        <x:v>8</x:v>
      </x:c>
      <x:c r="G459" t="str">
        <x:v>MIN</x:v>
      </x:c>
      <x:c r="H459" t="str">
        <x:v>CIN</x:v>
      </x:c>
      <x:c r="I459" t="str">
        <x:v>CIN</x:v>
      </x:c>
      <x:c r="J459" t="n">
        <x:v>8</x:v>
      </x:c>
      <x:c r="K459" t="str">
        <x:v>(1:02) 11-C.Wentz scrambles right tackle to CIN 5 for 3 yards (69-M.Pennel).</x:v>
      </x:c>
      <x:c r="L459" t="str">
        <x:v>run</x:v>
      </x:c>
      <x:c r="M459" t="n">
        <x:v>3</x:v>
      </x:c>
      <x:c r="N459" t="n">
        <x:v>0</x:v>
      </x:c>
      <x:c r="O459" t="n">
        <x:v>0</x:v>
      </x:c>
      <x:c r="P459"/>
      <x:c r="Q459"/>
      <x:c r="R459"/>
      <x:c r="S459"/>
      <x:c r="T459" t="str">
        <x:v>right</x:v>
      </x:c>
      <x:c r="U459" t="str">
        <x:v>tackle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/>
      <x:c r="AC459" t="n">
        <x:v>0</x:v>
      </x:c>
      <x:c r="AD459" t="n">
        <x:v>-0.5018228250555694</x:v>
      </x:c>
      <x:c r="AE459" t="n">
        <x:v>0</x:v>
      </x:c>
      <x:c r="AF459" t="n">
        <x:v>0.000001430511474609375</x:v>
      </x:c>
      <x:c r="AG459" t="n">
        <x:f>_xlfn.XLOOKUP($A459,Games!$A$2:$A$18,Games!$B$2:$B$18,"Missing game",0)</x:f>
        <x:v>2025</x:v>
      </x:c>
      <x:c r="AH459" t="str">
        <x:f>_xlfn.XLOOKUP($A459,Games!$A$2:$A$18,Games!$C$2:$C$18,"Missing game",0)</x:f>
        <x:v>REG</x:v>
      </x:c>
      <x:c r="AI459" t="n">
        <x:f>_xlfn.XLOOKUP($A459,Games!$A$2:$A$18,Games!$D$2:$D$18,"Missing game",0)</x:f>
        <x:v>3</x:v>
      </x:c>
      <x:c r="AJ459" s="1" t="n">
        <x:f>_xlfn.XLOOKUP($A459,Games!$A$2:$A$18,Games!$E$2:$E$18,"Missing game",0)</x:f>
        <x:v>45921</x:v>
      </x:c>
      <x:c r="AK459" t="str">
        <x:f>_xlfn.XLOOKUP($A459,Games!$A$2:$A$18,Games!$F$2:$F$18,"Missing game",0)</x:f>
        <x:v>Sunday</x:v>
      </x:c>
      <x:c r="AL459" t="str">
        <x:f>_xlfn.XLOOKUP($A459,Games!$A$2:$A$18,Games!$G$2:$G$18,"Missing game",0)</x:f>
        <x:v>CIN</x:v>
      </x:c>
      <x:c r="AM459" t="n">
        <x:f>_xlfn.XLOOKUP($A459,Games!$A$2:$A$18,Games!$H$2:$H$18,"Missing game",0)</x:f>
        <x:v>10</x:v>
      </x:c>
      <x:c r="AN459" t="str">
        <x:f>_xlfn.XLOOKUP($A459,Games!$A$2:$A$18,Games!$I$2:$I$18,"Missing game",0)</x:f>
        <x:v>MIN</x:v>
      </x:c>
      <x:c r="AO459" t="n">
        <x:f>_xlfn.XLOOKUP($A459,Games!$A$2:$A$18,Games!$J$2:$J$18,"Missing game",0)</x:f>
        <x:v>48</x:v>
      </x:c>
      <x:c r="AP459" t="n">
        <x:f>_xlfn.XLOOKUP($A459,Games!$A$2:$A$18,Games!$K$2:$K$18,"Missing game",0)</x:f>
        <x:v>38</x:v>
      </x:c>
      <x:c r="AQ459" t="n">
        <x:f>_xlfn.XLOOKUP($A459,Games!$A$2:$A$18,Games!$L$2:$L$18,"Missing game",0)</x:f>
        <x:v>58</x:v>
      </x:c>
      <x:c r="AR459" t="n">
        <x:f>_xlfn.XLOOKUP($A459,Games!$A$2:$A$18,Games!$M$2:$M$18,"Missing game",0)</x:f>
        <x:v>0</x:v>
      </x:c>
      <x:c r="AS459" t="str">
        <x:f>_xlfn.XLOOKUP($A459,Games!$A$2:$A$18,Games!$N$2:$N$18,"Missing game",0)</x:f>
        <x:v>dome</x:v>
      </x:c>
      <x:c r="AT459" t="str">
        <x:f>_xlfn.XLOOKUP($A459,Games!$A$2:$A$18,Games!$O$2:$O$18,"Missing game",0)</x:f>
        <x:v>sportturf</x:v>
      </x:c>
      <x:c r="AU459" t="str">
        <x:f>_xlfn.XLOOKUP($A459,Games!$A$2:$A$18,Games!$P$2:$P$18,"Missing game",0)</x:f>
      </x:c>
      <x:c r="AV459" t="str">
        <x:f>_xlfn.XLOOKUP($A459,Games!$A$2:$A$18,Games!$Q$2:$Q$18,"Missing game",0)</x:f>
      </x:c>
      <x:c r="AW459" t="str">
        <x:f>_xlfn.XLOOKUP($A459,Games!$A$2:$A$18,Games!$R$2:$R$18,"Missing game",0)</x:f>
        <x:v>U.S. Bank Stadium</x:v>
      </x:c>
    </x:row>
    <x:row r="460">
      <x:c r="A460" t="str">
        <x:v>2025_03_CIN_MIN</x:v>
      </x:c>
      <x:c r="B460" t="n">
        <x:v>3243</x:v>
      </x:c>
      <x:c r="C460" t="n">
        <x:v>3</x:v>
      </x:c>
      <x:c r="D460" t="str">
        <x:v>00:20</x:v>
      </x:c>
      <x:c r="E460" t="n">
        <x:v>3</x:v>
      </x:c>
      <x:c r="F460" t="n">
        <x:v>5</x:v>
      </x:c>
      <x:c r="G460" t="str">
        <x:v>MIN</x:v>
      </x:c>
      <x:c r="H460" t="str">
        <x:v>CIN</x:v>
      </x:c>
      <x:c r="I460" t="str">
        <x:v>CIN</x:v>
      </x:c>
      <x:c r="J460" t="n">
        <x:v>5</x:v>
      </x:c>
      <x:c r="K460" t="str">
        <x:v>(:20) (Shotgun) 11-C.Wentz pass short right to 87-T.Hockenson for 5 yards, TOUCHDOWN.</x:v>
      </x:c>
      <x:c r="L460" t="str">
        <x:v>pass</x:v>
      </x:c>
      <x:c r="M460" t="n">
        <x:v>5</x:v>
      </x:c>
      <x:c r="N460" t="n">
        <x:v>1</x:v>
      </x:c>
      <x:c r="O460" t="n">
        <x:v>0</x:v>
      </x:c>
      <x:c r="P460" t="str">
        <x:v>short</x:v>
      </x:c>
      <x:c r="Q460" t="str">
        <x:v>right</x:v>
      </x:c>
      <x:c r="R460" t="n">
        <x:v>5</x:v>
      </x:c>
      <x:c r="S460" t="n">
        <x:v>0</x:v>
      </x:c>
      <x:c r="T460"/>
      <x:c r="U460"/>
      <x:c r="V460" t="n">
        <x:v>1</x:v>
      </x:c>
      <x:c r="W460" t="n">
        <x:v>1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/>
      <x:c r="AC460" t="n">
        <x:v>1</x:v>
      </x:c>
      <x:c r="AD460" t="n">
        <x:v>2.431790661532432</x:v>
      </x:c>
      <x:c r="AE460" t="n">
        <x:v>1</x:v>
      </x:c>
      <x:c r="AF460" t="n">
        <x:v>0.00005053538188803941</x:v>
      </x:c>
      <x:c r="AG460" t="n">
        <x:f>_xlfn.XLOOKUP($A460,Games!$A$2:$A$18,Games!$B$2:$B$18,"Missing game",0)</x:f>
        <x:v>2025</x:v>
      </x:c>
      <x:c r="AH460" t="str">
        <x:f>_xlfn.XLOOKUP($A460,Games!$A$2:$A$18,Games!$C$2:$C$18,"Missing game",0)</x:f>
        <x:v>REG</x:v>
      </x:c>
      <x:c r="AI460" t="n">
        <x:f>_xlfn.XLOOKUP($A460,Games!$A$2:$A$18,Games!$D$2:$D$18,"Missing game",0)</x:f>
        <x:v>3</x:v>
      </x:c>
      <x:c r="AJ460" s="1" t="n">
        <x:f>_xlfn.XLOOKUP($A460,Games!$A$2:$A$18,Games!$E$2:$E$18,"Missing game",0)</x:f>
        <x:v>45921</x:v>
      </x:c>
      <x:c r="AK460" t="str">
        <x:f>_xlfn.XLOOKUP($A460,Games!$A$2:$A$18,Games!$F$2:$F$18,"Missing game",0)</x:f>
        <x:v>Sunday</x:v>
      </x:c>
      <x:c r="AL460" t="str">
        <x:f>_xlfn.XLOOKUP($A460,Games!$A$2:$A$18,Games!$G$2:$G$18,"Missing game",0)</x:f>
        <x:v>CIN</x:v>
      </x:c>
      <x:c r="AM460" t="n">
        <x:f>_xlfn.XLOOKUP($A460,Games!$A$2:$A$18,Games!$H$2:$H$18,"Missing game",0)</x:f>
        <x:v>10</x:v>
      </x:c>
      <x:c r="AN460" t="str">
        <x:f>_xlfn.XLOOKUP($A460,Games!$A$2:$A$18,Games!$I$2:$I$18,"Missing game",0)</x:f>
        <x:v>MIN</x:v>
      </x:c>
      <x:c r="AO460" t="n">
        <x:f>_xlfn.XLOOKUP($A460,Games!$A$2:$A$18,Games!$J$2:$J$18,"Missing game",0)</x:f>
        <x:v>48</x:v>
      </x:c>
      <x:c r="AP460" t="n">
        <x:f>_xlfn.XLOOKUP($A460,Games!$A$2:$A$18,Games!$K$2:$K$18,"Missing game",0)</x:f>
        <x:v>38</x:v>
      </x:c>
      <x:c r="AQ460" t="n">
        <x:f>_xlfn.XLOOKUP($A460,Games!$A$2:$A$18,Games!$L$2:$L$18,"Missing game",0)</x:f>
        <x:v>58</x:v>
      </x:c>
      <x:c r="AR460" t="n">
        <x:f>_xlfn.XLOOKUP($A460,Games!$A$2:$A$18,Games!$M$2:$M$18,"Missing game",0)</x:f>
        <x:v>0</x:v>
      </x:c>
      <x:c r="AS460" t="str">
        <x:f>_xlfn.XLOOKUP($A460,Games!$A$2:$A$18,Games!$N$2:$N$18,"Missing game",0)</x:f>
        <x:v>dome</x:v>
      </x:c>
      <x:c r="AT460" t="str">
        <x:f>_xlfn.XLOOKUP($A460,Games!$A$2:$A$18,Games!$O$2:$O$18,"Missing game",0)</x:f>
        <x:v>sportturf</x:v>
      </x:c>
      <x:c r="AU460" t="str">
        <x:f>_xlfn.XLOOKUP($A460,Games!$A$2:$A$18,Games!$P$2:$P$18,"Missing game",0)</x:f>
      </x:c>
      <x:c r="AV460" t="str">
        <x:f>_xlfn.XLOOKUP($A460,Games!$A$2:$A$18,Games!$Q$2:$Q$18,"Missing game",0)</x:f>
      </x:c>
      <x:c r="AW460" t="str">
        <x:f>_xlfn.XLOOKUP($A460,Games!$A$2:$A$18,Games!$R$2:$R$18,"Missing game",0)</x:f>
        <x:v>U.S. Bank Stadium</x:v>
      </x:c>
    </x:row>
    <x:row r="461">
      <x:c r="A461" t="str">
        <x:v>2025_03_CIN_MIN</x:v>
      </x:c>
      <x:c r="B461" t="n">
        <x:v>3269</x:v>
      </x:c>
      <x:c r="C461" t="n">
        <x:v>3</x:v>
      </x:c>
      <x:c r="D461" t="str">
        <x:v>00:17</x:v>
      </x:c>
      <x:c r="E461"/>
      <x:c r="F461" t="n">
        <x:v>0</x:v>
      </x:c>
      <x:c r="G461" t="str">
        <x:v>MIN</x:v>
      </x:c>
      <x:c r="H461" t="str">
        <x:v>CIN</x:v>
      </x:c>
      <x:c r="I461" t="str">
        <x:v>CIN</x:v>
      </x:c>
      <x:c r="J461" t="n">
        <x:v>15</x:v>
      </x:c>
      <x:c r="K461" t="str">
        <x:v>16-W.Reichard extra point is GOOD, Center-42-A.DePaola, Holder-17-R.Wright.</x:v>
      </x:c>
      <x:c r="L461" t="str">
        <x:v>extra_point</x:v>
      </x:c>
      <x:c r="M461" t="n">
        <x:v>0</x:v>
      </x:c>
      <x:c r="N461" t="n">
        <x:v>0</x:v>
      </x:c>
      <x:c r="O461" t="n">
        <x:v>0</x:v>
      </x:c>
      <x:c r="P461"/>
      <x:c r="Q461"/>
      <x:c r="R461"/>
      <x:c r="S461"/>
      <x:c r="T461"/>
      <x:c r="U461"/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/>
      <x:c r="AC461" t="n">
        <x:v>0</x:v>
      </x:c>
      <x:c r="AD461" t="n">
        <x:v>0.05117156607063911</x:v>
      </x:c>
      <x:c r="AE461" t="n">
        <x:v>1</x:v>
      </x:c>
      <x:c r="AF461" t="n">
        <x:v>0</x:v>
      </x:c>
      <x:c r="AG461" t="n">
        <x:f>_xlfn.XLOOKUP($A461,Games!$A$2:$A$18,Games!$B$2:$B$18,"Missing game",0)</x:f>
        <x:v>2025</x:v>
      </x:c>
      <x:c r="AH461" t="str">
        <x:f>_xlfn.XLOOKUP($A461,Games!$A$2:$A$18,Games!$C$2:$C$18,"Missing game",0)</x:f>
        <x:v>REG</x:v>
      </x:c>
      <x:c r="AI461" t="n">
        <x:f>_xlfn.XLOOKUP($A461,Games!$A$2:$A$18,Games!$D$2:$D$18,"Missing game",0)</x:f>
        <x:v>3</x:v>
      </x:c>
      <x:c r="AJ461" s="1" t="n">
        <x:f>_xlfn.XLOOKUP($A461,Games!$A$2:$A$18,Games!$E$2:$E$18,"Missing game",0)</x:f>
        <x:v>45921</x:v>
      </x:c>
      <x:c r="AK461" t="str">
        <x:f>_xlfn.XLOOKUP($A461,Games!$A$2:$A$18,Games!$F$2:$F$18,"Missing game",0)</x:f>
        <x:v>Sunday</x:v>
      </x:c>
      <x:c r="AL461" t="str">
        <x:f>_xlfn.XLOOKUP($A461,Games!$A$2:$A$18,Games!$G$2:$G$18,"Missing game",0)</x:f>
        <x:v>CIN</x:v>
      </x:c>
      <x:c r="AM461" t="n">
        <x:f>_xlfn.XLOOKUP($A461,Games!$A$2:$A$18,Games!$H$2:$H$18,"Missing game",0)</x:f>
        <x:v>10</x:v>
      </x:c>
      <x:c r="AN461" t="str">
        <x:f>_xlfn.XLOOKUP($A461,Games!$A$2:$A$18,Games!$I$2:$I$18,"Missing game",0)</x:f>
        <x:v>MIN</x:v>
      </x:c>
      <x:c r="AO461" t="n">
        <x:f>_xlfn.XLOOKUP($A461,Games!$A$2:$A$18,Games!$J$2:$J$18,"Missing game",0)</x:f>
        <x:v>48</x:v>
      </x:c>
      <x:c r="AP461" t="n">
        <x:f>_xlfn.XLOOKUP($A461,Games!$A$2:$A$18,Games!$K$2:$K$18,"Missing game",0)</x:f>
        <x:v>38</x:v>
      </x:c>
      <x:c r="AQ461" t="n">
        <x:f>_xlfn.XLOOKUP($A461,Games!$A$2:$A$18,Games!$L$2:$L$18,"Missing game",0)</x:f>
        <x:v>58</x:v>
      </x:c>
      <x:c r="AR461" t="n">
        <x:f>_xlfn.XLOOKUP($A461,Games!$A$2:$A$18,Games!$M$2:$M$18,"Missing game",0)</x:f>
        <x:v>0</x:v>
      </x:c>
      <x:c r="AS461" t="str">
        <x:f>_xlfn.XLOOKUP($A461,Games!$A$2:$A$18,Games!$N$2:$N$18,"Missing game",0)</x:f>
        <x:v>dome</x:v>
      </x:c>
      <x:c r="AT461" t="str">
        <x:f>_xlfn.XLOOKUP($A461,Games!$A$2:$A$18,Games!$O$2:$O$18,"Missing game",0)</x:f>
        <x:v>sportturf</x:v>
      </x:c>
      <x:c r="AU461" t="str">
        <x:f>_xlfn.XLOOKUP($A461,Games!$A$2:$A$18,Games!$P$2:$P$18,"Missing game",0)</x:f>
      </x:c>
      <x:c r="AV461" t="str">
        <x:f>_xlfn.XLOOKUP($A461,Games!$A$2:$A$18,Games!$Q$2:$Q$18,"Missing game",0)</x:f>
      </x:c>
      <x:c r="AW461" t="str">
        <x:f>_xlfn.XLOOKUP($A461,Games!$A$2:$A$18,Games!$R$2:$R$18,"Missing game",0)</x:f>
        <x:v>U.S. Bank Stadium</x:v>
      </x:c>
    </x:row>
    <x:row r="462">
      <x:c r="A462" t="str">
        <x:v>2025_03_CIN_MIN</x:v>
      </x:c>
      <x:c r="B462" t="n">
        <x:v>3284</x:v>
      </x:c>
      <x:c r="C462" t="n">
        <x:v>3</x:v>
      </x:c>
      <x:c r="D462" t="str">
        <x:v>00:17</x:v>
      </x:c>
      <x:c r="E462"/>
      <x:c r="F462" t="n">
        <x:v>0</x:v>
      </x:c>
      <x:c r="G462" t="str">
        <x:v>CIN</x:v>
      </x:c>
      <x:c r="H462" t="str">
        <x:v>MIN</x:v>
      </x:c>
      <x:c r="I462" t="str">
        <x:v>MIN</x:v>
      </x:c>
      <x:c r="J462" t="n">
        <x:v>35</x:v>
      </x:c>
      <x:c r="K462" t="str">
        <x:v>16-W.Reichard kicks 61 yards from MIN 35 to CIN 4. 15-C.Jones to CIN 40 for 36 yards (8-J.Okudah). Penalty on MIN-0-I.Pace, Illegal Formation, offsetting, enforced at MIN 35 - No Play. Penalty on CIN-85-C.Grandy, Illegal Block Above the Waist, offsetting. Penalty on CIN-96-C.Sample, Illegal Block Above the Waist, offsetting.</x:v>
      </x:c>
      <x:c r="L462" t="str">
        <x:v>kickoff</x:v>
      </x:c>
      <x:c r="M462"/>
      <x:c r="N462" t="n">
        <x:v>0</x:v>
      </x:c>
      <x:c r="O462" t="n">
        <x:v>0</x:v>
      </x:c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 t="n">
        <x:v>0</x:v>
      </x:c>
      <x:c r="AE462" t="n">
        <x:v>0</x:v>
      </x:c>
      <x:c r="AF462" t="n">
        <x:v>0</x:v>
      </x:c>
      <x:c r="AG462" t="n">
        <x:f>_xlfn.XLOOKUP($A462,Games!$A$2:$A$18,Games!$B$2:$B$18,"Missing game",0)</x:f>
        <x:v>2025</x:v>
      </x:c>
      <x:c r="AH462" t="str">
        <x:f>_xlfn.XLOOKUP($A462,Games!$A$2:$A$18,Games!$C$2:$C$18,"Missing game",0)</x:f>
        <x:v>REG</x:v>
      </x:c>
      <x:c r="AI462" t="n">
        <x:f>_xlfn.XLOOKUP($A462,Games!$A$2:$A$18,Games!$D$2:$D$18,"Missing game",0)</x:f>
        <x:v>3</x:v>
      </x:c>
      <x:c r="AJ462" s="1" t="n">
        <x:f>_xlfn.XLOOKUP($A462,Games!$A$2:$A$18,Games!$E$2:$E$18,"Missing game",0)</x:f>
        <x:v>45921</x:v>
      </x:c>
      <x:c r="AK462" t="str">
        <x:f>_xlfn.XLOOKUP($A462,Games!$A$2:$A$18,Games!$F$2:$F$18,"Missing game",0)</x:f>
        <x:v>Sunday</x:v>
      </x:c>
      <x:c r="AL462" t="str">
        <x:f>_xlfn.XLOOKUP($A462,Games!$A$2:$A$18,Games!$G$2:$G$18,"Missing game",0)</x:f>
        <x:v>CIN</x:v>
      </x:c>
      <x:c r="AM462" t="n">
        <x:f>_xlfn.XLOOKUP($A462,Games!$A$2:$A$18,Games!$H$2:$H$18,"Missing game",0)</x:f>
        <x:v>10</x:v>
      </x:c>
      <x:c r="AN462" t="str">
        <x:f>_xlfn.XLOOKUP($A462,Games!$A$2:$A$18,Games!$I$2:$I$18,"Missing game",0)</x:f>
        <x:v>MIN</x:v>
      </x:c>
      <x:c r="AO462" t="n">
        <x:f>_xlfn.XLOOKUP($A462,Games!$A$2:$A$18,Games!$J$2:$J$18,"Missing game",0)</x:f>
        <x:v>48</x:v>
      </x:c>
      <x:c r="AP462" t="n">
        <x:f>_xlfn.XLOOKUP($A462,Games!$A$2:$A$18,Games!$K$2:$K$18,"Missing game",0)</x:f>
        <x:v>38</x:v>
      </x:c>
      <x:c r="AQ462" t="n">
        <x:f>_xlfn.XLOOKUP($A462,Games!$A$2:$A$18,Games!$L$2:$L$18,"Missing game",0)</x:f>
        <x:v>58</x:v>
      </x:c>
      <x:c r="AR462" t="n">
        <x:f>_xlfn.XLOOKUP($A462,Games!$A$2:$A$18,Games!$M$2:$M$18,"Missing game",0)</x:f>
        <x:v>0</x:v>
      </x:c>
      <x:c r="AS462" t="str">
        <x:f>_xlfn.XLOOKUP($A462,Games!$A$2:$A$18,Games!$N$2:$N$18,"Missing game",0)</x:f>
        <x:v>dome</x:v>
      </x:c>
      <x:c r="AT462" t="str">
        <x:f>_xlfn.XLOOKUP($A462,Games!$A$2:$A$18,Games!$O$2:$O$18,"Missing game",0)</x:f>
        <x:v>sportturf</x:v>
      </x:c>
      <x:c r="AU462" t="str">
        <x:f>_xlfn.XLOOKUP($A462,Games!$A$2:$A$18,Games!$P$2:$P$18,"Missing game",0)</x:f>
      </x:c>
      <x:c r="AV462" t="str">
        <x:f>_xlfn.XLOOKUP($A462,Games!$A$2:$A$18,Games!$Q$2:$Q$18,"Missing game",0)</x:f>
      </x:c>
      <x:c r="AW462" t="str">
        <x:f>_xlfn.XLOOKUP($A462,Games!$A$2:$A$18,Games!$R$2:$R$18,"Missing game",0)</x:f>
        <x:v>U.S. Bank Stadium</x:v>
      </x:c>
    </x:row>
    <x:row r="463">
      <x:c r="A463" t="str">
        <x:v>2025_03_CIN_MIN</x:v>
      </x:c>
      <x:c r="B463" t="n">
        <x:v>3329</x:v>
      </x:c>
      <x:c r="C463" t="n">
        <x:v>3</x:v>
      </x:c>
      <x:c r="D463" t="str">
        <x:v>00:04</x:v>
      </x:c>
      <x:c r="E463"/>
      <x:c r="F463" t="n">
        <x:v>0</x:v>
      </x:c>
      <x:c r="G463" t="str">
        <x:v>CIN</x:v>
      </x:c>
      <x:c r="H463" t="str">
        <x:v>MIN</x:v>
      </x:c>
      <x:c r="I463" t="str">
        <x:v>MIN</x:v>
      </x:c>
      <x:c r="J463" t="n">
        <x:v>35</x:v>
      </x:c>
      <x:c r="K463" t="str">
        <x:v>16-W.Reichard kicks 65 yards from MIN 35 to end zone, Touchback to the CIN 35.</x:v>
      </x:c>
      <x:c r="L463" t="str">
        <x:v>kickoff</x:v>
      </x:c>
      <x:c r="M463" t="n">
        <x:v>0</x:v>
      </x:c>
      <x:c r="N463" t="n">
        <x:v>0</x:v>
      </x:c>
      <x:c r="O463" t="n">
        <x:v>0</x:v>
      </x:c>
      <x:c r="P463"/>
      <x:c r="Q463"/>
      <x:c r="R463"/>
      <x:c r="S463"/>
      <x:c r="T463"/>
      <x:c r="U463"/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/>
      <x:c r="AC463" t="n">
        <x:v>0</x:v>
      </x:c>
      <x:c r="AD463" t="n">
        <x:v>0.48054250003769994</x:v>
      </x:c>
      <x:c r="AE463" t="n">
        <x:v>1</x:v>
      </x:c>
      <x:c r="AF463" t="n">
        <x:v>-0.000006339774699881673</x:v>
      </x:c>
      <x:c r="AG463" t="n">
        <x:f>_xlfn.XLOOKUP($A463,Games!$A$2:$A$18,Games!$B$2:$B$18,"Missing game",0)</x:f>
        <x:v>2025</x:v>
      </x:c>
      <x:c r="AH463" t="str">
        <x:f>_xlfn.XLOOKUP($A463,Games!$A$2:$A$18,Games!$C$2:$C$18,"Missing game",0)</x:f>
        <x:v>REG</x:v>
      </x:c>
      <x:c r="AI463" t="n">
        <x:f>_xlfn.XLOOKUP($A463,Games!$A$2:$A$18,Games!$D$2:$D$18,"Missing game",0)</x:f>
        <x:v>3</x:v>
      </x:c>
      <x:c r="AJ463" s="1" t="n">
        <x:f>_xlfn.XLOOKUP($A463,Games!$A$2:$A$18,Games!$E$2:$E$18,"Missing game",0)</x:f>
        <x:v>45921</x:v>
      </x:c>
      <x:c r="AK463" t="str">
        <x:f>_xlfn.XLOOKUP($A463,Games!$A$2:$A$18,Games!$F$2:$F$18,"Missing game",0)</x:f>
        <x:v>Sunday</x:v>
      </x:c>
      <x:c r="AL463" t="str">
        <x:f>_xlfn.XLOOKUP($A463,Games!$A$2:$A$18,Games!$G$2:$G$18,"Missing game",0)</x:f>
        <x:v>CIN</x:v>
      </x:c>
      <x:c r="AM463" t="n">
        <x:f>_xlfn.XLOOKUP($A463,Games!$A$2:$A$18,Games!$H$2:$H$18,"Missing game",0)</x:f>
        <x:v>10</x:v>
      </x:c>
      <x:c r="AN463" t="str">
        <x:f>_xlfn.XLOOKUP($A463,Games!$A$2:$A$18,Games!$I$2:$I$18,"Missing game",0)</x:f>
        <x:v>MIN</x:v>
      </x:c>
      <x:c r="AO463" t="n">
        <x:f>_xlfn.XLOOKUP($A463,Games!$A$2:$A$18,Games!$J$2:$J$18,"Missing game",0)</x:f>
        <x:v>48</x:v>
      </x:c>
      <x:c r="AP463" t="n">
        <x:f>_xlfn.XLOOKUP($A463,Games!$A$2:$A$18,Games!$K$2:$K$18,"Missing game",0)</x:f>
        <x:v>38</x:v>
      </x:c>
      <x:c r="AQ463" t="n">
        <x:f>_xlfn.XLOOKUP($A463,Games!$A$2:$A$18,Games!$L$2:$L$18,"Missing game",0)</x:f>
        <x:v>58</x:v>
      </x:c>
      <x:c r="AR463" t="n">
        <x:f>_xlfn.XLOOKUP($A463,Games!$A$2:$A$18,Games!$M$2:$M$18,"Missing game",0)</x:f>
        <x:v>0</x:v>
      </x:c>
      <x:c r="AS463" t="str">
        <x:f>_xlfn.XLOOKUP($A463,Games!$A$2:$A$18,Games!$N$2:$N$18,"Missing game",0)</x:f>
        <x:v>dome</x:v>
      </x:c>
      <x:c r="AT463" t="str">
        <x:f>_xlfn.XLOOKUP($A463,Games!$A$2:$A$18,Games!$O$2:$O$18,"Missing game",0)</x:f>
        <x:v>sportturf</x:v>
      </x:c>
      <x:c r="AU463" t="str">
        <x:f>_xlfn.XLOOKUP($A463,Games!$A$2:$A$18,Games!$P$2:$P$18,"Missing game",0)</x:f>
      </x:c>
      <x:c r="AV463" t="str">
        <x:f>_xlfn.XLOOKUP($A463,Games!$A$2:$A$18,Games!$Q$2:$Q$18,"Missing game",0)</x:f>
      </x:c>
      <x:c r="AW463" t="str">
        <x:f>_xlfn.XLOOKUP($A463,Games!$A$2:$A$18,Games!$R$2:$R$18,"Missing game",0)</x:f>
        <x:v>U.S. Bank Stadium</x:v>
      </x:c>
    </x:row>
    <x:row r="464">
      <x:c r="A464" t="str">
        <x:v>2025_03_CIN_MIN</x:v>
      </x:c>
      <x:c r="B464" t="n">
        <x:v>3346</x:v>
      </x:c>
      <x:c r="C464" t="n">
        <x:v>3</x:v>
      </x:c>
      <x:c r="D464" t="str">
        <x:v>00:04</x:v>
      </x:c>
      <x:c r="E464" t="n">
        <x:v>1</x:v>
      </x:c>
      <x:c r="F464" t="n">
        <x:v>10</x:v>
      </x:c>
      <x:c r="G464" t="str">
        <x:v>CIN</x:v>
      </x:c>
      <x:c r="H464" t="str">
        <x:v>MIN</x:v>
      </x:c>
      <x:c r="I464" t="str">
        <x:v>CIN</x:v>
      </x:c>
      <x:c r="J464" t="n">
        <x:v>65</x:v>
      </x:c>
      <x:c r="K464" t="str">
        <x:v>(:04) (Shotgun) 25-T.Brooks right end to CIN 42 for 7 yards (57-C.Chambliss).</x:v>
      </x:c>
      <x:c r="L464" t="str">
        <x:v>run</x:v>
      </x:c>
      <x:c r="M464" t="n">
        <x:v>7</x:v>
      </x:c>
      <x:c r="N464" t="n">
        <x:v>1</x:v>
      </x:c>
      <x:c r="O464" t="n">
        <x:v>0</x:v>
      </x:c>
      <x:c r="P464"/>
      <x:c r="Q464"/>
      <x:c r="R464"/>
      <x:c r="S464"/>
      <x:c r="T464" t="str">
        <x:v>right</x:v>
      </x:c>
      <x:c r="U464" t="str">
        <x:v>end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/>
      <x:c r="AC464" t="n">
        <x:v>0</x:v>
      </x:c>
      <x:c r="AD464" t="n">
        <x:v>0.3874806647654623</x:v>
      </x:c>
      <x:c r="AE464" t="n">
        <x:v>1</x:v>
      </x:c>
      <x:c r="AF464" t="n">
        <x:v>0.00001101634552469477</x:v>
      </x:c>
      <x:c r="AG464" t="n">
        <x:f>_xlfn.XLOOKUP($A464,Games!$A$2:$A$18,Games!$B$2:$B$18,"Missing game",0)</x:f>
        <x:v>2025</x:v>
      </x:c>
      <x:c r="AH464" t="str">
        <x:f>_xlfn.XLOOKUP($A464,Games!$A$2:$A$18,Games!$C$2:$C$18,"Missing game",0)</x:f>
        <x:v>REG</x:v>
      </x:c>
      <x:c r="AI464" t="n">
        <x:f>_xlfn.XLOOKUP($A464,Games!$A$2:$A$18,Games!$D$2:$D$18,"Missing game",0)</x:f>
        <x:v>3</x:v>
      </x:c>
      <x:c r="AJ464" s="1" t="n">
        <x:f>_xlfn.XLOOKUP($A464,Games!$A$2:$A$18,Games!$E$2:$E$18,"Missing game",0)</x:f>
        <x:v>45921</x:v>
      </x:c>
      <x:c r="AK464" t="str">
        <x:f>_xlfn.XLOOKUP($A464,Games!$A$2:$A$18,Games!$F$2:$F$18,"Missing game",0)</x:f>
        <x:v>Sunday</x:v>
      </x:c>
      <x:c r="AL464" t="str">
        <x:f>_xlfn.XLOOKUP($A464,Games!$A$2:$A$18,Games!$G$2:$G$18,"Missing game",0)</x:f>
        <x:v>CIN</x:v>
      </x:c>
      <x:c r="AM464" t="n">
        <x:f>_xlfn.XLOOKUP($A464,Games!$A$2:$A$18,Games!$H$2:$H$18,"Missing game",0)</x:f>
        <x:v>10</x:v>
      </x:c>
      <x:c r="AN464" t="str">
        <x:f>_xlfn.XLOOKUP($A464,Games!$A$2:$A$18,Games!$I$2:$I$18,"Missing game",0)</x:f>
        <x:v>MIN</x:v>
      </x:c>
      <x:c r="AO464" t="n">
        <x:f>_xlfn.XLOOKUP($A464,Games!$A$2:$A$18,Games!$J$2:$J$18,"Missing game",0)</x:f>
        <x:v>48</x:v>
      </x:c>
      <x:c r="AP464" t="n">
        <x:f>_xlfn.XLOOKUP($A464,Games!$A$2:$A$18,Games!$K$2:$K$18,"Missing game",0)</x:f>
        <x:v>38</x:v>
      </x:c>
      <x:c r="AQ464" t="n">
        <x:f>_xlfn.XLOOKUP($A464,Games!$A$2:$A$18,Games!$L$2:$L$18,"Missing game",0)</x:f>
        <x:v>58</x:v>
      </x:c>
      <x:c r="AR464" t="n">
        <x:f>_xlfn.XLOOKUP($A464,Games!$A$2:$A$18,Games!$M$2:$M$18,"Missing game",0)</x:f>
        <x:v>0</x:v>
      </x:c>
      <x:c r="AS464" t="str">
        <x:f>_xlfn.XLOOKUP($A464,Games!$A$2:$A$18,Games!$N$2:$N$18,"Missing game",0)</x:f>
        <x:v>dome</x:v>
      </x:c>
      <x:c r="AT464" t="str">
        <x:f>_xlfn.XLOOKUP($A464,Games!$A$2:$A$18,Games!$O$2:$O$18,"Missing game",0)</x:f>
        <x:v>sportturf</x:v>
      </x:c>
      <x:c r="AU464" t="str">
        <x:f>_xlfn.XLOOKUP($A464,Games!$A$2:$A$18,Games!$P$2:$P$18,"Missing game",0)</x:f>
      </x:c>
      <x:c r="AV464" t="str">
        <x:f>_xlfn.XLOOKUP($A464,Games!$A$2:$A$18,Games!$Q$2:$Q$18,"Missing game",0)</x:f>
      </x:c>
      <x:c r="AW464" t="str">
        <x:f>_xlfn.XLOOKUP($A464,Games!$A$2:$A$18,Games!$R$2:$R$18,"Missing game",0)</x:f>
        <x:v>U.S. Bank Stadium</x:v>
      </x:c>
    </x:row>
    <x:row r="465">
      <x:c r="A465" t="str">
        <x:v>2025_03_CIN_MIN</x:v>
      </x:c>
      <x:c r="B465" t="n">
        <x:v>3368</x:v>
      </x:c>
      <x:c r="C465" t="n">
        <x:v>3</x:v>
      </x:c>
      <x:c r="D465" t="str">
        <x:v>00:00</x:v>
      </x:c>
      <x:c r="E465"/>
      <x:c r="F465" t="n">
        <x:v>0</x:v>
      </x:c>
      <x:c r="G465" t="str">
        <x:v>CIN</x:v>
      </x:c>
      <x:c r="H465" t="str">
        <x:v>MIN</x:v>
      </x:c>
      <x:c r="I465"/>
      <x:c r="J465"/>
      <x:c r="K465" t="str">
        <x:v>END QUARTER 3</x:v>
      </x:c>
      <x:c r="L465"/>
      <x:c r="M465"/>
      <x:c r="N465" t="n">
        <x:v>0</x:v>
      </x:c>
      <x:c r="O465" t="n">
        <x:v>0</x:v>
      </x:c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 t="n">
        <x:v>0</x:v>
      </x:c>
      <x:c r="AE465" t="n">
        <x:v>0</x:v>
      </x:c>
      <x:c r="AF465" t="n">
        <x:v>0</x:v>
      </x:c>
      <x:c r="AG465" t="n">
        <x:f>_xlfn.XLOOKUP($A465,Games!$A$2:$A$18,Games!$B$2:$B$18,"Missing game",0)</x:f>
        <x:v>2025</x:v>
      </x:c>
      <x:c r="AH465" t="str">
        <x:f>_xlfn.XLOOKUP($A465,Games!$A$2:$A$18,Games!$C$2:$C$18,"Missing game",0)</x:f>
        <x:v>REG</x:v>
      </x:c>
      <x:c r="AI465" t="n">
        <x:f>_xlfn.XLOOKUP($A465,Games!$A$2:$A$18,Games!$D$2:$D$18,"Missing game",0)</x:f>
        <x:v>3</x:v>
      </x:c>
      <x:c r="AJ465" s="1" t="n">
        <x:f>_xlfn.XLOOKUP($A465,Games!$A$2:$A$18,Games!$E$2:$E$18,"Missing game",0)</x:f>
        <x:v>45921</x:v>
      </x:c>
      <x:c r="AK465" t="str">
        <x:f>_xlfn.XLOOKUP($A465,Games!$A$2:$A$18,Games!$F$2:$F$18,"Missing game",0)</x:f>
        <x:v>Sunday</x:v>
      </x:c>
      <x:c r="AL465" t="str">
        <x:f>_xlfn.XLOOKUP($A465,Games!$A$2:$A$18,Games!$G$2:$G$18,"Missing game",0)</x:f>
        <x:v>CIN</x:v>
      </x:c>
      <x:c r="AM465" t="n">
        <x:f>_xlfn.XLOOKUP($A465,Games!$A$2:$A$18,Games!$H$2:$H$18,"Missing game",0)</x:f>
        <x:v>10</x:v>
      </x:c>
      <x:c r="AN465" t="str">
        <x:f>_xlfn.XLOOKUP($A465,Games!$A$2:$A$18,Games!$I$2:$I$18,"Missing game",0)</x:f>
        <x:v>MIN</x:v>
      </x:c>
      <x:c r="AO465" t="n">
        <x:f>_xlfn.XLOOKUP($A465,Games!$A$2:$A$18,Games!$J$2:$J$18,"Missing game",0)</x:f>
        <x:v>48</x:v>
      </x:c>
      <x:c r="AP465" t="n">
        <x:f>_xlfn.XLOOKUP($A465,Games!$A$2:$A$18,Games!$K$2:$K$18,"Missing game",0)</x:f>
        <x:v>38</x:v>
      </x:c>
      <x:c r="AQ465" t="n">
        <x:f>_xlfn.XLOOKUP($A465,Games!$A$2:$A$18,Games!$L$2:$L$18,"Missing game",0)</x:f>
        <x:v>58</x:v>
      </x:c>
      <x:c r="AR465" t="n">
        <x:f>_xlfn.XLOOKUP($A465,Games!$A$2:$A$18,Games!$M$2:$M$18,"Missing game",0)</x:f>
        <x:v>0</x:v>
      </x:c>
      <x:c r="AS465" t="str">
        <x:f>_xlfn.XLOOKUP($A465,Games!$A$2:$A$18,Games!$N$2:$N$18,"Missing game",0)</x:f>
        <x:v>dome</x:v>
      </x:c>
      <x:c r="AT465" t="str">
        <x:f>_xlfn.XLOOKUP($A465,Games!$A$2:$A$18,Games!$O$2:$O$18,"Missing game",0)</x:f>
        <x:v>sportturf</x:v>
      </x:c>
      <x:c r="AU465" t="str">
        <x:f>_xlfn.XLOOKUP($A465,Games!$A$2:$A$18,Games!$P$2:$P$18,"Missing game",0)</x:f>
      </x:c>
      <x:c r="AV465" t="str">
        <x:f>_xlfn.XLOOKUP($A465,Games!$A$2:$A$18,Games!$Q$2:$Q$18,"Missing game",0)</x:f>
      </x:c>
      <x:c r="AW465" t="str">
        <x:f>_xlfn.XLOOKUP($A465,Games!$A$2:$A$18,Games!$R$2:$R$18,"Missing game",0)</x:f>
        <x:v>U.S. Bank Stadium</x:v>
      </x:c>
    </x:row>
    <x:row r="466">
      <x:c r="A466" t="str">
        <x:v>2025_03_CIN_MIN</x:v>
      </x:c>
      <x:c r="B466" t="n">
        <x:v>3388</x:v>
      </x:c>
      <x:c r="C466" t="n">
        <x:v>4</x:v>
      </x:c>
      <x:c r="D466" t="str">
        <x:v>15:00</x:v>
      </x:c>
      <x:c r="E466" t="n">
        <x:v>2</x:v>
      </x:c>
      <x:c r="F466" t="n">
        <x:v>3</x:v>
      </x:c>
      <x:c r="G466" t="str">
        <x:v>CIN</x:v>
      </x:c>
      <x:c r="H466" t="str">
        <x:v>MIN</x:v>
      </x:c>
      <x:c r="I466" t="str">
        <x:v>CIN</x:v>
      </x:c>
      <x:c r="J466" t="n">
        <x:v>58</x:v>
      </x:c>
      <x:c r="K466" t="str">
        <x:v>(15:00) (Shotgun) 6-J.Browning pass deep right to 1-J.Chase to MIN 30 for 28 yards (8-J.Okudah).</x:v>
      </x:c>
      <x:c r="L466" t="str">
        <x:v>pass</x:v>
      </x:c>
      <x:c r="M466" t="n">
        <x:v>28</x:v>
      </x:c>
      <x:c r="N466" t="n">
        <x:v>1</x:v>
      </x:c>
      <x:c r="O466" t="n">
        <x:v>0</x:v>
      </x:c>
      <x:c r="P466" t="str">
        <x:v>deep</x:v>
      </x:c>
      <x:c r="Q466" t="str">
        <x:v>right</x:v>
      </x:c>
      <x:c r="R466" t="n">
        <x:v>23</x:v>
      </x:c>
      <x:c r="S466" t="n">
        <x:v>5</x:v>
      </x:c>
      <x:c r="T466"/>
      <x:c r="U466"/>
      <x:c r="V466" t="n">
        <x:v>1</x:v>
      </x:c>
      <x:c r="W466" t="n">
        <x:v>1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/>
      <x:c r="AC466" t="n">
        <x:v>0</x:v>
      </x:c>
      <x:c r="AD466" t="n">
        <x:v>1.9886500464053825</x:v>
      </x:c>
      <x:c r="AE466" t="n">
        <x:v>1</x:v>
      </x:c>
      <x:c r="AF466" t="n">
        <x:v>-0.000004013389116153121</x:v>
      </x:c>
      <x:c r="AG466" t="n">
        <x:f>_xlfn.XLOOKUP($A466,Games!$A$2:$A$18,Games!$B$2:$B$18,"Missing game",0)</x:f>
        <x:v>2025</x:v>
      </x:c>
      <x:c r="AH466" t="str">
        <x:f>_xlfn.XLOOKUP($A466,Games!$A$2:$A$18,Games!$C$2:$C$18,"Missing game",0)</x:f>
        <x:v>REG</x:v>
      </x:c>
      <x:c r="AI466" t="n">
        <x:f>_xlfn.XLOOKUP($A466,Games!$A$2:$A$18,Games!$D$2:$D$18,"Missing game",0)</x:f>
        <x:v>3</x:v>
      </x:c>
      <x:c r="AJ466" s="1" t="n">
        <x:f>_xlfn.XLOOKUP($A466,Games!$A$2:$A$18,Games!$E$2:$E$18,"Missing game",0)</x:f>
        <x:v>45921</x:v>
      </x:c>
      <x:c r="AK466" t="str">
        <x:f>_xlfn.XLOOKUP($A466,Games!$A$2:$A$18,Games!$F$2:$F$18,"Missing game",0)</x:f>
        <x:v>Sunday</x:v>
      </x:c>
      <x:c r="AL466" t="str">
        <x:f>_xlfn.XLOOKUP($A466,Games!$A$2:$A$18,Games!$G$2:$G$18,"Missing game",0)</x:f>
        <x:v>CIN</x:v>
      </x:c>
      <x:c r="AM466" t="n">
        <x:f>_xlfn.XLOOKUP($A466,Games!$A$2:$A$18,Games!$H$2:$H$18,"Missing game",0)</x:f>
        <x:v>10</x:v>
      </x:c>
      <x:c r="AN466" t="str">
        <x:f>_xlfn.XLOOKUP($A466,Games!$A$2:$A$18,Games!$I$2:$I$18,"Missing game",0)</x:f>
        <x:v>MIN</x:v>
      </x:c>
      <x:c r="AO466" t="n">
        <x:f>_xlfn.XLOOKUP($A466,Games!$A$2:$A$18,Games!$J$2:$J$18,"Missing game",0)</x:f>
        <x:v>48</x:v>
      </x:c>
      <x:c r="AP466" t="n">
        <x:f>_xlfn.XLOOKUP($A466,Games!$A$2:$A$18,Games!$K$2:$K$18,"Missing game",0)</x:f>
        <x:v>38</x:v>
      </x:c>
      <x:c r="AQ466" t="n">
        <x:f>_xlfn.XLOOKUP($A466,Games!$A$2:$A$18,Games!$L$2:$L$18,"Missing game",0)</x:f>
        <x:v>58</x:v>
      </x:c>
      <x:c r="AR466" t="n">
        <x:f>_xlfn.XLOOKUP($A466,Games!$A$2:$A$18,Games!$M$2:$M$18,"Missing game",0)</x:f>
        <x:v>0</x:v>
      </x:c>
      <x:c r="AS466" t="str">
        <x:f>_xlfn.XLOOKUP($A466,Games!$A$2:$A$18,Games!$N$2:$N$18,"Missing game",0)</x:f>
        <x:v>dome</x:v>
      </x:c>
      <x:c r="AT466" t="str">
        <x:f>_xlfn.XLOOKUP($A466,Games!$A$2:$A$18,Games!$O$2:$O$18,"Missing game",0)</x:f>
        <x:v>sportturf</x:v>
      </x:c>
      <x:c r="AU466" t="str">
        <x:f>_xlfn.XLOOKUP($A466,Games!$A$2:$A$18,Games!$P$2:$P$18,"Missing game",0)</x:f>
      </x:c>
      <x:c r="AV466" t="str">
        <x:f>_xlfn.XLOOKUP($A466,Games!$A$2:$A$18,Games!$Q$2:$Q$18,"Missing game",0)</x:f>
      </x:c>
      <x:c r="AW466" t="str">
        <x:f>_xlfn.XLOOKUP($A466,Games!$A$2:$A$18,Games!$R$2:$R$18,"Missing game",0)</x:f>
        <x:v>U.S. Bank Stadium</x:v>
      </x:c>
    </x:row>
    <x:row r="467">
      <x:c r="A467" t="str">
        <x:v>2025_03_CIN_MIN</x:v>
      </x:c>
      <x:c r="B467" t="n">
        <x:v>3413</x:v>
      </x:c>
      <x:c r="C467" t="n">
        <x:v>4</x:v>
      </x:c>
      <x:c r="D467" t="str">
        <x:v>14:18</x:v>
      </x:c>
      <x:c r="E467" t="n">
        <x:v>1</x:v>
      </x:c>
      <x:c r="F467" t="n">
        <x:v>10</x:v>
      </x:c>
      <x:c r="G467" t="str">
        <x:v>CIN</x:v>
      </x:c>
      <x:c r="H467" t="str">
        <x:v>MIN</x:v>
      </x:c>
      <x:c r="I467" t="str">
        <x:v>MIN</x:v>
      </x:c>
      <x:c r="J467" t="n">
        <x:v>30</x:v>
      </x:c>
      <x:c r="K467" t="str">
        <x:v>(14:18) (Shotgun) 25-T.Brooks left end to MIN 29 for 1 yard (90-T.Ingram-Dawkins).</x:v>
      </x:c>
      <x:c r="L467" t="str">
        <x:v>run</x:v>
      </x:c>
      <x:c r="M467" t="n">
        <x:v>1</x:v>
      </x:c>
      <x:c r="N467" t="n">
        <x:v>1</x:v>
      </x:c>
      <x:c r="O467" t="n">
        <x:v>0</x:v>
      </x:c>
      <x:c r="P467"/>
      <x:c r="Q467"/>
      <x:c r="R467"/>
      <x:c r="S467"/>
      <x:c r="T467" t="str">
        <x:v>left</x:v>
      </x:c>
      <x:c r="U467" t="str">
        <x:v>end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/>
      <x:c r="AC467" t="n">
        <x:v>0</x:v>
      </x:c>
      <x:c r="AD467" t="n">
        <x:v>-0.4122035871259868</x:v>
      </x:c>
      <x:c r="AE467" t="n">
        <x:v>0</x:v>
      </x:c>
      <x:c r="AF467" t="n">
        <x:v>0.000010182593541685492</x:v>
      </x:c>
      <x:c r="AG467" t="n">
        <x:f>_xlfn.XLOOKUP($A467,Games!$A$2:$A$18,Games!$B$2:$B$18,"Missing game",0)</x:f>
        <x:v>2025</x:v>
      </x:c>
      <x:c r="AH467" t="str">
        <x:f>_xlfn.XLOOKUP($A467,Games!$A$2:$A$18,Games!$C$2:$C$18,"Missing game",0)</x:f>
        <x:v>REG</x:v>
      </x:c>
      <x:c r="AI467" t="n">
        <x:f>_xlfn.XLOOKUP($A467,Games!$A$2:$A$18,Games!$D$2:$D$18,"Missing game",0)</x:f>
        <x:v>3</x:v>
      </x:c>
      <x:c r="AJ467" s="1" t="n">
        <x:f>_xlfn.XLOOKUP($A467,Games!$A$2:$A$18,Games!$E$2:$E$18,"Missing game",0)</x:f>
        <x:v>45921</x:v>
      </x:c>
      <x:c r="AK467" t="str">
        <x:f>_xlfn.XLOOKUP($A467,Games!$A$2:$A$18,Games!$F$2:$F$18,"Missing game",0)</x:f>
        <x:v>Sunday</x:v>
      </x:c>
      <x:c r="AL467" t="str">
        <x:f>_xlfn.XLOOKUP($A467,Games!$A$2:$A$18,Games!$G$2:$G$18,"Missing game",0)</x:f>
        <x:v>CIN</x:v>
      </x:c>
      <x:c r="AM467" t="n">
        <x:f>_xlfn.XLOOKUP($A467,Games!$A$2:$A$18,Games!$H$2:$H$18,"Missing game",0)</x:f>
        <x:v>10</x:v>
      </x:c>
      <x:c r="AN467" t="str">
        <x:f>_xlfn.XLOOKUP($A467,Games!$A$2:$A$18,Games!$I$2:$I$18,"Missing game",0)</x:f>
        <x:v>MIN</x:v>
      </x:c>
      <x:c r="AO467" t="n">
        <x:f>_xlfn.XLOOKUP($A467,Games!$A$2:$A$18,Games!$J$2:$J$18,"Missing game",0)</x:f>
        <x:v>48</x:v>
      </x:c>
      <x:c r="AP467" t="n">
        <x:f>_xlfn.XLOOKUP($A467,Games!$A$2:$A$18,Games!$K$2:$K$18,"Missing game",0)</x:f>
        <x:v>38</x:v>
      </x:c>
      <x:c r="AQ467" t="n">
        <x:f>_xlfn.XLOOKUP($A467,Games!$A$2:$A$18,Games!$L$2:$L$18,"Missing game",0)</x:f>
        <x:v>58</x:v>
      </x:c>
      <x:c r="AR467" t="n">
        <x:f>_xlfn.XLOOKUP($A467,Games!$A$2:$A$18,Games!$M$2:$M$18,"Missing game",0)</x:f>
        <x:v>0</x:v>
      </x:c>
      <x:c r="AS467" t="str">
        <x:f>_xlfn.XLOOKUP($A467,Games!$A$2:$A$18,Games!$N$2:$N$18,"Missing game",0)</x:f>
        <x:v>dome</x:v>
      </x:c>
      <x:c r="AT467" t="str">
        <x:f>_xlfn.XLOOKUP($A467,Games!$A$2:$A$18,Games!$O$2:$O$18,"Missing game",0)</x:f>
        <x:v>sportturf</x:v>
      </x:c>
      <x:c r="AU467" t="str">
        <x:f>_xlfn.XLOOKUP($A467,Games!$A$2:$A$18,Games!$P$2:$P$18,"Missing game",0)</x:f>
      </x:c>
      <x:c r="AV467" t="str">
        <x:f>_xlfn.XLOOKUP($A467,Games!$A$2:$A$18,Games!$Q$2:$Q$18,"Missing game",0)</x:f>
      </x:c>
      <x:c r="AW467" t="str">
        <x:f>_xlfn.XLOOKUP($A467,Games!$A$2:$A$18,Games!$R$2:$R$18,"Missing game",0)</x:f>
        <x:v>U.S. Bank Stadium</x:v>
      </x:c>
    </x:row>
    <x:row r="468">
      <x:c r="A468" t="str">
        <x:v>2025_03_CIN_MIN</x:v>
      </x:c>
      <x:c r="B468" t="n">
        <x:v>3440</x:v>
      </x:c>
      <x:c r="C468" t="n">
        <x:v>4</x:v>
      </x:c>
      <x:c r="D468" t="str">
        <x:v>13:43</x:v>
      </x:c>
      <x:c r="E468" t="n">
        <x:v>2</x:v>
      </x:c>
      <x:c r="F468" t="n">
        <x:v>9</x:v>
      </x:c>
      <x:c r="G468" t="str">
        <x:v>CIN</x:v>
      </x:c>
      <x:c r="H468" t="str">
        <x:v>MIN</x:v>
      </x:c>
      <x:c r="I468" t="str">
        <x:v>MIN</x:v>
      </x:c>
      <x:c r="J468" t="n">
        <x:v>29</x:v>
      </x:c>
      <x:c r="K468" t="str">
        <x:v>(13:43) 6-J.Browning pass short left to 85-C.Grandy to MIN 23 for 6 yards (26-T.Jackson). FUMBLES (26-T.Jackson), recovered by CIN-15-C.Jones at MIN 23.</x:v>
      </x:c>
      <x:c r="L468" t="str">
        <x:v>pass</x:v>
      </x:c>
      <x:c r="M468" t="n">
        <x:v>6</x:v>
      </x:c>
      <x:c r="N468" t="n">
        <x:v>0</x:v>
      </x:c>
      <x:c r="O468" t="n">
        <x:v>0</x:v>
      </x:c>
      <x:c r="P468" t="str">
        <x:v>short</x:v>
      </x:c>
      <x:c r="Q468" t="str">
        <x:v>left</x:v>
      </x:c>
      <x:c r="R468" t="n">
        <x:v>-2</x:v>
      </x:c>
      <x:c r="S468" t="n">
        <x:v>8</x:v>
      </x:c>
      <x:c r="T468"/>
      <x:c r="U468"/>
      <x:c r="V468" t="n">
        <x:v>1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/>
      <x:c r="AC468" t="n">
        <x:v>0</x:v>
      </x:c>
      <x:c r="AD468" t="n">
        <x:v>0.1620441589038819</x:v>
      </x:c>
      <x:c r="AE468" t="n">
        <x:v>1</x:v>
      </x:c>
      <x:c r="AF468" t="n">
        <x:v>-0.000008812392479740083</x:v>
      </x:c>
      <x:c r="AG468" t="n">
        <x:f>_xlfn.XLOOKUP($A468,Games!$A$2:$A$18,Games!$B$2:$B$18,"Missing game",0)</x:f>
        <x:v>2025</x:v>
      </x:c>
      <x:c r="AH468" t="str">
        <x:f>_xlfn.XLOOKUP($A468,Games!$A$2:$A$18,Games!$C$2:$C$18,"Missing game",0)</x:f>
        <x:v>REG</x:v>
      </x:c>
      <x:c r="AI468" t="n">
        <x:f>_xlfn.XLOOKUP($A468,Games!$A$2:$A$18,Games!$D$2:$D$18,"Missing game",0)</x:f>
        <x:v>3</x:v>
      </x:c>
      <x:c r="AJ468" s="1" t="n">
        <x:f>_xlfn.XLOOKUP($A468,Games!$A$2:$A$18,Games!$E$2:$E$18,"Missing game",0)</x:f>
        <x:v>45921</x:v>
      </x:c>
      <x:c r="AK468" t="str">
        <x:f>_xlfn.XLOOKUP($A468,Games!$A$2:$A$18,Games!$F$2:$F$18,"Missing game",0)</x:f>
        <x:v>Sunday</x:v>
      </x:c>
      <x:c r="AL468" t="str">
        <x:f>_xlfn.XLOOKUP($A468,Games!$A$2:$A$18,Games!$G$2:$G$18,"Missing game",0)</x:f>
        <x:v>CIN</x:v>
      </x:c>
      <x:c r="AM468" t="n">
        <x:f>_xlfn.XLOOKUP($A468,Games!$A$2:$A$18,Games!$H$2:$H$18,"Missing game",0)</x:f>
        <x:v>10</x:v>
      </x:c>
      <x:c r="AN468" t="str">
        <x:f>_xlfn.XLOOKUP($A468,Games!$A$2:$A$18,Games!$I$2:$I$18,"Missing game",0)</x:f>
        <x:v>MIN</x:v>
      </x:c>
      <x:c r="AO468" t="n">
        <x:f>_xlfn.XLOOKUP($A468,Games!$A$2:$A$18,Games!$J$2:$J$18,"Missing game",0)</x:f>
        <x:v>48</x:v>
      </x:c>
      <x:c r="AP468" t="n">
        <x:f>_xlfn.XLOOKUP($A468,Games!$A$2:$A$18,Games!$K$2:$K$18,"Missing game",0)</x:f>
        <x:v>38</x:v>
      </x:c>
      <x:c r="AQ468" t="n">
        <x:f>_xlfn.XLOOKUP($A468,Games!$A$2:$A$18,Games!$L$2:$L$18,"Missing game",0)</x:f>
        <x:v>58</x:v>
      </x:c>
      <x:c r="AR468" t="n">
        <x:f>_xlfn.XLOOKUP($A468,Games!$A$2:$A$18,Games!$M$2:$M$18,"Missing game",0)</x:f>
        <x:v>0</x:v>
      </x:c>
      <x:c r="AS468" t="str">
        <x:f>_xlfn.XLOOKUP($A468,Games!$A$2:$A$18,Games!$N$2:$N$18,"Missing game",0)</x:f>
        <x:v>dome</x:v>
      </x:c>
      <x:c r="AT468" t="str">
        <x:f>_xlfn.XLOOKUP($A468,Games!$A$2:$A$18,Games!$O$2:$O$18,"Missing game",0)</x:f>
        <x:v>sportturf</x:v>
      </x:c>
      <x:c r="AU468" t="str">
        <x:f>_xlfn.XLOOKUP($A468,Games!$A$2:$A$18,Games!$P$2:$P$18,"Missing game",0)</x:f>
      </x:c>
      <x:c r="AV468" t="str">
        <x:f>_xlfn.XLOOKUP($A468,Games!$A$2:$A$18,Games!$Q$2:$Q$18,"Missing game",0)</x:f>
      </x:c>
      <x:c r="AW468" t="str">
        <x:f>_xlfn.XLOOKUP($A468,Games!$A$2:$A$18,Games!$R$2:$R$18,"Missing game",0)</x:f>
        <x:v>U.S. Bank Stadium</x:v>
      </x:c>
    </x:row>
    <x:row r="469">
      <x:c r="A469" t="str">
        <x:v>2025_03_CIN_MIN</x:v>
      </x:c>
      <x:c r="B469" t="n">
        <x:v>3481</x:v>
      </x:c>
      <x:c r="C469" t="n">
        <x:v>4</x:v>
      </x:c>
      <x:c r="D469" t="str">
        <x:v>13:03</x:v>
      </x:c>
      <x:c r="E469" t="n">
        <x:v>3</x:v>
      </x:c>
      <x:c r="F469" t="n">
        <x:v>3</x:v>
      </x:c>
      <x:c r="G469" t="str">
        <x:v>CIN</x:v>
      </x:c>
      <x:c r="H469" t="str">
        <x:v>MIN</x:v>
      </x:c>
      <x:c r="I469" t="str">
        <x:v>MIN</x:v>
      </x:c>
      <x:c r="J469" t="n">
        <x:v>23</x:v>
      </x:c>
      <x:c r="K469" t="str">
        <x:v>(13:03) (Shotgun) 6-J.Browning pass short left to 30-C.Brown to MIN 21 for 2 yards (0-I.Pace).</x:v>
      </x:c>
      <x:c r="L469" t="str">
        <x:v>pass</x:v>
      </x:c>
      <x:c r="M469" t="n">
        <x:v>2</x:v>
      </x:c>
      <x:c r="N469" t="n">
        <x:v>1</x:v>
      </x:c>
      <x:c r="O469" t="n">
        <x:v>0</x:v>
      </x:c>
      <x:c r="P469" t="str">
        <x:v>short</x:v>
      </x:c>
      <x:c r="Q469" t="str">
        <x:v>left</x:v>
      </x:c>
      <x:c r="R469" t="n">
        <x:v>0</x:v>
      </x:c>
      <x:c r="S469" t="n">
        <x:v>2</x:v>
      </x:c>
      <x:c r="T469"/>
      <x:c r="U469"/>
      <x:c r="V469" t="n">
        <x:v>1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/>
      <x:c r="AC469" t="n">
        <x:v>0</x:v>
      </x:c>
      <x:c r="AD469" t="n">
        <x:v>-0.875145667931065</x:v>
      </x:c>
      <x:c r="AE469" t="n">
        <x:v>0</x:v>
      </x:c>
      <x:c r="AF469" t="n">
        <x:v>0.000014832286979071796</x:v>
      </x:c>
      <x:c r="AG469" t="n">
        <x:f>_xlfn.XLOOKUP($A469,Games!$A$2:$A$18,Games!$B$2:$B$18,"Missing game",0)</x:f>
        <x:v>2025</x:v>
      </x:c>
      <x:c r="AH469" t="str">
        <x:f>_xlfn.XLOOKUP($A469,Games!$A$2:$A$18,Games!$C$2:$C$18,"Missing game",0)</x:f>
        <x:v>REG</x:v>
      </x:c>
      <x:c r="AI469" t="n">
        <x:f>_xlfn.XLOOKUP($A469,Games!$A$2:$A$18,Games!$D$2:$D$18,"Missing game",0)</x:f>
        <x:v>3</x:v>
      </x:c>
      <x:c r="AJ469" s="1" t="n">
        <x:f>_xlfn.XLOOKUP($A469,Games!$A$2:$A$18,Games!$E$2:$E$18,"Missing game",0)</x:f>
        <x:v>45921</x:v>
      </x:c>
      <x:c r="AK469" t="str">
        <x:f>_xlfn.XLOOKUP($A469,Games!$A$2:$A$18,Games!$F$2:$F$18,"Missing game",0)</x:f>
        <x:v>Sunday</x:v>
      </x:c>
      <x:c r="AL469" t="str">
        <x:f>_xlfn.XLOOKUP($A469,Games!$A$2:$A$18,Games!$G$2:$G$18,"Missing game",0)</x:f>
        <x:v>CIN</x:v>
      </x:c>
      <x:c r="AM469" t="n">
        <x:f>_xlfn.XLOOKUP($A469,Games!$A$2:$A$18,Games!$H$2:$H$18,"Missing game",0)</x:f>
        <x:v>10</x:v>
      </x:c>
      <x:c r="AN469" t="str">
        <x:f>_xlfn.XLOOKUP($A469,Games!$A$2:$A$18,Games!$I$2:$I$18,"Missing game",0)</x:f>
        <x:v>MIN</x:v>
      </x:c>
      <x:c r="AO469" t="n">
        <x:f>_xlfn.XLOOKUP($A469,Games!$A$2:$A$18,Games!$J$2:$J$18,"Missing game",0)</x:f>
        <x:v>48</x:v>
      </x:c>
      <x:c r="AP469" t="n">
        <x:f>_xlfn.XLOOKUP($A469,Games!$A$2:$A$18,Games!$K$2:$K$18,"Missing game",0)</x:f>
        <x:v>38</x:v>
      </x:c>
      <x:c r="AQ469" t="n">
        <x:f>_xlfn.XLOOKUP($A469,Games!$A$2:$A$18,Games!$L$2:$L$18,"Missing game",0)</x:f>
        <x:v>58</x:v>
      </x:c>
      <x:c r="AR469" t="n">
        <x:f>_xlfn.XLOOKUP($A469,Games!$A$2:$A$18,Games!$M$2:$M$18,"Missing game",0)</x:f>
        <x:v>0</x:v>
      </x:c>
      <x:c r="AS469" t="str">
        <x:f>_xlfn.XLOOKUP($A469,Games!$A$2:$A$18,Games!$N$2:$N$18,"Missing game",0)</x:f>
        <x:v>dome</x:v>
      </x:c>
      <x:c r="AT469" t="str">
        <x:f>_xlfn.XLOOKUP($A469,Games!$A$2:$A$18,Games!$O$2:$O$18,"Missing game",0)</x:f>
        <x:v>sportturf</x:v>
      </x:c>
      <x:c r="AU469" t="str">
        <x:f>_xlfn.XLOOKUP($A469,Games!$A$2:$A$18,Games!$P$2:$P$18,"Missing game",0)</x:f>
      </x:c>
      <x:c r="AV469" t="str">
        <x:f>_xlfn.XLOOKUP($A469,Games!$A$2:$A$18,Games!$Q$2:$Q$18,"Missing game",0)</x:f>
      </x:c>
      <x:c r="AW469" t="str">
        <x:f>_xlfn.XLOOKUP($A469,Games!$A$2:$A$18,Games!$R$2:$R$18,"Missing game",0)</x:f>
        <x:v>U.S. Bank Stadium</x:v>
      </x:c>
    </x:row>
    <x:row r="470">
      <x:c r="A470" t="str">
        <x:v>2025_03_CIN_MIN</x:v>
      </x:c>
      <x:c r="B470" t="n">
        <x:v>3493</x:v>
      </x:c>
      <x:c r="C470" t="n">
        <x:v>4</x:v>
      </x:c>
      <x:c r="D470" t="str">
        <x:v>13:03</x:v>
      </x:c>
      <x:c r="E470"/>
      <x:c r="F470" t="n">
        <x:v>0</x:v>
      </x:c>
      <x:c r="G470"/>
      <x:c r="H470"/>
      <x:c r="I470"/>
      <x:c r="J470"/>
      <x:c r="K470" t="str">
        <x:v>Timeout #1 by CIN at 13:03.</x:v>
      </x:c>
      <x:c r="L470" t="str">
        <x:v>no_play</x:v>
      </x:c>
      <x:c r="M470" t="n">
        <x:v>0</x:v>
      </x:c>
      <x:c r="N470" t="n">
        <x:v>0</x:v>
      </x:c>
      <x:c r="O470" t="n">
        <x:v>0</x:v>
      </x:c>
      <x:c r="P470"/>
      <x:c r="Q470"/>
      <x:c r="R470"/>
      <x:c r="S470"/>
      <x:c r="T470"/>
      <x:c r="U470"/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/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f>_xlfn.XLOOKUP($A470,Games!$A$2:$A$18,Games!$B$2:$B$18,"Missing game",0)</x:f>
        <x:v>2025</x:v>
      </x:c>
      <x:c r="AH470" t="str">
        <x:f>_xlfn.XLOOKUP($A470,Games!$A$2:$A$18,Games!$C$2:$C$18,"Missing game",0)</x:f>
        <x:v>REG</x:v>
      </x:c>
      <x:c r="AI470" t="n">
        <x:f>_xlfn.XLOOKUP($A470,Games!$A$2:$A$18,Games!$D$2:$D$18,"Missing game",0)</x:f>
        <x:v>3</x:v>
      </x:c>
      <x:c r="AJ470" s="1" t="n">
        <x:f>_xlfn.XLOOKUP($A470,Games!$A$2:$A$18,Games!$E$2:$E$18,"Missing game",0)</x:f>
        <x:v>45921</x:v>
      </x:c>
      <x:c r="AK470" t="str">
        <x:f>_xlfn.XLOOKUP($A470,Games!$A$2:$A$18,Games!$F$2:$F$18,"Missing game",0)</x:f>
        <x:v>Sunday</x:v>
      </x:c>
      <x:c r="AL470" t="str">
        <x:f>_xlfn.XLOOKUP($A470,Games!$A$2:$A$18,Games!$G$2:$G$18,"Missing game",0)</x:f>
        <x:v>CIN</x:v>
      </x:c>
      <x:c r="AM470" t="n">
        <x:f>_xlfn.XLOOKUP($A470,Games!$A$2:$A$18,Games!$H$2:$H$18,"Missing game",0)</x:f>
        <x:v>10</x:v>
      </x:c>
      <x:c r="AN470" t="str">
        <x:f>_xlfn.XLOOKUP($A470,Games!$A$2:$A$18,Games!$I$2:$I$18,"Missing game",0)</x:f>
        <x:v>MIN</x:v>
      </x:c>
      <x:c r="AO470" t="n">
        <x:f>_xlfn.XLOOKUP($A470,Games!$A$2:$A$18,Games!$J$2:$J$18,"Missing game",0)</x:f>
        <x:v>48</x:v>
      </x:c>
      <x:c r="AP470" t="n">
        <x:f>_xlfn.XLOOKUP($A470,Games!$A$2:$A$18,Games!$K$2:$K$18,"Missing game",0)</x:f>
        <x:v>38</x:v>
      </x:c>
      <x:c r="AQ470" t="n">
        <x:f>_xlfn.XLOOKUP($A470,Games!$A$2:$A$18,Games!$L$2:$L$18,"Missing game",0)</x:f>
        <x:v>58</x:v>
      </x:c>
      <x:c r="AR470" t="n">
        <x:f>_xlfn.XLOOKUP($A470,Games!$A$2:$A$18,Games!$M$2:$M$18,"Missing game",0)</x:f>
        <x:v>0</x:v>
      </x:c>
      <x:c r="AS470" t="str">
        <x:f>_xlfn.XLOOKUP($A470,Games!$A$2:$A$18,Games!$N$2:$N$18,"Missing game",0)</x:f>
        <x:v>dome</x:v>
      </x:c>
      <x:c r="AT470" t="str">
        <x:f>_xlfn.XLOOKUP($A470,Games!$A$2:$A$18,Games!$O$2:$O$18,"Missing game",0)</x:f>
        <x:v>sportturf</x:v>
      </x:c>
      <x:c r="AU470" t="str">
        <x:f>_xlfn.XLOOKUP($A470,Games!$A$2:$A$18,Games!$P$2:$P$18,"Missing game",0)</x:f>
      </x:c>
      <x:c r="AV470" t="str">
        <x:f>_xlfn.XLOOKUP($A470,Games!$A$2:$A$18,Games!$Q$2:$Q$18,"Missing game",0)</x:f>
      </x:c>
      <x:c r="AW470" t="str">
        <x:f>_xlfn.XLOOKUP($A470,Games!$A$2:$A$18,Games!$R$2:$R$18,"Missing game",0)</x:f>
        <x:v>U.S. Bank Stadium</x:v>
      </x:c>
    </x:row>
    <x:row r="471">
      <x:c r="A471" t="str">
        <x:v>2025_03_CIN_MIN</x:v>
      </x:c>
      <x:c r="B471" t="n">
        <x:v>3513</x:v>
      </x:c>
      <x:c r="C471" t="n">
        <x:v>4</x:v>
      </x:c>
      <x:c r="D471" t="str">
        <x:v>12:30</x:v>
      </x:c>
      <x:c r="E471" t="n">
        <x:v>4</x:v>
      </x:c>
      <x:c r="F471" t="n">
        <x:v>1</x:v>
      </x:c>
      <x:c r="G471" t="str">
        <x:v>CIN</x:v>
      </x:c>
      <x:c r="H471" t="str">
        <x:v>MIN</x:v>
      </x:c>
      <x:c r="I471" t="str">
        <x:v>MIN</x:v>
      </x:c>
      <x:c r="J471" t="n">
        <x:v>21</x:v>
      </x:c>
      <x:c r="K471" t="str">
        <x:v>(12:30) 6-J.Browning up the middle to MIN 19 for 2 yards (61-J.Redmond; 50-L.Rodriguez). PENALTY on MIN, Defensive Too Many Men on Field, 6 yards, enforced at MIN 21 - No Play.</x:v>
      </x:c>
      <x:c r="L471" t="str">
        <x:v>no_play</x:v>
      </x:c>
      <x:c r="M471" t="n">
        <x:v>0</x:v>
      </x:c>
      <x:c r="N471" t="n">
        <x:v>0</x:v>
      </x:c>
      <x:c r="O471" t="n">
        <x:v>0</x:v>
      </x:c>
      <x:c r="P471"/>
      <x:c r="Q471"/>
      <x:c r="R471"/>
      <x:c r="S471"/>
      <x:c r="T471"/>
      <x:c r="U471"/>
      <x:c r="V471" t="n">
        <x:v>0</x:v>
      </x:c>
      <x:c r="W471" t="n">
        <x:v>1</x:v>
      </x:c>
      <x:c r="X471" t="n">
        <x:v>0</x:v>
      </x:c>
      <x:c r="Y471" t="n">
        <x:v>0</x:v>
      </x:c>
      <x:c r="Z471" t="n">
        <x:v>0</x:v>
      </x:c>
      <x:c r="AA471" t="n">
        <x:v>1</x:v>
      </x:c>
      <x:c r="AB471" t="n">
        <x:v>6</x:v>
      </x:c>
      <x:c r="AC471" t="n">
        <x:v>0</x:v>
      </x:c>
      <x:c r="AD471" t="n">
        <x:v>2.0923666961025447</x:v>
      </x:c>
      <x:c r="AE471" t="n">
        <x:v>1</x:v>
      </x:c>
      <x:c r="AF471" t="n">
        <x:v>0.00001854411675594747</x:v>
      </x:c>
      <x:c r="AG471" t="n">
        <x:f>_xlfn.XLOOKUP($A471,Games!$A$2:$A$18,Games!$B$2:$B$18,"Missing game",0)</x:f>
        <x:v>2025</x:v>
      </x:c>
      <x:c r="AH471" t="str">
        <x:f>_xlfn.XLOOKUP($A471,Games!$A$2:$A$18,Games!$C$2:$C$18,"Missing game",0)</x:f>
        <x:v>REG</x:v>
      </x:c>
      <x:c r="AI471" t="n">
        <x:f>_xlfn.XLOOKUP($A471,Games!$A$2:$A$18,Games!$D$2:$D$18,"Missing game",0)</x:f>
        <x:v>3</x:v>
      </x:c>
      <x:c r="AJ471" s="1" t="n">
        <x:f>_xlfn.XLOOKUP($A471,Games!$A$2:$A$18,Games!$E$2:$E$18,"Missing game",0)</x:f>
        <x:v>45921</x:v>
      </x:c>
      <x:c r="AK471" t="str">
        <x:f>_xlfn.XLOOKUP($A471,Games!$A$2:$A$18,Games!$F$2:$F$18,"Missing game",0)</x:f>
        <x:v>Sunday</x:v>
      </x:c>
      <x:c r="AL471" t="str">
        <x:f>_xlfn.XLOOKUP($A471,Games!$A$2:$A$18,Games!$G$2:$G$18,"Missing game",0)</x:f>
        <x:v>CIN</x:v>
      </x:c>
      <x:c r="AM471" t="n">
        <x:f>_xlfn.XLOOKUP($A471,Games!$A$2:$A$18,Games!$H$2:$H$18,"Missing game",0)</x:f>
        <x:v>10</x:v>
      </x:c>
      <x:c r="AN471" t="str">
        <x:f>_xlfn.XLOOKUP($A471,Games!$A$2:$A$18,Games!$I$2:$I$18,"Missing game",0)</x:f>
        <x:v>MIN</x:v>
      </x:c>
      <x:c r="AO471" t="n">
        <x:f>_xlfn.XLOOKUP($A471,Games!$A$2:$A$18,Games!$J$2:$J$18,"Missing game",0)</x:f>
        <x:v>48</x:v>
      </x:c>
      <x:c r="AP471" t="n">
        <x:f>_xlfn.XLOOKUP($A471,Games!$A$2:$A$18,Games!$K$2:$K$18,"Missing game",0)</x:f>
        <x:v>38</x:v>
      </x:c>
      <x:c r="AQ471" t="n">
        <x:f>_xlfn.XLOOKUP($A471,Games!$A$2:$A$18,Games!$L$2:$L$18,"Missing game",0)</x:f>
        <x:v>58</x:v>
      </x:c>
      <x:c r="AR471" t="n">
        <x:f>_xlfn.XLOOKUP($A471,Games!$A$2:$A$18,Games!$M$2:$M$18,"Missing game",0)</x:f>
        <x:v>0</x:v>
      </x:c>
      <x:c r="AS471" t="str">
        <x:f>_xlfn.XLOOKUP($A471,Games!$A$2:$A$18,Games!$N$2:$N$18,"Missing game",0)</x:f>
        <x:v>dome</x:v>
      </x:c>
      <x:c r="AT471" t="str">
        <x:f>_xlfn.XLOOKUP($A471,Games!$A$2:$A$18,Games!$O$2:$O$18,"Missing game",0)</x:f>
        <x:v>sportturf</x:v>
      </x:c>
      <x:c r="AU471" t="str">
        <x:f>_xlfn.XLOOKUP($A471,Games!$A$2:$A$18,Games!$P$2:$P$18,"Missing game",0)</x:f>
      </x:c>
      <x:c r="AV471" t="str">
        <x:f>_xlfn.XLOOKUP($A471,Games!$A$2:$A$18,Games!$Q$2:$Q$18,"Missing game",0)</x:f>
      </x:c>
      <x:c r="AW471" t="str">
        <x:f>_xlfn.XLOOKUP($A471,Games!$A$2:$A$18,Games!$R$2:$R$18,"Missing game",0)</x:f>
        <x:v>U.S. Bank Stadium</x:v>
      </x:c>
    </x:row>
    <x:row r="472">
      <x:c r="A472" t="str">
        <x:v>2025_03_CIN_MIN</x:v>
      </x:c>
      <x:c r="B472" t="n">
        <x:v>3535</x:v>
      </x:c>
      <x:c r="C472" t="n">
        <x:v>4</x:v>
      </x:c>
      <x:c r="D472" t="str">
        <x:v>12:03</x:v>
      </x:c>
      <x:c r="E472" t="n">
        <x:v>1</x:v>
      </x:c>
      <x:c r="F472" t="n">
        <x:v>10</x:v>
      </x:c>
      <x:c r="G472" t="str">
        <x:v>CIN</x:v>
      </x:c>
      <x:c r="H472" t="str">
        <x:v>MIN</x:v>
      </x:c>
      <x:c r="I472" t="str">
        <x:v>MIN</x:v>
      </x:c>
      <x:c r="J472" t="n">
        <x:v>15</x:v>
      </x:c>
      <x:c r="K472" t="str">
        <x:v>(12:03) (Shotgun) 6-J.Browning pass incomplete short right to 5-T.Higgins. PENALTY on MIN-6-D.McGlothern, Defensive Pass Interference, 14 yards, enforced at MIN 15 - No Play.</x:v>
      </x:c>
      <x:c r="L472" t="str">
        <x:v>no_play</x:v>
      </x:c>
      <x:c r="M472" t="n">
        <x:v>0</x:v>
      </x:c>
      <x:c r="N472" t="n">
        <x:v>1</x:v>
      </x:c>
      <x:c r="O472" t="n">
        <x:v>0</x:v>
      </x:c>
      <x:c r="P472"/>
      <x:c r="Q472"/>
      <x:c r="R472"/>
      <x:c r="S472"/>
      <x:c r="T472"/>
      <x:c r="U472"/>
      <x:c r="V472" t="n">
        <x:v>0</x:v>
      </x:c>
      <x:c r="W472" t="n">
        <x:v>1</x:v>
      </x:c>
      <x:c r="X472" t="n">
        <x:v>0</x:v>
      </x:c>
      <x:c r="Y472" t="n">
        <x:v>0</x:v>
      </x:c>
      <x:c r="Z472" t="n">
        <x:v>0</x:v>
      </x:c>
      <x:c r="AA472" t="n">
        <x:v>1</x:v>
      </x:c>
      <x:c r="AB472" t="n">
        <x:v>14</x:v>
      </x:c>
      <x:c r="AC472" t="n">
        <x:v>0</x:v>
      </x:c>
      <x:c r="AD472" t="n">
        <x:v>1.4391482890350744</x:v>
      </x:c>
      <x:c r="AE472" t="n">
        <x:v>1</x:v>
      </x:c>
      <x:c r="AF472" t="n">
        <x:v>0.00025903435016516596</x:v>
      </x:c>
      <x:c r="AG472" t="n">
        <x:f>_xlfn.XLOOKUP($A472,Games!$A$2:$A$18,Games!$B$2:$B$18,"Missing game",0)</x:f>
        <x:v>2025</x:v>
      </x:c>
      <x:c r="AH472" t="str">
        <x:f>_xlfn.XLOOKUP($A472,Games!$A$2:$A$18,Games!$C$2:$C$18,"Missing game",0)</x:f>
        <x:v>REG</x:v>
      </x:c>
      <x:c r="AI472" t="n">
        <x:f>_xlfn.XLOOKUP($A472,Games!$A$2:$A$18,Games!$D$2:$D$18,"Missing game",0)</x:f>
        <x:v>3</x:v>
      </x:c>
      <x:c r="AJ472" s="1" t="n">
        <x:f>_xlfn.XLOOKUP($A472,Games!$A$2:$A$18,Games!$E$2:$E$18,"Missing game",0)</x:f>
        <x:v>45921</x:v>
      </x:c>
      <x:c r="AK472" t="str">
        <x:f>_xlfn.XLOOKUP($A472,Games!$A$2:$A$18,Games!$F$2:$F$18,"Missing game",0)</x:f>
        <x:v>Sunday</x:v>
      </x:c>
      <x:c r="AL472" t="str">
        <x:f>_xlfn.XLOOKUP($A472,Games!$A$2:$A$18,Games!$G$2:$G$18,"Missing game",0)</x:f>
        <x:v>CIN</x:v>
      </x:c>
      <x:c r="AM472" t="n">
        <x:f>_xlfn.XLOOKUP($A472,Games!$A$2:$A$18,Games!$H$2:$H$18,"Missing game",0)</x:f>
        <x:v>10</x:v>
      </x:c>
      <x:c r="AN472" t="str">
        <x:f>_xlfn.XLOOKUP($A472,Games!$A$2:$A$18,Games!$I$2:$I$18,"Missing game",0)</x:f>
        <x:v>MIN</x:v>
      </x:c>
      <x:c r="AO472" t="n">
        <x:f>_xlfn.XLOOKUP($A472,Games!$A$2:$A$18,Games!$J$2:$J$18,"Missing game",0)</x:f>
        <x:v>48</x:v>
      </x:c>
      <x:c r="AP472" t="n">
        <x:f>_xlfn.XLOOKUP($A472,Games!$A$2:$A$18,Games!$K$2:$K$18,"Missing game",0)</x:f>
        <x:v>38</x:v>
      </x:c>
      <x:c r="AQ472" t="n">
        <x:f>_xlfn.XLOOKUP($A472,Games!$A$2:$A$18,Games!$L$2:$L$18,"Missing game",0)</x:f>
        <x:v>58</x:v>
      </x:c>
      <x:c r="AR472" t="n">
        <x:f>_xlfn.XLOOKUP($A472,Games!$A$2:$A$18,Games!$M$2:$M$18,"Missing game",0)</x:f>
        <x:v>0</x:v>
      </x:c>
      <x:c r="AS472" t="str">
        <x:f>_xlfn.XLOOKUP($A472,Games!$A$2:$A$18,Games!$N$2:$N$18,"Missing game",0)</x:f>
        <x:v>dome</x:v>
      </x:c>
      <x:c r="AT472" t="str">
        <x:f>_xlfn.XLOOKUP($A472,Games!$A$2:$A$18,Games!$O$2:$O$18,"Missing game",0)</x:f>
        <x:v>sportturf</x:v>
      </x:c>
      <x:c r="AU472" t="str">
        <x:f>_xlfn.XLOOKUP($A472,Games!$A$2:$A$18,Games!$P$2:$P$18,"Missing game",0)</x:f>
      </x:c>
      <x:c r="AV472" t="str">
        <x:f>_xlfn.XLOOKUP($A472,Games!$A$2:$A$18,Games!$Q$2:$Q$18,"Missing game",0)</x:f>
      </x:c>
      <x:c r="AW472" t="str">
        <x:f>_xlfn.XLOOKUP($A472,Games!$A$2:$A$18,Games!$R$2:$R$18,"Missing game",0)</x:f>
        <x:v>U.S. Bank Stadium</x:v>
      </x:c>
    </x:row>
    <x:row r="473">
      <x:c r="A473" t="str">
        <x:v>2025_03_CIN_MIN</x:v>
      </x:c>
      <x:c r="B473" t="n">
        <x:v>3581</x:v>
      </x:c>
      <x:c r="C473" t="n">
        <x:v>4</x:v>
      </x:c>
      <x:c r="D473" t="str">
        <x:v>11:58</x:v>
      </x:c>
      <x:c r="E473" t="n">
        <x:v>1</x:v>
      </x:c>
      <x:c r="F473" t="n">
        <x:v>1</x:v>
      </x:c>
      <x:c r="G473" t="str">
        <x:v>CIN</x:v>
      </x:c>
      <x:c r="H473" t="str">
        <x:v>MIN</x:v>
      </x:c>
      <x:c r="I473" t="str">
        <x:v>MIN</x:v>
      </x:c>
      <x:c r="J473" t="n">
        <x:v>1</x:v>
      </x:c>
      <x:c r="K473" t="str">
        <x:v>(11:58) 30-C.Brown right guard to MIN 4 for -3 yards (50-L.Rodriguez).</x:v>
      </x:c>
      <x:c r="L473" t="str">
        <x:v>run</x:v>
      </x:c>
      <x:c r="M473" t="n">
        <x:v>-3</x:v>
      </x:c>
      <x:c r="N473" t="n">
        <x:v>0</x:v>
      </x:c>
      <x:c r="O473" t="n">
        <x:v>0</x:v>
      </x:c>
      <x:c r="P473"/>
      <x:c r="Q473"/>
      <x:c r="R473"/>
      <x:c r="S473"/>
      <x:c r="T473" t="str">
        <x:v>right</x:v>
      </x:c>
      <x:c r="U473" t="str">
        <x:v>guard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/>
      <x:c r="AC473" t="n">
        <x:v>0</x:v>
      </x:c>
      <x:c r="AD473" t="n">
        <x:v>-0.9220347813679837</x:v>
      </x:c>
      <x:c r="AE473" t="n">
        <x:v>0</x:v>
      </x:c>
      <x:c r="AF473" t="n">
        <x:v>-0.000056801363825798035</x:v>
      </x:c>
      <x:c r="AG473" t="n">
        <x:f>_xlfn.XLOOKUP($A473,Games!$A$2:$A$18,Games!$B$2:$B$18,"Missing game",0)</x:f>
        <x:v>2025</x:v>
      </x:c>
      <x:c r="AH473" t="str">
        <x:f>_xlfn.XLOOKUP($A473,Games!$A$2:$A$18,Games!$C$2:$C$18,"Missing game",0)</x:f>
        <x:v>REG</x:v>
      </x:c>
      <x:c r="AI473" t="n">
        <x:f>_xlfn.XLOOKUP($A473,Games!$A$2:$A$18,Games!$D$2:$D$18,"Missing game",0)</x:f>
        <x:v>3</x:v>
      </x:c>
      <x:c r="AJ473" s="1" t="n">
        <x:f>_xlfn.XLOOKUP($A473,Games!$A$2:$A$18,Games!$E$2:$E$18,"Missing game",0)</x:f>
        <x:v>45921</x:v>
      </x:c>
      <x:c r="AK473" t="str">
        <x:f>_xlfn.XLOOKUP($A473,Games!$A$2:$A$18,Games!$F$2:$F$18,"Missing game",0)</x:f>
        <x:v>Sunday</x:v>
      </x:c>
      <x:c r="AL473" t="str">
        <x:f>_xlfn.XLOOKUP($A473,Games!$A$2:$A$18,Games!$G$2:$G$18,"Missing game",0)</x:f>
        <x:v>CIN</x:v>
      </x:c>
      <x:c r="AM473" t="n">
        <x:f>_xlfn.XLOOKUP($A473,Games!$A$2:$A$18,Games!$H$2:$H$18,"Missing game",0)</x:f>
        <x:v>10</x:v>
      </x:c>
      <x:c r="AN473" t="str">
        <x:f>_xlfn.XLOOKUP($A473,Games!$A$2:$A$18,Games!$I$2:$I$18,"Missing game",0)</x:f>
        <x:v>MIN</x:v>
      </x:c>
      <x:c r="AO473" t="n">
        <x:f>_xlfn.XLOOKUP($A473,Games!$A$2:$A$18,Games!$J$2:$J$18,"Missing game",0)</x:f>
        <x:v>48</x:v>
      </x:c>
      <x:c r="AP473" t="n">
        <x:f>_xlfn.XLOOKUP($A473,Games!$A$2:$A$18,Games!$K$2:$K$18,"Missing game",0)</x:f>
        <x:v>38</x:v>
      </x:c>
      <x:c r="AQ473" t="n">
        <x:f>_xlfn.XLOOKUP($A473,Games!$A$2:$A$18,Games!$L$2:$L$18,"Missing game",0)</x:f>
        <x:v>58</x:v>
      </x:c>
      <x:c r="AR473" t="n">
        <x:f>_xlfn.XLOOKUP($A473,Games!$A$2:$A$18,Games!$M$2:$M$18,"Missing game",0)</x:f>
        <x:v>0</x:v>
      </x:c>
      <x:c r="AS473" t="str">
        <x:f>_xlfn.XLOOKUP($A473,Games!$A$2:$A$18,Games!$N$2:$N$18,"Missing game",0)</x:f>
        <x:v>dome</x:v>
      </x:c>
      <x:c r="AT473" t="str">
        <x:f>_xlfn.XLOOKUP($A473,Games!$A$2:$A$18,Games!$O$2:$O$18,"Missing game",0)</x:f>
        <x:v>sportturf</x:v>
      </x:c>
      <x:c r="AU473" t="str">
        <x:f>_xlfn.XLOOKUP($A473,Games!$A$2:$A$18,Games!$P$2:$P$18,"Missing game",0)</x:f>
      </x:c>
      <x:c r="AV473" t="str">
        <x:f>_xlfn.XLOOKUP($A473,Games!$A$2:$A$18,Games!$Q$2:$Q$18,"Missing game",0)</x:f>
      </x:c>
      <x:c r="AW473" t="str">
        <x:f>_xlfn.XLOOKUP($A473,Games!$A$2:$A$18,Games!$R$2:$R$18,"Missing game",0)</x:f>
        <x:v>U.S. Bank Stadium</x:v>
      </x:c>
    </x:row>
    <x:row r="474">
      <x:c r="A474" t="str">
        <x:v>2025_03_CIN_MIN</x:v>
      </x:c>
      <x:c r="B474" t="n">
        <x:v>3603</x:v>
      </x:c>
      <x:c r="C474" t="n">
        <x:v>4</x:v>
      </x:c>
      <x:c r="D474" t="str">
        <x:v>11:20</x:v>
      </x:c>
      <x:c r="E474" t="n">
        <x:v>2</x:v>
      </x:c>
      <x:c r="F474" t="n">
        <x:v>4</x:v>
      </x:c>
      <x:c r="G474" t="str">
        <x:v>CIN</x:v>
      </x:c>
      <x:c r="H474" t="str">
        <x:v>MIN</x:v>
      </x:c>
      <x:c r="I474" t="str">
        <x:v>MIN</x:v>
      </x:c>
      <x:c r="J474" t="n">
        <x:v>4</x:v>
      </x:c>
      <x:c r="K474" t="str">
        <x:v>(11:20) (Shotgun) 6-J.Browning pass short left to 89-D.Sample for 4 yards, TOUCHDOWN. Penalty on MIN-8-J.Okudah, Illegal Use of Hands, declined.</x:v>
      </x:c>
      <x:c r="L474" t="str">
        <x:v>pass</x:v>
      </x:c>
      <x:c r="M474" t="n">
        <x:v>4</x:v>
      </x:c>
      <x:c r="N474" t="n">
        <x:v>1</x:v>
      </x:c>
      <x:c r="O474" t="n">
        <x:v>0</x:v>
      </x:c>
      <x:c r="P474" t="str">
        <x:v>short</x:v>
      </x:c>
      <x:c r="Q474" t="str">
        <x:v>left</x:v>
      </x:c>
      <x:c r="R474" t="n">
        <x:v>-1</x:v>
      </x:c>
      <x:c r="S474" t="n">
        <x:v>5</x:v>
      </x:c>
      <x:c r="T474"/>
      <x:c r="U474"/>
      <x:c r="V474" t="n">
        <x:v>1</x:v>
      </x:c>
      <x:c r="W474" t="n">
        <x:v>1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/>
      <x:c r="AC474" t="n">
        <x:v>1</x:v>
      </x:c>
      <x:c r="AD474" t="n">
        <x:v>1.4861924074939452</x:v>
      </x:c>
      <x:c r="AE474" t="n">
        <x:v>1</x:v>
      </x:c>
      <x:c r="AF474" t="n">
        <x:v>-0.00023789054830558598</x:v>
      </x:c>
      <x:c r="AG474" t="n">
        <x:f>_xlfn.XLOOKUP($A474,Games!$A$2:$A$18,Games!$B$2:$B$18,"Missing game",0)</x:f>
        <x:v>2025</x:v>
      </x:c>
      <x:c r="AH474" t="str">
        <x:f>_xlfn.XLOOKUP($A474,Games!$A$2:$A$18,Games!$C$2:$C$18,"Missing game",0)</x:f>
        <x:v>REG</x:v>
      </x:c>
      <x:c r="AI474" t="n">
        <x:f>_xlfn.XLOOKUP($A474,Games!$A$2:$A$18,Games!$D$2:$D$18,"Missing game",0)</x:f>
        <x:v>3</x:v>
      </x:c>
      <x:c r="AJ474" s="1" t="n">
        <x:f>_xlfn.XLOOKUP($A474,Games!$A$2:$A$18,Games!$E$2:$E$18,"Missing game",0)</x:f>
        <x:v>45921</x:v>
      </x:c>
      <x:c r="AK474" t="str">
        <x:f>_xlfn.XLOOKUP($A474,Games!$A$2:$A$18,Games!$F$2:$F$18,"Missing game",0)</x:f>
        <x:v>Sunday</x:v>
      </x:c>
      <x:c r="AL474" t="str">
        <x:f>_xlfn.XLOOKUP($A474,Games!$A$2:$A$18,Games!$G$2:$G$18,"Missing game",0)</x:f>
        <x:v>CIN</x:v>
      </x:c>
      <x:c r="AM474" t="n">
        <x:f>_xlfn.XLOOKUP($A474,Games!$A$2:$A$18,Games!$H$2:$H$18,"Missing game",0)</x:f>
        <x:v>10</x:v>
      </x:c>
      <x:c r="AN474" t="str">
        <x:f>_xlfn.XLOOKUP($A474,Games!$A$2:$A$18,Games!$I$2:$I$18,"Missing game",0)</x:f>
        <x:v>MIN</x:v>
      </x:c>
      <x:c r="AO474" t="n">
        <x:f>_xlfn.XLOOKUP($A474,Games!$A$2:$A$18,Games!$J$2:$J$18,"Missing game",0)</x:f>
        <x:v>48</x:v>
      </x:c>
      <x:c r="AP474" t="n">
        <x:f>_xlfn.XLOOKUP($A474,Games!$A$2:$A$18,Games!$K$2:$K$18,"Missing game",0)</x:f>
        <x:v>38</x:v>
      </x:c>
      <x:c r="AQ474" t="n">
        <x:f>_xlfn.XLOOKUP($A474,Games!$A$2:$A$18,Games!$L$2:$L$18,"Missing game",0)</x:f>
        <x:v>58</x:v>
      </x:c>
      <x:c r="AR474" t="n">
        <x:f>_xlfn.XLOOKUP($A474,Games!$A$2:$A$18,Games!$M$2:$M$18,"Missing game",0)</x:f>
        <x:v>0</x:v>
      </x:c>
      <x:c r="AS474" t="str">
        <x:f>_xlfn.XLOOKUP($A474,Games!$A$2:$A$18,Games!$N$2:$N$18,"Missing game",0)</x:f>
        <x:v>dome</x:v>
      </x:c>
      <x:c r="AT474" t="str">
        <x:f>_xlfn.XLOOKUP($A474,Games!$A$2:$A$18,Games!$O$2:$O$18,"Missing game",0)</x:f>
        <x:v>sportturf</x:v>
      </x:c>
      <x:c r="AU474" t="str">
        <x:f>_xlfn.XLOOKUP($A474,Games!$A$2:$A$18,Games!$P$2:$P$18,"Missing game",0)</x:f>
      </x:c>
      <x:c r="AV474" t="str">
        <x:f>_xlfn.XLOOKUP($A474,Games!$A$2:$A$18,Games!$Q$2:$Q$18,"Missing game",0)</x:f>
      </x:c>
      <x:c r="AW474" t="str">
        <x:f>_xlfn.XLOOKUP($A474,Games!$A$2:$A$18,Games!$R$2:$R$18,"Missing game",0)</x:f>
        <x:v>U.S. Bank Stadium</x:v>
      </x:c>
    </x:row>
    <x:row r="475">
      <x:c r="A475" t="str">
        <x:v>2025_03_CIN_MIN</x:v>
      </x:c>
      <x:c r="B475" t="n">
        <x:v>3640</x:v>
      </x:c>
      <x:c r="C475" t="n">
        <x:v>4</x:v>
      </x:c>
      <x:c r="D475" t="str">
        <x:v>11:12</x:v>
      </x:c>
      <x:c r="E475"/>
      <x:c r="F475" t="n">
        <x:v>0</x:v>
      </x:c>
      <x:c r="G475" t="str">
        <x:v>CIN</x:v>
      </x:c>
      <x:c r="H475" t="str">
        <x:v>MIN</x:v>
      </x:c>
      <x:c r="I475" t="str">
        <x:v>MIN</x:v>
      </x:c>
      <x:c r="J475" t="n">
        <x:v>15</x:v>
      </x:c>
      <x:c r="K475" t="str">
        <x:v>2-E.McPherson extra point is GOOD, Center-46-W.Wagner, Holder-8-R.Rehkow.</x:v>
      </x:c>
      <x:c r="L475" t="str">
        <x:v>extra_point</x:v>
      </x:c>
      <x:c r="M475" t="n">
        <x:v>0</x:v>
      </x:c>
      <x:c r="N475" t="n">
        <x:v>0</x:v>
      </x:c>
      <x:c r="O475" t="n">
        <x:v>0</x:v>
      </x:c>
      <x:c r="P475"/>
      <x:c r="Q475"/>
      <x:c r="R475"/>
      <x:c r="S475"/>
      <x:c r="T475"/>
      <x:c r="U475"/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/>
      <x:c r="AC475" t="n">
        <x:v>0</x:v>
      </x:c>
      <x:c r="AD475" t="n">
        <x:v>0.05117156607063911</x:v>
      </x:c>
      <x:c r="AE475" t="n">
        <x:v>1</x:v>
      </x:c>
      <x:c r="AF475" t="n">
        <x:v>0</x:v>
      </x:c>
      <x:c r="AG475" t="n">
        <x:f>_xlfn.XLOOKUP($A475,Games!$A$2:$A$18,Games!$B$2:$B$18,"Missing game",0)</x:f>
        <x:v>2025</x:v>
      </x:c>
      <x:c r="AH475" t="str">
        <x:f>_xlfn.XLOOKUP($A475,Games!$A$2:$A$18,Games!$C$2:$C$18,"Missing game",0)</x:f>
        <x:v>REG</x:v>
      </x:c>
      <x:c r="AI475" t="n">
        <x:f>_xlfn.XLOOKUP($A475,Games!$A$2:$A$18,Games!$D$2:$D$18,"Missing game",0)</x:f>
        <x:v>3</x:v>
      </x:c>
      <x:c r="AJ475" s="1" t="n">
        <x:f>_xlfn.XLOOKUP($A475,Games!$A$2:$A$18,Games!$E$2:$E$18,"Missing game",0)</x:f>
        <x:v>45921</x:v>
      </x:c>
      <x:c r="AK475" t="str">
        <x:f>_xlfn.XLOOKUP($A475,Games!$A$2:$A$18,Games!$F$2:$F$18,"Missing game",0)</x:f>
        <x:v>Sunday</x:v>
      </x:c>
      <x:c r="AL475" t="str">
        <x:f>_xlfn.XLOOKUP($A475,Games!$A$2:$A$18,Games!$G$2:$G$18,"Missing game",0)</x:f>
        <x:v>CIN</x:v>
      </x:c>
      <x:c r="AM475" t="n">
        <x:f>_xlfn.XLOOKUP($A475,Games!$A$2:$A$18,Games!$H$2:$H$18,"Missing game",0)</x:f>
        <x:v>10</x:v>
      </x:c>
      <x:c r="AN475" t="str">
        <x:f>_xlfn.XLOOKUP($A475,Games!$A$2:$A$18,Games!$I$2:$I$18,"Missing game",0)</x:f>
        <x:v>MIN</x:v>
      </x:c>
      <x:c r="AO475" t="n">
        <x:f>_xlfn.XLOOKUP($A475,Games!$A$2:$A$18,Games!$J$2:$J$18,"Missing game",0)</x:f>
        <x:v>48</x:v>
      </x:c>
      <x:c r="AP475" t="n">
        <x:f>_xlfn.XLOOKUP($A475,Games!$A$2:$A$18,Games!$K$2:$K$18,"Missing game",0)</x:f>
        <x:v>38</x:v>
      </x:c>
      <x:c r="AQ475" t="n">
        <x:f>_xlfn.XLOOKUP($A475,Games!$A$2:$A$18,Games!$L$2:$L$18,"Missing game",0)</x:f>
        <x:v>58</x:v>
      </x:c>
      <x:c r="AR475" t="n">
        <x:f>_xlfn.XLOOKUP($A475,Games!$A$2:$A$18,Games!$M$2:$M$18,"Missing game",0)</x:f>
        <x:v>0</x:v>
      </x:c>
      <x:c r="AS475" t="str">
        <x:f>_xlfn.XLOOKUP($A475,Games!$A$2:$A$18,Games!$N$2:$N$18,"Missing game",0)</x:f>
        <x:v>dome</x:v>
      </x:c>
      <x:c r="AT475" t="str">
        <x:f>_xlfn.XLOOKUP($A475,Games!$A$2:$A$18,Games!$O$2:$O$18,"Missing game",0)</x:f>
        <x:v>sportturf</x:v>
      </x:c>
      <x:c r="AU475" t="str">
        <x:f>_xlfn.XLOOKUP($A475,Games!$A$2:$A$18,Games!$P$2:$P$18,"Missing game",0)</x:f>
      </x:c>
      <x:c r="AV475" t="str">
        <x:f>_xlfn.XLOOKUP($A475,Games!$A$2:$A$18,Games!$Q$2:$Q$18,"Missing game",0)</x:f>
      </x:c>
      <x:c r="AW475" t="str">
        <x:f>_xlfn.XLOOKUP($A475,Games!$A$2:$A$18,Games!$R$2:$R$18,"Missing game",0)</x:f>
        <x:v>U.S. Bank Stadium</x:v>
      </x:c>
    </x:row>
    <x:row r="476">
      <x:c r="A476" t="str">
        <x:v>2025_03_CIN_MIN</x:v>
      </x:c>
      <x:c r="B476" t="n">
        <x:v>3655</x:v>
      </x:c>
      <x:c r="C476" t="n">
        <x:v>4</x:v>
      </x:c>
      <x:c r="D476" t="str">
        <x:v>11:12</x:v>
      </x:c>
      <x:c r="E476"/>
      <x:c r="F476" t="n">
        <x:v>0</x:v>
      </x:c>
      <x:c r="G476" t="str">
        <x:v>MIN</x:v>
      </x:c>
      <x:c r="H476" t="str">
        <x:v>CIN</x:v>
      </x:c>
      <x:c r="I476" t="str">
        <x:v>CIN</x:v>
      </x:c>
      <x:c r="J476" t="n">
        <x:v>35</x:v>
      </x:c>
      <x:c r="K476" t="str">
        <x:v>2-E.McPherson kicks 64 yards from CIN 35 to MIN 1. 13-T.Felton to MIN 35 for 34 yards (25-T.Brooks).</x:v>
      </x:c>
      <x:c r="L476" t="str">
        <x:v>kickoff</x:v>
      </x:c>
      <x:c r="M476" t="n">
        <x:v>0</x:v>
      </x:c>
      <x:c r="N476" t="n">
        <x:v>0</x:v>
      </x:c>
      <x:c r="O476" t="n">
        <x:v>0</x:v>
      </x:c>
      <x:c r="P476"/>
      <x:c r="Q476"/>
      <x:c r="R476"/>
      <x:c r="S476"/>
      <x:c r="T476"/>
      <x:c r="U476"/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/>
      <x:c r="AC476" t="n">
        <x:v>0</x:v>
      </x:c>
      <x:c r="AD476" t="n">
        <x:v>0.4544151166919619</x:v>
      </x:c>
      <x:c r="AE476" t="n">
        <x:v>1</x:v>
      </x:c>
      <x:c r="AF476" t="n">
        <x:v>-0.000014066696166992188</x:v>
      </x:c>
      <x:c r="AG476" t="n">
        <x:f>_xlfn.XLOOKUP($A476,Games!$A$2:$A$18,Games!$B$2:$B$18,"Missing game",0)</x:f>
        <x:v>2025</x:v>
      </x:c>
      <x:c r="AH476" t="str">
        <x:f>_xlfn.XLOOKUP($A476,Games!$A$2:$A$18,Games!$C$2:$C$18,"Missing game",0)</x:f>
        <x:v>REG</x:v>
      </x:c>
      <x:c r="AI476" t="n">
        <x:f>_xlfn.XLOOKUP($A476,Games!$A$2:$A$18,Games!$D$2:$D$18,"Missing game",0)</x:f>
        <x:v>3</x:v>
      </x:c>
      <x:c r="AJ476" s="1" t="n">
        <x:f>_xlfn.XLOOKUP($A476,Games!$A$2:$A$18,Games!$E$2:$E$18,"Missing game",0)</x:f>
        <x:v>45921</x:v>
      </x:c>
      <x:c r="AK476" t="str">
        <x:f>_xlfn.XLOOKUP($A476,Games!$A$2:$A$18,Games!$F$2:$F$18,"Missing game",0)</x:f>
        <x:v>Sunday</x:v>
      </x:c>
      <x:c r="AL476" t="str">
        <x:f>_xlfn.XLOOKUP($A476,Games!$A$2:$A$18,Games!$G$2:$G$18,"Missing game",0)</x:f>
        <x:v>CIN</x:v>
      </x:c>
      <x:c r="AM476" t="n">
        <x:f>_xlfn.XLOOKUP($A476,Games!$A$2:$A$18,Games!$H$2:$H$18,"Missing game",0)</x:f>
        <x:v>10</x:v>
      </x:c>
      <x:c r="AN476" t="str">
        <x:f>_xlfn.XLOOKUP($A476,Games!$A$2:$A$18,Games!$I$2:$I$18,"Missing game",0)</x:f>
        <x:v>MIN</x:v>
      </x:c>
      <x:c r="AO476" t="n">
        <x:f>_xlfn.XLOOKUP($A476,Games!$A$2:$A$18,Games!$J$2:$J$18,"Missing game",0)</x:f>
        <x:v>48</x:v>
      </x:c>
      <x:c r="AP476" t="n">
        <x:f>_xlfn.XLOOKUP($A476,Games!$A$2:$A$18,Games!$K$2:$K$18,"Missing game",0)</x:f>
        <x:v>38</x:v>
      </x:c>
      <x:c r="AQ476" t="n">
        <x:f>_xlfn.XLOOKUP($A476,Games!$A$2:$A$18,Games!$L$2:$L$18,"Missing game",0)</x:f>
        <x:v>58</x:v>
      </x:c>
      <x:c r="AR476" t="n">
        <x:f>_xlfn.XLOOKUP($A476,Games!$A$2:$A$18,Games!$M$2:$M$18,"Missing game",0)</x:f>
        <x:v>0</x:v>
      </x:c>
      <x:c r="AS476" t="str">
        <x:f>_xlfn.XLOOKUP($A476,Games!$A$2:$A$18,Games!$N$2:$N$18,"Missing game",0)</x:f>
        <x:v>dome</x:v>
      </x:c>
      <x:c r="AT476" t="str">
        <x:f>_xlfn.XLOOKUP($A476,Games!$A$2:$A$18,Games!$O$2:$O$18,"Missing game",0)</x:f>
        <x:v>sportturf</x:v>
      </x:c>
      <x:c r="AU476" t="str">
        <x:f>_xlfn.XLOOKUP($A476,Games!$A$2:$A$18,Games!$P$2:$P$18,"Missing game",0)</x:f>
      </x:c>
      <x:c r="AV476" t="str">
        <x:f>_xlfn.XLOOKUP($A476,Games!$A$2:$A$18,Games!$Q$2:$Q$18,"Missing game",0)</x:f>
      </x:c>
      <x:c r="AW476" t="str">
        <x:f>_xlfn.XLOOKUP($A476,Games!$A$2:$A$18,Games!$R$2:$R$18,"Missing game",0)</x:f>
        <x:v>U.S. Bank Stadium</x:v>
      </x:c>
    </x:row>
    <x:row r="477">
      <x:c r="A477" t="str">
        <x:v>2025_03_CIN_MIN</x:v>
      </x:c>
      <x:c r="B477" t="n">
        <x:v>3685</x:v>
      </x:c>
      <x:c r="C477" t="n">
        <x:v>4</x:v>
      </x:c>
      <x:c r="D477" t="str">
        <x:v>11:07</x:v>
      </x:c>
      <x:c r="E477" t="n">
        <x:v>1</x:v>
      </x:c>
      <x:c r="F477" t="n">
        <x:v>10</x:v>
      </x:c>
      <x:c r="G477" t="str">
        <x:v>MIN</x:v>
      </x:c>
      <x:c r="H477" t="str">
        <x:v>CIN</x:v>
      </x:c>
      <x:c r="I477" t="str">
        <x:v>MIN</x:v>
      </x:c>
      <x:c r="J477" t="n">
        <x:v>65</x:v>
      </x:c>
      <x:c r="K477" t="str">
        <x:v>(11:07) 36-Z.Scott left tackle to MIN 36 for 1 yard (42-O.Burks). FUMBLES (42-O.Burks), touched at MIN 37, recovered by MIN-64-B.Brandel at MIN 38.</x:v>
      </x:c>
      <x:c r="L477" t="str">
        <x:v>run</x:v>
      </x:c>
      <x:c r="M477" t="n">
        <x:v>1</x:v>
      </x:c>
      <x:c r="N477" t="n">
        <x:v>0</x:v>
      </x:c>
      <x:c r="O477" t="n">
        <x:v>0</x:v>
      </x:c>
      <x:c r="P477"/>
      <x:c r="Q477"/>
      <x:c r="R477"/>
      <x:c r="S477"/>
      <x:c r="T477" t="str">
        <x:v>left</x:v>
      </x:c>
      <x:c r="U477" t="str">
        <x:v>tackle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/>
      <x:c r="AC477" t="n">
        <x:v>0</x:v>
      </x:c>
      <x:c r="AD477" t="n">
        <x:v>-0.271984008140862</x:v>
      </x:c>
      <x:c r="AE477" t="n">
        <x:v>0</x:v>
      </x:c>
      <x:c r="AF477" t="n">
        <x:v>-0.00002777576446533203</x:v>
      </x:c>
      <x:c r="AG477" t="n">
        <x:f>_xlfn.XLOOKUP($A477,Games!$A$2:$A$18,Games!$B$2:$B$18,"Missing game",0)</x:f>
        <x:v>2025</x:v>
      </x:c>
      <x:c r="AH477" t="str">
        <x:f>_xlfn.XLOOKUP($A477,Games!$A$2:$A$18,Games!$C$2:$C$18,"Missing game",0)</x:f>
        <x:v>REG</x:v>
      </x:c>
      <x:c r="AI477" t="n">
        <x:f>_xlfn.XLOOKUP($A477,Games!$A$2:$A$18,Games!$D$2:$D$18,"Missing game",0)</x:f>
        <x:v>3</x:v>
      </x:c>
      <x:c r="AJ477" s="1" t="n">
        <x:f>_xlfn.XLOOKUP($A477,Games!$A$2:$A$18,Games!$E$2:$E$18,"Missing game",0)</x:f>
        <x:v>45921</x:v>
      </x:c>
      <x:c r="AK477" t="str">
        <x:f>_xlfn.XLOOKUP($A477,Games!$A$2:$A$18,Games!$F$2:$F$18,"Missing game",0)</x:f>
        <x:v>Sunday</x:v>
      </x:c>
      <x:c r="AL477" t="str">
        <x:f>_xlfn.XLOOKUP($A477,Games!$A$2:$A$18,Games!$G$2:$G$18,"Missing game",0)</x:f>
        <x:v>CIN</x:v>
      </x:c>
      <x:c r="AM477" t="n">
        <x:f>_xlfn.XLOOKUP($A477,Games!$A$2:$A$18,Games!$H$2:$H$18,"Missing game",0)</x:f>
        <x:v>10</x:v>
      </x:c>
      <x:c r="AN477" t="str">
        <x:f>_xlfn.XLOOKUP($A477,Games!$A$2:$A$18,Games!$I$2:$I$18,"Missing game",0)</x:f>
        <x:v>MIN</x:v>
      </x:c>
      <x:c r="AO477" t="n">
        <x:f>_xlfn.XLOOKUP($A477,Games!$A$2:$A$18,Games!$J$2:$J$18,"Missing game",0)</x:f>
        <x:v>48</x:v>
      </x:c>
      <x:c r="AP477" t="n">
        <x:f>_xlfn.XLOOKUP($A477,Games!$A$2:$A$18,Games!$K$2:$K$18,"Missing game",0)</x:f>
        <x:v>38</x:v>
      </x:c>
      <x:c r="AQ477" t="n">
        <x:f>_xlfn.XLOOKUP($A477,Games!$A$2:$A$18,Games!$L$2:$L$18,"Missing game",0)</x:f>
        <x:v>58</x:v>
      </x:c>
      <x:c r="AR477" t="n">
        <x:f>_xlfn.XLOOKUP($A477,Games!$A$2:$A$18,Games!$M$2:$M$18,"Missing game",0)</x:f>
        <x:v>0</x:v>
      </x:c>
      <x:c r="AS477" t="str">
        <x:f>_xlfn.XLOOKUP($A477,Games!$A$2:$A$18,Games!$N$2:$N$18,"Missing game",0)</x:f>
        <x:v>dome</x:v>
      </x:c>
      <x:c r="AT477" t="str">
        <x:f>_xlfn.XLOOKUP($A477,Games!$A$2:$A$18,Games!$O$2:$O$18,"Missing game",0)</x:f>
        <x:v>sportturf</x:v>
      </x:c>
      <x:c r="AU477" t="str">
        <x:f>_xlfn.XLOOKUP($A477,Games!$A$2:$A$18,Games!$P$2:$P$18,"Missing game",0)</x:f>
      </x:c>
      <x:c r="AV477" t="str">
        <x:f>_xlfn.XLOOKUP($A477,Games!$A$2:$A$18,Games!$Q$2:$Q$18,"Missing game",0)</x:f>
      </x:c>
      <x:c r="AW477" t="str">
        <x:f>_xlfn.XLOOKUP($A477,Games!$A$2:$A$18,Games!$R$2:$R$18,"Missing game",0)</x:f>
        <x:v>U.S. Bank Stadium</x:v>
      </x:c>
    </x:row>
    <x:row r="478">
      <x:c r="A478" t="str">
        <x:v>2025_03_CIN_MIN</x:v>
      </x:c>
      <x:c r="B478" t="n">
        <x:v>3723</x:v>
      </x:c>
      <x:c r="C478" t="n">
        <x:v>4</x:v>
      </x:c>
      <x:c r="D478" t="str">
        <x:v>10:28</x:v>
      </x:c>
      <x:c r="E478" t="n">
        <x:v>2</x:v>
      </x:c>
      <x:c r="F478" t="n">
        <x:v>7</x:v>
      </x:c>
      <x:c r="G478" t="str">
        <x:v>MIN</x:v>
      </x:c>
      <x:c r="H478" t="str">
        <x:v>CIN</x:v>
      </x:c>
      <x:c r="I478" t="str">
        <x:v>MIN</x:v>
      </x:c>
      <x:c r="J478" t="n">
        <x:v>62</x:v>
      </x:c>
      <x:c r="K478" t="str">
        <x:v>(10:28) (Shotgun) 12-M.Brosmer pass incomplete short middle to 19-A.Thielen.</x:v>
      </x:c>
      <x:c r="L478" t="str">
        <x:v>pass</x:v>
      </x:c>
      <x:c r="M478" t="n">
        <x:v>0</x:v>
      </x:c>
      <x:c r="N478" t="n">
        <x:v>1</x:v>
      </x:c>
      <x:c r="O478" t="n">
        <x:v>0</x:v>
      </x:c>
      <x:c r="P478" t="str">
        <x:v>short</x:v>
      </x:c>
      <x:c r="Q478" t="str">
        <x:v>middle</x:v>
      </x:c>
      <x:c r="R478" t="n">
        <x:v>12</x:v>
      </x:c>
      <x:c r="S478"/>
      <x:c r="T478"/>
      <x:c r="U478"/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/>
      <x:c r="AC478" t="n">
        <x:v>0</x:v>
      </x:c>
      <x:c r="AD478" t="n">
        <x:v>-0.8042024709284306</x:v>
      </x:c>
      <x:c r="AE478" t="n">
        <x:v>0</x:v>
      </x:c>
      <x:c r="AF478" t="n">
        <x:v>-0.000005245208740234375</x:v>
      </x:c>
      <x:c r="AG478" t="n">
        <x:f>_xlfn.XLOOKUP($A478,Games!$A$2:$A$18,Games!$B$2:$B$18,"Missing game",0)</x:f>
        <x:v>2025</x:v>
      </x:c>
      <x:c r="AH478" t="str">
        <x:f>_xlfn.XLOOKUP($A478,Games!$A$2:$A$18,Games!$C$2:$C$18,"Missing game",0)</x:f>
        <x:v>REG</x:v>
      </x:c>
      <x:c r="AI478" t="n">
        <x:f>_xlfn.XLOOKUP($A478,Games!$A$2:$A$18,Games!$D$2:$D$18,"Missing game",0)</x:f>
        <x:v>3</x:v>
      </x:c>
      <x:c r="AJ478" s="1" t="n">
        <x:f>_xlfn.XLOOKUP($A478,Games!$A$2:$A$18,Games!$E$2:$E$18,"Missing game",0)</x:f>
        <x:v>45921</x:v>
      </x:c>
      <x:c r="AK478" t="str">
        <x:f>_xlfn.XLOOKUP($A478,Games!$A$2:$A$18,Games!$F$2:$F$18,"Missing game",0)</x:f>
        <x:v>Sunday</x:v>
      </x:c>
      <x:c r="AL478" t="str">
        <x:f>_xlfn.XLOOKUP($A478,Games!$A$2:$A$18,Games!$G$2:$G$18,"Missing game",0)</x:f>
        <x:v>CIN</x:v>
      </x:c>
      <x:c r="AM478" t="n">
        <x:f>_xlfn.XLOOKUP($A478,Games!$A$2:$A$18,Games!$H$2:$H$18,"Missing game",0)</x:f>
        <x:v>10</x:v>
      </x:c>
      <x:c r="AN478" t="str">
        <x:f>_xlfn.XLOOKUP($A478,Games!$A$2:$A$18,Games!$I$2:$I$18,"Missing game",0)</x:f>
        <x:v>MIN</x:v>
      </x:c>
      <x:c r="AO478" t="n">
        <x:f>_xlfn.XLOOKUP($A478,Games!$A$2:$A$18,Games!$J$2:$J$18,"Missing game",0)</x:f>
        <x:v>48</x:v>
      </x:c>
      <x:c r="AP478" t="n">
        <x:f>_xlfn.XLOOKUP($A478,Games!$A$2:$A$18,Games!$K$2:$K$18,"Missing game",0)</x:f>
        <x:v>38</x:v>
      </x:c>
      <x:c r="AQ478" t="n">
        <x:f>_xlfn.XLOOKUP($A478,Games!$A$2:$A$18,Games!$L$2:$L$18,"Missing game",0)</x:f>
        <x:v>58</x:v>
      </x:c>
      <x:c r="AR478" t="n">
        <x:f>_xlfn.XLOOKUP($A478,Games!$A$2:$A$18,Games!$M$2:$M$18,"Missing game",0)</x:f>
        <x:v>0</x:v>
      </x:c>
      <x:c r="AS478" t="str">
        <x:f>_xlfn.XLOOKUP($A478,Games!$A$2:$A$18,Games!$N$2:$N$18,"Missing game",0)</x:f>
        <x:v>dome</x:v>
      </x:c>
      <x:c r="AT478" t="str">
        <x:f>_xlfn.XLOOKUP($A478,Games!$A$2:$A$18,Games!$O$2:$O$18,"Missing game",0)</x:f>
        <x:v>sportturf</x:v>
      </x:c>
      <x:c r="AU478" t="str">
        <x:f>_xlfn.XLOOKUP($A478,Games!$A$2:$A$18,Games!$P$2:$P$18,"Missing game",0)</x:f>
      </x:c>
      <x:c r="AV478" t="str">
        <x:f>_xlfn.XLOOKUP($A478,Games!$A$2:$A$18,Games!$Q$2:$Q$18,"Missing game",0)</x:f>
      </x:c>
      <x:c r="AW478" t="str">
        <x:f>_xlfn.XLOOKUP($A478,Games!$A$2:$A$18,Games!$R$2:$R$18,"Missing game",0)</x:f>
        <x:v>U.S. Bank Stadium</x:v>
      </x:c>
    </x:row>
    <x:row r="479">
      <x:c r="A479" t="str">
        <x:v>2025_03_CIN_MIN</x:v>
      </x:c>
      <x:c r="B479" t="n">
        <x:v>3746</x:v>
      </x:c>
      <x:c r="C479" t="n">
        <x:v>4</x:v>
      </x:c>
      <x:c r="D479" t="str">
        <x:v>10:22</x:v>
      </x:c>
      <x:c r="E479" t="n">
        <x:v>3</x:v>
      </x:c>
      <x:c r="F479" t="n">
        <x:v>7</x:v>
      </x:c>
      <x:c r="G479" t="str">
        <x:v>MIN</x:v>
      </x:c>
      <x:c r="H479" t="str">
        <x:v>CIN</x:v>
      </x:c>
      <x:c r="I479" t="str">
        <x:v>MIN</x:v>
      </x:c>
      <x:c r="J479" t="n">
        <x:v>62</x:v>
      </x:c>
      <x:c r="K479" t="str">
        <x:v>(10:22) (Shotgun) 12-M.Brosmer pass incomplete short left to 31-C.Akers.</x:v>
      </x:c>
      <x:c r="L479" t="str">
        <x:v>pass</x:v>
      </x:c>
      <x:c r="M479" t="n">
        <x:v>0</x:v>
      </x:c>
      <x:c r="N479" t="n">
        <x:v>1</x:v>
      </x:c>
      <x:c r="O479" t="n">
        <x:v>0</x:v>
      </x:c>
      <x:c r="P479" t="str">
        <x:v>short</x:v>
      </x:c>
      <x:c r="Q479" t="str">
        <x:v>left</x:v>
      </x:c>
      <x:c r="R479" t="n">
        <x:v>-6</x:v>
      </x:c>
      <x:c r="S479"/>
      <x:c r="T479"/>
      <x:c r="U479"/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/>
      <x:c r="AC479" t="n">
        <x:v>0</x:v>
      </x:c>
      <x:c r="AD479" t="n">
        <x:v>-1.4301598633173853</x:v>
      </x:c>
      <x:c r="AE479" t="n">
        <x:v>0</x:v>
      </x:c>
      <x:c r="AF479" t="n">
        <x:v>-0.000031113624572753906</x:v>
      </x:c>
      <x:c r="AG479" t="n">
        <x:f>_xlfn.XLOOKUP($A479,Games!$A$2:$A$18,Games!$B$2:$B$18,"Missing game",0)</x:f>
        <x:v>2025</x:v>
      </x:c>
      <x:c r="AH479" t="str">
        <x:f>_xlfn.XLOOKUP($A479,Games!$A$2:$A$18,Games!$C$2:$C$18,"Missing game",0)</x:f>
        <x:v>REG</x:v>
      </x:c>
      <x:c r="AI479" t="n">
        <x:f>_xlfn.XLOOKUP($A479,Games!$A$2:$A$18,Games!$D$2:$D$18,"Missing game",0)</x:f>
        <x:v>3</x:v>
      </x:c>
      <x:c r="AJ479" s="1" t="n">
        <x:f>_xlfn.XLOOKUP($A479,Games!$A$2:$A$18,Games!$E$2:$E$18,"Missing game",0)</x:f>
        <x:v>45921</x:v>
      </x:c>
      <x:c r="AK479" t="str">
        <x:f>_xlfn.XLOOKUP($A479,Games!$A$2:$A$18,Games!$F$2:$F$18,"Missing game",0)</x:f>
        <x:v>Sunday</x:v>
      </x:c>
      <x:c r="AL479" t="str">
        <x:f>_xlfn.XLOOKUP($A479,Games!$A$2:$A$18,Games!$G$2:$G$18,"Missing game",0)</x:f>
        <x:v>CIN</x:v>
      </x:c>
      <x:c r="AM479" t="n">
        <x:f>_xlfn.XLOOKUP($A479,Games!$A$2:$A$18,Games!$H$2:$H$18,"Missing game",0)</x:f>
        <x:v>10</x:v>
      </x:c>
      <x:c r="AN479" t="str">
        <x:f>_xlfn.XLOOKUP($A479,Games!$A$2:$A$18,Games!$I$2:$I$18,"Missing game",0)</x:f>
        <x:v>MIN</x:v>
      </x:c>
      <x:c r="AO479" t="n">
        <x:f>_xlfn.XLOOKUP($A479,Games!$A$2:$A$18,Games!$J$2:$J$18,"Missing game",0)</x:f>
        <x:v>48</x:v>
      </x:c>
      <x:c r="AP479" t="n">
        <x:f>_xlfn.XLOOKUP($A479,Games!$A$2:$A$18,Games!$K$2:$K$18,"Missing game",0)</x:f>
        <x:v>38</x:v>
      </x:c>
      <x:c r="AQ479" t="n">
        <x:f>_xlfn.XLOOKUP($A479,Games!$A$2:$A$18,Games!$L$2:$L$18,"Missing game",0)</x:f>
        <x:v>58</x:v>
      </x:c>
      <x:c r="AR479" t="n">
        <x:f>_xlfn.XLOOKUP($A479,Games!$A$2:$A$18,Games!$M$2:$M$18,"Missing game",0)</x:f>
        <x:v>0</x:v>
      </x:c>
      <x:c r="AS479" t="str">
        <x:f>_xlfn.XLOOKUP($A479,Games!$A$2:$A$18,Games!$N$2:$N$18,"Missing game",0)</x:f>
        <x:v>dome</x:v>
      </x:c>
      <x:c r="AT479" t="str">
        <x:f>_xlfn.XLOOKUP($A479,Games!$A$2:$A$18,Games!$O$2:$O$18,"Missing game",0)</x:f>
        <x:v>sportturf</x:v>
      </x:c>
      <x:c r="AU479" t="str">
        <x:f>_xlfn.XLOOKUP($A479,Games!$A$2:$A$18,Games!$P$2:$P$18,"Missing game",0)</x:f>
      </x:c>
      <x:c r="AV479" t="str">
        <x:f>_xlfn.XLOOKUP($A479,Games!$A$2:$A$18,Games!$Q$2:$Q$18,"Missing game",0)</x:f>
      </x:c>
      <x:c r="AW479" t="str">
        <x:f>_xlfn.XLOOKUP($A479,Games!$A$2:$A$18,Games!$R$2:$R$18,"Missing game",0)</x:f>
        <x:v>U.S. Bank Stadium</x:v>
      </x:c>
    </x:row>
    <x:row r="480">
      <x:c r="A480" t="str">
        <x:v>2025_03_CIN_MIN</x:v>
      </x:c>
      <x:c r="B480" t="n">
        <x:v>3769</x:v>
      </x:c>
      <x:c r="C480" t="n">
        <x:v>4</x:v>
      </x:c>
      <x:c r="D480" t="str">
        <x:v>10:20</x:v>
      </x:c>
      <x:c r="E480" t="n">
        <x:v>4</x:v>
      </x:c>
      <x:c r="F480" t="n">
        <x:v>7</x:v>
      </x:c>
      <x:c r="G480" t="str">
        <x:v>MIN</x:v>
      </x:c>
      <x:c r="H480" t="str">
        <x:v>CIN</x:v>
      </x:c>
      <x:c r="I480" t="str">
        <x:v>MIN</x:v>
      </x:c>
      <x:c r="J480" t="n">
        <x:v>62</x:v>
      </x:c>
      <x:c r="K480" t="str">
        <x:v>(10:20) 17-R.Wright punts 42 yards to CIN 20, Center-42-A.DePaola, fair catch by 15-C.Jones.</x:v>
      </x:c>
      <x:c r="L480" t="str">
        <x:v>punt</x:v>
      </x:c>
      <x:c r="M480" t="n">
        <x:v>0</x:v>
      </x:c>
      <x:c r="N480" t="n">
        <x:v>0</x:v>
      </x:c>
      <x:c r="O480" t="n">
        <x:v>0</x:v>
      </x:c>
      <x:c r="P480"/>
      <x:c r="Q480"/>
      <x:c r="R480"/>
      <x:c r="S480"/>
      <x:c r="T480"/>
      <x:c r="U480"/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/>
      <x:c r="AC480" t="n">
        <x:v>0</x:v>
      </x:c>
      <x:c r="AD480" t="n">
        <x:v>-0.5748250740580261</x:v>
      </x:c>
      <x:c r="AE480" t="n">
        <x:v>0</x:v>
      </x:c>
      <x:c r="AF480" t="n">
        <x:v>0.00006857168045826256</x:v>
      </x:c>
      <x:c r="AG480" t="n">
        <x:f>_xlfn.XLOOKUP($A480,Games!$A$2:$A$18,Games!$B$2:$B$18,"Missing game",0)</x:f>
        <x:v>2025</x:v>
      </x:c>
      <x:c r="AH480" t="str">
        <x:f>_xlfn.XLOOKUP($A480,Games!$A$2:$A$18,Games!$C$2:$C$18,"Missing game",0)</x:f>
        <x:v>REG</x:v>
      </x:c>
      <x:c r="AI480" t="n">
        <x:f>_xlfn.XLOOKUP($A480,Games!$A$2:$A$18,Games!$D$2:$D$18,"Missing game",0)</x:f>
        <x:v>3</x:v>
      </x:c>
      <x:c r="AJ480" s="1" t="n">
        <x:f>_xlfn.XLOOKUP($A480,Games!$A$2:$A$18,Games!$E$2:$E$18,"Missing game",0)</x:f>
        <x:v>45921</x:v>
      </x:c>
      <x:c r="AK480" t="str">
        <x:f>_xlfn.XLOOKUP($A480,Games!$A$2:$A$18,Games!$F$2:$F$18,"Missing game",0)</x:f>
        <x:v>Sunday</x:v>
      </x:c>
      <x:c r="AL480" t="str">
        <x:f>_xlfn.XLOOKUP($A480,Games!$A$2:$A$18,Games!$G$2:$G$18,"Missing game",0)</x:f>
        <x:v>CIN</x:v>
      </x:c>
      <x:c r="AM480" t="n">
        <x:f>_xlfn.XLOOKUP($A480,Games!$A$2:$A$18,Games!$H$2:$H$18,"Missing game",0)</x:f>
        <x:v>10</x:v>
      </x:c>
      <x:c r="AN480" t="str">
        <x:f>_xlfn.XLOOKUP($A480,Games!$A$2:$A$18,Games!$I$2:$I$18,"Missing game",0)</x:f>
        <x:v>MIN</x:v>
      </x:c>
      <x:c r="AO480" t="n">
        <x:f>_xlfn.XLOOKUP($A480,Games!$A$2:$A$18,Games!$J$2:$J$18,"Missing game",0)</x:f>
        <x:v>48</x:v>
      </x:c>
      <x:c r="AP480" t="n">
        <x:f>_xlfn.XLOOKUP($A480,Games!$A$2:$A$18,Games!$K$2:$K$18,"Missing game",0)</x:f>
        <x:v>38</x:v>
      </x:c>
      <x:c r="AQ480" t="n">
        <x:f>_xlfn.XLOOKUP($A480,Games!$A$2:$A$18,Games!$L$2:$L$18,"Missing game",0)</x:f>
        <x:v>58</x:v>
      </x:c>
      <x:c r="AR480" t="n">
        <x:f>_xlfn.XLOOKUP($A480,Games!$A$2:$A$18,Games!$M$2:$M$18,"Missing game",0)</x:f>
        <x:v>0</x:v>
      </x:c>
      <x:c r="AS480" t="str">
        <x:f>_xlfn.XLOOKUP($A480,Games!$A$2:$A$18,Games!$N$2:$N$18,"Missing game",0)</x:f>
        <x:v>dome</x:v>
      </x:c>
      <x:c r="AT480" t="str">
        <x:f>_xlfn.XLOOKUP($A480,Games!$A$2:$A$18,Games!$O$2:$O$18,"Missing game",0)</x:f>
        <x:v>sportturf</x:v>
      </x:c>
      <x:c r="AU480" t="str">
        <x:f>_xlfn.XLOOKUP($A480,Games!$A$2:$A$18,Games!$P$2:$P$18,"Missing game",0)</x:f>
      </x:c>
      <x:c r="AV480" t="str">
        <x:f>_xlfn.XLOOKUP($A480,Games!$A$2:$A$18,Games!$Q$2:$Q$18,"Missing game",0)</x:f>
      </x:c>
      <x:c r="AW480" t="str">
        <x:f>_xlfn.XLOOKUP($A480,Games!$A$2:$A$18,Games!$R$2:$R$18,"Missing game",0)</x:f>
        <x:v>U.S. Bank Stadium</x:v>
      </x:c>
    </x:row>
    <x:row r="481">
      <x:c r="A481" t="str">
        <x:v>2025_03_CIN_MIN</x:v>
      </x:c>
      <x:c r="B481" t="n">
        <x:v>3789</x:v>
      </x:c>
      <x:c r="C481" t="n">
        <x:v>4</x:v>
      </x:c>
      <x:c r="D481" t="str">
        <x:v>10:13</x:v>
      </x:c>
      <x:c r="E481" t="n">
        <x:v>1</x:v>
      </x:c>
      <x:c r="F481" t="n">
        <x:v>10</x:v>
      </x:c>
      <x:c r="G481" t="str">
        <x:v>CIN</x:v>
      </x:c>
      <x:c r="H481" t="str">
        <x:v>MIN</x:v>
      </x:c>
      <x:c r="I481" t="str">
        <x:v>CIN</x:v>
      </x:c>
      <x:c r="J481" t="n">
        <x:v>80</x:v>
      </x:c>
      <x:c r="K481" t="str">
        <x:v>(10:13) (Shotgun) 6-J.Browning pass short left to 88-M.Gesicki to CIN 26 for 6 yards (37-T.Thomas).</x:v>
      </x:c>
      <x:c r="L481" t="str">
        <x:v>pass</x:v>
      </x:c>
      <x:c r="M481" t="n">
        <x:v>6</x:v>
      </x:c>
      <x:c r="N481" t="n">
        <x:v>1</x:v>
      </x:c>
      <x:c r="O481" t="n">
        <x:v>0</x:v>
      </x:c>
      <x:c r="P481" t="str">
        <x:v>short</x:v>
      </x:c>
      <x:c r="Q481" t="str">
        <x:v>left</x:v>
      </x:c>
      <x:c r="R481" t="n">
        <x:v>3</x:v>
      </x:c>
      <x:c r="S481" t="n">
        <x:v>3</x:v>
      </x:c>
      <x:c r="T481"/>
      <x:c r="U481"/>
      <x:c r="V481" t="n">
        <x:v>1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/>
      <x:c r="AC481" t="n">
        <x:v>0</x:v>
      </x:c>
      <x:c r="AD481" t="n">
        <x:v>0.09854473965242505</x:v>
      </x:c>
      <x:c r="AE481" t="n">
        <x:v>1</x:v>
      </x:c>
      <x:c r="AF481" t="n">
        <x:v>-0.000017129081243183464</x:v>
      </x:c>
      <x:c r="AG481" t="n">
        <x:f>_xlfn.XLOOKUP($A481,Games!$A$2:$A$18,Games!$B$2:$B$18,"Missing game",0)</x:f>
        <x:v>2025</x:v>
      </x:c>
      <x:c r="AH481" t="str">
        <x:f>_xlfn.XLOOKUP($A481,Games!$A$2:$A$18,Games!$C$2:$C$18,"Missing game",0)</x:f>
        <x:v>REG</x:v>
      </x:c>
      <x:c r="AI481" t="n">
        <x:f>_xlfn.XLOOKUP($A481,Games!$A$2:$A$18,Games!$D$2:$D$18,"Missing game",0)</x:f>
        <x:v>3</x:v>
      </x:c>
      <x:c r="AJ481" s="1" t="n">
        <x:f>_xlfn.XLOOKUP($A481,Games!$A$2:$A$18,Games!$E$2:$E$18,"Missing game",0)</x:f>
        <x:v>45921</x:v>
      </x:c>
      <x:c r="AK481" t="str">
        <x:f>_xlfn.XLOOKUP($A481,Games!$A$2:$A$18,Games!$F$2:$F$18,"Missing game",0)</x:f>
        <x:v>Sunday</x:v>
      </x:c>
      <x:c r="AL481" t="str">
        <x:f>_xlfn.XLOOKUP($A481,Games!$A$2:$A$18,Games!$G$2:$G$18,"Missing game",0)</x:f>
        <x:v>CIN</x:v>
      </x:c>
      <x:c r="AM481" t="n">
        <x:f>_xlfn.XLOOKUP($A481,Games!$A$2:$A$18,Games!$H$2:$H$18,"Missing game",0)</x:f>
        <x:v>10</x:v>
      </x:c>
      <x:c r="AN481" t="str">
        <x:f>_xlfn.XLOOKUP($A481,Games!$A$2:$A$18,Games!$I$2:$I$18,"Missing game",0)</x:f>
        <x:v>MIN</x:v>
      </x:c>
      <x:c r="AO481" t="n">
        <x:f>_xlfn.XLOOKUP($A481,Games!$A$2:$A$18,Games!$J$2:$J$18,"Missing game",0)</x:f>
        <x:v>48</x:v>
      </x:c>
      <x:c r="AP481" t="n">
        <x:f>_xlfn.XLOOKUP($A481,Games!$A$2:$A$18,Games!$K$2:$K$18,"Missing game",0)</x:f>
        <x:v>38</x:v>
      </x:c>
      <x:c r="AQ481" t="n">
        <x:f>_xlfn.XLOOKUP($A481,Games!$A$2:$A$18,Games!$L$2:$L$18,"Missing game",0)</x:f>
        <x:v>58</x:v>
      </x:c>
      <x:c r="AR481" t="n">
        <x:f>_xlfn.XLOOKUP($A481,Games!$A$2:$A$18,Games!$M$2:$M$18,"Missing game",0)</x:f>
        <x:v>0</x:v>
      </x:c>
      <x:c r="AS481" t="str">
        <x:f>_xlfn.XLOOKUP($A481,Games!$A$2:$A$18,Games!$N$2:$N$18,"Missing game",0)</x:f>
        <x:v>dome</x:v>
      </x:c>
      <x:c r="AT481" t="str">
        <x:f>_xlfn.XLOOKUP($A481,Games!$A$2:$A$18,Games!$O$2:$O$18,"Missing game",0)</x:f>
        <x:v>sportturf</x:v>
      </x:c>
      <x:c r="AU481" t="str">
        <x:f>_xlfn.XLOOKUP($A481,Games!$A$2:$A$18,Games!$P$2:$P$18,"Missing game",0)</x:f>
      </x:c>
      <x:c r="AV481" t="str">
        <x:f>_xlfn.XLOOKUP($A481,Games!$A$2:$A$18,Games!$Q$2:$Q$18,"Missing game",0)</x:f>
      </x:c>
      <x:c r="AW481" t="str">
        <x:f>_xlfn.XLOOKUP($A481,Games!$A$2:$A$18,Games!$R$2:$R$18,"Missing game",0)</x:f>
        <x:v>U.S. Bank Stadium</x:v>
      </x:c>
    </x:row>
    <x:row r="482">
      <x:c r="A482" t="str">
        <x:v>2025_03_CIN_MIN</x:v>
      </x:c>
      <x:c r="B482" t="n">
        <x:v>3821</x:v>
      </x:c>
      <x:c r="C482" t="n">
        <x:v>4</x:v>
      </x:c>
      <x:c r="D482" t="str">
        <x:v>09:39</x:v>
      </x:c>
      <x:c r="E482" t="n">
        <x:v>2</x:v>
      </x:c>
      <x:c r="F482" t="n">
        <x:v>4</x:v>
      </x:c>
      <x:c r="G482" t="str">
        <x:v>CIN</x:v>
      </x:c>
      <x:c r="H482" t="str">
        <x:v>MIN</x:v>
      </x:c>
      <x:c r="I482" t="str">
        <x:v>CIN</x:v>
      </x:c>
      <x:c r="J482" t="n">
        <x:v>74</x:v>
      </x:c>
      <x:c r="K482" t="str">
        <x:v>(9:39) (Shotgun) 25-T.Brooks left end to CIN 27 for 1 yard (61-J.Redmond).</x:v>
      </x:c>
      <x:c r="L482" t="str">
        <x:v>run</x:v>
      </x:c>
      <x:c r="M482" t="n">
        <x:v>1</x:v>
      </x:c>
      <x:c r="N482" t="n">
        <x:v>1</x:v>
      </x:c>
      <x:c r="O482" t="n">
        <x:v>0</x:v>
      </x:c>
      <x:c r="P482"/>
      <x:c r="Q482"/>
      <x:c r="R482"/>
      <x:c r="S482"/>
      <x:c r="T482" t="str">
        <x:v>left</x:v>
      </x:c>
      <x:c r="U482" t="str">
        <x:v>end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/>
      <x:c r="AC482" t="n">
        <x:v>0</x:v>
      </x:c>
      <x:c r="AD482" t="n">
        <x:v>-0.6622093734331429</x:v>
      </x:c>
      <x:c r="AE482" t="n">
        <x:v>0</x:v>
      </x:c>
      <x:c r="AF482" t="n">
        <x:v>9.002978913486004e-7</x:v>
      </x:c>
      <x:c r="AG482" t="n">
        <x:f>_xlfn.XLOOKUP($A482,Games!$A$2:$A$18,Games!$B$2:$B$18,"Missing game",0)</x:f>
        <x:v>2025</x:v>
      </x:c>
      <x:c r="AH482" t="str">
        <x:f>_xlfn.XLOOKUP($A482,Games!$A$2:$A$18,Games!$C$2:$C$18,"Missing game",0)</x:f>
        <x:v>REG</x:v>
      </x:c>
      <x:c r="AI482" t="n">
        <x:f>_xlfn.XLOOKUP($A482,Games!$A$2:$A$18,Games!$D$2:$D$18,"Missing game",0)</x:f>
        <x:v>3</x:v>
      </x:c>
      <x:c r="AJ482" s="1" t="n">
        <x:f>_xlfn.XLOOKUP($A482,Games!$A$2:$A$18,Games!$E$2:$E$18,"Missing game",0)</x:f>
        <x:v>45921</x:v>
      </x:c>
      <x:c r="AK482" t="str">
        <x:f>_xlfn.XLOOKUP($A482,Games!$A$2:$A$18,Games!$F$2:$F$18,"Missing game",0)</x:f>
        <x:v>Sunday</x:v>
      </x:c>
      <x:c r="AL482" t="str">
        <x:f>_xlfn.XLOOKUP($A482,Games!$A$2:$A$18,Games!$G$2:$G$18,"Missing game",0)</x:f>
        <x:v>CIN</x:v>
      </x:c>
      <x:c r="AM482" t="n">
        <x:f>_xlfn.XLOOKUP($A482,Games!$A$2:$A$18,Games!$H$2:$H$18,"Missing game",0)</x:f>
        <x:v>10</x:v>
      </x:c>
      <x:c r="AN482" t="str">
        <x:f>_xlfn.XLOOKUP($A482,Games!$A$2:$A$18,Games!$I$2:$I$18,"Missing game",0)</x:f>
        <x:v>MIN</x:v>
      </x:c>
      <x:c r="AO482" t="n">
        <x:f>_xlfn.XLOOKUP($A482,Games!$A$2:$A$18,Games!$J$2:$J$18,"Missing game",0)</x:f>
        <x:v>48</x:v>
      </x:c>
      <x:c r="AP482" t="n">
        <x:f>_xlfn.XLOOKUP($A482,Games!$A$2:$A$18,Games!$K$2:$K$18,"Missing game",0)</x:f>
        <x:v>38</x:v>
      </x:c>
      <x:c r="AQ482" t="n">
        <x:f>_xlfn.XLOOKUP($A482,Games!$A$2:$A$18,Games!$L$2:$L$18,"Missing game",0)</x:f>
        <x:v>58</x:v>
      </x:c>
      <x:c r="AR482" t="n">
        <x:f>_xlfn.XLOOKUP($A482,Games!$A$2:$A$18,Games!$M$2:$M$18,"Missing game",0)</x:f>
        <x:v>0</x:v>
      </x:c>
      <x:c r="AS482" t="str">
        <x:f>_xlfn.XLOOKUP($A482,Games!$A$2:$A$18,Games!$N$2:$N$18,"Missing game",0)</x:f>
        <x:v>dome</x:v>
      </x:c>
      <x:c r="AT482" t="str">
        <x:f>_xlfn.XLOOKUP($A482,Games!$A$2:$A$18,Games!$O$2:$O$18,"Missing game",0)</x:f>
        <x:v>sportturf</x:v>
      </x:c>
      <x:c r="AU482" t="str">
        <x:f>_xlfn.XLOOKUP($A482,Games!$A$2:$A$18,Games!$P$2:$P$18,"Missing game",0)</x:f>
      </x:c>
      <x:c r="AV482" t="str">
        <x:f>_xlfn.XLOOKUP($A482,Games!$A$2:$A$18,Games!$Q$2:$Q$18,"Missing game",0)</x:f>
      </x:c>
      <x:c r="AW482" t="str">
        <x:f>_xlfn.XLOOKUP($A482,Games!$A$2:$A$18,Games!$R$2:$R$18,"Missing game",0)</x:f>
        <x:v>U.S. Bank Stadium</x:v>
      </x:c>
    </x:row>
    <x:row r="483">
      <x:c r="A483" t="str">
        <x:v>2025_03_CIN_MIN</x:v>
      </x:c>
      <x:c r="B483" t="n">
        <x:v>3843</x:v>
      </x:c>
      <x:c r="C483" t="n">
        <x:v>4</x:v>
      </x:c>
      <x:c r="D483" t="str">
        <x:v>08:57</x:v>
      </x:c>
      <x:c r="E483" t="n">
        <x:v>3</x:v>
      </x:c>
      <x:c r="F483" t="n">
        <x:v>3</x:v>
      </x:c>
      <x:c r="G483" t="str">
        <x:v>CIN</x:v>
      </x:c>
      <x:c r="H483" t="str">
        <x:v>MIN</x:v>
      </x:c>
      <x:c r="I483" t="str">
        <x:v>CIN</x:v>
      </x:c>
      <x:c r="J483" t="n">
        <x:v>73</x:v>
      </x:c>
      <x:c r="K483" t="str">
        <x:v>(8:57) (Shotgun) 6-J.Browning sacked at CIN 16 for -11 yards (56-A.Keys).</x:v>
      </x:c>
      <x:c r="L483" t="str">
        <x:v>pass</x:v>
      </x:c>
      <x:c r="M483" t="n">
        <x:v>-11</x:v>
      </x:c>
      <x:c r="N483" t="n">
        <x:v>1</x:v>
      </x:c>
      <x:c r="O483" t="n">
        <x:v>0</x:v>
      </x:c>
      <x:c r="P483"/>
      <x:c r="Q483"/>
      <x:c r="R483"/>
      <x:c r="S483"/>
      <x:c r="T483"/>
      <x:c r="U483"/>
      <x:c r="V483" t="n">
        <x:v>0</x:v>
      </x:c>
      <x:c r="W483" t="n">
        <x:v>0</x:v>
      </x:c>
      <x:c r="X483" t="n">
        <x:v>1</x:v>
      </x:c>
      <x:c r="Y483" t="n">
        <x:v>0</x:v>
      </x:c>
      <x:c r="Z483" t="n">
        <x:v>0</x:v>
      </x:c>
      <x:c r="AA483" t="n">
        <x:v>0</x:v>
      </x:c>
      <x:c r="AB483"/>
      <x:c r="AC483" t="n">
        <x:v>0</x:v>
      </x:c>
      <x:c r="AD483" t="n">
        <x:v>-2.470558271743357</x:v>
      </x:c>
      <x:c r="AE483" t="n">
        <x:v>0</x:v>
      </x:c>
      <x:c r="AF483" t="n">
        <x:v>0.00002457371010677889</x:v>
      </x:c>
      <x:c r="AG483" t="n">
        <x:f>_xlfn.XLOOKUP($A483,Games!$A$2:$A$18,Games!$B$2:$B$18,"Missing game",0)</x:f>
        <x:v>2025</x:v>
      </x:c>
      <x:c r="AH483" t="str">
        <x:f>_xlfn.XLOOKUP($A483,Games!$A$2:$A$18,Games!$C$2:$C$18,"Missing game",0)</x:f>
        <x:v>REG</x:v>
      </x:c>
      <x:c r="AI483" t="n">
        <x:f>_xlfn.XLOOKUP($A483,Games!$A$2:$A$18,Games!$D$2:$D$18,"Missing game",0)</x:f>
        <x:v>3</x:v>
      </x:c>
      <x:c r="AJ483" s="1" t="n">
        <x:f>_xlfn.XLOOKUP($A483,Games!$A$2:$A$18,Games!$E$2:$E$18,"Missing game",0)</x:f>
        <x:v>45921</x:v>
      </x:c>
      <x:c r="AK483" t="str">
        <x:f>_xlfn.XLOOKUP($A483,Games!$A$2:$A$18,Games!$F$2:$F$18,"Missing game",0)</x:f>
        <x:v>Sunday</x:v>
      </x:c>
      <x:c r="AL483" t="str">
        <x:f>_xlfn.XLOOKUP($A483,Games!$A$2:$A$18,Games!$G$2:$G$18,"Missing game",0)</x:f>
        <x:v>CIN</x:v>
      </x:c>
      <x:c r="AM483" t="n">
        <x:f>_xlfn.XLOOKUP($A483,Games!$A$2:$A$18,Games!$H$2:$H$18,"Missing game",0)</x:f>
        <x:v>10</x:v>
      </x:c>
      <x:c r="AN483" t="str">
        <x:f>_xlfn.XLOOKUP($A483,Games!$A$2:$A$18,Games!$I$2:$I$18,"Missing game",0)</x:f>
        <x:v>MIN</x:v>
      </x:c>
      <x:c r="AO483" t="n">
        <x:f>_xlfn.XLOOKUP($A483,Games!$A$2:$A$18,Games!$J$2:$J$18,"Missing game",0)</x:f>
        <x:v>48</x:v>
      </x:c>
      <x:c r="AP483" t="n">
        <x:f>_xlfn.XLOOKUP($A483,Games!$A$2:$A$18,Games!$K$2:$K$18,"Missing game",0)</x:f>
        <x:v>38</x:v>
      </x:c>
      <x:c r="AQ483" t="n">
        <x:f>_xlfn.XLOOKUP($A483,Games!$A$2:$A$18,Games!$L$2:$L$18,"Missing game",0)</x:f>
        <x:v>58</x:v>
      </x:c>
      <x:c r="AR483" t="n">
        <x:f>_xlfn.XLOOKUP($A483,Games!$A$2:$A$18,Games!$M$2:$M$18,"Missing game",0)</x:f>
        <x:v>0</x:v>
      </x:c>
      <x:c r="AS483" t="str">
        <x:f>_xlfn.XLOOKUP($A483,Games!$A$2:$A$18,Games!$N$2:$N$18,"Missing game",0)</x:f>
        <x:v>dome</x:v>
      </x:c>
      <x:c r="AT483" t="str">
        <x:f>_xlfn.XLOOKUP($A483,Games!$A$2:$A$18,Games!$O$2:$O$18,"Missing game",0)</x:f>
        <x:v>sportturf</x:v>
      </x:c>
      <x:c r="AU483" t="str">
        <x:f>_xlfn.XLOOKUP($A483,Games!$A$2:$A$18,Games!$P$2:$P$18,"Missing game",0)</x:f>
      </x:c>
      <x:c r="AV483" t="str">
        <x:f>_xlfn.XLOOKUP($A483,Games!$A$2:$A$18,Games!$Q$2:$Q$18,"Missing game",0)</x:f>
      </x:c>
      <x:c r="AW483" t="str">
        <x:f>_xlfn.XLOOKUP($A483,Games!$A$2:$A$18,Games!$R$2:$R$18,"Missing game",0)</x:f>
        <x:v>U.S. Bank Stadium</x:v>
      </x:c>
    </x:row>
    <x:row r="484">
      <x:c r="A484" t="str">
        <x:v>2025_03_CIN_MIN</x:v>
      </x:c>
      <x:c r="B484" t="n">
        <x:v>3863</x:v>
      </x:c>
      <x:c r="C484" t="n">
        <x:v>4</x:v>
      </x:c>
      <x:c r="D484" t="str">
        <x:v>08:14</x:v>
      </x:c>
      <x:c r="E484" t="n">
        <x:v>4</x:v>
      </x:c>
      <x:c r="F484" t="n">
        <x:v>14</x:v>
      </x:c>
      <x:c r="G484" t="str">
        <x:v>CIN</x:v>
      </x:c>
      <x:c r="H484" t="str">
        <x:v>MIN</x:v>
      </x:c>
      <x:c r="I484" t="str">
        <x:v>CIN</x:v>
      </x:c>
      <x:c r="J484" t="n">
        <x:v>84</x:v>
      </x:c>
      <x:c r="K484" t="str">
        <x:v>(8:14) 8-R.Rehkow punts 70 yards to MIN 14, Center-46-W.Wagner. 4-M.Price to MIN 43 for 29 yards (25-T.Brooks).</x:v>
      </x:c>
      <x:c r="L484" t="str">
        <x:v>punt</x:v>
      </x:c>
      <x:c r="M484" t="n">
        <x:v>0</x:v>
      </x:c>
      <x:c r="N484" t="n">
        <x:v>0</x:v>
      </x:c>
      <x:c r="O484" t="n">
        <x:v>0</x:v>
      </x:c>
      <x:c r="P484"/>
      <x:c r="Q484"/>
      <x:c r="R484"/>
      <x:c r="S484"/>
      <x:c r="T484"/>
      <x:c r="U484"/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/>
      <x:c r="AC484" t="n">
        <x:v>0</x:v>
      </x:c>
      <x:c r="AD484" t="n">
        <x:v>-0.4020538474433124</x:v>
      </x:c>
      <x:c r="AE484" t="n">
        <x:v>0</x:v>
      </x:c>
      <x:c r="AF484" t="n">
        <x:v>-0.000004146262654103339</x:v>
      </x:c>
      <x:c r="AG484" t="n">
        <x:f>_xlfn.XLOOKUP($A484,Games!$A$2:$A$18,Games!$B$2:$B$18,"Missing game",0)</x:f>
        <x:v>2025</x:v>
      </x:c>
      <x:c r="AH484" t="str">
        <x:f>_xlfn.XLOOKUP($A484,Games!$A$2:$A$18,Games!$C$2:$C$18,"Missing game",0)</x:f>
        <x:v>REG</x:v>
      </x:c>
      <x:c r="AI484" t="n">
        <x:f>_xlfn.XLOOKUP($A484,Games!$A$2:$A$18,Games!$D$2:$D$18,"Missing game",0)</x:f>
        <x:v>3</x:v>
      </x:c>
      <x:c r="AJ484" s="1" t="n">
        <x:f>_xlfn.XLOOKUP($A484,Games!$A$2:$A$18,Games!$E$2:$E$18,"Missing game",0)</x:f>
        <x:v>45921</x:v>
      </x:c>
      <x:c r="AK484" t="str">
        <x:f>_xlfn.XLOOKUP($A484,Games!$A$2:$A$18,Games!$F$2:$F$18,"Missing game",0)</x:f>
        <x:v>Sunday</x:v>
      </x:c>
      <x:c r="AL484" t="str">
        <x:f>_xlfn.XLOOKUP($A484,Games!$A$2:$A$18,Games!$G$2:$G$18,"Missing game",0)</x:f>
        <x:v>CIN</x:v>
      </x:c>
      <x:c r="AM484" t="n">
        <x:f>_xlfn.XLOOKUP($A484,Games!$A$2:$A$18,Games!$H$2:$H$18,"Missing game",0)</x:f>
        <x:v>10</x:v>
      </x:c>
      <x:c r="AN484" t="str">
        <x:f>_xlfn.XLOOKUP($A484,Games!$A$2:$A$18,Games!$I$2:$I$18,"Missing game",0)</x:f>
        <x:v>MIN</x:v>
      </x:c>
      <x:c r="AO484" t="n">
        <x:f>_xlfn.XLOOKUP($A484,Games!$A$2:$A$18,Games!$J$2:$J$18,"Missing game",0)</x:f>
        <x:v>48</x:v>
      </x:c>
      <x:c r="AP484" t="n">
        <x:f>_xlfn.XLOOKUP($A484,Games!$A$2:$A$18,Games!$K$2:$K$18,"Missing game",0)</x:f>
        <x:v>38</x:v>
      </x:c>
      <x:c r="AQ484" t="n">
        <x:f>_xlfn.XLOOKUP($A484,Games!$A$2:$A$18,Games!$L$2:$L$18,"Missing game",0)</x:f>
        <x:v>58</x:v>
      </x:c>
      <x:c r="AR484" t="n">
        <x:f>_xlfn.XLOOKUP($A484,Games!$A$2:$A$18,Games!$M$2:$M$18,"Missing game",0)</x:f>
        <x:v>0</x:v>
      </x:c>
      <x:c r="AS484" t="str">
        <x:f>_xlfn.XLOOKUP($A484,Games!$A$2:$A$18,Games!$N$2:$N$18,"Missing game",0)</x:f>
        <x:v>dome</x:v>
      </x:c>
      <x:c r="AT484" t="str">
        <x:f>_xlfn.XLOOKUP($A484,Games!$A$2:$A$18,Games!$O$2:$O$18,"Missing game",0)</x:f>
        <x:v>sportturf</x:v>
      </x:c>
      <x:c r="AU484" t="str">
        <x:f>_xlfn.XLOOKUP($A484,Games!$A$2:$A$18,Games!$P$2:$P$18,"Missing game",0)</x:f>
      </x:c>
      <x:c r="AV484" t="str">
        <x:f>_xlfn.XLOOKUP($A484,Games!$A$2:$A$18,Games!$Q$2:$Q$18,"Missing game",0)</x:f>
      </x:c>
      <x:c r="AW484" t="str">
        <x:f>_xlfn.XLOOKUP($A484,Games!$A$2:$A$18,Games!$R$2:$R$18,"Missing game",0)</x:f>
        <x:v>U.S. Bank Stadium</x:v>
      </x:c>
    </x:row>
    <x:row r="485">
      <x:c r="A485" t="str">
        <x:v>2025_03_CIN_MIN</x:v>
      </x:c>
      <x:c r="B485" t="n">
        <x:v>3889</x:v>
      </x:c>
      <x:c r="C485" t="n">
        <x:v>4</x:v>
      </x:c>
      <x:c r="D485" t="str">
        <x:v>07:57</x:v>
      </x:c>
      <x:c r="E485" t="n">
        <x:v>1</x:v>
      </x:c>
      <x:c r="F485" t="n">
        <x:v>10</x:v>
      </x:c>
      <x:c r="G485" t="str">
        <x:v>MIN</x:v>
      </x:c>
      <x:c r="H485" t="str">
        <x:v>CIN</x:v>
      </x:c>
      <x:c r="I485" t="str">
        <x:v>MIN</x:v>
      </x:c>
      <x:c r="J485" t="n">
        <x:v>57</x:v>
      </x:c>
      <x:c r="K485" t="str">
        <x:v>(7:57) PENALTY on MIN-60-J.Huber, False Start, 5 yards, enforced at MIN 43 - No Play.</x:v>
      </x:c>
      <x:c r="L485" t="str">
        <x:v>no_play</x:v>
      </x:c>
      <x:c r="M485" t="n">
        <x:v>0</x:v>
      </x:c>
      <x:c r="N485" t="n">
        <x:v>0</x:v>
      </x:c>
      <x:c r="O485" t="n">
        <x:v>0</x:v>
      </x:c>
      <x:c r="P485"/>
      <x:c r="Q485"/>
      <x:c r="R485"/>
      <x:c r="S485"/>
      <x:c r="T485"/>
      <x:c r="U485"/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1</x:v>
      </x:c>
      <x:c r="AB485" t="n">
        <x:v>5</x:v>
      </x:c>
      <x:c r="AC485" t="n">
        <x:v>0</x:v>
      </x:c>
      <x:c r="AD485" t="n">
        <x:v>-0.5403367620892823</x:v>
      </x:c>
      <x:c r="AE485" t="n">
        <x:v>0</x:v>
      </x:c>
      <x:c r="AF485" t="n">
        <x:v>-0.000030994415283203125</x:v>
      </x:c>
      <x:c r="AG485" t="n">
        <x:f>_xlfn.XLOOKUP($A485,Games!$A$2:$A$18,Games!$B$2:$B$18,"Missing game",0)</x:f>
        <x:v>2025</x:v>
      </x:c>
      <x:c r="AH485" t="str">
        <x:f>_xlfn.XLOOKUP($A485,Games!$A$2:$A$18,Games!$C$2:$C$18,"Missing game",0)</x:f>
        <x:v>REG</x:v>
      </x:c>
      <x:c r="AI485" t="n">
        <x:f>_xlfn.XLOOKUP($A485,Games!$A$2:$A$18,Games!$D$2:$D$18,"Missing game",0)</x:f>
        <x:v>3</x:v>
      </x:c>
      <x:c r="AJ485" s="1" t="n">
        <x:f>_xlfn.XLOOKUP($A485,Games!$A$2:$A$18,Games!$E$2:$E$18,"Missing game",0)</x:f>
        <x:v>45921</x:v>
      </x:c>
      <x:c r="AK485" t="str">
        <x:f>_xlfn.XLOOKUP($A485,Games!$A$2:$A$18,Games!$F$2:$F$18,"Missing game",0)</x:f>
        <x:v>Sunday</x:v>
      </x:c>
      <x:c r="AL485" t="str">
        <x:f>_xlfn.XLOOKUP($A485,Games!$A$2:$A$18,Games!$G$2:$G$18,"Missing game",0)</x:f>
        <x:v>CIN</x:v>
      </x:c>
      <x:c r="AM485" t="n">
        <x:f>_xlfn.XLOOKUP($A485,Games!$A$2:$A$18,Games!$H$2:$H$18,"Missing game",0)</x:f>
        <x:v>10</x:v>
      </x:c>
      <x:c r="AN485" t="str">
        <x:f>_xlfn.XLOOKUP($A485,Games!$A$2:$A$18,Games!$I$2:$I$18,"Missing game",0)</x:f>
        <x:v>MIN</x:v>
      </x:c>
      <x:c r="AO485" t="n">
        <x:f>_xlfn.XLOOKUP($A485,Games!$A$2:$A$18,Games!$J$2:$J$18,"Missing game",0)</x:f>
        <x:v>48</x:v>
      </x:c>
      <x:c r="AP485" t="n">
        <x:f>_xlfn.XLOOKUP($A485,Games!$A$2:$A$18,Games!$K$2:$K$18,"Missing game",0)</x:f>
        <x:v>38</x:v>
      </x:c>
      <x:c r="AQ485" t="n">
        <x:f>_xlfn.XLOOKUP($A485,Games!$A$2:$A$18,Games!$L$2:$L$18,"Missing game",0)</x:f>
        <x:v>58</x:v>
      </x:c>
      <x:c r="AR485" t="n">
        <x:f>_xlfn.XLOOKUP($A485,Games!$A$2:$A$18,Games!$M$2:$M$18,"Missing game",0)</x:f>
        <x:v>0</x:v>
      </x:c>
      <x:c r="AS485" t="str">
        <x:f>_xlfn.XLOOKUP($A485,Games!$A$2:$A$18,Games!$N$2:$N$18,"Missing game",0)</x:f>
        <x:v>dome</x:v>
      </x:c>
      <x:c r="AT485" t="str">
        <x:f>_xlfn.XLOOKUP($A485,Games!$A$2:$A$18,Games!$O$2:$O$18,"Missing game",0)</x:f>
        <x:v>sportturf</x:v>
      </x:c>
      <x:c r="AU485" t="str">
        <x:f>_xlfn.XLOOKUP($A485,Games!$A$2:$A$18,Games!$P$2:$P$18,"Missing game",0)</x:f>
      </x:c>
      <x:c r="AV485" t="str">
        <x:f>_xlfn.XLOOKUP($A485,Games!$A$2:$A$18,Games!$Q$2:$Q$18,"Missing game",0)</x:f>
      </x:c>
      <x:c r="AW485" t="str">
        <x:f>_xlfn.XLOOKUP($A485,Games!$A$2:$A$18,Games!$R$2:$R$18,"Missing game",0)</x:f>
        <x:v>U.S. Bank Stadium</x:v>
      </x:c>
    </x:row>
    <x:row r="486">
      <x:c r="A486" t="str">
        <x:v>2025_03_CIN_MIN</x:v>
      </x:c>
      <x:c r="B486" t="n">
        <x:v>3918</x:v>
      </x:c>
      <x:c r="C486" t="n">
        <x:v>4</x:v>
      </x:c>
      <x:c r="D486" t="str">
        <x:v>07:57</x:v>
      </x:c>
      <x:c r="E486" t="n">
        <x:v>1</x:v>
      </x:c>
      <x:c r="F486" t="n">
        <x:v>15</x:v>
      </x:c>
      <x:c r="G486" t="str">
        <x:v>MIN</x:v>
      </x:c>
      <x:c r="H486" t="str">
        <x:v>CIN</x:v>
      </x:c>
      <x:c r="I486" t="str">
        <x:v>MIN</x:v>
      </x:c>
      <x:c r="J486" t="n">
        <x:v>62</x:v>
      </x:c>
      <x:c r="K486" t="str">
        <x:v>(7:57) 36-Z.Scott left tackle to MIN 38 for no gain (96-C.Sample).</x:v>
      </x:c>
      <x:c r="L486" t="str">
        <x:v>run</x:v>
      </x:c>
      <x:c r="M486" t="n">
        <x:v>0</x:v>
      </x:c>
      <x:c r="N486" t="n">
        <x:v>0</x:v>
      </x:c>
      <x:c r="O486" t="n">
        <x:v>0</x:v>
      </x:c>
      <x:c r="P486"/>
      <x:c r="Q486"/>
      <x:c r="R486"/>
      <x:c r="S486"/>
      <x:c r="T486" t="str">
        <x:v>left</x:v>
      </x:c>
      <x:c r="U486" t="str">
        <x:v>tackle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/>
      <x:c r="AC486" t="n">
        <x:v>0</x:v>
      </x:c>
      <x:c r="AD486" t="n">
        <x:v>-0.5793444635346532</x:v>
      </x:c>
      <x:c r="AE486" t="n">
        <x:v>0</x:v>
      </x:c>
      <x:c r="AF486" t="n">
        <x:v>-0.00003707408905029297</x:v>
      </x:c>
      <x:c r="AG486" t="n">
        <x:f>_xlfn.XLOOKUP($A486,Games!$A$2:$A$18,Games!$B$2:$B$18,"Missing game",0)</x:f>
        <x:v>2025</x:v>
      </x:c>
      <x:c r="AH486" t="str">
        <x:f>_xlfn.XLOOKUP($A486,Games!$A$2:$A$18,Games!$C$2:$C$18,"Missing game",0)</x:f>
        <x:v>REG</x:v>
      </x:c>
      <x:c r="AI486" t="n">
        <x:f>_xlfn.XLOOKUP($A486,Games!$A$2:$A$18,Games!$D$2:$D$18,"Missing game",0)</x:f>
        <x:v>3</x:v>
      </x:c>
      <x:c r="AJ486" s="1" t="n">
        <x:f>_xlfn.XLOOKUP($A486,Games!$A$2:$A$18,Games!$E$2:$E$18,"Missing game",0)</x:f>
        <x:v>45921</x:v>
      </x:c>
      <x:c r="AK486" t="str">
        <x:f>_xlfn.XLOOKUP($A486,Games!$A$2:$A$18,Games!$F$2:$F$18,"Missing game",0)</x:f>
        <x:v>Sunday</x:v>
      </x:c>
      <x:c r="AL486" t="str">
        <x:f>_xlfn.XLOOKUP($A486,Games!$A$2:$A$18,Games!$G$2:$G$18,"Missing game",0)</x:f>
        <x:v>CIN</x:v>
      </x:c>
      <x:c r="AM486" t="n">
        <x:f>_xlfn.XLOOKUP($A486,Games!$A$2:$A$18,Games!$H$2:$H$18,"Missing game",0)</x:f>
        <x:v>10</x:v>
      </x:c>
      <x:c r="AN486" t="str">
        <x:f>_xlfn.XLOOKUP($A486,Games!$A$2:$A$18,Games!$I$2:$I$18,"Missing game",0)</x:f>
        <x:v>MIN</x:v>
      </x:c>
      <x:c r="AO486" t="n">
        <x:f>_xlfn.XLOOKUP($A486,Games!$A$2:$A$18,Games!$J$2:$J$18,"Missing game",0)</x:f>
        <x:v>48</x:v>
      </x:c>
      <x:c r="AP486" t="n">
        <x:f>_xlfn.XLOOKUP($A486,Games!$A$2:$A$18,Games!$K$2:$K$18,"Missing game",0)</x:f>
        <x:v>38</x:v>
      </x:c>
      <x:c r="AQ486" t="n">
        <x:f>_xlfn.XLOOKUP($A486,Games!$A$2:$A$18,Games!$L$2:$L$18,"Missing game",0)</x:f>
        <x:v>58</x:v>
      </x:c>
      <x:c r="AR486" t="n">
        <x:f>_xlfn.XLOOKUP($A486,Games!$A$2:$A$18,Games!$M$2:$M$18,"Missing game",0)</x:f>
        <x:v>0</x:v>
      </x:c>
      <x:c r="AS486" t="str">
        <x:f>_xlfn.XLOOKUP($A486,Games!$A$2:$A$18,Games!$N$2:$N$18,"Missing game",0)</x:f>
        <x:v>dome</x:v>
      </x:c>
      <x:c r="AT486" t="str">
        <x:f>_xlfn.XLOOKUP($A486,Games!$A$2:$A$18,Games!$O$2:$O$18,"Missing game",0)</x:f>
        <x:v>sportturf</x:v>
      </x:c>
      <x:c r="AU486" t="str">
        <x:f>_xlfn.XLOOKUP($A486,Games!$A$2:$A$18,Games!$P$2:$P$18,"Missing game",0)</x:f>
      </x:c>
      <x:c r="AV486" t="str">
        <x:f>_xlfn.XLOOKUP($A486,Games!$A$2:$A$18,Games!$Q$2:$Q$18,"Missing game",0)</x:f>
      </x:c>
      <x:c r="AW486" t="str">
        <x:f>_xlfn.XLOOKUP($A486,Games!$A$2:$A$18,Games!$R$2:$R$18,"Missing game",0)</x:f>
        <x:v>U.S. Bank Stadium</x:v>
      </x:c>
    </x:row>
    <x:row r="487">
      <x:c r="A487" t="str">
        <x:v>2025_03_CIN_MIN</x:v>
      </x:c>
      <x:c r="B487" t="n">
        <x:v>3940</x:v>
      </x:c>
      <x:c r="C487" t="n">
        <x:v>4</x:v>
      </x:c>
      <x:c r="D487" t="str">
        <x:v>07:20</x:v>
      </x:c>
      <x:c r="E487" t="n">
        <x:v>2</x:v>
      </x:c>
      <x:c r="F487" t="n">
        <x:v>15</x:v>
      </x:c>
      <x:c r="G487" t="str">
        <x:v>MIN</x:v>
      </x:c>
      <x:c r="H487" t="str">
        <x:v>CIN</x:v>
      </x:c>
      <x:c r="I487" t="str">
        <x:v>MIN</x:v>
      </x:c>
      <x:c r="J487" t="n">
        <x:v>62</x:v>
      </x:c>
      <x:c r="K487" t="str">
        <x:v>(7:20) (Shotgun) 36-Z.Scott left tackle to MIN 40 for 2 yards (90-K.Jenkins; 44-D.Knight).</x:v>
      </x:c>
      <x:c r="L487" t="str">
        <x:v>run</x:v>
      </x:c>
      <x:c r="M487" t="n">
        <x:v>2</x:v>
      </x:c>
      <x:c r="N487" t="n">
        <x:v>1</x:v>
      </x:c>
      <x:c r="O487" t="n">
        <x:v>0</x:v>
      </x:c>
      <x:c r="P487"/>
      <x:c r="Q487"/>
      <x:c r="R487"/>
      <x:c r="S487"/>
      <x:c r="T487" t="str">
        <x:v>left</x:v>
      </x:c>
      <x:c r="U487" t="str">
        <x:v>tackle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/>
      <x:c r="AC487" t="n">
        <x:v>0</x:v>
      </x:c>
      <x:c r="AD487" t="n">
        <x:v>-0.7468221317976713</x:v>
      </x:c>
      <x:c r="AE487" t="n">
        <x:v>0</x:v>
      </x:c>
      <x:c r="AF487" t="n">
        <x:v>0.00001621246337890625</x:v>
      </x:c>
      <x:c r="AG487" t="n">
        <x:f>_xlfn.XLOOKUP($A487,Games!$A$2:$A$18,Games!$B$2:$B$18,"Missing game",0)</x:f>
        <x:v>2025</x:v>
      </x:c>
      <x:c r="AH487" t="str">
        <x:f>_xlfn.XLOOKUP($A487,Games!$A$2:$A$18,Games!$C$2:$C$18,"Missing game",0)</x:f>
        <x:v>REG</x:v>
      </x:c>
      <x:c r="AI487" t="n">
        <x:f>_xlfn.XLOOKUP($A487,Games!$A$2:$A$18,Games!$D$2:$D$18,"Missing game",0)</x:f>
        <x:v>3</x:v>
      </x:c>
      <x:c r="AJ487" s="1" t="n">
        <x:f>_xlfn.XLOOKUP($A487,Games!$A$2:$A$18,Games!$E$2:$E$18,"Missing game",0)</x:f>
        <x:v>45921</x:v>
      </x:c>
      <x:c r="AK487" t="str">
        <x:f>_xlfn.XLOOKUP($A487,Games!$A$2:$A$18,Games!$F$2:$F$18,"Missing game",0)</x:f>
        <x:v>Sunday</x:v>
      </x:c>
      <x:c r="AL487" t="str">
        <x:f>_xlfn.XLOOKUP($A487,Games!$A$2:$A$18,Games!$G$2:$G$18,"Missing game",0)</x:f>
        <x:v>CIN</x:v>
      </x:c>
      <x:c r="AM487" t="n">
        <x:f>_xlfn.XLOOKUP($A487,Games!$A$2:$A$18,Games!$H$2:$H$18,"Missing game",0)</x:f>
        <x:v>10</x:v>
      </x:c>
      <x:c r="AN487" t="str">
        <x:f>_xlfn.XLOOKUP($A487,Games!$A$2:$A$18,Games!$I$2:$I$18,"Missing game",0)</x:f>
        <x:v>MIN</x:v>
      </x:c>
      <x:c r="AO487" t="n">
        <x:f>_xlfn.XLOOKUP($A487,Games!$A$2:$A$18,Games!$J$2:$J$18,"Missing game",0)</x:f>
        <x:v>48</x:v>
      </x:c>
      <x:c r="AP487" t="n">
        <x:f>_xlfn.XLOOKUP($A487,Games!$A$2:$A$18,Games!$K$2:$K$18,"Missing game",0)</x:f>
        <x:v>38</x:v>
      </x:c>
      <x:c r="AQ487" t="n">
        <x:f>_xlfn.XLOOKUP($A487,Games!$A$2:$A$18,Games!$L$2:$L$18,"Missing game",0)</x:f>
        <x:v>58</x:v>
      </x:c>
      <x:c r="AR487" t="n">
        <x:f>_xlfn.XLOOKUP($A487,Games!$A$2:$A$18,Games!$M$2:$M$18,"Missing game",0)</x:f>
        <x:v>0</x:v>
      </x:c>
      <x:c r="AS487" t="str">
        <x:f>_xlfn.XLOOKUP($A487,Games!$A$2:$A$18,Games!$N$2:$N$18,"Missing game",0)</x:f>
        <x:v>dome</x:v>
      </x:c>
      <x:c r="AT487" t="str">
        <x:f>_xlfn.XLOOKUP($A487,Games!$A$2:$A$18,Games!$O$2:$O$18,"Missing game",0)</x:f>
        <x:v>sportturf</x:v>
      </x:c>
      <x:c r="AU487" t="str">
        <x:f>_xlfn.XLOOKUP($A487,Games!$A$2:$A$18,Games!$P$2:$P$18,"Missing game",0)</x:f>
      </x:c>
      <x:c r="AV487" t="str">
        <x:f>_xlfn.XLOOKUP($A487,Games!$A$2:$A$18,Games!$Q$2:$Q$18,"Missing game",0)</x:f>
      </x:c>
      <x:c r="AW487" t="str">
        <x:f>_xlfn.XLOOKUP($A487,Games!$A$2:$A$18,Games!$R$2:$R$18,"Missing game",0)</x:f>
        <x:v>U.S. Bank Stadium</x:v>
      </x:c>
    </x:row>
    <x:row r="488">
      <x:c r="A488" t="str">
        <x:v>2025_03_CIN_MIN</x:v>
      </x:c>
      <x:c r="B488" t="n">
        <x:v>3962</x:v>
      </x:c>
      <x:c r="C488" t="n">
        <x:v>4</x:v>
      </x:c>
      <x:c r="D488" t="str">
        <x:v>06:42</x:v>
      </x:c>
      <x:c r="E488" t="n">
        <x:v>3</x:v>
      </x:c>
      <x:c r="F488" t="n">
        <x:v>13</x:v>
      </x:c>
      <x:c r="G488" t="str">
        <x:v>MIN</x:v>
      </x:c>
      <x:c r="H488" t="str">
        <x:v>CIN</x:v>
      </x:c>
      <x:c r="I488" t="str">
        <x:v>MIN</x:v>
      </x:c>
      <x:c r="J488" t="n">
        <x:v>60</x:v>
      </x:c>
      <x:c r="K488" t="str">
        <x:v>(6:42) (Shotgun) 12-M.Brosmer pass short left to 13-T.Felton to MIN 49 for 9 yards (24-M.Wilson).</x:v>
      </x:c>
      <x:c r="L488" t="str">
        <x:v>pass</x:v>
      </x:c>
      <x:c r="M488" t="n">
        <x:v>9</x:v>
      </x:c>
      <x:c r="N488" t="n">
        <x:v>1</x:v>
      </x:c>
      <x:c r="O488" t="n">
        <x:v>0</x:v>
      </x:c>
      <x:c r="P488" t="str">
        <x:v>short</x:v>
      </x:c>
      <x:c r="Q488" t="str">
        <x:v>left</x:v>
      </x:c>
      <x:c r="R488" t="n">
        <x:v>7</x:v>
      </x:c>
      <x:c r="S488" t="n">
        <x:v>2</x:v>
      </x:c>
      <x:c r="T488"/>
      <x:c r="U488"/>
      <x:c r="V488" t="n">
        <x:v>1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/>
      <x:c r="AC488" t="n">
        <x:v>0</x:v>
      </x:c>
      <x:c r="AD488" t="n">
        <x:v>-0.4868191306013614</x:v>
      </x:c>
      <x:c r="AE488" t="n">
        <x:v>0</x:v>
      </x:c>
      <x:c r="AF488" t="n">
        <x:v>-0.000006079673767089844</x:v>
      </x:c>
      <x:c r="AG488" t="n">
        <x:f>_xlfn.XLOOKUP($A488,Games!$A$2:$A$18,Games!$B$2:$B$18,"Missing game",0)</x:f>
        <x:v>2025</x:v>
      </x:c>
      <x:c r="AH488" t="str">
        <x:f>_xlfn.XLOOKUP($A488,Games!$A$2:$A$18,Games!$C$2:$C$18,"Missing game",0)</x:f>
        <x:v>REG</x:v>
      </x:c>
      <x:c r="AI488" t="n">
        <x:f>_xlfn.XLOOKUP($A488,Games!$A$2:$A$18,Games!$D$2:$D$18,"Missing game",0)</x:f>
        <x:v>3</x:v>
      </x:c>
      <x:c r="AJ488" s="1" t="n">
        <x:f>_xlfn.XLOOKUP($A488,Games!$A$2:$A$18,Games!$E$2:$E$18,"Missing game",0)</x:f>
        <x:v>45921</x:v>
      </x:c>
      <x:c r="AK488" t="str">
        <x:f>_xlfn.XLOOKUP($A488,Games!$A$2:$A$18,Games!$F$2:$F$18,"Missing game",0)</x:f>
        <x:v>Sunday</x:v>
      </x:c>
      <x:c r="AL488" t="str">
        <x:f>_xlfn.XLOOKUP($A488,Games!$A$2:$A$18,Games!$G$2:$G$18,"Missing game",0)</x:f>
        <x:v>CIN</x:v>
      </x:c>
      <x:c r="AM488" t="n">
        <x:f>_xlfn.XLOOKUP($A488,Games!$A$2:$A$18,Games!$H$2:$H$18,"Missing game",0)</x:f>
        <x:v>10</x:v>
      </x:c>
      <x:c r="AN488" t="str">
        <x:f>_xlfn.XLOOKUP($A488,Games!$A$2:$A$18,Games!$I$2:$I$18,"Missing game",0)</x:f>
        <x:v>MIN</x:v>
      </x:c>
      <x:c r="AO488" t="n">
        <x:f>_xlfn.XLOOKUP($A488,Games!$A$2:$A$18,Games!$J$2:$J$18,"Missing game",0)</x:f>
        <x:v>48</x:v>
      </x:c>
      <x:c r="AP488" t="n">
        <x:f>_xlfn.XLOOKUP($A488,Games!$A$2:$A$18,Games!$K$2:$K$18,"Missing game",0)</x:f>
        <x:v>38</x:v>
      </x:c>
      <x:c r="AQ488" t="n">
        <x:f>_xlfn.XLOOKUP($A488,Games!$A$2:$A$18,Games!$L$2:$L$18,"Missing game",0)</x:f>
        <x:v>58</x:v>
      </x:c>
      <x:c r="AR488" t="n">
        <x:f>_xlfn.XLOOKUP($A488,Games!$A$2:$A$18,Games!$M$2:$M$18,"Missing game",0)</x:f>
        <x:v>0</x:v>
      </x:c>
      <x:c r="AS488" t="str">
        <x:f>_xlfn.XLOOKUP($A488,Games!$A$2:$A$18,Games!$N$2:$N$18,"Missing game",0)</x:f>
        <x:v>dome</x:v>
      </x:c>
      <x:c r="AT488" t="str">
        <x:f>_xlfn.XLOOKUP($A488,Games!$A$2:$A$18,Games!$O$2:$O$18,"Missing game",0)</x:f>
        <x:v>sportturf</x:v>
      </x:c>
      <x:c r="AU488" t="str">
        <x:f>_xlfn.XLOOKUP($A488,Games!$A$2:$A$18,Games!$P$2:$P$18,"Missing game",0)</x:f>
      </x:c>
      <x:c r="AV488" t="str">
        <x:f>_xlfn.XLOOKUP($A488,Games!$A$2:$A$18,Games!$Q$2:$Q$18,"Missing game",0)</x:f>
      </x:c>
      <x:c r="AW488" t="str">
        <x:f>_xlfn.XLOOKUP($A488,Games!$A$2:$A$18,Games!$R$2:$R$18,"Missing game",0)</x:f>
        <x:v>U.S. Bank Stadium</x:v>
      </x:c>
    </x:row>
    <x:row r="489">
      <x:c r="A489" t="str">
        <x:v>2025_03_CIN_MIN</x:v>
      </x:c>
      <x:c r="B489" t="n">
        <x:v>3987</x:v>
      </x:c>
      <x:c r="C489" t="n">
        <x:v>4</x:v>
      </x:c>
      <x:c r="D489" t="str">
        <x:v>06:05</x:v>
      </x:c>
      <x:c r="E489" t="n">
        <x:v>4</x:v>
      </x:c>
      <x:c r="F489" t="n">
        <x:v>4</x:v>
      </x:c>
      <x:c r="G489" t="str">
        <x:v>MIN</x:v>
      </x:c>
      <x:c r="H489" t="str">
        <x:v>CIN</x:v>
      </x:c>
      <x:c r="I489" t="str">
        <x:v>MIN</x:v>
      </x:c>
      <x:c r="J489" t="n">
        <x:v>51</x:v>
      </x:c>
      <x:c r="K489" t="str">
        <x:v>(6:05) 17-R.Wright punts 42 yards to CIN 9, Center-42-A.DePaola, fair catch by 15-C.Jones.</x:v>
      </x:c>
      <x:c r="L489" t="str">
        <x:v>punt</x:v>
      </x:c>
      <x:c r="M489" t="n">
        <x:v>0</x:v>
      </x:c>
      <x:c r="N489" t="n">
        <x:v>0</x:v>
      </x:c>
      <x:c r="O489" t="n">
        <x:v>0</x:v>
      </x:c>
      <x:c r="P489"/>
      <x:c r="Q489"/>
      <x:c r="R489"/>
      <x:c r="S489"/>
      <x:c r="T489"/>
      <x:c r="U489"/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/>
      <x:c r="AC489" t="n">
        <x:v>0</x:v>
      </x:c>
      <x:c r="AD489" t="n">
        <x:v>-0.18572042020969093</x:v>
      </x:c>
      <x:c r="AE489" t="n">
        <x:v>0</x:v>
      </x:c>
      <x:c r="AF489" t="n">
        <x:v>0.00006485519406851381</x:v>
      </x:c>
      <x:c r="AG489" t="n">
        <x:f>_xlfn.XLOOKUP($A489,Games!$A$2:$A$18,Games!$B$2:$B$18,"Missing game",0)</x:f>
        <x:v>2025</x:v>
      </x:c>
      <x:c r="AH489" t="str">
        <x:f>_xlfn.XLOOKUP($A489,Games!$A$2:$A$18,Games!$C$2:$C$18,"Missing game",0)</x:f>
        <x:v>REG</x:v>
      </x:c>
      <x:c r="AI489" t="n">
        <x:f>_xlfn.XLOOKUP($A489,Games!$A$2:$A$18,Games!$D$2:$D$18,"Missing game",0)</x:f>
        <x:v>3</x:v>
      </x:c>
      <x:c r="AJ489" s="1" t="n">
        <x:f>_xlfn.XLOOKUP($A489,Games!$A$2:$A$18,Games!$E$2:$E$18,"Missing game",0)</x:f>
        <x:v>45921</x:v>
      </x:c>
      <x:c r="AK489" t="str">
        <x:f>_xlfn.XLOOKUP($A489,Games!$A$2:$A$18,Games!$F$2:$F$18,"Missing game",0)</x:f>
        <x:v>Sunday</x:v>
      </x:c>
      <x:c r="AL489" t="str">
        <x:f>_xlfn.XLOOKUP($A489,Games!$A$2:$A$18,Games!$G$2:$G$18,"Missing game",0)</x:f>
        <x:v>CIN</x:v>
      </x:c>
      <x:c r="AM489" t="n">
        <x:f>_xlfn.XLOOKUP($A489,Games!$A$2:$A$18,Games!$H$2:$H$18,"Missing game",0)</x:f>
        <x:v>10</x:v>
      </x:c>
      <x:c r="AN489" t="str">
        <x:f>_xlfn.XLOOKUP($A489,Games!$A$2:$A$18,Games!$I$2:$I$18,"Missing game",0)</x:f>
        <x:v>MIN</x:v>
      </x:c>
      <x:c r="AO489" t="n">
        <x:f>_xlfn.XLOOKUP($A489,Games!$A$2:$A$18,Games!$J$2:$J$18,"Missing game",0)</x:f>
        <x:v>48</x:v>
      </x:c>
      <x:c r="AP489" t="n">
        <x:f>_xlfn.XLOOKUP($A489,Games!$A$2:$A$18,Games!$K$2:$K$18,"Missing game",0)</x:f>
        <x:v>38</x:v>
      </x:c>
      <x:c r="AQ489" t="n">
        <x:f>_xlfn.XLOOKUP($A489,Games!$A$2:$A$18,Games!$L$2:$L$18,"Missing game",0)</x:f>
        <x:v>58</x:v>
      </x:c>
      <x:c r="AR489" t="n">
        <x:f>_xlfn.XLOOKUP($A489,Games!$A$2:$A$18,Games!$M$2:$M$18,"Missing game",0)</x:f>
        <x:v>0</x:v>
      </x:c>
      <x:c r="AS489" t="str">
        <x:f>_xlfn.XLOOKUP($A489,Games!$A$2:$A$18,Games!$N$2:$N$18,"Missing game",0)</x:f>
        <x:v>dome</x:v>
      </x:c>
      <x:c r="AT489" t="str">
        <x:f>_xlfn.XLOOKUP($A489,Games!$A$2:$A$18,Games!$O$2:$O$18,"Missing game",0)</x:f>
        <x:v>sportturf</x:v>
      </x:c>
      <x:c r="AU489" t="str">
        <x:f>_xlfn.XLOOKUP($A489,Games!$A$2:$A$18,Games!$P$2:$P$18,"Missing game",0)</x:f>
      </x:c>
      <x:c r="AV489" t="str">
        <x:f>_xlfn.XLOOKUP($A489,Games!$A$2:$A$18,Games!$Q$2:$Q$18,"Missing game",0)</x:f>
      </x:c>
      <x:c r="AW489" t="str">
        <x:f>_xlfn.XLOOKUP($A489,Games!$A$2:$A$18,Games!$R$2:$R$18,"Missing game",0)</x:f>
        <x:v>U.S. Bank Stadium</x:v>
      </x:c>
    </x:row>
    <x:row r="490">
      <x:c r="A490" t="str">
        <x:v>2025_03_CIN_MIN</x:v>
      </x:c>
      <x:c r="B490" t="n">
        <x:v>4007</x:v>
      </x:c>
      <x:c r="C490" t="n">
        <x:v>4</x:v>
      </x:c>
      <x:c r="D490" t="str">
        <x:v>05:58</x:v>
      </x:c>
      <x:c r="E490" t="n">
        <x:v>1</x:v>
      </x:c>
      <x:c r="F490" t="n">
        <x:v>10</x:v>
      </x:c>
      <x:c r="G490" t="str">
        <x:v>CIN</x:v>
      </x:c>
      <x:c r="H490" t="str">
        <x:v>MIN</x:v>
      </x:c>
      <x:c r="I490" t="str">
        <x:v>CIN</x:v>
      </x:c>
      <x:c r="J490" t="n">
        <x:v>91</x:v>
      </x:c>
      <x:c r="K490" t="str">
        <x:v>(5:58) 25-T.Brooks up the middle to CIN 11 for 2 yards (0-I.Pace, 41-K.King).</x:v>
      </x:c>
      <x:c r="L490" t="str">
        <x:v>run</x:v>
      </x:c>
      <x:c r="M490" t="n">
        <x:v>2</x:v>
      </x:c>
      <x:c r="N490" t="n">
        <x:v>0</x:v>
      </x:c>
      <x:c r="O490" t="n">
        <x:v>0</x:v>
      </x:c>
      <x:c r="P490"/>
      <x:c r="Q490"/>
      <x:c r="R490"/>
      <x:c r="S490"/>
      <x:c r="T490" t="str">
        <x:v>middle</x:v>
      </x:c>
      <x:c r="U490"/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/>
      <x:c r="AC490" t="n">
        <x:v>0</x:v>
      </x:c>
      <x:c r="AD490" t="n">
        <x:v>-0.4962143059819937</x:v>
      </x:c>
      <x:c r="AE490" t="n">
        <x:v>0</x:v>
      </x:c>
      <x:c r="AF490" t="n">
        <x:v>0.000020173749362584203</x:v>
      </x:c>
      <x:c r="AG490" t="n">
        <x:f>_xlfn.XLOOKUP($A490,Games!$A$2:$A$18,Games!$B$2:$B$18,"Missing game",0)</x:f>
        <x:v>2025</x:v>
      </x:c>
      <x:c r="AH490" t="str">
        <x:f>_xlfn.XLOOKUP($A490,Games!$A$2:$A$18,Games!$C$2:$C$18,"Missing game",0)</x:f>
        <x:v>REG</x:v>
      </x:c>
      <x:c r="AI490" t="n">
        <x:f>_xlfn.XLOOKUP($A490,Games!$A$2:$A$18,Games!$D$2:$D$18,"Missing game",0)</x:f>
        <x:v>3</x:v>
      </x:c>
      <x:c r="AJ490" s="1" t="n">
        <x:f>_xlfn.XLOOKUP($A490,Games!$A$2:$A$18,Games!$E$2:$E$18,"Missing game",0)</x:f>
        <x:v>45921</x:v>
      </x:c>
      <x:c r="AK490" t="str">
        <x:f>_xlfn.XLOOKUP($A490,Games!$A$2:$A$18,Games!$F$2:$F$18,"Missing game",0)</x:f>
        <x:v>Sunday</x:v>
      </x:c>
      <x:c r="AL490" t="str">
        <x:f>_xlfn.XLOOKUP($A490,Games!$A$2:$A$18,Games!$G$2:$G$18,"Missing game",0)</x:f>
        <x:v>CIN</x:v>
      </x:c>
      <x:c r="AM490" t="n">
        <x:f>_xlfn.XLOOKUP($A490,Games!$A$2:$A$18,Games!$H$2:$H$18,"Missing game",0)</x:f>
        <x:v>10</x:v>
      </x:c>
      <x:c r="AN490" t="str">
        <x:f>_xlfn.XLOOKUP($A490,Games!$A$2:$A$18,Games!$I$2:$I$18,"Missing game",0)</x:f>
        <x:v>MIN</x:v>
      </x:c>
      <x:c r="AO490" t="n">
        <x:f>_xlfn.XLOOKUP($A490,Games!$A$2:$A$18,Games!$J$2:$J$18,"Missing game",0)</x:f>
        <x:v>48</x:v>
      </x:c>
      <x:c r="AP490" t="n">
        <x:f>_xlfn.XLOOKUP($A490,Games!$A$2:$A$18,Games!$K$2:$K$18,"Missing game",0)</x:f>
        <x:v>38</x:v>
      </x:c>
      <x:c r="AQ490" t="n">
        <x:f>_xlfn.XLOOKUP($A490,Games!$A$2:$A$18,Games!$L$2:$L$18,"Missing game",0)</x:f>
        <x:v>58</x:v>
      </x:c>
      <x:c r="AR490" t="n">
        <x:f>_xlfn.XLOOKUP($A490,Games!$A$2:$A$18,Games!$M$2:$M$18,"Missing game",0)</x:f>
        <x:v>0</x:v>
      </x:c>
      <x:c r="AS490" t="str">
        <x:f>_xlfn.XLOOKUP($A490,Games!$A$2:$A$18,Games!$N$2:$N$18,"Missing game",0)</x:f>
        <x:v>dome</x:v>
      </x:c>
      <x:c r="AT490" t="str">
        <x:f>_xlfn.XLOOKUP($A490,Games!$A$2:$A$18,Games!$O$2:$O$18,"Missing game",0)</x:f>
        <x:v>sportturf</x:v>
      </x:c>
      <x:c r="AU490" t="str">
        <x:f>_xlfn.XLOOKUP($A490,Games!$A$2:$A$18,Games!$P$2:$P$18,"Missing game",0)</x:f>
      </x:c>
      <x:c r="AV490" t="str">
        <x:f>_xlfn.XLOOKUP($A490,Games!$A$2:$A$18,Games!$Q$2:$Q$18,"Missing game",0)</x:f>
      </x:c>
      <x:c r="AW490" t="str">
        <x:f>_xlfn.XLOOKUP($A490,Games!$A$2:$A$18,Games!$R$2:$R$18,"Missing game",0)</x:f>
        <x:v>U.S. Bank Stadium</x:v>
      </x:c>
    </x:row>
    <x:row r="491">
      <x:c r="A491" t="str">
        <x:v>2025_03_CIN_MIN</x:v>
      </x:c>
      <x:c r="B491" t="n">
        <x:v>4029</x:v>
      </x:c>
      <x:c r="C491" t="n">
        <x:v>4</x:v>
      </x:c>
      <x:c r="D491" t="str">
        <x:v>05:22</x:v>
      </x:c>
      <x:c r="E491" t="n">
        <x:v>2</x:v>
      </x:c>
      <x:c r="F491" t="n">
        <x:v>8</x:v>
      </x:c>
      <x:c r="G491" t="str">
        <x:v>CIN</x:v>
      </x:c>
      <x:c r="H491" t="str">
        <x:v>MIN</x:v>
      </x:c>
      <x:c r="I491" t="str">
        <x:v>CIN</x:v>
      </x:c>
      <x:c r="J491" t="n">
        <x:v>89</x:v>
      </x:c>
      <x:c r="K491" t="str">
        <x:v>(5:22) 25-T.Brooks right end to CIN 17 for 6 yards (0-I.Pace).</x:v>
      </x:c>
      <x:c r="L491" t="str">
        <x:v>run</x:v>
      </x:c>
      <x:c r="M491" t="n">
        <x:v>6</x:v>
      </x:c>
      <x:c r="N491" t="n">
        <x:v>0</x:v>
      </x:c>
      <x:c r="O491" t="n">
        <x:v>0</x:v>
      </x:c>
      <x:c r="P491"/>
      <x:c r="Q491"/>
      <x:c r="R491"/>
      <x:c r="S491"/>
      <x:c r="T491" t="str">
        <x:v>right</x:v>
      </x:c>
      <x:c r="U491" t="str">
        <x:v>end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/>
      <x:c r="AC491" t="n">
        <x:v>0</x:v>
      </x:c>
      <x:c r="AD491" t="n">
        <x:v>0.18681320152245462</x:v>
      </x:c>
      <x:c r="AE491" t="n">
        <x:v>1</x:v>
      </x:c>
      <x:c r="AF491" t="n">
        <x:v>-0.000008976661774795502</x:v>
      </x:c>
      <x:c r="AG491" t="n">
        <x:f>_xlfn.XLOOKUP($A491,Games!$A$2:$A$18,Games!$B$2:$B$18,"Missing game",0)</x:f>
        <x:v>2025</x:v>
      </x:c>
      <x:c r="AH491" t="str">
        <x:f>_xlfn.XLOOKUP($A491,Games!$A$2:$A$18,Games!$C$2:$C$18,"Missing game",0)</x:f>
        <x:v>REG</x:v>
      </x:c>
      <x:c r="AI491" t="n">
        <x:f>_xlfn.XLOOKUP($A491,Games!$A$2:$A$18,Games!$D$2:$D$18,"Missing game",0)</x:f>
        <x:v>3</x:v>
      </x:c>
      <x:c r="AJ491" s="1" t="n">
        <x:f>_xlfn.XLOOKUP($A491,Games!$A$2:$A$18,Games!$E$2:$E$18,"Missing game",0)</x:f>
        <x:v>45921</x:v>
      </x:c>
      <x:c r="AK491" t="str">
        <x:f>_xlfn.XLOOKUP($A491,Games!$A$2:$A$18,Games!$F$2:$F$18,"Missing game",0)</x:f>
        <x:v>Sunday</x:v>
      </x:c>
      <x:c r="AL491" t="str">
        <x:f>_xlfn.XLOOKUP($A491,Games!$A$2:$A$18,Games!$G$2:$G$18,"Missing game",0)</x:f>
        <x:v>CIN</x:v>
      </x:c>
      <x:c r="AM491" t="n">
        <x:f>_xlfn.XLOOKUP($A491,Games!$A$2:$A$18,Games!$H$2:$H$18,"Missing game",0)</x:f>
        <x:v>10</x:v>
      </x:c>
      <x:c r="AN491" t="str">
        <x:f>_xlfn.XLOOKUP($A491,Games!$A$2:$A$18,Games!$I$2:$I$18,"Missing game",0)</x:f>
        <x:v>MIN</x:v>
      </x:c>
      <x:c r="AO491" t="n">
        <x:f>_xlfn.XLOOKUP($A491,Games!$A$2:$A$18,Games!$J$2:$J$18,"Missing game",0)</x:f>
        <x:v>48</x:v>
      </x:c>
      <x:c r="AP491" t="n">
        <x:f>_xlfn.XLOOKUP($A491,Games!$A$2:$A$18,Games!$K$2:$K$18,"Missing game",0)</x:f>
        <x:v>38</x:v>
      </x:c>
      <x:c r="AQ491" t="n">
        <x:f>_xlfn.XLOOKUP($A491,Games!$A$2:$A$18,Games!$L$2:$L$18,"Missing game",0)</x:f>
        <x:v>58</x:v>
      </x:c>
      <x:c r="AR491" t="n">
        <x:f>_xlfn.XLOOKUP($A491,Games!$A$2:$A$18,Games!$M$2:$M$18,"Missing game",0)</x:f>
        <x:v>0</x:v>
      </x:c>
      <x:c r="AS491" t="str">
        <x:f>_xlfn.XLOOKUP($A491,Games!$A$2:$A$18,Games!$N$2:$N$18,"Missing game",0)</x:f>
        <x:v>dome</x:v>
      </x:c>
      <x:c r="AT491" t="str">
        <x:f>_xlfn.XLOOKUP($A491,Games!$A$2:$A$18,Games!$O$2:$O$18,"Missing game",0)</x:f>
        <x:v>sportturf</x:v>
      </x:c>
      <x:c r="AU491" t="str">
        <x:f>_xlfn.XLOOKUP($A491,Games!$A$2:$A$18,Games!$P$2:$P$18,"Missing game",0)</x:f>
      </x:c>
      <x:c r="AV491" t="str">
        <x:f>_xlfn.XLOOKUP($A491,Games!$A$2:$A$18,Games!$Q$2:$Q$18,"Missing game",0)</x:f>
      </x:c>
      <x:c r="AW491" t="str">
        <x:f>_xlfn.XLOOKUP($A491,Games!$A$2:$A$18,Games!$R$2:$R$18,"Missing game",0)</x:f>
        <x:v>U.S. Bank Stadium</x:v>
      </x:c>
    </x:row>
    <x:row r="492">
      <x:c r="A492" t="str">
        <x:v>2025_03_CIN_MIN</x:v>
      </x:c>
      <x:c r="B492" t="n">
        <x:v>4051</x:v>
      </x:c>
      <x:c r="C492" t="n">
        <x:v>4</x:v>
      </x:c>
      <x:c r="D492" t="str">
        <x:v>04:36</x:v>
      </x:c>
      <x:c r="E492" t="n">
        <x:v>3</x:v>
      </x:c>
      <x:c r="F492" t="n">
        <x:v>2</x:v>
      </x:c>
      <x:c r="G492" t="str">
        <x:v>CIN</x:v>
      </x:c>
      <x:c r="H492" t="str">
        <x:v>MIN</x:v>
      </x:c>
      <x:c r="I492" t="str">
        <x:v>CIN</x:v>
      </x:c>
      <x:c r="J492" t="n">
        <x:v>83</x:v>
      </x:c>
      <x:c r="K492" t="str">
        <x:v>(4:36) (Shotgun) 11-B.Rypien sacked at CIN 15 for -2 yards (57-C.Chambliss).</x:v>
      </x:c>
      <x:c r="L492" t="str">
        <x:v>pass</x:v>
      </x:c>
      <x:c r="M492" t="n">
        <x:v>-2</x:v>
      </x:c>
      <x:c r="N492" t="n">
        <x:v>1</x:v>
      </x:c>
      <x:c r="O492" t="n">
        <x:v>0</x:v>
      </x:c>
      <x:c r="P492"/>
      <x:c r="Q492"/>
      <x:c r="R492"/>
      <x:c r="S492"/>
      <x:c r="T492"/>
      <x:c r="U492"/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0</x:v>
      </x:c>
      <x:c r="AB492"/>
      <x:c r="AC492" t="n">
        <x:v>0</x:v>
      </x:c>
      <x:c r="AD492" t="n">
        <x:v>-1.2378779940772802</x:v>
      </x:c>
      <x:c r="AE492" t="n">
        <x:v>0</x:v>
      </x:c>
      <x:c r="AF492" t="n">
        <x:v>0.000013867305824533105</x:v>
      </x:c>
      <x:c r="AG492" t="n">
        <x:f>_xlfn.XLOOKUP($A492,Games!$A$2:$A$18,Games!$B$2:$B$18,"Missing game",0)</x:f>
        <x:v>2025</x:v>
      </x:c>
      <x:c r="AH492" t="str">
        <x:f>_xlfn.XLOOKUP($A492,Games!$A$2:$A$18,Games!$C$2:$C$18,"Missing game",0)</x:f>
        <x:v>REG</x:v>
      </x:c>
      <x:c r="AI492" t="n">
        <x:f>_xlfn.XLOOKUP($A492,Games!$A$2:$A$18,Games!$D$2:$D$18,"Missing game",0)</x:f>
        <x:v>3</x:v>
      </x:c>
      <x:c r="AJ492" s="1" t="n">
        <x:f>_xlfn.XLOOKUP($A492,Games!$A$2:$A$18,Games!$E$2:$E$18,"Missing game",0)</x:f>
        <x:v>45921</x:v>
      </x:c>
      <x:c r="AK492" t="str">
        <x:f>_xlfn.XLOOKUP($A492,Games!$A$2:$A$18,Games!$F$2:$F$18,"Missing game",0)</x:f>
        <x:v>Sunday</x:v>
      </x:c>
      <x:c r="AL492" t="str">
        <x:f>_xlfn.XLOOKUP($A492,Games!$A$2:$A$18,Games!$G$2:$G$18,"Missing game",0)</x:f>
        <x:v>CIN</x:v>
      </x:c>
      <x:c r="AM492" t="n">
        <x:f>_xlfn.XLOOKUP($A492,Games!$A$2:$A$18,Games!$H$2:$H$18,"Missing game",0)</x:f>
        <x:v>10</x:v>
      </x:c>
      <x:c r="AN492" t="str">
        <x:f>_xlfn.XLOOKUP($A492,Games!$A$2:$A$18,Games!$I$2:$I$18,"Missing game",0)</x:f>
        <x:v>MIN</x:v>
      </x:c>
      <x:c r="AO492" t="n">
        <x:f>_xlfn.XLOOKUP($A492,Games!$A$2:$A$18,Games!$J$2:$J$18,"Missing game",0)</x:f>
        <x:v>48</x:v>
      </x:c>
      <x:c r="AP492" t="n">
        <x:f>_xlfn.XLOOKUP($A492,Games!$A$2:$A$18,Games!$K$2:$K$18,"Missing game",0)</x:f>
        <x:v>38</x:v>
      </x:c>
      <x:c r="AQ492" t="n">
        <x:f>_xlfn.XLOOKUP($A492,Games!$A$2:$A$18,Games!$L$2:$L$18,"Missing game",0)</x:f>
        <x:v>58</x:v>
      </x:c>
      <x:c r="AR492" t="n">
        <x:f>_xlfn.XLOOKUP($A492,Games!$A$2:$A$18,Games!$M$2:$M$18,"Missing game",0)</x:f>
        <x:v>0</x:v>
      </x:c>
      <x:c r="AS492" t="str">
        <x:f>_xlfn.XLOOKUP($A492,Games!$A$2:$A$18,Games!$N$2:$N$18,"Missing game",0)</x:f>
        <x:v>dome</x:v>
      </x:c>
      <x:c r="AT492" t="str">
        <x:f>_xlfn.XLOOKUP($A492,Games!$A$2:$A$18,Games!$O$2:$O$18,"Missing game",0)</x:f>
        <x:v>sportturf</x:v>
      </x:c>
      <x:c r="AU492" t="str">
        <x:f>_xlfn.XLOOKUP($A492,Games!$A$2:$A$18,Games!$P$2:$P$18,"Missing game",0)</x:f>
      </x:c>
      <x:c r="AV492" t="str">
        <x:f>_xlfn.XLOOKUP($A492,Games!$A$2:$A$18,Games!$Q$2:$Q$18,"Missing game",0)</x:f>
      </x:c>
      <x:c r="AW492" t="str">
        <x:f>_xlfn.XLOOKUP($A492,Games!$A$2:$A$18,Games!$R$2:$R$18,"Missing game",0)</x:f>
        <x:v>U.S. Bank Stadium</x:v>
      </x:c>
    </x:row>
    <x:row r="493">
      <x:c r="A493" t="str">
        <x:v>2025_03_CIN_MIN</x:v>
      </x:c>
      <x:c r="B493" t="n">
        <x:v>4071</x:v>
      </x:c>
      <x:c r="C493" t="n">
        <x:v>4</x:v>
      </x:c>
      <x:c r="D493" t="str">
        <x:v>03:53</x:v>
      </x:c>
      <x:c r="E493" t="n">
        <x:v>4</x:v>
      </x:c>
      <x:c r="F493" t="n">
        <x:v>4</x:v>
      </x:c>
      <x:c r="G493" t="str">
        <x:v>CIN</x:v>
      </x:c>
      <x:c r="H493" t="str">
        <x:v>MIN</x:v>
      </x:c>
      <x:c r="I493" t="str">
        <x:v>CIN</x:v>
      </x:c>
      <x:c r="J493" t="n">
        <x:v>85</x:v>
      </x:c>
      <x:c r="K493" t="str">
        <x:v>(3:53) 8-R.Rehkow punts 52 yards to MIN 33, Center-46-W.Wagner. 4-M.Price to MIN 44 for 11 yards (37-P.Jules).</x:v>
      </x:c>
      <x:c r="L493" t="str">
        <x:v>punt</x:v>
      </x:c>
      <x:c r="M493" t="n">
        <x:v>0</x:v>
      </x:c>
      <x:c r="N493" t="n">
        <x:v>0</x:v>
      </x:c>
      <x:c r="O493" t="n">
        <x:v>0</x:v>
      </x:c>
      <x:c r="P493"/>
      <x:c r="Q493"/>
      <x:c r="R493"/>
      <x:c r="S493"/>
      <x:c r="T493"/>
      <x:c r="U493"/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/>
      <x:c r="AC493" t="n">
        <x:v>0</x:v>
      </x:c>
      <x:c r="AD493" t="n">
        <x:v>-0.4892743529053405</x:v>
      </x:c>
      <x:c r="AE493" t="n">
        <x:v>0</x:v>
      </x:c>
      <x:c r="AF493" t="n">
        <x:v>-0.000020409890566952527</x:v>
      </x:c>
      <x:c r="AG493" t="n">
        <x:f>_xlfn.XLOOKUP($A493,Games!$A$2:$A$18,Games!$B$2:$B$18,"Missing game",0)</x:f>
        <x:v>2025</x:v>
      </x:c>
      <x:c r="AH493" t="str">
        <x:f>_xlfn.XLOOKUP($A493,Games!$A$2:$A$18,Games!$C$2:$C$18,"Missing game",0)</x:f>
        <x:v>REG</x:v>
      </x:c>
      <x:c r="AI493" t="n">
        <x:f>_xlfn.XLOOKUP($A493,Games!$A$2:$A$18,Games!$D$2:$D$18,"Missing game",0)</x:f>
        <x:v>3</x:v>
      </x:c>
      <x:c r="AJ493" s="1" t="n">
        <x:f>_xlfn.XLOOKUP($A493,Games!$A$2:$A$18,Games!$E$2:$E$18,"Missing game",0)</x:f>
        <x:v>45921</x:v>
      </x:c>
      <x:c r="AK493" t="str">
        <x:f>_xlfn.XLOOKUP($A493,Games!$A$2:$A$18,Games!$F$2:$F$18,"Missing game",0)</x:f>
        <x:v>Sunday</x:v>
      </x:c>
      <x:c r="AL493" t="str">
        <x:f>_xlfn.XLOOKUP($A493,Games!$A$2:$A$18,Games!$G$2:$G$18,"Missing game",0)</x:f>
        <x:v>CIN</x:v>
      </x:c>
      <x:c r="AM493" t="n">
        <x:f>_xlfn.XLOOKUP($A493,Games!$A$2:$A$18,Games!$H$2:$H$18,"Missing game",0)</x:f>
        <x:v>10</x:v>
      </x:c>
      <x:c r="AN493" t="str">
        <x:f>_xlfn.XLOOKUP($A493,Games!$A$2:$A$18,Games!$I$2:$I$18,"Missing game",0)</x:f>
        <x:v>MIN</x:v>
      </x:c>
      <x:c r="AO493" t="n">
        <x:f>_xlfn.XLOOKUP($A493,Games!$A$2:$A$18,Games!$J$2:$J$18,"Missing game",0)</x:f>
        <x:v>48</x:v>
      </x:c>
      <x:c r="AP493" t="n">
        <x:f>_xlfn.XLOOKUP($A493,Games!$A$2:$A$18,Games!$K$2:$K$18,"Missing game",0)</x:f>
        <x:v>38</x:v>
      </x:c>
      <x:c r="AQ493" t="n">
        <x:f>_xlfn.XLOOKUP($A493,Games!$A$2:$A$18,Games!$L$2:$L$18,"Missing game",0)</x:f>
        <x:v>58</x:v>
      </x:c>
      <x:c r="AR493" t="n">
        <x:f>_xlfn.XLOOKUP($A493,Games!$A$2:$A$18,Games!$M$2:$M$18,"Missing game",0)</x:f>
        <x:v>0</x:v>
      </x:c>
      <x:c r="AS493" t="str">
        <x:f>_xlfn.XLOOKUP($A493,Games!$A$2:$A$18,Games!$N$2:$N$18,"Missing game",0)</x:f>
        <x:v>dome</x:v>
      </x:c>
      <x:c r="AT493" t="str">
        <x:f>_xlfn.XLOOKUP($A493,Games!$A$2:$A$18,Games!$O$2:$O$18,"Missing game",0)</x:f>
        <x:v>sportturf</x:v>
      </x:c>
      <x:c r="AU493" t="str">
        <x:f>_xlfn.XLOOKUP($A493,Games!$A$2:$A$18,Games!$P$2:$P$18,"Missing game",0)</x:f>
      </x:c>
      <x:c r="AV493" t="str">
        <x:f>_xlfn.XLOOKUP($A493,Games!$A$2:$A$18,Games!$Q$2:$Q$18,"Missing game",0)</x:f>
      </x:c>
      <x:c r="AW493" t="str">
        <x:f>_xlfn.XLOOKUP($A493,Games!$A$2:$A$18,Games!$R$2:$R$18,"Missing game",0)</x:f>
        <x:v>U.S. Bank Stadium</x:v>
      </x:c>
    </x:row>
    <x:row r="494">
      <x:c r="A494" t="str">
        <x:v>2025_03_CIN_MIN</x:v>
      </x:c>
      <x:c r="B494" t="n">
        <x:v>4097</x:v>
      </x:c>
      <x:c r="C494" t="n">
        <x:v>4</x:v>
      </x:c>
      <x:c r="D494" t="str">
        <x:v>03:41</x:v>
      </x:c>
      <x:c r="E494" t="n">
        <x:v>1</x:v>
      </x:c>
      <x:c r="F494" t="n">
        <x:v>10</x:v>
      </x:c>
      <x:c r="G494" t="str">
        <x:v>MIN</x:v>
      </x:c>
      <x:c r="H494" t="str">
        <x:v>CIN</x:v>
      </x:c>
      <x:c r="I494" t="str">
        <x:v>MIN</x:v>
      </x:c>
      <x:c r="J494" t="n">
        <x:v>56</x:v>
      </x:c>
      <x:c r="K494" t="str">
        <x:v>(3:41) (Shotgun) 31-C.Akers up the middle to MIN 45 for 1 yard (96-C.Sample; 99-M.Murphy).</x:v>
      </x:c>
      <x:c r="L494" t="str">
        <x:v>run</x:v>
      </x:c>
      <x:c r="M494" t="n">
        <x:v>1</x:v>
      </x:c>
      <x:c r="N494" t="n">
        <x:v>1</x:v>
      </x:c>
      <x:c r="O494" t="n">
        <x:v>0</x:v>
      </x:c>
      <x:c r="P494"/>
      <x:c r="Q494"/>
      <x:c r="R494"/>
      <x:c r="S494"/>
      <x:c r="T494" t="str">
        <x:v>middle</x:v>
      </x:c>
      <x:c r="U494"/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/>
      <x:c r="AC494" t="n">
        <x:v>0</x:v>
      </x:c>
      <x:c r="AD494" t="n">
        <x:v>-0.4879257659194991</x:v>
      </x:c>
      <x:c r="AE494" t="n">
        <x:v>0</x:v>
      </x:c>
      <x:c r="AF494" t="n">
        <x:v>-0.000036716461181640625</x:v>
      </x:c>
      <x:c r="AG494" t="n">
        <x:f>_xlfn.XLOOKUP($A494,Games!$A$2:$A$18,Games!$B$2:$B$18,"Missing game",0)</x:f>
        <x:v>2025</x:v>
      </x:c>
      <x:c r="AH494" t="str">
        <x:f>_xlfn.XLOOKUP($A494,Games!$A$2:$A$18,Games!$C$2:$C$18,"Missing game",0)</x:f>
        <x:v>REG</x:v>
      </x:c>
      <x:c r="AI494" t="n">
        <x:f>_xlfn.XLOOKUP($A494,Games!$A$2:$A$18,Games!$D$2:$D$18,"Missing game",0)</x:f>
        <x:v>3</x:v>
      </x:c>
      <x:c r="AJ494" s="1" t="n">
        <x:f>_xlfn.XLOOKUP($A494,Games!$A$2:$A$18,Games!$E$2:$E$18,"Missing game",0)</x:f>
        <x:v>45921</x:v>
      </x:c>
      <x:c r="AK494" t="str">
        <x:f>_xlfn.XLOOKUP($A494,Games!$A$2:$A$18,Games!$F$2:$F$18,"Missing game",0)</x:f>
        <x:v>Sunday</x:v>
      </x:c>
      <x:c r="AL494" t="str">
        <x:f>_xlfn.XLOOKUP($A494,Games!$A$2:$A$18,Games!$G$2:$G$18,"Missing game",0)</x:f>
        <x:v>CIN</x:v>
      </x:c>
      <x:c r="AM494" t="n">
        <x:f>_xlfn.XLOOKUP($A494,Games!$A$2:$A$18,Games!$H$2:$H$18,"Missing game",0)</x:f>
        <x:v>10</x:v>
      </x:c>
      <x:c r="AN494" t="str">
        <x:f>_xlfn.XLOOKUP($A494,Games!$A$2:$A$18,Games!$I$2:$I$18,"Missing game",0)</x:f>
        <x:v>MIN</x:v>
      </x:c>
      <x:c r="AO494" t="n">
        <x:f>_xlfn.XLOOKUP($A494,Games!$A$2:$A$18,Games!$J$2:$J$18,"Missing game",0)</x:f>
        <x:v>48</x:v>
      </x:c>
      <x:c r="AP494" t="n">
        <x:f>_xlfn.XLOOKUP($A494,Games!$A$2:$A$18,Games!$K$2:$K$18,"Missing game",0)</x:f>
        <x:v>38</x:v>
      </x:c>
      <x:c r="AQ494" t="n">
        <x:f>_xlfn.XLOOKUP($A494,Games!$A$2:$A$18,Games!$L$2:$L$18,"Missing game",0)</x:f>
        <x:v>58</x:v>
      </x:c>
      <x:c r="AR494" t="n">
        <x:f>_xlfn.XLOOKUP($A494,Games!$A$2:$A$18,Games!$M$2:$M$18,"Missing game",0)</x:f>
        <x:v>0</x:v>
      </x:c>
      <x:c r="AS494" t="str">
        <x:f>_xlfn.XLOOKUP($A494,Games!$A$2:$A$18,Games!$N$2:$N$18,"Missing game",0)</x:f>
        <x:v>dome</x:v>
      </x:c>
      <x:c r="AT494" t="str">
        <x:f>_xlfn.XLOOKUP($A494,Games!$A$2:$A$18,Games!$O$2:$O$18,"Missing game",0)</x:f>
        <x:v>sportturf</x:v>
      </x:c>
      <x:c r="AU494" t="str">
        <x:f>_xlfn.XLOOKUP($A494,Games!$A$2:$A$18,Games!$P$2:$P$18,"Missing game",0)</x:f>
      </x:c>
      <x:c r="AV494" t="str">
        <x:f>_xlfn.XLOOKUP($A494,Games!$A$2:$A$18,Games!$Q$2:$Q$18,"Missing game",0)</x:f>
      </x:c>
      <x:c r="AW494" t="str">
        <x:f>_xlfn.XLOOKUP($A494,Games!$A$2:$A$18,Games!$R$2:$R$18,"Missing game",0)</x:f>
        <x:v>U.S. Bank Stadium</x:v>
      </x:c>
    </x:row>
    <x:row r="495">
      <x:c r="A495" t="str">
        <x:v>2025_03_CIN_MIN</x:v>
      </x:c>
      <x:c r="B495" t="n">
        <x:v>4119</x:v>
      </x:c>
      <x:c r="C495" t="n">
        <x:v>4</x:v>
      </x:c>
      <x:c r="D495" t="str">
        <x:v>03:00</x:v>
      </x:c>
      <x:c r="E495" t="n">
        <x:v>2</x:v>
      </x:c>
      <x:c r="F495" t="n">
        <x:v>9</x:v>
      </x:c>
      <x:c r="G495" t="str">
        <x:v>MIN</x:v>
      </x:c>
      <x:c r="H495" t="str">
        <x:v>CIN</x:v>
      </x:c>
      <x:c r="I495" t="str">
        <x:v>MIN</x:v>
      </x:c>
      <x:c r="J495" t="n">
        <x:v>55</x:v>
      </x:c>
      <x:c r="K495" t="str">
        <x:v>(3:00) 31-C.Akers up the middle to CIN 41 for 14 yards (37-P.Jules; 49-B.Carter).</x:v>
      </x:c>
      <x:c r="L495" t="str">
        <x:v>run</x:v>
      </x:c>
      <x:c r="M495" t="n">
        <x:v>14</x:v>
      </x:c>
      <x:c r="N495" t="n">
        <x:v>0</x:v>
      </x:c>
      <x:c r="O495" t="n">
        <x:v>0</x:v>
      </x:c>
      <x:c r="P495"/>
      <x:c r="Q495"/>
      <x:c r="R495"/>
      <x:c r="S495"/>
      <x:c r="T495" t="str">
        <x:v>middle</x:v>
      </x:c>
      <x:c r="U495"/>
      <x:c r="V495" t="n">
        <x:v>0</x:v>
      </x:c>
      <x:c r="W495" t="n">
        <x:v>1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/>
      <x:c r="AC495" t="n">
        <x:v>0</x:v>
      </x:c>
      <x:c r="AD495" t="n">
        <x:v>1.4708555861725472</x:v>
      </x:c>
      <x:c r="AE495" t="n">
        <x:v>1</x:v>
      </x:c>
      <x:c r="AF495" t="n">
        <x:v>0.000049591064453125</x:v>
      </x:c>
      <x:c r="AG495" t="n">
        <x:f>_xlfn.XLOOKUP($A495,Games!$A$2:$A$18,Games!$B$2:$B$18,"Missing game",0)</x:f>
        <x:v>2025</x:v>
      </x:c>
      <x:c r="AH495" t="str">
        <x:f>_xlfn.XLOOKUP($A495,Games!$A$2:$A$18,Games!$C$2:$C$18,"Missing game",0)</x:f>
        <x:v>REG</x:v>
      </x:c>
      <x:c r="AI495" t="n">
        <x:f>_xlfn.XLOOKUP($A495,Games!$A$2:$A$18,Games!$D$2:$D$18,"Missing game",0)</x:f>
        <x:v>3</x:v>
      </x:c>
      <x:c r="AJ495" s="1" t="n">
        <x:f>_xlfn.XLOOKUP($A495,Games!$A$2:$A$18,Games!$E$2:$E$18,"Missing game",0)</x:f>
        <x:v>45921</x:v>
      </x:c>
      <x:c r="AK495" t="str">
        <x:f>_xlfn.XLOOKUP($A495,Games!$A$2:$A$18,Games!$F$2:$F$18,"Missing game",0)</x:f>
        <x:v>Sunday</x:v>
      </x:c>
      <x:c r="AL495" t="str">
        <x:f>_xlfn.XLOOKUP($A495,Games!$A$2:$A$18,Games!$G$2:$G$18,"Missing game",0)</x:f>
        <x:v>CIN</x:v>
      </x:c>
      <x:c r="AM495" t="n">
        <x:f>_xlfn.XLOOKUP($A495,Games!$A$2:$A$18,Games!$H$2:$H$18,"Missing game",0)</x:f>
        <x:v>10</x:v>
      </x:c>
      <x:c r="AN495" t="str">
        <x:f>_xlfn.XLOOKUP($A495,Games!$A$2:$A$18,Games!$I$2:$I$18,"Missing game",0)</x:f>
        <x:v>MIN</x:v>
      </x:c>
      <x:c r="AO495" t="n">
        <x:f>_xlfn.XLOOKUP($A495,Games!$A$2:$A$18,Games!$J$2:$J$18,"Missing game",0)</x:f>
        <x:v>48</x:v>
      </x:c>
      <x:c r="AP495" t="n">
        <x:f>_xlfn.XLOOKUP($A495,Games!$A$2:$A$18,Games!$K$2:$K$18,"Missing game",0)</x:f>
        <x:v>38</x:v>
      </x:c>
      <x:c r="AQ495" t="n">
        <x:f>_xlfn.XLOOKUP($A495,Games!$A$2:$A$18,Games!$L$2:$L$18,"Missing game",0)</x:f>
        <x:v>58</x:v>
      </x:c>
      <x:c r="AR495" t="n">
        <x:f>_xlfn.XLOOKUP($A495,Games!$A$2:$A$18,Games!$M$2:$M$18,"Missing game",0)</x:f>
        <x:v>0</x:v>
      </x:c>
      <x:c r="AS495" t="str">
        <x:f>_xlfn.XLOOKUP($A495,Games!$A$2:$A$18,Games!$N$2:$N$18,"Missing game",0)</x:f>
        <x:v>dome</x:v>
      </x:c>
      <x:c r="AT495" t="str">
        <x:f>_xlfn.XLOOKUP($A495,Games!$A$2:$A$18,Games!$O$2:$O$18,"Missing game",0)</x:f>
        <x:v>sportturf</x:v>
      </x:c>
      <x:c r="AU495" t="str">
        <x:f>_xlfn.XLOOKUP($A495,Games!$A$2:$A$18,Games!$P$2:$P$18,"Missing game",0)</x:f>
      </x:c>
      <x:c r="AV495" t="str">
        <x:f>_xlfn.XLOOKUP($A495,Games!$A$2:$A$18,Games!$Q$2:$Q$18,"Missing game",0)</x:f>
      </x:c>
      <x:c r="AW495" t="str">
        <x:f>_xlfn.XLOOKUP($A495,Games!$A$2:$A$18,Games!$R$2:$R$18,"Missing game",0)</x:f>
        <x:v>U.S. Bank Stadium</x:v>
      </x:c>
    </x:row>
    <x:row r="496">
      <x:c r="A496" t="str">
        <x:v>2025_03_CIN_MIN</x:v>
      </x:c>
      <x:c r="B496" t="n">
        <x:v>4141</x:v>
      </x:c>
      <x:c r="C496" t="n">
        <x:v>4</x:v>
      </x:c>
      <x:c r="D496" t="str">
        <x:v>02:19</x:v>
      </x:c>
      <x:c r="E496" t="n">
        <x:v>1</x:v>
      </x:c>
      <x:c r="F496" t="n">
        <x:v>10</x:v>
      </x:c>
      <x:c r="G496" t="str">
        <x:v>MIN</x:v>
      </x:c>
      <x:c r="H496" t="str">
        <x:v>CIN</x:v>
      </x:c>
      <x:c r="I496" t="str">
        <x:v>CIN</x:v>
      </x:c>
      <x:c r="J496" t="n">
        <x:v>41</x:v>
      </x:c>
      <x:c r="K496" t="str">
        <x:v>(2:19) 31-C.Akers left tackle to CIN 36 for 5 yards (95-H.Cross).</x:v>
      </x:c>
      <x:c r="L496" t="str">
        <x:v>run</x:v>
      </x:c>
      <x:c r="M496" t="n">
        <x:v>5</x:v>
      </x:c>
      <x:c r="N496" t="n">
        <x:v>0</x:v>
      </x:c>
      <x:c r="O496" t="n">
        <x:v>0</x:v>
      </x:c>
      <x:c r="P496"/>
      <x:c r="Q496"/>
      <x:c r="R496"/>
      <x:c r="S496"/>
      <x:c r="T496" t="str">
        <x:v>left</x:v>
      </x:c>
      <x:c r="U496" t="str">
        <x:v>tackle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/>
      <x:c r="AC496" t="n">
        <x:v>0</x:v>
      </x:c>
      <x:c r="AD496" t="n">
        <x:v>0.11763646063627675</x:v>
      </x:c>
      <x:c r="AE496" t="n">
        <x:v>1</x:v>
      </x:c>
      <x:c r="AF496" t="n">
        <x:v>-0.00002574920654296875</x:v>
      </x:c>
      <x:c r="AG496" t="n">
        <x:f>_xlfn.XLOOKUP($A496,Games!$A$2:$A$18,Games!$B$2:$B$18,"Missing game",0)</x:f>
        <x:v>2025</x:v>
      </x:c>
      <x:c r="AH496" t="str">
        <x:f>_xlfn.XLOOKUP($A496,Games!$A$2:$A$18,Games!$C$2:$C$18,"Missing game",0)</x:f>
        <x:v>REG</x:v>
      </x:c>
      <x:c r="AI496" t="n">
        <x:f>_xlfn.XLOOKUP($A496,Games!$A$2:$A$18,Games!$D$2:$D$18,"Missing game",0)</x:f>
        <x:v>3</x:v>
      </x:c>
      <x:c r="AJ496" s="1" t="n">
        <x:f>_xlfn.XLOOKUP($A496,Games!$A$2:$A$18,Games!$E$2:$E$18,"Missing game",0)</x:f>
        <x:v>45921</x:v>
      </x:c>
      <x:c r="AK496" t="str">
        <x:f>_xlfn.XLOOKUP($A496,Games!$A$2:$A$18,Games!$F$2:$F$18,"Missing game",0)</x:f>
        <x:v>Sunday</x:v>
      </x:c>
      <x:c r="AL496" t="str">
        <x:f>_xlfn.XLOOKUP($A496,Games!$A$2:$A$18,Games!$G$2:$G$18,"Missing game",0)</x:f>
        <x:v>CIN</x:v>
      </x:c>
      <x:c r="AM496" t="n">
        <x:f>_xlfn.XLOOKUP($A496,Games!$A$2:$A$18,Games!$H$2:$H$18,"Missing game",0)</x:f>
        <x:v>10</x:v>
      </x:c>
      <x:c r="AN496" t="str">
        <x:f>_xlfn.XLOOKUP($A496,Games!$A$2:$A$18,Games!$I$2:$I$18,"Missing game",0)</x:f>
        <x:v>MIN</x:v>
      </x:c>
      <x:c r="AO496" t="n">
        <x:f>_xlfn.XLOOKUP($A496,Games!$A$2:$A$18,Games!$J$2:$J$18,"Missing game",0)</x:f>
        <x:v>48</x:v>
      </x:c>
      <x:c r="AP496" t="n">
        <x:f>_xlfn.XLOOKUP($A496,Games!$A$2:$A$18,Games!$K$2:$K$18,"Missing game",0)</x:f>
        <x:v>38</x:v>
      </x:c>
      <x:c r="AQ496" t="n">
        <x:f>_xlfn.XLOOKUP($A496,Games!$A$2:$A$18,Games!$L$2:$L$18,"Missing game",0)</x:f>
        <x:v>58</x:v>
      </x:c>
      <x:c r="AR496" t="n">
        <x:f>_xlfn.XLOOKUP($A496,Games!$A$2:$A$18,Games!$M$2:$M$18,"Missing game",0)</x:f>
        <x:v>0</x:v>
      </x:c>
      <x:c r="AS496" t="str">
        <x:f>_xlfn.XLOOKUP($A496,Games!$A$2:$A$18,Games!$N$2:$N$18,"Missing game",0)</x:f>
        <x:v>dome</x:v>
      </x:c>
      <x:c r="AT496" t="str">
        <x:f>_xlfn.XLOOKUP($A496,Games!$A$2:$A$18,Games!$O$2:$O$18,"Missing game",0)</x:f>
        <x:v>sportturf</x:v>
      </x:c>
      <x:c r="AU496" t="str">
        <x:f>_xlfn.XLOOKUP($A496,Games!$A$2:$A$18,Games!$P$2:$P$18,"Missing game",0)</x:f>
      </x:c>
      <x:c r="AV496" t="str">
        <x:f>_xlfn.XLOOKUP($A496,Games!$A$2:$A$18,Games!$Q$2:$Q$18,"Missing game",0)</x:f>
      </x:c>
      <x:c r="AW496" t="str">
        <x:f>_xlfn.XLOOKUP($A496,Games!$A$2:$A$18,Games!$R$2:$R$18,"Missing game",0)</x:f>
        <x:v>U.S. Bank Stadium</x:v>
      </x:c>
    </x:row>
    <x:row r="497">
      <x:c r="A497" t="str">
        <x:v>2025_03_CIN_MIN</x:v>
      </x:c>
      <x:c r="B497" t="n">
        <x:v>4163</x:v>
      </x:c>
      <x:c r="C497" t="n">
        <x:v>4</x:v>
      </x:c>
      <x:c r="D497" t="str">
        <x:v>02:00</x:v>
      </x:c>
      <x:c r="E497" t="n">
        <x:v>2</x:v>
      </x:c>
      <x:c r="F497" t="n">
        <x:v>5</x:v>
      </x:c>
      <x:c r="G497" t="str">
        <x:v>MIN</x:v>
      </x:c>
      <x:c r="H497" t="str">
        <x:v>CIN</x:v>
      </x:c>
      <x:c r="I497" t="str">
        <x:v>CIN</x:v>
      </x:c>
      <x:c r="J497" t="n">
        <x:v>36</x:v>
      </x:c>
      <x:c r="K497" t="str">
        <x:v>(2:00) (Shotgun) 31-C.Akers left tackle to CIN 37 for -1 yards (37-P.Jules, 99-M.Murphy).</x:v>
      </x:c>
      <x:c r="L497" t="str">
        <x:v>run</x:v>
      </x:c>
      <x:c r="M497" t="n">
        <x:v>-1</x:v>
      </x:c>
      <x:c r="N497" t="n">
        <x:v>1</x:v>
      </x:c>
      <x:c r="O497" t="n">
        <x:v>0</x:v>
      </x:c>
      <x:c r="P497"/>
      <x:c r="Q497"/>
      <x:c r="R497"/>
      <x:c r="S497"/>
      <x:c r="T497" t="str">
        <x:v>left</x:v>
      </x:c>
      <x:c r="U497" t="str">
        <x:v>tackle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/>
      <x:c r="AC497" t="n">
        <x:v>0</x:v>
      </x:c>
      <x:c r="AD497" t="n">
        <x:v>-0.6176438416005112</x:v>
      </x:c>
      <x:c r="AE497" t="n">
        <x:v>0</x:v>
      </x:c>
      <x:c r="AF497" t="n">
        <x:v>0.000020503997802734375</x:v>
      </x:c>
      <x:c r="AG497" t="n">
        <x:f>_xlfn.XLOOKUP($A497,Games!$A$2:$A$18,Games!$B$2:$B$18,"Missing game",0)</x:f>
        <x:v>2025</x:v>
      </x:c>
      <x:c r="AH497" t="str">
        <x:f>_xlfn.XLOOKUP($A497,Games!$A$2:$A$18,Games!$C$2:$C$18,"Missing game",0)</x:f>
        <x:v>REG</x:v>
      </x:c>
      <x:c r="AI497" t="n">
        <x:f>_xlfn.XLOOKUP($A497,Games!$A$2:$A$18,Games!$D$2:$D$18,"Missing game",0)</x:f>
        <x:v>3</x:v>
      </x:c>
      <x:c r="AJ497" s="1" t="n">
        <x:f>_xlfn.XLOOKUP($A497,Games!$A$2:$A$18,Games!$E$2:$E$18,"Missing game",0)</x:f>
        <x:v>45921</x:v>
      </x:c>
      <x:c r="AK497" t="str">
        <x:f>_xlfn.XLOOKUP($A497,Games!$A$2:$A$18,Games!$F$2:$F$18,"Missing game",0)</x:f>
        <x:v>Sunday</x:v>
      </x:c>
      <x:c r="AL497" t="str">
        <x:f>_xlfn.XLOOKUP($A497,Games!$A$2:$A$18,Games!$G$2:$G$18,"Missing game",0)</x:f>
        <x:v>CIN</x:v>
      </x:c>
      <x:c r="AM497" t="n">
        <x:f>_xlfn.XLOOKUP($A497,Games!$A$2:$A$18,Games!$H$2:$H$18,"Missing game",0)</x:f>
        <x:v>10</x:v>
      </x:c>
      <x:c r="AN497" t="str">
        <x:f>_xlfn.XLOOKUP($A497,Games!$A$2:$A$18,Games!$I$2:$I$18,"Missing game",0)</x:f>
        <x:v>MIN</x:v>
      </x:c>
      <x:c r="AO497" t="n">
        <x:f>_xlfn.XLOOKUP($A497,Games!$A$2:$A$18,Games!$J$2:$J$18,"Missing game",0)</x:f>
        <x:v>48</x:v>
      </x:c>
      <x:c r="AP497" t="n">
        <x:f>_xlfn.XLOOKUP($A497,Games!$A$2:$A$18,Games!$K$2:$K$18,"Missing game",0)</x:f>
        <x:v>38</x:v>
      </x:c>
      <x:c r="AQ497" t="n">
        <x:f>_xlfn.XLOOKUP($A497,Games!$A$2:$A$18,Games!$L$2:$L$18,"Missing game",0)</x:f>
        <x:v>58</x:v>
      </x:c>
      <x:c r="AR497" t="n">
        <x:f>_xlfn.XLOOKUP($A497,Games!$A$2:$A$18,Games!$M$2:$M$18,"Missing game",0)</x:f>
        <x:v>0</x:v>
      </x:c>
      <x:c r="AS497" t="str">
        <x:f>_xlfn.XLOOKUP($A497,Games!$A$2:$A$18,Games!$N$2:$N$18,"Missing game",0)</x:f>
        <x:v>dome</x:v>
      </x:c>
      <x:c r="AT497" t="str">
        <x:f>_xlfn.XLOOKUP($A497,Games!$A$2:$A$18,Games!$O$2:$O$18,"Missing game",0)</x:f>
        <x:v>sportturf</x:v>
      </x:c>
      <x:c r="AU497" t="str">
        <x:f>_xlfn.XLOOKUP($A497,Games!$A$2:$A$18,Games!$P$2:$P$18,"Missing game",0)</x:f>
      </x:c>
      <x:c r="AV497" t="str">
        <x:f>_xlfn.XLOOKUP($A497,Games!$A$2:$A$18,Games!$Q$2:$Q$18,"Missing game",0)</x:f>
      </x:c>
      <x:c r="AW497" t="str">
        <x:f>_xlfn.XLOOKUP($A497,Games!$A$2:$A$18,Games!$R$2:$R$18,"Missing game",0)</x:f>
        <x:v>U.S. Bank Stadium</x:v>
      </x:c>
    </x:row>
    <x:row r="498">
      <x:c r="A498" t="str">
        <x:v>2025_03_CIN_MIN</x:v>
      </x:c>
      <x:c r="B498" t="n">
        <x:v>4192</x:v>
      </x:c>
      <x:c r="C498" t="n">
        <x:v>4</x:v>
      </x:c>
      <x:c r="D498" t="str">
        <x:v>01:19</x:v>
      </x:c>
      <x:c r="E498" t="n">
        <x:v>3</x:v>
      </x:c>
      <x:c r="F498" t="n">
        <x:v>6</x:v>
      </x:c>
      <x:c r="G498" t="str">
        <x:v>MIN</x:v>
      </x:c>
      <x:c r="H498" t="str">
        <x:v>CIN</x:v>
      </x:c>
      <x:c r="I498" t="str">
        <x:v>CIN</x:v>
      </x:c>
      <x:c r="J498" t="n">
        <x:v>37</x:v>
      </x:c>
      <x:c r="K498" t="str">
        <x:v>(1:19) (Shotgun) 31-C.Akers up the middle to CIN 37 for no gain (96-C.Sample).</x:v>
      </x:c>
      <x:c r="L498" t="str">
        <x:v>run</x:v>
      </x:c>
      <x:c r="M498" t="n">
        <x:v>0</x:v>
      </x:c>
      <x:c r="N498" t="n">
        <x:v>1</x:v>
      </x:c>
      <x:c r="O498" t="n">
        <x:v>0</x:v>
      </x:c>
      <x:c r="P498"/>
      <x:c r="Q498"/>
      <x:c r="R498"/>
      <x:c r="S498"/>
      <x:c r="T498" t="str">
        <x:v>middle</x:v>
      </x:c>
      <x:c r="U498"/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/>
      <x:c r="AC498" t="n">
        <x:v>0</x:v>
      </x:c>
      <x:c r="AD498" t="n">
        <x:v>-1.3976233033463359</x:v>
      </x:c>
      <x:c r="AE498" t="n">
        <x:v>0</x:v>
      </x:c>
      <x:c r="AF498" t="n">
        <x:v>-0.000016808509826660156</x:v>
      </x:c>
      <x:c r="AG498" t="n">
        <x:f>_xlfn.XLOOKUP($A498,Games!$A$2:$A$18,Games!$B$2:$B$18,"Missing game",0)</x:f>
        <x:v>2025</x:v>
      </x:c>
      <x:c r="AH498" t="str">
        <x:f>_xlfn.XLOOKUP($A498,Games!$A$2:$A$18,Games!$C$2:$C$18,"Missing game",0)</x:f>
        <x:v>REG</x:v>
      </x:c>
      <x:c r="AI498" t="n">
        <x:f>_xlfn.XLOOKUP($A498,Games!$A$2:$A$18,Games!$D$2:$D$18,"Missing game",0)</x:f>
        <x:v>3</x:v>
      </x:c>
      <x:c r="AJ498" s="1" t="n">
        <x:f>_xlfn.XLOOKUP($A498,Games!$A$2:$A$18,Games!$E$2:$E$18,"Missing game",0)</x:f>
        <x:v>45921</x:v>
      </x:c>
      <x:c r="AK498" t="str">
        <x:f>_xlfn.XLOOKUP($A498,Games!$A$2:$A$18,Games!$F$2:$F$18,"Missing game",0)</x:f>
        <x:v>Sunday</x:v>
      </x:c>
      <x:c r="AL498" t="str">
        <x:f>_xlfn.XLOOKUP($A498,Games!$A$2:$A$18,Games!$G$2:$G$18,"Missing game",0)</x:f>
        <x:v>CIN</x:v>
      </x:c>
      <x:c r="AM498" t="n">
        <x:f>_xlfn.XLOOKUP($A498,Games!$A$2:$A$18,Games!$H$2:$H$18,"Missing game",0)</x:f>
        <x:v>10</x:v>
      </x:c>
      <x:c r="AN498" t="str">
        <x:f>_xlfn.XLOOKUP($A498,Games!$A$2:$A$18,Games!$I$2:$I$18,"Missing game",0)</x:f>
        <x:v>MIN</x:v>
      </x:c>
      <x:c r="AO498" t="n">
        <x:f>_xlfn.XLOOKUP($A498,Games!$A$2:$A$18,Games!$J$2:$J$18,"Missing game",0)</x:f>
        <x:v>48</x:v>
      </x:c>
      <x:c r="AP498" t="n">
        <x:f>_xlfn.XLOOKUP($A498,Games!$A$2:$A$18,Games!$K$2:$K$18,"Missing game",0)</x:f>
        <x:v>38</x:v>
      </x:c>
      <x:c r="AQ498" t="n">
        <x:f>_xlfn.XLOOKUP($A498,Games!$A$2:$A$18,Games!$L$2:$L$18,"Missing game",0)</x:f>
        <x:v>58</x:v>
      </x:c>
      <x:c r="AR498" t="n">
        <x:f>_xlfn.XLOOKUP($A498,Games!$A$2:$A$18,Games!$M$2:$M$18,"Missing game",0)</x:f>
        <x:v>0</x:v>
      </x:c>
      <x:c r="AS498" t="str">
        <x:f>_xlfn.XLOOKUP($A498,Games!$A$2:$A$18,Games!$N$2:$N$18,"Missing game",0)</x:f>
        <x:v>dome</x:v>
      </x:c>
      <x:c r="AT498" t="str">
        <x:f>_xlfn.XLOOKUP($A498,Games!$A$2:$A$18,Games!$O$2:$O$18,"Missing game",0)</x:f>
        <x:v>sportturf</x:v>
      </x:c>
      <x:c r="AU498" t="str">
        <x:f>_xlfn.XLOOKUP($A498,Games!$A$2:$A$18,Games!$P$2:$P$18,"Missing game",0)</x:f>
      </x:c>
      <x:c r="AV498" t="str">
        <x:f>_xlfn.XLOOKUP($A498,Games!$A$2:$A$18,Games!$Q$2:$Q$18,"Missing game",0)</x:f>
      </x:c>
      <x:c r="AW498" t="str">
        <x:f>_xlfn.XLOOKUP($A498,Games!$A$2:$A$18,Games!$R$2:$R$18,"Missing game",0)</x:f>
        <x:v>U.S. Bank Stadium</x:v>
      </x:c>
    </x:row>
    <x:row r="499">
      <x:c r="A499" t="str">
        <x:v>2025_03_CIN_MIN</x:v>
      </x:c>
      <x:c r="B499" t="n">
        <x:v>4214</x:v>
      </x:c>
      <x:c r="C499" t="n">
        <x:v>4</x:v>
      </x:c>
      <x:c r="D499" t="str">
        <x:v>00:33</x:v>
      </x:c>
      <x:c r="E499" t="n">
        <x:v>4</x:v>
      </x:c>
      <x:c r="F499" t="n">
        <x:v>6</x:v>
      </x:c>
      <x:c r="G499" t="str">
        <x:v>MIN</x:v>
      </x:c>
      <x:c r="H499" t="str">
        <x:v>CIN</x:v>
      </x:c>
      <x:c r="I499" t="str">
        <x:v>CIN</x:v>
      </x:c>
      <x:c r="J499" t="n">
        <x:v>37</x:v>
      </x:c>
      <x:c r="K499" t="str">
        <x:v>(:33) (Shotgun) 12-M.Brosmer pass short right to 36-Z.Scott to CIN 17 for 20 yards (69-M.Pennel).</x:v>
      </x:c>
      <x:c r="L499" t="str">
        <x:v>pass</x:v>
      </x:c>
      <x:c r="M499" t="n">
        <x:v>20</x:v>
      </x:c>
      <x:c r="N499" t="n">
        <x:v>1</x:v>
      </x:c>
      <x:c r="O499" t="n">
        <x:v>0</x:v>
      </x:c>
      <x:c r="P499" t="str">
        <x:v>short</x:v>
      </x:c>
      <x:c r="Q499" t="str">
        <x:v>right</x:v>
      </x:c>
      <x:c r="R499" t="n">
        <x:v>-6</x:v>
      </x:c>
      <x:c r="S499" t="n">
        <x:v>26</x:v>
      </x:c>
      <x:c r="T499"/>
      <x:c r="U499"/>
      <x:c r="V499" t="n">
        <x:v>1</x:v>
      </x:c>
      <x:c r="W499" t="n">
        <x:v>1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/>
      <x:c r="AC499" t="n">
        <x:v>0</x:v>
      </x:c>
      <x:c r="AD499" t="n">
        <x:v>-1.101800246105995</x:v>
      </x:c>
      <x:c r="AE499" t="n">
        <x:v>0</x:v>
      </x:c>
      <x:c r="AF499" t="n">
        <x:v>0.00008857250213623047</x:v>
      </x:c>
      <x:c r="AG499" t="n">
        <x:f>_xlfn.XLOOKUP($A499,Games!$A$2:$A$18,Games!$B$2:$B$18,"Missing game",0)</x:f>
        <x:v>2025</x:v>
      </x:c>
      <x:c r="AH499" t="str">
        <x:f>_xlfn.XLOOKUP($A499,Games!$A$2:$A$18,Games!$C$2:$C$18,"Missing game",0)</x:f>
        <x:v>REG</x:v>
      </x:c>
      <x:c r="AI499" t="n">
        <x:f>_xlfn.XLOOKUP($A499,Games!$A$2:$A$18,Games!$D$2:$D$18,"Missing game",0)</x:f>
        <x:v>3</x:v>
      </x:c>
      <x:c r="AJ499" s="1" t="n">
        <x:f>_xlfn.XLOOKUP($A499,Games!$A$2:$A$18,Games!$E$2:$E$18,"Missing game",0)</x:f>
        <x:v>45921</x:v>
      </x:c>
      <x:c r="AK499" t="str">
        <x:f>_xlfn.XLOOKUP($A499,Games!$A$2:$A$18,Games!$F$2:$F$18,"Missing game",0)</x:f>
        <x:v>Sunday</x:v>
      </x:c>
      <x:c r="AL499" t="str">
        <x:f>_xlfn.XLOOKUP($A499,Games!$A$2:$A$18,Games!$G$2:$G$18,"Missing game",0)</x:f>
        <x:v>CIN</x:v>
      </x:c>
      <x:c r="AM499" t="n">
        <x:f>_xlfn.XLOOKUP($A499,Games!$A$2:$A$18,Games!$H$2:$H$18,"Missing game",0)</x:f>
        <x:v>10</x:v>
      </x:c>
      <x:c r="AN499" t="str">
        <x:f>_xlfn.XLOOKUP($A499,Games!$A$2:$A$18,Games!$I$2:$I$18,"Missing game",0)</x:f>
        <x:v>MIN</x:v>
      </x:c>
      <x:c r="AO499" t="n">
        <x:f>_xlfn.XLOOKUP($A499,Games!$A$2:$A$18,Games!$J$2:$J$18,"Missing game",0)</x:f>
        <x:v>48</x:v>
      </x:c>
      <x:c r="AP499" t="n">
        <x:f>_xlfn.XLOOKUP($A499,Games!$A$2:$A$18,Games!$K$2:$K$18,"Missing game",0)</x:f>
        <x:v>38</x:v>
      </x:c>
      <x:c r="AQ499" t="n">
        <x:f>_xlfn.XLOOKUP($A499,Games!$A$2:$A$18,Games!$L$2:$L$18,"Missing game",0)</x:f>
        <x:v>58</x:v>
      </x:c>
      <x:c r="AR499" t="n">
        <x:f>_xlfn.XLOOKUP($A499,Games!$A$2:$A$18,Games!$M$2:$M$18,"Missing game",0)</x:f>
        <x:v>0</x:v>
      </x:c>
      <x:c r="AS499" t="str">
        <x:f>_xlfn.XLOOKUP($A499,Games!$A$2:$A$18,Games!$N$2:$N$18,"Missing game",0)</x:f>
        <x:v>dome</x:v>
      </x:c>
      <x:c r="AT499" t="str">
        <x:f>_xlfn.XLOOKUP($A499,Games!$A$2:$A$18,Games!$O$2:$O$18,"Missing game",0)</x:f>
        <x:v>sportturf</x:v>
      </x:c>
      <x:c r="AU499" t="str">
        <x:f>_xlfn.XLOOKUP($A499,Games!$A$2:$A$18,Games!$P$2:$P$18,"Missing game",0)</x:f>
      </x:c>
      <x:c r="AV499" t="str">
        <x:f>_xlfn.XLOOKUP($A499,Games!$A$2:$A$18,Games!$Q$2:$Q$18,"Missing game",0)</x:f>
      </x:c>
      <x:c r="AW499" t="str">
        <x:f>_xlfn.XLOOKUP($A499,Games!$A$2:$A$18,Games!$R$2:$R$18,"Missing game",0)</x:f>
        <x:v>U.S. Bank Stadium</x:v>
      </x:c>
    </x:row>
    <x:row r="500">
      <x:c r="A500" t="str">
        <x:v>2025_03_CIN_MIN</x:v>
      </x:c>
      <x:c r="B500" t="n">
        <x:v>4226</x:v>
      </x:c>
      <x:c r="C500" t="n">
        <x:v>4</x:v>
      </x:c>
      <x:c r="D500" t="str">
        <x:v>00:33</x:v>
      </x:c>
      <x:c r="E500"/>
      <x:c r="F500" t="n">
        <x:v>0</x:v>
      </x:c>
      <x:c r="G500"/>
      <x:c r="H500"/>
      <x:c r="I500"/>
      <x:c r="J500"/>
      <x:c r="K500" t="str">
        <x:v>Timeout #1 by MIN at 00:33.</x:v>
      </x:c>
      <x:c r="L500" t="str">
        <x:v>no_play</x:v>
      </x:c>
      <x:c r="M500" t="n">
        <x:v>0</x:v>
      </x:c>
      <x:c r="N500" t="n">
        <x:v>0</x:v>
      </x:c>
      <x:c r="O500" t="n">
        <x:v>0</x:v>
      </x:c>
      <x:c r="P500"/>
      <x:c r="Q500"/>
      <x:c r="R500"/>
      <x:c r="S500"/>
      <x:c r="T500"/>
      <x:c r="U500"/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/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f>_xlfn.XLOOKUP($A500,Games!$A$2:$A$18,Games!$B$2:$B$18,"Missing game",0)</x:f>
        <x:v>2025</x:v>
      </x:c>
      <x:c r="AH500" t="str">
        <x:f>_xlfn.XLOOKUP($A500,Games!$A$2:$A$18,Games!$C$2:$C$18,"Missing game",0)</x:f>
        <x:v>REG</x:v>
      </x:c>
      <x:c r="AI500" t="n">
        <x:f>_xlfn.XLOOKUP($A500,Games!$A$2:$A$18,Games!$D$2:$D$18,"Missing game",0)</x:f>
        <x:v>3</x:v>
      </x:c>
      <x:c r="AJ500" s="1" t="n">
        <x:f>_xlfn.XLOOKUP($A500,Games!$A$2:$A$18,Games!$E$2:$E$18,"Missing game",0)</x:f>
        <x:v>45921</x:v>
      </x:c>
      <x:c r="AK500" t="str">
        <x:f>_xlfn.XLOOKUP($A500,Games!$A$2:$A$18,Games!$F$2:$F$18,"Missing game",0)</x:f>
        <x:v>Sunday</x:v>
      </x:c>
      <x:c r="AL500" t="str">
        <x:f>_xlfn.XLOOKUP($A500,Games!$A$2:$A$18,Games!$G$2:$G$18,"Missing game",0)</x:f>
        <x:v>CIN</x:v>
      </x:c>
      <x:c r="AM500" t="n">
        <x:f>_xlfn.XLOOKUP($A500,Games!$A$2:$A$18,Games!$H$2:$H$18,"Missing game",0)</x:f>
        <x:v>10</x:v>
      </x:c>
      <x:c r="AN500" t="str">
        <x:f>_xlfn.XLOOKUP($A500,Games!$A$2:$A$18,Games!$I$2:$I$18,"Missing game",0)</x:f>
        <x:v>MIN</x:v>
      </x:c>
      <x:c r="AO500" t="n">
        <x:f>_xlfn.XLOOKUP($A500,Games!$A$2:$A$18,Games!$J$2:$J$18,"Missing game",0)</x:f>
        <x:v>48</x:v>
      </x:c>
      <x:c r="AP500" t="n">
        <x:f>_xlfn.XLOOKUP($A500,Games!$A$2:$A$18,Games!$K$2:$K$18,"Missing game",0)</x:f>
        <x:v>38</x:v>
      </x:c>
      <x:c r="AQ500" t="n">
        <x:f>_xlfn.XLOOKUP($A500,Games!$A$2:$A$18,Games!$L$2:$L$18,"Missing game",0)</x:f>
        <x:v>58</x:v>
      </x:c>
      <x:c r="AR500" t="n">
        <x:f>_xlfn.XLOOKUP($A500,Games!$A$2:$A$18,Games!$M$2:$M$18,"Missing game",0)</x:f>
        <x:v>0</x:v>
      </x:c>
      <x:c r="AS500" t="str">
        <x:f>_xlfn.XLOOKUP($A500,Games!$A$2:$A$18,Games!$N$2:$N$18,"Missing game",0)</x:f>
        <x:v>dome</x:v>
      </x:c>
      <x:c r="AT500" t="str">
        <x:f>_xlfn.XLOOKUP($A500,Games!$A$2:$A$18,Games!$O$2:$O$18,"Missing game",0)</x:f>
        <x:v>sportturf</x:v>
      </x:c>
      <x:c r="AU500" t="str">
        <x:f>_xlfn.XLOOKUP($A500,Games!$A$2:$A$18,Games!$P$2:$P$18,"Missing game",0)</x:f>
      </x:c>
      <x:c r="AV500" t="str">
        <x:f>_xlfn.XLOOKUP($A500,Games!$A$2:$A$18,Games!$Q$2:$Q$18,"Missing game",0)</x:f>
      </x:c>
      <x:c r="AW500" t="str">
        <x:f>_xlfn.XLOOKUP($A500,Games!$A$2:$A$18,Games!$R$2:$R$18,"Missing game",0)</x:f>
        <x:v>U.S. Bank Stadium</x:v>
      </x:c>
    </x:row>
    <x:row r="501">
      <x:c r="A501" t="str">
        <x:v>2025_03_CIN_MIN</x:v>
      </x:c>
      <x:c r="B501" t="n">
        <x:v>4246</x:v>
      </x:c>
      <x:c r="C501" t="n">
        <x:v>4</x:v>
      </x:c>
      <x:c r="D501" t="str">
        <x:v>00:00</x:v>
      </x:c>
      <x:c r="E501"/>
      <x:c r="F501" t="n">
        <x:v>0</x:v>
      </x:c>
      <x:c r="G501" t="str">
        <x:v>MIN</x:v>
      </x:c>
      <x:c r="H501" t="str">
        <x:v>CIN</x:v>
      </x:c>
      <x:c r="I501"/>
      <x:c r="J501"/>
      <x:c r="K501" t="str">
        <x:v>END GAME</x:v>
      </x:c>
      <x:c r="L501"/>
      <x:c r="M501"/>
      <x:c r="N501" t="n">
        <x:v>0</x:v>
      </x:c>
      <x:c r="O501" t="n">
        <x:v>0</x:v>
      </x:c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 t="n">
        <x:f>_xlfn.XLOOKUP($A501,Games!$A$2:$A$18,Games!$B$2:$B$18,"Missing game",0)</x:f>
        <x:v>2025</x:v>
      </x:c>
      <x:c r="AH501" t="str">
        <x:f>_xlfn.XLOOKUP($A501,Games!$A$2:$A$18,Games!$C$2:$C$18,"Missing game",0)</x:f>
        <x:v>REG</x:v>
      </x:c>
      <x:c r="AI501" t="n">
        <x:f>_xlfn.XLOOKUP($A501,Games!$A$2:$A$18,Games!$D$2:$D$18,"Missing game",0)</x:f>
        <x:v>3</x:v>
      </x:c>
      <x:c r="AJ501" s="1" t="n">
        <x:f>_xlfn.XLOOKUP($A501,Games!$A$2:$A$18,Games!$E$2:$E$18,"Missing game",0)</x:f>
        <x:v>45921</x:v>
      </x:c>
      <x:c r="AK501" t="str">
        <x:f>_xlfn.XLOOKUP($A501,Games!$A$2:$A$18,Games!$F$2:$F$18,"Missing game",0)</x:f>
        <x:v>Sunday</x:v>
      </x:c>
      <x:c r="AL501" t="str">
        <x:f>_xlfn.XLOOKUP($A501,Games!$A$2:$A$18,Games!$G$2:$G$18,"Missing game",0)</x:f>
        <x:v>CIN</x:v>
      </x:c>
      <x:c r="AM501" t="n">
        <x:f>_xlfn.XLOOKUP($A501,Games!$A$2:$A$18,Games!$H$2:$H$18,"Missing game",0)</x:f>
        <x:v>10</x:v>
      </x:c>
      <x:c r="AN501" t="str">
        <x:f>_xlfn.XLOOKUP($A501,Games!$A$2:$A$18,Games!$I$2:$I$18,"Missing game",0)</x:f>
        <x:v>MIN</x:v>
      </x:c>
      <x:c r="AO501" t="n">
        <x:f>_xlfn.XLOOKUP($A501,Games!$A$2:$A$18,Games!$J$2:$J$18,"Missing game",0)</x:f>
        <x:v>48</x:v>
      </x:c>
      <x:c r="AP501" t="n">
        <x:f>_xlfn.XLOOKUP($A501,Games!$A$2:$A$18,Games!$K$2:$K$18,"Missing game",0)</x:f>
        <x:v>38</x:v>
      </x:c>
      <x:c r="AQ501" t="n">
        <x:f>_xlfn.XLOOKUP($A501,Games!$A$2:$A$18,Games!$L$2:$L$18,"Missing game",0)</x:f>
        <x:v>58</x:v>
      </x:c>
      <x:c r="AR501" t="n">
        <x:f>_xlfn.XLOOKUP($A501,Games!$A$2:$A$18,Games!$M$2:$M$18,"Missing game",0)</x:f>
        <x:v>0</x:v>
      </x:c>
      <x:c r="AS501" t="str">
        <x:f>_xlfn.XLOOKUP($A501,Games!$A$2:$A$18,Games!$N$2:$N$18,"Missing game",0)</x:f>
        <x:v>dome</x:v>
      </x:c>
      <x:c r="AT501" t="str">
        <x:f>_xlfn.XLOOKUP($A501,Games!$A$2:$A$18,Games!$O$2:$O$18,"Missing game",0)</x:f>
        <x:v>sportturf</x:v>
      </x:c>
      <x:c r="AU501" t="str">
        <x:f>_xlfn.XLOOKUP($A501,Games!$A$2:$A$18,Games!$P$2:$P$18,"Missing game",0)</x:f>
      </x:c>
      <x:c r="AV501" t="str">
        <x:f>_xlfn.XLOOKUP($A501,Games!$A$2:$A$18,Games!$Q$2:$Q$18,"Missing game",0)</x:f>
      </x:c>
      <x:c r="AW501" t="str">
        <x:f>_xlfn.XLOOKUP($A501,Games!$A$2:$A$18,Games!$R$2:$R$18,"Missing game",0)</x:f>
        <x:v>U.S. Bank Stadium</x:v>
      </x:c>
    </x:row>
    <x:row r="502">
      <x:c r="A502" t="str">
        <x:v>2025_04_MIN_PIT</x:v>
      </x:c>
      <x:c r="B502" t="n">
        <x:v>1</x:v>
      </x:c>
      <x:c r="C502" t="n">
        <x:v>1</x:v>
      </x:c>
      <x:c r="D502" t="str">
        <x:v>15:00</x:v>
      </x:c>
      <x:c r="E502"/>
      <x:c r="F502" t="n">
        <x:v>0</x:v>
      </x:c>
      <x:c r="G502"/>
      <x:c r="H502"/>
      <x:c r="I502"/>
      <x:c r="J502"/>
      <x:c r="K502" t="str">
        <x:v>GAME</x:v>
      </x:c>
      <x:c r="L502"/>
      <x:c r="M502"/>
      <x:c r="N502" t="n">
        <x:v>0</x:v>
      </x:c>
      <x:c r="O502" t="n">
        <x:v>0</x:v>
      </x:c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 t="n">
        <x:v>0</x:v>
      </x:c>
      <x:c r="AE502" t="n">
        <x:v>0</x:v>
      </x:c>
      <x:c r="AF502" t="n">
        <x:v>0</x:v>
      </x:c>
      <x:c r="AG502" t="n">
        <x:f>_xlfn.XLOOKUP($A502,Games!$A$2:$A$18,Games!$B$2:$B$18,"Missing game",0)</x:f>
        <x:v>2025</x:v>
      </x:c>
      <x:c r="AH502" t="str">
        <x:f>_xlfn.XLOOKUP($A502,Games!$A$2:$A$18,Games!$C$2:$C$18,"Missing game",0)</x:f>
        <x:v>REG</x:v>
      </x:c>
      <x:c r="AI502" t="n">
        <x:f>_xlfn.XLOOKUP($A502,Games!$A$2:$A$18,Games!$D$2:$D$18,"Missing game",0)</x:f>
        <x:v>4</x:v>
      </x:c>
      <x:c r="AJ502" s="1" t="n">
        <x:f>_xlfn.XLOOKUP($A502,Games!$A$2:$A$18,Games!$E$2:$E$18,"Missing game",0)</x:f>
        <x:v>45928</x:v>
      </x:c>
      <x:c r="AK502" t="str">
        <x:f>_xlfn.XLOOKUP($A502,Games!$A$2:$A$18,Games!$F$2:$F$18,"Missing game",0)</x:f>
        <x:v>Sunday</x:v>
      </x:c>
      <x:c r="AL502" t="str">
        <x:f>_xlfn.XLOOKUP($A502,Games!$A$2:$A$18,Games!$G$2:$G$18,"Missing game",0)</x:f>
        <x:v>MIN</x:v>
      </x:c>
      <x:c r="AM502" t="n">
        <x:f>_xlfn.XLOOKUP($A502,Games!$A$2:$A$18,Games!$H$2:$H$18,"Missing game",0)</x:f>
        <x:v>21</x:v>
      </x:c>
      <x:c r="AN502" t="str">
        <x:f>_xlfn.XLOOKUP($A502,Games!$A$2:$A$18,Games!$I$2:$I$18,"Missing game",0)</x:f>
        <x:v>PIT</x:v>
      </x:c>
      <x:c r="AO502" t="n">
        <x:f>_xlfn.XLOOKUP($A502,Games!$A$2:$A$18,Games!$J$2:$J$18,"Missing game",0)</x:f>
        <x:v>24</x:v>
      </x:c>
      <x:c r="AP502" t="n">
        <x:f>_xlfn.XLOOKUP($A502,Games!$A$2:$A$18,Games!$K$2:$K$18,"Missing game",0)</x:f>
        <x:v>3</x:v>
      </x:c>
      <x:c r="AQ502" t="n">
        <x:f>_xlfn.XLOOKUP($A502,Games!$A$2:$A$18,Games!$L$2:$L$18,"Missing game",0)</x:f>
        <x:v>45</x:v>
      </x:c>
      <x:c r="AR502" t="n">
        <x:f>_xlfn.XLOOKUP($A502,Games!$A$2:$A$18,Games!$M$2:$M$18,"Missing game",0)</x:f>
        <x:v>0</x:v>
      </x:c>
      <x:c r="AS502" t="str">
        <x:f>_xlfn.XLOOKUP($A502,Games!$A$2:$A$18,Games!$N$2:$N$18,"Missing game",0)</x:f>
        <x:v>outdoors</x:v>
      </x:c>
      <x:c r="AT502" t="str">
        <x:f>_xlfn.XLOOKUP($A502,Games!$A$2:$A$18,Games!$O$2:$O$18,"Missing game",0)</x:f>
        <x:v>grass</x:v>
      </x:c>
      <x:c r="AU502" t="n">
        <x:f>_xlfn.XLOOKUP($A502,Games!$A$2:$A$18,Games!$P$2:$P$18,"Missing game",0)</x:f>
        <x:v>61</x:v>
      </x:c>
      <x:c r="AV502" t="n">
        <x:f>_xlfn.XLOOKUP($A502,Games!$A$2:$A$18,Games!$Q$2:$Q$18,"Missing game",0)</x:f>
        <x:v>5</x:v>
      </x:c>
      <x:c r="AW502" t="str">
        <x:f>_xlfn.XLOOKUP($A502,Games!$A$2:$A$18,Games!$R$2:$R$18,"Missing game",0)</x:f>
        <x:v>Acrisure Stadium</x:v>
      </x:c>
    </x:row>
    <x:row r="503">
      <x:c r="A503" t="str">
        <x:v>2025_04_MIN_PIT</x:v>
      </x:c>
      <x:c r="B503" t="n">
        <x:v>39</x:v>
      </x:c>
      <x:c r="C503" t="n">
        <x:v>1</x:v>
      </x:c>
      <x:c r="D503" t="str">
        <x:v>15:00</x:v>
      </x:c>
      <x:c r="E503"/>
      <x:c r="F503" t="n">
        <x:v>0</x:v>
      </x:c>
      <x:c r="G503" t="str">
        <x:v>PIT</x:v>
      </x:c>
      <x:c r="H503" t="str">
        <x:v>MIN</x:v>
      </x:c>
      <x:c r="I503" t="str">
        <x:v>MIN</x:v>
      </x:c>
      <x:c r="J503" t="n">
        <x:v>35</x:v>
      </x:c>
      <x:c r="K503" t="str">
        <x:v>16-W.Reichard kicks 56 yards from MIN 35 to PIT 9. 37-T.Sermon to PIT 35 for 26 yards (99-E.Williams).</x:v>
      </x:c>
      <x:c r="L503" t="str">
        <x:v>kickoff</x:v>
      </x:c>
      <x:c r="M503" t="n">
        <x:v>0</x:v>
      </x:c>
      <x:c r="N503" t="n">
        <x:v>0</x:v>
      </x:c>
      <x:c r="O503" t="n">
        <x:v>0</x:v>
      </x:c>
      <x:c r="P503"/>
      <x:c r="Q503"/>
      <x:c r="R503"/>
      <x:c r="S503"/>
      <x:c r="T503"/>
      <x:c r="U503"/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/>
      <x:c r="AC503" t="n">
        <x:v>0</x:v>
      </x:c>
      <x:c r="AD503" t="n">
        <x:v>0.5627140537835658</x:v>
      </x:c>
      <x:c r="AE503" t="n">
        <x:v>1</x:v>
      </x:c>
      <x:c r="AF503" t="n">
        <x:v>0.02012842893600464</x:v>
      </x:c>
      <x:c r="AG503" t="n">
        <x:f>_xlfn.XLOOKUP($A503,Games!$A$2:$A$18,Games!$B$2:$B$18,"Missing game",0)</x:f>
        <x:v>2025</x:v>
      </x:c>
      <x:c r="AH503" t="str">
        <x:f>_xlfn.XLOOKUP($A503,Games!$A$2:$A$18,Games!$C$2:$C$18,"Missing game",0)</x:f>
        <x:v>REG</x:v>
      </x:c>
      <x:c r="AI503" t="n">
        <x:f>_xlfn.XLOOKUP($A503,Games!$A$2:$A$18,Games!$D$2:$D$18,"Missing game",0)</x:f>
        <x:v>4</x:v>
      </x:c>
      <x:c r="AJ503" s="1" t="n">
        <x:f>_xlfn.XLOOKUP($A503,Games!$A$2:$A$18,Games!$E$2:$E$18,"Missing game",0)</x:f>
        <x:v>45928</x:v>
      </x:c>
      <x:c r="AK503" t="str">
        <x:f>_xlfn.XLOOKUP($A503,Games!$A$2:$A$18,Games!$F$2:$F$18,"Missing game",0)</x:f>
        <x:v>Sunday</x:v>
      </x:c>
      <x:c r="AL503" t="str">
        <x:f>_xlfn.XLOOKUP($A503,Games!$A$2:$A$18,Games!$G$2:$G$18,"Missing game",0)</x:f>
        <x:v>MIN</x:v>
      </x:c>
      <x:c r="AM503" t="n">
        <x:f>_xlfn.XLOOKUP($A503,Games!$A$2:$A$18,Games!$H$2:$H$18,"Missing game",0)</x:f>
        <x:v>21</x:v>
      </x:c>
      <x:c r="AN503" t="str">
        <x:f>_xlfn.XLOOKUP($A503,Games!$A$2:$A$18,Games!$I$2:$I$18,"Missing game",0)</x:f>
        <x:v>PIT</x:v>
      </x:c>
      <x:c r="AO503" t="n">
        <x:f>_xlfn.XLOOKUP($A503,Games!$A$2:$A$18,Games!$J$2:$J$18,"Missing game",0)</x:f>
        <x:v>24</x:v>
      </x:c>
      <x:c r="AP503" t="n">
        <x:f>_xlfn.XLOOKUP($A503,Games!$A$2:$A$18,Games!$K$2:$K$18,"Missing game",0)</x:f>
        <x:v>3</x:v>
      </x:c>
      <x:c r="AQ503" t="n">
        <x:f>_xlfn.XLOOKUP($A503,Games!$A$2:$A$18,Games!$L$2:$L$18,"Missing game",0)</x:f>
        <x:v>45</x:v>
      </x:c>
      <x:c r="AR503" t="n">
        <x:f>_xlfn.XLOOKUP($A503,Games!$A$2:$A$18,Games!$M$2:$M$18,"Missing game",0)</x:f>
        <x:v>0</x:v>
      </x:c>
      <x:c r="AS503" t="str">
        <x:f>_xlfn.XLOOKUP($A503,Games!$A$2:$A$18,Games!$N$2:$N$18,"Missing game",0)</x:f>
        <x:v>outdoors</x:v>
      </x:c>
      <x:c r="AT503" t="str">
        <x:f>_xlfn.XLOOKUP($A503,Games!$A$2:$A$18,Games!$O$2:$O$18,"Missing game",0)</x:f>
        <x:v>grass</x:v>
      </x:c>
      <x:c r="AU503" t="n">
        <x:f>_xlfn.XLOOKUP($A503,Games!$A$2:$A$18,Games!$P$2:$P$18,"Missing game",0)</x:f>
        <x:v>61</x:v>
      </x:c>
      <x:c r="AV503" t="n">
        <x:f>_xlfn.XLOOKUP($A503,Games!$A$2:$A$18,Games!$Q$2:$Q$18,"Missing game",0)</x:f>
        <x:v>5</x:v>
      </x:c>
      <x:c r="AW503" t="str">
        <x:f>_xlfn.XLOOKUP($A503,Games!$A$2:$A$18,Games!$R$2:$R$18,"Missing game",0)</x:f>
        <x:v>Acrisure Stadium</x:v>
      </x:c>
    </x:row>
    <x:row r="504">
      <x:c r="A504" t="str">
        <x:v>2025_04_MIN_PIT</x:v>
      </x:c>
      <x:c r="B504" t="n">
        <x:v>62</x:v>
      </x:c>
      <x:c r="C504" t="n">
        <x:v>1</x:v>
      </x:c>
      <x:c r="D504" t="str">
        <x:v>14:55</x:v>
      </x:c>
      <x:c r="E504" t="n">
        <x:v>1</x:v>
      </x:c>
      <x:c r="F504" t="n">
        <x:v>10</x:v>
      </x:c>
      <x:c r="G504" t="str">
        <x:v>PIT</x:v>
      </x:c>
      <x:c r="H504" t="str">
        <x:v>MIN</x:v>
      </x:c>
      <x:c r="I504" t="str">
        <x:v>PIT</x:v>
      </x:c>
      <x:c r="J504" t="n">
        <x:v>65</x:v>
      </x:c>
      <x:c r="K504" t="str">
        <x:v>(14:55) (Shotgun) 8-A.Rodgers sacked at PIT 27 for -8 yards (61-J.Redmond).</x:v>
      </x:c>
      <x:c r="L504" t="str">
        <x:v>pass</x:v>
      </x:c>
      <x:c r="M504" t="n">
        <x:v>-8</x:v>
      </x:c>
      <x:c r="N504" t="n">
        <x:v>1</x:v>
      </x:c>
      <x:c r="O504" t="n">
        <x:v>0</x:v>
      </x:c>
      <x:c r="P504"/>
      <x:c r="Q504"/>
      <x:c r="R504"/>
      <x:c r="S504"/>
      <x:c r="T504"/>
      <x:c r="U504"/>
      <x:c r="V504" t="n">
        <x:v>0</x:v>
      </x:c>
      <x:c r="W504" t="n">
        <x:v>0</x:v>
      </x:c>
      <x:c r="X504" t="n">
        <x:v>1</x:v>
      </x:c>
      <x:c r="Y504" t="n">
        <x:v>0</x:v>
      </x:c>
      <x:c r="Z504" t="n">
        <x:v>0</x:v>
      </x:c>
      <x:c r="AA504" t="n">
        <x:v>0</x:v>
      </x:c>
      <x:c r="AB504"/>
      <x:c r="AC504" t="n">
        <x:v>0</x:v>
      </x:c>
      <x:c r="AD504" t="n">
        <x:v>-1.3627301268279552</x:v>
      </x:c>
      <x:c r="AE504" t="n">
        <x:v>0</x:v>
      </x:c>
      <x:c r="AF504" t="n">
        <x:v>-0.04650324583053589</x:v>
      </x:c>
      <x:c r="AG504" t="n">
        <x:f>_xlfn.XLOOKUP($A504,Games!$A$2:$A$18,Games!$B$2:$B$18,"Missing game",0)</x:f>
        <x:v>2025</x:v>
      </x:c>
      <x:c r="AH504" t="str">
        <x:f>_xlfn.XLOOKUP($A504,Games!$A$2:$A$18,Games!$C$2:$C$18,"Missing game",0)</x:f>
        <x:v>REG</x:v>
      </x:c>
      <x:c r="AI504" t="n">
        <x:f>_xlfn.XLOOKUP($A504,Games!$A$2:$A$18,Games!$D$2:$D$18,"Missing game",0)</x:f>
        <x:v>4</x:v>
      </x:c>
      <x:c r="AJ504" s="1" t="n">
        <x:f>_xlfn.XLOOKUP($A504,Games!$A$2:$A$18,Games!$E$2:$E$18,"Missing game",0)</x:f>
        <x:v>45928</x:v>
      </x:c>
      <x:c r="AK504" t="str">
        <x:f>_xlfn.XLOOKUP($A504,Games!$A$2:$A$18,Games!$F$2:$F$18,"Missing game",0)</x:f>
        <x:v>Sunday</x:v>
      </x:c>
      <x:c r="AL504" t="str">
        <x:f>_xlfn.XLOOKUP($A504,Games!$A$2:$A$18,Games!$G$2:$G$18,"Missing game",0)</x:f>
        <x:v>MIN</x:v>
      </x:c>
      <x:c r="AM504" t="n">
        <x:f>_xlfn.XLOOKUP($A504,Games!$A$2:$A$18,Games!$H$2:$H$18,"Missing game",0)</x:f>
        <x:v>21</x:v>
      </x:c>
      <x:c r="AN504" t="str">
        <x:f>_xlfn.XLOOKUP($A504,Games!$A$2:$A$18,Games!$I$2:$I$18,"Missing game",0)</x:f>
        <x:v>PIT</x:v>
      </x:c>
      <x:c r="AO504" t="n">
        <x:f>_xlfn.XLOOKUP($A504,Games!$A$2:$A$18,Games!$J$2:$J$18,"Missing game",0)</x:f>
        <x:v>24</x:v>
      </x:c>
      <x:c r="AP504" t="n">
        <x:f>_xlfn.XLOOKUP($A504,Games!$A$2:$A$18,Games!$K$2:$K$18,"Missing game",0)</x:f>
        <x:v>3</x:v>
      </x:c>
      <x:c r="AQ504" t="n">
        <x:f>_xlfn.XLOOKUP($A504,Games!$A$2:$A$18,Games!$L$2:$L$18,"Missing game",0)</x:f>
        <x:v>45</x:v>
      </x:c>
      <x:c r="AR504" t="n">
        <x:f>_xlfn.XLOOKUP($A504,Games!$A$2:$A$18,Games!$M$2:$M$18,"Missing game",0)</x:f>
        <x:v>0</x:v>
      </x:c>
      <x:c r="AS504" t="str">
        <x:f>_xlfn.XLOOKUP($A504,Games!$A$2:$A$18,Games!$N$2:$N$18,"Missing game",0)</x:f>
        <x:v>outdoors</x:v>
      </x:c>
      <x:c r="AT504" t="str">
        <x:f>_xlfn.XLOOKUP($A504,Games!$A$2:$A$18,Games!$O$2:$O$18,"Missing game",0)</x:f>
        <x:v>grass</x:v>
      </x:c>
      <x:c r="AU504" t="n">
        <x:f>_xlfn.XLOOKUP($A504,Games!$A$2:$A$18,Games!$P$2:$P$18,"Missing game",0)</x:f>
        <x:v>61</x:v>
      </x:c>
      <x:c r="AV504" t="n">
        <x:f>_xlfn.XLOOKUP($A504,Games!$A$2:$A$18,Games!$Q$2:$Q$18,"Missing game",0)</x:f>
        <x:v>5</x:v>
      </x:c>
      <x:c r="AW504" t="str">
        <x:f>_xlfn.XLOOKUP($A504,Games!$A$2:$A$18,Games!$R$2:$R$18,"Missing game",0)</x:f>
        <x:v>Acrisure Stadium</x:v>
      </x:c>
    </x:row>
    <x:row r="505">
      <x:c r="A505" t="str">
        <x:v>2025_04_MIN_PIT</x:v>
      </x:c>
      <x:c r="B505" t="n">
        <x:v>82</x:v>
      </x:c>
      <x:c r="C505" t="n">
        <x:v>1</x:v>
      </x:c>
      <x:c r="D505" t="str">
        <x:v>14:15</x:v>
      </x:c>
      <x:c r="E505" t="n">
        <x:v>2</x:v>
      </x:c>
      <x:c r="F505" t="n">
        <x:v>18</x:v>
      </x:c>
      <x:c r="G505" t="str">
        <x:v>PIT</x:v>
      </x:c>
      <x:c r="H505" t="str">
        <x:v>MIN</x:v>
      </x:c>
      <x:c r="I505" t="str">
        <x:v>PIT</x:v>
      </x:c>
      <x:c r="J505" t="n">
        <x:v>73</x:v>
      </x:c>
      <x:c r="K505" t="str">
        <x:v>(14:15) 74-S.Anderson reported in as eligible. 8-A.Rodgers pass short left to 14-K.Gainwell to PIT 33 for 6 yards (55-E.Wilson).</x:v>
      </x:c>
      <x:c r="L505" t="str">
        <x:v>pass</x:v>
      </x:c>
      <x:c r="M505" t="n">
        <x:v>6</x:v>
      </x:c>
      <x:c r="N505" t="n">
        <x:v>0</x:v>
      </x:c>
      <x:c r="O505" t="n">
        <x:v>0</x:v>
      </x:c>
      <x:c r="P505" t="str">
        <x:v>short</x:v>
      </x:c>
      <x:c r="Q505" t="str">
        <x:v>left</x:v>
      </x:c>
      <x:c r="R505" t="n">
        <x:v>1</x:v>
      </x:c>
      <x:c r="S505" t="n">
        <x:v>5</x:v>
      </x:c>
      <x:c r="T505"/>
      <x:c r="U505"/>
      <x:c r="V505" t="n">
        <x:v>1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/>
      <x:c r="AC505" t="n">
        <x:v>0</x:v>
      </x:c>
      <x:c r="AD505" t="n">
        <x:v>-0.30283613922074437</x:v>
      </x:c>
      <x:c r="AE505" t="n">
        <x:v>0</x:v>
      </x:c>
      <x:c r="AF505" t="n">
        <x:v>-0.009341239929199219</x:v>
      </x:c>
      <x:c r="AG505" t="n">
        <x:f>_xlfn.XLOOKUP($A505,Games!$A$2:$A$18,Games!$B$2:$B$18,"Missing game",0)</x:f>
        <x:v>2025</x:v>
      </x:c>
      <x:c r="AH505" t="str">
        <x:f>_xlfn.XLOOKUP($A505,Games!$A$2:$A$18,Games!$C$2:$C$18,"Missing game",0)</x:f>
        <x:v>REG</x:v>
      </x:c>
      <x:c r="AI505" t="n">
        <x:f>_xlfn.XLOOKUP($A505,Games!$A$2:$A$18,Games!$D$2:$D$18,"Missing game",0)</x:f>
        <x:v>4</x:v>
      </x:c>
      <x:c r="AJ505" s="1" t="n">
        <x:f>_xlfn.XLOOKUP($A505,Games!$A$2:$A$18,Games!$E$2:$E$18,"Missing game",0)</x:f>
        <x:v>45928</x:v>
      </x:c>
      <x:c r="AK505" t="str">
        <x:f>_xlfn.XLOOKUP($A505,Games!$A$2:$A$18,Games!$F$2:$F$18,"Missing game",0)</x:f>
        <x:v>Sunday</x:v>
      </x:c>
      <x:c r="AL505" t="str">
        <x:f>_xlfn.XLOOKUP($A505,Games!$A$2:$A$18,Games!$G$2:$G$18,"Missing game",0)</x:f>
        <x:v>MIN</x:v>
      </x:c>
      <x:c r="AM505" t="n">
        <x:f>_xlfn.XLOOKUP($A505,Games!$A$2:$A$18,Games!$H$2:$H$18,"Missing game",0)</x:f>
        <x:v>21</x:v>
      </x:c>
      <x:c r="AN505" t="str">
        <x:f>_xlfn.XLOOKUP($A505,Games!$A$2:$A$18,Games!$I$2:$I$18,"Missing game",0)</x:f>
        <x:v>PIT</x:v>
      </x:c>
      <x:c r="AO505" t="n">
        <x:f>_xlfn.XLOOKUP($A505,Games!$A$2:$A$18,Games!$J$2:$J$18,"Missing game",0)</x:f>
        <x:v>24</x:v>
      </x:c>
      <x:c r="AP505" t="n">
        <x:f>_xlfn.XLOOKUP($A505,Games!$A$2:$A$18,Games!$K$2:$K$18,"Missing game",0)</x:f>
        <x:v>3</x:v>
      </x:c>
      <x:c r="AQ505" t="n">
        <x:f>_xlfn.XLOOKUP($A505,Games!$A$2:$A$18,Games!$L$2:$L$18,"Missing game",0)</x:f>
        <x:v>45</x:v>
      </x:c>
      <x:c r="AR505" t="n">
        <x:f>_xlfn.XLOOKUP($A505,Games!$A$2:$A$18,Games!$M$2:$M$18,"Missing game",0)</x:f>
        <x:v>0</x:v>
      </x:c>
      <x:c r="AS505" t="str">
        <x:f>_xlfn.XLOOKUP($A505,Games!$A$2:$A$18,Games!$N$2:$N$18,"Missing game",0)</x:f>
        <x:v>outdoors</x:v>
      </x:c>
      <x:c r="AT505" t="str">
        <x:f>_xlfn.XLOOKUP($A505,Games!$A$2:$A$18,Games!$O$2:$O$18,"Missing game",0)</x:f>
        <x:v>grass</x:v>
      </x:c>
      <x:c r="AU505" t="n">
        <x:f>_xlfn.XLOOKUP($A505,Games!$A$2:$A$18,Games!$P$2:$P$18,"Missing game",0)</x:f>
        <x:v>61</x:v>
      </x:c>
      <x:c r="AV505" t="n">
        <x:f>_xlfn.XLOOKUP($A505,Games!$A$2:$A$18,Games!$Q$2:$Q$18,"Missing game",0)</x:f>
        <x:v>5</x:v>
      </x:c>
      <x:c r="AW505" t="str">
        <x:f>_xlfn.XLOOKUP($A505,Games!$A$2:$A$18,Games!$R$2:$R$18,"Missing game",0)</x:f>
        <x:v>Acrisure Stadium</x:v>
      </x:c>
    </x:row>
    <x:row r="506">
      <x:c r="A506" t="str">
        <x:v>2025_04_MIN_PIT</x:v>
      </x:c>
      <x:c r="B506" t="n">
        <x:v>107</x:v>
      </x:c>
      <x:c r="C506" t="n">
        <x:v>1</x:v>
      </x:c>
      <x:c r="D506" t="str">
        <x:v>13:33</x:v>
      </x:c>
      <x:c r="E506" t="n">
        <x:v>3</x:v>
      </x:c>
      <x:c r="F506" t="n">
        <x:v>12</x:v>
      </x:c>
      <x:c r="G506" t="str">
        <x:v>PIT</x:v>
      </x:c>
      <x:c r="H506" t="str">
        <x:v>MIN</x:v>
      </x:c>
      <x:c r="I506" t="str">
        <x:v>PIT</x:v>
      </x:c>
      <x:c r="J506" t="n">
        <x:v>67</x:v>
      </x:c>
      <x:c r="K506" t="str">
        <x:v>(13:33) (Shotgun) 8-A.Rodgers pass short right to 81-J.Smith to PIT 33 for no gain (44-J.Metellus).</x:v>
      </x:c>
      <x:c r="L506" t="str">
        <x:v>pass</x:v>
      </x:c>
      <x:c r="M506" t="n">
        <x:v>0</x:v>
      </x:c>
      <x:c r="N506" t="n">
        <x:v>1</x:v>
      </x:c>
      <x:c r="O506" t="n">
        <x:v>0</x:v>
      </x:c>
      <x:c r="P506" t="str">
        <x:v>short</x:v>
      </x:c>
      <x:c r="Q506" t="str">
        <x:v>right</x:v>
      </x:c>
      <x:c r="R506" t="n">
        <x:v>-1</x:v>
      </x:c>
      <x:c r="S506" t="n">
        <x:v>1</x:v>
      </x:c>
      <x:c r="T506"/>
      <x:c r="U506"/>
      <x:c r="V506" t="n">
        <x:v>1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/>
      <x:c r="AC506" t="n">
        <x:v>0</x:v>
      </x:c>
      <x:c r="AD506" t="n">
        <x:v>-1.1685384949669242</x:v>
      </x:c>
      <x:c r="AE506" t="n">
        <x:v>0</x:v>
      </x:c>
      <x:c r="AF506" t="n">
        <x:v>-0.02249249815940857</x:v>
      </x:c>
      <x:c r="AG506" t="n">
        <x:f>_xlfn.XLOOKUP($A506,Games!$A$2:$A$18,Games!$B$2:$B$18,"Missing game",0)</x:f>
        <x:v>2025</x:v>
      </x:c>
      <x:c r="AH506" t="str">
        <x:f>_xlfn.XLOOKUP($A506,Games!$A$2:$A$18,Games!$C$2:$C$18,"Missing game",0)</x:f>
        <x:v>REG</x:v>
      </x:c>
      <x:c r="AI506" t="n">
        <x:f>_xlfn.XLOOKUP($A506,Games!$A$2:$A$18,Games!$D$2:$D$18,"Missing game",0)</x:f>
        <x:v>4</x:v>
      </x:c>
      <x:c r="AJ506" s="1" t="n">
        <x:f>_xlfn.XLOOKUP($A506,Games!$A$2:$A$18,Games!$E$2:$E$18,"Missing game",0)</x:f>
        <x:v>45928</x:v>
      </x:c>
      <x:c r="AK506" t="str">
        <x:f>_xlfn.XLOOKUP($A506,Games!$A$2:$A$18,Games!$F$2:$F$18,"Missing game",0)</x:f>
        <x:v>Sunday</x:v>
      </x:c>
      <x:c r="AL506" t="str">
        <x:f>_xlfn.XLOOKUP($A506,Games!$A$2:$A$18,Games!$G$2:$G$18,"Missing game",0)</x:f>
        <x:v>MIN</x:v>
      </x:c>
      <x:c r="AM506" t="n">
        <x:f>_xlfn.XLOOKUP($A506,Games!$A$2:$A$18,Games!$H$2:$H$18,"Missing game",0)</x:f>
        <x:v>21</x:v>
      </x:c>
      <x:c r="AN506" t="str">
        <x:f>_xlfn.XLOOKUP($A506,Games!$A$2:$A$18,Games!$I$2:$I$18,"Missing game",0)</x:f>
        <x:v>PIT</x:v>
      </x:c>
      <x:c r="AO506" t="n">
        <x:f>_xlfn.XLOOKUP($A506,Games!$A$2:$A$18,Games!$J$2:$J$18,"Missing game",0)</x:f>
        <x:v>24</x:v>
      </x:c>
      <x:c r="AP506" t="n">
        <x:f>_xlfn.XLOOKUP($A506,Games!$A$2:$A$18,Games!$K$2:$K$18,"Missing game",0)</x:f>
        <x:v>3</x:v>
      </x:c>
      <x:c r="AQ506" t="n">
        <x:f>_xlfn.XLOOKUP($A506,Games!$A$2:$A$18,Games!$L$2:$L$18,"Missing game",0)</x:f>
        <x:v>45</x:v>
      </x:c>
      <x:c r="AR506" t="n">
        <x:f>_xlfn.XLOOKUP($A506,Games!$A$2:$A$18,Games!$M$2:$M$18,"Missing game",0)</x:f>
        <x:v>0</x:v>
      </x:c>
      <x:c r="AS506" t="str">
        <x:f>_xlfn.XLOOKUP($A506,Games!$A$2:$A$18,Games!$N$2:$N$18,"Missing game",0)</x:f>
        <x:v>outdoors</x:v>
      </x:c>
      <x:c r="AT506" t="str">
        <x:f>_xlfn.XLOOKUP($A506,Games!$A$2:$A$18,Games!$O$2:$O$18,"Missing game",0)</x:f>
        <x:v>grass</x:v>
      </x:c>
      <x:c r="AU506" t="n">
        <x:f>_xlfn.XLOOKUP($A506,Games!$A$2:$A$18,Games!$P$2:$P$18,"Missing game",0)</x:f>
        <x:v>61</x:v>
      </x:c>
      <x:c r="AV506" t="n">
        <x:f>_xlfn.XLOOKUP($A506,Games!$A$2:$A$18,Games!$Q$2:$Q$18,"Missing game",0)</x:f>
        <x:v>5</x:v>
      </x:c>
      <x:c r="AW506" t="str">
        <x:f>_xlfn.XLOOKUP($A506,Games!$A$2:$A$18,Games!$R$2:$R$18,"Missing game",0)</x:f>
        <x:v>Acrisure Stadium</x:v>
      </x:c>
    </x:row>
    <x:row r="507">
      <x:c r="A507" t="str">
        <x:v>2025_04_MIN_PIT</x:v>
      </x:c>
      <x:c r="B507" t="n">
        <x:v>134</x:v>
      </x:c>
      <x:c r="C507" t="n">
        <x:v>1</x:v>
      </x:c>
      <x:c r="D507" t="str">
        <x:v>13:00</x:v>
      </x:c>
      <x:c r="E507" t="n">
        <x:v>4</x:v>
      </x:c>
      <x:c r="F507" t="n">
        <x:v>12</x:v>
      </x:c>
      <x:c r="G507" t="str">
        <x:v>PIT</x:v>
      </x:c>
      <x:c r="H507" t="str">
        <x:v>MIN</x:v>
      </x:c>
      <x:c r="I507" t="str">
        <x:v>PIT</x:v>
      </x:c>
      <x:c r="J507" t="n">
        <x:v>67</x:v>
      </x:c>
      <x:c r="K507" t="str">
        <x:v>(13:00) 3-C.Waitman punts 54 yards to MIN 13, Center-46-C.Kuntz. 4-M.Price to MIN 26 for 13 yards (33-J.Sawyer; 15-B.Skowronek).</x:v>
      </x:c>
      <x:c r="L507" t="str">
        <x:v>punt</x:v>
      </x:c>
      <x:c r="M507" t="n">
        <x:v>0</x:v>
      </x:c>
      <x:c r="N507" t="n">
        <x:v>0</x:v>
      </x:c>
      <x:c r="O507" t="n">
        <x:v>0</x:v>
      </x:c>
      <x:c r="P507"/>
      <x:c r="Q507"/>
      <x:c r="R507"/>
      <x:c r="S507"/>
      <x:c r="T507"/>
      <x:c r="U507"/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/>
      <x:c r="AC507" t="n">
        <x:v>0</x:v>
      </x:c>
      <x:c r="AD507" t="n">
        <x:v>0.5862425887025893</x:v>
      </x:c>
      <x:c r="AE507" t="n">
        <x:v>1</x:v>
      </x:c>
      <x:c r="AF507" t="n">
        <x:v>0.018239825963974</x:v>
      </x:c>
      <x:c r="AG507" t="n">
        <x:f>_xlfn.XLOOKUP($A507,Games!$A$2:$A$18,Games!$B$2:$B$18,"Missing game",0)</x:f>
        <x:v>2025</x:v>
      </x:c>
      <x:c r="AH507" t="str">
        <x:f>_xlfn.XLOOKUP($A507,Games!$A$2:$A$18,Games!$C$2:$C$18,"Missing game",0)</x:f>
        <x:v>REG</x:v>
      </x:c>
      <x:c r="AI507" t="n">
        <x:f>_xlfn.XLOOKUP($A507,Games!$A$2:$A$18,Games!$D$2:$D$18,"Missing game",0)</x:f>
        <x:v>4</x:v>
      </x:c>
      <x:c r="AJ507" s="1" t="n">
        <x:f>_xlfn.XLOOKUP($A507,Games!$A$2:$A$18,Games!$E$2:$E$18,"Missing game",0)</x:f>
        <x:v>45928</x:v>
      </x:c>
      <x:c r="AK507" t="str">
        <x:f>_xlfn.XLOOKUP($A507,Games!$A$2:$A$18,Games!$F$2:$F$18,"Missing game",0)</x:f>
        <x:v>Sunday</x:v>
      </x:c>
      <x:c r="AL507" t="str">
        <x:f>_xlfn.XLOOKUP($A507,Games!$A$2:$A$18,Games!$G$2:$G$18,"Missing game",0)</x:f>
        <x:v>MIN</x:v>
      </x:c>
      <x:c r="AM507" t="n">
        <x:f>_xlfn.XLOOKUP($A507,Games!$A$2:$A$18,Games!$H$2:$H$18,"Missing game",0)</x:f>
        <x:v>21</x:v>
      </x:c>
      <x:c r="AN507" t="str">
        <x:f>_xlfn.XLOOKUP($A507,Games!$A$2:$A$18,Games!$I$2:$I$18,"Missing game",0)</x:f>
        <x:v>PIT</x:v>
      </x:c>
      <x:c r="AO507" t="n">
        <x:f>_xlfn.XLOOKUP($A507,Games!$A$2:$A$18,Games!$J$2:$J$18,"Missing game",0)</x:f>
        <x:v>24</x:v>
      </x:c>
      <x:c r="AP507" t="n">
        <x:f>_xlfn.XLOOKUP($A507,Games!$A$2:$A$18,Games!$K$2:$K$18,"Missing game",0)</x:f>
        <x:v>3</x:v>
      </x:c>
      <x:c r="AQ507" t="n">
        <x:f>_xlfn.XLOOKUP($A507,Games!$A$2:$A$18,Games!$L$2:$L$18,"Missing game",0)</x:f>
        <x:v>45</x:v>
      </x:c>
      <x:c r="AR507" t="n">
        <x:f>_xlfn.XLOOKUP($A507,Games!$A$2:$A$18,Games!$M$2:$M$18,"Missing game",0)</x:f>
        <x:v>0</x:v>
      </x:c>
      <x:c r="AS507" t="str">
        <x:f>_xlfn.XLOOKUP($A507,Games!$A$2:$A$18,Games!$N$2:$N$18,"Missing game",0)</x:f>
        <x:v>outdoors</x:v>
      </x:c>
      <x:c r="AT507" t="str">
        <x:f>_xlfn.XLOOKUP($A507,Games!$A$2:$A$18,Games!$O$2:$O$18,"Missing game",0)</x:f>
        <x:v>grass</x:v>
      </x:c>
      <x:c r="AU507" t="n">
        <x:f>_xlfn.XLOOKUP($A507,Games!$A$2:$A$18,Games!$P$2:$P$18,"Missing game",0)</x:f>
        <x:v>61</x:v>
      </x:c>
      <x:c r="AV507" t="n">
        <x:f>_xlfn.XLOOKUP($A507,Games!$A$2:$A$18,Games!$Q$2:$Q$18,"Missing game",0)</x:f>
        <x:v>5</x:v>
      </x:c>
      <x:c r="AW507" t="str">
        <x:f>_xlfn.XLOOKUP($A507,Games!$A$2:$A$18,Games!$R$2:$R$18,"Missing game",0)</x:f>
        <x:v>Acrisure Stadium</x:v>
      </x:c>
    </x:row>
    <x:row r="508">
      <x:c r="A508" t="str">
        <x:v>2025_04_MIN_PIT</x:v>
      </x:c>
      <x:c r="B508" t="n">
        <x:v>160</x:v>
      </x:c>
      <x:c r="C508" t="n">
        <x:v>1</x:v>
      </x:c>
      <x:c r="D508" t="str">
        <x:v>12:49</x:v>
      </x:c>
      <x:c r="E508" t="n">
        <x:v>1</x:v>
      </x:c>
      <x:c r="F508" t="n">
        <x:v>10</x:v>
      </x:c>
      <x:c r="G508" t="str">
        <x:v>MIN</x:v>
      </x:c>
      <x:c r="H508" t="str">
        <x:v>PIT</x:v>
      </x:c>
      <x:c r="I508" t="str">
        <x:v>MIN</x:v>
      </x:c>
      <x:c r="J508" t="n">
        <x:v>74</x:v>
      </x:c>
      <x:c r="K508" t="str">
        <x:v>(12:49) (Shotgun) 11-C.Wentz pass short right to 18-J.Jefferson pushed ob at MIN 30 for 4 yards (23-D.Slay).</x:v>
      </x:c>
      <x:c r="L508" t="str">
        <x:v>pass</x:v>
      </x:c>
      <x:c r="M508" t="n">
        <x:v>4</x:v>
      </x:c>
      <x:c r="N508" t="n">
        <x:v>1</x:v>
      </x:c>
      <x:c r="O508" t="n">
        <x:v>0</x:v>
      </x:c>
      <x:c r="P508" t="str">
        <x:v>short</x:v>
      </x:c>
      <x:c r="Q508" t="str">
        <x:v>right</x:v>
      </x:c>
      <x:c r="R508" t="n">
        <x:v>4</x:v>
      </x:c>
      <x:c r="S508" t="n">
        <x:v>0</x:v>
      </x:c>
      <x:c r="T508"/>
      <x:c r="U508"/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/>
      <x:c r="AC508" t="n">
        <x:v>0</x:v>
      </x:c>
      <x:c r="AD508" t="n">
        <x:v>-0.07173603167757392</x:v>
      </x:c>
      <x:c r="AE508" t="n">
        <x:v>0</x:v>
      </x:c>
      <x:c r="AF508" t="n">
        <x:v>-0.003293633460998535</x:v>
      </x:c>
      <x:c r="AG508" t="n">
        <x:f>_xlfn.XLOOKUP($A508,Games!$A$2:$A$18,Games!$B$2:$B$18,"Missing game",0)</x:f>
        <x:v>2025</x:v>
      </x:c>
      <x:c r="AH508" t="str">
        <x:f>_xlfn.XLOOKUP($A508,Games!$A$2:$A$18,Games!$C$2:$C$18,"Missing game",0)</x:f>
        <x:v>REG</x:v>
      </x:c>
      <x:c r="AI508" t="n">
        <x:f>_xlfn.XLOOKUP($A508,Games!$A$2:$A$18,Games!$D$2:$D$18,"Missing game",0)</x:f>
        <x:v>4</x:v>
      </x:c>
      <x:c r="AJ508" s="1" t="n">
        <x:f>_xlfn.XLOOKUP($A508,Games!$A$2:$A$18,Games!$E$2:$E$18,"Missing game",0)</x:f>
        <x:v>45928</x:v>
      </x:c>
      <x:c r="AK508" t="str">
        <x:f>_xlfn.XLOOKUP($A508,Games!$A$2:$A$18,Games!$F$2:$F$18,"Missing game",0)</x:f>
        <x:v>Sunday</x:v>
      </x:c>
      <x:c r="AL508" t="str">
        <x:f>_xlfn.XLOOKUP($A508,Games!$A$2:$A$18,Games!$G$2:$G$18,"Missing game",0)</x:f>
        <x:v>MIN</x:v>
      </x:c>
      <x:c r="AM508" t="n">
        <x:f>_xlfn.XLOOKUP($A508,Games!$A$2:$A$18,Games!$H$2:$H$18,"Missing game",0)</x:f>
        <x:v>21</x:v>
      </x:c>
      <x:c r="AN508" t="str">
        <x:f>_xlfn.XLOOKUP($A508,Games!$A$2:$A$18,Games!$I$2:$I$18,"Missing game",0)</x:f>
        <x:v>PIT</x:v>
      </x:c>
      <x:c r="AO508" t="n">
        <x:f>_xlfn.XLOOKUP($A508,Games!$A$2:$A$18,Games!$J$2:$J$18,"Missing game",0)</x:f>
        <x:v>24</x:v>
      </x:c>
      <x:c r="AP508" t="n">
        <x:f>_xlfn.XLOOKUP($A508,Games!$A$2:$A$18,Games!$K$2:$K$18,"Missing game",0)</x:f>
        <x:v>3</x:v>
      </x:c>
      <x:c r="AQ508" t="n">
        <x:f>_xlfn.XLOOKUP($A508,Games!$A$2:$A$18,Games!$L$2:$L$18,"Missing game",0)</x:f>
        <x:v>45</x:v>
      </x:c>
      <x:c r="AR508" t="n">
        <x:f>_xlfn.XLOOKUP($A508,Games!$A$2:$A$18,Games!$M$2:$M$18,"Missing game",0)</x:f>
        <x:v>0</x:v>
      </x:c>
      <x:c r="AS508" t="str">
        <x:f>_xlfn.XLOOKUP($A508,Games!$A$2:$A$18,Games!$N$2:$N$18,"Missing game",0)</x:f>
        <x:v>outdoors</x:v>
      </x:c>
      <x:c r="AT508" t="str">
        <x:f>_xlfn.XLOOKUP($A508,Games!$A$2:$A$18,Games!$O$2:$O$18,"Missing game",0)</x:f>
        <x:v>grass</x:v>
      </x:c>
      <x:c r="AU508" t="n">
        <x:f>_xlfn.XLOOKUP($A508,Games!$A$2:$A$18,Games!$P$2:$P$18,"Missing game",0)</x:f>
        <x:v>61</x:v>
      </x:c>
      <x:c r="AV508" t="n">
        <x:f>_xlfn.XLOOKUP($A508,Games!$A$2:$A$18,Games!$Q$2:$Q$18,"Missing game",0)</x:f>
        <x:v>5</x:v>
      </x:c>
      <x:c r="AW508" t="str">
        <x:f>_xlfn.XLOOKUP($A508,Games!$A$2:$A$18,Games!$R$2:$R$18,"Missing game",0)</x:f>
        <x:v>Acrisure Stadium</x:v>
      </x:c>
    </x:row>
    <x:row r="509">
      <x:c r="A509" t="str">
        <x:v>2025_04_MIN_PIT</x:v>
      </x:c>
      <x:c r="B509" t="n">
        <x:v>190</x:v>
      </x:c>
      <x:c r="C509" t="n">
        <x:v>1</x:v>
      </x:c>
      <x:c r="D509" t="str">
        <x:v>12:20</x:v>
      </x:c>
      <x:c r="E509" t="n">
        <x:v>2</x:v>
      </x:c>
      <x:c r="F509" t="n">
        <x:v>6</x:v>
      </x:c>
      <x:c r="G509" t="str">
        <x:v>MIN</x:v>
      </x:c>
      <x:c r="H509" t="str">
        <x:v>PIT</x:v>
      </x:c>
      <x:c r="I509" t="str">
        <x:v>MIN</x:v>
      </x:c>
      <x:c r="J509" t="n">
        <x:v>70</x:v>
      </x:c>
      <x:c r="K509" t="str">
        <x:v>(12:20) 27-J.Mason right end pushed ob at MIN 37 for 7 yards (23-D.Slay).</x:v>
      </x:c>
      <x:c r="L509" t="str">
        <x:v>run</x:v>
      </x:c>
      <x:c r="M509" t="n">
        <x:v>7</x:v>
      </x:c>
      <x:c r="N509" t="n">
        <x:v>0</x:v>
      </x:c>
      <x:c r="O509" t="n">
        <x:v>0</x:v>
      </x:c>
      <x:c r="P509"/>
      <x:c r="Q509"/>
      <x:c r="R509"/>
      <x:c r="S509"/>
      <x:c r="T509" t="str">
        <x:v>right</x:v>
      </x:c>
      <x:c r="U509" t="str">
        <x:v>end</x:v>
      </x:c>
      <x:c r="V509" t="n">
        <x:v>0</x:v>
      </x:c>
      <x:c r="W509" t="n">
        <x:v>1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/>
      <x:c r="AC509" t="n">
        <x:v>0</x:v>
      </x:c>
      <x:c r="AD509" t="n">
        <x:v>0.8140510348603129</x:v>
      </x:c>
      <x:c r="AE509" t="n">
        <x:v>1</x:v>
      </x:c>
      <x:c r="AF509" t="n">
        <x:v>0.03202104568481445</x:v>
      </x:c>
      <x:c r="AG509" t="n">
        <x:f>_xlfn.XLOOKUP($A509,Games!$A$2:$A$18,Games!$B$2:$B$18,"Missing game",0)</x:f>
        <x:v>2025</x:v>
      </x:c>
      <x:c r="AH509" t="str">
        <x:f>_xlfn.XLOOKUP($A509,Games!$A$2:$A$18,Games!$C$2:$C$18,"Missing game",0)</x:f>
        <x:v>REG</x:v>
      </x:c>
      <x:c r="AI509" t="n">
        <x:f>_xlfn.XLOOKUP($A509,Games!$A$2:$A$18,Games!$D$2:$D$18,"Missing game",0)</x:f>
        <x:v>4</x:v>
      </x:c>
      <x:c r="AJ509" s="1" t="n">
        <x:f>_xlfn.XLOOKUP($A509,Games!$A$2:$A$18,Games!$E$2:$E$18,"Missing game",0)</x:f>
        <x:v>45928</x:v>
      </x:c>
      <x:c r="AK509" t="str">
        <x:f>_xlfn.XLOOKUP($A509,Games!$A$2:$A$18,Games!$F$2:$F$18,"Missing game",0)</x:f>
        <x:v>Sunday</x:v>
      </x:c>
      <x:c r="AL509" t="str">
        <x:f>_xlfn.XLOOKUP($A509,Games!$A$2:$A$18,Games!$G$2:$G$18,"Missing game",0)</x:f>
        <x:v>MIN</x:v>
      </x:c>
      <x:c r="AM509" t="n">
        <x:f>_xlfn.XLOOKUP($A509,Games!$A$2:$A$18,Games!$H$2:$H$18,"Missing game",0)</x:f>
        <x:v>21</x:v>
      </x:c>
      <x:c r="AN509" t="str">
        <x:f>_xlfn.XLOOKUP($A509,Games!$A$2:$A$18,Games!$I$2:$I$18,"Missing game",0)</x:f>
        <x:v>PIT</x:v>
      </x:c>
      <x:c r="AO509" t="n">
        <x:f>_xlfn.XLOOKUP($A509,Games!$A$2:$A$18,Games!$J$2:$J$18,"Missing game",0)</x:f>
        <x:v>24</x:v>
      </x:c>
      <x:c r="AP509" t="n">
        <x:f>_xlfn.XLOOKUP($A509,Games!$A$2:$A$18,Games!$K$2:$K$18,"Missing game",0)</x:f>
        <x:v>3</x:v>
      </x:c>
      <x:c r="AQ509" t="n">
        <x:f>_xlfn.XLOOKUP($A509,Games!$A$2:$A$18,Games!$L$2:$L$18,"Missing game",0)</x:f>
        <x:v>45</x:v>
      </x:c>
      <x:c r="AR509" t="n">
        <x:f>_xlfn.XLOOKUP($A509,Games!$A$2:$A$18,Games!$M$2:$M$18,"Missing game",0)</x:f>
        <x:v>0</x:v>
      </x:c>
      <x:c r="AS509" t="str">
        <x:f>_xlfn.XLOOKUP($A509,Games!$A$2:$A$18,Games!$N$2:$N$18,"Missing game",0)</x:f>
        <x:v>outdoors</x:v>
      </x:c>
      <x:c r="AT509" t="str">
        <x:f>_xlfn.XLOOKUP($A509,Games!$A$2:$A$18,Games!$O$2:$O$18,"Missing game",0)</x:f>
        <x:v>grass</x:v>
      </x:c>
      <x:c r="AU509" t="n">
        <x:f>_xlfn.XLOOKUP($A509,Games!$A$2:$A$18,Games!$P$2:$P$18,"Missing game",0)</x:f>
        <x:v>61</x:v>
      </x:c>
      <x:c r="AV509" t="n">
        <x:f>_xlfn.XLOOKUP($A509,Games!$A$2:$A$18,Games!$Q$2:$Q$18,"Missing game",0)</x:f>
        <x:v>5</x:v>
      </x:c>
      <x:c r="AW509" t="str">
        <x:f>_xlfn.XLOOKUP($A509,Games!$A$2:$A$18,Games!$R$2:$R$18,"Missing game",0)</x:f>
        <x:v>Acrisure Stadium</x:v>
      </x:c>
    </x:row>
    <x:row r="510">
      <x:c r="A510" t="str">
        <x:v>2025_04_MIN_PIT</x:v>
      </x:c>
      <x:c r="B510" t="n">
        <x:v>217</x:v>
      </x:c>
      <x:c r="C510" t="n">
        <x:v>1</x:v>
      </x:c>
      <x:c r="D510" t="str">
        <x:v>11:46</x:v>
      </x:c>
      <x:c r="E510" t="n">
        <x:v>1</x:v>
      </x:c>
      <x:c r="F510" t="n">
        <x:v>10</x:v>
      </x:c>
      <x:c r="G510" t="str">
        <x:v>MIN</x:v>
      </x:c>
      <x:c r="H510" t="str">
        <x:v>PIT</x:v>
      </x:c>
      <x:c r="I510" t="str">
        <x:v>MIN</x:v>
      </x:c>
      <x:c r="J510" t="n">
        <x:v>63</x:v>
      </x:c>
      <x:c r="K510" t="str">
        <x:v>(11:46) (Shotgun) 11-C.Wentz pass short left to 18-J.Jefferson to MIN 46 for 9 yards (21-C.Clark).</x:v>
      </x:c>
      <x:c r="L510" t="str">
        <x:v>pass</x:v>
      </x:c>
      <x:c r="M510" t="n">
        <x:v>9</x:v>
      </x:c>
      <x:c r="N510" t="n">
        <x:v>1</x:v>
      </x:c>
      <x:c r="O510" t="n">
        <x:v>0</x:v>
      </x:c>
      <x:c r="P510" t="str">
        <x:v>short</x:v>
      </x:c>
      <x:c r="Q510" t="str">
        <x:v>left</x:v>
      </x:c>
      <x:c r="R510" t="n">
        <x:v>4</x:v>
      </x:c>
      <x:c r="S510" t="n">
        <x:v>5</x:v>
      </x:c>
      <x:c r="T510"/>
      <x:c r="U510"/>
      <x:c r="V510" t="n">
        <x:v>1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/>
      <x:c r="AC510" t="n">
        <x:v>0</x:v>
      </x:c>
      <x:c r="AD510" t="n">
        <x:v>0.8617348303087056</x:v>
      </x:c>
      <x:c r="AE510" t="n">
        <x:v>1</x:v>
      </x:c>
      <x:c r="AF510" t="n">
        <x:v>0.008629262447357178</x:v>
      </x:c>
      <x:c r="AG510" t="n">
        <x:f>_xlfn.XLOOKUP($A510,Games!$A$2:$A$18,Games!$B$2:$B$18,"Missing game",0)</x:f>
        <x:v>2025</x:v>
      </x:c>
      <x:c r="AH510" t="str">
        <x:f>_xlfn.XLOOKUP($A510,Games!$A$2:$A$18,Games!$C$2:$C$18,"Missing game",0)</x:f>
        <x:v>REG</x:v>
      </x:c>
      <x:c r="AI510" t="n">
        <x:f>_xlfn.XLOOKUP($A510,Games!$A$2:$A$18,Games!$D$2:$D$18,"Missing game",0)</x:f>
        <x:v>4</x:v>
      </x:c>
      <x:c r="AJ510" s="1" t="n">
        <x:f>_xlfn.XLOOKUP($A510,Games!$A$2:$A$18,Games!$E$2:$E$18,"Missing game",0)</x:f>
        <x:v>45928</x:v>
      </x:c>
      <x:c r="AK510" t="str">
        <x:f>_xlfn.XLOOKUP($A510,Games!$A$2:$A$18,Games!$F$2:$F$18,"Missing game",0)</x:f>
        <x:v>Sunday</x:v>
      </x:c>
      <x:c r="AL510" t="str">
        <x:f>_xlfn.XLOOKUP($A510,Games!$A$2:$A$18,Games!$G$2:$G$18,"Missing game",0)</x:f>
        <x:v>MIN</x:v>
      </x:c>
      <x:c r="AM510" t="n">
        <x:f>_xlfn.XLOOKUP($A510,Games!$A$2:$A$18,Games!$H$2:$H$18,"Missing game",0)</x:f>
        <x:v>21</x:v>
      </x:c>
      <x:c r="AN510" t="str">
        <x:f>_xlfn.XLOOKUP($A510,Games!$A$2:$A$18,Games!$I$2:$I$18,"Missing game",0)</x:f>
        <x:v>PIT</x:v>
      </x:c>
      <x:c r="AO510" t="n">
        <x:f>_xlfn.XLOOKUP($A510,Games!$A$2:$A$18,Games!$J$2:$J$18,"Missing game",0)</x:f>
        <x:v>24</x:v>
      </x:c>
      <x:c r="AP510" t="n">
        <x:f>_xlfn.XLOOKUP($A510,Games!$A$2:$A$18,Games!$K$2:$K$18,"Missing game",0)</x:f>
        <x:v>3</x:v>
      </x:c>
      <x:c r="AQ510" t="n">
        <x:f>_xlfn.XLOOKUP($A510,Games!$A$2:$A$18,Games!$L$2:$L$18,"Missing game",0)</x:f>
        <x:v>45</x:v>
      </x:c>
      <x:c r="AR510" t="n">
        <x:f>_xlfn.XLOOKUP($A510,Games!$A$2:$A$18,Games!$M$2:$M$18,"Missing game",0)</x:f>
        <x:v>0</x:v>
      </x:c>
      <x:c r="AS510" t="str">
        <x:f>_xlfn.XLOOKUP($A510,Games!$A$2:$A$18,Games!$N$2:$N$18,"Missing game",0)</x:f>
        <x:v>outdoors</x:v>
      </x:c>
      <x:c r="AT510" t="str">
        <x:f>_xlfn.XLOOKUP($A510,Games!$A$2:$A$18,Games!$O$2:$O$18,"Missing game",0)</x:f>
        <x:v>grass</x:v>
      </x:c>
      <x:c r="AU510" t="n">
        <x:f>_xlfn.XLOOKUP($A510,Games!$A$2:$A$18,Games!$P$2:$P$18,"Missing game",0)</x:f>
        <x:v>61</x:v>
      </x:c>
      <x:c r="AV510" t="n">
        <x:f>_xlfn.XLOOKUP($A510,Games!$A$2:$A$18,Games!$Q$2:$Q$18,"Missing game",0)</x:f>
        <x:v>5</x:v>
      </x:c>
      <x:c r="AW510" t="str">
        <x:f>_xlfn.XLOOKUP($A510,Games!$A$2:$A$18,Games!$R$2:$R$18,"Missing game",0)</x:f>
        <x:v>Acrisure Stadium</x:v>
      </x:c>
    </x:row>
    <x:row r="511">
      <x:c r="A511" t="str">
        <x:v>2025_04_MIN_PIT</x:v>
      </x:c>
      <x:c r="B511" t="n">
        <x:v>242</x:v>
      </x:c>
      <x:c r="C511" t="n">
        <x:v>1</x:v>
      </x:c>
      <x:c r="D511" t="str">
        <x:v>11:06</x:v>
      </x:c>
      <x:c r="E511" t="n">
        <x:v>2</x:v>
      </x:c>
      <x:c r="F511" t="n">
        <x:v>1</x:v>
      </x:c>
      <x:c r="G511" t="str">
        <x:v>MIN</x:v>
      </x:c>
      <x:c r="H511" t="str">
        <x:v>PIT</x:v>
      </x:c>
      <x:c r="I511" t="str">
        <x:v>MIN</x:v>
      </x:c>
      <x:c r="J511" t="n">
        <x:v>54</x:v>
      </x:c>
      <x:c r="K511" t="str">
        <x:v>(11:06) 27-J.Mason right guard to MIN 49 for 3 yards (25-D.Elliott).</x:v>
      </x:c>
      <x:c r="L511" t="str">
        <x:v>run</x:v>
      </x:c>
      <x:c r="M511" t="n">
        <x:v>3</x:v>
      </x:c>
      <x:c r="N511" t="n">
        <x:v>0</x:v>
      </x:c>
      <x:c r="O511" t="n">
        <x:v>0</x:v>
      </x:c>
      <x:c r="P511"/>
      <x:c r="Q511"/>
      <x:c r="R511"/>
      <x:c r="S511"/>
      <x:c r="T511" t="str">
        <x:v>right</x:v>
      </x:c>
      <x:c r="U511" t="str">
        <x:v>guard</x:v>
      </x:c>
      <x:c r="V511" t="n">
        <x:v>0</x:v>
      </x:c>
      <x:c r="W511" t="n">
        <x:v>1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/>
      <x:c r="AC511" t="n">
        <x:v>0</x:v>
      </x:c>
      <x:c r="AD511" t="n">
        <x:v>-0.05109423748217523</x:v>
      </x:c>
      <x:c r="AE511" t="n">
        <x:v>0</x:v>
      </x:c>
      <x:c r="AF511" t="n">
        <x:v>0.01657181978225708</x:v>
      </x:c>
      <x:c r="AG511" t="n">
        <x:f>_xlfn.XLOOKUP($A511,Games!$A$2:$A$18,Games!$B$2:$B$18,"Missing game",0)</x:f>
        <x:v>2025</x:v>
      </x:c>
      <x:c r="AH511" t="str">
        <x:f>_xlfn.XLOOKUP($A511,Games!$A$2:$A$18,Games!$C$2:$C$18,"Missing game",0)</x:f>
        <x:v>REG</x:v>
      </x:c>
      <x:c r="AI511" t="n">
        <x:f>_xlfn.XLOOKUP($A511,Games!$A$2:$A$18,Games!$D$2:$D$18,"Missing game",0)</x:f>
        <x:v>4</x:v>
      </x:c>
      <x:c r="AJ511" s="1" t="n">
        <x:f>_xlfn.XLOOKUP($A511,Games!$A$2:$A$18,Games!$E$2:$E$18,"Missing game",0)</x:f>
        <x:v>45928</x:v>
      </x:c>
      <x:c r="AK511" t="str">
        <x:f>_xlfn.XLOOKUP($A511,Games!$A$2:$A$18,Games!$F$2:$F$18,"Missing game",0)</x:f>
        <x:v>Sunday</x:v>
      </x:c>
      <x:c r="AL511" t="str">
        <x:f>_xlfn.XLOOKUP($A511,Games!$A$2:$A$18,Games!$G$2:$G$18,"Missing game",0)</x:f>
        <x:v>MIN</x:v>
      </x:c>
      <x:c r="AM511" t="n">
        <x:f>_xlfn.XLOOKUP($A511,Games!$A$2:$A$18,Games!$H$2:$H$18,"Missing game",0)</x:f>
        <x:v>21</x:v>
      </x:c>
      <x:c r="AN511" t="str">
        <x:f>_xlfn.XLOOKUP($A511,Games!$A$2:$A$18,Games!$I$2:$I$18,"Missing game",0)</x:f>
        <x:v>PIT</x:v>
      </x:c>
      <x:c r="AO511" t="n">
        <x:f>_xlfn.XLOOKUP($A511,Games!$A$2:$A$18,Games!$J$2:$J$18,"Missing game",0)</x:f>
        <x:v>24</x:v>
      </x:c>
      <x:c r="AP511" t="n">
        <x:f>_xlfn.XLOOKUP($A511,Games!$A$2:$A$18,Games!$K$2:$K$18,"Missing game",0)</x:f>
        <x:v>3</x:v>
      </x:c>
      <x:c r="AQ511" t="n">
        <x:f>_xlfn.XLOOKUP($A511,Games!$A$2:$A$18,Games!$L$2:$L$18,"Missing game",0)</x:f>
        <x:v>45</x:v>
      </x:c>
      <x:c r="AR511" t="n">
        <x:f>_xlfn.XLOOKUP($A511,Games!$A$2:$A$18,Games!$M$2:$M$18,"Missing game",0)</x:f>
        <x:v>0</x:v>
      </x:c>
      <x:c r="AS511" t="str">
        <x:f>_xlfn.XLOOKUP($A511,Games!$A$2:$A$18,Games!$N$2:$N$18,"Missing game",0)</x:f>
        <x:v>outdoors</x:v>
      </x:c>
      <x:c r="AT511" t="str">
        <x:f>_xlfn.XLOOKUP($A511,Games!$A$2:$A$18,Games!$O$2:$O$18,"Missing game",0)</x:f>
        <x:v>grass</x:v>
      </x:c>
      <x:c r="AU511" t="n">
        <x:f>_xlfn.XLOOKUP($A511,Games!$A$2:$A$18,Games!$P$2:$P$18,"Missing game",0)</x:f>
        <x:v>61</x:v>
      </x:c>
      <x:c r="AV511" t="n">
        <x:f>_xlfn.XLOOKUP($A511,Games!$A$2:$A$18,Games!$Q$2:$Q$18,"Missing game",0)</x:f>
        <x:v>5</x:v>
      </x:c>
      <x:c r="AW511" t="str">
        <x:f>_xlfn.XLOOKUP($A511,Games!$A$2:$A$18,Games!$R$2:$R$18,"Missing game",0)</x:f>
        <x:v>Acrisure Stadium</x:v>
      </x:c>
    </x:row>
    <x:row r="512">
      <x:c r="A512" t="str">
        <x:v>2025_04_MIN_PIT</x:v>
      </x:c>
      <x:c r="B512" t="n">
        <x:v>264</x:v>
      </x:c>
      <x:c r="C512" t="n">
        <x:v>1</x:v>
      </x:c>
      <x:c r="D512" t="str">
        <x:v>10:24</x:v>
      </x:c>
      <x:c r="E512" t="n">
        <x:v>1</x:v>
      </x:c>
      <x:c r="F512" t="n">
        <x:v>10</x:v>
      </x:c>
      <x:c r="G512" t="str">
        <x:v>MIN</x:v>
      </x:c>
      <x:c r="H512" t="str">
        <x:v>PIT</x:v>
      </x:c>
      <x:c r="I512" t="str">
        <x:v>MIN</x:v>
      </x:c>
      <x:c r="J512" t="n">
        <x:v>51</x:v>
      </x:c>
      <x:c r="K512" t="str">
        <x:v>(10:24) (Shotgun) 11-C.Wentz pass short right to 27-J.Mason to PIT 45 for 6 yards (41-P.Wilson; 90-T.Watt).</x:v>
      </x:c>
      <x:c r="L512" t="str">
        <x:v>pass</x:v>
      </x:c>
      <x:c r="M512" t="n">
        <x:v>6</x:v>
      </x:c>
      <x:c r="N512" t="n">
        <x:v>1</x:v>
      </x:c>
      <x:c r="O512" t="n">
        <x:v>0</x:v>
      </x:c>
      <x:c r="P512" t="str">
        <x:v>short</x:v>
      </x:c>
      <x:c r="Q512" t="str">
        <x:v>right</x:v>
      </x:c>
      <x:c r="R512" t="n">
        <x:v>-5</x:v>
      </x:c>
      <x:c r="S512" t="n">
        <x:v>11</x:v>
      </x:c>
      <x:c r="T512"/>
      <x:c r="U512"/>
      <x:c r="V512" t="n">
        <x:v>1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/>
      <x:c r="AC512" t="n">
        <x:v>0</x:v>
      </x:c>
      <x:c r="AD512" t="n">
        <x:v>0.28544420399703085</x:v>
      </x:c>
      <x:c r="AE512" t="n">
        <x:v>1</x:v>
      </x:c>
      <x:c r="AF512" t="n">
        <x:v>-0.010676681995391846</x:v>
      </x:c>
      <x:c r="AG512" t="n">
        <x:f>_xlfn.XLOOKUP($A512,Games!$A$2:$A$18,Games!$B$2:$B$18,"Missing game",0)</x:f>
        <x:v>2025</x:v>
      </x:c>
      <x:c r="AH512" t="str">
        <x:f>_xlfn.XLOOKUP($A512,Games!$A$2:$A$18,Games!$C$2:$C$18,"Missing game",0)</x:f>
        <x:v>REG</x:v>
      </x:c>
      <x:c r="AI512" t="n">
        <x:f>_xlfn.XLOOKUP($A512,Games!$A$2:$A$18,Games!$D$2:$D$18,"Missing game",0)</x:f>
        <x:v>4</x:v>
      </x:c>
      <x:c r="AJ512" s="1" t="n">
        <x:f>_xlfn.XLOOKUP($A512,Games!$A$2:$A$18,Games!$E$2:$E$18,"Missing game",0)</x:f>
        <x:v>45928</x:v>
      </x:c>
      <x:c r="AK512" t="str">
        <x:f>_xlfn.XLOOKUP($A512,Games!$A$2:$A$18,Games!$F$2:$F$18,"Missing game",0)</x:f>
        <x:v>Sunday</x:v>
      </x:c>
      <x:c r="AL512" t="str">
        <x:f>_xlfn.XLOOKUP($A512,Games!$A$2:$A$18,Games!$G$2:$G$18,"Missing game",0)</x:f>
        <x:v>MIN</x:v>
      </x:c>
      <x:c r="AM512" t="n">
        <x:f>_xlfn.XLOOKUP($A512,Games!$A$2:$A$18,Games!$H$2:$H$18,"Missing game",0)</x:f>
        <x:v>21</x:v>
      </x:c>
      <x:c r="AN512" t="str">
        <x:f>_xlfn.XLOOKUP($A512,Games!$A$2:$A$18,Games!$I$2:$I$18,"Missing game",0)</x:f>
        <x:v>PIT</x:v>
      </x:c>
      <x:c r="AO512" t="n">
        <x:f>_xlfn.XLOOKUP($A512,Games!$A$2:$A$18,Games!$J$2:$J$18,"Missing game",0)</x:f>
        <x:v>24</x:v>
      </x:c>
      <x:c r="AP512" t="n">
        <x:f>_xlfn.XLOOKUP($A512,Games!$A$2:$A$18,Games!$K$2:$K$18,"Missing game",0)</x:f>
        <x:v>3</x:v>
      </x:c>
      <x:c r="AQ512" t="n">
        <x:f>_xlfn.XLOOKUP($A512,Games!$A$2:$A$18,Games!$L$2:$L$18,"Missing game",0)</x:f>
        <x:v>45</x:v>
      </x:c>
      <x:c r="AR512" t="n">
        <x:f>_xlfn.XLOOKUP($A512,Games!$A$2:$A$18,Games!$M$2:$M$18,"Missing game",0)</x:f>
        <x:v>0</x:v>
      </x:c>
      <x:c r="AS512" t="str">
        <x:f>_xlfn.XLOOKUP($A512,Games!$A$2:$A$18,Games!$N$2:$N$18,"Missing game",0)</x:f>
        <x:v>outdoors</x:v>
      </x:c>
      <x:c r="AT512" t="str">
        <x:f>_xlfn.XLOOKUP($A512,Games!$A$2:$A$18,Games!$O$2:$O$18,"Missing game",0)</x:f>
        <x:v>grass</x:v>
      </x:c>
      <x:c r="AU512" t="n">
        <x:f>_xlfn.XLOOKUP($A512,Games!$A$2:$A$18,Games!$P$2:$P$18,"Missing game",0)</x:f>
        <x:v>61</x:v>
      </x:c>
      <x:c r="AV512" t="n">
        <x:f>_xlfn.XLOOKUP($A512,Games!$A$2:$A$18,Games!$Q$2:$Q$18,"Missing game",0)</x:f>
        <x:v>5</x:v>
      </x:c>
      <x:c r="AW512" t="str">
        <x:f>_xlfn.XLOOKUP($A512,Games!$A$2:$A$18,Games!$R$2:$R$18,"Missing game",0)</x:f>
        <x:v>Acrisure Stadium</x:v>
      </x:c>
    </x:row>
    <x:row r="513">
      <x:c r="A513" t="str">
        <x:v>2025_04_MIN_PIT</x:v>
      </x:c>
      <x:c r="B513" t="n">
        <x:v>289</x:v>
      </x:c>
      <x:c r="C513" t="n">
        <x:v>1</x:v>
      </x:c>
      <x:c r="D513" t="str">
        <x:v>09:47</x:v>
      </x:c>
      <x:c r="E513" t="n">
        <x:v>2</x:v>
      </x:c>
      <x:c r="F513" t="n">
        <x:v>4</x:v>
      </x:c>
      <x:c r="G513" t="str">
        <x:v>MIN</x:v>
      </x:c>
      <x:c r="H513" t="str">
        <x:v>PIT</x:v>
      </x:c>
      <x:c r="I513" t="str">
        <x:v>PIT</x:v>
      </x:c>
      <x:c r="J513" t="n">
        <x:v>45</x:v>
      </x:c>
      <x:c r="K513" t="str">
        <x:v>(9:47) 27-J.Mason left end to PIT 38 for 7 yards (21-C.Clark). FUMBLES (21-C.Clark), RECOVERED by PIT-5-J.Ramsey at PIT 38. 5-J.Ramsey for 62 yards, TOUCHDOWN. The Replay Official reviewed the ball was inbounds ruling, and the play was REVERSED. 27-J.Mason left end to PIT 38 for 7 yards (21-C.Clark). FUMBLES (21-C.Clark), ball out of bounds at PIT 38.</x:v>
      </x:c>
      <x:c r="L513" t="str">
        <x:v>run</x:v>
      </x:c>
      <x:c r="M513" t="n">
        <x:v>7</x:v>
      </x:c>
      <x:c r="N513" t="n">
        <x:v>0</x:v>
      </x:c>
      <x:c r="O513" t="n">
        <x:v>0</x:v>
      </x:c>
      <x:c r="P513"/>
      <x:c r="Q513"/>
      <x:c r="R513"/>
      <x:c r="S513"/>
      <x:c r="T513" t="str">
        <x:v>left</x:v>
      </x:c>
      <x:c r="U513" t="str">
        <x:v>end</x:v>
      </x:c>
      <x:c r="V513" t="n">
        <x:v>0</x:v>
      </x:c>
      <x:c r="W513" t="n">
        <x:v>1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/>
      <x:c r="AC513" t="n">
        <x:v>0</x:v>
      </x:c>
      <x:c r="AD513" t="n">
        <x:v>0.5954345630016178</x:v>
      </x:c>
      <x:c r="AE513" t="n">
        <x:v>1</x:v>
      </x:c>
      <x:c r="AF513" t="n">
        <x:v>0.059922993183135986</x:v>
      </x:c>
      <x:c r="AG513" t="n">
        <x:f>_xlfn.XLOOKUP($A513,Games!$A$2:$A$18,Games!$B$2:$B$18,"Missing game",0)</x:f>
        <x:v>2025</x:v>
      </x:c>
      <x:c r="AH513" t="str">
        <x:f>_xlfn.XLOOKUP($A513,Games!$A$2:$A$18,Games!$C$2:$C$18,"Missing game",0)</x:f>
        <x:v>REG</x:v>
      </x:c>
      <x:c r="AI513" t="n">
        <x:f>_xlfn.XLOOKUP($A513,Games!$A$2:$A$18,Games!$D$2:$D$18,"Missing game",0)</x:f>
        <x:v>4</x:v>
      </x:c>
      <x:c r="AJ513" s="1" t="n">
        <x:f>_xlfn.XLOOKUP($A513,Games!$A$2:$A$18,Games!$E$2:$E$18,"Missing game",0)</x:f>
        <x:v>45928</x:v>
      </x:c>
      <x:c r="AK513" t="str">
        <x:f>_xlfn.XLOOKUP($A513,Games!$A$2:$A$18,Games!$F$2:$F$18,"Missing game",0)</x:f>
        <x:v>Sunday</x:v>
      </x:c>
      <x:c r="AL513" t="str">
        <x:f>_xlfn.XLOOKUP($A513,Games!$A$2:$A$18,Games!$G$2:$G$18,"Missing game",0)</x:f>
        <x:v>MIN</x:v>
      </x:c>
      <x:c r="AM513" t="n">
        <x:f>_xlfn.XLOOKUP($A513,Games!$A$2:$A$18,Games!$H$2:$H$18,"Missing game",0)</x:f>
        <x:v>21</x:v>
      </x:c>
      <x:c r="AN513" t="str">
        <x:f>_xlfn.XLOOKUP($A513,Games!$A$2:$A$18,Games!$I$2:$I$18,"Missing game",0)</x:f>
        <x:v>PIT</x:v>
      </x:c>
      <x:c r="AO513" t="n">
        <x:f>_xlfn.XLOOKUP($A513,Games!$A$2:$A$18,Games!$J$2:$J$18,"Missing game",0)</x:f>
        <x:v>24</x:v>
      </x:c>
      <x:c r="AP513" t="n">
        <x:f>_xlfn.XLOOKUP($A513,Games!$A$2:$A$18,Games!$K$2:$K$18,"Missing game",0)</x:f>
        <x:v>3</x:v>
      </x:c>
      <x:c r="AQ513" t="n">
        <x:f>_xlfn.XLOOKUP($A513,Games!$A$2:$A$18,Games!$L$2:$L$18,"Missing game",0)</x:f>
        <x:v>45</x:v>
      </x:c>
      <x:c r="AR513" t="n">
        <x:f>_xlfn.XLOOKUP($A513,Games!$A$2:$A$18,Games!$M$2:$M$18,"Missing game",0)</x:f>
        <x:v>0</x:v>
      </x:c>
      <x:c r="AS513" t="str">
        <x:f>_xlfn.XLOOKUP($A513,Games!$A$2:$A$18,Games!$N$2:$N$18,"Missing game",0)</x:f>
        <x:v>outdoors</x:v>
      </x:c>
      <x:c r="AT513" t="str">
        <x:f>_xlfn.XLOOKUP($A513,Games!$A$2:$A$18,Games!$O$2:$O$18,"Missing game",0)</x:f>
        <x:v>grass</x:v>
      </x:c>
      <x:c r="AU513" t="n">
        <x:f>_xlfn.XLOOKUP($A513,Games!$A$2:$A$18,Games!$P$2:$P$18,"Missing game",0)</x:f>
        <x:v>61</x:v>
      </x:c>
      <x:c r="AV513" t="n">
        <x:f>_xlfn.XLOOKUP($A513,Games!$A$2:$A$18,Games!$Q$2:$Q$18,"Missing game",0)</x:f>
        <x:v>5</x:v>
      </x:c>
      <x:c r="AW513" t="str">
        <x:f>_xlfn.XLOOKUP($A513,Games!$A$2:$A$18,Games!$R$2:$R$18,"Missing game",0)</x:f>
        <x:v>Acrisure Stadium</x:v>
      </x:c>
    </x:row>
    <x:row r="514">
      <x:c r="A514" t="str">
        <x:v>2025_04_MIN_PIT</x:v>
      </x:c>
      <x:c r="B514" t="n">
        <x:v>323</x:v>
      </x:c>
      <x:c r="C514" t="n">
        <x:v>1</x:v>
      </x:c>
      <x:c r="D514" t="str">
        <x:v>09:28</x:v>
      </x:c>
      <x:c r="E514" t="n">
        <x:v>1</x:v>
      </x:c>
      <x:c r="F514" t="n">
        <x:v>10</x:v>
      </x:c>
      <x:c r="G514" t="str">
        <x:v>MIN</x:v>
      </x:c>
      <x:c r="H514" t="str">
        <x:v>PIT</x:v>
      </x:c>
      <x:c r="I514" t="str">
        <x:v>PIT</x:v>
      </x:c>
      <x:c r="J514" t="n">
        <x:v>38</x:v>
      </x:c>
      <x:c r="K514" t="str">
        <x:v>(9:28) (Shotgun) 11-C.Wentz pass deep middle to 18-J.Jefferson to PIT 16 for 22 yards (25-D.Elliott).</x:v>
      </x:c>
      <x:c r="L514" t="str">
        <x:v>pass</x:v>
      </x:c>
      <x:c r="M514" t="n">
        <x:v>22</x:v>
      </x:c>
      <x:c r="N514" t="n">
        <x:v>1</x:v>
      </x:c>
      <x:c r="O514" t="n">
        <x:v>0</x:v>
      </x:c>
      <x:c r="P514" t="str">
        <x:v>deep</x:v>
      </x:c>
      <x:c r="Q514" t="str">
        <x:v>middle</x:v>
      </x:c>
      <x:c r="R514" t="n">
        <x:v>17</x:v>
      </x:c>
      <x:c r="S514" t="n">
        <x:v>5</x:v>
      </x:c>
      <x:c r="T514"/>
      <x:c r="U514"/>
      <x:c r="V514" t="n">
        <x:v>1</x:v>
      </x:c>
      <x:c r="W514" t="n">
        <x:v>1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/>
      <x:c r="AC514" t="n">
        <x:v>0</x:v>
      </x:c>
      <x:c r="AD514" t="n">
        <x:v>1.416413227969315</x:v>
      </x:c>
      <x:c r="AE514" t="n">
        <x:v>1</x:v>
      </x:c>
      <x:c r="AF514" t="n">
        <x:v>0.024643778800964355</x:v>
      </x:c>
      <x:c r="AG514" t="n">
        <x:f>_xlfn.XLOOKUP($A514,Games!$A$2:$A$18,Games!$B$2:$B$18,"Missing game",0)</x:f>
        <x:v>2025</x:v>
      </x:c>
      <x:c r="AH514" t="str">
        <x:f>_xlfn.XLOOKUP($A514,Games!$A$2:$A$18,Games!$C$2:$C$18,"Missing game",0)</x:f>
        <x:v>REG</x:v>
      </x:c>
      <x:c r="AI514" t="n">
        <x:f>_xlfn.XLOOKUP($A514,Games!$A$2:$A$18,Games!$D$2:$D$18,"Missing game",0)</x:f>
        <x:v>4</x:v>
      </x:c>
      <x:c r="AJ514" s="1" t="n">
        <x:f>_xlfn.XLOOKUP($A514,Games!$A$2:$A$18,Games!$E$2:$E$18,"Missing game",0)</x:f>
        <x:v>45928</x:v>
      </x:c>
      <x:c r="AK514" t="str">
        <x:f>_xlfn.XLOOKUP($A514,Games!$A$2:$A$18,Games!$F$2:$F$18,"Missing game",0)</x:f>
        <x:v>Sunday</x:v>
      </x:c>
      <x:c r="AL514" t="str">
        <x:f>_xlfn.XLOOKUP($A514,Games!$A$2:$A$18,Games!$G$2:$G$18,"Missing game",0)</x:f>
        <x:v>MIN</x:v>
      </x:c>
      <x:c r="AM514" t="n">
        <x:f>_xlfn.XLOOKUP($A514,Games!$A$2:$A$18,Games!$H$2:$H$18,"Missing game",0)</x:f>
        <x:v>21</x:v>
      </x:c>
      <x:c r="AN514" t="str">
        <x:f>_xlfn.XLOOKUP($A514,Games!$A$2:$A$18,Games!$I$2:$I$18,"Missing game",0)</x:f>
        <x:v>PIT</x:v>
      </x:c>
      <x:c r="AO514" t="n">
        <x:f>_xlfn.XLOOKUP($A514,Games!$A$2:$A$18,Games!$J$2:$J$18,"Missing game",0)</x:f>
        <x:v>24</x:v>
      </x:c>
      <x:c r="AP514" t="n">
        <x:f>_xlfn.XLOOKUP($A514,Games!$A$2:$A$18,Games!$K$2:$K$18,"Missing game",0)</x:f>
        <x:v>3</x:v>
      </x:c>
      <x:c r="AQ514" t="n">
        <x:f>_xlfn.XLOOKUP($A514,Games!$A$2:$A$18,Games!$L$2:$L$18,"Missing game",0)</x:f>
        <x:v>45</x:v>
      </x:c>
      <x:c r="AR514" t="n">
        <x:f>_xlfn.XLOOKUP($A514,Games!$A$2:$A$18,Games!$M$2:$M$18,"Missing game",0)</x:f>
        <x:v>0</x:v>
      </x:c>
      <x:c r="AS514" t="str">
        <x:f>_xlfn.XLOOKUP($A514,Games!$A$2:$A$18,Games!$N$2:$N$18,"Missing game",0)</x:f>
        <x:v>outdoors</x:v>
      </x:c>
      <x:c r="AT514" t="str">
        <x:f>_xlfn.XLOOKUP($A514,Games!$A$2:$A$18,Games!$O$2:$O$18,"Missing game",0)</x:f>
        <x:v>grass</x:v>
      </x:c>
      <x:c r="AU514" t="n">
        <x:f>_xlfn.XLOOKUP($A514,Games!$A$2:$A$18,Games!$P$2:$P$18,"Missing game",0)</x:f>
        <x:v>61</x:v>
      </x:c>
      <x:c r="AV514" t="n">
        <x:f>_xlfn.XLOOKUP($A514,Games!$A$2:$A$18,Games!$Q$2:$Q$18,"Missing game",0)</x:f>
        <x:v>5</x:v>
      </x:c>
      <x:c r="AW514" t="str">
        <x:f>_xlfn.XLOOKUP($A514,Games!$A$2:$A$18,Games!$R$2:$R$18,"Missing game",0)</x:f>
        <x:v>Acrisure Stadium</x:v>
      </x:c>
    </x:row>
    <x:row r="515">
      <x:c r="A515" t="str">
        <x:v>2025_04_MIN_PIT</x:v>
      </x:c>
      <x:c r="B515" t="n">
        <x:v>358</x:v>
      </x:c>
      <x:c r="C515" t="n">
        <x:v>1</x:v>
      </x:c>
      <x:c r="D515" t="str">
        <x:v>08:49</x:v>
      </x:c>
      <x:c r="E515" t="n">
        <x:v>1</x:v>
      </x:c>
      <x:c r="F515" t="n">
        <x:v>10</x:v>
      </x:c>
      <x:c r="G515" t="str">
        <x:v>MIN</x:v>
      </x:c>
      <x:c r="H515" t="str">
        <x:v>PIT</x:v>
      </x:c>
      <x:c r="I515" t="str">
        <x:v>PIT</x:v>
      </x:c>
      <x:c r="J515" t="n">
        <x:v>16</x:v>
      </x:c>
      <x:c r="K515" t="str">
        <x:v>(8:49) 27-J.Mason up the middle to PIT 13 for 3 yards (51-N.Herbig; 25-D.Elliott).</x:v>
      </x:c>
      <x:c r="L515" t="str">
        <x:v>run</x:v>
      </x:c>
      <x:c r="M515" t="n">
        <x:v>3</x:v>
      </x:c>
      <x:c r="N515" t="n">
        <x:v>0</x:v>
      </x:c>
      <x:c r="O515" t="n">
        <x:v>0</x:v>
      </x:c>
      <x:c r="P515"/>
      <x:c r="Q515"/>
      <x:c r="R515"/>
      <x:c r="S515"/>
      <x:c r="T515" t="str">
        <x:v>middle</x:v>
      </x:c>
      <x:c r="U515"/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/>
      <x:c r="AC515" t="n">
        <x:v>0</x:v>
      </x:c>
      <x:c r="AD515" t="n">
        <x:v>-0.16735927911940962</x:v>
      </x:c>
      <x:c r="AE515" t="n">
        <x:v>0</x:v>
      </x:c>
      <x:c r="AF515" t="n">
        <x:v>-0.009923994541168213</x:v>
      </x:c>
      <x:c r="AG515" t="n">
        <x:f>_xlfn.XLOOKUP($A515,Games!$A$2:$A$18,Games!$B$2:$B$18,"Missing game",0)</x:f>
        <x:v>2025</x:v>
      </x:c>
      <x:c r="AH515" t="str">
        <x:f>_xlfn.XLOOKUP($A515,Games!$A$2:$A$18,Games!$C$2:$C$18,"Missing game",0)</x:f>
        <x:v>REG</x:v>
      </x:c>
      <x:c r="AI515" t="n">
        <x:f>_xlfn.XLOOKUP($A515,Games!$A$2:$A$18,Games!$D$2:$D$18,"Missing game",0)</x:f>
        <x:v>4</x:v>
      </x:c>
      <x:c r="AJ515" s="1" t="n">
        <x:f>_xlfn.XLOOKUP($A515,Games!$A$2:$A$18,Games!$E$2:$E$18,"Missing game",0)</x:f>
        <x:v>45928</x:v>
      </x:c>
      <x:c r="AK515" t="str">
        <x:f>_xlfn.XLOOKUP($A515,Games!$A$2:$A$18,Games!$F$2:$F$18,"Missing game",0)</x:f>
        <x:v>Sunday</x:v>
      </x:c>
      <x:c r="AL515" t="str">
        <x:f>_xlfn.XLOOKUP($A515,Games!$A$2:$A$18,Games!$G$2:$G$18,"Missing game",0)</x:f>
        <x:v>MIN</x:v>
      </x:c>
      <x:c r="AM515" t="n">
        <x:f>_xlfn.XLOOKUP($A515,Games!$A$2:$A$18,Games!$H$2:$H$18,"Missing game",0)</x:f>
        <x:v>21</x:v>
      </x:c>
      <x:c r="AN515" t="str">
        <x:f>_xlfn.XLOOKUP($A515,Games!$A$2:$A$18,Games!$I$2:$I$18,"Missing game",0)</x:f>
        <x:v>PIT</x:v>
      </x:c>
      <x:c r="AO515" t="n">
        <x:f>_xlfn.XLOOKUP($A515,Games!$A$2:$A$18,Games!$J$2:$J$18,"Missing game",0)</x:f>
        <x:v>24</x:v>
      </x:c>
      <x:c r="AP515" t="n">
        <x:f>_xlfn.XLOOKUP($A515,Games!$A$2:$A$18,Games!$K$2:$K$18,"Missing game",0)</x:f>
        <x:v>3</x:v>
      </x:c>
      <x:c r="AQ515" t="n">
        <x:f>_xlfn.XLOOKUP($A515,Games!$A$2:$A$18,Games!$L$2:$L$18,"Missing game",0)</x:f>
        <x:v>45</x:v>
      </x:c>
      <x:c r="AR515" t="n">
        <x:f>_xlfn.XLOOKUP($A515,Games!$A$2:$A$18,Games!$M$2:$M$18,"Missing game",0)</x:f>
        <x:v>0</x:v>
      </x:c>
      <x:c r="AS515" t="str">
        <x:f>_xlfn.XLOOKUP($A515,Games!$A$2:$A$18,Games!$N$2:$N$18,"Missing game",0)</x:f>
        <x:v>outdoors</x:v>
      </x:c>
      <x:c r="AT515" t="str">
        <x:f>_xlfn.XLOOKUP($A515,Games!$A$2:$A$18,Games!$O$2:$O$18,"Missing game",0)</x:f>
        <x:v>grass</x:v>
      </x:c>
      <x:c r="AU515" t="n">
        <x:f>_xlfn.XLOOKUP($A515,Games!$A$2:$A$18,Games!$P$2:$P$18,"Missing game",0)</x:f>
        <x:v>61</x:v>
      </x:c>
      <x:c r="AV515" t="n">
        <x:f>_xlfn.XLOOKUP($A515,Games!$A$2:$A$18,Games!$Q$2:$Q$18,"Missing game",0)</x:f>
        <x:v>5</x:v>
      </x:c>
      <x:c r="AW515" t="str">
        <x:f>_xlfn.XLOOKUP($A515,Games!$A$2:$A$18,Games!$R$2:$R$18,"Missing game",0)</x:f>
        <x:v>Acrisure Stadium</x:v>
      </x:c>
    </x:row>
    <x:row r="516">
      <x:c r="A516" t="str">
        <x:v>2025_04_MIN_PIT</x:v>
      </x:c>
      <x:c r="B516" t="n">
        <x:v>380</x:v>
      </x:c>
      <x:c r="C516" t="n">
        <x:v>1</x:v>
      </x:c>
      <x:c r="D516" t="str">
        <x:v>08:10</x:v>
      </x:c>
      <x:c r="E516" t="n">
        <x:v>2</x:v>
      </x:c>
      <x:c r="F516" t="n">
        <x:v>7</x:v>
      </x:c>
      <x:c r="G516" t="str">
        <x:v>MIN</x:v>
      </x:c>
      <x:c r="H516" t="str">
        <x:v>PIT</x:v>
      </x:c>
      <x:c r="I516" t="str">
        <x:v>PIT</x:v>
      </x:c>
      <x:c r="J516" t="n">
        <x:v>13</x:v>
      </x:c>
      <x:c r="K516" t="str">
        <x:v>(8:10) 11-C.Wentz pass short right to 18-J.Jefferson to PIT 6 for 7 yards (5-J.Ramsey; 22-J.Thornhill). PENALTY on MIN-76-W.Fries, Ineligible Downfield Pass, 5 yards, enforced at PIT 13 - No Play.</x:v>
      </x:c>
      <x:c r="L516" t="str">
        <x:v>no_play</x:v>
      </x:c>
      <x:c r="M516" t="n">
        <x:v>0</x:v>
      </x:c>
      <x:c r="N516" t="n">
        <x:v>0</x:v>
      </x:c>
      <x:c r="O516" t="n">
        <x:v>0</x:v>
      </x:c>
      <x:c r="P516"/>
      <x:c r="Q516"/>
      <x:c r="R516"/>
      <x:c r="S516"/>
      <x:c r="T516"/>
      <x:c r="U516"/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1</x:v>
      </x:c>
      <x:c r="AB516" t="n">
        <x:v>5</x:v>
      </x:c>
      <x:c r="AC516" t="n">
        <x:v>0</x:v>
      </x:c>
      <x:c r="AD516" t="n">
        <x:v>-0.679119493404869</x:v>
      </x:c>
      <x:c r="AE516" t="n">
        <x:v>0</x:v>
      </x:c>
      <x:c r="AF516" t="n">
        <x:v>-0.0021206140518188477</x:v>
      </x:c>
      <x:c r="AG516" t="n">
        <x:f>_xlfn.XLOOKUP($A516,Games!$A$2:$A$18,Games!$B$2:$B$18,"Missing game",0)</x:f>
        <x:v>2025</x:v>
      </x:c>
      <x:c r="AH516" t="str">
        <x:f>_xlfn.XLOOKUP($A516,Games!$A$2:$A$18,Games!$C$2:$C$18,"Missing game",0)</x:f>
        <x:v>REG</x:v>
      </x:c>
      <x:c r="AI516" t="n">
        <x:f>_xlfn.XLOOKUP($A516,Games!$A$2:$A$18,Games!$D$2:$D$18,"Missing game",0)</x:f>
        <x:v>4</x:v>
      </x:c>
      <x:c r="AJ516" s="1" t="n">
        <x:f>_xlfn.XLOOKUP($A516,Games!$A$2:$A$18,Games!$E$2:$E$18,"Missing game",0)</x:f>
        <x:v>45928</x:v>
      </x:c>
      <x:c r="AK516" t="str">
        <x:f>_xlfn.XLOOKUP($A516,Games!$A$2:$A$18,Games!$F$2:$F$18,"Missing game",0)</x:f>
        <x:v>Sunday</x:v>
      </x:c>
      <x:c r="AL516" t="str">
        <x:f>_xlfn.XLOOKUP($A516,Games!$A$2:$A$18,Games!$G$2:$G$18,"Missing game",0)</x:f>
        <x:v>MIN</x:v>
      </x:c>
      <x:c r="AM516" t="n">
        <x:f>_xlfn.XLOOKUP($A516,Games!$A$2:$A$18,Games!$H$2:$H$18,"Missing game",0)</x:f>
        <x:v>21</x:v>
      </x:c>
      <x:c r="AN516" t="str">
        <x:f>_xlfn.XLOOKUP($A516,Games!$A$2:$A$18,Games!$I$2:$I$18,"Missing game",0)</x:f>
        <x:v>PIT</x:v>
      </x:c>
      <x:c r="AO516" t="n">
        <x:f>_xlfn.XLOOKUP($A516,Games!$A$2:$A$18,Games!$J$2:$J$18,"Missing game",0)</x:f>
        <x:v>24</x:v>
      </x:c>
      <x:c r="AP516" t="n">
        <x:f>_xlfn.XLOOKUP($A516,Games!$A$2:$A$18,Games!$K$2:$K$18,"Missing game",0)</x:f>
        <x:v>3</x:v>
      </x:c>
      <x:c r="AQ516" t="n">
        <x:f>_xlfn.XLOOKUP($A516,Games!$A$2:$A$18,Games!$L$2:$L$18,"Missing game",0)</x:f>
        <x:v>45</x:v>
      </x:c>
      <x:c r="AR516" t="n">
        <x:f>_xlfn.XLOOKUP($A516,Games!$A$2:$A$18,Games!$M$2:$M$18,"Missing game",0)</x:f>
        <x:v>0</x:v>
      </x:c>
      <x:c r="AS516" t="str">
        <x:f>_xlfn.XLOOKUP($A516,Games!$A$2:$A$18,Games!$N$2:$N$18,"Missing game",0)</x:f>
        <x:v>outdoors</x:v>
      </x:c>
      <x:c r="AT516" t="str">
        <x:f>_xlfn.XLOOKUP($A516,Games!$A$2:$A$18,Games!$O$2:$O$18,"Missing game",0)</x:f>
        <x:v>grass</x:v>
      </x:c>
      <x:c r="AU516" t="n">
        <x:f>_xlfn.XLOOKUP($A516,Games!$A$2:$A$18,Games!$P$2:$P$18,"Missing game",0)</x:f>
        <x:v>61</x:v>
      </x:c>
      <x:c r="AV516" t="n">
        <x:f>_xlfn.XLOOKUP($A516,Games!$A$2:$A$18,Games!$Q$2:$Q$18,"Missing game",0)</x:f>
        <x:v>5</x:v>
      </x:c>
      <x:c r="AW516" t="str">
        <x:f>_xlfn.XLOOKUP($A516,Games!$A$2:$A$18,Games!$R$2:$R$18,"Missing game",0)</x:f>
        <x:v>Acrisure Stadium</x:v>
      </x:c>
    </x:row>
    <x:row r="517">
      <x:c r="A517" t="str">
        <x:v>2025_04_MIN_PIT</x:v>
      </x:c>
      <x:c r="B517" t="n">
        <x:v>457</x:v>
      </x:c>
      <x:c r="C517" t="n">
        <x:v>1</x:v>
      </x:c>
      <x:c r="D517" t="str">
        <x:v>07:44</x:v>
      </x:c>
      <x:c r="E517" t="n">
        <x:v>2</x:v>
      </x:c>
      <x:c r="F517" t="n">
        <x:v>12</x:v>
      </x:c>
      <x:c r="G517" t="str">
        <x:v>MIN</x:v>
      </x:c>
      <x:c r="H517" t="str">
        <x:v>PIT</x:v>
      </x:c>
      <x:c r="I517" t="str">
        <x:v>PIT</x:v>
      </x:c>
      <x:c r="J517" t="n">
        <x:v>18</x:v>
      </x:c>
      <x:c r="K517" t="str">
        <x:v>(7:44) (Shotgun) 11-C.Wentz pass short right to 18-J.Jefferson to PIT 15 for 3 yards (55-C.Holcomb).</x:v>
      </x:c>
      <x:c r="L517" t="str">
        <x:v>pass</x:v>
      </x:c>
      <x:c r="M517" t="n">
        <x:v>3</x:v>
      </x:c>
      <x:c r="N517" t="n">
        <x:v>1</x:v>
      </x:c>
      <x:c r="O517" t="n">
        <x:v>0</x:v>
      </x:c>
      <x:c r="P517" t="str">
        <x:v>short</x:v>
      </x:c>
      <x:c r="Q517" t="str">
        <x:v>right</x:v>
      </x:c>
      <x:c r="R517" t="n">
        <x:v>3</x:v>
      </x:c>
      <x:c r="S517" t="n">
        <x:v>0</x:v>
      </x:c>
      <x:c r="T517"/>
      <x:c r="U517"/>
      <x:c r="V517" t="n">
        <x:v>1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/>
      <x:c r="AC517" t="n">
        <x:v>0</x:v>
      </x:c>
      <x:c r="AD517" t="n">
        <x:v>-0.28062613622751087</x:v>
      </x:c>
      <x:c r="AE517" t="n">
        <x:v>0</x:v>
      </x:c>
      <x:c r="AF517" t="n">
        <x:v>-0.02228987216949463</x:v>
      </x:c>
      <x:c r="AG517" t="n">
        <x:f>_xlfn.XLOOKUP($A517,Games!$A$2:$A$18,Games!$B$2:$B$18,"Missing game",0)</x:f>
        <x:v>2025</x:v>
      </x:c>
      <x:c r="AH517" t="str">
        <x:f>_xlfn.XLOOKUP($A517,Games!$A$2:$A$18,Games!$C$2:$C$18,"Missing game",0)</x:f>
        <x:v>REG</x:v>
      </x:c>
      <x:c r="AI517" t="n">
        <x:f>_xlfn.XLOOKUP($A517,Games!$A$2:$A$18,Games!$D$2:$D$18,"Missing game",0)</x:f>
        <x:v>4</x:v>
      </x:c>
      <x:c r="AJ517" s="1" t="n">
        <x:f>_xlfn.XLOOKUP($A517,Games!$A$2:$A$18,Games!$E$2:$E$18,"Missing game",0)</x:f>
        <x:v>45928</x:v>
      </x:c>
      <x:c r="AK517" t="str">
        <x:f>_xlfn.XLOOKUP($A517,Games!$A$2:$A$18,Games!$F$2:$F$18,"Missing game",0)</x:f>
        <x:v>Sunday</x:v>
      </x:c>
      <x:c r="AL517" t="str">
        <x:f>_xlfn.XLOOKUP($A517,Games!$A$2:$A$18,Games!$G$2:$G$18,"Missing game",0)</x:f>
        <x:v>MIN</x:v>
      </x:c>
      <x:c r="AM517" t="n">
        <x:f>_xlfn.XLOOKUP($A517,Games!$A$2:$A$18,Games!$H$2:$H$18,"Missing game",0)</x:f>
        <x:v>21</x:v>
      </x:c>
      <x:c r="AN517" t="str">
        <x:f>_xlfn.XLOOKUP($A517,Games!$A$2:$A$18,Games!$I$2:$I$18,"Missing game",0)</x:f>
        <x:v>PIT</x:v>
      </x:c>
      <x:c r="AO517" t="n">
        <x:f>_xlfn.XLOOKUP($A517,Games!$A$2:$A$18,Games!$J$2:$J$18,"Missing game",0)</x:f>
        <x:v>24</x:v>
      </x:c>
      <x:c r="AP517" t="n">
        <x:f>_xlfn.XLOOKUP($A517,Games!$A$2:$A$18,Games!$K$2:$K$18,"Missing game",0)</x:f>
        <x:v>3</x:v>
      </x:c>
      <x:c r="AQ517" t="n">
        <x:f>_xlfn.XLOOKUP($A517,Games!$A$2:$A$18,Games!$L$2:$L$18,"Missing game",0)</x:f>
        <x:v>45</x:v>
      </x:c>
      <x:c r="AR517" t="n">
        <x:f>_xlfn.XLOOKUP($A517,Games!$A$2:$A$18,Games!$M$2:$M$18,"Missing game",0)</x:f>
        <x:v>0</x:v>
      </x:c>
      <x:c r="AS517" t="str">
        <x:f>_xlfn.XLOOKUP($A517,Games!$A$2:$A$18,Games!$N$2:$N$18,"Missing game",0)</x:f>
        <x:v>outdoors</x:v>
      </x:c>
      <x:c r="AT517" t="str">
        <x:f>_xlfn.XLOOKUP($A517,Games!$A$2:$A$18,Games!$O$2:$O$18,"Missing game",0)</x:f>
        <x:v>grass</x:v>
      </x:c>
      <x:c r="AU517" t="n">
        <x:f>_xlfn.XLOOKUP($A517,Games!$A$2:$A$18,Games!$P$2:$P$18,"Missing game",0)</x:f>
        <x:v>61</x:v>
      </x:c>
      <x:c r="AV517" t="n">
        <x:f>_xlfn.XLOOKUP($A517,Games!$A$2:$A$18,Games!$Q$2:$Q$18,"Missing game",0)</x:f>
        <x:v>5</x:v>
      </x:c>
      <x:c r="AW517" t="str">
        <x:f>_xlfn.XLOOKUP($A517,Games!$A$2:$A$18,Games!$R$2:$R$18,"Missing game",0)</x:f>
        <x:v>Acrisure Stadium</x:v>
      </x:c>
    </x:row>
    <x:row r="518">
      <x:c r="A518" t="str">
        <x:v>2025_04_MIN_PIT</x:v>
      </x:c>
      <x:c r="B518" t="n">
        <x:v>482</x:v>
      </x:c>
      <x:c r="C518" t="n">
        <x:v>1</x:v>
      </x:c>
      <x:c r="D518" t="str">
        <x:v>07:06</x:v>
      </x:c>
      <x:c r="E518" t="n">
        <x:v>3</x:v>
      </x:c>
      <x:c r="F518" t="n">
        <x:v>9</x:v>
      </x:c>
      <x:c r="G518" t="str">
        <x:v>MIN</x:v>
      </x:c>
      <x:c r="H518" t="str">
        <x:v>PIT</x:v>
      </x:c>
      <x:c r="I518" t="str">
        <x:v>PIT</x:v>
      </x:c>
      <x:c r="J518" t="n">
        <x:v>15</x:v>
      </x:c>
      <x:c r="K518" t="str">
        <x:v>(7:06) (Shotgun) 11-C.Wentz sacked at PIT 23 for -8 yards (6-P.Queen).</x:v>
      </x:c>
      <x:c r="L518" t="str">
        <x:v>pass</x:v>
      </x:c>
      <x:c r="M518" t="n">
        <x:v>-8</x:v>
      </x:c>
      <x:c r="N518" t="n">
        <x:v>1</x:v>
      </x:c>
      <x:c r="O518" t="n">
        <x:v>0</x:v>
      </x:c>
      <x:c r="P518"/>
      <x:c r="Q518"/>
      <x:c r="R518"/>
      <x:c r="S518"/>
      <x:c r="T518"/>
      <x:c r="U518"/>
      <x:c r="V518" t="n">
        <x:v>0</x:v>
      </x:c>
      <x:c r="W518" t="n">
        <x:v>0</x:v>
      </x:c>
      <x:c r="X518" t="n">
        <x:v>1</x:v>
      </x:c>
      <x:c r="Y518" t="n">
        <x:v>0</x:v>
      </x:c>
      <x:c r="Z518" t="n">
        <x:v>0</x:v>
      </x:c>
      <x:c r="AA518" t="n">
        <x:v>0</x:v>
      </x:c>
      <x:c r="AB518"/>
      <x:c r="AC518" t="n">
        <x:v>0</x:v>
      </x:c>
      <x:c r="AD518" t="n">
        <x:v>-1.3366835341893322</x:v>
      </x:c>
      <x:c r="AE518" t="n">
        <x:v>0</x:v>
      </x:c>
      <x:c r="AF518" t="n">
        <x:v>-0.03735250234603882</x:v>
      </x:c>
      <x:c r="AG518" t="n">
        <x:f>_xlfn.XLOOKUP($A518,Games!$A$2:$A$18,Games!$B$2:$B$18,"Missing game",0)</x:f>
        <x:v>2025</x:v>
      </x:c>
      <x:c r="AH518" t="str">
        <x:f>_xlfn.XLOOKUP($A518,Games!$A$2:$A$18,Games!$C$2:$C$18,"Missing game",0)</x:f>
        <x:v>REG</x:v>
      </x:c>
      <x:c r="AI518" t="n">
        <x:f>_xlfn.XLOOKUP($A518,Games!$A$2:$A$18,Games!$D$2:$D$18,"Missing game",0)</x:f>
        <x:v>4</x:v>
      </x:c>
      <x:c r="AJ518" s="1" t="n">
        <x:f>_xlfn.XLOOKUP($A518,Games!$A$2:$A$18,Games!$E$2:$E$18,"Missing game",0)</x:f>
        <x:v>45928</x:v>
      </x:c>
      <x:c r="AK518" t="str">
        <x:f>_xlfn.XLOOKUP($A518,Games!$A$2:$A$18,Games!$F$2:$F$18,"Missing game",0)</x:f>
        <x:v>Sunday</x:v>
      </x:c>
      <x:c r="AL518" t="str">
        <x:f>_xlfn.XLOOKUP($A518,Games!$A$2:$A$18,Games!$G$2:$G$18,"Missing game",0)</x:f>
        <x:v>MIN</x:v>
      </x:c>
      <x:c r="AM518" t="n">
        <x:f>_xlfn.XLOOKUP($A518,Games!$A$2:$A$18,Games!$H$2:$H$18,"Missing game",0)</x:f>
        <x:v>21</x:v>
      </x:c>
      <x:c r="AN518" t="str">
        <x:f>_xlfn.XLOOKUP($A518,Games!$A$2:$A$18,Games!$I$2:$I$18,"Missing game",0)</x:f>
        <x:v>PIT</x:v>
      </x:c>
      <x:c r="AO518" t="n">
        <x:f>_xlfn.XLOOKUP($A518,Games!$A$2:$A$18,Games!$J$2:$J$18,"Missing game",0)</x:f>
        <x:v>24</x:v>
      </x:c>
      <x:c r="AP518" t="n">
        <x:f>_xlfn.XLOOKUP($A518,Games!$A$2:$A$18,Games!$K$2:$K$18,"Missing game",0)</x:f>
        <x:v>3</x:v>
      </x:c>
      <x:c r="AQ518" t="n">
        <x:f>_xlfn.XLOOKUP($A518,Games!$A$2:$A$18,Games!$L$2:$L$18,"Missing game",0)</x:f>
        <x:v>45</x:v>
      </x:c>
      <x:c r="AR518" t="n">
        <x:f>_xlfn.XLOOKUP($A518,Games!$A$2:$A$18,Games!$M$2:$M$18,"Missing game",0)</x:f>
        <x:v>0</x:v>
      </x:c>
      <x:c r="AS518" t="str">
        <x:f>_xlfn.XLOOKUP($A518,Games!$A$2:$A$18,Games!$N$2:$N$18,"Missing game",0)</x:f>
        <x:v>outdoors</x:v>
      </x:c>
      <x:c r="AT518" t="str">
        <x:f>_xlfn.XLOOKUP($A518,Games!$A$2:$A$18,Games!$O$2:$O$18,"Missing game",0)</x:f>
        <x:v>grass</x:v>
      </x:c>
      <x:c r="AU518" t="n">
        <x:f>_xlfn.XLOOKUP($A518,Games!$A$2:$A$18,Games!$P$2:$P$18,"Missing game",0)</x:f>
        <x:v>61</x:v>
      </x:c>
      <x:c r="AV518" t="n">
        <x:f>_xlfn.XLOOKUP($A518,Games!$A$2:$A$18,Games!$Q$2:$Q$18,"Missing game",0)</x:f>
        <x:v>5</x:v>
      </x:c>
      <x:c r="AW518" t="str">
        <x:f>_xlfn.XLOOKUP($A518,Games!$A$2:$A$18,Games!$R$2:$R$18,"Missing game",0)</x:f>
        <x:v>Acrisure Stadium</x:v>
      </x:c>
    </x:row>
    <x:row r="519">
      <x:c r="A519" t="str">
        <x:v>2025_04_MIN_PIT</x:v>
      </x:c>
      <x:c r="B519" t="n">
        <x:v>502</x:v>
      </x:c>
      <x:c r="C519" t="n">
        <x:v>1</x:v>
      </x:c>
      <x:c r="D519" t="str">
        <x:v>06:28</x:v>
      </x:c>
      <x:c r="E519" t="n">
        <x:v>4</x:v>
      </x:c>
      <x:c r="F519" t="n">
        <x:v>17</x:v>
      </x:c>
      <x:c r="G519" t="str">
        <x:v>MIN</x:v>
      </x:c>
      <x:c r="H519" t="str">
        <x:v>PIT</x:v>
      </x:c>
      <x:c r="I519" t="str">
        <x:v>PIT</x:v>
      </x:c>
      <x:c r="J519" t="n">
        <x:v>23</x:v>
      </x:c>
      <x:c r="K519" t="str">
        <x:v>(6:28) 16-W.Reichard 41 yard field goal is GOOD, Center-42-A.DePaola, Holder-17-R.Wright. MIN-75-B.O'Neill was injured during the play.</x:v>
      </x:c>
      <x:c r="L519" t="str">
        <x:v>field_goal</x:v>
      </x:c>
      <x:c r="M519" t="n">
        <x:v>0</x:v>
      </x:c>
      <x:c r="N519" t="n">
        <x:v>0</x:v>
      </x:c>
      <x:c r="O519" t="n">
        <x:v>0</x:v>
      </x:c>
      <x:c r="P519"/>
      <x:c r="Q519"/>
      <x:c r="R519"/>
      <x:c r="S519"/>
      <x:c r="T519"/>
      <x:c r="U519"/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/>
      <x:c r="AC519" t="n">
        <x:v>0</x:v>
      </x:c>
      <x:c r="AD519" t="n">
        <x:v>0.6986151002219132</x:v>
      </x:c>
      <x:c r="AE519" t="n">
        <x:v>1</x:v>
      </x:c>
      <x:c r="AF519" t="n">
        <x:v>0.011747479438781738</x:v>
      </x:c>
      <x:c r="AG519" t="n">
        <x:f>_xlfn.XLOOKUP($A519,Games!$A$2:$A$18,Games!$B$2:$B$18,"Missing game",0)</x:f>
        <x:v>2025</x:v>
      </x:c>
      <x:c r="AH519" t="str">
        <x:f>_xlfn.XLOOKUP($A519,Games!$A$2:$A$18,Games!$C$2:$C$18,"Missing game",0)</x:f>
        <x:v>REG</x:v>
      </x:c>
      <x:c r="AI519" t="n">
        <x:f>_xlfn.XLOOKUP($A519,Games!$A$2:$A$18,Games!$D$2:$D$18,"Missing game",0)</x:f>
        <x:v>4</x:v>
      </x:c>
      <x:c r="AJ519" s="1" t="n">
        <x:f>_xlfn.XLOOKUP($A519,Games!$A$2:$A$18,Games!$E$2:$E$18,"Missing game",0)</x:f>
        <x:v>45928</x:v>
      </x:c>
      <x:c r="AK519" t="str">
        <x:f>_xlfn.XLOOKUP($A519,Games!$A$2:$A$18,Games!$F$2:$F$18,"Missing game",0)</x:f>
        <x:v>Sunday</x:v>
      </x:c>
      <x:c r="AL519" t="str">
        <x:f>_xlfn.XLOOKUP($A519,Games!$A$2:$A$18,Games!$G$2:$G$18,"Missing game",0)</x:f>
        <x:v>MIN</x:v>
      </x:c>
      <x:c r="AM519" t="n">
        <x:f>_xlfn.XLOOKUP($A519,Games!$A$2:$A$18,Games!$H$2:$H$18,"Missing game",0)</x:f>
        <x:v>21</x:v>
      </x:c>
      <x:c r="AN519" t="str">
        <x:f>_xlfn.XLOOKUP($A519,Games!$A$2:$A$18,Games!$I$2:$I$18,"Missing game",0)</x:f>
        <x:v>PIT</x:v>
      </x:c>
      <x:c r="AO519" t="n">
        <x:f>_xlfn.XLOOKUP($A519,Games!$A$2:$A$18,Games!$J$2:$J$18,"Missing game",0)</x:f>
        <x:v>24</x:v>
      </x:c>
      <x:c r="AP519" t="n">
        <x:f>_xlfn.XLOOKUP($A519,Games!$A$2:$A$18,Games!$K$2:$K$18,"Missing game",0)</x:f>
        <x:v>3</x:v>
      </x:c>
      <x:c r="AQ519" t="n">
        <x:f>_xlfn.XLOOKUP($A519,Games!$A$2:$A$18,Games!$L$2:$L$18,"Missing game",0)</x:f>
        <x:v>45</x:v>
      </x:c>
      <x:c r="AR519" t="n">
        <x:f>_xlfn.XLOOKUP($A519,Games!$A$2:$A$18,Games!$M$2:$M$18,"Missing game",0)</x:f>
        <x:v>0</x:v>
      </x:c>
      <x:c r="AS519" t="str">
        <x:f>_xlfn.XLOOKUP($A519,Games!$A$2:$A$18,Games!$N$2:$N$18,"Missing game",0)</x:f>
        <x:v>outdoors</x:v>
      </x:c>
      <x:c r="AT519" t="str">
        <x:f>_xlfn.XLOOKUP($A519,Games!$A$2:$A$18,Games!$O$2:$O$18,"Missing game",0)</x:f>
        <x:v>grass</x:v>
      </x:c>
      <x:c r="AU519" t="n">
        <x:f>_xlfn.XLOOKUP($A519,Games!$A$2:$A$18,Games!$P$2:$P$18,"Missing game",0)</x:f>
        <x:v>61</x:v>
      </x:c>
      <x:c r="AV519" t="n">
        <x:f>_xlfn.XLOOKUP($A519,Games!$A$2:$A$18,Games!$Q$2:$Q$18,"Missing game",0)</x:f>
        <x:v>5</x:v>
      </x:c>
      <x:c r="AW519" t="str">
        <x:f>_xlfn.XLOOKUP($A519,Games!$A$2:$A$18,Games!$R$2:$R$18,"Missing game",0)</x:f>
        <x:v>Acrisure Stadium</x:v>
      </x:c>
    </x:row>
    <x:row r="520">
      <x:c r="A520" t="str">
        <x:v>2025_04_MIN_PIT</x:v>
      </x:c>
      <x:c r="B520" t="n">
        <x:v>522</x:v>
      </x:c>
      <x:c r="C520" t="n">
        <x:v>1</x:v>
      </x:c>
      <x:c r="D520" t="str">
        <x:v>06:24</x:v>
      </x:c>
      <x:c r="E520"/>
      <x:c r="F520" t="n">
        <x:v>0</x:v>
      </x:c>
      <x:c r="G520" t="str">
        <x:v>PIT</x:v>
      </x:c>
      <x:c r="H520" t="str">
        <x:v>MIN</x:v>
      </x:c>
      <x:c r="I520" t="str">
        <x:v>MIN</x:v>
      </x:c>
      <x:c r="J520" t="n">
        <x:v>35</x:v>
      </x:c>
      <x:c r="K520" t="str">
        <x:v>16-W.Reichard kicks 61 yards from MIN 35 to PIT 4. 37-T.Sermon to PIT 29 for 25 yards (99-E.Williams).</x:v>
      </x:c>
      <x:c r="L520" t="str">
        <x:v>kickoff</x:v>
      </x:c>
      <x:c r="M520" t="n">
        <x:v>0</x:v>
      </x:c>
      <x:c r="N520" t="n">
        <x:v>0</x:v>
      </x:c>
      <x:c r="O520" t="n">
        <x:v>0</x:v>
      </x:c>
      <x:c r="P520"/>
      <x:c r="Q520"/>
      <x:c r="R520"/>
      <x:c r="S520"/>
      <x:c r="T520"/>
      <x:c r="U520"/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/>
      <x:c r="AC520" t="n">
        <x:v>0</x:v>
      </x:c>
      <x:c r="AD520" t="n">
        <x:v>0.2937777768820524</x:v>
      </x:c>
      <x:c r="AE520" t="n">
        <x:v>1</x:v>
      </x:c>
      <x:c r="AF520" t="n">
        <x:v>0.0068142712116241455</x:v>
      </x:c>
      <x:c r="AG520" t="n">
        <x:f>_xlfn.XLOOKUP($A520,Games!$A$2:$A$18,Games!$B$2:$B$18,"Missing game",0)</x:f>
        <x:v>2025</x:v>
      </x:c>
      <x:c r="AH520" t="str">
        <x:f>_xlfn.XLOOKUP($A520,Games!$A$2:$A$18,Games!$C$2:$C$18,"Missing game",0)</x:f>
        <x:v>REG</x:v>
      </x:c>
      <x:c r="AI520" t="n">
        <x:f>_xlfn.XLOOKUP($A520,Games!$A$2:$A$18,Games!$D$2:$D$18,"Missing game",0)</x:f>
        <x:v>4</x:v>
      </x:c>
      <x:c r="AJ520" s="1" t="n">
        <x:f>_xlfn.XLOOKUP($A520,Games!$A$2:$A$18,Games!$E$2:$E$18,"Missing game",0)</x:f>
        <x:v>45928</x:v>
      </x:c>
      <x:c r="AK520" t="str">
        <x:f>_xlfn.XLOOKUP($A520,Games!$A$2:$A$18,Games!$F$2:$F$18,"Missing game",0)</x:f>
        <x:v>Sunday</x:v>
      </x:c>
      <x:c r="AL520" t="str">
        <x:f>_xlfn.XLOOKUP($A520,Games!$A$2:$A$18,Games!$G$2:$G$18,"Missing game",0)</x:f>
        <x:v>MIN</x:v>
      </x:c>
      <x:c r="AM520" t="n">
        <x:f>_xlfn.XLOOKUP($A520,Games!$A$2:$A$18,Games!$H$2:$H$18,"Missing game",0)</x:f>
        <x:v>21</x:v>
      </x:c>
      <x:c r="AN520" t="str">
        <x:f>_xlfn.XLOOKUP($A520,Games!$A$2:$A$18,Games!$I$2:$I$18,"Missing game",0)</x:f>
        <x:v>PIT</x:v>
      </x:c>
      <x:c r="AO520" t="n">
        <x:f>_xlfn.XLOOKUP($A520,Games!$A$2:$A$18,Games!$J$2:$J$18,"Missing game",0)</x:f>
        <x:v>24</x:v>
      </x:c>
      <x:c r="AP520" t="n">
        <x:f>_xlfn.XLOOKUP($A520,Games!$A$2:$A$18,Games!$K$2:$K$18,"Missing game",0)</x:f>
        <x:v>3</x:v>
      </x:c>
      <x:c r="AQ520" t="n">
        <x:f>_xlfn.XLOOKUP($A520,Games!$A$2:$A$18,Games!$L$2:$L$18,"Missing game",0)</x:f>
        <x:v>45</x:v>
      </x:c>
      <x:c r="AR520" t="n">
        <x:f>_xlfn.XLOOKUP($A520,Games!$A$2:$A$18,Games!$M$2:$M$18,"Missing game",0)</x:f>
        <x:v>0</x:v>
      </x:c>
      <x:c r="AS520" t="str">
        <x:f>_xlfn.XLOOKUP($A520,Games!$A$2:$A$18,Games!$N$2:$N$18,"Missing game",0)</x:f>
        <x:v>outdoors</x:v>
      </x:c>
      <x:c r="AT520" t="str">
        <x:f>_xlfn.XLOOKUP($A520,Games!$A$2:$A$18,Games!$O$2:$O$18,"Missing game",0)</x:f>
        <x:v>grass</x:v>
      </x:c>
      <x:c r="AU520" t="n">
        <x:f>_xlfn.XLOOKUP($A520,Games!$A$2:$A$18,Games!$P$2:$P$18,"Missing game",0)</x:f>
        <x:v>61</x:v>
      </x:c>
      <x:c r="AV520" t="n">
        <x:f>_xlfn.XLOOKUP($A520,Games!$A$2:$A$18,Games!$Q$2:$Q$18,"Missing game",0)</x:f>
        <x:v>5</x:v>
      </x:c>
      <x:c r="AW520" t="str">
        <x:f>_xlfn.XLOOKUP($A520,Games!$A$2:$A$18,Games!$R$2:$R$18,"Missing game",0)</x:f>
        <x:v>Acrisure Stadium</x:v>
      </x:c>
    </x:row>
    <x:row r="521">
      <x:c r="A521" t="str">
        <x:v>2025_04_MIN_PIT</x:v>
      </x:c>
      <x:c r="B521" t="n">
        <x:v>558</x:v>
      </x:c>
      <x:c r="C521" t="n">
        <x:v>1</x:v>
      </x:c>
      <x:c r="D521" t="str">
        <x:v>06:19</x:v>
      </x:c>
      <x:c r="E521" t="n">
        <x:v>1</x:v>
      </x:c>
      <x:c r="F521" t="n">
        <x:v>10</x:v>
      </x:c>
      <x:c r="G521" t="str">
        <x:v>PIT</x:v>
      </x:c>
      <x:c r="H521" t="str">
        <x:v>MIN</x:v>
      </x:c>
      <x:c r="I521" t="str">
        <x:v>PIT</x:v>
      </x:c>
      <x:c r="J521" t="n">
        <x:v>71</x:v>
      </x:c>
      <x:c r="K521" t="str">
        <x:v>(6:19) 74-S.Anderson reported in as eligible. 14-K.Gainwell left end to PIT 38 for 9 yards (44-J.Metellus; 55-E.Wilson).</x:v>
      </x:c>
      <x:c r="L521" t="str">
        <x:v>run</x:v>
      </x:c>
      <x:c r="M521" t="n">
        <x:v>9</x:v>
      </x:c>
      <x:c r="N521" t="n">
        <x:v>0</x:v>
      </x:c>
      <x:c r="O521" t="n">
        <x:v>0</x:v>
      </x:c>
      <x:c r="P521"/>
      <x:c r="Q521"/>
      <x:c r="R521"/>
      <x:c r="S521"/>
      <x:c r="T521" t="str">
        <x:v>left</x:v>
      </x:c>
      <x:c r="U521" t="str">
        <x:v>end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/>
      <x:c r="AC521" t="n">
        <x:v>0</x:v>
      </x:c>
      <x:c r="AD521" t="n">
        <x:v>0.7454586727544665</x:v>
      </x:c>
      <x:c r="AE521" t="n">
        <x:v>1</x:v>
      </x:c>
      <x:c r="AF521" t="n">
        <x:v>0.030301541090011597</x:v>
      </x:c>
      <x:c r="AG521" t="n">
        <x:f>_xlfn.XLOOKUP($A521,Games!$A$2:$A$18,Games!$B$2:$B$18,"Missing game",0)</x:f>
        <x:v>2025</x:v>
      </x:c>
      <x:c r="AH521" t="str">
        <x:f>_xlfn.XLOOKUP($A521,Games!$A$2:$A$18,Games!$C$2:$C$18,"Missing game",0)</x:f>
        <x:v>REG</x:v>
      </x:c>
      <x:c r="AI521" t="n">
        <x:f>_xlfn.XLOOKUP($A521,Games!$A$2:$A$18,Games!$D$2:$D$18,"Missing game",0)</x:f>
        <x:v>4</x:v>
      </x:c>
      <x:c r="AJ521" s="1" t="n">
        <x:f>_xlfn.XLOOKUP($A521,Games!$A$2:$A$18,Games!$E$2:$E$18,"Missing game",0)</x:f>
        <x:v>45928</x:v>
      </x:c>
      <x:c r="AK521" t="str">
        <x:f>_xlfn.XLOOKUP($A521,Games!$A$2:$A$18,Games!$F$2:$F$18,"Missing game",0)</x:f>
        <x:v>Sunday</x:v>
      </x:c>
      <x:c r="AL521" t="str">
        <x:f>_xlfn.XLOOKUP($A521,Games!$A$2:$A$18,Games!$G$2:$G$18,"Missing game",0)</x:f>
        <x:v>MIN</x:v>
      </x:c>
      <x:c r="AM521" t="n">
        <x:f>_xlfn.XLOOKUP($A521,Games!$A$2:$A$18,Games!$H$2:$H$18,"Missing game",0)</x:f>
        <x:v>21</x:v>
      </x:c>
      <x:c r="AN521" t="str">
        <x:f>_xlfn.XLOOKUP($A521,Games!$A$2:$A$18,Games!$I$2:$I$18,"Missing game",0)</x:f>
        <x:v>PIT</x:v>
      </x:c>
      <x:c r="AO521" t="n">
        <x:f>_xlfn.XLOOKUP($A521,Games!$A$2:$A$18,Games!$J$2:$J$18,"Missing game",0)</x:f>
        <x:v>24</x:v>
      </x:c>
      <x:c r="AP521" t="n">
        <x:f>_xlfn.XLOOKUP($A521,Games!$A$2:$A$18,Games!$K$2:$K$18,"Missing game",0)</x:f>
        <x:v>3</x:v>
      </x:c>
      <x:c r="AQ521" t="n">
        <x:f>_xlfn.XLOOKUP($A521,Games!$A$2:$A$18,Games!$L$2:$L$18,"Missing game",0)</x:f>
        <x:v>45</x:v>
      </x:c>
      <x:c r="AR521" t="n">
        <x:f>_xlfn.XLOOKUP($A521,Games!$A$2:$A$18,Games!$M$2:$M$18,"Missing game",0)</x:f>
        <x:v>0</x:v>
      </x:c>
      <x:c r="AS521" t="str">
        <x:f>_xlfn.XLOOKUP($A521,Games!$A$2:$A$18,Games!$N$2:$N$18,"Missing game",0)</x:f>
        <x:v>outdoors</x:v>
      </x:c>
      <x:c r="AT521" t="str">
        <x:f>_xlfn.XLOOKUP($A521,Games!$A$2:$A$18,Games!$O$2:$O$18,"Missing game",0)</x:f>
        <x:v>grass</x:v>
      </x:c>
      <x:c r="AU521" t="n">
        <x:f>_xlfn.XLOOKUP($A521,Games!$A$2:$A$18,Games!$P$2:$P$18,"Missing game",0)</x:f>
        <x:v>61</x:v>
      </x:c>
      <x:c r="AV521" t="n">
        <x:f>_xlfn.XLOOKUP($A521,Games!$A$2:$A$18,Games!$Q$2:$Q$18,"Missing game",0)</x:f>
        <x:v>5</x:v>
      </x:c>
      <x:c r="AW521" t="str">
        <x:f>_xlfn.XLOOKUP($A521,Games!$A$2:$A$18,Games!$R$2:$R$18,"Missing game",0)</x:f>
        <x:v>Acrisure Stadium</x:v>
      </x:c>
    </x:row>
    <x:row r="522">
      <x:c r="A522" t="str">
        <x:v>2025_04_MIN_PIT</x:v>
      </x:c>
      <x:c r="B522" t="n">
        <x:v>582</x:v>
      </x:c>
      <x:c r="C522" t="n">
        <x:v>1</x:v>
      </x:c>
      <x:c r="D522" t="str">
        <x:v>05:42</x:v>
      </x:c>
      <x:c r="E522" t="n">
        <x:v>2</x:v>
      </x:c>
      <x:c r="F522" t="n">
        <x:v>1</x:v>
      </x:c>
      <x:c r="G522" t="str">
        <x:v>PIT</x:v>
      </x:c>
      <x:c r="H522" t="str">
        <x:v>MIN</x:v>
      </x:c>
      <x:c r="I522" t="str">
        <x:v>PIT</x:v>
      </x:c>
      <x:c r="J522" t="n">
        <x:v>62</x:v>
      </x:c>
      <x:c r="K522" t="str">
        <x:v>(5:42) (Shotgun) 8-A.Rodgers pass short right to 19-C.Austin to PIT 43 for 5 yards (15-D.Turner; 7-B.Murphy).</x:v>
      </x:c>
      <x:c r="L522" t="str">
        <x:v>pass</x:v>
      </x:c>
      <x:c r="M522" t="n">
        <x:v>5</x:v>
      </x:c>
      <x:c r="N522" t="n">
        <x:v>1</x:v>
      </x:c>
      <x:c r="O522" t="n">
        <x:v>0</x:v>
      </x:c>
      <x:c r="P522" t="str">
        <x:v>short</x:v>
      </x:c>
      <x:c r="Q522" t="str">
        <x:v>right</x:v>
      </x:c>
      <x:c r="R522" t="n">
        <x:v>0</x:v>
      </x:c>
      <x:c r="S522" t="n">
        <x:v>5</x:v>
      </x:c>
      <x:c r="T522"/>
      <x:c r="U522"/>
      <x:c r="V522" t="n">
        <x:v>1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/>
      <x:c r="AC522" t="n">
        <x:v>0</x:v>
      </x:c>
      <x:c r="AD522" t="n">
        <x:v>0.13372606574557722</x:v>
      </x:c>
      <x:c r="AE522" t="n">
        <x:v>1</x:v>
      </x:c>
      <x:c r="AF522" t="n">
        <x:v>-0.00312727689743042</x:v>
      </x:c>
      <x:c r="AG522" t="n">
        <x:f>_xlfn.XLOOKUP($A522,Games!$A$2:$A$18,Games!$B$2:$B$18,"Missing game",0)</x:f>
        <x:v>2025</x:v>
      </x:c>
      <x:c r="AH522" t="str">
        <x:f>_xlfn.XLOOKUP($A522,Games!$A$2:$A$18,Games!$C$2:$C$18,"Missing game",0)</x:f>
        <x:v>REG</x:v>
      </x:c>
      <x:c r="AI522" t="n">
        <x:f>_xlfn.XLOOKUP($A522,Games!$A$2:$A$18,Games!$D$2:$D$18,"Missing game",0)</x:f>
        <x:v>4</x:v>
      </x:c>
      <x:c r="AJ522" s="1" t="n">
        <x:f>_xlfn.XLOOKUP($A522,Games!$A$2:$A$18,Games!$E$2:$E$18,"Missing game",0)</x:f>
        <x:v>45928</x:v>
      </x:c>
      <x:c r="AK522" t="str">
        <x:f>_xlfn.XLOOKUP($A522,Games!$A$2:$A$18,Games!$F$2:$F$18,"Missing game",0)</x:f>
        <x:v>Sunday</x:v>
      </x:c>
      <x:c r="AL522" t="str">
        <x:f>_xlfn.XLOOKUP($A522,Games!$A$2:$A$18,Games!$G$2:$G$18,"Missing game",0)</x:f>
        <x:v>MIN</x:v>
      </x:c>
      <x:c r="AM522" t="n">
        <x:f>_xlfn.XLOOKUP($A522,Games!$A$2:$A$18,Games!$H$2:$H$18,"Missing game",0)</x:f>
        <x:v>21</x:v>
      </x:c>
      <x:c r="AN522" t="str">
        <x:f>_xlfn.XLOOKUP($A522,Games!$A$2:$A$18,Games!$I$2:$I$18,"Missing game",0)</x:f>
        <x:v>PIT</x:v>
      </x:c>
      <x:c r="AO522" t="n">
        <x:f>_xlfn.XLOOKUP($A522,Games!$A$2:$A$18,Games!$J$2:$J$18,"Missing game",0)</x:f>
        <x:v>24</x:v>
      </x:c>
      <x:c r="AP522" t="n">
        <x:f>_xlfn.XLOOKUP($A522,Games!$A$2:$A$18,Games!$K$2:$K$18,"Missing game",0)</x:f>
        <x:v>3</x:v>
      </x:c>
      <x:c r="AQ522" t="n">
        <x:f>_xlfn.XLOOKUP($A522,Games!$A$2:$A$18,Games!$L$2:$L$18,"Missing game",0)</x:f>
        <x:v>45</x:v>
      </x:c>
      <x:c r="AR522" t="n">
        <x:f>_xlfn.XLOOKUP($A522,Games!$A$2:$A$18,Games!$M$2:$M$18,"Missing game",0)</x:f>
        <x:v>0</x:v>
      </x:c>
      <x:c r="AS522" t="str">
        <x:f>_xlfn.XLOOKUP($A522,Games!$A$2:$A$18,Games!$N$2:$N$18,"Missing game",0)</x:f>
        <x:v>outdoors</x:v>
      </x:c>
      <x:c r="AT522" t="str">
        <x:f>_xlfn.XLOOKUP($A522,Games!$A$2:$A$18,Games!$O$2:$O$18,"Missing game",0)</x:f>
        <x:v>grass</x:v>
      </x:c>
      <x:c r="AU522" t="n">
        <x:f>_xlfn.XLOOKUP($A522,Games!$A$2:$A$18,Games!$P$2:$P$18,"Missing game",0)</x:f>
        <x:v>61</x:v>
      </x:c>
      <x:c r="AV522" t="n">
        <x:f>_xlfn.XLOOKUP($A522,Games!$A$2:$A$18,Games!$Q$2:$Q$18,"Missing game",0)</x:f>
        <x:v>5</x:v>
      </x:c>
      <x:c r="AW522" t="str">
        <x:f>_xlfn.XLOOKUP($A522,Games!$A$2:$A$18,Games!$R$2:$R$18,"Missing game",0)</x:f>
        <x:v>Acrisure Stadium</x:v>
      </x:c>
    </x:row>
    <x:row r="523">
      <x:c r="A523" t="str">
        <x:v>2025_04_MIN_PIT</x:v>
      </x:c>
      <x:c r="B523" t="n">
        <x:v>607</x:v>
      </x:c>
      <x:c r="C523" t="n">
        <x:v>1</x:v>
      </x:c>
      <x:c r="D523" t="str">
        <x:v>05:01</x:v>
      </x:c>
      <x:c r="E523" t="n">
        <x:v>1</x:v>
      </x:c>
      <x:c r="F523" t="n">
        <x:v>10</x:v>
      </x:c>
      <x:c r="G523" t="str">
        <x:v>PIT</x:v>
      </x:c>
      <x:c r="H523" t="str">
        <x:v>MIN</x:v>
      </x:c>
      <x:c r="I523" t="str">
        <x:v>PIT</x:v>
      </x:c>
      <x:c r="J523" t="n">
        <x:v>57</x:v>
      </x:c>
      <x:c r="K523" t="str">
        <x:v>(5:01) (Shotgun) 8-A.Rodgers pass short middle to 4-D.Metcalf to MIN 43 for 14 yards (15-D.Turner).</x:v>
      </x:c>
      <x:c r="L523" t="str">
        <x:v>pass</x:v>
      </x:c>
      <x:c r="M523" t="n">
        <x:v>14</x:v>
      </x:c>
      <x:c r="N523" t="n">
        <x:v>1</x:v>
      </x:c>
      <x:c r="O523" t="n">
        <x:v>0</x:v>
      </x:c>
      <x:c r="P523" t="str">
        <x:v>short</x:v>
      </x:c>
      <x:c r="Q523" t="str">
        <x:v>middle</x:v>
      </x:c>
      <x:c r="R523" t="n">
        <x:v>4</x:v>
      </x:c>
      <x:c r="S523" t="n">
        <x:v>10</x:v>
      </x:c>
      <x:c r="T523"/>
      <x:c r="U523"/>
      <x:c r="V523" t="n">
        <x:v>1</x:v>
      </x:c>
      <x:c r="W523" t="n">
        <x:v>1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/>
      <x:c r="AC523" t="n">
        <x:v>0</x:v>
      </x:c>
      <x:c r="AD523" t="n">
        <x:v>0.8319461967330426</x:v>
      </x:c>
      <x:c r="AE523" t="n">
        <x:v>1</x:v>
      </x:c>
      <x:c r="AF523" t="n">
        <x:v>0.04511457681655884</x:v>
      </x:c>
      <x:c r="AG523" t="n">
        <x:f>_xlfn.XLOOKUP($A523,Games!$A$2:$A$18,Games!$B$2:$B$18,"Missing game",0)</x:f>
        <x:v>2025</x:v>
      </x:c>
      <x:c r="AH523" t="str">
        <x:f>_xlfn.XLOOKUP($A523,Games!$A$2:$A$18,Games!$C$2:$C$18,"Missing game",0)</x:f>
        <x:v>REG</x:v>
      </x:c>
      <x:c r="AI523" t="n">
        <x:f>_xlfn.XLOOKUP($A523,Games!$A$2:$A$18,Games!$D$2:$D$18,"Missing game",0)</x:f>
        <x:v>4</x:v>
      </x:c>
      <x:c r="AJ523" s="1" t="n">
        <x:f>_xlfn.XLOOKUP($A523,Games!$A$2:$A$18,Games!$E$2:$E$18,"Missing game",0)</x:f>
        <x:v>45928</x:v>
      </x:c>
      <x:c r="AK523" t="str">
        <x:f>_xlfn.XLOOKUP($A523,Games!$A$2:$A$18,Games!$F$2:$F$18,"Missing game",0)</x:f>
        <x:v>Sunday</x:v>
      </x:c>
      <x:c r="AL523" t="str">
        <x:f>_xlfn.XLOOKUP($A523,Games!$A$2:$A$18,Games!$G$2:$G$18,"Missing game",0)</x:f>
        <x:v>MIN</x:v>
      </x:c>
      <x:c r="AM523" t="n">
        <x:f>_xlfn.XLOOKUP($A523,Games!$A$2:$A$18,Games!$H$2:$H$18,"Missing game",0)</x:f>
        <x:v>21</x:v>
      </x:c>
      <x:c r="AN523" t="str">
        <x:f>_xlfn.XLOOKUP($A523,Games!$A$2:$A$18,Games!$I$2:$I$18,"Missing game",0)</x:f>
        <x:v>PIT</x:v>
      </x:c>
      <x:c r="AO523" t="n">
        <x:f>_xlfn.XLOOKUP($A523,Games!$A$2:$A$18,Games!$J$2:$J$18,"Missing game",0)</x:f>
        <x:v>24</x:v>
      </x:c>
      <x:c r="AP523" t="n">
        <x:f>_xlfn.XLOOKUP($A523,Games!$A$2:$A$18,Games!$K$2:$K$18,"Missing game",0)</x:f>
        <x:v>3</x:v>
      </x:c>
      <x:c r="AQ523" t="n">
        <x:f>_xlfn.XLOOKUP($A523,Games!$A$2:$A$18,Games!$L$2:$L$18,"Missing game",0)</x:f>
        <x:v>45</x:v>
      </x:c>
      <x:c r="AR523" t="n">
        <x:f>_xlfn.XLOOKUP($A523,Games!$A$2:$A$18,Games!$M$2:$M$18,"Missing game",0)</x:f>
        <x:v>0</x:v>
      </x:c>
      <x:c r="AS523" t="str">
        <x:f>_xlfn.XLOOKUP($A523,Games!$A$2:$A$18,Games!$N$2:$N$18,"Missing game",0)</x:f>
        <x:v>outdoors</x:v>
      </x:c>
      <x:c r="AT523" t="str">
        <x:f>_xlfn.XLOOKUP($A523,Games!$A$2:$A$18,Games!$O$2:$O$18,"Missing game",0)</x:f>
        <x:v>grass</x:v>
      </x:c>
      <x:c r="AU523" t="n">
        <x:f>_xlfn.XLOOKUP($A523,Games!$A$2:$A$18,Games!$P$2:$P$18,"Missing game",0)</x:f>
        <x:v>61</x:v>
      </x:c>
      <x:c r="AV523" t="n">
        <x:f>_xlfn.XLOOKUP($A523,Games!$A$2:$A$18,Games!$Q$2:$Q$18,"Missing game",0)</x:f>
        <x:v>5</x:v>
      </x:c>
      <x:c r="AW523" t="str">
        <x:f>_xlfn.XLOOKUP($A523,Games!$A$2:$A$18,Games!$R$2:$R$18,"Missing game",0)</x:f>
        <x:v>Acrisure Stadium</x:v>
      </x:c>
    </x:row>
    <x:row r="524">
      <x:c r="A524" t="str">
        <x:v>2025_04_MIN_PIT</x:v>
      </x:c>
      <x:c r="B524" t="n">
        <x:v>632</x:v>
      </x:c>
      <x:c r="C524" t="n">
        <x:v>1</x:v>
      </x:c>
      <x:c r="D524" t="str">
        <x:v>04:25</x:v>
      </x:c>
      <x:c r="E524" t="n">
        <x:v>1</x:v>
      </x:c>
      <x:c r="F524" t="n">
        <x:v>10</x:v>
      </x:c>
      <x:c r="G524" t="str">
        <x:v>PIT</x:v>
      </x:c>
      <x:c r="H524" t="str">
        <x:v>MIN</x:v>
      </x:c>
      <x:c r="I524" t="str">
        <x:v>MIN</x:v>
      </x:c>
      <x:c r="J524" t="n">
        <x:v>43</x:v>
      </x:c>
      <x:c r="K524" t="str">
        <x:v>(4:25) 20-K.Johnson right tackle to MIN 41 for 2 yards (99-E.Williams).</x:v>
      </x:c>
      <x:c r="L524" t="str">
        <x:v>run</x:v>
      </x:c>
      <x:c r="M524" t="n">
        <x:v>2</x:v>
      </x:c>
      <x:c r="N524" t="n">
        <x:v>0</x:v>
      </x:c>
      <x:c r="O524" t="n">
        <x:v>0</x:v>
      </x:c>
      <x:c r="P524"/>
      <x:c r="Q524"/>
      <x:c r="R524"/>
      <x:c r="S524"/>
      <x:c r="T524" t="str">
        <x:v>right</x:v>
      </x:c>
      <x:c r="U524" t="str">
        <x:v>tackle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/>
      <x:c r="AC524" t="n">
        <x:v>0</x:v>
      </x:c>
      <x:c r="AD524" t="n">
        <x:v>-0.2964018904604018</x:v>
      </x:c>
      <x:c r="AE524" t="n">
        <x:v>0</x:v>
      </x:c>
      <x:c r="AF524" t="n">
        <x:v>-0.01952102780342102</x:v>
      </x:c>
      <x:c r="AG524" t="n">
        <x:f>_xlfn.XLOOKUP($A524,Games!$A$2:$A$18,Games!$B$2:$B$18,"Missing game",0)</x:f>
        <x:v>2025</x:v>
      </x:c>
      <x:c r="AH524" t="str">
        <x:f>_xlfn.XLOOKUP($A524,Games!$A$2:$A$18,Games!$C$2:$C$18,"Missing game",0)</x:f>
        <x:v>REG</x:v>
      </x:c>
      <x:c r="AI524" t="n">
        <x:f>_xlfn.XLOOKUP($A524,Games!$A$2:$A$18,Games!$D$2:$D$18,"Missing game",0)</x:f>
        <x:v>4</x:v>
      </x:c>
      <x:c r="AJ524" s="1" t="n">
        <x:f>_xlfn.XLOOKUP($A524,Games!$A$2:$A$18,Games!$E$2:$E$18,"Missing game",0)</x:f>
        <x:v>45928</x:v>
      </x:c>
      <x:c r="AK524" t="str">
        <x:f>_xlfn.XLOOKUP($A524,Games!$A$2:$A$18,Games!$F$2:$F$18,"Missing game",0)</x:f>
        <x:v>Sunday</x:v>
      </x:c>
      <x:c r="AL524" t="str">
        <x:f>_xlfn.XLOOKUP($A524,Games!$A$2:$A$18,Games!$G$2:$G$18,"Missing game",0)</x:f>
        <x:v>MIN</x:v>
      </x:c>
      <x:c r="AM524" t="n">
        <x:f>_xlfn.XLOOKUP($A524,Games!$A$2:$A$18,Games!$H$2:$H$18,"Missing game",0)</x:f>
        <x:v>21</x:v>
      </x:c>
      <x:c r="AN524" t="str">
        <x:f>_xlfn.XLOOKUP($A524,Games!$A$2:$A$18,Games!$I$2:$I$18,"Missing game",0)</x:f>
        <x:v>PIT</x:v>
      </x:c>
      <x:c r="AO524" t="n">
        <x:f>_xlfn.XLOOKUP($A524,Games!$A$2:$A$18,Games!$J$2:$J$18,"Missing game",0)</x:f>
        <x:v>24</x:v>
      </x:c>
      <x:c r="AP524" t="n">
        <x:f>_xlfn.XLOOKUP($A524,Games!$A$2:$A$18,Games!$K$2:$K$18,"Missing game",0)</x:f>
        <x:v>3</x:v>
      </x:c>
      <x:c r="AQ524" t="n">
        <x:f>_xlfn.XLOOKUP($A524,Games!$A$2:$A$18,Games!$L$2:$L$18,"Missing game",0)</x:f>
        <x:v>45</x:v>
      </x:c>
      <x:c r="AR524" t="n">
        <x:f>_xlfn.XLOOKUP($A524,Games!$A$2:$A$18,Games!$M$2:$M$18,"Missing game",0)</x:f>
        <x:v>0</x:v>
      </x:c>
      <x:c r="AS524" t="str">
        <x:f>_xlfn.XLOOKUP($A524,Games!$A$2:$A$18,Games!$N$2:$N$18,"Missing game",0)</x:f>
        <x:v>outdoors</x:v>
      </x:c>
      <x:c r="AT524" t="str">
        <x:f>_xlfn.XLOOKUP($A524,Games!$A$2:$A$18,Games!$O$2:$O$18,"Missing game",0)</x:f>
        <x:v>grass</x:v>
      </x:c>
      <x:c r="AU524" t="n">
        <x:f>_xlfn.XLOOKUP($A524,Games!$A$2:$A$18,Games!$P$2:$P$18,"Missing game",0)</x:f>
        <x:v>61</x:v>
      </x:c>
      <x:c r="AV524" t="n">
        <x:f>_xlfn.XLOOKUP($A524,Games!$A$2:$A$18,Games!$Q$2:$Q$18,"Missing game",0)</x:f>
        <x:v>5</x:v>
      </x:c>
      <x:c r="AW524" t="str">
        <x:f>_xlfn.XLOOKUP($A524,Games!$A$2:$A$18,Games!$R$2:$R$18,"Missing game",0)</x:f>
        <x:v>Acrisure Stadium</x:v>
      </x:c>
    </x:row>
    <x:row r="525">
      <x:c r="A525" t="str">
        <x:v>2025_04_MIN_PIT</x:v>
      </x:c>
      <x:c r="B525" t="n">
        <x:v>654</x:v>
      </x:c>
      <x:c r="C525" t="n">
        <x:v>1</x:v>
      </x:c>
      <x:c r="D525" t="str">
        <x:v>03:44</x:v>
      </x:c>
      <x:c r="E525" t="n">
        <x:v>2</x:v>
      </x:c>
      <x:c r="F525" t="n">
        <x:v>8</x:v>
      </x:c>
      <x:c r="G525" t="str">
        <x:v>PIT</x:v>
      </x:c>
      <x:c r="H525" t="str">
        <x:v>MIN</x:v>
      </x:c>
      <x:c r="I525" t="str">
        <x:v>MIN</x:v>
      </x:c>
      <x:c r="J525" t="n">
        <x:v>41</x:v>
      </x:c>
      <x:c r="K525" t="str">
        <x:v>(3:44) (Shotgun) 8-A.Rodgers pass short left to 81-J.Smith pushed ob at MIN 35 for 6 yards (44-J.Metellus).</x:v>
      </x:c>
      <x:c r="L525" t="str">
        <x:v>pass</x:v>
      </x:c>
      <x:c r="M525" t="n">
        <x:v>6</x:v>
      </x:c>
      <x:c r="N525" t="n">
        <x:v>1</x:v>
      </x:c>
      <x:c r="O525" t="n">
        <x:v>0</x:v>
      </x:c>
      <x:c r="P525" t="str">
        <x:v>short</x:v>
      </x:c>
      <x:c r="Q525" t="str">
        <x:v>left</x:v>
      </x:c>
      <x:c r="R525" t="n">
        <x:v>0</x:v>
      </x:c>
      <x:c r="S525" t="n">
        <x:v>6</x:v>
      </x:c>
      <x:c r="T525"/>
      <x:c r="U525"/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/>
      <x:c r="AC525" t="n">
        <x:v>0</x:v>
      </x:c>
      <x:c r="AD525" t="n">
        <x:v>0.18223993154242635</x:v>
      </x:c>
      <x:c r="AE525" t="n">
        <x:v>1</x:v>
      </x:c>
      <x:c r="AF525" t="n">
        <x:v>0.014625996351242065</x:v>
      </x:c>
      <x:c r="AG525" t="n">
        <x:f>_xlfn.XLOOKUP($A525,Games!$A$2:$A$18,Games!$B$2:$B$18,"Missing game",0)</x:f>
        <x:v>2025</x:v>
      </x:c>
      <x:c r="AH525" t="str">
        <x:f>_xlfn.XLOOKUP($A525,Games!$A$2:$A$18,Games!$C$2:$C$18,"Missing game",0)</x:f>
        <x:v>REG</x:v>
      </x:c>
      <x:c r="AI525" t="n">
        <x:f>_xlfn.XLOOKUP($A525,Games!$A$2:$A$18,Games!$D$2:$D$18,"Missing game",0)</x:f>
        <x:v>4</x:v>
      </x:c>
      <x:c r="AJ525" s="1" t="n">
        <x:f>_xlfn.XLOOKUP($A525,Games!$A$2:$A$18,Games!$E$2:$E$18,"Missing game",0)</x:f>
        <x:v>45928</x:v>
      </x:c>
      <x:c r="AK525" t="str">
        <x:f>_xlfn.XLOOKUP($A525,Games!$A$2:$A$18,Games!$F$2:$F$18,"Missing game",0)</x:f>
        <x:v>Sunday</x:v>
      </x:c>
      <x:c r="AL525" t="str">
        <x:f>_xlfn.XLOOKUP($A525,Games!$A$2:$A$18,Games!$G$2:$G$18,"Missing game",0)</x:f>
        <x:v>MIN</x:v>
      </x:c>
      <x:c r="AM525" t="n">
        <x:f>_xlfn.XLOOKUP($A525,Games!$A$2:$A$18,Games!$H$2:$H$18,"Missing game",0)</x:f>
        <x:v>21</x:v>
      </x:c>
      <x:c r="AN525" t="str">
        <x:f>_xlfn.XLOOKUP($A525,Games!$A$2:$A$18,Games!$I$2:$I$18,"Missing game",0)</x:f>
        <x:v>PIT</x:v>
      </x:c>
      <x:c r="AO525" t="n">
        <x:f>_xlfn.XLOOKUP($A525,Games!$A$2:$A$18,Games!$J$2:$J$18,"Missing game",0)</x:f>
        <x:v>24</x:v>
      </x:c>
      <x:c r="AP525" t="n">
        <x:f>_xlfn.XLOOKUP($A525,Games!$A$2:$A$18,Games!$K$2:$K$18,"Missing game",0)</x:f>
        <x:v>3</x:v>
      </x:c>
      <x:c r="AQ525" t="n">
        <x:f>_xlfn.XLOOKUP($A525,Games!$A$2:$A$18,Games!$L$2:$L$18,"Missing game",0)</x:f>
        <x:v>45</x:v>
      </x:c>
      <x:c r="AR525" t="n">
        <x:f>_xlfn.XLOOKUP($A525,Games!$A$2:$A$18,Games!$M$2:$M$18,"Missing game",0)</x:f>
        <x:v>0</x:v>
      </x:c>
      <x:c r="AS525" t="str">
        <x:f>_xlfn.XLOOKUP($A525,Games!$A$2:$A$18,Games!$N$2:$N$18,"Missing game",0)</x:f>
        <x:v>outdoors</x:v>
      </x:c>
      <x:c r="AT525" t="str">
        <x:f>_xlfn.XLOOKUP($A525,Games!$A$2:$A$18,Games!$O$2:$O$18,"Missing game",0)</x:f>
        <x:v>grass</x:v>
      </x:c>
      <x:c r="AU525" t="n">
        <x:f>_xlfn.XLOOKUP($A525,Games!$A$2:$A$18,Games!$P$2:$P$18,"Missing game",0)</x:f>
        <x:v>61</x:v>
      </x:c>
      <x:c r="AV525" t="n">
        <x:f>_xlfn.XLOOKUP($A525,Games!$A$2:$A$18,Games!$Q$2:$Q$18,"Missing game",0)</x:f>
        <x:v>5</x:v>
      </x:c>
      <x:c r="AW525" t="str">
        <x:f>_xlfn.XLOOKUP($A525,Games!$A$2:$A$18,Games!$R$2:$R$18,"Missing game",0)</x:f>
        <x:v>Acrisure Stadium</x:v>
      </x:c>
    </x:row>
    <x:row r="526">
      <x:c r="A526" t="str">
        <x:v>2025_04_MIN_PIT</x:v>
      </x:c>
      <x:c r="B526" t="n">
        <x:v>684</x:v>
      </x:c>
      <x:c r="C526" t="n">
        <x:v>1</x:v>
      </x:c>
      <x:c r="D526" t="str">
        <x:v>03:17</x:v>
      </x:c>
      <x:c r="E526" t="n">
        <x:v>3</x:v>
      </x:c>
      <x:c r="F526" t="n">
        <x:v>2</x:v>
      </x:c>
      <x:c r="G526" t="str">
        <x:v>PIT</x:v>
      </x:c>
      <x:c r="H526" t="str">
        <x:v>MIN</x:v>
      </x:c>
      <x:c r="I526" t="str">
        <x:v>MIN</x:v>
      </x:c>
      <x:c r="J526" t="n">
        <x:v>35</x:v>
      </x:c>
      <x:c r="K526" t="str">
        <x:v>(3:17) (Shotgun) 8-A.Rodgers pass short left to 4-D.Metcalf to MIN 18 for 17 yards (8-J.Okudah).</x:v>
      </x:c>
      <x:c r="L526" t="str">
        <x:v>pass</x:v>
      </x:c>
      <x:c r="M526" t="n">
        <x:v>17</x:v>
      </x:c>
      <x:c r="N526" t="n">
        <x:v>1</x:v>
      </x:c>
      <x:c r="O526" t="n">
        <x:v>0</x:v>
      </x:c>
      <x:c r="P526" t="str">
        <x:v>short</x:v>
      </x:c>
      <x:c r="Q526" t="str">
        <x:v>left</x:v>
      </x:c>
      <x:c r="R526" t="n">
        <x:v>14</x:v>
      </x:c>
      <x:c r="S526" t="n">
        <x:v>3</x:v>
      </x:c>
      <x:c r="T526"/>
      <x:c r="U526"/>
      <x:c r="V526" t="n">
        <x:v>1</x:v>
      </x:c>
      <x:c r="W526" t="n">
        <x:v>1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/>
      <x:c r="AC526" t="n">
        <x:v>0</x:v>
      </x:c>
      <x:c r="AD526" t="n">
        <x:v>1.9722878781030886</x:v>
      </x:c>
      <x:c r="AE526" t="n">
        <x:v>1</x:v>
      </x:c>
      <x:c r="AF526" t="n">
        <x:v>0.052699923515319824</x:v>
      </x:c>
      <x:c r="AG526" t="n">
        <x:f>_xlfn.XLOOKUP($A526,Games!$A$2:$A$18,Games!$B$2:$B$18,"Missing game",0)</x:f>
        <x:v>2025</x:v>
      </x:c>
      <x:c r="AH526" t="str">
        <x:f>_xlfn.XLOOKUP($A526,Games!$A$2:$A$18,Games!$C$2:$C$18,"Missing game",0)</x:f>
        <x:v>REG</x:v>
      </x:c>
      <x:c r="AI526" t="n">
        <x:f>_xlfn.XLOOKUP($A526,Games!$A$2:$A$18,Games!$D$2:$D$18,"Missing game",0)</x:f>
        <x:v>4</x:v>
      </x:c>
      <x:c r="AJ526" s="1" t="n">
        <x:f>_xlfn.XLOOKUP($A526,Games!$A$2:$A$18,Games!$E$2:$E$18,"Missing game",0)</x:f>
        <x:v>45928</x:v>
      </x:c>
      <x:c r="AK526" t="str">
        <x:f>_xlfn.XLOOKUP($A526,Games!$A$2:$A$18,Games!$F$2:$F$18,"Missing game",0)</x:f>
        <x:v>Sunday</x:v>
      </x:c>
      <x:c r="AL526" t="str">
        <x:f>_xlfn.XLOOKUP($A526,Games!$A$2:$A$18,Games!$G$2:$G$18,"Missing game",0)</x:f>
        <x:v>MIN</x:v>
      </x:c>
      <x:c r="AM526" t="n">
        <x:f>_xlfn.XLOOKUP($A526,Games!$A$2:$A$18,Games!$H$2:$H$18,"Missing game",0)</x:f>
        <x:v>21</x:v>
      </x:c>
      <x:c r="AN526" t="str">
        <x:f>_xlfn.XLOOKUP($A526,Games!$A$2:$A$18,Games!$I$2:$I$18,"Missing game",0)</x:f>
        <x:v>PIT</x:v>
      </x:c>
      <x:c r="AO526" t="n">
        <x:f>_xlfn.XLOOKUP($A526,Games!$A$2:$A$18,Games!$J$2:$J$18,"Missing game",0)</x:f>
        <x:v>24</x:v>
      </x:c>
      <x:c r="AP526" t="n">
        <x:f>_xlfn.XLOOKUP($A526,Games!$A$2:$A$18,Games!$K$2:$K$18,"Missing game",0)</x:f>
        <x:v>3</x:v>
      </x:c>
      <x:c r="AQ526" t="n">
        <x:f>_xlfn.XLOOKUP($A526,Games!$A$2:$A$18,Games!$L$2:$L$18,"Missing game",0)</x:f>
        <x:v>45</x:v>
      </x:c>
      <x:c r="AR526" t="n">
        <x:f>_xlfn.XLOOKUP($A526,Games!$A$2:$A$18,Games!$M$2:$M$18,"Missing game",0)</x:f>
        <x:v>0</x:v>
      </x:c>
      <x:c r="AS526" t="str">
        <x:f>_xlfn.XLOOKUP($A526,Games!$A$2:$A$18,Games!$N$2:$N$18,"Missing game",0)</x:f>
        <x:v>outdoors</x:v>
      </x:c>
      <x:c r="AT526" t="str">
        <x:f>_xlfn.XLOOKUP($A526,Games!$A$2:$A$18,Games!$O$2:$O$18,"Missing game",0)</x:f>
        <x:v>grass</x:v>
      </x:c>
      <x:c r="AU526" t="n">
        <x:f>_xlfn.XLOOKUP($A526,Games!$A$2:$A$18,Games!$P$2:$P$18,"Missing game",0)</x:f>
        <x:v>61</x:v>
      </x:c>
      <x:c r="AV526" t="n">
        <x:f>_xlfn.XLOOKUP($A526,Games!$A$2:$A$18,Games!$Q$2:$Q$18,"Missing game",0)</x:f>
        <x:v>5</x:v>
      </x:c>
      <x:c r="AW526" t="str">
        <x:f>_xlfn.XLOOKUP($A526,Games!$A$2:$A$18,Games!$R$2:$R$18,"Missing game",0)</x:f>
        <x:v>Acrisure Stadium</x:v>
      </x:c>
    </x:row>
    <x:row r="527">
      <x:c r="A527" t="str">
        <x:v>2025_04_MIN_PIT</x:v>
      </x:c>
      <x:c r="B527" t="n">
        <x:v>709</x:v>
      </x:c>
      <x:c r="C527" t="n">
        <x:v>1</x:v>
      </x:c>
      <x:c r="D527" t="str">
        <x:v>02:36</x:v>
      </x:c>
      <x:c r="E527" t="n">
        <x:v>1</x:v>
      </x:c>
      <x:c r="F527" t="n">
        <x:v>10</x:v>
      </x:c>
      <x:c r="G527" t="str">
        <x:v>PIT</x:v>
      </x:c>
      <x:c r="H527" t="str">
        <x:v>MIN</x:v>
      </x:c>
      <x:c r="I527" t="str">
        <x:v>MIN</x:v>
      </x:c>
      <x:c r="J527" t="n">
        <x:v>18</x:v>
      </x:c>
      <x:c r="K527" t="str">
        <x:v>(2:36) 74-S.Anderson reported in as eligible. 8-A.Rodgers pass short left to 4-D.Metcalf to MIN 7 for 11 yards (2-I.Rodgers; 0-I.Pace).</x:v>
      </x:c>
      <x:c r="L527" t="str">
        <x:v>pass</x:v>
      </x:c>
      <x:c r="M527" t="n">
        <x:v>11</x:v>
      </x:c>
      <x:c r="N527" t="n">
        <x:v>0</x:v>
      </x:c>
      <x:c r="O527" t="n">
        <x:v>0</x:v>
      </x:c>
      <x:c r="P527" t="str">
        <x:v>short</x:v>
      </x:c>
      <x:c r="Q527" t="str">
        <x:v>left</x:v>
      </x:c>
      <x:c r="R527" t="n">
        <x:v>3</x:v>
      </x:c>
      <x:c r="S527" t="n">
        <x:v>8</x:v>
      </x:c>
      <x:c r="T527"/>
      <x:c r="U527"/>
      <x:c r="V527" t="n">
        <x:v>1</x:v>
      </x:c>
      <x:c r="W527" t="n">
        <x:v>1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/>
      <x:c r="AC527" t="n">
        <x:v>0</x:v>
      </x:c>
      <x:c r="AD527" t="n">
        <x:v>0.6846059696399607</x:v>
      </x:c>
      <x:c r="AE527" t="n">
        <x:v>1</x:v>
      </x:c>
      <x:c r="AF527" t="n">
        <x:v>0.028734326362609863</x:v>
      </x:c>
      <x:c r="AG527" t="n">
        <x:f>_xlfn.XLOOKUP($A527,Games!$A$2:$A$18,Games!$B$2:$B$18,"Missing game",0)</x:f>
        <x:v>2025</x:v>
      </x:c>
      <x:c r="AH527" t="str">
        <x:f>_xlfn.XLOOKUP($A527,Games!$A$2:$A$18,Games!$C$2:$C$18,"Missing game",0)</x:f>
        <x:v>REG</x:v>
      </x:c>
      <x:c r="AI527" t="n">
        <x:f>_xlfn.XLOOKUP($A527,Games!$A$2:$A$18,Games!$D$2:$D$18,"Missing game",0)</x:f>
        <x:v>4</x:v>
      </x:c>
      <x:c r="AJ527" s="1" t="n">
        <x:f>_xlfn.XLOOKUP($A527,Games!$A$2:$A$18,Games!$E$2:$E$18,"Missing game",0)</x:f>
        <x:v>45928</x:v>
      </x:c>
      <x:c r="AK527" t="str">
        <x:f>_xlfn.XLOOKUP($A527,Games!$A$2:$A$18,Games!$F$2:$F$18,"Missing game",0)</x:f>
        <x:v>Sunday</x:v>
      </x:c>
      <x:c r="AL527" t="str">
        <x:f>_xlfn.XLOOKUP($A527,Games!$A$2:$A$18,Games!$G$2:$G$18,"Missing game",0)</x:f>
        <x:v>MIN</x:v>
      </x:c>
      <x:c r="AM527" t="n">
        <x:f>_xlfn.XLOOKUP($A527,Games!$A$2:$A$18,Games!$H$2:$H$18,"Missing game",0)</x:f>
        <x:v>21</x:v>
      </x:c>
      <x:c r="AN527" t="str">
        <x:f>_xlfn.XLOOKUP($A527,Games!$A$2:$A$18,Games!$I$2:$I$18,"Missing game",0)</x:f>
        <x:v>PIT</x:v>
      </x:c>
      <x:c r="AO527" t="n">
        <x:f>_xlfn.XLOOKUP($A527,Games!$A$2:$A$18,Games!$J$2:$J$18,"Missing game",0)</x:f>
        <x:v>24</x:v>
      </x:c>
      <x:c r="AP527" t="n">
        <x:f>_xlfn.XLOOKUP($A527,Games!$A$2:$A$18,Games!$K$2:$K$18,"Missing game",0)</x:f>
        <x:v>3</x:v>
      </x:c>
      <x:c r="AQ527" t="n">
        <x:f>_xlfn.XLOOKUP($A527,Games!$A$2:$A$18,Games!$L$2:$L$18,"Missing game",0)</x:f>
        <x:v>45</x:v>
      </x:c>
      <x:c r="AR527" t="n">
        <x:f>_xlfn.XLOOKUP($A527,Games!$A$2:$A$18,Games!$M$2:$M$18,"Missing game",0)</x:f>
        <x:v>0</x:v>
      </x:c>
      <x:c r="AS527" t="str">
        <x:f>_xlfn.XLOOKUP($A527,Games!$A$2:$A$18,Games!$N$2:$N$18,"Missing game",0)</x:f>
        <x:v>outdoors</x:v>
      </x:c>
      <x:c r="AT527" t="str">
        <x:f>_xlfn.XLOOKUP($A527,Games!$A$2:$A$18,Games!$O$2:$O$18,"Missing game",0)</x:f>
        <x:v>grass</x:v>
      </x:c>
      <x:c r="AU527" t="n">
        <x:f>_xlfn.XLOOKUP($A527,Games!$A$2:$A$18,Games!$P$2:$P$18,"Missing game",0)</x:f>
        <x:v>61</x:v>
      </x:c>
      <x:c r="AV527" t="n">
        <x:f>_xlfn.XLOOKUP($A527,Games!$A$2:$A$18,Games!$Q$2:$Q$18,"Missing game",0)</x:f>
        <x:v>5</x:v>
      </x:c>
      <x:c r="AW527" t="str">
        <x:f>_xlfn.XLOOKUP($A527,Games!$A$2:$A$18,Games!$R$2:$R$18,"Missing game",0)</x:f>
        <x:v>Acrisure Stadium</x:v>
      </x:c>
    </x:row>
    <x:row r="528">
      <x:c r="A528" t="str">
        <x:v>2025_04_MIN_PIT</x:v>
      </x:c>
      <x:c r="B528" t="n">
        <x:v>741</x:v>
      </x:c>
      <x:c r="C528" t="n">
        <x:v>1</x:v>
      </x:c>
      <x:c r="D528" t="str">
        <x:v>01:39</x:v>
      </x:c>
      <x:c r="E528" t="n">
        <x:v>1</x:v>
      </x:c>
      <x:c r="F528" t="n">
        <x:v>7</x:v>
      </x:c>
      <x:c r="G528" t="str">
        <x:v>PIT</x:v>
      </x:c>
      <x:c r="H528" t="str">
        <x:v>MIN</x:v>
      </x:c>
      <x:c r="I528" t="str">
        <x:v>MIN</x:v>
      </x:c>
      <x:c r="J528" t="n">
        <x:v>7</x:v>
      </x:c>
      <x:c r="K528" t="str">
        <x:v>(1:39) (Shotgun) 8-A.Rodgers pass short left to 14-K.Gainwell to MIN 1 for 6 yards (44-J.Metellus).</x:v>
      </x:c>
      <x:c r="L528" t="str">
        <x:v>pass</x:v>
      </x:c>
      <x:c r="M528" t="n">
        <x:v>6</x:v>
      </x:c>
      <x:c r="N528" t="n">
        <x:v>1</x:v>
      </x:c>
      <x:c r="O528" t="n">
        <x:v>0</x:v>
      </x:c>
      <x:c r="P528" t="str">
        <x:v>short</x:v>
      </x:c>
      <x:c r="Q528" t="str">
        <x:v>left</x:v>
      </x:c>
      <x:c r="R528" t="n">
        <x:v>0</x:v>
      </x:c>
      <x:c r="S528" t="n">
        <x:v>6</x:v>
      </x:c>
      <x:c r="T528"/>
      <x:c r="U528"/>
      <x:c r="V528" t="n">
        <x:v>1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/>
      <x:c r="AC528" t="n">
        <x:v>0</x:v>
      </x:c>
      <x:c r="AD528" t="n">
        <x:v>0.7017511109006591</x:v>
      </x:c>
      <x:c r="AE528" t="n">
        <x:v>1</x:v>
      </x:c>
      <x:c r="AF528" t="n">
        <x:v>0.015041768550872803</x:v>
      </x:c>
      <x:c r="AG528" t="n">
        <x:f>_xlfn.XLOOKUP($A528,Games!$A$2:$A$18,Games!$B$2:$B$18,"Missing game",0)</x:f>
        <x:v>2025</x:v>
      </x:c>
      <x:c r="AH528" t="str">
        <x:f>_xlfn.XLOOKUP($A528,Games!$A$2:$A$18,Games!$C$2:$C$18,"Missing game",0)</x:f>
        <x:v>REG</x:v>
      </x:c>
      <x:c r="AI528" t="n">
        <x:f>_xlfn.XLOOKUP($A528,Games!$A$2:$A$18,Games!$D$2:$D$18,"Missing game",0)</x:f>
        <x:v>4</x:v>
      </x:c>
      <x:c r="AJ528" s="1" t="n">
        <x:f>_xlfn.XLOOKUP($A528,Games!$A$2:$A$18,Games!$E$2:$E$18,"Missing game",0)</x:f>
        <x:v>45928</x:v>
      </x:c>
      <x:c r="AK528" t="str">
        <x:f>_xlfn.XLOOKUP($A528,Games!$A$2:$A$18,Games!$F$2:$F$18,"Missing game",0)</x:f>
        <x:v>Sunday</x:v>
      </x:c>
      <x:c r="AL528" t="str">
        <x:f>_xlfn.XLOOKUP($A528,Games!$A$2:$A$18,Games!$G$2:$G$18,"Missing game",0)</x:f>
        <x:v>MIN</x:v>
      </x:c>
      <x:c r="AM528" t="n">
        <x:f>_xlfn.XLOOKUP($A528,Games!$A$2:$A$18,Games!$H$2:$H$18,"Missing game",0)</x:f>
        <x:v>21</x:v>
      </x:c>
      <x:c r="AN528" t="str">
        <x:f>_xlfn.XLOOKUP($A528,Games!$A$2:$A$18,Games!$I$2:$I$18,"Missing game",0)</x:f>
        <x:v>PIT</x:v>
      </x:c>
      <x:c r="AO528" t="n">
        <x:f>_xlfn.XLOOKUP($A528,Games!$A$2:$A$18,Games!$J$2:$J$18,"Missing game",0)</x:f>
        <x:v>24</x:v>
      </x:c>
      <x:c r="AP528" t="n">
        <x:f>_xlfn.XLOOKUP($A528,Games!$A$2:$A$18,Games!$K$2:$K$18,"Missing game",0)</x:f>
        <x:v>3</x:v>
      </x:c>
      <x:c r="AQ528" t="n">
        <x:f>_xlfn.XLOOKUP($A528,Games!$A$2:$A$18,Games!$L$2:$L$18,"Missing game",0)</x:f>
        <x:v>45</x:v>
      </x:c>
      <x:c r="AR528" t="n">
        <x:f>_xlfn.XLOOKUP($A528,Games!$A$2:$A$18,Games!$M$2:$M$18,"Missing game",0)</x:f>
        <x:v>0</x:v>
      </x:c>
      <x:c r="AS528" t="str">
        <x:f>_xlfn.XLOOKUP($A528,Games!$A$2:$A$18,Games!$N$2:$N$18,"Missing game",0)</x:f>
        <x:v>outdoors</x:v>
      </x:c>
      <x:c r="AT528" t="str">
        <x:f>_xlfn.XLOOKUP($A528,Games!$A$2:$A$18,Games!$O$2:$O$18,"Missing game",0)</x:f>
        <x:v>grass</x:v>
      </x:c>
      <x:c r="AU528" t="n">
        <x:f>_xlfn.XLOOKUP($A528,Games!$A$2:$A$18,Games!$P$2:$P$18,"Missing game",0)</x:f>
        <x:v>61</x:v>
      </x:c>
      <x:c r="AV528" t="n">
        <x:f>_xlfn.XLOOKUP($A528,Games!$A$2:$A$18,Games!$Q$2:$Q$18,"Missing game",0)</x:f>
        <x:v>5</x:v>
      </x:c>
      <x:c r="AW528" t="str">
        <x:f>_xlfn.XLOOKUP($A528,Games!$A$2:$A$18,Games!$R$2:$R$18,"Missing game",0)</x:f>
        <x:v>Acrisure Stadium</x:v>
      </x:c>
    </x:row>
    <x:row r="529">
      <x:c r="A529" t="str">
        <x:v>2025_04_MIN_PIT</x:v>
      </x:c>
      <x:c r="B529" t="n">
        <x:v>766</x:v>
      </x:c>
      <x:c r="C529" t="n">
        <x:v>1</x:v>
      </x:c>
      <x:c r="D529" t="str">
        <x:v>00:58</x:v>
      </x:c>
      <x:c r="E529" t="n">
        <x:v>2</x:v>
      </x:c>
      <x:c r="F529" t="n">
        <x:v>1</x:v>
      </x:c>
      <x:c r="G529" t="str">
        <x:v>PIT</x:v>
      </x:c>
      <x:c r="H529" t="str">
        <x:v>MIN</x:v>
      </x:c>
      <x:c r="I529" t="str">
        <x:v>MIN</x:v>
      </x:c>
      <x:c r="J529" t="n">
        <x:v>1</x:v>
      </x:c>
      <x:c r="K529" t="str">
        <x:v>(:58) 14-K.Gainwell left tackle for 1 yard, TOUCHDOWN.</x:v>
      </x:c>
      <x:c r="L529" t="str">
        <x:v>run</x:v>
      </x:c>
      <x:c r="M529" t="n">
        <x:v>1</x:v>
      </x:c>
      <x:c r="N529" t="n">
        <x:v>0</x:v>
      </x:c>
      <x:c r="O529" t="n">
        <x:v>0</x:v>
      </x:c>
      <x:c r="P529"/>
      <x:c r="Q529"/>
      <x:c r="R529"/>
      <x:c r="S529"/>
      <x:c r="T529" t="str">
        <x:v>left</x:v>
      </x:c>
      <x:c r="U529" t="str">
        <x:v>tackle</x:v>
      </x:c>
      <x:c r="V529" t="n">
        <x:v>0</x:v>
      </x:c>
      <x:c r="W529" t="n">
        <x:v>1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/>
      <x:c r="AC529" t="n">
        <x:v>1</x:v>
      </x:c>
      <x:c r="AD529" t="n">
        <x:v>0.8785503086983226</x:v>
      </x:c>
      <x:c r="AE529" t="n">
        <x:v>1</x:v>
      </x:c>
      <x:c r="AF529" t="n">
        <x:v>0.00987406878110908</x:v>
      </x:c>
      <x:c r="AG529" t="n">
        <x:f>_xlfn.XLOOKUP($A529,Games!$A$2:$A$18,Games!$B$2:$B$18,"Missing game",0)</x:f>
        <x:v>2025</x:v>
      </x:c>
      <x:c r="AH529" t="str">
        <x:f>_xlfn.XLOOKUP($A529,Games!$A$2:$A$18,Games!$C$2:$C$18,"Missing game",0)</x:f>
        <x:v>REG</x:v>
      </x:c>
      <x:c r="AI529" t="n">
        <x:f>_xlfn.XLOOKUP($A529,Games!$A$2:$A$18,Games!$D$2:$D$18,"Missing game",0)</x:f>
        <x:v>4</x:v>
      </x:c>
      <x:c r="AJ529" s="1" t="n">
        <x:f>_xlfn.XLOOKUP($A529,Games!$A$2:$A$18,Games!$E$2:$E$18,"Missing game",0)</x:f>
        <x:v>45928</x:v>
      </x:c>
      <x:c r="AK529" t="str">
        <x:f>_xlfn.XLOOKUP($A529,Games!$A$2:$A$18,Games!$F$2:$F$18,"Missing game",0)</x:f>
        <x:v>Sunday</x:v>
      </x:c>
      <x:c r="AL529" t="str">
        <x:f>_xlfn.XLOOKUP($A529,Games!$A$2:$A$18,Games!$G$2:$G$18,"Missing game",0)</x:f>
        <x:v>MIN</x:v>
      </x:c>
      <x:c r="AM529" t="n">
        <x:f>_xlfn.XLOOKUP($A529,Games!$A$2:$A$18,Games!$H$2:$H$18,"Missing game",0)</x:f>
        <x:v>21</x:v>
      </x:c>
      <x:c r="AN529" t="str">
        <x:f>_xlfn.XLOOKUP($A529,Games!$A$2:$A$18,Games!$I$2:$I$18,"Missing game",0)</x:f>
        <x:v>PIT</x:v>
      </x:c>
      <x:c r="AO529" t="n">
        <x:f>_xlfn.XLOOKUP($A529,Games!$A$2:$A$18,Games!$J$2:$J$18,"Missing game",0)</x:f>
        <x:v>24</x:v>
      </x:c>
      <x:c r="AP529" t="n">
        <x:f>_xlfn.XLOOKUP($A529,Games!$A$2:$A$18,Games!$K$2:$K$18,"Missing game",0)</x:f>
        <x:v>3</x:v>
      </x:c>
      <x:c r="AQ529" t="n">
        <x:f>_xlfn.XLOOKUP($A529,Games!$A$2:$A$18,Games!$L$2:$L$18,"Missing game",0)</x:f>
        <x:v>45</x:v>
      </x:c>
      <x:c r="AR529" t="n">
        <x:f>_xlfn.XLOOKUP($A529,Games!$A$2:$A$18,Games!$M$2:$M$18,"Missing game",0)</x:f>
        <x:v>0</x:v>
      </x:c>
      <x:c r="AS529" t="str">
        <x:f>_xlfn.XLOOKUP($A529,Games!$A$2:$A$18,Games!$N$2:$N$18,"Missing game",0)</x:f>
        <x:v>outdoors</x:v>
      </x:c>
      <x:c r="AT529" t="str">
        <x:f>_xlfn.XLOOKUP($A529,Games!$A$2:$A$18,Games!$O$2:$O$18,"Missing game",0)</x:f>
        <x:v>grass</x:v>
      </x:c>
      <x:c r="AU529" t="n">
        <x:f>_xlfn.XLOOKUP($A529,Games!$A$2:$A$18,Games!$P$2:$P$18,"Missing game",0)</x:f>
        <x:v>61</x:v>
      </x:c>
      <x:c r="AV529" t="n">
        <x:f>_xlfn.XLOOKUP($A529,Games!$A$2:$A$18,Games!$Q$2:$Q$18,"Missing game",0)</x:f>
        <x:v>5</x:v>
      </x:c>
      <x:c r="AW529" t="str">
        <x:f>_xlfn.XLOOKUP($A529,Games!$A$2:$A$18,Games!$R$2:$R$18,"Missing game",0)</x:f>
        <x:v>Acrisure Stadium</x:v>
      </x:c>
    </x:row>
    <x:row r="530">
      <x:c r="A530" t="str">
        <x:v>2025_04_MIN_PIT</x:v>
      </x:c>
      <x:c r="B530" t="n">
        <x:v>789</x:v>
      </x:c>
      <x:c r="C530" t="n">
        <x:v>1</x:v>
      </x:c>
      <x:c r="D530" t="str">
        <x:v>00:55</x:v>
      </x:c>
      <x:c r="E530"/>
      <x:c r="F530" t="n">
        <x:v>0</x:v>
      </x:c>
      <x:c r="G530" t="str">
        <x:v>PIT</x:v>
      </x:c>
      <x:c r="H530" t="str">
        <x:v>MIN</x:v>
      </x:c>
      <x:c r="I530" t="str">
        <x:v>MIN</x:v>
      </x:c>
      <x:c r="J530" t="n">
        <x:v>15</x:v>
      </x:c>
      <x:c r="K530" t="str">
        <x:v>9-C.Boswell extra point is GOOD, Center-46-C.Kuntz, Holder-3-C.Waitman.</x:v>
      </x:c>
      <x:c r="L530" t="str">
        <x:v>extra_point</x:v>
      </x:c>
      <x:c r="M530" t="n">
        <x:v>0</x:v>
      </x:c>
      <x:c r="N530" t="n">
        <x:v>0</x:v>
      </x:c>
      <x:c r="O530" t="n">
        <x:v>0</x:v>
      </x:c>
      <x:c r="P530"/>
      <x:c r="Q530"/>
      <x:c r="R530"/>
      <x:c r="S530"/>
      <x:c r="T530"/>
      <x:c r="U530"/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/>
      <x:c r="AC530" t="n">
        <x:v>0</x:v>
      </x:c>
      <x:c r="AD530" t="n">
        <x:v>0.06757300310763314</x:v>
      </x:c>
      <x:c r="AE530" t="n">
        <x:v>1</x:v>
      </x:c>
      <x:c r="AF530" t="n">
        <x:v>0.0019829341924474386</x:v>
      </x:c>
      <x:c r="AG530" t="n">
        <x:f>_xlfn.XLOOKUP($A530,Games!$A$2:$A$18,Games!$B$2:$B$18,"Missing game",0)</x:f>
        <x:v>2025</x:v>
      </x:c>
      <x:c r="AH530" t="str">
        <x:f>_xlfn.XLOOKUP($A530,Games!$A$2:$A$18,Games!$C$2:$C$18,"Missing game",0)</x:f>
        <x:v>REG</x:v>
      </x:c>
      <x:c r="AI530" t="n">
        <x:f>_xlfn.XLOOKUP($A530,Games!$A$2:$A$18,Games!$D$2:$D$18,"Missing game",0)</x:f>
        <x:v>4</x:v>
      </x:c>
      <x:c r="AJ530" s="1" t="n">
        <x:f>_xlfn.XLOOKUP($A530,Games!$A$2:$A$18,Games!$E$2:$E$18,"Missing game",0)</x:f>
        <x:v>45928</x:v>
      </x:c>
      <x:c r="AK530" t="str">
        <x:f>_xlfn.XLOOKUP($A530,Games!$A$2:$A$18,Games!$F$2:$F$18,"Missing game",0)</x:f>
        <x:v>Sunday</x:v>
      </x:c>
      <x:c r="AL530" t="str">
        <x:f>_xlfn.XLOOKUP($A530,Games!$A$2:$A$18,Games!$G$2:$G$18,"Missing game",0)</x:f>
        <x:v>MIN</x:v>
      </x:c>
      <x:c r="AM530" t="n">
        <x:f>_xlfn.XLOOKUP($A530,Games!$A$2:$A$18,Games!$H$2:$H$18,"Missing game",0)</x:f>
        <x:v>21</x:v>
      </x:c>
      <x:c r="AN530" t="str">
        <x:f>_xlfn.XLOOKUP($A530,Games!$A$2:$A$18,Games!$I$2:$I$18,"Missing game",0)</x:f>
        <x:v>PIT</x:v>
      </x:c>
      <x:c r="AO530" t="n">
        <x:f>_xlfn.XLOOKUP($A530,Games!$A$2:$A$18,Games!$J$2:$J$18,"Missing game",0)</x:f>
        <x:v>24</x:v>
      </x:c>
      <x:c r="AP530" t="n">
        <x:f>_xlfn.XLOOKUP($A530,Games!$A$2:$A$18,Games!$K$2:$K$18,"Missing game",0)</x:f>
        <x:v>3</x:v>
      </x:c>
      <x:c r="AQ530" t="n">
        <x:f>_xlfn.XLOOKUP($A530,Games!$A$2:$A$18,Games!$L$2:$L$18,"Missing game",0)</x:f>
        <x:v>45</x:v>
      </x:c>
      <x:c r="AR530" t="n">
        <x:f>_xlfn.XLOOKUP($A530,Games!$A$2:$A$18,Games!$M$2:$M$18,"Missing game",0)</x:f>
        <x:v>0</x:v>
      </x:c>
      <x:c r="AS530" t="str">
        <x:f>_xlfn.XLOOKUP($A530,Games!$A$2:$A$18,Games!$N$2:$N$18,"Missing game",0)</x:f>
        <x:v>outdoors</x:v>
      </x:c>
      <x:c r="AT530" t="str">
        <x:f>_xlfn.XLOOKUP($A530,Games!$A$2:$A$18,Games!$O$2:$O$18,"Missing game",0)</x:f>
        <x:v>grass</x:v>
      </x:c>
      <x:c r="AU530" t="n">
        <x:f>_xlfn.XLOOKUP($A530,Games!$A$2:$A$18,Games!$P$2:$P$18,"Missing game",0)</x:f>
        <x:v>61</x:v>
      </x:c>
      <x:c r="AV530" t="n">
        <x:f>_xlfn.XLOOKUP($A530,Games!$A$2:$A$18,Games!$Q$2:$Q$18,"Missing game",0)</x:f>
        <x:v>5</x:v>
      </x:c>
      <x:c r="AW530" t="str">
        <x:f>_xlfn.XLOOKUP($A530,Games!$A$2:$A$18,Games!$R$2:$R$18,"Missing game",0)</x:f>
        <x:v>Acrisure Stadium</x:v>
      </x:c>
    </x:row>
    <x:row r="531">
      <x:c r="A531" t="str">
        <x:v>2025_04_MIN_PIT</x:v>
      </x:c>
      <x:c r="B531" t="n">
        <x:v>804</x:v>
      </x:c>
      <x:c r="C531" t="n">
        <x:v>1</x:v>
      </x:c>
      <x:c r="D531" t="str">
        <x:v>00:55</x:v>
      </x:c>
      <x:c r="E531"/>
      <x:c r="F531" t="n">
        <x:v>0</x:v>
      </x:c>
      <x:c r="G531" t="str">
        <x:v>MIN</x:v>
      </x:c>
      <x:c r="H531" t="str">
        <x:v>PIT</x:v>
      </x:c>
      <x:c r="I531" t="str">
        <x:v>PIT</x:v>
      </x:c>
      <x:c r="J531" t="n">
        <x:v>35</x:v>
      </x:c>
      <x:c r="K531" t="str">
        <x:v>9-C.Boswell kicks 63 yards from PIT 35 to MIN 2. 13-T.Felton to MIN 30 for 28 yards (44-C.Bruener).</x:v>
      </x:c>
      <x:c r="L531" t="str">
        <x:v>kickoff</x:v>
      </x:c>
      <x:c r="M531" t="n">
        <x:v>0</x:v>
      </x:c>
      <x:c r="N531" t="n">
        <x:v>0</x:v>
      </x:c>
      <x:c r="O531" t="n">
        <x:v>0</x:v>
      </x:c>
      <x:c r="P531"/>
      <x:c r="Q531"/>
      <x:c r="R531"/>
      <x:c r="S531"/>
      <x:c r="T531"/>
      <x:c r="U531"/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/>
      <x:c r="AC531" t="n">
        <x:v>0</x:v>
      </x:c>
      <x:c r="AD531" t="n">
        <x:v>0.2740646549500525</x:v>
      </x:c>
      <x:c r="AE531" t="n">
        <x:v>1</x:v>
      </x:c>
      <x:c r="AF531" t="n">
        <x:v>0.006723284721374512</x:v>
      </x:c>
      <x:c r="AG531" t="n">
        <x:f>_xlfn.XLOOKUP($A531,Games!$A$2:$A$18,Games!$B$2:$B$18,"Missing game",0)</x:f>
        <x:v>2025</x:v>
      </x:c>
      <x:c r="AH531" t="str">
        <x:f>_xlfn.XLOOKUP($A531,Games!$A$2:$A$18,Games!$C$2:$C$18,"Missing game",0)</x:f>
        <x:v>REG</x:v>
      </x:c>
      <x:c r="AI531" t="n">
        <x:f>_xlfn.XLOOKUP($A531,Games!$A$2:$A$18,Games!$D$2:$D$18,"Missing game",0)</x:f>
        <x:v>4</x:v>
      </x:c>
      <x:c r="AJ531" s="1" t="n">
        <x:f>_xlfn.XLOOKUP($A531,Games!$A$2:$A$18,Games!$E$2:$E$18,"Missing game",0)</x:f>
        <x:v>45928</x:v>
      </x:c>
      <x:c r="AK531" t="str">
        <x:f>_xlfn.XLOOKUP($A531,Games!$A$2:$A$18,Games!$F$2:$F$18,"Missing game",0)</x:f>
        <x:v>Sunday</x:v>
      </x:c>
      <x:c r="AL531" t="str">
        <x:f>_xlfn.XLOOKUP($A531,Games!$A$2:$A$18,Games!$G$2:$G$18,"Missing game",0)</x:f>
        <x:v>MIN</x:v>
      </x:c>
      <x:c r="AM531" t="n">
        <x:f>_xlfn.XLOOKUP($A531,Games!$A$2:$A$18,Games!$H$2:$H$18,"Missing game",0)</x:f>
        <x:v>21</x:v>
      </x:c>
      <x:c r="AN531" t="str">
        <x:f>_xlfn.XLOOKUP($A531,Games!$A$2:$A$18,Games!$I$2:$I$18,"Missing game",0)</x:f>
        <x:v>PIT</x:v>
      </x:c>
      <x:c r="AO531" t="n">
        <x:f>_xlfn.XLOOKUP($A531,Games!$A$2:$A$18,Games!$J$2:$J$18,"Missing game",0)</x:f>
        <x:v>24</x:v>
      </x:c>
      <x:c r="AP531" t="n">
        <x:f>_xlfn.XLOOKUP($A531,Games!$A$2:$A$18,Games!$K$2:$K$18,"Missing game",0)</x:f>
        <x:v>3</x:v>
      </x:c>
      <x:c r="AQ531" t="n">
        <x:f>_xlfn.XLOOKUP($A531,Games!$A$2:$A$18,Games!$L$2:$L$18,"Missing game",0)</x:f>
        <x:v>45</x:v>
      </x:c>
      <x:c r="AR531" t="n">
        <x:f>_xlfn.XLOOKUP($A531,Games!$A$2:$A$18,Games!$M$2:$M$18,"Missing game",0)</x:f>
        <x:v>0</x:v>
      </x:c>
      <x:c r="AS531" t="str">
        <x:f>_xlfn.XLOOKUP($A531,Games!$A$2:$A$18,Games!$N$2:$N$18,"Missing game",0)</x:f>
        <x:v>outdoors</x:v>
      </x:c>
      <x:c r="AT531" t="str">
        <x:f>_xlfn.XLOOKUP($A531,Games!$A$2:$A$18,Games!$O$2:$O$18,"Missing game",0)</x:f>
        <x:v>grass</x:v>
      </x:c>
      <x:c r="AU531" t="n">
        <x:f>_xlfn.XLOOKUP($A531,Games!$A$2:$A$18,Games!$P$2:$P$18,"Missing game",0)</x:f>
        <x:v>61</x:v>
      </x:c>
      <x:c r="AV531" t="n">
        <x:f>_xlfn.XLOOKUP($A531,Games!$A$2:$A$18,Games!$Q$2:$Q$18,"Missing game",0)</x:f>
        <x:v>5</x:v>
      </x:c>
      <x:c r="AW531" t="str">
        <x:f>_xlfn.XLOOKUP($A531,Games!$A$2:$A$18,Games!$R$2:$R$18,"Missing game",0)</x:f>
        <x:v>Acrisure Stadium</x:v>
      </x:c>
    </x:row>
    <x:row r="532">
      <x:c r="A532" t="str">
        <x:v>2025_04_MIN_PIT</x:v>
      </x:c>
      <x:c r="B532" t="n">
        <x:v>834</x:v>
      </x:c>
      <x:c r="C532" t="n">
        <x:v>1</x:v>
      </x:c>
      <x:c r="D532" t="str">
        <x:v>00:50</x:v>
      </x:c>
      <x:c r="E532" t="n">
        <x:v>1</x:v>
      </x:c>
      <x:c r="F532" t="n">
        <x:v>10</x:v>
      </x:c>
      <x:c r="G532" t="str">
        <x:v>MIN</x:v>
      </x:c>
      <x:c r="H532" t="str">
        <x:v>PIT</x:v>
      </x:c>
      <x:c r="I532" t="str">
        <x:v>MIN</x:v>
      </x:c>
      <x:c r="J532" t="n">
        <x:v>70</x:v>
      </x:c>
      <x:c r="K532" t="str">
        <x:v>(:50) 27-J.Mason right end to MIN 31 for 1 yard (5-J.Ramsey).</x:v>
      </x:c>
      <x:c r="L532" t="str">
        <x:v>run</x:v>
      </x:c>
      <x:c r="M532" t="n">
        <x:v>1</x:v>
      </x:c>
      <x:c r="N532" t="n">
        <x:v>0</x:v>
      </x:c>
      <x:c r="O532" t="n">
        <x:v>0</x:v>
      </x:c>
      <x:c r="P532"/>
      <x:c r="Q532"/>
      <x:c r="R532"/>
      <x:c r="S532"/>
      <x:c r="T532" t="str">
        <x:v>right</x:v>
      </x:c>
      <x:c r="U532" t="str">
        <x:v>end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/>
      <x:c r="AC532" t="n">
        <x:v>0</x:v>
      </x:c>
      <x:c r="AD532" t="n">
        <x:v>-0.5208630324341357</x:v>
      </x:c>
      <x:c r="AE532" t="n">
        <x:v>0</x:v>
      </x:c>
      <x:c r="AF532" t="n">
        <x:v>-0.023315101861953735</x:v>
      </x:c>
      <x:c r="AG532" t="n">
        <x:f>_xlfn.XLOOKUP($A532,Games!$A$2:$A$18,Games!$B$2:$B$18,"Missing game",0)</x:f>
        <x:v>2025</x:v>
      </x:c>
      <x:c r="AH532" t="str">
        <x:f>_xlfn.XLOOKUP($A532,Games!$A$2:$A$18,Games!$C$2:$C$18,"Missing game",0)</x:f>
        <x:v>REG</x:v>
      </x:c>
      <x:c r="AI532" t="n">
        <x:f>_xlfn.XLOOKUP($A532,Games!$A$2:$A$18,Games!$D$2:$D$18,"Missing game",0)</x:f>
        <x:v>4</x:v>
      </x:c>
      <x:c r="AJ532" s="1" t="n">
        <x:f>_xlfn.XLOOKUP($A532,Games!$A$2:$A$18,Games!$E$2:$E$18,"Missing game",0)</x:f>
        <x:v>45928</x:v>
      </x:c>
      <x:c r="AK532" t="str">
        <x:f>_xlfn.XLOOKUP($A532,Games!$A$2:$A$18,Games!$F$2:$F$18,"Missing game",0)</x:f>
        <x:v>Sunday</x:v>
      </x:c>
      <x:c r="AL532" t="str">
        <x:f>_xlfn.XLOOKUP($A532,Games!$A$2:$A$18,Games!$G$2:$G$18,"Missing game",0)</x:f>
        <x:v>MIN</x:v>
      </x:c>
      <x:c r="AM532" t="n">
        <x:f>_xlfn.XLOOKUP($A532,Games!$A$2:$A$18,Games!$H$2:$H$18,"Missing game",0)</x:f>
        <x:v>21</x:v>
      </x:c>
      <x:c r="AN532" t="str">
        <x:f>_xlfn.XLOOKUP($A532,Games!$A$2:$A$18,Games!$I$2:$I$18,"Missing game",0)</x:f>
        <x:v>PIT</x:v>
      </x:c>
      <x:c r="AO532" t="n">
        <x:f>_xlfn.XLOOKUP($A532,Games!$A$2:$A$18,Games!$J$2:$J$18,"Missing game",0)</x:f>
        <x:v>24</x:v>
      </x:c>
      <x:c r="AP532" t="n">
        <x:f>_xlfn.XLOOKUP($A532,Games!$A$2:$A$18,Games!$K$2:$K$18,"Missing game",0)</x:f>
        <x:v>3</x:v>
      </x:c>
      <x:c r="AQ532" t="n">
        <x:f>_xlfn.XLOOKUP($A532,Games!$A$2:$A$18,Games!$L$2:$L$18,"Missing game",0)</x:f>
        <x:v>45</x:v>
      </x:c>
      <x:c r="AR532" t="n">
        <x:f>_xlfn.XLOOKUP($A532,Games!$A$2:$A$18,Games!$M$2:$M$18,"Missing game",0)</x:f>
        <x:v>0</x:v>
      </x:c>
      <x:c r="AS532" t="str">
        <x:f>_xlfn.XLOOKUP($A532,Games!$A$2:$A$18,Games!$N$2:$N$18,"Missing game",0)</x:f>
        <x:v>outdoors</x:v>
      </x:c>
      <x:c r="AT532" t="str">
        <x:f>_xlfn.XLOOKUP($A532,Games!$A$2:$A$18,Games!$O$2:$O$18,"Missing game",0)</x:f>
        <x:v>grass</x:v>
      </x:c>
      <x:c r="AU532" t="n">
        <x:f>_xlfn.XLOOKUP($A532,Games!$A$2:$A$18,Games!$P$2:$P$18,"Missing game",0)</x:f>
        <x:v>61</x:v>
      </x:c>
      <x:c r="AV532" t="n">
        <x:f>_xlfn.XLOOKUP($A532,Games!$A$2:$A$18,Games!$Q$2:$Q$18,"Missing game",0)</x:f>
        <x:v>5</x:v>
      </x:c>
      <x:c r="AW532" t="str">
        <x:f>_xlfn.XLOOKUP($A532,Games!$A$2:$A$18,Games!$R$2:$R$18,"Missing game",0)</x:f>
        <x:v>Acrisure Stadium</x:v>
      </x:c>
    </x:row>
    <x:row r="533">
      <x:c r="A533" t="str">
        <x:v>2025_04_MIN_PIT</x:v>
      </x:c>
      <x:c r="B533" t="n">
        <x:v>856</x:v>
      </x:c>
      <x:c r="C533" t="n">
        <x:v>1</x:v>
      </x:c>
      <x:c r="D533" t="str">
        <x:v>00:09</x:v>
      </x:c>
      <x:c r="E533" t="n">
        <x:v>2</x:v>
      </x:c>
      <x:c r="F533" t="n">
        <x:v>9</x:v>
      </x:c>
      <x:c r="G533" t="str">
        <x:v>MIN</x:v>
      </x:c>
      <x:c r="H533" t="str">
        <x:v>PIT</x:v>
      </x:c>
      <x:c r="I533" t="str">
        <x:v>MIN</x:v>
      </x:c>
      <x:c r="J533" t="n">
        <x:v>69</x:v>
      </x:c>
      <x:c r="K533" t="str">
        <x:v>(:09) (Shotgun) 11-C.Wentz pass deep right to 3-J.Addison to PIT 47 for 22 yards (23-D.Slay) [90-T.Watt].</x:v>
      </x:c>
      <x:c r="L533" t="str">
        <x:v>pass</x:v>
      </x:c>
      <x:c r="M533" t="n">
        <x:v>22</x:v>
      </x:c>
      <x:c r="N533" t="n">
        <x:v>1</x:v>
      </x:c>
      <x:c r="O533" t="n">
        <x:v>0</x:v>
      </x:c>
      <x:c r="P533" t="str">
        <x:v>deep</x:v>
      </x:c>
      <x:c r="Q533" t="str">
        <x:v>right</x:v>
      </x:c>
      <x:c r="R533" t="n">
        <x:v>17</x:v>
      </x:c>
      <x:c r="S533" t="n">
        <x:v>5</x:v>
      </x:c>
      <x:c r="T533"/>
      <x:c r="U533"/>
      <x:c r="V533" t="n">
        <x:v>1</x:v>
      </x:c>
      <x:c r="W533" t="n">
        <x:v>1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/>
      <x:c r="AC533" t="n">
        <x:v>0</x:v>
      </x:c>
      <x:c r="AD533" t="n">
        <x:v>2.0353473818395287</x:v>
      </x:c>
      <x:c r="AE533" t="n">
        <x:v>1</x:v>
      </x:c>
      <x:c r="AF533" t="n">
        <x:v>0.05949455499649048</x:v>
      </x:c>
      <x:c r="AG533" t="n">
        <x:f>_xlfn.XLOOKUP($A533,Games!$A$2:$A$18,Games!$B$2:$B$18,"Missing game",0)</x:f>
        <x:v>2025</x:v>
      </x:c>
      <x:c r="AH533" t="str">
        <x:f>_xlfn.XLOOKUP($A533,Games!$A$2:$A$18,Games!$C$2:$C$18,"Missing game",0)</x:f>
        <x:v>REG</x:v>
      </x:c>
      <x:c r="AI533" t="n">
        <x:f>_xlfn.XLOOKUP($A533,Games!$A$2:$A$18,Games!$D$2:$D$18,"Missing game",0)</x:f>
        <x:v>4</x:v>
      </x:c>
      <x:c r="AJ533" s="1" t="n">
        <x:f>_xlfn.XLOOKUP($A533,Games!$A$2:$A$18,Games!$E$2:$E$18,"Missing game",0)</x:f>
        <x:v>45928</x:v>
      </x:c>
      <x:c r="AK533" t="str">
        <x:f>_xlfn.XLOOKUP($A533,Games!$A$2:$A$18,Games!$F$2:$F$18,"Missing game",0)</x:f>
        <x:v>Sunday</x:v>
      </x:c>
      <x:c r="AL533" t="str">
        <x:f>_xlfn.XLOOKUP($A533,Games!$A$2:$A$18,Games!$G$2:$G$18,"Missing game",0)</x:f>
        <x:v>MIN</x:v>
      </x:c>
      <x:c r="AM533" t="n">
        <x:f>_xlfn.XLOOKUP($A533,Games!$A$2:$A$18,Games!$H$2:$H$18,"Missing game",0)</x:f>
        <x:v>21</x:v>
      </x:c>
      <x:c r="AN533" t="str">
        <x:f>_xlfn.XLOOKUP($A533,Games!$A$2:$A$18,Games!$I$2:$I$18,"Missing game",0)</x:f>
        <x:v>PIT</x:v>
      </x:c>
      <x:c r="AO533" t="n">
        <x:f>_xlfn.XLOOKUP($A533,Games!$A$2:$A$18,Games!$J$2:$J$18,"Missing game",0)</x:f>
        <x:v>24</x:v>
      </x:c>
      <x:c r="AP533" t="n">
        <x:f>_xlfn.XLOOKUP($A533,Games!$A$2:$A$18,Games!$K$2:$K$18,"Missing game",0)</x:f>
        <x:v>3</x:v>
      </x:c>
      <x:c r="AQ533" t="n">
        <x:f>_xlfn.XLOOKUP($A533,Games!$A$2:$A$18,Games!$L$2:$L$18,"Missing game",0)</x:f>
        <x:v>45</x:v>
      </x:c>
      <x:c r="AR533" t="n">
        <x:f>_xlfn.XLOOKUP($A533,Games!$A$2:$A$18,Games!$M$2:$M$18,"Missing game",0)</x:f>
        <x:v>0</x:v>
      </x:c>
      <x:c r="AS533" t="str">
        <x:f>_xlfn.XLOOKUP($A533,Games!$A$2:$A$18,Games!$N$2:$N$18,"Missing game",0)</x:f>
        <x:v>outdoors</x:v>
      </x:c>
      <x:c r="AT533" t="str">
        <x:f>_xlfn.XLOOKUP($A533,Games!$A$2:$A$18,Games!$O$2:$O$18,"Missing game",0)</x:f>
        <x:v>grass</x:v>
      </x:c>
      <x:c r="AU533" t="n">
        <x:f>_xlfn.XLOOKUP($A533,Games!$A$2:$A$18,Games!$P$2:$P$18,"Missing game",0)</x:f>
        <x:v>61</x:v>
      </x:c>
      <x:c r="AV533" t="n">
        <x:f>_xlfn.XLOOKUP($A533,Games!$A$2:$A$18,Games!$Q$2:$Q$18,"Missing game",0)</x:f>
        <x:v>5</x:v>
      </x:c>
      <x:c r="AW533" t="str">
        <x:f>_xlfn.XLOOKUP($A533,Games!$A$2:$A$18,Games!$R$2:$R$18,"Missing game",0)</x:f>
        <x:v>Acrisure Stadium</x:v>
      </x:c>
    </x:row>
    <x:row r="534">
      <x:c r="A534" t="str">
        <x:v>2025_04_MIN_PIT</x:v>
      </x:c>
      <x:c r="B534" t="n">
        <x:v>881</x:v>
      </x:c>
      <x:c r="C534" t="n">
        <x:v>1</x:v>
      </x:c>
      <x:c r="D534" t="str">
        <x:v>00:00</x:v>
      </x:c>
      <x:c r="E534"/>
      <x:c r="F534" t="n">
        <x:v>0</x:v>
      </x:c>
      <x:c r="G534" t="str">
        <x:v>MIN</x:v>
      </x:c>
      <x:c r="H534" t="str">
        <x:v>PIT</x:v>
      </x:c>
      <x:c r="I534"/>
      <x:c r="J534"/>
      <x:c r="K534" t="str">
        <x:v>END QUARTER 1</x:v>
      </x:c>
      <x:c r="L534"/>
      <x:c r="M534"/>
      <x:c r="N534" t="n">
        <x:v>0</x:v>
      </x:c>
      <x:c r="O534" t="n">
        <x:v>0</x:v>
      </x:c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 t="n">
        <x:v>0</x:v>
      </x:c>
      <x:c r="AE534" t="n">
        <x:v>0</x:v>
      </x:c>
      <x:c r="AF534" t="n">
        <x:v>0</x:v>
      </x:c>
      <x:c r="AG534" t="n">
        <x:f>_xlfn.XLOOKUP($A534,Games!$A$2:$A$18,Games!$B$2:$B$18,"Missing game",0)</x:f>
        <x:v>2025</x:v>
      </x:c>
      <x:c r="AH534" t="str">
        <x:f>_xlfn.XLOOKUP($A534,Games!$A$2:$A$18,Games!$C$2:$C$18,"Missing game",0)</x:f>
        <x:v>REG</x:v>
      </x:c>
      <x:c r="AI534" t="n">
        <x:f>_xlfn.XLOOKUP($A534,Games!$A$2:$A$18,Games!$D$2:$D$18,"Missing game",0)</x:f>
        <x:v>4</x:v>
      </x:c>
      <x:c r="AJ534" s="1" t="n">
        <x:f>_xlfn.XLOOKUP($A534,Games!$A$2:$A$18,Games!$E$2:$E$18,"Missing game",0)</x:f>
        <x:v>45928</x:v>
      </x:c>
      <x:c r="AK534" t="str">
        <x:f>_xlfn.XLOOKUP($A534,Games!$A$2:$A$18,Games!$F$2:$F$18,"Missing game",0)</x:f>
        <x:v>Sunday</x:v>
      </x:c>
      <x:c r="AL534" t="str">
        <x:f>_xlfn.XLOOKUP($A534,Games!$A$2:$A$18,Games!$G$2:$G$18,"Missing game",0)</x:f>
        <x:v>MIN</x:v>
      </x:c>
      <x:c r="AM534" t="n">
        <x:f>_xlfn.XLOOKUP($A534,Games!$A$2:$A$18,Games!$H$2:$H$18,"Missing game",0)</x:f>
        <x:v>21</x:v>
      </x:c>
      <x:c r="AN534" t="str">
        <x:f>_xlfn.XLOOKUP($A534,Games!$A$2:$A$18,Games!$I$2:$I$18,"Missing game",0)</x:f>
        <x:v>PIT</x:v>
      </x:c>
      <x:c r="AO534" t="n">
        <x:f>_xlfn.XLOOKUP($A534,Games!$A$2:$A$18,Games!$J$2:$J$18,"Missing game",0)</x:f>
        <x:v>24</x:v>
      </x:c>
      <x:c r="AP534" t="n">
        <x:f>_xlfn.XLOOKUP($A534,Games!$A$2:$A$18,Games!$K$2:$K$18,"Missing game",0)</x:f>
        <x:v>3</x:v>
      </x:c>
      <x:c r="AQ534" t="n">
        <x:f>_xlfn.XLOOKUP($A534,Games!$A$2:$A$18,Games!$L$2:$L$18,"Missing game",0)</x:f>
        <x:v>45</x:v>
      </x:c>
      <x:c r="AR534" t="n">
        <x:f>_xlfn.XLOOKUP($A534,Games!$A$2:$A$18,Games!$M$2:$M$18,"Missing game",0)</x:f>
        <x:v>0</x:v>
      </x:c>
      <x:c r="AS534" t="str">
        <x:f>_xlfn.XLOOKUP($A534,Games!$A$2:$A$18,Games!$N$2:$N$18,"Missing game",0)</x:f>
        <x:v>outdoors</x:v>
      </x:c>
      <x:c r="AT534" t="str">
        <x:f>_xlfn.XLOOKUP($A534,Games!$A$2:$A$18,Games!$O$2:$O$18,"Missing game",0)</x:f>
        <x:v>grass</x:v>
      </x:c>
      <x:c r="AU534" t="n">
        <x:f>_xlfn.XLOOKUP($A534,Games!$A$2:$A$18,Games!$P$2:$P$18,"Missing game",0)</x:f>
        <x:v>61</x:v>
      </x:c>
      <x:c r="AV534" t="n">
        <x:f>_xlfn.XLOOKUP($A534,Games!$A$2:$A$18,Games!$Q$2:$Q$18,"Missing game",0)</x:f>
        <x:v>5</x:v>
      </x:c>
      <x:c r="AW534" t="str">
        <x:f>_xlfn.XLOOKUP($A534,Games!$A$2:$A$18,Games!$R$2:$R$18,"Missing game",0)</x:f>
        <x:v>Acrisure Stadium</x:v>
      </x:c>
    </x:row>
    <x:row r="535">
      <x:c r="A535" t="str">
        <x:v>2025_04_MIN_PIT</x:v>
      </x:c>
      <x:c r="B535" t="n">
        <x:v>901</x:v>
      </x:c>
      <x:c r="C535" t="n">
        <x:v>2</x:v>
      </x:c>
      <x:c r="D535" t="str">
        <x:v>15:00</x:v>
      </x:c>
      <x:c r="E535" t="n">
        <x:v>1</x:v>
      </x:c>
      <x:c r="F535" t="n">
        <x:v>10</x:v>
      </x:c>
      <x:c r="G535" t="str">
        <x:v>MIN</x:v>
      </x:c>
      <x:c r="H535" t="str">
        <x:v>PIT</x:v>
      </x:c>
      <x:c r="I535" t="str">
        <x:v>PIT</x:v>
      </x:c>
      <x:c r="J535" t="n">
        <x:v>47</x:v>
      </x:c>
      <x:c r="K535" t="str">
        <x:v>(15:00) (Shotgun) 11-C.Wentz pass short left to 18-J.Jefferson pushed ob at PIT 42 for 5 yards (6-P.Queen).</x:v>
      </x:c>
      <x:c r="L535" t="str">
        <x:v>pass</x:v>
      </x:c>
      <x:c r="M535" t="n">
        <x:v>5</x:v>
      </x:c>
      <x:c r="N535" t="n">
        <x:v>1</x:v>
      </x:c>
      <x:c r="O535" t="n">
        <x:v>0</x:v>
      </x:c>
      <x:c r="P535" t="str">
        <x:v>short</x:v>
      </x:c>
      <x:c r="Q535" t="str">
        <x:v>left</x:v>
      </x:c>
      <x:c r="R535" t="n">
        <x:v>-3</x:v>
      </x:c>
      <x:c r="S535" t="n">
        <x:v>8</x:v>
      </x:c>
      <x:c r="T535"/>
      <x:c r="U535"/>
      <x:c r="V535" t="n">
        <x:v>1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/>
      <x:c r="AC535" t="n">
        <x:v>0</x:v>
      </x:c>
      <x:c r="AD535" t="n">
        <x:v>-0.03970590443350375</x:v>
      </x:c>
      <x:c r="AE535" t="n">
        <x:v>0</x:v>
      </x:c>
      <x:c r="AF535" t="n">
        <x:v>0.01886126399040222</x:v>
      </x:c>
      <x:c r="AG535" t="n">
        <x:f>_xlfn.XLOOKUP($A535,Games!$A$2:$A$18,Games!$B$2:$B$18,"Missing game",0)</x:f>
        <x:v>2025</x:v>
      </x:c>
      <x:c r="AH535" t="str">
        <x:f>_xlfn.XLOOKUP($A535,Games!$A$2:$A$18,Games!$C$2:$C$18,"Missing game",0)</x:f>
        <x:v>REG</x:v>
      </x:c>
      <x:c r="AI535" t="n">
        <x:f>_xlfn.XLOOKUP($A535,Games!$A$2:$A$18,Games!$D$2:$D$18,"Missing game",0)</x:f>
        <x:v>4</x:v>
      </x:c>
      <x:c r="AJ535" s="1" t="n">
        <x:f>_xlfn.XLOOKUP($A535,Games!$A$2:$A$18,Games!$E$2:$E$18,"Missing game",0)</x:f>
        <x:v>45928</x:v>
      </x:c>
      <x:c r="AK535" t="str">
        <x:f>_xlfn.XLOOKUP($A535,Games!$A$2:$A$18,Games!$F$2:$F$18,"Missing game",0)</x:f>
        <x:v>Sunday</x:v>
      </x:c>
      <x:c r="AL535" t="str">
        <x:f>_xlfn.XLOOKUP($A535,Games!$A$2:$A$18,Games!$G$2:$G$18,"Missing game",0)</x:f>
        <x:v>MIN</x:v>
      </x:c>
      <x:c r="AM535" t="n">
        <x:f>_xlfn.XLOOKUP($A535,Games!$A$2:$A$18,Games!$H$2:$H$18,"Missing game",0)</x:f>
        <x:v>21</x:v>
      </x:c>
      <x:c r="AN535" t="str">
        <x:f>_xlfn.XLOOKUP($A535,Games!$A$2:$A$18,Games!$I$2:$I$18,"Missing game",0)</x:f>
        <x:v>PIT</x:v>
      </x:c>
      <x:c r="AO535" t="n">
        <x:f>_xlfn.XLOOKUP($A535,Games!$A$2:$A$18,Games!$J$2:$J$18,"Missing game",0)</x:f>
        <x:v>24</x:v>
      </x:c>
      <x:c r="AP535" t="n">
        <x:f>_xlfn.XLOOKUP($A535,Games!$A$2:$A$18,Games!$K$2:$K$18,"Missing game",0)</x:f>
        <x:v>3</x:v>
      </x:c>
      <x:c r="AQ535" t="n">
        <x:f>_xlfn.XLOOKUP($A535,Games!$A$2:$A$18,Games!$L$2:$L$18,"Missing game",0)</x:f>
        <x:v>45</x:v>
      </x:c>
      <x:c r="AR535" t="n">
        <x:f>_xlfn.XLOOKUP($A535,Games!$A$2:$A$18,Games!$M$2:$M$18,"Missing game",0)</x:f>
        <x:v>0</x:v>
      </x:c>
      <x:c r="AS535" t="str">
        <x:f>_xlfn.XLOOKUP($A535,Games!$A$2:$A$18,Games!$N$2:$N$18,"Missing game",0)</x:f>
        <x:v>outdoors</x:v>
      </x:c>
      <x:c r="AT535" t="str">
        <x:f>_xlfn.XLOOKUP($A535,Games!$A$2:$A$18,Games!$O$2:$O$18,"Missing game",0)</x:f>
        <x:v>grass</x:v>
      </x:c>
      <x:c r="AU535" t="n">
        <x:f>_xlfn.XLOOKUP($A535,Games!$A$2:$A$18,Games!$P$2:$P$18,"Missing game",0)</x:f>
        <x:v>61</x:v>
      </x:c>
      <x:c r="AV535" t="n">
        <x:f>_xlfn.XLOOKUP($A535,Games!$A$2:$A$18,Games!$Q$2:$Q$18,"Missing game",0)</x:f>
        <x:v>5</x:v>
      </x:c>
      <x:c r="AW535" t="str">
        <x:f>_xlfn.XLOOKUP($A535,Games!$A$2:$A$18,Games!$R$2:$R$18,"Missing game",0)</x:f>
        <x:v>Acrisure Stadium</x:v>
      </x:c>
    </x:row>
    <x:row r="536">
      <x:c r="A536" t="str">
        <x:v>2025_04_MIN_PIT</x:v>
      </x:c>
      <x:c r="B536" t="n">
        <x:v>931</x:v>
      </x:c>
      <x:c r="C536" t="n">
        <x:v>2</x:v>
      </x:c>
      <x:c r="D536" t="str">
        <x:v>14:24</x:v>
      </x:c>
      <x:c r="E536" t="n">
        <x:v>2</x:v>
      </x:c>
      <x:c r="F536" t="n">
        <x:v>5</x:v>
      </x:c>
      <x:c r="G536" t="str">
        <x:v>MIN</x:v>
      </x:c>
      <x:c r="H536" t="str">
        <x:v>PIT</x:v>
      </x:c>
      <x:c r="I536" t="str">
        <x:v>PIT</x:v>
      </x:c>
      <x:c r="J536" t="n">
        <x:v>42</x:v>
      </x:c>
      <x:c r="K536" t="str">
        <x:v>(14:24) 27-J.Mason left end to PIT 44 for -2 yards (41-P.Wilson).</x:v>
      </x:c>
      <x:c r="L536" t="str">
        <x:v>run</x:v>
      </x:c>
      <x:c r="M536" t="n">
        <x:v>-2</x:v>
      </x:c>
      <x:c r="N536" t="n">
        <x:v>0</x:v>
      </x:c>
      <x:c r="O536" t="n">
        <x:v>0</x:v>
      </x:c>
      <x:c r="P536"/>
      <x:c r="Q536"/>
      <x:c r="R536"/>
      <x:c r="S536"/>
      <x:c r="T536" t="str">
        <x:v>left</x:v>
      </x:c>
      <x:c r="U536" t="str">
        <x:v>end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/>
      <x:c r="AC536" t="n">
        <x:v>0</x:v>
      </x:c>
      <x:c r="AD536" t="n">
        <x:v>-1.1446245645638555</x:v>
      </x:c>
      <x:c r="AE536" t="n">
        <x:v>0</x:v>
      </x:c>
      <x:c r="AF536" t="n">
        <x:v>-0.031226307153701782</x:v>
      </x:c>
      <x:c r="AG536" t="n">
        <x:f>_xlfn.XLOOKUP($A536,Games!$A$2:$A$18,Games!$B$2:$B$18,"Missing game",0)</x:f>
        <x:v>2025</x:v>
      </x:c>
      <x:c r="AH536" t="str">
        <x:f>_xlfn.XLOOKUP($A536,Games!$A$2:$A$18,Games!$C$2:$C$18,"Missing game",0)</x:f>
        <x:v>REG</x:v>
      </x:c>
      <x:c r="AI536" t="n">
        <x:f>_xlfn.XLOOKUP($A536,Games!$A$2:$A$18,Games!$D$2:$D$18,"Missing game",0)</x:f>
        <x:v>4</x:v>
      </x:c>
      <x:c r="AJ536" s="1" t="n">
        <x:f>_xlfn.XLOOKUP($A536,Games!$A$2:$A$18,Games!$E$2:$E$18,"Missing game",0)</x:f>
        <x:v>45928</x:v>
      </x:c>
      <x:c r="AK536" t="str">
        <x:f>_xlfn.XLOOKUP($A536,Games!$A$2:$A$18,Games!$F$2:$F$18,"Missing game",0)</x:f>
        <x:v>Sunday</x:v>
      </x:c>
      <x:c r="AL536" t="str">
        <x:f>_xlfn.XLOOKUP($A536,Games!$A$2:$A$18,Games!$G$2:$G$18,"Missing game",0)</x:f>
        <x:v>MIN</x:v>
      </x:c>
      <x:c r="AM536" t="n">
        <x:f>_xlfn.XLOOKUP($A536,Games!$A$2:$A$18,Games!$H$2:$H$18,"Missing game",0)</x:f>
        <x:v>21</x:v>
      </x:c>
      <x:c r="AN536" t="str">
        <x:f>_xlfn.XLOOKUP($A536,Games!$A$2:$A$18,Games!$I$2:$I$18,"Missing game",0)</x:f>
        <x:v>PIT</x:v>
      </x:c>
      <x:c r="AO536" t="n">
        <x:f>_xlfn.XLOOKUP($A536,Games!$A$2:$A$18,Games!$J$2:$J$18,"Missing game",0)</x:f>
        <x:v>24</x:v>
      </x:c>
      <x:c r="AP536" t="n">
        <x:f>_xlfn.XLOOKUP($A536,Games!$A$2:$A$18,Games!$K$2:$K$18,"Missing game",0)</x:f>
        <x:v>3</x:v>
      </x:c>
      <x:c r="AQ536" t="n">
        <x:f>_xlfn.XLOOKUP($A536,Games!$A$2:$A$18,Games!$L$2:$L$18,"Missing game",0)</x:f>
        <x:v>45</x:v>
      </x:c>
      <x:c r="AR536" t="n">
        <x:f>_xlfn.XLOOKUP($A536,Games!$A$2:$A$18,Games!$M$2:$M$18,"Missing game",0)</x:f>
        <x:v>0</x:v>
      </x:c>
      <x:c r="AS536" t="str">
        <x:f>_xlfn.XLOOKUP($A536,Games!$A$2:$A$18,Games!$N$2:$N$18,"Missing game",0)</x:f>
        <x:v>outdoors</x:v>
      </x:c>
      <x:c r="AT536" t="str">
        <x:f>_xlfn.XLOOKUP($A536,Games!$A$2:$A$18,Games!$O$2:$O$18,"Missing game",0)</x:f>
        <x:v>grass</x:v>
      </x:c>
      <x:c r="AU536" t="n">
        <x:f>_xlfn.XLOOKUP($A536,Games!$A$2:$A$18,Games!$P$2:$P$18,"Missing game",0)</x:f>
        <x:v>61</x:v>
      </x:c>
      <x:c r="AV536" t="n">
        <x:f>_xlfn.XLOOKUP($A536,Games!$A$2:$A$18,Games!$Q$2:$Q$18,"Missing game",0)</x:f>
        <x:v>5</x:v>
      </x:c>
      <x:c r="AW536" t="str">
        <x:f>_xlfn.XLOOKUP($A536,Games!$A$2:$A$18,Games!$R$2:$R$18,"Missing game",0)</x:f>
        <x:v>Acrisure Stadium</x:v>
      </x:c>
    </x:row>
    <x:row r="537">
      <x:c r="A537" t="str">
        <x:v>2025_04_MIN_PIT</x:v>
      </x:c>
      <x:c r="B537" t="n">
        <x:v>953</x:v>
      </x:c>
      <x:c r="C537" t="n">
        <x:v>2</x:v>
      </x:c>
      <x:c r="D537" t="str">
        <x:v>13:42</x:v>
      </x:c>
      <x:c r="E537" t="n">
        <x:v>3</x:v>
      </x:c>
      <x:c r="F537" t="n">
        <x:v>7</x:v>
      </x:c>
      <x:c r="G537" t="str">
        <x:v>MIN</x:v>
      </x:c>
      <x:c r="H537" t="str">
        <x:v>PIT</x:v>
      </x:c>
      <x:c r="I537" t="str">
        <x:v>PIT</x:v>
      </x:c>
      <x:c r="J537" t="n">
        <x:v>44</x:v>
      </x:c>
      <x:c r="K537" t="str">
        <x:v>(13:42) (Shotgun) PENALTY on MIN-71-C.Darrisaw, False Start, 6 yards, enforced at PIT 44 - No Play.</x:v>
      </x:c>
      <x:c r="L537" t="str">
        <x:v>no_play</x:v>
      </x:c>
      <x:c r="M537" t="n">
        <x:v>0</x:v>
      </x:c>
      <x:c r="N537" t="n">
        <x:v>1</x:v>
      </x:c>
      <x:c r="O537" t="n">
        <x:v>0</x:v>
      </x:c>
      <x:c r="P537"/>
      <x:c r="Q537"/>
      <x:c r="R537"/>
      <x:c r="S537"/>
      <x:c r="T537"/>
      <x:c r="U537"/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1</x:v>
      </x:c>
      <x:c r="AB537" t="n">
        <x:v>6</x:v>
      </x:c>
      <x:c r="AC537" t="n">
        <x:v>0</x:v>
      </x:c>
      <x:c r="AD537" t="n">
        <x:v>-0.8324367832392454</x:v>
      </x:c>
      <x:c r="AE537" t="n">
        <x:v>0</x:v>
      </x:c>
      <x:c r="AF537" t="n">
        <x:v>-0.057923078536987305</x:v>
      </x:c>
      <x:c r="AG537" t="n">
        <x:f>_xlfn.XLOOKUP($A537,Games!$A$2:$A$18,Games!$B$2:$B$18,"Missing game",0)</x:f>
        <x:v>2025</x:v>
      </x:c>
      <x:c r="AH537" t="str">
        <x:f>_xlfn.XLOOKUP($A537,Games!$A$2:$A$18,Games!$C$2:$C$18,"Missing game",0)</x:f>
        <x:v>REG</x:v>
      </x:c>
      <x:c r="AI537" t="n">
        <x:f>_xlfn.XLOOKUP($A537,Games!$A$2:$A$18,Games!$D$2:$D$18,"Missing game",0)</x:f>
        <x:v>4</x:v>
      </x:c>
      <x:c r="AJ537" s="1" t="n">
        <x:f>_xlfn.XLOOKUP($A537,Games!$A$2:$A$18,Games!$E$2:$E$18,"Missing game",0)</x:f>
        <x:v>45928</x:v>
      </x:c>
      <x:c r="AK537" t="str">
        <x:f>_xlfn.XLOOKUP($A537,Games!$A$2:$A$18,Games!$F$2:$F$18,"Missing game",0)</x:f>
        <x:v>Sunday</x:v>
      </x:c>
      <x:c r="AL537" t="str">
        <x:f>_xlfn.XLOOKUP($A537,Games!$A$2:$A$18,Games!$G$2:$G$18,"Missing game",0)</x:f>
        <x:v>MIN</x:v>
      </x:c>
      <x:c r="AM537" t="n">
        <x:f>_xlfn.XLOOKUP($A537,Games!$A$2:$A$18,Games!$H$2:$H$18,"Missing game",0)</x:f>
        <x:v>21</x:v>
      </x:c>
      <x:c r="AN537" t="str">
        <x:f>_xlfn.XLOOKUP($A537,Games!$A$2:$A$18,Games!$I$2:$I$18,"Missing game",0)</x:f>
        <x:v>PIT</x:v>
      </x:c>
      <x:c r="AO537" t="n">
        <x:f>_xlfn.XLOOKUP($A537,Games!$A$2:$A$18,Games!$J$2:$J$18,"Missing game",0)</x:f>
        <x:v>24</x:v>
      </x:c>
      <x:c r="AP537" t="n">
        <x:f>_xlfn.XLOOKUP($A537,Games!$A$2:$A$18,Games!$K$2:$K$18,"Missing game",0)</x:f>
        <x:v>3</x:v>
      </x:c>
      <x:c r="AQ537" t="n">
        <x:f>_xlfn.XLOOKUP($A537,Games!$A$2:$A$18,Games!$L$2:$L$18,"Missing game",0)</x:f>
        <x:v>45</x:v>
      </x:c>
      <x:c r="AR537" t="n">
        <x:f>_xlfn.XLOOKUP($A537,Games!$A$2:$A$18,Games!$M$2:$M$18,"Missing game",0)</x:f>
        <x:v>0</x:v>
      </x:c>
      <x:c r="AS537" t="str">
        <x:f>_xlfn.XLOOKUP($A537,Games!$A$2:$A$18,Games!$N$2:$N$18,"Missing game",0)</x:f>
        <x:v>outdoors</x:v>
      </x:c>
      <x:c r="AT537" t="str">
        <x:f>_xlfn.XLOOKUP($A537,Games!$A$2:$A$18,Games!$O$2:$O$18,"Missing game",0)</x:f>
        <x:v>grass</x:v>
      </x:c>
      <x:c r="AU537" t="n">
        <x:f>_xlfn.XLOOKUP($A537,Games!$A$2:$A$18,Games!$P$2:$P$18,"Missing game",0)</x:f>
        <x:v>61</x:v>
      </x:c>
      <x:c r="AV537" t="n">
        <x:f>_xlfn.XLOOKUP($A537,Games!$A$2:$A$18,Games!$Q$2:$Q$18,"Missing game",0)</x:f>
        <x:v>5</x:v>
      </x:c>
      <x:c r="AW537" t="str">
        <x:f>_xlfn.XLOOKUP($A537,Games!$A$2:$A$18,Games!$R$2:$R$18,"Missing game",0)</x:f>
        <x:v>Acrisure Stadium</x:v>
      </x:c>
    </x:row>
    <x:row r="538">
      <x:c r="A538" t="str">
        <x:v>2025_04_MIN_PIT</x:v>
      </x:c>
      <x:c r="B538" t="n">
        <x:v>977</x:v>
      </x:c>
      <x:c r="C538" t="n">
        <x:v>2</x:v>
      </x:c>
      <x:c r="D538" t="str">
        <x:v>13:20</x:v>
      </x:c>
      <x:c r="E538" t="n">
        <x:v>3</x:v>
      </x:c>
      <x:c r="F538" t="n">
        <x:v>13</x:v>
      </x:c>
      <x:c r="G538" t="str">
        <x:v>MIN</x:v>
      </x:c>
      <x:c r="H538" t="str">
        <x:v>PIT</x:v>
      </x:c>
      <x:c r="I538" t="str">
        <x:v>50</x:v>
      </x:c>
      <x:c r="J538" t="n">
        <x:v>50</x:v>
      </x:c>
      <x:c r="K538" t="str">
        <x:v>(13:20) (Shotgun) 11-C.Wentz sacked at MIN 41 for -9 yards (51-N.Herbig).</x:v>
      </x:c>
      <x:c r="L538" t="str">
        <x:v>pass</x:v>
      </x:c>
      <x:c r="M538" t="n">
        <x:v>-9</x:v>
      </x:c>
      <x:c r="N538" t="n">
        <x:v>1</x:v>
      </x:c>
      <x:c r="O538" t="n">
        <x:v>0</x:v>
      </x:c>
      <x:c r="P538"/>
      <x:c r="Q538"/>
      <x:c r="R538"/>
      <x:c r="S538"/>
      <x:c r="T538"/>
      <x:c r="U538"/>
      <x:c r="V538" t="n">
        <x:v>0</x:v>
      </x:c>
      <x:c r="W538" t="n">
        <x:v>0</x:v>
      </x:c>
      <x:c r="X538" t="n">
        <x:v>1</x:v>
      </x:c>
      <x:c r="Y538" t="n">
        <x:v>0</x:v>
      </x:c>
      <x:c r="Z538" t="n">
        <x:v>0</x:v>
      </x:c>
      <x:c r="AA538" t="n">
        <x:v>0</x:v>
      </x:c>
      <x:c r="AB538"/>
      <x:c r="AC538" t="n">
        <x:v>0</x:v>
      </x:c>
      <x:c r="AD538" t="n">
        <x:v>-1.4788371652830392</x:v>
      </x:c>
      <x:c r="AE538" t="n">
        <x:v>0</x:v>
      </x:c>
      <x:c r="AF538" t="n">
        <x:v>-0.02286013960838318</x:v>
      </x:c>
      <x:c r="AG538" t="n">
        <x:f>_xlfn.XLOOKUP($A538,Games!$A$2:$A$18,Games!$B$2:$B$18,"Missing game",0)</x:f>
        <x:v>2025</x:v>
      </x:c>
      <x:c r="AH538" t="str">
        <x:f>_xlfn.XLOOKUP($A538,Games!$A$2:$A$18,Games!$C$2:$C$18,"Missing game",0)</x:f>
        <x:v>REG</x:v>
      </x:c>
      <x:c r="AI538" t="n">
        <x:f>_xlfn.XLOOKUP($A538,Games!$A$2:$A$18,Games!$D$2:$D$18,"Missing game",0)</x:f>
        <x:v>4</x:v>
      </x:c>
      <x:c r="AJ538" s="1" t="n">
        <x:f>_xlfn.XLOOKUP($A538,Games!$A$2:$A$18,Games!$E$2:$E$18,"Missing game",0)</x:f>
        <x:v>45928</x:v>
      </x:c>
      <x:c r="AK538" t="str">
        <x:f>_xlfn.XLOOKUP($A538,Games!$A$2:$A$18,Games!$F$2:$F$18,"Missing game",0)</x:f>
        <x:v>Sunday</x:v>
      </x:c>
      <x:c r="AL538" t="str">
        <x:f>_xlfn.XLOOKUP($A538,Games!$A$2:$A$18,Games!$G$2:$G$18,"Missing game",0)</x:f>
        <x:v>MIN</x:v>
      </x:c>
      <x:c r="AM538" t="n">
        <x:f>_xlfn.XLOOKUP($A538,Games!$A$2:$A$18,Games!$H$2:$H$18,"Missing game",0)</x:f>
        <x:v>21</x:v>
      </x:c>
      <x:c r="AN538" t="str">
        <x:f>_xlfn.XLOOKUP($A538,Games!$A$2:$A$18,Games!$I$2:$I$18,"Missing game",0)</x:f>
        <x:v>PIT</x:v>
      </x:c>
      <x:c r="AO538" t="n">
        <x:f>_xlfn.XLOOKUP($A538,Games!$A$2:$A$18,Games!$J$2:$J$18,"Missing game",0)</x:f>
        <x:v>24</x:v>
      </x:c>
      <x:c r="AP538" t="n">
        <x:f>_xlfn.XLOOKUP($A538,Games!$A$2:$A$18,Games!$K$2:$K$18,"Missing game",0)</x:f>
        <x:v>3</x:v>
      </x:c>
      <x:c r="AQ538" t="n">
        <x:f>_xlfn.XLOOKUP($A538,Games!$A$2:$A$18,Games!$L$2:$L$18,"Missing game",0)</x:f>
        <x:v>45</x:v>
      </x:c>
      <x:c r="AR538" t="n">
        <x:f>_xlfn.XLOOKUP($A538,Games!$A$2:$A$18,Games!$M$2:$M$18,"Missing game",0)</x:f>
        <x:v>0</x:v>
      </x:c>
      <x:c r="AS538" t="str">
        <x:f>_xlfn.XLOOKUP($A538,Games!$A$2:$A$18,Games!$N$2:$N$18,"Missing game",0)</x:f>
        <x:v>outdoors</x:v>
      </x:c>
      <x:c r="AT538" t="str">
        <x:f>_xlfn.XLOOKUP($A538,Games!$A$2:$A$18,Games!$O$2:$O$18,"Missing game",0)</x:f>
        <x:v>grass</x:v>
      </x:c>
      <x:c r="AU538" t="n">
        <x:f>_xlfn.XLOOKUP($A538,Games!$A$2:$A$18,Games!$P$2:$P$18,"Missing game",0)</x:f>
        <x:v>61</x:v>
      </x:c>
      <x:c r="AV538" t="n">
        <x:f>_xlfn.XLOOKUP($A538,Games!$A$2:$A$18,Games!$Q$2:$Q$18,"Missing game",0)</x:f>
        <x:v>5</x:v>
      </x:c>
      <x:c r="AW538" t="str">
        <x:f>_xlfn.XLOOKUP($A538,Games!$A$2:$A$18,Games!$R$2:$R$18,"Missing game",0)</x:f>
        <x:v>Acrisure Stadium</x:v>
      </x:c>
    </x:row>
    <x:row r="539">
      <x:c r="A539" t="str">
        <x:v>2025_04_MIN_PIT</x:v>
      </x:c>
      <x:c r="B539" t="n">
        <x:v>997</x:v>
      </x:c>
      <x:c r="C539" t="n">
        <x:v>2</x:v>
      </x:c>
      <x:c r="D539" t="str">
        <x:v>12:38</x:v>
      </x:c>
      <x:c r="E539" t="n">
        <x:v>4</x:v>
      </x:c>
      <x:c r="F539" t="n">
        <x:v>22</x:v>
      </x:c>
      <x:c r="G539" t="str">
        <x:v>MIN</x:v>
      </x:c>
      <x:c r="H539" t="str">
        <x:v>PIT</x:v>
      </x:c>
      <x:c r="I539" t="str">
        <x:v>MIN</x:v>
      </x:c>
      <x:c r="J539" t="n">
        <x:v>59</x:v>
      </x:c>
      <x:c r="K539" t="str">
        <x:v>(12:38) 17-R.Wright punts 39 yards to PIT 20, Center-42-A.DePaola, downed by MIN-13-T.Felton.</x:v>
      </x:c>
      <x:c r="L539" t="str">
        <x:v>punt</x:v>
      </x:c>
      <x:c r="M539" t="n">
        <x:v>0</x:v>
      </x:c>
      <x:c r="N539" t="n">
        <x:v>0</x:v>
      </x:c>
      <x:c r="O539" t="n">
        <x:v>0</x:v>
      </x:c>
      <x:c r="P539"/>
      <x:c r="Q539"/>
      <x:c r="R539"/>
      <x:c r="S539"/>
      <x:c r="T539"/>
      <x:c r="U539"/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/>
      <x:c r="AC539" t="n">
        <x:v>0</x:v>
      </x:c>
      <x:c r="AD539" t="n">
        <x:v>0.1720431288704276</x:v>
      </x:c>
      <x:c r="AE539" t="n">
        <x:v>1</x:v>
      </x:c>
      <x:c r="AF539" t="n">
        <x:v>0.026860684156417847</x:v>
      </x:c>
      <x:c r="AG539" t="n">
        <x:f>_xlfn.XLOOKUP($A539,Games!$A$2:$A$18,Games!$B$2:$B$18,"Missing game",0)</x:f>
        <x:v>2025</x:v>
      </x:c>
      <x:c r="AH539" t="str">
        <x:f>_xlfn.XLOOKUP($A539,Games!$A$2:$A$18,Games!$C$2:$C$18,"Missing game",0)</x:f>
        <x:v>REG</x:v>
      </x:c>
      <x:c r="AI539" t="n">
        <x:f>_xlfn.XLOOKUP($A539,Games!$A$2:$A$18,Games!$D$2:$D$18,"Missing game",0)</x:f>
        <x:v>4</x:v>
      </x:c>
      <x:c r="AJ539" s="1" t="n">
        <x:f>_xlfn.XLOOKUP($A539,Games!$A$2:$A$18,Games!$E$2:$E$18,"Missing game",0)</x:f>
        <x:v>45928</x:v>
      </x:c>
      <x:c r="AK539" t="str">
        <x:f>_xlfn.XLOOKUP($A539,Games!$A$2:$A$18,Games!$F$2:$F$18,"Missing game",0)</x:f>
        <x:v>Sunday</x:v>
      </x:c>
      <x:c r="AL539" t="str">
        <x:f>_xlfn.XLOOKUP($A539,Games!$A$2:$A$18,Games!$G$2:$G$18,"Missing game",0)</x:f>
        <x:v>MIN</x:v>
      </x:c>
      <x:c r="AM539" t="n">
        <x:f>_xlfn.XLOOKUP($A539,Games!$A$2:$A$18,Games!$H$2:$H$18,"Missing game",0)</x:f>
        <x:v>21</x:v>
      </x:c>
      <x:c r="AN539" t="str">
        <x:f>_xlfn.XLOOKUP($A539,Games!$A$2:$A$18,Games!$I$2:$I$18,"Missing game",0)</x:f>
        <x:v>PIT</x:v>
      </x:c>
      <x:c r="AO539" t="n">
        <x:f>_xlfn.XLOOKUP($A539,Games!$A$2:$A$18,Games!$J$2:$J$18,"Missing game",0)</x:f>
        <x:v>24</x:v>
      </x:c>
      <x:c r="AP539" t="n">
        <x:f>_xlfn.XLOOKUP($A539,Games!$A$2:$A$18,Games!$K$2:$K$18,"Missing game",0)</x:f>
        <x:v>3</x:v>
      </x:c>
      <x:c r="AQ539" t="n">
        <x:f>_xlfn.XLOOKUP($A539,Games!$A$2:$A$18,Games!$L$2:$L$18,"Missing game",0)</x:f>
        <x:v>45</x:v>
      </x:c>
      <x:c r="AR539" t="n">
        <x:f>_xlfn.XLOOKUP($A539,Games!$A$2:$A$18,Games!$M$2:$M$18,"Missing game",0)</x:f>
        <x:v>0</x:v>
      </x:c>
      <x:c r="AS539" t="str">
        <x:f>_xlfn.XLOOKUP($A539,Games!$A$2:$A$18,Games!$N$2:$N$18,"Missing game",0)</x:f>
        <x:v>outdoors</x:v>
      </x:c>
      <x:c r="AT539" t="str">
        <x:f>_xlfn.XLOOKUP($A539,Games!$A$2:$A$18,Games!$O$2:$O$18,"Missing game",0)</x:f>
        <x:v>grass</x:v>
      </x:c>
      <x:c r="AU539" t="n">
        <x:f>_xlfn.XLOOKUP($A539,Games!$A$2:$A$18,Games!$P$2:$P$18,"Missing game",0)</x:f>
        <x:v>61</x:v>
      </x:c>
      <x:c r="AV539" t="n">
        <x:f>_xlfn.XLOOKUP($A539,Games!$A$2:$A$18,Games!$Q$2:$Q$18,"Missing game",0)</x:f>
        <x:v>5</x:v>
      </x:c>
      <x:c r="AW539" t="str">
        <x:f>_xlfn.XLOOKUP($A539,Games!$A$2:$A$18,Games!$R$2:$R$18,"Missing game",0)</x:f>
        <x:v>Acrisure Stadium</x:v>
      </x:c>
    </x:row>
    <x:row r="540">
      <x:c r="A540" t="str">
        <x:v>2025_04_MIN_PIT</x:v>
      </x:c>
      <x:c r="B540" t="n">
        <x:v>1017</x:v>
      </x:c>
      <x:c r="C540" t="n">
        <x:v>2</x:v>
      </x:c>
      <x:c r="D540" t="str">
        <x:v>12:28</x:v>
      </x:c>
      <x:c r="E540" t="n">
        <x:v>1</x:v>
      </x:c>
      <x:c r="F540" t="n">
        <x:v>10</x:v>
      </x:c>
      <x:c r="G540" t="str">
        <x:v>PIT</x:v>
      </x:c>
      <x:c r="H540" t="str">
        <x:v>MIN</x:v>
      </x:c>
      <x:c r="I540" t="str">
        <x:v>PIT</x:v>
      </x:c>
      <x:c r="J540" t="n">
        <x:v>80</x:v>
      </x:c>
      <x:c r="K540" t="str">
        <x:v>(12:28) (Shotgun) 8-A.Rodgers pass short middle to 4-D.Metcalf for 80 yards, TOUCHDOWN.</x:v>
      </x:c>
      <x:c r="L540" t="str">
        <x:v>pass</x:v>
      </x:c>
      <x:c r="M540" t="n">
        <x:v>80</x:v>
      </x:c>
      <x:c r="N540" t="n">
        <x:v>1</x:v>
      </x:c>
      <x:c r="O540" t="n">
        <x:v>0</x:v>
      </x:c>
      <x:c r="P540" t="str">
        <x:v>short</x:v>
      </x:c>
      <x:c r="Q540" t="str">
        <x:v>middle</x:v>
      </x:c>
      <x:c r="R540" t="n">
        <x:v>14</x:v>
      </x:c>
      <x:c r="S540" t="n">
        <x:v>66</x:v>
      </x:c>
      <x:c r="T540"/>
      <x:c r="U540"/>
      <x:c r="V540" t="n">
        <x:v>1</x:v>
      </x:c>
      <x:c r="W540" t="n">
        <x:v>1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/>
      <x:c r="AC540" t="n">
        <x:v>1</x:v>
      </x:c>
      <x:c r="AD540" t="n">
        <x:v>6.403278690297157</x:v>
      </x:c>
      <x:c r="AE540" t="n">
        <x:v>1</x:v>
      </x:c>
      <x:c r="AF540" t="n">
        <x:v>0.16106871210064688</x:v>
      </x:c>
      <x:c r="AG540" t="n">
        <x:f>_xlfn.XLOOKUP($A540,Games!$A$2:$A$18,Games!$B$2:$B$18,"Missing game",0)</x:f>
        <x:v>2025</x:v>
      </x:c>
      <x:c r="AH540" t="str">
        <x:f>_xlfn.XLOOKUP($A540,Games!$A$2:$A$18,Games!$C$2:$C$18,"Missing game",0)</x:f>
        <x:v>REG</x:v>
      </x:c>
      <x:c r="AI540" t="n">
        <x:f>_xlfn.XLOOKUP($A540,Games!$A$2:$A$18,Games!$D$2:$D$18,"Missing game",0)</x:f>
        <x:v>4</x:v>
      </x:c>
      <x:c r="AJ540" s="1" t="n">
        <x:f>_xlfn.XLOOKUP($A540,Games!$A$2:$A$18,Games!$E$2:$E$18,"Missing game",0)</x:f>
        <x:v>45928</x:v>
      </x:c>
      <x:c r="AK540" t="str">
        <x:f>_xlfn.XLOOKUP($A540,Games!$A$2:$A$18,Games!$F$2:$F$18,"Missing game",0)</x:f>
        <x:v>Sunday</x:v>
      </x:c>
      <x:c r="AL540" t="str">
        <x:f>_xlfn.XLOOKUP($A540,Games!$A$2:$A$18,Games!$G$2:$G$18,"Missing game",0)</x:f>
        <x:v>MIN</x:v>
      </x:c>
      <x:c r="AM540" t="n">
        <x:f>_xlfn.XLOOKUP($A540,Games!$A$2:$A$18,Games!$H$2:$H$18,"Missing game",0)</x:f>
        <x:v>21</x:v>
      </x:c>
      <x:c r="AN540" t="str">
        <x:f>_xlfn.XLOOKUP($A540,Games!$A$2:$A$18,Games!$I$2:$I$18,"Missing game",0)</x:f>
        <x:v>PIT</x:v>
      </x:c>
      <x:c r="AO540" t="n">
        <x:f>_xlfn.XLOOKUP($A540,Games!$A$2:$A$18,Games!$J$2:$J$18,"Missing game",0)</x:f>
        <x:v>24</x:v>
      </x:c>
      <x:c r="AP540" t="n">
        <x:f>_xlfn.XLOOKUP($A540,Games!$A$2:$A$18,Games!$K$2:$K$18,"Missing game",0)</x:f>
        <x:v>3</x:v>
      </x:c>
      <x:c r="AQ540" t="n">
        <x:f>_xlfn.XLOOKUP($A540,Games!$A$2:$A$18,Games!$L$2:$L$18,"Missing game",0)</x:f>
        <x:v>45</x:v>
      </x:c>
      <x:c r="AR540" t="n">
        <x:f>_xlfn.XLOOKUP($A540,Games!$A$2:$A$18,Games!$M$2:$M$18,"Missing game",0)</x:f>
        <x:v>0</x:v>
      </x:c>
      <x:c r="AS540" t="str">
        <x:f>_xlfn.XLOOKUP($A540,Games!$A$2:$A$18,Games!$N$2:$N$18,"Missing game",0)</x:f>
        <x:v>outdoors</x:v>
      </x:c>
      <x:c r="AT540" t="str">
        <x:f>_xlfn.XLOOKUP($A540,Games!$A$2:$A$18,Games!$O$2:$O$18,"Missing game",0)</x:f>
        <x:v>grass</x:v>
      </x:c>
      <x:c r="AU540" t="n">
        <x:f>_xlfn.XLOOKUP($A540,Games!$A$2:$A$18,Games!$P$2:$P$18,"Missing game",0)</x:f>
        <x:v>61</x:v>
      </x:c>
      <x:c r="AV540" t="n">
        <x:f>_xlfn.XLOOKUP($A540,Games!$A$2:$A$18,Games!$Q$2:$Q$18,"Missing game",0)</x:f>
        <x:v>5</x:v>
      </x:c>
      <x:c r="AW540" t="str">
        <x:f>_xlfn.XLOOKUP($A540,Games!$A$2:$A$18,Games!$R$2:$R$18,"Missing game",0)</x:f>
        <x:v>Acrisure Stadium</x:v>
      </x:c>
    </x:row>
    <x:row r="541">
      <x:c r="A541" t="str">
        <x:v>2025_04_MIN_PIT</x:v>
      </x:c>
      <x:c r="B541" t="n">
        <x:v>1055</x:v>
      </x:c>
      <x:c r="C541" t="n">
        <x:v>2</x:v>
      </x:c>
      <x:c r="D541" t="str">
        <x:v>12:16</x:v>
      </x:c>
      <x:c r="E541"/>
      <x:c r="F541" t="n">
        <x:v>0</x:v>
      </x:c>
      <x:c r="G541" t="str">
        <x:v>PIT</x:v>
      </x:c>
      <x:c r="H541" t="str">
        <x:v>MIN</x:v>
      </x:c>
      <x:c r="I541" t="str">
        <x:v>MIN</x:v>
      </x:c>
      <x:c r="J541" t="n">
        <x:v>15</x:v>
      </x:c>
      <x:c r="K541" t="str">
        <x:v>9-C.Boswell extra point is GOOD, Center-46-C.Kuntz, Holder-3-C.Waitman.</x:v>
      </x:c>
      <x:c r="L541" t="str">
        <x:v>extra_point</x:v>
      </x:c>
      <x:c r="M541" t="n">
        <x:v>0</x:v>
      </x:c>
      <x:c r="N541" t="n">
        <x:v>0</x:v>
      </x:c>
      <x:c r="O541" t="n">
        <x:v>0</x:v>
      </x:c>
      <x:c r="P541"/>
      <x:c r="Q541"/>
      <x:c r="R541"/>
      <x:c r="S541"/>
      <x:c r="T541"/>
      <x:c r="U541"/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/>
      <x:c r="AC541" t="n">
        <x:v>0</x:v>
      </x:c>
      <x:c r="AD541" t="n">
        <x:v>0.06757300310763314</x:v>
      </x:c>
      <x:c r="AE541" t="n">
        <x:v>1</x:v>
      </x:c>
      <x:c r="AF541" t="n">
        <x:v>0.0022459135201950975</x:v>
      </x:c>
      <x:c r="AG541" t="n">
        <x:f>_xlfn.XLOOKUP($A541,Games!$A$2:$A$18,Games!$B$2:$B$18,"Missing game",0)</x:f>
        <x:v>2025</x:v>
      </x:c>
      <x:c r="AH541" t="str">
        <x:f>_xlfn.XLOOKUP($A541,Games!$A$2:$A$18,Games!$C$2:$C$18,"Missing game",0)</x:f>
        <x:v>REG</x:v>
      </x:c>
      <x:c r="AI541" t="n">
        <x:f>_xlfn.XLOOKUP($A541,Games!$A$2:$A$18,Games!$D$2:$D$18,"Missing game",0)</x:f>
        <x:v>4</x:v>
      </x:c>
      <x:c r="AJ541" s="1" t="n">
        <x:f>_xlfn.XLOOKUP($A541,Games!$A$2:$A$18,Games!$E$2:$E$18,"Missing game",0)</x:f>
        <x:v>45928</x:v>
      </x:c>
      <x:c r="AK541" t="str">
        <x:f>_xlfn.XLOOKUP($A541,Games!$A$2:$A$18,Games!$F$2:$F$18,"Missing game",0)</x:f>
        <x:v>Sunday</x:v>
      </x:c>
      <x:c r="AL541" t="str">
        <x:f>_xlfn.XLOOKUP($A541,Games!$A$2:$A$18,Games!$G$2:$G$18,"Missing game",0)</x:f>
        <x:v>MIN</x:v>
      </x:c>
      <x:c r="AM541" t="n">
        <x:f>_xlfn.XLOOKUP($A541,Games!$A$2:$A$18,Games!$H$2:$H$18,"Missing game",0)</x:f>
        <x:v>21</x:v>
      </x:c>
      <x:c r="AN541" t="str">
        <x:f>_xlfn.XLOOKUP($A541,Games!$A$2:$A$18,Games!$I$2:$I$18,"Missing game",0)</x:f>
        <x:v>PIT</x:v>
      </x:c>
      <x:c r="AO541" t="n">
        <x:f>_xlfn.XLOOKUP($A541,Games!$A$2:$A$18,Games!$J$2:$J$18,"Missing game",0)</x:f>
        <x:v>24</x:v>
      </x:c>
      <x:c r="AP541" t="n">
        <x:f>_xlfn.XLOOKUP($A541,Games!$A$2:$A$18,Games!$K$2:$K$18,"Missing game",0)</x:f>
        <x:v>3</x:v>
      </x:c>
      <x:c r="AQ541" t="n">
        <x:f>_xlfn.XLOOKUP($A541,Games!$A$2:$A$18,Games!$L$2:$L$18,"Missing game",0)</x:f>
        <x:v>45</x:v>
      </x:c>
      <x:c r="AR541" t="n">
        <x:f>_xlfn.XLOOKUP($A541,Games!$A$2:$A$18,Games!$M$2:$M$18,"Missing game",0)</x:f>
        <x:v>0</x:v>
      </x:c>
      <x:c r="AS541" t="str">
        <x:f>_xlfn.XLOOKUP($A541,Games!$A$2:$A$18,Games!$N$2:$N$18,"Missing game",0)</x:f>
        <x:v>outdoors</x:v>
      </x:c>
      <x:c r="AT541" t="str">
        <x:f>_xlfn.XLOOKUP($A541,Games!$A$2:$A$18,Games!$O$2:$O$18,"Missing game",0)</x:f>
        <x:v>grass</x:v>
      </x:c>
      <x:c r="AU541" t="n">
        <x:f>_xlfn.XLOOKUP($A541,Games!$A$2:$A$18,Games!$P$2:$P$18,"Missing game",0)</x:f>
        <x:v>61</x:v>
      </x:c>
      <x:c r="AV541" t="n">
        <x:f>_xlfn.XLOOKUP($A541,Games!$A$2:$A$18,Games!$Q$2:$Q$18,"Missing game",0)</x:f>
        <x:v>5</x:v>
      </x:c>
      <x:c r="AW541" t="str">
        <x:f>_xlfn.XLOOKUP($A541,Games!$A$2:$A$18,Games!$R$2:$R$18,"Missing game",0)</x:f>
        <x:v>Acrisure Stadium</x:v>
      </x:c>
    </x:row>
    <x:row r="542">
      <x:c r="A542" t="str">
        <x:v>2025_04_MIN_PIT</x:v>
      </x:c>
      <x:c r="B542" t="n">
        <x:v>1070</x:v>
      </x:c>
      <x:c r="C542" t="n">
        <x:v>2</x:v>
      </x:c>
      <x:c r="D542" t="str">
        <x:v>12:16</x:v>
      </x:c>
      <x:c r="E542"/>
      <x:c r="F542" t="n">
        <x:v>0</x:v>
      </x:c>
      <x:c r="G542" t="str">
        <x:v>MIN</x:v>
      </x:c>
      <x:c r="H542" t="str">
        <x:v>PIT</x:v>
      </x:c>
      <x:c r="I542" t="str">
        <x:v>PIT</x:v>
      </x:c>
      <x:c r="J542" t="n">
        <x:v>35</x:v>
      </x:c>
      <x:c r="K542" t="str">
        <x:v>9-C.Boswell kicks 60 yards from PIT 35 to MIN 5. 13-T.Felton to MIN 26 for 21 yards (83-Co.Heyward; 55-C.Holcomb).</x:v>
      </x:c>
      <x:c r="L542" t="str">
        <x:v>kickoff</x:v>
      </x:c>
      <x:c r="M542" t="n">
        <x:v>0</x:v>
      </x:c>
      <x:c r="N542" t="n">
        <x:v>0</x:v>
      </x:c>
      <x:c r="O542" t="n">
        <x:v>0</x:v>
      </x:c>
      <x:c r="P542"/>
      <x:c r="Q542"/>
      <x:c r="R542"/>
      <x:c r="S542"/>
      <x:c r="T542"/>
      <x:c r="U542"/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/>
      <x:c r="AC542" t="n">
        <x:v>0</x:v>
      </x:c>
      <x:c r="AD542" t="n">
        <x:v>0.02288547670468688</x:v>
      </x:c>
      <x:c r="AE542" t="n">
        <x:v>1</x:v>
      </x:c>
      <x:c r="AF542" t="n">
        <x:v>0</x:v>
      </x:c>
      <x:c r="AG542" t="n">
        <x:f>_xlfn.XLOOKUP($A542,Games!$A$2:$A$18,Games!$B$2:$B$18,"Missing game",0)</x:f>
        <x:v>2025</x:v>
      </x:c>
      <x:c r="AH542" t="str">
        <x:f>_xlfn.XLOOKUP($A542,Games!$A$2:$A$18,Games!$C$2:$C$18,"Missing game",0)</x:f>
        <x:v>REG</x:v>
      </x:c>
      <x:c r="AI542" t="n">
        <x:f>_xlfn.XLOOKUP($A542,Games!$A$2:$A$18,Games!$D$2:$D$18,"Missing game",0)</x:f>
        <x:v>4</x:v>
      </x:c>
      <x:c r="AJ542" s="1" t="n">
        <x:f>_xlfn.XLOOKUP($A542,Games!$A$2:$A$18,Games!$E$2:$E$18,"Missing game",0)</x:f>
        <x:v>45928</x:v>
      </x:c>
      <x:c r="AK542" t="str">
        <x:f>_xlfn.XLOOKUP($A542,Games!$A$2:$A$18,Games!$F$2:$F$18,"Missing game",0)</x:f>
        <x:v>Sunday</x:v>
      </x:c>
      <x:c r="AL542" t="str">
        <x:f>_xlfn.XLOOKUP($A542,Games!$A$2:$A$18,Games!$G$2:$G$18,"Missing game",0)</x:f>
        <x:v>MIN</x:v>
      </x:c>
      <x:c r="AM542" t="n">
        <x:f>_xlfn.XLOOKUP($A542,Games!$A$2:$A$18,Games!$H$2:$H$18,"Missing game",0)</x:f>
        <x:v>21</x:v>
      </x:c>
      <x:c r="AN542" t="str">
        <x:f>_xlfn.XLOOKUP($A542,Games!$A$2:$A$18,Games!$I$2:$I$18,"Missing game",0)</x:f>
        <x:v>PIT</x:v>
      </x:c>
      <x:c r="AO542" t="n">
        <x:f>_xlfn.XLOOKUP($A542,Games!$A$2:$A$18,Games!$J$2:$J$18,"Missing game",0)</x:f>
        <x:v>24</x:v>
      </x:c>
      <x:c r="AP542" t="n">
        <x:f>_xlfn.XLOOKUP($A542,Games!$A$2:$A$18,Games!$K$2:$K$18,"Missing game",0)</x:f>
        <x:v>3</x:v>
      </x:c>
      <x:c r="AQ542" t="n">
        <x:f>_xlfn.XLOOKUP($A542,Games!$A$2:$A$18,Games!$L$2:$L$18,"Missing game",0)</x:f>
        <x:v>45</x:v>
      </x:c>
      <x:c r="AR542" t="n">
        <x:f>_xlfn.XLOOKUP($A542,Games!$A$2:$A$18,Games!$M$2:$M$18,"Missing game",0)</x:f>
        <x:v>0</x:v>
      </x:c>
      <x:c r="AS542" t="str">
        <x:f>_xlfn.XLOOKUP($A542,Games!$A$2:$A$18,Games!$N$2:$N$18,"Missing game",0)</x:f>
        <x:v>outdoors</x:v>
      </x:c>
      <x:c r="AT542" t="str">
        <x:f>_xlfn.XLOOKUP($A542,Games!$A$2:$A$18,Games!$O$2:$O$18,"Missing game",0)</x:f>
        <x:v>grass</x:v>
      </x:c>
      <x:c r="AU542" t="n">
        <x:f>_xlfn.XLOOKUP($A542,Games!$A$2:$A$18,Games!$P$2:$P$18,"Missing game",0)</x:f>
        <x:v>61</x:v>
      </x:c>
      <x:c r="AV542" t="n">
        <x:f>_xlfn.XLOOKUP($A542,Games!$A$2:$A$18,Games!$Q$2:$Q$18,"Missing game",0)</x:f>
        <x:v>5</x:v>
      </x:c>
      <x:c r="AW542" t="str">
        <x:f>_xlfn.XLOOKUP($A542,Games!$A$2:$A$18,Games!$R$2:$R$18,"Missing game",0)</x:f>
        <x:v>Acrisure Stadium</x:v>
      </x:c>
    </x:row>
    <x:row r="543">
      <x:c r="A543" t="str">
        <x:v>2025_04_MIN_PIT</x:v>
      </x:c>
      <x:c r="B543" t="n">
        <x:v>1093</x:v>
      </x:c>
      <x:c r="C543" t="n">
        <x:v>2</x:v>
      </x:c>
      <x:c r="D543" t="str">
        <x:v>12:11</x:v>
      </x:c>
      <x:c r="E543" t="n">
        <x:v>1</x:v>
      </x:c>
      <x:c r="F543" t="n">
        <x:v>10</x:v>
      </x:c>
      <x:c r="G543" t="str">
        <x:v>MIN</x:v>
      </x:c>
      <x:c r="H543" t="str">
        <x:v>PIT</x:v>
      </x:c>
      <x:c r="I543" t="str">
        <x:v>MIN</x:v>
      </x:c>
      <x:c r="J543" t="n">
        <x:v>74</x:v>
      </x:c>
      <x:c r="K543" t="str">
        <x:v>(12:11) 27-J.Mason left tackle to MIN 26 for no gain (95-K.Benton; 41-P.Wilson).</x:v>
      </x:c>
      <x:c r="L543" t="str">
        <x:v>run</x:v>
      </x:c>
      <x:c r="M543" t="n">
        <x:v>0</x:v>
      </x:c>
      <x:c r="N543" t="n">
        <x:v>0</x:v>
      </x:c>
      <x:c r="O543" t="n">
        <x:v>0</x:v>
      </x:c>
      <x:c r="P543"/>
      <x:c r="Q543"/>
      <x:c r="R543"/>
      <x:c r="S543"/>
      <x:c r="T543" t="str">
        <x:v>left</x:v>
      </x:c>
      <x:c r="U543" t="str">
        <x:v>tackle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/>
      <x:c r="AC543" t="n">
        <x:v>0</x:v>
      </x:c>
      <x:c r="AD543" t="n">
        <x:v>-0.5229496513493359</x:v>
      </x:c>
      <x:c r="AE543" t="n">
        <x:v>0</x:v>
      </x:c>
      <x:c r="AF543" t="n">
        <x:v>-0.010266706347465515</x:v>
      </x:c>
      <x:c r="AG543" t="n">
        <x:f>_xlfn.XLOOKUP($A543,Games!$A$2:$A$18,Games!$B$2:$B$18,"Missing game",0)</x:f>
        <x:v>2025</x:v>
      </x:c>
      <x:c r="AH543" t="str">
        <x:f>_xlfn.XLOOKUP($A543,Games!$A$2:$A$18,Games!$C$2:$C$18,"Missing game",0)</x:f>
        <x:v>REG</x:v>
      </x:c>
      <x:c r="AI543" t="n">
        <x:f>_xlfn.XLOOKUP($A543,Games!$A$2:$A$18,Games!$D$2:$D$18,"Missing game",0)</x:f>
        <x:v>4</x:v>
      </x:c>
      <x:c r="AJ543" s="1" t="n">
        <x:f>_xlfn.XLOOKUP($A543,Games!$A$2:$A$18,Games!$E$2:$E$18,"Missing game",0)</x:f>
        <x:v>45928</x:v>
      </x:c>
      <x:c r="AK543" t="str">
        <x:f>_xlfn.XLOOKUP($A543,Games!$A$2:$A$18,Games!$F$2:$F$18,"Missing game",0)</x:f>
        <x:v>Sunday</x:v>
      </x:c>
      <x:c r="AL543" t="str">
        <x:f>_xlfn.XLOOKUP($A543,Games!$A$2:$A$18,Games!$G$2:$G$18,"Missing game",0)</x:f>
        <x:v>MIN</x:v>
      </x:c>
      <x:c r="AM543" t="n">
        <x:f>_xlfn.XLOOKUP($A543,Games!$A$2:$A$18,Games!$H$2:$H$18,"Missing game",0)</x:f>
        <x:v>21</x:v>
      </x:c>
      <x:c r="AN543" t="str">
        <x:f>_xlfn.XLOOKUP($A543,Games!$A$2:$A$18,Games!$I$2:$I$18,"Missing game",0)</x:f>
        <x:v>PIT</x:v>
      </x:c>
      <x:c r="AO543" t="n">
        <x:f>_xlfn.XLOOKUP($A543,Games!$A$2:$A$18,Games!$J$2:$J$18,"Missing game",0)</x:f>
        <x:v>24</x:v>
      </x:c>
      <x:c r="AP543" t="n">
        <x:f>_xlfn.XLOOKUP($A543,Games!$A$2:$A$18,Games!$K$2:$K$18,"Missing game",0)</x:f>
        <x:v>3</x:v>
      </x:c>
      <x:c r="AQ543" t="n">
        <x:f>_xlfn.XLOOKUP($A543,Games!$A$2:$A$18,Games!$L$2:$L$18,"Missing game",0)</x:f>
        <x:v>45</x:v>
      </x:c>
      <x:c r="AR543" t="n">
        <x:f>_xlfn.XLOOKUP($A543,Games!$A$2:$A$18,Games!$M$2:$M$18,"Missing game",0)</x:f>
        <x:v>0</x:v>
      </x:c>
      <x:c r="AS543" t="str">
        <x:f>_xlfn.XLOOKUP($A543,Games!$A$2:$A$18,Games!$N$2:$N$18,"Missing game",0)</x:f>
        <x:v>outdoors</x:v>
      </x:c>
      <x:c r="AT543" t="str">
        <x:f>_xlfn.XLOOKUP($A543,Games!$A$2:$A$18,Games!$O$2:$O$18,"Missing game",0)</x:f>
        <x:v>grass</x:v>
      </x:c>
      <x:c r="AU543" t="n">
        <x:f>_xlfn.XLOOKUP($A543,Games!$A$2:$A$18,Games!$P$2:$P$18,"Missing game",0)</x:f>
        <x:v>61</x:v>
      </x:c>
      <x:c r="AV543" t="n">
        <x:f>_xlfn.XLOOKUP($A543,Games!$A$2:$A$18,Games!$Q$2:$Q$18,"Missing game",0)</x:f>
        <x:v>5</x:v>
      </x:c>
      <x:c r="AW543" t="str">
        <x:f>_xlfn.XLOOKUP($A543,Games!$A$2:$A$18,Games!$R$2:$R$18,"Missing game",0)</x:f>
        <x:v>Acrisure Stadium</x:v>
      </x:c>
    </x:row>
    <x:row r="544">
      <x:c r="A544" t="str">
        <x:v>2025_04_MIN_PIT</x:v>
      </x:c>
      <x:c r="B544" t="n">
        <x:v>1115</x:v>
      </x:c>
      <x:c r="C544" t="n">
        <x:v>2</x:v>
      </x:c>
      <x:c r="D544" t="str">
        <x:v>11:28</x:v>
      </x:c>
      <x:c r="E544" t="n">
        <x:v>2</x:v>
      </x:c>
      <x:c r="F544" t="n">
        <x:v>10</x:v>
      </x:c>
      <x:c r="G544" t="str">
        <x:v>MIN</x:v>
      </x:c>
      <x:c r="H544" t="str">
        <x:v>PIT</x:v>
      </x:c>
      <x:c r="I544" t="str">
        <x:v>MIN</x:v>
      </x:c>
      <x:c r="J544" t="n">
        <x:v>74</x:v>
      </x:c>
      <x:c r="K544" t="str">
        <x:v>(11:28) (Shotgun) 11-C.Wentz pass short left to 3-J.Addison to MIN 31 for 5 yards (51-N.Herbig).</x:v>
      </x:c>
      <x:c r="L544" t="str">
        <x:v>pass</x:v>
      </x:c>
      <x:c r="M544" t="n">
        <x:v>5</x:v>
      </x:c>
      <x:c r="N544" t="n">
        <x:v>1</x:v>
      </x:c>
      <x:c r="O544" t="n">
        <x:v>0</x:v>
      </x:c>
      <x:c r="P544" t="str">
        <x:v>short</x:v>
      </x:c>
      <x:c r="Q544" t="str">
        <x:v>left</x:v>
      </x:c>
      <x:c r="R544" t="n">
        <x:v>4</x:v>
      </x:c>
      <x:c r="S544" t="n">
        <x:v>1</x:v>
      </x:c>
      <x:c r="T544"/>
      <x:c r="U544"/>
      <x:c r="V544" t="n">
        <x:v>1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/>
      <x:c r="AC544" t="n">
        <x:v>0</x:v>
      </x:c>
      <x:c r="AD544" t="n">
        <x:v>-0.028553627198562026</x:v>
      </x:c>
      <x:c r="AE544" t="n">
        <x:v>0</x:v>
      </x:c>
      <x:c r="AF544" t="n">
        <x:v>-0.0015164762735366821</x:v>
      </x:c>
      <x:c r="AG544" t="n">
        <x:f>_xlfn.XLOOKUP($A544,Games!$A$2:$A$18,Games!$B$2:$B$18,"Missing game",0)</x:f>
        <x:v>2025</x:v>
      </x:c>
      <x:c r="AH544" t="str">
        <x:f>_xlfn.XLOOKUP($A544,Games!$A$2:$A$18,Games!$C$2:$C$18,"Missing game",0)</x:f>
        <x:v>REG</x:v>
      </x:c>
      <x:c r="AI544" t="n">
        <x:f>_xlfn.XLOOKUP($A544,Games!$A$2:$A$18,Games!$D$2:$D$18,"Missing game",0)</x:f>
        <x:v>4</x:v>
      </x:c>
      <x:c r="AJ544" s="1" t="n">
        <x:f>_xlfn.XLOOKUP($A544,Games!$A$2:$A$18,Games!$E$2:$E$18,"Missing game",0)</x:f>
        <x:v>45928</x:v>
      </x:c>
      <x:c r="AK544" t="str">
        <x:f>_xlfn.XLOOKUP($A544,Games!$A$2:$A$18,Games!$F$2:$F$18,"Missing game",0)</x:f>
        <x:v>Sunday</x:v>
      </x:c>
      <x:c r="AL544" t="str">
        <x:f>_xlfn.XLOOKUP($A544,Games!$A$2:$A$18,Games!$G$2:$G$18,"Missing game",0)</x:f>
        <x:v>MIN</x:v>
      </x:c>
      <x:c r="AM544" t="n">
        <x:f>_xlfn.XLOOKUP($A544,Games!$A$2:$A$18,Games!$H$2:$H$18,"Missing game",0)</x:f>
        <x:v>21</x:v>
      </x:c>
      <x:c r="AN544" t="str">
        <x:f>_xlfn.XLOOKUP($A544,Games!$A$2:$A$18,Games!$I$2:$I$18,"Missing game",0)</x:f>
        <x:v>PIT</x:v>
      </x:c>
      <x:c r="AO544" t="n">
        <x:f>_xlfn.XLOOKUP($A544,Games!$A$2:$A$18,Games!$J$2:$J$18,"Missing game",0)</x:f>
        <x:v>24</x:v>
      </x:c>
      <x:c r="AP544" t="n">
        <x:f>_xlfn.XLOOKUP($A544,Games!$A$2:$A$18,Games!$K$2:$K$18,"Missing game",0)</x:f>
        <x:v>3</x:v>
      </x:c>
      <x:c r="AQ544" t="n">
        <x:f>_xlfn.XLOOKUP($A544,Games!$A$2:$A$18,Games!$L$2:$L$18,"Missing game",0)</x:f>
        <x:v>45</x:v>
      </x:c>
      <x:c r="AR544" t="n">
        <x:f>_xlfn.XLOOKUP($A544,Games!$A$2:$A$18,Games!$M$2:$M$18,"Missing game",0)</x:f>
        <x:v>0</x:v>
      </x:c>
      <x:c r="AS544" t="str">
        <x:f>_xlfn.XLOOKUP($A544,Games!$A$2:$A$18,Games!$N$2:$N$18,"Missing game",0)</x:f>
        <x:v>outdoors</x:v>
      </x:c>
      <x:c r="AT544" t="str">
        <x:f>_xlfn.XLOOKUP($A544,Games!$A$2:$A$18,Games!$O$2:$O$18,"Missing game",0)</x:f>
        <x:v>grass</x:v>
      </x:c>
      <x:c r="AU544" t="n">
        <x:f>_xlfn.XLOOKUP($A544,Games!$A$2:$A$18,Games!$P$2:$P$18,"Missing game",0)</x:f>
        <x:v>61</x:v>
      </x:c>
      <x:c r="AV544" t="n">
        <x:f>_xlfn.XLOOKUP($A544,Games!$A$2:$A$18,Games!$Q$2:$Q$18,"Missing game",0)</x:f>
        <x:v>5</x:v>
      </x:c>
      <x:c r="AW544" t="str">
        <x:f>_xlfn.XLOOKUP($A544,Games!$A$2:$A$18,Games!$R$2:$R$18,"Missing game",0)</x:f>
        <x:v>Acrisure Stadium</x:v>
      </x:c>
    </x:row>
    <x:row r="545">
      <x:c r="A545" t="str">
        <x:v>2025_04_MIN_PIT</x:v>
      </x:c>
      <x:c r="B545" t="n">
        <x:v>1140</x:v>
      </x:c>
      <x:c r="C545" t="n">
        <x:v>2</x:v>
      </x:c>
      <x:c r="D545" t="str">
        <x:v>10:47</x:v>
      </x:c>
      <x:c r="E545" t="n">
        <x:v>3</x:v>
      </x:c>
      <x:c r="F545" t="n">
        <x:v>5</x:v>
      </x:c>
      <x:c r="G545" t="str">
        <x:v>MIN</x:v>
      </x:c>
      <x:c r="H545" t="str">
        <x:v>PIT</x:v>
      </x:c>
      <x:c r="I545" t="str">
        <x:v>MIN</x:v>
      </x:c>
      <x:c r="J545" t="n">
        <x:v>69</x:v>
      </x:c>
      <x:c r="K545" t="str">
        <x:v>(10:47) (Shotgun) 11-C.Wentz pass short left to 19-A.Thielen to MIN 37 for 6 yards (26-B.Echols).</x:v>
      </x:c>
      <x:c r="L545" t="str">
        <x:v>pass</x:v>
      </x:c>
      <x:c r="M545" t="n">
        <x:v>6</x:v>
      </x:c>
      <x:c r="N545" t="n">
        <x:v>1</x:v>
      </x:c>
      <x:c r="O545" t="n">
        <x:v>0</x:v>
      </x:c>
      <x:c r="P545" t="str">
        <x:v>short</x:v>
      </x:c>
      <x:c r="Q545" t="str">
        <x:v>left</x:v>
      </x:c>
      <x:c r="R545" t="n">
        <x:v>6</x:v>
      </x:c>
      <x:c r="S545" t="n">
        <x:v>0</x:v>
      </x:c>
      <x:c r="T545"/>
      <x:c r="U545"/>
      <x:c r="V545" t="n">
        <x:v>1</x:v>
      </x:c>
      <x:c r="W545" t="n">
        <x:v>1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/>
      <x:c r="AC545" t="n">
        <x:v>0</x:v>
      </x:c>
      <x:c r="AD545" t="n">
        <x:v>1.4522004667669535</x:v>
      </x:c>
      <x:c r="AE545" t="n">
        <x:v>1</x:v>
      </x:c>
      <x:c r="AF545" t="n">
        <x:v>0.026192665100097656</x:v>
      </x:c>
      <x:c r="AG545" t="n">
        <x:f>_xlfn.XLOOKUP($A545,Games!$A$2:$A$18,Games!$B$2:$B$18,"Missing game",0)</x:f>
        <x:v>2025</x:v>
      </x:c>
      <x:c r="AH545" t="str">
        <x:f>_xlfn.XLOOKUP($A545,Games!$A$2:$A$18,Games!$C$2:$C$18,"Missing game",0)</x:f>
        <x:v>REG</x:v>
      </x:c>
      <x:c r="AI545" t="n">
        <x:f>_xlfn.XLOOKUP($A545,Games!$A$2:$A$18,Games!$D$2:$D$18,"Missing game",0)</x:f>
        <x:v>4</x:v>
      </x:c>
      <x:c r="AJ545" s="1" t="n">
        <x:f>_xlfn.XLOOKUP($A545,Games!$A$2:$A$18,Games!$E$2:$E$18,"Missing game",0)</x:f>
        <x:v>45928</x:v>
      </x:c>
      <x:c r="AK545" t="str">
        <x:f>_xlfn.XLOOKUP($A545,Games!$A$2:$A$18,Games!$F$2:$F$18,"Missing game",0)</x:f>
        <x:v>Sunday</x:v>
      </x:c>
      <x:c r="AL545" t="str">
        <x:f>_xlfn.XLOOKUP($A545,Games!$A$2:$A$18,Games!$G$2:$G$18,"Missing game",0)</x:f>
        <x:v>MIN</x:v>
      </x:c>
      <x:c r="AM545" t="n">
        <x:f>_xlfn.XLOOKUP($A545,Games!$A$2:$A$18,Games!$H$2:$H$18,"Missing game",0)</x:f>
        <x:v>21</x:v>
      </x:c>
      <x:c r="AN545" t="str">
        <x:f>_xlfn.XLOOKUP($A545,Games!$A$2:$A$18,Games!$I$2:$I$18,"Missing game",0)</x:f>
        <x:v>PIT</x:v>
      </x:c>
      <x:c r="AO545" t="n">
        <x:f>_xlfn.XLOOKUP($A545,Games!$A$2:$A$18,Games!$J$2:$J$18,"Missing game",0)</x:f>
        <x:v>24</x:v>
      </x:c>
      <x:c r="AP545" t="n">
        <x:f>_xlfn.XLOOKUP($A545,Games!$A$2:$A$18,Games!$K$2:$K$18,"Missing game",0)</x:f>
        <x:v>3</x:v>
      </x:c>
      <x:c r="AQ545" t="n">
        <x:f>_xlfn.XLOOKUP($A545,Games!$A$2:$A$18,Games!$L$2:$L$18,"Missing game",0)</x:f>
        <x:v>45</x:v>
      </x:c>
      <x:c r="AR545" t="n">
        <x:f>_xlfn.XLOOKUP($A545,Games!$A$2:$A$18,Games!$M$2:$M$18,"Missing game",0)</x:f>
        <x:v>0</x:v>
      </x:c>
      <x:c r="AS545" t="str">
        <x:f>_xlfn.XLOOKUP($A545,Games!$A$2:$A$18,Games!$N$2:$N$18,"Missing game",0)</x:f>
        <x:v>outdoors</x:v>
      </x:c>
      <x:c r="AT545" t="str">
        <x:f>_xlfn.XLOOKUP($A545,Games!$A$2:$A$18,Games!$O$2:$O$18,"Missing game",0)</x:f>
        <x:v>grass</x:v>
      </x:c>
      <x:c r="AU545" t="n">
        <x:f>_xlfn.XLOOKUP($A545,Games!$A$2:$A$18,Games!$P$2:$P$18,"Missing game",0)</x:f>
        <x:v>61</x:v>
      </x:c>
      <x:c r="AV545" t="n">
        <x:f>_xlfn.XLOOKUP($A545,Games!$A$2:$A$18,Games!$Q$2:$Q$18,"Missing game",0)</x:f>
        <x:v>5</x:v>
      </x:c>
      <x:c r="AW545" t="str">
        <x:f>_xlfn.XLOOKUP($A545,Games!$A$2:$A$18,Games!$R$2:$R$18,"Missing game",0)</x:f>
        <x:v>Acrisure Stadium</x:v>
      </x:c>
    </x:row>
    <x:row r="546">
      <x:c r="A546" t="str">
        <x:v>2025_04_MIN_PIT</x:v>
      </x:c>
      <x:c r="B546" t="n">
        <x:v>1152</x:v>
      </x:c>
      <x:c r="C546" t="n">
        <x:v>2</x:v>
      </x:c>
      <x:c r="D546" t="str">
        <x:v>10:47</x:v>
      </x:c>
      <x:c r="E546"/>
      <x:c r="F546" t="n">
        <x:v>0</x:v>
      </x:c>
      <x:c r="G546"/>
      <x:c r="H546"/>
      <x:c r="I546"/>
      <x:c r="J546"/>
      <x:c r="K546" t="str">
        <x:v>Timeout #1 by PIT at 10:47.</x:v>
      </x:c>
      <x:c r="L546" t="str">
        <x:v>no_play</x:v>
      </x:c>
      <x:c r="M546" t="n">
        <x:v>0</x:v>
      </x:c>
      <x:c r="N546" t="n">
        <x:v>0</x:v>
      </x:c>
      <x:c r="O546" t="n">
        <x:v>0</x:v>
      </x:c>
      <x:c r="P546"/>
      <x:c r="Q546"/>
      <x:c r="R546"/>
      <x:c r="S546"/>
      <x:c r="T546"/>
      <x:c r="U546"/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/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f>_xlfn.XLOOKUP($A546,Games!$A$2:$A$18,Games!$B$2:$B$18,"Missing game",0)</x:f>
        <x:v>2025</x:v>
      </x:c>
      <x:c r="AH546" t="str">
        <x:f>_xlfn.XLOOKUP($A546,Games!$A$2:$A$18,Games!$C$2:$C$18,"Missing game",0)</x:f>
        <x:v>REG</x:v>
      </x:c>
      <x:c r="AI546" t="n">
        <x:f>_xlfn.XLOOKUP($A546,Games!$A$2:$A$18,Games!$D$2:$D$18,"Missing game",0)</x:f>
        <x:v>4</x:v>
      </x:c>
      <x:c r="AJ546" s="1" t="n">
        <x:f>_xlfn.XLOOKUP($A546,Games!$A$2:$A$18,Games!$E$2:$E$18,"Missing game",0)</x:f>
        <x:v>45928</x:v>
      </x:c>
      <x:c r="AK546" t="str">
        <x:f>_xlfn.XLOOKUP($A546,Games!$A$2:$A$18,Games!$F$2:$F$18,"Missing game",0)</x:f>
        <x:v>Sunday</x:v>
      </x:c>
      <x:c r="AL546" t="str">
        <x:f>_xlfn.XLOOKUP($A546,Games!$A$2:$A$18,Games!$G$2:$G$18,"Missing game",0)</x:f>
        <x:v>MIN</x:v>
      </x:c>
      <x:c r="AM546" t="n">
        <x:f>_xlfn.XLOOKUP($A546,Games!$A$2:$A$18,Games!$H$2:$H$18,"Missing game",0)</x:f>
        <x:v>21</x:v>
      </x:c>
      <x:c r="AN546" t="str">
        <x:f>_xlfn.XLOOKUP($A546,Games!$A$2:$A$18,Games!$I$2:$I$18,"Missing game",0)</x:f>
        <x:v>PIT</x:v>
      </x:c>
      <x:c r="AO546" t="n">
        <x:f>_xlfn.XLOOKUP($A546,Games!$A$2:$A$18,Games!$J$2:$J$18,"Missing game",0)</x:f>
        <x:v>24</x:v>
      </x:c>
      <x:c r="AP546" t="n">
        <x:f>_xlfn.XLOOKUP($A546,Games!$A$2:$A$18,Games!$K$2:$K$18,"Missing game",0)</x:f>
        <x:v>3</x:v>
      </x:c>
      <x:c r="AQ546" t="n">
        <x:f>_xlfn.XLOOKUP($A546,Games!$A$2:$A$18,Games!$L$2:$L$18,"Missing game",0)</x:f>
        <x:v>45</x:v>
      </x:c>
      <x:c r="AR546" t="n">
        <x:f>_xlfn.XLOOKUP($A546,Games!$A$2:$A$18,Games!$M$2:$M$18,"Missing game",0)</x:f>
        <x:v>0</x:v>
      </x:c>
      <x:c r="AS546" t="str">
        <x:f>_xlfn.XLOOKUP($A546,Games!$A$2:$A$18,Games!$N$2:$N$18,"Missing game",0)</x:f>
        <x:v>outdoors</x:v>
      </x:c>
      <x:c r="AT546" t="str">
        <x:f>_xlfn.XLOOKUP($A546,Games!$A$2:$A$18,Games!$O$2:$O$18,"Missing game",0)</x:f>
        <x:v>grass</x:v>
      </x:c>
      <x:c r="AU546" t="n">
        <x:f>_xlfn.XLOOKUP($A546,Games!$A$2:$A$18,Games!$P$2:$P$18,"Missing game",0)</x:f>
        <x:v>61</x:v>
      </x:c>
      <x:c r="AV546" t="n">
        <x:f>_xlfn.XLOOKUP($A546,Games!$A$2:$A$18,Games!$Q$2:$Q$18,"Missing game",0)</x:f>
        <x:v>5</x:v>
      </x:c>
      <x:c r="AW546" t="str">
        <x:f>_xlfn.XLOOKUP($A546,Games!$A$2:$A$18,Games!$R$2:$R$18,"Missing game",0)</x:f>
        <x:v>Acrisure Stadium</x:v>
      </x:c>
    </x:row>
    <x:row r="547">
      <x:c r="A547" t="str">
        <x:v>2025_04_MIN_PIT</x:v>
      </x:c>
      <x:c r="B547" t="n">
        <x:v>1179</x:v>
      </x:c>
      <x:c r="C547" t="n">
        <x:v>2</x:v>
      </x:c>
      <x:c r="D547" t="str">
        <x:v>10:03</x:v>
      </x:c>
      <x:c r="E547" t="n">
        <x:v>1</x:v>
      </x:c>
      <x:c r="F547" t="n">
        <x:v>10</x:v>
      </x:c>
      <x:c r="G547" t="str">
        <x:v>MIN</x:v>
      </x:c>
      <x:c r="H547" t="str">
        <x:v>PIT</x:v>
      </x:c>
      <x:c r="I547" t="str">
        <x:v>MIN</x:v>
      </x:c>
      <x:c r="J547" t="n">
        <x:v>63</x:v>
      </x:c>
      <x:c r="K547" t="str">
        <x:v>(10:03) 11-C.Wentz scrambles up the middle to MIN 38 for 1 yard (90-T.Watt).</x:v>
      </x:c>
      <x:c r="L547" t="str">
        <x:v>run</x:v>
      </x:c>
      <x:c r="M547" t="n">
        <x:v>1</x:v>
      </x:c>
      <x:c r="N547" t="n">
        <x:v>0</x:v>
      </x:c>
      <x:c r="O547" t="n">
        <x:v>0</x:v>
      </x:c>
      <x:c r="P547"/>
      <x:c r="Q547"/>
      <x:c r="R547"/>
      <x:c r="S547"/>
      <x:c r="T547" t="str">
        <x:v>middle</x:v>
      </x:c>
      <x:c r="U547"/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/>
      <x:c r="AC547" t="n">
        <x:v>0</x:v>
      </x:c>
      <x:c r="AD547" t="n">
        <x:v>-0.5437185931950808</x:v>
      </x:c>
      <x:c r="AE547" t="n">
        <x:v>0</x:v>
      </x:c>
      <x:c r="AF547" t="n">
        <x:v>-0.010849282145500183</x:v>
      </x:c>
      <x:c r="AG547" t="n">
        <x:f>_xlfn.XLOOKUP($A547,Games!$A$2:$A$18,Games!$B$2:$B$18,"Missing game",0)</x:f>
        <x:v>2025</x:v>
      </x:c>
      <x:c r="AH547" t="str">
        <x:f>_xlfn.XLOOKUP($A547,Games!$A$2:$A$18,Games!$C$2:$C$18,"Missing game",0)</x:f>
        <x:v>REG</x:v>
      </x:c>
      <x:c r="AI547" t="n">
        <x:f>_xlfn.XLOOKUP($A547,Games!$A$2:$A$18,Games!$D$2:$D$18,"Missing game",0)</x:f>
        <x:v>4</x:v>
      </x:c>
      <x:c r="AJ547" s="1" t="n">
        <x:f>_xlfn.XLOOKUP($A547,Games!$A$2:$A$18,Games!$E$2:$E$18,"Missing game",0)</x:f>
        <x:v>45928</x:v>
      </x:c>
      <x:c r="AK547" t="str">
        <x:f>_xlfn.XLOOKUP($A547,Games!$A$2:$A$18,Games!$F$2:$F$18,"Missing game",0)</x:f>
        <x:v>Sunday</x:v>
      </x:c>
      <x:c r="AL547" t="str">
        <x:f>_xlfn.XLOOKUP($A547,Games!$A$2:$A$18,Games!$G$2:$G$18,"Missing game",0)</x:f>
        <x:v>MIN</x:v>
      </x:c>
      <x:c r="AM547" t="n">
        <x:f>_xlfn.XLOOKUP($A547,Games!$A$2:$A$18,Games!$H$2:$H$18,"Missing game",0)</x:f>
        <x:v>21</x:v>
      </x:c>
      <x:c r="AN547" t="str">
        <x:f>_xlfn.XLOOKUP($A547,Games!$A$2:$A$18,Games!$I$2:$I$18,"Missing game",0)</x:f>
        <x:v>PIT</x:v>
      </x:c>
      <x:c r="AO547" t="n">
        <x:f>_xlfn.XLOOKUP($A547,Games!$A$2:$A$18,Games!$J$2:$J$18,"Missing game",0)</x:f>
        <x:v>24</x:v>
      </x:c>
      <x:c r="AP547" t="n">
        <x:f>_xlfn.XLOOKUP($A547,Games!$A$2:$A$18,Games!$K$2:$K$18,"Missing game",0)</x:f>
        <x:v>3</x:v>
      </x:c>
      <x:c r="AQ547" t="n">
        <x:f>_xlfn.XLOOKUP($A547,Games!$A$2:$A$18,Games!$L$2:$L$18,"Missing game",0)</x:f>
        <x:v>45</x:v>
      </x:c>
      <x:c r="AR547" t="n">
        <x:f>_xlfn.XLOOKUP($A547,Games!$A$2:$A$18,Games!$M$2:$M$18,"Missing game",0)</x:f>
        <x:v>0</x:v>
      </x:c>
      <x:c r="AS547" t="str">
        <x:f>_xlfn.XLOOKUP($A547,Games!$A$2:$A$18,Games!$N$2:$N$18,"Missing game",0)</x:f>
        <x:v>outdoors</x:v>
      </x:c>
      <x:c r="AT547" t="str">
        <x:f>_xlfn.XLOOKUP($A547,Games!$A$2:$A$18,Games!$O$2:$O$18,"Missing game",0)</x:f>
        <x:v>grass</x:v>
      </x:c>
      <x:c r="AU547" t="n">
        <x:f>_xlfn.XLOOKUP($A547,Games!$A$2:$A$18,Games!$P$2:$P$18,"Missing game",0)</x:f>
        <x:v>61</x:v>
      </x:c>
      <x:c r="AV547" t="n">
        <x:f>_xlfn.XLOOKUP($A547,Games!$A$2:$A$18,Games!$Q$2:$Q$18,"Missing game",0)</x:f>
        <x:v>5</x:v>
      </x:c>
      <x:c r="AW547" t="str">
        <x:f>_xlfn.XLOOKUP($A547,Games!$A$2:$A$18,Games!$R$2:$R$18,"Missing game",0)</x:f>
        <x:v>Acrisure Stadium</x:v>
      </x:c>
    </x:row>
    <x:row r="548">
      <x:c r="A548" t="str">
        <x:v>2025_04_MIN_PIT</x:v>
      </x:c>
      <x:c r="B548" t="n">
        <x:v>1201</x:v>
      </x:c>
      <x:c r="C548" t="n">
        <x:v>2</x:v>
      </x:c>
      <x:c r="D548" t="str">
        <x:v>09:22</x:v>
      </x:c>
      <x:c r="E548" t="n">
        <x:v>2</x:v>
      </x:c>
      <x:c r="F548" t="n">
        <x:v>9</x:v>
      </x:c>
      <x:c r="G548" t="str">
        <x:v>MIN</x:v>
      </x:c>
      <x:c r="H548" t="str">
        <x:v>PIT</x:v>
      </x:c>
      <x:c r="I548" t="str">
        <x:v>MIN</x:v>
      </x:c>
      <x:c r="J548" t="n">
        <x:v>62</x:v>
      </x:c>
      <x:c r="K548" t="str">
        <x:v>(9:22) (Shotgun) 11-C.Wentz pass short right to 18-J.Jefferson to MIN 46 for 8 yards (25-D.Elliott; 5-J.Ramsey).</x:v>
      </x:c>
      <x:c r="L548" t="str">
        <x:v>pass</x:v>
      </x:c>
      <x:c r="M548" t="n">
        <x:v>8</x:v>
      </x:c>
      <x:c r="N548" t="n">
        <x:v>1</x:v>
      </x:c>
      <x:c r="O548" t="n">
        <x:v>0</x:v>
      </x:c>
      <x:c r="P548" t="str">
        <x:v>short</x:v>
      </x:c>
      <x:c r="Q548" t="str">
        <x:v>right</x:v>
      </x:c>
      <x:c r="R548" t="n">
        <x:v>5</x:v>
      </x:c>
      <x:c r="S548" t="n">
        <x:v>3</x:v>
      </x:c>
      <x:c r="T548"/>
      <x:c r="U548"/>
      <x:c r="V548" t="n">
        <x:v>1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/>
      <x:c r="AC548" t="n">
        <x:v>0</x:v>
      </x:c>
      <x:c r="AD548" t="n">
        <x:v>0.7438042690046132</x:v>
      </x:c>
      <x:c r="AE548" t="n">
        <x:v>1</x:v>
      </x:c>
      <x:c r="AF548" t="n">
        <x:v>0.01103585958480835</x:v>
      </x:c>
      <x:c r="AG548" t="n">
        <x:f>_xlfn.XLOOKUP($A548,Games!$A$2:$A$18,Games!$B$2:$B$18,"Missing game",0)</x:f>
        <x:v>2025</x:v>
      </x:c>
      <x:c r="AH548" t="str">
        <x:f>_xlfn.XLOOKUP($A548,Games!$A$2:$A$18,Games!$C$2:$C$18,"Missing game",0)</x:f>
        <x:v>REG</x:v>
      </x:c>
      <x:c r="AI548" t="n">
        <x:f>_xlfn.XLOOKUP($A548,Games!$A$2:$A$18,Games!$D$2:$D$18,"Missing game",0)</x:f>
        <x:v>4</x:v>
      </x:c>
      <x:c r="AJ548" s="1" t="n">
        <x:f>_xlfn.XLOOKUP($A548,Games!$A$2:$A$18,Games!$E$2:$E$18,"Missing game",0)</x:f>
        <x:v>45928</x:v>
      </x:c>
      <x:c r="AK548" t="str">
        <x:f>_xlfn.XLOOKUP($A548,Games!$A$2:$A$18,Games!$F$2:$F$18,"Missing game",0)</x:f>
        <x:v>Sunday</x:v>
      </x:c>
      <x:c r="AL548" t="str">
        <x:f>_xlfn.XLOOKUP($A548,Games!$A$2:$A$18,Games!$G$2:$G$18,"Missing game",0)</x:f>
        <x:v>MIN</x:v>
      </x:c>
      <x:c r="AM548" t="n">
        <x:f>_xlfn.XLOOKUP($A548,Games!$A$2:$A$18,Games!$H$2:$H$18,"Missing game",0)</x:f>
        <x:v>21</x:v>
      </x:c>
      <x:c r="AN548" t="str">
        <x:f>_xlfn.XLOOKUP($A548,Games!$A$2:$A$18,Games!$I$2:$I$18,"Missing game",0)</x:f>
        <x:v>PIT</x:v>
      </x:c>
      <x:c r="AO548" t="n">
        <x:f>_xlfn.XLOOKUP($A548,Games!$A$2:$A$18,Games!$J$2:$J$18,"Missing game",0)</x:f>
        <x:v>24</x:v>
      </x:c>
      <x:c r="AP548" t="n">
        <x:f>_xlfn.XLOOKUP($A548,Games!$A$2:$A$18,Games!$K$2:$K$18,"Missing game",0)</x:f>
        <x:v>3</x:v>
      </x:c>
      <x:c r="AQ548" t="n">
        <x:f>_xlfn.XLOOKUP($A548,Games!$A$2:$A$18,Games!$L$2:$L$18,"Missing game",0)</x:f>
        <x:v>45</x:v>
      </x:c>
      <x:c r="AR548" t="n">
        <x:f>_xlfn.XLOOKUP($A548,Games!$A$2:$A$18,Games!$M$2:$M$18,"Missing game",0)</x:f>
        <x:v>0</x:v>
      </x:c>
      <x:c r="AS548" t="str">
        <x:f>_xlfn.XLOOKUP($A548,Games!$A$2:$A$18,Games!$N$2:$N$18,"Missing game",0)</x:f>
        <x:v>outdoors</x:v>
      </x:c>
      <x:c r="AT548" t="str">
        <x:f>_xlfn.XLOOKUP($A548,Games!$A$2:$A$18,Games!$O$2:$O$18,"Missing game",0)</x:f>
        <x:v>grass</x:v>
      </x:c>
      <x:c r="AU548" t="n">
        <x:f>_xlfn.XLOOKUP($A548,Games!$A$2:$A$18,Games!$P$2:$P$18,"Missing game",0)</x:f>
        <x:v>61</x:v>
      </x:c>
      <x:c r="AV548" t="n">
        <x:f>_xlfn.XLOOKUP($A548,Games!$A$2:$A$18,Games!$Q$2:$Q$18,"Missing game",0)</x:f>
        <x:v>5</x:v>
      </x:c>
      <x:c r="AW548" t="str">
        <x:f>_xlfn.XLOOKUP($A548,Games!$A$2:$A$18,Games!$R$2:$R$18,"Missing game",0)</x:f>
        <x:v>Acrisure Stadium</x:v>
      </x:c>
    </x:row>
    <x:row r="549">
      <x:c r="A549" t="str">
        <x:v>2025_04_MIN_PIT</x:v>
      </x:c>
      <x:c r="B549" t="n">
        <x:v>1226</x:v>
      </x:c>
      <x:c r="C549" t="n">
        <x:v>2</x:v>
      </x:c>
      <x:c r="D549" t="str">
        <x:v>08:41</x:v>
      </x:c>
      <x:c r="E549" t="n">
        <x:v>3</x:v>
      </x:c>
      <x:c r="F549" t="n">
        <x:v>1</x:v>
      </x:c>
      <x:c r="G549" t="str">
        <x:v>MIN</x:v>
      </x:c>
      <x:c r="H549" t="str">
        <x:v>PIT</x:v>
      </x:c>
      <x:c r="I549" t="str">
        <x:v>MIN</x:v>
      </x:c>
      <x:c r="J549" t="n">
        <x:v>54</x:v>
      </x:c>
      <x:c r="K549" t="str">
        <x:v>(8:41) (Shotgun) 27-J.Mason right tackle to MIN 46 for no gain (99-D.Harmon; 90-T.Watt). (Virtual Measurement).</x:v>
      </x:c>
      <x:c r="L549" t="str">
        <x:v>run</x:v>
      </x:c>
      <x:c r="M549" t="n">
        <x:v>0</x:v>
      </x:c>
      <x:c r="N549" t="n">
        <x:v>1</x:v>
      </x:c>
      <x:c r="O549" t="n">
        <x:v>0</x:v>
      </x:c>
      <x:c r="P549"/>
      <x:c r="Q549"/>
      <x:c r="R549"/>
      <x:c r="S549"/>
      <x:c r="T549" t="str">
        <x:v>right</x:v>
      </x:c>
      <x:c r="U549" t="str">
        <x:v>tackle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/>
      <x:c r="AC549" t="n">
        <x:v>0</x:v>
      </x:c>
      <x:c r="AD549" t="n">
        <x:v>-1.6029616959858686</x:v>
      </x:c>
      <x:c r="AE549" t="n">
        <x:v>0</x:v>
      </x:c>
      <x:c r="AF549" t="n">
        <x:v>-0.021944314241409302</x:v>
      </x:c>
      <x:c r="AG549" t="n">
        <x:f>_xlfn.XLOOKUP($A549,Games!$A$2:$A$18,Games!$B$2:$B$18,"Missing game",0)</x:f>
        <x:v>2025</x:v>
      </x:c>
      <x:c r="AH549" t="str">
        <x:f>_xlfn.XLOOKUP($A549,Games!$A$2:$A$18,Games!$C$2:$C$18,"Missing game",0)</x:f>
        <x:v>REG</x:v>
      </x:c>
      <x:c r="AI549" t="n">
        <x:f>_xlfn.XLOOKUP($A549,Games!$A$2:$A$18,Games!$D$2:$D$18,"Missing game",0)</x:f>
        <x:v>4</x:v>
      </x:c>
      <x:c r="AJ549" s="1" t="n">
        <x:f>_xlfn.XLOOKUP($A549,Games!$A$2:$A$18,Games!$E$2:$E$18,"Missing game",0)</x:f>
        <x:v>45928</x:v>
      </x:c>
      <x:c r="AK549" t="str">
        <x:f>_xlfn.XLOOKUP($A549,Games!$A$2:$A$18,Games!$F$2:$F$18,"Missing game",0)</x:f>
        <x:v>Sunday</x:v>
      </x:c>
      <x:c r="AL549" t="str">
        <x:f>_xlfn.XLOOKUP($A549,Games!$A$2:$A$18,Games!$G$2:$G$18,"Missing game",0)</x:f>
        <x:v>MIN</x:v>
      </x:c>
      <x:c r="AM549" t="n">
        <x:f>_xlfn.XLOOKUP($A549,Games!$A$2:$A$18,Games!$H$2:$H$18,"Missing game",0)</x:f>
        <x:v>21</x:v>
      </x:c>
      <x:c r="AN549" t="str">
        <x:f>_xlfn.XLOOKUP($A549,Games!$A$2:$A$18,Games!$I$2:$I$18,"Missing game",0)</x:f>
        <x:v>PIT</x:v>
      </x:c>
      <x:c r="AO549" t="n">
        <x:f>_xlfn.XLOOKUP($A549,Games!$A$2:$A$18,Games!$J$2:$J$18,"Missing game",0)</x:f>
        <x:v>24</x:v>
      </x:c>
      <x:c r="AP549" t="n">
        <x:f>_xlfn.XLOOKUP($A549,Games!$A$2:$A$18,Games!$K$2:$K$18,"Missing game",0)</x:f>
        <x:v>3</x:v>
      </x:c>
      <x:c r="AQ549" t="n">
        <x:f>_xlfn.XLOOKUP($A549,Games!$A$2:$A$18,Games!$L$2:$L$18,"Missing game",0)</x:f>
        <x:v>45</x:v>
      </x:c>
      <x:c r="AR549" t="n">
        <x:f>_xlfn.XLOOKUP($A549,Games!$A$2:$A$18,Games!$M$2:$M$18,"Missing game",0)</x:f>
        <x:v>0</x:v>
      </x:c>
      <x:c r="AS549" t="str">
        <x:f>_xlfn.XLOOKUP($A549,Games!$A$2:$A$18,Games!$N$2:$N$18,"Missing game",0)</x:f>
        <x:v>outdoors</x:v>
      </x:c>
      <x:c r="AT549" t="str">
        <x:f>_xlfn.XLOOKUP($A549,Games!$A$2:$A$18,Games!$O$2:$O$18,"Missing game",0)</x:f>
        <x:v>grass</x:v>
      </x:c>
      <x:c r="AU549" t="n">
        <x:f>_xlfn.XLOOKUP($A549,Games!$A$2:$A$18,Games!$P$2:$P$18,"Missing game",0)</x:f>
        <x:v>61</x:v>
      </x:c>
      <x:c r="AV549" t="n">
        <x:f>_xlfn.XLOOKUP($A549,Games!$A$2:$A$18,Games!$Q$2:$Q$18,"Missing game",0)</x:f>
        <x:v>5</x:v>
      </x:c>
      <x:c r="AW549" t="str">
        <x:f>_xlfn.XLOOKUP($A549,Games!$A$2:$A$18,Games!$R$2:$R$18,"Missing game",0)</x:f>
        <x:v>Acrisure Stadium</x:v>
      </x:c>
    </x:row>
    <x:row r="550">
      <x:c r="A550" t="str">
        <x:v>2025_04_MIN_PIT</x:v>
      </x:c>
      <x:c r="B550" t="n">
        <x:v>1252</x:v>
      </x:c>
      <x:c r="C550" t="n">
        <x:v>2</x:v>
      </x:c>
      <x:c r="D550" t="str">
        <x:v>08:02</x:v>
      </x:c>
      <x:c r="E550" t="n">
        <x:v>4</x:v>
      </x:c>
      <x:c r="F550" t="n">
        <x:v>1</x:v>
      </x:c>
      <x:c r="G550" t="str">
        <x:v>MIN</x:v>
      </x:c>
      <x:c r="H550" t="str">
        <x:v>PIT</x:v>
      </x:c>
      <x:c r="I550" t="str">
        <x:v>MIN</x:v>
      </x:c>
      <x:c r="J550" t="n">
        <x:v>54</x:v>
      </x:c>
      <x:c r="K550" t="str">
        <x:v>(8:02) 27-J.Mason right tackle to PIT 45 for 9 yards (25-D.Elliott).</x:v>
      </x:c>
      <x:c r="L550" t="str">
        <x:v>run</x:v>
      </x:c>
      <x:c r="M550" t="n">
        <x:v>9</x:v>
      </x:c>
      <x:c r="N550" t="n">
        <x:v>0</x:v>
      </x:c>
      <x:c r="O550" t="n">
        <x:v>0</x:v>
      </x:c>
      <x:c r="P550"/>
      <x:c r="Q550"/>
      <x:c r="R550"/>
      <x:c r="S550"/>
      <x:c r="T550" t="str">
        <x:v>right</x:v>
      </x:c>
      <x:c r="U550" t="str">
        <x:v>tackle</x:v>
      </x:c>
      <x:c r="V550" t="n">
        <x:v>0</x:v>
      </x:c>
      <x:c r="W550" t="n">
        <x:v>1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/>
      <x:c r="AC550" t="n">
        <x:v>0</x:v>
      </x:c>
      <x:c r="AD550" t="n">
        <x:v>2.5122315387707204</x:v>
      </x:c>
      <x:c r="AE550" t="n">
        <x:v>1</x:v>
      </x:c>
      <x:c r="AF550" t="n">
        <x:v>0.048948660492897034</x:v>
      </x:c>
      <x:c r="AG550" t="n">
        <x:f>_xlfn.XLOOKUP($A550,Games!$A$2:$A$18,Games!$B$2:$B$18,"Missing game",0)</x:f>
        <x:v>2025</x:v>
      </x:c>
      <x:c r="AH550" t="str">
        <x:f>_xlfn.XLOOKUP($A550,Games!$A$2:$A$18,Games!$C$2:$C$18,"Missing game",0)</x:f>
        <x:v>REG</x:v>
      </x:c>
      <x:c r="AI550" t="n">
        <x:f>_xlfn.XLOOKUP($A550,Games!$A$2:$A$18,Games!$D$2:$D$18,"Missing game",0)</x:f>
        <x:v>4</x:v>
      </x:c>
      <x:c r="AJ550" s="1" t="n">
        <x:f>_xlfn.XLOOKUP($A550,Games!$A$2:$A$18,Games!$E$2:$E$18,"Missing game",0)</x:f>
        <x:v>45928</x:v>
      </x:c>
      <x:c r="AK550" t="str">
        <x:f>_xlfn.XLOOKUP($A550,Games!$A$2:$A$18,Games!$F$2:$F$18,"Missing game",0)</x:f>
        <x:v>Sunday</x:v>
      </x:c>
      <x:c r="AL550" t="str">
        <x:f>_xlfn.XLOOKUP($A550,Games!$A$2:$A$18,Games!$G$2:$G$18,"Missing game",0)</x:f>
        <x:v>MIN</x:v>
      </x:c>
      <x:c r="AM550" t="n">
        <x:f>_xlfn.XLOOKUP($A550,Games!$A$2:$A$18,Games!$H$2:$H$18,"Missing game",0)</x:f>
        <x:v>21</x:v>
      </x:c>
      <x:c r="AN550" t="str">
        <x:f>_xlfn.XLOOKUP($A550,Games!$A$2:$A$18,Games!$I$2:$I$18,"Missing game",0)</x:f>
        <x:v>PIT</x:v>
      </x:c>
      <x:c r="AO550" t="n">
        <x:f>_xlfn.XLOOKUP($A550,Games!$A$2:$A$18,Games!$J$2:$J$18,"Missing game",0)</x:f>
        <x:v>24</x:v>
      </x:c>
      <x:c r="AP550" t="n">
        <x:f>_xlfn.XLOOKUP($A550,Games!$A$2:$A$18,Games!$K$2:$K$18,"Missing game",0)</x:f>
        <x:v>3</x:v>
      </x:c>
      <x:c r="AQ550" t="n">
        <x:f>_xlfn.XLOOKUP($A550,Games!$A$2:$A$18,Games!$L$2:$L$18,"Missing game",0)</x:f>
        <x:v>45</x:v>
      </x:c>
      <x:c r="AR550" t="n">
        <x:f>_xlfn.XLOOKUP($A550,Games!$A$2:$A$18,Games!$M$2:$M$18,"Missing game",0)</x:f>
        <x:v>0</x:v>
      </x:c>
      <x:c r="AS550" t="str">
        <x:f>_xlfn.XLOOKUP($A550,Games!$A$2:$A$18,Games!$N$2:$N$18,"Missing game",0)</x:f>
        <x:v>outdoors</x:v>
      </x:c>
      <x:c r="AT550" t="str">
        <x:f>_xlfn.XLOOKUP($A550,Games!$A$2:$A$18,Games!$O$2:$O$18,"Missing game",0)</x:f>
        <x:v>grass</x:v>
      </x:c>
      <x:c r="AU550" t="n">
        <x:f>_xlfn.XLOOKUP($A550,Games!$A$2:$A$18,Games!$P$2:$P$18,"Missing game",0)</x:f>
        <x:v>61</x:v>
      </x:c>
      <x:c r="AV550" t="n">
        <x:f>_xlfn.XLOOKUP($A550,Games!$A$2:$A$18,Games!$Q$2:$Q$18,"Missing game",0)</x:f>
        <x:v>5</x:v>
      </x:c>
      <x:c r="AW550" t="str">
        <x:f>_xlfn.XLOOKUP($A550,Games!$A$2:$A$18,Games!$R$2:$R$18,"Missing game",0)</x:f>
        <x:v>Acrisure Stadium</x:v>
      </x:c>
    </x:row>
    <x:row r="551">
      <x:c r="A551" t="str">
        <x:v>2025_04_MIN_PIT</x:v>
      </x:c>
      <x:c r="B551" t="n">
        <x:v>1274</x:v>
      </x:c>
      <x:c r="C551" t="n">
        <x:v>2</x:v>
      </x:c>
      <x:c r="D551" t="str">
        <x:v>07:24</x:v>
      </x:c>
      <x:c r="E551" t="n">
        <x:v>1</x:v>
      </x:c>
      <x:c r="F551" t="n">
        <x:v>10</x:v>
      </x:c>
      <x:c r="G551" t="str">
        <x:v>MIN</x:v>
      </x:c>
      <x:c r="H551" t="str">
        <x:v>PIT</x:v>
      </x:c>
      <x:c r="I551" t="str">
        <x:v>PIT</x:v>
      </x:c>
      <x:c r="J551" t="n">
        <x:v>45</x:v>
      </x:c>
      <x:c r="K551" t="str">
        <x:v>(7:24) (Shotgun) 11-C.Wentz pass short left to 36-Z.Scott to PIT 42 for 3 yards (51-N.Herbig).</x:v>
      </x:c>
      <x:c r="L551" t="str">
        <x:v>pass</x:v>
      </x:c>
      <x:c r="M551" t="n">
        <x:v>3</x:v>
      </x:c>
      <x:c r="N551" t="n">
        <x:v>1</x:v>
      </x:c>
      <x:c r="O551" t="n">
        <x:v>0</x:v>
      </x:c>
      <x:c r="P551" t="str">
        <x:v>short</x:v>
      </x:c>
      <x:c r="Q551" t="str">
        <x:v>left</x:v>
      </x:c>
      <x:c r="R551" t="n">
        <x:v>-1</x:v>
      </x:c>
      <x:c r="S551" t="n">
        <x:v>4</x:v>
      </x:c>
      <x:c r="T551"/>
      <x:c r="U551"/>
      <x:c r="V551" t="n">
        <x:v>1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/>
      <x:c r="AC551" t="n">
        <x:v>0</x:v>
      </x:c>
      <x:c r="AD551" t="n">
        <x:v>-0.26003338396549225</x:v>
      </x:c>
      <x:c r="AE551" t="n">
        <x:v>0</x:v>
      </x:c>
      <x:c r="AF551" t="n">
        <x:v>-0.020478546619415283</x:v>
      </x:c>
      <x:c r="AG551" t="n">
        <x:f>_xlfn.XLOOKUP($A551,Games!$A$2:$A$18,Games!$B$2:$B$18,"Missing game",0)</x:f>
        <x:v>2025</x:v>
      </x:c>
      <x:c r="AH551" t="str">
        <x:f>_xlfn.XLOOKUP($A551,Games!$A$2:$A$18,Games!$C$2:$C$18,"Missing game",0)</x:f>
        <x:v>REG</x:v>
      </x:c>
      <x:c r="AI551" t="n">
        <x:f>_xlfn.XLOOKUP($A551,Games!$A$2:$A$18,Games!$D$2:$D$18,"Missing game",0)</x:f>
        <x:v>4</x:v>
      </x:c>
      <x:c r="AJ551" s="1" t="n">
        <x:f>_xlfn.XLOOKUP($A551,Games!$A$2:$A$18,Games!$E$2:$E$18,"Missing game",0)</x:f>
        <x:v>45928</x:v>
      </x:c>
      <x:c r="AK551" t="str">
        <x:f>_xlfn.XLOOKUP($A551,Games!$A$2:$A$18,Games!$F$2:$F$18,"Missing game",0)</x:f>
        <x:v>Sunday</x:v>
      </x:c>
      <x:c r="AL551" t="str">
        <x:f>_xlfn.XLOOKUP($A551,Games!$A$2:$A$18,Games!$G$2:$G$18,"Missing game",0)</x:f>
        <x:v>MIN</x:v>
      </x:c>
      <x:c r="AM551" t="n">
        <x:f>_xlfn.XLOOKUP($A551,Games!$A$2:$A$18,Games!$H$2:$H$18,"Missing game",0)</x:f>
        <x:v>21</x:v>
      </x:c>
      <x:c r="AN551" t="str">
        <x:f>_xlfn.XLOOKUP($A551,Games!$A$2:$A$18,Games!$I$2:$I$18,"Missing game",0)</x:f>
        <x:v>PIT</x:v>
      </x:c>
      <x:c r="AO551" t="n">
        <x:f>_xlfn.XLOOKUP($A551,Games!$A$2:$A$18,Games!$J$2:$J$18,"Missing game",0)</x:f>
        <x:v>24</x:v>
      </x:c>
      <x:c r="AP551" t="n">
        <x:f>_xlfn.XLOOKUP($A551,Games!$A$2:$A$18,Games!$K$2:$K$18,"Missing game",0)</x:f>
        <x:v>3</x:v>
      </x:c>
      <x:c r="AQ551" t="n">
        <x:f>_xlfn.XLOOKUP($A551,Games!$A$2:$A$18,Games!$L$2:$L$18,"Missing game",0)</x:f>
        <x:v>45</x:v>
      </x:c>
      <x:c r="AR551" t="n">
        <x:f>_xlfn.XLOOKUP($A551,Games!$A$2:$A$18,Games!$M$2:$M$18,"Missing game",0)</x:f>
        <x:v>0</x:v>
      </x:c>
      <x:c r="AS551" t="str">
        <x:f>_xlfn.XLOOKUP($A551,Games!$A$2:$A$18,Games!$N$2:$N$18,"Missing game",0)</x:f>
        <x:v>outdoors</x:v>
      </x:c>
      <x:c r="AT551" t="str">
        <x:f>_xlfn.XLOOKUP($A551,Games!$A$2:$A$18,Games!$O$2:$O$18,"Missing game",0)</x:f>
        <x:v>grass</x:v>
      </x:c>
      <x:c r="AU551" t="n">
        <x:f>_xlfn.XLOOKUP($A551,Games!$A$2:$A$18,Games!$P$2:$P$18,"Missing game",0)</x:f>
        <x:v>61</x:v>
      </x:c>
      <x:c r="AV551" t="n">
        <x:f>_xlfn.XLOOKUP($A551,Games!$A$2:$A$18,Games!$Q$2:$Q$18,"Missing game",0)</x:f>
        <x:v>5</x:v>
      </x:c>
      <x:c r="AW551" t="str">
        <x:f>_xlfn.XLOOKUP($A551,Games!$A$2:$A$18,Games!$R$2:$R$18,"Missing game",0)</x:f>
        <x:v>Acrisure Stadium</x:v>
      </x:c>
    </x:row>
    <x:row r="552">
      <x:c r="A552" t="str">
        <x:v>2025_04_MIN_PIT</x:v>
      </x:c>
      <x:c r="B552" t="n">
        <x:v>1299</x:v>
      </x:c>
      <x:c r="C552" t="n">
        <x:v>2</x:v>
      </x:c>
      <x:c r="D552" t="str">
        <x:v>06:41</x:v>
      </x:c>
      <x:c r="E552" t="n">
        <x:v>2</x:v>
      </x:c>
      <x:c r="F552" t="n">
        <x:v>7</x:v>
      </x:c>
      <x:c r="G552" t="str">
        <x:v>MIN</x:v>
      </x:c>
      <x:c r="H552" t="str">
        <x:v>PIT</x:v>
      </x:c>
      <x:c r="I552" t="str">
        <x:v>PIT</x:v>
      </x:c>
      <x:c r="J552" t="n">
        <x:v>42</x:v>
      </x:c>
      <x:c r="K552" t="str">
        <x:v>(6:41) 36-Z.Scott right end to PIT 43 for -1 yards (22-J.Thornhill).</x:v>
      </x:c>
      <x:c r="L552" t="str">
        <x:v>run</x:v>
      </x:c>
      <x:c r="M552" t="n">
        <x:v>-1</x:v>
      </x:c>
      <x:c r="N552" t="n">
        <x:v>0</x:v>
      </x:c>
      <x:c r="O552" t="n">
        <x:v>0</x:v>
      </x:c>
      <x:c r="P552"/>
      <x:c r="Q552"/>
      <x:c r="R552"/>
      <x:c r="S552"/>
      <x:c r="T552" t="str">
        <x:v>right</x:v>
      </x:c>
      <x:c r="U552" t="str">
        <x:v>end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/>
      <x:c r="AC552" t="n">
        <x:v>0</x:v>
      </x:c>
      <x:c r="AD552" t="n">
        <x:v>-0.8664919515140355</x:v>
      </x:c>
      <x:c r="AE552" t="n">
        <x:v>0</x:v>
      </x:c>
      <x:c r="AF552" t="n">
        <x:v>-0.02583126723766327</x:v>
      </x:c>
      <x:c r="AG552" t="n">
        <x:f>_xlfn.XLOOKUP($A552,Games!$A$2:$A$18,Games!$B$2:$B$18,"Missing game",0)</x:f>
        <x:v>2025</x:v>
      </x:c>
      <x:c r="AH552" t="str">
        <x:f>_xlfn.XLOOKUP($A552,Games!$A$2:$A$18,Games!$C$2:$C$18,"Missing game",0)</x:f>
        <x:v>REG</x:v>
      </x:c>
      <x:c r="AI552" t="n">
        <x:f>_xlfn.XLOOKUP($A552,Games!$A$2:$A$18,Games!$D$2:$D$18,"Missing game",0)</x:f>
        <x:v>4</x:v>
      </x:c>
      <x:c r="AJ552" s="1" t="n">
        <x:f>_xlfn.XLOOKUP($A552,Games!$A$2:$A$18,Games!$E$2:$E$18,"Missing game",0)</x:f>
        <x:v>45928</x:v>
      </x:c>
      <x:c r="AK552" t="str">
        <x:f>_xlfn.XLOOKUP($A552,Games!$A$2:$A$18,Games!$F$2:$F$18,"Missing game",0)</x:f>
        <x:v>Sunday</x:v>
      </x:c>
      <x:c r="AL552" t="str">
        <x:f>_xlfn.XLOOKUP($A552,Games!$A$2:$A$18,Games!$G$2:$G$18,"Missing game",0)</x:f>
        <x:v>MIN</x:v>
      </x:c>
      <x:c r="AM552" t="n">
        <x:f>_xlfn.XLOOKUP($A552,Games!$A$2:$A$18,Games!$H$2:$H$18,"Missing game",0)</x:f>
        <x:v>21</x:v>
      </x:c>
      <x:c r="AN552" t="str">
        <x:f>_xlfn.XLOOKUP($A552,Games!$A$2:$A$18,Games!$I$2:$I$18,"Missing game",0)</x:f>
        <x:v>PIT</x:v>
      </x:c>
      <x:c r="AO552" t="n">
        <x:f>_xlfn.XLOOKUP($A552,Games!$A$2:$A$18,Games!$J$2:$J$18,"Missing game",0)</x:f>
        <x:v>24</x:v>
      </x:c>
      <x:c r="AP552" t="n">
        <x:f>_xlfn.XLOOKUP($A552,Games!$A$2:$A$18,Games!$K$2:$K$18,"Missing game",0)</x:f>
        <x:v>3</x:v>
      </x:c>
      <x:c r="AQ552" t="n">
        <x:f>_xlfn.XLOOKUP($A552,Games!$A$2:$A$18,Games!$L$2:$L$18,"Missing game",0)</x:f>
        <x:v>45</x:v>
      </x:c>
      <x:c r="AR552" t="n">
        <x:f>_xlfn.XLOOKUP($A552,Games!$A$2:$A$18,Games!$M$2:$M$18,"Missing game",0)</x:f>
        <x:v>0</x:v>
      </x:c>
      <x:c r="AS552" t="str">
        <x:f>_xlfn.XLOOKUP($A552,Games!$A$2:$A$18,Games!$N$2:$N$18,"Missing game",0)</x:f>
        <x:v>outdoors</x:v>
      </x:c>
      <x:c r="AT552" t="str">
        <x:f>_xlfn.XLOOKUP($A552,Games!$A$2:$A$18,Games!$O$2:$O$18,"Missing game",0)</x:f>
        <x:v>grass</x:v>
      </x:c>
      <x:c r="AU552" t="n">
        <x:f>_xlfn.XLOOKUP($A552,Games!$A$2:$A$18,Games!$P$2:$P$18,"Missing game",0)</x:f>
        <x:v>61</x:v>
      </x:c>
      <x:c r="AV552" t="n">
        <x:f>_xlfn.XLOOKUP($A552,Games!$A$2:$A$18,Games!$Q$2:$Q$18,"Missing game",0)</x:f>
        <x:v>5</x:v>
      </x:c>
      <x:c r="AW552" t="str">
        <x:f>_xlfn.XLOOKUP($A552,Games!$A$2:$A$18,Games!$R$2:$R$18,"Missing game",0)</x:f>
        <x:v>Acrisure Stadium</x:v>
      </x:c>
    </x:row>
    <x:row r="553">
      <x:c r="A553" t="str">
        <x:v>2025_04_MIN_PIT</x:v>
      </x:c>
      <x:c r="B553" t="n">
        <x:v>1321</x:v>
      </x:c>
      <x:c r="C553" t="n">
        <x:v>2</x:v>
      </x:c>
      <x:c r="D553" t="str">
        <x:v>05:58</x:v>
      </x:c>
      <x:c r="E553" t="n">
        <x:v>3</x:v>
      </x:c>
      <x:c r="F553" t="n">
        <x:v>8</x:v>
      </x:c>
      <x:c r="G553" t="str">
        <x:v>MIN</x:v>
      </x:c>
      <x:c r="H553" t="str">
        <x:v>PIT</x:v>
      </x:c>
      <x:c r="I553" t="str">
        <x:v>PIT</x:v>
      </x:c>
      <x:c r="J553" t="n">
        <x:v>43</x:v>
      </x:c>
      <x:c r="K553" t="str">
        <x:v>(5:58) (Shotgun) 11-C.Wentz pass short middle intended for 3-J.Addison INTERCEPTED by 25-D.Elliott (99-D.Harmon) at PIT 36. 25-D.Elliott to PIT 32 for -4 yards (87-T.Hockenson).</x:v>
      </x:c>
      <x:c r="L553" t="str">
        <x:v>pass</x:v>
      </x:c>
      <x:c r="M553" t="n">
        <x:v>0</x:v>
      </x:c>
      <x:c r="N553" t="n">
        <x:v>1</x:v>
      </x:c>
      <x:c r="O553" t="n">
        <x:v>0</x:v>
      </x:c>
      <x:c r="P553" t="str">
        <x:v>short</x:v>
      </x:c>
      <x:c r="Q553" t="str">
        <x:v>middle</x:v>
      </x:c>
      <x:c r="R553" t="n">
        <x:v>7</x:v>
      </x:c>
      <x:c r="S553"/>
      <x:c r="T553"/>
      <x:c r="U553"/>
      <x:c r="V553" t="n">
        <x:v>0</x:v>
      </x:c>
      <x:c r="W553" t="n">
        <x:v>0</x:v>
      </x:c>
      <x:c r="X553" t="n">
        <x:v>0</x:v>
      </x:c>
      <x:c r="Y553" t="n">
        <x:v>1</x:v>
      </x:c>
      <x:c r="Z553" t="n">
        <x:v>0</x:v>
      </x:c>
      <x:c r="AA553" t="n">
        <x:v>0</x:v>
      </x:c>
      <x:c r="AB553"/>
      <x:c r="AC553" t="n">
        <x:v>0</x:v>
      </x:c>
      <x:c r="AD553" t="n">
        <x:v>-3.0652074695099145</x:v>
      </x:c>
      <x:c r="AE553" t="n">
        <x:v>0</x:v>
      </x:c>
      <x:c r="AF553" t="n">
        <x:v>-0.041454821825027466</x:v>
      </x:c>
      <x:c r="AG553" t="n">
        <x:f>_xlfn.XLOOKUP($A553,Games!$A$2:$A$18,Games!$B$2:$B$18,"Missing game",0)</x:f>
        <x:v>2025</x:v>
      </x:c>
      <x:c r="AH553" t="str">
        <x:f>_xlfn.XLOOKUP($A553,Games!$A$2:$A$18,Games!$C$2:$C$18,"Missing game",0)</x:f>
        <x:v>REG</x:v>
      </x:c>
      <x:c r="AI553" t="n">
        <x:f>_xlfn.XLOOKUP($A553,Games!$A$2:$A$18,Games!$D$2:$D$18,"Missing game",0)</x:f>
        <x:v>4</x:v>
      </x:c>
      <x:c r="AJ553" s="1" t="n">
        <x:f>_xlfn.XLOOKUP($A553,Games!$A$2:$A$18,Games!$E$2:$E$18,"Missing game",0)</x:f>
        <x:v>45928</x:v>
      </x:c>
      <x:c r="AK553" t="str">
        <x:f>_xlfn.XLOOKUP($A553,Games!$A$2:$A$18,Games!$F$2:$F$18,"Missing game",0)</x:f>
        <x:v>Sunday</x:v>
      </x:c>
      <x:c r="AL553" t="str">
        <x:f>_xlfn.XLOOKUP($A553,Games!$A$2:$A$18,Games!$G$2:$G$18,"Missing game",0)</x:f>
        <x:v>MIN</x:v>
      </x:c>
      <x:c r="AM553" t="n">
        <x:f>_xlfn.XLOOKUP($A553,Games!$A$2:$A$18,Games!$H$2:$H$18,"Missing game",0)</x:f>
        <x:v>21</x:v>
      </x:c>
      <x:c r="AN553" t="str">
        <x:f>_xlfn.XLOOKUP($A553,Games!$A$2:$A$18,Games!$I$2:$I$18,"Missing game",0)</x:f>
        <x:v>PIT</x:v>
      </x:c>
      <x:c r="AO553" t="n">
        <x:f>_xlfn.XLOOKUP($A553,Games!$A$2:$A$18,Games!$J$2:$J$18,"Missing game",0)</x:f>
        <x:v>24</x:v>
      </x:c>
      <x:c r="AP553" t="n">
        <x:f>_xlfn.XLOOKUP($A553,Games!$A$2:$A$18,Games!$K$2:$K$18,"Missing game",0)</x:f>
        <x:v>3</x:v>
      </x:c>
      <x:c r="AQ553" t="n">
        <x:f>_xlfn.XLOOKUP($A553,Games!$A$2:$A$18,Games!$L$2:$L$18,"Missing game",0)</x:f>
        <x:v>45</x:v>
      </x:c>
      <x:c r="AR553" t="n">
        <x:f>_xlfn.XLOOKUP($A553,Games!$A$2:$A$18,Games!$M$2:$M$18,"Missing game",0)</x:f>
        <x:v>0</x:v>
      </x:c>
      <x:c r="AS553" t="str">
        <x:f>_xlfn.XLOOKUP($A553,Games!$A$2:$A$18,Games!$N$2:$N$18,"Missing game",0)</x:f>
        <x:v>outdoors</x:v>
      </x:c>
      <x:c r="AT553" t="str">
        <x:f>_xlfn.XLOOKUP($A553,Games!$A$2:$A$18,Games!$O$2:$O$18,"Missing game",0)</x:f>
        <x:v>grass</x:v>
      </x:c>
      <x:c r="AU553" t="n">
        <x:f>_xlfn.XLOOKUP($A553,Games!$A$2:$A$18,Games!$P$2:$P$18,"Missing game",0)</x:f>
        <x:v>61</x:v>
      </x:c>
      <x:c r="AV553" t="n">
        <x:f>_xlfn.XLOOKUP($A553,Games!$A$2:$A$18,Games!$Q$2:$Q$18,"Missing game",0)</x:f>
        <x:v>5</x:v>
      </x:c>
      <x:c r="AW553" t="str">
        <x:f>_xlfn.XLOOKUP($A553,Games!$A$2:$A$18,Games!$R$2:$R$18,"Missing game",0)</x:f>
        <x:v>Acrisure Stadium</x:v>
      </x:c>
    </x:row>
    <x:row r="554">
      <x:c r="A554" t="str">
        <x:v>2025_04_MIN_PIT</x:v>
      </x:c>
      <x:c r="B554" t="n">
        <x:v>1360</x:v>
      </x:c>
      <x:c r="C554" t="n">
        <x:v>2</x:v>
      </x:c>
      <x:c r="D554" t="str">
        <x:v>05:50</x:v>
      </x:c>
      <x:c r="E554" t="n">
        <x:v>1</x:v>
      </x:c>
      <x:c r="F554" t="n">
        <x:v>10</x:v>
      </x:c>
      <x:c r="G554" t="str">
        <x:v>PIT</x:v>
      </x:c>
      <x:c r="H554" t="str">
        <x:v>MIN</x:v>
      </x:c>
      <x:c r="I554" t="str">
        <x:v>PIT</x:v>
      </x:c>
      <x:c r="J554" t="n">
        <x:v>68</x:v>
      </x:c>
      <x:c r="K554" t="str">
        <x:v>(5:50) (Shotgun) 8-A.Rodgers pass short left to 80-D.Washington to PIT 39 for 7 yards (0-I.Pace).</x:v>
      </x:c>
      <x:c r="L554" t="str">
        <x:v>pass</x:v>
      </x:c>
      <x:c r="M554" t="n">
        <x:v>7</x:v>
      </x:c>
      <x:c r="N554" t="n">
        <x:v>1</x:v>
      </x:c>
      <x:c r="O554" t="n">
        <x:v>0</x:v>
      </x:c>
      <x:c r="P554" t="str">
        <x:v>short</x:v>
      </x:c>
      <x:c r="Q554" t="str">
        <x:v>left</x:v>
      </x:c>
      <x:c r="R554" t="n">
        <x:v>4</x:v>
      </x:c>
      <x:c r="S554" t="n">
        <x:v>3</x:v>
      </x:c>
      <x:c r="T554"/>
      <x:c r="U554"/>
      <x:c r="V554" t="n">
        <x:v>1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/>
      <x:c r="AC554" t="n">
        <x:v>0</x:v>
      </x:c>
      <x:c r="AD554" t="n">
        <x:v>0.25193721149116755</x:v>
      </x:c>
      <x:c r="AE554" t="n">
        <x:v>1</x:v>
      </x:c>
      <x:c r="AF554" t="n">
        <x:v>0.009139955043792725</x:v>
      </x:c>
      <x:c r="AG554" t="n">
        <x:f>_xlfn.XLOOKUP($A554,Games!$A$2:$A$18,Games!$B$2:$B$18,"Missing game",0)</x:f>
        <x:v>2025</x:v>
      </x:c>
      <x:c r="AH554" t="str">
        <x:f>_xlfn.XLOOKUP($A554,Games!$A$2:$A$18,Games!$C$2:$C$18,"Missing game",0)</x:f>
        <x:v>REG</x:v>
      </x:c>
      <x:c r="AI554" t="n">
        <x:f>_xlfn.XLOOKUP($A554,Games!$A$2:$A$18,Games!$D$2:$D$18,"Missing game",0)</x:f>
        <x:v>4</x:v>
      </x:c>
      <x:c r="AJ554" s="1" t="n">
        <x:f>_xlfn.XLOOKUP($A554,Games!$A$2:$A$18,Games!$E$2:$E$18,"Missing game",0)</x:f>
        <x:v>45928</x:v>
      </x:c>
      <x:c r="AK554" t="str">
        <x:f>_xlfn.XLOOKUP($A554,Games!$A$2:$A$18,Games!$F$2:$F$18,"Missing game",0)</x:f>
        <x:v>Sunday</x:v>
      </x:c>
      <x:c r="AL554" t="str">
        <x:f>_xlfn.XLOOKUP($A554,Games!$A$2:$A$18,Games!$G$2:$G$18,"Missing game",0)</x:f>
        <x:v>MIN</x:v>
      </x:c>
      <x:c r="AM554" t="n">
        <x:f>_xlfn.XLOOKUP($A554,Games!$A$2:$A$18,Games!$H$2:$H$18,"Missing game",0)</x:f>
        <x:v>21</x:v>
      </x:c>
      <x:c r="AN554" t="str">
        <x:f>_xlfn.XLOOKUP($A554,Games!$A$2:$A$18,Games!$I$2:$I$18,"Missing game",0)</x:f>
        <x:v>PIT</x:v>
      </x:c>
      <x:c r="AO554" t="n">
        <x:f>_xlfn.XLOOKUP($A554,Games!$A$2:$A$18,Games!$J$2:$J$18,"Missing game",0)</x:f>
        <x:v>24</x:v>
      </x:c>
      <x:c r="AP554" t="n">
        <x:f>_xlfn.XLOOKUP($A554,Games!$A$2:$A$18,Games!$K$2:$K$18,"Missing game",0)</x:f>
        <x:v>3</x:v>
      </x:c>
      <x:c r="AQ554" t="n">
        <x:f>_xlfn.XLOOKUP($A554,Games!$A$2:$A$18,Games!$L$2:$L$18,"Missing game",0)</x:f>
        <x:v>45</x:v>
      </x:c>
      <x:c r="AR554" t="n">
        <x:f>_xlfn.XLOOKUP($A554,Games!$A$2:$A$18,Games!$M$2:$M$18,"Missing game",0)</x:f>
        <x:v>0</x:v>
      </x:c>
      <x:c r="AS554" t="str">
        <x:f>_xlfn.XLOOKUP($A554,Games!$A$2:$A$18,Games!$N$2:$N$18,"Missing game",0)</x:f>
        <x:v>outdoors</x:v>
      </x:c>
      <x:c r="AT554" t="str">
        <x:f>_xlfn.XLOOKUP($A554,Games!$A$2:$A$18,Games!$O$2:$O$18,"Missing game",0)</x:f>
        <x:v>grass</x:v>
      </x:c>
      <x:c r="AU554" t="n">
        <x:f>_xlfn.XLOOKUP($A554,Games!$A$2:$A$18,Games!$P$2:$P$18,"Missing game",0)</x:f>
        <x:v>61</x:v>
      </x:c>
      <x:c r="AV554" t="n">
        <x:f>_xlfn.XLOOKUP($A554,Games!$A$2:$A$18,Games!$Q$2:$Q$18,"Missing game",0)</x:f>
        <x:v>5</x:v>
      </x:c>
      <x:c r="AW554" t="str">
        <x:f>_xlfn.XLOOKUP($A554,Games!$A$2:$A$18,Games!$R$2:$R$18,"Missing game",0)</x:f>
        <x:v>Acrisure Stadium</x:v>
      </x:c>
    </x:row>
    <x:row r="555">
      <x:c r="A555" t="str">
        <x:v>2025_04_MIN_PIT</x:v>
      </x:c>
      <x:c r="B555" t="n">
        <x:v>1392</x:v>
      </x:c>
      <x:c r="C555" t="n">
        <x:v>2</x:v>
      </x:c>
      <x:c r="D555" t="str">
        <x:v>05:13</x:v>
      </x:c>
      <x:c r="E555" t="n">
        <x:v>2</x:v>
      </x:c>
      <x:c r="F555" t="n">
        <x:v>3</x:v>
      </x:c>
      <x:c r="G555" t="str">
        <x:v>PIT</x:v>
      </x:c>
      <x:c r="H555" t="str">
        <x:v>MIN</x:v>
      </x:c>
      <x:c r="I555" t="str">
        <x:v>PIT</x:v>
      </x:c>
      <x:c r="J555" t="n">
        <x:v>61</x:v>
      </x:c>
      <x:c r="K555" t="str">
        <x:v>(5:13) (No Huddle, Shotgun) 14-K.Gainwell left guard to PIT 43 for 4 yards (0-I.Pace; 93-J.Allen).</x:v>
      </x:c>
      <x:c r="L555" t="str">
        <x:v>run</x:v>
      </x:c>
      <x:c r="M555" t="n">
        <x:v>4</x:v>
      </x:c>
      <x:c r="N555" t="n">
        <x:v>1</x:v>
      </x:c>
      <x:c r="O555" t="n">
        <x:v>1</x:v>
      </x:c>
      <x:c r="P555"/>
      <x:c r="Q555"/>
      <x:c r="R555"/>
      <x:c r="S555"/>
      <x:c r="T555" t="str">
        <x:v>left</x:v>
      </x:c>
      <x:c r="U555" t="str">
        <x:v>guard</x:v>
      </x:c>
      <x:c r="V555" t="n">
        <x:v>0</x:v>
      </x:c>
      <x:c r="W555" t="n">
        <x:v>1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/>
      <x:c r="AC555" t="n">
        <x:v>0</x:v>
      </x:c>
      <x:c r="AD555" t="n">
        <x:v>0.3497079835506156</x:v>
      </x:c>
      <x:c r="AE555" t="n">
        <x:v>1</x:v>
      </x:c>
      <x:c r="AF555" t="n">
        <x:v>0.0019615888595581055</x:v>
      </x:c>
      <x:c r="AG555" t="n">
        <x:f>_xlfn.XLOOKUP($A555,Games!$A$2:$A$18,Games!$B$2:$B$18,"Missing game",0)</x:f>
        <x:v>2025</x:v>
      </x:c>
      <x:c r="AH555" t="str">
        <x:f>_xlfn.XLOOKUP($A555,Games!$A$2:$A$18,Games!$C$2:$C$18,"Missing game",0)</x:f>
        <x:v>REG</x:v>
      </x:c>
      <x:c r="AI555" t="n">
        <x:f>_xlfn.XLOOKUP($A555,Games!$A$2:$A$18,Games!$D$2:$D$18,"Missing game",0)</x:f>
        <x:v>4</x:v>
      </x:c>
      <x:c r="AJ555" s="1" t="n">
        <x:f>_xlfn.XLOOKUP($A555,Games!$A$2:$A$18,Games!$E$2:$E$18,"Missing game",0)</x:f>
        <x:v>45928</x:v>
      </x:c>
      <x:c r="AK555" t="str">
        <x:f>_xlfn.XLOOKUP($A555,Games!$A$2:$A$18,Games!$F$2:$F$18,"Missing game",0)</x:f>
        <x:v>Sunday</x:v>
      </x:c>
      <x:c r="AL555" t="str">
        <x:f>_xlfn.XLOOKUP($A555,Games!$A$2:$A$18,Games!$G$2:$G$18,"Missing game",0)</x:f>
        <x:v>MIN</x:v>
      </x:c>
      <x:c r="AM555" t="n">
        <x:f>_xlfn.XLOOKUP($A555,Games!$A$2:$A$18,Games!$H$2:$H$18,"Missing game",0)</x:f>
        <x:v>21</x:v>
      </x:c>
      <x:c r="AN555" t="str">
        <x:f>_xlfn.XLOOKUP($A555,Games!$A$2:$A$18,Games!$I$2:$I$18,"Missing game",0)</x:f>
        <x:v>PIT</x:v>
      </x:c>
      <x:c r="AO555" t="n">
        <x:f>_xlfn.XLOOKUP($A555,Games!$A$2:$A$18,Games!$J$2:$J$18,"Missing game",0)</x:f>
        <x:v>24</x:v>
      </x:c>
      <x:c r="AP555" t="n">
        <x:f>_xlfn.XLOOKUP($A555,Games!$A$2:$A$18,Games!$K$2:$K$18,"Missing game",0)</x:f>
        <x:v>3</x:v>
      </x:c>
      <x:c r="AQ555" t="n">
        <x:f>_xlfn.XLOOKUP($A555,Games!$A$2:$A$18,Games!$L$2:$L$18,"Missing game",0)</x:f>
        <x:v>45</x:v>
      </x:c>
      <x:c r="AR555" t="n">
        <x:f>_xlfn.XLOOKUP($A555,Games!$A$2:$A$18,Games!$M$2:$M$18,"Missing game",0)</x:f>
        <x:v>0</x:v>
      </x:c>
      <x:c r="AS555" t="str">
        <x:f>_xlfn.XLOOKUP($A555,Games!$A$2:$A$18,Games!$N$2:$N$18,"Missing game",0)</x:f>
        <x:v>outdoors</x:v>
      </x:c>
      <x:c r="AT555" t="str">
        <x:f>_xlfn.XLOOKUP($A555,Games!$A$2:$A$18,Games!$O$2:$O$18,"Missing game",0)</x:f>
        <x:v>grass</x:v>
      </x:c>
      <x:c r="AU555" t="n">
        <x:f>_xlfn.XLOOKUP($A555,Games!$A$2:$A$18,Games!$P$2:$P$18,"Missing game",0)</x:f>
        <x:v>61</x:v>
      </x:c>
      <x:c r="AV555" t="n">
        <x:f>_xlfn.XLOOKUP($A555,Games!$A$2:$A$18,Games!$Q$2:$Q$18,"Missing game",0)</x:f>
        <x:v>5</x:v>
      </x:c>
      <x:c r="AW555" t="str">
        <x:f>_xlfn.XLOOKUP($A555,Games!$A$2:$A$18,Games!$R$2:$R$18,"Missing game",0)</x:f>
        <x:v>Acrisure Stadium</x:v>
      </x:c>
    </x:row>
    <x:row r="556">
      <x:c r="A556" t="str">
        <x:v>2025_04_MIN_PIT</x:v>
      </x:c>
      <x:c r="B556" t="n">
        <x:v>1414</x:v>
      </x:c>
      <x:c r="C556" t="n">
        <x:v>2</x:v>
      </x:c>
      <x:c r="D556" t="str">
        <x:v>04:33</x:v>
      </x:c>
      <x:c r="E556" t="n">
        <x:v>1</x:v>
      </x:c>
      <x:c r="F556" t="n">
        <x:v>10</x:v>
      </x:c>
      <x:c r="G556" t="str">
        <x:v>PIT</x:v>
      </x:c>
      <x:c r="H556" t="str">
        <x:v>MIN</x:v>
      </x:c>
      <x:c r="I556" t="str">
        <x:v>PIT</x:v>
      </x:c>
      <x:c r="J556" t="n">
        <x:v>57</x:v>
      </x:c>
      <x:c r="K556" t="str">
        <x:v>(4:33) (No Huddle, Shotgun) 8-A.Rodgers pass incomplete short left to 81-J.Smith.</x:v>
      </x:c>
      <x:c r="L556" t="str">
        <x:v>pass</x:v>
      </x:c>
      <x:c r="M556" t="n">
        <x:v>0</x:v>
      </x:c>
      <x:c r="N556" t="n">
        <x:v>1</x:v>
      </x:c>
      <x:c r="O556" t="n">
        <x:v>1</x:v>
      </x:c>
      <x:c r="P556" t="str">
        <x:v>short</x:v>
      </x:c>
      <x:c r="Q556" t="str">
        <x:v>left</x:v>
      </x:c>
      <x:c r="R556" t="n">
        <x:v>3</x:v>
      </x:c>
      <x:c r="S556"/>
      <x:c r="T556"/>
      <x:c r="U556"/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/>
      <x:c r="AC556" t="n">
        <x:v>0</x:v>
      </x:c>
      <x:c r="AD556" t="n">
        <x:v>-0.4968720094766468</x:v>
      </x:c>
      <x:c r="AE556" t="n">
        <x:v>0</x:v>
      </x:c>
      <x:c r="AF556" t="n">
        <x:v>-0.010131895542144775</x:v>
      </x:c>
      <x:c r="AG556" t="n">
        <x:f>_xlfn.XLOOKUP($A556,Games!$A$2:$A$18,Games!$B$2:$B$18,"Missing game",0)</x:f>
        <x:v>2025</x:v>
      </x:c>
      <x:c r="AH556" t="str">
        <x:f>_xlfn.XLOOKUP($A556,Games!$A$2:$A$18,Games!$C$2:$C$18,"Missing game",0)</x:f>
        <x:v>REG</x:v>
      </x:c>
      <x:c r="AI556" t="n">
        <x:f>_xlfn.XLOOKUP($A556,Games!$A$2:$A$18,Games!$D$2:$D$18,"Missing game",0)</x:f>
        <x:v>4</x:v>
      </x:c>
      <x:c r="AJ556" s="1" t="n">
        <x:f>_xlfn.XLOOKUP($A556,Games!$A$2:$A$18,Games!$E$2:$E$18,"Missing game",0)</x:f>
        <x:v>45928</x:v>
      </x:c>
      <x:c r="AK556" t="str">
        <x:f>_xlfn.XLOOKUP($A556,Games!$A$2:$A$18,Games!$F$2:$F$18,"Missing game",0)</x:f>
        <x:v>Sunday</x:v>
      </x:c>
      <x:c r="AL556" t="str">
        <x:f>_xlfn.XLOOKUP($A556,Games!$A$2:$A$18,Games!$G$2:$G$18,"Missing game",0)</x:f>
        <x:v>MIN</x:v>
      </x:c>
      <x:c r="AM556" t="n">
        <x:f>_xlfn.XLOOKUP($A556,Games!$A$2:$A$18,Games!$H$2:$H$18,"Missing game",0)</x:f>
        <x:v>21</x:v>
      </x:c>
      <x:c r="AN556" t="str">
        <x:f>_xlfn.XLOOKUP($A556,Games!$A$2:$A$18,Games!$I$2:$I$18,"Missing game",0)</x:f>
        <x:v>PIT</x:v>
      </x:c>
      <x:c r="AO556" t="n">
        <x:f>_xlfn.XLOOKUP($A556,Games!$A$2:$A$18,Games!$J$2:$J$18,"Missing game",0)</x:f>
        <x:v>24</x:v>
      </x:c>
      <x:c r="AP556" t="n">
        <x:f>_xlfn.XLOOKUP($A556,Games!$A$2:$A$18,Games!$K$2:$K$18,"Missing game",0)</x:f>
        <x:v>3</x:v>
      </x:c>
      <x:c r="AQ556" t="n">
        <x:f>_xlfn.XLOOKUP($A556,Games!$A$2:$A$18,Games!$L$2:$L$18,"Missing game",0)</x:f>
        <x:v>45</x:v>
      </x:c>
      <x:c r="AR556" t="n">
        <x:f>_xlfn.XLOOKUP($A556,Games!$A$2:$A$18,Games!$M$2:$M$18,"Missing game",0)</x:f>
        <x:v>0</x:v>
      </x:c>
      <x:c r="AS556" t="str">
        <x:f>_xlfn.XLOOKUP($A556,Games!$A$2:$A$18,Games!$N$2:$N$18,"Missing game",0)</x:f>
        <x:v>outdoors</x:v>
      </x:c>
      <x:c r="AT556" t="str">
        <x:f>_xlfn.XLOOKUP($A556,Games!$A$2:$A$18,Games!$O$2:$O$18,"Missing game",0)</x:f>
        <x:v>grass</x:v>
      </x:c>
      <x:c r="AU556" t="n">
        <x:f>_xlfn.XLOOKUP($A556,Games!$A$2:$A$18,Games!$P$2:$P$18,"Missing game",0)</x:f>
        <x:v>61</x:v>
      </x:c>
      <x:c r="AV556" t="n">
        <x:f>_xlfn.XLOOKUP($A556,Games!$A$2:$A$18,Games!$Q$2:$Q$18,"Missing game",0)</x:f>
        <x:v>5</x:v>
      </x:c>
      <x:c r="AW556" t="str">
        <x:f>_xlfn.XLOOKUP($A556,Games!$A$2:$A$18,Games!$R$2:$R$18,"Missing game",0)</x:f>
        <x:v>Acrisure Stadium</x:v>
      </x:c>
    </x:row>
    <x:row r="557">
      <x:c r="A557" t="str">
        <x:v>2025_04_MIN_PIT</x:v>
      </x:c>
      <x:c r="B557" t="n">
        <x:v>1437</x:v>
      </x:c>
      <x:c r="C557" t="n">
        <x:v>2</x:v>
      </x:c>
      <x:c r="D557" t="str">
        <x:v>04:31</x:v>
      </x:c>
      <x:c r="E557" t="n">
        <x:v>2</x:v>
      </x:c>
      <x:c r="F557" t="n">
        <x:v>10</x:v>
      </x:c>
      <x:c r="G557" t="str">
        <x:v>PIT</x:v>
      </x:c>
      <x:c r="H557" t="str">
        <x:v>MIN</x:v>
      </x:c>
      <x:c r="I557" t="str">
        <x:v>PIT</x:v>
      </x:c>
      <x:c r="J557" t="n">
        <x:v>57</x:v>
      </x:c>
      <x:c r="K557" t="str">
        <x:v>(4:31) 74-S.Anderson reported in as eligible. 14-K.Gainwell left end to MIN 48 for 9 yards (97-J.Hargrave).</x:v>
      </x:c>
      <x:c r="L557" t="str">
        <x:v>run</x:v>
      </x:c>
      <x:c r="M557" t="n">
        <x:v>9</x:v>
      </x:c>
      <x:c r="N557" t="n">
        <x:v>0</x:v>
      </x:c>
      <x:c r="O557" t="n">
        <x:v>0</x:v>
      </x:c>
      <x:c r="P557"/>
      <x:c r="Q557"/>
      <x:c r="R557"/>
      <x:c r="S557"/>
      <x:c r="T557" t="str">
        <x:v>left</x:v>
      </x:c>
      <x:c r="U557" t="str">
        <x:v>end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/>
      <x:c r="AC557" t="n">
        <x:v>0</x:v>
      </x:c>
      <x:c r="AD557" t="n">
        <x:v>0.6601806284161285</x:v>
      </x:c>
      <x:c r="AE557" t="n">
        <x:v>1</x:v>
      </x:c>
      <x:c r="AF557" t="n">
        <x:v>0.015991508960723877</x:v>
      </x:c>
      <x:c r="AG557" t="n">
        <x:f>_xlfn.XLOOKUP($A557,Games!$A$2:$A$18,Games!$B$2:$B$18,"Missing game",0)</x:f>
        <x:v>2025</x:v>
      </x:c>
      <x:c r="AH557" t="str">
        <x:f>_xlfn.XLOOKUP($A557,Games!$A$2:$A$18,Games!$C$2:$C$18,"Missing game",0)</x:f>
        <x:v>REG</x:v>
      </x:c>
      <x:c r="AI557" t="n">
        <x:f>_xlfn.XLOOKUP($A557,Games!$A$2:$A$18,Games!$D$2:$D$18,"Missing game",0)</x:f>
        <x:v>4</x:v>
      </x:c>
      <x:c r="AJ557" s="1" t="n">
        <x:f>_xlfn.XLOOKUP($A557,Games!$A$2:$A$18,Games!$E$2:$E$18,"Missing game",0)</x:f>
        <x:v>45928</x:v>
      </x:c>
      <x:c r="AK557" t="str">
        <x:f>_xlfn.XLOOKUP($A557,Games!$A$2:$A$18,Games!$F$2:$F$18,"Missing game",0)</x:f>
        <x:v>Sunday</x:v>
      </x:c>
      <x:c r="AL557" t="str">
        <x:f>_xlfn.XLOOKUP($A557,Games!$A$2:$A$18,Games!$G$2:$G$18,"Missing game",0)</x:f>
        <x:v>MIN</x:v>
      </x:c>
      <x:c r="AM557" t="n">
        <x:f>_xlfn.XLOOKUP($A557,Games!$A$2:$A$18,Games!$H$2:$H$18,"Missing game",0)</x:f>
        <x:v>21</x:v>
      </x:c>
      <x:c r="AN557" t="str">
        <x:f>_xlfn.XLOOKUP($A557,Games!$A$2:$A$18,Games!$I$2:$I$18,"Missing game",0)</x:f>
        <x:v>PIT</x:v>
      </x:c>
      <x:c r="AO557" t="n">
        <x:f>_xlfn.XLOOKUP($A557,Games!$A$2:$A$18,Games!$J$2:$J$18,"Missing game",0)</x:f>
        <x:v>24</x:v>
      </x:c>
      <x:c r="AP557" t="n">
        <x:f>_xlfn.XLOOKUP($A557,Games!$A$2:$A$18,Games!$K$2:$K$18,"Missing game",0)</x:f>
        <x:v>3</x:v>
      </x:c>
      <x:c r="AQ557" t="n">
        <x:f>_xlfn.XLOOKUP($A557,Games!$A$2:$A$18,Games!$L$2:$L$18,"Missing game",0)</x:f>
        <x:v>45</x:v>
      </x:c>
      <x:c r="AR557" t="n">
        <x:f>_xlfn.XLOOKUP($A557,Games!$A$2:$A$18,Games!$M$2:$M$18,"Missing game",0)</x:f>
        <x:v>0</x:v>
      </x:c>
      <x:c r="AS557" t="str">
        <x:f>_xlfn.XLOOKUP($A557,Games!$A$2:$A$18,Games!$N$2:$N$18,"Missing game",0)</x:f>
        <x:v>outdoors</x:v>
      </x:c>
      <x:c r="AT557" t="str">
        <x:f>_xlfn.XLOOKUP($A557,Games!$A$2:$A$18,Games!$O$2:$O$18,"Missing game",0)</x:f>
        <x:v>grass</x:v>
      </x:c>
      <x:c r="AU557" t="n">
        <x:f>_xlfn.XLOOKUP($A557,Games!$A$2:$A$18,Games!$P$2:$P$18,"Missing game",0)</x:f>
        <x:v>61</x:v>
      </x:c>
      <x:c r="AV557" t="n">
        <x:f>_xlfn.XLOOKUP($A557,Games!$A$2:$A$18,Games!$Q$2:$Q$18,"Missing game",0)</x:f>
        <x:v>5</x:v>
      </x:c>
      <x:c r="AW557" t="str">
        <x:f>_xlfn.XLOOKUP($A557,Games!$A$2:$A$18,Games!$R$2:$R$18,"Missing game",0)</x:f>
        <x:v>Acrisure Stadium</x:v>
      </x:c>
    </x:row>
    <x:row r="558">
      <x:c r="A558" t="str">
        <x:v>2025_04_MIN_PIT</x:v>
      </x:c>
      <x:c r="B558" t="n">
        <x:v>1461</x:v>
      </x:c>
      <x:c r="C558" t="n">
        <x:v>2</x:v>
      </x:c>
      <x:c r="D558" t="str">
        <x:v>03:48</x:v>
      </x:c>
      <x:c r="E558" t="n">
        <x:v>3</x:v>
      </x:c>
      <x:c r="F558" t="n">
        <x:v>1</x:v>
      </x:c>
      <x:c r="G558" t="str">
        <x:v>PIT</x:v>
      </x:c>
      <x:c r="H558" t="str">
        <x:v>MIN</x:v>
      </x:c>
      <x:c r="I558" t="str">
        <x:v>MIN</x:v>
      </x:c>
      <x:c r="J558" t="n">
        <x:v>48</x:v>
      </x:c>
      <x:c r="K558" t="str">
        <x:v>(3:48) 74-S.Anderson reported in as eligible. 14-K.Gainwell left tackle to MIN 47 for 1 yard (15-D.Turner; 0-I.Pace). PENALTY on MIN-7-B.Murphy, Unnecessary Roughness, 15 yards, enforced at MIN 47.</x:v>
      </x:c>
      <x:c r="L558" t="str">
        <x:v>run</x:v>
      </x:c>
      <x:c r="M558" t="n">
        <x:v>1</x:v>
      </x:c>
      <x:c r="N558" t="n">
        <x:v>0</x:v>
      </x:c>
      <x:c r="O558" t="n">
        <x:v>0</x:v>
      </x:c>
      <x:c r="P558"/>
      <x:c r="Q558"/>
      <x:c r="R558"/>
      <x:c r="S558"/>
      <x:c r="T558" t="str">
        <x:v>left</x:v>
      </x:c>
      <x:c r="U558" t="str">
        <x:v>tackle</x:v>
      </x:c>
      <x:c r="V558" t="n">
        <x:v>0</x:v>
      </x:c>
      <x:c r="W558" t="n">
        <x:v>1</x:v>
      </x:c>
      <x:c r="X558" t="n">
        <x:v>0</x:v>
      </x:c>
      <x:c r="Y558" t="n">
        <x:v>0</x:v>
      </x:c>
      <x:c r="Z558" t="n">
        <x:v>0</x:v>
      </x:c>
      <x:c r="AA558" t="n">
        <x:v>1</x:v>
      </x:c>
      <x:c r="AB558" t="n">
        <x:v>15</x:v>
      </x:c>
      <x:c r="AC558" t="n">
        <x:v>0</x:v>
      </x:c>
      <x:c r="AD558" t="n">
        <x:v>1.3772462927154265</x:v>
      </x:c>
      <x:c r="AE558" t="n">
        <x:v>1</x:v>
      </x:c>
      <x:c r="AF558" t="n">
        <x:v>0.012022554874420166</x:v>
      </x:c>
      <x:c r="AG558" t="n">
        <x:f>_xlfn.XLOOKUP($A558,Games!$A$2:$A$18,Games!$B$2:$B$18,"Missing game",0)</x:f>
        <x:v>2025</x:v>
      </x:c>
      <x:c r="AH558" t="str">
        <x:f>_xlfn.XLOOKUP($A558,Games!$A$2:$A$18,Games!$C$2:$C$18,"Missing game",0)</x:f>
        <x:v>REG</x:v>
      </x:c>
      <x:c r="AI558" t="n">
        <x:f>_xlfn.XLOOKUP($A558,Games!$A$2:$A$18,Games!$D$2:$D$18,"Missing game",0)</x:f>
        <x:v>4</x:v>
      </x:c>
      <x:c r="AJ558" s="1" t="n">
        <x:f>_xlfn.XLOOKUP($A558,Games!$A$2:$A$18,Games!$E$2:$E$18,"Missing game",0)</x:f>
        <x:v>45928</x:v>
      </x:c>
      <x:c r="AK558" t="str">
        <x:f>_xlfn.XLOOKUP($A558,Games!$A$2:$A$18,Games!$F$2:$F$18,"Missing game",0)</x:f>
        <x:v>Sunday</x:v>
      </x:c>
      <x:c r="AL558" t="str">
        <x:f>_xlfn.XLOOKUP($A558,Games!$A$2:$A$18,Games!$G$2:$G$18,"Missing game",0)</x:f>
        <x:v>MIN</x:v>
      </x:c>
      <x:c r="AM558" t="n">
        <x:f>_xlfn.XLOOKUP($A558,Games!$A$2:$A$18,Games!$H$2:$H$18,"Missing game",0)</x:f>
        <x:v>21</x:v>
      </x:c>
      <x:c r="AN558" t="str">
        <x:f>_xlfn.XLOOKUP($A558,Games!$A$2:$A$18,Games!$I$2:$I$18,"Missing game",0)</x:f>
        <x:v>PIT</x:v>
      </x:c>
      <x:c r="AO558" t="n">
        <x:f>_xlfn.XLOOKUP($A558,Games!$A$2:$A$18,Games!$J$2:$J$18,"Missing game",0)</x:f>
        <x:v>24</x:v>
      </x:c>
      <x:c r="AP558" t="n">
        <x:f>_xlfn.XLOOKUP($A558,Games!$A$2:$A$18,Games!$K$2:$K$18,"Missing game",0)</x:f>
        <x:v>3</x:v>
      </x:c>
      <x:c r="AQ558" t="n">
        <x:f>_xlfn.XLOOKUP($A558,Games!$A$2:$A$18,Games!$L$2:$L$18,"Missing game",0)</x:f>
        <x:v>45</x:v>
      </x:c>
      <x:c r="AR558" t="n">
        <x:f>_xlfn.XLOOKUP($A558,Games!$A$2:$A$18,Games!$M$2:$M$18,"Missing game",0)</x:f>
        <x:v>0</x:v>
      </x:c>
      <x:c r="AS558" t="str">
        <x:f>_xlfn.XLOOKUP($A558,Games!$A$2:$A$18,Games!$N$2:$N$18,"Missing game",0)</x:f>
        <x:v>outdoors</x:v>
      </x:c>
      <x:c r="AT558" t="str">
        <x:f>_xlfn.XLOOKUP($A558,Games!$A$2:$A$18,Games!$O$2:$O$18,"Missing game",0)</x:f>
        <x:v>grass</x:v>
      </x:c>
      <x:c r="AU558" t="n">
        <x:f>_xlfn.XLOOKUP($A558,Games!$A$2:$A$18,Games!$P$2:$P$18,"Missing game",0)</x:f>
        <x:v>61</x:v>
      </x:c>
      <x:c r="AV558" t="n">
        <x:f>_xlfn.XLOOKUP($A558,Games!$A$2:$A$18,Games!$Q$2:$Q$18,"Missing game",0)</x:f>
        <x:v>5</x:v>
      </x:c>
      <x:c r="AW558" t="str">
        <x:f>_xlfn.XLOOKUP($A558,Games!$A$2:$A$18,Games!$R$2:$R$18,"Missing game",0)</x:f>
        <x:v>Acrisure Stadium</x:v>
      </x:c>
    </x:row>
    <x:row r="559">
      <x:c r="A559" t="str">
        <x:v>2025_04_MIN_PIT</x:v>
      </x:c>
      <x:c r="B559" t="n">
        <x:v>1496</x:v>
      </x:c>
      <x:c r="C559" t="n">
        <x:v>2</x:v>
      </x:c>
      <x:c r="D559" t="str">
        <x:v>03:21</x:v>
      </x:c>
      <x:c r="E559" t="n">
        <x:v>1</x:v>
      </x:c>
      <x:c r="F559" t="n">
        <x:v>10</x:v>
      </x:c>
      <x:c r="G559" t="str">
        <x:v>PIT</x:v>
      </x:c>
      <x:c r="H559" t="str">
        <x:v>MIN</x:v>
      </x:c>
      <x:c r="I559" t="str">
        <x:v>MIN</x:v>
      </x:c>
      <x:c r="J559" t="n">
        <x:v>32</x:v>
      </x:c>
      <x:c r="K559" t="str">
        <x:v>(3:21) 20-K.Johnson left end to MIN 31 for 1 yard (0-I.Pace; 98-B.Richter).</x:v>
      </x:c>
      <x:c r="L559" t="str">
        <x:v>run</x:v>
      </x:c>
      <x:c r="M559" t="n">
        <x:v>1</x:v>
      </x:c>
      <x:c r="N559" t="n">
        <x:v>0</x:v>
      </x:c>
      <x:c r="O559" t="n">
        <x:v>0</x:v>
      </x:c>
      <x:c r="P559"/>
      <x:c r="Q559"/>
      <x:c r="R559"/>
      <x:c r="S559"/>
      <x:c r="T559" t="str">
        <x:v>left</x:v>
      </x:c>
      <x:c r="U559" t="str">
        <x:v>end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/>
      <x:c r="AC559" t="n">
        <x:v>0</x:v>
      </x:c>
      <x:c r="AD559" t="n">
        <x:v>-0.5176432225271128</x:v>
      </x:c>
      <x:c r="AE559" t="n">
        <x:v>0</x:v>
      </x:c>
      <x:c r="AF559" t="n">
        <x:v>-0.006372988224029541</x:v>
      </x:c>
      <x:c r="AG559" t="n">
        <x:f>_xlfn.XLOOKUP($A559,Games!$A$2:$A$18,Games!$B$2:$B$18,"Missing game",0)</x:f>
        <x:v>2025</x:v>
      </x:c>
      <x:c r="AH559" t="str">
        <x:f>_xlfn.XLOOKUP($A559,Games!$A$2:$A$18,Games!$C$2:$C$18,"Missing game",0)</x:f>
        <x:v>REG</x:v>
      </x:c>
      <x:c r="AI559" t="n">
        <x:f>_xlfn.XLOOKUP($A559,Games!$A$2:$A$18,Games!$D$2:$D$18,"Missing game",0)</x:f>
        <x:v>4</x:v>
      </x:c>
      <x:c r="AJ559" s="1" t="n">
        <x:f>_xlfn.XLOOKUP($A559,Games!$A$2:$A$18,Games!$E$2:$E$18,"Missing game",0)</x:f>
        <x:v>45928</x:v>
      </x:c>
      <x:c r="AK559" t="str">
        <x:f>_xlfn.XLOOKUP($A559,Games!$A$2:$A$18,Games!$F$2:$F$18,"Missing game",0)</x:f>
        <x:v>Sunday</x:v>
      </x:c>
      <x:c r="AL559" t="str">
        <x:f>_xlfn.XLOOKUP($A559,Games!$A$2:$A$18,Games!$G$2:$G$18,"Missing game",0)</x:f>
        <x:v>MIN</x:v>
      </x:c>
      <x:c r="AM559" t="n">
        <x:f>_xlfn.XLOOKUP($A559,Games!$A$2:$A$18,Games!$H$2:$H$18,"Missing game",0)</x:f>
        <x:v>21</x:v>
      </x:c>
      <x:c r="AN559" t="str">
        <x:f>_xlfn.XLOOKUP($A559,Games!$A$2:$A$18,Games!$I$2:$I$18,"Missing game",0)</x:f>
        <x:v>PIT</x:v>
      </x:c>
      <x:c r="AO559" t="n">
        <x:f>_xlfn.XLOOKUP($A559,Games!$A$2:$A$18,Games!$J$2:$J$18,"Missing game",0)</x:f>
        <x:v>24</x:v>
      </x:c>
      <x:c r="AP559" t="n">
        <x:f>_xlfn.XLOOKUP($A559,Games!$A$2:$A$18,Games!$K$2:$K$18,"Missing game",0)</x:f>
        <x:v>3</x:v>
      </x:c>
      <x:c r="AQ559" t="n">
        <x:f>_xlfn.XLOOKUP($A559,Games!$A$2:$A$18,Games!$L$2:$L$18,"Missing game",0)</x:f>
        <x:v>45</x:v>
      </x:c>
      <x:c r="AR559" t="n">
        <x:f>_xlfn.XLOOKUP($A559,Games!$A$2:$A$18,Games!$M$2:$M$18,"Missing game",0)</x:f>
        <x:v>0</x:v>
      </x:c>
      <x:c r="AS559" t="str">
        <x:f>_xlfn.XLOOKUP($A559,Games!$A$2:$A$18,Games!$N$2:$N$18,"Missing game",0)</x:f>
        <x:v>outdoors</x:v>
      </x:c>
      <x:c r="AT559" t="str">
        <x:f>_xlfn.XLOOKUP($A559,Games!$A$2:$A$18,Games!$O$2:$O$18,"Missing game",0)</x:f>
        <x:v>grass</x:v>
      </x:c>
      <x:c r="AU559" t="n">
        <x:f>_xlfn.XLOOKUP($A559,Games!$A$2:$A$18,Games!$P$2:$P$18,"Missing game",0)</x:f>
        <x:v>61</x:v>
      </x:c>
      <x:c r="AV559" t="n">
        <x:f>_xlfn.XLOOKUP($A559,Games!$A$2:$A$18,Games!$Q$2:$Q$18,"Missing game",0)</x:f>
        <x:v>5</x:v>
      </x:c>
      <x:c r="AW559" t="str">
        <x:f>_xlfn.XLOOKUP($A559,Games!$A$2:$A$18,Games!$R$2:$R$18,"Missing game",0)</x:f>
        <x:v>Acrisure Stadium</x:v>
      </x:c>
    </x:row>
    <x:row r="560">
      <x:c r="A560" t="str">
        <x:v>2025_04_MIN_PIT</x:v>
      </x:c>
      <x:c r="B560" t="n">
        <x:v>1518</x:v>
      </x:c>
      <x:c r="C560" t="n">
        <x:v>2</x:v>
      </x:c>
      <x:c r="D560" t="str">
        <x:v>02:37</x:v>
      </x:c>
      <x:c r="E560" t="n">
        <x:v>2</x:v>
      </x:c>
      <x:c r="F560" t="n">
        <x:v>9</x:v>
      </x:c>
      <x:c r="G560" t="str">
        <x:v>PIT</x:v>
      </x:c>
      <x:c r="H560" t="str">
        <x:v>MIN</x:v>
      </x:c>
      <x:c r="I560" t="str">
        <x:v>MIN</x:v>
      </x:c>
      <x:c r="J560" t="n">
        <x:v>31</x:v>
      </x:c>
      <x:c r="K560" t="str">
        <x:v>(2:37) (Shotgun) 8-A.Rodgers pass incomplete short left to 20-K.Johnson.</x:v>
      </x:c>
      <x:c r="L560" t="str">
        <x:v>pass</x:v>
      </x:c>
      <x:c r="M560" t="n">
        <x:v>0</x:v>
      </x:c>
      <x:c r="N560" t="n">
        <x:v>1</x:v>
      </x:c>
      <x:c r="O560" t="n">
        <x:v>0</x:v>
      </x:c>
      <x:c r="P560" t="str">
        <x:v>short</x:v>
      </x:c>
      <x:c r="Q560" t="str">
        <x:v>left</x:v>
      </x:c>
      <x:c r="R560" t="n">
        <x:v>-3</x:v>
      </x:c>
      <x:c r="S560"/>
      <x:c r="T560"/>
      <x:c r="U560"/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/>
      <x:c r="AC560" t="n">
        <x:v>0</x:v>
      </x:c>
      <x:c r="AD560" t="n">
        <x:v>-0.4310725008836016</x:v>
      </x:c>
      <x:c r="AE560" t="n">
        <x:v>0</x:v>
      </x:c>
      <x:c r="AF560" t="n">
        <x:v>-0.011564075946807861</x:v>
      </x:c>
      <x:c r="AG560" t="n">
        <x:f>_xlfn.XLOOKUP($A560,Games!$A$2:$A$18,Games!$B$2:$B$18,"Missing game",0)</x:f>
        <x:v>2025</x:v>
      </x:c>
      <x:c r="AH560" t="str">
        <x:f>_xlfn.XLOOKUP($A560,Games!$A$2:$A$18,Games!$C$2:$C$18,"Missing game",0)</x:f>
        <x:v>REG</x:v>
      </x:c>
      <x:c r="AI560" t="n">
        <x:f>_xlfn.XLOOKUP($A560,Games!$A$2:$A$18,Games!$D$2:$D$18,"Missing game",0)</x:f>
        <x:v>4</x:v>
      </x:c>
      <x:c r="AJ560" s="1" t="n">
        <x:f>_xlfn.XLOOKUP($A560,Games!$A$2:$A$18,Games!$E$2:$E$18,"Missing game",0)</x:f>
        <x:v>45928</x:v>
      </x:c>
      <x:c r="AK560" t="str">
        <x:f>_xlfn.XLOOKUP($A560,Games!$A$2:$A$18,Games!$F$2:$F$18,"Missing game",0)</x:f>
        <x:v>Sunday</x:v>
      </x:c>
      <x:c r="AL560" t="str">
        <x:f>_xlfn.XLOOKUP($A560,Games!$A$2:$A$18,Games!$G$2:$G$18,"Missing game",0)</x:f>
        <x:v>MIN</x:v>
      </x:c>
      <x:c r="AM560" t="n">
        <x:f>_xlfn.XLOOKUP($A560,Games!$A$2:$A$18,Games!$H$2:$H$18,"Missing game",0)</x:f>
        <x:v>21</x:v>
      </x:c>
      <x:c r="AN560" t="str">
        <x:f>_xlfn.XLOOKUP($A560,Games!$A$2:$A$18,Games!$I$2:$I$18,"Missing game",0)</x:f>
        <x:v>PIT</x:v>
      </x:c>
      <x:c r="AO560" t="n">
        <x:f>_xlfn.XLOOKUP($A560,Games!$A$2:$A$18,Games!$J$2:$J$18,"Missing game",0)</x:f>
        <x:v>24</x:v>
      </x:c>
      <x:c r="AP560" t="n">
        <x:f>_xlfn.XLOOKUP($A560,Games!$A$2:$A$18,Games!$K$2:$K$18,"Missing game",0)</x:f>
        <x:v>3</x:v>
      </x:c>
      <x:c r="AQ560" t="n">
        <x:f>_xlfn.XLOOKUP($A560,Games!$A$2:$A$18,Games!$L$2:$L$18,"Missing game",0)</x:f>
        <x:v>45</x:v>
      </x:c>
      <x:c r="AR560" t="n">
        <x:f>_xlfn.XLOOKUP($A560,Games!$A$2:$A$18,Games!$M$2:$M$18,"Missing game",0)</x:f>
        <x:v>0</x:v>
      </x:c>
      <x:c r="AS560" t="str">
        <x:f>_xlfn.XLOOKUP($A560,Games!$A$2:$A$18,Games!$N$2:$N$18,"Missing game",0)</x:f>
        <x:v>outdoors</x:v>
      </x:c>
      <x:c r="AT560" t="str">
        <x:f>_xlfn.XLOOKUP($A560,Games!$A$2:$A$18,Games!$O$2:$O$18,"Missing game",0)</x:f>
        <x:v>grass</x:v>
      </x:c>
      <x:c r="AU560" t="n">
        <x:f>_xlfn.XLOOKUP($A560,Games!$A$2:$A$18,Games!$P$2:$P$18,"Missing game",0)</x:f>
        <x:v>61</x:v>
      </x:c>
      <x:c r="AV560" t="n">
        <x:f>_xlfn.XLOOKUP($A560,Games!$A$2:$A$18,Games!$Q$2:$Q$18,"Missing game",0)</x:f>
        <x:v>5</x:v>
      </x:c>
      <x:c r="AW560" t="str">
        <x:f>_xlfn.XLOOKUP($A560,Games!$A$2:$A$18,Games!$R$2:$R$18,"Missing game",0)</x:f>
        <x:v>Acrisure Stadium</x:v>
      </x:c>
    </x:row>
    <x:row r="561">
      <x:c r="A561" t="str">
        <x:v>2025_04_MIN_PIT</x:v>
      </x:c>
      <x:c r="B561" t="n">
        <x:v>1541</x:v>
      </x:c>
      <x:c r="C561" t="n">
        <x:v>2</x:v>
      </x:c>
      <x:c r="D561" t="str">
        <x:v>02:34</x:v>
      </x:c>
      <x:c r="E561" t="n">
        <x:v>3</x:v>
      </x:c>
      <x:c r="F561" t="n">
        <x:v>9</x:v>
      </x:c>
      <x:c r="G561" t="str">
        <x:v>PIT</x:v>
      </x:c>
      <x:c r="H561" t="str">
        <x:v>MIN</x:v>
      </x:c>
      <x:c r="I561" t="str">
        <x:v>MIN</x:v>
      </x:c>
      <x:c r="J561" t="n">
        <x:v>31</x:v>
      </x:c>
      <x:c r="K561" t="str">
        <x:v>(2:34) (Shotgun) 8-A.Rodgers scrambles up the middle to MIN 20 for 11 yards (58-J.Greenard). FUMBLES (58-J.Greenard), recovered by PIT-77-B.Jones at MIN 21. 77-B.Jones to MIN 15 for 6 yards (97-J.Hargrave).</x:v>
      </x:c>
      <x:c r="L561" t="str">
        <x:v>run</x:v>
      </x:c>
      <x:c r="M561" t="n">
        <x:v>10</x:v>
      </x:c>
      <x:c r="N561" t="n">
        <x:v>1</x:v>
      </x:c>
      <x:c r="O561" t="n">
        <x:v>0</x:v>
      </x:c>
      <x:c r="P561"/>
      <x:c r="Q561"/>
      <x:c r="R561"/>
      <x:c r="S561"/>
      <x:c r="T561" t="str">
        <x:v>middle</x:v>
      </x:c>
      <x:c r="U561"/>
      <x:c r="V561" t="n">
        <x:v>0</x:v>
      </x:c>
      <x:c r="W561" t="n">
        <x:v>1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/>
      <x:c r="AC561" t="n">
        <x:v>0</x:v>
      </x:c>
      <x:c r="AD561" t="n">
        <x:v>2.186284309369512</x:v>
      </x:c>
      <x:c r="AE561" t="n">
        <x:v>1</x:v>
      </x:c>
      <x:c r="AF561" t="n">
        <x:v>0.034817278385162354</x:v>
      </x:c>
      <x:c r="AG561" t="n">
        <x:f>_xlfn.XLOOKUP($A561,Games!$A$2:$A$18,Games!$B$2:$B$18,"Missing game",0)</x:f>
        <x:v>2025</x:v>
      </x:c>
      <x:c r="AH561" t="str">
        <x:f>_xlfn.XLOOKUP($A561,Games!$A$2:$A$18,Games!$C$2:$C$18,"Missing game",0)</x:f>
        <x:v>REG</x:v>
      </x:c>
      <x:c r="AI561" t="n">
        <x:f>_xlfn.XLOOKUP($A561,Games!$A$2:$A$18,Games!$D$2:$D$18,"Missing game",0)</x:f>
        <x:v>4</x:v>
      </x:c>
      <x:c r="AJ561" s="1" t="n">
        <x:f>_xlfn.XLOOKUP($A561,Games!$A$2:$A$18,Games!$E$2:$E$18,"Missing game",0)</x:f>
        <x:v>45928</x:v>
      </x:c>
      <x:c r="AK561" t="str">
        <x:f>_xlfn.XLOOKUP($A561,Games!$A$2:$A$18,Games!$F$2:$F$18,"Missing game",0)</x:f>
        <x:v>Sunday</x:v>
      </x:c>
      <x:c r="AL561" t="str">
        <x:f>_xlfn.XLOOKUP($A561,Games!$A$2:$A$18,Games!$G$2:$G$18,"Missing game",0)</x:f>
        <x:v>MIN</x:v>
      </x:c>
      <x:c r="AM561" t="n">
        <x:f>_xlfn.XLOOKUP($A561,Games!$A$2:$A$18,Games!$H$2:$H$18,"Missing game",0)</x:f>
        <x:v>21</x:v>
      </x:c>
      <x:c r="AN561" t="str">
        <x:f>_xlfn.XLOOKUP($A561,Games!$A$2:$A$18,Games!$I$2:$I$18,"Missing game",0)</x:f>
        <x:v>PIT</x:v>
      </x:c>
      <x:c r="AO561" t="n">
        <x:f>_xlfn.XLOOKUP($A561,Games!$A$2:$A$18,Games!$J$2:$J$18,"Missing game",0)</x:f>
        <x:v>24</x:v>
      </x:c>
      <x:c r="AP561" t="n">
        <x:f>_xlfn.XLOOKUP($A561,Games!$A$2:$A$18,Games!$K$2:$K$18,"Missing game",0)</x:f>
        <x:v>3</x:v>
      </x:c>
      <x:c r="AQ561" t="n">
        <x:f>_xlfn.XLOOKUP($A561,Games!$A$2:$A$18,Games!$L$2:$L$18,"Missing game",0)</x:f>
        <x:v>45</x:v>
      </x:c>
      <x:c r="AR561" t="n">
        <x:f>_xlfn.XLOOKUP($A561,Games!$A$2:$A$18,Games!$M$2:$M$18,"Missing game",0)</x:f>
        <x:v>0</x:v>
      </x:c>
      <x:c r="AS561" t="str">
        <x:f>_xlfn.XLOOKUP($A561,Games!$A$2:$A$18,Games!$N$2:$N$18,"Missing game",0)</x:f>
        <x:v>outdoors</x:v>
      </x:c>
      <x:c r="AT561" t="str">
        <x:f>_xlfn.XLOOKUP($A561,Games!$A$2:$A$18,Games!$O$2:$O$18,"Missing game",0)</x:f>
        <x:v>grass</x:v>
      </x:c>
      <x:c r="AU561" t="n">
        <x:f>_xlfn.XLOOKUP($A561,Games!$A$2:$A$18,Games!$P$2:$P$18,"Missing game",0)</x:f>
        <x:v>61</x:v>
      </x:c>
      <x:c r="AV561" t="n">
        <x:f>_xlfn.XLOOKUP($A561,Games!$A$2:$A$18,Games!$Q$2:$Q$18,"Missing game",0)</x:f>
        <x:v>5</x:v>
      </x:c>
      <x:c r="AW561" t="str">
        <x:f>_xlfn.XLOOKUP($A561,Games!$A$2:$A$18,Games!$R$2:$R$18,"Missing game",0)</x:f>
        <x:v>Acrisure Stadium</x:v>
      </x:c>
    </x:row>
    <x:row r="562">
      <x:c r="A562" t="str">
        <x:v>2025_04_MIN_PIT</x:v>
      </x:c>
      <x:c r="B562" t="n">
        <x:v>1579</x:v>
      </x:c>
      <x:c r="C562" t="n">
        <x:v>2</x:v>
      </x:c>
      <x:c r="D562" t="str">
        <x:v>02:00</x:v>
      </x:c>
      <x:c r="E562" t="n">
        <x:v>1</x:v>
      </x:c>
      <x:c r="F562" t="n">
        <x:v>10</x:v>
      </x:c>
      <x:c r="G562" t="str">
        <x:v>PIT</x:v>
      </x:c>
      <x:c r="H562" t="str">
        <x:v>MIN</x:v>
      </x:c>
      <x:c r="I562" t="str">
        <x:v>MIN</x:v>
      </x:c>
      <x:c r="J562" t="n">
        <x:v>15</x:v>
      </x:c>
      <x:c r="K562" t="str">
        <x:v>(2:00) 8-A.Rodgers pass short left to 80-D.Washington pushed ob at MIN 10 for 5 yards (44-J.Metellus; 50-L.Rodriguez).</x:v>
      </x:c>
      <x:c r="L562" t="str">
        <x:v>pass</x:v>
      </x:c>
      <x:c r="M562" t="n">
        <x:v>5</x:v>
      </x:c>
      <x:c r="N562" t="n">
        <x:v>0</x:v>
      </x:c>
      <x:c r="O562" t="n">
        <x:v>0</x:v>
      </x:c>
      <x:c r="P562" t="str">
        <x:v>short</x:v>
      </x:c>
      <x:c r="Q562" t="str">
        <x:v>left</x:v>
      </x:c>
      <x:c r="R562" t="n">
        <x:v>1</x:v>
      </x:c>
      <x:c r="S562" t="n">
        <x:v>4</x:v>
      </x:c>
      <x:c r="T562"/>
      <x:c r="U562"/>
      <x:c r="V562" t="n">
        <x:v>1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/>
      <x:c r="AC562" t="n">
        <x:v>0</x:v>
      </x:c>
      <x:c r="AD562" t="n">
        <x:v>0.056550991197582334</x:v>
      </x:c>
      <x:c r="AE562" t="n">
        <x:v>1</x:v>
      </x:c>
      <x:c r="AF562" t="n">
        <x:v>0.0016141533851623535</x:v>
      </x:c>
      <x:c r="AG562" t="n">
        <x:f>_xlfn.XLOOKUP($A562,Games!$A$2:$A$18,Games!$B$2:$B$18,"Missing game",0)</x:f>
        <x:v>2025</x:v>
      </x:c>
      <x:c r="AH562" t="str">
        <x:f>_xlfn.XLOOKUP($A562,Games!$A$2:$A$18,Games!$C$2:$C$18,"Missing game",0)</x:f>
        <x:v>REG</x:v>
      </x:c>
      <x:c r="AI562" t="n">
        <x:f>_xlfn.XLOOKUP($A562,Games!$A$2:$A$18,Games!$D$2:$D$18,"Missing game",0)</x:f>
        <x:v>4</x:v>
      </x:c>
      <x:c r="AJ562" s="1" t="n">
        <x:f>_xlfn.XLOOKUP($A562,Games!$A$2:$A$18,Games!$E$2:$E$18,"Missing game",0)</x:f>
        <x:v>45928</x:v>
      </x:c>
      <x:c r="AK562" t="str">
        <x:f>_xlfn.XLOOKUP($A562,Games!$A$2:$A$18,Games!$F$2:$F$18,"Missing game",0)</x:f>
        <x:v>Sunday</x:v>
      </x:c>
      <x:c r="AL562" t="str">
        <x:f>_xlfn.XLOOKUP($A562,Games!$A$2:$A$18,Games!$G$2:$G$18,"Missing game",0)</x:f>
        <x:v>MIN</x:v>
      </x:c>
      <x:c r="AM562" t="n">
        <x:f>_xlfn.XLOOKUP($A562,Games!$A$2:$A$18,Games!$H$2:$H$18,"Missing game",0)</x:f>
        <x:v>21</x:v>
      </x:c>
      <x:c r="AN562" t="str">
        <x:f>_xlfn.XLOOKUP($A562,Games!$A$2:$A$18,Games!$I$2:$I$18,"Missing game",0)</x:f>
        <x:v>PIT</x:v>
      </x:c>
      <x:c r="AO562" t="n">
        <x:f>_xlfn.XLOOKUP($A562,Games!$A$2:$A$18,Games!$J$2:$J$18,"Missing game",0)</x:f>
        <x:v>24</x:v>
      </x:c>
      <x:c r="AP562" t="n">
        <x:f>_xlfn.XLOOKUP($A562,Games!$A$2:$A$18,Games!$K$2:$K$18,"Missing game",0)</x:f>
        <x:v>3</x:v>
      </x:c>
      <x:c r="AQ562" t="n">
        <x:f>_xlfn.XLOOKUP($A562,Games!$A$2:$A$18,Games!$L$2:$L$18,"Missing game",0)</x:f>
        <x:v>45</x:v>
      </x:c>
      <x:c r="AR562" t="n">
        <x:f>_xlfn.XLOOKUP($A562,Games!$A$2:$A$18,Games!$M$2:$M$18,"Missing game",0)</x:f>
        <x:v>0</x:v>
      </x:c>
      <x:c r="AS562" t="str">
        <x:f>_xlfn.XLOOKUP($A562,Games!$A$2:$A$18,Games!$N$2:$N$18,"Missing game",0)</x:f>
        <x:v>outdoors</x:v>
      </x:c>
      <x:c r="AT562" t="str">
        <x:f>_xlfn.XLOOKUP($A562,Games!$A$2:$A$18,Games!$O$2:$O$18,"Missing game",0)</x:f>
        <x:v>grass</x:v>
      </x:c>
      <x:c r="AU562" t="n">
        <x:f>_xlfn.XLOOKUP($A562,Games!$A$2:$A$18,Games!$P$2:$P$18,"Missing game",0)</x:f>
        <x:v>61</x:v>
      </x:c>
      <x:c r="AV562" t="n">
        <x:f>_xlfn.XLOOKUP($A562,Games!$A$2:$A$18,Games!$Q$2:$Q$18,"Missing game",0)</x:f>
        <x:v>5</x:v>
      </x:c>
      <x:c r="AW562" t="str">
        <x:f>_xlfn.XLOOKUP($A562,Games!$A$2:$A$18,Games!$R$2:$R$18,"Missing game",0)</x:f>
        <x:v>Acrisure Stadium</x:v>
      </x:c>
    </x:row>
    <x:row r="563">
      <x:c r="A563" t="str">
        <x:v>2025_04_MIN_PIT</x:v>
      </x:c>
      <x:c r="B563" t="n">
        <x:v>1616</x:v>
      </x:c>
      <x:c r="C563" t="n">
        <x:v>2</x:v>
      </x:c>
      <x:c r="D563" t="str">
        <x:v>01:53</x:v>
      </x:c>
      <x:c r="E563" t="n">
        <x:v>2</x:v>
      </x:c>
      <x:c r="F563" t="n">
        <x:v>5</x:v>
      </x:c>
      <x:c r="G563" t="str">
        <x:v>PIT</x:v>
      </x:c>
      <x:c r="H563" t="str">
        <x:v>MIN</x:v>
      </x:c>
      <x:c r="I563" t="str">
        <x:v>MIN</x:v>
      </x:c>
      <x:c r="J563" t="n">
        <x:v>10</x:v>
      </x:c>
      <x:c r="K563" t="str">
        <x:v>(1:53) (Shotgun) 8-A.Rodgers sacked at MIN 20 for -10 yards (61-J.Redmond).</x:v>
      </x:c>
      <x:c r="L563" t="str">
        <x:v>pass</x:v>
      </x:c>
      <x:c r="M563" t="n">
        <x:v>-10</x:v>
      </x:c>
      <x:c r="N563" t="n">
        <x:v>1</x:v>
      </x:c>
      <x:c r="O563" t="n">
        <x:v>0</x:v>
      </x:c>
      <x:c r="P563"/>
      <x:c r="Q563"/>
      <x:c r="R563"/>
      <x:c r="S563"/>
      <x:c r="T563"/>
      <x:c r="U563"/>
      <x:c r="V563" t="n">
        <x:v>0</x:v>
      </x:c>
      <x:c r="W563" t="n">
        <x:v>0</x:v>
      </x:c>
      <x:c r="X563" t="n">
        <x:v>1</x:v>
      </x:c>
      <x:c r="Y563" t="n">
        <x:v>0</x:v>
      </x:c>
      <x:c r="Z563" t="n">
        <x:v>0</x:v>
      </x:c>
      <x:c r="AA563" t="n">
        <x:v>0</x:v>
      </x:c>
      <x:c r="AB563"/>
      <x:c r="AC563" t="n">
        <x:v>0</x:v>
      </x:c>
      <x:c r="AD563" t="n">
        <x:v>-1.7534206615528092</x:v>
      </x:c>
      <x:c r="AE563" t="n">
        <x:v>0</x:v>
      </x:c>
      <x:c r="AF563" t="n">
        <x:v>-0.02563375234603882</x:v>
      </x:c>
      <x:c r="AG563" t="n">
        <x:f>_xlfn.XLOOKUP($A563,Games!$A$2:$A$18,Games!$B$2:$B$18,"Missing game",0)</x:f>
        <x:v>2025</x:v>
      </x:c>
      <x:c r="AH563" t="str">
        <x:f>_xlfn.XLOOKUP($A563,Games!$A$2:$A$18,Games!$C$2:$C$18,"Missing game",0)</x:f>
        <x:v>REG</x:v>
      </x:c>
      <x:c r="AI563" t="n">
        <x:f>_xlfn.XLOOKUP($A563,Games!$A$2:$A$18,Games!$D$2:$D$18,"Missing game",0)</x:f>
        <x:v>4</x:v>
      </x:c>
      <x:c r="AJ563" s="1" t="n">
        <x:f>_xlfn.XLOOKUP($A563,Games!$A$2:$A$18,Games!$E$2:$E$18,"Missing game",0)</x:f>
        <x:v>45928</x:v>
      </x:c>
      <x:c r="AK563" t="str">
        <x:f>_xlfn.XLOOKUP($A563,Games!$A$2:$A$18,Games!$F$2:$F$18,"Missing game",0)</x:f>
        <x:v>Sunday</x:v>
      </x:c>
      <x:c r="AL563" t="str">
        <x:f>_xlfn.XLOOKUP($A563,Games!$A$2:$A$18,Games!$G$2:$G$18,"Missing game",0)</x:f>
        <x:v>MIN</x:v>
      </x:c>
      <x:c r="AM563" t="n">
        <x:f>_xlfn.XLOOKUP($A563,Games!$A$2:$A$18,Games!$H$2:$H$18,"Missing game",0)</x:f>
        <x:v>21</x:v>
      </x:c>
      <x:c r="AN563" t="str">
        <x:f>_xlfn.XLOOKUP($A563,Games!$A$2:$A$18,Games!$I$2:$I$18,"Missing game",0)</x:f>
        <x:v>PIT</x:v>
      </x:c>
      <x:c r="AO563" t="n">
        <x:f>_xlfn.XLOOKUP($A563,Games!$A$2:$A$18,Games!$J$2:$J$18,"Missing game",0)</x:f>
        <x:v>24</x:v>
      </x:c>
      <x:c r="AP563" t="n">
        <x:f>_xlfn.XLOOKUP($A563,Games!$A$2:$A$18,Games!$K$2:$K$18,"Missing game",0)</x:f>
        <x:v>3</x:v>
      </x:c>
      <x:c r="AQ563" t="n">
        <x:f>_xlfn.XLOOKUP($A563,Games!$A$2:$A$18,Games!$L$2:$L$18,"Missing game",0)</x:f>
        <x:v>45</x:v>
      </x:c>
      <x:c r="AR563" t="n">
        <x:f>_xlfn.XLOOKUP($A563,Games!$A$2:$A$18,Games!$M$2:$M$18,"Missing game",0)</x:f>
        <x:v>0</x:v>
      </x:c>
      <x:c r="AS563" t="str">
        <x:f>_xlfn.XLOOKUP($A563,Games!$A$2:$A$18,Games!$N$2:$N$18,"Missing game",0)</x:f>
        <x:v>outdoors</x:v>
      </x:c>
      <x:c r="AT563" t="str">
        <x:f>_xlfn.XLOOKUP($A563,Games!$A$2:$A$18,Games!$O$2:$O$18,"Missing game",0)</x:f>
        <x:v>grass</x:v>
      </x:c>
      <x:c r="AU563" t="n">
        <x:f>_xlfn.XLOOKUP($A563,Games!$A$2:$A$18,Games!$P$2:$P$18,"Missing game",0)</x:f>
        <x:v>61</x:v>
      </x:c>
      <x:c r="AV563" t="n">
        <x:f>_xlfn.XLOOKUP($A563,Games!$A$2:$A$18,Games!$Q$2:$Q$18,"Missing game",0)</x:f>
        <x:v>5</x:v>
      </x:c>
      <x:c r="AW563" t="str">
        <x:f>_xlfn.XLOOKUP($A563,Games!$A$2:$A$18,Games!$R$2:$R$18,"Missing game",0)</x:f>
        <x:v>Acrisure Stadium</x:v>
      </x:c>
    </x:row>
    <x:row r="564">
      <x:c r="A564" t="str">
        <x:v>2025_04_MIN_PIT</x:v>
      </x:c>
      <x:c r="B564" t="n">
        <x:v>1636</x:v>
      </x:c>
      <x:c r="C564" t="n">
        <x:v>2</x:v>
      </x:c>
      <x:c r="D564" t="str">
        <x:v>01:49</x:v>
      </x:c>
      <x:c r="E564" t="n">
        <x:v>3</x:v>
      </x:c>
      <x:c r="F564" t="n">
        <x:v>15</x:v>
      </x:c>
      <x:c r="G564" t="str">
        <x:v>PIT</x:v>
      </x:c>
      <x:c r="H564" t="str">
        <x:v>MIN</x:v>
      </x:c>
      <x:c r="I564" t="str">
        <x:v>MIN</x:v>
      </x:c>
      <x:c r="J564" t="n">
        <x:v>20</x:v>
      </x:c>
      <x:c r="K564" t="str">
        <x:v>(1:49) (Shotgun) 8-A.Rodgers pass short middle to 14-K.Gainwell to MIN 12 for 8 yards (55-E.Wilson; 44-J.Metellus).</x:v>
      </x:c>
      <x:c r="L564" t="str">
        <x:v>pass</x:v>
      </x:c>
      <x:c r="M564" t="n">
        <x:v>8</x:v>
      </x:c>
      <x:c r="N564" t="n">
        <x:v>1</x:v>
      </x:c>
      <x:c r="O564" t="n">
        <x:v>0</x:v>
      </x:c>
      <x:c r="P564" t="str">
        <x:v>short</x:v>
      </x:c>
      <x:c r="Q564" t="str">
        <x:v>middle</x:v>
      </x:c>
      <x:c r="R564" t="n">
        <x:v>2</x:v>
      </x:c>
      <x:c r="S564" t="n">
        <x:v>6</x:v>
      </x:c>
      <x:c r="T564"/>
      <x:c r="U564"/>
      <x:c r="V564" t="n">
        <x:v>1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/>
      <x:c r="AC564" t="n">
        <x:v>0</x:v>
      </x:c>
      <x:c r="AD564" t="n">
        <x:v>-0.001279028501444568</x:v>
      </x:c>
      <x:c r="AE564" t="n">
        <x:v>0</x:v>
      </x:c>
      <x:c r="AF564" t="n">
        <x:v>0.007110118865966797</x:v>
      </x:c>
      <x:c r="AG564" t="n">
        <x:f>_xlfn.XLOOKUP($A564,Games!$A$2:$A$18,Games!$B$2:$B$18,"Missing game",0)</x:f>
        <x:v>2025</x:v>
      </x:c>
      <x:c r="AH564" t="str">
        <x:f>_xlfn.XLOOKUP($A564,Games!$A$2:$A$18,Games!$C$2:$C$18,"Missing game",0)</x:f>
        <x:v>REG</x:v>
      </x:c>
      <x:c r="AI564" t="n">
        <x:f>_xlfn.XLOOKUP($A564,Games!$A$2:$A$18,Games!$D$2:$D$18,"Missing game",0)</x:f>
        <x:v>4</x:v>
      </x:c>
      <x:c r="AJ564" s="1" t="n">
        <x:f>_xlfn.XLOOKUP($A564,Games!$A$2:$A$18,Games!$E$2:$E$18,"Missing game",0)</x:f>
        <x:v>45928</x:v>
      </x:c>
      <x:c r="AK564" t="str">
        <x:f>_xlfn.XLOOKUP($A564,Games!$A$2:$A$18,Games!$F$2:$F$18,"Missing game",0)</x:f>
        <x:v>Sunday</x:v>
      </x:c>
      <x:c r="AL564" t="str">
        <x:f>_xlfn.XLOOKUP($A564,Games!$A$2:$A$18,Games!$G$2:$G$18,"Missing game",0)</x:f>
        <x:v>MIN</x:v>
      </x:c>
      <x:c r="AM564" t="n">
        <x:f>_xlfn.XLOOKUP($A564,Games!$A$2:$A$18,Games!$H$2:$H$18,"Missing game",0)</x:f>
        <x:v>21</x:v>
      </x:c>
      <x:c r="AN564" t="str">
        <x:f>_xlfn.XLOOKUP($A564,Games!$A$2:$A$18,Games!$I$2:$I$18,"Missing game",0)</x:f>
        <x:v>PIT</x:v>
      </x:c>
      <x:c r="AO564" t="n">
        <x:f>_xlfn.XLOOKUP($A564,Games!$A$2:$A$18,Games!$J$2:$J$18,"Missing game",0)</x:f>
        <x:v>24</x:v>
      </x:c>
      <x:c r="AP564" t="n">
        <x:f>_xlfn.XLOOKUP($A564,Games!$A$2:$A$18,Games!$K$2:$K$18,"Missing game",0)</x:f>
        <x:v>3</x:v>
      </x:c>
      <x:c r="AQ564" t="n">
        <x:f>_xlfn.XLOOKUP($A564,Games!$A$2:$A$18,Games!$L$2:$L$18,"Missing game",0)</x:f>
        <x:v>45</x:v>
      </x:c>
      <x:c r="AR564" t="n">
        <x:f>_xlfn.XLOOKUP($A564,Games!$A$2:$A$18,Games!$M$2:$M$18,"Missing game",0)</x:f>
        <x:v>0</x:v>
      </x:c>
      <x:c r="AS564" t="str">
        <x:f>_xlfn.XLOOKUP($A564,Games!$A$2:$A$18,Games!$N$2:$N$18,"Missing game",0)</x:f>
        <x:v>outdoors</x:v>
      </x:c>
      <x:c r="AT564" t="str">
        <x:f>_xlfn.XLOOKUP($A564,Games!$A$2:$A$18,Games!$O$2:$O$18,"Missing game",0)</x:f>
        <x:v>grass</x:v>
      </x:c>
      <x:c r="AU564" t="n">
        <x:f>_xlfn.XLOOKUP($A564,Games!$A$2:$A$18,Games!$P$2:$P$18,"Missing game",0)</x:f>
        <x:v>61</x:v>
      </x:c>
      <x:c r="AV564" t="n">
        <x:f>_xlfn.XLOOKUP($A564,Games!$A$2:$A$18,Games!$Q$2:$Q$18,"Missing game",0)</x:f>
        <x:v>5</x:v>
      </x:c>
      <x:c r="AW564" t="str">
        <x:f>_xlfn.XLOOKUP($A564,Games!$A$2:$A$18,Games!$R$2:$R$18,"Missing game",0)</x:f>
        <x:v>Acrisure Stadium</x:v>
      </x:c>
    </x:row>
    <x:row r="565">
      <x:c r="A565" t="str">
        <x:v>2025_04_MIN_PIT</x:v>
      </x:c>
      <x:c r="B565" t="n">
        <x:v>1648</x:v>
      </x:c>
      <x:c r="C565" t="n">
        <x:v>2</x:v>
      </x:c>
      <x:c r="D565" t="str">
        <x:v>01:49</x:v>
      </x:c>
      <x:c r="E565"/>
      <x:c r="F565" t="n">
        <x:v>0</x:v>
      </x:c>
      <x:c r="G565"/>
      <x:c r="H565"/>
      <x:c r="I565"/>
      <x:c r="J565"/>
      <x:c r="K565" t="str">
        <x:v>Timeout #1 by MIN at 01:49.</x:v>
      </x:c>
      <x:c r="L565" t="str">
        <x:v>no_play</x:v>
      </x:c>
      <x:c r="M565" t="n">
        <x:v>0</x:v>
      </x:c>
      <x:c r="N565" t="n">
        <x:v>0</x:v>
      </x:c>
      <x:c r="O565" t="n">
        <x:v>0</x:v>
      </x:c>
      <x:c r="P565"/>
      <x:c r="Q565"/>
      <x:c r="R565"/>
      <x:c r="S565"/>
      <x:c r="T565"/>
      <x:c r="U565"/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/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f>_xlfn.XLOOKUP($A565,Games!$A$2:$A$18,Games!$B$2:$B$18,"Missing game",0)</x:f>
        <x:v>2025</x:v>
      </x:c>
      <x:c r="AH565" t="str">
        <x:f>_xlfn.XLOOKUP($A565,Games!$A$2:$A$18,Games!$C$2:$C$18,"Missing game",0)</x:f>
        <x:v>REG</x:v>
      </x:c>
      <x:c r="AI565" t="n">
        <x:f>_xlfn.XLOOKUP($A565,Games!$A$2:$A$18,Games!$D$2:$D$18,"Missing game",0)</x:f>
        <x:v>4</x:v>
      </x:c>
      <x:c r="AJ565" s="1" t="n">
        <x:f>_xlfn.XLOOKUP($A565,Games!$A$2:$A$18,Games!$E$2:$E$18,"Missing game",0)</x:f>
        <x:v>45928</x:v>
      </x:c>
      <x:c r="AK565" t="str">
        <x:f>_xlfn.XLOOKUP($A565,Games!$A$2:$A$18,Games!$F$2:$F$18,"Missing game",0)</x:f>
        <x:v>Sunday</x:v>
      </x:c>
      <x:c r="AL565" t="str">
        <x:f>_xlfn.XLOOKUP($A565,Games!$A$2:$A$18,Games!$G$2:$G$18,"Missing game",0)</x:f>
        <x:v>MIN</x:v>
      </x:c>
      <x:c r="AM565" t="n">
        <x:f>_xlfn.XLOOKUP($A565,Games!$A$2:$A$18,Games!$H$2:$H$18,"Missing game",0)</x:f>
        <x:v>21</x:v>
      </x:c>
      <x:c r="AN565" t="str">
        <x:f>_xlfn.XLOOKUP($A565,Games!$A$2:$A$18,Games!$I$2:$I$18,"Missing game",0)</x:f>
        <x:v>PIT</x:v>
      </x:c>
      <x:c r="AO565" t="n">
        <x:f>_xlfn.XLOOKUP($A565,Games!$A$2:$A$18,Games!$J$2:$J$18,"Missing game",0)</x:f>
        <x:v>24</x:v>
      </x:c>
      <x:c r="AP565" t="n">
        <x:f>_xlfn.XLOOKUP($A565,Games!$A$2:$A$18,Games!$K$2:$K$18,"Missing game",0)</x:f>
        <x:v>3</x:v>
      </x:c>
      <x:c r="AQ565" t="n">
        <x:f>_xlfn.XLOOKUP($A565,Games!$A$2:$A$18,Games!$L$2:$L$18,"Missing game",0)</x:f>
        <x:v>45</x:v>
      </x:c>
      <x:c r="AR565" t="n">
        <x:f>_xlfn.XLOOKUP($A565,Games!$A$2:$A$18,Games!$M$2:$M$18,"Missing game",0)</x:f>
        <x:v>0</x:v>
      </x:c>
      <x:c r="AS565" t="str">
        <x:f>_xlfn.XLOOKUP($A565,Games!$A$2:$A$18,Games!$N$2:$N$18,"Missing game",0)</x:f>
        <x:v>outdoors</x:v>
      </x:c>
      <x:c r="AT565" t="str">
        <x:f>_xlfn.XLOOKUP($A565,Games!$A$2:$A$18,Games!$O$2:$O$18,"Missing game",0)</x:f>
        <x:v>grass</x:v>
      </x:c>
      <x:c r="AU565" t="n">
        <x:f>_xlfn.XLOOKUP($A565,Games!$A$2:$A$18,Games!$P$2:$P$18,"Missing game",0)</x:f>
        <x:v>61</x:v>
      </x:c>
      <x:c r="AV565" t="n">
        <x:f>_xlfn.XLOOKUP($A565,Games!$A$2:$A$18,Games!$Q$2:$Q$18,"Missing game",0)</x:f>
        <x:v>5</x:v>
      </x:c>
      <x:c r="AW565" t="str">
        <x:f>_xlfn.XLOOKUP($A565,Games!$A$2:$A$18,Games!$R$2:$R$18,"Missing game",0)</x:f>
        <x:v>Acrisure Stadium</x:v>
      </x:c>
    </x:row>
    <x:row r="566">
      <x:c r="A566" t="str">
        <x:v>2025_04_MIN_PIT</x:v>
      </x:c>
      <x:c r="B566" t="n">
        <x:v>1668</x:v>
      </x:c>
      <x:c r="C566" t="n">
        <x:v>2</x:v>
      </x:c>
      <x:c r="D566" t="str">
        <x:v>01:42</x:v>
      </x:c>
      <x:c r="E566" t="n">
        <x:v>4</x:v>
      </x:c>
      <x:c r="F566" t="n">
        <x:v>7</x:v>
      </x:c>
      <x:c r="G566" t="str">
        <x:v>PIT</x:v>
      </x:c>
      <x:c r="H566" t="str">
        <x:v>MIN</x:v>
      </x:c>
      <x:c r="I566" t="str">
        <x:v>MIN</x:v>
      </x:c>
      <x:c r="J566" t="n">
        <x:v>12</x:v>
      </x:c>
      <x:c r="K566" t="str">
        <x:v>(1:42) 9-C.Boswell 30 yard field goal is BLOCKED (2-I.Rodgers), Center-46-C.Kuntz, Holder-3-C.Waitman, RECOVERED by MIN-0-I.Pace at MIN 9.</x:v>
      </x:c>
      <x:c r="L566" t="str">
        <x:v>field_goal</x:v>
      </x:c>
      <x:c r="M566" t="n">
        <x:v>0</x:v>
      </x:c>
      <x:c r="N566" t="n">
        <x:v>0</x:v>
      </x:c>
      <x:c r="O566" t="n">
        <x:v>0</x:v>
      </x:c>
      <x:c r="P566"/>
      <x:c r="Q566"/>
      <x:c r="R566"/>
      <x:c r="S566"/>
      <x:c r="T566"/>
      <x:c r="U566"/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/>
      <x:c r="AC566" t="n">
        <x:v>0</x:v>
      </x:c>
      <x:c r="AD566" t="n">
        <x:v>-3.091465685205917</x:v>
      </x:c>
      <x:c r="AE566" t="n">
        <x:v>0</x:v>
      </x:c>
      <x:c r="AF566" t="n">
        <x:v>-0.032334208488464355</x:v>
      </x:c>
      <x:c r="AG566" t="n">
        <x:f>_xlfn.XLOOKUP($A566,Games!$A$2:$A$18,Games!$B$2:$B$18,"Missing game",0)</x:f>
        <x:v>2025</x:v>
      </x:c>
      <x:c r="AH566" t="str">
        <x:f>_xlfn.XLOOKUP($A566,Games!$A$2:$A$18,Games!$C$2:$C$18,"Missing game",0)</x:f>
        <x:v>REG</x:v>
      </x:c>
      <x:c r="AI566" t="n">
        <x:f>_xlfn.XLOOKUP($A566,Games!$A$2:$A$18,Games!$D$2:$D$18,"Missing game",0)</x:f>
        <x:v>4</x:v>
      </x:c>
      <x:c r="AJ566" s="1" t="n">
        <x:f>_xlfn.XLOOKUP($A566,Games!$A$2:$A$18,Games!$E$2:$E$18,"Missing game",0)</x:f>
        <x:v>45928</x:v>
      </x:c>
      <x:c r="AK566" t="str">
        <x:f>_xlfn.XLOOKUP($A566,Games!$A$2:$A$18,Games!$F$2:$F$18,"Missing game",0)</x:f>
        <x:v>Sunday</x:v>
      </x:c>
      <x:c r="AL566" t="str">
        <x:f>_xlfn.XLOOKUP($A566,Games!$A$2:$A$18,Games!$G$2:$G$18,"Missing game",0)</x:f>
        <x:v>MIN</x:v>
      </x:c>
      <x:c r="AM566" t="n">
        <x:f>_xlfn.XLOOKUP($A566,Games!$A$2:$A$18,Games!$H$2:$H$18,"Missing game",0)</x:f>
        <x:v>21</x:v>
      </x:c>
      <x:c r="AN566" t="str">
        <x:f>_xlfn.XLOOKUP($A566,Games!$A$2:$A$18,Games!$I$2:$I$18,"Missing game",0)</x:f>
        <x:v>PIT</x:v>
      </x:c>
      <x:c r="AO566" t="n">
        <x:f>_xlfn.XLOOKUP($A566,Games!$A$2:$A$18,Games!$J$2:$J$18,"Missing game",0)</x:f>
        <x:v>24</x:v>
      </x:c>
      <x:c r="AP566" t="n">
        <x:f>_xlfn.XLOOKUP($A566,Games!$A$2:$A$18,Games!$K$2:$K$18,"Missing game",0)</x:f>
        <x:v>3</x:v>
      </x:c>
      <x:c r="AQ566" t="n">
        <x:f>_xlfn.XLOOKUP($A566,Games!$A$2:$A$18,Games!$L$2:$L$18,"Missing game",0)</x:f>
        <x:v>45</x:v>
      </x:c>
      <x:c r="AR566" t="n">
        <x:f>_xlfn.XLOOKUP($A566,Games!$A$2:$A$18,Games!$M$2:$M$18,"Missing game",0)</x:f>
        <x:v>0</x:v>
      </x:c>
      <x:c r="AS566" t="str">
        <x:f>_xlfn.XLOOKUP($A566,Games!$A$2:$A$18,Games!$N$2:$N$18,"Missing game",0)</x:f>
        <x:v>outdoors</x:v>
      </x:c>
      <x:c r="AT566" t="str">
        <x:f>_xlfn.XLOOKUP($A566,Games!$A$2:$A$18,Games!$O$2:$O$18,"Missing game",0)</x:f>
        <x:v>grass</x:v>
      </x:c>
      <x:c r="AU566" t="n">
        <x:f>_xlfn.XLOOKUP($A566,Games!$A$2:$A$18,Games!$P$2:$P$18,"Missing game",0)</x:f>
        <x:v>61</x:v>
      </x:c>
      <x:c r="AV566" t="n">
        <x:f>_xlfn.XLOOKUP($A566,Games!$A$2:$A$18,Games!$Q$2:$Q$18,"Missing game",0)</x:f>
        <x:v>5</x:v>
      </x:c>
      <x:c r="AW566" t="str">
        <x:f>_xlfn.XLOOKUP($A566,Games!$A$2:$A$18,Games!$R$2:$R$18,"Missing game",0)</x:f>
        <x:v>Acrisure Stadium</x:v>
      </x:c>
    </x:row>
    <x:row r="567">
      <x:c r="A567" t="str">
        <x:v>2025_04_MIN_PIT</x:v>
      </x:c>
      <x:c r="B567" t="n">
        <x:v>1680</x:v>
      </x:c>
      <x:c r="C567" t="n">
        <x:v>2</x:v>
      </x:c>
      <x:c r="D567" t="str">
        <x:v>01:42</x:v>
      </x:c>
      <x:c r="E567"/>
      <x:c r="F567" t="n">
        <x:v>0</x:v>
      </x:c>
      <x:c r="G567"/>
      <x:c r="H567"/>
      <x:c r="I567"/>
      <x:c r="J567"/>
      <x:c r="K567" t="str">
        <x:v>Timeout #2 by MIN at 01:42.</x:v>
      </x:c>
      <x:c r="L567" t="str">
        <x:v>no_play</x:v>
      </x:c>
      <x:c r="M567" t="n">
        <x:v>0</x:v>
      </x:c>
      <x:c r="N567" t="n">
        <x:v>0</x:v>
      </x:c>
      <x:c r="O567" t="n">
        <x:v>0</x:v>
      </x:c>
      <x:c r="P567"/>
      <x:c r="Q567"/>
      <x:c r="R567"/>
      <x:c r="S567"/>
      <x:c r="T567"/>
      <x:c r="U567"/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/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f>_xlfn.XLOOKUP($A567,Games!$A$2:$A$18,Games!$B$2:$B$18,"Missing game",0)</x:f>
        <x:v>2025</x:v>
      </x:c>
      <x:c r="AH567" t="str">
        <x:f>_xlfn.XLOOKUP($A567,Games!$A$2:$A$18,Games!$C$2:$C$18,"Missing game",0)</x:f>
        <x:v>REG</x:v>
      </x:c>
      <x:c r="AI567" t="n">
        <x:f>_xlfn.XLOOKUP($A567,Games!$A$2:$A$18,Games!$D$2:$D$18,"Missing game",0)</x:f>
        <x:v>4</x:v>
      </x:c>
      <x:c r="AJ567" s="1" t="n">
        <x:f>_xlfn.XLOOKUP($A567,Games!$A$2:$A$18,Games!$E$2:$E$18,"Missing game",0)</x:f>
        <x:v>45928</x:v>
      </x:c>
      <x:c r="AK567" t="str">
        <x:f>_xlfn.XLOOKUP($A567,Games!$A$2:$A$18,Games!$F$2:$F$18,"Missing game",0)</x:f>
        <x:v>Sunday</x:v>
      </x:c>
      <x:c r="AL567" t="str">
        <x:f>_xlfn.XLOOKUP($A567,Games!$A$2:$A$18,Games!$G$2:$G$18,"Missing game",0)</x:f>
        <x:v>MIN</x:v>
      </x:c>
      <x:c r="AM567" t="n">
        <x:f>_xlfn.XLOOKUP($A567,Games!$A$2:$A$18,Games!$H$2:$H$18,"Missing game",0)</x:f>
        <x:v>21</x:v>
      </x:c>
      <x:c r="AN567" t="str">
        <x:f>_xlfn.XLOOKUP($A567,Games!$A$2:$A$18,Games!$I$2:$I$18,"Missing game",0)</x:f>
        <x:v>PIT</x:v>
      </x:c>
      <x:c r="AO567" t="n">
        <x:f>_xlfn.XLOOKUP($A567,Games!$A$2:$A$18,Games!$J$2:$J$18,"Missing game",0)</x:f>
        <x:v>24</x:v>
      </x:c>
      <x:c r="AP567" t="n">
        <x:f>_xlfn.XLOOKUP($A567,Games!$A$2:$A$18,Games!$K$2:$K$18,"Missing game",0)</x:f>
        <x:v>3</x:v>
      </x:c>
      <x:c r="AQ567" t="n">
        <x:f>_xlfn.XLOOKUP($A567,Games!$A$2:$A$18,Games!$L$2:$L$18,"Missing game",0)</x:f>
        <x:v>45</x:v>
      </x:c>
      <x:c r="AR567" t="n">
        <x:f>_xlfn.XLOOKUP($A567,Games!$A$2:$A$18,Games!$M$2:$M$18,"Missing game",0)</x:f>
        <x:v>0</x:v>
      </x:c>
      <x:c r="AS567" t="str">
        <x:f>_xlfn.XLOOKUP($A567,Games!$A$2:$A$18,Games!$N$2:$N$18,"Missing game",0)</x:f>
        <x:v>outdoors</x:v>
      </x:c>
      <x:c r="AT567" t="str">
        <x:f>_xlfn.XLOOKUP($A567,Games!$A$2:$A$18,Games!$O$2:$O$18,"Missing game",0)</x:f>
        <x:v>grass</x:v>
      </x:c>
      <x:c r="AU567" t="n">
        <x:f>_xlfn.XLOOKUP($A567,Games!$A$2:$A$18,Games!$P$2:$P$18,"Missing game",0)</x:f>
        <x:v>61</x:v>
      </x:c>
      <x:c r="AV567" t="n">
        <x:f>_xlfn.XLOOKUP($A567,Games!$A$2:$A$18,Games!$Q$2:$Q$18,"Missing game",0)</x:f>
        <x:v>5</x:v>
      </x:c>
      <x:c r="AW567" t="str">
        <x:f>_xlfn.XLOOKUP($A567,Games!$A$2:$A$18,Games!$R$2:$R$18,"Missing game",0)</x:f>
        <x:v>Acrisure Stadium</x:v>
      </x:c>
    </x:row>
    <x:row r="568">
      <x:c r="A568" t="str">
        <x:v>2025_04_MIN_PIT</x:v>
      </x:c>
      <x:c r="B568" t="n">
        <x:v>1705</x:v>
      </x:c>
      <x:c r="C568" t="n">
        <x:v>2</x:v>
      </x:c>
      <x:c r="D568" t="str">
        <x:v>01:38</x:v>
      </x:c>
      <x:c r="E568" t="n">
        <x:v>1</x:v>
      </x:c>
      <x:c r="F568" t="n">
        <x:v>10</x:v>
      </x:c>
      <x:c r="G568" t="str">
        <x:v>MIN</x:v>
      </x:c>
      <x:c r="H568" t="str">
        <x:v>PIT</x:v>
      </x:c>
      <x:c r="I568" t="str">
        <x:v>MIN</x:v>
      </x:c>
      <x:c r="J568" t="n">
        <x:v>91</x:v>
      </x:c>
      <x:c r="K568" t="str">
        <x:v>(1:38) (Shotgun) 11-C.Wentz pass short middle to 36-Z.Scott to MIN 19 for 10 yards (33-J.Sawyer; 6-P.Queen). PENALTY on PIT-99-D.Harmon, Roughing the Passer, 15 yards, enforced at MIN 19.</x:v>
      </x:c>
      <x:c r="L568" t="str">
        <x:v>pass</x:v>
      </x:c>
      <x:c r="M568" t="n">
        <x:v>10</x:v>
      </x:c>
      <x:c r="N568" t="n">
        <x:v>1</x:v>
      </x:c>
      <x:c r="O568" t="n">
        <x:v>0</x:v>
      </x:c>
      <x:c r="P568" t="str">
        <x:v>short</x:v>
      </x:c>
      <x:c r="Q568" t="str">
        <x:v>middle</x:v>
      </x:c>
      <x:c r="R568" t="n">
        <x:v>0</x:v>
      </x:c>
      <x:c r="S568" t="n">
        <x:v>10</x:v>
      </x:c>
      <x:c r="T568"/>
      <x:c r="U568"/>
      <x:c r="V568" t="n">
        <x:v>1</x:v>
      </x:c>
      <x:c r="W568" t="n">
        <x:v>1</x:v>
      </x:c>
      <x:c r="X568" t="n">
        <x:v>0</x:v>
      </x:c>
      <x:c r="Y568" t="n">
        <x:v>0</x:v>
      </x:c>
      <x:c r="Z568" t="n">
        <x:v>0</x:v>
      </x:c>
      <x:c r="AA568" t="n">
        <x:v>1</x:v>
      </x:c>
      <x:c r="AB568" t="n">
        <x:v>15</x:v>
      </x:c>
      <x:c r="AC568" t="n">
        <x:v>0</x:v>
      </x:c>
      <x:c r="AD568" t="n">
        <x:v>1.1618741512065753</x:v>
      </x:c>
      <x:c r="AE568" t="n">
        <x:v>1</x:v>
      </x:c>
      <x:c r="AF568" t="n">
        <x:v>0.018865808844566345</x:v>
      </x:c>
      <x:c r="AG568" t="n">
        <x:f>_xlfn.XLOOKUP($A568,Games!$A$2:$A$18,Games!$B$2:$B$18,"Missing game",0)</x:f>
        <x:v>2025</x:v>
      </x:c>
      <x:c r="AH568" t="str">
        <x:f>_xlfn.XLOOKUP($A568,Games!$A$2:$A$18,Games!$C$2:$C$18,"Missing game",0)</x:f>
        <x:v>REG</x:v>
      </x:c>
      <x:c r="AI568" t="n">
        <x:f>_xlfn.XLOOKUP($A568,Games!$A$2:$A$18,Games!$D$2:$D$18,"Missing game",0)</x:f>
        <x:v>4</x:v>
      </x:c>
      <x:c r="AJ568" s="1" t="n">
        <x:f>_xlfn.XLOOKUP($A568,Games!$A$2:$A$18,Games!$E$2:$E$18,"Missing game",0)</x:f>
        <x:v>45928</x:v>
      </x:c>
      <x:c r="AK568" t="str">
        <x:f>_xlfn.XLOOKUP($A568,Games!$A$2:$A$18,Games!$F$2:$F$18,"Missing game",0)</x:f>
        <x:v>Sunday</x:v>
      </x:c>
      <x:c r="AL568" t="str">
        <x:f>_xlfn.XLOOKUP($A568,Games!$A$2:$A$18,Games!$G$2:$G$18,"Missing game",0)</x:f>
        <x:v>MIN</x:v>
      </x:c>
      <x:c r="AM568" t="n">
        <x:f>_xlfn.XLOOKUP($A568,Games!$A$2:$A$18,Games!$H$2:$H$18,"Missing game",0)</x:f>
        <x:v>21</x:v>
      </x:c>
      <x:c r="AN568" t="str">
        <x:f>_xlfn.XLOOKUP($A568,Games!$A$2:$A$18,Games!$I$2:$I$18,"Missing game",0)</x:f>
        <x:v>PIT</x:v>
      </x:c>
      <x:c r="AO568" t="n">
        <x:f>_xlfn.XLOOKUP($A568,Games!$A$2:$A$18,Games!$J$2:$J$18,"Missing game",0)</x:f>
        <x:v>24</x:v>
      </x:c>
      <x:c r="AP568" t="n">
        <x:f>_xlfn.XLOOKUP($A568,Games!$A$2:$A$18,Games!$K$2:$K$18,"Missing game",0)</x:f>
        <x:v>3</x:v>
      </x:c>
      <x:c r="AQ568" t="n">
        <x:f>_xlfn.XLOOKUP($A568,Games!$A$2:$A$18,Games!$L$2:$L$18,"Missing game",0)</x:f>
        <x:v>45</x:v>
      </x:c>
      <x:c r="AR568" t="n">
        <x:f>_xlfn.XLOOKUP($A568,Games!$A$2:$A$18,Games!$M$2:$M$18,"Missing game",0)</x:f>
        <x:v>0</x:v>
      </x:c>
      <x:c r="AS568" t="str">
        <x:f>_xlfn.XLOOKUP($A568,Games!$A$2:$A$18,Games!$N$2:$N$18,"Missing game",0)</x:f>
        <x:v>outdoors</x:v>
      </x:c>
      <x:c r="AT568" t="str">
        <x:f>_xlfn.XLOOKUP($A568,Games!$A$2:$A$18,Games!$O$2:$O$18,"Missing game",0)</x:f>
        <x:v>grass</x:v>
      </x:c>
      <x:c r="AU568" t="n">
        <x:f>_xlfn.XLOOKUP($A568,Games!$A$2:$A$18,Games!$P$2:$P$18,"Missing game",0)</x:f>
        <x:v>61</x:v>
      </x:c>
      <x:c r="AV568" t="n">
        <x:f>_xlfn.XLOOKUP($A568,Games!$A$2:$A$18,Games!$Q$2:$Q$18,"Missing game",0)</x:f>
        <x:v>5</x:v>
      </x:c>
      <x:c r="AW568" t="str">
        <x:f>_xlfn.XLOOKUP($A568,Games!$A$2:$A$18,Games!$R$2:$R$18,"Missing game",0)</x:f>
        <x:v>Acrisure Stadium</x:v>
      </x:c>
    </x:row>
    <x:row r="569">
      <x:c r="A569" t="str">
        <x:v>2025_04_MIN_PIT</x:v>
      </x:c>
      <x:c r="B569" t="n">
        <x:v>1748</x:v>
      </x:c>
      <x:c r="C569" t="n">
        <x:v>2</x:v>
      </x:c>
      <x:c r="D569" t="str">
        <x:v>01:32</x:v>
      </x:c>
      <x:c r="E569" t="n">
        <x:v>1</x:v>
      </x:c>
      <x:c r="F569" t="n">
        <x:v>10</x:v>
      </x:c>
      <x:c r="G569" t="str">
        <x:v>MIN</x:v>
      </x:c>
      <x:c r="H569" t="str">
        <x:v>PIT</x:v>
      </x:c>
      <x:c r="I569" t="str">
        <x:v>MIN</x:v>
      </x:c>
      <x:c r="J569" t="n">
        <x:v>66</x:v>
      </x:c>
      <x:c r="K569" t="str">
        <x:v>(1:32) (Shotgun) 11-C.Wentz pass incomplete deep left to 36-Z.Scott.</x:v>
      </x:c>
      <x:c r="L569" t="str">
        <x:v>pass</x:v>
      </x:c>
      <x:c r="M569" t="n">
        <x:v>0</x:v>
      </x:c>
      <x:c r="N569" t="n">
        <x:v>1</x:v>
      </x:c>
      <x:c r="O569" t="n">
        <x:v>0</x:v>
      </x:c>
      <x:c r="P569" t="str">
        <x:v>deep</x:v>
      </x:c>
      <x:c r="Q569" t="str">
        <x:v>left</x:v>
      </x:c>
      <x:c r="R569" t="n">
        <x:v>26</x:v>
      </x:c>
      <x:c r="S569"/>
      <x:c r="T569"/>
      <x:c r="U569"/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/>
      <x:c r="AC569" t="n">
        <x:v>0</x:v>
      </x:c>
      <x:c r="AD569" t="n">
        <x:v>-0.2835466933902353</x:v>
      </x:c>
      <x:c r="AE569" t="n">
        <x:v>0</x:v>
      </x:c>
      <x:c r="AF569" t="n">
        <x:v>-0.013475418090820312</x:v>
      </x:c>
      <x:c r="AG569" t="n">
        <x:f>_xlfn.XLOOKUP($A569,Games!$A$2:$A$18,Games!$B$2:$B$18,"Missing game",0)</x:f>
        <x:v>2025</x:v>
      </x:c>
      <x:c r="AH569" t="str">
        <x:f>_xlfn.XLOOKUP($A569,Games!$A$2:$A$18,Games!$C$2:$C$18,"Missing game",0)</x:f>
        <x:v>REG</x:v>
      </x:c>
      <x:c r="AI569" t="n">
        <x:f>_xlfn.XLOOKUP($A569,Games!$A$2:$A$18,Games!$D$2:$D$18,"Missing game",0)</x:f>
        <x:v>4</x:v>
      </x:c>
      <x:c r="AJ569" s="1" t="n">
        <x:f>_xlfn.XLOOKUP($A569,Games!$A$2:$A$18,Games!$E$2:$E$18,"Missing game",0)</x:f>
        <x:v>45928</x:v>
      </x:c>
      <x:c r="AK569" t="str">
        <x:f>_xlfn.XLOOKUP($A569,Games!$A$2:$A$18,Games!$F$2:$F$18,"Missing game",0)</x:f>
        <x:v>Sunday</x:v>
      </x:c>
      <x:c r="AL569" t="str">
        <x:f>_xlfn.XLOOKUP($A569,Games!$A$2:$A$18,Games!$G$2:$G$18,"Missing game",0)</x:f>
        <x:v>MIN</x:v>
      </x:c>
      <x:c r="AM569" t="n">
        <x:f>_xlfn.XLOOKUP($A569,Games!$A$2:$A$18,Games!$H$2:$H$18,"Missing game",0)</x:f>
        <x:v>21</x:v>
      </x:c>
      <x:c r="AN569" t="str">
        <x:f>_xlfn.XLOOKUP($A569,Games!$A$2:$A$18,Games!$I$2:$I$18,"Missing game",0)</x:f>
        <x:v>PIT</x:v>
      </x:c>
      <x:c r="AO569" t="n">
        <x:f>_xlfn.XLOOKUP($A569,Games!$A$2:$A$18,Games!$J$2:$J$18,"Missing game",0)</x:f>
        <x:v>24</x:v>
      </x:c>
      <x:c r="AP569" t="n">
        <x:f>_xlfn.XLOOKUP($A569,Games!$A$2:$A$18,Games!$K$2:$K$18,"Missing game",0)</x:f>
        <x:v>3</x:v>
      </x:c>
      <x:c r="AQ569" t="n">
        <x:f>_xlfn.XLOOKUP($A569,Games!$A$2:$A$18,Games!$L$2:$L$18,"Missing game",0)</x:f>
        <x:v>45</x:v>
      </x:c>
      <x:c r="AR569" t="n">
        <x:f>_xlfn.XLOOKUP($A569,Games!$A$2:$A$18,Games!$M$2:$M$18,"Missing game",0)</x:f>
        <x:v>0</x:v>
      </x:c>
      <x:c r="AS569" t="str">
        <x:f>_xlfn.XLOOKUP($A569,Games!$A$2:$A$18,Games!$N$2:$N$18,"Missing game",0)</x:f>
        <x:v>outdoors</x:v>
      </x:c>
      <x:c r="AT569" t="str">
        <x:f>_xlfn.XLOOKUP($A569,Games!$A$2:$A$18,Games!$O$2:$O$18,"Missing game",0)</x:f>
        <x:v>grass</x:v>
      </x:c>
      <x:c r="AU569" t="n">
        <x:f>_xlfn.XLOOKUP($A569,Games!$A$2:$A$18,Games!$P$2:$P$18,"Missing game",0)</x:f>
        <x:v>61</x:v>
      </x:c>
      <x:c r="AV569" t="n">
        <x:f>_xlfn.XLOOKUP($A569,Games!$A$2:$A$18,Games!$Q$2:$Q$18,"Missing game",0)</x:f>
        <x:v>5</x:v>
      </x:c>
      <x:c r="AW569" t="str">
        <x:f>_xlfn.XLOOKUP($A569,Games!$A$2:$A$18,Games!$R$2:$R$18,"Missing game",0)</x:f>
        <x:v>Acrisure Stadium</x:v>
      </x:c>
    </x:row>
    <x:row r="570">
      <x:c r="A570" t="str">
        <x:v>2025_04_MIN_PIT</x:v>
      </x:c>
      <x:c r="B570" t="n">
        <x:v>1771</x:v>
      </x:c>
      <x:c r="C570" t="n">
        <x:v>2</x:v>
      </x:c>
      <x:c r="D570" t="str">
        <x:v>01:28</x:v>
      </x:c>
      <x:c r="E570" t="n">
        <x:v>2</x:v>
      </x:c>
      <x:c r="F570" t="n">
        <x:v>10</x:v>
      </x:c>
      <x:c r="G570" t="str">
        <x:v>MIN</x:v>
      </x:c>
      <x:c r="H570" t="str">
        <x:v>PIT</x:v>
      </x:c>
      <x:c r="I570" t="str">
        <x:v>MIN</x:v>
      </x:c>
      <x:c r="J570" t="n">
        <x:v>66</x:v>
      </x:c>
      <x:c r="K570" t="str">
        <x:v>(1:28) (Shotgun) 11-C.Wentz pass short middle to 18-J.Jefferson to PIT 49 for 17 yards (26-B.Echols) [41-P.Wilson].</x:v>
      </x:c>
      <x:c r="L570" t="str">
        <x:v>pass</x:v>
      </x:c>
      <x:c r="M570" t="n">
        <x:v>17</x:v>
      </x:c>
      <x:c r="N570" t="n">
        <x:v>1</x:v>
      </x:c>
      <x:c r="O570" t="n">
        <x:v>0</x:v>
      </x:c>
      <x:c r="P570" t="str">
        <x:v>short</x:v>
      </x:c>
      <x:c r="Q570" t="str">
        <x:v>middle</x:v>
      </x:c>
      <x:c r="R570" t="n">
        <x:v>14</x:v>
      </x:c>
      <x:c r="S570" t="n">
        <x:v>3</x:v>
      </x:c>
      <x:c r="T570"/>
      <x:c r="U570"/>
      <x:c r="V570" t="n">
        <x:v>1</x:v>
      </x:c>
      <x:c r="W570" t="n">
        <x:v>1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/>
      <x:c r="AC570" t="n">
        <x:v>0</x:v>
      </x:c>
      <x:c r="AD570" t="n">
        <x:v>1.0524379577836953</x:v>
      </x:c>
      <x:c r="AE570" t="n">
        <x:v>1</x:v>
      </x:c>
      <x:c r="AF570" t="n">
        <x:v>0.03563927114009857</x:v>
      </x:c>
      <x:c r="AG570" t="n">
        <x:f>_xlfn.XLOOKUP($A570,Games!$A$2:$A$18,Games!$B$2:$B$18,"Missing game",0)</x:f>
        <x:v>2025</x:v>
      </x:c>
      <x:c r="AH570" t="str">
        <x:f>_xlfn.XLOOKUP($A570,Games!$A$2:$A$18,Games!$C$2:$C$18,"Missing game",0)</x:f>
        <x:v>REG</x:v>
      </x:c>
      <x:c r="AI570" t="n">
        <x:f>_xlfn.XLOOKUP($A570,Games!$A$2:$A$18,Games!$D$2:$D$18,"Missing game",0)</x:f>
        <x:v>4</x:v>
      </x:c>
      <x:c r="AJ570" s="1" t="n">
        <x:f>_xlfn.XLOOKUP($A570,Games!$A$2:$A$18,Games!$E$2:$E$18,"Missing game",0)</x:f>
        <x:v>45928</x:v>
      </x:c>
      <x:c r="AK570" t="str">
        <x:f>_xlfn.XLOOKUP($A570,Games!$A$2:$A$18,Games!$F$2:$F$18,"Missing game",0)</x:f>
        <x:v>Sunday</x:v>
      </x:c>
      <x:c r="AL570" t="str">
        <x:f>_xlfn.XLOOKUP($A570,Games!$A$2:$A$18,Games!$G$2:$G$18,"Missing game",0)</x:f>
        <x:v>MIN</x:v>
      </x:c>
      <x:c r="AM570" t="n">
        <x:f>_xlfn.XLOOKUP($A570,Games!$A$2:$A$18,Games!$H$2:$H$18,"Missing game",0)</x:f>
        <x:v>21</x:v>
      </x:c>
      <x:c r="AN570" t="str">
        <x:f>_xlfn.XLOOKUP($A570,Games!$A$2:$A$18,Games!$I$2:$I$18,"Missing game",0)</x:f>
        <x:v>PIT</x:v>
      </x:c>
      <x:c r="AO570" t="n">
        <x:f>_xlfn.XLOOKUP($A570,Games!$A$2:$A$18,Games!$J$2:$J$18,"Missing game",0)</x:f>
        <x:v>24</x:v>
      </x:c>
      <x:c r="AP570" t="n">
        <x:f>_xlfn.XLOOKUP($A570,Games!$A$2:$A$18,Games!$K$2:$K$18,"Missing game",0)</x:f>
        <x:v>3</x:v>
      </x:c>
      <x:c r="AQ570" t="n">
        <x:f>_xlfn.XLOOKUP($A570,Games!$A$2:$A$18,Games!$L$2:$L$18,"Missing game",0)</x:f>
        <x:v>45</x:v>
      </x:c>
      <x:c r="AR570" t="n">
        <x:f>_xlfn.XLOOKUP($A570,Games!$A$2:$A$18,Games!$M$2:$M$18,"Missing game",0)</x:f>
        <x:v>0</x:v>
      </x:c>
      <x:c r="AS570" t="str">
        <x:f>_xlfn.XLOOKUP($A570,Games!$A$2:$A$18,Games!$N$2:$N$18,"Missing game",0)</x:f>
        <x:v>outdoors</x:v>
      </x:c>
      <x:c r="AT570" t="str">
        <x:f>_xlfn.XLOOKUP($A570,Games!$A$2:$A$18,Games!$O$2:$O$18,"Missing game",0)</x:f>
        <x:v>grass</x:v>
      </x:c>
      <x:c r="AU570" t="n">
        <x:f>_xlfn.XLOOKUP($A570,Games!$A$2:$A$18,Games!$P$2:$P$18,"Missing game",0)</x:f>
        <x:v>61</x:v>
      </x:c>
      <x:c r="AV570" t="n">
        <x:f>_xlfn.XLOOKUP($A570,Games!$A$2:$A$18,Games!$Q$2:$Q$18,"Missing game",0)</x:f>
        <x:v>5</x:v>
      </x:c>
      <x:c r="AW570" t="str">
        <x:f>_xlfn.XLOOKUP($A570,Games!$A$2:$A$18,Games!$R$2:$R$18,"Missing game",0)</x:f>
        <x:v>Acrisure Stadium</x:v>
      </x:c>
    </x:row>
    <x:row r="571">
      <x:c r="A571" t="str">
        <x:v>2025_04_MIN_PIT</x:v>
      </x:c>
      <x:c r="B571" t="n">
        <x:v>1796</x:v>
      </x:c>
      <x:c r="C571" t="n">
        <x:v>2</x:v>
      </x:c>
      <x:c r="D571" t="str">
        <x:v>01:07</x:v>
      </x:c>
      <x:c r="E571" t="n">
        <x:v>1</x:v>
      </x:c>
      <x:c r="F571" t="n">
        <x:v>10</x:v>
      </x:c>
      <x:c r="G571" t="str">
        <x:v>MIN</x:v>
      </x:c>
      <x:c r="H571" t="str">
        <x:v>PIT</x:v>
      </x:c>
      <x:c r="I571" t="str">
        <x:v>PIT</x:v>
      </x:c>
      <x:c r="J571" t="n">
        <x:v>49</x:v>
      </x:c>
      <x:c r="K571" t="str">
        <x:v>(1:07) (No Huddle, Shotgun) 11-C.Wentz pass short right to 36-Z.Scott pushed ob at PIT 42 for 7 yards (41-P.Wilson).</x:v>
      </x:c>
      <x:c r="L571" t="str">
        <x:v>pass</x:v>
      </x:c>
      <x:c r="M571" t="n">
        <x:v>7</x:v>
      </x:c>
      <x:c r="N571" t="n">
        <x:v>1</x:v>
      </x:c>
      <x:c r="O571" t="n">
        <x:v>1</x:v>
      </x:c>
      <x:c r="P571" t="str">
        <x:v>short</x:v>
      </x:c>
      <x:c r="Q571" t="str">
        <x:v>right</x:v>
      </x:c>
      <x:c r="R571" t="n">
        <x:v>7</x:v>
      </x:c>
      <x:c r="S571" t="n">
        <x:v>0</x:v>
      </x:c>
      <x:c r="T571"/>
      <x:c r="U571"/>
      <x:c r="V571" t="n">
        <x:v>1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/>
      <x:c r="AC571" t="n">
        <x:v>0</x:v>
      </x:c>
      <x:c r="AD571" t="n">
        <x:v>0.24037949478952214</x:v>
      </x:c>
      <x:c r="AE571" t="n">
        <x:v>1</x:v>
      </x:c>
      <x:c r="AF571" t="n">
        <x:v>-0.0037611424922943115</x:v>
      </x:c>
      <x:c r="AG571" t="n">
        <x:f>_xlfn.XLOOKUP($A571,Games!$A$2:$A$18,Games!$B$2:$B$18,"Missing game",0)</x:f>
        <x:v>2025</x:v>
      </x:c>
      <x:c r="AH571" t="str">
        <x:f>_xlfn.XLOOKUP($A571,Games!$A$2:$A$18,Games!$C$2:$C$18,"Missing game",0)</x:f>
        <x:v>REG</x:v>
      </x:c>
      <x:c r="AI571" t="n">
        <x:f>_xlfn.XLOOKUP($A571,Games!$A$2:$A$18,Games!$D$2:$D$18,"Missing game",0)</x:f>
        <x:v>4</x:v>
      </x:c>
      <x:c r="AJ571" s="1" t="n">
        <x:f>_xlfn.XLOOKUP($A571,Games!$A$2:$A$18,Games!$E$2:$E$18,"Missing game",0)</x:f>
        <x:v>45928</x:v>
      </x:c>
      <x:c r="AK571" t="str">
        <x:f>_xlfn.XLOOKUP($A571,Games!$A$2:$A$18,Games!$F$2:$F$18,"Missing game",0)</x:f>
        <x:v>Sunday</x:v>
      </x:c>
      <x:c r="AL571" t="str">
        <x:f>_xlfn.XLOOKUP($A571,Games!$A$2:$A$18,Games!$G$2:$G$18,"Missing game",0)</x:f>
        <x:v>MIN</x:v>
      </x:c>
      <x:c r="AM571" t="n">
        <x:f>_xlfn.XLOOKUP($A571,Games!$A$2:$A$18,Games!$H$2:$H$18,"Missing game",0)</x:f>
        <x:v>21</x:v>
      </x:c>
      <x:c r="AN571" t="str">
        <x:f>_xlfn.XLOOKUP($A571,Games!$A$2:$A$18,Games!$I$2:$I$18,"Missing game",0)</x:f>
        <x:v>PIT</x:v>
      </x:c>
      <x:c r="AO571" t="n">
        <x:f>_xlfn.XLOOKUP($A571,Games!$A$2:$A$18,Games!$J$2:$J$18,"Missing game",0)</x:f>
        <x:v>24</x:v>
      </x:c>
      <x:c r="AP571" t="n">
        <x:f>_xlfn.XLOOKUP($A571,Games!$A$2:$A$18,Games!$K$2:$K$18,"Missing game",0)</x:f>
        <x:v>3</x:v>
      </x:c>
      <x:c r="AQ571" t="n">
        <x:f>_xlfn.XLOOKUP($A571,Games!$A$2:$A$18,Games!$L$2:$L$18,"Missing game",0)</x:f>
        <x:v>45</x:v>
      </x:c>
      <x:c r="AR571" t="n">
        <x:f>_xlfn.XLOOKUP($A571,Games!$A$2:$A$18,Games!$M$2:$M$18,"Missing game",0)</x:f>
        <x:v>0</x:v>
      </x:c>
      <x:c r="AS571" t="str">
        <x:f>_xlfn.XLOOKUP($A571,Games!$A$2:$A$18,Games!$N$2:$N$18,"Missing game",0)</x:f>
        <x:v>outdoors</x:v>
      </x:c>
      <x:c r="AT571" t="str">
        <x:f>_xlfn.XLOOKUP($A571,Games!$A$2:$A$18,Games!$O$2:$O$18,"Missing game",0)</x:f>
        <x:v>grass</x:v>
      </x:c>
      <x:c r="AU571" t="n">
        <x:f>_xlfn.XLOOKUP($A571,Games!$A$2:$A$18,Games!$P$2:$P$18,"Missing game",0)</x:f>
        <x:v>61</x:v>
      </x:c>
      <x:c r="AV571" t="n">
        <x:f>_xlfn.XLOOKUP($A571,Games!$A$2:$A$18,Games!$Q$2:$Q$18,"Missing game",0)</x:f>
        <x:v>5</x:v>
      </x:c>
      <x:c r="AW571" t="str">
        <x:f>_xlfn.XLOOKUP($A571,Games!$A$2:$A$18,Games!$R$2:$R$18,"Missing game",0)</x:f>
        <x:v>Acrisure Stadium</x:v>
      </x:c>
    </x:row>
    <x:row r="572">
      <x:c r="A572" t="str">
        <x:v>2025_04_MIN_PIT</x:v>
      </x:c>
      <x:c r="B572" t="n">
        <x:v>1826</x:v>
      </x:c>
      <x:c r="C572" t="n">
        <x:v>2</x:v>
      </x:c>
      <x:c r="D572" t="str">
        <x:v>00:59</x:v>
      </x:c>
      <x:c r="E572" t="n">
        <x:v>2</x:v>
      </x:c>
      <x:c r="F572" t="n">
        <x:v>3</x:v>
      </x:c>
      <x:c r="G572" t="str">
        <x:v>MIN</x:v>
      </x:c>
      <x:c r="H572" t="str">
        <x:v>PIT</x:v>
      </x:c>
      <x:c r="I572" t="str">
        <x:v>PIT</x:v>
      </x:c>
      <x:c r="J572" t="n">
        <x:v>42</x:v>
      </x:c>
      <x:c r="K572" t="str">
        <x:v>(:59) (Shotgun) 11-C.Wentz pass deep left to 18-J.Jefferson to PIT 13 for 29 yards (41-P.Wilson).</x:v>
      </x:c>
      <x:c r="L572" t="str">
        <x:v>pass</x:v>
      </x:c>
      <x:c r="M572" t="n">
        <x:v>29</x:v>
      </x:c>
      <x:c r="N572" t="n">
        <x:v>1</x:v>
      </x:c>
      <x:c r="O572" t="n">
        <x:v>0</x:v>
      </x:c>
      <x:c r="P572" t="str">
        <x:v>deep</x:v>
      </x:c>
      <x:c r="Q572" t="str">
        <x:v>left</x:v>
      </x:c>
      <x:c r="R572" t="n">
        <x:v>24</x:v>
      </x:c>
      <x:c r="S572" t="n">
        <x:v>5</x:v>
      </x:c>
      <x:c r="T572"/>
      <x:c r="U572"/>
      <x:c r="V572" t="n">
        <x:v>1</x:v>
      </x:c>
      <x:c r="W572" t="n">
        <x:v>1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/>
      <x:c r="AC572" t="n">
        <x:v>0</x:v>
      </x:c>
      <x:c r="AD572" t="n">
        <x:v>2.1246408883598633</x:v>
      </x:c>
      <x:c r="AE572" t="n">
        <x:v>1</x:v>
      </x:c>
      <x:c r="AF572" t="n">
        <x:v>0.040295034646987915</x:v>
      </x:c>
      <x:c r="AG572" t="n">
        <x:f>_xlfn.XLOOKUP($A572,Games!$A$2:$A$18,Games!$B$2:$B$18,"Missing game",0)</x:f>
        <x:v>2025</x:v>
      </x:c>
      <x:c r="AH572" t="str">
        <x:f>_xlfn.XLOOKUP($A572,Games!$A$2:$A$18,Games!$C$2:$C$18,"Missing game",0)</x:f>
        <x:v>REG</x:v>
      </x:c>
      <x:c r="AI572" t="n">
        <x:f>_xlfn.XLOOKUP($A572,Games!$A$2:$A$18,Games!$D$2:$D$18,"Missing game",0)</x:f>
        <x:v>4</x:v>
      </x:c>
      <x:c r="AJ572" s="1" t="n">
        <x:f>_xlfn.XLOOKUP($A572,Games!$A$2:$A$18,Games!$E$2:$E$18,"Missing game",0)</x:f>
        <x:v>45928</x:v>
      </x:c>
      <x:c r="AK572" t="str">
        <x:f>_xlfn.XLOOKUP($A572,Games!$A$2:$A$18,Games!$F$2:$F$18,"Missing game",0)</x:f>
        <x:v>Sunday</x:v>
      </x:c>
      <x:c r="AL572" t="str">
        <x:f>_xlfn.XLOOKUP($A572,Games!$A$2:$A$18,Games!$G$2:$G$18,"Missing game",0)</x:f>
        <x:v>MIN</x:v>
      </x:c>
      <x:c r="AM572" t="n">
        <x:f>_xlfn.XLOOKUP($A572,Games!$A$2:$A$18,Games!$H$2:$H$18,"Missing game",0)</x:f>
        <x:v>21</x:v>
      </x:c>
      <x:c r="AN572" t="str">
        <x:f>_xlfn.XLOOKUP($A572,Games!$A$2:$A$18,Games!$I$2:$I$18,"Missing game",0)</x:f>
        <x:v>PIT</x:v>
      </x:c>
      <x:c r="AO572" t="n">
        <x:f>_xlfn.XLOOKUP($A572,Games!$A$2:$A$18,Games!$J$2:$J$18,"Missing game",0)</x:f>
        <x:v>24</x:v>
      </x:c>
      <x:c r="AP572" t="n">
        <x:f>_xlfn.XLOOKUP($A572,Games!$A$2:$A$18,Games!$K$2:$K$18,"Missing game",0)</x:f>
        <x:v>3</x:v>
      </x:c>
      <x:c r="AQ572" t="n">
        <x:f>_xlfn.XLOOKUP($A572,Games!$A$2:$A$18,Games!$L$2:$L$18,"Missing game",0)</x:f>
        <x:v>45</x:v>
      </x:c>
      <x:c r="AR572" t="n">
        <x:f>_xlfn.XLOOKUP($A572,Games!$A$2:$A$18,Games!$M$2:$M$18,"Missing game",0)</x:f>
        <x:v>0</x:v>
      </x:c>
      <x:c r="AS572" t="str">
        <x:f>_xlfn.XLOOKUP($A572,Games!$A$2:$A$18,Games!$N$2:$N$18,"Missing game",0)</x:f>
        <x:v>outdoors</x:v>
      </x:c>
      <x:c r="AT572" t="str">
        <x:f>_xlfn.XLOOKUP($A572,Games!$A$2:$A$18,Games!$O$2:$O$18,"Missing game",0)</x:f>
        <x:v>grass</x:v>
      </x:c>
      <x:c r="AU572" t="n">
        <x:f>_xlfn.XLOOKUP($A572,Games!$A$2:$A$18,Games!$P$2:$P$18,"Missing game",0)</x:f>
        <x:v>61</x:v>
      </x:c>
      <x:c r="AV572" t="n">
        <x:f>_xlfn.XLOOKUP($A572,Games!$A$2:$A$18,Games!$Q$2:$Q$18,"Missing game",0)</x:f>
        <x:v>5</x:v>
      </x:c>
      <x:c r="AW572" t="str">
        <x:f>_xlfn.XLOOKUP($A572,Games!$A$2:$A$18,Games!$R$2:$R$18,"Missing game",0)</x:f>
        <x:v>Acrisure Stadium</x:v>
      </x:c>
    </x:row>
    <x:row r="573">
      <x:c r="A573" t="str">
        <x:v>2025_04_MIN_PIT</x:v>
      </x:c>
      <x:c r="B573" t="n">
        <x:v>1851</x:v>
      </x:c>
      <x:c r="C573" t="n">
        <x:v>2</x:v>
      </x:c>
      <x:c r="D573" t="str">
        <x:v>00:30</x:v>
      </x:c>
      <x:c r="E573" t="n">
        <x:v>1</x:v>
      </x:c>
      <x:c r="F573" t="n">
        <x:v>10</x:v>
      </x:c>
      <x:c r="G573" t="str">
        <x:v>MIN</x:v>
      </x:c>
      <x:c r="H573" t="str">
        <x:v>PIT</x:v>
      </x:c>
      <x:c r="I573" t="str">
        <x:v>PIT</x:v>
      </x:c>
      <x:c r="J573" t="n">
        <x:v>13</x:v>
      </x:c>
      <x:c r="K573" t="str">
        <x:v>(:30) (No Huddle, Shotgun) 11-C.Wentz pass short right to 36-Z.Scott to PIT 15 for -2 yards (6-P.Queen) [99-D.Harmon].</x:v>
      </x:c>
      <x:c r="L573" t="str">
        <x:v>pass</x:v>
      </x:c>
      <x:c r="M573" t="n">
        <x:v>-2</x:v>
      </x:c>
      <x:c r="N573" t="n">
        <x:v>1</x:v>
      </x:c>
      <x:c r="O573" t="n">
        <x:v>1</x:v>
      </x:c>
      <x:c r="P573" t="str">
        <x:v>short</x:v>
      </x:c>
      <x:c r="Q573" t="str">
        <x:v>right</x:v>
      </x:c>
      <x:c r="R573" t="n">
        <x:v>-5</x:v>
      </x:c>
      <x:c r="S573" t="n">
        <x:v>3</x:v>
      </x:c>
      <x:c r="T573"/>
      <x:c r="U573"/>
      <x:c r="V573" t="n">
        <x:v>1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/>
      <x:c r="AC573" t="n">
        <x:v>0</x:v>
      </x:c>
      <x:c r="AD573" t="n">
        <x:v>-0.9466532439109869</x:v>
      </x:c>
      <x:c r="AE573" t="n">
        <x:v>0</x:v>
      </x:c>
      <x:c r="AF573" t="n">
        <x:v>-0.01181495189666748</x:v>
      </x:c>
      <x:c r="AG573" t="n">
        <x:f>_xlfn.XLOOKUP($A573,Games!$A$2:$A$18,Games!$B$2:$B$18,"Missing game",0)</x:f>
        <x:v>2025</x:v>
      </x:c>
      <x:c r="AH573" t="str">
        <x:f>_xlfn.XLOOKUP($A573,Games!$A$2:$A$18,Games!$C$2:$C$18,"Missing game",0)</x:f>
        <x:v>REG</x:v>
      </x:c>
      <x:c r="AI573" t="n">
        <x:f>_xlfn.XLOOKUP($A573,Games!$A$2:$A$18,Games!$D$2:$D$18,"Missing game",0)</x:f>
        <x:v>4</x:v>
      </x:c>
      <x:c r="AJ573" s="1" t="n">
        <x:f>_xlfn.XLOOKUP($A573,Games!$A$2:$A$18,Games!$E$2:$E$18,"Missing game",0)</x:f>
        <x:v>45928</x:v>
      </x:c>
      <x:c r="AK573" t="str">
        <x:f>_xlfn.XLOOKUP($A573,Games!$A$2:$A$18,Games!$F$2:$F$18,"Missing game",0)</x:f>
        <x:v>Sunday</x:v>
      </x:c>
      <x:c r="AL573" t="str">
        <x:f>_xlfn.XLOOKUP($A573,Games!$A$2:$A$18,Games!$G$2:$G$18,"Missing game",0)</x:f>
        <x:v>MIN</x:v>
      </x:c>
      <x:c r="AM573" t="n">
        <x:f>_xlfn.XLOOKUP($A573,Games!$A$2:$A$18,Games!$H$2:$H$18,"Missing game",0)</x:f>
        <x:v>21</x:v>
      </x:c>
      <x:c r="AN573" t="str">
        <x:f>_xlfn.XLOOKUP($A573,Games!$A$2:$A$18,Games!$I$2:$I$18,"Missing game",0)</x:f>
        <x:v>PIT</x:v>
      </x:c>
      <x:c r="AO573" t="n">
        <x:f>_xlfn.XLOOKUP($A573,Games!$A$2:$A$18,Games!$J$2:$J$18,"Missing game",0)</x:f>
        <x:v>24</x:v>
      </x:c>
      <x:c r="AP573" t="n">
        <x:f>_xlfn.XLOOKUP($A573,Games!$A$2:$A$18,Games!$K$2:$K$18,"Missing game",0)</x:f>
        <x:v>3</x:v>
      </x:c>
      <x:c r="AQ573" t="n">
        <x:f>_xlfn.XLOOKUP($A573,Games!$A$2:$A$18,Games!$L$2:$L$18,"Missing game",0)</x:f>
        <x:v>45</x:v>
      </x:c>
      <x:c r="AR573" t="n">
        <x:f>_xlfn.XLOOKUP($A573,Games!$A$2:$A$18,Games!$M$2:$M$18,"Missing game",0)</x:f>
        <x:v>0</x:v>
      </x:c>
      <x:c r="AS573" t="str">
        <x:f>_xlfn.XLOOKUP($A573,Games!$A$2:$A$18,Games!$N$2:$N$18,"Missing game",0)</x:f>
        <x:v>outdoors</x:v>
      </x:c>
      <x:c r="AT573" t="str">
        <x:f>_xlfn.XLOOKUP($A573,Games!$A$2:$A$18,Games!$O$2:$O$18,"Missing game",0)</x:f>
        <x:v>grass</x:v>
      </x:c>
      <x:c r="AU573" t="n">
        <x:f>_xlfn.XLOOKUP($A573,Games!$A$2:$A$18,Games!$P$2:$P$18,"Missing game",0)</x:f>
        <x:v>61</x:v>
      </x:c>
      <x:c r="AV573" t="n">
        <x:f>_xlfn.XLOOKUP($A573,Games!$A$2:$A$18,Games!$Q$2:$Q$18,"Missing game",0)</x:f>
        <x:v>5</x:v>
      </x:c>
      <x:c r="AW573" t="str">
        <x:f>_xlfn.XLOOKUP($A573,Games!$A$2:$A$18,Games!$R$2:$R$18,"Missing game",0)</x:f>
        <x:v>Acrisure Stadium</x:v>
      </x:c>
    </x:row>
    <x:row r="574">
      <x:c r="A574" t="str">
        <x:v>2025_04_MIN_PIT</x:v>
      </x:c>
      <x:c r="B574" t="n">
        <x:v>1876</x:v>
      </x:c>
      <x:c r="C574" t="n">
        <x:v>2</x:v>
      </x:c>
      <x:c r="D574" t="str">
        <x:v>00:24</x:v>
      </x:c>
      <x:c r="E574" t="n">
        <x:v>2</x:v>
      </x:c>
      <x:c r="F574" t="n">
        <x:v>12</x:v>
      </x:c>
      <x:c r="G574" t="str">
        <x:v>MIN</x:v>
      </x:c>
      <x:c r="H574" t="str">
        <x:v>PIT</x:v>
      </x:c>
      <x:c r="I574" t="str">
        <x:v>PIT</x:v>
      </x:c>
      <x:c r="J574" t="n">
        <x:v>15</x:v>
      </x:c>
      <x:c r="K574" t="str">
        <x:v>(:24) (Shotgun) 11-C.Wentz pass incomplete short left to 87-T.Hockenson.</x:v>
      </x:c>
      <x:c r="L574" t="str">
        <x:v>pass</x:v>
      </x:c>
      <x:c r="M574" t="n">
        <x:v>0</x:v>
      </x:c>
      <x:c r="N574" t="n">
        <x:v>1</x:v>
      </x:c>
      <x:c r="O574" t="n">
        <x:v>0</x:v>
      </x:c>
      <x:c r="P574" t="str">
        <x:v>short</x:v>
      </x:c>
      <x:c r="Q574" t="str">
        <x:v>left</x:v>
      </x:c>
      <x:c r="R574" t="n">
        <x:v>7</x:v>
      </x:c>
      <x:c r="S574"/>
      <x:c r="T574"/>
      <x:c r="U574"/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/>
      <x:c r="AC574" t="n">
        <x:v>0</x:v>
      </x:c>
      <x:c r="AD574" t="n">
        <x:v>-0.5941687980666757</x:v>
      </x:c>
      <x:c r="AE574" t="n">
        <x:v>0</x:v>
      </x:c>
      <x:c r="AF574" t="n">
        <x:v>-0.023771077394485474</x:v>
      </x:c>
      <x:c r="AG574" t="n">
        <x:f>_xlfn.XLOOKUP($A574,Games!$A$2:$A$18,Games!$B$2:$B$18,"Missing game",0)</x:f>
        <x:v>2025</x:v>
      </x:c>
      <x:c r="AH574" t="str">
        <x:f>_xlfn.XLOOKUP($A574,Games!$A$2:$A$18,Games!$C$2:$C$18,"Missing game",0)</x:f>
        <x:v>REG</x:v>
      </x:c>
      <x:c r="AI574" t="n">
        <x:f>_xlfn.XLOOKUP($A574,Games!$A$2:$A$18,Games!$D$2:$D$18,"Missing game",0)</x:f>
        <x:v>4</x:v>
      </x:c>
      <x:c r="AJ574" s="1" t="n">
        <x:f>_xlfn.XLOOKUP($A574,Games!$A$2:$A$18,Games!$E$2:$E$18,"Missing game",0)</x:f>
        <x:v>45928</x:v>
      </x:c>
      <x:c r="AK574" t="str">
        <x:f>_xlfn.XLOOKUP($A574,Games!$A$2:$A$18,Games!$F$2:$F$18,"Missing game",0)</x:f>
        <x:v>Sunday</x:v>
      </x:c>
      <x:c r="AL574" t="str">
        <x:f>_xlfn.XLOOKUP($A574,Games!$A$2:$A$18,Games!$G$2:$G$18,"Missing game",0)</x:f>
        <x:v>MIN</x:v>
      </x:c>
      <x:c r="AM574" t="n">
        <x:f>_xlfn.XLOOKUP($A574,Games!$A$2:$A$18,Games!$H$2:$H$18,"Missing game",0)</x:f>
        <x:v>21</x:v>
      </x:c>
      <x:c r="AN574" t="str">
        <x:f>_xlfn.XLOOKUP($A574,Games!$A$2:$A$18,Games!$I$2:$I$18,"Missing game",0)</x:f>
        <x:v>PIT</x:v>
      </x:c>
      <x:c r="AO574" t="n">
        <x:f>_xlfn.XLOOKUP($A574,Games!$A$2:$A$18,Games!$J$2:$J$18,"Missing game",0)</x:f>
        <x:v>24</x:v>
      </x:c>
      <x:c r="AP574" t="n">
        <x:f>_xlfn.XLOOKUP($A574,Games!$A$2:$A$18,Games!$K$2:$K$18,"Missing game",0)</x:f>
        <x:v>3</x:v>
      </x:c>
      <x:c r="AQ574" t="n">
        <x:f>_xlfn.XLOOKUP($A574,Games!$A$2:$A$18,Games!$L$2:$L$18,"Missing game",0)</x:f>
        <x:v>45</x:v>
      </x:c>
      <x:c r="AR574" t="n">
        <x:f>_xlfn.XLOOKUP($A574,Games!$A$2:$A$18,Games!$M$2:$M$18,"Missing game",0)</x:f>
        <x:v>0</x:v>
      </x:c>
      <x:c r="AS574" t="str">
        <x:f>_xlfn.XLOOKUP($A574,Games!$A$2:$A$18,Games!$N$2:$N$18,"Missing game",0)</x:f>
        <x:v>outdoors</x:v>
      </x:c>
      <x:c r="AT574" t="str">
        <x:f>_xlfn.XLOOKUP($A574,Games!$A$2:$A$18,Games!$O$2:$O$18,"Missing game",0)</x:f>
        <x:v>grass</x:v>
      </x:c>
      <x:c r="AU574" t="n">
        <x:f>_xlfn.XLOOKUP($A574,Games!$A$2:$A$18,Games!$P$2:$P$18,"Missing game",0)</x:f>
        <x:v>61</x:v>
      </x:c>
      <x:c r="AV574" t="n">
        <x:f>_xlfn.XLOOKUP($A574,Games!$A$2:$A$18,Games!$Q$2:$Q$18,"Missing game",0)</x:f>
        <x:v>5</x:v>
      </x:c>
      <x:c r="AW574" t="str">
        <x:f>_xlfn.XLOOKUP($A574,Games!$A$2:$A$18,Games!$R$2:$R$18,"Missing game",0)</x:f>
        <x:v>Acrisure Stadium</x:v>
      </x:c>
    </x:row>
    <x:row r="575">
      <x:c r="A575" t="str">
        <x:v>2025_04_MIN_PIT</x:v>
      </x:c>
      <x:c r="B575" t="n">
        <x:v>1888</x:v>
      </x:c>
      <x:c r="C575" t="n">
        <x:v>2</x:v>
      </x:c>
      <x:c r="D575" t="str">
        <x:v>00:24</x:v>
      </x:c>
      <x:c r="E575"/>
      <x:c r="F575" t="n">
        <x:v>0</x:v>
      </x:c>
      <x:c r="G575"/>
      <x:c r="H575"/>
      <x:c r="I575"/>
      <x:c r="J575"/>
      <x:c r="K575" t="str">
        <x:v>Timeout #3 by MIN at 00:24.</x:v>
      </x:c>
      <x:c r="L575" t="str">
        <x:v>no_play</x:v>
      </x:c>
      <x:c r="M575" t="n">
        <x:v>0</x:v>
      </x:c>
      <x:c r="N575" t="n">
        <x:v>0</x:v>
      </x:c>
      <x:c r="O575" t="n">
        <x:v>0</x:v>
      </x:c>
      <x:c r="P575"/>
      <x:c r="Q575"/>
      <x:c r="R575"/>
      <x:c r="S575"/>
      <x:c r="T575"/>
      <x:c r="U575"/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/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f>_xlfn.XLOOKUP($A575,Games!$A$2:$A$18,Games!$B$2:$B$18,"Missing game",0)</x:f>
        <x:v>2025</x:v>
      </x:c>
      <x:c r="AH575" t="str">
        <x:f>_xlfn.XLOOKUP($A575,Games!$A$2:$A$18,Games!$C$2:$C$18,"Missing game",0)</x:f>
        <x:v>REG</x:v>
      </x:c>
      <x:c r="AI575" t="n">
        <x:f>_xlfn.XLOOKUP($A575,Games!$A$2:$A$18,Games!$D$2:$D$18,"Missing game",0)</x:f>
        <x:v>4</x:v>
      </x:c>
      <x:c r="AJ575" s="1" t="n">
        <x:f>_xlfn.XLOOKUP($A575,Games!$A$2:$A$18,Games!$E$2:$E$18,"Missing game",0)</x:f>
        <x:v>45928</x:v>
      </x:c>
      <x:c r="AK575" t="str">
        <x:f>_xlfn.XLOOKUP($A575,Games!$A$2:$A$18,Games!$F$2:$F$18,"Missing game",0)</x:f>
        <x:v>Sunday</x:v>
      </x:c>
      <x:c r="AL575" t="str">
        <x:f>_xlfn.XLOOKUP($A575,Games!$A$2:$A$18,Games!$G$2:$G$18,"Missing game",0)</x:f>
        <x:v>MIN</x:v>
      </x:c>
      <x:c r="AM575" t="n">
        <x:f>_xlfn.XLOOKUP($A575,Games!$A$2:$A$18,Games!$H$2:$H$18,"Missing game",0)</x:f>
        <x:v>21</x:v>
      </x:c>
      <x:c r="AN575" t="str">
        <x:f>_xlfn.XLOOKUP($A575,Games!$A$2:$A$18,Games!$I$2:$I$18,"Missing game",0)</x:f>
        <x:v>PIT</x:v>
      </x:c>
      <x:c r="AO575" t="n">
        <x:f>_xlfn.XLOOKUP($A575,Games!$A$2:$A$18,Games!$J$2:$J$18,"Missing game",0)</x:f>
        <x:v>24</x:v>
      </x:c>
      <x:c r="AP575" t="n">
        <x:f>_xlfn.XLOOKUP($A575,Games!$A$2:$A$18,Games!$K$2:$K$18,"Missing game",0)</x:f>
        <x:v>3</x:v>
      </x:c>
      <x:c r="AQ575" t="n">
        <x:f>_xlfn.XLOOKUP($A575,Games!$A$2:$A$18,Games!$L$2:$L$18,"Missing game",0)</x:f>
        <x:v>45</x:v>
      </x:c>
      <x:c r="AR575" t="n">
        <x:f>_xlfn.XLOOKUP($A575,Games!$A$2:$A$18,Games!$M$2:$M$18,"Missing game",0)</x:f>
        <x:v>0</x:v>
      </x:c>
      <x:c r="AS575" t="str">
        <x:f>_xlfn.XLOOKUP($A575,Games!$A$2:$A$18,Games!$N$2:$N$18,"Missing game",0)</x:f>
        <x:v>outdoors</x:v>
      </x:c>
      <x:c r="AT575" t="str">
        <x:f>_xlfn.XLOOKUP($A575,Games!$A$2:$A$18,Games!$O$2:$O$18,"Missing game",0)</x:f>
        <x:v>grass</x:v>
      </x:c>
      <x:c r="AU575" t="n">
        <x:f>_xlfn.XLOOKUP($A575,Games!$A$2:$A$18,Games!$P$2:$P$18,"Missing game",0)</x:f>
        <x:v>61</x:v>
      </x:c>
      <x:c r="AV575" t="n">
        <x:f>_xlfn.XLOOKUP($A575,Games!$A$2:$A$18,Games!$Q$2:$Q$18,"Missing game",0)</x:f>
        <x:v>5</x:v>
      </x:c>
      <x:c r="AW575" t="str">
        <x:f>_xlfn.XLOOKUP($A575,Games!$A$2:$A$18,Games!$R$2:$R$18,"Missing game",0)</x:f>
        <x:v>Acrisure Stadium</x:v>
      </x:c>
    </x:row>
    <x:row r="576">
      <x:c r="A576" t="str">
        <x:v>2025_04_MIN_PIT</x:v>
      </x:c>
      <x:c r="B576" t="n">
        <x:v>1906</x:v>
      </x:c>
      <x:c r="C576" t="n">
        <x:v>2</x:v>
      </x:c>
      <x:c r="D576" t="str">
        <x:v>00:20</x:v>
      </x:c>
      <x:c r="E576" t="n">
        <x:v>3</x:v>
      </x:c>
      <x:c r="F576" t="n">
        <x:v>12</x:v>
      </x:c>
      <x:c r="G576" t="str">
        <x:v>MIN</x:v>
      </x:c>
      <x:c r="H576" t="str">
        <x:v>PIT</x:v>
      </x:c>
      <x:c r="I576" t="str">
        <x:v>PIT</x:v>
      </x:c>
      <x:c r="J576" t="n">
        <x:v>15</x:v>
      </x:c>
      <x:c r="K576" t="str">
        <x:v>(:20) (Shotgun) 11-C.Wentz pass incomplete short right [95-K.Benton].</x:v>
      </x:c>
      <x:c r="L576" t="str">
        <x:v>pass</x:v>
      </x:c>
      <x:c r="M576" t="n">
        <x:v>0</x:v>
      </x:c>
      <x:c r="N576" t="n">
        <x:v>1</x:v>
      </x:c>
      <x:c r="O576" t="n">
        <x:v>0</x:v>
      </x:c>
      <x:c r="P576" t="str">
        <x:v>short</x:v>
      </x:c>
      <x:c r="Q576" t="str">
        <x:v>right</x:v>
      </x:c>
      <x:c r="R576" t="n">
        <x:v>15</x:v>
      </x:c>
      <x:c r="S576"/>
      <x:c r="T576"/>
      <x:c r="U576"/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/>
      <x:c r="AC576" t="n">
        <x:v>0</x:v>
      </x:c>
      <x:c r="AD576" t="n">
        <x:v>-0.6215739231556654</x:v>
      </x:c>
      <x:c r="AE576" t="n">
        <x:v>0</x:v>
      </x:c>
      <x:c r="AF576" t="n">
        <x:v>-0.022199034690856934</x:v>
      </x:c>
      <x:c r="AG576" t="n">
        <x:f>_xlfn.XLOOKUP($A576,Games!$A$2:$A$18,Games!$B$2:$B$18,"Missing game",0)</x:f>
        <x:v>2025</x:v>
      </x:c>
      <x:c r="AH576" t="str">
        <x:f>_xlfn.XLOOKUP($A576,Games!$A$2:$A$18,Games!$C$2:$C$18,"Missing game",0)</x:f>
        <x:v>REG</x:v>
      </x:c>
      <x:c r="AI576" t="n">
        <x:f>_xlfn.XLOOKUP($A576,Games!$A$2:$A$18,Games!$D$2:$D$18,"Missing game",0)</x:f>
        <x:v>4</x:v>
      </x:c>
      <x:c r="AJ576" s="1" t="n">
        <x:f>_xlfn.XLOOKUP($A576,Games!$A$2:$A$18,Games!$E$2:$E$18,"Missing game",0)</x:f>
        <x:v>45928</x:v>
      </x:c>
      <x:c r="AK576" t="str">
        <x:f>_xlfn.XLOOKUP($A576,Games!$A$2:$A$18,Games!$F$2:$F$18,"Missing game",0)</x:f>
        <x:v>Sunday</x:v>
      </x:c>
      <x:c r="AL576" t="str">
        <x:f>_xlfn.XLOOKUP($A576,Games!$A$2:$A$18,Games!$G$2:$G$18,"Missing game",0)</x:f>
        <x:v>MIN</x:v>
      </x:c>
      <x:c r="AM576" t="n">
        <x:f>_xlfn.XLOOKUP($A576,Games!$A$2:$A$18,Games!$H$2:$H$18,"Missing game",0)</x:f>
        <x:v>21</x:v>
      </x:c>
      <x:c r="AN576" t="str">
        <x:f>_xlfn.XLOOKUP($A576,Games!$A$2:$A$18,Games!$I$2:$I$18,"Missing game",0)</x:f>
        <x:v>PIT</x:v>
      </x:c>
      <x:c r="AO576" t="n">
        <x:f>_xlfn.XLOOKUP($A576,Games!$A$2:$A$18,Games!$J$2:$J$18,"Missing game",0)</x:f>
        <x:v>24</x:v>
      </x:c>
      <x:c r="AP576" t="n">
        <x:f>_xlfn.XLOOKUP($A576,Games!$A$2:$A$18,Games!$K$2:$K$18,"Missing game",0)</x:f>
        <x:v>3</x:v>
      </x:c>
      <x:c r="AQ576" t="n">
        <x:f>_xlfn.XLOOKUP($A576,Games!$A$2:$A$18,Games!$L$2:$L$18,"Missing game",0)</x:f>
        <x:v>45</x:v>
      </x:c>
      <x:c r="AR576" t="n">
        <x:f>_xlfn.XLOOKUP($A576,Games!$A$2:$A$18,Games!$M$2:$M$18,"Missing game",0)</x:f>
        <x:v>0</x:v>
      </x:c>
      <x:c r="AS576" t="str">
        <x:f>_xlfn.XLOOKUP($A576,Games!$A$2:$A$18,Games!$N$2:$N$18,"Missing game",0)</x:f>
        <x:v>outdoors</x:v>
      </x:c>
      <x:c r="AT576" t="str">
        <x:f>_xlfn.XLOOKUP($A576,Games!$A$2:$A$18,Games!$O$2:$O$18,"Missing game",0)</x:f>
        <x:v>grass</x:v>
      </x:c>
      <x:c r="AU576" t="n">
        <x:f>_xlfn.XLOOKUP($A576,Games!$A$2:$A$18,Games!$P$2:$P$18,"Missing game",0)</x:f>
        <x:v>61</x:v>
      </x:c>
      <x:c r="AV576" t="n">
        <x:f>_xlfn.XLOOKUP($A576,Games!$A$2:$A$18,Games!$Q$2:$Q$18,"Missing game",0)</x:f>
        <x:v>5</x:v>
      </x:c>
      <x:c r="AW576" t="str">
        <x:f>_xlfn.XLOOKUP($A576,Games!$A$2:$A$18,Games!$R$2:$R$18,"Missing game",0)</x:f>
        <x:v>Acrisure Stadium</x:v>
      </x:c>
    </x:row>
    <x:row r="577">
      <x:c r="A577" t="str">
        <x:v>2025_04_MIN_PIT</x:v>
      </x:c>
      <x:c r="B577" t="n">
        <x:v>1929</x:v>
      </x:c>
      <x:c r="C577" t="n">
        <x:v>2</x:v>
      </x:c>
      <x:c r="D577" t="str">
        <x:v>00:16</x:v>
      </x:c>
      <x:c r="E577" t="n">
        <x:v>4</x:v>
      </x:c>
      <x:c r="F577" t="n">
        <x:v>12</x:v>
      </x:c>
      <x:c r="G577" t="str">
        <x:v>MIN</x:v>
      </x:c>
      <x:c r="H577" t="str">
        <x:v>PIT</x:v>
      </x:c>
      <x:c r="I577" t="str">
        <x:v>PIT</x:v>
      </x:c>
      <x:c r="J577" t="n">
        <x:v>15</x:v>
      </x:c>
      <x:c r="K577" t="str">
        <x:v>(:16) (Field Goal formation) PENALTY on PIT-5-J.Ramsey, Defensive Offside, 5 yards, enforced at PIT 15 - No Play.</x:v>
      </x:c>
      <x:c r="L577" t="str">
        <x:v>no_play</x:v>
      </x:c>
      <x:c r="M577" t="n">
        <x:v>0</x:v>
      </x:c>
      <x:c r="N577" t="n">
        <x:v>0</x:v>
      </x:c>
      <x:c r="O577" t="n">
        <x:v>0</x:v>
      </x:c>
      <x:c r="P577"/>
      <x:c r="Q577"/>
      <x:c r="R577"/>
      <x:c r="S577"/>
      <x:c r="T577"/>
      <x:c r="U577"/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1</x:v>
      </x:c>
      <x:c r="AB577" t="n">
        <x:v>5</x:v>
      </x:c>
      <x:c r="AC577" t="n">
        <x:v>0</x:v>
      </x:c>
      <x:c r="AD577" t="n">
        <x:v>0.5121212442498506</x:v>
      </x:c>
      <x:c r="AE577" t="n">
        <x:v>1</x:v>
      </x:c>
      <x:c r="AF577" t="n">
        <x:v>0.006866484880447388</x:v>
      </x:c>
      <x:c r="AG577" t="n">
        <x:f>_xlfn.XLOOKUP($A577,Games!$A$2:$A$18,Games!$B$2:$B$18,"Missing game",0)</x:f>
        <x:v>2025</x:v>
      </x:c>
      <x:c r="AH577" t="str">
        <x:f>_xlfn.XLOOKUP($A577,Games!$A$2:$A$18,Games!$C$2:$C$18,"Missing game",0)</x:f>
        <x:v>REG</x:v>
      </x:c>
      <x:c r="AI577" t="n">
        <x:f>_xlfn.XLOOKUP($A577,Games!$A$2:$A$18,Games!$D$2:$D$18,"Missing game",0)</x:f>
        <x:v>4</x:v>
      </x:c>
      <x:c r="AJ577" s="1" t="n">
        <x:f>_xlfn.XLOOKUP($A577,Games!$A$2:$A$18,Games!$E$2:$E$18,"Missing game",0)</x:f>
        <x:v>45928</x:v>
      </x:c>
      <x:c r="AK577" t="str">
        <x:f>_xlfn.XLOOKUP($A577,Games!$A$2:$A$18,Games!$F$2:$F$18,"Missing game",0)</x:f>
        <x:v>Sunday</x:v>
      </x:c>
      <x:c r="AL577" t="str">
        <x:f>_xlfn.XLOOKUP($A577,Games!$A$2:$A$18,Games!$G$2:$G$18,"Missing game",0)</x:f>
        <x:v>MIN</x:v>
      </x:c>
      <x:c r="AM577" t="n">
        <x:f>_xlfn.XLOOKUP($A577,Games!$A$2:$A$18,Games!$H$2:$H$18,"Missing game",0)</x:f>
        <x:v>21</x:v>
      </x:c>
      <x:c r="AN577" t="str">
        <x:f>_xlfn.XLOOKUP($A577,Games!$A$2:$A$18,Games!$I$2:$I$18,"Missing game",0)</x:f>
        <x:v>PIT</x:v>
      </x:c>
      <x:c r="AO577" t="n">
        <x:f>_xlfn.XLOOKUP($A577,Games!$A$2:$A$18,Games!$J$2:$J$18,"Missing game",0)</x:f>
        <x:v>24</x:v>
      </x:c>
      <x:c r="AP577" t="n">
        <x:f>_xlfn.XLOOKUP($A577,Games!$A$2:$A$18,Games!$K$2:$K$18,"Missing game",0)</x:f>
        <x:v>3</x:v>
      </x:c>
      <x:c r="AQ577" t="n">
        <x:f>_xlfn.XLOOKUP($A577,Games!$A$2:$A$18,Games!$L$2:$L$18,"Missing game",0)</x:f>
        <x:v>45</x:v>
      </x:c>
      <x:c r="AR577" t="n">
        <x:f>_xlfn.XLOOKUP($A577,Games!$A$2:$A$18,Games!$M$2:$M$18,"Missing game",0)</x:f>
        <x:v>0</x:v>
      </x:c>
      <x:c r="AS577" t="str">
        <x:f>_xlfn.XLOOKUP($A577,Games!$A$2:$A$18,Games!$N$2:$N$18,"Missing game",0)</x:f>
        <x:v>outdoors</x:v>
      </x:c>
      <x:c r="AT577" t="str">
        <x:f>_xlfn.XLOOKUP($A577,Games!$A$2:$A$18,Games!$O$2:$O$18,"Missing game",0)</x:f>
        <x:v>grass</x:v>
      </x:c>
      <x:c r="AU577" t="n">
        <x:f>_xlfn.XLOOKUP($A577,Games!$A$2:$A$18,Games!$P$2:$P$18,"Missing game",0)</x:f>
        <x:v>61</x:v>
      </x:c>
      <x:c r="AV577" t="n">
        <x:f>_xlfn.XLOOKUP($A577,Games!$A$2:$A$18,Games!$Q$2:$Q$18,"Missing game",0)</x:f>
        <x:v>5</x:v>
      </x:c>
      <x:c r="AW577" t="str">
        <x:f>_xlfn.XLOOKUP($A577,Games!$A$2:$A$18,Games!$R$2:$R$18,"Missing game",0)</x:f>
        <x:v>Acrisure Stadium</x:v>
      </x:c>
    </x:row>
    <x:row r="578">
      <x:c r="A578" t="str">
        <x:v>2025_04_MIN_PIT</x:v>
      </x:c>
      <x:c r="B578" t="n">
        <x:v>1959</x:v>
      </x:c>
      <x:c r="C578" t="n">
        <x:v>2</x:v>
      </x:c>
      <x:c r="D578" t="str">
        <x:v>00:16</x:v>
      </x:c>
      <x:c r="E578" t="n">
        <x:v>4</x:v>
      </x:c>
      <x:c r="F578" t="n">
        <x:v>7</x:v>
      </x:c>
      <x:c r="G578" t="str">
        <x:v>MIN</x:v>
      </x:c>
      <x:c r="H578" t="str">
        <x:v>PIT</x:v>
      </x:c>
      <x:c r="I578" t="str">
        <x:v>PIT</x:v>
      </x:c>
      <x:c r="J578" t="n">
        <x:v>10</x:v>
      </x:c>
      <x:c r="K578" t="str">
        <x:v>(:16) 16-W.Reichard 28 yard field goal is GOOD, Center-42-A.DePaola, Holder-17-R.Wright.</x:v>
      </x:c>
      <x:c r="L578" t="str">
        <x:v>field_goal</x:v>
      </x:c>
      <x:c r="M578" t="n">
        <x:v>0</x:v>
      </x:c>
      <x:c r="N578" t="n">
        <x:v>0</x:v>
      </x:c>
      <x:c r="O578" t="n">
        <x:v>0</x:v>
      </x:c>
      <x:c r="P578"/>
      <x:c r="Q578"/>
      <x:c r="R578"/>
      <x:c r="S578"/>
      <x:c r="T578"/>
      <x:c r="U578"/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/>
      <x:c r="AC578" t="n">
        <x:v>0</x:v>
      </x:c>
      <x:c r="AD578" t="n">
        <x:v>0.10421899947339286</x:v>
      </x:c>
      <x:c r="AE578" t="n">
        <x:v>1</x:v>
      </x:c>
      <x:c r="AF578" t="n">
        <x:v>-0.0012340843677520752</x:v>
      </x:c>
      <x:c r="AG578" t="n">
        <x:f>_xlfn.XLOOKUP($A578,Games!$A$2:$A$18,Games!$B$2:$B$18,"Missing game",0)</x:f>
        <x:v>2025</x:v>
      </x:c>
      <x:c r="AH578" t="str">
        <x:f>_xlfn.XLOOKUP($A578,Games!$A$2:$A$18,Games!$C$2:$C$18,"Missing game",0)</x:f>
        <x:v>REG</x:v>
      </x:c>
      <x:c r="AI578" t="n">
        <x:f>_xlfn.XLOOKUP($A578,Games!$A$2:$A$18,Games!$D$2:$D$18,"Missing game",0)</x:f>
        <x:v>4</x:v>
      </x:c>
      <x:c r="AJ578" s="1" t="n">
        <x:f>_xlfn.XLOOKUP($A578,Games!$A$2:$A$18,Games!$E$2:$E$18,"Missing game",0)</x:f>
        <x:v>45928</x:v>
      </x:c>
      <x:c r="AK578" t="str">
        <x:f>_xlfn.XLOOKUP($A578,Games!$A$2:$A$18,Games!$F$2:$F$18,"Missing game",0)</x:f>
        <x:v>Sunday</x:v>
      </x:c>
      <x:c r="AL578" t="str">
        <x:f>_xlfn.XLOOKUP($A578,Games!$A$2:$A$18,Games!$G$2:$G$18,"Missing game",0)</x:f>
        <x:v>MIN</x:v>
      </x:c>
      <x:c r="AM578" t="n">
        <x:f>_xlfn.XLOOKUP($A578,Games!$A$2:$A$18,Games!$H$2:$H$18,"Missing game",0)</x:f>
        <x:v>21</x:v>
      </x:c>
      <x:c r="AN578" t="str">
        <x:f>_xlfn.XLOOKUP($A578,Games!$A$2:$A$18,Games!$I$2:$I$18,"Missing game",0)</x:f>
        <x:v>PIT</x:v>
      </x:c>
      <x:c r="AO578" t="n">
        <x:f>_xlfn.XLOOKUP($A578,Games!$A$2:$A$18,Games!$J$2:$J$18,"Missing game",0)</x:f>
        <x:v>24</x:v>
      </x:c>
      <x:c r="AP578" t="n">
        <x:f>_xlfn.XLOOKUP($A578,Games!$A$2:$A$18,Games!$K$2:$K$18,"Missing game",0)</x:f>
        <x:v>3</x:v>
      </x:c>
      <x:c r="AQ578" t="n">
        <x:f>_xlfn.XLOOKUP($A578,Games!$A$2:$A$18,Games!$L$2:$L$18,"Missing game",0)</x:f>
        <x:v>45</x:v>
      </x:c>
      <x:c r="AR578" t="n">
        <x:f>_xlfn.XLOOKUP($A578,Games!$A$2:$A$18,Games!$M$2:$M$18,"Missing game",0)</x:f>
        <x:v>0</x:v>
      </x:c>
      <x:c r="AS578" t="str">
        <x:f>_xlfn.XLOOKUP($A578,Games!$A$2:$A$18,Games!$N$2:$N$18,"Missing game",0)</x:f>
        <x:v>outdoors</x:v>
      </x:c>
      <x:c r="AT578" t="str">
        <x:f>_xlfn.XLOOKUP($A578,Games!$A$2:$A$18,Games!$O$2:$O$18,"Missing game",0)</x:f>
        <x:v>grass</x:v>
      </x:c>
      <x:c r="AU578" t="n">
        <x:f>_xlfn.XLOOKUP($A578,Games!$A$2:$A$18,Games!$P$2:$P$18,"Missing game",0)</x:f>
        <x:v>61</x:v>
      </x:c>
      <x:c r="AV578" t="n">
        <x:f>_xlfn.XLOOKUP($A578,Games!$A$2:$A$18,Games!$Q$2:$Q$18,"Missing game",0)</x:f>
        <x:v>5</x:v>
      </x:c>
      <x:c r="AW578" t="str">
        <x:f>_xlfn.XLOOKUP($A578,Games!$A$2:$A$18,Games!$R$2:$R$18,"Missing game",0)</x:f>
        <x:v>Acrisure Stadium</x:v>
      </x:c>
    </x:row>
    <x:row r="579">
      <x:c r="A579" t="str">
        <x:v>2025_04_MIN_PIT</x:v>
      </x:c>
      <x:c r="B579" t="n">
        <x:v>1982</x:v>
      </x:c>
      <x:c r="C579" t="n">
        <x:v>2</x:v>
      </x:c>
      <x:c r="D579" t="str">
        <x:v>00:12</x:v>
      </x:c>
      <x:c r="E579"/>
      <x:c r="F579" t="n">
        <x:v>0</x:v>
      </x:c>
      <x:c r="G579" t="str">
        <x:v>PIT</x:v>
      </x:c>
      <x:c r="H579" t="str">
        <x:v>MIN</x:v>
      </x:c>
      <x:c r="I579" t="str">
        <x:v>MIN</x:v>
      </x:c>
      <x:c r="J579" t="n">
        <x:v>35</x:v>
      </x:c>
      <x:c r="K579" t="str">
        <x:v>16-W.Reichard kicks 65 yards from MIN 35 to PIT 0. 14-K.Gainwell to PIT 24 for 24 yards (41-K.King). MIN-24-J.Ward was injured during the play.</x:v>
      </x:c>
      <x:c r="L579" t="str">
        <x:v>kickoff</x:v>
      </x:c>
      <x:c r="M579" t="n">
        <x:v>0</x:v>
      </x:c>
      <x:c r="N579" t="n">
        <x:v>0</x:v>
      </x:c>
      <x:c r="O579" t="n">
        <x:v>0</x:v>
      </x:c>
      <x:c r="P579"/>
      <x:c r="Q579"/>
      <x:c r="R579"/>
      <x:c r="S579"/>
      <x:c r="T579"/>
      <x:c r="U579"/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/>
      <x:c r="AC579" t="n">
        <x:v>0</x:v>
      </x:c>
      <x:c r="AD579" t="n">
        <x:v>-0.043680007103830576</x:v>
      </x:c>
      <x:c r="AE579" t="n">
        <x:v>0</x:v>
      </x:c>
      <x:c r="AF579" t="n">
        <x:v>0</x:v>
      </x:c>
      <x:c r="AG579" t="n">
        <x:f>_xlfn.XLOOKUP($A579,Games!$A$2:$A$18,Games!$B$2:$B$18,"Missing game",0)</x:f>
        <x:v>2025</x:v>
      </x:c>
      <x:c r="AH579" t="str">
        <x:f>_xlfn.XLOOKUP($A579,Games!$A$2:$A$18,Games!$C$2:$C$18,"Missing game",0)</x:f>
        <x:v>REG</x:v>
      </x:c>
      <x:c r="AI579" t="n">
        <x:f>_xlfn.XLOOKUP($A579,Games!$A$2:$A$18,Games!$D$2:$D$18,"Missing game",0)</x:f>
        <x:v>4</x:v>
      </x:c>
      <x:c r="AJ579" s="1" t="n">
        <x:f>_xlfn.XLOOKUP($A579,Games!$A$2:$A$18,Games!$E$2:$E$18,"Missing game",0)</x:f>
        <x:v>45928</x:v>
      </x:c>
      <x:c r="AK579" t="str">
        <x:f>_xlfn.XLOOKUP($A579,Games!$A$2:$A$18,Games!$F$2:$F$18,"Missing game",0)</x:f>
        <x:v>Sunday</x:v>
      </x:c>
      <x:c r="AL579" t="str">
        <x:f>_xlfn.XLOOKUP($A579,Games!$A$2:$A$18,Games!$G$2:$G$18,"Missing game",0)</x:f>
        <x:v>MIN</x:v>
      </x:c>
      <x:c r="AM579" t="n">
        <x:f>_xlfn.XLOOKUP($A579,Games!$A$2:$A$18,Games!$H$2:$H$18,"Missing game",0)</x:f>
        <x:v>21</x:v>
      </x:c>
      <x:c r="AN579" t="str">
        <x:f>_xlfn.XLOOKUP($A579,Games!$A$2:$A$18,Games!$I$2:$I$18,"Missing game",0)</x:f>
        <x:v>PIT</x:v>
      </x:c>
      <x:c r="AO579" t="n">
        <x:f>_xlfn.XLOOKUP($A579,Games!$A$2:$A$18,Games!$J$2:$J$18,"Missing game",0)</x:f>
        <x:v>24</x:v>
      </x:c>
      <x:c r="AP579" t="n">
        <x:f>_xlfn.XLOOKUP($A579,Games!$A$2:$A$18,Games!$K$2:$K$18,"Missing game",0)</x:f>
        <x:v>3</x:v>
      </x:c>
      <x:c r="AQ579" t="n">
        <x:f>_xlfn.XLOOKUP($A579,Games!$A$2:$A$18,Games!$L$2:$L$18,"Missing game",0)</x:f>
        <x:v>45</x:v>
      </x:c>
      <x:c r="AR579" t="n">
        <x:f>_xlfn.XLOOKUP($A579,Games!$A$2:$A$18,Games!$M$2:$M$18,"Missing game",0)</x:f>
        <x:v>0</x:v>
      </x:c>
      <x:c r="AS579" t="str">
        <x:f>_xlfn.XLOOKUP($A579,Games!$A$2:$A$18,Games!$N$2:$N$18,"Missing game",0)</x:f>
        <x:v>outdoors</x:v>
      </x:c>
      <x:c r="AT579" t="str">
        <x:f>_xlfn.XLOOKUP($A579,Games!$A$2:$A$18,Games!$O$2:$O$18,"Missing game",0)</x:f>
        <x:v>grass</x:v>
      </x:c>
      <x:c r="AU579" t="n">
        <x:f>_xlfn.XLOOKUP($A579,Games!$A$2:$A$18,Games!$P$2:$P$18,"Missing game",0)</x:f>
        <x:v>61</x:v>
      </x:c>
      <x:c r="AV579" t="n">
        <x:f>_xlfn.XLOOKUP($A579,Games!$A$2:$A$18,Games!$Q$2:$Q$18,"Missing game",0)</x:f>
        <x:v>5</x:v>
      </x:c>
      <x:c r="AW579" t="str">
        <x:f>_xlfn.XLOOKUP($A579,Games!$A$2:$A$18,Games!$R$2:$R$18,"Missing game",0)</x:f>
        <x:v>Acrisure Stadium</x:v>
      </x:c>
    </x:row>
    <x:row r="580">
      <x:c r="A580" t="str">
        <x:v>2025_04_MIN_PIT</x:v>
      </x:c>
      <x:c r="B580" t="n">
        <x:v>2005</x:v>
      </x:c>
      <x:c r="C580" t="n">
        <x:v>2</x:v>
      </x:c>
      <x:c r="D580" t="str">
        <x:v>00:06</x:v>
      </x:c>
      <x:c r="E580" t="n">
        <x:v>1</x:v>
      </x:c>
      <x:c r="F580" t="n">
        <x:v>10</x:v>
      </x:c>
      <x:c r="G580" t="str">
        <x:v>PIT</x:v>
      </x:c>
      <x:c r="H580" t="str">
        <x:v>MIN</x:v>
      </x:c>
      <x:c r="I580" t="str">
        <x:v>PIT</x:v>
      </x:c>
      <x:c r="J580" t="n">
        <x:v>76</x:v>
      </x:c>
      <x:c r="K580" t="str">
        <x:v>(:06) 8-A.Rodgers kneels to PIT 23 for -1 yards.</x:v>
      </x:c>
      <x:c r="L580" t="str">
        <x:v>qb_kneel</x:v>
      </x:c>
      <x:c r="M580" t="n">
        <x:v>-1</x:v>
      </x:c>
      <x:c r="N580" t="n">
        <x:v>0</x:v>
      </x:c>
      <x:c r="O580" t="n">
        <x:v>0</x:v>
      </x:c>
      <x:c r="P580"/>
      <x:c r="Q580"/>
      <x:c r="R580"/>
      <x:c r="S580"/>
      <x:c r="T580"/>
      <x:c r="U580"/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/>
      <x:c r="AC580" t="n">
        <x:v>0</x:v>
      </x:c>
      <x:c r="AD580" t="n">
        <x:v>0</x:v>
      </x:c>
      <x:c r="AE580" t="n">
        <x:v>0</x:v>
      </x:c>
      <x:c r="AF580"/>
      <x:c r="AG580" t="n">
        <x:f>_xlfn.XLOOKUP($A580,Games!$A$2:$A$18,Games!$B$2:$B$18,"Missing game",0)</x:f>
        <x:v>2025</x:v>
      </x:c>
      <x:c r="AH580" t="str">
        <x:f>_xlfn.XLOOKUP($A580,Games!$A$2:$A$18,Games!$C$2:$C$18,"Missing game",0)</x:f>
        <x:v>REG</x:v>
      </x:c>
      <x:c r="AI580" t="n">
        <x:f>_xlfn.XLOOKUP($A580,Games!$A$2:$A$18,Games!$D$2:$D$18,"Missing game",0)</x:f>
        <x:v>4</x:v>
      </x:c>
      <x:c r="AJ580" s="1" t="n">
        <x:f>_xlfn.XLOOKUP($A580,Games!$A$2:$A$18,Games!$E$2:$E$18,"Missing game",0)</x:f>
        <x:v>45928</x:v>
      </x:c>
      <x:c r="AK580" t="str">
        <x:f>_xlfn.XLOOKUP($A580,Games!$A$2:$A$18,Games!$F$2:$F$18,"Missing game",0)</x:f>
        <x:v>Sunday</x:v>
      </x:c>
      <x:c r="AL580" t="str">
        <x:f>_xlfn.XLOOKUP($A580,Games!$A$2:$A$18,Games!$G$2:$G$18,"Missing game",0)</x:f>
        <x:v>MIN</x:v>
      </x:c>
      <x:c r="AM580" t="n">
        <x:f>_xlfn.XLOOKUP($A580,Games!$A$2:$A$18,Games!$H$2:$H$18,"Missing game",0)</x:f>
        <x:v>21</x:v>
      </x:c>
      <x:c r="AN580" t="str">
        <x:f>_xlfn.XLOOKUP($A580,Games!$A$2:$A$18,Games!$I$2:$I$18,"Missing game",0)</x:f>
        <x:v>PIT</x:v>
      </x:c>
      <x:c r="AO580" t="n">
        <x:f>_xlfn.XLOOKUP($A580,Games!$A$2:$A$18,Games!$J$2:$J$18,"Missing game",0)</x:f>
        <x:v>24</x:v>
      </x:c>
      <x:c r="AP580" t="n">
        <x:f>_xlfn.XLOOKUP($A580,Games!$A$2:$A$18,Games!$K$2:$K$18,"Missing game",0)</x:f>
        <x:v>3</x:v>
      </x:c>
      <x:c r="AQ580" t="n">
        <x:f>_xlfn.XLOOKUP($A580,Games!$A$2:$A$18,Games!$L$2:$L$18,"Missing game",0)</x:f>
        <x:v>45</x:v>
      </x:c>
      <x:c r="AR580" t="n">
        <x:f>_xlfn.XLOOKUP($A580,Games!$A$2:$A$18,Games!$M$2:$M$18,"Missing game",0)</x:f>
        <x:v>0</x:v>
      </x:c>
      <x:c r="AS580" t="str">
        <x:f>_xlfn.XLOOKUP($A580,Games!$A$2:$A$18,Games!$N$2:$N$18,"Missing game",0)</x:f>
        <x:v>outdoors</x:v>
      </x:c>
      <x:c r="AT580" t="str">
        <x:f>_xlfn.XLOOKUP($A580,Games!$A$2:$A$18,Games!$O$2:$O$18,"Missing game",0)</x:f>
        <x:v>grass</x:v>
      </x:c>
      <x:c r="AU580" t="n">
        <x:f>_xlfn.XLOOKUP($A580,Games!$A$2:$A$18,Games!$P$2:$P$18,"Missing game",0)</x:f>
        <x:v>61</x:v>
      </x:c>
      <x:c r="AV580" t="n">
        <x:f>_xlfn.XLOOKUP($A580,Games!$A$2:$A$18,Games!$Q$2:$Q$18,"Missing game",0)</x:f>
        <x:v>5</x:v>
      </x:c>
      <x:c r="AW580" t="str">
        <x:f>_xlfn.XLOOKUP($A580,Games!$A$2:$A$18,Games!$R$2:$R$18,"Missing game",0)</x:f>
        <x:v>Acrisure Stadium</x:v>
      </x:c>
    </x:row>
    <x:row r="581">
      <x:c r="A581" t="str">
        <x:v>2025_04_MIN_PIT</x:v>
      </x:c>
      <x:c r="B581" t="n">
        <x:v>2027</x:v>
      </x:c>
      <x:c r="C581" t="n">
        <x:v>2</x:v>
      </x:c>
      <x:c r="D581" t="str">
        <x:v>00:00</x:v>
      </x:c>
      <x:c r="E581"/>
      <x:c r="F581" t="n">
        <x:v>0</x:v>
      </x:c>
      <x:c r="G581"/>
      <x:c r="H581"/>
      <x:c r="I581"/>
      <x:c r="J581"/>
      <x:c r="K581" t="str">
        <x:v>END QUARTER 2</x:v>
      </x:c>
      <x:c r="L581"/>
      <x:c r="M581"/>
      <x:c r="N581" t="n">
        <x:v>0</x:v>
      </x:c>
      <x:c r="O581" t="n">
        <x:v>0</x:v>
      </x:c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 t="n">
        <x:v>0</x:v>
      </x:c>
      <x:c r="AG581" t="n">
        <x:f>_xlfn.XLOOKUP($A581,Games!$A$2:$A$18,Games!$B$2:$B$18,"Missing game",0)</x:f>
        <x:v>2025</x:v>
      </x:c>
      <x:c r="AH581" t="str">
        <x:f>_xlfn.XLOOKUP($A581,Games!$A$2:$A$18,Games!$C$2:$C$18,"Missing game",0)</x:f>
        <x:v>REG</x:v>
      </x:c>
      <x:c r="AI581" t="n">
        <x:f>_xlfn.XLOOKUP($A581,Games!$A$2:$A$18,Games!$D$2:$D$18,"Missing game",0)</x:f>
        <x:v>4</x:v>
      </x:c>
      <x:c r="AJ581" s="1" t="n">
        <x:f>_xlfn.XLOOKUP($A581,Games!$A$2:$A$18,Games!$E$2:$E$18,"Missing game",0)</x:f>
        <x:v>45928</x:v>
      </x:c>
      <x:c r="AK581" t="str">
        <x:f>_xlfn.XLOOKUP($A581,Games!$A$2:$A$18,Games!$F$2:$F$18,"Missing game",0)</x:f>
        <x:v>Sunday</x:v>
      </x:c>
      <x:c r="AL581" t="str">
        <x:f>_xlfn.XLOOKUP($A581,Games!$A$2:$A$18,Games!$G$2:$G$18,"Missing game",0)</x:f>
        <x:v>MIN</x:v>
      </x:c>
      <x:c r="AM581" t="n">
        <x:f>_xlfn.XLOOKUP($A581,Games!$A$2:$A$18,Games!$H$2:$H$18,"Missing game",0)</x:f>
        <x:v>21</x:v>
      </x:c>
      <x:c r="AN581" t="str">
        <x:f>_xlfn.XLOOKUP($A581,Games!$A$2:$A$18,Games!$I$2:$I$18,"Missing game",0)</x:f>
        <x:v>PIT</x:v>
      </x:c>
      <x:c r="AO581" t="n">
        <x:f>_xlfn.XLOOKUP($A581,Games!$A$2:$A$18,Games!$J$2:$J$18,"Missing game",0)</x:f>
        <x:v>24</x:v>
      </x:c>
      <x:c r="AP581" t="n">
        <x:f>_xlfn.XLOOKUP($A581,Games!$A$2:$A$18,Games!$K$2:$K$18,"Missing game",0)</x:f>
        <x:v>3</x:v>
      </x:c>
      <x:c r="AQ581" t="n">
        <x:f>_xlfn.XLOOKUP($A581,Games!$A$2:$A$18,Games!$L$2:$L$18,"Missing game",0)</x:f>
        <x:v>45</x:v>
      </x:c>
      <x:c r="AR581" t="n">
        <x:f>_xlfn.XLOOKUP($A581,Games!$A$2:$A$18,Games!$M$2:$M$18,"Missing game",0)</x:f>
        <x:v>0</x:v>
      </x:c>
      <x:c r="AS581" t="str">
        <x:f>_xlfn.XLOOKUP($A581,Games!$A$2:$A$18,Games!$N$2:$N$18,"Missing game",0)</x:f>
        <x:v>outdoors</x:v>
      </x:c>
      <x:c r="AT581" t="str">
        <x:f>_xlfn.XLOOKUP($A581,Games!$A$2:$A$18,Games!$O$2:$O$18,"Missing game",0)</x:f>
        <x:v>grass</x:v>
      </x:c>
      <x:c r="AU581" t="n">
        <x:f>_xlfn.XLOOKUP($A581,Games!$A$2:$A$18,Games!$P$2:$P$18,"Missing game",0)</x:f>
        <x:v>61</x:v>
      </x:c>
      <x:c r="AV581" t="n">
        <x:f>_xlfn.XLOOKUP($A581,Games!$A$2:$A$18,Games!$Q$2:$Q$18,"Missing game",0)</x:f>
        <x:v>5</x:v>
      </x:c>
      <x:c r="AW581" t="str">
        <x:f>_xlfn.XLOOKUP($A581,Games!$A$2:$A$18,Games!$R$2:$R$18,"Missing game",0)</x:f>
        <x:v>Acrisure Stadium</x:v>
      </x:c>
    </x:row>
    <x:row r="582">
      <x:c r="A582" t="str">
        <x:v>2025_04_MIN_PIT</x:v>
      </x:c>
      <x:c r="B582" t="n">
        <x:v>2050</x:v>
      </x:c>
      <x:c r="C582" t="n">
        <x:v>3</x:v>
      </x:c>
      <x:c r="D582" t="str">
        <x:v>15:00</x:v>
      </x:c>
      <x:c r="E582"/>
      <x:c r="F582" t="n">
        <x:v>0</x:v>
      </x:c>
      <x:c r="G582" t="str">
        <x:v>MIN</x:v>
      </x:c>
      <x:c r="H582" t="str">
        <x:v>PIT</x:v>
      </x:c>
      <x:c r="I582" t="str">
        <x:v>PIT</x:v>
      </x:c>
      <x:c r="J582" t="n">
        <x:v>35</x:v>
      </x:c>
      <x:c r="K582" t="str">
        <x:v>9-C.Boswell kicks 61 yards from PIT 35 to MIN 4. 4-M.Price to MIN 32 for 28 yards (55-C.Holcomb). ** Injury Update: MIN-24-J.Ward has returned to the game.</x:v>
      </x:c>
      <x:c r="L582" t="str">
        <x:v>kickoff</x:v>
      </x:c>
      <x:c r="M582" t="n">
        <x:v>0</x:v>
      </x:c>
      <x:c r="N582" t="n">
        <x:v>0</x:v>
      </x:c>
      <x:c r="O582" t="n">
        <x:v>0</x:v>
      </x:c>
      <x:c r="P582"/>
      <x:c r="Q582"/>
      <x:c r="R582"/>
      <x:c r="S582"/>
      <x:c r="T582"/>
      <x:c r="U582"/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/>
      <x:c r="AC582" t="n">
        <x:v>0</x:v>
      </x:c>
      <x:c r="AD582" t="n">
        <x:v>0.5204916815273464</x:v>
      </x:c>
      <x:c r="AE582" t="n">
        <x:v>1</x:v>
      </x:c>
      <x:c r="AF582" t="n">
        <x:v>0.004367634654045105</x:v>
      </x:c>
      <x:c r="AG582" t="n">
        <x:f>_xlfn.XLOOKUP($A582,Games!$A$2:$A$18,Games!$B$2:$B$18,"Missing game",0)</x:f>
        <x:v>2025</x:v>
      </x:c>
      <x:c r="AH582" t="str">
        <x:f>_xlfn.XLOOKUP($A582,Games!$A$2:$A$18,Games!$C$2:$C$18,"Missing game",0)</x:f>
        <x:v>REG</x:v>
      </x:c>
      <x:c r="AI582" t="n">
        <x:f>_xlfn.XLOOKUP($A582,Games!$A$2:$A$18,Games!$D$2:$D$18,"Missing game",0)</x:f>
        <x:v>4</x:v>
      </x:c>
      <x:c r="AJ582" s="1" t="n">
        <x:f>_xlfn.XLOOKUP($A582,Games!$A$2:$A$18,Games!$E$2:$E$18,"Missing game",0)</x:f>
        <x:v>45928</x:v>
      </x:c>
      <x:c r="AK582" t="str">
        <x:f>_xlfn.XLOOKUP($A582,Games!$A$2:$A$18,Games!$F$2:$F$18,"Missing game",0)</x:f>
        <x:v>Sunday</x:v>
      </x:c>
      <x:c r="AL582" t="str">
        <x:f>_xlfn.XLOOKUP($A582,Games!$A$2:$A$18,Games!$G$2:$G$18,"Missing game",0)</x:f>
        <x:v>MIN</x:v>
      </x:c>
      <x:c r="AM582" t="n">
        <x:f>_xlfn.XLOOKUP($A582,Games!$A$2:$A$18,Games!$H$2:$H$18,"Missing game",0)</x:f>
        <x:v>21</x:v>
      </x:c>
      <x:c r="AN582" t="str">
        <x:f>_xlfn.XLOOKUP($A582,Games!$A$2:$A$18,Games!$I$2:$I$18,"Missing game",0)</x:f>
        <x:v>PIT</x:v>
      </x:c>
      <x:c r="AO582" t="n">
        <x:f>_xlfn.XLOOKUP($A582,Games!$A$2:$A$18,Games!$J$2:$J$18,"Missing game",0)</x:f>
        <x:v>24</x:v>
      </x:c>
      <x:c r="AP582" t="n">
        <x:f>_xlfn.XLOOKUP($A582,Games!$A$2:$A$18,Games!$K$2:$K$18,"Missing game",0)</x:f>
        <x:v>3</x:v>
      </x:c>
      <x:c r="AQ582" t="n">
        <x:f>_xlfn.XLOOKUP($A582,Games!$A$2:$A$18,Games!$L$2:$L$18,"Missing game",0)</x:f>
        <x:v>45</x:v>
      </x:c>
      <x:c r="AR582" t="n">
        <x:f>_xlfn.XLOOKUP($A582,Games!$A$2:$A$18,Games!$M$2:$M$18,"Missing game",0)</x:f>
        <x:v>0</x:v>
      </x:c>
      <x:c r="AS582" t="str">
        <x:f>_xlfn.XLOOKUP($A582,Games!$A$2:$A$18,Games!$N$2:$N$18,"Missing game",0)</x:f>
        <x:v>outdoors</x:v>
      </x:c>
      <x:c r="AT582" t="str">
        <x:f>_xlfn.XLOOKUP($A582,Games!$A$2:$A$18,Games!$O$2:$O$18,"Missing game",0)</x:f>
        <x:v>grass</x:v>
      </x:c>
      <x:c r="AU582" t="n">
        <x:f>_xlfn.XLOOKUP($A582,Games!$A$2:$A$18,Games!$P$2:$P$18,"Missing game",0)</x:f>
        <x:v>61</x:v>
      </x:c>
      <x:c r="AV582" t="n">
        <x:f>_xlfn.XLOOKUP($A582,Games!$A$2:$A$18,Games!$Q$2:$Q$18,"Missing game",0)</x:f>
        <x:v>5</x:v>
      </x:c>
      <x:c r="AW582" t="str">
        <x:f>_xlfn.XLOOKUP($A582,Games!$A$2:$A$18,Games!$R$2:$R$18,"Missing game",0)</x:f>
        <x:v>Acrisure Stadium</x:v>
      </x:c>
    </x:row>
    <x:row r="583">
      <x:c r="A583" t="str">
        <x:v>2025_04_MIN_PIT</x:v>
      </x:c>
      <x:c r="B583" t="n">
        <x:v>2078</x:v>
      </x:c>
      <x:c r="C583" t="n">
        <x:v>3</x:v>
      </x:c>
      <x:c r="D583" t="str">
        <x:v>14:54</x:v>
      </x:c>
      <x:c r="E583" t="n">
        <x:v>1</x:v>
      </x:c>
      <x:c r="F583" t="n">
        <x:v>10</x:v>
      </x:c>
      <x:c r="G583" t="str">
        <x:v>MIN</x:v>
      </x:c>
      <x:c r="H583" t="str">
        <x:v>PIT</x:v>
      </x:c>
      <x:c r="I583" t="str">
        <x:v>MIN</x:v>
      </x:c>
      <x:c r="J583" t="n">
        <x:v>68</x:v>
      </x:c>
      <x:c r="K583" t="str">
        <x:v>(14:54) 27-J.Mason right guard to MIN 35 for 3 yards (95-K.Benton; 5-J.Ramsey).</x:v>
      </x:c>
      <x:c r="L583" t="str">
        <x:v>run</x:v>
      </x:c>
      <x:c r="M583" t="n">
        <x:v>3</x:v>
      </x:c>
      <x:c r="N583" t="n">
        <x:v>0</x:v>
      </x:c>
      <x:c r="O583" t="n">
        <x:v>0</x:v>
      </x:c>
      <x:c r="P583"/>
      <x:c r="Q583"/>
      <x:c r="R583"/>
      <x:c r="S583"/>
      <x:c r="T583" t="str">
        <x:v>right</x:v>
      </x:c>
      <x:c r="U583" t="str">
        <x:v>guard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/>
      <x:c r="AC583" t="n">
        <x:v>0</x:v>
      </x:c>
      <x:c r="AD583" t="n">
        <x:v>-0.4132848856970668</x:v>
      </x:c>
      <x:c r="AE583" t="n">
        <x:v>0</x:v>
      </x:c>
      <x:c r="AF583" t="n">
        <x:v>-0.006758391857147217</x:v>
      </x:c>
      <x:c r="AG583" t="n">
        <x:f>_xlfn.XLOOKUP($A583,Games!$A$2:$A$18,Games!$B$2:$B$18,"Missing game",0)</x:f>
        <x:v>2025</x:v>
      </x:c>
      <x:c r="AH583" t="str">
        <x:f>_xlfn.XLOOKUP($A583,Games!$A$2:$A$18,Games!$C$2:$C$18,"Missing game",0)</x:f>
        <x:v>REG</x:v>
      </x:c>
      <x:c r="AI583" t="n">
        <x:f>_xlfn.XLOOKUP($A583,Games!$A$2:$A$18,Games!$D$2:$D$18,"Missing game",0)</x:f>
        <x:v>4</x:v>
      </x:c>
      <x:c r="AJ583" s="1" t="n">
        <x:f>_xlfn.XLOOKUP($A583,Games!$A$2:$A$18,Games!$E$2:$E$18,"Missing game",0)</x:f>
        <x:v>45928</x:v>
      </x:c>
      <x:c r="AK583" t="str">
        <x:f>_xlfn.XLOOKUP($A583,Games!$A$2:$A$18,Games!$F$2:$F$18,"Missing game",0)</x:f>
        <x:v>Sunday</x:v>
      </x:c>
      <x:c r="AL583" t="str">
        <x:f>_xlfn.XLOOKUP($A583,Games!$A$2:$A$18,Games!$G$2:$G$18,"Missing game",0)</x:f>
        <x:v>MIN</x:v>
      </x:c>
      <x:c r="AM583" t="n">
        <x:f>_xlfn.XLOOKUP($A583,Games!$A$2:$A$18,Games!$H$2:$H$18,"Missing game",0)</x:f>
        <x:v>21</x:v>
      </x:c>
      <x:c r="AN583" t="str">
        <x:f>_xlfn.XLOOKUP($A583,Games!$A$2:$A$18,Games!$I$2:$I$18,"Missing game",0)</x:f>
        <x:v>PIT</x:v>
      </x:c>
      <x:c r="AO583" t="n">
        <x:f>_xlfn.XLOOKUP($A583,Games!$A$2:$A$18,Games!$J$2:$J$18,"Missing game",0)</x:f>
        <x:v>24</x:v>
      </x:c>
      <x:c r="AP583" t="n">
        <x:f>_xlfn.XLOOKUP($A583,Games!$A$2:$A$18,Games!$K$2:$K$18,"Missing game",0)</x:f>
        <x:v>3</x:v>
      </x:c>
      <x:c r="AQ583" t="n">
        <x:f>_xlfn.XLOOKUP($A583,Games!$A$2:$A$18,Games!$L$2:$L$18,"Missing game",0)</x:f>
        <x:v>45</x:v>
      </x:c>
      <x:c r="AR583" t="n">
        <x:f>_xlfn.XLOOKUP($A583,Games!$A$2:$A$18,Games!$M$2:$M$18,"Missing game",0)</x:f>
        <x:v>0</x:v>
      </x:c>
      <x:c r="AS583" t="str">
        <x:f>_xlfn.XLOOKUP($A583,Games!$A$2:$A$18,Games!$N$2:$N$18,"Missing game",0)</x:f>
        <x:v>outdoors</x:v>
      </x:c>
      <x:c r="AT583" t="str">
        <x:f>_xlfn.XLOOKUP($A583,Games!$A$2:$A$18,Games!$O$2:$O$18,"Missing game",0)</x:f>
        <x:v>grass</x:v>
      </x:c>
      <x:c r="AU583" t="n">
        <x:f>_xlfn.XLOOKUP($A583,Games!$A$2:$A$18,Games!$P$2:$P$18,"Missing game",0)</x:f>
        <x:v>61</x:v>
      </x:c>
      <x:c r="AV583" t="n">
        <x:f>_xlfn.XLOOKUP($A583,Games!$A$2:$A$18,Games!$Q$2:$Q$18,"Missing game",0)</x:f>
        <x:v>5</x:v>
      </x:c>
      <x:c r="AW583" t="str">
        <x:f>_xlfn.XLOOKUP($A583,Games!$A$2:$A$18,Games!$R$2:$R$18,"Missing game",0)</x:f>
        <x:v>Acrisure Stadium</x:v>
      </x:c>
    </x:row>
    <x:row r="584">
      <x:c r="A584" t="str">
        <x:v>2025_04_MIN_PIT</x:v>
      </x:c>
      <x:c r="B584" t="n">
        <x:v>2103</x:v>
      </x:c>
      <x:c r="C584" t="n">
        <x:v>3</x:v>
      </x:c>
      <x:c r="D584" t="str">
        <x:v>14:19</x:v>
      </x:c>
      <x:c r="E584" t="n">
        <x:v>2</x:v>
      </x:c>
      <x:c r="F584" t="n">
        <x:v>7</x:v>
      </x:c>
      <x:c r="G584" t="str">
        <x:v>MIN</x:v>
      </x:c>
      <x:c r="H584" t="str">
        <x:v>PIT</x:v>
      </x:c>
      <x:c r="I584" t="str">
        <x:v>MIN</x:v>
      </x:c>
      <x:c r="J584" t="n">
        <x:v>65</x:v>
      </x:c>
      <x:c r="K584" t="str">
        <x:v>(14:19) (Shotgun) 11-C.Wentz pass short left to 27-J.Mason to MIN 31 for -4 yards (41-P.Wilson).</x:v>
      </x:c>
      <x:c r="L584" t="str">
        <x:v>pass</x:v>
      </x:c>
      <x:c r="M584" t="n">
        <x:v>-4</x:v>
      </x:c>
      <x:c r="N584" t="n">
        <x:v>1</x:v>
      </x:c>
      <x:c r="O584" t="n">
        <x:v>0</x:v>
      </x:c>
      <x:c r="P584" t="str">
        <x:v>short</x:v>
      </x:c>
      <x:c r="Q584" t="str">
        <x:v>left</x:v>
      </x:c>
      <x:c r="R584" t="n">
        <x:v>-5</x:v>
      </x:c>
      <x:c r="S584" t="n">
        <x:v>1</x:v>
      </x:c>
      <x:c r="T584"/>
      <x:c r="U584"/>
      <x:c r="V584" t="n">
        <x:v>1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/>
      <x:c r="AC584" t="n">
        <x:v>0</x:v>
      </x:c>
      <x:c r="AD584" t="n">
        <x:v>-1.2689691744744778</x:v>
      </x:c>
      <x:c r="AE584" t="n">
        <x:v>0</x:v>
      </x:c>
      <x:c r="AF584" t="n">
        <x:v>-0.031240731477737427</x:v>
      </x:c>
      <x:c r="AG584" t="n">
        <x:f>_xlfn.XLOOKUP($A584,Games!$A$2:$A$18,Games!$B$2:$B$18,"Missing game",0)</x:f>
        <x:v>2025</x:v>
      </x:c>
      <x:c r="AH584" t="str">
        <x:f>_xlfn.XLOOKUP($A584,Games!$A$2:$A$18,Games!$C$2:$C$18,"Missing game",0)</x:f>
        <x:v>REG</x:v>
      </x:c>
      <x:c r="AI584" t="n">
        <x:f>_xlfn.XLOOKUP($A584,Games!$A$2:$A$18,Games!$D$2:$D$18,"Missing game",0)</x:f>
        <x:v>4</x:v>
      </x:c>
      <x:c r="AJ584" s="1" t="n">
        <x:f>_xlfn.XLOOKUP($A584,Games!$A$2:$A$18,Games!$E$2:$E$18,"Missing game",0)</x:f>
        <x:v>45928</x:v>
      </x:c>
      <x:c r="AK584" t="str">
        <x:f>_xlfn.XLOOKUP($A584,Games!$A$2:$A$18,Games!$F$2:$F$18,"Missing game",0)</x:f>
        <x:v>Sunday</x:v>
      </x:c>
      <x:c r="AL584" t="str">
        <x:f>_xlfn.XLOOKUP($A584,Games!$A$2:$A$18,Games!$G$2:$G$18,"Missing game",0)</x:f>
        <x:v>MIN</x:v>
      </x:c>
      <x:c r="AM584" t="n">
        <x:f>_xlfn.XLOOKUP($A584,Games!$A$2:$A$18,Games!$H$2:$H$18,"Missing game",0)</x:f>
        <x:v>21</x:v>
      </x:c>
      <x:c r="AN584" t="str">
        <x:f>_xlfn.XLOOKUP($A584,Games!$A$2:$A$18,Games!$I$2:$I$18,"Missing game",0)</x:f>
        <x:v>PIT</x:v>
      </x:c>
      <x:c r="AO584" t="n">
        <x:f>_xlfn.XLOOKUP($A584,Games!$A$2:$A$18,Games!$J$2:$J$18,"Missing game",0)</x:f>
        <x:v>24</x:v>
      </x:c>
      <x:c r="AP584" t="n">
        <x:f>_xlfn.XLOOKUP($A584,Games!$A$2:$A$18,Games!$K$2:$K$18,"Missing game",0)</x:f>
        <x:v>3</x:v>
      </x:c>
      <x:c r="AQ584" t="n">
        <x:f>_xlfn.XLOOKUP($A584,Games!$A$2:$A$18,Games!$L$2:$L$18,"Missing game",0)</x:f>
        <x:v>45</x:v>
      </x:c>
      <x:c r="AR584" t="n">
        <x:f>_xlfn.XLOOKUP($A584,Games!$A$2:$A$18,Games!$M$2:$M$18,"Missing game",0)</x:f>
        <x:v>0</x:v>
      </x:c>
      <x:c r="AS584" t="str">
        <x:f>_xlfn.XLOOKUP($A584,Games!$A$2:$A$18,Games!$N$2:$N$18,"Missing game",0)</x:f>
        <x:v>outdoors</x:v>
      </x:c>
      <x:c r="AT584" t="str">
        <x:f>_xlfn.XLOOKUP($A584,Games!$A$2:$A$18,Games!$O$2:$O$18,"Missing game",0)</x:f>
        <x:v>grass</x:v>
      </x:c>
      <x:c r="AU584" t="n">
        <x:f>_xlfn.XLOOKUP($A584,Games!$A$2:$A$18,Games!$P$2:$P$18,"Missing game",0)</x:f>
        <x:v>61</x:v>
      </x:c>
      <x:c r="AV584" t="n">
        <x:f>_xlfn.XLOOKUP($A584,Games!$A$2:$A$18,Games!$Q$2:$Q$18,"Missing game",0)</x:f>
        <x:v>5</x:v>
      </x:c>
      <x:c r="AW584" t="str">
        <x:f>_xlfn.XLOOKUP($A584,Games!$A$2:$A$18,Games!$R$2:$R$18,"Missing game",0)</x:f>
        <x:v>Acrisure Stadium</x:v>
      </x:c>
    </x:row>
    <x:row r="585">
      <x:c r="A585" t="str">
        <x:v>2025_04_MIN_PIT</x:v>
      </x:c>
      <x:c r="B585" t="n">
        <x:v>2128</x:v>
      </x:c>
      <x:c r="C585" t="n">
        <x:v>3</x:v>
      </x:c>
      <x:c r="D585" t="str">
        <x:v>13:41</x:v>
      </x:c>
      <x:c r="E585" t="n">
        <x:v>3</x:v>
      </x:c>
      <x:c r="F585" t="n">
        <x:v>11</x:v>
      </x:c>
      <x:c r="G585" t="str">
        <x:v>MIN</x:v>
      </x:c>
      <x:c r="H585" t="str">
        <x:v>PIT</x:v>
      </x:c>
      <x:c r="I585" t="str">
        <x:v>MIN</x:v>
      </x:c>
      <x:c r="J585" t="n">
        <x:v>69</x:v>
      </x:c>
      <x:c r="K585" t="str">
        <x:v>(13:41) (Shotgun) 11-C.Wentz sacked at MIN 23 for -8 yards (sack split by 95-K.Benton and 51-N.Herbig). Penalty on MIN-27-J.Mason, Offensive Holding, declined.</x:v>
      </x:c>
      <x:c r="L585" t="str">
        <x:v>pass</x:v>
      </x:c>
      <x:c r="M585" t="n">
        <x:v>-8</x:v>
      </x:c>
      <x:c r="N585" t="n">
        <x:v>1</x:v>
      </x:c>
      <x:c r="O585" t="n">
        <x:v>0</x:v>
      </x:c>
      <x:c r="P585"/>
      <x:c r="Q585"/>
      <x:c r="R585"/>
      <x:c r="S585"/>
      <x:c r="T585"/>
      <x:c r="U585"/>
      <x:c r="V585" t="n">
        <x:v>0</x:v>
      </x:c>
      <x:c r="W585" t="n">
        <x:v>0</x:v>
      </x:c>
      <x:c r="X585" t="n">
        <x:v>1</x:v>
      </x:c>
      <x:c r="Y585" t="n">
        <x:v>0</x:v>
      </x:c>
      <x:c r="Z585" t="n">
        <x:v>0</x:v>
      </x:c>
      <x:c r="AA585" t="n">
        <x:v>0</x:v>
      </x:c>
      <x:c r="AB585"/>
      <x:c r="AC585" t="n">
        <x:v>0</x:v>
      </x:c>
      <x:c r="AD585" t="n">
        <x:v>-1.8661955571733415</x:v>
      </x:c>
      <x:c r="AE585" t="n">
        <x:v>0</x:v>
      </x:c>
      <x:c r="AF585" t="n">
        <x:v>-0.03358431160449982</x:v>
      </x:c>
      <x:c r="AG585" t="n">
        <x:f>_xlfn.XLOOKUP($A585,Games!$A$2:$A$18,Games!$B$2:$B$18,"Missing game",0)</x:f>
        <x:v>2025</x:v>
      </x:c>
      <x:c r="AH585" t="str">
        <x:f>_xlfn.XLOOKUP($A585,Games!$A$2:$A$18,Games!$C$2:$C$18,"Missing game",0)</x:f>
        <x:v>REG</x:v>
      </x:c>
      <x:c r="AI585" t="n">
        <x:f>_xlfn.XLOOKUP($A585,Games!$A$2:$A$18,Games!$D$2:$D$18,"Missing game",0)</x:f>
        <x:v>4</x:v>
      </x:c>
      <x:c r="AJ585" s="1" t="n">
        <x:f>_xlfn.XLOOKUP($A585,Games!$A$2:$A$18,Games!$E$2:$E$18,"Missing game",0)</x:f>
        <x:v>45928</x:v>
      </x:c>
      <x:c r="AK585" t="str">
        <x:f>_xlfn.XLOOKUP($A585,Games!$A$2:$A$18,Games!$F$2:$F$18,"Missing game",0)</x:f>
        <x:v>Sunday</x:v>
      </x:c>
      <x:c r="AL585" t="str">
        <x:f>_xlfn.XLOOKUP($A585,Games!$A$2:$A$18,Games!$G$2:$G$18,"Missing game",0)</x:f>
        <x:v>MIN</x:v>
      </x:c>
      <x:c r="AM585" t="n">
        <x:f>_xlfn.XLOOKUP($A585,Games!$A$2:$A$18,Games!$H$2:$H$18,"Missing game",0)</x:f>
        <x:v>21</x:v>
      </x:c>
      <x:c r="AN585" t="str">
        <x:f>_xlfn.XLOOKUP($A585,Games!$A$2:$A$18,Games!$I$2:$I$18,"Missing game",0)</x:f>
        <x:v>PIT</x:v>
      </x:c>
      <x:c r="AO585" t="n">
        <x:f>_xlfn.XLOOKUP($A585,Games!$A$2:$A$18,Games!$J$2:$J$18,"Missing game",0)</x:f>
        <x:v>24</x:v>
      </x:c>
      <x:c r="AP585" t="n">
        <x:f>_xlfn.XLOOKUP($A585,Games!$A$2:$A$18,Games!$K$2:$K$18,"Missing game",0)</x:f>
        <x:v>3</x:v>
      </x:c>
      <x:c r="AQ585" t="n">
        <x:f>_xlfn.XLOOKUP($A585,Games!$A$2:$A$18,Games!$L$2:$L$18,"Missing game",0)</x:f>
        <x:v>45</x:v>
      </x:c>
      <x:c r="AR585" t="n">
        <x:f>_xlfn.XLOOKUP($A585,Games!$A$2:$A$18,Games!$M$2:$M$18,"Missing game",0)</x:f>
        <x:v>0</x:v>
      </x:c>
      <x:c r="AS585" t="str">
        <x:f>_xlfn.XLOOKUP($A585,Games!$A$2:$A$18,Games!$N$2:$N$18,"Missing game",0)</x:f>
        <x:v>outdoors</x:v>
      </x:c>
      <x:c r="AT585" t="str">
        <x:f>_xlfn.XLOOKUP($A585,Games!$A$2:$A$18,Games!$O$2:$O$18,"Missing game",0)</x:f>
        <x:v>grass</x:v>
      </x:c>
      <x:c r="AU585" t="n">
        <x:f>_xlfn.XLOOKUP($A585,Games!$A$2:$A$18,Games!$P$2:$P$18,"Missing game",0)</x:f>
        <x:v>61</x:v>
      </x:c>
      <x:c r="AV585" t="n">
        <x:f>_xlfn.XLOOKUP($A585,Games!$A$2:$A$18,Games!$Q$2:$Q$18,"Missing game",0)</x:f>
        <x:v>5</x:v>
      </x:c>
      <x:c r="AW585" t="str">
        <x:f>_xlfn.XLOOKUP($A585,Games!$A$2:$A$18,Games!$R$2:$R$18,"Missing game",0)</x:f>
        <x:v>Acrisure Stadium</x:v>
      </x:c>
    </x:row>
    <x:row r="586">
      <x:c r="A586" t="str">
        <x:v>2025_04_MIN_PIT</x:v>
      </x:c>
      <x:c r="B586" t="n">
        <x:v>2159</x:v>
      </x:c>
      <x:c r="C586" t="n">
        <x:v>3</x:v>
      </x:c>
      <x:c r="D586" t="str">
        <x:v>13:18</x:v>
      </x:c>
      <x:c r="E586" t="n">
        <x:v>4</x:v>
      </x:c>
      <x:c r="F586" t="n">
        <x:v>19</x:v>
      </x:c>
      <x:c r="G586" t="str">
        <x:v>MIN</x:v>
      </x:c>
      <x:c r="H586" t="str">
        <x:v>PIT</x:v>
      </x:c>
      <x:c r="I586" t="str">
        <x:v>MIN</x:v>
      </x:c>
      <x:c r="J586" t="n">
        <x:v>77</x:v>
      </x:c>
      <x:c r="K586" t="str">
        <x:v>(13:18) 17-R.Wright punts 48 yards to PIT 29, Center-42-A.DePaola. 19-C.Austin to PIT 26 for -3 yards (13-T.Felton; 37-T.Thomas).</x:v>
      </x:c>
      <x:c r="L586" t="str">
        <x:v>punt</x:v>
      </x:c>
      <x:c r="M586" t="n">
        <x:v>0</x:v>
      </x:c>
      <x:c r="N586" t="n">
        <x:v>0</x:v>
      </x:c>
      <x:c r="O586" t="n">
        <x:v>0</x:v>
      </x:c>
      <x:c r="P586"/>
      <x:c r="Q586"/>
      <x:c r="R586"/>
      <x:c r="S586"/>
      <x:c r="T586"/>
      <x:c r="U586"/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/>
      <x:c r="AC586" t="n">
        <x:v>0</x:v>
      </x:c>
      <x:c r="AD586" t="n">
        <x:v>1.3419340229593217</x:v>
      </x:c>
      <x:c r="AE586" t="n">
        <x:v>1</x:v>
      </x:c>
      <x:c r="AF586" t="n">
        <x:v>0.012650176882743835</x:v>
      </x:c>
      <x:c r="AG586" t="n">
        <x:f>_xlfn.XLOOKUP($A586,Games!$A$2:$A$18,Games!$B$2:$B$18,"Missing game",0)</x:f>
        <x:v>2025</x:v>
      </x:c>
      <x:c r="AH586" t="str">
        <x:f>_xlfn.XLOOKUP($A586,Games!$A$2:$A$18,Games!$C$2:$C$18,"Missing game",0)</x:f>
        <x:v>REG</x:v>
      </x:c>
      <x:c r="AI586" t="n">
        <x:f>_xlfn.XLOOKUP($A586,Games!$A$2:$A$18,Games!$D$2:$D$18,"Missing game",0)</x:f>
        <x:v>4</x:v>
      </x:c>
      <x:c r="AJ586" s="1" t="n">
        <x:f>_xlfn.XLOOKUP($A586,Games!$A$2:$A$18,Games!$E$2:$E$18,"Missing game",0)</x:f>
        <x:v>45928</x:v>
      </x:c>
      <x:c r="AK586" t="str">
        <x:f>_xlfn.XLOOKUP($A586,Games!$A$2:$A$18,Games!$F$2:$F$18,"Missing game",0)</x:f>
        <x:v>Sunday</x:v>
      </x:c>
      <x:c r="AL586" t="str">
        <x:f>_xlfn.XLOOKUP($A586,Games!$A$2:$A$18,Games!$G$2:$G$18,"Missing game",0)</x:f>
        <x:v>MIN</x:v>
      </x:c>
      <x:c r="AM586" t="n">
        <x:f>_xlfn.XLOOKUP($A586,Games!$A$2:$A$18,Games!$H$2:$H$18,"Missing game",0)</x:f>
        <x:v>21</x:v>
      </x:c>
      <x:c r="AN586" t="str">
        <x:f>_xlfn.XLOOKUP($A586,Games!$A$2:$A$18,Games!$I$2:$I$18,"Missing game",0)</x:f>
        <x:v>PIT</x:v>
      </x:c>
      <x:c r="AO586" t="n">
        <x:f>_xlfn.XLOOKUP($A586,Games!$A$2:$A$18,Games!$J$2:$J$18,"Missing game",0)</x:f>
        <x:v>24</x:v>
      </x:c>
      <x:c r="AP586" t="n">
        <x:f>_xlfn.XLOOKUP($A586,Games!$A$2:$A$18,Games!$K$2:$K$18,"Missing game",0)</x:f>
        <x:v>3</x:v>
      </x:c>
      <x:c r="AQ586" t="n">
        <x:f>_xlfn.XLOOKUP($A586,Games!$A$2:$A$18,Games!$L$2:$L$18,"Missing game",0)</x:f>
        <x:v>45</x:v>
      </x:c>
      <x:c r="AR586" t="n">
        <x:f>_xlfn.XLOOKUP($A586,Games!$A$2:$A$18,Games!$M$2:$M$18,"Missing game",0)</x:f>
        <x:v>0</x:v>
      </x:c>
      <x:c r="AS586" t="str">
        <x:f>_xlfn.XLOOKUP($A586,Games!$A$2:$A$18,Games!$N$2:$N$18,"Missing game",0)</x:f>
        <x:v>outdoors</x:v>
      </x:c>
      <x:c r="AT586" t="str">
        <x:f>_xlfn.XLOOKUP($A586,Games!$A$2:$A$18,Games!$O$2:$O$18,"Missing game",0)</x:f>
        <x:v>grass</x:v>
      </x:c>
      <x:c r="AU586" t="n">
        <x:f>_xlfn.XLOOKUP($A586,Games!$A$2:$A$18,Games!$P$2:$P$18,"Missing game",0)</x:f>
        <x:v>61</x:v>
      </x:c>
      <x:c r="AV586" t="n">
        <x:f>_xlfn.XLOOKUP($A586,Games!$A$2:$A$18,Games!$Q$2:$Q$18,"Missing game",0)</x:f>
        <x:v>5</x:v>
      </x:c>
      <x:c r="AW586" t="str">
        <x:f>_xlfn.XLOOKUP($A586,Games!$A$2:$A$18,Games!$R$2:$R$18,"Missing game",0)</x:f>
        <x:v>Acrisure Stadium</x:v>
      </x:c>
    </x:row>
    <x:row r="587">
      <x:c r="A587" t="str">
        <x:v>2025_04_MIN_PIT</x:v>
      </x:c>
      <x:c r="B587" t="n">
        <x:v>2190</x:v>
      </x:c>
      <x:c r="C587" t="n">
        <x:v>3</x:v>
      </x:c>
      <x:c r="D587" t="str">
        <x:v>13:09</x:v>
      </x:c>
      <x:c r="E587" t="n">
        <x:v>1</x:v>
      </x:c>
      <x:c r="F587" t="n">
        <x:v>10</x:v>
      </x:c>
      <x:c r="G587" t="str">
        <x:v>PIT</x:v>
      </x:c>
      <x:c r="H587" t="str">
        <x:v>MIN</x:v>
      </x:c>
      <x:c r="I587" t="str">
        <x:v>PIT</x:v>
      </x:c>
      <x:c r="J587" t="n">
        <x:v>74</x:v>
      </x:c>
      <x:c r="K587" t="str">
        <x:v>(13:09) 74-S.Anderson reported in as eligible. 14-K.Gainwell right tackle to PIT 25 for -1 yards (55-E.Wilson).</x:v>
      </x:c>
      <x:c r="L587" t="str">
        <x:v>run</x:v>
      </x:c>
      <x:c r="M587" t="n">
        <x:v>-1</x:v>
      </x:c>
      <x:c r="N587" t="n">
        <x:v>0</x:v>
      </x:c>
      <x:c r="O587" t="n">
        <x:v>0</x:v>
      </x:c>
      <x:c r="P587"/>
      <x:c r="Q587"/>
      <x:c r="R587"/>
      <x:c r="S587"/>
      <x:c r="T587" t="str">
        <x:v>right</x:v>
      </x:c>
      <x:c r="U587" t="str">
        <x:v>tackle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/>
      <x:c r="AC587" t="n">
        <x:v>0</x:v>
      </x:c>
      <x:c r="AD587" t="n">
        <x:v>-0.8223276492208242</x:v>
      </x:c>
      <x:c r="AE587" t="n">
        <x:v>0</x:v>
      </x:c>
      <x:c r="AF587" t="n">
        <x:v>-0.018642127513885498</x:v>
      </x:c>
      <x:c r="AG587" t="n">
        <x:f>_xlfn.XLOOKUP($A587,Games!$A$2:$A$18,Games!$B$2:$B$18,"Missing game",0)</x:f>
        <x:v>2025</x:v>
      </x:c>
      <x:c r="AH587" t="str">
        <x:f>_xlfn.XLOOKUP($A587,Games!$A$2:$A$18,Games!$C$2:$C$18,"Missing game",0)</x:f>
        <x:v>REG</x:v>
      </x:c>
      <x:c r="AI587" t="n">
        <x:f>_xlfn.XLOOKUP($A587,Games!$A$2:$A$18,Games!$D$2:$D$18,"Missing game",0)</x:f>
        <x:v>4</x:v>
      </x:c>
      <x:c r="AJ587" s="1" t="n">
        <x:f>_xlfn.XLOOKUP($A587,Games!$A$2:$A$18,Games!$E$2:$E$18,"Missing game",0)</x:f>
        <x:v>45928</x:v>
      </x:c>
      <x:c r="AK587" t="str">
        <x:f>_xlfn.XLOOKUP($A587,Games!$A$2:$A$18,Games!$F$2:$F$18,"Missing game",0)</x:f>
        <x:v>Sunday</x:v>
      </x:c>
      <x:c r="AL587" t="str">
        <x:f>_xlfn.XLOOKUP($A587,Games!$A$2:$A$18,Games!$G$2:$G$18,"Missing game",0)</x:f>
        <x:v>MIN</x:v>
      </x:c>
      <x:c r="AM587" t="n">
        <x:f>_xlfn.XLOOKUP($A587,Games!$A$2:$A$18,Games!$H$2:$H$18,"Missing game",0)</x:f>
        <x:v>21</x:v>
      </x:c>
      <x:c r="AN587" t="str">
        <x:f>_xlfn.XLOOKUP($A587,Games!$A$2:$A$18,Games!$I$2:$I$18,"Missing game",0)</x:f>
        <x:v>PIT</x:v>
      </x:c>
      <x:c r="AO587" t="n">
        <x:f>_xlfn.XLOOKUP($A587,Games!$A$2:$A$18,Games!$J$2:$J$18,"Missing game",0)</x:f>
        <x:v>24</x:v>
      </x:c>
      <x:c r="AP587" t="n">
        <x:f>_xlfn.XLOOKUP($A587,Games!$A$2:$A$18,Games!$K$2:$K$18,"Missing game",0)</x:f>
        <x:v>3</x:v>
      </x:c>
      <x:c r="AQ587" t="n">
        <x:f>_xlfn.XLOOKUP($A587,Games!$A$2:$A$18,Games!$L$2:$L$18,"Missing game",0)</x:f>
        <x:v>45</x:v>
      </x:c>
      <x:c r="AR587" t="n">
        <x:f>_xlfn.XLOOKUP($A587,Games!$A$2:$A$18,Games!$M$2:$M$18,"Missing game",0)</x:f>
        <x:v>0</x:v>
      </x:c>
      <x:c r="AS587" t="str">
        <x:f>_xlfn.XLOOKUP($A587,Games!$A$2:$A$18,Games!$N$2:$N$18,"Missing game",0)</x:f>
        <x:v>outdoors</x:v>
      </x:c>
      <x:c r="AT587" t="str">
        <x:f>_xlfn.XLOOKUP($A587,Games!$A$2:$A$18,Games!$O$2:$O$18,"Missing game",0)</x:f>
        <x:v>grass</x:v>
      </x:c>
      <x:c r="AU587" t="n">
        <x:f>_xlfn.XLOOKUP($A587,Games!$A$2:$A$18,Games!$P$2:$P$18,"Missing game",0)</x:f>
        <x:v>61</x:v>
      </x:c>
      <x:c r="AV587" t="n">
        <x:f>_xlfn.XLOOKUP($A587,Games!$A$2:$A$18,Games!$Q$2:$Q$18,"Missing game",0)</x:f>
        <x:v>5</x:v>
      </x:c>
      <x:c r="AW587" t="str">
        <x:f>_xlfn.XLOOKUP($A587,Games!$A$2:$A$18,Games!$R$2:$R$18,"Missing game",0)</x:f>
        <x:v>Acrisure Stadium</x:v>
      </x:c>
    </x:row>
    <x:row r="588">
      <x:c r="A588" t="str">
        <x:v>2025_04_MIN_PIT</x:v>
      </x:c>
      <x:c r="B588" t="n">
        <x:v>2221</x:v>
      </x:c>
      <x:c r="C588" t="n">
        <x:v>3</x:v>
      </x:c>
      <x:c r="D588" t="str">
        <x:v>12:28</x:v>
      </x:c>
      <x:c r="E588" t="n">
        <x:v>2</x:v>
      </x:c>
      <x:c r="F588" t="n">
        <x:v>11</x:v>
      </x:c>
      <x:c r="G588" t="str">
        <x:v>PIT</x:v>
      </x:c>
      <x:c r="H588" t="str">
        <x:v>MIN</x:v>
      </x:c>
      <x:c r="I588" t="str">
        <x:v>PIT</x:v>
      </x:c>
      <x:c r="J588" t="n">
        <x:v>75</x:v>
      </x:c>
      <x:c r="K588" t="str">
        <x:v>(12:28) 74-S.Anderson reported in as eligible. 14-K.Gainwell left guard to PIT 32 for 7 yards (97-J.Hargrave).</x:v>
      </x:c>
      <x:c r="L588" t="str">
        <x:v>run</x:v>
      </x:c>
      <x:c r="M588" t="n">
        <x:v>7</x:v>
      </x:c>
      <x:c r="N588" t="n">
        <x:v>0</x:v>
      </x:c>
      <x:c r="O588" t="n">
        <x:v>0</x:v>
      </x:c>
      <x:c r="P588"/>
      <x:c r="Q588"/>
      <x:c r="R588"/>
      <x:c r="S588"/>
      <x:c r="T588" t="str">
        <x:v>left</x:v>
      </x:c>
      <x:c r="U588" t="str">
        <x:v>guard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/>
      <x:c r="AC588" t="n">
        <x:v>0</x:v>
      </x:c>
      <x:c r="AD588" t="n">
        <x:v>0.32796701742336154</x:v>
      </x:c>
      <x:c r="AE588" t="n">
        <x:v>1</x:v>
      </x:c>
      <x:c r="AF588" t="n">
        <x:v>0.018996119499206543</x:v>
      </x:c>
      <x:c r="AG588" t="n">
        <x:f>_xlfn.XLOOKUP($A588,Games!$A$2:$A$18,Games!$B$2:$B$18,"Missing game",0)</x:f>
        <x:v>2025</x:v>
      </x:c>
      <x:c r="AH588" t="str">
        <x:f>_xlfn.XLOOKUP($A588,Games!$A$2:$A$18,Games!$C$2:$C$18,"Missing game",0)</x:f>
        <x:v>REG</x:v>
      </x:c>
      <x:c r="AI588" t="n">
        <x:f>_xlfn.XLOOKUP($A588,Games!$A$2:$A$18,Games!$D$2:$D$18,"Missing game",0)</x:f>
        <x:v>4</x:v>
      </x:c>
      <x:c r="AJ588" s="1" t="n">
        <x:f>_xlfn.XLOOKUP($A588,Games!$A$2:$A$18,Games!$E$2:$E$18,"Missing game",0)</x:f>
        <x:v>45928</x:v>
      </x:c>
      <x:c r="AK588" t="str">
        <x:f>_xlfn.XLOOKUP($A588,Games!$A$2:$A$18,Games!$F$2:$F$18,"Missing game",0)</x:f>
        <x:v>Sunday</x:v>
      </x:c>
      <x:c r="AL588" t="str">
        <x:f>_xlfn.XLOOKUP($A588,Games!$A$2:$A$18,Games!$G$2:$G$18,"Missing game",0)</x:f>
        <x:v>MIN</x:v>
      </x:c>
      <x:c r="AM588" t="n">
        <x:f>_xlfn.XLOOKUP($A588,Games!$A$2:$A$18,Games!$H$2:$H$18,"Missing game",0)</x:f>
        <x:v>21</x:v>
      </x:c>
      <x:c r="AN588" t="str">
        <x:f>_xlfn.XLOOKUP($A588,Games!$A$2:$A$18,Games!$I$2:$I$18,"Missing game",0)</x:f>
        <x:v>PIT</x:v>
      </x:c>
      <x:c r="AO588" t="n">
        <x:f>_xlfn.XLOOKUP($A588,Games!$A$2:$A$18,Games!$J$2:$J$18,"Missing game",0)</x:f>
        <x:v>24</x:v>
      </x:c>
      <x:c r="AP588" t="n">
        <x:f>_xlfn.XLOOKUP($A588,Games!$A$2:$A$18,Games!$K$2:$K$18,"Missing game",0)</x:f>
        <x:v>3</x:v>
      </x:c>
      <x:c r="AQ588" t="n">
        <x:f>_xlfn.XLOOKUP($A588,Games!$A$2:$A$18,Games!$L$2:$L$18,"Missing game",0)</x:f>
        <x:v>45</x:v>
      </x:c>
      <x:c r="AR588" t="n">
        <x:f>_xlfn.XLOOKUP($A588,Games!$A$2:$A$18,Games!$M$2:$M$18,"Missing game",0)</x:f>
        <x:v>0</x:v>
      </x:c>
      <x:c r="AS588" t="str">
        <x:f>_xlfn.XLOOKUP($A588,Games!$A$2:$A$18,Games!$N$2:$N$18,"Missing game",0)</x:f>
        <x:v>outdoors</x:v>
      </x:c>
      <x:c r="AT588" t="str">
        <x:f>_xlfn.XLOOKUP($A588,Games!$A$2:$A$18,Games!$O$2:$O$18,"Missing game",0)</x:f>
        <x:v>grass</x:v>
      </x:c>
      <x:c r="AU588" t="n">
        <x:f>_xlfn.XLOOKUP($A588,Games!$A$2:$A$18,Games!$P$2:$P$18,"Missing game",0)</x:f>
        <x:v>61</x:v>
      </x:c>
      <x:c r="AV588" t="n">
        <x:f>_xlfn.XLOOKUP($A588,Games!$A$2:$A$18,Games!$Q$2:$Q$18,"Missing game",0)</x:f>
        <x:v>5</x:v>
      </x:c>
      <x:c r="AW588" t="str">
        <x:f>_xlfn.XLOOKUP($A588,Games!$A$2:$A$18,Games!$R$2:$R$18,"Missing game",0)</x:f>
        <x:v>Acrisure Stadium</x:v>
      </x:c>
    </x:row>
    <x:row r="589">
      <x:c r="A589" t="str">
        <x:v>2025_04_MIN_PIT</x:v>
      </x:c>
      <x:c r="B589" t="n">
        <x:v>2243</x:v>
      </x:c>
      <x:c r="C589" t="n">
        <x:v>3</x:v>
      </x:c>
      <x:c r="D589" t="str">
        <x:v>11:43</x:v>
      </x:c>
      <x:c r="E589" t="n">
        <x:v>3</x:v>
      </x:c>
      <x:c r="F589" t="n">
        <x:v>4</x:v>
      </x:c>
      <x:c r="G589" t="str">
        <x:v>PIT</x:v>
      </x:c>
      <x:c r="H589" t="str">
        <x:v>MIN</x:v>
      </x:c>
      <x:c r="I589" t="str">
        <x:v>PIT</x:v>
      </x:c>
      <x:c r="J589" t="n">
        <x:v>68</x:v>
      </x:c>
      <x:c r="K589" t="str">
        <x:v>(11:43) (Shotgun) 8-A.Rodgers pass short right to 14-K.Gainwell to PIT 33 for 1 yard (55-E.Wilson).</x:v>
      </x:c>
      <x:c r="L589" t="str">
        <x:v>pass</x:v>
      </x:c>
      <x:c r="M589" t="n">
        <x:v>1</x:v>
      </x:c>
      <x:c r="N589" t="n">
        <x:v>1</x:v>
      </x:c>
      <x:c r="O589" t="n">
        <x:v>0</x:v>
      </x:c>
      <x:c r="P589" t="str">
        <x:v>short</x:v>
      </x:c>
      <x:c r="Q589" t="str">
        <x:v>right</x:v>
      </x:c>
      <x:c r="R589" t="n">
        <x:v>0</x:v>
      </x:c>
      <x:c r="S589" t="n">
        <x:v>1</x:v>
      </x:c>
      <x:c r="T589"/>
      <x:c r="U589"/>
      <x:c r="V589" t="n">
        <x:v>1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/>
      <x:c r="AC589" t="n">
        <x:v>0</x:v>
      </x:c>
      <x:c r="AD589" t="n">
        <x:v>-1.4878102545626462</x:v>
      </x:c>
      <x:c r="AE589" t="n">
        <x:v>0</x:v>
      </x:c>
      <x:c r="AF589" t="n">
        <x:v>-0.01449507474899292</x:v>
      </x:c>
      <x:c r="AG589" t="n">
        <x:f>_xlfn.XLOOKUP($A589,Games!$A$2:$A$18,Games!$B$2:$B$18,"Missing game",0)</x:f>
        <x:v>2025</x:v>
      </x:c>
      <x:c r="AH589" t="str">
        <x:f>_xlfn.XLOOKUP($A589,Games!$A$2:$A$18,Games!$C$2:$C$18,"Missing game",0)</x:f>
        <x:v>REG</x:v>
      </x:c>
      <x:c r="AI589" t="n">
        <x:f>_xlfn.XLOOKUP($A589,Games!$A$2:$A$18,Games!$D$2:$D$18,"Missing game",0)</x:f>
        <x:v>4</x:v>
      </x:c>
      <x:c r="AJ589" s="1" t="n">
        <x:f>_xlfn.XLOOKUP($A589,Games!$A$2:$A$18,Games!$E$2:$E$18,"Missing game",0)</x:f>
        <x:v>45928</x:v>
      </x:c>
      <x:c r="AK589" t="str">
        <x:f>_xlfn.XLOOKUP($A589,Games!$A$2:$A$18,Games!$F$2:$F$18,"Missing game",0)</x:f>
        <x:v>Sunday</x:v>
      </x:c>
      <x:c r="AL589" t="str">
        <x:f>_xlfn.XLOOKUP($A589,Games!$A$2:$A$18,Games!$G$2:$G$18,"Missing game",0)</x:f>
        <x:v>MIN</x:v>
      </x:c>
      <x:c r="AM589" t="n">
        <x:f>_xlfn.XLOOKUP($A589,Games!$A$2:$A$18,Games!$H$2:$H$18,"Missing game",0)</x:f>
        <x:v>21</x:v>
      </x:c>
      <x:c r="AN589" t="str">
        <x:f>_xlfn.XLOOKUP($A589,Games!$A$2:$A$18,Games!$I$2:$I$18,"Missing game",0)</x:f>
        <x:v>PIT</x:v>
      </x:c>
      <x:c r="AO589" t="n">
        <x:f>_xlfn.XLOOKUP($A589,Games!$A$2:$A$18,Games!$J$2:$J$18,"Missing game",0)</x:f>
        <x:v>24</x:v>
      </x:c>
      <x:c r="AP589" t="n">
        <x:f>_xlfn.XLOOKUP($A589,Games!$A$2:$A$18,Games!$K$2:$K$18,"Missing game",0)</x:f>
        <x:v>3</x:v>
      </x:c>
      <x:c r="AQ589" t="n">
        <x:f>_xlfn.XLOOKUP($A589,Games!$A$2:$A$18,Games!$L$2:$L$18,"Missing game",0)</x:f>
        <x:v>45</x:v>
      </x:c>
      <x:c r="AR589" t="n">
        <x:f>_xlfn.XLOOKUP($A589,Games!$A$2:$A$18,Games!$M$2:$M$18,"Missing game",0)</x:f>
        <x:v>0</x:v>
      </x:c>
      <x:c r="AS589" t="str">
        <x:f>_xlfn.XLOOKUP($A589,Games!$A$2:$A$18,Games!$N$2:$N$18,"Missing game",0)</x:f>
        <x:v>outdoors</x:v>
      </x:c>
      <x:c r="AT589" t="str">
        <x:f>_xlfn.XLOOKUP($A589,Games!$A$2:$A$18,Games!$O$2:$O$18,"Missing game",0)</x:f>
        <x:v>grass</x:v>
      </x:c>
      <x:c r="AU589" t="n">
        <x:f>_xlfn.XLOOKUP($A589,Games!$A$2:$A$18,Games!$P$2:$P$18,"Missing game",0)</x:f>
        <x:v>61</x:v>
      </x:c>
      <x:c r="AV589" t="n">
        <x:f>_xlfn.XLOOKUP($A589,Games!$A$2:$A$18,Games!$Q$2:$Q$18,"Missing game",0)</x:f>
        <x:v>5</x:v>
      </x:c>
      <x:c r="AW589" t="str">
        <x:f>_xlfn.XLOOKUP($A589,Games!$A$2:$A$18,Games!$R$2:$R$18,"Missing game",0)</x:f>
        <x:v>Acrisure Stadium</x:v>
      </x:c>
    </x:row>
    <x:row r="590">
      <x:c r="A590" t="str">
        <x:v>2025_04_MIN_PIT</x:v>
      </x:c>
      <x:c r="B590" t="n">
        <x:v>2268</x:v>
      </x:c>
      <x:c r="C590" t="n">
        <x:v>3</x:v>
      </x:c>
      <x:c r="D590" t="str">
        <x:v>11:11</x:v>
      </x:c>
      <x:c r="E590" t="n">
        <x:v>4</x:v>
      </x:c>
      <x:c r="F590" t="n">
        <x:v>3</x:v>
      </x:c>
      <x:c r="G590" t="str">
        <x:v>PIT</x:v>
      </x:c>
      <x:c r="H590" t="str">
        <x:v>MIN</x:v>
      </x:c>
      <x:c r="I590" t="str">
        <x:v>PIT</x:v>
      </x:c>
      <x:c r="J590" t="n">
        <x:v>67</x:v>
      </x:c>
      <x:c r="K590" t="str">
        <x:v>(11:11) 3-C.Waitman punts 47 yards to MIN 20, Center-46-C.Kuntz. 4-M.Price to MIN 20 for no gain (15-B.Skowronek). PENALTY on MIN-24-J.Ward, Illegal Block Above the Waist, 10 yards, enforced at MIN 20.</x:v>
      </x:c>
      <x:c r="L590" t="str">
        <x:v>punt</x:v>
      </x:c>
      <x:c r="M590" t="n">
        <x:v>0</x:v>
      </x:c>
      <x:c r="N590" t="n">
        <x:v>0</x:v>
      </x:c>
      <x:c r="O590" t="n">
        <x:v>0</x:v>
      </x:c>
      <x:c r="P590"/>
      <x:c r="Q590"/>
      <x:c r="R590"/>
      <x:c r="S590"/>
      <x:c r="T590"/>
      <x:c r="U590"/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1</x:v>
      </x:c>
      <x:c r="AB590" t="n">
        <x:v>10</x:v>
      </x:c>
      <x:c r="AC590" t="n">
        <x:v>0</x:v>
      </x:c>
      <x:c r="AD590" t="n">
        <x:v>1.284679954405874</x:v>
      </x:c>
      <x:c r="AE590" t="n">
        <x:v>1</x:v>
      </x:c>
      <x:c r="AF590" t="n">
        <x:v>-0.014602258801460266</x:v>
      </x:c>
      <x:c r="AG590" t="n">
        <x:f>_xlfn.XLOOKUP($A590,Games!$A$2:$A$18,Games!$B$2:$B$18,"Missing game",0)</x:f>
        <x:v>2025</x:v>
      </x:c>
      <x:c r="AH590" t="str">
        <x:f>_xlfn.XLOOKUP($A590,Games!$A$2:$A$18,Games!$C$2:$C$18,"Missing game",0)</x:f>
        <x:v>REG</x:v>
      </x:c>
      <x:c r="AI590" t="n">
        <x:f>_xlfn.XLOOKUP($A590,Games!$A$2:$A$18,Games!$D$2:$D$18,"Missing game",0)</x:f>
        <x:v>4</x:v>
      </x:c>
      <x:c r="AJ590" s="1" t="n">
        <x:f>_xlfn.XLOOKUP($A590,Games!$A$2:$A$18,Games!$E$2:$E$18,"Missing game",0)</x:f>
        <x:v>45928</x:v>
      </x:c>
      <x:c r="AK590" t="str">
        <x:f>_xlfn.XLOOKUP($A590,Games!$A$2:$A$18,Games!$F$2:$F$18,"Missing game",0)</x:f>
        <x:v>Sunday</x:v>
      </x:c>
      <x:c r="AL590" t="str">
        <x:f>_xlfn.XLOOKUP($A590,Games!$A$2:$A$18,Games!$G$2:$G$18,"Missing game",0)</x:f>
        <x:v>MIN</x:v>
      </x:c>
      <x:c r="AM590" t="n">
        <x:f>_xlfn.XLOOKUP($A590,Games!$A$2:$A$18,Games!$H$2:$H$18,"Missing game",0)</x:f>
        <x:v>21</x:v>
      </x:c>
      <x:c r="AN590" t="str">
        <x:f>_xlfn.XLOOKUP($A590,Games!$A$2:$A$18,Games!$I$2:$I$18,"Missing game",0)</x:f>
        <x:v>PIT</x:v>
      </x:c>
      <x:c r="AO590" t="n">
        <x:f>_xlfn.XLOOKUP($A590,Games!$A$2:$A$18,Games!$J$2:$J$18,"Missing game",0)</x:f>
        <x:v>24</x:v>
      </x:c>
      <x:c r="AP590" t="n">
        <x:f>_xlfn.XLOOKUP($A590,Games!$A$2:$A$18,Games!$K$2:$K$18,"Missing game",0)</x:f>
        <x:v>3</x:v>
      </x:c>
      <x:c r="AQ590" t="n">
        <x:f>_xlfn.XLOOKUP($A590,Games!$A$2:$A$18,Games!$L$2:$L$18,"Missing game",0)</x:f>
        <x:v>45</x:v>
      </x:c>
      <x:c r="AR590" t="n">
        <x:f>_xlfn.XLOOKUP($A590,Games!$A$2:$A$18,Games!$M$2:$M$18,"Missing game",0)</x:f>
        <x:v>0</x:v>
      </x:c>
      <x:c r="AS590" t="str">
        <x:f>_xlfn.XLOOKUP($A590,Games!$A$2:$A$18,Games!$N$2:$N$18,"Missing game",0)</x:f>
        <x:v>outdoors</x:v>
      </x:c>
      <x:c r="AT590" t="str">
        <x:f>_xlfn.XLOOKUP($A590,Games!$A$2:$A$18,Games!$O$2:$O$18,"Missing game",0)</x:f>
        <x:v>grass</x:v>
      </x:c>
      <x:c r="AU590" t="n">
        <x:f>_xlfn.XLOOKUP($A590,Games!$A$2:$A$18,Games!$P$2:$P$18,"Missing game",0)</x:f>
        <x:v>61</x:v>
      </x:c>
      <x:c r="AV590" t="n">
        <x:f>_xlfn.XLOOKUP($A590,Games!$A$2:$A$18,Games!$Q$2:$Q$18,"Missing game",0)</x:f>
        <x:v>5</x:v>
      </x:c>
      <x:c r="AW590" t="str">
        <x:f>_xlfn.XLOOKUP($A590,Games!$A$2:$A$18,Games!$R$2:$R$18,"Missing game",0)</x:f>
        <x:v>Acrisure Stadium</x:v>
      </x:c>
    </x:row>
    <x:row r="591">
      <x:c r="A591" t="str">
        <x:v>2025_04_MIN_PIT</x:v>
      </x:c>
      <x:c r="B591" t="n">
        <x:v>2307</x:v>
      </x:c>
      <x:c r="C591" t="n">
        <x:v>3</x:v>
      </x:c>
      <x:c r="D591" t="str">
        <x:v>11:03</x:v>
      </x:c>
      <x:c r="E591" t="n">
        <x:v>1</x:v>
      </x:c>
      <x:c r="F591" t="n">
        <x:v>10</x:v>
      </x:c>
      <x:c r="G591" t="str">
        <x:v>MIN</x:v>
      </x:c>
      <x:c r="H591" t="str">
        <x:v>PIT</x:v>
      </x:c>
      <x:c r="I591" t="str">
        <x:v>MIN</x:v>
      </x:c>
      <x:c r="J591" t="n">
        <x:v>90</x:v>
      </x:c>
      <x:c r="K591" t="str">
        <x:v>(11:03) 11-C.Wentz pass incomplete deep left to 3-J.Addison [97-Ca.Heyward].</x:v>
      </x:c>
      <x:c r="L591" t="str">
        <x:v>pass</x:v>
      </x:c>
      <x:c r="M591" t="n">
        <x:v>0</x:v>
      </x:c>
      <x:c r="N591" t="n">
        <x:v>0</x:v>
      </x:c>
      <x:c r="O591" t="n">
        <x:v>0</x:v>
      </x:c>
      <x:c r="P591" t="str">
        <x:v>deep</x:v>
      </x:c>
      <x:c r="Q591" t="str">
        <x:v>left</x:v>
      </x:c>
      <x:c r="R591" t="n">
        <x:v>20</x:v>
      </x:c>
      <x:c r="S591"/>
      <x:c r="T591"/>
      <x:c r="U591"/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/>
      <x:c r="AC591" t="n">
        <x:v>0</x:v>
      </x:c>
      <x:c r="AD591" t="n">
        <x:v>-0.5518218255601823</x:v>
      </x:c>
      <x:c r="AE591" t="n">
        <x:v>0</x:v>
      </x:c>
      <x:c r="AF591" t="n">
        <x:v>-0.011852189898490906</x:v>
      </x:c>
      <x:c r="AG591" t="n">
        <x:f>_xlfn.XLOOKUP($A591,Games!$A$2:$A$18,Games!$B$2:$B$18,"Missing game",0)</x:f>
        <x:v>2025</x:v>
      </x:c>
      <x:c r="AH591" t="str">
        <x:f>_xlfn.XLOOKUP($A591,Games!$A$2:$A$18,Games!$C$2:$C$18,"Missing game",0)</x:f>
        <x:v>REG</x:v>
      </x:c>
      <x:c r="AI591" t="n">
        <x:f>_xlfn.XLOOKUP($A591,Games!$A$2:$A$18,Games!$D$2:$D$18,"Missing game",0)</x:f>
        <x:v>4</x:v>
      </x:c>
      <x:c r="AJ591" s="1" t="n">
        <x:f>_xlfn.XLOOKUP($A591,Games!$A$2:$A$18,Games!$E$2:$E$18,"Missing game",0)</x:f>
        <x:v>45928</x:v>
      </x:c>
      <x:c r="AK591" t="str">
        <x:f>_xlfn.XLOOKUP($A591,Games!$A$2:$A$18,Games!$F$2:$F$18,"Missing game",0)</x:f>
        <x:v>Sunday</x:v>
      </x:c>
      <x:c r="AL591" t="str">
        <x:f>_xlfn.XLOOKUP($A591,Games!$A$2:$A$18,Games!$G$2:$G$18,"Missing game",0)</x:f>
        <x:v>MIN</x:v>
      </x:c>
      <x:c r="AM591" t="n">
        <x:f>_xlfn.XLOOKUP($A591,Games!$A$2:$A$18,Games!$H$2:$H$18,"Missing game",0)</x:f>
        <x:v>21</x:v>
      </x:c>
      <x:c r="AN591" t="str">
        <x:f>_xlfn.XLOOKUP($A591,Games!$A$2:$A$18,Games!$I$2:$I$18,"Missing game",0)</x:f>
        <x:v>PIT</x:v>
      </x:c>
      <x:c r="AO591" t="n">
        <x:f>_xlfn.XLOOKUP($A591,Games!$A$2:$A$18,Games!$J$2:$J$18,"Missing game",0)</x:f>
        <x:v>24</x:v>
      </x:c>
      <x:c r="AP591" t="n">
        <x:f>_xlfn.XLOOKUP($A591,Games!$A$2:$A$18,Games!$K$2:$K$18,"Missing game",0)</x:f>
        <x:v>3</x:v>
      </x:c>
      <x:c r="AQ591" t="n">
        <x:f>_xlfn.XLOOKUP($A591,Games!$A$2:$A$18,Games!$L$2:$L$18,"Missing game",0)</x:f>
        <x:v>45</x:v>
      </x:c>
      <x:c r="AR591" t="n">
        <x:f>_xlfn.XLOOKUP($A591,Games!$A$2:$A$18,Games!$M$2:$M$18,"Missing game",0)</x:f>
        <x:v>0</x:v>
      </x:c>
      <x:c r="AS591" t="str">
        <x:f>_xlfn.XLOOKUP($A591,Games!$A$2:$A$18,Games!$N$2:$N$18,"Missing game",0)</x:f>
        <x:v>outdoors</x:v>
      </x:c>
      <x:c r="AT591" t="str">
        <x:f>_xlfn.XLOOKUP($A591,Games!$A$2:$A$18,Games!$O$2:$O$18,"Missing game",0)</x:f>
        <x:v>grass</x:v>
      </x:c>
      <x:c r="AU591" t="n">
        <x:f>_xlfn.XLOOKUP($A591,Games!$A$2:$A$18,Games!$P$2:$P$18,"Missing game",0)</x:f>
        <x:v>61</x:v>
      </x:c>
      <x:c r="AV591" t="n">
        <x:f>_xlfn.XLOOKUP($A591,Games!$A$2:$A$18,Games!$Q$2:$Q$18,"Missing game",0)</x:f>
        <x:v>5</x:v>
      </x:c>
      <x:c r="AW591" t="str">
        <x:f>_xlfn.XLOOKUP($A591,Games!$A$2:$A$18,Games!$R$2:$R$18,"Missing game",0)</x:f>
        <x:v>Acrisure Stadium</x:v>
      </x:c>
    </x:row>
    <x:row r="592">
      <x:c r="A592" t="str">
        <x:v>2025_04_MIN_PIT</x:v>
      </x:c>
      <x:c r="B592" t="n">
        <x:v>2337</x:v>
      </x:c>
      <x:c r="C592" t="n">
        <x:v>3</x:v>
      </x:c>
      <x:c r="D592" t="str">
        <x:v>10:58</x:v>
      </x:c>
      <x:c r="E592" t="n">
        <x:v>2</x:v>
      </x:c>
      <x:c r="F592" t="n">
        <x:v>10</x:v>
      </x:c>
      <x:c r="G592" t="str">
        <x:v>MIN</x:v>
      </x:c>
      <x:c r="H592" t="str">
        <x:v>PIT</x:v>
      </x:c>
      <x:c r="I592" t="str">
        <x:v>MIN</x:v>
      </x:c>
      <x:c r="J592" t="n">
        <x:v>90</x:v>
      </x:c>
      <x:c r="K592" t="str">
        <x:v>(10:58) (Shotgun) 27-J.Mason right guard to MIN 17 for 7 yards (6-P.Queen).</x:v>
      </x:c>
      <x:c r="L592" t="str">
        <x:v>run</x:v>
      </x:c>
      <x:c r="M592" t="n">
        <x:v>7</x:v>
      </x:c>
      <x:c r="N592" t="n">
        <x:v>1</x:v>
      </x:c>
      <x:c r="O592" t="n">
        <x:v>0</x:v>
      </x:c>
      <x:c r="P592"/>
      <x:c r="Q592"/>
      <x:c r="R592"/>
      <x:c r="S592"/>
      <x:c r="T592" t="str">
        <x:v>right</x:v>
      </x:c>
      <x:c r="U592" t="str">
        <x:v>guard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/>
      <x:c r="AC592" t="n">
        <x:v>0</x:v>
      </x:c>
      <x:c r="AD592" t="n">
        <x:v>0.09465106064453721</x:v>
      </x:c>
      <x:c r="AE592" t="n">
        <x:v>1</x:v>
      </x:c>
      <x:c r="AF592" t="n">
        <x:v>0.004827529191970825</x:v>
      </x:c>
      <x:c r="AG592" t="n">
        <x:f>_xlfn.XLOOKUP($A592,Games!$A$2:$A$18,Games!$B$2:$B$18,"Missing game",0)</x:f>
        <x:v>2025</x:v>
      </x:c>
      <x:c r="AH592" t="str">
        <x:f>_xlfn.XLOOKUP($A592,Games!$A$2:$A$18,Games!$C$2:$C$18,"Missing game",0)</x:f>
        <x:v>REG</x:v>
      </x:c>
      <x:c r="AI592" t="n">
        <x:f>_xlfn.XLOOKUP($A592,Games!$A$2:$A$18,Games!$D$2:$D$18,"Missing game",0)</x:f>
        <x:v>4</x:v>
      </x:c>
      <x:c r="AJ592" s="1" t="n">
        <x:f>_xlfn.XLOOKUP($A592,Games!$A$2:$A$18,Games!$E$2:$E$18,"Missing game",0)</x:f>
        <x:v>45928</x:v>
      </x:c>
      <x:c r="AK592" t="str">
        <x:f>_xlfn.XLOOKUP($A592,Games!$A$2:$A$18,Games!$F$2:$F$18,"Missing game",0)</x:f>
        <x:v>Sunday</x:v>
      </x:c>
      <x:c r="AL592" t="str">
        <x:f>_xlfn.XLOOKUP($A592,Games!$A$2:$A$18,Games!$G$2:$G$18,"Missing game",0)</x:f>
        <x:v>MIN</x:v>
      </x:c>
      <x:c r="AM592" t="n">
        <x:f>_xlfn.XLOOKUP($A592,Games!$A$2:$A$18,Games!$H$2:$H$18,"Missing game",0)</x:f>
        <x:v>21</x:v>
      </x:c>
      <x:c r="AN592" t="str">
        <x:f>_xlfn.XLOOKUP($A592,Games!$A$2:$A$18,Games!$I$2:$I$18,"Missing game",0)</x:f>
        <x:v>PIT</x:v>
      </x:c>
      <x:c r="AO592" t="n">
        <x:f>_xlfn.XLOOKUP($A592,Games!$A$2:$A$18,Games!$J$2:$J$18,"Missing game",0)</x:f>
        <x:v>24</x:v>
      </x:c>
      <x:c r="AP592" t="n">
        <x:f>_xlfn.XLOOKUP($A592,Games!$A$2:$A$18,Games!$K$2:$K$18,"Missing game",0)</x:f>
        <x:v>3</x:v>
      </x:c>
      <x:c r="AQ592" t="n">
        <x:f>_xlfn.XLOOKUP($A592,Games!$A$2:$A$18,Games!$L$2:$L$18,"Missing game",0)</x:f>
        <x:v>45</x:v>
      </x:c>
      <x:c r="AR592" t="n">
        <x:f>_xlfn.XLOOKUP($A592,Games!$A$2:$A$18,Games!$M$2:$M$18,"Missing game",0)</x:f>
        <x:v>0</x:v>
      </x:c>
      <x:c r="AS592" t="str">
        <x:f>_xlfn.XLOOKUP($A592,Games!$A$2:$A$18,Games!$N$2:$N$18,"Missing game",0)</x:f>
        <x:v>outdoors</x:v>
      </x:c>
      <x:c r="AT592" t="str">
        <x:f>_xlfn.XLOOKUP($A592,Games!$A$2:$A$18,Games!$O$2:$O$18,"Missing game",0)</x:f>
        <x:v>grass</x:v>
      </x:c>
      <x:c r="AU592" t="n">
        <x:f>_xlfn.XLOOKUP($A592,Games!$A$2:$A$18,Games!$P$2:$P$18,"Missing game",0)</x:f>
        <x:v>61</x:v>
      </x:c>
      <x:c r="AV592" t="n">
        <x:f>_xlfn.XLOOKUP($A592,Games!$A$2:$A$18,Games!$Q$2:$Q$18,"Missing game",0)</x:f>
        <x:v>5</x:v>
      </x:c>
      <x:c r="AW592" t="str">
        <x:f>_xlfn.XLOOKUP($A592,Games!$A$2:$A$18,Games!$R$2:$R$18,"Missing game",0)</x:f>
        <x:v>Acrisure Stadium</x:v>
      </x:c>
    </x:row>
    <x:row r="593">
      <x:c r="A593" t="str">
        <x:v>2025_04_MIN_PIT</x:v>
      </x:c>
      <x:c r="B593" t="n">
        <x:v>2359</x:v>
      </x:c>
      <x:c r="C593" t="n">
        <x:v>3</x:v>
      </x:c>
      <x:c r="D593" t="str">
        <x:v>10:13</x:v>
      </x:c>
      <x:c r="E593" t="n">
        <x:v>3</x:v>
      </x:c>
      <x:c r="F593" t="n">
        <x:v>3</x:v>
      </x:c>
      <x:c r="G593" t="str">
        <x:v>MIN</x:v>
      </x:c>
      <x:c r="H593" t="str">
        <x:v>PIT</x:v>
      </x:c>
      <x:c r="I593" t="str">
        <x:v>MIN</x:v>
      </x:c>
      <x:c r="J593" t="n">
        <x:v>83</x:v>
      </x:c>
      <x:c r="K593" t="str">
        <x:v>(10:13) (Shotgun) 11-C.Wentz pass short left to 19-A.Thielen to MIN 22 for 5 yards (23-D.Slay).</x:v>
      </x:c>
      <x:c r="L593" t="str">
        <x:v>pass</x:v>
      </x:c>
      <x:c r="M593" t="n">
        <x:v>5</x:v>
      </x:c>
      <x:c r="N593" t="n">
        <x:v>1</x:v>
      </x:c>
      <x:c r="O593" t="n">
        <x:v>0</x:v>
      </x:c>
      <x:c r="P593" t="str">
        <x:v>short</x:v>
      </x:c>
      <x:c r="Q593" t="str">
        <x:v>left</x:v>
      </x:c>
      <x:c r="R593" t="n">
        <x:v>5</x:v>
      </x:c>
      <x:c r="S593" t="n">
        <x:v>0</x:v>
      </x:c>
      <x:c r="T593"/>
      <x:c r="U593"/>
      <x:c r="V593" t="n">
        <x:v>1</x:v>
      </x:c>
      <x:c r="W593" t="n">
        <x:v>1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/>
      <x:c r="AC593" t="n">
        <x:v>0</x:v>
      </x:c>
      <x:c r="AD593" t="n">
        <x:v>1.1389287034980953</x:v>
      </x:c>
      <x:c r="AE593" t="n">
        <x:v>1</x:v>
      </x:c>
      <x:c r="AF593" t="n">
        <x:v>0.01961521804332733</x:v>
      </x:c>
      <x:c r="AG593" t="n">
        <x:f>_xlfn.XLOOKUP($A593,Games!$A$2:$A$18,Games!$B$2:$B$18,"Missing game",0)</x:f>
        <x:v>2025</x:v>
      </x:c>
      <x:c r="AH593" t="str">
        <x:f>_xlfn.XLOOKUP($A593,Games!$A$2:$A$18,Games!$C$2:$C$18,"Missing game",0)</x:f>
        <x:v>REG</x:v>
      </x:c>
      <x:c r="AI593" t="n">
        <x:f>_xlfn.XLOOKUP($A593,Games!$A$2:$A$18,Games!$D$2:$D$18,"Missing game",0)</x:f>
        <x:v>4</x:v>
      </x:c>
      <x:c r="AJ593" s="1" t="n">
        <x:f>_xlfn.XLOOKUP($A593,Games!$A$2:$A$18,Games!$E$2:$E$18,"Missing game",0)</x:f>
        <x:v>45928</x:v>
      </x:c>
      <x:c r="AK593" t="str">
        <x:f>_xlfn.XLOOKUP($A593,Games!$A$2:$A$18,Games!$F$2:$F$18,"Missing game",0)</x:f>
        <x:v>Sunday</x:v>
      </x:c>
      <x:c r="AL593" t="str">
        <x:f>_xlfn.XLOOKUP($A593,Games!$A$2:$A$18,Games!$G$2:$G$18,"Missing game",0)</x:f>
        <x:v>MIN</x:v>
      </x:c>
      <x:c r="AM593" t="n">
        <x:f>_xlfn.XLOOKUP($A593,Games!$A$2:$A$18,Games!$H$2:$H$18,"Missing game",0)</x:f>
        <x:v>21</x:v>
      </x:c>
      <x:c r="AN593" t="str">
        <x:f>_xlfn.XLOOKUP($A593,Games!$A$2:$A$18,Games!$I$2:$I$18,"Missing game",0)</x:f>
        <x:v>PIT</x:v>
      </x:c>
      <x:c r="AO593" t="n">
        <x:f>_xlfn.XLOOKUP($A593,Games!$A$2:$A$18,Games!$J$2:$J$18,"Missing game",0)</x:f>
        <x:v>24</x:v>
      </x:c>
      <x:c r="AP593" t="n">
        <x:f>_xlfn.XLOOKUP($A593,Games!$A$2:$A$18,Games!$K$2:$K$18,"Missing game",0)</x:f>
        <x:v>3</x:v>
      </x:c>
      <x:c r="AQ593" t="n">
        <x:f>_xlfn.XLOOKUP($A593,Games!$A$2:$A$18,Games!$L$2:$L$18,"Missing game",0)</x:f>
        <x:v>45</x:v>
      </x:c>
      <x:c r="AR593" t="n">
        <x:f>_xlfn.XLOOKUP($A593,Games!$A$2:$A$18,Games!$M$2:$M$18,"Missing game",0)</x:f>
        <x:v>0</x:v>
      </x:c>
      <x:c r="AS593" t="str">
        <x:f>_xlfn.XLOOKUP($A593,Games!$A$2:$A$18,Games!$N$2:$N$18,"Missing game",0)</x:f>
        <x:v>outdoors</x:v>
      </x:c>
      <x:c r="AT593" t="str">
        <x:f>_xlfn.XLOOKUP($A593,Games!$A$2:$A$18,Games!$O$2:$O$18,"Missing game",0)</x:f>
        <x:v>grass</x:v>
      </x:c>
      <x:c r="AU593" t="n">
        <x:f>_xlfn.XLOOKUP($A593,Games!$A$2:$A$18,Games!$P$2:$P$18,"Missing game",0)</x:f>
        <x:v>61</x:v>
      </x:c>
      <x:c r="AV593" t="n">
        <x:f>_xlfn.XLOOKUP($A593,Games!$A$2:$A$18,Games!$Q$2:$Q$18,"Missing game",0)</x:f>
        <x:v>5</x:v>
      </x:c>
      <x:c r="AW593" t="str">
        <x:f>_xlfn.XLOOKUP($A593,Games!$A$2:$A$18,Games!$R$2:$R$18,"Missing game",0)</x:f>
        <x:v>Acrisure Stadium</x:v>
      </x:c>
    </x:row>
    <x:row r="594">
      <x:c r="A594" t="str">
        <x:v>2025_04_MIN_PIT</x:v>
      </x:c>
      <x:c r="B594" t="n">
        <x:v>2384</x:v>
      </x:c>
      <x:c r="C594" t="n">
        <x:v>3</x:v>
      </x:c>
      <x:c r="D594" t="str">
        <x:v>09:39</x:v>
      </x:c>
      <x:c r="E594" t="n">
        <x:v>1</x:v>
      </x:c>
      <x:c r="F594" t="n">
        <x:v>10</x:v>
      </x:c>
      <x:c r="G594" t="str">
        <x:v>MIN</x:v>
      </x:c>
      <x:c r="H594" t="str">
        <x:v>PIT</x:v>
      </x:c>
      <x:c r="I594" t="str">
        <x:v>MIN</x:v>
      </x:c>
      <x:c r="J594" t="n">
        <x:v>78</x:v>
      </x:c>
      <x:c r="K594" t="str">
        <x:v>(9:39) (Shotgun) 27-J.Mason left tackle to MIN 30 for 8 yards (90-T.Watt).</x:v>
      </x:c>
      <x:c r="L594" t="str">
        <x:v>run</x:v>
      </x:c>
      <x:c r="M594" t="n">
        <x:v>8</x:v>
      </x:c>
      <x:c r="N594" t="n">
        <x:v>1</x:v>
      </x:c>
      <x:c r="O594" t="n">
        <x:v>0</x:v>
      </x:c>
      <x:c r="P594"/>
      <x:c r="Q594"/>
      <x:c r="R594"/>
      <x:c r="S594"/>
      <x:c r="T594" t="str">
        <x:v>left</x:v>
      </x:c>
      <x:c r="U594" t="str">
        <x:v>tackle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/>
      <x:c r="AC594" t="n">
        <x:v>0</x:v>
      </x:c>
      <x:c r="AD594" t="n">
        <x:v>0.7733297259546816</x:v>
      </x:c>
      <x:c r="AE594" t="n">
        <x:v>1</x:v>
      </x:c>
      <x:c r="AF594" t="n">
        <x:v>0.0013974756002426147</x:v>
      </x:c>
      <x:c r="AG594" t="n">
        <x:f>_xlfn.XLOOKUP($A594,Games!$A$2:$A$18,Games!$B$2:$B$18,"Missing game",0)</x:f>
        <x:v>2025</x:v>
      </x:c>
      <x:c r="AH594" t="str">
        <x:f>_xlfn.XLOOKUP($A594,Games!$A$2:$A$18,Games!$C$2:$C$18,"Missing game",0)</x:f>
        <x:v>REG</x:v>
      </x:c>
      <x:c r="AI594" t="n">
        <x:f>_xlfn.XLOOKUP($A594,Games!$A$2:$A$18,Games!$D$2:$D$18,"Missing game",0)</x:f>
        <x:v>4</x:v>
      </x:c>
      <x:c r="AJ594" s="1" t="n">
        <x:f>_xlfn.XLOOKUP($A594,Games!$A$2:$A$18,Games!$E$2:$E$18,"Missing game",0)</x:f>
        <x:v>45928</x:v>
      </x:c>
      <x:c r="AK594" t="str">
        <x:f>_xlfn.XLOOKUP($A594,Games!$A$2:$A$18,Games!$F$2:$F$18,"Missing game",0)</x:f>
        <x:v>Sunday</x:v>
      </x:c>
      <x:c r="AL594" t="str">
        <x:f>_xlfn.XLOOKUP($A594,Games!$A$2:$A$18,Games!$G$2:$G$18,"Missing game",0)</x:f>
        <x:v>MIN</x:v>
      </x:c>
      <x:c r="AM594" t="n">
        <x:f>_xlfn.XLOOKUP($A594,Games!$A$2:$A$18,Games!$H$2:$H$18,"Missing game",0)</x:f>
        <x:v>21</x:v>
      </x:c>
      <x:c r="AN594" t="str">
        <x:f>_xlfn.XLOOKUP($A594,Games!$A$2:$A$18,Games!$I$2:$I$18,"Missing game",0)</x:f>
        <x:v>PIT</x:v>
      </x:c>
      <x:c r="AO594" t="n">
        <x:f>_xlfn.XLOOKUP($A594,Games!$A$2:$A$18,Games!$J$2:$J$18,"Missing game",0)</x:f>
        <x:v>24</x:v>
      </x:c>
      <x:c r="AP594" t="n">
        <x:f>_xlfn.XLOOKUP($A594,Games!$A$2:$A$18,Games!$K$2:$K$18,"Missing game",0)</x:f>
        <x:v>3</x:v>
      </x:c>
      <x:c r="AQ594" t="n">
        <x:f>_xlfn.XLOOKUP($A594,Games!$A$2:$A$18,Games!$L$2:$L$18,"Missing game",0)</x:f>
        <x:v>45</x:v>
      </x:c>
      <x:c r="AR594" t="n">
        <x:f>_xlfn.XLOOKUP($A594,Games!$A$2:$A$18,Games!$M$2:$M$18,"Missing game",0)</x:f>
        <x:v>0</x:v>
      </x:c>
      <x:c r="AS594" t="str">
        <x:f>_xlfn.XLOOKUP($A594,Games!$A$2:$A$18,Games!$N$2:$N$18,"Missing game",0)</x:f>
        <x:v>outdoors</x:v>
      </x:c>
      <x:c r="AT594" t="str">
        <x:f>_xlfn.XLOOKUP($A594,Games!$A$2:$A$18,Games!$O$2:$O$18,"Missing game",0)</x:f>
        <x:v>grass</x:v>
      </x:c>
      <x:c r="AU594" t="n">
        <x:f>_xlfn.XLOOKUP($A594,Games!$A$2:$A$18,Games!$P$2:$P$18,"Missing game",0)</x:f>
        <x:v>61</x:v>
      </x:c>
      <x:c r="AV594" t="n">
        <x:f>_xlfn.XLOOKUP($A594,Games!$A$2:$A$18,Games!$Q$2:$Q$18,"Missing game",0)</x:f>
        <x:v>5</x:v>
      </x:c>
      <x:c r="AW594" t="str">
        <x:f>_xlfn.XLOOKUP($A594,Games!$A$2:$A$18,Games!$R$2:$R$18,"Missing game",0)</x:f>
        <x:v>Acrisure Stadium</x:v>
      </x:c>
    </x:row>
    <x:row r="595">
      <x:c r="A595" t="str">
        <x:v>2025_04_MIN_PIT</x:v>
      </x:c>
      <x:c r="B595" t="n">
        <x:v>2406</x:v>
      </x:c>
      <x:c r="C595" t="n">
        <x:v>3</x:v>
      </x:c>
      <x:c r="D595" t="str">
        <x:v>09:01</x:v>
      </x:c>
      <x:c r="E595" t="n">
        <x:v>2</x:v>
      </x:c>
      <x:c r="F595" t="n">
        <x:v>2</x:v>
      </x:c>
      <x:c r="G595" t="str">
        <x:v>MIN</x:v>
      </x:c>
      <x:c r="H595" t="str">
        <x:v>PIT</x:v>
      </x:c>
      <x:c r="I595" t="str">
        <x:v>MIN</x:v>
      </x:c>
      <x:c r="J595" t="n">
        <x:v>70</x:v>
      </x:c>
      <x:c r="K595" t="str">
        <x:v>(9:01) 11-C.Wentz pass short right to 27-J.Mason pushed ob at MIN 43 for 13 yards (21-C.Clark).</x:v>
      </x:c>
      <x:c r="L595" t="str">
        <x:v>pass</x:v>
      </x:c>
      <x:c r="M595" t="n">
        <x:v>13</x:v>
      </x:c>
      <x:c r="N595" t="n">
        <x:v>0</x:v>
      </x:c>
      <x:c r="O595" t="n">
        <x:v>0</x:v>
      </x:c>
      <x:c r="P595" t="str">
        <x:v>short</x:v>
      </x:c>
      <x:c r="Q595" t="str">
        <x:v>right</x:v>
      </x:c>
      <x:c r="R595" t="n">
        <x:v>0</x:v>
      </x:c>
      <x:c r="S595" t="n">
        <x:v>13</x:v>
      </x:c>
      <x:c r="T595"/>
      <x:c r="U595"/>
      <x:c r="V595" t="n">
        <x:v>1</x:v>
      </x:c>
      <x:c r="W595" t="n">
        <x:v>1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/>
      <x:c r="AC595" t="n">
        <x:v>0</x:v>
      </x:c>
      <x:c r="AD595" t="n">
        <x:v>0.8505961582995951</x:v>
      </x:c>
      <x:c r="AE595" t="n">
        <x:v>1</x:v>
      </x:c>
      <x:c r="AF595" t="n">
        <x:v>0.02710309624671936</x:v>
      </x:c>
      <x:c r="AG595" t="n">
        <x:f>_xlfn.XLOOKUP($A595,Games!$A$2:$A$18,Games!$B$2:$B$18,"Missing game",0)</x:f>
        <x:v>2025</x:v>
      </x:c>
      <x:c r="AH595" t="str">
        <x:f>_xlfn.XLOOKUP($A595,Games!$A$2:$A$18,Games!$C$2:$C$18,"Missing game",0)</x:f>
        <x:v>REG</x:v>
      </x:c>
      <x:c r="AI595" t="n">
        <x:f>_xlfn.XLOOKUP($A595,Games!$A$2:$A$18,Games!$D$2:$D$18,"Missing game",0)</x:f>
        <x:v>4</x:v>
      </x:c>
      <x:c r="AJ595" s="1" t="n">
        <x:f>_xlfn.XLOOKUP($A595,Games!$A$2:$A$18,Games!$E$2:$E$18,"Missing game",0)</x:f>
        <x:v>45928</x:v>
      </x:c>
      <x:c r="AK595" t="str">
        <x:f>_xlfn.XLOOKUP($A595,Games!$A$2:$A$18,Games!$F$2:$F$18,"Missing game",0)</x:f>
        <x:v>Sunday</x:v>
      </x:c>
      <x:c r="AL595" t="str">
        <x:f>_xlfn.XLOOKUP($A595,Games!$A$2:$A$18,Games!$G$2:$G$18,"Missing game",0)</x:f>
        <x:v>MIN</x:v>
      </x:c>
      <x:c r="AM595" t="n">
        <x:f>_xlfn.XLOOKUP($A595,Games!$A$2:$A$18,Games!$H$2:$H$18,"Missing game",0)</x:f>
        <x:v>21</x:v>
      </x:c>
      <x:c r="AN595" t="str">
        <x:f>_xlfn.XLOOKUP($A595,Games!$A$2:$A$18,Games!$I$2:$I$18,"Missing game",0)</x:f>
        <x:v>PIT</x:v>
      </x:c>
      <x:c r="AO595" t="n">
        <x:f>_xlfn.XLOOKUP($A595,Games!$A$2:$A$18,Games!$J$2:$J$18,"Missing game",0)</x:f>
        <x:v>24</x:v>
      </x:c>
      <x:c r="AP595" t="n">
        <x:f>_xlfn.XLOOKUP($A595,Games!$A$2:$A$18,Games!$K$2:$K$18,"Missing game",0)</x:f>
        <x:v>3</x:v>
      </x:c>
      <x:c r="AQ595" t="n">
        <x:f>_xlfn.XLOOKUP($A595,Games!$A$2:$A$18,Games!$L$2:$L$18,"Missing game",0)</x:f>
        <x:v>45</x:v>
      </x:c>
      <x:c r="AR595" t="n">
        <x:f>_xlfn.XLOOKUP($A595,Games!$A$2:$A$18,Games!$M$2:$M$18,"Missing game",0)</x:f>
        <x:v>0</x:v>
      </x:c>
      <x:c r="AS595" t="str">
        <x:f>_xlfn.XLOOKUP($A595,Games!$A$2:$A$18,Games!$N$2:$N$18,"Missing game",0)</x:f>
        <x:v>outdoors</x:v>
      </x:c>
      <x:c r="AT595" t="str">
        <x:f>_xlfn.XLOOKUP($A595,Games!$A$2:$A$18,Games!$O$2:$O$18,"Missing game",0)</x:f>
        <x:v>grass</x:v>
      </x:c>
      <x:c r="AU595" t="n">
        <x:f>_xlfn.XLOOKUP($A595,Games!$A$2:$A$18,Games!$P$2:$P$18,"Missing game",0)</x:f>
        <x:v>61</x:v>
      </x:c>
      <x:c r="AV595" t="n">
        <x:f>_xlfn.XLOOKUP($A595,Games!$A$2:$A$18,Games!$Q$2:$Q$18,"Missing game",0)</x:f>
        <x:v>5</x:v>
      </x:c>
      <x:c r="AW595" t="str">
        <x:f>_xlfn.XLOOKUP($A595,Games!$A$2:$A$18,Games!$R$2:$R$18,"Missing game",0)</x:f>
        <x:v>Acrisure Stadium</x:v>
      </x:c>
    </x:row>
    <x:row r="596">
      <x:c r="A596" t="str">
        <x:v>2025_04_MIN_PIT</x:v>
      </x:c>
      <x:c r="B596" t="n">
        <x:v>2441</x:v>
      </x:c>
      <x:c r="C596" t="n">
        <x:v>3</x:v>
      </x:c>
      <x:c r="D596" t="str">
        <x:v>08:22</x:v>
      </x:c>
      <x:c r="E596" t="n">
        <x:v>1</x:v>
      </x:c>
      <x:c r="F596" t="n">
        <x:v>10</x:v>
      </x:c>
      <x:c r="G596" t="str">
        <x:v>MIN</x:v>
      </x:c>
      <x:c r="H596" t="str">
        <x:v>PIT</x:v>
      </x:c>
      <x:c r="I596" t="str">
        <x:v>MIN</x:v>
      </x:c>
      <x:c r="J596" t="n">
        <x:v>57</x:v>
      </x:c>
      <x:c r="K596" t="str">
        <x:v>(8:22) 36-Z.Scott left end to MIN 45 for 2 yards (41-P.Wilson).</x:v>
      </x:c>
      <x:c r="L596" t="str">
        <x:v>run</x:v>
      </x:c>
      <x:c r="M596" t="n">
        <x:v>2</x:v>
      </x:c>
      <x:c r="N596" t="n">
        <x:v>0</x:v>
      </x:c>
      <x:c r="O596" t="n">
        <x:v>0</x:v>
      </x:c>
      <x:c r="P596"/>
      <x:c r="Q596"/>
      <x:c r="R596"/>
      <x:c r="S596"/>
      <x:c r="T596" t="str">
        <x:v>left</x:v>
      </x:c>
      <x:c r="U596" t="str">
        <x:v>end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/>
      <x:c r="AC596" t="n">
        <x:v>0</x:v>
      </x:c>
      <x:c r="AD596" t="n">
        <x:v>-0.4706947801169008</x:v>
      </x:c>
      <x:c r="AE596" t="n">
        <x:v>0</x:v>
      </x:c>
      <x:c r="AF596" t="n">
        <x:v>-0.01864725351333618</x:v>
      </x:c>
      <x:c r="AG596" t="n">
        <x:f>_xlfn.XLOOKUP($A596,Games!$A$2:$A$18,Games!$B$2:$B$18,"Missing game",0)</x:f>
        <x:v>2025</x:v>
      </x:c>
      <x:c r="AH596" t="str">
        <x:f>_xlfn.XLOOKUP($A596,Games!$A$2:$A$18,Games!$C$2:$C$18,"Missing game",0)</x:f>
        <x:v>REG</x:v>
      </x:c>
      <x:c r="AI596" t="n">
        <x:f>_xlfn.XLOOKUP($A596,Games!$A$2:$A$18,Games!$D$2:$D$18,"Missing game",0)</x:f>
        <x:v>4</x:v>
      </x:c>
      <x:c r="AJ596" s="1" t="n">
        <x:f>_xlfn.XLOOKUP($A596,Games!$A$2:$A$18,Games!$E$2:$E$18,"Missing game",0)</x:f>
        <x:v>45928</x:v>
      </x:c>
      <x:c r="AK596" t="str">
        <x:f>_xlfn.XLOOKUP($A596,Games!$A$2:$A$18,Games!$F$2:$F$18,"Missing game",0)</x:f>
        <x:v>Sunday</x:v>
      </x:c>
      <x:c r="AL596" t="str">
        <x:f>_xlfn.XLOOKUP($A596,Games!$A$2:$A$18,Games!$G$2:$G$18,"Missing game",0)</x:f>
        <x:v>MIN</x:v>
      </x:c>
      <x:c r="AM596" t="n">
        <x:f>_xlfn.XLOOKUP($A596,Games!$A$2:$A$18,Games!$H$2:$H$18,"Missing game",0)</x:f>
        <x:v>21</x:v>
      </x:c>
      <x:c r="AN596" t="str">
        <x:f>_xlfn.XLOOKUP($A596,Games!$A$2:$A$18,Games!$I$2:$I$18,"Missing game",0)</x:f>
        <x:v>PIT</x:v>
      </x:c>
      <x:c r="AO596" t="n">
        <x:f>_xlfn.XLOOKUP($A596,Games!$A$2:$A$18,Games!$J$2:$J$18,"Missing game",0)</x:f>
        <x:v>24</x:v>
      </x:c>
      <x:c r="AP596" t="n">
        <x:f>_xlfn.XLOOKUP($A596,Games!$A$2:$A$18,Games!$K$2:$K$18,"Missing game",0)</x:f>
        <x:v>3</x:v>
      </x:c>
      <x:c r="AQ596" t="n">
        <x:f>_xlfn.XLOOKUP($A596,Games!$A$2:$A$18,Games!$L$2:$L$18,"Missing game",0)</x:f>
        <x:v>45</x:v>
      </x:c>
      <x:c r="AR596" t="n">
        <x:f>_xlfn.XLOOKUP($A596,Games!$A$2:$A$18,Games!$M$2:$M$18,"Missing game",0)</x:f>
        <x:v>0</x:v>
      </x:c>
      <x:c r="AS596" t="str">
        <x:f>_xlfn.XLOOKUP($A596,Games!$A$2:$A$18,Games!$N$2:$N$18,"Missing game",0)</x:f>
        <x:v>outdoors</x:v>
      </x:c>
      <x:c r="AT596" t="str">
        <x:f>_xlfn.XLOOKUP($A596,Games!$A$2:$A$18,Games!$O$2:$O$18,"Missing game",0)</x:f>
        <x:v>grass</x:v>
      </x:c>
      <x:c r="AU596" t="n">
        <x:f>_xlfn.XLOOKUP($A596,Games!$A$2:$A$18,Games!$P$2:$P$18,"Missing game",0)</x:f>
        <x:v>61</x:v>
      </x:c>
      <x:c r="AV596" t="n">
        <x:f>_xlfn.XLOOKUP($A596,Games!$A$2:$A$18,Games!$Q$2:$Q$18,"Missing game",0)</x:f>
        <x:v>5</x:v>
      </x:c>
      <x:c r="AW596" t="str">
        <x:f>_xlfn.XLOOKUP($A596,Games!$A$2:$A$18,Games!$R$2:$R$18,"Missing game",0)</x:f>
        <x:v>Acrisure Stadium</x:v>
      </x:c>
    </x:row>
    <x:row r="597">
      <x:c r="A597" t="str">
        <x:v>2025_04_MIN_PIT</x:v>
      </x:c>
      <x:c r="B597" t="n">
        <x:v>2463</x:v>
      </x:c>
      <x:c r="C597" t="n">
        <x:v>3</x:v>
      </x:c>
      <x:c r="D597" t="str">
        <x:v>07:42</x:v>
      </x:c>
      <x:c r="E597" t="n">
        <x:v>2</x:v>
      </x:c>
      <x:c r="F597" t="n">
        <x:v>8</x:v>
      </x:c>
      <x:c r="G597" t="str">
        <x:v>MIN</x:v>
      </x:c>
      <x:c r="H597" t="str">
        <x:v>PIT</x:v>
      </x:c>
      <x:c r="I597" t="str">
        <x:v>MIN</x:v>
      </x:c>
      <x:c r="J597" t="n">
        <x:v>55</x:v>
      </x:c>
      <x:c r="K597" t="str">
        <x:v>(7:42) (Shotgun) 11-C.Wentz pass incomplete short left to 3-J.Addison.</x:v>
      </x:c>
      <x:c r="L597" t="str">
        <x:v>pass</x:v>
      </x:c>
      <x:c r="M597" t="n">
        <x:v>0</x:v>
      </x:c>
      <x:c r="N597" t="n">
        <x:v>1</x:v>
      </x:c>
      <x:c r="O597" t="n">
        <x:v>0</x:v>
      </x:c>
      <x:c r="P597" t="str">
        <x:v>short</x:v>
      </x:c>
      <x:c r="Q597" t="str">
        <x:v>left</x:v>
      </x:c>
      <x:c r="R597" t="n">
        <x:v>10</x:v>
      </x:c>
      <x:c r="S597"/>
      <x:c r="T597"/>
      <x:c r="U597"/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/>
      <x:c r="AC597" t="n">
        <x:v>0</x:v>
      </x:c>
      <x:c r="AD597" t="n">
        <x:v>-0.8570698050316423</x:v>
      </x:c>
      <x:c r="AE597" t="n">
        <x:v>0</x:v>
      </x:c>
      <x:c r="AF597" t="n">
        <x:v>-0.02203872799873352</x:v>
      </x:c>
      <x:c r="AG597" t="n">
        <x:f>_xlfn.XLOOKUP($A597,Games!$A$2:$A$18,Games!$B$2:$B$18,"Missing game",0)</x:f>
        <x:v>2025</x:v>
      </x:c>
      <x:c r="AH597" t="str">
        <x:f>_xlfn.XLOOKUP($A597,Games!$A$2:$A$18,Games!$C$2:$C$18,"Missing game",0)</x:f>
        <x:v>REG</x:v>
      </x:c>
      <x:c r="AI597" t="n">
        <x:f>_xlfn.XLOOKUP($A597,Games!$A$2:$A$18,Games!$D$2:$D$18,"Missing game",0)</x:f>
        <x:v>4</x:v>
      </x:c>
      <x:c r="AJ597" s="1" t="n">
        <x:f>_xlfn.XLOOKUP($A597,Games!$A$2:$A$18,Games!$E$2:$E$18,"Missing game",0)</x:f>
        <x:v>45928</x:v>
      </x:c>
      <x:c r="AK597" t="str">
        <x:f>_xlfn.XLOOKUP($A597,Games!$A$2:$A$18,Games!$F$2:$F$18,"Missing game",0)</x:f>
        <x:v>Sunday</x:v>
      </x:c>
      <x:c r="AL597" t="str">
        <x:f>_xlfn.XLOOKUP($A597,Games!$A$2:$A$18,Games!$G$2:$G$18,"Missing game",0)</x:f>
        <x:v>MIN</x:v>
      </x:c>
      <x:c r="AM597" t="n">
        <x:f>_xlfn.XLOOKUP($A597,Games!$A$2:$A$18,Games!$H$2:$H$18,"Missing game",0)</x:f>
        <x:v>21</x:v>
      </x:c>
      <x:c r="AN597" t="str">
        <x:f>_xlfn.XLOOKUP($A597,Games!$A$2:$A$18,Games!$I$2:$I$18,"Missing game",0)</x:f>
        <x:v>PIT</x:v>
      </x:c>
      <x:c r="AO597" t="n">
        <x:f>_xlfn.XLOOKUP($A597,Games!$A$2:$A$18,Games!$J$2:$J$18,"Missing game",0)</x:f>
        <x:v>24</x:v>
      </x:c>
      <x:c r="AP597" t="n">
        <x:f>_xlfn.XLOOKUP($A597,Games!$A$2:$A$18,Games!$K$2:$K$18,"Missing game",0)</x:f>
        <x:v>3</x:v>
      </x:c>
      <x:c r="AQ597" t="n">
        <x:f>_xlfn.XLOOKUP($A597,Games!$A$2:$A$18,Games!$L$2:$L$18,"Missing game",0)</x:f>
        <x:v>45</x:v>
      </x:c>
      <x:c r="AR597" t="n">
        <x:f>_xlfn.XLOOKUP($A597,Games!$A$2:$A$18,Games!$M$2:$M$18,"Missing game",0)</x:f>
        <x:v>0</x:v>
      </x:c>
      <x:c r="AS597" t="str">
        <x:f>_xlfn.XLOOKUP($A597,Games!$A$2:$A$18,Games!$N$2:$N$18,"Missing game",0)</x:f>
        <x:v>outdoors</x:v>
      </x:c>
      <x:c r="AT597" t="str">
        <x:f>_xlfn.XLOOKUP($A597,Games!$A$2:$A$18,Games!$O$2:$O$18,"Missing game",0)</x:f>
        <x:v>grass</x:v>
      </x:c>
      <x:c r="AU597" t="n">
        <x:f>_xlfn.XLOOKUP($A597,Games!$A$2:$A$18,Games!$P$2:$P$18,"Missing game",0)</x:f>
        <x:v>61</x:v>
      </x:c>
      <x:c r="AV597" t="n">
        <x:f>_xlfn.XLOOKUP($A597,Games!$A$2:$A$18,Games!$Q$2:$Q$18,"Missing game",0)</x:f>
        <x:v>5</x:v>
      </x:c>
      <x:c r="AW597" t="str">
        <x:f>_xlfn.XLOOKUP($A597,Games!$A$2:$A$18,Games!$R$2:$R$18,"Missing game",0)</x:f>
        <x:v>Acrisure Stadium</x:v>
      </x:c>
    </x:row>
    <x:row r="598">
      <x:c r="A598" t="str">
        <x:v>2025_04_MIN_PIT</x:v>
      </x:c>
      <x:c r="B598" t="n">
        <x:v>2486</x:v>
      </x:c>
      <x:c r="C598" t="n">
        <x:v>3</x:v>
      </x:c>
      <x:c r="D598" t="str">
        <x:v>07:38</x:v>
      </x:c>
      <x:c r="E598" t="n">
        <x:v>3</x:v>
      </x:c>
      <x:c r="F598" t="n">
        <x:v>8</x:v>
      </x:c>
      <x:c r="G598" t="str">
        <x:v>MIN</x:v>
      </x:c>
      <x:c r="H598" t="str">
        <x:v>PIT</x:v>
      </x:c>
      <x:c r="I598" t="str">
        <x:v>MIN</x:v>
      </x:c>
      <x:c r="J598" t="n">
        <x:v>55</x:v>
      </x:c>
      <x:c r="K598" t="str">
        <x:v>(7:38) (Shotgun) 11-C.Wentz scrambles left end ran ob at PIT 44 for 11 yards (6-P.Queen).</x:v>
      </x:c>
      <x:c r="L598" t="str">
        <x:v>run</x:v>
      </x:c>
      <x:c r="M598" t="n">
        <x:v>11</x:v>
      </x:c>
      <x:c r="N598" t="n">
        <x:v>1</x:v>
      </x:c>
      <x:c r="O598" t="n">
        <x:v>0</x:v>
      </x:c>
      <x:c r="P598"/>
      <x:c r="Q598"/>
      <x:c r="R598"/>
      <x:c r="S598"/>
      <x:c r="T598" t="str">
        <x:v>left</x:v>
      </x:c>
      <x:c r="U598" t="str">
        <x:v>end</x:v>
      </x:c>
      <x:c r="V598" t="n">
        <x:v>0</x:v>
      </x:c>
      <x:c r="W598" t="n">
        <x:v>1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/>
      <x:c r="AC598" t="n">
        <x:v>0</x:v>
      </x:c>
      <x:c r="AD598" t="n">
        <x:v>2.1273406713735312</x:v>
      </x:c>
      <x:c r="AE598" t="n">
        <x:v>1</x:v>
      </x:c>
      <x:c r="AF598" t="n">
        <x:v>0.029489770531654358</x:v>
      </x:c>
      <x:c r="AG598" t="n">
        <x:f>_xlfn.XLOOKUP($A598,Games!$A$2:$A$18,Games!$B$2:$B$18,"Missing game",0)</x:f>
        <x:v>2025</x:v>
      </x:c>
      <x:c r="AH598" t="str">
        <x:f>_xlfn.XLOOKUP($A598,Games!$A$2:$A$18,Games!$C$2:$C$18,"Missing game",0)</x:f>
        <x:v>REG</x:v>
      </x:c>
      <x:c r="AI598" t="n">
        <x:f>_xlfn.XLOOKUP($A598,Games!$A$2:$A$18,Games!$D$2:$D$18,"Missing game",0)</x:f>
        <x:v>4</x:v>
      </x:c>
      <x:c r="AJ598" s="1" t="n">
        <x:f>_xlfn.XLOOKUP($A598,Games!$A$2:$A$18,Games!$E$2:$E$18,"Missing game",0)</x:f>
        <x:v>45928</x:v>
      </x:c>
      <x:c r="AK598" t="str">
        <x:f>_xlfn.XLOOKUP($A598,Games!$A$2:$A$18,Games!$F$2:$F$18,"Missing game",0)</x:f>
        <x:v>Sunday</x:v>
      </x:c>
      <x:c r="AL598" t="str">
        <x:f>_xlfn.XLOOKUP($A598,Games!$A$2:$A$18,Games!$G$2:$G$18,"Missing game",0)</x:f>
        <x:v>MIN</x:v>
      </x:c>
      <x:c r="AM598" t="n">
        <x:f>_xlfn.XLOOKUP($A598,Games!$A$2:$A$18,Games!$H$2:$H$18,"Missing game",0)</x:f>
        <x:v>21</x:v>
      </x:c>
      <x:c r="AN598" t="str">
        <x:f>_xlfn.XLOOKUP($A598,Games!$A$2:$A$18,Games!$I$2:$I$18,"Missing game",0)</x:f>
        <x:v>PIT</x:v>
      </x:c>
      <x:c r="AO598" t="n">
        <x:f>_xlfn.XLOOKUP($A598,Games!$A$2:$A$18,Games!$J$2:$J$18,"Missing game",0)</x:f>
        <x:v>24</x:v>
      </x:c>
      <x:c r="AP598" t="n">
        <x:f>_xlfn.XLOOKUP($A598,Games!$A$2:$A$18,Games!$K$2:$K$18,"Missing game",0)</x:f>
        <x:v>3</x:v>
      </x:c>
      <x:c r="AQ598" t="n">
        <x:f>_xlfn.XLOOKUP($A598,Games!$A$2:$A$18,Games!$L$2:$L$18,"Missing game",0)</x:f>
        <x:v>45</x:v>
      </x:c>
      <x:c r="AR598" t="n">
        <x:f>_xlfn.XLOOKUP($A598,Games!$A$2:$A$18,Games!$M$2:$M$18,"Missing game",0)</x:f>
        <x:v>0</x:v>
      </x:c>
      <x:c r="AS598" t="str">
        <x:f>_xlfn.XLOOKUP($A598,Games!$A$2:$A$18,Games!$N$2:$N$18,"Missing game",0)</x:f>
        <x:v>outdoors</x:v>
      </x:c>
      <x:c r="AT598" t="str">
        <x:f>_xlfn.XLOOKUP($A598,Games!$A$2:$A$18,Games!$O$2:$O$18,"Missing game",0)</x:f>
        <x:v>grass</x:v>
      </x:c>
      <x:c r="AU598" t="n">
        <x:f>_xlfn.XLOOKUP($A598,Games!$A$2:$A$18,Games!$P$2:$P$18,"Missing game",0)</x:f>
        <x:v>61</x:v>
      </x:c>
      <x:c r="AV598" t="n">
        <x:f>_xlfn.XLOOKUP($A598,Games!$A$2:$A$18,Games!$Q$2:$Q$18,"Missing game",0)</x:f>
        <x:v>5</x:v>
      </x:c>
      <x:c r="AW598" t="str">
        <x:f>_xlfn.XLOOKUP($A598,Games!$A$2:$A$18,Games!$R$2:$R$18,"Missing game",0)</x:f>
        <x:v>Acrisure Stadium</x:v>
      </x:c>
    </x:row>
    <x:row r="599">
      <x:c r="A599" t="str">
        <x:v>2025_04_MIN_PIT</x:v>
      </x:c>
      <x:c r="B599" t="n">
        <x:v>2513</x:v>
      </x:c>
      <x:c r="C599" t="n">
        <x:v>3</x:v>
      </x:c>
      <x:c r="D599" t="str">
        <x:v>06:53</x:v>
      </x:c>
      <x:c r="E599" t="n">
        <x:v>1</x:v>
      </x:c>
      <x:c r="F599" t="n">
        <x:v>10</x:v>
      </x:c>
      <x:c r="G599" t="str">
        <x:v>MIN</x:v>
      </x:c>
      <x:c r="H599" t="str">
        <x:v>PIT</x:v>
      </x:c>
      <x:c r="I599" t="str">
        <x:v>PIT</x:v>
      </x:c>
      <x:c r="J599" t="n">
        <x:v>44</x:v>
      </x:c>
      <x:c r="K599" t="str">
        <x:v>(6:53) 11-C.Wentz sacked at MIN 48 for -8 yards (25-D.Elliott). FUMBLES (25-D.Elliott) [25-D.Elliott], touched at MIN 48, recovered by MIN-84-J.Oliver at PIT 45.</x:v>
      </x:c>
      <x:c r="L599" t="str">
        <x:v>pass</x:v>
      </x:c>
      <x:c r="M599" t="n">
        <x:v>-8</x:v>
      </x:c>
      <x:c r="N599" t="n">
        <x:v>0</x:v>
      </x:c>
      <x:c r="O599" t="n">
        <x:v>0</x:v>
      </x:c>
      <x:c r="P599"/>
      <x:c r="Q599"/>
      <x:c r="R599"/>
      <x:c r="S599"/>
      <x:c r="T599"/>
      <x:c r="U599"/>
      <x:c r="V599" t="n">
        <x:v>0</x:v>
      </x:c>
      <x:c r="W599" t="n">
        <x:v>0</x:v>
      </x:c>
      <x:c r="X599" t="n">
        <x:v>1</x:v>
      </x:c>
      <x:c r="Y599" t="n">
        <x:v>0</x:v>
      </x:c>
      <x:c r="Z599" t="n">
        <x:v>0</x:v>
      </x:c>
      <x:c r="AA599" t="n">
        <x:v>0</x:v>
      </x:c>
      <x:c r="AB599"/>
      <x:c r="AC599" t="n">
        <x:v>0</x:v>
      </x:c>
      <x:c r="AD599" t="n">
        <x:v>-0.8059693884570152</x:v>
      </x:c>
      <x:c r="AE599" t="n">
        <x:v>0</x:v>
      </x:c>
      <x:c r="AF599" t="n">
        <x:v>-0.024486973881721497</x:v>
      </x:c>
      <x:c r="AG599" t="n">
        <x:f>_xlfn.XLOOKUP($A599,Games!$A$2:$A$18,Games!$B$2:$B$18,"Missing game",0)</x:f>
        <x:v>2025</x:v>
      </x:c>
      <x:c r="AH599" t="str">
        <x:f>_xlfn.XLOOKUP($A599,Games!$A$2:$A$18,Games!$C$2:$C$18,"Missing game",0)</x:f>
        <x:v>REG</x:v>
      </x:c>
      <x:c r="AI599" t="n">
        <x:f>_xlfn.XLOOKUP($A599,Games!$A$2:$A$18,Games!$D$2:$D$18,"Missing game",0)</x:f>
        <x:v>4</x:v>
      </x:c>
      <x:c r="AJ599" s="1" t="n">
        <x:f>_xlfn.XLOOKUP($A599,Games!$A$2:$A$18,Games!$E$2:$E$18,"Missing game",0)</x:f>
        <x:v>45928</x:v>
      </x:c>
      <x:c r="AK599" t="str">
        <x:f>_xlfn.XLOOKUP($A599,Games!$A$2:$A$18,Games!$F$2:$F$18,"Missing game",0)</x:f>
        <x:v>Sunday</x:v>
      </x:c>
      <x:c r="AL599" t="str">
        <x:f>_xlfn.XLOOKUP($A599,Games!$A$2:$A$18,Games!$G$2:$G$18,"Missing game",0)</x:f>
        <x:v>MIN</x:v>
      </x:c>
      <x:c r="AM599" t="n">
        <x:f>_xlfn.XLOOKUP($A599,Games!$A$2:$A$18,Games!$H$2:$H$18,"Missing game",0)</x:f>
        <x:v>21</x:v>
      </x:c>
      <x:c r="AN599" t="str">
        <x:f>_xlfn.XLOOKUP($A599,Games!$A$2:$A$18,Games!$I$2:$I$18,"Missing game",0)</x:f>
        <x:v>PIT</x:v>
      </x:c>
      <x:c r="AO599" t="n">
        <x:f>_xlfn.XLOOKUP($A599,Games!$A$2:$A$18,Games!$J$2:$J$18,"Missing game",0)</x:f>
        <x:v>24</x:v>
      </x:c>
      <x:c r="AP599" t="n">
        <x:f>_xlfn.XLOOKUP($A599,Games!$A$2:$A$18,Games!$K$2:$K$18,"Missing game",0)</x:f>
        <x:v>3</x:v>
      </x:c>
      <x:c r="AQ599" t="n">
        <x:f>_xlfn.XLOOKUP($A599,Games!$A$2:$A$18,Games!$L$2:$L$18,"Missing game",0)</x:f>
        <x:v>45</x:v>
      </x:c>
      <x:c r="AR599" t="n">
        <x:f>_xlfn.XLOOKUP($A599,Games!$A$2:$A$18,Games!$M$2:$M$18,"Missing game",0)</x:f>
        <x:v>0</x:v>
      </x:c>
      <x:c r="AS599" t="str">
        <x:f>_xlfn.XLOOKUP($A599,Games!$A$2:$A$18,Games!$N$2:$N$18,"Missing game",0)</x:f>
        <x:v>outdoors</x:v>
      </x:c>
      <x:c r="AT599" t="str">
        <x:f>_xlfn.XLOOKUP($A599,Games!$A$2:$A$18,Games!$O$2:$O$18,"Missing game",0)</x:f>
        <x:v>grass</x:v>
      </x:c>
      <x:c r="AU599" t="n">
        <x:f>_xlfn.XLOOKUP($A599,Games!$A$2:$A$18,Games!$P$2:$P$18,"Missing game",0)</x:f>
        <x:v>61</x:v>
      </x:c>
      <x:c r="AV599" t="n">
        <x:f>_xlfn.XLOOKUP($A599,Games!$A$2:$A$18,Games!$Q$2:$Q$18,"Missing game",0)</x:f>
        <x:v>5</x:v>
      </x:c>
      <x:c r="AW599" t="str">
        <x:f>_xlfn.XLOOKUP($A599,Games!$A$2:$A$18,Games!$R$2:$R$18,"Missing game",0)</x:f>
        <x:v>Acrisure Stadium</x:v>
      </x:c>
    </x:row>
    <x:row r="600">
      <x:c r="A600" t="str">
        <x:v>2025_04_MIN_PIT</x:v>
      </x:c>
      <x:c r="B600" t="n">
        <x:v>2543</x:v>
      </x:c>
      <x:c r="C600" t="n">
        <x:v>3</x:v>
      </x:c>
      <x:c r="D600" t="str">
        <x:v>06:04</x:v>
      </x:c>
      <x:c r="E600" t="n">
        <x:v>2</x:v>
      </x:c>
      <x:c r="F600" t="n">
        <x:v>11</x:v>
      </x:c>
      <x:c r="G600" t="str">
        <x:v>MIN</x:v>
      </x:c>
      <x:c r="H600" t="str">
        <x:v>PIT</x:v>
      </x:c>
      <x:c r="I600" t="str">
        <x:v>PIT</x:v>
      </x:c>
      <x:c r="J600" t="n">
        <x:v>45</x:v>
      </x:c>
      <x:c r="K600" t="str">
        <x:v>(6:04) 11-C.Wentz sacked at 50 for -5 yards (90-T.Watt).</x:v>
      </x:c>
      <x:c r="L600" t="str">
        <x:v>pass</x:v>
      </x:c>
      <x:c r="M600" t="n">
        <x:v>-5</x:v>
      </x:c>
      <x:c r="N600" t="n">
        <x:v>0</x:v>
      </x:c>
      <x:c r="O600" t="n">
        <x:v>0</x:v>
      </x:c>
      <x:c r="P600"/>
      <x:c r="Q600"/>
      <x:c r="R600"/>
      <x:c r="S600"/>
      <x:c r="T600"/>
      <x:c r="U600"/>
      <x:c r="V600" t="n">
        <x:v>0</x:v>
      </x:c>
      <x:c r="W600" t="n">
        <x:v>0</x:v>
      </x:c>
      <x:c r="X600" t="n">
        <x:v>1</x:v>
      </x:c>
      <x:c r="Y600" t="n">
        <x:v>0</x:v>
      </x:c>
      <x:c r="Z600" t="n">
        <x:v>0</x:v>
      </x:c>
      <x:c r="AA600" t="n">
        <x:v>0</x:v>
      </x:c>
      <x:c r="AB600"/>
      <x:c r="AC600" t="n">
        <x:v>0</x:v>
      </x:c>
      <x:c r="AD600" t="n">
        <x:v>-1.421506123850122</x:v>
      </x:c>
      <x:c r="AE600" t="n">
        <x:v>0</x:v>
      </x:c>
      <x:c r="AF600" t="n">
        <x:v>-0.021077781915664673</x:v>
      </x:c>
      <x:c r="AG600" t="n">
        <x:f>_xlfn.XLOOKUP($A600,Games!$A$2:$A$18,Games!$B$2:$B$18,"Missing game",0)</x:f>
        <x:v>2025</x:v>
      </x:c>
      <x:c r="AH600" t="str">
        <x:f>_xlfn.XLOOKUP($A600,Games!$A$2:$A$18,Games!$C$2:$C$18,"Missing game",0)</x:f>
        <x:v>REG</x:v>
      </x:c>
      <x:c r="AI600" t="n">
        <x:f>_xlfn.XLOOKUP($A600,Games!$A$2:$A$18,Games!$D$2:$D$18,"Missing game",0)</x:f>
        <x:v>4</x:v>
      </x:c>
      <x:c r="AJ600" s="1" t="n">
        <x:f>_xlfn.XLOOKUP($A600,Games!$A$2:$A$18,Games!$E$2:$E$18,"Missing game",0)</x:f>
        <x:v>45928</x:v>
      </x:c>
      <x:c r="AK600" t="str">
        <x:f>_xlfn.XLOOKUP($A600,Games!$A$2:$A$18,Games!$F$2:$F$18,"Missing game",0)</x:f>
        <x:v>Sunday</x:v>
      </x:c>
      <x:c r="AL600" t="str">
        <x:f>_xlfn.XLOOKUP($A600,Games!$A$2:$A$18,Games!$G$2:$G$18,"Missing game",0)</x:f>
        <x:v>MIN</x:v>
      </x:c>
      <x:c r="AM600" t="n">
        <x:f>_xlfn.XLOOKUP($A600,Games!$A$2:$A$18,Games!$H$2:$H$18,"Missing game",0)</x:f>
        <x:v>21</x:v>
      </x:c>
      <x:c r="AN600" t="str">
        <x:f>_xlfn.XLOOKUP($A600,Games!$A$2:$A$18,Games!$I$2:$I$18,"Missing game",0)</x:f>
        <x:v>PIT</x:v>
      </x:c>
      <x:c r="AO600" t="n">
        <x:f>_xlfn.XLOOKUP($A600,Games!$A$2:$A$18,Games!$J$2:$J$18,"Missing game",0)</x:f>
        <x:v>24</x:v>
      </x:c>
      <x:c r="AP600" t="n">
        <x:f>_xlfn.XLOOKUP($A600,Games!$A$2:$A$18,Games!$K$2:$K$18,"Missing game",0)</x:f>
        <x:v>3</x:v>
      </x:c>
      <x:c r="AQ600" t="n">
        <x:f>_xlfn.XLOOKUP($A600,Games!$A$2:$A$18,Games!$L$2:$L$18,"Missing game",0)</x:f>
        <x:v>45</x:v>
      </x:c>
      <x:c r="AR600" t="n">
        <x:f>_xlfn.XLOOKUP($A600,Games!$A$2:$A$18,Games!$M$2:$M$18,"Missing game",0)</x:f>
        <x:v>0</x:v>
      </x:c>
      <x:c r="AS600" t="str">
        <x:f>_xlfn.XLOOKUP($A600,Games!$A$2:$A$18,Games!$N$2:$N$18,"Missing game",0)</x:f>
        <x:v>outdoors</x:v>
      </x:c>
      <x:c r="AT600" t="str">
        <x:f>_xlfn.XLOOKUP($A600,Games!$A$2:$A$18,Games!$O$2:$O$18,"Missing game",0)</x:f>
        <x:v>grass</x:v>
      </x:c>
      <x:c r="AU600" t="n">
        <x:f>_xlfn.XLOOKUP($A600,Games!$A$2:$A$18,Games!$P$2:$P$18,"Missing game",0)</x:f>
        <x:v>61</x:v>
      </x:c>
      <x:c r="AV600" t="n">
        <x:f>_xlfn.XLOOKUP($A600,Games!$A$2:$A$18,Games!$Q$2:$Q$18,"Missing game",0)</x:f>
        <x:v>5</x:v>
      </x:c>
      <x:c r="AW600" t="str">
        <x:f>_xlfn.XLOOKUP($A600,Games!$A$2:$A$18,Games!$R$2:$R$18,"Missing game",0)</x:f>
        <x:v>Acrisure Stadium</x:v>
      </x:c>
    </x:row>
    <x:row r="601">
      <x:c r="A601" t="str">
        <x:v>2025_04_MIN_PIT</x:v>
      </x:c>
      <x:c r="B601" t="n">
        <x:v>2563</x:v>
      </x:c>
      <x:c r="C601" t="n">
        <x:v>3</x:v>
      </x:c>
      <x:c r="D601" t="str">
        <x:v>05:22</x:v>
      </x:c>
      <x:c r="E601" t="n">
        <x:v>3</x:v>
      </x:c>
      <x:c r="F601" t="n">
        <x:v>16</x:v>
      </x:c>
      <x:c r="G601" t="str">
        <x:v>MIN</x:v>
      </x:c>
      <x:c r="H601" t="str">
        <x:v>PIT</x:v>
      </x:c>
      <x:c r="I601" t="str">
        <x:v>50</x:v>
      </x:c>
      <x:c r="J601" t="n">
        <x:v>50</x:v>
      </x:c>
      <x:c r="K601" t="str">
        <x:v>(5:22) (Shotgun) 11-C.Wentz pass short middle intended for 36-Z.Scott INTERCEPTED by 90-T.Watt at MIN 48. 90-T.Watt to MIN 35 for 13 yards (36-Z.Scott).</x:v>
      </x:c>
      <x:c r="L601" t="str">
        <x:v>pass</x:v>
      </x:c>
      <x:c r="M601" t="n">
        <x:v>0</x:v>
      </x:c>
      <x:c r="N601" t="n">
        <x:v>1</x:v>
      </x:c>
      <x:c r="O601" t="n">
        <x:v>0</x:v>
      </x:c>
      <x:c r="P601" t="str">
        <x:v>short</x:v>
      </x:c>
      <x:c r="Q601" t="str">
        <x:v>middle</x:v>
      </x:c>
      <x:c r="R601" t="n">
        <x:v>-2</x:v>
      </x:c>
      <x:c r="S601"/>
      <x:c r="T601"/>
      <x:c r="U601"/>
      <x:c r="V601" t="n">
        <x:v>0</x:v>
      </x:c>
      <x:c r="W601" t="n">
        <x:v>0</x:v>
      </x:c>
      <x:c r="X601" t="n">
        <x:v>0</x:v>
      </x:c>
      <x:c r="Y601" t="n">
        <x:v>1</x:v>
      </x:c>
      <x:c r="Z601" t="n">
        <x:v>0</x:v>
      </x:c>
      <x:c r="AA601" t="n">
        <x:v>0</x:v>
      </x:c>
      <x:c r="AB601"/>
      <x:c r="AC601" t="n">
        <x:v>0</x:v>
      </x:c>
      <x:c r="AD601" t="n">
        <x:v>-4.185406570555642</x:v>
      </x:c>
      <x:c r="AE601" t="n">
        <x:v>0</x:v>
      </x:c>
      <x:c r="AF601" t="n">
        <x:v>-0.056116342544555664</x:v>
      </x:c>
      <x:c r="AG601" t="n">
        <x:f>_xlfn.XLOOKUP($A601,Games!$A$2:$A$18,Games!$B$2:$B$18,"Missing game",0)</x:f>
        <x:v>2025</x:v>
      </x:c>
      <x:c r="AH601" t="str">
        <x:f>_xlfn.XLOOKUP($A601,Games!$A$2:$A$18,Games!$C$2:$C$18,"Missing game",0)</x:f>
        <x:v>REG</x:v>
      </x:c>
      <x:c r="AI601" t="n">
        <x:f>_xlfn.XLOOKUP($A601,Games!$A$2:$A$18,Games!$D$2:$D$18,"Missing game",0)</x:f>
        <x:v>4</x:v>
      </x:c>
      <x:c r="AJ601" s="1" t="n">
        <x:f>_xlfn.XLOOKUP($A601,Games!$A$2:$A$18,Games!$E$2:$E$18,"Missing game",0)</x:f>
        <x:v>45928</x:v>
      </x:c>
      <x:c r="AK601" t="str">
        <x:f>_xlfn.XLOOKUP($A601,Games!$A$2:$A$18,Games!$F$2:$F$18,"Missing game",0)</x:f>
        <x:v>Sunday</x:v>
      </x:c>
      <x:c r="AL601" t="str">
        <x:f>_xlfn.XLOOKUP($A601,Games!$A$2:$A$18,Games!$G$2:$G$18,"Missing game",0)</x:f>
        <x:v>MIN</x:v>
      </x:c>
      <x:c r="AM601" t="n">
        <x:f>_xlfn.XLOOKUP($A601,Games!$A$2:$A$18,Games!$H$2:$H$18,"Missing game",0)</x:f>
        <x:v>21</x:v>
      </x:c>
      <x:c r="AN601" t="str">
        <x:f>_xlfn.XLOOKUP($A601,Games!$A$2:$A$18,Games!$I$2:$I$18,"Missing game",0)</x:f>
        <x:v>PIT</x:v>
      </x:c>
      <x:c r="AO601" t="n">
        <x:f>_xlfn.XLOOKUP($A601,Games!$A$2:$A$18,Games!$J$2:$J$18,"Missing game",0)</x:f>
        <x:v>24</x:v>
      </x:c>
      <x:c r="AP601" t="n">
        <x:f>_xlfn.XLOOKUP($A601,Games!$A$2:$A$18,Games!$K$2:$K$18,"Missing game",0)</x:f>
        <x:v>3</x:v>
      </x:c>
      <x:c r="AQ601" t="n">
        <x:f>_xlfn.XLOOKUP($A601,Games!$A$2:$A$18,Games!$L$2:$L$18,"Missing game",0)</x:f>
        <x:v>45</x:v>
      </x:c>
      <x:c r="AR601" t="n">
        <x:f>_xlfn.XLOOKUP($A601,Games!$A$2:$A$18,Games!$M$2:$M$18,"Missing game",0)</x:f>
        <x:v>0</x:v>
      </x:c>
      <x:c r="AS601" t="str">
        <x:f>_xlfn.XLOOKUP($A601,Games!$A$2:$A$18,Games!$N$2:$N$18,"Missing game",0)</x:f>
        <x:v>outdoors</x:v>
      </x:c>
      <x:c r="AT601" t="str">
        <x:f>_xlfn.XLOOKUP($A601,Games!$A$2:$A$18,Games!$O$2:$O$18,"Missing game",0)</x:f>
        <x:v>grass</x:v>
      </x:c>
      <x:c r="AU601" t="n">
        <x:f>_xlfn.XLOOKUP($A601,Games!$A$2:$A$18,Games!$P$2:$P$18,"Missing game",0)</x:f>
        <x:v>61</x:v>
      </x:c>
      <x:c r="AV601" t="n">
        <x:f>_xlfn.XLOOKUP($A601,Games!$A$2:$A$18,Games!$Q$2:$Q$18,"Missing game",0)</x:f>
        <x:v>5</x:v>
      </x:c>
      <x:c r="AW601" t="str">
        <x:f>_xlfn.XLOOKUP($A601,Games!$A$2:$A$18,Games!$R$2:$R$18,"Missing game",0)</x:f>
        <x:v>Acrisure Stadium</x:v>
      </x:c>
    </x:row>
    <x:row r="602">
      <x:c r="A602" t="str">
        <x:v>2025_04_MIN_PIT</x:v>
      </x:c>
      <x:c r="B602" t="n">
        <x:v>2614</x:v>
      </x:c>
      <x:c r="C602" t="n">
        <x:v>3</x:v>
      </x:c>
      <x:c r="D602" t="str">
        <x:v>05:15</x:v>
      </x:c>
      <x:c r="E602" t="n">
        <x:v>1</x:v>
      </x:c>
      <x:c r="F602" t="n">
        <x:v>10</x:v>
      </x:c>
      <x:c r="G602" t="str">
        <x:v>PIT</x:v>
      </x:c>
      <x:c r="H602" t="str">
        <x:v>MIN</x:v>
      </x:c>
      <x:c r="I602" t="str">
        <x:v>MIN</x:v>
      </x:c>
      <x:c r="J602" t="n">
        <x:v>35</x:v>
      </x:c>
      <x:c r="K602" t="str">
        <x:v>(5:15) (Shotgun) 8-A.Rodgers pass short middle to 80-D.Washington to MIN 27 for 8 yards (44-J.Metellus; 26-T.Jackson).</x:v>
      </x:c>
      <x:c r="L602" t="str">
        <x:v>pass</x:v>
      </x:c>
      <x:c r="M602" t="n">
        <x:v>8</x:v>
      </x:c>
      <x:c r="N602" t="n">
        <x:v>1</x:v>
      </x:c>
      <x:c r="O602" t="n">
        <x:v>0</x:v>
      </x:c>
      <x:c r="P602" t="str">
        <x:v>short</x:v>
      </x:c>
      <x:c r="Q602" t="str">
        <x:v>middle</x:v>
      </x:c>
      <x:c r="R602" t="n">
        <x:v>5</x:v>
      </x:c>
      <x:c r="S602" t="n">
        <x:v>3</x:v>
      </x:c>
      <x:c r="T602"/>
      <x:c r="U602"/>
      <x:c r="V602" t="n">
        <x:v>1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/>
      <x:c r="AC602" t="n">
        <x:v>0</x:v>
      </x:c>
      <x:c r="AD602" t="n">
        <x:v>0.5959179416531697</x:v>
      </x:c>
      <x:c r="AE602" t="n">
        <x:v>1</x:v>
      </x:c>
      <x:c r="AF602" t="n">
        <x:v>0.013185858726501465</x:v>
      </x:c>
      <x:c r="AG602" t="n">
        <x:f>_xlfn.XLOOKUP($A602,Games!$A$2:$A$18,Games!$B$2:$B$18,"Missing game",0)</x:f>
        <x:v>2025</x:v>
      </x:c>
      <x:c r="AH602" t="str">
        <x:f>_xlfn.XLOOKUP($A602,Games!$A$2:$A$18,Games!$C$2:$C$18,"Missing game",0)</x:f>
        <x:v>REG</x:v>
      </x:c>
      <x:c r="AI602" t="n">
        <x:f>_xlfn.XLOOKUP($A602,Games!$A$2:$A$18,Games!$D$2:$D$18,"Missing game",0)</x:f>
        <x:v>4</x:v>
      </x:c>
      <x:c r="AJ602" s="1" t="n">
        <x:f>_xlfn.XLOOKUP($A602,Games!$A$2:$A$18,Games!$E$2:$E$18,"Missing game",0)</x:f>
        <x:v>45928</x:v>
      </x:c>
      <x:c r="AK602" t="str">
        <x:f>_xlfn.XLOOKUP($A602,Games!$A$2:$A$18,Games!$F$2:$F$18,"Missing game",0)</x:f>
        <x:v>Sunday</x:v>
      </x:c>
      <x:c r="AL602" t="str">
        <x:f>_xlfn.XLOOKUP($A602,Games!$A$2:$A$18,Games!$G$2:$G$18,"Missing game",0)</x:f>
        <x:v>MIN</x:v>
      </x:c>
      <x:c r="AM602" t="n">
        <x:f>_xlfn.XLOOKUP($A602,Games!$A$2:$A$18,Games!$H$2:$H$18,"Missing game",0)</x:f>
        <x:v>21</x:v>
      </x:c>
      <x:c r="AN602" t="str">
        <x:f>_xlfn.XLOOKUP($A602,Games!$A$2:$A$18,Games!$I$2:$I$18,"Missing game",0)</x:f>
        <x:v>PIT</x:v>
      </x:c>
      <x:c r="AO602" t="n">
        <x:f>_xlfn.XLOOKUP($A602,Games!$A$2:$A$18,Games!$J$2:$J$18,"Missing game",0)</x:f>
        <x:v>24</x:v>
      </x:c>
      <x:c r="AP602" t="n">
        <x:f>_xlfn.XLOOKUP($A602,Games!$A$2:$A$18,Games!$K$2:$K$18,"Missing game",0)</x:f>
        <x:v>3</x:v>
      </x:c>
      <x:c r="AQ602" t="n">
        <x:f>_xlfn.XLOOKUP($A602,Games!$A$2:$A$18,Games!$L$2:$L$18,"Missing game",0)</x:f>
        <x:v>45</x:v>
      </x:c>
      <x:c r="AR602" t="n">
        <x:f>_xlfn.XLOOKUP($A602,Games!$A$2:$A$18,Games!$M$2:$M$18,"Missing game",0)</x:f>
        <x:v>0</x:v>
      </x:c>
      <x:c r="AS602" t="str">
        <x:f>_xlfn.XLOOKUP($A602,Games!$A$2:$A$18,Games!$N$2:$N$18,"Missing game",0)</x:f>
        <x:v>outdoors</x:v>
      </x:c>
      <x:c r="AT602" t="str">
        <x:f>_xlfn.XLOOKUP($A602,Games!$A$2:$A$18,Games!$O$2:$O$18,"Missing game",0)</x:f>
        <x:v>grass</x:v>
      </x:c>
      <x:c r="AU602" t="n">
        <x:f>_xlfn.XLOOKUP($A602,Games!$A$2:$A$18,Games!$P$2:$P$18,"Missing game",0)</x:f>
        <x:v>61</x:v>
      </x:c>
      <x:c r="AV602" t="n">
        <x:f>_xlfn.XLOOKUP($A602,Games!$A$2:$A$18,Games!$Q$2:$Q$18,"Missing game",0)</x:f>
        <x:v>5</x:v>
      </x:c>
      <x:c r="AW602" t="str">
        <x:f>_xlfn.XLOOKUP($A602,Games!$A$2:$A$18,Games!$R$2:$R$18,"Missing game",0)</x:f>
        <x:v>Acrisure Stadium</x:v>
      </x:c>
    </x:row>
    <x:row r="603">
      <x:c r="A603" t="str">
        <x:v>2025_04_MIN_PIT</x:v>
      </x:c>
      <x:c r="B603" t="n">
        <x:v>2646</x:v>
      </x:c>
      <x:c r="C603" t="n">
        <x:v>3</x:v>
      </x:c>
      <x:c r="D603" t="str">
        <x:v>04:35</x:v>
      </x:c>
      <x:c r="E603" t="n">
        <x:v>2</x:v>
      </x:c>
      <x:c r="F603" t="n">
        <x:v>2</x:v>
      </x:c>
      <x:c r="G603" t="str">
        <x:v>PIT</x:v>
      </x:c>
      <x:c r="H603" t="str">
        <x:v>MIN</x:v>
      </x:c>
      <x:c r="I603" t="str">
        <x:v>MIN</x:v>
      </x:c>
      <x:c r="J603" t="n">
        <x:v>27</x:v>
      </x:c>
      <x:c r="K603" t="str">
        <x:v>(4:35) (Shotgun) 14-K.Gainwell left end to MIN 20 for 7 yards (22-H.Smith).</x:v>
      </x:c>
      <x:c r="L603" t="str">
        <x:v>run</x:v>
      </x:c>
      <x:c r="M603" t="n">
        <x:v>7</x:v>
      </x:c>
      <x:c r="N603" t="n">
        <x:v>1</x:v>
      </x:c>
      <x:c r="O603" t="n">
        <x:v>0</x:v>
      </x:c>
      <x:c r="P603"/>
      <x:c r="Q603"/>
      <x:c r="R603"/>
      <x:c r="S603"/>
      <x:c r="T603" t="str">
        <x:v>left</x:v>
      </x:c>
      <x:c r="U603" t="str">
        <x:v>end</x:v>
      </x:c>
      <x:c r="V603" t="n">
        <x:v>0</x:v>
      </x:c>
      <x:c r="W603" t="n">
        <x:v>1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/>
      <x:c r="AC603" t="n">
        <x:v>0</x:v>
      </x:c>
      <x:c r="AD603" t="n">
        <x:v>0.4065021075075492</x:v>
      </x:c>
      <x:c r="AE603" t="n">
        <x:v>1</x:v>
      </x:c>
      <x:c r="AF603" t="n">
        <x:v>0.003429889678955078</x:v>
      </x:c>
      <x:c r="AG603" t="n">
        <x:f>_xlfn.XLOOKUP($A603,Games!$A$2:$A$18,Games!$B$2:$B$18,"Missing game",0)</x:f>
        <x:v>2025</x:v>
      </x:c>
      <x:c r="AH603" t="str">
        <x:f>_xlfn.XLOOKUP($A603,Games!$A$2:$A$18,Games!$C$2:$C$18,"Missing game",0)</x:f>
        <x:v>REG</x:v>
      </x:c>
      <x:c r="AI603" t="n">
        <x:f>_xlfn.XLOOKUP($A603,Games!$A$2:$A$18,Games!$D$2:$D$18,"Missing game",0)</x:f>
        <x:v>4</x:v>
      </x:c>
      <x:c r="AJ603" s="1" t="n">
        <x:f>_xlfn.XLOOKUP($A603,Games!$A$2:$A$18,Games!$E$2:$E$18,"Missing game",0)</x:f>
        <x:v>45928</x:v>
      </x:c>
      <x:c r="AK603" t="str">
        <x:f>_xlfn.XLOOKUP($A603,Games!$A$2:$A$18,Games!$F$2:$F$18,"Missing game",0)</x:f>
        <x:v>Sunday</x:v>
      </x:c>
      <x:c r="AL603" t="str">
        <x:f>_xlfn.XLOOKUP($A603,Games!$A$2:$A$18,Games!$G$2:$G$18,"Missing game",0)</x:f>
        <x:v>MIN</x:v>
      </x:c>
      <x:c r="AM603" t="n">
        <x:f>_xlfn.XLOOKUP($A603,Games!$A$2:$A$18,Games!$H$2:$H$18,"Missing game",0)</x:f>
        <x:v>21</x:v>
      </x:c>
      <x:c r="AN603" t="str">
        <x:f>_xlfn.XLOOKUP($A603,Games!$A$2:$A$18,Games!$I$2:$I$18,"Missing game",0)</x:f>
        <x:v>PIT</x:v>
      </x:c>
      <x:c r="AO603" t="n">
        <x:f>_xlfn.XLOOKUP($A603,Games!$A$2:$A$18,Games!$J$2:$J$18,"Missing game",0)</x:f>
        <x:v>24</x:v>
      </x:c>
      <x:c r="AP603" t="n">
        <x:f>_xlfn.XLOOKUP($A603,Games!$A$2:$A$18,Games!$K$2:$K$18,"Missing game",0)</x:f>
        <x:v>3</x:v>
      </x:c>
      <x:c r="AQ603" t="n">
        <x:f>_xlfn.XLOOKUP($A603,Games!$A$2:$A$18,Games!$L$2:$L$18,"Missing game",0)</x:f>
        <x:v>45</x:v>
      </x:c>
      <x:c r="AR603" t="n">
        <x:f>_xlfn.XLOOKUP($A603,Games!$A$2:$A$18,Games!$M$2:$M$18,"Missing game",0)</x:f>
        <x:v>0</x:v>
      </x:c>
      <x:c r="AS603" t="str">
        <x:f>_xlfn.XLOOKUP($A603,Games!$A$2:$A$18,Games!$N$2:$N$18,"Missing game",0)</x:f>
        <x:v>outdoors</x:v>
      </x:c>
      <x:c r="AT603" t="str">
        <x:f>_xlfn.XLOOKUP($A603,Games!$A$2:$A$18,Games!$O$2:$O$18,"Missing game",0)</x:f>
        <x:v>grass</x:v>
      </x:c>
      <x:c r="AU603" t="n">
        <x:f>_xlfn.XLOOKUP($A603,Games!$A$2:$A$18,Games!$P$2:$P$18,"Missing game",0)</x:f>
        <x:v>61</x:v>
      </x:c>
      <x:c r="AV603" t="n">
        <x:f>_xlfn.XLOOKUP($A603,Games!$A$2:$A$18,Games!$Q$2:$Q$18,"Missing game",0)</x:f>
        <x:v>5</x:v>
      </x:c>
      <x:c r="AW603" t="str">
        <x:f>_xlfn.XLOOKUP($A603,Games!$A$2:$A$18,Games!$R$2:$R$18,"Missing game",0)</x:f>
        <x:v>Acrisure Stadium</x:v>
      </x:c>
    </x:row>
    <x:row r="604">
      <x:c r="A604" t="str">
        <x:v>2025_04_MIN_PIT</x:v>
      </x:c>
      <x:c r="B604" t="n">
        <x:v>2668</x:v>
      </x:c>
      <x:c r="C604" t="n">
        <x:v>3</x:v>
      </x:c>
      <x:c r="D604" t="str">
        <x:v>03:48</x:v>
      </x:c>
      <x:c r="E604" t="n">
        <x:v>1</x:v>
      </x:c>
      <x:c r="F604" t="n">
        <x:v>10</x:v>
      </x:c>
      <x:c r="G604" t="str">
        <x:v>PIT</x:v>
      </x:c>
      <x:c r="H604" t="str">
        <x:v>MIN</x:v>
      </x:c>
      <x:c r="I604" t="str">
        <x:v>MIN</x:v>
      </x:c>
      <x:c r="J604" t="n">
        <x:v>20</x:v>
      </x:c>
      <x:c r="K604" t="str">
        <x:v>(3:48) 14-K.Gainwell right end pushed ob at MIN 14 for 6 yards (44-J.Metellus; 7-B.Murphy).</x:v>
      </x:c>
      <x:c r="L604" t="str">
        <x:v>run</x:v>
      </x:c>
      <x:c r="M604" t="n">
        <x:v>6</x:v>
      </x:c>
      <x:c r="N604" t="n">
        <x:v>0</x:v>
      </x:c>
      <x:c r="O604" t="n">
        <x:v>0</x:v>
      </x:c>
      <x:c r="P604"/>
      <x:c r="Q604"/>
      <x:c r="R604"/>
      <x:c r="S604"/>
      <x:c r="T604" t="str">
        <x:v>right</x:v>
      </x:c>
      <x:c r="U604" t="str">
        <x:v>end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/>
      <x:c r="AC604" t="n">
        <x:v>0</x:v>
      </x:c>
      <x:c r="AD604" t="n">
        <x:v>0.3228520287084393</x:v>
      </x:c>
      <x:c r="AE604" t="n">
        <x:v>1</x:v>
      </x:c>
      <x:c r="AF604" t="n">
        <x:v>0.008198559284210205</x:v>
      </x:c>
      <x:c r="AG604" t="n">
        <x:f>_xlfn.XLOOKUP($A604,Games!$A$2:$A$18,Games!$B$2:$B$18,"Missing game",0)</x:f>
        <x:v>2025</x:v>
      </x:c>
      <x:c r="AH604" t="str">
        <x:f>_xlfn.XLOOKUP($A604,Games!$A$2:$A$18,Games!$C$2:$C$18,"Missing game",0)</x:f>
        <x:v>REG</x:v>
      </x:c>
      <x:c r="AI604" t="n">
        <x:f>_xlfn.XLOOKUP($A604,Games!$A$2:$A$18,Games!$D$2:$D$18,"Missing game",0)</x:f>
        <x:v>4</x:v>
      </x:c>
      <x:c r="AJ604" s="1" t="n">
        <x:f>_xlfn.XLOOKUP($A604,Games!$A$2:$A$18,Games!$E$2:$E$18,"Missing game",0)</x:f>
        <x:v>45928</x:v>
      </x:c>
      <x:c r="AK604" t="str">
        <x:f>_xlfn.XLOOKUP($A604,Games!$A$2:$A$18,Games!$F$2:$F$18,"Missing game",0)</x:f>
        <x:v>Sunday</x:v>
      </x:c>
      <x:c r="AL604" t="str">
        <x:f>_xlfn.XLOOKUP($A604,Games!$A$2:$A$18,Games!$G$2:$G$18,"Missing game",0)</x:f>
        <x:v>MIN</x:v>
      </x:c>
      <x:c r="AM604" t="n">
        <x:f>_xlfn.XLOOKUP($A604,Games!$A$2:$A$18,Games!$H$2:$H$18,"Missing game",0)</x:f>
        <x:v>21</x:v>
      </x:c>
      <x:c r="AN604" t="str">
        <x:f>_xlfn.XLOOKUP($A604,Games!$A$2:$A$18,Games!$I$2:$I$18,"Missing game",0)</x:f>
        <x:v>PIT</x:v>
      </x:c>
      <x:c r="AO604" t="n">
        <x:f>_xlfn.XLOOKUP($A604,Games!$A$2:$A$18,Games!$J$2:$J$18,"Missing game",0)</x:f>
        <x:v>24</x:v>
      </x:c>
      <x:c r="AP604" t="n">
        <x:f>_xlfn.XLOOKUP($A604,Games!$A$2:$A$18,Games!$K$2:$K$18,"Missing game",0)</x:f>
        <x:v>3</x:v>
      </x:c>
      <x:c r="AQ604" t="n">
        <x:f>_xlfn.XLOOKUP($A604,Games!$A$2:$A$18,Games!$L$2:$L$18,"Missing game",0)</x:f>
        <x:v>45</x:v>
      </x:c>
      <x:c r="AR604" t="n">
        <x:f>_xlfn.XLOOKUP($A604,Games!$A$2:$A$18,Games!$M$2:$M$18,"Missing game",0)</x:f>
        <x:v>0</x:v>
      </x:c>
      <x:c r="AS604" t="str">
        <x:f>_xlfn.XLOOKUP($A604,Games!$A$2:$A$18,Games!$N$2:$N$18,"Missing game",0)</x:f>
        <x:v>outdoors</x:v>
      </x:c>
      <x:c r="AT604" t="str">
        <x:f>_xlfn.XLOOKUP($A604,Games!$A$2:$A$18,Games!$O$2:$O$18,"Missing game",0)</x:f>
        <x:v>grass</x:v>
      </x:c>
      <x:c r="AU604" t="n">
        <x:f>_xlfn.XLOOKUP($A604,Games!$A$2:$A$18,Games!$P$2:$P$18,"Missing game",0)</x:f>
        <x:v>61</x:v>
      </x:c>
      <x:c r="AV604" t="n">
        <x:f>_xlfn.XLOOKUP($A604,Games!$A$2:$A$18,Games!$Q$2:$Q$18,"Missing game",0)</x:f>
        <x:v>5</x:v>
      </x:c>
      <x:c r="AW604" t="str">
        <x:f>_xlfn.XLOOKUP($A604,Games!$A$2:$A$18,Games!$R$2:$R$18,"Missing game",0)</x:f>
        <x:v>Acrisure Stadium</x:v>
      </x:c>
    </x:row>
    <x:row r="605">
      <x:c r="A605" t="str">
        <x:v>2025_04_MIN_PIT</x:v>
      </x:c>
      <x:c r="B605" t="n">
        <x:v>2695</x:v>
      </x:c>
      <x:c r="C605" t="n">
        <x:v>3</x:v>
      </x:c>
      <x:c r="D605" t="str">
        <x:v>03:09</x:v>
      </x:c>
      <x:c r="E605" t="n">
        <x:v>2</x:v>
      </x:c>
      <x:c r="F605" t="n">
        <x:v>4</x:v>
      </x:c>
      <x:c r="G605" t="str">
        <x:v>PIT</x:v>
      </x:c>
      <x:c r="H605" t="str">
        <x:v>MIN</x:v>
      </x:c>
      <x:c r="I605" t="str">
        <x:v>MIN</x:v>
      </x:c>
      <x:c r="J605" t="n">
        <x:v>14</x:v>
      </x:c>
      <x:c r="K605" t="str">
        <x:v>(3:09) 74-S.Anderson reported in as eligible. 14-K.Gainwell left tackle to MIN 4 for 10 yards (7-B.Murphy).</x:v>
      </x:c>
      <x:c r="L605" t="str">
        <x:v>run</x:v>
      </x:c>
      <x:c r="M605" t="n">
        <x:v>10</x:v>
      </x:c>
      <x:c r="N605" t="n">
        <x:v>0</x:v>
      </x:c>
      <x:c r="O605" t="n">
        <x:v>0</x:v>
      </x:c>
      <x:c r="P605"/>
      <x:c r="Q605"/>
      <x:c r="R605"/>
      <x:c r="S605"/>
      <x:c r="T605" t="str">
        <x:v>left</x:v>
      </x:c>
      <x:c r="U605" t="str">
        <x:v>tackle</x:v>
      </x:c>
      <x:c r="V605" t="n">
        <x:v>0</x:v>
      </x:c>
      <x:c r="W605" t="n">
        <x:v>1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/>
      <x:c r="AC605" t="n">
        <x:v>0</x:v>
      </x:c>
      <x:c r="AD605" t="n">
        <x:v>1.0524574323208071</x:v>
      </x:c>
      <x:c r="AE605" t="n">
        <x:v>1</x:v>
      </x:c>
      <x:c r="AF605" t="n">
        <x:v>0.004202544689178467</x:v>
      </x:c>
      <x:c r="AG605" t="n">
        <x:f>_xlfn.XLOOKUP($A605,Games!$A$2:$A$18,Games!$B$2:$B$18,"Missing game",0)</x:f>
        <x:v>2025</x:v>
      </x:c>
      <x:c r="AH605" t="str">
        <x:f>_xlfn.XLOOKUP($A605,Games!$A$2:$A$18,Games!$C$2:$C$18,"Missing game",0)</x:f>
        <x:v>REG</x:v>
      </x:c>
      <x:c r="AI605" t="n">
        <x:f>_xlfn.XLOOKUP($A605,Games!$A$2:$A$18,Games!$D$2:$D$18,"Missing game",0)</x:f>
        <x:v>4</x:v>
      </x:c>
      <x:c r="AJ605" s="1" t="n">
        <x:f>_xlfn.XLOOKUP($A605,Games!$A$2:$A$18,Games!$E$2:$E$18,"Missing game",0)</x:f>
        <x:v>45928</x:v>
      </x:c>
      <x:c r="AK605" t="str">
        <x:f>_xlfn.XLOOKUP($A605,Games!$A$2:$A$18,Games!$F$2:$F$18,"Missing game",0)</x:f>
        <x:v>Sunday</x:v>
      </x:c>
      <x:c r="AL605" t="str">
        <x:f>_xlfn.XLOOKUP($A605,Games!$A$2:$A$18,Games!$G$2:$G$18,"Missing game",0)</x:f>
        <x:v>MIN</x:v>
      </x:c>
      <x:c r="AM605" t="n">
        <x:f>_xlfn.XLOOKUP($A605,Games!$A$2:$A$18,Games!$H$2:$H$18,"Missing game",0)</x:f>
        <x:v>21</x:v>
      </x:c>
      <x:c r="AN605" t="str">
        <x:f>_xlfn.XLOOKUP($A605,Games!$A$2:$A$18,Games!$I$2:$I$18,"Missing game",0)</x:f>
        <x:v>PIT</x:v>
      </x:c>
      <x:c r="AO605" t="n">
        <x:f>_xlfn.XLOOKUP($A605,Games!$A$2:$A$18,Games!$J$2:$J$18,"Missing game",0)</x:f>
        <x:v>24</x:v>
      </x:c>
      <x:c r="AP605" t="n">
        <x:f>_xlfn.XLOOKUP($A605,Games!$A$2:$A$18,Games!$K$2:$K$18,"Missing game",0)</x:f>
        <x:v>3</x:v>
      </x:c>
      <x:c r="AQ605" t="n">
        <x:f>_xlfn.XLOOKUP($A605,Games!$A$2:$A$18,Games!$L$2:$L$18,"Missing game",0)</x:f>
        <x:v>45</x:v>
      </x:c>
      <x:c r="AR605" t="n">
        <x:f>_xlfn.XLOOKUP($A605,Games!$A$2:$A$18,Games!$M$2:$M$18,"Missing game",0)</x:f>
        <x:v>0</x:v>
      </x:c>
      <x:c r="AS605" t="str">
        <x:f>_xlfn.XLOOKUP($A605,Games!$A$2:$A$18,Games!$N$2:$N$18,"Missing game",0)</x:f>
        <x:v>outdoors</x:v>
      </x:c>
      <x:c r="AT605" t="str">
        <x:f>_xlfn.XLOOKUP($A605,Games!$A$2:$A$18,Games!$O$2:$O$18,"Missing game",0)</x:f>
        <x:v>grass</x:v>
      </x:c>
      <x:c r="AU605" t="n">
        <x:f>_xlfn.XLOOKUP($A605,Games!$A$2:$A$18,Games!$P$2:$P$18,"Missing game",0)</x:f>
        <x:v>61</x:v>
      </x:c>
      <x:c r="AV605" t="n">
        <x:f>_xlfn.XLOOKUP($A605,Games!$A$2:$A$18,Games!$Q$2:$Q$18,"Missing game",0)</x:f>
        <x:v>5</x:v>
      </x:c>
      <x:c r="AW605" t="str">
        <x:f>_xlfn.XLOOKUP($A605,Games!$A$2:$A$18,Games!$R$2:$R$18,"Missing game",0)</x:f>
        <x:v>Acrisure Stadium</x:v>
      </x:c>
    </x:row>
    <x:row r="606">
      <x:c r="A606" t="str">
        <x:v>2025_04_MIN_PIT</x:v>
      </x:c>
      <x:c r="B606" t="n">
        <x:v>2717</x:v>
      </x:c>
      <x:c r="C606" t="n">
        <x:v>3</x:v>
      </x:c>
      <x:c r="D606" t="str">
        <x:v>02:26</x:v>
      </x:c>
      <x:c r="E606" t="n">
        <x:v>1</x:v>
      </x:c>
      <x:c r="F606" t="n">
        <x:v>4</x:v>
      </x:c>
      <x:c r="G606" t="str">
        <x:v>PIT</x:v>
      </x:c>
      <x:c r="H606" t="str">
        <x:v>MIN</x:v>
      </x:c>
      <x:c r="I606" t="str">
        <x:v>MIN</x:v>
      </x:c>
      <x:c r="J606" t="n">
        <x:v>4</x:v>
      </x:c>
      <x:c r="K606" t="str">
        <x:v>(2:26) 74-S.Anderson reported in as eligible. 14-K.Gainwell left tackle for 4 yards, TOUCHDOWN.</x:v>
      </x:c>
      <x:c r="L606" t="str">
        <x:v>run</x:v>
      </x:c>
      <x:c r="M606" t="n">
        <x:v>4</x:v>
      </x:c>
      <x:c r="N606" t="n">
        <x:v>0</x:v>
      </x:c>
      <x:c r="O606" t="n">
        <x:v>0</x:v>
      </x:c>
      <x:c r="P606"/>
      <x:c r="Q606"/>
      <x:c r="R606"/>
      <x:c r="S606"/>
      <x:c r="T606" t="str">
        <x:v>left</x:v>
      </x:c>
      <x:c r="U606" t="str">
        <x:v>tackle</x:v>
      </x:c>
      <x:c r="V606" t="n">
        <x:v>0</x:v>
      </x:c>
      <x:c r="W606" t="n">
        <x:v>1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/>
      <x:c r="AC606" t="n">
        <x:v>1</x:v>
      </x:c>
      <x:c r="AD606" t="n">
        <x:v>1.0963377018924803</x:v>
      </x:c>
      <x:c r="AE606" t="n">
        <x:v>1</x:v>
      </x:c>
      <x:c r="AF606" t="n">
        <x:v>0.027120291396527718</x:v>
      </x:c>
      <x:c r="AG606" t="n">
        <x:f>_xlfn.XLOOKUP($A606,Games!$A$2:$A$18,Games!$B$2:$B$18,"Missing game",0)</x:f>
        <x:v>2025</x:v>
      </x:c>
      <x:c r="AH606" t="str">
        <x:f>_xlfn.XLOOKUP($A606,Games!$A$2:$A$18,Games!$C$2:$C$18,"Missing game",0)</x:f>
        <x:v>REG</x:v>
      </x:c>
      <x:c r="AI606" t="n">
        <x:f>_xlfn.XLOOKUP($A606,Games!$A$2:$A$18,Games!$D$2:$D$18,"Missing game",0)</x:f>
        <x:v>4</x:v>
      </x:c>
      <x:c r="AJ606" s="1" t="n">
        <x:f>_xlfn.XLOOKUP($A606,Games!$A$2:$A$18,Games!$E$2:$E$18,"Missing game",0)</x:f>
        <x:v>45928</x:v>
      </x:c>
      <x:c r="AK606" t="str">
        <x:f>_xlfn.XLOOKUP($A606,Games!$A$2:$A$18,Games!$F$2:$F$18,"Missing game",0)</x:f>
        <x:v>Sunday</x:v>
      </x:c>
      <x:c r="AL606" t="str">
        <x:f>_xlfn.XLOOKUP($A606,Games!$A$2:$A$18,Games!$G$2:$G$18,"Missing game",0)</x:f>
        <x:v>MIN</x:v>
      </x:c>
      <x:c r="AM606" t="n">
        <x:f>_xlfn.XLOOKUP($A606,Games!$A$2:$A$18,Games!$H$2:$H$18,"Missing game",0)</x:f>
        <x:v>21</x:v>
      </x:c>
      <x:c r="AN606" t="str">
        <x:f>_xlfn.XLOOKUP($A606,Games!$A$2:$A$18,Games!$I$2:$I$18,"Missing game",0)</x:f>
        <x:v>PIT</x:v>
      </x:c>
      <x:c r="AO606" t="n">
        <x:f>_xlfn.XLOOKUP($A606,Games!$A$2:$A$18,Games!$J$2:$J$18,"Missing game",0)</x:f>
        <x:v>24</x:v>
      </x:c>
      <x:c r="AP606" t="n">
        <x:f>_xlfn.XLOOKUP($A606,Games!$A$2:$A$18,Games!$K$2:$K$18,"Missing game",0)</x:f>
        <x:v>3</x:v>
      </x:c>
      <x:c r="AQ606" t="n">
        <x:f>_xlfn.XLOOKUP($A606,Games!$A$2:$A$18,Games!$L$2:$L$18,"Missing game",0)</x:f>
        <x:v>45</x:v>
      </x:c>
      <x:c r="AR606" t="n">
        <x:f>_xlfn.XLOOKUP($A606,Games!$A$2:$A$18,Games!$M$2:$M$18,"Missing game",0)</x:f>
        <x:v>0</x:v>
      </x:c>
      <x:c r="AS606" t="str">
        <x:f>_xlfn.XLOOKUP($A606,Games!$A$2:$A$18,Games!$N$2:$N$18,"Missing game",0)</x:f>
        <x:v>outdoors</x:v>
      </x:c>
      <x:c r="AT606" t="str">
        <x:f>_xlfn.XLOOKUP($A606,Games!$A$2:$A$18,Games!$O$2:$O$18,"Missing game",0)</x:f>
        <x:v>grass</x:v>
      </x:c>
      <x:c r="AU606" t="n">
        <x:f>_xlfn.XLOOKUP($A606,Games!$A$2:$A$18,Games!$P$2:$P$18,"Missing game",0)</x:f>
        <x:v>61</x:v>
      </x:c>
      <x:c r="AV606" t="n">
        <x:f>_xlfn.XLOOKUP($A606,Games!$A$2:$A$18,Games!$Q$2:$Q$18,"Missing game",0)</x:f>
        <x:v>5</x:v>
      </x:c>
      <x:c r="AW606" t="str">
        <x:f>_xlfn.XLOOKUP($A606,Games!$A$2:$A$18,Games!$R$2:$R$18,"Missing game",0)</x:f>
        <x:v>Acrisure Stadium</x:v>
      </x:c>
    </x:row>
    <x:row r="607">
      <x:c r="A607" t="str">
        <x:v>2025_04_MIN_PIT</x:v>
      </x:c>
      <x:c r="B607" t="n">
        <x:v>2740</x:v>
      </x:c>
      <x:c r="C607" t="n">
        <x:v>3</x:v>
      </x:c>
      <x:c r="D607" t="str">
        <x:v>02:23</x:v>
      </x:c>
      <x:c r="E607"/>
      <x:c r="F607" t="n">
        <x:v>0</x:v>
      </x:c>
      <x:c r="G607" t="str">
        <x:v>PIT</x:v>
      </x:c>
      <x:c r="H607" t="str">
        <x:v>MIN</x:v>
      </x:c>
      <x:c r="I607" t="str">
        <x:v>MIN</x:v>
      </x:c>
      <x:c r="J607" t="n">
        <x:v>15</x:v>
      </x:c>
      <x:c r="K607" t="str">
        <x:v>9-C.Boswell extra point is GOOD, Center-46-C.Kuntz, Holder-3-C.Waitman.</x:v>
      </x:c>
      <x:c r="L607" t="str">
        <x:v>extra_point</x:v>
      </x:c>
      <x:c r="M607" t="n">
        <x:v>0</x:v>
      </x:c>
      <x:c r="N607" t="n">
        <x:v>0</x:v>
      </x:c>
      <x:c r="O607" t="n">
        <x:v>0</x:v>
      </x:c>
      <x:c r="P607"/>
      <x:c r="Q607"/>
      <x:c r="R607"/>
      <x:c r="S607"/>
      <x:c r="T607"/>
      <x:c r="U607"/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/>
      <x:c r="AC607" t="n">
        <x:v>0</x:v>
      </x:c>
      <x:c r="AD607" t="n">
        <x:v>0.06757300310763314</x:v>
      </x:c>
      <x:c r="AE607" t="n">
        <x:v>1</x:v>
      </x:c>
      <x:c r="AF607" t="n">
        <x:v>0.0009053916190572275</x:v>
      </x:c>
      <x:c r="AG607" t="n">
        <x:f>_xlfn.XLOOKUP($A607,Games!$A$2:$A$18,Games!$B$2:$B$18,"Missing game",0)</x:f>
        <x:v>2025</x:v>
      </x:c>
      <x:c r="AH607" t="str">
        <x:f>_xlfn.XLOOKUP($A607,Games!$A$2:$A$18,Games!$C$2:$C$18,"Missing game",0)</x:f>
        <x:v>REG</x:v>
      </x:c>
      <x:c r="AI607" t="n">
        <x:f>_xlfn.XLOOKUP($A607,Games!$A$2:$A$18,Games!$D$2:$D$18,"Missing game",0)</x:f>
        <x:v>4</x:v>
      </x:c>
      <x:c r="AJ607" s="1" t="n">
        <x:f>_xlfn.XLOOKUP($A607,Games!$A$2:$A$18,Games!$E$2:$E$18,"Missing game",0)</x:f>
        <x:v>45928</x:v>
      </x:c>
      <x:c r="AK607" t="str">
        <x:f>_xlfn.XLOOKUP($A607,Games!$A$2:$A$18,Games!$F$2:$F$18,"Missing game",0)</x:f>
        <x:v>Sunday</x:v>
      </x:c>
      <x:c r="AL607" t="str">
        <x:f>_xlfn.XLOOKUP($A607,Games!$A$2:$A$18,Games!$G$2:$G$18,"Missing game",0)</x:f>
        <x:v>MIN</x:v>
      </x:c>
      <x:c r="AM607" t="n">
        <x:f>_xlfn.XLOOKUP($A607,Games!$A$2:$A$18,Games!$H$2:$H$18,"Missing game",0)</x:f>
        <x:v>21</x:v>
      </x:c>
      <x:c r="AN607" t="str">
        <x:f>_xlfn.XLOOKUP($A607,Games!$A$2:$A$18,Games!$I$2:$I$18,"Missing game",0)</x:f>
        <x:v>PIT</x:v>
      </x:c>
      <x:c r="AO607" t="n">
        <x:f>_xlfn.XLOOKUP($A607,Games!$A$2:$A$18,Games!$J$2:$J$18,"Missing game",0)</x:f>
        <x:v>24</x:v>
      </x:c>
      <x:c r="AP607" t="n">
        <x:f>_xlfn.XLOOKUP($A607,Games!$A$2:$A$18,Games!$K$2:$K$18,"Missing game",0)</x:f>
        <x:v>3</x:v>
      </x:c>
      <x:c r="AQ607" t="n">
        <x:f>_xlfn.XLOOKUP($A607,Games!$A$2:$A$18,Games!$L$2:$L$18,"Missing game",0)</x:f>
        <x:v>45</x:v>
      </x:c>
      <x:c r="AR607" t="n">
        <x:f>_xlfn.XLOOKUP($A607,Games!$A$2:$A$18,Games!$M$2:$M$18,"Missing game",0)</x:f>
        <x:v>0</x:v>
      </x:c>
      <x:c r="AS607" t="str">
        <x:f>_xlfn.XLOOKUP($A607,Games!$A$2:$A$18,Games!$N$2:$N$18,"Missing game",0)</x:f>
        <x:v>outdoors</x:v>
      </x:c>
      <x:c r="AT607" t="str">
        <x:f>_xlfn.XLOOKUP($A607,Games!$A$2:$A$18,Games!$O$2:$O$18,"Missing game",0)</x:f>
        <x:v>grass</x:v>
      </x:c>
      <x:c r="AU607" t="n">
        <x:f>_xlfn.XLOOKUP($A607,Games!$A$2:$A$18,Games!$P$2:$P$18,"Missing game",0)</x:f>
        <x:v>61</x:v>
      </x:c>
      <x:c r="AV607" t="n">
        <x:f>_xlfn.XLOOKUP($A607,Games!$A$2:$A$18,Games!$Q$2:$Q$18,"Missing game",0)</x:f>
        <x:v>5</x:v>
      </x:c>
      <x:c r="AW607" t="str">
        <x:f>_xlfn.XLOOKUP($A607,Games!$A$2:$A$18,Games!$R$2:$R$18,"Missing game",0)</x:f>
        <x:v>Acrisure Stadium</x:v>
      </x:c>
    </x:row>
    <x:row r="608">
      <x:c r="A608" t="str">
        <x:v>2025_04_MIN_PIT</x:v>
      </x:c>
      <x:c r="B608" t="n">
        <x:v>2755</x:v>
      </x:c>
      <x:c r="C608" t="n">
        <x:v>3</x:v>
      </x:c>
      <x:c r="D608" t="str">
        <x:v>02:23</x:v>
      </x:c>
      <x:c r="E608"/>
      <x:c r="F608" t="n">
        <x:v>0</x:v>
      </x:c>
      <x:c r="G608" t="str">
        <x:v>MIN</x:v>
      </x:c>
      <x:c r="H608" t="str">
        <x:v>PIT</x:v>
      </x:c>
      <x:c r="I608" t="str">
        <x:v>PIT</x:v>
      </x:c>
      <x:c r="J608" t="n">
        <x:v>35</x:v>
      </x:c>
      <x:c r="K608" t="str">
        <x:v>9-C.Boswell kicks 56 yards from PIT 35 to MIN 9. 4-M.Price ran ob at PIT 37 for 54 yards (9-C.Boswell). PENALTY on MIN-37-T.Thomas, Offensive Holding, 10 yards, enforced at MIN 28.</x:v>
      </x:c>
      <x:c r="L608" t="str">
        <x:v>kickoff</x:v>
      </x:c>
      <x:c r="M608" t="n">
        <x:v>0</x:v>
      </x:c>
      <x:c r="N608" t="n">
        <x:v>0</x:v>
      </x:c>
      <x:c r="O608" t="n">
        <x:v>0</x:v>
      </x:c>
      <x:c r="P608"/>
      <x:c r="Q608"/>
      <x:c r="R608"/>
      <x:c r="S608"/>
      <x:c r="T608"/>
      <x:c r="U608"/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1</x:v>
      </x:c>
      <x:c r="AB608" t="n">
        <x:v>10</x:v>
      </x:c>
      <x:c r="AC608" t="n">
        <x:v>0</x:v>
      </x:c>
      <x:c r="AD608" t="n">
        <x:v>-0.554373690392822</x:v>
      </x:c>
      <x:c r="AE608" t="n">
        <x:v>0</x:v>
      </x:c>
      <x:c r="AF608" t="n">
        <x:v>-0.005801670253276825</x:v>
      </x:c>
      <x:c r="AG608" t="n">
        <x:f>_xlfn.XLOOKUP($A608,Games!$A$2:$A$18,Games!$B$2:$B$18,"Missing game",0)</x:f>
        <x:v>2025</x:v>
      </x:c>
      <x:c r="AH608" t="str">
        <x:f>_xlfn.XLOOKUP($A608,Games!$A$2:$A$18,Games!$C$2:$C$18,"Missing game",0)</x:f>
        <x:v>REG</x:v>
      </x:c>
      <x:c r="AI608" t="n">
        <x:f>_xlfn.XLOOKUP($A608,Games!$A$2:$A$18,Games!$D$2:$D$18,"Missing game",0)</x:f>
        <x:v>4</x:v>
      </x:c>
      <x:c r="AJ608" s="1" t="n">
        <x:f>_xlfn.XLOOKUP($A608,Games!$A$2:$A$18,Games!$E$2:$E$18,"Missing game",0)</x:f>
        <x:v>45928</x:v>
      </x:c>
      <x:c r="AK608" t="str">
        <x:f>_xlfn.XLOOKUP($A608,Games!$A$2:$A$18,Games!$F$2:$F$18,"Missing game",0)</x:f>
        <x:v>Sunday</x:v>
      </x:c>
      <x:c r="AL608" t="str">
        <x:f>_xlfn.XLOOKUP($A608,Games!$A$2:$A$18,Games!$G$2:$G$18,"Missing game",0)</x:f>
        <x:v>MIN</x:v>
      </x:c>
      <x:c r="AM608" t="n">
        <x:f>_xlfn.XLOOKUP($A608,Games!$A$2:$A$18,Games!$H$2:$H$18,"Missing game",0)</x:f>
        <x:v>21</x:v>
      </x:c>
      <x:c r="AN608" t="str">
        <x:f>_xlfn.XLOOKUP($A608,Games!$A$2:$A$18,Games!$I$2:$I$18,"Missing game",0)</x:f>
        <x:v>PIT</x:v>
      </x:c>
      <x:c r="AO608" t="n">
        <x:f>_xlfn.XLOOKUP($A608,Games!$A$2:$A$18,Games!$J$2:$J$18,"Missing game",0)</x:f>
        <x:v>24</x:v>
      </x:c>
      <x:c r="AP608" t="n">
        <x:f>_xlfn.XLOOKUP($A608,Games!$A$2:$A$18,Games!$K$2:$K$18,"Missing game",0)</x:f>
        <x:v>3</x:v>
      </x:c>
      <x:c r="AQ608" t="n">
        <x:f>_xlfn.XLOOKUP($A608,Games!$A$2:$A$18,Games!$L$2:$L$18,"Missing game",0)</x:f>
        <x:v>45</x:v>
      </x:c>
      <x:c r="AR608" t="n">
        <x:f>_xlfn.XLOOKUP($A608,Games!$A$2:$A$18,Games!$M$2:$M$18,"Missing game",0)</x:f>
        <x:v>0</x:v>
      </x:c>
      <x:c r="AS608" t="str">
        <x:f>_xlfn.XLOOKUP($A608,Games!$A$2:$A$18,Games!$N$2:$N$18,"Missing game",0)</x:f>
        <x:v>outdoors</x:v>
      </x:c>
      <x:c r="AT608" t="str">
        <x:f>_xlfn.XLOOKUP($A608,Games!$A$2:$A$18,Games!$O$2:$O$18,"Missing game",0)</x:f>
        <x:v>grass</x:v>
      </x:c>
      <x:c r="AU608" t="n">
        <x:f>_xlfn.XLOOKUP($A608,Games!$A$2:$A$18,Games!$P$2:$P$18,"Missing game",0)</x:f>
        <x:v>61</x:v>
      </x:c>
      <x:c r="AV608" t="n">
        <x:f>_xlfn.XLOOKUP($A608,Games!$A$2:$A$18,Games!$Q$2:$Q$18,"Missing game",0)</x:f>
        <x:v>5</x:v>
      </x:c>
      <x:c r="AW608" t="str">
        <x:f>_xlfn.XLOOKUP($A608,Games!$A$2:$A$18,Games!$R$2:$R$18,"Missing game",0)</x:f>
        <x:v>Acrisure Stadium</x:v>
      </x:c>
    </x:row>
    <x:row r="609">
      <x:c r="A609" t="str">
        <x:v>2025_04_MIN_PIT</x:v>
      </x:c>
      <x:c r="B609" t="n">
        <x:v>2825</x:v>
      </x:c>
      <x:c r="C609" t="n">
        <x:v>3</x:v>
      </x:c>
      <x:c r="D609" t="str">
        <x:v>02:14</x:v>
      </x:c>
      <x:c r="E609" t="n">
        <x:v>1</x:v>
      </x:c>
      <x:c r="F609" t="n">
        <x:v>10</x:v>
      </x:c>
      <x:c r="G609" t="str">
        <x:v>MIN</x:v>
      </x:c>
      <x:c r="H609" t="str">
        <x:v>PIT</x:v>
      </x:c>
      <x:c r="I609" t="str">
        <x:v>MIN</x:v>
      </x:c>
      <x:c r="J609" t="n">
        <x:v>82</x:v>
      </x:c>
      <x:c r="K609" t="str">
        <x:v>(2:14) 11-C.Wentz pass incomplete deep right to 18-J.Jefferson. PIT-5-J.Ramsey was injured during the play.</x:v>
      </x:c>
      <x:c r="L609" t="str">
        <x:v>pass</x:v>
      </x:c>
      <x:c r="M609" t="n">
        <x:v>0</x:v>
      </x:c>
      <x:c r="N609" t="n">
        <x:v>0</x:v>
      </x:c>
      <x:c r="O609" t="n">
        <x:v>0</x:v>
      </x:c>
      <x:c r="P609" t="str">
        <x:v>deep</x:v>
      </x:c>
      <x:c r="Q609" t="str">
        <x:v>right</x:v>
      </x:c>
      <x:c r="R609" t="n">
        <x:v>38</x:v>
      </x:c>
      <x:c r="S609"/>
      <x:c r="T609"/>
      <x:c r="U609"/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/>
      <x:c r="AC609" t="n">
        <x:v>0</x:v>
      </x:c>
      <x:c r="AD609" t="n">
        <x:v>-0.5885909316129982</x:v>
      </x:c>
      <x:c r="AE609" t="n">
        <x:v>0</x:v>
      </x:c>
      <x:c r="AF609" t="n">
        <x:v>-0.00642719492316246</x:v>
      </x:c>
      <x:c r="AG609" t="n">
        <x:f>_xlfn.XLOOKUP($A609,Games!$A$2:$A$18,Games!$B$2:$B$18,"Missing game",0)</x:f>
        <x:v>2025</x:v>
      </x:c>
      <x:c r="AH609" t="str">
        <x:f>_xlfn.XLOOKUP($A609,Games!$A$2:$A$18,Games!$C$2:$C$18,"Missing game",0)</x:f>
        <x:v>REG</x:v>
      </x:c>
      <x:c r="AI609" t="n">
        <x:f>_xlfn.XLOOKUP($A609,Games!$A$2:$A$18,Games!$D$2:$D$18,"Missing game",0)</x:f>
        <x:v>4</x:v>
      </x:c>
      <x:c r="AJ609" s="1" t="n">
        <x:f>_xlfn.XLOOKUP($A609,Games!$A$2:$A$18,Games!$E$2:$E$18,"Missing game",0)</x:f>
        <x:v>45928</x:v>
      </x:c>
      <x:c r="AK609" t="str">
        <x:f>_xlfn.XLOOKUP($A609,Games!$A$2:$A$18,Games!$F$2:$F$18,"Missing game",0)</x:f>
        <x:v>Sunday</x:v>
      </x:c>
      <x:c r="AL609" t="str">
        <x:f>_xlfn.XLOOKUP($A609,Games!$A$2:$A$18,Games!$G$2:$G$18,"Missing game",0)</x:f>
        <x:v>MIN</x:v>
      </x:c>
      <x:c r="AM609" t="n">
        <x:f>_xlfn.XLOOKUP($A609,Games!$A$2:$A$18,Games!$H$2:$H$18,"Missing game",0)</x:f>
        <x:v>21</x:v>
      </x:c>
      <x:c r="AN609" t="str">
        <x:f>_xlfn.XLOOKUP($A609,Games!$A$2:$A$18,Games!$I$2:$I$18,"Missing game",0)</x:f>
        <x:v>PIT</x:v>
      </x:c>
      <x:c r="AO609" t="n">
        <x:f>_xlfn.XLOOKUP($A609,Games!$A$2:$A$18,Games!$J$2:$J$18,"Missing game",0)</x:f>
        <x:v>24</x:v>
      </x:c>
      <x:c r="AP609" t="n">
        <x:f>_xlfn.XLOOKUP($A609,Games!$A$2:$A$18,Games!$K$2:$K$18,"Missing game",0)</x:f>
        <x:v>3</x:v>
      </x:c>
      <x:c r="AQ609" t="n">
        <x:f>_xlfn.XLOOKUP($A609,Games!$A$2:$A$18,Games!$L$2:$L$18,"Missing game",0)</x:f>
        <x:v>45</x:v>
      </x:c>
      <x:c r="AR609" t="n">
        <x:f>_xlfn.XLOOKUP($A609,Games!$A$2:$A$18,Games!$M$2:$M$18,"Missing game",0)</x:f>
        <x:v>0</x:v>
      </x:c>
      <x:c r="AS609" t="str">
        <x:f>_xlfn.XLOOKUP($A609,Games!$A$2:$A$18,Games!$N$2:$N$18,"Missing game",0)</x:f>
        <x:v>outdoors</x:v>
      </x:c>
      <x:c r="AT609" t="str">
        <x:f>_xlfn.XLOOKUP($A609,Games!$A$2:$A$18,Games!$O$2:$O$18,"Missing game",0)</x:f>
        <x:v>grass</x:v>
      </x:c>
      <x:c r="AU609" t="n">
        <x:f>_xlfn.XLOOKUP($A609,Games!$A$2:$A$18,Games!$P$2:$P$18,"Missing game",0)</x:f>
        <x:v>61</x:v>
      </x:c>
      <x:c r="AV609" t="n">
        <x:f>_xlfn.XLOOKUP($A609,Games!$A$2:$A$18,Games!$Q$2:$Q$18,"Missing game",0)</x:f>
        <x:v>5</x:v>
      </x:c>
      <x:c r="AW609" t="str">
        <x:f>_xlfn.XLOOKUP($A609,Games!$A$2:$A$18,Games!$R$2:$R$18,"Missing game",0)</x:f>
        <x:v>Acrisure Stadium</x:v>
      </x:c>
    </x:row>
    <x:row r="610">
      <x:c r="A610" t="str">
        <x:v>2025_04_MIN_PIT</x:v>
      </x:c>
      <x:c r="B610" t="n">
        <x:v>2848</x:v>
      </x:c>
      <x:c r="C610" t="n">
        <x:v>3</x:v>
      </x:c>
      <x:c r="D610" t="str">
        <x:v>02:08</x:v>
      </x:c>
      <x:c r="E610" t="n">
        <x:v>2</x:v>
      </x:c>
      <x:c r="F610" t="n">
        <x:v>10</x:v>
      </x:c>
      <x:c r="G610" t="str">
        <x:v>MIN</x:v>
      </x:c>
      <x:c r="H610" t="str">
        <x:v>PIT</x:v>
      </x:c>
      <x:c r="I610" t="str">
        <x:v>MIN</x:v>
      </x:c>
      <x:c r="J610" t="n">
        <x:v>82</x:v>
      </x:c>
      <x:c r="K610" t="str">
        <x:v>(2:08) 27-J.Mason left tackle to MIN 19 for 1 yard (6-P.Queen; 41-P.Wilson).</x:v>
      </x:c>
      <x:c r="L610" t="str">
        <x:v>run</x:v>
      </x:c>
      <x:c r="M610" t="n">
        <x:v>1</x:v>
      </x:c>
      <x:c r="N610" t="n">
        <x:v>0</x:v>
      </x:c>
      <x:c r="O610" t="n">
        <x:v>0</x:v>
      </x:c>
      <x:c r="P610"/>
      <x:c r="Q610"/>
      <x:c r="R610"/>
      <x:c r="S610"/>
      <x:c r="T610" t="str">
        <x:v>left</x:v>
      </x:c>
      <x:c r="U610" t="str">
        <x:v>tackle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/>
      <x:c r="AC610" t="n">
        <x:v>0</x:v>
      </x:c>
      <x:c r="AD610" t="n">
        <x:v>-0.700333050917834</x:v>
      </x:c>
      <x:c r="AE610" t="n">
        <x:v>0</x:v>
      </x:c>
      <x:c r="AF610" t="n">
        <x:v>-0.004665356129407883</x:v>
      </x:c>
      <x:c r="AG610" t="n">
        <x:f>_xlfn.XLOOKUP($A610,Games!$A$2:$A$18,Games!$B$2:$B$18,"Missing game",0)</x:f>
        <x:v>2025</x:v>
      </x:c>
      <x:c r="AH610" t="str">
        <x:f>_xlfn.XLOOKUP($A610,Games!$A$2:$A$18,Games!$C$2:$C$18,"Missing game",0)</x:f>
        <x:v>REG</x:v>
      </x:c>
      <x:c r="AI610" t="n">
        <x:f>_xlfn.XLOOKUP($A610,Games!$A$2:$A$18,Games!$D$2:$D$18,"Missing game",0)</x:f>
        <x:v>4</x:v>
      </x:c>
      <x:c r="AJ610" s="1" t="n">
        <x:f>_xlfn.XLOOKUP($A610,Games!$A$2:$A$18,Games!$E$2:$E$18,"Missing game",0)</x:f>
        <x:v>45928</x:v>
      </x:c>
      <x:c r="AK610" t="str">
        <x:f>_xlfn.XLOOKUP($A610,Games!$A$2:$A$18,Games!$F$2:$F$18,"Missing game",0)</x:f>
        <x:v>Sunday</x:v>
      </x:c>
      <x:c r="AL610" t="str">
        <x:f>_xlfn.XLOOKUP($A610,Games!$A$2:$A$18,Games!$G$2:$G$18,"Missing game",0)</x:f>
        <x:v>MIN</x:v>
      </x:c>
      <x:c r="AM610" t="n">
        <x:f>_xlfn.XLOOKUP($A610,Games!$A$2:$A$18,Games!$H$2:$H$18,"Missing game",0)</x:f>
        <x:v>21</x:v>
      </x:c>
      <x:c r="AN610" t="str">
        <x:f>_xlfn.XLOOKUP($A610,Games!$A$2:$A$18,Games!$I$2:$I$18,"Missing game",0)</x:f>
        <x:v>PIT</x:v>
      </x:c>
      <x:c r="AO610" t="n">
        <x:f>_xlfn.XLOOKUP($A610,Games!$A$2:$A$18,Games!$J$2:$J$18,"Missing game",0)</x:f>
        <x:v>24</x:v>
      </x:c>
      <x:c r="AP610" t="n">
        <x:f>_xlfn.XLOOKUP($A610,Games!$A$2:$A$18,Games!$K$2:$K$18,"Missing game",0)</x:f>
        <x:v>3</x:v>
      </x:c>
      <x:c r="AQ610" t="n">
        <x:f>_xlfn.XLOOKUP($A610,Games!$A$2:$A$18,Games!$L$2:$L$18,"Missing game",0)</x:f>
        <x:v>45</x:v>
      </x:c>
      <x:c r="AR610" t="n">
        <x:f>_xlfn.XLOOKUP($A610,Games!$A$2:$A$18,Games!$M$2:$M$18,"Missing game",0)</x:f>
        <x:v>0</x:v>
      </x:c>
      <x:c r="AS610" t="str">
        <x:f>_xlfn.XLOOKUP($A610,Games!$A$2:$A$18,Games!$N$2:$N$18,"Missing game",0)</x:f>
        <x:v>outdoors</x:v>
      </x:c>
      <x:c r="AT610" t="str">
        <x:f>_xlfn.XLOOKUP($A610,Games!$A$2:$A$18,Games!$O$2:$O$18,"Missing game",0)</x:f>
        <x:v>grass</x:v>
      </x:c>
      <x:c r="AU610" t="n">
        <x:f>_xlfn.XLOOKUP($A610,Games!$A$2:$A$18,Games!$P$2:$P$18,"Missing game",0)</x:f>
        <x:v>61</x:v>
      </x:c>
      <x:c r="AV610" t="n">
        <x:f>_xlfn.XLOOKUP($A610,Games!$A$2:$A$18,Games!$Q$2:$Q$18,"Missing game",0)</x:f>
        <x:v>5</x:v>
      </x:c>
      <x:c r="AW610" t="str">
        <x:f>_xlfn.XLOOKUP($A610,Games!$A$2:$A$18,Games!$R$2:$R$18,"Missing game",0)</x:f>
        <x:v>Acrisure Stadium</x:v>
      </x:c>
    </x:row>
    <x:row r="611">
      <x:c r="A611" t="str">
        <x:v>2025_04_MIN_PIT</x:v>
      </x:c>
      <x:c r="B611" t="n">
        <x:v>2873</x:v>
      </x:c>
      <x:c r="C611" t="n">
        <x:v>3</x:v>
      </x:c>
      <x:c r="D611" t="str">
        <x:v>01:25</x:v>
      </x:c>
      <x:c r="E611" t="n">
        <x:v>3</x:v>
      </x:c>
      <x:c r="F611" t="n">
        <x:v>9</x:v>
      </x:c>
      <x:c r="G611" t="str">
        <x:v>MIN</x:v>
      </x:c>
      <x:c r="H611" t="str">
        <x:v>PIT</x:v>
      </x:c>
      <x:c r="I611" t="str">
        <x:v>MIN</x:v>
      </x:c>
      <x:c r="J611" t="n">
        <x:v>81</x:v>
      </x:c>
      <x:c r="K611" t="str">
        <x:v>(1:25) (Shotgun) 11-C.Wentz sacked at MIN 9 for -10 yards (95-K.Benton).</x:v>
      </x:c>
      <x:c r="L611" t="str">
        <x:v>pass</x:v>
      </x:c>
      <x:c r="M611" t="n">
        <x:v>-10</x:v>
      </x:c>
      <x:c r="N611" t="n">
        <x:v>1</x:v>
      </x:c>
      <x:c r="O611" t="n">
        <x:v>0</x:v>
      </x:c>
      <x:c r="P611"/>
      <x:c r="Q611"/>
      <x:c r="R611"/>
      <x:c r="S611"/>
      <x:c r="T611"/>
      <x:c r="U611"/>
      <x:c r="V611" t="n">
        <x:v>0</x:v>
      </x:c>
      <x:c r="W611" t="n">
        <x:v>0</x:v>
      </x:c>
      <x:c r="X611" t="n">
        <x:v>1</x:v>
      </x:c>
      <x:c r="Y611" t="n">
        <x:v>0</x:v>
      </x:c>
      <x:c r="Z611" t="n">
        <x:v>0</x:v>
      </x:c>
      <x:c r="AA611" t="n">
        <x:v>0</x:v>
      </x:c>
      <x:c r="AB611"/>
      <x:c r="AC611" t="n">
        <x:v>0</x:v>
      </x:c>
      <x:c r="AD611" t="n">
        <x:v>-1.7541647455655038</x:v>
      </x:c>
      <x:c r="AE611" t="n">
        <x:v>0</x:v>
      </x:c>
      <x:c r="AF611" t="n">
        <x:v>-0.012922458350658417</x:v>
      </x:c>
      <x:c r="AG611" t="n">
        <x:f>_xlfn.XLOOKUP($A611,Games!$A$2:$A$18,Games!$B$2:$B$18,"Missing game",0)</x:f>
        <x:v>2025</x:v>
      </x:c>
      <x:c r="AH611" t="str">
        <x:f>_xlfn.XLOOKUP($A611,Games!$A$2:$A$18,Games!$C$2:$C$18,"Missing game",0)</x:f>
        <x:v>REG</x:v>
      </x:c>
      <x:c r="AI611" t="n">
        <x:f>_xlfn.XLOOKUP($A611,Games!$A$2:$A$18,Games!$D$2:$D$18,"Missing game",0)</x:f>
        <x:v>4</x:v>
      </x:c>
      <x:c r="AJ611" s="1" t="n">
        <x:f>_xlfn.XLOOKUP($A611,Games!$A$2:$A$18,Games!$E$2:$E$18,"Missing game",0)</x:f>
        <x:v>45928</x:v>
      </x:c>
      <x:c r="AK611" t="str">
        <x:f>_xlfn.XLOOKUP($A611,Games!$A$2:$A$18,Games!$F$2:$F$18,"Missing game",0)</x:f>
        <x:v>Sunday</x:v>
      </x:c>
      <x:c r="AL611" t="str">
        <x:f>_xlfn.XLOOKUP($A611,Games!$A$2:$A$18,Games!$G$2:$G$18,"Missing game",0)</x:f>
        <x:v>MIN</x:v>
      </x:c>
      <x:c r="AM611" t="n">
        <x:f>_xlfn.XLOOKUP($A611,Games!$A$2:$A$18,Games!$H$2:$H$18,"Missing game",0)</x:f>
        <x:v>21</x:v>
      </x:c>
      <x:c r="AN611" t="str">
        <x:f>_xlfn.XLOOKUP($A611,Games!$A$2:$A$18,Games!$I$2:$I$18,"Missing game",0)</x:f>
        <x:v>PIT</x:v>
      </x:c>
      <x:c r="AO611" t="n">
        <x:f>_xlfn.XLOOKUP($A611,Games!$A$2:$A$18,Games!$J$2:$J$18,"Missing game",0)</x:f>
        <x:v>24</x:v>
      </x:c>
      <x:c r="AP611" t="n">
        <x:f>_xlfn.XLOOKUP($A611,Games!$A$2:$A$18,Games!$K$2:$K$18,"Missing game",0)</x:f>
        <x:v>3</x:v>
      </x:c>
      <x:c r="AQ611" t="n">
        <x:f>_xlfn.XLOOKUP($A611,Games!$A$2:$A$18,Games!$L$2:$L$18,"Missing game",0)</x:f>
        <x:v>45</x:v>
      </x:c>
      <x:c r="AR611" t="n">
        <x:f>_xlfn.XLOOKUP($A611,Games!$A$2:$A$18,Games!$M$2:$M$18,"Missing game",0)</x:f>
        <x:v>0</x:v>
      </x:c>
      <x:c r="AS611" t="str">
        <x:f>_xlfn.XLOOKUP($A611,Games!$A$2:$A$18,Games!$N$2:$N$18,"Missing game",0)</x:f>
        <x:v>outdoors</x:v>
      </x:c>
      <x:c r="AT611" t="str">
        <x:f>_xlfn.XLOOKUP($A611,Games!$A$2:$A$18,Games!$O$2:$O$18,"Missing game",0)</x:f>
        <x:v>grass</x:v>
      </x:c>
      <x:c r="AU611" t="n">
        <x:f>_xlfn.XLOOKUP($A611,Games!$A$2:$A$18,Games!$P$2:$P$18,"Missing game",0)</x:f>
        <x:v>61</x:v>
      </x:c>
      <x:c r="AV611" t="n">
        <x:f>_xlfn.XLOOKUP($A611,Games!$A$2:$A$18,Games!$Q$2:$Q$18,"Missing game",0)</x:f>
        <x:v>5</x:v>
      </x:c>
      <x:c r="AW611" t="str">
        <x:f>_xlfn.XLOOKUP($A611,Games!$A$2:$A$18,Games!$R$2:$R$18,"Missing game",0)</x:f>
        <x:v>Acrisure Stadium</x:v>
      </x:c>
    </x:row>
    <x:row r="612">
      <x:c r="A612" t="str">
        <x:v>2025_04_MIN_PIT</x:v>
      </x:c>
      <x:c r="B612" t="n">
        <x:v>2893</x:v>
      </x:c>
      <x:c r="C612" t="n">
        <x:v>3</x:v>
      </x:c>
      <x:c r="D612" t="str">
        <x:v>00:47</x:v>
      </x:c>
      <x:c r="E612" t="n">
        <x:v>4</x:v>
      </x:c>
      <x:c r="F612" t="n">
        <x:v>19</x:v>
      </x:c>
      <x:c r="G612" t="str">
        <x:v>MIN</x:v>
      </x:c>
      <x:c r="H612" t="str">
        <x:v>PIT</x:v>
      </x:c>
      <x:c r="I612" t="str">
        <x:v>MIN</x:v>
      </x:c>
      <x:c r="J612" t="n">
        <x:v>91</x:v>
      </x:c>
      <x:c r="K612" t="str">
        <x:v>(:47) 17-R.Wright punts 49 yards to PIT 42, Center-42-A.DePaola. 19-C.Austin pushed ob at MIN 46 for 12 yards (98-B.Richter).</x:v>
      </x:c>
      <x:c r="L612" t="str">
        <x:v>punt</x:v>
      </x:c>
      <x:c r="M612" t="n">
        <x:v>0</x:v>
      </x:c>
      <x:c r="N612" t="n">
        <x:v>0</x:v>
      </x:c>
      <x:c r="O612" t="n">
        <x:v>0</x:v>
      </x:c>
      <x:c r="P612"/>
      <x:c r="Q612"/>
      <x:c r="R612"/>
      <x:c r="S612"/>
      <x:c r="T612"/>
      <x:c r="U612"/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/>
      <x:c r="AC612" t="n">
        <x:v>0</x:v>
      </x:c>
      <x:c r="AD612" t="n">
        <x:v>-0.09008323564194143</x:v>
      </x:c>
      <x:c r="AE612" t="n">
        <x:v>0</x:v>
      </x:c>
      <x:c r="AF612" t="n">
        <x:v>-0.007603596895933151</x:v>
      </x:c>
      <x:c r="AG612" t="n">
        <x:f>_xlfn.XLOOKUP($A612,Games!$A$2:$A$18,Games!$B$2:$B$18,"Missing game",0)</x:f>
        <x:v>2025</x:v>
      </x:c>
      <x:c r="AH612" t="str">
        <x:f>_xlfn.XLOOKUP($A612,Games!$A$2:$A$18,Games!$C$2:$C$18,"Missing game",0)</x:f>
        <x:v>REG</x:v>
      </x:c>
      <x:c r="AI612" t="n">
        <x:f>_xlfn.XLOOKUP($A612,Games!$A$2:$A$18,Games!$D$2:$D$18,"Missing game",0)</x:f>
        <x:v>4</x:v>
      </x:c>
      <x:c r="AJ612" s="1" t="n">
        <x:f>_xlfn.XLOOKUP($A612,Games!$A$2:$A$18,Games!$E$2:$E$18,"Missing game",0)</x:f>
        <x:v>45928</x:v>
      </x:c>
      <x:c r="AK612" t="str">
        <x:f>_xlfn.XLOOKUP($A612,Games!$A$2:$A$18,Games!$F$2:$F$18,"Missing game",0)</x:f>
        <x:v>Sunday</x:v>
      </x:c>
      <x:c r="AL612" t="str">
        <x:f>_xlfn.XLOOKUP($A612,Games!$A$2:$A$18,Games!$G$2:$G$18,"Missing game",0)</x:f>
        <x:v>MIN</x:v>
      </x:c>
      <x:c r="AM612" t="n">
        <x:f>_xlfn.XLOOKUP($A612,Games!$A$2:$A$18,Games!$H$2:$H$18,"Missing game",0)</x:f>
        <x:v>21</x:v>
      </x:c>
      <x:c r="AN612" t="str">
        <x:f>_xlfn.XLOOKUP($A612,Games!$A$2:$A$18,Games!$I$2:$I$18,"Missing game",0)</x:f>
        <x:v>PIT</x:v>
      </x:c>
      <x:c r="AO612" t="n">
        <x:f>_xlfn.XLOOKUP($A612,Games!$A$2:$A$18,Games!$J$2:$J$18,"Missing game",0)</x:f>
        <x:v>24</x:v>
      </x:c>
      <x:c r="AP612" t="n">
        <x:f>_xlfn.XLOOKUP($A612,Games!$A$2:$A$18,Games!$K$2:$K$18,"Missing game",0)</x:f>
        <x:v>3</x:v>
      </x:c>
      <x:c r="AQ612" t="n">
        <x:f>_xlfn.XLOOKUP($A612,Games!$A$2:$A$18,Games!$L$2:$L$18,"Missing game",0)</x:f>
        <x:v>45</x:v>
      </x:c>
      <x:c r="AR612" t="n">
        <x:f>_xlfn.XLOOKUP($A612,Games!$A$2:$A$18,Games!$M$2:$M$18,"Missing game",0)</x:f>
        <x:v>0</x:v>
      </x:c>
      <x:c r="AS612" t="str">
        <x:f>_xlfn.XLOOKUP($A612,Games!$A$2:$A$18,Games!$N$2:$N$18,"Missing game",0)</x:f>
        <x:v>outdoors</x:v>
      </x:c>
      <x:c r="AT612" t="str">
        <x:f>_xlfn.XLOOKUP($A612,Games!$A$2:$A$18,Games!$O$2:$O$18,"Missing game",0)</x:f>
        <x:v>grass</x:v>
      </x:c>
      <x:c r="AU612" t="n">
        <x:f>_xlfn.XLOOKUP($A612,Games!$A$2:$A$18,Games!$P$2:$P$18,"Missing game",0)</x:f>
        <x:v>61</x:v>
      </x:c>
      <x:c r="AV612" t="n">
        <x:f>_xlfn.XLOOKUP($A612,Games!$A$2:$A$18,Games!$Q$2:$Q$18,"Missing game",0)</x:f>
        <x:v>5</x:v>
      </x:c>
      <x:c r="AW612" t="str">
        <x:f>_xlfn.XLOOKUP($A612,Games!$A$2:$A$18,Games!$R$2:$R$18,"Missing game",0)</x:f>
        <x:v>Acrisure Stadium</x:v>
      </x:c>
    </x:row>
    <x:row r="613">
      <x:c r="A613" t="str">
        <x:v>2025_04_MIN_PIT</x:v>
      </x:c>
      <x:c r="B613" t="n">
        <x:v>2924</x:v>
      </x:c>
      <x:c r="C613" t="n">
        <x:v>3</x:v>
      </x:c>
      <x:c r="D613" t="str">
        <x:v>00:35</x:v>
      </x:c>
      <x:c r="E613" t="n">
        <x:v>1</x:v>
      </x:c>
      <x:c r="F613" t="n">
        <x:v>10</x:v>
      </x:c>
      <x:c r="G613" t="str">
        <x:v>PIT</x:v>
      </x:c>
      <x:c r="H613" t="str">
        <x:v>MIN</x:v>
      </x:c>
      <x:c r="I613" t="str">
        <x:v>MIN</x:v>
      </x:c>
      <x:c r="J613" t="n">
        <x:v>46</x:v>
      </x:c>
      <x:c r="K613" t="str">
        <x:v>(:35) 74-S.Anderson reported in as eligible. 20-K.Johnson right tackle to MIN 37 for 9 yards (97-J.Hargrave).</x:v>
      </x:c>
      <x:c r="L613" t="str">
        <x:v>run</x:v>
      </x:c>
      <x:c r="M613" t="n">
        <x:v>9</x:v>
      </x:c>
      <x:c r="N613" t="n">
        <x:v>0</x:v>
      </x:c>
      <x:c r="O613" t="n">
        <x:v>0</x:v>
      </x:c>
      <x:c r="P613"/>
      <x:c r="Q613"/>
      <x:c r="R613"/>
      <x:c r="S613"/>
      <x:c r="T613" t="str">
        <x:v>right</x:v>
      </x:c>
      <x:c r="U613" t="str">
        <x:v>tackle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/>
      <x:c r="AC613" t="n">
        <x:v>0</x:v>
      </x:c>
      <x:c r="AD613" t="n">
        <x:v>0.6857814927352592</x:v>
      </x:c>
      <x:c r="AE613" t="n">
        <x:v>1</x:v>
      </x:c>
      <x:c r="AF613" t="n">
        <x:v>0.0007319450378417969</x:v>
      </x:c>
      <x:c r="AG613" t="n">
        <x:f>_xlfn.XLOOKUP($A613,Games!$A$2:$A$18,Games!$B$2:$B$18,"Missing game",0)</x:f>
        <x:v>2025</x:v>
      </x:c>
      <x:c r="AH613" t="str">
        <x:f>_xlfn.XLOOKUP($A613,Games!$A$2:$A$18,Games!$C$2:$C$18,"Missing game",0)</x:f>
        <x:v>REG</x:v>
      </x:c>
      <x:c r="AI613" t="n">
        <x:f>_xlfn.XLOOKUP($A613,Games!$A$2:$A$18,Games!$D$2:$D$18,"Missing game",0)</x:f>
        <x:v>4</x:v>
      </x:c>
      <x:c r="AJ613" s="1" t="n">
        <x:f>_xlfn.XLOOKUP($A613,Games!$A$2:$A$18,Games!$E$2:$E$18,"Missing game",0)</x:f>
        <x:v>45928</x:v>
      </x:c>
      <x:c r="AK613" t="str">
        <x:f>_xlfn.XLOOKUP($A613,Games!$A$2:$A$18,Games!$F$2:$F$18,"Missing game",0)</x:f>
        <x:v>Sunday</x:v>
      </x:c>
      <x:c r="AL613" t="str">
        <x:f>_xlfn.XLOOKUP($A613,Games!$A$2:$A$18,Games!$G$2:$G$18,"Missing game",0)</x:f>
        <x:v>MIN</x:v>
      </x:c>
      <x:c r="AM613" t="n">
        <x:f>_xlfn.XLOOKUP($A613,Games!$A$2:$A$18,Games!$H$2:$H$18,"Missing game",0)</x:f>
        <x:v>21</x:v>
      </x:c>
      <x:c r="AN613" t="str">
        <x:f>_xlfn.XLOOKUP($A613,Games!$A$2:$A$18,Games!$I$2:$I$18,"Missing game",0)</x:f>
        <x:v>PIT</x:v>
      </x:c>
      <x:c r="AO613" t="n">
        <x:f>_xlfn.XLOOKUP($A613,Games!$A$2:$A$18,Games!$J$2:$J$18,"Missing game",0)</x:f>
        <x:v>24</x:v>
      </x:c>
      <x:c r="AP613" t="n">
        <x:f>_xlfn.XLOOKUP($A613,Games!$A$2:$A$18,Games!$K$2:$K$18,"Missing game",0)</x:f>
        <x:v>3</x:v>
      </x:c>
      <x:c r="AQ613" t="n">
        <x:f>_xlfn.XLOOKUP($A613,Games!$A$2:$A$18,Games!$L$2:$L$18,"Missing game",0)</x:f>
        <x:v>45</x:v>
      </x:c>
      <x:c r="AR613" t="n">
        <x:f>_xlfn.XLOOKUP($A613,Games!$A$2:$A$18,Games!$M$2:$M$18,"Missing game",0)</x:f>
        <x:v>0</x:v>
      </x:c>
      <x:c r="AS613" t="str">
        <x:f>_xlfn.XLOOKUP($A613,Games!$A$2:$A$18,Games!$N$2:$N$18,"Missing game",0)</x:f>
        <x:v>outdoors</x:v>
      </x:c>
      <x:c r="AT613" t="str">
        <x:f>_xlfn.XLOOKUP($A613,Games!$A$2:$A$18,Games!$O$2:$O$18,"Missing game",0)</x:f>
        <x:v>grass</x:v>
      </x:c>
      <x:c r="AU613" t="n">
        <x:f>_xlfn.XLOOKUP($A613,Games!$A$2:$A$18,Games!$P$2:$P$18,"Missing game",0)</x:f>
        <x:v>61</x:v>
      </x:c>
      <x:c r="AV613" t="n">
        <x:f>_xlfn.XLOOKUP($A613,Games!$A$2:$A$18,Games!$Q$2:$Q$18,"Missing game",0)</x:f>
        <x:v>5</x:v>
      </x:c>
      <x:c r="AW613" t="str">
        <x:f>_xlfn.XLOOKUP($A613,Games!$A$2:$A$18,Games!$R$2:$R$18,"Missing game",0)</x:f>
        <x:v>Acrisure Stadium</x:v>
      </x:c>
    </x:row>
    <x:row r="614">
      <x:c r="A614" t="str">
        <x:v>2025_04_MIN_PIT</x:v>
      </x:c>
      <x:c r="B614" t="n">
        <x:v>2959</x:v>
      </x:c>
      <x:c r="C614" t="n">
        <x:v>3</x:v>
      </x:c>
      <x:c r="D614" t="str">
        <x:v>00:00</x:v>
      </x:c>
      <x:c r="E614"/>
      <x:c r="F614" t="n">
        <x:v>0</x:v>
      </x:c>
      <x:c r="G614" t="str">
        <x:v>PIT</x:v>
      </x:c>
      <x:c r="H614" t="str">
        <x:v>MIN</x:v>
      </x:c>
      <x:c r="I614"/>
      <x:c r="J614"/>
      <x:c r="K614" t="str">
        <x:v>END QUARTER 3</x:v>
      </x:c>
      <x:c r="L614"/>
      <x:c r="M614"/>
      <x:c r="N614" t="n">
        <x:v>0</x:v>
      </x:c>
      <x:c r="O614" t="n">
        <x:v>0</x:v>
      </x:c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 t="n">
        <x:v>0</x:v>
      </x:c>
      <x:c r="AE614" t="n">
        <x:v>0</x:v>
      </x:c>
      <x:c r="AF614" t="n">
        <x:v>0</x:v>
      </x:c>
      <x:c r="AG614" t="n">
        <x:f>_xlfn.XLOOKUP($A614,Games!$A$2:$A$18,Games!$B$2:$B$18,"Missing game",0)</x:f>
        <x:v>2025</x:v>
      </x:c>
      <x:c r="AH614" t="str">
        <x:f>_xlfn.XLOOKUP($A614,Games!$A$2:$A$18,Games!$C$2:$C$18,"Missing game",0)</x:f>
        <x:v>REG</x:v>
      </x:c>
      <x:c r="AI614" t="n">
        <x:f>_xlfn.XLOOKUP($A614,Games!$A$2:$A$18,Games!$D$2:$D$18,"Missing game",0)</x:f>
        <x:v>4</x:v>
      </x:c>
      <x:c r="AJ614" s="1" t="n">
        <x:f>_xlfn.XLOOKUP($A614,Games!$A$2:$A$18,Games!$E$2:$E$18,"Missing game",0)</x:f>
        <x:v>45928</x:v>
      </x:c>
      <x:c r="AK614" t="str">
        <x:f>_xlfn.XLOOKUP($A614,Games!$A$2:$A$18,Games!$F$2:$F$18,"Missing game",0)</x:f>
        <x:v>Sunday</x:v>
      </x:c>
      <x:c r="AL614" t="str">
        <x:f>_xlfn.XLOOKUP($A614,Games!$A$2:$A$18,Games!$G$2:$G$18,"Missing game",0)</x:f>
        <x:v>MIN</x:v>
      </x:c>
      <x:c r="AM614" t="n">
        <x:f>_xlfn.XLOOKUP($A614,Games!$A$2:$A$18,Games!$H$2:$H$18,"Missing game",0)</x:f>
        <x:v>21</x:v>
      </x:c>
      <x:c r="AN614" t="str">
        <x:f>_xlfn.XLOOKUP($A614,Games!$A$2:$A$18,Games!$I$2:$I$18,"Missing game",0)</x:f>
        <x:v>PIT</x:v>
      </x:c>
      <x:c r="AO614" t="n">
        <x:f>_xlfn.XLOOKUP($A614,Games!$A$2:$A$18,Games!$J$2:$J$18,"Missing game",0)</x:f>
        <x:v>24</x:v>
      </x:c>
      <x:c r="AP614" t="n">
        <x:f>_xlfn.XLOOKUP($A614,Games!$A$2:$A$18,Games!$K$2:$K$18,"Missing game",0)</x:f>
        <x:v>3</x:v>
      </x:c>
      <x:c r="AQ614" t="n">
        <x:f>_xlfn.XLOOKUP($A614,Games!$A$2:$A$18,Games!$L$2:$L$18,"Missing game",0)</x:f>
        <x:v>45</x:v>
      </x:c>
      <x:c r="AR614" t="n">
        <x:f>_xlfn.XLOOKUP($A614,Games!$A$2:$A$18,Games!$M$2:$M$18,"Missing game",0)</x:f>
        <x:v>0</x:v>
      </x:c>
      <x:c r="AS614" t="str">
        <x:f>_xlfn.XLOOKUP($A614,Games!$A$2:$A$18,Games!$N$2:$N$18,"Missing game",0)</x:f>
        <x:v>outdoors</x:v>
      </x:c>
      <x:c r="AT614" t="str">
        <x:f>_xlfn.XLOOKUP($A614,Games!$A$2:$A$18,Games!$O$2:$O$18,"Missing game",0)</x:f>
        <x:v>grass</x:v>
      </x:c>
      <x:c r="AU614" t="n">
        <x:f>_xlfn.XLOOKUP($A614,Games!$A$2:$A$18,Games!$P$2:$P$18,"Missing game",0)</x:f>
        <x:v>61</x:v>
      </x:c>
      <x:c r="AV614" t="n">
        <x:f>_xlfn.XLOOKUP($A614,Games!$A$2:$A$18,Games!$Q$2:$Q$18,"Missing game",0)</x:f>
        <x:v>5</x:v>
      </x:c>
      <x:c r="AW614" t="str">
        <x:f>_xlfn.XLOOKUP($A614,Games!$A$2:$A$18,Games!$R$2:$R$18,"Missing game",0)</x:f>
        <x:v>Acrisure Stadium</x:v>
      </x:c>
    </x:row>
    <x:row r="615">
      <x:c r="A615" t="str">
        <x:v>2025_04_MIN_PIT</x:v>
      </x:c>
      <x:c r="B615" t="n">
        <x:v>2979</x:v>
      </x:c>
      <x:c r="C615" t="n">
        <x:v>4</x:v>
      </x:c>
      <x:c r="D615" t="str">
        <x:v>15:00</x:v>
      </x:c>
      <x:c r="E615" t="n">
        <x:v>2</x:v>
      </x:c>
      <x:c r="F615" t="n">
        <x:v>1</x:v>
      </x:c>
      <x:c r="G615" t="str">
        <x:v>PIT</x:v>
      </x:c>
      <x:c r="H615" t="str">
        <x:v>MIN</x:v>
      </x:c>
      <x:c r="I615" t="str">
        <x:v>MIN</x:v>
      </x:c>
      <x:c r="J615" t="n">
        <x:v>37</x:v>
      </x:c>
      <x:c r="K615" t="str">
        <x:v>(15:00) 74-S.Anderson reported in as eligible. 8-A.Rodgers pass short right to 4-D.Metcalf pushed ob at MIN 33 for 4 yards (2-I.Rodgers).</x:v>
      </x:c>
      <x:c r="L615" t="str">
        <x:v>pass</x:v>
      </x:c>
      <x:c r="M615" t="n">
        <x:v>4</x:v>
      </x:c>
      <x:c r="N615" t="n">
        <x:v>0</x:v>
      </x:c>
      <x:c r="O615" t="n">
        <x:v>0</x:v>
      </x:c>
      <x:c r="P615" t="str">
        <x:v>short</x:v>
      </x:c>
      <x:c r="Q615" t="str">
        <x:v>right</x:v>
      </x:c>
      <x:c r="R615" t="n">
        <x:v>-1</x:v>
      </x:c>
      <x:c r="S615" t="n">
        <x:v>5</x:v>
      </x:c>
      <x:c r="T615"/>
      <x:c r="U615"/>
      <x:c r="V615" t="n">
        <x:v>1</x:v>
      </x:c>
      <x:c r="W615" t="n">
        <x:v>1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/>
      <x:c r="AC615" t="n">
        <x:v>0</x:v>
      </x:c>
      <x:c r="AD615" t="n">
        <x:v>0.16314028180204332</x:v>
      </x:c>
      <x:c r="AE615" t="n">
        <x:v>1</x:v>
      </x:c>
      <x:c r="AF615" t="n">
        <x:v>0.00043833255767822266</x:v>
      </x:c>
      <x:c r="AG615" t="n">
        <x:f>_xlfn.XLOOKUP($A615,Games!$A$2:$A$18,Games!$B$2:$B$18,"Missing game",0)</x:f>
        <x:v>2025</x:v>
      </x:c>
      <x:c r="AH615" t="str">
        <x:f>_xlfn.XLOOKUP($A615,Games!$A$2:$A$18,Games!$C$2:$C$18,"Missing game",0)</x:f>
        <x:v>REG</x:v>
      </x:c>
      <x:c r="AI615" t="n">
        <x:f>_xlfn.XLOOKUP($A615,Games!$A$2:$A$18,Games!$D$2:$D$18,"Missing game",0)</x:f>
        <x:v>4</x:v>
      </x:c>
      <x:c r="AJ615" s="1" t="n">
        <x:f>_xlfn.XLOOKUP($A615,Games!$A$2:$A$18,Games!$E$2:$E$18,"Missing game",0)</x:f>
        <x:v>45928</x:v>
      </x:c>
      <x:c r="AK615" t="str">
        <x:f>_xlfn.XLOOKUP($A615,Games!$A$2:$A$18,Games!$F$2:$F$18,"Missing game",0)</x:f>
        <x:v>Sunday</x:v>
      </x:c>
      <x:c r="AL615" t="str">
        <x:f>_xlfn.XLOOKUP($A615,Games!$A$2:$A$18,Games!$G$2:$G$18,"Missing game",0)</x:f>
        <x:v>MIN</x:v>
      </x:c>
      <x:c r="AM615" t="n">
        <x:f>_xlfn.XLOOKUP($A615,Games!$A$2:$A$18,Games!$H$2:$H$18,"Missing game",0)</x:f>
        <x:v>21</x:v>
      </x:c>
      <x:c r="AN615" t="str">
        <x:f>_xlfn.XLOOKUP($A615,Games!$A$2:$A$18,Games!$I$2:$I$18,"Missing game",0)</x:f>
        <x:v>PIT</x:v>
      </x:c>
      <x:c r="AO615" t="n">
        <x:f>_xlfn.XLOOKUP($A615,Games!$A$2:$A$18,Games!$J$2:$J$18,"Missing game",0)</x:f>
        <x:v>24</x:v>
      </x:c>
      <x:c r="AP615" t="n">
        <x:f>_xlfn.XLOOKUP($A615,Games!$A$2:$A$18,Games!$K$2:$K$18,"Missing game",0)</x:f>
        <x:v>3</x:v>
      </x:c>
      <x:c r="AQ615" t="n">
        <x:f>_xlfn.XLOOKUP($A615,Games!$A$2:$A$18,Games!$L$2:$L$18,"Missing game",0)</x:f>
        <x:v>45</x:v>
      </x:c>
      <x:c r="AR615" t="n">
        <x:f>_xlfn.XLOOKUP($A615,Games!$A$2:$A$18,Games!$M$2:$M$18,"Missing game",0)</x:f>
        <x:v>0</x:v>
      </x:c>
      <x:c r="AS615" t="str">
        <x:f>_xlfn.XLOOKUP($A615,Games!$A$2:$A$18,Games!$N$2:$N$18,"Missing game",0)</x:f>
        <x:v>outdoors</x:v>
      </x:c>
      <x:c r="AT615" t="str">
        <x:f>_xlfn.XLOOKUP($A615,Games!$A$2:$A$18,Games!$O$2:$O$18,"Missing game",0)</x:f>
        <x:v>grass</x:v>
      </x:c>
      <x:c r="AU615" t="n">
        <x:f>_xlfn.XLOOKUP($A615,Games!$A$2:$A$18,Games!$P$2:$P$18,"Missing game",0)</x:f>
        <x:v>61</x:v>
      </x:c>
      <x:c r="AV615" t="n">
        <x:f>_xlfn.XLOOKUP($A615,Games!$A$2:$A$18,Games!$Q$2:$Q$18,"Missing game",0)</x:f>
        <x:v>5</x:v>
      </x:c>
      <x:c r="AW615" t="str">
        <x:f>_xlfn.XLOOKUP($A615,Games!$A$2:$A$18,Games!$R$2:$R$18,"Missing game",0)</x:f>
        <x:v>Acrisure Stadium</x:v>
      </x:c>
    </x:row>
    <x:row r="616">
      <x:c r="A616" t="str">
        <x:v>2025_04_MIN_PIT</x:v>
      </x:c>
      <x:c r="B616" t="n">
        <x:v>3011</x:v>
      </x:c>
      <x:c r="C616" t="n">
        <x:v>4</x:v>
      </x:c>
      <x:c r="D616" t="str">
        <x:v>14:21</x:v>
      </x:c>
      <x:c r="E616" t="n">
        <x:v>1</x:v>
      </x:c>
      <x:c r="F616" t="n">
        <x:v>10</x:v>
      </x:c>
      <x:c r="G616" t="str">
        <x:v>PIT</x:v>
      </x:c>
      <x:c r="H616" t="str">
        <x:v>MIN</x:v>
      </x:c>
      <x:c r="I616" t="str">
        <x:v>MIN</x:v>
      </x:c>
      <x:c r="J616" t="n">
        <x:v>33</x:v>
      </x:c>
      <x:c r="K616" t="str">
        <x:v>(14:21) (Shotgun) 8-A.Rodgers pass short left to 19-C.Austin to MIN 25 for 8 yards (7-B.Murphy). PIT-19-C.Austin was injured during the play.</x:v>
      </x:c>
      <x:c r="L616" t="str">
        <x:v>pass</x:v>
      </x:c>
      <x:c r="M616" t="n">
        <x:v>8</x:v>
      </x:c>
      <x:c r="N616" t="n">
        <x:v>1</x:v>
      </x:c>
      <x:c r="O616" t="n">
        <x:v>0</x:v>
      </x:c>
      <x:c r="P616" t="str">
        <x:v>short</x:v>
      </x:c>
      <x:c r="Q616" t="str">
        <x:v>left</x:v>
      </x:c>
      <x:c r="R616" t="n">
        <x:v>4</x:v>
      </x:c>
      <x:c r="S616" t="n">
        <x:v>4</x:v>
      </x:c>
      <x:c r="T616"/>
      <x:c r="U616"/>
      <x:c r="V616" t="n">
        <x:v>1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/>
      <x:c r="AC616" t="n">
        <x:v>0</x:v>
      </x:c>
      <x:c r="AD616" t="n">
        <x:v>0.5543702210998163</x:v>
      </x:c>
      <x:c r="AE616" t="n">
        <x:v>1</x:v>
      </x:c>
      <x:c r="AF616" t="n">
        <x:v>0.0011327266693115234</x:v>
      </x:c>
      <x:c r="AG616" t="n">
        <x:f>_xlfn.XLOOKUP($A616,Games!$A$2:$A$18,Games!$B$2:$B$18,"Missing game",0)</x:f>
        <x:v>2025</x:v>
      </x:c>
      <x:c r="AH616" t="str">
        <x:f>_xlfn.XLOOKUP($A616,Games!$A$2:$A$18,Games!$C$2:$C$18,"Missing game",0)</x:f>
        <x:v>REG</x:v>
      </x:c>
      <x:c r="AI616" t="n">
        <x:f>_xlfn.XLOOKUP($A616,Games!$A$2:$A$18,Games!$D$2:$D$18,"Missing game",0)</x:f>
        <x:v>4</x:v>
      </x:c>
      <x:c r="AJ616" s="1" t="n">
        <x:f>_xlfn.XLOOKUP($A616,Games!$A$2:$A$18,Games!$E$2:$E$18,"Missing game",0)</x:f>
        <x:v>45928</x:v>
      </x:c>
      <x:c r="AK616" t="str">
        <x:f>_xlfn.XLOOKUP($A616,Games!$A$2:$A$18,Games!$F$2:$F$18,"Missing game",0)</x:f>
        <x:v>Sunday</x:v>
      </x:c>
      <x:c r="AL616" t="str">
        <x:f>_xlfn.XLOOKUP($A616,Games!$A$2:$A$18,Games!$G$2:$G$18,"Missing game",0)</x:f>
        <x:v>MIN</x:v>
      </x:c>
      <x:c r="AM616" t="n">
        <x:f>_xlfn.XLOOKUP($A616,Games!$A$2:$A$18,Games!$H$2:$H$18,"Missing game",0)</x:f>
        <x:v>21</x:v>
      </x:c>
      <x:c r="AN616" t="str">
        <x:f>_xlfn.XLOOKUP($A616,Games!$A$2:$A$18,Games!$I$2:$I$18,"Missing game",0)</x:f>
        <x:v>PIT</x:v>
      </x:c>
      <x:c r="AO616" t="n">
        <x:f>_xlfn.XLOOKUP($A616,Games!$A$2:$A$18,Games!$J$2:$J$18,"Missing game",0)</x:f>
        <x:v>24</x:v>
      </x:c>
      <x:c r="AP616" t="n">
        <x:f>_xlfn.XLOOKUP($A616,Games!$A$2:$A$18,Games!$K$2:$K$18,"Missing game",0)</x:f>
        <x:v>3</x:v>
      </x:c>
      <x:c r="AQ616" t="n">
        <x:f>_xlfn.XLOOKUP($A616,Games!$A$2:$A$18,Games!$L$2:$L$18,"Missing game",0)</x:f>
        <x:v>45</x:v>
      </x:c>
      <x:c r="AR616" t="n">
        <x:f>_xlfn.XLOOKUP($A616,Games!$A$2:$A$18,Games!$M$2:$M$18,"Missing game",0)</x:f>
        <x:v>0</x:v>
      </x:c>
      <x:c r="AS616" t="str">
        <x:f>_xlfn.XLOOKUP($A616,Games!$A$2:$A$18,Games!$N$2:$N$18,"Missing game",0)</x:f>
        <x:v>outdoors</x:v>
      </x:c>
      <x:c r="AT616" t="str">
        <x:f>_xlfn.XLOOKUP($A616,Games!$A$2:$A$18,Games!$O$2:$O$18,"Missing game",0)</x:f>
        <x:v>grass</x:v>
      </x:c>
      <x:c r="AU616" t="n">
        <x:f>_xlfn.XLOOKUP($A616,Games!$A$2:$A$18,Games!$P$2:$P$18,"Missing game",0)</x:f>
        <x:v>61</x:v>
      </x:c>
      <x:c r="AV616" t="n">
        <x:f>_xlfn.XLOOKUP($A616,Games!$A$2:$A$18,Games!$Q$2:$Q$18,"Missing game",0)</x:f>
        <x:v>5</x:v>
      </x:c>
      <x:c r="AW616" t="str">
        <x:f>_xlfn.XLOOKUP($A616,Games!$A$2:$A$18,Games!$R$2:$R$18,"Missing game",0)</x:f>
        <x:v>Acrisure Stadium</x:v>
      </x:c>
    </x:row>
    <x:row r="617">
      <x:c r="A617" t="str">
        <x:v>2025_04_MIN_PIT</x:v>
      </x:c>
      <x:c r="B617" t="n">
        <x:v>3036</x:v>
      </x:c>
      <x:c r="C617" t="n">
        <x:v>4</x:v>
      </x:c>
      <x:c r="D617" t="str">
        <x:v>13:36</x:v>
      </x:c>
      <x:c r="E617" t="n">
        <x:v>2</x:v>
      </x:c>
      <x:c r="F617" t="n">
        <x:v>2</x:v>
      </x:c>
      <x:c r="G617" t="str">
        <x:v>PIT</x:v>
      </x:c>
      <x:c r="H617" t="str">
        <x:v>MIN</x:v>
      </x:c>
      <x:c r="I617" t="str">
        <x:v>MIN</x:v>
      </x:c>
      <x:c r="J617" t="n">
        <x:v>25</x:v>
      </x:c>
      <x:c r="K617" t="str">
        <x:v>(13:36) (Shotgun) 20-K.Johnson up the middle to MIN 19 for 6 yards (0-I.Pace; 55-E.Wilson).</x:v>
      </x:c>
      <x:c r="L617" t="str">
        <x:v>run</x:v>
      </x:c>
      <x:c r="M617" t="n">
        <x:v>6</x:v>
      </x:c>
      <x:c r="N617" t="n">
        <x:v>1</x:v>
      </x:c>
      <x:c r="O617" t="n">
        <x:v>0</x:v>
      </x:c>
      <x:c r="P617"/>
      <x:c r="Q617"/>
      <x:c r="R617"/>
      <x:c r="S617"/>
      <x:c r="T617" t="str">
        <x:v>middle</x:v>
      </x:c>
      <x:c r="U617"/>
      <x:c r="V617" t="n">
        <x:v>0</x:v>
      </x:c>
      <x:c r="W617" t="n">
        <x:v>1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/>
      <x:c r="AC617" t="n">
        <x:v>0</x:v>
      </x:c>
      <x:c r="AD617" t="n">
        <x:v>0.3707683309330605</x:v>
      </x:c>
      <x:c r="AE617" t="n">
        <x:v>1</x:v>
      </x:c>
      <x:c r="AF617" t="n">
        <x:v>0.0011739730834960938</x:v>
      </x:c>
      <x:c r="AG617" t="n">
        <x:f>_xlfn.XLOOKUP($A617,Games!$A$2:$A$18,Games!$B$2:$B$18,"Missing game",0)</x:f>
        <x:v>2025</x:v>
      </x:c>
      <x:c r="AH617" t="str">
        <x:f>_xlfn.XLOOKUP($A617,Games!$A$2:$A$18,Games!$C$2:$C$18,"Missing game",0)</x:f>
        <x:v>REG</x:v>
      </x:c>
      <x:c r="AI617" t="n">
        <x:f>_xlfn.XLOOKUP($A617,Games!$A$2:$A$18,Games!$D$2:$D$18,"Missing game",0)</x:f>
        <x:v>4</x:v>
      </x:c>
      <x:c r="AJ617" s="1" t="n">
        <x:f>_xlfn.XLOOKUP($A617,Games!$A$2:$A$18,Games!$E$2:$E$18,"Missing game",0)</x:f>
        <x:v>45928</x:v>
      </x:c>
      <x:c r="AK617" t="str">
        <x:f>_xlfn.XLOOKUP($A617,Games!$A$2:$A$18,Games!$F$2:$F$18,"Missing game",0)</x:f>
        <x:v>Sunday</x:v>
      </x:c>
      <x:c r="AL617" t="str">
        <x:f>_xlfn.XLOOKUP($A617,Games!$A$2:$A$18,Games!$G$2:$G$18,"Missing game",0)</x:f>
        <x:v>MIN</x:v>
      </x:c>
      <x:c r="AM617" t="n">
        <x:f>_xlfn.XLOOKUP($A617,Games!$A$2:$A$18,Games!$H$2:$H$18,"Missing game",0)</x:f>
        <x:v>21</x:v>
      </x:c>
      <x:c r="AN617" t="str">
        <x:f>_xlfn.XLOOKUP($A617,Games!$A$2:$A$18,Games!$I$2:$I$18,"Missing game",0)</x:f>
        <x:v>PIT</x:v>
      </x:c>
      <x:c r="AO617" t="n">
        <x:f>_xlfn.XLOOKUP($A617,Games!$A$2:$A$18,Games!$J$2:$J$18,"Missing game",0)</x:f>
        <x:v>24</x:v>
      </x:c>
      <x:c r="AP617" t="n">
        <x:f>_xlfn.XLOOKUP($A617,Games!$A$2:$A$18,Games!$K$2:$K$18,"Missing game",0)</x:f>
        <x:v>3</x:v>
      </x:c>
      <x:c r="AQ617" t="n">
        <x:f>_xlfn.XLOOKUP($A617,Games!$A$2:$A$18,Games!$L$2:$L$18,"Missing game",0)</x:f>
        <x:v>45</x:v>
      </x:c>
      <x:c r="AR617" t="n">
        <x:f>_xlfn.XLOOKUP($A617,Games!$A$2:$A$18,Games!$M$2:$M$18,"Missing game",0)</x:f>
        <x:v>0</x:v>
      </x:c>
      <x:c r="AS617" t="str">
        <x:f>_xlfn.XLOOKUP($A617,Games!$A$2:$A$18,Games!$N$2:$N$18,"Missing game",0)</x:f>
        <x:v>outdoors</x:v>
      </x:c>
      <x:c r="AT617" t="str">
        <x:f>_xlfn.XLOOKUP($A617,Games!$A$2:$A$18,Games!$O$2:$O$18,"Missing game",0)</x:f>
        <x:v>grass</x:v>
      </x:c>
      <x:c r="AU617" t="n">
        <x:f>_xlfn.XLOOKUP($A617,Games!$A$2:$A$18,Games!$P$2:$P$18,"Missing game",0)</x:f>
        <x:v>61</x:v>
      </x:c>
      <x:c r="AV617" t="n">
        <x:f>_xlfn.XLOOKUP($A617,Games!$A$2:$A$18,Games!$Q$2:$Q$18,"Missing game",0)</x:f>
        <x:v>5</x:v>
      </x:c>
      <x:c r="AW617" t="str">
        <x:f>_xlfn.XLOOKUP($A617,Games!$A$2:$A$18,Games!$R$2:$R$18,"Missing game",0)</x:f>
        <x:v>Acrisure Stadium</x:v>
      </x:c>
    </x:row>
    <x:row r="618">
      <x:c r="A618" t="str">
        <x:v>2025_04_MIN_PIT</x:v>
      </x:c>
      <x:c r="B618" t="n">
        <x:v>3073</x:v>
      </x:c>
      <x:c r="C618" t="n">
        <x:v>4</x:v>
      </x:c>
      <x:c r="D618" t="str">
        <x:v>12:54</x:v>
      </x:c>
      <x:c r="E618" t="n">
        <x:v>1</x:v>
      </x:c>
      <x:c r="F618" t="n">
        <x:v>10</x:v>
      </x:c>
      <x:c r="G618" t="str">
        <x:v>PIT</x:v>
      </x:c>
      <x:c r="H618" t="str">
        <x:v>MIN</x:v>
      </x:c>
      <x:c r="I618" t="str">
        <x:v>MIN</x:v>
      </x:c>
      <x:c r="J618" t="n">
        <x:v>19</x:v>
      </x:c>
      <x:c r="K618" t="str">
        <x:v>(12:54) 74-S.Anderson reported in as eligible. 20-K.Johnson right tackle to MIN 18 for 1 yard (61-J.Redmond; 58-J.Greenard).</x:v>
      </x:c>
      <x:c r="L618" t="str">
        <x:v>run</x:v>
      </x:c>
      <x:c r="M618" t="n">
        <x:v>1</x:v>
      </x:c>
      <x:c r="N618" t="n">
        <x:v>0</x:v>
      </x:c>
      <x:c r="O618" t="n">
        <x:v>0</x:v>
      </x:c>
      <x:c r="P618"/>
      <x:c r="Q618"/>
      <x:c r="R618"/>
      <x:c r="S618"/>
      <x:c r="T618" t="str">
        <x:v>right</x:v>
      </x:c>
      <x:c r="U618" t="str">
        <x:v>tackle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/>
      <x:c r="AC618" t="n">
        <x:v>0</x:v>
      </x:c>
      <x:c r="AD618" t="n">
        <x:v>-0.38540183374425396</x:v>
      </x:c>
      <x:c r="AE618" t="n">
        <x:v>0</x:v>
      </x:c>
      <x:c r="AF618" t="n">
        <x:v>-0.00339353084564209</x:v>
      </x:c>
      <x:c r="AG618" t="n">
        <x:f>_xlfn.XLOOKUP($A618,Games!$A$2:$A$18,Games!$B$2:$B$18,"Missing game",0)</x:f>
        <x:v>2025</x:v>
      </x:c>
      <x:c r="AH618" t="str">
        <x:f>_xlfn.XLOOKUP($A618,Games!$A$2:$A$18,Games!$C$2:$C$18,"Missing game",0)</x:f>
        <x:v>REG</x:v>
      </x:c>
      <x:c r="AI618" t="n">
        <x:f>_xlfn.XLOOKUP($A618,Games!$A$2:$A$18,Games!$D$2:$D$18,"Missing game",0)</x:f>
        <x:v>4</x:v>
      </x:c>
      <x:c r="AJ618" s="1" t="n">
        <x:f>_xlfn.XLOOKUP($A618,Games!$A$2:$A$18,Games!$E$2:$E$18,"Missing game",0)</x:f>
        <x:v>45928</x:v>
      </x:c>
      <x:c r="AK618" t="str">
        <x:f>_xlfn.XLOOKUP($A618,Games!$A$2:$A$18,Games!$F$2:$F$18,"Missing game",0)</x:f>
        <x:v>Sunday</x:v>
      </x:c>
      <x:c r="AL618" t="str">
        <x:f>_xlfn.XLOOKUP($A618,Games!$A$2:$A$18,Games!$G$2:$G$18,"Missing game",0)</x:f>
        <x:v>MIN</x:v>
      </x:c>
      <x:c r="AM618" t="n">
        <x:f>_xlfn.XLOOKUP($A618,Games!$A$2:$A$18,Games!$H$2:$H$18,"Missing game",0)</x:f>
        <x:v>21</x:v>
      </x:c>
      <x:c r="AN618" t="str">
        <x:f>_xlfn.XLOOKUP($A618,Games!$A$2:$A$18,Games!$I$2:$I$18,"Missing game",0)</x:f>
        <x:v>PIT</x:v>
      </x:c>
      <x:c r="AO618" t="n">
        <x:f>_xlfn.XLOOKUP($A618,Games!$A$2:$A$18,Games!$J$2:$J$18,"Missing game",0)</x:f>
        <x:v>24</x:v>
      </x:c>
      <x:c r="AP618" t="n">
        <x:f>_xlfn.XLOOKUP($A618,Games!$A$2:$A$18,Games!$K$2:$K$18,"Missing game",0)</x:f>
        <x:v>3</x:v>
      </x:c>
      <x:c r="AQ618" t="n">
        <x:f>_xlfn.XLOOKUP($A618,Games!$A$2:$A$18,Games!$L$2:$L$18,"Missing game",0)</x:f>
        <x:v>45</x:v>
      </x:c>
      <x:c r="AR618" t="n">
        <x:f>_xlfn.XLOOKUP($A618,Games!$A$2:$A$18,Games!$M$2:$M$18,"Missing game",0)</x:f>
        <x:v>0</x:v>
      </x:c>
      <x:c r="AS618" t="str">
        <x:f>_xlfn.XLOOKUP($A618,Games!$A$2:$A$18,Games!$N$2:$N$18,"Missing game",0)</x:f>
        <x:v>outdoors</x:v>
      </x:c>
      <x:c r="AT618" t="str">
        <x:f>_xlfn.XLOOKUP($A618,Games!$A$2:$A$18,Games!$O$2:$O$18,"Missing game",0)</x:f>
        <x:v>grass</x:v>
      </x:c>
      <x:c r="AU618" t="n">
        <x:f>_xlfn.XLOOKUP($A618,Games!$A$2:$A$18,Games!$P$2:$P$18,"Missing game",0)</x:f>
        <x:v>61</x:v>
      </x:c>
      <x:c r="AV618" t="n">
        <x:f>_xlfn.XLOOKUP($A618,Games!$A$2:$A$18,Games!$Q$2:$Q$18,"Missing game",0)</x:f>
        <x:v>5</x:v>
      </x:c>
      <x:c r="AW618" t="str">
        <x:f>_xlfn.XLOOKUP($A618,Games!$A$2:$A$18,Games!$R$2:$R$18,"Missing game",0)</x:f>
        <x:v>Acrisure Stadium</x:v>
      </x:c>
    </x:row>
    <x:row r="619">
      <x:c r="A619" t="str">
        <x:v>2025_04_MIN_PIT</x:v>
      </x:c>
      <x:c r="B619" t="n">
        <x:v>3097</x:v>
      </x:c>
      <x:c r="C619" t="n">
        <x:v>4</x:v>
      </x:c>
      <x:c r="D619" t="str">
        <x:v>12:09</x:v>
      </x:c>
      <x:c r="E619" t="n">
        <x:v>2</x:v>
      </x:c>
      <x:c r="F619" t="n">
        <x:v>9</x:v>
      </x:c>
      <x:c r="G619" t="str">
        <x:v>PIT</x:v>
      </x:c>
      <x:c r="H619" t="str">
        <x:v>MIN</x:v>
      </x:c>
      <x:c r="I619" t="str">
        <x:v>MIN</x:v>
      </x:c>
      <x:c r="J619" t="n">
        <x:v>18</x:v>
      </x:c>
      <x:c r="K619" t="str">
        <x:v>(12:09) (Shotgun) 20-K.Johnson right tackle to MIN 15 for 3 yards (22-H.Smith).</x:v>
      </x:c>
      <x:c r="L619" t="str">
        <x:v>run</x:v>
      </x:c>
      <x:c r="M619" t="n">
        <x:v>3</x:v>
      </x:c>
      <x:c r="N619" t="n">
        <x:v>1</x:v>
      </x:c>
      <x:c r="O619" t="n">
        <x:v>0</x:v>
      </x:c>
      <x:c r="P619"/>
      <x:c r="Q619"/>
      <x:c r="R619"/>
      <x:c r="S619"/>
      <x:c r="T619" t="str">
        <x:v>right</x:v>
      </x:c>
      <x:c r="U619" t="str">
        <x:v>tackle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/>
      <x:c r="AC619" t="n">
        <x:v>0</x:v>
      </x:c>
      <x:c r="AD619" t="n">
        <x:v>-0.5170138172106817</x:v>
      </x:c>
      <x:c r="AE619" t="n">
        <x:v>0</x:v>
      </x:c>
      <x:c r="AF619" t="n">
        <x:v>-0.0015720725059509277</x:v>
      </x:c>
      <x:c r="AG619" t="n">
        <x:f>_xlfn.XLOOKUP($A619,Games!$A$2:$A$18,Games!$B$2:$B$18,"Missing game",0)</x:f>
        <x:v>2025</x:v>
      </x:c>
      <x:c r="AH619" t="str">
        <x:f>_xlfn.XLOOKUP($A619,Games!$A$2:$A$18,Games!$C$2:$C$18,"Missing game",0)</x:f>
        <x:v>REG</x:v>
      </x:c>
      <x:c r="AI619" t="n">
        <x:f>_xlfn.XLOOKUP($A619,Games!$A$2:$A$18,Games!$D$2:$D$18,"Missing game",0)</x:f>
        <x:v>4</x:v>
      </x:c>
      <x:c r="AJ619" s="1" t="n">
        <x:f>_xlfn.XLOOKUP($A619,Games!$A$2:$A$18,Games!$E$2:$E$18,"Missing game",0)</x:f>
        <x:v>45928</x:v>
      </x:c>
      <x:c r="AK619" t="str">
        <x:f>_xlfn.XLOOKUP($A619,Games!$A$2:$A$18,Games!$F$2:$F$18,"Missing game",0)</x:f>
        <x:v>Sunday</x:v>
      </x:c>
      <x:c r="AL619" t="str">
        <x:f>_xlfn.XLOOKUP($A619,Games!$A$2:$A$18,Games!$G$2:$G$18,"Missing game",0)</x:f>
        <x:v>MIN</x:v>
      </x:c>
      <x:c r="AM619" t="n">
        <x:f>_xlfn.XLOOKUP($A619,Games!$A$2:$A$18,Games!$H$2:$H$18,"Missing game",0)</x:f>
        <x:v>21</x:v>
      </x:c>
      <x:c r="AN619" t="str">
        <x:f>_xlfn.XLOOKUP($A619,Games!$A$2:$A$18,Games!$I$2:$I$18,"Missing game",0)</x:f>
        <x:v>PIT</x:v>
      </x:c>
      <x:c r="AO619" t="n">
        <x:f>_xlfn.XLOOKUP($A619,Games!$A$2:$A$18,Games!$J$2:$J$18,"Missing game",0)</x:f>
        <x:v>24</x:v>
      </x:c>
      <x:c r="AP619" t="n">
        <x:f>_xlfn.XLOOKUP($A619,Games!$A$2:$A$18,Games!$K$2:$K$18,"Missing game",0)</x:f>
        <x:v>3</x:v>
      </x:c>
      <x:c r="AQ619" t="n">
        <x:f>_xlfn.XLOOKUP($A619,Games!$A$2:$A$18,Games!$L$2:$L$18,"Missing game",0)</x:f>
        <x:v>45</x:v>
      </x:c>
      <x:c r="AR619" t="n">
        <x:f>_xlfn.XLOOKUP($A619,Games!$A$2:$A$18,Games!$M$2:$M$18,"Missing game",0)</x:f>
        <x:v>0</x:v>
      </x:c>
      <x:c r="AS619" t="str">
        <x:f>_xlfn.XLOOKUP($A619,Games!$A$2:$A$18,Games!$N$2:$N$18,"Missing game",0)</x:f>
        <x:v>outdoors</x:v>
      </x:c>
      <x:c r="AT619" t="str">
        <x:f>_xlfn.XLOOKUP($A619,Games!$A$2:$A$18,Games!$O$2:$O$18,"Missing game",0)</x:f>
        <x:v>grass</x:v>
      </x:c>
      <x:c r="AU619" t="n">
        <x:f>_xlfn.XLOOKUP($A619,Games!$A$2:$A$18,Games!$P$2:$P$18,"Missing game",0)</x:f>
        <x:v>61</x:v>
      </x:c>
      <x:c r="AV619" t="n">
        <x:f>_xlfn.XLOOKUP($A619,Games!$A$2:$A$18,Games!$Q$2:$Q$18,"Missing game",0)</x:f>
        <x:v>5</x:v>
      </x:c>
      <x:c r="AW619" t="str">
        <x:f>_xlfn.XLOOKUP($A619,Games!$A$2:$A$18,Games!$R$2:$R$18,"Missing game",0)</x:f>
        <x:v>Acrisure Stadium</x:v>
      </x:c>
    </x:row>
    <x:row r="620">
      <x:c r="A620" t="str">
        <x:v>2025_04_MIN_PIT</x:v>
      </x:c>
      <x:c r="B620" t="n">
        <x:v>3119</x:v>
      </x:c>
      <x:c r="C620" t="n">
        <x:v>4</x:v>
      </x:c>
      <x:c r="D620" t="str">
        <x:v>11:25</x:v>
      </x:c>
      <x:c r="E620" t="n">
        <x:v>3</x:v>
      </x:c>
      <x:c r="F620" t="n">
        <x:v>6</x:v>
      </x:c>
      <x:c r="G620" t="str">
        <x:v>PIT</x:v>
      </x:c>
      <x:c r="H620" t="str">
        <x:v>MIN</x:v>
      </x:c>
      <x:c r="I620" t="str">
        <x:v>MIN</x:v>
      </x:c>
      <x:c r="J620" t="n">
        <x:v>15</x:v>
      </x:c>
      <x:c r="K620" t="str">
        <x:v>(11:25) (Shotgun) 8-A.Rodgers pass incomplete short left to 13-S.Miller.</x:v>
      </x:c>
      <x:c r="L620" t="str">
        <x:v>pass</x:v>
      </x:c>
      <x:c r="M620" t="n">
        <x:v>0</x:v>
      </x:c>
      <x:c r="N620" t="n">
        <x:v>1</x:v>
      </x:c>
      <x:c r="O620" t="n">
        <x:v>0</x:v>
      </x:c>
      <x:c r="P620" t="str">
        <x:v>short</x:v>
      </x:c>
      <x:c r="Q620" t="str">
        <x:v>left</x:v>
      </x:c>
      <x:c r="R620" t="n">
        <x:v>8</x:v>
      </x:c>
      <x:c r="S620"/>
      <x:c r="T620"/>
      <x:c r="U620"/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/>
      <x:c r="AC620" t="n">
        <x:v>0</x:v>
      </x:c>
      <x:c r="AD620" t="n">
        <x:v>-0.8875529176170551</x:v>
      </x:c>
      <x:c r="AE620" t="n">
        <x:v>0</x:v>
      </x:c>
      <x:c r="AF620" t="n">
        <x:v>-0.010371267795562744</x:v>
      </x:c>
      <x:c r="AG620" t="n">
        <x:f>_xlfn.XLOOKUP($A620,Games!$A$2:$A$18,Games!$B$2:$B$18,"Missing game",0)</x:f>
        <x:v>2025</x:v>
      </x:c>
      <x:c r="AH620" t="str">
        <x:f>_xlfn.XLOOKUP($A620,Games!$A$2:$A$18,Games!$C$2:$C$18,"Missing game",0)</x:f>
        <x:v>REG</x:v>
      </x:c>
      <x:c r="AI620" t="n">
        <x:f>_xlfn.XLOOKUP($A620,Games!$A$2:$A$18,Games!$D$2:$D$18,"Missing game",0)</x:f>
        <x:v>4</x:v>
      </x:c>
      <x:c r="AJ620" s="1" t="n">
        <x:f>_xlfn.XLOOKUP($A620,Games!$A$2:$A$18,Games!$E$2:$E$18,"Missing game",0)</x:f>
        <x:v>45928</x:v>
      </x:c>
      <x:c r="AK620" t="str">
        <x:f>_xlfn.XLOOKUP($A620,Games!$A$2:$A$18,Games!$F$2:$F$18,"Missing game",0)</x:f>
        <x:v>Sunday</x:v>
      </x:c>
      <x:c r="AL620" t="str">
        <x:f>_xlfn.XLOOKUP($A620,Games!$A$2:$A$18,Games!$G$2:$G$18,"Missing game",0)</x:f>
        <x:v>MIN</x:v>
      </x:c>
      <x:c r="AM620" t="n">
        <x:f>_xlfn.XLOOKUP($A620,Games!$A$2:$A$18,Games!$H$2:$H$18,"Missing game",0)</x:f>
        <x:v>21</x:v>
      </x:c>
      <x:c r="AN620" t="str">
        <x:f>_xlfn.XLOOKUP($A620,Games!$A$2:$A$18,Games!$I$2:$I$18,"Missing game",0)</x:f>
        <x:v>PIT</x:v>
      </x:c>
      <x:c r="AO620" t="n">
        <x:f>_xlfn.XLOOKUP($A620,Games!$A$2:$A$18,Games!$J$2:$J$18,"Missing game",0)</x:f>
        <x:v>24</x:v>
      </x:c>
      <x:c r="AP620" t="n">
        <x:f>_xlfn.XLOOKUP($A620,Games!$A$2:$A$18,Games!$K$2:$K$18,"Missing game",0)</x:f>
        <x:v>3</x:v>
      </x:c>
      <x:c r="AQ620" t="n">
        <x:f>_xlfn.XLOOKUP($A620,Games!$A$2:$A$18,Games!$L$2:$L$18,"Missing game",0)</x:f>
        <x:v>45</x:v>
      </x:c>
      <x:c r="AR620" t="n">
        <x:f>_xlfn.XLOOKUP($A620,Games!$A$2:$A$18,Games!$M$2:$M$18,"Missing game",0)</x:f>
        <x:v>0</x:v>
      </x:c>
      <x:c r="AS620" t="str">
        <x:f>_xlfn.XLOOKUP($A620,Games!$A$2:$A$18,Games!$N$2:$N$18,"Missing game",0)</x:f>
        <x:v>outdoors</x:v>
      </x:c>
      <x:c r="AT620" t="str">
        <x:f>_xlfn.XLOOKUP($A620,Games!$A$2:$A$18,Games!$O$2:$O$18,"Missing game",0)</x:f>
        <x:v>grass</x:v>
      </x:c>
      <x:c r="AU620" t="n">
        <x:f>_xlfn.XLOOKUP($A620,Games!$A$2:$A$18,Games!$P$2:$P$18,"Missing game",0)</x:f>
        <x:v>61</x:v>
      </x:c>
      <x:c r="AV620" t="n">
        <x:f>_xlfn.XLOOKUP($A620,Games!$A$2:$A$18,Games!$Q$2:$Q$18,"Missing game",0)</x:f>
        <x:v>5</x:v>
      </x:c>
      <x:c r="AW620" t="str">
        <x:f>_xlfn.XLOOKUP($A620,Games!$A$2:$A$18,Games!$R$2:$R$18,"Missing game",0)</x:f>
        <x:v>Acrisure Stadium</x:v>
      </x:c>
    </x:row>
    <x:row r="621">
      <x:c r="A621" t="str">
        <x:v>2025_04_MIN_PIT</x:v>
      </x:c>
      <x:c r="B621" t="n">
        <x:v>3131</x:v>
      </x:c>
      <x:c r="C621" t="n">
        <x:v>4</x:v>
      </x:c>
      <x:c r="D621" t="str">
        <x:v>11:25</x:v>
      </x:c>
      <x:c r="E621"/>
      <x:c r="F621" t="n">
        <x:v>0</x:v>
      </x:c>
      <x:c r="G621"/>
      <x:c r="H621"/>
      <x:c r="I621"/>
      <x:c r="J621"/>
      <x:c r="K621" t="str">
        <x:v>Timeout #1 by PIT at 11:25.</x:v>
      </x:c>
      <x:c r="L621" t="str">
        <x:v>no_play</x:v>
      </x:c>
      <x:c r="M621" t="n">
        <x:v>0</x:v>
      </x:c>
      <x:c r="N621" t="n">
        <x:v>0</x:v>
      </x:c>
      <x:c r="O621" t="n">
        <x:v>0</x:v>
      </x:c>
      <x:c r="P621"/>
      <x:c r="Q621"/>
      <x:c r="R621"/>
      <x:c r="S621"/>
      <x:c r="T621"/>
      <x:c r="U621"/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/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f>_xlfn.XLOOKUP($A621,Games!$A$2:$A$18,Games!$B$2:$B$18,"Missing game",0)</x:f>
        <x:v>2025</x:v>
      </x:c>
      <x:c r="AH621" t="str">
        <x:f>_xlfn.XLOOKUP($A621,Games!$A$2:$A$18,Games!$C$2:$C$18,"Missing game",0)</x:f>
        <x:v>REG</x:v>
      </x:c>
      <x:c r="AI621" t="n">
        <x:f>_xlfn.XLOOKUP($A621,Games!$A$2:$A$18,Games!$D$2:$D$18,"Missing game",0)</x:f>
        <x:v>4</x:v>
      </x:c>
      <x:c r="AJ621" s="1" t="n">
        <x:f>_xlfn.XLOOKUP($A621,Games!$A$2:$A$18,Games!$E$2:$E$18,"Missing game",0)</x:f>
        <x:v>45928</x:v>
      </x:c>
      <x:c r="AK621" t="str">
        <x:f>_xlfn.XLOOKUP($A621,Games!$A$2:$A$18,Games!$F$2:$F$18,"Missing game",0)</x:f>
        <x:v>Sunday</x:v>
      </x:c>
      <x:c r="AL621" t="str">
        <x:f>_xlfn.XLOOKUP($A621,Games!$A$2:$A$18,Games!$G$2:$G$18,"Missing game",0)</x:f>
        <x:v>MIN</x:v>
      </x:c>
      <x:c r="AM621" t="n">
        <x:f>_xlfn.XLOOKUP($A621,Games!$A$2:$A$18,Games!$H$2:$H$18,"Missing game",0)</x:f>
        <x:v>21</x:v>
      </x:c>
      <x:c r="AN621" t="str">
        <x:f>_xlfn.XLOOKUP($A621,Games!$A$2:$A$18,Games!$I$2:$I$18,"Missing game",0)</x:f>
        <x:v>PIT</x:v>
      </x:c>
      <x:c r="AO621" t="n">
        <x:f>_xlfn.XLOOKUP($A621,Games!$A$2:$A$18,Games!$J$2:$J$18,"Missing game",0)</x:f>
        <x:v>24</x:v>
      </x:c>
      <x:c r="AP621" t="n">
        <x:f>_xlfn.XLOOKUP($A621,Games!$A$2:$A$18,Games!$K$2:$K$18,"Missing game",0)</x:f>
        <x:v>3</x:v>
      </x:c>
      <x:c r="AQ621" t="n">
        <x:f>_xlfn.XLOOKUP($A621,Games!$A$2:$A$18,Games!$L$2:$L$18,"Missing game",0)</x:f>
        <x:v>45</x:v>
      </x:c>
      <x:c r="AR621" t="n">
        <x:f>_xlfn.XLOOKUP($A621,Games!$A$2:$A$18,Games!$M$2:$M$18,"Missing game",0)</x:f>
        <x:v>0</x:v>
      </x:c>
      <x:c r="AS621" t="str">
        <x:f>_xlfn.XLOOKUP($A621,Games!$A$2:$A$18,Games!$N$2:$N$18,"Missing game",0)</x:f>
        <x:v>outdoors</x:v>
      </x:c>
      <x:c r="AT621" t="str">
        <x:f>_xlfn.XLOOKUP($A621,Games!$A$2:$A$18,Games!$O$2:$O$18,"Missing game",0)</x:f>
        <x:v>grass</x:v>
      </x:c>
      <x:c r="AU621" t="n">
        <x:f>_xlfn.XLOOKUP($A621,Games!$A$2:$A$18,Games!$P$2:$P$18,"Missing game",0)</x:f>
        <x:v>61</x:v>
      </x:c>
      <x:c r="AV621" t="n">
        <x:f>_xlfn.XLOOKUP($A621,Games!$A$2:$A$18,Games!$Q$2:$Q$18,"Missing game",0)</x:f>
        <x:v>5</x:v>
      </x:c>
      <x:c r="AW621" t="str">
        <x:f>_xlfn.XLOOKUP($A621,Games!$A$2:$A$18,Games!$R$2:$R$18,"Missing game",0)</x:f>
        <x:v>Acrisure Stadium</x:v>
      </x:c>
    </x:row>
    <x:row r="622">
      <x:c r="A622" t="str">
        <x:v>2025_04_MIN_PIT</x:v>
      </x:c>
      <x:c r="B622" t="n">
        <x:v>3154</x:v>
      </x:c>
      <x:c r="C622" t="n">
        <x:v>4</x:v>
      </x:c>
      <x:c r="D622" t="str">
        <x:v>11:21</x:v>
      </x:c>
      <x:c r="E622" t="n">
        <x:v>4</x:v>
      </x:c>
      <x:c r="F622" t="n">
        <x:v>6</x:v>
      </x:c>
      <x:c r="G622" t="str">
        <x:v>PIT</x:v>
      </x:c>
      <x:c r="H622" t="str">
        <x:v>MIN</x:v>
      </x:c>
      <x:c r="I622" t="str">
        <x:v>MIN</x:v>
      </x:c>
      <x:c r="J622" t="n">
        <x:v>15</x:v>
      </x:c>
      <x:c r="K622" t="str">
        <x:v>(11:21) 9-C.Boswell 33 yard field goal is GOOD, Center-46-C.Kuntz, Holder-3-C.Waitman.</x:v>
      </x:c>
      <x:c r="L622" t="str">
        <x:v>field_goal</x:v>
      </x:c>
      <x:c r="M622" t="n">
        <x:v>0</x:v>
      </x:c>
      <x:c r="N622" t="n">
        <x:v>0</x:v>
      </x:c>
      <x:c r="O622" t="n">
        <x:v>0</x:v>
      </x:c>
      <x:c r="P622"/>
      <x:c r="Q622"/>
      <x:c r="R622"/>
      <x:c r="S622"/>
      <x:c r="T622"/>
      <x:c r="U622"/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/>
      <x:c r="AC622" t="n">
        <x:v>0</x:v>
      </x:c>
      <x:c r="AD622" t="n">
        <x:v>0.23700727525507892</x:v>
      </x:c>
      <x:c r="AE622" t="n">
        <x:v>1</x:v>
      </x:c>
      <x:c r="AF622" t="n">
        <x:v>0.014037232846021652</x:v>
      </x:c>
      <x:c r="AG622" t="n">
        <x:f>_xlfn.XLOOKUP($A622,Games!$A$2:$A$18,Games!$B$2:$B$18,"Missing game",0)</x:f>
        <x:v>2025</x:v>
      </x:c>
      <x:c r="AH622" t="str">
        <x:f>_xlfn.XLOOKUP($A622,Games!$A$2:$A$18,Games!$C$2:$C$18,"Missing game",0)</x:f>
        <x:v>REG</x:v>
      </x:c>
      <x:c r="AI622" t="n">
        <x:f>_xlfn.XLOOKUP($A622,Games!$A$2:$A$18,Games!$D$2:$D$18,"Missing game",0)</x:f>
        <x:v>4</x:v>
      </x:c>
      <x:c r="AJ622" s="1" t="n">
        <x:f>_xlfn.XLOOKUP($A622,Games!$A$2:$A$18,Games!$E$2:$E$18,"Missing game",0)</x:f>
        <x:v>45928</x:v>
      </x:c>
      <x:c r="AK622" t="str">
        <x:f>_xlfn.XLOOKUP($A622,Games!$A$2:$A$18,Games!$F$2:$F$18,"Missing game",0)</x:f>
        <x:v>Sunday</x:v>
      </x:c>
      <x:c r="AL622" t="str">
        <x:f>_xlfn.XLOOKUP($A622,Games!$A$2:$A$18,Games!$G$2:$G$18,"Missing game",0)</x:f>
        <x:v>MIN</x:v>
      </x:c>
      <x:c r="AM622" t="n">
        <x:f>_xlfn.XLOOKUP($A622,Games!$A$2:$A$18,Games!$H$2:$H$18,"Missing game",0)</x:f>
        <x:v>21</x:v>
      </x:c>
      <x:c r="AN622" t="str">
        <x:f>_xlfn.XLOOKUP($A622,Games!$A$2:$A$18,Games!$I$2:$I$18,"Missing game",0)</x:f>
        <x:v>PIT</x:v>
      </x:c>
      <x:c r="AO622" t="n">
        <x:f>_xlfn.XLOOKUP($A622,Games!$A$2:$A$18,Games!$J$2:$J$18,"Missing game",0)</x:f>
        <x:v>24</x:v>
      </x:c>
      <x:c r="AP622" t="n">
        <x:f>_xlfn.XLOOKUP($A622,Games!$A$2:$A$18,Games!$K$2:$K$18,"Missing game",0)</x:f>
        <x:v>3</x:v>
      </x:c>
      <x:c r="AQ622" t="n">
        <x:f>_xlfn.XLOOKUP($A622,Games!$A$2:$A$18,Games!$L$2:$L$18,"Missing game",0)</x:f>
        <x:v>45</x:v>
      </x:c>
      <x:c r="AR622" t="n">
        <x:f>_xlfn.XLOOKUP($A622,Games!$A$2:$A$18,Games!$M$2:$M$18,"Missing game",0)</x:f>
        <x:v>0</x:v>
      </x:c>
      <x:c r="AS622" t="str">
        <x:f>_xlfn.XLOOKUP($A622,Games!$A$2:$A$18,Games!$N$2:$N$18,"Missing game",0)</x:f>
        <x:v>outdoors</x:v>
      </x:c>
      <x:c r="AT622" t="str">
        <x:f>_xlfn.XLOOKUP($A622,Games!$A$2:$A$18,Games!$O$2:$O$18,"Missing game",0)</x:f>
        <x:v>grass</x:v>
      </x:c>
      <x:c r="AU622" t="n">
        <x:f>_xlfn.XLOOKUP($A622,Games!$A$2:$A$18,Games!$P$2:$P$18,"Missing game",0)</x:f>
        <x:v>61</x:v>
      </x:c>
      <x:c r="AV622" t="n">
        <x:f>_xlfn.XLOOKUP($A622,Games!$A$2:$A$18,Games!$Q$2:$Q$18,"Missing game",0)</x:f>
        <x:v>5</x:v>
      </x:c>
      <x:c r="AW622" t="str">
        <x:f>_xlfn.XLOOKUP($A622,Games!$A$2:$A$18,Games!$R$2:$R$18,"Missing game",0)</x:f>
        <x:v>Acrisure Stadium</x:v>
      </x:c>
    </x:row>
    <x:row r="623">
      <x:c r="A623" t="str">
        <x:v>2025_04_MIN_PIT</x:v>
      </x:c>
      <x:c r="B623" t="n">
        <x:v>3174</x:v>
      </x:c>
      <x:c r="C623" t="n">
        <x:v>4</x:v>
      </x:c>
      <x:c r="D623" t="str">
        <x:v>11:18</x:v>
      </x:c>
      <x:c r="E623"/>
      <x:c r="F623" t="n">
        <x:v>0</x:v>
      </x:c>
      <x:c r="G623" t="str">
        <x:v>MIN</x:v>
      </x:c>
      <x:c r="H623" t="str">
        <x:v>PIT</x:v>
      </x:c>
      <x:c r="I623" t="str">
        <x:v>PIT</x:v>
      </x:c>
      <x:c r="J623" t="n">
        <x:v>35</x:v>
      </x:c>
      <x:c r="K623" t="str">
        <x:v>9-C.Boswell kicks 63 yards from PIT 35 to MIN 2. 13-T.Felton to MIN 30 for 28 yards (15-B.Skowronek).</x:v>
      </x:c>
      <x:c r="L623" t="str">
        <x:v>kickoff</x:v>
      </x:c>
      <x:c r="M623" t="n">
        <x:v>0</x:v>
      </x:c>
      <x:c r="N623" t="n">
        <x:v>0</x:v>
      </x:c>
      <x:c r="O623" t="n">
        <x:v>0</x:v>
      </x:c>
      <x:c r="P623"/>
      <x:c r="Q623"/>
      <x:c r="R623"/>
      <x:c r="S623"/>
      <x:c r="T623"/>
      <x:c r="U623"/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/>
      <x:c r="AC623" t="n">
        <x:v>0</x:v>
      </x:c>
      <x:c r="AD623" t="n">
        <x:v>0.27041106834076345</x:v>
      </x:c>
      <x:c r="AE623" t="n">
        <x:v>1</x:v>
      </x:c>
      <x:c r="AF623" t="n">
        <x:v>0.0028003547340631485</x:v>
      </x:c>
      <x:c r="AG623" t="n">
        <x:f>_xlfn.XLOOKUP($A623,Games!$A$2:$A$18,Games!$B$2:$B$18,"Missing game",0)</x:f>
        <x:v>2025</x:v>
      </x:c>
      <x:c r="AH623" t="str">
        <x:f>_xlfn.XLOOKUP($A623,Games!$A$2:$A$18,Games!$C$2:$C$18,"Missing game",0)</x:f>
        <x:v>REG</x:v>
      </x:c>
      <x:c r="AI623" t="n">
        <x:f>_xlfn.XLOOKUP($A623,Games!$A$2:$A$18,Games!$D$2:$D$18,"Missing game",0)</x:f>
        <x:v>4</x:v>
      </x:c>
      <x:c r="AJ623" s="1" t="n">
        <x:f>_xlfn.XLOOKUP($A623,Games!$A$2:$A$18,Games!$E$2:$E$18,"Missing game",0)</x:f>
        <x:v>45928</x:v>
      </x:c>
      <x:c r="AK623" t="str">
        <x:f>_xlfn.XLOOKUP($A623,Games!$A$2:$A$18,Games!$F$2:$F$18,"Missing game",0)</x:f>
        <x:v>Sunday</x:v>
      </x:c>
      <x:c r="AL623" t="str">
        <x:f>_xlfn.XLOOKUP($A623,Games!$A$2:$A$18,Games!$G$2:$G$18,"Missing game",0)</x:f>
        <x:v>MIN</x:v>
      </x:c>
      <x:c r="AM623" t="n">
        <x:f>_xlfn.XLOOKUP($A623,Games!$A$2:$A$18,Games!$H$2:$H$18,"Missing game",0)</x:f>
        <x:v>21</x:v>
      </x:c>
      <x:c r="AN623" t="str">
        <x:f>_xlfn.XLOOKUP($A623,Games!$A$2:$A$18,Games!$I$2:$I$18,"Missing game",0)</x:f>
        <x:v>PIT</x:v>
      </x:c>
      <x:c r="AO623" t="n">
        <x:f>_xlfn.XLOOKUP($A623,Games!$A$2:$A$18,Games!$J$2:$J$18,"Missing game",0)</x:f>
        <x:v>24</x:v>
      </x:c>
      <x:c r="AP623" t="n">
        <x:f>_xlfn.XLOOKUP($A623,Games!$A$2:$A$18,Games!$K$2:$K$18,"Missing game",0)</x:f>
        <x:v>3</x:v>
      </x:c>
      <x:c r="AQ623" t="n">
        <x:f>_xlfn.XLOOKUP($A623,Games!$A$2:$A$18,Games!$L$2:$L$18,"Missing game",0)</x:f>
        <x:v>45</x:v>
      </x:c>
      <x:c r="AR623" t="n">
        <x:f>_xlfn.XLOOKUP($A623,Games!$A$2:$A$18,Games!$M$2:$M$18,"Missing game",0)</x:f>
        <x:v>0</x:v>
      </x:c>
      <x:c r="AS623" t="str">
        <x:f>_xlfn.XLOOKUP($A623,Games!$A$2:$A$18,Games!$N$2:$N$18,"Missing game",0)</x:f>
        <x:v>outdoors</x:v>
      </x:c>
      <x:c r="AT623" t="str">
        <x:f>_xlfn.XLOOKUP($A623,Games!$A$2:$A$18,Games!$O$2:$O$18,"Missing game",0)</x:f>
        <x:v>grass</x:v>
      </x:c>
      <x:c r="AU623" t="n">
        <x:f>_xlfn.XLOOKUP($A623,Games!$A$2:$A$18,Games!$P$2:$P$18,"Missing game",0)</x:f>
        <x:v>61</x:v>
      </x:c>
      <x:c r="AV623" t="n">
        <x:f>_xlfn.XLOOKUP($A623,Games!$A$2:$A$18,Games!$Q$2:$Q$18,"Missing game",0)</x:f>
        <x:v>5</x:v>
      </x:c>
      <x:c r="AW623" t="str">
        <x:f>_xlfn.XLOOKUP($A623,Games!$A$2:$A$18,Games!$R$2:$R$18,"Missing game",0)</x:f>
        <x:v>Acrisure Stadium</x:v>
      </x:c>
    </x:row>
    <x:row r="624">
      <x:c r="A624" t="str">
        <x:v>2025_04_MIN_PIT</x:v>
      </x:c>
      <x:c r="B624" t="n">
        <x:v>3204</x:v>
      </x:c>
      <x:c r="C624" t="n">
        <x:v>4</x:v>
      </x:c>
      <x:c r="D624" t="str">
        <x:v>11:12</x:v>
      </x:c>
      <x:c r="E624" t="n">
        <x:v>1</x:v>
      </x:c>
      <x:c r="F624" t="n">
        <x:v>10</x:v>
      </x:c>
      <x:c r="G624" t="str">
        <x:v>MIN</x:v>
      </x:c>
      <x:c r="H624" t="str">
        <x:v>PIT</x:v>
      </x:c>
      <x:c r="I624" t="str">
        <x:v>MIN</x:v>
      </x:c>
      <x:c r="J624" t="n">
        <x:v>70</x:v>
      </x:c>
      <x:c r="K624" t="str">
        <x:v>(11:12) (Shotgun) 11-C.Wentz pass short left to 3-J.Addison pushed ob at MIN 36 for 6 yards (26-B.Echols). ** Injury Update: PIT-5-J.Ramsey has returned to the game.</x:v>
      </x:c>
      <x:c r="L624" t="str">
        <x:v>pass</x:v>
      </x:c>
      <x:c r="M624" t="n">
        <x:v>6</x:v>
      </x:c>
      <x:c r="N624" t="n">
        <x:v>1</x:v>
      </x:c>
      <x:c r="O624" t="n">
        <x:v>0</x:v>
      </x:c>
      <x:c r="P624" t="str">
        <x:v>short</x:v>
      </x:c>
      <x:c r="Q624" t="str">
        <x:v>left</x:v>
      </x:c>
      <x:c r="R624" t="n">
        <x:v>6</x:v>
      </x:c>
      <x:c r="S624" t="n">
        <x:v>0</x:v>
      </x:c>
      <x:c r="T624"/>
      <x:c r="U624"/>
      <x:c r="V624" t="n">
        <x:v>1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/>
      <x:c r="AC624" t="n">
        <x:v>0</x:v>
      </x:c>
      <x:c r="AD624" t="n">
        <x:v>0.343692765571177</x:v>
      </x:c>
      <x:c r="AE624" t="n">
        <x:v>1</x:v>
      </x:c>
      <x:c r="AF624" t="n">
        <x:v>-0.0001754220575094223</x:v>
      </x:c>
      <x:c r="AG624" t="n">
        <x:f>_xlfn.XLOOKUP($A624,Games!$A$2:$A$18,Games!$B$2:$B$18,"Missing game",0)</x:f>
        <x:v>2025</x:v>
      </x:c>
      <x:c r="AH624" t="str">
        <x:f>_xlfn.XLOOKUP($A624,Games!$A$2:$A$18,Games!$C$2:$C$18,"Missing game",0)</x:f>
        <x:v>REG</x:v>
      </x:c>
      <x:c r="AI624" t="n">
        <x:f>_xlfn.XLOOKUP($A624,Games!$A$2:$A$18,Games!$D$2:$D$18,"Missing game",0)</x:f>
        <x:v>4</x:v>
      </x:c>
      <x:c r="AJ624" s="1" t="n">
        <x:f>_xlfn.XLOOKUP($A624,Games!$A$2:$A$18,Games!$E$2:$E$18,"Missing game",0)</x:f>
        <x:v>45928</x:v>
      </x:c>
      <x:c r="AK624" t="str">
        <x:f>_xlfn.XLOOKUP($A624,Games!$A$2:$A$18,Games!$F$2:$F$18,"Missing game",0)</x:f>
        <x:v>Sunday</x:v>
      </x:c>
      <x:c r="AL624" t="str">
        <x:f>_xlfn.XLOOKUP($A624,Games!$A$2:$A$18,Games!$G$2:$G$18,"Missing game",0)</x:f>
        <x:v>MIN</x:v>
      </x:c>
      <x:c r="AM624" t="n">
        <x:f>_xlfn.XLOOKUP($A624,Games!$A$2:$A$18,Games!$H$2:$H$18,"Missing game",0)</x:f>
        <x:v>21</x:v>
      </x:c>
      <x:c r="AN624" t="str">
        <x:f>_xlfn.XLOOKUP($A624,Games!$A$2:$A$18,Games!$I$2:$I$18,"Missing game",0)</x:f>
        <x:v>PIT</x:v>
      </x:c>
      <x:c r="AO624" t="n">
        <x:f>_xlfn.XLOOKUP($A624,Games!$A$2:$A$18,Games!$J$2:$J$18,"Missing game",0)</x:f>
        <x:v>24</x:v>
      </x:c>
      <x:c r="AP624" t="n">
        <x:f>_xlfn.XLOOKUP($A624,Games!$A$2:$A$18,Games!$K$2:$K$18,"Missing game",0)</x:f>
        <x:v>3</x:v>
      </x:c>
      <x:c r="AQ624" t="n">
        <x:f>_xlfn.XLOOKUP($A624,Games!$A$2:$A$18,Games!$L$2:$L$18,"Missing game",0)</x:f>
        <x:v>45</x:v>
      </x:c>
      <x:c r="AR624" t="n">
        <x:f>_xlfn.XLOOKUP($A624,Games!$A$2:$A$18,Games!$M$2:$M$18,"Missing game",0)</x:f>
        <x:v>0</x:v>
      </x:c>
      <x:c r="AS624" t="str">
        <x:f>_xlfn.XLOOKUP($A624,Games!$A$2:$A$18,Games!$N$2:$N$18,"Missing game",0)</x:f>
        <x:v>outdoors</x:v>
      </x:c>
      <x:c r="AT624" t="str">
        <x:f>_xlfn.XLOOKUP($A624,Games!$A$2:$A$18,Games!$O$2:$O$18,"Missing game",0)</x:f>
        <x:v>grass</x:v>
      </x:c>
      <x:c r="AU624" t="n">
        <x:f>_xlfn.XLOOKUP($A624,Games!$A$2:$A$18,Games!$P$2:$P$18,"Missing game",0)</x:f>
        <x:v>61</x:v>
      </x:c>
      <x:c r="AV624" t="n">
        <x:f>_xlfn.XLOOKUP($A624,Games!$A$2:$A$18,Games!$Q$2:$Q$18,"Missing game",0)</x:f>
        <x:v>5</x:v>
      </x:c>
      <x:c r="AW624" t="str">
        <x:f>_xlfn.XLOOKUP($A624,Games!$A$2:$A$18,Games!$R$2:$R$18,"Missing game",0)</x:f>
        <x:v>Acrisure Stadium</x:v>
      </x:c>
    </x:row>
    <x:row r="625">
      <x:c r="A625" t="str">
        <x:v>2025_04_MIN_PIT</x:v>
      </x:c>
      <x:c r="B625" t="n">
        <x:v>3234</x:v>
      </x:c>
      <x:c r="C625" t="n">
        <x:v>4</x:v>
      </x:c>
      <x:c r="D625" t="str">
        <x:v>10:44</x:v>
      </x:c>
      <x:c r="E625" t="n">
        <x:v>2</x:v>
      </x:c>
      <x:c r="F625" t="n">
        <x:v>4</x:v>
      </x:c>
      <x:c r="G625" t="str">
        <x:v>MIN</x:v>
      </x:c>
      <x:c r="H625" t="str">
        <x:v>PIT</x:v>
      </x:c>
      <x:c r="I625" t="str">
        <x:v>MIN</x:v>
      </x:c>
      <x:c r="J625" t="n">
        <x:v>64</x:v>
      </x:c>
      <x:c r="K625" t="str">
        <x:v>(10:44) 27-J.Mason left guard to MIN 41 for 5 yards (41-P.Wilson).</x:v>
      </x:c>
      <x:c r="L625" t="str">
        <x:v>run</x:v>
      </x:c>
      <x:c r="M625" t="n">
        <x:v>5</x:v>
      </x:c>
      <x:c r="N625" t="n">
        <x:v>0</x:v>
      </x:c>
      <x:c r="O625" t="n">
        <x:v>0</x:v>
      </x:c>
      <x:c r="P625"/>
      <x:c r="Q625"/>
      <x:c r="R625"/>
      <x:c r="S625"/>
      <x:c r="T625" t="str">
        <x:v>left</x:v>
      </x:c>
      <x:c r="U625" t="str">
        <x:v>guard</x:v>
      </x:c>
      <x:c r="V625" t="n">
        <x:v>0</x:v>
      </x:c>
      <x:c r="W625" t="n">
        <x:v>1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/>
      <x:c r="AC625" t="n">
        <x:v>0</x:v>
      </x:c>
      <x:c r="AD625" t="n">
        <x:v>0.31746960664168</x:v>
      </x:c>
      <x:c r="AE625" t="n">
        <x:v>1</x:v>
      </x:c>
      <x:c r="AF625" t="n">
        <x:v>0.0010619517415761948</x:v>
      </x:c>
      <x:c r="AG625" t="n">
        <x:f>_xlfn.XLOOKUP($A625,Games!$A$2:$A$18,Games!$B$2:$B$18,"Missing game",0)</x:f>
        <x:v>2025</x:v>
      </x:c>
      <x:c r="AH625" t="str">
        <x:f>_xlfn.XLOOKUP($A625,Games!$A$2:$A$18,Games!$C$2:$C$18,"Missing game",0)</x:f>
        <x:v>REG</x:v>
      </x:c>
      <x:c r="AI625" t="n">
        <x:f>_xlfn.XLOOKUP($A625,Games!$A$2:$A$18,Games!$D$2:$D$18,"Missing game",0)</x:f>
        <x:v>4</x:v>
      </x:c>
      <x:c r="AJ625" s="1" t="n">
        <x:f>_xlfn.XLOOKUP($A625,Games!$A$2:$A$18,Games!$E$2:$E$18,"Missing game",0)</x:f>
        <x:v>45928</x:v>
      </x:c>
      <x:c r="AK625" t="str">
        <x:f>_xlfn.XLOOKUP($A625,Games!$A$2:$A$18,Games!$F$2:$F$18,"Missing game",0)</x:f>
        <x:v>Sunday</x:v>
      </x:c>
      <x:c r="AL625" t="str">
        <x:f>_xlfn.XLOOKUP($A625,Games!$A$2:$A$18,Games!$G$2:$G$18,"Missing game",0)</x:f>
        <x:v>MIN</x:v>
      </x:c>
      <x:c r="AM625" t="n">
        <x:f>_xlfn.XLOOKUP($A625,Games!$A$2:$A$18,Games!$H$2:$H$18,"Missing game",0)</x:f>
        <x:v>21</x:v>
      </x:c>
      <x:c r="AN625" t="str">
        <x:f>_xlfn.XLOOKUP($A625,Games!$A$2:$A$18,Games!$I$2:$I$18,"Missing game",0)</x:f>
        <x:v>PIT</x:v>
      </x:c>
      <x:c r="AO625" t="n">
        <x:f>_xlfn.XLOOKUP($A625,Games!$A$2:$A$18,Games!$J$2:$J$18,"Missing game",0)</x:f>
        <x:v>24</x:v>
      </x:c>
      <x:c r="AP625" t="n">
        <x:f>_xlfn.XLOOKUP($A625,Games!$A$2:$A$18,Games!$K$2:$K$18,"Missing game",0)</x:f>
        <x:v>3</x:v>
      </x:c>
      <x:c r="AQ625" t="n">
        <x:f>_xlfn.XLOOKUP($A625,Games!$A$2:$A$18,Games!$L$2:$L$18,"Missing game",0)</x:f>
        <x:v>45</x:v>
      </x:c>
      <x:c r="AR625" t="n">
        <x:f>_xlfn.XLOOKUP($A625,Games!$A$2:$A$18,Games!$M$2:$M$18,"Missing game",0)</x:f>
        <x:v>0</x:v>
      </x:c>
      <x:c r="AS625" t="str">
        <x:f>_xlfn.XLOOKUP($A625,Games!$A$2:$A$18,Games!$N$2:$N$18,"Missing game",0)</x:f>
        <x:v>outdoors</x:v>
      </x:c>
      <x:c r="AT625" t="str">
        <x:f>_xlfn.XLOOKUP($A625,Games!$A$2:$A$18,Games!$O$2:$O$18,"Missing game",0)</x:f>
        <x:v>grass</x:v>
      </x:c>
      <x:c r="AU625" t="n">
        <x:f>_xlfn.XLOOKUP($A625,Games!$A$2:$A$18,Games!$P$2:$P$18,"Missing game",0)</x:f>
        <x:v>61</x:v>
      </x:c>
      <x:c r="AV625" t="n">
        <x:f>_xlfn.XLOOKUP($A625,Games!$A$2:$A$18,Games!$Q$2:$Q$18,"Missing game",0)</x:f>
        <x:v>5</x:v>
      </x:c>
      <x:c r="AW625" t="str">
        <x:f>_xlfn.XLOOKUP($A625,Games!$A$2:$A$18,Games!$R$2:$R$18,"Missing game",0)</x:f>
        <x:v>Acrisure Stadium</x:v>
      </x:c>
    </x:row>
    <x:row r="626">
      <x:c r="A626" t="str">
        <x:v>2025_04_MIN_PIT</x:v>
      </x:c>
      <x:c r="B626" t="n">
        <x:v>3256</x:v>
      </x:c>
      <x:c r="C626" t="n">
        <x:v>4</x:v>
      </x:c>
      <x:c r="D626" t="str">
        <x:v>10:21</x:v>
      </x:c>
      <x:c r="E626" t="n">
        <x:v>1</x:v>
      </x:c>
      <x:c r="F626" t="n">
        <x:v>10</x:v>
      </x:c>
      <x:c r="G626" t="str">
        <x:v>MIN</x:v>
      </x:c>
      <x:c r="H626" t="str">
        <x:v>PIT</x:v>
      </x:c>
      <x:c r="I626" t="str">
        <x:v>MIN</x:v>
      </x:c>
      <x:c r="J626" t="n">
        <x:v>59</x:v>
      </x:c>
      <x:c r="K626" t="str">
        <x:v>(10:21) (No Huddle, Shotgun) 11-C.Wentz pass short middle to 87-T.Hockenson to MIN 47 for 6 yards (5-J.Ramsey). PIT-97-Ca.Heyward was injured during the play.</x:v>
      </x:c>
      <x:c r="L626" t="str">
        <x:v>pass</x:v>
      </x:c>
      <x:c r="M626" t="n">
        <x:v>6</x:v>
      </x:c>
      <x:c r="N626" t="n">
        <x:v>1</x:v>
      </x:c>
      <x:c r="O626" t="n">
        <x:v>1</x:v>
      </x:c>
      <x:c r="P626" t="str">
        <x:v>short</x:v>
      </x:c>
      <x:c r="Q626" t="str">
        <x:v>middle</x:v>
      </x:c>
      <x:c r="R626" t="n">
        <x:v>5</x:v>
      </x:c>
      <x:c r="S626" t="n">
        <x:v>1</x:v>
      </x:c>
      <x:c r="T626"/>
      <x:c r="U626"/>
      <x:c r="V626" t="n">
        <x:v>1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/>
      <x:c r="AC626" t="n">
        <x:v>0</x:v>
      </x:c>
      <x:c r="AD626" t="n">
        <x:v>0.29645290691405535</x:v>
      </x:c>
      <x:c r="AE626" t="n">
        <x:v>1</x:v>
      </x:c>
      <x:c r="AF626" t="n">
        <x:v>-0.0008317120373249054</x:v>
      </x:c>
      <x:c r="AG626" t="n">
        <x:f>_xlfn.XLOOKUP($A626,Games!$A$2:$A$18,Games!$B$2:$B$18,"Missing game",0)</x:f>
        <x:v>2025</x:v>
      </x:c>
      <x:c r="AH626" t="str">
        <x:f>_xlfn.XLOOKUP($A626,Games!$A$2:$A$18,Games!$C$2:$C$18,"Missing game",0)</x:f>
        <x:v>REG</x:v>
      </x:c>
      <x:c r="AI626" t="n">
        <x:f>_xlfn.XLOOKUP($A626,Games!$A$2:$A$18,Games!$D$2:$D$18,"Missing game",0)</x:f>
        <x:v>4</x:v>
      </x:c>
      <x:c r="AJ626" s="1" t="n">
        <x:f>_xlfn.XLOOKUP($A626,Games!$A$2:$A$18,Games!$E$2:$E$18,"Missing game",0)</x:f>
        <x:v>45928</x:v>
      </x:c>
      <x:c r="AK626" t="str">
        <x:f>_xlfn.XLOOKUP($A626,Games!$A$2:$A$18,Games!$F$2:$F$18,"Missing game",0)</x:f>
        <x:v>Sunday</x:v>
      </x:c>
      <x:c r="AL626" t="str">
        <x:f>_xlfn.XLOOKUP($A626,Games!$A$2:$A$18,Games!$G$2:$G$18,"Missing game",0)</x:f>
        <x:v>MIN</x:v>
      </x:c>
      <x:c r="AM626" t="n">
        <x:f>_xlfn.XLOOKUP($A626,Games!$A$2:$A$18,Games!$H$2:$H$18,"Missing game",0)</x:f>
        <x:v>21</x:v>
      </x:c>
      <x:c r="AN626" t="str">
        <x:f>_xlfn.XLOOKUP($A626,Games!$A$2:$A$18,Games!$I$2:$I$18,"Missing game",0)</x:f>
        <x:v>PIT</x:v>
      </x:c>
      <x:c r="AO626" t="n">
        <x:f>_xlfn.XLOOKUP($A626,Games!$A$2:$A$18,Games!$J$2:$J$18,"Missing game",0)</x:f>
        <x:v>24</x:v>
      </x:c>
      <x:c r="AP626" t="n">
        <x:f>_xlfn.XLOOKUP($A626,Games!$A$2:$A$18,Games!$K$2:$K$18,"Missing game",0)</x:f>
        <x:v>3</x:v>
      </x:c>
      <x:c r="AQ626" t="n">
        <x:f>_xlfn.XLOOKUP($A626,Games!$A$2:$A$18,Games!$L$2:$L$18,"Missing game",0)</x:f>
        <x:v>45</x:v>
      </x:c>
      <x:c r="AR626" t="n">
        <x:f>_xlfn.XLOOKUP($A626,Games!$A$2:$A$18,Games!$M$2:$M$18,"Missing game",0)</x:f>
        <x:v>0</x:v>
      </x:c>
      <x:c r="AS626" t="str">
        <x:f>_xlfn.XLOOKUP($A626,Games!$A$2:$A$18,Games!$N$2:$N$18,"Missing game",0)</x:f>
        <x:v>outdoors</x:v>
      </x:c>
      <x:c r="AT626" t="str">
        <x:f>_xlfn.XLOOKUP($A626,Games!$A$2:$A$18,Games!$O$2:$O$18,"Missing game",0)</x:f>
        <x:v>grass</x:v>
      </x:c>
      <x:c r="AU626" t="n">
        <x:f>_xlfn.XLOOKUP($A626,Games!$A$2:$A$18,Games!$P$2:$P$18,"Missing game",0)</x:f>
        <x:v>61</x:v>
      </x:c>
      <x:c r="AV626" t="n">
        <x:f>_xlfn.XLOOKUP($A626,Games!$A$2:$A$18,Games!$Q$2:$Q$18,"Missing game",0)</x:f>
        <x:v>5</x:v>
      </x:c>
      <x:c r="AW626" t="str">
        <x:f>_xlfn.XLOOKUP($A626,Games!$A$2:$A$18,Games!$R$2:$R$18,"Missing game",0)</x:f>
        <x:v>Acrisure Stadium</x:v>
      </x:c>
    </x:row>
    <x:row r="627">
      <x:c r="A627" t="str">
        <x:v>2025_04_MIN_PIT</x:v>
      </x:c>
      <x:c r="B627" t="n">
        <x:v>3284</x:v>
      </x:c>
      <x:c r="C627" t="n">
        <x:v>4</x:v>
      </x:c>
      <x:c r="D627" t="str">
        <x:v>09:42</x:v>
      </x:c>
      <x:c r="E627" t="n">
        <x:v>2</x:v>
      </x:c>
      <x:c r="F627" t="n">
        <x:v>4</x:v>
      </x:c>
      <x:c r="G627" t="str">
        <x:v>MIN</x:v>
      </x:c>
      <x:c r="H627" t="str">
        <x:v>PIT</x:v>
      </x:c>
      <x:c r="I627" t="str">
        <x:v>MIN</x:v>
      </x:c>
      <x:c r="J627" t="n">
        <x:v>53</x:v>
      </x:c>
      <x:c r="K627" t="str">
        <x:v>(9:42) (Shotgun) 11-C.Wentz pass short middle to 18-J.Jefferson to PIT 35 for 18 yards (41-P.Wilson).</x:v>
      </x:c>
      <x:c r="L627" t="str">
        <x:v>pass</x:v>
      </x:c>
      <x:c r="M627" t="n">
        <x:v>18</x:v>
      </x:c>
      <x:c r="N627" t="n">
        <x:v>1</x:v>
      </x:c>
      <x:c r="O627" t="n">
        <x:v>0</x:v>
      </x:c>
      <x:c r="P627" t="str">
        <x:v>short</x:v>
      </x:c>
      <x:c r="Q627" t="str">
        <x:v>middle</x:v>
      </x:c>
      <x:c r="R627" t="n">
        <x:v>15</x:v>
      </x:c>
      <x:c r="S627" t="n">
        <x:v>3</x:v>
      </x:c>
      <x:c r="T627"/>
      <x:c r="U627"/>
      <x:c r="V627" t="n">
        <x:v>1</x:v>
      </x:c>
      <x:c r="W627" t="n">
        <x:v>1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/>
      <x:c r="AC627" t="n">
        <x:v>0</x:v>
      </x:c>
      <x:c r="AD627" t="n">
        <x:v>1.1661256552906707</x:v>
      </x:c>
      <x:c r="AE627" t="n">
        <x:v>1</x:v>
      </x:c>
      <x:c r="AF627" t="n">
        <x:v>0.004848049953579903</x:v>
      </x:c>
      <x:c r="AG627" t="n">
        <x:f>_xlfn.XLOOKUP($A627,Games!$A$2:$A$18,Games!$B$2:$B$18,"Missing game",0)</x:f>
        <x:v>2025</x:v>
      </x:c>
      <x:c r="AH627" t="str">
        <x:f>_xlfn.XLOOKUP($A627,Games!$A$2:$A$18,Games!$C$2:$C$18,"Missing game",0)</x:f>
        <x:v>REG</x:v>
      </x:c>
      <x:c r="AI627" t="n">
        <x:f>_xlfn.XLOOKUP($A627,Games!$A$2:$A$18,Games!$D$2:$D$18,"Missing game",0)</x:f>
        <x:v>4</x:v>
      </x:c>
      <x:c r="AJ627" s="1" t="n">
        <x:f>_xlfn.XLOOKUP($A627,Games!$A$2:$A$18,Games!$E$2:$E$18,"Missing game",0)</x:f>
        <x:v>45928</x:v>
      </x:c>
      <x:c r="AK627" t="str">
        <x:f>_xlfn.XLOOKUP($A627,Games!$A$2:$A$18,Games!$F$2:$F$18,"Missing game",0)</x:f>
        <x:v>Sunday</x:v>
      </x:c>
      <x:c r="AL627" t="str">
        <x:f>_xlfn.XLOOKUP($A627,Games!$A$2:$A$18,Games!$G$2:$G$18,"Missing game",0)</x:f>
        <x:v>MIN</x:v>
      </x:c>
      <x:c r="AM627" t="n">
        <x:f>_xlfn.XLOOKUP($A627,Games!$A$2:$A$18,Games!$H$2:$H$18,"Missing game",0)</x:f>
        <x:v>21</x:v>
      </x:c>
      <x:c r="AN627" t="str">
        <x:f>_xlfn.XLOOKUP($A627,Games!$A$2:$A$18,Games!$I$2:$I$18,"Missing game",0)</x:f>
        <x:v>PIT</x:v>
      </x:c>
      <x:c r="AO627" t="n">
        <x:f>_xlfn.XLOOKUP($A627,Games!$A$2:$A$18,Games!$J$2:$J$18,"Missing game",0)</x:f>
        <x:v>24</x:v>
      </x:c>
      <x:c r="AP627" t="n">
        <x:f>_xlfn.XLOOKUP($A627,Games!$A$2:$A$18,Games!$K$2:$K$18,"Missing game",0)</x:f>
        <x:v>3</x:v>
      </x:c>
      <x:c r="AQ627" t="n">
        <x:f>_xlfn.XLOOKUP($A627,Games!$A$2:$A$18,Games!$L$2:$L$18,"Missing game",0)</x:f>
        <x:v>45</x:v>
      </x:c>
      <x:c r="AR627" t="n">
        <x:f>_xlfn.XLOOKUP($A627,Games!$A$2:$A$18,Games!$M$2:$M$18,"Missing game",0)</x:f>
        <x:v>0</x:v>
      </x:c>
      <x:c r="AS627" t="str">
        <x:f>_xlfn.XLOOKUP($A627,Games!$A$2:$A$18,Games!$N$2:$N$18,"Missing game",0)</x:f>
        <x:v>outdoors</x:v>
      </x:c>
      <x:c r="AT627" t="str">
        <x:f>_xlfn.XLOOKUP($A627,Games!$A$2:$A$18,Games!$O$2:$O$18,"Missing game",0)</x:f>
        <x:v>grass</x:v>
      </x:c>
      <x:c r="AU627" t="n">
        <x:f>_xlfn.XLOOKUP($A627,Games!$A$2:$A$18,Games!$P$2:$P$18,"Missing game",0)</x:f>
        <x:v>61</x:v>
      </x:c>
      <x:c r="AV627" t="n">
        <x:f>_xlfn.XLOOKUP($A627,Games!$A$2:$A$18,Games!$Q$2:$Q$18,"Missing game",0)</x:f>
        <x:v>5</x:v>
      </x:c>
      <x:c r="AW627" t="str">
        <x:f>_xlfn.XLOOKUP($A627,Games!$A$2:$A$18,Games!$R$2:$R$18,"Missing game",0)</x:f>
        <x:v>Acrisure Stadium</x:v>
      </x:c>
    </x:row>
    <x:row r="628">
      <x:c r="A628" t="str">
        <x:v>2025_04_MIN_PIT</x:v>
      </x:c>
      <x:c r="B628" t="n">
        <x:v>3312</x:v>
      </x:c>
      <x:c r="C628" t="n">
        <x:v>4</x:v>
      </x:c>
      <x:c r="D628" t="str">
        <x:v>09:11</x:v>
      </x:c>
      <x:c r="E628" t="n">
        <x:v>1</x:v>
      </x:c>
      <x:c r="F628" t="n">
        <x:v>10</x:v>
      </x:c>
      <x:c r="G628" t="str">
        <x:v>MIN</x:v>
      </x:c>
      <x:c r="H628" t="str">
        <x:v>PIT</x:v>
      </x:c>
      <x:c r="I628" t="str">
        <x:v>PIT</x:v>
      </x:c>
      <x:c r="J628" t="n">
        <x:v>35</x:v>
      </x:c>
      <x:c r="K628" t="str">
        <x:v>(9:11) 11-C.Wentz pass incomplete short middle [25-D.Elliott].</x:v>
      </x:c>
      <x:c r="L628" t="str">
        <x:v>pass</x:v>
      </x:c>
      <x:c r="M628" t="n">
        <x:v>0</x:v>
      </x:c>
      <x:c r="N628" t="n">
        <x:v>0</x:v>
      </x:c>
      <x:c r="O628" t="n">
        <x:v>0</x:v>
      </x:c>
      <x:c r="P628" t="str">
        <x:v>short</x:v>
      </x:c>
      <x:c r="Q628" t="str">
        <x:v>middle</x:v>
      </x:c>
      <x:c r="R628" t="n">
        <x:v>-3</x:v>
      </x:c>
      <x:c r="S628"/>
      <x:c r="T628"/>
      <x:c r="U628"/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/>
      <x:c r="AC628" t="n">
        <x:v>0</x:v>
      </x:c>
      <x:c r="AD628" t="n">
        <x:v>-0.4313642628258094</x:v>
      </x:c>
      <x:c r="AE628" t="n">
        <x:v>0</x:v>
      </x:c>
      <x:c r="AF628" t="n">
        <x:v>-0.0026214905083179474</x:v>
      </x:c>
      <x:c r="AG628" t="n">
        <x:f>_xlfn.XLOOKUP($A628,Games!$A$2:$A$18,Games!$B$2:$B$18,"Missing game",0)</x:f>
        <x:v>2025</x:v>
      </x:c>
      <x:c r="AH628" t="str">
        <x:f>_xlfn.XLOOKUP($A628,Games!$A$2:$A$18,Games!$C$2:$C$18,"Missing game",0)</x:f>
        <x:v>REG</x:v>
      </x:c>
      <x:c r="AI628" t="n">
        <x:f>_xlfn.XLOOKUP($A628,Games!$A$2:$A$18,Games!$D$2:$D$18,"Missing game",0)</x:f>
        <x:v>4</x:v>
      </x:c>
      <x:c r="AJ628" s="1" t="n">
        <x:f>_xlfn.XLOOKUP($A628,Games!$A$2:$A$18,Games!$E$2:$E$18,"Missing game",0)</x:f>
        <x:v>45928</x:v>
      </x:c>
      <x:c r="AK628" t="str">
        <x:f>_xlfn.XLOOKUP($A628,Games!$A$2:$A$18,Games!$F$2:$F$18,"Missing game",0)</x:f>
        <x:v>Sunday</x:v>
      </x:c>
      <x:c r="AL628" t="str">
        <x:f>_xlfn.XLOOKUP($A628,Games!$A$2:$A$18,Games!$G$2:$G$18,"Missing game",0)</x:f>
        <x:v>MIN</x:v>
      </x:c>
      <x:c r="AM628" t="n">
        <x:f>_xlfn.XLOOKUP($A628,Games!$A$2:$A$18,Games!$H$2:$H$18,"Missing game",0)</x:f>
        <x:v>21</x:v>
      </x:c>
      <x:c r="AN628" t="str">
        <x:f>_xlfn.XLOOKUP($A628,Games!$A$2:$A$18,Games!$I$2:$I$18,"Missing game",0)</x:f>
        <x:v>PIT</x:v>
      </x:c>
      <x:c r="AO628" t="n">
        <x:f>_xlfn.XLOOKUP($A628,Games!$A$2:$A$18,Games!$J$2:$J$18,"Missing game",0)</x:f>
        <x:v>24</x:v>
      </x:c>
      <x:c r="AP628" t="n">
        <x:f>_xlfn.XLOOKUP($A628,Games!$A$2:$A$18,Games!$K$2:$K$18,"Missing game",0)</x:f>
        <x:v>3</x:v>
      </x:c>
      <x:c r="AQ628" t="n">
        <x:f>_xlfn.XLOOKUP($A628,Games!$A$2:$A$18,Games!$L$2:$L$18,"Missing game",0)</x:f>
        <x:v>45</x:v>
      </x:c>
      <x:c r="AR628" t="n">
        <x:f>_xlfn.XLOOKUP($A628,Games!$A$2:$A$18,Games!$M$2:$M$18,"Missing game",0)</x:f>
        <x:v>0</x:v>
      </x:c>
      <x:c r="AS628" t="str">
        <x:f>_xlfn.XLOOKUP($A628,Games!$A$2:$A$18,Games!$N$2:$N$18,"Missing game",0)</x:f>
        <x:v>outdoors</x:v>
      </x:c>
      <x:c r="AT628" t="str">
        <x:f>_xlfn.XLOOKUP($A628,Games!$A$2:$A$18,Games!$O$2:$O$18,"Missing game",0)</x:f>
        <x:v>grass</x:v>
      </x:c>
      <x:c r="AU628" t="n">
        <x:f>_xlfn.XLOOKUP($A628,Games!$A$2:$A$18,Games!$P$2:$P$18,"Missing game",0)</x:f>
        <x:v>61</x:v>
      </x:c>
      <x:c r="AV628" t="n">
        <x:f>_xlfn.XLOOKUP($A628,Games!$A$2:$A$18,Games!$Q$2:$Q$18,"Missing game",0)</x:f>
        <x:v>5</x:v>
      </x:c>
      <x:c r="AW628" t="str">
        <x:f>_xlfn.XLOOKUP($A628,Games!$A$2:$A$18,Games!$R$2:$R$18,"Missing game",0)</x:f>
        <x:v>Acrisure Stadium</x:v>
      </x:c>
    </x:row>
    <x:row r="629">
      <x:c r="A629" t="str">
        <x:v>2025_04_MIN_PIT</x:v>
      </x:c>
      <x:c r="B629" t="n">
        <x:v>3335</x:v>
      </x:c>
      <x:c r="C629" t="n">
        <x:v>4</x:v>
      </x:c>
      <x:c r="D629" t="str">
        <x:v>09:08</x:v>
      </x:c>
      <x:c r="E629" t="n">
        <x:v>2</x:v>
      </x:c>
      <x:c r="F629" t="n">
        <x:v>10</x:v>
      </x:c>
      <x:c r="G629" t="str">
        <x:v>MIN</x:v>
      </x:c>
      <x:c r="H629" t="str">
        <x:v>PIT</x:v>
      </x:c>
      <x:c r="I629" t="str">
        <x:v>PIT</x:v>
      </x:c>
      <x:c r="J629" t="n">
        <x:v>35</x:v>
      </x:c>
      <x:c r="K629" t="str">
        <x:v>(9:08) (Shotgun) 11-C.Wentz pass short right to 87-T.Hockenson to PIT 23 for 12 yards (22-J.Thornhill).</x:v>
      </x:c>
      <x:c r="L629" t="str">
        <x:v>pass</x:v>
      </x:c>
      <x:c r="M629" t="n">
        <x:v>12</x:v>
      </x:c>
      <x:c r="N629" t="n">
        <x:v>1</x:v>
      </x:c>
      <x:c r="O629" t="n">
        <x:v>0</x:v>
      </x:c>
      <x:c r="P629" t="str">
        <x:v>short</x:v>
      </x:c>
      <x:c r="Q629" t="str">
        <x:v>right</x:v>
      </x:c>
      <x:c r="R629" t="n">
        <x:v>5</x:v>
      </x:c>
      <x:c r="S629" t="n">
        <x:v>7</x:v>
      </x:c>
      <x:c r="T629"/>
      <x:c r="U629"/>
      <x:c r="V629" t="n">
        <x:v>1</x:v>
      </x:c>
      <x:c r="W629" t="n">
        <x:v>1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/>
      <x:c r="AC629" t="n">
        <x:v>0</x:v>
      </x:c>
      <x:c r="AD629" t="n">
        <x:v>1.2360293946694583</x:v>
      </x:c>
      <x:c r="AE629" t="n">
        <x:v>1</x:v>
      </x:c>
      <x:c r="AF629" t="n">
        <x:v>-0.0034645479172468185</x:v>
      </x:c>
      <x:c r="AG629" t="n">
        <x:f>_xlfn.XLOOKUP($A629,Games!$A$2:$A$18,Games!$B$2:$B$18,"Missing game",0)</x:f>
        <x:v>2025</x:v>
      </x:c>
      <x:c r="AH629" t="str">
        <x:f>_xlfn.XLOOKUP($A629,Games!$A$2:$A$18,Games!$C$2:$C$18,"Missing game",0)</x:f>
        <x:v>REG</x:v>
      </x:c>
      <x:c r="AI629" t="n">
        <x:f>_xlfn.XLOOKUP($A629,Games!$A$2:$A$18,Games!$D$2:$D$18,"Missing game",0)</x:f>
        <x:v>4</x:v>
      </x:c>
      <x:c r="AJ629" s="1" t="n">
        <x:f>_xlfn.XLOOKUP($A629,Games!$A$2:$A$18,Games!$E$2:$E$18,"Missing game",0)</x:f>
        <x:v>45928</x:v>
      </x:c>
      <x:c r="AK629" t="str">
        <x:f>_xlfn.XLOOKUP($A629,Games!$A$2:$A$18,Games!$F$2:$F$18,"Missing game",0)</x:f>
        <x:v>Sunday</x:v>
      </x:c>
      <x:c r="AL629" t="str">
        <x:f>_xlfn.XLOOKUP($A629,Games!$A$2:$A$18,Games!$G$2:$G$18,"Missing game",0)</x:f>
        <x:v>MIN</x:v>
      </x:c>
      <x:c r="AM629" t="n">
        <x:f>_xlfn.XLOOKUP($A629,Games!$A$2:$A$18,Games!$H$2:$H$18,"Missing game",0)</x:f>
        <x:v>21</x:v>
      </x:c>
      <x:c r="AN629" t="str">
        <x:f>_xlfn.XLOOKUP($A629,Games!$A$2:$A$18,Games!$I$2:$I$18,"Missing game",0)</x:f>
        <x:v>PIT</x:v>
      </x:c>
      <x:c r="AO629" t="n">
        <x:f>_xlfn.XLOOKUP($A629,Games!$A$2:$A$18,Games!$J$2:$J$18,"Missing game",0)</x:f>
        <x:v>24</x:v>
      </x:c>
      <x:c r="AP629" t="n">
        <x:f>_xlfn.XLOOKUP($A629,Games!$A$2:$A$18,Games!$K$2:$K$18,"Missing game",0)</x:f>
        <x:v>3</x:v>
      </x:c>
      <x:c r="AQ629" t="n">
        <x:f>_xlfn.XLOOKUP($A629,Games!$A$2:$A$18,Games!$L$2:$L$18,"Missing game",0)</x:f>
        <x:v>45</x:v>
      </x:c>
      <x:c r="AR629" t="n">
        <x:f>_xlfn.XLOOKUP($A629,Games!$A$2:$A$18,Games!$M$2:$M$18,"Missing game",0)</x:f>
        <x:v>0</x:v>
      </x:c>
      <x:c r="AS629" t="str">
        <x:f>_xlfn.XLOOKUP($A629,Games!$A$2:$A$18,Games!$N$2:$N$18,"Missing game",0)</x:f>
        <x:v>outdoors</x:v>
      </x:c>
      <x:c r="AT629" t="str">
        <x:f>_xlfn.XLOOKUP($A629,Games!$A$2:$A$18,Games!$O$2:$O$18,"Missing game",0)</x:f>
        <x:v>grass</x:v>
      </x:c>
      <x:c r="AU629" t="n">
        <x:f>_xlfn.XLOOKUP($A629,Games!$A$2:$A$18,Games!$P$2:$P$18,"Missing game",0)</x:f>
        <x:v>61</x:v>
      </x:c>
      <x:c r="AV629" t="n">
        <x:f>_xlfn.XLOOKUP($A629,Games!$A$2:$A$18,Games!$Q$2:$Q$18,"Missing game",0)</x:f>
        <x:v>5</x:v>
      </x:c>
      <x:c r="AW629" t="str">
        <x:f>_xlfn.XLOOKUP($A629,Games!$A$2:$A$18,Games!$R$2:$R$18,"Missing game",0)</x:f>
        <x:v>Acrisure Stadium</x:v>
      </x:c>
    </x:row>
    <x:row r="630">
      <x:c r="A630" t="str">
        <x:v>2025_04_MIN_PIT</x:v>
      </x:c>
      <x:c r="B630" t="n">
        <x:v>3360</x:v>
      </x:c>
      <x:c r="C630" t="n">
        <x:v>4</x:v>
      </x:c>
      <x:c r="D630" t="str">
        <x:v>08:38</x:v>
      </x:c>
      <x:c r="E630" t="n">
        <x:v>1</x:v>
      </x:c>
      <x:c r="F630" t="n">
        <x:v>10</x:v>
      </x:c>
      <x:c r="G630" t="str">
        <x:v>MIN</x:v>
      </x:c>
      <x:c r="H630" t="str">
        <x:v>PIT</x:v>
      </x:c>
      <x:c r="I630" t="str">
        <x:v>PIT</x:v>
      </x:c>
      <x:c r="J630" t="n">
        <x:v>23</x:v>
      </x:c>
      <x:c r="K630" t="str">
        <x:v>(8:38) (No Huddle, Shotgun) 11-C.Wentz pass short middle to 87-T.Hockenson to PIT 16 for 7 yards (41-P.Wilson; 6-P.Queen).</x:v>
      </x:c>
      <x:c r="L630" t="str">
        <x:v>pass</x:v>
      </x:c>
      <x:c r="M630" t="n">
        <x:v>7</x:v>
      </x:c>
      <x:c r="N630" t="n">
        <x:v>1</x:v>
      </x:c>
      <x:c r="O630" t="n">
        <x:v>1</x:v>
      </x:c>
      <x:c r="P630" t="str">
        <x:v>short</x:v>
      </x:c>
      <x:c r="Q630" t="str">
        <x:v>middle</x:v>
      </x:c>
      <x:c r="R630" t="n">
        <x:v>4</x:v>
      </x:c>
      <x:c r="S630" t="n">
        <x:v>3</x:v>
      </x:c>
      <x:c r="T630"/>
      <x:c r="U630"/>
      <x:c r="V630" t="n">
        <x:v>1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/>
      <x:c r="AC630" t="n">
        <x:v>0</x:v>
      </x:c>
      <x:c r="AD630" t="n">
        <x:v>0.3314564489410259</x:v>
      </x:c>
      <x:c r="AE630" t="n">
        <x:v>1</x:v>
      </x:c>
      <x:c r="AF630" t="n">
        <x:v>0.0033109355717897415</x:v>
      </x:c>
      <x:c r="AG630" t="n">
        <x:f>_xlfn.XLOOKUP($A630,Games!$A$2:$A$18,Games!$B$2:$B$18,"Missing game",0)</x:f>
        <x:v>2025</x:v>
      </x:c>
      <x:c r="AH630" t="str">
        <x:f>_xlfn.XLOOKUP($A630,Games!$A$2:$A$18,Games!$C$2:$C$18,"Missing game",0)</x:f>
        <x:v>REG</x:v>
      </x:c>
      <x:c r="AI630" t="n">
        <x:f>_xlfn.XLOOKUP($A630,Games!$A$2:$A$18,Games!$D$2:$D$18,"Missing game",0)</x:f>
        <x:v>4</x:v>
      </x:c>
      <x:c r="AJ630" s="1" t="n">
        <x:f>_xlfn.XLOOKUP($A630,Games!$A$2:$A$18,Games!$E$2:$E$18,"Missing game",0)</x:f>
        <x:v>45928</x:v>
      </x:c>
      <x:c r="AK630" t="str">
        <x:f>_xlfn.XLOOKUP($A630,Games!$A$2:$A$18,Games!$F$2:$F$18,"Missing game",0)</x:f>
        <x:v>Sunday</x:v>
      </x:c>
      <x:c r="AL630" t="str">
        <x:f>_xlfn.XLOOKUP($A630,Games!$A$2:$A$18,Games!$G$2:$G$18,"Missing game",0)</x:f>
        <x:v>MIN</x:v>
      </x:c>
      <x:c r="AM630" t="n">
        <x:f>_xlfn.XLOOKUP($A630,Games!$A$2:$A$18,Games!$H$2:$H$18,"Missing game",0)</x:f>
        <x:v>21</x:v>
      </x:c>
      <x:c r="AN630" t="str">
        <x:f>_xlfn.XLOOKUP($A630,Games!$A$2:$A$18,Games!$I$2:$I$18,"Missing game",0)</x:f>
        <x:v>PIT</x:v>
      </x:c>
      <x:c r="AO630" t="n">
        <x:f>_xlfn.XLOOKUP($A630,Games!$A$2:$A$18,Games!$J$2:$J$18,"Missing game",0)</x:f>
        <x:v>24</x:v>
      </x:c>
      <x:c r="AP630" t="n">
        <x:f>_xlfn.XLOOKUP($A630,Games!$A$2:$A$18,Games!$K$2:$K$18,"Missing game",0)</x:f>
        <x:v>3</x:v>
      </x:c>
      <x:c r="AQ630" t="n">
        <x:f>_xlfn.XLOOKUP($A630,Games!$A$2:$A$18,Games!$L$2:$L$18,"Missing game",0)</x:f>
        <x:v>45</x:v>
      </x:c>
      <x:c r="AR630" t="n">
        <x:f>_xlfn.XLOOKUP($A630,Games!$A$2:$A$18,Games!$M$2:$M$18,"Missing game",0)</x:f>
        <x:v>0</x:v>
      </x:c>
      <x:c r="AS630" t="str">
        <x:f>_xlfn.XLOOKUP($A630,Games!$A$2:$A$18,Games!$N$2:$N$18,"Missing game",0)</x:f>
        <x:v>outdoors</x:v>
      </x:c>
      <x:c r="AT630" t="str">
        <x:f>_xlfn.XLOOKUP($A630,Games!$A$2:$A$18,Games!$O$2:$O$18,"Missing game",0)</x:f>
        <x:v>grass</x:v>
      </x:c>
      <x:c r="AU630" t="n">
        <x:f>_xlfn.XLOOKUP($A630,Games!$A$2:$A$18,Games!$P$2:$P$18,"Missing game",0)</x:f>
        <x:v>61</x:v>
      </x:c>
      <x:c r="AV630" t="n">
        <x:f>_xlfn.XLOOKUP($A630,Games!$A$2:$A$18,Games!$Q$2:$Q$18,"Missing game",0)</x:f>
        <x:v>5</x:v>
      </x:c>
      <x:c r="AW630" t="str">
        <x:f>_xlfn.XLOOKUP($A630,Games!$A$2:$A$18,Games!$R$2:$R$18,"Missing game",0)</x:f>
        <x:v>Acrisure Stadium</x:v>
      </x:c>
    </x:row>
    <x:row r="631">
      <x:c r="A631" t="str">
        <x:v>2025_04_MIN_PIT</x:v>
      </x:c>
      <x:c r="B631" t="n">
        <x:v>3385</x:v>
      </x:c>
      <x:c r="C631" t="n">
        <x:v>4</x:v>
      </x:c>
      <x:c r="D631" t="str">
        <x:v>08:00</x:v>
      </x:c>
      <x:c r="E631" t="n">
        <x:v>2</x:v>
      </x:c>
      <x:c r="F631" t="n">
        <x:v>3</x:v>
      </x:c>
      <x:c r="G631" t="str">
        <x:v>MIN</x:v>
      </x:c>
      <x:c r="H631" t="str">
        <x:v>PIT</x:v>
      </x:c>
      <x:c r="I631" t="str">
        <x:v>PIT</x:v>
      </x:c>
      <x:c r="J631" t="n">
        <x:v>16</x:v>
      </x:c>
      <x:c r="K631" t="str">
        <x:v>(8:00) 11-C.Wentz pass incomplete short left to 84-J.Oliver (33-J.Sawyer).</x:v>
      </x:c>
      <x:c r="L631" t="str">
        <x:v>pass</x:v>
      </x:c>
      <x:c r="M631" t="n">
        <x:v>0</x:v>
      </x:c>
      <x:c r="N631" t="n">
        <x:v>0</x:v>
      </x:c>
      <x:c r="O631" t="n">
        <x:v>0</x:v>
      </x:c>
      <x:c r="P631" t="str">
        <x:v>short</x:v>
      </x:c>
      <x:c r="Q631" t="str">
        <x:v>left</x:v>
      </x:c>
      <x:c r="R631" t="n">
        <x:v>0</x:v>
      </x:c>
      <x:c r="S631"/>
      <x:c r="T631"/>
      <x:c r="U631"/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/>
      <x:c r="AC631" t="n">
        <x:v>0</x:v>
      </x:c>
      <x:c r="AD631" t="n">
        <x:v>-0.6760007131379098</x:v>
      </x:c>
      <x:c r="AE631" t="n">
        <x:v>0</x:v>
      </x:c>
      <x:c r="AF631" t="n">
        <x:v>-0.0013125520199537277</x:v>
      </x:c>
      <x:c r="AG631" t="n">
        <x:f>_xlfn.XLOOKUP($A631,Games!$A$2:$A$18,Games!$B$2:$B$18,"Missing game",0)</x:f>
        <x:v>2025</x:v>
      </x:c>
      <x:c r="AH631" t="str">
        <x:f>_xlfn.XLOOKUP($A631,Games!$A$2:$A$18,Games!$C$2:$C$18,"Missing game",0)</x:f>
        <x:v>REG</x:v>
      </x:c>
      <x:c r="AI631" t="n">
        <x:f>_xlfn.XLOOKUP($A631,Games!$A$2:$A$18,Games!$D$2:$D$18,"Missing game",0)</x:f>
        <x:v>4</x:v>
      </x:c>
      <x:c r="AJ631" s="1" t="n">
        <x:f>_xlfn.XLOOKUP($A631,Games!$A$2:$A$18,Games!$E$2:$E$18,"Missing game",0)</x:f>
        <x:v>45928</x:v>
      </x:c>
      <x:c r="AK631" t="str">
        <x:f>_xlfn.XLOOKUP($A631,Games!$A$2:$A$18,Games!$F$2:$F$18,"Missing game",0)</x:f>
        <x:v>Sunday</x:v>
      </x:c>
      <x:c r="AL631" t="str">
        <x:f>_xlfn.XLOOKUP($A631,Games!$A$2:$A$18,Games!$G$2:$G$18,"Missing game",0)</x:f>
        <x:v>MIN</x:v>
      </x:c>
      <x:c r="AM631" t="n">
        <x:f>_xlfn.XLOOKUP($A631,Games!$A$2:$A$18,Games!$H$2:$H$18,"Missing game",0)</x:f>
        <x:v>21</x:v>
      </x:c>
      <x:c r="AN631" t="str">
        <x:f>_xlfn.XLOOKUP($A631,Games!$A$2:$A$18,Games!$I$2:$I$18,"Missing game",0)</x:f>
        <x:v>PIT</x:v>
      </x:c>
      <x:c r="AO631" t="n">
        <x:f>_xlfn.XLOOKUP($A631,Games!$A$2:$A$18,Games!$J$2:$J$18,"Missing game",0)</x:f>
        <x:v>24</x:v>
      </x:c>
      <x:c r="AP631" t="n">
        <x:f>_xlfn.XLOOKUP($A631,Games!$A$2:$A$18,Games!$K$2:$K$18,"Missing game",0)</x:f>
        <x:v>3</x:v>
      </x:c>
      <x:c r="AQ631" t="n">
        <x:f>_xlfn.XLOOKUP($A631,Games!$A$2:$A$18,Games!$L$2:$L$18,"Missing game",0)</x:f>
        <x:v>45</x:v>
      </x:c>
      <x:c r="AR631" t="n">
        <x:f>_xlfn.XLOOKUP($A631,Games!$A$2:$A$18,Games!$M$2:$M$18,"Missing game",0)</x:f>
        <x:v>0</x:v>
      </x:c>
      <x:c r="AS631" t="str">
        <x:f>_xlfn.XLOOKUP($A631,Games!$A$2:$A$18,Games!$N$2:$N$18,"Missing game",0)</x:f>
        <x:v>outdoors</x:v>
      </x:c>
      <x:c r="AT631" t="str">
        <x:f>_xlfn.XLOOKUP($A631,Games!$A$2:$A$18,Games!$O$2:$O$18,"Missing game",0)</x:f>
        <x:v>grass</x:v>
      </x:c>
      <x:c r="AU631" t="n">
        <x:f>_xlfn.XLOOKUP($A631,Games!$A$2:$A$18,Games!$P$2:$P$18,"Missing game",0)</x:f>
        <x:v>61</x:v>
      </x:c>
      <x:c r="AV631" t="n">
        <x:f>_xlfn.XLOOKUP($A631,Games!$A$2:$A$18,Games!$Q$2:$Q$18,"Missing game",0)</x:f>
        <x:v>5</x:v>
      </x:c>
      <x:c r="AW631" t="str">
        <x:f>_xlfn.XLOOKUP($A631,Games!$A$2:$A$18,Games!$R$2:$R$18,"Missing game",0)</x:f>
        <x:v>Acrisure Stadium</x:v>
      </x:c>
    </x:row>
    <x:row r="632">
      <x:c r="A632" t="str">
        <x:v>2025_04_MIN_PIT</x:v>
      </x:c>
      <x:c r="B632" t="n">
        <x:v>3408</x:v>
      </x:c>
      <x:c r="C632" t="n">
        <x:v>4</x:v>
      </x:c>
      <x:c r="D632" t="str">
        <x:v>07:56</x:v>
      </x:c>
      <x:c r="E632" t="n">
        <x:v>3</x:v>
      </x:c>
      <x:c r="F632" t="n">
        <x:v>3</x:v>
      </x:c>
      <x:c r="G632" t="str">
        <x:v>MIN</x:v>
      </x:c>
      <x:c r="H632" t="str">
        <x:v>PIT</x:v>
      </x:c>
      <x:c r="I632" t="str">
        <x:v>PIT</x:v>
      </x:c>
      <x:c r="J632" t="n">
        <x:v>16</x:v>
      </x:c>
      <x:c r="K632" t="str">
        <x:v>(7:56) (Shotgun) 11-C.Wentz pass deep right to 36-Z.Scott for 16 yards, TOUCHDOWN.</x:v>
      </x:c>
      <x:c r="L632" t="str">
        <x:v>pass</x:v>
      </x:c>
      <x:c r="M632" t="n">
        <x:v>16</x:v>
      </x:c>
      <x:c r="N632" t="n">
        <x:v>1</x:v>
      </x:c>
      <x:c r="O632" t="n">
        <x:v>0</x:v>
      </x:c>
      <x:c r="P632" t="str">
        <x:v>deep</x:v>
      </x:c>
      <x:c r="Q632" t="str">
        <x:v>right</x:v>
      </x:c>
      <x:c r="R632" t="n">
        <x:v>16</x:v>
      </x:c>
      <x:c r="S632" t="n">
        <x:v>0</x:v>
      </x:c>
      <x:c r="T632"/>
      <x:c r="U632"/>
      <x:c r="V632" t="n">
        <x:v>1</x:v>
      </x:c>
      <x:c r="W632" t="n">
        <x:v>1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/>
      <x:c r="AC632" t="n">
        <x:v>1</x:v>
      </x:c>
      <x:c r="AD632" t="n">
        <x:v>2.9189159818342887</x:v>
      </x:c>
      <x:c r="AE632" t="n">
        <x:v>1</x:v>
      </x:c>
      <x:c r="AF632" t="n">
        <x:v>0.016207383260130825</x:v>
      </x:c>
      <x:c r="AG632" t="n">
        <x:f>_xlfn.XLOOKUP($A632,Games!$A$2:$A$18,Games!$B$2:$B$18,"Missing game",0)</x:f>
        <x:v>2025</x:v>
      </x:c>
      <x:c r="AH632" t="str">
        <x:f>_xlfn.XLOOKUP($A632,Games!$A$2:$A$18,Games!$C$2:$C$18,"Missing game",0)</x:f>
        <x:v>REG</x:v>
      </x:c>
      <x:c r="AI632" t="n">
        <x:f>_xlfn.XLOOKUP($A632,Games!$A$2:$A$18,Games!$D$2:$D$18,"Missing game",0)</x:f>
        <x:v>4</x:v>
      </x:c>
      <x:c r="AJ632" s="1" t="n">
        <x:f>_xlfn.XLOOKUP($A632,Games!$A$2:$A$18,Games!$E$2:$E$18,"Missing game",0)</x:f>
        <x:v>45928</x:v>
      </x:c>
      <x:c r="AK632" t="str">
        <x:f>_xlfn.XLOOKUP($A632,Games!$A$2:$A$18,Games!$F$2:$F$18,"Missing game",0)</x:f>
        <x:v>Sunday</x:v>
      </x:c>
      <x:c r="AL632" t="str">
        <x:f>_xlfn.XLOOKUP($A632,Games!$A$2:$A$18,Games!$G$2:$G$18,"Missing game",0)</x:f>
        <x:v>MIN</x:v>
      </x:c>
      <x:c r="AM632" t="n">
        <x:f>_xlfn.XLOOKUP($A632,Games!$A$2:$A$18,Games!$H$2:$H$18,"Missing game",0)</x:f>
        <x:v>21</x:v>
      </x:c>
      <x:c r="AN632" t="str">
        <x:f>_xlfn.XLOOKUP($A632,Games!$A$2:$A$18,Games!$I$2:$I$18,"Missing game",0)</x:f>
        <x:v>PIT</x:v>
      </x:c>
      <x:c r="AO632" t="n">
        <x:f>_xlfn.XLOOKUP($A632,Games!$A$2:$A$18,Games!$J$2:$J$18,"Missing game",0)</x:f>
        <x:v>24</x:v>
      </x:c>
      <x:c r="AP632" t="n">
        <x:f>_xlfn.XLOOKUP($A632,Games!$A$2:$A$18,Games!$K$2:$K$18,"Missing game",0)</x:f>
        <x:v>3</x:v>
      </x:c>
      <x:c r="AQ632" t="n">
        <x:f>_xlfn.XLOOKUP($A632,Games!$A$2:$A$18,Games!$L$2:$L$18,"Missing game",0)</x:f>
        <x:v>45</x:v>
      </x:c>
      <x:c r="AR632" t="n">
        <x:f>_xlfn.XLOOKUP($A632,Games!$A$2:$A$18,Games!$M$2:$M$18,"Missing game",0)</x:f>
        <x:v>0</x:v>
      </x:c>
      <x:c r="AS632" t="str">
        <x:f>_xlfn.XLOOKUP($A632,Games!$A$2:$A$18,Games!$N$2:$N$18,"Missing game",0)</x:f>
        <x:v>outdoors</x:v>
      </x:c>
      <x:c r="AT632" t="str">
        <x:f>_xlfn.XLOOKUP($A632,Games!$A$2:$A$18,Games!$O$2:$O$18,"Missing game",0)</x:f>
        <x:v>grass</x:v>
      </x:c>
      <x:c r="AU632" t="n">
        <x:f>_xlfn.XLOOKUP($A632,Games!$A$2:$A$18,Games!$P$2:$P$18,"Missing game",0)</x:f>
        <x:v>61</x:v>
      </x:c>
      <x:c r="AV632" t="n">
        <x:f>_xlfn.XLOOKUP($A632,Games!$A$2:$A$18,Games!$Q$2:$Q$18,"Missing game",0)</x:f>
        <x:v>5</x:v>
      </x:c>
      <x:c r="AW632" t="str">
        <x:f>_xlfn.XLOOKUP($A632,Games!$A$2:$A$18,Games!$R$2:$R$18,"Missing game",0)</x:f>
        <x:v>Acrisure Stadium</x:v>
      </x:c>
    </x:row>
    <x:row r="633">
      <x:c r="A633" t="str">
        <x:v>2025_04_MIN_PIT</x:v>
      </x:c>
      <x:c r="B633" t="n">
        <x:v>3439</x:v>
      </x:c>
      <x:c r="C633" t="n">
        <x:v>4</x:v>
      </x:c>
      <x:c r="D633" t="str">
        <x:v>07:50</x:v>
      </x:c>
      <x:c r="E633"/>
      <x:c r="F633" t="n">
        <x:v>0</x:v>
      </x:c>
      <x:c r="G633" t="str">
        <x:v>MIN</x:v>
      </x:c>
      <x:c r="H633" t="str">
        <x:v>PIT</x:v>
      </x:c>
      <x:c r="I633" t="str">
        <x:v>PIT</x:v>
      </x:c>
      <x:c r="J633" t="n">
        <x:v>2</x:v>
      </x:c>
      <x:c r="K633" t="str">
        <x:v>TWO-POINT CONVERSION ATTEMPT. 11-C.Wentz pass to 1-J.Nailor is complete. ATTEMPT SUCCEEDS.</x:v>
      </x:c>
      <x:c r="L633" t="str">
        <x:v>pass</x:v>
      </x:c>
      <x:c r="M633" t="n">
        <x:v>2</x:v>
      </x:c>
      <x:c r="N633" t="n">
        <x:v>0</x:v>
      </x:c>
      <x:c r="O633" t="n">
        <x:v>0</x:v>
      </x:c>
      <x:c r="P633"/>
      <x:c r="Q633"/>
      <x:c r="R633"/>
      <x:c r="S633"/>
      <x:c r="T633"/>
      <x:c r="U633"/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/>
      <x:c r="AC633" t="n">
        <x:v>0</x:v>
      </x:c>
      <x:c r="AD633" t="n">
        <x:v>1.053</x:v>
      </x:c>
      <x:c r="AE633" t="n">
        <x:v>1</x:v>
      </x:c>
      <x:c r="AF633" t="n">
        <x:v>0.010638163179159221</x:v>
      </x:c>
      <x:c r="AG633" t="n">
        <x:f>_xlfn.XLOOKUP($A633,Games!$A$2:$A$18,Games!$B$2:$B$18,"Missing game",0)</x:f>
        <x:v>2025</x:v>
      </x:c>
      <x:c r="AH633" t="str">
        <x:f>_xlfn.XLOOKUP($A633,Games!$A$2:$A$18,Games!$C$2:$C$18,"Missing game",0)</x:f>
        <x:v>REG</x:v>
      </x:c>
      <x:c r="AI633" t="n">
        <x:f>_xlfn.XLOOKUP($A633,Games!$A$2:$A$18,Games!$D$2:$D$18,"Missing game",0)</x:f>
        <x:v>4</x:v>
      </x:c>
      <x:c r="AJ633" s="1" t="n">
        <x:f>_xlfn.XLOOKUP($A633,Games!$A$2:$A$18,Games!$E$2:$E$18,"Missing game",0)</x:f>
        <x:v>45928</x:v>
      </x:c>
      <x:c r="AK633" t="str">
        <x:f>_xlfn.XLOOKUP($A633,Games!$A$2:$A$18,Games!$F$2:$F$18,"Missing game",0)</x:f>
        <x:v>Sunday</x:v>
      </x:c>
      <x:c r="AL633" t="str">
        <x:f>_xlfn.XLOOKUP($A633,Games!$A$2:$A$18,Games!$G$2:$G$18,"Missing game",0)</x:f>
        <x:v>MIN</x:v>
      </x:c>
      <x:c r="AM633" t="n">
        <x:f>_xlfn.XLOOKUP($A633,Games!$A$2:$A$18,Games!$H$2:$H$18,"Missing game",0)</x:f>
        <x:v>21</x:v>
      </x:c>
      <x:c r="AN633" t="str">
        <x:f>_xlfn.XLOOKUP($A633,Games!$A$2:$A$18,Games!$I$2:$I$18,"Missing game",0)</x:f>
        <x:v>PIT</x:v>
      </x:c>
      <x:c r="AO633" t="n">
        <x:f>_xlfn.XLOOKUP($A633,Games!$A$2:$A$18,Games!$J$2:$J$18,"Missing game",0)</x:f>
        <x:v>24</x:v>
      </x:c>
      <x:c r="AP633" t="n">
        <x:f>_xlfn.XLOOKUP($A633,Games!$A$2:$A$18,Games!$K$2:$K$18,"Missing game",0)</x:f>
        <x:v>3</x:v>
      </x:c>
      <x:c r="AQ633" t="n">
        <x:f>_xlfn.XLOOKUP($A633,Games!$A$2:$A$18,Games!$L$2:$L$18,"Missing game",0)</x:f>
        <x:v>45</x:v>
      </x:c>
      <x:c r="AR633" t="n">
        <x:f>_xlfn.XLOOKUP($A633,Games!$A$2:$A$18,Games!$M$2:$M$18,"Missing game",0)</x:f>
        <x:v>0</x:v>
      </x:c>
      <x:c r="AS633" t="str">
        <x:f>_xlfn.XLOOKUP($A633,Games!$A$2:$A$18,Games!$N$2:$N$18,"Missing game",0)</x:f>
        <x:v>outdoors</x:v>
      </x:c>
      <x:c r="AT633" t="str">
        <x:f>_xlfn.XLOOKUP($A633,Games!$A$2:$A$18,Games!$O$2:$O$18,"Missing game",0)</x:f>
        <x:v>grass</x:v>
      </x:c>
      <x:c r="AU633" t="n">
        <x:f>_xlfn.XLOOKUP($A633,Games!$A$2:$A$18,Games!$P$2:$P$18,"Missing game",0)</x:f>
        <x:v>61</x:v>
      </x:c>
      <x:c r="AV633" t="n">
        <x:f>_xlfn.XLOOKUP($A633,Games!$A$2:$A$18,Games!$Q$2:$Q$18,"Missing game",0)</x:f>
        <x:v>5</x:v>
      </x:c>
      <x:c r="AW633" t="str">
        <x:f>_xlfn.XLOOKUP($A633,Games!$A$2:$A$18,Games!$R$2:$R$18,"Missing game",0)</x:f>
        <x:v>Acrisure Stadium</x:v>
      </x:c>
    </x:row>
    <x:row r="634">
      <x:c r="A634" t="str">
        <x:v>2025_04_MIN_PIT</x:v>
      </x:c>
      <x:c r="B634" t="n">
        <x:v>3452</x:v>
      </x:c>
      <x:c r="C634" t="n">
        <x:v>4</x:v>
      </x:c>
      <x:c r="D634" t="str">
        <x:v>07:50</x:v>
      </x:c>
      <x:c r="E634"/>
      <x:c r="F634" t="n">
        <x:v>0</x:v>
      </x:c>
      <x:c r="G634" t="str">
        <x:v>PIT</x:v>
      </x:c>
      <x:c r="H634" t="str">
        <x:v>MIN</x:v>
      </x:c>
      <x:c r="I634" t="str">
        <x:v>MIN</x:v>
      </x:c>
      <x:c r="J634" t="n">
        <x:v>35</x:v>
      </x:c>
      <x:c r="K634" t="str">
        <x:v>16-W.Reichard kicks 55 yards from MIN 35 to PIT 10. 14-K.Gainwell to PIT 35 for 25 yards (37-T.Thomas; 99-E.Williams).</x:v>
      </x:c>
      <x:c r="L634" t="str">
        <x:v>kickoff</x:v>
      </x:c>
      <x:c r="M634" t="n">
        <x:v>0</x:v>
      </x:c>
      <x:c r="N634" t="n">
        <x:v>0</x:v>
      </x:c>
      <x:c r="O634" t="n">
        <x:v>0</x:v>
      </x:c>
      <x:c r="P634"/>
      <x:c r="Q634"/>
      <x:c r="R634"/>
      <x:c r="S634"/>
      <x:c r="T634"/>
      <x:c r="U634"/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/>
      <x:c r="AC634" t="n">
        <x:v>0</x:v>
      </x:c>
      <x:c r="AD634" t="n">
        <x:v>0.4975164618808776</x:v>
      </x:c>
      <x:c r="AE634" t="n">
        <x:v>1</x:v>
      </x:c>
      <x:c r="AF634" t="n">
        <x:v>0.004527747631072998</x:v>
      </x:c>
      <x:c r="AG634" t="n">
        <x:f>_xlfn.XLOOKUP($A634,Games!$A$2:$A$18,Games!$B$2:$B$18,"Missing game",0)</x:f>
        <x:v>2025</x:v>
      </x:c>
      <x:c r="AH634" t="str">
        <x:f>_xlfn.XLOOKUP($A634,Games!$A$2:$A$18,Games!$C$2:$C$18,"Missing game",0)</x:f>
        <x:v>REG</x:v>
      </x:c>
      <x:c r="AI634" t="n">
        <x:f>_xlfn.XLOOKUP($A634,Games!$A$2:$A$18,Games!$D$2:$D$18,"Missing game",0)</x:f>
        <x:v>4</x:v>
      </x:c>
      <x:c r="AJ634" s="1" t="n">
        <x:f>_xlfn.XLOOKUP($A634,Games!$A$2:$A$18,Games!$E$2:$E$18,"Missing game",0)</x:f>
        <x:v>45928</x:v>
      </x:c>
      <x:c r="AK634" t="str">
        <x:f>_xlfn.XLOOKUP($A634,Games!$A$2:$A$18,Games!$F$2:$F$18,"Missing game",0)</x:f>
        <x:v>Sunday</x:v>
      </x:c>
      <x:c r="AL634" t="str">
        <x:f>_xlfn.XLOOKUP($A634,Games!$A$2:$A$18,Games!$G$2:$G$18,"Missing game",0)</x:f>
        <x:v>MIN</x:v>
      </x:c>
      <x:c r="AM634" t="n">
        <x:f>_xlfn.XLOOKUP($A634,Games!$A$2:$A$18,Games!$H$2:$H$18,"Missing game",0)</x:f>
        <x:v>21</x:v>
      </x:c>
      <x:c r="AN634" t="str">
        <x:f>_xlfn.XLOOKUP($A634,Games!$A$2:$A$18,Games!$I$2:$I$18,"Missing game",0)</x:f>
        <x:v>PIT</x:v>
      </x:c>
      <x:c r="AO634" t="n">
        <x:f>_xlfn.XLOOKUP($A634,Games!$A$2:$A$18,Games!$J$2:$J$18,"Missing game",0)</x:f>
        <x:v>24</x:v>
      </x:c>
      <x:c r="AP634" t="n">
        <x:f>_xlfn.XLOOKUP($A634,Games!$A$2:$A$18,Games!$K$2:$K$18,"Missing game",0)</x:f>
        <x:v>3</x:v>
      </x:c>
      <x:c r="AQ634" t="n">
        <x:f>_xlfn.XLOOKUP($A634,Games!$A$2:$A$18,Games!$L$2:$L$18,"Missing game",0)</x:f>
        <x:v>45</x:v>
      </x:c>
      <x:c r="AR634" t="n">
        <x:f>_xlfn.XLOOKUP($A634,Games!$A$2:$A$18,Games!$M$2:$M$18,"Missing game",0)</x:f>
        <x:v>0</x:v>
      </x:c>
      <x:c r="AS634" t="str">
        <x:f>_xlfn.XLOOKUP($A634,Games!$A$2:$A$18,Games!$N$2:$N$18,"Missing game",0)</x:f>
        <x:v>outdoors</x:v>
      </x:c>
      <x:c r="AT634" t="str">
        <x:f>_xlfn.XLOOKUP($A634,Games!$A$2:$A$18,Games!$O$2:$O$18,"Missing game",0)</x:f>
        <x:v>grass</x:v>
      </x:c>
      <x:c r="AU634" t="n">
        <x:f>_xlfn.XLOOKUP($A634,Games!$A$2:$A$18,Games!$P$2:$P$18,"Missing game",0)</x:f>
        <x:v>61</x:v>
      </x:c>
      <x:c r="AV634" t="n">
        <x:f>_xlfn.XLOOKUP($A634,Games!$A$2:$A$18,Games!$Q$2:$Q$18,"Missing game",0)</x:f>
        <x:v>5</x:v>
      </x:c>
      <x:c r="AW634" t="str">
        <x:f>_xlfn.XLOOKUP($A634,Games!$A$2:$A$18,Games!$R$2:$R$18,"Missing game",0)</x:f>
        <x:v>Acrisure Stadium</x:v>
      </x:c>
    </x:row>
    <x:row r="635">
      <x:c r="A635" t="str">
        <x:v>2025_04_MIN_PIT</x:v>
      </x:c>
      <x:c r="B635" t="n">
        <x:v>3482</x:v>
      </x:c>
      <x:c r="C635" t="n">
        <x:v>4</x:v>
      </x:c>
      <x:c r="D635" t="str">
        <x:v>07:46</x:v>
      </x:c>
      <x:c r="E635" t="n">
        <x:v>1</x:v>
      </x:c>
      <x:c r="F635" t="n">
        <x:v>10</x:v>
      </x:c>
      <x:c r="G635" t="str">
        <x:v>PIT</x:v>
      </x:c>
      <x:c r="H635" t="str">
        <x:v>MIN</x:v>
      </x:c>
      <x:c r="I635" t="str">
        <x:v>PIT</x:v>
      </x:c>
      <x:c r="J635" t="n">
        <x:v>65</x:v>
      </x:c>
      <x:c r="K635" t="str">
        <x:v>(7:46) 14-K.Gainwell right end to 50 for 15 yards (44-J.Metellus).</x:v>
      </x:c>
      <x:c r="L635" t="str">
        <x:v>run</x:v>
      </x:c>
      <x:c r="M635" t="n">
        <x:v>15</x:v>
      </x:c>
      <x:c r="N635" t="n">
        <x:v>0</x:v>
      </x:c>
      <x:c r="O635" t="n">
        <x:v>0</x:v>
      </x:c>
      <x:c r="P635"/>
      <x:c r="Q635"/>
      <x:c r="R635"/>
      <x:c r="S635"/>
      <x:c r="T635" t="str">
        <x:v>right</x:v>
      </x:c>
      <x:c r="U635" t="str">
        <x:v>end</x:v>
      </x:c>
      <x:c r="V635" t="n">
        <x:v>0</x:v>
      </x:c>
      <x:c r="W635" t="n">
        <x:v>1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/>
      <x:c r="AC635" t="n">
        <x:v>0</x:v>
      </x:c>
      <x:c r="AD635" t="n">
        <x:v>0.9823499846970662</x:v>
      </x:c>
      <x:c r="AE635" t="n">
        <x:v>1</x:v>
      </x:c>
      <x:c r="AF635" t="n">
        <x:v>0.005124807357788086</x:v>
      </x:c>
      <x:c r="AG635" t="n">
        <x:f>_xlfn.XLOOKUP($A635,Games!$A$2:$A$18,Games!$B$2:$B$18,"Missing game",0)</x:f>
        <x:v>2025</x:v>
      </x:c>
      <x:c r="AH635" t="str">
        <x:f>_xlfn.XLOOKUP($A635,Games!$A$2:$A$18,Games!$C$2:$C$18,"Missing game",0)</x:f>
        <x:v>REG</x:v>
      </x:c>
      <x:c r="AI635" t="n">
        <x:f>_xlfn.XLOOKUP($A635,Games!$A$2:$A$18,Games!$D$2:$D$18,"Missing game",0)</x:f>
        <x:v>4</x:v>
      </x:c>
      <x:c r="AJ635" s="1" t="n">
        <x:f>_xlfn.XLOOKUP($A635,Games!$A$2:$A$18,Games!$E$2:$E$18,"Missing game",0)</x:f>
        <x:v>45928</x:v>
      </x:c>
      <x:c r="AK635" t="str">
        <x:f>_xlfn.XLOOKUP($A635,Games!$A$2:$A$18,Games!$F$2:$F$18,"Missing game",0)</x:f>
        <x:v>Sunday</x:v>
      </x:c>
      <x:c r="AL635" t="str">
        <x:f>_xlfn.XLOOKUP($A635,Games!$A$2:$A$18,Games!$G$2:$G$18,"Missing game",0)</x:f>
        <x:v>MIN</x:v>
      </x:c>
      <x:c r="AM635" t="n">
        <x:f>_xlfn.XLOOKUP($A635,Games!$A$2:$A$18,Games!$H$2:$H$18,"Missing game",0)</x:f>
        <x:v>21</x:v>
      </x:c>
      <x:c r="AN635" t="str">
        <x:f>_xlfn.XLOOKUP($A635,Games!$A$2:$A$18,Games!$I$2:$I$18,"Missing game",0)</x:f>
        <x:v>PIT</x:v>
      </x:c>
      <x:c r="AO635" t="n">
        <x:f>_xlfn.XLOOKUP($A635,Games!$A$2:$A$18,Games!$J$2:$J$18,"Missing game",0)</x:f>
        <x:v>24</x:v>
      </x:c>
      <x:c r="AP635" t="n">
        <x:f>_xlfn.XLOOKUP($A635,Games!$A$2:$A$18,Games!$K$2:$K$18,"Missing game",0)</x:f>
        <x:v>3</x:v>
      </x:c>
      <x:c r="AQ635" t="n">
        <x:f>_xlfn.XLOOKUP($A635,Games!$A$2:$A$18,Games!$L$2:$L$18,"Missing game",0)</x:f>
        <x:v>45</x:v>
      </x:c>
      <x:c r="AR635" t="n">
        <x:f>_xlfn.XLOOKUP($A635,Games!$A$2:$A$18,Games!$M$2:$M$18,"Missing game",0)</x:f>
        <x:v>0</x:v>
      </x:c>
      <x:c r="AS635" t="str">
        <x:f>_xlfn.XLOOKUP($A635,Games!$A$2:$A$18,Games!$N$2:$N$18,"Missing game",0)</x:f>
        <x:v>outdoors</x:v>
      </x:c>
      <x:c r="AT635" t="str">
        <x:f>_xlfn.XLOOKUP($A635,Games!$A$2:$A$18,Games!$O$2:$O$18,"Missing game",0)</x:f>
        <x:v>grass</x:v>
      </x:c>
      <x:c r="AU635" t="n">
        <x:f>_xlfn.XLOOKUP($A635,Games!$A$2:$A$18,Games!$P$2:$P$18,"Missing game",0)</x:f>
        <x:v>61</x:v>
      </x:c>
      <x:c r="AV635" t="n">
        <x:f>_xlfn.XLOOKUP($A635,Games!$A$2:$A$18,Games!$Q$2:$Q$18,"Missing game",0)</x:f>
        <x:v>5</x:v>
      </x:c>
      <x:c r="AW635" t="str">
        <x:f>_xlfn.XLOOKUP($A635,Games!$A$2:$A$18,Games!$R$2:$R$18,"Missing game",0)</x:f>
        <x:v>Acrisure Stadium</x:v>
      </x:c>
    </x:row>
    <x:row r="636">
      <x:c r="A636" t="str">
        <x:v>2025_04_MIN_PIT</x:v>
      </x:c>
      <x:c r="B636" t="n">
        <x:v>3504</x:v>
      </x:c>
      <x:c r="C636" t="n">
        <x:v>4</x:v>
      </x:c>
      <x:c r="D636" t="str">
        <x:v>07:00</x:v>
      </x:c>
      <x:c r="E636" t="n">
        <x:v>1</x:v>
      </x:c>
      <x:c r="F636" t="n">
        <x:v>10</x:v>
      </x:c>
      <x:c r="G636" t="str">
        <x:v>PIT</x:v>
      </x:c>
      <x:c r="H636" t="str">
        <x:v>MIN</x:v>
      </x:c>
      <x:c r="I636" t="str">
        <x:v>50</x:v>
      </x:c>
      <x:c r="J636" t="n">
        <x:v>50</x:v>
      </x:c>
      <x:c r="K636" t="str">
        <x:v>(7:00) 74-S.Anderson reported in as eligible. 8-A.Rodgers pass short right to 14-K.Gainwell to MIN 44 for 6 yards (55-E.Wilson) [58-J.Greenard].</x:v>
      </x:c>
      <x:c r="L636" t="str">
        <x:v>pass</x:v>
      </x:c>
      <x:c r="M636" t="n">
        <x:v>6</x:v>
      </x:c>
      <x:c r="N636" t="n">
        <x:v>0</x:v>
      </x:c>
      <x:c r="O636" t="n">
        <x:v>0</x:v>
      </x:c>
      <x:c r="P636" t="str">
        <x:v>short</x:v>
      </x:c>
      <x:c r="Q636" t="str">
        <x:v>right</x:v>
      </x:c>
      <x:c r="R636" t="n">
        <x:v>0</x:v>
      </x:c>
      <x:c r="S636" t="n">
        <x:v>6</x:v>
      </x:c>
      <x:c r="T636"/>
      <x:c r="U636"/>
      <x:c r="V636" t="n">
        <x:v>1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/>
      <x:c r="AC636" t="n">
        <x:v>0</x:v>
      </x:c>
      <x:c r="AD636" t="n">
        <x:v>0.326097815297544</x:v>
      </x:c>
      <x:c r="AE636" t="n">
        <x:v>1</x:v>
      </x:c>
      <x:c r="AF636" t="n">
        <x:v>0.00028771162033081055</x:v>
      </x:c>
      <x:c r="AG636" t="n">
        <x:f>_xlfn.XLOOKUP($A636,Games!$A$2:$A$18,Games!$B$2:$B$18,"Missing game",0)</x:f>
        <x:v>2025</x:v>
      </x:c>
      <x:c r="AH636" t="str">
        <x:f>_xlfn.XLOOKUP($A636,Games!$A$2:$A$18,Games!$C$2:$C$18,"Missing game",0)</x:f>
        <x:v>REG</x:v>
      </x:c>
      <x:c r="AI636" t="n">
        <x:f>_xlfn.XLOOKUP($A636,Games!$A$2:$A$18,Games!$D$2:$D$18,"Missing game",0)</x:f>
        <x:v>4</x:v>
      </x:c>
      <x:c r="AJ636" s="1" t="n">
        <x:f>_xlfn.XLOOKUP($A636,Games!$A$2:$A$18,Games!$E$2:$E$18,"Missing game",0)</x:f>
        <x:v>45928</x:v>
      </x:c>
      <x:c r="AK636" t="str">
        <x:f>_xlfn.XLOOKUP($A636,Games!$A$2:$A$18,Games!$F$2:$F$18,"Missing game",0)</x:f>
        <x:v>Sunday</x:v>
      </x:c>
      <x:c r="AL636" t="str">
        <x:f>_xlfn.XLOOKUP($A636,Games!$A$2:$A$18,Games!$G$2:$G$18,"Missing game",0)</x:f>
        <x:v>MIN</x:v>
      </x:c>
      <x:c r="AM636" t="n">
        <x:f>_xlfn.XLOOKUP($A636,Games!$A$2:$A$18,Games!$H$2:$H$18,"Missing game",0)</x:f>
        <x:v>21</x:v>
      </x:c>
      <x:c r="AN636" t="str">
        <x:f>_xlfn.XLOOKUP($A636,Games!$A$2:$A$18,Games!$I$2:$I$18,"Missing game",0)</x:f>
        <x:v>PIT</x:v>
      </x:c>
      <x:c r="AO636" t="n">
        <x:f>_xlfn.XLOOKUP($A636,Games!$A$2:$A$18,Games!$J$2:$J$18,"Missing game",0)</x:f>
        <x:v>24</x:v>
      </x:c>
      <x:c r="AP636" t="n">
        <x:f>_xlfn.XLOOKUP($A636,Games!$A$2:$A$18,Games!$K$2:$K$18,"Missing game",0)</x:f>
        <x:v>3</x:v>
      </x:c>
      <x:c r="AQ636" t="n">
        <x:f>_xlfn.XLOOKUP($A636,Games!$A$2:$A$18,Games!$L$2:$L$18,"Missing game",0)</x:f>
        <x:v>45</x:v>
      </x:c>
      <x:c r="AR636" t="n">
        <x:f>_xlfn.XLOOKUP($A636,Games!$A$2:$A$18,Games!$M$2:$M$18,"Missing game",0)</x:f>
        <x:v>0</x:v>
      </x:c>
      <x:c r="AS636" t="str">
        <x:f>_xlfn.XLOOKUP($A636,Games!$A$2:$A$18,Games!$N$2:$N$18,"Missing game",0)</x:f>
        <x:v>outdoors</x:v>
      </x:c>
      <x:c r="AT636" t="str">
        <x:f>_xlfn.XLOOKUP($A636,Games!$A$2:$A$18,Games!$O$2:$O$18,"Missing game",0)</x:f>
        <x:v>grass</x:v>
      </x:c>
      <x:c r="AU636" t="n">
        <x:f>_xlfn.XLOOKUP($A636,Games!$A$2:$A$18,Games!$P$2:$P$18,"Missing game",0)</x:f>
        <x:v>61</x:v>
      </x:c>
      <x:c r="AV636" t="n">
        <x:f>_xlfn.XLOOKUP($A636,Games!$A$2:$A$18,Games!$Q$2:$Q$18,"Missing game",0)</x:f>
        <x:v>5</x:v>
      </x:c>
      <x:c r="AW636" t="str">
        <x:f>_xlfn.XLOOKUP($A636,Games!$A$2:$A$18,Games!$R$2:$R$18,"Missing game",0)</x:f>
        <x:v>Acrisure Stadium</x:v>
      </x:c>
    </x:row>
    <x:row r="637">
      <x:c r="A637" t="str">
        <x:v>2025_04_MIN_PIT</x:v>
      </x:c>
      <x:c r="B637" t="n">
        <x:v>3531</x:v>
      </x:c>
      <x:c r="C637" t="n">
        <x:v>4</x:v>
      </x:c>
      <x:c r="D637" t="str">
        <x:v>06:16</x:v>
      </x:c>
      <x:c r="E637" t="n">
        <x:v>2</x:v>
      </x:c>
      <x:c r="F637" t="n">
        <x:v>4</x:v>
      </x:c>
      <x:c r="G637" t="str">
        <x:v>PIT</x:v>
      </x:c>
      <x:c r="H637" t="str">
        <x:v>MIN</x:v>
      </x:c>
      <x:c r="I637" t="str">
        <x:v>MIN</x:v>
      </x:c>
      <x:c r="J637" t="n">
        <x:v>44</x:v>
      </x:c>
      <x:c r="K637" t="str">
        <x:v>(6:16) (Shotgun) 14-K.Gainwell up the middle to MIN 41 for 3 yards (97-J.Hargrave; 55-E.Wilson).</x:v>
      </x:c>
      <x:c r="L637" t="str">
        <x:v>run</x:v>
      </x:c>
      <x:c r="M637" t="n">
        <x:v>3</x:v>
      </x:c>
      <x:c r="N637" t="n">
        <x:v>1</x:v>
      </x:c>
      <x:c r="O637" t="n">
        <x:v>0</x:v>
      </x:c>
      <x:c r="P637"/>
      <x:c r="Q637"/>
      <x:c r="R637"/>
      <x:c r="S637"/>
      <x:c r="T637" t="str">
        <x:v>middle</x:v>
      </x:c>
      <x:c r="U637"/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/>
      <x:c r="AC637" t="n">
        <x:v>0</x:v>
      </x:c>
      <x:c r="AD637" t="n">
        <x:v>0.007160361739806831</x:v>
      </x:c>
      <x:c r="AE637" t="n">
        <x:v>1</x:v>
      </x:c>
      <x:c r="AF637" t="n">
        <x:v>0.0017989873886108398</x:v>
      </x:c>
      <x:c r="AG637" t="n">
        <x:f>_xlfn.XLOOKUP($A637,Games!$A$2:$A$18,Games!$B$2:$B$18,"Missing game",0)</x:f>
        <x:v>2025</x:v>
      </x:c>
      <x:c r="AH637" t="str">
        <x:f>_xlfn.XLOOKUP($A637,Games!$A$2:$A$18,Games!$C$2:$C$18,"Missing game",0)</x:f>
        <x:v>REG</x:v>
      </x:c>
      <x:c r="AI637" t="n">
        <x:f>_xlfn.XLOOKUP($A637,Games!$A$2:$A$18,Games!$D$2:$D$18,"Missing game",0)</x:f>
        <x:v>4</x:v>
      </x:c>
      <x:c r="AJ637" s="1" t="n">
        <x:f>_xlfn.XLOOKUP($A637,Games!$A$2:$A$18,Games!$E$2:$E$18,"Missing game",0)</x:f>
        <x:v>45928</x:v>
      </x:c>
      <x:c r="AK637" t="str">
        <x:f>_xlfn.XLOOKUP($A637,Games!$A$2:$A$18,Games!$F$2:$F$18,"Missing game",0)</x:f>
        <x:v>Sunday</x:v>
      </x:c>
      <x:c r="AL637" t="str">
        <x:f>_xlfn.XLOOKUP($A637,Games!$A$2:$A$18,Games!$G$2:$G$18,"Missing game",0)</x:f>
        <x:v>MIN</x:v>
      </x:c>
      <x:c r="AM637" t="n">
        <x:f>_xlfn.XLOOKUP($A637,Games!$A$2:$A$18,Games!$H$2:$H$18,"Missing game",0)</x:f>
        <x:v>21</x:v>
      </x:c>
      <x:c r="AN637" t="str">
        <x:f>_xlfn.XLOOKUP($A637,Games!$A$2:$A$18,Games!$I$2:$I$18,"Missing game",0)</x:f>
        <x:v>PIT</x:v>
      </x:c>
      <x:c r="AO637" t="n">
        <x:f>_xlfn.XLOOKUP($A637,Games!$A$2:$A$18,Games!$J$2:$J$18,"Missing game",0)</x:f>
        <x:v>24</x:v>
      </x:c>
      <x:c r="AP637" t="n">
        <x:f>_xlfn.XLOOKUP($A637,Games!$A$2:$A$18,Games!$K$2:$K$18,"Missing game",0)</x:f>
        <x:v>3</x:v>
      </x:c>
      <x:c r="AQ637" t="n">
        <x:f>_xlfn.XLOOKUP($A637,Games!$A$2:$A$18,Games!$L$2:$L$18,"Missing game",0)</x:f>
        <x:v>45</x:v>
      </x:c>
      <x:c r="AR637" t="n">
        <x:f>_xlfn.XLOOKUP($A637,Games!$A$2:$A$18,Games!$M$2:$M$18,"Missing game",0)</x:f>
        <x:v>0</x:v>
      </x:c>
      <x:c r="AS637" t="str">
        <x:f>_xlfn.XLOOKUP($A637,Games!$A$2:$A$18,Games!$N$2:$N$18,"Missing game",0)</x:f>
        <x:v>outdoors</x:v>
      </x:c>
      <x:c r="AT637" t="str">
        <x:f>_xlfn.XLOOKUP($A637,Games!$A$2:$A$18,Games!$O$2:$O$18,"Missing game",0)</x:f>
        <x:v>grass</x:v>
      </x:c>
      <x:c r="AU637" t="n">
        <x:f>_xlfn.XLOOKUP($A637,Games!$A$2:$A$18,Games!$P$2:$P$18,"Missing game",0)</x:f>
        <x:v>61</x:v>
      </x:c>
      <x:c r="AV637" t="n">
        <x:f>_xlfn.XLOOKUP($A637,Games!$A$2:$A$18,Games!$Q$2:$Q$18,"Missing game",0)</x:f>
        <x:v>5</x:v>
      </x:c>
      <x:c r="AW637" t="str">
        <x:f>_xlfn.XLOOKUP($A637,Games!$A$2:$A$18,Games!$R$2:$R$18,"Missing game",0)</x:f>
        <x:v>Acrisure Stadium</x:v>
      </x:c>
    </x:row>
    <x:row r="638">
      <x:c r="A638" t="str">
        <x:v>2025_04_MIN_PIT</x:v>
      </x:c>
      <x:c r="B638" t="n">
        <x:v>3553</x:v>
      </x:c>
      <x:c r="C638" t="n">
        <x:v>4</x:v>
      </x:c>
      <x:c r="D638" t="str">
        <x:v>05:37</x:v>
      </x:c>
      <x:c r="E638" t="n">
        <x:v>3</x:v>
      </x:c>
      <x:c r="F638" t="n">
        <x:v>1</x:v>
      </x:c>
      <x:c r="G638" t="str">
        <x:v>PIT</x:v>
      </x:c>
      <x:c r="H638" t="str">
        <x:v>MIN</x:v>
      </x:c>
      <x:c r="I638" t="str">
        <x:v>MIN</x:v>
      </x:c>
      <x:c r="J638" t="n">
        <x:v>41</x:v>
      </x:c>
      <x:c r="K638" t="str">
        <x:v>(5:37) Direct snap to 83-Co.Heyward. 83-Co.Heyward up the middle to MIN 39 for 2 yards (93-J.Allen). PENALTY on MIN-15-D.Turner, Unnecessary Roughness, 15 yards, enforced at MIN 39.</x:v>
      </x:c>
      <x:c r="L638" t="str">
        <x:v>run</x:v>
      </x:c>
      <x:c r="M638" t="n">
        <x:v>2</x:v>
      </x:c>
      <x:c r="N638" t="n">
        <x:v>0</x:v>
      </x:c>
      <x:c r="O638" t="n">
        <x:v>0</x:v>
      </x:c>
      <x:c r="P638"/>
      <x:c r="Q638"/>
      <x:c r="R638"/>
      <x:c r="S638"/>
      <x:c r="T638" t="str">
        <x:v>middle</x:v>
      </x:c>
      <x:c r="U638"/>
      <x:c r="V638" t="n">
        <x:v>0</x:v>
      </x:c>
      <x:c r="W638" t="n">
        <x:v>1</x:v>
      </x:c>
      <x:c r="X638" t="n">
        <x:v>0</x:v>
      </x:c>
      <x:c r="Y638" t="n">
        <x:v>0</x:v>
      </x:c>
      <x:c r="Z638" t="n">
        <x:v>0</x:v>
      </x:c>
      <x:c r="AA638" t="n">
        <x:v>1</x:v>
      </x:c>
      <x:c r="AB638" t="n">
        <x:v>15</x:v>
      </x:c>
      <x:c r="AC638" t="n">
        <x:v>0</x:v>
      </x:c>
      <x:c r="AD638" t="n">
        <x:v>1.3919957304606214</x:v>
      </x:c>
      <x:c r="AE638" t="n">
        <x:v>1</x:v>
      </x:c>
      <x:c r="AF638" t="n">
        <x:v>0.006687760353088379</x:v>
      </x:c>
      <x:c r="AG638" t="n">
        <x:f>_xlfn.XLOOKUP($A638,Games!$A$2:$A$18,Games!$B$2:$B$18,"Missing game",0)</x:f>
        <x:v>2025</x:v>
      </x:c>
      <x:c r="AH638" t="str">
        <x:f>_xlfn.XLOOKUP($A638,Games!$A$2:$A$18,Games!$C$2:$C$18,"Missing game",0)</x:f>
        <x:v>REG</x:v>
      </x:c>
      <x:c r="AI638" t="n">
        <x:f>_xlfn.XLOOKUP($A638,Games!$A$2:$A$18,Games!$D$2:$D$18,"Missing game",0)</x:f>
        <x:v>4</x:v>
      </x:c>
      <x:c r="AJ638" s="1" t="n">
        <x:f>_xlfn.XLOOKUP($A638,Games!$A$2:$A$18,Games!$E$2:$E$18,"Missing game",0)</x:f>
        <x:v>45928</x:v>
      </x:c>
      <x:c r="AK638" t="str">
        <x:f>_xlfn.XLOOKUP($A638,Games!$A$2:$A$18,Games!$F$2:$F$18,"Missing game",0)</x:f>
        <x:v>Sunday</x:v>
      </x:c>
      <x:c r="AL638" t="str">
        <x:f>_xlfn.XLOOKUP($A638,Games!$A$2:$A$18,Games!$G$2:$G$18,"Missing game",0)</x:f>
        <x:v>MIN</x:v>
      </x:c>
      <x:c r="AM638" t="n">
        <x:f>_xlfn.XLOOKUP($A638,Games!$A$2:$A$18,Games!$H$2:$H$18,"Missing game",0)</x:f>
        <x:v>21</x:v>
      </x:c>
      <x:c r="AN638" t="str">
        <x:f>_xlfn.XLOOKUP($A638,Games!$A$2:$A$18,Games!$I$2:$I$18,"Missing game",0)</x:f>
        <x:v>PIT</x:v>
      </x:c>
      <x:c r="AO638" t="n">
        <x:f>_xlfn.XLOOKUP($A638,Games!$A$2:$A$18,Games!$J$2:$J$18,"Missing game",0)</x:f>
        <x:v>24</x:v>
      </x:c>
      <x:c r="AP638" t="n">
        <x:f>_xlfn.XLOOKUP($A638,Games!$A$2:$A$18,Games!$K$2:$K$18,"Missing game",0)</x:f>
        <x:v>3</x:v>
      </x:c>
      <x:c r="AQ638" t="n">
        <x:f>_xlfn.XLOOKUP($A638,Games!$A$2:$A$18,Games!$L$2:$L$18,"Missing game",0)</x:f>
        <x:v>45</x:v>
      </x:c>
      <x:c r="AR638" t="n">
        <x:f>_xlfn.XLOOKUP($A638,Games!$A$2:$A$18,Games!$M$2:$M$18,"Missing game",0)</x:f>
        <x:v>0</x:v>
      </x:c>
      <x:c r="AS638" t="str">
        <x:f>_xlfn.XLOOKUP($A638,Games!$A$2:$A$18,Games!$N$2:$N$18,"Missing game",0)</x:f>
        <x:v>outdoors</x:v>
      </x:c>
      <x:c r="AT638" t="str">
        <x:f>_xlfn.XLOOKUP($A638,Games!$A$2:$A$18,Games!$O$2:$O$18,"Missing game",0)</x:f>
        <x:v>grass</x:v>
      </x:c>
      <x:c r="AU638" t="n">
        <x:f>_xlfn.XLOOKUP($A638,Games!$A$2:$A$18,Games!$P$2:$P$18,"Missing game",0)</x:f>
        <x:v>61</x:v>
      </x:c>
      <x:c r="AV638" t="n">
        <x:f>_xlfn.XLOOKUP($A638,Games!$A$2:$A$18,Games!$Q$2:$Q$18,"Missing game",0)</x:f>
        <x:v>5</x:v>
      </x:c>
      <x:c r="AW638" t="str">
        <x:f>_xlfn.XLOOKUP($A638,Games!$A$2:$A$18,Games!$R$2:$R$18,"Missing game",0)</x:f>
        <x:v>Acrisure Stadium</x:v>
      </x:c>
    </x:row>
    <x:row r="639">
      <x:c r="A639" t="str">
        <x:v>2025_04_MIN_PIT</x:v>
      </x:c>
      <x:c r="B639" t="n">
        <x:v>3593</x:v>
      </x:c>
      <x:c r="C639" t="n">
        <x:v>4</x:v>
      </x:c>
      <x:c r="D639" t="str">
        <x:v>05:10</x:v>
      </x:c>
      <x:c r="E639" t="n">
        <x:v>1</x:v>
      </x:c>
      <x:c r="F639" t="n">
        <x:v>10</x:v>
      </x:c>
      <x:c r="G639" t="str">
        <x:v>PIT</x:v>
      </x:c>
      <x:c r="H639" t="str">
        <x:v>MIN</x:v>
      </x:c>
      <x:c r="I639" t="str">
        <x:v>MIN</x:v>
      </x:c>
      <x:c r="J639" t="n">
        <x:v>24</x:v>
      </x:c>
      <x:c r="K639" t="str">
        <x:v>(5:10) 74-S.Anderson reported in as eligible. 14-K.Gainwell right guard to MIN 9 for 15 yards (93-J.Allen).</x:v>
      </x:c>
      <x:c r="L639" t="str">
        <x:v>run</x:v>
      </x:c>
      <x:c r="M639" t="n">
        <x:v>15</x:v>
      </x:c>
      <x:c r="N639" t="n">
        <x:v>0</x:v>
      </x:c>
      <x:c r="O639" t="n">
        <x:v>0</x:v>
      </x:c>
      <x:c r="P639"/>
      <x:c r="Q639"/>
      <x:c r="R639"/>
      <x:c r="S639"/>
      <x:c r="T639" t="str">
        <x:v>right</x:v>
      </x:c>
      <x:c r="U639" t="str">
        <x:v>guard</x:v>
      </x:c>
      <x:c r="V639" t="n">
        <x:v>0</x:v>
      </x:c>
      <x:c r="W639" t="n">
        <x:v>1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/>
      <x:c r="AC639" t="n">
        <x:v>0</x:v>
      </x:c>
      <x:c r="AD639" t="n">
        <x:v>0.8084443138213828</x:v>
      </x:c>
      <x:c r="AE639" t="n">
        <x:v>1</x:v>
      </x:c>
      <x:c r="AF639" t="n">
        <x:v>0.010183572769165039</x:v>
      </x:c>
      <x:c r="AG639" t="n">
        <x:f>_xlfn.XLOOKUP($A639,Games!$A$2:$A$18,Games!$B$2:$B$18,"Missing game",0)</x:f>
        <x:v>2025</x:v>
      </x:c>
      <x:c r="AH639" t="str">
        <x:f>_xlfn.XLOOKUP($A639,Games!$A$2:$A$18,Games!$C$2:$C$18,"Missing game",0)</x:f>
        <x:v>REG</x:v>
      </x:c>
      <x:c r="AI639" t="n">
        <x:f>_xlfn.XLOOKUP($A639,Games!$A$2:$A$18,Games!$D$2:$D$18,"Missing game",0)</x:f>
        <x:v>4</x:v>
      </x:c>
      <x:c r="AJ639" s="1" t="n">
        <x:f>_xlfn.XLOOKUP($A639,Games!$A$2:$A$18,Games!$E$2:$E$18,"Missing game",0)</x:f>
        <x:v>45928</x:v>
      </x:c>
      <x:c r="AK639" t="str">
        <x:f>_xlfn.XLOOKUP($A639,Games!$A$2:$A$18,Games!$F$2:$F$18,"Missing game",0)</x:f>
        <x:v>Sunday</x:v>
      </x:c>
      <x:c r="AL639" t="str">
        <x:f>_xlfn.XLOOKUP($A639,Games!$A$2:$A$18,Games!$G$2:$G$18,"Missing game",0)</x:f>
        <x:v>MIN</x:v>
      </x:c>
      <x:c r="AM639" t="n">
        <x:f>_xlfn.XLOOKUP($A639,Games!$A$2:$A$18,Games!$H$2:$H$18,"Missing game",0)</x:f>
        <x:v>21</x:v>
      </x:c>
      <x:c r="AN639" t="str">
        <x:f>_xlfn.XLOOKUP($A639,Games!$A$2:$A$18,Games!$I$2:$I$18,"Missing game",0)</x:f>
        <x:v>PIT</x:v>
      </x:c>
      <x:c r="AO639" t="n">
        <x:f>_xlfn.XLOOKUP($A639,Games!$A$2:$A$18,Games!$J$2:$J$18,"Missing game",0)</x:f>
        <x:v>24</x:v>
      </x:c>
      <x:c r="AP639" t="n">
        <x:f>_xlfn.XLOOKUP($A639,Games!$A$2:$A$18,Games!$K$2:$K$18,"Missing game",0)</x:f>
        <x:v>3</x:v>
      </x:c>
      <x:c r="AQ639" t="n">
        <x:f>_xlfn.XLOOKUP($A639,Games!$A$2:$A$18,Games!$L$2:$L$18,"Missing game",0)</x:f>
        <x:v>45</x:v>
      </x:c>
      <x:c r="AR639" t="n">
        <x:f>_xlfn.XLOOKUP($A639,Games!$A$2:$A$18,Games!$M$2:$M$18,"Missing game",0)</x:f>
        <x:v>0</x:v>
      </x:c>
      <x:c r="AS639" t="str">
        <x:f>_xlfn.XLOOKUP($A639,Games!$A$2:$A$18,Games!$N$2:$N$18,"Missing game",0)</x:f>
        <x:v>outdoors</x:v>
      </x:c>
      <x:c r="AT639" t="str">
        <x:f>_xlfn.XLOOKUP($A639,Games!$A$2:$A$18,Games!$O$2:$O$18,"Missing game",0)</x:f>
        <x:v>grass</x:v>
      </x:c>
      <x:c r="AU639" t="n">
        <x:f>_xlfn.XLOOKUP($A639,Games!$A$2:$A$18,Games!$P$2:$P$18,"Missing game",0)</x:f>
        <x:v>61</x:v>
      </x:c>
      <x:c r="AV639" t="n">
        <x:f>_xlfn.XLOOKUP($A639,Games!$A$2:$A$18,Games!$Q$2:$Q$18,"Missing game",0)</x:f>
        <x:v>5</x:v>
      </x:c>
      <x:c r="AW639" t="str">
        <x:f>_xlfn.XLOOKUP($A639,Games!$A$2:$A$18,Games!$R$2:$R$18,"Missing game",0)</x:f>
        <x:v>Acrisure Stadium</x:v>
      </x:c>
    </x:row>
    <x:row r="640">
      <x:c r="A640" t="str">
        <x:v>2025_04_MIN_PIT</x:v>
      </x:c>
      <x:c r="B640" t="n">
        <x:v>3615</x:v>
      </x:c>
      <x:c r="C640" t="n">
        <x:v>4</x:v>
      </x:c>
      <x:c r="D640" t="str">
        <x:v>04:25</x:v>
      </x:c>
      <x:c r="E640" t="n">
        <x:v>1</x:v>
      </x:c>
      <x:c r="F640" t="n">
        <x:v>9</x:v>
      </x:c>
      <x:c r="G640" t="str">
        <x:v>PIT</x:v>
      </x:c>
      <x:c r="H640" t="str">
        <x:v>MIN</x:v>
      </x:c>
      <x:c r="I640" t="str">
        <x:v>MIN</x:v>
      </x:c>
      <x:c r="J640" t="n">
        <x:v>9</x:v>
      </x:c>
      <x:c r="K640" t="str">
        <x:v>(4:25) 14-K.Gainwell left tackle to MIN 11 for -2 yards (93-J.Allen).</x:v>
      </x:c>
      <x:c r="L640" t="str">
        <x:v>run</x:v>
      </x:c>
      <x:c r="M640" t="n">
        <x:v>-2</x:v>
      </x:c>
      <x:c r="N640" t="n">
        <x:v>0</x:v>
      </x:c>
      <x:c r="O640" t="n">
        <x:v>0</x:v>
      </x:c>
      <x:c r="P640"/>
      <x:c r="Q640"/>
      <x:c r="R640"/>
      <x:c r="S640"/>
      <x:c r="T640" t="str">
        <x:v>left</x:v>
      </x:c>
      <x:c r="U640" t="str">
        <x:v>tackle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/>
      <x:c r="AC640" t="n">
        <x:v>0</x:v>
      </x:c>
      <x:c r="AD640" t="n">
        <x:v>-0.7897733965655789</x:v>
      </x:c>
      <x:c r="AE640" t="n">
        <x:v>0</x:v>
      </x:c>
      <x:c r="AF640" t="n">
        <x:v>-0.0014010071754455566</x:v>
      </x:c>
      <x:c r="AG640" t="n">
        <x:f>_xlfn.XLOOKUP($A640,Games!$A$2:$A$18,Games!$B$2:$B$18,"Missing game",0)</x:f>
        <x:v>2025</x:v>
      </x:c>
      <x:c r="AH640" t="str">
        <x:f>_xlfn.XLOOKUP($A640,Games!$A$2:$A$18,Games!$C$2:$C$18,"Missing game",0)</x:f>
        <x:v>REG</x:v>
      </x:c>
      <x:c r="AI640" t="n">
        <x:f>_xlfn.XLOOKUP($A640,Games!$A$2:$A$18,Games!$D$2:$D$18,"Missing game",0)</x:f>
        <x:v>4</x:v>
      </x:c>
      <x:c r="AJ640" s="1" t="n">
        <x:f>_xlfn.XLOOKUP($A640,Games!$A$2:$A$18,Games!$E$2:$E$18,"Missing game",0)</x:f>
        <x:v>45928</x:v>
      </x:c>
      <x:c r="AK640" t="str">
        <x:f>_xlfn.XLOOKUP($A640,Games!$A$2:$A$18,Games!$F$2:$F$18,"Missing game",0)</x:f>
        <x:v>Sunday</x:v>
      </x:c>
      <x:c r="AL640" t="str">
        <x:f>_xlfn.XLOOKUP($A640,Games!$A$2:$A$18,Games!$G$2:$G$18,"Missing game",0)</x:f>
        <x:v>MIN</x:v>
      </x:c>
      <x:c r="AM640" t="n">
        <x:f>_xlfn.XLOOKUP($A640,Games!$A$2:$A$18,Games!$H$2:$H$18,"Missing game",0)</x:f>
        <x:v>21</x:v>
      </x:c>
      <x:c r="AN640" t="str">
        <x:f>_xlfn.XLOOKUP($A640,Games!$A$2:$A$18,Games!$I$2:$I$18,"Missing game",0)</x:f>
        <x:v>PIT</x:v>
      </x:c>
      <x:c r="AO640" t="n">
        <x:f>_xlfn.XLOOKUP($A640,Games!$A$2:$A$18,Games!$J$2:$J$18,"Missing game",0)</x:f>
        <x:v>24</x:v>
      </x:c>
      <x:c r="AP640" t="n">
        <x:f>_xlfn.XLOOKUP($A640,Games!$A$2:$A$18,Games!$K$2:$K$18,"Missing game",0)</x:f>
        <x:v>3</x:v>
      </x:c>
      <x:c r="AQ640" t="n">
        <x:f>_xlfn.XLOOKUP($A640,Games!$A$2:$A$18,Games!$L$2:$L$18,"Missing game",0)</x:f>
        <x:v>45</x:v>
      </x:c>
      <x:c r="AR640" t="n">
        <x:f>_xlfn.XLOOKUP($A640,Games!$A$2:$A$18,Games!$M$2:$M$18,"Missing game",0)</x:f>
        <x:v>0</x:v>
      </x:c>
      <x:c r="AS640" t="str">
        <x:f>_xlfn.XLOOKUP($A640,Games!$A$2:$A$18,Games!$N$2:$N$18,"Missing game",0)</x:f>
        <x:v>outdoors</x:v>
      </x:c>
      <x:c r="AT640" t="str">
        <x:f>_xlfn.XLOOKUP($A640,Games!$A$2:$A$18,Games!$O$2:$O$18,"Missing game",0)</x:f>
        <x:v>grass</x:v>
      </x:c>
      <x:c r="AU640" t="n">
        <x:f>_xlfn.XLOOKUP($A640,Games!$A$2:$A$18,Games!$P$2:$P$18,"Missing game",0)</x:f>
        <x:v>61</x:v>
      </x:c>
      <x:c r="AV640" t="n">
        <x:f>_xlfn.XLOOKUP($A640,Games!$A$2:$A$18,Games!$Q$2:$Q$18,"Missing game",0)</x:f>
        <x:v>5</x:v>
      </x:c>
      <x:c r="AW640" t="str">
        <x:f>_xlfn.XLOOKUP($A640,Games!$A$2:$A$18,Games!$R$2:$R$18,"Missing game",0)</x:f>
        <x:v>Acrisure Stadium</x:v>
      </x:c>
    </x:row>
    <x:row r="641">
      <x:c r="A641" t="str">
        <x:v>2025_04_MIN_PIT</x:v>
      </x:c>
      <x:c r="B641" t="n">
        <x:v>3637</x:v>
      </x:c>
      <x:c r="C641" t="n">
        <x:v>4</x:v>
      </x:c>
      <x:c r="D641" t="str">
        <x:v>04:21</x:v>
      </x:c>
      <x:c r="E641" t="n">
        <x:v>2</x:v>
      </x:c>
      <x:c r="F641" t="n">
        <x:v>11</x:v>
      </x:c>
      <x:c r="G641" t="str">
        <x:v>PIT</x:v>
      </x:c>
      <x:c r="H641" t="str">
        <x:v>MIN</x:v>
      </x:c>
      <x:c r="I641" t="str">
        <x:v>MIN</x:v>
      </x:c>
      <x:c r="J641" t="n">
        <x:v>11</x:v>
      </x:c>
      <x:c r="K641" t="str">
        <x:v>(4:21) 8-A.Rodgers pass incomplete short left to 15-B.Skowronek.</x:v>
      </x:c>
      <x:c r="L641" t="str">
        <x:v>pass</x:v>
      </x:c>
      <x:c r="M641" t="n">
        <x:v>0</x:v>
      </x:c>
      <x:c r="N641" t="n">
        <x:v>0</x:v>
      </x:c>
      <x:c r="O641" t="n">
        <x:v>0</x:v>
      </x:c>
      <x:c r="P641" t="str">
        <x:v>short</x:v>
      </x:c>
      <x:c r="Q641" t="str">
        <x:v>left</x:v>
      </x:c>
      <x:c r="R641" t="n">
        <x:v>11</x:v>
      </x:c>
      <x:c r="S641"/>
      <x:c r="T641"/>
      <x:c r="U641"/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/>
      <x:c r="AC641" t="n">
        <x:v>0</x:v>
      </x:c>
      <x:c r="AD641" t="n">
        <x:v>-0.7013075136928819</x:v>
      </x:c>
      <x:c r="AE641" t="n">
        <x:v>0</x:v>
      </x:c>
      <x:c r="AF641" t="n">
        <x:v>-0.002210080623626709</x:v>
      </x:c>
      <x:c r="AG641" t="n">
        <x:f>_xlfn.XLOOKUP($A641,Games!$A$2:$A$18,Games!$B$2:$B$18,"Missing game",0)</x:f>
        <x:v>2025</x:v>
      </x:c>
      <x:c r="AH641" t="str">
        <x:f>_xlfn.XLOOKUP($A641,Games!$A$2:$A$18,Games!$C$2:$C$18,"Missing game",0)</x:f>
        <x:v>REG</x:v>
      </x:c>
      <x:c r="AI641" t="n">
        <x:f>_xlfn.XLOOKUP($A641,Games!$A$2:$A$18,Games!$D$2:$D$18,"Missing game",0)</x:f>
        <x:v>4</x:v>
      </x:c>
      <x:c r="AJ641" s="1" t="n">
        <x:f>_xlfn.XLOOKUP($A641,Games!$A$2:$A$18,Games!$E$2:$E$18,"Missing game",0)</x:f>
        <x:v>45928</x:v>
      </x:c>
      <x:c r="AK641" t="str">
        <x:f>_xlfn.XLOOKUP($A641,Games!$A$2:$A$18,Games!$F$2:$F$18,"Missing game",0)</x:f>
        <x:v>Sunday</x:v>
      </x:c>
      <x:c r="AL641" t="str">
        <x:f>_xlfn.XLOOKUP($A641,Games!$A$2:$A$18,Games!$G$2:$G$18,"Missing game",0)</x:f>
        <x:v>MIN</x:v>
      </x:c>
      <x:c r="AM641" t="n">
        <x:f>_xlfn.XLOOKUP($A641,Games!$A$2:$A$18,Games!$H$2:$H$18,"Missing game",0)</x:f>
        <x:v>21</x:v>
      </x:c>
      <x:c r="AN641" t="str">
        <x:f>_xlfn.XLOOKUP($A641,Games!$A$2:$A$18,Games!$I$2:$I$18,"Missing game",0)</x:f>
        <x:v>PIT</x:v>
      </x:c>
      <x:c r="AO641" t="n">
        <x:f>_xlfn.XLOOKUP($A641,Games!$A$2:$A$18,Games!$J$2:$J$18,"Missing game",0)</x:f>
        <x:v>24</x:v>
      </x:c>
      <x:c r="AP641" t="n">
        <x:f>_xlfn.XLOOKUP($A641,Games!$A$2:$A$18,Games!$K$2:$K$18,"Missing game",0)</x:f>
        <x:v>3</x:v>
      </x:c>
      <x:c r="AQ641" t="n">
        <x:f>_xlfn.XLOOKUP($A641,Games!$A$2:$A$18,Games!$L$2:$L$18,"Missing game",0)</x:f>
        <x:v>45</x:v>
      </x:c>
      <x:c r="AR641" t="n">
        <x:f>_xlfn.XLOOKUP($A641,Games!$A$2:$A$18,Games!$M$2:$M$18,"Missing game",0)</x:f>
        <x:v>0</x:v>
      </x:c>
      <x:c r="AS641" t="str">
        <x:f>_xlfn.XLOOKUP($A641,Games!$A$2:$A$18,Games!$N$2:$N$18,"Missing game",0)</x:f>
        <x:v>outdoors</x:v>
      </x:c>
      <x:c r="AT641" t="str">
        <x:f>_xlfn.XLOOKUP($A641,Games!$A$2:$A$18,Games!$O$2:$O$18,"Missing game",0)</x:f>
        <x:v>grass</x:v>
      </x:c>
      <x:c r="AU641" t="n">
        <x:f>_xlfn.XLOOKUP($A641,Games!$A$2:$A$18,Games!$P$2:$P$18,"Missing game",0)</x:f>
        <x:v>61</x:v>
      </x:c>
      <x:c r="AV641" t="n">
        <x:f>_xlfn.XLOOKUP($A641,Games!$A$2:$A$18,Games!$Q$2:$Q$18,"Missing game",0)</x:f>
        <x:v>5</x:v>
      </x:c>
      <x:c r="AW641" t="str">
        <x:f>_xlfn.XLOOKUP($A641,Games!$A$2:$A$18,Games!$R$2:$R$18,"Missing game",0)</x:f>
        <x:v>Acrisure Stadium</x:v>
      </x:c>
    </x:row>
    <x:row r="642">
      <x:c r="A642" t="str">
        <x:v>2025_04_MIN_PIT</x:v>
      </x:c>
      <x:c r="B642" t="n">
        <x:v>3649</x:v>
      </x:c>
      <x:c r="C642" t="n">
        <x:v>4</x:v>
      </x:c>
      <x:c r="D642" t="str">
        <x:v>04:21</x:v>
      </x:c>
      <x:c r="E642"/>
      <x:c r="F642" t="n">
        <x:v>0</x:v>
      </x:c>
      <x:c r="G642"/>
      <x:c r="H642"/>
      <x:c r="I642"/>
      <x:c r="J642"/>
      <x:c r="K642" t="str">
        <x:v>Timeout #1 by MIN at 04:21.</x:v>
      </x:c>
      <x:c r="L642" t="str">
        <x:v>no_play</x:v>
      </x:c>
      <x:c r="M642" t="n">
        <x:v>0</x:v>
      </x:c>
      <x:c r="N642" t="n">
        <x:v>0</x:v>
      </x:c>
      <x:c r="O642" t="n">
        <x:v>0</x:v>
      </x:c>
      <x:c r="P642"/>
      <x:c r="Q642"/>
      <x:c r="R642"/>
      <x:c r="S642"/>
      <x:c r="T642"/>
      <x:c r="U642"/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/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f>_xlfn.XLOOKUP($A642,Games!$A$2:$A$18,Games!$B$2:$B$18,"Missing game",0)</x:f>
        <x:v>2025</x:v>
      </x:c>
      <x:c r="AH642" t="str">
        <x:f>_xlfn.XLOOKUP($A642,Games!$A$2:$A$18,Games!$C$2:$C$18,"Missing game",0)</x:f>
        <x:v>REG</x:v>
      </x:c>
      <x:c r="AI642" t="n">
        <x:f>_xlfn.XLOOKUP($A642,Games!$A$2:$A$18,Games!$D$2:$D$18,"Missing game",0)</x:f>
        <x:v>4</x:v>
      </x:c>
      <x:c r="AJ642" s="1" t="n">
        <x:f>_xlfn.XLOOKUP($A642,Games!$A$2:$A$18,Games!$E$2:$E$18,"Missing game",0)</x:f>
        <x:v>45928</x:v>
      </x:c>
      <x:c r="AK642" t="str">
        <x:f>_xlfn.XLOOKUP($A642,Games!$A$2:$A$18,Games!$F$2:$F$18,"Missing game",0)</x:f>
        <x:v>Sunday</x:v>
      </x:c>
      <x:c r="AL642" t="str">
        <x:f>_xlfn.XLOOKUP($A642,Games!$A$2:$A$18,Games!$G$2:$G$18,"Missing game",0)</x:f>
        <x:v>MIN</x:v>
      </x:c>
      <x:c r="AM642" t="n">
        <x:f>_xlfn.XLOOKUP($A642,Games!$A$2:$A$18,Games!$H$2:$H$18,"Missing game",0)</x:f>
        <x:v>21</x:v>
      </x:c>
      <x:c r="AN642" t="str">
        <x:f>_xlfn.XLOOKUP($A642,Games!$A$2:$A$18,Games!$I$2:$I$18,"Missing game",0)</x:f>
        <x:v>PIT</x:v>
      </x:c>
      <x:c r="AO642" t="n">
        <x:f>_xlfn.XLOOKUP($A642,Games!$A$2:$A$18,Games!$J$2:$J$18,"Missing game",0)</x:f>
        <x:v>24</x:v>
      </x:c>
      <x:c r="AP642" t="n">
        <x:f>_xlfn.XLOOKUP($A642,Games!$A$2:$A$18,Games!$K$2:$K$18,"Missing game",0)</x:f>
        <x:v>3</x:v>
      </x:c>
      <x:c r="AQ642" t="n">
        <x:f>_xlfn.XLOOKUP($A642,Games!$A$2:$A$18,Games!$L$2:$L$18,"Missing game",0)</x:f>
        <x:v>45</x:v>
      </x:c>
      <x:c r="AR642" t="n">
        <x:f>_xlfn.XLOOKUP($A642,Games!$A$2:$A$18,Games!$M$2:$M$18,"Missing game",0)</x:f>
        <x:v>0</x:v>
      </x:c>
      <x:c r="AS642" t="str">
        <x:f>_xlfn.XLOOKUP($A642,Games!$A$2:$A$18,Games!$N$2:$N$18,"Missing game",0)</x:f>
        <x:v>outdoors</x:v>
      </x:c>
      <x:c r="AT642" t="str">
        <x:f>_xlfn.XLOOKUP($A642,Games!$A$2:$A$18,Games!$O$2:$O$18,"Missing game",0)</x:f>
        <x:v>grass</x:v>
      </x:c>
      <x:c r="AU642" t="n">
        <x:f>_xlfn.XLOOKUP($A642,Games!$A$2:$A$18,Games!$P$2:$P$18,"Missing game",0)</x:f>
        <x:v>61</x:v>
      </x:c>
      <x:c r="AV642" t="n">
        <x:f>_xlfn.XLOOKUP($A642,Games!$A$2:$A$18,Games!$Q$2:$Q$18,"Missing game",0)</x:f>
        <x:v>5</x:v>
      </x:c>
      <x:c r="AW642" t="str">
        <x:f>_xlfn.XLOOKUP($A642,Games!$A$2:$A$18,Games!$R$2:$R$18,"Missing game",0)</x:f>
        <x:v>Acrisure Stadium</x:v>
      </x:c>
    </x:row>
    <x:row r="643">
      <x:c r="A643" t="str">
        <x:v>2025_04_MIN_PIT</x:v>
      </x:c>
      <x:c r="B643" t="n">
        <x:v>3667</x:v>
      </x:c>
      <x:c r="C643" t="n">
        <x:v>4</x:v>
      </x:c>
      <x:c r="D643" t="str">
        <x:v>04:17</x:v>
      </x:c>
      <x:c r="E643" t="n">
        <x:v>3</x:v>
      </x:c>
      <x:c r="F643" t="n">
        <x:v>11</x:v>
      </x:c>
      <x:c r="G643" t="str">
        <x:v>PIT</x:v>
      </x:c>
      <x:c r="H643" t="str">
        <x:v>MIN</x:v>
      </x:c>
      <x:c r="I643" t="str">
        <x:v>MIN</x:v>
      </x:c>
      <x:c r="J643" t="n">
        <x:v>11</x:v>
      </x:c>
      <x:c r="K643" t="str">
        <x:v>(4:17) (Shotgun) 8-A.Rodgers pass short middle to 14-K.Gainwell to MIN 3 for 8 yards (22-H.Smith).</x:v>
      </x:c>
      <x:c r="L643" t="str">
        <x:v>pass</x:v>
      </x:c>
      <x:c r="M643" t="n">
        <x:v>8</x:v>
      </x:c>
      <x:c r="N643" t="n">
        <x:v>1</x:v>
      </x:c>
      <x:c r="O643" t="n">
        <x:v>0</x:v>
      </x:c>
      <x:c r="P643" t="str">
        <x:v>short</x:v>
      </x:c>
      <x:c r="Q643" t="str">
        <x:v>middle</x:v>
      </x:c>
      <x:c r="R643" t="n">
        <x:v>4</x:v>
      </x:c>
      <x:c r="S643" t="n">
        <x:v>4</x:v>
      </x:c>
      <x:c r="T643"/>
      <x:c r="U643"/>
      <x:c r="V643" t="n">
        <x:v>1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/>
      <x:c r="AC643" t="n">
        <x:v>0</x:v>
      </x:c>
      <x:c r="AD643" t="n">
        <x:v>-0.4646978983655572</x:v>
      </x:c>
      <x:c r="AE643" t="n">
        <x:v>0</x:v>
      </x:c>
      <x:c r="AF643" t="n">
        <x:v>-0.0010989904403686523</x:v>
      </x:c>
      <x:c r="AG643" t="n">
        <x:f>_xlfn.XLOOKUP($A643,Games!$A$2:$A$18,Games!$B$2:$B$18,"Missing game",0)</x:f>
        <x:v>2025</x:v>
      </x:c>
      <x:c r="AH643" t="str">
        <x:f>_xlfn.XLOOKUP($A643,Games!$A$2:$A$18,Games!$C$2:$C$18,"Missing game",0)</x:f>
        <x:v>REG</x:v>
      </x:c>
      <x:c r="AI643" t="n">
        <x:f>_xlfn.XLOOKUP($A643,Games!$A$2:$A$18,Games!$D$2:$D$18,"Missing game",0)</x:f>
        <x:v>4</x:v>
      </x:c>
      <x:c r="AJ643" s="1" t="n">
        <x:f>_xlfn.XLOOKUP($A643,Games!$A$2:$A$18,Games!$E$2:$E$18,"Missing game",0)</x:f>
        <x:v>45928</x:v>
      </x:c>
      <x:c r="AK643" t="str">
        <x:f>_xlfn.XLOOKUP($A643,Games!$A$2:$A$18,Games!$F$2:$F$18,"Missing game",0)</x:f>
        <x:v>Sunday</x:v>
      </x:c>
      <x:c r="AL643" t="str">
        <x:f>_xlfn.XLOOKUP($A643,Games!$A$2:$A$18,Games!$G$2:$G$18,"Missing game",0)</x:f>
        <x:v>MIN</x:v>
      </x:c>
      <x:c r="AM643" t="n">
        <x:f>_xlfn.XLOOKUP($A643,Games!$A$2:$A$18,Games!$H$2:$H$18,"Missing game",0)</x:f>
        <x:v>21</x:v>
      </x:c>
      <x:c r="AN643" t="str">
        <x:f>_xlfn.XLOOKUP($A643,Games!$A$2:$A$18,Games!$I$2:$I$18,"Missing game",0)</x:f>
        <x:v>PIT</x:v>
      </x:c>
      <x:c r="AO643" t="n">
        <x:f>_xlfn.XLOOKUP($A643,Games!$A$2:$A$18,Games!$J$2:$J$18,"Missing game",0)</x:f>
        <x:v>24</x:v>
      </x:c>
      <x:c r="AP643" t="n">
        <x:f>_xlfn.XLOOKUP($A643,Games!$A$2:$A$18,Games!$K$2:$K$18,"Missing game",0)</x:f>
        <x:v>3</x:v>
      </x:c>
      <x:c r="AQ643" t="n">
        <x:f>_xlfn.XLOOKUP($A643,Games!$A$2:$A$18,Games!$L$2:$L$18,"Missing game",0)</x:f>
        <x:v>45</x:v>
      </x:c>
      <x:c r="AR643" t="n">
        <x:f>_xlfn.XLOOKUP($A643,Games!$A$2:$A$18,Games!$M$2:$M$18,"Missing game",0)</x:f>
        <x:v>0</x:v>
      </x:c>
      <x:c r="AS643" t="str">
        <x:f>_xlfn.XLOOKUP($A643,Games!$A$2:$A$18,Games!$N$2:$N$18,"Missing game",0)</x:f>
        <x:v>outdoors</x:v>
      </x:c>
      <x:c r="AT643" t="str">
        <x:f>_xlfn.XLOOKUP($A643,Games!$A$2:$A$18,Games!$O$2:$O$18,"Missing game",0)</x:f>
        <x:v>grass</x:v>
      </x:c>
      <x:c r="AU643" t="n">
        <x:f>_xlfn.XLOOKUP($A643,Games!$A$2:$A$18,Games!$P$2:$P$18,"Missing game",0)</x:f>
        <x:v>61</x:v>
      </x:c>
      <x:c r="AV643" t="n">
        <x:f>_xlfn.XLOOKUP($A643,Games!$A$2:$A$18,Games!$Q$2:$Q$18,"Missing game",0)</x:f>
        <x:v>5</x:v>
      </x:c>
      <x:c r="AW643" t="str">
        <x:f>_xlfn.XLOOKUP($A643,Games!$A$2:$A$18,Games!$R$2:$R$18,"Missing game",0)</x:f>
        <x:v>Acrisure Stadium</x:v>
      </x:c>
    </x:row>
    <x:row r="644">
      <x:c r="A644" t="str">
        <x:v>2025_04_MIN_PIT</x:v>
      </x:c>
      <x:c r="B644" t="n">
        <x:v>3692</x:v>
      </x:c>
      <x:c r="C644" t="n">
        <x:v>4</x:v>
      </x:c>
      <x:c r="D644" t="str">
        <x:v>04:14</x:v>
      </x:c>
      <x:c r="E644" t="n">
        <x:v>4</x:v>
      </x:c>
      <x:c r="F644" t="n">
        <x:v>3</x:v>
      </x:c>
      <x:c r="G644" t="str">
        <x:v>PIT</x:v>
      </x:c>
      <x:c r="H644" t="str">
        <x:v>MIN</x:v>
      </x:c>
      <x:c r="I644" t="str">
        <x:v>MIN</x:v>
      </x:c>
      <x:c r="J644" t="n">
        <x:v>3</x:v>
      </x:c>
      <x:c r="K644" t="str">
        <x:v>(4:14) 74-S.Anderson reported in as eligible. 14-K.Gainwell left guard to MIN 1 for 2 yards (7-B.Murphy).</x:v>
      </x:c>
      <x:c r="L644" t="str">
        <x:v>run</x:v>
      </x:c>
      <x:c r="M644" t="n">
        <x:v>2</x:v>
      </x:c>
      <x:c r="N644" t="n">
        <x:v>0</x:v>
      </x:c>
      <x:c r="O644" t="n">
        <x:v>0</x:v>
      </x:c>
      <x:c r="P644"/>
      <x:c r="Q644"/>
      <x:c r="R644"/>
      <x:c r="S644"/>
      <x:c r="T644" t="str">
        <x:v>left</x:v>
      </x:c>
      <x:c r="U644" t="str">
        <x:v>guard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/>
      <x:c r="AC644" t="n">
        <x:v>0</x:v>
      </x:c>
      <x:c r="AD644" t="n">
        <x:v>-2.540323351684492</x:v>
      </x:c>
      <x:c r="AE644" t="n">
        <x:v>0</x:v>
      </x:c>
      <x:c r="AF644" t="n">
        <x:v>-0.01867605745792389</x:v>
      </x:c>
      <x:c r="AG644" t="n">
        <x:f>_xlfn.XLOOKUP($A644,Games!$A$2:$A$18,Games!$B$2:$B$18,"Missing game",0)</x:f>
        <x:v>2025</x:v>
      </x:c>
      <x:c r="AH644" t="str">
        <x:f>_xlfn.XLOOKUP($A644,Games!$A$2:$A$18,Games!$C$2:$C$18,"Missing game",0)</x:f>
        <x:v>REG</x:v>
      </x:c>
      <x:c r="AI644" t="n">
        <x:f>_xlfn.XLOOKUP($A644,Games!$A$2:$A$18,Games!$D$2:$D$18,"Missing game",0)</x:f>
        <x:v>4</x:v>
      </x:c>
      <x:c r="AJ644" s="1" t="n">
        <x:f>_xlfn.XLOOKUP($A644,Games!$A$2:$A$18,Games!$E$2:$E$18,"Missing game",0)</x:f>
        <x:v>45928</x:v>
      </x:c>
      <x:c r="AK644" t="str">
        <x:f>_xlfn.XLOOKUP($A644,Games!$A$2:$A$18,Games!$F$2:$F$18,"Missing game",0)</x:f>
        <x:v>Sunday</x:v>
      </x:c>
      <x:c r="AL644" t="str">
        <x:f>_xlfn.XLOOKUP($A644,Games!$A$2:$A$18,Games!$G$2:$G$18,"Missing game",0)</x:f>
        <x:v>MIN</x:v>
      </x:c>
      <x:c r="AM644" t="n">
        <x:f>_xlfn.XLOOKUP($A644,Games!$A$2:$A$18,Games!$H$2:$H$18,"Missing game",0)</x:f>
        <x:v>21</x:v>
      </x:c>
      <x:c r="AN644" t="str">
        <x:f>_xlfn.XLOOKUP($A644,Games!$A$2:$A$18,Games!$I$2:$I$18,"Missing game",0)</x:f>
        <x:v>PIT</x:v>
      </x:c>
      <x:c r="AO644" t="n">
        <x:f>_xlfn.XLOOKUP($A644,Games!$A$2:$A$18,Games!$J$2:$J$18,"Missing game",0)</x:f>
        <x:v>24</x:v>
      </x:c>
      <x:c r="AP644" t="n">
        <x:f>_xlfn.XLOOKUP($A644,Games!$A$2:$A$18,Games!$K$2:$K$18,"Missing game",0)</x:f>
        <x:v>3</x:v>
      </x:c>
      <x:c r="AQ644" t="n">
        <x:f>_xlfn.XLOOKUP($A644,Games!$A$2:$A$18,Games!$L$2:$L$18,"Missing game",0)</x:f>
        <x:v>45</x:v>
      </x:c>
      <x:c r="AR644" t="n">
        <x:f>_xlfn.XLOOKUP($A644,Games!$A$2:$A$18,Games!$M$2:$M$18,"Missing game",0)</x:f>
        <x:v>0</x:v>
      </x:c>
      <x:c r="AS644" t="str">
        <x:f>_xlfn.XLOOKUP($A644,Games!$A$2:$A$18,Games!$N$2:$N$18,"Missing game",0)</x:f>
        <x:v>outdoors</x:v>
      </x:c>
      <x:c r="AT644" t="str">
        <x:f>_xlfn.XLOOKUP($A644,Games!$A$2:$A$18,Games!$O$2:$O$18,"Missing game",0)</x:f>
        <x:v>grass</x:v>
      </x:c>
      <x:c r="AU644" t="n">
        <x:f>_xlfn.XLOOKUP($A644,Games!$A$2:$A$18,Games!$P$2:$P$18,"Missing game",0)</x:f>
        <x:v>61</x:v>
      </x:c>
      <x:c r="AV644" t="n">
        <x:f>_xlfn.XLOOKUP($A644,Games!$A$2:$A$18,Games!$Q$2:$Q$18,"Missing game",0)</x:f>
        <x:v>5</x:v>
      </x:c>
      <x:c r="AW644" t="str">
        <x:f>_xlfn.XLOOKUP($A644,Games!$A$2:$A$18,Games!$R$2:$R$18,"Missing game",0)</x:f>
        <x:v>Acrisure Stadium</x:v>
      </x:c>
    </x:row>
    <x:row r="645">
      <x:c r="A645" t="str">
        <x:v>2025_04_MIN_PIT</x:v>
      </x:c>
      <x:c r="B645" t="n">
        <x:v>3704</x:v>
      </x:c>
      <x:c r="C645" t="n">
        <x:v>4</x:v>
      </x:c>
      <x:c r="D645" t="str">
        <x:v>04:14</x:v>
      </x:c>
      <x:c r="E645"/>
      <x:c r="F645" t="n">
        <x:v>0</x:v>
      </x:c>
      <x:c r="G645"/>
      <x:c r="H645"/>
      <x:c r="I645"/>
      <x:c r="J645"/>
      <x:c r="K645" t="str">
        <x:v>Timeout #2 by MIN at 04:14.</x:v>
      </x:c>
      <x:c r="L645" t="str">
        <x:v>no_play</x:v>
      </x:c>
      <x:c r="M645" t="n">
        <x:v>0</x:v>
      </x:c>
      <x:c r="N645" t="n">
        <x:v>0</x:v>
      </x:c>
      <x:c r="O645" t="n">
        <x:v>0</x:v>
      </x:c>
      <x:c r="P645"/>
      <x:c r="Q645"/>
      <x:c r="R645"/>
      <x:c r="S645"/>
      <x:c r="T645"/>
      <x:c r="U645"/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/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f>_xlfn.XLOOKUP($A645,Games!$A$2:$A$18,Games!$B$2:$B$18,"Missing game",0)</x:f>
        <x:v>2025</x:v>
      </x:c>
      <x:c r="AH645" t="str">
        <x:f>_xlfn.XLOOKUP($A645,Games!$A$2:$A$18,Games!$C$2:$C$18,"Missing game",0)</x:f>
        <x:v>REG</x:v>
      </x:c>
      <x:c r="AI645" t="n">
        <x:f>_xlfn.XLOOKUP($A645,Games!$A$2:$A$18,Games!$D$2:$D$18,"Missing game",0)</x:f>
        <x:v>4</x:v>
      </x:c>
      <x:c r="AJ645" s="1" t="n">
        <x:f>_xlfn.XLOOKUP($A645,Games!$A$2:$A$18,Games!$E$2:$E$18,"Missing game",0)</x:f>
        <x:v>45928</x:v>
      </x:c>
      <x:c r="AK645" t="str">
        <x:f>_xlfn.XLOOKUP($A645,Games!$A$2:$A$18,Games!$F$2:$F$18,"Missing game",0)</x:f>
        <x:v>Sunday</x:v>
      </x:c>
      <x:c r="AL645" t="str">
        <x:f>_xlfn.XLOOKUP($A645,Games!$A$2:$A$18,Games!$G$2:$G$18,"Missing game",0)</x:f>
        <x:v>MIN</x:v>
      </x:c>
      <x:c r="AM645" t="n">
        <x:f>_xlfn.XLOOKUP($A645,Games!$A$2:$A$18,Games!$H$2:$H$18,"Missing game",0)</x:f>
        <x:v>21</x:v>
      </x:c>
      <x:c r="AN645" t="str">
        <x:f>_xlfn.XLOOKUP($A645,Games!$A$2:$A$18,Games!$I$2:$I$18,"Missing game",0)</x:f>
        <x:v>PIT</x:v>
      </x:c>
      <x:c r="AO645" t="n">
        <x:f>_xlfn.XLOOKUP($A645,Games!$A$2:$A$18,Games!$J$2:$J$18,"Missing game",0)</x:f>
        <x:v>24</x:v>
      </x:c>
      <x:c r="AP645" t="n">
        <x:f>_xlfn.XLOOKUP($A645,Games!$A$2:$A$18,Games!$K$2:$K$18,"Missing game",0)</x:f>
        <x:v>3</x:v>
      </x:c>
      <x:c r="AQ645" t="n">
        <x:f>_xlfn.XLOOKUP($A645,Games!$A$2:$A$18,Games!$L$2:$L$18,"Missing game",0)</x:f>
        <x:v>45</x:v>
      </x:c>
      <x:c r="AR645" t="n">
        <x:f>_xlfn.XLOOKUP($A645,Games!$A$2:$A$18,Games!$M$2:$M$18,"Missing game",0)</x:f>
        <x:v>0</x:v>
      </x:c>
      <x:c r="AS645" t="str">
        <x:f>_xlfn.XLOOKUP($A645,Games!$A$2:$A$18,Games!$N$2:$N$18,"Missing game",0)</x:f>
        <x:v>outdoors</x:v>
      </x:c>
      <x:c r="AT645" t="str">
        <x:f>_xlfn.XLOOKUP($A645,Games!$A$2:$A$18,Games!$O$2:$O$18,"Missing game",0)</x:f>
        <x:v>grass</x:v>
      </x:c>
      <x:c r="AU645" t="n">
        <x:f>_xlfn.XLOOKUP($A645,Games!$A$2:$A$18,Games!$P$2:$P$18,"Missing game",0)</x:f>
        <x:v>61</x:v>
      </x:c>
      <x:c r="AV645" t="n">
        <x:f>_xlfn.XLOOKUP($A645,Games!$A$2:$A$18,Games!$Q$2:$Q$18,"Missing game",0)</x:f>
        <x:v>5</x:v>
      </x:c>
      <x:c r="AW645" t="str">
        <x:f>_xlfn.XLOOKUP($A645,Games!$A$2:$A$18,Games!$R$2:$R$18,"Missing game",0)</x:f>
        <x:v>Acrisure Stadium</x:v>
      </x:c>
    </x:row>
    <x:row r="646">
      <x:c r="A646" t="str">
        <x:v>2025_04_MIN_PIT</x:v>
      </x:c>
      <x:c r="B646" t="n">
        <x:v>3723</x:v>
      </x:c>
      <x:c r="C646" t="n">
        <x:v>4</x:v>
      </x:c>
      <x:c r="D646" t="str">
        <x:v>04:09</x:v>
      </x:c>
      <x:c r="E646" t="n">
        <x:v>1</x:v>
      </x:c>
      <x:c r="F646" t="n">
        <x:v>10</x:v>
      </x:c>
      <x:c r="G646" t="str">
        <x:v>MIN</x:v>
      </x:c>
      <x:c r="H646" t="str">
        <x:v>PIT</x:v>
      </x:c>
      <x:c r="I646" t="str">
        <x:v>MIN</x:v>
      </x:c>
      <x:c r="J646" t="n">
        <x:v>99</x:v>
      </x:c>
      <x:c r="K646" t="str">
        <x:v>(4:09) 27-J.Mason up the middle to MIN 7 for 6 yards (6-P.Queen). ** Injury Update: PIT-97-Ca.Heyward has returned to the game.</x:v>
      </x:c>
      <x:c r="L646" t="str">
        <x:v>run</x:v>
      </x:c>
      <x:c r="M646" t="n">
        <x:v>6</x:v>
      </x:c>
      <x:c r="N646" t="n">
        <x:v>0</x:v>
      </x:c>
      <x:c r="O646" t="n">
        <x:v>0</x:v>
      </x:c>
      <x:c r="P646"/>
      <x:c r="Q646"/>
      <x:c r="R646"/>
      <x:c r="S646"/>
      <x:c r="T646" t="str">
        <x:v>middle</x:v>
      </x:c>
      <x:c r="U646"/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/>
      <x:c r="AC646" t="n">
        <x:v>0</x:v>
      </x:c>
      <x:c r="AD646" t="n">
        <x:v>0.3195020833518356</x:v>
      </x:c>
      <x:c r="AE646" t="n">
        <x:v>1</x:v>
      </x:c>
      <x:c r="AF646" t="n">
        <x:v>0.002342265099287033</x:v>
      </x:c>
      <x:c r="AG646" t="n">
        <x:f>_xlfn.XLOOKUP($A646,Games!$A$2:$A$18,Games!$B$2:$B$18,"Missing game",0)</x:f>
        <x:v>2025</x:v>
      </x:c>
      <x:c r="AH646" t="str">
        <x:f>_xlfn.XLOOKUP($A646,Games!$A$2:$A$18,Games!$C$2:$C$18,"Missing game",0)</x:f>
        <x:v>REG</x:v>
      </x:c>
      <x:c r="AI646" t="n">
        <x:f>_xlfn.XLOOKUP($A646,Games!$A$2:$A$18,Games!$D$2:$D$18,"Missing game",0)</x:f>
        <x:v>4</x:v>
      </x:c>
      <x:c r="AJ646" s="1" t="n">
        <x:f>_xlfn.XLOOKUP($A646,Games!$A$2:$A$18,Games!$E$2:$E$18,"Missing game",0)</x:f>
        <x:v>45928</x:v>
      </x:c>
      <x:c r="AK646" t="str">
        <x:f>_xlfn.XLOOKUP($A646,Games!$A$2:$A$18,Games!$F$2:$F$18,"Missing game",0)</x:f>
        <x:v>Sunday</x:v>
      </x:c>
      <x:c r="AL646" t="str">
        <x:f>_xlfn.XLOOKUP($A646,Games!$A$2:$A$18,Games!$G$2:$G$18,"Missing game",0)</x:f>
        <x:v>MIN</x:v>
      </x:c>
      <x:c r="AM646" t="n">
        <x:f>_xlfn.XLOOKUP($A646,Games!$A$2:$A$18,Games!$H$2:$H$18,"Missing game",0)</x:f>
        <x:v>21</x:v>
      </x:c>
      <x:c r="AN646" t="str">
        <x:f>_xlfn.XLOOKUP($A646,Games!$A$2:$A$18,Games!$I$2:$I$18,"Missing game",0)</x:f>
        <x:v>PIT</x:v>
      </x:c>
      <x:c r="AO646" t="n">
        <x:f>_xlfn.XLOOKUP($A646,Games!$A$2:$A$18,Games!$J$2:$J$18,"Missing game",0)</x:f>
        <x:v>24</x:v>
      </x:c>
      <x:c r="AP646" t="n">
        <x:f>_xlfn.XLOOKUP($A646,Games!$A$2:$A$18,Games!$K$2:$K$18,"Missing game",0)</x:f>
        <x:v>3</x:v>
      </x:c>
      <x:c r="AQ646" t="n">
        <x:f>_xlfn.XLOOKUP($A646,Games!$A$2:$A$18,Games!$L$2:$L$18,"Missing game",0)</x:f>
        <x:v>45</x:v>
      </x:c>
      <x:c r="AR646" t="n">
        <x:f>_xlfn.XLOOKUP($A646,Games!$A$2:$A$18,Games!$M$2:$M$18,"Missing game",0)</x:f>
        <x:v>0</x:v>
      </x:c>
      <x:c r="AS646" t="str">
        <x:f>_xlfn.XLOOKUP($A646,Games!$A$2:$A$18,Games!$N$2:$N$18,"Missing game",0)</x:f>
        <x:v>outdoors</x:v>
      </x:c>
      <x:c r="AT646" t="str">
        <x:f>_xlfn.XLOOKUP($A646,Games!$A$2:$A$18,Games!$O$2:$O$18,"Missing game",0)</x:f>
        <x:v>grass</x:v>
      </x:c>
      <x:c r="AU646" t="n">
        <x:f>_xlfn.XLOOKUP($A646,Games!$A$2:$A$18,Games!$P$2:$P$18,"Missing game",0)</x:f>
        <x:v>61</x:v>
      </x:c>
      <x:c r="AV646" t="n">
        <x:f>_xlfn.XLOOKUP($A646,Games!$A$2:$A$18,Games!$Q$2:$Q$18,"Missing game",0)</x:f>
        <x:v>5</x:v>
      </x:c>
      <x:c r="AW646" t="str">
        <x:f>_xlfn.XLOOKUP($A646,Games!$A$2:$A$18,Games!$R$2:$R$18,"Missing game",0)</x:f>
        <x:v>Acrisure Stadium</x:v>
      </x:c>
    </x:row>
    <x:row r="647">
      <x:c r="A647" t="str">
        <x:v>2025_04_MIN_PIT</x:v>
      </x:c>
      <x:c r="B647" t="n">
        <x:v>3747</x:v>
      </x:c>
      <x:c r="C647" t="n">
        <x:v>4</x:v>
      </x:c>
      <x:c r="D647" t="str">
        <x:v>03:40</x:v>
      </x:c>
      <x:c r="E647" t="n">
        <x:v>2</x:v>
      </x:c>
      <x:c r="F647" t="n">
        <x:v>4</x:v>
      </x:c>
      <x:c r="G647" t="str">
        <x:v>MIN</x:v>
      </x:c>
      <x:c r="H647" t="str">
        <x:v>PIT</x:v>
      </x:c>
      <x:c r="I647" t="str">
        <x:v>MIN</x:v>
      </x:c>
      <x:c r="J647" t="n">
        <x:v>93</x:v>
      </x:c>
      <x:c r="K647" t="str">
        <x:v>(3:40) (No Huddle, Shotgun) 11-C.Wentz pass short middle to 18-J.Jefferson to MIN 18 for 11 yards (23-D.Slay; 22-J.Thornhill). PIT-26-B.Echols was injured during the play.</x:v>
      </x:c>
      <x:c r="L647" t="str">
        <x:v>pass</x:v>
      </x:c>
      <x:c r="M647" t="n">
        <x:v>11</x:v>
      </x:c>
      <x:c r="N647" t="n">
        <x:v>1</x:v>
      </x:c>
      <x:c r="O647" t="n">
        <x:v>1</x:v>
      </x:c>
      <x:c r="P647" t="str">
        <x:v>short</x:v>
      </x:c>
      <x:c r="Q647" t="str">
        <x:v>middle</x:v>
      </x:c>
      <x:c r="R647" t="n">
        <x:v>11</x:v>
      </x:c>
      <x:c r="S647" t="n">
        <x:v>0</x:v>
      </x:c>
      <x:c r="T647"/>
      <x:c r="U647"/>
      <x:c r="V647" t="n">
        <x:v>1</x:v>
      </x:c>
      <x:c r="W647" t="n">
        <x:v>1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/>
      <x:c r="AC647" t="n">
        <x:v>0</x:v>
      </x:c>
      <x:c r="AD647" t="n">
        <x:v>0.7245381174143404</x:v>
      </x:c>
      <x:c r="AE647" t="n">
        <x:v>1</x:v>
      </x:c>
      <x:c r="AF647" t="n">
        <x:v>0.00442909449338913</x:v>
      </x:c>
      <x:c r="AG647" t="n">
        <x:f>_xlfn.XLOOKUP($A647,Games!$A$2:$A$18,Games!$B$2:$B$18,"Missing game",0)</x:f>
        <x:v>2025</x:v>
      </x:c>
      <x:c r="AH647" t="str">
        <x:f>_xlfn.XLOOKUP($A647,Games!$A$2:$A$18,Games!$C$2:$C$18,"Missing game",0)</x:f>
        <x:v>REG</x:v>
      </x:c>
      <x:c r="AI647" t="n">
        <x:f>_xlfn.XLOOKUP($A647,Games!$A$2:$A$18,Games!$D$2:$D$18,"Missing game",0)</x:f>
        <x:v>4</x:v>
      </x:c>
      <x:c r="AJ647" s="1" t="n">
        <x:f>_xlfn.XLOOKUP($A647,Games!$A$2:$A$18,Games!$E$2:$E$18,"Missing game",0)</x:f>
        <x:v>45928</x:v>
      </x:c>
      <x:c r="AK647" t="str">
        <x:f>_xlfn.XLOOKUP($A647,Games!$A$2:$A$18,Games!$F$2:$F$18,"Missing game",0)</x:f>
        <x:v>Sunday</x:v>
      </x:c>
      <x:c r="AL647" t="str">
        <x:f>_xlfn.XLOOKUP($A647,Games!$A$2:$A$18,Games!$G$2:$G$18,"Missing game",0)</x:f>
        <x:v>MIN</x:v>
      </x:c>
      <x:c r="AM647" t="n">
        <x:f>_xlfn.XLOOKUP($A647,Games!$A$2:$A$18,Games!$H$2:$H$18,"Missing game",0)</x:f>
        <x:v>21</x:v>
      </x:c>
      <x:c r="AN647" t="str">
        <x:f>_xlfn.XLOOKUP($A647,Games!$A$2:$A$18,Games!$I$2:$I$18,"Missing game",0)</x:f>
        <x:v>PIT</x:v>
      </x:c>
      <x:c r="AO647" t="n">
        <x:f>_xlfn.XLOOKUP($A647,Games!$A$2:$A$18,Games!$J$2:$J$18,"Missing game",0)</x:f>
        <x:v>24</x:v>
      </x:c>
      <x:c r="AP647" t="n">
        <x:f>_xlfn.XLOOKUP($A647,Games!$A$2:$A$18,Games!$K$2:$K$18,"Missing game",0)</x:f>
        <x:v>3</x:v>
      </x:c>
      <x:c r="AQ647" t="n">
        <x:f>_xlfn.XLOOKUP($A647,Games!$A$2:$A$18,Games!$L$2:$L$18,"Missing game",0)</x:f>
        <x:v>45</x:v>
      </x:c>
      <x:c r="AR647" t="n">
        <x:f>_xlfn.XLOOKUP($A647,Games!$A$2:$A$18,Games!$M$2:$M$18,"Missing game",0)</x:f>
        <x:v>0</x:v>
      </x:c>
      <x:c r="AS647" t="str">
        <x:f>_xlfn.XLOOKUP($A647,Games!$A$2:$A$18,Games!$N$2:$N$18,"Missing game",0)</x:f>
        <x:v>outdoors</x:v>
      </x:c>
      <x:c r="AT647" t="str">
        <x:f>_xlfn.XLOOKUP($A647,Games!$A$2:$A$18,Games!$O$2:$O$18,"Missing game",0)</x:f>
        <x:v>grass</x:v>
      </x:c>
      <x:c r="AU647" t="n">
        <x:f>_xlfn.XLOOKUP($A647,Games!$A$2:$A$18,Games!$P$2:$P$18,"Missing game",0)</x:f>
        <x:v>61</x:v>
      </x:c>
      <x:c r="AV647" t="n">
        <x:f>_xlfn.XLOOKUP($A647,Games!$A$2:$A$18,Games!$Q$2:$Q$18,"Missing game",0)</x:f>
        <x:v>5</x:v>
      </x:c>
      <x:c r="AW647" t="str">
        <x:f>_xlfn.XLOOKUP($A647,Games!$A$2:$A$18,Games!$R$2:$R$18,"Missing game",0)</x:f>
        <x:v>Acrisure Stadium</x:v>
      </x:c>
    </x:row>
    <x:row r="648">
      <x:c r="A648" t="str">
        <x:v>2025_04_MIN_PIT</x:v>
      </x:c>
      <x:c r="B648" t="n">
        <x:v>3775</x:v>
      </x:c>
      <x:c r="C648" t="n">
        <x:v>4</x:v>
      </x:c>
      <x:c r="D648" t="str">
        <x:v>03:25</x:v>
      </x:c>
      <x:c r="E648" t="n">
        <x:v>1</x:v>
      </x:c>
      <x:c r="F648" t="n">
        <x:v>10</x:v>
      </x:c>
      <x:c r="G648" t="str">
        <x:v>MIN</x:v>
      </x:c>
      <x:c r="H648" t="str">
        <x:v>PIT</x:v>
      </x:c>
      <x:c r="I648" t="str">
        <x:v>MIN</x:v>
      </x:c>
      <x:c r="J648" t="n">
        <x:v>82</x:v>
      </x:c>
      <x:c r="K648" t="str">
        <x:v>(3:25) (Shotgun) 11-C.Wentz pass deep right to 3-J.Addison to PIT 1 for 81 yards (41-P.Wilson).</x:v>
      </x:c>
      <x:c r="L648" t="str">
        <x:v>pass</x:v>
      </x:c>
      <x:c r="M648" t="n">
        <x:v>81</x:v>
      </x:c>
      <x:c r="N648" t="n">
        <x:v>1</x:v>
      </x:c>
      <x:c r="O648" t="n">
        <x:v>0</x:v>
      </x:c>
      <x:c r="P648" t="str">
        <x:v>deep</x:v>
      </x:c>
      <x:c r="Q648" t="str">
        <x:v>right</x:v>
      </x:c>
      <x:c r="R648" t="n">
        <x:v>29</x:v>
      </x:c>
      <x:c r="S648" t="n">
        <x:v>52</x:v>
      </x:c>
      <x:c r="T648"/>
      <x:c r="U648"/>
      <x:c r="V648" t="n">
        <x:v>1</x:v>
      </x:c>
      <x:c r="W648" t="n">
        <x:v>1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/>
      <x:c r="AC648" t="n">
        <x:v>0</x:v>
      </x:c>
      <x:c r="AD648" t="n">
        <x:v>5.649734816310229</x:v>
      </x:c>
      <x:c r="AE648" t="n">
        <x:v>1</x:v>
      </x:c>
      <x:c r="AF648" t="n">
        <x:v>0.06667819246649742</x:v>
      </x:c>
      <x:c r="AG648" t="n">
        <x:f>_xlfn.XLOOKUP($A648,Games!$A$2:$A$18,Games!$B$2:$B$18,"Missing game",0)</x:f>
        <x:v>2025</x:v>
      </x:c>
      <x:c r="AH648" t="str">
        <x:f>_xlfn.XLOOKUP($A648,Games!$A$2:$A$18,Games!$C$2:$C$18,"Missing game",0)</x:f>
        <x:v>REG</x:v>
      </x:c>
      <x:c r="AI648" t="n">
        <x:f>_xlfn.XLOOKUP($A648,Games!$A$2:$A$18,Games!$D$2:$D$18,"Missing game",0)</x:f>
        <x:v>4</x:v>
      </x:c>
      <x:c r="AJ648" s="1" t="n">
        <x:f>_xlfn.XLOOKUP($A648,Games!$A$2:$A$18,Games!$E$2:$E$18,"Missing game",0)</x:f>
        <x:v>45928</x:v>
      </x:c>
      <x:c r="AK648" t="str">
        <x:f>_xlfn.XLOOKUP($A648,Games!$A$2:$A$18,Games!$F$2:$F$18,"Missing game",0)</x:f>
        <x:v>Sunday</x:v>
      </x:c>
      <x:c r="AL648" t="str">
        <x:f>_xlfn.XLOOKUP($A648,Games!$A$2:$A$18,Games!$G$2:$G$18,"Missing game",0)</x:f>
        <x:v>MIN</x:v>
      </x:c>
      <x:c r="AM648" t="n">
        <x:f>_xlfn.XLOOKUP($A648,Games!$A$2:$A$18,Games!$H$2:$H$18,"Missing game",0)</x:f>
        <x:v>21</x:v>
      </x:c>
      <x:c r="AN648" t="str">
        <x:f>_xlfn.XLOOKUP($A648,Games!$A$2:$A$18,Games!$I$2:$I$18,"Missing game",0)</x:f>
        <x:v>PIT</x:v>
      </x:c>
      <x:c r="AO648" t="n">
        <x:f>_xlfn.XLOOKUP($A648,Games!$A$2:$A$18,Games!$J$2:$J$18,"Missing game",0)</x:f>
        <x:v>24</x:v>
      </x:c>
      <x:c r="AP648" t="n">
        <x:f>_xlfn.XLOOKUP($A648,Games!$A$2:$A$18,Games!$K$2:$K$18,"Missing game",0)</x:f>
        <x:v>3</x:v>
      </x:c>
      <x:c r="AQ648" t="n">
        <x:f>_xlfn.XLOOKUP($A648,Games!$A$2:$A$18,Games!$L$2:$L$18,"Missing game",0)</x:f>
        <x:v>45</x:v>
      </x:c>
      <x:c r="AR648" t="n">
        <x:f>_xlfn.XLOOKUP($A648,Games!$A$2:$A$18,Games!$M$2:$M$18,"Missing game",0)</x:f>
        <x:v>0</x:v>
      </x:c>
      <x:c r="AS648" t="str">
        <x:f>_xlfn.XLOOKUP($A648,Games!$A$2:$A$18,Games!$N$2:$N$18,"Missing game",0)</x:f>
        <x:v>outdoors</x:v>
      </x:c>
      <x:c r="AT648" t="str">
        <x:f>_xlfn.XLOOKUP($A648,Games!$A$2:$A$18,Games!$O$2:$O$18,"Missing game",0)</x:f>
        <x:v>grass</x:v>
      </x:c>
      <x:c r="AU648" t="n">
        <x:f>_xlfn.XLOOKUP($A648,Games!$A$2:$A$18,Games!$P$2:$P$18,"Missing game",0)</x:f>
        <x:v>61</x:v>
      </x:c>
      <x:c r="AV648" t="n">
        <x:f>_xlfn.XLOOKUP($A648,Games!$A$2:$A$18,Games!$Q$2:$Q$18,"Missing game",0)</x:f>
        <x:v>5</x:v>
      </x:c>
      <x:c r="AW648" t="str">
        <x:f>_xlfn.XLOOKUP($A648,Games!$A$2:$A$18,Games!$R$2:$R$18,"Missing game",0)</x:f>
        <x:v>Acrisure Stadium</x:v>
      </x:c>
    </x:row>
    <x:row r="649">
      <x:c r="A649" t="str">
        <x:v>2025_04_MIN_PIT</x:v>
      </x:c>
      <x:c r="B649" t="n">
        <x:v>3803</x:v>
      </x:c>
      <x:c r="C649" t="n">
        <x:v>4</x:v>
      </x:c>
      <x:c r="D649" t="str">
        <x:v>02:51</x:v>
      </x:c>
      <x:c r="E649" t="n">
        <x:v>1</x:v>
      </x:c>
      <x:c r="F649" t="n">
        <x:v>1</x:v>
      </x:c>
      <x:c r="G649" t="str">
        <x:v>MIN</x:v>
      </x:c>
      <x:c r="H649" t="str">
        <x:v>PIT</x:v>
      </x:c>
      <x:c r="I649" t="str">
        <x:v>PIT</x:v>
      </x:c>
      <x:c r="J649" t="n">
        <x:v>1</x:v>
      </x:c>
      <x:c r="K649" t="str">
        <x:v>(2:51) (No Huddle) 27-J.Mason right tackle to PIT 2 for -1 yards (6-P.Queen).</x:v>
      </x:c>
      <x:c r="L649" t="str">
        <x:v>run</x:v>
      </x:c>
      <x:c r="M649" t="n">
        <x:v>-1</x:v>
      </x:c>
      <x:c r="N649" t="n">
        <x:v>0</x:v>
      </x:c>
      <x:c r="O649" t="n">
        <x:v>1</x:v>
      </x:c>
      <x:c r="P649"/>
      <x:c r="Q649"/>
      <x:c r="R649"/>
      <x:c r="S649"/>
      <x:c r="T649" t="str">
        <x:v>right</x:v>
      </x:c>
      <x:c r="U649" t="str">
        <x:v>tackle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/>
      <x:c r="AC649" t="n">
        <x:v>0</x:v>
      </x:c>
      <x:c r="AD649" t="n">
        <x:v>-0.6090705619135406</x:v>
      </x:c>
      <x:c r="AE649" t="n">
        <x:v>0</x:v>
      </x:c>
      <x:c r="AF649" t="n">
        <x:v>-0.03171055018901825</x:v>
      </x:c>
      <x:c r="AG649" t="n">
        <x:f>_xlfn.XLOOKUP($A649,Games!$A$2:$A$18,Games!$B$2:$B$18,"Missing game",0)</x:f>
        <x:v>2025</x:v>
      </x:c>
      <x:c r="AH649" t="str">
        <x:f>_xlfn.XLOOKUP($A649,Games!$A$2:$A$18,Games!$C$2:$C$18,"Missing game",0)</x:f>
        <x:v>REG</x:v>
      </x:c>
      <x:c r="AI649" t="n">
        <x:f>_xlfn.XLOOKUP($A649,Games!$A$2:$A$18,Games!$D$2:$D$18,"Missing game",0)</x:f>
        <x:v>4</x:v>
      </x:c>
      <x:c r="AJ649" s="1" t="n">
        <x:f>_xlfn.XLOOKUP($A649,Games!$A$2:$A$18,Games!$E$2:$E$18,"Missing game",0)</x:f>
        <x:v>45928</x:v>
      </x:c>
      <x:c r="AK649" t="str">
        <x:f>_xlfn.XLOOKUP($A649,Games!$A$2:$A$18,Games!$F$2:$F$18,"Missing game",0)</x:f>
        <x:v>Sunday</x:v>
      </x:c>
      <x:c r="AL649" t="str">
        <x:f>_xlfn.XLOOKUP($A649,Games!$A$2:$A$18,Games!$G$2:$G$18,"Missing game",0)</x:f>
        <x:v>MIN</x:v>
      </x:c>
      <x:c r="AM649" t="n">
        <x:f>_xlfn.XLOOKUP($A649,Games!$A$2:$A$18,Games!$H$2:$H$18,"Missing game",0)</x:f>
        <x:v>21</x:v>
      </x:c>
      <x:c r="AN649" t="str">
        <x:f>_xlfn.XLOOKUP($A649,Games!$A$2:$A$18,Games!$I$2:$I$18,"Missing game",0)</x:f>
        <x:v>PIT</x:v>
      </x:c>
      <x:c r="AO649" t="n">
        <x:f>_xlfn.XLOOKUP($A649,Games!$A$2:$A$18,Games!$J$2:$J$18,"Missing game",0)</x:f>
        <x:v>24</x:v>
      </x:c>
      <x:c r="AP649" t="n">
        <x:f>_xlfn.XLOOKUP($A649,Games!$A$2:$A$18,Games!$K$2:$K$18,"Missing game",0)</x:f>
        <x:v>3</x:v>
      </x:c>
      <x:c r="AQ649" t="n">
        <x:f>_xlfn.XLOOKUP($A649,Games!$A$2:$A$18,Games!$L$2:$L$18,"Missing game",0)</x:f>
        <x:v>45</x:v>
      </x:c>
      <x:c r="AR649" t="n">
        <x:f>_xlfn.XLOOKUP($A649,Games!$A$2:$A$18,Games!$M$2:$M$18,"Missing game",0)</x:f>
        <x:v>0</x:v>
      </x:c>
      <x:c r="AS649" t="str">
        <x:f>_xlfn.XLOOKUP($A649,Games!$A$2:$A$18,Games!$N$2:$N$18,"Missing game",0)</x:f>
        <x:v>outdoors</x:v>
      </x:c>
      <x:c r="AT649" t="str">
        <x:f>_xlfn.XLOOKUP($A649,Games!$A$2:$A$18,Games!$O$2:$O$18,"Missing game",0)</x:f>
        <x:v>grass</x:v>
      </x:c>
      <x:c r="AU649" t="n">
        <x:f>_xlfn.XLOOKUP($A649,Games!$A$2:$A$18,Games!$P$2:$P$18,"Missing game",0)</x:f>
        <x:v>61</x:v>
      </x:c>
      <x:c r="AV649" t="n">
        <x:f>_xlfn.XLOOKUP($A649,Games!$A$2:$A$18,Games!$Q$2:$Q$18,"Missing game",0)</x:f>
        <x:v>5</x:v>
      </x:c>
      <x:c r="AW649" t="str">
        <x:f>_xlfn.XLOOKUP($A649,Games!$A$2:$A$18,Games!$R$2:$R$18,"Missing game",0)</x:f>
        <x:v>Acrisure Stadium</x:v>
      </x:c>
    </x:row>
    <x:row r="650">
      <x:c r="A650" t="str">
        <x:v>2025_04_MIN_PIT</x:v>
      </x:c>
      <x:c r="B650" t="n">
        <x:v>3825</x:v>
      </x:c>
      <x:c r="C650" t="n">
        <x:v>4</x:v>
      </x:c>
      <x:c r="D650" t="str">
        <x:v>02:20</x:v>
      </x:c>
      <x:c r="E650" t="n">
        <x:v>2</x:v>
      </x:c>
      <x:c r="F650" t="n">
        <x:v>2</x:v>
      </x:c>
      <x:c r="G650" t="str">
        <x:v>MIN</x:v>
      </x:c>
      <x:c r="H650" t="str">
        <x:v>PIT</x:v>
      </x:c>
      <x:c r="I650" t="str">
        <x:v>PIT</x:v>
      </x:c>
      <x:c r="J650" t="n">
        <x:v>2</x:v>
      </x:c>
      <x:c r="K650" t="str">
        <x:v>(2:20) (Shotgun) 11-C.Wentz pass incomplete short left to 1-J.Nailor (42-J.Pierre).</x:v>
      </x:c>
      <x:c r="L650" t="str">
        <x:v>pass</x:v>
      </x:c>
      <x:c r="M650" t="n">
        <x:v>0</x:v>
      </x:c>
      <x:c r="N650" t="n">
        <x:v>1</x:v>
      </x:c>
      <x:c r="O650" t="n">
        <x:v>0</x:v>
      </x:c>
      <x:c r="P650" t="str">
        <x:v>short</x:v>
      </x:c>
      <x:c r="Q650" t="str">
        <x:v>left</x:v>
      </x:c>
      <x:c r="R650" t="n">
        <x:v>2</x:v>
      </x:c>
      <x:c r="S650"/>
      <x:c r="T650"/>
      <x:c r="U650"/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/>
      <x:c r="AC650" t="n">
        <x:v>0</x:v>
      </x:c>
      <x:c r="AD650" t="n">
        <x:v>-0.7684317374078091</x:v>
      </x:c>
      <x:c r="AE650" t="n">
        <x:v>0</x:v>
      </x:c>
      <x:c r="AF650" t="n">
        <x:v>-0.012557491660118103</x:v>
      </x:c>
      <x:c r="AG650" t="n">
        <x:f>_xlfn.XLOOKUP($A650,Games!$A$2:$A$18,Games!$B$2:$B$18,"Missing game",0)</x:f>
        <x:v>2025</x:v>
      </x:c>
      <x:c r="AH650" t="str">
        <x:f>_xlfn.XLOOKUP($A650,Games!$A$2:$A$18,Games!$C$2:$C$18,"Missing game",0)</x:f>
        <x:v>REG</x:v>
      </x:c>
      <x:c r="AI650" t="n">
        <x:f>_xlfn.XLOOKUP($A650,Games!$A$2:$A$18,Games!$D$2:$D$18,"Missing game",0)</x:f>
        <x:v>4</x:v>
      </x:c>
      <x:c r="AJ650" s="1" t="n">
        <x:f>_xlfn.XLOOKUP($A650,Games!$A$2:$A$18,Games!$E$2:$E$18,"Missing game",0)</x:f>
        <x:v>45928</x:v>
      </x:c>
      <x:c r="AK650" t="str">
        <x:f>_xlfn.XLOOKUP($A650,Games!$A$2:$A$18,Games!$F$2:$F$18,"Missing game",0)</x:f>
        <x:v>Sunday</x:v>
      </x:c>
      <x:c r="AL650" t="str">
        <x:f>_xlfn.XLOOKUP($A650,Games!$A$2:$A$18,Games!$G$2:$G$18,"Missing game",0)</x:f>
        <x:v>MIN</x:v>
      </x:c>
      <x:c r="AM650" t="n">
        <x:f>_xlfn.XLOOKUP($A650,Games!$A$2:$A$18,Games!$H$2:$H$18,"Missing game",0)</x:f>
        <x:v>21</x:v>
      </x:c>
      <x:c r="AN650" t="str">
        <x:f>_xlfn.XLOOKUP($A650,Games!$A$2:$A$18,Games!$I$2:$I$18,"Missing game",0)</x:f>
        <x:v>PIT</x:v>
      </x:c>
      <x:c r="AO650" t="n">
        <x:f>_xlfn.XLOOKUP($A650,Games!$A$2:$A$18,Games!$J$2:$J$18,"Missing game",0)</x:f>
        <x:v>24</x:v>
      </x:c>
      <x:c r="AP650" t="n">
        <x:f>_xlfn.XLOOKUP($A650,Games!$A$2:$A$18,Games!$K$2:$K$18,"Missing game",0)</x:f>
        <x:v>3</x:v>
      </x:c>
      <x:c r="AQ650" t="n">
        <x:f>_xlfn.XLOOKUP($A650,Games!$A$2:$A$18,Games!$L$2:$L$18,"Missing game",0)</x:f>
        <x:v>45</x:v>
      </x:c>
      <x:c r="AR650" t="n">
        <x:f>_xlfn.XLOOKUP($A650,Games!$A$2:$A$18,Games!$M$2:$M$18,"Missing game",0)</x:f>
        <x:v>0</x:v>
      </x:c>
      <x:c r="AS650" t="str">
        <x:f>_xlfn.XLOOKUP($A650,Games!$A$2:$A$18,Games!$N$2:$N$18,"Missing game",0)</x:f>
        <x:v>outdoors</x:v>
      </x:c>
      <x:c r="AT650" t="str">
        <x:f>_xlfn.XLOOKUP($A650,Games!$A$2:$A$18,Games!$O$2:$O$18,"Missing game",0)</x:f>
        <x:v>grass</x:v>
      </x:c>
      <x:c r="AU650" t="n">
        <x:f>_xlfn.XLOOKUP($A650,Games!$A$2:$A$18,Games!$P$2:$P$18,"Missing game",0)</x:f>
        <x:v>61</x:v>
      </x:c>
      <x:c r="AV650" t="n">
        <x:f>_xlfn.XLOOKUP($A650,Games!$A$2:$A$18,Games!$Q$2:$Q$18,"Missing game",0)</x:f>
        <x:v>5</x:v>
      </x:c>
      <x:c r="AW650" t="str">
        <x:f>_xlfn.XLOOKUP($A650,Games!$A$2:$A$18,Games!$R$2:$R$18,"Missing game",0)</x:f>
        <x:v>Acrisure Stadium</x:v>
      </x:c>
    </x:row>
    <x:row r="651">
      <x:c r="A651" t="str">
        <x:v>2025_04_MIN_PIT</x:v>
      </x:c>
      <x:c r="B651" t="n">
        <x:v>3848</x:v>
      </x:c>
      <x:c r="C651" t="n">
        <x:v>4</x:v>
      </x:c>
      <x:c r="D651" t="str">
        <x:v>02:16</x:v>
      </x:c>
      <x:c r="E651" t="n">
        <x:v>3</x:v>
      </x:c>
      <x:c r="F651" t="n">
        <x:v>2</x:v>
      </x:c>
      <x:c r="G651" t="str">
        <x:v>MIN</x:v>
      </x:c>
      <x:c r="H651" t="str">
        <x:v>PIT</x:v>
      </x:c>
      <x:c r="I651" t="str">
        <x:v>PIT</x:v>
      </x:c>
      <x:c r="J651" t="n">
        <x:v>2</x:v>
      </x:c>
      <x:c r="K651" t="str">
        <x:v>(2:16) (Shotgun) 11-C.Wentz pass incomplete short left to 1-J.Nailor (22-J.Thornhill).</x:v>
      </x:c>
      <x:c r="L651" t="str">
        <x:v>pass</x:v>
      </x:c>
      <x:c r="M651" t="n">
        <x:v>0</x:v>
      </x:c>
      <x:c r="N651" t="n">
        <x:v>1</x:v>
      </x:c>
      <x:c r="O651" t="n">
        <x:v>0</x:v>
      </x:c>
      <x:c r="P651" t="str">
        <x:v>short</x:v>
      </x:c>
      <x:c r="Q651" t="str">
        <x:v>left</x:v>
      </x:c>
      <x:c r="R651" t="n">
        <x:v>1</x:v>
      </x:c>
      <x:c r="S651"/>
      <x:c r="T651"/>
      <x:c r="U651"/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/>
      <x:c r="AC651" t="n">
        <x:v>0</x:v>
      </x:c>
      <x:c r="AD651" t="n">
        <x:v>-1.7750423701654654</x:v>
      </x:c>
      <x:c r="AE651" t="n">
        <x:v>0</x:v>
      </x:c>
      <x:c r="AF651" t="n">
        <x:v>-0.02754322439432144</x:v>
      </x:c>
      <x:c r="AG651" t="n">
        <x:f>_xlfn.XLOOKUP($A651,Games!$A$2:$A$18,Games!$B$2:$B$18,"Missing game",0)</x:f>
        <x:v>2025</x:v>
      </x:c>
      <x:c r="AH651" t="str">
        <x:f>_xlfn.XLOOKUP($A651,Games!$A$2:$A$18,Games!$C$2:$C$18,"Missing game",0)</x:f>
        <x:v>REG</x:v>
      </x:c>
      <x:c r="AI651" t="n">
        <x:f>_xlfn.XLOOKUP($A651,Games!$A$2:$A$18,Games!$D$2:$D$18,"Missing game",0)</x:f>
        <x:v>4</x:v>
      </x:c>
      <x:c r="AJ651" s="1" t="n">
        <x:f>_xlfn.XLOOKUP($A651,Games!$A$2:$A$18,Games!$E$2:$E$18,"Missing game",0)</x:f>
        <x:v>45928</x:v>
      </x:c>
      <x:c r="AK651" t="str">
        <x:f>_xlfn.XLOOKUP($A651,Games!$A$2:$A$18,Games!$F$2:$F$18,"Missing game",0)</x:f>
        <x:v>Sunday</x:v>
      </x:c>
      <x:c r="AL651" t="str">
        <x:f>_xlfn.XLOOKUP($A651,Games!$A$2:$A$18,Games!$G$2:$G$18,"Missing game",0)</x:f>
        <x:v>MIN</x:v>
      </x:c>
      <x:c r="AM651" t="n">
        <x:f>_xlfn.XLOOKUP($A651,Games!$A$2:$A$18,Games!$H$2:$H$18,"Missing game",0)</x:f>
        <x:v>21</x:v>
      </x:c>
      <x:c r="AN651" t="str">
        <x:f>_xlfn.XLOOKUP($A651,Games!$A$2:$A$18,Games!$I$2:$I$18,"Missing game",0)</x:f>
        <x:v>PIT</x:v>
      </x:c>
      <x:c r="AO651" t="n">
        <x:f>_xlfn.XLOOKUP($A651,Games!$A$2:$A$18,Games!$J$2:$J$18,"Missing game",0)</x:f>
        <x:v>24</x:v>
      </x:c>
      <x:c r="AP651" t="n">
        <x:f>_xlfn.XLOOKUP($A651,Games!$A$2:$A$18,Games!$K$2:$K$18,"Missing game",0)</x:f>
        <x:v>3</x:v>
      </x:c>
      <x:c r="AQ651" t="n">
        <x:f>_xlfn.XLOOKUP($A651,Games!$A$2:$A$18,Games!$L$2:$L$18,"Missing game",0)</x:f>
        <x:v>45</x:v>
      </x:c>
      <x:c r="AR651" t="n">
        <x:f>_xlfn.XLOOKUP($A651,Games!$A$2:$A$18,Games!$M$2:$M$18,"Missing game",0)</x:f>
        <x:v>0</x:v>
      </x:c>
      <x:c r="AS651" t="str">
        <x:f>_xlfn.XLOOKUP($A651,Games!$A$2:$A$18,Games!$N$2:$N$18,"Missing game",0)</x:f>
        <x:v>outdoors</x:v>
      </x:c>
      <x:c r="AT651" t="str">
        <x:f>_xlfn.XLOOKUP($A651,Games!$A$2:$A$18,Games!$O$2:$O$18,"Missing game",0)</x:f>
        <x:v>grass</x:v>
      </x:c>
      <x:c r="AU651" t="n">
        <x:f>_xlfn.XLOOKUP($A651,Games!$A$2:$A$18,Games!$P$2:$P$18,"Missing game",0)</x:f>
        <x:v>61</x:v>
      </x:c>
      <x:c r="AV651" t="n">
        <x:f>_xlfn.XLOOKUP($A651,Games!$A$2:$A$18,Games!$Q$2:$Q$18,"Missing game",0)</x:f>
        <x:v>5</x:v>
      </x:c>
      <x:c r="AW651" t="str">
        <x:f>_xlfn.XLOOKUP($A651,Games!$A$2:$A$18,Games!$R$2:$R$18,"Missing game",0)</x:f>
        <x:v>Acrisure Stadium</x:v>
      </x:c>
    </x:row>
    <x:row r="652">
      <x:c r="A652" t="str">
        <x:v>2025_04_MIN_PIT</x:v>
      </x:c>
      <x:c r="B652" t="n">
        <x:v>3871</x:v>
      </x:c>
      <x:c r="C652" t="n">
        <x:v>4</x:v>
      </x:c>
      <x:c r="D652" t="str">
        <x:v>02:13</x:v>
      </x:c>
      <x:c r="E652" t="n">
        <x:v>4</x:v>
      </x:c>
      <x:c r="F652" t="n">
        <x:v>2</x:v>
      </x:c>
      <x:c r="G652" t="str">
        <x:v>MIN</x:v>
      </x:c>
      <x:c r="H652" t="str">
        <x:v>PIT</x:v>
      </x:c>
      <x:c r="I652" t="str">
        <x:v>PIT</x:v>
      </x:c>
      <x:c r="J652" t="n">
        <x:v>2</x:v>
      </x:c>
      <x:c r="K652" t="str">
        <x:v>(2:13) (Shotgun) 11-C.Wentz pass short right to 1-J.Nailor for 2 yards, TOUCHDOWN.</x:v>
      </x:c>
      <x:c r="L652" t="str">
        <x:v>pass</x:v>
      </x:c>
      <x:c r="M652" t="n">
        <x:v>2</x:v>
      </x:c>
      <x:c r="N652" t="n">
        <x:v>1</x:v>
      </x:c>
      <x:c r="O652" t="n">
        <x:v>0</x:v>
      </x:c>
      <x:c r="P652" t="str">
        <x:v>short</x:v>
      </x:c>
      <x:c r="Q652" t="str">
        <x:v>right</x:v>
      </x:c>
      <x:c r="R652" t="n">
        <x:v>1</x:v>
      </x:c>
      <x:c r="S652" t="n">
        <x:v>1</x:v>
      </x:c>
      <x:c r="T652"/>
      <x:c r="U652"/>
      <x:c r="V652" t="n">
        <x:v>1</x:v>
      </x:c>
      <x:c r="W652" t="n">
        <x:v>1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/>
      <x:c r="AC652" t="n">
        <x:v>1</x:v>
      </x:c>
      <x:c r="AD652" t="n">
        <x:v>3.8457823916105554</x:v>
      </x:c>
      <x:c r="AE652" t="n">
        <x:v>1</x:v>
      </x:c>
      <x:c r="AF652" t="n">
        <x:v>0.09948772255515803</x:v>
      </x:c>
      <x:c r="AG652" t="n">
        <x:f>_xlfn.XLOOKUP($A652,Games!$A$2:$A$18,Games!$B$2:$B$18,"Missing game",0)</x:f>
        <x:v>2025</x:v>
      </x:c>
      <x:c r="AH652" t="str">
        <x:f>_xlfn.XLOOKUP($A652,Games!$A$2:$A$18,Games!$C$2:$C$18,"Missing game",0)</x:f>
        <x:v>REG</x:v>
      </x:c>
      <x:c r="AI652" t="n">
        <x:f>_xlfn.XLOOKUP($A652,Games!$A$2:$A$18,Games!$D$2:$D$18,"Missing game",0)</x:f>
        <x:v>4</x:v>
      </x:c>
      <x:c r="AJ652" s="1" t="n">
        <x:f>_xlfn.XLOOKUP($A652,Games!$A$2:$A$18,Games!$E$2:$E$18,"Missing game",0)</x:f>
        <x:v>45928</x:v>
      </x:c>
      <x:c r="AK652" t="str">
        <x:f>_xlfn.XLOOKUP($A652,Games!$A$2:$A$18,Games!$F$2:$F$18,"Missing game",0)</x:f>
        <x:v>Sunday</x:v>
      </x:c>
      <x:c r="AL652" t="str">
        <x:f>_xlfn.XLOOKUP($A652,Games!$A$2:$A$18,Games!$G$2:$G$18,"Missing game",0)</x:f>
        <x:v>MIN</x:v>
      </x:c>
      <x:c r="AM652" t="n">
        <x:f>_xlfn.XLOOKUP($A652,Games!$A$2:$A$18,Games!$H$2:$H$18,"Missing game",0)</x:f>
        <x:v>21</x:v>
      </x:c>
      <x:c r="AN652" t="str">
        <x:f>_xlfn.XLOOKUP($A652,Games!$A$2:$A$18,Games!$I$2:$I$18,"Missing game",0)</x:f>
        <x:v>PIT</x:v>
      </x:c>
      <x:c r="AO652" t="n">
        <x:f>_xlfn.XLOOKUP($A652,Games!$A$2:$A$18,Games!$J$2:$J$18,"Missing game",0)</x:f>
        <x:v>24</x:v>
      </x:c>
      <x:c r="AP652" t="n">
        <x:f>_xlfn.XLOOKUP($A652,Games!$A$2:$A$18,Games!$K$2:$K$18,"Missing game",0)</x:f>
        <x:v>3</x:v>
      </x:c>
      <x:c r="AQ652" t="n">
        <x:f>_xlfn.XLOOKUP($A652,Games!$A$2:$A$18,Games!$L$2:$L$18,"Missing game",0)</x:f>
        <x:v>45</x:v>
      </x:c>
      <x:c r="AR652" t="n">
        <x:f>_xlfn.XLOOKUP($A652,Games!$A$2:$A$18,Games!$M$2:$M$18,"Missing game",0)</x:f>
        <x:v>0</x:v>
      </x:c>
      <x:c r="AS652" t="str">
        <x:f>_xlfn.XLOOKUP($A652,Games!$A$2:$A$18,Games!$N$2:$N$18,"Missing game",0)</x:f>
        <x:v>outdoors</x:v>
      </x:c>
      <x:c r="AT652" t="str">
        <x:f>_xlfn.XLOOKUP($A652,Games!$A$2:$A$18,Games!$O$2:$O$18,"Missing game",0)</x:f>
        <x:v>grass</x:v>
      </x:c>
      <x:c r="AU652" t="n">
        <x:f>_xlfn.XLOOKUP($A652,Games!$A$2:$A$18,Games!$P$2:$P$18,"Missing game",0)</x:f>
        <x:v>61</x:v>
      </x:c>
      <x:c r="AV652" t="n">
        <x:f>_xlfn.XLOOKUP($A652,Games!$A$2:$A$18,Games!$Q$2:$Q$18,"Missing game",0)</x:f>
        <x:v>5</x:v>
      </x:c>
      <x:c r="AW652" t="str">
        <x:f>_xlfn.XLOOKUP($A652,Games!$A$2:$A$18,Games!$R$2:$R$18,"Missing game",0)</x:f>
        <x:v>Acrisure Stadium</x:v>
      </x:c>
    </x:row>
    <x:row r="653">
      <x:c r="A653" t="str">
        <x:v>2025_04_MIN_PIT</x:v>
      </x:c>
      <x:c r="B653" t="n">
        <x:v>3897</x:v>
      </x:c>
      <x:c r="C653" t="n">
        <x:v>4</x:v>
      </x:c>
      <x:c r="D653" t="str">
        <x:v>02:08</x:v>
      </x:c>
      <x:c r="E653"/>
      <x:c r="F653" t="n">
        <x:v>0</x:v>
      </x:c>
      <x:c r="G653" t="str">
        <x:v>MIN</x:v>
      </x:c>
      <x:c r="H653" t="str">
        <x:v>PIT</x:v>
      </x:c>
      <x:c r="I653" t="str">
        <x:v>PIT</x:v>
      </x:c>
      <x:c r="J653" t="n">
        <x:v>15</x:v>
      </x:c>
      <x:c r="K653" t="str">
        <x:v>16-W.Reichard extra point is GOOD, Center-42-A.DePaola, Holder-17-R.Wright.</x:v>
      </x:c>
      <x:c r="L653" t="str">
        <x:v>extra_point</x:v>
      </x:c>
      <x:c r="M653" t="n">
        <x:v>0</x:v>
      </x:c>
      <x:c r="N653" t="n">
        <x:v>0</x:v>
      </x:c>
      <x:c r="O653" t="n">
        <x:v>0</x:v>
      </x:c>
      <x:c r="P653"/>
      <x:c r="Q653"/>
      <x:c r="R653"/>
      <x:c r="S653"/>
      <x:c r="T653"/>
      <x:c r="U653"/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/>
      <x:c r="AC653" t="n">
        <x:v>0</x:v>
      </x:c>
      <x:c r="AD653" t="n">
        <x:v>0.06757300310763314</x:v>
      </x:c>
      <x:c r="AE653" t="n">
        <x:v>1</x:v>
      </x:c>
      <x:c r="AF653" t="n">
        <x:v>0.0016317882742906686</x:v>
      </x:c>
      <x:c r="AG653" t="n">
        <x:f>_xlfn.XLOOKUP($A653,Games!$A$2:$A$18,Games!$B$2:$B$18,"Missing game",0)</x:f>
        <x:v>2025</x:v>
      </x:c>
      <x:c r="AH653" t="str">
        <x:f>_xlfn.XLOOKUP($A653,Games!$A$2:$A$18,Games!$C$2:$C$18,"Missing game",0)</x:f>
        <x:v>REG</x:v>
      </x:c>
      <x:c r="AI653" t="n">
        <x:f>_xlfn.XLOOKUP($A653,Games!$A$2:$A$18,Games!$D$2:$D$18,"Missing game",0)</x:f>
        <x:v>4</x:v>
      </x:c>
      <x:c r="AJ653" s="1" t="n">
        <x:f>_xlfn.XLOOKUP($A653,Games!$A$2:$A$18,Games!$E$2:$E$18,"Missing game",0)</x:f>
        <x:v>45928</x:v>
      </x:c>
      <x:c r="AK653" t="str">
        <x:f>_xlfn.XLOOKUP($A653,Games!$A$2:$A$18,Games!$F$2:$F$18,"Missing game",0)</x:f>
        <x:v>Sunday</x:v>
      </x:c>
      <x:c r="AL653" t="str">
        <x:f>_xlfn.XLOOKUP($A653,Games!$A$2:$A$18,Games!$G$2:$G$18,"Missing game",0)</x:f>
        <x:v>MIN</x:v>
      </x:c>
      <x:c r="AM653" t="n">
        <x:f>_xlfn.XLOOKUP($A653,Games!$A$2:$A$18,Games!$H$2:$H$18,"Missing game",0)</x:f>
        <x:v>21</x:v>
      </x:c>
      <x:c r="AN653" t="str">
        <x:f>_xlfn.XLOOKUP($A653,Games!$A$2:$A$18,Games!$I$2:$I$18,"Missing game",0)</x:f>
        <x:v>PIT</x:v>
      </x:c>
      <x:c r="AO653" t="n">
        <x:f>_xlfn.XLOOKUP($A653,Games!$A$2:$A$18,Games!$J$2:$J$18,"Missing game",0)</x:f>
        <x:v>24</x:v>
      </x:c>
      <x:c r="AP653" t="n">
        <x:f>_xlfn.XLOOKUP($A653,Games!$A$2:$A$18,Games!$K$2:$K$18,"Missing game",0)</x:f>
        <x:v>3</x:v>
      </x:c>
      <x:c r="AQ653" t="n">
        <x:f>_xlfn.XLOOKUP($A653,Games!$A$2:$A$18,Games!$L$2:$L$18,"Missing game",0)</x:f>
        <x:v>45</x:v>
      </x:c>
      <x:c r="AR653" t="n">
        <x:f>_xlfn.XLOOKUP($A653,Games!$A$2:$A$18,Games!$M$2:$M$18,"Missing game",0)</x:f>
        <x:v>0</x:v>
      </x:c>
      <x:c r="AS653" t="str">
        <x:f>_xlfn.XLOOKUP($A653,Games!$A$2:$A$18,Games!$N$2:$N$18,"Missing game",0)</x:f>
        <x:v>outdoors</x:v>
      </x:c>
      <x:c r="AT653" t="str">
        <x:f>_xlfn.XLOOKUP($A653,Games!$A$2:$A$18,Games!$O$2:$O$18,"Missing game",0)</x:f>
        <x:v>grass</x:v>
      </x:c>
      <x:c r="AU653" t="n">
        <x:f>_xlfn.XLOOKUP($A653,Games!$A$2:$A$18,Games!$P$2:$P$18,"Missing game",0)</x:f>
        <x:v>61</x:v>
      </x:c>
      <x:c r="AV653" t="n">
        <x:f>_xlfn.XLOOKUP($A653,Games!$A$2:$A$18,Games!$Q$2:$Q$18,"Missing game",0)</x:f>
        <x:v>5</x:v>
      </x:c>
      <x:c r="AW653" t="str">
        <x:f>_xlfn.XLOOKUP($A653,Games!$A$2:$A$18,Games!$R$2:$R$18,"Missing game",0)</x:f>
        <x:v>Acrisure Stadium</x:v>
      </x:c>
    </x:row>
    <x:row r="654">
      <x:c r="A654" t="str">
        <x:v>2025_04_MIN_PIT</x:v>
      </x:c>
      <x:c r="B654" t="n">
        <x:v>3912</x:v>
      </x:c>
      <x:c r="C654" t="n">
        <x:v>4</x:v>
      </x:c>
      <x:c r="D654" t="str">
        <x:v>02:08</x:v>
      </x:c>
      <x:c r="E654"/>
      <x:c r="F654" t="n">
        <x:v>0</x:v>
      </x:c>
      <x:c r="G654" t="str">
        <x:v>PIT</x:v>
      </x:c>
      <x:c r="H654" t="str">
        <x:v>MIN</x:v>
      </x:c>
      <x:c r="I654" t="str">
        <x:v>MIN</x:v>
      </x:c>
      <x:c r="J654" t="n">
        <x:v>35</x:v>
      </x:c>
      <x:c r="K654" t="str">
        <x:v>16-W.Reichard kicks onside 14 yards from MIN 35 to MIN 49. 10-R.Wilson (didn't try to advance) to MIN 49 for no gain.</x:v>
      </x:c>
      <x:c r="L654" t="str">
        <x:v>kickoff</x:v>
      </x:c>
      <x:c r="M654" t="n">
        <x:v>0</x:v>
      </x:c>
      <x:c r="N654" t="n">
        <x:v>0</x:v>
      </x:c>
      <x:c r="O654" t="n">
        <x:v>0</x:v>
      </x:c>
      <x:c r="P654"/>
      <x:c r="Q654"/>
      <x:c r="R654"/>
      <x:c r="S654"/>
      <x:c r="T654"/>
      <x:c r="U654"/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/>
      <x:c r="AC654" t="n">
        <x:v>0</x:v>
      </x:c>
      <x:c r="AD654" t="n">
        <x:v>1.1099315048195422</x:v>
      </x:c>
      <x:c r="AE654" t="n">
        <x:v>1</x:v>
      </x:c>
      <x:c r="AF654" t="n">
        <x:v>0.0368991494178772</x:v>
      </x:c>
      <x:c r="AG654" t="n">
        <x:f>_xlfn.XLOOKUP($A654,Games!$A$2:$A$18,Games!$B$2:$B$18,"Missing game",0)</x:f>
        <x:v>2025</x:v>
      </x:c>
      <x:c r="AH654" t="str">
        <x:f>_xlfn.XLOOKUP($A654,Games!$A$2:$A$18,Games!$C$2:$C$18,"Missing game",0)</x:f>
        <x:v>REG</x:v>
      </x:c>
      <x:c r="AI654" t="n">
        <x:f>_xlfn.XLOOKUP($A654,Games!$A$2:$A$18,Games!$D$2:$D$18,"Missing game",0)</x:f>
        <x:v>4</x:v>
      </x:c>
      <x:c r="AJ654" s="1" t="n">
        <x:f>_xlfn.XLOOKUP($A654,Games!$A$2:$A$18,Games!$E$2:$E$18,"Missing game",0)</x:f>
        <x:v>45928</x:v>
      </x:c>
      <x:c r="AK654" t="str">
        <x:f>_xlfn.XLOOKUP($A654,Games!$A$2:$A$18,Games!$F$2:$F$18,"Missing game",0)</x:f>
        <x:v>Sunday</x:v>
      </x:c>
      <x:c r="AL654" t="str">
        <x:f>_xlfn.XLOOKUP($A654,Games!$A$2:$A$18,Games!$G$2:$G$18,"Missing game",0)</x:f>
        <x:v>MIN</x:v>
      </x:c>
      <x:c r="AM654" t="n">
        <x:f>_xlfn.XLOOKUP($A654,Games!$A$2:$A$18,Games!$H$2:$H$18,"Missing game",0)</x:f>
        <x:v>21</x:v>
      </x:c>
      <x:c r="AN654" t="str">
        <x:f>_xlfn.XLOOKUP($A654,Games!$A$2:$A$18,Games!$I$2:$I$18,"Missing game",0)</x:f>
        <x:v>PIT</x:v>
      </x:c>
      <x:c r="AO654" t="n">
        <x:f>_xlfn.XLOOKUP($A654,Games!$A$2:$A$18,Games!$J$2:$J$18,"Missing game",0)</x:f>
        <x:v>24</x:v>
      </x:c>
      <x:c r="AP654" t="n">
        <x:f>_xlfn.XLOOKUP($A654,Games!$A$2:$A$18,Games!$K$2:$K$18,"Missing game",0)</x:f>
        <x:v>3</x:v>
      </x:c>
      <x:c r="AQ654" t="n">
        <x:f>_xlfn.XLOOKUP($A654,Games!$A$2:$A$18,Games!$L$2:$L$18,"Missing game",0)</x:f>
        <x:v>45</x:v>
      </x:c>
      <x:c r="AR654" t="n">
        <x:f>_xlfn.XLOOKUP($A654,Games!$A$2:$A$18,Games!$M$2:$M$18,"Missing game",0)</x:f>
        <x:v>0</x:v>
      </x:c>
      <x:c r="AS654" t="str">
        <x:f>_xlfn.XLOOKUP($A654,Games!$A$2:$A$18,Games!$N$2:$N$18,"Missing game",0)</x:f>
        <x:v>outdoors</x:v>
      </x:c>
      <x:c r="AT654" t="str">
        <x:f>_xlfn.XLOOKUP($A654,Games!$A$2:$A$18,Games!$O$2:$O$18,"Missing game",0)</x:f>
        <x:v>grass</x:v>
      </x:c>
      <x:c r="AU654" t="n">
        <x:f>_xlfn.XLOOKUP($A654,Games!$A$2:$A$18,Games!$P$2:$P$18,"Missing game",0)</x:f>
        <x:v>61</x:v>
      </x:c>
      <x:c r="AV654" t="n">
        <x:f>_xlfn.XLOOKUP($A654,Games!$A$2:$A$18,Games!$Q$2:$Q$18,"Missing game",0)</x:f>
        <x:v>5</x:v>
      </x:c>
      <x:c r="AW654" t="str">
        <x:f>_xlfn.XLOOKUP($A654,Games!$A$2:$A$18,Games!$R$2:$R$18,"Missing game",0)</x:f>
        <x:v>Acrisure Stadium</x:v>
      </x:c>
    </x:row>
    <x:row r="655">
      <x:c r="A655" t="str">
        <x:v>2025_04_MIN_PIT</x:v>
      </x:c>
      <x:c r="B655" t="n">
        <x:v>3925</x:v>
      </x:c>
      <x:c r="C655" t="n">
        <x:v>4</x:v>
      </x:c>
      <x:c r="D655" t="str">
        <x:v>02:08</x:v>
      </x:c>
      <x:c r="E655"/>
      <x:c r="F655" t="n">
        <x:v>0</x:v>
      </x:c>
      <x:c r="G655"/>
      <x:c r="H655"/>
      <x:c r="I655"/>
      <x:c r="J655"/>
      <x:c r="K655" t="str">
        <x:v>Timeout #2 by PIT at 02:08.</x:v>
      </x:c>
      <x:c r="L655" t="str">
        <x:v>no_play</x:v>
      </x:c>
      <x:c r="M655" t="n">
        <x:v>0</x:v>
      </x:c>
      <x:c r="N655" t="n">
        <x:v>0</x:v>
      </x:c>
      <x:c r="O655" t="n">
        <x:v>0</x:v>
      </x:c>
      <x:c r="P655"/>
      <x:c r="Q655"/>
      <x:c r="R655"/>
      <x:c r="S655"/>
      <x:c r="T655"/>
      <x:c r="U655"/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/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f>_xlfn.XLOOKUP($A655,Games!$A$2:$A$18,Games!$B$2:$B$18,"Missing game",0)</x:f>
        <x:v>2025</x:v>
      </x:c>
      <x:c r="AH655" t="str">
        <x:f>_xlfn.XLOOKUP($A655,Games!$A$2:$A$18,Games!$C$2:$C$18,"Missing game",0)</x:f>
        <x:v>REG</x:v>
      </x:c>
      <x:c r="AI655" t="n">
        <x:f>_xlfn.XLOOKUP($A655,Games!$A$2:$A$18,Games!$D$2:$D$18,"Missing game",0)</x:f>
        <x:v>4</x:v>
      </x:c>
      <x:c r="AJ655" s="1" t="n">
        <x:f>_xlfn.XLOOKUP($A655,Games!$A$2:$A$18,Games!$E$2:$E$18,"Missing game",0)</x:f>
        <x:v>45928</x:v>
      </x:c>
      <x:c r="AK655" t="str">
        <x:f>_xlfn.XLOOKUP($A655,Games!$A$2:$A$18,Games!$F$2:$F$18,"Missing game",0)</x:f>
        <x:v>Sunday</x:v>
      </x:c>
      <x:c r="AL655" t="str">
        <x:f>_xlfn.XLOOKUP($A655,Games!$A$2:$A$18,Games!$G$2:$G$18,"Missing game",0)</x:f>
        <x:v>MIN</x:v>
      </x:c>
      <x:c r="AM655" t="n">
        <x:f>_xlfn.XLOOKUP($A655,Games!$A$2:$A$18,Games!$H$2:$H$18,"Missing game",0)</x:f>
        <x:v>21</x:v>
      </x:c>
      <x:c r="AN655" t="str">
        <x:f>_xlfn.XLOOKUP($A655,Games!$A$2:$A$18,Games!$I$2:$I$18,"Missing game",0)</x:f>
        <x:v>PIT</x:v>
      </x:c>
      <x:c r="AO655" t="n">
        <x:f>_xlfn.XLOOKUP($A655,Games!$A$2:$A$18,Games!$J$2:$J$18,"Missing game",0)</x:f>
        <x:v>24</x:v>
      </x:c>
      <x:c r="AP655" t="n">
        <x:f>_xlfn.XLOOKUP($A655,Games!$A$2:$A$18,Games!$K$2:$K$18,"Missing game",0)</x:f>
        <x:v>3</x:v>
      </x:c>
      <x:c r="AQ655" t="n">
        <x:f>_xlfn.XLOOKUP($A655,Games!$A$2:$A$18,Games!$L$2:$L$18,"Missing game",0)</x:f>
        <x:v>45</x:v>
      </x:c>
      <x:c r="AR655" t="n">
        <x:f>_xlfn.XLOOKUP($A655,Games!$A$2:$A$18,Games!$M$2:$M$18,"Missing game",0)</x:f>
        <x:v>0</x:v>
      </x:c>
      <x:c r="AS655" t="str">
        <x:f>_xlfn.XLOOKUP($A655,Games!$A$2:$A$18,Games!$N$2:$N$18,"Missing game",0)</x:f>
        <x:v>outdoors</x:v>
      </x:c>
      <x:c r="AT655" t="str">
        <x:f>_xlfn.XLOOKUP($A655,Games!$A$2:$A$18,Games!$O$2:$O$18,"Missing game",0)</x:f>
        <x:v>grass</x:v>
      </x:c>
      <x:c r="AU655" t="n">
        <x:f>_xlfn.XLOOKUP($A655,Games!$A$2:$A$18,Games!$P$2:$P$18,"Missing game",0)</x:f>
        <x:v>61</x:v>
      </x:c>
      <x:c r="AV655" t="n">
        <x:f>_xlfn.XLOOKUP($A655,Games!$A$2:$A$18,Games!$Q$2:$Q$18,"Missing game",0)</x:f>
        <x:v>5</x:v>
      </x:c>
      <x:c r="AW655" t="str">
        <x:f>_xlfn.XLOOKUP($A655,Games!$A$2:$A$18,Games!$R$2:$R$18,"Missing game",0)</x:f>
        <x:v>Acrisure Stadium</x:v>
      </x:c>
    </x:row>
    <x:row r="656">
      <x:c r="A656" t="str">
        <x:v>2025_04_MIN_PIT</x:v>
      </x:c>
      <x:c r="B656" t="n">
        <x:v>3945</x:v>
      </x:c>
      <x:c r="C656" t="n">
        <x:v>4</x:v>
      </x:c>
      <x:c r="D656" t="str">
        <x:v>02:07</x:v>
      </x:c>
      <x:c r="E656" t="n">
        <x:v>1</x:v>
      </x:c>
      <x:c r="F656" t="n">
        <x:v>10</x:v>
      </x:c>
      <x:c r="G656" t="str">
        <x:v>PIT</x:v>
      </x:c>
      <x:c r="H656" t="str">
        <x:v>MIN</x:v>
      </x:c>
      <x:c r="I656" t="str">
        <x:v>MIN</x:v>
      </x:c>
      <x:c r="J656" t="n">
        <x:v>49</x:v>
      </x:c>
      <x:c r="K656" t="str">
        <x:v>(2:07) 14-K.Gainwell up the middle to MIN 45 for 4 yards (55-E.Wilson).</x:v>
      </x:c>
      <x:c r="L656" t="str">
        <x:v>run</x:v>
      </x:c>
      <x:c r="M656" t="n">
        <x:v>4</x:v>
      </x:c>
      <x:c r="N656" t="n">
        <x:v>0</x:v>
      </x:c>
      <x:c r="O656" t="n">
        <x:v>0</x:v>
      </x:c>
      <x:c r="P656"/>
      <x:c r="Q656"/>
      <x:c r="R656"/>
      <x:c r="S656"/>
      <x:c r="T656" t="str">
        <x:v>middle</x:v>
      </x:c>
      <x:c r="U656"/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/>
      <x:c r="AC656" t="n">
        <x:v>0</x:v>
      </x:c>
      <x:c r="AD656" t="n">
        <x:v>-0.15828882239293307</x:v>
      </x:c>
      <x:c r="AE656" t="n">
        <x:v>0</x:v>
      </x:c>
      <x:c r="AF656" t="n">
        <x:v>0.018620610237121582</x:v>
      </x:c>
      <x:c r="AG656" t="n">
        <x:f>_xlfn.XLOOKUP($A656,Games!$A$2:$A$18,Games!$B$2:$B$18,"Missing game",0)</x:f>
        <x:v>2025</x:v>
      </x:c>
      <x:c r="AH656" t="str">
        <x:f>_xlfn.XLOOKUP($A656,Games!$A$2:$A$18,Games!$C$2:$C$18,"Missing game",0)</x:f>
        <x:v>REG</x:v>
      </x:c>
      <x:c r="AI656" t="n">
        <x:f>_xlfn.XLOOKUP($A656,Games!$A$2:$A$18,Games!$D$2:$D$18,"Missing game",0)</x:f>
        <x:v>4</x:v>
      </x:c>
      <x:c r="AJ656" s="1" t="n">
        <x:f>_xlfn.XLOOKUP($A656,Games!$A$2:$A$18,Games!$E$2:$E$18,"Missing game",0)</x:f>
        <x:v>45928</x:v>
      </x:c>
      <x:c r="AK656" t="str">
        <x:f>_xlfn.XLOOKUP($A656,Games!$A$2:$A$18,Games!$F$2:$F$18,"Missing game",0)</x:f>
        <x:v>Sunday</x:v>
      </x:c>
      <x:c r="AL656" t="str">
        <x:f>_xlfn.XLOOKUP($A656,Games!$A$2:$A$18,Games!$G$2:$G$18,"Missing game",0)</x:f>
        <x:v>MIN</x:v>
      </x:c>
      <x:c r="AM656" t="n">
        <x:f>_xlfn.XLOOKUP($A656,Games!$A$2:$A$18,Games!$H$2:$H$18,"Missing game",0)</x:f>
        <x:v>21</x:v>
      </x:c>
      <x:c r="AN656" t="str">
        <x:f>_xlfn.XLOOKUP($A656,Games!$A$2:$A$18,Games!$I$2:$I$18,"Missing game",0)</x:f>
        <x:v>PIT</x:v>
      </x:c>
      <x:c r="AO656" t="n">
        <x:f>_xlfn.XLOOKUP($A656,Games!$A$2:$A$18,Games!$J$2:$J$18,"Missing game",0)</x:f>
        <x:v>24</x:v>
      </x:c>
      <x:c r="AP656" t="n">
        <x:f>_xlfn.XLOOKUP($A656,Games!$A$2:$A$18,Games!$K$2:$K$18,"Missing game",0)</x:f>
        <x:v>3</x:v>
      </x:c>
      <x:c r="AQ656" t="n">
        <x:f>_xlfn.XLOOKUP($A656,Games!$A$2:$A$18,Games!$L$2:$L$18,"Missing game",0)</x:f>
        <x:v>45</x:v>
      </x:c>
      <x:c r="AR656" t="n">
        <x:f>_xlfn.XLOOKUP($A656,Games!$A$2:$A$18,Games!$M$2:$M$18,"Missing game",0)</x:f>
        <x:v>0</x:v>
      </x:c>
      <x:c r="AS656" t="str">
        <x:f>_xlfn.XLOOKUP($A656,Games!$A$2:$A$18,Games!$N$2:$N$18,"Missing game",0)</x:f>
        <x:v>outdoors</x:v>
      </x:c>
      <x:c r="AT656" t="str">
        <x:f>_xlfn.XLOOKUP($A656,Games!$A$2:$A$18,Games!$O$2:$O$18,"Missing game",0)</x:f>
        <x:v>grass</x:v>
      </x:c>
      <x:c r="AU656" t="n">
        <x:f>_xlfn.XLOOKUP($A656,Games!$A$2:$A$18,Games!$P$2:$P$18,"Missing game",0)</x:f>
        <x:v>61</x:v>
      </x:c>
      <x:c r="AV656" t="n">
        <x:f>_xlfn.XLOOKUP($A656,Games!$A$2:$A$18,Games!$Q$2:$Q$18,"Missing game",0)</x:f>
        <x:v>5</x:v>
      </x:c>
      <x:c r="AW656" t="str">
        <x:f>_xlfn.XLOOKUP($A656,Games!$A$2:$A$18,Games!$R$2:$R$18,"Missing game",0)</x:f>
        <x:v>Acrisure Stadium</x:v>
      </x:c>
    </x:row>
    <x:row r="657">
      <x:c r="A657" t="str">
        <x:v>2025_04_MIN_PIT</x:v>
      </x:c>
      <x:c r="B657" t="n">
        <x:v>3967</x:v>
      </x:c>
      <x:c r="C657" t="n">
        <x:v>4</x:v>
      </x:c>
      <x:c r="D657" t="str">
        <x:v>02:00</x:v>
      </x:c>
      <x:c r="E657" t="n">
        <x:v>2</x:v>
      </x:c>
      <x:c r="F657" t="n">
        <x:v>6</x:v>
      </x:c>
      <x:c r="G657" t="str">
        <x:v>PIT</x:v>
      </x:c>
      <x:c r="H657" t="str">
        <x:v>MIN</x:v>
      </x:c>
      <x:c r="I657" t="str">
        <x:v>MIN</x:v>
      </x:c>
      <x:c r="J657" t="n">
        <x:v>45</x:v>
      </x:c>
      <x:c r="K657" t="str">
        <x:v>(2:00) 14-K.Gainwell left end to MIN 40 for 5 yards (0-I.Pace).</x:v>
      </x:c>
      <x:c r="L657" t="str">
        <x:v>run</x:v>
      </x:c>
      <x:c r="M657" t="n">
        <x:v>5</x:v>
      </x:c>
      <x:c r="N657" t="n">
        <x:v>0</x:v>
      </x:c>
      <x:c r="O657" t="n">
        <x:v>0</x:v>
      </x:c>
      <x:c r="P657"/>
      <x:c r="Q657"/>
      <x:c r="R657"/>
      <x:c r="S657"/>
      <x:c r="T657" t="str">
        <x:v>left</x:v>
      </x:c>
      <x:c r="U657" t="str">
        <x:v>end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/>
      <x:c r="AC657" t="n">
        <x:v>0</x:v>
      </x:c>
      <x:c r="AD657" t="n">
        <x:v>-0.3949637713958509</x:v>
      </x:c>
      <x:c r="AE657" t="n">
        <x:v>0</x:v>
      </x:c>
      <x:c r="AF657" t="n">
        <x:v>-0.0030083060264587402</x:v>
      </x:c>
      <x:c r="AG657" t="n">
        <x:f>_xlfn.XLOOKUP($A657,Games!$A$2:$A$18,Games!$B$2:$B$18,"Missing game",0)</x:f>
        <x:v>2025</x:v>
      </x:c>
      <x:c r="AH657" t="str">
        <x:f>_xlfn.XLOOKUP($A657,Games!$A$2:$A$18,Games!$C$2:$C$18,"Missing game",0)</x:f>
        <x:v>REG</x:v>
      </x:c>
      <x:c r="AI657" t="n">
        <x:f>_xlfn.XLOOKUP($A657,Games!$A$2:$A$18,Games!$D$2:$D$18,"Missing game",0)</x:f>
        <x:v>4</x:v>
      </x:c>
      <x:c r="AJ657" s="1" t="n">
        <x:f>_xlfn.XLOOKUP($A657,Games!$A$2:$A$18,Games!$E$2:$E$18,"Missing game",0)</x:f>
        <x:v>45928</x:v>
      </x:c>
      <x:c r="AK657" t="str">
        <x:f>_xlfn.XLOOKUP($A657,Games!$A$2:$A$18,Games!$F$2:$F$18,"Missing game",0)</x:f>
        <x:v>Sunday</x:v>
      </x:c>
      <x:c r="AL657" t="str">
        <x:f>_xlfn.XLOOKUP($A657,Games!$A$2:$A$18,Games!$G$2:$G$18,"Missing game",0)</x:f>
        <x:v>MIN</x:v>
      </x:c>
      <x:c r="AM657" t="n">
        <x:f>_xlfn.XLOOKUP($A657,Games!$A$2:$A$18,Games!$H$2:$H$18,"Missing game",0)</x:f>
        <x:v>21</x:v>
      </x:c>
      <x:c r="AN657" t="str">
        <x:f>_xlfn.XLOOKUP($A657,Games!$A$2:$A$18,Games!$I$2:$I$18,"Missing game",0)</x:f>
        <x:v>PIT</x:v>
      </x:c>
      <x:c r="AO657" t="n">
        <x:f>_xlfn.XLOOKUP($A657,Games!$A$2:$A$18,Games!$J$2:$J$18,"Missing game",0)</x:f>
        <x:v>24</x:v>
      </x:c>
      <x:c r="AP657" t="n">
        <x:f>_xlfn.XLOOKUP($A657,Games!$A$2:$A$18,Games!$K$2:$K$18,"Missing game",0)</x:f>
        <x:v>3</x:v>
      </x:c>
      <x:c r="AQ657" t="n">
        <x:f>_xlfn.XLOOKUP($A657,Games!$A$2:$A$18,Games!$L$2:$L$18,"Missing game",0)</x:f>
        <x:v>45</x:v>
      </x:c>
      <x:c r="AR657" t="n">
        <x:f>_xlfn.XLOOKUP($A657,Games!$A$2:$A$18,Games!$M$2:$M$18,"Missing game",0)</x:f>
        <x:v>0</x:v>
      </x:c>
      <x:c r="AS657" t="str">
        <x:f>_xlfn.XLOOKUP($A657,Games!$A$2:$A$18,Games!$N$2:$N$18,"Missing game",0)</x:f>
        <x:v>outdoors</x:v>
      </x:c>
      <x:c r="AT657" t="str">
        <x:f>_xlfn.XLOOKUP($A657,Games!$A$2:$A$18,Games!$O$2:$O$18,"Missing game",0)</x:f>
        <x:v>grass</x:v>
      </x:c>
      <x:c r="AU657" t="n">
        <x:f>_xlfn.XLOOKUP($A657,Games!$A$2:$A$18,Games!$P$2:$P$18,"Missing game",0)</x:f>
        <x:v>61</x:v>
      </x:c>
      <x:c r="AV657" t="n">
        <x:f>_xlfn.XLOOKUP($A657,Games!$A$2:$A$18,Games!$Q$2:$Q$18,"Missing game",0)</x:f>
        <x:v>5</x:v>
      </x:c>
      <x:c r="AW657" t="str">
        <x:f>_xlfn.XLOOKUP($A657,Games!$A$2:$A$18,Games!$R$2:$R$18,"Missing game",0)</x:f>
        <x:v>Acrisure Stadium</x:v>
      </x:c>
    </x:row>
    <x:row r="658">
      <x:c r="A658" t="str">
        <x:v>2025_04_MIN_PIT</x:v>
      </x:c>
      <x:c r="B658" t="n">
        <x:v>3996</x:v>
      </x:c>
      <x:c r="C658" t="n">
        <x:v>4</x:v>
      </x:c>
      <x:c r="D658" t="str">
        <x:v>01:52</x:v>
      </x:c>
      <x:c r="E658" t="n">
        <x:v>3</x:v>
      </x:c>
      <x:c r="F658" t="n">
        <x:v>1</x:v>
      </x:c>
      <x:c r="G658" t="str">
        <x:v>PIT</x:v>
      </x:c>
      <x:c r="H658" t="str">
        <x:v>MIN</x:v>
      </x:c>
      <x:c r="I658" t="str">
        <x:v>MIN</x:v>
      </x:c>
      <x:c r="J658" t="n">
        <x:v>40</x:v>
      </x:c>
      <x:c r="K658" t="str">
        <x:v>(1:52) 74-S.Anderson reported in as eligible. 14-K.Gainwell up the middle to MIN 40 for no gain (93-J.Allen; 15-D.Turner).</x:v>
      </x:c>
      <x:c r="L658" t="str">
        <x:v>run</x:v>
      </x:c>
      <x:c r="M658" t="n">
        <x:v>0</x:v>
      </x:c>
      <x:c r="N658" t="n">
        <x:v>0</x:v>
      </x:c>
      <x:c r="O658" t="n">
        <x:v>0</x:v>
      </x:c>
      <x:c r="P658"/>
      <x:c r="Q658"/>
      <x:c r="R658"/>
      <x:c r="S658"/>
      <x:c r="T658" t="str">
        <x:v>middle</x:v>
      </x:c>
      <x:c r="U658"/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/>
      <x:c r="AC658" t="n">
        <x:v>0</x:v>
      </x:c>
      <x:c r="AD658" t="n">
        <x:v>-0.8928996817558073</x:v>
      </x:c>
      <x:c r="AE658" t="n">
        <x:v>0</x:v>
      </x:c>
      <x:c r="AF658" t="n">
        <x:v>0.02259272336959839</x:v>
      </x:c>
      <x:c r="AG658" t="n">
        <x:f>_xlfn.XLOOKUP($A658,Games!$A$2:$A$18,Games!$B$2:$B$18,"Missing game",0)</x:f>
        <x:v>2025</x:v>
      </x:c>
      <x:c r="AH658" t="str">
        <x:f>_xlfn.XLOOKUP($A658,Games!$A$2:$A$18,Games!$C$2:$C$18,"Missing game",0)</x:f>
        <x:v>REG</x:v>
      </x:c>
      <x:c r="AI658" t="n">
        <x:f>_xlfn.XLOOKUP($A658,Games!$A$2:$A$18,Games!$D$2:$D$18,"Missing game",0)</x:f>
        <x:v>4</x:v>
      </x:c>
      <x:c r="AJ658" s="1" t="n">
        <x:f>_xlfn.XLOOKUP($A658,Games!$A$2:$A$18,Games!$E$2:$E$18,"Missing game",0)</x:f>
        <x:v>45928</x:v>
      </x:c>
      <x:c r="AK658" t="str">
        <x:f>_xlfn.XLOOKUP($A658,Games!$A$2:$A$18,Games!$F$2:$F$18,"Missing game",0)</x:f>
        <x:v>Sunday</x:v>
      </x:c>
      <x:c r="AL658" t="str">
        <x:f>_xlfn.XLOOKUP($A658,Games!$A$2:$A$18,Games!$G$2:$G$18,"Missing game",0)</x:f>
        <x:v>MIN</x:v>
      </x:c>
      <x:c r="AM658" t="n">
        <x:f>_xlfn.XLOOKUP($A658,Games!$A$2:$A$18,Games!$H$2:$H$18,"Missing game",0)</x:f>
        <x:v>21</x:v>
      </x:c>
      <x:c r="AN658" t="str">
        <x:f>_xlfn.XLOOKUP($A658,Games!$A$2:$A$18,Games!$I$2:$I$18,"Missing game",0)</x:f>
        <x:v>PIT</x:v>
      </x:c>
      <x:c r="AO658" t="n">
        <x:f>_xlfn.XLOOKUP($A658,Games!$A$2:$A$18,Games!$J$2:$J$18,"Missing game",0)</x:f>
        <x:v>24</x:v>
      </x:c>
      <x:c r="AP658" t="n">
        <x:f>_xlfn.XLOOKUP($A658,Games!$A$2:$A$18,Games!$K$2:$K$18,"Missing game",0)</x:f>
        <x:v>3</x:v>
      </x:c>
      <x:c r="AQ658" t="n">
        <x:f>_xlfn.XLOOKUP($A658,Games!$A$2:$A$18,Games!$L$2:$L$18,"Missing game",0)</x:f>
        <x:v>45</x:v>
      </x:c>
      <x:c r="AR658" t="n">
        <x:f>_xlfn.XLOOKUP($A658,Games!$A$2:$A$18,Games!$M$2:$M$18,"Missing game",0)</x:f>
        <x:v>0</x:v>
      </x:c>
      <x:c r="AS658" t="str">
        <x:f>_xlfn.XLOOKUP($A658,Games!$A$2:$A$18,Games!$N$2:$N$18,"Missing game",0)</x:f>
        <x:v>outdoors</x:v>
      </x:c>
      <x:c r="AT658" t="str">
        <x:f>_xlfn.XLOOKUP($A658,Games!$A$2:$A$18,Games!$O$2:$O$18,"Missing game",0)</x:f>
        <x:v>grass</x:v>
      </x:c>
      <x:c r="AU658" t="n">
        <x:f>_xlfn.XLOOKUP($A658,Games!$A$2:$A$18,Games!$P$2:$P$18,"Missing game",0)</x:f>
        <x:v>61</x:v>
      </x:c>
      <x:c r="AV658" t="n">
        <x:f>_xlfn.XLOOKUP($A658,Games!$A$2:$A$18,Games!$Q$2:$Q$18,"Missing game",0)</x:f>
        <x:v>5</x:v>
      </x:c>
      <x:c r="AW658" t="str">
        <x:f>_xlfn.XLOOKUP($A658,Games!$A$2:$A$18,Games!$R$2:$R$18,"Missing game",0)</x:f>
        <x:v>Acrisure Stadium</x:v>
      </x:c>
    </x:row>
    <x:row r="659">
      <x:c r="A659" t="str">
        <x:v>2025_04_MIN_PIT</x:v>
      </x:c>
      <x:c r="B659" t="n">
        <x:v>4008</x:v>
      </x:c>
      <x:c r="C659" t="n">
        <x:v>4</x:v>
      </x:c>
      <x:c r="D659" t="str">
        <x:v>01:52</x:v>
      </x:c>
      <x:c r="E659"/>
      <x:c r="F659" t="n">
        <x:v>0</x:v>
      </x:c>
      <x:c r="G659"/>
      <x:c r="H659"/>
      <x:c r="I659"/>
      <x:c r="J659"/>
      <x:c r="K659" t="str">
        <x:v>Timeout #3 by MIN at 01:52.</x:v>
      </x:c>
      <x:c r="L659" t="str">
        <x:v>no_play</x:v>
      </x:c>
      <x:c r="M659" t="n">
        <x:v>0</x:v>
      </x:c>
      <x:c r="N659" t="n">
        <x:v>0</x:v>
      </x:c>
      <x:c r="O659" t="n">
        <x:v>0</x:v>
      </x:c>
      <x:c r="P659"/>
      <x:c r="Q659"/>
      <x:c r="R659"/>
      <x:c r="S659"/>
      <x:c r="T659"/>
      <x:c r="U659"/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/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f>_xlfn.XLOOKUP($A659,Games!$A$2:$A$18,Games!$B$2:$B$18,"Missing game",0)</x:f>
        <x:v>2025</x:v>
      </x:c>
      <x:c r="AH659" t="str">
        <x:f>_xlfn.XLOOKUP($A659,Games!$A$2:$A$18,Games!$C$2:$C$18,"Missing game",0)</x:f>
        <x:v>REG</x:v>
      </x:c>
      <x:c r="AI659" t="n">
        <x:f>_xlfn.XLOOKUP($A659,Games!$A$2:$A$18,Games!$D$2:$D$18,"Missing game",0)</x:f>
        <x:v>4</x:v>
      </x:c>
      <x:c r="AJ659" s="1" t="n">
        <x:f>_xlfn.XLOOKUP($A659,Games!$A$2:$A$18,Games!$E$2:$E$18,"Missing game",0)</x:f>
        <x:v>45928</x:v>
      </x:c>
      <x:c r="AK659" t="str">
        <x:f>_xlfn.XLOOKUP($A659,Games!$A$2:$A$18,Games!$F$2:$F$18,"Missing game",0)</x:f>
        <x:v>Sunday</x:v>
      </x:c>
      <x:c r="AL659" t="str">
        <x:f>_xlfn.XLOOKUP($A659,Games!$A$2:$A$18,Games!$G$2:$G$18,"Missing game",0)</x:f>
        <x:v>MIN</x:v>
      </x:c>
      <x:c r="AM659" t="n">
        <x:f>_xlfn.XLOOKUP($A659,Games!$A$2:$A$18,Games!$H$2:$H$18,"Missing game",0)</x:f>
        <x:v>21</x:v>
      </x:c>
      <x:c r="AN659" t="str">
        <x:f>_xlfn.XLOOKUP($A659,Games!$A$2:$A$18,Games!$I$2:$I$18,"Missing game",0)</x:f>
        <x:v>PIT</x:v>
      </x:c>
      <x:c r="AO659" t="n">
        <x:f>_xlfn.XLOOKUP($A659,Games!$A$2:$A$18,Games!$J$2:$J$18,"Missing game",0)</x:f>
        <x:v>24</x:v>
      </x:c>
      <x:c r="AP659" t="n">
        <x:f>_xlfn.XLOOKUP($A659,Games!$A$2:$A$18,Games!$K$2:$K$18,"Missing game",0)</x:f>
        <x:v>3</x:v>
      </x:c>
      <x:c r="AQ659" t="n">
        <x:f>_xlfn.XLOOKUP($A659,Games!$A$2:$A$18,Games!$L$2:$L$18,"Missing game",0)</x:f>
        <x:v>45</x:v>
      </x:c>
      <x:c r="AR659" t="n">
        <x:f>_xlfn.XLOOKUP($A659,Games!$A$2:$A$18,Games!$M$2:$M$18,"Missing game",0)</x:f>
        <x:v>0</x:v>
      </x:c>
      <x:c r="AS659" t="str">
        <x:f>_xlfn.XLOOKUP($A659,Games!$A$2:$A$18,Games!$N$2:$N$18,"Missing game",0)</x:f>
        <x:v>outdoors</x:v>
      </x:c>
      <x:c r="AT659" t="str">
        <x:f>_xlfn.XLOOKUP($A659,Games!$A$2:$A$18,Games!$O$2:$O$18,"Missing game",0)</x:f>
        <x:v>grass</x:v>
      </x:c>
      <x:c r="AU659" t="n">
        <x:f>_xlfn.XLOOKUP($A659,Games!$A$2:$A$18,Games!$P$2:$P$18,"Missing game",0)</x:f>
        <x:v>61</x:v>
      </x:c>
      <x:c r="AV659" t="n">
        <x:f>_xlfn.XLOOKUP($A659,Games!$A$2:$A$18,Games!$Q$2:$Q$18,"Missing game",0)</x:f>
        <x:v>5</x:v>
      </x:c>
      <x:c r="AW659" t="str">
        <x:f>_xlfn.XLOOKUP($A659,Games!$A$2:$A$18,Games!$R$2:$R$18,"Missing game",0)</x:f>
        <x:v>Acrisure Stadium</x:v>
      </x:c>
    </x:row>
    <x:row r="660">
      <x:c r="A660" t="str">
        <x:v>2025_04_MIN_PIT</x:v>
      </x:c>
      <x:c r="B660" t="n">
        <x:v>4017</x:v>
      </x:c>
      <x:c r="C660" t="n">
        <x:v>4</x:v>
      </x:c>
      <x:c r="D660" t="str">
        <x:v>01:52</x:v>
      </x:c>
      <x:c r="E660"/>
      <x:c r="F660" t="n">
        <x:v>0</x:v>
      </x:c>
      <x:c r="G660"/>
      <x:c r="H660"/>
      <x:c r="I660"/>
      <x:c r="J660"/>
      <x:c r="K660" t="str">
        <x:v>Timeout #3 by PIT at 01:52.</x:v>
      </x:c>
      <x:c r="L660" t="str">
        <x:v>no_play</x:v>
      </x:c>
      <x:c r="M660" t="n">
        <x:v>0</x:v>
      </x:c>
      <x:c r="N660" t="n">
        <x:v>0</x:v>
      </x:c>
      <x:c r="O660" t="n">
        <x:v>0</x:v>
      </x:c>
      <x:c r="P660"/>
      <x:c r="Q660"/>
      <x:c r="R660"/>
      <x:c r="S660"/>
      <x:c r="T660"/>
      <x:c r="U660"/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/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f>_xlfn.XLOOKUP($A660,Games!$A$2:$A$18,Games!$B$2:$B$18,"Missing game",0)</x:f>
        <x:v>2025</x:v>
      </x:c>
      <x:c r="AH660" t="str">
        <x:f>_xlfn.XLOOKUP($A660,Games!$A$2:$A$18,Games!$C$2:$C$18,"Missing game",0)</x:f>
        <x:v>REG</x:v>
      </x:c>
      <x:c r="AI660" t="n">
        <x:f>_xlfn.XLOOKUP($A660,Games!$A$2:$A$18,Games!$D$2:$D$18,"Missing game",0)</x:f>
        <x:v>4</x:v>
      </x:c>
      <x:c r="AJ660" s="1" t="n">
        <x:f>_xlfn.XLOOKUP($A660,Games!$A$2:$A$18,Games!$E$2:$E$18,"Missing game",0)</x:f>
        <x:v>45928</x:v>
      </x:c>
      <x:c r="AK660" t="str">
        <x:f>_xlfn.XLOOKUP($A660,Games!$A$2:$A$18,Games!$F$2:$F$18,"Missing game",0)</x:f>
        <x:v>Sunday</x:v>
      </x:c>
      <x:c r="AL660" t="str">
        <x:f>_xlfn.XLOOKUP($A660,Games!$A$2:$A$18,Games!$G$2:$G$18,"Missing game",0)</x:f>
        <x:v>MIN</x:v>
      </x:c>
      <x:c r="AM660" t="n">
        <x:f>_xlfn.XLOOKUP($A660,Games!$A$2:$A$18,Games!$H$2:$H$18,"Missing game",0)</x:f>
        <x:v>21</x:v>
      </x:c>
      <x:c r="AN660" t="str">
        <x:f>_xlfn.XLOOKUP($A660,Games!$A$2:$A$18,Games!$I$2:$I$18,"Missing game",0)</x:f>
        <x:v>PIT</x:v>
      </x:c>
      <x:c r="AO660" t="n">
        <x:f>_xlfn.XLOOKUP($A660,Games!$A$2:$A$18,Games!$J$2:$J$18,"Missing game",0)</x:f>
        <x:v>24</x:v>
      </x:c>
      <x:c r="AP660" t="n">
        <x:f>_xlfn.XLOOKUP($A660,Games!$A$2:$A$18,Games!$K$2:$K$18,"Missing game",0)</x:f>
        <x:v>3</x:v>
      </x:c>
      <x:c r="AQ660" t="n">
        <x:f>_xlfn.XLOOKUP($A660,Games!$A$2:$A$18,Games!$L$2:$L$18,"Missing game",0)</x:f>
        <x:v>45</x:v>
      </x:c>
      <x:c r="AR660" t="n">
        <x:f>_xlfn.XLOOKUP($A660,Games!$A$2:$A$18,Games!$M$2:$M$18,"Missing game",0)</x:f>
        <x:v>0</x:v>
      </x:c>
      <x:c r="AS660" t="str">
        <x:f>_xlfn.XLOOKUP($A660,Games!$A$2:$A$18,Games!$N$2:$N$18,"Missing game",0)</x:f>
        <x:v>outdoors</x:v>
      </x:c>
      <x:c r="AT660" t="str">
        <x:f>_xlfn.XLOOKUP($A660,Games!$A$2:$A$18,Games!$O$2:$O$18,"Missing game",0)</x:f>
        <x:v>grass</x:v>
      </x:c>
      <x:c r="AU660" t="n">
        <x:f>_xlfn.XLOOKUP($A660,Games!$A$2:$A$18,Games!$P$2:$P$18,"Missing game",0)</x:f>
        <x:v>61</x:v>
      </x:c>
      <x:c r="AV660" t="n">
        <x:f>_xlfn.XLOOKUP($A660,Games!$A$2:$A$18,Games!$Q$2:$Q$18,"Missing game",0)</x:f>
        <x:v>5</x:v>
      </x:c>
      <x:c r="AW660" t="str">
        <x:f>_xlfn.XLOOKUP($A660,Games!$A$2:$A$18,Games!$R$2:$R$18,"Missing game",0)</x:f>
        <x:v>Acrisure Stadium</x:v>
      </x:c>
    </x:row>
    <x:row r="661">
      <x:c r="A661" t="str">
        <x:v>2025_04_MIN_PIT</x:v>
      </x:c>
      <x:c r="B661" t="n">
        <x:v>4034</x:v>
      </x:c>
      <x:c r="C661" t="n">
        <x:v>4</x:v>
      </x:c>
      <x:c r="D661" t="str">
        <x:v>01:08</x:v>
      </x:c>
      <x:c r="E661" t="n">
        <x:v>4</x:v>
      </x:c>
      <x:c r="F661" t="n">
        <x:v>1</x:v>
      </x:c>
      <x:c r="G661" t="str">
        <x:v>PIT</x:v>
      </x:c>
      <x:c r="H661" t="str">
        <x:v>MIN</x:v>
      </x:c>
      <x:c r="I661" t="str">
        <x:v>MIN</x:v>
      </x:c>
      <x:c r="J661" t="n">
        <x:v>40</x:v>
      </x:c>
      <x:c r="K661" t="str">
        <x:v>(1:08) (Run formation) PENALTY on PIT, Delay of Game, 5 yards, enforced at MIN 40 - No Play.</x:v>
      </x:c>
      <x:c r="L661" t="str">
        <x:v>no_play</x:v>
      </x:c>
      <x:c r="M661" t="n">
        <x:v>0</x:v>
      </x:c>
      <x:c r="N661" t="n">
        <x:v>0</x:v>
      </x:c>
      <x:c r="O661" t="n">
        <x:v>0</x:v>
      </x:c>
      <x:c r="P661"/>
      <x:c r="Q661"/>
      <x:c r="R661"/>
      <x:c r="S661"/>
      <x:c r="T661"/>
      <x:c r="U661"/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1</x:v>
      </x:c>
      <x:c r="AB661" t="n">
        <x:v>5</x:v>
      </x:c>
      <x:c r="AC661" t="n">
        <x:v>0</x:v>
      </x:c>
      <x:c r="AD661" t="n">
        <x:v>-0.2652253888081759</x:v>
      </x:c>
      <x:c r="AE661" t="n">
        <x:v>0</x:v>
      </x:c>
      <x:c r="AF661" t="n">
        <x:v>-0.015602290630340576</x:v>
      </x:c>
      <x:c r="AG661" t="n">
        <x:f>_xlfn.XLOOKUP($A661,Games!$A$2:$A$18,Games!$B$2:$B$18,"Missing game",0)</x:f>
        <x:v>2025</x:v>
      </x:c>
      <x:c r="AH661" t="str">
        <x:f>_xlfn.XLOOKUP($A661,Games!$A$2:$A$18,Games!$C$2:$C$18,"Missing game",0)</x:f>
        <x:v>REG</x:v>
      </x:c>
      <x:c r="AI661" t="n">
        <x:f>_xlfn.XLOOKUP($A661,Games!$A$2:$A$18,Games!$D$2:$D$18,"Missing game",0)</x:f>
        <x:v>4</x:v>
      </x:c>
      <x:c r="AJ661" s="1" t="n">
        <x:f>_xlfn.XLOOKUP($A661,Games!$A$2:$A$18,Games!$E$2:$E$18,"Missing game",0)</x:f>
        <x:v>45928</x:v>
      </x:c>
      <x:c r="AK661" t="str">
        <x:f>_xlfn.XLOOKUP($A661,Games!$A$2:$A$18,Games!$F$2:$F$18,"Missing game",0)</x:f>
        <x:v>Sunday</x:v>
      </x:c>
      <x:c r="AL661" t="str">
        <x:f>_xlfn.XLOOKUP($A661,Games!$A$2:$A$18,Games!$G$2:$G$18,"Missing game",0)</x:f>
        <x:v>MIN</x:v>
      </x:c>
      <x:c r="AM661" t="n">
        <x:f>_xlfn.XLOOKUP($A661,Games!$A$2:$A$18,Games!$H$2:$H$18,"Missing game",0)</x:f>
        <x:v>21</x:v>
      </x:c>
      <x:c r="AN661" t="str">
        <x:f>_xlfn.XLOOKUP($A661,Games!$A$2:$A$18,Games!$I$2:$I$18,"Missing game",0)</x:f>
        <x:v>PIT</x:v>
      </x:c>
      <x:c r="AO661" t="n">
        <x:f>_xlfn.XLOOKUP($A661,Games!$A$2:$A$18,Games!$J$2:$J$18,"Missing game",0)</x:f>
        <x:v>24</x:v>
      </x:c>
      <x:c r="AP661" t="n">
        <x:f>_xlfn.XLOOKUP($A661,Games!$A$2:$A$18,Games!$K$2:$K$18,"Missing game",0)</x:f>
        <x:v>3</x:v>
      </x:c>
      <x:c r="AQ661" t="n">
        <x:f>_xlfn.XLOOKUP($A661,Games!$A$2:$A$18,Games!$L$2:$L$18,"Missing game",0)</x:f>
        <x:v>45</x:v>
      </x:c>
      <x:c r="AR661" t="n">
        <x:f>_xlfn.XLOOKUP($A661,Games!$A$2:$A$18,Games!$M$2:$M$18,"Missing game",0)</x:f>
        <x:v>0</x:v>
      </x:c>
      <x:c r="AS661" t="str">
        <x:f>_xlfn.XLOOKUP($A661,Games!$A$2:$A$18,Games!$N$2:$N$18,"Missing game",0)</x:f>
        <x:v>outdoors</x:v>
      </x:c>
      <x:c r="AT661" t="str">
        <x:f>_xlfn.XLOOKUP($A661,Games!$A$2:$A$18,Games!$O$2:$O$18,"Missing game",0)</x:f>
        <x:v>grass</x:v>
      </x:c>
      <x:c r="AU661" t="n">
        <x:f>_xlfn.XLOOKUP($A661,Games!$A$2:$A$18,Games!$P$2:$P$18,"Missing game",0)</x:f>
        <x:v>61</x:v>
      </x:c>
      <x:c r="AV661" t="n">
        <x:f>_xlfn.XLOOKUP($A661,Games!$A$2:$A$18,Games!$Q$2:$Q$18,"Missing game",0)</x:f>
        <x:v>5</x:v>
      </x:c>
      <x:c r="AW661" t="str">
        <x:f>_xlfn.XLOOKUP($A661,Games!$A$2:$A$18,Games!$R$2:$R$18,"Missing game",0)</x:f>
        <x:v>Acrisure Stadium</x:v>
      </x:c>
    </x:row>
    <x:row r="662">
      <x:c r="A662" t="str">
        <x:v>2025_04_MIN_PIT</x:v>
      </x:c>
      <x:c r="B662" t="n">
        <x:v>4058</x:v>
      </x:c>
      <x:c r="C662" t="n">
        <x:v>4</x:v>
      </x:c>
      <x:c r="D662" t="str">
        <x:v>01:08</x:v>
      </x:c>
      <x:c r="E662" t="n">
        <x:v>4</x:v>
      </x:c>
      <x:c r="F662" t="n">
        <x:v>6</x:v>
      </x:c>
      <x:c r="G662" t="str">
        <x:v>PIT</x:v>
      </x:c>
      <x:c r="H662" t="str">
        <x:v>MIN</x:v>
      </x:c>
      <x:c r="I662" t="str">
        <x:v>MIN</x:v>
      </x:c>
      <x:c r="J662" t="n">
        <x:v>45</x:v>
      </x:c>
      <x:c r="K662" t="str">
        <x:v>(1:08) 3-C.Waitman punts 45 yards to end zone, Center-46-C.Kuntz, Touchback.</x:v>
      </x:c>
      <x:c r="L662" t="str">
        <x:v>punt</x:v>
      </x:c>
      <x:c r="M662" t="n">
        <x:v>0</x:v>
      </x:c>
      <x:c r="N662" t="n">
        <x:v>0</x:v>
      </x:c>
      <x:c r="O662" t="n">
        <x:v>0</x:v>
      </x:c>
      <x:c r="P662"/>
      <x:c r="Q662"/>
      <x:c r="R662"/>
      <x:c r="S662"/>
      <x:c r="T662"/>
      <x:c r="U662"/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/>
      <x:c r="AC662" t="n">
        <x:v>0</x:v>
      </x:c>
      <x:c r="AD662" t="n">
        <x:v>-0.5536128670210019</x:v>
      </x:c>
      <x:c r="AE662" t="n">
        <x:v>0</x:v>
      </x:c>
      <x:c r="AF662" t="n">
        <x:v>-0.15498177707195282</x:v>
      </x:c>
      <x:c r="AG662" t="n">
        <x:f>_xlfn.XLOOKUP($A662,Games!$A$2:$A$18,Games!$B$2:$B$18,"Missing game",0)</x:f>
        <x:v>2025</x:v>
      </x:c>
      <x:c r="AH662" t="str">
        <x:f>_xlfn.XLOOKUP($A662,Games!$A$2:$A$18,Games!$C$2:$C$18,"Missing game",0)</x:f>
        <x:v>REG</x:v>
      </x:c>
      <x:c r="AI662" t="n">
        <x:f>_xlfn.XLOOKUP($A662,Games!$A$2:$A$18,Games!$D$2:$D$18,"Missing game",0)</x:f>
        <x:v>4</x:v>
      </x:c>
      <x:c r="AJ662" s="1" t="n">
        <x:f>_xlfn.XLOOKUP($A662,Games!$A$2:$A$18,Games!$E$2:$E$18,"Missing game",0)</x:f>
        <x:v>45928</x:v>
      </x:c>
      <x:c r="AK662" t="str">
        <x:f>_xlfn.XLOOKUP($A662,Games!$A$2:$A$18,Games!$F$2:$F$18,"Missing game",0)</x:f>
        <x:v>Sunday</x:v>
      </x:c>
      <x:c r="AL662" t="str">
        <x:f>_xlfn.XLOOKUP($A662,Games!$A$2:$A$18,Games!$G$2:$G$18,"Missing game",0)</x:f>
        <x:v>MIN</x:v>
      </x:c>
      <x:c r="AM662" t="n">
        <x:f>_xlfn.XLOOKUP($A662,Games!$A$2:$A$18,Games!$H$2:$H$18,"Missing game",0)</x:f>
        <x:v>21</x:v>
      </x:c>
      <x:c r="AN662" t="str">
        <x:f>_xlfn.XLOOKUP($A662,Games!$A$2:$A$18,Games!$I$2:$I$18,"Missing game",0)</x:f>
        <x:v>PIT</x:v>
      </x:c>
      <x:c r="AO662" t="n">
        <x:f>_xlfn.XLOOKUP($A662,Games!$A$2:$A$18,Games!$J$2:$J$18,"Missing game",0)</x:f>
        <x:v>24</x:v>
      </x:c>
      <x:c r="AP662" t="n">
        <x:f>_xlfn.XLOOKUP($A662,Games!$A$2:$A$18,Games!$K$2:$K$18,"Missing game",0)</x:f>
        <x:v>3</x:v>
      </x:c>
      <x:c r="AQ662" t="n">
        <x:f>_xlfn.XLOOKUP($A662,Games!$A$2:$A$18,Games!$L$2:$L$18,"Missing game",0)</x:f>
        <x:v>45</x:v>
      </x:c>
      <x:c r="AR662" t="n">
        <x:f>_xlfn.XLOOKUP($A662,Games!$A$2:$A$18,Games!$M$2:$M$18,"Missing game",0)</x:f>
        <x:v>0</x:v>
      </x:c>
      <x:c r="AS662" t="str">
        <x:f>_xlfn.XLOOKUP($A662,Games!$A$2:$A$18,Games!$N$2:$N$18,"Missing game",0)</x:f>
        <x:v>outdoors</x:v>
      </x:c>
      <x:c r="AT662" t="str">
        <x:f>_xlfn.XLOOKUP($A662,Games!$A$2:$A$18,Games!$O$2:$O$18,"Missing game",0)</x:f>
        <x:v>grass</x:v>
      </x:c>
      <x:c r="AU662" t="n">
        <x:f>_xlfn.XLOOKUP($A662,Games!$A$2:$A$18,Games!$P$2:$P$18,"Missing game",0)</x:f>
        <x:v>61</x:v>
      </x:c>
      <x:c r="AV662" t="n">
        <x:f>_xlfn.XLOOKUP($A662,Games!$A$2:$A$18,Games!$Q$2:$Q$18,"Missing game",0)</x:f>
        <x:v>5</x:v>
      </x:c>
      <x:c r="AW662" t="str">
        <x:f>_xlfn.XLOOKUP($A662,Games!$A$2:$A$18,Games!$R$2:$R$18,"Missing game",0)</x:f>
        <x:v>Acrisure Stadium</x:v>
      </x:c>
    </x:row>
    <x:row r="663">
      <x:c r="A663" t="str">
        <x:v>2025_04_MIN_PIT</x:v>
      </x:c>
      <x:c r="B663" t="n">
        <x:v>4076</x:v>
      </x:c>
      <x:c r="C663" t="n">
        <x:v>4</x:v>
      </x:c>
      <x:c r="D663" t="str">
        <x:v>01:02</x:v>
      </x:c>
      <x:c r="E663" t="n">
        <x:v>1</x:v>
      </x:c>
      <x:c r="F663" t="n">
        <x:v>10</x:v>
      </x:c>
      <x:c r="G663" t="str">
        <x:v>MIN</x:v>
      </x:c>
      <x:c r="H663" t="str">
        <x:v>PIT</x:v>
      </x:c>
      <x:c r="I663" t="str">
        <x:v>MIN</x:v>
      </x:c>
      <x:c r="J663" t="n">
        <x:v>80</x:v>
      </x:c>
      <x:c r="K663" t="str">
        <x:v>(1:02) (Shotgun) 11-C.Wentz pass deep left intended for 1-J.Nailor INTERCEPTED by 42-J.Pierre at MIN 37. 42-J.Pierre pushed ob at MIN 37 for no gain (1-J.Nailor). The Replay Official reviewed the interception ruling, and the play was REVERSED. (Shotgun) 11-C.Wentz pass incomplete deep left to 1-J.Nailor (42-J.Pierre). ** Injury Update: PIT-26-B.Echols has returned to the game.</x:v>
      </x:c>
      <x:c r="L663" t="str">
        <x:v>pass</x:v>
      </x:c>
      <x:c r="M663" t="n">
        <x:v>0</x:v>
      </x:c>
      <x:c r="N663" t="n">
        <x:v>1</x:v>
      </x:c>
      <x:c r="O663" t="n">
        <x:v>0</x:v>
      </x:c>
      <x:c r="P663" t="str">
        <x:v>deep</x:v>
      </x:c>
      <x:c r="Q663" t="str">
        <x:v>left</x:v>
      </x:c>
      <x:c r="R663" t="n">
        <x:v>17</x:v>
      </x:c>
      <x:c r="S663"/>
      <x:c r="T663"/>
      <x:c r="U663"/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/>
      <x:c r="AC663" t="n">
        <x:v>0</x:v>
      </x:c>
      <x:c r="AD663" t="n">
        <x:v>-0.09977127140155062</x:v>
      </x:c>
      <x:c r="AE663" t="n">
        <x:v>0</x:v>
      </x:c>
      <x:c r="AF663" t="n">
        <x:v>-0.054273128509521484</x:v>
      </x:c>
      <x:c r="AG663" t="n">
        <x:f>_xlfn.XLOOKUP($A663,Games!$A$2:$A$18,Games!$B$2:$B$18,"Missing game",0)</x:f>
        <x:v>2025</x:v>
      </x:c>
      <x:c r="AH663" t="str">
        <x:f>_xlfn.XLOOKUP($A663,Games!$A$2:$A$18,Games!$C$2:$C$18,"Missing game",0)</x:f>
        <x:v>REG</x:v>
      </x:c>
      <x:c r="AI663" t="n">
        <x:f>_xlfn.XLOOKUP($A663,Games!$A$2:$A$18,Games!$D$2:$D$18,"Missing game",0)</x:f>
        <x:v>4</x:v>
      </x:c>
      <x:c r="AJ663" s="1" t="n">
        <x:f>_xlfn.XLOOKUP($A663,Games!$A$2:$A$18,Games!$E$2:$E$18,"Missing game",0)</x:f>
        <x:v>45928</x:v>
      </x:c>
      <x:c r="AK663" t="str">
        <x:f>_xlfn.XLOOKUP($A663,Games!$A$2:$A$18,Games!$F$2:$F$18,"Missing game",0)</x:f>
        <x:v>Sunday</x:v>
      </x:c>
      <x:c r="AL663" t="str">
        <x:f>_xlfn.XLOOKUP($A663,Games!$A$2:$A$18,Games!$G$2:$G$18,"Missing game",0)</x:f>
        <x:v>MIN</x:v>
      </x:c>
      <x:c r="AM663" t="n">
        <x:f>_xlfn.XLOOKUP($A663,Games!$A$2:$A$18,Games!$H$2:$H$18,"Missing game",0)</x:f>
        <x:v>21</x:v>
      </x:c>
      <x:c r="AN663" t="str">
        <x:f>_xlfn.XLOOKUP($A663,Games!$A$2:$A$18,Games!$I$2:$I$18,"Missing game",0)</x:f>
        <x:v>PIT</x:v>
      </x:c>
      <x:c r="AO663" t="n">
        <x:f>_xlfn.XLOOKUP($A663,Games!$A$2:$A$18,Games!$J$2:$J$18,"Missing game",0)</x:f>
        <x:v>24</x:v>
      </x:c>
      <x:c r="AP663" t="n">
        <x:f>_xlfn.XLOOKUP($A663,Games!$A$2:$A$18,Games!$K$2:$K$18,"Missing game",0)</x:f>
        <x:v>3</x:v>
      </x:c>
      <x:c r="AQ663" t="n">
        <x:f>_xlfn.XLOOKUP($A663,Games!$A$2:$A$18,Games!$L$2:$L$18,"Missing game",0)</x:f>
        <x:v>45</x:v>
      </x:c>
      <x:c r="AR663" t="n">
        <x:f>_xlfn.XLOOKUP($A663,Games!$A$2:$A$18,Games!$M$2:$M$18,"Missing game",0)</x:f>
        <x:v>0</x:v>
      </x:c>
      <x:c r="AS663" t="str">
        <x:f>_xlfn.XLOOKUP($A663,Games!$A$2:$A$18,Games!$N$2:$N$18,"Missing game",0)</x:f>
        <x:v>outdoors</x:v>
      </x:c>
      <x:c r="AT663" t="str">
        <x:f>_xlfn.XLOOKUP($A663,Games!$A$2:$A$18,Games!$O$2:$O$18,"Missing game",0)</x:f>
        <x:v>grass</x:v>
      </x:c>
      <x:c r="AU663" t="n">
        <x:f>_xlfn.XLOOKUP($A663,Games!$A$2:$A$18,Games!$P$2:$P$18,"Missing game",0)</x:f>
        <x:v>61</x:v>
      </x:c>
      <x:c r="AV663" t="n">
        <x:f>_xlfn.XLOOKUP($A663,Games!$A$2:$A$18,Games!$Q$2:$Q$18,"Missing game",0)</x:f>
        <x:v>5</x:v>
      </x:c>
      <x:c r="AW663" t="str">
        <x:f>_xlfn.XLOOKUP($A663,Games!$A$2:$A$18,Games!$R$2:$R$18,"Missing game",0)</x:f>
        <x:v>Acrisure Stadium</x:v>
      </x:c>
    </x:row>
    <x:row r="664">
      <x:c r="A664" t="str">
        <x:v>2025_04_MIN_PIT</x:v>
      </x:c>
      <x:c r="B664" t="n">
        <x:v>4160</x:v>
      </x:c>
      <x:c r="C664" t="n">
        <x:v>4</x:v>
      </x:c>
      <x:c r="D664" t="str">
        <x:v>00:58</x:v>
      </x:c>
      <x:c r="E664" t="n">
        <x:v>2</x:v>
      </x:c>
      <x:c r="F664" t="n">
        <x:v>10</x:v>
      </x:c>
      <x:c r="G664" t="str">
        <x:v>MIN</x:v>
      </x:c>
      <x:c r="H664" t="str">
        <x:v>PIT</x:v>
      </x:c>
      <x:c r="I664" t="str">
        <x:v>MIN</x:v>
      </x:c>
      <x:c r="J664" t="n">
        <x:v>80</x:v>
      </x:c>
      <x:c r="K664" t="str">
        <x:v>(:58) (Shotgun) 11-C.Wentz pass incomplete short left to 36-Z.Scott (26-B.Echols). PENALTY on PIT-6-P.Queen, Defensive Holding, 5 yards, enforced at MIN 20 - No Play.</x:v>
      </x:c>
      <x:c r="L664" t="str">
        <x:v>no_play</x:v>
      </x:c>
      <x:c r="M664" t="n">
        <x:v>0</x:v>
      </x:c>
      <x:c r="N664" t="n">
        <x:v>1</x:v>
      </x:c>
      <x:c r="O664" t="n">
        <x:v>0</x:v>
      </x:c>
      <x:c r="P664"/>
      <x:c r="Q664"/>
      <x:c r="R664"/>
      <x:c r="S664"/>
      <x:c r="T664"/>
      <x:c r="U664"/>
      <x:c r="V664" t="n">
        <x:v>0</x:v>
      </x:c>
      <x:c r="W664" t="n">
        <x:v>1</x:v>
      </x:c>
      <x:c r="X664" t="n">
        <x:v>0</x:v>
      </x:c>
      <x:c r="Y664" t="n">
        <x:v>0</x:v>
      </x:c>
      <x:c r="Z664" t="n">
        <x:v>0</x:v>
      </x:c>
      <x:c r="AA664" t="n">
        <x:v>1</x:v>
      </x:c>
      <x:c r="AB664" t="n">
        <x:v>5</x:v>
      </x:c>
      <x:c r="AC664" t="n">
        <x:v>0</x:v>
      </x:c>
      <x:c r="AD664" t="n">
        <x:v>0.16027845366625115</x:v>
      </x:c>
      <x:c r="AE664" t="n">
        <x:v>1</x:v>
      </x:c>
      <x:c r="AF664" t="n">
        <x:v>0.04953420162200928</x:v>
      </x:c>
      <x:c r="AG664" t="n">
        <x:f>_xlfn.XLOOKUP($A664,Games!$A$2:$A$18,Games!$B$2:$B$18,"Missing game",0)</x:f>
        <x:v>2025</x:v>
      </x:c>
      <x:c r="AH664" t="str">
        <x:f>_xlfn.XLOOKUP($A664,Games!$A$2:$A$18,Games!$C$2:$C$18,"Missing game",0)</x:f>
        <x:v>REG</x:v>
      </x:c>
      <x:c r="AI664" t="n">
        <x:f>_xlfn.XLOOKUP($A664,Games!$A$2:$A$18,Games!$D$2:$D$18,"Missing game",0)</x:f>
        <x:v>4</x:v>
      </x:c>
      <x:c r="AJ664" s="1" t="n">
        <x:f>_xlfn.XLOOKUP($A664,Games!$A$2:$A$18,Games!$E$2:$E$18,"Missing game",0)</x:f>
        <x:v>45928</x:v>
      </x:c>
      <x:c r="AK664" t="str">
        <x:f>_xlfn.XLOOKUP($A664,Games!$A$2:$A$18,Games!$F$2:$F$18,"Missing game",0)</x:f>
        <x:v>Sunday</x:v>
      </x:c>
      <x:c r="AL664" t="str">
        <x:f>_xlfn.XLOOKUP($A664,Games!$A$2:$A$18,Games!$G$2:$G$18,"Missing game",0)</x:f>
        <x:v>MIN</x:v>
      </x:c>
      <x:c r="AM664" t="n">
        <x:f>_xlfn.XLOOKUP($A664,Games!$A$2:$A$18,Games!$H$2:$H$18,"Missing game",0)</x:f>
        <x:v>21</x:v>
      </x:c>
      <x:c r="AN664" t="str">
        <x:f>_xlfn.XLOOKUP($A664,Games!$A$2:$A$18,Games!$I$2:$I$18,"Missing game",0)</x:f>
        <x:v>PIT</x:v>
      </x:c>
      <x:c r="AO664" t="n">
        <x:f>_xlfn.XLOOKUP($A664,Games!$A$2:$A$18,Games!$J$2:$J$18,"Missing game",0)</x:f>
        <x:v>24</x:v>
      </x:c>
      <x:c r="AP664" t="n">
        <x:f>_xlfn.XLOOKUP($A664,Games!$A$2:$A$18,Games!$K$2:$K$18,"Missing game",0)</x:f>
        <x:v>3</x:v>
      </x:c>
      <x:c r="AQ664" t="n">
        <x:f>_xlfn.XLOOKUP($A664,Games!$A$2:$A$18,Games!$L$2:$L$18,"Missing game",0)</x:f>
        <x:v>45</x:v>
      </x:c>
      <x:c r="AR664" t="n">
        <x:f>_xlfn.XLOOKUP($A664,Games!$A$2:$A$18,Games!$M$2:$M$18,"Missing game",0)</x:f>
        <x:v>0</x:v>
      </x:c>
      <x:c r="AS664" t="str">
        <x:f>_xlfn.XLOOKUP($A664,Games!$A$2:$A$18,Games!$N$2:$N$18,"Missing game",0)</x:f>
        <x:v>outdoors</x:v>
      </x:c>
      <x:c r="AT664" t="str">
        <x:f>_xlfn.XLOOKUP($A664,Games!$A$2:$A$18,Games!$O$2:$O$18,"Missing game",0)</x:f>
        <x:v>grass</x:v>
      </x:c>
      <x:c r="AU664" t="n">
        <x:f>_xlfn.XLOOKUP($A664,Games!$A$2:$A$18,Games!$P$2:$P$18,"Missing game",0)</x:f>
        <x:v>61</x:v>
      </x:c>
      <x:c r="AV664" t="n">
        <x:f>_xlfn.XLOOKUP($A664,Games!$A$2:$A$18,Games!$Q$2:$Q$18,"Missing game",0)</x:f>
        <x:v>5</x:v>
      </x:c>
      <x:c r="AW664" t="str">
        <x:f>_xlfn.XLOOKUP($A664,Games!$A$2:$A$18,Games!$R$2:$R$18,"Missing game",0)</x:f>
        <x:v>Acrisure Stadium</x:v>
      </x:c>
    </x:row>
    <x:row r="665">
      <x:c r="A665" t="str">
        <x:v>2025_04_MIN_PIT</x:v>
      </x:c>
      <x:c r="B665" t="n">
        <x:v>4197</x:v>
      </x:c>
      <x:c r="C665" t="n">
        <x:v>4</x:v>
      </x:c>
      <x:c r="D665" t="str">
        <x:v>00:54</x:v>
      </x:c>
      <x:c r="E665" t="n">
        <x:v>1</x:v>
      </x:c>
      <x:c r="F665" t="n">
        <x:v>10</x:v>
      </x:c>
      <x:c r="G665" t="str">
        <x:v>MIN</x:v>
      </x:c>
      <x:c r="H665" t="str">
        <x:v>PIT</x:v>
      </x:c>
      <x:c r="I665" t="str">
        <x:v>MIN</x:v>
      </x:c>
      <x:c r="J665" t="n">
        <x:v>75</x:v>
      </x:c>
      <x:c r="K665" t="str">
        <x:v>(:54) (Shotgun) 11-C.Wentz sacked at MIN 25 for 0 yards (51-N.Herbig). PENALTY on PIT-90-T.Watt, Defensive Offside, 5 yards, enforced at MIN 25 - No Play.</x:v>
      </x:c>
      <x:c r="L665" t="str">
        <x:v>no_play</x:v>
      </x:c>
      <x:c r="M665" t="n">
        <x:v>0</x:v>
      </x:c>
      <x:c r="N665" t="n">
        <x:v>1</x:v>
      </x:c>
      <x:c r="O665" t="n">
        <x:v>0</x:v>
      </x:c>
      <x:c r="P665"/>
      <x:c r="Q665"/>
      <x:c r="R665"/>
      <x:c r="S665"/>
      <x:c r="T665"/>
      <x:c r="U665"/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1</x:v>
      </x:c>
      <x:c r="AB665" t="n">
        <x:v>5</x:v>
      </x:c>
      <x:c r="AC665" t="n">
        <x:v>0</x:v>
      </x:c>
      <x:c r="AD665" t="n">
        <x:v>-0.0002943217405118048</x:v>
      </x:c>
      <x:c r="AE665" t="n">
        <x:v>0</x:v>
      </x:c>
      <x:c r="AF665" t="n">
        <x:v>0.022286221385002136</x:v>
      </x:c>
      <x:c r="AG665" t="n">
        <x:f>_xlfn.XLOOKUP($A665,Games!$A$2:$A$18,Games!$B$2:$B$18,"Missing game",0)</x:f>
        <x:v>2025</x:v>
      </x:c>
      <x:c r="AH665" t="str">
        <x:f>_xlfn.XLOOKUP($A665,Games!$A$2:$A$18,Games!$C$2:$C$18,"Missing game",0)</x:f>
        <x:v>REG</x:v>
      </x:c>
      <x:c r="AI665" t="n">
        <x:f>_xlfn.XLOOKUP($A665,Games!$A$2:$A$18,Games!$D$2:$D$18,"Missing game",0)</x:f>
        <x:v>4</x:v>
      </x:c>
      <x:c r="AJ665" s="1" t="n">
        <x:f>_xlfn.XLOOKUP($A665,Games!$A$2:$A$18,Games!$E$2:$E$18,"Missing game",0)</x:f>
        <x:v>45928</x:v>
      </x:c>
      <x:c r="AK665" t="str">
        <x:f>_xlfn.XLOOKUP($A665,Games!$A$2:$A$18,Games!$F$2:$F$18,"Missing game",0)</x:f>
        <x:v>Sunday</x:v>
      </x:c>
      <x:c r="AL665" t="str">
        <x:f>_xlfn.XLOOKUP($A665,Games!$A$2:$A$18,Games!$G$2:$G$18,"Missing game",0)</x:f>
        <x:v>MIN</x:v>
      </x:c>
      <x:c r="AM665" t="n">
        <x:f>_xlfn.XLOOKUP($A665,Games!$A$2:$A$18,Games!$H$2:$H$18,"Missing game",0)</x:f>
        <x:v>21</x:v>
      </x:c>
      <x:c r="AN665" t="str">
        <x:f>_xlfn.XLOOKUP($A665,Games!$A$2:$A$18,Games!$I$2:$I$18,"Missing game",0)</x:f>
        <x:v>PIT</x:v>
      </x:c>
      <x:c r="AO665" t="n">
        <x:f>_xlfn.XLOOKUP($A665,Games!$A$2:$A$18,Games!$J$2:$J$18,"Missing game",0)</x:f>
        <x:v>24</x:v>
      </x:c>
      <x:c r="AP665" t="n">
        <x:f>_xlfn.XLOOKUP($A665,Games!$A$2:$A$18,Games!$K$2:$K$18,"Missing game",0)</x:f>
        <x:v>3</x:v>
      </x:c>
      <x:c r="AQ665" t="n">
        <x:f>_xlfn.XLOOKUP($A665,Games!$A$2:$A$18,Games!$L$2:$L$18,"Missing game",0)</x:f>
        <x:v>45</x:v>
      </x:c>
      <x:c r="AR665" t="n">
        <x:f>_xlfn.XLOOKUP($A665,Games!$A$2:$A$18,Games!$M$2:$M$18,"Missing game",0)</x:f>
        <x:v>0</x:v>
      </x:c>
      <x:c r="AS665" t="str">
        <x:f>_xlfn.XLOOKUP($A665,Games!$A$2:$A$18,Games!$N$2:$N$18,"Missing game",0)</x:f>
        <x:v>outdoors</x:v>
      </x:c>
      <x:c r="AT665" t="str">
        <x:f>_xlfn.XLOOKUP($A665,Games!$A$2:$A$18,Games!$O$2:$O$18,"Missing game",0)</x:f>
        <x:v>grass</x:v>
      </x:c>
      <x:c r="AU665" t="n">
        <x:f>_xlfn.XLOOKUP($A665,Games!$A$2:$A$18,Games!$P$2:$P$18,"Missing game",0)</x:f>
        <x:v>61</x:v>
      </x:c>
      <x:c r="AV665" t="n">
        <x:f>_xlfn.XLOOKUP($A665,Games!$A$2:$A$18,Games!$Q$2:$Q$18,"Missing game",0)</x:f>
        <x:v>5</x:v>
      </x:c>
      <x:c r="AW665" t="str">
        <x:f>_xlfn.XLOOKUP($A665,Games!$A$2:$A$18,Games!$R$2:$R$18,"Missing game",0)</x:f>
        <x:v>Acrisure Stadium</x:v>
      </x:c>
    </x:row>
    <x:row r="666">
      <x:c r="A666" t="str">
        <x:v>2025_04_MIN_PIT</x:v>
      </x:c>
      <x:c r="B666" t="n">
        <x:v>4228</x:v>
      </x:c>
      <x:c r="C666" t="n">
        <x:v>4</x:v>
      </x:c>
      <x:c r="D666" t="str">
        <x:v>00:48</x:v>
      </x:c>
      <x:c r="E666" t="n">
        <x:v>1</x:v>
      </x:c>
      <x:c r="F666" t="n">
        <x:v>5</x:v>
      </x:c>
      <x:c r="G666" t="str">
        <x:v>MIN</x:v>
      </x:c>
      <x:c r="H666" t="str">
        <x:v>PIT</x:v>
      </x:c>
      <x:c r="I666" t="str">
        <x:v>MIN</x:v>
      </x:c>
      <x:c r="J666" t="n">
        <x:v>70</x:v>
      </x:c>
      <x:c r="K666" t="str">
        <x:v>(:48) (Shotgun) 11-C.Wentz pass short left to 36-Z.Scott ran ob at MIN 39 for 9 yards (42-J.Pierre; 41-P.Wilson).</x:v>
      </x:c>
      <x:c r="L666" t="str">
        <x:v>pass</x:v>
      </x:c>
      <x:c r="M666" t="n">
        <x:v>9</x:v>
      </x:c>
      <x:c r="N666" t="n">
        <x:v>1</x:v>
      </x:c>
      <x:c r="O666" t="n">
        <x:v>0</x:v>
      </x:c>
      <x:c r="P666" t="str">
        <x:v>short</x:v>
      </x:c>
      <x:c r="Q666" t="str">
        <x:v>left</x:v>
      </x:c>
      <x:c r="R666" t="n">
        <x:v>5</x:v>
      </x:c>
      <x:c r="S666" t="n">
        <x:v>4</x:v>
      </x:c>
      <x:c r="T666"/>
      <x:c r="U666"/>
      <x:c r="V666" t="n">
        <x:v>1</x:v>
      </x:c>
      <x:c r="W666" t="n">
        <x:v>1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/>
      <x:c r="AC666" t="n">
        <x:v>0</x:v>
      </x:c>
      <x:c r="AD666" t="n">
        <x:v>0.242204959387891</x:v>
      </x:c>
      <x:c r="AE666" t="n">
        <x:v>1</x:v>
      </x:c>
      <x:c r="AF666" t="n">
        <x:v>-0.008250221610069275</x:v>
      </x:c>
      <x:c r="AG666" t="n">
        <x:f>_xlfn.XLOOKUP($A666,Games!$A$2:$A$18,Games!$B$2:$B$18,"Missing game",0)</x:f>
        <x:v>2025</x:v>
      </x:c>
      <x:c r="AH666" t="str">
        <x:f>_xlfn.XLOOKUP($A666,Games!$A$2:$A$18,Games!$C$2:$C$18,"Missing game",0)</x:f>
        <x:v>REG</x:v>
      </x:c>
      <x:c r="AI666" t="n">
        <x:f>_xlfn.XLOOKUP($A666,Games!$A$2:$A$18,Games!$D$2:$D$18,"Missing game",0)</x:f>
        <x:v>4</x:v>
      </x:c>
      <x:c r="AJ666" s="1" t="n">
        <x:f>_xlfn.XLOOKUP($A666,Games!$A$2:$A$18,Games!$E$2:$E$18,"Missing game",0)</x:f>
        <x:v>45928</x:v>
      </x:c>
      <x:c r="AK666" t="str">
        <x:f>_xlfn.XLOOKUP($A666,Games!$A$2:$A$18,Games!$F$2:$F$18,"Missing game",0)</x:f>
        <x:v>Sunday</x:v>
      </x:c>
      <x:c r="AL666" t="str">
        <x:f>_xlfn.XLOOKUP($A666,Games!$A$2:$A$18,Games!$G$2:$G$18,"Missing game",0)</x:f>
        <x:v>MIN</x:v>
      </x:c>
      <x:c r="AM666" t="n">
        <x:f>_xlfn.XLOOKUP($A666,Games!$A$2:$A$18,Games!$H$2:$H$18,"Missing game",0)</x:f>
        <x:v>21</x:v>
      </x:c>
      <x:c r="AN666" t="str">
        <x:f>_xlfn.XLOOKUP($A666,Games!$A$2:$A$18,Games!$I$2:$I$18,"Missing game",0)</x:f>
        <x:v>PIT</x:v>
      </x:c>
      <x:c r="AO666" t="n">
        <x:f>_xlfn.XLOOKUP($A666,Games!$A$2:$A$18,Games!$J$2:$J$18,"Missing game",0)</x:f>
        <x:v>24</x:v>
      </x:c>
      <x:c r="AP666" t="n">
        <x:f>_xlfn.XLOOKUP($A666,Games!$A$2:$A$18,Games!$K$2:$K$18,"Missing game",0)</x:f>
        <x:v>3</x:v>
      </x:c>
      <x:c r="AQ666" t="n">
        <x:f>_xlfn.XLOOKUP($A666,Games!$A$2:$A$18,Games!$L$2:$L$18,"Missing game",0)</x:f>
        <x:v>45</x:v>
      </x:c>
      <x:c r="AR666" t="n">
        <x:f>_xlfn.XLOOKUP($A666,Games!$A$2:$A$18,Games!$M$2:$M$18,"Missing game",0)</x:f>
        <x:v>0</x:v>
      </x:c>
      <x:c r="AS666" t="str">
        <x:f>_xlfn.XLOOKUP($A666,Games!$A$2:$A$18,Games!$N$2:$N$18,"Missing game",0)</x:f>
        <x:v>outdoors</x:v>
      </x:c>
      <x:c r="AT666" t="str">
        <x:f>_xlfn.XLOOKUP($A666,Games!$A$2:$A$18,Games!$O$2:$O$18,"Missing game",0)</x:f>
        <x:v>grass</x:v>
      </x:c>
      <x:c r="AU666" t="n">
        <x:f>_xlfn.XLOOKUP($A666,Games!$A$2:$A$18,Games!$P$2:$P$18,"Missing game",0)</x:f>
        <x:v>61</x:v>
      </x:c>
      <x:c r="AV666" t="n">
        <x:f>_xlfn.XLOOKUP($A666,Games!$A$2:$A$18,Games!$Q$2:$Q$18,"Missing game",0)</x:f>
        <x:v>5</x:v>
      </x:c>
      <x:c r="AW666" t="str">
        <x:f>_xlfn.XLOOKUP($A666,Games!$A$2:$A$18,Games!$R$2:$R$18,"Missing game",0)</x:f>
        <x:v>Acrisure Stadium</x:v>
      </x:c>
    </x:row>
    <x:row r="667">
      <x:c r="A667" t="str">
        <x:v>2025_04_MIN_PIT</x:v>
      </x:c>
      <x:c r="B667" t="n">
        <x:v>4258</x:v>
      </x:c>
      <x:c r="C667" t="n">
        <x:v>4</x:v>
      </x:c>
      <x:c r="D667" t="str">
        <x:v>00:43</x:v>
      </x:c>
      <x:c r="E667" t="n">
        <x:v>1</x:v>
      </x:c>
      <x:c r="F667" t="n">
        <x:v>10</x:v>
      </x:c>
      <x:c r="G667" t="str">
        <x:v>MIN</x:v>
      </x:c>
      <x:c r="H667" t="str">
        <x:v>PIT</x:v>
      </x:c>
      <x:c r="I667" t="str">
        <x:v>MIN</x:v>
      </x:c>
      <x:c r="J667" t="n">
        <x:v>61</x:v>
      </x:c>
      <x:c r="K667" t="str">
        <x:v>(:43) (Shotgun) 11-C.Wentz pass incomplete short left [51-N.Herbig]. PENALTY on MIN-11-C.Wentz, Intentional Grounding, 16 yards, enforced at MIN 39.</x:v>
      </x:c>
      <x:c r="L667" t="str">
        <x:v>pass</x:v>
      </x:c>
      <x:c r="M667" t="n">
        <x:v>0</x:v>
      </x:c>
      <x:c r="N667" t="n">
        <x:v>1</x:v>
      </x:c>
      <x:c r="O667" t="n">
        <x:v>0</x:v>
      </x:c>
      <x:c r="P667" t="str">
        <x:v>short</x:v>
      </x:c>
      <x:c r="Q667" t="str">
        <x:v>left</x:v>
      </x:c>
      <x:c r="R667" t="n">
        <x:v>-13</x:v>
      </x:c>
      <x:c r="S667"/>
      <x:c r="T667"/>
      <x:c r="U667"/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1</x:v>
      </x:c>
      <x:c r="AB667" t="n">
        <x:v>16</x:v>
      </x:c>
      <x:c r="AC667" t="n">
        <x:v>0</x:v>
      </x:c>
      <x:c r="AD667" t="n">
        <x:v>-0.5673378559877165</x:v>
      </x:c>
      <x:c r="AE667" t="n">
        <x:v>0</x:v>
      </x:c>
      <x:c r="AF667" t="n">
        <x:v>-0.15123073011636734</x:v>
      </x:c>
      <x:c r="AG667" t="n">
        <x:f>_xlfn.XLOOKUP($A667,Games!$A$2:$A$18,Games!$B$2:$B$18,"Missing game",0)</x:f>
        <x:v>2025</x:v>
      </x:c>
      <x:c r="AH667" t="str">
        <x:f>_xlfn.XLOOKUP($A667,Games!$A$2:$A$18,Games!$C$2:$C$18,"Missing game",0)</x:f>
        <x:v>REG</x:v>
      </x:c>
      <x:c r="AI667" t="n">
        <x:f>_xlfn.XLOOKUP($A667,Games!$A$2:$A$18,Games!$D$2:$D$18,"Missing game",0)</x:f>
        <x:v>4</x:v>
      </x:c>
      <x:c r="AJ667" s="1" t="n">
        <x:f>_xlfn.XLOOKUP($A667,Games!$A$2:$A$18,Games!$E$2:$E$18,"Missing game",0)</x:f>
        <x:v>45928</x:v>
      </x:c>
      <x:c r="AK667" t="str">
        <x:f>_xlfn.XLOOKUP($A667,Games!$A$2:$A$18,Games!$F$2:$F$18,"Missing game",0)</x:f>
        <x:v>Sunday</x:v>
      </x:c>
      <x:c r="AL667" t="str">
        <x:f>_xlfn.XLOOKUP($A667,Games!$A$2:$A$18,Games!$G$2:$G$18,"Missing game",0)</x:f>
        <x:v>MIN</x:v>
      </x:c>
      <x:c r="AM667" t="n">
        <x:f>_xlfn.XLOOKUP($A667,Games!$A$2:$A$18,Games!$H$2:$H$18,"Missing game",0)</x:f>
        <x:v>21</x:v>
      </x:c>
      <x:c r="AN667" t="str">
        <x:f>_xlfn.XLOOKUP($A667,Games!$A$2:$A$18,Games!$I$2:$I$18,"Missing game",0)</x:f>
        <x:v>PIT</x:v>
      </x:c>
      <x:c r="AO667" t="n">
        <x:f>_xlfn.XLOOKUP($A667,Games!$A$2:$A$18,Games!$J$2:$J$18,"Missing game",0)</x:f>
        <x:v>24</x:v>
      </x:c>
      <x:c r="AP667" t="n">
        <x:f>_xlfn.XLOOKUP($A667,Games!$A$2:$A$18,Games!$K$2:$K$18,"Missing game",0)</x:f>
        <x:v>3</x:v>
      </x:c>
      <x:c r="AQ667" t="n">
        <x:f>_xlfn.XLOOKUP($A667,Games!$A$2:$A$18,Games!$L$2:$L$18,"Missing game",0)</x:f>
        <x:v>45</x:v>
      </x:c>
      <x:c r="AR667" t="n">
        <x:f>_xlfn.XLOOKUP($A667,Games!$A$2:$A$18,Games!$M$2:$M$18,"Missing game",0)</x:f>
        <x:v>0</x:v>
      </x:c>
      <x:c r="AS667" t="str">
        <x:f>_xlfn.XLOOKUP($A667,Games!$A$2:$A$18,Games!$N$2:$N$18,"Missing game",0)</x:f>
        <x:v>outdoors</x:v>
      </x:c>
      <x:c r="AT667" t="str">
        <x:f>_xlfn.XLOOKUP($A667,Games!$A$2:$A$18,Games!$O$2:$O$18,"Missing game",0)</x:f>
        <x:v>grass</x:v>
      </x:c>
      <x:c r="AU667" t="n">
        <x:f>_xlfn.XLOOKUP($A667,Games!$A$2:$A$18,Games!$P$2:$P$18,"Missing game",0)</x:f>
        <x:v>61</x:v>
      </x:c>
      <x:c r="AV667" t="n">
        <x:f>_xlfn.XLOOKUP($A667,Games!$A$2:$A$18,Games!$Q$2:$Q$18,"Missing game",0)</x:f>
        <x:v>5</x:v>
      </x:c>
      <x:c r="AW667" t="str">
        <x:f>_xlfn.XLOOKUP($A667,Games!$A$2:$A$18,Games!$R$2:$R$18,"Missing game",0)</x:f>
        <x:v>Acrisure Stadium</x:v>
      </x:c>
    </x:row>
    <x:row r="668">
      <x:c r="A668" t="str">
        <x:v>2025_04_MIN_PIT</x:v>
      </x:c>
      <x:c r="B668" t="n">
        <x:v>4292</x:v>
      </x:c>
      <x:c r="C668" t="n">
        <x:v>4</x:v>
      </x:c>
      <x:c r="D668" t="str">
        <x:v>00:28</x:v>
      </x:c>
      <x:c r="E668" t="n">
        <x:v>2</x:v>
      </x:c>
      <x:c r="F668" t="n">
        <x:v>26</x:v>
      </x:c>
      <x:c r="G668" t="str">
        <x:v>MIN</x:v>
      </x:c>
      <x:c r="H668" t="str">
        <x:v>PIT</x:v>
      </x:c>
      <x:c r="I668" t="str">
        <x:v>MIN</x:v>
      </x:c>
      <x:c r="J668" t="n">
        <x:v>77</x:v>
      </x:c>
      <x:c r="K668" t="str">
        <x:v>(:28) (Shotgun) 11-C.Wentz pass short middle to 87-T.Hockenson to MIN 37 for 14 yards (6-P.Queen).</x:v>
      </x:c>
      <x:c r="L668" t="str">
        <x:v>pass</x:v>
      </x:c>
      <x:c r="M668" t="n">
        <x:v>14</x:v>
      </x:c>
      <x:c r="N668" t="n">
        <x:v>1</x:v>
      </x:c>
      <x:c r="O668" t="n">
        <x:v>0</x:v>
      </x:c>
      <x:c r="P668" t="str">
        <x:v>short</x:v>
      </x:c>
      <x:c r="Q668" t="str">
        <x:v>middle</x:v>
      </x:c>
      <x:c r="R668" t="n">
        <x:v>2</x:v>
      </x:c>
      <x:c r="S668" t="n">
        <x:v>12</x:v>
      </x:c>
      <x:c r="T668"/>
      <x:c r="U668"/>
      <x:c r="V668" t="n">
        <x:v>1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/>
      <x:c r="AC668" t="n">
        <x:v>0</x:v>
      </x:c>
      <x:c r="AD668" t="n">
        <x:v>0.03325933337328024</x:v>
      </x:c>
      <x:c r="AE668" t="n">
        <x:v>1</x:v>
      </x:c>
      <x:c r="AF668" t="n">
        <x:v>0.02932605892419815</x:v>
      </x:c>
      <x:c r="AG668" t="n">
        <x:f>_xlfn.XLOOKUP($A668,Games!$A$2:$A$18,Games!$B$2:$B$18,"Missing game",0)</x:f>
        <x:v>2025</x:v>
      </x:c>
      <x:c r="AH668" t="str">
        <x:f>_xlfn.XLOOKUP($A668,Games!$A$2:$A$18,Games!$C$2:$C$18,"Missing game",0)</x:f>
        <x:v>REG</x:v>
      </x:c>
      <x:c r="AI668" t="n">
        <x:f>_xlfn.XLOOKUP($A668,Games!$A$2:$A$18,Games!$D$2:$D$18,"Missing game",0)</x:f>
        <x:v>4</x:v>
      </x:c>
      <x:c r="AJ668" s="1" t="n">
        <x:f>_xlfn.XLOOKUP($A668,Games!$A$2:$A$18,Games!$E$2:$E$18,"Missing game",0)</x:f>
        <x:v>45928</x:v>
      </x:c>
      <x:c r="AK668" t="str">
        <x:f>_xlfn.XLOOKUP($A668,Games!$A$2:$A$18,Games!$F$2:$F$18,"Missing game",0)</x:f>
        <x:v>Sunday</x:v>
      </x:c>
      <x:c r="AL668" t="str">
        <x:f>_xlfn.XLOOKUP($A668,Games!$A$2:$A$18,Games!$G$2:$G$18,"Missing game",0)</x:f>
        <x:v>MIN</x:v>
      </x:c>
      <x:c r="AM668" t="n">
        <x:f>_xlfn.XLOOKUP($A668,Games!$A$2:$A$18,Games!$H$2:$H$18,"Missing game",0)</x:f>
        <x:v>21</x:v>
      </x:c>
      <x:c r="AN668" t="str">
        <x:f>_xlfn.XLOOKUP($A668,Games!$A$2:$A$18,Games!$I$2:$I$18,"Missing game",0)</x:f>
        <x:v>PIT</x:v>
      </x:c>
      <x:c r="AO668" t="n">
        <x:f>_xlfn.XLOOKUP($A668,Games!$A$2:$A$18,Games!$J$2:$J$18,"Missing game",0)</x:f>
        <x:v>24</x:v>
      </x:c>
      <x:c r="AP668" t="n">
        <x:f>_xlfn.XLOOKUP($A668,Games!$A$2:$A$18,Games!$K$2:$K$18,"Missing game",0)</x:f>
        <x:v>3</x:v>
      </x:c>
      <x:c r="AQ668" t="n">
        <x:f>_xlfn.XLOOKUP($A668,Games!$A$2:$A$18,Games!$L$2:$L$18,"Missing game",0)</x:f>
        <x:v>45</x:v>
      </x:c>
      <x:c r="AR668" t="n">
        <x:f>_xlfn.XLOOKUP($A668,Games!$A$2:$A$18,Games!$M$2:$M$18,"Missing game",0)</x:f>
        <x:v>0</x:v>
      </x:c>
      <x:c r="AS668" t="str">
        <x:f>_xlfn.XLOOKUP($A668,Games!$A$2:$A$18,Games!$N$2:$N$18,"Missing game",0)</x:f>
        <x:v>outdoors</x:v>
      </x:c>
      <x:c r="AT668" t="str">
        <x:f>_xlfn.XLOOKUP($A668,Games!$A$2:$A$18,Games!$O$2:$O$18,"Missing game",0)</x:f>
        <x:v>grass</x:v>
      </x:c>
      <x:c r="AU668" t="n">
        <x:f>_xlfn.XLOOKUP($A668,Games!$A$2:$A$18,Games!$P$2:$P$18,"Missing game",0)</x:f>
        <x:v>61</x:v>
      </x:c>
      <x:c r="AV668" t="n">
        <x:f>_xlfn.XLOOKUP($A668,Games!$A$2:$A$18,Games!$Q$2:$Q$18,"Missing game",0)</x:f>
        <x:v>5</x:v>
      </x:c>
      <x:c r="AW668" t="str">
        <x:f>_xlfn.XLOOKUP($A668,Games!$A$2:$A$18,Games!$R$2:$R$18,"Missing game",0)</x:f>
        <x:v>Acrisure Stadium</x:v>
      </x:c>
    </x:row>
    <x:row r="669">
      <x:c r="A669" t="str">
        <x:v>2025_04_MIN_PIT</x:v>
      </x:c>
      <x:c r="B669" t="n">
        <x:v>4317</x:v>
      </x:c>
      <x:c r="C669" t="n">
        <x:v>4</x:v>
      </x:c>
      <x:c r="D669" t="str">
        <x:v>00:15</x:v>
      </x:c>
      <x:c r="E669" t="n">
        <x:v>3</x:v>
      </x:c>
      <x:c r="F669" t="n">
        <x:v>12</x:v>
      </x:c>
      <x:c r="G669" t="str">
        <x:v>MIN</x:v>
      </x:c>
      <x:c r="H669" t="str">
        <x:v>PIT</x:v>
      </x:c>
      <x:c r="I669" t="str">
        <x:v>MIN</x:v>
      </x:c>
      <x:c r="J669" t="n">
        <x:v>63</x:v>
      </x:c>
      <x:c r="K669" t="str">
        <x:v>(:15) (No Huddle) 11-C.Wentz spiked the ball to stop the clock.</x:v>
      </x:c>
      <x:c r="L669" t="str">
        <x:v>qb_spike</x:v>
      </x:c>
      <x:c r="M669" t="n">
        <x:v>0</x:v>
      </x:c>
      <x:c r="N669" t="n">
        <x:v>0</x:v>
      </x:c>
      <x:c r="O669" t="n">
        <x:v>1</x:v>
      </x:c>
      <x:c r="P669"/>
      <x:c r="Q669"/>
      <x:c r="R669" t="n">
        <x:v>0</x:v>
      </x:c>
      <x:c r="S669"/>
      <x:c r="T669"/>
      <x:c r="U669"/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/>
      <x:c r="AC669" t="n">
        <x:v>0</x:v>
      </x:c>
      <x:c r="AD669" t="n">
        <x:v>-0.07807284893351607</x:v>
      </x:c>
      <x:c r="AE669" t="n">
        <x:v>0</x:v>
      </x:c>
      <x:c r="AF669" t="n">
        <x:v>-0.05386602133512497</x:v>
      </x:c>
      <x:c r="AG669" t="n">
        <x:f>_xlfn.XLOOKUP($A669,Games!$A$2:$A$18,Games!$B$2:$B$18,"Missing game",0)</x:f>
        <x:v>2025</x:v>
      </x:c>
      <x:c r="AH669" t="str">
        <x:f>_xlfn.XLOOKUP($A669,Games!$A$2:$A$18,Games!$C$2:$C$18,"Missing game",0)</x:f>
        <x:v>REG</x:v>
      </x:c>
      <x:c r="AI669" t="n">
        <x:f>_xlfn.XLOOKUP($A669,Games!$A$2:$A$18,Games!$D$2:$D$18,"Missing game",0)</x:f>
        <x:v>4</x:v>
      </x:c>
      <x:c r="AJ669" s="1" t="n">
        <x:f>_xlfn.XLOOKUP($A669,Games!$A$2:$A$18,Games!$E$2:$E$18,"Missing game",0)</x:f>
        <x:v>45928</x:v>
      </x:c>
      <x:c r="AK669" t="str">
        <x:f>_xlfn.XLOOKUP($A669,Games!$A$2:$A$18,Games!$F$2:$F$18,"Missing game",0)</x:f>
        <x:v>Sunday</x:v>
      </x:c>
      <x:c r="AL669" t="str">
        <x:f>_xlfn.XLOOKUP($A669,Games!$A$2:$A$18,Games!$G$2:$G$18,"Missing game",0)</x:f>
        <x:v>MIN</x:v>
      </x:c>
      <x:c r="AM669" t="n">
        <x:f>_xlfn.XLOOKUP($A669,Games!$A$2:$A$18,Games!$H$2:$H$18,"Missing game",0)</x:f>
        <x:v>21</x:v>
      </x:c>
      <x:c r="AN669" t="str">
        <x:f>_xlfn.XLOOKUP($A669,Games!$A$2:$A$18,Games!$I$2:$I$18,"Missing game",0)</x:f>
        <x:v>PIT</x:v>
      </x:c>
      <x:c r="AO669" t="n">
        <x:f>_xlfn.XLOOKUP($A669,Games!$A$2:$A$18,Games!$J$2:$J$18,"Missing game",0)</x:f>
        <x:v>24</x:v>
      </x:c>
      <x:c r="AP669" t="n">
        <x:f>_xlfn.XLOOKUP($A669,Games!$A$2:$A$18,Games!$K$2:$K$18,"Missing game",0)</x:f>
        <x:v>3</x:v>
      </x:c>
      <x:c r="AQ669" t="n">
        <x:f>_xlfn.XLOOKUP($A669,Games!$A$2:$A$18,Games!$L$2:$L$18,"Missing game",0)</x:f>
        <x:v>45</x:v>
      </x:c>
      <x:c r="AR669" t="n">
        <x:f>_xlfn.XLOOKUP($A669,Games!$A$2:$A$18,Games!$M$2:$M$18,"Missing game",0)</x:f>
        <x:v>0</x:v>
      </x:c>
      <x:c r="AS669" t="str">
        <x:f>_xlfn.XLOOKUP($A669,Games!$A$2:$A$18,Games!$N$2:$N$18,"Missing game",0)</x:f>
        <x:v>outdoors</x:v>
      </x:c>
      <x:c r="AT669" t="str">
        <x:f>_xlfn.XLOOKUP($A669,Games!$A$2:$A$18,Games!$O$2:$O$18,"Missing game",0)</x:f>
        <x:v>grass</x:v>
      </x:c>
      <x:c r="AU669" t="n">
        <x:f>_xlfn.XLOOKUP($A669,Games!$A$2:$A$18,Games!$P$2:$P$18,"Missing game",0)</x:f>
        <x:v>61</x:v>
      </x:c>
      <x:c r="AV669" t="n">
        <x:f>_xlfn.XLOOKUP($A669,Games!$A$2:$A$18,Games!$Q$2:$Q$18,"Missing game",0)</x:f>
        <x:v>5</x:v>
      </x:c>
      <x:c r="AW669" t="str">
        <x:f>_xlfn.XLOOKUP($A669,Games!$A$2:$A$18,Games!$R$2:$R$18,"Missing game",0)</x:f>
        <x:v>Acrisure Stadium</x:v>
      </x:c>
    </x:row>
    <x:row r="670">
      <x:c r="A670" t="str">
        <x:v>2025_04_MIN_PIT</x:v>
      </x:c>
      <x:c r="B670" t="n">
        <x:v>4340</x:v>
      </x:c>
      <x:c r="C670" t="n">
        <x:v>4</x:v>
      </x:c>
      <x:c r="D670" t="str">
        <x:v>00:14</x:v>
      </x:c>
      <x:c r="E670" t="n">
        <x:v>4</x:v>
      </x:c>
      <x:c r="F670" t="n">
        <x:v>12</x:v>
      </x:c>
      <x:c r="G670" t="str">
        <x:v>MIN</x:v>
      </x:c>
      <x:c r="H670" t="str">
        <x:v>PIT</x:v>
      </x:c>
      <x:c r="I670" t="str">
        <x:v>MIN</x:v>
      </x:c>
      <x:c r="J670" t="n">
        <x:v>63</x:v>
      </x:c>
      <x:c r="K670" t="str">
        <x:v>(:14) (Shotgun) PENALTY on MIN, Delay of Game, 5 yards, enforced at MIN 37 - No Play.</x:v>
      </x:c>
      <x:c r="L670" t="str">
        <x:v>no_play</x:v>
      </x:c>
      <x:c r="M670" t="n">
        <x:v>0</x:v>
      </x:c>
      <x:c r="N670" t="n">
        <x:v>1</x:v>
      </x:c>
      <x:c r="O670" t="n">
        <x:v>0</x:v>
      </x:c>
      <x:c r="P670"/>
      <x:c r="Q670"/>
      <x:c r="R670"/>
      <x:c r="S670"/>
      <x:c r="T670"/>
      <x:c r="U670"/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1</x:v>
      </x:c>
      <x:c r="AB670" t="n">
        <x:v>5</x:v>
      </x:c>
      <x:c r="AC670" t="n">
        <x:v>0</x:v>
      </x:c>
      <x:c r="AD670" t="n">
        <x:v>-0.0354144653538242</x:v>
      </x:c>
      <x:c r="AE670" t="n">
        <x:v>0</x:v>
      </x:c>
      <x:c r="AF670" t="n">
        <x:v>0.0019824057817459106</x:v>
      </x:c>
      <x:c r="AG670" t="n">
        <x:f>_xlfn.XLOOKUP($A670,Games!$A$2:$A$18,Games!$B$2:$B$18,"Missing game",0)</x:f>
        <x:v>2025</x:v>
      </x:c>
      <x:c r="AH670" t="str">
        <x:f>_xlfn.XLOOKUP($A670,Games!$A$2:$A$18,Games!$C$2:$C$18,"Missing game",0)</x:f>
        <x:v>REG</x:v>
      </x:c>
      <x:c r="AI670" t="n">
        <x:f>_xlfn.XLOOKUP($A670,Games!$A$2:$A$18,Games!$D$2:$D$18,"Missing game",0)</x:f>
        <x:v>4</x:v>
      </x:c>
      <x:c r="AJ670" s="1" t="n">
        <x:f>_xlfn.XLOOKUP($A670,Games!$A$2:$A$18,Games!$E$2:$E$18,"Missing game",0)</x:f>
        <x:v>45928</x:v>
      </x:c>
      <x:c r="AK670" t="str">
        <x:f>_xlfn.XLOOKUP($A670,Games!$A$2:$A$18,Games!$F$2:$F$18,"Missing game",0)</x:f>
        <x:v>Sunday</x:v>
      </x:c>
      <x:c r="AL670" t="str">
        <x:f>_xlfn.XLOOKUP($A670,Games!$A$2:$A$18,Games!$G$2:$G$18,"Missing game",0)</x:f>
        <x:v>MIN</x:v>
      </x:c>
      <x:c r="AM670" t="n">
        <x:f>_xlfn.XLOOKUP($A670,Games!$A$2:$A$18,Games!$H$2:$H$18,"Missing game",0)</x:f>
        <x:v>21</x:v>
      </x:c>
      <x:c r="AN670" t="str">
        <x:f>_xlfn.XLOOKUP($A670,Games!$A$2:$A$18,Games!$I$2:$I$18,"Missing game",0)</x:f>
        <x:v>PIT</x:v>
      </x:c>
      <x:c r="AO670" t="n">
        <x:f>_xlfn.XLOOKUP($A670,Games!$A$2:$A$18,Games!$J$2:$J$18,"Missing game",0)</x:f>
        <x:v>24</x:v>
      </x:c>
      <x:c r="AP670" t="n">
        <x:f>_xlfn.XLOOKUP($A670,Games!$A$2:$A$18,Games!$K$2:$K$18,"Missing game",0)</x:f>
        <x:v>3</x:v>
      </x:c>
      <x:c r="AQ670" t="n">
        <x:f>_xlfn.XLOOKUP($A670,Games!$A$2:$A$18,Games!$L$2:$L$18,"Missing game",0)</x:f>
        <x:v>45</x:v>
      </x:c>
      <x:c r="AR670" t="n">
        <x:f>_xlfn.XLOOKUP($A670,Games!$A$2:$A$18,Games!$M$2:$M$18,"Missing game",0)</x:f>
        <x:v>0</x:v>
      </x:c>
      <x:c r="AS670" t="str">
        <x:f>_xlfn.XLOOKUP($A670,Games!$A$2:$A$18,Games!$N$2:$N$18,"Missing game",0)</x:f>
        <x:v>outdoors</x:v>
      </x:c>
      <x:c r="AT670" t="str">
        <x:f>_xlfn.XLOOKUP($A670,Games!$A$2:$A$18,Games!$O$2:$O$18,"Missing game",0)</x:f>
        <x:v>grass</x:v>
      </x:c>
      <x:c r="AU670" t="n">
        <x:f>_xlfn.XLOOKUP($A670,Games!$A$2:$A$18,Games!$P$2:$P$18,"Missing game",0)</x:f>
        <x:v>61</x:v>
      </x:c>
      <x:c r="AV670" t="n">
        <x:f>_xlfn.XLOOKUP($A670,Games!$A$2:$A$18,Games!$Q$2:$Q$18,"Missing game",0)</x:f>
        <x:v>5</x:v>
      </x:c>
      <x:c r="AW670" t="str">
        <x:f>_xlfn.XLOOKUP($A670,Games!$A$2:$A$18,Games!$R$2:$R$18,"Missing game",0)</x:f>
        <x:v>Acrisure Stadium</x:v>
      </x:c>
    </x:row>
    <x:row r="671">
      <x:c r="A671" t="str">
        <x:v>2025_04_MIN_PIT</x:v>
      </x:c>
      <x:c r="B671" t="n">
        <x:v>4364</x:v>
      </x:c>
      <x:c r="C671" t="n">
        <x:v>4</x:v>
      </x:c>
      <x:c r="D671" t="str">
        <x:v>00:14</x:v>
      </x:c>
      <x:c r="E671" t="n">
        <x:v>4</x:v>
      </x:c>
      <x:c r="F671" t="n">
        <x:v>17</x:v>
      </x:c>
      <x:c r="G671" t="str">
        <x:v>MIN</x:v>
      </x:c>
      <x:c r="H671" t="str">
        <x:v>PIT</x:v>
      </x:c>
      <x:c r="I671" t="str">
        <x:v>MIN</x:v>
      </x:c>
      <x:c r="J671" t="n">
        <x:v>68</x:v>
      </x:c>
      <x:c r="K671" t="str">
        <x:v>(:14) (Shotgun) 11-C.Wentz pass incomplete deep middle to 3-J.Addison (25-D.Elliott).</x:v>
      </x:c>
      <x:c r="L671" t="str">
        <x:v>pass</x:v>
      </x:c>
      <x:c r="M671" t="n">
        <x:v>0</x:v>
      </x:c>
      <x:c r="N671" t="n">
        <x:v>1</x:v>
      </x:c>
      <x:c r="O671" t="n">
        <x:v>0</x:v>
      </x:c>
      <x:c r="P671" t="str">
        <x:v>deep</x:v>
      </x:c>
      <x:c r="Q671" t="str">
        <x:v>middle</x:v>
      </x:c>
      <x:c r="R671" t="n">
        <x:v>20</x:v>
      </x:c>
      <x:c r="S671"/>
      <x:c r="T671"/>
      <x:c r="U671"/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/>
      <x:c r="AC671" t="n">
        <x:v>0</x:v>
      </x:c>
      <x:c r="AD671" t="n">
        <x:v>-1.3276411854894832</x:v>
      </x:c>
      <x:c r="AE671" t="n">
        <x:v>0</x:v>
      </x:c>
      <x:c r="AF671" t="n">
        <x:v>-0.04847723990678787</x:v>
      </x:c>
      <x:c r="AG671" t="n">
        <x:f>_xlfn.XLOOKUP($A671,Games!$A$2:$A$18,Games!$B$2:$B$18,"Missing game",0)</x:f>
        <x:v>2025</x:v>
      </x:c>
      <x:c r="AH671" t="str">
        <x:f>_xlfn.XLOOKUP($A671,Games!$A$2:$A$18,Games!$C$2:$C$18,"Missing game",0)</x:f>
        <x:v>REG</x:v>
      </x:c>
      <x:c r="AI671" t="n">
        <x:f>_xlfn.XLOOKUP($A671,Games!$A$2:$A$18,Games!$D$2:$D$18,"Missing game",0)</x:f>
        <x:v>4</x:v>
      </x:c>
      <x:c r="AJ671" s="1" t="n">
        <x:f>_xlfn.XLOOKUP($A671,Games!$A$2:$A$18,Games!$E$2:$E$18,"Missing game",0)</x:f>
        <x:v>45928</x:v>
      </x:c>
      <x:c r="AK671" t="str">
        <x:f>_xlfn.XLOOKUP($A671,Games!$A$2:$A$18,Games!$F$2:$F$18,"Missing game",0)</x:f>
        <x:v>Sunday</x:v>
      </x:c>
      <x:c r="AL671" t="str">
        <x:f>_xlfn.XLOOKUP($A671,Games!$A$2:$A$18,Games!$G$2:$G$18,"Missing game",0)</x:f>
        <x:v>MIN</x:v>
      </x:c>
      <x:c r="AM671" t="n">
        <x:f>_xlfn.XLOOKUP($A671,Games!$A$2:$A$18,Games!$H$2:$H$18,"Missing game",0)</x:f>
        <x:v>21</x:v>
      </x:c>
      <x:c r="AN671" t="str">
        <x:f>_xlfn.XLOOKUP($A671,Games!$A$2:$A$18,Games!$I$2:$I$18,"Missing game",0)</x:f>
        <x:v>PIT</x:v>
      </x:c>
      <x:c r="AO671" t="n">
        <x:f>_xlfn.XLOOKUP($A671,Games!$A$2:$A$18,Games!$J$2:$J$18,"Missing game",0)</x:f>
        <x:v>24</x:v>
      </x:c>
      <x:c r="AP671" t="n">
        <x:f>_xlfn.XLOOKUP($A671,Games!$A$2:$A$18,Games!$K$2:$K$18,"Missing game",0)</x:f>
        <x:v>3</x:v>
      </x:c>
      <x:c r="AQ671" t="n">
        <x:f>_xlfn.XLOOKUP($A671,Games!$A$2:$A$18,Games!$L$2:$L$18,"Missing game",0)</x:f>
        <x:v>45</x:v>
      </x:c>
      <x:c r="AR671" t="n">
        <x:f>_xlfn.XLOOKUP($A671,Games!$A$2:$A$18,Games!$M$2:$M$18,"Missing game",0)</x:f>
        <x:v>0</x:v>
      </x:c>
      <x:c r="AS671" t="str">
        <x:f>_xlfn.XLOOKUP($A671,Games!$A$2:$A$18,Games!$N$2:$N$18,"Missing game",0)</x:f>
        <x:v>outdoors</x:v>
      </x:c>
      <x:c r="AT671" t="str">
        <x:f>_xlfn.XLOOKUP($A671,Games!$A$2:$A$18,Games!$O$2:$O$18,"Missing game",0)</x:f>
        <x:v>grass</x:v>
      </x:c>
      <x:c r="AU671" t="n">
        <x:f>_xlfn.XLOOKUP($A671,Games!$A$2:$A$18,Games!$P$2:$P$18,"Missing game",0)</x:f>
        <x:v>61</x:v>
      </x:c>
      <x:c r="AV671" t="n">
        <x:f>_xlfn.XLOOKUP($A671,Games!$A$2:$A$18,Games!$Q$2:$Q$18,"Missing game",0)</x:f>
        <x:v>5</x:v>
      </x:c>
      <x:c r="AW671" t="str">
        <x:f>_xlfn.XLOOKUP($A671,Games!$A$2:$A$18,Games!$R$2:$R$18,"Missing game",0)</x:f>
        <x:v>Acrisure Stadium</x:v>
      </x:c>
    </x:row>
    <x:row r="672">
      <x:c r="A672" t="str">
        <x:v>2025_04_MIN_PIT</x:v>
      </x:c>
      <x:c r="B672" t="n">
        <x:v>4387</x:v>
      </x:c>
      <x:c r="C672" t="n">
        <x:v>4</x:v>
      </x:c>
      <x:c r="D672" t="str">
        <x:v>00:08</x:v>
      </x:c>
      <x:c r="E672" t="n">
        <x:v>1</x:v>
      </x:c>
      <x:c r="F672" t="n">
        <x:v>10</x:v>
      </x:c>
      <x:c r="G672" t="str">
        <x:v>PIT</x:v>
      </x:c>
      <x:c r="H672" t="str">
        <x:v>MIN</x:v>
      </x:c>
      <x:c r="I672" t="str">
        <x:v>MIN</x:v>
      </x:c>
      <x:c r="J672" t="n">
        <x:v>32</x:v>
      </x:c>
      <x:c r="K672" t="str">
        <x:v>(:08) 8-A.Rodgers kneels to MIN 33 for -1 yards.</x:v>
      </x:c>
      <x:c r="L672" t="str">
        <x:v>qb_kneel</x:v>
      </x:c>
      <x:c r="M672" t="n">
        <x:v>-1</x:v>
      </x:c>
      <x:c r="N672" t="n">
        <x:v>0</x:v>
      </x:c>
      <x:c r="O672" t="n">
        <x:v>0</x:v>
      </x:c>
      <x:c r="P672"/>
      <x:c r="Q672"/>
      <x:c r="R672"/>
      <x:c r="S672"/>
      <x:c r="T672"/>
      <x:c r="U672"/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/>
      <x:c r="AC672" t="n">
        <x:v>0</x:v>
      </x:c>
      <x:c r="AD672" t="n">
        <x:v>-1.3868606180767529</x:v>
      </x:c>
      <x:c r="AE672" t="n">
        <x:v>0</x:v>
      </x:c>
      <x:c r="AF672"/>
      <x:c r="AG672" t="n">
        <x:f>_xlfn.XLOOKUP($A672,Games!$A$2:$A$18,Games!$B$2:$B$18,"Missing game",0)</x:f>
        <x:v>2025</x:v>
      </x:c>
      <x:c r="AH672" t="str">
        <x:f>_xlfn.XLOOKUP($A672,Games!$A$2:$A$18,Games!$C$2:$C$18,"Missing game",0)</x:f>
        <x:v>REG</x:v>
      </x:c>
      <x:c r="AI672" t="n">
        <x:f>_xlfn.XLOOKUP($A672,Games!$A$2:$A$18,Games!$D$2:$D$18,"Missing game",0)</x:f>
        <x:v>4</x:v>
      </x:c>
      <x:c r="AJ672" s="1" t="n">
        <x:f>_xlfn.XLOOKUP($A672,Games!$A$2:$A$18,Games!$E$2:$E$18,"Missing game",0)</x:f>
        <x:v>45928</x:v>
      </x:c>
      <x:c r="AK672" t="str">
        <x:f>_xlfn.XLOOKUP($A672,Games!$A$2:$A$18,Games!$F$2:$F$18,"Missing game",0)</x:f>
        <x:v>Sunday</x:v>
      </x:c>
      <x:c r="AL672" t="str">
        <x:f>_xlfn.XLOOKUP($A672,Games!$A$2:$A$18,Games!$G$2:$G$18,"Missing game",0)</x:f>
        <x:v>MIN</x:v>
      </x:c>
      <x:c r="AM672" t="n">
        <x:f>_xlfn.XLOOKUP($A672,Games!$A$2:$A$18,Games!$H$2:$H$18,"Missing game",0)</x:f>
        <x:v>21</x:v>
      </x:c>
      <x:c r="AN672" t="str">
        <x:f>_xlfn.XLOOKUP($A672,Games!$A$2:$A$18,Games!$I$2:$I$18,"Missing game",0)</x:f>
        <x:v>PIT</x:v>
      </x:c>
      <x:c r="AO672" t="n">
        <x:f>_xlfn.XLOOKUP($A672,Games!$A$2:$A$18,Games!$J$2:$J$18,"Missing game",0)</x:f>
        <x:v>24</x:v>
      </x:c>
      <x:c r="AP672" t="n">
        <x:f>_xlfn.XLOOKUP($A672,Games!$A$2:$A$18,Games!$K$2:$K$18,"Missing game",0)</x:f>
        <x:v>3</x:v>
      </x:c>
      <x:c r="AQ672" t="n">
        <x:f>_xlfn.XLOOKUP($A672,Games!$A$2:$A$18,Games!$L$2:$L$18,"Missing game",0)</x:f>
        <x:v>45</x:v>
      </x:c>
      <x:c r="AR672" t="n">
        <x:f>_xlfn.XLOOKUP($A672,Games!$A$2:$A$18,Games!$M$2:$M$18,"Missing game",0)</x:f>
        <x:v>0</x:v>
      </x:c>
      <x:c r="AS672" t="str">
        <x:f>_xlfn.XLOOKUP($A672,Games!$A$2:$A$18,Games!$N$2:$N$18,"Missing game",0)</x:f>
        <x:v>outdoors</x:v>
      </x:c>
      <x:c r="AT672" t="str">
        <x:f>_xlfn.XLOOKUP($A672,Games!$A$2:$A$18,Games!$O$2:$O$18,"Missing game",0)</x:f>
        <x:v>grass</x:v>
      </x:c>
      <x:c r="AU672" t="n">
        <x:f>_xlfn.XLOOKUP($A672,Games!$A$2:$A$18,Games!$P$2:$P$18,"Missing game",0)</x:f>
        <x:v>61</x:v>
      </x:c>
      <x:c r="AV672" t="n">
        <x:f>_xlfn.XLOOKUP($A672,Games!$A$2:$A$18,Games!$Q$2:$Q$18,"Missing game",0)</x:f>
        <x:v>5</x:v>
      </x:c>
      <x:c r="AW672" t="str">
        <x:f>_xlfn.XLOOKUP($A672,Games!$A$2:$A$18,Games!$R$2:$R$18,"Missing game",0)</x:f>
        <x:v>Acrisure Stadium</x:v>
      </x:c>
    </x:row>
    <x:row r="673">
      <x:c r="A673" t="str">
        <x:v>2025_04_MIN_PIT</x:v>
      </x:c>
      <x:c r="B673" t="n">
        <x:v>4409</x:v>
      </x:c>
      <x:c r="C673" t="n">
        <x:v>4</x:v>
      </x:c>
      <x:c r="D673" t="str">
        <x:v>00:00</x:v>
      </x:c>
      <x:c r="E673"/>
      <x:c r="F673" t="n">
        <x:v>0</x:v>
      </x:c>
      <x:c r="G673" t="str">
        <x:v>PIT</x:v>
      </x:c>
      <x:c r="H673" t="str">
        <x:v>MIN</x:v>
      </x:c>
      <x:c r="I673"/>
      <x:c r="J673"/>
      <x:c r="K673" t="str">
        <x:v>END GAME</x:v>
      </x:c>
      <x:c r="L673"/>
      <x:c r="M673"/>
      <x:c r="N673" t="n">
        <x:v>0</x:v>
      </x:c>
      <x:c r="O673" t="n">
        <x:v>0</x:v>
      </x:c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 t="n">
        <x:f>_xlfn.XLOOKUP($A673,Games!$A$2:$A$18,Games!$B$2:$B$18,"Missing game",0)</x:f>
        <x:v>2025</x:v>
      </x:c>
      <x:c r="AH673" t="str">
        <x:f>_xlfn.XLOOKUP($A673,Games!$A$2:$A$18,Games!$C$2:$C$18,"Missing game",0)</x:f>
        <x:v>REG</x:v>
      </x:c>
      <x:c r="AI673" t="n">
        <x:f>_xlfn.XLOOKUP($A673,Games!$A$2:$A$18,Games!$D$2:$D$18,"Missing game",0)</x:f>
        <x:v>4</x:v>
      </x:c>
      <x:c r="AJ673" s="1" t="n">
        <x:f>_xlfn.XLOOKUP($A673,Games!$A$2:$A$18,Games!$E$2:$E$18,"Missing game",0)</x:f>
        <x:v>45928</x:v>
      </x:c>
      <x:c r="AK673" t="str">
        <x:f>_xlfn.XLOOKUP($A673,Games!$A$2:$A$18,Games!$F$2:$F$18,"Missing game",0)</x:f>
        <x:v>Sunday</x:v>
      </x:c>
      <x:c r="AL673" t="str">
        <x:f>_xlfn.XLOOKUP($A673,Games!$A$2:$A$18,Games!$G$2:$G$18,"Missing game",0)</x:f>
        <x:v>MIN</x:v>
      </x:c>
      <x:c r="AM673" t="n">
        <x:f>_xlfn.XLOOKUP($A673,Games!$A$2:$A$18,Games!$H$2:$H$18,"Missing game",0)</x:f>
        <x:v>21</x:v>
      </x:c>
      <x:c r="AN673" t="str">
        <x:f>_xlfn.XLOOKUP($A673,Games!$A$2:$A$18,Games!$I$2:$I$18,"Missing game",0)</x:f>
        <x:v>PIT</x:v>
      </x:c>
      <x:c r="AO673" t="n">
        <x:f>_xlfn.XLOOKUP($A673,Games!$A$2:$A$18,Games!$J$2:$J$18,"Missing game",0)</x:f>
        <x:v>24</x:v>
      </x:c>
      <x:c r="AP673" t="n">
        <x:f>_xlfn.XLOOKUP($A673,Games!$A$2:$A$18,Games!$K$2:$K$18,"Missing game",0)</x:f>
        <x:v>3</x:v>
      </x:c>
      <x:c r="AQ673" t="n">
        <x:f>_xlfn.XLOOKUP($A673,Games!$A$2:$A$18,Games!$L$2:$L$18,"Missing game",0)</x:f>
        <x:v>45</x:v>
      </x:c>
      <x:c r="AR673" t="n">
        <x:f>_xlfn.XLOOKUP($A673,Games!$A$2:$A$18,Games!$M$2:$M$18,"Missing game",0)</x:f>
        <x:v>0</x:v>
      </x:c>
      <x:c r="AS673" t="str">
        <x:f>_xlfn.XLOOKUP($A673,Games!$A$2:$A$18,Games!$N$2:$N$18,"Missing game",0)</x:f>
        <x:v>outdoors</x:v>
      </x:c>
      <x:c r="AT673" t="str">
        <x:f>_xlfn.XLOOKUP($A673,Games!$A$2:$A$18,Games!$O$2:$O$18,"Missing game",0)</x:f>
        <x:v>grass</x:v>
      </x:c>
      <x:c r="AU673" t="n">
        <x:f>_xlfn.XLOOKUP($A673,Games!$A$2:$A$18,Games!$P$2:$P$18,"Missing game",0)</x:f>
        <x:v>61</x:v>
      </x:c>
      <x:c r="AV673" t="n">
        <x:f>_xlfn.XLOOKUP($A673,Games!$A$2:$A$18,Games!$Q$2:$Q$18,"Missing game",0)</x:f>
        <x:v>5</x:v>
      </x:c>
      <x:c r="AW673" t="str">
        <x:f>_xlfn.XLOOKUP($A673,Games!$A$2:$A$18,Games!$R$2:$R$18,"Missing game",0)</x:f>
        <x:v>Acrisure Stadium</x:v>
      </x:c>
    </x:row>
    <x:row r="674">
      <x:c r="A674" t="str">
        <x:v>2025_05_MIN_CLE</x:v>
      </x:c>
      <x:c r="B674" t="n">
        <x:v>1</x:v>
      </x:c>
      <x:c r="C674" t="n">
        <x:v>1</x:v>
      </x:c>
      <x:c r="D674" t="str">
        <x:v>15:00</x:v>
      </x:c>
      <x:c r="E674"/>
      <x:c r="F674" t="n">
        <x:v>0</x:v>
      </x:c>
      <x:c r="G674"/>
      <x:c r="H674"/>
      <x:c r="I674"/>
      <x:c r="J674"/>
      <x:c r="K674" t="str">
        <x:v>GAME</x:v>
      </x:c>
      <x:c r="L674"/>
      <x:c r="M674"/>
      <x:c r="N674" t="n">
        <x:v>0</x:v>
      </x:c>
      <x:c r="O674" t="n">
        <x:v>0</x:v>
      </x:c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 t="n">
        <x:v>0</x:v>
      </x:c>
      <x:c r="AE674" t="n">
        <x:v>0</x:v>
      </x:c>
      <x:c r="AF674" t="n">
        <x:v>0</x:v>
      </x:c>
      <x:c r="AG674" t="n">
        <x:f>_xlfn.XLOOKUP($A674,Games!$A$2:$A$18,Games!$B$2:$B$18,"Missing game",0)</x:f>
        <x:v>2025</x:v>
      </x:c>
      <x:c r="AH674" t="str">
        <x:f>_xlfn.XLOOKUP($A674,Games!$A$2:$A$18,Games!$C$2:$C$18,"Missing game",0)</x:f>
        <x:v>REG</x:v>
      </x:c>
      <x:c r="AI674" t="n">
        <x:f>_xlfn.XLOOKUP($A674,Games!$A$2:$A$18,Games!$D$2:$D$18,"Missing game",0)</x:f>
        <x:v>5</x:v>
      </x:c>
      <x:c r="AJ674" s="1" t="n">
        <x:f>_xlfn.XLOOKUP($A674,Games!$A$2:$A$18,Games!$E$2:$E$18,"Missing game",0)</x:f>
        <x:v>45935</x:v>
      </x:c>
      <x:c r="AK674" t="str">
        <x:f>_xlfn.XLOOKUP($A674,Games!$A$2:$A$18,Games!$F$2:$F$18,"Missing game",0)</x:f>
        <x:v>Sunday</x:v>
      </x:c>
      <x:c r="AL674" t="str">
        <x:f>_xlfn.XLOOKUP($A674,Games!$A$2:$A$18,Games!$G$2:$G$18,"Missing game",0)</x:f>
        <x:v>MIN</x:v>
      </x:c>
      <x:c r="AM674" t="n">
        <x:f>_xlfn.XLOOKUP($A674,Games!$A$2:$A$18,Games!$H$2:$H$18,"Missing game",0)</x:f>
        <x:v>21</x:v>
      </x:c>
      <x:c r="AN674" t="str">
        <x:f>_xlfn.XLOOKUP($A674,Games!$A$2:$A$18,Games!$I$2:$I$18,"Missing game",0)</x:f>
        <x:v>CLE</x:v>
      </x:c>
      <x:c r="AO674" t="n">
        <x:f>_xlfn.XLOOKUP($A674,Games!$A$2:$A$18,Games!$J$2:$J$18,"Missing game",0)</x:f>
        <x:v>17</x:v>
      </x:c>
      <x:c r="AP674" t="n">
        <x:f>_xlfn.XLOOKUP($A674,Games!$A$2:$A$18,Games!$K$2:$K$18,"Missing game",0)</x:f>
        <x:v>-4</x:v>
      </x:c>
      <x:c r="AQ674" t="n">
        <x:f>_xlfn.XLOOKUP($A674,Games!$A$2:$A$18,Games!$L$2:$L$18,"Missing game",0)</x:f>
        <x:v>38</x:v>
      </x:c>
      <x:c r="AR674" t="n">
        <x:f>_xlfn.XLOOKUP($A674,Games!$A$2:$A$18,Games!$M$2:$M$18,"Missing game",0)</x:f>
        <x:v>0</x:v>
      </x:c>
      <x:c r="AS674" t="str">
        <x:f>_xlfn.XLOOKUP($A674,Games!$A$2:$A$18,Games!$N$2:$N$18,"Missing game",0)</x:f>
        <x:v>outdoors</x:v>
      </x:c>
      <x:c r="AT674" t="str">
        <x:f>_xlfn.XLOOKUP($A674,Games!$A$2:$A$18,Games!$O$2:$O$18,"Missing game",0)</x:f>
        <x:v>grass</x:v>
      </x:c>
      <x:c r="AU674" t="n">
        <x:f>_xlfn.XLOOKUP($A674,Games!$A$2:$A$18,Games!$P$2:$P$18,"Missing game",0)</x:f>
        <x:v>61</x:v>
      </x:c>
      <x:c r="AV674" t="n">
        <x:f>_xlfn.XLOOKUP($A674,Games!$A$2:$A$18,Games!$Q$2:$Q$18,"Missing game",0)</x:f>
        <x:v>14</x:v>
      </x:c>
      <x:c r="AW674" t="str">
        <x:f>_xlfn.XLOOKUP($A674,Games!$A$2:$A$18,Games!$R$2:$R$18,"Missing game",0)</x:f>
        <x:v>FirstEnergy Stadium</x:v>
      </x:c>
    </x:row>
    <x:row r="675">
      <x:c r="A675" t="str">
        <x:v>2025_05_MIN_CLE</x:v>
      </x:c>
      <x:c r="B675" t="n">
        <x:v>39</x:v>
      </x:c>
      <x:c r="C675" t="n">
        <x:v>1</x:v>
      </x:c>
      <x:c r="D675" t="str">
        <x:v>15:00</x:v>
      </x:c>
      <x:c r="E675"/>
      <x:c r="F675" t="n">
        <x:v>0</x:v>
      </x:c>
      <x:c r="G675" t="str">
        <x:v>CLE</x:v>
      </x:c>
      <x:c r="H675" t="str">
        <x:v>MIN</x:v>
      </x:c>
      <x:c r="I675" t="str">
        <x:v>MIN</x:v>
      </x:c>
      <x:c r="J675" t="n">
        <x:v>35</x:v>
      </x:c>
      <x:c r="K675" t="str">
        <x:v>16-W.Reichard kicks 42 yards from MIN 35 to CLE 23, short of landing zone. PENALTY on MIN-16-W.Reichard, Kickoff Short of Landing Zone, placed at CLE 40.</x:v>
      </x:c>
      <x:c r="L675" t="str">
        <x:v>kickoff</x:v>
      </x:c>
      <x:c r="M675" t="n">
        <x:v>0</x:v>
      </x:c>
      <x:c r="N675" t="n">
        <x:v>0</x:v>
      </x:c>
      <x:c r="O675" t="n">
        <x:v>0</x:v>
      </x:c>
      <x:c r="P675"/>
      <x:c r="Q675"/>
      <x:c r="R675"/>
      <x:c r="S675"/>
      <x:c r="T675"/>
      <x:c r="U675"/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1</x:v>
      </x:c>
      <x:c r="AB675" t="n">
        <x:v>0</x:v>
      </x:c>
      <x:c r="AC675" t="n">
        <x:v>0</x:v>
      </x:c>
      <x:c r="AD675" t="n">
        <x:v>0.8947232952341437</x:v>
      </x:c>
      <x:c r="AE675" t="n">
        <x:v>1</x:v>
      </x:c>
      <x:c r="AF675" t="n">
        <x:v>0.02631157636642456</x:v>
      </x:c>
      <x:c r="AG675" t="n">
        <x:f>_xlfn.XLOOKUP($A675,Games!$A$2:$A$18,Games!$B$2:$B$18,"Missing game",0)</x:f>
        <x:v>2025</x:v>
      </x:c>
      <x:c r="AH675" t="str">
        <x:f>_xlfn.XLOOKUP($A675,Games!$A$2:$A$18,Games!$C$2:$C$18,"Missing game",0)</x:f>
        <x:v>REG</x:v>
      </x:c>
      <x:c r="AI675" t="n">
        <x:f>_xlfn.XLOOKUP($A675,Games!$A$2:$A$18,Games!$D$2:$D$18,"Missing game",0)</x:f>
        <x:v>5</x:v>
      </x:c>
      <x:c r="AJ675" s="1" t="n">
        <x:f>_xlfn.XLOOKUP($A675,Games!$A$2:$A$18,Games!$E$2:$E$18,"Missing game",0)</x:f>
        <x:v>45935</x:v>
      </x:c>
      <x:c r="AK675" t="str">
        <x:f>_xlfn.XLOOKUP($A675,Games!$A$2:$A$18,Games!$F$2:$F$18,"Missing game",0)</x:f>
        <x:v>Sunday</x:v>
      </x:c>
      <x:c r="AL675" t="str">
        <x:f>_xlfn.XLOOKUP($A675,Games!$A$2:$A$18,Games!$G$2:$G$18,"Missing game",0)</x:f>
        <x:v>MIN</x:v>
      </x:c>
      <x:c r="AM675" t="n">
        <x:f>_xlfn.XLOOKUP($A675,Games!$A$2:$A$18,Games!$H$2:$H$18,"Missing game",0)</x:f>
        <x:v>21</x:v>
      </x:c>
      <x:c r="AN675" t="str">
        <x:f>_xlfn.XLOOKUP($A675,Games!$A$2:$A$18,Games!$I$2:$I$18,"Missing game",0)</x:f>
        <x:v>CLE</x:v>
      </x:c>
      <x:c r="AO675" t="n">
        <x:f>_xlfn.XLOOKUP($A675,Games!$A$2:$A$18,Games!$J$2:$J$18,"Missing game",0)</x:f>
        <x:v>17</x:v>
      </x:c>
      <x:c r="AP675" t="n">
        <x:f>_xlfn.XLOOKUP($A675,Games!$A$2:$A$18,Games!$K$2:$K$18,"Missing game",0)</x:f>
        <x:v>-4</x:v>
      </x:c>
      <x:c r="AQ675" t="n">
        <x:f>_xlfn.XLOOKUP($A675,Games!$A$2:$A$18,Games!$L$2:$L$18,"Missing game",0)</x:f>
        <x:v>38</x:v>
      </x:c>
      <x:c r="AR675" t="n">
        <x:f>_xlfn.XLOOKUP($A675,Games!$A$2:$A$18,Games!$M$2:$M$18,"Missing game",0)</x:f>
        <x:v>0</x:v>
      </x:c>
      <x:c r="AS675" t="str">
        <x:f>_xlfn.XLOOKUP($A675,Games!$A$2:$A$18,Games!$N$2:$N$18,"Missing game",0)</x:f>
        <x:v>outdoors</x:v>
      </x:c>
      <x:c r="AT675" t="str">
        <x:f>_xlfn.XLOOKUP($A675,Games!$A$2:$A$18,Games!$O$2:$O$18,"Missing game",0)</x:f>
        <x:v>grass</x:v>
      </x:c>
      <x:c r="AU675" t="n">
        <x:f>_xlfn.XLOOKUP($A675,Games!$A$2:$A$18,Games!$P$2:$P$18,"Missing game",0)</x:f>
        <x:v>61</x:v>
      </x:c>
      <x:c r="AV675" t="n">
        <x:f>_xlfn.XLOOKUP($A675,Games!$A$2:$A$18,Games!$Q$2:$Q$18,"Missing game",0)</x:f>
        <x:v>14</x:v>
      </x:c>
      <x:c r="AW675" t="str">
        <x:f>_xlfn.XLOOKUP($A675,Games!$A$2:$A$18,Games!$R$2:$R$18,"Missing game",0)</x:f>
        <x:v>FirstEnergy Stadium</x:v>
      </x:c>
    </x:row>
    <x:row r="676">
      <x:c r="A676" t="str">
        <x:v>2025_05_MIN_CLE</x:v>
      </x:c>
      <x:c r="B676" t="n">
        <x:v>79</x:v>
      </x:c>
      <x:c r="C676" t="n">
        <x:v>1</x:v>
      </x:c>
      <x:c r="D676" t="str">
        <x:v>15:00</x:v>
      </x:c>
      <x:c r="E676" t="n">
        <x:v>1</x:v>
      </x:c>
      <x:c r="F676" t="n">
        <x:v>10</x:v>
      </x:c>
      <x:c r="G676" t="str">
        <x:v>CLE</x:v>
      </x:c>
      <x:c r="H676" t="str">
        <x:v>MIN</x:v>
      </x:c>
      <x:c r="I676" t="str">
        <x:v>CLE</x:v>
      </x:c>
      <x:c r="J676" t="n">
        <x:v>60</x:v>
      </x:c>
      <x:c r="K676" t="str">
        <x:v>(15:00) (Shotgun) 10-Q.Judkins up the middle to CLE 44 for 4 yards (0-I.Pace).</x:v>
      </x:c>
      <x:c r="L676" t="str">
        <x:v>run</x:v>
      </x:c>
      <x:c r="M676" t="n">
        <x:v>4</x:v>
      </x:c>
      <x:c r="N676" t="n">
        <x:v>1</x:v>
      </x:c>
      <x:c r="O676" t="n">
        <x:v>0</x:v>
      </x:c>
      <x:c r="P676"/>
      <x:c r="Q676"/>
      <x:c r="R676"/>
      <x:c r="S676"/>
      <x:c r="T676" t="str">
        <x:v>middle</x:v>
      </x:c>
      <x:c r="U676"/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/>
      <x:c r="AC676" t="n">
        <x:v>0</x:v>
      </x:c>
      <x:c r="AD676" t="n">
        <x:v>0.05089851375669241</x:v>
      </x:c>
      <x:c r="AE676" t="n">
        <x:v>1</x:v>
      </x:c>
      <x:c r="AF676" t="n">
        <x:v>-0.005381464958190918</x:v>
      </x:c>
      <x:c r="AG676" t="n">
        <x:f>_xlfn.XLOOKUP($A676,Games!$A$2:$A$18,Games!$B$2:$B$18,"Missing game",0)</x:f>
        <x:v>2025</x:v>
      </x:c>
      <x:c r="AH676" t="str">
        <x:f>_xlfn.XLOOKUP($A676,Games!$A$2:$A$18,Games!$C$2:$C$18,"Missing game",0)</x:f>
        <x:v>REG</x:v>
      </x:c>
      <x:c r="AI676" t="n">
        <x:f>_xlfn.XLOOKUP($A676,Games!$A$2:$A$18,Games!$D$2:$D$18,"Missing game",0)</x:f>
        <x:v>5</x:v>
      </x:c>
      <x:c r="AJ676" s="1" t="n">
        <x:f>_xlfn.XLOOKUP($A676,Games!$A$2:$A$18,Games!$E$2:$E$18,"Missing game",0)</x:f>
        <x:v>45935</x:v>
      </x:c>
      <x:c r="AK676" t="str">
        <x:f>_xlfn.XLOOKUP($A676,Games!$A$2:$A$18,Games!$F$2:$F$18,"Missing game",0)</x:f>
        <x:v>Sunday</x:v>
      </x:c>
      <x:c r="AL676" t="str">
        <x:f>_xlfn.XLOOKUP($A676,Games!$A$2:$A$18,Games!$G$2:$G$18,"Missing game",0)</x:f>
        <x:v>MIN</x:v>
      </x:c>
      <x:c r="AM676" t="n">
        <x:f>_xlfn.XLOOKUP($A676,Games!$A$2:$A$18,Games!$H$2:$H$18,"Missing game",0)</x:f>
        <x:v>21</x:v>
      </x:c>
      <x:c r="AN676" t="str">
        <x:f>_xlfn.XLOOKUP($A676,Games!$A$2:$A$18,Games!$I$2:$I$18,"Missing game",0)</x:f>
        <x:v>CLE</x:v>
      </x:c>
      <x:c r="AO676" t="n">
        <x:f>_xlfn.XLOOKUP($A676,Games!$A$2:$A$18,Games!$J$2:$J$18,"Missing game",0)</x:f>
        <x:v>17</x:v>
      </x:c>
      <x:c r="AP676" t="n">
        <x:f>_xlfn.XLOOKUP($A676,Games!$A$2:$A$18,Games!$K$2:$K$18,"Missing game",0)</x:f>
        <x:v>-4</x:v>
      </x:c>
      <x:c r="AQ676" t="n">
        <x:f>_xlfn.XLOOKUP($A676,Games!$A$2:$A$18,Games!$L$2:$L$18,"Missing game",0)</x:f>
        <x:v>38</x:v>
      </x:c>
      <x:c r="AR676" t="n">
        <x:f>_xlfn.XLOOKUP($A676,Games!$A$2:$A$18,Games!$M$2:$M$18,"Missing game",0)</x:f>
        <x:v>0</x:v>
      </x:c>
      <x:c r="AS676" t="str">
        <x:f>_xlfn.XLOOKUP($A676,Games!$A$2:$A$18,Games!$N$2:$N$18,"Missing game",0)</x:f>
        <x:v>outdoors</x:v>
      </x:c>
      <x:c r="AT676" t="str">
        <x:f>_xlfn.XLOOKUP($A676,Games!$A$2:$A$18,Games!$O$2:$O$18,"Missing game",0)</x:f>
        <x:v>grass</x:v>
      </x:c>
      <x:c r="AU676" t="n">
        <x:f>_xlfn.XLOOKUP($A676,Games!$A$2:$A$18,Games!$P$2:$P$18,"Missing game",0)</x:f>
        <x:v>61</x:v>
      </x:c>
      <x:c r="AV676" t="n">
        <x:f>_xlfn.XLOOKUP($A676,Games!$A$2:$A$18,Games!$Q$2:$Q$18,"Missing game",0)</x:f>
        <x:v>14</x:v>
      </x:c>
      <x:c r="AW676" t="str">
        <x:f>_xlfn.XLOOKUP($A676,Games!$A$2:$A$18,Games!$R$2:$R$18,"Missing game",0)</x:f>
        <x:v>FirstEnergy Stadium</x:v>
      </x:c>
    </x:row>
    <x:row r="677">
      <x:c r="A677" t="str">
        <x:v>2025_05_MIN_CLE</x:v>
      </x:c>
      <x:c r="B677" t="n">
        <x:v>101</x:v>
      </x:c>
      <x:c r="C677" t="n">
        <x:v>1</x:v>
      </x:c>
      <x:c r="D677" t="str">
        <x:v>14:28</x:v>
      </x:c>
      <x:c r="E677" t="n">
        <x:v>2</x:v>
      </x:c>
      <x:c r="F677" t="n">
        <x:v>6</x:v>
      </x:c>
      <x:c r="G677" t="str">
        <x:v>CLE</x:v>
      </x:c>
      <x:c r="H677" t="str">
        <x:v>MIN</x:v>
      </x:c>
      <x:c r="I677" t="str">
        <x:v>CLE</x:v>
      </x:c>
      <x:c r="J677" t="n">
        <x:v>56</x:v>
      </x:c>
      <x:c r="K677" t="str">
        <x:v>(14:28) (Shotgun) 10-Q.Judkins up the middle to CLE 47 for 3 yards (15-D.Turner). PENALTY on CLE-72-K.Leveston, Offensive Holding, 10 yards, enforced at CLE 45.</x:v>
      </x:c>
      <x:c r="L677" t="str">
        <x:v>run</x:v>
      </x:c>
      <x:c r="M677" t="n">
        <x:v>1</x:v>
      </x:c>
      <x:c r="N677" t="n">
        <x:v>1</x:v>
      </x:c>
      <x:c r="O677" t="n">
        <x:v>0</x:v>
      </x:c>
      <x:c r="P677"/>
      <x:c r="Q677"/>
      <x:c r="R677"/>
      <x:c r="S677"/>
      <x:c r="T677" t="str">
        <x:v>middle</x:v>
      </x:c>
      <x:c r="U677"/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1</x:v>
      </x:c>
      <x:c r="AB677" t="n">
        <x:v>10</x:v>
      </x:c>
      <x:c r="AC677" t="n">
        <x:v>0</x:v>
      </x:c>
      <x:c r="AD677" t="n">
        <x:v>-1.2323314012028277</x:v>
      </x:c>
      <x:c r="AE677" t="n">
        <x:v>0</x:v>
      </x:c>
      <x:c r="AF677" t="n">
        <x:v>-0.02699124813079834</x:v>
      </x:c>
      <x:c r="AG677" t="n">
        <x:f>_xlfn.XLOOKUP($A677,Games!$A$2:$A$18,Games!$B$2:$B$18,"Missing game",0)</x:f>
        <x:v>2025</x:v>
      </x:c>
      <x:c r="AH677" t="str">
        <x:f>_xlfn.XLOOKUP($A677,Games!$A$2:$A$18,Games!$C$2:$C$18,"Missing game",0)</x:f>
        <x:v>REG</x:v>
      </x:c>
      <x:c r="AI677" t="n">
        <x:f>_xlfn.XLOOKUP($A677,Games!$A$2:$A$18,Games!$D$2:$D$18,"Missing game",0)</x:f>
        <x:v>5</x:v>
      </x:c>
      <x:c r="AJ677" s="1" t="n">
        <x:f>_xlfn.XLOOKUP($A677,Games!$A$2:$A$18,Games!$E$2:$E$18,"Missing game",0)</x:f>
        <x:v>45935</x:v>
      </x:c>
      <x:c r="AK677" t="str">
        <x:f>_xlfn.XLOOKUP($A677,Games!$A$2:$A$18,Games!$F$2:$F$18,"Missing game",0)</x:f>
        <x:v>Sunday</x:v>
      </x:c>
      <x:c r="AL677" t="str">
        <x:f>_xlfn.XLOOKUP($A677,Games!$A$2:$A$18,Games!$G$2:$G$18,"Missing game",0)</x:f>
        <x:v>MIN</x:v>
      </x:c>
      <x:c r="AM677" t="n">
        <x:f>_xlfn.XLOOKUP($A677,Games!$A$2:$A$18,Games!$H$2:$H$18,"Missing game",0)</x:f>
        <x:v>21</x:v>
      </x:c>
      <x:c r="AN677" t="str">
        <x:f>_xlfn.XLOOKUP($A677,Games!$A$2:$A$18,Games!$I$2:$I$18,"Missing game",0)</x:f>
        <x:v>CLE</x:v>
      </x:c>
      <x:c r="AO677" t="n">
        <x:f>_xlfn.XLOOKUP($A677,Games!$A$2:$A$18,Games!$J$2:$J$18,"Missing game",0)</x:f>
        <x:v>17</x:v>
      </x:c>
      <x:c r="AP677" t="n">
        <x:f>_xlfn.XLOOKUP($A677,Games!$A$2:$A$18,Games!$K$2:$K$18,"Missing game",0)</x:f>
        <x:v>-4</x:v>
      </x:c>
      <x:c r="AQ677" t="n">
        <x:f>_xlfn.XLOOKUP($A677,Games!$A$2:$A$18,Games!$L$2:$L$18,"Missing game",0)</x:f>
        <x:v>38</x:v>
      </x:c>
      <x:c r="AR677" t="n">
        <x:f>_xlfn.XLOOKUP($A677,Games!$A$2:$A$18,Games!$M$2:$M$18,"Missing game",0)</x:f>
        <x:v>0</x:v>
      </x:c>
      <x:c r="AS677" t="str">
        <x:f>_xlfn.XLOOKUP($A677,Games!$A$2:$A$18,Games!$N$2:$N$18,"Missing game",0)</x:f>
        <x:v>outdoors</x:v>
      </x:c>
      <x:c r="AT677" t="str">
        <x:f>_xlfn.XLOOKUP($A677,Games!$A$2:$A$18,Games!$O$2:$O$18,"Missing game",0)</x:f>
        <x:v>grass</x:v>
      </x:c>
      <x:c r="AU677" t="n">
        <x:f>_xlfn.XLOOKUP($A677,Games!$A$2:$A$18,Games!$P$2:$P$18,"Missing game",0)</x:f>
        <x:v>61</x:v>
      </x:c>
      <x:c r="AV677" t="n">
        <x:f>_xlfn.XLOOKUP($A677,Games!$A$2:$A$18,Games!$Q$2:$Q$18,"Missing game",0)</x:f>
        <x:v>14</x:v>
      </x:c>
      <x:c r="AW677" t="str">
        <x:f>_xlfn.XLOOKUP($A677,Games!$A$2:$A$18,Games!$R$2:$R$18,"Missing game",0)</x:f>
        <x:v>FirstEnergy Stadium</x:v>
      </x:c>
    </x:row>
    <x:row r="678">
      <x:c r="A678" t="str">
        <x:v>2025_05_MIN_CLE</x:v>
      </x:c>
      <x:c r="B678" t="n">
        <x:v>134</x:v>
      </x:c>
      <x:c r="C678" t="n">
        <x:v>1</x:v>
      </x:c>
      <x:c r="D678" t="str">
        <x:v>13:58</x:v>
      </x:c>
      <x:c r="E678" t="n">
        <x:v>2</x:v>
      </x:c>
      <x:c r="F678" t="n">
        <x:v>15</x:v>
      </x:c>
      <x:c r="G678" t="str">
        <x:v>CLE</x:v>
      </x:c>
      <x:c r="H678" t="str">
        <x:v>MIN</x:v>
      </x:c>
      <x:c r="I678" t="str">
        <x:v>CLE</x:v>
      </x:c>
      <x:c r="J678" t="n">
        <x:v>65</x:v>
      </x:c>
      <x:c r="K678" t="str">
        <x:v>(13:58) (Shotgun) 8-D.Gabriel pass short middle to 85-D.Njoku to CLE 47 for 12 yards (2-I.Rodgers; 26-T.Jackson).</x:v>
      </x:c>
      <x:c r="L678" t="str">
        <x:v>pass</x:v>
      </x:c>
      <x:c r="M678" t="n">
        <x:v>12</x:v>
      </x:c>
      <x:c r="N678" t="n">
        <x:v>1</x:v>
      </x:c>
      <x:c r="O678" t="n">
        <x:v>0</x:v>
      </x:c>
      <x:c r="P678" t="str">
        <x:v>short</x:v>
      </x:c>
      <x:c r="Q678" t="str">
        <x:v>middle</x:v>
      </x:c>
      <x:c r="R678" t="n">
        <x:v>0</x:v>
      </x:c>
      <x:c r="S678" t="n">
        <x:v>12</x:v>
      </x:c>
      <x:c r="T678"/>
      <x:c r="U678"/>
      <x:c r="V678" t="n">
        <x:v>1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/>
      <x:c r="AC678" t="n">
        <x:v>0</x:v>
      </x:c>
      <x:c r="AD678" t="n">
        <x:v>0.9795063000638038</x:v>
      </x:c>
      <x:c r="AE678" t="n">
        <x:v>1</x:v>
      </x:c>
      <x:c r="AF678" t="n">
        <x:v>0.017892539501190186</x:v>
      </x:c>
      <x:c r="AG678" t="n">
        <x:f>_xlfn.XLOOKUP($A678,Games!$A$2:$A$18,Games!$B$2:$B$18,"Missing game",0)</x:f>
        <x:v>2025</x:v>
      </x:c>
      <x:c r="AH678" t="str">
        <x:f>_xlfn.XLOOKUP($A678,Games!$A$2:$A$18,Games!$C$2:$C$18,"Missing game",0)</x:f>
        <x:v>REG</x:v>
      </x:c>
      <x:c r="AI678" t="n">
        <x:f>_xlfn.XLOOKUP($A678,Games!$A$2:$A$18,Games!$D$2:$D$18,"Missing game",0)</x:f>
        <x:v>5</x:v>
      </x:c>
      <x:c r="AJ678" s="1" t="n">
        <x:f>_xlfn.XLOOKUP($A678,Games!$A$2:$A$18,Games!$E$2:$E$18,"Missing game",0)</x:f>
        <x:v>45935</x:v>
      </x:c>
      <x:c r="AK678" t="str">
        <x:f>_xlfn.XLOOKUP($A678,Games!$A$2:$A$18,Games!$F$2:$F$18,"Missing game",0)</x:f>
        <x:v>Sunday</x:v>
      </x:c>
      <x:c r="AL678" t="str">
        <x:f>_xlfn.XLOOKUP($A678,Games!$A$2:$A$18,Games!$G$2:$G$18,"Missing game",0)</x:f>
        <x:v>MIN</x:v>
      </x:c>
      <x:c r="AM678" t="n">
        <x:f>_xlfn.XLOOKUP($A678,Games!$A$2:$A$18,Games!$H$2:$H$18,"Missing game",0)</x:f>
        <x:v>21</x:v>
      </x:c>
      <x:c r="AN678" t="str">
        <x:f>_xlfn.XLOOKUP($A678,Games!$A$2:$A$18,Games!$I$2:$I$18,"Missing game",0)</x:f>
        <x:v>CLE</x:v>
      </x:c>
      <x:c r="AO678" t="n">
        <x:f>_xlfn.XLOOKUP($A678,Games!$A$2:$A$18,Games!$J$2:$J$18,"Missing game",0)</x:f>
        <x:v>17</x:v>
      </x:c>
      <x:c r="AP678" t="n">
        <x:f>_xlfn.XLOOKUP($A678,Games!$A$2:$A$18,Games!$K$2:$K$18,"Missing game",0)</x:f>
        <x:v>-4</x:v>
      </x:c>
      <x:c r="AQ678" t="n">
        <x:f>_xlfn.XLOOKUP($A678,Games!$A$2:$A$18,Games!$L$2:$L$18,"Missing game",0)</x:f>
        <x:v>38</x:v>
      </x:c>
      <x:c r="AR678" t="n">
        <x:f>_xlfn.XLOOKUP($A678,Games!$A$2:$A$18,Games!$M$2:$M$18,"Missing game",0)</x:f>
        <x:v>0</x:v>
      </x:c>
      <x:c r="AS678" t="str">
        <x:f>_xlfn.XLOOKUP($A678,Games!$A$2:$A$18,Games!$N$2:$N$18,"Missing game",0)</x:f>
        <x:v>outdoors</x:v>
      </x:c>
      <x:c r="AT678" t="str">
        <x:f>_xlfn.XLOOKUP($A678,Games!$A$2:$A$18,Games!$O$2:$O$18,"Missing game",0)</x:f>
        <x:v>grass</x:v>
      </x:c>
      <x:c r="AU678" t="n">
        <x:f>_xlfn.XLOOKUP($A678,Games!$A$2:$A$18,Games!$P$2:$P$18,"Missing game",0)</x:f>
        <x:v>61</x:v>
      </x:c>
      <x:c r="AV678" t="n">
        <x:f>_xlfn.XLOOKUP($A678,Games!$A$2:$A$18,Games!$Q$2:$Q$18,"Missing game",0)</x:f>
        <x:v>14</x:v>
      </x:c>
      <x:c r="AW678" t="str">
        <x:f>_xlfn.XLOOKUP($A678,Games!$A$2:$A$18,Games!$R$2:$R$18,"Missing game",0)</x:f>
        <x:v>FirstEnergy Stadium</x:v>
      </x:c>
    </x:row>
    <x:row r="679">
      <x:c r="A679" t="str">
        <x:v>2025_05_MIN_CLE</x:v>
      </x:c>
      <x:c r="B679" t="n">
        <x:v>159</x:v>
      </x:c>
      <x:c r="C679" t="n">
        <x:v>1</x:v>
      </x:c>
      <x:c r="D679" t="str">
        <x:v>13:13</x:v>
      </x:c>
      <x:c r="E679" t="n">
        <x:v>3</x:v>
      </x:c>
      <x:c r="F679" t="n">
        <x:v>3</x:v>
      </x:c>
      <x:c r="G679" t="str">
        <x:v>CLE</x:v>
      </x:c>
      <x:c r="H679" t="str">
        <x:v>MIN</x:v>
      </x:c>
      <x:c r="I679" t="str">
        <x:v>CLE</x:v>
      </x:c>
      <x:c r="J679" t="n">
        <x:v>53</x:v>
      </x:c>
      <x:c r="K679" t="str">
        <x:v>(13:13) 8-D.Gabriel pass incomplete deep right to 16-I.Bond.</x:v>
      </x:c>
      <x:c r="L679" t="str">
        <x:v>pass</x:v>
      </x:c>
      <x:c r="M679" t="n">
        <x:v>0</x:v>
      </x:c>
      <x:c r="N679" t="n">
        <x:v>0</x:v>
      </x:c>
      <x:c r="O679" t="n">
        <x:v>0</x:v>
      </x:c>
      <x:c r="P679" t="str">
        <x:v>deep</x:v>
      </x:c>
      <x:c r="Q679" t="str">
        <x:v>right</x:v>
      </x:c>
      <x:c r="R679" t="n">
        <x:v>22</x:v>
      </x:c>
      <x:c r="S679"/>
      <x:c r="T679"/>
      <x:c r="U679"/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/>
      <x:c r="AC679" t="n">
        <x:v>0</x:v>
      </x:c>
      <x:c r="AD679" t="n">
        <x:v>-1.9559710046742111</x:v>
      </x:c>
      <x:c r="AE679" t="n">
        <x:v>0</x:v>
      </x:c>
      <x:c r="AF679" t="n">
        <x:v>-0.05473273992538452</x:v>
      </x:c>
      <x:c r="AG679" t="n">
        <x:f>_xlfn.XLOOKUP($A679,Games!$A$2:$A$18,Games!$B$2:$B$18,"Missing game",0)</x:f>
        <x:v>2025</x:v>
      </x:c>
      <x:c r="AH679" t="str">
        <x:f>_xlfn.XLOOKUP($A679,Games!$A$2:$A$18,Games!$C$2:$C$18,"Missing game",0)</x:f>
        <x:v>REG</x:v>
      </x:c>
      <x:c r="AI679" t="n">
        <x:f>_xlfn.XLOOKUP($A679,Games!$A$2:$A$18,Games!$D$2:$D$18,"Missing game",0)</x:f>
        <x:v>5</x:v>
      </x:c>
      <x:c r="AJ679" s="1" t="n">
        <x:f>_xlfn.XLOOKUP($A679,Games!$A$2:$A$18,Games!$E$2:$E$18,"Missing game",0)</x:f>
        <x:v>45935</x:v>
      </x:c>
      <x:c r="AK679" t="str">
        <x:f>_xlfn.XLOOKUP($A679,Games!$A$2:$A$18,Games!$F$2:$F$18,"Missing game",0)</x:f>
        <x:v>Sunday</x:v>
      </x:c>
      <x:c r="AL679" t="str">
        <x:f>_xlfn.XLOOKUP($A679,Games!$A$2:$A$18,Games!$G$2:$G$18,"Missing game",0)</x:f>
        <x:v>MIN</x:v>
      </x:c>
      <x:c r="AM679" t="n">
        <x:f>_xlfn.XLOOKUP($A679,Games!$A$2:$A$18,Games!$H$2:$H$18,"Missing game",0)</x:f>
        <x:v>21</x:v>
      </x:c>
      <x:c r="AN679" t="str">
        <x:f>_xlfn.XLOOKUP($A679,Games!$A$2:$A$18,Games!$I$2:$I$18,"Missing game",0)</x:f>
        <x:v>CLE</x:v>
      </x:c>
      <x:c r="AO679" t="n">
        <x:f>_xlfn.XLOOKUP($A679,Games!$A$2:$A$18,Games!$J$2:$J$18,"Missing game",0)</x:f>
        <x:v>17</x:v>
      </x:c>
      <x:c r="AP679" t="n">
        <x:f>_xlfn.XLOOKUP($A679,Games!$A$2:$A$18,Games!$K$2:$K$18,"Missing game",0)</x:f>
        <x:v>-4</x:v>
      </x:c>
      <x:c r="AQ679" t="n">
        <x:f>_xlfn.XLOOKUP($A679,Games!$A$2:$A$18,Games!$L$2:$L$18,"Missing game",0)</x:f>
        <x:v>38</x:v>
      </x:c>
      <x:c r="AR679" t="n">
        <x:f>_xlfn.XLOOKUP($A679,Games!$A$2:$A$18,Games!$M$2:$M$18,"Missing game",0)</x:f>
        <x:v>0</x:v>
      </x:c>
      <x:c r="AS679" t="str">
        <x:f>_xlfn.XLOOKUP($A679,Games!$A$2:$A$18,Games!$N$2:$N$18,"Missing game",0)</x:f>
        <x:v>outdoors</x:v>
      </x:c>
      <x:c r="AT679" t="str">
        <x:f>_xlfn.XLOOKUP($A679,Games!$A$2:$A$18,Games!$O$2:$O$18,"Missing game",0)</x:f>
        <x:v>grass</x:v>
      </x:c>
      <x:c r="AU679" t="n">
        <x:f>_xlfn.XLOOKUP($A679,Games!$A$2:$A$18,Games!$P$2:$P$18,"Missing game",0)</x:f>
        <x:v>61</x:v>
      </x:c>
      <x:c r="AV679" t="n">
        <x:f>_xlfn.XLOOKUP($A679,Games!$A$2:$A$18,Games!$Q$2:$Q$18,"Missing game",0)</x:f>
        <x:v>14</x:v>
      </x:c>
      <x:c r="AW679" t="str">
        <x:f>_xlfn.XLOOKUP($A679,Games!$A$2:$A$18,Games!$R$2:$R$18,"Missing game",0)</x:f>
        <x:v>FirstEnergy Stadium</x:v>
      </x:c>
    </x:row>
    <x:row r="680">
      <x:c r="A680" t="str">
        <x:v>2025_05_MIN_CLE</x:v>
      </x:c>
      <x:c r="B680" t="n">
        <x:v>182</x:v>
      </x:c>
      <x:c r="C680" t="n">
        <x:v>1</x:v>
      </x:c>
      <x:c r="D680" t="str">
        <x:v>13:08</x:v>
      </x:c>
      <x:c r="E680" t="n">
        <x:v>4</x:v>
      </x:c>
      <x:c r="F680" t="n">
        <x:v>3</x:v>
      </x:c>
      <x:c r="G680" t="str">
        <x:v>CLE</x:v>
      </x:c>
      <x:c r="H680" t="str">
        <x:v>MIN</x:v>
      </x:c>
      <x:c r="I680" t="str">
        <x:v>CLE</x:v>
      </x:c>
      <x:c r="J680" t="n">
        <x:v>53</x:v>
      </x:c>
      <x:c r="K680" t="str">
        <x:v>(13:08) 13-C.Bojorquez punts 45 yards to MIN 8, Center-50-R.Sunahara, fair catch by 4-M.Price.</x:v>
      </x:c>
      <x:c r="L680" t="str">
        <x:v>punt</x:v>
      </x:c>
      <x:c r="M680" t="n">
        <x:v>0</x:v>
      </x:c>
      <x:c r="N680" t="n">
        <x:v>0</x:v>
      </x:c>
      <x:c r="O680" t="n">
        <x:v>0</x:v>
      </x:c>
      <x:c r="P680"/>
      <x:c r="Q680"/>
      <x:c r="R680"/>
      <x:c r="S680"/>
      <x:c r="T680"/>
      <x:c r="U680"/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/>
      <x:c r="AC680" t="n">
        <x:v>0</x:v>
      </x:c>
      <x:c r="AD680" t="n">
        <x:v>0.8529946301132441</x:v>
      </x:c>
      <x:c r="AE680" t="n">
        <x:v>1</x:v>
      </x:c>
      <x:c r="AF680" t="n">
        <x:v>0.025142639875411987</x:v>
      </x:c>
      <x:c r="AG680" t="n">
        <x:f>_xlfn.XLOOKUP($A680,Games!$A$2:$A$18,Games!$B$2:$B$18,"Missing game",0)</x:f>
        <x:v>2025</x:v>
      </x:c>
      <x:c r="AH680" t="str">
        <x:f>_xlfn.XLOOKUP($A680,Games!$A$2:$A$18,Games!$C$2:$C$18,"Missing game",0)</x:f>
        <x:v>REG</x:v>
      </x:c>
      <x:c r="AI680" t="n">
        <x:f>_xlfn.XLOOKUP($A680,Games!$A$2:$A$18,Games!$D$2:$D$18,"Missing game",0)</x:f>
        <x:v>5</x:v>
      </x:c>
      <x:c r="AJ680" s="1" t="n">
        <x:f>_xlfn.XLOOKUP($A680,Games!$A$2:$A$18,Games!$E$2:$E$18,"Missing game",0)</x:f>
        <x:v>45935</x:v>
      </x:c>
      <x:c r="AK680" t="str">
        <x:f>_xlfn.XLOOKUP($A680,Games!$A$2:$A$18,Games!$F$2:$F$18,"Missing game",0)</x:f>
        <x:v>Sunday</x:v>
      </x:c>
      <x:c r="AL680" t="str">
        <x:f>_xlfn.XLOOKUP($A680,Games!$A$2:$A$18,Games!$G$2:$G$18,"Missing game",0)</x:f>
        <x:v>MIN</x:v>
      </x:c>
      <x:c r="AM680" t="n">
        <x:f>_xlfn.XLOOKUP($A680,Games!$A$2:$A$18,Games!$H$2:$H$18,"Missing game",0)</x:f>
        <x:v>21</x:v>
      </x:c>
      <x:c r="AN680" t="str">
        <x:f>_xlfn.XLOOKUP($A680,Games!$A$2:$A$18,Games!$I$2:$I$18,"Missing game",0)</x:f>
        <x:v>CLE</x:v>
      </x:c>
      <x:c r="AO680" t="n">
        <x:f>_xlfn.XLOOKUP($A680,Games!$A$2:$A$18,Games!$J$2:$J$18,"Missing game",0)</x:f>
        <x:v>17</x:v>
      </x:c>
      <x:c r="AP680" t="n">
        <x:f>_xlfn.XLOOKUP($A680,Games!$A$2:$A$18,Games!$K$2:$K$18,"Missing game",0)</x:f>
        <x:v>-4</x:v>
      </x:c>
      <x:c r="AQ680" t="n">
        <x:f>_xlfn.XLOOKUP($A680,Games!$A$2:$A$18,Games!$L$2:$L$18,"Missing game",0)</x:f>
        <x:v>38</x:v>
      </x:c>
      <x:c r="AR680" t="n">
        <x:f>_xlfn.XLOOKUP($A680,Games!$A$2:$A$18,Games!$M$2:$M$18,"Missing game",0)</x:f>
        <x:v>0</x:v>
      </x:c>
      <x:c r="AS680" t="str">
        <x:f>_xlfn.XLOOKUP($A680,Games!$A$2:$A$18,Games!$N$2:$N$18,"Missing game",0)</x:f>
        <x:v>outdoors</x:v>
      </x:c>
      <x:c r="AT680" t="str">
        <x:f>_xlfn.XLOOKUP($A680,Games!$A$2:$A$18,Games!$O$2:$O$18,"Missing game",0)</x:f>
        <x:v>grass</x:v>
      </x:c>
      <x:c r="AU680" t="n">
        <x:f>_xlfn.XLOOKUP($A680,Games!$A$2:$A$18,Games!$P$2:$P$18,"Missing game",0)</x:f>
        <x:v>61</x:v>
      </x:c>
      <x:c r="AV680" t="n">
        <x:f>_xlfn.XLOOKUP($A680,Games!$A$2:$A$18,Games!$Q$2:$Q$18,"Missing game",0)</x:f>
        <x:v>14</x:v>
      </x:c>
      <x:c r="AW680" t="str">
        <x:f>_xlfn.XLOOKUP($A680,Games!$A$2:$A$18,Games!$R$2:$R$18,"Missing game",0)</x:f>
        <x:v>FirstEnergy Stadium</x:v>
      </x:c>
    </x:row>
    <x:row r="681">
      <x:c r="A681" t="str">
        <x:v>2025_05_MIN_CLE</x:v>
      </x:c>
      <x:c r="B681" t="n">
        <x:v>202</x:v>
      </x:c>
      <x:c r="C681" t="n">
        <x:v>1</x:v>
      </x:c>
      <x:c r="D681" t="str">
        <x:v>13:01</x:v>
      </x:c>
      <x:c r="E681" t="n">
        <x:v>1</x:v>
      </x:c>
      <x:c r="F681" t="n">
        <x:v>10</x:v>
      </x:c>
      <x:c r="G681" t="str">
        <x:v>MIN</x:v>
      </x:c>
      <x:c r="H681" t="str">
        <x:v>CLE</x:v>
      </x:c>
      <x:c r="I681" t="str">
        <x:v>MIN</x:v>
      </x:c>
      <x:c r="J681" t="n">
        <x:v>92</x:v>
      </x:c>
      <x:c r="K681" t="str">
        <x:v>(13:01) 27-J.Mason right guard to MIN 17 for 9 yards (49-C.Schwesinger; 9-G.Delpit).</x:v>
      </x:c>
      <x:c r="L681" t="str">
        <x:v>run</x:v>
      </x:c>
      <x:c r="M681" t="n">
        <x:v>9</x:v>
      </x:c>
      <x:c r="N681" t="n">
        <x:v>0</x:v>
      </x:c>
      <x:c r="O681" t="n">
        <x:v>0</x:v>
      </x:c>
      <x:c r="P681"/>
      <x:c r="Q681"/>
      <x:c r="R681"/>
      <x:c r="S681"/>
      <x:c r="T681" t="str">
        <x:v>right</x:v>
      </x:c>
      <x:c r="U681" t="str">
        <x:v>guard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/>
      <x:c r="AC681" t="n">
        <x:v>0</x:v>
      </x:c>
      <x:c r="AD681" t="n">
        <x:v>0.7568673770874739</x:v>
      </x:c>
      <x:c r="AE681" t="n">
        <x:v>1</x:v>
      </x:c>
      <x:c r="AF681" t="n">
        <x:v>0.027101784944534302</x:v>
      </x:c>
      <x:c r="AG681" t="n">
        <x:f>_xlfn.XLOOKUP($A681,Games!$A$2:$A$18,Games!$B$2:$B$18,"Missing game",0)</x:f>
        <x:v>2025</x:v>
      </x:c>
      <x:c r="AH681" t="str">
        <x:f>_xlfn.XLOOKUP($A681,Games!$A$2:$A$18,Games!$C$2:$C$18,"Missing game",0)</x:f>
        <x:v>REG</x:v>
      </x:c>
      <x:c r="AI681" t="n">
        <x:f>_xlfn.XLOOKUP($A681,Games!$A$2:$A$18,Games!$D$2:$D$18,"Missing game",0)</x:f>
        <x:v>5</x:v>
      </x:c>
      <x:c r="AJ681" s="1" t="n">
        <x:f>_xlfn.XLOOKUP($A681,Games!$A$2:$A$18,Games!$E$2:$E$18,"Missing game",0)</x:f>
        <x:v>45935</x:v>
      </x:c>
      <x:c r="AK681" t="str">
        <x:f>_xlfn.XLOOKUP($A681,Games!$A$2:$A$18,Games!$F$2:$F$18,"Missing game",0)</x:f>
        <x:v>Sunday</x:v>
      </x:c>
      <x:c r="AL681" t="str">
        <x:f>_xlfn.XLOOKUP($A681,Games!$A$2:$A$18,Games!$G$2:$G$18,"Missing game",0)</x:f>
        <x:v>MIN</x:v>
      </x:c>
      <x:c r="AM681" t="n">
        <x:f>_xlfn.XLOOKUP($A681,Games!$A$2:$A$18,Games!$H$2:$H$18,"Missing game",0)</x:f>
        <x:v>21</x:v>
      </x:c>
      <x:c r="AN681" t="str">
        <x:f>_xlfn.XLOOKUP($A681,Games!$A$2:$A$18,Games!$I$2:$I$18,"Missing game",0)</x:f>
        <x:v>CLE</x:v>
      </x:c>
      <x:c r="AO681" t="n">
        <x:f>_xlfn.XLOOKUP($A681,Games!$A$2:$A$18,Games!$J$2:$J$18,"Missing game",0)</x:f>
        <x:v>17</x:v>
      </x:c>
      <x:c r="AP681" t="n">
        <x:f>_xlfn.XLOOKUP($A681,Games!$A$2:$A$18,Games!$K$2:$K$18,"Missing game",0)</x:f>
        <x:v>-4</x:v>
      </x:c>
      <x:c r="AQ681" t="n">
        <x:f>_xlfn.XLOOKUP($A681,Games!$A$2:$A$18,Games!$L$2:$L$18,"Missing game",0)</x:f>
        <x:v>38</x:v>
      </x:c>
      <x:c r="AR681" t="n">
        <x:f>_xlfn.XLOOKUP($A681,Games!$A$2:$A$18,Games!$M$2:$M$18,"Missing game",0)</x:f>
        <x:v>0</x:v>
      </x:c>
      <x:c r="AS681" t="str">
        <x:f>_xlfn.XLOOKUP($A681,Games!$A$2:$A$18,Games!$N$2:$N$18,"Missing game",0)</x:f>
        <x:v>outdoors</x:v>
      </x:c>
      <x:c r="AT681" t="str">
        <x:f>_xlfn.XLOOKUP($A681,Games!$A$2:$A$18,Games!$O$2:$O$18,"Missing game",0)</x:f>
        <x:v>grass</x:v>
      </x:c>
      <x:c r="AU681" t="n">
        <x:f>_xlfn.XLOOKUP($A681,Games!$A$2:$A$18,Games!$P$2:$P$18,"Missing game",0)</x:f>
        <x:v>61</x:v>
      </x:c>
      <x:c r="AV681" t="n">
        <x:f>_xlfn.XLOOKUP($A681,Games!$A$2:$A$18,Games!$Q$2:$Q$18,"Missing game",0)</x:f>
        <x:v>14</x:v>
      </x:c>
      <x:c r="AW681" t="str">
        <x:f>_xlfn.XLOOKUP($A681,Games!$A$2:$A$18,Games!$R$2:$R$18,"Missing game",0)</x:f>
        <x:v>FirstEnergy Stadium</x:v>
      </x:c>
    </x:row>
    <x:row r="682">
      <x:c r="A682" t="str">
        <x:v>2025_05_MIN_CLE</x:v>
      </x:c>
      <x:c r="B682" t="n">
        <x:v>224</x:v>
      </x:c>
      <x:c r="C682" t="n">
        <x:v>1</x:v>
      </x:c>
      <x:c r="D682" t="str">
        <x:v>12:26</x:v>
      </x:c>
      <x:c r="E682" t="n">
        <x:v>2</x:v>
      </x:c>
      <x:c r="F682" t="n">
        <x:v>1</x:v>
      </x:c>
      <x:c r="G682" t="str">
        <x:v>MIN</x:v>
      </x:c>
      <x:c r="H682" t="str">
        <x:v>CLE</x:v>
      </x:c>
      <x:c r="I682" t="str">
        <x:v>MIN</x:v>
      </x:c>
      <x:c r="J682" t="n">
        <x:v>83</x:v>
      </x:c>
      <x:c r="K682" t="str">
        <x:v>(12:26) (Shotgun) 27-J.Mason left guard to MIN 22 for 5 yards (49-C.Schwesinger).</x:v>
      </x:c>
      <x:c r="L682" t="str">
        <x:v>run</x:v>
      </x:c>
      <x:c r="M682" t="n">
        <x:v>5</x:v>
      </x:c>
      <x:c r="N682" t="n">
        <x:v>1</x:v>
      </x:c>
      <x:c r="O682" t="n">
        <x:v>0</x:v>
      </x:c>
      <x:c r="P682"/>
      <x:c r="Q682"/>
      <x:c r="R682"/>
      <x:c r="S682"/>
      <x:c r="T682" t="str">
        <x:v>left</x:v>
      </x:c>
      <x:c r="U682" t="str">
        <x:v>guard</x:v>
      </x:c>
      <x:c r="V682" t="n">
        <x:v>0</x:v>
      </x:c>
      <x:c r="W682" t="n">
        <x:v>1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/>
      <x:c r="AC682" t="n">
        <x:v>0</x:v>
      </x:c>
      <x:c r="AD682" t="n">
        <x:v>0.09499378921464086</x:v>
      </x:c>
      <x:c r="AE682" t="n">
        <x:v>1</x:v>
      </x:c>
      <x:c r="AF682" t="n">
        <x:v>-0.004178434610366821</x:v>
      </x:c>
      <x:c r="AG682" t="n">
        <x:f>_xlfn.XLOOKUP($A682,Games!$A$2:$A$18,Games!$B$2:$B$18,"Missing game",0)</x:f>
        <x:v>2025</x:v>
      </x:c>
      <x:c r="AH682" t="str">
        <x:f>_xlfn.XLOOKUP($A682,Games!$A$2:$A$18,Games!$C$2:$C$18,"Missing game",0)</x:f>
        <x:v>REG</x:v>
      </x:c>
      <x:c r="AI682" t="n">
        <x:f>_xlfn.XLOOKUP($A682,Games!$A$2:$A$18,Games!$D$2:$D$18,"Missing game",0)</x:f>
        <x:v>5</x:v>
      </x:c>
      <x:c r="AJ682" s="1" t="n">
        <x:f>_xlfn.XLOOKUP($A682,Games!$A$2:$A$18,Games!$E$2:$E$18,"Missing game",0)</x:f>
        <x:v>45935</x:v>
      </x:c>
      <x:c r="AK682" t="str">
        <x:f>_xlfn.XLOOKUP($A682,Games!$A$2:$A$18,Games!$F$2:$F$18,"Missing game",0)</x:f>
        <x:v>Sunday</x:v>
      </x:c>
      <x:c r="AL682" t="str">
        <x:f>_xlfn.XLOOKUP($A682,Games!$A$2:$A$18,Games!$G$2:$G$18,"Missing game",0)</x:f>
        <x:v>MIN</x:v>
      </x:c>
      <x:c r="AM682" t="n">
        <x:f>_xlfn.XLOOKUP($A682,Games!$A$2:$A$18,Games!$H$2:$H$18,"Missing game",0)</x:f>
        <x:v>21</x:v>
      </x:c>
      <x:c r="AN682" t="str">
        <x:f>_xlfn.XLOOKUP($A682,Games!$A$2:$A$18,Games!$I$2:$I$18,"Missing game",0)</x:f>
        <x:v>CLE</x:v>
      </x:c>
      <x:c r="AO682" t="n">
        <x:f>_xlfn.XLOOKUP($A682,Games!$A$2:$A$18,Games!$J$2:$J$18,"Missing game",0)</x:f>
        <x:v>17</x:v>
      </x:c>
      <x:c r="AP682" t="n">
        <x:f>_xlfn.XLOOKUP($A682,Games!$A$2:$A$18,Games!$K$2:$K$18,"Missing game",0)</x:f>
        <x:v>-4</x:v>
      </x:c>
      <x:c r="AQ682" t="n">
        <x:f>_xlfn.XLOOKUP($A682,Games!$A$2:$A$18,Games!$L$2:$L$18,"Missing game",0)</x:f>
        <x:v>38</x:v>
      </x:c>
      <x:c r="AR682" t="n">
        <x:f>_xlfn.XLOOKUP($A682,Games!$A$2:$A$18,Games!$M$2:$M$18,"Missing game",0)</x:f>
        <x:v>0</x:v>
      </x:c>
      <x:c r="AS682" t="str">
        <x:f>_xlfn.XLOOKUP($A682,Games!$A$2:$A$18,Games!$N$2:$N$18,"Missing game",0)</x:f>
        <x:v>outdoors</x:v>
      </x:c>
      <x:c r="AT682" t="str">
        <x:f>_xlfn.XLOOKUP($A682,Games!$A$2:$A$18,Games!$O$2:$O$18,"Missing game",0)</x:f>
        <x:v>grass</x:v>
      </x:c>
      <x:c r="AU682" t="n">
        <x:f>_xlfn.XLOOKUP($A682,Games!$A$2:$A$18,Games!$P$2:$P$18,"Missing game",0)</x:f>
        <x:v>61</x:v>
      </x:c>
      <x:c r="AV682" t="n">
        <x:f>_xlfn.XLOOKUP($A682,Games!$A$2:$A$18,Games!$Q$2:$Q$18,"Missing game",0)</x:f>
        <x:v>14</x:v>
      </x:c>
      <x:c r="AW682" t="str">
        <x:f>_xlfn.XLOOKUP($A682,Games!$A$2:$A$18,Games!$R$2:$R$18,"Missing game",0)</x:f>
        <x:v>FirstEnergy Stadium</x:v>
      </x:c>
    </x:row>
    <x:row r="683">
      <x:c r="A683" t="str">
        <x:v>2025_05_MIN_CLE</x:v>
      </x:c>
      <x:c r="B683" t="n">
        <x:v>246</x:v>
      </x:c>
      <x:c r="C683" t="n">
        <x:v>1</x:v>
      </x:c>
      <x:c r="D683" t="str">
        <x:v>11:51</x:v>
      </x:c>
      <x:c r="E683" t="n">
        <x:v>1</x:v>
      </x:c>
      <x:c r="F683" t="n">
        <x:v>10</x:v>
      </x:c>
      <x:c r="G683" t="str">
        <x:v>MIN</x:v>
      </x:c>
      <x:c r="H683" t="str">
        <x:v>CLE</x:v>
      </x:c>
      <x:c r="I683" t="str">
        <x:v>MIN</x:v>
      </x:c>
      <x:c r="J683" t="n">
        <x:v>78</x:v>
      </x:c>
      <x:c r="K683" t="str">
        <x:v>(11:51) (Shotgun) 11-C.Wentz pass short left to 87-T.Hockenson to MIN 31 for 9 yards (0-G.Newsome).</x:v>
      </x:c>
      <x:c r="L683" t="str">
        <x:v>pass</x:v>
      </x:c>
      <x:c r="M683" t="n">
        <x:v>9</x:v>
      </x:c>
      <x:c r="N683" t="n">
        <x:v>1</x:v>
      </x:c>
      <x:c r="O683" t="n">
        <x:v>0</x:v>
      </x:c>
      <x:c r="P683" t="str">
        <x:v>short</x:v>
      </x:c>
      <x:c r="Q683" t="str">
        <x:v>left</x:v>
      </x:c>
      <x:c r="R683" t="n">
        <x:v>-3</x:v>
      </x:c>
      <x:c r="S683" t="n">
        <x:v>12</x:v>
      </x:c>
      <x:c r="T683"/>
      <x:c r="U683"/>
      <x:c r="V683" t="n">
        <x:v>1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/>
      <x:c r="AC683" t="n">
        <x:v>0</x:v>
      </x:c>
      <x:c r="AD683" t="n">
        <x:v>0.9340820168145001</x:v>
      </x:c>
      <x:c r="AE683" t="n">
        <x:v>1</x:v>
      </x:c>
      <x:c r="AF683" t="n">
        <x:v>0.0074780285358428955</x:v>
      </x:c>
      <x:c r="AG683" t="n">
        <x:f>_xlfn.XLOOKUP($A683,Games!$A$2:$A$18,Games!$B$2:$B$18,"Missing game",0)</x:f>
        <x:v>2025</x:v>
      </x:c>
      <x:c r="AH683" t="str">
        <x:f>_xlfn.XLOOKUP($A683,Games!$A$2:$A$18,Games!$C$2:$C$18,"Missing game",0)</x:f>
        <x:v>REG</x:v>
      </x:c>
      <x:c r="AI683" t="n">
        <x:f>_xlfn.XLOOKUP($A683,Games!$A$2:$A$18,Games!$D$2:$D$18,"Missing game",0)</x:f>
        <x:v>5</x:v>
      </x:c>
      <x:c r="AJ683" s="1" t="n">
        <x:f>_xlfn.XLOOKUP($A683,Games!$A$2:$A$18,Games!$E$2:$E$18,"Missing game",0)</x:f>
        <x:v>45935</x:v>
      </x:c>
      <x:c r="AK683" t="str">
        <x:f>_xlfn.XLOOKUP($A683,Games!$A$2:$A$18,Games!$F$2:$F$18,"Missing game",0)</x:f>
        <x:v>Sunday</x:v>
      </x:c>
      <x:c r="AL683" t="str">
        <x:f>_xlfn.XLOOKUP($A683,Games!$A$2:$A$18,Games!$G$2:$G$18,"Missing game",0)</x:f>
        <x:v>MIN</x:v>
      </x:c>
      <x:c r="AM683" t="n">
        <x:f>_xlfn.XLOOKUP($A683,Games!$A$2:$A$18,Games!$H$2:$H$18,"Missing game",0)</x:f>
        <x:v>21</x:v>
      </x:c>
      <x:c r="AN683" t="str">
        <x:f>_xlfn.XLOOKUP($A683,Games!$A$2:$A$18,Games!$I$2:$I$18,"Missing game",0)</x:f>
        <x:v>CLE</x:v>
      </x:c>
      <x:c r="AO683" t="n">
        <x:f>_xlfn.XLOOKUP($A683,Games!$A$2:$A$18,Games!$J$2:$J$18,"Missing game",0)</x:f>
        <x:v>17</x:v>
      </x:c>
      <x:c r="AP683" t="n">
        <x:f>_xlfn.XLOOKUP($A683,Games!$A$2:$A$18,Games!$K$2:$K$18,"Missing game",0)</x:f>
        <x:v>-4</x:v>
      </x:c>
      <x:c r="AQ683" t="n">
        <x:f>_xlfn.XLOOKUP($A683,Games!$A$2:$A$18,Games!$L$2:$L$18,"Missing game",0)</x:f>
        <x:v>38</x:v>
      </x:c>
      <x:c r="AR683" t="n">
        <x:f>_xlfn.XLOOKUP($A683,Games!$A$2:$A$18,Games!$M$2:$M$18,"Missing game",0)</x:f>
        <x:v>0</x:v>
      </x:c>
      <x:c r="AS683" t="str">
        <x:f>_xlfn.XLOOKUP($A683,Games!$A$2:$A$18,Games!$N$2:$N$18,"Missing game",0)</x:f>
        <x:v>outdoors</x:v>
      </x:c>
      <x:c r="AT683" t="str">
        <x:f>_xlfn.XLOOKUP($A683,Games!$A$2:$A$18,Games!$O$2:$O$18,"Missing game",0)</x:f>
        <x:v>grass</x:v>
      </x:c>
      <x:c r="AU683" t="n">
        <x:f>_xlfn.XLOOKUP($A683,Games!$A$2:$A$18,Games!$P$2:$P$18,"Missing game",0)</x:f>
        <x:v>61</x:v>
      </x:c>
      <x:c r="AV683" t="n">
        <x:f>_xlfn.XLOOKUP($A683,Games!$A$2:$A$18,Games!$Q$2:$Q$18,"Missing game",0)</x:f>
        <x:v>14</x:v>
      </x:c>
      <x:c r="AW683" t="str">
        <x:f>_xlfn.XLOOKUP($A683,Games!$A$2:$A$18,Games!$R$2:$R$18,"Missing game",0)</x:f>
        <x:v>FirstEnergy Stadium</x:v>
      </x:c>
    </x:row>
    <x:row r="684">
      <x:c r="A684" t="str">
        <x:v>2025_05_MIN_CLE</x:v>
      </x:c>
      <x:c r="B684" t="n">
        <x:v>271</x:v>
      </x:c>
      <x:c r="C684" t="n">
        <x:v>1</x:v>
      </x:c>
      <x:c r="D684" t="str">
        <x:v>11:11</x:v>
      </x:c>
      <x:c r="E684" t="n">
        <x:v>2</x:v>
      </x:c>
      <x:c r="F684" t="n">
        <x:v>1</x:v>
      </x:c>
      <x:c r="G684" t="str">
        <x:v>MIN</x:v>
      </x:c>
      <x:c r="H684" t="str">
        <x:v>CLE</x:v>
      </x:c>
      <x:c r="I684" t="str">
        <x:v>MIN</x:v>
      </x:c>
      <x:c r="J684" t="n">
        <x:v>69</x:v>
      </x:c>
      <x:c r="K684" t="str">
        <x:v>(11:11) 11-C.Wentz pass short right to 18-J.Jefferson to MIN 42 for 11 yards (17-J.Baker).</x:v>
      </x:c>
      <x:c r="L684" t="str">
        <x:v>pass</x:v>
      </x:c>
      <x:c r="M684" t="n">
        <x:v>11</x:v>
      </x:c>
      <x:c r="N684" t="n">
        <x:v>0</x:v>
      </x:c>
      <x:c r="O684" t="n">
        <x:v>0</x:v>
      </x:c>
      <x:c r="P684" t="str">
        <x:v>short</x:v>
      </x:c>
      <x:c r="Q684" t="str">
        <x:v>right</x:v>
      </x:c>
      <x:c r="R684" t="n">
        <x:v>0</x:v>
      </x:c>
      <x:c r="S684" t="n">
        <x:v>11</x:v>
      </x:c>
      <x:c r="T684"/>
      <x:c r="U684"/>
      <x:c r="V684" t="n">
        <x:v>1</x:v>
      </x:c>
      <x:c r="W684" t="n">
        <x:v>1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/>
      <x:c r="AC684" t="n">
        <x:v>0</x:v>
      </x:c>
      <x:c r="AD684" t="n">
        <x:v>0.5154872622806579</x:v>
      </x:c>
      <x:c r="AE684" t="n">
        <x:v>1</x:v>
      </x:c>
      <x:c r="AF684" t="n">
        <x:v>0.020536065101623535</x:v>
      </x:c>
      <x:c r="AG684" t="n">
        <x:f>_xlfn.XLOOKUP($A684,Games!$A$2:$A$18,Games!$B$2:$B$18,"Missing game",0)</x:f>
        <x:v>2025</x:v>
      </x:c>
      <x:c r="AH684" t="str">
        <x:f>_xlfn.XLOOKUP($A684,Games!$A$2:$A$18,Games!$C$2:$C$18,"Missing game",0)</x:f>
        <x:v>REG</x:v>
      </x:c>
      <x:c r="AI684" t="n">
        <x:f>_xlfn.XLOOKUP($A684,Games!$A$2:$A$18,Games!$D$2:$D$18,"Missing game",0)</x:f>
        <x:v>5</x:v>
      </x:c>
      <x:c r="AJ684" s="1" t="n">
        <x:f>_xlfn.XLOOKUP($A684,Games!$A$2:$A$18,Games!$E$2:$E$18,"Missing game",0)</x:f>
        <x:v>45935</x:v>
      </x:c>
      <x:c r="AK684" t="str">
        <x:f>_xlfn.XLOOKUP($A684,Games!$A$2:$A$18,Games!$F$2:$F$18,"Missing game",0)</x:f>
        <x:v>Sunday</x:v>
      </x:c>
      <x:c r="AL684" t="str">
        <x:f>_xlfn.XLOOKUP($A684,Games!$A$2:$A$18,Games!$G$2:$G$18,"Missing game",0)</x:f>
        <x:v>MIN</x:v>
      </x:c>
      <x:c r="AM684" t="n">
        <x:f>_xlfn.XLOOKUP($A684,Games!$A$2:$A$18,Games!$H$2:$H$18,"Missing game",0)</x:f>
        <x:v>21</x:v>
      </x:c>
      <x:c r="AN684" t="str">
        <x:f>_xlfn.XLOOKUP($A684,Games!$A$2:$A$18,Games!$I$2:$I$18,"Missing game",0)</x:f>
        <x:v>CLE</x:v>
      </x:c>
      <x:c r="AO684" t="n">
        <x:f>_xlfn.XLOOKUP($A684,Games!$A$2:$A$18,Games!$J$2:$J$18,"Missing game",0)</x:f>
        <x:v>17</x:v>
      </x:c>
      <x:c r="AP684" t="n">
        <x:f>_xlfn.XLOOKUP($A684,Games!$A$2:$A$18,Games!$K$2:$K$18,"Missing game",0)</x:f>
        <x:v>-4</x:v>
      </x:c>
      <x:c r="AQ684" t="n">
        <x:f>_xlfn.XLOOKUP($A684,Games!$A$2:$A$18,Games!$L$2:$L$18,"Missing game",0)</x:f>
        <x:v>38</x:v>
      </x:c>
      <x:c r="AR684" t="n">
        <x:f>_xlfn.XLOOKUP($A684,Games!$A$2:$A$18,Games!$M$2:$M$18,"Missing game",0)</x:f>
        <x:v>0</x:v>
      </x:c>
      <x:c r="AS684" t="str">
        <x:f>_xlfn.XLOOKUP($A684,Games!$A$2:$A$18,Games!$N$2:$N$18,"Missing game",0)</x:f>
        <x:v>outdoors</x:v>
      </x:c>
      <x:c r="AT684" t="str">
        <x:f>_xlfn.XLOOKUP($A684,Games!$A$2:$A$18,Games!$O$2:$O$18,"Missing game",0)</x:f>
        <x:v>grass</x:v>
      </x:c>
      <x:c r="AU684" t="n">
        <x:f>_xlfn.XLOOKUP($A684,Games!$A$2:$A$18,Games!$P$2:$P$18,"Missing game",0)</x:f>
        <x:v>61</x:v>
      </x:c>
      <x:c r="AV684" t="n">
        <x:f>_xlfn.XLOOKUP($A684,Games!$A$2:$A$18,Games!$Q$2:$Q$18,"Missing game",0)</x:f>
        <x:v>14</x:v>
      </x:c>
      <x:c r="AW684" t="str">
        <x:f>_xlfn.XLOOKUP($A684,Games!$A$2:$A$18,Games!$R$2:$R$18,"Missing game",0)</x:f>
        <x:v>FirstEnergy Stadium</x:v>
      </x:c>
    </x:row>
    <x:row r="685">
      <x:c r="A685" t="str">
        <x:v>2025_05_MIN_CLE</x:v>
      </x:c>
      <x:c r="B685" t="n">
        <x:v>296</x:v>
      </x:c>
      <x:c r="C685" t="n">
        <x:v>1</x:v>
      </x:c>
      <x:c r="D685" t="str">
        <x:v>10:30</x:v>
      </x:c>
      <x:c r="E685" t="n">
        <x:v>1</x:v>
      </x:c>
      <x:c r="F685" t="n">
        <x:v>10</x:v>
      </x:c>
      <x:c r="G685" t="str">
        <x:v>MIN</x:v>
      </x:c>
      <x:c r="H685" t="str">
        <x:v>CLE</x:v>
      </x:c>
      <x:c r="I685" t="str">
        <x:v>MIN</x:v>
      </x:c>
      <x:c r="J685" t="n">
        <x:v>58</x:v>
      </x:c>
      <x:c r="K685" t="str">
        <x:v>(10:30) (Shotgun) 11-C.Wentz pass incomplete deep left to 18-J.Jefferson (0-G.Newsome).</x:v>
      </x:c>
      <x:c r="L685" t="str">
        <x:v>pass</x:v>
      </x:c>
      <x:c r="M685" t="n">
        <x:v>0</x:v>
      </x:c>
      <x:c r="N685" t="n">
        <x:v>1</x:v>
      </x:c>
      <x:c r="O685" t="n">
        <x:v>0</x:v>
      </x:c>
      <x:c r="P685" t="str">
        <x:v>deep</x:v>
      </x:c>
      <x:c r="Q685" t="str">
        <x:v>left</x:v>
      </x:c>
      <x:c r="R685" t="n">
        <x:v>28</x:v>
      </x:c>
      <x:c r="S685"/>
      <x:c r="T685"/>
      <x:c r="U685"/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/>
      <x:c r="AC685" t="n">
        <x:v>0</x:v>
      </x:c>
      <x:c r="AD685" t="n">
        <x:v>-0.5139443066436797</x:v>
      </x:c>
      <x:c r="AE685" t="n">
        <x:v>0</x:v>
      </x:c>
      <x:c r="AF685" t="n">
        <x:v>-0.015663623809814453</x:v>
      </x:c>
      <x:c r="AG685" t="n">
        <x:f>_xlfn.XLOOKUP($A685,Games!$A$2:$A$18,Games!$B$2:$B$18,"Missing game",0)</x:f>
        <x:v>2025</x:v>
      </x:c>
      <x:c r="AH685" t="str">
        <x:f>_xlfn.XLOOKUP($A685,Games!$A$2:$A$18,Games!$C$2:$C$18,"Missing game",0)</x:f>
        <x:v>REG</x:v>
      </x:c>
      <x:c r="AI685" t="n">
        <x:f>_xlfn.XLOOKUP($A685,Games!$A$2:$A$18,Games!$D$2:$D$18,"Missing game",0)</x:f>
        <x:v>5</x:v>
      </x:c>
      <x:c r="AJ685" s="1" t="n">
        <x:f>_xlfn.XLOOKUP($A685,Games!$A$2:$A$18,Games!$E$2:$E$18,"Missing game",0)</x:f>
        <x:v>45935</x:v>
      </x:c>
      <x:c r="AK685" t="str">
        <x:f>_xlfn.XLOOKUP($A685,Games!$A$2:$A$18,Games!$F$2:$F$18,"Missing game",0)</x:f>
        <x:v>Sunday</x:v>
      </x:c>
      <x:c r="AL685" t="str">
        <x:f>_xlfn.XLOOKUP($A685,Games!$A$2:$A$18,Games!$G$2:$G$18,"Missing game",0)</x:f>
        <x:v>MIN</x:v>
      </x:c>
      <x:c r="AM685" t="n">
        <x:f>_xlfn.XLOOKUP($A685,Games!$A$2:$A$18,Games!$H$2:$H$18,"Missing game",0)</x:f>
        <x:v>21</x:v>
      </x:c>
      <x:c r="AN685" t="str">
        <x:f>_xlfn.XLOOKUP($A685,Games!$A$2:$A$18,Games!$I$2:$I$18,"Missing game",0)</x:f>
        <x:v>CLE</x:v>
      </x:c>
      <x:c r="AO685" t="n">
        <x:f>_xlfn.XLOOKUP($A685,Games!$A$2:$A$18,Games!$J$2:$J$18,"Missing game",0)</x:f>
        <x:v>17</x:v>
      </x:c>
      <x:c r="AP685" t="n">
        <x:f>_xlfn.XLOOKUP($A685,Games!$A$2:$A$18,Games!$K$2:$K$18,"Missing game",0)</x:f>
        <x:v>-4</x:v>
      </x:c>
      <x:c r="AQ685" t="n">
        <x:f>_xlfn.XLOOKUP($A685,Games!$A$2:$A$18,Games!$L$2:$L$18,"Missing game",0)</x:f>
        <x:v>38</x:v>
      </x:c>
      <x:c r="AR685" t="n">
        <x:f>_xlfn.XLOOKUP($A685,Games!$A$2:$A$18,Games!$M$2:$M$18,"Missing game",0)</x:f>
        <x:v>0</x:v>
      </x:c>
      <x:c r="AS685" t="str">
        <x:f>_xlfn.XLOOKUP($A685,Games!$A$2:$A$18,Games!$N$2:$N$18,"Missing game",0)</x:f>
        <x:v>outdoors</x:v>
      </x:c>
      <x:c r="AT685" t="str">
        <x:f>_xlfn.XLOOKUP($A685,Games!$A$2:$A$18,Games!$O$2:$O$18,"Missing game",0)</x:f>
        <x:v>grass</x:v>
      </x:c>
      <x:c r="AU685" t="n">
        <x:f>_xlfn.XLOOKUP($A685,Games!$A$2:$A$18,Games!$P$2:$P$18,"Missing game",0)</x:f>
        <x:v>61</x:v>
      </x:c>
      <x:c r="AV685" t="n">
        <x:f>_xlfn.XLOOKUP($A685,Games!$A$2:$A$18,Games!$Q$2:$Q$18,"Missing game",0)</x:f>
        <x:v>14</x:v>
      </x:c>
      <x:c r="AW685" t="str">
        <x:f>_xlfn.XLOOKUP($A685,Games!$A$2:$A$18,Games!$R$2:$R$18,"Missing game",0)</x:f>
        <x:v>FirstEnergy Stadium</x:v>
      </x:c>
    </x:row>
    <x:row r="686">
      <x:c r="A686" t="str">
        <x:v>2025_05_MIN_CLE</x:v>
      </x:c>
      <x:c r="B686" t="n">
        <x:v>319</x:v>
      </x:c>
      <x:c r="C686" t="n">
        <x:v>1</x:v>
      </x:c>
      <x:c r="D686" t="str">
        <x:v>10:24</x:v>
      </x:c>
      <x:c r="E686" t="n">
        <x:v>2</x:v>
      </x:c>
      <x:c r="F686" t="n">
        <x:v>10</x:v>
      </x:c>
      <x:c r="G686" t="str">
        <x:v>MIN</x:v>
      </x:c>
      <x:c r="H686" t="str">
        <x:v>CLE</x:v>
      </x:c>
      <x:c r="I686" t="str">
        <x:v>MIN</x:v>
      </x:c>
      <x:c r="J686" t="n">
        <x:v>58</x:v>
      </x:c>
      <x:c r="K686" t="str">
        <x:v>(10:24) 27-J.Mason right guard to MIN 44 for 2 yards (91-A.Wright; 0-G.Newsome). FUMBLES (91-A.Wright), RECOVERED by CLE-9-G.Delpit at MIN 47.</x:v>
      </x:c>
      <x:c r="L686" t="str">
        <x:v>run</x:v>
      </x:c>
      <x:c r="M686" t="n">
        <x:v>2</x:v>
      </x:c>
      <x:c r="N686" t="n">
        <x:v>0</x:v>
      </x:c>
      <x:c r="O686" t="n">
        <x:v>0</x:v>
      </x:c>
      <x:c r="P686"/>
      <x:c r="Q686"/>
      <x:c r="R686"/>
      <x:c r="S686"/>
      <x:c r="T686" t="str">
        <x:v>right</x:v>
      </x:c>
      <x:c r="U686" t="str">
        <x:v>guard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1</x:v>
      </x:c>
      <x:c r="AA686" t="n">
        <x:v>0</x:v>
      </x:c>
      <x:c r="AB686"/>
      <x:c r="AC686" t="n">
        <x:v>0</x:v>
      </x:c>
      <x:c r="AD686" t="n">
        <x:v>-4.179921615868807</x:v>
      </x:c>
      <x:c r="AE686" t="n">
        <x:v>0</x:v>
      </x:c>
      <x:c r="AF686" t="n">
        <x:v>-0.09121739864349365</x:v>
      </x:c>
      <x:c r="AG686" t="n">
        <x:f>_xlfn.XLOOKUP($A686,Games!$A$2:$A$18,Games!$B$2:$B$18,"Missing game",0)</x:f>
        <x:v>2025</x:v>
      </x:c>
      <x:c r="AH686" t="str">
        <x:f>_xlfn.XLOOKUP($A686,Games!$A$2:$A$18,Games!$C$2:$C$18,"Missing game",0)</x:f>
        <x:v>REG</x:v>
      </x:c>
      <x:c r="AI686" t="n">
        <x:f>_xlfn.XLOOKUP($A686,Games!$A$2:$A$18,Games!$D$2:$D$18,"Missing game",0)</x:f>
        <x:v>5</x:v>
      </x:c>
      <x:c r="AJ686" s="1" t="n">
        <x:f>_xlfn.XLOOKUP($A686,Games!$A$2:$A$18,Games!$E$2:$E$18,"Missing game",0)</x:f>
        <x:v>45935</x:v>
      </x:c>
      <x:c r="AK686" t="str">
        <x:f>_xlfn.XLOOKUP($A686,Games!$A$2:$A$18,Games!$F$2:$F$18,"Missing game",0)</x:f>
        <x:v>Sunday</x:v>
      </x:c>
      <x:c r="AL686" t="str">
        <x:f>_xlfn.XLOOKUP($A686,Games!$A$2:$A$18,Games!$G$2:$G$18,"Missing game",0)</x:f>
        <x:v>MIN</x:v>
      </x:c>
      <x:c r="AM686" t="n">
        <x:f>_xlfn.XLOOKUP($A686,Games!$A$2:$A$18,Games!$H$2:$H$18,"Missing game",0)</x:f>
        <x:v>21</x:v>
      </x:c>
      <x:c r="AN686" t="str">
        <x:f>_xlfn.XLOOKUP($A686,Games!$A$2:$A$18,Games!$I$2:$I$18,"Missing game",0)</x:f>
        <x:v>CLE</x:v>
      </x:c>
      <x:c r="AO686" t="n">
        <x:f>_xlfn.XLOOKUP($A686,Games!$A$2:$A$18,Games!$J$2:$J$18,"Missing game",0)</x:f>
        <x:v>17</x:v>
      </x:c>
      <x:c r="AP686" t="n">
        <x:f>_xlfn.XLOOKUP($A686,Games!$A$2:$A$18,Games!$K$2:$K$18,"Missing game",0)</x:f>
        <x:v>-4</x:v>
      </x:c>
      <x:c r="AQ686" t="n">
        <x:f>_xlfn.XLOOKUP($A686,Games!$A$2:$A$18,Games!$L$2:$L$18,"Missing game",0)</x:f>
        <x:v>38</x:v>
      </x:c>
      <x:c r="AR686" t="n">
        <x:f>_xlfn.XLOOKUP($A686,Games!$A$2:$A$18,Games!$M$2:$M$18,"Missing game",0)</x:f>
        <x:v>0</x:v>
      </x:c>
      <x:c r="AS686" t="str">
        <x:f>_xlfn.XLOOKUP($A686,Games!$A$2:$A$18,Games!$N$2:$N$18,"Missing game",0)</x:f>
        <x:v>outdoors</x:v>
      </x:c>
      <x:c r="AT686" t="str">
        <x:f>_xlfn.XLOOKUP($A686,Games!$A$2:$A$18,Games!$O$2:$O$18,"Missing game",0)</x:f>
        <x:v>grass</x:v>
      </x:c>
      <x:c r="AU686" t="n">
        <x:f>_xlfn.XLOOKUP($A686,Games!$A$2:$A$18,Games!$P$2:$P$18,"Missing game",0)</x:f>
        <x:v>61</x:v>
      </x:c>
      <x:c r="AV686" t="n">
        <x:f>_xlfn.XLOOKUP($A686,Games!$A$2:$A$18,Games!$Q$2:$Q$18,"Missing game",0)</x:f>
        <x:v>14</x:v>
      </x:c>
      <x:c r="AW686" t="str">
        <x:f>_xlfn.XLOOKUP($A686,Games!$A$2:$A$18,Games!$R$2:$R$18,"Missing game",0)</x:f>
        <x:v>FirstEnergy Stadium</x:v>
      </x:c>
    </x:row>
    <x:row r="687">
      <x:c r="A687" t="str">
        <x:v>2025_05_MIN_CLE</x:v>
      </x:c>
      <x:c r="B687" t="n">
        <x:v>357</x:v>
      </x:c>
      <x:c r="C687" t="n">
        <x:v>1</x:v>
      </x:c>
      <x:c r="D687" t="str">
        <x:v>10:17</x:v>
      </x:c>
      <x:c r="E687" t="n">
        <x:v>1</x:v>
      </x:c>
      <x:c r="F687" t="n">
        <x:v>10</x:v>
      </x:c>
      <x:c r="G687" t="str">
        <x:v>CLE</x:v>
      </x:c>
      <x:c r="H687" t="str">
        <x:v>MIN</x:v>
      </x:c>
      <x:c r="I687" t="str">
        <x:v>MIN</x:v>
      </x:c>
      <x:c r="J687" t="n">
        <x:v>47</x:v>
      </x:c>
      <x:c r="K687" t="str">
        <x:v>(10:17) 10-Q.Judkins right tackle pushed ob at MIN 15 for 32 yards (55-E.Wilson).</x:v>
      </x:c>
      <x:c r="L687" t="str">
        <x:v>run</x:v>
      </x:c>
      <x:c r="M687" t="n">
        <x:v>32</x:v>
      </x:c>
      <x:c r="N687" t="n">
        <x:v>0</x:v>
      </x:c>
      <x:c r="O687" t="n">
        <x:v>0</x:v>
      </x:c>
      <x:c r="P687"/>
      <x:c r="Q687"/>
      <x:c r="R687"/>
      <x:c r="S687"/>
      <x:c r="T687" t="str">
        <x:v>right</x:v>
      </x:c>
      <x:c r="U687" t="str">
        <x:v>tackle</x:v>
      </x:c>
      <x:c r="V687" t="n">
        <x:v>0</x:v>
      </x:c>
      <x:c r="W687" t="n">
        <x:v>1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/>
      <x:c r="AC687" t="n">
        <x:v>0</x:v>
      </x:c>
      <x:c r="AD687" t="n">
        <x:v>2.131775881978683</x:v>
      </x:c>
      <x:c r="AE687" t="n">
        <x:v>1</x:v>
      </x:c>
      <x:c r="AF687" t="n">
        <x:v>0.07528603076934814</x:v>
      </x:c>
      <x:c r="AG687" t="n">
        <x:f>_xlfn.XLOOKUP($A687,Games!$A$2:$A$18,Games!$B$2:$B$18,"Missing game",0)</x:f>
        <x:v>2025</x:v>
      </x:c>
      <x:c r="AH687" t="str">
        <x:f>_xlfn.XLOOKUP($A687,Games!$A$2:$A$18,Games!$C$2:$C$18,"Missing game",0)</x:f>
        <x:v>REG</x:v>
      </x:c>
      <x:c r="AI687" t="n">
        <x:f>_xlfn.XLOOKUP($A687,Games!$A$2:$A$18,Games!$D$2:$D$18,"Missing game",0)</x:f>
        <x:v>5</x:v>
      </x:c>
      <x:c r="AJ687" s="1" t="n">
        <x:f>_xlfn.XLOOKUP($A687,Games!$A$2:$A$18,Games!$E$2:$E$18,"Missing game",0)</x:f>
        <x:v>45935</x:v>
      </x:c>
      <x:c r="AK687" t="str">
        <x:f>_xlfn.XLOOKUP($A687,Games!$A$2:$A$18,Games!$F$2:$F$18,"Missing game",0)</x:f>
        <x:v>Sunday</x:v>
      </x:c>
      <x:c r="AL687" t="str">
        <x:f>_xlfn.XLOOKUP($A687,Games!$A$2:$A$18,Games!$G$2:$G$18,"Missing game",0)</x:f>
        <x:v>MIN</x:v>
      </x:c>
      <x:c r="AM687" t="n">
        <x:f>_xlfn.XLOOKUP($A687,Games!$A$2:$A$18,Games!$H$2:$H$18,"Missing game",0)</x:f>
        <x:v>21</x:v>
      </x:c>
      <x:c r="AN687" t="str">
        <x:f>_xlfn.XLOOKUP($A687,Games!$A$2:$A$18,Games!$I$2:$I$18,"Missing game",0)</x:f>
        <x:v>CLE</x:v>
      </x:c>
      <x:c r="AO687" t="n">
        <x:f>_xlfn.XLOOKUP($A687,Games!$A$2:$A$18,Games!$J$2:$J$18,"Missing game",0)</x:f>
        <x:v>17</x:v>
      </x:c>
      <x:c r="AP687" t="n">
        <x:f>_xlfn.XLOOKUP($A687,Games!$A$2:$A$18,Games!$K$2:$K$18,"Missing game",0)</x:f>
        <x:v>-4</x:v>
      </x:c>
      <x:c r="AQ687" t="n">
        <x:f>_xlfn.XLOOKUP($A687,Games!$A$2:$A$18,Games!$L$2:$L$18,"Missing game",0)</x:f>
        <x:v>38</x:v>
      </x:c>
      <x:c r="AR687" t="n">
        <x:f>_xlfn.XLOOKUP($A687,Games!$A$2:$A$18,Games!$M$2:$M$18,"Missing game",0)</x:f>
        <x:v>0</x:v>
      </x:c>
      <x:c r="AS687" t="str">
        <x:f>_xlfn.XLOOKUP($A687,Games!$A$2:$A$18,Games!$N$2:$N$18,"Missing game",0)</x:f>
        <x:v>outdoors</x:v>
      </x:c>
      <x:c r="AT687" t="str">
        <x:f>_xlfn.XLOOKUP($A687,Games!$A$2:$A$18,Games!$O$2:$O$18,"Missing game",0)</x:f>
        <x:v>grass</x:v>
      </x:c>
      <x:c r="AU687" t="n">
        <x:f>_xlfn.XLOOKUP($A687,Games!$A$2:$A$18,Games!$P$2:$P$18,"Missing game",0)</x:f>
        <x:v>61</x:v>
      </x:c>
      <x:c r="AV687" t="n">
        <x:f>_xlfn.XLOOKUP($A687,Games!$A$2:$A$18,Games!$Q$2:$Q$18,"Missing game",0)</x:f>
        <x:v>14</x:v>
      </x:c>
      <x:c r="AW687" t="str">
        <x:f>_xlfn.XLOOKUP($A687,Games!$A$2:$A$18,Games!$R$2:$R$18,"Missing game",0)</x:f>
        <x:v>FirstEnergy Stadium</x:v>
      </x:c>
    </x:row>
    <x:row r="688">
      <x:c r="A688" t="str">
        <x:v>2025_05_MIN_CLE</x:v>
      </x:c>
      <x:c r="B688" t="n">
        <x:v>391</x:v>
      </x:c>
      <x:c r="C688" t="n">
        <x:v>1</x:v>
      </x:c>
      <x:c r="D688" t="str">
        <x:v>09:34</x:v>
      </x:c>
      <x:c r="E688" t="n">
        <x:v>1</x:v>
      </x:c>
      <x:c r="F688" t="n">
        <x:v>10</x:v>
      </x:c>
      <x:c r="G688" t="str">
        <x:v>CLE</x:v>
      </x:c>
      <x:c r="H688" t="str">
        <x:v>MIN</x:v>
      </x:c>
      <x:c r="I688" t="str">
        <x:v>MIN</x:v>
      </x:c>
      <x:c r="J688" t="n">
        <x:v>15</x:v>
      </x:c>
      <x:c r="K688" t="str">
        <x:v>(9:34) (Shotgun) 10-Q.Judkins up the middle to MIN 6 for 9 yards (44-J.Metellus).</x:v>
      </x:c>
      <x:c r="L688" t="str">
        <x:v>run</x:v>
      </x:c>
      <x:c r="M688" t="n">
        <x:v>9</x:v>
      </x:c>
      <x:c r="N688" t="n">
        <x:v>1</x:v>
      </x:c>
      <x:c r="O688" t="n">
        <x:v>0</x:v>
      </x:c>
      <x:c r="P688"/>
      <x:c r="Q688"/>
      <x:c r="R688"/>
      <x:c r="S688"/>
      <x:c r="T688" t="str">
        <x:v>middle</x:v>
      </x:c>
      <x:c r="U688"/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/>
      <x:c r="AC688" t="n">
        <x:v>0</x:v>
      </x:c>
      <x:c r="AD688" t="n">
        <x:v>0.789650542079471</x:v>
      </x:c>
      <x:c r="AE688" t="n">
        <x:v>1</x:v>
      </x:c>
      <x:c r="AF688" t="n">
        <x:v>0.03788691759109497</x:v>
      </x:c>
      <x:c r="AG688" t="n">
        <x:f>_xlfn.XLOOKUP($A688,Games!$A$2:$A$18,Games!$B$2:$B$18,"Missing game",0)</x:f>
        <x:v>2025</x:v>
      </x:c>
      <x:c r="AH688" t="str">
        <x:f>_xlfn.XLOOKUP($A688,Games!$A$2:$A$18,Games!$C$2:$C$18,"Missing game",0)</x:f>
        <x:v>REG</x:v>
      </x:c>
      <x:c r="AI688" t="n">
        <x:f>_xlfn.XLOOKUP($A688,Games!$A$2:$A$18,Games!$D$2:$D$18,"Missing game",0)</x:f>
        <x:v>5</x:v>
      </x:c>
      <x:c r="AJ688" s="1" t="n">
        <x:f>_xlfn.XLOOKUP($A688,Games!$A$2:$A$18,Games!$E$2:$E$18,"Missing game",0)</x:f>
        <x:v>45935</x:v>
      </x:c>
      <x:c r="AK688" t="str">
        <x:f>_xlfn.XLOOKUP($A688,Games!$A$2:$A$18,Games!$F$2:$F$18,"Missing game",0)</x:f>
        <x:v>Sunday</x:v>
      </x:c>
      <x:c r="AL688" t="str">
        <x:f>_xlfn.XLOOKUP($A688,Games!$A$2:$A$18,Games!$G$2:$G$18,"Missing game",0)</x:f>
        <x:v>MIN</x:v>
      </x:c>
      <x:c r="AM688" t="n">
        <x:f>_xlfn.XLOOKUP($A688,Games!$A$2:$A$18,Games!$H$2:$H$18,"Missing game",0)</x:f>
        <x:v>21</x:v>
      </x:c>
      <x:c r="AN688" t="str">
        <x:f>_xlfn.XLOOKUP($A688,Games!$A$2:$A$18,Games!$I$2:$I$18,"Missing game",0)</x:f>
        <x:v>CLE</x:v>
      </x:c>
      <x:c r="AO688" t="n">
        <x:f>_xlfn.XLOOKUP($A688,Games!$A$2:$A$18,Games!$J$2:$J$18,"Missing game",0)</x:f>
        <x:v>17</x:v>
      </x:c>
      <x:c r="AP688" t="n">
        <x:f>_xlfn.XLOOKUP($A688,Games!$A$2:$A$18,Games!$K$2:$K$18,"Missing game",0)</x:f>
        <x:v>-4</x:v>
      </x:c>
      <x:c r="AQ688" t="n">
        <x:f>_xlfn.XLOOKUP($A688,Games!$A$2:$A$18,Games!$L$2:$L$18,"Missing game",0)</x:f>
        <x:v>38</x:v>
      </x:c>
      <x:c r="AR688" t="n">
        <x:f>_xlfn.XLOOKUP($A688,Games!$A$2:$A$18,Games!$M$2:$M$18,"Missing game",0)</x:f>
        <x:v>0</x:v>
      </x:c>
      <x:c r="AS688" t="str">
        <x:f>_xlfn.XLOOKUP($A688,Games!$A$2:$A$18,Games!$N$2:$N$18,"Missing game",0)</x:f>
        <x:v>outdoors</x:v>
      </x:c>
      <x:c r="AT688" t="str">
        <x:f>_xlfn.XLOOKUP($A688,Games!$A$2:$A$18,Games!$O$2:$O$18,"Missing game",0)</x:f>
        <x:v>grass</x:v>
      </x:c>
      <x:c r="AU688" t="n">
        <x:f>_xlfn.XLOOKUP($A688,Games!$A$2:$A$18,Games!$P$2:$P$18,"Missing game",0)</x:f>
        <x:v>61</x:v>
      </x:c>
      <x:c r="AV688" t="n">
        <x:f>_xlfn.XLOOKUP($A688,Games!$A$2:$A$18,Games!$Q$2:$Q$18,"Missing game",0)</x:f>
        <x:v>14</x:v>
      </x:c>
      <x:c r="AW688" t="str">
        <x:f>_xlfn.XLOOKUP($A688,Games!$A$2:$A$18,Games!$R$2:$R$18,"Missing game",0)</x:f>
        <x:v>FirstEnergy Stadium</x:v>
      </x:c>
    </x:row>
    <x:row r="689">
      <x:c r="A689" t="str">
        <x:v>2025_05_MIN_CLE</x:v>
      </x:c>
      <x:c r="B689" t="n">
        <x:v>413</x:v>
      </x:c>
      <x:c r="C689" t="n">
        <x:v>1</x:v>
      </x:c>
      <x:c r="D689" t="str">
        <x:v>08:57</x:v>
      </x:c>
      <x:c r="E689" t="n">
        <x:v>2</x:v>
      </x:c>
      <x:c r="F689" t="n">
        <x:v>1</x:v>
      </x:c>
      <x:c r="G689" t="str">
        <x:v>CLE</x:v>
      </x:c>
      <x:c r="H689" t="str">
        <x:v>MIN</x:v>
      </x:c>
      <x:c r="I689" t="str">
        <x:v>MIN</x:v>
      </x:c>
      <x:c r="J689" t="n">
        <x:v>6</x:v>
      </x:c>
      <x:c r="K689" t="str">
        <x:v>(8:57) 8-D.Gabriel pass incomplete short middle to 16-I.Bond (7-B.Murphy).</x:v>
      </x:c>
      <x:c r="L689" t="str">
        <x:v>pass</x:v>
      </x:c>
      <x:c r="M689" t="n">
        <x:v>0</x:v>
      </x:c>
      <x:c r="N689" t="n">
        <x:v>0</x:v>
      </x:c>
      <x:c r="O689" t="n">
        <x:v>0</x:v>
      </x:c>
      <x:c r="P689" t="str">
        <x:v>short</x:v>
      </x:c>
      <x:c r="Q689" t="str">
        <x:v>middle</x:v>
      </x:c>
      <x:c r="R689" t="n">
        <x:v>6</x:v>
      </x:c>
      <x:c r="S689"/>
      <x:c r="T689"/>
      <x:c r="U689"/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/>
      <x:c r="AC689" t="n">
        <x:v>0</x:v>
      </x:c>
      <x:c r="AD689" t="n">
        <x:v>-0.5607215648633428</x:v>
      </x:c>
      <x:c r="AE689" t="n">
        <x:v>0</x:v>
      </x:c>
      <x:c r="AF689" t="n">
        <x:v>-0.019817233085632324</x:v>
      </x:c>
      <x:c r="AG689" t="n">
        <x:f>_xlfn.XLOOKUP($A689,Games!$A$2:$A$18,Games!$B$2:$B$18,"Missing game",0)</x:f>
        <x:v>2025</x:v>
      </x:c>
      <x:c r="AH689" t="str">
        <x:f>_xlfn.XLOOKUP($A689,Games!$A$2:$A$18,Games!$C$2:$C$18,"Missing game",0)</x:f>
        <x:v>REG</x:v>
      </x:c>
      <x:c r="AI689" t="n">
        <x:f>_xlfn.XLOOKUP($A689,Games!$A$2:$A$18,Games!$D$2:$D$18,"Missing game",0)</x:f>
        <x:v>5</x:v>
      </x:c>
      <x:c r="AJ689" s="1" t="n">
        <x:f>_xlfn.XLOOKUP($A689,Games!$A$2:$A$18,Games!$E$2:$E$18,"Missing game",0)</x:f>
        <x:v>45935</x:v>
      </x:c>
      <x:c r="AK689" t="str">
        <x:f>_xlfn.XLOOKUP($A689,Games!$A$2:$A$18,Games!$F$2:$F$18,"Missing game",0)</x:f>
        <x:v>Sunday</x:v>
      </x:c>
      <x:c r="AL689" t="str">
        <x:f>_xlfn.XLOOKUP($A689,Games!$A$2:$A$18,Games!$G$2:$G$18,"Missing game",0)</x:f>
        <x:v>MIN</x:v>
      </x:c>
      <x:c r="AM689" t="n">
        <x:f>_xlfn.XLOOKUP($A689,Games!$A$2:$A$18,Games!$H$2:$H$18,"Missing game",0)</x:f>
        <x:v>21</x:v>
      </x:c>
      <x:c r="AN689" t="str">
        <x:f>_xlfn.XLOOKUP($A689,Games!$A$2:$A$18,Games!$I$2:$I$18,"Missing game",0)</x:f>
        <x:v>CLE</x:v>
      </x:c>
      <x:c r="AO689" t="n">
        <x:f>_xlfn.XLOOKUP($A689,Games!$A$2:$A$18,Games!$J$2:$J$18,"Missing game",0)</x:f>
        <x:v>17</x:v>
      </x:c>
      <x:c r="AP689" t="n">
        <x:f>_xlfn.XLOOKUP($A689,Games!$A$2:$A$18,Games!$K$2:$K$18,"Missing game",0)</x:f>
        <x:v>-4</x:v>
      </x:c>
      <x:c r="AQ689" t="n">
        <x:f>_xlfn.XLOOKUP($A689,Games!$A$2:$A$18,Games!$L$2:$L$18,"Missing game",0)</x:f>
        <x:v>38</x:v>
      </x:c>
      <x:c r="AR689" t="n">
        <x:f>_xlfn.XLOOKUP($A689,Games!$A$2:$A$18,Games!$M$2:$M$18,"Missing game",0)</x:f>
        <x:v>0</x:v>
      </x:c>
      <x:c r="AS689" t="str">
        <x:f>_xlfn.XLOOKUP($A689,Games!$A$2:$A$18,Games!$N$2:$N$18,"Missing game",0)</x:f>
        <x:v>outdoors</x:v>
      </x:c>
      <x:c r="AT689" t="str">
        <x:f>_xlfn.XLOOKUP($A689,Games!$A$2:$A$18,Games!$O$2:$O$18,"Missing game",0)</x:f>
        <x:v>grass</x:v>
      </x:c>
      <x:c r="AU689" t="n">
        <x:f>_xlfn.XLOOKUP($A689,Games!$A$2:$A$18,Games!$P$2:$P$18,"Missing game",0)</x:f>
        <x:v>61</x:v>
      </x:c>
      <x:c r="AV689" t="n">
        <x:f>_xlfn.XLOOKUP($A689,Games!$A$2:$A$18,Games!$Q$2:$Q$18,"Missing game",0)</x:f>
        <x:v>14</x:v>
      </x:c>
      <x:c r="AW689" t="str">
        <x:f>_xlfn.XLOOKUP($A689,Games!$A$2:$A$18,Games!$R$2:$R$18,"Missing game",0)</x:f>
        <x:v>FirstEnergy Stadium</x:v>
      </x:c>
    </x:row>
    <x:row r="690">
      <x:c r="A690" t="str">
        <x:v>2025_05_MIN_CLE</x:v>
      </x:c>
      <x:c r="B690" t="n">
        <x:v>436</x:v>
      </x:c>
      <x:c r="C690" t="n">
        <x:v>1</x:v>
      </x:c>
      <x:c r="D690" t="str">
        <x:v>08:52</x:v>
      </x:c>
      <x:c r="E690" t="n">
        <x:v>3</x:v>
      </x:c>
      <x:c r="F690" t="n">
        <x:v>1</x:v>
      </x:c>
      <x:c r="G690" t="str">
        <x:v>CLE</x:v>
      </x:c>
      <x:c r="H690" t="str">
        <x:v>MIN</x:v>
      </x:c>
      <x:c r="I690" t="str">
        <x:v>MIN</x:v>
      </x:c>
      <x:c r="J690" t="n">
        <x:v>6</x:v>
      </x:c>
      <x:c r="K690" t="str">
        <x:v>(8:52) 10-Q.Judkins left end to MIN 6 for no gain (58-J.Greenard).</x:v>
      </x:c>
      <x:c r="L690" t="str">
        <x:v>run</x:v>
      </x:c>
      <x:c r="M690" t="n">
        <x:v>0</x:v>
      </x:c>
      <x:c r="N690" t="n">
        <x:v>0</x:v>
      </x:c>
      <x:c r="O690" t="n">
        <x:v>0</x:v>
      </x:c>
      <x:c r="P690"/>
      <x:c r="Q690"/>
      <x:c r="R690"/>
      <x:c r="S690"/>
      <x:c r="T690" t="str">
        <x:v>left</x:v>
      </x:c>
      <x:c r="U690" t="str">
        <x:v>end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/>
      <x:c r="AC690" t="n">
        <x:v>0</x:v>
      </x:c>
      <x:c r="AD690" t="n">
        <x:v>-1.383358289662283</x:v>
      </x:c>
      <x:c r="AE690" t="n">
        <x:v>0</x:v>
      </x:c>
      <x:c r="AF690" t="n">
        <x:v>-0.05196624994277954</x:v>
      </x:c>
      <x:c r="AG690" t="n">
        <x:f>_xlfn.XLOOKUP($A690,Games!$A$2:$A$18,Games!$B$2:$B$18,"Missing game",0)</x:f>
        <x:v>2025</x:v>
      </x:c>
      <x:c r="AH690" t="str">
        <x:f>_xlfn.XLOOKUP($A690,Games!$A$2:$A$18,Games!$C$2:$C$18,"Missing game",0)</x:f>
        <x:v>REG</x:v>
      </x:c>
      <x:c r="AI690" t="n">
        <x:f>_xlfn.XLOOKUP($A690,Games!$A$2:$A$18,Games!$D$2:$D$18,"Missing game",0)</x:f>
        <x:v>5</x:v>
      </x:c>
      <x:c r="AJ690" s="1" t="n">
        <x:f>_xlfn.XLOOKUP($A690,Games!$A$2:$A$18,Games!$E$2:$E$18,"Missing game",0)</x:f>
        <x:v>45935</x:v>
      </x:c>
      <x:c r="AK690" t="str">
        <x:f>_xlfn.XLOOKUP($A690,Games!$A$2:$A$18,Games!$F$2:$F$18,"Missing game",0)</x:f>
        <x:v>Sunday</x:v>
      </x:c>
      <x:c r="AL690" t="str">
        <x:f>_xlfn.XLOOKUP($A690,Games!$A$2:$A$18,Games!$G$2:$G$18,"Missing game",0)</x:f>
        <x:v>MIN</x:v>
      </x:c>
      <x:c r="AM690" t="n">
        <x:f>_xlfn.XLOOKUP($A690,Games!$A$2:$A$18,Games!$H$2:$H$18,"Missing game",0)</x:f>
        <x:v>21</x:v>
      </x:c>
      <x:c r="AN690" t="str">
        <x:f>_xlfn.XLOOKUP($A690,Games!$A$2:$A$18,Games!$I$2:$I$18,"Missing game",0)</x:f>
        <x:v>CLE</x:v>
      </x:c>
      <x:c r="AO690" t="n">
        <x:f>_xlfn.XLOOKUP($A690,Games!$A$2:$A$18,Games!$J$2:$J$18,"Missing game",0)</x:f>
        <x:v>17</x:v>
      </x:c>
      <x:c r="AP690" t="n">
        <x:f>_xlfn.XLOOKUP($A690,Games!$A$2:$A$18,Games!$K$2:$K$18,"Missing game",0)</x:f>
        <x:v>-4</x:v>
      </x:c>
      <x:c r="AQ690" t="n">
        <x:f>_xlfn.XLOOKUP($A690,Games!$A$2:$A$18,Games!$L$2:$L$18,"Missing game",0)</x:f>
        <x:v>38</x:v>
      </x:c>
      <x:c r="AR690" t="n">
        <x:f>_xlfn.XLOOKUP($A690,Games!$A$2:$A$18,Games!$M$2:$M$18,"Missing game",0)</x:f>
        <x:v>0</x:v>
      </x:c>
      <x:c r="AS690" t="str">
        <x:f>_xlfn.XLOOKUP($A690,Games!$A$2:$A$18,Games!$N$2:$N$18,"Missing game",0)</x:f>
        <x:v>outdoors</x:v>
      </x:c>
      <x:c r="AT690" t="str">
        <x:f>_xlfn.XLOOKUP($A690,Games!$A$2:$A$18,Games!$O$2:$O$18,"Missing game",0)</x:f>
        <x:v>grass</x:v>
      </x:c>
      <x:c r="AU690" t="n">
        <x:f>_xlfn.XLOOKUP($A690,Games!$A$2:$A$18,Games!$P$2:$P$18,"Missing game",0)</x:f>
        <x:v>61</x:v>
      </x:c>
      <x:c r="AV690" t="n">
        <x:f>_xlfn.XLOOKUP($A690,Games!$A$2:$A$18,Games!$Q$2:$Q$18,"Missing game",0)</x:f>
        <x:v>14</x:v>
      </x:c>
      <x:c r="AW690" t="str">
        <x:f>_xlfn.XLOOKUP($A690,Games!$A$2:$A$18,Games!$R$2:$R$18,"Missing game",0)</x:f>
        <x:v>FirstEnergy Stadium</x:v>
      </x:c>
    </x:row>
    <x:row r="691">
      <x:c r="A691" t="str">
        <x:v>2025_05_MIN_CLE</x:v>
      </x:c>
      <x:c r="B691" t="n">
        <x:v>458</x:v>
      </x:c>
      <x:c r="C691" t="n">
        <x:v>1</x:v>
      </x:c>
      <x:c r="D691" t="str">
        <x:v>08:15</x:v>
      </x:c>
      <x:c r="E691" t="n">
        <x:v>4</x:v>
      </x:c>
      <x:c r="F691" t="n">
        <x:v>1</x:v>
      </x:c>
      <x:c r="G691" t="str">
        <x:v>CLE</x:v>
      </x:c>
      <x:c r="H691" t="str">
        <x:v>MIN</x:v>
      </x:c>
      <x:c r="I691" t="str">
        <x:v>MIN</x:v>
      </x:c>
      <x:c r="J691" t="n">
        <x:v>6</x:v>
      </x:c>
      <x:c r="K691" t="str">
        <x:v>(8:15) 98-A.Huntington and 74-T.Jenkins reported in as eligible. 10-Q.Judkins right tackle to MIN 4 for 2 yards (55-E.Wilson; 26-T.Jackson).</x:v>
      </x:c>
      <x:c r="L691" t="str">
        <x:v>run</x:v>
      </x:c>
      <x:c r="M691" t="n">
        <x:v>2</x:v>
      </x:c>
      <x:c r="N691" t="n">
        <x:v>0</x:v>
      </x:c>
      <x:c r="O691" t="n">
        <x:v>0</x:v>
      </x:c>
      <x:c r="P691"/>
      <x:c r="Q691"/>
      <x:c r="R691"/>
      <x:c r="S691"/>
      <x:c r="T691" t="str">
        <x:v>right</x:v>
      </x:c>
      <x:c r="U691" t="str">
        <x:v>tackle</x:v>
      </x:c>
      <x:c r="V691" t="n">
        <x:v>0</x:v>
      </x:c>
      <x:c r="W691" t="n">
        <x:v>1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/>
      <x:c r="AC691" t="n">
        <x:v>0</x:v>
      </x:c>
      <x:c r="AD691" t="n">
        <x:v>2.1853601959883235</x:v>
      </x:c>
      <x:c r="AE691" t="n">
        <x:v>1</x:v>
      </x:c>
      <x:c r="AF691" t="n">
        <x:v>0.06034994125366211</x:v>
      </x:c>
      <x:c r="AG691" t="n">
        <x:f>_xlfn.XLOOKUP($A691,Games!$A$2:$A$18,Games!$B$2:$B$18,"Missing game",0)</x:f>
        <x:v>2025</x:v>
      </x:c>
      <x:c r="AH691" t="str">
        <x:f>_xlfn.XLOOKUP($A691,Games!$A$2:$A$18,Games!$C$2:$C$18,"Missing game",0)</x:f>
        <x:v>REG</x:v>
      </x:c>
      <x:c r="AI691" t="n">
        <x:f>_xlfn.XLOOKUP($A691,Games!$A$2:$A$18,Games!$D$2:$D$18,"Missing game",0)</x:f>
        <x:v>5</x:v>
      </x:c>
      <x:c r="AJ691" s="1" t="n">
        <x:f>_xlfn.XLOOKUP($A691,Games!$A$2:$A$18,Games!$E$2:$E$18,"Missing game",0)</x:f>
        <x:v>45935</x:v>
      </x:c>
      <x:c r="AK691" t="str">
        <x:f>_xlfn.XLOOKUP($A691,Games!$A$2:$A$18,Games!$F$2:$F$18,"Missing game",0)</x:f>
        <x:v>Sunday</x:v>
      </x:c>
      <x:c r="AL691" t="str">
        <x:f>_xlfn.XLOOKUP($A691,Games!$A$2:$A$18,Games!$G$2:$G$18,"Missing game",0)</x:f>
        <x:v>MIN</x:v>
      </x:c>
      <x:c r="AM691" t="n">
        <x:f>_xlfn.XLOOKUP($A691,Games!$A$2:$A$18,Games!$H$2:$H$18,"Missing game",0)</x:f>
        <x:v>21</x:v>
      </x:c>
      <x:c r="AN691" t="str">
        <x:f>_xlfn.XLOOKUP($A691,Games!$A$2:$A$18,Games!$I$2:$I$18,"Missing game",0)</x:f>
        <x:v>CLE</x:v>
      </x:c>
      <x:c r="AO691" t="n">
        <x:f>_xlfn.XLOOKUP($A691,Games!$A$2:$A$18,Games!$J$2:$J$18,"Missing game",0)</x:f>
        <x:v>17</x:v>
      </x:c>
      <x:c r="AP691" t="n">
        <x:f>_xlfn.XLOOKUP($A691,Games!$A$2:$A$18,Games!$K$2:$K$18,"Missing game",0)</x:f>
        <x:v>-4</x:v>
      </x:c>
      <x:c r="AQ691" t="n">
        <x:f>_xlfn.XLOOKUP($A691,Games!$A$2:$A$18,Games!$L$2:$L$18,"Missing game",0)</x:f>
        <x:v>38</x:v>
      </x:c>
      <x:c r="AR691" t="n">
        <x:f>_xlfn.XLOOKUP($A691,Games!$A$2:$A$18,Games!$M$2:$M$18,"Missing game",0)</x:f>
        <x:v>0</x:v>
      </x:c>
      <x:c r="AS691" t="str">
        <x:f>_xlfn.XLOOKUP($A691,Games!$A$2:$A$18,Games!$N$2:$N$18,"Missing game",0)</x:f>
        <x:v>outdoors</x:v>
      </x:c>
      <x:c r="AT691" t="str">
        <x:f>_xlfn.XLOOKUP($A691,Games!$A$2:$A$18,Games!$O$2:$O$18,"Missing game",0)</x:f>
        <x:v>grass</x:v>
      </x:c>
      <x:c r="AU691" t="n">
        <x:f>_xlfn.XLOOKUP($A691,Games!$A$2:$A$18,Games!$P$2:$P$18,"Missing game",0)</x:f>
        <x:v>61</x:v>
      </x:c>
      <x:c r="AV691" t="n">
        <x:f>_xlfn.XLOOKUP($A691,Games!$A$2:$A$18,Games!$Q$2:$Q$18,"Missing game",0)</x:f>
        <x:v>14</x:v>
      </x:c>
      <x:c r="AW691" t="str">
        <x:f>_xlfn.XLOOKUP($A691,Games!$A$2:$A$18,Games!$R$2:$R$18,"Missing game",0)</x:f>
        <x:v>FirstEnergy Stadium</x:v>
      </x:c>
    </x:row>
    <x:row r="692">
      <x:c r="A692" t="str">
        <x:v>2025_05_MIN_CLE</x:v>
      </x:c>
      <x:c r="B692" t="n">
        <x:v>482</x:v>
      </x:c>
      <x:c r="C692" t="n">
        <x:v>1</x:v>
      </x:c>
      <x:c r="D692" t="str">
        <x:v>07:32</x:v>
      </x:c>
      <x:c r="E692" t="n">
        <x:v>1</x:v>
      </x:c>
      <x:c r="F692" t="n">
        <x:v>4</x:v>
      </x:c>
      <x:c r="G692" t="str">
        <x:v>CLE</x:v>
      </x:c>
      <x:c r="H692" t="str">
        <x:v>MIN</x:v>
      </x:c>
      <x:c r="I692" t="str">
        <x:v>MIN</x:v>
      </x:c>
      <x:c r="J692" t="n">
        <x:v>4</x:v>
      </x:c>
      <x:c r="K692" t="str">
        <x:v>(7:32) (Shotgun) 34-J.Ford left guard to MIN 1 for 3 yards (55-E.Wilson; 26-T.Jackson).</x:v>
      </x:c>
      <x:c r="L692" t="str">
        <x:v>run</x:v>
      </x:c>
      <x:c r="M692" t="n">
        <x:v>3</x:v>
      </x:c>
      <x:c r="N692" t="n">
        <x:v>1</x:v>
      </x:c>
      <x:c r="O692" t="n">
        <x:v>0</x:v>
      </x:c>
      <x:c r="P692"/>
      <x:c r="Q692"/>
      <x:c r="R692"/>
      <x:c r="S692"/>
      <x:c r="T692" t="str">
        <x:v>left</x:v>
      </x:c>
      <x:c r="U692" t="str">
        <x:v>guard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/>
      <x:c r="AC692" t="n">
        <x:v>0</x:v>
      </x:c>
      <x:c r="AD692" t="n">
        <x:v>0.22219691390637308</x:v>
      </x:c>
      <x:c r="AE692" t="n">
        <x:v>1</x:v>
      </x:c>
      <x:c r="AF692" t="n">
        <x:v>0.011433541774749756</x:v>
      </x:c>
      <x:c r="AG692" t="n">
        <x:f>_xlfn.XLOOKUP($A692,Games!$A$2:$A$18,Games!$B$2:$B$18,"Missing game",0)</x:f>
        <x:v>2025</x:v>
      </x:c>
      <x:c r="AH692" t="str">
        <x:f>_xlfn.XLOOKUP($A692,Games!$A$2:$A$18,Games!$C$2:$C$18,"Missing game",0)</x:f>
        <x:v>REG</x:v>
      </x:c>
      <x:c r="AI692" t="n">
        <x:f>_xlfn.XLOOKUP($A692,Games!$A$2:$A$18,Games!$D$2:$D$18,"Missing game",0)</x:f>
        <x:v>5</x:v>
      </x:c>
      <x:c r="AJ692" s="1" t="n">
        <x:f>_xlfn.XLOOKUP($A692,Games!$A$2:$A$18,Games!$E$2:$E$18,"Missing game",0)</x:f>
        <x:v>45935</x:v>
      </x:c>
      <x:c r="AK692" t="str">
        <x:f>_xlfn.XLOOKUP($A692,Games!$A$2:$A$18,Games!$F$2:$F$18,"Missing game",0)</x:f>
        <x:v>Sunday</x:v>
      </x:c>
      <x:c r="AL692" t="str">
        <x:f>_xlfn.XLOOKUP($A692,Games!$A$2:$A$18,Games!$G$2:$G$18,"Missing game",0)</x:f>
        <x:v>MIN</x:v>
      </x:c>
      <x:c r="AM692" t="n">
        <x:f>_xlfn.XLOOKUP($A692,Games!$A$2:$A$18,Games!$H$2:$H$18,"Missing game",0)</x:f>
        <x:v>21</x:v>
      </x:c>
      <x:c r="AN692" t="str">
        <x:f>_xlfn.XLOOKUP($A692,Games!$A$2:$A$18,Games!$I$2:$I$18,"Missing game",0)</x:f>
        <x:v>CLE</x:v>
      </x:c>
      <x:c r="AO692" t="n">
        <x:f>_xlfn.XLOOKUP($A692,Games!$A$2:$A$18,Games!$J$2:$J$18,"Missing game",0)</x:f>
        <x:v>17</x:v>
      </x:c>
      <x:c r="AP692" t="n">
        <x:f>_xlfn.XLOOKUP($A692,Games!$A$2:$A$18,Games!$K$2:$K$18,"Missing game",0)</x:f>
        <x:v>-4</x:v>
      </x:c>
      <x:c r="AQ692" t="n">
        <x:f>_xlfn.XLOOKUP($A692,Games!$A$2:$A$18,Games!$L$2:$L$18,"Missing game",0)</x:f>
        <x:v>38</x:v>
      </x:c>
      <x:c r="AR692" t="n">
        <x:f>_xlfn.XLOOKUP($A692,Games!$A$2:$A$18,Games!$M$2:$M$18,"Missing game",0)</x:f>
        <x:v>0</x:v>
      </x:c>
      <x:c r="AS692" t="str">
        <x:f>_xlfn.XLOOKUP($A692,Games!$A$2:$A$18,Games!$N$2:$N$18,"Missing game",0)</x:f>
        <x:v>outdoors</x:v>
      </x:c>
      <x:c r="AT692" t="str">
        <x:f>_xlfn.XLOOKUP($A692,Games!$A$2:$A$18,Games!$O$2:$O$18,"Missing game",0)</x:f>
        <x:v>grass</x:v>
      </x:c>
      <x:c r="AU692" t="n">
        <x:f>_xlfn.XLOOKUP($A692,Games!$A$2:$A$18,Games!$P$2:$P$18,"Missing game",0)</x:f>
        <x:v>61</x:v>
      </x:c>
      <x:c r="AV692" t="n">
        <x:f>_xlfn.XLOOKUP($A692,Games!$A$2:$A$18,Games!$Q$2:$Q$18,"Missing game",0)</x:f>
        <x:v>14</x:v>
      </x:c>
      <x:c r="AW692" t="str">
        <x:f>_xlfn.XLOOKUP($A692,Games!$A$2:$A$18,Games!$R$2:$R$18,"Missing game",0)</x:f>
        <x:v>FirstEnergy Stadium</x:v>
      </x:c>
    </x:row>
    <x:row r="693">
      <x:c r="A693" t="str">
        <x:v>2025_05_MIN_CLE</x:v>
      </x:c>
      <x:c r="B693" t="n">
        <x:v>506</x:v>
      </x:c>
      <x:c r="C693" t="n">
        <x:v>1</x:v>
      </x:c>
      <x:c r="D693" t="str">
        <x:v>06:54</x:v>
      </x:c>
      <x:c r="E693" t="n">
        <x:v>2</x:v>
      </x:c>
      <x:c r="F693" t="n">
        <x:v>1</x:v>
      </x:c>
      <x:c r="G693" t="str">
        <x:v>CLE</x:v>
      </x:c>
      <x:c r="H693" t="str">
        <x:v>MIN</x:v>
      </x:c>
      <x:c r="I693" t="str">
        <x:v>MIN</x:v>
      </x:c>
      <x:c r="J693" t="n">
        <x:v>1</x:v>
      </x:c>
      <x:c r="K693" t="str">
        <x:v>(6:54) 8-D.Gabriel pass short left to 44-H.Fannin for 1 yard, TOUCHDOWN.</x:v>
      </x:c>
      <x:c r="L693" t="str">
        <x:v>pass</x:v>
      </x:c>
      <x:c r="M693" t="n">
        <x:v>1</x:v>
      </x:c>
      <x:c r="N693" t="n">
        <x:v>0</x:v>
      </x:c>
      <x:c r="O693" t="n">
        <x:v>0</x:v>
      </x:c>
      <x:c r="P693" t="str">
        <x:v>short</x:v>
      </x:c>
      <x:c r="Q693" t="str">
        <x:v>left</x:v>
      </x:c>
      <x:c r="R693" t="n">
        <x:v>1</x:v>
      </x:c>
      <x:c r="S693" t="n">
        <x:v>0</x:v>
      </x:c>
      <x:c r="T693"/>
      <x:c r="U693"/>
      <x:c r="V693" t="n">
        <x:v>1</x:v>
      </x:c>
      <x:c r="W693" t="n">
        <x:v>1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/>
      <x:c r="AC693" t="n">
        <x:v>1</x:v>
      </x:c>
      <x:c r="AD693" t="n">
        <x:v>0.8626181433792226</x:v>
      </x:c>
      <x:c r="AE693" t="n">
        <x:v>1</x:v>
      </x:c>
      <x:c r="AF693" t="n">
        <x:v>-0.0015915652517048962</x:v>
      </x:c>
      <x:c r="AG693" t="n">
        <x:f>_xlfn.XLOOKUP($A693,Games!$A$2:$A$18,Games!$B$2:$B$18,"Missing game",0)</x:f>
        <x:v>2025</x:v>
      </x:c>
      <x:c r="AH693" t="str">
        <x:f>_xlfn.XLOOKUP($A693,Games!$A$2:$A$18,Games!$C$2:$C$18,"Missing game",0)</x:f>
        <x:v>REG</x:v>
      </x:c>
      <x:c r="AI693" t="n">
        <x:f>_xlfn.XLOOKUP($A693,Games!$A$2:$A$18,Games!$D$2:$D$18,"Missing game",0)</x:f>
        <x:v>5</x:v>
      </x:c>
      <x:c r="AJ693" s="1" t="n">
        <x:f>_xlfn.XLOOKUP($A693,Games!$A$2:$A$18,Games!$E$2:$E$18,"Missing game",0)</x:f>
        <x:v>45935</x:v>
      </x:c>
      <x:c r="AK693" t="str">
        <x:f>_xlfn.XLOOKUP($A693,Games!$A$2:$A$18,Games!$F$2:$F$18,"Missing game",0)</x:f>
        <x:v>Sunday</x:v>
      </x:c>
      <x:c r="AL693" t="str">
        <x:f>_xlfn.XLOOKUP($A693,Games!$A$2:$A$18,Games!$G$2:$G$18,"Missing game",0)</x:f>
        <x:v>MIN</x:v>
      </x:c>
      <x:c r="AM693" t="n">
        <x:f>_xlfn.XLOOKUP($A693,Games!$A$2:$A$18,Games!$H$2:$H$18,"Missing game",0)</x:f>
        <x:v>21</x:v>
      </x:c>
      <x:c r="AN693" t="str">
        <x:f>_xlfn.XLOOKUP($A693,Games!$A$2:$A$18,Games!$I$2:$I$18,"Missing game",0)</x:f>
        <x:v>CLE</x:v>
      </x:c>
      <x:c r="AO693" t="n">
        <x:f>_xlfn.XLOOKUP($A693,Games!$A$2:$A$18,Games!$J$2:$J$18,"Missing game",0)</x:f>
        <x:v>17</x:v>
      </x:c>
      <x:c r="AP693" t="n">
        <x:f>_xlfn.XLOOKUP($A693,Games!$A$2:$A$18,Games!$K$2:$K$18,"Missing game",0)</x:f>
        <x:v>-4</x:v>
      </x:c>
      <x:c r="AQ693" t="n">
        <x:f>_xlfn.XLOOKUP($A693,Games!$A$2:$A$18,Games!$L$2:$L$18,"Missing game",0)</x:f>
        <x:v>38</x:v>
      </x:c>
      <x:c r="AR693" t="n">
        <x:f>_xlfn.XLOOKUP($A693,Games!$A$2:$A$18,Games!$M$2:$M$18,"Missing game",0)</x:f>
        <x:v>0</x:v>
      </x:c>
      <x:c r="AS693" t="str">
        <x:f>_xlfn.XLOOKUP($A693,Games!$A$2:$A$18,Games!$N$2:$N$18,"Missing game",0)</x:f>
        <x:v>outdoors</x:v>
      </x:c>
      <x:c r="AT693" t="str">
        <x:f>_xlfn.XLOOKUP($A693,Games!$A$2:$A$18,Games!$O$2:$O$18,"Missing game",0)</x:f>
        <x:v>grass</x:v>
      </x:c>
      <x:c r="AU693" t="n">
        <x:f>_xlfn.XLOOKUP($A693,Games!$A$2:$A$18,Games!$P$2:$P$18,"Missing game",0)</x:f>
        <x:v>61</x:v>
      </x:c>
      <x:c r="AV693" t="n">
        <x:f>_xlfn.XLOOKUP($A693,Games!$A$2:$A$18,Games!$Q$2:$Q$18,"Missing game",0)</x:f>
        <x:v>14</x:v>
      </x:c>
      <x:c r="AW693" t="str">
        <x:f>_xlfn.XLOOKUP($A693,Games!$A$2:$A$18,Games!$R$2:$R$18,"Missing game",0)</x:f>
        <x:v>FirstEnergy Stadium</x:v>
      </x:c>
    </x:row>
    <x:row r="694">
      <x:c r="A694" t="str">
        <x:v>2025_05_MIN_CLE</x:v>
      </x:c>
      <x:c r="B694" t="n">
        <x:v>532</x:v>
      </x:c>
      <x:c r="C694" t="n">
        <x:v>1</x:v>
      </x:c>
      <x:c r="D694" t="str">
        <x:v>06:49</x:v>
      </x:c>
      <x:c r="E694"/>
      <x:c r="F694" t="n">
        <x:v>0</x:v>
      </x:c>
      <x:c r="G694" t="str">
        <x:v>CLE</x:v>
      </x:c>
      <x:c r="H694" t="str">
        <x:v>MIN</x:v>
      </x:c>
      <x:c r="I694" t="str">
        <x:v>MIN</x:v>
      </x:c>
      <x:c r="J694" t="n">
        <x:v>15</x:v>
      </x:c>
      <x:c r="K694" t="str">
        <x:v>25-A.Szmyt extra point is GOOD, Center-50-R.Sunahara, Holder-13-C.Bojorquez.</x:v>
      </x:c>
      <x:c r="L694" t="str">
        <x:v>extra_point</x:v>
      </x:c>
      <x:c r="M694" t="n">
        <x:v>0</x:v>
      </x:c>
      <x:c r="N694" t="n">
        <x:v>0</x:v>
      </x:c>
      <x:c r="O694" t="n">
        <x:v>0</x:v>
      </x:c>
      <x:c r="P694"/>
      <x:c r="Q694"/>
      <x:c r="R694"/>
      <x:c r="S694"/>
      <x:c r="T694"/>
      <x:c r="U694"/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/>
      <x:c r="AC694" t="n">
        <x:v>0</x:v>
      </x:c>
      <x:c r="AD694" t="n">
        <x:v>0.06757300310763314</x:v>
      </x:c>
      <x:c r="AE694" t="n">
        <x:v>1</x:v>
      </x:c>
      <x:c r="AF694" t="n">
        <x:v>0.0017975589040486462</x:v>
      </x:c>
      <x:c r="AG694" t="n">
        <x:f>_xlfn.XLOOKUP($A694,Games!$A$2:$A$18,Games!$B$2:$B$18,"Missing game",0)</x:f>
        <x:v>2025</x:v>
      </x:c>
      <x:c r="AH694" t="str">
        <x:f>_xlfn.XLOOKUP($A694,Games!$A$2:$A$18,Games!$C$2:$C$18,"Missing game",0)</x:f>
        <x:v>REG</x:v>
      </x:c>
      <x:c r="AI694" t="n">
        <x:f>_xlfn.XLOOKUP($A694,Games!$A$2:$A$18,Games!$D$2:$D$18,"Missing game",0)</x:f>
        <x:v>5</x:v>
      </x:c>
      <x:c r="AJ694" s="1" t="n">
        <x:f>_xlfn.XLOOKUP($A694,Games!$A$2:$A$18,Games!$E$2:$E$18,"Missing game",0)</x:f>
        <x:v>45935</x:v>
      </x:c>
      <x:c r="AK694" t="str">
        <x:f>_xlfn.XLOOKUP($A694,Games!$A$2:$A$18,Games!$F$2:$F$18,"Missing game",0)</x:f>
        <x:v>Sunday</x:v>
      </x:c>
      <x:c r="AL694" t="str">
        <x:f>_xlfn.XLOOKUP($A694,Games!$A$2:$A$18,Games!$G$2:$G$18,"Missing game",0)</x:f>
        <x:v>MIN</x:v>
      </x:c>
      <x:c r="AM694" t="n">
        <x:f>_xlfn.XLOOKUP($A694,Games!$A$2:$A$18,Games!$H$2:$H$18,"Missing game",0)</x:f>
        <x:v>21</x:v>
      </x:c>
      <x:c r="AN694" t="str">
        <x:f>_xlfn.XLOOKUP($A694,Games!$A$2:$A$18,Games!$I$2:$I$18,"Missing game",0)</x:f>
        <x:v>CLE</x:v>
      </x:c>
      <x:c r="AO694" t="n">
        <x:f>_xlfn.XLOOKUP($A694,Games!$A$2:$A$18,Games!$J$2:$J$18,"Missing game",0)</x:f>
        <x:v>17</x:v>
      </x:c>
      <x:c r="AP694" t="n">
        <x:f>_xlfn.XLOOKUP($A694,Games!$A$2:$A$18,Games!$K$2:$K$18,"Missing game",0)</x:f>
        <x:v>-4</x:v>
      </x:c>
      <x:c r="AQ694" t="n">
        <x:f>_xlfn.XLOOKUP($A694,Games!$A$2:$A$18,Games!$L$2:$L$18,"Missing game",0)</x:f>
        <x:v>38</x:v>
      </x:c>
      <x:c r="AR694" t="n">
        <x:f>_xlfn.XLOOKUP($A694,Games!$A$2:$A$18,Games!$M$2:$M$18,"Missing game",0)</x:f>
        <x:v>0</x:v>
      </x:c>
      <x:c r="AS694" t="str">
        <x:f>_xlfn.XLOOKUP($A694,Games!$A$2:$A$18,Games!$N$2:$N$18,"Missing game",0)</x:f>
        <x:v>outdoors</x:v>
      </x:c>
      <x:c r="AT694" t="str">
        <x:f>_xlfn.XLOOKUP($A694,Games!$A$2:$A$18,Games!$O$2:$O$18,"Missing game",0)</x:f>
        <x:v>grass</x:v>
      </x:c>
      <x:c r="AU694" t="n">
        <x:f>_xlfn.XLOOKUP($A694,Games!$A$2:$A$18,Games!$P$2:$P$18,"Missing game",0)</x:f>
        <x:v>61</x:v>
      </x:c>
      <x:c r="AV694" t="n">
        <x:f>_xlfn.XLOOKUP($A694,Games!$A$2:$A$18,Games!$Q$2:$Q$18,"Missing game",0)</x:f>
        <x:v>14</x:v>
      </x:c>
      <x:c r="AW694" t="str">
        <x:f>_xlfn.XLOOKUP($A694,Games!$A$2:$A$18,Games!$R$2:$R$18,"Missing game",0)</x:f>
        <x:v>FirstEnergy Stadium</x:v>
      </x:c>
    </x:row>
    <x:row r="695">
      <x:c r="A695" t="str">
        <x:v>2025_05_MIN_CLE</x:v>
      </x:c>
      <x:c r="B695" t="n">
        <x:v>547</x:v>
      </x:c>
      <x:c r="C695" t="n">
        <x:v>1</x:v>
      </x:c>
      <x:c r="D695" t="str">
        <x:v>06:49</x:v>
      </x:c>
      <x:c r="E695"/>
      <x:c r="F695" t="n">
        <x:v>0</x:v>
      </x:c>
      <x:c r="G695" t="str">
        <x:v>MIN</x:v>
      </x:c>
      <x:c r="H695" t="str">
        <x:v>CLE</x:v>
      </x:c>
      <x:c r="I695" t="str">
        <x:v>CLE</x:v>
      </x:c>
      <x:c r="J695" t="n">
        <x:v>35</x:v>
      </x:c>
      <x:c r="K695" t="str">
        <x:v>25-A.Szmyt kicks 61 yards from CLE 35 to MIN 4. 4-M.Price to MIN 28 for 24 yards (42-E.Mascarenas-Arnold; 5-R.Jenkins). PENALTY on MIN-41-K.King, Offensive Holding, 10 yards, enforced at MIN 28.</x:v>
      </x:c>
      <x:c r="L695" t="str">
        <x:v>kickoff</x:v>
      </x:c>
      <x:c r="M695" t="n">
        <x:v>0</x:v>
      </x:c>
      <x:c r="N695" t="n">
        <x:v>0</x:v>
      </x:c>
      <x:c r="O695" t="n">
        <x:v>0</x:v>
      </x:c>
      <x:c r="P695"/>
      <x:c r="Q695"/>
      <x:c r="R695"/>
      <x:c r="S695"/>
      <x:c r="T695"/>
      <x:c r="U695"/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1</x:v>
      </x:c>
      <x:c r="AB695" t="n">
        <x:v>10</x:v>
      </x:c>
      <x:c r="AC695" t="n">
        <x:v>0</x:v>
      </x:c>
      <x:c r="AD695" t="n">
        <x:v>-0.5478142634965479</x:v>
      </x:c>
      <x:c r="AE695" t="n">
        <x:v>0</x:v>
      </x:c>
      <x:c r="AF695" t="n">
        <x:v>-0.011678218841552734</x:v>
      </x:c>
      <x:c r="AG695" t="n">
        <x:f>_xlfn.XLOOKUP($A695,Games!$A$2:$A$18,Games!$B$2:$B$18,"Missing game",0)</x:f>
        <x:v>2025</x:v>
      </x:c>
      <x:c r="AH695" t="str">
        <x:f>_xlfn.XLOOKUP($A695,Games!$A$2:$A$18,Games!$C$2:$C$18,"Missing game",0)</x:f>
        <x:v>REG</x:v>
      </x:c>
      <x:c r="AI695" t="n">
        <x:f>_xlfn.XLOOKUP($A695,Games!$A$2:$A$18,Games!$D$2:$D$18,"Missing game",0)</x:f>
        <x:v>5</x:v>
      </x:c>
      <x:c r="AJ695" s="1" t="n">
        <x:f>_xlfn.XLOOKUP($A695,Games!$A$2:$A$18,Games!$E$2:$E$18,"Missing game",0)</x:f>
        <x:v>45935</x:v>
      </x:c>
      <x:c r="AK695" t="str">
        <x:f>_xlfn.XLOOKUP($A695,Games!$A$2:$A$18,Games!$F$2:$F$18,"Missing game",0)</x:f>
        <x:v>Sunday</x:v>
      </x:c>
      <x:c r="AL695" t="str">
        <x:f>_xlfn.XLOOKUP($A695,Games!$A$2:$A$18,Games!$G$2:$G$18,"Missing game",0)</x:f>
        <x:v>MIN</x:v>
      </x:c>
      <x:c r="AM695" t="n">
        <x:f>_xlfn.XLOOKUP($A695,Games!$A$2:$A$18,Games!$H$2:$H$18,"Missing game",0)</x:f>
        <x:v>21</x:v>
      </x:c>
      <x:c r="AN695" t="str">
        <x:f>_xlfn.XLOOKUP($A695,Games!$A$2:$A$18,Games!$I$2:$I$18,"Missing game",0)</x:f>
        <x:v>CLE</x:v>
      </x:c>
      <x:c r="AO695" t="n">
        <x:f>_xlfn.XLOOKUP($A695,Games!$A$2:$A$18,Games!$J$2:$J$18,"Missing game",0)</x:f>
        <x:v>17</x:v>
      </x:c>
      <x:c r="AP695" t="n">
        <x:f>_xlfn.XLOOKUP($A695,Games!$A$2:$A$18,Games!$K$2:$K$18,"Missing game",0)</x:f>
        <x:v>-4</x:v>
      </x:c>
      <x:c r="AQ695" t="n">
        <x:f>_xlfn.XLOOKUP($A695,Games!$A$2:$A$18,Games!$L$2:$L$18,"Missing game",0)</x:f>
        <x:v>38</x:v>
      </x:c>
      <x:c r="AR695" t="n">
        <x:f>_xlfn.XLOOKUP($A695,Games!$A$2:$A$18,Games!$M$2:$M$18,"Missing game",0)</x:f>
        <x:v>0</x:v>
      </x:c>
      <x:c r="AS695" t="str">
        <x:f>_xlfn.XLOOKUP($A695,Games!$A$2:$A$18,Games!$N$2:$N$18,"Missing game",0)</x:f>
        <x:v>outdoors</x:v>
      </x:c>
      <x:c r="AT695" t="str">
        <x:f>_xlfn.XLOOKUP($A695,Games!$A$2:$A$18,Games!$O$2:$O$18,"Missing game",0)</x:f>
        <x:v>grass</x:v>
      </x:c>
      <x:c r="AU695" t="n">
        <x:f>_xlfn.XLOOKUP($A695,Games!$A$2:$A$18,Games!$P$2:$P$18,"Missing game",0)</x:f>
        <x:v>61</x:v>
      </x:c>
      <x:c r="AV695" t="n">
        <x:f>_xlfn.XLOOKUP($A695,Games!$A$2:$A$18,Games!$Q$2:$Q$18,"Missing game",0)</x:f>
        <x:v>14</x:v>
      </x:c>
      <x:c r="AW695" t="str">
        <x:f>_xlfn.XLOOKUP($A695,Games!$A$2:$A$18,Games!$R$2:$R$18,"Missing game",0)</x:f>
        <x:v>FirstEnergy Stadium</x:v>
      </x:c>
    </x:row>
    <x:row r="696">
      <x:c r="A696" t="str">
        <x:v>2025_05_MIN_CLE</x:v>
      </x:c>
      <x:c r="B696" t="n">
        <x:v>588</x:v>
      </x:c>
      <x:c r="C696" t="n">
        <x:v>1</x:v>
      </x:c>
      <x:c r="D696" t="str">
        <x:v>06:43</x:v>
      </x:c>
      <x:c r="E696" t="n">
        <x:v>1</x:v>
      </x:c>
      <x:c r="F696" t="n">
        <x:v>10</x:v>
      </x:c>
      <x:c r="G696" t="str">
        <x:v>MIN</x:v>
      </x:c>
      <x:c r="H696" t="str">
        <x:v>CLE</x:v>
      </x:c>
      <x:c r="I696" t="str">
        <x:v>MIN</x:v>
      </x:c>
      <x:c r="J696" t="n">
        <x:v>82</x:v>
      </x:c>
      <x:c r="K696" t="str">
        <x:v>(6:43) 36-Z.Scott up the middle to MIN 25 for 7 yards (49-C.Schwesinger).</x:v>
      </x:c>
      <x:c r="L696" t="str">
        <x:v>run</x:v>
      </x:c>
      <x:c r="M696" t="n">
        <x:v>7</x:v>
      </x:c>
      <x:c r="N696" t="n">
        <x:v>0</x:v>
      </x:c>
      <x:c r="O696" t="n">
        <x:v>0</x:v>
      </x:c>
      <x:c r="P696"/>
      <x:c r="Q696"/>
      <x:c r="R696"/>
      <x:c r="S696"/>
      <x:c r="T696" t="str">
        <x:v>middle</x:v>
      </x:c>
      <x:c r="U696"/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/>
      <x:c r="AC696" t="n">
        <x:v>0</x:v>
      </x:c>
      <x:c r="AD696" t="n">
        <x:v>0.48246503388509154</x:v>
      </x:c>
      <x:c r="AE696" t="n">
        <x:v>1</x:v>
      </x:c>
      <x:c r="AF696" t="n">
        <x:v>0.004835337400436401</x:v>
      </x:c>
      <x:c r="AG696" t="n">
        <x:f>_xlfn.XLOOKUP($A696,Games!$A$2:$A$18,Games!$B$2:$B$18,"Missing game",0)</x:f>
        <x:v>2025</x:v>
      </x:c>
      <x:c r="AH696" t="str">
        <x:f>_xlfn.XLOOKUP($A696,Games!$A$2:$A$18,Games!$C$2:$C$18,"Missing game",0)</x:f>
        <x:v>REG</x:v>
      </x:c>
      <x:c r="AI696" t="n">
        <x:f>_xlfn.XLOOKUP($A696,Games!$A$2:$A$18,Games!$D$2:$D$18,"Missing game",0)</x:f>
        <x:v>5</x:v>
      </x:c>
      <x:c r="AJ696" s="1" t="n">
        <x:f>_xlfn.XLOOKUP($A696,Games!$A$2:$A$18,Games!$E$2:$E$18,"Missing game",0)</x:f>
        <x:v>45935</x:v>
      </x:c>
      <x:c r="AK696" t="str">
        <x:f>_xlfn.XLOOKUP($A696,Games!$A$2:$A$18,Games!$F$2:$F$18,"Missing game",0)</x:f>
        <x:v>Sunday</x:v>
      </x:c>
      <x:c r="AL696" t="str">
        <x:f>_xlfn.XLOOKUP($A696,Games!$A$2:$A$18,Games!$G$2:$G$18,"Missing game",0)</x:f>
        <x:v>MIN</x:v>
      </x:c>
      <x:c r="AM696" t="n">
        <x:f>_xlfn.XLOOKUP($A696,Games!$A$2:$A$18,Games!$H$2:$H$18,"Missing game",0)</x:f>
        <x:v>21</x:v>
      </x:c>
      <x:c r="AN696" t="str">
        <x:f>_xlfn.XLOOKUP($A696,Games!$A$2:$A$18,Games!$I$2:$I$18,"Missing game",0)</x:f>
        <x:v>CLE</x:v>
      </x:c>
      <x:c r="AO696" t="n">
        <x:f>_xlfn.XLOOKUP($A696,Games!$A$2:$A$18,Games!$J$2:$J$18,"Missing game",0)</x:f>
        <x:v>17</x:v>
      </x:c>
      <x:c r="AP696" t="n">
        <x:f>_xlfn.XLOOKUP($A696,Games!$A$2:$A$18,Games!$K$2:$K$18,"Missing game",0)</x:f>
        <x:v>-4</x:v>
      </x:c>
      <x:c r="AQ696" t="n">
        <x:f>_xlfn.XLOOKUP($A696,Games!$A$2:$A$18,Games!$L$2:$L$18,"Missing game",0)</x:f>
        <x:v>38</x:v>
      </x:c>
      <x:c r="AR696" t="n">
        <x:f>_xlfn.XLOOKUP($A696,Games!$A$2:$A$18,Games!$M$2:$M$18,"Missing game",0)</x:f>
        <x:v>0</x:v>
      </x:c>
      <x:c r="AS696" t="str">
        <x:f>_xlfn.XLOOKUP($A696,Games!$A$2:$A$18,Games!$N$2:$N$18,"Missing game",0)</x:f>
        <x:v>outdoors</x:v>
      </x:c>
      <x:c r="AT696" t="str">
        <x:f>_xlfn.XLOOKUP($A696,Games!$A$2:$A$18,Games!$O$2:$O$18,"Missing game",0)</x:f>
        <x:v>grass</x:v>
      </x:c>
      <x:c r="AU696" t="n">
        <x:f>_xlfn.XLOOKUP($A696,Games!$A$2:$A$18,Games!$P$2:$P$18,"Missing game",0)</x:f>
        <x:v>61</x:v>
      </x:c>
      <x:c r="AV696" t="n">
        <x:f>_xlfn.XLOOKUP($A696,Games!$A$2:$A$18,Games!$Q$2:$Q$18,"Missing game",0)</x:f>
        <x:v>14</x:v>
      </x:c>
      <x:c r="AW696" t="str">
        <x:f>_xlfn.XLOOKUP($A696,Games!$A$2:$A$18,Games!$R$2:$R$18,"Missing game",0)</x:f>
        <x:v>FirstEnergy Stadium</x:v>
      </x:c>
    </x:row>
    <x:row r="697">
      <x:c r="A697" t="str">
        <x:v>2025_05_MIN_CLE</x:v>
      </x:c>
      <x:c r="B697" t="n">
        <x:v>610</x:v>
      </x:c>
      <x:c r="C697" t="n">
        <x:v>1</x:v>
      </x:c>
      <x:c r="D697" t="str">
        <x:v>06:14</x:v>
      </x:c>
      <x:c r="E697" t="n">
        <x:v>2</x:v>
      </x:c>
      <x:c r="F697" t="n">
        <x:v>3</x:v>
      </x:c>
      <x:c r="G697" t="str">
        <x:v>MIN</x:v>
      </x:c>
      <x:c r="H697" t="str">
        <x:v>CLE</x:v>
      </x:c>
      <x:c r="I697" t="str">
        <x:v>MIN</x:v>
      </x:c>
      <x:c r="J697" t="n">
        <x:v>75</x:v>
      </x:c>
      <x:c r="K697" t="str">
        <x:v>(6:14) (No Huddle) PENALTY on MIN-60-J.Huber, False Start, 5 yards, enforced at MIN 25 - No Play.</x:v>
      </x:c>
      <x:c r="L697" t="str">
        <x:v>no_play</x:v>
      </x:c>
      <x:c r="M697" t="n">
        <x:v>0</x:v>
      </x:c>
      <x:c r="N697" t="n">
        <x:v>0</x:v>
      </x:c>
      <x:c r="O697" t="n">
        <x:v>1</x:v>
      </x:c>
      <x:c r="P697"/>
      <x:c r="Q697"/>
      <x:c r="R697"/>
      <x:c r="S697"/>
      <x:c r="T697"/>
      <x:c r="U697"/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1</x:v>
      </x:c>
      <x:c r="AB697" t="n">
        <x:v>5</x:v>
      </x:c>
      <x:c r="AC697" t="n">
        <x:v>0</x:v>
      </x:c>
      <x:c r="AD697" t="n">
        <x:v>-0.9279271624982357</x:v>
      </x:c>
      <x:c r="AE697" t="n">
        <x:v>0</x:v>
      </x:c>
      <x:c r="AF697" t="n">
        <x:v>-0.014397948980331421</x:v>
      </x:c>
      <x:c r="AG697" t="n">
        <x:f>_xlfn.XLOOKUP($A697,Games!$A$2:$A$18,Games!$B$2:$B$18,"Missing game",0)</x:f>
        <x:v>2025</x:v>
      </x:c>
      <x:c r="AH697" t="str">
        <x:f>_xlfn.XLOOKUP($A697,Games!$A$2:$A$18,Games!$C$2:$C$18,"Missing game",0)</x:f>
        <x:v>REG</x:v>
      </x:c>
      <x:c r="AI697" t="n">
        <x:f>_xlfn.XLOOKUP($A697,Games!$A$2:$A$18,Games!$D$2:$D$18,"Missing game",0)</x:f>
        <x:v>5</x:v>
      </x:c>
      <x:c r="AJ697" s="1" t="n">
        <x:f>_xlfn.XLOOKUP($A697,Games!$A$2:$A$18,Games!$E$2:$E$18,"Missing game",0)</x:f>
        <x:v>45935</x:v>
      </x:c>
      <x:c r="AK697" t="str">
        <x:f>_xlfn.XLOOKUP($A697,Games!$A$2:$A$18,Games!$F$2:$F$18,"Missing game",0)</x:f>
        <x:v>Sunday</x:v>
      </x:c>
      <x:c r="AL697" t="str">
        <x:f>_xlfn.XLOOKUP($A697,Games!$A$2:$A$18,Games!$G$2:$G$18,"Missing game",0)</x:f>
        <x:v>MIN</x:v>
      </x:c>
      <x:c r="AM697" t="n">
        <x:f>_xlfn.XLOOKUP($A697,Games!$A$2:$A$18,Games!$H$2:$H$18,"Missing game",0)</x:f>
        <x:v>21</x:v>
      </x:c>
      <x:c r="AN697" t="str">
        <x:f>_xlfn.XLOOKUP($A697,Games!$A$2:$A$18,Games!$I$2:$I$18,"Missing game",0)</x:f>
        <x:v>CLE</x:v>
      </x:c>
      <x:c r="AO697" t="n">
        <x:f>_xlfn.XLOOKUP($A697,Games!$A$2:$A$18,Games!$J$2:$J$18,"Missing game",0)</x:f>
        <x:v>17</x:v>
      </x:c>
      <x:c r="AP697" t="n">
        <x:f>_xlfn.XLOOKUP($A697,Games!$A$2:$A$18,Games!$K$2:$K$18,"Missing game",0)</x:f>
        <x:v>-4</x:v>
      </x:c>
      <x:c r="AQ697" t="n">
        <x:f>_xlfn.XLOOKUP($A697,Games!$A$2:$A$18,Games!$L$2:$L$18,"Missing game",0)</x:f>
        <x:v>38</x:v>
      </x:c>
      <x:c r="AR697" t="n">
        <x:f>_xlfn.XLOOKUP($A697,Games!$A$2:$A$18,Games!$M$2:$M$18,"Missing game",0)</x:f>
        <x:v>0</x:v>
      </x:c>
      <x:c r="AS697" t="str">
        <x:f>_xlfn.XLOOKUP($A697,Games!$A$2:$A$18,Games!$N$2:$N$18,"Missing game",0)</x:f>
        <x:v>outdoors</x:v>
      </x:c>
      <x:c r="AT697" t="str">
        <x:f>_xlfn.XLOOKUP($A697,Games!$A$2:$A$18,Games!$O$2:$O$18,"Missing game",0)</x:f>
        <x:v>grass</x:v>
      </x:c>
      <x:c r="AU697" t="n">
        <x:f>_xlfn.XLOOKUP($A697,Games!$A$2:$A$18,Games!$P$2:$P$18,"Missing game",0)</x:f>
        <x:v>61</x:v>
      </x:c>
      <x:c r="AV697" t="n">
        <x:f>_xlfn.XLOOKUP($A697,Games!$A$2:$A$18,Games!$Q$2:$Q$18,"Missing game",0)</x:f>
        <x:v>14</x:v>
      </x:c>
      <x:c r="AW697" t="str">
        <x:f>_xlfn.XLOOKUP($A697,Games!$A$2:$A$18,Games!$R$2:$R$18,"Missing game",0)</x:f>
        <x:v>FirstEnergy Stadium</x:v>
      </x:c>
    </x:row>
    <x:row r="698">
      <x:c r="A698" t="str">
        <x:v>2025_05_MIN_CLE</x:v>
      </x:c>
      <x:c r="B698" t="n">
        <x:v>634</x:v>
      </x:c>
      <x:c r="C698" t="n">
        <x:v>1</x:v>
      </x:c>
      <x:c r="D698" t="str">
        <x:v>05:55</x:v>
      </x:c>
      <x:c r="E698" t="n">
        <x:v>2</x:v>
      </x:c>
      <x:c r="F698" t="n">
        <x:v>8</x:v>
      </x:c>
      <x:c r="G698" t="str">
        <x:v>MIN</x:v>
      </x:c>
      <x:c r="H698" t="str">
        <x:v>CLE</x:v>
      </x:c>
      <x:c r="I698" t="str">
        <x:v>MIN</x:v>
      </x:c>
      <x:c r="J698" t="n">
        <x:v>80</x:v>
      </x:c>
      <x:c r="K698" t="str">
        <x:v>(5:55) (Shotgun) 36-Z.Scott right tackle to MIN 21 for 1 yard (95-M.Garrett).</x:v>
      </x:c>
      <x:c r="L698" t="str">
        <x:v>run</x:v>
      </x:c>
      <x:c r="M698" t="n">
        <x:v>1</x:v>
      </x:c>
      <x:c r="N698" t="n">
        <x:v>1</x:v>
      </x:c>
      <x:c r="O698" t="n">
        <x:v>0</x:v>
      </x:c>
      <x:c r="P698"/>
      <x:c r="Q698"/>
      <x:c r="R698"/>
      <x:c r="S698"/>
      <x:c r="T698" t="str">
        <x:v>right</x:v>
      </x:c>
      <x:c r="U698" t="str">
        <x:v>tackle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/>
      <x:c r="AC698" t="n">
        <x:v>0</x:v>
      </x:c>
      <x:c r="AD698" t="n">
        <x:v>-0.6485462840646505</x:v>
      </x:c>
      <x:c r="AE698" t="n">
        <x:v>0</x:v>
      </x:c>
      <x:c r="AF698" t="n">
        <x:v>-0.004621416330337524</x:v>
      </x:c>
      <x:c r="AG698" t="n">
        <x:f>_xlfn.XLOOKUP($A698,Games!$A$2:$A$18,Games!$B$2:$B$18,"Missing game",0)</x:f>
        <x:v>2025</x:v>
      </x:c>
      <x:c r="AH698" t="str">
        <x:f>_xlfn.XLOOKUP($A698,Games!$A$2:$A$18,Games!$C$2:$C$18,"Missing game",0)</x:f>
        <x:v>REG</x:v>
      </x:c>
      <x:c r="AI698" t="n">
        <x:f>_xlfn.XLOOKUP($A698,Games!$A$2:$A$18,Games!$D$2:$D$18,"Missing game",0)</x:f>
        <x:v>5</x:v>
      </x:c>
      <x:c r="AJ698" s="1" t="n">
        <x:f>_xlfn.XLOOKUP($A698,Games!$A$2:$A$18,Games!$E$2:$E$18,"Missing game",0)</x:f>
        <x:v>45935</x:v>
      </x:c>
      <x:c r="AK698" t="str">
        <x:f>_xlfn.XLOOKUP($A698,Games!$A$2:$A$18,Games!$F$2:$F$18,"Missing game",0)</x:f>
        <x:v>Sunday</x:v>
      </x:c>
      <x:c r="AL698" t="str">
        <x:f>_xlfn.XLOOKUP($A698,Games!$A$2:$A$18,Games!$G$2:$G$18,"Missing game",0)</x:f>
        <x:v>MIN</x:v>
      </x:c>
      <x:c r="AM698" t="n">
        <x:f>_xlfn.XLOOKUP($A698,Games!$A$2:$A$18,Games!$H$2:$H$18,"Missing game",0)</x:f>
        <x:v>21</x:v>
      </x:c>
      <x:c r="AN698" t="str">
        <x:f>_xlfn.XLOOKUP($A698,Games!$A$2:$A$18,Games!$I$2:$I$18,"Missing game",0)</x:f>
        <x:v>CLE</x:v>
      </x:c>
      <x:c r="AO698" t="n">
        <x:f>_xlfn.XLOOKUP($A698,Games!$A$2:$A$18,Games!$J$2:$J$18,"Missing game",0)</x:f>
        <x:v>17</x:v>
      </x:c>
      <x:c r="AP698" t="n">
        <x:f>_xlfn.XLOOKUP($A698,Games!$A$2:$A$18,Games!$K$2:$K$18,"Missing game",0)</x:f>
        <x:v>-4</x:v>
      </x:c>
      <x:c r="AQ698" t="n">
        <x:f>_xlfn.XLOOKUP($A698,Games!$A$2:$A$18,Games!$L$2:$L$18,"Missing game",0)</x:f>
        <x:v>38</x:v>
      </x:c>
      <x:c r="AR698" t="n">
        <x:f>_xlfn.XLOOKUP($A698,Games!$A$2:$A$18,Games!$M$2:$M$18,"Missing game",0)</x:f>
        <x:v>0</x:v>
      </x:c>
      <x:c r="AS698" t="str">
        <x:f>_xlfn.XLOOKUP($A698,Games!$A$2:$A$18,Games!$N$2:$N$18,"Missing game",0)</x:f>
        <x:v>outdoors</x:v>
      </x:c>
      <x:c r="AT698" t="str">
        <x:f>_xlfn.XLOOKUP($A698,Games!$A$2:$A$18,Games!$O$2:$O$18,"Missing game",0)</x:f>
        <x:v>grass</x:v>
      </x:c>
      <x:c r="AU698" t="n">
        <x:f>_xlfn.XLOOKUP($A698,Games!$A$2:$A$18,Games!$P$2:$P$18,"Missing game",0)</x:f>
        <x:v>61</x:v>
      </x:c>
      <x:c r="AV698" t="n">
        <x:f>_xlfn.XLOOKUP($A698,Games!$A$2:$A$18,Games!$Q$2:$Q$18,"Missing game",0)</x:f>
        <x:v>14</x:v>
      </x:c>
      <x:c r="AW698" t="str">
        <x:f>_xlfn.XLOOKUP($A698,Games!$A$2:$A$18,Games!$R$2:$R$18,"Missing game",0)</x:f>
        <x:v>FirstEnergy Stadium</x:v>
      </x:c>
    </x:row>
    <x:row r="699">
      <x:c r="A699" t="str">
        <x:v>2025_05_MIN_CLE</x:v>
      </x:c>
      <x:c r="B699" t="n">
        <x:v>656</x:v>
      </x:c>
      <x:c r="C699" t="n">
        <x:v>1</x:v>
      </x:c>
      <x:c r="D699" t="str">
        <x:v>05:15</x:v>
      </x:c>
      <x:c r="E699" t="n">
        <x:v>3</x:v>
      </x:c>
      <x:c r="F699" t="n">
        <x:v>7</x:v>
      </x:c>
      <x:c r="G699" t="str">
        <x:v>MIN</x:v>
      </x:c>
      <x:c r="H699" t="str">
        <x:v>CLE</x:v>
      </x:c>
      <x:c r="I699" t="str">
        <x:v>MIN</x:v>
      </x:c>
      <x:c r="J699" t="n">
        <x:v>79</x:v>
      </x:c>
      <x:c r="K699" t="str">
        <x:v>(5:15) (Shotgun) 11-C.Wentz pass short left to 18-J.Jefferson ran ob at MIN 36 for 15 yards (26-M.Harden).</x:v>
      </x:c>
      <x:c r="L699" t="str">
        <x:v>pass</x:v>
      </x:c>
      <x:c r="M699" t="n">
        <x:v>15</x:v>
      </x:c>
      <x:c r="N699" t="n">
        <x:v>1</x:v>
      </x:c>
      <x:c r="O699" t="n">
        <x:v>0</x:v>
      </x:c>
      <x:c r="P699" t="str">
        <x:v>short</x:v>
      </x:c>
      <x:c r="Q699" t="str">
        <x:v>left</x:v>
      </x:c>
      <x:c r="R699" t="n">
        <x:v>10</x:v>
      </x:c>
      <x:c r="S699" t="n">
        <x:v>5</x:v>
      </x:c>
      <x:c r="T699"/>
      <x:c r="U699"/>
      <x:c r="V699" t="n">
        <x:v>1</x:v>
      </x:c>
      <x:c r="W699" t="n">
        <x:v>1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/>
      <x:c r="AC699" t="n">
        <x:v>0</x:v>
      </x:c>
      <x:c r="AD699" t="n">
        <x:v>2.4062211117707193</x:v>
      </x:c>
      <x:c r="AE699" t="n">
        <x:v>1</x:v>
      </x:c>
      <x:c r="AF699" t="n">
        <x:v>0.0506419837474823</x:v>
      </x:c>
      <x:c r="AG699" t="n">
        <x:f>_xlfn.XLOOKUP($A699,Games!$A$2:$A$18,Games!$B$2:$B$18,"Missing game",0)</x:f>
        <x:v>2025</x:v>
      </x:c>
      <x:c r="AH699" t="str">
        <x:f>_xlfn.XLOOKUP($A699,Games!$A$2:$A$18,Games!$C$2:$C$18,"Missing game",0)</x:f>
        <x:v>REG</x:v>
      </x:c>
      <x:c r="AI699" t="n">
        <x:f>_xlfn.XLOOKUP($A699,Games!$A$2:$A$18,Games!$D$2:$D$18,"Missing game",0)</x:f>
        <x:v>5</x:v>
      </x:c>
      <x:c r="AJ699" s="1" t="n">
        <x:f>_xlfn.XLOOKUP($A699,Games!$A$2:$A$18,Games!$E$2:$E$18,"Missing game",0)</x:f>
        <x:v>45935</x:v>
      </x:c>
      <x:c r="AK699" t="str">
        <x:f>_xlfn.XLOOKUP($A699,Games!$A$2:$A$18,Games!$F$2:$F$18,"Missing game",0)</x:f>
        <x:v>Sunday</x:v>
      </x:c>
      <x:c r="AL699" t="str">
        <x:f>_xlfn.XLOOKUP($A699,Games!$A$2:$A$18,Games!$G$2:$G$18,"Missing game",0)</x:f>
        <x:v>MIN</x:v>
      </x:c>
      <x:c r="AM699" t="n">
        <x:f>_xlfn.XLOOKUP($A699,Games!$A$2:$A$18,Games!$H$2:$H$18,"Missing game",0)</x:f>
        <x:v>21</x:v>
      </x:c>
      <x:c r="AN699" t="str">
        <x:f>_xlfn.XLOOKUP($A699,Games!$A$2:$A$18,Games!$I$2:$I$18,"Missing game",0)</x:f>
        <x:v>CLE</x:v>
      </x:c>
      <x:c r="AO699" t="n">
        <x:f>_xlfn.XLOOKUP($A699,Games!$A$2:$A$18,Games!$J$2:$J$18,"Missing game",0)</x:f>
        <x:v>17</x:v>
      </x:c>
      <x:c r="AP699" t="n">
        <x:f>_xlfn.XLOOKUP($A699,Games!$A$2:$A$18,Games!$K$2:$K$18,"Missing game",0)</x:f>
        <x:v>-4</x:v>
      </x:c>
      <x:c r="AQ699" t="n">
        <x:f>_xlfn.XLOOKUP($A699,Games!$A$2:$A$18,Games!$L$2:$L$18,"Missing game",0)</x:f>
        <x:v>38</x:v>
      </x:c>
      <x:c r="AR699" t="n">
        <x:f>_xlfn.XLOOKUP($A699,Games!$A$2:$A$18,Games!$M$2:$M$18,"Missing game",0)</x:f>
        <x:v>0</x:v>
      </x:c>
      <x:c r="AS699" t="str">
        <x:f>_xlfn.XLOOKUP($A699,Games!$A$2:$A$18,Games!$N$2:$N$18,"Missing game",0)</x:f>
        <x:v>outdoors</x:v>
      </x:c>
      <x:c r="AT699" t="str">
        <x:f>_xlfn.XLOOKUP($A699,Games!$A$2:$A$18,Games!$O$2:$O$18,"Missing game",0)</x:f>
        <x:v>grass</x:v>
      </x:c>
      <x:c r="AU699" t="n">
        <x:f>_xlfn.XLOOKUP($A699,Games!$A$2:$A$18,Games!$P$2:$P$18,"Missing game",0)</x:f>
        <x:v>61</x:v>
      </x:c>
      <x:c r="AV699" t="n">
        <x:f>_xlfn.XLOOKUP($A699,Games!$A$2:$A$18,Games!$Q$2:$Q$18,"Missing game",0)</x:f>
        <x:v>14</x:v>
      </x:c>
      <x:c r="AW699" t="str">
        <x:f>_xlfn.XLOOKUP($A699,Games!$A$2:$A$18,Games!$R$2:$R$18,"Missing game",0)</x:f>
        <x:v>FirstEnergy Stadium</x:v>
      </x:c>
    </x:row>
    <x:row r="700">
      <x:c r="A700" t="str">
        <x:v>2025_05_MIN_CLE</x:v>
      </x:c>
      <x:c r="B700" t="n">
        <x:v>686</x:v>
      </x:c>
      <x:c r="C700" t="n">
        <x:v>1</x:v>
      </x:c>
      <x:c r="D700" t="str">
        <x:v>04:36</x:v>
      </x:c>
      <x:c r="E700" t="n">
        <x:v>1</x:v>
      </x:c>
      <x:c r="F700" t="n">
        <x:v>10</x:v>
      </x:c>
      <x:c r="G700" t="str">
        <x:v>MIN</x:v>
      </x:c>
      <x:c r="H700" t="str">
        <x:v>CLE</x:v>
      </x:c>
      <x:c r="I700" t="str">
        <x:v>MIN</x:v>
      </x:c>
      <x:c r="J700" t="n">
        <x:v>64</x:v>
      </x:c>
      <x:c r="K700" t="str">
        <x:v>(4:36) 11-C.Wentz pass incomplete short right to 1-J.Nailor.</x:v>
      </x:c>
      <x:c r="L700" t="str">
        <x:v>pass</x:v>
      </x:c>
      <x:c r="M700" t="n">
        <x:v>0</x:v>
      </x:c>
      <x:c r="N700" t="n">
        <x:v>0</x:v>
      </x:c>
      <x:c r="O700" t="n">
        <x:v>0</x:v>
      </x:c>
      <x:c r="P700" t="str">
        <x:v>short</x:v>
      </x:c>
      <x:c r="Q700" t="str">
        <x:v>right</x:v>
      </x:c>
      <x:c r="R700" t="n">
        <x:v>14</x:v>
      </x:c>
      <x:c r="S700"/>
      <x:c r="T700"/>
      <x:c r="U700"/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/>
      <x:c r="AC700" t="n">
        <x:v>0</x:v>
      </x:c>
      <x:c r="AD700" t="n">
        <x:v>-0.5230645821429789</x:v>
      </x:c>
      <x:c r="AE700" t="n">
        <x:v>0</x:v>
      </x:c>
      <x:c r="AF700" t="n">
        <x:v>-0.01467365026473999</x:v>
      </x:c>
      <x:c r="AG700" t="n">
        <x:f>_xlfn.XLOOKUP($A700,Games!$A$2:$A$18,Games!$B$2:$B$18,"Missing game",0)</x:f>
        <x:v>2025</x:v>
      </x:c>
      <x:c r="AH700" t="str">
        <x:f>_xlfn.XLOOKUP($A700,Games!$A$2:$A$18,Games!$C$2:$C$18,"Missing game",0)</x:f>
        <x:v>REG</x:v>
      </x:c>
      <x:c r="AI700" t="n">
        <x:f>_xlfn.XLOOKUP($A700,Games!$A$2:$A$18,Games!$D$2:$D$18,"Missing game",0)</x:f>
        <x:v>5</x:v>
      </x:c>
      <x:c r="AJ700" s="1" t="n">
        <x:f>_xlfn.XLOOKUP($A700,Games!$A$2:$A$18,Games!$E$2:$E$18,"Missing game",0)</x:f>
        <x:v>45935</x:v>
      </x:c>
      <x:c r="AK700" t="str">
        <x:f>_xlfn.XLOOKUP($A700,Games!$A$2:$A$18,Games!$F$2:$F$18,"Missing game",0)</x:f>
        <x:v>Sunday</x:v>
      </x:c>
      <x:c r="AL700" t="str">
        <x:f>_xlfn.XLOOKUP($A700,Games!$A$2:$A$18,Games!$G$2:$G$18,"Missing game",0)</x:f>
        <x:v>MIN</x:v>
      </x:c>
      <x:c r="AM700" t="n">
        <x:f>_xlfn.XLOOKUP($A700,Games!$A$2:$A$18,Games!$H$2:$H$18,"Missing game",0)</x:f>
        <x:v>21</x:v>
      </x:c>
      <x:c r="AN700" t="str">
        <x:f>_xlfn.XLOOKUP($A700,Games!$A$2:$A$18,Games!$I$2:$I$18,"Missing game",0)</x:f>
        <x:v>CLE</x:v>
      </x:c>
      <x:c r="AO700" t="n">
        <x:f>_xlfn.XLOOKUP($A700,Games!$A$2:$A$18,Games!$J$2:$J$18,"Missing game",0)</x:f>
        <x:v>17</x:v>
      </x:c>
      <x:c r="AP700" t="n">
        <x:f>_xlfn.XLOOKUP($A700,Games!$A$2:$A$18,Games!$K$2:$K$18,"Missing game",0)</x:f>
        <x:v>-4</x:v>
      </x:c>
      <x:c r="AQ700" t="n">
        <x:f>_xlfn.XLOOKUP($A700,Games!$A$2:$A$18,Games!$L$2:$L$18,"Missing game",0)</x:f>
        <x:v>38</x:v>
      </x:c>
      <x:c r="AR700" t="n">
        <x:f>_xlfn.XLOOKUP($A700,Games!$A$2:$A$18,Games!$M$2:$M$18,"Missing game",0)</x:f>
        <x:v>0</x:v>
      </x:c>
      <x:c r="AS700" t="str">
        <x:f>_xlfn.XLOOKUP($A700,Games!$A$2:$A$18,Games!$N$2:$N$18,"Missing game",0)</x:f>
        <x:v>outdoors</x:v>
      </x:c>
      <x:c r="AT700" t="str">
        <x:f>_xlfn.XLOOKUP($A700,Games!$A$2:$A$18,Games!$O$2:$O$18,"Missing game",0)</x:f>
        <x:v>grass</x:v>
      </x:c>
      <x:c r="AU700" t="n">
        <x:f>_xlfn.XLOOKUP($A700,Games!$A$2:$A$18,Games!$P$2:$P$18,"Missing game",0)</x:f>
        <x:v>61</x:v>
      </x:c>
      <x:c r="AV700" t="n">
        <x:f>_xlfn.XLOOKUP($A700,Games!$A$2:$A$18,Games!$Q$2:$Q$18,"Missing game",0)</x:f>
        <x:v>14</x:v>
      </x:c>
      <x:c r="AW700" t="str">
        <x:f>_xlfn.XLOOKUP($A700,Games!$A$2:$A$18,Games!$R$2:$R$18,"Missing game",0)</x:f>
        <x:v>FirstEnergy Stadium</x:v>
      </x:c>
    </x:row>
    <x:row r="701">
      <x:c r="A701" t="str">
        <x:v>2025_05_MIN_CLE</x:v>
      </x:c>
      <x:c r="B701" t="n">
        <x:v>709</x:v>
      </x:c>
      <x:c r="C701" t="n">
        <x:v>1</x:v>
      </x:c>
      <x:c r="D701" t="str">
        <x:v>04:31</x:v>
      </x:c>
      <x:c r="E701" t="n">
        <x:v>2</x:v>
      </x:c>
      <x:c r="F701" t="n">
        <x:v>10</x:v>
      </x:c>
      <x:c r="G701" t="str">
        <x:v>MIN</x:v>
      </x:c>
      <x:c r="H701" t="str">
        <x:v>CLE</x:v>
      </x:c>
      <x:c r="I701" t="str">
        <x:v>MIN</x:v>
      </x:c>
      <x:c r="J701" t="n">
        <x:v>64</x:v>
      </x:c>
      <x:c r="K701" t="str">
        <x:v>(4:31) (Shotgun) 11-C.Wentz pass short left to 18-J.Jefferson to MIN 48 for 12 yards (0-G.Newsome; 33-R.Hickman).</x:v>
      </x:c>
      <x:c r="L701" t="str">
        <x:v>pass</x:v>
      </x:c>
      <x:c r="M701" t="n">
        <x:v>12</x:v>
      </x:c>
      <x:c r="N701" t="n">
        <x:v>1</x:v>
      </x:c>
      <x:c r="O701" t="n">
        <x:v>0</x:v>
      </x:c>
      <x:c r="P701" t="str">
        <x:v>short</x:v>
      </x:c>
      <x:c r="Q701" t="str">
        <x:v>left</x:v>
      </x:c>
      <x:c r="R701" t="n">
        <x:v>5</x:v>
      </x:c>
      <x:c r="S701" t="n">
        <x:v>7</x:v>
      </x:c>
      <x:c r="T701"/>
      <x:c r="U701"/>
      <x:c r="V701" t="n">
        <x:v>1</x:v>
      </x:c>
      <x:c r="W701" t="n">
        <x:v>1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/>
      <x:c r="AC701" t="n">
        <x:v>0</x:v>
      </x:c>
      <x:c r="AD701" t="n">
        <x:v>1.3303570109419525</x:v>
      </x:c>
      <x:c r="AE701" t="n">
        <x:v>1</x:v>
      </x:c>
      <x:c r="AF701" t="n">
        <x:v>0.021443158388137817</x:v>
      </x:c>
      <x:c r="AG701" t="n">
        <x:f>_xlfn.XLOOKUP($A701,Games!$A$2:$A$18,Games!$B$2:$B$18,"Missing game",0)</x:f>
        <x:v>2025</x:v>
      </x:c>
      <x:c r="AH701" t="str">
        <x:f>_xlfn.XLOOKUP($A701,Games!$A$2:$A$18,Games!$C$2:$C$18,"Missing game",0)</x:f>
        <x:v>REG</x:v>
      </x:c>
      <x:c r="AI701" t="n">
        <x:f>_xlfn.XLOOKUP($A701,Games!$A$2:$A$18,Games!$D$2:$D$18,"Missing game",0)</x:f>
        <x:v>5</x:v>
      </x:c>
      <x:c r="AJ701" s="1" t="n">
        <x:f>_xlfn.XLOOKUP($A701,Games!$A$2:$A$18,Games!$E$2:$E$18,"Missing game",0)</x:f>
        <x:v>45935</x:v>
      </x:c>
      <x:c r="AK701" t="str">
        <x:f>_xlfn.XLOOKUP($A701,Games!$A$2:$A$18,Games!$F$2:$F$18,"Missing game",0)</x:f>
        <x:v>Sunday</x:v>
      </x:c>
      <x:c r="AL701" t="str">
        <x:f>_xlfn.XLOOKUP($A701,Games!$A$2:$A$18,Games!$G$2:$G$18,"Missing game",0)</x:f>
        <x:v>MIN</x:v>
      </x:c>
      <x:c r="AM701" t="n">
        <x:f>_xlfn.XLOOKUP($A701,Games!$A$2:$A$18,Games!$H$2:$H$18,"Missing game",0)</x:f>
        <x:v>21</x:v>
      </x:c>
      <x:c r="AN701" t="str">
        <x:f>_xlfn.XLOOKUP($A701,Games!$A$2:$A$18,Games!$I$2:$I$18,"Missing game",0)</x:f>
        <x:v>CLE</x:v>
      </x:c>
      <x:c r="AO701" t="n">
        <x:f>_xlfn.XLOOKUP($A701,Games!$A$2:$A$18,Games!$J$2:$J$18,"Missing game",0)</x:f>
        <x:v>17</x:v>
      </x:c>
      <x:c r="AP701" t="n">
        <x:f>_xlfn.XLOOKUP($A701,Games!$A$2:$A$18,Games!$K$2:$K$18,"Missing game",0)</x:f>
        <x:v>-4</x:v>
      </x:c>
      <x:c r="AQ701" t="n">
        <x:f>_xlfn.XLOOKUP($A701,Games!$A$2:$A$18,Games!$L$2:$L$18,"Missing game",0)</x:f>
        <x:v>38</x:v>
      </x:c>
      <x:c r="AR701" t="n">
        <x:f>_xlfn.XLOOKUP($A701,Games!$A$2:$A$18,Games!$M$2:$M$18,"Missing game",0)</x:f>
        <x:v>0</x:v>
      </x:c>
      <x:c r="AS701" t="str">
        <x:f>_xlfn.XLOOKUP($A701,Games!$A$2:$A$18,Games!$N$2:$N$18,"Missing game",0)</x:f>
        <x:v>outdoors</x:v>
      </x:c>
      <x:c r="AT701" t="str">
        <x:f>_xlfn.XLOOKUP($A701,Games!$A$2:$A$18,Games!$O$2:$O$18,"Missing game",0)</x:f>
        <x:v>grass</x:v>
      </x:c>
      <x:c r="AU701" t="n">
        <x:f>_xlfn.XLOOKUP($A701,Games!$A$2:$A$18,Games!$P$2:$P$18,"Missing game",0)</x:f>
        <x:v>61</x:v>
      </x:c>
      <x:c r="AV701" t="n">
        <x:f>_xlfn.XLOOKUP($A701,Games!$A$2:$A$18,Games!$Q$2:$Q$18,"Missing game",0)</x:f>
        <x:v>14</x:v>
      </x:c>
      <x:c r="AW701" t="str">
        <x:f>_xlfn.XLOOKUP($A701,Games!$A$2:$A$18,Games!$R$2:$R$18,"Missing game",0)</x:f>
        <x:v>FirstEnergy Stadium</x:v>
      </x:c>
    </x:row>
    <x:row r="702">
      <x:c r="A702" t="str">
        <x:v>2025_05_MIN_CLE</x:v>
      </x:c>
      <x:c r="B702" t="n">
        <x:v>734</x:v>
      </x:c>
      <x:c r="C702" t="n">
        <x:v>1</x:v>
      </x:c>
      <x:c r="D702" t="str">
        <x:v>03:53</x:v>
      </x:c>
      <x:c r="E702" t="n">
        <x:v>1</x:v>
      </x:c>
      <x:c r="F702" t="n">
        <x:v>10</x:v>
      </x:c>
      <x:c r="G702" t="str">
        <x:v>MIN</x:v>
      </x:c>
      <x:c r="H702" t="str">
        <x:v>CLE</x:v>
      </x:c>
      <x:c r="I702" t="str">
        <x:v>MIN</x:v>
      </x:c>
      <x:c r="J702" t="n">
        <x:v>52</x:v>
      </x:c>
      <x:c r="K702" t="str">
        <x:v>(3:53) (Shotgun) 11-C.Wentz pass incomplete short left to 18-J.Jefferson. PENALTY on MIN-84-J.Oliver, Offensive Offside, 5 yards, enforced at MIN 48 - No Play.</x:v>
      </x:c>
      <x:c r="L702" t="str">
        <x:v>no_play</x:v>
      </x:c>
      <x:c r="M702" t="n">
        <x:v>0</x:v>
      </x:c>
      <x:c r="N702" t="n">
        <x:v>1</x:v>
      </x:c>
      <x:c r="O702" t="n">
        <x:v>0</x:v>
      </x:c>
      <x:c r="P702"/>
      <x:c r="Q702"/>
      <x:c r="R702"/>
      <x:c r="S702"/>
      <x:c r="T702"/>
      <x:c r="U702"/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1</x:v>
      </x:c>
      <x:c r="AB702" t="n">
        <x:v>5</x:v>
      </x:c>
      <x:c r="AC702" t="n">
        <x:v>0</x:v>
      </x:c>
      <x:c r="AD702" t="n">
        <x:v>-0.6580590880475938</x:v>
      </x:c>
      <x:c r="AE702" t="n">
        <x:v>0</x:v>
      </x:c>
      <x:c r="AF702" t="n">
        <x:v>-0.009672611951828003</x:v>
      </x:c>
      <x:c r="AG702" t="n">
        <x:f>_xlfn.XLOOKUP($A702,Games!$A$2:$A$18,Games!$B$2:$B$18,"Missing game",0)</x:f>
        <x:v>2025</x:v>
      </x:c>
      <x:c r="AH702" t="str">
        <x:f>_xlfn.XLOOKUP($A702,Games!$A$2:$A$18,Games!$C$2:$C$18,"Missing game",0)</x:f>
        <x:v>REG</x:v>
      </x:c>
      <x:c r="AI702" t="n">
        <x:f>_xlfn.XLOOKUP($A702,Games!$A$2:$A$18,Games!$D$2:$D$18,"Missing game",0)</x:f>
        <x:v>5</x:v>
      </x:c>
      <x:c r="AJ702" s="1" t="n">
        <x:f>_xlfn.XLOOKUP($A702,Games!$A$2:$A$18,Games!$E$2:$E$18,"Missing game",0)</x:f>
        <x:v>45935</x:v>
      </x:c>
      <x:c r="AK702" t="str">
        <x:f>_xlfn.XLOOKUP($A702,Games!$A$2:$A$18,Games!$F$2:$F$18,"Missing game",0)</x:f>
        <x:v>Sunday</x:v>
      </x:c>
      <x:c r="AL702" t="str">
        <x:f>_xlfn.XLOOKUP($A702,Games!$A$2:$A$18,Games!$G$2:$G$18,"Missing game",0)</x:f>
        <x:v>MIN</x:v>
      </x:c>
      <x:c r="AM702" t="n">
        <x:f>_xlfn.XLOOKUP($A702,Games!$A$2:$A$18,Games!$H$2:$H$18,"Missing game",0)</x:f>
        <x:v>21</x:v>
      </x:c>
      <x:c r="AN702" t="str">
        <x:f>_xlfn.XLOOKUP($A702,Games!$A$2:$A$18,Games!$I$2:$I$18,"Missing game",0)</x:f>
        <x:v>CLE</x:v>
      </x:c>
      <x:c r="AO702" t="n">
        <x:f>_xlfn.XLOOKUP($A702,Games!$A$2:$A$18,Games!$J$2:$J$18,"Missing game",0)</x:f>
        <x:v>17</x:v>
      </x:c>
      <x:c r="AP702" t="n">
        <x:f>_xlfn.XLOOKUP($A702,Games!$A$2:$A$18,Games!$K$2:$K$18,"Missing game",0)</x:f>
        <x:v>-4</x:v>
      </x:c>
      <x:c r="AQ702" t="n">
        <x:f>_xlfn.XLOOKUP($A702,Games!$A$2:$A$18,Games!$L$2:$L$18,"Missing game",0)</x:f>
        <x:v>38</x:v>
      </x:c>
      <x:c r="AR702" t="n">
        <x:f>_xlfn.XLOOKUP($A702,Games!$A$2:$A$18,Games!$M$2:$M$18,"Missing game",0)</x:f>
        <x:v>0</x:v>
      </x:c>
      <x:c r="AS702" t="str">
        <x:f>_xlfn.XLOOKUP($A702,Games!$A$2:$A$18,Games!$N$2:$N$18,"Missing game",0)</x:f>
        <x:v>outdoors</x:v>
      </x:c>
      <x:c r="AT702" t="str">
        <x:f>_xlfn.XLOOKUP($A702,Games!$A$2:$A$18,Games!$O$2:$O$18,"Missing game",0)</x:f>
        <x:v>grass</x:v>
      </x:c>
      <x:c r="AU702" t="n">
        <x:f>_xlfn.XLOOKUP($A702,Games!$A$2:$A$18,Games!$P$2:$P$18,"Missing game",0)</x:f>
        <x:v>61</x:v>
      </x:c>
      <x:c r="AV702" t="n">
        <x:f>_xlfn.XLOOKUP($A702,Games!$A$2:$A$18,Games!$Q$2:$Q$18,"Missing game",0)</x:f>
        <x:v>14</x:v>
      </x:c>
      <x:c r="AW702" t="str">
        <x:f>_xlfn.XLOOKUP($A702,Games!$A$2:$A$18,Games!$R$2:$R$18,"Missing game",0)</x:f>
        <x:v>FirstEnergy Stadium</x:v>
      </x:c>
    </x:row>
    <x:row r="703">
      <x:c r="A703" t="str">
        <x:v>2025_05_MIN_CLE</x:v>
      </x:c>
      <x:c r="B703" t="n">
        <x:v>757</x:v>
      </x:c>
      <x:c r="C703" t="n">
        <x:v>1</x:v>
      </x:c>
      <x:c r="D703" t="str">
        <x:v>03:49</x:v>
      </x:c>
      <x:c r="E703" t="n">
        <x:v>1</x:v>
      </x:c>
      <x:c r="F703" t="n">
        <x:v>15</x:v>
      </x:c>
      <x:c r="G703" t="str">
        <x:v>MIN</x:v>
      </x:c>
      <x:c r="H703" t="str">
        <x:v>CLE</x:v>
      </x:c>
      <x:c r="I703" t="str">
        <x:v>MIN</x:v>
      </x:c>
      <x:c r="J703" t="n">
        <x:v>57</x:v>
      </x:c>
      <x:c r="K703" t="str">
        <x:v>(3:49) 11-C.Wentz pass short left to 87-T.Hockenson pushed ob at MIN 48 for 5 yards (33-R.Hickman).</x:v>
      </x:c>
      <x:c r="L703" t="str">
        <x:v>pass</x:v>
      </x:c>
      <x:c r="M703" t="n">
        <x:v>5</x:v>
      </x:c>
      <x:c r="N703" t="n">
        <x:v>0</x:v>
      </x:c>
      <x:c r="O703" t="n">
        <x:v>0</x:v>
      </x:c>
      <x:c r="P703" t="str">
        <x:v>short</x:v>
      </x:c>
      <x:c r="Q703" t="str">
        <x:v>left</x:v>
      </x:c>
      <x:c r="R703" t="n">
        <x:v>2</x:v>
      </x:c>
      <x:c r="S703" t="n">
        <x:v>3</x:v>
      </x:c>
      <x:c r="T703"/>
      <x:c r="U703"/>
      <x:c r="V703" t="n">
        <x:v>1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/>
      <x:c r="AC703" t="n">
        <x:v>0</x:v>
      </x:c>
      <x:c r="AD703" t="n">
        <x:v>0.13828099938109517</x:v>
      </x:c>
      <x:c r="AE703" t="n">
        <x:v>1</x:v>
      </x:c>
      <x:c r="AF703" t="n">
        <x:v>-0.005160897970199585</x:v>
      </x:c>
      <x:c r="AG703" t="n">
        <x:f>_xlfn.XLOOKUP($A703,Games!$A$2:$A$18,Games!$B$2:$B$18,"Missing game",0)</x:f>
        <x:v>2025</x:v>
      </x:c>
      <x:c r="AH703" t="str">
        <x:f>_xlfn.XLOOKUP($A703,Games!$A$2:$A$18,Games!$C$2:$C$18,"Missing game",0)</x:f>
        <x:v>REG</x:v>
      </x:c>
      <x:c r="AI703" t="n">
        <x:f>_xlfn.XLOOKUP($A703,Games!$A$2:$A$18,Games!$D$2:$D$18,"Missing game",0)</x:f>
        <x:v>5</x:v>
      </x:c>
      <x:c r="AJ703" s="1" t="n">
        <x:f>_xlfn.XLOOKUP($A703,Games!$A$2:$A$18,Games!$E$2:$E$18,"Missing game",0)</x:f>
        <x:v>45935</x:v>
      </x:c>
      <x:c r="AK703" t="str">
        <x:f>_xlfn.XLOOKUP($A703,Games!$A$2:$A$18,Games!$F$2:$F$18,"Missing game",0)</x:f>
        <x:v>Sunday</x:v>
      </x:c>
      <x:c r="AL703" t="str">
        <x:f>_xlfn.XLOOKUP($A703,Games!$A$2:$A$18,Games!$G$2:$G$18,"Missing game",0)</x:f>
        <x:v>MIN</x:v>
      </x:c>
      <x:c r="AM703" t="n">
        <x:f>_xlfn.XLOOKUP($A703,Games!$A$2:$A$18,Games!$H$2:$H$18,"Missing game",0)</x:f>
        <x:v>21</x:v>
      </x:c>
      <x:c r="AN703" t="str">
        <x:f>_xlfn.XLOOKUP($A703,Games!$A$2:$A$18,Games!$I$2:$I$18,"Missing game",0)</x:f>
        <x:v>CLE</x:v>
      </x:c>
      <x:c r="AO703" t="n">
        <x:f>_xlfn.XLOOKUP($A703,Games!$A$2:$A$18,Games!$J$2:$J$18,"Missing game",0)</x:f>
        <x:v>17</x:v>
      </x:c>
      <x:c r="AP703" t="n">
        <x:f>_xlfn.XLOOKUP($A703,Games!$A$2:$A$18,Games!$K$2:$K$18,"Missing game",0)</x:f>
        <x:v>-4</x:v>
      </x:c>
      <x:c r="AQ703" t="n">
        <x:f>_xlfn.XLOOKUP($A703,Games!$A$2:$A$18,Games!$L$2:$L$18,"Missing game",0)</x:f>
        <x:v>38</x:v>
      </x:c>
      <x:c r="AR703" t="n">
        <x:f>_xlfn.XLOOKUP($A703,Games!$A$2:$A$18,Games!$M$2:$M$18,"Missing game",0)</x:f>
        <x:v>0</x:v>
      </x:c>
      <x:c r="AS703" t="str">
        <x:f>_xlfn.XLOOKUP($A703,Games!$A$2:$A$18,Games!$N$2:$N$18,"Missing game",0)</x:f>
        <x:v>outdoors</x:v>
      </x:c>
      <x:c r="AT703" t="str">
        <x:f>_xlfn.XLOOKUP($A703,Games!$A$2:$A$18,Games!$O$2:$O$18,"Missing game",0)</x:f>
        <x:v>grass</x:v>
      </x:c>
      <x:c r="AU703" t="n">
        <x:f>_xlfn.XLOOKUP($A703,Games!$A$2:$A$18,Games!$P$2:$P$18,"Missing game",0)</x:f>
        <x:v>61</x:v>
      </x:c>
      <x:c r="AV703" t="n">
        <x:f>_xlfn.XLOOKUP($A703,Games!$A$2:$A$18,Games!$Q$2:$Q$18,"Missing game",0)</x:f>
        <x:v>14</x:v>
      </x:c>
      <x:c r="AW703" t="str">
        <x:f>_xlfn.XLOOKUP($A703,Games!$A$2:$A$18,Games!$R$2:$R$18,"Missing game",0)</x:f>
        <x:v>FirstEnergy Stadium</x:v>
      </x:c>
    </x:row>
    <x:row r="704">
      <x:c r="A704" t="str">
        <x:v>2025_05_MIN_CLE</x:v>
      </x:c>
      <x:c r="B704" t="n">
        <x:v>806</x:v>
      </x:c>
      <x:c r="C704" t="n">
        <x:v>1</x:v>
      </x:c>
      <x:c r="D704" t="str">
        <x:v>03:15</x:v>
      </x:c>
      <x:c r="E704" t="n">
        <x:v>2</x:v>
      </x:c>
      <x:c r="F704" t="n">
        <x:v>10</x:v>
      </x:c>
      <x:c r="G704" t="str">
        <x:v>MIN</x:v>
      </x:c>
      <x:c r="H704" t="str">
        <x:v>CLE</x:v>
      </x:c>
      <x:c r="I704" t="str">
        <x:v>MIN</x:v>
      </x:c>
      <x:c r="J704" t="n">
        <x:v>52</x:v>
      </x:c>
      <x:c r="K704" t="str">
        <x:v>(3:15) 11-C.Wentz pass short left to 1-J.Nailor pushed ob at CLE 32 for 20 yards (33-R.Hickman).</x:v>
      </x:c>
      <x:c r="L704" t="str">
        <x:v>pass</x:v>
      </x:c>
      <x:c r="M704" t="n">
        <x:v>20</x:v>
      </x:c>
      <x:c r="N704" t="n">
        <x:v>0</x:v>
      </x:c>
      <x:c r="O704" t="n">
        <x:v>0</x:v>
      </x:c>
      <x:c r="P704" t="str">
        <x:v>short</x:v>
      </x:c>
      <x:c r="Q704" t="str">
        <x:v>left</x:v>
      </x:c>
      <x:c r="R704" t="n">
        <x:v>13</x:v>
      </x:c>
      <x:c r="S704" t="n">
        <x:v>7</x:v>
      </x:c>
      <x:c r="T704"/>
      <x:c r="U704"/>
      <x:c r="V704" t="n">
        <x:v>1</x:v>
      </x:c>
      <x:c r="W704" t="n">
        <x:v>1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/>
      <x:c r="AC704" t="n">
        <x:v>0</x:v>
      </x:c>
      <x:c r="AD704" t="n">
        <x:v>1.8349465486826375</x:v>
      </x:c>
      <x:c r="AE704" t="n">
        <x:v>1</x:v>
      </x:c>
      <x:c r="AF704" t="n">
        <x:v>0.03260117769241333</x:v>
      </x:c>
      <x:c r="AG704" t="n">
        <x:f>_xlfn.XLOOKUP($A704,Games!$A$2:$A$18,Games!$B$2:$B$18,"Missing game",0)</x:f>
        <x:v>2025</x:v>
      </x:c>
      <x:c r="AH704" t="str">
        <x:f>_xlfn.XLOOKUP($A704,Games!$A$2:$A$18,Games!$C$2:$C$18,"Missing game",0)</x:f>
        <x:v>REG</x:v>
      </x:c>
      <x:c r="AI704" t="n">
        <x:f>_xlfn.XLOOKUP($A704,Games!$A$2:$A$18,Games!$D$2:$D$18,"Missing game",0)</x:f>
        <x:v>5</x:v>
      </x:c>
      <x:c r="AJ704" s="1" t="n">
        <x:f>_xlfn.XLOOKUP($A704,Games!$A$2:$A$18,Games!$E$2:$E$18,"Missing game",0)</x:f>
        <x:v>45935</x:v>
      </x:c>
      <x:c r="AK704" t="str">
        <x:f>_xlfn.XLOOKUP($A704,Games!$A$2:$A$18,Games!$F$2:$F$18,"Missing game",0)</x:f>
        <x:v>Sunday</x:v>
      </x:c>
      <x:c r="AL704" t="str">
        <x:f>_xlfn.XLOOKUP($A704,Games!$A$2:$A$18,Games!$G$2:$G$18,"Missing game",0)</x:f>
        <x:v>MIN</x:v>
      </x:c>
      <x:c r="AM704" t="n">
        <x:f>_xlfn.XLOOKUP($A704,Games!$A$2:$A$18,Games!$H$2:$H$18,"Missing game",0)</x:f>
        <x:v>21</x:v>
      </x:c>
      <x:c r="AN704" t="str">
        <x:f>_xlfn.XLOOKUP($A704,Games!$A$2:$A$18,Games!$I$2:$I$18,"Missing game",0)</x:f>
        <x:v>CLE</x:v>
      </x:c>
      <x:c r="AO704" t="n">
        <x:f>_xlfn.XLOOKUP($A704,Games!$A$2:$A$18,Games!$J$2:$J$18,"Missing game",0)</x:f>
        <x:v>17</x:v>
      </x:c>
      <x:c r="AP704" t="n">
        <x:f>_xlfn.XLOOKUP($A704,Games!$A$2:$A$18,Games!$K$2:$K$18,"Missing game",0)</x:f>
        <x:v>-4</x:v>
      </x:c>
      <x:c r="AQ704" t="n">
        <x:f>_xlfn.XLOOKUP($A704,Games!$A$2:$A$18,Games!$L$2:$L$18,"Missing game",0)</x:f>
        <x:v>38</x:v>
      </x:c>
      <x:c r="AR704" t="n">
        <x:f>_xlfn.XLOOKUP($A704,Games!$A$2:$A$18,Games!$M$2:$M$18,"Missing game",0)</x:f>
        <x:v>0</x:v>
      </x:c>
      <x:c r="AS704" t="str">
        <x:f>_xlfn.XLOOKUP($A704,Games!$A$2:$A$18,Games!$N$2:$N$18,"Missing game",0)</x:f>
        <x:v>outdoors</x:v>
      </x:c>
      <x:c r="AT704" t="str">
        <x:f>_xlfn.XLOOKUP($A704,Games!$A$2:$A$18,Games!$O$2:$O$18,"Missing game",0)</x:f>
        <x:v>grass</x:v>
      </x:c>
      <x:c r="AU704" t="n">
        <x:f>_xlfn.XLOOKUP($A704,Games!$A$2:$A$18,Games!$P$2:$P$18,"Missing game",0)</x:f>
        <x:v>61</x:v>
      </x:c>
      <x:c r="AV704" t="n">
        <x:f>_xlfn.XLOOKUP($A704,Games!$A$2:$A$18,Games!$Q$2:$Q$18,"Missing game",0)</x:f>
        <x:v>14</x:v>
      </x:c>
      <x:c r="AW704" t="str">
        <x:f>_xlfn.XLOOKUP($A704,Games!$A$2:$A$18,Games!$R$2:$R$18,"Missing game",0)</x:f>
        <x:v>FirstEnergy Stadium</x:v>
      </x:c>
    </x:row>
    <x:row r="705">
      <x:c r="A705" t="str">
        <x:v>2025_05_MIN_CLE</x:v>
      </x:c>
      <x:c r="B705" t="n">
        <x:v>836</x:v>
      </x:c>
      <x:c r="C705" t="n">
        <x:v>1</x:v>
      </x:c>
      <x:c r="D705" t="str">
        <x:v>02:37</x:v>
      </x:c>
      <x:c r="E705" t="n">
        <x:v>1</x:v>
      </x:c>
      <x:c r="F705" t="n">
        <x:v>10</x:v>
      </x:c>
      <x:c r="G705" t="str">
        <x:v>MIN</x:v>
      </x:c>
      <x:c r="H705" t="str">
        <x:v>CLE</x:v>
      </x:c>
      <x:c r="I705" t="str">
        <x:v>CLE</x:v>
      </x:c>
      <x:c r="J705" t="n">
        <x:v>32</x:v>
      </x:c>
      <x:c r="K705" t="str">
        <x:v>(2:37) (Shotgun) Direct snap to 31-C.Akers. 31-C.Akers pass short right to 84-J.Oliver for 32 yards, TOUCHDOWN.</x:v>
      </x:c>
      <x:c r="L705" t="str">
        <x:v>pass</x:v>
      </x:c>
      <x:c r="M705" t="n">
        <x:v>32</x:v>
      </x:c>
      <x:c r="N705" t="n">
        <x:v>1</x:v>
      </x:c>
      <x:c r="O705" t="n">
        <x:v>0</x:v>
      </x:c>
      <x:c r="P705" t="str">
        <x:v>short</x:v>
      </x:c>
      <x:c r="Q705" t="str">
        <x:v>right</x:v>
      </x:c>
      <x:c r="R705" t="n">
        <x:v>15</x:v>
      </x:c>
      <x:c r="S705" t="n">
        <x:v>17</x:v>
      </x:c>
      <x:c r="T705"/>
      <x:c r="U705"/>
      <x:c r="V705" t="n">
        <x:v>1</x:v>
      </x:c>
      <x:c r="W705" t="n">
        <x:v>1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/>
      <x:c r="AC705" t="n">
        <x:v>1</x:v>
      </x:c>
      <x:c r="AD705" t="n">
        <x:v>3.2600105608580634</x:v>
      </x:c>
      <x:c r="AE705" t="n">
        <x:v>1</x:v>
      </x:c>
      <x:c r="AF705" t="n">
        <x:v>0.10074628821890519</x:v>
      </x:c>
      <x:c r="AG705" t="n">
        <x:f>_xlfn.XLOOKUP($A705,Games!$A$2:$A$18,Games!$B$2:$B$18,"Missing game",0)</x:f>
        <x:v>2025</x:v>
      </x:c>
      <x:c r="AH705" t="str">
        <x:f>_xlfn.XLOOKUP($A705,Games!$A$2:$A$18,Games!$C$2:$C$18,"Missing game",0)</x:f>
        <x:v>REG</x:v>
      </x:c>
      <x:c r="AI705" t="n">
        <x:f>_xlfn.XLOOKUP($A705,Games!$A$2:$A$18,Games!$D$2:$D$18,"Missing game",0)</x:f>
        <x:v>5</x:v>
      </x:c>
      <x:c r="AJ705" s="1" t="n">
        <x:f>_xlfn.XLOOKUP($A705,Games!$A$2:$A$18,Games!$E$2:$E$18,"Missing game",0)</x:f>
        <x:v>45935</x:v>
      </x:c>
      <x:c r="AK705" t="str">
        <x:f>_xlfn.XLOOKUP($A705,Games!$A$2:$A$18,Games!$F$2:$F$18,"Missing game",0)</x:f>
        <x:v>Sunday</x:v>
      </x:c>
      <x:c r="AL705" t="str">
        <x:f>_xlfn.XLOOKUP($A705,Games!$A$2:$A$18,Games!$G$2:$G$18,"Missing game",0)</x:f>
        <x:v>MIN</x:v>
      </x:c>
      <x:c r="AM705" t="n">
        <x:f>_xlfn.XLOOKUP($A705,Games!$A$2:$A$18,Games!$H$2:$H$18,"Missing game",0)</x:f>
        <x:v>21</x:v>
      </x:c>
      <x:c r="AN705" t="str">
        <x:f>_xlfn.XLOOKUP($A705,Games!$A$2:$A$18,Games!$I$2:$I$18,"Missing game",0)</x:f>
        <x:v>CLE</x:v>
      </x:c>
      <x:c r="AO705" t="n">
        <x:f>_xlfn.XLOOKUP($A705,Games!$A$2:$A$18,Games!$J$2:$J$18,"Missing game",0)</x:f>
        <x:v>17</x:v>
      </x:c>
      <x:c r="AP705" t="n">
        <x:f>_xlfn.XLOOKUP($A705,Games!$A$2:$A$18,Games!$K$2:$K$18,"Missing game",0)</x:f>
        <x:v>-4</x:v>
      </x:c>
      <x:c r="AQ705" t="n">
        <x:f>_xlfn.XLOOKUP($A705,Games!$A$2:$A$18,Games!$L$2:$L$18,"Missing game",0)</x:f>
        <x:v>38</x:v>
      </x:c>
      <x:c r="AR705" t="n">
        <x:f>_xlfn.XLOOKUP($A705,Games!$A$2:$A$18,Games!$M$2:$M$18,"Missing game",0)</x:f>
        <x:v>0</x:v>
      </x:c>
      <x:c r="AS705" t="str">
        <x:f>_xlfn.XLOOKUP($A705,Games!$A$2:$A$18,Games!$N$2:$N$18,"Missing game",0)</x:f>
        <x:v>outdoors</x:v>
      </x:c>
      <x:c r="AT705" t="str">
        <x:f>_xlfn.XLOOKUP($A705,Games!$A$2:$A$18,Games!$O$2:$O$18,"Missing game",0)</x:f>
        <x:v>grass</x:v>
      </x:c>
      <x:c r="AU705" t="n">
        <x:f>_xlfn.XLOOKUP($A705,Games!$A$2:$A$18,Games!$P$2:$P$18,"Missing game",0)</x:f>
        <x:v>61</x:v>
      </x:c>
      <x:c r="AV705" t="n">
        <x:f>_xlfn.XLOOKUP($A705,Games!$A$2:$A$18,Games!$Q$2:$Q$18,"Missing game",0)</x:f>
        <x:v>14</x:v>
      </x:c>
      <x:c r="AW705" t="str">
        <x:f>_xlfn.XLOOKUP($A705,Games!$A$2:$A$18,Games!$R$2:$R$18,"Missing game",0)</x:f>
        <x:v>FirstEnergy Stadium</x:v>
      </x:c>
    </x:row>
    <x:row r="706">
      <x:c r="A706" t="str">
        <x:v>2025_05_MIN_CLE</x:v>
      </x:c>
      <x:c r="B706" t="n">
        <x:v>868</x:v>
      </x:c>
      <x:c r="C706" t="n">
        <x:v>1</x:v>
      </x:c>
      <x:c r="D706" t="str">
        <x:v>02:30</x:v>
      </x:c>
      <x:c r="E706"/>
      <x:c r="F706" t="n">
        <x:v>0</x:v>
      </x:c>
      <x:c r="G706" t="str">
        <x:v>MIN</x:v>
      </x:c>
      <x:c r="H706" t="str">
        <x:v>CLE</x:v>
      </x:c>
      <x:c r="I706" t="str">
        <x:v>CLE</x:v>
      </x:c>
      <x:c r="J706" t="n">
        <x:v>15</x:v>
      </x:c>
      <x:c r="K706" t="str">
        <x:v>16-W.Reichard extra point is GOOD, Center-42-A.DePaola, Holder-17-R.Wright.</x:v>
      </x:c>
      <x:c r="L706" t="str">
        <x:v>extra_point</x:v>
      </x:c>
      <x:c r="M706" t="n">
        <x:v>0</x:v>
      </x:c>
      <x:c r="N706" t="n">
        <x:v>0</x:v>
      </x:c>
      <x:c r="O706" t="n">
        <x:v>0</x:v>
      </x:c>
      <x:c r="P706"/>
      <x:c r="Q706"/>
      <x:c r="R706"/>
      <x:c r="S706"/>
      <x:c r="T706"/>
      <x:c r="U706"/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/>
      <x:c r="AC706" t="n">
        <x:v>0</x:v>
      </x:c>
      <x:c r="AD706" t="n">
        <x:v>0.06757300310763314</x:v>
      </x:c>
      <x:c r="AE706" t="n">
        <x:v>1</x:v>
      </x:c>
      <x:c r="AF706" t="n">
        <x:v>0.002176300367902062</x:v>
      </x:c>
      <x:c r="AG706" t="n">
        <x:f>_xlfn.XLOOKUP($A706,Games!$A$2:$A$18,Games!$B$2:$B$18,"Missing game",0)</x:f>
        <x:v>2025</x:v>
      </x:c>
      <x:c r="AH706" t="str">
        <x:f>_xlfn.XLOOKUP($A706,Games!$A$2:$A$18,Games!$C$2:$C$18,"Missing game",0)</x:f>
        <x:v>REG</x:v>
      </x:c>
      <x:c r="AI706" t="n">
        <x:f>_xlfn.XLOOKUP($A706,Games!$A$2:$A$18,Games!$D$2:$D$18,"Missing game",0)</x:f>
        <x:v>5</x:v>
      </x:c>
      <x:c r="AJ706" s="1" t="n">
        <x:f>_xlfn.XLOOKUP($A706,Games!$A$2:$A$18,Games!$E$2:$E$18,"Missing game",0)</x:f>
        <x:v>45935</x:v>
      </x:c>
      <x:c r="AK706" t="str">
        <x:f>_xlfn.XLOOKUP($A706,Games!$A$2:$A$18,Games!$F$2:$F$18,"Missing game",0)</x:f>
        <x:v>Sunday</x:v>
      </x:c>
      <x:c r="AL706" t="str">
        <x:f>_xlfn.XLOOKUP($A706,Games!$A$2:$A$18,Games!$G$2:$G$18,"Missing game",0)</x:f>
        <x:v>MIN</x:v>
      </x:c>
      <x:c r="AM706" t="n">
        <x:f>_xlfn.XLOOKUP($A706,Games!$A$2:$A$18,Games!$H$2:$H$18,"Missing game",0)</x:f>
        <x:v>21</x:v>
      </x:c>
      <x:c r="AN706" t="str">
        <x:f>_xlfn.XLOOKUP($A706,Games!$A$2:$A$18,Games!$I$2:$I$18,"Missing game",0)</x:f>
        <x:v>CLE</x:v>
      </x:c>
      <x:c r="AO706" t="n">
        <x:f>_xlfn.XLOOKUP($A706,Games!$A$2:$A$18,Games!$J$2:$J$18,"Missing game",0)</x:f>
        <x:v>17</x:v>
      </x:c>
      <x:c r="AP706" t="n">
        <x:f>_xlfn.XLOOKUP($A706,Games!$A$2:$A$18,Games!$K$2:$K$18,"Missing game",0)</x:f>
        <x:v>-4</x:v>
      </x:c>
      <x:c r="AQ706" t="n">
        <x:f>_xlfn.XLOOKUP($A706,Games!$A$2:$A$18,Games!$L$2:$L$18,"Missing game",0)</x:f>
        <x:v>38</x:v>
      </x:c>
      <x:c r="AR706" t="n">
        <x:f>_xlfn.XLOOKUP($A706,Games!$A$2:$A$18,Games!$M$2:$M$18,"Missing game",0)</x:f>
        <x:v>0</x:v>
      </x:c>
      <x:c r="AS706" t="str">
        <x:f>_xlfn.XLOOKUP($A706,Games!$A$2:$A$18,Games!$N$2:$N$18,"Missing game",0)</x:f>
        <x:v>outdoors</x:v>
      </x:c>
      <x:c r="AT706" t="str">
        <x:f>_xlfn.XLOOKUP($A706,Games!$A$2:$A$18,Games!$O$2:$O$18,"Missing game",0)</x:f>
        <x:v>grass</x:v>
      </x:c>
      <x:c r="AU706" t="n">
        <x:f>_xlfn.XLOOKUP($A706,Games!$A$2:$A$18,Games!$P$2:$P$18,"Missing game",0)</x:f>
        <x:v>61</x:v>
      </x:c>
      <x:c r="AV706" t="n">
        <x:f>_xlfn.XLOOKUP($A706,Games!$A$2:$A$18,Games!$Q$2:$Q$18,"Missing game",0)</x:f>
        <x:v>14</x:v>
      </x:c>
      <x:c r="AW706" t="str">
        <x:f>_xlfn.XLOOKUP($A706,Games!$A$2:$A$18,Games!$R$2:$R$18,"Missing game",0)</x:f>
        <x:v>FirstEnergy Stadium</x:v>
      </x:c>
    </x:row>
    <x:row r="707">
      <x:c r="A707" t="str">
        <x:v>2025_05_MIN_CLE</x:v>
      </x:c>
      <x:c r="B707" t="n">
        <x:v>883</x:v>
      </x:c>
      <x:c r="C707" t="n">
        <x:v>1</x:v>
      </x:c>
      <x:c r="D707" t="str">
        <x:v>02:30</x:v>
      </x:c>
      <x:c r="E707"/>
      <x:c r="F707" t="n">
        <x:v>0</x:v>
      </x:c>
      <x:c r="G707" t="str">
        <x:v>CLE</x:v>
      </x:c>
      <x:c r="H707" t="str">
        <x:v>MIN</x:v>
      </x:c>
      <x:c r="I707" t="str">
        <x:v>MIN</x:v>
      </x:c>
      <x:c r="J707" t="n">
        <x:v>35</x:v>
      </x:c>
      <x:c r="K707" t="str">
        <x:v>16-W.Reichard kicks 57 yards from MIN 35 to CLE 8. 34-J.Ford to CLE 34 for 26 yards (37-T.Thomas; 0-I.Pace).</x:v>
      </x:c>
      <x:c r="L707" t="str">
        <x:v>kickoff</x:v>
      </x:c>
      <x:c r="M707" t="n">
        <x:v>0</x:v>
      </x:c>
      <x:c r="N707" t="n">
        <x:v>0</x:v>
      </x:c>
      <x:c r="O707" t="n">
        <x:v>0</x:v>
      </x:c>
      <x:c r="P707"/>
      <x:c r="Q707"/>
      <x:c r="R707"/>
      <x:c r="S707"/>
      <x:c r="T707"/>
      <x:c r="U707"/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/>
      <x:c r="AC707" t="n">
        <x:v>0</x:v>
      </x:c>
      <x:c r="AD707" t="n">
        <x:v>0.5558396652340889</x:v>
      </x:c>
      <x:c r="AE707" t="n">
        <x:v>1</x:v>
      </x:c>
      <x:c r="AF707" t="n">
        <x:v>0.02013462781906128</x:v>
      </x:c>
      <x:c r="AG707" t="n">
        <x:f>_xlfn.XLOOKUP($A707,Games!$A$2:$A$18,Games!$B$2:$B$18,"Missing game",0)</x:f>
        <x:v>2025</x:v>
      </x:c>
      <x:c r="AH707" t="str">
        <x:f>_xlfn.XLOOKUP($A707,Games!$A$2:$A$18,Games!$C$2:$C$18,"Missing game",0)</x:f>
        <x:v>REG</x:v>
      </x:c>
      <x:c r="AI707" t="n">
        <x:f>_xlfn.XLOOKUP($A707,Games!$A$2:$A$18,Games!$D$2:$D$18,"Missing game",0)</x:f>
        <x:v>5</x:v>
      </x:c>
      <x:c r="AJ707" s="1" t="n">
        <x:f>_xlfn.XLOOKUP($A707,Games!$A$2:$A$18,Games!$E$2:$E$18,"Missing game",0)</x:f>
        <x:v>45935</x:v>
      </x:c>
      <x:c r="AK707" t="str">
        <x:f>_xlfn.XLOOKUP($A707,Games!$A$2:$A$18,Games!$F$2:$F$18,"Missing game",0)</x:f>
        <x:v>Sunday</x:v>
      </x:c>
      <x:c r="AL707" t="str">
        <x:f>_xlfn.XLOOKUP($A707,Games!$A$2:$A$18,Games!$G$2:$G$18,"Missing game",0)</x:f>
        <x:v>MIN</x:v>
      </x:c>
      <x:c r="AM707" t="n">
        <x:f>_xlfn.XLOOKUP($A707,Games!$A$2:$A$18,Games!$H$2:$H$18,"Missing game",0)</x:f>
        <x:v>21</x:v>
      </x:c>
      <x:c r="AN707" t="str">
        <x:f>_xlfn.XLOOKUP($A707,Games!$A$2:$A$18,Games!$I$2:$I$18,"Missing game",0)</x:f>
        <x:v>CLE</x:v>
      </x:c>
      <x:c r="AO707" t="n">
        <x:f>_xlfn.XLOOKUP($A707,Games!$A$2:$A$18,Games!$J$2:$J$18,"Missing game",0)</x:f>
        <x:v>17</x:v>
      </x:c>
      <x:c r="AP707" t="n">
        <x:f>_xlfn.XLOOKUP($A707,Games!$A$2:$A$18,Games!$K$2:$K$18,"Missing game",0)</x:f>
        <x:v>-4</x:v>
      </x:c>
      <x:c r="AQ707" t="n">
        <x:f>_xlfn.XLOOKUP($A707,Games!$A$2:$A$18,Games!$L$2:$L$18,"Missing game",0)</x:f>
        <x:v>38</x:v>
      </x:c>
      <x:c r="AR707" t="n">
        <x:f>_xlfn.XLOOKUP($A707,Games!$A$2:$A$18,Games!$M$2:$M$18,"Missing game",0)</x:f>
        <x:v>0</x:v>
      </x:c>
      <x:c r="AS707" t="str">
        <x:f>_xlfn.XLOOKUP($A707,Games!$A$2:$A$18,Games!$N$2:$N$18,"Missing game",0)</x:f>
        <x:v>outdoors</x:v>
      </x:c>
      <x:c r="AT707" t="str">
        <x:f>_xlfn.XLOOKUP($A707,Games!$A$2:$A$18,Games!$O$2:$O$18,"Missing game",0)</x:f>
        <x:v>grass</x:v>
      </x:c>
      <x:c r="AU707" t="n">
        <x:f>_xlfn.XLOOKUP($A707,Games!$A$2:$A$18,Games!$P$2:$P$18,"Missing game",0)</x:f>
        <x:v>61</x:v>
      </x:c>
      <x:c r="AV707" t="n">
        <x:f>_xlfn.XLOOKUP($A707,Games!$A$2:$A$18,Games!$Q$2:$Q$18,"Missing game",0)</x:f>
        <x:v>14</x:v>
      </x:c>
      <x:c r="AW707" t="str">
        <x:f>_xlfn.XLOOKUP($A707,Games!$A$2:$A$18,Games!$R$2:$R$18,"Missing game",0)</x:f>
        <x:v>FirstEnergy Stadium</x:v>
      </x:c>
    </x:row>
    <x:row r="708">
      <x:c r="A708" t="str">
        <x:v>2025_05_MIN_CLE</x:v>
      </x:c>
      <x:c r="B708" t="n">
        <x:v>913</x:v>
      </x:c>
      <x:c r="C708" t="n">
        <x:v>1</x:v>
      </x:c>
      <x:c r="D708" t="str">
        <x:v>02:25</x:v>
      </x:c>
      <x:c r="E708" t="n">
        <x:v>1</x:v>
      </x:c>
      <x:c r="F708" t="n">
        <x:v>10</x:v>
      </x:c>
      <x:c r="G708" t="str">
        <x:v>CLE</x:v>
      </x:c>
      <x:c r="H708" t="str">
        <x:v>MIN</x:v>
      </x:c>
      <x:c r="I708" t="str">
        <x:v>CLE</x:v>
      </x:c>
      <x:c r="J708" t="n">
        <x:v>66</x:v>
      </x:c>
      <x:c r="K708" t="str">
        <x:v>(2:25) 10-Q.Judkins right guard to CLE 34 for no gain (26-T.Jackson; 50-L.Rodriguez).</x:v>
      </x:c>
      <x:c r="L708" t="str">
        <x:v>run</x:v>
      </x:c>
      <x:c r="M708" t="n">
        <x:v>0</x:v>
      </x:c>
      <x:c r="N708" t="n">
        <x:v>0</x:v>
      </x:c>
      <x:c r="O708" t="n">
        <x:v>0</x:v>
      </x:c>
      <x:c r="P708"/>
      <x:c r="Q708"/>
      <x:c r="R708"/>
      <x:c r="S708"/>
      <x:c r="T708" t="str">
        <x:v>right</x:v>
      </x:c>
      <x:c r="U708" t="str">
        <x:v>guard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/>
      <x:c r="AC708" t="n">
        <x:v>0</x:v>
      </x:c>
      <x:c r="AD708" t="n">
        <x:v>-0.5284904795698822</x:v>
      </x:c>
      <x:c r="AE708" t="n">
        <x:v>0</x:v>
      </x:c>
      <x:c r="AF708" t="n">
        <x:v>-0.018097519874572754</x:v>
      </x:c>
      <x:c r="AG708" t="n">
        <x:f>_xlfn.XLOOKUP($A708,Games!$A$2:$A$18,Games!$B$2:$B$18,"Missing game",0)</x:f>
        <x:v>2025</x:v>
      </x:c>
      <x:c r="AH708" t="str">
        <x:f>_xlfn.XLOOKUP($A708,Games!$A$2:$A$18,Games!$C$2:$C$18,"Missing game",0)</x:f>
        <x:v>REG</x:v>
      </x:c>
      <x:c r="AI708" t="n">
        <x:f>_xlfn.XLOOKUP($A708,Games!$A$2:$A$18,Games!$D$2:$D$18,"Missing game",0)</x:f>
        <x:v>5</x:v>
      </x:c>
      <x:c r="AJ708" s="1" t="n">
        <x:f>_xlfn.XLOOKUP($A708,Games!$A$2:$A$18,Games!$E$2:$E$18,"Missing game",0)</x:f>
        <x:v>45935</x:v>
      </x:c>
      <x:c r="AK708" t="str">
        <x:f>_xlfn.XLOOKUP($A708,Games!$A$2:$A$18,Games!$F$2:$F$18,"Missing game",0)</x:f>
        <x:v>Sunday</x:v>
      </x:c>
      <x:c r="AL708" t="str">
        <x:f>_xlfn.XLOOKUP($A708,Games!$A$2:$A$18,Games!$G$2:$G$18,"Missing game",0)</x:f>
        <x:v>MIN</x:v>
      </x:c>
      <x:c r="AM708" t="n">
        <x:f>_xlfn.XLOOKUP($A708,Games!$A$2:$A$18,Games!$H$2:$H$18,"Missing game",0)</x:f>
        <x:v>21</x:v>
      </x:c>
      <x:c r="AN708" t="str">
        <x:f>_xlfn.XLOOKUP($A708,Games!$A$2:$A$18,Games!$I$2:$I$18,"Missing game",0)</x:f>
        <x:v>CLE</x:v>
      </x:c>
      <x:c r="AO708" t="n">
        <x:f>_xlfn.XLOOKUP($A708,Games!$A$2:$A$18,Games!$J$2:$J$18,"Missing game",0)</x:f>
        <x:v>17</x:v>
      </x:c>
      <x:c r="AP708" t="n">
        <x:f>_xlfn.XLOOKUP($A708,Games!$A$2:$A$18,Games!$K$2:$K$18,"Missing game",0)</x:f>
        <x:v>-4</x:v>
      </x:c>
      <x:c r="AQ708" t="n">
        <x:f>_xlfn.XLOOKUP($A708,Games!$A$2:$A$18,Games!$L$2:$L$18,"Missing game",0)</x:f>
        <x:v>38</x:v>
      </x:c>
      <x:c r="AR708" t="n">
        <x:f>_xlfn.XLOOKUP($A708,Games!$A$2:$A$18,Games!$M$2:$M$18,"Missing game",0)</x:f>
        <x:v>0</x:v>
      </x:c>
      <x:c r="AS708" t="str">
        <x:f>_xlfn.XLOOKUP($A708,Games!$A$2:$A$18,Games!$N$2:$N$18,"Missing game",0)</x:f>
        <x:v>outdoors</x:v>
      </x:c>
      <x:c r="AT708" t="str">
        <x:f>_xlfn.XLOOKUP($A708,Games!$A$2:$A$18,Games!$O$2:$O$18,"Missing game",0)</x:f>
        <x:v>grass</x:v>
      </x:c>
      <x:c r="AU708" t="n">
        <x:f>_xlfn.XLOOKUP($A708,Games!$A$2:$A$18,Games!$P$2:$P$18,"Missing game",0)</x:f>
        <x:v>61</x:v>
      </x:c>
      <x:c r="AV708" t="n">
        <x:f>_xlfn.XLOOKUP($A708,Games!$A$2:$A$18,Games!$Q$2:$Q$18,"Missing game",0)</x:f>
        <x:v>14</x:v>
      </x:c>
      <x:c r="AW708" t="str">
        <x:f>_xlfn.XLOOKUP($A708,Games!$A$2:$A$18,Games!$R$2:$R$18,"Missing game",0)</x:f>
        <x:v>FirstEnergy Stadium</x:v>
      </x:c>
    </x:row>
    <x:row r="709">
      <x:c r="A709" t="str">
        <x:v>2025_05_MIN_CLE</x:v>
      </x:c>
      <x:c r="B709" t="n">
        <x:v>935</x:v>
      </x:c>
      <x:c r="C709" t="n">
        <x:v>1</x:v>
      </x:c>
      <x:c r="D709" t="str">
        <x:v>01:54</x:v>
      </x:c>
      <x:c r="E709" t="n">
        <x:v>2</x:v>
      </x:c>
      <x:c r="F709" t="n">
        <x:v>10</x:v>
      </x:c>
      <x:c r="G709" t="str">
        <x:v>CLE</x:v>
      </x:c>
      <x:c r="H709" t="str">
        <x:v>MIN</x:v>
      </x:c>
      <x:c r="I709" t="str">
        <x:v>CLE</x:v>
      </x:c>
      <x:c r="J709" t="n">
        <x:v>66</x:v>
      </x:c>
      <x:c r="K709" t="str">
        <x:v>(1:54) (Shotgun) 8-D.Gabriel pass short left to 22-D.Sampson to CLE 40 for 6 yards (44-J.Metellus).</x:v>
      </x:c>
      <x:c r="L709" t="str">
        <x:v>pass</x:v>
      </x:c>
      <x:c r="M709" t="n">
        <x:v>6</x:v>
      </x:c>
      <x:c r="N709" t="n">
        <x:v>1</x:v>
      </x:c>
      <x:c r="O709" t="n">
        <x:v>0</x:v>
      </x:c>
      <x:c r="P709" t="str">
        <x:v>short</x:v>
      </x:c>
      <x:c r="Q709" t="str">
        <x:v>left</x:v>
      </x:c>
      <x:c r="R709" t="n">
        <x:v>0</x:v>
      </x:c>
      <x:c r="S709" t="n">
        <x:v>6</x:v>
      </x:c>
      <x:c r="T709"/>
      <x:c r="U709"/>
      <x:c r="V709" t="n">
        <x:v>1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/>
      <x:c r="AC709" t="n">
        <x:v>0</x:v>
      </x:c>
      <x:c r="AD709" t="n">
        <x:v>0.003041174728423357</x:v>
      </x:c>
      <x:c r="AE709" t="n">
        <x:v>1</x:v>
      </x:c>
      <x:c r="AF709" t="n">
        <x:v>-0.01605767011642456</x:v>
      </x:c>
      <x:c r="AG709" t="n">
        <x:f>_xlfn.XLOOKUP($A709,Games!$A$2:$A$18,Games!$B$2:$B$18,"Missing game",0)</x:f>
        <x:v>2025</x:v>
      </x:c>
      <x:c r="AH709" t="str">
        <x:f>_xlfn.XLOOKUP($A709,Games!$A$2:$A$18,Games!$C$2:$C$18,"Missing game",0)</x:f>
        <x:v>REG</x:v>
      </x:c>
      <x:c r="AI709" t="n">
        <x:f>_xlfn.XLOOKUP($A709,Games!$A$2:$A$18,Games!$D$2:$D$18,"Missing game",0)</x:f>
        <x:v>5</x:v>
      </x:c>
      <x:c r="AJ709" s="1" t="n">
        <x:f>_xlfn.XLOOKUP($A709,Games!$A$2:$A$18,Games!$E$2:$E$18,"Missing game",0)</x:f>
        <x:v>45935</x:v>
      </x:c>
      <x:c r="AK709" t="str">
        <x:f>_xlfn.XLOOKUP($A709,Games!$A$2:$A$18,Games!$F$2:$F$18,"Missing game",0)</x:f>
        <x:v>Sunday</x:v>
      </x:c>
      <x:c r="AL709" t="str">
        <x:f>_xlfn.XLOOKUP($A709,Games!$A$2:$A$18,Games!$G$2:$G$18,"Missing game",0)</x:f>
        <x:v>MIN</x:v>
      </x:c>
      <x:c r="AM709" t="n">
        <x:f>_xlfn.XLOOKUP($A709,Games!$A$2:$A$18,Games!$H$2:$H$18,"Missing game",0)</x:f>
        <x:v>21</x:v>
      </x:c>
      <x:c r="AN709" t="str">
        <x:f>_xlfn.XLOOKUP($A709,Games!$A$2:$A$18,Games!$I$2:$I$18,"Missing game",0)</x:f>
        <x:v>CLE</x:v>
      </x:c>
      <x:c r="AO709" t="n">
        <x:f>_xlfn.XLOOKUP($A709,Games!$A$2:$A$18,Games!$J$2:$J$18,"Missing game",0)</x:f>
        <x:v>17</x:v>
      </x:c>
      <x:c r="AP709" t="n">
        <x:f>_xlfn.XLOOKUP($A709,Games!$A$2:$A$18,Games!$K$2:$K$18,"Missing game",0)</x:f>
        <x:v>-4</x:v>
      </x:c>
      <x:c r="AQ709" t="n">
        <x:f>_xlfn.XLOOKUP($A709,Games!$A$2:$A$18,Games!$L$2:$L$18,"Missing game",0)</x:f>
        <x:v>38</x:v>
      </x:c>
      <x:c r="AR709" t="n">
        <x:f>_xlfn.XLOOKUP($A709,Games!$A$2:$A$18,Games!$M$2:$M$18,"Missing game",0)</x:f>
        <x:v>0</x:v>
      </x:c>
      <x:c r="AS709" t="str">
        <x:f>_xlfn.XLOOKUP($A709,Games!$A$2:$A$18,Games!$N$2:$N$18,"Missing game",0)</x:f>
        <x:v>outdoors</x:v>
      </x:c>
      <x:c r="AT709" t="str">
        <x:f>_xlfn.XLOOKUP($A709,Games!$A$2:$A$18,Games!$O$2:$O$18,"Missing game",0)</x:f>
        <x:v>grass</x:v>
      </x:c>
      <x:c r="AU709" t="n">
        <x:f>_xlfn.XLOOKUP($A709,Games!$A$2:$A$18,Games!$P$2:$P$18,"Missing game",0)</x:f>
        <x:v>61</x:v>
      </x:c>
      <x:c r="AV709" t="n">
        <x:f>_xlfn.XLOOKUP($A709,Games!$A$2:$A$18,Games!$Q$2:$Q$18,"Missing game",0)</x:f>
        <x:v>14</x:v>
      </x:c>
      <x:c r="AW709" t="str">
        <x:f>_xlfn.XLOOKUP($A709,Games!$A$2:$A$18,Games!$R$2:$R$18,"Missing game",0)</x:f>
        <x:v>FirstEnergy Stadium</x:v>
      </x:c>
    </x:row>
    <x:row r="710">
      <x:c r="A710" t="str">
        <x:v>2025_05_MIN_CLE</x:v>
      </x:c>
      <x:c r="B710" t="n">
        <x:v>960</x:v>
      </x:c>
      <x:c r="C710" t="n">
        <x:v>1</x:v>
      </x:c>
      <x:c r="D710" t="str">
        <x:v>01:15</x:v>
      </x:c>
      <x:c r="E710" t="n">
        <x:v>3</x:v>
      </x:c>
      <x:c r="F710" t="n">
        <x:v>4</x:v>
      </x:c>
      <x:c r="G710" t="str">
        <x:v>CLE</x:v>
      </x:c>
      <x:c r="H710" t="str">
        <x:v>MIN</x:v>
      </x:c>
      <x:c r="I710" t="str">
        <x:v>CLE</x:v>
      </x:c>
      <x:c r="J710" t="n">
        <x:v>60</x:v>
      </x:c>
      <x:c r="K710" t="str">
        <x:v>(1:15) (Shotgun) 8-D.Gabriel pass short left to 44-H.Fannin to CLE 44 for 4 yards (8-J.Okudah).</x:v>
      </x:c>
      <x:c r="L710" t="str">
        <x:v>pass</x:v>
      </x:c>
      <x:c r="M710" t="n">
        <x:v>4</x:v>
      </x:c>
      <x:c r="N710" t="n">
        <x:v>1</x:v>
      </x:c>
      <x:c r="O710" t="n">
        <x:v>0</x:v>
      </x:c>
      <x:c r="P710" t="str">
        <x:v>short</x:v>
      </x:c>
      <x:c r="Q710" t="str">
        <x:v>left</x:v>
      </x:c>
      <x:c r="R710" t="n">
        <x:v>3</x:v>
      </x:c>
      <x:c r="S710" t="n">
        <x:v>1</x:v>
      </x:c>
      <x:c r="T710"/>
      <x:c r="U710"/>
      <x:c r="V710" t="n">
        <x:v>1</x:v>
      </x:c>
      <x:c r="W710" t="n">
        <x:v>1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/>
      <x:c r="AC710" t="n">
        <x:v>0</x:v>
      </x:c>
      <x:c r="AD710" t="n">
        <x:v>1.2063868050463498</x:v>
      </x:c>
      <x:c r="AE710" t="n">
        <x:v>1</x:v>
      </x:c>
      <x:c r="AF710" t="n">
        <x:v>0.04092615842819214</x:v>
      </x:c>
      <x:c r="AG710" t="n">
        <x:f>_xlfn.XLOOKUP($A710,Games!$A$2:$A$18,Games!$B$2:$B$18,"Missing game",0)</x:f>
        <x:v>2025</x:v>
      </x:c>
      <x:c r="AH710" t="str">
        <x:f>_xlfn.XLOOKUP($A710,Games!$A$2:$A$18,Games!$C$2:$C$18,"Missing game",0)</x:f>
        <x:v>REG</x:v>
      </x:c>
      <x:c r="AI710" t="n">
        <x:f>_xlfn.XLOOKUP($A710,Games!$A$2:$A$18,Games!$D$2:$D$18,"Missing game",0)</x:f>
        <x:v>5</x:v>
      </x:c>
      <x:c r="AJ710" s="1" t="n">
        <x:f>_xlfn.XLOOKUP($A710,Games!$A$2:$A$18,Games!$E$2:$E$18,"Missing game",0)</x:f>
        <x:v>45935</x:v>
      </x:c>
      <x:c r="AK710" t="str">
        <x:f>_xlfn.XLOOKUP($A710,Games!$A$2:$A$18,Games!$F$2:$F$18,"Missing game",0)</x:f>
        <x:v>Sunday</x:v>
      </x:c>
      <x:c r="AL710" t="str">
        <x:f>_xlfn.XLOOKUP($A710,Games!$A$2:$A$18,Games!$G$2:$G$18,"Missing game",0)</x:f>
        <x:v>MIN</x:v>
      </x:c>
      <x:c r="AM710" t="n">
        <x:f>_xlfn.XLOOKUP($A710,Games!$A$2:$A$18,Games!$H$2:$H$18,"Missing game",0)</x:f>
        <x:v>21</x:v>
      </x:c>
      <x:c r="AN710" t="str">
        <x:f>_xlfn.XLOOKUP($A710,Games!$A$2:$A$18,Games!$I$2:$I$18,"Missing game",0)</x:f>
        <x:v>CLE</x:v>
      </x:c>
      <x:c r="AO710" t="n">
        <x:f>_xlfn.XLOOKUP($A710,Games!$A$2:$A$18,Games!$J$2:$J$18,"Missing game",0)</x:f>
        <x:v>17</x:v>
      </x:c>
      <x:c r="AP710" t="n">
        <x:f>_xlfn.XLOOKUP($A710,Games!$A$2:$A$18,Games!$K$2:$K$18,"Missing game",0)</x:f>
        <x:v>-4</x:v>
      </x:c>
      <x:c r="AQ710" t="n">
        <x:f>_xlfn.XLOOKUP($A710,Games!$A$2:$A$18,Games!$L$2:$L$18,"Missing game",0)</x:f>
        <x:v>38</x:v>
      </x:c>
      <x:c r="AR710" t="n">
        <x:f>_xlfn.XLOOKUP($A710,Games!$A$2:$A$18,Games!$M$2:$M$18,"Missing game",0)</x:f>
        <x:v>0</x:v>
      </x:c>
      <x:c r="AS710" t="str">
        <x:f>_xlfn.XLOOKUP($A710,Games!$A$2:$A$18,Games!$N$2:$N$18,"Missing game",0)</x:f>
        <x:v>outdoors</x:v>
      </x:c>
      <x:c r="AT710" t="str">
        <x:f>_xlfn.XLOOKUP($A710,Games!$A$2:$A$18,Games!$O$2:$O$18,"Missing game",0)</x:f>
        <x:v>grass</x:v>
      </x:c>
      <x:c r="AU710" t="n">
        <x:f>_xlfn.XLOOKUP($A710,Games!$A$2:$A$18,Games!$P$2:$P$18,"Missing game",0)</x:f>
        <x:v>61</x:v>
      </x:c>
      <x:c r="AV710" t="n">
        <x:f>_xlfn.XLOOKUP($A710,Games!$A$2:$A$18,Games!$Q$2:$Q$18,"Missing game",0)</x:f>
        <x:v>14</x:v>
      </x:c>
      <x:c r="AW710" t="str">
        <x:f>_xlfn.XLOOKUP($A710,Games!$A$2:$A$18,Games!$R$2:$R$18,"Missing game",0)</x:f>
        <x:v>FirstEnergy Stadium</x:v>
      </x:c>
    </x:row>
    <x:row r="711">
      <x:c r="A711" t="str">
        <x:v>2025_05_MIN_CLE</x:v>
      </x:c>
      <x:c r="B711" t="n">
        <x:v>985</x:v>
      </x:c>
      <x:c r="C711" t="n">
        <x:v>1</x:v>
      </x:c>
      <x:c r="D711" t="str">
        <x:v>00:34</x:v>
      </x:c>
      <x:c r="E711" t="n">
        <x:v>1</x:v>
      </x:c>
      <x:c r="F711" t="n">
        <x:v>10</x:v>
      </x:c>
      <x:c r="G711" t="str">
        <x:v>CLE</x:v>
      </x:c>
      <x:c r="H711" t="str">
        <x:v>MIN</x:v>
      </x:c>
      <x:c r="I711" t="str">
        <x:v>CLE</x:v>
      </x:c>
      <x:c r="J711" t="n">
        <x:v>56</x:v>
      </x:c>
      <x:c r="K711" t="str">
        <x:v>(:34) 10-Q.Judkins left guard for 56 yards, TOUCHDOWN NULLIFIED by Penalty. Penalty on CLE-16-I.Bond, Offensive Holding, declined. PENALTY on CLE-44-H.Fannin, Offensive Holding, 10 yards, enforced at CLE 44 - No Play.</x:v>
      </x:c>
      <x:c r="L711" t="str">
        <x:v>no_play</x:v>
      </x:c>
      <x:c r="M711" t="n">
        <x:v>0</x:v>
      </x:c>
      <x:c r="N711" t="n">
        <x:v>0</x:v>
      </x:c>
      <x:c r="O711" t="n">
        <x:v>0</x:v>
      </x:c>
      <x:c r="P711"/>
      <x:c r="Q711"/>
      <x:c r="R711"/>
      <x:c r="S711"/>
      <x:c r="T711"/>
      <x:c r="U711"/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1</x:v>
      </x:c>
      <x:c r="AB711" t="n">
        <x:v>10</x:v>
      </x:c>
      <x:c r="AC711" t="n">
        <x:v>0</x:v>
      </x:c>
      <x:c r="AD711" t="n">
        <x:v>-0.872437160462141</x:v>
      </x:c>
      <x:c r="AE711" t="n">
        <x:v>0</x:v>
      </x:c>
      <x:c r="AF711" t="n">
        <x:v>-0.02170771360397339</x:v>
      </x:c>
      <x:c r="AG711" t="n">
        <x:f>_xlfn.XLOOKUP($A711,Games!$A$2:$A$18,Games!$B$2:$B$18,"Missing game",0)</x:f>
        <x:v>2025</x:v>
      </x:c>
      <x:c r="AH711" t="str">
        <x:f>_xlfn.XLOOKUP($A711,Games!$A$2:$A$18,Games!$C$2:$C$18,"Missing game",0)</x:f>
        <x:v>REG</x:v>
      </x:c>
      <x:c r="AI711" t="n">
        <x:f>_xlfn.XLOOKUP($A711,Games!$A$2:$A$18,Games!$D$2:$D$18,"Missing game",0)</x:f>
        <x:v>5</x:v>
      </x:c>
      <x:c r="AJ711" s="1" t="n">
        <x:f>_xlfn.XLOOKUP($A711,Games!$A$2:$A$18,Games!$E$2:$E$18,"Missing game",0)</x:f>
        <x:v>45935</x:v>
      </x:c>
      <x:c r="AK711" t="str">
        <x:f>_xlfn.XLOOKUP($A711,Games!$A$2:$A$18,Games!$F$2:$F$18,"Missing game",0)</x:f>
        <x:v>Sunday</x:v>
      </x:c>
      <x:c r="AL711" t="str">
        <x:f>_xlfn.XLOOKUP($A711,Games!$A$2:$A$18,Games!$G$2:$G$18,"Missing game",0)</x:f>
        <x:v>MIN</x:v>
      </x:c>
      <x:c r="AM711" t="n">
        <x:f>_xlfn.XLOOKUP($A711,Games!$A$2:$A$18,Games!$H$2:$H$18,"Missing game",0)</x:f>
        <x:v>21</x:v>
      </x:c>
      <x:c r="AN711" t="str">
        <x:f>_xlfn.XLOOKUP($A711,Games!$A$2:$A$18,Games!$I$2:$I$18,"Missing game",0)</x:f>
        <x:v>CLE</x:v>
      </x:c>
      <x:c r="AO711" t="n">
        <x:f>_xlfn.XLOOKUP($A711,Games!$A$2:$A$18,Games!$J$2:$J$18,"Missing game",0)</x:f>
        <x:v>17</x:v>
      </x:c>
      <x:c r="AP711" t="n">
        <x:f>_xlfn.XLOOKUP($A711,Games!$A$2:$A$18,Games!$K$2:$K$18,"Missing game",0)</x:f>
        <x:v>-4</x:v>
      </x:c>
      <x:c r="AQ711" t="n">
        <x:f>_xlfn.XLOOKUP($A711,Games!$A$2:$A$18,Games!$L$2:$L$18,"Missing game",0)</x:f>
        <x:v>38</x:v>
      </x:c>
      <x:c r="AR711" t="n">
        <x:f>_xlfn.XLOOKUP($A711,Games!$A$2:$A$18,Games!$M$2:$M$18,"Missing game",0)</x:f>
        <x:v>0</x:v>
      </x:c>
      <x:c r="AS711" t="str">
        <x:f>_xlfn.XLOOKUP($A711,Games!$A$2:$A$18,Games!$N$2:$N$18,"Missing game",0)</x:f>
        <x:v>outdoors</x:v>
      </x:c>
      <x:c r="AT711" t="str">
        <x:f>_xlfn.XLOOKUP($A711,Games!$A$2:$A$18,Games!$O$2:$O$18,"Missing game",0)</x:f>
        <x:v>grass</x:v>
      </x:c>
      <x:c r="AU711" t="n">
        <x:f>_xlfn.XLOOKUP($A711,Games!$A$2:$A$18,Games!$P$2:$P$18,"Missing game",0)</x:f>
        <x:v>61</x:v>
      </x:c>
      <x:c r="AV711" t="n">
        <x:f>_xlfn.XLOOKUP($A711,Games!$A$2:$A$18,Games!$Q$2:$Q$18,"Missing game",0)</x:f>
        <x:v>14</x:v>
      </x:c>
      <x:c r="AW711" t="str">
        <x:f>_xlfn.XLOOKUP($A711,Games!$A$2:$A$18,Games!$R$2:$R$18,"Missing game",0)</x:f>
        <x:v>FirstEnergy Stadium</x:v>
      </x:c>
    </x:row>
    <x:row r="712">
      <x:c r="A712" t="str">
        <x:v>2025_05_MIN_CLE</x:v>
      </x:c>
      <x:c r="B712" t="n">
        <x:v>1030</x:v>
      </x:c>
      <x:c r="C712" t="n">
        <x:v>1</x:v>
      </x:c>
      <x:c r="D712" t="str">
        <x:v>00:25</x:v>
      </x:c>
      <x:c r="E712" t="n">
        <x:v>1</x:v>
      </x:c>
      <x:c r="F712" t="n">
        <x:v>20</x:v>
      </x:c>
      <x:c r="G712" t="str">
        <x:v>CLE</x:v>
      </x:c>
      <x:c r="H712" t="str">
        <x:v>MIN</x:v>
      </x:c>
      <x:c r="I712" t="str">
        <x:v>CLE</x:v>
      </x:c>
      <x:c r="J712" t="n">
        <x:v>66</x:v>
      </x:c>
      <x:c r="K712" t="str">
        <x:v>(:25) (Shotgun) 8-D.Gabriel pass incomplete short right to 22-D.Sampson (61-J.Redmond).</x:v>
      </x:c>
      <x:c r="L712" t="str">
        <x:v>pass</x:v>
      </x:c>
      <x:c r="M712" t="n">
        <x:v>0</x:v>
      </x:c>
      <x:c r="N712" t="n">
        <x:v>1</x:v>
      </x:c>
      <x:c r="O712" t="n">
        <x:v>0</x:v>
      </x:c>
      <x:c r="P712" t="str">
        <x:v>short</x:v>
      </x:c>
      <x:c r="Q712" t="str">
        <x:v>right</x:v>
      </x:c>
      <x:c r="R712" t="n">
        <x:v>-4</x:v>
      </x:c>
      <x:c r="S712"/>
      <x:c r="T712"/>
      <x:c r="U712"/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/>
      <x:c r="AC712" t="n">
        <x:v>0</x:v>
      </x:c>
      <x:c r="AD712" t="n">
        <x:v>-0.5771869788877666</x:v>
      </x:c>
      <x:c r="AE712" t="n">
        <x:v>0</x:v>
      </x:c>
      <x:c r="AF712" t="n">
        <x:v>-0.018205642700195312</x:v>
      </x:c>
      <x:c r="AG712" t="n">
        <x:f>_xlfn.XLOOKUP($A712,Games!$A$2:$A$18,Games!$B$2:$B$18,"Missing game",0)</x:f>
        <x:v>2025</x:v>
      </x:c>
      <x:c r="AH712" t="str">
        <x:f>_xlfn.XLOOKUP($A712,Games!$A$2:$A$18,Games!$C$2:$C$18,"Missing game",0)</x:f>
        <x:v>REG</x:v>
      </x:c>
      <x:c r="AI712" t="n">
        <x:f>_xlfn.XLOOKUP($A712,Games!$A$2:$A$18,Games!$D$2:$D$18,"Missing game",0)</x:f>
        <x:v>5</x:v>
      </x:c>
      <x:c r="AJ712" s="1" t="n">
        <x:f>_xlfn.XLOOKUP($A712,Games!$A$2:$A$18,Games!$E$2:$E$18,"Missing game",0)</x:f>
        <x:v>45935</x:v>
      </x:c>
      <x:c r="AK712" t="str">
        <x:f>_xlfn.XLOOKUP($A712,Games!$A$2:$A$18,Games!$F$2:$F$18,"Missing game",0)</x:f>
        <x:v>Sunday</x:v>
      </x:c>
      <x:c r="AL712" t="str">
        <x:f>_xlfn.XLOOKUP($A712,Games!$A$2:$A$18,Games!$G$2:$G$18,"Missing game",0)</x:f>
        <x:v>MIN</x:v>
      </x:c>
      <x:c r="AM712" t="n">
        <x:f>_xlfn.XLOOKUP($A712,Games!$A$2:$A$18,Games!$H$2:$H$18,"Missing game",0)</x:f>
        <x:v>21</x:v>
      </x:c>
      <x:c r="AN712" t="str">
        <x:f>_xlfn.XLOOKUP($A712,Games!$A$2:$A$18,Games!$I$2:$I$18,"Missing game",0)</x:f>
        <x:v>CLE</x:v>
      </x:c>
      <x:c r="AO712" t="n">
        <x:f>_xlfn.XLOOKUP($A712,Games!$A$2:$A$18,Games!$J$2:$J$18,"Missing game",0)</x:f>
        <x:v>17</x:v>
      </x:c>
      <x:c r="AP712" t="n">
        <x:f>_xlfn.XLOOKUP($A712,Games!$A$2:$A$18,Games!$K$2:$K$18,"Missing game",0)</x:f>
        <x:v>-4</x:v>
      </x:c>
      <x:c r="AQ712" t="n">
        <x:f>_xlfn.XLOOKUP($A712,Games!$A$2:$A$18,Games!$L$2:$L$18,"Missing game",0)</x:f>
        <x:v>38</x:v>
      </x:c>
      <x:c r="AR712" t="n">
        <x:f>_xlfn.XLOOKUP($A712,Games!$A$2:$A$18,Games!$M$2:$M$18,"Missing game",0)</x:f>
        <x:v>0</x:v>
      </x:c>
      <x:c r="AS712" t="str">
        <x:f>_xlfn.XLOOKUP($A712,Games!$A$2:$A$18,Games!$N$2:$N$18,"Missing game",0)</x:f>
        <x:v>outdoors</x:v>
      </x:c>
      <x:c r="AT712" t="str">
        <x:f>_xlfn.XLOOKUP($A712,Games!$A$2:$A$18,Games!$O$2:$O$18,"Missing game",0)</x:f>
        <x:v>grass</x:v>
      </x:c>
      <x:c r="AU712" t="n">
        <x:f>_xlfn.XLOOKUP($A712,Games!$A$2:$A$18,Games!$P$2:$P$18,"Missing game",0)</x:f>
        <x:v>61</x:v>
      </x:c>
      <x:c r="AV712" t="n">
        <x:f>_xlfn.XLOOKUP($A712,Games!$A$2:$A$18,Games!$Q$2:$Q$18,"Missing game",0)</x:f>
        <x:v>14</x:v>
      </x:c>
      <x:c r="AW712" t="str">
        <x:f>_xlfn.XLOOKUP($A712,Games!$A$2:$A$18,Games!$R$2:$R$18,"Missing game",0)</x:f>
        <x:v>FirstEnergy Stadium</x:v>
      </x:c>
    </x:row>
    <x:row r="713">
      <x:c r="A713" t="str">
        <x:v>2025_05_MIN_CLE</x:v>
      </x:c>
      <x:c r="B713" t="n">
        <x:v>1053</x:v>
      </x:c>
      <x:c r="C713" t="n">
        <x:v>1</x:v>
      </x:c>
      <x:c r="D713" t="str">
        <x:v>00:20</x:v>
      </x:c>
      <x:c r="E713" t="n">
        <x:v>2</x:v>
      </x:c>
      <x:c r="F713" t="n">
        <x:v>20</x:v>
      </x:c>
      <x:c r="G713" t="str">
        <x:v>CLE</x:v>
      </x:c>
      <x:c r="H713" t="str">
        <x:v>MIN</x:v>
      </x:c>
      <x:c r="I713" t="str">
        <x:v>CLE</x:v>
      </x:c>
      <x:c r="J713" t="n">
        <x:v>66</x:v>
      </x:c>
      <x:c r="K713" t="str">
        <x:v>(:20) (Shotgun) 8-D.Gabriel pass short left to 44-H.Fannin to CLE 39 for 5 yards (22-H.Smith; 2-I.Rodgers).</x:v>
      </x:c>
      <x:c r="L713" t="str">
        <x:v>pass</x:v>
      </x:c>
      <x:c r="M713" t="n">
        <x:v>5</x:v>
      </x:c>
      <x:c r="N713" t="n">
        <x:v>1</x:v>
      </x:c>
      <x:c r="O713" t="n">
        <x:v>0</x:v>
      </x:c>
      <x:c r="P713" t="str">
        <x:v>short</x:v>
      </x:c>
      <x:c r="Q713" t="str">
        <x:v>left</x:v>
      </x:c>
      <x:c r="R713" t="n">
        <x:v>0</x:v>
      </x:c>
      <x:c r="S713" t="n">
        <x:v>5</x:v>
      </x:c>
      <x:c r="T713"/>
      <x:c r="U713"/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/>
      <x:c r="AC713" t="n">
        <x:v>0</x:v>
      </x:c>
      <x:c r="AD713" t="n">
        <x:v>-0.6277566044591367</x:v>
      </x:c>
      <x:c r="AE713" t="n">
        <x:v>0</x:v>
      </x:c>
      <x:c r="AF713" t="n">
        <x:v>-0.030352354049682617</x:v>
      </x:c>
      <x:c r="AG713" t="n">
        <x:f>_xlfn.XLOOKUP($A713,Games!$A$2:$A$18,Games!$B$2:$B$18,"Missing game",0)</x:f>
        <x:v>2025</x:v>
      </x:c>
      <x:c r="AH713" t="str">
        <x:f>_xlfn.XLOOKUP($A713,Games!$A$2:$A$18,Games!$C$2:$C$18,"Missing game",0)</x:f>
        <x:v>REG</x:v>
      </x:c>
      <x:c r="AI713" t="n">
        <x:f>_xlfn.XLOOKUP($A713,Games!$A$2:$A$18,Games!$D$2:$D$18,"Missing game",0)</x:f>
        <x:v>5</x:v>
      </x:c>
      <x:c r="AJ713" s="1" t="n">
        <x:f>_xlfn.XLOOKUP($A713,Games!$A$2:$A$18,Games!$E$2:$E$18,"Missing game",0)</x:f>
        <x:v>45935</x:v>
      </x:c>
      <x:c r="AK713" t="str">
        <x:f>_xlfn.XLOOKUP($A713,Games!$A$2:$A$18,Games!$F$2:$F$18,"Missing game",0)</x:f>
        <x:v>Sunday</x:v>
      </x:c>
      <x:c r="AL713" t="str">
        <x:f>_xlfn.XLOOKUP($A713,Games!$A$2:$A$18,Games!$G$2:$G$18,"Missing game",0)</x:f>
        <x:v>MIN</x:v>
      </x:c>
      <x:c r="AM713" t="n">
        <x:f>_xlfn.XLOOKUP($A713,Games!$A$2:$A$18,Games!$H$2:$H$18,"Missing game",0)</x:f>
        <x:v>21</x:v>
      </x:c>
      <x:c r="AN713" t="str">
        <x:f>_xlfn.XLOOKUP($A713,Games!$A$2:$A$18,Games!$I$2:$I$18,"Missing game",0)</x:f>
        <x:v>CLE</x:v>
      </x:c>
      <x:c r="AO713" t="n">
        <x:f>_xlfn.XLOOKUP($A713,Games!$A$2:$A$18,Games!$J$2:$J$18,"Missing game",0)</x:f>
        <x:v>17</x:v>
      </x:c>
      <x:c r="AP713" t="n">
        <x:f>_xlfn.XLOOKUP($A713,Games!$A$2:$A$18,Games!$K$2:$K$18,"Missing game",0)</x:f>
        <x:v>-4</x:v>
      </x:c>
      <x:c r="AQ713" t="n">
        <x:f>_xlfn.XLOOKUP($A713,Games!$A$2:$A$18,Games!$L$2:$L$18,"Missing game",0)</x:f>
        <x:v>38</x:v>
      </x:c>
      <x:c r="AR713" t="n">
        <x:f>_xlfn.XLOOKUP($A713,Games!$A$2:$A$18,Games!$M$2:$M$18,"Missing game",0)</x:f>
        <x:v>0</x:v>
      </x:c>
      <x:c r="AS713" t="str">
        <x:f>_xlfn.XLOOKUP($A713,Games!$A$2:$A$18,Games!$N$2:$N$18,"Missing game",0)</x:f>
        <x:v>outdoors</x:v>
      </x:c>
      <x:c r="AT713" t="str">
        <x:f>_xlfn.XLOOKUP($A713,Games!$A$2:$A$18,Games!$O$2:$O$18,"Missing game",0)</x:f>
        <x:v>grass</x:v>
      </x:c>
      <x:c r="AU713" t="n">
        <x:f>_xlfn.XLOOKUP($A713,Games!$A$2:$A$18,Games!$P$2:$P$18,"Missing game",0)</x:f>
        <x:v>61</x:v>
      </x:c>
      <x:c r="AV713" t="n">
        <x:f>_xlfn.XLOOKUP($A713,Games!$A$2:$A$18,Games!$Q$2:$Q$18,"Missing game",0)</x:f>
        <x:v>14</x:v>
      </x:c>
      <x:c r="AW713" t="str">
        <x:f>_xlfn.XLOOKUP($A713,Games!$A$2:$A$18,Games!$R$2:$R$18,"Missing game",0)</x:f>
        <x:v>FirstEnergy Stadium</x:v>
      </x:c>
    </x:row>
    <x:row r="714">
      <x:c r="A714" t="str">
        <x:v>2025_05_MIN_CLE</x:v>
      </x:c>
      <x:c r="B714" t="n">
        <x:v>1078</x:v>
      </x:c>
      <x:c r="C714" t="n">
        <x:v>1</x:v>
      </x:c>
      <x:c r="D714" t="str">
        <x:v>00:00</x:v>
      </x:c>
      <x:c r="E714"/>
      <x:c r="F714" t="n">
        <x:v>0</x:v>
      </x:c>
      <x:c r="G714" t="str">
        <x:v>CLE</x:v>
      </x:c>
      <x:c r="H714" t="str">
        <x:v>MIN</x:v>
      </x:c>
      <x:c r="I714"/>
      <x:c r="J714"/>
      <x:c r="K714" t="str">
        <x:v>END QUARTER 1</x:v>
      </x:c>
      <x:c r="L714"/>
      <x:c r="M714"/>
      <x:c r="N714" t="n">
        <x:v>0</x:v>
      </x:c>
      <x:c r="O714" t="n">
        <x:v>0</x:v>
      </x:c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 t="n">
        <x:v>0</x:v>
      </x:c>
      <x:c r="AE714" t="n">
        <x:v>0</x:v>
      </x:c>
      <x:c r="AF714" t="n">
        <x:v>0</x:v>
      </x:c>
      <x:c r="AG714" t="n">
        <x:f>_xlfn.XLOOKUP($A714,Games!$A$2:$A$18,Games!$B$2:$B$18,"Missing game",0)</x:f>
        <x:v>2025</x:v>
      </x:c>
      <x:c r="AH714" t="str">
        <x:f>_xlfn.XLOOKUP($A714,Games!$A$2:$A$18,Games!$C$2:$C$18,"Missing game",0)</x:f>
        <x:v>REG</x:v>
      </x:c>
      <x:c r="AI714" t="n">
        <x:f>_xlfn.XLOOKUP($A714,Games!$A$2:$A$18,Games!$D$2:$D$18,"Missing game",0)</x:f>
        <x:v>5</x:v>
      </x:c>
      <x:c r="AJ714" s="1" t="n">
        <x:f>_xlfn.XLOOKUP($A714,Games!$A$2:$A$18,Games!$E$2:$E$18,"Missing game",0)</x:f>
        <x:v>45935</x:v>
      </x:c>
      <x:c r="AK714" t="str">
        <x:f>_xlfn.XLOOKUP($A714,Games!$A$2:$A$18,Games!$F$2:$F$18,"Missing game",0)</x:f>
        <x:v>Sunday</x:v>
      </x:c>
      <x:c r="AL714" t="str">
        <x:f>_xlfn.XLOOKUP($A714,Games!$A$2:$A$18,Games!$G$2:$G$18,"Missing game",0)</x:f>
        <x:v>MIN</x:v>
      </x:c>
      <x:c r="AM714" t="n">
        <x:f>_xlfn.XLOOKUP($A714,Games!$A$2:$A$18,Games!$H$2:$H$18,"Missing game",0)</x:f>
        <x:v>21</x:v>
      </x:c>
      <x:c r="AN714" t="str">
        <x:f>_xlfn.XLOOKUP($A714,Games!$A$2:$A$18,Games!$I$2:$I$18,"Missing game",0)</x:f>
        <x:v>CLE</x:v>
      </x:c>
      <x:c r="AO714" t="n">
        <x:f>_xlfn.XLOOKUP($A714,Games!$A$2:$A$18,Games!$J$2:$J$18,"Missing game",0)</x:f>
        <x:v>17</x:v>
      </x:c>
      <x:c r="AP714" t="n">
        <x:f>_xlfn.XLOOKUP($A714,Games!$A$2:$A$18,Games!$K$2:$K$18,"Missing game",0)</x:f>
        <x:v>-4</x:v>
      </x:c>
      <x:c r="AQ714" t="n">
        <x:f>_xlfn.XLOOKUP($A714,Games!$A$2:$A$18,Games!$L$2:$L$18,"Missing game",0)</x:f>
        <x:v>38</x:v>
      </x:c>
      <x:c r="AR714" t="n">
        <x:f>_xlfn.XLOOKUP($A714,Games!$A$2:$A$18,Games!$M$2:$M$18,"Missing game",0)</x:f>
        <x:v>0</x:v>
      </x:c>
      <x:c r="AS714" t="str">
        <x:f>_xlfn.XLOOKUP($A714,Games!$A$2:$A$18,Games!$N$2:$N$18,"Missing game",0)</x:f>
        <x:v>outdoors</x:v>
      </x:c>
      <x:c r="AT714" t="str">
        <x:f>_xlfn.XLOOKUP($A714,Games!$A$2:$A$18,Games!$O$2:$O$18,"Missing game",0)</x:f>
        <x:v>grass</x:v>
      </x:c>
      <x:c r="AU714" t="n">
        <x:f>_xlfn.XLOOKUP($A714,Games!$A$2:$A$18,Games!$P$2:$P$18,"Missing game",0)</x:f>
        <x:v>61</x:v>
      </x:c>
      <x:c r="AV714" t="n">
        <x:f>_xlfn.XLOOKUP($A714,Games!$A$2:$A$18,Games!$Q$2:$Q$18,"Missing game",0)</x:f>
        <x:v>14</x:v>
      </x:c>
      <x:c r="AW714" t="str">
        <x:f>_xlfn.XLOOKUP($A714,Games!$A$2:$A$18,Games!$R$2:$R$18,"Missing game",0)</x:f>
        <x:v>FirstEnergy Stadium</x:v>
      </x:c>
    </x:row>
    <x:row r="715">
      <x:c r="A715" t="str">
        <x:v>2025_05_MIN_CLE</x:v>
      </x:c>
      <x:c r="B715" t="n">
        <x:v>1098</x:v>
      </x:c>
      <x:c r="C715" t="n">
        <x:v>2</x:v>
      </x:c>
      <x:c r="D715" t="str">
        <x:v>15:00</x:v>
      </x:c>
      <x:c r="E715" t="n">
        <x:v>3</x:v>
      </x:c>
      <x:c r="F715" t="n">
        <x:v>15</x:v>
      </x:c>
      <x:c r="G715" t="str">
        <x:v>CLE</x:v>
      </x:c>
      <x:c r="H715" t="str">
        <x:v>MIN</x:v>
      </x:c>
      <x:c r="I715" t="str">
        <x:v>CLE</x:v>
      </x:c>
      <x:c r="J715" t="n">
        <x:v>61</x:v>
      </x:c>
      <x:c r="K715" t="str">
        <x:v>(15:00) (Shotgun) PENALTY on CLE-68-C.Robinson, False Start, 5 yards, enforced at CLE 39 - No Play.</x:v>
      </x:c>
      <x:c r="L715" t="str">
        <x:v>no_play</x:v>
      </x:c>
      <x:c r="M715" t="n">
        <x:v>0</x:v>
      </x:c>
      <x:c r="N715" t="n">
        <x:v>1</x:v>
      </x:c>
      <x:c r="O715" t="n">
        <x:v>0</x:v>
      </x:c>
      <x:c r="P715"/>
      <x:c r="Q715"/>
      <x:c r="R715"/>
      <x:c r="S715"/>
      <x:c r="T715"/>
      <x:c r="U715"/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1</x:v>
      </x:c>
      <x:c r="AB715" t="n">
        <x:v>5</x:v>
      </x:c>
      <x:c r="AC715" t="n">
        <x:v>0</x:v>
      </x:c>
      <x:c r="AD715" t="n">
        <x:v>-0.21411159029230475</x:v>
      </x:c>
      <x:c r="AE715" t="n">
        <x:v>0</x:v>
      </x:c>
      <x:c r="AF715" t="n">
        <x:v>0</x:v>
      </x:c>
      <x:c r="AG715" t="n">
        <x:f>_xlfn.XLOOKUP($A715,Games!$A$2:$A$18,Games!$B$2:$B$18,"Missing game",0)</x:f>
        <x:v>2025</x:v>
      </x:c>
      <x:c r="AH715" t="str">
        <x:f>_xlfn.XLOOKUP($A715,Games!$A$2:$A$18,Games!$C$2:$C$18,"Missing game",0)</x:f>
        <x:v>REG</x:v>
      </x:c>
      <x:c r="AI715" t="n">
        <x:f>_xlfn.XLOOKUP($A715,Games!$A$2:$A$18,Games!$D$2:$D$18,"Missing game",0)</x:f>
        <x:v>5</x:v>
      </x:c>
      <x:c r="AJ715" s="1" t="n">
        <x:f>_xlfn.XLOOKUP($A715,Games!$A$2:$A$18,Games!$E$2:$E$18,"Missing game",0)</x:f>
        <x:v>45935</x:v>
      </x:c>
      <x:c r="AK715" t="str">
        <x:f>_xlfn.XLOOKUP($A715,Games!$A$2:$A$18,Games!$F$2:$F$18,"Missing game",0)</x:f>
        <x:v>Sunday</x:v>
      </x:c>
      <x:c r="AL715" t="str">
        <x:f>_xlfn.XLOOKUP($A715,Games!$A$2:$A$18,Games!$G$2:$G$18,"Missing game",0)</x:f>
        <x:v>MIN</x:v>
      </x:c>
      <x:c r="AM715" t="n">
        <x:f>_xlfn.XLOOKUP($A715,Games!$A$2:$A$18,Games!$H$2:$H$18,"Missing game",0)</x:f>
        <x:v>21</x:v>
      </x:c>
      <x:c r="AN715" t="str">
        <x:f>_xlfn.XLOOKUP($A715,Games!$A$2:$A$18,Games!$I$2:$I$18,"Missing game",0)</x:f>
        <x:v>CLE</x:v>
      </x:c>
      <x:c r="AO715" t="n">
        <x:f>_xlfn.XLOOKUP($A715,Games!$A$2:$A$18,Games!$J$2:$J$18,"Missing game",0)</x:f>
        <x:v>17</x:v>
      </x:c>
      <x:c r="AP715" t="n">
        <x:f>_xlfn.XLOOKUP($A715,Games!$A$2:$A$18,Games!$K$2:$K$18,"Missing game",0)</x:f>
        <x:v>-4</x:v>
      </x:c>
      <x:c r="AQ715" t="n">
        <x:f>_xlfn.XLOOKUP($A715,Games!$A$2:$A$18,Games!$L$2:$L$18,"Missing game",0)</x:f>
        <x:v>38</x:v>
      </x:c>
      <x:c r="AR715" t="n">
        <x:f>_xlfn.XLOOKUP($A715,Games!$A$2:$A$18,Games!$M$2:$M$18,"Missing game",0)</x:f>
        <x:v>0</x:v>
      </x:c>
      <x:c r="AS715" t="str">
        <x:f>_xlfn.XLOOKUP($A715,Games!$A$2:$A$18,Games!$N$2:$N$18,"Missing game",0)</x:f>
        <x:v>outdoors</x:v>
      </x:c>
      <x:c r="AT715" t="str">
        <x:f>_xlfn.XLOOKUP($A715,Games!$A$2:$A$18,Games!$O$2:$O$18,"Missing game",0)</x:f>
        <x:v>grass</x:v>
      </x:c>
      <x:c r="AU715" t="n">
        <x:f>_xlfn.XLOOKUP($A715,Games!$A$2:$A$18,Games!$P$2:$P$18,"Missing game",0)</x:f>
        <x:v>61</x:v>
      </x:c>
      <x:c r="AV715" t="n">
        <x:f>_xlfn.XLOOKUP($A715,Games!$A$2:$A$18,Games!$Q$2:$Q$18,"Missing game",0)</x:f>
        <x:v>14</x:v>
      </x:c>
      <x:c r="AW715" t="str">
        <x:f>_xlfn.XLOOKUP($A715,Games!$A$2:$A$18,Games!$R$2:$R$18,"Missing game",0)</x:f>
        <x:v>FirstEnergy Stadium</x:v>
      </x:c>
    </x:row>
    <x:row r="716">
      <x:c r="A716" t="str">
        <x:v>2025_05_MIN_CLE</x:v>
      </x:c>
      <x:c r="B716" t="n">
        <x:v>1122</x:v>
      </x:c>
      <x:c r="C716" t="n">
        <x:v>2</x:v>
      </x:c>
      <x:c r="D716" t="str">
        <x:v>15:00</x:v>
      </x:c>
      <x:c r="E716" t="n">
        <x:v>3</x:v>
      </x:c>
      <x:c r="F716" t="n">
        <x:v>20</x:v>
      </x:c>
      <x:c r="G716" t="str">
        <x:v>CLE</x:v>
      </x:c>
      <x:c r="H716" t="str">
        <x:v>MIN</x:v>
      </x:c>
      <x:c r="I716" t="str">
        <x:v>CLE</x:v>
      </x:c>
      <x:c r="J716" t="n">
        <x:v>66</x:v>
      </x:c>
      <x:c r="K716" t="str">
        <x:v>(15:00) (Shotgun) 8-D.Gabriel pass short middle to 85-D.Njoku to CLE 46 for 12 yards (22-H.Smith; 55-E.Wilson). Penalty on CLE-68-C.Robinson, Illegal Formation, declined.</x:v>
      </x:c>
      <x:c r="L716" t="str">
        <x:v>pass</x:v>
      </x:c>
      <x:c r="M716" t="n">
        <x:v>12</x:v>
      </x:c>
      <x:c r="N716" t="n">
        <x:v>1</x:v>
      </x:c>
      <x:c r="O716" t="n">
        <x:v>0</x:v>
      </x:c>
      <x:c r="P716" t="str">
        <x:v>short</x:v>
      </x:c>
      <x:c r="Q716" t="str">
        <x:v>middle</x:v>
      </x:c>
      <x:c r="R716" t="n">
        <x:v>4</x:v>
      </x:c>
      <x:c r="S716" t="n">
        <x:v>8</x:v>
      </x:c>
      <x:c r="T716"/>
      <x:c r="U716"/>
      <x:c r="V716" t="n">
        <x:v>1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/>
      <x:c r="AC716" t="n">
        <x:v>0</x:v>
      </x:c>
      <x:c r="AD716" t="n">
        <x:v>-0.4701194139197469</x:v>
      </x:c>
      <x:c r="AE716" t="n">
        <x:v>0</x:v>
      </x:c>
      <x:c r="AF716" t="n">
        <x:v>-0.01657763123512268</x:v>
      </x:c>
      <x:c r="AG716" t="n">
        <x:f>_xlfn.XLOOKUP($A716,Games!$A$2:$A$18,Games!$B$2:$B$18,"Missing game",0)</x:f>
        <x:v>2025</x:v>
      </x:c>
      <x:c r="AH716" t="str">
        <x:f>_xlfn.XLOOKUP($A716,Games!$A$2:$A$18,Games!$C$2:$C$18,"Missing game",0)</x:f>
        <x:v>REG</x:v>
      </x:c>
      <x:c r="AI716" t="n">
        <x:f>_xlfn.XLOOKUP($A716,Games!$A$2:$A$18,Games!$D$2:$D$18,"Missing game",0)</x:f>
        <x:v>5</x:v>
      </x:c>
      <x:c r="AJ716" s="1" t="n">
        <x:f>_xlfn.XLOOKUP($A716,Games!$A$2:$A$18,Games!$E$2:$E$18,"Missing game",0)</x:f>
        <x:v>45935</x:v>
      </x:c>
      <x:c r="AK716" t="str">
        <x:f>_xlfn.XLOOKUP($A716,Games!$A$2:$A$18,Games!$F$2:$F$18,"Missing game",0)</x:f>
        <x:v>Sunday</x:v>
      </x:c>
      <x:c r="AL716" t="str">
        <x:f>_xlfn.XLOOKUP($A716,Games!$A$2:$A$18,Games!$G$2:$G$18,"Missing game",0)</x:f>
        <x:v>MIN</x:v>
      </x:c>
      <x:c r="AM716" t="n">
        <x:f>_xlfn.XLOOKUP($A716,Games!$A$2:$A$18,Games!$H$2:$H$18,"Missing game",0)</x:f>
        <x:v>21</x:v>
      </x:c>
      <x:c r="AN716" t="str">
        <x:f>_xlfn.XLOOKUP($A716,Games!$A$2:$A$18,Games!$I$2:$I$18,"Missing game",0)</x:f>
        <x:v>CLE</x:v>
      </x:c>
      <x:c r="AO716" t="n">
        <x:f>_xlfn.XLOOKUP($A716,Games!$A$2:$A$18,Games!$J$2:$J$18,"Missing game",0)</x:f>
        <x:v>17</x:v>
      </x:c>
      <x:c r="AP716" t="n">
        <x:f>_xlfn.XLOOKUP($A716,Games!$A$2:$A$18,Games!$K$2:$K$18,"Missing game",0)</x:f>
        <x:v>-4</x:v>
      </x:c>
      <x:c r="AQ716" t="n">
        <x:f>_xlfn.XLOOKUP($A716,Games!$A$2:$A$18,Games!$L$2:$L$18,"Missing game",0)</x:f>
        <x:v>38</x:v>
      </x:c>
      <x:c r="AR716" t="n">
        <x:f>_xlfn.XLOOKUP($A716,Games!$A$2:$A$18,Games!$M$2:$M$18,"Missing game",0)</x:f>
        <x:v>0</x:v>
      </x:c>
      <x:c r="AS716" t="str">
        <x:f>_xlfn.XLOOKUP($A716,Games!$A$2:$A$18,Games!$N$2:$N$18,"Missing game",0)</x:f>
        <x:v>outdoors</x:v>
      </x:c>
      <x:c r="AT716" t="str">
        <x:f>_xlfn.XLOOKUP($A716,Games!$A$2:$A$18,Games!$O$2:$O$18,"Missing game",0)</x:f>
        <x:v>grass</x:v>
      </x:c>
      <x:c r="AU716" t="n">
        <x:f>_xlfn.XLOOKUP($A716,Games!$A$2:$A$18,Games!$P$2:$P$18,"Missing game",0)</x:f>
        <x:v>61</x:v>
      </x:c>
      <x:c r="AV716" t="n">
        <x:f>_xlfn.XLOOKUP($A716,Games!$A$2:$A$18,Games!$Q$2:$Q$18,"Missing game",0)</x:f>
        <x:v>14</x:v>
      </x:c>
      <x:c r="AW716" t="str">
        <x:f>_xlfn.XLOOKUP($A716,Games!$A$2:$A$18,Games!$R$2:$R$18,"Missing game",0)</x:f>
        <x:v>FirstEnergy Stadium</x:v>
      </x:c>
    </x:row>
    <x:row r="717">
      <x:c r="A717" t="str">
        <x:v>2025_05_MIN_CLE</x:v>
      </x:c>
      <x:c r="B717" t="n">
        <x:v>1158</x:v>
      </x:c>
      <x:c r="C717" t="n">
        <x:v>2</x:v>
      </x:c>
      <x:c r="D717" t="str">
        <x:v>14:37</x:v>
      </x:c>
      <x:c r="E717" t="n">
        <x:v>4</x:v>
      </x:c>
      <x:c r="F717" t="n">
        <x:v>8</x:v>
      </x:c>
      <x:c r="G717" t="str">
        <x:v>CLE</x:v>
      </x:c>
      <x:c r="H717" t="str">
        <x:v>MIN</x:v>
      </x:c>
      <x:c r="I717" t="str">
        <x:v>CLE</x:v>
      </x:c>
      <x:c r="J717" t="n">
        <x:v>54</x:v>
      </x:c>
      <x:c r="K717" t="str">
        <x:v>(14:37) 13-C.Bojorquez punts 33 yards to MIN 21, Center-50-R.Sunahara, out of bounds.</x:v>
      </x:c>
      <x:c r="L717" t="str">
        <x:v>punt</x:v>
      </x:c>
      <x:c r="M717" t="n">
        <x:v>0</x:v>
      </x:c>
      <x:c r="N717" t="n">
        <x:v>0</x:v>
      </x:c>
      <x:c r="O717" t="n">
        <x:v>0</x:v>
      </x:c>
      <x:c r="P717"/>
      <x:c r="Q717"/>
      <x:c r="R717"/>
      <x:c r="S717"/>
      <x:c r="T717"/>
      <x:c r="U717"/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/>
      <x:c r="AC717" t="n">
        <x:v>0</x:v>
      </x:c>
      <x:c r="AD717" t="n">
        <x:v>0.14363573025912046</x:v>
      </x:c>
      <x:c r="AE717" t="n">
        <x:v>1</x:v>
      </x:c>
      <x:c r="AF717" t="n">
        <x:v>0.028252094984054565</x:v>
      </x:c>
      <x:c r="AG717" t="n">
        <x:f>_xlfn.XLOOKUP($A717,Games!$A$2:$A$18,Games!$B$2:$B$18,"Missing game",0)</x:f>
        <x:v>2025</x:v>
      </x:c>
      <x:c r="AH717" t="str">
        <x:f>_xlfn.XLOOKUP($A717,Games!$A$2:$A$18,Games!$C$2:$C$18,"Missing game",0)</x:f>
        <x:v>REG</x:v>
      </x:c>
      <x:c r="AI717" t="n">
        <x:f>_xlfn.XLOOKUP($A717,Games!$A$2:$A$18,Games!$D$2:$D$18,"Missing game",0)</x:f>
        <x:v>5</x:v>
      </x:c>
      <x:c r="AJ717" s="1" t="n">
        <x:f>_xlfn.XLOOKUP($A717,Games!$A$2:$A$18,Games!$E$2:$E$18,"Missing game",0)</x:f>
        <x:v>45935</x:v>
      </x:c>
      <x:c r="AK717" t="str">
        <x:f>_xlfn.XLOOKUP($A717,Games!$A$2:$A$18,Games!$F$2:$F$18,"Missing game",0)</x:f>
        <x:v>Sunday</x:v>
      </x:c>
      <x:c r="AL717" t="str">
        <x:f>_xlfn.XLOOKUP($A717,Games!$A$2:$A$18,Games!$G$2:$G$18,"Missing game",0)</x:f>
        <x:v>MIN</x:v>
      </x:c>
      <x:c r="AM717" t="n">
        <x:f>_xlfn.XLOOKUP($A717,Games!$A$2:$A$18,Games!$H$2:$H$18,"Missing game",0)</x:f>
        <x:v>21</x:v>
      </x:c>
      <x:c r="AN717" t="str">
        <x:f>_xlfn.XLOOKUP($A717,Games!$A$2:$A$18,Games!$I$2:$I$18,"Missing game",0)</x:f>
        <x:v>CLE</x:v>
      </x:c>
      <x:c r="AO717" t="n">
        <x:f>_xlfn.XLOOKUP($A717,Games!$A$2:$A$18,Games!$J$2:$J$18,"Missing game",0)</x:f>
        <x:v>17</x:v>
      </x:c>
      <x:c r="AP717" t="n">
        <x:f>_xlfn.XLOOKUP($A717,Games!$A$2:$A$18,Games!$K$2:$K$18,"Missing game",0)</x:f>
        <x:v>-4</x:v>
      </x:c>
      <x:c r="AQ717" t="n">
        <x:f>_xlfn.XLOOKUP($A717,Games!$A$2:$A$18,Games!$L$2:$L$18,"Missing game",0)</x:f>
        <x:v>38</x:v>
      </x:c>
      <x:c r="AR717" t="n">
        <x:f>_xlfn.XLOOKUP($A717,Games!$A$2:$A$18,Games!$M$2:$M$18,"Missing game",0)</x:f>
        <x:v>0</x:v>
      </x:c>
      <x:c r="AS717" t="str">
        <x:f>_xlfn.XLOOKUP($A717,Games!$A$2:$A$18,Games!$N$2:$N$18,"Missing game",0)</x:f>
        <x:v>outdoors</x:v>
      </x:c>
      <x:c r="AT717" t="str">
        <x:f>_xlfn.XLOOKUP($A717,Games!$A$2:$A$18,Games!$O$2:$O$18,"Missing game",0)</x:f>
        <x:v>grass</x:v>
      </x:c>
      <x:c r="AU717" t="n">
        <x:f>_xlfn.XLOOKUP($A717,Games!$A$2:$A$18,Games!$P$2:$P$18,"Missing game",0)</x:f>
        <x:v>61</x:v>
      </x:c>
      <x:c r="AV717" t="n">
        <x:f>_xlfn.XLOOKUP($A717,Games!$A$2:$A$18,Games!$Q$2:$Q$18,"Missing game",0)</x:f>
        <x:v>14</x:v>
      </x:c>
      <x:c r="AW717" t="str">
        <x:f>_xlfn.XLOOKUP($A717,Games!$A$2:$A$18,Games!$R$2:$R$18,"Missing game",0)</x:f>
        <x:v>FirstEnergy Stadium</x:v>
      </x:c>
    </x:row>
    <x:row r="718">
      <x:c r="A718" t="str">
        <x:v>2025_05_MIN_CLE</x:v>
      </x:c>
      <x:c r="B718" t="n">
        <x:v>1177</x:v>
      </x:c>
      <x:c r="C718" t="n">
        <x:v>2</x:v>
      </x:c>
      <x:c r="D718" t="str">
        <x:v>14:28</x:v>
      </x:c>
      <x:c r="E718" t="n">
        <x:v>1</x:v>
      </x:c>
      <x:c r="F718" t="n">
        <x:v>10</x:v>
      </x:c>
      <x:c r="G718" t="str">
        <x:v>MIN</x:v>
      </x:c>
      <x:c r="H718" t="str">
        <x:v>CLE</x:v>
      </x:c>
      <x:c r="I718" t="str">
        <x:v>MIN</x:v>
      </x:c>
      <x:c r="J718" t="n">
        <x:v>79</x:v>
      </x:c>
      <x:c r="K718" t="str">
        <x:v>(14:28) 1-J.Nailor right end ran ob at MIN 36 for 15 yards (9-G.Delpit).</x:v>
      </x:c>
      <x:c r="L718" t="str">
        <x:v>run</x:v>
      </x:c>
      <x:c r="M718" t="n">
        <x:v>15</x:v>
      </x:c>
      <x:c r="N718" t="n">
        <x:v>0</x:v>
      </x:c>
      <x:c r="O718" t="n">
        <x:v>0</x:v>
      </x:c>
      <x:c r="P718"/>
      <x:c r="Q718"/>
      <x:c r="R718"/>
      <x:c r="S718"/>
      <x:c r="T718" t="str">
        <x:v>right</x:v>
      </x:c>
      <x:c r="U718" t="str">
        <x:v>end</x:v>
      </x:c>
      <x:c r="V718" t="n">
        <x:v>0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/>
      <x:c r="AC718" t="n">
        <x:v>0</x:v>
      </x:c>
      <x:c r="AD718" t="n">
        <x:v>1.1033363458700478</x:v>
      </x:c>
      <x:c r="AE718" t="n">
        <x:v>1</x:v>
      </x:c>
      <x:c r="AF718" t="n">
        <x:v>0.035747230052948</x:v>
      </x:c>
      <x:c r="AG718" t="n">
        <x:f>_xlfn.XLOOKUP($A718,Games!$A$2:$A$18,Games!$B$2:$B$18,"Missing game",0)</x:f>
        <x:v>2025</x:v>
      </x:c>
      <x:c r="AH718" t="str">
        <x:f>_xlfn.XLOOKUP($A718,Games!$A$2:$A$18,Games!$C$2:$C$18,"Missing game",0)</x:f>
        <x:v>REG</x:v>
      </x:c>
      <x:c r="AI718" t="n">
        <x:f>_xlfn.XLOOKUP($A718,Games!$A$2:$A$18,Games!$D$2:$D$18,"Missing game",0)</x:f>
        <x:v>5</x:v>
      </x:c>
      <x:c r="AJ718" s="1" t="n">
        <x:f>_xlfn.XLOOKUP($A718,Games!$A$2:$A$18,Games!$E$2:$E$18,"Missing game",0)</x:f>
        <x:v>45935</x:v>
      </x:c>
      <x:c r="AK718" t="str">
        <x:f>_xlfn.XLOOKUP($A718,Games!$A$2:$A$18,Games!$F$2:$F$18,"Missing game",0)</x:f>
        <x:v>Sunday</x:v>
      </x:c>
      <x:c r="AL718" t="str">
        <x:f>_xlfn.XLOOKUP($A718,Games!$A$2:$A$18,Games!$G$2:$G$18,"Missing game",0)</x:f>
        <x:v>MIN</x:v>
      </x:c>
      <x:c r="AM718" t="n">
        <x:f>_xlfn.XLOOKUP($A718,Games!$A$2:$A$18,Games!$H$2:$H$18,"Missing game",0)</x:f>
        <x:v>21</x:v>
      </x:c>
      <x:c r="AN718" t="str">
        <x:f>_xlfn.XLOOKUP($A718,Games!$A$2:$A$18,Games!$I$2:$I$18,"Missing game",0)</x:f>
        <x:v>CLE</x:v>
      </x:c>
      <x:c r="AO718" t="n">
        <x:f>_xlfn.XLOOKUP($A718,Games!$A$2:$A$18,Games!$J$2:$J$18,"Missing game",0)</x:f>
        <x:v>17</x:v>
      </x:c>
      <x:c r="AP718" t="n">
        <x:f>_xlfn.XLOOKUP($A718,Games!$A$2:$A$18,Games!$K$2:$K$18,"Missing game",0)</x:f>
        <x:v>-4</x:v>
      </x:c>
      <x:c r="AQ718" t="n">
        <x:f>_xlfn.XLOOKUP($A718,Games!$A$2:$A$18,Games!$L$2:$L$18,"Missing game",0)</x:f>
        <x:v>38</x:v>
      </x:c>
      <x:c r="AR718" t="n">
        <x:f>_xlfn.XLOOKUP($A718,Games!$A$2:$A$18,Games!$M$2:$M$18,"Missing game",0)</x:f>
        <x:v>0</x:v>
      </x:c>
      <x:c r="AS718" t="str">
        <x:f>_xlfn.XLOOKUP($A718,Games!$A$2:$A$18,Games!$N$2:$N$18,"Missing game",0)</x:f>
        <x:v>outdoors</x:v>
      </x:c>
      <x:c r="AT718" t="str">
        <x:f>_xlfn.XLOOKUP($A718,Games!$A$2:$A$18,Games!$O$2:$O$18,"Missing game",0)</x:f>
        <x:v>grass</x:v>
      </x:c>
      <x:c r="AU718" t="n">
        <x:f>_xlfn.XLOOKUP($A718,Games!$A$2:$A$18,Games!$P$2:$P$18,"Missing game",0)</x:f>
        <x:v>61</x:v>
      </x:c>
      <x:c r="AV718" t="n">
        <x:f>_xlfn.XLOOKUP($A718,Games!$A$2:$A$18,Games!$Q$2:$Q$18,"Missing game",0)</x:f>
        <x:v>14</x:v>
      </x:c>
      <x:c r="AW718" t="str">
        <x:f>_xlfn.XLOOKUP($A718,Games!$A$2:$A$18,Games!$R$2:$R$18,"Missing game",0)</x:f>
        <x:v>FirstEnergy Stadium</x:v>
      </x:c>
    </x:row>
    <x:row r="719">
      <x:c r="A719" t="str">
        <x:v>2025_05_MIN_CLE</x:v>
      </x:c>
      <x:c r="B719" t="n">
        <x:v>1211</x:v>
      </x:c>
      <x:c r="C719" t="n">
        <x:v>2</x:v>
      </x:c>
      <x:c r="D719" t="str">
        <x:v>14:02</x:v>
      </x:c>
      <x:c r="E719" t="n">
        <x:v>1</x:v>
      </x:c>
      <x:c r="F719" t="n">
        <x:v>10</x:v>
      </x:c>
      <x:c r="G719" t="str">
        <x:v>MIN</x:v>
      </x:c>
      <x:c r="H719" t="str">
        <x:v>CLE</x:v>
      </x:c>
      <x:c r="I719" t="str">
        <x:v>MIN</x:v>
      </x:c>
      <x:c r="J719" t="n">
        <x:v>64</x:v>
      </x:c>
      <x:c r="K719" t="str">
        <x:v>(14:02) (No Huddle) 27-J.Mason left tackle to MIN 37 for 1 yard (49-C.Schwesinger; 30-D.Bush).</x:v>
      </x:c>
      <x:c r="L719" t="str">
        <x:v>run</x:v>
      </x:c>
      <x:c r="M719" t="n">
        <x:v>1</x:v>
      </x:c>
      <x:c r="N719" t="n">
        <x:v>0</x:v>
      </x:c>
      <x:c r="O719" t="n">
        <x:v>1</x:v>
      </x:c>
      <x:c r="P719"/>
      <x:c r="Q719"/>
      <x:c r="R719"/>
      <x:c r="S719"/>
      <x:c r="T719" t="str">
        <x:v>left</x:v>
      </x:c>
      <x:c r="U719" t="str">
        <x:v>tackle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/>
      <x:c r="AC719" t="n">
        <x:v>0</x:v>
      </x:c>
      <x:c r="AD719" t="n">
        <x:v>-0.504163279896602</x:v>
      </x:c>
      <x:c r="AE719" t="n">
        <x:v>0</x:v>
      </x:c>
      <x:c r="AF719" t="n">
        <x:v>-0.01566469669342041</x:v>
      </x:c>
      <x:c r="AG719" t="n">
        <x:f>_xlfn.XLOOKUP($A719,Games!$A$2:$A$18,Games!$B$2:$B$18,"Missing game",0)</x:f>
        <x:v>2025</x:v>
      </x:c>
      <x:c r="AH719" t="str">
        <x:f>_xlfn.XLOOKUP($A719,Games!$A$2:$A$18,Games!$C$2:$C$18,"Missing game",0)</x:f>
        <x:v>REG</x:v>
      </x:c>
      <x:c r="AI719" t="n">
        <x:f>_xlfn.XLOOKUP($A719,Games!$A$2:$A$18,Games!$D$2:$D$18,"Missing game",0)</x:f>
        <x:v>5</x:v>
      </x:c>
      <x:c r="AJ719" s="1" t="n">
        <x:f>_xlfn.XLOOKUP($A719,Games!$A$2:$A$18,Games!$E$2:$E$18,"Missing game",0)</x:f>
        <x:v>45935</x:v>
      </x:c>
      <x:c r="AK719" t="str">
        <x:f>_xlfn.XLOOKUP($A719,Games!$A$2:$A$18,Games!$F$2:$F$18,"Missing game",0)</x:f>
        <x:v>Sunday</x:v>
      </x:c>
      <x:c r="AL719" t="str">
        <x:f>_xlfn.XLOOKUP($A719,Games!$A$2:$A$18,Games!$G$2:$G$18,"Missing game",0)</x:f>
        <x:v>MIN</x:v>
      </x:c>
      <x:c r="AM719" t="n">
        <x:f>_xlfn.XLOOKUP($A719,Games!$A$2:$A$18,Games!$H$2:$H$18,"Missing game",0)</x:f>
        <x:v>21</x:v>
      </x:c>
      <x:c r="AN719" t="str">
        <x:f>_xlfn.XLOOKUP($A719,Games!$A$2:$A$18,Games!$I$2:$I$18,"Missing game",0)</x:f>
        <x:v>CLE</x:v>
      </x:c>
      <x:c r="AO719" t="n">
        <x:f>_xlfn.XLOOKUP($A719,Games!$A$2:$A$18,Games!$J$2:$J$18,"Missing game",0)</x:f>
        <x:v>17</x:v>
      </x:c>
      <x:c r="AP719" t="n">
        <x:f>_xlfn.XLOOKUP($A719,Games!$A$2:$A$18,Games!$K$2:$K$18,"Missing game",0)</x:f>
        <x:v>-4</x:v>
      </x:c>
      <x:c r="AQ719" t="n">
        <x:f>_xlfn.XLOOKUP($A719,Games!$A$2:$A$18,Games!$L$2:$L$18,"Missing game",0)</x:f>
        <x:v>38</x:v>
      </x:c>
      <x:c r="AR719" t="n">
        <x:f>_xlfn.XLOOKUP($A719,Games!$A$2:$A$18,Games!$M$2:$M$18,"Missing game",0)</x:f>
        <x:v>0</x:v>
      </x:c>
      <x:c r="AS719" t="str">
        <x:f>_xlfn.XLOOKUP($A719,Games!$A$2:$A$18,Games!$N$2:$N$18,"Missing game",0)</x:f>
        <x:v>outdoors</x:v>
      </x:c>
      <x:c r="AT719" t="str">
        <x:f>_xlfn.XLOOKUP($A719,Games!$A$2:$A$18,Games!$O$2:$O$18,"Missing game",0)</x:f>
        <x:v>grass</x:v>
      </x:c>
      <x:c r="AU719" t="n">
        <x:f>_xlfn.XLOOKUP($A719,Games!$A$2:$A$18,Games!$P$2:$P$18,"Missing game",0)</x:f>
        <x:v>61</x:v>
      </x:c>
      <x:c r="AV719" t="n">
        <x:f>_xlfn.XLOOKUP($A719,Games!$A$2:$A$18,Games!$Q$2:$Q$18,"Missing game",0)</x:f>
        <x:v>14</x:v>
      </x:c>
      <x:c r="AW719" t="str">
        <x:f>_xlfn.XLOOKUP($A719,Games!$A$2:$A$18,Games!$R$2:$R$18,"Missing game",0)</x:f>
        <x:v>FirstEnergy Stadium</x:v>
      </x:c>
    </x:row>
    <x:row r="720">
      <x:c r="A720" t="str">
        <x:v>2025_05_MIN_CLE</x:v>
      </x:c>
      <x:c r="B720" t="n">
        <x:v>1233</x:v>
      </x:c>
      <x:c r="C720" t="n">
        <x:v>2</x:v>
      </x:c>
      <x:c r="D720" t="str">
        <x:v>13:23</x:v>
      </x:c>
      <x:c r="E720" t="n">
        <x:v>2</x:v>
      </x:c>
      <x:c r="F720" t="n">
        <x:v>9</x:v>
      </x:c>
      <x:c r="G720" t="str">
        <x:v>MIN</x:v>
      </x:c>
      <x:c r="H720" t="str">
        <x:v>CLE</x:v>
      </x:c>
      <x:c r="I720" t="str">
        <x:v>MIN</x:v>
      </x:c>
      <x:c r="J720" t="n">
        <x:v>63</x:v>
      </x:c>
      <x:c r="K720" t="str">
        <x:v>(13:23) (Shotgun) 11-C.Wentz pass short right to 27-J.Mason to MIN 38 for 1 yard (49-C.Schwesinger; 91-A.Wright).</x:v>
      </x:c>
      <x:c r="L720" t="str">
        <x:v>pass</x:v>
      </x:c>
      <x:c r="M720" t="n">
        <x:v>1</x:v>
      </x:c>
      <x:c r="N720" t="n">
        <x:v>1</x:v>
      </x:c>
      <x:c r="O720" t="n">
        <x:v>0</x:v>
      </x:c>
      <x:c r="P720" t="str">
        <x:v>short</x:v>
      </x:c>
      <x:c r="Q720" t="str">
        <x:v>right</x:v>
      </x:c>
      <x:c r="R720" t="n">
        <x:v>-7</x:v>
      </x:c>
      <x:c r="S720" t="n">
        <x:v>8</x:v>
      </x:c>
      <x:c r="T720"/>
      <x:c r="U720"/>
      <x:c r="V720" t="n">
        <x:v>1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/>
      <x:c r="AC720" t="n">
        <x:v>0</x:v>
      </x:c>
      <x:c r="AD720" t="n">
        <x:v>-0.7275819357018918</x:v>
      </x:c>
      <x:c r="AE720" t="n">
        <x:v>0</x:v>
      </x:c>
      <x:c r="AF720" t="n">
        <x:v>-0.03372499346733093</x:v>
      </x:c>
      <x:c r="AG720" t="n">
        <x:f>_xlfn.XLOOKUP($A720,Games!$A$2:$A$18,Games!$B$2:$B$18,"Missing game",0)</x:f>
        <x:v>2025</x:v>
      </x:c>
      <x:c r="AH720" t="str">
        <x:f>_xlfn.XLOOKUP($A720,Games!$A$2:$A$18,Games!$C$2:$C$18,"Missing game",0)</x:f>
        <x:v>REG</x:v>
      </x:c>
      <x:c r="AI720" t="n">
        <x:f>_xlfn.XLOOKUP($A720,Games!$A$2:$A$18,Games!$D$2:$D$18,"Missing game",0)</x:f>
        <x:v>5</x:v>
      </x:c>
      <x:c r="AJ720" s="1" t="n">
        <x:f>_xlfn.XLOOKUP($A720,Games!$A$2:$A$18,Games!$E$2:$E$18,"Missing game",0)</x:f>
        <x:v>45935</x:v>
      </x:c>
      <x:c r="AK720" t="str">
        <x:f>_xlfn.XLOOKUP($A720,Games!$A$2:$A$18,Games!$F$2:$F$18,"Missing game",0)</x:f>
        <x:v>Sunday</x:v>
      </x:c>
      <x:c r="AL720" t="str">
        <x:f>_xlfn.XLOOKUP($A720,Games!$A$2:$A$18,Games!$G$2:$G$18,"Missing game",0)</x:f>
        <x:v>MIN</x:v>
      </x:c>
      <x:c r="AM720" t="n">
        <x:f>_xlfn.XLOOKUP($A720,Games!$A$2:$A$18,Games!$H$2:$H$18,"Missing game",0)</x:f>
        <x:v>21</x:v>
      </x:c>
      <x:c r="AN720" t="str">
        <x:f>_xlfn.XLOOKUP($A720,Games!$A$2:$A$18,Games!$I$2:$I$18,"Missing game",0)</x:f>
        <x:v>CLE</x:v>
      </x:c>
      <x:c r="AO720" t="n">
        <x:f>_xlfn.XLOOKUP($A720,Games!$A$2:$A$18,Games!$J$2:$J$18,"Missing game",0)</x:f>
        <x:v>17</x:v>
      </x:c>
      <x:c r="AP720" t="n">
        <x:f>_xlfn.XLOOKUP($A720,Games!$A$2:$A$18,Games!$K$2:$K$18,"Missing game",0)</x:f>
        <x:v>-4</x:v>
      </x:c>
      <x:c r="AQ720" t="n">
        <x:f>_xlfn.XLOOKUP($A720,Games!$A$2:$A$18,Games!$L$2:$L$18,"Missing game",0)</x:f>
        <x:v>38</x:v>
      </x:c>
      <x:c r="AR720" t="n">
        <x:f>_xlfn.XLOOKUP($A720,Games!$A$2:$A$18,Games!$M$2:$M$18,"Missing game",0)</x:f>
        <x:v>0</x:v>
      </x:c>
      <x:c r="AS720" t="str">
        <x:f>_xlfn.XLOOKUP($A720,Games!$A$2:$A$18,Games!$N$2:$N$18,"Missing game",0)</x:f>
        <x:v>outdoors</x:v>
      </x:c>
      <x:c r="AT720" t="str">
        <x:f>_xlfn.XLOOKUP($A720,Games!$A$2:$A$18,Games!$O$2:$O$18,"Missing game",0)</x:f>
        <x:v>grass</x:v>
      </x:c>
      <x:c r="AU720" t="n">
        <x:f>_xlfn.XLOOKUP($A720,Games!$A$2:$A$18,Games!$P$2:$P$18,"Missing game",0)</x:f>
        <x:v>61</x:v>
      </x:c>
      <x:c r="AV720" t="n">
        <x:f>_xlfn.XLOOKUP($A720,Games!$A$2:$A$18,Games!$Q$2:$Q$18,"Missing game",0)</x:f>
        <x:v>14</x:v>
      </x:c>
      <x:c r="AW720" t="str">
        <x:f>_xlfn.XLOOKUP($A720,Games!$A$2:$A$18,Games!$R$2:$R$18,"Missing game",0)</x:f>
        <x:v>FirstEnergy Stadium</x:v>
      </x:c>
    </x:row>
    <x:row r="721">
      <x:c r="A721" t="str">
        <x:v>2025_05_MIN_CLE</x:v>
      </x:c>
      <x:c r="B721" t="n">
        <x:v>1258</x:v>
      </x:c>
      <x:c r="C721" t="n">
        <x:v>2</x:v>
      </x:c>
      <x:c r="D721" t="str">
        <x:v>12:38</x:v>
      </x:c>
      <x:c r="E721" t="n">
        <x:v>3</x:v>
      </x:c>
      <x:c r="F721" t="n">
        <x:v>8</x:v>
      </x:c>
      <x:c r="G721" t="str">
        <x:v>MIN</x:v>
      </x:c>
      <x:c r="H721" t="str">
        <x:v>CLE</x:v>
      </x:c>
      <x:c r="I721" t="str">
        <x:v>MIN</x:v>
      </x:c>
      <x:c r="J721" t="n">
        <x:v>62</x:v>
      </x:c>
      <x:c r="K721" t="str">
        <x:v>(12:38) (Shotgun) 11-C.Wentz pass incomplete short right to 87-T.Hockenson (9-G.Delpit). PENALTY on CLE-21-D.Ward, Illegal Contact, 5 yards, enforced at MIN 38 - No Play.</x:v>
      </x:c>
      <x:c r="L721" t="str">
        <x:v>no_play</x:v>
      </x:c>
      <x:c r="M721" t="n">
        <x:v>0</x:v>
      </x:c>
      <x:c r="N721" t="n">
        <x:v>1</x:v>
      </x:c>
      <x:c r="O721" t="n">
        <x:v>0</x:v>
      </x:c>
      <x:c r="P721"/>
      <x:c r="Q721"/>
      <x:c r="R721"/>
      <x:c r="S721"/>
      <x:c r="T721"/>
      <x:c r="U721"/>
      <x:c r="V721" t="n">
        <x:v>0</x:v>
      </x:c>
      <x:c r="W721" t="n">
        <x:v>1</x:v>
      </x:c>
      <x:c r="X721" t="n">
        <x:v>0</x:v>
      </x:c>
      <x:c r="Y721" t="n">
        <x:v>0</x:v>
      </x:c>
      <x:c r="Z721" t="n">
        <x:v>0</x:v>
      </x:c>
      <x:c r="AA721" t="n">
        <x:v>1</x:v>
      </x:c>
      <x:c r="AB721" t="n">
        <x:v>5</x:v>
      </x:c>
      <x:c r="AC721" t="n">
        <x:v>0</x:v>
      </x:c>
      <x:c r="AD721" t="n">
        <x:v>1.6723400738555938</x:v>
      </x:c>
      <x:c r="AE721" t="n">
        <x:v>1</x:v>
      </x:c>
      <x:c r="AF721" t="n">
        <x:v>0.05694928765296936</x:v>
      </x:c>
      <x:c r="AG721" t="n">
        <x:f>_xlfn.XLOOKUP($A721,Games!$A$2:$A$18,Games!$B$2:$B$18,"Missing game",0)</x:f>
        <x:v>2025</x:v>
      </x:c>
      <x:c r="AH721" t="str">
        <x:f>_xlfn.XLOOKUP($A721,Games!$A$2:$A$18,Games!$C$2:$C$18,"Missing game",0)</x:f>
        <x:v>REG</x:v>
      </x:c>
      <x:c r="AI721" t="n">
        <x:f>_xlfn.XLOOKUP($A721,Games!$A$2:$A$18,Games!$D$2:$D$18,"Missing game",0)</x:f>
        <x:v>5</x:v>
      </x:c>
      <x:c r="AJ721" s="1" t="n">
        <x:f>_xlfn.XLOOKUP($A721,Games!$A$2:$A$18,Games!$E$2:$E$18,"Missing game",0)</x:f>
        <x:v>45935</x:v>
      </x:c>
      <x:c r="AK721" t="str">
        <x:f>_xlfn.XLOOKUP($A721,Games!$A$2:$A$18,Games!$F$2:$F$18,"Missing game",0)</x:f>
        <x:v>Sunday</x:v>
      </x:c>
      <x:c r="AL721" t="str">
        <x:f>_xlfn.XLOOKUP($A721,Games!$A$2:$A$18,Games!$G$2:$G$18,"Missing game",0)</x:f>
        <x:v>MIN</x:v>
      </x:c>
      <x:c r="AM721" t="n">
        <x:f>_xlfn.XLOOKUP($A721,Games!$A$2:$A$18,Games!$H$2:$H$18,"Missing game",0)</x:f>
        <x:v>21</x:v>
      </x:c>
      <x:c r="AN721" t="str">
        <x:f>_xlfn.XLOOKUP($A721,Games!$A$2:$A$18,Games!$I$2:$I$18,"Missing game",0)</x:f>
        <x:v>CLE</x:v>
      </x:c>
      <x:c r="AO721" t="n">
        <x:f>_xlfn.XLOOKUP($A721,Games!$A$2:$A$18,Games!$J$2:$J$18,"Missing game",0)</x:f>
        <x:v>17</x:v>
      </x:c>
      <x:c r="AP721" t="n">
        <x:f>_xlfn.XLOOKUP($A721,Games!$A$2:$A$18,Games!$K$2:$K$18,"Missing game",0)</x:f>
        <x:v>-4</x:v>
      </x:c>
      <x:c r="AQ721" t="n">
        <x:f>_xlfn.XLOOKUP($A721,Games!$A$2:$A$18,Games!$L$2:$L$18,"Missing game",0)</x:f>
        <x:v>38</x:v>
      </x:c>
      <x:c r="AR721" t="n">
        <x:f>_xlfn.XLOOKUP($A721,Games!$A$2:$A$18,Games!$M$2:$M$18,"Missing game",0)</x:f>
        <x:v>0</x:v>
      </x:c>
      <x:c r="AS721" t="str">
        <x:f>_xlfn.XLOOKUP($A721,Games!$A$2:$A$18,Games!$N$2:$N$18,"Missing game",0)</x:f>
        <x:v>outdoors</x:v>
      </x:c>
      <x:c r="AT721" t="str">
        <x:f>_xlfn.XLOOKUP($A721,Games!$A$2:$A$18,Games!$O$2:$O$18,"Missing game",0)</x:f>
        <x:v>grass</x:v>
      </x:c>
      <x:c r="AU721" t="n">
        <x:f>_xlfn.XLOOKUP($A721,Games!$A$2:$A$18,Games!$P$2:$P$18,"Missing game",0)</x:f>
        <x:v>61</x:v>
      </x:c>
      <x:c r="AV721" t="n">
        <x:f>_xlfn.XLOOKUP($A721,Games!$A$2:$A$18,Games!$Q$2:$Q$18,"Missing game",0)</x:f>
        <x:v>14</x:v>
      </x:c>
      <x:c r="AW721" t="str">
        <x:f>_xlfn.XLOOKUP($A721,Games!$A$2:$A$18,Games!$R$2:$R$18,"Missing game",0)</x:f>
        <x:v>FirstEnergy Stadium</x:v>
      </x:c>
    </x:row>
    <x:row r="722">
      <x:c r="A722" t="str">
        <x:v>2025_05_MIN_CLE</x:v>
      </x:c>
      <x:c r="B722" t="n">
        <x:v>1292</x:v>
      </x:c>
      <x:c r="C722" t="n">
        <x:v>2</x:v>
      </x:c>
      <x:c r="D722" t="str">
        <x:v>12:32</x:v>
      </x:c>
      <x:c r="E722" t="n">
        <x:v>1</x:v>
      </x:c>
      <x:c r="F722" t="n">
        <x:v>10</x:v>
      </x:c>
      <x:c r="G722" t="str">
        <x:v>MIN</x:v>
      </x:c>
      <x:c r="H722" t="str">
        <x:v>CLE</x:v>
      </x:c>
      <x:c r="I722" t="str">
        <x:v>MIN</x:v>
      </x:c>
      <x:c r="J722" t="n">
        <x:v>57</x:v>
      </x:c>
      <x:c r="K722" t="str">
        <x:v>(12:32) 36-Z.Scott right end to CLE 48 for 9 yards (49-C.Schwesinger; 43-M.Diabate).</x:v>
      </x:c>
      <x:c r="L722" t="str">
        <x:v>run</x:v>
      </x:c>
      <x:c r="M722" t="n">
        <x:v>9</x:v>
      </x:c>
      <x:c r="N722" t="n">
        <x:v>0</x:v>
      </x:c>
      <x:c r="O722" t="n">
        <x:v>0</x:v>
      </x:c>
      <x:c r="P722"/>
      <x:c r="Q722"/>
      <x:c r="R722"/>
      <x:c r="S722"/>
      <x:c r="T722" t="str">
        <x:v>right</x:v>
      </x:c>
      <x:c r="U722" t="str">
        <x:v>end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/>
      <x:c r="AC722" t="n">
        <x:v>0</x:v>
      </x:c>
      <x:c r="AD722" t="n">
        <x:v>0.7722555736545473</x:v>
      </x:c>
      <x:c r="AE722" t="n">
        <x:v>1</x:v>
      </x:c>
      <x:c r="AF722" t="n">
        <x:v>0.018710553646087646</x:v>
      </x:c>
      <x:c r="AG722" t="n">
        <x:f>_xlfn.XLOOKUP($A722,Games!$A$2:$A$18,Games!$B$2:$B$18,"Missing game",0)</x:f>
        <x:v>2025</x:v>
      </x:c>
      <x:c r="AH722" t="str">
        <x:f>_xlfn.XLOOKUP($A722,Games!$A$2:$A$18,Games!$C$2:$C$18,"Missing game",0)</x:f>
        <x:v>REG</x:v>
      </x:c>
      <x:c r="AI722" t="n">
        <x:f>_xlfn.XLOOKUP($A722,Games!$A$2:$A$18,Games!$D$2:$D$18,"Missing game",0)</x:f>
        <x:v>5</x:v>
      </x:c>
      <x:c r="AJ722" s="1" t="n">
        <x:f>_xlfn.XLOOKUP($A722,Games!$A$2:$A$18,Games!$E$2:$E$18,"Missing game",0)</x:f>
        <x:v>45935</x:v>
      </x:c>
      <x:c r="AK722" t="str">
        <x:f>_xlfn.XLOOKUP($A722,Games!$A$2:$A$18,Games!$F$2:$F$18,"Missing game",0)</x:f>
        <x:v>Sunday</x:v>
      </x:c>
      <x:c r="AL722" t="str">
        <x:f>_xlfn.XLOOKUP($A722,Games!$A$2:$A$18,Games!$G$2:$G$18,"Missing game",0)</x:f>
        <x:v>MIN</x:v>
      </x:c>
      <x:c r="AM722" t="n">
        <x:f>_xlfn.XLOOKUP($A722,Games!$A$2:$A$18,Games!$H$2:$H$18,"Missing game",0)</x:f>
        <x:v>21</x:v>
      </x:c>
      <x:c r="AN722" t="str">
        <x:f>_xlfn.XLOOKUP($A722,Games!$A$2:$A$18,Games!$I$2:$I$18,"Missing game",0)</x:f>
        <x:v>CLE</x:v>
      </x:c>
      <x:c r="AO722" t="n">
        <x:f>_xlfn.XLOOKUP($A722,Games!$A$2:$A$18,Games!$J$2:$J$18,"Missing game",0)</x:f>
        <x:v>17</x:v>
      </x:c>
      <x:c r="AP722" t="n">
        <x:f>_xlfn.XLOOKUP($A722,Games!$A$2:$A$18,Games!$K$2:$K$18,"Missing game",0)</x:f>
        <x:v>-4</x:v>
      </x:c>
      <x:c r="AQ722" t="n">
        <x:f>_xlfn.XLOOKUP($A722,Games!$A$2:$A$18,Games!$L$2:$L$18,"Missing game",0)</x:f>
        <x:v>38</x:v>
      </x:c>
      <x:c r="AR722" t="n">
        <x:f>_xlfn.XLOOKUP($A722,Games!$A$2:$A$18,Games!$M$2:$M$18,"Missing game",0)</x:f>
        <x:v>0</x:v>
      </x:c>
      <x:c r="AS722" t="str">
        <x:f>_xlfn.XLOOKUP($A722,Games!$A$2:$A$18,Games!$N$2:$N$18,"Missing game",0)</x:f>
        <x:v>outdoors</x:v>
      </x:c>
      <x:c r="AT722" t="str">
        <x:f>_xlfn.XLOOKUP($A722,Games!$A$2:$A$18,Games!$O$2:$O$18,"Missing game",0)</x:f>
        <x:v>grass</x:v>
      </x:c>
      <x:c r="AU722" t="n">
        <x:f>_xlfn.XLOOKUP($A722,Games!$A$2:$A$18,Games!$P$2:$P$18,"Missing game",0)</x:f>
        <x:v>61</x:v>
      </x:c>
      <x:c r="AV722" t="n">
        <x:f>_xlfn.XLOOKUP($A722,Games!$A$2:$A$18,Games!$Q$2:$Q$18,"Missing game",0)</x:f>
        <x:v>14</x:v>
      </x:c>
      <x:c r="AW722" t="str">
        <x:f>_xlfn.XLOOKUP($A722,Games!$A$2:$A$18,Games!$R$2:$R$18,"Missing game",0)</x:f>
        <x:v>FirstEnergy Stadium</x:v>
      </x:c>
    </x:row>
    <x:row r="723">
      <x:c r="A723" t="str">
        <x:v>2025_05_MIN_CLE</x:v>
      </x:c>
      <x:c r="B723" t="n">
        <x:v>1314</x:v>
      </x:c>
      <x:c r="C723" t="n">
        <x:v>2</x:v>
      </x:c>
      <x:c r="D723" t="str">
        <x:v>11:48</x:v>
      </x:c>
      <x:c r="E723" t="n">
        <x:v>2</x:v>
      </x:c>
      <x:c r="F723" t="n">
        <x:v>1</x:v>
      </x:c>
      <x:c r="G723" t="str">
        <x:v>MIN</x:v>
      </x:c>
      <x:c r="H723" t="str">
        <x:v>CLE</x:v>
      </x:c>
      <x:c r="I723" t="str">
        <x:v>CLE</x:v>
      </x:c>
      <x:c r="J723" t="n">
        <x:v>48</x:v>
      </x:c>
      <x:c r="K723" t="str">
        <x:v>(11:48) 11-C.Wentz pass incomplete deep right to 18-J.Jefferson.</x:v>
      </x:c>
      <x:c r="L723" t="str">
        <x:v>pass</x:v>
      </x:c>
      <x:c r="M723" t="n">
        <x:v>0</x:v>
      </x:c>
      <x:c r="N723" t="n">
        <x:v>0</x:v>
      </x:c>
      <x:c r="O723" t="n">
        <x:v>0</x:v>
      </x:c>
      <x:c r="P723" t="str">
        <x:v>deep</x:v>
      </x:c>
      <x:c r="Q723" t="str">
        <x:v>right</x:v>
      </x:c>
      <x:c r="R723" t="n">
        <x:v>18</x:v>
      </x:c>
      <x:c r="S723"/>
      <x:c r="T723"/>
      <x:c r="U723"/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/>
      <x:c r="AC723" t="n">
        <x:v>0</x:v>
      </x:c>
      <x:c r="AD723" t="n">
        <x:v>-0.5640089816879481</x:v>
      </x:c>
      <x:c r="AE723" t="n">
        <x:v>0</x:v>
      </x:c>
      <x:c r="AF723" t="n">
        <x:v>-0.032266438007354736</x:v>
      </x:c>
      <x:c r="AG723" t="n">
        <x:f>_xlfn.XLOOKUP($A723,Games!$A$2:$A$18,Games!$B$2:$B$18,"Missing game",0)</x:f>
        <x:v>2025</x:v>
      </x:c>
      <x:c r="AH723" t="str">
        <x:f>_xlfn.XLOOKUP($A723,Games!$A$2:$A$18,Games!$C$2:$C$18,"Missing game",0)</x:f>
        <x:v>REG</x:v>
      </x:c>
      <x:c r="AI723" t="n">
        <x:f>_xlfn.XLOOKUP($A723,Games!$A$2:$A$18,Games!$D$2:$D$18,"Missing game",0)</x:f>
        <x:v>5</x:v>
      </x:c>
      <x:c r="AJ723" s="1" t="n">
        <x:f>_xlfn.XLOOKUP($A723,Games!$A$2:$A$18,Games!$E$2:$E$18,"Missing game",0)</x:f>
        <x:v>45935</x:v>
      </x:c>
      <x:c r="AK723" t="str">
        <x:f>_xlfn.XLOOKUP($A723,Games!$A$2:$A$18,Games!$F$2:$F$18,"Missing game",0)</x:f>
        <x:v>Sunday</x:v>
      </x:c>
      <x:c r="AL723" t="str">
        <x:f>_xlfn.XLOOKUP($A723,Games!$A$2:$A$18,Games!$G$2:$G$18,"Missing game",0)</x:f>
        <x:v>MIN</x:v>
      </x:c>
      <x:c r="AM723" t="n">
        <x:f>_xlfn.XLOOKUP($A723,Games!$A$2:$A$18,Games!$H$2:$H$18,"Missing game",0)</x:f>
        <x:v>21</x:v>
      </x:c>
      <x:c r="AN723" t="str">
        <x:f>_xlfn.XLOOKUP($A723,Games!$A$2:$A$18,Games!$I$2:$I$18,"Missing game",0)</x:f>
        <x:v>CLE</x:v>
      </x:c>
      <x:c r="AO723" t="n">
        <x:f>_xlfn.XLOOKUP($A723,Games!$A$2:$A$18,Games!$J$2:$J$18,"Missing game",0)</x:f>
        <x:v>17</x:v>
      </x:c>
      <x:c r="AP723" t="n">
        <x:f>_xlfn.XLOOKUP($A723,Games!$A$2:$A$18,Games!$K$2:$K$18,"Missing game",0)</x:f>
        <x:v>-4</x:v>
      </x:c>
      <x:c r="AQ723" t="n">
        <x:f>_xlfn.XLOOKUP($A723,Games!$A$2:$A$18,Games!$L$2:$L$18,"Missing game",0)</x:f>
        <x:v>38</x:v>
      </x:c>
      <x:c r="AR723" t="n">
        <x:f>_xlfn.XLOOKUP($A723,Games!$A$2:$A$18,Games!$M$2:$M$18,"Missing game",0)</x:f>
        <x:v>0</x:v>
      </x:c>
      <x:c r="AS723" t="str">
        <x:f>_xlfn.XLOOKUP($A723,Games!$A$2:$A$18,Games!$N$2:$N$18,"Missing game",0)</x:f>
        <x:v>outdoors</x:v>
      </x:c>
      <x:c r="AT723" t="str">
        <x:f>_xlfn.XLOOKUP($A723,Games!$A$2:$A$18,Games!$O$2:$O$18,"Missing game",0)</x:f>
        <x:v>grass</x:v>
      </x:c>
      <x:c r="AU723" t="n">
        <x:f>_xlfn.XLOOKUP($A723,Games!$A$2:$A$18,Games!$P$2:$P$18,"Missing game",0)</x:f>
        <x:v>61</x:v>
      </x:c>
      <x:c r="AV723" t="n">
        <x:f>_xlfn.XLOOKUP($A723,Games!$A$2:$A$18,Games!$Q$2:$Q$18,"Missing game",0)</x:f>
        <x:v>14</x:v>
      </x:c>
      <x:c r="AW723" t="str">
        <x:f>_xlfn.XLOOKUP($A723,Games!$A$2:$A$18,Games!$R$2:$R$18,"Missing game",0)</x:f>
        <x:v>FirstEnergy Stadium</x:v>
      </x:c>
    </x:row>
    <x:row r="724">
      <x:c r="A724" t="str">
        <x:v>2025_05_MIN_CLE</x:v>
      </x:c>
      <x:c r="B724" t="n">
        <x:v>1337</x:v>
      </x:c>
      <x:c r="C724" t="n">
        <x:v>2</x:v>
      </x:c>
      <x:c r="D724" t="str">
        <x:v>11:42</x:v>
      </x:c>
      <x:c r="E724" t="n">
        <x:v>3</x:v>
      </x:c>
      <x:c r="F724" t="n">
        <x:v>1</x:v>
      </x:c>
      <x:c r="G724" t="str">
        <x:v>MIN</x:v>
      </x:c>
      <x:c r="H724" t="str">
        <x:v>CLE</x:v>
      </x:c>
      <x:c r="I724" t="str">
        <x:v>CLE</x:v>
      </x:c>
      <x:c r="J724" t="n">
        <x:v>48</x:v>
      </x:c>
      <x:c r="K724" t="str">
        <x:v>(11:42) 27-J.Mason right end to 50 for -2 yards (57-I.McGuire, 9-G.Delpit).</x:v>
      </x:c>
      <x:c r="L724" t="str">
        <x:v>run</x:v>
      </x:c>
      <x:c r="M724" t="n">
        <x:v>-2</x:v>
      </x:c>
      <x:c r="N724" t="n">
        <x:v>0</x:v>
      </x:c>
      <x:c r="O724" t="n">
        <x:v>0</x:v>
      </x:c>
      <x:c r="P724"/>
      <x:c r="Q724"/>
      <x:c r="R724"/>
      <x:c r="S724"/>
      <x:c r="T724" t="str">
        <x:v>right</x:v>
      </x:c>
      <x:c r="U724" t="str">
        <x:v>end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/>
      <x:c r="AC724" t="n">
        <x:v>0</x:v>
      </x:c>
      <x:c r="AD724" t="n">
        <x:v>-2.3057370928581804</x:v>
      </x:c>
      <x:c r="AE724" t="n">
        <x:v>0</x:v>
      </x:c>
      <x:c r="AF724" t="n">
        <x:v>-0.0348973274230957</x:v>
      </x:c>
      <x:c r="AG724" t="n">
        <x:f>_xlfn.XLOOKUP($A724,Games!$A$2:$A$18,Games!$B$2:$B$18,"Missing game",0)</x:f>
        <x:v>2025</x:v>
      </x:c>
      <x:c r="AH724" t="str">
        <x:f>_xlfn.XLOOKUP($A724,Games!$A$2:$A$18,Games!$C$2:$C$18,"Missing game",0)</x:f>
        <x:v>REG</x:v>
      </x:c>
      <x:c r="AI724" t="n">
        <x:f>_xlfn.XLOOKUP($A724,Games!$A$2:$A$18,Games!$D$2:$D$18,"Missing game",0)</x:f>
        <x:v>5</x:v>
      </x:c>
      <x:c r="AJ724" s="1" t="n">
        <x:f>_xlfn.XLOOKUP($A724,Games!$A$2:$A$18,Games!$E$2:$E$18,"Missing game",0)</x:f>
        <x:v>45935</x:v>
      </x:c>
      <x:c r="AK724" t="str">
        <x:f>_xlfn.XLOOKUP($A724,Games!$A$2:$A$18,Games!$F$2:$F$18,"Missing game",0)</x:f>
        <x:v>Sunday</x:v>
      </x:c>
      <x:c r="AL724" t="str">
        <x:f>_xlfn.XLOOKUP($A724,Games!$A$2:$A$18,Games!$G$2:$G$18,"Missing game",0)</x:f>
        <x:v>MIN</x:v>
      </x:c>
      <x:c r="AM724" t="n">
        <x:f>_xlfn.XLOOKUP($A724,Games!$A$2:$A$18,Games!$H$2:$H$18,"Missing game",0)</x:f>
        <x:v>21</x:v>
      </x:c>
      <x:c r="AN724" t="str">
        <x:f>_xlfn.XLOOKUP($A724,Games!$A$2:$A$18,Games!$I$2:$I$18,"Missing game",0)</x:f>
        <x:v>CLE</x:v>
      </x:c>
      <x:c r="AO724" t="n">
        <x:f>_xlfn.XLOOKUP($A724,Games!$A$2:$A$18,Games!$J$2:$J$18,"Missing game",0)</x:f>
        <x:v>17</x:v>
      </x:c>
      <x:c r="AP724" t="n">
        <x:f>_xlfn.XLOOKUP($A724,Games!$A$2:$A$18,Games!$K$2:$K$18,"Missing game",0)</x:f>
        <x:v>-4</x:v>
      </x:c>
      <x:c r="AQ724" t="n">
        <x:f>_xlfn.XLOOKUP($A724,Games!$A$2:$A$18,Games!$L$2:$L$18,"Missing game",0)</x:f>
        <x:v>38</x:v>
      </x:c>
      <x:c r="AR724" t="n">
        <x:f>_xlfn.XLOOKUP($A724,Games!$A$2:$A$18,Games!$M$2:$M$18,"Missing game",0)</x:f>
        <x:v>0</x:v>
      </x:c>
      <x:c r="AS724" t="str">
        <x:f>_xlfn.XLOOKUP($A724,Games!$A$2:$A$18,Games!$N$2:$N$18,"Missing game",0)</x:f>
        <x:v>outdoors</x:v>
      </x:c>
      <x:c r="AT724" t="str">
        <x:f>_xlfn.XLOOKUP($A724,Games!$A$2:$A$18,Games!$O$2:$O$18,"Missing game",0)</x:f>
        <x:v>grass</x:v>
      </x:c>
      <x:c r="AU724" t="n">
        <x:f>_xlfn.XLOOKUP($A724,Games!$A$2:$A$18,Games!$P$2:$P$18,"Missing game",0)</x:f>
        <x:v>61</x:v>
      </x:c>
      <x:c r="AV724" t="n">
        <x:f>_xlfn.XLOOKUP($A724,Games!$A$2:$A$18,Games!$Q$2:$Q$18,"Missing game",0)</x:f>
        <x:v>14</x:v>
      </x:c>
      <x:c r="AW724" t="str">
        <x:f>_xlfn.XLOOKUP($A724,Games!$A$2:$A$18,Games!$R$2:$R$18,"Missing game",0)</x:f>
        <x:v>FirstEnergy Stadium</x:v>
      </x:c>
    </x:row>
    <x:row r="725">
      <x:c r="A725" t="str">
        <x:v>2025_05_MIN_CLE</x:v>
      </x:c>
      <x:c r="B725" t="n">
        <x:v>1359</x:v>
      </x:c>
      <x:c r="C725" t="n">
        <x:v>2</x:v>
      </x:c>
      <x:c r="D725" t="str">
        <x:v>11:04</x:v>
      </x:c>
      <x:c r="E725" t="n">
        <x:v>4</x:v>
      </x:c>
      <x:c r="F725" t="n">
        <x:v>3</x:v>
      </x:c>
      <x:c r="G725" t="str">
        <x:v>MIN</x:v>
      </x:c>
      <x:c r="H725" t="str">
        <x:v>CLE</x:v>
      </x:c>
      <x:c r="I725" t="str">
        <x:v>50</x:v>
      </x:c>
      <x:c r="J725" t="n">
        <x:v>50</x:v>
      </x:c>
      <x:c r="K725" t="str">
        <x:v>(11:04) 17-R.Wright punts 39 yards to CLE 11, Center-42-A.DePaola, fair catch by 84-G.Larvadain.</x:v>
      </x:c>
      <x:c r="L725" t="str">
        <x:v>punt</x:v>
      </x:c>
      <x:c r="M725" t="n">
        <x:v>0</x:v>
      </x:c>
      <x:c r="N725" t="n">
        <x:v>0</x:v>
      </x:c>
      <x:c r="O725" t="n">
        <x:v>0</x:v>
      </x:c>
      <x:c r="P725"/>
      <x:c r="Q725"/>
      <x:c r="R725"/>
      <x:c r="S725"/>
      <x:c r="T725"/>
      <x:c r="U725"/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/>
      <x:c r="AC725" t="n">
        <x:v>0</x:v>
      </x:c>
      <x:c r="AD725" t="n">
        <x:v>-0.017089835135266185</x:v>
      </x:c>
      <x:c r="AE725" t="n">
        <x:v>0</x:v>
      </x:c>
      <x:c r="AF725" t="n">
        <x:v>-0.0018107891082763672</x:v>
      </x:c>
      <x:c r="AG725" t="n">
        <x:f>_xlfn.XLOOKUP($A725,Games!$A$2:$A$18,Games!$B$2:$B$18,"Missing game",0)</x:f>
        <x:v>2025</x:v>
      </x:c>
      <x:c r="AH725" t="str">
        <x:f>_xlfn.XLOOKUP($A725,Games!$A$2:$A$18,Games!$C$2:$C$18,"Missing game",0)</x:f>
        <x:v>REG</x:v>
      </x:c>
      <x:c r="AI725" t="n">
        <x:f>_xlfn.XLOOKUP($A725,Games!$A$2:$A$18,Games!$D$2:$D$18,"Missing game",0)</x:f>
        <x:v>5</x:v>
      </x:c>
      <x:c r="AJ725" s="1" t="n">
        <x:f>_xlfn.XLOOKUP($A725,Games!$A$2:$A$18,Games!$E$2:$E$18,"Missing game",0)</x:f>
        <x:v>45935</x:v>
      </x:c>
      <x:c r="AK725" t="str">
        <x:f>_xlfn.XLOOKUP($A725,Games!$A$2:$A$18,Games!$F$2:$F$18,"Missing game",0)</x:f>
        <x:v>Sunday</x:v>
      </x:c>
      <x:c r="AL725" t="str">
        <x:f>_xlfn.XLOOKUP($A725,Games!$A$2:$A$18,Games!$G$2:$G$18,"Missing game",0)</x:f>
        <x:v>MIN</x:v>
      </x:c>
      <x:c r="AM725" t="n">
        <x:f>_xlfn.XLOOKUP($A725,Games!$A$2:$A$18,Games!$H$2:$H$18,"Missing game",0)</x:f>
        <x:v>21</x:v>
      </x:c>
      <x:c r="AN725" t="str">
        <x:f>_xlfn.XLOOKUP($A725,Games!$A$2:$A$18,Games!$I$2:$I$18,"Missing game",0)</x:f>
        <x:v>CLE</x:v>
      </x:c>
      <x:c r="AO725" t="n">
        <x:f>_xlfn.XLOOKUP($A725,Games!$A$2:$A$18,Games!$J$2:$J$18,"Missing game",0)</x:f>
        <x:v>17</x:v>
      </x:c>
      <x:c r="AP725" t="n">
        <x:f>_xlfn.XLOOKUP($A725,Games!$A$2:$A$18,Games!$K$2:$K$18,"Missing game",0)</x:f>
        <x:v>-4</x:v>
      </x:c>
      <x:c r="AQ725" t="n">
        <x:f>_xlfn.XLOOKUP($A725,Games!$A$2:$A$18,Games!$L$2:$L$18,"Missing game",0)</x:f>
        <x:v>38</x:v>
      </x:c>
      <x:c r="AR725" t="n">
        <x:f>_xlfn.XLOOKUP($A725,Games!$A$2:$A$18,Games!$M$2:$M$18,"Missing game",0)</x:f>
        <x:v>0</x:v>
      </x:c>
      <x:c r="AS725" t="str">
        <x:f>_xlfn.XLOOKUP($A725,Games!$A$2:$A$18,Games!$N$2:$N$18,"Missing game",0)</x:f>
        <x:v>outdoors</x:v>
      </x:c>
      <x:c r="AT725" t="str">
        <x:f>_xlfn.XLOOKUP($A725,Games!$A$2:$A$18,Games!$O$2:$O$18,"Missing game",0)</x:f>
        <x:v>grass</x:v>
      </x:c>
      <x:c r="AU725" t="n">
        <x:f>_xlfn.XLOOKUP($A725,Games!$A$2:$A$18,Games!$P$2:$P$18,"Missing game",0)</x:f>
        <x:v>61</x:v>
      </x:c>
      <x:c r="AV725" t="n">
        <x:f>_xlfn.XLOOKUP($A725,Games!$A$2:$A$18,Games!$Q$2:$Q$18,"Missing game",0)</x:f>
        <x:v>14</x:v>
      </x:c>
      <x:c r="AW725" t="str">
        <x:f>_xlfn.XLOOKUP($A725,Games!$A$2:$A$18,Games!$R$2:$R$18,"Missing game",0)</x:f>
        <x:v>FirstEnergy Stadium</x:v>
      </x:c>
    </x:row>
    <x:row r="726">
      <x:c r="A726" t="str">
        <x:v>2025_05_MIN_CLE</x:v>
      </x:c>
      <x:c r="B726" t="n">
        <x:v>1379</x:v>
      </x:c>
      <x:c r="C726" t="n">
        <x:v>2</x:v>
      </x:c>
      <x:c r="D726" t="str">
        <x:v>10:58</x:v>
      </x:c>
      <x:c r="E726" t="n">
        <x:v>1</x:v>
      </x:c>
      <x:c r="F726" t="n">
        <x:v>10</x:v>
      </x:c>
      <x:c r="G726" t="str">
        <x:v>CLE</x:v>
      </x:c>
      <x:c r="H726" t="str">
        <x:v>MIN</x:v>
      </x:c>
      <x:c r="I726" t="str">
        <x:v>CLE</x:v>
      </x:c>
      <x:c r="J726" t="n">
        <x:v>89</x:v>
      </x:c>
      <x:c r="K726" t="str">
        <x:v>(10:58) (Shotgun) 8-D.Gabriel pass short left to 44-H.Fannin to CLE 14 for 3 yards (15-D.Turner).</x:v>
      </x:c>
      <x:c r="L726" t="str">
        <x:v>pass</x:v>
      </x:c>
      <x:c r="M726" t="n">
        <x:v>3</x:v>
      </x:c>
      <x:c r="N726" t="n">
        <x:v>1</x:v>
      </x:c>
      <x:c r="O726" t="n">
        <x:v>0</x:v>
      </x:c>
      <x:c r="P726" t="str">
        <x:v>short</x:v>
      </x:c>
      <x:c r="Q726" t="str">
        <x:v>left</x:v>
      </x:c>
      <x:c r="R726" t="n">
        <x:v>1</x:v>
      </x:c>
      <x:c r="S726" t="n">
        <x:v>2</x:v>
      </x:c>
      <x:c r="T726"/>
      <x:c r="U726"/>
      <x:c r="V726" t="n">
        <x:v>1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/>
      <x:c r="AC726" t="n">
        <x:v>0</x:v>
      </x:c>
      <x:c r="AD726" t="n">
        <x:v>-0.3098897805903107</x:v>
      </x:c>
      <x:c r="AE726" t="n">
        <x:v>0</x:v>
      </x:c>
      <x:c r="AF726" t="n">
        <x:v>-0.00310671329498291</x:v>
      </x:c>
      <x:c r="AG726" t="n">
        <x:f>_xlfn.XLOOKUP($A726,Games!$A$2:$A$18,Games!$B$2:$B$18,"Missing game",0)</x:f>
        <x:v>2025</x:v>
      </x:c>
      <x:c r="AH726" t="str">
        <x:f>_xlfn.XLOOKUP($A726,Games!$A$2:$A$18,Games!$C$2:$C$18,"Missing game",0)</x:f>
        <x:v>REG</x:v>
      </x:c>
      <x:c r="AI726" t="n">
        <x:f>_xlfn.XLOOKUP($A726,Games!$A$2:$A$18,Games!$D$2:$D$18,"Missing game",0)</x:f>
        <x:v>5</x:v>
      </x:c>
      <x:c r="AJ726" s="1" t="n">
        <x:f>_xlfn.XLOOKUP($A726,Games!$A$2:$A$18,Games!$E$2:$E$18,"Missing game",0)</x:f>
        <x:v>45935</x:v>
      </x:c>
      <x:c r="AK726" t="str">
        <x:f>_xlfn.XLOOKUP($A726,Games!$A$2:$A$18,Games!$F$2:$F$18,"Missing game",0)</x:f>
        <x:v>Sunday</x:v>
      </x:c>
      <x:c r="AL726" t="str">
        <x:f>_xlfn.XLOOKUP($A726,Games!$A$2:$A$18,Games!$G$2:$G$18,"Missing game",0)</x:f>
        <x:v>MIN</x:v>
      </x:c>
      <x:c r="AM726" t="n">
        <x:f>_xlfn.XLOOKUP($A726,Games!$A$2:$A$18,Games!$H$2:$H$18,"Missing game",0)</x:f>
        <x:v>21</x:v>
      </x:c>
      <x:c r="AN726" t="str">
        <x:f>_xlfn.XLOOKUP($A726,Games!$A$2:$A$18,Games!$I$2:$I$18,"Missing game",0)</x:f>
        <x:v>CLE</x:v>
      </x:c>
      <x:c r="AO726" t="n">
        <x:f>_xlfn.XLOOKUP($A726,Games!$A$2:$A$18,Games!$J$2:$J$18,"Missing game",0)</x:f>
        <x:v>17</x:v>
      </x:c>
      <x:c r="AP726" t="n">
        <x:f>_xlfn.XLOOKUP($A726,Games!$A$2:$A$18,Games!$K$2:$K$18,"Missing game",0)</x:f>
        <x:v>-4</x:v>
      </x:c>
      <x:c r="AQ726" t="n">
        <x:f>_xlfn.XLOOKUP($A726,Games!$A$2:$A$18,Games!$L$2:$L$18,"Missing game",0)</x:f>
        <x:v>38</x:v>
      </x:c>
      <x:c r="AR726" t="n">
        <x:f>_xlfn.XLOOKUP($A726,Games!$A$2:$A$18,Games!$M$2:$M$18,"Missing game",0)</x:f>
        <x:v>0</x:v>
      </x:c>
      <x:c r="AS726" t="str">
        <x:f>_xlfn.XLOOKUP($A726,Games!$A$2:$A$18,Games!$N$2:$N$18,"Missing game",0)</x:f>
        <x:v>outdoors</x:v>
      </x:c>
      <x:c r="AT726" t="str">
        <x:f>_xlfn.XLOOKUP($A726,Games!$A$2:$A$18,Games!$O$2:$O$18,"Missing game",0)</x:f>
        <x:v>grass</x:v>
      </x:c>
      <x:c r="AU726" t="n">
        <x:f>_xlfn.XLOOKUP($A726,Games!$A$2:$A$18,Games!$P$2:$P$18,"Missing game",0)</x:f>
        <x:v>61</x:v>
      </x:c>
      <x:c r="AV726" t="n">
        <x:f>_xlfn.XLOOKUP($A726,Games!$A$2:$A$18,Games!$Q$2:$Q$18,"Missing game",0)</x:f>
        <x:v>14</x:v>
      </x:c>
      <x:c r="AW726" t="str">
        <x:f>_xlfn.XLOOKUP($A726,Games!$A$2:$A$18,Games!$R$2:$R$18,"Missing game",0)</x:f>
        <x:v>FirstEnergy Stadium</x:v>
      </x:c>
    </x:row>
    <x:row r="727">
      <x:c r="A727" t="str">
        <x:v>2025_05_MIN_CLE</x:v>
      </x:c>
      <x:c r="B727" t="n">
        <x:v>1411</x:v>
      </x:c>
      <x:c r="C727" t="n">
        <x:v>2</x:v>
      </x:c>
      <x:c r="D727" t="str">
        <x:v>10:20</x:v>
      </x:c>
      <x:c r="E727" t="n">
        <x:v>2</x:v>
      </x:c>
      <x:c r="F727" t="n">
        <x:v>7</x:v>
      </x:c>
      <x:c r="G727" t="str">
        <x:v>CLE</x:v>
      </x:c>
      <x:c r="H727" t="str">
        <x:v>MIN</x:v>
      </x:c>
      <x:c r="I727" t="str">
        <x:v>CLE</x:v>
      </x:c>
      <x:c r="J727" t="n">
        <x:v>86</x:v>
      </x:c>
      <x:c r="K727" t="str">
        <x:v>(10:20) (Shotgun) 8-D.Gabriel right tackle to CLE 11 for -3 yards (15-D.Turner).</x:v>
      </x:c>
      <x:c r="L727" t="str">
        <x:v>run</x:v>
      </x:c>
      <x:c r="M727" t="n">
        <x:v>-3</x:v>
      </x:c>
      <x:c r="N727" t="n">
        <x:v>1</x:v>
      </x:c>
      <x:c r="O727" t="n">
        <x:v>0</x:v>
      </x:c>
      <x:c r="P727"/>
      <x:c r="Q727"/>
      <x:c r="R727"/>
      <x:c r="S727"/>
      <x:c r="T727" t="str">
        <x:v>right</x:v>
      </x:c>
      <x:c r="U727" t="str">
        <x:v>tackle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/>
      <x:c r="AC727" t="n">
        <x:v>0</x:v>
      </x:c>
      <x:c r="AD727" t="n">
        <x:v>-0.82773950509727</x:v>
      </x:c>
      <x:c r="AE727" t="n">
        <x:v>0</x:v>
      </x:c>
      <x:c r="AF727" t="n">
        <x:v>-0.034794777631759644</x:v>
      </x:c>
      <x:c r="AG727" t="n">
        <x:f>_xlfn.XLOOKUP($A727,Games!$A$2:$A$18,Games!$B$2:$B$18,"Missing game",0)</x:f>
        <x:v>2025</x:v>
      </x:c>
      <x:c r="AH727" t="str">
        <x:f>_xlfn.XLOOKUP($A727,Games!$A$2:$A$18,Games!$C$2:$C$18,"Missing game",0)</x:f>
        <x:v>REG</x:v>
      </x:c>
      <x:c r="AI727" t="n">
        <x:f>_xlfn.XLOOKUP($A727,Games!$A$2:$A$18,Games!$D$2:$D$18,"Missing game",0)</x:f>
        <x:v>5</x:v>
      </x:c>
      <x:c r="AJ727" s="1" t="n">
        <x:f>_xlfn.XLOOKUP($A727,Games!$A$2:$A$18,Games!$E$2:$E$18,"Missing game",0)</x:f>
        <x:v>45935</x:v>
      </x:c>
      <x:c r="AK727" t="str">
        <x:f>_xlfn.XLOOKUP($A727,Games!$A$2:$A$18,Games!$F$2:$F$18,"Missing game",0)</x:f>
        <x:v>Sunday</x:v>
      </x:c>
      <x:c r="AL727" t="str">
        <x:f>_xlfn.XLOOKUP($A727,Games!$A$2:$A$18,Games!$G$2:$G$18,"Missing game",0)</x:f>
        <x:v>MIN</x:v>
      </x:c>
      <x:c r="AM727" t="n">
        <x:f>_xlfn.XLOOKUP($A727,Games!$A$2:$A$18,Games!$H$2:$H$18,"Missing game",0)</x:f>
        <x:v>21</x:v>
      </x:c>
      <x:c r="AN727" t="str">
        <x:f>_xlfn.XLOOKUP($A727,Games!$A$2:$A$18,Games!$I$2:$I$18,"Missing game",0)</x:f>
        <x:v>CLE</x:v>
      </x:c>
      <x:c r="AO727" t="n">
        <x:f>_xlfn.XLOOKUP($A727,Games!$A$2:$A$18,Games!$J$2:$J$18,"Missing game",0)</x:f>
        <x:v>17</x:v>
      </x:c>
      <x:c r="AP727" t="n">
        <x:f>_xlfn.XLOOKUP($A727,Games!$A$2:$A$18,Games!$K$2:$K$18,"Missing game",0)</x:f>
        <x:v>-4</x:v>
      </x:c>
      <x:c r="AQ727" t="n">
        <x:f>_xlfn.XLOOKUP($A727,Games!$A$2:$A$18,Games!$L$2:$L$18,"Missing game",0)</x:f>
        <x:v>38</x:v>
      </x:c>
      <x:c r="AR727" t="n">
        <x:f>_xlfn.XLOOKUP($A727,Games!$A$2:$A$18,Games!$M$2:$M$18,"Missing game",0)</x:f>
        <x:v>0</x:v>
      </x:c>
      <x:c r="AS727" t="str">
        <x:f>_xlfn.XLOOKUP($A727,Games!$A$2:$A$18,Games!$N$2:$N$18,"Missing game",0)</x:f>
        <x:v>outdoors</x:v>
      </x:c>
      <x:c r="AT727" t="str">
        <x:f>_xlfn.XLOOKUP($A727,Games!$A$2:$A$18,Games!$O$2:$O$18,"Missing game",0)</x:f>
        <x:v>grass</x:v>
      </x:c>
      <x:c r="AU727" t="n">
        <x:f>_xlfn.XLOOKUP($A727,Games!$A$2:$A$18,Games!$P$2:$P$18,"Missing game",0)</x:f>
        <x:v>61</x:v>
      </x:c>
      <x:c r="AV727" t="n">
        <x:f>_xlfn.XLOOKUP($A727,Games!$A$2:$A$18,Games!$Q$2:$Q$18,"Missing game",0)</x:f>
        <x:v>14</x:v>
      </x:c>
      <x:c r="AW727" t="str">
        <x:f>_xlfn.XLOOKUP($A727,Games!$A$2:$A$18,Games!$R$2:$R$18,"Missing game",0)</x:f>
        <x:v>FirstEnergy Stadium</x:v>
      </x:c>
    </x:row>
    <x:row r="728">
      <x:c r="A728" t="str">
        <x:v>2025_05_MIN_CLE</x:v>
      </x:c>
      <x:c r="B728" t="n">
        <x:v>1438</x:v>
      </x:c>
      <x:c r="C728" t="n">
        <x:v>2</x:v>
      </x:c>
      <x:c r="D728" t="str">
        <x:v>09:37</x:v>
      </x:c>
      <x:c r="E728" t="n">
        <x:v>3</x:v>
      </x:c>
      <x:c r="F728" t="n">
        <x:v>10</x:v>
      </x:c>
      <x:c r="G728" t="str">
        <x:v>CLE</x:v>
      </x:c>
      <x:c r="H728" t="str">
        <x:v>MIN</x:v>
      </x:c>
      <x:c r="I728" t="str">
        <x:v>CLE</x:v>
      </x:c>
      <x:c r="J728" t="n">
        <x:v>89</x:v>
      </x:c>
      <x:c r="K728" t="str">
        <x:v>(9:37) (Shotgun) 8-D.Gabriel scrambles up the middle to CLE 19 for 8 yards (22-H.Smith).</x:v>
      </x:c>
      <x:c r="L728" t="str">
        <x:v>run</x:v>
      </x:c>
      <x:c r="M728" t="n">
        <x:v>8</x:v>
      </x:c>
      <x:c r="N728" t="n">
        <x:v>1</x:v>
      </x:c>
      <x:c r="O728" t="n">
        <x:v>0</x:v>
      </x:c>
      <x:c r="P728"/>
      <x:c r="Q728"/>
      <x:c r="R728"/>
      <x:c r="S728"/>
      <x:c r="T728" t="str">
        <x:v>middle</x:v>
      </x:c>
      <x:c r="U728"/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/>
      <x:c r="AC728" t="n">
        <x:v>0</x:v>
      </x:c>
      <x:c r="AD728" t="n">
        <x:v>-0.3919620178639889</x:v>
      </x:c>
      <x:c r="AE728" t="n">
        <x:v>0</x:v>
      </x:c>
      <x:c r="AF728" t="n">
        <x:v>-0.0163649320602417</x:v>
      </x:c>
      <x:c r="AG728" t="n">
        <x:f>_xlfn.XLOOKUP($A728,Games!$A$2:$A$18,Games!$B$2:$B$18,"Missing game",0)</x:f>
        <x:v>2025</x:v>
      </x:c>
      <x:c r="AH728" t="str">
        <x:f>_xlfn.XLOOKUP($A728,Games!$A$2:$A$18,Games!$C$2:$C$18,"Missing game",0)</x:f>
        <x:v>REG</x:v>
      </x:c>
      <x:c r="AI728" t="n">
        <x:f>_xlfn.XLOOKUP($A728,Games!$A$2:$A$18,Games!$D$2:$D$18,"Missing game",0)</x:f>
        <x:v>5</x:v>
      </x:c>
      <x:c r="AJ728" s="1" t="n">
        <x:f>_xlfn.XLOOKUP($A728,Games!$A$2:$A$18,Games!$E$2:$E$18,"Missing game",0)</x:f>
        <x:v>45935</x:v>
      </x:c>
      <x:c r="AK728" t="str">
        <x:f>_xlfn.XLOOKUP($A728,Games!$A$2:$A$18,Games!$F$2:$F$18,"Missing game",0)</x:f>
        <x:v>Sunday</x:v>
      </x:c>
      <x:c r="AL728" t="str">
        <x:f>_xlfn.XLOOKUP($A728,Games!$A$2:$A$18,Games!$G$2:$G$18,"Missing game",0)</x:f>
        <x:v>MIN</x:v>
      </x:c>
      <x:c r="AM728" t="n">
        <x:f>_xlfn.XLOOKUP($A728,Games!$A$2:$A$18,Games!$H$2:$H$18,"Missing game",0)</x:f>
        <x:v>21</x:v>
      </x:c>
      <x:c r="AN728" t="str">
        <x:f>_xlfn.XLOOKUP($A728,Games!$A$2:$A$18,Games!$I$2:$I$18,"Missing game",0)</x:f>
        <x:v>CLE</x:v>
      </x:c>
      <x:c r="AO728" t="n">
        <x:f>_xlfn.XLOOKUP($A728,Games!$A$2:$A$18,Games!$J$2:$J$18,"Missing game",0)</x:f>
        <x:v>17</x:v>
      </x:c>
      <x:c r="AP728" t="n">
        <x:f>_xlfn.XLOOKUP($A728,Games!$A$2:$A$18,Games!$K$2:$K$18,"Missing game",0)</x:f>
        <x:v>-4</x:v>
      </x:c>
      <x:c r="AQ728" t="n">
        <x:f>_xlfn.XLOOKUP($A728,Games!$A$2:$A$18,Games!$L$2:$L$18,"Missing game",0)</x:f>
        <x:v>38</x:v>
      </x:c>
      <x:c r="AR728" t="n">
        <x:f>_xlfn.XLOOKUP($A728,Games!$A$2:$A$18,Games!$M$2:$M$18,"Missing game",0)</x:f>
        <x:v>0</x:v>
      </x:c>
      <x:c r="AS728" t="str">
        <x:f>_xlfn.XLOOKUP($A728,Games!$A$2:$A$18,Games!$N$2:$N$18,"Missing game",0)</x:f>
        <x:v>outdoors</x:v>
      </x:c>
      <x:c r="AT728" t="str">
        <x:f>_xlfn.XLOOKUP($A728,Games!$A$2:$A$18,Games!$O$2:$O$18,"Missing game",0)</x:f>
        <x:v>grass</x:v>
      </x:c>
      <x:c r="AU728" t="n">
        <x:f>_xlfn.XLOOKUP($A728,Games!$A$2:$A$18,Games!$P$2:$P$18,"Missing game",0)</x:f>
        <x:v>61</x:v>
      </x:c>
      <x:c r="AV728" t="n">
        <x:f>_xlfn.XLOOKUP($A728,Games!$A$2:$A$18,Games!$Q$2:$Q$18,"Missing game",0)</x:f>
        <x:v>14</x:v>
      </x:c>
      <x:c r="AW728" t="str">
        <x:f>_xlfn.XLOOKUP($A728,Games!$A$2:$A$18,Games!$R$2:$R$18,"Missing game",0)</x:f>
        <x:v>FirstEnergy Stadium</x:v>
      </x:c>
    </x:row>
    <x:row r="729">
      <x:c r="A729" t="str">
        <x:v>2025_05_MIN_CLE</x:v>
      </x:c>
      <x:c r="B729" t="n">
        <x:v>1460</x:v>
      </x:c>
      <x:c r="C729" t="n">
        <x:v>2</x:v>
      </x:c>
      <x:c r="D729" t="str">
        <x:v>08:49</x:v>
      </x:c>
      <x:c r="E729" t="n">
        <x:v>4</x:v>
      </x:c>
      <x:c r="F729" t="n">
        <x:v>2</x:v>
      </x:c>
      <x:c r="G729" t="str">
        <x:v>CLE</x:v>
      </x:c>
      <x:c r="H729" t="str">
        <x:v>MIN</x:v>
      </x:c>
      <x:c r="I729" t="str">
        <x:v>CLE</x:v>
      </x:c>
      <x:c r="J729" t="n">
        <x:v>81</x:v>
      </x:c>
      <x:c r="K729" t="str">
        <x:v>(8:49) 13-C.Bojorquez punts 57 yards to MIN 24, Center-50-R.Sunahara. 4-M.Price to MIN 32 for 8 yards (50-R.Sunahara; 42-E.Mascarenas-Arnold). PENALTY on MIN-13-T.Felton, Offensive Holding, 10 yards, enforced at MIN 24.</x:v>
      </x:c>
      <x:c r="L729" t="str">
        <x:v>punt</x:v>
      </x:c>
      <x:c r="M729" t="n">
        <x:v>0</x:v>
      </x:c>
      <x:c r="N729" t="n">
        <x:v>0</x:v>
      </x:c>
      <x:c r="O729" t="n">
        <x:v>0</x:v>
      </x:c>
      <x:c r="P729"/>
      <x:c r="Q729"/>
      <x:c r="R729"/>
      <x:c r="S729"/>
      <x:c r="T729"/>
      <x:c r="U729"/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1</x:v>
      </x:c>
      <x:c r="AB729" t="n">
        <x:v>10</x:v>
      </x:c>
      <x:c r="AC729" t="n">
        <x:v>0</x:v>
      </x:c>
      <x:c r="AD729" t="n">
        <x:v>1.2573506007902324</x:v>
      </x:c>
      <x:c r="AE729" t="n">
        <x:v>1</x:v>
      </x:c>
      <x:c r="AF729" t="n">
        <x:v>0.05977851152420044</x:v>
      </x:c>
      <x:c r="AG729" t="n">
        <x:f>_xlfn.XLOOKUP($A729,Games!$A$2:$A$18,Games!$B$2:$B$18,"Missing game",0)</x:f>
        <x:v>2025</x:v>
      </x:c>
      <x:c r="AH729" t="str">
        <x:f>_xlfn.XLOOKUP($A729,Games!$A$2:$A$18,Games!$C$2:$C$18,"Missing game",0)</x:f>
        <x:v>REG</x:v>
      </x:c>
      <x:c r="AI729" t="n">
        <x:f>_xlfn.XLOOKUP($A729,Games!$A$2:$A$18,Games!$D$2:$D$18,"Missing game",0)</x:f>
        <x:v>5</x:v>
      </x:c>
      <x:c r="AJ729" s="1" t="n">
        <x:f>_xlfn.XLOOKUP($A729,Games!$A$2:$A$18,Games!$E$2:$E$18,"Missing game",0)</x:f>
        <x:v>45935</x:v>
      </x:c>
      <x:c r="AK729" t="str">
        <x:f>_xlfn.XLOOKUP($A729,Games!$A$2:$A$18,Games!$F$2:$F$18,"Missing game",0)</x:f>
        <x:v>Sunday</x:v>
      </x:c>
      <x:c r="AL729" t="str">
        <x:f>_xlfn.XLOOKUP($A729,Games!$A$2:$A$18,Games!$G$2:$G$18,"Missing game",0)</x:f>
        <x:v>MIN</x:v>
      </x:c>
      <x:c r="AM729" t="n">
        <x:f>_xlfn.XLOOKUP($A729,Games!$A$2:$A$18,Games!$H$2:$H$18,"Missing game",0)</x:f>
        <x:v>21</x:v>
      </x:c>
      <x:c r="AN729" t="str">
        <x:f>_xlfn.XLOOKUP($A729,Games!$A$2:$A$18,Games!$I$2:$I$18,"Missing game",0)</x:f>
        <x:v>CLE</x:v>
      </x:c>
      <x:c r="AO729" t="n">
        <x:f>_xlfn.XLOOKUP($A729,Games!$A$2:$A$18,Games!$J$2:$J$18,"Missing game",0)</x:f>
        <x:v>17</x:v>
      </x:c>
      <x:c r="AP729" t="n">
        <x:f>_xlfn.XLOOKUP($A729,Games!$A$2:$A$18,Games!$K$2:$K$18,"Missing game",0)</x:f>
        <x:v>-4</x:v>
      </x:c>
      <x:c r="AQ729" t="n">
        <x:f>_xlfn.XLOOKUP($A729,Games!$A$2:$A$18,Games!$L$2:$L$18,"Missing game",0)</x:f>
        <x:v>38</x:v>
      </x:c>
      <x:c r="AR729" t="n">
        <x:f>_xlfn.XLOOKUP($A729,Games!$A$2:$A$18,Games!$M$2:$M$18,"Missing game",0)</x:f>
        <x:v>0</x:v>
      </x:c>
      <x:c r="AS729" t="str">
        <x:f>_xlfn.XLOOKUP($A729,Games!$A$2:$A$18,Games!$N$2:$N$18,"Missing game",0)</x:f>
        <x:v>outdoors</x:v>
      </x:c>
      <x:c r="AT729" t="str">
        <x:f>_xlfn.XLOOKUP($A729,Games!$A$2:$A$18,Games!$O$2:$O$18,"Missing game",0)</x:f>
        <x:v>grass</x:v>
      </x:c>
      <x:c r="AU729" t="n">
        <x:f>_xlfn.XLOOKUP($A729,Games!$A$2:$A$18,Games!$P$2:$P$18,"Missing game",0)</x:f>
        <x:v>61</x:v>
      </x:c>
      <x:c r="AV729" t="n">
        <x:f>_xlfn.XLOOKUP($A729,Games!$A$2:$A$18,Games!$Q$2:$Q$18,"Missing game",0)</x:f>
        <x:v>14</x:v>
      </x:c>
      <x:c r="AW729" t="str">
        <x:f>_xlfn.XLOOKUP($A729,Games!$A$2:$A$18,Games!$R$2:$R$18,"Missing game",0)</x:f>
        <x:v>FirstEnergy Stadium</x:v>
      </x:c>
    </x:row>
    <x:row r="730">
      <x:c r="A730" t="str">
        <x:v>2025_05_MIN_CLE</x:v>
      </x:c>
      <x:c r="B730" t="n">
        <x:v>1497</x:v>
      </x:c>
      <x:c r="C730" t="n">
        <x:v>2</x:v>
      </x:c>
      <x:c r="D730" t="str">
        <x:v>08:37</x:v>
      </x:c>
      <x:c r="E730" t="n">
        <x:v>1</x:v>
      </x:c>
      <x:c r="F730" t="n">
        <x:v>10</x:v>
      </x:c>
      <x:c r="G730" t="str">
        <x:v>MIN</x:v>
      </x:c>
      <x:c r="H730" t="str">
        <x:v>CLE</x:v>
      </x:c>
      <x:c r="I730" t="str">
        <x:v>MIN</x:v>
      </x:c>
      <x:c r="J730" t="n">
        <x:v>86</x:v>
      </x:c>
      <x:c r="K730" t="str">
        <x:v>(8:37) 36-Z.Scott right guard to MIN 18 for 4 yards (94-M.Graham).</x:v>
      </x:c>
      <x:c r="L730" t="str">
        <x:v>run</x:v>
      </x:c>
      <x:c r="M730" t="n">
        <x:v>4</x:v>
      </x:c>
      <x:c r="N730" t="n">
        <x:v>0</x:v>
      </x:c>
      <x:c r="O730" t="n">
        <x:v>0</x:v>
      </x:c>
      <x:c r="P730"/>
      <x:c r="Q730"/>
      <x:c r="R730"/>
      <x:c r="S730"/>
      <x:c r="T730" t="str">
        <x:v>right</x:v>
      </x:c>
      <x:c r="U730" t="str">
        <x:v>guard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/>
      <x:c r="AC730" t="n">
        <x:v>0</x:v>
      </x:c>
      <x:c r="AD730" t="n">
        <x:v>-0.02923642797395587</x:v>
      </x:c>
      <x:c r="AE730" t="n">
        <x:v>0</x:v>
      </x:c>
      <x:c r="AF730" t="n">
        <x:v>0.004971623420715332</x:v>
      </x:c>
      <x:c r="AG730" t="n">
        <x:f>_xlfn.XLOOKUP($A730,Games!$A$2:$A$18,Games!$B$2:$B$18,"Missing game",0)</x:f>
        <x:v>2025</x:v>
      </x:c>
      <x:c r="AH730" t="str">
        <x:f>_xlfn.XLOOKUP($A730,Games!$A$2:$A$18,Games!$C$2:$C$18,"Missing game",0)</x:f>
        <x:v>REG</x:v>
      </x:c>
      <x:c r="AI730" t="n">
        <x:f>_xlfn.XLOOKUP($A730,Games!$A$2:$A$18,Games!$D$2:$D$18,"Missing game",0)</x:f>
        <x:v>5</x:v>
      </x:c>
      <x:c r="AJ730" s="1" t="n">
        <x:f>_xlfn.XLOOKUP($A730,Games!$A$2:$A$18,Games!$E$2:$E$18,"Missing game",0)</x:f>
        <x:v>45935</x:v>
      </x:c>
      <x:c r="AK730" t="str">
        <x:f>_xlfn.XLOOKUP($A730,Games!$A$2:$A$18,Games!$F$2:$F$18,"Missing game",0)</x:f>
        <x:v>Sunday</x:v>
      </x:c>
      <x:c r="AL730" t="str">
        <x:f>_xlfn.XLOOKUP($A730,Games!$A$2:$A$18,Games!$G$2:$G$18,"Missing game",0)</x:f>
        <x:v>MIN</x:v>
      </x:c>
      <x:c r="AM730" t="n">
        <x:f>_xlfn.XLOOKUP($A730,Games!$A$2:$A$18,Games!$H$2:$H$18,"Missing game",0)</x:f>
        <x:v>21</x:v>
      </x:c>
      <x:c r="AN730" t="str">
        <x:f>_xlfn.XLOOKUP($A730,Games!$A$2:$A$18,Games!$I$2:$I$18,"Missing game",0)</x:f>
        <x:v>CLE</x:v>
      </x:c>
      <x:c r="AO730" t="n">
        <x:f>_xlfn.XLOOKUP($A730,Games!$A$2:$A$18,Games!$J$2:$J$18,"Missing game",0)</x:f>
        <x:v>17</x:v>
      </x:c>
      <x:c r="AP730" t="n">
        <x:f>_xlfn.XLOOKUP($A730,Games!$A$2:$A$18,Games!$K$2:$K$18,"Missing game",0)</x:f>
        <x:v>-4</x:v>
      </x:c>
      <x:c r="AQ730" t="n">
        <x:f>_xlfn.XLOOKUP($A730,Games!$A$2:$A$18,Games!$L$2:$L$18,"Missing game",0)</x:f>
        <x:v>38</x:v>
      </x:c>
      <x:c r="AR730" t="n">
        <x:f>_xlfn.XLOOKUP($A730,Games!$A$2:$A$18,Games!$M$2:$M$18,"Missing game",0)</x:f>
        <x:v>0</x:v>
      </x:c>
      <x:c r="AS730" t="str">
        <x:f>_xlfn.XLOOKUP($A730,Games!$A$2:$A$18,Games!$N$2:$N$18,"Missing game",0)</x:f>
        <x:v>outdoors</x:v>
      </x:c>
      <x:c r="AT730" t="str">
        <x:f>_xlfn.XLOOKUP($A730,Games!$A$2:$A$18,Games!$O$2:$O$18,"Missing game",0)</x:f>
        <x:v>grass</x:v>
      </x:c>
      <x:c r="AU730" t="n">
        <x:f>_xlfn.XLOOKUP($A730,Games!$A$2:$A$18,Games!$P$2:$P$18,"Missing game",0)</x:f>
        <x:v>61</x:v>
      </x:c>
      <x:c r="AV730" t="n">
        <x:f>_xlfn.XLOOKUP($A730,Games!$A$2:$A$18,Games!$Q$2:$Q$18,"Missing game",0)</x:f>
        <x:v>14</x:v>
      </x:c>
      <x:c r="AW730" t="str">
        <x:f>_xlfn.XLOOKUP($A730,Games!$A$2:$A$18,Games!$R$2:$R$18,"Missing game",0)</x:f>
        <x:v>FirstEnergy Stadium</x:v>
      </x:c>
    </x:row>
    <x:row r="731">
      <x:c r="A731" t="str">
        <x:v>2025_05_MIN_CLE</x:v>
      </x:c>
      <x:c r="B731" t="n">
        <x:v>1526</x:v>
      </x:c>
      <x:c r="C731" t="n">
        <x:v>2</x:v>
      </x:c>
      <x:c r="D731" t="str">
        <x:v>07:56</x:v>
      </x:c>
      <x:c r="E731" t="n">
        <x:v>2</x:v>
      </x:c>
      <x:c r="F731" t="n">
        <x:v>6</x:v>
      </x:c>
      <x:c r="G731" t="str">
        <x:v>MIN</x:v>
      </x:c>
      <x:c r="H731" t="str">
        <x:v>CLE</x:v>
      </x:c>
      <x:c r="I731" t="str">
        <x:v>MIN</x:v>
      </x:c>
      <x:c r="J731" t="n">
        <x:v>82</x:v>
      </x:c>
      <x:c r="K731" t="str">
        <x:v>(7:56) 11-C.Wentz pass incomplete short left.</x:v>
      </x:c>
      <x:c r="L731" t="str">
        <x:v>pass</x:v>
      </x:c>
      <x:c r="M731" t="n">
        <x:v>0</x:v>
      </x:c>
      <x:c r="N731" t="n">
        <x:v>0</x:v>
      </x:c>
      <x:c r="O731" t="n">
        <x:v>0</x:v>
      </x:c>
      <x:c r="P731" t="str">
        <x:v>short</x:v>
      </x:c>
      <x:c r="Q731" t="str">
        <x:v>left</x:v>
      </x:c>
      <x:c r="R731" t="n">
        <x:v>12</x:v>
      </x:c>
      <x:c r="S731"/>
      <x:c r="T731"/>
      <x:c r="U731"/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/>
      <x:c r="AC731" t="n">
        <x:v>0</x:v>
      </x:c>
      <x:c r="AD731" t="n">
        <x:v>-0.6096812193281949</x:v>
      </x:c>
      <x:c r="AE731" t="n">
        <x:v>0</x:v>
      </x:c>
      <x:c r="AF731" t="n">
        <x:v>-0.021511852741241455</x:v>
      </x:c>
      <x:c r="AG731" t="n">
        <x:f>_xlfn.XLOOKUP($A731,Games!$A$2:$A$18,Games!$B$2:$B$18,"Missing game",0)</x:f>
        <x:v>2025</x:v>
      </x:c>
      <x:c r="AH731" t="str">
        <x:f>_xlfn.XLOOKUP($A731,Games!$A$2:$A$18,Games!$C$2:$C$18,"Missing game",0)</x:f>
        <x:v>REG</x:v>
      </x:c>
      <x:c r="AI731" t="n">
        <x:f>_xlfn.XLOOKUP($A731,Games!$A$2:$A$18,Games!$D$2:$D$18,"Missing game",0)</x:f>
        <x:v>5</x:v>
      </x:c>
      <x:c r="AJ731" s="1" t="n">
        <x:f>_xlfn.XLOOKUP($A731,Games!$A$2:$A$18,Games!$E$2:$E$18,"Missing game",0)</x:f>
        <x:v>45935</x:v>
      </x:c>
      <x:c r="AK731" t="str">
        <x:f>_xlfn.XLOOKUP($A731,Games!$A$2:$A$18,Games!$F$2:$F$18,"Missing game",0)</x:f>
        <x:v>Sunday</x:v>
      </x:c>
      <x:c r="AL731" t="str">
        <x:f>_xlfn.XLOOKUP($A731,Games!$A$2:$A$18,Games!$G$2:$G$18,"Missing game",0)</x:f>
        <x:v>MIN</x:v>
      </x:c>
      <x:c r="AM731" t="n">
        <x:f>_xlfn.XLOOKUP($A731,Games!$A$2:$A$18,Games!$H$2:$H$18,"Missing game",0)</x:f>
        <x:v>21</x:v>
      </x:c>
      <x:c r="AN731" t="str">
        <x:f>_xlfn.XLOOKUP($A731,Games!$A$2:$A$18,Games!$I$2:$I$18,"Missing game",0)</x:f>
        <x:v>CLE</x:v>
      </x:c>
      <x:c r="AO731" t="n">
        <x:f>_xlfn.XLOOKUP($A731,Games!$A$2:$A$18,Games!$J$2:$J$18,"Missing game",0)</x:f>
        <x:v>17</x:v>
      </x:c>
      <x:c r="AP731" t="n">
        <x:f>_xlfn.XLOOKUP($A731,Games!$A$2:$A$18,Games!$K$2:$K$18,"Missing game",0)</x:f>
        <x:v>-4</x:v>
      </x:c>
      <x:c r="AQ731" t="n">
        <x:f>_xlfn.XLOOKUP($A731,Games!$A$2:$A$18,Games!$L$2:$L$18,"Missing game",0)</x:f>
        <x:v>38</x:v>
      </x:c>
      <x:c r="AR731" t="n">
        <x:f>_xlfn.XLOOKUP($A731,Games!$A$2:$A$18,Games!$M$2:$M$18,"Missing game",0)</x:f>
        <x:v>0</x:v>
      </x:c>
      <x:c r="AS731" t="str">
        <x:f>_xlfn.XLOOKUP($A731,Games!$A$2:$A$18,Games!$N$2:$N$18,"Missing game",0)</x:f>
        <x:v>outdoors</x:v>
      </x:c>
      <x:c r="AT731" t="str">
        <x:f>_xlfn.XLOOKUP($A731,Games!$A$2:$A$18,Games!$O$2:$O$18,"Missing game",0)</x:f>
        <x:v>grass</x:v>
      </x:c>
      <x:c r="AU731" t="n">
        <x:f>_xlfn.XLOOKUP($A731,Games!$A$2:$A$18,Games!$P$2:$P$18,"Missing game",0)</x:f>
        <x:v>61</x:v>
      </x:c>
      <x:c r="AV731" t="n">
        <x:f>_xlfn.XLOOKUP($A731,Games!$A$2:$A$18,Games!$Q$2:$Q$18,"Missing game",0)</x:f>
        <x:v>14</x:v>
      </x:c>
      <x:c r="AW731" t="str">
        <x:f>_xlfn.XLOOKUP($A731,Games!$A$2:$A$18,Games!$R$2:$R$18,"Missing game",0)</x:f>
        <x:v>FirstEnergy Stadium</x:v>
      </x:c>
    </x:row>
    <x:row r="732">
      <x:c r="A732" t="str">
        <x:v>2025_05_MIN_CLE</x:v>
      </x:c>
      <x:c r="B732" t="n">
        <x:v>1549</x:v>
      </x:c>
      <x:c r="C732" t="n">
        <x:v>2</x:v>
      </x:c>
      <x:c r="D732" t="str">
        <x:v>07:50</x:v>
      </x:c>
      <x:c r="E732" t="n">
        <x:v>3</x:v>
      </x:c>
      <x:c r="F732" t="n">
        <x:v>6</x:v>
      </x:c>
      <x:c r="G732" t="str">
        <x:v>MIN</x:v>
      </x:c>
      <x:c r="H732" t="str">
        <x:v>CLE</x:v>
      </x:c>
      <x:c r="I732" t="str">
        <x:v>MIN</x:v>
      </x:c>
      <x:c r="J732" t="n">
        <x:v>82</x:v>
      </x:c>
      <x:c r="K732" t="str">
        <x:v>(7:50) (Shotgun) 11-C.Wentz pass deep right to 1-J.Nailor pushed ob at CLE 35 for 47 yards (26-M.Harden) [49-C.Schwesinger]. Penalty on CLE-95-M.Garrett, Defensive Offside, offsetting, enforced at MIN 18 - No Play. Penalty on MIN-64-B.Brandel, Offensive Holding, offsetting.</x:v>
      </x:c>
      <x:c r="L732" t="str">
        <x:v>no_play</x:v>
      </x:c>
      <x:c r="M732"/>
      <x:c r="N732" t="n">
        <x:v>1</x:v>
      </x:c>
      <x:c r="O732" t="n">
        <x:v>0</x:v>
      </x:c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 t="n">
        <x:v>-0.00865171430632472</x:v>
      </x:c>
      <x:c r="AE732" t="n">
        <x:v>0</x:v>
      </x:c>
      <x:c r="AF732" t="n">
        <x:v>0</x:v>
      </x:c>
      <x:c r="AG732" t="n">
        <x:f>_xlfn.XLOOKUP($A732,Games!$A$2:$A$18,Games!$B$2:$B$18,"Missing game",0)</x:f>
        <x:v>2025</x:v>
      </x:c>
      <x:c r="AH732" t="str">
        <x:f>_xlfn.XLOOKUP($A732,Games!$A$2:$A$18,Games!$C$2:$C$18,"Missing game",0)</x:f>
        <x:v>REG</x:v>
      </x:c>
      <x:c r="AI732" t="n">
        <x:f>_xlfn.XLOOKUP($A732,Games!$A$2:$A$18,Games!$D$2:$D$18,"Missing game",0)</x:f>
        <x:v>5</x:v>
      </x:c>
      <x:c r="AJ732" s="1" t="n">
        <x:f>_xlfn.XLOOKUP($A732,Games!$A$2:$A$18,Games!$E$2:$E$18,"Missing game",0)</x:f>
        <x:v>45935</x:v>
      </x:c>
      <x:c r="AK732" t="str">
        <x:f>_xlfn.XLOOKUP($A732,Games!$A$2:$A$18,Games!$F$2:$F$18,"Missing game",0)</x:f>
        <x:v>Sunday</x:v>
      </x:c>
      <x:c r="AL732" t="str">
        <x:f>_xlfn.XLOOKUP($A732,Games!$A$2:$A$18,Games!$G$2:$G$18,"Missing game",0)</x:f>
        <x:v>MIN</x:v>
      </x:c>
      <x:c r="AM732" t="n">
        <x:f>_xlfn.XLOOKUP($A732,Games!$A$2:$A$18,Games!$H$2:$H$18,"Missing game",0)</x:f>
        <x:v>21</x:v>
      </x:c>
      <x:c r="AN732" t="str">
        <x:f>_xlfn.XLOOKUP($A732,Games!$A$2:$A$18,Games!$I$2:$I$18,"Missing game",0)</x:f>
        <x:v>CLE</x:v>
      </x:c>
      <x:c r="AO732" t="n">
        <x:f>_xlfn.XLOOKUP($A732,Games!$A$2:$A$18,Games!$J$2:$J$18,"Missing game",0)</x:f>
        <x:v>17</x:v>
      </x:c>
      <x:c r="AP732" t="n">
        <x:f>_xlfn.XLOOKUP($A732,Games!$A$2:$A$18,Games!$K$2:$K$18,"Missing game",0)</x:f>
        <x:v>-4</x:v>
      </x:c>
      <x:c r="AQ732" t="n">
        <x:f>_xlfn.XLOOKUP($A732,Games!$A$2:$A$18,Games!$L$2:$L$18,"Missing game",0)</x:f>
        <x:v>38</x:v>
      </x:c>
      <x:c r="AR732" t="n">
        <x:f>_xlfn.XLOOKUP($A732,Games!$A$2:$A$18,Games!$M$2:$M$18,"Missing game",0)</x:f>
        <x:v>0</x:v>
      </x:c>
      <x:c r="AS732" t="str">
        <x:f>_xlfn.XLOOKUP($A732,Games!$A$2:$A$18,Games!$N$2:$N$18,"Missing game",0)</x:f>
        <x:v>outdoors</x:v>
      </x:c>
      <x:c r="AT732" t="str">
        <x:f>_xlfn.XLOOKUP($A732,Games!$A$2:$A$18,Games!$O$2:$O$18,"Missing game",0)</x:f>
        <x:v>grass</x:v>
      </x:c>
      <x:c r="AU732" t="n">
        <x:f>_xlfn.XLOOKUP($A732,Games!$A$2:$A$18,Games!$P$2:$P$18,"Missing game",0)</x:f>
        <x:v>61</x:v>
      </x:c>
      <x:c r="AV732" t="n">
        <x:f>_xlfn.XLOOKUP($A732,Games!$A$2:$A$18,Games!$Q$2:$Q$18,"Missing game",0)</x:f>
        <x:v>14</x:v>
      </x:c>
      <x:c r="AW732" t="str">
        <x:f>_xlfn.XLOOKUP($A732,Games!$A$2:$A$18,Games!$R$2:$R$18,"Missing game",0)</x:f>
        <x:v>FirstEnergy Stadium</x:v>
      </x:c>
    </x:row>
    <x:row r="733">
      <x:c r="A733" t="str">
        <x:v>2025_05_MIN_CLE</x:v>
      </x:c>
      <x:c r="B733" t="n">
        <x:v>1590</x:v>
      </x:c>
      <x:c r="C733" t="n">
        <x:v>2</x:v>
      </x:c>
      <x:c r="D733" t="str">
        <x:v>07:14</x:v>
      </x:c>
      <x:c r="E733" t="n">
        <x:v>3</x:v>
      </x:c>
      <x:c r="F733" t="n">
        <x:v>6</x:v>
      </x:c>
      <x:c r="G733" t="str">
        <x:v>MIN</x:v>
      </x:c>
      <x:c r="H733" t="str">
        <x:v>CLE</x:v>
      </x:c>
      <x:c r="I733" t="str">
        <x:v>MIN</x:v>
      </x:c>
      <x:c r="J733" t="n">
        <x:v>82</x:v>
      </x:c>
      <x:c r="K733" t="str">
        <x:v>(7:14) (Shotgun) 11-C.Wentz scrambles left end to MIN 23 for 5 yards (94-M.Graham).</x:v>
      </x:c>
      <x:c r="L733" t="str">
        <x:v>run</x:v>
      </x:c>
      <x:c r="M733" t="n">
        <x:v>5</x:v>
      </x:c>
      <x:c r="N733" t="n">
        <x:v>1</x:v>
      </x:c>
      <x:c r="O733" t="n">
        <x:v>0</x:v>
      </x:c>
      <x:c r="P733"/>
      <x:c r="Q733"/>
      <x:c r="R733"/>
      <x:c r="S733"/>
      <x:c r="T733" t="str">
        <x:v>left</x:v>
      </x:c>
      <x:c r="U733" t="str">
        <x:v>end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/>
      <x:c r="AC733" t="n">
        <x:v>0</x:v>
      </x:c>
      <x:c r="AD733" t="n">
        <x:v>-0.5067104795016348</x:v>
      </x:c>
      <x:c r="AE733" t="n">
        <x:v>0</x:v>
      </x:c>
      <x:c r="AF733" t="n">
        <x:v>-0.01581549644470215</x:v>
      </x:c>
      <x:c r="AG733" t="n">
        <x:f>_xlfn.XLOOKUP($A733,Games!$A$2:$A$18,Games!$B$2:$B$18,"Missing game",0)</x:f>
        <x:v>2025</x:v>
      </x:c>
      <x:c r="AH733" t="str">
        <x:f>_xlfn.XLOOKUP($A733,Games!$A$2:$A$18,Games!$C$2:$C$18,"Missing game",0)</x:f>
        <x:v>REG</x:v>
      </x:c>
      <x:c r="AI733" t="n">
        <x:f>_xlfn.XLOOKUP($A733,Games!$A$2:$A$18,Games!$D$2:$D$18,"Missing game",0)</x:f>
        <x:v>5</x:v>
      </x:c>
      <x:c r="AJ733" s="1" t="n">
        <x:f>_xlfn.XLOOKUP($A733,Games!$A$2:$A$18,Games!$E$2:$E$18,"Missing game",0)</x:f>
        <x:v>45935</x:v>
      </x:c>
      <x:c r="AK733" t="str">
        <x:f>_xlfn.XLOOKUP($A733,Games!$A$2:$A$18,Games!$F$2:$F$18,"Missing game",0)</x:f>
        <x:v>Sunday</x:v>
      </x:c>
      <x:c r="AL733" t="str">
        <x:f>_xlfn.XLOOKUP($A733,Games!$A$2:$A$18,Games!$G$2:$G$18,"Missing game",0)</x:f>
        <x:v>MIN</x:v>
      </x:c>
      <x:c r="AM733" t="n">
        <x:f>_xlfn.XLOOKUP($A733,Games!$A$2:$A$18,Games!$H$2:$H$18,"Missing game",0)</x:f>
        <x:v>21</x:v>
      </x:c>
      <x:c r="AN733" t="str">
        <x:f>_xlfn.XLOOKUP($A733,Games!$A$2:$A$18,Games!$I$2:$I$18,"Missing game",0)</x:f>
        <x:v>CLE</x:v>
      </x:c>
      <x:c r="AO733" t="n">
        <x:f>_xlfn.XLOOKUP($A733,Games!$A$2:$A$18,Games!$J$2:$J$18,"Missing game",0)</x:f>
        <x:v>17</x:v>
      </x:c>
      <x:c r="AP733" t="n">
        <x:f>_xlfn.XLOOKUP($A733,Games!$A$2:$A$18,Games!$K$2:$K$18,"Missing game",0)</x:f>
        <x:v>-4</x:v>
      </x:c>
      <x:c r="AQ733" t="n">
        <x:f>_xlfn.XLOOKUP($A733,Games!$A$2:$A$18,Games!$L$2:$L$18,"Missing game",0)</x:f>
        <x:v>38</x:v>
      </x:c>
      <x:c r="AR733" t="n">
        <x:f>_xlfn.XLOOKUP($A733,Games!$A$2:$A$18,Games!$M$2:$M$18,"Missing game",0)</x:f>
        <x:v>0</x:v>
      </x:c>
      <x:c r="AS733" t="str">
        <x:f>_xlfn.XLOOKUP($A733,Games!$A$2:$A$18,Games!$N$2:$N$18,"Missing game",0)</x:f>
        <x:v>outdoors</x:v>
      </x:c>
      <x:c r="AT733" t="str">
        <x:f>_xlfn.XLOOKUP($A733,Games!$A$2:$A$18,Games!$O$2:$O$18,"Missing game",0)</x:f>
        <x:v>grass</x:v>
      </x:c>
      <x:c r="AU733" t="n">
        <x:f>_xlfn.XLOOKUP($A733,Games!$A$2:$A$18,Games!$P$2:$P$18,"Missing game",0)</x:f>
        <x:v>61</x:v>
      </x:c>
      <x:c r="AV733" t="n">
        <x:f>_xlfn.XLOOKUP($A733,Games!$A$2:$A$18,Games!$Q$2:$Q$18,"Missing game",0)</x:f>
        <x:v>14</x:v>
      </x:c>
      <x:c r="AW733" t="str">
        <x:f>_xlfn.XLOOKUP($A733,Games!$A$2:$A$18,Games!$R$2:$R$18,"Missing game",0)</x:f>
        <x:v>FirstEnergy Stadium</x:v>
      </x:c>
    </x:row>
    <x:row r="734">
      <x:c r="A734" t="str">
        <x:v>2025_05_MIN_CLE</x:v>
      </x:c>
      <x:c r="B734" t="n">
        <x:v>1612</x:v>
      </x:c>
      <x:c r="C734" t="n">
        <x:v>2</x:v>
      </x:c>
      <x:c r="D734" t="str">
        <x:v>06:26</x:v>
      </x:c>
      <x:c r="E734" t="n">
        <x:v>4</x:v>
      </x:c>
      <x:c r="F734" t="n">
        <x:v>1</x:v>
      </x:c>
      <x:c r="G734" t="str">
        <x:v>MIN</x:v>
      </x:c>
      <x:c r="H734" t="str">
        <x:v>CLE</x:v>
      </x:c>
      <x:c r="I734" t="str">
        <x:v>MIN</x:v>
      </x:c>
      <x:c r="J734" t="n">
        <x:v>77</x:v>
      </x:c>
      <x:c r="K734" t="str">
        <x:v>(6:26) 17-R.Wright punts 54 yards to CLE 23, Center-42-A.DePaola. 84-G.Larvadain to CLE 26 for 3 yards (56-A.Keys).</x:v>
      </x:c>
      <x:c r="L734" t="str">
        <x:v>punt</x:v>
      </x:c>
      <x:c r="M734" t="n">
        <x:v>0</x:v>
      </x:c>
      <x:c r="N734" t="n">
        <x:v>0</x:v>
      </x:c>
      <x:c r="O734" t="n">
        <x:v>0</x:v>
      </x:c>
      <x:c r="P734"/>
      <x:c r="Q734"/>
      <x:c r="R734"/>
      <x:c r="S734"/>
      <x:c r="T734"/>
      <x:c r="U734"/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/>
      <x:c r="AC734" t="n">
        <x:v>0</x:v>
      </x:c>
      <x:c r="AD734" t="n">
        <x:v>-0.09097113879397511</x:v>
      </x:c>
      <x:c r="AE734" t="n">
        <x:v>0</x:v>
      </x:c>
      <x:c r="AF734" t="n">
        <x:v>0.020071297883987427</x:v>
      </x:c>
      <x:c r="AG734" t="n">
        <x:f>_xlfn.XLOOKUP($A734,Games!$A$2:$A$18,Games!$B$2:$B$18,"Missing game",0)</x:f>
        <x:v>2025</x:v>
      </x:c>
      <x:c r="AH734" t="str">
        <x:f>_xlfn.XLOOKUP($A734,Games!$A$2:$A$18,Games!$C$2:$C$18,"Missing game",0)</x:f>
        <x:v>REG</x:v>
      </x:c>
      <x:c r="AI734" t="n">
        <x:f>_xlfn.XLOOKUP($A734,Games!$A$2:$A$18,Games!$D$2:$D$18,"Missing game",0)</x:f>
        <x:v>5</x:v>
      </x:c>
      <x:c r="AJ734" s="1" t="n">
        <x:f>_xlfn.XLOOKUP($A734,Games!$A$2:$A$18,Games!$E$2:$E$18,"Missing game",0)</x:f>
        <x:v>45935</x:v>
      </x:c>
      <x:c r="AK734" t="str">
        <x:f>_xlfn.XLOOKUP($A734,Games!$A$2:$A$18,Games!$F$2:$F$18,"Missing game",0)</x:f>
        <x:v>Sunday</x:v>
      </x:c>
      <x:c r="AL734" t="str">
        <x:f>_xlfn.XLOOKUP($A734,Games!$A$2:$A$18,Games!$G$2:$G$18,"Missing game",0)</x:f>
        <x:v>MIN</x:v>
      </x:c>
      <x:c r="AM734" t="n">
        <x:f>_xlfn.XLOOKUP($A734,Games!$A$2:$A$18,Games!$H$2:$H$18,"Missing game",0)</x:f>
        <x:v>21</x:v>
      </x:c>
      <x:c r="AN734" t="str">
        <x:f>_xlfn.XLOOKUP($A734,Games!$A$2:$A$18,Games!$I$2:$I$18,"Missing game",0)</x:f>
        <x:v>CLE</x:v>
      </x:c>
      <x:c r="AO734" t="n">
        <x:f>_xlfn.XLOOKUP($A734,Games!$A$2:$A$18,Games!$J$2:$J$18,"Missing game",0)</x:f>
        <x:v>17</x:v>
      </x:c>
      <x:c r="AP734" t="n">
        <x:f>_xlfn.XLOOKUP($A734,Games!$A$2:$A$18,Games!$K$2:$K$18,"Missing game",0)</x:f>
        <x:v>-4</x:v>
      </x:c>
      <x:c r="AQ734" t="n">
        <x:f>_xlfn.XLOOKUP($A734,Games!$A$2:$A$18,Games!$L$2:$L$18,"Missing game",0)</x:f>
        <x:v>38</x:v>
      </x:c>
      <x:c r="AR734" t="n">
        <x:f>_xlfn.XLOOKUP($A734,Games!$A$2:$A$18,Games!$M$2:$M$18,"Missing game",0)</x:f>
        <x:v>0</x:v>
      </x:c>
      <x:c r="AS734" t="str">
        <x:f>_xlfn.XLOOKUP($A734,Games!$A$2:$A$18,Games!$N$2:$N$18,"Missing game",0)</x:f>
        <x:v>outdoors</x:v>
      </x:c>
      <x:c r="AT734" t="str">
        <x:f>_xlfn.XLOOKUP($A734,Games!$A$2:$A$18,Games!$O$2:$O$18,"Missing game",0)</x:f>
        <x:v>grass</x:v>
      </x:c>
      <x:c r="AU734" t="n">
        <x:f>_xlfn.XLOOKUP($A734,Games!$A$2:$A$18,Games!$P$2:$P$18,"Missing game",0)</x:f>
        <x:v>61</x:v>
      </x:c>
      <x:c r="AV734" t="n">
        <x:f>_xlfn.XLOOKUP($A734,Games!$A$2:$A$18,Games!$Q$2:$Q$18,"Missing game",0)</x:f>
        <x:v>14</x:v>
      </x:c>
      <x:c r="AW734" t="str">
        <x:f>_xlfn.XLOOKUP($A734,Games!$A$2:$A$18,Games!$R$2:$R$18,"Missing game",0)</x:f>
        <x:v>FirstEnergy Stadium</x:v>
      </x:c>
    </x:row>
    <x:row r="735">
      <x:c r="A735" t="str">
        <x:v>2025_05_MIN_CLE</x:v>
      </x:c>
      <x:c r="B735" t="n">
        <x:v>1638</x:v>
      </x:c>
      <x:c r="C735" t="n">
        <x:v>2</x:v>
      </x:c>
      <x:c r="D735" t="str">
        <x:v>06:14</x:v>
      </x:c>
      <x:c r="E735" t="n">
        <x:v>1</x:v>
      </x:c>
      <x:c r="F735" t="n">
        <x:v>10</x:v>
      </x:c>
      <x:c r="G735" t="str">
        <x:v>CLE</x:v>
      </x:c>
      <x:c r="H735" t="str">
        <x:v>MIN</x:v>
      </x:c>
      <x:c r="I735" t="str">
        <x:v>CLE</x:v>
      </x:c>
      <x:c r="J735" t="n">
        <x:v>74</x:v>
      </x:c>
      <x:c r="K735" t="str">
        <x:v>(6:14) 83-M.Corley left end to CLE 37 for 11 yards (7-B.Murphy; 26-T.Jackson).</x:v>
      </x:c>
      <x:c r="L735" t="str">
        <x:v>run</x:v>
      </x:c>
      <x:c r="M735" t="n">
        <x:v>11</x:v>
      </x:c>
      <x:c r="N735" t="n">
        <x:v>0</x:v>
      </x:c>
      <x:c r="O735" t="n">
        <x:v>0</x:v>
      </x:c>
      <x:c r="P735"/>
      <x:c r="Q735"/>
      <x:c r="R735"/>
      <x:c r="S735"/>
      <x:c r="T735" t="str">
        <x:v>left</x:v>
      </x:c>
      <x:c r="U735" t="str">
        <x:v>end</x:v>
      </x:c>
      <x:c r="V735" t="n">
        <x:v>0</x:v>
      </x:c>
      <x:c r="W735" t="n">
        <x:v>1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/>
      <x:c r="AC735" t="n">
        <x:v>0</x:v>
      </x:c>
      <x:c r="AD735" t="n">
        <x:v>0.6929576816037297</x:v>
      </x:c>
      <x:c r="AE735" t="n">
        <x:v>1</x:v>
      </x:c>
      <x:c r="AF735" t="n">
        <x:v>0.0264015793800354</x:v>
      </x:c>
      <x:c r="AG735" t="n">
        <x:f>_xlfn.XLOOKUP($A735,Games!$A$2:$A$18,Games!$B$2:$B$18,"Missing game",0)</x:f>
        <x:v>2025</x:v>
      </x:c>
      <x:c r="AH735" t="str">
        <x:f>_xlfn.XLOOKUP($A735,Games!$A$2:$A$18,Games!$C$2:$C$18,"Missing game",0)</x:f>
        <x:v>REG</x:v>
      </x:c>
      <x:c r="AI735" t="n">
        <x:f>_xlfn.XLOOKUP($A735,Games!$A$2:$A$18,Games!$D$2:$D$18,"Missing game",0)</x:f>
        <x:v>5</x:v>
      </x:c>
      <x:c r="AJ735" s="1" t="n">
        <x:f>_xlfn.XLOOKUP($A735,Games!$A$2:$A$18,Games!$E$2:$E$18,"Missing game",0)</x:f>
        <x:v>45935</x:v>
      </x:c>
      <x:c r="AK735" t="str">
        <x:f>_xlfn.XLOOKUP($A735,Games!$A$2:$A$18,Games!$F$2:$F$18,"Missing game",0)</x:f>
        <x:v>Sunday</x:v>
      </x:c>
      <x:c r="AL735" t="str">
        <x:f>_xlfn.XLOOKUP($A735,Games!$A$2:$A$18,Games!$G$2:$G$18,"Missing game",0)</x:f>
        <x:v>MIN</x:v>
      </x:c>
      <x:c r="AM735" t="n">
        <x:f>_xlfn.XLOOKUP($A735,Games!$A$2:$A$18,Games!$H$2:$H$18,"Missing game",0)</x:f>
        <x:v>21</x:v>
      </x:c>
      <x:c r="AN735" t="str">
        <x:f>_xlfn.XLOOKUP($A735,Games!$A$2:$A$18,Games!$I$2:$I$18,"Missing game",0)</x:f>
        <x:v>CLE</x:v>
      </x:c>
      <x:c r="AO735" t="n">
        <x:f>_xlfn.XLOOKUP($A735,Games!$A$2:$A$18,Games!$J$2:$J$18,"Missing game",0)</x:f>
        <x:v>17</x:v>
      </x:c>
      <x:c r="AP735" t="n">
        <x:f>_xlfn.XLOOKUP($A735,Games!$A$2:$A$18,Games!$K$2:$K$18,"Missing game",0)</x:f>
        <x:v>-4</x:v>
      </x:c>
      <x:c r="AQ735" t="n">
        <x:f>_xlfn.XLOOKUP($A735,Games!$A$2:$A$18,Games!$L$2:$L$18,"Missing game",0)</x:f>
        <x:v>38</x:v>
      </x:c>
      <x:c r="AR735" t="n">
        <x:f>_xlfn.XLOOKUP($A735,Games!$A$2:$A$18,Games!$M$2:$M$18,"Missing game",0)</x:f>
        <x:v>0</x:v>
      </x:c>
      <x:c r="AS735" t="str">
        <x:f>_xlfn.XLOOKUP($A735,Games!$A$2:$A$18,Games!$N$2:$N$18,"Missing game",0)</x:f>
        <x:v>outdoors</x:v>
      </x:c>
      <x:c r="AT735" t="str">
        <x:f>_xlfn.XLOOKUP($A735,Games!$A$2:$A$18,Games!$O$2:$O$18,"Missing game",0)</x:f>
        <x:v>grass</x:v>
      </x:c>
      <x:c r="AU735" t="n">
        <x:f>_xlfn.XLOOKUP($A735,Games!$A$2:$A$18,Games!$P$2:$P$18,"Missing game",0)</x:f>
        <x:v>61</x:v>
      </x:c>
      <x:c r="AV735" t="n">
        <x:f>_xlfn.XLOOKUP($A735,Games!$A$2:$A$18,Games!$Q$2:$Q$18,"Missing game",0)</x:f>
        <x:v>14</x:v>
      </x:c>
      <x:c r="AW735" t="str">
        <x:f>_xlfn.XLOOKUP($A735,Games!$A$2:$A$18,Games!$R$2:$R$18,"Missing game",0)</x:f>
        <x:v>FirstEnergy Stadium</x:v>
      </x:c>
    </x:row>
    <x:row r="736">
      <x:c r="A736" t="str">
        <x:v>2025_05_MIN_CLE</x:v>
      </x:c>
      <x:c r="B736" t="n">
        <x:v>1660</x:v>
      </x:c>
      <x:c r="C736" t="n">
        <x:v>2</x:v>
      </x:c>
      <x:c r="D736" t="str">
        <x:v>05:35</x:v>
      </x:c>
      <x:c r="E736" t="n">
        <x:v>1</x:v>
      </x:c>
      <x:c r="F736" t="n">
        <x:v>10</x:v>
      </x:c>
      <x:c r="G736" t="str">
        <x:v>CLE</x:v>
      </x:c>
      <x:c r="H736" t="str">
        <x:v>MIN</x:v>
      </x:c>
      <x:c r="I736" t="str">
        <x:v>CLE</x:v>
      </x:c>
      <x:c r="J736" t="n">
        <x:v>63</x:v>
      </x:c>
      <x:c r="K736" t="str">
        <x:v>(5:35) 10-Q.Judkins right tackle to CLE 40 for 3 yards (0-I.Pace).</x:v>
      </x:c>
      <x:c r="L736" t="str">
        <x:v>run</x:v>
      </x:c>
      <x:c r="M736" t="n">
        <x:v>3</x:v>
      </x:c>
      <x:c r="N736" t="n">
        <x:v>0</x:v>
      </x:c>
      <x:c r="O736" t="n">
        <x:v>0</x:v>
      </x:c>
      <x:c r="P736"/>
      <x:c r="Q736"/>
      <x:c r="R736"/>
      <x:c r="S736"/>
      <x:c r="T736" t="str">
        <x:v>right</x:v>
      </x:c>
      <x:c r="U736" t="str">
        <x:v>tackle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/>
      <x:c r="AC736" t="n">
        <x:v>0</x:v>
      </x:c>
      <x:c r="AD736" t="n">
        <x:v>-0.41005259891971946</x:v>
      </x:c>
      <x:c r="AE736" t="n">
        <x:v>0</x:v>
      </x:c>
      <x:c r="AF736" t="n">
        <x:v>-0.013412177562713623</x:v>
      </x:c>
      <x:c r="AG736" t="n">
        <x:f>_xlfn.XLOOKUP($A736,Games!$A$2:$A$18,Games!$B$2:$B$18,"Missing game",0)</x:f>
        <x:v>2025</x:v>
      </x:c>
      <x:c r="AH736" t="str">
        <x:f>_xlfn.XLOOKUP($A736,Games!$A$2:$A$18,Games!$C$2:$C$18,"Missing game",0)</x:f>
        <x:v>REG</x:v>
      </x:c>
      <x:c r="AI736" t="n">
        <x:f>_xlfn.XLOOKUP($A736,Games!$A$2:$A$18,Games!$D$2:$D$18,"Missing game",0)</x:f>
        <x:v>5</x:v>
      </x:c>
      <x:c r="AJ736" s="1" t="n">
        <x:f>_xlfn.XLOOKUP($A736,Games!$A$2:$A$18,Games!$E$2:$E$18,"Missing game",0)</x:f>
        <x:v>45935</x:v>
      </x:c>
      <x:c r="AK736" t="str">
        <x:f>_xlfn.XLOOKUP($A736,Games!$A$2:$A$18,Games!$F$2:$F$18,"Missing game",0)</x:f>
        <x:v>Sunday</x:v>
      </x:c>
      <x:c r="AL736" t="str">
        <x:f>_xlfn.XLOOKUP($A736,Games!$A$2:$A$18,Games!$G$2:$G$18,"Missing game",0)</x:f>
        <x:v>MIN</x:v>
      </x:c>
      <x:c r="AM736" t="n">
        <x:f>_xlfn.XLOOKUP($A736,Games!$A$2:$A$18,Games!$H$2:$H$18,"Missing game",0)</x:f>
        <x:v>21</x:v>
      </x:c>
      <x:c r="AN736" t="str">
        <x:f>_xlfn.XLOOKUP($A736,Games!$A$2:$A$18,Games!$I$2:$I$18,"Missing game",0)</x:f>
        <x:v>CLE</x:v>
      </x:c>
      <x:c r="AO736" t="n">
        <x:f>_xlfn.XLOOKUP($A736,Games!$A$2:$A$18,Games!$J$2:$J$18,"Missing game",0)</x:f>
        <x:v>17</x:v>
      </x:c>
      <x:c r="AP736" t="n">
        <x:f>_xlfn.XLOOKUP($A736,Games!$A$2:$A$18,Games!$K$2:$K$18,"Missing game",0)</x:f>
        <x:v>-4</x:v>
      </x:c>
      <x:c r="AQ736" t="n">
        <x:f>_xlfn.XLOOKUP($A736,Games!$A$2:$A$18,Games!$L$2:$L$18,"Missing game",0)</x:f>
        <x:v>38</x:v>
      </x:c>
      <x:c r="AR736" t="n">
        <x:f>_xlfn.XLOOKUP($A736,Games!$A$2:$A$18,Games!$M$2:$M$18,"Missing game",0)</x:f>
        <x:v>0</x:v>
      </x:c>
      <x:c r="AS736" t="str">
        <x:f>_xlfn.XLOOKUP($A736,Games!$A$2:$A$18,Games!$N$2:$N$18,"Missing game",0)</x:f>
        <x:v>outdoors</x:v>
      </x:c>
      <x:c r="AT736" t="str">
        <x:f>_xlfn.XLOOKUP($A736,Games!$A$2:$A$18,Games!$O$2:$O$18,"Missing game",0)</x:f>
        <x:v>grass</x:v>
      </x:c>
      <x:c r="AU736" t="n">
        <x:f>_xlfn.XLOOKUP($A736,Games!$A$2:$A$18,Games!$P$2:$P$18,"Missing game",0)</x:f>
        <x:v>61</x:v>
      </x:c>
      <x:c r="AV736" t="n">
        <x:f>_xlfn.XLOOKUP($A736,Games!$A$2:$A$18,Games!$Q$2:$Q$18,"Missing game",0)</x:f>
        <x:v>14</x:v>
      </x:c>
      <x:c r="AW736" t="str">
        <x:f>_xlfn.XLOOKUP($A736,Games!$A$2:$A$18,Games!$R$2:$R$18,"Missing game",0)</x:f>
        <x:v>FirstEnergy Stadium</x:v>
      </x:c>
    </x:row>
    <x:row r="737">
      <x:c r="A737" t="str">
        <x:v>2025_05_MIN_CLE</x:v>
      </x:c>
      <x:c r="B737" t="n">
        <x:v>1682</x:v>
      </x:c>
      <x:c r="C737" t="n">
        <x:v>2</x:v>
      </x:c>
      <x:c r="D737" t="str">
        <x:v>04:56</x:v>
      </x:c>
      <x:c r="E737" t="n">
        <x:v>2</x:v>
      </x:c>
      <x:c r="F737" t="n">
        <x:v>7</x:v>
      </x:c>
      <x:c r="G737" t="str">
        <x:v>CLE</x:v>
      </x:c>
      <x:c r="H737" t="str">
        <x:v>MIN</x:v>
      </x:c>
      <x:c r="I737" t="str">
        <x:v>CLE</x:v>
      </x:c>
      <x:c r="J737" t="n">
        <x:v>60</x:v>
      </x:c>
      <x:c r="K737" t="str">
        <x:v>(4:56) 8-D.Gabriel sacked at CLE 34 for -6 yards (90-T.Ingram-Dawkins).</x:v>
      </x:c>
      <x:c r="L737" t="str">
        <x:v>pass</x:v>
      </x:c>
      <x:c r="M737" t="n">
        <x:v>-6</x:v>
      </x:c>
      <x:c r="N737" t="n">
        <x:v>0</x:v>
      </x:c>
      <x:c r="O737" t="n">
        <x:v>0</x:v>
      </x:c>
      <x:c r="P737"/>
      <x:c r="Q737"/>
      <x:c r="R737"/>
      <x:c r="S737"/>
      <x:c r="T737"/>
      <x:c r="U737"/>
      <x:c r="V737" t="n">
        <x:v>0</x:v>
      </x:c>
      <x:c r="W737" t="n">
        <x:v>0</x:v>
      </x:c>
      <x:c r="X737" t="n">
        <x:v>1</x:v>
      </x:c>
      <x:c r="Y737" t="n">
        <x:v>0</x:v>
      </x:c>
      <x:c r="Z737" t="n">
        <x:v>0</x:v>
      </x:c>
      <x:c r="AA737" t="n">
        <x:v>0</x:v>
      </x:c>
      <x:c r="AB737"/>
      <x:c r="AC737" t="n">
        <x:v>0</x:v>
      </x:c>
      <x:c r="AD737" t="n">
        <x:v>-1.1820987609680742</x:v>
      </x:c>
      <x:c r="AE737" t="n">
        <x:v>0</x:v>
      </x:c>
      <x:c r="AF737" t="n">
        <x:v>-0.04941755533218384</x:v>
      </x:c>
      <x:c r="AG737" t="n">
        <x:f>_xlfn.XLOOKUP($A737,Games!$A$2:$A$18,Games!$B$2:$B$18,"Missing game",0)</x:f>
        <x:v>2025</x:v>
      </x:c>
      <x:c r="AH737" t="str">
        <x:f>_xlfn.XLOOKUP($A737,Games!$A$2:$A$18,Games!$C$2:$C$18,"Missing game",0)</x:f>
        <x:v>REG</x:v>
      </x:c>
      <x:c r="AI737" t="n">
        <x:f>_xlfn.XLOOKUP($A737,Games!$A$2:$A$18,Games!$D$2:$D$18,"Missing game",0)</x:f>
        <x:v>5</x:v>
      </x:c>
      <x:c r="AJ737" s="1" t="n">
        <x:f>_xlfn.XLOOKUP($A737,Games!$A$2:$A$18,Games!$E$2:$E$18,"Missing game",0)</x:f>
        <x:v>45935</x:v>
      </x:c>
      <x:c r="AK737" t="str">
        <x:f>_xlfn.XLOOKUP($A737,Games!$A$2:$A$18,Games!$F$2:$F$18,"Missing game",0)</x:f>
        <x:v>Sunday</x:v>
      </x:c>
      <x:c r="AL737" t="str">
        <x:f>_xlfn.XLOOKUP($A737,Games!$A$2:$A$18,Games!$G$2:$G$18,"Missing game",0)</x:f>
        <x:v>MIN</x:v>
      </x:c>
      <x:c r="AM737" t="n">
        <x:f>_xlfn.XLOOKUP($A737,Games!$A$2:$A$18,Games!$H$2:$H$18,"Missing game",0)</x:f>
        <x:v>21</x:v>
      </x:c>
      <x:c r="AN737" t="str">
        <x:f>_xlfn.XLOOKUP($A737,Games!$A$2:$A$18,Games!$I$2:$I$18,"Missing game",0)</x:f>
        <x:v>CLE</x:v>
      </x:c>
      <x:c r="AO737" t="n">
        <x:f>_xlfn.XLOOKUP($A737,Games!$A$2:$A$18,Games!$J$2:$J$18,"Missing game",0)</x:f>
        <x:v>17</x:v>
      </x:c>
      <x:c r="AP737" t="n">
        <x:f>_xlfn.XLOOKUP($A737,Games!$A$2:$A$18,Games!$K$2:$K$18,"Missing game",0)</x:f>
        <x:v>-4</x:v>
      </x:c>
      <x:c r="AQ737" t="n">
        <x:f>_xlfn.XLOOKUP($A737,Games!$A$2:$A$18,Games!$L$2:$L$18,"Missing game",0)</x:f>
        <x:v>38</x:v>
      </x:c>
      <x:c r="AR737" t="n">
        <x:f>_xlfn.XLOOKUP($A737,Games!$A$2:$A$18,Games!$M$2:$M$18,"Missing game",0)</x:f>
        <x:v>0</x:v>
      </x:c>
      <x:c r="AS737" t="str">
        <x:f>_xlfn.XLOOKUP($A737,Games!$A$2:$A$18,Games!$N$2:$N$18,"Missing game",0)</x:f>
        <x:v>outdoors</x:v>
      </x:c>
      <x:c r="AT737" t="str">
        <x:f>_xlfn.XLOOKUP($A737,Games!$A$2:$A$18,Games!$O$2:$O$18,"Missing game",0)</x:f>
        <x:v>grass</x:v>
      </x:c>
      <x:c r="AU737" t="n">
        <x:f>_xlfn.XLOOKUP($A737,Games!$A$2:$A$18,Games!$P$2:$P$18,"Missing game",0)</x:f>
        <x:v>61</x:v>
      </x:c>
      <x:c r="AV737" t="n">
        <x:f>_xlfn.XLOOKUP($A737,Games!$A$2:$A$18,Games!$Q$2:$Q$18,"Missing game",0)</x:f>
        <x:v>14</x:v>
      </x:c>
      <x:c r="AW737" t="str">
        <x:f>_xlfn.XLOOKUP($A737,Games!$A$2:$A$18,Games!$R$2:$R$18,"Missing game",0)</x:f>
        <x:v>FirstEnergy Stadium</x:v>
      </x:c>
    </x:row>
    <x:row r="738">
      <x:c r="A738" t="str">
        <x:v>2025_05_MIN_CLE</x:v>
      </x:c>
      <x:c r="B738" t="n">
        <x:v>1702</x:v>
      </x:c>
      <x:c r="C738" t="n">
        <x:v>2</x:v>
      </x:c>
      <x:c r="D738" t="str">
        <x:v>04:17</x:v>
      </x:c>
      <x:c r="E738" t="n">
        <x:v>3</x:v>
      </x:c>
      <x:c r="F738" t="n">
        <x:v>13</x:v>
      </x:c>
      <x:c r="G738" t="str">
        <x:v>CLE</x:v>
      </x:c>
      <x:c r="H738" t="str">
        <x:v>MIN</x:v>
      </x:c>
      <x:c r="I738" t="str">
        <x:v>CLE</x:v>
      </x:c>
      <x:c r="J738" t="n">
        <x:v>66</x:v>
      </x:c>
      <x:c r="K738" t="str">
        <x:v>(4:17) (Shotgun) 8-D.Gabriel pass deep right to 3-J.Jeudy to MIN 49 for 17 yards (2-I.Rodgers). Minnesota challenged the pass completion ruling, and the play was REVERSED. (Shotgun) 8-D.Gabriel pass incomplete deep right to 3-J.Jeudy.</x:v>
      </x:c>
      <x:c r="L738" t="str">
        <x:v>pass</x:v>
      </x:c>
      <x:c r="M738" t="n">
        <x:v>0</x:v>
      </x:c>
      <x:c r="N738" t="n">
        <x:v>1</x:v>
      </x:c>
      <x:c r="O738" t="n">
        <x:v>0</x:v>
      </x:c>
      <x:c r="P738" t="str">
        <x:v>deep</x:v>
      </x:c>
      <x:c r="Q738" t="str">
        <x:v>right</x:v>
      </x:c>
      <x:c r="R738" t="n">
        <x:v>17</x:v>
      </x:c>
      <x:c r="S738"/>
      <x:c r="T738"/>
      <x:c r="U738"/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/>
      <x:c r="AC738" t="n">
        <x:v>0</x:v>
      </x:c>
      <x:c r="AD738" t="n">
        <x:v>-0.9807054209522903</x:v>
      </x:c>
      <x:c r="AE738" t="n">
        <x:v>0</x:v>
      </x:c>
      <x:c r="AF738" t="n">
        <x:v>-0.027294427156448364</x:v>
      </x:c>
      <x:c r="AG738" t="n">
        <x:f>_xlfn.XLOOKUP($A738,Games!$A$2:$A$18,Games!$B$2:$B$18,"Missing game",0)</x:f>
        <x:v>2025</x:v>
      </x:c>
      <x:c r="AH738" t="str">
        <x:f>_xlfn.XLOOKUP($A738,Games!$A$2:$A$18,Games!$C$2:$C$18,"Missing game",0)</x:f>
        <x:v>REG</x:v>
      </x:c>
      <x:c r="AI738" t="n">
        <x:f>_xlfn.XLOOKUP($A738,Games!$A$2:$A$18,Games!$D$2:$D$18,"Missing game",0)</x:f>
        <x:v>5</x:v>
      </x:c>
      <x:c r="AJ738" s="1" t="n">
        <x:f>_xlfn.XLOOKUP($A738,Games!$A$2:$A$18,Games!$E$2:$E$18,"Missing game",0)</x:f>
        <x:v>45935</x:v>
      </x:c>
      <x:c r="AK738" t="str">
        <x:f>_xlfn.XLOOKUP($A738,Games!$A$2:$A$18,Games!$F$2:$F$18,"Missing game",0)</x:f>
        <x:v>Sunday</x:v>
      </x:c>
      <x:c r="AL738" t="str">
        <x:f>_xlfn.XLOOKUP($A738,Games!$A$2:$A$18,Games!$G$2:$G$18,"Missing game",0)</x:f>
        <x:v>MIN</x:v>
      </x:c>
      <x:c r="AM738" t="n">
        <x:f>_xlfn.XLOOKUP($A738,Games!$A$2:$A$18,Games!$H$2:$H$18,"Missing game",0)</x:f>
        <x:v>21</x:v>
      </x:c>
      <x:c r="AN738" t="str">
        <x:f>_xlfn.XLOOKUP($A738,Games!$A$2:$A$18,Games!$I$2:$I$18,"Missing game",0)</x:f>
        <x:v>CLE</x:v>
      </x:c>
      <x:c r="AO738" t="n">
        <x:f>_xlfn.XLOOKUP($A738,Games!$A$2:$A$18,Games!$J$2:$J$18,"Missing game",0)</x:f>
        <x:v>17</x:v>
      </x:c>
      <x:c r="AP738" t="n">
        <x:f>_xlfn.XLOOKUP($A738,Games!$A$2:$A$18,Games!$K$2:$K$18,"Missing game",0)</x:f>
        <x:v>-4</x:v>
      </x:c>
      <x:c r="AQ738" t="n">
        <x:f>_xlfn.XLOOKUP($A738,Games!$A$2:$A$18,Games!$L$2:$L$18,"Missing game",0)</x:f>
        <x:v>38</x:v>
      </x:c>
      <x:c r="AR738" t="n">
        <x:f>_xlfn.XLOOKUP($A738,Games!$A$2:$A$18,Games!$M$2:$M$18,"Missing game",0)</x:f>
        <x:v>0</x:v>
      </x:c>
      <x:c r="AS738" t="str">
        <x:f>_xlfn.XLOOKUP($A738,Games!$A$2:$A$18,Games!$N$2:$N$18,"Missing game",0)</x:f>
        <x:v>outdoors</x:v>
      </x:c>
      <x:c r="AT738" t="str">
        <x:f>_xlfn.XLOOKUP($A738,Games!$A$2:$A$18,Games!$O$2:$O$18,"Missing game",0)</x:f>
        <x:v>grass</x:v>
      </x:c>
      <x:c r="AU738" t="n">
        <x:f>_xlfn.XLOOKUP($A738,Games!$A$2:$A$18,Games!$P$2:$P$18,"Missing game",0)</x:f>
        <x:v>61</x:v>
      </x:c>
      <x:c r="AV738" t="n">
        <x:f>_xlfn.XLOOKUP($A738,Games!$A$2:$A$18,Games!$Q$2:$Q$18,"Missing game",0)</x:f>
        <x:v>14</x:v>
      </x:c>
      <x:c r="AW738" t="str">
        <x:f>_xlfn.XLOOKUP($A738,Games!$A$2:$A$18,Games!$R$2:$R$18,"Missing game",0)</x:f>
        <x:v>FirstEnergy Stadium</x:v>
      </x:c>
    </x:row>
    <x:row r="739">
      <x:c r="A739" t="str">
        <x:v>2025_05_MIN_CLE</x:v>
      </x:c>
      <x:c r="B739" t="n">
        <x:v>1766</x:v>
      </x:c>
      <x:c r="C739" t="n">
        <x:v>2</x:v>
      </x:c>
      <x:c r="D739" t="str">
        <x:v>04:13</x:v>
      </x:c>
      <x:c r="E739" t="n">
        <x:v>4</x:v>
      </x:c>
      <x:c r="F739" t="n">
        <x:v>13</x:v>
      </x:c>
      <x:c r="G739" t="str">
        <x:v>CLE</x:v>
      </x:c>
      <x:c r="H739" t="str">
        <x:v>MIN</x:v>
      </x:c>
      <x:c r="I739" t="str">
        <x:v>CLE</x:v>
      </x:c>
      <x:c r="J739" t="n">
        <x:v>66</x:v>
      </x:c>
      <x:c r="K739" t="str">
        <x:v>(4:13) 13-C.Bojorquez punts 55 yards to MIN 11, Center-50-R.Sunahara, out of bounds.</x:v>
      </x:c>
      <x:c r="L739" t="str">
        <x:v>punt</x:v>
      </x:c>
      <x:c r="M739" t="n">
        <x:v>0</x:v>
      </x:c>
      <x:c r="N739" t="n">
        <x:v>0</x:v>
      </x:c>
      <x:c r="O739" t="n">
        <x:v>0</x:v>
      </x:c>
      <x:c r="P739"/>
      <x:c r="Q739"/>
      <x:c r="R739"/>
      <x:c r="S739"/>
      <x:c r="T739"/>
      <x:c r="U739"/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/>
      <x:c r="AC739" t="n">
        <x:v>0</x:v>
      </x:c>
      <x:c r="AD739" t="n">
        <x:v>0.8010027189739048</x:v>
      </x:c>
      <x:c r="AE739" t="n">
        <x:v>1</x:v>
      </x:c>
      <x:c r="AF739" t="n">
        <x:v>0.05685371160507202</x:v>
      </x:c>
      <x:c r="AG739" t="n">
        <x:f>_xlfn.XLOOKUP($A739,Games!$A$2:$A$18,Games!$B$2:$B$18,"Missing game",0)</x:f>
        <x:v>2025</x:v>
      </x:c>
      <x:c r="AH739" t="str">
        <x:f>_xlfn.XLOOKUP($A739,Games!$A$2:$A$18,Games!$C$2:$C$18,"Missing game",0)</x:f>
        <x:v>REG</x:v>
      </x:c>
      <x:c r="AI739" t="n">
        <x:f>_xlfn.XLOOKUP($A739,Games!$A$2:$A$18,Games!$D$2:$D$18,"Missing game",0)</x:f>
        <x:v>5</x:v>
      </x:c>
      <x:c r="AJ739" s="1" t="n">
        <x:f>_xlfn.XLOOKUP($A739,Games!$A$2:$A$18,Games!$E$2:$E$18,"Missing game",0)</x:f>
        <x:v>45935</x:v>
      </x:c>
      <x:c r="AK739" t="str">
        <x:f>_xlfn.XLOOKUP($A739,Games!$A$2:$A$18,Games!$F$2:$F$18,"Missing game",0)</x:f>
        <x:v>Sunday</x:v>
      </x:c>
      <x:c r="AL739" t="str">
        <x:f>_xlfn.XLOOKUP($A739,Games!$A$2:$A$18,Games!$G$2:$G$18,"Missing game",0)</x:f>
        <x:v>MIN</x:v>
      </x:c>
      <x:c r="AM739" t="n">
        <x:f>_xlfn.XLOOKUP($A739,Games!$A$2:$A$18,Games!$H$2:$H$18,"Missing game",0)</x:f>
        <x:v>21</x:v>
      </x:c>
      <x:c r="AN739" t="str">
        <x:f>_xlfn.XLOOKUP($A739,Games!$A$2:$A$18,Games!$I$2:$I$18,"Missing game",0)</x:f>
        <x:v>CLE</x:v>
      </x:c>
      <x:c r="AO739" t="n">
        <x:f>_xlfn.XLOOKUP($A739,Games!$A$2:$A$18,Games!$J$2:$J$18,"Missing game",0)</x:f>
        <x:v>17</x:v>
      </x:c>
      <x:c r="AP739" t="n">
        <x:f>_xlfn.XLOOKUP($A739,Games!$A$2:$A$18,Games!$K$2:$K$18,"Missing game",0)</x:f>
        <x:v>-4</x:v>
      </x:c>
      <x:c r="AQ739" t="n">
        <x:f>_xlfn.XLOOKUP($A739,Games!$A$2:$A$18,Games!$L$2:$L$18,"Missing game",0)</x:f>
        <x:v>38</x:v>
      </x:c>
      <x:c r="AR739" t="n">
        <x:f>_xlfn.XLOOKUP($A739,Games!$A$2:$A$18,Games!$M$2:$M$18,"Missing game",0)</x:f>
        <x:v>0</x:v>
      </x:c>
      <x:c r="AS739" t="str">
        <x:f>_xlfn.XLOOKUP($A739,Games!$A$2:$A$18,Games!$N$2:$N$18,"Missing game",0)</x:f>
        <x:v>outdoors</x:v>
      </x:c>
      <x:c r="AT739" t="str">
        <x:f>_xlfn.XLOOKUP($A739,Games!$A$2:$A$18,Games!$O$2:$O$18,"Missing game",0)</x:f>
        <x:v>grass</x:v>
      </x:c>
      <x:c r="AU739" t="n">
        <x:f>_xlfn.XLOOKUP($A739,Games!$A$2:$A$18,Games!$P$2:$P$18,"Missing game",0)</x:f>
        <x:v>61</x:v>
      </x:c>
      <x:c r="AV739" t="n">
        <x:f>_xlfn.XLOOKUP($A739,Games!$A$2:$A$18,Games!$Q$2:$Q$18,"Missing game",0)</x:f>
        <x:v>14</x:v>
      </x:c>
      <x:c r="AW739" t="str">
        <x:f>_xlfn.XLOOKUP($A739,Games!$A$2:$A$18,Games!$R$2:$R$18,"Missing game",0)</x:f>
        <x:v>FirstEnergy Stadium</x:v>
      </x:c>
    </x:row>
    <x:row r="740">
      <x:c r="A740" t="str">
        <x:v>2025_05_MIN_CLE</x:v>
      </x:c>
      <x:c r="B740" t="n">
        <x:v>1795</x:v>
      </x:c>
      <x:c r="C740" t="n">
        <x:v>2</x:v>
      </x:c>
      <x:c r="D740" t="str">
        <x:v>04:05</x:v>
      </x:c>
      <x:c r="E740" t="n">
        <x:v>1</x:v>
      </x:c>
      <x:c r="F740" t="n">
        <x:v>10</x:v>
      </x:c>
      <x:c r="G740" t="str">
        <x:v>MIN</x:v>
      </x:c>
      <x:c r="H740" t="str">
        <x:v>CLE</x:v>
      </x:c>
      <x:c r="I740" t="str">
        <x:v>MIN</x:v>
      </x:c>
      <x:c r="J740" t="n">
        <x:v>89</x:v>
      </x:c>
      <x:c r="K740" t="str">
        <x:v>(4:05) 27-J.Mason left guard to MIN 13 for 2 yards (95-M.Garrett).</x:v>
      </x:c>
      <x:c r="L740" t="str">
        <x:v>run</x:v>
      </x:c>
      <x:c r="M740" t="n">
        <x:v>2</x:v>
      </x:c>
      <x:c r="N740" t="n">
        <x:v>0</x:v>
      </x:c>
      <x:c r="O740" t="n">
        <x:v>0</x:v>
      </x:c>
      <x:c r="P740"/>
      <x:c r="Q740"/>
      <x:c r="R740"/>
      <x:c r="S740"/>
      <x:c r="T740" t="str">
        <x:v>left</x:v>
      </x:c>
      <x:c r="U740" t="str">
        <x:v>guard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/>
      <x:c r="AC740" t="n">
        <x:v>0</x:v>
      </x:c>
      <x:c r="AD740" t="n">
        <x:v>-0.36548375547863543</x:v>
      </x:c>
      <x:c r="AE740" t="n">
        <x:v>0</x:v>
      </x:c>
      <x:c r="AF740" t="n">
        <x:v>-0.00035774707794189453</x:v>
      </x:c>
      <x:c r="AG740" t="n">
        <x:f>_xlfn.XLOOKUP($A740,Games!$A$2:$A$18,Games!$B$2:$B$18,"Missing game",0)</x:f>
        <x:v>2025</x:v>
      </x:c>
      <x:c r="AH740" t="str">
        <x:f>_xlfn.XLOOKUP($A740,Games!$A$2:$A$18,Games!$C$2:$C$18,"Missing game",0)</x:f>
        <x:v>REG</x:v>
      </x:c>
      <x:c r="AI740" t="n">
        <x:f>_xlfn.XLOOKUP($A740,Games!$A$2:$A$18,Games!$D$2:$D$18,"Missing game",0)</x:f>
        <x:v>5</x:v>
      </x:c>
      <x:c r="AJ740" s="1" t="n">
        <x:f>_xlfn.XLOOKUP($A740,Games!$A$2:$A$18,Games!$E$2:$E$18,"Missing game",0)</x:f>
        <x:v>45935</x:v>
      </x:c>
      <x:c r="AK740" t="str">
        <x:f>_xlfn.XLOOKUP($A740,Games!$A$2:$A$18,Games!$F$2:$F$18,"Missing game",0)</x:f>
        <x:v>Sunday</x:v>
      </x:c>
      <x:c r="AL740" t="str">
        <x:f>_xlfn.XLOOKUP($A740,Games!$A$2:$A$18,Games!$G$2:$G$18,"Missing game",0)</x:f>
        <x:v>MIN</x:v>
      </x:c>
      <x:c r="AM740" t="n">
        <x:f>_xlfn.XLOOKUP($A740,Games!$A$2:$A$18,Games!$H$2:$H$18,"Missing game",0)</x:f>
        <x:v>21</x:v>
      </x:c>
      <x:c r="AN740" t="str">
        <x:f>_xlfn.XLOOKUP($A740,Games!$A$2:$A$18,Games!$I$2:$I$18,"Missing game",0)</x:f>
        <x:v>CLE</x:v>
      </x:c>
      <x:c r="AO740" t="n">
        <x:f>_xlfn.XLOOKUP($A740,Games!$A$2:$A$18,Games!$J$2:$J$18,"Missing game",0)</x:f>
        <x:v>17</x:v>
      </x:c>
      <x:c r="AP740" t="n">
        <x:f>_xlfn.XLOOKUP($A740,Games!$A$2:$A$18,Games!$K$2:$K$18,"Missing game",0)</x:f>
        <x:v>-4</x:v>
      </x:c>
      <x:c r="AQ740" t="n">
        <x:f>_xlfn.XLOOKUP($A740,Games!$A$2:$A$18,Games!$L$2:$L$18,"Missing game",0)</x:f>
        <x:v>38</x:v>
      </x:c>
      <x:c r="AR740" t="n">
        <x:f>_xlfn.XLOOKUP($A740,Games!$A$2:$A$18,Games!$M$2:$M$18,"Missing game",0)</x:f>
        <x:v>0</x:v>
      </x:c>
      <x:c r="AS740" t="str">
        <x:f>_xlfn.XLOOKUP($A740,Games!$A$2:$A$18,Games!$N$2:$N$18,"Missing game",0)</x:f>
        <x:v>outdoors</x:v>
      </x:c>
      <x:c r="AT740" t="str">
        <x:f>_xlfn.XLOOKUP($A740,Games!$A$2:$A$18,Games!$O$2:$O$18,"Missing game",0)</x:f>
        <x:v>grass</x:v>
      </x:c>
      <x:c r="AU740" t="n">
        <x:f>_xlfn.XLOOKUP($A740,Games!$A$2:$A$18,Games!$P$2:$P$18,"Missing game",0)</x:f>
        <x:v>61</x:v>
      </x:c>
      <x:c r="AV740" t="n">
        <x:f>_xlfn.XLOOKUP($A740,Games!$A$2:$A$18,Games!$Q$2:$Q$18,"Missing game",0)</x:f>
        <x:v>14</x:v>
      </x:c>
      <x:c r="AW740" t="str">
        <x:f>_xlfn.XLOOKUP($A740,Games!$A$2:$A$18,Games!$R$2:$R$18,"Missing game",0)</x:f>
        <x:v>FirstEnergy Stadium</x:v>
      </x:c>
    </x:row>
    <x:row r="741">
      <x:c r="A741" t="str">
        <x:v>2025_05_MIN_CLE</x:v>
      </x:c>
      <x:c r="B741" t="n">
        <x:v>1817</x:v>
      </x:c>
      <x:c r="C741" t="n">
        <x:v>2</x:v>
      </x:c>
      <x:c r="D741" t="str">
        <x:v>03:24</x:v>
      </x:c>
      <x:c r="E741" t="n">
        <x:v>2</x:v>
      </x:c>
      <x:c r="F741" t="n">
        <x:v>8</x:v>
      </x:c>
      <x:c r="G741" t="str">
        <x:v>MIN</x:v>
      </x:c>
      <x:c r="H741" t="str">
        <x:v>CLE</x:v>
      </x:c>
      <x:c r="I741" t="str">
        <x:v>MIN</x:v>
      </x:c>
      <x:c r="J741" t="n">
        <x:v>87</x:v>
      </x:c>
      <x:c r="K741" t="str">
        <x:v>(3:24) (Shotgun) 11-C.Wentz pass incomplete deep right to 18-J.Jefferson.</x:v>
      </x:c>
      <x:c r="L741" t="str">
        <x:v>pass</x:v>
      </x:c>
      <x:c r="M741" t="n">
        <x:v>0</x:v>
      </x:c>
      <x:c r="N741" t="n">
        <x:v>1</x:v>
      </x:c>
      <x:c r="O741" t="n">
        <x:v>0</x:v>
      </x:c>
      <x:c r="P741" t="str">
        <x:v>deep</x:v>
      </x:c>
      <x:c r="Q741" t="str">
        <x:v>right</x:v>
      </x:c>
      <x:c r="R741" t="n">
        <x:v>17</x:v>
      </x:c>
      <x:c r="S741"/>
      <x:c r="T741"/>
      <x:c r="U741"/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/>
      <x:c r="AC741" t="n">
        <x:v>0</x:v>
      </x:c>
      <x:c r="AD741" t="n">
        <x:v>-0.5485178167000413</x:v>
      </x:c>
      <x:c r="AE741" t="n">
        <x:v>0</x:v>
      </x:c>
      <x:c r="AF741" t="n">
        <x:v>-0.027211427688598633</x:v>
      </x:c>
      <x:c r="AG741" t="n">
        <x:f>_xlfn.XLOOKUP($A741,Games!$A$2:$A$18,Games!$B$2:$B$18,"Missing game",0)</x:f>
        <x:v>2025</x:v>
      </x:c>
      <x:c r="AH741" t="str">
        <x:f>_xlfn.XLOOKUP($A741,Games!$A$2:$A$18,Games!$C$2:$C$18,"Missing game",0)</x:f>
        <x:v>REG</x:v>
      </x:c>
      <x:c r="AI741" t="n">
        <x:f>_xlfn.XLOOKUP($A741,Games!$A$2:$A$18,Games!$D$2:$D$18,"Missing game",0)</x:f>
        <x:v>5</x:v>
      </x:c>
      <x:c r="AJ741" s="1" t="n">
        <x:f>_xlfn.XLOOKUP($A741,Games!$A$2:$A$18,Games!$E$2:$E$18,"Missing game",0)</x:f>
        <x:v>45935</x:v>
      </x:c>
      <x:c r="AK741" t="str">
        <x:f>_xlfn.XLOOKUP($A741,Games!$A$2:$A$18,Games!$F$2:$F$18,"Missing game",0)</x:f>
        <x:v>Sunday</x:v>
      </x:c>
      <x:c r="AL741" t="str">
        <x:f>_xlfn.XLOOKUP($A741,Games!$A$2:$A$18,Games!$G$2:$G$18,"Missing game",0)</x:f>
        <x:v>MIN</x:v>
      </x:c>
      <x:c r="AM741" t="n">
        <x:f>_xlfn.XLOOKUP($A741,Games!$A$2:$A$18,Games!$H$2:$H$18,"Missing game",0)</x:f>
        <x:v>21</x:v>
      </x:c>
      <x:c r="AN741" t="str">
        <x:f>_xlfn.XLOOKUP($A741,Games!$A$2:$A$18,Games!$I$2:$I$18,"Missing game",0)</x:f>
        <x:v>CLE</x:v>
      </x:c>
      <x:c r="AO741" t="n">
        <x:f>_xlfn.XLOOKUP($A741,Games!$A$2:$A$18,Games!$J$2:$J$18,"Missing game",0)</x:f>
        <x:v>17</x:v>
      </x:c>
      <x:c r="AP741" t="n">
        <x:f>_xlfn.XLOOKUP($A741,Games!$A$2:$A$18,Games!$K$2:$K$18,"Missing game",0)</x:f>
        <x:v>-4</x:v>
      </x:c>
      <x:c r="AQ741" t="n">
        <x:f>_xlfn.XLOOKUP($A741,Games!$A$2:$A$18,Games!$L$2:$L$18,"Missing game",0)</x:f>
        <x:v>38</x:v>
      </x:c>
      <x:c r="AR741" t="n">
        <x:f>_xlfn.XLOOKUP($A741,Games!$A$2:$A$18,Games!$M$2:$M$18,"Missing game",0)</x:f>
        <x:v>0</x:v>
      </x:c>
      <x:c r="AS741" t="str">
        <x:f>_xlfn.XLOOKUP($A741,Games!$A$2:$A$18,Games!$N$2:$N$18,"Missing game",0)</x:f>
        <x:v>outdoors</x:v>
      </x:c>
      <x:c r="AT741" t="str">
        <x:f>_xlfn.XLOOKUP($A741,Games!$A$2:$A$18,Games!$O$2:$O$18,"Missing game",0)</x:f>
        <x:v>grass</x:v>
      </x:c>
      <x:c r="AU741" t="n">
        <x:f>_xlfn.XLOOKUP($A741,Games!$A$2:$A$18,Games!$P$2:$P$18,"Missing game",0)</x:f>
        <x:v>61</x:v>
      </x:c>
      <x:c r="AV741" t="n">
        <x:f>_xlfn.XLOOKUP($A741,Games!$A$2:$A$18,Games!$Q$2:$Q$18,"Missing game",0)</x:f>
        <x:v>14</x:v>
      </x:c>
      <x:c r="AW741" t="str">
        <x:f>_xlfn.XLOOKUP($A741,Games!$A$2:$A$18,Games!$R$2:$R$18,"Missing game",0)</x:f>
        <x:v>FirstEnergy Stadium</x:v>
      </x:c>
    </x:row>
    <x:row r="742">
      <x:c r="A742" t="str">
        <x:v>2025_05_MIN_CLE</x:v>
      </x:c>
      <x:c r="B742" t="n">
        <x:v>1840</x:v>
      </x:c>
      <x:c r="C742" t="n">
        <x:v>2</x:v>
      </x:c>
      <x:c r="D742" t="str">
        <x:v>03:20</x:v>
      </x:c>
      <x:c r="E742" t="n">
        <x:v>3</x:v>
      </x:c>
      <x:c r="F742" t="n">
        <x:v>8</x:v>
      </x:c>
      <x:c r="G742" t="str">
        <x:v>MIN</x:v>
      </x:c>
      <x:c r="H742" t="str">
        <x:v>CLE</x:v>
      </x:c>
      <x:c r="I742" t="str">
        <x:v>MIN</x:v>
      </x:c>
      <x:c r="J742" t="n">
        <x:v>87</x:v>
      </x:c>
      <x:c r="K742" t="str">
        <x:v>(3:20) (Shotgun) 11-C.Wentz scrambles up the middle to MIN 19 for 6 yards (49-C.Schwesinger; 5-R.Jenkins). MIN-11-C.Wentz was injured during the play.</x:v>
      </x:c>
      <x:c r="L742" t="str">
        <x:v>run</x:v>
      </x:c>
      <x:c r="M742" t="n">
        <x:v>6</x:v>
      </x:c>
      <x:c r="N742" t="n">
        <x:v>1</x:v>
      </x:c>
      <x:c r="O742" t="n">
        <x:v>0</x:v>
      </x:c>
      <x:c r="P742"/>
      <x:c r="Q742"/>
      <x:c r="R742"/>
      <x:c r="S742"/>
      <x:c r="T742" t="str">
        <x:v>middle</x:v>
      </x:c>
      <x:c r="U742"/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/>
      <x:c r="AC742" t="n">
        <x:v>0</x:v>
      </x:c>
      <x:c r="AD742" t="n">
        <x:v>-0.23756570857949555</x:v>
      </x:c>
      <x:c r="AE742" t="n">
        <x:v>0</x:v>
      </x:c>
      <x:c r="AF742" t="n">
        <x:v>-0.001802206039428711</x:v>
      </x:c>
      <x:c r="AG742" t="n">
        <x:f>_xlfn.XLOOKUP($A742,Games!$A$2:$A$18,Games!$B$2:$B$18,"Missing game",0)</x:f>
        <x:v>2025</x:v>
      </x:c>
      <x:c r="AH742" t="str">
        <x:f>_xlfn.XLOOKUP($A742,Games!$A$2:$A$18,Games!$C$2:$C$18,"Missing game",0)</x:f>
        <x:v>REG</x:v>
      </x:c>
      <x:c r="AI742" t="n">
        <x:f>_xlfn.XLOOKUP($A742,Games!$A$2:$A$18,Games!$D$2:$D$18,"Missing game",0)</x:f>
        <x:v>5</x:v>
      </x:c>
      <x:c r="AJ742" s="1" t="n">
        <x:f>_xlfn.XLOOKUP($A742,Games!$A$2:$A$18,Games!$E$2:$E$18,"Missing game",0)</x:f>
        <x:v>45935</x:v>
      </x:c>
      <x:c r="AK742" t="str">
        <x:f>_xlfn.XLOOKUP($A742,Games!$A$2:$A$18,Games!$F$2:$F$18,"Missing game",0)</x:f>
        <x:v>Sunday</x:v>
      </x:c>
      <x:c r="AL742" t="str">
        <x:f>_xlfn.XLOOKUP($A742,Games!$A$2:$A$18,Games!$G$2:$G$18,"Missing game",0)</x:f>
        <x:v>MIN</x:v>
      </x:c>
      <x:c r="AM742" t="n">
        <x:f>_xlfn.XLOOKUP($A742,Games!$A$2:$A$18,Games!$H$2:$H$18,"Missing game",0)</x:f>
        <x:v>21</x:v>
      </x:c>
      <x:c r="AN742" t="str">
        <x:f>_xlfn.XLOOKUP($A742,Games!$A$2:$A$18,Games!$I$2:$I$18,"Missing game",0)</x:f>
        <x:v>CLE</x:v>
      </x:c>
      <x:c r="AO742" t="n">
        <x:f>_xlfn.XLOOKUP($A742,Games!$A$2:$A$18,Games!$J$2:$J$18,"Missing game",0)</x:f>
        <x:v>17</x:v>
      </x:c>
      <x:c r="AP742" t="n">
        <x:f>_xlfn.XLOOKUP($A742,Games!$A$2:$A$18,Games!$K$2:$K$18,"Missing game",0)</x:f>
        <x:v>-4</x:v>
      </x:c>
      <x:c r="AQ742" t="n">
        <x:f>_xlfn.XLOOKUP($A742,Games!$A$2:$A$18,Games!$L$2:$L$18,"Missing game",0)</x:f>
        <x:v>38</x:v>
      </x:c>
      <x:c r="AR742" t="n">
        <x:f>_xlfn.XLOOKUP($A742,Games!$A$2:$A$18,Games!$M$2:$M$18,"Missing game",0)</x:f>
        <x:v>0</x:v>
      </x:c>
      <x:c r="AS742" t="str">
        <x:f>_xlfn.XLOOKUP($A742,Games!$A$2:$A$18,Games!$N$2:$N$18,"Missing game",0)</x:f>
        <x:v>outdoors</x:v>
      </x:c>
      <x:c r="AT742" t="str">
        <x:f>_xlfn.XLOOKUP($A742,Games!$A$2:$A$18,Games!$O$2:$O$18,"Missing game",0)</x:f>
        <x:v>grass</x:v>
      </x:c>
      <x:c r="AU742" t="n">
        <x:f>_xlfn.XLOOKUP($A742,Games!$A$2:$A$18,Games!$P$2:$P$18,"Missing game",0)</x:f>
        <x:v>61</x:v>
      </x:c>
      <x:c r="AV742" t="n">
        <x:f>_xlfn.XLOOKUP($A742,Games!$A$2:$A$18,Games!$Q$2:$Q$18,"Missing game",0)</x:f>
        <x:v>14</x:v>
      </x:c>
      <x:c r="AW742" t="str">
        <x:f>_xlfn.XLOOKUP($A742,Games!$A$2:$A$18,Games!$R$2:$R$18,"Missing game",0)</x:f>
        <x:v>FirstEnergy Stadium</x:v>
      </x:c>
    </x:row>
    <x:row r="743">
      <x:c r="A743" t="str">
        <x:v>2025_05_MIN_CLE</x:v>
      </x:c>
      <x:c r="B743" t="n">
        <x:v>1862</x:v>
      </x:c>
      <x:c r="C743" t="n">
        <x:v>2</x:v>
      </x:c>
      <x:c r="D743" t="str">
        <x:v>02:41</x:v>
      </x:c>
      <x:c r="E743" t="n">
        <x:v>4</x:v>
      </x:c>
      <x:c r="F743" t="n">
        <x:v>2</x:v>
      </x:c>
      <x:c r="G743" t="str">
        <x:v>MIN</x:v>
      </x:c>
      <x:c r="H743" t="str">
        <x:v>CLE</x:v>
      </x:c>
      <x:c r="I743" t="str">
        <x:v>MIN</x:v>
      </x:c>
      <x:c r="J743" t="n">
        <x:v>81</x:v>
      </x:c>
      <x:c r="K743" t="str">
        <x:v>(2:41) 17-R.Wright punts 63 yards to CLE 18, Center-42-A.DePaola. 84-G.Larvadain ran ob at CLE 34 for 16 yards (30-C.Ham; 98-B.Richter).</x:v>
      </x:c>
      <x:c r="L743" t="str">
        <x:v>punt</x:v>
      </x:c>
      <x:c r="M743" t="n">
        <x:v>0</x:v>
      </x:c>
      <x:c r="N743" t="n">
        <x:v>0</x:v>
      </x:c>
      <x:c r="O743" t="n">
        <x:v>0</x:v>
      </x:c>
      <x:c r="P743"/>
      <x:c r="Q743"/>
      <x:c r="R743"/>
      <x:c r="S743"/>
      <x:c r="T743"/>
      <x:c r="U743"/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/>
      <x:c r="AC743" t="n">
        <x:v>0</x:v>
      </x:c>
      <x:c r="AD743" t="n">
        <x:v>-0.388762294780463</x:v>
      </x:c>
      <x:c r="AE743" t="n">
        <x:v>0</x:v>
      </x:c>
      <x:c r="AF743" t="n">
        <x:v>0.000459820032119751</x:v>
      </x:c>
      <x:c r="AG743" t="n">
        <x:f>_xlfn.XLOOKUP($A743,Games!$A$2:$A$18,Games!$B$2:$B$18,"Missing game",0)</x:f>
        <x:v>2025</x:v>
      </x:c>
      <x:c r="AH743" t="str">
        <x:f>_xlfn.XLOOKUP($A743,Games!$A$2:$A$18,Games!$C$2:$C$18,"Missing game",0)</x:f>
        <x:v>REG</x:v>
      </x:c>
      <x:c r="AI743" t="n">
        <x:f>_xlfn.XLOOKUP($A743,Games!$A$2:$A$18,Games!$D$2:$D$18,"Missing game",0)</x:f>
        <x:v>5</x:v>
      </x:c>
      <x:c r="AJ743" s="1" t="n">
        <x:f>_xlfn.XLOOKUP($A743,Games!$A$2:$A$18,Games!$E$2:$E$18,"Missing game",0)</x:f>
        <x:v>45935</x:v>
      </x:c>
      <x:c r="AK743" t="str">
        <x:f>_xlfn.XLOOKUP($A743,Games!$A$2:$A$18,Games!$F$2:$F$18,"Missing game",0)</x:f>
        <x:v>Sunday</x:v>
      </x:c>
      <x:c r="AL743" t="str">
        <x:f>_xlfn.XLOOKUP($A743,Games!$A$2:$A$18,Games!$G$2:$G$18,"Missing game",0)</x:f>
        <x:v>MIN</x:v>
      </x:c>
      <x:c r="AM743" t="n">
        <x:f>_xlfn.XLOOKUP($A743,Games!$A$2:$A$18,Games!$H$2:$H$18,"Missing game",0)</x:f>
        <x:v>21</x:v>
      </x:c>
      <x:c r="AN743" t="str">
        <x:f>_xlfn.XLOOKUP($A743,Games!$A$2:$A$18,Games!$I$2:$I$18,"Missing game",0)</x:f>
        <x:v>CLE</x:v>
      </x:c>
      <x:c r="AO743" t="n">
        <x:f>_xlfn.XLOOKUP($A743,Games!$A$2:$A$18,Games!$J$2:$J$18,"Missing game",0)</x:f>
        <x:v>17</x:v>
      </x:c>
      <x:c r="AP743" t="n">
        <x:f>_xlfn.XLOOKUP($A743,Games!$A$2:$A$18,Games!$K$2:$K$18,"Missing game",0)</x:f>
        <x:v>-4</x:v>
      </x:c>
      <x:c r="AQ743" t="n">
        <x:f>_xlfn.XLOOKUP($A743,Games!$A$2:$A$18,Games!$L$2:$L$18,"Missing game",0)</x:f>
        <x:v>38</x:v>
      </x:c>
      <x:c r="AR743" t="n">
        <x:f>_xlfn.XLOOKUP($A743,Games!$A$2:$A$18,Games!$M$2:$M$18,"Missing game",0)</x:f>
        <x:v>0</x:v>
      </x:c>
      <x:c r="AS743" t="str">
        <x:f>_xlfn.XLOOKUP($A743,Games!$A$2:$A$18,Games!$N$2:$N$18,"Missing game",0)</x:f>
        <x:v>outdoors</x:v>
      </x:c>
      <x:c r="AT743" t="str">
        <x:f>_xlfn.XLOOKUP($A743,Games!$A$2:$A$18,Games!$O$2:$O$18,"Missing game",0)</x:f>
        <x:v>grass</x:v>
      </x:c>
      <x:c r="AU743" t="n">
        <x:f>_xlfn.XLOOKUP($A743,Games!$A$2:$A$18,Games!$P$2:$P$18,"Missing game",0)</x:f>
        <x:v>61</x:v>
      </x:c>
      <x:c r="AV743" t="n">
        <x:f>_xlfn.XLOOKUP($A743,Games!$A$2:$A$18,Games!$Q$2:$Q$18,"Missing game",0)</x:f>
        <x:v>14</x:v>
      </x:c>
      <x:c r="AW743" t="str">
        <x:f>_xlfn.XLOOKUP($A743,Games!$A$2:$A$18,Games!$R$2:$R$18,"Missing game",0)</x:f>
        <x:v>FirstEnergy Stadium</x:v>
      </x:c>
    </x:row>
    <x:row r="744">
      <x:c r="A744" t="str">
        <x:v>2025_05_MIN_CLE</x:v>
      </x:c>
      <x:c r="B744" t="n">
        <x:v>1893</x:v>
      </x:c>
      <x:c r="C744" t="n">
        <x:v>2</x:v>
      </x:c>
      <x:c r="D744" t="str">
        <x:v>02:30</x:v>
      </x:c>
      <x:c r="E744" t="n">
        <x:v>1</x:v>
      </x:c>
      <x:c r="F744" t="n">
        <x:v>10</x:v>
      </x:c>
      <x:c r="G744" t="str">
        <x:v>CLE</x:v>
      </x:c>
      <x:c r="H744" t="str">
        <x:v>MIN</x:v>
      </x:c>
      <x:c r="I744" t="str">
        <x:v>CLE</x:v>
      </x:c>
      <x:c r="J744" t="n">
        <x:v>66</x:v>
      </x:c>
      <x:c r="K744" t="str">
        <x:v>(2:30) (Shotgun) 22-D.Sampson up the middle to CLE 30 for -4 yards (50-L.Rodriguez).</x:v>
      </x:c>
      <x:c r="L744" t="str">
        <x:v>run</x:v>
      </x:c>
      <x:c r="M744" t="n">
        <x:v>-4</x:v>
      </x:c>
      <x:c r="N744" t="n">
        <x:v>1</x:v>
      </x:c>
      <x:c r="O744" t="n">
        <x:v>0</x:v>
      </x:c>
      <x:c r="P744"/>
      <x:c r="Q744"/>
      <x:c r="R744"/>
      <x:c r="S744"/>
      <x:c r="T744" t="str">
        <x:v>middle</x:v>
      </x:c>
      <x:c r="U744"/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/>
      <x:c r="AC744" t="n">
        <x:v>0</x:v>
      </x:c>
      <x:c r="AD744" t="n">
        <x:v>-0.7969827202614397</x:v>
      </x:c>
      <x:c r="AE744" t="n">
        <x:v>0</x:v>
      </x:c>
      <x:c r="AF744" t="n">
        <x:v>-0.04623985290527344</x:v>
      </x:c>
      <x:c r="AG744" t="n">
        <x:f>_xlfn.XLOOKUP($A744,Games!$A$2:$A$18,Games!$B$2:$B$18,"Missing game",0)</x:f>
        <x:v>2025</x:v>
      </x:c>
      <x:c r="AH744" t="str">
        <x:f>_xlfn.XLOOKUP($A744,Games!$A$2:$A$18,Games!$C$2:$C$18,"Missing game",0)</x:f>
        <x:v>REG</x:v>
      </x:c>
      <x:c r="AI744" t="n">
        <x:f>_xlfn.XLOOKUP($A744,Games!$A$2:$A$18,Games!$D$2:$D$18,"Missing game",0)</x:f>
        <x:v>5</x:v>
      </x:c>
      <x:c r="AJ744" s="1" t="n">
        <x:f>_xlfn.XLOOKUP($A744,Games!$A$2:$A$18,Games!$E$2:$E$18,"Missing game",0)</x:f>
        <x:v>45935</x:v>
      </x:c>
      <x:c r="AK744" t="str">
        <x:f>_xlfn.XLOOKUP($A744,Games!$A$2:$A$18,Games!$F$2:$F$18,"Missing game",0)</x:f>
        <x:v>Sunday</x:v>
      </x:c>
      <x:c r="AL744" t="str">
        <x:f>_xlfn.XLOOKUP($A744,Games!$A$2:$A$18,Games!$G$2:$G$18,"Missing game",0)</x:f>
        <x:v>MIN</x:v>
      </x:c>
      <x:c r="AM744" t="n">
        <x:f>_xlfn.XLOOKUP($A744,Games!$A$2:$A$18,Games!$H$2:$H$18,"Missing game",0)</x:f>
        <x:v>21</x:v>
      </x:c>
      <x:c r="AN744" t="str">
        <x:f>_xlfn.XLOOKUP($A744,Games!$A$2:$A$18,Games!$I$2:$I$18,"Missing game",0)</x:f>
        <x:v>CLE</x:v>
      </x:c>
      <x:c r="AO744" t="n">
        <x:f>_xlfn.XLOOKUP($A744,Games!$A$2:$A$18,Games!$J$2:$J$18,"Missing game",0)</x:f>
        <x:v>17</x:v>
      </x:c>
      <x:c r="AP744" t="n">
        <x:f>_xlfn.XLOOKUP($A744,Games!$A$2:$A$18,Games!$K$2:$K$18,"Missing game",0)</x:f>
        <x:v>-4</x:v>
      </x:c>
      <x:c r="AQ744" t="n">
        <x:f>_xlfn.XLOOKUP($A744,Games!$A$2:$A$18,Games!$L$2:$L$18,"Missing game",0)</x:f>
        <x:v>38</x:v>
      </x:c>
      <x:c r="AR744" t="n">
        <x:f>_xlfn.XLOOKUP($A744,Games!$A$2:$A$18,Games!$M$2:$M$18,"Missing game",0)</x:f>
        <x:v>0</x:v>
      </x:c>
      <x:c r="AS744" t="str">
        <x:f>_xlfn.XLOOKUP($A744,Games!$A$2:$A$18,Games!$N$2:$N$18,"Missing game",0)</x:f>
        <x:v>outdoors</x:v>
      </x:c>
      <x:c r="AT744" t="str">
        <x:f>_xlfn.XLOOKUP($A744,Games!$A$2:$A$18,Games!$O$2:$O$18,"Missing game",0)</x:f>
        <x:v>grass</x:v>
      </x:c>
      <x:c r="AU744" t="n">
        <x:f>_xlfn.XLOOKUP($A744,Games!$A$2:$A$18,Games!$P$2:$P$18,"Missing game",0)</x:f>
        <x:v>61</x:v>
      </x:c>
      <x:c r="AV744" t="n">
        <x:f>_xlfn.XLOOKUP($A744,Games!$A$2:$A$18,Games!$Q$2:$Q$18,"Missing game",0)</x:f>
        <x:v>14</x:v>
      </x:c>
      <x:c r="AW744" t="str">
        <x:f>_xlfn.XLOOKUP($A744,Games!$A$2:$A$18,Games!$R$2:$R$18,"Missing game",0)</x:f>
        <x:v>FirstEnergy Stadium</x:v>
      </x:c>
    </x:row>
    <x:row r="745">
      <x:c r="A745" t="str">
        <x:v>2025_05_MIN_CLE</x:v>
      </x:c>
      <x:c r="B745" t="n">
        <x:v>1915</x:v>
      </x:c>
      <x:c r="C745" t="n">
        <x:v>2</x:v>
      </x:c>
      <x:c r="D745" t="str">
        <x:v>02:08</x:v>
      </x:c>
      <x:c r="E745" t="n">
        <x:v>2</x:v>
      </x:c>
      <x:c r="F745" t="n">
        <x:v>14</x:v>
      </x:c>
      <x:c r="G745" t="str">
        <x:v>CLE</x:v>
      </x:c>
      <x:c r="H745" t="str">
        <x:v>MIN</x:v>
      </x:c>
      <x:c r="I745" t="str">
        <x:v>CLE</x:v>
      </x:c>
      <x:c r="J745" t="n">
        <x:v>70</x:v>
      </x:c>
      <x:c r="K745" t="str">
        <x:v>(2:08) (No Huddle, Shotgun) 8-D.Gabriel pass short right to 3-J.Jeudy to CLE 36 for 6 yards (7-B.Murphy).</x:v>
      </x:c>
      <x:c r="L745" t="str">
        <x:v>pass</x:v>
      </x:c>
      <x:c r="M745" t="n">
        <x:v>6</x:v>
      </x:c>
      <x:c r="N745" t="n">
        <x:v>1</x:v>
      </x:c>
      <x:c r="O745" t="n">
        <x:v>1</x:v>
      </x:c>
      <x:c r="P745" t="str">
        <x:v>short</x:v>
      </x:c>
      <x:c r="Q745" t="str">
        <x:v>right</x:v>
      </x:c>
      <x:c r="R745" t="n">
        <x:v>6</x:v>
      </x:c>
      <x:c r="S745" t="n">
        <x:v>0</x:v>
      </x:c>
      <x:c r="T745"/>
      <x:c r="U745"/>
      <x:c r="V745" t="n">
        <x:v>1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/>
      <x:c r="AC745" t="n">
        <x:v>0</x:v>
      </x:c>
      <x:c r="AD745" t="n">
        <x:v>-0.18363407894503325</x:v>
      </x:c>
      <x:c r="AE745" t="n">
        <x:v>0</x:v>
      </x:c>
      <x:c r="AF745" t="n">
        <x:v>-0.0011298656463623047</x:v>
      </x:c>
      <x:c r="AG745" t="n">
        <x:f>_xlfn.XLOOKUP($A745,Games!$A$2:$A$18,Games!$B$2:$B$18,"Missing game",0)</x:f>
        <x:v>2025</x:v>
      </x:c>
      <x:c r="AH745" t="str">
        <x:f>_xlfn.XLOOKUP($A745,Games!$A$2:$A$18,Games!$C$2:$C$18,"Missing game",0)</x:f>
        <x:v>REG</x:v>
      </x:c>
      <x:c r="AI745" t="n">
        <x:f>_xlfn.XLOOKUP($A745,Games!$A$2:$A$18,Games!$D$2:$D$18,"Missing game",0)</x:f>
        <x:v>5</x:v>
      </x:c>
      <x:c r="AJ745" s="1" t="n">
        <x:f>_xlfn.XLOOKUP($A745,Games!$A$2:$A$18,Games!$E$2:$E$18,"Missing game",0)</x:f>
        <x:v>45935</x:v>
      </x:c>
      <x:c r="AK745" t="str">
        <x:f>_xlfn.XLOOKUP($A745,Games!$A$2:$A$18,Games!$F$2:$F$18,"Missing game",0)</x:f>
        <x:v>Sunday</x:v>
      </x:c>
      <x:c r="AL745" t="str">
        <x:f>_xlfn.XLOOKUP($A745,Games!$A$2:$A$18,Games!$G$2:$G$18,"Missing game",0)</x:f>
        <x:v>MIN</x:v>
      </x:c>
      <x:c r="AM745" t="n">
        <x:f>_xlfn.XLOOKUP($A745,Games!$A$2:$A$18,Games!$H$2:$H$18,"Missing game",0)</x:f>
        <x:v>21</x:v>
      </x:c>
      <x:c r="AN745" t="str">
        <x:f>_xlfn.XLOOKUP($A745,Games!$A$2:$A$18,Games!$I$2:$I$18,"Missing game",0)</x:f>
        <x:v>CLE</x:v>
      </x:c>
      <x:c r="AO745" t="n">
        <x:f>_xlfn.XLOOKUP($A745,Games!$A$2:$A$18,Games!$J$2:$J$18,"Missing game",0)</x:f>
        <x:v>17</x:v>
      </x:c>
      <x:c r="AP745" t="n">
        <x:f>_xlfn.XLOOKUP($A745,Games!$A$2:$A$18,Games!$K$2:$K$18,"Missing game",0)</x:f>
        <x:v>-4</x:v>
      </x:c>
      <x:c r="AQ745" t="n">
        <x:f>_xlfn.XLOOKUP($A745,Games!$A$2:$A$18,Games!$L$2:$L$18,"Missing game",0)</x:f>
        <x:v>38</x:v>
      </x:c>
      <x:c r="AR745" t="n">
        <x:f>_xlfn.XLOOKUP($A745,Games!$A$2:$A$18,Games!$M$2:$M$18,"Missing game",0)</x:f>
        <x:v>0</x:v>
      </x:c>
      <x:c r="AS745" t="str">
        <x:f>_xlfn.XLOOKUP($A745,Games!$A$2:$A$18,Games!$N$2:$N$18,"Missing game",0)</x:f>
        <x:v>outdoors</x:v>
      </x:c>
      <x:c r="AT745" t="str">
        <x:f>_xlfn.XLOOKUP($A745,Games!$A$2:$A$18,Games!$O$2:$O$18,"Missing game",0)</x:f>
        <x:v>grass</x:v>
      </x:c>
      <x:c r="AU745" t="n">
        <x:f>_xlfn.XLOOKUP($A745,Games!$A$2:$A$18,Games!$P$2:$P$18,"Missing game",0)</x:f>
        <x:v>61</x:v>
      </x:c>
      <x:c r="AV745" t="n">
        <x:f>_xlfn.XLOOKUP($A745,Games!$A$2:$A$18,Games!$Q$2:$Q$18,"Missing game",0)</x:f>
        <x:v>14</x:v>
      </x:c>
      <x:c r="AW745" t="str">
        <x:f>_xlfn.XLOOKUP($A745,Games!$A$2:$A$18,Games!$R$2:$R$18,"Missing game",0)</x:f>
        <x:v>FirstEnergy Stadium</x:v>
      </x:c>
    </x:row>
    <x:row r="746">
      <x:c r="A746" t="str">
        <x:v>2025_05_MIN_CLE</x:v>
      </x:c>
      <x:c r="B746" t="n">
        <x:v>1940</x:v>
      </x:c>
      <x:c r="C746" t="n">
        <x:v>2</x:v>
      </x:c>
      <x:c r="D746" t="str">
        <x:v>02:00</x:v>
      </x:c>
      <x:c r="E746" t="n">
        <x:v>3</x:v>
      </x:c>
      <x:c r="F746" t="n">
        <x:v>8</x:v>
      </x:c>
      <x:c r="G746" t="str">
        <x:v>CLE</x:v>
      </x:c>
      <x:c r="H746" t="str">
        <x:v>MIN</x:v>
      </x:c>
      <x:c r="I746" t="str">
        <x:v>CLE</x:v>
      </x:c>
      <x:c r="J746" t="n">
        <x:v>64</x:v>
      </x:c>
      <x:c r="K746" t="str">
        <x:v>(2:00) (Shotgun) 8-D.Gabriel pass short left to 16-I.Bond to CLE 43 for 7 yards (8-J.Okudah).</x:v>
      </x:c>
      <x:c r="L746" t="str">
        <x:v>pass</x:v>
      </x:c>
      <x:c r="M746" t="n">
        <x:v>7</x:v>
      </x:c>
      <x:c r="N746" t="n">
        <x:v>1</x:v>
      </x:c>
      <x:c r="O746" t="n">
        <x:v>0</x:v>
      </x:c>
      <x:c r="P746" t="str">
        <x:v>short</x:v>
      </x:c>
      <x:c r="Q746" t="str">
        <x:v>left</x:v>
      </x:c>
      <x:c r="R746" t="n">
        <x:v>7</x:v>
      </x:c>
      <x:c r="S746" t="n">
        <x:v>0</x:v>
      </x:c>
      <x:c r="T746"/>
      <x:c r="U746"/>
      <x:c r="V746" t="n">
        <x:v>1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/>
      <x:c r="AC746" t="n">
        <x:v>0</x:v>
      </x:c>
      <x:c r="AD746" t="n">
        <x:v>-0.15636305382940918</x:v>
      </x:c>
      <x:c r="AE746" t="n">
        <x:v>0</x:v>
      </x:c>
      <x:c r="AF746" t="n">
        <x:v>-0.012922823429107666</x:v>
      </x:c>
      <x:c r="AG746" t="n">
        <x:f>_xlfn.XLOOKUP($A746,Games!$A$2:$A$18,Games!$B$2:$B$18,"Missing game",0)</x:f>
        <x:v>2025</x:v>
      </x:c>
      <x:c r="AH746" t="str">
        <x:f>_xlfn.XLOOKUP($A746,Games!$A$2:$A$18,Games!$C$2:$C$18,"Missing game",0)</x:f>
        <x:v>REG</x:v>
      </x:c>
      <x:c r="AI746" t="n">
        <x:f>_xlfn.XLOOKUP($A746,Games!$A$2:$A$18,Games!$D$2:$D$18,"Missing game",0)</x:f>
        <x:v>5</x:v>
      </x:c>
      <x:c r="AJ746" s="1" t="n">
        <x:f>_xlfn.XLOOKUP($A746,Games!$A$2:$A$18,Games!$E$2:$E$18,"Missing game",0)</x:f>
        <x:v>45935</x:v>
      </x:c>
      <x:c r="AK746" t="str">
        <x:f>_xlfn.XLOOKUP($A746,Games!$A$2:$A$18,Games!$F$2:$F$18,"Missing game",0)</x:f>
        <x:v>Sunday</x:v>
      </x:c>
      <x:c r="AL746" t="str">
        <x:f>_xlfn.XLOOKUP($A746,Games!$A$2:$A$18,Games!$G$2:$G$18,"Missing game",0)</x:f>
        <x:v>MIN</x:v>
      </x:c>
      <x:c r="AM746" t="n">
        <x:f>_xlfn.XLOOKUP($A746,Games!$A$2:$A$18,Games!$H$2:$H$18,"Missing game",0)</x:f>
        <x:v>21</x:v>
      </x:c>
      <x:c r="AN746" t="str">
        <x:f>_xlfn.XLOOKUP($A746,Games!$A$2:$A$18,Games!$I$2:$I$18,"Missing game",0)</x:f>
        <x:v>CLE</x:v>
      </x:c>
      <x:c r="AO746" t="n">
        <x:f>_xlfn.XLOOKUP($A746,Games!$A$2:$A$18,Games!$J$2:$J$18,"Missing game",0)</x:f>
        <x:v>17</x:v>
      </x:c>
      <x:c r="AP746" t="n">
        <x:f>_xlfn.XLOOKUP($A746,Games!$A$2:$A$18,Games!$K$2:$K$18,"Missing game",0)</x:f>
        <x:v>-4</x:v>
      </x:c>
      <x:c r="AQ746" t="n">
        <x:f>_xlfn.XLOOKUP($A746,Games!$A$2:$A$18,Games!$L$2:$L$18,"Missing game",0)</x:f>
        <x:v>38</x:v>
      </x:c>
      <x:c r="AR746" t="n">
        <x:f>_xlfn.XLOOKUP($A746,Games!$A$2:$A$18,Games!$M$2:$M$18,"Missing game",0)</x:f>
        <x:v>0</x:v>
      </x:c>
      <x:c r="AS746" t="str">
        <x:f>_xlfn.XLOOKUP($A746,Games!$A$2:$A$18,Games!$N$2:$N$18,"Missing game",0)</x:f>
        <x:v>outdoors</x:v>
      </x:c>
      <x:c r="AT746" t="str">
        <x:f>_xlfn.XLOOKUP($A746,Games!$A$2:$A$18,Games!$O$2:$O$18,"Missing game",0)</x:f>
        <x:v>grass</x:v>
      </x:c>
      <x:c r="AU746" t="n">
        <x:f>_xlfn.XLOOKUP($A746,Games!$A$2:$A$18,Games!$P$2:$P$18,"Missing game",0)</x:f>
        <x:v>61</x:v>
      </x:c>
      <x:c r="AV746" t="n">
        <x:f>_xlfn.XLOOKUP($A746,Games!$A$2:$A$18,Games!$Q$2:$Q$18,"Missing game",0)</x:f>
        <x:v>14</x:v>
      </x:c>
      <x:c r="AW746" t="str">
        <x:f>_xlfn.XLOOKUP($A746,Games!$A$2:$A$18,Games!$R$2:$R$18,"Missing game",0)</x:f>
        <x:v>FirstEnergy Stadium</x:v>
      </x:c>
    </x:row>
    <x:row r="747">
      <x:c r="A747" t="str">
        <x:v>2025_05_MIN_CLE</x:v>
      </x:c>
      <x:c r="B747" t="n">
        <x:v>1972</x:v>
      </x:c>
      <x:c r="C747" t="n">
        <x:v>2</x:v>
      </x:c>
      <x:c r="D747" t="str">
        <x:v>01:34</x:v>
      </x:c>
      <x:c r="E747" t="n">
        <x:v>4</x:v>
      </x:c>
      <x:c r="F747" t="n">
        <x:v>1</x:v>
      </x:c>
      <x:c r="G747" t="str">
        <x:v>CLE</x:v>
      </x:c>
      <x:c r="H747" t="str">
        <x:v>MIN</x:v>
      </x:c>
      <x:c r="I747" t="str">
        <x:v>CLE</x:v>
      </x:c>
      <x:c r="J747" t="n">
        <x:v>57</x:v>
      </x:c>
      <x:c r="K747" t="str">
        <x:v>(1:34) (No Huddle, Shotgun) 34-J.Ford up the middle to CLE 45 for 2 yards (15-D.Turner; 97-J.Hargrave).</x:v>
      </x:c>
      <x:c r="L747" t="str">
        <x:v>run</x:v>
      </x:c>
      <x:c r="M747" t="n">
        <x:v>2</x:v>
      </x:c>
      <x:c r="N747" t="n">
        <x:v>1</x:v>
      </x:c>
      <x:c r="O747" t="n">
        <x:v>1</x:v>
      </x:c>
      <x:c r="P747"/>
      <x:c r="Q747"/>
      <x:c r="R747"/>
      <x:c r="S747"/>
      <x:c r="T747" t="str">
        <x:v>middle</x:v>
      </x:c>
      <x:c r="U747"/>
      <x:c r="V747" t="n">
        <x:v>0</x:v>
      </x:c>
      <x:c r="W747" t="n">
        <x:v>1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/>
      <x:c r="AC747" t="n">
        <x:v>0</x:v>
      </x:c>
      <x:c r="AD747" t="n">
        <x:v>1.4241066166432574</x:v>
      </x:c>
      <x:c r="AE747" t="n">
        <x:v>1</x:v>
      </x:c>
      <x:c r="AF747" t="n">
        <x:v>0.07153970003128052</x:v>
      </x:c>
      <x:c r="AG747" t="n">
        <x:f>_xlfn.XLOOKUP($A747,Games!$A$2:$A$18,Games!$B$2:$B$18,"Missing game",0)</x:f>
        <x:v>2025</x:v>
      </x:c>
      <x:c r="AH747" t="str">
        <x:f>_xlfn.XLOOKUP($A747,Games!$A$2:$A$18,Games!$C$2:$C$18,"Missing game",0)</x:f>
        <x:v>REG</x:v>
      </x:c>
      <x:c r="AI747" t="n">
        <x:f>_xlfn.XLOOKUP($A747,Games!$A$2:$A$18,Games!$D$2:$D$18,"Missing game",0)</x:f>
        <x:v>5</x:v>
      </x:c>
      <x:c r="AJ747" s="1" t="n">
        <x:f>_xlfn.XLOOKUP($A747,Games!$A$2:$A$18,Games!$E$2:$E$18,"Missing game",0)</x:f>
        <x:v>45935</x:v>
      </x:c>
      <x:c r="AK747" t="str">
        <x:f>_xlfn.XLOOKUP($A747,Games!$A$2:$A$18,Games!$F$2:$F$18,"Missing game",0)</x:f>
        <x:v>Sunday</x:v>
      </x:c>
      <x:c r="AL747" t="str">
        <x:f>_xlfn.XLOOKUP($A747,Games!$A$2:$A$18,Games!$G$2:$G$18,"Missing game",0)</x:f>
        <x:v>MIN</x:v>
      </x:c>
      <x:c r="AM747" t="n">
        <x:f>_xlfn.XLOOKUP($A747,Games!$A$2:$A$18,Games!$H$2:$H$18,"Missing game",0)</x:f>
        <x:v>21</x:v>
      </x:c>
      <x:c r="AN747" t="str">
        <x:f>_xlfn.XLOOKUP($A747,Games!$A$2:$A$18,Games!$I$2:$I$18,"Missing game",0)</x:f>
        <x:v>CLE</x:v>
      </x:c>
      <x:c r="AO747" t="n">
        <x:f>_xlfn.XLOOKUP($A747,Games!$A$2:$A$18,Games!$J$2:$J$18,"Missing game",0)</x:f>
        <x:v>17</x:v>
      </x:c>
      <x:c r="AP747" t="n">
        <x:f>_xlfn.XLOOKUP($A747,Games!$A$2:$A$18,Games!$K$2:$K$18,"Missing game",0)</x:f>
        <x:v>-4</x:v>
      </x:c>
      <x:c r="AQ747" t="n">
        <x:f>_xlfn.XLOOKUP($A747,Games!$A$2:$A$18,Games!$L$2:$L$18,"Missing game",0)</x:f>
        <x:v>38</x:v>
      </x:c>
      <x:c r="AR747" t="n">
        <x:f>_xlfn.XLOOKUP($A747,Games!$A$2:$A$18,Games!$M$2:$M$18,"Missing game",0)</x:f>
        <x:v>0</x:v>
      </x:c>
      <x:c r="AS747" t="str">
        <x:f>_xlfn.XLOOKUP($A747,Games!$A$2:$A$18,Games!$N$2:$N$18,"Missing game",0)</x:f>
        <x:v>outdoors</x:v>
      </x:c>
      <x:c r="AT747" t="str">
        <x:f>_xlfn.XLOOKUP($A747,Games!$A$2:$A$18,Games!$O$2:$O$18,"Missing game",0)</x:f>
        <x:v>grass</x:v>
      </x:c>
      <x:c r="AU747" t="n">
        <x:f>_xlfn.XLOOKUP($A747,Games!$A$2:$A$18,Games!$P$2:$P$18,"Missing game",0)</x:f>
        <x:v>61</x:v>
      </x:c>
      <x:c r="AV747" t="n">
        <x:f>_xlfn.XLOOKUP($A747,Games!$A$2:$A$18,Games!$Q$2:$Q$18,"Missing game",0)</x:f>
        <x:v>14</x:v>
      </x:c>
      <x:c r="AW747" t="str">
        <x:f>_xlfn.XLOOKUP($A747,Games!$A$2:$A$18,Games!$R$2:$R$18,"Missing game",0)</x:f>
        <x:v>FirstEnergy Stadium</x:v>
      </x:c>
    </x:row>
    <x:row r="748">
      <x:c r="A748" t="str">
        <x:v>2025_05_MIN_CLE</x:v>
      </x:c>
      <x:c r="B748" t="n">
        <x:v>1994</x:v>
      </x:c>
      <x:c r="C748" t="n">
        <x:v>2</x:v>
      </x:c>
      <x:c r="D748" t="str">
        <x:v>01:11</x:v>
      </x:c>
      <x:c r="E748" t="n">
        <x:v>1</x:v>
      </x:c>
      <x:c r="F748" t="n">
        <x:v>10</x:v>
      </x:c>
      <x:c r="G748" t="str">
        <x:v>CLE</x:v>
      </x:c>
      <x:c r="H748" t="str">
        <x:v>MIN</x:v>
      </x:c>
      <x:c r="I748" t="str">
        <x:v>CLE</x:v>
      </x:c>
      <x:c r="J748" t="n">
        <x:v>55</x:v>
      </x:c>
      <x:c r="K748" t="str">
        <x:v>(1:11) (No Huddle, Shotgun) 8-D.Gabriel pass incomplete short middle to 85-D.Njoku (44-J.Metellus).</x:v>
      </x:c>
      <x:c r="L748" t="str">
        <x:v>pass</x:v>
      </x:c>
      <x:c r="M748" t="n">
        <x:v>0</x:v>
      </x:c>
      <x:c r="N748" t="n">
        <x:v>1</x:v>
      </x:c>
      <x:c r="O748" t="n">
        <x:v>1</x:v>
      </x:c>
      <x:c r="P748" t="str">
        <x:v>short</x:v>
      </x:c>
      <x:c r="Q748" t="str">
        <x:v>middle</x:v>
      </x:c>
      <x:c r="R748" t="n">
        <x:v>10</x:v>
      </x:c>
      <x:c r="S748"/>
      <x:c r="T748"/>
      <x:c r="U748"/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/>
      <x:c r="AC748" t="n">
        <x:v>0</x:v>
      </x:c>
      <x:c r="AD748" t="n">
        <x:v>-0.25790860678534955</x:v>
      </x:c>
      <x:c r="AE748" t="n">
        <x:v>0</x:v>
      </x:c>
      <x:c r="AF748" t="n">
        <x:v>-0.01804262399673462</x:v>
      </x:c>
      <x:c r="AG748" t="n">
        <x:f>_xlfn.XLOOKUP($A748,Games!$A$2:$A$18,Games!$B$2:$B$18,"Missing game",0)</x:f>
        <x:v>2025</x:v>
      </x:c>
      <x:c r="AH748" t="str">
        <x:f>_xlfn.XLOOKUP($A748,Games!$A$2:$A$18,Games!$C$2:$C$18,"Missing game",0)</x:f>
        <x:v>REG</x:v>
      </x:c>
      <x:c r="AI748" t="n">
        <x:f>_xlfn.XLOOKUP($A748,Games!$A$2:$A$18,Games!$D$2:$D$18,"Missing game",0)</x:f>
        <x:v>5</x:v>
      </x:c>
      <x:c r="AJ748" s="1" t="n">
        <x:f>_xlfn.XLOOKUP($A748,Games!$A$2:$A$18,Games!$E$2:$E$18,"Missing game",0)</x:f>
        <x:v>45935</x:v>
      </x:c>
      <x:c r="AK748" t="str">
        <x:f>_xlfn.XLOOKUP($A748,Games!$A$2:$A$18,Games!$F$2:$F$18,"Missing game",0)</x:f>
        <x:v>Sunday</x:v>
      </x:c>
      <x:c r="AL748" t="str">
        <x:f>_xlfn.XLOOKUP($A748,Games!$A$2:$A$18,Games!$G$2:$G$18,"Missing game",0)</x:f>
        <x:v>MIN</x:v>
      </x:c>
      <x:c r="AM748" t="n">
        <x:f>_xlfn.XLOOKUP($A748,Games!$A$2:$A$18,Games!$H$2:$H$18,"Missing game",0)</x:f>
        <x:v>21</x:v>
      </x:c>
      <x:c r="AN748" t="str">
        <x:f>_xlfn.XLOOKUP($A748,Games!$A$2:$A$18,Games!$I$2:$I$18,"Missing game",0)</x:f>
        <x:v>CLE</x:v>
      </x:c>
      <x:c r="AO748" t="n">
        <x:f>_xlfn.XLOOKUP($A748,Games!$A$2:$A$18,Games!$J$2:$J$18,"Missing game",0)</x:f>
        <x:v>17</x:v>
      </x:c>
      <x:c r="AP748" t="n">
        <x:f>_xlfn.XLOOKUP($A748,Games!$A$2:$A$18,Games!$K$2:$K$18,"Missing game",0)</x:f>
        <x:v>-4</x:v>
      </x:c>
      <x:c r="AQ748" t="n">
        <x:f>_xlfn.XLOOKUP($A748,Games!$A$2:$A$18,Games!$L$2:$L$18,"Missing game",0)</x:f>
        <x:v>38</x:v>
      </x:c>
      <x:c r="AR748" t="n">
        <x:f>_xlfn.XLOOKUP($A748,Games!$A$2:$A$18,Games!$M$2:$M$18,"Missing game",0)</x:f>
        <x:v>0</x:v>
      </x:c>
      <x:c r="AS748" t="str">
        <x:f>_xlfn.XLOOKUP($A748,Games!$A$2:$A$18,Games!$N$2:$N$18,"Missing game",0)</x:f>
        <x:v>outdoors</x:v>
      </x:c>
      <x:c r="AT748" t="str">
        <x:f>_xlfn.XLOOKUP($A748,Games!$A$2:$A$18,Games!$O$2:$O$18,"Missing game",0)</x:f>
        <x:v>grass</x:v>
      </x:c>
      <x:c r="AU748" t="n">
        <x:f>_xlfn.XLOOKUP($A748,Games!$A$2:$A$18,Games!$P$2:$P$18,"Missing game",0)</x:f>
        <x:v>61</x:v>
      </x:c>
      <x:c r="AV748" t="n">
        <x:f>_xlfn.XLOOKUP($A748,Games!$A$2:$A$18,Games!$Q$2:$Q$18,"Missing game",0)</x:f>
        <x:v>14</x:v>
      </x:c>
      <x:c r="AW748" t="str">
        <x:f>_xlfn.XLOOKUP($A748,Games!$A$2:$A$18,Games!$R$2:$R$18,"Missing game",0)</x:f>
        <x:v>FirstEnergy Stadium</x:v>
      </x:c>
    </x:row>
    <x:row r="749">
      <x:c r="A749" t="str">
        <x:v>2025_05_MIN_CLE</x:v>
      </x:c>
      <x:c r="B749" t="n">
        <x:v>2017</x:v>
      </x:c>
      <x:c r="C749" t="n">
        <x:v>2</x:v>
      </x:c>
      <x:c r="D749" t="str">
        <x:v>01:08</x:v>
      </x:c>
      <x:c r="E749" t="n">
        <x:v>2</x:v>
      </x:c>
      <x:c r="F749" t="n">
        <x:v>10</x:v>
      </x:c>
      <x:c r="G749" t="str">
        <x:v>CLE</x:v>
      </x:c>
      <x:c r="H749" t="str">
        <x:v>MIN</x:v>
      </x:c>
      <x:c r="I749" t="str">
        <x:v>CLE</x:v>
      </x:c>
      <x:c r="J749" t="n">
        <x:v>55</x:v>
      </x:c>
      <x:c r="K749" t="str">
        <x:v>(1:08) (Shotgun) 8-D.Gabriel pass short right to 34-J.Ford pushed ob at MIN 38 for 17 yards (26-T.Jackson).</x:v>
      </x:c>
      <x:c r="L749" t="str">
        <x:v>pass</x:v>
      </x:c>
      <x:c r="M749" t="n">
        <x:v>17</x:v>
      </x:c>
      <x:c r="N749" t="n">
        <x:v>1</x:v>
      </x:c>
      <x:c r="O749" t="n">
        <x:v>0</x:v>
      </x:c>
      <x:c r="P749" t="str">
        <x:v>short</x:v>
      </x:c>
      <x:c r="Q749" t="str">
        <x:v>right</x:v>
      </x:c>
      <x:c r="R749" t="n">
        <x:v>-4</x:v>
      </x:c>
      <x:c r="S749" t="n">
        <x:v>21</x:v>
      </x:c>
      <x:c r="T749"/>
      <x:c r="U749"/>
      <x:c r="V749" t="n">
        <x:v>1</x:v>
      </x:c>
      <x:c r="W749" t="n">
        <x:v>1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/>
      <x:c r="AC749" t="n">
        <x:v>0</x:v>
      </x:c>
      <x:c r="AD749" t="n">
        <x:v>1.3497399600455537</x:v>
      </x:c>
      <x:c r="AE749" t="n">
        <x:v>1</x:v>
      </x:c>
      <x:c r="AF749" t="n">
        <x:v>0.07079559564590454</x:v>
      </x:c>
      <x:c r="AG749" t="n">
        <x:f>_xlfn.XLOOKUP($A749,Games!$A$2:$A$18,Games!$B$2:$B$18,"Missing game",0)</x:f>
        <x:v>2025</x:v>
      </x:c>
      <x:c r="AH749" t="str">
        <x:f>_xlfn.XLOOKUP($A749,Games!$A$2:$A$18,Games!$C$2:$C$18,"Missing game",0)</x:f>
        <x:v>REG</x:v>
      </x:c>
      <x:c r="AI749" t="n">
        <x:f>_xlfn.XLOOKUP($A749,Games!$A$2:$A$18,Games!$D$2:$D$18,"Missing game",0)</x:f>
        <x:v>5</x:v>
      </x:c>
      <x:c r="AJ749" s="1" t="n">
        <x:f>_xlfn.XLOOKUP($A749,Games!$A$2:$A$18,Games!$E$2:$E$18,"Missing game",0)</x:f>
        <x:v>45935</x:v>
      </x:c>
      <x:c r="AK749" t="str">
        <x:f>_xlfn.XLOOKUP($A749,Games!$A$2:$A$18,Games!$F$2:$F$18,"Missing game",0)</x:f>
        <x:v>Sunday</x:v>
      </x:c>
      <x:c r="AL749" t="str">
        <x:f>_xlfn.XLOOKUP($A749,Games!$A$2:$A$18,Games!$G$2:$G$18,"Missing game",0)</x:f>
        <x:v>MIN</x:v>
      </x:c>
      <x:c r="AM749" t="n">
        <x:f>_xlfn.XLOOKUP($A749,Games!$A$2:$A$18,Games!$H$2:$H$18,"Missing game",0)</x:f>
        <x:v>21</x:v>
      </x:c>
      <x:c r="AN749" t="str">
        <x:f>_xlfn.XLOOKUP($A749,Games!$A$2:$A$18,Games!$I$2:$I$18,"Missing game",0)</x:f>
        <x:v>CLE</x:v>
      </x:c>
      <x:c r="AO749" t="n">
        <x:f>_xlfn.XLOOKUP($A749,Games!$A$2:$A$18,Games!$J$2:$J$18,"Missing game",0)</x:f>
        <x:v>17</x:v>
      </x:c>
      <x:c r="AP749" t="n">
        <x:f>_xlfn.XLOOKUP($A749,Games!$A$2:$A$18,Games!$K$2:$K$18,"Missing game",0)</x:f>
        <x:v>-4</x:v>
      </x:c>
      <x:c r="AQ749" t="n">
        <x:f>_xlfn.XLOOKUP($A749,Games!$A$2:$A$18,Games!$L$2:$L$18,"Missing game",0)</x:f>
        <x:v>38</x:v>
      </x:c>
      <x:c r="AR749" t="n">
        <x:f>_xlfn.XLOOKUP($A749,Games!$A$2:$A$18,Games!$M$2:$M$18,"Missing game",0)</x:f>
        <x:v>0</x:v>
      </x:c>
      <x:c r="AS749" t="str">
        <x:f>_xlfn.XLOOKUP($A749,Games!$A$2:$A$18,Games!$N$2:$N$18,"Missing game",0)</x:f>
        <x:v>outdoors</x:v>
      </x:c>
      <x:c r="AT749" t="str">
        <x:f>_xlfn.XLOOKUP($A749,Games!$A$2:$A$18,Games!$O$2:$O$18,"Missing game",0)</x:f>
        <x:v>grass</x:v>
      </x:c>
      <x:c r="AU749" t="n">
        <x:f>_xlfn.XLOOKUP($A749,Games!$A$2:$A$18,Games!$P$2:$P$18,"Missing game",0)</x:f>
        <x:v>61</x:v>
      </x:c>
      <x:c r="AV749" t="n">
        <x:f>_xlfn.XLOOKUP($A749,Games!$A$2:$A$18,Games!$Q$2:$Q$18,"Missing game",0)</x:f>
        <x:v>14</x:v>
      </x:c>
      <x:c r="AW749" t="str">
        <x:f>_xlfn.XLOOKUP($A749,Games!$A$2:$A$18,Games!$R$2:$R$18,"Missing game",0)</x:f>
        <x:v>FirstEnergy Stadium</x:v>
      </x:c>
    </x:row>
    <x:row r="750">
      <x:c r="A750" t="str">
        <x:v>2025_05_MIN_CLE</x:v>
      </x:c>
      <x:c r="B750" t="n">
        <x:v>2047</x:v>
      </x:c>
      <x:c r="C750" t="n">
        <x:v>2</x:v>
      </x:c>
      <x:c r="D750" t="str">
        <x:v>01:00</x:v>
      </x:c>
      <x:c r="E750" t="n">
        <x:v>1</x:v>
      </x:c>
      <x:c r="F750" t="n">
        <x:v>10</x:v>
      </x:c>
      <x:c r="G750" t="str">
        <x:v>CLE</x:v>
      </x:c>
      <x:c r="H750" t="str">
        <x:v>MIN</x:v>
      </x:c>
      <x:c r="I750" t="str">
        <x:v>MIN</x:v>
      </x:c>
      <x:c r="J750" t="n">
        <x:v>38</x:v>
      </x:c>
      <x:c r="K750" t="str">
        <x:v>(1:00) (Shotgun) 8-D.Gabriel pass short left to 34-J.Ford to MIN 35 for 3 yards (26-T.Jackson; 50-L.Rodriguez).</x:v>
      </x:c>
      <x:c r="L750" t="str">
        <x:v>pass</x:v>
      </x:c>
      <x:c r="M750" t="n">
        <x:v>3</x:v>
      </x:c>
      <x:c r="N750" t="n">
        <x:v>1</x:v>
      </x:c>
      <x:c r="O750" t="n">
        <x:v>0</x:v>
      </x:c>
      <x:c r="P750" t="str">
        <x:v>short</x:v>
      </x:c>
      <x:c r="Q750" t="str">
        <x:v>left</x:v>
      </x:c>
      <x:c r="R750" t="n">
        <x:v>-3</x:v>
      </x:c>
      <x:c r="S750" t="n">
        <x:v>6</x:v>
      </x:c>
      <x:c r="T750"/>
      <x:c r="U750"/>
      <x:c r="V750" t="n">
        <x:v>1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/>
      <x:c r="AC750" t="n">
        <x:v>0</x:v>
      </x:c>
      <x:c r="AD750" t="n">
        <x:v>-0.3397586921346374</x:v>
      </x:c>
      <x:c r="AE750" t="n">
        <x:v>0</x:v>
      </x:c>
      <x:c r="AF750" t="n">
        <x:v>-0.012412190437316895</x:v>
      </x:c>
      <x:c r="AG750" t="n">
        <x:f>_xlfn.XLOOKUP($A750,Games!$A$2:$A$18,Games!$B$2:$B$18,"Missing game",0)</x:f>
        <x:v>2025</x:v>
      </x:c>
      <x:c r="AH750" t="str">
        <x:f>_xlfn.XLOOKUP($A750,Games!$A$2:$A$18,Games!$C$2:$C$18,"Missing game",0)</x:f>
        <x:v>REG</x:v>
      </x:c>
      <x:c r="AI750" t="n">
        <x:f>_xlfn.XLOOKUP($A750,Games!$A$2:$A$18,Games!$D$2:$D$18,"Missing game",0)</x:f>
        <x:v>5</x:v>
      </x:c>
      <x:c r="AJ750" s="1" t="n">
        <x:f>_xlfn.XLOOKUP($A750,Games!$A$2:$A$18,Games!$E$2:$E$18,"Missing game",0)</x:f>
        <x:v>45935</x:v>
      </x:c>
      <x:c r="AK750" t="str">
        <x:f>_xlfn.XLOOKUP($A750,Games!$A$2:$A$18,Games!$F$2:$F$18,"Missing game",0)</x:f>
        <x:v>Sunday</x:v>
      </x:c>
      <x:c r="AL750" t="str">
        <x:f>_xlfn.XLOOKUP($A750,Games!$A$2:$A$18,Games!$G$2:$G$18,"Missing game",0)</x:f>
        <x:v>MIN</x:v>
      </x:c>
      <x:c r="AM750" t="n">
        <x:f>_xlfn.XLOOKUP($A750,Games!$A$2:$A$18,Games!$H$2:$H$18,"Missing game",0)</x:f>
        <x:v>21</x:v>
      </x:c>
      <x:c r="AN750" t="str">
        <x:f>_xlfn.XLOOKUP($A750,Games!$A$2:$A$18,Games!$I$2:$I$18,"Missing game",0)</x:f>
        <x:v>CLE</x:v>
      </x:c>
      <x:c r="AO750" t="n">
        <x:f>_xlfn.XLOOKUP($A750,Games!$A$2:$A$18,Games!$J$2:$J$18,"Missing game",0)</x:f>
        <x:v>17</x:v>
      </x:c>
      <x:c r="AP750" t="n">
        <x:f>_xlfn.XLOOKUP($A750,Games!$A$2:$A$18,Games!$K$2:$K$18,"Missing game",0)</x:f>
        <x:v>-4</x:v>
      </x:c>
      <x:c r="AQ750" t="n">
        <x:f>_xlfn.XLOOKUP($A750,Games!$A$2:$A$18,Games!$L$2:$L$18,"Missing game",0)</x:f>
        <x:v>38</x:v>
      </x:c>
      <x:c r="AR750" t="n">
        <x:f>_xlfn.XLOOKUP($A750,Games!$A$2:$A$18,Games!$M$2:$M$18,"Missing game",0)</x:f>
        <x:v>0</x:v>
      </x:c>
      <x:c r="AS750" t="str">
        <x:f>_xlfn.XLOOKUP($A750,Games!$A$2:$A$18,Games!$N$2:$N$18,"Missing game",0)</x:f>
        <x:v>outdoors</x:v>
      </x:c>
      <x:c r="AT750" t="str">
        <x:f>_xlfn.XLOOKUP($A750,Games!$A$2:$A$18,Games!$O$2:$O$18,"Missing game",0)</x:f>
        <x:v>grass</x:v>
      </x:c>
      <x:c r="AU750" t="n">
        <x:f>_xlfn.XLOOKUP($A750,Games!$A$2:$A$18,Games!$P$2:$P$18,"Missing game",0)</x:f>
        <x:v>61</x:v>
      </x:c>
      <x:c r="AV750" t="n">
        <x:f>_xlfn.XLOOKUP($A750,Games!$A$2:$A$18,Games!$Q$2:$Q$18,"Missing game",0)</x:f>
        <x:v>14</x:v>
      </x:c>
      <x:c r="AW750" t="str">
        <x:f>_xlfn.XLOOKUP($A750,Games!$A$2:$A$18,Games!$R$2:$R$18,"Missing game",0)</x:f>
        <x:v>FirstEnergy Stadium</x:v>
      </x:c>
    </x:row>
    <x:row r="751">
      <x:c r="A751" t="str">
        <x:v>2025_05_MIN_CLE</x:v>
      </x:c>
      <x:c r="B751" t="n">
        <x:v>2084</x:v>
      </x:c>
      <x:c r="C751" t="n">
        <x:v>2</x:v>
      </x:c>
      <x:c r="D751" t="str">
        <x:v>00:39</x:v>
      </x:c>
      <x:c r="E751" t="n">
        <x:v>2</x:v>
      </x:c>
      <x:c r="F751" t="n">
        <x:v>7</x:v>
      </x:c>
      <x:c r="G751" t="str">
        <x:v>CLE</x:v>
      </x:c>
      <x:c r="H751" t="str">
        <x:v>MIN</x:v>
      </x:c>
      <x:c r="I751" t="str">
        <x:v>MIN</x:v>
      </x:c>
      <x:c r="J751" t="n">
        <x:v>35</x:v>
      </x:c>
      <x:c r="K751" t="str">
        <x:v>(:39) (No Huddle, Shotgun) 8-D.Gabriel pass incomplete short left to 16-I.Bond.</x:v>
      </x:c>
      <x:c r="L751" t="str">
        <x:v>pass</x:v>
      </x:c>
      <x:c r="M751" t="n">
        <x:v>0</x:v>
      </x:c>
      <x:c r="N751" t="n">
        <x:v>1</x:v>
      </x:c>
      <x:c r="O751" t="n">
        <x:v>1</x:v>
      </x:c>
      <x:c r="P751" t="str">
        <x:v>short</x:v>
      </x:c>
      <x:c r="Q751" t="str">
        <x:v>left</x:v>
      </x:c>
      <x:c r="R751" t="n">
        <x:v>6</x:v>
      </x:c>
      <x:c r="S751"/>
      <x:c r="T751"/>
      <x:c r="U751"/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/>
      <x:c r="AC751" t="n">
        <x:v>0</x:v>
      </x:c>
      <x:c r="AD751" t="n">
        <x:v>-0.278364697645884</x:v>
      </x:c>
      <x:c r="AE751" t="n">
        <x:v>0</x:v>
      </x:c>
      <x:c r="AF751" t="n">
        <x:v>-0.03195691108703613</x:v>
      </x:c>
      <x:c r="AG751" t="n">
        <x:f>_xlfn.XLOOKUP($A751,Games!$A$2:$A$18,Games!$B$2:$B$18,"Missing game",0)</x:f>
        <x:v>2025</x:v>
      </x:c>
      <x:c r="AH751" t="str">
        <x:f>_xlfn.XLOOKUP($A751,Games!$A$2:$A$18,Games!$C$2:$C$18,"Missing game",0)</x:f>
        <x:v>REG</x:v>
      </x:c>
      <x:c r="AI751" t="n">
        <x:f>_xlfn.XLOOKUP($A751,Games!$A$2:$A$18,Games!$D$2:$D$18,"Missing game",0)</x:f>
        <x:v>5</x:v>
      </x:c>
      <x:c r="AJ751" s="1" t="n">
        <x:f>_xlfn.XLOOKUP($A751,Games!$A$2:$A$18,Games!$E$2:$E$18,"Missing game",0)</x:f>
        <x:v>45935</x:v>
      </x:c>
      <x:c r="AK751" t="str">
        <x:f>_xlfn.XLOOKUP($A751,Games!$A$2:$A$18,Games!$F$2:$F$18,"Missing game",0)</x:f>
        <x:v>Sunday</x:v>
      </x:c>
      <x:c r="AL751" t="str">
        <x:f>_xlfn.XLOOKUP($A751,Games!$A$2:$A$18,Games!$G$2:$G$18,"Missing game",0)</x:f>
        <x:v>MIN</x:v>
      </x:c>
      <x:c r="AM751" t="n">
        <x:f>_xlfn.XLOOKUP($A751,Games!$A$2:$A$18,Games!$H$2:$H$18,"Missing game",0)</x:f>
        <x:v>21</x:v>
      </x:c>
      <x:c r="AN751" t="str">
        <x:f>_xlfn.XLOOKUP($A751,Games!$A$2:$A$18,Games!$I$2:$I$18,"Missing game",0)</x:f>
        <x:v>CLE</x:v>
      </x:c>
      <x:c r="AO751" t="n">
        <x:f>_xlfn.XLOOKUP($A751,Games!$A$2:$A$18,Games!$J$2:$J$18,"Missing game",0)</x:f>
        <x:v>17</x:v>
      </x:c>
      <x:c r="AP751" t="n">
        <x:f>_xlfn.XLOOKUP($A751,Games!$A$2:$A$18,Games!$K$2:$K$18,"Missing game",0)</x:f>
        <x:v>-4</x:v>
      </x:c>
      <x:c r="AQ751" t="n">
        <x:f>_xlfn.XLOOKUP($A751,Games!$A$2:$A$18,Games!$L$2:$L$18,"Missing game",0)</x:f>
        <x:v>38</x:v>
      </x:c>
      <x:c r="AR751" t="n">
        <x:f>_xlfn.XLOOKUP($A751,Games!$A$2:$A$18,Games!$M$2:$M$18,"Missing game",0)</x:f>
        <x:v>0</x:v>
      </x:c>
      <x:c r="AS751" t="str">
        <x:f>_xlfn.XLOOKUP($A751,Games!$A$2:$A$18,Games!$N$2:$N$18,"Missing game",0)</x:f>
        <x:v>outdoors</x:v>
      </x:c>
      <x:c r="AT751" t="str">
        <x:f>_xlfn.XLOOKUP($A751,Games!$A$2:$A$18,Games!$O$2:$O$18,"Missing game",0)</x:f>
        <x:v>grass</x:v>
      </x:c>
      <x:c r="AU751" t="n">
        <x:f>_xlfn.XLOOKUP($A751,Games!$A$2:$A$18,Games!$P$2:$P$18,"Missing game",0)</x:f>
        <x:v>61</x:v>
      </x:c>
      <x:c r="AV751" t="n">
        <x:f>_xlfn.XLOOKUP($A751,Games!$A$2:$A$18,Games!$Q$2:$Q$18,"Missing game",0)</x:f>
        <x:v>14</x:v>
      </x:c>
      <x:c r="AW751" t="str">
        <x:f>_xlfn.XLOOKUP($A751,Games!$A$2:$A$18,Games!$R$2:$R$18,"Missing game",0)</x:f>
        <x:v>FirstEnergy Stadium</x:v>
      </x:c>
    </x:row>
    <x:row r="752">
      <x:c r="A752" t="str">
        <x:v>2025_05_MIN_CLE</x:v>
      </x:c>
      <x:c r="B752" t="n">
        <x:v>2112</x:v>
      </x:c>
      <x:c r="C752" t="n">
        <x:v>2</x:v>
      </x:c>
      <x:c r="D752" t="str">
        <x:v>00:35</x:v>
      </x:c>
      <x:c r="E752" t="n">
        <x:v>3</x:v>
      </x:c>
      <x:c r="F752" t="n">
        <x:v>7</x:v>
      </x:c>
      <x:c r="G752" t="str">
        <x:v>CLE</x:v>
      </x:c>
      <x:c r="H752" t="str">
        <x:v>MIN</x:v>
      </x:c>
      <x:c r="I752" t="str">
        <x:v>MIN</x:v>
      </x:c>
      <x:c r="J752" t="n">
        <x:v>35</x:v>
      </x:c>
      <x:c r="K752" t="str">
        <x:v>(:35) (Shotgun) 8-D.Gabriel pass short right to 3-J.Jeudy to MIN 26 for 9 yards (7-B.Murphy).</x:v>
      </x:c>
      <x:c r="L752" t="str">
        <x:v>pass</x:v>
      </x:c>
      <x:c r="M752" t="n">
        <x:v>9</x:v>
      </x:c>
      <x:c r="N752" t="n">
        <x:v>1</x:v>
      </x:c>
      <x:c r="O752" t="n">
        <x:v>0</x:v>
      </x:c>
      <x:c r="P752" t="str">
        <x:v>short</x:v>
      </x:c>
      <x:c r="Q752" t="str">
        <x:v>right</x:v>
      </x:c>
      <x:c r="R752" t="n">
        <x:v>6</x:v>
      </x:c>
      <x:c r="S752" t="n">
        <x:v>3</x:v>
      </x:c>
      <x:c r="T752"/>
      <x:c r="U752"/>
      <x:c r="V752" t="n">
        <x:v>1</x:v>
      </x:c>
      <x:c r="W752" t="n">
        <x:v>1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/>
      <x:c r="AC752" t="n">
        <x:v>0</x:v>
      </x:c>
      <x:c r="AD752" t="n">
        <x:v>1.0636046013096347</x:v>
      </x:c>
      <x:c r="AE752" t="n">
        <x:v>1</x:v>
      </x:c>
      <x:c r="AF752" t="n">
        <x:v>0.05544090270996094</x:v>
      </x:c>
      <x:c r="AG752" t="n">
        <x:f>_xlfn.XLOOKUP($A752,Games!$A$2:$A$18,Games!$B$2:$B$18,"Missing game",0)</x:f>
        <x:v>2025</x:v>
      </x:c>
      <x:c r="AH752" t="str">
        <x:f>_xlfn.XLOOKUP($A752,Games!$A$2:$A$18,Games!$C$2:$C$18,"Missing game",0)</x:f>
        <x:v>REG</x:v>
      </x:c>
      <x:c r="AI752" t="n">
        <x:f>_xlfn.XLOOKUP($A752,Games!$A$2:$A$18,Games!$D$2:$D$18,"Missing game",0)</x:f>
        <x:v>5</x:v>
      </x:c>
      <x:c r="AJ752" s="1" t="n">
        <x:f>_xlfn.XLOOKUP($A752,Games!$A$2:$A$18,Games!$E$2:$E$18,"Missing game",0)</x:f>
        <x:v>45935</x:v>
      </x:c>
      <x:c r="AK752" t="str">
        <x:f>_xlfn.XLOOKUP($A752,Games!$A$2:$A$18,Games!$F$2:$F$18,"Missing game",0)</x:f>
        <x:v>Sunday</x:v>
      </x:c>
      <x:c r="AL752" t="str">
        <x:f>_xlfn.XLOOKUP($A752,Games!$A$2:$A$18,Games!$G$2:$G$18,"Missing game",0)</x:f>
        <x:v>MIN</x:v>
      </x:c>
      <x:c r="AM752" t="n">
        <x:f>_xlfn.XLOOKUP($A752,Games!$A$2:$A$18,Games!$H$2:$H$18,"Missing game",0)</x:f>
        <x:v>21</x:v>
      </x:c>
      <x:c r="AN752" t="str">
        <x:f>_xlfn.XLOOKUP($A752,Games!$A$2:$A$18,Games!$I$2:$I$18,"Missing game",0)</x:f>
        <x:v>CLE</x:v>
      </x:c>
      <x:c r="AO752" t="n">
        <x:f>_xlfn.XLOOKUP($A752,Games!$A$2:$A$18,Games!$J$2:$J$18,"Missing game",0)</x:f>
        <x:v>17</x:v>
      </x:c>
      <x:c r="AP752" t="n">
        <x:f>_xlfn.XLOOKUP($A752,Games!$A$2:$A$18,Games!$K$2:$K$18,"Missing game",0)</x:f>
        <x:v>-4</x:v>
      </x:c>
      <x:c r="AQ752" t="n">
        <x:f>_xlfn.XLOOKUP($A752,Games!$A$2:$A$18,Games!$L$2:$L$18,"Missing game",0)</x:f>
        <x:v>38</x:v>
      </x:c>
      <x:c r="AR752" t="n">
        <x:f>_xlfn.XLOOKUP($A752,Games!$A$2:$A$18,Games!$M$2:$M$18,"Missing game",0)</x:f>
        <x:v>0</x:v>
      </x:c>
      <x:c r="AS752" t="str">
        <x:f>_xlfn.XLOOKUP($A752,Games!$A$2:$A$18,Games!$N$2:$N$18,"Missing game",0)</x:f>
        <x:v>outdoors</x:v>
      </x:c>
      <x:c r="AT752" t="str">
        <x:f>_xlfn.XLOOKUP($A752,Games!$A$2:$A$18,Games!$O$2:$O$18,"Missing game",0)</x:f>
        <x:v>grass</x:v>
      </x:c>
      <x:c r="AU752" t="n">
        <x:f>_xlfn.XLOOKUP($A752,Games!$A$2:$A$18,Games!$P$2:$P$18,"Missing game",0)</x:f>
        <x:v>61</x:v>
      </x:c>
      <x:c r="AV752" t="n">
        <x:f>_xlfn.XLOOKUP($A752,Games!$A$2:$A$18,Games!$Q$2:$Q$18,"Missing game",0)</x:f>
        <x:v>14</x:v>
      </x:c>
      <x:c r="AW752" t="str">
        <x:f>_xlfn.XLOOKUP($A752,Games!$A$2:$A$18,Games!$R$2:$R$18,"Missing game",0)</x:f>
        <x:v>FirstEnergy Stadium</x:v>
      </x:c>
    </x:row>
    <x:row r="753">
      <x:c r="A753" t="str">
        <x:v>2025_05_MIN_CLE</x:v>
      </x:c>
      <x:c r="B753" t="n">
        <x:v>2137</x:v>
      </x:c>
      <x:c r="C753" t="n">
        <x:v>2</x:v>
      </x:c>
      <x:c r="D753" t="str">
        <x:v>00:30</x:v>
      </x:c>
      <x:c r="E753" t="n">
        <x:v>1</x:v>
      </x:c>
      <x:c r="F753" t="n">
        <x:v>10</x:v>
      </x:c>
      <x:c r="G753" t="str">
        <x:v>CLE</x:v>
      </x:c>
      <x:c r="H753" t="str">
        <x:v>MIN</x:v>
      </x:c>
      <x:c r="I753" t="str">
        <x:v>MIN</x:v>
      </x:c>
      <x:c r="J753" t="n">
        <x:v>26</x:v>
      </x:c>
      <x:c r="K753" t="str">
        <x:v>(:30) (Shotgun) 8-D.Gabriel pass deep right to 85-D.Njoku to MIN 9 for 17 yards (2-I.Rodgers).</x:v>
      </x:c>
      <x:c r="L753" t="str">
        <x:v>pass</x:v>
      </x:c>
      <x:c r="M753" t="n">
        <x:v>17</x:v>
      </x:c>
      <x:c r="N753" t="n">
        <x:v>1</x:v>
      </x:c>
      <x:c r="O753" t="n">
        <x:v>0</x:v>
      </x:c>
      <x:c r="P753" t="str">
        <x:v>deep</x:v>
      </x:c>
      <x:c r="Q753" t="str">
        <x:v>right</x:v>
      </x:c>
      <x:c r="R753" t="n">
        <x:v>16</x:v>
      </x:c>
      <x:c r="S753" t="n">
        <x:v>1</x:v>
      </x:c>
      <x:c r="T753"/>
      <x:c r="U753"/>
      <x:c r="V753" t="n">
        <x:v>1</x:v>
      </x:c>
      <x:c r="W753" t="n">
        <x:v>1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/>
      <x:c r="AC753" t="n">
        <x:v>0</x:v>
      </x:c>
      <x:c r="AD753" t="n">
        <x:v>1.3324258867069148</x:v>
      </x:c>
      <x:c r="AE753" t="n">
        <x:v>1</x:v>
      </x:c>
      <x:c r="AF753" t="n">
        <x:v>0.039785802364349365</x:v>
      </x:c>
      <x:c r="AG753" t="n">
        <x:f>_xlfn.XLOOKUP($A753,Games!$A$2:$A$18,Games!$B$2:$B$18,"Missing game",0)</x:f>
        <x:v>2025</x:v>
      </x:c>
      <x:c r="AH753" t="str">
        <x:f>_xlfn.XLOOKUP($A753,Games!$A$2:$A$18,Games!$C$2:$C$18,"Missing game",0)</x:f>
        <x:v>REG</x:v>
      </x:c>
      <x:c r="AI753" t="n">
        <x:f>_xlfn.XLOOKUP($A753,Games!$A$2:$A$18,Games!$D$2:$D$18,"Missing game",0)</x:f>
        <x:v>5</x:v>
      </x:c>
      <x:c r="AJ753" s="1" t="n">
        <x:f>_xlfn.XLOOKUP($A753,Games!$A$2:$A$18,Games!$E$2:$E$18,"Missing game",0)</x:f>
        <x:v>45935</x:v>
      </x:c>
      <x:c r="AK753" t="str">
        <x:f>_xlfn.XLOOKUP($A753,Games!$A$2:$A$18,Games!$F$2:$F$18,"Missing game",0)</x:f>
        <x:v>Sunday</x:v>
      </x:c>
      <x:c r="AL753" t="str">
        <x:f>_xlfn.XLOOKUP($A753,Games!$A$2:$A$18,Games!$G$2:$G$18,"Missing game",0)</x:f>
        <x:v>MIN</x:v>
      </x:c>
      <x:c r="AM753" t="n">
        <x:f>_xlfn.XLOOKUP($A753,Games!$A$2:$A$18,Games!$H$2:$H$18,"Missing game",0)</x:f>
        <x:v>21</x:v>
      </x:c>
      <x:c r="AN753" t="str">
        <x:f>_xlfn.XLOOKUP($A753,Games!$A$2:$A$18,Games!$I$2:$I$18,"Missing game",0)</x:f>
        <x:v>CLE</x:v>
      </x:c>
      <x:c r="AO753" t="n">
        <x:f>_xlfn.XLOOKUP($A753,Games!$A$2:$A$18,Games!$J$2:$J$18,"Missing game",0)</x:f>
        <x:v>17</x:v>
      </x:c>
      <x:c r="AP753" t="n">
        <x:f>_xlfn.XLOOKUP($A753,Games!$A$2:$A$18,Games!$K$2:$K$18,"Missing game",0)</x:f>
        <x:v>-4</x:v>
      </x:c>
      <x:c r="AQ753" t="n">
        <x:f>_xlfn.XLOOKUP($A753,Games!$A$2:$A$18,Games!$L$2:$L$18,"Missing game",0)</x:f>
        <x:v>38</x:v>
      </x:c>
      <x:c r="AR753" t="n">
        <x:f>_xlfn.XLOOKUP($A753,Games!$A$2:$A$18,Games!$M$2:$M$18,"Missing game",0)</x:f>
        <x:v>0</x:v>
      </x:c>
      <x:c r="AS753" t="str">
        <x:f>_xlfn.XLOOKUP($A753,Games!$A$2:$A$18,Games!$N$2:$N$18,"Missing game",0)</x:f>
        <x:v>outdoors</x:v>
      </x:c>
      <x:c r="AT753" t="str">
        <x:f>_xlfn.XLOOKUP($A753,Games!$A$2:$A$18,Games!$O$2:$O$18,"Missing game",0)</x:f>
        <x:v>grass</x:v>
      </x:c>
      <x:c r="AU753" t="n">
        <x:f>_xlfn.XLOOKUP($A753,Games!$A$2:$A$18,Games!$P$2:$P$18,"Missing game",0)</x:f>
        <x:v>61</x:v>
      </x:c>
      <x:c r="AV753" t="n">
        <x:f>_xlfn.XLOOKUP($A753,Games!$A$2:$A$18,Games!$Q$2:$Q$18,"Missing game",0)</x:f>
        <x:v>14</x:v>
      </x:c>
      <x:c r="AW753" t="str">
        <x:f>_xlfn.XLOOKUP($A753,Games!$A$2:$A$18,Games!$R$2:$R$18,"Missing game",0)</x:f>
        <x:v>FirstEnergy Stadium</x:v>
      </x:c>
    </x:row>
    <x:row r="754">
      <x:c r="A754" t="str">
        <x:v>2025_05_MIN_CLE</x:v>
      </x:c>
      <x:c r="B754" t="n">
        <x:v>2149</x:v>
      </x:c>
      <x:c r="C754" t="n">
        <x:v>2</x:v>
      </x:c>
      <x:c r="D754" t="str">
        <x:v>00:30</x:v>
      </x:c>
      <x:c r="E754"/>
      <x:c r="F754" t="n">
        <x:v>0</x:v>
      </x:c>
      <x:c r="G754"/>
      <x:c r="H754"/>
      <x:c r="I754"/>
      <x:c r="J754"/>
      <x:c r="K754" t="str">
        <x:v>Timeout #1 by CLE at 00:30.</x:v>
      </x:c>
      <x:c r="L754" t="str">
        <x:v>no_play</x:v>
      </x:c>
      <x:c r="M754" t="n">
        <x:v>0</x:v>
      </x:c>
      <x:c r="N754" t="n">
        <x:v>0</x:v>
      </x:c>
      <x:c r="O754" t="n">
        <x:v>0</x:v>
      </x:c>
      <x:c r="P754"/>
      <x:c r="Q754"/>
      <x:c r="R754"/>
      <x:c r="S754"/>
      <x:c r="T754"/>
      <x:c r="U754"/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/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f>_xlfn.XLOOKUP($A754,Games!$A$2:$A$18,Games!$B$2:$B$18,"Missing game",0)</x:f>
        <x:v>2025</x:v>
      </x:c>
      <x:c r="AH754" t="str">
        <x:f>_xlfn.XLOOKUP($A754,Games!$A$2:$A$18,Games!$C$2:$C$18,"Missing game",0)</x:f>
        <x:v>REG</x:v>
      </x:c>
      <x:c r="AI754" t="n">
        <x:f>_xlfn.XLOOKUP($A754,Games!$A$2:$A$18,Games!$D$2:$D$18,"Missing game",0)</x:f>
        <x:v>5</x:v>
      </x:c>
      <x:c r="AJ754" s="1" t="n">
        <x:f>_xlfn.XLOOKUP($A754,Games!$A$2:$A$18,Games!$E$2:$E$18,"Missing game",0)</x:f>
        <x:v>45935</x:v>
      </x:c>
      <x:c r="AK754" t="str">
        <x:f>_xlfn.XLOOKUP($A754,Games!$A$2:$A$18,Games!$F$2:$F$18,"Missing game",0)</x:f>
        <x:v>Sunday</x:v>
      </x:c>
      <x:c r="AL754" t="str">
        <x:f>_xlfn.XLOOKUP($A754,Games!$A$2:$A$18,Games!$G$2:$G$18,"Missing game",0)</x:f>
        <x:v>MIN</x:v>
      </x:c>
      <x:c r="AM754" t="n">
        <x:f>_xlfn.XLOOKUP($A754,Games!$A$2:$A$18,Games!$H$2:$H$18,"Missing game",0)</x:f>
        <x:v>21</x:v>
      </x:c>
      <x:c r="AN754" t="str">
        <x:f>_xlfn.XLOOKUP($A754,Games!$A$2:$A$18,Games!$I$2:$I$18,"Missing game",0)</x:f>
        <x:v>CLE</x:v>
      </x:c>
      <x:c r="AO754" t="n">
        <x:f>_xlfn.XLOOKUP($A754,Games!$A$2:$A$18,Games!$J$2:$J$18,"Missing game",0)</x:f>
        <x:v>17</x:v>
      </x:c>
      <x:c r="AP754" t="n">
        <x:f>_xlfn.XLOOKUP($A754,Games!$A$2:$A$18,Games!$K$2:$K$18,"Missing game",0)</x:f>
        <x:v>-4</x:v>
      </x:c>
      <x:c r="AQ754" t="n">
        <x:f>_xlfn.XLOOKUP($A754,Games!$A$2:$A$18,Games!$L$2:$L$18,"Missing game",0)</x:f>
        <x:v>38</x:v>
      </x:c>
      <x:c r="AR754" t="n">
        <x:f>_xlfn.XLOOKUP($A754,Games!$A$2:$A$18,Games!$M$2:$M$18,"Missing game",0)</x:f>
        <x:v>0</x:v>
      </x:c>
      <x:c r="AS754" t="str">
        <x:f>_xlfn.XLOOKUP($A754,Games!$A$2:$A$18,Games!$N$2:$N$18,"Missing game",0)</x:f>
        <x:v>outdoors</x:v>
      </x:c>
      <x:c r="AT754" t="str">
        <x:f>_xlfn.XLOOKUP($A754,Games!$A$2:$A$18,Games!$O$2:$O$18,"Missing game",0)</x:f>
        <x:v>grass</x:v>
      </x:c>
      <x:c r="AU754" t="n">
        <x:f>_xlfn.XLOOKUP($A754,Games!$A$2:$A$18,Games!$P$2:$P$18,"Missing game",0)</x:f>
        <x:v>61</x:v>
      </x:c>
      <x:c r="AV754" t="n">
        <x:f>_xlfn.XLOOKUP($A754,Games!$A$2:$A$18,Games!$Q$2:$Q$18,"Missing game",0)</x:f>
        <x:v>14</x:v>
      </x:c>
      <x:c r="AW754" t="str">
        <x:f>_xlfn.XLOOKUP($A754,Games!$A$2:$A$18,Games!$R$2:$R$18,"Missing game",0)</x:f>
        <x:v>FirstEnergy Stadium</x:v>
      </x:c>
    </x:row>
    <x:row r="755">
      <x:c r="A755" t="str">
        <x:v>2025_05_MIN_CLE</x:v>
      </x:c>
      <x:c r="B755" t="n">
        <x:v>2169</x:v>
      </x:c>
      <x:c r="C755" t="n">
        <x:v>2</x:v>
      </x:c>
      <x:c r="D755" t="str">
        <x:v>00:25</x:v>
      </x:c>
      <x:c r="E755" t="n">
        <x:v>1</x:v>
      </x:c>
      <x:c r="F755" t="n">
        <x:v>9</x:v>
      </x:c>
      <x:c r="G755" t="str">
        <x:v>CLE</x:v>
      </x:c>
      <x:c r="H755" t="str">
        <x:v>MIN</x:v>
      </x:c>
      <x:c r="I755" t="str">
        <x:v>MIN</x:v>
      </x:c>
      <x:c r="J755" t="n">
        <x:v>9</x:v>
      </x:c>
      <x:c r="K755" t="str">
        <x:v>(:25) (Shotgun) 34-J.Ford up the middle to MIN 8 for 1 yard (55-E.Wilson).</x:v>
      </x:c>
      <x:c r="L755" t="str">
        <x:v>run</x:v>
      </x:c>
      <x:c r="M755" t="n">
        <x:v>1</x:v>
      </x:c>
      <x:c r="N755" t="n">
        <x:v>1</x:v>
      </x:c>
      <x:c r="O755" t="n">
        <x:v>0</x:v>
      </x:c>
      <x:c r="P755"/>
      <x:c r="Q755"/>
      <x:c r="R755"/>
      <x:c r="S755"/>
      <x:c r="T755" t="str">
        <x:v>middle</x:v>
      </x:c>
      <x:c r="U755"/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/>
      <x:c r="AC755" t="n">
        <x:v>0</x:v>
      </x:c>
      <x:c r="AD755" t="n">
        <x:v>-0.29022563074249774</x:v>
      </x:c>
      <x:c r="AE755" t="n">
        <x:v>0</x:v>
      </x:c>
      <x:c r="AF755" t="n">
        <x:v>-0.02779489755630493</x:v>
      </x:c>
      <x:c r="AG755" t="n">
        <x:f>_xlfn.XLOOKUP($A755,Games!$A$2:$A$18,Games!$B$2:$B$18,"Missing game",0)</x:f>
        <x:v>2025</x:v>
      </x:c>
      <x:c r="AH755" t="str">
        <x:f>_xlfn.XLOOKUP($A755,Games!$A$2:$A$18,Games!$C$2:$C$18,"Missing game",0)</x:f>
        <x:v>REG</x:v>
      </x:c>
      <x:c r="AI755" t="n">
        <x:f>_xlfn.XLOOKUP($A755,Games!$A$2:$A$18,Games!$D$2:$D$18,"Missing game",0)</x:f>
        <x:v>5</x:v>
      </x:c>
      <x:c r="AJ755" s="1" t="n">
        <x:f>_xlfn.XLOOKUP($A755,Games!$A$2:$A$18,Games!$E$2:$E$18,"Missing game",0)</x:f>
        <x:v>45935</x:v>
      </x:c>
      <x:c r="AK755" t="str">
        <x:f>_xlfn.XLOOKUP($A755,Games!$A$2:$A$18,Games!$F$2:$F$18,"Missing game",0)</x:f>
        <x:v>Sunday</x:v>
      </x:c>
      <x:c r="AL755" t="str">
        <x:f>_xlfn.XLOOKUP($A755,Games!$A$2:$A$18,Games!$G$2:$G$18,"Missing game",0)</x:f>
        <x:v>MIN</x:v>
      </x:c>
      <x:c r="AM755" t="n">
        <x:f>_xlfn.XLOOKUP($A755,Games!$A$2:$A$18,Games!$H$2:$H$18,"Missing game",0)</x:f>
        <x:v>21</x:v>
      </x:c>
      <x:c r="AN755" t="str">
        <x:f>_xlfn.XLOOKUP($A755,Games!$A$2:$A$18,Games!$I$2:$I$18,"Missing game",0)</x:f>
        <x:v>CLE</x:v>
      </x:c>
      <x:c r="AO755" t="n">
        <x:f>_xlfn.XLOOKUP($A755,Games!$A$2:$A$18,Games!$J$2:$J$18,"Missing game",0)</x:f>
        <x:v>17</x:v>
      </x:c>
      <x:c r="AP755" t="n">
        <x:f>_xlfn.XLOOKUP($A755,Games!$A$2:$A$18,Games!$K$2:$K$18,"Missing game",0)</x:f>
        <x:v>-4</x:v>
      </x:c>
      <x:c r="AQ755" t="n">
        <x:f>_xlfn.XLOOKUP($A755,Games!$A$2:$A$18,Games!$L$2:$L$18,"Missing game",0)</x:f>
        <x:v>38</x:v>
      </x:c>
      <x:c r="AR755" t="n">
        <x:f>_xlfn.XLOOKUP($A755,Games!$A$2:$A$18,Games!$M$2:$M$18,"Missing game",0)</x:f>
        <x:v>0</x:v>
      </x:c>
      <x:c r="AS755" t="str">
        <x:f>_xlfn.XLOOKUP($A755,Games!$A$2:$A$18,Games!$N$2:$N$18,"Missing game",0)</x:f>
        <x:v>outdoors</x:v>
      </x:c>
      <x:c r="AT755" t="str">
        <x:f>_xlfn.XLOOKUP($A755,Games!$A$2:$A$18,Games!$O$2:$O$18,"Missing game",0)</x:f>
        <x:v>grass</x:v>
      </x:c>
      <x:c r="AU755" t="n">
        <x:f>_xlfn.XLOOKUP($A755,Games!$A$2:$A$18,Games!$P$2:$P$18,"Missing game",0)</x:f>
        <x:v>61</x:v>
      </x:c>
      <x:c r="AV755" t="n">
        <x:f>_xlfn.XLOOKUP($A755,Games!$A$2:$A$18,Games!$Q$2:$Q$18,"Missing game",0)</x:f>
        <x:v>14</x:v>
      </x:c>
      <x:c r="AW755" t="str">
        <x:f>_xlfn.XLOOKUP($A755,Games!$A$2:$A$18,Games!$R$2:$R$18,"Missing game",0)</x:f>
        <x:v>FirstEnergy Stadium</x:v>
      </x:c>
    </x:row>
    <x:row r="756">
      <x:c r="A756" t="str">
        <x:v>2025_05_MIN_CLE</x:v>
      </x:c>
      <x:c r="B756" t="n">
        <x:v>2181</x:v>
      </x:c>
      <x:c r="C756" t="n">
        <x:v>2</x:v>
      </x:c>
      <x:c r="D756" t="str">
        <x:v>00:25</x:v>
      </x:c>
      <x:c r="E756"/>
      <x:c r="F756" t="n">
        <x:v>0</x:v>
      </x:c>
      <x:c r="G756"/>
      <x:c r="H756"/>
      <x:c r="I756"/>
      <x:c r="J756"/>
      <x:c r="K756" t="str">
        <x:v>Timeout #2 by CLE at 00:25.</x:v>
      </x:c>
      <x:c r="L756" t="str">
        <x:v>no_play</x:v>
      </x:c>
      <x:c r="M756" t="n">
        <x:v>0</x:v>
      </x:c>
      <x:c r="N756" t="n">
        <x:v>0</x:v>
      </x:c>
      <x:c r="O756" t="n">
        <x:v>0</x:v>
      </x:c>
      <x:c r="P756"/>
      <x:c r="Q756"/>
      <x:c r="R756"/>
      <x:c r="S756"/>
      <x:c r="T756"/>
      <x:c r="U756"/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/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f>_xlfn.XLOOKUP($A756,Games!$A$2:$A$18,Games!$B$2:$B$18,"Missing game",0)</x:f>
        <x:v>2025</x:v>
      </x:c>
      <x:c r="AH756" t="str">
        <x:f>_xlfn.XLOOKUP($A756,Games!$A$2:$A$18,Games!$C$2:$C$18,"Missing game",0)</x:f>
        <x:v>REG</x:v>
      </x:c>
      <x:c r="AI756" t="n">
        <x:f>_xlfn.XLOOKUP($A756,Games!$A$2:$A$18,Games!$D$2:$D$18,"Missing game",0)</x:f>
        <x:v>5</x:v>
      </x:c>
      <x:c r="AJ756" s="1" t="n">
        <x:f>_xlfn.XLOOKUP($A756,Games!$A$2:$A$18,Games!$E$2:$E$18,"Missing game",0)</x:f>
        <x:v>45935</x:v>
      </x:c>
      <x:c r="AK756" t="str">
        <x:f>_xlfn.XLOOKUP($A756,Games!$A$2:$A$18,Games!$F$2:$F$18,"Missing game",0)</x:f>
        <x:v>Sunday</x:v>
      </x:c>
      <x:c r="AL756" t="str">
        <x:f>_xlfn.XLOOKUP($A756,Games!$A$2:$A$18,Games!$G$2:$G$18,"Missing game",0)</x:f>
        <x:v>MIN</x:v>
      </x:c>
      <x:c r="AM756" t="n">
        <x:f>_xlfn.XLOOKUP($A756,Games!$A$2:$A$18,Games!$H$2:$H$18,"Missing game",0)</x:f>
        <x:v>21</x:v>
      </x:c>
      <x:c r="AN756" t="str">
        <x:f>_xlfn.XLOOKUP($A756,Games!$A$2:$A$18,Games!$I$2:$I$18,"Missing game",0)</x:f>
        <x:v>CLE</x:v>
      </x:c>
      <x:c r="AO756" t="n">
        <x:f>_xlfn.XLOOKUP($A756,Games!$A$2:$A$18,Games!$J$2:$J$18,"Missing game",0)</x:f>
        <x:v>17</x:v>
      </x:c>
      <x:c r="AP756" t="n">
        <x:f>_xlfn.XLOOKUP($A756,Games!$A$2:$A$18,Games!$K$2:$K$18,"Missing game",0)</x:f>
        <x:v>-4</x:v>
      </x:c>
      <x:c r="AQ756" t="n">
        <x:f>_xlfn.XLOOKUP($A756,Games!$A$2:$A$18,Games!$L$2:$L$18,"Missing game",0)</x:f>
        <x:v>38</x:v>
      </x:c>
      <x:c r="AR756" t="n">
        <x:f>_xlfn.XLOOKUP($A756,Games!$A$2:$A$18,Games!$M$2:$M$18,"Missing game",0)</x:f>
        <x:v>0</x:v>
      </x:c>
      <x:c r="AS756" t="str">
        <x:f>_xlfn.XLOOKUP($A756,Games!$A$2:$A$18,Games!$N$2:$N$18,"Missing game",0)</x:f>
        <x:v>outdoors</x:v>
      </x:c>
      <x:c r="AT756" t="str">
        <x:f>_xlfn.XLOOKUP($A756,Games!$A$2:$A$18,Games!$O$2:$O$18,"Missing game",0)</x:f>
        <x:v>grass</x:v>
      </x:c>
      <x:c r="AU756" t="n">
        <x:f>_xlfn.XLOOKUP($A756,Games!$A$2:$A$18,Games!$P$2:$P$18,"Missing game",0)</x:f>
        <x:v>61</x:v>
      </x:c>
      <x:c r="AV756" t="n">
        <x:f>_xlfn.XLOOKUP($A756,Games!$A$2:$A$18,Games!$Q$2:$Q$18,"Missing game",0)</x:f>
        <x:v>14</x:v>
      </x:c>
      <x:c r="AW756" t="str">
        <x:f>_xlfn.XLOOKUP($A756,Games!$A$2:$A$18,Games!$R$2:$R$18,"Missing game",0)</x:f>
        <x:v>FirstEnergy Stadium</x:v>
      </x:c>
    </x:row>
    <x:row r="757">
      <x:c r="A757" t="str">
        <x:v>2025_05_MIN_CLE</x:v>
      </x:c>
      <x:c r="B757" t="n">
        <x:v>2188</x:v>
      </x:c>
      <x:c r="C757" t="n">
        <x:v>2</x:v>
      </x:c>
      <x:c r="D757" t="str">
        <x:v>00:25</x:v>
      </x:c>
      <x:c r="E757"/>
      <x:c r="F757" t="n">
        <x:v>0</x:v>
      </x:c>
      <x:c r="G757"/>
      <x:c r="H757"/>
      <x:c r="I757"/>
      <x:c r="J757"/>
      <x:c r="K757" t="str">
        <x:v>Timeout #1 by MIN at 00:25.</x:v>
      </x:c>
      <x:c r="L757" t="str">
        <x:v>no_play</x:v>
      </x:c>
      <x:c r="M757" t="n">
        <x:v>0</x:v>
      </x:c>
      <x:c r="N757" t="n">
        <x:v>0</x:v>
      </x:c>
      <x:c r="O757" t="n">
        <x:v>0</x:v>
      </x:c>
      <x:c r="P757"/>
      <x:c r="Q757"/>
      <x:c r="R757"/>
      <x:c r="S757"/>
      <x:c r="T757"/>
      <x:c r="U757"/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/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f>_xlfn.XLOOKUP($A757,Games!$A$2:$A$18,Games!$B$2:$B$18,"Missing game",0)</x:f>
        <x:v>2025</x:v>
      </x:c>
      <x:c r="AH757" t="str">
        <x:f>_xlfn.XLOOKUP($A757,Games!$A$2:$A$18,Games!$C$2:$C$18,"Missing game",0)</x:f>
        <x:v>REG</x:v>
      </x:c>
      <x:c r="AI757" t="n">
        <x:f>_xlfn.XLOOKUP($A757,Games!$A$2:$A$18,Games!$D$2:$D$18,"Missing game",0)</x:f>
        <x:v>5</x:v>
      </x:c>
      <x:c r="AJ757" s="1" t="n">
        <x:f>_xlfn.XLOOKUP($A757,Games!$A$2:$A$18,Games!$E$2:$E$18,"Missing game",0)</x:f>
        <x:v>45935</x:v>
      </x:c>
      <x:c r="AK757" t="str">
        <x:f>_xlfn.XLOOKUP($A757,Games!$A$2:$A$18,Games!$F$2:$F$18,"Missing game",0)</x:f>
        <x:v>Sunday</x:v>
      </x:c>
      <x:c r="AL757" t="str">
        <x:f>_xlfn.XLOOKUP($A757,Games!$A$2:$A$18,Games!$G$2:$G$18,"Missing game",0)</x:f>
        <x:v>MIN</x:v>
      </x:c>
      <x:c r="AM757" t="n">
        <x:f>_xlfn.XLOOKUP($A757,Games!$A$2:$A$18,Games!$H$2:$H$18,"Missing game",0)</x:f>
        <x:v>21</x:v>
      </x:c>
      <x:c r="AN757" t="str">
        <x:f>_xlfn.XLOOKUP($A757,Games!$A$2:$A$18,Games!$I$2:$I$18,"Missing game",0)</x:f>
        <x:v>CLE</x:v>
      </x:c>
      <x:c r="AO757" t="n">
        <x:f>_xlfn.XLOOKUP($A757,Games!$A$2:$A$18,Games!$J$2:$J$18,"Missing game",0)</x:f>
        <x:v>17</x:v>
      </x:c>
      <x:c r="AP757" t="n">
        <x:f>_xlfn.XLOOKUP($A757,Games!$A$2:$A$18,Games!$K$2:$K$18,"Missing game",0)</x:f>
        <x:v>-4</x:v>
      </x:c>
      <x:c r="AQ757" t="n">
        <x:f>_xlfn.XLOOKUP($A757,Games!$A$2:$A$18,Games!$L$2:$L$18,"Missing game",0)</x:f>
        <x:v>38</x:v>
      </x:c>
      <x:c r="AR757" t="n">
        <x:f>_xlfn.XLOOKUP($A757,Games!$A$2:$A$18,Games!$M$2:$M$18,"Missing game",0)</x:f>
        <x:v>0</x:v>
      </x:c>
      <x:c r="AS757" t="str">
        <x:f>_xlfn.XLOOKUP($A757,Games!$A$2:$A$18,Games!$N$2:$N$18,"Missing game",0)</x:f>
        <x:v>outdoors</x:v>
      </x:c>
      <x:c r="AT757" t="str">
        <x:f>_xlfn.XLOOKUP($A757,Games!$A$2:$A$18,Games!$O$2:$O$18,"Missing game",0)</x:f>
        <x:v>grass</x:v>
      </x:c>
      <x:c r="AU757" t="n">
        <x:f>_xlfn.XLOOKUP($A757,Games!$A$2:$A$18,Games!$P$2:$P$18,"Missing game",0)</x:f>
        <x:v>61</x:v>
      </x:c>
      <x:c r="AV757" t="n">
        <x:f>_xlfn.XLOOKUP($A757,Games!$A$2:$A$18,Games!$Q$2:$Q$18,"Missing game",0)</x:f>
        <x:v>14</x:v>
      </x:c>
      <x:c r="AW757" t="str">
        <x:f>_xlfn.XLOOKUP($A757,Games!$A$2:$A$18,Games!$R$2:$R$18,"Missing game",0)</x:f>
        <x:v>FirstEnergy Stadium</x:v>
      </x:c>
    </x:row>
    <x:row r="758">
      <x:c r="A758" t="str">
        <x:v>2025_05_MIN_CLE</x:v>
      </x:c>
      <x:c r="B758" t="n">
        <x:v>2205</x:v>
      </x:c>
      <x:c r="C758" t="n">
        <x:v>2</x:v>
      </x:c>
      <x:c r="D758" t="str">
        <x:v>00:21</x:v>
      </x:c>
      <x:c r="E758" t="n">
        <x:v>2</x:v>
      </x:c>
      <x:c r="F758" t="n">
        <x:v>8</x:v>
      </x:c>
      <x:c r="G758" t="str">
        <x:v>CLE</x:v>
      </x:c>
      <x:c r="H758" t="str">
        <x:v>MIN</x:v>
      </x:c>
      <x:c r="I758" t="str">
        <x:v>MIN</x:v>
      </x:c>
      <x:c r="J758" t="n">
        <x:v>8</x:v>
      </x:c>
      <x:c r="K758" t="str">
        <x:v>(:21) (Shotgun) 8-D.Gabriel pass incomplete short left to 3-J.Jeudy (58-J.Greenard).</x:v>
      </x:c>
      <x:c r="L758" t="str">
        <x:v>pass</x:v>
      </x:c>
      <x:c r="M758" t="n">
        <x:v>0</x:v>
      </x:c>
      <x:c r="N758" t="n">
        <x:v>1</x:v>
      </x:c>
      <x:c r="O758" t="n">
        <x:v>0</x:v>
      </x:c>
      <x:c r="P758" t="str">
        <x:v>short</x:v>
      </x:c>
      <x:c r="Q758" t="str">
        <x:v>left</x:v>
      </x:c>
      <x:c r="R758" t="n">
        <x:v>3</x:v>
      </x:c>
      <x:c r="S758"/>
      <x:c r="T758"/>
      <x:c r="U758"/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/>
      <x:c r="AC758" t="n">
        <x:v>0</x:v>
      </x:c>
      <x:c r="AD758" t="n">
        <x:v>-0.903309699438978</x:v>
      </x:c>
      <x:c r="AE758" t="n">
        <x:v>0</x:v>
      </x:c>
      <x:c r="AF758" t="n">
        <x:v>-0.006667017936706543</x:v>
      </x:c>
      <x:c r="AG758" t="n">
        <x:f>_xlfn.XLOOKUP($A758,Games!$A$2:$A$18,Games!$B$2:$B$18,"Missing game",0)</x:f>
        <x:v>2025</x:v>
      </x:c>
      <x:c r="AH758" t="str">
        <x:f>_xlfn.XLOOKUP($A758,Games!$A$2:$A$18,Games!$C$2:$C$18,"Missing game",0)</x:f>
        <x:v>REG</x:v>
      </x:c>
      <x:c r="AI758" t="n">
        <x:f>_xlfn.XLOOKUP($A758,Games!$A$2:$A$18,Games!$D$2:$D$18,"Missing game",0)</x:f>
        <x:v>5</x:v>
      </x:c>
      <x:c r="AJ758" s="1" t="n">
        <x:f>_xlfn.XLOOKUP($A758,Games!$A$2:$A$18,Games!$E$2:$E$18,"Missing game",0)</x:f>
        <x:v>45935</x:v>
      </x:c>
      <x:c r="AK758" t="str">
        <x:f>_xlfn.XLOOKUP($A758,Games!$A$2:$A$18,Games!$F$2:$F$18,"Missing game",0)</x:f>
        <x:v>Sunday</x:v>
      </x:c>
      <x:c r="AL758" t="str">
        <x:f>_xlfn.XLOOKUP($A758,Games!$A$2:$A$18,Games!$G$2:$G$18,"Missing game",0)</x:f>
        <x:v>MIN</x:v>
      </x:c>
      <x:c r="AM758" t="n">
        <x:f>_xlfn.XLOOKUP($A758,Games!$A$2:$A$18,Games!$H$2:$H$18,"Missing game",0)</x:f>
        <x:v>21</x:v>
      </x:c>
      <x:c r="AN758" t="str">
        <x:f>_xlfn.XLOOKUP($A758,Games!$A$2:$A$18,Games!$I$2:$I$18,"Missing game",0)</x:f>
        <x:v>CLE</x:v>
      </x:c>
      <x:c r="AO758" t="n">
        <x:f>_xlfn.XLOOKUP($A758,Games!$A$2:$A$18,Games!$J$2:$J$18,"Missing game",0)</x:f>
        <x:v>17</x:v>
      </x:c>
      <x:c r="AP758" t="n">
        <x:f>_xlfn.XLOOKUP($A758,Games!$A$2:$A$18,Games!$K$2:$K$18,"Missing game",0)</x:f>
        <x:v>-4</x:v>
      </x:c>
      <x:c r="AQ758" t="n">
        <x:f>_xlfn.XLOOKUP($A758,Games!$A$2:$A$18,Games!$L$2:$L$18,"Missing game",0)</x:f>
        <x:v>38</x:v>
      </x:c>
      <x:c r="AR758" t="n">
        <x:f>_xlfn.XLOOKUP($A758,Games!$A$2:$A$18,Games!$M$2:$M$18,"Missing game",0)</x:f>
        <x:v>0</x:v>
      </x:c>
      <x:c r="AS758" t="str">
        <x:f>_xlfn.XLOOKUP($A758,Games!$A$2:$A$18,Games!$N$2:$N$18,"Missing game",0)</x:f>
        <x:v>outdoors</x:v>
      </x:c>
      <x:c r="AT758" t="str">
        <x:f>_xlfn.XLOOKUP($A758,Games!$A$2:$A$18,Games!$O$2:$O$18,"Missing game",0)</x:f>
        <x:v>grass</x:v>
      </x:c>
      <x:c r="AU758" t="n">
        <x:f>_xlfn.XLOOKUP($A758,Games!$A$2:$A$18,Games!$P$2:$P$18,"Missing game",0)</x:f>
        <x:v>61</x:v>
      </x:c>
      <x:c r="AV758" t="n">
        <x:f>_xlfn.XLOOKUP($A758,Games!$A$2:$A$18,Games!$Q$2:$Q$18,"Missing game",0)</x:f>
        <x:v>14</x:v>
      </x:c>
      <x:c r="AW758" t="str">
        <x:f>_xlfn.XLOOKUP($A758,Games!$A$2:$A$18,Games!$R$2:$R$18,"Missing game",0)</x:f>
        <x:v>FirstEnergy Stadium</x:v>
      </x:c>
    </x:row>
    <x:row r="759">
      <x:c r="A759" t="str">
        <x:v>2025_05_MIN_CLE</x:v>
      </x:c>
      <x:c r="B759" t="n">
        <x:v>2217</x:v>
      </x:c>
      <x:c r="C759" t="n">
        <x:v>2</x:v>
      </x:c>
      <x:c r="D759" t="str">
        <x:v>00:21</x:v>
      </x:c>
      <x:c r="E759"/>
      <x:c r="F759" t="n">
        <x:v>0</x:v>
      </x:c>
      <x:c r="G759"/>
      <x:c r="H759"/>
      <x:c r="I759"/>
      <x:c r="J759"/>
      <x:c r="K759" t="str">
        <x:v>Timeout #3 by CLE at 00:21.</x:v>
      </x:c>
      <x:c r="L759" t="str">
        <x:v>no_play</x:v>
      </x:c>
      <x:c r="M759" t="n">
        <x:v>0</x:v>
      </x:c>
      <x:c r="N759" t="n">
        <x:v>0</x:v>
      </x:c>
      <x:c r="O759" t="n">
        <x:v>0</x:v>
      </x:c>
      <x:c r="P759"/>
      <x:c r="Q759"/>
      <x:c r="R759"/>
      <x:c r="S759"/>
      <x:c r="T759"/>
      <x:c r="U759"/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/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f>_xlfn.XLOOKUP($A759,Games!$A$2:$A$18,Games!$B$2:$B$18,"Missing game",0)</x:f>
        <x:v>2025</x:v>
      </x:c>
      <x:c r="AH759" t="str">
        <x:f>_xlfn.XLOOKUP($A759,Games!$A$2:$A$18,Games!$C$2:$C$18,"Missing game",0)</x:f>
        <x:v>REG</x:v>
      </x:c>
      <x:c r="AI759" t="n">
        <x:f>_xlfn.XLOOKUP($A759,Games!$A$2:$A$18,Games!$D$2:$D$18,"Missing game",0)</x:f>
        <x:v>5</x:v>
      </x:c>
      <x:c r="AJ759" s="1" t="n">
        <x:f>_xlfn.XLOOKUP($A759,Games!$A$2:$A$18,Games!$E$2:$E$18,"Missing game",0)</x:f>
        <x:v>45935</x:v>
      </x:c>
      <x:c r="AK759" t="str">
        <x:f>_xlfn.XLOOKUP($A759,Games!$A$2:$A$18,Games!$F$2:$F$18,"Missing game",0)</x:f>
        <x:v>Sunday</x:v>
      </x:c>
      <x:c r="AL759" t="str">
        <x:f>_xlfn.XLOOKUP($A759,Games!$A$2:$A$18,Games!$G$2:$G$18,"Missing game",0)</x:f>
        <x:v>MIN</x:v>
      </x:c>
      <x:c r="AM759" t="n">
        <x:f>_xlfn.XLOOKUP($A759,Games!$A$2:$A$18,Games!$H$2:$H$18,"Missing game",0)</x:f>
        <x:v>21</x:v>
      </x:c>
      <x:c r="AN759" t="str">
        <x:f>_xlfn.XLOOKUP($A759,Games!$A$2:$A$18,Games!$I$2:$I$18,"Missing game",0)</x:f>
        <x:v>CLE</x:v>
      </x:c>
      <x:c r="AO759" t="n">
        <x:f>_xlfn.XLOOKUP($A759,Games!$A$2:$A$18,Games!$J$2:$J$18,"Missing game",0)</x:f>
        <x:v>17</x:v>
      </x:c>
      <x:c r="AP759" t="n">
        <x:f>_xlfn.XLOOKUP($A759,Games!$A$2:$A$18,Games!$K$2:$K$18,"Missing game",0)</x:f>
        <x:v>-4</x:v>
      </x:c>
      <x:c r="AQ759" t="n">
        <x:f>_xlfn.XLOOKUP($A759,Games!$A$2:$A$18,Games!$L$2:$L$18,"Missing game",0)</x:f>
        <x:v>38</x:v>
      </x:c>
      <x:c r="AR759" t="n">
        <x:f>_xlfn.XLOOKUP($A759,Games!$A$2:$A$18,Games!$M$2:$M$18,"Missing game",0)</x:f>
        <x:v>0</x:v>
      </x:c>
      <x:c r="AS759" t="str">
        <x:f>_xlfn.XLOOKUP($A759,Games!$A$2:$A$18,Games!$N$2:$N$18,"Missing game",0)</x:f>
        <x:v>outdoors</x:v>
      </x:c>
      <x:c r="AT759" t="str">
        <x:f>_xlfn.XLOOKUP($A759,Games!$A$2:$A$18,Games!$O$2:$O$18,"Missing game",0)</x:f>
        <x:v>grass</x:v>
      </x:c>
      <x:c r="AU759" t="n">
        <x:f>_xlfn.XLOOKUP($A759,Games!$A$2:$A$18,Games!$P$2:$P$18,"Missing game",0)</x:f>
        <x:v>61</x:v>
      </x:c>
      <x:c r="AV759" t="n">
        <x:f>_xlfn.XLOOKUP($A759,Games!$A$2:$A$18,Games!$Q$2:$Q$18,"Missing game",0)</x:f>
        <x:v>14</x:v>
      </x:c>
      <x:c r="AW759" t="str">
        <x:f>_xlfn.XLOOKUP($A759,Games!$A$2:$A$18,Games!$R$2:$R$18,"Missing game",0)</x:f>
        <x:v>FirstEnergy Stadium</x:v>
      </x:c>
    </x:row>
    <x:row r="760">
      <x:c r="A760" t="str">
        <x:v>2025_05_MIN_CLE</x:v>
      </x:c>
      <x:c r="B760" t="n">
        <x:v>2235</x:v>
      </x:c>
      <x:c r="C760" t="n">
        <x:v>2</x:v>
      </x:c>
      <x:c r="D760" t="str">
        <x:v>00:16</x:v>
      </x:c>
      <x:c r="E760" t="n">
        <x:v>3</x:v>
      </x:c>
      <x:c r="F760" t="n">
        <x:v>8</x:v>
      </x:c>
      <x:c r="G760" t="str">
        <x:v>CLE</x:v>
      </x:c>
      <x:c r="H760" t="str">
        <x:v>MIN</x:v>
      </x:c>
      <x:c r="I760" t="str">
        <x:v>MIN</x:v>
      </x:c>
      <x:c r="J760" t="n">
        <x:v>8</x:v>
      </x:c>
      <x:c r="K760" t="str">
        <x:v>(:16) (Shotgun) PENALTY on CLE-72-K.Leveston, False Start, 5 yards, enforced at MIN 8 - No Play.</x:v>
      </x:c>
      <x:c r="L760" t="str">
        <x:v>no_play</x:v>
      </x:c>
      <x:c r="M760" t="n">
        <x:v>0</x:v>
      </x:c>
      <x:c r="N760" t="n">
        <x:v>1</x:v>
      </x:c>
      <x:c r="O760" t="n">
        <x:v>0</x:v>
      </x:c>
      <x:c r="P760"/>
      <x:c r="Q760"/>
      <x:c r="R760"/>
      <x:c r="S760"/>
      <x:c r="T760"/>
      <x:c r="U760"/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1</x:v>
      </x:c>
      <x:c r="AB760" t="n">
        <x:v>5</x:v>
      </x:c>
      <x:c r="AC760" t="n">
        <x:v>0</x:v>
      </x:c>
      <x:c r="AD760" t="n">
        <x:v>-0.513513138925191</x:v>
      </x:c>
      <x:c r="AE760" t="n">
        <x:v>0</x:v>
      </x:c>
      <x:c r="AF760" t="n">
        <x:v>-0.032448410987854004</x:v>
      </x:c>
      <x:c r="AG760" t="n">
        <x:f>_xlfn.XLOOKUP($A760,Games!$A$2:$A$18,Games!$B$2:$B$18,"Missing game",0)</x:f>
        <x:v>2025</x:v>
      </x:c>
      <x:c r="AH760" t="str">
        <x:f>_xlfn.XLOOKUP($A760,Games!$A$2:$A$18,Games!$C$2:$C$18,"Missing game",0)</x:f>
        <x:v>REG</x:v>
      </x:c>
      <x:c r="AI760" t="n">
        <x:f>_xlfn.XLOOKUP($A760,Games!$A$2:$A$18,Games!$D$2:$D$18,"Missing game",0)</x:f>
        <x:v>5</x:v>
      </x:c>
      <x:c r="AJ760" s="1" t="n">
        <x:f>_xlfn.XLOOKUP($A760,Games!$A$2:$A$18,Games!$E$2:$E$18,"Missing game",0)</x:f>
        <x:v>45935</x:v>
      </x:c>
      <x:c r="AK760" t="str">
        <x:f>_xlfn.XLOOKUP($A760,Games!$A$2:$A$18,Games!$F$2:$F$18,"Missing game",0)</x:f>
        <x:v>Sunday</x:v>
      </x:c>
      <x:c r="AL760" t="str">
        <x:f>_xlfn.XLOOKUP($A760,Games!$A$2:$A$18,Games!$G$2:$G$18,"Missing game",0)</x:f>
        <x:v>MIN</x:v>
      </x:c>
      <x:c r="AM760" t="n">
        <x:f>_xlfn.XLOOKUP($A760,Games!$A$2:$A$18,Games!$H$2:$H$18,"Missing game",0)</x:f>
        <x:v>21</x:v>
      </x:c>
      <x:c r="AN760" t="str">
        <x:f>_xlfn.XLOOKUP($A760,Games!$A$2:$A$18,Games!$I$2:$I$18,"Missing game",0)</x:f>
        <x:v>CLE</x:v>
      </x:c>
      <x:c r="AO760" t="n">
        <x:f>_xlfn.XLOOKUP($A760,Games!$A$2:$A$18,Games!$J$2:$J$18,"Missing game",0)</x:f>
        <x:v>17</x:v>
      </x:c>
      <x:c r="AP760" t="n">
        <x:f>_xlfn.XLOOKUP($A760,Games!$A$2:$A$18,Games!$K$2:$K$18,"Missing game",0)</x:f>
        <x:v>-4</x:v>
      </x:c>
      <x:c r="AQ760" t="n">
        <x:f>_xlfn.XLOOKUP($A760,Games!$A$2:$A$18,Games!$L$2:$L$18,"Missing game",0)</x:f>
        <x:v>38</x:v>
      </x:c>
      <x:c r="AR760" t="n">
        <x:f>_xlfn.XLOOKUP($A760,Games!$A$2:$A$18,Games!$M$2:$M$18,"Missing game",0)</x:f>
        <x:v>0</x:v>
      </x:c>
      <x:c r="AS760" t="str">
        <x:f>_xlfn.XLOOKUP($A760,Games!$A$2:$A$18,Games!$N$2:$N$18,"Missing game",0)</x:f>
        <x:v>outdoors</x:v>
      </x:c>
      <x:c r="AT760" t="str">
        <x:f>_xlfn.XLOOKUP($A760,Games!$A$2:$A$18,Games!$O$2:$O$18,"Missing game",0)</x:f>
        <x:v>grass</x:v>
      </x:c>
      <x:c r="AU760" t="n">
        <x:f>_xlfn.XLOOKUP($A760,Games!$A$2:$A$18,Games!$P$2:$P$18,"Missing game",0)</x:f>
        <x:v>61</x:v>
      </x:c>
      <x:c r="AV760" t="n">
        <x:f>_xlfn.XLOOKUP($A760,Games!$A$2:$A$18,Games!$Q$2:$Q$18,"Missing game",0)</x:f>
        <x:v>14</x:v>
      </x:c>
      <x:c r="AW760" t="str">
        <x:f>_xlfn.XLOOKUP($A760,Games!$A$2:$A$18,Games!$R$2:$R$18,"Missing game",0)</x:f>
        <x:v>FirstEnergy Stadium</x:v>
      </x:c>
    </x:row>
    <x:row r="761">
      <x:c r="A761" t="str">
        <x:v>2025_05_MIN_CLE</x:v>
      </x:c>
      <x:c r="B761" t="n">
        <x:v>2247</x:v>
      </x:c>
      <x:c r="C761" t="n">
        <x:v>2</x:v>
      </x:c>
      <x:c r="D761" t="str">
        <x:v>00:16</x:v>
      </x:c>
      <x:c r="E761"/>
      <x:c r="F761" t="n">
        <x:v>0</x:v>
      </x:c>
      <x:c r="G761"/>
      <x:c r="H761"/>
      <x:c r="I761"/>
      <x:c r="J761"/>
      <x:c r="K761" t="str">
        <x:v>Timeout #2 by MIN at 00:16.</x:v>
      </x:c>
      <x:c r="L761" t="str">
        <x:v>no_play</x:v>
      </x:c>
      <x:c r="M761" t="n">
        <x:v>0</x:v>
      </x:c>
      <x:c r="N761" t="n">
        <x:v>0</x:v>
      </x:c>
      <x:c r="O761" t="n">
        <x:v>0</x:v>
      </x:c>
      <x:c r="P761"/>
      <x:c r="Q761"/>
      <x:c r="R761"/>
      <x:c r="S761"/>
      <x:c r="T761"/>
      <x:c r="U761"/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/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f>_xlfn.XLOOKUP($A761,Games!$A$2:$A$18,Games!$B$2:$B$18,"Missing game",0)</x:f>
        <x:v>2025</x:v>
      </x:c>
      <x:c r="AH761" t="str">
        <x:f>_xlfn.XLOOKUP($A761,Games!$A$2:$A$18,Games!$C$2:$C$18,"Missing game",0)</x:f>
        <x:v>REG</x:v>
      </x:c>
      <x:c r="AI761" t="n">
        <x:f>_xlfn.XLOOKUP($A761,Games!$A$2:$A$18,Games!$D$2:$D$18,"Missing game",0)</x:f>
        <x:v>5</x:v>
      </x:c>
      <x:c r="AJ761" s="1" t="n">
        <x:f>_xlfn.XLOOKUP($A761,Games!$A$2:$A$18,Games!$E$2:$E$18,"Missing game",0)</x:f>
        <x:v>45935</x:v>
      </x:c>
      <x:c r="AK761" t="str">
        <x:f>_xlfn.XLOOKUP($A761,Games!$A$2:$A$18,Games!$F$2:$F$18,"Missing game",0)</x:f>
        <x:v>Sunday</x:v>
      </x:c>
      <x:c r="AL761" t="str">
        <x:f>_xlfn.XLOOKUP($A761,Games!$A$2:$A$18,Games!$G$2:$G$18,"Missing game",0)</x:f>
        <x:v>MIN</x:v>
      </x:c>
      <x:c r="AM761" t="n">
        <x:f>_xlfn.XLOOKUP($A761,Games!$A$2:$A$18,Games!$H$2:$H$18,"Missing game",0)</x:f>
        <x:v>21</x:v>
      </x:c>
      <x:c r="AN761" t="str">
        <x:f>_xlfn.XLOOKUP($A761,Games!$A$2:$A$18,Games!$I$2:$I$18,"Missing game",0)</x:f>
        <x:v>CLE</x:v>
      </x:c>
      <x:c r="AO761" t="n">
        <x:f>_xlfn.XLOOKUP($A761,Games!$A$2:$A$18,Games!$J$2:$J$18,"Missing game",0)</x:f>
        <x:v>17</x:v>
      </x:c>
      <x:c r="AP761" t="n">
        <x:f>_xlfn.XLOOKUP($A761,Games!$A$2:$A$18,Games!$K$2:$K$18,"Missing game",0)</x:f>
        <x:v>-4</x:v>
      </x:c>
      <x:c r="AQ761" t="n">
        <x:f>_xlfn.XLOOKUP($A761,Games!$A$2:$A$18,Games!$L$2:$L$18,"Missing game",0)</x:f>
        <x:v>38</x:v>
      </x:c>
      <x:c r="AR761" t="n">
        <x:f>_xlfn.XLOOKUP($A761,Games!$A$2:$A$18,Games!$M$2:$M$18,"Missing game",0)</x:f>
        <x:v>0</x:v>
      </x:c>
      <x:c r="AS761" t="str">
        <x:f>_xlfn.XLOOKUP($A761,Games!$A$2:$A$18,Games!$N$2:$N$18,"Missing game",0)</x:f>
        <x:v>outdoors</x:v>
      </x:c>
      <x:c r="AT761" t="str">
        <x:f>_xlfn.XLOOKUP($A761,Games!$A$2:$A$18,Games!$O$2:$O$18,"Missing game",0)</x:f>
        <x:v>grass</x:v>
      </x:c>
      <x:c r="AU761" t="n">
        <x:f>_xlfn.XLOOKUP($A761,Games!$A$2:$A$18,Games!$P$2:$P$18,"Missing game",0)</x:f>
        <x:v>61</x:v>
      </x:c>
      <x:c r="AV761" t="n">
        <x:f>_xlfn.XLOOKUP($A761,Games!$A$2:$A$18,Games!$Q$2:$Q$18,"Missing game",0)</x:f>
        <x:v>14</x:v>
      </x:c>
      <x:c r="AW761" t="str">
        <x:f>_xlfn.XLOOKUP($A761,Games!$A$2:$A$18,Games!$R$2:$R$18,"Missing game",0)</x:f>
        <x:v>FirstEnergy Stadium</x:v>
      </x:c>
    </x:row>
    <x:row r="762">
      <x:c r="A762" t="str">
        <x:v>2025_05_MIN_CLE</x:v>
      </x:c>
      <x:c r="B762" t="n">
        <x:v>2276</x:v>
      </x:c>
      <x:c r="C762" t="n">
        <x:v>2</x:v>
      </x:c>
      <x:c r="D762" t="str">
        <x:v>00:16</x:v>
      </x:c>
      <x:c r="E762" t="n">
        <x:v>3</x:v>
      </x:c>
      <x:c r="F762" t="n">
        <x:v>13</x:v>
      </x:c>
      <x:c r="G762" t="str">
        <x:v>CLE</x:v>
      </x:c>
      <x:c r="H762" t="str">
        <x:v>MIN</x:v>
      </x:c>
      <x:c r="I762" t="str">
        <x:v>MIN</x:v>
      </x:c>
      <x:c r="J762" t="n">
        <x:v>13</x:v>
      </x:c>
      <x:c r="K762" t="str">
        <x:v>(:16) (Shotgun) 8-D.Gabriel pass incomplete short middle to 85-D.Njoku.</x:v>
      </x:c>
      <x:c r="L762" t="str">
        <x:v>pass</x:v>
      </x:c>
      <x:c r="M762" t="n">
        <x:v>0</x:v>
      </x:c>
      <x:c r="N762" t="n">
        <x:v>1</x:v>
      </x:c>
      <x:c r="O762" t="n">
        <x:v>0</x:v>
      </x:c>
      <x:c r="P762" t="str">
        <x:v>short</x:v>
      </x:c>
      <x:c r="Q762" t="str">
        <x:v>middle</x:v>
      </x:c>
      <x:c r="R762" t="n">
        <x:v>13</x:v>
      </x:c>
      <x:c r="S762"/>
      <x:c r="T762"/>
      <x:c r="U762"/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/>
      <x:c r="AC762" t="n">
        <x:v>0</x:v>
      </x:c>
      <x:c r="AD762" t="n">
        <x:v>-0.10038264212216408</x:v>
      </x:c>
      <x:c r="AE762" t="n">
        <x:v>0</x:v>
      </x:c>
      <x:c r="AF762" t="n">
        <x:v>-0.028274595737457275</x:v>
      </x:c>
      <x:c r="AG762" t="n">
        <x:f>_xlfn.XLOOKUP($A762,Games!$A$2:$A$18,Games!$B$2:$B$18,"Missing game",0)</x:f>
        <x:v>2025</x:v>
      </x:c>
      <x:c r="AH762" t="str">
        <x:f>_xlfn.XLOOKUP($A762,Games!$A$2:$A$18,Games!$C$2:$C$18,"Missing game",0)</x:f>
        <x:v>REG</x:v>
      </x:c>
      <x:c r="AI762" t="n">
        <x:f>_xlfn.XLOOKUP($A762,Games!$A$2:$A$18,Games!$D$2:$D$18,"Missing game",0)</x:f>
        <x:v>5</x:v>
      </x:c>
      <x:c r="AJ762" s="1" t="n">
        <x:f>_xlfn.XLOOKUP($A762,Games!$A$2:$A$18,Games!$E$2:$E$18,"Missing game",0)</x:f>
        <x:v>45935</x:v>
      </x:c>
      <x:c r="AK762" t="str">
        <x:f>_xlfn.XLOOKUP($A762,Games!$A$2:$A$18,Games!$F$2:$F$18,"Missing game",0)</x:f>
        <x:v>Sunday</x:v>
      </x:c>
      <x:c r="AL762" t="str">
        <x:f>_xlfn.XLOOKUP($A762,Games!$A$2:$A$18,Games!$G$2:$G$18,"Missing game",0)</x:f>
        <x:v>MIN</x:v>
      </x:c>
      <x:c r="AM762" t="n">
        <x:f>_xlfn.XLOOKUP($A762,Games!$A$2:$A$18,Games!$H$2:$H$18,"Missing game",0)</x:f>
        <x:v>21</x:v>
      </x:c>
      <x:c r="AN762" t="str">
        <x:f>_xlfn.XLOOKUP($A762,Games!$A$2:$A$18,Games!$I$2:$I$18,"Missing game",0)</x:f>
        <x:v>CLE</x:v>
      </x:c>
      <x:c r="AO762" t="n">
        <x:f>_xlfn.XLOOKUP($A762,Games!$A$2:$A$18,Games!$J$2:$J$18,"Missing game",0)</x:f>
        <x:v>17</x:v>
      </x:c>
      <x:c r="AP762" t="n">
        <x:f>_xlfn.XLOOKUP($A762,Games!$A$2:$A$18,Games!$K$2:$K$18,"Missing game",0)</x:f>
        <x:v>-4</x:v>
      </x:c>
      <x:c r="AQ762" t="n">
        <x:f>_xlfn.XLOOKUP($A762,Games!$A$2:$A$18,Games!$L$2:$L$18,"Missing game",0)</x:f>
        <x:v>38</x:v>
      </x:c>
      <x:c r="AR762" t="n">
        <x:f>_xlfn.XLOOKUP($A762,Games!$A$2:$A$18,Games!$M$2:$M$18,"Missing game",0)</x:f>
        <x:v>0</x:v>
      </x:c>
      <x:c r="AS762" t="str">
        <x:f>_xlfn.XLOOKUP($A762,Games!$A$2:$A$18,Games!$N$2:$N$18,"Missing game",0)</x:f>
        <x:v>outdoors</x:v>
      </x:c>
      <x:c r="AT762" t="str">
        <x:f>_xlfn.XLOOKUP($A762,Games!$A$2:$A$18,Games!$O$2:$O$18,"Missing game",0)</x:f>
        <x:v>grass</x:v>
      </x:c>
      <x:c r="AU762" t="n">
        <x:f>_xlfn.XLOOKUP($A762,Games!$A$2:$A$18,Games!$P$2:$P$18,"Missing game",0)</x:f>
        <x:v>61</x:v>
      </x:c>
      <x:c r="AV762" t="n">
        <x:f>_xlfn.XLOOKUP($A762,Games!$A$2:$A$18,Games!$Q$2:$Q$18,"Missing game",0)</x:f>
        <x:v>14</x:v>
      </x:c>
      <x:c r="AW762" t="str">
        <x:f>_xlfn.XLOOKUP($A762,Games!$A$2:$A$18,Games!$R$2:$R$18,"Missing game",0)</x:f>
        <x:v>FirstEnergy Stadium</x:v>
      </x:c>
    </x:row>
    <x:row r="763">
      <x:c r="A763" t="str">
        <x:v>2025_05_MIN_CLE</x:v>
      </x:c>
      <x:c r="B763" t="n">
        <x:v>2299</x:v>
      </x:c>
      <x:c r="C763" t="n">
        <x:v>2</x:v>
      </x:c>
      <x:c r="D763" t="str">
        <x:v>00:13</x:v>
      </x:c>
      <x:c r="E763" t="n">
        <x:v>4</x:v>
      </x:c>
      <x:c r="F763" t="n">
        <x:v>13</x:v>
      </x:c>
      <x:c r="G763" t="str">
        <x:v>CLE</x:v>
      </x:c>
      <x:c r="H763" t="str">
        <x:v>MIN</x:v>
      </x:c>
      <x:c r="I763" t="str">
        <x:v>MIN</x:v>
      </x:c>
      <x:c r="J763" t="n">
        <x:v>13</x:v>
      </x:c>
      <x:c r="K763" t="str">
        <x:v>(:13) 25-A.Szmyt 31 yard field goal is GOOD, Center-50-R.Sunahara, Holder-13-C.Bojorquez.</x:v>
      </x:c>
      <x:c r="L763" t="str">
        <x:v>field_goal</x:v>
      </x:c>
      <x:c r="M763" t="n">
        <x:v>0</x:v>
      </x:c>
      <x:c r="N763" t="n">
        <x:v>0</x:v>
      </x:c>
      <x:c r="O763" t="n">
        <x:v>0</x:v>
      </x:c>
      <x:c r="P763"/>
      <x:c r="Q763"/>
      <x:c r="R763"/>
      <x:c r="S763"/>
      <x:c r="T763"/>
      <x:c r="U763"/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/>
      <x:c r="AC763" t="n">
        <x:v>0</x:v>
      </x:c>
      <x:c r="AD763" t="n">
        <x:v>0.1574839485694577</x:v>
      </x:c>
      <x:c r="AE763" t="n">
        <x:v>1</x:v>
      </x:c>
      <x:c r="AF763" t="n">
        <x:v>0.024741381406784058</x:v>
      </x:c>
      <x:c r="AG763" t="n">
        <x:f>_xlfn.XLOOKUP($A763,Games!$A$2:$A$18,Games!$B$2:$B$18,"Missing game",0)</x:f>
        <x:v>2025</x:v>
      </x:c>
      <x:c r="AH763" t="str">
        <x:f>_xlfn.XLOOKUP($A763,Games!$A$2:$A$18,Games!$C$2:$C$18,"Missing game",0)</x:f>
        <x:v>REG</x:v>
      </x:c>
      <x:c r="AI763" t="n">
        <x:f>_xlfn.XLOOKUP($A763,Games!$A$2:$A$18,Games!$D$2:$D$18,"Missing game",0)</x:f>
        <x:v>5</x:v>
      </x:c>
      <x:c r="AJ763" s="1" t="n">
        <x:f>_xlfn.XLOOKUP($A763,Games!$A$2:$A$18,Games!$E$2:$E$18,"Missing game",0)</x:f>
        <x:v>45935</x:v>
      </x:c>
      <x:c r="AK763" t="str">
        <x:f>_xlfn.XLOOKUP($A763,Games!$A$2:$A$18,Games!$F$2:$F$18,"Missing game",0)</x:f>
        <x:v>Sunday</x:v>
      </x:c>
      <x:c r="AL763" t="str">
        <x:f>_xlfn.XLOOKUP($A763,Games!$A$2:$A$18,Games!$G$2:$G$18,"Missing game",0)</x:f>
        <x:v>MIN</x:v>
      </x:c>
      <x:c r="AM763" t="n">
        <x:f>_xlfn.XLOOKUP($A763,Games!$A$2:$A$18,Games!$H$2:$H$18,"Missing game",0)</x:f>
        <x:v>21</x:v>
      </x:c>
      <x:c r="AN763" t="str">
        <x:f>_xlfn.XLOOKUP($A763,Games!$A$2:$A$18,Games!$I$2:$I$18,"Missing game",0)</x:f>
        <x:v>CLE</x:v>
      </x:c>
      <x:c r="AO763" t="n">
        <x:f>_xlfn.XLOOKUP($A763,Games!$A$2:$A$18,Games!$J$2:$J$18,"Missing game",0)</x:f>
        <x:v>17</x:v>
      </x:c>
      <x:c r="AP763" t="n">
        <x:f>_xlfn.XLOOKUP($A763,Games!$A$2:$A$18,Games!$K$2:$K$18,"Missing game",0)</x:f>
        <x:v>-4</x:v>
      </x:c>
      <x:c r="AQ763" t="n">
        <x:f>_xlfn.XLOOKUP($A763,Games!$A$2:$A$18,Games!$L$2:$L$18,"Missing game",0)</x:f>
        <x:v>38</x:v>
      </x:c>
      <x:c r="AR763" t="n">
        <x:f>_xlfn.XLOOKUP($A763,Games!$A$2:$A$18,Games!$M$2:$M$18,"Missing game",0)</x:f>
        <x:v>0</x:v>
      </x:c>
      <x:c r="AS763" t="str">
        <x:f>_xlfn.XLOOKUP($A763,Games!$A$2:$A$18,Games!$N$2:$N$18,"Missing game",0)</x:f>
        <x:v>outdoors</x:v>
      </x:c>
      <x:c r="AT763" t="str">
        <x:f>_xlfn.XLOOKUP($A763,Games!$A$2:$A$18,Games!$O$2:$O$18,"Missing game",0)</x:f>
        <x:v>grass</x:v>
      </x:c>
      <x:c r="AU763" t="n">
        <x:f>_xlfn.XLOOKUP($A763,Games!$A$2:$A$18,Games!$P$2:$P$18,"Missing game",0)</x:f>
        <x:v>61</x:v>
      </x:c>
      <x:c r="AV763" t="n">
        <x:f>_xlfn.XLOOKUP($A763,Games!$A$2:$A$18,Games!$Q$2:$Q$18,"Missing game",0)</x:f>
        <x:v>14</x:v>
      </x:c>
      <x:c r="AW763" t="str">
        <x:f>_xlfn.XLOOKUP($A763,Games!$A$2:$A$18,Games!$R$2:$R$18,"Missing game",0)</x:f>
        <x:v>FirstEnergy Stadium</x:v>
      </x:c>
    </x:row>
    <x:row r="764">
      <x:c r="A764" t="str">
        <x:v>2025_05_MIN_CLE</x:v>
      </x:c>
      <x:c r="B764" t="n">
        <x:v>2319</x:v>
      </x:c>
      <x:c r="C764" t="n">
        <x:v>2</x:v>
      </x:c>
      <x:c r="D764" t="str">
        <x:v>00:09</x:v>
      </x:c>
      <x:c r="E764"/>
      <x:c r="F764" t="n">
        <x:v>0</x:v>
      </x:c>
      <x:c r="G764" t="str">
        <x:v>MIN</x:v>
      </x:c>
      <x:c r="H764" t="str">
        <x:v>CLE</x:v>
      </x:c>
      <x:c r="I764" t="str">
        <x:v>CLE</x:v>
      </x:c>
      <x:c r="J764" t="n">
        <x:v>35</x:v>
      </x:c>
      <x:c r="K764" t="str">
        <x:v>25-A.Szmyt kicks 61 yards from CLE 35 to MIN 4. 4-M.Price to MIN 41 for 37 yards (5-R.Jenkins; 83-M.Corley). PENALTY on MIN-41-K.King, Offensive Holding, 10 yards, enforced at MIN 31.</x:v>
      </x:c>
      <x:c r="L764" t="str">
        <x:v>kickoff</x:v>
      </x:c>
      <x:c r="M764" t="n">
        <x:v>0</x:v>
      </x:c>
      <x:c r="N764" t="n">
        <x:v>0</x:v>
      </x:c>
      <x:c r="O764" t="n">
        <x:v>0</x:v>
      </x:c>
      <x:c r="P764"/>
      <x:c r="Q764"/>
      <x:c r="R764"/>
      <x:c r="S764"/>
      <x:c r="T764"/>
      <x:c r="U764"/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1</x:v>
      </x:c>
      <x:c r="AB764" t="n">
        <x:v>10</x:v>
      </x:c>
      <x:c r="AC764" t="n">
        <x:v>0</x:v>
      </x:c>
      <x:c r="AD764" t="n">
        <x:v>-0.04714763184892945</x:v>
      </x:c>
      <x:c r="AE764" t="n">
        <x:v>0</x:v>
      </x:c>
      <x:c r="AF764" t="n">
        <x:v>-0.004606395959854126</x:v>
      </x:c>
      <x:c r="AG764" t="n">
        <x:f>_xlfn.XLOOKUP($A764,Games!$A$2:$A$18,Games!$B$2:$B$18,"Missing game",0)</x:f>
        <x:v>2025</x:v>
      </x:c>
      <x:c r="AH764" t="str">
        <x:f>_xlfn.XLOOKUP($A764,Games!$A$2:$A$18,Games!$C$2:$C$18,"Missing game",0)</x:f>
        <x:v>REG</x:v>
      </x:c>
      <x:c r="AI764" t="n">
        <x:f>_xlfn.XLOOKUP($A764,Games!$A$2:$A$18,Games!$D$2:$D$18,"Missing game",0)</x:f>
        <x:v>5</x:v>
      </x:c>
      <x:c r="AJ764" s="1" t="n">
        <x:f>_xlfn.XLOOKUP($A764,Games!$A$2:$A$18,Games!$E$2:$E$18,"Missing game",0)</x:f>
        <x:v>45935</x:v>
      </x:c>
      <x:c r="AK764" t="str">
        <x:f>_xlfn.XLOOKUP($A764,Games!$A$2:$A$18,Games!$F$2:$F$18,"Missing game",0)</x:f>
        <x:v>Sunday</x:v>
      </x:c>
      <x:c r="AL764" t="str">
        <x:f>_xlfn.XLOOKUP($A764,Games!$A$2:$A$18,Games!$G$2:$G$18,"Missing game",0)</x:f>
        <x:v>MIN</x:v>
      </x:c>
      <x:c r="AM764" t="n">
        <x:f>_xlfn.XLOOKUP($A764,Games!$A$2:$A$18,Games!$H$2:$H$18,"Missing game",0)</x:f>
        <x:v>21</x:v>
      </x:c>
      <x:c r="AN764" t="str">
        <x:f>_xlfn.XLOOKUP($A764,Games!$A$2:$A$18,Games!$I$2:$I$18,"Missing game",0)</x:f>
        <x:v>CLE</x:v>
      </x:c>
      <x:c r="AO764" t="n">
        <x:f>_xlfn.XLOOKUP($A764,Games!$A$2:$A$18,Games!$J$2:$J$18,"Missing game",0)</x:f>
        <x:v>17</x:v>
      </x:c>
      <x:c r="AP764" t="n">
        <x:f>_xlfn.XLOOKUP($A764,Games!$A$2:$A$18,Games!$K$2:$K$18,"Missing game",0)</x:f>
        <x:v>-4</x:v>
      </x:c>
      <x:c r="AQ764" t="n">
        <x:f>_xlfn.XLOOKUP($A764,Games!$A$2:$A$18,Games!$L$2:$L$18,"Missing game",0)</x:f>
        <x:v>38</x:v>
      </x:c>
      <x:c r="AR764" t="n">
        <x:f>_xlfn.XLOOKUP($A764,Games!$A$2:$A$18,Games!$M$2:$M$18,"Missing game",0)</x:f>
        <x:v>0</x:v>
      </x:c>
      <x:c r="AS764" t="str">
        <x:f>_xlfn.XLOOKUP($A764,Games!$A$2:$A$18,Games!$N$2:$N$18,"Missing game",0)</x:f>
        <x:v>outdoors</x:v>
      </x:c>
      <x:c r="AT764" t="str">
        <x:f>_xlfn.XLOOKUP($A764,Games!$A$2:$A$18,Games!$O$2:$O$18,"Missing game",0)</x:f>
        <x:v>grass</x:v>
      </x:c>
      <x:c r="AU764" t="n">
        <x:f>_xlfn.XLOOKUP($A764,Games!$A$2:$A$18,Games!$P$2:$P$18,"Missing game",0)</x:f>
        <x:v>61</x:v>
      </x:c>
      <x:c r="AV764" t="n">
        <x:f>_xlfn.XLOOKUP($A764,Games!$A$2:$A$18,Games!$Q$2:$Q$18,"Missing game",0)</x:f>
        <x:v>14</x:v>
      </x:c>
      <x:c r="AW764" t="str">
        <x:f>_xlfn.XLOOKUP($A764,Games!$A$2:$A$18,Games!$R$2:$R$18,"Missing game",0)</x:f>
        <x:v>FirstEnergy Stadium</x:v>
      </x:c>
    </x:row>
    <x:row r="765">
      <x:c r="A765" t="str">
        <x:v>2025_05_MIN_CLE</x:v>
      </x:c>
      <x:c r="B765" t="n">
        <x:v>2353</x:v>
      </x:c>
      <x:c r="C765" t="n">
        <x:v>2</x:v>
      </x:c>
      <x:c r="D765" t="str">
        <x:v>00:03</x:v>
      </x:c>
      <x:c r="E765" t="n">
        <x:v>1</x:v>
      </x:c>
      <x:c r="F765" t="n">
        <x:v>10</x:v>
      </x:c>
      <x:c r="G765" t="str">
        <x:v>MIN</x:v>
      </x:c>
      <x:c r="H765" t="str">
        <x:v>CLE</x:v>
      </x:c>
      <x:c r="I765" t="str">
        <x:v>MIN</x:v>
      </x:c>
      <x:c r="J765" t="n">
        <x:v>79</x:v>
      </x:c>
      <x:c r="K765" t="str">
        <x:v>(:03) 12-M.Brosmer kneels to MIN 20 for -1 yards.</x:v>
      </x:c>
      <x:c r="L765" t="str">
        <x:v>qb_kneel</x:v>
      </x:c>
      <x:c r="M765" t="n">
        <x:v>-1</x:v>
      </x:c>
      <x:c r="N765" t="n">
        <x:v>0</x:v>
      </x:c>
      <x:c r="O765" t="n">
        <x:v>0</x:v>
      </x:c>
      <x:c r="P765"/>
      <x:c r="Q765"/>
      <x:c r="R765"/>
      <x:c r="S765"/>
      <x:c r="T765"/>
      <x:c r="U765"/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/>
      <x:c r="AC765" t="n">
        <x:v>0</x:v>
      </x:c>
      <x:c r="AD765" t="n">
        <x:v>0</x:v>
      </x:c>
      <x:c r="AE765" t="n">
        <x:v>0</x:v>
      </x:c>
      <x:c r="AF765"/>
      <x:c r="AG765" t="n">
        <x:f>_xlfn.XLOOKUP($A765,Games!$A$2:$A$18,Games!$B$2:$B$18,"Missing game",0)</x:f>
        <x:v>2025</x:v>
      </x:c>
      <x:c r="AH765" t="str">
        <x:f>_xlfn.XLOOKUP($A765,Games!$A$2:$A$18,Games!$C$2:$C$18,"Missing game",0)</x:f>
        <x:v>REG</x:v>
      </x:c>
      <x:c r="AI765" t="n">
        <x:f>_xlfn.XLOOKUP($A765,Games!$A$2:$A$18,Games!$D$2:$D$18,"Missing game",0)</x:f>
        <x:v>5</x:v>
      </x:c>
      <x:c r="AJ765" s="1" t="n">
        <x:f>_xlfn.XLOOKUP($A765,Games!$A$2:$A$18,Games!$E$2:$E$18,"Missing game",0)</x:f>
        <x:v>45935</x:v>
      </x:c>
      <x:c r="AK765" t="str">
        <x:f>_xlfn.XLOOKUP($A765,Games!$A$2:$A$18,Games!$F$2:$F$18,"Missing game",0)</x:f>
        <x:v>Sunday</x:v>
      </x:c>
      <x:c r="AL765" t="str">
        <x:f>_xlfn.XLOOKUP($A765,Games!$A$2:$A$18,Games!$G$2:$G$18,"Missing game",0)</x:f>
        <x:v>MIN</x:v>
      </x:c>
      <x:c r="AM765" t="n">
        <x:f>_xlfn.XLOOKUP($A765,Games!$A$2:$A$18,Games!$H$2:$H$18,"Missing game",0)</x:f>
        <x:v>21</x:v>
      </x:c>
      <x:c r="AN765" t="str">
        <x:f>_xlfn.XLOOKUP($A765,Games!$A$2:$A$18,Games!$I$2:$I$18,"Missing game",0)</x:f>
        <x:v>CLE</x:v>
      </x:c>
      <x:c r="AO765" t="n">
        <x:f>_xlfn.XLOOKUP($A765,Games!$A$2:$A$18,Games!$J$2:$J$18,"Missing game",0)</x:f>
        <x:v>17</x:v>
      </x:c>
      <x:c r="AP765" t="n">
        <x:f>_xlfn.XLOOKUP($A765,Games!$A$2:$A$18,Games!$K$2:$K$18,"Missing game",0)</x:f>
        <x:v>-4</x:v>
      </x:c>
      <x:c r="AQ765" t="n">
        <x:f>_xlfn.XLOOKUP($A765,Games!$A$2:$A$18,Games!$L$2:$L$18,"Missing game",0)</x:f>
        <x:v>38</x:v>
      </x:c>
      <x:c r="AR765" t="n">
        <x:f>_xlfn.XLOOKUP($A765,Games!$A$2:$A$18,Games!$M$2:$M$18,"Missing game",0)</x:f>
        <x:v>0</x:v>
      </x:c>
      <x:c r="AS765" t="str">
        <x:f>_xlfn.XLOOKUP($A765,Games!$A$2:$A$18,Games!$N$2:$N$18,"Missing game",0)</x:f>
        <x:v>outdoors</x:v>
      </x:c>
      <x:c r="AT765" t="str">
        <x:f>_xlfn.XLOOKUP($A765,Games!$A$2:$A$18,Games!$O$2:$O$18,"Missing game",0)</x:f>
        <x:v>grass</x:v>
      </x:c>
      <x:c r="AU765" t="n">
        <x:f>_xlfn.XLOOKUP($A765,Games!$A$2:$A$18,Games!$P$2:$P$18,"Missing game",0)</x:f>
        <x:v>61</x:v>
      </x:c>
      <x:c r="AV765" t="n">
        <x:f>_xlfn.XLOOKUP($A765,Games!$A$2:$A$18,Games!$Q$2:$Q$18,"Missing game",0)</x:f>
        <x:v>14</x:v>
      </x:c>
      <x:c r="AW765" t="str">
        <x:f>_xlfn.XLOOKUP($A765,Games!$A$2:$A$18,Games!$R$2:$R$18,"Missing game",0)</x:f>
        <x:v>FirstEnergy Stadium</x:v>
      </x:c>
    </x:row>
    <x:row r="766">
      <x:c r="A766" t="str">
        <x:v>2025_05_MIN_CLE</x:v>
      </x:c>
      <x:c r="B766" t="n">
        <x:v>2375</x:v>
      </x:c>
      <x:c r="C766" t="n">
        <x:v>2</x:v>
      </x:c>
      <x:c r="D766" t="str">
        <x:v>00:00</x:v>
      </x:c>
      <x:c r="E766"/>
      <x:c r="F766" t="n">
        <x:v>0</x:v>
      </x:c>
      <x:c r="G766"/>
      <x:c r="H766"/>
      <x:c r="I766"/>
      <x:c r="J766"/>
      <x:c r="K766" t="str">
        <x:v>END QUARTER 2</x:v>
      </x:c>
      <x:c r="L766"/>
      <x:c r="M766"/>
      <x:c r="N766" t="n">
        <x:v>0</x:v>
      </x:c>
      <x:c r="O766" t="n">
        <x:v>0</x:v>
      </x:c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 t="n">
        <x:v>0</x:v>
      </x:c>
      <x:c r="AG766" t="n">
        <x:f>_xlfn.XLOOKUP($A766,Games!$A$2:$A$18,Games!$B$2:$B$18,"Missing game",0)</x:f>
        <x:v>2025</x:v>
      </x:c>
      <x:c r="AH766" t="str">
        <x:f>_xlfn.XLOOKUP($A766,Games!$A$2:$A$18,Games!$C$2:$C$18,"Missing game",0)</x:f>
        <x:v>REG</x:v>
      </x:c>
      <x:c r="AI766" t="n">
        <x:f>_xlfn.XLOOKUP($A766,Games!$A$2:$A$18,Games!$D$2:$D$18,"Missing game",0)</x:f>
        <x:v>5</x:v>
      </x:c>
      <x:c r="AJ766" s="1" t="n">
        <x:f>_xlfn.XLOOKUP($A766,Games!$A$2:$A$18,Games!$E$2:$E$18,"Missing game",0)</x:f>
        <x:v>45935</x:v>
      </x:c>
      <x:c r="AK766" t="str">
        <x:f>_xlfn.XLOOKUP($A766,Games!$A$2:$A$18,Games!$F$2:$F$18,"Missing game",0)</x:f>
        <x:v>Sunday</x:v>
      </x:c>
      <x:c r="AL766" t="str">
        <x:f>_xlfn.XLOOKUP($A766,Games!$A$2:$A$18,Games!$G$2:$G$18,"Missing game",0)</x:f>
        <x:v>MIN</x:v>
      </x:c>
      <x:c r="AM766" t="n">
        <x:f>_xlfn.XLOOKUP($A766,Games!$A$2:$A$18,Games!$H$2:$H$18,"Missing game",0)</x:f>
        <x:v>21</x:v>
      </x:c>
      <x:c r="AN766" t="str">
        <x:f>_xlfn.XLOOKUP($A766,Games!$A$2:$A$18,Games!$I$2:$I$18,"Missing game",0)</x:f>
        <x:v>CLE</x:v>
      </x:c>
      <x:c r="AO766" t="n">
        <x:f>_xlfn.XLOOKUP($A766,Games!$A$2:$A$18,Games!$J$2:$J$18,"Missing game",0)</x:f>
        <x:v>17</x:v>
      </x:c>
      <x:c r="AP766" t="n">
        <x:f>_xlfn.XLOOKUP($A766,Games!$A$2:$A$18,Games!$K$2:$K$18,"Missing game",0)</x:f>
        <x:v>-4</x:v>
      </x:c>
      <x:c r="AQ766" t="n">
        <x:f>_xlfn.XLOOKUP($A766,Games!$A$2:$A$18,Games!$L$2:$L$18,"Missing game",0)</x:f>
        <x:v>38</x:v>
      </x:c>
      <x:c r="AR766" t="n">
        <x:f>_xlfn.XLOOKUP($A766,Games!$A$2:$A$18,Games!$M$2:$M$18,"Missing game",0)</x:f>
        <x:v>0</x:v>
      </x:c>
      <x:c r="AS766" t="str">
        <x:f>_xlfn.XLOOKUP($A766,Games!$A$2:$A$18,Games!$N$2:$N$18,"Missing game",0)</x:f>
        <x:v>outdoors</x:v>
      </x:c>
      <x:c r="AT766" t="str">
        <x:f>_xlfn.XLOOKUP($A766,Games!$A$2:$A$18,Games!$O$2:$O$18,"Missing game",0)</x:f>
        <x:v>grass</x:v>
      </x:c>
      <x:c r="AU766" t="n">
        <x:f>_xlfn.XLOOKUP($A766,Games!$A$2:$A$18,Games!$P$2:$P$18,"Missing game",0)</x:f>
        <x:v>61</x:v>
      </x:c>
      <x:c r="AV766" t="n">
        <x:f>_xlfn.XLOOKUP($A766,Games!$A$2:$A$18,Games!$Q$2:$Q$18,"Missing game",0)</x:f>
        <x:v>14</x:v>
      </x:c>
      <x:c r="AW766" t="str">
        <x:f>_xlfn.XLOOKUP($A766,Games!$A$2:$A$18,Games!$R$2:$R$18,"Missing game",0)</x:f>
        <x:v>FirstEnergy Stadium</x:v>
      </x:c>
    </x:row>
    <x:row r="767">
      <x:c r="A767" t="str">
        <x:v>2025_05_MIN_CLE</x:v>
      </x:c>
      <x:c r="B767" t="n">
        <x:v>2395</x:v>
      </x:c>
      <x:c r="C767" t="n">
        <x:v>3</x:v>
      </x:c>
      <x:c r="D767" t="str">
        <x:v>15:00</x:v>
      </x:c>
      <x:c r="E767"/>
      <x:c r="F767" t="n">
        <x:v>0</x:v>
      </x:c>
      <x:c r="G767" t="str">
        <x:v>MIN</x:v>
      </x:c>
      <x:c r="H767" t="str">
        <x:v>CLE</x:v>
      </x:c>
      <x:c r="I767" t="str">
        <x:v>CLE</x:v>
      </x:c>
      <x:c r="J767" t="n">
        <x:v>35</x:v>
      </x:c>
      <x:c r="K767" t="str">
        <x:v>25-A.Szmyt kicks 62 yards from CLE 35 to MIN 3. 4-M.Price to MIN 29 for 26 yards (90-J.Tryon).</x:v>
      </x:c>
      <x:c r="L767" t="str">
        <x:v>kickoff</x:v>
      </x:c>
      <x:c r="M767" t="n">
        <x:v>0</x:v>
      </x:c>
      <x:c r="N767" t="n">
        <x:v>0</x:v>
      </x:c>
      <x:c r="O767" t="n">
        <x:v>0</x:v>
      </x:c>
      <x:c r="P767"/>
      <x:c r="Q767"/>
      <x:c r="R767"/>
      <x:c r="S767"/>
      <x:c r="T767"/>
      <x:c r="U767"/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/>
      <x:c r="AC767" t="n">
        <x:v>0</x:v>
      </x:c>
      <x:c r="AD767" t="n">
        <x:v>0.3105065803974867</x:v>
      </x:c>
      <x:c r="AE767" t="n">
        <x:v>1</x:v>
      </x:c>
      <x:c r="AF767" t="n">
        <x:v>0.0019754767417907715</x:v>
      </x:c>
      <x:c r="AG767" t="n">
        <x:f>_xlfn.XLOOKUP($A767,Games!$A$2:$A$18,Games!$B$2:$B$18,"Missing game",0)</x:f>
        <x:v>2025</x:v>
      </x:c>
      <x:c r="AH767" t="str">
        <x:f>_xlfn.XLOOKUP($A767,Games!$A$2:$A$18,Games!$C$2:$C$18,"Missing game",0)</x:f>
        <x:v>REG</x:v>
      </x:c>
      <x:c r="AI767" t="n">
        <x:f>_xlfn.XLOOKUP($A767,Games!$A$2:$A$18,Games!$D$2:$D$18,"Missing game",0)</x:f>
        <x:v>5</x:v>
      </x:c>
      <x:c r="AJ767" s="1" t="n">
        <x:f>_xlfn.XLOOKUP($A767,Games!$A$2:$A$18,Games!$E$2:$E$18,"Missing game",0)</x:f>
        <x:v>45935</x:v>
      </x:c>
      <x:c r="AK767" t="str">
        <x:f>_xlfn.XLOOKUP($A767,Games!$A$2:$A$18,Games!$F$2:$F$18,"Missing game",0)</x:f>
        <x:v>Sunday</x:v>
      </x:c>
      <x:c r="AL767" t="str">
        <x:f>_xlfn.XLOOKUP($A767,Games!$A$2:$A$18,Games!$G$2:$G$18,"Missing game",0)</x:f>
        <x:v>MIN</x:v>
      </x:c>
      <x:c r="AM767" t="n">
        <x:f>_xlfn.XLOOKUP($A767,Games!$A$2:$A$18,Games!$H$2:$H$18,"Missing game",0)</x:f>
        <x:v>21</x:v>
      </x:c>
      <x:c r="AN767" t="str">
        <x:f>_xlfn.XLOOKUP($A767,Games!$A$2:$A$18,Games!$I$2:$I$18,"Missing game",0)</x:f>
        <x:v>CLE</x:v>
      </x:c>
      <x:c r="AO767" t="n">
        <x:f>_xlfn.XLOOKUP($A767,Games!$A$2:$A$18,Games!$J$2:$J$18,"Missing game",0)</x:f>
        <x:v>17</x:v>
      </x:c>
      <x:c r="AP767" t="n">
        <x:f>_xlfn.XLOOKUP($A767,Games!$A$2:$A$18,Games!$K$2:$K$18,"Missing game",0)</x:f>
        <x:v>-4</x:v>
      </x:c>
      <x:c r="AQ767" t="n">
        <x:f>_xlfn.XLOOKUP($A767,Games!$A$2:$A$18,Games!$L$2:$L$18,"Missing game",0)</x:f>
        <x:v>38</x:v>
      </x:c>
      <x:c r="AR767" t="n">
        <x:f>_xlfn.XLOOKUP($A767,Games!$A$2:$A$18,Games!$M$2:$M$18,"Missing game",0)</x:f>
        <x:v>0</x:v>
      </x:c>
      <x:c r="AS767" t="str">
        <x:f>_xlfn.XLOOKUP($A767,Games!$A$2:$A$18,Games!$N$2:$N$18,"Missing game",0)</x:f>
        <x:v>outdoors</x:v>
      </x:c>
      <x:c r="AT767" t="str">
        <x:f>_xlfn.XLOOKUP($A767,Games!$A$2:$A$18,Games!$O$2:$O$18,"Missing game",0)</x:f>
        <x:v>grass</x:v>
      </x:c>
      <x:c r="AU767" t="n">
        <x:f>_xlfn.XLOOKUP($A767,Games!$A$2:$A$18,Games!$P$2:$P$18,"Missing game",0)</x:f>
        <x:v>61</x:v>
      </x:c>
      <x:c r="AV767" t="n">
        <x:f>_xlfn.XLOOKUP($A767,Games!$A$2:$A$18,Games!$Q$2:$Q$18,"Missing game",0)</x:f>
        <x:v>14</x:v>
      </x:c>
      <x:c r="AW767" t="str">
        <x:f>_xlfn.XLOOKUP($A767,Games!$A$2:$A$18,Games!$R$2:$R$18,"Missing game",0)</x:f>
        <x:v>FirstEnergy Stadium</x:v>
      </x:c>
    </x:row>
    <x:row r="768">
      <x:c r="A768" t="str">
        <x:v>2025_05_MIN_CLE</x:v>
      </x:c>
      <x:c r="B768" t="n">
        <x:v>2418</x:v>
      </x:c>
      <x:c r="C768" t="n">
        <x:v>3</x:v>
      </x:c>
      <x:c r="D768" t="str">
        <x:v>14:54</x:v>
      </x:c>
      <x:c r="E768" t="n">
        <x:v>1</x:v>
      </x:c>
      <x:c r="F768" t="n">
        <x:v>10</x:v>
      </x:c>
      <x:c r="G768" t="str">
        <x:v>MIN</x:v>
      </x:c>
      <x:c r="H768" t="str">
        <x:v>CLE</x:v>
      </x:c>
      <x:c r="I768" t="str">
        <x:v>MIN</x:v>
      </x:c>
      <x:c r="J768" t="n">
        <x:v>71</x:v>
      </x:c>
      <x:c r="K768" t="str">
        <x:v>(14:54) 11-C.Wentz pass incomplete short middle to 27-J.Mason. ** Injury Update: MIN-11-C.Wentz has returned to the game.</x:v>
      </x:c>
      <x:c r="L768" t="str">
        <x:v>pass</x:v>
      </x:c>
      <x:c r="M768" t="n">
        <x:v>0</x:v>
      </x:c>
      <x:c r="N768" t="n">
        <x:v>0</x:v>
      </x:c>
      <x:c r="O768" t="n">
        <x:v>0</x:v>
      </x:c>
      <x:c r="P768" t="str">
        <x:v>short</x:v>
      </x:c>
      <x:c r="Q768" t="str">
        <x:v>middle</x:v>
      </x:c>
      <x:c r="R768" t="n">
        <x:v>-2</x:v>
      </x:c>
      <x:c r="S768"/>
      <x:c r="T768"/>
      <x:c r="U768"/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/>
      <x:c r="AC768" t="n">
        <x:v>0</x:v>
      </x:c>
      <x:c r="AD768" t="n">
        <x:v>-0.5393197541125119</x:v>
      </x:c>
      <x:c r="AE768" t="n">
        <x:v>0</x:v>
      </x:c>
      <x:c r="AF768" t="n">
        <x:v>-0.01808515191078186</x:v>
      </x:c>
      <x:c r="AG768" t="n">
        <x:f>_xlfn.XLOOKUP($A768,Games!$A$2:$A$18,Games!$B$2:$B$18,"Missing game",0)</x:f>
        <x:v>2025</x:v>
      </x:c>
      <x:c r="AH768" t="str">
        <x:f>_xlfn.XLOOKUP($A768,Games!$A$2:$A$18,Games!$C$2:$C$18,"Missing game",0)</x:f>
        <x:v>REG</x:v>
      </x:c>
      <x:c r="AI768" t="n">
        <x:f>_xlfn.XLOOKUP($A768,Games!$A$2:$A$18,Games!$D$2:$D$18,"Missing game",0)</x:f>
        <x:v>5</x:v>
      </x:c>
      <x:c r="AJ768" s="1" t="n">
        <x:f>_xlfn.XLOOKUP($A768,Games!$A$2:$A$18,Games!$E$2:$E$18,"Missing game",0)</x:f>
        <x:v>45935</x:v>
      </x:c>
      <x:c r="AK768" t="str">
        <x:f>_xlfn.XLOOKUP($A768,Games!$A$2:$A$18,Games!$F$2:$F$18,"Missing game",0)</x:f>
        <x:v>Sunday</x:v>
      </x:c>
      <x:c r="AL768" t="str">
        <x:f>_xlfn.XLOOKUP($A768,Games!$A$2:$A$18,Games!$G$2:$G$18,"Missing game",0)</x:f>
        <x:v>MIN</x:v>
      </x:c>
      <x:c r="AM768" t="n">
        <x:f>_xlfn.XLOOKUP($A768,Games!$A$2:$A$18,Games!$H$2:$H$18,"Missing game",0)</x:f>
        <x:v>21</x:v>
      </x:c>
      <x:c r="AN768" t="str">
        <x:f>_xlfn.XLOOKUP($A768,Games!$A$2:$A$18,Games!$I$2:$I$18,"Missing game",0)</x:f>
        <x:v>CLE</x:v>
      </x:c>
      <x:c r="AO768" t="n">
        <x:f>_xlfn.XLOOKUP($A768,Games!$A$2:$A$18,Games!$J$2:$J$18,"Missing game",0)</x:f>
        <x:v>17</x:v>
      </x:c>
      <x:c r="AP768" t="n">
        <x:f>_xlfn.XLOOKUP($A768,Games!$A$2:$A$18,Games!$K$2:$K$18,"Missing game",0)</x:f>
        <x:v>-4</x:v>
      </x:c>
      <x:c r="AQ768" t="n">
        <x:f>_xlfn.XLOOKUP($A768,Games!$A$2:$A$18,Games!$L$2:$L$18,"Missing game",0)</x:f>
        <x:v>38</x:v>
      </x:c>
      <x:c r="AR768" t="n">
        <x:f>_xlfn.XLOOKUP($A768,Games!$A$2:$A$18,Games!$M$2:$M$18,"Missing game",0)</x:f>
        <x:v>0</x:v>
      </x:c>
      <x:c r="AS768" t="str">
        <x:f>_xlfn.XLOOKUP($A768,Games!$A$2:$A$18,Games!$N$2:$N$18,"Missing game",0)</x:f>
        <x:v>outdoors</x:v>
      </x:c>
      <x:c r="AT768" t="str">
        <x:f>_xlfn.XLOOKUP($A768,Games!$A$2:$A$18,Games!$O$2:$O$18,"Missing game",0)</x:f>
        <x:v>grass</x:v>
      </x:c>
      <x:c r="AU768" t="n">
        <x:f>_xlfn.XLOOKUP($A768,Games!$A$2:$A$18,Games!$P$2:$P$18,"Missing game",0)</x:f>
        <x:v>61</x:v>
      </x:c>
      <x:c r="AV768" t="n">
        <x:f>_xlfn.XLOOKUP($A768,Games!$A$2:$A$18,Games!$Q$2:$Q$18,"Missing game",0)</x:f>
        <x:v>14</x:v>
      </x:c>
      <x:c r="AW768" t="str">
        <x:f>_xlfn.XLOOKUP($A768,Games!$A$2:$A$18,Games!$R$2:$R$18,"Missing game",0)</x:f>
        <x:v>FirstEnergy Stadium</x:v>
      </x:c>
    </x:row>
    <x:row r="769">
      <x:c r="A769" t="str">
        <x:v>2025_05_MIN_CLE</x:v>
      </x:c>
      <x:c r="B769" t="n">
        <x:v>2453</x:v>
      </x:c>
      <x:c r="C769" t="n">
        <x:v>3</x:v>
      </x:c>
      <x:c r="D769" t="str">
        <x:v>14:49</x:v>
      </x:c>
      <x:c r="E769" t="n">
        <x:v>2</x:v>
      </x:c>
      <x:c r="F769" t="n">
        <x:v>10</x:v>
      </x:c>
      <x:c r="G769" t="str">
        <x:v>MIN</x:v>
      </x:c>
      <x:c r="H769" t="str">
        <x:v>CLE</x:v>
      </x:c>
      <x:c r="I769" t="str">
        <x:v>MIN</x:v>
      </x:c>
      <x:c r="J769" t="n">
        <x:v>71</x:v>
      </x:c>
      <x:c r="K769" t="str">
        <x:v>(14:49) 27-J.Mason left end to MIN 32 for 3 yards (30-D.Bush).</x:v>
      </x:c>
      <x:c r="L769" t="str">
        <x:v>run</x:v>
      </x:c>
      <x:c r="M769" t="n">
        <x:v>3</x:v>
      </x:c>
      <x:c r="N769" t="n">
        <x:v>0</x:v>
      </x:c>
      <x:c r="O769" t="n">
        <x:v>0</x:v>
      </x:c>
      <x:c r="P769"/>
      <x:c r="Q769"/>
      <x:c r="R769"/>
      <x:c r="S769"/>
      <x:c r="T769" t="str">
        <x:v>left</x:v>
      </x:c>
      <x:c r="U769" t="str">
        <x:v>end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/>
      <x:c r="AC769" t="n">
        <x:v>0</x:v>
      </x:c>
      <x:c r="AD769" t="n">
        <x:v>-0.5147041534073651</x:v>
      </x:c>
      <x:c r="AE769" t="n">
        <x:v>0</x:v>
      </x:c>
      <x:c r="AF769" t="n">
        <x:v>-0.020115703344345093</x:v>
      </x:c>
      <x:c r="AG769" t="n">
        <x:f>_xlfn.XLOOKUP($A769,Games!$A$2:$A$18,Games!$B$2:$B$18,"Missing game",0)</x:f>
        <x:v>2025</x:v>
      </x:c>
      <x:c r="AH769" t="str">
        <x:f>_xlfn.XLOOKUP($A769,Games!$A$2:$A$18,Games!$C$2:$C$18,"Missing game",0)</x:f>
        <x:v>REG</x:v>
      </x:c>
      <x:c r="AI769" t="n">
        <x:f>_xlfn.XLOOKUP($A769,Games!$A$2:$A$18,Games!$D$2:$D$18,"Missing game",0)</x:f>
        <x:v>5</x:v>
      </x:c>
      <x:c r="AJ769" s="1" t="n">
        <x:f>_xlfn.XLOOKUP($A769,Games!$A$2:$A$18,Games!$E$2:$E$18,"Missing game",0)</x:f>
        <x:v>45935</x:v>
      </x:c>
      <x:c r="AK769" t="str">
        <x:f>_xlfn.XLOOKUP($A769,Games!$A$2:$A$18,Games!$F$2:$F$18,"Missing game",0)</x:f>
        <x:v>Sunday</x:v>
      </x:c>
      <x:c r="AL769" t="str">
        <x:f>_xlfn.XLOOKUP($A769,Games!$A$2:$A$18,Games!$G$2:$G$18,"Missing game",0)</x:f>
        <x:v>MIN</x:v>
      </x:c>
      <x:c r="AM769" t="n">
        <x:f>_xlfn.XLOOKUP($A769,Games!$A$2:$A$18,Games!$H$2:$H$18,"Missing game",0)</x:f>
        <x:v>21</x:v>
      </x:c>
      <x:c r="AN769" t="str">
        <x:f>_xlfn.XLOOKUP($A769,Games!$A$2:$A$18,Games!$I$2:$I$18,"Missing game",0)</x:f>
        <x:v>CLE</x:v>
      </x:c>
      <x:c r="AO769" t="n">
        <x:f>_xlfn.XLOOKUP($A769,Games!$A$2:$A$18,Games!$J$2:$J$18,"Missing game",0)</x:f>
        <x:v>17</x:v>
      </x:c>
      <x:c r="AP769" t="n">
        <x:f>_xlfn.XLOOKUP($A769,Games!$A$2:$A$18,Games!$K$2:$K$18,"Missing game",0)</x:f>
        <x:v>-4</x:v>
      </x:c>
      <x:c r="AQ769" t="n">
        <x:f>_xlfn.XLOOKUP($A769,Games!$A$2:$A$18,Games!$L$2:$L$18,"Missing game",0)</x:f>
        <x:v>38</x:v>
      </x:c>
      <x:c r="AR769" t="n">
        <x:f>_xlfn.XLOOKUP($A769,Games!$A$2:$A$18,Games!$M$2:$M$18,"Missing game",0)</x:f>
        <x:v>0</x:v>
      </x:c>
      <x:c r="AS769" t="str">
        <x:f>_xlfn.XLOOKUP($A769,Games!$A$2:$A$18,Games!$N$2:$N$18,"Missing game",0)</x:f>
        <x:v>outdoors</x:v>
      </x:c>
      <x:c r="AT769" t="str">
        <x:f>_xlfn.XLOOKUP($A769,Games!$A$2:$A$18,Games!$O$2:$O$18,"Missing game",0)</x:f>
        <x:v>grass</x:v>
      </x:c>
      <x:c r="AU769" t="n">
        <x:f>_xlfn.XLOOKUP($A769,Games!$A$2:$A$18,Games!$P$2:$P$18,"Missing game",0)</x:f>
        <x:v>61</x:v>
      </x:c>
      <x:c r="AV769" t="n">
        <x:f>_xlfn.XLOOKUP($A769,Games!$A$2:$A$18,Games!$Q$2:$Q$18,"Missing game",0)</x:f>
        <x:v>14</x:v>
      </x:c>
      <x:c r="AW769" t="str">
        <x:f>_xlfn.XLOOKUP($A769,Games!$A$2:$A$18,Games!$R$2:$R$18,"Missing game",0)</x:f>
        <x:v>FirstEnergy Stadium</x:v>
      </x:c>
    </x:row>
    <x:row r="770">
      <x:c r="A770" t="str">
        <x:v>2025_05_MIN_CLE</x:v>
      </x:c>
      <x:c r="B770" t="n">
        <x:v>2475</x:v>
      </x:c>
      <x:c r="C770" t="n">
        <x:v>3</x:v>
      </x:c>
      <x:c r="D770" t="str">
        <x:v>14:08</x:v>
      </x:c>
      <x:c r="E770" t="n">
        <x:v>3</x:v>
      </x:c>
      <x:c r="F770" t="n">
        <x:v>7</x:v>
      </x:c>
      <x:c r="G770" t="str">
        <x:v>MIN</x:v>
      </x:c>
      <x:c r="H770" t="str">
        <x:v>CLE</x:v>
      </x:c>
      <x:c r="I770" t="str">
        <x:v>MIN</x:v>
      </x:c>
      <x:c r="J770" t="n">
        <x:v>68</x:v>
      </x:c>
      <x:c r="K770" t="str">
        <x:v>(14:08) (Shotgun) 11-C.Wentz pass incomplete short left to 18-J.Jefferson. PENALTY on CLE-0-G.Newsome, Defensive Pass Interference, 12 yards, enforced at MIN 32 - No Play.</x:v>
      </x:c>
      <x:c r="L770" t="str">
        <x:v>no_play</x:v>
      </x:c>
      <x:c r="M770" t="n">
        <x:v>0</x:v>
      </x:c>
      <x:c r="N770" t="n">
        <x:v>1</x:v>
      </x:c>
      <x:c r="O770" t="n">
        <x:v>0</x:v>
      </x:c>
      <x:c r="P770"/>
      <x:c r="Q770"/>
      <x:c r="R770"/>
      <x:c r="S770"/>
      <x:c r="T770"/>
      <x:c r="U770"/>
      <x:c r="V770" t="n">
        <x:v>0</x:v>
      </x:c>
      <x:c r="W770" t="n">
        <x:v>1</x:v>
      </x:c>
      <x:c r="X770" t="n">
        <x:v>0</x:v>
      </x:c>
      <x:c r="Y770" t="n">
        <x:v>0</x:v>
      </x:c>
      <x:c r="Z770" t="n">
        <x:v>0</x:v>
      </x:c>
      <x:c r="AA770" t="n">
        <x:v>1</x:v>
      </x:c>
      <x:c r="AB770" t="n">
        <x:v>12</x:v>
      </x:c>
      <x:c r="AC770" t="n">
        <x:v>0</x:v>
      </x:c>
      <x:c r="AD770" t="n">
        <x:v>2.0477682289201766</x:v>
      </x:c>
      <x:c r="AE770" t="n">
        <x:v>1</x:v>
      </x:c>
      <x:c r="AF770" t="n">
        <x:v>0.06420978903770447</x:v>
      </x:c>
      <x:c r="AG770" t="n">
        <x:f>_xlfn.XLOOKUP($A770,Games!$A$2:$A$18,Games!$B$2:$B$18,"Missing game",0)</x:f>
        <x:v>2025</x:v>
      </x:c>
      <x:c r="AH770" t="str">
        <x:f>_xlfn.XLOOKUP($A770,Games!$A$2:$A$18,Games!$C$2:$C$18,"Missing game",0)</x:f>
        <x:v>REG</x:v>
      </x:c>
      <x:c r="AI770" t="n">
        <x:f>_xlfn.XLOOKUP($A770,Games!$A$2:$A$18,Games!$D$2:$D$18,"Missing game",0)</x:f>
        <x:v>5</x:v>
      </x:c>
      <x:c r="AJ770" s="1" t="n">
        <x:f>_xlfn.XLOOKUP($A770,Games!$A$2:$A$18,Games!$E$2:$E$18,"Missing game",0)</x:f>
        <x:v>45935</x:v>
      </x:c>
      <x:c r="AK770" t="str">
        <x:f>_xlfn.XLOOKUP($A770,Games!$A$2:$A$18,Games!$F$2:$F$18,"Missing game",0)</x:f>
        <x:v>Sunday</x:v>
      </x:c>
      <x:c r="AL770" t="str">
        <x:f>_xlfn.XLOOKUP($A770,Games!$A$2:$A$18,Games!$G$2:$G$18,"Missing game",0)</x:f>
        <x:v>MIN</x:v>
      </x:c>
      <x:c r="AM770" t="n">
        <x:f>_xlfn.XLOOKUP($A770,Games!$A$2:$A$18,Games!$H$2:$H$18,"Missing game",0)</x:f>
        <x:v>21</x:v>
      </x:c>
      <x:c r="AN770" t="str">
        <x:f>_xlfn.XLOOKUP($A770,Games!$A$2:$A$18,Games!$I$2:$I$18,"Missing game",0)</x:f>
        <x:v>CLE</x:v>
      </x:c>
      <x:c r="AO770" t="n">
        <x:f>_xlfn.XLOOKUP($A770,Games!$A$2:$A$18,Games!$J$2:$J$18,"Missing game",0)</x:f>
        <x:v>17</x:v>
      </x:c>
      <x:c r="AP770" t="n">
        <x:f>_xlfn.XLOOKUP($A770,Games!$A$2:$A$18,Games!$K$2:$K$18,"Missing game",0)</x:f>
        <x:v>-4</x:v>
      </x:c>
      <x:c r="AQ770" t="n">
        <x:f>_xlfn.XLOOKUP($A770,Games!$A$2:$A$18,Games!$L$2:$L$18,"Missing game",0)</x:f>
        <x:v>38</x:v>
      </x:c>
      <x:c r="AR770" t="n">
        <x:f>_xlfn.XLOOKUP($A770,Games!$A$2:$A$18,Games!$M$2:$M$18,"Missing game",0)</x:f>
        <x:v>0</x:v>
      </x:c>
      <x:c r="AS770" t="str">
        <x:f>_xlfn.XLOOKUP($A770,Games!$A$2:$A$18,Games!$N$2:$N$18,"Missing game",0)</x:f>
        <x:v>outdoors</x:v>
      </x:c>
      <x:c r="AT770" t="str">
        <x:f>_xlfn.XLOOKUP($A770,Games!$A$2:$A$18,Games!$O$2:$O$18,"Missing game",0)</x:f>
        <x:v>grass</x:v>
      </x:c>
      <x:c r="AU770" t="n">
        <x:f>_xlfn.XLOOKUP($A770,Games!$A$2:$A$18,Games!$P$2:$P$18,"Missing game",0)</x:f>
        <x:v>61</x:v>
      </x:c>
      <x:c r="AV770" t="n">
        <x:f>_xlfn.XLOOKUP($A770,Games!$A$2:$A$18,Games!$Q$2:$Q$18,"Missing game",0)</x:f>
        <x:v>14</x:v>
      </x:c>
      <x:c r="AW770" t="str">
        <x:f>_xlfn.XLOOKUP($A770,Games!$A$2:$A$18,Games!$R$2:$R$18,"Missing game",0)</x:f>
        <x:v>FirstEnergy Stadium</x:v>
      </x:c>
    </x:row>
    <x:row r="771">
      <x:c r="A771" t="str">
        <x:v>2025_05_MIN_CLE</x:v>
      </x:c>
      <x:c r="B771" t="n">
        <x:v>2515</x:v>
      </x:c>
      <x:c r="C771" t="n">
        <x:v>3</x:v>
      </x:c>
      <x:c r="D771" t="str">
        <x:v>14:03</x:v>
      </x:c>
      <x:c r="E771" t="n">
        <x:v>1</x:v>
      </x:c>
      <x:c r="F771" t="n">
        <x:v>10</x:v>
      </x:c>
      <x:c r="G771" t="str">
        <x:v>MIN</x:v>
      </x:c>
      <x:c r="H771" t="str">
        <x:v>CLE</x:v>
      </x:c>
      <x:c r="I771" t="str">
        <x:v>MIN</x:v>
      </x:c>
      <x:c r="J771" t="n">
        <x:v>56</x:v>
      </x:c>
      <x:c r="K771" t="str">
        <x:v>(14:03) 11-C.Wentz pass deep left to 18-J.Jefferson to CLE 35 for 21 yards (0-G.Newsome).</x:v>
      </x:c>
      <x:c r="L771" t="str">
        <x:v>pass</x:v>
      </x:c>
      <x:c r="M771" t="n">
        <x:v>21</x:v>
      </x:c>
      <x:c r="N771" t="n">
        <x:v>0</x:v>
      </x:c>
      <x:c r="O771" t="n">
        <x:v>0</x:v>
      </x:c>
      <x:c r="P771" t="str">
        <x:v>deep</x:v>
      </x:c>
      <x:c r="Q771" t="str">
        <x:v>left</x:v>
      </x:c>
      <x:c r="R771" t="n">
        <x:v>21</x:v>
      </x:c>
      <x:c r="S771" t="n">
        <x:v>0</x:v>
      </x:c>
      <x:c r="T771"/>
      <x:c r="U771"/>
      <x:c r="V771" t="n">
        <x:v>1</x:v>
      </x:c>
      <x:c r="W771" t="n">
        <x:v>1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/>
      <x:c r="AC771" t="n">
        <x:v>0</x:v>
      </x:c>
      <x:c r="AD771" t="n">
        <x:v>1.4959603522438556</x:v>
      </x:c>
      <x:c r="AE771" t="n">
        <x:v>1</x:v>
      </x:c>
      <x:c r="AF771" t="n">
        <x:v>0.08545327186584473</x:v>
      </x:c>
      <x:c r="AG771" t="n">
        <x:f>_xlfn.XLOOKUP($A771,Games!$A$2:$A$18,Games!$B$2:$B$18,"Missing game",0)</x:f>
        <x:v>2025</x:v>
      </x:c>
      <x:c r="AH771" t="str">
        <x:f>_xlfn.XLOOKUP($A771,Games!$A$2:$A$18,Games!$C$2:$C$18,"Missing game",0)</x:f>
        <x:v>REG</x:v>
      </x:c>
      <x:c r="AI771" t="n">
        <x:f>_xlfn.XLOOKUP($A771,Games!$A$2:$A$18,Games!$D$2:$D$18,"Missing game",0)</x:f>
        <x:v>5</x:v>
      </x:c>
      <x:c r="AJ771" s="1" t="n">
        <x:f>_xlfn.XLOOKUP($A771,Games!$A$2:$A$18,Games!$E$2:$E$18,"Missing game",0)</x:f>
        <x:v>45935</x:v>
      </x:c>
      <x:c r="AK771" t="str">
        <x:f>_xlfn.XLOOKUP($A771,Games!$A$2:$A$18,Games!$F$2:$F$18,"Missing game",0)</x:f>
        <x:v>Sunday</x:v>
      </x:c>
      <x:c r="AL771" t="str">
        <x:f>_xlfn.XLOOKUP($A771,Games!$A$2:$A$18,Games!$G$2:$G$18,"Missing game",0)</x:f>
        <x:v>MIN</x:v>
      </x:c>
      <x:c r="AM771" t="n">
        <x:f>_xlfn.XLOOKUP($A771,Games!$A$2:$A$18,Games!$H$2:$H$18,"Missing game",0)</x:f>
        <x:v>21</x:v>
      </x:c>
      <x:c r="AN771" t="str">
        <x:f>_xlfn.XLOOKUP($A771,Games!$A$2:$A$18,Games!$I$2:$I$18,"Missing game",0)</x:f>
        <x:v>CLE</x:v>
      </x:c>
      <x:c r="AO771" t="n">
        <x:f>_xlfn.XLOOKUP($A771,Games!$A$2:$A$18,Games!$J$2:$J$18,"Missing game",0)</x:f>
        <x:v>17</x:v>
      </x:c>
      <x:c r="AP771" t="n">
        <x:f>_xlfn.XLOOKUP($A771,Games!$A$2:$A$18,Games!$K$2:$K$18,"Missing game",0)</x:f>
        <x:v>-4</x:v>
      </x:c>
      <x:c r="AQ771" t="n">
        <x:f>_xlfn.XLOOKUP($A771,Games!$A$2:$A$18,Games!$L$2:$L$18,"Missing game",0)</x:f>
        <x:v>38</x:v>
      </x:c>
      <x:c r="AR771" t="n">
        <x:f>_xlfn.XLOOKUP($A771,Games!$A$2:$A$18,Games!$M$2:$M$18,"Missing game",0)</x:f>
        <x:v>0</x:v>
      </x:c>
      <x:c r="AS771" t="str">
        <x:f>_xlfn.XLOOKUP($A771,Games!$A$2:$A$18,Games!$N$2:$N$18,"Missing game",0)</x:f>
        <x:v>outdoors</x:v>
      </x:c>
      <x:c r="AT771" t="str">
        <x:f>_xlfn.XLOOKUP($A771,Games!$A$2:$A$18,Games!$O$2:$O$18,"Missing game",0)</x:f>
        <x:v>grass</x:v>
      </x:c>
      <x:c r="AU771" t="n">
        <x:f>_xlfn.XLOOKUP($A771,Games!$A$2:$A$18,Games!$P$2:$P$18,"Missing game",0)</x:f>
        <x:v>61</x:v>
      </x:c>
      <x:c r="AV771" t="n">
        <x:f>_xlfn.XLOOKUP($A771,Games!$A$2:$A$18,Games!$Q$2:$Q$18,"Missing game",0)</x:f>
        <x:v>14</x:v>
      </x:c>
      <x:c r="AW771" t="str">
        <x:f>_xlfn.XLOOKUP($A771,Games!$A$2:$A$18,Games!$R$2:$R$18,"Missing game",0)</x:f>
        <x:v>FirstEnergy Stadium</x:v>
      </x:c>
    </x:row>
    <x:row r="772">
      <x:c r="A772" t="str">
        <x:v>2025_05_MIN_CLE</x:v>
      </x:c>
      <x:c r="B772" t="n">
        <x:v>2540</x:v>
      </x:c>
      <x:c r="C772" t="n">
        <x:v>3</x:v>
      </x:c>
      <x:c r="D772" t="str">
        <x:v>13:25</x:v>
      </x:c>
      <x:c r="E772" t="n">
        <x:v>1</x:v>
      </x:c>
      <x:c r="F772" t="n">
        <x:v>10</x:v>
      </x:c>
      <x:c r="G772" t="str">
        <x:v>MIN</x:v>
      </x:c>
      <x:c r="H772" t="str">
        <x:v>CLE</x:v>
      </x:c>
      <x:c r="I772" t="str">
        <x:v>CLE</x:v>
      </x:c>
      <x:c r="J772" t="n">
        <x:v>35</x:v>
      </x:c>
      <x:c r="K772" t="str">
        <x:v>(13:25) (No Huddle) 11-C.Wentz pass short right to 3-J.Addison to CLE 20 for 15 yards (33-R.Hickman).</x:v>
      </x:c>
      <x:c r="L772" t="str">
        <x:v>pass</x:v>
      </x:c>
      <x:c r="M772" t="n">
        <x:v>15</x:v>
      </x:c>
      <x:c r="N772" t="n">
        <x:v>0</x:v>
      </x:c>
      <x:c r="O772" t="n">
        <x:v>1</x:v>
      </x:c>
      <x:c r="P772" t="str">
        <x:v>short</x:v>
      </x:c>
      <x:c r="Q772" t="str">
        <x:v>right</x:v>
      </x:c>
      <x:c r="R772" t="n">
        <x:v>11</x:v>
      </x:c>
      <x:c r="S772" t="n">
        <x:v>4</x:v>
      </x:c>
      <x:c r="T772"/>
      <x:c r="U772"/>
      <x:c r="V772" t="n">
        <x:v>1</x:v>
      </x:c>
      <x:c r="W772" t="n">
        <x:v>1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/>
      <x:c r="AC772" t="n">
        <x:v>0</x:v>
      </x:c>
      <x:c r="AD772" t="n">
        <x:v>1.018626102246344</x:v>
      </x:c>
      <x:c r="AE772" t="n">
        <x:v>1</x:v>
      </x:c>
      <x:c r="AF772" t="n">
        <x:v>0.030570924282073975</x:v>
      </x:c>
      <x:c r="AG772" t="n">
        <x:f>_xlfn.XLOOKUP($A772,Games!$A$2:$A$18,Games!$B$2:$B$18,"Missing game",0)</x:f>
        <x:v>2025</x:v>
      </x:c>
      <x:c r="AH772" t="str">
        <x:f>_xlfn.XLOOKUP($A772,Games!$A$2:$A$18,Games!$C$2:$C$18,"Missing game",0)</x:f>
        <x:v>REG</x:v>
      </x:c>
      <x:c r="AI772" t="n">
        <x:f>_xlfn.XLOOKUP($A772,Games!$A$2:$A$18,Games!$D$2:$D$18,"Missing game",0)</x:f>
        <x:v>5</x:v>
      </x:c>
      <x:c r="AJ772" s="1" t="n">
        <x:f>_xlfn.XLOOKUP($A772,Games!$A$2:$A$18,Games!$E$2:$E$18,"Missing game",0)</x:f>
        <x:v>45935</x:v>
      </x:c>
      <x:c r="AK772" t="str">
        <x:f>_xlfn.XLOOKUP($A772,Games!$A$2:$A$18,Games!$F$2:$F$18,"Missing game",0)</x:f>
        <x:v>Sunday</x:v>
      </x:c>
      <x:c r="AL772" t="str">
        <x:f>_xlfn.XLOOKUP($A772,Games!$A$2:$A$18,Games!$G$2:$G$18,"Missing game",0)</x:f>
        <x:v>MIN</x:v>
      </x:c>
      <x:c r="AM772" t="n">
        <x:f>_xlfn.XLOOKUP($A772,Games!$A$2:$A$18,Games!$H$2:$H$18,"Missing game",0)</x:f>
        <x:v>21</x:v>
      </x:c>
      <x:c r="AN772" t="str">
        <x:f>_xlfn.XLOOKUP($A772,Games!$A$2:$A$18,Games!$I$2:$I$18,"Missing game",0)</x:f>
        <x:v>CLE</x:v>
      </x:c>
      <x:c r="AO772" t="n">
        <x:f>_xlfn.XLOOKUP($A772,Games!$A$2:$A$18,Games!$J$2:$J$18,"Missing game",0)</x:f>
        <x:v>17</x:v>
      </x:c>
      <x:c r="AP772" t="n">
        <x:f>_xlfn.XLOOKUP($A772,Games!$A$2:$A$18,Games!$K$2:$K$18,"Missing game",0)</x:f>
        <x:v>-4</x:v>
      </x:c>
      <x:c r="AQ772" t="n">
        <x:f>_xlfn.XLOOKUP($A772,Games!$A$2:$A$18,Games!$L$2:$L$18,"Missing game",0)</x:f>
        <x:v>38</x:v>
      </x:c>
      <x:c r="AR772" t="n">
        <x:f>_xlfn.XLOOKUP($A772,Games!$A$2:$A$18,Games!$M$2:$M$18,"Missing game",0)</x:f>
        <x:v>0</x:v>
      </x:c>
      <x:c r="AS772" t="str">
        <x:f>_xlfn.XLOOKUP($A772,Games!$A$2:$A$18,Games!$N$2:$N$18,"Missing game",0)</x:f>
        <x:v>outdoors</x:v>
      </x:c>
      <x:c r="AT772" t="str">
        <x:f>_xlfn.XLOOKUP($A772,Games!$A$2:$A$18,Games!$O$2:$O$18,"Missing game",0)</x:f>
        <x:v>grass</x:v>
      </x:c>
      <x:c r="AU772" t="n">
        <x:f>_xlfn.XLOOKUP($A772,Games!$A$2:$A$18,Games!$P$2:$P$18,"Missing game",0)</x:f>
        <x:v>61</x:v>
      </x:c>
      <x:c r="AV772" t="n">
        <x:f>_xlfn.XLOOKUP($A772,Games!$A$2:$A$18,Games!$Q$2:$Q$18,"Missing game",0)</x:f>
        <x:v>14</x:v>
      </x:c>
      <x:c r="AW772" t="str">
        <x:f>_xlfn.XLOOKUP($A772,Games!$A$2:$A$18,Games!$R$2:$R$18,"Missing game",0)</x:f>
        <x:v>FirstEnergy Stadium</x:v>
      </x:c>
    </x:row>
    <x:row r="773">
      <x:c r="A773" t="str">
        <x:v>2025_05_MIN_CLE</x:v>
      </x:c>
      <x:c r="B773" t="n">
        <x:v>2565</x:v>
      </x:c>
      <x:c r="C773" t="n">
        <x:v>3</x:v>
      </x:c>
      <x:c r="D773" t="str">
        <x:v>12:40</x:v>
      </x:c>
      <x:c r="E773" t="n">
        <x:v>1</x:v>
      </x:c>
      <x:c r="F773" t="n">
        <x:v>10</x:v>
      </x:c>
      <x:c r="G773" t="str">
        <x:v>MIN</x:v>
      </x:c>
      <x:c r="H773" t="str">
        <x:v>CLE</x:v>
      </x:c>
      <x:c r="I773" t="str">
        <x:v>CLE</x:v>
      </x:c>
      <x:c r="J773" t="n">
        <x:v>20</x:v>
      </x:c>
      <x:c r="K773" t="str">
        <x:v>(12:40) (Shotgun) 11-C.Wentz pass incomplete deep right to 18-J.Jefferson (21-D.Ward).</x:v>
      </x:c>
      <x:c r="L773" t="str">
        <x:v>pass</x:v>
      </x:c>
      <x:c r="M773" t="n">
        <x:v>0</x:v>
      </x:c>
      <x:c r="N773" t="n">
        <x:v>1</x:v>
      </x:c>
      <x:c r="O773" t="n">
        <x:v>0</x:v>
      </x:c>
      <x:c r="P773" t="str">
        <x:v>deep</x:v>
      </x:c>
      <x:c r="Q773" t="str">
        <x:v>right</x:v>
      </x:c>
      <x:c r="R773" t="n">
        <x:v>20</x:v>
      </x:c>
      <x:c r="S773"/>
      <x:c r="T773"/>
      <x:c r="U773"/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/>
      <x:c r="AC773" t="n">
        <x:v>0</x:v>
      </x:c>
      <x:c r="AD773" t="n">
        <x:v>-0.47523577488027513</x:v>
      </x:c>
      <x:c r="AE773" t="n">
        <x:v>0</x:v>
      </x:c>
      <x:c r="AF773" t="n">
        <x:v>-0.016746699810028076</x:v>
      </x:c>
      <x:c r="AG773" t="n">
        <x:f>_xlfn.XLOOKUP($A773,Games!$A$2:$A$18,Games!$B$2:$B$18,"Missing game",0)</x:f>
        <x:v>2025</x:v>
      </x:c>
      <x:c r="AH773" t="str">
        <x:f>_xlfn.XLOOKUP($A773,Games!$A$2:$A$18,Games!$C$2:$C$18,"Missing game",0)</x:f>
        <x:v>REG</x:v>
      </x:c>
      <x:c r="AI773" t="n">
        <x:f>_xlfn.XLOOKUP($A773,Games!$A$2:$A$18,Games!$D$2:$D$18,"Missing game",0)</x:f>
        <x:v>5</x:v>
      </x:c>
      <x:c r="AJ773" s="1" t="n">
        <x:f>_xlfn.XLOOKUP($A773,Games!$A$2:$A$18,Games!$E$2:$E$18,"Missing game",0)</x:f>
        <x:v>45935</x:v>
      </x:c>
      <x:c r="AK773" t="str">
        <x:f>_xlfn.XLOOKUP($A773,Games!$A$2:$A$18,Games!$F$2:$F$18,"Missing game",0)</x:f>
        <x:v>Sunday</x:v>
      </x:c>
      <x:c r="AL773" t="str">
        <x:f>_xlfn.XLOOKUP($A773,Games!$A$2:$A$18,Games!$G$2:$G$18,"Missing game",0)</x:f>
        <x:v>MIN</x:v>
      </x:c>
      <x:c r="AM773" t="n">
        <x:f>_xlfn.XLOOKUP($A773,Games!$A$2:$A$18,Games!$H$2:$H$18,"Missing game",0)</x:f>
        <x:v>21</x:v>
      </x:c>
      <x:c r="AN773" t="str">
        <x:f>_xlfn.XLOOKUP($A773,Games!$A$2:$A$18,Games!$I$2:$I$18,"Missing game",0)</x:f>
        <x:v>CLE</x:v>
      </x:c>
      <x:c r="AO773" t="n">
        <x:f>_xlfn.XLOOKUP($A773,Games!$A$2:$A$18,Games!$J$2:$J$18,"Missing game",0)</x:f>
        <x:v>17</x:v>
      </x:c>
      <x:c r="AP773" t="n">
        <x:f>_xlfn.XLOOKUP($A773,Games!$A$2:$A$18,Games!$K$2:$K$18,"Missing game",0)</x:f>
        <x:v>-4</x:v>
      </x:c>
      <x:c r="AQ773" t="n">
        <x:f>_xlfn.XLOOKUP($A773,Games!$A$2:$A$18,Games!$L$2:$L$18,"Missing game",0)</x:f>
        <x:v>38</x:v>
      </x:c>
      <x:c r="AR773" t="n">
        <x:f>_xlfn.XLOOKUP($A773,Games!$A$2:$A$18,Games!$M$2:$M$18,"Missing game",0)</x:f>
        <x:v>0</x:v>
      </x:c>
      <x:c r="AS773" t="str">
        <x:f>_xlfn.XLOOKUP($A773,Games!$A$2:$A$18,Games!$N$2:$N$18,"Missing game",0)</x:f>
        <x:v>outdoors</x:v>
      </x:c>
      <x:c r="AT773" t="str">
        <x:f>_xlfn.XLOOKUP($A773,Games!$A$2:$A$18,Games!$O$2:$O$18,"Missing game",0)</x:f>
        <x:v>grass</x:v>
      </x:c>
      <x:c r="AU773" t="n">
        <x:f>_xlfn.XLOOKUP($A773,Games!$A$2:$A$18,Games!$P$2:$P$18,"Missing game",0)</x:f>
        <x:v>61</x:v>
      </x:c>
      <x:c r="AV773" t="n">
        <x:f>_xlfn.XLOOKUP($A773,Games!$A$2:$A$18,Games!$Q$2:$Q$18,"Missing game",0)</x:f>
        <x:v>14</x:v>
      </x:c>
      <x:c r="AW773" t="str">
        <x:f>_xlfn.XLOOKUP($A773,Games!$A$2:$A$18,Games!$R$2:$R$18,"Missing game",0)</x:f>
        <x:v>FirstEnergy Stadium</x:v>
      </x:c>
    </x:row>
    <x:row r="774">
      <x:c r="A774" t="str">
        <x:v>2025_05_MIN_CLE</x:v>
      </x:c>
      <x:c r="B774" t="n">
        <x:v>2588</x:v>
      </x:c>
      <x:c r="C774" t="n">
        <x:v>3</x:v>
      </x:c>
      <x:c r="D774" t="str">
        <x:v>12:35</x:v>
      </x:c>
      <x:c r="E774" t="n">
        <x:v>2</x:v>
      </x:c>
      <x:c r="F774" t="n">
        <x:v>10</x:v>
      </x:c>
      <x:c r="G774" t="str">
        <x:v>MIN</x:v>
      </x:c>
      <x:c r="H774" t="str">
        <x:v>CLE</x:v>
      </x:c>
      <x:c r="I774" t="str">
        <x:v>CLE</x:v>
      </x:c>
      <x:c r="J774" t="n">
        <x:v>20</x:v>
      </x:c>
      <x:c r="K774" t="str">
        <x:v>(12:35) 27-J.Mason left tackle pushed ob at CLE 6 for 14 yards (30-D.Bush).</x:v>
      </x:c>
      <x:c r="L774" t="str">
        <x:v>run</x:v>
      </x:c>
      <x:c r="M774" t="n">
        <x:v>14</x:v>
      </x:c>
      <x:c r="N774" t="n">
        <x:v>0</x:v>
      </x:c>
      <x:c r="O774" t="n">
        <x:v>0</x:v>
      </x:c>
      <x:c r="P774"/>
      <x:c r="Q774"/>
      <x:c r="R774"/>
      <x:c r="S774"/>
      <x:c r="T774" t="str">
        <x:v>left</x:v>
      </x:c>
      <x:c r="U774" t="str">
        <x:v>tackle</x:v>
      </x:c>
      <x:c r="V774" t="n">
        <x:v>0</x:v>
      </x:c>
      <x:c r="W774" t="n">
        <x:v>1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/>
      <x:c r="AC774" t="n">
        <x:v>0</x:v>
      </x:c>
      <x:c r="AD774" t="n">
        <x:v>1.487730101449415</x:v>
      </x:c>
      <x:c r="AE774" t="n">
        <x:v>1</x:v>
      </x:c>
      <x:c r="AF774" t="n">
        <x:v>0.054843366146087646</x:v>
      </x:c>
      <x:c r="AG774" t="n">
        <x:f>_xlfn.XLOOKUP($A774,Games!$A$2:$A$18,Games!$B$2:$B$18,"Missing game",0)</x:f>
        <x:v>2025</x:v>
      </x:c>
      <x:c r="AH774" t="str">
        <x:f>_xlfn.XLOOKUP($A774,Games!$A$2:$A$18,Games!$C$2:$C$18,"Missing game",0)</x:f>
        <x:v>REG</x:v>
      </x:c>
      <x:c r="AI774" t="n">
        <x:f>_xlfn.XLOOKUP($A774,Games!$A$2:$A$18,Games!$D$2:$D$18,"Missing game",0)</x:f>
        <x:v>5</x:v>
      </x:c>
      <x:c r="AJ774" s="1" t="n">
        <x:f>_xlfn.XLOOKUP($A774,Games!$A$2:$A$18,Games!$E$2:$E$18,"Missing game",0)</x:f>
        <x:v>45935</x:v>
      </x:c>
      <x:c r="AK774" t="str">
        <x:f>_xlfn.XLOOKUP($A774,Games!$A$2:$A$18,Games!$F$2:$F$18,"Missing game",0)</x:f>
        <x:v>Sunday</x:v>
      </x:c>
      <x:c r="AL774" t="str">
        <x:f>_xlfn.XLOOKUP($A774,Games!$A$2:$A$18,Games!$G$2:$G$18,"Missing game",0)</x:f>
        <x:v>MIN</x:v>
      </x:c>
      <x:c r="AM774" t="n">
        <x:f>_xlfn.XLOOKUP($A774,Games!$A$2:$A$18,Games!$H$2:$H$18,"Missing game",0)</x:f>
        <x:v>21</x:v>
      </x:c>
      <x:c r="AN774" t="str">
        <x:f>_xlfn.XLOOKUP($A774,Games!$A$2:$A$18,Games!$I$2:$I$18,"Missing game",0)</x:f>
        <x:v>CLE</x:v>
      </x:c>
      <x:c r="AO774" t="n">
        <x:f>_xlfn.XLOOKUP($A774,Games!$A$2:$A$18,Games!$J$2:$J$18,"Missing game",0)</x:f>
        <x:v>17</x:v>
      </x:c>
      <x:c r="AP774" t="n">
        <x:f>_xlfn.XLOOKUP($A774,Games!$A$2:$A$18,Games!$K$2:$K$18,"Missing game",0)</x:f>
        <x:v>-4</x:v>
      </x:c>
      <x:c r="AQ774" t="n">
        <x:f>_xlfn.XLOOKUP($A774,Games!$A$2:$A$18,Games!$L$2:$L$18,"Missing game",0)</x:f>
        <x:v>38</x:v>
      </x:c>
      <x:c r="AR774" t="n">
        <x:f>_xlfn.XLOOKUP($A774,Games!$A$2:$A$18,Games!$M$2:$M$18,"Missing game",0)</x:f>
        <x:v>0</x:v>
      </x:c>
      <x:c r="AS774" t="str">
        <x:f>_xlfn.XLOOKUP($A774,Games!$A$2:$A$18,Games!$N$2:$N$18,"Missing game",0)</x:f>
        <x:v>outdoors</x:v>
      </x:c>
      <x:c r="AT774" t="str">
        <x:f>_xlfn.XLOOKUP($A774,Games!$A$2:$A$18,Games!$O$2:$O$18,"Missing game",0)</x:f>
        <x:v>grass</x:v>
      </x:c>
      <x:c r="AU774" t="n">
        <x:f>_xlfn.XLOOKUP($A774,Games!$A$2:$A$18,Games!$P$2:$P$18,"Missing game",0)</x:f>
        <x:v>61</x:v>
      </x:c>
      <x:c r="AV774" t="n">
        <x:f>_xlfn.XLOOKUP($A774,Games!$A$2:$A$18,Games!$Q$2:$Q$18,"Missing game",0)</x:f>
        <x:v>14</x:v>
      </x:c>
      <x:c r="AW774" t="str">
        <x:f>_xlfn.XLOOKUP($A774,Games!$A$2:$A$18,Games!$R$2:$R$18,"Missing game",0)</x:f>
        <x:v>FirstEnergy Stadium</x:v>
      </x:c>
    </x:row>
    <x:row r="775">
      <x:c r="A775" t="str">
        <x:v>2025_05_MIN_CLE</x:v>
      </x:c>
      <x:c r="B775" t="n">
        <x:v>2615</x:v>
      </x:c>
      <x:c r="C775" t="n">
        <x:v>3</x:v>
      </x:c>
      <x:c r="D775" t="str">
        <x:v>11:51</x:v>
      </x:c>
      <x:c r="E775" t="n">
        <x:v>1</x:v>
      </x:c>
      <x:c r="F775" t="n">
        <x:v>6</x:v>
      </x:c>
      <x:c r="G775" t="str">
        <x:v>MIN</x:v>
      </x:c>
      <x:c r="H775" t="str">
        <x:v>CLE</x:v>
      </x:c>
      <x:c r="I775" t="str">
        <x:v>CLE</x:v>
      </x:c>
      <x:c r="J775" t="n">
        <x:v>6</x:v>
      </x:c>
      <x:c r="K775" t="str">
        <x:v>(11:51) 11-C.Wentz pass short right to 84-J.Oliver to CLE 3 for 3 yards (21-D.Ward; 9-G.Delpit).</x:v>
      </x:c>
      <x:c r="L775" t="str">
        <x:v>pass</x:v>
      </x:c>
      <x:c r="M775" t="n">
        <x:v>3</x:v>
      </x:c>
      <x:c r="N775" t="n">
        <x:v>0</x:v>
      </x:c>
      <x:c r="O775" t="n">
        <x:v>0</x:v>
      </x:c>
      <x:c r="P775" t="str">
        <x:v>short</x:v>
      </x:c>
      <x:c r="Q775" t="str">
        <x:v>right</x:v>
      </x:c>
      <x:c r="R775" t="n">
        <x:v>-1</x:v>
      </x:c>
      <x:c r="S775" t="n">
        <x:v>4</x:v>
      </x:c>
      <x:c r="T775"/>
      <x:c r="U775"/>
      <x:c r="V775" t="n">
        <x:v>1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/>
      <x:c r="AC775" t="n">
        <x:v>0</x:v>
      </x:c>
      <x:c r="AD775" t="n">
        <x:v>0.0347320283181034</x:v>
      </x:c>
      <x:c r="AE775" t="n">
        <x:v>1</x:v>
      </x:c>
      <x:c r="AF775" t="n">
        <x:v>0.0016400814056396484</x:v>
      </x:c>
      <x:c r="AG775" t="n">
        <x:f>_xlfn.XLOOKUP($A775,Games!$A$2:$A$18,Games!$B$2:$B$18,"Missing game",0)</x:f>
        <x:v>2025</x:v>
      </x:c>
      <x:c r="AH775" t="str">
        <x:f>_xlfn.XLOOKUP($A775,Games!$A$2:$A$18,Games!$C$2:$C$18,"Missing game",0)</x:f>
        <x:v>REG</x:v>
      </x:c>
      <x:c r="AI775" t="n">
        <x:f>_xlfn.XLOOKUP($A775,Games!$A$2:$A$18,Games!$D$2:$D$18,"Missing game",0)</x:f>
        <x:v>5</x:v>
      </x:c>
      <x:c r="AJ775" s="1" t="n">
        <x:f>_xlfn.XLOOKUP($A775,Games!$A$2:$A$18,Games!$E$2:$E$18,"Missing game",0)</x:f>
        <x:v>45935</x:v>
      </x:c>
      <x:c r="AK775" t="str">
        <x:f>_xlfn.XLOOKUP($A775,Games!$A$2:$A$18,Games!$F$2:$F$18,"Missing game",0)</x:f>
        <x:v>Sunday</x:v>
      </x:c>
      <x:c r="AL775" t="str">
        <x:f>_xlfn.XLOOKUP($A775,Games!$A$2:$A$18,Games!$G$2:$G$18,"Missing game",0)</x:f>
        <x:v>MIN</x:v>
      </x:c>
      <x:c r="AM775" t="n">
        <x:f>_xlfn.XLOOKUP($A775,Games!$A$2:$A$18,Games!$H$2:$H$18,"Missing game",0)</x:f>
        <x:v>21</x:v>
      </x:c>
      <x:c r="AN775" t="str">
        <x:f>_xlfn.XLOOKUP($A775,Games!$A$2:$A$18,Games!$I$2:$I$18,"Missing game",0)</x:f>
        <x:v>CLE</x:v>
      </x:c>
      <x:c r="AO775" t="n">
        <x:f>_xlfn.XLOOKUP($A775,Games!$A$2:$A$18,Games!$J$2:$J$18,"Missing game",0)</x:f>
        <x:v>17</x:v>
      </x:c>
      <x:c r="AP775" t="n">
        <x:f>_xlfn.XLOOKUP($A775,Games!$A$2:$A$18,Games!$K$2:$K$18,"Missing game",0)</x:f>
        <x:v>-4</x:v>
      </x:c>
      <x:c r="AQ775" t="n">
        <x:f>_xlfn.XLOOKUP($A775,Games!$A$2:$A$18,Games!$L$2:$L$18,"Missing game",0)</x:f>
        <x:v>38</x:v>
      </x:c>
      <x:c r="AR775" t="n">
        <x:f>_xlfn.XLOOKUP($A775,Games!$A$2:$A$18,Games!$M$2:$M$18,"Missing game",0)</x:f>
        <x:v>0</x:v>
      </x:c>
      <x:c r="AS775" t="str">
        <x:f>_xlfn.XLOOKUP($A775,Games!$A$2:$A$18,Games!$N$2:$N$18,"Missing game",0)</x:f>
        <x:v>outdoors</x:v>
      </x:c>
      <x:c r="AT775" t="str">
        <x:f>_xlfn.XLOOKUP($A775,Games!$A$2:$A$18,Games!$O$2:$O$18,"Missing game",0)</x:f>
        <x:v>grass</x:v>
      </x:c>
      <x:c r="AU775" t="n">
        <x:f>_xlfn.XLOOKUP($A775,Games!$A$2:$A$18,Games!$P$2:$P$18,"Missing game",0)</x:f>
        <x:v>61</x:v>
      </x:c>
      <x:c r="AV775" t="n">
        <x:f>_xlfn.XLOOKUP($A775,Games!$A$2:$A$18,Games!$Q$2:$Q$18,"Missing game",0)</x:f>
        <x:v>14</x:v>
      </x:c>
      <x:c r="AW775" t="str">
        <x:f>_xlfn.XLOOKUP($A775,Games!$A$2:$A$18,Games!$R$2:$R$18,"Missing game",0)</x:f>
        <x:v>FirstEnergy Stadium</x:v>
      </x:c>
    </x:row>
    <x:row r="776">
      <x:c r="A776" t="str">
        <x:v>2025_05_MIN_CLE</x:v>
      </x:c>
      <x:c r="B776" t="n">
        <x:v>2640</x:v>
      </x:c>
      <x:c r="C776" t="n">
        <x:v>3</x:v>
      </x:c>
      <x:c r="D776" t="str">
        <x:v>11:15</x:v>
      </x:c>
      <x:c r="E776" t="n">
        <x:v>2</x:v>
      </x:c>
      <x:c r="F776" t="n">
        <x:v>3</x:v>
      </x:c>
      <x:c r="G776" t="str">
        <x:v>MIN</x:v>
      </x:c>
      <x:c r="H776" t="str">
        <x:v>CLE</x:v>
      </x:c>
      <x:c r="I776" t="str">
        <x:v>CLE</x:v>
      </x:c>
      <x:c r="J776" t="n">
        <x:v>3</x:v>
      </x:c>
      <x:c r="K776" t="str">
        <x:v>(11:15) (Shotgun) 27-J.Mason up the middle for 3 yards, TOUCHDOWN.</x:v>
      </x:c>
      <x:c r="L776" t="str">
        <x:v>run</x:v>
      </x:c>
      <x:c r="M776" t="n">
        <x:v>3</x:v>
      </x:c>
      <x:c r="N776" t="n">
        <x:v>1</x:v>
      </x:c>
      <x:c r="O776" t="n">
        <x:v>0</x:v>
      </x:c>
      <x:c r="P776"/>
      <x:c r="Q776"/>
      <x:c r="R776"/>
      <x:c r="S776"/>
      <x:c r="T776" t="str">
        <x:v>middle</x:v>
      </x:c>
      <x:c r="U776"/>
      <x:c r="V776" t="n">
        <x:v>0</x:v>
      </x:c>
      <x:c r="W776" t="n">
        <x:v>1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/>
      <x:c r="AC776" t="n">
        <x:v>1</x:v>
      </x:c>
      <x:c r="AD776" t="n">
        <x:v>1.3637139220372774</x:v>
      </x:c>
      <x:c r="AE776" t="n">
        <x:v>1</x:v>
      </x:c>
      <x:c r="AF776" t="n">
        <x:v>0.05565093739277538</x:v>
      </x:c>
      <x:c r="AG776" t="n">
        <x:f>_xlfn.XLOOKUP($A776,Games!$A$2:$A$18,Games!$B$2:$B$18,"Missing game",0)</x:f>
        <x:v>2025</x:v>
      </x:c>
      <x:c r="AH776" t="str">
        <x:f>_xlfn.XLOOKUP($A776,Games!$A$2:$A$18,Games!$C$2:$C$18,"Missing game",0)</x:f>
        <x:v>REG</x:v>
      </x:c>
      <x:c r="AI776" t="n">
        <x:f>_xlfn.XLOOKUP($A776,Games!$A$2:$A$18,Games!$D$2:$D$18,"Missing game",0)</x:f>
        <x:v>5</x:v>
      </x:c>
      <x:c r="AJ776" s="1" t="n">
        <x:f>_xlfn.XLOOKUP($A776,Games!$A$2:$A$18,Games!$E$2:$E$18,"Missing game",0)</x:f>
        <x:v>45935</x:v>
      </x:c>
      <x:c r="AK776" t="str">
        <x:f>_xlfn.XLOOKUP($A776,Games!$A$2:$A$18,Games!$F$2:$F$18,"Missing game",0)</x:f>
        <x:v>Sunday</x:v>
      </x:c>
      <x:c r="AL776" t="str">
        <x:f>_xlfn.XLOOKUP($A776,Games!$A$2:$A$18,Games!$G$2:$G$18,"Missing game",0)</x:f>
        <x:v>MIN</x:v>
      </x:c>
      <x:c r="AM776" t="n">
        <x:f>_xlfn.XLOOKUP($A776,Games!$A$2:$A$18,Games!$H$2:$H$18,"Missing game",0)</x:f>
        <x:v>21</x:v>
      </x:c>
      <x:c r="AN776" t="str">
        <x:f>_xlfn.XLOOKUP($A776,Games!$A$2:$A$18,Games!$I$2:$I$18,"Missing game",0)</x:f>
        <x:v>CLE</x:v>
      </x:c>
      <x:c r="AO776" t="n">
        <x:f>_xlfn.XLOOKUP($A776,Games!$A$2:$A$18,Games!$J$2:$J$18,"Missing game",0)</x:f>
        <x:v>17</x:v>
      </x:c>
      <x:c r="AP776" t="n">
        <x:f>_xlfn.XLOOKUP($A776,Games!$A$2:$A$18,Games!$K$2:$K$18,"Missing game",0)</x:f>
        <x:v>-4</x:v>
      </x:c>
      <x:c r="AQ776" t="n">
        <x:f>_xlfn.XLOOKUP($A776,Games!$A$2:$A$18,Games!$L$2:$L$18,"Missing game",0)</x:f>
        <x:v>38</x:v>
      </x:c>
      <x:c r="AR776" t="n">
        <x:f>_xlfn.XLOOKUP($A776,Games!$A$2:$A$18,Games!$M$2:$M$18,"Missing game",0)</x:f>
        <x:v>0</x:v>
      </x:c>
      <x:c r="AS776" t="str">
        <x:f>_xlfn.XLOOKUP($A776,Games!$A$2:$A$18,Games!$N$2:$N$18,"Missing game",0)</x:f>
        <x:v>outdoors</x:v>
      </x:c>
      <x:c r="AT776" t="str">
        <x:f>_xlfn.XLOOKUP($A776,Games!$A$2:$A$18,Games!$O$2:$O$18,"Missing game",0)</x:f>
        <x:v>grass</x:v>
      </x:c>
      <x:c r="AU776" t="n">
        <x:f>_xlfn.XLOOKUP($A776,Games!$A$2:$A$18,Games!$P$2:$P$18,"Missing game",0)</x:f>
        <x:v>61</x:v>
      </x:c>
      <x:c r="AV776" t="n">
        <x:f>_xlfn.XLOOKUP($A776,Games!$A$2:$A$18,Games!$Q$2:$Q$18,"Missing game",0)</x:f>
        <x:v>14</x:v>
      </x:c>
      <x:c r="AW776" t="str">
        <x:f>_xlfn.XLOOKUP($A776,Games!$A$2:$A$18,Games!$R$2:$R$18,"Missing game",0)</x:f>
        <x:v>FirstEnergy Stadium</x:v>
      </x:c>
    </x:row>
    <x:row r="777">
      <x:c r="A777" t="str">
        <x:v>2025_05_MIN_CLE</x:v>
      </x:c>
      <x:c r="B777" t="n">
        <x:v>2663</x:v>
      </x:c>
      <x:c r="C777" t="n">
        <x:v>3</x:v>
      </x:c>
      <x:c r="D777" t="str">
        <x:v>11:11</x:v>
      </x:c>
      <x:c r="E777"/>
      <x:c r="F777" t="n">
        <x:v>0</x:v>
      </x:c>
      <x:c r="G777" t="str">
        <x:v>MIN</x:v>
      </x:c>
      <x:c r="H777" t="str">
        <x:v>CLE</x:v>
      </x:c>
      <x:c r="I777" t="str">
        <x:v>CLE</x:v>
      </x:c>
      <x:c r="J777" t="n">
        <x:v>15</x:v>
      </x:c>
      <x:c r="K777" t="str">
        <x:v>16-W.Reichard extra point is GOOD, Center-42-A.DePaola, Holder-17-R.Wright.</x:v>
      </x:c>
      <x:c r="L777" t="str">
        <x:v>extra_point</x:v>
      </x:c>
      <x:c r="M777" t="n">
        <x:v>0</x:v>
      </x:c>
      <x:c r="N777" t="n">
        <x:v>0</x:v>
      </x:c>
      <x:c r="O777" t="n">
        <x:v>0</x:v>
      </x:c>
      <x:c r="P777"/>
      <x:c r="Q777"/>
      <x:c r="R777"/>
      <x:c r="S777"/>
      <x:c r="T777"/>
      <x:c r="U777"/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/>
      <x:c r="AC777" t="n">
        <x:v>0</x:v>
      </x:c>
      <x:c r="AD777" t="n">
        <x:v>0.06757300310763314</x:v>
      </x:c>
      <x:c r="AE777" t="n">
        <x:v>1</x:v>
      </x:c>
      <x:c r="AF777" t="n">
        <x:v>0.003694963619645275</x:v>
      </x:c>
      <x:c r="AG777" t="n">
        <x:f>_xlfn.XLOOKUP($A777,Games!$A$2:$A$18,Games!$B$2:$B$18,"Missing game",0)</x:f>
        <x:v>2025</x:v>
      </x:c>
      <x:c r="AH777" t="str">
        <x:f>_xlfn.XLOOKUP($A777,Games!$A$2:$A$18,Games!$C$2:$C$18,"Missing game",0)</x:f>
        <x:v>REG</x:v>
      </x:c>
      <x:c r="AI777" t="n">
        <x:f>_xlfn.XLOOKUP($A777,Games!$A$2:$A$18,Games!$D$2:$D$18,"Missing game",0)</x:f>
        <x:v>5</x:v>
      </x:c>
      <x:c r="AJ777" s="1" t="n">
        <x:f>_xlfn.XLOOKUP($A777,Games!$A$2:$A$18,Games!$E$2:$E$18,"Missing game",0)</x:f>
        <x:v>45935</x:v>
      </x:c>
      <x:c r="AK777" t="str">
        <x:f>_xlfn.XLOOKUP($A777,Games!$A$2:$A$18,Games!$F$2:$F$18,"Missing game",0)</x:f>
        <x:v>Sunday</x:v>
      </x:c>
      <x:c r="AL777" t="str">
        <x:f>_xlfn.XLOOKUP($A777,Games!$A$2:$A$18,Games!$G$2:$G$18,"Missing game",0)</x:f>
        <x:v>MIN</x:v>
      </x:c>
      <x:c r="AM777" t="n">
        <x:f>_xlfn.XLOOKUP($A777,Games!$A$2:$A$18,Games!$H$2:$H$18,"Missing game",0)</x:f>
        <x:v>21</x:v>
      </x:c>
      <x:c r="AN777" t="str">
        <x:f>_xlfn.XLOOKUP($A777,Games!$A$2:$A$18,Games!$I$2:$I$18,"Missing game",0)</x:f>
        <x:v>CLE</x:v>
      </x:c>
      <x:c r="AO777" t="n">
        <x:f>_xlfn.XLOOKUP($A777,Games!$A$2:$A$18,Games!$J$2:$J$18,"Missing game",0)</x:f>
        <x:v>17</x:v>
      </x:c>
      <x:c r="AP777" t="n">
        <x:f>_xlfn.XLOOKUP($A777,Games!$A$2:$A$18,Games!$K$2:$K$18,"Missing game",0)</x:f>
        <x:v>-4</x:v>
      </x:c>
      <x:c r="AQ777" t="n">
        <x:f>_xlfn.XLOOKUP($A777,Games!$A$2:$A$18,Games!$L$2:$L$18,"Missing game",0)</x:f>
        <x:v>38</x:v>
      </x:c>
      <x:c r="AR777" t="n">
        <x:f>_xlfn.XLOOKUP($A777,Games!$A$2:$A$18,Games!$M$2:$M$18,"Missing game",0)</x:f>
        <x:v>0</x:v>
      </x:c>
      <x:c r="AS777" t="str">
        <x:f>_xlfn.XLOOKUP($A777,Games!$A$2:$A$18,Games!$N$2:$N$18,"Missing game",0)</x:f>
        <x:v>outdoors</x:v>
      </x:c>
      <x:c r="AT777" t="str">
        <x:f>_xlfn.XLOOKUP($A777,Games!$A$2:$A$18,Games!$O$2:$O$18,"Missing game",0)</x:f>
        <x:v>grass</x:v>
      </x:c>
      <x:c r="AU777" t="n">
        <x:f>_xlfn.XLOOKUP($A777,Games!$A$2:$A$18,Games!$P$2:$P$18,"Missing game",0)</x:f>
        <x:v>61</x:v>
      </x:c>
      <x:c r="AV777" t="n">
        <x:f>_xlfn.XLOOKUP($A777,Games!$A$2:$A$18,Games!$Q$2:$Q$18,"Missing game",0)</x:f>
        <x:v>14</x:v>
      </x:c>
      <x:c r="AW777" t="str">
        <x:f>_xlfn.XLOOKUP($A777,Games!$A$2:$A$18,Games!$R$2:$R$18,"Missing game",0)</x:f>
        <x:v>FirstEnergy Stadium</x:v>
      </x:c>
    </x:row>
    <x:row r="778">
      <x:c r="A778" t="str">
        <x:v>2025_05_MIN_CLE</x:v>
      </x:c>
      <x:c r="B778" t="n">
        <x:v>2678</x:v>
      </x:c>
      <x:c r="C778" t="n">
        <x:v>3</x:v>
      </x:c>
      <x:c r="D778" t="str">
        <x:v>11:11</x:v>
      </x:c>
      <x:c r="E778"/>
      <x:c r="F778" t="n">
        <x:v>0</x:v>
      </x:c>
      <x:c r="G778" t="str">
        <x:v>CLE</x:v>
      </x:c>
      <x:c r="H778" t="str">
        <x:v>MIN</x:v>
      </x:c>
      <x:c r="I778" t="str">
        <x:v>MIN</x:v>
      </x:c>
      <x:c r="J778" t="n">
        <x:v>35</x:v>
      </x:c>
      <x:c r="K778" t="str">
        <x:v>16-W.Reichard kicks 60 yards from MIN 35 to CLE 5. 34-J.Ford to CLE 31 for 26 yards (41-K.King).</x:v>
      </x:c>
      <x:c r="L778" t="str">
        <x:v>kickoff</x:v>
      </x:c>
      <x:c r="M778" t="n">
        <x:v>0</x:v>
      </x:c>
      <x:c r="N778" t="n">
        <x:v>0</x:v>
      </x:c>
      <x:c r="O778" t="n">
        <x:v>0</x:v>
      </x:c>
      <x:c r="P778"/>
      <x:c r="Q778"/>
      <x:c r="R778"/>
      <x:c r="S778"/>
      <x:c r="T778"/>
      <x:c r="U778"/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/>
      <x:c r="AC778" t="n">
        <x:v>0</x:v>
      </x:c>
      <x:c r="AD778" t="n">
        <x:v>0.3364522969350219</x:v>
      </x:c>
      <x:c r="AE778" t="n">
        <x:v>1</x:v>
      </x:c>
      <x:c r="AF778" t="n">
        <x:v>0.007729321718215942</x:v>
      </x:c>
      <x:c r="AG778" t="n">
        <x:f>_xlfn.XLOOKUP($A778,Games!$A$2:$A$18,Games!$B$2:$B$18,"Missing game",0)</x:f>
        <x:v>2025</x:v>
      </x:c>
      <x:c r="AH778" t="str">
        <x:f>_xlfn.XLOOKUP($A778,Games!$A$2:$A$18,Games!$C$2:$C$18,"Missing game",0)</x:f>
        <x:v>REG</x:v>
      </x:c>
      <x:c r="AI778" t="n">
        <x:f>_xlfn.XLOOKUP($A778,Games!$A$2:$A$18,Games!$D$2:$D$18,"Missing game",0)</x:f>
        <x:v>5</x:v>
      </x:c>
      <x:c r="AJ778" s="1" t="n">
        <x:f>_xlfn.XLOOKUP($A778,Games!$A$2:$A$18,Games!$E$2:$E$18,"Missing game",0)</x:f>
        <x:v>45935</x:v>
      </x:c>
      <x:c r="AK778" t="str">
        <x:f>_xlfn.XLOOKUP($A778,Games!$A$2:$A$18,Games!$F$2:$F$18,"Missing game",0)</x:f>
        <x:v>Sunday</x:v>
      </x:c>
      <x:c r="AL778" t="str">
        <x:f>_xlfn.XLOOKUP($A778,Games!$A$2:$A$18,Games!$G$2:$G$18,"Missing game",0)</x:f>
        <x:v>MIN</x:v>
      </x:c>
      <x:c r="AM778" t="n">
        <x:f>_xlfn.XLOOKUP($A778,Games!$A$2:$A$18,Games!$H$2:$H$18,"Missing game",0)</x:f>
        <x:v>21</x:v>
      </x:c>
      <x:c r="AN778" t="str">
        <x:f>_xlfn.XLOOKUP($A778,Games!$A$2:$A$18,Games!$I$2:$I$18,"Missing game",0)</x:f>
        <x:v>CLE</x:v>
      </x:c>
      <x:c r="AO778" t="n">
        <x:f>_xlfn.XLOOKUP($A778,Games!$A$2:$A$18,Games!$J$2:$J$18,"Missing game",0)</x:f>
        <x:v>17</x:v>
      </x:c>
      <x:c r="AP778" t="n">
        <x:f>_xlfn.XLOOKUP($A778,Games!$A$2:$A$18,Games!$K$2:$K$18,"Missing game",0)</x:f>
        <x:v>-4</x:v>
      </x:c>
      <x:c r="AQ778" t="n">
        <x:f>_xlfn.XLOOKUP($A778,Games!$A$2:$A$18,Games!$L$2:$L$18,"Missing game",0)</x:f>
        <x:v>38</x:v>
      </x:c>
      <x:c r="AR778" t="n">
        <x:f>_xlfn.XLOOKUP($A778,Games!$A$2:$A$18,Games!$M$2:$M$18,"Missing game",0)</x:f>
        <x:v>0</x:v>
      </x:c>
      <x:c r="AS778" t="str">
        <x:f>_xlfn.XLOOKUP($A778,Games!$A$2:$A$18,Games!$N$2:$N$18,"Missing game",0)</x:f>
        <x:v>outdoors</x:v>
      </x:c>
      <x:c r="AT778" t="str">
        <x:f>_xlfn.XLOOKUP($A778,Games!$A$2:$A$18,Games!$O$2:$O$18,"Missing game",0)</x:f>
        <x:v>grass</x:v>
      </x:c>
      <x:c r="AU778" t="n">
        <x:f>_xlfn.XLOOKUP($A778,Games!$A$2:$A$18,Games!$P$2:$P$18,"Missing game",0)</x:f>
        <x:v>61</x:v>
      </x:c>
      <x:c r="AV778" t="n">
        <x:f>_xlfn.XLOOKUP($A778,Games!$A$2:$A$18,Games!$Q$2:$Q$18,"Missing game",0)</x:f>
        <x:v>14</x:v>
      </x:c>
      <x:c r="AW778" t="str">
        <x:f>_xlfn.XLOOKUP($A778,Games!$A$2:$A$18,Games!$R$2:$R$18,"Missing game",0)</x:f>
        <x:v>FirstEnergy Stadium</x:v>
      </x:c>
    </x:row>
    <x:row r="779">
      <x:c r="A779" t="str">
        <x:v>2025_05_MIN_CLE</x:v>
      </x:c>
      <x:c r="B779" t="n">
        <x:v>2708</x:v>
      </x:c>
      <x:c r="C779" t="n">
        <x:v>3</x:v>
      </x:c>
      <x:c r="D779" t="str">
        <x:v>11:05</x:v>
      </x:c>
      <x:c r="E779" t="n">
        <x:v>1</x:v>
      </x:c>
      <x:c r="F779" t="n">
        <x:v>10</x:v>
      </x:c>
      <x:c r="G779" t="str">
        <x:v>CLE</x:v>
      </x:c>
      <x:c r="H779" t="str">
        <x:v>MIN</x:v>
      </x:c>
      <x:c r="I779" t="str">
        <x:v>CLE</x:v>
      </x:c>
      <x:c r="J779" t="n">
        <x:v>69</x:v>
      </x:c>
      <x:c r="K779" t="str">
        <x:v>(11:05) 10-Q.Judkins left tackle to CLE 42 for 11 yards (7-B.Murphy). PENALTY on CLE-78-J.Conklin, Illegal Formation, 5 yards, enforced at CLE 31 - No Play.</x:v>
      </x:c>
      <x:c r="L779" t="str">
        <x:v>no_play</x:v>
      </x:c>
      <x:c r="M779" t="n">
        <x:v>0</x:v>
      </x:c>
      <x:c r="N779" t="n">
        <x:v>0</x:v>
      </x:c>
      <x:c r="O779" t="n">
        <x:v>0</x:v>
      </x:c>
      <x:c r="P779"/>
      <x:c r="Q779"/>
      <x:c r="R779"/>
      <x:c r="S779"/>
      <x:c r="T779"/>
      <x:c r="U779"/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1</x:v>
      </x:c>
      <x:c r="AB779" t="n">
        <x:v>5</x:v>
      </x:c>
      <x:c r="AC779" t="n">
        <x:v>0</x:v>
      </x:c>
      <x:c r="AD779" t="n">
        <x:v>-0.6065409895963967</x:v>
      </x:c>
      <x:c r="AE779" t="n">
        <x:v>0</x:v>
      </x:c>
      <x:c r="AF779" t="n">
        <x:v>-0.025811612606048584</x:v>
      </x:c>
      <x:c r="AG779" t="n">
        <x:f>_xlfn.XLOOKUP($A779,Games!$A$2:$A$18,Games!$B$2:$B$18,"Missing game",0)</x:f>
        <x:v>2025</x:v>
      </x:c>
      <x:c r="AH779" t="str">
        <x:f>_xlfn.XLOOKUP($A779,Games!$A$2:$A$18,Games!$C$2:$C$18,"Missing game",0)</x:f>
        <x:v>REG</x:v>
      </x:c>
      <x:c r="AI779" t="n">
        <x:f>_xlfn.XLOOKUP($A779,Games!$A$2:$A$18,Games!$D$2:$D$18,"Missing game",0)</x:f>
        <x:v>5</x:v>
      </x:c>
      <x:c r="AJ779" s="1" t="n">
        <x:f>_xlfn.XLOOKUP($A779,Games!$A$2:$A$18,Games!$E$2:$E$18,"Missing game",0)</x:f>
        <x:v>45935</x:v>
      </x:c>
      <x:c r="AK779" t="str">
        <x:f>_xlfn.XLOOKUP($A779,Games!$A$2:$A$18,Games!$F$2:$F$18,"Missing game",0)</x:f>
        <x:v>Sunday</x:v>
      </x:c>
      <x:c r="AL779" t="str">
        <x:f>_xlfn.XLOOKUP($A779,Games!$A$2:$A$18,Games!$G$2:$G$18,"Missing game",0)</x:f>
        <x:v>MIN</x:v>
      </x:c>
      <x:c r="AM779" t="n">
        <x:f>_xlfn.XLOOKUP($A779,Games!$A$2:$A$18,Games!$H$2:$H$18,"Missing game",0)</x:f>
        <x:v>21</x:v>
      </x:c>
      <x:c r="AN779" t="str">
        <x:f>_xlfn.XLOOKUP($A779,Games!$A$2:$A$18,Games!$I$2:$I$18,"Missing game",0)</x:f>
        <x:v>CLE</x:v>
      </x:c>
      <x:c r="AO779" t="n">
        <x:f>_xlfn.XLOOKUP($A779,Games!$A$2:$A$18,Games!$J$2:$J$18,"Missing game",0)</x:f>
        <x:v>17</x:v>
      </x:c>
      <x:c r="AP779" t="n">
        <x:f>_xlfn.XLOOKUP($A779,Games!$A$2:$A$18,Games!$K$2:$K$18,"Missing game",0)</x:f>
        <x:v>-4</x:v>
      </x:c>
      <x:c r="AQ779" t="n">
        <x:f>_xlfn.XLOOKUP($A779,Games!$A$2:$A$18,Games!$L$2:$L$18,"Missing game",0)</x:f>
        <x:v>38</x:v>
      </x:c>
      <x:c r="AR779" t="n">
        <x:f>_xlfn.XLOOKUP($A779,Games!$A$2:$A$18,Games!$M$2:$M$18,"Missing game",0)</x:f>
        <x:v>0</x:v>
      </x:c>
      <x:c r="AS779" t="str">
        <x:f>_xlfn.XLOOKUP($A779,Games!$A$2:$A$18,Games!$N$2:$N$18,"Missing game",0)</x:f>
        <x:v>outdoors</x:v>
      </x:c>
      <x:c r="AT779" t="str">
        <x:f>_xlfn.XLOOKUP($A779,Games!$A$2:$A$18,Games!$O$2:$O$18,"Missing game",0)</x:f>
        <x:v>grass</x:v>
      </x:c>
      <x:c r="AU779" t="n">
        <x:f>_xlfn.XLOOKUP($A779,Games!$A$2:$A$18,Games!$P$2:$P$18,"Missing game",0)</x:f>
        <x:v>61</x:v>
      </x:c>
      <x:c r="AV779" t="n">
        <x:f>_xlfn.XLOOKUP($A779,Games!$A$2:$A$18,Games!$Q$2:$Q$18,"Missing game",0)</x:f>
        <x:v>14</x:v>
      </x:c>
      <x:c r="AW779" t="str">
        <x:f>_xlfn.XLOOKUP($A779,Games!$A$2:$A$18,Games!$R$2:$R$18,"Missing game",0)</x:f>
        <x:v>FirstEnergy Stadium</x:v>
      </x:c>
    </x:row>
    <x:row r="780">
      <x:c r="A780" t="str">
        <x:v>2025_05_MIN_CLE</x:v>
      </x:c>
      <x:c r="B780" t="n">
        <x:v>2741</x:v>
      </x:c>
      <x:c r="C780" t="n">
        <x:v>3</x:v>
      </x:c>
      <x:c r="D780" t="str">
        <x:v>10:37</x:v>
      </x:c>
      <x:c r="E780" t="n">
        <x:v>1</x:v>
      </x:c>
      <x:c r="F780" t="n">
        <x:v>15</x:v>
      </x:c>
      <x:c r="G780" t="str">
        <x:v>CLE</x:v>
      </x:c>
      <x:c r="H780" t="str">
        <x:v>MIN</x:v>
      </x:c>
      <x:c r="I780" t="str">
        <x:v>CLE</x:v>
      </x:c>
      <x:c r="J780" t="n">
        <x:v>74</x:v>
      </x:c>
      <x:c r="K780" t="str">
        <x:v>(10:37) (Shotgun) 10-Q.Judkins right guard to CLE 40 for 14 yards (44-J.Metellus).</x:v>
      </x:c>
      <x:c r="L780" t="str">
        <x:v>run</x:v>
      </x:c>
      <x:c r="M780" t="n">
        <x:v>14</x:v>
      </x:c>
      <x:c r="N780" t="n">
        <x:v>1</x:v>
      </x:c>
      <x:c r="O780" t="n">
        <x:v>0</x:v>
      </x:c>
      <x:c r="P780"/>
      <x:c r="Q780"/>
      <x:c r="R780"/>
      <x:c r="S780"/>
      <x:c r="T780" t="str">
        <x:v>right</x:v>
      </x:c>
      <x:c r="U780" t="str">
        <x:v>guard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/>
      <x:c r="AC780" t="n">
        <x:v>0</x:v>
      </x:c>
      <x:c r="AD780" t="n">
        <x:v>1.4703858566936105</x:v>
      </x:c>
      <x:c r="AE780" t="n">
        <x:v>1</x:v>
      </x:c>
      <x:c r="AF780" t="n">
        <x:v>0.06887853145599365</x:v>
      </x:c>
      <x:c r="AG780" t="n">
        <x:f>_xlfn.XLOOKUP($A780,Games!$A$2:$A$18,Games!$B$2:$B$18,"Missing game",0)</x:f>
        <x:v>2025</x:v>
      </x:c>
      <x:c r="AH780" t="str">
        <x:f>_xlfn.XLOOKUP($A780,Games!$A$2:$A$18,Games!$C$2:$C$18,"Missing game",0)</x:f>
        <x:v>REG</x:v>
      </x:c>
      <x:c r="AI780" t="n">
        <x:f>_xlfn.XLOOKUP($A780,Games!$A$2:$A$18,Games!$D$2:$D$18,"Missing game",0)</x:f>
        <x:v>5</x:v>
      </x:c>
      <x:c r="AJ780" s="1" t="n">
        <x:f>_xlfn.XLOOKUP($A780,Games!$A$2:$A$18,Games!$E$2:$E$18,"Missing game",0)</x:f>
        <x:v>45935</x:v>
      </x:c>
      <x:c r="AK780" t="str">
        <x:f>_xlfn.XLOOKUP($A780,Games!$A$2:$A$18,Games!$F$2:$F$18,"Missing game",0)</x:f>
        <x:v>Sunday</x:v>
      </x:c>
      <x:c r="AL780" t="str">
        <x:f>_xlfn.XLOOKUP($A780,Games!$A$2:$A$18,Games!$G$2:$G$18,"Missing game",0)</x:f>
        <x:v>MIN</x:v>
      </x:c>
      <x:c r="AM780" t="n">
        <x:f>_xlfn.XLOOKUP($A780,Games!$A$2:$A$18,Games!$H$2:$H$18,"Missing game",0)</x:f>
        <x:v>21</x:v>
      </x:c>
      <x:c r="AN780" t="str">
        <x:f>_xlfn.XLOOKUP($A780,Games!$A$2:$A$18,Games!$I$2:$I$18,"Missing game",0)</x:f>
        <x:v>CLE</x:v>
      </x:c>
      <x:c r="AO780" t="n">
        <x:f>_xlfn.XLOOKUP($A780,Games!$A$2:$A$18,Games!$J$2:$J$18,"Missing game",0)</x:f>
        <x:v>17</x:v>
      </x:c>
      <x:c r="AP780" t="n">
        <x:f>_xlfn.XLOOKUP($A780,Games!$A$2:$A$18,Games!$K$2:$K$18,"Missing game",0)</x:f>
        <x:v>-4</x:v>
      </x:c>
      <x:c r="AQ780" t="n">
        <x:f>_xlfn.XLOOKUP($A780,Games!$A$2:$A$18,Games!$L$2:$L$18,"Missing game",0)</x:f>
        <x:v>38</x:v>
      </x:c>
      <x:c r="AR780" t="n">
        <x:f>_xlfn.XLOOKUP($A780,Games!$A$2:$A$18,Games!$M$2:$M$18,"Missing game",0)</x:f>
        <x:v>0</x:v>
      </x:c>
      <x:c r="AS780" t="str">
        <x:f>_xlfn.XLOOKUP($A780,Games!$A$2:$A$18,Games!$N$2:$N$18,"Missing game",0)</x:f>
        <x:v>outdoors</x:v>
      </x:c>
      <x:c r="AT780" t="str">
        <x:f>_xlfn.XLOOKUP($A780,Games!$A$2:$A$18,Games!$O$2:$O$18,"Missing game",0)</x:f>
        <x:v>grass</x:v>
      </x:c>
      <x:c r="AU780" t="n">
        <x:f>_xlfn.XLOOKUP($A780,Games!$A$2:$A$18,Games!$P$2:$P$18,"Missing game",0)</x:f>
        <x:v>61</x:v>
      </x:c>
      <x:c r="AV780" t="n">
        <x:f>_xlfn.XLOOKUP($A780,Games!$A$2:$A$18,Games!$Q$2:$Q$18,"Missing game",0)</x:f>
        <x:v>14</x:v>
      </x:c>
      <x:c r="AW780" t="str">
        <x:f>_xlfn.XLOOKUP($A780,Games!$A$2:$A$18,Games!$R$2:$R$18,"Missing game",0)</x:f>
        <x:v>FirstEnergy Stadium</x:v>
      </x:c>
    </x:row>
    <x:row r="781">
      <x:c r="A781" t="str">
        <x:v>2025_05_MIN_CLE</x:v>
      </x:c>
      <x:c r="B781" t="n">
        <x:v>2763</x:v>
      </x:c>
      <x:c r="C781" t="n">
        <x:v>3</x:v>
      </x:c>
      <x:c r="D781" t="str">
        <x:v>09:51</x:v>
      </x:c>
      <x:c r="E781" t="n">
        <x:v>2</x:v>
      </x:c>
      <x:c r="F781" t="n">
        <x:v>1</x:v>
      </x:c>
      <x:c r="G781" t="str">
        <x:v>CLE</x:v>
      </x:c>
      <x:c r="H781" t="str">
        <x:v>MIN</x:v>
      </x:c>
      <x:c r="I781" t="str">
        <x:v>CLE</x:v>
      </x:c>
      <x:c r="J781" t="n">
        <x:v>60</x:v>
      </x:c>
      <x:c r="K781" t="str">
        <x:v>(9:51) 10-Q.Judkins up the middle to CLE 43 for 3 yards (44-J.Metellus).</x:v>
      </x:c>
      <x:c r="L781" t="str">
        <x:v>run</x:v>
      </x:c>
      <x:c r="M781" t="n">
        <x:v>3</x:v>
      </x:c>
      <x:c r="N781" t="n">
        <x:v>0</x:v>
      </x:c>
      <x:c r="O781" t="n">
        <x:v>0</x:v>
      </x:c>
      <x:c r="P781"/>
      <x:c r="Q781"/>
      <x:c r="R781"/>
      <x:c r="S781"/>
      <x:c r="T781" t="str">
        <x:v>middle</x:v>
      </x:c>
      <x:c r="U781"/>
      <x:c r="V781" t="n">
        <x:v>0</x:v>
      </x:c>
      <x:c r="W781" t="n">
        <x:v>1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/>
      <x:c r="AC781" t="n">
        <x:v>0</x:v>
      </x:c>
      <x:c r="AD781" t="n">
        <x:v>-0.019949869718402624</x:v>
      </x:c>
      <x:c r="AE781" t="n">
        <x:v>0</x:v>
      </x:c>
      <x:c r="AF781" t="n">
        <x:v>-0.0037774741649627686</x:v>
      </x:c>
      <x:c r="AG781" t="n">
        <x:f>_xlfn.XLOOKUP($A781,Games!$A$2:$A$18,Games!$B$2:$B$18,"Missing game",0)</x:f>
        <x:v>2025</x:v>
      </x:c>
      <x:c r="AH781" t="str">
        <x:f>_xlfn.XLOOKUP($A781,Games!$A$2:$A$18,Games!$C$2:$C$18,"Missing game",0)</x:f>
        <x:v>REG</x:v>
      </x:c>
      <x:c r="AI781" t="n">
        <x:f>_xlfn.XLOOKUP($A781,Games!$A$2:$A$18,Games!$D$2:$D$18,"Missing game",0)</x:f>
        <x:v>5</x:v>
      </x:c>
      <x:c r="AJ781" s="1" t="n">
        <x:f>_xlfn.XLOOKUP($A781,Games!$A$2:$A$18,Games!$E$2:$E$18,"Missing game",0)</x:f>
        <x:v>45935</x:v>
      </x:c>
      <x:c r="AK781" t="str">
        <x:f>_xlfn.XLOOKUP($A781,Games!$A$2:$A$18,Games!$F$2:$F$18,"Missing game",0)</x:f>
        <x:v>Sunday</x:v>
      </x:c>
      <x:c r="AL781" t="str">
        <x:f>_xlfn.XLOOKUP($A781,Games!$A$2:$A$18,Games!$G$2:$G$18,"Missing game",0)</x:f>
        <x:v>MIN</x:v>
      </x:c>
      <x:c r="AM781" t="n">
        <x:f>_xlfn.XLOOKUP($A781,Games!$A$2:$A$18,Games!$H$2:$H$18,"Missing game",0)</x:f>
        <x:v>21</x:v>
      </x:c>
      <x:c r="AN781" t="str">
        <x:f>_xlfn.XLOOKUP($A781,Games!$A$2:$A$18,Games!$I$2:$I$18,"Missing game",0)</x:f>
        <x:v>CLE</x:v>
      </x:c>
      <x:c r="AO781" t="n">
        <x:f>_xlfn.XLOOKUP($A781,Games!$A$2:$A$18,Games!$J$2:$J$18,"Missing game",0)</x:f>
        <x:v>17</x:v>
      </x:c>
      <x:c r="AP781" t="n">
        <x:f>_xlfn.XLOOKUP($A781,Games!$A$2:$A$18,Games!$K$2:$K$18,"Missing game",0)</x:f>
        <x:v>-4</x:v>
      </x:c>
      <x:c r="AQ781" t="n">
        <x:f>_xlfn.XLOOKUP($A781,Games!$A$2:$A$18,Games!$L$2:$L$18,"Missing game",0)</x:f>
        <x:v>38</x:v>
      </x:c>
      <x:c r="AR781" t="n">
        <x:f>_xlfn.XLOOKUP($A781,Games!$A$2:$A$18,Games!$M$2:$M$18,"Missing game",0)</x:f>
        <x:v>0</x:v>
      </x:c>
      <x:c r="AS781" t="str">
        <x:f>_xlfn.XLOOKUP($A781,Games!$A$2:$A$18,Games!$N$2:$N$18,"Missing game",0)</x:f>
        <x:v>outdoors</x:v>
      </x:c>
      <x:c r="AT781" t="str">
        <x:f>_xlfn.XLOOKUP($A781,Games!$A$2:$A$18,Games!$O$2:$O$18,"Missing game",0)</x:f>
        <x:v>grass</x:v>
      </x:c>
      <x:c r="AU781" t="n">
        <x:f>_xlfn.XLOOKUP($A781,Games!$A$2:$A$18,Games!$P$2:$P$18,"Missing game",0)</x:f>
        <x:v>61</x:v>
      </x:c>
      <x:c r="AV781" t="n">
        <x:f>_xlfn.XLOOKUP($A781,Games!$A$2:$A$18,Games!$Q$2:$Q$18,"Missing game",0)</x:f>
        <x:v>14</x:v>
      </x:c>
      <x:c r="AW781" t="str">
        <x:f>_xlfn.XLOOKUP($A781,Games!$A$2:$A$18,Games!$R$2:$R$18,"Missing game",0)</x:f>
        <x:v>FirstEnergy Stadium</x:v>
      </x:c>
    </x:row>
    <x:row r="782">
      <x:c r="A782" t="str">
        <x:v>2025_05_MIN_CLE</x:v>
      </x:c>
      <x:c r="B782" t="n">
        <x:v>2785</x:v>
      </x:c>
      <x:c r="C782" t="n">
        <x:v>3</x:v>
      </x:c>
      <x:c r="D782" t="str">
        <x:v>09:14</x:v>
      </x:c>
      <x:c r="E782" t="n">
        <x:v>1</x:v>
      </x:c>
      <x:c r="F782" t="n">
        <x:v>10</x:v>
      </x:c>
      <x:c r="G782" t="str">
        <x:v>CLE</x:v>
      </x:c>
      <x:c r="H782" t="str">
        <x:v>MIN</x:v>
      </x:c>
      <x:c r="I782" t="str">
        <x:v>CLE</x:v>
      </x:c>
      <x:c r="J782" t="n">
        <x:v>57</x:v>
      </x:c>
      <x:c r="K782" t="str">
        <x:v>(9:14) 10-Q.Judkins left tackle to 50 for 7 yards (61-J.Redmond).</x:v>
      </x:c>
      <x:c r="L782" t="str">
        <x:v>run</x:v>
      </x:c>
      <x:c r="M782" t="n">
        <x:v>7</x:v>
      </x:c>
      <x:c r="N782" t="n">
        <x:v>0</x:v>
      </x:c>
      <x:c r="O782" t="n">
        <x:v>0</x:v>
      </x:c>
      <x:c r="P782"/>
      <x:c r="Q782"/>
      <x:c r="R782"/>
      <x:c r="S782"/>
      <x:c r="T782" t="str">
        <x:v>left</x:v>
      </x:c>
      <x:c r="U782" t="str">
        <x:v>tackle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/>
      <x:c r="AC782" t="n">
        <x:v>0</x:v>
      </x:c>
      <x:c r="AD782" t="n">
        <x:v>0.4290786748751998</x:v>
      </x:c>
      <x:c r="AE782" t="n">
        <x:v>1</x:v>
      </x:c>
      <x:c r="AF782" t="n">
        <x:v>0.009145766496658325</x:v>
      </x:c>
      <x:c r="AG782" t="n">
        <x:f>_xlfn.XLOOKUP($A782,Games!$A$2:$A$18,Games!$B$2:$B$18,"Missing game",0)</x:f>
        <x:v>2025</x:v>
      </x:c>
      <x:c r="AH782" t="str">
        <x:f>_xlfn.XLOOKUP($A782,Games!$A$2:$A$18,Games!$C$2:$C$18,"Missing game",0)</x:f>
        <x:v>REG</x:v>
      </x:c>
      <x:c r="AI782" t="n">
        <x:f>_xlfn.XLOOKUP($A782,Games!$A$2:$A$18,Games!$D$2:$D$18,"Missing game",0)</x:f>
        <x:v>5</x:v>
      </x:c>
      <x:c r="AJ782" s="1" t="n">
        <x:f>_xlfn.XLOOKUP($A782,Games!$A$2:$A$18,Games!$E$2:$E$18,"Missing game",0)</x:f>
        <x:v>45935</x:v>
      </x:c>
      <x:c r="AK782" t="str">
        <x:f>_xlfn.XLOOKUP($A782,Games!$A$2:$A$18,Games!$F$2:$F$18,"Missing game",0)</x:f>
        <x:v>Sunday</x:v>
      </x:c>
      <x:c r="AL782" t="str">
        <x:f>_xlfn.XLOOKUP($A782,Games!$A$2:$A$18,Games!$G$2:$G$18,"Missing game",0)</x:f>
        <x:v>MIN</x:v>
      </x:c>
      <x:c r="AM782" t="n">
        <x:f>_xlfn.XLOOKUP($A782,Games!$A$2:$A$18,Games!$H$2:$H$18,"Missing game",0)</x:f>
        <x:v>21</x:v>
      </x:c>
      <x:c r="AN782" t="str">
        <x:f>_xlfn.XLOOKUP($A782,Games!$A$2:$A$18,Games!$I$2:$I$18,"Missing game",0)</x:f>
        <x:v>CLE</x:v>
      </x:c>
      <x:c r="AO782" t="n">
        <x:f>_xlfn.XLOOKUP($A782,Games!$A$2:$A$18,Games!$J$2:$J$18,"Missing game",0)</x:f>
        <x:v>17</x:v>
      </x:c>
      <x:c r="AP782" t="n">
        <x:f>_xlfn.XLOOKUP($A782,Games!$A$2:$A$18,Games!$K$2:$K$18,"Missing game",0)</x:f>
        <x:v>-4</x:v>
      </x:c>
      <x:c r="AQ782" t="n">
        <x:f>_xlfn.XLOOKUP($A782,Games!$A$2:$A$18,Games!$L$2:$L$18,"Missing game",0)</x:f>
        <x:v>38</x:v>
      </x:c>
      <x:c r="AR782" t="n">
        <x:f>_xlfn.XLOOKUP($A782,Games!$A$2:$A$18,Games!$M$2:$M$18,"Missing game",0)</x:f>
        <x:v>0</x:v>
      </x:c>
      <x:c r="AS782" t="str">
        <x:f>_xlfn.XLOOKUP($A782,Games!$A$2:$A$18,Games!$N$2:$N$18,"Missing game",0)</x:f>
        <x:v>outdoors</x:v>
      </x:c>
      <x:c r="AT782" t="str">
        <x:f>_xlfn.XLOOKUP($A782,Games!$A$2:$A$18,Games!$O$2:$O$18,"Missing game",0)</x:f>
        <x:v>grass</x:v>
      </x:c>
      <x:c r="AU782" t="n">
        <x:f>_xlfn.XLOOKUP($A782,Games!$A$2:$A$18,Games!$P$2:$P$18,"Missing game",0)</x:f>
        <x:v>61</x:v>
      </x:c>
      <x:c r="AV782" t="n">
        <x:f>_xlfn.XLOOKUP($A782,Games!$A$2:$A$18,Games!$Q$2:$Q$18,"Missing game",0)</x:f>
        <x:v>14</x:v>
      </x:c>
      <x:c r="AW782" t="str">
        <x:f>_xlfn.XLOOKUP($A782,Games!$A$2:$A$18,Games!$R$2:$R$18,"Missing game",0)</x:f>
        <x:v>FirstEnergy Stadium</x:v>
      </x:c>
    </x:row>
    <x:row r="783">
      <x:c r="A783" t="str">
        <x:v>2025_05_MIN_CLE</x:v>
      </x:c>
      <x:c r="B783" t="n">
        <x:v>2817</x:v>
      </x:c>
      <x:c r="C783" t="n">
        <x:v>3</x:v>
      </x:c>
      <x:c r="D783" t="str">
        <x:v>08:39</x:v>
      </x:c>
      <x:c r="E783" t="n">
        <x:v>2</x:v>
      </x:c>
      <x:c r="F783" t="n">
        <x:v>3</x:v>
      </x:c>
      <x:c r="G783" t="str">
        <x:v>CLE</x:v>
      </x:c>
      <x:c r="H783" t="str">
        <x:v>MIN</x:v>
      </x:c>
      <x:c r="I783" t="str">
        <x:v>50</x:v>
      </x:c>
      <x:c r="J783" t="n">
        <x:v>50</x:v>
      </x:c>
      <x:c r="K783" t="str">
        <x:v>(8:39) (Shotgun) 34-J.Ford right guard to MIN 40 for 10 yards (55-E.Wilson).</x:v>
      </x:c>
      <x:c r="L783" t="str">
        <x:v>run</x:v>
      </x:c>
      <x:c r="M783" t="n">
        <x:v>10</x:v>
      </x:c>
      <x:c r="N783" t="n">
        <x:v>1</x:v>
      </x:c>
      <x:c r="O783" t="n">
        <x:v>0</x:v>
      </x:c>
      <x:c r="P783"/>
      <x:c r="Q783"/>
      <x:c r="R783"/>
      <x:c r="S783"/>
      <x:c r="T783" t="str">
        <x:v>right</x:v>
      </x:c>
      <x:c r="U783" t="str">
        <x:v>guard</x:v>
      </x:c>
      <x:c r="V783" t="n">
        <x:v>0</x:v>
      </x:c>
      <x:c r="W783" t="n">
        <x:v>1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/>
      <x:c r="AC783" t="n">
        <x:v>0</x:v>
      </x:c>
      <x:c r="AD783" t="n">
        <x:v>0.773278440348804</x:v>
      </x:c>
      <x:c r="AE783" t="n">
        <x:v>1</x:v>
      </x:c>
      <x:c r="AF783" t="n">
        <x:v>0.03565111756324768</x:v>
      </x:c>
      <x:c r="AG783" t="n">
        <x:f>_xlfn.XLOOKUP($A783,Games!$A$2:$A$18,Games!$B$2:$B$18,"Missing game",0)</x:f>
        <x:v>2025</x:v>
      </x:c>
      <x:c r="AH783" t="str">
        <x:f>_xlfn.XLOOKUP($A783,Games!$A$2:$A$18,Games!$C$2:$C$18,"Missing game",0)</x:f>
        <x:v>REG</x:v>
      </x:c>
      <x:c r="AI783" t="n">
        <x:f>_xlfn.XLOOKUP($A783,Games!$A$2:$A$18,Games!$D$2:$D$18,"Missing game",0)</x:f>
        <x:v>5</x:v>
      </x:c>
      <x:c r="AJ783" s="1" t="n">
        <x:f>_xlfn.XLOOKUP($A783,Games!$A$2:$A$18,Games!$E$2:$E$18,"Missing game",0)</x:f>
        <x:v>45935</x:v>
      </x:c>
      <x:c r="AK783" t="str">
        <x:f>_xlfn.XLOOKUP($A783,Games!$A$2:$A$18,Games!$F$2:$F$18,"Missing game",0)</x:f>
        <x:v>Sunday</x:v>
      </x:c>
      <x:c r="AL783" t="str">
        <x:f>_xlfn.XLOOKUP($A783,Games!$A$2:$A$18,Games!$G$2:$G$18,"Missing game",0)</x:f>
        <x:v>MIN</x:v>
      </x:c>
      <x:c r="AM783" t="n">
        <x:f>_xlfn.XLOOKUP($A783,Games!$A$2:$A$18,Games!$H$2:$H$18,"Missing game",0)</x:f>
        <x:v>21</x:v>
      </x:c>
      <x:c r="AN783" t="str">
        <x:f>_xlfn.XLOOKUP($A783,Games!$A$2:$A$18,Games!$I$2:$I$18,"Missing game",0)</x:f>
        <x:v>CLE</x:v>
      </x:c>
      <x:c r="AO783" t="n">
        <x:f>_xlfn.XLOOKUP($A783,Games!$A$2:$A$18,Games!$J$2:$J$18,"Missing game",0)</x:f>
        <x:v>17</x:v>
      </x:c>
      <x:c r="AP783" t="n">
        <x:f>_xlfn.XLOOKUP($A783,Games!$A$2:$A$18,Games!$K$2:$K$18,"Missing game",0)</x:f>
        <x:v>-4</x:v>
      </x:c>
      <x:c r="AQ783" t="n">
        <x:f>_xlfn.XLOOKUP($A783,Games!$A$2:$A$18,Games!$L$2:$L$18,"Missing game",0)</x:f>
        <x:v>38</x:v>
      </x:c>
      <x:c r="AR783" t="n">
        <x:f>_xlfn.XLOOKUP($A783,Games!$A$2:$A$18,Games!$M$2:$M$18,"Missing game",0)</x:f>
        <x:v>0</x:v>
      </x:c>
      <x:c r="AS783" t="str">
        <x:f>_xlfn.XLOOKUP($A783,Games!$A$2:$A$18,Games!$N$2:$N$18,"Missing game",0)</x:f>
        <x:v>outdoors</x:v>
      </x:c>
      <x:c r="AT783" t="str">
        <x:f>_xlfn.XLOOKUP($A783,Games!$A$2:$A$18,Games!$O$2:$O$18,"Missing game",0)</x:f>
        <x:v>grass</x:v>
      </x:c>
      <x:c r="AU783" t="n">
        <x:f>_xlfn.XLOOKUP($A783,Games!$A$2:$A$18,Games!$P$2:$P$18,"Missing game",0)</x:f>
        <x:v>61</x:v>
      </x:c>
      <x:c r="AV783" t="n">
        <x:f>_xlfn.XLOOKUP($A783,Games!$A$2:$A$18,Games!$Q$2:$Q$18,"Missing game",0)</x:f>
        <x:v>14</x:v>
      </x:c>
      <x:c r="AW783" t="str">
        <x:f>_xlfn.XLOOKUP($A783,Games!$A$2:$A$18,Games!$R$2:$R$18,"Missing game",0)</x:f>
        <x:v>FirstEnergy Stadium</x:v>
      </x:c>
    </x:row>
    <x:row r="784">
      <x:c r="A784" t="str">
        <x:v>2025_05_MIN_CLE</x:v>
      </x:c>
      <x:c r="B784" t="n">
        <x:v>2839</x:v>
      </x:c>
      <x:c r="C784" t="n">
        <x:v>3</x:v>
      </x:c>
      <x:c r="D784" t="str">
        <x:v>07:56</x:v>
      </x:c>
      <x:c r="E784" t="n">
        <x:v>1</x:v>
      </x:c>
      <x:c r="F784" t="n">
        <x:v>10</x:v>
      </x:c>
      <x:c r="G784" t="str">
        <x:v>CLE</x:v>
      </x:c>
      <x:c r="H784" t="str">
        <x:v>MIN</x:v>
      </x:c>
      <x:c r="I784" t="str">
        <x:v>MIN</x:v>
      </x:c>
      <x:c r="J784" t="n">
        <x:v>40</x:v>
      </x:c>
      <x:c r="K784" t="str">
        <x:v>(7:56) (Shotgun) 34-J.Ford up the middle to MIN 38 for 2 yards (98-B.Richter; 50-L.Rodriguez).</x:v>
      </x:c>
      <x:c r="L784" t="str">
        <x:v>run</x:v>
      </x:c>
      <x:c r="M784" t="n">
        <x:v>2</x:v>
      </x:c>
      <x:c r="N784" t="n">
        <x:v>1</x:v>
      </x:c>
      <x:c r="O784" t="n">
        <x:v>0</x:v>
      </x:c>
      <x:c r="P784"/>
      <x:c r="Q784"/>
      <x:c r="R784"/>
      <x:c r="S784"/>
      <x:c r="T784" t="str">
        <x:v>middle</x:v>
      </x:c>
      <x:c r="U784"/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/>
      <x:c r="AC784" t="n">
        <x:v>0</x:v>
      </x:c>
      <x:c r="AD784" t="n">
        <x:v>-0.521794153843075</x:v>
      </x:c>
      <x:c r="AE784" t="n">
        <x:v>0</x:v>
      </x:c>
      <x:c r="AF784" t="n">
        <x:v>0.0006053447723388672</x:v>
      </x:c>
      <x:c r="AG784" t="n">
        <x:f>_xlfn.XLOOKUP($A784,Games!$A$2:$A$18,Games!$B$2:$B$18,"Missing game",0)</x:f>
        <x:v>2025</x:v>
      </x:c>
      <x:c r="AH784" t="str">
        <x:f>_xlfn.XLOOKUP($A784,Games!$A$2:$A$18,Games!$C$2:$C$18,"Missing game",0)</x:f>
        <x:v>REG</x:v>
      </x:c>
      <x:c r="AI784" t="n">
        <x:f>_xlfn.XLOOKUP($A784,Games!$A$2:$A$18,Games!$D$2:$D$18,"Missing game",0)</x:f>
        <x:v>5</x:v>
      </x:c>
      <x:c r="AJ784" s="1" t="n">
        <x:f>_xlfn.XLOOKUP($A784,Games!$A$2:$A$18,Games!$E$2:$E$18,"Missing game",0)</x:f>
        <x:v>45935</x:v>
      </x:c>
      <x:c r="AK784" t="str">
        <x:f>_xlfn.XLOOKUP($A784,Games!$A$2:$A$18,Games!$F$2:$F$18,"Missing game",0)</x:f>
        <x:v>Sunday</x:v>
      </x:c>
      <x:c r="AL784" t="str">
        <x:f>_xlfn.XLOOKUP($A784,Games!$A$2:$A$18,Games!$G$2:$G$18,"Missing game",0)</x:f>
        <x:v>MIN</x:v>
      </x:c>
      <x:c r="AM784" t="n">
        <x:f>_xlfn.XLOOKUP($A784,Games!$A$2:$A$18,Games!$H$2:$H$18,"Missing game",0)</x:f>
        <x:v>21</x:v>
      </x:c>
      <x:c r="AN784" t="str">
        <x:f>_xlfn.XLOOKUP($A784,Games!$A$2:$A$18,Games!$I$2:$I$18,"Missing game",0)</x:f>
        <x:v>CLE</x:v>
      </x:c>
      <x:c r="AO784" t="n">
        <x:f>_xlfn.XLOOKUP($A784,Games!$A$2:$A$18,Games!$J$2:$J$18,"Missing game",0)</x:f>
        <x:v>17</x:v>
      </x:c>
      <x:c r="AP784" t="n">
        <x:f>_xlfn.XLOOKUP($A784,Games!$A$2:$A$18,Games!$K$2:$K$18,"Missing game",0)</x:f>
        <x:v>-4</x:v>
      </x:c>
      <x:c r="AQ784" t="n">
        <x:f>_xlfn.XLOOKUP($A784,Games!$A$2:$A$18,Games!$L$2:$L$18,"Missing game",0)</x:f>
        <x:v>38</x:v>
      </x:c>
      <x:c r="AR784" t="n">
        <x:f>_xlfn.XLOOKUP($A784,Games!$A$2:$A$18,Games!$M$2:$M$18,"Missing game",0)</x:f>
        <x:v>0</x:v>
      </x:c>
      <x:c r="AS784" t="str">
        <x:f>_xlfn.XLOOKUP($A784,Games!$A$2:$A$18,Games!$N$2:$N$18,"Missing game",0)</x:f>
        <x:v>outdoors</x:v>
      </x:c>
      <x:c r="AT784" t="str">
        <x:f>_xlfn.XLOOKUP($A784,Games!$A$2:$A$18,Games!$O$2:$O$18,"Missing game",0)</x:f>
        <x:v>grass</x:v>
      </x:c>
      <x:c r="AU784" t="n">
        <x:f>_xlfn.XLOOKUP($A784,Games!$A$2:$A$18,Games!$P$2:$P$18,"Missing game",0)</x:f>
        <x:v>61</x:v>
      </x:c>
      <x:c r="AV784" t="n">
        <x:f>_xlfn.XLOOKUP($A784,Games!$A$2:$A$18,Games!$Q$2:$Q$18,"Missing game",0)</x:f>
        <x:v>14</x:v>
      </x:c>
      <x:c r="AW784" t="str">
        <x:f>_xlfn.XLOOKUP($A784,Games!$A$2:$A$18,Games!$R$2:$R$18,"Missing game",0)</x:f>
        <x:v>FirstEnergy Stadium</x:v>
      </x:c>
    </x:row>
    <x:row r="785">
      <x:c r="A785" t="str">
        <x:v>2025_05_MIN_CLE</x:v>
      </x:c>
      <x:c r="B785" t="n">
        <x:v>2861</x:v>
      </x:c>
      <x:c r="C785" t="n">
        <x:v>3</x:v>
      </x:c>
      <x:c r="D785" t="str">
        <x:v>07:20</x:v>
      </x:c>
      <x:c r="E785" t="n">
        <x:v>2</x:v>
      </x:c>
      <x:c r="F785" t="n">
        <x:v>8</x:v>
      </x:c>
      <x:c r="G785" t="str">
        <x:v>CLE</x:v>
      </x:c>
      <x:c r="H785" t="str">
        <x:v>MIN</x:v>
      </x:c>
      <x:c r="I785" t="str">
        <x:v>MIN</x:v>
      </x:c>
      <x:c r="J785" t="n">
        <x:v>38</x:v>
      </x:c>
      <x:c r="K785" t="str">
        <x:v>(7:20) 8-D.Gabriel pass short left to 10-Q.Judkins pushed ob at MIN 20 for 18 yards (55-E.Wilson).</x:v>
      </x:c>
      <x:c r="L785" t="str">
        <x:v>pass</x:v>
      </x:c>
      <x:c r="M785" t="n">
        <x:v>18</x:v>
      </x:c>
      <x:c r="N785" t="n">
        <x:v>0</x:v>
      </x:c>
      <x:c r="O785" t="n">
        <x:v>0</x:v>
      </x:c>
      <x:c r="P785" t="str">
        <x:v>short</x:v>
      </x:c>
      <x:c r="Q785" t="str">
        <x:v>left</x:v>
      </x:c>
      <x:c r="R785" t="n">
        <x:v>2</x:v>
      </x:c>
      <x:c r="S785" t="n">
        <x:v>16</x:v>
      </x:c>
      <x:c r="T785"/>
      <x:c r="U785"/>
      <x:c r="V785" t="n">
        <x:v>1</x:v>
      </x:c>
      <x:c r="W785" t="n">
        <x:v>1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/>
      <x:c r="AC785" t="n">
        <x:v>0</x:v>
      </x:c>
      <x:c r="AD785" t="n">
        <x:v>1.8027416199911386</x:v>
      </x:c>
      <x:c r="AE785" t="n">
        <x:v>1</x:v>
      </x:c>
      <x:c r="AF785" t="n">
        <x:v>0.07031106948852539</x:v>
      </x:c>
      <x:c r="AG785" t="n">
        <x:f>_xlfn.XLOOKUP($A785,Games!$A$2:$A$18,Games!$B$2:$B$18,"Missing game",0)</x:f>
        <x:v>2025</x:v>
      </x:c>
      <x:c r="AH785" t="str">
        <x:f>_xlfn.XLOOKUP($A785,Games!$A$2:$A$18,Games!$C$2:$C$18,"Missing game",0)</x:f>
        <x:v>REG</x:v>
      </x:c>
      <x:c r="AI785" t="n">
        <x:f>_xlfn.XLOOKUP($A785,Games!$A$2:$A$18,Games!$D$2:$D$18,"Missing game",0)</x:f>
        <x:v>5</x:v>
      </x:c>
      <x:c r="AJ785" s="1" t="n">
        <x:f>_xlfn.XLOOKUP($A785,Games!$A$2:$A$18,Games!$E$2:$E$18,"Missing game",0)</x:f>
        <x:v>45935</x:v>
      </x:c>
      <x:c r="AK785" t="str">
        <x:f>_xlfn.XLOOKUP($A785,Games!$A$2:$A$18,Games!$F$2:$F$18,"Missing game",0)</x:f>
        <x:v>Sunday</x:v>
      </x:c>
      <x:c r="AL785" t="str">
        <x:f>_xlfn.XLOOKUP($A785,Games!$A$2:$A$18,Games!$G$2:$G$18,"Missing game",0)</x:f>
        <x:v>MIN</x:v>
      </x:c>
      <x:c r="AM785" t="n">
        <x:f>_xlfn.XLOOKUP($A785,Games!$A$2:$A$18,Games!$H$2:$H$18,"Missing game",0)</x:f>
        <x:v>21</x:v>
      </x:c>
      <x:c r="AN785" t="str">
        <x:f>_xlfn.XLOOKUP($A785,Games!$A$2:$A$18,Games!$I$2:$I$18,"Missing game",0)</x:f>
        <x:v>CLE</x:v>
      </x:c>
      <x:c r="AO785" t="n">
        <x:f>_xlfn.XLOOKUP($A785,Games!$A$2:$A$18,Games!$J$2:$J$18,"Missing game",0)</x:f>
        <x:v>17</x:v>
      </x:c>
      <x:c r="AP785" t="n">
        <x:f>_xlfn.XLOOKUP($A785,Games!$A$2:$A$18,Games!$K$2:$K$18,"Missing game",0)</x:f>
        <x:v>-4</x:v>
      </x:c>
      <x:c r="AQ785" t="n">
        <x:f>_xlfn.XLOOKUP($A785,Games!$A$2:$A$18,Games!$L$2:$L$18,"Missing game",0)</x:f>
        <x:v>38</x:v>
      </x:c>
      <x:c r="AR785" t="n">
        <x:f>_xlfn.XLOOKUP($A785,Games!$A$2:$A$18,Games!$M$2:$M$18,"Missing game",0)</x:f>
        <x:v>0</x:v>
      </x:c>
      <x:c r="AS785" t="str">
        <x:f>_xlfn.XLOOKUP($A785,Games!$A$2:$A$18,Games!$N$2:$N$18,"Missing game",0)</x:f>
        <x:v>outdoors</x:v>
      </x:c>
      <x:c r="AT785" t="str">
        <x:f>_xlfn.XLOOKUP($A785,Games!$A$2:$A$18,Games!$O$2:$O$18,"Missing game",0)</x:f>
        <x:v>grass</x:v>
      </x:c>
      <x:c r="AU785" t="n">
        <x:f>_xlfn.XLOOKUP($A785,Games!$A$2:$A$18,Games!$P$2:$P$18,"Missing game",0)</x:f>
        <x:v>61</x:v>
      </x:c>
      <x:c r="AV785" t="n">
        <x:f>_xlfn.XLOOKUP($A785,Games!$A$2:$A$18,Games!$Q$2:$Q$18,"Missing game",0)</x:f>
        <x:v>14</x:v>
      </x:c>
      <x:c r="AW785" t="str">
        <x:f>_xlfn.XLOOKUP($A785,Games!$A$2:$A$18,Games!$R$2:$R$18,"Missing game",0)</x:f>
        <x:v>FirstEnergy Stadium</x:v>
      </x:c>
    </x:row>
    <x:row r="786">
      <x:c r="A786" t="str">
        <x:v>2025_05_MIN_CLE</x:v>
      </x:c>
      <x:c r="B786" t="n">
        <x:v>2891</x:v>
      </x:c>
      <x:c r="C786" t="n">
        <x:v>3</x:v>
      </x:c>
      <x:c r="D786" t="str">
        <x:v>06:43</x:v>
      </x:c>
      <x:c r="E786" t="n">
        <x:v>1</x:v>
      </x:c>
      <x:c r="F786" t="n">
        <x:v>10</x:v>
      </x:c>
      <x:c r="G786" t="str">
        <x:v>CLE</x:v>
      </x:c>
      <x:c r="H786" t="str">
        <x:v>MIN</x:v>
      </x:c>
      <x:c r="I786" t="str">
        <x:v>MIN</x:v>
      </x:c>
      <x:c r="J786" t="n">
        <x:v>20</x:v>
      </x:c>
      <x:c r="K786" t="str">
        <x:v>(6:43) 8-D.Gabriel pass short left to 85-D.Njoku pushed ob at MIN 14 for 6 yards (97-J.Hargrave) [58-J.Greenard].</x:v>
      </x:c>
      <x:c r="L786" t="str">
        <x:v>pass</x:v>
      </x:c>
      <x:c r="M786" t="n">
        <x:v>6</x:v>
      </x:c>
      <x:c r="N786" t="n">
        <x:v>0</x:v>
      </x:c>
      <x:c r="O786" t="n">
        <x:v>0</x:v>
      </x:c>
      <x:c r="P786" t="str">
        <x:v>short</x:v>
      </x:c>
      <x:c r="Q786" t="str">
        <x:v>left</x:v>
      </x:c>
      <x:c r="R786" t="n">
        <x:v>-2</x:v>
      </x:c>
      <x:c r="S786" t="n">
        <x:v>8</x:v>
      </x:c>
      <x:c r="T786"/>
      <x:c r="U786"/>
      <x:c r="V786" t="n">
        <x:v>1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/>
      <x:c r="AC786" t="n">
        <x:v>0</x:v>
      </x:c>
      <x:c r="AD786" t="n">
        <x:v>0.3010411054128781</x:v>
      </x:c>
      <x:c r="AE786" t="n">
        <x:v>1</x:v>
      </x:c>
      <x:c r="AF786" t="n">
        <x:v>0.007212162017822266</x:v>
      </x:c>
      <x:c r="AG786" t="n">
        <x:f>_xlfn.XLOOKUP($A786,Games!$A$2:$A$18,Games!$B$2:$B$18,"Missing game",0)</x:f>
        <x:v>2025</x:v>
      </x:c>
      <x:c r="AH786" t="str">
        <x:f>_xlfn.XLOOKUP($A786,Games!$A$2:$A$18,Games!$C$2:$C$18,"Missing game",0)</x:f>
        <x:v>REG</x:v>
      </x:c>
      <x:c r="AI786" t="n">
        <x:f>_xlfn.XLOOKUP($A786,Games!$A$2:$A$18,Games!$D$2:$D$18,"Missing game",0)</x:f>
        <x:v>5</x:v>
      </x:c>
      <x:c r="AJ786" s="1" t="n">
        <x:f>_xlfn.XLOOKUP($A786,Games!$A$2:$A$18,Games!$E$2:$E$18,"Missing game",0)</x:f>
        <x:v>45935</x:v>
      </x:c>
      <x:c r="AK786" t="str">
        <x:f>_xlfn.XLOOKUP($A786,Games!$A$2:$A$18,Games!$F$2:$F$18,"Missing game",0)</x:f>
        <x:v>Sunday</x:v>
      </x:c>
      <x:c r="AL786" t="str">
        <x:f>_xlfn.XLOOKUP($A786,Games!$A$2:$A$18,Games!$G$2:$G$18,"Missing game",0)</x:f>
        <x:v>MIN</x:v>
      </x:c>
      <x:c r="AM786" t="n">
        <x:f>_xlfn.XLOOKUP($A786,Games!$A$2:$A$18,Games!$H$2:$H$18,"Missing game",0)</x:f>
        <x:v>21</x:v>
      </x:c>
      <x:c r="AN786" t="str">
        <x:f>_xlfn.XLOOKUP($A786,Games!$A$2:$A$18,Games!$I$2:$I$18,"Missing game",0)</x:f>
        <x:v>CLE</x:v>
      </x:c>
      <x:c r="AO786" t="n">
        <x:f>_xlfn.XLOOKUP($A786,Games!$A$2:$A$18,Games!$J$2:$J$18,"Missing game",0)</x:f>
        <x:v>17</x:v>
      </x:c>
      <x:c r="AP786" t="n">
        <x:f>_xlfn.XLOOKUP($A786,Games!$A$2:$A$18,Games!$K$2:$K$18,"Missing game",0)</x:f>
        <x:v>-4</x:v>
      </x:c>
      <x:c r="AQ786" t="n">
        <x:f>_xlfn.XLOOKUP($A786,Games!$A$2:$A$18,Games!$L$2:$L$18,"Missing game",0)</x:f>
        <x:v>38</x:v>
      </x:c>
      <x:c r="AR786" t="n">
        <x:f>_xlfn.XLOOKUP($A786,Games!$A$2:$A$18,Games!$M$2:$M$18,"Missing game",0)</x:f>
        <x:v>0</x:v>
      </x:c>
      <x:c r="AS786" t="str">
        <x:f>_xlfn.XLOOKUP($A786,Games!$A$2:$A$18,Games!$N$2:$N$18,"Missing game",0)</x:f>
        <x:v>outdoors</x:v>
      </x:c>
      <x:c r="AT786" t="str">
        <x:f>_xlfn.XLOOKUP($A786,Games!$A$2:$A$18,Games!$O$2:$O$18,"Missing game",0)</x:f>
        <x:v>grass</x:v>
      </x:c>
      <x:c r="AU786" t="n">
        <x:f>_xlfn.XLOOKUP($A786,Games!$A$2:$A$18,Games!$P$2:$P$18,"Missing game",0)</x:f>
        <x:v>61</x:v>
      </x:c>
      <x:c r="AV786" t="n">
        <x:f>_xlfn.XLOOKUP($A786,Games!$A$2:$A$18,Games!$Q$2:$Q$18,"Missing game",0)</x:f>
        <x:v>14</x:v>
      </x:c>
      <x:c r="AW786" t="str">
        <x:f>_xlfn.XLOOKUP($A786,Games!$A$2:$A$18,Games!$R$2:$R$18,"Missing game",0)</x:f>
        <x:v>FirstEnergy Stadium</x:v>
      </x:c>
    </x:row>
    <x:row r="787">
      <x:c r="A787" t="str">
        <x:v>2025_05_MIN_CLE</x:v>
      </x:c>
      <x:c r="B787" t="n">
        <x:v>2921</x:v>
      </x:c>
      <x:c r="C787" t="n">
        <x:v>3</x:v>
      </x:c>
      <x:c r="D787" t="str">
        <x:v>06:05</x:v>
      </x:c>
      <x:c r="E787" t="n">
        <x:v>2</x:v>
      </x:c>
      <x:c r="F787" t="n">
        <x:v>4</x:v>
      </x:c>
      <x:c r="G787" t="str">
        <x:v>CLE</x:v>
      </x:c>
      <x:c r="H787" t="str">
        <x:v>MIN</x:v>
      </x:c>
      <x:c r="I787" t="str">
        <x:v>MIN</x:v>
      </x:c>
      <x:c r="J787" t="n">
        <x:v>14</x:v>
      </x:c>
      <x:c r="K787" t="str">
        <x:v>(6:05) 10-Q.Judkins right tackle to MIN 11 for 3 yards (55-E.Wilson; 93-J.Allen).</x:v>
      </x:c>
      <x:c r="L787" t="str">
        <x:v>run</x:v>
      </x:c>
      <x:c r="M787" t="n">
        <x:v>3</x:v>
      </x:c>
      <x:c r="N787" t="n">
        <x:v>0</x:v>
      </x:c>
      <x:c r="O787" t="n">
        <x:v>0</x:v>
      </x:c>
      <x:c r="P787"/>
      <x:c r="Q787"/>
      <x:c r="R787"/>
      <x:c r="S787"/>
      <x:c r="T787" t="str">
        <x:v>right</x:v>
      </x:c>
      <x:c r="U787" t="str">
        <x:v>tackle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/>
      <x:c r="AC787" t="n">
        <x:v>0</x:v>
      </x:c>
      <x:c r="AD787" t="n">
        <x:v>-0.09631164273014292</x:v>
      </x:c>
      <x:c r="AE787" t="n">
        <x:v>0</x:v>
      </x:c>
      <x:c r="AF787" t="n">
        <x:v>0.0095406174659729</x:v>
      </x:c>
      <x:c r="AG787" t="n">
        <x:f>_xlfn.XLOOKUP($A787,Games!$A$2:$A$18,Games!$B$2:$B$18,"Missing game",0)</x:f>
        <x:v>2025</x:v>
      </x:c>
      <x:c r="AH787" t="str">
        <x:f>_xlfn.XLOOKUP($A787,Games!$A$2:$A$18,Games!$C$2:$C$18,"Missing game",0)</x:f>
        <x:v>REG</x:v>
      </x:c>
      <x:c r="AI787" t="n">
        <x:f>_xlfn.XLOOKUP($A787,Games!$A$2:$A$18,Games!$D$2:$D$18,"Missing game",0)</x:f>
        <x:v>5</x:v>
      </x:c>
      <x:c r="AJ787" s="1" t="n">
        <x:f>_xlfn.XLOOKUP($A787,Games!$A$2:$A$18,Games!$E$2:$E$18,"Missing game",0)</x:f>
        <x:v>45935</x:v>
      </x:c>
      <x:c r="AK787" t="str">
        <x:f>_xlfn.XLOOKUP($A787,Games!$A$2:$A$18,Games!$F$2:$F$18,"Missing game",0)</x:f>
        <x:v>Sunday</x:v>
      </x:c>
      <x:c r="AL787" t="str">
        <x:f>_xlfn.XLOOKUP($A787,Games!$A$2:$A$18,Games!$G$2:$G$18,"Missing game",0)</x:f>
        <x:v>MIN</x:v>
      </x:c>
      <x:c r="AM787" t="n">
        <x:f>_xlfn.XLOOKUP($A787,Games!$A$2:$A$18,Games!$H$2:$H$18,"Missing game",0)</x:f>
        <x:v>21</x:v>
      </x:c>
      <x:c r="AN787" t="str">
        <x:f>_xlfn.XLOOKUP($A787,Games!$A$2:$A$18,Games!$I$2:$I$18,"Missing game",0)</x:f>
        <x:v>CLE</x:v>
      </x:c>
      <x:c r="AO787" t="n">
        <x:f>_xlfn.XLOOKUP($A787,Games!$A$2:$A$18,Games!$J$2:$J$18,"Missing game",0)</x:f>
        <x:v>17</x:v>
      </x:c>
      <x:c r="AP787" t="n">
        <x:f>_xlfn.XLOOKUP($A787,Games!$A$2:$A$18,Games!$K$2:$K$18,"Missing game",0)</x:f>
        <x:v>-4</x:v>
      </x:c>
      <x:c r="AQ787" t="n">
        <x:f>_xlfn.XLOOKUP($A787,Games!$A$2:$A$18,Games!$L$2:$L$18,"Missing game",0)</x:f>
        <x:v>38</x:v>
      </x:c>
      <x:c r="AR787" t="n">
        <x:f>_xlfn.XLOOKUP($A787,Games!$A$2:$A$18,Games!$M$2:$M$18,"Missing game",0)</x:f>
        <x:v>0</x:v>
      </x:c>
      <x:c r="AS787" t="str">
        <x:f>_xlfn.XLOOKUP($A787,Games!$A$2:$A$18,Games!$N$2:$N$18,"Missing game",0)</x:f>
        <x:v>outdoors</x:v>
      </x:c>
      <x:c r="AT787" t="str">
        <x:f>_xlfn.XLOOKUP($A787,Games!$A$2:$A$18,Games!$O$2:$O$18,"Missing game",0)</x:f>
        <x:v>grass</x:v>
      </x:c>
      <x:c r="AU787" t="n">
        <x:f>_xlfn.XLOOKUP($A787,Games!$A$2:$A$18,Games!$P$2:$P$18,"Missing game",0)</x:f>
        <x:v>61</x:v>
      </x:c>
      <x:c r="AV787" t="n">
        <x:f>_xlfn.XLOOKUP($A787,Games!$A$2:$A$18,Games!$Q$2:$Q$18,"Missing game",0)</x:f>
        <x:v>14</x:v>
      </x:c>
      <x:c r="AW787" t="str">
        <x:f>_xlfn.XLOOKUP($A787,Games!$A$2:$A$18,Games!$R$2:$R$18,"Missing game",0)</x:f>
        <x:v>FirstEnergy Stadium</x:v>
      </x:c>
    </x:row>
    <x:row r="788">
      <x:c r="A788" t="str">
        <x:v>2025_05_MIN_CLE</x:v>
      </x:c>
      <x:c r="B788" t="n">
        <x:v>2943</x:v>
      </x:c>
      <x:c r="C788" t="n">
        <x:v>3</x:v>
      </x:c>
      <x:c r="D788" t="str">
        <x:v>05:21</x:v>
      </x:c>
      <x:c r="E788" t="n">
        <x:v>3</x:v>
      </x:c>
      <x:c r="F788" t="n">
        <x:v>1</x:v>
      </x:c>
      <x:c r="G788" t="str">
        <x:v>CLE</x:v>
      </x:c>
      <x:c r="H788" t="str">
        <x:v>MIN</x:v>
      </x:c>
      <x:c r="I788" t="str">
        <x:v>MIN</x:v>
      </x:c>
      <x:c r="J788" t="n">
        <x:v>11</x:v>
      </x:c>
      <x:c r="K788" t="str">
        <x:v>(5:21) (Shotgun) 10-Q.Judkins left guard to MIN 11 for no gain (93-J.Allen).</x:v>
      </x:c>
      <x:c r="L788" t="str">
        <x:v>run</x:v>
      </x:c>
      <x:c r="M788" t="n">
        <x:v>0</x:v>
      </x:c>
      <x:c r="N788" t="n">
        <x:v>1</x:v>
      </x:c>
      <x:c r="O788" t="n">
        <x:v>0</x:v>
      </x:c>
      <x:c r="P788"/>
      <x:c r="Q788"/>
      <x:c r="R788"/>
      <x:c r="S788"/>
      <x:c r="T788" t="str">
        <x:v>left</x:v>
      </x:c>
      <x:c r="U788" t="str">
        <x:v>guard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/>
      <x:c r="AC788" t="n">
        <x:v>0</x:v>
      </x:c>
      <x:c r="AD788" t="n">
        <x:v>-1.1379294845391996</x:v>
      </x:c>
      <x:c r="AE788" t="n">
        <x:v>0</x:v>
      </x:c>
      <x:c r="AF788" t="n">
        <x:v>-0.06162881851196289</x:v>
      </x:c>
      <x:c r="AG788" t="n">
        <x:f>_xlfn.XLOOKUP($A788,Games!$A$2:$A$18,Games!$B$2:$B$18,"Missing game",0)</x:f>
        <x:v>2025</x:v>
      </x:c>
      <x:c r="AH788" t="str">
        <x:f>_xlfn.XLOOKUP($A788,Games!$A$2:$A$18,Games!$C$2:$C$18,"Missing game",0)</x:f>
        <x:v>REG</x:v>
      </x:c>
      <x:c r="AI788" t="n">
        <x:f>_xlfn.XLOOKUP($A788,Games!$A$2:$A$18,Games!$D$2:$D$18,"Missing game",0)</x:f>
        <x:v>5</x:v>
      </x:c>
      <x:c r="AJ788" s="1" t="n">
        <x:f>_xlfn.XLOOKUP($A788,Games!$A$2:$A$18,Games!$E$2:$E$18,"Missing game",0)</x:f>
        <x:v>45935</x:v>
      </x:c>
      <x:c r="AK788" t="str">
        <x:f>_xlfn.XLOOKUP($A788,Games!$A$2:$A$18,Games!$F$2:$F$18,"Missing game",0)</x:f>
        <x:v>Sunday</x:v>
      </x:c>
      <x:c r="AL788" t="str">
        <x:f>_xlfn.XLOOKUP($A788,Games!$A$2:$A$18,Games!$G$2:$G$18,"Missing game",0)</x:f>
        <x:v>MIN</x:v>
      </x:c>
      <x:c r="AM788" t="n">
        <x:f>_xlfn.XLOOKUP($A788,Games!$A$2:$A$18,Games!$H$2:$H$18,"Missing game",0)</x:f>
        <x:v>21</x:v>
      </x:c>
      <x:c r="AN788" t="str">
        <x:f>_xlfn.XLOOKUP($A788,Games!$A$2:$A$18,Games!$I$2:$I$18,"Missing game",0)</x:f>
        <x:v>CLE</x:v>
      </x:c>
      <x:c r="AO788" t="n">
        <x:f>_xlfn.XLOOKUP($A788,Games!$A$2:$A$18,Games!$J$2:$J$18,"Missing game",0)</x:f>
        <x:v>17</x:v>
      </x:c>
      <x:c r="AP788" t="n">
        <x:f>_xlfn.XLOOKUP($A788,Games!$A$2:$A$18,Games!$K$2:$K$18,"Missing game",0)</x:f>
        <x:v>-4</x:v>
      </x:c>
      <x:c r="AQ788" t="n">
        <x:f>_xlfn.XLOOKUP($A788,Games!$A$2:$A$18,Games!$L$2:$L$18,"Missing game",0)</x:f>
        <x:v>38</x:v>
      </x:c>
      <x:c r="AR788" t="n">
        <x:f>_xlfn.XLOOKUP($A788,Games!$A$2:$A$18,Games!$M$2:$M$18,"Missing game",0)</x:f>
        <x:v>0</x:v>
      </x:c>
      <x:c r="AS788" t="str">
        <x:f>_xlfn.XLOOKUP($A788,Games!$A$2:$A$18,Games!$N$2:$N$18,"Missing game",0)</x:f>
        <x:v>outdoors</x:v>
      </x:c>
      <x:c r="AT788" t="str">
        <x:f>_xlfn.XLOOKUP($A788,Games!$A$2:$A$18,Games!$O$2:$O$18,"Missing game",0)</x:f>
        <x:v>grass</x:v>
      </x:c>
      <x:c r="AU788" t="n">
        <x:f>_xlfn.XLOOKUP($A788,Games!$A$2:$A$18,Games!$P$2:$P$18,"Missing game",0)</x:f>
        <x:v>61</x:v>
      </x:c>
      <x:c r="AV788" t="n">
        <x:f>_xlfn.XLOOKUP($A788,Games!$A$2:$A$18,Games!$Q$2:$Q$18,"Missing game",0)</x:f>
        <x:v>14</x:v>
      </x:c>
      <x:c r="AW788" t="str">
        <x:f>_xlfn.XLOOKUP($A788,Games!$A$2:$A$18,Games!$R$2:$R$18,"Missing game",0)</x:f>
        <x:v>FirstEnergy Stadium</x:v>
      </x:c>
    </x:row>
    <x:row r="789">
      <x:c r="A789" t="str">
        <x:v>2025_05_MIN_CLE</x:v>
      </x:c>
      <x:c r="B789" t="n">
        <x:v>2965</x:v>
      </x:c>
      <x:c r="C789" t="n">
        <x:v>3</x:v>
      </x:c>
      <x:c r="D789" t="str">
        <x:v>04:37</x:v>
      </x:c>
      <x:c r="E789" t="n">
        <x:v>4</x:v>
      </x:c>
      <x:c r="F789" t="n">
        <x:v>1</x:v>
      </x:c>
      <x:c r="G789" t="str">
        <x:v>CLE</x:v>
      </x:c>
      <x:c r="H789" t="str">
        <x:v>MIN</x:v>
      </x:c>
      <x:c r="I789" t="str">
        <x:v>MIN</x:v>
      </x:c>
      <x:c r="J789" t="n">
        <x:v>11</x:v>
      </x:c>
      <x:c r="K789" t="str">
        <x:v>(4:37) 98-A.Huntington reported in as eligible. 10-Q.Judkins right tackle to MIN 9 for 2 yards (7-B.Murphy).</x:v>
      </x:c>
      <x:c r="L789" t="str">
        <x:v>run</x:v>
      </x:c>
      <x:c r="M789" t="n">
        <x:v>2</x:v>
      </x:c>
      <x:c r="N789" t="n">
        <x:v>0</x:v>
      </x:c>
      <x:c r="O789" t="n">
        <x:v>0</x:v>
      </x:c>
      <x:c r="P789"/>
      <x:c r="Q789"/>
      <x:c r="R789"/>
      <x:c r="S789"/>
      <x:c r="T789" t="str">
        <x:v>right</x:v>
      </x:c>
      <x:c r="U789" t="str">
        <x:v>tackle</x:v>
      </x:c>
      <x:c r="V789" t="n">
        <x:v>0</x:v>
      </x:c>
      <x:c r="W789" t="n">
        <x:v>1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/>
      <x:c r="AC789" t="n">
        <x:v>0</x:v>
      </x:c>
      <x:c r="AD789" t="n">
        <x:v>1.5284813670441508</x:v>
      </x:c>
      <x:c r="AE789" t="n">
        <x:v>1</x:v>
      </x:c>
      <x:c r="AF789" t="n">
        <x:v>0.07726901769638062</x:v>
      </x:c>
      <x:c r="AG789" t="n">
        <x:f>_xlfn.XLOOKUP($A789,Games!$A$2:$A$18,Games!$B$2:$B$18,"Missing game",0)</x:f>
        <x:v>2025</x:v>
      </x:c>
      <x:c r="AH789" t="str">
        <x:f>_xlfn.XLOOKUP($A789,Games!$A$2:$A$18,Games!$C$2:$C$18,"Missing game",0)</x:f>
        <x:v>REG</x:v>
      </x:c>
      <x:c r="AI789" t="n">
        <x:f>_xlfn.XLOOKUP($A789,Games!$A$2:$A$18,Games!$D$2:$D$18,"Missing game",0)</x:f>
        <x:v>5</x:v>
      </x:c>
      <x:c r="AJ789" s="1" t="n">
        <x:f>_xlfn.XLOOKUP($A789,Games!$A$2:$A$18,Games!$E$2:$E$18,"Missing game",0)</x:f>
        <x:v>45935</x:v>
      </x:c>
      <x:c r="AK789" t="str">
        <x:f>_xlfn.XLOOKUP($A789,Games!$A$2:$A$18,Games!$F$2:$F$18,"Missing game",0)</x:f>
        <x:v>Sunday</x:v>
      </x:c>
      <x:c r="AL789" t="str">
        <x:f>_xlfn.XLOOKUP($A789,Games!$A$2:$A$18,Games!$G$2:$G$18,"Missing game",0)</x:f>
        <x:v>MIN</x:v>
      </x:c>
      <x:c r="AM789" t="n">
        <x:f>_xlfn.XLOOKUP($A789,Games!$A$2:$A$18,Games!$H$2:$H$18,"Missing game",0)</x:f>
        <x:v>21</x:v>
      </x:c>
      <x:c r="AN789" t="str">
        <x:f>_xlfn.XLOOKUP($A789,Games!$A$2:$A$18,Games!$I$2:$I$18,"Missing game",0)</x:f>
        <x:v>CLE</x:v>
      </x:c>
      <x:c r="AO789" t="n">
        <x:f>_xlfn.XLOOKUP($A789,Games!$A$2:$A$18,Games!$J$2:$J$18,"Missing game",0)</x:f>
        <x:v>17</x:v>
      </x:c>
      <x:c r="AP789" t="n">
        <x:f>_xlfn.XLOOKUP($A789,Games!$A$2:$A$18,Games!$K$2:$K$18,"Missing game",0)</x:f>
        <x:v>-4</x:v>
      </x:c>
      <x:c r="AQ789" t="n">
        <x:f>_xlfn.XLOOKUP($A789,Games!$A$2:$A$18,Games!$L$2:$L$18,"Missing game",0)</x:f>
        <x:v>38</x:v>
      </x:c>
      <x:c r="AR789" t="n">
        <x:f>_xlfn.XLOOKUP($A789,Games!$A$2:$A$18,Games!$M$2:$M$18,"Missing game",0)</x:f>
        <x:v>0</x:v>
      </x:c>
      <x:c r="AS789" t="str">
        <x:f>_xlfn.XLOOKUP($A789,Games!$A$2:$A$18,Games!$N$2:$N$18,"Missing game",0)</x:f>
        <x:v>outdoors</x:v>
      </x:c>
      <x:c r="AT789" t="str">
        <x:f>_xlfn.XLOOKUP($A789,Games!$A$2:$A$18,Games!$O$2:$O$18,"Missing game",0)</x:f>
        <x:v>grass</x:v>
      </x:c>
      <x:c r="AU789" t="n">
        <x:f>_xlfn.XLOOKUP($A789,Games!$A$2:$A$18,Games!$P$2:$P$18,"Missing game",0)</x:f>
        <x:v>61</x:v>
      </x:c>
      <x:c r="AV789" t="n">
        <x:f>_xlfn.XLOOKUP($A789,Games!$A$2:$A$18,Games!$Q$2:$Q$18,"Missing game",0)</x:f>
        <x:v>14</x:v>
      </x:c>
      <x:c r="AW789" t="str">
        <x:f>_xlfn.XLOOKUP($A789,Games!$A$2:$A$18,Games!$R$2:$R$18,"Missing game",0)</x:f>
        <x:v>FirstEnergy Stadium</x:v>
      </x:c>
    </x:row>
    <x:row r="790">
      <x:c r="A790" t="str">
        <x:v>2025_05_MIN_CLE</x:v>
      </x:c>
      <x:c r="B790" t="n">
        <x:v>2989</x:v>
      </x:c>
      <x:c r="C790" t="n">
        <x:v>3</x:v>
      </x:c>
      <x:c r="D790" t="str">
        <x:v>03:54</x:v>
      </x:c>
      <x:c r="E790" t="n">
        <x:v>1</x:v>
      </x:c>
      <x:c r="F790" t="n">
        <x:v>9</x:v>
      </x:c>
      <x:c r="G790" t="str">
        <x:v>CLE</x:v>
      </x:c>
      <x:c r="H790" t="str">
        <x:v>MIN</x:v>
      </x:c>
      <x:c r="I790" t="str">
        <x:v>MIN</x:v>
      </x:c>
      <x:c r="J790" t="n">
        <x:v>9</x:v>
      </x:c>
      <x:c r="K790" t="str">
        <x:v>(3:54) 10-Q.Judkins left end to MIN 9 for no gain (90-T.Ingram-Dawkins; 50-L.Rodriguez).</x:v>
      </x:c>
      <x:c r="L790" t="str">
        <x:v>run</x:v>
      </x:c>
      <x:c r="M790" t="n">
        <x:v>0</x:v>
      </x:c>
      <x:c r="N790" t="n">
        <x:v>0</x:v>
      </x:c>
      <x:c r="O790" t="n">
        <x:v>0</x:v>
      </x:c>
      <x:c r="P790"/>
      <x:c r="Q790"/>
      <x:c r="R790"/>
      <x:c r="S790"/>
      <x:c r="T790" t="str">
        <x:v>left</x:v>
      </x:c>
      <x:c r="U790" t="str">
        <x:v>end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/>
      <x:c r="AC790" t="n">
        <x:v>0</x:v>
      </x:c>
      <x:c r="AD790" t="n">
        <x:v>-0.5646419449476525</x:v>
      </x:c>
      <x:c r="AE790" t="n">
        <x:v>0</x:v>
      </x:c>
      <x:c r="AF790" t="n">
        <x:v>-0.020348727703094482</x:v>
      </x:c>
      <x:c r="AG790" t="n">
        <x:f>_xlfn.XLOOKUP($A790,Games!$A$2:$A$18,Games!$B$2:$B$18,"Missing game",0)</x:f>
        <x:v>2025</x:v>
      </x:c>
      <x:c r="AH790" t="str">
        <x:f>_xlfn.XLOOKUP($A790,Games!$A$2:$A$18,Games!$C$2:$C$18,"Missing game",0)</x:f>
        <x:v>REG</x:v>
      </x:c>
      <x:c r="AI790" t="n">
        <x:f>_xlfn.XLOOKUP($A790,Games!$A$2:$A$18,Games!$D$2:$D$18,"Missing game",0)</x:f>
        <x:v>5</x:v>
      </x:c>
      <x:c r="AJ790" s="1" t="n">
        <x:f>_xlfn.XLOOKUP($A790,Games!$A$2:$A$18,Games!$E$2:$E$18,"Missing game",0)</x:f>
        <x:v>45935</x:v>
      </x:c>
      <x:c r="AK790" t="str">
        <x:f>_xlfn.XLOOKUP($A790,Games!$A$2:$A$18,Games!$F$2:$F$18,"Missing game",0)</x:f>
        <x:v>Sunday</x:v>
      </x:c>
      <x:c r="AL790" t="str">
        <x:f>_xlfn.XLOOKUP($A790,Games!$A$2:$A$18,Games!$G$2:$G$18,"Missing game",0)</x:f>
        <x:v>MIN</x:v>
      </x:c>
      <x:c r="AM790" t="n">
        <x:f>_xlfn.XLOOKUP($A790,Games!$A$2:$A$18,Games!$H$2:$H$18,"Missing game",0)</x:f>
        <x:v>21</x:v>
      </x:c>
      <x:c r="AN790" t="str">
        <x:f>_xlfn.XLOOKUP($A790,Games!$A$2:$A$18,Games!$I$2:$I$18,"Missing game",0)</x:f>
        <x:v>CLE</x:v>
      </x:c>
      <x:c r="AO790" t="n">
        <x:f>_xlfn.XLOOKUP($A790,Games!$A$2:$A$18,Games!$J$2:$J$18,"Missing game",0)</x:f>
        <x:v>17</x:v>
      </x:c>
      <x:c r="AP790" t="n">
        <x:f>_xlfn.XLOOKUP($A790,Games!$A$2:$A$18,Games!$K$2:$K$18,"Missing game",0)</x:f>
        <x:v>-4</x:v>
      </x:c>
      <x:c r="AQ790" t="n">
        <x:f>_xlfn.XLOOKUP($A790,Games!$A$2:$A$18,Games!$L$2:$L$18,"Missing game",0)</x:f>
        <x:v>38</x:v>
      </x:c>
      <x:c r="AR790" t="n">
        <x:f>_xlfn.XLOOKUP($A790,Games!$A$2:$A$18,Games!$M$2:$M$18,"Missing game",0)</x:f>
        <x:v>0</x:v>
      </x:c>
      <x:c r="AS790" t="str">
        <x:f>_xlfn.XLOOKUP($A790,Games!$A$2:$A$18,Games!$N$2:$N$18,"Missing game",0)</x:f>
        <x:v>outdoors</x:v>
      </x:c>
      <x:c r="AT790" t="str">
        <x:f>_xlfn.XLOOKUP($A790,Games!$A$2:$A$18,Games!$O$2:$O$18,"Missing game",0)</x:f>
        <x:v>grass</x:v>
      </x:c>
      <x:c r="AU790" t="n">
        <x:f>_xlfn.XLOOKUP($A790,Games!$A$2:$A$18,Games!$P$2:$P$18,"Missing game",0)</x:f>
        <x:v>61</x:v>
      </x:c>
      <x:c r="AV790" t="n">
        <x:f>_xlfn.XLOOKUP($A790,Games!$A$2:$A$18,Games!$Q$2:$Q$18,"Missing game",0)</x:f>
        <x:v>14</x:v>
      </x:c>
      <x:c r="AW790" t="str">
        <x:f>_xlfn.XLOOKUP($A790,Games!$A$2:$A$18,Games!$R$2:$R$18,"Missing game",0)</x:f>
        <x:v>FirstEnergy Stadium</x:v>
      </x:c>
    </x:row>
    <x:row r="791">
      <x:c r="A791" t="str">
        <x:v>2025_05_MIN_CLE</x:v>
      </x:c>
      <x:c r="B791" t="n">
        <x:v>3011</x:v>
      </x:c>
      <x:c r="C791" t="n">
        <x:v>3</x:v>
      </x:c>
      <x:c r="D791" t="str">
        <x:v>03:14</x:v>
      </x:c>
      <x:c r="E791" t="n">
        <x:v>2</x:v>
      </x:c>
      <x:c r="F791" t="n">
        <x:v>9</x:v>
      </x:c>
      <x:c r="G791" t="str">
        <x:v>CLE</x:v>
      </x:c>
      <x:c r="H791" t="str">
        <x:v>MIN</x:v>
      </x:c>
      <x:c r="I791" t="str">
        <x:v>MIN</x:v>
      </x:c>
      <x:c r="J791" t="n">
        <x:v>9</x:v>
      </x:c>
      <x:c r="K791" t="str">
        <x:v>(3:14) (Shotgun) 8-D.Gabriel pass incomplete short middle to 16-I.Bond.</x:v>
      </x:c>
      <x:c r="L791" t="str">
        <x:v>pass</x:v>
      </x:c>
      <x:c r="M791" t="n">
        <x:v>0</x:v>
      </x:c>
      <x:c r="N791" t="n">
        <x:v>1</x:v>
      </x:c>
      <x:c r="O791" t="n">
        <x:v>0</x:v>
      </x:c>
      <x:c r="P791" t="str">
        <x:v>short</x:v>
      </x:c>
      <x:c r="Q791" t="str">
        <x:v>middle</x:v>
      </x:c>
      <x:c r="R791" t="n">
        <x:v>9</x:v>
      </x:c>
      <x:c r="S791"/>
      <x:c r="T791"/>
      <x:c r="U791"/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/>
      <x:c r="AC791" t="n">
        <x:v>0</x:v>
      </x:c>
      <x:c r="AD791" t="n">
        <x:v>-0.7581925127888098</x:v>
      </x:c>
      <x:c r="AE791" t="n">
        <x:v>0</x:v>
      </x:c>
      <x:c r="AF791" t="n">
        <x:v>-0.031937241554260254</x:v>
      </x:c>
      <x:c r="AG791" t="n">
        <x:f>_xlfn.XLOOKUP($A791,Games!$A$2:$A$18,Games!$B$2:$B$18,"Missing game",0)</x:f>
        <x:v>2025</x:v>
      </x:c>
      <x:c r="AH791" t="str">
        <x:f>_xlfn.XLOOKUP($A791,Games!$A$2:$A$18,Games!$C$2:$C$18,"Missing game",0)</x:f>
        <x:v>REG</x:v>
      </x:c>
      <x:c r="AI791" t="n">
        <x:f>_xlfn.XLOOKUP($A791,Games!$A$2:$A$18,Games!$D$2:$D$18,"Missing game",0)</x:f>
        <x:v>5</x:v>
      </x:c>
      <x:c r="AJ791" s="1" t="n">
        <x:f>_xlfn.XLOOKUP($A791,Games!$A$2:$A$18,Games!$E$2:$E$18,"Missing game",0)</x:f>
        <x:v>45935</x:v>
      </x:c>
      <x:c r="AK791" t="str">
        <x:f>_xlfn.XLOOKUP($A791,Games!$A$2:$A$18,Games!$F$2:$F$18,"Missing game",0)</x:f>
        <x:v>Sunday</x:v>
      </x:c>
      <x:c r="AL791" t="str">
        <x:f>_xlfn.XLOOKUP($A791,Games!$A$2:$A$18,Games!$G$2:$G$18,"Missing game",0)</x:f>
        <x:v>MIN</x:v>
      </x:c>
      <x:c r="AM791" t="n">
        <x:f>_xlfn.XLOOKUP($A791,Games!$A$2:$A$18,Games!$H$2:$H$18,"Missing game",0)</x:f>
        <x:v>21</x:v>
      </x:c>
      <x:c r="AN791" t="str">
        <x:f>_xlfn.XLOOKUP($A791,Games!$A$2:$A$18,Games!$I$2:$I$18,"Missing game",0)</x:f>
        <x:v>CLE</x:v>
      </x:c>
      <x:c r="AO791" t="n">
        <x:f>_xlfn.XLOOKUP($A791,Games!$A$2:$A$18,Games!$J$2:$J$18,"Missing game",0)</x:f>
        <x:v>17</x:v>
      </x:c>
      <x:c r="AP791" t="n">
        <x:f>_xlfn.XLOOKUP($A791,Games!$A$2:$A$18,Games!$K$2:$K$18,"Missing game",0)</x:f>
        <x:v>-4</x:v>
      </x:c>
      <x:c r="AQ791" t="n">
        <x:f>_xlfn.XLOOKUP($A791,Games!$A$2:$A$18,Games!$L$2:$L$18,"Missing game",0)</x:f>
        <x:v>38</x:v>
      </x:c>
      <x:c r="AR791" t="n">
        <x:f>_xlfn.XLOOKUP($A791,Games!$A$2:$A$18,Games!$M$2:$M$18,"Missing game",0)</x:f>
        <x:v>0</x:v>
      </x:c>
      <x:c r="AS791" t="str">
        <x:f>_xlfn.XLOOKUP($A791,Games!$A$2:$A$18,Games!$N$2:$N$18,"Missing game",0)</x:f>
        <x:v>outdoors</x:v>
      </x:c>
      <x:c r="AT791" t="str">
        <x:f>_xlfn.XLOOKUP($A791,Games!$A$2:$A$18,Games!$O$2:$O$18,"Missing game",0)</x:f>
        <x:v>grass</x:v>
      </x:c>
      <x:c r="AU791" t="n">
        <x:f>_xlfn.XLOOKUP($A791,Games!$A$2:$A$18,Games!$P$2:$P$18,"Missing game",0)</x:f>
        <x:v>61</x:v>
      </x:c>
      <x:c r="AV791" t="n">
        <x:f>_xlfn.XLOOKUP($A791,Games!$A$2:$A$18,Games!$Q$2:$Q$18,"Missing game",0)</x:f>
        <x:v>14</x:v>
      </x:c>
      <x:c r="AW791" t="str">
        <x:f>_xlfn.XLOOKUP($A791,Games!$A$2:$A$18,Games!$R$2:$R$18,"Missing game",0)</x:f>
        <x:v>FirstEnergy Stadium</x:v>
      </x:c>
    </x:row>
    <x:row r="792">
      <x:c r="A792" t="str">
        <x:v>2025_05_MIN_CLE</x:v>
      </x:c>
      <x:c r="B792" t="n">
        <x:v>3034</x:v>
      </x:c>
      <x:c r="C792" t="n">
        <x:v>3</x:v>
      </x:c>
      <x:c r="D792" t="str">
        <x:v>03:09</x:v>
      </x:c>
      <x:c r="E792" t="n">
        <x:v>3</x:v>
      </x:c>
      <x:c r="F792" t="n">
        <x:v>9</x:v>
      </x:c>
      <x:c r="G792" t="str">
        <x:v>CLE</x:v>
      </x:c>
      <x:c r="H792" t="str">
        <x:v>MIN</x:v>
      </x:c>
      <x:c r="I792" t="str">
        <x:v>MIN</x:v>
      </x:c>
      <x:c r="J792" t="n">
        <x:v>9</x:v>
      </x:c>
      <x:c r="K792" t="str">
        <x:v>(3:09) (Shotgun) 8-D.Gabriel pass short middle to 85-D.Njoku for 9 yards, TOUCHDOWN.</x:v>
      </x:c>
      <x:c r="L792" t="str">
        <x:v>pass</x:v>
      </x:c>
      <x:c r="M792" t="n">
        <x:v>9</x:v>
      </x:c>
      <x:c r="N792" t="n">
        <x:v>1</x:v>
      </x:c>
      <x:c r="O792" t="n">
        <x:v>0</x:v>
      </x:c>
      <x:c r="P792" t="str">
        <x:v>short</x:v>
      </x:c>
      <x:c r="Q792" t="str">
        <x:v>middle</x:v>
      </x:c>
      <x:c r="R792" t="n">
        <x:v>9</x:v>
      </x:c>
      <x:c r="S792" t="n">
        <x:v>0</x:v>
      </x:c>
      <x:c r="T792"/>
      <x:c r="U792"/>
      <x:c r="V792" t="n">
        <x:v>1</x:v>
      </x:c>
      <x:c r="W792" t="n">
        <x:v>1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/>
      <x:c r="AC792" t="n">
        <x:v>1</x:v>
      </x:c>
      <x:c r="AD792" t="n">
        <x:v>3.1944352408172563</x:v>
      </x:c>
      <x:c r="AE792" t="n">
        <x:v>1</x:v>
      </x:c>
      <x:c r="AF792" t="n">
        <x:v>0.10218382024651018</x:v>
      </x:c>
      <x:c r="AG792" t="n">
        <x:f>_xlfn.XLOOKUP($A792,Games!$A$2:$A$18,Games!$B$2:$B$18,"Missing game",0)</x:f>
        <x:v>2025</x:v>
      </x:c>
      <x:c r="AH792" t="str">
        <x:f>_xlfn.XLOOKUP($A792,Games!$A$2:$A$18,Games!$C$2:$C$18,"Missing game",0)</x:f>
        <x:v>REG</x:v>
      </x:c>
      <x:c r="AI792" t="n">
        <x:f>_xlfn.XLOOKUP($A792,Games!$A$2:$A$18,Games!$D$2:$D$18,"Missing game",0)</x:f>
        <x:v>5</x:v>
      </x:c>
      <x:c r="AJ792" s="1" t="n">
        <x:f>_xlfn.XLOOKUP($A792,Games!$A$2:$A$18,Games!$E$2:$E$18,"Missing game",0)</x:f>
        <x:v>45935</x:v>
      </x:c>
      <x:c r="AK792" t="str">
        <x:f>_xlfn.XLOOKUP($A792,Games!$A$2:$A$18,Games!$F$2:$F$18,"Missing game",0)</x:f>
        <x:v>Sunday</x:v>
      </x:c>
      <x:c r="AL792" t="str">
        <x:f>_xlfn.XLOOKUP($A792,Games!$A$2:$A$18,Games!$G$2:$G$18,"Missing game",0)</x:f>
        <x:v>MIN</x:v>
      </x:c>
      <x:c r="AM792" t="n">
        <x:f>_xlfn.XLOOKUP($A792,Games!$A$2:$A$18,Games!$H$2:$H$18,"Missing game",0)</x:f>
        <x:v>21</x:v>
      </x:c>
      <x:c r="AN792" t="str">
        <x:f>_xlfn.XLOOKUP($A792,Games!$A$2:$A$18,Games!$I$2:$I$18,"Missing game",0)</x:f>
        <x:v>CLE</x:v>
      </x:c>
      <x:c r="AO792" t="n">
        <x:f>_xlfn.XLOOKUP($A792,Games!$A$2:$A$18,Games!$J$2:$J$18,"Missing game",0)</x:f>
        <x:v>17</x:v>
      </x:c>
      <x:c r="AP792" t="n">
        <x:f>_xlfn.XLOOKUP($A792,Games!$A$2:$A$18,Games!$K$2:$K$18,"Missing game",0)</x:f>
        <x:v>-4</x:v>
      </x:c>
      <x:c r="AQ792" t="n">
        <x:f>_xlfn.XLOOKUP($A792,Games!$A$2:$A$18,Games!$L$2:$L$18,"Missing game",0)</x:f>
        <x:v>38</x:v>
      </x:c>
      <x:c r="AR792" t="n">
        <x:f>_xlfn.XLOOKUP($A792,Games!$A$2:$A$18,Games!$M$2:$M$18,"Missing game",0)</x:f>
        <x:v>0</x:v>
      </x:c>
      <x:c r="AS792" t="str">
        <x:f>_xlfn.XLOOKUP($A792,Games!$A$2:$A$18,Games!$N$2:$N$18,"Missing game",0)</x:f>
        <x:v>outdoors</x:v>
      </x:c>
      <x:c r="AT792" t="str">
        <x:f>_xlfn.XLOOKUP($A792,Games!$A$2:$A$18,Games!$O$2:$O$18,"Missing game",0)</x:f>
        <x:v>grass</x:v>
      </x:c>
      <x:c r="AU792" t="n">
        <x:f>_xlfn.XLOOKUP($A792,Games!$A$2:$A$18,Games!$P$2:$P$18,"Missing game",0)</x:f>
        <x:v>61</x:v>
      </x:c>
      <x:c r="AV792" t="n">
        <x:f>_xlfn.XLOOKUP($A792,Games!$A$2:$A$18,Games!$Q$2:$Q$18,"Missing game",0)</x:f>
        <x:v>14</x:v>
      </x:c>
      <x:c r="AW792" t="str">
        <x:f>_xlfn.XLOOKUP($A792,Games!$A$2:$A$18,Games!$R$2:$R$18,"Missing game",0)</x:f>
        <x:v>FirstEnergy Stadium</x:v>
      </x:c>
    </x:row>
    <x:row r="793">
      <x:c r="A793" t="str">
        <x:v>2025_05_MIN_CLE</x:v>
      </x:c>
      <x:c r="B793" t="n">
        <x:v>3060</x:v>
      </x:c>
      <x:c r="C793" t="n">
        <x:v>3</x:v>
      </x:c>
      <x:c r="D793" t="str">
        <x:v>03:05</x:v>
      </x:c>
      <x:c r="E793"/>
      <x:c r="F793" t="n">
        <x:v>0</x:v>
      </x:c>
      <x:c r="G793" t="str">
        <x:v>CLE</x:v>
      </x:c>
      <x:c r="H793" t="str">
        <x:v>MIN</x:v>
      </x:c>
      <x:c r="I793" t="str">
        <x:v>MIN</x:v>
      </x:c>
      <x:c r="J793" t="n">
        <x:v>15</x:v>
      </x:c>
      <x:c r="K793" t="str">
        <x:v>25-A.Szmyt extra point is GOOD, Center-50-R.Sunahara, Holder-13-C.Bojorquez.</x:v>
      </x:c>
      <x:c r="L793" t="str">
        <x:v>extra_point</x:v>
      </x:c>
      <x:c r="M793" t="n">
        <x:v>0</x:v>
      </x:c>
      <x:c r="N793" t="n">
        <x:v>0</x:v>
      </x:c>
      <x:c r="O793" t="n">
        <x:v>0</x:v>
      </x:c>
      <x:c r="P793"/>
      <x:c r="Q793"/>
      <x:c r="R793"/>
      <x:c r="S793"/>
      <x:c r="T793"/>
      <x:c r="U793"/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/>
      <x:c r="AC793" t="n">
        <x:v>0</x:v>
      </x:c>
      <x:c r="AD793" t="n">
        <x:v>0.06757300310763314</x:v>
      </x:c>
      <x:c r="AE793" t="n">
        <x:v>1</x:v>
      </x:c>
      <x:c r="AF793" t="n">
        <x:v>0.003441838980861034</x:v>
      </x:c>
      <x:c r="AG793" t="n">
        <x:f>_xlfn.XLOOKUP($A793,Games!$A$2:$A$18,Games!$B$2:$B$18,"Missing game",0)</x:f>
        <x:v>2025</x:v>
      </x:c>
      <x:c r="AH793" t="str">
        <x:f>_xlfn.XLOOKUP($A793,Games!$A$2:$A$18,Games!$C$2:$C$18,"Missing game",0)</x:f>
        <x:v>REG</x:v>
      </x:c>
      <x:c r="AI793" t="n">
        <x:f>_xlfn.XLOOKUP($A793,Games!$A$2:$A$18,Games!$D$2:$D$18,"Missing game",0)</x:f>
        <x:v>5</x:v>
      </x:c>
      <x:c r="AJ793" s="1" t="n">
        <x:f>_xlfn.XLOOKUP($A793,Games!$A$2:$A$18,Games!$E$2:$E$18,"Missing game",0)</x:f>
        <x:v>45935</x:v>
      </x:c>
      <x:c r="AK793" t="str">
        <x:f>_xlfn.XLOOKUP($A793,Games!$A$2:$A$18,Games!$F$2:$F$18,"Missing game",0)</x:f>
        <x:v>Sunday</x:v>
      </x:c>
      <x:c r="AL793" t="str">
        <x:f>_xlfn.XLOOKUP($A793,Games!$A$2:$A$18,Games!$G$2:$G$18,"Missing game",0)</x:f>
        <x:v>MIN</x:v>
      </x:c>
      <x:c r="AM793" t="n">
        <x:f>_xlfn.XLOOKUP($A793,Games!$A$2:$A$18,Games!$H$2:$H$18,"Missing game",0)</x:f>
        <x:v>21</x:v>
      </x:c>
      <x:c r="AN793" t="str">
        <x:f>_xlfn.XLOOKUP($A793,Games!$A$2:$A$18,Games!$I$2:$I$18,"Missing game",0)</x:f>
        <x:v>CLE</x:v>
      </x:c>
      <x:c r="AO793" t="n">
        <x:f>_xlfn.XLOOKUP($A793,Games!$A$2:$A$18,Games!$J$2:$J$18,"Missing game",0)</x:f>
        <x:v>17</x:v>
      </x:c>
      <x:c r="AP793" t="n">
        <x:f>_xlfn.XLOOKUP($A793,Games!$A$2:$A$18,Games!$K$2:$K$18,"Missing game",0)</x:f>
        <x:v>-4</x:v>
      </x:c>
      <x:c r="AQ793" t="n">
        <x:f>_xlfn.XLOOKUP($A793,Games!$A$2:$A$18,Games!$L$2:$L$18,"Missing game",0)</x:f>
        <x:v>38</x:v>
      </x:c>
      <x:c r="AR793" t="n">
        <x:f>_xlfn.XLOOKUP($A793,Games!$A$2:$A$18,Games!$M$2:$M$18,"Missing game",0)</x:f>
        <x:v>0</x:v>
      </x:c>
      <x:c r="AS793" t="str">
        <x:f>_xlfn.XLOOKUP($A793,Games!$A$2:$A$18,Games!$N$2:$N$18,"Missing game",0)</x:f>
        <x:v>outdoors</x:v>
      </x:c>
      <x:c r="AT793" t="str">
        <x:f>_xlfn.XLOOKUP($A793,Games!$A$2:$A$18,Games!$O$2:$O$18,"Missing game",0)</x:f>
        <x:v>grass</x:v>
      </x:c>
      <x:c r="AU793" t="n">
        <x:f>_xlfn.XLOOKUP($A793,Games!$A$2:$A$18,Games!$P$2:$P$18,"Missing game",0)</x:f>
        <x:v>61</x:v>
      </x:c>
      <x:c r="AV793" t="n">
        <x:f>_xlfn.XLOOKUP($A793,Games!$A$2:$A$18,Games!$Q$2:$Q$18,"Missing game",0)</x:f>
        <x:v>14</x:v>
      </x:c>
      <x:c r="AW793" t="str">
        <x:f>_xlfn.XLOOKUP($A793,Games!$A$2:$A$18,Games!$R$2:$R$18,"Missing game",0)</x:f>
        <x:v>FirstEnergy Stadium</x:v>
      </x:c>
    </x:row>
    <x:row r="794">
      <x:c r="A794" t="str">
        <x:v>2025_05_MIN_CLE</x:v>
      </x:c>
      <x:c r="B794" t="n">
        <x:v>3075</x:v>
      </x:c>
      <x:c r="C794" t="n">
        <x:v>3</x:v>
      </x:c>
      <x:c r="D794" t="str">
        <x:v>03:05</x:v>
      </x:c>
      <x:c r="E794"/>
      <x:c r="F794" t="n">
        <x:v>0</x:v>
      </x:c>
      <x:c r="G794" t="str">
        <x:v>MIN</x:v>
      </x:c>
      <x:c r="H794" t="str">
        <x:v>CLE</x:v>
      </x:c>
      <x:c r="I794" t="str">
        <x:v>CLE</x:v>
      </x:c>
      <x:c r="J794" t="n">
        <x:v>35</x:v>
      </x:c>
      <x:c r="K794" t="str">
        <x:v>25-A.Szmyt kicks 64 yards from CLE 35 to MIN 1. 4-M.Price to MIN 26 for 25 yards (49-C.Schwesinger; 98-A.Huntington).</x:v>
      </x:c>
      <x:c r="L794" t="str">
        <x:v>kickoff</x:v>
      </x:c>
      <x:c r="M794" t="n">
        <x:v>0</x:v>
      </x:c>
      <x:c r="N794" t="n">
        <x:v>0</x:v>
      </x:c>
      <x:c r="O794" t="n">
        <x:v>0</x:v>
      </x:c>
      <x:c r="P794"/>
      <x:c r="Q794"/>
      <x:c r="R794"/>
      <x:c r="S794"/>
      <x:c r="T794"/>
      <x:c r="U794"/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/>
      <x:c r="AC794" t="n">
        <x:v>0</x:v>
      </x:c>
      <x:c r="AD794" t="n">
        <x:v>0.023678597062826157</x:v>
      </x:c>
      <x:c r="AE794" t="n">
        <x:v>1</x:v>
      </x:c>
      <x:c r="AF794" t="n">
        <x:v>0.0000661611557006836</x:v>
      </x:c>
      <x:c r="AG794" t="n">
        <x:f>_xlfn.XLOOKUP($A794,Games!$A$2:$A$18,Games!$B$2:$B$18,"Missing game",0)</x:f>
        <x:v>2025</x:v>
      </x:c>
      <x:c r="AH794" t="str">
        <x:f>_xlfn.XLOOKUP($A794,Games!$A$2:$A$18,Games!$C$2:$C$18,"Missing game",0)</x:f>
        <x:v>REG</x:v>
      </x:c>
      <x:c r="AI794" t="n">
        <x:f>_xlfn.XLOOKUP($A794,Games!$A$2:$A$18,Games!$D$2:$D$18,"Missing game",0)</x:f>
        <x:v>5</x:v>
      </x:c>
      <x:c r="AJ794" s="1" t="n">
        <x:f>_xlfn.XLOOKUP($A794,Games!$A$2:$A$18,Games!$E$2:$E$18,"Missing game",0)</x:f>
        <x:v>45935</x:v>
      </x:c>
      <x:c r="AK794" t="str">
        <x:f>_xlfn.XLOOKUP($A794,Games!$A$2:$A$18,Games!$F$2:$F$18,"Missing game",0)</x:f>
        <x:v>Sunday</x:v>
      </x:c>
      <x:c r="AL794" t="str">
        <x:f>_xlfn.XLOOKUP($A794,Games!$A$2:$A$18,Games!$G$2:$G$18,"Missing game",0)</x:f>
        <x:v>MIN</x:v>
      </x:c>
      <x:c r="AM794" t="n">
        <x:f>_xlfn.XLOOKUP($A794,Games!$A$2:$A$18,Games!$H$2:$H$18,"Missing game",0)</x:f>
        <x:v>21</x:v>
      </x:c>
      <x:c r="AN794" t="str">
        <x:f>_xlfn.XLOOKUP($A794,Games!$A$2:$A$18,Games!$I$2:$I$18,"Missing game",0)</x:f>
        <x:v>CLE</x:v>
      </x:c>
      <x:c r="AO794" t="n">
        <x:f>_xlfn.XLOOKUP($A794,Games!$A$2:$A$18,Games!$J$2:$J$18,"Missing game",0)</x:f>
        <x:v>17</x:v>
      </x:c>
      <x:c r="AP794" t="n">
        <x:f>_xlfn.XLOOKUP($A794,Games!$A$2:$A$18,Games!$K$2:$K$18,"Missing game",0)</x:f>
        <x:v>-4</x:v>
      </x:c>
      <x:c r="AQ794" t="n">
        <x:f>_xlfn.XLOOKUP($A794,Games!$A$2:$A$18,Games!$L$2:$L$18,"Missing game",0)</x:f>
        <x:v>38</x:v>
      </x:c>
      <x:c r="AR794" t="n">
        <x:f>_xlfn.XLOOKUP($A794,Games!$A$2:$A$18,Games!$M$2:$M$18,"Missing game",0)</x:f>
        <x:v>0</x:v>
      </x:c>
      <x:c r="AS794" t="str">
        <x:f>_xlfn.XLOOKUP($A794,Games!$A$2:$A$18,Games!$N$2:$N$18,"Missing game",0)</x:f>
        <x:v>outdoors</x:v>
      </x:c>
      <x:c r="AT794" t="str">
        <x:f>_xlfn.XLOOKUP($A794,Games!$A$2:$A$18,Games!$O$2:$O$18,"Missing game",0)</x:f>
        <x:v>grass</x:v>
      </x:c>
      <x:c r="AU794" t="n">
        <x:f>_xlfn.XLOOKUP($A794,Games!$A$2:$A$18,Games!$P$2:$P$18,"Missing game",0)</x:f>
        <x:v>61</x:v>
      </x:c>
      <x:c r="AV794" t="n">
        <x:f>_xlfn.XLOOKUP($A794,Games!$A$2:$A$18,Games!$Q$2:$Q$18,"Missing game",0)</x:f>
        <x:v>14</x:v>
      </x:c>
      <x:c r="AW794" t="str">
        <x:f>_xlfn.XLOOKUP($A794,Games!$A$2:$A$18,Games!$R$2:$R$18,"Missing game",0)</x:f>
        <x:v>FirstEnergy Stadium</x:v>
      </x:c>
    </x:row>
    <x:row r="795">
      <x:c r="A795" t="str">
        <x:v>2025_05_MIN_CLE</x:v>
      </x:c>
      <x:c r="B795" t="n">
        <x:v>3110</x:v>
      </x:c>
      <x:c r="C795" t="n">
        <x:v>3</x:v>
      </x:c>
      <x:c r="D795" t="str">
        <x:v>02:57</x:v>
      </x:c>
      <x:c r="E795" t="n">
        <x:v>1</x:v>
      </x:c>
      <x:c r="F795" t="n">
        <x:v>10</x:v>
      </x:c>
      <x:c r="G795" t="str">
        <x:v>MIN</x:v>
      </x:c>
      <x:c r="H795" t="str">
        <x:v>CLE</x:v>
      </x:c>
      <x:c r="I795" t="str">
        <x:v>MIN</x:v>
      </x:c>
      <x:c r="J795" t="n">
        <x:v>74</x:v>
      </x:c>
      <x:c r="K795" t="str">
        <x:v>(2:57) (Shotgun) 11-C.Wentz sacked at MIN 18 for -8 yards (91-A.Wright).</x:v>
      </x:c>
      <x:c r="L795" t="str">
        <x:v>pass</x:v>
      </x:c>
      <x:c r="M795" t="n">
        <x:v>-8</x:v>
      </x:c>
      <x:c r="N795" t="n">
        <x:v>1</x:v>
      </x:c>
      <x:c r="O795" t="n">
        <x:v>0</x:v>
      </x:c>
      <x:c r="P795"/>
      <x:c r="Q795"/>
      <x:c r="R795"/>
      <x:c r="S795"/>
      <x:c r="T795"/>
      <x:c r="U795"/>
      <x:c r="V795" t="n">
        <x:v>0</x:v>
      </x:c>
      <x:c r="W795" t="n">
        <x:v>0</x:v>
      </x:c>
      <x:c r="X795" t="n">
        <x:v>1</x:v>
      </x:c>
      <x:c r="Y795" t="n">
        <x:v>0</x:v>
      </x:c>
      <x:c r="Z795" t="n">
        <x:v>0</x:v>
      </x:c>
      <x:c r="AA795" t="n">
        <x:v>0</x:v>
      </x:c>
      <x:c r="AB795"/>
      <x:c r="AC795" t="n">
        <x:v>0</x:v>
      </x:c>
      <x:c r="AD795" t="n">
        <x:v>-1.5059383660554886</x:v>
      </x:c>
      <x:c r="AE795" t="n">
        <x:v>0</x:v>
      </x:c>
      <x:c r="AF795" t="n">
        <x:v>-0.0559612512588501</x:v>
      </x:c>
      <x:c r="AG795" t="n">
        <x:f>_xlfn.XLOOKUP($A795,Games!$A$2:$A$18,Games!$B$2:$B$18,"Missing game",0)</x:f>
        <x:v>2025</x:v>
      </x:c>
      <x:c r="AH795" t="str">
        <x:f>_xlfn.XLOOKUP($A795,Games!$A$2:$A$18,Games!$C$2:$C$18,"Missing game",0)</x:f>
        <x:v>REG</x:v>
      </x:c>
      <x:c r="AI795" t="n">
        <x:f>_xlfn.XLOOKUP($A795,Games!$A$2:$A$18,Games!$D$2:$D$18,"Missing game",0)</x:f>
        <x:v>5</x:v>
      </x:c>
      <x:c r="AJ795" s="1" t="n">
        <x:f>_xlfn.XLOOKUP($A795,Games!$A$2:$A$18,Games!$E$2:$E$18,"Missing game",0)</x:f>
        <x:v>45935</x:v>
      </x:c>
      <x:c r="AK795" t="str">
        <x:f>_xlfn.XLOOKUP($A795,Games!$A$2:$A$18,Games!$F$2:$F$18,"Missing game",0)</x:f>
        <x:v>Sunday</x:v>
      </x:c>
      <x:c r="AL795" t="str">
        <x:f>_xlfn.XLOOKUP($A795,Games!$A$2:$A$18,Games!$G$2:$G$18,"Missing game",0)</x:f>
        <x:v>MIN</x:v>
      </x:c>
      <x:c r="AM795" t="n">
        <x:f>_xlfn.XLOOKUP($A795,Games!$A$2:$A$18,Games!$H$2:$H$18,"Missing game",0)</x:f>
        <x:v>21</x:v>
      </x:c>
      <x:c r="AN795" t="str">
        <x:f>_xlfn.XLOOKUP($A795,Games!$A$2:$A$18,Games!$I$2:$I$18,"Missing game",0)</x:f>
        <x:v>CLE</x:v>
      </x:c>
      <x:c r="AO795" t="n">
        <x:f>_xlfn.XLOOKUP($A795,Games!$A$2:$A$18,Games!$J$2:$J$18,"Missing game",0)</x:f>
        <x:v>17</x:v>
      </x:c>
      <x:c r="AP795" t="n">
        <x:f>_xlfn.XLOOKUP($A795,Games!$A$2:$A$18,Games!$K$2:$K$18,"Missing game",0)</x:f>
        <x:v>-4</x:v>
      </x:c>
      <x:c r="AQ795" t="n">
        <x:f>_xlfn.XLOOKUP($A795,Games!$A$2:$A$18,Games!$L$2:$L$18,"Missing game",0)</x:f>
        <x:v>38</x:v>
      </x:c>
      <x:c r="AR795" t="n">
        <x:f>_xlfn.XLOOKUP($A795,Games!$A$2:$A$18,Games!$M$2:$M$18,"Missing game",0)</x:f>
        <x:v>0</x:v>
      </x:c>
      <x:c r="AS795" t="str">
        <x:f>_xlfn.XLOOKUP($A795,Games!$A$2:$A$18,Games!$N$2:$N$18,"Missing game",0)</x:f>
        <x:v>outdoors</x:v>
      </x:c>
      <x:c r="AT795" t="str">
        <x:f>_xlfn.XLOOKUP($A795,Games!$A$2:$A$18,Games!$O$2:$O$18,"Missing game",0)</x:f>
        <x:v>grass</x:v>
      </x:c>
      <x:c r="AU795" t="n">
        <x:f>_xlfn.XLOOKUP($A795,Games!$A$2:$A$18,Games!$P$2:$P$18,"Missing game",0)</x:f>
        <x:v>61</x:v>
      </x:c>
      <x:c r="AV795" t="n">
        <x:f>_xlfn.XLOOKUP($A795,Games!$A$2:$A$18,Games!$Q$2:$Q$18,"Missing game",0)</x:f>
        <x:v>14</x:v>
      </x:c>
      <x:c r="AW795" t="str">
        <x:f>_xlfn.XLOOKUP($A795,Games!$A$2:$A$18,Games!$R$2:$R$18,"Missing game",0)</x:f>
        <x:v>FirstEnergy Stadium</x:v>
      </x:c>
    </x:row>
    <x:row r="796">
      <x:c r="A796" t="str">
        <x:v>2025_05_MIN_CLE</x:v>
      </x:c>
      <x:c r="B796" t="n">
        <x:v>3130</x:v>
      </x:c>
      <x:c r="C796" t="n">
        <x:v>3</x:v>
      </x:c>
      <x:c r="D796" t="str">
        <x:v>02:19</x:v>
      </x:c>
      <x:c r="E796" t="n">
        <x:v>2</x:v>
      </x:c>
      <x:c r="F796" t="n">
        <x:v>18</x:v>
      </x:c>
      <x:c r="G796" t="str">
        <x:v>MIN</x:v>
      </x:c>
      <x:c r="H796" t="str">
        <x:v>CLE</x:v>
      </x:c>
      <x:c r="I796" t="str">
        <x:v>MIN</x:v>
      </x:c>
      <x:c r="J796" t="n">
        <x:v>82</x:v>
      </x:c>
      <x:c r="K796" t="str">
        <x:v>(2:19) (Shotgun) 11-C.Wentz pass short left to 27-J.Mason to MIN 19 for 1 yard (0-G.Newsome). MIN-27-J.Mason was injured during the play.</x:v>
      </x:c>
      <x:c r="L796" t="str">
        <x:v>pass</x:v>
      </x:c>
      <x:c r="M796" t="n">
        <x:v>1</x:v>
      </x:c>
      <x:c r="N796" t="n">
        <x:v>1</x:v>
      </x:c>
      <x:c r="O796" t="n">
        <x:v>0</x:v>
      </x:c>
      <x:c r="P796" t="str">
        <x:v>short</x:v>
      </x:c>
      <x:c r="Q796" t="str">
        <x:v>left</x:v>
      </x:c>
      <x:c r="R796" t="n">
        <x:v>-5</x:v>
      </x:c>
      <x:c r="S796" t="n">
        <x:v>6</x:v>
      </x:c>
      <x:c r="T796"/>
      <x:c r="U796"/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/>
      <x:c r="AC796" t="n">
        <x:v>0</x:v>
      </x:c>
      <x:c r="AD796" t="n">
        <x:v>-0.6888539693318307</x:v>
      </x:c>
      <x:c r="AE796" t="n">
        <x:v>0</x:v>
      </x:c>
      <x:c r="AF796" t="n">
        <x:v>-0.030034184455871582</x:v>
      </x:c>
      <x:c r="AG796" t="n">
        <x:f>_xlfn.XLOOKUP($A796,Games!$A$2:$A$18,Games!$B$2:$B$18,"Missing game",0)</x:f>
        <x:v>2025</x:v>
      </x:c>
      <x:c r="AH796" t="str">
        <x:f>_xlfn.XLOOKUP($A796,Games!$A$2:$A$18,Games!$C$2:$C$18,"Missing game",0)</x:f>
        <x:v>REG</x:v>
      </x:c>
      <x:c r="AI796" t="n">
        <x:f>_xlfn.XLOOKUP($A796,Games!$A$2:$A$18,Games!$D$2:$D$18,"Missing game",0)</x:f>
        <x:v>5</x:v>
      </x:c>
      <x:c r="AJ796" s="1" t="n">
        <x:f>_xlfn.XLOOKUP($A796,Games!$A$2:$A$18,Games!$E$2:$E$18,"Missing game",0)</x:f>
        <x:v>45935</x:v>
      </x:c>
      <x:c r="AK796" t="str">
        <x:f>_xlfn.XLOOKUP($A796,Games!$A$2:$A$18,Games!$F$2:$F$18,"Missing game",0)</x:f>
        <x:v>Sunday</x:v>
      </x:c>
      <x:c r="AL796" t="str">
        <x:f>_xlfn.XLOOKUP($A796,Games!$A$2:$A$18,Games!$G$2:$G$18,"Missing game",0)</x:f>
        <x:v>MIN</x:v>
      </x:c>
      <x:c r="AM796" t="n">
        <x:f>_xlfn.XLOOKUP($A796,Games!$A$2:$A$18,Games!$H$2:$H$18,"Missing game",0)</x:f>
        <x:v>21</x:v>
      </x:c>
      <x:c r="AN796" t="str">
        <x:f>_xlfn.XLOOKUP($A796,Games!$A$2:$A$18,Games!$I$2:$I$18,"Missing game",0)</x:f>
        <x:v>CLE</x:v>
      </x:c>
      <x:c r="AO796" t="n">
        <x:f>_xlfn.XLOOKUP($A796,Games!$A$2:$A$18,Games!$J$2:$J$18,"Missing game",0)</x:f>
        <x:v>17</x:v>
      </x:c>
      <x:c r="AP796" t="n">
        <x:f>_xlfn.XLOOKUP($A796,Games!$A$2:$A$18,Games!$K$2:$K$18,"Missing game",0)</x:f>
        <x:v>-4</x:v>
      </x:c>
      <x:c r="AQ796" t="n">
        <x:f>_xlfn.XLOOKUP($A796,Games!$A$2:$A$18,Games!$L$2:$L$18,"Missing game",0)</x:f>
        <x:v>38</x:v>
      </x:c>
      <x:c r="AR796" t="n">
        <x:f>_xlfn.XLOOKUP($A796,Games!$A$2:$A$18,Games!$M$2:$M$18,"Missing game",0)</x:f>
        <x:v>0</x:v>
      </x:c>
      <x:c r="AS796" t="str">
        <x:f>_xlfn.XLOOKUP($A796,Games!$A$2:$A$18,Games!$N$2:$N$18,"Missing game",0)</x:f>
        <x:v>outdoors</x:v>
      </x:c>
      <x:c r="AT796" t="str">
        <x:f>_xlfn.XLOOKUP($A796,Games!$A$2:$A$18,Games!$O$2:$O$18,"Missing game",0)</x:f>
        <x:v>grass</x:v>
      </x:c>
      <x:c r="AU796" t="n">
        <x:f>_xlfn.XLOOKUP($A796,Games!$A$2:$A$18,Games!$P$2:$P$18,"Missing game",0)</x:f>
        <x:v>61</x:v>
      </x:c>
      <x:c r="AV796" t="n">
        <x:f>_xlfn.XLOOKUP($A796,Games!$A$2:$A$18,Games!$Q$2:$Q$18,"Missing game",0)</x:f>
        <x:v>14</x:v>
      </x:c>
      <x:c r="AW796" t="str">
        <x:f>_xlfn.XLOOKUP($A796,Games!$A$2:$A$18,Games!$R$2:$R$18,"Missing game",0)</x:f>
        <x:v>FirstEnergy Stadium</x:v>
      </x:c>
    </x:row>
    <x:row r="797">
      <x:c r="A797" t="str">
        <x:v>2025_05_MIN_CLE</x:v>
      </x:c>
      <x:c r="B797" t="n">
        <x:v>3155</x:v>
      </x:c>
      <x:c r="C797" t="n">
        <x:v>3</x:v>
      </x:c>
      <x:c r="D797" t="str">
        <x:v>01:49</x:v>
      </x:c>
      <x:c r="E797" t="n">
        <x:v>3</x:v>
      </x:c>
      <x:c r="F797" t="n">
        <x:v>17</x:v>
      </x:c>
      <x:c r="G797" t="str">
        <x:v>MIN</x:v>
      </x:c>
      <x:c r="H797" t="str">
        <x:v>CLE</x:v>
      </x:c>
      <x:c r="I797" t="str">
        <x:v>MIN</x:v>
      </x:c>
      <x:c r="J797" t="n">
        <x:v>81</x:v>
      </x:c>
      <x:c r="K797" t="str">
        <x:v>(1:49) (Shotgun) 11-C.Wentz scrambles right end to MIN 21 for 2 yards (95-M.Garrett).</x:v>
      </x:c>
      <x:c r="L797" t="str">
        <x:v>run</x:v>
      </x:c>
      <x:c r="M797" t="n">
        <x:v>2</x:v>
      </x:c>
      <x:c r="N797" t="n">
        <x:v>1</x:v>
      </x:c>
      <x:c r="O797" t="n">
        <x:v>0</x:v>
      </x:c>
      <x:c r="P797"/>
      <x:c r="Q797"/>
      <x:c r="R797"/>
      <x:c r="S797"/>
      <x:c r="T797" t="str">
        <x:v>right</x:v>
      </x:c>
      <x:c r="U797" t="str">
        <x:v>end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/>
      <x:c r="AC797" t="n">
        <x:v>0</x:v>
      </x:c>
      <x:c r="AD797" t="n">
        <x:v>-0.8733669831417501</x:v>
      </x:c>
      <x:c r="AE797" t="n">
        <x:v>0</x:v>
      </x:c>
      <x:c r="AF797" t="n">
        <x:v>-0.027256280183792114</x:v>
      </x:c>
      <x:c r="AG797" t="n">
        <x:f>_xlfn.XLOOKUP($A797,Games!$A$2:$A$18,Games!$B$2:$B$18,"Missing game",0)</x:f>
        <x:v>2025</x:v>
      </x:c>
      <x:c r="AH797" t="str">
        <x:f>_xlfn.XLOOKUP($A797,Games!$A$2:$A$18,Games!$C$2:$C$18,"Missing game",0)</x:f>
        <x:v>REG</x:v>
      </x:c>
      <x:c r="AI797" t="n">
        <x:f>_xlfn.XLOOKUP($A797,Games!$A$2:$A$18,Games!$D$2:$D$18,"Missing game",0)</x:f>
        <x:v>5</x:v>
      </x:c>
      <x:c r="AJ797" s="1" t="n">
        <x:f>_xlfn.XLOOKUP($A797,Games!$A$2:$A$18,Games!$E$2:$E$18,"Missing game",0)</x:f>
        <x:v>45935</x:v>
      </x:c>
      <x:c r="AK797" t="str">
        <x:f>_xlfn.XLOOKUP($A797,Games!$A$2:$A$18,Games!$F$2:$F$18,"Missing game",0)</x:f>
        <x:v>Sunday</x:v>
      </x:c>
      <x:c r="AL797" t="str">
        <x:f>_xlfn.XLOOKUP($A797,Games!$A$2:$A$18,Games!$G$2:$G$18,"Missing game",0)</x:f>
        <x:v>MIN</x:v>
      </x:c>
      <x:c r="AM797" t="n">
        <x:f>_xlfn.XLOOKUP($A797,Games!$A$2:$A$18,Games!$H$2:$H$18,"Missing game",0)</x:f>
        <x:v>21</x:v>
      </x:c>
      <x:c r="AN797" t="str">
        <x:f>_xlfn.XLOOKUP($A797,Games!$A$2:$A$18,Games!$I$2:$I$18,"Missing game",0)</x:f>
        <x:v>CLE</x:v>
      </x:c>
      <x:c r="AO797" t="n">
        <x:f>_xlfn.XLOOKUP($A797,Games!$A$2:$A$18,Games!$J$2:$J$18,"Missing game",0)</x:f>
        <x:v>17</x:v>
      </x:c>
      <x:c r="AP797" t="n">
        <x:f>_xlfn.XLOOKUP($A797,Games!$A$2:$A$18,Games!$K$2:$K$18,"Missing game",0)</x:f>
        <x:v>-4</x:v>
      </x:c>
      <x:c r="AQ797" t="n">
        <x:f>_xlfn.XLOOKUP($A797,Games!$A$2:$A$18,Games!$L$2:$L$18,"Missing game",0)</x:f>
        <x:v>38</x:v>
      </x:c>
      <x:c r="AR797" t="n">
        <x:f>_xlfn.XLOOKUP($A797,Games!$A$2:$A$18,Games!$M$2:$M$18,"Missing game",0)</x:f>
        <x:v>0</x:v>
      </x:c>
      <x:c r="AS797" t="str">
        <x:f>_xlfn.XLOOKUP($A797,Games!$A$2:$A$18,Games!$N$2:$N$18,"Missing game",0)</x:f>
        <x:v>outdoors</x:v>
      </x:c>
      <x:c r="AT797" t="str">
        <x:f>_xlfn.XLOOKUP($A797,Games!$A$2:$A$18,Games!$O$2:$O$18,"Missing game",0)</x:f>
        <x:v>grass</x:v>
      </x:c>
      <x:c r="AU797" t="n">
        <x:f>_xlfn.XLOOKUP($A797,Games!$A$2:$A$18,Games!$P$2:$P$18,"Missing game",0)</x:f>
        <x:v>61</x:v>
      </x:c>
      <x:c r="AV797" t="n">
        <x:f>_xlfn.XLOOKUP($A797,Games!$A$2:$A$18,Games!$Q$2:$Q$18,"Missing game",0)</x:f>
        <x:v>14</x:v>
      </x:c>
      <x:c r="AW797" t="str">
        <x:f>_xlfn.XLOOKUP($A797,Games!$A$2:$A$18,Games!$R$2:$R$18,"Missing game",0)</x:f>
        <x:v>FirstEnergy Stadium</x:v>
      </x:c>
    </x:row>
    <x:row r="798">
      <x:c r="A798" t="str">
        <x:v>2025_05_MIN_CLE</x:v>
      </x:c>
      <x:c r="B798" t="n">
        <x:v>3187</x:v>
      </x:c>
      <x:c r="C798" t="n">
        <x:v>3</x:v>
      </x:c>
      <x:c r="D798" t="str">
        <x:v>01:10</x:v>
      </x:c>
      <x:c r="E798" t="n">
        <x:v>4</x:v>
      </x:c>
      <x:c r="F798" t="n">
        <x:v>15</x:v>
      </x:c>
      <x:c r="G798" t="str">
        <x:v>MIN</x:v>
      </x:c>
      <x:c r="H798" t="str">
        <x:v>CLE</x:v>
      </x:c>
      <x:c r="I798" t="str">
        <x:v>MIN</x:v>
      </x:c>
      <x:c r="J798" t="n">
        <x:v>79</x:v>
      </x:c>
      <x:c r="K798" t="str">
        <x:v>(1:10) 17-R.Wright punts 77 yards to CLE 2, Center-42-A.DePaola, downed by MIN-37-T.Thomas. PENALTY on CLE-28-T.Avery, Offensive Holding, 1 yard, enforced at CLE 2.</x:v>
      </x:c>
      <x:c r="L798" t="str">
        <x:v>punt</x:v>
      </x:c>
      <x:c r="M798" t="n">
        <x:v>0</x:v>
      </x:c>
      <x:c r="N798" t="n">
        <x:v>0</x:v>
      </x:c>
      <x:c r="O798" t="n">
        <x:v>0</x:v>
      </x:c>
      <x:c r="P798"/>
      <x:c r="Q798"/>
      <x:c r="R798"/>
      <x:c r="S798"/>
      <x:c r="T798"/>
      <x:c r="U798"/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1</x:v>
      </x:c>
      <x:c r="AB798" t="n">
        <x:v>1</x:v>
      </x:c>
      <x:c r="AC798" t="n">
        <x:v>0</x:v>
      </x:c>
      <x:c r="AD798" t="n">
        <x:v>2.9550059642642736</x:v>
      </x:c>
      <x:c r="AE798" t="n">
        <x:v>1</x:v>
      </x:c>
      <x:c r="AF798" t="n">
        <x:v>0.04181218147277832</x:v>
      </x:c>
      <x:c r="AG798" t="n">
        <x:f>_xlfn.XLOOKUP($A798,Games!$A$2:$A$18,Games!$B$2:$B$18,"Missing game",0)</x:f>
        <x:v>2025</x:v>
      </x:c>
      <x:c r="AH798" t="str">
        <x:f>_xlfn.XLOOKUP($A798,Games!$A$2:$A$18,Games!$C$2:$C$18,"Missing game",0)</x:f>
        <x:v>REG</x:v>
      </x:c>
      <x:c r="AI798" t="n">
        <x:f>_xlfn.XLOOKUP($A798,Games!$A$2:$A$18,Games!$D$2:$D$18,"Missing game",0)</x:f>
        <x:v>5</x:v>
      </x:c>
      <x:c r="AJ798" s="1" t="n">
        <x:f>_xlfn.XLOOKUP($A798,Games!$A$2:$A$18,Games!$E$2:$E$18,"Missing game",0)</x:f>
        <x:v>45935</x:v>
      </x:c>
      <x:c r="AK798" t="str">
        <x:f>_xlfn.XLOOKUP($A798,Games!$A$2:$A$18,Games!$F$2:$F$18,"Missing game",0)</x:f>
        <x:v>Sunday</x:v>
      </x:c>
      <x:c r="AL798" t="str">
        <x:f>_xlfn.XLOOKUP($A798,Games!$A$2:$A$18,Games!$G$2:$G$18,"Missing game",0)</x:f>
        <x:v>MIN</x:v>
      </x:c>
      <x:c r="AM798" t="n">
        <x:f>_xlfn.XLOOKUP($A798,Games!$A$2:$A$18,Games!$H$2:$H$18,"Missing game",0)</x:f>
        <x:v>21</x:v>
      </x:c>
      <x:c r="AN798" t="str">
        <x:f>_xlfn.XLOOKUP($A798,Games!$A$2:$A$18,Games!$I$2:$I$18,"Missing game",0)</x:f>
        <x:v>CLE</x:v>
      </x:c>
      <x:c r="AO798" t="n">
        <x:f>_xlfn.XLOOKUP($A798,Games!$A$2:$A$18,Games!$J$2:$J$18,"Missing game",0)</x:f>
        <x:v>17</x:v>
      </x:c>
      <x:c r="AP798" t="n">
        <x:f>_xlfn.XLOOKUP($A798,Games!$A$2:$A$18,Games!$K$2:$K$18,"Missing game",0)</x:f>
        <x:v>-4</x:v>
      </x:c>
      <x:c r="AQ798" t="n">
        <x:f>_xlfn.XLOOKUP($A798,Games!$A$2:$A$18,Games!$L$2:$L$18,"Missing game",0)</x:f>
        <x:v>38</x:v>
      </x:c>
      <x:c r="AR798" t="n">
        <x:f>_xlfn.XLOOKUP($A798,Games!$A$2:$A$18,Games!$M$2:$M$18,"Missing game",0)</x:f>
        <x:v>0</x:v>
      </x:c>
      <x:c r="AS798" t="str">
        <x:f>_xlfn.XLOOKUP($A798,Games!$A$2:$A$18,Games!$N$2:$N$18,"Missing game",0)</x:f>
        <x:v>outdoors</x:v>
      </x:c>
      <x:c r="AT798" t="str">
        <x:f>_xlfn.XLOOKUP($A798,Games!$A$2:$A$18,Games!$O$2:$O$18,"Missing game",0)</x:f>
        <x:v>grass</x:v>
      </x:c>
      <x:c r="AU798" t="n">
        <x:f>_xlfn.XLOOKUP($A798,Games!$A$2:$A$18,Games!$P$2:$P$18,"Missing game",0)</x:f>
        <x:v>61</x:v>
      </x:c>
      <x:c r="AV798" t="n">
        <x:f>_xlfn.XLOOKUP($A798,Games!$A$2:$A$18,Games!$Q$2:$Q$18,"Missing game",0)</x:f>
        <x:v>14</x:v>
      </x:c>
      <x:c r="AW798" t="str">
        <x:f>_xlfn.XLOOKUP($A798,Games!$A$2:$A$18,Games!$R$2:$R$18,"Missing game",0)</x:f>
        <x:v>FirstEnergy Stadium</x:v>
      </x:c>
    </x:row>
    <x:row r="799">
      <x:c r="A799" t="str">
        <x:v>2025_05_MIN_CLE</x:v>
      </x:c>
      <x:c r="B799" t="n">
        <x:v>3218</x:v>
      </x:c>
      <x:c r="C799" t="n">
        <x:v>3</x:v>
      </x:c>
      <x:c r="D799" t="str">
        <x:v>00:56</x:v>
      </x:c>
      <x:c r="E799" t="n">
        <x:v>1</x:v>
      </x:c>
      <x:c r="F799" t="n">
        <x:v>10</x:v>
      </x:c>
      <x:c r="G799" t="str">
        <x:v>CLE</x:v>
      </x:c>
      <x:c r="H799" t="str">
        <x:v>MIN</x:v>
      </x:c>
      <x:c r="I799" t="str">
        <x:v>CLE</x:v>
      </x:c>
      <x:c r="J799" t="n">
        <x:v>99</x:v>
      </x:c>
      <x:c r="K799" t="str">
        <x:v>(:56) 10-Q.Judkins up the middle to CLE 2 for 1 yard (97-J.Hargrave; 58-J.Greenard).</x:v>
      </x:c>
      <x:c r="L799" t="str">
        <x:v>run</x:v>
      </x:c>
      <x:c r="M799" t="n">
        <x:v>1</x:v>
      </x:c>
      <x:c r="N799" t="n">
        <x:v>0</x:v>
      </x:c>
      <x:c r="O799" t="n">
        <x:v>0</x:v>
      </x:c>
      <x:c r="P799"/>
      <x:c r="Q799"/>
      <x:c r="R799"/>
      <x:c r="S799"/>
      <x:c r="T799" t="str">
        <x:v>middle</x:v>
      </x:c>
      <x:c r="U799"/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/>
      <x:c r="AC799" t="n">
        <x:v>0</x:v>
      </x:c>
      <x:c r="AD799" t="n">
        <x:v>-0.283697564387694</x:v>
      </x:c>
      <x:c r="AE799" t="n">
        <x:v>0</x:v>
      </x:c>
      <x:c r="AF799" t="n">
        <x:v>-0.022841215133666992</x:v>
      </x:c>
      <x:c r="AG799" t="n">
        <x:f>_xlfn.XLOOKUP($A799,Games!$A$2:$A$18,Games!$B$2:$B$18,"Missing game",0)</x:f>
        <x:v>2025</x:v>
      </x:c>
      <x:c r="AH799" t="str">
        <x:f>_xlfn.XLOOKUP($A799,Games!$A$2:$A$18,Games!$C$2:$C$18,"Missing game",0)</x:f>
        <x:v>REG</x:v>
      </x:c>
      <x:c r="AI799" t="n">
        <x:f>_xlfn.XLOOKUP($A799,Games!$A$2:$A$18,Games!$D$2:$D$18,"Missing game",0)</x:f>
        <x:v>5</x:v>
      </x:c>
      <x:c r="AJ799" s="1" t="n">
        <x:f>_xlfn.XLOOKUP($A799,Games!$A$2:$A$18,Games!$E$2:$E$18,"Missing game",0)</x:f>
        <x:v>45935</x:v>
      </x:c>
      <x:c r="AK799" t="str">
        <x:f>_xlfn.XLOOKUP($A799,Games!$A$2:$A$18,Games!$F$2:$F$18,"Missing game",0)</x:f>
        <x:v>Sunday</x:v>
      </x:c>
      <x:c r="AL799" t="str">
        <x:f>_xlfn.XLOOKUP($A799,Games!$A$2:$A$18,Games!$G$2:$G$18,"Missing game",0)</x:f>
        <x:v>MIN</x:v>
      </x:c>
      <x:c r="AM799" t="n">
        <x:f>_xlfn.XLOOKUP($A799,Games!$A$2:$A$18,Games!$H$2:$H$18,"Missing game",0)</x:f>
        <x:v>21</x:v>
      </x:c>
      <x:c r="AN799" t="str">
        <x:f>_xlfn.XLOOKUP($A799,Games!$A$2:$A$18,Games!$I$2:$I$18,"Missing game",0)</x:f>
        <x:v>CLE</x:v>
      </x:c>
      <x:c r="AO799" t="n">
        <x:f>_xlfn.XLOOKUP($A799,Games!$A$2:$A$18,Games!$J$2:$J$18,"Missing game",0)</x:f>
        <x:v>17</x:v>
      </x:c>
      <x:c r="AP799" t="n">
        <x:f>_xlfn.XLOOKUP($A799,Games!$A$2:$A$18,Games!$K$2:$K$18,"Missing game",0)</x:f>
        <x:v>-4</x:v>
      </x:c>
      <x:c r="AQ799" t="n">
        <x:f>_xlfn.XLOOKUP($A799,Games!$A$2:$A$18,Games!$L$2:$L$18,"Missing game",0)</x:f>
        <x:v>38</x:v>
      </x:c>
      <x:c r="AR799" t="n">
        <x:f>_xlfn.XLOOKUP($A799,Games!$A$2:$A$18,Games!$M$2:$M$18,"Missing game",0)</x:f>
        <x:v>0</x:v>
      </x:c>
      <x:c r="AS799" t="str">
        <x:f>_xlfn.XLOOKUP($A799,Games!$A$2:$A$18,Games!$N$2:$N$18,"Missing game",0)</x:f>
        <x:v>outdoors</x:v>
      </x:c>
      <x:c r="AT799" t="str">
        <x:f>_xlfn.XLOOKUP($A799,Games!$A$2:$A$18,Games!$O$2:$O$18,"Missing game",0)</x:f>
        <x:v>grass</x:v>
      </x:c>
      <x:c r="AU799" t="n">
        <x:f>_xlfn.XLOOKUP($A799,Games!$A$2:$A$18,Games!$P$2:$P$18,"Missing game",0)</x:f>
        <x:v>61</x:v>
      </x:c>
      <x:c r="AV799" t="n">
        <x:f>_xlfn.XLOOKUP($A799,Games!$A$2:$A$18,Games!$Q$2:$Q$18,"Missing game",0)</x:f>
        <x:v>14</x:v>
      </x:c>
      <x:c r="AW799" t="str">
        <x:f>_xlfn.XLOOKUP($A799,Games!$A$2:$A$18,Games!$R$2:$R$18,"Missing game",0)</x:f>
        <x:v>FirstEnergy Stadium</x:v>
      </x:c>
    </x:row>
    <x:row r="800">
      <x:c r="A800" t="str">
        <x:v>2025_05_MIN_CLE</x:v>
      </x:c>
      <x:c r="B800" t="n">
        <x:v>3240</x:v>
      </x:c>
      <x:c r="C800" t="n">
        <x:v>3</x:v>
      </x:c>
      <x:c r="D800" t="str">
        <x:v>00:13</x:v>
      </x:c>
      <x:c r="E800" t="n">
        <x:v>2</x:v>
      </x:c>
      <x:c r="F800" t="n">
        <x:v>9</x:v>
      </x:c>
      <x:c r="G800" t="str">
        <x:v>CLE</x:v>
      </x:c>
      <x:c r="H800" t="str">
        <x:v>MIN</x:v>
      </x:c>
      <x:c r="I800" t="str">
        <x:v>CLE</x:v>
      </x:c>
      <x:c r="J800" t="n">
        <x:v>98</x:v>
      </x:c>
      <x:c r="K800" t="str">
        <x:v>(:13) 10-Q.Judkins up the middle to CLE 10 for 8 yards (2-I.Rodgers).</x:v>
      </x:c>
      <x:c r="L800" t="str">
        <x:v>run</x:v>
      </x:c>
      <x:c r="M800" t="n">
        <x:v>8</x:v>
      </x:c>
      <x:c r="N800" t="n">
        <x:v>0</x:v>
      </x:c>
      <x:c r="O800" t="n">
        <x:v>0</x:v>
      </x:c>
      <x:c r="P800"/>
      <x:c r="Q800"/>
      <x:c r="R800"/>
      <x:c r="S800"/>
      <x:c r="T800" t="str">
        <x:v>middle</x:v>
      </x:c>
      <x:c r="U800"/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/>
      <x:c r="AC800" t="n">
        <x:v>0</x:v>
      </x:c>
      <x:c r="AD800" t="n">
        <x:v>0.4703512724954635</x:v>
      </x:c>
      <x:c r="AE800" t="n">
        <x:v>1</x:v>
      </x:c>
      <x:c r="AF800" t="n">
        <x:v>0.01982206106185913</x:v>
      </x:c>
      <x:c r="AG800" t="n">
        <x:f>_xlfn.XLOOKUP($A800,Games!$A$2:$A$18,Games!$B$2:$B$18,"Missing game",0)</x:f>
        <x:v>2025</x:v>
      </x:c>
      <x:c r="AH800" t="str">
        <x:f>_xlfn.XLOOKUP($A800,Games!$A$2:$A$18,Games!$C$2:$C$18,"Missing game",0)</x:f>
        <x:v>REG</x:v>
      </x:c>
      <x:c r="AI800" t="n">
        <x:f>_xlfn.XLOOKUP($A800,Games!$A$2:$A$18,Games!$D$2:$D$18,"Missing game",0)</x:f>
        <x:v>5</x:v>
      </x:c>
      <x:c r="AJ800" s="1" t="n">
        <x:f>_xlfn.XLOOKUP($A800,Games!$A$2:$A$18,Games!$E$2:$E$18,"Missing game",0)</x:f>
        <x:v>45935</x:v>
      </x:c>
      <x:c r="AK800" t="str">
        <x:f>_xlfn.XLOOKUP($A800,Games!$A$2:$A$18,Games!$F$2:$F$18,"Missing game",0)</x:f>
        <x:v>Sunday</x:v>
      </x:c>
      <x:c r="AL800" t="str">
        <x:f>_xlfn.XLOOKUP($A800,Games!$A$2:$A$18,Games!$G$2:$G$18,"Missing game",0)</x:f>
        <x:v>MIN</x:v>
      </x:c>
      <x:c r="AM800" t="n">
        <x:f>_xlfn.XLOOKUP($A800,Games!$A$2:$A$18,Games!$H$2:$H$18,"Missing game",0)</x:f>
        <x:v>21</x:v>
      </x:c>
      <x:c r="AN800" t="str">
        <x:f>_xlfn.XLOOKUP($A800,Games!$A$2:$A$18,Games!$I$2:$I$18,"Missing game",0)</x:f>
        <x:v>CLE</x:v>
      </x:c>
      <x:c r="AO800" t="n">
        <x:f>_xlfn.XLOOKUP($A800,Games!$A$2:$A$18,Games!$J$2:$J$18,"Missing game",0)</x:f>
        <x:v>17</x:v>
      </x:c>
      <x:c r="AP800" t="n">
        <x:f>_xlfn.XLOOKUP($A800,Games!$A$2:$A$18,Games!$K$2:$K$18,"Missing game",0)</x:f>
        <x:v>-4</x:v>
      </x:c>
      <x:c r="AQ800" t="n">
        <x:f>_xlfn.XLOOKUP($A800,Games!$A$2:$A$18,Games!$L$2:$L$18,"Missing game",0)</x:f>
        <x:v>38</x:v>
      </x:c>
      <x:c r="AR800" t="n">
        <x:f>_xlfn.XLOOKUP($A800,Games!$A$2:$A$18,Games!$M$2:$M$18,"Missing game",0)</x:f>
        <x:v>0</x:v>
      </x:c>
      <x:c r="AS800" t="str">
        <x:f>_xlfn.XLOOKUP($A800,Games!$A$2:$A$18,Games!$N$2:$N$18,"Missing game",0)</x:f>
        <x:v>outdoors</x:v>
      </x:c>
      <x:c r="AT800" t="str">
        <x:f>_xlfn.XLOOKUP($A800,Games!$A$2:$A$18,Games!$O$2:$O$18,"Missing game",0)</x:f>
        <x:v>grass</x:v>
      </x:c>
      <x:c r="AU800" t="n">
        <x:f>_xlfn.XLOOKUP($A800,Games!$A$2:$A$18,Games!$P$2:$P$18,"Missing game",0)</x:f>
        <x:v>61</x:v>
      </x:c>
      <x:c r="AV800" t="n">
        <x:f>_xlfn.XLOOKUP($A800,Games!$A$2:$A$18,Games!$Q$2:$Q$18,"Missing game",0)</x:f>
        <x:v>14</x:v>
      </x:c>
      <x:c r="AW800" t="str">
        <x:f>_xlfn.XLOOKUP($A800,Games!$A$2:$A$18,Games!$R$2:$R$18,"Missing game",0)</x:f>
        <x:v>FirstEnergy Stadium</x:v>
      </x:c>
    </x:row>
    <x:row r="801">
      <x:c r="A801" t="str">
        <x:v>2025_05_MIN_CLE</x:v>
      </x:c>
      <x:c r="B801" t="n">
        <x:v>3262</x:v>
      </x:c>
      <x:c r="C801" t="n">
        <x:v>3</x:v>
      </x:c>
      <x:c r="D801" t="str">
        <x:v>00:00</x:v>
      </x:c>
      <x:c r="E801"/>
      <x:c r="F801" t="n">
        <x:v>0</x:v>
      </x:c>
      <x:c r="G801" t="str">
        <x:v>CLE</x:v>
      </x:c>
      <x:c r="H801" t="str">
        <x:v>MIN</x:v>
      </x:c>
      <x:c r="I801"/>
      <x:c r="J801"/>
      <x:c r="K801" t="str">
        <x:v>END QUARTER 3</x:v>
      </x:c>
      <x:c r="L801"/>
      <x:c r="M801"/>
      <x:c r="N801" t="n">
        <x:v>0</x:v>
      </x:c>
      <x:c r="O801" t="n">
        <x:v>0</x:v>
      </x:c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 t="n">
        <x:v>0</x:v>
      </x:c>
      <x:c r="AE801" t="n">
        <x:v>0</x:v>
      </x:c>
      <x:c r="AF801" t="n">
        <x:v>0</x:v>
      </x:c>
      <x:c r="AG801" t="n">
        <x:f>_xlfn.XLOOKUP($A801,Games!$A$2:$A$18,Games!$B$2:$B$18,"Missing game",0)</x:f>
        <x:v>2025</x:v>
      </x:c>
      <x:c r="AH801" t="str">
        <x:f>_xlfn.XLOOKUP($A801,Games!$A$2:$A$18,Games!$C$2:$C$18,"Missing game",0)</x:f>
        <x:v>REG</x:v>
      </x:c>
      <x:c r="AI801" t="n">
        <x:f>_xlfn.XLOOKUP($A801,Games!$A$2:$A$18,Games!$D$2:$D$18,"Missing game",0)</x:f>
        <x:v>5</x:v>
      </x:c>
      <x:c r="AJ801" s="1" t="n">
        <x:f>_xlfn.XLOOKUP($A801,Games!$A$2:$A$18,Games!$E$2:$E$18,"Missing game",0)</x:f>
        <x:v>45935</x:v>
      </x:c>
      <x:c r="AK801" t="str">
        <x:f>_xlfn.XLOOKUP($A801,Games!$A$2:$A$18,Games!$F$2:$F$18,"Missing game",0)</x:f>
        <x:v>Sunday</x:v>
      </x:c>
      <x:c r="AL801" t="str">
        <x:f>_xlfn.XLOOKUP($A801,Games!$A$2:$A$18,Games!$G$2:$G$18,"Missing game",0)</x:f>
        <x:v>MIN</x:v>
      </x:c>
      <x:c r="AM801" t="n">
        <x:f>_xlfn.XLOOKUP($A801,Games!$A$2:$A$18,Games!$H$2:$H$18,"Missing game",0)</x:f>
        <x:v>21</x:v>
      </x:c>
      <x:c r="AN801" t="str">
        <x:f>_xlfn.XLOOKUP($A801,Games!$A$2:$A$18,Games!$I$2:$I$18,"Missing game",0)</x:f>
        <x:v>CLE</x:v>
      </x:c>
      <x:c r="AO801" t="n">
        <x:f>_xlfn.XLOOKUP($A801,Games!$A$2:$A$18,Games!$J$2:$J$18,"Missing game",0)</x:f>
        <x:v>17</x:v>
      </x:c>
      <x:c r="AP801" t="n">
        <x:f>_xlfn.XLOOKUP($A801,Games!$A$2:$A$18,Games!$K$2:$K$18,"Missing game",0)</x:f>
        <x:v>-4</x:v>
      </x:c>
      <x:c r="AQ801" t="n">
        <x:f>_xlfn.XLOOKUP($A801,Games!$A$2:$A$18,Games!$L$2:$L$18,"Missing game",0)</x:f>
        <x:v>38</x:v>
      </x:c>
      <x:c r="AR801" t="n">
        <x:f>_xlfn.XLOOKUP($A801,Games!$A$2:$A$18,Games!$M$2:$M$18,"Missing game",0)</x:f>
        <x:v>0</x:v>
      </x:c>
      <x:c r="AS801" t="str">
        <x:f>_xlfn.XLOOKUP($A801,Games!$A$2:$A$18,Games!$N$2:$N$18,"Missing game",0)</x:f>
        <x:v>outdoors</x:v>
      </x:c>
      <x:c r="AT801" t="str">
        <x:f>_xlfn.XLOOKUP($A801,Games!$A$2:$A$18,Games!$O$2:$O$18,"Missing game",0)</x:f>
        <x:v>grass</x:v>
      </x:c>
      <x:c r="AU801" t="n">
        <x:f>_xlfn.XLOOKUP($A801,Games!$A$2:$A$18,Games!$P$2:$P$18,"Missing game",0)</x:f>
        <x:v>61</x:v>
      </x:c>
      <x:c r="AV801" t="n">
        <x:f>_xlfn.XLOOKUP($A801,Games!$A$2:$A$18,Games!$Q$2:$Q$18,"Missing game",0)</x:f>
        <x:v>14</x:v>
      </x:c>
      <x:c r="AW801" t="str">
        <x:f>_xlfn.XLOOKUP($A801,Games!$A$2:$A$18,Games!$R$2:$R$18,"Missing game",0)</x:f>
        <x:v>FirstEnergy Stadium</x:v>
      </x:c>
    </x:row>
    <x:row r="802">
      <x:c r="A802" t="str">
        <x:v>2025_05_MIN_CLE</x:v>
      </x:c>
      <x:c r="B802" t="n">
        <x:v>3282</x:v>
      </x:c>
      <x:c r="C802" t="n">
        <x:v>4</x:v>
      </x:c>
      <x:c r="D802" t="str">
        <x:v>15:00</x:v>
      </x:c>
      <x:c r="E802" t="n">
        <x:v>3</x:v>
      </x:c>
      <x:c r="F802" t="n">
        <x:v>1</x:v>
      </x:c>
      <x:c r="G802" t="str">
        <x:v>CLE</x:v>
      </x:c>
      <x:c r="H802" t="str">
        <x:v>MIN</x:v>
      </x:c>
      <x:c r="I802" t="str">
        <x:v>CLE</x:v>
      </x:c>
      <x:c r="J802" t="n">
        <x:v>90</x:v>
      </x:c>
      <x:c r="K802" t="str">
        <x:v>(15:00) 98-A.Huntington and 74-T.Jenkins reported in as eligible. 10-Q.Judkins right guard to CLE 10 for no gain (97-J.Hargrave; 58-J.Greenard).</x:v>
      </x:c>
      <x:c r="L802" t="str">
        <x:v>run</x:v>
      </x:c>
      <x:c r="M802" t="n">
        <x:v>0</x:v>
      </x:c>
      <x:c r="N802" t="n">
        <x:v>0</x:v>
      </x:c>
      <x:c r="O802" t="n">
        <x:v>0</x:v>
      </x:c>
      <x:c r="P802"/>
      <x:c r="Q802"/>
      <x:c r="R802"/>
      <x:c r="S802"/>
      <x:c r="T802" t="str">
        <x:v>right</x:v>
      </x:c>
      <x:c r="U802" t="str">
        <x:v>guard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/>
      <x:c r="AC802" t="n">
        <x:v>0</x:v>
      </x:c>
      <x:c r="AD802" t="n">
        <x:v>-1.5770578591618687</x:v>
      </x:c>
      <x:c r="AE802" t="n">
        <x:v>0</x:v>
      </x:c>
      <x:c r="AF802" t="n">
        <x:v>-0.034442365169525146</x:v>
      </x:c>
      <x:c r="AG802" t="n">
        <x:f>_xlfn.XLOOKUP($A802,Games!$A$2:$A$18,Games!$B$2:$B$18,"Missing game",0)</x:f>
        <x:v>2025</x:v>
      </x:c>
      <x:c r="AH802" t="str">
        <x:f>_xlfn.XLOOKUP($A802,Games!$A$2:$A$18,Games!$C$2:$C$18,"Missing game",0)</x:f>
        <x:v>REG</x:v>
      </x:c>
      <x:c r="AI802" t="n">
        <x:f>_xlfn.XLOOKUP($A802,Games!$A$2:$A$18,Games!$D$2:$D$18,"Missing game",0)</x:f>
        <x:v>5</x:v>
      </x:c>
      <x:c r="AJ802" s="1" t="n">
        <x:f>_xlfn.XLOOKUP($A802,Games!$A$2:$A$18,Games!$E$2:$E$18,"Missing game",0)</x:f>
        <x:v>45935</x:v>
      </x:c>
      <x:c r="AK802" t="str">
        <x:f>_xlfn.XLOOKUP($A802,Games!$A$2:$A$18,Games!$F$2:$F$18,"Missing game",0)</x:f>
        <x:v>Sunday</x:v>
      </x:c>
      <x:c r="AL802" t="str">
        <x:f>_xlfn.XLOOKUP($A802,Games!$A$2:$A$18,Games!$G$2:$G$18,"Missing game",0)</x:f>
        <x:v>MIN</x:v>
      </x:c>
      <x:c r="AM802" t="n">
        <x:f>_xlfn.XLOOKUP($A802,Games!$A$2:$A$18,Games!$H$2:$H$18,"Missing game",0)</x:f>
        <x:v>21</x:v>
      </x:c>
      <x:c r="AN802" t="str">
        <x:f>_xlfn.XLOOKUP($A802,Games!$A$2:$A$18,Games!$I$2:$I$18,"Missing game",0)</x:f>
        <x:v>CLE</x:v>
      </x:c>
      <x:c r="AO802" t="n">
        <x:f>_xlfn.XLOOKUP($A802,Games!$A$2:$A$18,Games!$J$2:$J$18,"Missing game",0)</x:f>
        <x:v>17</x:v>
      </x:c>
      <x:c r="AP802" t="n">
        <x:f>_xlfn.XLOOKUP($A802,Games!$A$2:$A$18,Games!$K$2:$K$18,"Missing game",0)</x:f>
        <x:v>-4</x:v>
      </x:c>
      <x:c r="AQ802" t="n">
        <x:f>_xlfn.XLOOKUP($A802,Games!$A$2:$A$18,Games!$L$2:$L$18,"Missing game",0)</x:f>
        <x:v>38</x:v>
      </x:c>
      <x:c r="AR802" t="n">
        <x:f>_xlfn.XLOOKUP($A802,Games!$A$2:$A$18,Games!$M$2:$M$18,"Missing game",0)</x:f>
        <x:v>0</x:v>
      </x:c>
      <x:c r="AS802" t="str">
        <x:f>_xlfn.XLOOKUP($A802,Games!$A$2:$A$18,Games!$N$2:$N$18,"Missing game",0)</x:f>
        <x:v>outdoors</x:v>
      </x:c>
      <x:c r="AT802" t="str">
        <x:f>_xlfn.XLOOKUP($A802,Games!$A$2:$A$18,Games!$O$2:$O$18,"Missing game",0)</x:f>
        <x:v>grass</x:v>
      </x:c>
      <x:c r="AU802" t="n">
        <x:f>_xlfn.XLOOKUP($A802,Games!$A$2:$A$18,Games!$P$2:$P$18,"Missing game",0)</x:f>
        <x:v>61</x:v>
      </x:c>
      <x:c r="AV802" t="n">
        <x:f>_xlfn.XLOOKUP($A802,Games!$A$2:$A$18,Games!$Q$2:$Q$18,"Missing game",0)</x:f>
        <x:v>14</x:v>
      </x:c>
      <x:c r="AW802" t="str">
        <x:f>_xlfn.XLOOKUP($A802,Games!$A$2:$A$18,Games!$R$2:$R$18,"Missing game",0)</x:f>
        <x:v>FirstEnergy Stadium</x:v>
      </x:c>
    </x:row>
    <x:row r="803">
      <x:c r="A803" t="str">
        <x:v>2025_05_MIN_CLE</x:v>
      </x:c>
      <x:c r="B803" t="n">
        <x:v>3311</x:v>
      </x:c>
      <x:c r="C803" t="n">
        <x:v>4</x:v>
      </x:c>
      <x:c r="D803" t="str">
        <x:v>14:17</x:v>
      </x:c>
      <x:c r="E803" t="n">
        <x:v>4</x:v>
      </x:c>
      <x:c r="F803" t="n">
        <x:v>1</x:v>
      </x:c>
      <x:c r="G803" t="str">
        <x:v>CLE</x:v>
      </x:c>
      <x:c r="H803" t="str">
        <x:v>MIN</x:v>
      </x:c>
      <x:c r="I803" t="str">
        <x:v>CLE</x:v>
      </x:c>
      <x:c r="J803" t="n">
        <x:v>90</x:v>
      </x:c>
      <x:c r="K803" t="str">
        <x:v>(14:17) 13-C.Bojorquez punts 44 yards to MIN 46, Center-50-R.Sunahara. 4-M.Price to CLE 42 for 12 yards (50-R.Sunahara; 28-T.Avery).</x:v>
      </x:c>
      <x:c r="L803" t="str">
        <x:v>punt</x:v>
      </x:c>
      <x:c r="M803" t="n">
        <x:v>0</x:v>
      </x:c>
      <x:c r="N803" t="n">
        <x:v>0</x:v>
      </x:c>
      <x:c r="O803" t="n">
        <x:v>0</x:v>
      </x:c>
      <x:c r="P803"/>
      <x:c r="Q803"/>
      <x:c r="R803"/>
      <x:c r="S803"/>
      <x:c r="T803"/>
      <x:c r="U803"/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/>
      <x:c r="AC803" t="n">
        <x:v>0</x:v>
      </x:c>
      <x:c r="AD803" t="n">
        <x:v>-0.7766115572303534</x:v>
      </x:c>
      <x:c r="AE803" t="n">
        <x:v>0</x:v>
      </x:c>
      <x:c r="AF803" t="n">
        <x:v>-0.12595754861831665</x:v>
      </x:c>
      <x:c r="AG803" t="n">
        <x:f>_xlfn.XLOOKUP($A803,Games!$A$2:$A$18,Games!$B$2:$B$18,"Missing game",0)</x:f>
        <x:v>2025</x:v>
      </x:c>
      <x:c r="AH803" t="str">
        <x:f>_xlfn.XLOOKUP($A803,Games!$A$2:$A$18,Games!$C$2:$C$18,"Missing game",0)</x:f>
        <x:v>REG</x:v>
      </x:c>
      <x:c r="AI803" t="n">
        <x:f>_xlfn.XLOOKUP($A803,Games!$A$2:$A$18,Games!$D$2:$D$18,"Missing game",0)</x:f>
        <x:v>5</x:v>
      </x:c>
      <x:c r="AJ803" s="1" t="n">
        <x:f>_xlfn.XLOOKUP($A803,Games!$A$2:$A$18,Games!$E$2:$E$18,"Missing game",0)</x:f>
        <x:v>45935</x:v>
      </x:c>
      <x:c r="AK803" t="str">
        <x:f>_xlfn.XLOOKUP($A803,Games!$A$2:$A$18,Games!$F$2:$F$18,"Missing game",0)</x:f>
        <x:v>Sunday</x:v>
      </x:c>
      <x:c r="AL803" t="str">
        <x:f>_xlfn.XLOOKUP($A803,Games!$A$2:$A$18,Games!$G$2:$G$18,"Missing game",0)</x:f>
        <x:v>MIN</x:v>
      </x:c>
      <x:c r="AM803" t="n">
        <x:f>_xlfn.XLOOKUP($A803,Games!$A$2:$A$18,Games!$H$2:$H$18,"Missing game",0)</x:f>
        <x:v>21</x:v>
      </x:c>
      <x:c r="AN803" t="str">
        <x:f>_xlfn.XLOOKUP($A803,Games!$A$2:$A$18,Games!$I$2:$I$18,"Missing game",0)</x:f>
        <x:v>CLE</x:v>
      </x:c>
      <x:c r="AO803" t="n">
        <x:f>_xlfn.XLOOKUP($A803,Games!$A$2:$A$18,Games!$J$2:$J$18,"Missing game",0)</x:f>
        <x:v>17</x:v>
      </x:c>
      <x:c r="AP803" t="n">
        <x:f>_xlfn.XLOOKUP($A803,Games!$A$2:$A$18,Games!$K$2:$K$18,"Missing game",0)</x:f>
        <x:v>-4</x:v>
      </x:c>
      <x:c r="AQ803" t="n">
        <x:f>_xlfn.XLOOKUP($A803,Games!$A$2:$A$18,Games!$L$2:$L$18,"Missing game",0)</x:f>
        <x:v>38</x:v>
      </x:c>
      <x:c r="AR803" t="n">
        <x:f>_xlfn.XLOOKUP($A803,Games!$A$2:$A$18,Games!$M$2:$M$18,"Missing game",0)</x:f>
        <x:v>0</x:v>
      </x:c>
      <x:c r="AS803" t="str">
        <x:f>_xlfn.XLOOKUP($A803,Games!$A$2:$A$18,Games!$N$2:$N$18,"Missing game",0)</x:f>
        <x:v>outdoors</x:v>
      </x:c>
      <x:c r="AT803" t="str">
        <x:f>_xlfn.XLOOKUP($A803,Games!$A$2:$A$18,Games!$O$2:$O$18,"Missing game",0)</x:f>
        <x:v>grass</x:v>
      </x:c>
      <x:c r="AU803" t="n">
        <x:f>_xlfn.XLOOKUP($A803,Games!$A$2:$A$18,Games!$P$2:$P$18,"Missing game",0)</x:f>
        <x:v>61</x:v>
      </x:c>
      <x:c r="AV803" t="n">
        <x:f>_xlfn.XLOOKUP($A803,Games!$A$2:$A$18,Games!$Q$2:$Q$18,"Missing game",0)</x:f>
        <x:v>14</x:v>
      </x:c>
      <x:c r="AW803" t="str">
        <x:f>_xlfn.XLOOKUP($A803,Games!$A$2:$A$18,Games!$R$2:$R$18,"Missing game",0)</x:f>
        <x:v>FirstEnergy Stadium</x:v>
      </x:c>
    </x:row>
    <x:row r="804">
      <x:c r="A804" t="str">
        <x:v>2025_05_MIN_CLE</x:v>
      </x:c>
      <x:c r="B804" t="n">
        <x:v>3341</x:v>
      </x:c>
      <x:c r="C804" t="n">
        <x:v>4</x:v>
      </x:c>
      <x:c r="D804" t="str">
        <x:v>14:05</x:v>
      </x:c>
      <x:c r="E804" t="n">
        <x:v>1</x:v>
      </x:c>
      <x:c r="F804" t="n">
        <x:v>10</x:v>
      </x:c>
      <x:c r="G804" t="str">
        <x:v>MIN</x:v>
      </x:c>
      <x:c r="H804" t="str">
        <x:v>CLE</x:v>
      </x:c>
      <x:c r="I804" t="str">
        <x:v>CLE</x:v>
      </x:c>
      <x:c r="J804" t="n">
        <x:v>42</x:v>
      </x:c>
      <x:c r="K804" t="str">
        <x:v>(14:05) 36-Z.Scott right guard to CLE 45 for -3 yards (57-I.McGuire, 93-S.Harris). FUMBLES (57-I.McGuire), RECOVERED by CLE-43-M.Diabate at CLE 45. PENALTY on CLE-93-S.Harris, Unnecessary Roughness, 15 yards, enforced at CLE 45.</x:v>
      </x:c>
      <x:c r="L804" t="str">
        <x:v>run</x:v>
      </x:c>
      <x:c r="M804" t="n">
        <x:v>-3</x:v>
      </x:c>
      <x:c r="N804" t="n">
        <x:v>0</x:v>
      </x:c>
      <x:c r="O804" t="n">
        <x:v>0</x:v>
      </x:c>
      <x:c r="P804"/>
      <x:c r="Q804"/>
      <x:c r="R804"/>
      <x:c r="S804"/>
      <x:c r="T804" t="str">
        <x:v>right</x:v>
      </x:c>
      <x:c r="U804" t="str">
        <x:v>guard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1</x:v>
      </x:c>
      <x:c r="AA804" t="n">
        <x:v>1</x:v>
      </x:c>
      <x:c r="AB804" t="n">
        <x:v>15</x:v>
      </x:c>
      <x:c r="AC804" t="n">
        <x:v>0</x:v>
      </x:c>
      <x:c r="AD804" t="n">
        <x:v>-4.132220580941066</x:v>
      </x:c>
      <x:c r="AE804" t="n">
        <x:v>0</x:v>
      </x:c>
      <x:c r="AF804" t="n">
        <x:v>-0.2022111415863037</x:v>
      </x:c>
      <x:c r="AG804" t="n">
        <x:f>_xlfn.XLOOKUP($A804,Games!$A$2:$A$18,Games!$B$2:$B$18,"Missing game",0)</x:f>
        <x:v>2025</x:v>
      </x:c>
      <x:c r="AH804" t="str">
        <x:f>_xlfn.XLOOKUP($A804,Games!$A$2:$A$18,Games!$C$2:$C$18,"Missing game",0)</x:f>
        <x:v>REG</x:v>
      </x:c>
      <x:c r="AI804" t="n">
        <x:f>_xlfn.XLOOKUP($A804,Games!$A$2:$A$18,Games!$D$2:$D$18,"Missing game",0)</x:f>
        <x:v>5</x:v>
      </x:c>
      <x:c r="AJ804" s="1" t="n">
        <x:f>_xlfn.XLOOKUP($A804,Games!$A$2:$A$18,Games!$E$2:$E$18,"Missing game",0)</x:f>
        <x:v>45935</x:v>
      </x:c>
      <x:c r="AK804" t="str">
        <x:f>_xlfn.XLOOKUP($A804,Games!$A$2:$A$18,Games!$F$2:$F$18,"Missing game",0)</x:f>
        <x:v>Sunday</x:v>
      </x:c>
      <x:c r="AL804" t="str">
        <x:f>_xlfn.XLOOKUP($A804,Games!$A$2:$A$18,Games!$G$2:$G$18,"Missing game",0)</x:f>
        <x:v>MIN</x:v>
      </x:c>
      <x:c r="AM804" t="n">
        <x:f>_xlfn.XLOOKUP($A804,Games!$A$2:$A$18,Games!$H$2:$H$18,"Missing game",0)</x:f>
        <x:v>21</x:v>
      </x:c>
      <x:c r="AN804" t="str">
        <x:f>_xlfn.XLOOKUP($A804,Games!$A$2:$A$18,Games!$I$2:$I$18,"Missing game",0)</x:f>
        <x:v>CLE</x:v>
      </x:c>
      <x:c r="AO804" t="n">
        <x:f>_xlfn.XLOOKUP($A804,Games!$A$2:$A$18,Games!$J$2:$J$18,"Missing game",0)</x:f>
        <x:v>17</x:v>
      </x:c>
      <x:c r="AP804" t="n">
        <x:f>_xlfn.XLOOKUP($A804,Games!$A$2:$A$18,Games!$K$2:$K$18,"Missing game",0)</x:f>
        <x:v>-4</x:v>
      </x:c>
      <x:c r="AQ804" t="n">
        <x:f>_xlfn.XLOOKUP($A804,Games!$A$2:$A$18,Games!$L$2:$L$18,"Missing game",0)</x:f>
        <x:v>38</x:v>
      </x:c>
      <x:c r="AR804" t="n">
        <x:f>_xlfn.XLOOKUP($A804,Games!$A$2:$A$18,Games!$M$2:$M$18,"Missing game",0)</x:f>
        <x:v>0</x:v>
      </x:c>
      <x:c r="AS804" t="str">
        <x:f>_xlfn.XLOOKUP($A804,Games!$A$2:$A$18,Games!$N$2:$N$18,"Missing game",0)</x:f>
        <x:v>outdoors</x:v>
      </x:c>
      <x:c r="AT804" t="str">
        <x:f>_xlfn.XLOOKUP($A804,Games!$A$2:$A$18,Games!$O$2:$O$18,"Missing game",0)</x:f>
        <x:v>grass</x:v>
      </x:c>
      <x:c r="AU804" t="n">
        <x:f>_xlfn.XLOOKUP($A804,Games!$A$2:$A$18,Games!$P$2:$P$18,"Missing game",0)</x:f>
        <x:v>61</x:v>
      </x:c>
      <x:c r="AV804" t="n">
        <x:f>_xlfn.XLOOKUP($A804,Games!$A$2:$A$18,Games!$Q$2:$Q$18,"Missing game",0)</x:f>
        <x:v>14</x:v>
      </x:c>
      <x:c r="AW804" t="str">
        <x:f>_xlfn.XLOOKUP($A804,Games!$A$2:$A$18,Games!$R$2:$R$18,"Missing game",0)</x:f>
        <x:v>FirstEnergy Stadium</x:v>
      </x:c>
    </x:row>
    <x:row r="805">
      <x:c r="A805" t="str">
        <x:v>2025_05_MIN_CLE</x:v>
      </x:c>
      <x:c r="B805" t="n">
        <x:v>3390</x:v>
      </x:c>
      <x:c r="C805" t="n">
        <x:v>4</x:v>
      </x:c>
      <x:c r="D805" t="str">
        <x:v>14:01</x:v>
      </x:c>
      <x:c r="E805" t="n">
        <x:v>1</x:v>
      </x:c>
      <x:c r="F805" t="n">
        <x:v>10</x:v>
      </x:c>
      <x:c r="G805" t="str">
        <x:v>CLE</x:v>
      </x:c>
      <x:c r="H805" t="str">
        <x:v>MIN</x:v>
      </x:c>
      <x:c r="I805" t="str">
        <x:v>CLE</x:v>
      </x:c>
      <x:c r="J805" t="n">
        <x:v>70</x:v>
      </x:c>
      <x:c r="K805" t="str">
        <x:v>(14:01) (Shotgun) 8-D.Gabriel pass incomplete short middle to 10-Q.Judkins (58-J.Greenard).</x:v>
      </x:c>
      <x:c r="L805" t="str">
        <x:v>pass</x:v>
      </x:c>
      <x:c r="M805" t="n">
        <x:v>0</x:v>
      </x:c>
      <x:c r="N805" t="n">
        <x:v>1</x:v>
      </x:c>
      <x:c r="O805" t="n">
        <x:v>0</x:v>
      </x:c>
      <x:c r="P805" t="str">
        <x:v>short</x:v>
      </x:c>
      <x:c r="Q805" t="str">
        <x:v>middle</x:v>
      </x:c>
      <x:c r="R805" t="n">
        <x:v>-1</x:v>
      </x:c>
      <x:c r="S805"/>
      <x:c r="T805"/>
      <x:c r="U805"/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/>
      <x:c r="AC805" t="n">
        <x:v>0</x:v>
      </x:c>
      <x:c r="AD805" t="n">
        <x:v>-0.5325119942426682</x:v>
      </x:c>
      <x:c r="AE805" t="n">
        <x:v>0</x:v>
      </x:c>
      <x:c r="AF805" t="n">
        <x:v>-0.021740198135375977</x:v>
      </x:c>
      <x:c r="AG805" t="n">
        <x:f>_xlfn.XLOOKUP($A805,Games!$A$2:$A$18,Games!$B$2:$B$18,"Missing game",0)</x:f>
        <x:v>2025</x:v>
      </x:c>
      <x:c r="AH805" t="str">
        <x:f>_xlfn.XLOOKUP($A805,Games!$A$2:$A$18,Games!$C$2:$C$18,"Missing game",0)</x:f>
        <x:v>REG</x:v>
      </x:c>
      <x:c r="AI805" t="n">
        <x:f>_xlfn.XLOOKUP($A805,Games!$A$2:$A$18,Games!$D$2:$D$18,"Missing game",0)</x:f>
        <x:v>5</x:v>
      </x:c>
      <x:c r="AJ805" s="1" t="n">
        <x:f>_xlfn.XLOOKUP($A805,Games!$A$2:$A$18,Games!$E$2:$E$18,"Missing game",0)</x:f>
        <x:v>45935</x:v>
      </x:c>
      <x:c r="AK805" t="str">
        <x:f>_xlfn.XLOOKUP($A805,Games!$A$2:$A$18,Games!$F$2:$F$18,"Missing game",0)</x:f>
        <x:v>Sunday</x:v>
      </x:c>
      <x:c r="AL805" t="str">
        <x:f>_xlfn.XLOOKUP($A805,Games!$A$2:$A$18,Games!$G$2:$G$18,"Missing game",0)</x:f>
        <x:v>MIN</x:v>
      </x:c>
      <x:c r="AM805" t="n">
        <x:f>_xlfn.XLOOKUP($A805,Games!$A$2:$A$18,Games!$H$2:$H$18,"Missing game",0)</x:f>
        <x:v>21</x:v>
      </x:c>
      <x:c r="AN805" t="str">
        <x:f>_xlfn.XLOOKUP($A805,Games!$A$2:$A$18,Games!$I$2:$I$18,"Missing game",0)</x:f>
        <x:v>CLE</x:v>
      </x:c>
      <x:c r="AO805" t="n">
        <x:f>_xlfn.XLOOKUP($A805,Games!$A$2:$A$18,Games!$J$2:$J$18,"Missing game",0)</x:f>
        <x:v>17</x:v>
      </x:c>
      <x:c r="AP805" t="n">
        <x:f>_xlfn.XLOOKUP($A805,Games!$A$2:$A$18,Games!$K$2:$K$18,"Missing game",0)</x:f>
        <x:v>-4</x:v>
      </x:c>
      <x:c r="AQ805" t="n">
        <x:f>_xlfn.XLOOKUP($A805,Games!$A$2:$A$18,Games!$L$2:$L$18,"Missing game",0)</x:f>
        <x:v>38</x:v>
      </x:c>
      <x:c r="AR805" t="n">
        <x:f>_xlfn.XLOOKUP($A805,Games!$A$2:$A$18,Games!$M$2:$M$18,"Missing game",0)</x:f>
        <x:v>0</x:v>
      </x:c>
      <x:c r="AS805" t="str">
        <x:f>_xlfn.XLOOKUP($A805,Games!$A$2:$A$18,Games!$N$2:$N$18,"Missing game",0)</x:f>
        <x:v>outdoors</x:v>
      </x:c>
      <x:c r="AT805" t="str">
        <x:f>_xlfn.XLOOKUP($A805,Games!$A$2:$A$18,Games!$O$2:$O$18,"Missing game",0)</x:f>
        <x:v>grass</x:v>
      </x:c>
      <x:c r="AU805" t="n">
        <x:f>_xlfn.XLOOKUP($A805,Games!$A$2:$A$18,Games!$P$2:$P$18,"Missing game",0)</x:f>
        <x:v>61</x:v>
      </x:c>
      <x:c r="AV805" t="n">
        <x:f>_xlfn.XLOOKUP($A805,Games!$A$2:$A$18,Games!$Q$2:$Q$18,"Missing game",0)</x:f>
        <x:v>14</x:v>
      </x:c>
      <x:c r="AW805" t="str">
        <x:f>_xlfn.XLOOKUP($A805,Games!$A$2:$A$18,Games!$R$2:$R$18,"Missing game",0)</x:f>
        <x:v>FirstEnergy Stadium</x:v>
      </x:c>
    </x:row>
    <x:row r="806">
      <x:c r="A806" t="str">
        <x:v>2025_05_MIN_CLE</x:v>
      </x:c>
      <x:c r="B806" t="n">
        <x:v>3420</x:v>
      </x:c>
      <x:c r="C806" t="n">
        <x:v>4</x:v>
      </x:c>
      <x:c r="D806" t="str">
        <x:v>13:57</x:v>
      </x:c>
      <x:c r="E806" t="n">
        <x:v>2</x:v>
      </x:c>
      <x:c r="F806" t="n">
        <x:v>10</x:v>
      </x:c>
      <x:c r="G806" t="str">
        <x:v>CLE</x:v>
      </x:c>
      <x:c r="H806" t="str">
        <x:v>MIN</x:v>
      </x:c>
      <x:c r="I806" t="str">
        <x:v>CLE</x:v>
      </x:c>
      <x:c r="J806" t="n">
        <x:v>70</x:v>
      </x:c>
      <x:c r="K806" t="str">
        <x:v>(13:57) 10-Q.Judkins up the middle to CLE 36 for 6 yards (26-T.Jackson; 22-H.Smith).</x:v>
      </x:c>
      <x:c r="L806" t="str">
        <x:v>run</x:v>
      </x:c>
      <x:c r="M806" t="n">
        <x:v>6</x:v>
      </x:c>
      <x:c r="N806" t="n">
        <x:v>0</x:v>
      </x:c>
      <x:c r="O806" t="n">
        <x:v>0</x:v>
      </x:c>
      <x:c r="P806"/>
      <x:c r="Q806"/>
      <x:c r="R806"/>
      <x:c r="S806"/>
      <x:c r="T806" t="str">
        <x:v>middle</x:v>
      </x:c>
      <x:c r="U806"/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/>
      <x:c r="AC806" t="n">
        <x:v>0</x:v>
      </x:c>
      <x:c r="AD806" t="n">
        <x:v>0.023041762877255678</x:v>
      </x:c>
      <x:c r="AE806" t="n">
        <x:v>1</x:v>
      </x:c>
      <x:c r="AF806" t="n">
        <x:v>0.009267210960388184</x:v>
      </x:c>
      <x:c r="AG806" t="n">
        <x:f>_xlfn.XLOOKUP($A806,Games!$A$2:$A$18,Games!$B$2:$B$18,"Missing game",0)</x:f>
        <x:v>2025</x:v>
      </x:c>
      <x:c r="AH806" t="str">
        <x:f>_xlfn.XLOOKUP($A806,Games!$A$2:$A$18,Games!$C$2:$C$18,"Missing game",0)</x:f>
        <x:v>REG</x:v>
      </x:c>
      <x:c r="AI806" t="n">
        <x:f>_xlfn.XLOOKUP($A806,Games!$A$2:$A$18,Games!$D$2:$D$18,"Missing game",0)</x:f>
        <x:v>5</x:v>
      </x:c>
      <x:c r="AJ806" s="1" t="n">
        <x:f>_xlfn.XLOOKUP($A806,Games!$A$2:$A$18,Games!$E$2:$E$18,"Missing game",0)</x:f>
        <x:v>45935</x:v>
      </x:c>
      <x:c r="AK806" t="str">
        <x:f>_xlfn.XLOOKUP($A806,Games!$A$2:$A$18,Games!$F$2:$F$18,"Missing game",0)</x:f>
        <x:v>Sunday</x:v>
      </x:c>
      <x:c r="AL806" t="str">
        <x:f>_xlfn.XLOOKUP($A806,Games!$A$2:$A$18,Games!$G$2:$G$18,"Missing game",0)</x:f>
        <x:v>MIN</x:v>
      </x:c>
      <x:c r="AM806" t="n">
        <x:f>_xlfn.XLOOKUP($A806,Games!$A$2:$A$18,Games!$H$2:$H$18,"Missing game",0)</x:f>
        <x:v>21</x:v>
      </x:c>
      <x:c r="AN806" t="str">
        <x:f>_xlfn.XLOOKUP($A806,Games!$A$2:$A$18,Games!$I$2:$I$18,"Missing game",0)</x:f>
        <x:v>CLE</x:v>
      </x:c>
      <x:c r="AO806" t="n">
        <x:f>_xlfn.XLOOKUP($A806,Games!$A$2:$A$18,Games!$J$2:$J$18,"Missing game",0)</x:f>
        <x:v>17</x:v>
      </x:c>
      <x:c r="AP806" t="n">
        <x:f>_xlfn.XLOOKUP($A806,Games!$A$2:$A$18,Games!$K$2:$K$18,"Missing game",0)</x:f>
        <x:v>-4</x:v>
      </x:c>
      <x:c r="AQ806" t="n">
        <x:f>_xlfn.XLOOKUP($A806,Games!$A$2:$A$18,Games!$L$2:$L$18,"Missing game",0)</x:f>
        <x:v>38</x:v>
      </x:c>
      <x:c r="AR806" t="n">
        <x:f>_xlfn.XLOOKUP($A806,Games!$A$2:$A$18,Games!$M$2:$M$18,"Missing game",0)</x:f>
        <x:v>0</x:v>
      </x:c>
      <x:c r="AS806" t="str">
        <x:f>_xlfn.XLOOKUP($A806,Games!$A$2:$A$18,Games!$N$2:$N$18,"Missing game",0)</x:f>
        <x:v>outdoors</x:v>
      </x:c>
      <x:c r="AT806" t="str">
        <x:f>_xlfn.XLOOKUP($A806,Games!$A$2:$A$18,Games!$O$2:$O$18,"Missing game",0)</x:f>
        <x:v>grass</x:v>
      </x:c>
      <x:c r="AU806" t="n">
        <x:f>_xlfn.XLOOKUP($A806,Games!$A$2:$A$18,Games!$P$2:$P$18,"Missing game",0)</x:f>
        <x:v>61</x:v>
      </x:c>
      <x:c r="AV806" t="n">
        <x:f>_xlfn.XLOOKUP($A806,Games!$A$2:$A$18,Games!$Q$2:$Q$18,"Missing game",0)</x:f>
        <x:v>14</x:v>
      </x:c>
      <x:c r="AW806" t="str">
        <x:f>_xlfn.XLOOKUP($A806,Games!$A$2:$A$18,Games!$R$2:$R$18,"Missing game",0)</x:f>
        <x:v>FirstEnergy Stadium</x:v>
      </x:c>
    </x:row>
    <x:row r="807">
      <x:c r="A807" t="str">
        <x:v>2025_05_MIN_CLE</x:v>
      </x:c>
      <x:c r="B807" t="n">
        <x:v>3442</x:v>
      </x:c>
      <x:c r="C807" t="n">
        <x:v>4</x:v>
      </x:c>
      <x:c r="D807" t="str">
        <x:v>13:11</x:v>
      </x:c>
      <x:c r="E807" t="n">
        <x:v>3</x:v>
      </x:c>
      <x:c r="F807" t="n">
        <x:v>4</x:v>
      </x:c>
      <x:c r="G807" t="str">
        <x:v>CLE</x:v>
      </x:c>
      <x:c r="H807" t="str">
        <x:v>MIN</x:v>
      </x:c>
      <x:c r="I807" t="str">
        <x:v>CLE</x:v>
      </x:c>
      <x:c r="J807" t="n">
        <x:v>64</x:v>
      </x:c>
      <x:c r="K807" t="str">
        <x:v>(13:11) (Shotgun) 8-D.Gabriel sacked at CLE 34 for -2 yards (0-I.Pace).</x:v>
      </x:c>
      <x:c r="L807" t="str">
        <x:v>pass</x:v>
      </x:c>
      <x:c r="M807" t="n">
        <x:v>-2</x:v>
      </x:c>
      <x:c r="N807" t="n">
        <x:v>1</x:v>
      </x:c>
      <x:c r="O807" t="n">
        <x:v>0</x:v>
      </x:c>
      <x:c r="P807"/>
      <x:c r="Q807"/>
      <x:c r="R807"/>
      <x:c r="S807"/>
      <x:c r="T807"/>
      <x:c r="U807"/>
      <x:c r="V807" t="n">
        <x:v>0</x:v>
      </x:c>
      <x:c r="W807" t="n">
        <x:v>0</x:v>
      </x:c>
      <x:c r="X807" t="n">
        <x:v>1</x:v>
      </x:c>
      <x:c r="Y807" t="n">
        <x:v>0</x:v>
      </x:c>
      <x:c r="Z807" t="n">
        <x:v>0</x:v>
      </x:c>
      <x:c r="AA807" t="n">
        <x:v>0</x:v>
      </x:c>
      <x:c r="AB807"/>
      <x:c r="AC807" t="n">
        <x:v>0</x:v>
      </x:c>
      <x:c r="AD807" t="n">
        <x:v>-1.5564641375094652</x:v>
      </x:c>
      <x:c r="AE807" t="n">
        <x:v>0</x:v>
      </x:c>
      <x:c r="AF807" t="n">
        <x:v>-0.050082266330718994</x:v>
      </x:c>
      <x:c r="AG807" t="n">
        <x:f>_xlfn.XLOOKUP($A807,Games!$A$2:$A$18,Games!$B$2:$B$18,"Missing game",0)</x:f>
        <x:v>2025</x:v>
      </x:c>
      <x:c r="AH807" t="str">
        <x:f>_xlfn.XLOOKUP($A807,Games!$A$2:$A$18,Games!$C$2:$C$18,"Missing game",0)</x:f>
        <x:v>REG</x:v>
      </x:c>
      <x:c r="AI807" t="n">
        <x:f>_xlfn.XLOOKUP($A807,Games!$A$2:$A$18,Games!$D$2:$D$18,"Missing game",0)</x:f>
        <x:v>5</x:v>
      </x:c>
      <x:c r="AJ807" s="1" t="n">
        <x:f>_xlfn.XLOOKUP($A807,Games!$A$2:$A$18,Games!$E$2:$E$18,"Missing game",0)</x:f>
        <x:v>45935</x:v>
      </x:c>
      <x:c r="AK807" t="str">
        <x:f>_xlfn.XLOOKUP($A807,Games!$A$2:$A$18,Games!$F$2:$F$18,"Missing game",0)</x:f>
        <x:v>Sunday</x:v>
      </x:c>
      <x:c r="AL807" t="str">
        <x:f>_xlfn.XLOOKUP($A807,Games!$A$2:$A$18,Games!$G$2:$G$18,"Missing game",0)</x:f>
        <x:v>MIN</x:v>
      </x:c>
      <x:c r="AM807" t="n">
        <x:f>_xlfn.XLOOKUP($A807,Games!$A$2:$A$18,Games!$H$2:$H$18,"Missing game",0)</x:f>
        <x:v>21</x:v>
      </x:c>
      <x:c r="AN807" t="str">
        <x:f>_xlfn.XLOOKUP($A807,Games!$A$2:$A$18,Games!$I$2:$I$18,"Missing game",0)</x:f>
        <x:v>CLE</x:v>
      </x:c>
      <x:c r="AO807" t="n">
        <x:f>_xlfn.XLOOKUP($A807,Games!$A$2:$A$18,Games!$J$2:$J$18,"Missing game",0)</x:f>
        <x:v>17</x:v>
      </x:c>
      <x:c r="AP807" t="n">
        <x:f>_xlfn.XLOOKUP($A807,Games!$A$2:$A$18,Games!$K$2:$K$18,"Missing game",0)</x:f>
        <x:v>-4</x:v>
      </x:c>
      <x:c r="AQ807" t="n">
        <x:f>_xlfn.XLOOKUP($A807,Games!$A$2:$A$18,Games!$L$2:$L$18,"Missing game",0)</x:f>
        <x:v>38</x:v>
      </x:c>
      <x:c r="AR807" t="n">
        <x:f>_xlfn.XLOOKUP($A807,Games!$A$2:$A$18,Games!$M$2:$M$18,"Missing game",0)</x:f>
        <x:v>0</x:v>
      </x:c>
      <x:c r="AS807" t="str">
        <x:f>_xlfn.XLOOKUP($A807,Games!$A$2:$A$18,Games!$N$2:$N$18,"Missing game",0)</x:f>
        <x:v>outdoors</x:v>
      </x:c>
      <x:c r="AT807" t="str">
        <x:f>_xlfn.XLOOKUP($A807,Games!$A$2:$A$18,Games!$O$2:$O$18,"Missing game",0)</x:f>
        <x:v>grass</x:v>
      </x:c>
      <x:c r="AU807" t="n">
        <x:f>_xlfn.XLOOKUP($A807,Games!$A$2:$A$18,Games!$P$2:$P$18,"Missing game",0)</x:f>
        <x:v>61</x:v>
      </x:c>
      <x:c r="AV807" t="n">
        <x:f>_xlfn.XLOOKUP($A807,Games!$A$2:$A$18,Games!$Q$2:$Q$18,"Missing game",0)</x:f>
        <x:v>14</x:v>
      </x:c>
      <x:c r="AW807" t="str">
        <x:f>_xlfn.XLOOKUP($A807,Games!$A$2:$A$18,Games!$R$2:$R$18,"Missing game",0)</x:f>
        <x:v>FirstEnergy Stadium</x:v>
      </x:c>
    </x:row>
    <x:row r="808">
      <x:c r="A808" t="str">
        <x:v>2025_05_MIN_CLE</x:v>
      </x:c>
      <x:c r="B808" t="n">
        <x:v>3462</x:v>
      </x:c>
      <x:c r="C808" t="n">
        <x:v>4</x:v>
      </x:c>
      <x:c r="D808" t="str">
        <x:v>12:31</x:v>
      </x:c>
      <x:c r="E808" t="n">
        <x:v>4</x:v>
      </x:c>
      <x:c r="F808" t="n">
        <x:v>6</x:v>
      </x:c>
      <x:c r="G808" t="str">
        <x:v>CLE</x:v>
      </x:c>
      <x:c r="H808" t="str">
        <x:v>MIN</x:v>
      </x:c>
      <x:c r="I808" t="str">
        <x:v>CLE</x:v>
      </x:c>
      <x:c r="J808" t="n">
        <x:v>66</x:v>
      </x:c>
      <x:c r="K808" t="str">
        <x:v>(12:31) 13-C.Bojorquez punts 41 yards to MIN 25, Center-50-R.Sunahara, out of bounds.</x:v>
      </x:c>
      <x:c r="L808" t="str">
        <x:v>punt</x:v>
      </x:c>
      <x:c r="M808" t="n">
        <x:v>0</x:v>
      </x:c>
      <x:c r="N808" t="n">
        <x:v>0</x:v>
      </x:c>
      <x:c r="O808" t="n">
        <x:v>0</x:v>
      </x:c>
      <x:c r="P808"/>
      <x:c r="Q808"/>
      <x:c r="R808"/>
      <x:c r="S808"/>
      <x:c r="T808"/>
      <x:c r="U808"/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/>
      <x:c r="AC808" t="n">
        <x:v>0</x:v>
      </x:c>
      <x:c r="AD808" t="n">
        <x:v>-0.11988640483468771</x:v>
      </x:c>
      <x:c r="AE808" t="n">
        <x:v>0</x:v>
      </x:c>
      <x:c r="AF808" t="n">
        <x:v>-0.027656525373458862</x:v>
      </x:c>
      <x:c r="AG808" t="n">
        <x:f>_xlfn.XLOOKUP($A808,Games!$A$2:$A$18,Games!$B$2:$B$18,"Missing game",0)</x:f>
        <x:v>2025</x:v>
      </x:c>
      <x:c r="AH808" t="str">
        <x:f>_xlfn.XLOOKUP($A808,Games!$A$2:$A$18,Games!$C$2:$C$18,"Missing game",0)</x:f>
        <x:v>REG</x:v>
      </x:c>
      <x:c r="AI808" t="n">
        <x:f>_xlfn.XLOOKUP($A808,Games!$A$2:$A$18,Games!$D$2:$D$18,"Missing game",0)</x:f>
        <x:v>5</x:v>
      </x:c>
      <x:c r="AJ808" s="1" t="n">
        <x:f>_xlfn.XLOOKUP($A808,Games!$A$2:$A$18,Games!$E$2:$E$18,"Missing game",0)</x:f>
        <x:v>45935</x:v>
      </x:c>
      <x:c r="AK808" t="str">
        <x:f>_xlfn.XLOOKUP($A808,Games!$A$2:$A$18,Games!$F$2:$F$18,"Missing game",0)</x:f>
        <x:v>Sunday</x:v>
      </x:c>
      <x:c r="AL808" t="str">
        <x:f>_xlfn.XLOOKUP($A808,Games!$A$2:$A$18,Games!$G$2:$G$18,"Missing game",0)</x:f>
        <x:v>MIN</x:v>
      </x:c>
      <x:c r="AM808" t="n">
        <x:f>_xlfn.XLOOKUP($A808,Games!$A$2:$A$18,Games!$H$2:$H$18,"Missing game",0)</x:f>
        <x:v>21</x:v>
      </x:c>
      <x:c r="AN808" t="str">
        <x:f>_xlfn.XLOOKUP($A808,Games!$A$2:$A$18,Games!$I$2:$I$18,"Missing game",0)</x:f>
        <x:v>CLE</x:v>
      </x:c>
      <x:c r="AO808" t="n">
        <x:f>_xlfn.XLOOKUP($A808,Games!$A$2:$A$18,Games!$J$2:$J$18,"Missing game",0)</x:f>
        <x:v>17</x:v>
      </x:c>
      <x:c r="AP808" t="n">
        <x:f>_xlfn.XLOOKUP($A808,Games!$A$2:$A$18,Games!$K$2:$K$18,"Missing game",0)</x:f>
        <x:v>-4</x:v>
      </x:c>
      <x:c r="AQ808" t="n">
        <x:f>_xlfn.XLOOKUP($A808,Games!$A$2:$A$18,Games!$L$2:$L$18,"Missing game",0)</x:f>
        <x:v>38</x:v>
      </x:c>
      <x:c r="AR808" t="n">
        <x:f>_xlfn.XLOOKUP($A808,Games!$A$2:$A$18,Games!$M$2:$M$18,"Missing game",0)</x:f>
        <x:v>0</x:v>
      </x:c>
      <x:c r="AS808" t="str">
        <x:f>_xlfn.XLOOKUP($A808,Games!$A$2:$A$18,Games!$N$2:$N$18,"Missing game",0)</x:f>
        <x:v>outdoors</x:v>
      </x:c>
      <x:c r="AT808" t="str">
        <x:f>_xlfn.XLOOKUP($A808,Games!$A$2:$A$18,Games!$O$2:$O$18,"Missing game",0)</x:f>
        <x:v>grass</x:v>
      </x:c>
      <x:c r="AU808" t="n">
        <x:f>_xlfn.XLOOKUP($A808,Games!$A$2:$A$18,Games!$P$2:$P$18,"Missing game",0)</x:f>
        <x:v>61</x:v>
      </x:c>
      <x:c r="AV808" t="n">
        <x:f>_xlfn.XLOOKUP($A808,Games!$A$2:$A$18,Games!$Q$2:$Q$18,"Missing game",0)</x:f>
        <x:v>14</x:v>
      </x:c>
      <x:c r="AW808" t="str">
        <x:f>_xlfn.XLOOKUP($A808,Games!$A$2:$A$18,Games!$R$2:$R$18,"Missing game",0)</x:f>
        <x:v>FirstEnergy Stadium</x:v>
      </x:c>
    </x:row>
    <x:row r="809">
      <x:c r="A809" t="str">
        <x:v>2025_05_MIN_CLE</x:v>
      </x:c>
      <x:c r="B809" t="n">
        <x:v>3481</x:v>
      </x:c>
      <x:c r="C809" t="n">
        <x:v>4</x:v>
      </x:c>
      <x:c r="D809" t="str">
        <x:v>12:24</x:v>
      </x:c>
      <x:c r="E809" t="n">
        <x:v>1</x:v>
      </x:c>
      <x:c r="F809" t="n">
        <x:v>10</x:v>
      </x:c>
      <x:c r="G809" t="str">
        <x:v>MIN</x:v>
      </x:c>
      <x:c r="H809" t="str">
        <x:v>CLE</x:v>
      </x:c>
      <x:c r="I809" t="str">
        <x:v>MIN</x:v>
      </x:c>
      <x:c r="J809" t="n">
        <x:v>75</x:v>
      </x:c>
      <x:c r="K809" t="str">
        <x:v>(12:24) 27-J.Mason left end to MIN 25 for no gain (33-R.Hickman). ** Injury Update: MIN-27-J.Mason has returned to the game.</x:v>
      </x:c>
      <x:c r="L809" t="str">
        <x:v>run</x:v>
      </x:c>
      <x:c r="M809" t="n">
        <x:v>0</x:v>
      </x:c>
      <x:c r="N809" t="n">
        <x:v>0</x:v>
      </x:c>
      <x:c r="O809" t="n">
        <x:v>0</x:v>
      </x:c>
      <x:c r="P809"/>
      <x:c r="Q809"/>
      <x:c r="R809"/>
      <x:c r="S809"/>
      <x:c r="T809" t="str">
        <x:v>left</x:v>
      </x:c>
      <x:c r="U809" t="str">
        <x:v>end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/>
      <x:c r="AC809" t="n">
        <x:v>0</x:v>
      </x:c>
      <x:c r="AD809" t="n">
        <x:v>-0.5356896026059985</x:v>
      </x:c>
      <x:c r="AE809" t="n">
        <x:v>0</x:v>
      </x:c>
      <x:c r="AF809" t="n">
        <x:v>-0.03035828471183777</x:v>
      </x:c>
      <x:c r="AG809" t="n">
        <x:f>_xlfn.XLOOKUP($A809,Games!$A$2:$A$18,Games!$B$2:$B$18,"Missing game",0)</x:f>
        <x:v>2025</x:v>
      </x:c>
      <x:c r="AH809" t="str">
        <x:f>_xlfn.XLOOKUP($A809,Games!$A$2:$A$18,Games!$C$2:$C$18,"Missing game",0)</x:f>
        <x:v>REG</x:v>
      </x:c>
      <x:c r="AI809" t="n">
        <x:f>_xlfn.XLOOKUP($A809,Games!$A$2:$A$18,Games!$D$2:$D$18,"Missing game",0)</x:f>
        <x:v>5</x:v>
      </x:c>
      <x:c r="AJ809" s="1" t="n">
        <x:f>_xlfn.XLOOKUP($A809,Games!$A$2:$A$18,Games!$E$2:$E$18,"Missing game",0)</x:f>
        <x:v>45935</x:v>
      </x:c>
      <x:c r="AK809" t="str">
        <x:f>_xlfn.XLOOKUP($A809,Games!$A$2:$A$18,Games!$F$2:$F$18,"Missing game",0)</x:f>
        <x:v>Sunday</x:v>
      </x:c>
      <x:c r="AL809" t="str">
        <x:f>_xlfn.XLOOKUP($A809,Games!$A$2:$A$18,Games!$G$2:$G$18,"Missing game",0)</x:f>
        <x:v>MIN</x:v>
      </x:c>
      <x:c r="AM809" t="n">
        <x:f>_xlfn.XLOOKUP($A809,Games!$A$2:$A$18,Games!$H$2:$H$18,"Missing game",0)</x:f>
        <x:v>21</x:v>
      </x:c>
      <x:c r="AN809" t="str">
        <x:f>_xlfn.XLOOKUP($A809,Games!$A$2:$A$18,Games!$I$2:$I$18,"Missing game",0)</x:f>
        <x:v>CLE</x:v>
      </x:c>
      <x:c r="AO809" t="n">
        <x:f>_xlfn.XLOOKUP($A809,Games!$A$2:$A$18,Games!$J$2:$J$18,"Missing game",0)</x:f>
        <x:v>17</x:v>
      </x:c>
      <x:c r="AP809" t="n">
        <x:f>_xlfn.XLOOKUP($A809,Games!$A$2:$A$18,Games!$K$2:$K$18,"Missing game",0)</x:f>
        <x:v>-4</x:v>
      </x:c>
      <x:c r="AQ809" t="n">
        <x:f>_xlfn.XLOOKUP($A809,Games!$A$2:$A$18,Games!$L$2:$L$18,"Missing game",0)</x:f>
        <x:v>38</x:v>
      </x:c>
      <x:c r="AR809" t="n">
        <x:f>_xlfn.XLOOKUP($A809,Games!$A$2:$A$18,Games!$M$2:$M$18,"Missing game",0)</x:f>
        <x:v>0</x:v>
      </x:c>
      <x:c r="AS809" t="str">
        <x:f>_xlfn.XLOOKUP($A809,Games!$A$2:$A$18,Games!$N$2:$N$18,"Missing game",0)</x:f>
        <x:v>outdoors</x:v>
      </x:c>
      <x:c r="AT809" t="str">
        <x:f>_xlfn.XLOOKUP($A809,Games!$A$2:$A$18,Games!$O$2:$O$18,"Missing game",0)</x:f>
        <x:v>grass</x:v>
      </x:c>
      <x:c r="AU809" t="n">
        <x:f>_xlfn.XLOOKUP($A809,Games!$A$2:$A$18,Games!$P$2:$P$18,"Missing game",0)</x:f>
        <x:v>61</x:v>
      </x:c>
      <x:c r="AV809" t="n">
        <x:f>_xlfn.XLOOKUP($A809,Games!$A$2:$A$18,Games!$Q$2:$Q$18,"Missing game",0)</x:f>
        <x:v>14</x:v>
      </x:c>
      <x:c r="AW809" t="str">
        <x:f>_xlfn.XLOOKUP($A809,Games!$A$2:$A$18,Games!$R$2:$R$18,"Missing game",0)</x:f>
        <x:v>FirstEnergy Stadium</x:v>
      </x:c>
    </x:row>
    <x:row r="810">
      <x:c r="A810" t="str">
        <x:v>2025_05_MIN_CLE</x:v>
      </x:c>
      <x:c r="B810" t="n">
        <x:v>3510</x:v>
      </x:c>
      <x:c r="C810" t="n">
        <x:v>4</x:v>
      </x:c>
      <x:c r="D810" t="str">
        <x:v>11:52</x:v>
      </x:c>
      <x:c r="E810" t="n">
        <x:v>2</x:v>
      </x:c>
      <x:c r="F810" t="n">
        <x:v>10</x:v>
      </x:c>
      <x:c r="G810" t="str">
        <x:v>MIN</x:v>
      </x:c>
      <x:c r="H810" t="str">
        <x:v>CLE</x:v>
      </x:c>
      <x:c r="I810" t="str">
        <x:v>MIN</x:v>
      </x:c>
      <x:c r="J810" t="n">
        <x:v>75</x:v>
      </x:c>
      <x:c r="K810" t="str">
        <x:v>(11:52) (No Huddle) 11-C.Wentz pass incomplete deep right to 3-J.Addison (9-G.Delpit).</x:v>
      </x:c>
      <x:c r="L810" t="str">
        <x:v>pass</x:v>
      </x:c>
      <x:c r="M810" t="n">
        <x:v>0</x:v>
      </x:c>
      <x:c r="N810" t="n">
        <x:v>0</x:v>
      </x:c>
      <x:c r="O810" t="n">
        <x:v>1</x:v>
      </x:c>
      <x:c r="P810" t="str">
        <x:v>deep</x:v>
      </x:c>
      <x:c r="Q810" t="str">
        <x:v>right</x:v>
      </x:c>
      <x:c r="R810" t="n">
        <x:v>17</x:v>
      </x:c>
      <x:c r="S810"/>
      <x:c r="T810"/>
      <x:c r="U810"/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/>
      <x:c r="AC810" t="n">
        <x:v>0</x:v>
      </x:c>
      <x:c r="AD810" t="n">
        <x:v>-0.7094929688610137</x:v>
      </x:c>
      <x:c r="AE810" t="n">
        <x:v>0</x:v>
      </x:c>
      <x:c r="AF810" t="n">
        <x:v>-0.027001947164535522</x:v>
      </x:c>
      <x:c r="AG810" t="n">
        <x:f>_xlfn.XLOOKUP($A810,Games!$A$2:$A$18,Games!$B$2:$B$18,"Missing game",0)</x:f>
        <x:v>2025</x:v>
      </x:c>
      <x:c r="AH810" t="str">
        <x:f>_xlfn.XLOOKUP($A810,Games!$A$2:$A$18,Games!$C$2:$C$18,"Missing game",0)</x:f>
        <x:v>REG</x:v>
      </x:c>
      <x:c r="AI810" t="n">
        <x:f>_xlfn.XLOOKUP($A810,Games!$A$2:$A$18,Games!$D$2:$D$18,"Missing game",0)</x:f>
        <x:v>5</x:v>
      </x:c>
      <x:c r="AJ810" s="1" t="n">
        <x:f>_xlfn.XLOOKUP($A810,Games!$A$2:$A$18,Games!$E$2:$E$18,"Missing game",0)</x:f>
        <x:v>45935</x:v>
      </x:c>
      <x:c r="AK810" t="str">
        <x:f>_xlfn.XLOOKUP($A810,Games!$A$2:$A$18,Games!$F$2:$F$18,"Missing game",0)</x:f>
        <x:v>Sunday</x:v>
      </x:c>
      <x:c r="AL810" t="str">
        <x:f>_xlfn.XLOOKUP($A810,Games!$A$2:$A$18,Games!$G$2:$G$18,"Missing game",0)</x:f>
        <x:v>MIN</x:v>
      </x:c>
      <x:c r="AM810" t="n">
        <x:f>_xlfn.XLOOKUP($A810,Games!$A$2:$A$18,Games!$H$2:$H$18,"Missing game",0)</x:f>
        <x:v>21</x:v>
      </x:c>
      <x:c r="AN810" t="str">
        <x:f>_xlfn.XLOOKUP($A810,Games!$A$2:$A$18,Games!$I$2:$I$18,"Missing game",0)</x:f>
        <x:v>CLE</x:v>
      </x:c>
      <x:c r="AO810" t="n">
        <x:f>_xlfn.XLOOKUP($A810,Games!$A$2:$A$18,Games!$J$2:$J$18,"Missing game",0)</x:f>
        <x:v>17</x:v>
      </x:c>
      <x:c r="AP810" t="n">
        <x:f>_xlfn.XLOOKUP($A810,Games!$A$2:$A$18,Games!$K$2:$K$18,"Missing game",0)</x:f>
        <x:v>-4</x:v>
      </x:c>
      <x:c r="AQ810" t="n">
        <x:f>_xlfn.XLOOKUP($A810,Games!$A$2:$A$18,Games!$L$2:$L$18,"Missing game",0)</x:f>
        <x:v>38</x:v>
      </x:c>
      <x:c r="AR810" t="n">
        <x:f>_xlfn.XLOOKUP($A810,Games!$A$2:$A$18,Games!$M$2:$M$18,"Missing game",0)</x:f>
        <x:v>0</x:v>
      </x:c>
      <x:c r="AS810" t="str">
        <x:f>_xlfn.XLOOKUP($A810,Games!$A$2:$A$18,Games!$N$2:$N$18,"Missing game",0)</x:f>
        <x:v>outdoors</x:v>
      </x:c>
      <x:c r="AT810" t="str">
        <x:f>_xlfn.XLOOKUP($A810,Games!$A$2:$A$18,Games!$O$2:$O$18,"Missing game",0)</x:f>
        <x:v>grass</x:v>
      </x:c>
      <x:c r="AU810" t="n">
        <x:f>_xlfn.XLOOKUP($A810,Games!$A$2:$A$18,Games!$P$2:$P$18,"Missing game",0)</x:f>
        <x:v>61</x:v>
      </x:c>
      <x:c r="AV810" t="n">
        <x:f>_xlfn.XLOOKUP($A810,Games!$A$2:$A$18,Games!$Q$2:$Q$18,"Missing game",0)</x:f>
        <x:v>14</x:v>
      </x:c>
      <x:c r="AW810" t="str">
        <x:f>_xlfn.XLOOKUP($A810,Games!$A$2:$A$18,Games!$R$2:$R$18,"Missing game",0)</x:f>
        <x:v>FirstEnergy Stadium</x:v>
      </x:c>
    </x:row>
    <x:row r="811">
      <x:c r="A811" t="str">
        <x:v>2025_05_MIN_CLE</x:v>
      </x:c>
      <x:c r="B811" t="n">
        <x:v>3536</x:v>
      </x:c>
      <x:c r="C811" t="n">
        <x:v>4</x:v>
      </x:c>
      <x:c r="D811" t="str">
        <x:v>11:47</x:v>
      </x:c>
      <x:c r="E811" t="n">
        <x:v>3</x:v>
      </x:c>
      <x:c r="F811" t="n">
        <x:v>10</x:v>
      </x:c>
      <x:c r="G811" t="str">
        <x:v>MIN</x:v>
      </x:c>
      <x:c r="H811" t="str">
        <x:v>CLE</x:v>
      </x:c>
      <x:c r="I811" t="str">
        <x:v>MIN</x:v>
      </x:c>
      <x:c r="J811" t="n">
        <x:v>75</x:v>
      </x:c>
      <x:c r="K811" t="str">
        <x:v>(11:47) (Shotgun) 11-C.Wentz pass deep middle to 18-J.Jefferson to CLE 37 for 38 yards (33-R.Hickman).</x:v>
      </x:c>
      <x:c r="L811" t="str">
        <x:v>pass</x:v>
      </x:c>
      <x:c r="M811" t="n">
        <x:v>38</x:v>
      </x:c>
      <x:c r="N811" t="n">
        <x:v>1</x:v>
      </x:c>
      <x:c r="O811" t="n">
        <x:v>0</x:v>
      </x:c>
      <x:c r="P811" t="str">
        <x:v>deep</x:v>
      </x:c>
      <x:c r="Q811" t="str">
        <x:v>middle</x:v>
      </x:c>
      <x:c r="R811" t="n">
        <x:v>32</x:v>
      </x:c>
      <x:c r="S811" t="n">
        <x:v>6</x:v>
      </x:c>
      <x:c r="T811"/>
      <x:c r="U811"/>
      <x:c r="V811" t="n">
        <x:v>1</x:v>
      </x:c>
      <x:c r="W811" t="n">
        <x:v>1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/>
      <x:c r="AC811" t="n">
        <x:v>0</x:v>
      </x:c>
      <x:c r="AD811" t="n">
        <x:v>3.6686663803411648</x:v>
      </x:c>
      <x:c r="AE811" t="n">
        <x:v>1</x:v>
      </x:c>
      <x:c r="AF811" t="n">
        <x:v>0.18346449732780457</x:v>
      </x:c>
      <x:c r="AG811" t="n">
        <x:f>_xlfn.XLOOKUP($A811,Games!$A$2:$A$18,Games!$B$2:$B$18,"Missing game",0)</x:f>
        <x:v>2025</x:v>
      </x:c>
      <x:c r="AH811" t="str">
        <x:f>_xlfn.XLOOKUP($A811,Games!$A$2:$A$18,Games!$C$2:$C$18,"Missing game",0)</x:f>
        <x:v>REG</x:v>
      </x:c>
      <x:c r="AI811" t="n">
        <x:f>_xlfn.XLOOKUP($A811,Games!$A$2:$A$18,Games!$D$2:$D$18,"Missing game",0)</x:f>
        <x:v>5</x:v>
      </x:c>
      <x:c r="AJ811" s="1" t="n">
        <x:f>_xlfn.XLOOKUP($A811,Games!$A$2:$A$18,Games!$E$2:$E$18,"Missing game",0)</x:f>
        <x:v>45935</x:v>
      </x:c>
      <x:c r="AK811" t="str">
        <x:f>_xlfn.XLOOKUP($A811,Games!$A$2:$A$18,Games!$F$2:$F$18,"Missing game",0)</x:f>
        <x:v>Sunday</x:v>
      </x:c>
      <x:c r="AL811" t="str">
        <x:f>_xlfn.XLOOKUP($A811,Games!$A$2:$A$18,Games!$G$2:$G$18,"Missing game",0)</x:f>
        <x:v>MIN</x:v>
      </x:c>
      <x:c r="AM811" t="n">
        <x:f>_xlfn.XLOOKUP($A811,Games!$A$2:$A$18,Games!$H$2:$H$18,"Missing game",0)</x:f>
        <x:v>21</x:v>
      </x:c>
      <x:c r="AN811" t="str">
        <x:f>_xlfn.XLOOKUP($A811,Games!$A$2:$A$18,Games!$I$2:$I$18,"Missing game",0)</x:f>
        <x:v>CLE</x:v>
      </x:c>
      <x:c r="AO811" t="n">
        <x:f>_xlfn.XLOOKUP($A811,Games!$A$2:$A$18,Games!$J$2:$J$18,"Missing game",0)</x:f>
        <x:v>17</x:v>
      </x:c>
      <x:c r="AP811" t="n">
        <x:f>_xlfn.XLOOKUP($A811,Games!$A$2:$A$18,Games!$K$2:$K$18,"Missing game",0)</x:f>
        <x:v>-4</x:v>
      </x:c>
      <x:c r="AQ811" t="n">
        <x:f>_xlfn.XLOOKUP($A811,Games!$A$2:$A$18,Games!$L$2:$L$18,"Missing game",0)</x:f>
        <x:v>38</x:v>
      </x:c>
      <x:c r="AR811" t="n">
        <x:f>_xlfn.XLOOKUP($A811,Games!$A$2:$A$18,Games!$M$2:$M$18,"Missing game",0)</x:f>
        <x:v>0</x:v>
      </x:c>
      <x:c r="AS811" t="str">
        <x:f>_xlfn.XLOOKUP($A811,Games!$A$2:$A$18,Games!$N$2:$N$18,"Missing game",0)</x:f>
        <x:v>outdoors</x:v>
      </x:c>
      <x:c r="AT811" t="str">
        <x:f>_xlfn.XLOOKUP($A811,Games!$A$2:$A$18,Games!$O$2:$O$18,"Missing game",0)</x:f>
        <x:v>grass</x:v>
      </x:c>
      <x:c r="AU811" t="n">
        <x:f>_xlfn.XLOOKUP($A811,Games!$A$2:$A$18,Games!$P$2:$P$18,"Missing game",0)</x:f>
        <x:v>61</x:v>
      </x:c>
      <x:c r="AV811" t="n">
        <x:f>_xlfn.XLOOKUP($A811,Games!$A$2:$A$18,Games!$Q$2:$Q$18,"Missing game",0)</x:f>
        <x:v>14</x:v>
      </x:c>
      <x:c r="AW811" t="str">
        <x:f>_xlfn.XLOOKUP($A811,Games!$A$2:$A$18,Games!$R$2:$R$18,"Missing game",0)</x:f>
        <x:v>FirstEnergy Stadium</x:v>
      </x:c>
    </x:row>
    <x:row r="812">
      <x:c r="A812" t="str">
        <x:v>2025_05_MIN_CLE</x:v>
      </x:c>
      <x:c r="B812" t="n">
        <x:v>3561</x:v>
      </x:c>
      <x:c r="C812" t="n">
        <x:v>4</x:v>
      </x:c>
      <x:c r="D812" t="str">
        <x:v>11:08</x:v>
      </x:c>
      <x:c r="E812" t="n">
        <x:v>1</x:v>
      </x:c>
      <x:c r="F812" t="n">
        <x:v>10</x:v>
      </x:c>
      <x:c r="G812" t="str">
        <x:v>MIN</x:v>
      </x:c>
      <x:c r="H812" t="str">
        <x:v>CLE</x:v>
      </x:c>
      <x:c r="I812" t="str">
        <x:v>CLE</x:v>
      </x:c>
      <x:c r="J812" t="n">
        <x:v>37</x:v>
      </x:c>
      <x:c r="K812" t="str">
        <x:v>(11:08) (Shotgun) 11-C.Wentz pass short left to 18-J.Jefferson to CLE 32 for 5 yards (30-D.Bush).</x:v>
      </x:c>
      <x:c r="L812" t="str">
        <x:v>pass</x:v>
      </x:c>
      <x:c r="M812" t="n">
        <x:v>5</x:v>
      </x:c>
      <x:c r="N812" t="n">
        <x:v>1</x:v>
      </x:c>
      <x:c r="O812" t="n">
        <x:v>0</x:v>
      </x:c>
      <x:c r="P812" t="str">
        <x:v>short</x:v>
      </x:c>
      <x:c r="Q812" t="str">
        <x:v>left</x:v>
      </x:c>
      <x:c r="R812" t="n">
        <x:v>-3</x:v>
      </x:c>
      <x:c r="S812" t="n">
        <x:v>8</x:v>
      </x:c>
      <x:c r="T812"/>
      <x:c r="U812"/>
      <x:c r="V812" t="n">
        <x:v>1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/>
      <x:c r="AC812" t="n">
        <x:v>0</x:v>
      </x:c>
      <x:c r="AD812" t="n">
        <x:v>0.16431816713884473</x:v>
      </x:c>
      <x:c r="AE812" t="n">
        <x:v>1</x:v>
      </x:c>
      <x:c r="AF812" t="n">
        <x:v>-0.012299537658691406</x:v>
      </x:c>
      <x:c r="AG812" t="n">
        <x:f>_xlfn.XLOOKUP($A812,Games!$A$2:$A$18,Games!$B$2:$B$18,"Missing game",0)</x:f>
        <x:v>2025</x:v>
      </x:c>
      <x:c r="AH812" t="str">
        <x:f>_xlfn.XLOOKUP($A812,Games!$A$2:$A$18,Games!$C$2:$C$18,"Missing game",0)</x:f>
        <x:v>REG</x:v>
      </x:c>
      <x:c r="AI812" t="n">
        <x:f>_xlfn.XLOOKUP($A812,Games!$A$2:$A$18,Games!$D$2:$D$18,"Missing game",0)</x:f>
        <x:v>5</x:v>
      </x:c>
      <x:c r="AJ812" s="1" t="n">
        <x:f>_xlfn.XLOOKUP($A812,Games!$A$2:$A$18,Games!$E$2:$E$18,"Missing game",0)</x:f>
        <x:v>45935</x:v>
      </x:c>
      <x:c r="AK812" t="str">
        <x:f>_xlfn.XLOOKUP($A812,Games!$A$2:$A$18,Games!$F$2:$F$18,"Missing game",0)</x:f>
        <x:v>Sunday</x:v>
      </x:c>
      <x:c r="AL812" t="str">
        <x:f>_xlfn.XLOOKUP($A812,Games!$A$2:$A$18,Games!$G$2:$G$18,"Missing game",0)</x:f>
        <x:v>MIN</x:v>
      </x:c>
      <x:c r="AM812" t="n">
        <x:f>_xlfn.XLOOKUP($A812,Games!$A$2:$A$18,Games!$H$2:$H$18,"Missing game",0)</x:f>
        <x:v>21</x:v>
      </x:c>
      <x:c r="AN812" t="str">
        <x:f>_xlfn.XLOOKUP($A812,Games!$A$2:$A$18,Games!$I$2:$I$18,"Missing game",0)</x:f>
        <x:v>CLE</x:v>
      </x:c>
      <x:c r="AO812" t="n">
        <x:f>_xlfn.XLOOKUP($A812,Games!$A$2:$A$18,Games!$J$2:$J$18,"Missing game",0)</x:f>
        <x:v>17</x:v>
      </x:c>
      <x:c r="AP812" t="n">
        <x:f>_xlfn.XLOOKUP($A812,Games!$A$2:$A$18,Games!$K$2:$K$18,"Missing game",0)</x:f>
        <x:v>-4</x:v>
      </x:c>
      <x:c r="AQ812" t="n">
        <x:f>_xlfn.XLOOKUP($A812,Games!$A$2:$A$18,Games!$L$2:$L$18,"Missing game",0)</x:f>
        <x:v>38</x:v>
      </x:c>
      <x:c r="AR812" t="n">
        <x:f>_xlfn.XLOOKUP($A812,Games!$A$2:$A$18,Games!$M$2:$M$18,"Missing game",0)</x:f>
        <x:v>0</x:v>
      </x:c>
      <x:c r="AS812" t="str">
        <x:f>_xlfn.XLOOKUP($A812,Games!$A$2:$A$18,Games!$N$2:$N$18,"Missing game",0)</x:f>
        <x:v>outdoors</x:v>
      </x:c>
      <x:c r="AT812" t="str">
        <x:f>_xlfn.XLOOKUP($A812,Games!$A$2:$A$18,Games!$O$2:$O$18,"Missing game",0)</x:f>
        <x:v>grass</x:v>
      </x:c>
      <x:c r="AU812" t="n">
        <x:f>_xlfn.XLOOKUP($A812,Games!$A$2:$A$18,Games!$P$2:$P$18,"Missing game",0)</x:f>
        <x:v>61</x:v>
      </x:c>
      <x:c r="AV812" t="n">
        <x:f>_xlfn.XLOOKUP($A812,Games!$A$2:$A$18,Games!$Q$2:$Q$18,"Missing game",0)</x:f>
        <x:v>14</x:v>
      </x:c>
      <x:c r="AW812" t="str">
        <x:f>_xlfn.XLOOKUP($A812,Games!$A$2:$A$18,Games!$R$2:$R$18,"Missing game",0)</x:f>
        <x:v>FirstEnergy Stadium</x:v>
      </x:c>
    </x:row>
    <x:row r="813">
      <x:c r="A813" t="str">
        <x:v>2025_05_MIN_CLE</x:v>
      </x:c>
      <x:c r="B813" t="n">
        <x:v>3586</x:v>
      </x:c>
      <x:c r="C813" t="n">
        <x:v>4</x:v>
      </x:c>
      <x:c r="D813" t="str">
        <x:v>10:30</x:v>
      </x:c>
      <x:c r="E813" t="n">
        <x:v>2</x:v>
      </x:c>
      <x:c r="F813" t="n">
        <x:v>5</x:v>
      </x:c>
      <x:c r="G813" t="str">
        <x:v>MIN</x:v>
      </x:c>
      <x:c r="H813" t="str">
        <x:v>CLE</x:v>
      </x:c>
      <x:c r="I813" t="str">
        <x:v>CLE</x:v>
      </x:c>
      <x:c r="J813" t="n">
        <x:v>32</x:v>
      </x:c>
      <x:c r="K813" t="str">
        <x:v>(10:30) 11-C.Wentz pass incomplete short left to 84-J.Oliver.</x:v>
      </x:c>
      <x:c r="L813" t="str">
        <x:v>pass</x:v>
      </x:c>
      <x:c r="M813" t="n">
        <x:v>0</x:v>
      </x:c>
      <x:c r="N813" t="n">
        <x:v>0</x:v>
      </x:c>
      <x:c r="O813" t="n">
        <x:v>0</x:v>
      </x:c>
      <x:c r="P813" t="str">
        <x:v>short</x:v>
      </x:c>
      <x:c r="Q813" t="str">
        <x:v>left</x:v>
      </x:c>
      <x:c r="R813" t="n">
        <x:v>-3</x:v>
      </x:c>
      <x:c r="S813"/>
      <x:c r="T813"/>
      <x:c r="U813"/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/>
      <x:c r="AC813" t="n">
        <x:v>0</x:v>
      </x:c>
      <x:c r="AD813" t="n">
        <x:v>-0.6874935681698844</x:v>
      </x:c>
      <x:c r="AE813" t="n">
        <x:v>0</x:v>
      </x:c>
      <x:c r="AF813" t="n">
        <x:v>-0.03245419263839722</x:v>
      </x:c>
      <x:c r="AG813" t="n">
        <x:f>_xlfn.XLOOKUP($A813,Games!$A$2:$A$18,Games!$B$2:$B$18,"Missing game",0)</x:f>
        <x:v>2025</x:v>
      </x:c>
      <x:c r="AH813" t="str">
        <x:f>_xlfn.XLOOKUP($A813,Games!$A$2:$A$18,Games!$C$2:$C$18,"Missing game",0)</x:f>
        <x:v>REG</x:v>
      </x:c>
      <x:c r="AI813" t="n">
        <x:f>_xlfn.XLOOKUP($A813,Games!$A$2:$A$18,Games!$D$2:$D$18,"Missing game",0)</x:f>
        <x:v>5</x:v>
      </x:c>
      <x:c r="AJ813" s="1" t="n">
        <x:f>_xlfn.XLOOKUP($A813,Games!$A$2:$A$18,Games!$E$2:$E$18,"Missing game",0)</x:f>
        <x:v>45935</x:v>
      </x:c>
      <x:c r="AK813" t="str">
        <x:f>_xlfn.XLOOKUP($A813,Games!$A$2:$A$18,Games!$F$2:$F$18,"Missing game",0)</x:f>
        <x:v>Sunday</x:v>
      </x:c>
      <x:c r="AL813" t="str">
        <x:f>_xlfn.XLOOKUP($A813,Games!$A$2:$A$18,Games!$G$2:$G$18,"Missing game",0)</x:f>
        <x:v>MIN</x:v>
      </x:c>
      <x:c r="AM813" t="n">
        <x:f>_xlfn.XLOOKUP($A813,Games!$A$2:$A$18,Games!$H$2:$H$18,"Missing game",0)</x:f>
        <x:v>21</x:v>
      </x:c>
      <x:c r="AN813" t="str">
        <x:f>_xlfn.XLOOKUP($A813,Games!$A$2:$A$18,Games!$I$2:$I$18,"Missing game",0)</x:f>
        <x:v>CLE</x:v>
      </x:c>
      <x:c r="AO813" t="n">
        <x:f>_xlfn.XLOOKUP($A813,Games!$A$2:$A$18,Games!$J$2:$J$18,"Missing game",0)</x:f>
        <x:v>17</x:v>
      </x:c>
      <x:c r="AP813" t="n">
        <x:f>_xlfn.XLOOKUP($A813,Games!$A$2:$A$18,Games!$K$2:$K$18,"Missing game",0)</x:f>
        <x:v>-4</x:v>
      </x:c>
      <x:c r="AQ813" t="n">
        <x:f>_xlfn.XLOOKUP($A813,Games!$A$2:$A$18,Games!$L$2:$L$18,"Missing game",0)</x:f>
        <x:v>38</x:v>
      </x:c>
      <x:c r="AR813" t="n">
        <x:f>_xlfn.XLOOKUP($A813,Games!$A$2:$A$18,Games!$M$2:$M$18,"Missing game",0)</x:f>
        <x:v>0</x:v>
      </x:c>
      <x:c r="AS813" t="str">
        <x:f>_xlfn.XLOOKUP($A813,Games!$A$2:$A$18,Games!$N$2:$N$18,"Missing game",0)</x:f>
        <x:v>outdoors</x:v>
      </x:c>
      <x:c r="AT813" t="str">
        <x:f>_xlfn.XLOOKUP($A813,Games!$A$2:$A$18,Games!$O$2:$O$18,"Missing game",0)</x:f>
        <x:v>grass</x:v>
      </x:c>
      <x:c r="AU813" t="n">
        <x:f>_xlfn.XLOOKUP($A813,Games!$A$2:$A$18,Games!$P$2:$P$18,"Missing game",0)</x:f>
        <x:v>61</x:v>
      </x:c>
      <x:c r="AV813" t="n">
        <x:f>_xlfn.XLOOKUP($A813,Games!$A$2:$A$18,Games!$Q$2:$Q$18,"Missing game",0)</x:f>
        <x:v>14</x:v>
      </x:c>
      <x:c r="AW813" t="str">
        <x:f>_xlfn.XLOOKUP($A813,Games!$A$2:$A$18,Games!$R$2:$R$18,"Missing game",0)</x:f>
        <x:v>FirstEnergy Stadium</x:v>
      </x:c>
    </x:row>
    <x:row r="814">
      <x:c r="A814" t="str">
        <x:v>2025_05_MIN_CLE</x:v>
      </x:c>
      <x:c r="B814" t="n">
        <x:v>3609</x:v>
      </x:c>
      <x:c r="C814" t="n">
        <x:v>4</x:v>
      </x:c>
      <x:c r="D814" t="str">
        <x:v>10:25</x:v>
      </x:c>
      <x:c r="E814" t="n">
        <x:v>3</x:v>
      </x:c>
      <x:c r="F814" t="n">
        <x:v>5</x:v>
      </x:c>
      <x:c r="G814" t="str">
        <x:v>MIN</x:v>
      </x:c>
      <x:c r="H814" t="str">
        <x:v>CLE</x:v>
      </x:c>
      <x:c r="I814" t="str">
        <x:v>CLE</x:v>
      </x:c>
      <x:c r="J814" t="n">
        <x:v>32</x:v>
      </x:c>
      <x:c r="K814" t="str">
        <x:v>(10:25) (Shotgun) 11-C.Wentz sacked at CLE 33 for -1 yards (96-M.Collins).</x:v>
      </x:c>
      <x:c r="L814" t="str">
        <x:v>pass</x:v>
      </x:c>
      <x:c r="M814" t="n">
        <x:v>-1</x:v>
      </x:c>
      <x:c r="N814" t="n">
        <x:v>1</x:v>
      </x:c>
      <x:c r="O814" t="n">
        <x:v>0</x:v>
      </x:c>
      <x:c r="P814"/>
      <x:c r="Q814"/>
      <x:c r="R814"/>
      <x:c r="S814"/>
      <x:c r="T814"/>
      <x:c r="U814"/>
      <x:c r="V814" t="n">
        <x:v>0</x:v>
      </x:c>
      <x:c r="W814" t="n">
        <x:v>0</x:v>
      </x:c>
      <x:c r="X814" t="n">
        <x:v>1</x:v>
      </x:c>
      <x:c r="Y814" t="n">
        <x:v>0</x:v>
      </x:c>
      <x:c r="Z814" t="n">
        <x:v>0</x:v>
      </x:c>
      <x:c r="AA814" t="n">
        <x:v>0</x:v>
      </x:c>
      <x:c r="AB814"/>
      <x:c r="AC814" t="n">
        <x:v>0</x:v>
      </x:c>
      <x:c r="AD814" t="n">
        <x:v>-1.7066750623232751</x:v>
      </x:c>
      <x:c r="AE814" t="n">
        <x:v>0</x:v>
      </x:c>
      <x:c r="AF814" t="n">
        <x:v>-0.06935542821884155</x:v>
      </x:c>
      <x:c r="AG814" t="n">
        <x:f>_xlfn.XLOOKUP($A814,Games!$A$2:$A$18,Games!$B$2:$B$18,"Missing game",0)</x:f>
        <x:v>2025</x:v>
      </x:c>
      <x:c r="AH814" t="str">
        <x:f>_xlfn.XLOOKUP($A814,Games!$A$2:$A$18,Games!$C$2:$C$18,"Missing game",0)</x:f>
        <x:v>REG</x:v>
      </x:c>
      <x:c r="AI814" t="n">
        <x:f>_xlfn.XLOOKUP($A814,Games!$A$2:$A$18,Games!$D$2:$D$18,"Missing game",0)</x:f>
        <x:v>5</x:v>
      </x:c>
      <x:c r="AJ814" s="1" t="n">
        <x:f>_xlfn.XLOOKUP($A814,Games!$A$2:$A$18,Games!$E$2:$E$18,"Missing game",0)</x:f>
        <x:v>45935</x:v>
      </x:c>
      <x:c r="AK814" t="str">
        <x:f>_xlfn.XLOOKUP($A814,Games!$A$2:$A$18,Games!$F$2:$F$18,"Missing game",0)</x:f>
        <x:v>Sunday</x:v>
      </x:c>
      <x:c r="AL814" t="str">
        <x:f>_xlfn.XLOOKUP($A814,Games!$A$2:$A$18,Games!$G$2:$G$18,"Missing game",0)</x:f>
        <x:v>MIN</x:v>
      </x:c>
      <x:c r="AM814" t="n">
        <x:f>_xlfn.XLOOKUP($A814,Games!$A$2:$A$18,Games!$H$2:$H$18,"Missing game",0)</x:f>
        <x:v>21</x:v>
      </x:c>
      <x:c r="AN814" t="str">
        <x:f>_xlfn.XLOOKUP($A814,Games!$A$2:$A$18,Games!$I$2:$I$18,"Missing game",0)</x:f>
        <x:v>CLE</x:v>
      </x:c>
      <x:c r="AO814" t="n">
        <x:f>_xlfn.XLOOKUP($A814,Games!$A$2:$A$18,Games!$J$2:$J$18,"Missing game",0)</x:f>
        <x:v>17</x:v>
      </x:c>
      <x:c r="AP814" t="n">
        <x:f>_xlfn.XLOOKUP($A814,Games!$A$2:$A$18,Games!$K$2:$K$18,"Missing game",0)</x:f>
        <x:v>-4</x:v>
      </x:c>
      <x:c r="AQ814" t="n">
        <x:f>_xlfn.XLOOKUP($A814,Games!$A$2:$A$18,Games!$L$2:$L$18,"Missing game",0)</x:f>
        <x:v>38</x:v>
      </x:c>
      <x:c r="AR814" t="n">
        <x:f>_xlfn.XLOOKUP($A814,Games!$A$2:$A$18,Games!$M$2:$M$18,"Missing game",0)</x:f>
        <x:v>0</x:v>
      </x:c>
      <x:c r="AS814" t="str">
        <x:f>_xlfn.XLOOKUP($A814,Games!$A$2:$A$18,Games!$N$2:$N$18,"Missing game",0)</x:f>
        <x:v>outdoors</x:v>
      </x:c>
      <x:c r="AT814" t="str">
        <x:f>_xlfn.XLOOKUP($A814,Games!$A$2:$A$18,Games!$O$2:$O$18,"Missing game",0)</x:f>
        <x:v>grass</x:v>
      </x:c>
      <x:c r="AU814" t="n">
        <x:f>_xlfn.XLOOKUP($A814,Games!$A$2:$A$18,Games!$P$2:$P$18,"Missing game",0)</x:f>
        <x:v>61</x:v>
      </x:c>
      <x:c r="AV814" t="n">
        <x:f>_xlfn.XLOOKUP($A814,Games!$A$2:$A$18,Games!$Q$2:$Q$18,"Missing game",0)</x:f>
        <x:v>14</x:v>
      </x:c>
      <x:c r="AW814" t="str">
        <x:f>_xlfn.XLOOKUP($A814,Games!$A$2:$A$18,Games!$R$2:$R$18,"Missing game",0)</x:f>
        <x:v>FirstEnergy Stadium</x:v>
      </x:c>
    </x:row>
    <x:row r="815">
      <x:c r="A815" t="str">
        <x:v>2025_05_MIN_CLE</x:v>
      </x:c>
      <x:c r="B815" t="n">
        <x:v>3629</x:v>
      </x:c>
      <x:c r="C815" t="n">
        <x:v>4</x:v>
      </x:c>
      <x:c r="D815" t="str">
        <x:v>09:46</x:v>
      </x:c>
      <x:c r="E815" t="n">
        <x:v>4</x:v>
      </x:c>
      <x:c r="F815" t="n">
        <x:v>6</x:v>
      </x:c>
      <x:c r="G815" t="str">
        <x:v>MIN</x:v>
      </x:c>
      <x:c r="H815" t="str">
        <x:v>CLE</x:v>
      </x:c>
      <x:c r="I815" t="str">
        <x:v>CLE</x:v>
      </x:c>
      <x:c r="J815" t="n">
        <x:v>33</x:v>
      </x:c>
      <x:c r="K815" t="str">
        <x:v>(9:46) 16-W.Reichard 51 yard field goal is No Good, Wide Right, Center-42-A.DePaola, Holder-17-R.Wright.</x:v>
      </x:c>
      <x:c r="L815" t="str">
        <x:v>field_goal</x:v>
      </x:c>
      <x:c r="M815" t="n">
        <x:v>0</x:v>
      </x:c>
      <x:c r="N815" t="n">
        <x:v>0</x:v>
      </x:c>
      <x:c r="O815" t="n">
        <x:v>0</x:v>
      </x:c>
      <x:c r="P815"/>
      <x:c r="Q815"/>
      <x:c r="R815"/>
      <x:c r="S815"/>
      <x:c r="T815"/>
      <x:c r="U815"/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/>
      <x:c r="AC815" t="n">
        <x:v>0</x:v>
      </x:c>
      <x:c r="AD815" t="n">
        <x:v>-3.1504158532299966</x:v>
      </x:c>
      <x:c r="AE815" t="n">
        <x:v>0</x:v>
      </x:c>
      <x:c r="AF815" t="n">
        <x:v>-0.15236765146255493</x:v>
      </x:c>
      <x:c r="AG815" t="n">
        <x:f>_xlfn.XLOOKUP($A815,Games!$A$2:$A$18,Games!$B$2:$B$18,"Missing game",0)</x:f>
        <x:v>2025</x:v>
      </x:c>
      <x:c r="AH815" t="str">
        <x:f>_xlfn.XLOOKUP($A815,Games!$A$2:$A$18,Games!$C$2:$C$18,"Missing game",0)</x:f>
        <x:v>REG</x:v>
      </x:c>
      <x:c r="AI815" t="n">
        <x:f>_xlfn.XLOOKUP($A815,Games!$A$2:$A$18,Games!$D$2:$D$18,"Missing game",0)</x:f>
        <x:v>5</x:v>
      </x:c>
      <x:c r="AJ815" s="1" t="n">
        <x:f>_xlfn.XLOOKUP($A815,Games!$A$2:$A$18,Games!$E$2:$E$18,"Missing game",0)</x:f>
        <x:v>45935</x:v>
      </x:c>
      <x:c r="AK815" t="str">
        <x:f>_xlfn.XLOOKUP($A815,Games!$A$2:$A$18,Games!$F$2:$F$18,"Missing game",0)</x:f>
        <x:v>Sunday</x:v>
      </x:c>
      <x:c r="AL815" t="str">
        <x:f>_xlfn.XLOOKUP($A815,Games!$A$2:$A$18,Games!$G$2:$G$18,"Missing game",0)</x:f>
        <x:v>MIN</x:v>
      </x:c>
      <x:c r="AM815" t="n">
        <x:f>_xlfn.XLOOKUP($A815,Games!$A$2:$A$18,Games!$H$2:$H$18,"Missing game",0)</x:f>
        <x:v>21</x:v>
      </x:c>
      <x:c r="AN815" t="str">
        <x:f>_xlfn.XLOOKUP($A815,Games!$A$2:$A$18,Games!$I$2:$I$18,"Missing game",0)</x:f>
        <x:v>CLE</x:v>
      </x:c>
      <x:c r="AO815" t="n">
        <x:f>_xlfn.XLOOKUP($A815,Games!$A$2:$A$18,Games!$J$2:$J$18,"Missing game",0)</x:f>
        <x:v>17</x:v>
      </x:c>
      <x:c r="AP815" t="n">
        <x:f>_xlfn.XLOOKUP($A815,Games!$A$2:$A$18,Games!$K$2:$K$18,"Missing game",0)</x:f>
        <x:v>-4</x:v>
      </x:c>
      <x:c r="AQ815" t="n">
        <x:f>_xlfn.XLOOKUP($A815,Games!$A$2:$A$18,Games!$L$2:$L$18,"Missing game",0)</x:f>
        <x:v>38</x:v>
      </x:c>
      <x:c r="AR815" t="n">
        <x:f>_xlfn.XLOOKUP($A815,Games!$A$2:$A$18,Games!$M$2:$M$18,"Missing game",0)</x:f>
        <x:v>0</x:v>
      </x:c>
      <x:c r="AS815" t="str">
        <x:f>_xlfn.XLOOKUP($A815,Games!$A$2:$A$18,Games!$N$2:$N$18,"Missing game",0)</x:f>
        <x:v>outdoors</x:v>
      </x:c>
      <x:c r="AT815" t="str">
        <x:f>_xlfn.XLOOKUP($A815,Games!$A$2:$A$18,Games!$O$2:$O$18,"Missing game",0)</x:f>
        <x:v>grass</x:v>
      </x:c>
      <x:c r="AU815" t="n">
        <x:f>_xlfn.XLOOKUP($A815,Games!$A$2:$A$18,Games!$P$2:$P$18,"Missing game",0)</x:f>
        <x:v>61</x:v>
      </x:c>
      <x:c r="AV815" t="n">
        <x:f>_xlfn.XLOOKUP($A815,Games!$A$2:$A$18,Games!$Q$2:$Q$18,"Missing game",0)</x:f>
        <x:v>14</x:v>
      </x:c>
      <x:c r="AW815" t="str">
        <x:f>_xlfn.XLOOKUP($A815,Games!$A$2:$A$18,Games!$R$2:$R$18,"Missing game",0)</x:f>
        <x:v>FirstEnergy Stadium</x:v>
      </x:c>
    </x:row>
    <x:row r="816">
      <x:c r="A816" t="str">
        <x:v>2025_05_MIN_CLE</x:v>
      </x:c>
      <x:c r="B816" t="n">
        <x:v>3650</x:v>
      </x:c>
      <x:c r="C816" t="n">
        <x:v>4</x:v>
      </x:c>
      <x:c r="D816" t="str">
        <x:v>09:41</x:v>
      </x:c>
      <x:c r="E816" t="n">
        <x:v>1</x:v>
      </x:c>
      <x:c r="F816" t="n">
        <x:v>10</x:v>
      </x:c>
      <x:c r="G816" t="str">
        <x:v>CLE</x:v>
      </x:c>
      <x:c r="H816" t="str">
        <x:v>MIN</x:v>
      </x:c>
      <x:c r="I816" t="str">
        <x:v>CLE</x:v>
      </x:c>
      <x:c r="J816" t="n">
        <x:v>59</x:v>
      </x:c>
      <x:c r="K816" t="str">
        <x:v>(9:41) 10-Q.Judkins right tackle to CLE 40 for -1 yards (97-J.Hargrave, 0-I.Pace). PENALTY on CLE-72-K.Leveston, Offensive Holding, 10 yards, enforced at CLE 41 - No Play.</x:v>
      </x:c>
      <x:c r="L816" t="str">
        <x:v>no_play</x:v>
      </x:c>
      <x:c r="M816" t="n">
        <x:v>0</x:v>
      </x:c>
      <x:c r="N816" t="n">
        <x:v>0</x:v>
      </x:c>
      <x:c r="O816" t="n">
        <x:v>0</x:v>
      </x:c>
      <x:c r="P816"/>
      <x:c r="Q816"/>
      <x:c r="R816"/>
      <x:c r="S816"/>
      <x:c r="T816"/>
      <x:c r="U816"/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1</x:v>
      </x:c>
      <x:c r="AB816" t="n">
        <x:v>10</x:v>
      </x:c>
      <x:c r="AC816" t="n">
        <x:v>0</x:v>
      </x:c>
      <x:c r="AD816" t="n">
        <x:v>-0.9361136257648468</x:v>
      </x:c>
      <x:c r="AE816" t="n">
        <x:v>0</x:v>
      </x:c>
      <x:c r="AF816" t="n">
        <x:v>-0.04236304759979248</x:v>
      </x:c>
      <x:c r="AG816" t="n">
        <x:f>_xlfn.XLOOKUP($A816,Games!$A$2:$A$18,Games!$B$2:$B$18,"Missing game",0)</x:f>
        <x:v>2025</x:v>
      </x:c>
      <x:c r="AH816" t="str">
        <x:f>_xlfn.XLOOKUP($A816,Games!$A$2:$A$18,Games!$C$2:$C$18,"Missing game",0)</x:f>
        <x:v>REG</x:v>
      </x:c>
      <x:c r="AI816" t="n">
        <x:f>_xlfn.XLOOKUP($A816,Games!$A$2:$A$18,Games!$D$2:$D$18,"Missing game",0)</x:f>
        <x:v>5</x:v>
      </x:c>
      <x:c r="AJ816" s="1" t="n">
        <x:f>_xlfn.XLOOKUP($A816,Games!$A$2:$A$18,Games!$E$2:$E$18,"Missing game",0)</x:f>
        <x:v>45935</x:v>
      </x:c>
      <x:c r="AK816" t="str">
        <x:f>_xlfn.XLOOKUP($A816,Games!$A$2:$A$18,Games!$F$2:$F$18,"Missing game",0)</x:f>
        <x:v>Sunday</x:v>
      </x:c>
      <x:c r="AL816" t="str">
        <x:f>_xlfn.XLOOKUP($A816,Games!$A$2:$A$18,Games!$G$2:$G$18,"Missing game",0)</x:f>
        <x:v>MIN</x:v>
      </x:c>
      <x:c r="AM816" t="n">
        <x:f>_xlfn.XLOOKUP($A816,Games!$A$2:$A$18,Games!$H$2:$H$18,"Missing game",0)</x:f>
        <x:v>21</x:v>
      </x:c>
      <x:c r="AN816" t="str">
        <x:f>_xlfn.XLOOKUP($A816,Games!$A$2:$A$18,Games!$I$2:$I$18,"Missing game",0)</x:f>
        <x:v>CLE</x:v>
      </x:c>
      <x:c r="AO816" t="n">
        <x:f>_xlfn.XLOOKUP($A816,Games!$A$2:$A$18,Games!$J$2:$J$18,"Missing game",0)</x:f>
        <x:v>17</x:v>
      </x:c>
      <x:c r="AP816" t="n">
        <x:f>_xlfn.XLOOKUP($A816,Games!$A$2:$A$18,Games!$K$2:$K$18,"Missing game",0)</x:f>
        <x:v>-4</x:v>
      </x:c>
      <x:c r="AQ816" t="n">
        <x:f>_xlfn.XLOOKUP($A816,Games!$A$2:$A$18,Games!$L$2:$L$18,"Missing game",0)</x:f>
        <x:v>38</x:v>
      </x:c>
      <x:c r="AR816" t="n">
        <x:f>_xlfn.XLOOKUP($A816,Games!$A$2:$A$18,Games!$M$2:$M$18,"Missing game",0)</x:f>
        <x:v>0</x:v>
      </x:c>
      <x:c r="AS816" t="str">
        <x:f>_xlfn.XLOOKUP($A816,Games!$A$2:$A$18,Games!$N$2:$N$18,"Missing game",0)</x:f>
        <x:v>outdoors</x:v>
      </x:c>
      <x:c r="AT816" t="str">
        <x:f>_xlfn.XLOOKUP($A816,Games!$A$2:$A$18,Games!$O$2:$O$18,"Missing game",0)</x:f>
        <x:v>grass</x:v>
      </x:c>
      <x:c r="AU816" t="n">
        <x:f>_xlfn.XLOOKUP($A816,Games!$A$2:$A$18,Games!$P$2:$P$18,"Missing game",0)</x:f>
        <x:v>61</x:v>
      </x:c>
      <x:c r="AV816" t="n">
        <x:f>_xlfn.XLOOKUP($A816,Games!$A$2:$A$18,Games!$Q$2:$Q$18,"Missing game",0)</x:f>
        <x:v>14</x:v>
      </x:c>
      <x:c r="AW816" t="str">
        <x:f>_xlfn.XLOOKUP($A816,Games!$A$2:$A$18,Games!$R$2:$R$18,"Missing game",0)</x:f>
        <x:v>FirstEnergy Stadium</x:v>
      </x:c>
    </x:row>
    <x:row r="817">
      <x:c r="A817" t="str">
        <x:v>2025_05_MIN_CLE</x:v>
      </x:c>
      <x:c r="B817" t="n">
        <x:v>3690</x:v>
      </x:c>
      <x:c r="C817" t="n">
        <x:v>4</x:v>
      </x:c>
      <x:c r="D817" t="str">
        <x:v>09:14</x:v>
      </x:c>
      <x:c r="E817" t="n">
        <x:v>1</x:v>
      </x:c>
      <x:c r="F817" t="n">
        <x:v>20</x:v>
      </x:c>
      <x:c r="G817" t="str">
        <x:v>CLE</x:v>
      </x:c>
      <x:c r="H817" t="str">
        <x:v>MIN</x:v>
      </x:c>
      <x:c r="I817" t="str">
        <x:v>CLE</x:v>
      </x:c>
      <x:c r="J817" t="n">
        <x:v>69</x:v>
      </x:c>
      <x:c r="K817" t="str">
        <x:v>(9:14) (Shotgun) 8-D.Gabriel pass short middle to 85-D.Njoku to CLE 42 for 11 yards (22-H.Smith; 15-D.Turner).</x:v>
      </x:c>
      <x:c r="L817" t="str">
        <x:v>pass</x:v>
      </x:c>
      <x:c r="M817" t="n">
        <x:v>11</x:v>
      </x:c>
      <x:c r="N817" t="n">
        <x:v>1</x:v>
      </x:c>
      <x:c r="O817" t="n">
        <x:v>0</x:v>
      </x:c>
      <x:c r="P817" t="str">
        <x:v>short</x:v>
      </x:c>
      <x:c r="Q817" t="str">
        <x:v>middle</x:v>
      </x:c>
      <x:c r="R817" t="n">
        <x:v>5</x:v>
      </x:c>
      <x:c r="S817" t="n">
        <x:v>6</x:v>
      </x:c>
      <x:c r="T817"/>
      <x:c r="U817"/>
      <x:c r="V817" t="n">
        <x:v>1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/>
      <x:c r="AC817" t="n">
        <x:v>0</x:v>
      </x:c>
      <x:c r="AD817" t="n">
        <x:v>0.46582109294831753</x:v>
      </x:c>
      <x:c r="AE817" t="n">
        <x:v>1</x:v>
      </x:c>
      <x:c r="AF817" t="n">
        <x:v>0.023601770401000977</x:v>
      </x:c>
      <x:c r="AG817" t="n">
        <x:f>_xlfn.XLOOKUP($A817,Games!$A$2:$A$18,Games!$B$2:$B$18,"Missing game",0)</x:f>
        <x:v>2025</x:v>
      </x:c>
      <x:c r="AH817" t="str">
        <x:f>_xlfn.XLOOKUP($A817,Games!$A$2:$A$18,Games!$C$2:$C$18,"Missing game",0)</x:f>
        <x:v>REG</x:v>
      </x:c>
      <x:c r="AI817" t="n">
        <x:f>_xlfn.XLOOKUP($A817,Games!$A$2:$A$18,Games!$D$2:$D$18,"Missing game",0)</x:f>
        <x:v>5</x:v>
      </x:c>
      <x:c r="AJ817" s="1" t="n">
        <x:f>_xlfn.XLOOKUP($A817,Games!$A$2:$A$18,Games!$E$2:$E$18,"Missing game",0)</x:f>
        <x:v>45935</x:v>
      </x:c>
      <x:c r="AK817" t="str">
        <x:f>_xlfn.XLOOKUP($A817,Games!$A$2:$A$18,Games!$F$2:$F$18,"Missing game",0)</x:f>
        <x:v>Sunday</x:v>
      </x:c>
      <x:c r="AL817" t="str">
        <x:f>_xlfn.XLOOKUP($A817,Games!$A$2:$A$18,Games!$G$2:$G$18,"Missing game",0)</x:f>
        <x:v>MIN</x:v>
      </x:c>
      <x:c r="AM817" t="n">
        <x:f>_xlfn.XLOOKUP($A817,Games!$A$2:$A$18,Games!$H$2:$H$18,"Missing game",0)</x:f>
        <x:v>21</x:v>
      </x:c>
      <x:c r="AN817" t="str">
        <x:f>_xlfn.XLOOKUP($A817,Games!$A$2:$A$18,Games!$I$2:$I$18,"Missing game",0)</x:f>
        <x:v>CLE</x:v>
      </x:c>
      <x:c r="AO817" t="n">
        <x:f>_xlfn.XLOOKUP($A817,Games!$A$2:$A$18,Games!$J$2:$J$18,"Missing game",0)</x:f>
        <x:v>17</x:v>
      </x:c>
      <x:c r="AP817" t="n">
        <x:f>_xlfn.XLOOKUP($A817,Games!$A$2:$A$18,Games!$K$2:$K$18,"Missing game",0)</x:f>
        <x:v>-4</x:v>
      </x:c>
      <x:c r="AQ817" t="n">
        <x:f>_xlfn.XLOOKUP($A817,Games!$A$2:$A$18,Games!$L$2:$L$18,"Missing game",0)</x:f>
        <x:v>38</x:v>
      </x:c>
      <x:c r="AR817" t="n">
        <x:f>_xlfn.XLOOKUP($A817,Games!$A$2:$A$18,Games!$M$2:$M$18,"Missing game",0)</x:f>
        <x:v>0</x:v>
      </x:c>
      <x:c r="AS817" t="str">
        <x:f>_xlfn.XLOOKUP($A817,Games!$A$2:$A$18,Games!$N$2:$N$18,"Missing game",0)</x:f>
        <x:v>outdoors</x:v>
      </x:c>
      <x:c r="AT817" t="str">
        <x:f>_xlfn.XLOOKUP($A817,Games!$A$2:$A$18,Games!$O$2:$O$18,"Missing game",0)</x:f>
        <x:v>grass</x:v>
      </x:c>
      <x:c r="AU817" t="n">
        <x:f>_xlfn.XLOOKUP($A817,Games!$A$2:$A$18,Games!$P$2:$P$18,"Missing game",0)</x:f>
        <x:v>61</x:v>
      </x:c>
      <x:c r="AV817" t="n">
        <x:f>_xlfn.XLOOKUP($A817,Games!$A$2:$A$18,Games!$Q$2:$Q$18,"Missing game",0)</x:f>
        <x:v>14</x:v>
      </x:c>
      <x:c r="AW817" t="str">
        <x:f>_xlfn.XLOOKUP($A817,Games!$A$2:$A$18,Games!$R$2:$R$18,"Missing game",0)</x:f>
        <x:v>FirstEnergy Stadium</x:v>
      </x:c>
    </x:row>
    <x:row r="818">
      <x:c r="A818" t="str">
        <x:v>2025_05_MIN_CLE</x:v>
      </x:c>
      <x:c r="B818" t="n">
        <x:v>3715</x:v>
      </x:c>
      <x:c r="C818" t="n">
        <x:v>4</x:v>
      </x:c>
      <x:c r="D818" t="str">
        <x:v>08:30</x:v>
      </x:c>
      <x:c r="E818" t="n">
        <x:v>2</x:v>
      </x:c>
      <x:c r="F818" t="n">
        <x:v>9</x:v>
      </x:c>
      <x:c r="G818" t="str">
        <x:v>CLE</x:v>
      </x:c>
      <x:c r="H818" t="str">
        <x:v>MIN</x:v>
      </x:c>
      <x:c r="I818" t="str">
        <x:v>CLE</x:v>
      </x:c>
      <x:c r="J818" t="n">
        <x:v>58</x:v>
      </x:c>
      <x:c r="K818" t="str">
        <x:v>(8:30) 10-Q.Judkins right end pushed ob at MIN 44 for 14 yards (2-I.Rodgers).</x:v>
      </x:c>
      <x:c r="L818" t="str">
        <x:v>run</x:v>
      </x:c>
      <x:c r="M818" t="n">
        <x:v>14</x:v>
      </x:c>
      <x:c r="N818" t="n">
        <x:v>0</x:v>
      </x:c>
      <x:c r="O818" t="n">
        <x:v>0</x:v>
      </x:c>
      <x:c r="P818"/>
      <x:c r="Q818"/>
      <x:c r="R818"/>
      <x:c r="S818"/>
      <x:c r="T818" t="str">
        <x:v>right</x:v>
      </x:c>
      <x:c r="U818" t="str">
        <x:v>end</x:v>
      </x:c>
      <x:c r="V818" t="n">
        <x:v>0</x:v>
      </x:c>
      <x:c r="W818" t="n">
        <x:v>1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/>
      <x:c r="AC818" t="n">
        <x:v>0</x:v>
      </x:c>
      <x:c r="AD818" t="n">
        <x:v>1.3885918378364295</x:v>
      </x:c>
      <x:c r="AE818" t="n">
        <x:v>1</x:v>
      </x:c>
      <x:c r="AF818" t="n">
        <x:v>0.0565219521522522</x:v>
      </x:c>
      <x:c r="AG818" t="n">
        <x:f>_xlfn.XLOOKUP($A818,Games!$A$2:$A$18,Games!$B$2:$B$18,"Missing game",0)</x:f>
        <x:v>2025</x:v>
      </x:c>
      <x:c r="AH818" t="str">
        <x:f>_xlfn.XLOOKUP($A818,Games!$A$2:$A$18,Games!$C$2:$C$18,"Missing game",0)</x:f>
        <x:v>REG</x:v>
      </x:c>
      <x:c r="AI818" t="n">
        <x:f>_xlfn.XLOOKUP($A818,Games!$A$2:$A$18,Games!$D$2:$D$18,"Missing game",0)</x:f>
        <x:v>5</x:v>
      </x:c>
      <x:c r="AJ818" s="1" t="n">
        <x:f>_xlfn.XLOOKUP($A818,Games!$A$2:$A$18,Games!$E$2:$E$18,"Missing game",0)</x:f>
        <x:v>45935</x:v>
      </x:c>
      <x:c r="AK818" t="str">
        <x:f>_xlfn.XLOOKUP($A818,Games!$A$2:$A$18,Games!$F$2:$F$18,"Missing game",0)</x:f>
        <x:v>Sunday</x:v>
      </x:c>
      <x:c r="AL818" t="str">
        <x:f>_xlfn.XLOOKUP($A818,Games!$A$2:$A$18,Games!$G$2:$G$18,"Missing game",0)</x:f>
        <x:v>MIN</x:v>
      </x:c>
      <x:c r="AM818" t="n">
        <x:f>_xlfn.XLOOKUP($A818,Games!$A$2:$A$18,Games!$H$2:$H$18,"Missing game",0)</x:f>
        <x:v>21</x:v>
      </x:c>
      <x:c r="AN818" t="str">
        <x:f>_xlfn.XLOOKUP($A818,Games!$A$2:$A$18,Games!$I$2:$I$18,"Missing game",0)</x:f>
        <x:v>CLE</x:v>
      </x:c>
      <x:c r="AO818" t="n">
        <x:f>_xlfn.XLOOKUP($A818,Games!$A$2:$A$18,Games!$J$2:$J$18,"Missing game",0)</x:f>
        <x:v>17</x:v>
      </x:c>
      <x:c r="AP818" t="n">
        <x:f>_xlfn.XLOOKUP($A818,Games!$A$2:$A$18,Games!$K$2:$K$18,"Missing game",0)</x:f>
        <x:v>-4</x:v>
      </x:c>
      <x:c r="AQ818" t="n">
        <x:f>_xlfn.XLOOKUP($A818,Games!$A$2:$A$18,Games!$L$2:$L$18,"Missing game",0)</x:f>
        <x:v>38</x:v>
      </x:c>
      <x:c r="AR818" t="n">
        <x:f>_xlfn.XLOOKUP($A818,Games!$A$2:$A$18,Games!$M$2:$M$18,"Missing game",0)</x:f>
        <x:v>0</x:v>
      </x:c>
      <x:c r="AS818" t="str">
        <x:f>_xlfn.XLOOKUP($A818,Games!$A$2:$A$18,Games!$N$2:$N$18,"Missing game",0)</x:f>
        <x:v>outdoors</x:v>
      </x:c>
      <x:c r="AT818" t="str">
        <x:f>_xlfn.XLOOKUP($A818,Games!$A$2:$A$18,Games!$O$2:$O$18,"Missing game",0)</x:f>
        <x:v>grass</x:v>
      </x:c>
      <x:c r="AU818" t="n">
        <x:f>_xlfn.XLOOKUP($A818,Games!$A$2:$A$18,Games!$P$2:$P$18,"Missing game",0)</x:f>
        <x:v>61</x:v>
      </x:c>
      <x:c r="AV818" t="n">
        <x:f>_xlfn.XLOOKUP($A818,Games!$A$2:$A$18,Games!$Q$2:$Q$18,"Missing game",0)</x:f>
        <x:v>14</x:v>
      </x:c>
      <x:c r="AW818" t="str">
        <x:f>_xlfn.XLOOKUP($A818,Games!$A$2:$A$18,Games!$R$2:$R$18,"Missing game",0)</x:f>
        <x:v>FirstEnergy Stadium</x:v>
      </x:c>
    </x:row>
    <x:row r="819">
      <x:c r="A819" t="str">
        <x:v>2025_05_MIN_CLE</x:v>
      </x:c>
      <x:c r="B819" t="n">
        <x:v>3742</x:v>
      </x:c>
      <x:c r="C819" t="n">
        <x:v>4</x:v>
      </x:c>
      <x:c r="D819" t="str">
        <x:v>07:52</x:v>
      </x:c>
      <x:c r="E819" t="n">
        <x:v>1</x:v>
      </x:c>
      <x:c r="F819" t="n">
        <x:v>10</x:v>
      </x:c>
      <x:c r="G819" t="str">
        <x:v>CLE</x:v>
      </x:c>
      <x:c r="H819" t="str">
        <x:v>MIN</x:v>
      </x:c>
      <x:c r="I819" t="str">
        <x:v>MIN</x:v>
      </x:c>
      <x:c r="J819" t="n">
        <x:v>44</x:v>
      </x:c>
      <x:c r="K819" t="str">
        <x:v>(7:52) 8-D.Gabriel pass incomplete short right to 85-D.Njoku.</x:v>
      </x:c>
      <x:c r="L819" t="str">
        <x:v>pass</x:v>
      </x:c>
      <x:c r="M819" t="n">
        <x:v>0</x:v>
      </x:c>
      <x:c r="N819" t="n">
        <x:v>0</x:v>
      </x:c>
      <x:c r="O819" t="n">
        <x:v>0</x:v>
      </x:c>
      <x:c r="P819" t="str">
        <x:v>short</x:v>
      </x:c>
      <x:c r="Q819" t="str">
        <x:v>right</x:v>
      </x:c>
      <x:c r="R819" t="n">
        <x:v>0</x:v>
      </x:c>
      <x:c r="S819"/>
      <x:c r="T819"/>
      <x:c r="U819"/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/>
      <x:c r="AC819" t="n">
        <x:v>0</x:v>
      </x:c>
      <x:c r="AD819" t="n">
        <x:v>-0.3784164432436228</x:v>
      </x:c>
      <x:c r="AE819" t="n">
        <x:v>0</x:v>
      </x:c>
      <x:c r="AF819" t="n">
        <x:v>-0.0161130428314209</x:v>
      </x:c>
      <x:c r="AG819" t="n">
        <x:f>_xlfn.XLOOKUP($A819,Games!$A$2:$A$18,Games!$B$2:$B$18,"Missing game",0)</x:f>
        <x:v>2025</x:v>
      </x:c>
      <x:c r="AH819" t="str">
        <x:f>_xlfn.XLOOKUP($A819,Games!$A$2:$A$18,Games!$C$2:$C$18,"Missing game",0)</x:f>
        <x:v>REG</x:v>
      </x:c>
      <x:c r="AI819" t="n">
        <x:f>_xlfn.XLOOKUP($A819,Games!$A$2:$A$18,Games!$D$2:$D$18,"Missing game",0)</x:f>
        <x:v>5</x:v>
      </x:c>
      <x:c r="AJ819" s="1" t="n">
        <x:f>_xlfn.XLOOKUP($A819,Games!$A$2:$A$18,Games!$E$2:$E$18,"Missing game",0)</x:f>
        <x:v>45935</x:v>
      </x:c>
      <x:c r="AK819" t="str">
        <x:f>_xlfn.XLOOKUP($A819,Games!$A$2:$A$18,Games!$F$2:$F$18,"Missing game",0)</x:f>
        <x:v>Sunday</x:v>
      </x:c>
      <x:c r="AL819" t="str">
        <x:f>_xlfn.XLOOKUP($A819,Games!$A$2:$A$18,Games!$G$2:$G$18,"Missing game",0)</x:f>
        <x:v>MIN</x:v>
      </x:c>
      <x:c r="AM819" t="n">
        <x:f>_xlfn.XLOOKUP($A819,Games!$A$2:$A$18,Games!$H$2:$H$18,"Missing game",0)</x:f>
        <x:v>21</x:v>
      </x:c>
      <x:c r="AN819" t="str">
        <x:f>_xlfn.XLOOKUP($A819,Games!$A$2:$A$18,Games!$I$2:$I$18,"Missing game",0)</x:f>
        <x:v>CLE</x:v>
      </x:c>
      <x:c r="AO819" t="n">
        <x:f>_xlfn.XLOOKUP($A819,Games!$A$2:$A$18,Games!$J$2:$J$18,"Missing game",0)</x:f>
        <x:v>17</x:v>
      </x:c>
      <x:c r="AP819" t="n">
        <x:f>_xlfn.XLOOKUP($A819,Games!$A$2:$A$18,Games!$K$2:$K$18,"Missing game",0)</x:f>
        <x:v>-4</x:v>
      </x:c>
      <x:c r="AQ819" t="n">
        <x:f>_xlfn.XLOOKUP($A819,Games!$A$2:$A$18,Games!$L$2:$L$18,"Missing game",0)</x:f>
        <x:v>38</x:v>
      </x:c>
      <x:c r="AR819" t="n">
        <x:f>_xlfn.XLOOKUP($A819,Games!$A$2:$A$18,Games!$M$2:$M$18,"Missing game",0)</x:f>
        <x:v>0</x:v>
      </x:c>
      <x:c r="AS819" t="str">
        <x:f>_xlfn.XLOOKUP($A819,Games!$A$2:$A$18,Games!$N$2:$N$18,"Missing game",0)</x:f>
        <x:v>outdoors</x:v>
      </x:c>
      <x:c r="AT819" t="str">
        <x:f>_xlfn.XLOOKUP($A819,Games!$A$2:$A$18,Games!$O$2:$O$18,"Missing game",0)</x:f>
        <x:v>grass</x:v>
      </x:c>
      <x:c r="AU819" t="n">
        <x:f>_xlfn.XLOOKUP($A819,Games!$A$2:$A$18,Games!$P$2:$P$18,"Missing game",0)</x:f>
        <x:v>61</x:v>
      </x:c>
      <x:c r="AV819" t="n">
        <x:f>_xlfn.XLOOKUP($A819,Games!$A$2:$A$18,Games!$Q$2:$Q$18,"Missing game",0)</x:f>
        <x:v>14</x:v>
      </x:c>
      <x:c r="AW819" t="str">
        <x:f>_xlfn.XLOOKUP($A819,Games!$A$2:$A$18,Games!$R$2:$R$18,"Missing game",0)</x:f>
        <x:v>FirstEnergy Stadium</x:v>
      </x:c>
    </x:row>
    <x:row r="820">
      <x:c r="A820" t="str">
        <x:v>2025_05_MIN_CLE</x:v>
      </x:c>
      <x:c r="B820" t="n">
        <x:v>3765</x:v>
      </x:c>
      <x:c r="C820" t="n">
        <x:v>4</x:v>
      </x:c>
      <x:c r="D820" t="str">
        <x:v>07:47</x:v>
      </x:c>
      <x:c r="E820" t="n">
        <x:v>2</x:v>
      </x:c>
      <x:c r="F820" t="n">
        <x:v>10</x:v>
      </x:c>
      <x:c r="G820" t="str">
        <x:v>CLE</x:v>
      </x:c>
      <x:c r="H820" t="str">
        <x:v>MIN</x:v>
      </x:c>
      <x:c r="I820" t="str">
        <x:v>MIN</x:v>
      </x:c>
      <x:c r="J820" t="n">
        <x:v>44</x:v>
      </x:c>
      <x:c r="K820" t="str">
        <x:v>(7:47) (Shotgun) 10-Q.Judkins up the middle to MIN 42 for 2 yards (50-L.Rodriguez; 15-D.Turner).</x:v>
      </x:c>
      <x:c r="L820" t="str">
        <x:v>run</x:v>
      </x:c>
      <x:c r="M820" t="n">
        <x:v>2</x:v>
      </x:c>
      <x:c r="N820" t="n">
        <x:v>1</x:v>
      </x:c>
      <x:c r="O820" t="n">
        <x:v>0</x:v>
      </x:c>
      <x:c r="P820"/>
      <x:c r="Q820"/>
      <x:c r="R820"/>
      <x:c r="S820"/>
      <x:c r="T820" t="str">
        <x:v>middle</x:v>
      </x:c>
      <x:c r="U820"/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/>
      <x:c r="AC820" t="n">
        <x:v>0</x:v>
      </x:c>
      <x:c r="AD820" t="n">
        <x:v>-0.7104275539750233</x:v>
      </x:c>
      <x:c r="AE820" t="n">
        <x:v>0</x:v>
      </x:c>
      <x:c r="AF820" t="n">
        <x:v>-0.02202826738357544</x:v>
      </x:c>
      <x:c r="AG820" t="n">
        <x:f>_xlfn.XLOOKUP($A820,Games!$A$2:$A$18,Games!$B$2:$B$18,"Missing game",0)</x:f>
        <x:v>2025</x:v>
      </x:c>
      <x:c r="AH820" t="str">
        <x:f>_xlfn.XLOOKUP($A820,Games!$A$2:$A$18,Games!$C$2:$C$18,"Missing game",0)</x:f>
        <x:v>REG</x:v>
      </x:c>
      <x:c r="AI820" t="n">
        <x:f>_xlfn.XLOOKUP($A820,Games!$A$2:$A$18,Games!$D$2:$D$18,"Missing game",0)</x:f>
        <x:v>5</x:v>
      </x:c>
      <x:c r="AJ820" s="1" t="n">
        <x:f>_xlfn.XLOOKUP($A820,Games!$A$2:$A$18,Games!$E$2:$E$18,"Missing game",0)</x:f>
        <x:v>45935</x:v>
      </x:c>
      <x:c r="AK820" t="str">
        <x:f>_xlfn.XLOOKUP($A820,Games!$A$2:$A$18,Games!$F$2:$F$18,"Missing game",0)</x:f>
        <x:v>Sunday</x:v>
      </x:c>
      <x:c r="AL820" t="str">
        <x:f>_xlfn.XLOOKUP($A820,Games!$A$2:$A$18,Games!$G$2:$G$18,"Missing game",0)</x:f>
        <x:v>MIN</x:v>
      </x:c>
      <x:c r="AM820" t="n">
        <x:f>_xlfn.XLOOKUP($A820,Games!$A$2:$A$18,Games!$H$2:$H$18,"Missing game",0)</x:f>
        <x:v>21</x:v>
      </x:c>
      <x:c r="AN820" t="str">
        <x:f>_xlfn.XLOOKUP($A820,Games!$A$2:$A$18,Games!$I$2:$I$18,"Missing game",0)</x:f>
        <x:v>CLE</x:v>
      </x:c>
      <x:c r="AO820" t="n">
        <x:f>_xlfn.XLOOKUP($A820,Games!$A$2:$A$18,Games!$J$2:$J$18,"Missing game",0)</x:f>
        <x:v>17</x:v>
      </x:c>
      <x:c r="AP820" t="n">
        <x:f>_xlfn.XLOOKUP($A820,Games!$A$2:$A$18,Games!$K$2:$K$18,"Missing game",0)</x:f>
        <x:v>-4</x:v>
      </x:c>
      <x:c r="AQ820" t="n">
        <x:f>_xlfn.XLOOKUP($A820,Games!$A$2:$A$18,Games!$L$2:$L$18,"Missing game",0)</x:f>
        <x:v>38</x:v>
      </x:c>
      <x:c r="AR820" t="n">
        <x:f>_xlfn.XLOOKUP($A820,Games!$A$2:$A$18,Games!$M$2:$M$18,"Missing game",0)</x:f>
        <x:v>0</x:v>
      </x:c>
      <x:c r="AS820" t="str">
        <x:f>_xlfn.XLOOKUP($A820,Games!$A$2:$A$18,Games!$N$2:$N$18,"Missing game",0)</x:f>
        <x:v>outdoors</x:v>
      </x:c>
      <x:c r="AT820" t="str">
        <x:f>_xlfn.XLOOKUP($A820,Games!$A$2:$A$18,Games!$O$2:$O$18,"Missing game",0)</x:f>
        <x:v>grass</x:v>
      </x:c>
      <x:c r="AU820" t="n">
        <x:f>_xlfn.XLOOKUP($A820,Games!$A$2:$A$18,Games!$P$2:$P$18,"Missing game",0)</x:f>
        <x:v>61</x:v>
      </x:c>
      <x:c r="AV820" t="n">
        <x:f>_xlfn.XLOOKUP($A820,Games!$A$2:$A$18,Games!$Q$2:$Q$18,"Missing game",0)</x:f>
        <x:v>14</x:v>
      </x:c>
      <x:c r="AW820" t="str">
        <x:f>_xlfn.XLOOKUP($A820,Games!$A$2:$A$18,Games!$R$2:$R$18,"Missing game",0)</x:f>
        <x:v>FirstEnergy Stadium</x:v>
      </x:c>
    </x:row>
    <x:row r="821">
      <x:c r="A821" t="str">
        <x:v>2025_05_MIN_CLE</x:v>
      </x:c>
      <x:c r="B821" t="n">
        <x:v>3787</x:v>
      </x:c>
      <x:c r="C821" t="n">
        <x:v>4</x:v>
      </x:c>
      <x:c r="D821" t="str">
        <x:v>07:07</x:v>
      </x:c>
      <x:c r="E821" t="n">
        <x:v>3</x:v>
      </x:c>
      <x:c r="F821" t="n">
        <x:v>8</x:v>
      </x:c>
      <x:c r="G821" t="str">
        <x:v>CLE</x:v>
      </x:c>
      <x:c r="H821" t="str">
        <x:v>MIN</x:v>
      </x:c>
      <x:c r="I821" t="str">
        <x:v>MIN</x:v>
      </x:c>
      <x:c r="J821" t="n">
        <x:v>42</x:v>
      </x:c>
      <x:c r="K821" t="str">
        <x:v>(7:07) (Shotgun) 8-D.Gabriel pass incomplete deep left to 3-J.Jeudy.</x:v>
      </x:c>
      <x:c r="L821" t="str">
        <x:v>pass</x:v>
      </x:c>
      <x:c r="M821" t="n">
        <x:v>0</x:v>
      </x:c>
      <x:c r="N821" t="n">
        <x:v>1</x:v>
      </x:c>
      <x:c r="O821" t="n">
        <x:v>0</x:v>
      </x:c>
      <x:c r="P821" t="str">
        <x:v>deep</x:v>
      </x:c>
      <x:c r="Q821" t="str">
        <x:v>left</x:v>
      </x:c>
      <x:c r="R821" t="n">
        <x:v>17</x:v>
      </x:c>
      <x:c r="S821"/>
      <x:c r="T821"/>
      <x:c r="U821"/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/>
      <x:c r="AC821" t="n">
        <x:v>0</x:v>
      </x:c>
      <x:c r="AD821" t="n">
        <x:v>-1.7856132989982143</x:v>
      </x:c>
      <x:c r="AE821" t="n">
        <x:v>0</x:v>
      </x:c>
      <x:c r="AF821" t="n">
        <x:v>-0.042840421199798584</x:v>
      </x:c>
      <x:c r="AG821" t="n">
        <x:f>_xlfn.XLOOKUP($A821,Games!$A$2:$A$18,Games!$B$2:$B$18,"Missing game",0)</x:f>
        <x:v>2025</x:v>
      </x:c>
      <x:c r="AH821" t="str">
        <x:f>_xlfn.XLOOKUP($A821,Games!$A$2:$A$18,Games!$C$2:$C$18,"Missing game",0)</x:f>
        <x:v>REG</x:v>
      </x:c>
      <x:c r="AI821" t="n">
        <x:f>_xlfn.XLOOKUP($A821,Games!$A$2:$A$18,Games!$D$2:$D$18,"Missing game",0)</x:f>
        <x:v>5</x:v>
      </x:c>
      <x:c r="AJ821" s="1" t="n">
        <x:f>_xlfn.XLOOKUP($A821,Games!$A$2:$A$18,Games!$E$2:$E$18,"Missing game",0)</x:f>
        <x:v>45935</x:v>
      </x:c>
      <x:c r="AK821" t="str">
        <x:f>_xlfn.XLOOKUP($A821,Games!$A$2:$A$18,Games!$F$2:$F$18,"Missing game",0)</x:f>
        <x:v>Sunday</x:v>
      </x:c>
      <x:c r="AL821" t="str">
        <x:f>_xlfn.XLOOKUP($A821,Games!$A$2:$A$18,Games!$G$2:$G$18,"Missing game",0)</x:f>
        <x:v>MIN</x:v>
      </x:c>
      <x:c r="AM821" t="n">
        <x:f>_xlfn.XLOOKUP($A821,Games!$A$2:$A$18,Games!$H$2:$H$18,"Missing game",0)</x:f>
        <x:v>21</x:v>
      </x:c>
      <x:c r="AN821" t="str">
        <x:f>_xlfn.XLOOKUP($A821,Games!$A$2:$A$18,Games!$I$2:$I$18,"Missing game",0)</x:f>
        <x:v>CLE</x:v>
      </x:c>
      <x:c r="AO821" t="n">
        <x:f>_xlfn.XLOOKUP($A821,Games!$A$2:$A$18,Games!$J$2:$J$18,"Missing game",0)</x:f>
        <x:v>17</x:v>
      </x:c>
      <x:c r="AP821" t="n">
        <x:f>_xlfn.XLOOKUP($A821,Games!$A$2:$A$18,Games!$K$2:$K$18,"Missing game",0)</x:f>
        <x:v>-4</x:v>
      </x:c>
      <x:c r="AQ821" t="n">
        <x:f>_xlfn.XLOOKUP($A821,Games!$A$2:$A$18,Games!$L$2:$L$18,"Missing game",0)</x:f>
        <x:v>38</x:v>
      </x:c>
      <x:c r="AR821" t="n">
        <x:f>_xlfn.XLOOKUP($A821,Games!$A$2:$A$18,Games!$M$2:$M$18,"Missing game",0)</x:f>
        <x:v>0</x:v>
      </x:c>
      <x:c r="AS821" t="str">
        <x:f>_xlfn.XLOOKUP($A821,Games!$A$2:$A$18,Games!$N$2:$N$18,"Missing game",0)</x:f>
        <x:v>outdoors</x:v>
      </x:c>
      <x:c r="AT821" t="str">
        <x:f>_xlfn.XLOOKUP($A821,Games!$A$2:$A$18,Games!$O$2:$O$18,"Missing game",0)</x:f>
        <x:v>grass</x:v>
      </x:c>
      <x:c r="AU821" t="n">
        <x:f>_xlfn.XLOOKUP($A821,Games!$A$2:$A$18,Games!$P$2:$P$18,"Missing game",0)</x:f>
        <x:v>61</x:v>
      </x:c>
      <x:c r="AV821" t="n">
        <x:f>_xlfn.XLOOKUP($A821,Games!$A$2:$A$18,Games!$Q$2:$Q$18,"Missing game",0)</x:f>
        <x:v>14</x:v>
      </x:c>
      <x:c r="AW821" t="str">
        <x:f>_xlfn.XLOOKUP($A821,Games!$A$2:$A$18,Games!$R$2:$R$18,"Missing game",0)</x:f>
        <x:v>FirstEnergy Stadium</x:v>
      </x:c>
    </x:row>
    <x:row r="822">
      <x:c r="A822" t="str">
        <x:v>2025_05_MIN_CLE</x:v>
      </x:c>
      <x:c r="B822" t="n">
        <x:v>3810</x:v>
      </x:c>
      <x:c r="C822" t="n">
        <x:v>4</x:v>
      </x:c>
      <x:c r="D822" t="str">
        <x:v>07:02</x:v>
      </x:c>
      <x:c r="E822" t="n">
        <x:v>4</x:v>
      </x:c>
      <x:c r="F822" t="n">
        <x:v>8</x:v>
      </x:c>
      <x:c r="G822" t="str">
        <x:v>CLE</x:v>
      </x:c>
      <x:c r="H822" t="str">
        <x:v>MIN</x:v>
      </x:c>
      <x:c r="I822" t="str">
        <x:v>MIN</x:v>
      </x:c>
      <x:c r="J822" t="n">
        <x:v>42</x:v>
      </x:c>
      <x:c r="K822" t="str">
        <x:v>(7:02) 13-C.Bojorquez punts 42 yards to end zone, Center-50-R.Sunahara, Touchback.</x:v>
      </x:c>
      <x:c r="L822" t="str">
        <x:v>punt</x:v>
      </x:c>
      <x:c r="M822" t="n">
        <x:v>0</x:v>
      </x:c>
      <x:c r="N822" t="n">
        <x:v>0</x:v>
      </x:c>
      <x:c r="O822" t="n">
        <x:v>0</x:v>
      </x:c>
      <x:c r="P822"/>
      <x:c r="Q822"/>
      <x:c r="R822"/>
      <x:c r="S822"/>
      <x:c r="T822"/>
      <x:c r="U822"/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/>
      <x:c r="AC822" t="n">
        <x:v>0</x:v>
      </x:c>
      <x:c r="AD822" t="n">
        <x:v>-0.7428064327687025</x:v>
      </x:c>
      <x:c r="AE822" t="n">
        <x:v>0</x:v>
      </x:c>
      <x:c r="AF822" t="n">
        <x:v>-0.07175415754318237</x:v>
      </x:c>
      <x:c r="AG822" t="n">
        <x:f>_xlfn.XLOOKUP($A822,Games!$A$2:$A$18,Games!$B$2:$B$18,"Missing game",0)</x:f>
        <x:v>2025</x:v>
      </x:c>
      <x:c r="AH822" t="str">
        <x:f>_xlfn.XLOOKUP($A822,Games!$A$2:$A$18,Games!$C$2:$C$18,"Missing game",0)</x:f>
        <x:v>REG</x:v>
      </x:c>
      <x:c r="AI822" t="n">
        <x:f>_xlfn.XLOOKUP($A822,Games!$A$2:$A$18,Games!$D$2:$D$18,"Missing game",0)</x:f>
        <x:v>5</x:v>
      </x:c>
      <x:c r="AJ822" s="1" t="n">
        <x:f>_xlfn.XLOOKUP($A822,Games!$A$2:$A$18,Games!$E$2:$E$18,"Missing game",0)</x:f>
        <x:v>45935</x:v>
      </x:c>
      <x:c r="AK822" t="str">
        <x:f>_xlfn.XLOOKUP($A822,Games!$A$2:$A$18,Games!$F$2:$F$18,"Missing game",0)</x:f>
        <x:v>Sunday</x:v>
      </x:c>
      <x:c r="AL822" t="str">
        <x:f>_xlfn.XLOOKUP($A822,Games!$A$2:$A$18,Games!$G$2:$G$18,"Missing game",0)</x:f>
        <x:v>MIN</x:v>
      </x:c>
      <x:c r="AM822" t="n">
        <x:f>_xlfn.XLOOKUP($A822,Games!$A$2:$A$18,Games!$H$2:$H$18,"Missing game",0)</x:f>
        <x:v>21</x:v>
      </x:c>
      <x:c r="AN822" t="str">
        <x:f>_xlfn.XLOOKUP($A822,Games!$A$2:$A$18,Games!$I$2:$I$18,"Missing game",0)</x:f>
        <x:v>CLE</x:v>
      </x:c>
      <x:c r="AO822" t="n">
        <x:f>_xlfn.XLOOKUP($A822,Games!$A$2:$A$18,Games!$J$2:$J$18,"Missing game",0)</x:f>
        <x:v>17</x:v>
      </x:c>
      <x:c r="AP822" t="n">
        <x:f>_xlfn.XLOOKUP($A822,Games!$A$2:$A$18,Games!$K$2:$K$18,"Missing game",0)</x:f>
        <x:v>-4</x:v>
      </x:c>
      <x:c r="AQ822" t="n">
        <x:f>_xlfn.XLOOKUP($A822,Games!$A$2:$A$18,Games!$L$2:$L$18,"Missing game",0)</x:f>
        <x:v>38</x:v>
      </x:c>
      <x:c r="AR822" t="n">
        <x:f>_xlfn.XLOOKUP($A822,Games!$A$2:$A$18,Games!$M$2:$M$18,"Missing game",0)</x:f>
        <x:v>0</x:v>
      </x:c>
      <x:c r="AS822" t="str">
        <x:f>_xlfn.XLOOKUP($A822,Games!$A$2:$A$18,Games!$N$2:$N$18,"Missing game",0)</x:f>
        <x:v>outdoors</x:v>
      </x:c>
      <x:c r="AT822" t="str">
        <x:f>_xlfn.XLOOKUP($A822,Games!$A$2:$A$18,Games!$O$2:$O$18,"Missing game",0)</x:f>
        <x:v>grass</x:v>
      </x:c>
      <x:c r="AU822" t="n">
        <x:f>_xlfn.XLOOKUP($A822,Games!$A$2:$A$18,Games!$P$2:$P$18,"Missing game",0)</x:f>
        <x:v>61</x:v>
      </x:c>
      <x:c r="AV822" t="n">
        <x:f>_xlfn.XLOOKUP($A822,Games!$A$2:$A$18,Games!$Q$2:$Q$18,"Missing game",0)</x:f>
        <x:v>14</x:v>
      </x:c>
      <x:c r="AW822" t="str">
        <x:f>_xlfn.XLOOKUP($A822,Games!$A$2:$A$18,Games!$R$2:$R$18,"Missing game",0)</x:f>
        <x:v>FirstEnergy Stadium</x:v>
      </x:c>
    </x:row>
    <x:row r="823">
      <x:c r="A823" t="str">
        <x:v>2025_05_MIN_CLE</x:v>
      </x:c>
      <x:c r="B823" t="n">
        <x:v>3831</x:v>
      </x:c>
      <x:c r="C823" t="n">
        <x:v>4</x:v>
      </x:c>
      <x:c r="D823" t="str">
        <x:v>06:53</x:v>
      </x:c>
      <x:c r="E823" t="n">
        <x:v>1</x:v>
      </x:c>
      <x:c r="F823" t="n">
        <x:v>10</x:v>
      </x:c>
      <x:c r="G823" t="str">
        <x:v>MIN</x:v>
      </x:c>
      <x:c r="H823" t="str">
        <x:v>CLE</x:v>
      </x:c>
      <x:c r="I823" t="str">
        <x:v>MIN</x:v>
      </x:c>
      <x:c r="J823" t="n">
        <x:v>80</x:v>
      </x:c>
      <x:c r="K823" t="str">
        <x:v>(6:53) (Shotgun) 27-J.Mason right end to MIN 24 for 4 yards (30-D.Bush).</x:v>
      </x:c>
      <x:c r="L823" t="str">
        <x:v>run</x:v>
      </x:c>
      <x:c r="M823" t="n">
        <x:v>4</x:v>
      </x:c>
      <x:c r="N823" t="n">
        <x:v>1</x:v>
      </x:c>
      <x:c r="O823" t="n">
        <x:v>0</x:v>
      </x:c>
      <x:c r="P823"/>
      <x:c r="Q823"/>
      <x:c r="R823"/>
      <x:c r="S823"/>
      <x:c r="T823" t="str">
        <x:v>right</x:v>
      </x:c>
      <x:c r="U823" t="str">
        <x:v>end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/>
      <x:c r="AC823" t="n">
        <x:v>0</x:v>
      </x:c>
      <x:c r="AD823" t="n">
        <x:v>-0.26929580280557275</x:v>
      </x:c>
      <x:c r="AE823" t="n">
        <x:v>0</x:v>
      </x:c>
      <x:c r="AF823" t="n">
        <x:v>-0.014213025569915771</x:v>
      </x:c>
      <x:c r="AG823" t="n">
        <x:f>_xlfn.XLOOKUP($A823,Games!$A$2:$A$18,Games!$B$2:$B$18,"Missing game",0)</x:f>
        <x:v>2025</x:v>
      </x:c>
      <x:c r="AH823" t="str">
        <x:f>_xlfn.XLOOKUP($A823,Games!$A$2:$A$18,Games!$C$2:$C$18,"Missing game",0)</x:f>
        <x:v>REG</x:v>
      </x:c>
      <x:c r="AI823" t="n">
        <x:f>_xlfn.XLOOKUP($A823,Games!$A$2:$A$18,Games!$D$2:$D$18,"Missing game",0)</x:f>
        <x:v>5</x:v>
      </x:c>
      <x:c r="AJ823" s="1" t="n">
        <x:f>_xlfn.XLOOKUP($A823,Games!$A$2:$A$18,Games!$E$2:$E$18,"Missing game",0)</x:f>
        <x:v>45935</x:v>
      </x:c>
      <x:c r="AK823" t="str">
        <x:f>_xlfn.XLOOKUP($A823,Games!$A$2:$A$18,Games!$F$2:$F$18,"Missing game",0)</x:f>
        <x:v>Sunday</x:v>
      </x:c>
      <x:c r="AL823" t="str">
        <x:f>_xlfn.XLOOKUP($A823,Games!$A$2:$A$18,Games!$G$2:$G$18,"Missing game",0)</x:f>
        <x:v>MIN</x:v>
      </x:c>
      <x:c r="AM823" t="n">
        <x:f>_xlfn.XLOOKUP($A823,Games!$A$2:$A$18,Games!$H$2:$H$18,"Missing game",0)</x:f>
        <x:v>21</x:v>
      </x:c>
      <x:c r="AN823" t="str">
        <x:f>_xlfn.XLOOKUP($A823,Games!$A$2:$A$18,Games!$I$2:$I$18,"Missing game",0)</x:f>
        <x:v>CLE</x:v>
      </x:c>
      <x:c r="AO823" t="n">
        <x:f>_xlfn.XLOOKUP($A823,Games!$A$2:$A$18,Games!$J$2:$J$18,"Missing game",0)</x:f>
        <x:v>17</x:v>
      </x:c>
      <x:c r="AP823" t="n">
        <x:f>_xlfn.XLOOKUP($A823,Games!$A$2:$A$18,Games!$K$2:$K$18,"Missing game",0)</x:f>
        <x:v>-4</x:v>
      </x:c>
      <x:c r="AQ823" t="n">
        <x:f>_xlfn.XLOOKUP($A823,Games!$A$2:$A$18,Games!$L$2:$L$18,"Missing game",0)</x:f>
        <x:v>38</x:v>
      </x:c>
      <x:c r="AR823" t="n">
        <x:f>_xlfn.XLOOKUP($A823,Games!$A$2:$A$18,Games!$M$2:$M$18,"Missing game",0)</x:f>
        <x:v>0</x:v>
      </x:c>
      <x:c r="AS823" t="str">
        <x:f>_xlfn.XLOOKUP($A823,Games!$A$2:$A$18,Games!$N$2:$N$18,"Missing game",0)</x:f>
        <x:v>outdoors</x:v>
      </x:c>
      <x:c r="AT823" t="str">
        <x:f>_xlfn.XLOOKUP($A823,Games!$A$2:$A$18,Games!$O$2:$O$18,"Missing game",0)</x:f>
        <x:v>grass</x:v>
      </x:c>
      <x:c r="AU823" t="n">
        <x:f>_xlfn.XLOOKUP($A823,Games!$A$2:$A$18,Games!$P$2:$P$18,"Missing game",0)</x:f>
        <x:v>61</x:v>
      </x:c>
      <x:c r="AV823" t="n">
        <x:f>_xlfn.XLOOKUP($A823,Games!$A$2:$A$18,Games!$Q$2:$Q$18,"Missing game",0)</x:f>
        <x:v>14</x:v>
      </x:c>
      <x:c r="AW823" t="str">
        <x:f>_xlfn.XLOOKUP($A823,Games!$A$2:$A$18,Games!$R$2:$R$18,"Missing game",0)</x:f>
        <x:v>FirstEnergy Stadium</x:v>
      </x:c>
    </x:row>
    <x:row r="824">
      <x:c r="A824" t="str">
        <x:v>2025_05_MIN_CLE</x:v>
      </x:c>
      <x:c r="B824" t="n">
        <x:v>3853</x:v>
      </x:c>
      <x:c r="C824" t="n">
        <x:v>4</x:v>
      </x:c>
      <x:c r="D824" t="str">
        <x:v>06:23</x:v>
      </x:c>
      <x:c r="E824" t="n">
        <x:v>2</x:v>
      </x:c>
      <x:c r="F824" t="n">
        <x:v>6</x:v>
      </x:c>
      <x:c r="G824" t="str">
        <x:v>MIN</x:v>
      </x:c>
      <x:c r="H824" t="str">
        <x:v>CLE</x:v>
      </x:c>
      <x:c r="I824" t="str">
        <x:v>MIN</x:v>
      </x:c>
      <x:c r="J824" t="n">
        <x:v>76</x:v>
      </x:c>
      <x:c r="K824" t="str">
        <x:v>(6:23) (No Huddle) 11-C.Wentz pass short right to 87-T.Hockenson pushed ob at MIN 31 for 7 yards (21-D.Ward).</x:v>
      </x:c>
      <x:c r="L824" t="str">
        <x:v>pass</x:v>
      </x:c>
      <x:c r="M824" t="n">
        <x:v>7</x:v>
      </x:c>
      <x:c r="N824" t="n">
        <x:v>0</x:v>
      </x:c>
      <x:c r="O824" t="n">
        <x:v>1</x:v>
      </x:c>
      <x:c r="P824" t="str">
        <x:v>short</x:v>
      </x:c>
      <x:c r="Q824" t="str">
        <x:v>right</x:v>
      </x:c>
      <x:c r="R824" t="n">
        <x:v>6</x:v>
      </x:c>
      <x:c r="S824" t="n">
        <x:v>1</x:v>
      </x:c>
      <x:c r="T824"/>
      <x:c r="U824"/>
      <x:c r="V824" t="n">
        <x:v>1</x:v>
      </x:c>
      <x:c r="W824" t="n">
        <x:v>1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/>
      <x:c r="AC824" t="n">
        <x:v>0</x:v>
      </x:c>
      <x:c r="AD824" t="n">
        <x:v>0.8607428860850632</x:v>
      </x:c>
      <x:c r="AE824" t="n">
        <x:v>1</x:v>
      </x:c>
      <x:c r="AF824" t="n">
        <x:v>0.025295019149780273</x:v>
      </x:c>
      <x:c r="AG824" t="n">
        <x:f>_xlfn.XLOOKUP($A824,Games!$A$2:$A$18,Games!$B$2:$B$18,"Missing game",0)</x:f>
        <x:v>2025</x:v>
      </x:c>
      <x:c r="AH824" t="str">
        <x:f>_xlfn.XLOOKUP($A824,Games!$A$2:$A$18,Games!$C$2:$C$18,"Missing game",0)</x:f>
        <x:v>REG</x:v>
      </x:c>
      <x:c r="AI824" t="n">
        <x:f>_xlfn.XLOOKUP($A824,Games!$A$2:$A$18,Games!$D$2:$D$18,"Missing game",0)</x:f>
        <x:v>5</x:v>
      </x:c>
      <x:c r="AJ824" s="1" t="n">
        <x:f>_xlfn.XLOOKUP($A824,Games!$A$2:$A$18,Games!$E$2:$E$18,"Missing game",0)</x:f>
        <x:v>45935</x:v>
      </x:c>
      <x:c r="AK824" t="str">
        <x:f>_xlfn.XLOOKUP($A824,Games!$A$2:$A$18,Games!$F$2:$F$18,"Missing game",0)</x:f>
        <x:v>Sunday</x:v>
      </x:c>
      <x:c r="AL824" t="str">
        <x:f>_xlfn.XLOOKUP($A824,Games!$A$2:$A$18,Games!$G$2:$G$18,"Missing game",0)</x:f>
        <x:v>MIN</x:v>
      </x:c>
      <x:c r="AM824" t="n">
        <x:f>_xlfn.XLOOKUP($A824,Games!$A$2:$A$18,Games!$H$2:$H$18,"Missing game",0)</x:f>
        <x:v>21</x:v>
      </x:c>
      <x:c r="AN824" t="str">
        <x:f>_xlfn.XLOOKUP($A824,Games!$A$2:$A$18,Games!$I$2:$I$18,"Missing game",0)</x:f>
        <x:v>CLE</x:v>
      </x:c>
      <x:c r="AO824" t="n">
        <x:f>_xlfn.XLOOKUP($A824,Games!$A$2:$A$18,Games!$J$2:$J$18,"Missing game",0)</x:f>
        <x:v>17</x:v>
      </x:c>
      <x:c r="AP824" t="n">
        <x:f>_xlfn.XLOOKUP($A824,Games!$A$2:$A$18,Games!$K$2:$K$18,"Missing game",0)</x:f>
        <x:v>-4</x:v>
      </x:c>
      <x:c r="AQ824" t="n">
        <x:f>_xlfn.XLOOKUP($A824,Games!$A$2:$A$18,Games!$L$2:$L$18,"Missing game",0)</x:f>
        <x:v>38</x:v>
      </x:c>
      <x:c r="AR824" t="n">
        <x:f>_xlfn.XLOOKUP($A824,Games!$A$2:$A$18,Games!$M$2:$M$18,"Missing game",0)</x:f>
        <x:v>0</x:v>
      </x:c>
      <x:c r="AS824" t="str">
        <x:f>_xlfn.XLOOKUP($A824,Games!$A$2:$A$18,Games!$N$2:$N$18,"Missing game",0)</x:f>
        <x:v>outdoors</x:v>
      </x:c>
      <x:c r="AT824" t="str">
        <x:f>_xlfn.XLOOKUP($A824,Games!$A$2:$A$18,Games!$O$2:$O$18,"Missing game",0)</x:f>
        <x:v>grass</x:v>
      </x:c>
      <x:c r="AU824" t="n">
        <x:f>_xlfn.XLOOKUP($A824,Games!$A$2:$A$18,Games!$P$2:$P$18,"Missing game",0)</x:f>
        <x:v>61</x:v>
      </x:c>
      <x:c r="AV824" t="n">
        <x:f>_xlfn.XLOOKUP($A824,Games!$A$2:$A$18,Games!$Q$2:$Q$18,"Missing game",0)</x:f>
        <x:v>14</x:v>
      </x:c>
      <x:c r="AW824" t="str">
        <x:f>_xlfn.XLOOKUP($A824,Games!$A$2:$A$18,Games!$R$2:$R$18,"Missing game",0)</x:f>
        <x:v>FirstEnergy Stadium</x:v>
      </x:c>
    </x:row>
    <x:row r="825">
      <x:c r="A825" t="str">
        <x:v>2025_05_MIN_CLE</x:v>
      </x:c>
      <x:c r="B825" t="n">
        <x:v>3887</x:v>
      </x:c>
      <x:c r="C825" t="n">
        <x:v>4</x:v>
      </x:c>
      <x:c r="D825" t="str">
        <x:v>05:46</x:v>
      </x:c>
      <x:c r="E825" t="n">
        <x:v>1</x:v>
      </x:c>
      <x:c r="F825" t="n">
        <x:v>10</x:v>
      </x:c>
      <x:c r="G825" t="str">
        <x:v>MIN</x:v>
      </x:c>
      <x:c r="H825" t="str">
        <x:v>CLE</x:v>
      </x:c>
      <x:c r="I825" t="str">
        <x:v>MIN</x:v>
      </x:c>
      <x:c r="J825" t="n">
        <x:v>69</x:v>
      </x:c>
      <x:c r="K825" t="str">
        <x:v>(5:46) (Shotgun) 11-C.Wentz pass short right to 3-J.Addison ran ob at MIN 36 for 5 yards.</x:v>
      </x:c>
      <x:c r="L825" t="str">
        <x:v>pass</x:v>
      </x:c>
      <x:c r="M825" t="n">
        <x:v>5</x:v>
      </x:c>
      <x:c r="N825" t="n">
        <x:v>1</x:v>
      </x:c>
      <x:c r="O825" t="n">
        <x:v>0</x:v>
      </x:c>
      <x:c r="P825" t="str">
        <x:v>short</x:v>
      </x:c>
      <x:c r="Q825" t="str">
        <x:v>right</x:v>
      </x:c>
      <x:c r="R825" t="n">
        <x:v>5</x:v>
      </x:c>
      <x:c r="S825" t="n">
        <x:v>0</x:v>
      </x:c>
      <x:c r="T825"/>
      <x:c r="U825"/>
      <x:c r="V825" t="n">
        <x:v>1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/>
      <x:c r="AC825" t="n">
        <x:v>0</x:v>
      </x:c>
      <x:c r="AD825" t="n">
        <x:v>0.07639334816485643</x:v>
      </x:c>
      <x:c r="AE825" t="n">
        <x:v>1</x:v>
      </x:c>
      <x:c r="AF825" t="n">
        <x:v>-0.009367018938064575</x:v>
      </x:c>
      <x:c r="AG825" t="n">
        <x:f>_xlfn.XLOOKUP($A825,Games!$A$2:$A$18,Games!$B$2:$B$18,"Missing game",0)</x:f>
        <x:v>2025</x:v>
      </x:c>
      <x:c r="AH825" t="str">
        <x:f>_xlfn.XLOOKUP($A825,Games!$A$2:$A$18,Games!$C$2:$C$18,"Missing game",0)</x:f>
        <x:v>REG</x:v>
      </x:c>
      <x:c r="AI825" t="n">
        <x:f>_xlfn.XLOOKUP($A825,Games!$A$2:$A$18,Games!$D$2:$D$18,"Missing game",0)</x:f>
        <x:v>5</x:v>
      </x:c>
      <x:c r="AJ825" s="1" t="n">
        <x:f>_xlfn.XLOOKUP($A825,Games!$A$2:$A$18,Games!$E$2:$E$18,"Missing game",0)</x:f>
        <x:v>45935</x:v>
      </x:c>
      <x:c r="AK825" t="str">
        <x:f>_xlfn.XLOOKUP($A825,Games!$A$2:$A$18,Games!$F$2:$F$18,"Missing game",0)</x:f>
        <x:v>Sunday</x:v>
      </x:c>
      <x:c r="AL825" t="str">
        <x:f>_xlfn.XLOOKUP($A825,Games!$A$2:$A$18,Games!$G$2:$G$18,"Missing game",0)</x:f>
        <x:v>MIN</x:v>
      </x:c>
      <x:c r="AM825" t="n">
        <x:f>_xlfn.XLOOKUP($A825,Games!$A$2:$A$18,Games!$H$2:$H$18,"Missing game",0)</x:f>
        <x:v>21</x:v>
      </x:c>
      <x:c r="AN825" t="str">
        <x:f>_xlfn.XLOOKUP($A825,Games!$A$2:$A$18,Games!$I$2:$I$18,"Missing game",0)</x:f>
        <x:v>CLE</x:v>
      </x:c>
      <x:c r="AO825" t="n">
        <x:f>_xlfn.XLOOKUP($A825,Games!$A$2:$A$18,Games!$J$2:$J$18,"Missing game",0)</x:f>
        <x:v>17</x:v>
      </x:c>
      <x:c r="AP825" t="n">
        <x:f>_xlfn.XLOOKUP($A825,Games!$A$2:$A$18,Games!$K$2:$K$18,"Missing game",0)</x:f>
        <x:v>-4</x:v>
      </x:c>
      <x:c r="AQ825" t="n">
        <x:f>_xlfn.XLOOKUP($A825,Games!$A$2:$A$18,Games!$L$2:$L$18,"Missing game",0)</x:f>
        <x:v>38</x:v>
      </x:c>
      <x:c r="AR825" t="n">
        <x:f>_xlfn.XLOOKUP($A825,Games!$A$2:$A$18,Games!$M$2:$M$18,"Missing game",0)</x:f>
        <x:v>0</x:v>
      </x:c>
      <x:c r="AS825" t="str">
        <x:f>_xlfn.XLOOKUP($A825,Games!$A$2:$A$18,Games!$N$2:$N$18,"Missing game",0)</x:f>
        <x:v>outdoors</x:v>
      </x:c>
      <x:c r="AT825" t="str">
        <x:f>_xlfn.XLOOKUP($A825,Games!$A$2:$A$18,Games!$O$2:$O$18,"Missing game",0)</x:f>
        <x:v>grass</x:v>
      </x:c>
      <x:c r="AU825" t="n">
        <x:f>_xlfn.XLOOKUP($A825,Games!$A$2:$A$18,Games!$P$2:$P$18,"Missing game",0)</x:f>
        <x:v>61</x:v>
      </x:c>
      <x:c r="AV825" t="n">
        <x:f>_xlfn.XLOOKUP($A825,Games!$A$2:$A$18,Games!$Q$2:$Q$18,"Missing game",0)</x:f>
        <x:v>14</x:v>
      </x:c>
      <x:c r="AW825" t="str">
        <x:f>_xlfn.XLOOKUP($A825,Games!$A$2:$A$18,Games!$R$2:$R$18,"Missing game",0)</x:f>
        <x:v>FirstEnergy Stadium</x:v>
      </x:c>
    </x:row>
    <x:row r="826">
      <x:c r="A826" t="str">
        <x:v>2025_05_MIN_CLE</x:v>
      </x:c>
      <x:c r="B826" t="n">
        <x:v>3917</x:v>
      </x:c>
      <x:c r="C826" t="n">
        <x:v>4</x:v>
      </x:c>
      <x:c r="D826" t="str">
        <x:v>05:11</x:v>
      </x:c>
      <x:c r="E826" t="n">
        <x:v>2</x:v>
      </x:c>
      <x:c r="F826" t="n">
        <x:v>5</x:v>
      </x:c>
      <x:c r="G826" t="str">
        <x:v>MIN</x:v>
      </x:c>
      <x:c r="H826" t="str">
        <x:v>CLE</x:v>
      </x:c>
      <x:c r="I826" t="str">
        <x:v>MIN</x:v>
      </x:c>
      <x:c r="J826" t="n">
        <x:v>64</x:v>
      </x:c>
      <x:c r="K826" t="str">
        <x:v>(5:11) 27-J.Mason right tackle to CLE 45 for 19 yards (33-R.Hickman). PENALTY on MIN-60-J.Huber, Offensive Holding, 10 yards, enforced at MIN 38.</x:v>
      </x:c>
      <x:c r="L826" t="str">
        <x:v>run</x:v>
      </x:c>
      <x:c r="M826" t="n">
        <x:v>2</x:v>
      </x:c>
      <x:c r="N826" t="n">
        <x:v>0</x:v>
      </x:c>
      <x:c r="O826" t="n">
        <x:v>0</x:v>
      </x:c>
      <x:c r="P826"/>
      <x:c r="Q826"/>
      <x:c r="R826"/>
      <x:c r="S826"/>
      <x:c r="T826" t="str">
        <x:v>right</x:v>
      </x:c>
      <x:c r="U826" t="str">
        <x:v>tackle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1</x:v>
      </x:c>
      <x:c r="AB826" t="n">
        <x:v>10</x:v>
      </x:c>
      <x:c r="AC826" t="n">
        <x:v>0</x:v>
      </x:c>
      <x:c r="AD826" t="n">
        <x:v>-1.2442199005745351</x:v>
      </x:c>
      <x:c r="AE826" t="n">
        <x:v>0</x:v>
      </x:c>
      <x:c r="AF826" t="n">
        <x:v>-0.044501662254333496</x:v>
      </x:c>
      <x:c r="AG826" t="n">
        <x:f>_xlfn.XLOOKUP($A826,Games!$A$2:$A$18,Games!$B$2:$B$18,"Missing game",0)</x:f>
        <x:v>2025</x:v>
      </x:c>
      <x:c r="AH826" t="str">
        <x:f>_xlfn.XLOOKUP($A826,Games!$A$2:$A$18,Games!$C$2:$C$18,"Missing game",0)</x:f>
        <x:v>REG</x:v>
      </x:c>
      <x:c r="AI826" t="n">
        <x:f>_xlfn.XLOOKUP($A826,Games!$A$2:$A$18,Games!$D$2:$D$18,"Missing game",0)</x:f>
        <x:v>5</x:v>
      </x:c>
      <x:c r="AJ826" s="1" t="n">
        <x:f>_xlfn.XLOOKUP($A826,Games!$A$2:$A$18,Games!$E$2:$E$18,"Missing game",0)</x:f>
        <x:v>45935</x:v>
      </x:c>
      <x:c r="AK826" t="str">
        <x:f>_xlfn.XLOOKUP($A826,Games!$A$2:$A$18,Games!$F$2:$F$18,"Missing game",0)</x:f>
        <x:v>Sunday</x:v>
      </x:c>
      <x:c r="AL826" t="str">
        <x:f>_xlfn.XLOOKUP($A826,Games!$A$2:$A$18,Games!$G$2:$G$18,"Missing game",0)</x:f>
        <x:v>MIN</x:v>
      </x:c>
      <x:c r="AM826" t="n">
        <x:f>_xlfn.XLOOKUP($A826,Games!$A$2:$A$18,Games!$H$2:$H$18,"Missing game",0)</x:f>
        <x:v>21</x:v>
      </x:c>
      <x:c r="AN826" t="str">
        <x:f>_xlfn.XLOOKUP($A826,Games!$A$2:$A$18,Games!$I$2:$I$18,"Missing game",0)</x:f>
        <x:v>CLE</x:v>
      </x:c>
      <x:c r="AO826" t="n">
        <x:f>_xlfn.XLOOKUP($A826,Games!$A$2:$A$18,Games!$J$2:$J$18,"Missing game",0)</x:f>
        <x:v>17</x:v>
      </x:c>
      <x:c r="AP826" t="n">
        <x:f>_xlfn.XLOOKUP($A826,Games!$A$2:$A$18,Games!$K$2:$K$18,"Missing game",0)</x:f>
        <x:v>-4</x:v>
      </x:c>
      <x:c r="AQ826" t="n">
        <x:f>_xlfn.XLOOKUP($A826,Games!$A$2:$A$18,Games!$L$2:$L$18,"Missing game",0)</x:f>
        <x:v>38</x:v>
      </x:c>
      <x:c r="AR826" t="n">
        <x:f>_xlfn.XLOOKUP($A826,Games!$A$2:$A$18,Games!$M$2:$M$18,"Missing game",0)</x:f>
        <x:v>0</x:v>
      </x:c>
      <x:c r="AS826" t="str">
        <x:f>_xlfn.XLOOKUP($A826,Games!$A$2:$A$18,Games!$N$2:$N$18,"Missing game",0)</x:f>
        <x:v>outdoors</x:v>
      </x:c>
      <x:c r="AT826" t="str">
        <x:f>_xlfn.XLOOKUP($A826,Games!$A$2:$A$18,Games!$O$2:$O$18,"Missing game",0)</x:f>
        <x:v>grass</x:v>
      </x:c>
      <x:c r="AU826" t="n">
        <x:f>_xlfn.XLOOKUP($A826,Games!$A$2:$A$18,Games!$P$2:$P$18,"Missing game",0)</x:f>
        <x:v>61</x:v>
      </x:c>
      <x:c r="AV826" t="n">
        <x:f>_xlfn.XLOOKUP($A826,Games!$A$2:$A$18,Games!$Q$2:$Q$18,"Missing game",0)</x:f>
        <x:v>14</x:v>
      </x:c>
      <x:c r="AW826" t="str">
        <x:f>_xlfn.XLOOKUP($A826,Games!$A$2:$A$18,Games!$R$2:$R$18,"Missing game",0)</x:f>
        <x:v>FirstEnergy Stadium</x:v>
      </x:c>
    </x:row>
    <x:row r="827">
      <x:c r="A827" t="str">
        <x:v>2025_05_MIN_CLE</x:v>
      </x:c>
      <x:c r="B827" t="n">
        <x:v>3950</x:v>
      </x:c>
      <x:c r="C827" t="n">
        <x:v>4</x:v>
      </x:c>
      <x:c r="D827" t="str">
        <x:v>04:54</x:v>
      </x:c>
      <x:c r="E827" t="n">
        <x:v>2</x:v>
      </x:c>
      <x:c r="F827" t="n">
        <x:v>13</x:v>
      </x:c>
      <x:c r="G827" t="str">
        <x:v>MIN</x:v>
      </x:c>
      <x:c r="H827" t="str">
        <x:v>CLE</x:v>
      </x:c>
      <x:c r="I827" t="str">
        <x:v>MIN</x:v>
      </x:c>
      <x:c r="J827" t="n">
        <x:v>72</x:v>
      </x:c>
      <x:c r="K827" t="str">
        <x:v>(4:54) (Shotgun) 11-C.Wentz pass short right to 87-T.Hockenson to MIN 25 for -3 yards (91-A.Wright, 30-D.Bush).</x:v>
      </x:c>
      <x:c r="L827" t="str">
        <x:v>pass</x:v>
      </x:c>
      <x:c r="M827" t="n">
        <x:v>-3</x:v>
      </x:c>
      <x:c r="N827" t="n">
        <x:v>1</x:v>
      </x:c>
      <x:c r="O827" t="n">
        <x:v>0</x:v>
      </x:c>
      <x:c r="P827" t="str">
        <x:v>short</x:v>
      </x:c>
      <x:c r="Q827" t="str">
        <x:v>right</x:v>
      </x:c>
      <x:c r="R827" t="n">
        <x:v>-5</x:v>
      </x:c>
      <x:c r="S827" t="n">
        <x:v>2</x:v>
      </x:c>
      <x:c r="T827"/>
      <x:c r="U827"/>
      <x:c r="V827" t="n">
        <x:v>1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/>
      <x:c r="AC827" t="n">
        <x:v>0</x:v>
      </x:c>
      <x:c r="AD827" t="n">
        <x:v>-0.7289879145100713</x:v>
      </x:c>
      <x:c r="AE827" t="n">
        <x:v>0</x:v>
      </x:c>
      <x:c r="AF827" t="n">
        <x:v>-0.029217645525932312</x:v>
      </x:c>
      <x:c r="AG827" t="n">
        <x:f>_xlfn.XLOOKUP($A827,Games!$A$2:$A$18,Games!$B$2:$B$18,"Missing game",0)</x:f>
        <x:v>2025</x:v>
      </x:c>
      <x:c r="AH827" t="str">
        <x:f>_xlfn.XLOOKUP($A827,Games!$A$2:$A$18,Games!$C$2:$C$18,"Missing game",0)</x:f>
        <x:v>REG</x:v>
      </x:c>
      <x:c r="AI827" t="n">
        <x:f>_xlfn.XLOOKUP($A827,Games!$A$2:$A$18,Games!$D$2:$D$18,"Missing game",0)</x:f>
        <x:v>5</x:v>
      </x:c>
      <x:c r="AJ827" s="1" t="n">
        <x:f>_xlfn.XLOOKUP($A827,Games!$A$2:$A$18,Games!$E$2:$E$18,"Missing game",0)</x:f>
        <x:v>45935</x:v>
      </x:c>
      <x:c r="AK827" t="str">
        <x:f>_xlfn.XLOOKUP($A827,Games!$A$2:$A$18,Games!$F$2:$F$18,"Missing game",0)</x:f>
        <x:v>Sunday</x:v>
      </x:c>
      <x:c r="AL827" t="str">
        <x:f>_xlfn.XLOOKUP($A827,Games!$A$2:$A$18,Games!$G$2:$G$18,"Missing game",0)</x:f>
        <x:v>MIN</x:v>
      </x:c>
      <x:c r="AM827" t="n">
        <x:f>_xlfn.XLOOKUP($A827,Games!$A$2:$A$18,Games!$H$2:$H$18,"Missing game",0)</x:f>
        <x:v>21</x:v>
      </x:c>
      <x:c r="AN827" t="str">
        <x:f>_xlfn.XLOOKUP($A827,Games!$A$2:$A$18,Games!$I$2:$I$18,"Missing game",0)</x:f>
        <x:v>CLE</x:v>
      </x:c>
      <x:c r="AO827" t="n">
        <x:f>_xlfn.XLOOKUP($A827,Games!$A$2:$A$18,Games!$J$2:$J$18,"Missing game",0)</x:f>
        <x:v>17</x:v>
      </x:c>
      <x:c r="AP827" t="n">
        <x:f>_xlfn.XLOOKUP($A827,Games!$A$2:$A$18,Games!$K$2:$K$18,"Missing game",0)</x:f>
        <x:v>-4</x:v>
      </x:c>
      <x:c r="AQ827" t="n">
        <x:f>_xlfn.XLOOKUP($A827,Games!$A$2:$A$18,Games!$L$2:$L$18,"Missing game",0)</x:f>
        <x:v>38</x:v>
      </x:c>
      <x:c r="AR827" t="n">
        <x:f>_xlfn.XLOOKUP($A827,Games!$A$2:$A$18,Games!$M$2:$M$18,"Missing game",0)</x:f>
        <x:v>0</x:v>
      </x:c>
      <x:c r="AS827" t="str">
        <x:f>_xlfn.XLOOKUP($A827,Games!$A$2:$A$18,Games!$N$2:$N$18,"Missing game",0)</x:f>
        <x:v>outdoors</x:v>
      </x:c>
      <x:c r="AT827" t="str">
        <x:f>_xlfn.XLOOKUP($A827,Games!$A$2:$A$18,Games!$O$2:$O$18,"Missing game",0)</x:f>
        <x:v>grass</x:v>
      </x:c>
      <x:c r="AU827" t="n">
        <x:f>_xlfn.XLOOKUP($A827,Games!$A$2:$A$18,Games!$P$2:$P$18,"Missing game",0)</x:f>
        <x:v>61</x:v>
      </x:c>
      <x:c r="AV827" t="n">
        <x:f>_xlfn.XLOOKUP($A827,Games!$A$2:$A$18,Games!$Q$2:$Q$18,"Missing game",0)</x:f>
        <x:v>14</x:v>
      </x:c>
      <x:c r="AW827" t="str">
        <x:f>_xlfn.XLOOKUP($A827,Games!$A$2:$A$18,Games!$R$2:$R$18,"Missing game",0)</x:f>
        <x:v>FirstEnergy Stadium</x:v>
      </x:c>
    </x:row>
    <x:row r="828">
      <x:c r="A828" t="str">
        <x:v>2025_05_MIN_CLE</x:v>
      </x:c>
      <x:c r="B828" t="n">
        <x:v>3975</x:v>
      </x:c>
      <x:c r="C828" t="n">
        <x:v>4</x:v>
      </x:c>
      <x:c r="D828" t="str">
        <x:v>04:15</x:v>
      </x:c>
      <x:c r="E828" t="n">
        <x:v>3</x:v>
      </x:c>
      <x:c r="F828" t="n">
        <x:v>16</x:v>
      </x:c>
      <x:c r="G828" t="str">
        <x:v>MIN</x:v>
      </x:c>
      <x:c r="H828" t="str">
        <x:v>CLE</x:v>
      </x:c>
      <x:c r="I828" t="str">
        <x:v>MIN</x:v>
      </x:c>
      <x:c r="J828" t="n">
        <x:v>75</x:v>
      </x:c>
      <x:c r="K828" t="str">
        <x:v>(4:15) (No Huddle, Shotgun) 11-C.Wentz sacked at MIN 18 for -7 yards (96-M.Collins).</x:v>
      </x:c>
      <x:c r="L828" t="str">
        <x:v>pass</x:v>
      </x:c>
      <x:c r="M828" t="n">
        <x:v>-7</x:v>
      </x:c>
      <x:c r="N828" t="n">
        <x:v>1</x:v>
      </x:c>
      <x:c r="O828" t="n">
        <x:v>1</x:v>
      </x:c>
      <x:c r="P828"/>
      <x:c r="Q828"/>
      <x:c r="R828"/>
      <x:c r="S828"/>
      <x:c r="T828"/>
      <x:c r="U828"/>
      <x:c r="V828" t="n">
        <x:v>0</x:v>
      </x:c>
      <x:c r="W828" t="n">
        <x:v>0</x:v>
      </x:c>
      <x:c r="X828" t="n">
        <x:v>1</x:v>
      </x:c>
      <x:c r="Y828" t="n">
        <x:v>0</x:v>
      </x:c>
      <x:c r="Z828" t="n">
        <x:v>0</x:v>
      </x:c>
      <x:c r="AA828" t="n">
        <x:v>0</x:v>
      </x:c>
      <x:c r="AB828"/>
      <x:c r="AC828" t="n">
        <x:v>0</x:v>
      </x:c>
      <x:c r="AD828" t="n">
        <x:v>-0.9914731467142701</x:v>
      </x:c>
      <x:c r="AE828" t="n">
        <x:v>0</x:v>
      </x:c>
      <x:c r="AF828" t="n">
        <x:v>-0.06989587843418121</x:v>
      </x:c>
      <x:c r="AG828" t="n">
        <x:f>_xlfn.XLOOKUP($A828,Games!$A$2:$A$18,Games!$B$2:$B$18,"Missing game",0)</x:f>
        <x:v>2025</x:v>
      </x:c>
      <x:c r="AH828" t="str">
        <x:f>_xlfn.XLOOKUP($A828,Games!$A$2:$A$18,Games!$C$2:$C$18,"Missing game",0)</x:f>
        <x:v>REG</x:v>
      </x:c>
      <x:c r="AI828" t="n">
        <x:f>_xlfn.XLOOKUP($A828,Games!$A$2:$A$18,Games!$D$2:$D$18,"Missing game",0)</x:f>
        <x:v>5</x:v>
      </x:c>
      <x:c r="AJ828" s="1" t="n">
        <x:f>_xlfn.XLOOKUP($A828,Games!$A$2:$A$18,Games!$E$2:$E$18,"Missing game",0)</x:f>
        <x:v>45935</x:v>
      </x:c>
      <x:c r="AK828" t="str">
        <x:f>_xlfn.XLOOKUP($A828,Games!$A$2:$A$18,Games!$F$2:$F$18,"Missing game",0)</x:f>
        <x:v>Sunday</x:v>
      </x:c>
      <x:c r="AL828" t="str">
        <x:f>_xlfn.XLOOKUP($A828,Games!$A$2:$A$18,Games!$G$2:$G$18,"Missing game",0)</x:f>
        <x:v>MIN</x:v>
      </x:c>
      <x:c r="AM828" t="n">
        <x:f>_xlfn.XLOOKUP($A828,Games!$A$2:$A$18,Games!$H$2:$H$18,"Missing game",0)</x:f>
        <x:v>21</x:v>
      </x:c>
      <x:c r="AN828" t="str">
        <x:f>_xlfn.XLOOKUP($A828,Games!$A$2:$A$18,Games!$I$2:$I$18,"Missing game",0)</x:f>
        <x:v>CLE</x:v>
      </x:c>
      <x:c r="AO828" t="n">
        <x:f>_xlfn.XLOOKUP($A828,Games!$A$2:$A$18,Games!$J$2:$J$18,"Missing game",0)</x:f>
        <x:v>17</x:v>
      </x:c>
      <x:c r="AP828" t="n">
        <x:f>_xlfn.XLOOKUP($A828,Games!$A$2:$A$18,Games!$K$2:$K$18,"Missing game",0)</x:f>
        <x:v>-4</x:v>
      </x:c>
      <x:c r="AQ828" t="n">
        <x:f>_xlfn.XLOOKUP($A828,Games!$A$2:$A$18,Games!$L$2:$L$18,"Missing game",0)</x:f>
        <x:v>38</x:v>
      </x:c>
      <x:c r="AR828" t="n">
        <x:f>_xlfn.XLOOKUP($A828,Games!$A$2:$A$18,Games!$M$2:$M$18,"Missing game",0)</x:f>
        <x:v>0</x:v>
      </x:c>
      <x:c r="AS828" t="str">
        <x:f>_xlfn.XLOOKUP($A828,Games!$A$2:$A$18,Games!$N$2:$N$18,"Missing game",0)</x:f>
        <x:v>outdoors</x:v>
      </x:c>
      <x:c r="AT828" t="str">
        <x:f>_xlfn.XLOOKUP($A828,Games!$A$2:$A$18,Games!$O$2:$O$18,"Missing game",0)</x:f>
        <x:v>grass</x:v>
      </x:c>
      <x:c r="AU828" t="n">
        <x:f>_xlfn.XLOOKUP($A828,Games!$A$2:$A$18,Games!$P$2:$P$18,"Missing game",0)</x:f>
        <x:v>61</x:v>
      </x:c>
      <x:c r="AV828" t="n">
        <x:f>_xlfn.XLOOKUP($A828,Games!$A$2:$A$18,Games!$Q$2:$Q$18,"Missing game",0)</x:f>
        <x:v>14</x:v>
      </x:c>
      <x:c r="AW828" t="str">
        <x:f>_xlfn.XLOOKUP($A828,Games!$A$2:$A$18,Games!$R$2:$R$18,"Missing game",0)</x:f>
        <x:v>FirstEnergy Stadium</x:v>
      </x:c>
    </x:row>
    <x:row r="829">
      <x:c r="A829" t="str">
        <x:v>2025_05_MIN_CLE</x:v>
      </x:c>
      <x:c r="B829" t="n">
        <x:v>3995</x:v>
      </x:c>
      <x:c r="C829" t="n">
        <x:v>4</x:v>
      </x:c>
      <x:c r="D829" t="str">
        <x:v>03:38</x:v>
      </x:c>
      <x:c r="E829" t="n">
        <x:v>4</x:v>
      </x:c>
      <x:c r="F829" t="n">
        <x:v>23</x:v>
      </x:c>
      <x:c r="G829" t="str">
        <x:v>MIN</x:v>
      </x:c>
      <x:c r="H829" t="str">
        <x:v>CLE</x:v>
      </x:c>
      <x:c r="I829" t="str">
        <x:v>MIN</x:v>
      </x:c>
      <x:c r="J829" t="n">
        <x:v>82</x:v>
      </x:c>
      <x:c r="K829" t="str">
        <x:v>(3:38) 17-R.Wright punts 53 yards to CLE 29, Center-42-A.DePaola. 84-G.Larvadain pushed ob at CLE 41 for 12 yards (98-B.Richter; 36-Z.Scott).</x:v>
      </x:c>
      <x:c r="L829" t="str">
        <x:v>punt</x:v>
      </x:c>
      <x:c r="M829" t="n">
        <x:v>0</x:v>
      </x:c>
      <x:c r="N829" t="n">
        <x:v>0</x:v>
      </x:c>
      <x:c r="O829" t="n">
        <x:v>0</x:v>
      </x:c>
      <x:c r="P829"/>
      <x:c r="Q829"/>
      <x:c r="R829"/>
      <x:c r="S829"/>
      <x:c r="T829"/>
      <x:c r="U829"/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/>
      <x:c r="AC829" t="n">
        <x:v>0</x:v>
      </x:c>
      <x:c r="AD829" t="n">
        <x:v>-0.12531949067488313</x:v>
      </x:c>
      <x:c r="AE829" t="n">
        <x:v>0</x:v>
      </x:c>
      <x:c r="AF829" t="n">
        <x:v>0.005061060190200806</x:v>
      </x:c>
      <x:c r="AG829" t="n">
        <x:f>_xlfn.XLOOKUP($A829,Games!$A$2:$A$18,Games!$B$2:$B$18,"Missing game",0)</x:f>
        <x:v>2025</x:v>
      </x:c>
      <x:c r="AH829" t="str">
        <x:f>_xlfn.XLOOKUP($A829,Games!$A$2:$A$18,Games!$C$2:$C$18,"Missing game",0)</x:f>
        <x:v>REG</x:v>
      </x:c>
      <x:c r="AI829" t="n">
        <x:f>_xlfn.XLOOKUP($A829,Games!$A$2:$A$18,Games!$D$2:$D$18,"Missing game",0)</x:f>
        <x:v>5</x:v>
      </x:c>
      <x:c r="AJ829" s="1" t="n">
        <x:f>_xlfn.XLOOKUP($A829,Games!$A$2:$A$18,Games!$E$2:$E$18,"Missing game",0)</x:f>
        <x:v>45935</x:v>
      </x:c>
      <x:c r="AK829" t="str">
        <x:f>_xlfn.XLOOKUP($A829,Games!$A$2:$A$18,Games!$F$2:$F$18,"Missing game",0)</x:f>
        <x:v>Sunday</x:v>
      </x:c>
      <x:c r="AL829" t="str">
        <x:f>_xlfn.XLOOKUP($A829,Games!$A$2:$A$18,Games!$G$2:$G$18,"Missing game",0)</x:f>
        <x:v>MIN</x:v>
      </x:c>
      <x:c r="AM829" t="n">
        <x:f>_xlfn.XLOOKUP($A829,Games!$A$2:$A$18,Games!$H$2:$H$18,"Missing game",0)</x:f>
        <x:v>21</x:v>
      </x:c>
      <x:c r="AN829" t="str">
        <x:f>_xlfn.XLOOKUP($A829,Games!$A$2:$A$18,Games!$I$2:$I$18,"Missing game",0)</x:f>
        <x:v>CLE</x:v>
      </x:c>
      <x:c r="AO829" t="n">
        <x:f>_xlfn.XLOOKUP($A829,Games!$A$2:$A$18,Games!$J$2:$J$18,"Missing game",0)</x:f>
        <x:v>17</x:v>
      </x:c>
      <x:c r="AP829" t="n">
        <x:f>_xlfn.XLOOKUP($A829,Games!$A$2:$A$18,Games!$K$2:$K$18,"Missing game",0)</x:f>
        <x:v>-4</x:v>
      </x:c>
      <x:c r="AQ829" t="n">
        <x:f>_xlfn.XLOOKUP($A829,Games!$A$2:$A$18,Games!$L$2:$L$18,"Missing game",0)</x:f>
        <x:v>38</x:v>
      </x:c>
      <x:c r="AR829" t="n">
        <x:f>_xlfn.XLOOKUP($A829,Games!$A$2:$A$18,Games!$M$2:$M$18,"Missing game",0)</x:f>
        <x:v>0</x:v>
      </x:c>
      <x:c r="AS829" t="str">
        <x:f>_xlfn.XLOOKUP($A829,Games!$A$2:$A$18,Games!$N$2:$N$18,"Missing game",0)</x:f>
        <x:v>outdoors</x:v>
      </x:c>
      <x:c r="AT829" t="str">
        <x:f>_xlfn.XLOOKUP($A829,Games!$A$2:$A$18,Games!$O$2:$O$18,"Missing game",0)</x:f>
        <x:v>grass</x:v>
      </x:c>
      <x:c r="AU829" t="n">
        <x:f>_xlfn.XLOOKUP($A829,Games!$A$2:$A$18,Games!$P$2:$P$18,"Missing game",0)</x:f>
        <x:v>61</x:v>
      </x:c>
      <x:c r="AV829" t="n">
        <x:f>_xlfn.XLOOKUP($A829,Games!$A$2:$A$18,Games!$Q$2:$Q$18,"Missing game",0)</x:f>
        <x:v>14</x:v>
      </x:c>
      <x:c r="AW829" t="str">
        <x:f>_xlfn.XLOOKUP($A829,Games!$A$2:$A$18,Games!$R$2:$R$18,"Missing game",0)</x:f>
        <x:v>FirstEnergy Stadium</x:v>
      </x:c>
    </x:row>
    <x:row r="830">
      <x:c r="A830" t="str">
        <x:v>2025_05_MIN_CLE</x:v>
      </x:c>
      <x:c r="B830" t="n">
        <x:v>4026</x:v>
      </x:c>
      <x:c r="C830" t="n">
        <x:v>4</x:v>
      </x:c>
      <x:c r="D830" t="str">
        <x:v>03:27</x:v>
      </x:c>
      <x:c r="E830" t="n">
        <x:v>1</x:v>
      </x:c>
      <x:c r="F830" t="n">
        <x:v>10</x:v>
      </x:c>
      <x:c r="G830" t="str">
        <x:v>CLE</x:v>
      </x:c>
      <x:c r="H830" t="str">
        <x:v>MIN</x:v>
      </x:c>
      <x:c r="I830" t="str">
        <x:v>CLE</x:v>
      </x:c>
      <x:c r="J830" t="n">
        <x:v>59</x:v>
      </x:c>
      <x:c r="K830" t="str">
        <x:v>(3:27) 10-Q.Judkins right tackle to CLE 40 for -1 yards (58-J.Greenard, 55-E.Wilson).</x:v>
      </x:c>
      <x:c r="L830" t="str">
        <x:v>run</x:v>
      </x:c>
      <x:c r="M830" t="n">
        <x:v>-1</x:v>
      </x:c>
      <x:c r="N830" t="n">
        <x:v>0</x:v>
      </x:c>
      <x:c r="O830" t="n">
        <x:v>0</x:v>
      </x:c>
      <x:c r="P830"/>
      <x:c r="Q830"/>
      <x:c r="R830"/>
      <x:c r="S830"/>
      <x:c r="T830" t="str">
        <x:v>right</x:v>
      </x:c>
      <x:c r="U830" t="str">
        <x:v>tackle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/>
      <x:c r="AC830" t="n">
        <x:v>0</x:v>
      </x:c>
      <x:c r="AD830" t="n">
        <x:v>-0.5502060537692159</x:v>
      </x:c>
      <x:c r="AE830" t="n">
        <x:v>0</x:v>
      </x:c>
      <x:c r="AF830" t="n">
        <x:v>-0.028355002403259277</x:v>
      </x:c>
      <x:c r="AG830" t="n">
        <x:f>_xlfn.XLOOKUP($A830,Games!$A$2:$A$18,Games!$B$2:$B$18,"Missing game",0)</x:f>
        <x:v>2025</x:v>
      </x:c>
      <x:c r="AH830" t="str">
        <x:f>_xlfn.XLOOKUP($A830,Games!$A$2:$A$18,Games!$C$2:$C$18,"Missing game",0)</x:f>
        <x:v>REG</x:v>
      </x:c>
      <x:c r="AI830" t="n">
        <x:f>_xlfn.XLOOKUP($A830,Games!$A$2:$A$18,Games!$D$2:$D$18,"Missing game",0)</x:f>
        <x:v>5</x:v>
      </x:c>
      <x:c r="AJ830" s="1" t="n">
        <x:f>_xlfn.XLOOKUP($A830,Games!$A$2:$A$18,Games!$E$2:$E$18,"Missing game",0)</x:f>
        <x:v>45935</x:v>
      </x:c>
      <x:c r="AK830" t="str">
        <x:f>_xlfn.XLOOKUP($A830,Games!$A$2:$A$18,Games!$F$2:$F$18,"Missing game",0)</x:f>
        <x:v>Sunday</x:v>
      </x:c>
      <x:c r="AL830" t="str">
        <x:f>_xlfn.XLOOKUP($A830,Games!$A$2:$A$18,Games!$G$2:$G$18,"Missing game",0)</x:f>
        <x:v>MIN</x:v>
      </x:c>
      <x:c r="AM830" t="n">
        <x:f>_xlfn.XLOOKUP($A830,Games!$A$2:$A$18,Games!$H$2:$H$18,"Missing game",0)</x:f>
        <x:v>21</x:v>
      </x:c>
      <x:c r="AN830" t="str">
        <x:f>_xlfn.XLOOKUP($A830,Games!$A$2:$A$18,Games!$I$2:$I$18,"Missing game",0)</x:f>
        <x:v>CLE</x:v>
      </x:c>
      <x:c r="AO830" t="n">
        <x:f>_xlfn.XLOOKUP($A830,Games!$A$2:$A$18,Games!$J$2:$J$18,"Missing game",0)</x:f>
        <x:v>17</x:v>
      </x:c>
      <x:c r="AP830" t="n">
        <x:f>_xlfn.XLOOKUP($A830,Games!$A$2:$A$18,Games!$K$2:$K$18,"Missing game",0)</x:f>
        <x:v>-4</x:v>
      </x:c>
      <x:c r="AQ830" t="n">
        <x:f>_xlfn.XLOOKUP($A830,Games!$A$2:$A$18,Games!$L$2:$L$18,"Missing game",0)</x:f>
        <x:v>38</x:v>
      </x:c>
      <x:c r="AR830" t="n">
        <x:f>_xlfn.XLOOKUP($A830,Games!$A$2:$A$18,Games!$M$2:$M$18,"Missing game",0)</x:f>
        <x:v>0</x:v>
      </x:c>
      <x:c r="AS830" t="str">
        <x:f>_xlfn.XLOOKUP($A830,Games!$A$2:$A$18,Games!$N$2:$N$18,"Missing game",0)</x:f>
        <x:v>outdoors</x:v>
      </x:c>
      <x:c r="AT830" t="str">
        <x:f>_xlfn.XLOOKUP($A830,Games!$A$2:$A$18,Games!$O$2:$O$18,"Missing game",0)</x:f>
        <x:v>grass</x:v>
      </x:c>
      <x:c r="AU830" t="n">
        <x:f>_xlfn.XLOOKUP($A830,Games!$A$2:$A$18,Games!$P$2:$P$18,"Missing game",0)</x:f>
        <x:v>61</x:v>
      </x:c>
      <x:c r="AV830" t="n">
        <x:f>_xlfn.XLOOKUP($A830,Games!$A$2:$A$18,Games!$Q$2:$Q$18,"Missing game",0)</x:f>
        <x:v>14</x:v>
      </x:c>
      <x:c r="AW830" t="str">
        <x:f>_xlfn.XLOOKUP($A830,Games!$A$2:$A$18,Games!$R$2:$R$18,"Missing game",0)</x:f>
        <x:v>FirstEnergy Stadium</x:v>
      </x:c>
    </x:row>
    <x:row r="831">
      <x:c r="A831" t="str">
        <x:v>2025_05_MIN_CLE</x:v>
      </x:c>
      <x:c r="B831" t="n">
        <x:v>4048</x:v>
      </x:c>
      <x:c r="C831" t="n">
        <x:v>4</x:v>
      </x:c>
      <x:c r="D831" t="str">
        <x:v>03:24</x:v>
      </x:c>
      <x:c r="E831" t="n">
        <x:v>2</x:v>
      </x:c>
      <x:c r="F831" t="n">
        <x:v>11</x:v>
      </x:c>
      <x:c r="G831" t="str">
        <x:v>CLE</x:v>
      </x:c>
      <x:c r="H831" t="str">
        <x:v>MIN</x:v>
      </x:c>
      <x:c r="I831" t="str">
        <x:v>CLE</x:v>
      </x:c>
      <x:c r="J831" t="n">
        <x:v>60</x:v>
      </x:c>
      <x:c r="K831" t="str">
        <x:v>(3:24) 10-Q.Judkins right guard to CLE 40 for no gain (97-J.Hargrave; 15-D.Turner).</x:v>
      </x:c>
      <x:c r="L831" t="str">
        <x:v>run</x:v>
      </x:c>
      <x:c r="M831" t="n">
        <x:v>0</x:v>
      </x:c>
      <x:c r="N831" t="n">
        <x:v>0</x:v>
      </x:c>
      <x:c r="O831" t="n">
        <x:v>0</x:v>
      </x:c>
      <x:c r="P831"/>
      <x:c r="Q831"/>
      <x:c r="R831"/>
      <x:c r="S831"/>
      <x:c r="T831" t="str">
        <x:v>right</x:v>
      </x:c>
      <x:c r="U831" t="str">
        <x:v>guard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/>
      <x:c r="AC831" t="n">
        <x:v>0</x:v>
      </x:c>
      <x:c r="AD831" t="n">
        <x:v>-0.7925316941691563</x:v>
      </x:c>
      <x:c r="AE831" t="n">
        <x:v>0</x:v>
      </x:c>
      <x:c r="AF831" t="n">
        <x:v>-0.02708566188812256</x:v>
      </x:c>
      <x:c r="AG831" t="n">
        <x:f>_xlfn.XLOOKUP($A831,Games!$A$2:$A$18,Games!$B$2:$B$18,"Missing game",0)</x:f>
        <x:v>2025</x:v>
      </x:c>
      <x:c r="AH831" t="str">
        <x:f>_xlfn.XLOOKUP($A831,Games!$A$2:$A$18,Games!$C$2:$C$18,"Missing game",0)</x:f>
        <x:v>REG</x:v>
      </x:c>
      <x:c r="AI831" t="n">
        <x:f>_xlfn.XLOOKUP($A831,Games!$A$2:$A$18,Games!$D$2:$D$18,"Missing game",0)</x:f>
        <x:v>5</x:v>
      </x:c>
      <x:c r="AJ831" s="1" t="n">
        <x:f>_xlfn.XLOOKUP($A831,Games!$A$2:$A$18,Games!$E$2:$E$18,"Missing game",0)</x:f>
        <x:v>45935</x:v>
      </x:c>
      <x:c r="AK831" t="str">
        <x:f>_xlfn.XLOOKUP($A831,Games!$A$2:$A$18,Games!$F$2:$F$18,"Missing game",0)</x:f>
        <x:v>Sunday</x:v>
      </x:c>
      <x:c r="AL831" t="str">
        <x:f>_xlfn.XLOOKUP($A831,Games!$A$2:$A$18,Games!$G$2:$G$18,"Missing game",0)</x:f>
        <x:v>MIN</x:v>
      </x:c>
      <x:c r="AM831" t="n">
        <x:f>_xlfn.XLOOKUP($A831,Games!$A$2:$A$18,Games!$H$2:$H$18,"Missing game",0)</x:f>
        <x:v>21</x:v>
      </x:c>
      <x:c r="AN831" t="str">
        <x:f>_xlfn.XLOOKUP($A831,Games!$A$2:$A$18,Games!$I$2:$I$18,"Missing game",0)</x:f>
        <x:v>CLE</x:v>
      </x:c>
      <x:c r="AO831" t="n">
        <x:f>_xlfn.XLOOKUP($A831,Games!$A$2:$A$18,Games!$J$2:$J$18,"Missing game",0)</x:f>
        <x:v>17</x:v>
      </x:c>
      <x:c r="AP831" t="n">
        <x:f>_xlfn.XLOOKUP($A831,Games!$A$2:$A$18,Games!$K$2:$K$18,"Missing game",0)</x:f>
        <x:v>-4</x:v>
      </x:c>
      <x:c r="AQ831" t="n">
        <x:f>_xlfn.XLOOKUP($A831,Games!$A$2:$A$18,Games!$L$2:$L$18,"Missing game",0)</x:f>
        <x:v>38</x:v>
      </x:c>
      <x:c r="AR831" t="n">
        <x:f>_xlfn.XLOOKUP($A831,Games!$A$2:$A$18,Games!$M$2:$M$18,"Missing game",0)</x:f>
        <x:v>0</x:v>
      </x:c>
      <x:c r="AS831" t="str">
        <x:f>_xlfn.XLOOKUP($A831,Games!$A$2:$A$18,Games!$N$2:$N$18,"Missing game",0)</x:f>
        <x:v>outdoors</x:v>
      </x:c>
      <x:c r="AT831" t="str">
        <x:f>_xlfn.XLOOKUP($A831,Games!$A$2:$A$18,Games!$O$2:$O$18,"Missing game",0)</x:f>
        <x:v>grass</x:v>
      </x:c>
      <x:c r="AU831" t="n">
        <x:f>_xlfn.XLOOKUP($A831,Games!$A$2:$A$18,Games!$P$2:$P$18,"Missing game",0)</x:f>
        <x:v>61</x:v>
      </x:c>
      <x:c r="AV831" t="n">
        <x:f>_xlfn.XLOOKUP($A831,Games!$A$2:$A$18,Games!$Q$2:$Q$18,"Missing game",0)</x:f>
        <x:v>14</x:v>
      </x:c>
      <x:c r="AW831" t="str">
        <x:f>_xlfn.XLOOKUP($A831,Games!$A$2:$A$18,Games!$R$2:$R$18,"Missing game",0)</x:f>
        <x:v>FirstEnergy Stadium</x:v>
      </x:c>
    </x:row>
    <x:row r="832">
      <x:c r="A832" t="str">
        <x:v>2025_05_MIN_CLE</x:v>
      </x:c>
      <x:c r="B832" t="n">
        <x:v>4060</x:v>
      </x:c>
      <x:c r="C832" t="n">
        <x:v>4</x:v>
      </x:c>
      <x:c r="D832" t="str">
        <x:v>03:24</x:v>
      </x:c>
      <x:c r="E832"/>
      <x:c r="F832" t="n">
        <x:v>0</x:v>
      </x:c>
      <x:c r="G832"/>
      <x:c r="H832"/>
      <x:c r="I832"/>
      <x:c r="J832"/>
      <x:c r="K832" t="str">
        <x:v>Timeout #1 by MIN at 03:24.</x:v>
      </x:c>
      <x:c r="L832" t="str">
        <x:v>no_play</x:v>
      </x:c>
      <x:c r="M832" t="n">
        <x:v>0</x:v>
      </x:c>
      <x:c r="N832" t="n">
        <x:v>0</x:v>
      </x:c>
      <x:c r="O832" t="n">
        <x:v>0</x:v>
      </x:c>
      <x:c r="P832"/>
      <x:c r="Q832"/>
      <x:c r="R832"/>
      <x:c r="S832"/>
      <x:c r="T832"/>
      <x:c r="U832"/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/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f>_xlfn.XLOOKUP($A832,Games!$A$2:$A$18,Games!$B$2:$B$18,"Missing game",0)</x:f>
        <x:v>2025</x:v>
      </x:c>
      <x:c r="AH832" t="str">
        <x:f>_xlfn.XLOOKUP($A832,Games!$A$2:$A$18,Games!$C$2:$C$18,"Missing game",0)</x:f>
        <x:v>REG</x:v>
      </x:c>
      <x:c r="AI832" t="n">
        <x:f>_xlfn.XLOOKUP($A832,Games!$A$2:$A$18,Games!$D$2:$D$18,"Missing game",0)</x:f>
        <x:v>5</x:v>
      </x:c>
      <x:c r="AJ832" s="1" t="n">
        <x:f>_xlfn.XLOOKUP($A832,Games!$A$2:$A$18,Games!$E$2:$E$18,"Missing game",0)</x:f>
        <x:v>45935</x:v>
      </x:c>
      <x:c r="AK832" t="str">
        <x:f>_xlfn.XLOOKUP($A832,Games!$A$2:$A$18,Games!$F$2:$F$18,"Missing game",0)</x:f>
        <x:v>Sunday</x:v>
      </x:c>
      <x:c r="AL832" t="str">
        <x:f>_xlfn.XLOOKUP($A832,Games!$A$2:$A$18,Games!$G$2:$G$18,"Missing game",0)</x:f>
        <x:v>MIN</x:v>
      </x:c>
      <x:c r="AM832" t="n">
        <x:f>_xlfn.XLOOKUP($A832,Games!$A$2:$A$18,Games!$H$2:$H$18,"Missing game",0)</x:f>
        <x:v>21</x:v>
      </x:c>
      <x:c r="AN832" t="str">
        <x:f>_xlfn.XLOOKUP($A832,Games!$A$2:$A$18,Games!$I$2:$I$18,"Missing game",0)</x:f>
        <x:v>CLE</x:v>
      </x:c>
      <x:c r="AO832" t="n">
        <x:f>_xlfn.XLOOKUP($A832,Games!$A$2:$A$18,Games!$J$2:$J$18,"Missing game",0)</x:f>
        <x:v>17</x:v>
      </x:c>
      <x:c r="AP832" t="n">
        <x:f>_xlfn.XLOOKUP($A832,Games!$A$2:$A$18,Games!$K$2:$K$18,"Missing game",0)</x:f>
        <x:v>-4</x:v>
      </x:c>
      <x:c r="AQ832" t="n">
        <x:f>_xlfn.XLOOKUP($A832,Games!$A$2:$A$18,Games!$L$2:$L$18,"Missing game",0)</x:f>
        <x:v>38</x:v>
      </x:c>
      <x:c r="AR832" t="n">
        <x:f>_xlfn.XLOOKUP($A832,Games!$A$2:$A$18,Games!$M$2:$M$18,"Missing game",0)</x:f>
        <x:v>0</x:v>
      </x:c>
      <x:c r="AS832" t="str">
        <x:f>_xlfn.XLOOKUP($A832,Games!$A$2:$A$18,Games!$N$2:$N$18,"Missing game",0)</x:f>
        <x:v>outdoors</x:v>
      </x:c>
      <x:c r="AT832" t="str">
        <x:f>_xlfn.XLOOKUP($A832,Games!$A$2:$A$18,Games!$O$2:$O$18,"Missing game",0)</x:f>
        <x:v>grass</x:v>
      </x:c>
      <x:c r="AU832" t="n">
        <x:f>_xlfn.XLOOKUP($A832,Games!$A$2:$A$18,Games!$P$2:$P$18,"Missing game",0)</x:f>
        <x:v>61</x:v>
      </x:c>
      <x:c r="AV832" t="n">
        <x:f>_xlfn.XLOOKUP($A832,Games!$A$2:$A$18,Games!$Q$2:$Q$18,"Missing game",0)</x:f>
        <x:v>14</x:v>
      </x:c>
      <x:c r="AW832" t="str">
        <x:f>_xlfn.XLOOKUP($A832,Games!$A$2:$A$18,Games!$R$2:$R$18,"Missing game",0)</x:f>
        <x:v>FirstEnergy Stadium</x:v>
      </x:c>
    </x:row>
    <x:row r="833">
      <x:c r="A833" t="str">
        <x:v>2025_05_MIN_CLE</x:v>
      </x:c>
      <x:c r="B833" t="n">
        <x:v>4077</x:v>
      </x:c>
      <x:c r="C833" t="n">
        <x:v>4</x:v>
      </x:c>
      <x:c r="D833" t="str">
        <x:v>03:20</x:v>
      </x:c>
      <x:c r="E833" t="n">
        <x:v>3</x:v>
      </x:c>
      <x:c r="F833" t="n">
        <x:v>11</x:v>
      </x:c>
      <x:c r="G833" t="str">
        <x:v>CLE</x:v>
      </x:c>
      <x:c r="H833" t="str">
        <x:v>MIN</x:v>
      </x:c>
      <x:c r="I833" t="str">
        <x:v>CLE</x:v>
      </x:c>
      <x:c r="J833" t="n">
        <x:v>60</x:v>
      </x:c>
      <x:c r="K833" t="str">
        <x:v>(3:20) (Shotgun) 8-D.Gabriel pass incomplete deep right to 16-I.Bond.</x:v>
      </x:c>
      <x:c r="L833" t="str">
        <x:v>pass</x:v>
      </x:c>
      <x:c r="M833" t="n">
        <x:v>0</x:v>
      </x:c>
      <x:c r="N833" t="n">
        <x:v>1</x:v>
      </x:c>
      <x:c r="O833" t="n">
        <x:v>0</x:v>
      </x:c>
      <x:c r="P833" t="str">
        <x:v>deep</x:v>
      </x:c>
      <x:c r="Q833" t="str">
        <x:v>right</x:v>
      </x:c>
      <x:c r="R833" t="n">
        <x:v>23</x:v>
      </x:c>
      <x:c r="S833"/>
      <x:c r="T833"/>
      <x:c r="U833"/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/>
      <x:c r="AC833" t="n">
        <x:v>0</x:v>
      </x:c>
      <x:c r="AD833" t="n">
        <x:v>-0.8097004237351939</x:v>
      </x:c>
      <x:c r="AE833" t="n">
        <x:v>0</x:v>
      </x:c>
      <x:c r="AF833" t="n">
        <x:v>-0.05895572900772095</x:v>
      </x:c>
      <x:c r="AG833" t="n">
        <x:f>_xlfn.XLOOKUP($A833,Games!$A$2:$A$18,Games!$B$2:$B$18,"Missing game",0)</x:f>
        <x:v>2025</x:v>
      </x:c>
      <x:c r="AH833" t="str">
        <x:f>_xlfn.XLOOKUP($A833,Games!$A$2:$A$18,Games!$C$2:$C$18,"Missing game",0)</x:f>
        <x:v>REG</x:v>
      </x:c>
      <x:c r="AI833" t="n">
        <x:f>_xlfn.XLOOKUP($A833,Games!$A$2:$A$18,Games!$D$2:$D$18,"Missing game",0)</x:f>
        <x:v>5</x:v>
      </x:c>
      <x:c r="AJ833" s="1" t="n">
        <x:f>_xlfn.XLOOKUP($A833,Games!$A$2:$A$18,Games!$E$2:$E$18,"Missing game",0)</x:f>
        <x:v>45935</x:v>
      </x:c>
      <x:c r="AK833" t="str">
        <x:f>_xlfn.XLOOKUP($A833,Games!$A$2:$A$18,Games!$F$2:$F$18,"Missing game",0)</x:f>
        <x:v>Sunday</x:v>
      </x:c>
      <x:c r="AL833" t="str">
        <x:f>_xlfn.XLOOKUP($A833,Games!$A$2:$A$18,Games!$G$2:$G$18,"Missing game",0)</x:f>
        <x:v>MIN</x:v>
      </x:c>
      <x:c r="AM833" t="n">
        <x:f>_xlfn.XLOOKUP($A833,Games!$A$2:$A$18,Games!$H$2:$H$18,"Missing game",0)</x:f>
        <x:v>21</x:v>
      </x:c>
      <x:c r="AN833" t="str">
        <x:f>_xlfn.XLOOKUP($A833,Games!$A$2:$A$18,Games!$I$2:$I$18,"Missing game",0)</x:f>
        <x:v>CLE</x:v>
      </x:c>
      <x:c r="AO833" t="n">
        <x:f>_xlfn.XLOOKUP($A833,Games!$A$2:$A$18,Games!$J$2:$J$18,"Missing game",0)</x:f>
        <x:v>17</x:v>
      </x:c>
      <x:c r="AP833" t="n">
        <x:f>_xlfn.XLOOKUP($A833,Games!$A$2:$A$18,Games!$K$2:$K$18,"Missing game",0)</x:f>
        <x:v>-4</x:v>
      </x:c>
      <x:c r="AQ833" t="n">
        <x:f>_xlfn.XLOOKUP($A833,Games!$A$2:$A$18,Games!$L$2:$L$18,"Missing game",0)</x:f>
        <x:v>38</x:v>
      </x:c>
      <x:c r="AR833" t="n">
        <x:f>_xlfn.XLOOKUP($A833,Games!$A$2:$A$18,Games!$M$2:$M$18,"Missing game",0)</x:f>
        <x:v>0</x:v>
      </x:c>
      <x:c r="AS833" t="str">
        <x:f>_xlfn.XLOOKUP($A833,Games!$A$2:$A$18,Games!$N$2:$N$18,"Missing game",0)</x:f>
        <x:v>outdoors</x:v>
      </x:c>
      <x:c r="AT833" t="str">
        <x:f>_xlfn.XLOOKUP($A833,Games!$A$2:$A$18,Games!$O$2:$O$18,"Missing game",0)</x:f>
        <x:v>grass</x:v>
      </x:c>
      <x:c r="AU833" t="n">
        <x:f>_xlfn.XLOOKUP($A833,Games!$A$2:$A$18,Games!$P$2:$P$18,"Missing game",0)</x:f>
        <x:v>61</x:v>
      </x:c>
      <x:c r="AV833" t="n">
        <x:f>_xlfn.XLOOKUP($A833,Games!$A$2:$A$18,Games!$Q$2:$Q$18,"Missing game",0)</x:f>
        <x:v>14</x:v>
      </x:c>
      <x:c r="AW833" t="str">
        <x:f>_xlfn.XLOOKUP($A833,Games!$A$2:$A$18,Games!$R$2:$R$18,"Missing game",0)</x:f>
        <x:v>FirstEnergy Stadium</x:v>
      </x:c>
    </x:row>
    <x:row r="834">
      <x:c r="A834" t="str">
        <x:v>2025_05_MIN_CLE</x:v>
      </x:c>
      <x:c r="B834" t="n">
        <x:v>4089</x:v>
      </x:c>
      <x:c r="C834" t="n">
        <x:v>4</x:v>
      </x:c>
      <x:c r="D834" t="str">
        <x:v>03:20</x:v>
      </x:c>
      <x:c r="E834"/>
      <x:c r="F834" t="n">
        <x:v>0</x:v>
      </x:c>
      <x:c r="G834"/>
      <x:c r="H834"/>
      <x:c r="I834"/>
      <x:c r="J834"/>
      <x:c r="K834" t="str">
        <x:v>Timeout #2 by MIN at 03:20.</x:v>
      </x:c>
      <x:c r="L834" t="str">
        <x:v>no_play</x:v>
      </x:c>
      <x:c r="M834" t="n">
        <x:v>0</x:v>
      </x:c>
      <x:c r="N834" t="n">
        <x:v>0</x:v>
      </x:c>
      <x:c r="O834" t="n">
        <x:v>0</x:v>
      </x:c>
      <x:c r="P834"/>
      <x:c r="Q834"/>
      <x:c r="R834"/>
      <x:c r="S834"/>
      <x:c r="T834"/>
      <x:c r="U834"/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/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f>_xlfn.XLOOKUP($A834,Games!$A$2:$A$18,Games!$B$2:$B$18,"Missing game",0)</x:f>
        <x:v>2025</x:v>
      </x:c>
      <x:c r="AH834" t="str">
        <x:f>_xlfn.XLOOKUP($A834,Games!$A$2:$A$18,Games!$C$2:$C$18,"Missing game",0)</x:f>
        <x:v>REG</x:v>
      </x:c>
      <x:c r="AI834" t="n">
        <x:f>_xlfn.XLOOKUP($A834,Games!$A$2:$A$18,Games!$D$2:$D$18,"Missing game",0)</x:f>
        <x:v>5</x:v>
      </x:c>
      <x:c r="AJ834" s="1" t="n">
        <x:f>_xlfn.XLOOKUP($A834,Games!$A$2:$A$18,Games!$E$2:$E$18,"Missing game",0)</x:f>
        <x:v>45935</x:v>
      </x:c>
      <x:c r="AK834" t="str">
        <x:f>_xlfn.XLOOKUP($A834,Games!$A$2:$A$18,Games!$F$2:$F$18,"Missing game",0)</x:f>
        <x:v>Sunday</x:v>
      </x:c>
      <x:c r="AL834" t="str">
        <x:f>_xlfn.XLOOKUP($A834,Games!$A$2:$A$18,Games!$G$2:$G$18,"Missing game",0)</x:f>
        <x:v>MIN</x:v>
      </x:c>
      <x:c r="AM834" t="n">
        <x:f>_xlfn.XLOOKUP($A834,Games!$A$2:$A$18,Games!$H$2:$H$18,"Missing game",0)</x:f>
        <x:v>21</x:v>
      </x:c>
      <x:c r="AN834" t="str">
        <x:f>_xlfn.XLOOKUP($A834,Games!$A$2:$A$18,Games!$I$2:$I$18,"Missing game",0)</x:f>
        <x:v>CLE</x:v>
      </x:c>
      <x:c r="AO834" t="n">
        <x:f>_xlfn.XLOOKUP($A834,Games!$A$2:$A$18,Games!$J$2:$J$18,"Missing game",0)</x:f>
        <x:v>17</x:v>
      </x:c>
      <x:c r="AP834" t="n">
        <x:f>_xlfn.XLOOKUP($A834,Games!$A$2:$A$18,Games!$K$2:$K$18,"Missing game",0)</x:f>
        <x:v>-4</x:v>
      </x:c>
      <x:c r="AQ834" t="n">
        <x:f>_xlfn.XLOOKUP($A834,Games!$A$2:$A$18,Games!$L$2:$L$18,"Missing game",0)</x:f>
        <x:v>38</x:v>
      </x:c>
      <x:c r="AR834" t="n">
        <x:f>_xlfn.XLOOKUP($A834,Games!$A$2:$A$18,Games!$M$2:$M$18,"Missing game",0)</x:f>
        <x:v>0</x:v>
      </x:c>
      <x:c r="AS834" t="str">
        <x:f>_xlfn.XLOOKUP($A834,Games!$A$2:$A$18,Games!$N$2:$N$18,"Missing game",0)</x:f>
        <x:v>outdoors</x:v>
      </x:c>
      <x:c r="AT834" t="str">
        <x:f>_xlfn.XLOOKUP($A834,Games!$A$2:$A$18,Games!$O$2:$O$18,"Missing game",0)</x:f>
        <x:v>grass</x:v>
      </x:c>
      <x:c r="AU834" t="n">
        <x:f>_xlfn.XLOOKUP($A834,Games!$A$2:$A$18,Games!$P$2:$P$18,"Missing game",0)</x:f>
        <x:v>61</x:v>
      </x:c>
      <x:c r="AV834" t="n">
        <x:f>_xlfn.XLOOKUP($A834,Games!$A$2:$A$18,Games!$Q$2:$Q$18,"Missing game",0)</x:f>
        <x:v>14</x:v>
      </x:c>
      <x:c r="AW834" t="str">
        <x:f>_xlfn.XLOOKUP($A834,Games!$A$2:$A$18,Games!$R$2:$R$18,"Missing game",0)</x:f>
        <x:v>FirstEnergy Stadium</x:v>
      </x:c>
    </x:row>
    <x:row r="835">
      <x:c r="A835" t="str">
        <x:v>2025_05_MIN_CLE</x:v>
      </x:c>
      <x:c r="B835" t="n">
        <x:v>4107</x:v>
      </x:c>
      <x:c r="C835" t="n">
        <x:v>4</x:v>
      </x:c>
      <x:c r="D835" t="str">
        <x:v>03:16</x:v>
      </x:c>
      <x:c r="E835" t="n">
        <x:v>4</x:v>
      </x:c>
      <x:c r="F835" t="n">
        <x:v>11</x:v>
      </x:c>
      <x:c r="G835" t="str">
        <x:v>CLE</x:v>
      </x:c>
      <x:c r="H835" t="str">
        <x:v>MIN</x:v>
      </x:c>
      <x:c r="I835" t="str">
        <x:v>CLE</x:v>
      </x:c>
      <x:c r="J835" t="n">
        <x:v>60</x:v>
      </x:c>
      <x:c r="K835" t="str">
        <x:v>(3:16) 13-C.Bojorquez punts 43 yards to MIN 17, Center-50-R.Sunahara. 4-M.Price to MIN 20 for 3 yards (31-D.McMillon; 28-T.Avery).</x:v>
      </x:c>
      <x:c r="L835" t="str">
        <x:v>punt</x:v>
      </x:c>
      <x:c r="M835" t="n">
        <x:v>0</x:v>
      </x:c>
      <x:c r="N835" t="n">
        <x:v>0</x:v>
      </x:c>
      <x:c r="O835" t="n">
        <x:v>0</x:v>
      </x:c>
      <x:c r="P835"/>
      <x:c r="Q835"/>
      <x:c r="R835"/>
      <x:c r="S835"/>
      <x:c r="T835"/>
      <x:c r="U835"/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/>
      <x:c r="AC835" t="n">
        <x:v>0</x:v>
      </x:c>
      <x:c r="AD835" t="n">
        <x:v>-0.27398506039753556</x:v>
      </x:c>
      <x:c r="AE835" t="n">
        <x:v>0</x:v>
      </x:c>
      <x:c r="AF835" t="n">
        <x:v>0.019075512886047363</x:v>
      </x:c>
      <x:c r="AG835" t="n">
        <x:f>_xlfn.XLOOKUP($A835,Games!$A$2:$A$18,Games!$B$2:$B$18,"Missing game",0)</x:f>
        <x:v>2025</x:v>
      </x:c>
      <x:c r="AH835" t="str">
        <x:f>_xlfn.XLOOKUP($A835,Games!$A$2:$A$18,Games!$C$2:$C$18,"Missing game",0)</x:f>
        <x:v>REG</x:v>
      </x:c>
      <x:c r="AI835" t="n">
        <x:f>_xlfn.XLOOKUP($A835,Games!$A$2:$A$18,Games!$D$2:$D$18,"Missing game",0)</x:f>
        <x:v>5</x:v>
      </x:c>
      <x:c r="AJ835" s="1" t="n">
        <x:f>_xlfn.XLOOKUP($A835,Games!$A$2:$A$18,Games!$E$2:$E$18,"Missing game",0)</x:f>
        <x:v>45935</x:v>
      </x:c>
      <x:c r="AK835" t="str">
        <x:f>_xlfn.XLOOKUP($A835,Games!$A$2:$A$18,Games!$F$2:$F$18,"Missing game",0)</x:f>
        <x:v>Sunday</x:v>
      </x:c>
      <x:c r="AL835" t="str">
        <x:f>_xlfn.XLOOKUP($A835,Games!$A$2:$A$18,Games!$G$2:$G$18,"Missing game",0)</x:f>
        <x:v>MIN</x:v>
      </x:c>
      <x:c r="AM835" t="n">
        <x:f>_xlfn.XLOOKUP($A835,Games!$A$2:$A$18,Games!$H$2:$H$18,"Missing game",0)</x:f>
        <x:v>21</x:v>
      </x:c>
      <x:c r="AN835" t="str">
        <x:f>_xlfn.XLOOKUP($A835,Games!$A$2:$A$18,Games!$I$2:$I$18,"Missing game",0)</x:f>
        <x:v>CLE</x:v>
      </x:c>
      <x:c r="AO835" t="n">
        <x:f>_xlfn.XLOOKUP($A835,Games!$A$2:$A$18,Games!$J$2:$J$18,"Missing game",0)</x:f>
        <x:v>17</x:v>
      </x:c>
      <x:c r="AP835" t="n">
        <x:f>_xlfn.XLOOKUP($A835,Games!$A$2:$A$18,Games!$K$2:$K$18,"Missing game",0)</x:f>
        <x:v>-4</x:v>
      </x:c>
      <x:c r="AQ835" t="n">
        <x:f>_xlfn.XLOOKUP($A835,Games!$A$2:$A$18,Games!$L$2:$L$18,"Missing game",0)</x:f>
        <x:v>38</x:v>
      </x:c>
      <x:c r="AR835" t="n">
        <x:f>_xlfn.XLOOKUP($A835,Games!$A$2:$A$18,Games!$M$2:$M$18,"Missing game",0)</x:f>
        <x:v>0</x:v>
      </x:c>
      <x:c r="AS835" t="str">
        <x:f>_xlfn.XLOOKUP($A835,Games!$A$2:$A$18,Games!$N$2:$N$18,"Missing game",0)</x:f>
        <x:v>outdoors</x:v>
      </x:c>
      <x:c r="AT835" t="str">
        <x:f>_xlfn.XLOOKUP($A835,Games!$A$2:$A$18,Games!$O$2:$O$18,"Missing game",0)</x:f>
        <x:v>grass</x:v>
      </x:c>
      <x:c r="AU835" t="n">
        <x:f>_xlfn.XLOOKUP($A835,Games!$A$2:$A$18,Games!$P$2:$P$18,"Missing game",0)</x:f>
        <x:v>61</x:v>
      </x:c>
      <x:c r="AV835" t="n">
        <x:f>_xlfn.XLOOKUP($A835,Games!$A$2:$A$18,Games!$Q$2:$Q$18,"Missing game",0)</x:f>
        <x:v>14</x:v>
      </x:c>
      <x:c r="AW835" t="str">
        <x:f>_xlfn.XLOOKUP($A835,Games!$A$2:$A$18,Games!$R$2:$R$18,"Missing game",0)</x:f>
        <x:v>FirstEnergy Stadium</x:v>
      </x:c>
    </x:row>
    <x:row r="836">
      <x:c r="A836" t="str">
        <x:v>2025_05_MIN_CLE</x:v>
      </x:c>
      <x:c r="B836" t="n">
        <x:v>4133</x:v>
      </x:c>
      <x:c r="C836" t="n">
        <x:v>4</x:v>
      </x:c>
      <x:c r="D836" t="str">
        <x:v>03:05</x:v>
      </x:c>
      <x:c r="E836" t="n">
        <x:v>1</x:v>
      </x:c>
      <x:c r="F836" t="n">
        <x:v>10</x:v>
      </x:c>
      <x:c r="G836" t="str">
        <x:v>MIN</x:v>
      </x:c>
      <x:c r="H836" t="str">
        <x:v>CLE</x:v>
      </x:c>
      <x:c r="I836" t="str">
        <x:v>MIN</x:v>
      </x:c>
      <x:c r="J836" t="n">
        <x:v>80</x:v>
      </x:c>
      <x:c r="K836" t="str">
        <x:v>(3:05) (Shotgun) 27-J.Mason right tackle to MIN 29 for 9 yards (49-C.Schwesinger; 33-R.Hickman).</x:v>
      </x:c>
      <x:c r="L836" t="str">
        <x:v>run</x:v>
      </x:c>
      <x:c r="M836" t="n">
        <x:v>9</x:v>
      </x:c>
      <x:c r="N836" t="n">
        <x:v>1</x:v>
      </x:c>
      <x:c r="O836" t="n">
        <x:v>0</x:v>
      </x:c>
      <x:c r="P836"/>
      <x:c r="Q836"/>
      <x:c r="R836"/>
      <x:c r="S836"/>
      <x:c r="T836" t="str">
        <x:v>right</x:v>
      </x:c>
      <x:c r="U836" t="str">
        <x:v>tackle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/>
      <x:c r="AC836" t="n">
        <x:v>0</x:v>
      </x:c>
      <x:c r="AD836" t="n">
        <x:v>0.5145515851909295</x:v>
      </x:c>
      <x:c r="AE836" t="n">
        <x:v>1</x:v>
      </x:c>
      <x:c r="AF836" t="n">
        <x:v>0.023279964923858643</x:v>
      </x:c>
      <x:c r="AG836" t="n">
        <x:f>_xlfn.XLOOKUP($A836,Games!$A$2:$A$18,Games!$B$2:$B$18,"Missing game",0)</x:f>
        <x:v>2025</x:v>
      </x:c>
      <x:c r="AH836" t="str">
        <x:f>_xlfn.XLOOKUP($A836,Games!$A$2:$A$18,Games!$C$2:$C$18,"Missing game",0)</x:f>
        <x:v>REG</x:v>
      </x:c>
      <x:c r="AI836" t="n">
        <x:f>_xlfn.XLOOKUP($A836,Games!$A$2:$A$18,Games!$D$2:$D$18,"Missing game",0)</x:f>
        <x:v>5</x:v>
      </x:c>
      <x:c r="AJ836" s="1" t="n">
        <x:f>_xlfn.XLOOKUP($A836,Games!$A$2:$A$18,Games!$E$2:$E$18,"Missing game",0)</x:f>
        <x:v>45935</x:v>
      </x:c>
      <x:c r="AK836" t="str">
        <x:f>_xlfn.XLOOKUP($A836,Games!$A$2:$A$18,Games!$F$2:$F$18,"Missing game",0)</x:f>
        <x:v>Sunday</x:v>
      </x:c>
      <x:c r="AL836" t="str">
        <x:f>_xlfn.XLOOKUP($A836,Games!$A$2:$A$18,Games!$G$2:$G$18,"Missing game",0)</x:f>
        <x:v>MIN</x:v>
      </x:c>
      <x:c r="AM836" t="n">
        <x:f>_xlfn.XLOOKUP($A836,Games!$A$2:$A$18,Games!$H$2:$H$18,"Missing game",0)</x:f>
        <x:v>21</x:v>
      </x:c>
      <x:c r="AN836" t="str">
        <x:f>_xlfn.XLOOKUP($A836,Games!$A$2:$A$18,Games!$I$2:$I$18,"Missing game",0)</x:f>
        <x:v>CLE</x:v>
      </x:c>
      <x:c r="AO836" t="n">
        <x:f>_xlfn.XLOOKUP($A836,Games!$A$2:$A$18,Games!$J$2:$J$18,"Missing game",0)</x:f>
        <x:v>17</x:v>
      </x:c>
      <x:c r="AP836" t="n">
        <x:f>_xlfn.XLOOKUP($A836,Games!$A$2:$A$18,Games!$K$2:$K$18,"Missing game",0)</x:f>
        <x:v>-4</x:v>
      </x:c>
      <x:c r="AQ836" t="n">
        <x:f>_xlfn.XLOOKUP($A836,Games!$A$2:$A$18,Games!$L$2:$L$18,"Missing game",0)</x:f>
        <x:v>38</x:v>
      </x:c>
      <x:c r="AR836" t="n">
        <x:f>_xlfn.XLOOKUP($A836,Games!$A$2:$A$18,Games!$M$2:$M$18,"Missing game",0)</x:f>
        <x:v>0</x:v>
      </x:c>
      <x:c r="AS836" t="str">
        <x:f>_xlfn.XLOOKUP($A836,Games!$A$2:$A$18,Games!$N$2:$N$18,"Missing game",0)</x:f>
        <x:v>outdoors</x:v>
      </x:c>
      <x:c r="AT836" t="str">
        <x:f>_xlfn.XLOOKUP($A836,Games!$A$2:$A$18,Games!$O$2:$O$18,"Missing game",0)</x:f>
        <x:v>grass</x:v>
      </x:c>
      <x:c r="AU836" t="n">
        <x:f>_xlfn.XLOOKUP($A836,Games!$A$2:$A$18,Games!$P$2:$P$18,"Missing game",0)</x:f>
        <x:v>61</x:v>
      </x:c>
      <x:c r="AV836" t="n">
        <x:f>_xlfn.XLOOKUP($A836,Games!$A$2:$A$18,Games!$Q$2:$Q$18,"Missing game",0)</x:f>
        <x:v>14</x:v>
      </x:c>
      <x:c r="AW836" t="str">
        <x:f>_xlfn.XLOOKUP($A836,Games!$A$2:$A$18,Games!$R$2:$R$18,"Missing game",0)</x:f>
        <x:v>FirstEnergy Stadium</x:v>
      </x:c>
    </x:row>
    <x:row r="837">
      <x:c r="A837" t="str">
        <x:v>2025_05_MIN_CLE</x:v>
      </x:c>
      <x:c r="B837" t="n">
        <x:v>4155</x:v>
      </x:c>
      <x:c r="C837" t="n">
        <x:v>4</x:v>
      </x:c>
      <x:c r="D837" t="str">
        <x:v>02:40</x:v>
      </x:c>
      <x:c r="E837" t="n">
        <x:v>2</x:v>
      </x:c>
      <x:c r="F837" t="n">
        <x:v>1</x:v>
      </x:c>
      <x:c r="G837" t="str">
        <x:v>MIN</x:v>
      </x:c>
      <x:c r="H837" t="str">
        <x:v>CLE</x:v>
      </x:c>
      <x:c r="I837" t="str">
        <x:v>MIN</x:v>
      </x:c>
      <x:c r="J837" t="n">
        <x:v>71</x:v>
      </x:c>
      <x:c r="K837" t="str">
        <x:v>(2:40) (No Huddle, Shotgun) 11-C.Wentz pass short left to 1-J.Nailor to MIN 32 for 3 yards (26-M.Harden).</x:v>
      </x:c>
      <x:c r="L837" t="str">
        <x:v>pass</x:v>
      </x:c>
      <x:c r="M837" t="n">
        <x:v>3</x:v>
      </x:c>
      <x:c r="N837" t="n">
        <x:v>1</x:v>
      </x:c>
      <x:c r="O837" t="n">
        <x:v>1</x:v>
      </x:c>
      <x:c r="P837" t="str">
        <x:v>short</x:v>
      </x:c>
      <x:c r="Q837" t="str">
        <x:v>left</x:v>
      </x:c>
      <x:c r="R837" t="n">
        <x:v>2</x:v>
      </x:c>
      <x:c r="S837" t="n">
        <x:v>1</x:v>
      </x:c>
      <x:c r="T837"/>
      <x:c r="U837"/>
      <x:c r="V837" t="n">
        <x:v>1</x:v>
      </x:c>
      <x:c r="W837" t="n">
        <x:v>1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/>
      <x:c r="AC837" t="n">
        <x:v>0</x:v>
      </x:c>
      <x:c r="AD837" t="n">
        <x:v>0.24683097703382373</x:v>
      </x:c>
      <x:c r="AE837" t="n">
        <x:v>1</x:v>
      </x:c>
      <x:c r="AF837" t="n">
        <x:v>0.009561121463775635</x:v>
      </x:c>
      <x:c r="AG837" t="n">
        <x:f>_xlfn.XLOOKUP($A837,Games!$A$2:$A$18,Games!$B$2:$B$18,"Missing game",0)</x:f>
        <x:v>2025</x:v>
      </x:c>
      <x:c r="AH837" t="str">
        <x:f>_xlfn.XLOOKUP($A837,Games!$A$2:$A$18,Games!$C$2:$C$18,"Missing game",0)</x:f>
        <x:v>REG</x:v>
      </x:c>
      <x:c r="AI837" t="n">
        <x:f>_xlfn.XLOOKUP($A837,Games!$A$2:$A$18,Games!$D$2:$D$18,"Missing game",0)</x:f>
        <x:v>5</x:v>
      </x:c>
      <x:c r="AJ837" s="1" t="n">
        <x:f>_xlfn.XLOOKUP($A837,Games!$A$2:$A$18,Games!$E$2:$E$18,"Missing game",0)</x:f>
        <x:v>45935</x:v>
      </x:c>
      <x:c r="AK837" t="str">
        <x:f>_xlfn.XLOOKUP($A837,Games!$A$2:$A$18,Games!$F$2:$F$18,"Missing game",0)</x:f>
        <x:v>Sunday</x:v>
      </x:c>
      <x:c r="AL837" t="str">
        <x:f>_xlfn.XLOOKUP($A837,Games!$A$2:$A$18,Games!$G$2:$G$18,"Missing game",0)</x:f>
        <x:v>MIN</x:v>
      </x:c>
      <x:c r="AM837" t="n">
        <x:f>_xlfn.XLOOKUP($A837,Games!$A$2:$A$18,Games!$H$2:$H$18,"Missing game",0)</x:f>
        <x:v>21</x:v>
      </x:c>
      <x:c r="AN837" t="str">
        <x:f>_xlfn.XLOOKUP($A837,Games!$A$2:$A$18,Games!$I$2:$I$18,"Missing game",0)</x:f>
        <x:v>CLE</x:v>
      </x:c>
      <x:c r="AO837" t="n">
        <x:f>_xlfn.XLOOKUP($A837,Games!$A$2:$A$18,Games!$J$2:$J$18,"Missing game",0)</x:f>
        <x:v>17</x:v>
      </x:c>
      <x:c r="AP837" t="n">
        <x:f>_xlfn.XLOOKUP($A837,Games!$A$2:$A$18,Games!$K$2:$K$18,"Missing game",0)</x:f>
        <x:v>-4</x:v>
      </x:c>
      <x:c r="AQ837" t="n">
        <x:f>_xlfn.XLOOKUP($A837,Games!$A$2:$A$18,Games!$L$2:$L$18,"Missing game",0)</x:f>
        <x:v>38</x:v>
      </x:c>
      <x:c r="AR837" t="n">
        <x:f>_xlfn.XLOOKUP($A837,Games!$A$2:$A$18,Games!$M$2:$M$18,"Missing game",0)</x:f>
        <x:v>0</x:v>
      </x:c>
      <x:c r="AS837" t="str">
        <x:f>_xlfn.XLOOKUP($A837,Games!$A$2:$A$18,Games!$N$2:$N$18,"Missing game",0)</x:f>
        <x:v>outdoors</x:v>
      </x:c>
      <x:c r="AT837" t="str">
        <x:f>_xlfn.XLOOKUP($A837,Games!$A$2:$A$18,Games!$O$2:$O$18,"Missing game",0)</x:f>
        <x:v>grass</x:v>
      </x:c>
      <x:c r="AU837" t="n">
        <x:f>_xlfn.XLOOKUP($A837,Games!$A$2:$A$18,Games!$P$2:$P$18,"Missing game",0)</x:f>
        <x:v>61</x:v>
      </x:c>
      <x:c r="AV837" t="n">
        <x:f>_xlfn.XLOOKUP($A837,Games!$A$2:$A$18,Games!$Q$2:$Q$18,"Missing game",0)</x:f>
        <x:v>14</x:v>
      </x:c>
      <x:c r="AW837" t="str">
        <x:f>_xlfn.XLOOKUP($A837,Games!$A$2:$A$18,Games!$R$2:$R$18,"Missing game",0)</x:f>
        <x:v>FirstEnergy Stadium</x:v>
      </x:c>
    </x:row>
    <x:row r="838">
      <x:c r="A838" t="str">
        <x:v>2025_05_MIN_CLE</x:v>
      </x:c>
      <x:c r="B838" t="n">
        <x:v>4180</x:v>
      </x:c>
      <x:c r="C838" t="n">
        <x:v>4</x:v>
      </x:c>
      <x:c r="D838" t="str">
        <x:v>02:17</x:v>
      </x:c>
      <x:c r="E838" t="n">
        <x:v>1</x:v>
      </x:c>
      <x:c r="F838" t="n">
        <x:v>10</x:v>
      </x:c>
      <x:c r="G838" t="str">
        <x:v>MIN</x:v>
      </x:c>
      <x:c r="H838" t="str">
        <x:v>CLE</x:v>
      </x:c>
      <x:c r="I838" t="str">
        <x:v>MIN</x:v>
      </x:c>
      <x:c r="J838" t="n">
        <x:v>68</x:v>
      </x:c>
      <x:c r="K838" t="str">
        <x:v>(2:17) (No Huddle, Shotgun) 11-C.Wentz pass short right to 87-T.Hockenson to MIN 38 for 6 yards (49-C.Schwesinger; 26-M.Harden).</x:v>
      </x:c>
      <x:c r="L838" t="str">
        <x:v>pass</x:v>
      </x:c>
      <x:c r="M838" t="n">
        <x:v>6</x:v>
      </x:c>
      <x:c r="N838" t="n">
        <x:v>1</x:v>
      </x:c>
      <x:c r="O838" t="n">
        <x:v>1</x:v>
      </x:c>
      <x:c r="P838" t="str">
        <x:v>short</x:v>
      </x:c>
      <x:c r="Q838" t="str">
        <x:v>right</x:v>
      </x:c>
      <x:c r="R838" t="n">
        <x:v>2</x:v>
      </x:c>
      <x:c r="S838" t="n">
        <x:v>4</x:v>
      </x:c>
      <x:c r="T838"/>
      <x:c r="U838"/>
      <x:c r="V838" t="n">
        <x:v>1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/>
      <x:c r="AC838" t="n">
        <x:v>0</x:v>
      </x:c>
      <x:c r="AD838" t="n">
        <x:v>-0.15914100862573832</x:v>
      </x:c>
      <x:c r="AE838" t="n">
        <x:v>0</x:v>
      </x:c>
      <x:c r="AF838" t="n">
        <x:v>-0.013478904962539673</x:v>
      </x:c>
      <x:c r="AG838" t="n">
        <x:f>_xlfn.XLOOKUP($A838,Games!$A$2:$A$18,Games!$B$2:$B$18,"Missing game",0)</x:f>
        <x:v>2025</x:v>
      </x:c>
      <x:c r="AH838" t="str">
        <x:f>_xlfn.XLOOKUP($A838,Games!$A$2:$A$18,Games!$C$2:$C$18,"Missing game",0)</x:f>
        <x:v>REG</x:v>
      </x:c>
      <x:c r="AI838" t="n">
        <x:f>_xlfn.XLOOKUP($A838,Games!$A$2:$A$18,Games!$D$2:$D$18,"Missing game",0)</x:f>
        <x:v>5</x:v>
      </x:c>
      <x:c r="AJ838" s="1" t="n">
        <x:f>_xlfn.XLOOKUP($A838,Games!$A$2:$A$18,Games!$E$2:$E$18,"Missing game",0)</x:f>
        <x:v>45935</x:v>
      </x:c>
      <x:c r="AK838" t="str">
        <x:f>_xlfn.XLOOKUP($A838,Games!$A$2:$A$18,Games!$F$2:$F$18,"Missing game",0)</x:f>
        <x:v>Sunday</x:v>
      </x:c>
      <x:c r="AL838" t="str">
        <x:f>_xlfn.XLOOKUP($A838,Games!$A$2:$A$18,Games!$G$2:$G$18,"Missing game",0)</x:f>
        <x:v>MIN</x:v>
      </x:c>
      <x:c r="AM838" t="n">
        <x:f>_xlfn.XLOOKUP($A838,Games!$A$2:$A$18,Games!$H$2:$H$18,"Missing game",0)</x:f>
        <x:v>21</x:v>
      </x:c>
      <x:c r="AN838" t="str">
        <x:f>_xlfn.XLOOKUP($A838,Games!$A$2:$A$18,Games!$I$2:$I$18,"Missing game",0)</x:f>
        <x:v>CLE</x:v>
      </x:c>
      <x:c r="AO838" t="n">
        <x:f>_xlfn.XLOOKUP($A838,Games!$A$2:$A$18,Games!$J$2:$J$18,"Missing game",0)</x:f>
        <x:v>17</x:v>
      </x:c>
      <x:c r="AP838" t="n">
        <x:f>_xlfn.XLOOKUP($A838,Games!$A$2:$A$18,Games!$K$2:$K$18,"Missing game",0)</x:f>
        <x:v>-4</x:v>
      </x:c>
      <x:c r="AQ838" t="n">
        <x:f>_xlfn.XLOOKUP($A838,Games!$A$2:$A$18,Games!$L$2:$L$18,"Missing game",0)</x:f>
        <x:v>38</x:v>
      </x:c>
      <x:c r="AR838" t="n">
        <x:f>_xlfn.XLOOKUP($A838,Games!$A$2:$A$18,Games!$M$2:$M$18,"Missing game",0)</x:f>
        <x:v>0</x:v>
      </x:c>
      <x:c r="AS838" t="str">
        <x:f>_xlfn.XLOOKUP($A838,Games!$A$2:$A$18,Games!$N$2:$N$18,"Missing game",0)</x:f>
        <x:v>outdoors</x:v>
      </x:c>
      <x:c r="AT838" t="str">
        <x:f>_xlfn.XLOOKUP($A838,Games!$A$2:$A$18,Games!$O$2:$O$18,"Missing game",0)</x:f>
        <x:v>grass</x:v>
      </x:c>
      <x:c r="AU838" t="n">
        <x:f>_xlfn.XLOOKUP($A838,Games!$A$2:$A$18,Games!$P$2:$P$18,"Missing game",0)</x:f>
        <x:v>61</x:v>
      </x:c>
      <x:c r="AV838" t="n">
        <x:f>_xlfn.XLOOKUP($A838,Games!$A$2:$A$18,Games!$Q$2:$Q$18,"Missing game",0)</x:f>
        <x:v>14</x:v>
      </x:c>
      <x:c r="AW838" t="str">
        <x:f>_xlfn.XLOOKUP($A838,Games!$A$2:$A$18,Games!$R$2:$R$18,"Missing game",0)</x:f>
        <x:v>FirstEnergy Stadium</x:v>
      </x:c>
    </x:row>
    <x:row r="839">
      <x:c r="A839" t="str">
        <x:v>2025_05_MIN_CLE</x:v>
      </x:c>
      <x:c r="B839" t="n">
        <x:v>4205</x:v>
      </x:c>
      <x:c r="C839" t="n">
        <x:v>4</x:v>
      </x:c>
      <x:c r="D839" t="str">
        <x:v>02:00</x:v>
      </x:c>
      <x:c r="E839" t="n">
        <x:v>2</x:v>
      </x:c>
      <x:c r="F839" t="n">
        <x:v>4</x:v>
      </x:c>
      <x:c r="G839" t="str">
        <x:v>MIN</x:v>
      </x:c>
      <x:c r="H839" t="str">
        <x:v>CLE</x:v>
      </x:c>
      <x:c r="I839" t="str">
        <x:v>MIN</x:v>
      </x:c>
      <x:c r="J839" t="n">
        <x:v>62</x:v>
      </x:c>
      <x:c r="K839" t="str">
        <x:v>(2:00) (Shotgun) 11-C.Wentz pass short middle to 87-T.Hockenson to CLE 48 for 14 yards (49-C.Schwesinger; 33-R.Hickman).</x:v>
      </x:c>
      <x:c r="L839" t="str">
        <x:v>pass</x:v>
      </x:c>
      <x:c r="M839" t="n">
        <x:v>14</x:v>
      </x:c>
      <x:c r="N839" t="n">
        <x:v>1</x:v>
      </x:c>
      <x:c r="O839" t="n">
        <x:v>0</x:v>
      </x:c>
      <x:c r="P839" t="str">
        <x:v>short</x:v>
      </x:c>
      <x:c r="Q839" t="str">
        <x:v>middle</x:v>
      </x:c>
      <x:c r="R839" t="n">
        <x:v>5</x:v>
      </x:c>
      <x:c r="S839" t="n">
        <x:v>9</x:v>
      </x:c>
      <x:c r="T839"/>
      <x:c r="U839"/>
      <x:c r="V839" t="n">
        <x:v>1</x:v>
      </x:c>
      <x:c r="W839" t="n">
        <x:v>1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/>
      <x:c r="AC839" t="n">
        <x:v>0</x:v>
      </x:c>
      <x:c r="AD839" t="n">
        <x:v>1.00895831087837</x:v>
      </x:c>
      <x:c r="AE839" t="n">
        <x:v>1</x:v>
      </x:c>
      <x:c r="AF839" t="n">
        <x:v>0.089806467294693</x:v>
      </x:c>
      <x:c r="AG839" t="n">
        <x:f>_xlfn.XLOOKUP($A839,Games!$A$2:$A$18,Games!$B$2:$B$18,"Missing game",0)</x:f>
        <x:v>2025</x:v>
      </x:c>
      <x:c r="AH839" t="str">
        <x:f>_xlfn.XLOOKUP($A839,Games!$A$2:$A$18,Games!$C$2:$C$18,"Missing game",0)</x:f>
        <x:v>REG</x:v>
      </x:c>
      <x:c r="AI839" t="n">
        <x:f>_xlfn.XLOOKUP($A839,Games!$A$2:$A$18,Games!$D$2:$D$18,"Missing game",0)</x:f>
        <x:v>5</x:v>
      </x:c>
      <x:c r="AJ839" s="1" t="n">
        <x:f>_xlfn.XLOOKUP($A839,Games!$A$2:$A$18,Games!$E$2:$E$18,"Missing game",0)</x:f>
        <x:v>45935</x:v>
      </x:c>
      <x:c r="AK839" t="str">
        <x:f>_xlfn.XLOOKUP($A839,Games!$A$2:$A$18,Games!$F$2:$F$18,"Missing game",0)</x:f>
        <x:v>Sunday</x:v>
      </x:c>
      <x:c r="AL839" t="str">
        <x:f>_xlfn.XLOOKUP($A839,Games!$A$2:$A$18,Games!$G$2:$G$18,"Missing game",0)</x:f>
        <x:v>MIN</x:v>
      </x:c>
      <x:c r="AM839" t="n">
        <x:f>_xlfn.XLOOKUP($A839,Games!$A$2:$A$18,Games!$H$2:$H$18,"Missing game",0)</x:f>
        <x:v>21</x:v>
      </x:c>
      <x:c r="AN839" t="str">
        <x:f>_xlfn.XLOOKUP($A839,Games!$A$2:$A$18,Games!$I$2:$I$18,"Missing game",0)</x:f>
        <x:v>CLE</x:v>
      </x:c>
      <x:c r="AO839" t="n">
        <x:f>_xlfn.XLOOKUP($A839,Games!$A$2:$A$18,Games!$J$2:$J$18,"Missing game",0)</x:f>
        <x:v>17</x:v>
      </x:c>
      <x:c r="AP839" t="n">
        <x:f>_xlfn.XLOOKUP($A839,Games!$A$2:$A$18,Games!$K$2:$K$18,"Missing game",0)</x:f>
        <x:v>-4</x:v>
      </x:c>
      <x:c r="AQ839" t="n">
        <x:f>_xlfn.XLOOKUP($A839,Games!$A$2:$A$18,Games!$L$2:$L$18,"Missing game",0)</x:f>
        <x:v>38</x:v>
      </x:c>
      <x:c r="AR839" t="n">
        <x:f>_xlfn.XLOOKUP($A839,Games!$A$2:$A$18,Games!$M$2:$M$18,"Missing game",0)</x:f>
        <x:v>0</x:v>
      </x:c>
      <x:c r="AS839" t="str">
        <x:f>_xlfn.XLOOKUP($A839,Games!$A$2:$A$18,Games!$N$2:$N$18,"Missing game",0)</x:f>
        <x:v>outdoors</x:v>
      </x:c>
      <x:c r="AT839" t="str">
        <x:f>_xlfn.XLOOKUP($A839,Games!$A$2:$A$18,Games!$O$2:$O$18,"Missing game",0)</x:f>
        <x:v>grass</x:v>
      </x:c>
      <x:c r="AU839" t="n">
        <x:f>_xlfn.XLOOKUP($A839,Games!$A$2:$A$18,Games!$P$2:$P$18,"Missing game",0)</x:f>
        <x:v>61</x:v>
      </x:c>
      <x:c r="AV839" t="n">
        <x:f>_xlfn.XLOOKUP($A839,Games!$A$2:$A$18,Games!$Q$2:$Q$18,"Missing game",0)</x:f>
        <x:v>14</x:v>
      </x:c>
      <x:c r="AW839" t="str">
        <x:f>_xlfn.XLOOKUP($A839,Games!$A$2:$A$18,Games!$R$2:$R$18,"Missing game",0)</x:f>
        <x:v>FirstEnergy Stadium</x:v>
      </x:c>
    </x:row>
    <x:row r="840">
      <x:c r="A840" t="str">
        <x:v>2025_05_MIN_CLE</x:v>
      </x:c>
      <x:c r="B840" t="n">
        <x:v>4237</x:v>
      </x:c>
      <x:c r="C840" t="n">
        <x:v>4</x:v>
      </x:c>
      <x:c r="D840" t="str">
        <x:v>01:35</x:v>
      </x:c>
      <x:c r="E840" t="n">
        <x:v>1</x:v>
      </x:c>
      <x:c r="F840" t="n">
        <x:v>10</x:v>
      </x:c>
      <x:c r="G840" t="str">
        <x:v>MIN</x:v>
      </x:c>
      <x:c r="H840" t="str">
        <x:v>CLE</x:v>
      </x:c>
      <x:c r="I840" t="str">
        <x:v>CLE</x:v>
      </x:c>
      <x:c r="J840" t="n">
        <x:v>48</x:v>
      </x:c>
      <x:c r="K840" t="str">
        <x:v>(1:35) (No Huddle, Shotgun) 11-C.Wentz pass deep right to 18-J.Jefferson to CLE 27 for 21 yards (21-D.Ward).</x:v>
      </x:c>
      <x:c r="L840" t="str">
        <x:v>pass</x:v>
      </x:c>
      <x:c r="M840" t="n">
        <x:v>21</x:v>
      </x:c>
      <x:c r="N840" t="n">
        <x:v>1</x:v>
      </x:c>
      <x:c r="O840" t="n">
        <x:v>1</x:v>
      </x:c>
      <x:c r="P840" t="str">
        <x:v>deep</x:v>
      </x:c>
      <x:c r="Q840" t="str">
        <x:v>right</x:v>
      </x:c>
      <x:c r="R840" t="n">
        <x:v>18</x:v>
      </x:c>
      <x:c r="S840" t="n">
        <x:v>3</x:v>
      </x:c>
      <x:c r="T840"/>
      <x:c r="U840"/>
      <x:c r="V840" t="n">
        <x:v>1</x:v>
      </x:c>
      <x:c r="W840" t="n">
        <x:v>1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/>
      <x:c r="AC840" t="n">
        <x:v>0</x:v>
      </x:c>
      <x:c r="AD840" t="n">
        <x:v>1.1562998475856148</x:v>
      </x:c>
      <x:c r="AE840" t="n">
        <x:v>1</x:v>
      </x:c>
      <x:c r="AF840" t="n">
        <x:v>0.11508345603942871</x:v>
      </x:c>
      <x:c r="AG840" t="n">
        <x:f>_xlfn.XLOOKUP($A840,Games!$A$2:$A$18,Games!$B$2:$B$18,"Missing game",0)</x:f>
        <x:v>2025</x:v>
      </x:c>
      <x:c r="AH840" t="str">
        <x:f>_xlfn.XLOOKUP($A840,Games!$A$2:$A$18,Games!$C$2:$C$18,"Missing game",0)</x:f>
        <x:v>REG</x:v>
      </x:c>
      <x:c r="AI840" t="n">
        <x:f>_xlfn.XLOOKUP($A840,Games!$A$2:$A$18,Games!$D$2:$D$18,"Missing game",0)</x:f>
        <x:v>5</x:v>
      </x:c>
      <x:c r="AJ840" s="1" t="n">
        <x:f>_xlfn.XLOOKUP($A840,Games!$A$2:$A$18,Games!$E$2:$E$18,"Missing game",0)</x:f>
        <x:v>45935</x:v>
      </x:c>
      <x:c r="AK840" t="str">
        <x:f>_xlfn.XLOOKUP($A840,Games!$A$2:$A$18,Games!$F$2:$F$18,"Missing game",0)</x:f>
        <x:v>Sunday</x:v>
      </x:c>
      <x:c r="AL840" t="str">
        <x:f>_xlfn.XLOOKUP($A840,Games!$A$2:$A$18,Games!$G$2:$G$18,"Missing game",0)</x:f>
        <x:v>MIN</x:v>
      </x:c>
      <x:c r="AM840" t="n">
        <x:f>_xlfn.XLOOKUP($A840,Games!$A$2:$A$18,Games!$H$2:$H$18,"Missing game",0)</x:f>
        <x:v>21</x:v>
      </x:c>
      <x:c r="AN840" t="str">
        <x:f>_xlfn.XLOOKUP($A840,Games!$A$2:$A$18,Games!$I$2:$I$18,"Missing game",0)</x:f>
        <x:v>CLE</x:v>
      </x:c>
      <x:c r="AO840" t="n">
        <x:f>_xlfn.XLOOKUP($A840,Games!$A$2:$A$18,Games!$J$2:$J$18,"Missing game",0)</x:f>
        <x:v>17</x:v>
      </x:c>
      <x:c r="AP840" t="n">
        <x:f>_xlfn.XLOOKUP($A840,Games!$A$2:$A$18,Games!$K$2:$K$18,"Missing game",0)</x:f>
        <x:v>-4</x:v>
      </x:c>
      <x:c r="AQ840" t="n">
        <x:f>_xlfn.XLOOKUP($A840,Games!$A$2:$A$18,Games!$L$2:$L$18,"Missing game",0)</x:f>
        <x:v>38</x:v>
      </x:c>
      <x:c r="AR840" t="n">
        <x:f>_xlfn.XLOOKUP($A840,Games!$A$2:$A$18,Games!$M$2:$M$18,"Missing game",0)</x:f>
        <x:v>0</x:v>
      </x:c>
      <x:c r="AS840" t="str">
        <x:f>_xlfn.XLOOKUP($A840,Games!$A$2:$A$18,Games!$N$2:$N$18,"Missing game",0)</x:f>
        <x:v>outdoors</x:v>
      </x:c>
      <x:c r="AT840" t="str">
        <x:f>_xlfn.XLOOKUP($A840,Games!$A$2:$A$18,Games!$O$2:$O$18,"Missing game",0)</x:f>
        <x:v>grass</x:v>
      </x:c>
      <x:c r="AU840" t="n">
        <x:f>_xlfn.XLOOKUP($A840,Games!$A$2:$A$18,Games!$P$2:$P$18,"Missing game",0)</x:f>
        <x:v>61</x:v>
      </x:c>
      <x:c r="AV840" t="n">
        <x:f>_xlfn.XLOOKUP($A840,Games!$A$2:$A$18,Games!$Q$2:$Q$18,"Missing game",0)</x:f>
        <x:v>14</x:v>
      </x:c>
      <x:c r="AW840" t="str">
        <x:f>_xlfn.XLOOKUP($A840,Games!$A$2:$A$18,Games!$R$2:$R$18,"Missing game",0)</x:f>
        <x:v>FirstEnergy Stadium</x:v>
      </x:c>
    </x:row>
    <x:row r="841">
      <x:c r="A841" t="str">
        <x:v>2025_05_MIN_CLE</x:v>
      </x:c>
      <x:c r="B841" t="n">
        <x:v>4262</x:v>
      </x:c>
      <x:c r="C841" t="n">
        <x:v>4</x:v>
      </x:c>
      <x:c r="D841" t="str">
        <x:v>01:10</x:v>
      </x:c>
      <x:c r="E841" t="n">
        <x:v>1</x:v>
      </x:c>
      <x:c r="F841" t="n">
        <x:v>10</x:v>
      </x:c>
      <x:c r="G841" t="str">
        <x:v>MIN</x:v>
      </x:c>
      <x:c r="H841" t="str">
        <x:v>CLE</x:v>
      </x:c>
      <x:c r="I841" t="str">
        <x:v>CLE</x:v>
      </x:c>
      <x:c r="J841" t="n">
        <x:v>27</x:v>
      </x:c>
      <x:c r="K841" t="str">
        <x:v>(1:10) (Shotgun) 11-C.Wentz pass short left to 1-J.Nailor ran ob at CLE 23 for 4 yards (0-G.Newsome).</x:v>
      </x:c>
      <x:c r="L841" t="str">
        <x:v>pass</x:v>
      </x:c>
      <x:c r="M841" t="n">
        <x:v>4</x:v>
      </x:c>
      <x:c r="N841" t="n">
        <x:v>1</x:v>
      </x:c>
      <x:c r="O841" t="n">
        <x:v>0</x:v>
      </x:c>
      <x:c r="P841" t="str">
        <x:v>short</x:v>
      </x:c>
      <x:c r="Q841" t="str">
        <x:v>left</x:v>
      </x:c>
      <x:c r="R841" t="n">
        <x:v>0</x:v>
      </x:c>
      <x:c r="S841" t="n">
        <x:v>4</x:v>
      </x:c>
      <x:c r="T841"/>
      <x:c r="U841"/>
      <x:c r="V841" t="n">
        <x:v>1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/>
      <x:c r="AC841" t="n">
        <x:v>0</x:v>
      </x:c>
      <x:c r="AD841" t="n">
        <x:v>0.09180646832101047</x:v>
      </x:c>
      <x:c r="AE841" t="n">
        <x:v>1</x:v>
      </x:c>
      <x:c r="AF841" t="n">
        <x:v>0.030226409435272217</x:v>
      </x:c>
      <x:c r="AG841" t="n">
        <x:f>_xlfn.XLOOKUP($A841,Games!$A$2:$A$18,Games!$B$2:$B$18,"Missing game",0)</x:f>
        <x:v>2025</x:v>
      </x:c>
      <x:c r="AH841" t="str">
        <x:f>_xlfn.XLOOKUP($A841,Games!$A$2:$A$18,Games!$C$2:$C$18,"Missing game",0)</x:f>
        <x:v>REG</x:v>
      </x:c>
      <x:c r="AI841" t="n">
        <x:f>_xlfn.XLOOKUP($A841,Games!$A$2:$A$18,Games!$D$2:$D$18,"Missing game",0)</x:f>
        <x:v>5</x:v>
      </x:c>
      <x:c r="AJ841" s="1" t="n">
        <x:f>_xlfn.XLOOKUP($A841,Games!$A$2:$A$18,Games!$E$2:$E$18,"Missing game",0)</x:f>
        <x:v>45935</x:v>
      </x:c>
      <x:c r="AK841" t="str">
        <x:f>_xlfn.XLOOKUP($A841,Games!$A$2:$A$18,Games!$F$2:$F$18,"Missing game",0)</x:f>
        <x:v>Sunday</x:v>
      </x:c>
      <x:c r="AL841" t="str">
        <x:f>_xlfn.XLOOKUP($A841,Games!$A$2:$A$18,Games!$G$2:$G$18,"Missing game",0)</x:f>
        <x:v>MIN</x:v>
      </x:c>
      <x:c r="AM841" t="n">
        <x:f>_xlfn.XLOOKUP($A841,Games!$A$2:$A$18,Games!$H$2:$H$18,"Missing game",0)</x:f>
        <x:v>21</x:v>
      </x:c>
      <x:c r="AN841" t="str">
        <x:f>_xlfn.XLOOKUP($A841,Games!$A$2:$A$18,Games!$I$2:$I$18,"Missing game",0)</x:f>
        <x:v>CLE</x:v>
      </x:c>
      <x:c r="AO841" t="n">
        <x:f>_xlfn.XLOOKUP($A841,Games!$A$2:$A$18,Games!$J$2:$J$18,"Missing game",0)</x:f>
        <x:v>17</x:v>
      </x:c>
      <x:c r="AP841" t="n">
        <x:f>_xlfn.XLOOKUP($A841,Games!$A$2:$A$18,Games!$K$2:$K$18,"Missing game",0)</x:f>
        <x:v>-4</x:v>
      </x:c>
      <x:c r="AQ841" t="n">
        <x:f>_xlfn.XLOOKUP($A841,Games!$A$2:$A$18,Games!$L$2:$L$18,"Missing game",0)</x:f>
        <x:v>38</x:v>
      </x:c>
      <x:c r="AR841" t="n">
        <x:f>_xlfn.XLOOKUP($A841,Games!$A$2:$A$18,Games!$M$2:$M$18,"Missing game",0)</x:f>
        <x:v>0</x:v>
      </x:c>
      <x:c r="AS841" t="str">
        <x:f>_xlfn.XLOOKUP($A841,Games!$A$2:$A$18,Games!$N$2:$N$18,"Missing game",0)</x:f>
        <x:v>outdoors</x:v>
      </x:c>
      <x:c r="AT841" t="str">
        <x:f>_xlfn.XLOOKUP($A841,Games!$A$2:$A$18,Games!$O$2:$O$18,"Missing game",0)</x:f>
        <x:v>grass</x:v>
      </x:c>
      <x:c r="AU841" t="n">
        <x:f>_xlfn.XLOOKUP($A841,Games!$A$2:$A$18,Games!$P$2:$P$18,"Missing game",0)</x:f>
        <x:v>61</x:v>
      </x:c>
      <x:c r="AV841" t="n">
        <x:f>_xlfn.XLOOKUP($A841,Games!$A$2:$A$18,Games!$Q$2:$Q$18,"Missing game",0)</x:f>
        <x:v>14</x:v>
      </x:c>
      <x:c r="AW841" t="str">
        <x:f>_xlfn.XLOOKUP($A841,Games!$A$2:$A$18,Games!$R$2:$R$18,"Missing game",0)</x:f>
        <x:v>FirstEnergy Stadium</x:v>
      </x:c>
    </x:row>
    <x:row r="842">
      <x:c r="A842" t="str">
        <x:v>2025_05_MIN_CLE</x:v>
      </x:c>
      <x:c r="B842" t="n">
        <x:v>4274</x:v>
      </x:c>
      <x:c r="C842" t="n">
        <x:v>4</x:v>
      </x:c>
      <x:c r="D842" t="str">
        <x:v>01:10</x:v>
      </x:c>
      <x:c r="E842"/>
      <x:c r="F842" t="n">
        <x:v>0</x:v>
      </x:c>
      <x:c r="G842"/>
      <x:c r="H842"/>
      <x:c r="I842"/>
      <x:c r="J842"/>
      <x:c r="K842" t="str">
        <x:v>Timeout #1 by CLE at 01:10.</x:v>
      </x:c>
      <x:c r="L842" t="str">
        <x:v>no_play</x:v>
      </x:c>
      <x:c r="M842" t="n">
        <x:v>0</x:v>
      </x:c>
      <x:c r="N842" t="n">
        <x:v>0</x:v>
      </x:c>
      <x:c r="O842" t="n">
        <x:v>0</x:v>
      </x:c>
      <x:c r="P842"/>
      <x:c r="Q842"/>
      <x:c r="R842"/>
      <x:c r="S842"/>
      <x:c r="T842"/>
      <x:c r="U842"/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/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f>_xlfn.XLOOKUP($A842,Games!$A$2:$A$18,Games!$B$2:$B$18,"Missing game",0)</x:f>
        <x:v>2025</x:v>
      </x:c>
      <x:c r="AH842" t="str">
        <x:f>_xlfn.XLOOKUP($A842,Games!$A$2:$A$18,Games!$C$2:$C$18,"Missing game",0)</x:f>
        <x:v>REG</x:v>
      </x:c>
      <x:c r="AI842" t="n">
        <x:f>_xlfn.XLOOKUP($A842,Games!$A$2:$A$18,Games!$D$2:$D$18,"Missing game",0)</x:f>
        <x:v>5</x:v>
      </x:c>
      <x:c r="AJ842" s="1" t="n">
        <x:f>_xlfn.XLOOKUP($A842,Games!$A$2:$A$18,Games!$E$2:$E$18,"Missing game",0)</x:f>
        <x:v>45935</x:v>
      </x:c>
      <x:c r="AK842" t="str">
        <x:f>_xlfn.XLOOKUP($A842,Games!$A$2:$A$18,Games!$F$2:$F$18,"Missing game",0)</x:f>
        <x:v>Sunday</x:v>
      </x:c>
      <x:c r="AL842" t="str">
        <x:f>_xlfn.XLOOKUP($A842,Games!$A$2:$A$18,Games!$G$2:$G$18,"Missing game",0)</x:f>
        <x:v>MIN</x:v>
      </x:c>
      <x:c r="AM842" t="n">
        <x:f>_xlfn.XLOOKUP($A842,Games!$A$2:$A$18,Games!$H$2:$H$18,"Missing game",0)</x:f>
        <x:v>21</x:v>
      </x:c>
      <x:c r="AN842" t="str">
        <x:f>_xlfn.XLOOKUP($A842,Games!$A$2:$A$18,Games!$I$2:$I$18,"Missing game",0)</x:f>
        <x:v>CLE</x:v>
      </x:c>
      <x:c r="AO842" t="n">
        <x:f>_xlfn.XLOOKUP($A842,Games!$A$2:$A$18,Games!$J$2:$J$18,"Missing game",0)</x:f>
        <x:v>17</x:v>
      </x:c>
      <x:c r="AP842" t="n">
        <x:f>_xlfn.XLOOKUP($A842,Games!$A$2:$A$18,Games!$K$2:$K$18,"Missing game",0)</x:f>
        <x:v>-4</x:v>
      </x:c>
      <x:c r="AQ842" t="n">
        <x:f>_xlfn.XLOOKUP($A842,Games!$A$2:$A$18,Games!$L$2:$L$18,"Missing game",0)</x:f>
        <x:v>38</x:v>
      </x:c>
      <x:c r="AR842" t="n">
        <x:f>_xlfn.XLOOKUP($A842,Games!$A$2:$A$18,Games!$M$2:$M$18,"Missing game",0)</x:f>
        <x:v>0</x:v>
      </x:c>
      <x:c r="AS842" t="str">
        <x:f>_xlfn.XLOOKUP($A842,Games!$A$2:$A$18,Games!$N$2:$N$18,"Missing game",0)</x:f>
        <x:v>outdoors</x:v>
      </x:c>
      <x:c r="AT842" t="str">
        <x:f>_xlfn.XLOOKUP($A842,Games!$A$2:$A$18,Games!$O$2:$O$18,"Missing game",0)</x:f>
        <x:v>grass</x:v>
      </x:c>
      <x:c r="AU842" t="n">
        <x:f>_xlfn.XLOOKUP($A842,Games!$A$2:$A$18,Games!$P$2:$P$18,"Missing game",0)</x:f>
        <x:v>61</x:v>
      </x:c>
      <x:c r="AV842" t="n">
        <x:f>_xlfn.XLOOKUP($A842,Games!$A$2:$A$18,Games!$Q$2:$Q$18,"Missing game",0)</x:f>
        <x:v>14</x:v>
      </x:c>
      <x:c r="AW842" t="str">
        <x:f>_xlfn.XLOOKUP($A842,Games!$A$2:$A$18,Games!$R$2:$R$18,"Missing game",0)</x:f>
        <x:v>FirstEnergy Stadium</x:v>
      </x:c>
    </x:row>
    <x:row r="843">
      <x:c r="A843" t="str">
        <x:v>2025_05_MIN_CLE</x:v>
      </x:c>
      <x:c r="B843" t="n">
        <x:v>4299</x:v>
      </x:c>
      <x:c r="C843" t="n">
        <x:v>4</x:v>
      </x:c>
      <x:c r="D843" t="str">
        <x:v>01:05</x:v>
      </x:c>
      <x:c r="E843" t="n">
        <x:v>2</x:v>
      </x:c>
      <x:c r="F843" t="n">
        <x:v>6</x:v>
      </x:c>
      <x:c r="G843" t="str">
        <x:v>MIN</x:v>
      </x:c>
      <x:c r="H843" t="str">
        <x:v>CLE</x:v>
      </x:c>
      <x:c r="I843" t="str">
        <x:v>CLE</x:v>
      </x:c>
      <x:c r="J843" t="n">
        <x:v>23</x:v>
      </x:c>
      <x:c r="K843" t="str">
        <x:v>(1:05) (Shotgun) 11-C.Wentz pass short right to 27-J.Mason pushed ob at CLE 21 for 2 yards (26-M.Harden). The Replay Official reviewed the runner was out of bounds ruling, and the play was REVERSED. (Shotgun) 11-C.Wentz pass short right to 27-J.Mason to CLE 21 for 2 yards (26-M.Harden).</x:v>
      </x:c>
      <x:c r="L843" t="str">
        <x:v>pass</x:v>
      </x:c>
      <x:c r="M843" t="n">
        <x:v>2</x:v>
      </x:c>
      <x:c r="N843" t="n">
        <x:v>1</x:v>
      </x:c>
      <x:c r="O843" t="n">
        <x:v>0</x:v>
      </x:c>
      <x:c r="P843" t="str">
        <x:v>short</x:v>
      </x:c>
      <x:c r="Q843" t="str">
        <x:v>right</x:v>
      </x:c>
      <x:c r="R843" t="n">
        <x:v>-5</x:v>
      </x:c>
      <x:c r="S843" t="n">
        <x:v>7</x:v>
      </x:c>
      <x:c r="T843"/>
      <x:c r="U843"/>
      <x:c r="V843" t="n">
        <x:v>1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/>
      <x:c r="AC843" t="n">
        <x:v>0</x:v>
      </x:c>
      <x:c r="AD843" t="n">
        <x:v>-0.32466990721877664</x:v>
      </x:c>
      <x:c r="AE843" t="n">
        <x:v>0</x:v>
      </x:c>
      <x:c r="AF843" t="n">
        <x:v>-0.028651952743530273</x:v>
      </x:c>
      <x:c r="AG843" t="n">
        <x:f>_xlfn.XLOOKUP($A843,Games!$A$2:$A$18,Games!$B$2:$B$18,"Missing game",0)</x:f>
        <x:v>2025</x:v>
      </x:c>
      <x:c r="AH843" t="str">
        <x:f>_xlfn.XLOOKUP($A843,Games!$A$2:$A$18,Games!$C$2:$C$18,"Missing game",0)</x:f>
        <x:v>REG</x:v>
      </x:c>
      <x:c r="AI843" t="n">
        <x:f>_xlfn.XLOOKUP($A843,Games!$A$2:$A$18,Games!$D$2:$D$18,"Missing game",0)</x:f>
        <x:v>5</x:v>
      </x:c>
      <x:c r="AJ843" s="1" t="n">
        <x:f>_xlfn.XLOOKUP($A843,Games!$A$2:$A$18,Games!$E$2:$E$18,"Missing game",0)</x:f>
        <x:v>45935</x:v>
      </x:c>
      <x:c r="AK843" t="str">
        <x:f>_xlfn.XLOOKUP($A843,Games!$A$2:$A$18,Games!$F$2:$F$18,"Missing game",0)</x:f>
        <x:v>Sunday</x:v>
      </x:c>
      <x:c r="AL843" t="str">
        <x:f>_xlfn.XLOOKUP($A843,Games!$A$2:$A$18,Games!$G$2:$G$18,"Missing game",0)</x:f>
        <x:v>MIN</x:v>
      </x:c>
      <x:c r="AM843" t="n">
        <x:f>_xlfn.XLOOKUP($A843,Games!$A$2:$A$18,Games!$H$2:$H$18,"Missing game",0)</x:f>
        <x:v>21</x:v>
      </x:c>
      <x:c r="AN843" t="str">
        <x:f>_xlfn.XLOOKUP($A843,Games!$A$2:$A$18,Games!$I$2:$I$18,"Missing game",0)</x:f>
        <x:v>CLE</x:v>
      </x:c>
      <x:c r="AO843" t="n">
        <x:f>_xlfn.XLOOKUP($A843,Games!$A$2:$A$18,Games!$J$2:$J$18,"Missing game",0)</x:f>
        <x:v>17</x:v>
      </x:c>
      <x:c r="AP843" t="n">
        <x:f>_xlfn.XLOOKUP($A843,Games!$A$2:$A$18,Games!$K$2:$K$18,"Missing game",0)</x:f>
        <x:v>-4</x:v>
      </x:c>
      <x:c r="AQ843" t="n">
        <x:f>_xlfn.XLOOKUP($A843,Games!$A$2:$A$18,Games!$L$2:$L$18,"Missing game",0)</x:f>
        <x:v>38</x:v>
      </x:c>
      <x:c r="AR843" t="n">
        <x:f>_xlfn.XLOOKUP($A843,Games!$A$2:$A$18,Games!$M$2:$M$18,"Missing game",0)</x:f>
        <x:v>0</x:v>
      </x:c>
      <x:c r="AS843" t="str">
        <x:f>_xlfn.XLOOKUP($A843,Games!$A$2:$A$18,Games!$N$2:$N$18,"Missing game",0)</x:f>
        <x:v>outdoors</x:v>
      </x:c>
      <x:c r="AT843" t="str">
        <x:f>_xlfn.XLOOKUP($A843,Games!$A$2:$A$18,Games!$O$2:$O$18,"Missing game",0)</x:f>
        <x:v>grass</x:v>
      </x:c>
      <x:c r="AU843" t="n">
        <x:f>_xlfn.XLOOKUP($A843,Games!$A$2:$A$18,Games!$P$2:$P$18,"Missing game",0)</x:f>
        <x:v>61</x:v>
      </x:c>
      <x:c r="AV843" t="n">
        <x:f>_xlfn.XLOOKUP($A843,Games!$A$2:$A$18,Games!$Q$2:$Q$18,"Missing game",0)</x:f>
        <x:v>14</x:v>
      </x:c>
      <x:c r="AW843" t="str">
        <x:f>_xlfn.XLOOKUP($A843,Games!$A$2:$A$18,Games!$R$2:$R$18,"Missing game",0)</x:f>
        <x:v>FirstEnergy Stadium</x:v>
      </x:c>
    </x:row>
    <x:row r="844">
      <x:c r="A844" t="str">
        <x:v>2025_05_MIN_CLE</x:v>
      </x:c>
      <x:c r="B844" t="n">
        <x:v>4329</x:v>
      </x:c>
      <x:c r="C844" t="n">
        <x:v>4</x:v>
      </x:c>
      <x:c r="D844" t="str">
        <x:v>00:59</x:v>
      </x:c>
      <x:c r="E844" t="n">
        <x:v>3</x:v>
      </x:c>
      <x:c r="F844" t="n">
        <x:v>4</x:v>
      </x:c>
      <x:c r="G844" t="str">
        <x:v>MIN</x:v>
      </x:c>
      <x:c r="H844" t="str">
        <x:v>CLE</x:v>
      </x:c>
      <x:c r="I844" t="str">
        <x:v>CLE</x:v>
      </x:c>
      <x:c r="J844" t="n">
        <x:v>21</x:v>
      </x:c>
      <x:c r="K844" t="str">
        <x:v>(:59) 11-C.Wentz pass short left to 3-J.Addison to CLE 17 for 4 yards (26-M.Harden).</x:v>
      </x:c>
      <x:c r="L844" t="str">
        <x:v>pass</x:v>
      </x:c>
      <x:c r="M844" t="n">
        <x:v>4</x:v>
      </x:c>
      <x:c r="N844" t="n">
        <x:v>0</x:v>
      </x:c>
      <x:c r="O844" t="n">
        <x:v>0</x:v>
      </x:c>
      <x:c r="P844" t="str">
        <x:v>short</x:v>
      </x:c>
      <x:c r="Q844" t="str">
        <x:v>left</x:v>
      </x:c>
      <x:c r="R844" t="n">
        <x:v>4</x:v>
      </x:c>
      <x:c r="S844" t="n">
        <x:v>0</x:v>
      </x:c>
      <x:c r="T844"/>
      <x:c r="U844"/>
      <x:c r="V844" t="n">
        <x:v>1</x:v>
      </x:c>
      <x:c r="W844" t="n">
        <x:v>1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/>
      <x:c r="AC844" t="n">
        <x:v>0</x:v>
      </x:c>
      <x:c r="AD844" t="n">
        <x:v>0.1269800351583399</x:v>
      </x:c>
      <x:c r="AE844" t="n">
        <x:v>1</x:v>
      </x:c>
      <x:c r="AF844" t="n">
        <x:v>0.0718773603439331</x:v>
      </x:c>
      <x:c r="AG844" t="n">
        <x:f>_xlfn.XLOOKUP($A844,Games!$A$2:$A$18,Games!$B$2:$B$18,"Missing game",0)</x:f>
        <x:v>2025</x:v>
      </x:c>
      <x:c r="AH844" t="str">
        <x:f>_xlfn.XLOOKUP($A844,Games!$A$2:$A$18,Games!$C$2:$C$18,"Missing game",0)</x:f>
        <x:v>REG</x:v>
      </x:c>
      <x:c r="AI844" t="n">
        <x:f>_xlfn.XLOOKUP($A844,Games!$A$2:$A$18,Games!$D$2:$D$18,"Missing game",0)</x:f>
        <x:v>5</x:v>
      </x:c>
      <x:c r="AJ844" s="1" t="n">
        <x:f>_xlfn.XLOOKUP($A844,Games!$A$2:$A$18,Games!$E$2:$E$18,"Missing game",0)</x:f>
        <x:v>45935</x:v>
      </x:c>
      <x:c r="AK844" t="str">
        <x:f>_xlfn.XLOOKUP($A844,Games!$A$2:$A$18,Games!$F$2:$F$18,"Missing game",0)</x:f>
        <x:v>Sunday</x:v>
      </x:c>
      <x:c r="AL844" t="str">
        <x:f>_xlfn.XLOOKUP($A844,Games!$A$2:$A$18,Games!$G$2:$G$18,"Missing game",0)</x:f>
        <x:v>MIN</x:v>
      </x:c>
      <x:c r="AM844" t="n">
        <x:f>_xlfn.XLOOKUP($A844,Games!$A$2:$A$18,Games!$H$2:$H$18,"Missing game",0)</x:f>
        <x:v>21</x:v>
      </x:c>
      <x:c r="AN844" t="str">
        <x:f>_xlfn.XLOOKUP($A844,Games!$A$2:$A$18,Games!$I$2:$I$18,"Missing game",0)</x:f>
        <x:v>CLE</x:v>
      </x:c>
      <x:c r="AO844" t="n">
        <x:f>_xlfn.XLOOKUP($A844,Games!$A$2:$A$18,Games!$J$2:$J$18,"Missing game",0)</x:f>
        <x:v>17</x:v>
      </x:c>
      <x:c r="AP844" t="n">
        <x:f>_xlfn.XLOOKUP($A844,Games!$A$2:$A$18,Games!$K$2:$K$18,"Missing game",0)</x:f>
        <x:v>-4</x:v>
      </x:c>
      <x:c r="AQ844" t="n">
        <x:f>_xlfn.XLOOKUP($A844,Games!$A$2:$A$18,Games!$L$2:$L$18,"Missing game",0)</x:f>
        <x:v>38</x:v>
      </x:c>
      <x:c r="AR844" t="n">
        <x:f>_xlfn.XLOOKUP($A844,Games!$A$2:$A$18,Games!$M$2:$M$18,"Missing game",0)</x:f>
        <x:v>0</x:v>
      </x:c>
      <x:c r="AS844" t="str">
        <x:f>_xlfn.XLOOKUP($A844,Games!$A$2:$A$18,Games!$N$2:$N$18,"Missing game",0)</x:f>
        <x:v>outdoors</x:v>
      </x:c>
      <x:c r="AT844" t="str">
        <x:f>_xlfn.XLOOKUP($A844,Games!$A$2:$A$18,Games!$O$2:$O$18,"Missing game",0)</x:f>
        <x:v>grass</x:v>
      </x:c>
      <x:c r="AU844" t="n">
        <x:f>_xlfn.XLOOKUP($A844,Games!$A$2:$A$18,Games!$P$2:$P$18,"Missing game",0)</x:f>
        <x:v>61</x:v>
      </x:c>
      <x:c r="AV844" t="n">
        <x:f>_xlfn.XLOOKUP($A844,Games!$A$2:$A$18,Games!$Q$2:$Q$18,"Missing game",0)</x:f>
        <x:v>14</x:v>
      </x:c>
      <x:c r="AW844" t="str">
        <x:f>_xlfn.XLOOKUP($A844,Games!$A$2:$A$18,Games!$R$2:$R$18,"Missing game",0)</x:f>
        <x:v>FirstEnergy Stadium</x:v>
      </x:c>
    </x:row>
    <x:row r="845">
      <x:c r="A845" t="str">
        <x:v>2025_05_MIN_CLE</x:v>
      </x:c>
      <x:c r="B845" t="n">
        <x:v>4376</x:v>
      </x:c>
      <x:c r="C845" t="n">
        <x:v>4</x:v>
      </x:c>
      <x:c r="D845" t="str">
        <x:v>00:59</x:v>
      </x:c>
      <x:c r="E845"/>
      <x:c r="F845" t="n">
        <x:v>0</x:v>
      </x:c>
      <x:c r="G845"/>
      <x:c r="H845"/>
      <x:c r="I845"/>
      <x:c r="J845"/>
      <x:c r="K845" t="str">
        <x:v>Timeout #2 by CLE at 00:59.</x:v>
      </x:c>
      <x:c r="L845" t="str">
        <x:v>no_play</x:v>
      </x:c>
      <x:c r="M845" t="n">
        <x:v>0</x:v>
      </x:c>
      <x:c r="N845" t="n">
        <x:v>0</x:v>
      </x:c>
      <x:c r="O845" t="n">
        <x:v>0</x:v>
      </x:c>
      <x:c r="P845"/>
      <x:c r="Q845"/>
      <x:c r="R845"/>
      <x:c r="S845"/>
      <x:c r="T845"/>
      <x:c r="U845"/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/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f>_xlfn.XLOOKUP($A845,Games!$A$2:$A$18,Games!$B$2:$B$18,"Missing game",0)</x:f>
        <x:v>2025</x:v>
      </x:c>
      <x:c r="AH845" t="str">
        <x:f>_xlfn.XLOOKUP($A845,Games!$A$2:$A$18,Games!$C$2:$C$18,"Missing game",0)</x:f>
        <x:v>REG</x:v>
      </x:c>
      <x:c r="AI845" t="n">
        <x:f>_xlfn.XLOOKUP($A845,Games!$A$2:$A$18,Games!$D$2:$D$18,"Missing game",0)</x:f>
        <x:v>5</x:v>
      </x:c>
      <x:c r="AJ845" s="1" t="n">
        <x:f>_xlfn.XLOOKUP($A845,Games!$A$2:$A$18,Games!$E$2:$E$18,"Missing game",0)</x:f>
        <x:v>45935</x:v>
      </x:c>
      <x:c r="AK845" t="str">
        <x:f>_xlfn.XLOOKUP($A845,Games!$A$2:$A$18,Games!$F$2:$F$18,"Missing game",0)</x:f>
        <x:v>Sunday</x:v>
      </x:c>
      <x:c r="AL845" t="str">
        <x:f>_xlfn.XLOOKUP($A845,Games!$A$2:$A$18,Games!$G$2:$G$18,"Missing game",0)</x:f>
        <x:v>MIN</x:v>
      </x:c>
      <x:c r="AM845" t="n">
        <x:f>_xlfn.XLOOKUP($A845,Games!$A$2:$A$18,Games!$H$2:$H$18,"Missing game",0)</x:f>
        <x:v>21</x:v>
      </x:c>
      <x:c r="AN845" t="str">
        <x:f>_xlfn.XLOOKUP($A845,Games!$A$2:$A$18,Games!$I$2:$I$18,"Missing game",0)</x:f>
        <x:v>CLE</x:v>
      </x:c>
      <x:c r="AO845" t="n">
        <x:f>_xlfn.XLOOKUP($A845,Games!$A$2:$A$18,Games!$J$2:$J$18,"Missing game",0)</x:f>
        <x:v>17</x:v>
      </x:c>
      <x:c r="AP845" t="n">
        <x:f>_xlfn.XLOOKUP($A845,Games!$A$2:$A$18,Games!$K$2:$K$18,"Missing game",0)</x:f>
        <x:v>-4</x:v>
      </x:c>
      <x:c r="AQ845" t="n">
        <x:f>_xlfn.XLOOKUP($A845,Games!$A$2:$A$18,Games!$L$2:$L$18,"Missing game",0)</x:f>
        <x:v>38</x:v>
      </x:c>
      <x:c r="AR845" t="n">
        <x:f>_xlfn.XLOOKUP($A845,Games!$A$2:$A$18,Games!$M$2:$M$18,"Missing game",0)</x:f>
        <x:v>0</x:v>
      </x:c>
      <x:c r="AS845" t="str">
        <x:f>_xlfn.XLOOKUP($A845,Games!$A$2:$A$18,Games!$N$2:$N$18,"Missing game",0)</x:f>
        <x:v>outdoors</x:v>
      </x:c>
      <x:c r="AT845" t="str">
        <x:f>_xlfn.XLOOKUP($A845,Games!$A$2:$A$18,Games!$O$2:$O$18,"Missing game",0)</x:f>
        <x:v>grass</x:v>
      </x:c>
      <x:c r="AU845" t="n">
        <x:f>_xlfn.XLOOKUP($A845,Games!$A$2:$A$18,Games!$P$2:$P$18,"Missing game",0)</x:f>
        <x:v>61</x:v>
      </x:c>
      <x:c r="AV845" t="n">
        <x:f>_xlfn.XLOOKUP($A845,Games!$A$2:$A$18,Games!$Q$2:$Q$18,"Missing game",0)</x:f>
        <x:v>14</x:v>
      </x:c>
      <x:c r="AW845" t="str">
        <x:f>_xlfn.XLOOKUP($A845,Games!$A$2:$A$18,Games!$R$2:$R$18,"Missing game",0)</x:f>
        <x:v>FirstEnergy Stadium</x:v>
      </x:c>
    </x:row>
    <x:row r="846">
      <x:c r="A846" t="str">
        <x:v>2025_05_MIN_CLE</x:v>
      </x:c>
      <x:c r="B846" t="n">
        <x:v>4396</x:v>
      </x:c>
      <x:c r="C846" t="n">
        <x:v>4</x:v>
      </x:c>
      <x:c r="D846" t="str">
        <x:v>00:54</x:v>
      </x:c>
      <x:c r="E846" t="n">
        <x:v>1</x:v>
      </x:c>
      <x:c r="F846" t="n">
        <x:v>10</x:v>
      </x:c>
      <x:c r="G846" t="str">
        <x:v>MIN</x:v>
      </x:c>
      <x:c r="H846" t="str">
        <x:v>CLE</x:v>
      </x:c>
      <x:c r="I846" t="str">
        <x:v>CLE</x:v>
      </x:c>
      <x:c r="J846" t="n">
        <x:v>17</x:v>
      </x:c>
      <x:c r="K846" t="str">
        <x:v>(:54) (Shotgun) 11-C.Wentz pass short right to 3-J.Addison to CLE 12 for 5 yards (49-C.Schwesinger; 33-R.Hickman).</x:v>
      </x:c>
      <x:c r="L846" t="str">
        <x:v>pass</x:v>
      </x:c>
      <x:c r="M846" t="n">
        <x:v>5</x:v>
      </x:c>
      <x:c r="N846" t="n">
        <x:v>1</x:v>
      </x:c>
      <x:c r="O846" t="n">
        <x:v>0</x:v>
      </x:c>
      <x:c r="P846" t="str">
        <x:v>short</x:v>
      </x:c>
      <x:c r="Q846" t="str">
        <x:v>right</x:v>
      </x:c>
      <x:c r="R846" t="n">
        <x:v>-3</x:v>
      </x:c>
      <x:c r="S846" t="n">
        <x:v>8</x:v>
      </x:c>
      <x:c r="T846"/>
      <x:c r="U846"/>
      <x:c r="V846" t="n">
        <x:v>1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/>
      <x:c r="AC846" t="n">
        <x:v>0</x:v>
      </x:c>
      <x:c r="AD846" t="n">
        <x:v>0.23608009971212596</x:v>
      </x:c>
      <x:c r="AE846" t="n">
        <x:v>1</x:v>
      </x:c>
      <x:c r="AF846" t="n">
        <x:v>-0.005041897296905518</x:v>
      </x:c>
      <x:c r="AG846" t="n">
        <x:f>_xlfn.XLOOKUP($A846,Games!$A$2:$A$18,Games!$B$2:$B$18,"Missing game",0)</x:f>
        <x:v>2025</x:v>
      </x:c>
      <x:c r="AH846" t="str">
        <x:f>_xlfn.XLOOKUP($A846,Games!$A$2:$A$18,Games!$C$2:$C$18,"Missing game",0)</x:f>
        <x:v>REG</x:v>
      </x:c>
      <x:c r="AI846" t="n">
        <x:f>_xlfn.XLOOKUP($A846,Games!$A$2:$A$18,Games!$D$2:$D$18,"Missing game",0)</x:f>
        <x:v>5</x:v>
      </x:c>
      <x:c r="AJ846" s="1" t="n">
        <x:f>_xlfn.XLOOKUP($A846,Games!$A$2:$A$18,Games!$E$2:$E$18,"Missing game",0)</x:f>
        <x:v>45935</x:v>
      </x:c>
      <x:c r="AK846" t="str">
        <x:f>_xlfn.XLOOKUP($A846,Games!$A$2:$A$18,Games!$F$2:$F$18,"Missing game",0)</x:f>
        <x:v>Sunday</x:v>
      </x:c>
      <x:c r="AL846" t="str">
        <x:f>_xlfn.XLOOKUP($A846,Games!$A$2:$A$18,Games!$G$2:$G$18,"Missing game",0)</x:f>
        <x:v>MIN</x:v>
      </x:c>
      <x:c r="AM846" t="n">
        <x:f>_xlfn.XLOOKUP($A846,Games!$A$2:$A$18,Games!$H$2:$H$18,"Missing game",0)</x:f>
        <x:v>21</x:v>
      </x:c>
      <x:c r="AN846" t="str">
        <x:f>_xlfn.XLOOKUP($A846,Games!$A$2:$A$18,Games!$I$2:$I$18,"Missing game",0)</x:f>
        <x:v>CLE</x:v>
      </x:c>
      <x:c r="AO846" t="n">
        <x:f>_xlfn.XLOOKUP($A846,Games!$A$2:$A$18,Games!$J$2:$J$18,"Missing game",0)</x:f>
        <x:v>17</x:v>
      </x:c>
      <x:c r="AP846" t="n">
        <x:f>_xlfn.XLOOKUP($A846,Games!$A$2:$A$18,Games!$K$2:$K$18,"Missing game",0)</x:f>
        <x:v>-4</x:v>
      </x:c>
      <x:c r="AQ846" t="n">
        <x:f>_xlfn.XLOOKUP($A846,Games!$A$2:$A$18,Games!$L$2:$L$18,"Missing game",0)</x:f>
        <x:v>38</x:v>
      </x:c>
      <x:c r="AR846" t="n">
        <x:f>_xlfn.XLOOKUP($A846,Games!$A$2:$A$18,Games!$M$2:$M$18,"Missing game",0)</x:f>
        <x:v>0</x:v>
      </x:c>
      <x:c r="AS846" t="str">
        <x:f>_xlfn.XLOOKUP($A846,Games!$A$2:$A$18,Games!$N$2:$N$18,"Missing game",0)</x:f>
        <x:v>outdoors</x:v>
      </x:c>
      <x:c r="AT846" t="str">
        <x:f>_xlfn.XLOOKUP($A846,Games!$A$2:$A$18,Games!$O$2:$O$18,"Missing game",0)</x:f>
        <x:v>grass</x:v>
      </x:c>
      <x:c r="AU846" t="n">
        <x:f>_xlfn.XLOOKUP($A846,Games!$A$2:$A$18,Games!$P$2:$P$18,"Missing game",0)</x:f>
        <x:v>61</x:v>
      </x:c>
      <x:c r="AV846" t="n">
        <x:f>_xlfn.XLOOKUP($A846,Games!$A$2:$A$18,Games!$Q$2:$Q$18,"Missing game",0)</x:f>
        <x:v>14</x:v>
      </x:c>
      <x:c r="AW846" t="str">
        <x:f>_xlfn.XLOOKUP($A846,Games!$A$2:$A$18,Games!$R$2:$R$18,"Missing game",0)</x:f>
        <x:v>FirstEnergy Stadium</x:v>
      </x:c>
    </x:row>
    <x:row r="847">
      <x:c r="A847" t="str">
        <x:v>2025_05_MIN_CLE</x:v>
      </x:c>
      <x:c r="B847" t="n">
        <x:v>4408</x:v>
      </x:c>
      <x:c r="C847" t="n">
        <x:v>4</x:v>
      </x:c>
      <x:c r="D847" t="str">
        <x:v>00:54</x:v>
      </x:c>
      <x:c r="E847"/>
      <x:c r="F847" t="n">
        <x:v>0</x:v>
      </x:c>
      <x:c r="G847"/>
      <x:c r="H847"/>
      <x:c r="I847"/>
      <x:c r="J847"/>
      <x:c r="K847" t="str">
        <x:v>Timeout #3 by CLE at 00:54.</x:v>
      </x:c>
      <x:c r="L847" t="str">
        <x:v>no_play</x:v>
      </x:c>
      <x:c r="M847" t="n">
        <x:v>0</x:v>
      </x:c>
      <x:c r="N847" t="n">
        <x:v>0</x:v>
      </x:c>
      <x:c r="O847" t="n">
        <x:v>0</x:v>
      </x:c>
      <x:c r="P847"/>
      <x:c r="Q847"/>
      <x:c r="R847"/>
      <x:c r="S847"/>
      <x:c r="T847"/>
      <x:c r="U847"/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/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f>_xlfn.XLOOKUP($A847,Games!$A$2:$A$18,Games!$B$2:$B$18,"Missing game",0)</x:f>
        <x:v>2025</x:v>
      </x:c>
      <x:c r="AH847" t="str">
        <x:f>_xlfn.XLOOKUP($A847,Games!$A$2:$A$18,Games!$C$2:$C$18,"Missing game",0)</x:f>
        <x:v>REG</x:v>
      </x:c>
      <x:c r="AI847" t="n">
        <x:f>_xlfn.XLOOKUP($A847,Games!$A$2:$A$18,Games!$D$2:$D$18,"Missing game",0)</x:f>
        <x:v>5</x:v>
      </x:c>
      <x:c r="AJ847" s="1" t="n">
        <x:f>_xlfn.XLOOKUP($A847,Games!$A$2:$A$18,Games!$E$2:$E$18,"Missing game",0)</x:f>
        <x:v>45935</x:v>
      </x:c>
      <x:c r="AK847" t="str">
        <x:f>_xlfn.XLOOKUP($A847,Games!$A$2:$A$18,Games!$F$2:$F$18,"Missing game",0)</x:f>
        <x:v>Sunday</x:v>
      </x:c>
      <x:c r="AL847" t="str">
        <x:f>_xlfn.XLOOKUP($A847,Games!$A$2:$A$18,Games!$G$2:$G$18,"Missing game",0)</x:f>
        <x:v>MIN</x:v>
      </x:c>
      <x:c r="AM847" t="n">
        <x:f>_xlfn.XLOOKUP($A847,Games!$A$2:$A$18,Games!$H$2:$H$18,"Missing game",0)</x:f>
        <x:v>21</x:v>
      </x:c>
      <x:c r="AN847" t="str">
        <x:f>_xlfn.XLOOKUP($A847,Games!$A$2:$A$18,Games!$I$2:$I$18,"Missing game",0)</x:f>
        <x:v>CLE</x:v>
      </x:c>
      <x:c r="AO847" t="n">
        <x:f>_xlfn.XLOOKUP($A847,Games!$A$2:$A$18,Games!$J$2:$J$18,"Missing game",0)</x:f>
        <x:v>17</x:v>
      </x:c>
      <x:c r="AP847" t="n">
        <x:f>_xlfn.XLOOKUP($A847,Games!$A$2:$A$18,Games!$K$2:$K$18,"Missing game",0)</x:f>
        <x:v>-4</x:v>
      </x:c>
      <x:c r="AQ847" t="n">
        <x:f>_xlfn.XLOOKUP($A847,Games!$A$2:$A$18,Games!$L$2:$L$18,"Missing game",0)</x:f>
        <x:v>38</x:v>
      </x:c>
      <x:c r="AR847" t="n">
        <x:f>_xlfn.XLOOKUP($A847,Games!$A$2:$A$18,Games!$M$2:$M$18,"Missing game",0)</x:f>
        <x:v>0</x:v>
      </x:c>
      <x:c r="AS847" t="str">
        <x:f>_xlfn.XLOOKUP($A847,Games!$A$2:$A$18,Games!$N$2:$N$18,"Missing game",0)</x:f>
        <x:v>outdoors</x:v>
      </x:c>
      <x:c r="AT847" t="str">
        <x:f>_xlfn.XLOOKUP($A847,Games!$A$2:$A$18,Games!$O$2:$O$18,"Missing game",0)</x:f>
        <x:v>grass</x:v>
      </x:c>
      <x:c r="AU847" t="n">
        <x:f>_xlfn.XLOOKUP($A847,Games!$A$2:$A$18,Games!$P$2:$P$18,"Missing game",0)</x:f>
        <x:v>61</x:v>
      </x:c>
      <x:c r="AV847" t="n">
        <x:f>_xlfn.XLOOKUP($A847,Games!$A$2:$A$18,Games!$Q$2:$Q$18,"Missing game",0)</x:f>
        <x:v>14</x:v>
      </x:c>
      <x:c r="AW847" t="str">
        <x:f>_xlfn.XLOOKUP($A847,Games!$A$2:$A$18,Games!$R$2:$R$18,"Missing game",0)</x:f>
        <x:v>FirstEnergy Stadium</x:v>
      </x:c>
    </x:row>
    <x:row r="848">
      <x:c r="A848" t="str">
        <x:v>2025_05_MIN_CLE</x:v>
      </x:c>
      <x:c r="B848" t="n">
        <x:v>4428</x:v>
      </x:c>
      <x:c r="C848" t="n">
        <x:v>4</x:v>
      </x:c>
      <x:c r="D848" t="str">
        <x:v>00:30</x:v>
      </x:c>
      <x:c r="E848" t="n">
        <x:v>2</x:v>
      </x:c>
      <x:c r="F848" t="n">
        <x:v>5</x:v>
      </x:c>
      <x:c r="G848" t="str">
        <x:v>MIN</x:v>
      </x:c>
      <x:c r="H848" t="str">
        <x:v>CLE</x:v>
      </x:c>
      <x:c r="I848" t="str">
        <x:v>CLE</x:v>
      </x:c>
      <x:c r="J848" t="n">
        <x:v>12</x:v>
      </x:c>
      <x:c r="K848" t="str">
        <x:v>(:30) (No Huddle, Shotgun) 11-C.Wentz pass short right to 3-J.Addison for 12 yards, TOUCHDOWN.</x:v>
      </x:c>
      <x:c r="L848" t="str">
        <x:v>pass</x:v>
      </x:c>
      <x:c r="M848" t="n">
        <x:v>12</x:v>
      </x:c>
      <x:c r="N848" t="n">
        <x:v>1</x:v>
      </x:c>
      <x:c r="O848" t="n">
        <x:v>1</x:v>
      </x:c>
      <x:c r="P848" t="str">
        <x:v>short</x:v>
      </x:c>
      <x:c r="Q848" t="str">
        <x:v>right</x:v>
      </x:c>
      <x:c r="R848" t="n">
        <x:v>12</x:v>
      </x:c>
      <x:c r="S848" t="n">
        <x:v>0</x:v>
      </x:c>
      <x:c r="T848"/>
      <x:c r="U848"/>
      <x:c r="V848" t="n">
        <x:v>1</x:v>
      </x:c>
      <x:c r="W848" t="n">
        <x:v>1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/>
      <x:c r="AC848" t="n">
        <x:v>1</x:v>
      </x:c>
      <x:c r="AD848" t="n">
        <x:v>3.3580207516788505</x:v>
      </x:c>
      <x:c r="AE848" t="n">
        <x:v>1</x:v>
      </x:c>
      <x:c r="AF848" t="n">
        <x:v>0.3254457409057624</x:v>
      </x:c>
      <x:c r="AG848" t="n">
        <x:f>_xlfn.XLOOKUP($A848,Games!$A$2:$A$18,Games!$B$2:$B$18,"Missing game",0)</x:f>
        <x:v>2025</x:v>
      </x:c>
      <x:c r="AH848" t="str">
        <x:f>_xlfn.XLOOKUP($A848,Games!$A$2:$A$18,Games!$C$2:$C$18,"Missing game",0)</x:f>
        <x:v>REG</x:v>
      </x:c>
      <x:c r="AI848" t="n">
        <x:f>_xlfn.XLOOKUP($A848,Games!$A$2:$A$18,Games!$D$2:$D$18,"Missing game",0)</x:f>
        <x:v>5</x:v>
      </x:c>
      <x:c r="AJ848" s="1" t="n">
        <x:f>_xlfn.XLOOKUP($A848,Games!$A$2:$A$18,Games!$E$2:$E$18,"Missing game",0)</x:f>
        <x:v>45935</x:v>
      </x:c>
      <x:c r="AK848" t="str">
        <x:f>_xlfn.XLOOKUP($A848,Games!$A$2:$A$18,Games!$F$2:$F$18,"Missing game",0)</x:f>
        <x:v>Sunday</x:v>
      </x:c>
      <x:c r="AL848" t="str">
        <x:f>_xlfn.XLOOKUP($A848,Games!$A$2:$A$18,Games!$G$2:$G$18,"Missing game",0)</x:f>
        <x:v>MIN</x:v>
      </x:c>
      <x:c r="AM848" t="n">
        <x:f>_xlfn.XLOOKUP($A848,Games!$A$2:$A$18,Games!$H$2:$H$18,"Missing game",0)</x:f>
        <x:v>21</x:v>
      </x:c>
      <x:c r="AN848" t="str">
        <x:f>_xlfn.XLOOKUP($A848,Games!$A$2:$A$18,Games!$I$2:$I$18,"Missing game",0)</x:f>
        <x:v>CLE</x:v>
      </x:c>
      <x:c r="AO848" t="n">
        <x:f>_xlfn.XLOOKUP($A848,Games!$A$2:$A$18,Games!$J$2:$J$18,"Missing game",0)</x:f>
        <x:v>17</x:v>
      </x:c>
      <x:c r="AP848" t="n">
        <x:f>_xlfn.XLOOKUP($A848,Games!$A$2:$A$18,Games!$K$2:$K$18,"Missing game",0)</x:f>
        <x:v>-4</x:v>
      </x:c>
      <x:c r="AQ848" t="n">
        <x:f>_xlfn.XLOOKUP($A848,Games!$A$2:$A$18,Games!$L$2:$L$18,"Missing game",0)</x:f>
        <x:v>38</x:v>
      </x:c>
      <x:c r="AR848" t="n">
        <x:f>_xlfn.XLOOKUP($A848,Games!$A$2:$A$18,Games!$M$2:$M$18,"Missing game",0)</x:f>
        <x:v>0</x:v>
      </x:c>
      <x:c r="AS848" t="str">
        <x:f>_xlfn.XLOOKUP($A848,Games!$A$2:$A$18,Games!$N$2:$N$18,"Missing game",0)</x:f>
        <x:v>outdoors</x:v>
      </x:c>
      <x:c r="AT848" t="str">
        <x:f>_xlfn.XLOOKUP($A848,Games!$A$2:$A$18,Games!$O$2:$O$18,"Missing game",0)</x:f>
        <x:v>grass</x:v>
      </x:c>
      <x:c r="AU848" t="n">
        <x:f>_xlfn.XLOOKUP($A848,Games!$A$2:$A$18,Games!$P$2:$P$18,"Missing game",0)</x:f>
        <x:v>61</x:v>
      </x:c>
      <x:c r="AV848" t="n">
        <x:f>_xlfn.XLOOKUP($A848,Games!$A$2:$A$18,Games!$Q$2:$Q$18,"Missing game",0)</x:f>
        <x:v>14</x:v>
      </x:c>
      <x:c r="AW848" t="str">
        <x:f>_xlfn.XLOOKUP($A848,Games!$A$2:$A$18,Games!$R$2:$R$18,"Missing game",0)</x:f>
        <x:v>FirstEnergy Stadium</x:v>
      </x:c>
    </x:row>
    <x:row r="849">
      <x:c r="A849" t="str">
        <x:v>2025_05_MIN_CLE</x:v>
      </x:c>
      <x:c r="B849" t="n">
        <x:v>4454</x:v>
      </x:c>
      <x:c r="C849" t="n">
        <x:v>4</x:v>
      </x:c>
      <x:c r="D849" t="str">
        <x:v>00:25</x:v>
      </x:c>
      <x:c r="E849"/>
      <x:c r="F849" t="n">
        <x:v>0</x:v>
      </x:c>
      <x:c r="G849" t="str">
        <x:v>MIN</x:v>
      </x:c>
      <x:c r="H849" t="str">
        <x:v>CLE</x:v>
      </x:c>
      <x:c r="I849" t="str">
        <x:v>CLE</x:v>
      </x:c>
      <x:c r="J849" t="n">
        <x:v>15</x:v>
      </x:c>
      <x:c r="K849" t="str">
        <x:v>16-W.Reichard extra point is GOOD, Center-42-A.DePaola, Holder-17-R.Wright.</x:v>
      </x:c>
      <x:c r="L849" t="str">
        <x:v>extra_point</x:v>
      </x:c>
      <x:c r="M849" t="n">
        <x:v>0</x:v>
      </x:c>
      <x:c r="N849" t="n">
        <x:v>0</x:v>
      </x:c>
      <x:c r="O849" t="n">
        <x:v>0</x:v>
      </x:c>
      <x:c r="P849"/>
      <x:c r="Q849"/>
      <x:c r="R849"/>
      <x:c r="S849"/>
      <x:c r="T849"/>
      <x:c r="U849"/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/>
      <x:c r="AC849" t="n">
        <x:v>0</x:v>
      </x:c>
      <x:c r="AD849" t="n">
        <x:v>0.06757300310763314</x:v>
      </x:c>
      <x:c r="AE849" t="n">
        <x:v>1</x:v>
      </x:c>
      <x:c r="AF849" t="n">
        <x:v>0.0020628204073899203</x:v>
      </x:c>
      <x:c r="AG849" t="n">
        <x:f>_xlfn.XLOOKUP($A849,Games!$A$2:$A$18,Games!$B$2:$B$18,"Missing game",0)</x:f>
        <x:v>2025</x:v>
      </x:c>
      <x:c r="AH849" t="str">
        <x:f>_xlfn.XLOOKUP($A849,Games!$A$2:$A$18,Games!$C$2:$C$18,"Missing game",0)</x:f>
        <x:v>REG</x:v>
      </x:c>
      <x:c r="AI849" t="n">
        <x:f>_xlfn.XLOOKUP($A849,Games!$A$2:$A$18,Games!$D$2:$D$18,"Missing game",0)</x:f>
        <x:v>5</x:v>
      </x:c>
      <x:c r="AJ849" s="1" t="n">
        <x:f>_xlfn.XLOOKUP($A849,Games!$A$2:$A$18,Games!$E$2:$E$18,"Missing game",0)</x:f>
        <x:v>45935</x:v>
      </x:c>
      <x:c r="AK849" t="str">
        <x:f>_xlfn.XLOOKUP($A849,Games!$A$2:$A$18,Games!$F$2:$F$18,"Missing game",0)</x:f>
        <x:v>Sunday</x:v>
      </x:c>
      <x:c r="AL849" t="str">
        <x:f>_xlfn.XLOOKUP($A849,Games!$A$2:$A$18,Games!$G$2:$G$18,"Missing game",0)</x:f>
        <x:v>MIN</x:v>
      </x:c>
      <x:c r="AM849" t="n">
        <x:f>_xlfn.XLOOKUP($A849,Games!$A$2:$A$18,Games!$H$2:$H$18,"Missing game",0)</x:f>
        <x:v>21</x:v>
      </x:c>
      <x:c r="AN849" t="str">
        <x:f>_xlfn.XLOOKUP($A849,Games!$A$2:$A$18,Games!$I$2:$I$18,"Missing game",0)</x:f>
        <x:v>CLE</x:v>
      </x:c>
      <x:c r="AO849" t="n">
        <x:f>_xlfn.XLOOKUP($A849,Games!$A$2:$A$18,Games!$J$2:$J$18,"Missing game",0)</x:f>
        <x:v>17</x:v>
      </x:c>
      <x:c r="AP849" t="n">
        <x:f>_xlfn.XLOOKUP($A849,Games!$A$2:$A$18,Games!$K$2:$K$18,"Missing game",0)</x:f>
        <x:v>-4</x:v>
      </x:c>
      <x:c r="AQ849" t="n">
        <x:f>_xlfn.XLOOKUP($A849,Games!$A$2:$A$18,Games!$L$2:$L$18,"Missing game",0)</x:f>
        <x:v>38</x:v>
      </x:c>
      <x:c r="AR849" t="n">
        <x:f>_xlfn.XLOOKUP($A849,Games!$A$2:$A$18,Games!$M$2:$M$18,"Missing game",0)</x:f>
        <x:v>0</x:v>
      </x:c>
      <x:c r="AS849" t="str">
        <x:f>_xlfn.XLOOKUP($A849,Games!$A$2:$A$18,Games!$N$2:$N$18,"Missing game",0)</x:f>
        <x:v>outdoors</x:v>
      </x:c>
      <x:c r="AT849" t="str">
        <x:f>_xlfn.XLOOKUP($A849,Games!$A$2:$A$18,Games!$O$2:$O$18,"Missing game",0)</x:f>
        <x:v>grass</x:v>
      </x:c>
      <x:c r="AU849" t="n">
        <x:f>_xlfn.XLOOKUP($A849,Games!$A$2:$A$18,Games!$P$2:$P$18,"Missing game",0)</x:f>
        <x:v>61</x:v>
      </x:c>
      <x:c r="AV849" t="n">
        <x:f>_xlfn.XLOOKUP($A849,Games!$A$2:$A$18,Games!$Q$2:$Q$18,"Missing game",0)</x:f>
        <x:v>14</x:v>
      </x:c>
      <x:c r="AW849" t="str">
        <x:f>_xlfn.XLOOKUP($A849,Games!$A$2:$A$18,Games!$R$2:$R$18,"Missing game",0)</x:f>
        <x:v>FirstEnergy Stadium</x:v>
      </x:c>
    </x:row>
    <x:row r="850">
      <x:c r="A850" t="str">
        <x:v>2025_05_MIN_CLE</x:v>
      </x:c>
      <x:c r="B850" t="n">
        <x:v>4469</x:v>
      </x:c>
      <x:c r="C850" t="n">
        <x:v>4</x:v>
      </x:c>
      <x:c r="D850" t="str">
        <x:v>00:25</x:v>
      </x:c>
      <x:c r="E850"/>
      <x:c r="F850" t="n">
        <x:v>0</x:v>
      </x:c>
      <x:c r="G850" t="str">
        <x:v>CLE</x:v>
      </x:c>
      <x:c r="H850" t="str">
        <x:v>MIN</x:v>
      </x:c>
      <x:c r="I850" t="str">
        <x:v>MIN</x:v>
      </x:c>
      <x:c r="J850" t="n">
        <x:v>35</x:v>
      </x:c>
      <x:c r="K850" t="str">
        <x:v>16-W.Reichard kicks 62 yards from MIN 35 to CLE 3. 34-J.Ford to CLE 29 for 26 yards (41-K.King; 37-T.Thomas).</x:v>
      </x:c>
      <x:c r="L850" t="str">
        <x:v>kickoff</x:v>
      </x:c>
      <x:c r="M850" t="n">
        <x:v>0</x:v>
      </x:c>
      <x:c r="N850" t="n">
        <x:v>0</x:v>
      </x:c>
      <x:c r="O850" t="n">
        <x:v>0</x:v>
      </x:c>
      <x:c r="P850"/>
      <x:c r="Q850"/>
      <x:c r="R850"/>
      <x:c r="S850"/>
      <x:c r="T850"/>
      <x:c r="U850"/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/>
      <x:c r="AC850" t="n">
        <x:v>0</x:v>
      </x:c>
      <x:c r="AD850" t="n">
        <x:v>0.013001093291677535</x:v>
      </x:c>
      <x:c r="AE850" t="n">
        <x:v>1</x:v>
      </x:c>
      <x:c r="AF850" t="n">
        <x:v>-0.010516531765460968</x:v>
      </x:c>
      <x:c r="AG850" t="n">
        <x:f>_xlfn.XLOOKUP($A850,Games!$A$2:$A$18,Games!$B$2:$B$18,"Missing game",0)</x:f>
        <x:v>2025</x:v>
      </x:c>
      <x:c r="AH850" t="str">
        <x:f>_xlfn.XLOOKUP($A850,Games!$A$2:$A$18,Games!$C$2:$C$18,"Missing game",0)</x:f>
        <x:v>REG</x:v>
      </x:c>
      <x:c r="AI850" t="n">
        <x:f>_xlfn.XLOOKUP($A850,Games!$A$2:$A$18,Games!$D$2:$D$18,"Missing game",0)</x:f>
        <x:v>5</x:v>
      </x:c>
      <x:c r="AJ850" s="1" t="n">
        <x:f>_xlfn.XLOOKUP($A850,Games!$A$2:$A$18,Games!$E$2:$E$18,"Missing game",0)</x:f>
        <x:v>45935</x:v>
      </x:c>
      <x:c r="AK850" t="str">
        <x:f>_xlfn.XLOOKUP($A850,Games!$A$2:$A$18,Games!$F$2:$F$18,"Missing game",0)</x:f>
        <x:v>Sunday</x:v>
      </x:c>
      <x:c r="AL850" t="str">
        <x:f>_xlfn.XLOOKUP($A850,Games!$A$2:$A$18,Games!$G$2:$G$18,"Missing game",0)</x:f>
        <x:v>MIN</x:v>
      </x:c>
      <x:c r="AM850" t="n">
        <x:f>_xlfn.XLOOKUP($A850,Games!$A$2:$A$18,Games!$H$2:$H$18,"Missing game",0)</x:f>
        <x:v>21</x:v>
      </x:c>
      <x:c r="AN850" t="str">
        <x:f>_xlfn.XLOOKUP($A850,Games!$A$2:$A$18,Games!$I$2:$I$18,"Missing game",0)</x:f>
        <x:v>CLE</x:v>
      </x:c>
      <x:c r="AO850" t="n">
        <x:f>_xlfn.XLOOKUP($A850,Games!$A$2:$A$18,Games!$J$2:$J$18,"Missing game",0)</x:f>
        <x:v>17</x:v>
      </x:c>
      <x:c r="AP850" t="n">
        <x:f>_xlfn.XLOOKUP($A850,Games!$A$2:$A$18,Games!$K$2:$K$18,"Missing game",0)</x:f>
        <x:v>-4</x:v>
      </x:c>
      <x:c r="AQ850" t="n">
        <x:f>_xlfn.XLOOKUP($A850,Games!$A$2:$A$18,Games!$L$2:$L$18,"Missing game",0)</x:f>
        <x:v>38</x:v>
      </x:c>
      <x:c r="AR850" t="n">
        <x:f>_xlfn.XLOOKUP($A850,Games!$A$2:$A$18,Games!$M$2:$M$18,"Missing game",0)</x:f>
        <x:v>0</x:v>
      </x:c>
      <x:c r="AS850" t="str">
        <x:f>_xlfn.XLOOKUP($A850,Games!$A$2:$A$18,Games!$N$2:$N$18,"Missing game",0)</x:f>
        <x:v>outdoors</x:v>
      </x:c>
      <x:c r="AT850" t="str">
        <x:f>_xlfn.XLOOKUP($A850,Games!$A$2:$A$18,Games!$O$2:$O$18,"Missing game",0)</x:f>
        <x:v>grass</x:v>
      </x:c>
      <x:c r="AU850" t="n">
        <x:f>_xlfn.XLOOKUP($A850,Games!$A$2:$A$18,Games!$P$2:$P$18,"Missing game",0)</x:f>
        <x:v>61</x:v>
      </x:c>
      <x:c r="AV850" t="n">
        <x:f>_xlfn.XLOOKUP($A850,Games!$A$2:$A$18,Games!$Q$2:$Q$18,"Missing game",0)</x:f>
        <x:v>14</x:v>
      </x:c>
      <x:c r="AW850" t="str">
        <x:f>_xlfn.XLOOKUP($A850,Games!$A$2:$A$18,Games!$R$2:$R$18,"Missing game",0)</x:f>
        <x:v>FirstEnergy Stadium</x:v>
      </x:c>
    </x:row>
    <x:row r="851">
      <x:c r="A851" t="str">
        <x:v>2025_05_MIN_CLE</x:v>
      </x:c>
      <x:c r="B851" t="n">
        <x:v>4495</x:v>
      </x:c>
      <x:c r="C851" t="n">
        <x:v>4</x:v>
      </x:c>
      <x:c r="D851" t="str">
        <x:v>00:21</x:v>
      </x:c>
      <x:c r="E851" t="n">
        <x:v>1</x:v>
      </x:c>
      <x:c r="F851" t="n">
        <x:v>10</x:v>
      </x:c>
      <x:c r="G851" t="str">
        <x:v>CLE</x:v>
      </x:c>
      <x:c r="H851" t="str">
        <x:v>MIN</x:v>
      </x:c>
      <x:c r="I851" t="str">
        <x:v>CLE</x:v>
      </x:c>
      <x:c r="J851" t="n">
        <x:v>71</x:v>
      </x:c>
      <x:c r="K851" t="str">
        <x:v>(:21) (Shotgun) 8-D.Gabriel pass deep middle to 16-I.Bond to MIN 49 for 22 yards (7-B.Murphy).</x:v>
      </x:c>
      <x:c r="L851" t="str">
        <x:v>pass</x:v>
      </x:c>
      <x:c r="M851" t="n">
        <x:v>22</x:v>
      </x:c>
      <x:c r="N851" t="n">
        <x:v>1</x:v>
      </x:c>
      <x:c r="O851" t="n">
        <x:v>0</x:v>
      </x:c>
      <x:c r="P851" t="str">
        <x:v>deep</x:v>
      </x:c>
      <x:c r="Q851" t="str">
        <x:v>middle</x:v>
      </x:c>
      <x:c r="R851" t="n">
        <x:v>21</x:v>
      </x:c>
      <x:c r="S851" t="n">
        <x:v>1</x:v>
      </x:c>
      <x:c r="T851"/>
      <x:c r="U851"/>
      <x:c r="V851" t="n">
        <x:v>1</x:v>
      </x:c>
      <x:c r="W851" t="n">
        <x:v>1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/>
      <x:c r="AC851" t="n">
        <x:v>0</x:v>
      </x:c>
      <x:c r="AD851" t="n">
        <x:v>0.29454905434977263</x:v>
      </x:c>
      <x:c r="AE851" t="n">
        <x:v>1</x:v>
      </x:c>
      <x:c r="AF851" t="n">
        <x:v>0.03968466818332672</x:v>
      </x:c>
      <x:c r="AG851" t="n">
        <x:f>_xlfn.XLOOKUP($A851,Games!$A$2:$A$18,Games!$B$2:$B$18,"Missing game",0)</x:f>
        <x:v>2025</x:v>
      </x:c>
      <x:c r="AH851" t="str">
        <x:f>_xlfn.XLOOKUP($A851,Games!$A$2:$A$18,Games!$C$2:$C$18,"Missing game",0)</x:f>
        <x:v>REG</x:v>
      </x:c>
      <x:c r="AI851" t="n">
        <x:f>_xlfn.XLOOKUP($A851,Games!$A$2:$A$18,Games!$D$2:$D$18,"Missing game",0)</x:f>
        <x:v>5</x:v>
      </x:c>
      <x:c r="AJ851" s="1" t="n">
        <x:f>_xlfn.XLOOKUP($A851,Games!$A$2:$A$18,Games!$E$2:$E$18,"Missing game",0)</x:f>
        <x:v>45935</x:v>
      </x:c>
      <x:c r="AK851" t="str">
        <x:f>_xlfn.XLOOKUP($A851,Games!$A$2:$A$18,Games!$F$2:$F$18,"Missing game",0)</x:f>
        <x:v>Sunday</x:v>
      </x:c>
      <x:c r="AL851" t="str">
        <x:f>_xlfn.XLOOKUP($A851,Games!$A$2:$A$18,Games!$G$2:$G$18,"Missing game",0)</x:f>
        <x:v>MIN</x:v>
      </x:c>
      <x:c r="AM851" t="n">
        <x:f>_xlfn.XLOOKUP($A851,Games!$A$2:$A$18,Games!$H$2:$H$18,"Missing game",0)</x:f>
        <x:v>21</x:v>
      </x:c>
      <x:c r="AN851" t="str">
        <x:f>_xlfn.XLOOKUP($A851,Games!$A$2:$A$18,Games!$I$2:$I$18,"Missing game",0)</x:f>
        <x:v>CLE</x:v>
      </x:c>
      <x:c r="AO851" t="n">
        <x:f>_xlfn.XLOOKUP($A851,Games!$A$2:$A$18,Games!$J$2:$J$18,"Missing game",0)</x:f>
        <x:v>17</x:v>
      </x:c>
      <x:c r="AP851" t="n">
        <x:f>_xlfn.XLOOKUP($A851,Games!$A$2:$A$18,Games!$K$2:$K$18,"Missing game",0)</x:f>
        <x:v>-4</x:v>
      </x:c>
      <x:c r="AQ851" t="n">
        <x:f>_xlfn.XLOOKUP($A851,Games!$A$2:$A$18,Games!$L$2:$L$18,"Missing game",0)</x:f>
        <x:v>38</x:v>
      </x:c>
      <x:c r="AR851" t="n">
        <x:f>_xlfn.XLOOKUP($A851,Games!$A$2:$A$18,Games!$M$2:$M$18,"Missing game",0)</x:f>
        <x:v>0</x:v>
      </x:c>
      <x:c r="AS851" t="str">
        <x:f>_xlfn.XLOOKUP($A851,Games!$A$2:$A$18,Games!$N$2:$N$18,"Missing game",0)</x:f>
        <x:v>outdoors</x:v>
      </x:c>
      <x:c r="AT851" t="str">
        <x:f>_xlfn.XLOOKUP($A851,Games!$A$2:$A$18,Games!$O$2:$O$18,"Missing game",0)</x:f>
        <x:v>grass</x:v>
      </x:c>
      <x:c r="AU851" t="n">
        <x:f>_xlfn.XLOOKUP($A851,Games!$A$2:$A$18,Games!$P$2:$P$18,"Missing game",0)</x:f>
        <x:v>61</x:v>
      </x:c>
      <x:c r="AV851" t="n">
        <x:f>_xlfn.XLOOKUP($A851,Games!$A$2:$A$18,Games!$Q$2:$Q$18,"Missing game",0)</x:f>
        <x:v>14</x:v>
      </x:c>
      <x:c r="AW851" t="str">
        <x:f>_xlfn.XLOOKUP($A851,Games!$A$2:$A$18,Games!$R$2:$R$18,"Missing game",0)</x:f>
        <x:v>FirstEnergy Stadium</x:v>
      </x:c>
    </x:row>
    <x:row r="852">
      <x:c r="A852" t="str">
        <x:v>2025_05_MIN_CLE</x:v>
      </x:c>
      <x:c r="B852" t="n">
        <x:v>4520</x:v>
      </x:c>
      <x:c r="C852" t="n">
        <x:v>4</x:v>
      </x:c>
      <x:c r="D852" t="str">
        <x:v>00:08</x:v>
      </x:c>
      <x:c r="E852" t="n">
        <x:v>1</x:v>
      </x:c>
      <x:c r="F852" t="n">
        <x:v>10</x:v>
      </x:c>
      <x:c r="G852" t="str">
        <x:v>CLE</x:v>
      </x:c>
      <x:c r="H852" t="str">
        <x:v>MIN</x:v>
      </x:c>
      <x:c r="I852" t="str">
        <x:v>MIN</x:v>
      </x:c>
      <x:c r="J852" t="n">
        <x:v>49</x:v>
      </x:c>
      <x:c r="K852" t="str">
        <x:v>(:08) (No Huddle) 8-D.Gabriel spiked the ball to stop the clock.</x:v>
      </x:c>
      <x:c r="L852" t="str">
        <x:v>qb_spike</x:v>
      </x:c>
      <x:c r="M852" t="n">
        <x:v>0</x:v>
      </x:c>
      <x:c r="N852" t="n">
        <x:v>0</x:v>
      </x:c>
      <x:c r="O852" t="n">
        <x:v>1</x:v>
      </x:c>
      <x:c r="P852"/>
      <x:c r="Q852"/>
      <x:c r="R852" t="n">
        <x:v>0</x:v>
      </x:c>
      <x:c r="S852"/>
      <x:c r="T852"/>
      <x:c r="U852"/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/>
      <x:c r="AC852" t="n">
        <x:v>0</x:v>
      </x:c>
      <x:c r="AD852" t="n">
        <x:v>-0.06206326378742233</x:v>
      </x:c>
      <x:c r="AE852" t="n">
        <x:v>0</x:v>
      </x:c>
      <x:c r="AF852" t="n">
        <x:v>-0.0021094530820846558</x:v>
      </x:c>
      <x:c r="AG852" t="n">
        <x:f>_xlfn.XLOOKUP($A852,Games!$A$2:$A$18,Games!$B$2:$B$18,"Missing game",0)</x:f>
        <x:v>2025</x:v>
      </x:c>
      <x:c r="AH852" t="str">
        <x:f>_xlfn.XLOOKUP($A852,Games!$A$2:$A$18,Games!$C$2:$C$18,"Missing game",0)</x:f>
        <x:v>REG</x:v>
      </x:c>
      <x:c r="AI852" t="n">
        <x:f>_xlfn.XLOOKUP($A852,Games!$A$2:$A$18,Games!$D$2:$D$18,"Missing game",0)</x:f>
        <x:v>5</x:v>
      </x:c>
      <x:c r="AJ852" s="1" t="n">
        <x:f>_xlfn.XLOOKUP($A852,Games!$A$2:$A$18,Games!$E$2:$E$18,"Missing game",0)</x:f>
        <x:v>45935</x:v>
      </x:c>
      <x:c r="AK852" t="str">
        <x:f>_xlfn.XLOOKUP($A852,Games!$A$2:$A$18,Games!$F$2:$F$18,"Missing game",0)</x:f>
        <x:v>Sunday</x:v>
      </x:c>
      <x:c r="AL852" t="str">
        <x:f>_xlfn.XLOOKUP($A852,Games!$A$2:$A$18,Games!$G$2:$G$18,"Missing game",0)</x:f>
        <x:v>MIN</x:v>
      </x:c>
      <x:c r="AM852" t="n">
        <x:f>_xlfn.XLOOKUP($A852,Games!$A$2:$A$18,Games!$H$2:$H$18,"Missing game",0)</x:f>
        <x:v>21</x:v>
      </x:c>
      <x:c r="AN852" t="str">
        <x:f>_xlfn.XLOOKUP($A852,Games!$A$2:$A$18,Games!$I$2:$I$18,"Missing game",0)</x:f>
        <x:v>CLE</x:v>
      </x:c>
      <x:c r="AO852" t="n">
        <x:f>_xlfn.XLOOKUP($A852,Games!$A$2:$A$18,Games!$J$2:$J$18,"Missing game",0)</x:f>
        <x:v>17</x:v>
      </x:c>
      <x:c r="AP852" t="n">
        <x:f>_xlfn.XLOOKUP($A852,Games!$A$2:$A$18,Games!$K$2:$K$18,"Missing game",0)</x:f>
        <x:v>-4</x:v>
      </x:c>
      <x:c r="AQ852" t="n">
        <x:f>_xlfn.XLOOKUP($A852,Games!$A$2:$A$18,Games!$L$2:$L$18,"Missing game",0)</x:f>
        <x:v>38</x:v>
      </x:c>
      <x:c r="AR852" t="n">
        <x:f>_xlfn.XLOOKUP($A852,Games!$A$2:$A$18,Games!$M$2:$M$18,"Missing game",0)</x:f>
        <x:v>0</x:v>
      </x:c>
      <x:c r="AS852" t="str">
        <x:f>_xlfn.XLOOKUP($A852,Games!$A$2:$A$18,Games!$N$2:$N$18,"Missing game",0)</x:f>
        <x:v>outdoors</x:v>
      </x:c>
      <x:c r="AT852" t="str">
        <x:f>_xlfn.XLOOKUP($A852,Games!$A$2:$A$18,Games!$O$2:$O$18,"Missing game",0)</x:f>
        <x:v>grass</x:v>
      </x:c>
      <x:c r="AU852" t="n">
        <x:f>_xlfn.XLOOKUP($A852,Games!$A$2:$A$18,Games!$P$2:$P$18,"Missing game",0)</x:f>
        <x:v>61</x:v>
      </x:c>
      <x:c r="AV852" t="n">
        <x:f>_xlfn.XLOOKUP($A852,Games!$A$2:$A$18,Games!$Q$2:$Q$18,"Missing game",0)</x:f>
        <x:v>14</x:v>
      </x:c>
      <x:c r="AW852" t="str">
        <x:f>_xlfn.XLOOKUP($A852,Games!$A$2:$A$18,Games!$R$2:$R$18,"Missing game",0)</x:f>
        <x:v>FirstEnergy Stadium</x:v>
      </x:c>
    </x:row>
    <x:row r="853">
      <x:c r="A853" t="str">
        <x:v>2025_05_MIN_CLE</x:v>
      </x:c>
      <x:c r="B853" t="n">
        <x:v>4543</x:v>
      </x:c>
      <x:c r="C853" t="n">
        <x:v>4</x:v>
      </x:c>
      <x:c r="D853" t="str">
        <x:v>00:07</x:v>
      </x:c>
      <x:c r="E853" t="n">
        <x:v>2</x:v>
      </x:c>
      <x:c r="F853" t="n">
        <x:v>10</x:v>
      </x:c>
      <x:c r="G853" t="str">
        <x:v>CLE</x:v>
      </x:c>
      <x:c r="H853" t="str">
        <x:v>MIN</x:v>
      </x:c>
      <x:c r="I853" t="str">
        <x:v>MIN</x:v>
      </x:c>
      <x:c r="J853" t="n">
        <x:v>49</x:v>
      </x:c>
      <x:c r="K853" t="str">
        <x:v>(:07) (Shotgun) 8-D.Gabriel pass short left to 80-J.Thrash to MIN 27 for 22 yards (8-J.Okudah).</x:v>
      </x:c>
      <x:c r="L853" t="str">
        <x:v>pass</x:v>
      </x:c>
      <x:c r="M853" t="n">
        <x:v>22</x:v>
      </x:c>
      <x:c r="N853" t="n">
        <x:v>1</x:v>
      </x:c>
      <x:c r="O853" t="n">
        <x:v>0</x:v>
      </x:c>
      <x:c r="P853" t="str">
        <x:v>short</x:v>
      </x:c>
      <x:c r="Q853" t="str">
        <x:v>left</x:v>
      </x:c>
      <x:c r="R853" t="n">
        <x:v>15</x:v>
      </x:c>
      <x:c r="S853" t="n">
        <x:v>7</x:v>
      </x:c>
      <x:c r="T853"/>
      <x:c r="U853"/>
      <x:c r="V853" t="n">
        <x:v>1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/>
      <x:c r="AC853" t="n">
        <x:v>0</x:v>
      </x:c>
      <x:c r="AD853" t="n">
        <x:v>-0.36862819525413215</x:v>
      </x:c>
      <x:c r="AE853" t="n">
        <x:v>0</x:v>
      </x:c>
      <x:c r="AF853" t="n">
        <x:v>-0.12785407900810242</x:v>
      </x:c>
      <x:c r="AG853" t="n">
        <x:f>_xlfn.XLOOKUP($A853,Games!$A$2:$A$18,Games!$B$2:$B$18,"Missing game",0)</x:f>
        <x:v>2025</x:v>
      </x:c>
      <x:c r="AH853" t="str">
        <x:f>_xlfn.XLOOKUP($A853,Games!$A$2:$A$18,Games!$C$2:$C$18,"Missing game",0)</x:f>
        <x:v>REG</x:v>
      </x:c>
      <x:c r="AI853" t="n">
        <x:f>_xlfn.XLOOKUP($A853,Games!$A$2:$A$18,Games!$D$2:$D$18,"Missing game",0)</x:f>
        <x:v>5</x:v>
      </x:c>
      <x:c r="AJ853" s="1" t="n">
        <x:f>_xlfn.XLOOKUP($A853,Games!$A$2:$A$18,Games!$E$2:$E$18,"Missing game",0)</x:f>
        <x:v>45935</x:v>
      </x:c>
      <x:c r="AK853" t="str">
        <x:f>_xlfn.XLOOKUP($A853,Games!$A$2:$A$18,Games!$F$2:$F$18,"Missing game",0)</x:f>
        <x:v>Sunday</x:v>
      </x:c>
      <x:c r="AL853" t="str">
        <x:f>_xlfn.XLOOKUP($A853,Games!$A$2:$A$18,Games!$G$2:$G$18,"Missing game",0)</x:f>
        <x:v>MIN</x:v>
      </x:c>
      <x:c r="AM853" t="n">
        <x:f>_xlfn.XLOOKUP($A853,Games!$A$2:$A$18,Games!$H$2:$H$18,"Missing game",0)</x:f>
        <x:v>21</x:v>
      </x:c>
      <x:c r="AN853" t="str">
        <x:f>_xlfn.XLOOKUP($A853,Games!$A$2:$A$18,Games!$I$2:$I$18,"Missing game",0)</x:f>
        <x:v>CLE</x:v>
      </x:c>
      <x:c r="AO853" t="n">
        <x:f>_xlfn.XLOOKUP($A853,Games!$A$2:$A$18,Games!$J$2:$J$18,"Missing game",0)</x:f>
        <x:v>17</x:v>
      </x:c>
      <x:c r="AP853" t="n">
        <x:f>_xlfn.XLOOKUP($A853,Games!$A$2:$A$18,Games!$K$2:$K$18,"Missing game",0)</x:f>
        <x:v>-4</x:v>
      </x:c>
      <x:c r="AQ853" t="n">
        <x:f>_xlfn.XLOOKUP($A853,Games!$A$2:$A$18,Games!$L$2:$L$18,"Missing game",0)</x:f>
        <x:v>38</x:v>
      </x:c>
      <x:c r="AR853" t="n">
        <x:f>_xlfn.XLOOKUP($A853,Games!$A$2:$A$18,Games!$M$2:$M$18,"Missing game",0)</x:f>
        <x:v>0</x:v>
      </x:c>
      <x:c r="AS853" t="str">
        <x:f>_xlfn.XLOOKUP($A853,Games!$A$2:$A$18,Games!$N$2:$N$18,"Missing game",0)</x:f>
        <x:v>outdoors</x:v>
      </x:c>
      <x:c r="AT853" t="str">
        <x:f>_xlfn.XLOOKUP($A853,Games!$A$2:$A$18,Games!$O$2:$O$18,"Missing game",0)</x:f>
        <x:v>grass</x:v>
      </x:c>
      <x:c r="AU853" t="n">
        <x:f>_xlfn.XLOOKUP($A853,Games!$A$2:$A$18,Games!$P$2:$P$18,"Missing game",0)</x:f>
        <x:v>61</x:v>
      </x:c>
      <x:c r="AV853" t="n">
        <x:f>_xlfn.XLOOKUP($A853,Games!$A$2:$A$18,Games!$Q$2:$Q$18,"Missing game",0)</x:f>
        <x:v>14</x:v>
      </x:c>
      <x:c r="AW853" t="str">
        <x:f>_xlfn.XLOOKUP($A853,Games!$A$2:$A$18,Games!$R$2:$R$18,"Missing game",0)</x:f>
        <x:v>FirstEnergy Stadium</x:v>
      </x:c>
    </x:row>
    <x:row r="854">
      <x:c r="A854" t="str">
        <x:v>2025_05_MIN_CLE</x:v>
      </x:c>
      <x:c r="B854" t="n">
        <x:v>4580</x:v>
      </x:c>
      <x:c r="C854" t="n">
        <x:v>4</x:v>
      </x:c>
      <x:c r="D854" t="str">
        <x:v>00:07</x:v>
      </x:c>
      <x:c r="E854"/>
      <x:c r="F854" t="n">
        <x:v>0</x:v>
      </x:c>
      <x:c r="G854"/>
      <x:c r="H854"/>
      <x:c r="I854"/>
      <x:c r="J854"/>
      <x:c r="K854" t="str">
        <x:v>Timeout #3 by MIN at 00:07.</x:v>
      </x:c>
      <x:c r="L854" t="str">
        <x:v>no_play</x:v>
      </x:c>
      <x:c r="M854" t="n">
        <x:v>0</x:v>
      </x:c>
      <x:c r="N854" t="n">
        <x:v>0</x:v>
      </x:c>
      <x:c r="O854" t="n">
        <x:v>0</x:v>
      </x:c>
      <x:c r="P854"/>
      <x:c r="Q854"/>
      <x:c r="R854"/>
      <x:c r="S854"/>
      <x:c r="T854"/>
      <x:c r="U854"/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/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f>_xlfn.XLOOKUP($A854,Games!$A$2:$A$18,Games!$B$2:$B$18,"Missing game",0)</x:f>
        <x:v>2025</x:v>
      </x:c>
      <x:c r="AH854" t="str">
        <x:f>_xlfn.XLOOKUP($A854,Games!$A$2:$A$18,Games!$C$2:$C$18,"Missing game",0)</x:f>
        <x:v>REG</x:v>
      </x:c>
      <x:c r="AI854" t="n">
        <x:f>_xlfn.XLOOKUP($A854,Games!$A$2:$A$18,Games!$D$2:$D$18,"Missing game",0)</x:f>
        <x:v>5</x:v>
      </x:c>
      <x:c r="AJ854" s="1" t="n">
        <x:f>_xlfn.XLOOKUP($A854,Games!$A$2:$A$18,Games!$E$2:$E$18,"Missing game",0)</x:f>
        <x:v>45935</x:v>
      </x:c>
      <x:c r="AK854" t="str">
        <x:f>_xlfn.XLOOKUP($A854,Games!$A$2:$A$18,Games!$F$2:$F$18,"Missing game",0)</x:f>
        <x:v>Sunday</x:v>
      </x:c>
      <x:c r="AL854" t="str">
        <x:f>_xlfn.XLOOKUP($A854,Games!$A$2:$A$18,Games!$G$2:$G$18,"Missing game",0)</x:f>
        <x:v>MIN</x:v>
      </x:c>
      <x:c r="AM854" t="n">
        <x:f>_xlfn.XLOOKUP($A854,Games!$A$2:$A$18,Games!$H$2:$H$18,"Missing game",0)</x:f>
        <x:v>21</x:v>
      </x:c>
      <x:c r="AN854" t="str">
        <x:f>_xlfn.XLOOKUP($A854,Games!$A$2:$A$18,Games!$I$2:$I$18,"Missing game",0)</x:f>
        <x:v>CLE</x:v>
      </x:c>
      <x:c r="AO854" t="n">
        <x:f>_xlfn.XLOOKUP($A854,Games!$A$2:$A$18,Games!$J$2:$J$18,"Missing game",0)</x:f>
        <x:v>17</x:v>
      </x:c>
      <x:c r="AP854" t="n">
        <x:f>_xlfn.XLOOKUP($A854,Games!$A$2:$A$18,Games!$K$2:$K$18,"Missing game",0)</x:f>
        <x:v>-4</x:v>
      </x:c>
      <x:c r="AQ854" t="n">
        <x:f>_xlfn.XLOOKUP($A854,Games!$A$2:$A$18,Games!$L$2:$L$18,"Missing game",0)</x:f>
        <x:v>38</x:v>
      </x:c>
      <x:c r="AR854" t="n">
        <x:f>_xlfn.XLOOKUP($A854,Games!$A$2:$A$18,Games!$M$2:$M$18,"Missing game",0)</x:f>
        <x:v>0</x:v>
      </x:c>
      <x:c r="AS854" t="str">
        <x:f>_xlfn.XLOOKUP($A854,Games!$A$2:$A$18,Games!$N$2:$N$18,"Missing game",0)</x:f>
        <x:v>outdoors</x:v>
      </x:c>
      <x:c r="AT854" t="str">
        <x:f>_xlfn.XLOOKUP($A854,Games!$A$2:$A$18,Games!$O$2:$O$18,"Missing game",0)</x:f>
        <x:v>grass</x:v>
      </x:c>
      <x:c r="AU854" t="n">
        <x:f>_xlfn.XLOOKUP($A854,Games!$A$2:$A$18,Games!$P$2:$P$18,"Missing game",0)</x:f>
        <x:v>61</x:v>
      </x:c>
      <x:c r="AV854" t="n">
        <x:f>_xlfn.XLOOKUP($A854,Games!$A$2:$A$18,Games!$Q$2:$Q$18,"Missing game",0)</x:f>
        <x:v>14</x:v>
      </x:c>
      <x:c r="AW854" t="str">
        <x:f>_xlfn.XLOOKUP($A854,Games!$A$2:$A$18,Games!$R$2:$R$18,"Missing game",0)</x:f>
        <x:v>FirstEnergy Stadium</x:v>
      </x:c>
    </x:row>
    <x:row r="855">
      <x:c r="A855" t="str">
        <x:v>2025_05_MIN_CLE</x:v>
      </x:c>
      <x:c r="B855" t="n">
        <x:v>4600</x:v>
      </x:c>
      <x:c r="C855" t="n">
        <x:v>4</x:v>
      </x:c>
      <x:c r="D855" t="str">
        <x:v>00:00</x:v>
      </x:c>
      <x:c r="E855"/>
      <x:c r="F855" t="n">
        <x:v>0</x:v>
      </x:c>
      <x:c r="G855" t="str">
        <x:v>CLE</x:v>
      </x:c>
      <x:c r="H855" t="str">
        <x:v>MIN</x:v>
      </x:c>
      <x:c r="I855"/>
      <x:c r="J855"/>
      <x:c r="K855" t="str">
        <x:v>END GAME</x:v>
      </x:c>
      <x:c r="L855"/>
      <x:c r="M855"/>
      <x:c r="N855" t="n">
        <x:v>0</x:v>
      </x:c>
      <x:c r="O855" t="n">
        <x:v>0</x:v>
      </x:c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 t="n">
        <x:f>_xlfn.XLOOKUP($A855,Games!$A$2:$A$18,Games!$B$2:$B$18,"Missing game",0)</x:f>
        <x:v>2025</x:v>
      </x:c>
      <x:c r="AH855" t="str">
        <x:f>_xlfn.XLOOKUP($A855,Games!$A$2:$A$18,Games!$C$2:$C$18,"Missing game",0)</x:f>
        <x:v>REG</x:v>
      </x:c>
      <x:c r="AI855" t="n">
        <x:f>_xlfn.XLOOKUP($A855,Games!$A$2:$A$18,Games!$D$2:$D$18,"Missing game",0)</x:f>
        <x:v>5</x:v>
      </x:c>
      <x:c r="AJ855" s="1" t="n">
        <x:f>_xlfn.XLOOKUP($A855,Games!$A$2:$A$18,Games!$E$2:$E$18,"Missing game",0)</x:f>
        <x:v>45935</x:v>
      </x:c>
      <x:c r="AK855" t="str">
        <x:f>_xlfn.XLOOKUP($A855,Games!$A$2:$A$18,Games!$F$2:$F$18,"Missing game",0)</x:f>
        <x:v>Sunday</x:v>
      </x:c>
      <x:c r="AL855" t="str">
        <x:f>_xlfn.XLOOKUP($A855,Games!$A$2:$A$18,Games!$G$2:$G$18,"Missing game",0)</x:f>
        <x:v>MIN</x:v>
      </x:c>
      <x:c r="AM855" t="n">
        <x:f>_xlfn.XLOOKUP($A855,Games!$A$2:$A$18,Games!$H$2:$H$18,"Missing game",0)</x:f>
        <x:v>21</x:v>
      </x:c>
      <x:c r="AN855" t="str">
        <x:f>_xlfn.XLOOKUP($A855,Games!$A$2:$A$18,Games!$I$2:$I$18,"Missing game",0)</x:f>
        <x:v>CLE</x:v>
      </x:c>
      <x:c r="AO855" t="n">
        <x:f>_xlfn.XLOOKUP($A855,Games!$A$2:$A$18,Games!$J$2:$J$18,"Missing game",0)</x:f>
        <x:v>17</x:v>
      </x:c>
      <x:c r="AP855" t="n">
        <x:f>_xlfn.XLOOKUP($A855,Games!$A$2:$A$18,Games!$K$2:$K$18,"Missing game",0)</x:f>
        <x:v>-4</x:v>
      </x:c>
      <x:c r="AQ855" t="n">
        <x:f>_xlfn.XLOOKUP($A855,Games!$A$2:$A$18,Games!$L$2:$L$18,"Missing game",0)</x:f>
        <x:v>38</x:v>
      </x:c>
      <x:c r="AR855" t="n">
        <x:f>_xlfn.XLOOKUP($A855,Games!$A$2:$A$18,Games!$M$2:$M$18,"Missing game",0)</x:f>
        <x:v>0</x:v>
      </x:c>
      <x:c r="AS855" t="str">
        <x:f>_xlfn.XLOOKUP($A855,Games!$A$2:$A$18,Games!$N$2:$N$18,"Missing game",0)</x:f>
        <x:v>outdoors</x:v>
      </x:c>
      <x:c r="AT855" t="str">
        <x:f>_xlfn.XLOOKUP($A855,Games!$A$2:$A$18,Games!$O$2:$O$18,"Missing game",0)</x:f>
        <x:v>grass</x:v>
      </x:c>
      <x:c r="AU855" t="n">
        <x:f>_xlfn.XLOOKUP($A855,Games!$A$2:$A$18,Games!$P$2:$P$18,"Missing game",0)</x:f>
        <x:v>61</x:v>
      </x:c>
      <x:c r="AV855" t="n">
        <x:f>_xlfn.XLOOKUP($A855,Games!$A$2:$A$18,Games!$Q$2:$Q$18,"Missing game",0)</x:f>
        <x:v>14</x:v>
      </x:c>
      <x:c r="AW855" t="str">
        <x:f>_xlfn.XLOOKUP($A855,Games!$A$2:$A$18,Games!$R$2:$R$18,"Missing game",0)</x:f>
        <x:v>FirstEnergy Stadium</x:v>
      </x:c>
    </x:row>
    <x:row r="856">
      <x:c r="A856" t="str">
        <x:v>2025_07_PHI_MIN</x:v>
      </x:c>
      <x:c r="B856" t="n">
        <x:v>1</x:v>
      </x:c>
      <x:c r="C856" t="n">
        <x:v>1</x:v>
      </x:c>
      <x:c r="D856" t="str">
        <x:v>15:00</x:v>
      </x:c>
      <x:c r="E856"/>
      <x:c r="F856" t="n">
        <x:v>0</x:v>
      </x:c>
      <x:c r="G856"/>
      <x:c r="H856"/>
      <x:c r="I856"/>
      <x:c r="J856"/>
      <x:c r="K856" t="str">
        <x:v>GAME</x:v>
      </x:c>
      <x:c r="L856"/>
      <x:c r="M856"/>
      <x:c r="N856" t="n">
        <x:v>0</x:v>
      </x:c>
      <x:c r="O856" t="n">
        <x:v>0</x:v>
      </x:c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 t="n">
        <x:v>0</x:v>
      </x:c>
      <x:c r="AE856" t="n">
        <x:v>0</x:v>
      </x:c>
      <x:c r="AF856" t="n">
        <x:v>0</x:v>
      </x:c>
      <x:c r="AG856" t="n">
        <x:f>_xlfn.XLOOKUP($A856,Games!$A$2:$A$18,Games!$B$2:$B$18,"Missing game",0)</x:f>
        <x:v>2025</x:v>
      </x:c>
      <x:c r="AH856" t="str">
        <x:f>_xlfn.XLOOKUP($A856,Games!$A$2:$A$18,Games!$C$2:$C$18,"Missing game",0)</x:f>
        <x:v>REG</x:v>
      </x:c>
      <x:c r="AI856" t="n">
        <x:f>_xlfn.XLOOKUP($A856,Games!$A$2:$A$18,Games!$D$2:$D$18,"Missing game",0)</x:f>
        <x:v>7</x:v>
      </x:c>
      <x:c r="AJ856" s="1" t="n">
        <x:f>_xlfn.XLOOKUP($A856,Games!$A$2:$A$18,Games!$E$2:$E$18,"Missing game",0)</x:f>
        <x:v>45949</x:v>
      </x:c>
      <x:c r="AK856" t="str">
        <x:f>_xlfn.XLOOKUP($A856,Games!$A$2:$A$18,Games!$F$2:$F$18,"Missing game",0)</x:f>
        <x:v>Sunday</x:v>
      </x:c>
      <x:c r="AL856" t="str">
        <x:f>_xlfn.XLOOKUP($A856,Games!$A$2:$A$18,Games!$G$2:$G$18,"Missing game",0)</x:f>
        <x:v>PHI</x:v>
      </x:c>
      <x:c r="AM856" t="n">
        <x:f>_xlfn.XLOOKUP($A856,Games!$A$2:$A$18,Games!$H$2:$H$18,"Missing game",0)</x:f>
        <x:v>28</x:v>
      </x:c>
      <x:c r="AN856" t="str">
        <x:f>_xlfn.XLOOKUP($A856,Games!$A$2:$A$18,Games!$I$2:$I$18,"Missing game",0)</x:f>
        <x:v>MIN</x:v>
      </x:c>
      <x:c r="AO856" t="n">
        <x:f>_xlfn.XLOOKUP($A856,Games!$A$2:$A$18,Games!$J$2:$J$18,"Missing game",0)</x:f>
        <x:v>22</x:v>
      </x:c>
      <x:c r="AP856" t="n">
        <x:f>_xlfn.XLOOKUP($A856,Games!$A$2:$A$18,Games!$K$2:$K$18,"Missing game",0)</x:f>
        <x:v>-6</x:v>
      </x:c>
      <x:c r="AQ856" t="n">
        <x:f>_xlfn.XLOOKUP($A856,Games!$A$2:$A$18,Games!$L$2:$L$18,"Missing game",0)</x:f>
        <x:v>50</x:v>
      </x:c>
      <x:c r="AR856" t="n">
        <x:f>_xlfn.XLOOKUP($A856,Games!$A$2:$A$18,Games!$M$2:$M$18,"Missing game",0)</x:f>
        <x:v>0</x:v>
      </x:c>
      <x:c r="AS856" t="str">
        <x:f>_xlfn.XLOOKUP($A856,Games!$A$2:$A$18,Games!$N$2:$N$18,"Missing game",0)</x:f>
        <x:v>dome</x:v>
      </x:c>
      <x:c r="AT856" t="str">
        <x:f>_xlfn.XLOOKUP($A856,Games!$A$2:$A$18,Games!$O$2:$O$18,"Missing game",0)</x:f>
        <x:v>sportturf</x:v>
      </x:c>
      <x:c r="AU856" t="str">
        <x:f>_xlfn.XLOOKUP($A856,Games!$A$2:$A$18,Games!$P$2:$P$18,"Missing game",0)</x:f>
      </x:c>
      <x:c r="AV856" t="str">
        <x:f>_xlfn.XLOOKUP($A856,Games!$A$2:$A$18,Games!$Q$2:$Q$18,"Missing game",0)</x:f>
      </x:c>
      <x:c r="AW856" t="str">
        <x:f>_xlfn.XLOOKUP($A856,Games!$A$2:$A$18,Games!$R$2:$R$18,"Missing game",0)</x:f>
        <x:v>U.S. Bank Stadium</x:v>
      </x:c>
    </x:row>
    <x:row r="857">
      <x:c r="A857" t="str">
        <x:v>2025_07_PHI_MIN</x:v>
      </x:c>
      <x:c r="B857" t="n">
        <x:v>40</x:v>
      </x:c>
      <x:c r="C857" t="n">
        <x:v>1</x:v>
      </x:c>
      <x:c r="D857" t="str">
        <x:v>15:00</x:v>
      </x:c>
      <x:c r="E857"/>
      <x:c r="F857" t="n">
        <x:v>0</x:v>
      </x:c>
      <x:c r="G857" t="str">
        <x:v>PHI</x:v>
      </x:c>
      <x:c r="H857" t="str">
        <x:v>MIN</x:v>
      </x:c>
      <x:c r="I857" t="str">
        <x:v>MIN</x:v>
      </x:c>
      <x:c r="J857" t="n">
        <x:v>35</x:v>
      </x:c>
      <x:c r="K857" t="str">
        <x:v>16-W.Reichard kicks 65 yards from MIN 35 to PHI 0. 28-W.Shipley to PHI 25 for 25 yards (13-T.Felton; 30-C.Ham).</x:v>
      </x:c>
      <x:c r="L857" t="str">
        <x:v>kickoff</x:v>
      </x:c>
      <x:c r="M857" t="n">
        <x:v>0</x:v>
      </x:c>
      <x:c r="N857" t="n">
        <x:v>0</x:v>
      </x:c>
      <x:c r="O857" t="n">
        <x:v>0</x:v>
      </x:c>
      <x:c r="P857"/>
      <x:c r="Q857"/>
      <x:c r="R857"/>
      <x:c r="S857"/>
      <x:c r="T857"/>
      <x:c r="U857"/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/>
      <x:c r="AC857" t="n">
        <x:v>0</x:v>
      </x:c>
      <x:c r="AD857" t="n">
        <x:v>0.0059262840077281</x:v>
      </x:c>
      <x:c r="AE857" t="n">
        <x:v>1</x:v>
      </x:c>
      <x:c r="AF857" t="n">
        <x:v>0</x:v>
      </x:c>
      <x:c r="AG857" t="n">
        <x:f>_xlfn.XLOOKUP($A857,Games!$A$2:$A$18,Games!$B$2:$B$18,"Missing game",0)</x:f>
        <x:v>2025</x:v>
      </x:c>
      <x:c r="AH857" t="str">
        <x:f>_xlfn.XLOOKUP($A857,Games!$A$2:$A$18,Games!$C$2:$C$18,"Missing game",0)</x:f>
        <x:v>REG</x:v>
      </x:c>
      <x:c r="AI857" t="n">
        <x:f>_xlfn.XLOOKUP($A857,Games!$A$2:$A$18,Games!$D$2:$D$18,"Missing game",0)</x:f>
        <x:v>7</x:v>
      </x:c>
      <x:c r="AJ857" s="1" t="n">
        <x:f>_xlfn.XLOOKUP($A857,Games!$A$2:$A$18,Games!$E$2:$E$18,"Missing game",0)</x:f>
        <x:v>45949</x:v>
      </x:c>
      <x:c r="AK857" t="str">
        <x:f>_xlfn.XLOOKUP($A857,Games!$A$2:$A$18,Games!$F$2:$F$18,"Missing game",0)</x:f>
        <x:v>Sunday</x:v>
      </x:c>
      <x:c r="AL857" t="str">
        <x:f>_xlfn.XLOOKUP($A857,Games!$A$2:$A$18,Games!$G$2:$G$18,"Missing game",0)</x:f>
        <x:v>PHI</x:v>
      </x:c>
      <x:c r="AM857" t="n">
        <x:f>_xlfn.XLOOKUP($A857,Games!$A$2:$A$18,Games!$H$2:$H$18,"Missing game",0)</x:f>
        <x:v>28</x:v>
      </x:c>
      <x:c r="AN857" t="str">
        <x:f>_xlfn.XLOOKUP($A857,Games!$A$2:$A$18,Games!$I$2:$I$18,"Missing game",0)</x:f>
        <x:v>MIN</x:v>
      </x:c>
      <x:c r="AO857" t="n">
        <x:f>_xlfn.XLOOKUP($A857,Games!$A$2:$A$18,Games!$J$2:$J$18,"Missing game",0)</x:f>
        <x:v>22</x:v>
      </x:c>
      <x:c r="AP857" t="n">
        <x:f>_xlfn.XLOOKUP($A857,Games!$A$2:$A$18,Games!$K$2:$K$18,"Missing game",0)</x:f>
        <x:v>-6</x:v>
      </x:c>
      <x:c r="AQ857" t="n">
        <x:f>_xlfn.XLOOKUP($A857,Games!$A$2:$A$18,Games!$L$2:$L$18,"Missing game",0)</x:f>
        <x:v>50</x:v>
      </x:c>
      <x:c r="AR857" t="n">
        <x:f>_xlfn.XLOOKUP($A857,Games!$A$2:$A$18,Games!$M$2:$M$18,"Missing game",0)</x:f>
        <x:v>0</x:v>
      </x:c>
      <x:c r="AS857" t="str">
        <x:f>_xlfn.XLOOKUP($A857,Games!$A$2:$A$18,Games!$N$2:$N$18,"Missing game",0)</x:f>
        <x:v>dome</x:v>
      </x:c>
      <x:c r="AT857" t="str">
        <x:f>_xlfn.XLOOKUP($A857,Games!$A$2:$A$18,Games!$O$2:$O$18,"Missing game",0)</x:f>
        <x:v>sportturf</x:v>
      </x:c>
      <x:c r="AU857" t="str">
        <x:f>_xlfn.XLOOKUP($A857,Games!$A$2:$A$18,Games!$P$2:$P$18,"Missing game",0)</x:f>
      </x:c>
      <x:c r="AV857" t="str">
        <x:f>_xlfn.XLOOKUP($A857,Games!$A$2:$A$18,Games!$Q$2:$Q$18,"Missing game",0)</x:f>
      </x:c>
      <x:c r="AW857" t="str">
        <x:f>_xlfn.XLOOKUP($A857,Games!$A$2:$A$18,Games!$R$2:$R$18,"Missing game",0)</x:f>
        <x:v>U.S. Bank Stadium</x:v>
      </x:c>
    </x:row>
    <x:row r="858">
      <x:c r="A858" t="str">
        <x:v>2025_07_PHI_MIN</x:v>
      </x:c>
      <x:c r="B858" t="n">
        <x:v>63</x:v>
      </x:c>
      <x:c r="C858" t="n">
        <x:v>1</x:v>
      </x:c>
      <x:c r="D858" t="str">
        <x:v>14:56</x:v>
      </x:c>
      <x:c r="E858" t="n">
        <x:v>1</x:v>
      </x:c>
      <x:c r="F858" t="n">
        <x:v>10</x:v>
      </x:c>
      <x:c r="G858" t="str">
        <x:v>PHI</x:v>
      </x:c>
      <x:c r="H858" t="str">
        <x:v>MIN</x:v>
      </x:c>
      <x:c r="I858" t="str">
        <x:v>PHI</x:v>
      </x:c>
      <x:c r="J858" t="n">
        <x:v>75</x:v>
      </x:c>
      <x:c r="K858" t="str">
        <x:v>(14:56) 26-S.Barkley left tackle to PHI 33 for 8 yards (55-E.Wilson; 26-T.Jackson).</x:v>
      </x:c>
      <x:c r="L858" t="str">
        <x:v>run</x:v>
      </x:c>
      <x:c r="M858" t="n">
        <x:v>8</x:v>
      </x:c>
      <x:c r="N858" t="n">
        <x:v>0</x:v>
      </x:c>
      <x:c r="O858" t="n">
        <x:v>0</x:v>
      </x:c>
      <x:c r="P858"/>
      <x:c r="Q858"/>
      <x:c r="R858"/>
      <x:c r="S858"/>
      <x:c r="T858" t="str">
        <x:v>left</x:v>
      </x:c>
      <x:c r="U858" t="str">
        <x:v>tackle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/>
      <x:c r="AC858" t="n">
        <x:v>0</x:v>
      </x:c>
      <x:c r="AD858" t="n">
        <x:v>0.5714878858998418</x:v>
      </x:c>
      <x:c r="AE858" t="n">
        <x:v>1</x:v>
      </x:c>
      <x:c r="AF858" t="n">
        <x:v>0.007707655429840088</x:v>
      </x:c>
      <x:c r="AG858" t="n">
        <x:f>_xlfn.XLOOKUP($A858,Games!$A$2:$A$18,Games!$B$2:$B$18,"Missing game",0)</x:f>
        <x:v>2025</x:v>
      </x:c>
      <x:c r="AH858" t="str">
        <x:f>_xlfn.XLOOKUP($A858,Games!$A$2:$A$18,Games!$C$2:$C$18,"Missing game",0)</x:f>
        <x:v>REG</x:v>
      </x:c>
      <x:c r="AI858" t="n">
        <x:f>_xlfn.XLOOKUP($A858,Games!$A$2:$A$18,Games!$D$2:$D$18,"Missing game",0)</x:f>
        <x:v>7</x:v>
      </x:c>
      <x:c r="AJ858" s="1" t="n">
        <x:f>_xlfn.XLOOKUP($A858,Games!$A$2:$A$18,Games!$E$2:$E$18,"Missing game",0)</x:f>
        <x:v>45949</x:v>
      </x:c>
      <x:c r="AK858" t="str">
        <x:f>_xlfn.XLOOKUP($A858,Games!$A$2:$A$18,Games!$F$2:$F$18,"Missing game",0)</x:f>
        <x:v>Sunday</x:v>
      </x:c>
      <x:c r="AL858" t="str">
        <x:f>_xlfn.XLOOKUP($A858,Games!$A$2:$A$18,Games!$G$2:$G$18,"Missing game",0)</x:f>
        <x:v>PHI</x:v>
      </x:c>
      <x:c r="AM858" t="n">
        <x:f>_xlfn.XLOOKUP($A858,Games!$A$2:$A$18,Games!$H$2:$H$18,"Missing game",0)</x:f>
        <x:v>28</x:v>
      </x:c>
      <x:c r="AN858" t="str">
        <x:f>_xlfn.XLOOKUP($A858,Games!$A$2:$A$18,Games!$I$2:$I$18,"Missing game",0)</x:f>
        <x:v>MIN</x:v>
      </x:c>
      <x:c r="AO858" t="n">
        <x:f>_xlfn.XLOOKUP($A858,Games!$A$2:$A$18,Games!$J$2:$J$18,"Missing game",0)</x:f>
        <x:v>22</x:v>
      </x:c>
      <x:c r="AP858" t="n">
        <x:f>_xlfn.XLOOKUP($A858,Games!$A$2:$A$18,Games!$K$2:$K$18,"Missing game",0)</x:f>
        <x:v>-6</x:v>
      </x:c>
      <x:c r="AQ858" t="n">
        <x:f>_xlfn.XLOOKUP($A858,Games!$A$2:$A$18,Games!$L$2:$L$18,"Missing game",0)</x:f>
        <x:v>50</x:v>
      </x:c>
      <x:c r="AR858" t="n">
        <x:f>_xlfn.XLOOKUP($A858,Games!$A$2:$A$18,Games!$M$2:$M$18,"Missing game",0)</x:f>
        <x:v>0</x:v>
      </x:c>
      <x:c r="AS858" t="str">
        <x:f>_xlfn.XLOOKUP($A858,Games!$A$2:$A$18,Games!$N$2:$N$18,"Missing game",0)</x:f>
        <x:v>dome</x:v>
      </x:c>
      <x:c r="AT858" t="str">
        <x:f>_xlfn.XLOOKUP($A858,Games!$A$2:$A$18,Games!$O$2:$O$18,"Missing game",0)</x:f>
        <x:v>sportturf</x:v>
      </x:c>
      <x:c r="AU858" t="str">
        <x:f>_xlfn.XLOOKUP($A858,Games!$A$2:$A$18,Games!$P$2:$P$18,"Missing game",0)</x:f>
      </x:c>
      <x:c r="AV858" t="str">
        <x:f>_xlfn.XLOOKUP($A858,Games!$A$2:$A$18,Games!$Q$2:$Q$18,"Missing game",0)</x:f>
      </x:c>
      <x:c r="AW858" t="str">
        <x:f>_xlfn.XLOOKUP($A858,Games!$A$2:$A$18,Games!$R$2:$R$18,"Missing game",0)</x:f>
        <x:v>U.S. Bank Stadium</x:v>
      </x:c>
    </x:row>
    <x:row r="859">
      <x:c r="A859" t="str">
        <x:v>2025_07_PHI_MIN</x:v>
      </x:c>
      <x:c r="B859" t="n">
        <x:v>85</x:v>
      </x:c>
      <x:c r="C859" t="n">
        <x:v>1</x:v>
      </x:c>
      <x:c r="D859" t="str">
        <x:v>14:16</x:v>
      </x:c>
      <x:c r="E859" t="n">
        <x:v>2</x:v>
      </x:c>
      <x:c r="F859" t="n">
        <x:v>2</x:v>
      </x:c>
      <x:c r="G859" t="str">
        <x:v>PHI</x:v>
      </x:c>
      <x:c r="H859" t="str">
        <x:v>MIN</x:v>
      </x:c>
      <x:c r="I859" t="str">
        <x:v>PHI</x:v>
      </x:c>
      <x:c r="J859" t="n">
        <x:v>67</x:v>
      </x:c>
      <x:c r="K859" t="str">
        <x:v>(14:16) (Shotgun) 26-S.Barkley right guard to PHI 36 for 3 yards (93-J.Allen).</x:v>
      </x:c>
      <x:c r="L859" t="str">
        <x:v>run</x:v>
      </x:c>
      <x:c r="M859" t="n">
        <x:v>3</x:v>
      </x:c>
      <x:c r="N859" t="n">
        <x:v>1</x:v>
      </x:c>
      <x:c r="O859" t="n">
        <x:v>0</x:v>
      </x:c>
      <x:c r="P859"/>
      <x:c r="Q859"/>
      <x:c r="R859"/>
      <x:c r="S859"/>
      <x:c r="T859" t="str">
        <x:v>right</x:v>
      </x:c>
      <x:c r="U859" t="str">
        <x:v>guard</x:v>
      </x:c>
      <x:c r="V859" t="n">
        <x:v>0</x:v>
      </x:c>
      <x:c r="W859" t="n">
        <x:v>1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/>
      <x:c r="AC859" t="n">
        <x:v>0</x:v>
      </x:c>
      <x:c r="AD859" t="n">
        <x:v>0.19717364944517612</x:v>
      </x:c>
      <x:c r="AE859" t="n">
        <x:v>1</x:v>
      </x:c>
      <x:c r="AF859" t="n">
        <x:v>0.01398378610610962</x:v>
      </x:c>
      <x:c r="AG859" t="n">
        <x:f>_xlfn.XLOOKUP($A859,Games!$A$2:$A$18,Games!$B$2:$B$18,"Missing game",0)</x:f>
        <x:v>2025</x:v>
      </x:c>
      <x:c r="AH859" t="str">
        <x:f>_xlfn.XLOOKUP($A859,Games!$A$2:$A$18,Games!$C$2:$C$18,"Missing game",0)</x:f>
        <x:v>REG</x:v>
      </x:c>
      <x:c r="AI859" t="n">
        <x:f>_xlfn.XLOOKUP($A859,Games!$A$2:$A$18,Games!$D$2:$D$18,"Missing game",0)</x:f>
        <x:v>7</x:v>
      </x:c>
      <x:c r="AJ859" s="1" t="n">
        <x:f>_xlfn.XLOOKUP($A859,Games!$A$2:$A$18,Games!$E$2:$E$18,"Missing game",0)</x:f>
        <x:v>45949</x:v>
      </x:c>
      <x:c r="AK859" t="str">
        <x:f>_xlfn.XLOOKUP($A859,Games!$A$2:$A$18,Games!$F$2:$F$18,"Missing game",0)</x:f>
        <x:v>Sunday</x:v>
      </x:c>
      <x:c r="AL859" t="str">
        <x:f>_xlfn.XLOOKUP($A859,Games!$A$2:$A$18,Games!$G$2:$G$18,"Missing game",0)</x:f>
        <x:v>PHI</x:v>
      </x:c>
      <x:c r="AM859" t="n">
        <x:f>_xlfn.XLOOKUP($A859,Games!$A$2:$A$18,Games!$H$2:$H$18,"Missing game",0)</x:f>
        <x:v>28</x:v>
      </x:c>
      <x:c r="AN859" t="str">
        <x:f>_xlfn.XLOOKUP($A859,Games!$A$2:$A$18,Games!$I$2:$I$18,"Missing game",0)</x:f>
        <x:v>MIN</x:v>
      </x:c>
      <x:c r="AO859" t="n">
        <x:f>_xlfn.XLOOKUP($A859,Games!$A$2:$A$18,Games!$J$2:$J$18,"Missing game",0)</x:f>
        <x:v>22</x:v>
      </x:c>
      <x:c r="AP859" t="n">
        <x:f>_xlfn.XLOOKUP($A859,Games!$A$2:$A$18,Games!$K$2:$K$18,"Missing game",0)</x:f>
        <x:v>-6</x:v>
      </x:c>
      <x:c r="AQ859" t="n">
        <x:f>_xlfn.XLOOKUP($A859,Games!$A$2:$A$18,Games!$L$2:$L$18,"Missing game",0)</x:f>
        <x:v>50</x:v>
      </x:c>
      <x:c r="AR859" t="n">
        <x:f>_xlfn.XLOOKUP($A859,Games!$A$2:$A$18,Games!$M$2:$M$18,"Missing game",0)</x:f>
        <x:v>0</x:v>
      </x:c>
      <x:c r="AS859" t="str">
        <x:f>_xlfn.XLOOKUP($A859,Games!$A$2:$A$18,Games!$N$2:$N$18,"Missing game",0)</x:f>
        <x:v>dome</x:v>
      </x:c>
      <x:c r="AT859" t="str">
        <x:f>_xlfn.XLOOKUP($A859,Games!$A$2:$A$18,Games!$O$2:$O$18,"Missing game",0)</x:f>
        <x:v>sportturf</x:v>
      </x:c>
      <x:c r="AU859" t="str">
        <x:f>_xlfn.XLOOKUP($A859,Games!$A$2:$A$18,Games!$P$2:$P$18,"Missing game",0)</x:f>
      </x:c>
      <x:c r="AV859" t="str">
        <x:f>_xlfn.XLOOKUP($A859,Games!$A$2:$A$18,Games!$Q$2:$Q$18,"Missing game",0)</x:f>
      </x:c>
      <x:c r="AW859" t="str">
        <x:f>_xlfn.XLOOKUP($A859,Games!$A$2:$A$18,Games!$R$2:$R$18,"Missing game",0)</x:f>
        <x:v>U.S. Bank Stadium</x:v>
      </x:c>
    </x:row>
    <x:row r="860">
      <x:c r="A860" t="str">
        <x:v>2025_07_PHI_MIN</x:v>
      </x:c>
      <x:c r="B860" t="n">
        <x:v>107</x:v>
      </x:c>
      <x:c r="C860" t="n">
        <x:v>1</x:v>
      </x:c>
      <x:c r="D860" t="str">
        <x:v>13:40</x:v>
      </x:c>
      <x:c r="E860" t="n">
        <x:v>1</x:v>
      </x:c>
      <x:c r="F860" t="n">
        <x:v>10</x:v>
      </x:c>
      <x:c r="G860" t="str">
        <x:v>PHI</x:v>
      </x:c>
      <x:c r="H860" t="str">
        <x:v>MIN</x:v>
      </x:c>
      <x:c r="I860" t="str">
        <x:v>PHI</x:v>
      </x:c>
      <x:c r="J860" t="n">
        <x:v>64</x:v>
      </x:c>
      <x:c r="K860" t="str">
        <x:v>(13:40) 26-S.Barkley left end to PHI 41 for 5 yards (26-T.Jackson; 55-E.Wilson).</x:v>
      </x:c>
      <x:c r="L860" t="str">
        <x:v>run</x:v>
      </x:c>
      <x:c r="M860" t="n">
        <x:v>5</x:v>
      </x:c>
      <x:c r="N860" t="n">
        <x:v>0</x:v>
      </x:c>
      <x:c r="O860" t="n">
        <x:v>0</x:v>
      </x:c>
      <x:c r="P860"/>
      <x:c r="Q860"/>
      <x:c r="R860"/>
      <x:c r="S860"/>
      <x:c r="T860" t="str">
        <x:v>left</x:v>
      </x:c>
      <x:c r="U860" t="str">
        <x:v>end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/>
      <x:c r="AC860" t="n">
        <x:v>0</x:v>
      </x:c>
      <x:c r="AD860" t="n">
        <x:v>0.011685490375384688</x:v>
      </x:c>
      <x:c r="AE860" t="n">
        <x:v>1</x:v>
      </x:c>
      <x:c r="AF860" t="n">
        <x:v>-0.012928575277328491</x:v>
      </x:c>
      <x:c r="AG860" t="n">
        <x:f>_xlfn.XLOOKUP($A860,Games!$A$2:$A$18,Games!$B$2:$B$18,"Missing game",0)</x:f>
        <x:v>2025</x:v>
      </x:c>
      <x:c r="AH860" t="str">
        <x:f>_xlfn.XLOOKUP($A860,Games!$A$2:$A$18,Games!$C$2:$C$18,"Missing game",0)</x:f>
        <x:v>REG</x:v>
      </x:c>
      <x:c r="AI860" t="n">
        <x:f>_xlfn.XLOOKUP($A860,Games!$A$2:$A$18,Games!$D$2:$D$18,"Missing game",0)</x:f>
        <x:v>7</x:v>
      </x:c>
      <x:c r="AJ860" s="1" t="n">
        <x:f>_xlfn.XLOOKUP($A860,Games!$A$2:$A$18,Games!$E$2:$E$18,"Missing game",0)</x:f>
        <x:v>45949</x:v>
      </x:c>
      <x:c r="AK860" t="str">
        <x:f>_xlfn.XLOOKUP($A860,Games!$A$2:$A$18,Games!$F$2:$F$18,"Missing game",0)</x:f>
        <x:v>Sunday</x:v>
      </x:c>
      <x:c r="AL860" t="str">
        <x:f>_xlfn.XLOOKUP($A860,Games!$A$2:$A$18,Games!$G$2:$G$18,"Missing game",0)</x:f>
        <x:v>PHI</x:v>
      </x:c>
      <x:c r="AM860" t="n">
        <x:f>_xlfn.XLOOKUP($A860,Games!$A$2:$A$18,Games!$H$2:$H$18,"Missing game",0)</x:f>
        <x:v>28</x:v>
      </x:c>
      <x:c r="AN860" t="str">
        <x:f>_xlfn.XLOOKUP($A860,Games!$A$2:$A$18,Games!$I$2:$I$18,"Missing game",0)</x:f>
        <x:v>MIN</x:v>
      </x:c>
      <x:c r="AO860" t="n">
        <x:f>_xlfn.XLOOKUP($A860,Games!$A$2:$A$18,Games!$J$2:$J$18,"Missing game",0)</x:f>
        <x:v>22</x:v>
      </x:c>
      <x:c r="AP860" t="n">
        <x:f>_xlfn.XLOOKUP($A860,Games!$A$2:$A$18,Games!$K$2:$K$18,"Missing game",0)</x:f>
        <x:v>-6</x:v>
      </x:c>
      <x:c r="AQ860" t="n">
        <x:f>_xlfn.XLOOKUP($A860,Games!$A$2:$A$18,Games!$L$2:$L$18,"Missing game",0)</x:f>
        <x:v>50</x:v>
      </x:c>
      <x:c r="AR860" t="n">
        <x:f>_xlfn.XLOOKUP($A860,Games!$A$2:$A$18,Games!$M$2:$M$18,"Missing game",0)</x:f>
        <x:v>0</x:v>
      </x:c>
      <x:c r="AS860" t="str">
        <x:f>_xlfn.XLOOKUP($A860,Games!$A$2:$A$18,Games!$N$2:$N$18,"Missing game",0)</x:f>
        <x:v>dome</x:v>
      </x:c>
      <x:c r="AT860" t="str">
        <x:f>_xlfn.XLOOKUP($A860,Games!$A$2:$A$18,Games!$O$2:$O$18,"Missing game",0)</x:f>
        <x:v>sportturf</x:v>
      </x:c>
      <x:c r="AU860" t="str">
        <x:f>_xlfn.XLOOKUP($A860,Games!$A$2:$A$18,Games!$P$2:$P$18,"Missing game",0)</x:f>
      </x:c>
      <x:c r="AV860" t="str">
        <x:f>_xlfn.XLOOKUP($A860,Games!$A$2:$A$18,Games!$Q$2:$Q$18,"Missing game",0)</x:f>
      </x:c>
      <x:c r="AW860" t="str">
        <x:f>_xlfn.XLOOKUP($A860,Games!$A$2:$A$18,Games!$R$2:$R$18,"Missing game",0)</x:f>
        <x:v>U.S. Bank Stadium</x:v>
      </x:c>
    </x:row>
    <x:row r="861">
      <x:c r="A861" t="str">
        <x:v>2025_07_PHI_MIN</x:v>
      </x:c>
      <x:c r="B861" t="n">
        <x:v>129</x:v>
      </x:c>
      <x:c r="C861" t="n">
        <x:v>1</x:v>
      </x:c>
      <x:c r="D861" t="str">
        <x:v>12:56</x:v>
      </x:c>
      <x:c r="E861" t="n">
        <x:v>2</x:v>
      </x:c>
      <x:c r="F861" t="n">
        <x:v>5</x:v>
      </x:c>
      <x:c r="G861" t="str">
        <x:v>PHI</x:v>
      </x:c>
      <x:c r="H861" t="str">
        <x:v>MIN</x:v>
      </x:c>
      <x:c r="I861" t="str">
        <x:v>PHI</x:v>
      </x:c>
      <x:c r="J861" t="n">
        <x:v>59</x:v>
      </x:c>
      <x:c r="K861" t="str">
        <x:v>(12:56) 26-S.Barkley up the middle to PHI 41 for no gain (93-J.Allen).</x:v>
      </x:c>
      <x:c r="L861" t="str">
        <x:v>run</x:v>
      </x:c>
      <x:c r="M861" t="n">
        <x:v>0</x:v>
      </x:c>
      <x:c r="N861" t="n">
        <x:v>0</x:v>
      </x:c>
      <x:c r="O861" t="n">
        <x:v>0</x:v>
      </x:c>
      <x:c r="P861"/>
      <x:c r="Q861"/>
      <x:c r="R861"/>
      <x:c r="S861"/>
      <x:c r="T861" t="str">
        <x:v>middle</x:v>
      </x:c>
      <x:c r="U861"/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/>
      <x:c r="AC861" t="n">
        <x:v>0</x:v>
      </x:c>
      <x:c r="AD861" t="n">
        <x:v>-0.9072709379252046</x:v>
      </x:c>
      <x:c r="AE861" t="n">
        <x:v>0</x:v>
      </x:c>
      <x:c r="AF861" t="n">
        <x:v>-0.023509830236434937</x:v>
      </x:c>
      <x:c r="AG861" t="n">
        <x:f>_xlfn.XLOOKUP($A861,Games!$A$2:$A$18,Games!$B$2:$B$18,"Missing game",0)</x:f>
        <x:v>2025</x:v>
      </x:c>
      <x:c r="AH861" t="str">
        <x:f>_xlfn.XLOOKUP($A861,Games!$A$2:$A$18,Games!$C$2:$C$18,"Missing game",0)</x:f>
        <x:v>REG</x:v>
      </x:c>
      <x:c r="AI861" t="n">
        <x:f>_xlfn.XLOOKUP($A861,Games!$A$2:$A$18,Games!$D$2:$D$18,"Missing game",0)</x:f>
        <x:v>7</x:v>
      </x:c>
      <x:c r="AJ861" s="1" t="n">
        <x:f>_xlfn.XLOOKUP($A861,Games!$A$2:$A$18,Games!$E$2:$E$18,"Missing game",0)</x:f>
        <x:v>45949</x:v>
      </x:c>
      <x:c r="AK861" t="str">
        <x:f>_xlfn.XLOOKUP($A861,Games!$A$2:$A$18,Games!$F$2:$F$18,"Missing game",0)</x:f>
        <x:v>Sunday</x:v>
      </x:c>
      <x:c r="AL861" t="str">
        <x:f>_xlfn.XLOOKUP($A861,Games!$A$2:$A$18,Games!$G$2:$G$18,"Missing game",0)</x:f>
        <x:v>PHI</x:v>
      </x:c>
      <x:c r="AM861" t="n">
        <x:f>_xlfn.XLOOKUP($A861,Games!$A$2:$A$18,Games!$H$2:$H$18,"Missing game",0)</x:f>
        <x:v>28</x:v>
      </x:c>
      <x:c r="AN861" t="str">
        <x:f>_xlfn.XLOOKUP($A861,Games!$A$2:$A$18,Games!$I$2:$I$18,"Missing game",0)</x:f>
        <x:v>MIN</x:v>
      </x:c>
      <x:c r="AO861" t="n">
        <x:f>_xlfn.XLOOKUP($A861,Games!$A$2:$A$18,Games!$J$2:$J$18,"Missing game",0)</x:f>
        <x:v>22</x:v>
      </x:c>
      <x:c r="AP861" t="n">
        <x:f>_xlfn.XLOOKUP($A861,Games!$A$2:$A$18,Games!$K$2:$K$18,"Missing game",0)</x:f>
        <x:v>-6</x:v>
      </x:c>
      <x:c r="AQ861" t="n">
        <x:f>_xlfn.XLOOKUP($A861,Games!$A$2:$A$18,Games!$L$2:$L$18,"Missing game",0)</x:f>
        <x:v>50</x:v>
      </x:c>
      <x:c r="AR861" t="n">
        <x:f>_xlfn.XLOOKUP($A861,Games!$A$2:$A$18,Games!$M$2:$M$18,"Missing game",0)</x:f>
        <x:v>0</x:v>
      </x:c>
      <x:c r="AS861" t="str">
        <x:f>_xlfn.XLOOKUP($A861,Games!$A$2:$A$18,Games!$N$2:$N$18,"Missing game",0)</x:f>
        <x:v>dome</x:v>
      </x:c>
      <x:c r="AT861" t="str">
        <x:f>_xlfn.XLOOKUP($A861,Games!$A$2:$A$18,Games!$O$2:$O$18,"Missing game",0)</x:f>
        <x:v>sportturf</x:v>
      </x:c>
      <x:c r="AU861" t="str">
        <x:f>_xlfn.XLOOKUP($A861,Games!$A$2:$A$18,Games!$P$2:$P$18,"Missing game",0)</x:f>
      </x:c>
      <x:c r="AV861" t="str">
        <x:f>_xlfn.XLOOKUP($A861,Games!$A$2:$A$18,Games!$Q$2:$Q$18,"Missing game",0)</x:f>
      </x:c>
      <x:c r="AW861" t="str">
        <x:f>_xlfn.XLOOKUP($A861,Games!$A$2:$A$18,Games!$R$2:$R$18,"Missing game",0)</x:f>
        <x:v>U.S. Bank Stadium</x:v>
      </x:c>
    </x:row>
    <x:row r="862">
      <x:c r="A862" t="str">
        <x:v>2025_07_PHI_MIN</x:v>
      </x:c>
      <x:c r="B862" t="n">
        <x:v>151</x:v>
      </x:c>
      <x:c r="C862" t="n">
        <x:v>1</x:v>
      </x:c>
      <x:c r="D862" t="str">
        <x:v>12:11</x:v>
      </x:c>
      <x:c r="E862" t="n">
        <x:v>3</x:v>
      </x:c>
      <x:c r="F862" t="n">
        <x:v>5</x:v>
      </x:c>
      <x:c r="G862" t="str">
        <x:v>PHI</x:v>
      </x:c>
      <x:c r="H862" t="str">
        <x:v>MIN</x:v>
      </x:c>
      <x:c r="I862" t="str">
        <x:v>PHI</x:v>
      </x:c>
      <x:c r="J862" t="n">
        <x:v>59</x:v>
      </x:c>
      <x:c r="K862" t="str">
        <x:v>(12:11) (Shotgun) 1-J.Hurts pass short right to 6-D.Smith to PHI 45 for 4 yards (26-T.Jackson).</x:v>
      </x:c>
      <x:c r="L862" t="str">
        <x:v>pass</x:v>
      </x:c>
      <x:c r="M862" t="n">
        <x:v>4</x:v>
      </x:c>
      <x:c r="N862" t="n">
        <x:v>1</x:v>
      </x:c>
      <x:c r="O862" t="n">
        <x:v>0</x:v>
      </x:c>
      <x:c r="P862" t="str">
        <x:v>short</x:v>
      </x:c>
      <x:c r="Q862" t="str">
        <x:v>right</x:v>
      </x:c>
      <x:c r="R862" t="n">
        <x:v>0</x:v>
      </x:c>
      <x:c r="S862" t="n">
        <x:v>4</x:v>
      </x:c>
      <x:c r="T862"/>
      <x:c r="U862"/>
      <x:c r="V862" t="n">
        <x:v>1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/>
      <x:c r="AC862" t="n">
        <x:v>0</x:v>
      </x:c>
      <x:c r="AD862" t="n">
        <x:v>-0.9245557016693056</x:v>
      </x:c>
      <x:c r="AE862" t="n">
        <x:v>0</x:v>
      </x:c>
      <x:c r="AF862" t="n">
        <x:v>-0.02474150061607361</x:v>
      </x:c>
      <x:c r="AG862" t="n">
        <x:f>_xlfn.XLOOKUP($A862,Games!$A$2:$A$18,Games!$B$2:$B$18,"Missing game",0)</x:f>
        <x:v>2025</x:v>
      </x:c>
      <x:c r="AH862" t="str">
        <x:f>_xlfn.XLOOKUP($A862,Games!$A$2:$A$18,Games!$C$2:$C$18,"Missing game",0)</x:f>
        <x:v>REG</x:v>
      </x:c>
      <x:c r="AI862" t="n">
        <x:f>_xlfn.XLOOKUP($A862,Games!$A$2:$A$18,Games!$D$2:$D$18,"Missing game",0)</x:f>
        <x:v>7</x:v>
      </x:c>
      <x:c r="AJ862" s="1" t="n">
        <x:f>_xlfn.XLOOKUP($A862,Games!$A$2:$A$18,Games!$E$2:$E$18,"Missing game",0)</x:f>
        <x:v>45949</x:v>
      </x:c>
      <x:c r="AK862" t="str">
        <x:f>_xlfn.XLOOKUP($A862,Games!$A$2:$A$18,Games!$F$2:$F$18,"Missing game",0)</x:f>
        <x:v>Sunday</x:v>
      </x:c>
      <x:c r="AL862" t="str">
        <x:f>_xlfn.XLOOKUP($A862,Games!$A$2:$A$18,Games!$G$2:$G$18,"Missing game",0)</x:f>
        <x:v>PHI</x:v>
      </x:c>
      <x:c r="AM862" t="n">
        <x:f>_xlfn.XLOOKUP($A862,Games!$A$2:$A$18,Games!$H$2:$H$18,"Missing game",0)</x:f>
        <x:v>28</x:v>
      </x:c>
      <x:c r="AN862" t="str">
        <x:f>_xlfn.XLOOKUP($A862,Games!$A$2:$A$18,Games!$I$2:$I$18,"Missing game",0)</x:f>
        <x:v>MIN</x:v>
      </x:c>
      <x:c r="AO862" t="n">
        <x:f>_xlfn.XLOOKUP($A862,Games!$A$2:$A$18,Games!$J$2:$J$18,"Missing game",0)</x:f>
        <x:v>22</x:v>
      </x:c>
      <x:c r="AP862" t="n">
        <x:f>_xlfn.XLOOKUP($A862,Games!$A$2:$A$18,Games!$K$2:$K$18,"Missing game",0)</x:f>
        <x:v>-6</x:v>
      </x:c>
      <x:c r="AQ862" t="n">
        <x:f>_xlfn.XLOOKUP($A862,Games!$A$2:$A$18,Games!$L$2:$L$18,"Missing game",0)</x:f>
        <x:v>50</x:v>
      </x:c>
      <x:c r="AR862" t="n">
        <x:f>_xlfn.XLOOKUP($A862,Games!$A$2:$A$18,Games!$M$2:$M$18,"Missing game",0)</x:f>
        <x:v>0</x:v>
      </x:c>
      <x:c r="AS862" t="str">
        <x:f>_xlfn.XLOOKUP($A862,Games!$A$2:$A$18,Games!$N$2:$N$18,"Missing game",0)</x:f>
        <x:v>dome</x:v>
      </x:c>
      <x:c r="AT862" t="str">
        <x:f>_xlfn.XLOOKUP($A862,Games!$A$2:$A$18,Games!$O$2:$O$18,"Missing game",0)</x:f>
        <x:v>sportturf</x:v>
      </x:c>
      <x:c r="AU862" t="str">
        <x:f>_xlfn.XLOOKUP($A862,Games!$A$2:$A$18,Games!$P$2:$P$18,"Missing game",0)</x:f>
      </x:c>
      <x:c r="AV862" t="str">
        <x:f>_xlfn.XLOOKUP($A862,Games!$A$2:$A$18,Games!$Q$2:$Q$18,"Missing game",0)</x:f>
      </x:c>
      <x:c r="AW862" t="str">
        <x:f>_xlfn.XLOOKUP($A862,Games!$A$2:$A$18,Games!$R$2:$R$18,"Missing game",0)</x:f>
        <x:v>U.S. Bank Stadium</x:v>
      </x:c>
    </x:row>
    <x:row r="863">
      <x:c r="A863" t="str">
        <x:v>2025_07_PHI_MIN</x:v>
      </x:c>
      <x:c r="B863" t="n">
        <x:v>176</x:v>
      </x:c>
      <x:c r="C863" t="n">
        <x:v>1</x:v>
      </x:c>
      <x:c r="D863" t="str">
        <x:v>11:30</x:v>
      </x:c>
      <x:c r="E863" t="n">
        <x:v>4</x:v>
      </x:c>
      <x:c r="F863" t="n">
        <x:v>1</x:v>
      </x:c>
      <x:c r="G863" t="str">
        <x:v>PHI</x:v>
      </x:c>
      <x:c r="H863" t="str">
        <x:v>MIN</x:v>
      </x:c>
      <x:c r="I863" t="str">
        <x:v>PHI</x:v>
      </x:c>
      <x:c r="J863" t="n">
        <x:v>55</x:v>
      </x:c>
      <x:c r="K863" t="str">
        <x:v>(11:30) 1-J.Hurts up the middle to PHI 46 for 1 yard (61-J.Redmond; 50-L.Rodriguez).</x:v>
      </x:c>
      <x:c r="L863" t="str">
        <x:v>run</x:v>
      </x:c>
      <x:c r="M863" t="n">
        <x:v>1</x:v>
      </x:c>
      <x:c r="N863" t="n">
        <x:v>0</x:v>
      </x:c>
      <x:c r="O863" t="n">
        <x:v>0</x:v>
      </x:c>
      <x:c r="P863"/>
      <x:c r="Q863"/>
      <x:c r="R863"/>
      <x:c r="S863"/>
      <x:c r="T863" t="str">
        <x:v>middle</x:v>
      </x:c>
      <x:c r="U863"/>
      <x:c r="V863" t="n">
        <x:v>0</x:v>
      </x:c>
      <x:c r="W863" t="n">
        <x:v>1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/>
      <x:c r="AC863" t="n">
        <x:v>0</x:v>
      </x:c>
      <x:c r="AD863" t="n">
        <x:v>2.472532096784562</x:v>
      </x:c>
      <x:c r="AE863" t="n">
        <x:v>1</x:v>
      </x:c>
      <x:c r="AF863" t="n">
        <x:v>0.06870755553245544</x:v>
      </x:c>
      <x:c r="AG863" t="n">
        <x:f>_xlfn.XLOOKUP($A863,Games!$A$2:$A$18,Games!$B$2:$B$18,"Missing game",0)</x:f>
        <x:v>2025</x:v>
      </x:c>
      <x:c r="AH863" t="str">
        <x:f>_xlfn.XLOOKUP($A863,Games!$A$2:$A$18,Games!$C$2:$C$18,"Missing game",0)</x:f>
        <x:v>REG</x:v>
      </x:c>
      <x:c r="AI863" t="n">
        <x:f>_xlfn.XLOOKUP($A863,Games!$A$2:$A$18,Games!$D$2:$D$18,"Missing game",0)</x:f>
        <x:v>7</x:v>
      </x:c>
      <x:c r="AJ863" s="1" t="n">
        <x:f>_xlfn.XLOOKUP($A863,Games!$A$2:$A$18,Games!$E$2:$E$18,"Missing game",0)</x:f>
        <x:v>45949</x:v>
      </x:c>
      <x:c r="AK863" t="str">
        <x:f>_xlfn.XLOOKUP($A863,Games!$A$2:$A$18,Games!$F$2:$F$18,"Missing game",0)</x:f>
        <x:v>Sunday</x:v>
      </x:c>
      <x:c r="AL863" t="str">
        <x:f>_xlfn.XLOOKUP($A863,Games!$A$2:$A$18,Games!$G$2:$G$18,"Missing game",0)</x:f>
        <x:v>PHI</x:v>
      </x:c>
      <x:c r="AM863" t="n">
        <x:f>_xlfn.XLOOKUP($A863,Games!$A$2:$A$18,Games!$H$2:$H$18,"Missing game",0)</x:f>
        <x:v>28</x:v>
      </x:c>
      <x:c r="AN863" t="str">
        <x:f>_xlfn.XLOOKUP($A863,Games!$A$2:$A$18,Games!$I$2:$I$18,"Missing game",0)</x:f>
        <x:v>MIN</x:v>
      </x:c>
      <x:c r="AO863" t="n">
        <x:f>_xlfn.XLOOKUP($A863,Games!$A$2:$A$18,Games!$J$2:$J$18,"Missing game",0)</x:f>
        <x:v>22</x:v>
      </x:c>
      <x:c r="AP863" t="n">
        <x:f>_xlfn.XLOOKUP($A863,Games!$A$2:$A$18,Games!$K$2:$K$18,"Missing game",0)</x:f>
        <x:v>-6</x:v>
      </x:c>
      <x:c r="AQ863" t="n">
        <x:f>_xlfn.XLOOKUP($A863,Games!$A$2:$A$18,Games!$L$2:$L$18,"Missing game",0)</x:f>
        <x:v>50</x:v>
      </x:c>
      <x:c r="AR863" t="n">
        <x:f>_xlfn.XLOOKUP($A863,Games!$A$2:$A$18,Games!$M$2:$M$18,"Missing game",0)</x:f>
        <x:v>0</x:v>
      </x:c>
      <x:c r="AS863" t="str">
        <x:f>_xlfn.XLOOKUP($A863,Games!$A$2:$A$18,Games!$N$2:$N$18,"Missing game",0)</x:f>
        <x:v>dome</x:v>
      </x:c>
      <x:c r="AT863" t="str">
        <x:f>_xlfn.XLOOKUP($A863,Games!$A$2:$A$18,Games!$O$2:$O$18,"Missing game",0)</x:f>
        <x:v>sportturf</x:v>
      </x:c>
      <x:c r="AU863" t="str">
        <x:f>_xlfn.XLOOKUP($A863,Games!$A$2:$A$18,Games!$P$2:$P$18,"Missing game",0)</x:f>
      </x:c>
      <x:c r="AV863" t="str">
        <x:f>_xlfn.XLOOKUP($A863,Games!$A$2:$A$18,Games!$Q$2:$Q$18,"Missing game",0)</x:f>
      </x:c>
      <x:c r="AW863" t="str">
        <x:f>_xlfn.XLOOKUP($A863,Games!$A$2:$A$18,Games!$R$2:$R$18,"Missing game",0)</x:f>
        <x:v>U.S. Bank Stadium</x:v>
      </x:c>
    </x:row>
    <x:row r="864">
      <x:c r="A864" t="str">
        <x:v>2025_07_PHI_MIN</x:v>
      </x:c>
      <x:c r="B864" t="n">
        <x:v>198</x:v>
      </x:c>
      <x:c r="C864" t="n">
        <x:v>1</x:v>
      </x:c>
      <x:c r="D864" t="str">
        <x:v>10:50</x:v>
      </x:c>
      <x:c r="E864" t="n">
        <x:v>1</x:v>
      </x:c>
      <x:c r="F864" t="n">
        <x:v>10</x:v>
      </x:c>
      <x:c r="G864" t="str">
        <x:v>PHI</x:v>
      </x:c>
      <x:c r="H864" t="str">
        <x:v>MIN</x:v>
      </x:c>
      <x:c r="I864" t="str">
        <x:v>PHI</x:v>
      </x:c>
      <x:c r="J864" t="n">
        <x:v>54</x:v>
      </x:c>
      <x:c r="K864" t="str">
        <x:v>(10:50) (Shotgun) 1-J.Hurts sacked ob at PHI 46 for 0 yards (sack split by 44-J.Metellus and 55-E.Wilson).</x:v>
      </x:c>
      <x:c r="L864" t="str">
        <x:v>pass</x:v>
      </x:c>
      <x:c r="M864" t="n">
        <x:v>0</x:v>
      </x:c>
      <x:c r="N864" t="n">
        <x:v>1</x:v>
      </x:c>
      <x:c r="O864" t="n">
        <x:v>0</x:v>
      </x:c>
      <x:c r="P864"/>
      <x:c r="Q864"/>
      <x:c r="R864"/>
      <x:c r="S864"/>
      <x:c r="T864"/>
      <x:c r="U864"/>
      <x:c r="V864" t="n">
        <x:v>0</x:v>
      </x:c>
      <x:c r="W864" t="n">
        <x:v>0</x:v>
      </x:c>
      <x:c r="X864" t="n">
        <x:v>1</x:v>
      </x:c>
      <x:c r="Y864" t="n">
        <x:v>0</x:v>
      </x:c>
      <x:c r="Z864" t="n">
        <x:v>0</x:v>
      </x:c>
      <x:c r="AA864" t="n">
        <x:v>0</x:v>
      </x:c>
      <x:c r="AB864"/>
      <x:c r="AC864" t="n">
        <x:v>0</x:v>
      </x:c>
      <x:c r="AD864" t="n">
        <x:v>-0.5777422580868006</x:v>
      </x:c>
      <x:c r="AE864" t="n">
        <x:v>0</x:v>
      </x:c>
      <x:c r="AF864" t="n">
        <x:v>-0.01817336678504944</x:v>
      </x:c>
      <x:c r="AG864" t="n">
        <x:f>_xlfn.XLOOKUP($A864,Games!$A$2:$A$18,Games!$B$2:$B$18,"Missing game",0)</x:f>
        <x:v>2025</x:v>
      </x:c>
      <x:c r="AH864" t="str">
        <x:f>_xlfn.XLOOKUP($A864,Games!$A$2:$A$18,Games!$C$2:$C$18,"Missing game",0)</x:f>
        <x:v>REG</x:v>
      </x:c>
      <x:c r="AI864" t="n">
        <x:f>_xlfn.XLOOKUP($A864,Games!$A$2:$A$18,Games!$D$2:$D$18,"Missing game",0)</x:f>
        <x:v>7</x:v>
      </x:c>
      <x:c r="AJ864" s="1" t="n">
        <x:f>_xlfn.XLOOKUP($A864,Games!$A$2:$A$18,Games!$E$2:$E$18,"Missing game",0)</x:f>
        <x:v>45949</x:v>
      </x:c>
      <x:c r="AK864" t="str">
        <x:f>_xlfn.XLOOKUP($A864,Games!$A$2:$A$18,Games!$F$2:$F$18,"Missing game",0)</x:f>
        <x:v>Sunday</x:v>
      </x:c>
      <x:c r="AL864" t="str">
        <x:f>_xlfn.XLOOKUP($A864,Games!$A$2:$A$18,Games!$G$2:$G$18,"Missing game",0)</x:f>
        <x:v>PHI</x:v>
      </x:c>
      <x:c r="AM864" t="n">
        <x:f>_xlfn.XLOOKUP($A864,Games!$A$2:$A$18,Games!$H$2:$H$18,"Missing game",0)</x:f>
        <x:v>28</x:v>
      </x:c>
      <x:c r="AN864" t="str">
        <x:f>_xlfn.XLOOKUP($A864,Games!$A$2:$A$18,Games!$I$2:$I$18,"Missing game",0)</x:f>
        <x:v>MIN</x:v>
      </x:c>
      <x:c r="AO864" t="n">
        <x:f>_xlfn.XLOOKUP($A864,Games!$A$2:$A$18,Games!$J$2:$J$18,"Missing game",0)</x:f>
        <x:v>22</x:v>
      </x:c>
      <x:c r="AP864" t="n">
        <x:f>_xlfn.XLOOKUP($A864,Games!$A$2:$A$18,Games!$K$2:$K$18,"Missing game",0)</x:f>
        <x:v>-6</x:v>
      </x:c>
      <x:c r="AQ864" t="n">
        <x:f>_xlfn.XLOOKUP($A864,Games!$A$2:$A$18,Games!$L$2:$L$18,"Missing game",0)</x:f>
        <x:v>50</x:v>
      </x:c>
      <x:c r="AR864" t="n">
        <x:f>_xlfn.XLOOKUP($A864,Games!$A$2:$A$18,Games!$M$2:$M$18,"Missing game",0)</x:f>
        <x:v>0</x:v>
      </x:c>
      <x:c r="AS864" t="str">
        <x:f>_xlfn.XLOOKUP($A864,Games!$A$2:$A$18,Games!$N$2:$N$18,"Missing game",0)</x:f>
        <x:v>dome</x:v>
      </x:c>
      <x:c r="AT864" t="str">
        <x:f>_xlfn.XLOOKUP($A864,Games!$A$2:$A$18,Games!$O$2:$O$18,"Missing game",0)</x:f>
        <x:v>sportturf</x:v>
      </x:c>
      <x:c r="AU864" t="str">
        <x:f>_xlfn.XLOOKUP($A864,Games!$A$2:$A$18,Games!$P$2:$P$18,"Missing game",0)</x:f>
      </x:c>
      <x:c r="AV864" t="str">
        <x:f>_xlfn.XLOOKUP($A864,Games!$A$2:$A$18,Games!$Q$2:$Q$18,"Missing game",0)</x:f>
      </x:c>
      <x:c r="AW864" t="str">
        <x:f>_xlfn.XLOOKUP($A864,Games!$A$2:$A$18,Games!$R$2:$R$18,"Missing game",0)</x:f>
        <x:v>U.S. Bank Stadium</x:v>
      </x:c>
    </x:row>
    <x:row r="865">
      <x:c r="A865" t="str">
        <x:v>2025_07_PHI_MIN</x:v>
      </x:c>
      <x:c r="B865" t="n">
        <x:v>227</x:v>
      </x:c>
      <x:c r="C865" t="n">
        <x:v>1</x:v>
      </x:c>
      <x:c r="D865" t="str">
        <x:v>10:07</x:v>
      </x:c>
      <x:c r="E865" t="n">
        <x:v>2</x:v>
      </x:c>
      <x:c r="F865" t="n">
        <x:v>10</x:v>
      </x:c>
      <x:c r="G865" t="str">
        <x:v>PHI</x:v>
      </x:c>
      <x:c r="H865" t="str">
        <x:v>MIN</x:v>
      </x:c>
      <x:c r="I865" t="str">
        <x:v>PHI</x:v>
      </x:c>
      <x:c r="J865" t="n">
        <x:v>54</x:v>
      </x:c>
      <x:c r="K865" t="str">
        <x:v>(10:07) (Shotgun) 37-T.Bigsby right end to MIN 43 for 11 yards (44-J.Metellus; 26-T.Jackson).</x:v>
      </x:c>
      <x:c r="L865" t="str">
        <x:v>run</x:v>
      </x:c>
      <x:c r="M865" t="n">
        <x:v>11</x:v>
      </x:c>
      <x:c r="N865" t="n">
        <x:v>1</x:v>
      </x:c>
      <x:c r="O865" t="n">
        <x:v>0</x:v>
      </x:c>
      <x:c r="P865"/>
      <x:c r="Q865"/>
      <x:c r="R865"/>
      <x:c r="S865"/>
      <x:c r="T865" t="str">
        <x:v>right</x:v>
      </x:c>
      <x:c r="U865" t="str">
        <x:v>end</x:v>
      </x:c>
      <x:c r="V865" t="n">
        <x:v>0</x:v>
      </x:c>
      <x:c r="W865" t="n">
        <x:v>1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/>
      <x:c r="AC865" t="n">
        <x:v>0</x:v>
      </x:c>
      <x:c r="AD865" t="n">
        <x:v>1.1583333166781813</x:v>
      </x:c>
      <x:c r="AE865" t="n">
        <x:v>1</x:v>
      </x:c>
      <x:c r="AF865" t="n">
        <x:v>0.0358642041683197</x:v>
      </x:c>
      <x:c r="AG865" t="n">
        <x:f>_xlfn.XLOOKUP($A865,Games!$A$2:$A$18,Games!$B$2:$B$18,"Missing game",0)</x:f>
        <x:v>2025</x:v>
      </x:c>
      <x:c r="AH865" t="str">
        <x:f>_xlfn.XLOOKUP($A865,Games!$A$2:$A$18,Games!$C$2:$C$18,"Missing game",0)</x:f>
        <x:v>REG</x:v>
      </x:c>
      <x:c r="AI865" t="n">
        <x:f>_xlfn.XLOOKUP($A865,Games!$A$2:$A$18,Games!$D$2:$D$18,"Missing game",0)</x:f>
        <x:v>7</x:v>
      </x:c>
      <x:c r="AJ865" s="1" t="n">
        <x:f>_xlfn.XLOOKUP($A865,Games!$A$2:$A$18,Games!$E$2:$E$18,"Missing game",0)</x:f>
        <x:v>45949</x:v>
      </x:c>
      <x:c r="AK865" t="str">
        <x:f>_xlfn.XLOOKUP($A865,Games!$A$2:$A$18,Games!$F$2:$F$18,"Missing game",0)</x:f>
        <x:v>Sunday</x:v>
      </x:c>
      <x:c r="AL865" t="str">
        <x:f>_xlfn.XLOOKUP($A865,Games!$A$2:$A$18,Games!$G$2:$G$18,"Missing game",0)</x:f>
        <x:v>PHI</x:v>
      </x:c>
      <x:c r="AM865" t="n">
        <x:f>_xlfn.XLOOKUP($A865,Games!$A$2:$A$18,Games!$H$2:$H$18,"Missing game",0)</x:f>
        <x:v>28</x:v>
      </x:c>
      <x:c r="AN865" t="str">
        <x:f>_xlfn.XLOOKUP($A865,Games!$A$2:$A$18,Games!$I$2:$I$18,"Missing game",0)</x:f>
        <x:v>MIN</x:v>
      </x:c>
      <x:c r="AO865" t="n">
        <x:f>_xlfn.XLOOKUP($A865,Games!$A$2:$A$18,Games!$J$2:$J$18,"Missing game",0)</x:f>
        <x:v>22</x:v>
      </x:c>
      <x:c r="AP865" t="n">
        <x:f>_xlfn.XLOOKUP($A865,Games!$A$2:$A$18,Games!$K$2:$K$18,"Missing game",0)</x:f>
        <x:v>-6</x:v>
      </x:c>
      <x:c r="AQ865" t="n">
        <x:f>_xlfn.XLOOKUP($A865,Games!$A$2:$A$18,Games!$L$2:$L$18,"Missing game",0)</x:f>
        <x:v>50</x:v>
      </x:c>
      <x:c r="AR865" t="n">
        <x:f>_xlfn.XLOOKUP($A865,Games!$A$2:$A$18,Games!$M$2:$M$18,"Missing game",0)</x:f>
        <x:v>0</x:v>
      </x:c>
      <x:c r="AS865" t="str">
        <x:f>_xlfn.XLOOKUP($A865,Games!$A$2:$A$18,Games!$N$2:$N$18,"Missing game",0)</x:f>
        <x:v>dome</x:v>
      </x:c>
      <x:c r="AT865" t="str">
        <x:f>_xlfn.XLOOKUP($A865,Games!$A$2:$A$18,Games!$O$2:$O$18,"Missing game",0)</x:f>
        <x:v>sportturf</x:v>
      </x:c>
      <x:c r="AU865" t="str">
        <x:f>_xlfn.XLOOKUP($A865,Games!$A$2:$A$18,Games!$P$2:$P$18,"Missing game",0)</x:f>
      </x:c>
      <x:c r="AV865" t="str">
        <x:f>_xlfn.XLOOKUP($A865,Games!$A$2:$A$18,Games!$Q$2:$Q$18,"Missing game",0)</x:f>
      </x:c>
      <x:c r="AW865" t="str">
        <x:f>_xlfn.XLOOKUP($A865,Games!$A$2:$A$18,Games!$R$2:$R$18,"Missing game",0)</x:f>
        <x:v>U.S. Bank Stadium</x:v>
      </x:c>
    </x:row>
    <x:row r="866">
      <x:c r="A866" t="str">
        <x:v>2025_07_PHI_MIN</x:v>
      </x:c>
      <x:c r="B866" t="n">
        <x:v>249</x:v>
      </x:c>
      <x:c r="C866" t="n">
        <x:v>1</x:v>
      </x:c>
      <x:c r="D866" t="str">
        <x:v>09:32</x:v>
      </x:c>
      <x:c r="E866" t="n">
        <x:v>1</x:v>
      </x:c>
      <x:c r="F866" t="n">
        <x:v>10</x:v>
      </x:c>
      <x:c r="G866" t="str">
        <x:v>PHI</x:v>
      </x:c>
      <x:c r="H866" t="str">
        <x:v>MIN</x:v>
      </x:c>
      <x:c r="I866" t="str">
        <x:v>MIN</x:v>
      </x:c>
      <x:c r="J866" t="n">
        <x:v>43</x:v>
      </x:c>
      <x:c r="K866" t="str">
        <x:v>(9:32) (No Huddle, Shotgun) 1-J.Hurts right end pushed ob at MIN 44 for -1 yards (22-H.Smith).</x:v>
      </x:c>
      <x:c r="L866" t="str">
        <x:v>run</x:v>
      </x:c>
      <x:c r="M866" t="n">
        <x:v>-1</x:v>
      </x:c>
      <x:c r="N866" t="n">
        <x:v>1</x:v>
      </x:c>
      <x:c r="O866" t="n">
        <x:v>1</x:v>
      </x:c>
      <x:c r="P866"/>
      <x:c r="Q866"/>
      <x:c r="R866"/>
      <x:c r="S866"/>
      <x:c r="T866" t="str">
        <x:v>right</x:v>
      </x:c>
      <x:c r="U866" t="str">
        <x:v>end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/>
      <x:c r="AC866" t="n">
        <x:v>0</x:v>
      </x:c>
      <x:c r="AD866" t="n">
        <x:v>-0.8265941750723869</x:v>
      </x:c>
      <x:c r="AE866" t="n">
        <x:v>0</x:v>
      </x:c>
      <x:c r="AF866" t="n">
        <x:v>-0.026374846696853638</x:v>
      </x:c>
      <x:c r="AG866" t="n">
        <x:f>_xlfn.XLOOKUP($A866,Games!$A$2:$A$18,Games!$B$2:$B$18,"Missing game",0)</x:f>
        <x:v>2025</x:v>
      </x:c>
      <x:c r="AH866" t="str">
        <x:f>_xlfn.XLOOKUP($A866,Games!$A$2:$A$18,Games!$C$2:$C$18,"Missing game",0)</x:f>
        <x:v>REG</x:v>
      </x:c>
      <x:c r="AI866" t="n">
        <x:f>_xlfn.XLOOKUP($A866,Games!$A$2:$A$18,Games!$D$2:$D$18,"Missing game",0)</x:f>
        <x:v>7</x:v>
      </x:c>
      <x:c r="AJ866" s="1" t="n">
        <x:f>_xlfn.XLOOKUP($A866,Games!$A$2:$A$18,Games!$E$2:$E$18,"Missing game",0)</x:f>
        <x:v>45949</x:v>
      </x:c>
      <x:c r="AK866" t="str">
        <x:f>_xlfn.XLOOKUP($A866,Games!$A$2:$A$18,Games!$F$2:$F$18,"Missing game",0)</x:f>
        <x:v>Sunday</x:v>
      </x:c>
      <x:c r="AL866" t="str">
        <x:f>_xlfn.XLOOKUP($A866,Games!$A$2:$A$18,Games!$G$2:$G$18,"Missing game",0)</x:f>
        <x:v>PHI</x:v>
      </x:c>
      <x:c r="AM866" t="n">
        <x:f>_xlfn.XLOOKUP($A866,Games!$A$2:$A$18,Games!$H$2:$H$18,"Missing game",0)</x:f>
        <x:v>28</x:v>
      </x:c>
      <x:c r="AN866" t="str">
        <x:f>_xlfn.XLOOKUP($A866,Games!$A$2:$A$18,Games!$I$2:$I$18,"Missing game",0)</x:f>
        <x:v>MIN</x:v>
      </x:c>
      <x:c r="AO866" t="n">
        <x:f>_xlfn.XLOOKUP($A866,Games!$A$2:$A$18,Games!$J$2:$J$18,"Missing game",0)</x:f>
        <x:v>22</x:v>
      </x:c>
      <x:c r="AP866" t="n">
        <x:f>_xlfn.XLOOKUP($A866,Games!$A$2:$A$18,Games!$K$2:$K$18,"Missing game",0)</x:f>
        <x:v>-6</x:v>
      </x:c>
      <x:c r="AQ866" t="n">
        <x:f>_xlfn.XLOOKUP($A866,Games!$A$2:$A$18,Games!$L$2:$L$18,"Missing game",0)</x:f>
        <x:v>50</x:v>
      </x:c>
      <x:c r="AR866" t="n">
        <x:f>_xlfn.XLOOKUP($A866,Games!$A$2:$A$18,Games!$M$2:$M$18,"Missing game",0)</x:f>
        <x:v>0</x:v>
      </x:c>
      <x:c r="AS866" t="str">
        <x:f>_xlfn.XLOOKUP($A866,Games!$A$2:$A$18,Games!$N$2:$N$18,"Missing game",0)</x:f>
        <x:v>dome</x:v>
      </x:c>
      <x:c r="AT866" t="str">
        <x:f>_xlfn.XLOOKUP($A866,Games!$A$2:$A$18,Games!$O$2:$O$18,"Missing game",0)</x:f>
        <x:v>sportturf</x:v>
      </x:c>
      <x:c r="AU866" t="str">
        <x:f>_xlfn.XLOOKUP($A866,Games!$A$2:$A$18,Games!$P$2:$P$18,"Missing game",0)</x:f>
      </x:c>
      <x:c r="AV866" t="str">
        <x:f>_xlfn.XLOOKUP($A866,Games!$A$2:$A$18,Games!$Q$2:$Q$18,"Missing game",0)</x:f>
      </x:c>
      <x:c r="AW866" t="str">
        <x:f>_xlfn.XLOOKUP($A866,Games!$A$2:$A$18,Games!$R$2:$R$18,"Missing game",0)</x:f>
        <x:v>U.S. Bank Stadium</x:v>
      </x:c>
    </x:row>
    <x:row r="867">
      <x:c r="A867" t="str">
        <x:v>2025_07_PHI_MIN</x:v>
      </x:c>
      <x:c r="B867" t="n">
        <x:v>276</x:v>
      </x:c>
      <x:c r="C867" t="n">
        <x:v>1</x:v>
      </x:c>
      <x:c r="D867" t="str">
        <x:v>08:48</x:v>
      </x:c>
      <x:c r="E867" t="n">
        <x:v>2</x:v>
      </x:c>
      <x:c r="F867" t="n">
        <x:v>11</x:v>
      </x:c>
      <x:c r="G867" t="str">
        <x:v>PHI</x:v>
      </x:c>
      <x:c r="H867" t="str">
        <x:v>MIN</x:v>
      </x:c>
      <x:c r="I867" t="str">
        <x:v>MIN</x:v>
      </x:c>
      <x:c r="J867" t="n">
        <x:v>44</x:v>
      </x:c>
      <x:c r="K867" t="str">
        <x:v>(8:48) (Shotgun) 1-J.Hurts pass short left to 26-S.Barkley to MIN 46 for -2 yards (44-J.Metellus).</x:v>
      </x:c>
      <x:c r="L867" t="str">
        <x:v>pass</x:v>
      </x:c>
      <x:c r="M867" t="n">
        <x:v>-2</x:v>
      </x:c>
      <x:c r="N867" t="n">
        <x:v>1</x:v>
      </x:c>
      <x:c r="O867" t="n">
        <x:v>0</x:v>
      </x:c>
      <x:c r="P867" t="str">
        <x:v>short</x:v>
      </x:c>
      <x:c r="Q867" t="str">
        <x:v>left</x:v>
      </x:c>
      <x:c r="R867" t="n">
        <x:v>-4</x:v>
      </x:c>
      <x:c r="S867" t="n">
        <x:v>2</x:v>
      </x:c>
      <x:c r="T867"/>
      <x:c r="U867"/>
      <x:c r="V867" t="n">
        <x:v>1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/>
      <x:c r="AC867" t="n">
        <x:v>0</x:v>
      </x:c>
      <x:c r="AD867" t="n">
        <x:v>-1.2097519328817725</x:v>
      </x:c>
      <x:c r="AE867" t="n">
        <x:v>0</x:v>
      </x:c>
      <x:c r="AF867" t="n">
        <x:v>-0.03536835312843323</x:v>
      </x:c>
      <x:c r="AG867" t="n">
        <x:f>_xlfn.XLOOKUP($A867,Games!$A$2:$A$18,Games!$B$2:$B$18,"Missing game",0)</x:f>
        <x:v>2025</x:v>
      </x:c>
      <x:c r="AH867" t="str">
        <x:f>_xlfn.XLOOKUP($A867,Games!$A$2:$A$18,Games!$C$2:$C$18,"Missing game",0)</x:f>
        <x:v>REG</x:v>
      </x:c>
      <x:c r="AI867" t="n">
        <x:f>_xlfn.XLOOKUP($A867,Games!$A$2:$A$18,Games!$D$2:$D$18,"Missing game",0)</x:f>
        <x:v>7</x:v>
      </x:c>
      <x:c r="AJ867" s="1" t="n">
        <x:f>_xlfn.XLOOKUP($A867,Games!$A$2:$A$18,Games!$E$2:$E$18,"Missing game",0)</x:f>
        <x:v>45949</x:v>
      </x:c>
      <x:c r="AK867" t="str">
        <x:f>_xlfn.XLOOKUP($A867,Games!$A$2:$A$18,Games!$F$2:$F$18,"Missing game",0)</x:f>
        <x:v>Sunday</x:v>
      </x:c>
      <x:c r="AL867" t="str">
        <x:f>_xlfn.XLOOKUP($A867,Games!$A$2:$A$18,Games!$G$2:$G$18,"Missing game",0)</x:f>
        <x:v>PHI</x:v>
      </x:c>
      <x:c r="AM867" t="n">
        <x:f>_xlfn.XLOOKUP($A867,Games!$A$2:$A$18,Games!$H$2:$H$18,"Missing game",0)</x:f>
        <x:v>28</x:v>
      </x:c>
      <x:c r="AN867" t="str">
        <x:f>_xlfn.XLOOKUP($A867,Games!$A$2:$A$18,Games!$I$2:$I$18,"Missing game",0)</x:f>
        <x:v>MIN</x:v>
      </x:c>
      <x:c r="AO867" t="n">
        <x:f>_xlfn.XLOOKUP($A867,Games!$A$2:$A$18,Games!$J$2:$J$18,"Missing game",0)</x:f>
        <x:v>22</x:v>
      </x:c>
      <x:c r="AP867" t="n">
        <x:f>_xlfn.XLOOKUP($A867,Games!$A$2:$A$18,Games!$K$2:$K$18,"Missing game",0)</x:f>
        <x:v>-6</x:v>
      </x:c>
      <x:c r="AQ867" t="n">
        <x:f>_xlfn.XLOOKUP($A867,Games!$A$2:$A$18,Games!$L$2:$L$18,"Missing game",0)</x:f>
        <x:v>50</x:v>
      </x:c>
      <x:c r="AR867" t="n">
        <x:f>_xlfn.XLOOKUP($A867,Games!$A$2:$A$18,Games!$M$2:$M$18,"Missing game",0)</x:f>
        <x:v>0</x:v>
      </x:c>
      <x:c r="AS867" t="str">
        <x:f>_xlfn.XLOOKUP($A867,Games!$A$2:$A$18,Games!$N$2:$N$18,"Missing game",0)</x:f>
        <x:v>dome</x:v>
      </x:c>
      <x:c r="AT867" t="str">
        <x:f>_xlfn.XLOOKUP($A867,Games!$A$2:$A$18,Games!$O$2:$O$18,"Missing game",0)</x:f>
        <x:v>sportturf</x:v>
      </x:c>
      <x:c r="AU867" t="str">
        <x:f>_xlfn.XLOOKUP($A867,Games!$A$2:$A$18,Games!$P$2:$P$18,"Missing game",0)</x:f>
      </x:c>
      <x:c r="AV867" t="str">
        <x:f>_xlfn.XLOOKUP($A867,Games!$A$2:$A$18,Games!$Q$2:$Q$18,"Missing game",0)</x:f>
      </x:c>
      <x:c r="AW867" t="str">
        <x:f>_xlfn.XLOOKUP($A867,Games!$A$2:$A$18,Games!$R$2:$R$18,"Missing game",0)</x:f>
        <x:v>U.S. Bank Stadium</x:v>
      </x:c>
    </x:row>
    <x:row r="868">
      <x:c r="A868" t="str">
        <x:v>2025_07_PHI_MIN</x:v>
      </x:c>
      <x:c r="B868" t="n">
        <x:v>301</x:v>
      </x:c>
      <x:c r="C868" t="n">
        <x:v>1</x:v>
      </x:c>
      <x:c r="D868" t="str">
        <x:v>08:00</x:v>
      </x:c>
      <x:c r="E868" t="n">
        <x:v>3</x:v>
      </x:c>
      <x:c r="F868" t="n">
        <x:v>13</x:v>
      </x:c>
      <x:c r="G868" t="str">
        <x:v>PHI</x:v>
      </x:c>
      <x:c r="H868" t="str">
        <x:v>MIN</x:v>
      </x:c>
      <x:c r="I868" t="str">
        <x:v>MIN</x:v>
      </x:c>
      <x:c r="J868" t="n">
        <x:v>46</x:v>
      </x:c>
      <x:c r="K868" t="str">
        <x:v>(8:00) (Shotgun) 26-S.Barkley left tackle to MIN 37 for 9 yards (22-H.Smith).</x:v>
      </x:c>
      <x:c r="L868" t="str">
        <x:v>run</x:v>
      </x:c>
      <x:c r="M868" t="n">
        <x:v>9</x:v>
      </x:c>
      <x:c r="N868" t="n">
        <x:v>1</x:v>
      </x:c>
      <x:c r="O868" t="n">
        <x:v>0</x:v>
      </x:c>
      <x:c r="P868"/>
      <x:c r="Q868"/>
      <x:c r="R868"/>
      <x:c r="S868"/>
      <x:c r="T868" t="str">
        <x:v>left</x:v>
      </x:c>
      <x:c r="U868" t="str">
        <x:v>tackle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/>
      <x:c r="AC868" t="n">
        <x:v>0</x:v>
      </x:c>
      <x:c r="AD868" t="n">
        <x:v>-0.34589838050305843</x:v>
      </x:c>
      <x:c r="AE868" t="n">
        <x:v>0</x:v>
      </x:c>
      <x:c r="AF868" t="n">
        <x:v>0.022113561630249023</x:v>
      </x:c>
      <x:c r="AG868" t="n">
        <x:f>_xlfn.XLOOKUP($A868,Games!$A$2:$A$18,Games!$B$2:$B$18,"Missing game",0)</x:f>
        <x:v>2025</x:v>
      </x:c>
      <x:c r="AH868" t="str">
        <x:f>_xlfn.XLOOKUP($A868,Games!$A$2:$A$18,Games!$C$2:$C$18,"Missing game",0)</x:f>
        <x:v>REG</x:v>
      </x:c>
      <x:c r="AI868" t="n">
        <x:f>_xlfn.XLOOKUP($A868,Games!$A$2:$A$18,Games!$D$2:$D$18,"Missing game",0)</x:f>
        <x:v>7</x:v>
      </x:c>
      <x:c r="AJ868" s="1" t="n">
        <x:f>_xlfn.XLOOKUP($A868,Games!$A$2:$A$18,Games!$E$2:$E$18,"Missing game",0)</x:f>
        <x:v>45949</x:v>
      </x:c>
      <x:c r="AK868" t="str">
        <x:f>_xlfn.XLOOKUP($A868,Games!$A$2:$A$18,Games!$F$2:$F$18,"Missing game",0)</x:f>
        <x:v>Sunday</x:v>
      </x:c>
      <x:c r="AL868" t="str">
        <x:f>_xlfn.XLOOKUP($A868,Games!$A$2:$A$18,Games!$G$2:$G$18,"Missing game",0)</x:f>
        <x:v>PHI</x:v>
      </x:c>
      <x:c r="AM868" t="n">
        <x:f>_xlfn.XLOOKUP($A868,Games!$A$2:$A$18,Games!$H$2:$H$18,"Missing game",0)</x:f>
        <x:v>28</x:v>
      </x:c>
      <x:c r="AN868" t="str">
        <x:f>_xlfn.XLOOKUP($A868,Games!$A$2:$A$18,Games!$I$2:$I$18,"Missing game",0)</x:f>
        <x:v>MIN</x:v>
      </x:c>
      <x:c r="AO868" t="n">
        <x:f>_xlfn.XLOOKUP($A868,Games!$A$2:$A$18,Games!$J$2:$J$18,"Missing game",0)</x:f>
        <x:v>22</x:v>
      </x:c>
      <x:c r="AP868" t="n">
        <x:f>_xlfn.XLOOKUP($A868,Games!$A$2:$A$18,Games!$K$2:$K$18,"Missing game",0)</x:f>
        <x:v>-6</x:v>
      </x:c>
      <x:c r="AQ868" t="n">
        <x:f>_xlfn.XLOOKUP($A868,Games!$A$2:$A$18,Games!$L$2:$L$18,"Missing game",0)</x:f>
        <x:v>50</x:v>
      </x:c>
      <x:c r="AR868" t="n">
        <x:f>_xlfn.XLOOKUP($A868,Games!$A$2:$A$18,Games!$M$2:$M$18,"Missing game",0)</x:f>
        <x:v>0</x:v>
      </x:c>
      <x:c r="AS868" t="str">
        <x:f>_xlfn.XLOOKUP($A868,Games!$A$2:$A$18,Games!$N$2:$N$18,"Missing game",0)</x:f>
        <x:v>dome</x:v>
      </x:c>
      <x:c r="AT868" t="str">
        <x:f>_xlfn.XLOOKUP($A868,Games!$A$2:$A$18,Games!$O$2:$O$18,"Missing game",0)</x:f>
        <x:v>sportturf</x:v>
      </x:c>
      <x:c r="AU868" t="str">
        <x:f>_xlfn.XLOOKUP($A868,Games!$A$2:$A$18,Games!$P$2:$P$18,"Missing game",0)</x:f>
      </x:c>
      <x:c r="AV868" t="str">
        <x:f>_xlfn.XLOOKUP($A868,Games!$A$2:$A$18,Games!$Q$2:$Q$18,"Missing game",0)</x:f>
      </x:c>
      <x:c r="AW868" t="str">
        <x:f>_xlfn.XLOOKUP($A868,Games!$A$2:$A$18,Games!$R$2:$R$18,"Missing game",0)</x:f>
        <x:v>U.S. Bank Stadium</x:v>
      </x:c>
    </x:row>
    <x:row r="869">
      <x:c r="A869" t="str">
        <x:v>2025_07_PHI_MIN</x:v>
      </x:c>
      <x:c r="B869" t="n">
        <x:v>335</x:v>
      </x:c>
      <x:c r="C869" t="n">
        <x:v>1</x:v>
      </x:c>
      <x:c r="D869" t="str">
        <x:v>07:07</x:v>
      </x:c>
      <x:c r="E869" t="n">
        <x:v>4</x:v>
      </x:c>
      <x:c r="F869" t="n">
        <x:v>4</x:v>
      </x:c>
      <x:c r="G869" t="str">
        <x:v>PHI</x:v>
      </x:c>
      <x:c r="H869" t="str">
        <x:v>MIN</x:v>
      </x:c>
      <x:c r="I869" t="str">
        <x:v>MIN</x:v>
      </x:c>
      <x:c r="J869" t="n">
        <x:v>37</x:v>
      </x:c>
      <x:c r="K869" t="str">
        <x:v>(7:07) (Shotgun) 1-J.Hurts pass deep left to 11-A.Brown for 37 yards, TOUCHDOWN.</x:v>
      </x:c>
      <x:c r="L869" t="str">
        <x:v>pass</x:v>
      </x:c>
      <x:c r="M869" t="n">
        <x:v>37</x:v>
      </x:c>
      <x:c r="N869" t="n">
        <x:v>1</x:v>
      </x:c>
      <x:c r="O869" t="n">
        <x:v>0</x:v>
      </x:c>
      <x:c r="P869" t="str">
        <x:v>deep</x:v>
      </x:c>
      <x:c r="Q869" t="str">
        <x:v>left</x:v>
      </x:c>
      <x:c r="R869" t="n">
        <x:v>26</x:v>
      </x:c>
      <x:c r="S869" t="n">
        <x:v>11</x:v>
      </x:c>
      <x:c r="T869"/>
      <x:c r="U869"/>
      <x:c r="V869" t="n">
        <x:v>1</x:v>
      </x:c>
      <x:c r="W869" t="n">
        <x:v>1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/>
      <x:c r="AC869" t="n">
        <x:v>1</x:v>
      </x:c>
      <x:c r="AD869" t="n">
        <x:v>6.366423304658383</x:v>
      </x:c>
      <x:c r="AE869" t="n">
        <x:v>1</x:v>
      </x:c>
      <x:c r="AF869" t="n">
        <x:v>0.17287266894192455</x:v>
      </x:c>
      <x:c r="AG869" t="n">
        <x:f>_xlfn.XLOOKUP($A869,Games!$A$2:$A$18,Games!$B$2:$B$18,"Missing game",0)</x:f>
        <x:v>2025</x:v>
      </x:c>
      <x:c r="AH869" t="str">
        <x:f>_xlfn.XLOOKUP($A869,Games!$A$2:$A$18,Games!$C$2:$C$18,"Missing game",0)</x:f>
        <x:v>REG</x:v>
      </x:c>
      <x:c r="AI869" t="n">
        <x:f>_xlfn.XLOOKUP($A869,Games!$A$2:$A$18,Games!$D$2:$D$18,"Missing game",0)</x:f>
        <x:v>7</x:v>
      </x:c>
      <x:c r="AJ869" s="1" t="n">
        <x:f>_xlfn.XLOOKUP($A869,Games!$A$2:$A$18,Games!$E$2:$E$18,"Missing game",0)</x:f>
        <x:v>45949</x:v>
      </x:c>
      <x:c r="AK869" t="str">
        <x:f>_xlfn.XLOOKUP($A869,Games!$A$2:$A$18,Games!$F$2:$F$18,"Missing game",0)</x:f>
        <x:v>Sunday</x:v>
      </x:c>
      <x:c r="AL869" t="str">
        <x:f>_xlfn.XLOOKUP($A869,Games!$A$2:$A$18,Games!$G$2:$G$18,"Missing game",0)</x:f>
        <x:v>PHI</x:v>
      </x:c>
      <x:c r="AM869" t="n">
        <x:f>_xlfn.XLOOKUP($A869,Games!$A$2:$A$18,Games!$H$2:$H$18,"Missing game",0)</x:f>
        <x:v>28</x:v>
      </x:c>
      <x:c r="AN869" t="str">
        <x:f>_xlfn.XLOOKUP($A869,Games!$A$2:$A$18,Games!$I$2:$I$18,"Missing game",0)</x:f>
        <x:v>MIN</x:v>
      </x:c>
      <x:c r="AO869" t="n">
        <x:f>_xlfn.XLOOKUP($A869,Games!$A$2:$A$18,Games!$J$2:$J$18,"Missing game",0)</x:f>
        <x:v>22</x:v>
      </x:c>
      <x:c r="AP869" t="n">
        <x:f>_xlfn.XLOOKUP($A869,Games!$A$2:$A$18,Games!$K$2:$K$18,"Missing game",0)</x:f>
        <x:v>-6</x:v>
      </x:c>
      <x:c r="AQ869" t="n">
        <x:f>_xlfn.XLOOKUP($A869,Games!$A$2:$A$18,Games!$L$2:$L$18,"Missing game",0)</x:f>
        <x:v>50</x:v>
      </x:c>
      <x:c r="AR869" t="n">
        <x:f>_xlfn.XLOOKUP($A869,Games!$A$2:$A$18,Games!$M$2:$M$18,"Missing game",0)</x:f>
        <x:v>0</x:v>
      </x:c>
      <x:c r="AS869" t="str">
        <x:f>_xlfn.XLOOKUP($A869,Games!$A$2:$A$18,Games!$N$2:$N$18,"Missing game",0)</x:f>
        <x:v>dome</x:v>
      </x:c>
      <x:c r="AT869" t="str">
        <x:f>_xlfn.XLOOKUP($A869,Games!$A$2:$A$18,Games!$O$2:$O$18,"Missing game",0)</x:f>
        <x:v>sportturf</x:v>
      </x:c>
      <x:c r="AU869" t="str">
        <x:f>_xlfn.XLOOKUP($A869,Games!$A$2:$A$18,Games!$P$2:$P$18,"Missing game",0)</x:f>
      </x:c>
      <x:c r="AV869" t="str">
        <x:f>_xlfn.XLOOKUP($A869,Games!$A$2:$A$18,Games!$Q$2:$Q$18,"Missing game",0)</x:f>
      </x:c>
      <x:c r="AW869" t="str">
        <x:f>_xlfn.XLOOKUP($A869,Games!$A$2:$A$18,Games!$R$2:$R$18,"Missing game",0)</x:f>
        <x:v>U.S. Bank Stadium</x:v>
      </x:c>
    </x:row>
    <x:row r="870">
      <x:c r="A870" t="str">
        <x:v>2025_07_PHI_MIN</x:v>
      </x:c>
      <x:c r="B870" t="n">
        <x:v>361</x:v>
      </x:c>
      <x:c r="C870" t="n">
        <x:v>1</x:v>
      </x:c>
      <x:c r="D870" t="str">
        <x:v>06:59</x:v>
      </x:c>
      <x:c r="E870"/>
      <x:c r="F870" t="n">
        <x:v>0</x:v>
      </x:c>
      <x:c r="G870" t="str">
        <x:v>PHI</x:v>
      </x:c>
      <x:c r="H870" t="str">
        <x:v>MIN</x:v>
      </x:c>
      <x:c r="I870" t="str">
        <x:v>MIN</x:v>
      </x:c>
      <x:c r="J870" t="n">
        <x:v>15</x:v>
      </x:c>
      <x:c r="K870" t="str">
        <x:v>4-J.Elliott extra point is GOOD, Center-57-C.Adomitis, Holder-10-B.Mann.</x:v>
      </x:c>
      <x:c r="L870" t="str">
        <x:v>extra_point</x:v>
      </x:c>
      <x:c r="M870" t="n">
        <x:v>0</x:v>
      </x:c>
      <x:c r="N870" t="n">
        <x:v>0</x:v>
      </x:c>
      <x:c r="O870" t="n">
        <x:v>0</x:v>
      </x:c>
      <x:c r="P870"/>
      <x:c r="Q870"/>
      <x:c r="R870"/>
      <x:c r="S870"/>
      <x:c r="T870"/>
      <x:c r="U870"/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/>
      <x:c r="AC870" t="n">
        <x:v>0</x:v>
      </x:c>
      <x:c r="AD870" t="n">
        <x:v>0.05117156607063911</x:v>
      </x:c>
      <x:c r="AE870" t="n">
        <x:v>1</x:v>
      </x:c>
      <x:c r="AF870" t="n">
        <x:v>0.0009787316718602446</x:v>
      </x:c>
      <x:c r="AG870" t="n">
        <x:f>_xlfn.XLOOKUP($A870,Games!$A$2:$A$18,Games!$B$2:$B$18,"Missing game",0)</x:f>
        <x:v>2025</x:v>
      </x:c>
      <x:c r="AH870" t="str">
        <x:f>_xlfn.XLOOKUP($A870,Games!$A$2:$A$18,Games!$C$2:$C$18,"Missing game",0)</x:f>
        <x:v>REG</x:v>
      </x:c>
      <x:c r="AI870" t="n">
        <x:f>_xlfn.XLOOKUP($A870,Games!$A$2:$A$18,Games!$D$2:$D$18,"Missing game",0)</x:f>
        <x:v>7</x:v>
      </x:c>
      <x:c r="AJ870" s="1" t="n">
        <x:f>_xlfn.XLOOKUP($A870,Games!$A$2:$A$18,Games!$E$2:$E$18,"Missing game",0)</x:f>
        <x:v>45949</x:v>
      </x:c>
      <x:c r="AK870" t="str">
        <x:f>_xlfn.XLOOKUP($A870,Games!$A$2:$A$18,Games!$F$2:$F$18,"Missing game",0)</x:f>
        <x:v>Sunday</x:v>
      </x:c>
      <x:c r="AL870" t="str">
        <x:f>_xlfn.XLOOKUP($A870,Games!$A$2:$A$18,Games!$G$2:$G$18,"Missing game",0)</x:f>
        <x:v>PHI</x:v>
      </x:c>
      <x:c r="AM870" t="n">
        <x:f>_xlfn.XLOOKUP($A870,Games!$A$2:$A$18,Games!$H$2:$H$18,"Missing game",0)</x:f>
        <x:v>28</x:v>
      </x:c>
      <x:c r="AN870" t="str">
        <x:f>_xlfn.XLOOKUP($A870,Games!$A$2:$A$18,Games!$I$2:$I$18,"Missing game",0)</x:f>
        <x:v>MIN</x:v>
      </x:c>
      <x:c r="AO870" t="n">
        <x:f>_xlfn.XLOOKUP($A870,Games!$A$2:$A$18,Games!$J$2:$J$18,"Missing game",0)</x:f>
        <x:v>22</x:v>
      </x:c>
      <x:c r="AP870" t="n">
        <x:f>_xlfn.XLOOKUP($A870,Games!$A$2:$A$18,Games!$K$2:$K$18,"Missing game",0)</x:f>
        <x:v>-6</x:v>
      </x:c>
      <x:c r="AQ870" t="n">
        <x:f>_xlfn.XLOOKUP($A870,Games!$A$2:$A$18,Games!$L$2:$L$18,"Missing game",0)</x:f>
        <x:v>50</x:v>
      </x:c>
      <x:c r="AR870" t="n">
        <x:f>_xlfn.XLOOKUP($A870,Games!$A$2:$A$18,Games!$M$2:$M$18,"Missing game",0)</x:f>
        <x:v>0</x:v>
      </x:c>
      <x:c r="AS870" t="str">
        <x:f>_xlfn.XLOOKUP($A870,Games!$A$2:$A$18,Games!$N$2:$N$18,"Missing game",0)</x:f>
        <x:v>dome</x:v>
      </x:c>
      <x:c r="AT870" t="str">
        <x:f>_xlfn.XLOOKUP($A870,Games!$A$2:$A$18,Games!$O$2:$O$18,"Missing game",0)</x:f>
        <x:v>sportturf</x:v>
      </x:c>
      <x:c r="AU870" t="str">
        <x:f>_xlfn.XLOOKUP($A870,Games!$A$2:$A$18,Games!$P$2:$P$18,"Missing game",0)</x:f>
      </x:c>
      <x:c r="AV870" t="str">
        <x:f>_xlfn.XLOOKUP($A870,Games!$A$2:$A$18,Games!$Q$2:$Q$18,"Missing game",0)</x:f>
      </x:c>
      <x:c r="AW870" t="str">
        <x:f>_xlfn.XLOOKUP($A870,Games!$A$2:$A$18,Games!$R$2:$R$18,"Missing game",0)</x:f>
        <x:v>U.S. Bank Stadium</x:v>
      </x:c>
    </x:row>
    <x:row r="871">
      <x:c r="A871" t="str">
        <x:v>2025_07_PHI_MIN</x:v>
      </x:c>
      <x:c r="B871" t="n">
        <x:v>376</x:v>
      </x:c>
      <x:c r="C871" t="n">
        <x:v>1</x:v>
      </x:c>
      <x:c r="D871" t="str">
        <x:v>06:59</x:v>
      </x:c>
      <x:c r="E871"/>
      <x:c r="F871" t="n">
        <x:v>0</x:v>
      </x:c>
      <x:c r="G871" t="str">
        <x:v>MIN</x:v>
      </x:c>
      <x:c r="H871" t="str">
        <x:v>PHI</x:v>
      </x:c>
      <x:c r="I871" t="str">
        <x:v>PHI</x:v>
      </x:c>
      <x:c r="J871" t="n">
        <x:v>35</x:v>
      </x:c>
      <x:c r="K871" t="str">
        <x:v>4-J.Elliott kicks 65 yards from PHI 35 to landing zone to end zone, Touchback to the MIN 20.</x:v>
      </x:c>
      <x:c r="L871" t="str">
        <x:v>kickoff</x:v>
      </x:c>
      <x:c r="M871" t="n">
        <x:v>0</x:v>
      </x:c>
      <x:c r="N871" t="n">
        <x:v>0</x:v>
      </x:c>
      <x:c r="O871" t="n">
        <x:v>0</x:v>
      </x:c>
      <x:c r="P871"/>
      <x:c r="Q871"/>
      <x:c r="R871"/>
      <x:c r="S871"/>
      <x:c r="T871"/>
      <x:c r="U871"/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/>
      <x:c r="AC871" t="n">
        <x:v>0</x:v>
      </x:c>
      <x:c r="AD871" t="n">
        <x:v>-0.4117097361013293</x:v>
      </x:c>
      <x:c r="AE871" t="n">
        <x:v>0</x:v>
      </x:c>
      <x:c r="AF871" t="n">
        <x:v>-0.0066329240798950195</x:v>
      </x:c>
      <x:c r="AG871" t="n">
        <x:f>_xlfn.XLOOKUP($A871,Games!$A$2:$A$18,Games!$B$2:$B$18,"Missing game",0)</x:f>
        <x:v>2025</x:v>
      </x:c>
      <x:c r="AH871" t="str">
        <x:f>_xlfn.XLOOKUP($A871,Games!$A$2:$A$18,Games!$C$2:$C$18,"Missing game",0)</x:f>
        <x:v>REG</x:v>
      </x:c>
      <x:c r="AI871" t="n">
        <x:f>_xlfn.XLOOKUP($A871,Games!$A$2:$A$18,Games!$D$2:$D$18,"Missing game",0)</x:f>
        <x:v>7</x:v>
      </x:c>
      <x:c r="AJ871" s="1" t="n">
        <x:f>_xlfn.XLOOKUP($A871,Games!$A$2:$A$18,Games!$E$2:$E$18,"Missing game",0)</x:f>
        <x:v>45949</x:v>
      </x:c>
      <x:c r="AK871" t="str">
        <x:f>_xlfn.XLOOKUP($A871,Games!$A$2:$A$18,Games!$F$2:$F$18,"Missing game",0)</x:f>
        <x:v>Sunday</x:v>
      </x:c>
      <x:c r="AL871" t="str">
        <x:f>_xlfn.XLOOKUP($A871,Games!$A$2:$A$18,Games!$G$2:$G$18,"Missing game",0)</x:f>
        <x:v>PHI</x:v>
      </x:c>
      <x:c r="AM871" t="n">
        <x:f>_xlfn.XLOOKUP($A871,Games!$A$2:$A$18,Games!$H$2:$H$18,"Missing game",0)</x:f>
        <x:v>28</x:v>
      </x:c>
      <x:c r="AN871" t="str">
        <x:f>_xlfn.XLOOKUP($A871,Games!$A$2:$A$18,Games!$I$2:$I$18,"Missing game",0)</x:f>
        <x:v>MIN</x:v>
      </x:c>
      <x:c r="AO871" t="n">
        <x:f>_xlfn.XLOOKUP($A871,Games!$A$2:$A$18,Games!$J$2:$J$18,"Missing game",0)</x:f>
        <x:v>22</x:v>
      </x:c>
      <x:c r="AP871" t="n">
        <x:f>_xlfn.XLOOKUP($A871,Games!$A$2:$A$18,Games!$K$2:$K$18,"Missing game",0)</x:f>
        <x:v>-6</x:v>
      </x:c>
      <x:c r="AQ871" t="n">
        <x:f>_xlfn.XLOOKUP($A871,Games!$A$2:$A$18,Games!$L$2:$L$18,"Missing game",0)</x:f>
        <x:v>50</x:v>
      </x:c>
      <x:c r="AR871" t="n">
        <x:f>_xlfn.XLOOKUP($A871,Games!$A$2:$A$18,Games!$M$2:$M$18,"Missing game",0)</x:f>
        <x:v>0</x:v>
      </x:c>
      <x:c r="AS871" t="str">
        <x:f>_xlfn.XLOOKUP($A871,Games!$A$2:$A$18,Games!$N$2:$N$18,"Missing game",0)</x:f>
        <x:v>dome</x:v>
      </x:c>
      <x:c r="AT871" t="str">
        <x:f>_xlfn.XLOOKUP($A871,Games!$A$2:$A$18,Games!$O$2:$O$18,"Missing game",0)</x:f>
        <x:v>sportturf</x:v>
      </x:c>
      <x:c r="AU871" t="str">
        <x:f>_xlfn.XLOOKUP($A871,Games!$A$2:$A$18,Games!$P$2:$P$18,"Missing game",0)</x:f>
      </x:c>
      <x:c r="AV871" t="str">
        <x:f>_xlfn.XLOOKUP($A871,Games!$A$2:$A$18,Games!$Q$2:$Q$18,"Missing game",0)</x:f>
      </x:c>
      <x:c r="AW871" t="str">
        <x:f>_xlfn.XLOOKUP($A871,Games!$A$2:$A$18,Games!$R$2:$R$18,"Missing game",0)</x:f>
        <x:v>U.S. Bank Stadium</x:v>
      </x:c>
    </x:row>
    <x:row r="872">
      <x:c r="A872" t="str">
        <x:v>2025_07_PHI_MIN</x:v>
      </x:c>
      <x:c r="B872" t="n">
        <x:v>400</x:v>
      </x:c>
      <x:c r="C872" t="n">
        <x:v>1</x:v>
      </x:c>
      <x:c r="D872" t="str">
        <x:v>06:59</x:v>
      </x:c>
      <x:c r="E872" t="n">
        <x:v>1</x:v>
      </x:c>
      <x:c r="F872" t="n">
        <x:v>10</x:v>
      </x:c>
      <x:c r="G872" t="str">
        <x:v>MIN</x:v>
      </x:c>
      <x:c r="H872" t="str">
        <x:v>PHI</x:v>
      </x:c>
      <x:c r="I872" t="str">
        <x:v>MIN</x:v>
      </x:c>
      <x:c r="J872" t="n">
        <x:v>80</x:v>
      </x:c>
      <x:c r="K872" t="str">
        <x:v>(6:59) 27-J.Mason up the middle to MIN 24 for 4 yards (53-Z.Baun).</x:v>
      </x:c>
      <x:c r="L872" t="str">
        <x:v>run</x:v>
      </x:c>
      <x:c r="M872" t="n">
        <x:v>4</x:v>
      </x:c>
      <x:c r="N872" t="n">
        <x:v>0</x:v>
      </x:c>
      <x:c r="O872" t="n">
        <x:v>0</x:v>
      </x:c>
      <x:c r="P872"/>
      <x:c r="Q872"/>
      <x:c r="R872"/>
      <x:c r="S872"/>
      <x:c r="T872" t="str">
        <x:v>middle</x:v>
      </x:c>
      <x:c r="U872"/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/>
      <x:c r="AC872" t="n">
        <x:v>0</x:v>
      </x:c>
      <x:c r="AD872" t="n">
        <x:v>-0.3285243911668658</x:v>
      </x:c>
      <x:c r="AE872" t="n">
        <x:v>0</x:v>
      </x:c>
      <x:c r="AF872" t="n">
        <x:v>-0.003171294927597046</x:v>
      </x:c>
      <x:c r="AG872" t="n">
        <x:f>_xlfn.XLOOKUP($A872,Games!$A$2:$A$18,Games!$B$2:$B$18,"Missing game",0)</x:f>
        <x:v>2025</x:v>
      </x:c>
      <x:c r="AH872" t="str">
        <x:f>_xlfn.XLOOKUP($A872,Games!$A$2:$A$18,Games!$C$2:$C$18,"Missing game",0)</x:f>
        <x:v>REG</x:v>
      </x:c>
      <x:c r="AI872" t="n">
        <x:f>_xlfn.XLOOKUP($A872,Games!$A$2:$A$18,Games!$D$2:$D$18,"Missing game",0)</x:f>
        <x:v>7</x:v>
      </x:c>
      <x:c r="AJ872" s="1" t="n">
        <x:f>_xlfn.XLOOKUP($A872,Games!$A$2:$A$18,Games!$E$2:$E$18,"Missing game",0)</x:f>
        <x:v>45949</x:v>
      </x:c>
      <x:c r="AK872" t="str">
        <x:f>_xlfn.XLOOKUP($A872,Games!$A$2:$A$18,Games!$F$2:$F$18,"Missing game",0)</x:f>
        <x:v>Sunday</x:v>
      </x:c>
      <x:c r="AL872" t="str">
        <x:f>_xlfn.XLOOKUP($A872,Games!$A$2:$A$18,Games!$G$2:$G$18,"Missing game",0)</x:f>
        <x:v>PHI</x:v>
      </x:c>
      <x:c r="AM872" t="n">
        <x:f>_xlfn.XLOOKUP($A872,Games!$A$2:$A$18,Games!$H$2:$H$18,"Missing game",0)</x:f>
        <x:v>28</x:v>
      </x:c>
      <x:c r="AN872" t="str">
        <x:f>_xlfn.XLOOKUP($A872,Games!$A$2:$A$18,Games!$I$2:$I$18,"Missing game",0)</x:f>
        <x:v>MIN</x:v>
      </x:c>
      <x:c r="AO872" t="n">
        <x:f>_xlfn.XLOOKUP($A872,Games!$A$2:$A$18,Games!$J$2:$J$18,"Missing game",0)</x:f>
        <x:v>22</x:v>
      </x:c>
      <x:c r="AP872" t="n">
        <x:f>_xlfn.XLOOKUP($A872,Games!$A$2:$A$18,Games!$K$2:$K$18,"Missing game",0)</x:f>
        <x:v>-6</x:v>
      </x:c>
      <x:c r="AQ872" t="n">
        <x:f>_xlfn.XLOOKUP($A872,Games!$A$2:$A$18,Games!$L$2:$L$18,"Missing game",0)</x:f>
        <x:v>50</x:v>
      </x:c>
      <x:c r="AR872" t="n">
        <x:f>_xlfn.XLOOKUP($A872,Games!$A$2:$A$18,Games!$M$2:$M$18,"Missing game",0)</x:f>
        <x:v>0</x:v>
      </x:c>
      <x:c r="AS872" t="str">
        <x:f>_xlfn.XLOOKUP($A872,Games!$A$2:$A$18,Games!$N$2:$N$18,"Missing game",0)</x:f>
        <x:v>dome</x:v>
      </x:c>
      <x:c r="AT872" t="str">
        <x:f>_xlfn.XLOOKUP($A872,Games!$A$2:$A$18,Games!$O$2:$O$18,"Missing game",0)</x:f>
        <x:v>sportturf</x:v>
      </x:c>
      <x:c r="AU872" t="str">
        <x:f>_xlfn.XLOOKUP($A872,Games!$A$2:$A$18,Games!$P$2:$P$18,"Missing game",0)</x:f>
      </x:c>
      <x:c r="AV872" t="str">
        <x:f>_xlfn.XLOOKUP($A872,Games!$A$2:$A$18,Games!$Q$2:$Q$18,"Missing game",0)</x:f>
      </x:c>
      <x:c r="AW872" t="str">
        <x:f>_xlfn.XLOOKUP($A872,Games!$A$2:$A$18,Games!$R$2:$R$18,"Missing game",0)</x:f>
        <x:v>U.S. Bank Stadium</x:v>
      </x:c>
    </x:row>
    <x:row r="873">
      <x:c r="A873" t="str">
        <x:v>2025_07_PHI_MIN</x:v>
      </x:c>
      <x:c r="B873" t="n">
        <x:v>422</x:v>
      </x:c>
      <x:c r="C873" t="n">
        <x:v>1</x:v>
      </x:c>
      <x:c r="D873" t="str">
        <x:v>06:21</x:v>
      </x:c>
      <x:c r="E873" t="n">
        <x:v>2</x:v>
      </x:c>
      <x:c r="F873" t="n">
        <x:v>6</x:v>
      </x:c>
      <x:c r="G873" t="str">
        <x:v>MIN</x:v>
      </x:c>
      <x:c r="H873" t="str">
        <x:v>PHI</x:v>
      </x:c>
      <x:c r="I873" t="str">
        <x:v>MIN</x:v>
      </x:c>
      <x:c r="J873" t="n">
        <x:v>76</x:v>
      </x:c>
      <x:c r="K873" t="str">
        <x:v>(6:21) (Shotgun) 11-C.Wentz pass incomplete short right to 87-T.Hockenson.</x:v>
      </x:c>
      <x:c r="L873" t="str">
        <x:v>pass</x:v>
      </x:c>
      <x:c r="M873" t="n">
        <x:v>0</x:v>
      </x:c>
      <x:c r="N873" t="n">
        <x:v>1</x:v>
      </x:c>
      <x:c r="O873" t="n">
        <x:v>0</x:v>
      </x:c>
      <x:c r="P873" t="str">
        <x:v>short</x:v>
      </x:c>
      <x:c r="Q873" t="str">
        <x:v>right</x:v>
      </x:c>
      <x:c r="R873" t="n">
        <x:v>-3</x:v>
      </x:c>
      <x:c r="S873"/>
      <x:c r="T873"/>
      <x:c r="U873"/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/>
      <x:c r="AC873" t="n">
        <x:v>0</x:v>
      </x:c>
      <x:c r="AD873" t="n">
        <x:v>-0.8181084590032697</x:v>
      </x:c>
      <x:c r="AE873" t="n">
        <x:v>0</x:v>
      </x:c>
      <x:c r="AF873" t="n">
        <x:v>-0.010678142309188843</x:v>
      </x:c>
      <x:c r="AG873" t="n">
        <x:f>_xlfn.XLOOKUP($A873,Games!$A$2:$A$18,Games!$B$2:$B$18,"Missing game",0)</x:f>
        <x:v>2025</x:v>
      </x:c>
      <x:c r="AH873" t="str">
        <x:f>_xlfn.XLOOKUP($A873,Games!$A$2:$A$18,Games!$C$2:$C$18,"Missing game",0)</x:f>
        <x:v>REG</x:v>
      </x:c>
      <x:c r="AI873" t="n">
        <x:f>_xlfn.XLOOKUP($A873,Games!$A$2:$A$18,Games!$D$2:$D$18,"Missing game",0)</x:f>
        <x:v>7</x:v>
      </x:c>
      <x:c r="AJ873" s="1" t="n">
        <x:f>_xlfn.XLOOKUP($A873,Games!$A$2:$A$18,Games!$E$2:$E$18,"Missing game",0)</x:f>
        <x:v>45949</x:v>
      </x:c>
      <x:c r="AK873" t="str">
        <x:f>_xlfn.XLOOKUP($A873,Games!$A$2:$A$18,Games!$F$2:$F$18,"Missing game",0)</x:f>
        <x:v>Sunday</x:v>
      </x:c>
      <x:c r="AL873" t="str">
        <x:f>_xlfn.XLOOKUP($A873,Games!$A$2:$A$18,Games!$G$2:$G$18,"Missing game",0)</x:f>
        <x:v>PHI</x:v>
      </x:c>
      <x:c r="AM873" t="n">
        <x:f>_xlfn.XLOOKUP($A873,Games!$A$2:$A$18,Games!$H$2:$H$18,"Missing game",0)</x:f>
        <x:v>28</x:v>
      </x:c>
      <x:c r="AN873" t="str">
        <x:f>_xlfn.XLOOKUP($A873,Games!$A$2:$A$18,Games!$I$2:$I$18,"Missing game",0)</x:f>
        <x:v>MIN</x:v>
      </x:c>
      <x:c r="AO873" t="n">
        <x:f>_xlfn.XLOOKUP($A873,Games!$A$2:$A$18,Games!$J$2:$J$18,"Missing game",0)</x:f>
        <x:v>22</x:v>
      </x:c>
      <x:c r="AP873" t="n">
        <x:f>_xlfn.XLOOKUP($A873,Games!$A$2:$A$18,Games!$K$2:$K$18,"Missing game",0)</x:f>
        <x:v>-6</x:v>
      </x:c>
      <x:c r="AQ873" t="n">
        <x:f>_xlfn.XLOOKUP($A873,Games!$A$2:$A$18,Games!$L$2:$L$18,"Missing game",0)</x:f>
        <x:v>50</x:v>
      </x:c>
      <x:c r="AR873" t="n">
        <x:f>_xlfn.XLOOKUP($A873,Games!$A$2:$A$18,Games!$M$2:$M$18,"Missing game",0)</x:f>
        <x:v>0</x:v>
      </x:c>
      <x:c r="AS873" t="str">
        <x:f>_xlfn.XLOOKUP($A873,Games!$A$2:$A$18,Games!$N$2:$N$18,"Missing game",0)</x:f>
        <x:v>dome</x:v>
      </x:c>
      <x:c r="AT873" t="str">
        <x:f>_xlfn.XLOOKUP($A873,Games!$A$2:$A$18,Games!$O$2:$O$18,"Missing game",0)</x:f>
        <x:v>sportturf</x:v>
      </x:c>
      <x:c r="AU873" t="str">
        <x:f>_xlfn.XLOOKUP($A873,Games!$A$2:$A$18,Games!$P$2:$P$18,"Missing game",0)</x:f>
      </x:c>
      <x:c r="AV873" t="str">
        <x:f>_xlfn.XLOOKUP($A873,Games!$A$2:$A$18,Games!$Q$2:$Q$18,"Missing game",0)</x:f>
      </x:c>
      <x:c r="AW873" t="str">
        <x:f>_xlfn.XLOOKUP($A873,Games!$A$2:$A$18,Games!$R$2:$R$18,"Missing game",0)</x:f>
        <x:v>U.S. Bank Stadium</x:v>
      </x:c>
    </x:row>
    <x:row r="874">
      <x:c r="A874" t="str">
        <x:v>2025_07_PHI_MIN</x:v>
      </x:c>
      <x:c r="B874" t="n">
        <x:v>445</x:v>
      </x:c>
      <x:c r="C874" t="n">
        <x:v>1</x:v>
      </x:c>
      <x:c r="D874" t="str">
        <x:v>06:16</x:v>
      </x:c>
      <x:c r="E874" t="n">
        <x:v>3</x:v>
      </x:c>
      <x:c r="F874" t="n">
        <x:v>6</x:v>
      </x:c>
      <x:c r="G874" t="str">
        <x:v>MIN</x:v>
      </x:c>
      <x:c r="H874" t="str">
        <x:v>PHI</x:v>
      </x:c>
      <x:c r="I874" t="str">
        <x:v>MIN</x:v>
      </x:c>
      <x:c r="J874" t="n">
        <x:v>76</x:v>
      </x:c>
      <x:c r="K874" t="str">
        <x:v>(6:16) (Shotgun) 11-C.Wentz pass short left to 19-A.Thielen to MIN 34 for 10 yards (8-A.Jackson).</x:v>
      </x:c>
      <x:c r="L874" t="str">
        <x:v>pass</x:v>
      </x:c>
      <x:c r="M874" t="n">
        <x:v>10</x:v>
      </x:c>
      <x:c r="N874" t="n">
        <x:v>1</x:v>
      </x:c>
      <x:c r="O874" t="n">
        <x:v>0</x:v>
      </x:c>
      <x:c r="P874" t="str">
        <x:v>short</x:v>
      </x:c>
      <x:c r="Q874" t="str">
        <x:v>left</x:v>
      </x:c>
      <x:c r="R874" t="n">
        <x:v>8</x:v>
      </x:c>
      <x:c r="S874" t="n">
        <x:v>2</x:v>
      </x:c>
      <x:c r="T874"/>
      <x:c r="U874"/>
      <x:c r="V874" t="n">
        <x:v>1</x:v>
      </x:c>
      <x:c r="W874" t="n">
        <x:v>1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/>
      <x:c r="AC874" t="n">
        <x:v>0</x:v>
      </x:c>
      <x:c r="AD874" t="n">
        <x:v>2.0578995717223734</x:v>
      </x:c>
      <x:c r="AE874" t="n">
        <x:v>1</x:v>
      </x:c>
      <x:c r="AF874" t="n">
        <x:v>0.04283696413040161</x:v>
      </x:c>
      <x:c r="AG874" t="n">
        <x:f>_xlfn.XLOOKUP($A874,Games!$A$2:$A$18,Games!$B$2:$B$18,"Missing game",0)</x:f>
        <x:v>2025</x:v>
      </x:c>
      <x:c r="AH874" t="str">
        <x:f>_xlfn.XLOOKUP($A874,Games!$A$2:$A$18,Games!$C$2:$C$18,"Missing game",0)</x:f>
        <x:v>REG</x:v>
      </x:c>
      <x:c r="AI874" t="n">
        <x:f>_xlfn.XLOOKUP($A874,Games!$A$2:$A$18,Games!$D$2:$D$18,"Missing game",0)</x:f>
        <x:v>7</x:v>
      </x:c>
      <x:c r="AJ874" s="1" t="n">
        <x:f>_xlfn.XLOOKUP($A874,Games!$A$2:$A$18,Games!$E$2:$E$18,"Missing game",0)</x:f>
        <x:v>45949</x:v>
      </x:c>
      <x:c r="AK874" t="str">
        <x:f>_xlfn.XLOOKUP($A874,Games!$A$2:$A$18,Games!$F$2:$F$18,"Missing game",0)</x:f>
        <x:v>Sunday</x:v>
      </x:c>
      <x:c r="AL874" t="str">
        <x:f>_xlfn.XLOOKUP($A874,Games!$A$2:$A$18,Games!$G$2:$G$18,"Missing game",0)</x:f>
        <x:v>PHI</x:v>
      </x:c>
      <x:c r="AM874" t="n">
        <x:f>_xlfn.XLOOKUP($A874,Games!$A$2:$A$18,Games!$H$2:$H$18,"Missing game",0)</x:f>
        <x:v>28</x:v>
      </x:c>
      <x:c r="AN874" t="str">
        <x:f>_xlfn.XLOOKUP($A874,Games!$A$2:$A$18,Games!$I$2:$I$18,"Missing game",0)</x:f>
        <x:v>MIN</x:v>
      </x:c>
      <x:c r="AO874" t="n">
        <x:f>_xlfn.XLOOKUP($A874,Games!$A$2:$A$18,Games!$J$2:$J$18,"Missing game",0)</x:f>
        <x:v>22</x:v>
      </x:c>
      <x:c r="AP874" t="n">
        <x:f>_xlfn.XLOOKUP($A874,Games!$A$2:$A$18,Games!$K$2:$K$18,"Missing game",0)</x:f>
        <x:v>-6</x:v>
      </x:c>
      <x:c r="AQ874" t="n">
        <x:f>_xlfn.XLOOKUP($A874,Games!$A$2:$A$18,Games!$L$2:$L$18,"Missing game",0)</x:f>
        <x:v>50</x:v>
      </x:c>
      <x:c r="AR874" t="n">
        <x:f>_xlfn.XLOOKUP($A874,Games!$A$2:$A$18,Games!$M$2:$M$18,"Missing game",0)</x:f>
        <x:v>0</x:v>
      </x:c>
      <x:c r="AS874" t="str">
        <x:f>_xlfn.XLOOKUP($A874,Games!$A$2:$A$18,Games!$N$2:$N$18,"Missing game",0)</x:f>
        <x:v>dome</x:v>
      </x:c>
      <x:c r="AT874" t="str">
        <x:f>_xlfn.XLOOKUP($A874,Games!$A$2:$A$18,Games!$O$2:$O$18,"Missing game",0)</x:f>
        <x:v>sportturf</x:v>
      </x:c>
      <x:c r="AU874" t="str">
        <x:f>_xlfn.XLOOKUP($A874,Games!$A$2:$A$18,Games!$P$2:$P$18,"Missing game",0)</x:f>
      </x:c>
      <x:c r="AV874" t="str">
        <x:f>_xlfn.XLOOKUP($A874,Games!$A$2:$A$18,Games!$Q$2:$Q$18,"Missing game",0)</x:f>
      </x:c>
      <x:c r="AW874" t="str">
        <x:f>_xlfn.XLOOKUP($A874,Games!$A$2:$A$18,Games!$R$2:$R$18,"Missing game",0)</x:f>
        <x:v>U.S. Bank Stadium</x:v>
      </x:c>
    </x:row>
    <x:row r="875">
      <x:c r="A875" t="str">
        <x:v>2025_07_PHI_MIN</x:v>
      </x:c>
      <x:c r="B875" t="n">
        <x:v>470</x:v>
      </x:c>
      <x:c r="C875" t="n">
        <x:v>1</x:v>
      </x:c>
      <x:c r="D875" t="str">
        <x:v>05:36</x:v>
      </x:c>
      <x:c r="E875" t="n">
        <x:v>1</x:v>
      </x:c>
      <x:c r="F875" t="n">
        <x:v>10</x:v>
      </x:c>
      <x:c r="G875" t="str">
        <x:v>MIN</x:v>
      </x:c>
      <x:c r="H875" t="str">
        <x:v>PHI</x:v>
      </x:c>
      <x:c r="I875" t="str">
        <x:v>MIN</x:v>
      </x:c>
      <x:c r="J875" t="n">
        <x:v>66</x:v>
      </x:c>
      <x:c r="K875" t="str">
        <x:v>(5:36) 11-C.Wentz pass deep right to 3-J.Addison ran ob at PHI 32 for 34 yards.</x:v>
      </x:c>
      <x:c r="L875" t="str">
        <x:v>pass</x:v>
      </x:c>
      <x:c r="M875" t="n">
        <x:v>34</x:v>
      </x:c>
      <x:c r="N875" t="n">
        <x:v>0</x:v>
      </x:c>
      <x:c r="O875" t="n">
        <x:v>0</x:v>
      </x:c>
      <x:c r="P875" t="str">
        <x:v>deep</x:v>
      </x:c>
      <x:c r="Q875" t="str">
        <x:v>right</x:v>
      </x:c>
      <x:c r="R875" t="n">
        <x:v>34</x:v>
      </x:c>
      <x:c r="S875" t="n">
        <x:v>0</x:v>
      </x:c>
      <x:c r="T875"/>
      <x:c r="U875"/>
      <x:c r="V875" t="n">
        <x:v>1</x:v>
      </x:c>
      <x:c r="W875" t="n">
        <x:v>1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/>
      <x:c r="AC875" t="n">
        <x:v>0</x:v>
      </x:c>
      <x:c r="AD875" t="n">
        <x:v>2.015434557222761</x:v>
      </x:c>
      <x:c r="AE875" t="n">
        <x:v>1</x:v>
      </x:c>
      <x:c r="AF875" t="n">
        <x:v>0.043409764766693115</x:v>
      </x:c>
      <x:c r="AG875" t="n">
        <x:f>_xlfn.XLOOKUP($A875,Games!$A$2:$A$18,Games!$B$2:$B$18,"Missing game",0)</x:f>
        <x:v>2025</x:v>
      </x:c>
      <x:c r="AH875" t="str">
        <x:f>_xlfn.XLOOKUP($A875,Games!$A$2:$A$18,Games!$C$2:$C$18,"Missing game",0)</x:f>
        <x:v>REG</x:v>
      </x:c>
      <x:c r="AI875" t="n">
        <x:f>_xlfn.XLOOKUP($A875,Games!$A$2:$A$18,Games!$D$2:$D$18,"Missing game",0)</x:f>
        <x:v>7</x:v>
      </x:c>
      <x:c r="AJ875" s="1" t="n">
        <x:f>_xlfn.XLOOKUP($A875,Games!$A$2:$A$18,Games!$E$2:$E$18,"Missing game",0)</x:f>
        <x:v>45949</x:v>
      </x:c>
      <x:c r="AK875" t="str">
        <x:f>_xlfn.XLOOKUP($A875,Games!$A$2:$A$18,Games!$F$2:$F$18,"Missing game",0)</x:f>
        <x:v>Sunday</x:v>
      </x:c>
      <x:c r="AL875" t="str">
        <x:f>_xlfn.XLOOKUP($A875,Games!$A$2:$A$18,Games!$G$2:$G$18,"Missing game",0)</x:f>
        <x:v>PHI</x:v>
      </x:c>
      <x:c r="AM875" t="n">
        <x:f>_xlfn.XLOOKUP($A875,Games!$A$2:$A$18,Games!$H$2:$H$18,"Missing game",0)</x:f>
        <x:v>28</x:v>
      </x:c>
      <x:c r="AN875" t="str">
        <x:f>_xlfn.XLOOKUP($A875,Games!$A$2:$A$18,Games!$I$2:$I$18,"Missing game",0)</x:f>
        <x:v>MIN</x:v>
      </x:c>
      <x:c r="AO875" t="n">
        <x:f>_xlfn.XLOOKUP($A875,Games!$A$2:$A$18,Games!$J$2:$J$18,"Missing game",0)</x:f>
        <x:v>22</x:v>
      </x:c>
      <x:c r="AP875" t="n">
        <x:f>_xlfn.XLOOKUP($A875,Games!$A$2:$A$18,Games!$K$2:$K$18,"Missing game",0)</x:f>
        <x:v>-6</x:v>
      </x:c>
      <x:c r="AQ875" t="n">
        <x:f>_xlfn.XLOOKUP($A875,Games!$A$2:$A$18,Games!$L$2:$L$18,"Missing game",0)</x:f>
        <x:v>50</x:v>
      </x:c>
      <x:c r="AR875" t="n">
        <x:f>_xlfn.XLOOKUP($A875,Games!$A$2:$A$18,Games!$M$2:$M$18,"Missing game",0)</x:f>
        <x:v>0</x:v>
      </x:c>
      <x:c r="AS875" t="str">
        <x:f>_xlfn.XLOOKUP($A875,Games!$A$2:$A$18,Games!$N$2:$N$18,"Missing game",0)</x:f>
        <x:v>dome</x:v>
      </x:c>
      <x:c r="AT875" t="str">
        <x:f>_xlfn.XLOOKUP($A875,Games!$A$2:$A$18,Games!$O$2:$O$18,"Missing game",0)</x:f>
        <x:v>sportturf</x:v>
      </x:c>
      <x:c r="AU875" t="str">
        <x:f>_xlfn.XLOOKUP($A875,Games!$A$2:$A$18,Games!$P$2:$P$18,"Missing game",0)</x:f>
      </x:c>
      <x:c r="AV875" t="str">
        <x:f>_xlfn.XLOOKUP($A875,Games!$A$2:$A$18,Games!$Q$2:$Q$18,"Missing game",0)</x:f>
      </x:c>
      <x:c r="AW875" t="str">
        <x:f>_xlfn.XLOOKUP($A875,Games!$A$2:$A$18,Games!$R$2:$R$18,"Missing game",0)</x:f>
        <x:v>U.S. Bank Stadium</x:v>
      </x:c>
    </x:row>
    <x:row r="876">
      <x:c r="A876" t="str">
        <x:v>2025_07_PHI_MIN</x:v>
      </x:c>
      <x:c r="B876" t="n">
        <x:v>500</x:v>
      </x:c>
      <x:c r="C876" t="n">
        <x:v>1</x:v>
      </x:c>
      <x:c r="D876" t="str">
        <x:v>05:06</x:v>
      </x:c>
      <x:c r="E876" t="n">
        <x:v>1</x:v>
      </x:c>
      <x:c r="F876" t="n">
        <x:v>10</x:v>
      </x:c>
      <x:c r="G876" t="str">
        <x:v>MIN</x:v>
      </x:c>
      <x:c r="H876" t="str">
        <x:v>PHI</x:v>
      </x:c>
      <x:c r="I876" t="str">
        <x:v>PHI</x:v>
      </x:c>
      <x:c r="J876" t="n">
        <x:v>32</x:v>
      </x:c>
      <x:c r="K876" t="str">
        <x:v>(5:06) (No Huddle, Shotgun) 11-C.Wentz pass short right to 3-J.Addison to PHI 26 for 6 yards (27-Q.Mitchell).</x:v>
      </x:c>
      <x:c r="L876" t="str">
        <x:v>pass</x:v>
      </x:c>
      <x:c r="M876" t="n">
        <x:v>6</x:v>
      </x:c>
      <x:c r="N876" t="n">
        <x:v>1</x:v>
      </x:c>
      <x:c r="O876" t="n">
        <x:v>1</x:v>
      </x:c>
      <x:c r="P876" t="str">
        <x:v>short</x:v>
      </x:c>
      <x:c r="Q876" t="str">
        <x:v>right</x:v>
      </x:c>
      <x:c r="R876" t="n">
        <x:v>6</x:v>
      </x:c>
      <x:c r="S876" t="n">
        <x:v>0</x:v>
      </x:c>
      <x:c r="T876"/>
      <x:c r="U876"/>
      <x:c r="V876" t="n">
        <x:v>1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/>
      <x:c r="AC876" t="n">
        <x:v>0</x:v>
      </x:c>
      <x:c r="AD876" t="n">
        <x:v>0.2572179305134341</x:v>
      </x:c>
      <x:c r="AE876" t="n">
        <x:v>1</x:v>
      </x:c>
      <x:c r="AF876" t="n">
        <x:v>0.02156829833984375</x:v>
      </x:c>
      <x:c r="AG876" t="n">
        <x:f>_xlfn.XLOOKUP($A876,Games!$A$2:$A$18,Games!$B$2:$B$18,"Missing game",0)</x:f>
        <x:v>2025</x:v>
      </x:c>
      <x:c r="AH876" t="str">
        <x:f>_xlfn.XLOOKUP($A876,Games!$A$2:$A$18,Games!$C$2:$C$18,"Missing game",0)</x:f>
        <x:v>REG</x:v>
      </x:c>
      <x:c r="AI876" t="n">
        <x:f>_xlfn.XLOOKUP($A876,Games!$A$2:$A$18,Games!$D$2:$D$18,"Missing game",0)</x:f>
        <x:v>7</x:v>
      </x:c>
      <x:c r="AJ876" s="1" t="n">
        <x:f>_xlfn.XLOOKUP($A876,Games!$A$2:$A$18,Games!$E$2:$E$18,"Missing game",0)</x:f>
        <x:v>45949</x:v>
      </x:c>
      <x:c r="AK876" t="str">
        <x:f>_xlfn.XLOOKUP($A876,Games!$A$2:$A$18,Games!$F$2:$F$18,"Missing game",0)</x:f>
        <x:v>Sunday</x:v>
      </x:c>
      <x:c r="AL876" t="str">
        <x:f>_xlfn.XLOOKUP($A876,Games!$A$2:$A$18,Games!$G$2:$G$18,"Missing game",0)</x:f>
        <x:v>PHI</x:v>
      </x:c>
      <x:c r="AM876" t="n">
        <x:f>_xlfn.XLOOKUP($A876,Games!$A$2:$A$18,Games!$H$2:$H$18,"Missing game",0)</x:f>
        <x:v>28</x:v>
      </x:c>
      <x:c r="AN876" t="str">
        <x:f>_xlfn.XLOOKUP($A876,Games!$A$2:$A$18,Games!$I$2:$I$18,"Missing game",0)</x:f>
        <x:v>MIN</x:v>
      </x:c>
      <x:c r="AO876" t="n">
        <x:f>_xlfn.XLOOKUP($A876,Games!$A$2:$A$18,Games!$J$2:$J$18,"Missing game",0)</x:f>
        <x:v>22</x:v>
      </x:c>
      <x:c r="AP876" t="n">
        <x:f>_xlfn.XLOOKUP($A876,Games!$A$2:$A$18,Games!$K$2:$K$18,"Missing game",0)</x:f>
        <x:v>-6</x:v>
      </x:c>
      <x:c r="AQ876" t="n">
        <x:f>_xlfn.XLOOKUP($A876,Games!$A$2:$A$18,Games!$L$2:$L$18,"Missing game",0)</x:f>
        <x:v>50</x:v>
      </x:c>
      <x:c r="AR876" t="n">
        <x:f>_xlfn.XLOOKUP($A876,Games!$A$2:$A$18,Games!$M$2:$M$18,"Missing game",0)</x:f>
        <x:v>0</x:v>
      </x:c>
      <x:c r="AS876" t="str">
        <x:f>_xlfn.XLOOKUP($A876,Games!$A$2:$A$18,Games!$N$2:$N$18,"Missing game",0)</x:f>
        <x:v>dome</x:v>
      </x:c>
      <x:c r="AT876" t="str">
        <x:f>_xlfn.XLOOKUP($A876,Games!$A$2:$A$18,Games!$O$2:$O$18,"Missing game",0)</x:f>
        <x:v>sportturf</x:v>
      </x:c>
      <x:c r="AU876" t="str">
        <x:f>_xlfn.XLOOKUP($A876,Games!$A$2:$A$18,Games!$P$2:$P$18,"Missing game",0)</x:f>
      </x:c>
      <x:c r="AV876" t="str">
        <x:f>_xlfn.XLOOKUP($A876,Games!$A$2:$A$18,Games!$Q$2:$Q$18,"Missing game",0)</x:f>
      </x:c>
      <x:c r="AW876" t="str">
        <x:f>_xlfn.XLOOKUP($A876,Games!$A$2:$A$18,Games!$R$2:$R$18,"Missing game",0)</x:f>
        <x:v>U.S. Bank Stadium</x:v>
      </x:c>
    </x:row>
    <x:row r="877">
      <x:c r="A877" t="str">
        <x:v>2025_07_PHI_MIN</x:v>
      </x:c>
      <x:c r="B877" t="n">
        <x:v>525</x:v>
      </x:c>
      <x:c r="C877" t="n">
        <x:v>1</x:v>
      </x:c>
      <x:c r="D877" t="str">
        <x:v>04:24</x:v>
      </x:c>
      <x:c r="E877" t="n">
        <x:v>2</x:v>
      </x:c>
      <x:c r="F877" t="n">
        <x:v>4</x:v>
      </x:c>
      <x:c r="G877" t="str">
        <x:v>MIN</x:v>
      </x:c>
      <x:c r="H877" t="str">
        <x:v>PHI</x:v>
      </x:c>
      <x:c r="I877" t="str">
        <x:v>PHI</x:v>
      </x:c>
      <x:c r="J877" t="n">
        <x:v>26</x:v>
      </x:c>
      <x:c r="K877" t="str">
        <x:v>(4:24) 27-J.Mason up the middle to PHI 23 for 3 yards (98-J.Carter).</x:v>
      </x:c>
      <x:c r="L877" t="str">
        <x:v>run</x:v>
      </x:c>
      <x:c r="M877" t="n">
        <x:v>3</x:v>
      </x:c>
      <x:c r="N877" t="n">
        <x:v>0</x:v>
      </x:c>
      <x:c r="O877" t="n">
        <x:v>0</x:v>
      </x:c>
      <x:c r="P877"/>
      <x:c r="Q877"/>
      <x:c r="R877"/>
      <x:c r="S877"/>
      <x:c r="T877" t="str">
        <x:v>middle</x:v>
      </x:c>
      <x:c r="U877"/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/>
      <x:c r="AC877" t="n">
        <x:v>0</x:v>
      </x:c>
      <x:c r="AD877" t="n">
        <x:v>0.03397209011018276</x:v>
      </x:c>
      <x:c r="AE877" t="n">
        <x:v>1</x:v>
      </x:c>
      <x:c r="AF877" t="n">
        <x:v>-0.00630110502243042</x:v>
      </x:c>
      <x:c r="AG877" t="n">
        <x:f>_xlfn.XLOOKUP($A877,Games!$A$2:$A$18,Games!$B$2:$B$18,"Missing game",0)</x:f>
        <x:v>2025</x:v>
      </x:c>
      <x:c r="AH877" t="str">
        <x:f>_xlfn.XLOOKUP($A877,Games!$A$2:$A$18,Games!$C$2:$C$18,"Missing game",0)</x:f>
        <x:v>REG</x:v>
      </x:c>
      <x:c r="AI877" t="n">
        <x:f>_xlfn.XLOOKUP($A877,Games!$A$2:$A$18,Games!$D$2:$D$18,"Missing game",0)</x:f>
        <x:v>7</x:v>
      </x:c>
      <x:c r="AJ877" s="1" t="n">
        <x:f>_xlfn.XLOOKUP($A877,Games!$A$2:$A$18,Games!$E$2:$E$18,"Missing game",0)</x:f>
        <x:v>45949</x:v>
      </x:c>
      <x:c r="AK877" t="str">
        <x:f>_xlfn.XLOOKUP($A877,Games!$A$2:$A$18,Games!$F$2:$F$18,"Missing game",0)</x:f>
        <x:v>Sunday</x:v>
      </x:c>
      <x:c r="AL877" t="str">
        <x:f>_xlfn.XLOOKUP($A877,Games!$A$2:$A$18,Games!$G$2:$G$18,"Missing game",0)</x:f>
        <x:v>PHI</x:v>
      </x:c>
      <x:c r="AM877" t="n">
        <x:f>_xlfn.XLOOKUP($A877,Games!$A$2:$A$18,Games!$H$2:$H$18,"Missing game",0)</x:f>
        <x:v>28</x:v>
      </x:c>
      <x:c r="AN877" t="str">
        <x:f>_xlfn.XLOOKUP($A877,Games!$A$2:$A$18,Games!$I$2:$I$18,"Missing game",0)</x:f>
        <x:v>MIN</x:v>
      </x:c>
      <x:c r="AO877" t="n">
        <x:f>_xlfn.XLOOKUP($A877,Games!$A$2:$A$18,Games!$J$2:$J$18,"Missing game",0)</x:f>
        <x:v>22</x:v>
      </x:c>
      <x:c r="AP877" t="n">
        <x:f>_xlfn.XLOOKUP($A877,Games!$A$2:$A$18,Games!$K$2:$K$18,"Missing game",0)</x:f>
        <x:v>-6</x:v>
      </x:c>
      <x:c r="AQ877" t="n">
        <x:f>_xlfn.XLOOKUP($A877,Games!$A$2:$A$18,Games!$L$2:$L$18,"Missing game",0)</x:f>
        <x:v>50</x:v>
      </x:c>
      <x:c r="AR877" t="n">
        <x:f>_xlfn.XLOOKUP($A877,Games!$A$2:$A$18,Games!$M$2:$M$18,"Missing game",0)</x:f>
        <x:v>0</x:v>
      </x:c>
      <x:c r="AS877" t="str">
        <x:f>_xlfn.XLOOKUP($A877,Games!$A$2:$A$18,Games!$N$2:$N$18,"Missing game",0)</x:f>
        <x:v>dome</x:v>
      </x:c>
      <x:c r="AT877" t="str">
        <x:f>_xlfn.XLOOKUP($A877,Games!$A$2:$A$18,Games!$O$2:$O$18,"Missing game",0)</x:f>
        <x:v>sportturf</x:v>
      </x:c>
      <x:c r="AU877" t="str">
        <x:f>_xlfn.XLOOKUP($A877,Games!$A$2:$A$18,Games!$P$2:$P$18,"Missing game",0)</x:f>
      </x:c>
      <x:c r="AV877" t="str">
        <x:f>_xlfn.XLOOKUP($A877,Games!$A$2:$A$18,Games!$Q$2:$Q$18,"Missing game",0)</x:f>
      </x:c>
      <x:c r="AW877" t="str">
        <x:f>_xlfn.XLOOKUP($A877,Games!$A$2:$A$18,Games!$R$2:$R$18,"Missing game",0)</x:f>
        <x:v>U.S. Bank Stadium</x:v>
      </x:c>
    </x:row>
    <x:row r="878">
      <x:c r="A878" t="str">
        <x:v>2025_07_PHI_MIN</x:v>
      </x:c>
      <x:c r="B878" t="n">
        <x:v>547</x:v>
      </x:c>
      <x:c r="C878" t="n">
        <x:v>1</x:v>
      </x:c>
      <x:c r="D878" t="str">
        <x:v>03:48</x:v>
      </x:c>
      <x:c r="E878" t="n">
        <x:v>3</x:v>
      </x:c>
      <x:c r="F878" t="n">
        <x:v>1</x:v>
      </x:c>
      <x:c r="G878" t="str">
        <x:v>MIN</x:v>
      </x:c>
      <x:c r="H878" t="str">
        <x:v>PHI</x:v>
      </x:c>
      <x:c r="I878" t="str">
        <x:v>PHI</x:v>
      </x:c>
      <x:c r="J878" t="n">
        <x:v>23</x:v>
      </x:c>
      <x:c r="K878" t="str">
        <x:v>(3:48) 27-J.Mason up the middle to PHI 19 for 4 yards (0-J.Uche; 53-Z.Baun).</x:v>
      </x:c>
      <x:c r="L878" t="str">
        <x:v>run</x:v>
      </x:c>
      <x:c r="M878" t="n">
        <x:v>4</x:v>
      </x:c>
      <x:c r="N878" t="n">
        <x:v>0</x:v>
      </x:c>
      <x:c r="O878" t="n">
        <x:v>0</x:v>
      </x:c>
      <x:c r="P878"/>
      <x:c r="Q878"/>
      <x:c r="R878"/>
      <x:c r="S878"/>
      <x:c r="T878" t="str">
        <x:v>middle</x:v>
      </x:c>
      <x:c r="U878"/>
      <x:c r="V878" t="n">
        <x:v>0</x:v>
      </x:c>
      <x:c r="W878" t="n">
        <x:v>1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/>
      <x:c r="AC878" t="n">
        <x:v>0</x:v>
      </x:c>
      <x:c r="AD878" t="n">
        <x:v>0.5445683900034055</x:v>
      </x:c>
      <x:c r="AE878" t="n">
        <x:v>1</x:v>
      </x:c>
      <x:c r="AF878" t="n">
        <x:v>0.014273613691329956</x:v>
      </x:c>
      <x:c r="AG878" t="n">
        <x:f>_xlfn.XLOOKUP($A878,Games!$A$2:$A$18,Games!$B$2:$B$18,"Missing game",0)</x:f>
        <x:v>2025</x:v>
      </x:c>
      <x:c r="AH878" t="str">
        <x:f>_xlfn.XLOOKUP($A878,Games!$A$2:$A$18,Games!$C$2:$C$18,"Missing game",0)</x:f>
        <x:v>REG</x:v>
      </x:c>
      <x:c r="AI878" t="n">
        <x:f>_xlfn.XLOOKUP($A878,Games!$A$2:$A$18,Games!$D$2:$D$18,"Missing game",0)</x:f>
        <x:v>7</x:v>
      </x:c>
      <x:c r="AJ878" s="1" t="n">
        <x:f>_xlfn.XLOOKUP($A878,Games!$A$2:$A$18,Games!$E$2:$E$18,"Missing game",0)</x:f>
        <x:v>45949</x:v>
      </x:c>
      <x:c r="AK878" t="str">
        <x:f>_xlfn.XLOOKUP($A878,Games!$A$2:$A$18,Games!$F$2:$F$18,"Missing game",0)</x:f>
        <x:v>Sunday</x:v>
      </x:c>
      <x:c r="AL878" t="str">
        <x:f>_xlfn.XLOOKUP($A878,Games!$A$2:$A$18,Games!$G$2:$G$18,"Missing game",0)</x:f>
        <x:v>PHI</x:v>
      </x:c>
      <x:c r="AM878" t="n">
        <x:f>_xlfn.XLOOKUP($A878,Games!$A$2:$A$18,Games!$H$2:$H$18,"Missing game",0)</x:f>
        <x:v>28</x:v>
      </x:c>
      <x:c r="AN878" t="str">
        <x:f>_xlfn.XLOOKUP($A878,Games!$A$2:$A$18,Games!$I$2:$I$18,"Missing game",0)</x:f>
        <x:v>MIN</x:v>
      </x:c>
      <x:c r="AO878" t="n">
        <x:f>_xlfn.XLOOKUP($A878,Games!$A$2:$A$18,Games!$J$2:$J$18,"Missing game",0)</x:f>
        <x:v>22</x:v>
      </x:c>
      <x:c r="AP878" t="n">
        <x:f>_xlfn.XLOOKUP($A878,Games!$A$2:$A$18,Games!$K$2:$K$18,"Missing game",0)</x:f>
        <x:v>-6</x:v>
      </x:c>
      <x:c r="AQ878" t="n">
        <x:f>_xlfn.XLOOKUP($A878,Games!$A$2:$A$18,Games!$L$2:$L$18,"Missing game",0)</x:f>
        <x:v>50</x:v>
      </x:c>
      <x:c r="AR878" t="n">
        <x:f>_xlfn.XLOOKUP($A878,Games!$A$2:$A$18,Games!$M$2:$M$18,"Missing game",0)</x:f>
        <x:v>0</x:v>
      </x:c>
      <x:c r="AS878" t="str">
        <x:f>_xlfn.XLOOKUP($A878,Games!$A$2:$A$18,Games!$N$2:$N$18,"Missing game",0)</x:f>
        <x:v>dome</x:v>
      </x:c>
      <x:c r="AT878" t="str">
        <x:f>_xlfn.XLOOKUP($A878,Games!$A$2:$A$18,Games!$O$2:$O$18,"Missing game",0)</x:f>
        <x:v>sportturf</x:v>
      </x:c>
      <x:c r="AU878" t="str">
        <x:f>_xlfn.XLOOKUP($A878,Games!$A$2:$A$18,Games!$P$2:$P$18,"Missing game",0)</x:f>
      </x:c>
      <x:c r="AV878" t="str">
        <x:f>_xlfn.XLOOKUP($A878,Games!$A$2:$A$18,Games!$Q$2:$Q$18,"Missing game",0)</x:f>
      </x:c>
      <x:c r="AW878" t="str">
        <x:f>_xlfn.XLOOKUP($A878,Games!$A$2:$A$18,Games!$R$2:$R$18,"Missing game",0)</x:f>
        <x:v>U.S. Bank Stadium</x:v>
      </x:c>
    </x:row>
    <x:row r="879">
      <x:c r="A879" t="str">
        <x:v>2025_07_PHI_MIN</x:v>
      </x:c>
      <x:c r="B879" t="n">
        <x:v>569</x:v>
      </x:c>
      <x:c r="C879" t="n">
        <x:v>1</x:v>
      </x:c>
      <x:c r="D879" t="str">
        <x:v>03:06</x:v>
      </x:c>
      <x:c r="E879" t="n">
        <x:v>1</x:v>
      </x:c>
      <x:c r="F879" t="n">
        <x:v>10</x:v>
      </x:c>
      <x:c r="G879" t="str">
        <x:v>MIN</x:v>
      </x:c>
      <x:c r="H879" t="str">
        <x:v>PHI</x:v>
      </x:c>
      <x:c r="I879" t="str">
        <x:v>PHI</x:v>
      </x:c>
      <x:c r="J879" t="n">
        <x:v>19</x:v>
      </x:c>
      <x:c r="K879" t="str">
        <x:v>(3:06) 11-C.Wentz pass incomplete deep left to 3-J.Addison.</x:v>
      </x:c>
      <x:c r="L879" t="str">
        <x:v>pass</x:v>
      </x:c>
      <x:c r="M879" t="n">
        <x:v>0</x:v>
      </x:c>
      <x:c r="N879" t="n">
        <x:v>0</x:v>
      </x:c>
      <x:c r="O879" t="n">
        <x:v>0</x:v>
      </x:c>
      <x:c r="P879" t="str">
        <x:v>deep</x:v>
      </x:c>
      <x:c r="Q879" t="str">
        <x:v>left</x:v>
      </x:c>
      <x:c r="R879" t="n">
        <x:v>19</x:v>
      </x:c>
      <x:c r="S879"/>
      <x:c r="T879"/>
      <x:c r="U879"/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/>
      <x:c r="AC879" t="n">
        <x:v>0</x:v>
      </x:c>
      <x:c r="AD879" t="n">
        <x:v>-0.49646166840102524</x:v>
      </x:c>
      <x:c r="AE879" t="n">
        <x:v>0</x:v>
      </x:c>
      <x:c r="AF879" t="n">
        <x:v>-0.014055401086807251</x:v>
      </x:c>
      <x:c r="AG879" t="n">
        <x:f>_xlfn.XLOOKUP($A879,Games!$A$2:$A$18,Games!$B$2:$B$18,"Missing game",0)</x:f>
        <x:v>2025</x:v>
      </x:c>
      <x:c r="AH879" t="str">
        <x:f>_xlfn.XLOOKUP($A879,Games!$A$2:$A$18,Games!$C$2:$C$18,"Missing game",0)</x:f>
        <x:v>REG</x:v>
      </x:c>
      <x:c r="AI879" t="n">
        <x:f>_xlfn.XLOOKUP($A879,Games!$A$2:$A$18,Games!$D$2:$D$18,"Missing game",0)</x:f>
        <x:v>7</x:v>
      </x:c>
      <x:c r="AJ879" s="1" t="n">
        <x:f>_xlfn.XLOOKUP($A879,Games!$A$2:$A$18,Games!$E$2:$E$18,"Missing game",0)</x:f>
        <x:v>45949</x:v>
      </x:c>
      <x:c r="AK879" t="str">
        <x:f>_xlfn.XLOOKUP($A879,Games!$A$2:$A$18,Games!$F$2:$F$18,"Missing game",0)</x:f>
        <x:v>Sunday</x:v>
      </x:c>
      <x:c r="AL879" t="str">
        <x:f>_xlfn.XLOOKUP($A879,Games!$A$2:$A$18,Games!$G$2:$G$18,"Missing game",0)</x:f>
        <x:v>PHI</x:v>
      </x:c>
      <x:c r="AM879" t="n">
        <x:f>_xlfn.XLOOKUP($A879,Games!$A$2:$A$18,Games!$H$2:$H$18,"Missing game",0)</x:f>
        <x:v>28</x:v>
      </x:c>
      <x:c r="AN879" t="str">
        <x:f>_xlfn.XLOOKUP($A879,Games!$A$2:$A$18,Games!$I$2:$I$18,"Missing game",0)</x:f>
        <x:v>MIN</x:v>
      </x:c>
      <x:c r="AO879" t="n">
        <x:f>_xlfn.XLOOKUP($A879,Games!$A$2:$A$18,Games!$J$2:$J$18,"Missing game",0)</x:f>
        <x:v>22</x:v>
      </x:c>
      <x:c r="AP879" t="n">
        <x:f>_xlfn.XLOOKUP($A879,Games!$A$2:$A$18,Games!$K$2:$K$18,"Missing game",0)</x:f>
        <x:v>-6</x:v>
      </x:c>
      <x:c r="AQ879" t="n">
        <x:f>_xlfn.XLOOKUP($A879,Games!$A$2:$A$18,Games!$L$2:$L$18,"Missing game",0)</x:f>
        <x:v>50</x:v>
      </x:c>
      <x:c r="AR879" t="n">
        <x:f>_xlfn.XLOOKUP($A879,Games!$A$2:$A$18,Games!$M$2:$M$18,"Missing game",0)</x:f>
        <x:v>0</x:v>
      </x:c>
      <x:c r="AS879" t="str">
        <x:f>_xlfn.XLOOKUP($A879,Games!$A$2:$A$18,Games!$N$2:$N$18,"Missing game",0)</x:f>
        <x:v>dome</x:v>
      </x:c>
      <x:c r="AT879" t="str">
        <x:f>_xlfn.XLOOKUP($A879,Games!$A$2:$A$18,Games!$O$2:$O$18,"Missing game",0)</x:f>
        <x:v>sportturf</x:v>
      </x:c>
      <x:c r="AU879" t="str">
        <x:f>_xlfn.XLOOKUP($A879,Games!$A$2:$A$18,Games!$P$2:$P$18,"Missing game",0)</x:f>
      </x:c>
      <x:c r="AV879" t="str">
        <x:f>_xlfn.XLOOKUP($A879,Games!$A$2:$A$18,Games!$Q$2:$Q$18,"Missing game",0)</x:f>
      </x:c>
      <x:c r="AW879" t="str">
        <x:f>_xlfn.XLOOKUP($A879,Games!$A$2:$A$18,Games!$R$2:$R$18,"Missing game",0)</x:f>
        <x:v>U.S. Bank Stadium</x:v>
      </x:c>
    </x:row>
    <x:row r="880">
      <x:c r="A880" t="str">
        <x:v>2025_07_PHI_MIN</x:v>
      </x:c>
      <x:c r="B880" t="n">
        <x:v>592</x:v>
      </x:c>
      <x:c r="C880" t="n">
        <x:v>1</x:v>
      </x:c>
      <x:c r="D880" t="str">
        <x:v>03:00</x:v>
      </x:c>
      <x:c r="E880" t="n">
        <x:v>2</x:v>
      </x:c>
      <x:c r="F880" t="n">
        <x:v>10</x:v>
      </x:c>
      <x:c r="G880" t="str">
        <x:v>MIN</x:v>
      </x:c>
      <x:c r="H880" t="str">
        <x:v>PHI</x:v>
      </x:c>
      <x:c r="I880" t="str">
        <x:v>PHI</x:v>
      </x:c>
      <x:c r="J880" t="n">
        <x:v>19</x:v>
      </x:c>
      <x:c r="K880" t="str">
        <x:v>(3:00) (Shotgun) 11-C.Wentz pass incomplete short left to 3-J.Addison.</x:v>
      </x:c>
      <x:c r="L880" t="str">
        <x:v>pass</x:v>
      </x:c>
      <x:c r="M880" t="n">
        <x:v>0</x:v>
      </x:c>
      <x:c r="N880" t="n">
        <x:v>1</x:v>
      </x:c>
      <x:c r="O880" t="n">
        <x:v>0</x:v>
      </x:c>
      <x:c r="P880" t="str">
        <x:v>short</x:v>
      </x:c>
      <x:c r="Q880" t="str">
        <x:v>left</x:v>
      </x:c>
      <x:c r="R880" t="n">
        <x:v>0</x:v>
      </x:c>
      <x:c r="S880"/>
      <x:c r="T880"/>
      <x:c r="U880"/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/>
      <x:c r="AC880" t="n">
        <x:v>0</x:v>
      </x:c>
      <x:c r="AD880" t="n">
        <x:v>-0.6908433471107855</x:v>
      </x:c>
      <x:c r="AE880" t="n">
        <x:v>0</x:v>
      </x:c>
      <x:c r="AF880" t="n">
        <x:v>-0.02952432632446289</x:v>
      </x:c>
      <x:c r="AG880" t="n">
        <x:f>_xlfn.XLOOKUP($A880,Games!$A$2:$A$18,Games!$B$2:$B$18,"Missing game",0)</x:f>
        <x:v>2025</x:v>
      </x:c>
      <x:c r="AH880" t="str">
        <x:f>_xlfn.XLOOKUP($A880,Games!$A$2:$A$18,Games!$C$2:$C$18,"Missing game",0)</x:f>
        <x:v>REG</x:v>
      </x:c>
      <x:c r="AI880" t="n">
        <x:f>_xlfn.XLOOKUP($A880,Games!$A$2:$A$18,Games!$D$2:$D$18,"Missing game",0)</x:f>
        <x:v>7</x:v>
      </x:c>
      <x:c r="AJ880" s="1" t="n">
        <x:f>_xlfn.XLOOKUP($A880,Games!$A$2:$A$18,Games!$E$2:$E$18,"Missing game",0)</x:f>
        <x:v>45949</x:v>
      </x:c>
      <x:c r="AK880" t="str">
        <x:f>_xlfn.XLOOKUP($A880,Games!$A$2:$A$18,Games!$F$2:$F$18,"Missing game",0)</x:f>
        <x:v>Sunday</x:v>
      </x:c>
      <x:c r="AL880" t="str">
        <x:f>_xlfn.XLOOKUP($A880,Games!$A$2:$A$18,Games!$G$2:$G$18,"Missing game",0)</x:f>
        <x:v>PHI</x:v>
      </x:c>
      <x:c r="AM880" t="n">
        <x:f>_xlfn.XLOOKUP($A880,Games!$A$2:$A$18,Games!$H$2:$H$18,"Missing game",0)</x:f>
        <x:v>28</x:v>
      </x:c>
      <x:c r="AN880" t="str">
        <x:f>_xlfn.XLOOKUP($A880,Games!$A$2:$A$18,Games!$I$2:$I$18,"Missing game",0)</x:f>
        <x:v>MIN</x:v>
      </x:c>
      <x:c r="AO880" t="n">
        <x:f>_xlfn.XLOOKUP($A880,Games!$A$2:$A$18,Games!$J$2:$J$18,"Missing game",0)</x:f>
        <x:v>22</x:v>
      </x:c>
      <x:c r="AP880" t="n">
        <x:f>_xlfn.XLOOKUP($A880,Games!$A$2:$A$18,Games!$K$2:$K$18,"Missing game",0)</x:f>
        <x:v>-6</x:v>
      </x:c>
      <x:c r="AQ880" t="n">
        <x:f>_xlfn.XLOOKUP($A880,Games!$A$2:$A$18,Games!$L$2:$L$18,"Missing game",0)</x:f>
        <x:v>50</x:v>
      </x:c>
      <x:c r="AR880" t="n">
        <x:f>_xlfn.XLOOKUP($A880,Games!$A$2:$A$18,Games!$M$2:$M$18,"Missing game",0)</x:f>
        <x:v>0</x:v>
      </x:c>
      <x:c r="AS880" t="str">
        <x:f>_xlfn.XLOOKUP($A880,Games!$A$2:$A$18,Games!$N$2:$N$18,"Missing game",0)</x:f>
        <x:v>dome</x:v>
      </x:c>
      <x:c r="AT880" t="str">
        <x:f>_xlfn.XLOOKUP($A880,Games!$A$2:$A$18,Games!$O$2:$O$18,"Missing game",0)</x:f>
        <x:v>sportturf</x:v>
      </x:c>
      <x:c r="AU880" t="str">
        <x:f>_xlfn.XLOOKUP($A880,Games!$A$2:$A$18,Games!$P$2:$P$18,"Missing game",0)</x:f>
      </x:c>
      <x:c r="AV880" t="str">
        <x:f>_xlfn.XLOOKUP($A880,Games!$A$2:$A$18,Games!$Q$2:$Q$18,"Missing game",0)</x:f>
      </x:c>
      <x:c r="AW880" t="str">
        <x:f>_xlfn.XLOOKUP($A880,Games!$A$2:$A$18,Games!$R$2:$R$18,"Missing game",0)</x:f>
        <x:v>U.S. Bank Stadium</x:v>
      </x:c>
    </x:row>
    <x:row r="881">
      <x:c r="A881" t="str">
        <x:v>2025_07_PHI_MIN</x:v>
      </x:c>
      <x:c r="B881" t="n">
        <x:v>615</x:v>
      </x:c>
      <x:c r="C881" t="n">
        <x:v>1</x:v>
      </x:c>
      <x:c r="D881" t="str">
        <x:v>02:58</x:v>
      </x:c>
      <x:c r="E881" t="n">
        <x:v>3</x:v>
      </x:c>
      <x:c r="F881" t="n">
        <x:v>10</x:v>
      </x:c>
      <x:c r="G881" t="str">
        <x:v>MIN</x:v>
      </x:c>
      <x:c r="H881" t="str">
        <x:v>PHI</x:v>
      </x:c>
      <x:c r="I881" t="str">
        <x:v>PHI</x:v>
      </x:c>
      <x:c r="J881" t="n">
        <x:v>19</x:v>
      </x:c>
      <x:c r="K881" t="str">
        <x:v>(2:58) (Shotgun) 11-C.Wentz Aborted. 64-B.Brandel FUMBLES at PHI 25, recovered by MIN-11-C.Wentz at PHI 41.</x:v>
      </x:c>
      <x:c r="L881" t="str">
        <x:v>run</x:v>
      </x:c>
      <x:c r="M881" t="n">
        <x:v>0</x:v>
      </x:c>
      <x:c r="N881" t="n">
        <x:v>1</x:v>
      </x:c>
      <x:c r="O881" t="n">
        <x:v>0</x:v>
      </x:c>
      <x:c r="P881"/>
      <x:c r="Q881"/>
      <x:c r="R881"/>
      <x:c r="S881"/>
      <x:c r="T881"/>
      <x:c r="U881"/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/>
      <x:c r="AC881" t="n">
        <x:v>0</x:v>
      </x:c>
      <x:c r="AD881" t="n">
        <x:v>-3.759059512639781</x:v>
      </x:c>
      <x:c r="AE881" t="n">
        <x:v>0</x:v>
      </x:c>
      <x:c r="AF881" t="n">
        <x:v>-0.055955201387405396</x:v>
      </x:c>
      <x:c r="AG881" t="n">
        <x:f>_xlfn.XLOOKUP($A881,Games!$A$2:$A$18,Games!$B$2:$B$18,"Missing game",0)</x:f>
        <x:v>2025</x:v>
      </x:c>
      <x:c r="AH881" t="str">
        <x:f>_xlfn.XLOOKUP($A881,Games!$A$2:$A$18,Games!$C$2:$C$18,"Missing game",0)</x:f>
        <x:v>REG</x:v>
      </x:c>
      <x:c r="AI881" t="n">
        <x:f>_xlfn.XLOOKUP($A881,Games!$A$2:$A$18,Games!$D$2:$D$18,"Missing game",0)</x:f>
        <x:v>7</x:v>
      </x:c>
      <x:c r="AJ881" s="1" t="n">
        <x:f>_xlfn.XLOOKUP($A881,Games!$A$2:$A$18,Games!$E$2:$E$18,"Missing game",0)</x:f>
        <x:v>45949</x:v>
      </x:c>
      <x:c r="AK881" t="str">
        <x:f>_xlfn.XLOOKUP($A881,Games!$A$2:$A$18,Games!$F$2:$F$18,"Missing game",0)</x:f>
        <x:v>Sunday</x:v>
      </x:c>
      <x:c r="AL881" t="str">
        <x:f>_xlfn.XLOOKUP($A881,Games!$A$2:$A$18,Games!$G$2:$G$18,"Missing game",0)</x:f>
        <x:v>PHI</x:v>
      </x:c>
      <x:c r="AM881" t="n">
        <x:f>_xlfn.XLOOKUP($A881,Games!$A$2:$A$18,Games!$H$2:$H$18,"Missing game",0)</x:f>
        <x:v>28</x:v>
      </x:c>
      <x:c r="AN881" t="str">
        <x:f>_xlfn.XLOOKUP($A881,Games!$A$2:$A$18,Games!$I$2:$I$18,"Missing game",0)</x:f>
        <x:v>MIN</x:v>
      </x:c>
      <x:c r="AO881" t="n">
        <x:f>_xlfn.XLOOKUP($A881,Games!$A$2:$A$18,Games!$J$2:$J$18,"Missing game",0)</x:f>
        <x:v>22</x:v>
      </x:c>
      <x:c r="AP881" t="n">
        <x:f>_xlfn.XLOOKUP($A881,Games!$A$2:$A$18,Games!$K$2:$K$18,"Missing game",0)</x:f>
        <x:v>-6</x:v>
      </x:c>
      <x:c r="AQ881" t="n">
        <x:f>_xlfn.XLOOKUP($A881,Games!$A$2:$A$18,Games!$L$2:$L$18,"Missing game",0)</x:f>
        <x:v>50</x:v>
      </x:c>
      <x:c r="AR881" t="n">
        <x:f>_xlfn.XLOOKUP($A881,Games!$A$2:$A$18,Games!$M$2:$M$18,"Missing game",0)</x:f>
        <x:v>0</x:v>
      </x:c>
      <x:c r="AS881" t="str">
        <x:f>_xlfn.XLOOKUP($A881,Games!$A$2:$A$18,Games!$N$2:$N$18,"Missing game",0)</x:f>
        <x:v>dome</x:v>
      </x:c>
      <x:c r="AT881" t="str">
        <x:f>_xlfn.XLOOKUP($A881,Games!$A$2:$A$18,Games!$O$2:$O$18,"Missing game",0)</x:f>
        <x:v>sportturf</x:v>
      </x:c>
      <x:c r="AU881" t="str">
        <x:f>_xlfn.XLOOKUP($A881,Games!$A$2:$A$18,Games!$P$2:$P$18,"Missing game",0)</x:f>
      </x:c>
      <x:c r="AV881" t="str">
        <x:f>_xlfn.XLOOKUP($A881,Games!$A$2:$A$18,Games!$Q$2:$Q$18,"Missing game",0)</x:f>
      </x:c>
      <x:c r="AW881" t="str">
        <x:f>_xlfn.XLOOKUP($A881,Games!$A$2:$A$18,Games!$R$2:$R$18,"Missing game",0)</x:f>
        <x:v>U.S. Bank Stadium</x:v>
      </x:c>
    </x:row>
    <x:row r="882">
      <x:c r="A882" t="str">
        <x:v>2025_07_PHI_MIN</x:v>
      </x:c>
      <x:c r="B882" t="n">
        <x:v>642</x:v>
      </x:c>
      <x:c r="C882" t="n">
        <x:v>1</x:v>
      </x:c>
      <x:c r="D882" t="str">
        <x:v>02:08</x:v>
      </x:c>
      <x:c r="E882" t="n">
        <x:v>4</x:v>
      </x:c>
      <x:c r="F882" t="n">
        <x:v>32</x:v>
      </x:c>
      <x:c r="G882" t="str">
        <x:v>MIN</x:v>
      </x:c>
      <x:c r="H882" t="str">
        <x:v>PHI</x:v>
      </x:c>
      <x:c r="I882" t="str">
        <x:v>PHI</x:v>
      </x:c>
      <x:c r="J882" t="n">
        <x:v>41</x:v>
      </x:c>
      <x:c r="K882" t="str">
        <x:v>(2:08) 16-W.Reichard 59 yard field goal is GOOD, Center-42-A.DePaola, Holder-17-R.Wright.</x:v>
      </x:c>
      <x:c r="L882" t="str">
        <x:v>field_goal</x:v>
      </x:c>
      <x:c r="M882" t="n">
        <x:v>0</x:v>
      </x:c>
      <x:c r="N882" t="n">
        <x:v>0</x:v>
      </x:c>
      <x:c r="O882" t="n">
        <x:v>0</x:v>
      </x:c>
      <x:c r="P882"/>
      <x:c r="Q882"/>
      <x:c r="R882"/>
      <x:c r="S882"/>
      <x:c r="T882"/>
      <x:c r="U882"/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/>
      <x:c r="AC882" t="n">
        <x:v>0</x:v>
      </x:c>
      <x:c r="AD882" t="n">
        <x:v>2.9125135922817416</x:v>
      </x:c>
      <x:c r="AE882" t="n">
        <x:v>1</x:v>
      </x:c>
      <x:c r="AF882" t="n">
        <x:v>0.03246769309043884</x:v>
      </x:c>
      <x:c r="AG882" t="n">
        <x:f>_xlfn.XLOOKUP($A882,Games!$A$2:$A$18,Games!$B$2:$B$18,"Missing game",0)</x:f>
        <x:v>2025</x:v>
      </x:c>
      <x:c r="AH882" t="str">
        <x:f>_xlfn.XLOOKUP($A882,Games!$A$2:$A$18,Games!$C$2:$C$18,"Missing game",0)</x:f>
        <x:v>REG</x:v>
      </x:c>
      <x:c r="AI882" t="n">
        <x:f>_xlfn.XLOOKUP($A882,Games!$A$2:$A$18,Games!$D$2:$D$18,"Missing game",0)</x:f>
        <x:v>7</x:v>
      </x:c>
      <x:c r="AJ882" s="1" t="n">
        <x:f>_xlfn.XLOOKUP($A882,Games!$A$2:$A$18,Games!$E$2:$E$18,"Missing game",0)</x:f>
        <x:v>45949</x:v>
      </x:c>
      <x:c r="AK882" t="str">
        <x:f>_xlfn.XLOOKUP($A882,Games!$A$2:$A$18,Games!$F$2:$F$18,"Missing game",0)</x:f>
        <x:v>Sunday</x:v>
      </x:c>
      <x:c r="AL882" t="str">
        <x:f>_xlfn.XLOOKUP($A882,Games!$A$2:$A$18,Games!$G$2:$G$18,"Missing game",0)</x:f>
        <x:v>PHI</x:v>
      </x:c>
      <x:c r="AM882" t="n">
        <x:f>_xlfn.XLOOKUP($A882,Games!$A$2:$A$18,Games!$H$2:$H$18,"Missing game",0)</x:f>
        <x:v>28</x:v>
      </x:c>
      <x:c r="AN882" t="str">
        <x:f>_xlfn.XLOOKUP($A882,Games!$A$2:$A$18,Games!$I$2:$I$18,"Missing game",0)</x:f>
        <x:v>MIN</x:v>
      </x:c>
      <x:c r="AO882" t="n">
        <x:f>_xlfn.XLOOKUP($A882,Games!$A$2:$A$18,Games!$J$2:$J$18,"Missing game",0)</x:f>
        <x:v>22</x:v>
      </x:c>
      <x:c r="AP882" t="n">
        <x:f>_xlfn.XLOOKUP($A882,Games!$A$2:$A$18,Games!$K$2:$K$18,"Missing game",0)</x:f>
        <x:v>-6</x:v>
      </x:c>
      <x:c r="AQ882" t="n">
        <x:f>_xlfn.XLOOKUP($A882,Games!$A$2:$A$18,Games!$L$2:$L$18,"Missing game",0)</x:f>
        <x:v>50</x:v>
      </x:c>
      <x:c r="AR882" t="n">
        <x:f>_xlfn.XLOOKUP($A882,Games!$A$2:$A$18,Games!$M$2:$M$18,"Missing game",0)</x:f>
        <x:v>0</x:v>
      </x:c>
      <x:c r="AS882" t="str">
        <x:f>_xlfn.XLOOKUP($A882,Games!$A$2:$A$18,Games!$N$2:$N$18,"Missing game",0)</x:f>
        <x:v>dome</x:v>
      </x:c>
      <x:c r="AT882" t="str">
        <x:f>_xlfn.XLOOKUP($A882,Games!$A$2:$A$18,Games!$O$2:$O$18,"Missing game",0)</x:f>
        <x:v>sportturf</x:v>
      </x:c>
      <x:c r="AU882" t="str">
        <x:f>_xlfn.XLOOKUP($A882,Games!$A$2:$A$18,Games!$P$2:$P$18,"Missing game",0)</x:f>
      </x:c>
      <x:c r="AV882" t="str">
        <x:f>_xlfn.XLOOKUP($A882,Games!$A$2:$A$18,Games!$Q$2:$Q$18,"Missing game",0)</x:f>
      </x:c>
      <x:c r="AW882" t="str">
        <x:f>_xlfn.XLOOKUP($A882,Games!$A$2:$A$18,Games!$R$2:$R$18,"Missing game",0)</x:f>
        <x:v>U.S. Bank Stadium</x:v>
      </x:c>
    </x:row>
    <x:row r="883">
      <x:c r="A883" t="str">
        <x:v>2025_07_PHI_MIN</x:v>
      </x:c>
      <x:c r="B883" t="n">
        <x:v>662</x:v>
      </x:c>
      <x:c r="C883" t="n">
        <x:v>1</x:v>
      </x:c>
      <x:c r="D883" t="str">
        <x:v>02:04</x:v>
      </x:c>
      <x:c r="E883"/>
      <x:c r="F883" t="n">
        <x:v>0</x:v>
      </x:c>
      <x:c r="G883" t="str">
        <x:v>PHI</x:v>
      </x:c>
      <x:c r="H883" t="str">
        <x:v>MIN</x:v>
      </x:c>
      <x:c r="I883" t="str">
        <x:v>MIN</x:v>
      </x:c>
      <x:c r="J883" t="n">
        <x:v>35</x:v>
      </x:c>
      <x:c r="K883" t="str">
        <x:v>16-W.Reichard kicks 64 yards from MIN 35 to PHI 1. 28-W.Shipley to PHI 34 for 33 yards (30-C.Ham).</x:v>
      </x:c>
      <x:c r="L883" t="str">
        <x:v>kickoff</x:v>
      </x:c>
      <x:c r="M883" t="n">
        <x:v>0</x:v>
      </x:c>
      <x:c r="N883" t="n">
        <x:v>0</x:v>
      </x:c>
      <x:c r="O883" t="n">
        <x:v>0</x:v>
      </x:c>
      <x:c r="P883"/>
      <x:c r="Q883"/>
      <x:c r="R883"/>
      <x:c r="S883"/>
      <x:c r="T883"/>
      <x:c r="U883"/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/>
      <x:c r="AC883" t="n">
        <x:v>0</x:v>
      </x:c>
      <x:c r="AD883" t="n">
        <x:v>0.48362415423616767</x:v>
      </x:c>
      <x:c r="AE883" t="n">
        <x:v>1</x:v>
      </x:c>
      <x:c r="AF883" t="n">
        <x:v>0.015114188194274902</x:v>
      </x:c>
      <x:c r="AG883" t="n">
        <x:f>_xlfn.XLOOKUP($A883,Games!$A$2:$A$18,Games!$B$2:$B$18,"Missing game",0)</x:f>
        <x:v>2025</x:v>
      </x:c>
      <x:c r="AH883" t="str">
        <x:f>_xlfn.XLOOKUP($A883,Games!$A$2:$A$18,Games!$C$2:$C$18,"Missing game",0)</x:f>
        <x:v>REG</x:v>
      </x:c>
      <x:c r="AI883" t="n">
        <x:f>_xlfn.XLOOKUP($A883,Games!$A$2:$A$18,Games!$D$2:$D$18,"Missing game",0)</x:f>
        <x:v>7</x:v>
      </x:c>
      <x:c r="AJ883" s="1" t="n">
        <x:f>_xlfn.XLOOKUP($A883,Games!$A$2:$A$18,Games!$E$2:$E$18,"Missing game",0)</x:f>
        <x:v>45949</x:v>
      </x:c>
      <x:c r="AK883" t="str">
        <x:f>_xlfn.XLOOKUP($A883,Games!$A$2:$A$18,Games!$F$2:$F$18,"Missing game",0)</x:f>
        <x:v>Sunday</x:v>
      </x:c>
      <x:c r="AL883" t="str">
        <x:f>_xlfn.XLOOKUP($A883,Games!$A$2:$A$18,Games!$G$2:$G$18,"Missing game",0)</x:f>
        <x:v>PHI</x:v>
      </x:c>
      <x:c r="AM883" t="n">
        <x:f>_xlfn.XLOOKUP($A883,Games!$A$2:$A$18,Games!$H$2:$H$18,"Missing game",0)</x:f>
        <x:v>28</x:v>
      </x:c>
      <x:c r="AN883" t="str">
        <x:f>_xlfn.XLOOKUP($A883,Games!$A$2:$A$18,Games!$I$2:$I$18,"Missing game",0)</x:f>
        <x:v>MIN</x:v>
      </x:c>
      <x:c r="AO883" t="n">
        <x:f>_xlfn.XLOOKUP($A883,Games!$A$2:$A$18,Games!$J$2:$J$18,"Missing game",0)</x:f>
        <x:v>22</x:v>
      </x:c>
      <x:c r="AP883" t="n">
        <x:f>_xlfn.XLOOKUP($A883,Games!$A$2:$A$18,Games!$K$2:$K$18,"Missing game",0)</x:f>
        <x:v>-6</x:v>
      </x:c>
      <x:c r="AQ883" t="n">
        <x:f>_xlfn.XLOOKUP($A883,Games!$A$2:$A$18,Games!$L$2:$L$18,"Missing game",0)</x:f>
        <x:v>50</x:v>
      </x:c>
      <x:c r="AR883" t="n">
        <x:f>_xlfn.XLOOKUP($A883,Games!$A$2:$A$18,Games!$M$2:$M$18,"Missing game",0)</x:f>
        <x:v>0</x:v>
      </x:c>
      <x:c r="AS883" t="str">
        <x:f>_xlfn.XLOOKUP($A883,Games!$A$2:$A$18,Games!$N$2:$N$18,"Missing game",0)</x:f>
        <x:v>dome</x:v>
      </x:c>
      <x:c r="AT883" t="str">
        <x:f>_xlfn.XLOOKUP($A883,Games!$A$2:$A$18,Games!$O$2:$O$18,"Missing game",0)</x:f>
        <x:v>sportturf</x:v>
      </x:c>
      <x:c r="AU883" t="str">
        <x:f>_xlfn.XLOOKUP($A883,Games!$A$2:$A$18,Games!$P$2:$P$18,"Missing game",0)</x:f>
      </x:c>
      <x:c r="AV883" t="str">
        <x:f>_xlfn.XLOOKUP($A883,Games!$A$2:$A$18,Games!$Q$2:$Q$18,"Missing game",0)</x:f>
      </x:c>
      <x:c r="AW883" t="str">
        <x:f>_xlfn.XLOOKUP($A883,Games!$A$2:$A$18,Games!$R$2:$R$18,"Missing game",0)</x:f>
        <x:v>U.S. Bank Stadium</x:v>
      </x:c>
    </x:row>
    <x:row r="884">
      <x:c r="A884" t="str">
        <x:v>2025_07_PHI_MIN</x:v>
      </x:c>
      <x:c r="B884" t="n">
        <x:v>697</x:v>
      </x:c>
      <x:c r="C884" t="n">
        <x:v>1</x:v>
      </x:c>
      <x:c r="D884" t="str">
        <x:v>01:59</x:v>
      </x:c>
      <x:c r="E884" t="n">
        <x:v>1</x:v>
      </x:c>
      <x:c r="F884" t="n">
        <x:v>10</x:v>
      </x:c>
      <x:c r="G884" t="str">
        <x:v>PHI</x:v>
      </x:c>
      <x:c r="H884" t="str">
        <x:v>MIN</x:v>
      </x:c>
      <x:c r="I884" t="str">
        <x:v>PHI</x:v>
      </x:c>
      <x:c r="J884" t="n">
        <x:v>66</x:v>
      </x:c>
      <x:c r="K884" t="str">
        <x:v>(1:59) 74-F.Johnson reported in as eligible. 26-S.Barkley left end to PHI 38 for 4 yards (51-B.Cashman; 44-J.Metellus).</x:v>
      </x:c>
      <x:c r="L884" t="str">
        <x:v>run</x:v>
      </x:c>
      <x:c r="M884" t="n">
        <x:v>4</x:v>
      </x:c>
      <x:c r="N884" t="n">
        <x:v>0</x:v>
      </x:c>
      <x:c r="O884" t="n">
        <x:v>0</x:v>
      </x:c>
      <x:c r="P884"/>
      <x:c r="Q884"/>
      <x:c r="R884"/>
      <x:c r="S884"/>
      <x:c r="T884" t="str">
        <x:v>left</x:v>
      </x:c>
      <x:c r="U884" t="str">
        <x:v>end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/>
      <x:c r="AC884" t="n">
        <x:v>0</x:v>
      </x:c>
      <x:c r="AD884" t="n">
        <x:v>0.20290808705613017</x:v>
      </x:c>
      <x:c r="AE884" t="n">
        <x:v>1</x:v>
      </x:c>
      <x:c r="AF884" t="n">
        <x:v>-0.00371474027633667</x:v>
      </x:c>
      <x:c r="AG884" t="n">
        <x:f>_xlfn.XLOOKUP($A884,Games!$A$2:$A$18,Games!$B$2:$B$18,"Missing game",0)</x:f>
        <x:v>2025</x:v>
      </x:c>
      <x:c r="AH884" t="str">
        <x:f>_xlfn.XLOOKUP($A884,Games!$A$2:$A$18,Games!$C$2:$C$18,"Missing game",0)</x:f>
        <x:v>REG</x:v>
      </x:c>
      <x:c r="AI884" t="n">
        <x:f>_xlfn.XLOOKUP($A884,Games!$A$2:$A$18,Games!$D$2:$D$18,"Missing game",0)</x:f>
        <x:v>7</x:v>
      </x:c>
      <x:c r="AJ884" s="1" t="n">
        <x:f>_xlfn.XLOOKUP($A884,Games!$A$2:$A$18,Games!$E$2:$E$18,"Missing game",0)</x:f>
        <x:v>45949</x:v>
      </x:c>
      <x:c r="AK884" t="str">
        <x:f>_xlfn.XLOOKUP($A884,Games!$A$2:$A$18,Games!$F$2:$F$18,"Missing game",0)</x:f>
        <x:v>Sunday</x:v>
      </x:c>
      <x:c r="AL884" t="str">
        <x:f>_xlfn.XLOOKUP($A884,Games!$A$2:$A$18,Games!$G$2:$G$18,"Missing game",0)</x:f>
        <x:v>PHI</x:v>
      </x:c>
      <x:c r="AM884" t="n">
        <x:f>_xlfn.XLOOKUP($A884,Games!$A$2:$A$18,Games!$H$2:$H$18,"Missing game",0)</x:f>
        <x:v>28</x:v>
      </x:c>
      <x:c r="AN884" t="str">
        <x:f>_xlfn.XLOOKUP($A884,Games!$A$2:$A$18,Games!$I$2:$I$18,"Missing game",0)</x:f>
        <x:v>MIN</x:v>
      </x:c>
      <x:c r="AO884" t="n">
        <x:f>_xlfn.XLOOKUP($A884,Games!$A$2:$A$18,Games!$J$2:$J$18,"Missing game",0)</x:f>
        <x:v>22</x:v>
      </x:c>
      <x:c r="AP884" t="n">
        <x:f>_xlfn.XLOOKUP($A884,Games!$A$2:$A$18,Games!$K$2:$K$18,"Missing game",0)</x:f>
        <x:v>-6</x:v>
      </x:c>
      <x:c r="AQ884" t="n">
        <x:f>_xlfn.XLOOKUP($A884,Games!$A$2:$A$18,Games!$L$2:$L$18,"Missing game",0)</x:f>
        <x:v>50</x:v>
      </x:c>
      <x:c r="AR884" t="n">
        <x:f>_xlfn.XLOOKUP($A884,Games!$A$2:$A$18,Games!$M$2:$M$18,"Missing game",0)</x:f>
        <x:v>0</x:v>
      </x:c>
      <x:c r="AS884" t="str">
        <x:f>_xlfn.XLOOKUP($A884,Games!$A$2:$A$18,Games!$N$2:$N$18,"Missing game",0)</x:f>
        <x:v>dome</x:v>
      </x:c>
      <x:c r="AT884" t="str">
        <x:f>_xlfn.XLOOKUP($A884,Games!$A$2:$A$18,Games!$O$2:$O$18,"Missing game",0)</x:f>
        <x:v>sportturf</x:v>
      </x:c>
      <x:c r="AU884" t="str">
        <x:f>_xlfn.XLOOKUP($A884,Games!$A$2:$A$18,Games!$P$2:$P$18,"Missing game",0)</x:f>
      </x:c>
      <x:c r="AV884" t="str">
        <x:f>_xlfn.XLOOKUP($A884,Games!$A$2:$A$18,Games!$Q$2:$Q$18,"Missing game",0)</x:f>
      </x:c>
      <x:c r="AW884" t="str">
        <x:f>_xlfn.XLOOKUP($A884,Games!$A$2:$A$18,Games!$R$2:$R$18,"Missing game",0)</x:f>
        <x:v>U.S. Bank Stadium</x:v>
      </x:c>
    </x:row>
    <x:row r="885">
      <x:c r="A885" t="str">
        <x:v>2025_07_PHI_MIN</x:v>
      </x:c>
      <x:c r="B885" t="n">
        <x:v>721</x:v>
      </x:c>
      <x:c r="C885" t="n">
        <x:v>1</x:v>
      </x:c>
      <x:c r="D885" t="str">
        <x:v>01:17</x:v>
      </x:c>
      <x:c r="E885" t="n">
        <x:v>2</x:v>
      </x:c>
      <x:c r="F885" t="n">
        <x:v>6</x:v>
      </x:c>
      <x:c r="G885" t="str">
        <x:v>PHI</x:v>
      </x:c>
      <x:c r="H885" t="str">
        <x:v>MIN</x:v>
      </x:c>
      <x:c r="I885" t="str">
        <x:v>PHI</x:v>
      </x:c>
      <x:c r="J885" t="n">
        <x:v>62</x:v>
      </x:c>
      <x:c r="K885" t="str">
        <x:v>(1:17) (Shotgun) 1-J.Hurts pass short left to 6-D.Smith to PHI 43 for 5 yards (51-B.Cashman). Minnesota challenged the pass completion ruling, and the play was Upheld. The ruling on the field stands. (Timeout #1.)</x:v>
      </x:c>
      <x:c r="L885" t="str">
        <x:v>pass</x:v>
      </x:c>
      <x:c r="M885" t="n">
        <x:v>5</x:v>
      </x:c>
      <x:c r="N885" t="n">
        <x:v>1</x:v>
      </x:c>
      <x:c r="O885" t="n">
        <x:v>0</x:v>
      </x:c>
      <x:c r="P885" t="str">
        <x:v>short</x:v>
      </x:c>
      <x:c r="Q885" t="str">
        <x:v>left</x:v>
      </x:c>
      <x:c r="R885" t="n">
        <x:v>5</x:v>
      </x:c>
      <x:c r="S885" t="n">
        <x:v>0</x:v>
      </x:c>
      <x:c r="T885"/>
      <x:c r="U885"/>
      <x:c r="V885" t="n">
        <x:v>1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/>
      <x:c r="AC885" t="n">
        <x:v>0</x:v>
      </x:c>
      <x:c r="AD885" t="n">
        <x:v>0.2830617125146091</x:v>
      </x:c>
      <x:c r="AE885" t="n">
        <x:v>1</x:v>
      </x:c>
      <x:c r="AF885" t="n">
        <x:v>0.0005355477333068848</x:v>
      </x:c>
      <x:c r="AG885" t="n">
        <x:f>_xlfn.XLOOKUP($A885,Games!$A$2:$A$18,Games!$B$2:$B$18,"Missing game",0)</x:f>
        <x:v>2025</x:v>
      </x:c>
      <x:c r="AH885" t="str">
        <x:f>_xlfn.XLOOKUP($A885,Games!$A$2:$A$18,Games!$C$2:$C$18,"Missing game",0)</x:f>
        <x:v>REG</x:v>
      </x:c>
      <x:c r="AI885" t="n">
        <x:f>_xlfn.XLOOKUP($A885,Games!$A$2:$A$18,Games!$D$2:$D$18,"Missing game",0)</x:f>
        <x:v>7</x:v>
      </x:c>
      <x:c r="AJ885" s="1" t="n">
        <x:f>_xlfn.XLOOKUP($A885,Games!$A$2:$A$18,Games!$E$2:$E$18,"Missing game",0)</x:f>
        <x:v>45949</x:v>
      </x:c>
      <x:c r="AK885" t="str">
        <x:f>_xlfn.XLOOKUP($A885,Games!$A$2:$A$18,Games!$F$2:$F$18,"Missing game",0)</x:f>
        <x:v>Sunday</x:v>
      </x:c>
      <x:c r="AL885" t="str">
        <x:f>_xlfn.XLOOKUP($A885,Games!$A$2:$A$18,Games!$G$2:$G$18,"Missing game",0)</x:f>
        <x:v>PHI</x:v>
      </x:c>
      <x:c r="AM885" t="n">
        <x:f>_xlfn.XLOOKUP($A885,Games!$A$2:$A$18,Games!$H$2:$H$18,"Missing game",0)</x:f>
        <x:v>28</x:v>
      </x:c>
      <x:c r="AN885" t="str">
        <x:f>_xlfn.XLOOKUP($A885,Games!$A$2:$A$18,Games!$I$2:$I$18,"Missing game",0)</x:f>
        <x:v>MIN</x:v>
      </x:c>
      <x:c r="AO885" t="n">
        <x:f>_xlfn.XLOOKUP($A885,Games!$A$2:$A$18,Games!$J$2:$J$18,"Missing game",0)</x:f>
        <x:v>22</x:v>
      </x:c>
      <x:c r="AP885" t="n">
        <x:f>_xlfn.XLOOKUP($A885,Games!$A$2:$A$18,Games!$K$2:$K$18,"Missing game",0)</x:f>
        <x:v>-6</x:v>
      </x:c>
      <x:c r="AQ885" t="n">
        <x:f>_xlfn.XLOOKUP($A885,Games!$A$2:$A$18,Games!$L$2:$L$18,"Missing game",0)</x:f>
        <x:v>50</x:v>
      </x:c>
      <x:c r="AR885" t="n">
        <x:f>_xlfn.XLOOKUP($A885,Games!$A$2:$A$18,Games!$M$2:$M$18,"Missing game",0)</x:f>
        <x:v>0</x:v>
      </x:c>
      <x:c r="AS885" t="str">
        <x:f>_xlfn.XLOOKUP($A885,Games!$A$2:$A$18,Games!$N$2:$N$18,"Missing game",0)</x:f>
        <x:v>dome</x:v>
      </x:c>
      <x:c r="AT885" t="str">
        <x:f>_xlfn.XLOOKUP($A885,Games!$A$2:$A$18,Games!$O$2:$O$18,"Missing game",0)</x:f>
        <x:v>sportturf</x:v>
      </x:c>
      <x:c r="AU885" t="str">
        <x:f>_xlfn.XLOOKUP($A885,Games!$A$2:$A$18,Games!$P$2:$P$18,"Missing game",0)</x:f>
      </x:c>
      <x:c r="AV885" t="str">
        <x:f>_xlfn.XLOOKUP($A885,Games!$A$2:$A$18,Games!$Q$2:$Q$18,"Missing game",0)</x:f>
      </x:c>
      <x:c r="AW885" t="str">
        <x:f>_xlfn.XLOOKUP($A885,Games!$A$2:$A$18,Games!$R$2:$R$18,"Missing game",0)</x:f>
        <x:v>U.S. Bank Stadium</x:v>
      </x:c>
    </x:row>
    <x:row r="886">
      <x:c r="A886" t="str">
        <x:v>2025_07_PHI_MIN</x:v>
      </x:c>
      <x:c r="B886" t="n">
        <x:v>746</x:v>
      </x:c>
      <x:c r="C886" t="n">
        <x:v>1</x:v>
      </x:c>
      <x:c r="D886" t="str">
        <x:v>00:42</x:v>
      </x:c>
      <x:c r="E886" t="n">
        <x:v>3</x:v>
      </x:c>
      <x:c r="F886" t="n">
        <x:v>1</x:v>
      </x:c>
      <x:c r="G886" t="str">
        <x:v>PHI</x:v>
      </x:c>
      <x:c r="H886" t="str">
        <x:v>MIN</x:v>
      </x:c>
      <x:c r="I886" t="str">
        <x:v>PHI</x:v>
      </x:c>
      <x:c r="J886" t="n">
        <x:v>57</x:v>
      </x:c>
      <x:c r="K886" t="str">
        <x:v>(:42) PENALTY on PHI-11-A.Brown, False Start, 5 yards, enforced at PHI 43 - No Play.</x:v>
      </x:c>
      <x:c r="L886" t="str">
        <x:v>no_play</x:v>
      </x:c>
      <x:c r="M886" t="n">
        <x:v>0</x:v>
      </x:c>
      <x:c r="N886" t="n">
        <x:v>0</x:v>
      </x:c>
      <x:c r="O886" t="n">
        <x:v>0</x:v>
      </x:c>
      <x:c r="P886"/>
      <x:c r="Q886"/>
      <x:c r="R886"/>
      <x:c r="S886"/>
      <x:c r="T886"/>
      <x:c r="U886"/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1</x:v>
      </x:c>
      <x:c r="AB886" t="n">
        <x:v>5</x:v>
      </x:c>
      <x:c r="AC886" t="n">
        <x:v>0</x:v>
      </x:c>
      <x:c r="AD886" t="n">
        <x:v>-1.154708162881434</x:v>
      </x:c>
      <x:c r="AE886" t="n">
        <x:v>0</x:v>
      </x:c>
      <x:c r="AF886" t="n">
        <x:v>-0.015124201774597168</x:v>
      </x:c>
      <x:c r="AG886" t="n">
        <x:f>_xlfn.XLOOKUP($A886,Games!$A$2:$A$18,Games!$B$2:$B$18,"Missing game",0)</x:f>
        <x:v>2025</x:v>
      </x:c>
      <x:c r="AH886" t="str">
        <x:f>_xlfn.XLOOKUP($A886,Games!$A$2:$A$18,Games!$C$2:$C$18,"Missing game",0)</x:f>
        <x:v>REG</x:v>
      </x:c>
      <x:c r="AI886" t="n">
        <x:f>_xlfn.XLOOKUP($A886,Games!$A$2:$A$18,Games!$D$2:$D$18,"Missing game",0)</x:f>
        <x:v>7</x:v>
      </x:c>
      <x:c r="AJ886" s="1" t="n">
        <x:f>_xlfn.XLOOKUP($A886,Games!$A$2:$A$18,Games!$E$2:$E$18,"Missing game",0)</x:f>
        <x:v>45949</x:v>
      </x:c>
      <x:c r="AK886" t="str">
        <x:f>_xlfn.XLOOKUP($A886,Games!$A$2:$A$18,Games!$F$2:$F$18,"Missing game",0)</x:f>
        <x:v>Sunday</x:v>
      </x:c>
      <x:c r="AL886" t="str">
        <x:f>_xlfn.XLOOKUP($A886,Games!$A$2:$A$18,Games!$G$2:$G$18,"Missing game",0)</x:f>
        <x:v>PHI</x:v>
      </x:c>
      <x:c r="AM886" t="n">
        <x:f>_xlfn.XLOOKUP($A886,Games!$A$2:$A$18,Games!$H$2:$H$18,"Missing game",0)</x:f>
        <x:v>28</x:v>
      </x:c>
      <x:c r="AN886" t="str">
        <x:f>_xlfn.XLOOKUP($A886,Games!$A$2:$A$18,Games!$I$2:$I$18,"Missing game",0)</x:f>
        <x:v>MIN</x:v>
      </x:c>
      <x:c r="AO886" t="n">
        <x:f>_xlfn.XLOOKUP($A886,Games!$A$2:$A$18,Games!$J$2:$J$18,"Missing game",0)</x:f>
        <x:v>22</x:v>
      </x:c>
      <x:c r="AP886" t="n">
        <x:f>_xlfn.XLOOKUP($A886,Games!$A$2:$A$18,Games!$K$2:$K$18,"Missing game",0)</x:f>
        <x:v>-6</x:v>
      </x:c>
      <x:c r="AQ886" t="n">
        <x:f>_xlfn.XLOOKUP($A886,Games!$A$2:$A$18,Games!$L$2:$L$18,"Missing game",0)</x:f>
        <x:v>50</x:v>
      </x:c>
      <x:c r="AR886" t="n">
        <x:f>_xlfn.XLOOKUP($A886,Games!$A$2:$A$18,Games!$M$2:$M$18,"Missing game",0)</x:f>
        <x:v>0</x:v>
      </x:c>
      <x:c r="AS886" t="str">
        <x:f>_xlfn.XLOOKUP($A886,Games!$A$2:$A$18,Games!$N$2:$N$18,"Missing game",0)</x:f>
        <x:v>dome</x:v>
      </x:c>
      <x:c r="AT886" t="str">
        <x:f>_xlfn.XLOOKUP($A886,Games!$A$2:$A$18,Games!$O$2:$O$18,"Missing game",0)</x:f>
        <x:v>sportturf</x:v>
      </x:c>
      <x:c r="AU886" t="str">
        <x:f>_xlfn.XLOOKUP($A886,Games!$A$2:$A$18,Games!$P$2:$P$18,"Missing game",0)</x:f>
      </x:c>
      <x:c r="AV886" t="str">
        <x:f>_xlfn.XLOOKUP($A886,Games!$A$2:$A$18,Games!$Q$2:$Q$18,"Missing game",0)</x:f>
      </x:c>
      <x:c r="AW886" t="str">
        <x:f>_xlfn.XLOOKUP($A886,Games!$A$2:$A$18,Games!$R$2:$R$18,"Missing game",0)</x:f>
        <x:v>U.S. Bank Stadium</x:v>
      </x:c>
    </x:row>
    <x:row r="887">
      <x:c r="A887" t="str">
        <x:v>2025_07_PHI_MIN</x:v>
      </x:c>
      <x:c r="B887" t="n">
        <x:v>810</x:v>
      </x:c>
      <x:c r="C887" t="n">
        <x:v>1</x:v>
      </x:c>
      <x:c r="D887" t="str">
        <x:v>00:42</x:v>
      </x:c>
      <x:c r="E887" t="n">
        <x:v>3</x:v>
      </x:c>
      <x:c r="F887" t="n">
        <x:v>6</x:v>
      </x:c>
      <x:c r="G887" t="str">
        <x:v>PHI</x:v>
      </x:c>
      <x:c r="H887" t="str">
        <x:v>MIN</x:v>
      </x:c>
      <x:c r="I887" t="str">
        <x:v>PHI</x:v>
      </x:c>
      <x:c r="J887" t="n">
        <x:v>62</x:v>
      </x:c>
      <x:c r="K887" t="str">
        <x:v>(:42) (Shotgun) 1-J.Hurts pass incomplete deep left to 6-D.Smith.</x:v>
      </x:c>
      <x:c r="L887" t="str">
        <x:v>pass</x:v>
      </x:c>
      <x:c r="M887" t="n">
        <x:v>0</x:v>
      </x:c>
      <x:c r="N887" t="n">
        <x:v>1</x:v>
      </x:c>
      <x:c r="O887" t="n">
        <x:v>0</x:v>
      </x:c>
      <x:c r="P887" t="str">
        <x:v>deep</x:v>
      </x:c>
      <x:c r="Q887" t="str">
        <x:v>left</x:v>
      </x:c>
      <x:c r="R887" t="n">
        <x:v>22</x:v>
      </x:c>
      <x:c r="S887"/>
      <x:c r="T887"/>
      <x:c r="U887"/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/>
      <x:c r="AC887" t="n">
        <x:v>0</x:v>
      </x:c>
      <x:c r="AD887" t="n">
        <x:v>-1.5950119653716683</x:v>
      </x:c>
      <x:c r="AE887" t="n">
        <x:v>0</x:v>
      </x:c>
      <x:c r="AF887" t="n">
        <x:v>-0.035794615745544434</x:v>
      </x:c>
      <x:c r="AG887" t="n">
        <x:f>_xlfn.XLOOKUP($A887,Games!$A$2:$A$18,Games!$B$2:$B$18,"Missing game",0)</x:f>
        <x:v>2025</x:v>
      </x:c>
      <x:c r="AH887" t="str">
        <x:f>_xlfn.XLOOKUP($A887,Games!$A$2:$A$18,Games!$C$2:$C$18,"Missing game",0)</x:f>
        <x:v>REG</x:v>
      </x:c>
      <x:c r="AI887" t="n">
        <x:f>_xlfn.XLOOKUP($A887,Games!$A$2:$A$18,Games!$D$2:$D$18,"Missing game",0)</x:f>
        <x:v>7</x:v>
      </x:c>
      <x:c r="AJ887" s="1" t="n">
        <x:f>_xlfn.XLOOKUP($A887,Games!$A$2:$A$18,Games!$E$2:$E$18,"Missing game",0)</x:f>
        <x:v>45949</x:v>
      </x:c>
      <x:c r="AK887" t="str">
        <x:f>_xlfn.XLOOKUP($A887,Games!$A$2:$A$18,Games!$F$2:$F$18,"Missing game",0)</x:f>
        <x:v>Sunday</x:v>
      </x:c>
      <x:c r="AL887" t="str">
        <x:f>_xlfn.XLOOKUP($A887,Games!$A$2:$A$18,Games!$G$2:$G$18,"Missing game",0)</x:f>
        <x:v>PHI</x:v>
      </x:c>
      <x:c r="AM887" t="n">
        <x:f>_xlfn.XLOOKUP($A887,Games!$A$2:$A$18,Games!$H$2:$H$18,"Missing game",0)</x:f>
        <x:v>28</x:v>
      </x:c>
      <x:c r="AN887" t="str">
        <x:f>_xlfn.XLOOKUP($A887,Games!$A$2:$A$18,Games!$I$2:$I$18,"Missing game",0)</x:f>
        <x:v>MIN</x:v>
      </x:c>
      <x:c r="AO887" t="n">
        <x:f>_xlfn.XLOOKUP($A887,Games!$A$2:$A$18,Games!$J$2:$J$18,"Missing game",0)</x:f>
        <x:v>22</x:v>
      </x:c>
      <x:c r="AP887" t="n">
        <x:f>_xlfn.XLOOKUP($A887,Games!$A$2:$A$18,Games!$K$2:$K$18,"Missing game",0)</x:f>
        <x:v>-6</x:v>
      </x:c>
      <x:c r="AQ887" t="n">
        <x:f>_xlfn.XLOOKUP($A887,Games!$A$2:$A$18,Games!$L$2:$L$18,"Missing game",0)</x:f>
        <x:v>50</x:v>
      </x:c>
      <x:c r="AR887" t="n">
        <x:f>_xlfn.XLOOKUP($A887,Games!$A$2:$A$18,Games!$M$2:$M$18,"Missing game",0)</x:f>
        <x:v>0</x:v>
      </x:c>
      <x:c r="AS887" t="str">
        <x:f>_xlfn.XLOOKUP($A887,Games!$A$2:$A$18,Games!$N$2:$N$18,"Missing game",0)</x:f>
        <x:v>dome</x:v>
      </x:c>
      <x:c r="AT887" t="str">
        <x:f>_xlfn.XLOOKUP($A887,Games!$A$2:$A$18,Games!$O$2:$O$18,"Missing game",0)</x:f>
        <x:v>sportturf</x:v>
      </x:c>
      <x:c r="AU887" t="str">
        <x:f>_xlfn.XLOOKUP($A887,Games!$A$2:$A$18,Games!$P$2:$P$18,"Missing game",0)</x:f>
      </x:c>
      <x:c r="AV887" t="str">
        <x:f>_xlfn.XLOOKUP($A887,Games!$A$2:$A$18,Games!$Q$2:$Q$18,"Missing game",0)</x:f>
      </x:c>
      <x:c r="AW887" t="str">
        <x:f>_xlfn.XLOOKUP($A887,Games!$A$2:$A$18,Games!$R$2:$R$18,"Missing game",0)</x:f>
        <x:v>U.S. Bank Stadium</x:v>
      </x:c>
    </x:row>
    <x:row r="888">
      <x:c r="A888" t="str">
        <x:v>2025_07_PHI_MIN</x:v>
      </x:c>
      <x:c r="B888" t="n">
        <x:v>833</x:v>
      </x:c>
      <x:c r="C888" t="n">
        <x:v>1</x:v>
      </x:c>
      <x:c r="D888" t="str">
        <x:v>00:38</x:v>
      </x:c>
      <x:c r="E888" t="n">
        <x:v>4</x:v>
      </x:c>
      <x:c r="F888" t="n">
        <x:v>6</x:v>
      </x:c>
      <x:c r="G888" t="str">
        <x:v>PHI</x:v>
      </x:c>
      <x:c r="H888" t="str">
        <x:v>MIN</x:v>
      </x:c>
      <x:c r="I888" t="str">
        <x:v>PHI</x:v>
      </x:c>
      <x:c r="J888" t="n">
        <x:v>62</x:v>
      </x:c>
      <x:c r="K888" t="str">
        <x:v>(:38) 10-B.Mann punts 46 yards to MIN 16, Center-57-C.Adomitis, fair catch by 4-M.Price.</x:v>
      </x:c>
      <x:c r="L888" t="str">
        <x:v>punt</x:v>
      </x:c>
      <x:c r="M888" t="n">
        <x:v>0</x:v>
      </x:c>
      <x:c r="N888" t="n">
        <x:v>0</x:v>
      </x:c>
      <x:c r="O888" t="n">
        <x:v>0</x:v>
      </x:c>
      <x:c r="P888"/>
      <x:c r="Q888"/>
      <x:c r="R888"/>
      <x:c r="S888"/>
      <x:c r="T888"/>
      <x:c r="U888"/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/>
      <x:c r="AC888" t="n">
        <x:v>0</x:v>
      </x:c>
      <x:c r="AD888" t="n">
        <x:v>-0.27284320490434766</x:v>
      </x:c>
      <x:c r="AE888" t="n">
        <x:v>0</x:v>
      </x:c>
      <x:c r="AF888" t="n">
        <x:v>0.020020097494125366</x:v>
      </x:c>
      <x:c r="AG888" t="n">
        <x:f>_xlfn.XLOOKUP($A888,Games!$A$2:$A$18,Games!$B$2:$B$18,"Missing game",0)</x:f>
        <x:v>2025</x:v>
      </x:c>
      <x:c r="AH888" t="str">
        <x:f>_xlfn.XLOOKUP($A888,Games!$A$2:$A$18,Games!$C$2:$C$18,"Missing game",0)</x:f>
        <x:v>REG</x:v>
      </x:c>
      <x:c r="AI888" t="n">
        <x:f>_xlfn.XLOOKUP($A888,Games!$A$2:$A$18,Games!$D$2:$D$18,"Missing game",0)</x:f>
        <x:v>7</x:v>
      </x:c>
      <x:c r="AJ888" s="1" t="n">
        <x:f>_xlfn.XLOOKUP($A888,Games!$A$2:$A$18,Games!$E$2:$E$18,"Missing game",0)</x:f>
        <x:v>45949</x:v>
      </x:c>
      <x:c r="AK888" t="str">
        <x:f>_xlfn.XLOOKUP($A888,Games!$A$2:$A$18,Games!$F$2:$F$18,"Missing game",0)</x:f>
        <x:v>Sunday</x:v>
      </x:c>
      <x:c r="AL888" t="str">
        <x:f>_xlfn.XLOOKUP($A888,Games!$A$2:$A$18,Games!$G$2:$G$18,"Missing game",0)</x:f>
        <x:v>PHI</x:v>
      </x:c>
      <x:c r="AM888" t="n">
        <x:f>_xlfn.XLOOKUP($A888,Games!$A$2:$A$18,Games!$H$2:$H$18,"Missing game",0)</x:f>
        <x:v>28</x:v>
      </x:c>
      <x:c r="AN888" t="str">
        <x:f>_xlfn.XLOOKUP($A888,Games!$A$2:$A$18,Games!$I$2:$I$18,"Missing game",0)</x:f>
        <x:v>MIN</x:v>
      </x:c>
      <x:c r="AO888" t="n">
        <x:f>_xlfn.XLOOKUP($A888,Games!$A$2:$A$18,Games!$J$2:$J$18,"Missing game",0)</x:f>
        <x:v>22</x:v>
      </x:c>
      <x:c r="AP888" t="n">
        <x:f>_xlfn.XLOOKUP($A888,Games!$A$2:$A$18,Games!$K$2:$K$18,"Missing game",0)</x:f>
        <x:v>-6</x:v>
      </x:c>
      <x:c r="AQ888" t="n">
        <x:f>_xlfn.XLOOKUP($A888,Games!$A$2:$A$18,Games!$L$2:$L$18,"Missing game",0)</x:f>
        <x:v>50</x:v>
      </x:c>
      <x:c r="AR888" t="n">
        <x:f>_xlfn.XLOOKUP($A888,Games!$A$2:$A$18,Games!$M$2:$M$18,"Missing game",0)</x:f>
        <x:v>0</x:v>
      </x:c>
      <x:c r="AS888" t="str">
        <x:f>_xlfn.XLOOKUP($A888,Games!$A$2:$A$18,Games!$N$2:$N$18,"Missing game",0)</x:f>
        <x:v>dome</x:v>
      </x:c>
      <x:c r="AT888" t="str">
        <x:f>_xlfn.XLOOKUP($A888,Games!$A$2:$A$18,Games!$O$2:$O$18,"Missing game",0)</x:f>
        <x:v>sportturf</x:v>
      </x:c>
      <x:c r="AU888" t="str">
        <x:f>_xlfn.XLOOKUP($A888,Games!$A$2:$A$18,Games!$P$2:$P$18,"Missing game",0)</x:f>
      </x:c>
      <x:c r="AV888" t="str">
        <x:f>_xlfn.XLOOKUP($A888,Games!$A$2:$A$18,Games!$Q$2:$Q$18,"Missing game",0)</x:f>
      </x:c>
      <x:c r="AW888" t="str">
        <x:f>_xlfn.XLOOKUP($A888,Games!$A$2:$A$18,Games!$R$2:$R$18,"Missing game",0)</x:f>
        <x:v>U.S. Bank Stadium</x:v>
      </x:c>
    </x:row>
    <x:row r="889">
      <x:c r="A889" t="str">
        <x:v>2025_07_PHI_MIN</x:v>
      </x:c>
      <x:c r="B889" t="n">
        <x:v>853</x:v>
      </x:c>
      <x:c r="C889" t="n">
        <x:v>1</x:v>
      </x:c>
      <x:c r="D889" t="str">
        <x:v>00:31</x:v>
      </x:c>
      <x:c r="E889" t="n">
        <x:v>1</x:v>
      </x:c>
      <x:c r="F889" t="n">
        <x:v>10</x:v>
      </x:c>
      <x:c r="G889" t="str">
        <x:v>MIN</x:v>
      </x:c>
      <x:c r="H889" t="str">
        <x:v>PHI</x:v>
      </x:c>
      <x:c r="I889" t="str">
        <x:v>MIN</x:v>
      </x:c>
      <x:c r="J889" t="n">
        <x:v>84</x:v>
      </x:c>
      <x:c r="K889" t="str">
        <x:v>(:31) 11-C.Wentz pass short middle to 18-J.Jefferson to MIN 34 for 18 yards (33-C.DeJean).</x:v>
      </x:c>
      <x:c r="L889" t="str">
        <x:v>pass</x:v>
      </x:c>
      <x:c r="M889" t="n">
        <x:v>18</x:v>
      </x:c>
      <x:c r="N889" t="n">
        <x:v>0</x:v>
      </x:c>
      <x:c r="O889" t="n">
        <x:v>0</x:v>
      </x:c>
      <x:c r="P889" t="str">
        <x:v>short</x:v>
      </x:c>
      <x:c r="Q889" t="str">
        <x:v>middle</x:v>
      </x:c>
      <x:c r="R889" t="n">
        <x:v>5</x:v>
      </x:c>
      <x:c r="S889" t="n">
        <x:v>13</x:v>
      </x:c>
      <x:c r="T889"/>
      <x:c r="U889"/>
      <x:c r="V889" t="n">
        <x:v>1</x:v>
      </x:c>
      <x:c r="W889" t="n">
        <x:v>1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/>
      <x:c r="AC889" t="n">
        <x:v>0</x:v>
      </x:c>
      <x:c r="AD889" t="n">
        <x:v>1.0173459493089467</x:v>
      </x:c>
      <x:c r="AE889" t="n">
        <x:v>1</x:v>
      </x:c>
      <x:c r="AF889" t="n">
        <x:v>0.032662004232406616</x:v>
      </x:c>
      <x:c r="AG889" t="n">
        <x:f>_xlfn.XLOOKUP($A889,Games!$A$2:$A$18,Games!$B$2:$B$18,"Missing game",0)</x:f>
        <x:v>2025</x:v>
      </x:c>
      <x:c r="AH889" t="str">
        <x:f>_xlfn.XLOOKUP($A889,Games!$A$2:$A$18,Games!$C$2:$C$18,"Missing game",0)</x:f>
        <x:v>REG</x:v>
      </x:c>
      <x:c r="AI889" t="n">
        <x:f>_xlfn.XLOOKUP($A889,Games!$A$2:$A$18,Games!$D$2:$D$18,"Missing game",0)</x:f>
        <x:v>7</x:v>
      </x:c>
      <x:c r="AJ889" s="1" t="n">
        <x:f>_xlfn.XLOOKUP($A889,Games!$A$2:$A$18,Games!$E$2:$E$18,"Missing game",0)</x:f>
        <x:v>45949</x:v>
      </x:c>
      <x:c r="AK889" t="str">
        <x:f>_xlfn.XLOOKUP($A889,Games!$A$2:$A$18,Games!$F$2:$F$18,"Missing game",0)</x:f>
        <x:v>Sunday</x:v>
      </x:c>
      <x:c r="AL889" t="str">
        <x:f>_xlfn.XLOOKUP($A889,Games!$A$2:$A$18,Games!$G$2:$G$18,"Missing game",0)</x:f>
        <x:v>PHI</x:v>
      </x:c>
      <x:c r="AM889" t="n">
        <x:f>_xlfn.XLOOKUP($A889,Games!$A$2:$A$18,Games!$H$2:$H$18,"Missing game",0)</x:f>
        <x:v>28</x:v>
      </x:c>
      <x:c r="AN889" t="str">
        <x:f>_xlfn.XLOOKUP($A889,Games!$A$2:$A$18,Games!$I$2:$I$18,"Missing game",0)</x:f>
        <x:v>MIN</x:v>
      </x:c>
      <x:c r="AO889" t="n">
        <x:f>_xlfn.XLOOKUP($A889,Games!$A$2:$A$18,Games!$J$2:$J$18,"Missing game",0)</x:f>
        <x:v>22</x:v>
      </x:c>
      <x:c r="AP889" t="n">
        <x:f>_xlfn.XLOOKUP($A889,Games!$A$2:$A$18,Games!$K$2:$K$18,"Missing game",0)</x:f>
        <x:v>-6</x:v>
      </x:c>
      <x:c r="AQ889" t="n">
        <x:f>_xlfn.XLOOKUP($A889,Games!$A$2:$A$18,Games!$L$2:$L$18,"Missing game",0)</x:f>
        <x:v>50</x:v>
      </x:c>
      <x:c r="AR889" t="n">
        <x:f>_xlfn.XLOOKUP($A889,Games!$A$2:$A$18,Games!$M$2:$M$18,"Missing game",0)</x:f>
        <x:v>0</x:v>
      </x:c>
      <x:c r="AS889" t="str">
        <x:f>_xlfn.XLOOKUP($A889,Games!$A$2:$A$18,Games!$N$2:$N$18,"Missing game",0)</x:f>
        <x:v>dome</x:v>
      </x:c>
      <x:c r="AT889" t="str">
        <x:f>_xlfn.XLOOKUP($A889,Games!$A$2:$A$18,Games!$O$2:$O$18,"Missing game",0)</x:f>
        <x:v>sportturf</x:v>
      </x:c>
      <x:c r="AU889" t="str">
        <x:f>_xlfn.XLOOKUP($A889,Games!$A$2:$A$18,Games!$P$2:$P$18,"Missing game",0)</x:f>
      </x:c>
      <x:c r="AV889" t="str">
        <x:f>_xlfn.XLOOKUP($A889,Games!$A$2:$A$18,Games!$Q$2:$Q$18,"Missing game",0)</x:f>
      </x:c>
      <x:c r="AW889" t="str">
        <x:f>_xlfn.XLOOKUP($A889,Games!$A$2:$A$18,Games!$R$2:$R$18,"Missing game",0)</x:f>
        <x:v>U.S. Bank Stadium</x:v>
      </x:c>
    </x:row>
    <x:row r="890">
      <x:c r="A890" t="str">
        <x:v>2025_07_PHI_MIN</x:v>
      </x:c>
      <x:c r="B890" t="n">
        <x:v>885</x:v>
      </x:c>
      <x:c r="C890" t="n">
        <x:v>1</x:v>
      </x:c>
      <x:c r="D890" t="str">
        <x:v>00:00</x:v>
      </x:c>
      <x:c r="E890"/>
      <x:c r="F890" t="n">
        <x:v>0</x:v>
      </x:c>
      <x:c r="G890" t="str">
        <x:v>MIN</x:v>
      </x:c>
      <x:c r="H890" t="str">
        <x:v>PHI</x:v>
      </x:c>
      <x:c r="I890"/>
      <x:c r="J890"/>
      <x:c r="K890" t="str">
        <x:v>END QUARTER 1</x:v>
      </x:c>
      <x:c r="L890"/>
      <x:c r="M890"/>
      <x:c r="N890" t="n">
        <x:v>0</x:v>
      </x:c>
      <x:c r="O890" t="n">
        <x:v>0</x:v>
      </x:c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 t="n">
        <x:v>0</x:v>
      </x:c>
      <x:c r="AE890" t="n">
        <x:v>0</x:v>
      </x:c>
      <x:c r="AF890" t="n">
        <x:v>0</x:v>
      </x:c>
      <x:c r="AG890" t="n">
        <x:f>_xlfn.XLOOKUP($A890,Games!$A$2:$A$18,Games!$B$2:$B$18,"Missing game",0)</x:f>
        <x:v>2025</x:v>
      </x:c>
      <x:c r="AH890" t="str">
        <x:f>_xlfn.XLOOKUP($A890,Games!$A$2:$A$18,Games!$C$2:$C$18,"Missing game",0)</x:f>
        <x:v>REG</x:v>
      </x:c>
      <x:c r="AI890" t="n">
        <x:f>_xlfn.XLOOKUP($A890,Games!$A$2:$A$18,Games!$D$2:$D$18,"Missing game",0)</x:f>
        <x:v>7</x:v>
      </x:c>
      <x:c r="AJ890" s="1" t="n">
        <x:f>_xlfn.XLOOKUP($A890,Games!$A$2:$A$18,Games!$E$2:$E$18,"Missing game",0)</x:f>
        <x:v>45949</x:v>
      </x:c>
      <x:c r="AK890" t="str">
        <x:f>_xlfn.XLOOKUP($A890,Games!$A$2:$A$18,Games!$F$2:$F$18,"Missing game",0)</x:f>
        <x:v>Sunday</x:v>
      </x:c>
      <x:c r="AL890" t="str">
        <x:f>_xlfn.XLOOKUP($A890,Games!$A$2:$A$18,Games!$G$2:$G$18,"Missing game",0)</x:f>
        <x:v>PHI</x:v>
      </x:c>
      <x:c r="AM890" t="n">
        <x:f>_xlfn.XLOOKUP($A890,Games!$A$2:$A$18,Games!$H$2:$H$18,"Missing game",0)</x:f>
        <x:v>28</x:v>
      </x:c>
      <x:c r="AN890" t="str">
        <x:f>_xlfn.XLOOKUP($A890,Games!$A$2:$A$18,Games!$I$2:$I$18,"Missing game",0)</x:f>
        <x:v>MIN</x:v>
      </x:c>
      <x:c r="AO890" t="n">
        <x:f>_xlfn.XLOOKUP($A890,Games!$A$2:$A$18,Games!$J$2:$J$18,"Missing game",0)</x:f>
        <x:v>22</x:v>
      </x:c>
      <x:c r="AP890" t="n">
        <x:f>_xlfn.XLOOKUP($A890,Games!$A$2:$A$18,Games!$K$2:$K$18,"Missing game",0)</x:f>
        <x:v>-6</x:v>
      </x:c>
      <x:c r="AQ890" t="n">
        <x:f>_xlfn.XLOOKUP($A890,Games!$A$2:$A$18,Games!$L$2:$L$18,"Missing game",0)</x:f>
        <x:v>50</x:v>
      </x:c>
      <x:c r="AR890" t="n">
        <x:f>_xlfn.XLOOKUP($A890,Games!$A$2:$A$18,Games!$M$2:$M$18,"Missing game",0)</x:f>
        <x:v>0</x:v>
      </x:c>
      <x:c r="AS890" t="str">
        <x:f>_xlfn.XLOOKUP($A890,Games!$A$2:$A$18,Games!$N$2:$N$18,"Missing game",0)</x:f>
        <x:v>dome</x:v>
      </x:c>
      <x:c r="AT890" t="str">
        <x:f>_xlfn.XLOOKUP($A890,Games!$A$2:$A$18,Games!$O$2:$O$18,"Missing game",0)</x:f>
        <x:v>sportturf</x:v>
      </x:c>
      <x:c r="AU890" t="str">
        <x:f>_xlfn.XLOOKUP($A890,Games!$A$2:$A$18,Games!$P$2:$P$18,"Missing game",0)</x:f>
      </x:c>
      <x:c r="AV890" t="str">
        <x:f>_xlfn.XLOOKUP($A890,Games!$A$2:$A$18,Games!$Q$2:$Q$18,"Missing game",0)</x:f>
      </x:c>
      <x:c r="AW890" t="str">
        <x:f>_xlfn.XLOOKUP($A890,Games!$A$2:$A$18,Games!$R$2:$R$18,"Missing game",0)</x:f>
        <x:v>U.S. Bank Stadium</x:v>
      </x:c>
    </x:row>
    <x:row r="891">
      <x:c r="A891" t="str">
        <x:v>2025_07_PHI_MIN</x:v>
      </x:c>
      <x:c r="B891" t="n">
        <x:v>905</x:v>
      </x:c>
      <x:c r="C891" t="n">
        <x:v>2</x:v>
      </x:c>
      <x:c r="D891" t="str">
        <x:v>15:00</x:v>
      </x:c>
      <x:c r="E891" t="n">
        <x:v>1</x:v>
      </x:c>
      <x:c r="F891" t="n">
        <x:v>10</x:v>
      </x:c>
      <x:c r="G891" t="str">
        <x:v>MIN</x:v>
      </x:c>
      <x:c r="H891" t="str">
        <x:v>PHI</x:v>
      </x:c>
      <x:c r="I891" t="str">
        <x:v>MIN</x:v>
      </x:c>
      <x:c r="J891" t="n">
        <x:v>66</x:v>
      </x:c>
      <x:c r="K891" t="str">
        <x:v>(15:00) 27-J.Mason left end to MIN 38 for 4 yards (17-N.Dean; 32-R.Blankenship).</x:v>
      </x:c>
      <x:c r="L891" t="str">
        <x:v>run</x:v>
      </x:c>
      <x:c r="M891" t="n">
        <x:v>4</x:v>
      </x:c>
      <x:c r="N891" t="n">
        <x:v>0</x:v>
      </x:c>
      <x:c r="O891" t="n">
        <x:v>0</x:v>
      </x:c>
      <x:c r="P891"/>
      <x:c r="Q891"/>
      <x:c r="R891"/>
      <x:c r="S891"/>
      <x:c r="T891" t="str">
        <x:v>left</x:v>
      </x:c>
      <x:c r="U891" t="str">
        <x:v>end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/>
      <x:c r="AC891" t="n">
        <x:v>0</x:v>
      </x:c>
      <x:c r="AD891" t="n">
        <x:v>-0.2917531547136605</x:v>
      </x:c>
      <x:c r="AE891" t="n">
        <x:v>0</x:v>
      </x:c>
      <x:c r="AF891" t="n">
        <x:v>0.0037004947662353516</x:v>
      </x:c>
      <x:c r="AG891" t="n">
        <x:f>_xlfn.XLOOKUP($A891,Games!$A$2:$A$18,Games!$B$2:$B$18,"Missing game",0)</x:f>
        <x:v>2025</x:v>
      </x:c>
      <x:c r="AH891" t="str">
        <x:f>_xlfn.XLOOKUP($A891,Games!$A$2:$A$18,Games!$C$2:$C$18,"Missing game",0)</x:f>
        <x:v>REG</x:v>
      </x:c>
      <x:c r="AI891" t="n">
        <x:f>_xlfn.XLOOKUP($A891,Games!$A$2:$A$18,Games!$D$2:$D$18,"Missing game",0)</x:f>
        <x:v>7</x:v>
      </x:c>
      <x:c r="AJ891" s="1" t="n">
        <x:f>_xlfn.XLOOKUP($A891,Games!$A$2:$A$18,Games!$E$2:$E$18,"Missing game",0)</x:f>
        <x:v>45949</x:v>
      </x:c>
      <x:c r="AK891" t="str">
        <x:f>_xlfn.XLOOKUP($A891,Games!$A$2:$A$18,Games!$F$2:$F$18,"Missing game",0)</x:f>
        <x:v>Sunday</x:v>
      </x:c>
      <x:c r="AL891" t="str">
        <x:f>_xlfn.XLOOKUP($A891,Games!$A$2:$A$18,Games!$G$2:$G$18,"Missing game",0)</x:f>
        <x:v>PHI</x:v>
      </x:c>
      <x:c r="AM891" t="n">
        <x:f>_xlfn.XLOOKUP($A891,Games!$A$2:$A$18,Games!$H$2:$H$18,"Missing game",0)</x:f>
        <x:v>28</x:v>
      </x:c>
      <x:c r="AN891" t="str">
        <x:f>_xlfn.XLOOKUP($A891,Games!$A$2:$A$18,Games!$I$2:$I$18,"Missing game",0)</x:f>
        <x:v>MIN</x:v>
      </x:c>
      <x:c r="AO891" t="n">
        <x:f>_xlfn.XLOOKUP($A891,Games!$A$2:$A$18,Games!$J$2:$J$18,"Missing game",0)</x:f>
        <x:v>22</x:v>
      </x:c>
      <x:c r="AP891" t="n">
        <x:f>_xlfn.XLOOKUP($A891,Games!$A$2:$A$18,Games!$K$2:$K$18,"Missing game",0)</x:f>
        <x:v>-6</x:v>
      </x:c>
      <x:c r="AQ891" t="n">
        <x:f>_xlfn.XLOOKUP($A891,Games!$A$2:$A$18,Games!$L$2:$L$18,"Missing game",0)</x:f>
        <x:v>50</x:v>
      </x:c>
      <x:c r="AR891" t="n">
        <x:f>_xlfn.XLOOKUP($A891,Games!$A$2:$A$18,Games!$M$2:$M$18,"Missing game",0)</x:f>
        <x:v>0</x:v>
      </x:c>
      <x:c r="AS891" t="str">
        <x:f>_xlfn.XLOOKUP($A891,Games!$A$2:$A$18,Games!$N$2:$N$18,"Missing game",0)</x:f>
        <x:v>dome</x:v>
      </x:c>
      <x:c r="AT891" t="str">
        <x:f>_xlfn.XLOOKUP($A891,Games!$A$2:$A$18,Games!$O$2:$O$18,"Missing game",0)</x:f>
        <x:v>sportturf</x:v>
      </x:c>
      <x:c r="AU891" t="str">
        <x:f>_xlfn.XLOOKUP($A891,Games!$A$2:$A$18,Games!$P$2:$P$18,"Missing game",0)</x:f>
      </x:c>
      <x:c r="AV891" t="str">
        <x:f>_xlfn.XLOOKUP($A891,Games!$A$2:$A$18,Games!$Q$2:$Q$18,"Missing game",0)</x:f>
      </x:c>
      <x:c r="AW891" t="str">
        <x:f>_xlfn.XLOOKUP($A891,Games!$A$2:$A$18,Games!$R$2:$R$18,"Missing game",0)</x:f>
        <x:v>U.S. Bank Stadium</x:v>
      </x:c>
    </x:row>
    <x:row r="892">
      <x:c r="A892" t="str">
        <x:v>2025_07_PHI_MIN</x:v>
      </x:c>
      <x:c r="B892" t="n">
        <x:v>927</x:v>
      </x:c>
      <x:c r="C892" t="n">
        <x:v>2</x:v>
      </x:c>
      <x:c r="D892" t="str">
        <x:v>14:20</x:v>
      </x:c>
      <x:c r="E892" t="n">
        <x:v>2</x:v>
      </x:c>
      <x:c r="F892" t="n">
        <x:v>6</x:v>
      </x:c>
      <x:c r="G892" t="str">
        <x:v>MIN</x:v>
      </x:c>
      <x:c r="H892" t="str">
        <x:v>PHI</x:v>
      </x:c>
      <x:c r="I892" t="str">
        <x:v>MIN</x:v>
      </x:c>
      <x:c r="J892" t="n">
        <x:v>62</x:v>
      </x:c>
      <x:c r="K892" t="str">
        <x:v>(14:20) 27-J.Mason up the middle to MIN 39 for 1 yard (90-J.Davis; 97-M.Ojomo).</x:v>
      </x:c>
      <x:c r="L892" t="str">
        <x:v>run</x:v>
      </x:c>
      <x:c r="M892" t="n">
        <x:v>1</x:v>
      </x:c>
      <x:c r="N892" t="n">
        <x:v>0</x:v>
      </x:c>
      <x:c r="O892" t="n">
        <x:v>0</x:v>
      </x:c>
      <x:c r="P892"/>
      <x:c r="Q892"/>
      <x:c r="R892"/>
      <x:c r="S892"/>
      <x:c r="T892" t="str">
        <x:v>middle</x:v>
      </x:c>
      <x:c r="U892"/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/>
      <x:c r="AC892" t="n">
        <x:v>0</x:v>
      </x:c>
      <x:c r="AD892" t="n">
        <x:v>-0.7420485713519156</x:v>
      </x:c>
      <x:c r="AE892" t="n">
        <x:v>0</x:v>
      </x:c>
      <x:c r="AF892" t="n">
        <x:v>-0.026313692331314087</x:v>
      </x:c>
      <x:c r="AG892" t="n">
        <x:f>_xlfn.XLOOKUP($A892,Games!$A$2:$A$18,Games!$B$2:$B$18,"Missing game",0)</x:f>
        <x:v>2025</x:v>
      </x:c>
      <x:c r="AH892" t="str">
        <x:f>_xlfn.XLOOKUP($A892,Games!$A$2:$A$18,Games!$C$2:$C$18,"Missing game",0)</x:f>
        <x:v>REG</x:v>
      </x:c>
      <x:c r="AI892" t="n">
        <x:f>_xlfn.XLOOKUP($A892,Games!$A$2:$A$18,Games!$D$2:$D$18,"Missing game",0)</x:f>
        <x:v>7</x:v>
      </x:c>
      <x:c r="AJ892" s="1" t="n">
        <x:f>_xlfn.XLOOKUP($A892,Games!$A$2:$A$18,Games!$E$2:$E$18,"Missing game",0)</x:f>
        <x:v>45949</x:v>
      </x:c>
      <x:c r="AK892" t="str">
        <x:f>_xlfn.XLOOKUP($A892,Games!$A$2:$A$18,Games!$F$2:$F$18,"Missing game",0)</x:f>
        <x:v>Sunday</x:v>
      </x:c>
      <x:c r="AL892" t="str">
        <x:f>_xlfn.XLOOKUP($A892,Games!$A$2:$A$18,Games!$G$2:$G$18,"Missing game",0)</x:f>
        <x:v>PHI</x:v>
      </x:c>
      <x:c r="AM892" t="n">
        <x:f>_xlfn.XLOOKUP($A892,Games!$A$2:$A$18,Games!$H$2:$H$18,"Missing game",0)</x:f>
        <x:v>28</x:v>
      </x:c>
      <x:c r="AN892" t="str">
        <x:f>_xlfn.XLOOKUP($A892,Games!$A$2:$A$18,Games!$I$2:$I$18,"Missing game",0)</x:f>
        <x:v>MIN</x:v>
      </x:c>
      <x:c r="AO892" t="n">
        <x:f>_xlfn.XLOOKUP($A892,Games!$A$2:$A$18,Games!$J$2:$J$18,"Missing game",0)</x:f>
        <x:v>22</x:v>
      </x:c>
      <x:c r="AP892" t="n">
        <x:f>_xlfn.XLOOKUP($A892,Games!$A$2:$A$18,Games!$K$2:$K$18,"Missing game",0)</x:f>
        <x:v>-6</x:v>
      </x:c>
      <x:c r="AQ892" t="n">
        <x:f>_xlfn.XLOOKUP($A892,Games!$A$2:$A$18,Games!$L$2:$L$18,"Missing game",0)</x:f>
        <x:v>50</x:v>
      </x:c>
      <x:c r="AR892" t="n">
        <x:f>_xlfn.XLOOKUP($A892,Games!$A$2:$A$18,Games!$M$2:$M$18,"Missing game",0)</x:f>
        <x:v>0</x:v>
      </x:c>
      <x:c r="AS892" t="str">
        <x:f>_xlfn.XLOOKUP($A892,Games!$A$2:$A$18,Games!$N$2:$N$18,"Missing game",0)</x:f>
        <x:v>dome</x:v>
      </x:c>
      <x:c r="AT892" t="str">
        <x:f>_xlfn.XLOOKUP($A892,Games!$A$2:$A$18,Games!$O$2:$O$18,"Missing game",0)</x:f>
        <x:v>sportturf</x:v>
      </x:c>
      <x:c r="AU892" t="str">
        <x:f>_xlfn.XLOOKUP($A892,Games!$A$2:$A$18,Games!$P$2:$P$18,"Missing game",0)</x:f>
      </x:c>
      <x:c r="AV892" t="str">
        <x:f>_xlfn.XLOOKUP($A892,Games!$A$2:$A$18,Games!$Q$2:$Q$18,"Missing game",0)</x:f>
      </x:c>
      <x:c r="AW892" t="str">
        <x:f>_xlfn.XLOOKUP($A892,Games!$A$2:$A$18,Games!$R$2:$R$18,"Missing game",0)</x:f>
        <x:v>U.S. Bank Stadium</x:v>
      </x:c>
    </x:row>
    <x:row r="893">
      <x:c r="A893" t="str">
        <x:v>2025_07_PHI_MIN</x:v>
      </x:c>
      <x:c r="B893" t="n">
        <x:v>949</x:v>
      </x:c>
      <x:c r="C893" t="n">
        <x:v>2</x:v>
      </x:c>
      <x:c r="D893" t="str">
        <x:v>13:35</x:v>
      </x:c>
      <x:c r="E893" t="n">
        <x:v>3</x:v>
      </x:c>
      <x:c r="F893" t="n">
        <x:v>5</x:v>
      </x:c>
      <x:c r="G893" t="str">
        <x:v>MIN</x:v>
      </x:c>
      <x:c r="H893" t="str">
        <x:v>PHI</x:v>
      </x:c>
      <x:c r="I893" t="str">
        <x:v>MIN</x:v>
      </x:c>
      <x:c r="J893" t="n">
        <x:v>61</x:v>
      </x:c>
      <x:c r="K893" t="str">
        <x:v>(13:35) (Shotgun) 11-C.Wentz pass short middle intended for 18-J.Jefferson INTERCEPTED by 58-J.Hunt [98-J.Carter] at MIN 42. 58-J.Hunt for 42 yards, TOUCHDOWN.</x:v>
      </x:c>
      <x:c r="L893" t="str">
        <x:v>pass</x:v>
      </x:c>
      <x:c r="M893" t="n">
        <x:v>0</x:v>
      </x:c>
      <x:c r="N893" t="n">
        <x:v>1</x:v>
      </x:c>
      <x:c r="O893" t="n">
        <x:v>0</x:v>
      </x:c>
      <x:c r="P893" t="str">
        <x:v>short</x:v>
      </x:c>
      <x:c r="Q893" t="str">
        <x:v>middle</x:v>
      </x:c>
      <x:c r="R893" t="n">
        <x:v>3</x:v>
      </x:c>
      <x:c r="S893"/>
      <x:c r="T893"/>
      <x:c r="U893"/>
      <x:c r="V893" t="n">
        <x:v>0</x:v>
      </x:c>
      <x:c r="W893" t="n">
        <x:v>0</x:v>
      </x:c>
      <x:c r="X893" t="n">
        <x:v>0</x:v>
      </x:c>
      <x:c r="Y893" t="n">
        <x:v>1</x:v>
      </x:c>
      <x:c r="Z893" t="n">
        <x:v>0</x:v>
      </x:c>
      <x:c r="AA893" t="n">
        <x:v>0</x:v>
      </x:c>
      <x:c r="AB893"/>
      <x:c r="AC893" t="n">
        <x:v>1</x:v>
      </x:c>
      <x:c r="AD893" t="n">
        <x:v>-7.888598184334114</x:v>
      </x:c>
      <x:c r="AE893" t="n">
        <x:v>0</x:v>
      </x:c>
      <x:c r="AF893" t="n">
        <x:v>-0.19436203849274125</x:v>
      </x:c>
      <x:c r="AG893" t="n">
        <x:f>_xlfn.XLOOKUP($A893,Games!$A$2:$A$18,Games!$B$2:$B$18,"Missing game",0)</x:f>
        <x:v>2025</x:v>
      </x:c>
      <x:c r="AH893" t="str">
        <x:f>_xlfn.XLOOKUP($A893,Games!$A$2:$A$18,Games!$C$2:$C$18,"Missing game",0)</x:f>
        <x:v>REG</x:v>
      </x:c>
      <x:c r="AI893" t="n">
        <x:f>_xlfn.XLOOKUP($A893,Games!$A$2:$A$18,Games!$D$2:$D$18,"Missing game",0)</x:f>
        <x:v>7</x:v>
      </x:c>
      <x:c r="AJ893" s="1" t="n">
        <x:f>_xlfn.XLOOKUP($A893,Games!$A$2:$A$18,Games!$E$2:$E$18,"Missing game",0)</x:f>
        <x:v>45949</x:v>
      </x:c>
      <x:c r="AK893" t="str">
        <x:f>_xlfn.XLOOKUP($A893,Games!$A$2:$A$18,Games!$F$2:$F$18,"Missing game",0)</x:f>
        <x:v>Sunday</x:v>
      </x:c>
      <x:c r="AL893" t="str">
        <x:f>_xlfn.XLOOKUP($A893,Games!$A$2:$A$18,Games!$G$2:$G$18,"Missing game",0)</x:f>
        <x:v>PHI</x:v>
      </x:c>
      <x:c r="AM893" t="n">
        <x:f>_xlfn.XLOOKUP($A893,Games!$A$2:$A$18,Games!$H$2:$H$18,"Missing game",0)</x:f>
        <x:v>28</x:v>
      </x:c>
      <x:c r="AN893" t="str">
        <x:f>_xlfn.XLOOKUP($A893,Games!$A$2:$A$18,Games!$I$2:$I$18,"Missing game",0)</x:f>
        <x:v>MIN</x:v>
      </x:c>
      <x:c r="AO893" t="n">
        <x:f>_xlfn.XLOOKUP($A893,Games!$A$2:$A$18,Games!$J$2:$J$18,"Missing game",0)</x:f>
        <x:v>22</x:v>
      </x:c>
      <x:c r="AP893" t="n">
        <x:f>_xlfn.XLOOKUP($A893,Games!$A$2:$A$18,Games!$K$2:$K$18,"Missing game",0)</x:f>
        <x:v>-6</x:v>
      </x:c>
      <x:c r="AQ893" t="n">
        <x:f>_xlfn.XLOOKUP($A893,Games!$A$2:$A$18,Games!$L$2:$L$18,"Missing game",0)</x:f>
        <x:v>50</x:v>
      </x:c>
      <x:c r="AR893" t="n">
        <x:f>_xlfn.XLOOKUP($A893,Games!$A$2:$A$18,Games!$M$2:$M$18,"Missing game",0)</x:f>
        <x:v>0</x:v>
      </x:c>
      <x:c r="AS893" t="str">
        <x:f>_xlfn.XLOOKUP($A893,Games!$A$2:$A$18,Games!$N$2:$N$18,"Missing game",0)</x:f>
        <x:v>dome</x:v>
      </x:c>
      <x:c r="AT893" t="str">
        <x:f>_xlfn.XLOOKUP($A893,Games!$A$2:$A$18,Games!$O$2:$O$18,"Missing game",0)</x:f>
        <x:v>sportturf</x:v>
      </x:c>
      <x:c r="AU893" t="str">
        <x:f>_xlfn.XLOOKUP($A893,Games!$A$2:$A$18,Games!$P$2:$P$18,"Missing game",0)</x:f>
      </x:c>
      <x:c r="AV893" t="str">
        <x:f>_xlfn.XLOOKUP($A893,Games!$A$2:$A$18,Games!$Q$2:$Q$18,"Missing game",0)</x:f>
      </x:c>
      <x:c r="AW893" t="str">
        <x:f>_xlfn.XLOOKUP($A893,Games!$A$2:$A$18,Games!$R$2:$R$18,"Missing game",0)</x:f>
        <x:v>U.S. Bank Stadium</x:v>
      </x:c>
    </x:row>
    <x:row r="894">
      <x:c r="A894" t="str">
        <x:v>2025_07_PHI_MIN</x:v>
      </x:c>
      <x:c r="B894" t="n">
        <x:v>977</x:v>
      </x:c>
      <x:c r="C894" t="n">
        <x:v>2</x:v>
      </x:c>
      <x:c r="D894" t="str">
        <x:v>13:26</x:v>
      </x:c>
      <x:c r="E894"/>
      <x:c r="F894" t="n">
        <x:v>0</x:v>
      </x:c>
      <x:c r="G894" t="str">
        <x:v>PHI</x:v>
      </x:c>
      <x:c r="H894" t="str">
        <x:v>MIN</x:v>
      </x:c>
      <x:c r="I894" t="str">
        <x:v>MIN</x:v>
      </x:c>
      <x:c r="J894" t="n">
        <x:v>15</x:v>
      </x:c>
      <x:c r="K894" t="str">
        <x:v>4-J.Elliott extra point is GOOD, Center-57-C.Adomitis, Holder-10-B.Mann.</x:v>
      </x:c>
      <x:c r="L894" t="str">
        <x:v>extra_point</x:v>
      </x:c>
      <x:c r="M894" t="n">
        <x:v>0</x:v>
      </x:c>
      <x:c r="N894" t="n">
        <x:v>0</x:v>
      </x:c>
      <x:c r="O894" t="n">
        <x:v>0</x:v>
      </x:c>
      <x:c r="P894"/>
      <x:c r="Q894"/>
      <x:c r="R894"/>
      <x:c r="S894"/>
      <x:c r="T894"/>
      <x:c r="U894"/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/>
      <x:c r="AC894" t="n">
        <x:v>0</x:v>
      </x:c>
      <x:c r="AD894" t="n">
        <x:v>0.05117156607063911</x:v>
      </x:c>
      <x:c r="AE894" t="n">
        <x:v>1</x:v>
      </x:c>
      <x:c r="AF894" t="n">
        <x:v>0.0015237687830308433</x:v>
      </x:c>
      <x:c r="AG894" t="n">
        <x:f>_xlfn.XLOOKUP($A894,Games!$A$2:$A$18,Games!$B$2:$B$18,"Missing game",0)</x:f>
        <x:v>2025</x:v>
      </x:c>
      <x:c r="AH894" t="str">
        <x:f>_xlfn.XLOOKUP($A894,Games!$A$2:$A$18,Games!$C$2:$C$18,"Missing game",0)</x:f>
        <x:v>REG</x:v>
      </x:c>
      <x:c r="AI894" t="n">
        <x:f>_xlfn.XLOOKUP($A894,Games!$A$2:$A$18,Games!$D$2:$D$18,"Missing game",0)</x:f>
        <x:v>7</x:v>
      </x:c>
      <x:c r="AJ894" s="1" t="n">
        <x:f>_xlfn.XLOOKUP($A894,Games!$A$2:$A$18,Games!$E$2:$E$18,"Missing game",0)</x:f>
        <x:v>45949</x:v>
      </x:c>
      <x:c r="AK894" t="str">
        <x:f>_xlfn.XLOOKUP($A894,Games!$A$2:$A$18,Games!$F$2:$F$18,"Missing game",0)</x:f>
        <x:v>Sunday</x:v>
      </x:c>
      <x:c r="AL894" t="str">
        <x:f>_xlfn.XLOOKUP($A894,Games!$A$2:$A$18,Games!$G$2:$G$18,"Missing game",0)</x:f>
        <x:v>PHI</x:v>
      </x:c>
      <x:c r="AM894" t="n">
        <x:f>_xlfn.XLOOKUP($A894,Games!$A$2:$A$18,Games!$H$2:$H$18,"Missing game",0)</x:f>
        <x:v>28</x:v>
      </x:c>
      <x:c r="AN894" t="str">
        <x:f>_xlfn.XLOOKUP($A894,Games!$A$2:$A$18,Games!$I$2:$I$18,"Missing game",0)</x:f>
        <x:v>MIN</x:v>
      </x:c>
      <x:c r="AO894" t="n">
        <x:f>_xlfn.XLOOKUP($A894,Games!$A$2:$A$18,Games!$J$2:$J$18,"Missing game",0)</x:f>
        <x:v>22</x:v>
      </x:c>
      <x:c r="AP894" t="n">
        <x:f>_xlfn.XLOOKUP($A894,Games!$A$2:$A$18,Games!$K$2:$K$18,"Missing game",0)</x:f>
        <x:v>-6</x:v>
      </x:c>
      <x:c r="AQ894" t="n">
        <x:f>_xlfn.XLOOKUP($A894,Games!$A$2:$A$18,Games!$L$2:$L$18,"Missing game",0)</x:f>
        <x:v>50</x:v>
      </x:c>
      <x:c r="AR894" t="n">
        <x:f>_xlfn.XLOOKUP($A894,Games!$A$2:$A$18,Games!$M$2:$M$18,"Missing game",0)</x:f>
        <x:v>0</x:v>
      </x:c>
      <x:c r="AS894" t="str">
        <x:f>_xlfn.XLOOKUP($A894,Games!$A$2:$A$18,Games!$N$2:$N$18,"Missing game",0)</x:f>
        <x:v>dome</x:v>
      </x:c>
      <x:c r="AT894" t="str">
        <x:f>_xlfn.XLOOKUP($A894,Games!$A$2:$A$18,Games!$O$2:$O$18,"Missing game",0)</x:f>
        <x:v>sportturf</x:v>
      </x:c>
      <x:c r="AU894" t="str">
        <x:f>_xlfn.XLOOKUP($A894,Games!$A$2:$A$18,Games!$P$2:$P$18,"Missing game",0)</x:f>
      </x:c>
      <x:c r="AV894" t="str">
        <x:f>_xlfn.XLOOKUP($A894,Games!$A$2:$A$18,Games!$Q$2:$Q$18,"Missing game",0)</x:f>
      </x:c>
      <x:c r="AW894" t="str">
        <x:f>_xlfn.XLOOKUP($A894,Games!$A$2:$A$18,Games!$R$2:$R$18,"Missing game",0)</x:f>
        <x:v>U.S. Bank Stadium</x:v>
      </x:c>
    </x:row>
    <x:row r="895">
      <x:c r="A895" t="str">
        <x:v>2025_07_PHI_MIN</x:v>
      </x:c>
      <x:c r="B895" t="n">
        <x:v>992</x:v>
      </x:c>
      <x:c r="C895" t="n">
        <x:v>2</x:v>
      </x:c>
      <x:c r="D895" t="str">
        <x:v>13:26</x:v>
      </x:c>
      <x:c r="E895"/>
      <x:c r="F895" t="n">
        <x:v>0</x:v>
      </x:c>
      <x:c r="G895" t="str">
        <x:v>MIN</x:v>
      </x:c>
      <x:c r="H895" t="str">
        <x:v>PHI</x:v>
      </x:c>
      <x:c r="I895" t="str">
        <x:v>PHI</x:v>
      </x:c>
      <x:c r="J895" t="n">
        <x:v>35</x:v>
      </x:c>
      <x:c r="K895" t="str">
        <x:v>4-J.Elliott kicks 56 yards from PHI 35 to MIN 9. 13-T.Felton to MIN 26 for 17 yards (48-P.Johnson; 36-C.Latu).</x:v>
      </x:c>
      <x:c r="L895" t="str">
        <x:v>kickoff</x:v>
      </x:c>
      <x:c r="M895" t="n">
        <x:v>0</x:v>
      </x:c>
      <x:c r="N895" t="n">
        <x:v>0</x:v>
      </x:c>
      <x:c r="O895" t="n">
        <x:v>0</x:v>
      </x:c>
      <x:c r="P895"/>
      <x:c r="Q895"/>
      <x:c r="R895"/>
      <x:c r="S895"/>
      <x:c r="T895"/>
      <x:c r="U895"/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/>
      <x:c r="AC895" t="n">
        <x:v>0</x:v>
      </x:c>
      <x:c r="AD895" t="n">
        <x:v>0.021874204743653536</x:v>
      </x:c>
      <x:c r="AE895" t="n">
        <x:v>1</x:v>
      </x:c>
      <x:c r="AF895" t="n">
        <x:v>0</x:v>
      </x:c>
      <x:c r="AG895" t="n">
        <x:f>_xlfn.XLOOKUP($A895,Games!$A$2:$A$18,Games!$B$2:$B$18,"Missing game",0)</x:f>
        <x:v>2025</x:v>
      </x:c>
      <x:c r="AH895" t="str">
        <x:f>_xlfn.XLOOKUP($A895,Games!$A$2:$A$18,Games!$C$2:$C$18,"Missing game",0)</x:f>
        <x:v>REG</x:v>
      </x:c>
      <x:c r="AI895" t="n">
        <x:f>_xlfn.XLOOKUP($A895,Games!$A$2:$A$18,Games!$D$2:$D$18,"Missing game",0)</x:f>
        <x:v>7</x:v>
      </x:c>
      <x:c r="AJ895" s="1" t="n">
        <x:f>_xlfn.XLOOKUP($A895,Games!$A$2:$A$18,Games!$E$2:$E$18,"Missing game",0)</x:f>
        <x:v>45949</x:v>
      </x:c>
      <x:c r="AK895" t="str">
        <x:f>_xlfn.XLOOKUP($A895,Games!$A$2:$A$18,Games!$F$2:$F$18,"Missing game",0)</x:f>
        <x:v>Sunday</x:v>
      </x:c>
      <x:c r="AL895" t="str">
        <x:f>_xlfn.XLOOKUP($A895,Games!$A$2:$A$18,Games!$G$2:$G$18,"Missing game",0)</x:f>
        <x:v>PHI</x:v>
      </x:c>
      <x:c r="AM895" t="n">
        <x:f>_xlfn.XLOOKUP($A895,Games!$A$2:$A$18,Games!$H$2:$H$18,"Missing game",0)</x:f>
        <x:v>28</x:v>
      </x:c>
      <x:c r="AN895" t="str">
        <x:f>_xlfn.XLOOKUP($A895,Games!$A$2:$A$18,Games!$I$2:$I$18,"Missing game",0)</x:f>
        <x:v>MIN</x:v>
      </x:c>
      <x:c r="AO895" t="n">
        <x:f>_xlfn.XLOOKUP($A895,Games!$A$2:$A$18,Games!$J$2:$J$18,"Missing game",0)</x:f>
        <x:v>22</x:v>
      </x:c>
      <x:c r="AP895" t="n">
        <x:f>_xlfn.XLOOKUP($A895,Games!$A$2:$A$18,Games!$K$2:$K$18,"Missing game",0)</x:f>
        <x:v>-6</x:v>
      </x:c>
      <x:c r="AQ895" t="n">
        <x:f>_xlfn.XLOOKUP($A895,Games!$A$2:$A$18,Games!$L$2:$L$18,"Missing game",0)</x:f>
        <x:v>50</x:v>
      </x:c>
      <x:c r="AR895" t="n">
        <x:f>_xlfn.XLOOKUP($A895,Games!$A$2:$A$18,Games!$M$2:$M$18,"Missing game",0)</x:f>
        <x:v>0</x:v>
      </x:c>
      <x:c r="AS895" t="str">
        <x:f>_xlfn.XLOOKUP($A895,Games!$A$2:$A$18,Games!$N$2:$N$18,"Missing game",0)</x:f>
        <x:v>dome</x:v>
      </x:c>
      <x:c r="AT895" t="str">
        <x:f>_xlfn.XLOOKUP($A895,Games!$A$2:$A$18,Games!$O$2:$O$18,"Missing game",0)</x:f>
        <x:v>sportturf</x:v>
      </x:c>
      <x:c r="AU895" t="str">
        <x:f>_xlfn.XLOOKUP($A895,Games!$A$2:$A$18,Games!$P$2:$P$18,"Missing game",0)</x:f>
      </x:c>
      <x:c r="AV895" t="str">
        <x:f>_xlfn.XLOOKUP($A895,Games!$A$2:$A$18,Games!$Q$2:$Q$18,"Missing game",0)</x:f>
      </x:c>
      <x:c r="AW895" t="str">
        <x:f>_xlfn.XLOOKUP($A895,Games!$A$2:$A$18,Games!$R$2:$R$18,"Missing game",0)</x:f>
        <x:v>U.S. Bank Stadium</x:v>
      </x:c>
    </x:row>
    <x:row r="896">
      <x:c r="A896" t="str">
        <x:v>2025_07_PHI_MIN</x:v>
      </x:c>
      <x:c r="B896" t="n">
        <x:v>1037</x:v>
      </x:c>
      <x:c r="C896" t="n">
        <x:v>2</x:v>
      </x:c>
      <x:c r="D896" t="str">
        <x:v>13:21</x:v>
      </x:c>
      <x:c r="E896" t="n">
        <x:v>1</x:v>
      </x:c>
      <x:c r="F896" t="n">
        <x:v>10</x:v>
      </x:c>
      <x:c r="G896" t="str">
        <x:v>MIN</x:v>
      </x:c>
      <x:c r="H896" t="str">
        <x:v>PHI</x:v>
      </x:c>
      <x:c r="I896" t="str">
        <x:v>MIN</x:v>
      </x:c>
      <x:c r="J896" t="n">
        <x:v>74</x:v>
      </x:c>
      <x:c r="K896" t="str">
        <x:v>(13:21) 27-J.Mason right tackle to MIN 32 for 6 yards (27-Q.Mitchell). PENALTY on MIN-84-J.Oliver, Offensive Holding, 10 yards, enforced at MIN 27.</x:v>
      </x:c>
      <x:c r="L896" t="str">
        <x:v>run</x:v>
      </x:c>
      <x:c r="M896" t="n">
        <x:v>1</x:v>
      </x:c>
      <x:c r="N896" t="n">
        <x:v>0</x:v>
      </x:c>
      <x:c r="O896" t="n">
        <x:v>0</x:v>
      </x:c>
      <x:c r="P896"/>
      <x:c r="Q896"/>
      <x:c r="R896"/>
      <x:c r="S896"/>
      <x:c r="T896" t="str">
        <x:v>right</x:v>
      </x:c>
      <x:c r="U896" t="str">
        <x:v>tackle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1</x:v>
      </x:c>
      <x:c r="AB896" t="n">
        <x:v>10</x:v>
      </x:c>
      <x:c r="AC896" t="n">
        <x:v>0</x:v>
      </x:c>
      <x:c r="AD896" t="n">
        <x:v>-0.9873890716116875</x:v>
      </x:c>
      <x:c r="AE896" t="n">
        <x:v>0</x:v>
      </x:c>
      <x:c r="AF896" t="n">
        <x:v>-0.0122164785861969</x:v>
      </x:c>
      <x:c r="AG896" t="n">
        <x:f>_xlfn.XLOOKUP($A896,Games!$A$2:$A$18,Games!$B$2:$B$18,"Missing game",0)</x:f>
        <x:v>2025</x:v>
      </x:c>
      <x:c r="AH896" t="str">
        <x:f>_xlfn.XLOOKUP($A896,Games!$A$2:$A$18,Games!$C$2:$C$18,"Missing game",0)</x:f>
        <x:v>REG</x:v>
      </x:c>
      <x:c r="AI896" t="n">
        <x:f>_xlfn.XLOOKUP($A896,Games!$A$2:$A$18,Games!$D$2:$D$18,"Missing game",0)</x:f>
        <x:v>7</x:v>
      </x:c>
      <x:c r="AJ896" s="1" t="n">
        <x:f>_xlfn.XLOOKUP($A896,Games!$A$2:$A$18,Games!$E$2:$E$18,"Missing game",0)</x:f>
        <x:v>45949</x:v>
      </x:c>
      <x:c r="AK896" t="str">
        <x:f>_xlfn.XLOOKUP($A896,Games!$A$2:$A$18,Games!$F$2:$F$18,"Missing game",0)</x:f>
        <x:v>Sunday</x:v>
      </x:c>
      <x:c r="AL896" t="str">
        <x:f>_xlfn.XLOOKUP($A896,Games!$A$2:$A$18,Games!$G$2:$G$18,"Missing game",0)</x:f>
        <x:v>PHI</x:v>
      </x:c>
      <x:c r="AM896" t="n">
        <x:f>_xlfn.XLOOKUP($A896,Games!$A$2:$A$18,Games!$H$2:$H$18,"Missing game",0)</x:f>
        <x:v>28</x:v>
      </x:c>
      <x:c r="AN896" t="str">
        <x:f>_xlfn.XLOOKUP($A896,Games!$A$2:$A$18,Games!$I$2:$I$18,"Missing game",0)</x:f>
        <x:v>MIN</x:v>
      </x:c>
      <x:c r="AO896" t="n">
        <x:f>_xlfn.XLOOKUP($A896,Games!$A$2:$A$18,Games!$J$2:$J$18,"Missing game",0)</x:f>
        <x:v>22</x:v>
      </x:c>
      <x:c r="AP896" t="n">
        <x:f>_xlfn.XLOOKUP($A896,Games!$A$2:$A$18,Games!$K$2:$K$18,"Missing game",0)</x:f>
        <x:v>-6</x:v>
      </x:c>
      <x:c r="AQ896" t="n">
        <x:f>_xlfn.XLOOKUP($A896,Games!$A$2:$A$18,Games!$L$2:$L$18,"Missing game",0)</x:f>
        <x:v>50</x:v>
      </x:c>
      <x:c r="AR896" t="n">
        <x:f>_xlfn.XLOOKUP($A896,Games!$A$2:$A$18,Games!$M$2:$M$18,"Missing game",0)</x:f>
        <x:v>0</x:v>
      </x:c>
      <x:c r="AS896" t="str">
        <x:f>_xlfn.XLOOKUP($A896,Games!$A$2:$A$18,Games!$N$2:$N$18,"Missing game",0)</x:f>
        <x:v>dome</x:v>
      </x:c>
      <x:c r="AT896" t="str">
        <x:f>_xlfn.XLOOKUP($A896,Games!$A$2:$A$18,Games!$O$2:$O$18,"Missing game",0)</x:f>
        <x:v>sportturf</x:v>
      </x:c>
      <x:c r="AU896" t="str">
        <x:f>_xlfn.XLOOKUP($A896,Games!$A$2:$A$18,Games!$P$2:$P$18,"Missing game",0)</x:f>
      </x:c>
      <x:c r="AV896" t="str">
        <x:f>_xlfn.XLOOKUP($A896,Games!$A$2:$A$18,Games!$Q$2:$Q$18,"Missing game",0)</x:f>
      </x:c>
      <x:c r="AW896" t="str">
        <x:f>_xlfn.XLOOKUP($A896,Games!$A$2:$A$18,Games!$R$2:$R$18,"Missing game",0)</x:f>
        <x:v>U.S. Bank Stadium</x:v>
      </x:c>
    </x:row>
    <x:row r="897">
      <x:c r="A897" t="str">
        <x:v>2025_07_PHI_MIN</x:v>
      </x:c>
      <x:c r="B897" t="n">
        <x:v>1070</x:v>
      </x:c>
      <x:c r="C897" t="n">
        <x:v>2</x:v>
      </x:c>
      <x:c r="D897" t="str">
        <x:v>12:57</x:v>
      </x:c>
      <x:c r="E897" t="n">
        <x:v>1</x:v>
      </x:c>
      <x:c r="F897" t="n">
        <x:v>19</x:v>
      </x:c>
      <x:c r="G897" t="str">
        <x:v>MIN</x:v>
      </x:c>
      <x:c r="H897" t="str">
        <x:v>PHI</x:v>
      </x:c>
      <x:c r="I897" t="str">
        <x:v>MIN</x:v>
      </x:c>
      <x:c r="J897" t="n">
        <x:v>83</x:v>
      </x:c>
      <x:c r="K897" t="str">
        <x:v>(12:57) (Shotgun) 11-C.Wentz FUMBLES (Aborted) at MIN 9, ball out of bounds at MIN 9.</x:v>
      </x:c>
      <x:c r="L897" t="str">
        <x:v>run</x:v>
      </x:c>
      <x:c r="M897" t="n">
        <x:v>0</x:v>
      </x:c>
      <x:c r="N897" t="n">
        <x:v>1</x:v>
      </x:c>
      <x:c r="O897" t="n">
        <x:v>0</x:v>
      </x:c>
      <x:c r="P897"/>
      <x:c r="Q897"/>
      <x:c r="R897"/>
      <x:c r="S897"/>
      <x:c r="T897"/>
      <x:c r="U897"/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/>
      <x:c r="AC897" t="n">
        <x:v>0</x:v>
      </x:c>
      <x:c r="AD897" t="n">
        <x:v>-1.5259856237098575</x:v>
      </x:c>
      <x:c r="AE897" t="n">
        <x:v>0</x:v>
      </x:c>
      <x:c r="AF897" t="n">
        <x:v>-0.02894507348537445</x:v>
      </x:c>
      <x:c r="AG897" t="n">
        <x:f>_xlfn.XLOOKUP($A897,Games!$A$2:$A$18,Games!$B$2:$B$18,"Missing game",0)</x:f>
        <x:v>2025</x:v>
      </x:c>
      <x:c r="AH897" t="str">
        <x:f>_xlfn.XLOOKUP($A897,Games!$A$2:$A$18,Games!$C$2:$C$18,"Missing game",0)</x:f>
        <x:v>REG</x:v>
      </x:c>
      <x:c r="AI897" t="n">
        <x:f>_xlfn.XLOOKUP($A897,Games!$A$2:$A$18,Games!$D$2:$D$18,"Missing game",0)</x:f>
        <x:v>7</x:v>
      </x:c>
      <x:c r="AJ897" s="1" t="n">
        <x:f>_xlfn.XLOOKUP($A897,Games!$A$2:$A$18,Games!$E$2:$E$18,"Missing game",0)</x:f>
        <x:v>45949</x:v>
      </x:c>
      <x:c r="AK897" t="str">
        <x:f>_xlfn.XLOOKUP($A897,Games!$A$2:$A$18,Games!$F$2:$F$18,"Missing game",0)</x:f>
        <x:v>Sunday</x:v>
      </x:c>
      <x:c r="AL897" t="str">
        <x:f>_xlfn.XLOOKUP($A897,Games!$A$2:$A$18,Games!$G$2:$G$18,"Missing game",0)</x:f>
        <x:v>PHI</x:v>
      </x:c>
      <x:c r="AM897" t="n">
        <x:f>_xlfn.XLOOKUP($A897,Games!$A$2:$A$18,Games!$H$2:$H$18,"Missing game",0)</x:f>
        <x:v>28</x:v>
      </x:c>
      <x:c r="AN897" t="str">
        <x:f>_xlfn.XLOOKUP($A897,Games!$A$2:$A$18,Games!$I$2:$I$18,"Missing game",0)</x:f>
        <x:v>MIN</x:v>
      </x:c>
      <x:c r="AO897" t="n">
        <x:f>_xlfn.XLOOKUP($A897,Games!$A$2:$A$18,Games!$J$2:$J$18,"Missing game",0)</x:f>
        <x:v>22</x:v>
      </x:c>
      <x:c r="AP897" t="n">
        <x:f>_xlfn.XLOOKUP($A897,Games!$A$2:$A$18,Games!$K$2:$K$18,"Missing game",0)</x:f>
        <x:v>-6</x:v>
      </x:c>
      <x:c r="AQ897" t="n">
        <x:f>_xlfn.XLOOKUP($A897,Games!$A$2:$A$18,Games!$L$2:$L$18,"Missing game",0)</x:f>
        <x:v>50</x:v>
      </x:c>
      <x:c r="AR897" t="n">
        <x:f>_xlfn.XLOOKUP($A897,Games!$A$2:$A$18,Games!$M$2:$M$18,"Missing game",0)</x:f>
        <x:v>0</x:v>
      </x:c>
      <x:c r="AS897" t="str">
        <x:f>_xlfn.XLOOKUP($A897,Games!$A$2:$A$18,Games!$N$2:$N$18,"Missing game",0)</x:f>
        <x:v>dome</x:v>
      </x:c>
      <x:c r="AT897" t="str">
        <x:f>_xlfn.XLOOKUP($A897,Games!$A$2:$A$18,Games!$O$2:$O$18,"Missing game",0)</x:f>
        <x:v>sportturf</x:v>
      </x:c>
      <x:c r="AU897" t="str">
        <x:f>_xlfn.XLOOKUP($A897,Games!$A$2:$A$18,Games!$P$2:$P$18,"Missing game",0)</x:f>
      </x:c>
      <x:c r="AV897" t="str">
        <x:f>_xlfn.XLOOKUP($A897,Games!$A$2:$A$18,Games!$Q$2:$Q$18,"Missing game",0)</x:f>
      </x:c>
      <x:c r="AW897" t="str">
        <x:f>_xlfn.XLOOKUP($A897,Games!$A$2:$A$18,Games!$R$2:$R$18,"Missing game",0)</x:f>
        <x:v>U.S. Bank Stadium</x:v>
      </x:c>
    </x:row>
    <x:row r="898">
      <x:c r="A898" t="str">
        <x:v>2025_07_PHI_MIN</x:v>
      </x:c>
      <x:c r="B898" t="n">
        <x:v>1092</x:v>
      </x:c>
      <x:c r="C898" t="n">
        <x:v>2</x:v>
      </x:c>
      <x:c r="D898" t="str">
        <x:v>12:10</x:v>
      </x:c>
      <x:c r="E898" t="n">
        <x:v>2</x:v>
      </x:c>
      <x:c r="F898" t="n">
        <x:v>27</x:v>
      </x:c>
      <x:c r="G898" t="str">
        <x:v>MIN</x:v>
      </x:c>
      <x:c r="H898" t="str">
        <x:v>PHI</x:v>
      </x:c>
      <x:c r="I898" t="str">
        <x:v>MIN</x:v>
      </x:c>
      <x:c r="J898" t="n">
        <x:v>91</x:v>
      </x:c>
      <x:c r="K898" t="str">
        <x:v>(12:10) (Shotgun) 11-C.Wentz pass deep right intended for 3-J.Addison INTERCEPTED by 24-A.Mukuba [58-J.Hunt] at PHI 44. 24-A.Mukuba to PHI 44 for no gain (3-J.Addison).</x:v>
      </x:c>
      <x:c r="L898" t="str">
        <x:v>pass</x:v>
      </x:c>
      <x:c r="M898" t="n">
        <x:v>0</x:v>
      </x:c>
      <x:c r="N898" t="n">
        <x:v>1</x:v>
      </x:c>
      <x:c r="O898" t="n">
        <x:v>0</x:v>
      </x:c>
      <x:c r="P898" t="str">
        <x:v>deep</x:v>
      </x:c>
      <x:c r="Q898" t="str">
        <x:v>right</x:v>
      </x:c>
      <x:c r="R898" t="n">
        <x:v>47</x:v>
      </x:c>
      <x:c r="S898"/>
      <x:c r="T898"/>
      <x:c r="U898"/>
      <x:c r="V898" t="n">
        <x:v>0</x:v>
      </x:c>
      <x:c r="W898" t="n">
        <x:v>0</x:v>
      </x:c>
      <x:c r="X898" t="n">
        <x:v>0</x:v>
      </x:c>
      <x:c r="Y898" t="n">
        <x:v>1</x:v>
      </x:c>
      <x:c r="Z898" t="n">
        <x:v>0</x:v>
      </x:c>
      <x:c r="AA898" t="n">
        <x:v>0</x:v>
      </x:c>
      <x:c r="AB898"/>
      <x:c r="AC898" t="n">
        <x:v>0</x:v>
      </x:c>
      <x:c r="AD898" t="n">
        <x:v>-1.4877782890107483</x:v>
      </x:c>
      <x:c r="AE898" t="n">
        <x:v>0</x:v>
      </x:c>
      <x:c r="AF898" t="n">
        <x:v>-0.004780873656272888</x:v>
      </x:c>
      <x:c r="AG898" t="n">
        <x:f>_xlfn.XLOOKUP($A898,Games!$A$2:$A$18,Games!$B$2:$B$18,"Missing game",0)</x:f>
        <x:v>2025</x:v>
      </x:c>
      <x:c r="AH898" t="str">
        <x:f>_xlfn.XLOOKUP($A898,Games!$A$2:$A$18,Games!$C$2:$C$18,"Missing game",0)</x:f>
        <x:v>REG</x:v>
      </x:c>
      <x:c r="AI898" t="n">
        <x:f>_xlfn.XLOOKUP($A898,Games!$A$2:$A$18,Games!$D$2:$D$18,"Missing game",0)</x:f>
        <x:v>7</x:v>
      </x:c>
      <x:c r="AJ898" s="1" t="n">
        <x:f>_xlfn.XLOOKUP($A898,Games!$A$2:$A$18,Games!$E$2:$E$18,"Missing game",0)</x:f>
        <x:v>45949</x:v>
      </x:c>
      <x:c r="AK898" t="str">
        <x:f>_xlfn.XLOOKUP($A898,Games!$A$2:$A$18,Games!$F$2:$F$18,"Missing game",0)</x:f>
        <x:v>Sunday</x:v>
      </x:c>
      <x:c r="AL898" t="str">
        <x:f>_xlfn.XLOOKUP($A898,Games!$A$2:$A$18,Games!$G$2:$G$18,"Missing game",0)</x:f>
        <x:v>PHI</x:v>
      </x:c>
      <x:c r="AM898" t="n">
        <x:f>_xlfn.XLOOKUP($A898,Games!$A$2:$A$18,Games!$H$2:$H$18,"Missing game",0)</x:f>
        <x:v>28</x:v>
      </x:c>
      <x:c r="AN898" t="str">
        <x:f>_xlfn.XLOOKUP($A898,Games!$A$2:$A$18,Games!$I$2:$I$18,"Missing game",0)</x:f>
        <x:v>MIN</x:v>
      </x:c>
      <x:c r="AO898" t="n">
        <x:f>_xlfn.XLOOKUP($A898,Games!$A$2:$A$18,Games!$J$2:$J$18,"Missing game",0)</x:f>
        <x:v>22</x:v>
      </x:c>
      <x:c r="AP898" t="n">
        <x:f>_xlfn.XLOOKUP($A898,Games!$A$2:$A$18,Games!$K$2:$K$18,"Missing game",0)</x:f>
        <x:v>-6</x:v>
      </x:c>
      <x:c r="AQ898" t="n">
        <x:f>_xlfn.XLOOKUP($A898,Games!$A$2:$A$18,Games!$L$2:$L$18,"Missing game",0)</x:f>
        <x:v>50</x:v>
      </x:c>
      <x:c r="AR898" t="n">
        <x:f>_xlfn.XLOOKUP($A898,Games!$A$2:$A$18,Games!$M$2:$M$18,"Missing game",0)</x:f>
        <x:v>0</x:v>
      </x:c>
      <x:c r="AS898" t="str">
        <x:f>_xlfn.XLOOKUP($A898,Games!$A$2:$A$18,Games!$N$2:$N$18,"Missing game",0)</x:f>
        <x:v>dome</x:v>
      </x:c>
      <x:c r="AT898" t="str">
        <x:f>_xlfn.XLOOKUP($A898,Games!$A$2:$A$18,Games!$O$2:$O$18,"Missing game",0)</x:f>
        <x:v>sportturf</x:v>
      </x:c>
      <x:c r="AU898" t="str">
        <x:f>_xlfn.XLOOKUP($A898,Games!$A$2:$A$18,Games!$P$2:$P$18,"Missing game",0)</x:f>
      </x:c>
      <x:c r="AV898" t="str">
        <x:f>_xlfn.XLOOKUP($A898,Games!$A$2:$A$18,Games!$Q$2:$Q$18,"Missing game",0)</x:f>
      </x:c>
      <x:c r="AW898" t="str">
        <x:f>_xlfn.XLOOKUP($A898,Games!$A$2:$A$18,Games!$R$2:$R$18,"Missing game",0)</x:f>
        <x:v>U.S. Bank Stadium</x:v>
      </x:c>
    </x:row>
    <x:row r="899">
      <x:c r="A899" t="str">
        <x:v>2025_07_PHI_MIN</x:v>
      </x:c>
      <x:c r="B899" t="n">
        <x:v>1119</x:v>
      </x:c>
      <x:c r="C899" t="n">
        <x:v>2</x:v>
      </x:c>
      <x:c r="D899" t="str">
        <x:v>12:02</x:v>
      </x:c>
      <x:c r="E899" t="n">
        <x:v>1</x:v>
      </x:c>
      <x:c r="F899" t="n">
        <x:v>10</x:v>
      </x:c>
      <x:c r="G899" t="str">
        <x:v>PHI</x:v>
      </x:c>
      <x:c r="H899" t="str">
        <x:v>MIN</x:v>
      </x:c>
      <x:c r="I899" t="str">
        <x:v>PHI</x:v>
      </x:c>
      <x:c r="J899" t="n">
        <x:v>56</x:v>
      </x:c>
      <x:c r="K899" t="str">
        <x:v>(12:02) 1-J.Hurts pass short right to 88-D.Goedert to PHI 46 for 2 yards (7-B.Murphy).</x:v>
      </x:c>
      <x:c r="L899" t="str">
        <x:v>pass</x:v>
      </x:c>
      <x:c r="M899" t="n">
        <x:v>2</x:v>
      </x:c>
      <x:c r="N899" t="n">
        <x:v>0</x:v>
      </x:c>
      <x:c r="O899" t="n">
        <x:v>0</x:v>
      </x:c>
      <x:c r="P899" t="str">
        <x:v>short</x:v>
      </x:c>
      <x:c r="Q899" t="str">
        <x:v>right</x:v>
      </x:c>
      <x:c r="R899" t="n">
        <x:v>1</x:v>
      </x:c>
      <x:c r="S899" t="n">
        <x:v>1</x:v>
      </x:c>
      <x:c r="T899"/>
      <x:c r="U899"/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/>
      <x:c r="AC899" t="n">
        <x:v>0</x:v>
      </x:c>
      <x:c r="AD899" t="n">
        <x:v>-0.36846134276129305</x:v>
      </x:c>
      <x:c r="AE899" t="n">
        <x:v>0</x:v>
      </x:c>
      <x:c r="AF899" t="n">
        <x:v>0.010413646697998047</x:v>
      </x:c>
      <x:c r="AG899" t="n">
        <x:f>_xlfn.XLOOKUP($A899,Games!$A$2:$A$18,Games!$B$2:$B$18,"Missing game",0)</x:f>
        <x:v>2025</x:v>
      </x:c>
      <x:c r="AH899" t="str">
        <x:f>_xlfn.XLOOKUP($A899,Games!$A$2:$A$18,Games!$C$2:$C$18,"Missing game",0)</x:f>
        <x:v>REG</x:v>
      </x:c>
      <x:c r="AI899" t="n">
        <x:f>_xlfn.XLOOKUP($A899,Games!$A$2:$A$18,Games!$D$2:$D$18,"Missing game",0)</x:f>
        <x:v>7</x:v>
      </x:c>
      <x:c r="AJ899" s="1" t="n">
        <x:f>_xlfn.XLOOKUP($A899,Games!$A$2:$A$18,Games!$E$2:$E$18,"Missing game",0)</x:f>
        <x:v>45949</x:v>
      </x:c>
      <x:c r="AK899" t="str">
        <x:f>_xlfn.XLOOKUP($A899,Games!$A$2:$A$18,Games!$F$2:$F$18,"Missing game",0)</x:f>
        <x:v>Sunday</x:v>
      </x:c>
      <x:c r="AL899" t="str">
        <x:f>_xlfn.XLOOKUP($A899,Games!$A$2:$A$18,Games!$G$2:$G$18,"Missing game",0)</x:f>
        <x:v>PHI</x:v>
      </x:c>
      <x:c r="AM899" t="n">
        <x:f>_xlfn.XLOOKUP($A899,Games!$A$2:$A$18,Games!$H$2:$H$18,"Missing game",0)</x:f>
        <x:v>28</x:v>
      </x:c>
      <x:c r="AN899" t="str">
        <x:f>_xlfn.XLOOKUP($A899,Games!$A$2:$A$18,Games!$I$2:$I$18,"Missing game",0)</x:f>
        <x:v>MIN</x:v>
      </x:c>
      <x:c r="AO899" t="n">
        <x:f>_xlfn.XLOOKUP($A899,Games!$A$2:$A$18,Games!$J$2:$J$18,"Missing game",0)</x:f>
        <x:v>22</x:v>
      </x:c>
      <x:c r="AP899" t="n">
        <x:f>_xlfn.XLOOKUP($A899,Games!$A$2:$A$18,Games!$K$2:$K$18,"Missing game",0)</x:f>
        <x:v>-6</x:v>
      </x:c>
      <x:c r="AQ899" t="n">
        <x:f>_xlfn.XLOOKUP($A899,Games!$A$2:$A$18,Games!$L$2:$L$18,"Missing game",0)</x:f>
        <x:v>50</x:v>
      </x:c>
      <x:c r="AR899" t="n">
        <x:f>_xlfn.XLOOKUP($A899,Games!$A$2:$A$18,Games!$M$2:$M$18,"Missing game",0)</x:f>
        <x:v>0</x:v>
      </x:c>
      <x:c r="AS899" t="str">
        <x:f>_xlfn.XLOOKUP($A899,Games!$A$2:$A$18,Games!$N$2:$N$18,"Missing game",0)</x:f>
        <x:v>dome</x:v>
      </x:c>
      <x:c r="AT899" t="str">
        <x:f>_xlfn.XLOOKUP($A899,Games!$A$2:$A$18,Games!$O$2:$O$18,"Missing game",0)</x:f>
        <x:v>sportturf</x:v>
      </x:c>
      <x:c r="AU899" t="str">
        <x:f>_xlfn.XLOOKUP($A899,Games!$A$2:$A$18,Games!$P$2:$P$18,"Missing game",0)</x:f>
      </x:c>
      <x:c r="AV899" t="str">
        <x:f>_xlfn.XLOOKUP($A899,Games!$A$2:$A$18,Games!$Q$2:$Q$18,"Missing game",0)</x:f>
      </x:c>
      <x:c r="AW899" t="str">
        <x:f>_xlfn.XLOOKUP($A899,Games!$A$2:$A$18,Games!$R$2:$R$18,"Missing game",0)</x:f>
        <x:v>U.S. Bank Stadium</x:v>
      </x:c>
    </x:row>
    <x:row r="900">
      <x:c r="A900" t="str">
        <x:v>2025_07_PHI_MIN</x:v>
      </x:c>
      <x:c r="B900" t="n">
        <x:v>1157</x:v>
      </x:c>
      <x:c r="C900" t="n">
        <x:v>2</x:v>
      </x:c>
      <x:c r="D900" t="str">
        <x:v>11:18</x:v>
      </x:c>
      <x:c r="E900" t="n">
        <x:v>2</x:v>
      </x:c>
      <x:c r="F900" t="n">
        <x:v>8</x:v>
      </x:c>
      <x:c r="G900" t="str">
        <x:v>PHI</x:v>
      </x:c>
      <x:c r="H900" t="str">
        <x:v>MIN</x:v>
      </x:c>
      <x:c r="I900" t="str">
        <x:v>PHI</x:v>
      </x:c>
      <x:c r="J900" t="n">
        <x:v>54</x:v>
      </x:c>
      <x:c r="K900" t="str">
        <x:v>(11:18) 26-S.Barkley up the middle to PHI 40 for -6 yards (61-J.Redmond).</x:v>
      </x:c>
      <x:c r="L900" t="str">
        <x:v>run</x:v>
      </x:c>
      <x:c r="M900" t="n">
        <x:v>-6</x:v>
      </x:c>
      <x:c r="N900" t="n">
        <x:v>0</x:v>
      </x:c>
      <x:c r="O900" t="n">
        <x:v>0</x:v>
      </x:c>
      <x:c r="P900"/>
      <x:c r="Q900"/>
      <x:c r="R900"/>
      <x:c r="S900"/>
      <x:c r="T900" t="str">
        <x:v>middle</x:v>
      </x:c>
      <x:c r="U900"/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/>
      <x:c r="AC900" t="n">
        <x:v>0</x:v>
      </x:c>
      <x:c r="AD900" t="n">
        <x:v>-1.6046189749613404</x:v>
      </x:c>
      <x:c r="AE900" t="n">
        <x:v>0</x:v>
      </x:c>
      <x:c r="AF900" t="n">
        <x:v>-0.028282999992370605</x:v>
      </x:c>
      <x:c r="AG900" t="n">
        <x:f>_xlfn.XLOOKUP($A900,Games!$A$2:$A$18,Games!$B$2:$B$18,"Missing game",0)</x:f>
        <x:v>2025</x:v>
      </x:c>
      <x:c r="AH900" t="str">
        <x:f>_xlfn.XLOOKUP($A900,Games!$A$2:$A$18,Games!$C$2:$C$18,"Missing game",0)</x:f>
        <x:v>REG</x:v>
      </x:c>
      <x:c r="AI900" t="n">
        <x:f>_xlfn.XLOOKUP($A900,Games!$A$2:$A$18,Games!$D$2:$D$18,"Missing game",0)</x:f>
        <x:v>7</x:v>
      </x:c>
      <x:c r="AJ900" s="1" t="n">
        <x:f>_xlfn.XLOOKUP($A900,Games!$A$2:$A$18,Games!$E$2:$E$18,"Missing game",0)</x:f>
        <x:v>45949</x:v>
      </x:c>
      <x:c r="AK900" t="str">
        <x:f>_xlfn.XLOOKUP($A900,Games!$A$2:$A$18,Games!$F$2:$F$18,"Missing game",0)</x:f>
        <x:v>Sunday</x:v>
      </x:c>
      <x:c r="AL900" t="str">
        <x:f>_xlfn.XLOOKUP($A900,Games!$A$2:$A$18,Games!$G$2:$G$18,"Missing game",0)</x:f>
        <x:v>PHI</x:v>
      </x:c>
      <x:c r="AM900" t="n">
        <x:f>_xlfn.XLOOKUP($A900,Games!$A$2:$A$18,Games!$H$2:$H$18,"Missing game",0)</x:f>
        <x:v>28</x:v>
      </x:c>
      <x:c r="AN900" t="str">
        <x:f>_xlfn.XLOOKUP($A900,Games!$A$2:$A$18,Games!$I$2:$I$18,"Missing game",0)</x:f>
        <x:v>MIN</x:v>
      </x:c>
      <x:c r="AO900" t="n">
        <x:f>_xlfn.XLOOKUP($A900,Games!$A$2:$A$18,Games!$J$2:$J$18,"Missing game",0)</x:f>
        <x:v>22</x:v>
      </x:c>
      <x:c r="AP900" t="n">
        <x:f>_xlfn.XLOOKUP($A900,Games!$A$2:$A$18,Games!$K$2:$K$18,"Missing game",0)</x:f>
        <x:v>-6</x:v>
      </x:c>
      <x:c r="AQ900" t="n">
        <x:f>_xlfn.XLOOKUP($A900,Games!$A$2:$A$18,Games!$L$2:$L$18,"Missing game",0)</x:f>
        <x:v>50</x:v>
      </x:c>
      <x:c r="AR900" t="n">
        <x:f>_xlfn.XLOOKUP($A900,Games!$A$2:$A$18,Games!$M$2:$M$18,"Missing game",0)</x:f>
        <x:v>0</x:v>
      </x:c>
      <x:c r="AS900" t="str">
        <x:f>_xlfn.XLOOKUP($A900,Games!$A$2:$A$18,Games!$N$2:$N$18,"Missing game",0)</x:f>
        <x:v>dome</x:v>
      </x:c>
      <x:c r="AT900" t="str">
        <x:f>_xlfn.XLOOKUP($A900,Games!$A$2:$A$18,Games!$O$2:$O$18,"Missing game",0)</x:f>
        <x:v>sportturf</x:v>
      </x:c>
      <x:c r="AU900" t="str">
        <x:f>_xlfn.XLOOKUP($A900,Games!$A$2:$A$18,Games!$P$2:$P$18,"Missing game",0)</x:f>
      </x:c>
      <x:c r="AV900" t="str">
        <x:f>_xlfn.XLOOKUP($A900,Games!$A$2:$A$18,Games!$Q$2:$Q$18,"Missing game",0)</x:f>
      </x:c>
      <x:c r="AW900" t="str">
        <x:f>_xlfn.XLOOKUP($A900,Games!$A$2:$A$18,Games!$R$2:$R$18,"Missing game",0)</x:f>
        <x:v>U.S. Bank Stadium</x:v>
      </x:c>
    </x:row>
    <x:row r="901">
      <x:c r="A901" t="str">
        <x:v>2025_07_PHI_MIN</x:v>
      </x:c>
      <x:c r="B901" t="n">
        <x:v>1179</x:v>
      </x:c>
      <x:c r="C901" t="n">
        <x:v>2</x:v>
      </x:c>
      <x:c r="D901" t="str">
        <x:v>10:35</x:v>
      </x:c>
      <x:c r="E901" t="n">
        <x:v>3</x:v>
      </x:c>
      <x:c r="F901" t="n">
        <x:v>14</x:v>
      </x:c>
      <x:c r="G901" t="str">
        <x:v>PHI</x:v>
      </x:c>
      <x:c r="H901" t="str">
        <x:v>MIN</x:v>
      </x:c>
      <x:c r="I901" t="str">
        <x:v>PHI</x:v>
      </x:c>
      <x:c r="J901" t="n">
        <x:v>60</x:v>
      </x:c>
      <x:c r="K901" t="str">
        <x:v>(10:35) (Shotgun) 1-J.Hurts pass short right to 28-W.Shipley to PHI 47 for 7 yards (2-I.Rodgers).</x:v>
      </x:c>
      <x:c r="L901" t="str">
        <x:v>pass</x:v>
      </x:c>
      <x:c r="M901" t="n">
        <x:v>7</x:v>
      </x:c>
      <x:c r="N901" t="n">
        <x:v>1</x:v>
      </x:c>
      <x:c r="O901" t="n">
        <x:v>0</x:v>
      </x:c>
      <x:c r="P901" t="str">
        <x:v>short</x:v>
      </x:c>
      <x:c r="Q901" t="str">
        <x:v>right</x:v>
      </x:c>
      <x:c r="R901" t="n">
        <x:v>0</x:v>
      </x:c>
      <x:c r="S901" t="n">
        <x:v>7</x:v>
      </x:c>
      <x:c r="T901"/>
      <x:c r="U901"/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/>
      <x:c r="AC901" t="n">
        <x:v>0</x:v>
      </x:c>
      <x:c r="AD901" t="n">
        <x:v>-0.7176939025521278</x:v>
      </x:c>
      <x:c r="AE901" t="n">
        <x:v>0</x:v>
      </x:c>
      <x:c r="AF901" t="n">
        <x:v>0.0032137632369995117</x:v>
      </x:c>
      <x:c r="AG901" t="n">
        <x:f>_xlfn.XLOOKUP($A901,Games!$A$2:$A$18,Games!$B$2:$B$18,"Missing game",0)</x:f>
        <x:v>2025</x:v>
      </x:c>
      <x:c r="AH901" t="str">
        <x:f>_xlfn.XLOOKUP($A901,Games!$A$2:$A$18,Games!$C$2:$C$18,"Missing game",0)</x:f>
        <x:v>REG</x:v>
      </x:c>
      <x:c r="AI901" t="n">
        <x:f>_xlfn.XLOOKUP($A901,Games!$A$2:$A$18,Games!$D$2:$D$18,"Missing game",0)</x:f>
        <x:v>7</x:v>
      </x:c>
      <x:c r="AJ901" s="1" t="n">
        <x:f>_xlfn.XLOOKUP($A901,Games!$A$2:$A$18,Games!$E$2:$E$18,"Missing game",0)</x:f>
        <x:v>45949</x:v>
      </x:c>
      <x:c r="AK901" t="str">
        <x:f>_xlfn.XLOOKUP($A901,Games!$A$2:$A$18,Games!$F$2:$F$18,"Missing game",0)</x:f>
        <x:v>Sunday</x:v>
      </x:c>
      <x:c r="AL901" t="str">
        <x:f>_xlfn.XLOOKUP($A901,Games!$A$2:$A$18,Games!$G$2:$G$18,"Missing game",0)</x:f>
        <x:v>PHI</x:v>
      </x:c>
      <x:c r="AM901" t="n">
        <x:f>_xlfn.XLOOKUP($A901,Games!$A$2:$A$18,Games!$H$2:$H$18,"Missing game",0)</x:f>
        <x:v>28</x:v>
      </x:c>
      <x:c r="AN901" t="str">
        <x:f>_xlfn.XLOOKUP($A901,Games!$A$2:$A$18,Games!$I$2:$I$18,"Missing game",0)</x:f>
        <x:v>MIN</x:v>
      </x:c>
      <x:c r="AO901" t="n">
        <x:f>_xlfn.XLOOKUP($A901,Games!$A$2:$A$18,Games!$J$2:$J$18,"Missing game",0)</x:f>
        <x:v>22</x:v>
      </x:c>
      <x:c r="AP901" t="n">
        <x:f>_xlfn.XLOOKUP($A901,Games!$A$2:$A$18,Games!$K$2:$K$18,"Missing game",0)</x:f>
        <x:v>-6</x:v>
      </x:c>
      <x:c r="AQ901" t="n">
        <x:f>_xlfn.XLOOKUP($A901,Games!$A$2:$A$18,Games!$L$2:$L$18,"Missing game",0)</x:f>
        <x:v>50</x:v>
      </x:c>
      <x:c r="AR901" t="n">
        <x:f>_xlfn.XLOOKUP($A901,Games!$A$2:$A$18,Games!$M$2:$M$18,"Missing game",0)</x:f>
        <x:v>0</x:v>
      </x:c>
      <x:c r="AS901" t="str">
        <x:f>_xlfn.XLOOKUP($A901,Games!$A$2:$A$18,Games!$N$2:$N$18,"Missing game",0)</x:f>
        <x:v>dome</x:v>
      </x:c>
      <x:c r="AT901" t="str">
        <x:f>_xlfn.XLOOKUP($A901,Games!$A$2:$A$18,Games!$O$2:$O$18,"Missing game",0)</x:f>
        <x:v>sportturf</x:v>
      </x:c>
      <x:c r="AU901" t="str">
        <x:f>_xlfn.XLOOKUP($A901,Games!$A$2:$A$18,Games!$P$2:$P$18,"Missing game",0)</x:f>
      </x:c>
      <x:c r="AV901" t="str">
        <x:f>_xlfn.XLOOKUP($A901,Games!$A$2:$A$18,Games!$Q$2:$Q$18,"Missing game",0)</x:f>
      </x:c>
      <x:c r="AW901" t="str">
        <x:f>_xlfn.XLOOKUP($A901,Games!$A$2:$A$18,Games!$R$2:$R$18,"Missing game",0)</x:f>
        <x:v>U.S. Bank Stadium</x:v>
      </x:c>
    </x:row>
    <x:row r="902">
      <x:c r="A902" t="str">
        <x:v>2025_07_PHI_MIN</x:v>
      </x:c>
      <x:c r="B902" t="n">
        <x:v>1204</x:v>
      </x:c>
      <x:c r="C902" t="n">
        <x:v>2</x:v>
      </x:c>
      <x:c r="D902" t="str">
        <x:v>09:44</x:v>
      </x:c>
      <x:c r="E902" t="n">
        <x:v>4</x:v>
      </x:c>
      <x:c r="F902" t="n">
        <x:v>7</x:v>
      </x:c>
      <x:c r="G902" t="str">
        <x:v>PHI</x:v>
      </x:c>
      <x:c r="H902" t="str">
        <x:v>MIN</x:v>
      </x:c>
      <x:c r="I902" t="str">
        <x:v>PHI</x:v>
      </x:c>
      <x:c r="J902" t="n">
        <x:v>53</x:v>
      </x:c>
      <x:c r="K902" t="str">
        <x:v>(9:44) 10-B.Mann punts 53 yards to end zone, Center-57-C.Adomitis, Touchback.</x:v>
      </x:c>
      <x:c r="L902" t="str">
        <x:v>punt</x:v>
      </x:c>
      <x:c r="M902" t="n">
        <x:v>0</x:v>
      </x:c>
      <x:c r="N902" t="n">
        <x:v>0</x:v>
      </x:c>
      <x:c r="O902" t="n">
        <x:v>0</x:v>
      </x:c>
      <x:c r="P902"/>
      <x:c r="Q902"/>
      <x:c r="R902"/>
      <x:c r="S902"/>
      <x:c r="T902"/>
      <x:c r="U902"/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/>
      <x:c r="AC902" t="n">
        <x:v>0</x:v>
      </x:c>
      <x:c r="AD902" t="n">
        <x:v>-0.9419151283800602</x:v>
      </x:c>
      <x:c r="AE902" t="n">
        <x:v>0</x:v>
      </x:c>
      <x:c r="AF902" t="n">
        <x:v>-0.01807461678981781</x:v>
      </x:c>
      <x:c r="AG902" t="n">
        <x:f>_xlfn.XLOOKUP($A902,Games!$A$2:$A$18,Games!$B$2:$B$18,"Missing game",0)</x:f>
        <x:v>2025</x:v>
      </x:c>
      <x:c r="AH902" t="str">
        <x:f>_xlfn.XLOOKUP($A902,Games!$A$2:$A$18,Games!$C$2:$C$18,"Missing game",0)</x:f>
        <x:v>REG</x:v>
      </x:c>
      <x:c r="AI902" t="n">
        <x:f>_xlfn.XLOOKUP($A902,Games!$A$2:$A$18,Games!$D$2:$D$18,"Missing game",0)</x:f>
        <x:v>7</x:v>
      </x:c>
      <x:c r="AJ902" s="1" t="n">
        <x:f>_xlfn.XLOOKUP($A902,Games!$A$2:$A$18,Games!$E$2:$E$18,"Missing game",0)</x:f>
        <x:v>45949</x:v>
      </x:c>
      <x:c r="AK902" t="str">
        <x:f>_xlfn.XLOOKUP($A902,Games!$A$2:$A$18,Games!$F$2:$F$18,"Missing game",0)</x:f>
        <x:v>Sunday</x:v>
      </x:c>
      <x:c r="AL902" t="str">
        <x:f>_xlfn.XLOOKUP($A902,Games!$A$2:$A$18,Games!$G$2:$G$18,"Missing game",0)</x:f>
        <x:v>PHI</x:v>
      </x:c>
      <x:c r="AM902" t="n">
        <x:f>_xlfn.XLOOKUP($A902,Games!$A$2:$A$18,Games!$H$2:$H$18,"Missing game",0)</x:f>
        <x:v>28</x:v>
      </x:c>
      <x:c r="AN902" t="str">
        <x:f>_xlfn.XLOOKUP($A902,Games!$A$2:$A$18,Games!$I$2:$I$18,"Missing game",0)</x:f>
        <x:v>MIN</x:v>
      </x:c>
      <x:c r="AO902" t="n">
        <x:f>_xlfn.XLOOKUP($A902,Games!$A$2:$A$18,Games!$J$2:$J$18,"Missing game",0)</x:f>
        <x:v>22</x:v>
      </x:c>
      <x:c r="AP902" t="n">
        <x:f>_xlfn.XLOOKUP($A902,Games!$A$2:$A$18,Games!$K$2:$K$18,"Missing game",0)</x:f>
        <x:v>-6</x:v>
      </x:c>
      <x:c r="AQ902" t="n">
        <x:f>_xlfn.XLOOKUP($A902,Games!$A$2:$A$18,Games!$L$2:$L$18,"Missing game",0)</x:f>
        <x:v>50</x:v>
      </x:c>
      <x:c r="AR902" t="n">
        <x:f>_xlfn.XLOOKUP($A902,Games!$A$2:$A$18,Games!$M$2:$M$18,"Missing game",0)</x:f>
        <x:v>0</x:v>
      </x:c>
      <x:c r="AS902" t="str">
        <x:f>_xlfn.XLOOKUP($A902,Games!$A$2:$A$18,Games!$N$2:$N$18,"Missing game",0)</x:f>
        <x:v>dome</x:v>
      </x:c>
      <x:c r="AT902" t="str">
        <x:f>_xlfn.XLOOKUP($A902,Games!$A$2:$A$18,Games!$O$2:$O$18,"Missing game",0)</x:f>
        <x:v>sportturf</x:v>
      </x:c>
      <x:c r="AU902" t="str">
        <x:f>_xlfn.XLOOKUP($A902,Games!$A$2:$A$18,Games!$P$2:$P$18,"Missing game",0)</x:f>
      </x:c>
      <x:c r="AV902" t="str">
        <x:f>_xlfn.XLOOKUP($A902,Games!$A$2:$A$18,Games!$Q$2:$Q$18,"Missing game",0)</x:f>
      </x:c>
      <x:c r="AW902" t="str">
        <x:f>_xlfn.XLOOKUP($A902,Games!$A$2:$A$18,Games!$R$2:$R$18,"Missing game",0)</x:f>
        <x:v>U.S. Bank Stadium</x:v>
      </x:c>
    </x:row>
    <x:row r="903">
      <x:c r="A903" t="str">
        <x:v>2025_07_PHI_MIN</x:v>
      </x:c>
      <x:c r="B903" t="n">
        <x:v>1222</x:v>
      </x:c>
      <x:c r="C903" t="n">
        <x:v>2</x:v>
      </x:c>
      <x:c r="D903" t="str">
        <x:v>09:37</x:v>
      </x:c>
      <x:c r="E903" t="n">
        <x:v>1</x:v>
      </x:c>
      <x:c r="F903" t="n">
        <x:v>10</x:v>
      </x:c>
      <x:c r="G903" t="str">
        <x:v>MIN</x:v>
      </x:c>
      <x:c r="H903" t="str">
        <x:v>PHI</x:v>
      </x:c>
      <x:c r="I903" t="str">
        <x:v>MIN</x:v>
      </x:c>
      <x:c r="J903" t="n">
        <x:v>80</x:v>
      </x:c>
      <x:c r="K903" t="str">
        <x:v>(9:37) (Shotgun) 11-C.Wentz pass deep left to 1-J.Nailor to MIN 46 for 26 yards (33-C.DeJean) [58-J.Hunt].</x:v>
      </x:c>
      <x:c r="L903" t="str">
        <x:v>pass</x:v>
      </x:c>
      <x:c r="M903" t="n">
        <x:v>26</x:v>
      </x:c>
      <x:c r="N903" t="n">
        <x:v>1</x:v>
      </x:c>
      <x:c r="O903" t="n">
        <x:v>0</x:v>
      </x:c>
      <x:c r="P903" t="str">
        <x:v>deep</x:v>
      </x:c>
      <x:c r="Q903" t="str">
        <x:v>left</x:v>
      </x:c>
      <x:c r="R903" t="n">
        <x:v>20</x:v>
      </x:c>
      <x:c r="S903" t="n">
        <x:v>6</x:v>
      </x:c>
      <x:c r="T903"/>
      <x:c r="U903"/>
      <x:c r="V903" t="n">
        <x:v>1</x:v>
      </x:c>
      <x:c r="W903" t="n">
        <x:v>1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/>
      <x:c r="AC903" t="n">
        <x:v>0</x:v>
      </x:c>
      <x:c r="AD903" t="n">
        <x:v>1.5187190352007747</x:v>
      </x:c>
      <x:c r="AE903" t="n">
        <x:v>1</x:v>
      </x:c>
      <x:c r="AF903" t="n">
        <x:v>0.041636839509010315</x:v>
      </x:c>
      <x:c r="AG903" t="n">
        <x:f>_xlfn.XLOOKUP($A903,Games!$A$2:$A$18,Games!$B$2:$B$18,"Missing game",0)</x:f>
        <x:v>2025</x:v>
      </x:c>
      <x:c r="AH903" t="str">
        <x:f>_xlfn.XLOOKUP($A903,Games!$A$2:$A$18,Games!$C$2:$C$18,"Missing game",0)</x:f>
        <x:v>REG</x:v>
      </x:c>
      <x:c r="AI903" t="n">
        <x:f>_xlfn.XLOOKUP($A903,Games!$A$2:$A$18,Games!$D$2:$D$18,"Missing game",0)</x:f>
        <x:v>7</x:v>
      </x:c>
      <x:c r="AJ903" s="1" t="n">
        <x:f>_xlfn.XLOOKUP($A903,Games!$A$2:$A$18,Games!$E$2:$E$18,"Missing game",0)</x:f>
        <x:v>45949</x:v>
      </x:c>
      <x:c r="AK903" t="str">
        <x:f>_xlfn.XLOOKUP($A903,Games!$A$2:$A$18,Games!$F$2:$F$18,"Missing game",0)</x:f>
        <x:v>Sunday</x:v>
      </x:c>
      <x:c r="AL903" t="str">
        <x:f>_xlfn.XLOOKUP($A903,Games!$A$2:$A$18,Games!$G$2:$G$18,"Missing game",0)</x:f>
        <x:v>PHI</x:v>
      </x:c>
      <x:c r="AM903" t="n">
        <x:f>_xlfn.XLOOKUP($A903,Games!$A$2:$A$18,Games!$H$2:$H$18,"Missing game",0)</x:f>
        <x:v>28</x:v>
      </x:c>
      <x:c r="AN903" t="str">
        <x:f>_xlfn.XLOOKUP($A903,Games!$A$2:$A$18,Games!$I$2:$I$18,"Missing game",0)</x:f>
        <x:v>MIN</x:v>
      </x:c>
      <x:c r="AO903" t="n">
        <x:f>_xlfn.XLOOKUP($A903,Games!$A$2:$A$18,Games!$J$2:$J$18,"Missing game",0)</x:f>
        <x:v>22</x:v>
      </x:c>
      <x:c r="AP903" t="n">
        <x:f>_xlfn.XLOOKUP($A903,Games!$A$2:$A$18,Games!$K$2:$K$18,"Missing game",0)</x:f>
        <x:v>-6</x:v>
      </x:c>
      <x:c r="AQ903" t="n">
        <x:f>_xlfn.XLOOKUP($A903,Games!$A$2:$A$18,Games!$L$2:$L$18,"Missing game",0)</x:f>
        <x:v>50</x:v>
      </x:c>
      <x:c r="AR903" t="n">
        <x:f>_xlfn.XLOOKUP($A903,Games!$A$2:$A$18,Games!$M$2:$M$18,"Missing game",0)</x:f>
        <x:v>0</x:v>
      </x:c>
      <x:c r="AS903" t="str">
        <x:f>_xlfn.XLOOKUP($A903,Games!$A$2:$A$18,Games!$N$2:$N$18,"Missing game",0)</x:f>
        <x:v>dome</x:v>
      </x:c>
      <x:c r="AT903" t="str">
        <x:f>_xlfn.XLOOKUP($A903,Games!$A$2:$A$18,Games!$O$2:$O$18,"Missing game",0)</x:f>
        <x:v>sportturf</x:v>
      </x:c>
      <x:c r="AU903" t="str">
        <x:f>_xlfn.XLOOKUP($A903,Games!$A$2:$A$18,Games!$P$2:$P$18,"Missing game",0)</x:f>
      </x:c>
      <x:c r="AV903" t="str">
        <x:f>_xlfn.XLOOKUP($A903,Games!$A$2:$A$18,Games!$Q$2:$Q$18,"Missing game",0)</x:f>
      </x:c>
      <x:c r="AW903" t="str">
        <x:f>_xlfn.XLOOKUP($A903,Games!$A$2:$A$18,Games!$R$2:$R$18,"Missing game",0)</x:f>
        <x:v>U.S. Bank Stadium</x:v>
      </x:c>
    </x:row>
    <x:row r="904">
      <x:c r="A904" t="str">
        <x:v>2025_07_PHI_MIN</x:v>
      </x:c>
      <x:c r="B904" t="n">
        <x:v>1254</x:v>
      </x:c>
      <x:c r="C904" t="n">
        <x:v>2</x:v>
      </x:c>
      <x:c r="D904" t="str">
        <x:v>08:59</x:v>
      </x:c>
      <x:c r="E904" t="n">
        <x:v>1</x:v>
      </x:c>
      <x:c r="F904" t="n">
        <x:v>10</x:v>
      </x:c>
      <x:c r="G904" t="str">
        <x:v>MIN</x:v>
      </x:c>
      <x:c r="H904" t="str">
        <x:v>PHI</x:v>
      </x:c>
      <x:c r="I904" t="str">
        <x:v>MIN</x:v>
      </x:c>
      <x:c r="J904" t="n">
        <x:v>54</x:v>
      </x:c>
      <x:c r="K904" t="str">
        <x:v>(8:59) 36-Z.Scott left end to MIN 45 for -1 yards (0-J.Uche, 53-Z.Baun).</x:v>
      </x:c>
      <x:c r="L904" t="str">
        <x:v>run</x:v>
      </x:c>
      <x:c r="M904" t="n">
        <x:v>-1</x:v>
      </x:c>
      <x:c r="N904" t="n">
        <x:v>0</x:v>
      </x:c>
      <x:c r="O904" t="n">
        <x:v>0</x:v>
      </x:c>
      <x:c r="P904"/>
      <x:c r="Q904"/>
      <x:c r="R904"/>
      <x:c r="S904"/>
      <x:c r="T904" t="str">
        <x:v>left</x:v>
      </x:c>
      <x:c r="U904" t="str">
        <x:v>end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/>
      <x:c r="AC904" t="n">
        <x:v>0</x:v>
      </x:c>
      <x:c r="AD904" t="n">
        <x:v>-0.8932508199941367</x:v>
      </x:c>
      <x:c r="AE904" t="n">
        <x:v>0</x:v>
      </x:c>
      <x:c r="AF904" t="n">
        <x:v>-0.021810054779052734</x:v>
      </x:c>
      <x:c r="AG904" t="n">
        <x:f>_xlfn.XLOOKUP($A904,Games!$A$2:$A$18,Games!$B$2:$B$18,"Missing game",0)</x:f>
        <x:v>2025</x:v>
      </x:c>
      <x:c r="AH904" t="str">
        <x:f>_xlfn.XLOOKUP($A904,Games!$A$2:$A$18,Games!$C$2:$C$18,"Missing game",0)</x:f>
        <x:v>REG</x:v>
      </x:c>
      <x:c r="AI904" t="n">
        <x:f>_xlfn.XLOOKUP($A904,Games!$A$2:$A$18,Games!$D$2:$D$18,"Missing game",0)</x:f>
        <x:v>7</x:v>
      </x:c>
      <x:c r="AJ904" s="1" t="n">
        <x:f>_xlfn.XLOOKUP($A904,Games!$A$2:$A$18,Games!$E$2:$E$18,"Missing game",0)</x:f>
        <x:v>45949</x:v>
      </x:c>
      <x:c r="AK904" t="str">
        <x:f>_xlfn.XLOOKUP($A904,Games!$A$2:$A$18,Games!$F$2:$F$18,"Missing game",0)</x:f>
        <x:v>Sunday</x:v>
      </x:c>
      <x:c r="AL904" t="str">
        <x:f>_xlfn.XLOOKUP($A904,Games!$A$2:$A$18,Games!$G$2:$G$18,"Missing game",0)</x:f>
        <x:v>PHI</x:v>
      </x:c>
      <x:c r="AM904" t="n">
        <x:f>_xlfn.XLOOKUP($A904,Games!$A$2:$A$18,Games!$H$2:$H$18,"Missing game",0)</x:f>
        <x:v>28</x:v>
      </x:c>
      <x:c r="AN904" t="str">
        <x:f>_xlfn.XLOOKUP($A904,Games!$A$2:$A$18,Games!$I$2:$I$18,"Missing game",0)</x:f>
        <x:v>MIN</x:v>
      </x:c>
      <x:c r="AO904" t="n">
        <x:f>_xlfn.XLOOKUP($A904,Games!$A$2:$A$18,Games!$J$2:$J$18,"Missing game",0)</x:f>
        <x:v>22</x:v>
      </x:c>
      <x:c r="AP904" t="n">
        <x:f>_xlfn.XLOOKUP($A904,Games!$A$2:$A$18,Games!$K$2:$K$18,"Missing game",0)</x:f>
        <x:v>-6</x:v>
      </x:c>
      <x:c r="AQ904" t="n">
        <x:f>_xlfn.XLOOKUP($A904,Games!$A$2:$A$18,Games!$L$2:$L$18,"Missing game",0)</x:f>
        <x:v>50</x:v>
      </x:c>
      <x:c r="AR904" t="n">
        <x:f>_xlfn.XLOOKUP($A904,Games!$A$2:$A$18,Games!$M$2:$M$18,"Missing game",0)</x:f>
        <x:v>0</x:v>
      </x:c>
      <x:c r="AS904" t="str">
        <x:f>_xlfn.XLOOKUP($A904,Games!$A$2:$A$18,Games!$N$2:$N$18,"Missing game",0)</x:f>
        <x:v>dome</x:v>
      </x:c>
      <x:c r="AT904" t="str">
        <x:f>_xlfn.XLOOKUP($A904,Games!$A$2:$A$18,Games!$O$2:$O$18,"Missing game",0)</x:f>
        <x:v>sportturf</x:v>
      </x:c>
      <x:c r="AU904" t="str">
        <x:f>_xlfn.XLOOKUP($A904,Games!$A$2:$A$18,Games!$P$2:$P$18,"Missing game",0)</x:f>
      </x:c>
      <x:c r="AV904" t="str">
        <x:f>_xlfn.XLOOKUP($A904,Games!$A$2:$A$18,Games!$Q$2:$Q$18,"Missing game",0)</x:f>
      </x:c>
      <x:c r="AW904" t="str">
        <x:f>_xlfn.XLOOKUP($A904,Games!$A$2:$A$18,Games!$R$2:$R$18,"Missing game",0)</x:f>
        <x:v>U.S. Bank Stadium</x:v>
      </x:c>
    </x:row>
    <x:row r="905">
      <x:c r="A905" t="str">
        <x:v>2025_07_PHI_MIN</x:v>
      </x:c>
      <x:c r="B905" t="n">
        <x:v>1276</x:v>
      </x:c>
      <x:c r="C905" t="n">
        <x:v>2</x:v>
      </x:c>
      <x:c r="D905" t="str">
        <x:v>08:17</x:v>
      </x:c>
      <x:c r="E905" t="n">
        <x:v>2</x:v>
      </x:c>
      <x:c r="F905" t="n">
        <x:v>11</x:v>
      </x:c>
      <x:c r="G905" t="str">
        <x:v>MIN</x:v>
      </x:c>
      <x:c r="H905" t="str">
        <x:v>PHI</x:v>
      </x:c>
      <x:c r="I905" t="str">
        <x:v>MIN</x:v>
      </x:c>
      <x:c r="J905" t="n">
        <x:v>55</x:v>
      </x:c>
      <x:c r="K905" t="str">
        <x:v>(8:17) (Shotgun) 11-C.Wentz pass short right to 18-J.Jefferson to PHI 15 for 40 yards (30-J.Campbell).</x:v>
      </x:c>
      <x:c r="L905" t="str">
        <x:v>pass</x:v>
      </x:c>
      <x:c r="M905" t="n">
        <x:v>40</x:v>
      </x:c>
      <x:c r="N905" t="n">
        <x:v>1</x:v>
      </x:c>
      <x:c r="O905" t="n">
        <x:v>0</x:v>
      </x:c>
      <x:c r="P905" t="str">
        <x:v>short</x:v>
      </x:c>
      <x:c r="Q905" t="str">
        <x:v>right</x:v>
      </x:c>
      <x:c r="R905" t="n">
        <x:v>0</x:v>
      </x:c>
      <x:c r="S905" t="n">
        <x:v>40</x:v>
      </x:c>
      <x:c r="T905"/>
      <x:c r="U905"/>
      <x:c r="V905" t="n">
        <x:v>1</x:v>
      </x:c>
      <x:c r="W905" t="n">
        <x:v>1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/>
      <x:c r="AC905" t="n">
        <x:v>0</x:v>
      </x:c>
      <x:c r="AD905" t="n">
        <x:v>3.283190411690157</x:v>
      </x:c>
      <x:c r="AE905" t="n">
        <x:v>1</x:v>
      </x:c>
      <x:c r="AF905" t="n">
        <x:v>0.06251677870750427</x:v>
      </x:c>
      <x:c r="AG905" t="n">
        <x:f>_xlfn.XLOOKUP($A905,Games!$A$2:$A$18,Games!$B$2:$B$18,"Missing game",0)</x:f>
        <x:v>2025</x:v>
      </x:c>
      <x:c r="AH905" t="str">
        <x:f>_xlfn.XLOOKUP($A905,Games!$A$2:$A$18,Games!$C$2:$C$18,"Missing game",0)</x:f>
        <x:v>REG</x:v>
      </x:c>
      <x:c r="AI905" t="n">
        <x:f>_xlfn.XLOOKUP($A905,Games!$A$2:$A$18,Games!$D$2:$D$18,"Missing game",0)</x:f>
        <x:v>7</x:v>
      </x:c>
      <x:c r="AJ905" s="1" t="n">
        <x:f>_xlfn.XLOOKUP($A905,Games!$A$2:$A$18,Games!$E$2:$E$18,"Missing game",0)</x:f>
        <x:v>45949</x:v>
      </x:c>
      <x:c r="AK905" t="str">
        <x:f>_xlfn.XLOOKUP($A905,Games!$A$2:$A$18,Games!$F$2:$F$18,"Missing game",0)</x:f>
        <x:v>Sunday</x:v>
      </x:c>
      <x:c r="AL905" t="str">
        <x:f>_xlfn.XLOOKUP($A905,Games!$A$2:$A$18,Games!$G$2:$G$18,"Missing game",0)</x:f>
        <x:v>PHI</x:v>
      </x:c>
      <x:c r="AM905" t="n">
        <x:f>_xlfn.XLOOKUP($A905,Games!$A$2:$A$18,Games!$H$2:$H$18,"Missing game",0)</x:f>
        <x:v>28</x:v>
      </x:c>
      <x:c r="AN905" t="str">
        <x:f>_xlfn.XLOOKUP($A905,Games!$A$2:$A$18,Games!$I$2:$I$18,"Missing game",0)</x:f>
        <x:v>MIN</x:v>
      </x:c>
      <x:c r="AO905" t="n">
        <x:f>_xlfn.XLOOKUP($A905,Games!$A$2:$A$18,Games!$J$2:$J$18,"Missing game",0)</x:f>
        <x:v>22</x:v>
      </x:c>
      <x:c r="AP905" t="n">
        <x:f>_xlfn.XLOOKUP($A905,Games!$A$2:$A$18,Games!$K$2:$K$18,"Missing game",0)</x:f>
        <x:v>-6</x:v>
      </x:c>
      <x:c r="AQ905" t="n">
        <x:f>_xlfn.XLOOKUP($A905,Games!$A$2:$A$18,Games!$L$2:$L$18,"Missing game",0)</x:f>
        <x:v>50</x:v>
      </x:c>
      <x:c r="AR905" t="n">
        <x:f>_xlfn.XLOOKUP($A905,Games!$A$2:$A$18,Games!$M$2:$M$18,"Missing game",0)</x:f>
        <x:v>0</x:v>
      </x:c>
      <x:c r="AS905" t="str">
        <x:f>_xlfn.XLOOKUP($A905,Games!$A$2:$A$18,Games!$N$2:$N$18,"Missing game",0)</x:f>
        <x:v>dome</x:v>
      </x:c>
      <x:c r="AT905" t="str">
        <x:f>_xlfn.XLOOKUP($A905,Games!$A$2:$A$18,Games!$O$2:$O$18,"Missing game",0)</x:f>
        <x:v>sportturf</x:v>
      </x:c>
      <x:c r="AU905" t="str">
        <x:f>_xlfn.XLOOKUP($A905,Games!$A$2:$A$18,Games!$P$2:$P$18,"Missing game",0)</x:f>
      </x:c>
      <x:c r="AV905" t="str">
        <x:f>_xlfn.XLOOKUP($A905,Games!$A$2:$A$18,Games!$Q$2:$Q$18,"Missing game",0)</x:f>
      </x:c>
      <x:c r="AW905" t="str">
        <x:f>_xlfn.XLOOKUP($A905,Games!$A$2:$A$18,Games!$R$2:$R$18,"Missing game",0)</x:f>
        <x:v>U.S. Bank Stadium</x:v>
      </x:c>
    </x:row>
    <x:row r="906">
      <x:c r="A906" t="str">
        <x:v>2025_07_PHI_MIN</x:v>
      </x:c>
      <x:c r="B906" t="n">
        <x:v>1301</x:v>
      </x:c>
      <x:c r="C906" t="n">
        <x:v>2</x:v>
      </x:c>
      <x:c r="D906" t="str">
        <x:v>07:25</x:v>
      </x:c>
      <x:c r="E906" t="n">
        <x:v>1</x:v>
      </x:c>
      <x:c r="F906" t="n">
        <x:v>10</x:v>
      </x:c>
      <x:c r="G906" t="str">
        <x:v>MIN</x:v>
      </x:c>
      <x:c r="H906" t="str">
        <x:v>PHI</x:v>
      </x:c>
      <x:c r="I906" t="str">
        <x:v>PHI</x:v>
      </x:c>
      <x:c r="J906" t="n">
        <x:v>15</x:v>
      </x:c>
      <x:c r="K906" t="str">
        <x:v>(7:25) (Shotgun) 11-C.Wentz pass short left to 84-J.Oliver pushed ob at PHI 6 for 9 yards (24-A.Mukuba).</x:v>
      </x:c>
      <x:c r="L906" t="str">
        <x:v>pass</x:v>
      </x:c>
      <x:c r="M906" t="n">
        <x:v>9</x:v>
      </x:c>
      <x:c r="N906" t="n">
        <x:v>1</x:v>
      </x:c>
      <x:c r="O906" t="n">
        <x:v>0</x:v>
      </x:c>
      <x:c r="P906" t="str">
        <x:v>short</x:v>
      </x:c>
      <x:c r="Q906" t="str">
        <x:v>left</x:v>
      </x:c>
      <x:c r="R906" t="n">
        <x:v>3</x:v>
      </x:c>
      <x:c r="S906" t="n">
        <x:v>6</x:v>
      </x:c>
      <x:c r="T906"/>
      <x:c r="U906"/>
      <x:c r="V906" t="n">
        <x:v>1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/>
      <x:c r="AC906" t="n">
        <x:v>0</x:v>
      </x:c>
      <x:c r="AD906" t="n">
        <x:v>0.7767903856001794</x:v>
      </x:c>
      <x:c r="AE906" t="n">
        <x:v>1</x:v>
      </x:c>
      <x:c r="AF906" t="n">
        <x:v>0.005306214094161987</x:v>
      </x:c>
      <x:c r="AG906" t="n">
        <x:f>_xlfn.XLOOKUP($A906,Games!$A$2:$A$18,Games!$B$2:$B$18,"Missing game",0)</x:f>
        <x:v>2025</x:v>
      </x:c>
      <x:c r="AH906" t="str">
        <x:f>_xlfn.XLOOKUP($A906,Games!$A$2:$A$18,Games!$C$2:$C$18,"Missing game",0)</x:f>
        <x:v>REG</x:v>
      </x:c>
      <x:c r="AI906" t="n">
        <x:f>_xlfn.XLOOKUP($A906,Games!$A$2:$A$18,Games!$D$2:$D$18,"Missing game",0)</x:f>
        <x:v>7</x:v>
      </x:c>
      <x:c r="AJ906" s="1" t="n">
        <x:f>_xlfn.XLOOKUP($A906,Games!$A$2:$A$18,Games!$E$2:$E$18,"Missing game",0)</x:f>
        <x:v>45949</x:v>
      </x:c>
      <x:c r="AK906" t="str">
        <x:f>_xlfn.XLOOKUP($A906,Games!$A$2:$A$18,Games!$F$2:$F$18,"Missing game",0)</x:f>
        <x:v>Sunday</x:v>
      </x:c>
      <x:c r="AL906" t="str">
        <x:f>_xlfn.XLOOKUP($A906,Games!$A$2:$A$18,Games!$G$2:$G$18,"Missing game",0)</x:f>
        <x:v>PHI</x:v>
      </x:c>
      <x:c r="AM906" t="n">
        <x:f>_xlfn.XLOOKUP($A906,Games!$A$2:$A$18,Games!$H$2:$H$18,"Missing game",0)</x:f>
        <x:v>28</x:v>
      </x:c>
      <x:c r="AN906" t="str">
        <x:f>_xlfn.XLOOKUP($A906,Games!$A$2:$A$18,Games!$I$2:$I$18,"Missing game",0)</x:f>
        <x:v>MIN</x:v>
      </x:c>
      <x:c r="AO906" t="n">
        <x:f>_xlfn.XLOOKUP($A906,Games!$A$2:$A$18,Games!$J$2:$J$18,"Missing game",0)</x:f>
        <x:v>22</x:v>
      </x:c>
      <x:c r="AP906" t="n">
        <x:f>_xlfn.XLOOKUP($A906,Games!$A$2:$A$18,Games!$K$2:$K$18,"Missing game",0)</x:f>
        <x:v>-6</x:v>
      </x:c>
      <x:c r="AQ906" t="n">
        <x:f>_xlfn.XLOOKUP($A906,Games!$A$2:$A$18,Games!$L$2:$L$18,"Missing game",0)</x:f>
        <x:v>50</x:v>
      </x:c>
      <x:c r="AR906" t="n">
        <x:f>_xlfn.XLOOKUP($A906,Games!$A$2:$A$18,Games!$M$2:$M$18,"Missing game",0)</x:f>
        <x:v>0</x:v>
      </x:c>
      <x:c r="AS906" t="str">
        <x:f>_xlfn.XLOOKUP($A906,Games!$A$2:$A$18,Games!$N$2:$N$18,"Missing game",0)</x:f>
        <x:v>dome</x:v>
      </x:c>
      <x:c r="AT906" t="str">
        <x:f>_xlfn.XLOOKUP($A906,Games!$A$2:$A$18,Games!$O$2:$O$18,"Missing game",0)</x:f>
        <x:v>sportturf</x:v>
      </x:c>
      <x:c r="AU906" t="str">
        <x:f>_xlfn.XLOOKUP($A906,Games!$A$2:$A$18,Games!$P$2:$P$18,"Missing game",0)</x:f>
      </x:c>
      <x:c r="AV906" t="str">
        <x:f>_xlfn.XLOOKUP($A906,Games!$A$2:$A$18,Games!$Q$2:$Q$18,"Missing game",0)</x:f>
      </x:c>
      <x:c r="AW906" t="str">
        <x:f>_xlfn.XLOOKUP($A906,Games!$A$2:$A$18,Games!$R$2:$R$18,"Missing game",0)</x:f>
        <x:v>U.S. Bank Stadium</x:v>
      </x:c>
    </x:row>
    <x:row r="907">
      <x:c r="A907" t="str">
        <x:v>2025_07_PHI_MIN</x:v>
      </x:c>
      <x:c r="B907" t="n">
        <x:v>1331</x:v>
      </x:c>
      <x:c r="C907" t="n">
        <x:v>2</x:v>
      </x:c>
      <x:c r="D907" t="str">
        <x:v>06:50</x:v>
      </x:c>
      <x:c r="E907" t="n">
        <x:v>2</x:v>
      </x:c>
      <x:c r="F907" t="n">
        <x:v>1</x:v>
      </x:c>
      <x:c r="G907" t="str">
        <x:v>MIN</x:v>
      </x:c>
      <x:c r="H907" t="str">
        <x:v>PHI</x:v>
      </x:c>
      <x:c r="I907" t="str">
        <x:v>PHI</x:v>
      </x:c>
      <x:c r="J907" t="n">
        <x:v>6</x:v>
      </x:c>
      <x:c r="K907" t="str">
        <x:v>(6:50) 11-C.Wentz pass incomplete short left to 18-J.Jefferson (33-C.DeJean).</x:v>
      </x:c>
      <x:c r="L907" t="str">
        <x:v>pass</x:v>
      </x:c>
      <x:c r="M907" t="n">
        <x:v>0</x:v>
      </x:c>
      <x:c r="N907" t="n">
        <x:v>0</x:v>
      </x:c>
      <x:c r="O907" t="n">
        <x:v>0</x:v>
      </x:c>
      <x:c r="P907" t="str">
        <x:v>short</x:v>
      </x:c>
      <x:c r="Q907" t="str">
        <x:v>left</x:v>
      </x:c>
      <x:c r="R907" t="n">
        <x:v>6</x:v>
      </x:c>
      <x:c r="S907"/>
      <x:c r="T907"/>
      <x:c r="U907"/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/>
      <x:c r="AC907" t="n">
        <x:v>0</x:v>
      </x:c>
      <x:c r="AD907" t="n">
        <x:v>-0.542220555129461</x:v>
      </x:c>
      <x:c r="AE907" t="n">
        <x:v>0</x:v>
      </x:c>
      <x:c r="AF907" t="n">
        <x:v>-0.024313926696777344</x:v>
      </x:c>
      <x:c r="AG907" t="n">
        <x:f>_xlfn.XLOOKUP($A907,Games!$A$2:$A$18,Games!$B$2:$B$18,"Missing game",0)</x:f>
        <x:v>2025</x:v>
      </x:c>
      <x:c r="AH907" t="str">
        <x:f>_xlfn.XLOOKUP($A907,Games!$A$2:$A$18,Games!$C$2:$C$18,"Missing game",0)</x:f>
        <x:v>REG</x:v>
      </x:c>
      <x:c r="AI907" t="n">
        <x:f>_xlfn.XLOOKUP($A907,Games!$A$2:$A$18,Games!$D$2:$D$18,"Missing game",0)</x:f>
        <x:v>7</x:v>
      </x:c>
      <x:c r="AJ907" s="1" t="n">
        <x:f>_xlfn.XLOOKUP($A907,Games!$A$2:$A$18,Games!$E$2:$E$18,"Missing game",0)</x:f>
        <x:v>45949</x:v>
      </x:c>
      <x:c r="AK907" t="str">
        <x:f>_xlfn.XLOOKUP($A907,Games!$A$2:$A$18,Games!$F$2:$F$18,"Missing game",0)</x:f>
        <x:v>Sunday</x:v>
      </x:c>
      <x:c r="AL907" t="str">
        <x:f>_xlfn.XLOOKUP($A907,Games!$A$2:$A$18,Games!$G$2:$G$18,"Missing game",0)</x:f>
        <x:v>PHI</x:v>
      </x:c>
      <x:c r="AM907" t="n">
        <x:f>_xlfn.XLOOKUP($A907,Games!$A$2:$A$18,Games!$H$2:$H$18,"Missing game",0)</x:f>
        <x:v>28</x:v>
      </x:c>
      <x:c r="AN907" t="str">
        <x:f>_xlfn.XLOOKUP($A907,Games!$A$2:$A$18,Games!$I$2:$I$18,"Missing game",0)</x:f>
        <x:v>MIN</x:v>
      </x:c>
      <x:c r="AO907" t="n">
        <x:f>_xlfn.XLOOKUP($A907,Games!$A$2:$A$18,Games!$J$2:$J$18,"Missing game",0)</x:f>
        <x:v>22</x:v>
      </x:c>
      <x:c r="AP907" t="n">
        <x:f>_xlfn.XLOOKUP($A907,Games!$A$2:$A$18,Games!$K$2:$K$18,"Missing game",0)</x:f>
        <x:v>-6</x:v>
      </x:c>
      <x:c r="AQ907" t="n">
        <x:f>_xlfn.XLOOKUP($A907,Games!$A$2:$A$18,Games!$L$2:$L$18,"Missing game",0)</x:f>
        <x:v>50</x:v>
      </x:c>
      <x:c r="AR907" t="n">
        <x:f>_xlfn.XLOOKUP($A907,Games!$A$2:$A$18,Games!$M$2:$M$18,"Missing game",0)</x:f>
        <x:v>0</x:v>
      </x:c>
      <x:c r="AS907" t="str">
        <x:f>_xlfn.XLOOKUP($A907,Games!$A$2:$A$18,Games!$N$2:$N$18,"Missing game",0)</x:f>
        <x:v>dome</x:v>
      </x:c>
      <x:c r="AT907" t="str">
        <x:f>_xlfn.XLOOKUP($A907,Games!$A$2:$A$18,Games!$O$2:$O$18,"Missing game",0)</x:f>
        <x:v>sportturf</x:v>
      </x:c>
      <x:c r="AU907" t="str">
        <x:f>_xlfn.XLOOKUP($A907,Games!$A$2:$A$18,Games!$P$2:$P$18,"Missing game",0)</x:f>
      </x:c>
      <x:c r="AV907" t="str">
        <x:f>_xlfn.XLOOKUP($A907,Games!$A$2:$A$18,Games!$Q$2:$Q$18,"Missing game",0)</x:f>
      </x:c>
      <x:c r="AW907" t="str">
        <x:f>_xlfn.XLOOKUP($A907,Games!$A$2:$A$18,Games!$R$2:$R$18,"Missing game",0)</x:f>
        <x:v>U.S. Bank Stadium</x:v>
      </x:c>
    </x:row>
    <x:row r="908">
      <x:c r="A908" t="str">
        <x:v>2025_07_PHI_MIN</x:v>
      </x:c>
      <x:c r="B908" t="n">
        <x:v>1343</x:v>
      </x:c>
      <x:c r="C908" t="n">
        <x:v>2</x:v>
      </x:c>
      <x:c r="D908" t="str">
        <x:v>06:50</x:v>
      </x:c>
      <x:c r="E908"/>
      <x:c r="F908" t="n">
        <x:v>0</x:v>
      </x:c>
      <x:c r="G908"/>
      <x:c r="H908"/>
      <x:c r="I908"/>
      <x:c r="J908"/>
      <x:c r="K908" t="str">
        <x:v>Timeout #2 by MIN at 06:50.</x:v>
      </x:c>
      <x:c r="L908" t="str">
        <x:v>no_play</x:v>
      </x:c>
      <x:c r="M908" t="n">
        <x:v>0</x:v>
      </x:c>
      <x:c r="N908" t="n">
        <x:v>0</x:v>
      </x:c>
      <x:c r="O908" t="n">
        <x:v>0</x:v>
      </x:c>
      <x:c r="P908"/>
      <x:c r="Q908"/>
      <x:c r="R908"/>
      <x:c r="S908"/>
      <x:c r="T908"/>
      <x:c r="U908"/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/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f>_xlfn.XLOOKUP($A908,Games!$A$2:$A$18,Games!$B$2:$B$18,"Missing game",0)</x:f>
        <x:v>2025</x:v>
      </x:c>
      <x:c r="AH908" t="str">
        <x:f>_xlfn.XLOOKUP($A908,Games!$A$2:$A$18,Games!$C$2:$C$18,"Missing game",0)</x:f>
        <x:v>REG</x:v>
      </x:c>
      <x:c r="AI908" t="n">
        <x:f>_xlfn.XLOOKUP($A908,Games!$A$2:$A$18,Games!$D$2:$D$18,"Missing game",0)</x:f>
        <x:v>7</x:v>
      </x:c>
      <x:c r="AJ908" s="1" t="n">
        <x:f>_xlfn.XLOOKUP($A908,Games!$A$2:$A$18,Games!$E$2:$E$18,"Missing game",0)</x:f>
        <x:v>45949</x:v>
      </x:c>
      <x:c r="AK908" t="str">
        <x:f>_xlfn.XLOOKUP($A908,Games!$A$2:$A$18,Games!$F$2:$F$18,"Missing game",0)</x:f>
        <x:v>Sunday</x:v>
      </x:c>
      <x:c r="AL908" t="str">
        <x:f>_xlfn.XLOOKUP($A908,Games!$A$2:$A$18,Games!$G$2:$G$18,"Missing game",0)</x:f>
        <x:v>PHI</x:v>
      </x:c>
      <x:c r="AM908" t="n">
        <x:f>_xlfn.XLOOKUP($A908,Games!$A$2:$A$18,Games!$H$2:$H$18,"Missing game",0)</x:f>
        <x:v>28</x:v>
      </x:c>
      <x:c r="AN908" t="str">
        <x:f>_xlfn.XLOOKUP($A908,Games!$A$2:$A$18,Games!$I$2:$I$18,"Missing game",0)</x:f>
        <x:v>MIN</x:v>
      </x:c>
      <x:c r="AO908" t="n">
        <x:f>_xlfn.XLOOKUP($A908,Games!$A$2:$A$18,Games!$J$2:$J$18,"Missing game",0)</x:f>
        <x:v>22</x:v>
      </x:c>
      <x:c r="AP908" t="n">
        <x:f>_xlfn.XLOOKUP($A908,Games!$A$2:$A$18,Games!$K$2:$K$18,"Missing game",0)</x:f>
        <x:v>-6</x:v>
      </x:c>
      <x:c r="AQ908" t="n">
        <x:f>_xlfn.XLOOKUP($A908,Games!$A$2:$A$18,Games!$L$2:$L$18,"Missing game",0)</x:f>
        <x:v>50</x:v>
      </x:c>
      <x:c r="AR908" t="n">
        <x:f>_xlfn.XLOOKUP($A908,Games!$A$2:$A$18,Games!$M$2:$M$18,"Missing game",0)</x:f>
        <x:v>0</x:v>
      </x:c>
      <x:c r="AS908" t="str">
        <x:f>_xlfn.XLOOKUP($A908,Games!$A$2:$A$18,Games!$N$2:$N$18,"Missing game",0)</x:f>
        <x:v>dome</x:v>
      </x:c>
      <x:c r="AT908" t="str">
        <x:f>_xlfn.XLOOKUP($A908,Games!$A$2:$A$18,Games!$O$2:$O$18,"Missing game",0)</x:f>
        <x:v>sportturf</x:v>
      </x:c>
      <x:c r="AU908" t="str">
        <x:f>_xlfn.XLOOKUP($A908,Games!$A$2:$A$18,Games!$P$2:$P$18,"Missing game",0)</x:f>
      </x:c>
      <x:c r="AV908" t="str">
        <x:f>_xlfn.XLOOKUP($A908,Games!$A$2:$A$18,Games!$Q$2:$Q$18,"Missing game",0)</x:f>
      </x:c>
      <x:c r="AW908" t="str">
        <x:f>_xlfn.XLOOKUP($A908,Games!$A$2:$A$18,Games!$R$2:$R$18,"Missing game",0)</x:f>
        <x:v>U.S. Bank Stadium</x:v>
      </x:c>
    </x:row>
    <x:row r="909">
      <x:c r="A909" t="str">
        <x:v>2025_07_PHI_MIN</x:v>
      </x:c>
      <x:c r="B909" t="n">
        <x:v>1377</x:v>
      </x:c>
      <x:c r="C909" t="n">
        <x:v>2</x:v>
      </x:c>
      <x:c r="D909" t="str">
        <x:v>06:47</x:v>
      </x:c>
      <x:c r="E909" t="n">
        <x:v>3</x:v>
      </x:c>
      <x:c r="F909" t="n">
        <x:v>1</x:v>
      </x:c>
      <x:c r="G909" t="str">
        <x:v>MIN</x:v>
      </x:c>
      <x:c r="H909" t="str">
        <x:v>PHI</x:v>
      </x:c>
      <x:c r="I909" t="str">
        <x:v>PHI</x:v>
      </x:c>
      <x:c r="J909" t="n">
        <x:v>6</x:v>
      </x:c>
      <x:c r="K909" t="str">
        <x:v>(6:47) 11-C.Wentz pass incomplete short right to 1-J.Nailor.</x:v>
      </x:c>
      <x:c r="L909" t="str">
        <x:v>pass</x:v>
      </x:c>
      <x:c r="M909" t="n">
        <x:v>0</x:v>
      </x:c>
      <x:c r="N909" t="n">
        <x:v>0</x:v>
      </x:c>
      <x:c r="O909" t="n">
        <x:v>0</x:v>
      </x:c>
      <x:c r="P909" t="str">
        <x:v>short</x:v>
      </x:c>
      <x:c r="Q909" t="str">
        <x:v>right</x:v>
      </x:c>
      <x:c r="R909" t="n">
        <x:v>6</x:v>
      </x:c>
      <x:c r="S909"/>
      <x:c r="T909"/>
      <x:c r="U909"/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/>
      <x:c r="AC909" t="n">
        <x:v>0</x:v>
      </x:c>
      <x:c r="AD909" t="n">
        <x:v>-1.4504622705862857</x:v>
      </x:c>
      <x:c r="AE909" t="n">
        <x:v>0</x:v>
      </x:c>
      <x:c r="AF909" t="n">
        <x:v>-0.046638041734695435</x:v>
      </x:c>
      <x:c r="AG909" t="n">
        <x:f>_xlfn.XLOOKUP($A909,Games!$A$2:$A$18,Games!$B$2:$B$18,"Missing game",0)</x:f>
        <x:v>2025</x:v>
      </x:c>
      <x:c r="AH909" t="str">
        <x:f>_xlfn.XLOOKUP($A909,Games!$A$2:$A$18,Games!$C$2:$C$18,"Missing game",0)</x:f>
        <x:v>REG</x:v>
      </x:c>
      <x:c r="AI909" t="n">
        <x:f>_xlfn.XLOOKUP($A909,Games!$A$2:$A$18,Games!$D$2:$D$18,"Missing game",0)</x:f>
        <x:v>7</x:v>
      </x:c>
      <x:c r="AJ909" s="1" t="n">
        <x:f>_xlfn.XLOOKUP($A909,Games!$A$2:$A$18,Games!$E$2:$E$18,"Missing game",0)</x:f>
        <x:v>45949</x:v>
      </x:c>
      <x:c r="AK909" t="str">
        <x:f>_xlfn.XLOOKUP($A909,Games!$A$2:$A$18,Games!$F$2:$F$18,"Missing game",0)</x:f>
        <x:v>Sunday</x:v>
      </x:c>
      <x:c r="AL909" t="str">
        <x:f>_xlfn.XLOOKUP($A909,Games!$A$2:$A$18,Games!$G$2:$G$18,"Missing game",0)</x:f>
        <x:v>PHI</x:v>
      </x:c>
      <x:c r="AM909" t="n">
        <x:f>_xlfn.XLOOKUP($A909,Games!$A$2:$A$18,Games!$H$2:$H$18,"Missing game",0)</x:f>
        <x:v>28</x:v>
      </x:c>
      <x:c r="AN909" t="str">
        <x:f>_xlfn.XLOOKUP($A909,Games!$A$2:$A$18,Games!$I$2:$I$18,"Missing game",0)</x:f>
        <x:v>MIN</x:v>
      </x:c>
      <x:c r="AO909" t="n">
        <x:f>_xlfn.XLOOKUP($A909,Games!$A$2:$A$18,Games!$J$2:$J$18,"Missing game",0)</x:f>
        <x:v>22</x:v>
      </x:c>
      <x:c r="AP909" t="n">
        <x:f>_xlfn.XLOOKUP($A909,Games!$A$2:$A$18,Games!$K$2:$K$18,"Missing game",0)</x:f>
        <x:v>-6</x:v>
      </x:c>
      <x:c r="AQ909" t="n">
        <x:f>_xlfn.XLOOKUP($A909,Games!$A$2:$A$18,Games!$L$2:$L$18,"Missing game",0)</x:f>
        <x:v>50</x:v>
      </x:c>
      <x:c r="AR909" t="n">
        <x:f>_xlfn.XLOOKUP($A909,Games!$A$2:$A$18,Games!$M$2:$M$18,"Missing game",0)</x:f>
        <x:v>0</x:v>
      </x:c>
      <x:c r="AS909" t="str">
        <x:f>_xlfn.XLOOKUP($A909,Games!$A$2:$A$18,Games!$N$2:$N$18,"Missing game",0)</x:f>
        <x:v>dome</x:v>
      </x:c>
      <x:c r="AT909" t="str">
        <x:f>_xlfn.XLOOKUP($A909,Games!$A$2:$A$18,Games!$O$2:$O$18,"Missing game",0)</x:f>
        <x:v>sportturf</x:v>
      </x:c>
      <x:c r="AU909" t="str">
        <x:f>_xlfn.XLOOKUP($A909,Games!$A$2:$A$18,Games!$P$2:$P$18,"Missing game",0)</x:f>
      </x:c>
      <x:c r="AV909" t="str">
        <x:f>_xlfn.XLOOKUP($A909,Games!$A$2:$A$18,Games!$Q$2:$Q$18,"Missing game",0)</x:f>
      </x:c>
      <x:c r="AW909" t="str">
        <x:f>_xlfn.XLOOKUP($A909,Games!$A$2:$A$18,Games!$R$2:$R$18,"Missing game",0)</x:f>
        <x:v>U.S. Bank Stadium</x:v>
      </x:c>
    </x:row>
    <x:row r="910">
      <x:c r="A910" t="str">
        <x:v>2025_07_PHI_MIN</x:v>
      </x:c>
      <x:c r="B910" t="n">
        <x:v>1400</x:v>
      </x:c>
      <x:c r="C910" t="n">
        <x:v>2</x:v>
      </x:c>
      <x:c r="D910" t="str">
        <x:v>06:42</x:v>
      </x:c>
      <x:c r="E910" t="n">
        <x:v>4</x:v>
      </x:c>
      <x:c r="F910" t="n">
        <x:v>1</x:v>
      </x:c>
      <x:c r="G910" t="str">
        <x:v>MIN</x:v>
      </x:c>
      <x:c r="H910" t="str">
        <x:v>PHI</x:v>
      </x:c>
      <x:c r="I910" t="str">
        <x:v>PHI</x:v>
      </x:c>
      <x:c r="J910" t="n">
        <x:v>6</x:v>
      </x:c>
      <x:c r="K910" t="str">
        <x:v>(6:42) 11-C.Wentz pass short right to 1-J.Nailor for 6 yards, TOUCHDOWN NULLIFIED by Penalty. PENALTY on MIN-64-B.Brandel, Offensive Holding, 10 yards, enforced at PHI 6 - No Play.</x:v>
      </x:c>
      <x:c r="L910" t="str">
        <x:v>no_play</x:v>
      </x:c>
      <x:c r="M910" t="n">
        <x:v>0</x:v>
      </x:c>
      <x:c r="N910" t="n">
        <x:v>0</x:v>
      </x:c>
      <x:c r="O910" t="n">
        <x:v>0</x:v>
      </x:c>
      <x:c r="P910"/>
      <x:c r="Q910"/>
      <x:c r="R910"/>
      <x:c r="S910"/>
      <x:c r="T910"/>
      <x:c r="U910"/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1</x:v>
      </x:c>
      <x:c r="AB910" t="n">
        <x:v>10</x:v>
      </x:c>
      <x:c r="AC910" t="n">
        <x:v>0</x:v>
      </x:c>
      <x:c r="AD910" t="n">
        <x:v>-0.9928968722981675</x:v>
      </x:c>
      <x:c r="AE910" t="n">
        <x:v>0</x:v>
      </x:c>
      <x:c r="AF910" t="n">
        <x:v>-0.026991724967956543</x:v>
      </x:c>
      <x:c r="AG910" t="n">
        <x:f>_xlfn.XLOOKUP($A910,Games!$A$2:$A$18,Games!$B$2:$B$18,"Missing game",0)</x:f>
        <x:v>2025</x:v>
      </x:c>
      <x:c r="AH910" t="str">
        <x:f>_xlfn.XLOOKUP($A910,Games!$A$2:$A$18,Games!$C$2:$C$18,"Missing game",0)</x:f>
        <x:v>REG</x:v>
      </x:c>
      <x:c r="AI910" t="n">
        <x:f>_xlfn.XLOOKUP($A910,Games!$A$2:$A$18,Games!$D$2:$D$18,"Missing game",0)</x:f>
        <x:v>7</x:v>
      </x:c>
      <x:c r="AJ910" s="1" t="n">
        <x:f>_xlfn.XLOOKUP($A910,Games!$A$2:$A$18,Games!$E$2:$E$18,"Missing game",0)</x:f>
        <x:v>45949</x:v>
      </x:c>
      <x:c r="AK910" t="str">
        <x:f>_xlfn.XLOOKUP($A910,Games!$A$2:$A$18,Games!$F$2:$F$18,"Missing game",0)</x:f>
        <x:v>Sunday</x:v>
      </x:c>
      <x:c r="AL910" t="str">
        <x:f>_xlfn.XLOOKUP($A910,Games!$A$2:$A$18,Games!$G$2:$G$18,"Missing game",0)</x:f>
        <x:v>PHI</x:v>
      </x:c>
      <x:c r="AM910" t="n">
        <x:f>_xlfn.XLOOKUP($A910,Games!$A$2:$A$18,Games!$H$2:$H$18,"Missing game",0)</x:f>
        <x:v>28</x:v>
      </x:c>
      <x:c r="AN910" t="str">
        <x:f>_xlfn.XLOOKUP($A910,Games!$A$2:$A$18,Games!$I$2:$I$18,"Missing game",0)</x:f>
        <x:v>MIN</x:v>
      </x:c>
      <x:c r="AO910" t="n">
        <x:f>_xlfn.XLOOKUP($A910,Games!$A$2:$A$18,Games!$J$2:$J$18,"Missing game",0)</x:f>
        <x:v>22</x:v>
      </x:c>
      <x:c r="AP910" t="n">
        <x:f>_xlfn.XLOOKUP($A910,Games!$A$2:$A$18,Games!$K$2:$K$18,"Missing game",0)</x:f>
        <x:v>-6</x:v>
      </x:c>
      <x:c r="AQ910" t="n">
        <x:f>_xlfn.XLOOKUP($A910,Games!$A$2:$A$18,Games!$L$2:$L$18,"Missing game",0)</x:f>
        <x:v>50</x:v>
      </x:c>
      <x:c r="AR910" t="n">
        <x:f>_xlfn.XLOOKUP($A910,Games!$A$2:$A$18,Games!$M$2:$M$18,"Missing game",0)</x:f>
        <x:v>0</x:v>
      </x:c>
      <x:c r="AS910" t="str">
        <x:f>_xlfn.XLOOKUP($A910,Games!$A$2:$A$18,Games!$N$2:$N$18,"Missing game",0)</x:f>
        <x:v>dome</x:v>
      </x:c>
      <x:c r="AT910" t="str">
        <x:f>_xlfn.XLOOKUP($A910,Games!$A$2:$A$18,Games!$O$2:$O$18,"Missing game",0)</x:f>
        <x:v>sportturf</x:v>
      </x:c>
      <x:c r="AU910" t="str">
        <x:f>_xlfn.XLOOKUP($A910,Games!$A$2:$A$18,Games!$P$2:$P$18,"Missing game",0)</x:f>
      </x:c>
      <x:c r="AV910" t="str">
        <x:f>_xlfn.XLOOKUP($A910,Games!$A$2:$A$18,Games!$Q$2:$Q$18,"Missing game",0)</x:f>
      </x:c>
      <x:c r="AW910" t="str">
        <x:f>_xlfn.XLOOKUP($A910,Games!$A$2:$A$18,Games!$R$2:$R$18,"Missing game",0)</x:f>
        <x:v>U.S. Bank Stadium</x:v>
      </x:c>
    </x:row>
    <x:row r="911">
      <x:c r="A911" t="str">
        <x:v>2025_07_PHI_MIN</x:v>
      </x:c>
      <x:c r="B911" t="n">
        <x:v>1437</x:v>
      </x:c>
      <x:c r="C911" t="n">
        <x:v>2</x:v>
      </x:c>
      <x:c r="D911" t="str">
        <x:v>06:37</x:v>
      </x:c>
      <x:c r="E911" t="n">
        <x:v>4</x:v>
      </x:c>
      <x:c r="F911" t="n">
        <x:v>11</x:v>
      </x:c>
      <x:c r="G911" t="str">
        <x:v>MIN</x:v>
      </x:c>
      <x:c r="H911" t="str">
        <x:v>PHI</x:v>
      </x:c>
      <x:c r="I911" t="str">
        <x:v>PHI</x:v>
      </x:c>
      <x:c r="J911" t="n">
        <x:v>16</x:v>
      </x:c>
      <x:c r="K911" t="str">
        <x:v>(6:37) 16-W.Reichard 34 yard field goal is GOOD, Center-42-A.DePaola, Holder-17-R.Wright.</x:v>
      </x:c>
      <x:c r="L911" t="str">
        <x:v>field_goal</x:v>
      </x:c>
      <x:c r="M911" t="n">
        <x:v>0</x:v>
      </x:c>
      <x:c r="N911" t="n">
        <x:v>0</x:v>
      </x:c>
      <x:c r="O911" t="n">
        <x:v>0</x:v>
      </x:c>
      <x:c r="P911"/>
      <x:c r="Q911"/>
      <x:c r="R911"/>
      <x:c r="S911"/>
      <x:c r="T911"/>
      <x:c r="U911"/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/>
      <x:c r="AC911" t="n">
        <x:v>0</x:v>
      </x:c>
      <x:c r="AD911" t="n">
        <x:v>0.24601213047777248</x:v>
      </x:c>
      <x:c r="AE911" t="n">
        <x:v>1</x:v>
      </x:c>
      <x:c r="AF911" t="n">
        <x:v>-0.012171655893325806</x:v>
      </x:c>
      <x:c r="AG911" t="n">
        <x:f>_xlfn.XLOOKUP($A911,Games!$A$2:$A$18,Games!$B$2:$B$18,"Missing game",0)</x:f>
        <x:v>2025</x:v>
      </x:c>
      <x:c r="AH911" t="str">
        <x:f>_xlfn.XLOOKUP($A911,Games!$A$2:$A$18,Games!$C$2:$C$18,"Missing game",0)</x:f>
        <x:v>REG</x:v>
      </x:c>
      <x:c r="AI911" t="n">
        <x:f>_xlfn.XLOOKUP($A911,Games!$A$2:$A$18,Games!$D$2:$D$18,"Missing game",0)</x:f>
        <x:v>7</x:v>
      </x:c>
      <x:c r="AJ911" s="1" t="n">
        <x:f>_xlfn.XLOOKUP($A911,Games!$A$2:$A$18,Games!$E$2:$E$18,"Missing game",0)</x:f>
        <x:v>45949</x:v>
      </x:c>
      <x:c r="AK911" t="str">
        <x:f>_xlfn.XLOOKUP($A911,Games!$A$2:$A$18,Games!$F$2:$F$18,"Missing game",0)</x:f>
        <x:v>Sunday</x:v>
      </x:c>
      <x:c r="AL911" t="str">
        <x:f>_xlfn.XLOOKUP($A911,Games!$A$2:$A$18,Games!$G$2:$G$18,"Missing game",0)</x:f>
        <x:v>PHI</x:v>
      </x:c>
      <x:c r="AM911" t="n">
        <x:f>_xlfn.XLOOKUP($A911,Games!$A$2:$A$18,Games!$H$2:$H$18,"Missing game",0)</x:f>
        <x:v>28</x:v>
      </x:c>
      <x:c r="AN911" t="str">
        <x:f>_xlfn.XLOOKUP($A911,Games!$A$2:$A$18,Games!$I$2:$I$18,"Missing game",0)</x:f>
        <x:v>MIN</x:v>
      </x:c>
      <x:c r="AO911" t="n">
        <x:f>_xlfn.XLOOKUP($A911,Games!$A$2:$A$18,Games!$J$2:$J$18,"Missing game",0)</x:f>
        <x:v>22</x:v>
      </x:c>
      <x:c r="AP911" t="n">
        <x:f>_xlfn.XLOOKUP($A911,Games!$A$2:$A$18,Games!$K$2:$K$18,"Missing game",0)</x:f>
        <x:v>-6</x:v>
      </x:c>
      <x:c r="AQ911" t="n">
        <x:f>_xlfn.XLOOKUP($A911,Games!$A$2:$A$18,Games!$L$2:$L$18,"Missing game",0)</x:f>
        <x:v>50</x:v>
      </x:c>
      <x:c r="AR911" t="n">
        <x:f>_xlfn.XLOOKUP($A911,Games!$A$2:$A$18,Games!$M$2:$M$18,"Missing game",0)</x:f>
        <x:v>0</x:v>
      </x:c>
      <x:c r="AS911" t="str">
        <x:f>_xlfn.XLOOKUP($A911,Games!$A$2:$A$18,Games!$N$2:$N$18,"Missing game",0)</x:f>
        <x:v>dome</x:v>
      </x:c>
      <x:c r="AT911" t="str">
        <x:f>_xlfn.XLOOKUP($A911,Games!$A$2:$A$18,Games!$O$2:$O$18,"Missing game",0)</x:f>
        <x:v>sportturf</x:v>
      </x:c>
      <x:c r="AU911" t="str">
        <x:f>_xlfn.XLOOKUP($A911,Games!$A$2:$A$18,Games!$P$2:$P$18,"Missing game",0)</x:f>
      </x:c>
      <x:c r="AV911" t="str">
        <x:f>_xlfn.XLOOKUP($A911,Games!$A$2:$A$18,Games!$Q$2:$Q$18,"Missing game",0)</x:f>
      </x:c>
      <x:c r="AW911" t="str">
        <x:f>_xlfn.XLOOKUP($A911,Games!$A$2:$A$18,Games!$R$2:$R$18,"Missing game",0)</x:f>
        <x:v>U.S. Bank Stadium</x:v>
      </x:c>
    </x:row>
    <x:row r="912">
      <x:c r="A912" t="str">
        <x:v>2025_07_PHI_MIN</x:v>
      </x:c>
      <x:c r="B912" t="n">
        <x:v>1457</x:v>
      </x:c>
      <x:c r="C912" t="n">
        <x:v>2</x:v>
      </x:c>
      <x:c r="D912" t="str">
        <x:v>06:34</x:v>
      </x:c>
      <x:c r="E912"/>
      <x:c r="F912" t="n">
        <x:v>0</x:v>
      </x:c>
      <x:c r="G912" t="str">
        <x:v>PHI</x:v>
      </x:c>
      <x:c r="H912" t="str">
        <x:v>MIN</x:v>
      </x:c>
      <x:c r="I912" t="str">
        <x:v>MIN</x:v>
      </x:c>
      <x:c r="J912" t="n">
        <x:v>35</x:v>
      </x:c>
      <x:c r="K912" t="str">
        <x:v>16-W.Reichard kicks 50 yards from MIN 35 to PHI 15. 87-X.Gipson to PHI 31 for 16 yards (99-E.Williams). PENALTY on PHI-84-E.Jenkins, Illegal Formation, 5 yards, enforced at PHI 31.</x:v>
      </x:c>
      <x:c r="L912" t="str">
        <x:v>kickoff</x:v>
      </x:c>
      <x:c r="M912" t="n">
        <x:v>0</x:v>
      </x:c>
      <x:c r="N912" t="n">
        <x:v>0</x:v>
      </x:c>
      <x:c r="O912" t="n">
        <x:v>0</x:v>
      </x:c>
      <x:c r="P912"/>
      <x:c r="Q912"/>
      <x:c r="R912"/>
      <x:c r="S912"/>
      <x:c r="T912"/>
      <x:c r="U912"/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1</x:v>
      </x:c>
      <x:c r="AB912" t="n">
        <x:v>5</x:v>
      </x:c>
      <x:c r="AC912" t="n">
        <x:v>0</x:v>
      </x:c>
      <x:c r="AD912" t="n">
        <x:v>0.028893196024000645</x:v>
      </x:c>
      <x:c r="AE912" t="n">
        <x:v>1</x:v>
      </x:c>
      <x:c r="AF912" t="n">
        <x:v>0</x:v>
      </x:c>
      <x:c r="AG912" t="n">
        <x:f>_xlfn.XLOOKUP($A912,Games!$A$2:$A$18,Games!$B$2:$B$18,"Missing game",0)</x:f>
        <x:v>2025</x:v>
      </x:c>
      <x:c r="AH912" t="str">
        <x:f>_xlfn.XLOOKUP($A912,Games!$A$2:$A$18,Games!$C$2:$C$18,"Missing game",0)</x:f>
        <x:v>REG</x:v>
      </x:c>
      <x:c r="AI912" t="n">
        <x:f>_xlfn.XLOOKUP($A912,Games!$A$2:$A$18,Games!$D$2:$D$18,"Missing game",0)</x:f>
        <x:v>7</x:v>
      </x:c>
      <x:c r="AJ912" s="1" t="n">
        <x:f>_xlfn.XLOOKUP($A912,Games!$A$2:$A$18,Games!$E$2:$E$18,"Missing game",0)</x:f>
        <x:v>45949</x:v>
      </x:c>
      <x:c r="AK912" t="str">
        <x:f>_xlfn.XLOOKUP($A912,Games!$A$2:$A$18,Games!$F$2:$F$18,"Missing game",0)</x:f>
        <x:v>Sunday</x:v>
      </x:c>
      <x:c r="AL912" t="str">
        <x:f>_xlfn.XLOOKUP($A912,Games!$A$2:$A$18,Games!$G$2:$G$18,"Missing game",0)</x:f>
        <x:v>PHI</x:v>
      </x:c>
      <x:c r="AM912" t="n">
        <x:f>_xlfn.XLOOKUP($A912,Games!$A$2:$A$18,Games!$H$2:$H$18,"Missing game",0)</x:f>
        <x:v>28</x:v>
      </x:c>
      <x:c r="AN912" t="str">
        <x:f>_xlfn.XLOOKUP($A912,Games!$A$2:$A$18,Games!$I$2:$I$18,"Missing game",0)</x:f>
        <x:v>MIN</x:v>
      </x:c>
      <x:c r="AO912" t="n">
        <x:f>_xlfn.XLOOKUP($A912,Games!$A$2:$A$18,Games!$J$2:$J$18,"Missing game",0)</x:f>
        <x:v>22</x:v>
      </x:c>
      <x:c r="AP912" t="n">
        <x:f>_xlfn.XLOOKUP($A912,Games!$A$2:$A$18,Games!$K$2:$K$18,"Missing game",0)</x:f>
        <x:v>-6</x:v>
      </x:c>
      <x:c r="AQ912" t="n">
        <x:f>_xlfn.XLOOKUP($A912,Games!$A$2:$A$18,Games!$L$2:$L$18,"Missing game",0)</x:f>
        <x:v>50</x:v>
      </x:c>
      <x:c r="AR912" t="n">
        <x:f>_xlfn.XLOOKUP($A912,Games!$A$2:$A$18,Games!$M$2:$M$18,"Missing game",0)</x:f>
        <x:v>0</x:v>
      </x:c>
      <x:c r="AS912" t="str">
        <x:f>_xlfn.XLOOKUP($A912,Games!$A$2:$A$18,Games!$N$2:$N$18,"Missing game",0)</x:f>
        <x:v>dome</x:v>
      </x:c>
      <x:c r="AT912" t="str">
        <x:f>_xlfn.XLOOKUP($A912,Games!$A$2:$A$18,Games!$O$2:$O$18,"Missing game",0)</x:f>
        <x:v>sportturf</x:v>
      </x:c>
      <x:c r="AU912" t="str">
        <x:f>_xlfn.XLOOKUP($A912,Games!$A$2:$A$18,Games!$P$2:$P$18,"Missing game",0)</x:f>
      </x:c>
      <x:c r="AV912" t="str">
        <x:f>_xlfn.XLOOKUP($A912,Games!$A$2:$A$18,Games!$Q$2:$Q$18,"Missing game",0)</x:f>
      </x:c>
      <x:c r="AW912" t="str">
        <x:f>_xlfn.XLOOKUP($A912,Games!$A$2:$A$18,Games!$R$2:$R$18,"Missing game",0)</x:f>
        <x:v>U.S. Bank Stadium</x:v>
      </x:c>
    </x:row>
    <x:row r="913">
      <x:c r="A913" t="str">
        <x:v>2025_07_PHI_MIN</x:v>
      </x:c>
      <x:c r="B913" t="n">
        <x:v>1498</x:v>
      </x:c>
      <x:c r="C913" t="n">
        <x:v>2</x:v>
      </x:c>
      <x:c r="D913" t="str">
        <x:v>06:29</x:v>
      </x:c>
      <x:c r="E913" t="n">
        <x:v>1</x:v>
      </x:c>
      <x:c r="F913" t="n">
        <x:v>10</x:v>
      </x:c>
      <x:c r="G913" t="str">
        <x:v>PHI</x:v>
      </x:c>
      <x:c r="H913" t="str">
        <x:v>MIN</x:v>
      </x:c>
      <x:c r="I913" t="str">
        <x:v>PHI</x:v>
      </x:c>
      <x:c r="J913" t="n">
        <x:v>74</x:v>
      </x:c>
      <x:c r="K913" t="str">
        <x:v>(6:29) 74-F.Johnson reported in as eligible. 26-S.Barkley right end to PHI 24 for -2 yards (61-J.Redmond). PENALTY on PHI-68-J.Mailata, Offensive Holding, 10 yards, enforced at PHI 26 - No Play.</x:v>
      </x:c>
      <x:c r="L913" t="str">
        <x:v>no_play</x:v>
      </x:c>
      <x:c r="M913" t="n">
        <x:v>0</x:v>
      </x:c>
      <x:c r="N913" t="n">
        <x:v>0</x:v>
      </x:c>
      <x:c r="O913" t="n">
        <x:v>0</x:v>
      </x:c>
      <x:c r="P913"/>
      <x:c r="Q913"/>
      <x:c r="R913"/>
      <x:c r="S913"/>
      <x:c r="T913"/>
      <x:c r="U913"/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1</x:v>
      </x:c>
      <x:c r="AB913" t="n">
        <x:v>10</x:v>
      </x:c>
      <x:c r="AC913" t="n">
        <x:v>0</x:v>
      </x:c>
      <x:c r="AD913" t="n">
        <x:v>-1.1068243808113039</x:v>
      </x:c>
      <x:c r="AE913" t="n">
        <x:v>0</x:v>
      </x:c>
      <x:c r="AF913" t="n">
        <x:v>-0.024150371551513672</x:v>
      </x:c>
      <x:c r="AG913" t="n">
        <x:f>_xlfn.XLOOKUP($A913,Games!$A$2:$A$18,Games!$B$2:$B$18,"Missing game",0)</x:f>
        <x:v>2025</x:v>
      </x:c>
      <x:c r="AH913" t="str">
        <x:f>_xlfn.XLOOKUP($A913,Games!$A$2:$A$18,Games!$C$2:$C$18,"Missing game",0)</x:f>
        <x:v>REG</x:v>
      </x:c>
      <x:c r="AI913" t="n">
        <x:f>_xlfn.XLOOKUP($A913,Games!$A$2:$A$18,Games!$D$2:$D$18,"Missing game",0)</x:f>
        <x:v>7</x:v>
      </x:c>
      <x:c r="AJ913" s="1" t="n">
        <x:f>_xlfn.XLOOKUP($A913,Games!$A$2:$A$18,Games!$E$2:$E$18,"Missing game",0)</x:f>
        <x:v>45949</x:v>
      </x:c>
      <x:c r="AK913" t="str">
        <x:f>_xlfn.XLOOKUP($A913,Games!$A$2:$A$18,Games!$F$2:$F$18,"Missing game",0)</x:f>
        <x:v>Sunday</x:v>
      </x:c>
      <x:c r="AL913" t="str">
        <x:f>_xlfn.XLOOKUP($A913,Games!$A$2:$A$18,Games!$G$2:$G$18,"Missing game",0)</x:f>
        <x:v>PHI</x:v>
      </x:c>
      <x:c r="AM913" t="n">
        <x:f>_xlfn.XLOOKUP($A913,Games!$A$2:$A$18,Games!$H$2:$H$18,"Missing game",0)</x:f>
        <x:v>28</x:v>
      </x:c>
      <x:c r="AN913" t="str">
        <x:f>_xlfn.XLOOKUP($A913,Games!$A$2:$A$18,Games!$I$2:$I$18,"Missing game",0)</x:f>
        <x:v>MIN</x:v>
      </x:c>
      <x:c r="AO913" t="n">
        <x:f>_xlfn.XLOOKUP($A913,Games!$A$2:$A$18,Games!$J$2:$J$18,"Missing game",0)</x:f>
        <x:v>22</x:v>
      </x:c>
      <x:c r="AP913" t="n">
        <x:f>_xlfn.XLOOKUP($A913,Games!$A$2:$A$18,Games!$K$2:$K$18,"Missing game",0)</x:f>
        <x:v>-6</x:v>
      </x:c>
      <x:c r="AQ913" t="n">
        <x:f>_xlfn.XLOOKUP($A913,Games!$A$2:$A$18,Games!$L$2:$L$18,"Missing game",0)</x:f>
        <x:v>50</x:v>
      </x:c>
      <x:c r="AR913" t="n">
        <x:f>_xlfn.XLOOKUP($A913,Games!$A$2:$A$18,Games!$M$2:$M$18,"Missing game",0)</x:f>
        <x:v>0</x:v>
      </x:c>
      <x:c r="AS913" t="str">
        <x:f>_xlfn.XLOOKUP($A913,Games!$A$2:$A$18,Games!$N$2:$N$18,"Missing game",0)</x:f>
        <x:v>dome</x:v>
      </x:c>
      <x:c r="AT913" t="str">
        <x:f>_xlfn.XLOOKUP($A913,Games!$A$2:$A$18,Games!$O$2:$O$18,"Missing game",0)</x:f>
        <x:v>sportturf</x:v>
      </x:c>
      <x:c r="AU913" t="str">
        <x:f>_xlfn.XLOOKUP($A913,Games!$A$2:$A$18,Games!$P$2:$P$18,"Missing game",0)</x:f>
      </x:c>
      <x:c r="AV913" t="str">
        <x:f>_xlfn.XLOOKUP($A913,Games!$A$2:$A$18,Games!$Q$2:$Q$18,"Missing game",0)</x:f>
      </x:c>
      <x:c r="AW913" t="str">
        <x:f>_xlfn.XLOOKUP($A913,Games!$A$2:$A$18,Games!$R$2:$R$18,"Missing game",0)</x:f>
        <x:v>U.S. Bank Stadium</x:v>
      </x:c>
    </x:row>
    <x:row r="914">
      <x:c r="A914" t="str">
        <x:v>2025_07_PHI_MIN</x:v>
      </x:c>
      <x:c r="B914" t="n">
        <x:v>1533</x:v>
      </x:c>
      <x:c r="C914" t="n">
        <x:v>2</x:v>
      </x:c>
      <x:c r="D914" t="str">
        <x:v>06:05</x:v>
      </x:c>
      <x:c r="E914" t="n">
        <x:v>1</x:v>
      </x:c>
      <x:c r="F914" t="n">
        <x:v>20</x:v>
      </x:c>
      <x:c r="G914" t="str">
        <x:v>PHI</x:v>
      </x:c>
      <x:c r="H914" t="str">
        <x:v>MIN</x:v>
      </x:c>
      <x:c r="I914" t="str">
        <x:v>PHI</x:v>
      </x:c>
      <x:c r="J914" t="n">
        <x:v>84</x:v>
      </x:c>
      <x:c r="K914" t="str">
        <x:v>(6:05) (Shotgun) 26-S.Barkley right guard to PHI 23 for 7 yards (58-J.Greenard).</x:v>
      </x:c>
      <x:c r="L914" t="str">
        <x:v>run</x:v>
      </x:c>
      <x:c r="M914" t="n">
        <x:v>7</x:v>
      </x:c>
      <x:c r="N914" t="n">
        <x:v>1</x:v>
      </x:c>
      <x:c r="O914" t="n">
        <x:v>0</x:v>
      </x:c>
      <x:c r="P914"/>
      <x:c r="Q914"/>
      <x:c r="R914"/>
      <x:c r="S914"/>
      <x:c r="T914" t="str">
        <x:v>right</x:v>
      </x:c>
      <x:c r="U914" t="str">
        <x:v>guard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/>
      <x:c r="AC914" t="n">
        <x:v>0</x:v>
      </x:c>
      <x:c r="AD914" t="n">
        <x:v>-0.05358337378129363</x:v>
      </x:c>
      <x:c r="AE914" t="n">
        <x:v>0</x:v>
      </x:c>
      <x:c r="AF914" t="n">
        <x:v>0.00809258222579956</x:v>
      </x:c>
      <x:c r="AG914" t="n">
        <x:f>_xlfn.XLOOKUP($A914,Games!$A$2:$A$18,Games!$B$2:$B$18,"Missing game",0)</x:f>
        <x:v>2025</x:v>
      </x:c>
      <x:c r="AH914" t="str">
        <x:f>_xlfn.XLOOKUP($A914,Games!$A$2:$A$18,Games!$C$2:$C$18,"Missing game",0)</x:f>
        <x:v>REG</x:v>
      </x:c>
      <x:c r="AI914" t="n">
        <x:f>_xlfn.XLOOKUP($A914,Games!$A$2:$A$18,Games!$D$2:$D$18,"Missing game",0)</x:f>
        <x:v>7</x:v>
      </x:c>
      <x:c r="AJ914" s="1" t="n">
        <x:f>_xlfn.XLOOKUP($A914,Games!$A$2:$A$18,Games!$E$2:$E$18,"Missing game",0)</x:f>
        <x:v>45949</x:v>
      </x:c>
      <x:c r="AK914" t="str">
        <x:f>_xlfn.XLOOKUP($A914,Games!$A$2:$A$18,Games!$F$2:$F$18,"Missing game",0)</x:f>
        <x:v>Sunday</x:v>
      </x:c>
      <x:c r="AL914" t="str">
        <x:f>_xlfn.XLOOKUP($A914,Games!$A$2:$A$18,Games!$G$2:$G$18,"Missing game",0)</x:f>
        <x:v>PHI</x:v>
      </x:c>
      <x:c r="AM914" t="n">
        <x:f>_xlfn.XLOOKUP($A914,Games!$A$2:$A$18,Games!$H$2:$H$18,"Missing game",0)</x:f>
        <x:v>28</x:v>
      </x:c>
      <x:c r="AN914" t="str">
        <x:f>_xlfn.XLOOKUP($A914,Games!$A$2:$A$18,Games!$I$2:$I$18,"Missing game",0)</x:f>
        <x:v>MIN</x:v>
      </x:c>
      <x:c r="AO914" t="n">
        <x:f>_xlfn.XLOOKUP($A914,Games!$A$2:$A$18,Games!$J$2:$J$18,"Missing game",0)</x:f>
        <x:v>22</x:v>
      </x:c>
      <x:c r="AP914" t="n">
        <x:f>_xlfn.XLOOKUP($A914,Games!$A$2:$A$18,Games!$K$2:$K$18,"Missing game",0)</x:f>
        <x:v>-6</x:v>
      </x:c>
      <x:c r="AQ914" t="n">
        <x:f>_xlfn.XLOOKUP($A914,Games!$A$2:$A$18,Games!$L$2:$L$18,"Missing game",0)</x:f>
        <x:v>50</x:v>
      </x:c>
      <x:c r="AR914" t="n">
        <x:f>_xlfn.XLOOKUP($A914,Games!$A$2:$A$18,Games!$M$2:$M$18,"Missing game",0)</x:f>
        <x:v>0</x:v>
      </x:c>
      <x:c r="AS914" t="str">
        <x:f>_xlfn.XLOOKUP($A914,Games!$A$2:$A$18,Games!$N$2:$N$18,"Missing game",0)</x:f>
        <x:v>dome</x:v>
      </x:c>
      <x:c r="AT914" t="str">
        <x:f>_xlfn.XLOOKUP($A914,Games!$A$2:$A$18,Games!$O$2:$O$18,"Missing game",0)</x:f>
        <x:v>sportturf</x:v>
      </x:c>
      <x:c r="AU914" t="str">
        <x:f>_xlfn.XLOOKUP($A914,Games!$A$2:$A$18,Games!$P$2:$P$18,"Missing game",0)</x:f>
      </x:c>
      <x:c r="AV914" t="str">
        <x:f>_xlfn.XLOOKUP($A914,Games!$A$2:$A$18,Games!$Q$2:$Q$18,"Missing game",0)</x:f>
      </x:c>
      <x:c r="AW914" t="str">
        <x:f>_xlfn.XLOOKUP($A914,Games!$A$2:$A$18,Games!$R$2:$R$18,"Missing game",0)</x:f>
        <x:v>U.S. Bank Stadium</x:v>
      </x:c>
    </x:row>
    <x:row r="915">
      <x:c r="A915" t="str">
        <x:v>2025_07_PHI_MIN</x:v>
      </x:c>
      <x:c r="B915" t="n">
        <x:v>1555</x:v>
      </x:c>
      <x:c r="C915" t="n">
        <x:v>2</x:v>
      </x:c>
      <x:c r="D915" t="str">
        <x:v>05:34</x:v>
      </x:c>
      <x:c r="E915" t="n">
        <x:v>2</x:v>
      </x:c>
      <x:c r="F915" t="n">
        <x:v>13</x:v>
      </x:c>
      <x:c r="G915" t="str">
        <x:v>PHI</x:v>
      </x:c>
      <x:c r="H915" t="str">
        <x:v>MIN</x:v>
      </x:c>
      <x:c r="I915" t="str">
        <x:v>PHI</x:v>
      </x:c>
      <x:c r="J915" t="n">
        <x:v>77</x:v>
      </x:c>
      <x:c r="K915" t="str">
        <x:v>(5:34) (No Huddle, Shotgun) 1-J.Hurts sacked at PHI 16 for -7 yards (55-E.Wilson). Penalty on PHI-26-S.Barkley, Offensive Holding, declined.</x:v>
      </x:c>
      <x:c r="L915" t="str">
        <x:v>pass</x:v>
      </x:c>
      <x:c r="M915" t="n">
        <x:v>-7</x:v>
      </x:c>
      <x:c r="N915" t="n">
        <x:v>1</x:v>
      </x:c>
      <x:c r="O915" t="n">
        <x:v>1</x:v>
      </x:c>
      <x:c r="P915"/>
      <x:c r="Q915"/>
      <x:c r="R915"/>
      <x:c r="S915"/>
      <x:c r="T915"/>
      <x:c r="U915"/>
      <x:c r="V915" t="n">
        <x:v>0</x:v>
      </x:c>
      <x:c r="W915" t="n">
        <x:v>0</x:v>
      </x:c>
      <x:c r="X915" t="n">
        <x:v>1</x:v>
      </x:c>
      <x:c r="Y915" t="n">
        <x:v>0</x:v>
      </x:c>
      <x:c r="Z915" t="n">
        <x:v>0</x:v>
      </x:c>
      <x:c r="AA915" t="n">
        <x:v>0</x:v>
      </x:c>
      <x:c r="AB915"/>
      <x:c r="AC915" t="n">
        <x:v>0</x:v>
      </x:c>
      <x:c r="AD915" t="n">
        <x:v>-1.2588527728803456</x:v>
      </x:c>
      <x:c r="AE915" t="n">
        <x:v>0</x:v>
      </x:c>
      <x:c r="AF915" t="n">
        <x:v>-0.021123170852661133</x:v>
      </x:c>
      <x:c r="AG915" t="n">
        <x:f>_xlfn.XLOOKUP($A915,Games!$A$2:$A$18,Games!$B$2:$B$18,"Missing game",0)</x:f>
        <x:v>2025</x:v>
      </x:c>
      <x:c r="AH915" t="str">
        <x:f>_xlfn.XLOOKUP($A915,Games!$A$2:$A$18,Games!$C$2:$C$18,"Missing game",0)</x:f>
        <x:v>REG</x:v>
      </x:c>
      <x:c r="AI915" t="n">
        <x:f>_xlfn.XLOOKUP($A915,Games!$A$2:$A$18,Games!$D$2:$D$18,"Missing game",0)</x:f>
        <x:v>7</x:v>
      </x:c>
      <x:c r="AJ915" s="1" t="n">
        <x:f>_xlfn.XLOOKUP($A915,Games!$A$2:$A$18,Games!$E$2:$E$18,"Missing game",0)</x:f>
        <x:v>45949</x:v>
      </x:c>
      <x:c r="AK915" t="str">
        <x:f>_xlfn.XLOOKUP($A915,Games!$A$2:$A$18,Games!$F$2:$F$18,"Missing game",0)</x:f>
        <x:v>Sunday</x:v>
      </x:c>
      <x:c r="AL915" t="str">
        <x:f>_xlfn.XLOOKUP($A915,Games!$A$2:$A$18,Games!$G$2:$G$18,"Missing game",0)</x:f>
        <x:v>PHI</x:v>
      </x:c>
      <x:c r="AM915" t="n">
        <x:f>_xlfn.XLOOKUP($A915,Games!$A$2:$A$18,Games!$H$2:$H$18,"Missing game",0)</x:f>
        <x:v>28</x:v>
      </x:c>
      <x:c r="AN915" t="str">
        <x:f>_xlfn.XLOOKUP($A915,Games!$A$2:$A$18,Games!$I$2:$I$18,"Missing game",0)</x:f>
        <x:v>MIN</x:v>
      </x:c>
      <x:c r="AO915" t="n">
        <x:f>_xlfn.XLOOKUP($A915,Games!$A$2:$A$18,Games!$J$2:$J$18,"Missing game",0)</x:f>
        <x:v>22</x:v>
      </x:c>
      <x:c r="AP915" t="n">
        <x:f>_xlfn.XLOOKUP($A915,Games!$A$2:$A$18,Games!$K$2:$K$18,"Missing game",0)</x:f>
        <x:v>-6</x:v>
      </x:c>
      <x:c r="AQ915" t="n">
        <x:f>_xlfn.XLOOKUP($A915,Games!$A$2:$A$18,Games!$L$2:$L$18,"Missing game",0)</x:f>
        <x:v>50</x:v>
      </x:c>
      <x:c r="AR915" t="n">
        <x:f>_xlfn.XLOOKUP($A915,Games!$A$2:$A$18,Games!$M$2:$M$18,"Missing game",0)</x:f>
        <x:v>0</x:v>
      </x:c>
      <x:c r="AS915" t="str">
        <x:f>_xlfn.XLOOKUP($A915,Games!$A$2:$A$18,Games!$N$2:$N$18,"Missing game",0)</x:f>
        <x:v>dome</x:v>
      </x:c>
      <x:c r="AT915" t="str">
        <x:f>_xlfn.XLOOKUP($A915,Games!$A$2:$A$18,Games!$O$2:$O$18,"Missing game",0)</x:f>
        <x:v>sportturf</x:v>
      </x:c>
      <x:c r="AU915" t="str">
        <x:f>_xlfn.XLOOKUP($A915,Games!$A$2:$A$18,Games!$P$2:$P$18,"Missing game",0)</x:f>
      </x:c>
      <x:c r="AV915" t="str">
        <x:f>_xlfn.XLOOKUP($A915,Games!$A$2:$A$18,Games!$Q$2:$Q$18,"Missing game",0)</x:f>
      </x:c>
      <x:c r="AW915" t="str">
        <x:f>_xlfn.XLOOKUP($A915,Games!$A$2:$A$18,Games!$R$2:$R$18,"Missing game",0)</x:f>
        <x:v>U.S. Bank Stadium</x:v>
      </x:c>
    </x:row>
    <x:row r="916">
      <x:c r="A916" t="str">
        <x:v>2025_07_PHI_MIN</x:v>
      </x:c>
      <x:c r="B916" t="n">
        <x:v>1586</x:v>
      </x:c>
      <x:c r="C916" t="n">
        <x:v>2</x:v>
      </x:c>
      <x:c r="D916" t="str">
        <x:v>05:11</x:v>
      </x:c>
      <x:c r="E916" t="n">
        <x:v>3</x:v>
      </x:c>
      <x:c r="F916" t="n">
        <x:v>20</x:v>
      </x:c>
      <x:c r="G916" t="str">
        <x:v>PHI</x:v>
      </x:c>
      <x:c r="H916" t="str">
        <x:v>MIN</x:v>
      </x:c>
      <x:c r="I916" t="str">
        <x:v>PHI</x:v>
      </x:c>
      <x:c r="J916" t="n">
        <x:v>84</x:v>
      </x:c>
      <x:c r="K916" t="str">
        <x:v>(5:11) (Shotgun) 1-J.Hurts pass short left to 88-D.Goedert to PHI 27 for 11 yards (44-J.Metellus; 8-J.Okudah).</x:v>
      </x:c>
      <x:c r="L916" t="str">
        <x:v>pass</x:v>
      </x:c>
      <x:c r="M916" t="n">
        <x:v>11</x:v>
      </x:c>
      <x:c r="N916" t="n">
        <x:v>1</x:v>
      </x:c>
      <x:c r="O916" t="n">
        <x:v>0</x:v>
      </x:c>
      <x:c r="P916" t="str">
        <x:v>short</x:v>
      </x:c>
      <x:c r="Q916" t="str">
        <x:v>left</x:v>
      </x:c>
      <x:c r="R916" t="n">
        <x:v>8</x:v>
      </x:c>
      <x:c r="S916" t="n">
        <x:v>3</x:v>
      </x:c>
      <x:c r="T916"/>
      <x:c r="U916"/>
      <x:c r="V916" t="n">
        <x:v>1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/>
      <x:c r="AC916" t="n">
        <x:v>0</x:v>
      </x:c>
      <x:c r="AD916" t="n">
        <x:v>-0.11411911388859153</x:v>
      </x:c>
      <x:c r="AE916" t="n">
        <x:v>0</x:v>
      </x:c>
      <x:c r="AF916" t="n">
        <x:v>-0.02477419376373291</x:v>
      </x:c>
      <x:c r="AG916" t="n">
        <x:f>_xlfn.XLOOKUP($A916,Games!$A$2:$A$18,Games!$B$2:$B$18,"Missing game",0)</x:f>
        <x:v>2025</x:v>
      </x:c>
      <x:c r="AH916" t="str">
        <x:f>_xlfn.XLOOKUP($A916,Games!$A$2:$A$18,Games!$C$2:$C$18,"Missing game",0)</x:f>
        <x:v>REG</x:v>
      </x:c>
      <x:c r="AI916" t="n">
        <x:f>_xlfn.XLOOKUP($A916,Games!$A$2:$A$18,Games!$D$2:$D$18,"Missing game",0)</x:f>
        <x:v>7</x:v>
      </x:c>
      <x:c r="AJ916" s="1" t="n">
        <x:f>_xlfn.XLOOKUP($A916,Games!$A$2:$A$18,Games!$E$2:$E$18,"Missing game",0)</x:f>
        <x:v>45949</x:v>
      </x:c>
      <x:c r="AK916" t="str">
        <x:f>_xlfn.XLOOKUP($A916,Games!$A$2:$A$18,Games!$F$2:$F$18,"Missing game",0)</x:f>
        <x:v>Sunday</x:v>
      </x:c>
      <x:c r="AL916" t="str">
        <x:f>_xlfn.XLOOKUP($A916,Games!$A$2:$A$18,Games!$G$2:$G$18,"Missing game",0)</x:f>
        <x:v>PHI</x:v>
      </x:c>
      <x:c r="AM916" t="n">
        <x:f>_xlfn.XLOOKUP($A916,Games!$A$2:$A$18,Games!$H$2:$H$18,"Missing game",0)</x:f>
        <x:v>28</x:v>
      </x:c>
      <x:c r="AN916" t="str">
        <x:f>_xlfn.XLOOKUP($A916,Games!$A$2:$A$18,Games!$I$2:$I$18,"Missing game",0)</x:f>
        <x:v>MIN</x:v>
      </x:c>
      <x:c r="AO916" t="n">
        <x:f>_xlfn.XLOOKUP($A916,Games!$A$2:$A$18,Games!$J$2:$J$18,"Missing game",0)</x:f>
        <x:v>22</x:v>
      </x:c>
      <x:c r="AP916" t="n">
        <x:f>_xlfn.XLOOKUP($A916,Games!$A$2:$A$18,Games!$K$2:$K$18,"Missing game",0)</x:f>
        <x:v>-6</x:v>
      </x:c>
      <x:c r="AQ916" t="n">
        <x:f>_xlfn.XLOOKUP($A916,Games!$A$2:$A$18,Games!$L$2:$L$18,"Missing game",0)</x:f>
        <x:v>50</x:v>
      </x:c>
      <x:c r="AR916" t="n">
        <x:f>_xlfn.XLOOKUP($A916,Games!$A$2:$A$18,Games!$M$2:$M$18,"Missing game",0)</x:f>
        <x:v>0</x:v>
      </x:c>
      <x:c r="AS916" t="str">
        <x:f>_xlfn.XLOOKUP($A916,Games!$A$2:$A$18,Games!$N$2:$N$18,"Missing game",0)</x:f>
        <x:v>dome</x:v>
      </x:c>
      <x:c r="AT916" t="str">
        <x:f>_xlfn.XLOOKUP($A916,Games!$A$2:$A$18,Games!$O$2:$O$18,"Missing game",0)</x:f>
        <x:v>sportturf</x:v>
      </x:c>
      <x:c r="AU916" t="str">
        <x:f>_xlfn.XLOOKUP($A916,Games!$A$2:$A$18,Games!$P$2:$P$18,"Missing game",0)</x:f>
      </x:c>
      <x:c r="AV916" t="str">
        <x:f>_xlfn.XLOOKUP($A916,Games!$A$2:$A$18,Games!$Q$2:$Q$18,"Missing game",0)</x:f>
      </x:c>
      <x:c r="AW916" t="str">
        <x:f>_xlfn.XLOOKUP($A916,Games!$A$2:$A$18,Games!$R$2:$R$18,"Missing game",0)</x:f>
        <x:v>U.S. Bank Stadium</x:v>
      </x:c>
    </x:row>
    <x:row r="917">
      <x:c r="A917" t="str">
        <x:v>2025_07_PHI_MIN</x:v>
      </x:c>
      <x:c r="B917" t="n">
        <x:v>1611</x:v>
      </x:c>
      <x:c r="C917" t="n">
        <x:v>2</x:v>
      </x:c>
      <x:c r="D917" t="str">
        <x:v>04:30</x:v>
      </x:c>
      <x:c r="E917" t="n">
        <x:v>4</x:v>
      </x:c>
      <x:c r="F917" t="n">
        <x:v>9</x:v>
      </x:c>
      <x:c r="G917" t="str">
        <x:v>PHI</x:v>
      </x:c>
      <x:c r="H917" t="str">
        <x:v>MIN</x:v>
      </x:c>
      <x:c r="I917" t="str">
        <x:v>PHI</x:v>
      </x:c>
      <x:c r="J917" t="n">
        <x:v>73</x:v>
      </x:c>
      <x:c r="K917" t="str">
        <x:v>(4:30) 10-B.Mann punts 47 yards to MIN 26, Center-57-C.Adomitis. 4-M.Price to MIN 32 for 6 yards (48-P.Johnson).</x:v>
      </x:c>
      <x:c r="L917" t="str">
        <x:v>punt</x:v>
      </x:c>
      <x:c r="M917" t="n">
        <x:v>0</x:v>
      </x:c>
      <x:c r="N917" t="n">
        <x:v>0</x:v>
      </x:c>
      <x:c r="O917" t="n">
        <x:v>0</x:v>
      </x:c>
      <x:c r="P917"/>
      <x:c r="Q917"/>
      <x:c r="R917"/>
      <x:c r="S917"/>
      <x:c r="T917"/>
      <x:c r="U917"/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/>
      <x:c r="AC917" t="n">
        <x:v>0</x:v>
      </x:c>
      <x:c r="AD917" t="n">
        <x:v>-0.6466529088793322</x:v>
      </x:c>
      <x:c r="AE917" t="n">
        <x:v>0</x:v>
      </x:c>
      <x:c r="AF917" t="n">
        <x:v>-0.022473305463790894</x:v>
      </x:c>
      <x:c r="AG917" t="n">
        <x:f>_xlfn.XLOOKUP($A917,Games!$A$2:$A$18,Games!$B$2:$B$18,"Missing game",0)</x:f>
        <x:v>2025</x:v>
      </x:c>
      <x:c r="AH917" t="str">
        <x:f>_xlfn.XLOOKUP($A917,Games!$A$2:$A$18,Games!$C$2:$C$18,"Missing game",0)</x:f>
        <x:v>REG</x:v>
      </x:c>
      <x:c r="AI917" t="n">
        <x:f>_xlfn.XLOOKUP($A917,Games!$A$2:$A$18,Games!$D$2:$D$18,"Missing game",0)</x:f>
        <x:v>7</x:v>
      </x:c>
      <x:c r="AJ917" s="1" t="n">
        <x:f>_xlfn.XLOOKUP($A917,Games!$A$2:$A$18,Games!$E$2:$E$18,"Missing game",0)</x:f>
        <x:v>45949</x:v>
      </x:c>
      <x:c r="AK917" t="str">
        <x:f>_xlfn.XLOOKUP($A917,Games!$A$2:$A$18,Games!$F$2:$F$18,"Missing game",0)</x:f>
        <x:v>Sunday</x:v>
      </x:c>
      <x:c r="AL917" t="str">
        <x:f>_xlfn.XLOOKUP($A917,Games!$A$2:$A$18,Games!$G$2:$G$18,"Missing game",0)</x:f>
        <x:v>PHI</x:v>
      </x:c>
      <x:c r="AM917" t="n">
        <x:f>_xlfn.XLOOKUP($A917,Games!$A$2:$A$18,Games!$H$2:$H$18,"Missing game",0)</x:f>
        <x:v>28</x:v>
      </x:c>
      <x:c r="AN917" t="str">
        <x:f>_xlfn.XLOOKUP($A917,Games!$A$2:$A$18,Games!$I$2:$I$18,"Missing game",0)</x:f>
        <x:v>MIN</x:v>
      </x:c>
      <x:c r="AO917" t="n">
        <x:f>_xlfn.XLOOKUP($A917,Games!$A$2:$A$18,Games!$J$2:$J$18,"Missing game",0)</x:f>
        <x:v>22</x:v>
      </x:c>
      <x:c r="AP917" t="n">
        <x:f>_xlfn.XLOOKUP($A917,Games!$A$2:$A$18,Games!$K$2:$K$18,"Missing game",0)</x:f>
        <x:v>-6</x:v>
      </x:c>
      <x:c r="AQ917" t="n">
        <x:f>_xlfn.XLOOKUP($A917,Games!$A$2:$A$18,Games!$L$2:$L$18,"Missing game",0)</x:f>
        <x:v>50</x:v>
      </x:c>
      <x:c r="AR917" t="n">
        <x:f>_xlfn.XLOOKUP($A917,Games!$A$2:$A$18,Games!$M$2:$M$18,"Missing game",0)</x:f>
        <x:v>0</x:v>
      </x:c>
      <x:c r="AS917" t="str">
        <x:f>_xlfn.XLOOKUP($A917,Games!$A$2:$A$18,Games!$N$2:$N$18,"Missing game",0)</x:f>
        <x:v>dome</x:v>
      </x:c>
      <x:c r="AT917" t="str">
        <x:f>_xlfn.XLOOKUP($A917,Games!$A$2:$A$18,Games!$O$2:$O$18,"Missing game",0)</x:f>
        <x:v>sportturf</x:v>
      </x:c>
      <x:c r="AU917" t="str">
        <x:f>_xlfn.XLOOKUP($A917,Games!$A$2:$A$18,Games!$P$2:$P$18,"Missing game",0)</x:f>
      </x:c>
      <x:c r="AV917" t="str">
        <x:f>_xlfn.XLOOKUP($A917,Games!$A$2:$A$18,Games!$Q$2:$Q$18,"Missing game",0)</x:f>
      </x:c>
      <x:c r="AW917" t="str">
        <x:f>_xlfn.XLOOKUP($A917,Games!$A$2:$A$18,Games!$R$2:$R$18,"Missing game",0)</x:f>
        <x:v>U.S. Bank Stadium</x:v>
      </x:c>
    </x:row>
    <x:row r="918">
      <x:c r="A918" t="str">
        <x:v>2025_07_PHI_MIN</x:v>
      </x:c>
      <x:c r="B918" t="n">
        <x:v>1637</x:v>
      </x:c>
      <x:c r="C918" t="n">
        <x:v>2</x:v>
      </x:c>
      <x:c r="D918" t="str">
        <x:v>04:20</x:v>
      </x:c>
      <x:c r="E918" t="n">
        <x:v>1</x:v>
      </x:c>
      <x:c r="F918" t="n">
        <x:v>10</x:v>
      </x:c>
      <x:c r="G918" t="str">
        <x:v>MIN</x:v>
      </x:c>
      <x:c r="H918" t="str">
        <x:v>PHI</x:v>
      </x:c>
      <x:c r="I918" t="str">
        <x:v>MIN</x:v>
      </x:c>
      <x:c r="J918" t="n">
        <x:v>68</x:v>
      </x:c>
      <x:c r="K918" t="str">
        <x:v>(4:20) 27-J.Mason right tackle to MIN 31 for -1 yards (90-J.Davis).</x:v>
      </x:c>
      <x:c r="L918" t="str">
        <x:v>run</x:v>
      </x:c>
      <x:c r="M918" t="n">
        <x:v>-1</x:v>
      </x:c>
      <x:c r="N918" t="n">
        <x:v>0</x:v>
      </x:c>
      <x:c r="O918" t="n">
        <x:v>0</x:v>
      </x:c>
      <x:c r="P918"/>
      <x:c r="Q918"/>
      <x:c r="R918"/>
      <x:c r="S918"/>
      <x:c r="T918" t="str">
        <x:v>right</x:v>
      </x:c>
      <x:c r="U918" t="str">
        <x:v>tackle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/>
      <x:c r="AC918" t="n">
        <x:v>0</x:v>
      </x:c>
      <x:c r="AD918" t="n">
        <x:v>-0.8601774940034375</x:v>
      </x:c>
      <x:c r="AE918" t="n">
        <x:v>0</x:v>
      </x:c>
      <x:c r="AF918" t="n">
        <x:v>-0.027692973613739014</x:v>
      </x:c>
      <x:c r="AG918" t="n">
        <x:f>_xlfn.XLOOKUP($A918,Games!$A$2:$A$18,Games!$B$2:$B$18,"Missing game",0)</x:f>
        <x:v>2025</x:v>
      </x:c>
      <x:c r="AH918" t="str">
        <x:f>_xlfn.XLOOKUP($A918,Games!$A$2:$A$18,Games!$C$2:$C$18,"Missing game",0)</x:f>
        <x:v>REG</x:v>
      </x:c>
      <x:c r="AI918" t="n">
        <x:f>_xlfn.XLOOKUP($A918,Games!$A$2:$A$18,Games!$D$2:$D$18,"Missing game",0)</x:f>
        <x:v>7</x:v>
      </x:c>
      <x:c r="AJ918" s="1" t="n">
        <x:f>_xlfn.XLOOKUP($A918,Games!$A$2:$A$18,Games!$E$2:$E$18,"Missing game",0)</x:f>
        <x:v>45949</x:v>
      </x:c>
      <x:c r="AK918" t="str">
        <x:f>_xlfn.XLOOKUP($A918,Games!$A$2:$A$18,Games!$F$2:$F$18,"Missing game",0)</x:f>
        <x:v>Sunday</x:v>
      </x:c>
      <x:c r="AL918" t="str">
        <x:f>_xlfn.XLOOKUP($A918,Games!$A$2:$A$18,Games!$G$2:$G$18,"Missing game",0)</x:f>
        <x:v>PHI</x:v>
      </x:c>
      <x:c r="AM918" t="n">
        <x:f>_xlfn.XLOOKUP($A918,Games!$A$2:$A$18,Games!$H$2:$H$18,"Missing game",0)</x:f>
        <x:v>28</x:v>
      </x:c>
      <x:c r="AN918" t="str">
        <x:f>_xlfn.XLOOKUP($A918,Games!$A$2:$A$18,Games!$I$2:$I$18,"Missing game",0)</x:f>
        <x:v>MIN</x:v>
      </x:c>
      <x:c r="AO918" t="n">
        <x:f>_xlfn.XLOOKUP($A918,Games!$A$2:$A$18,Games!$J$2:$J$18,"Missing game",0)</x:f>
        <x:v>22</x:v>
      </x:c>
      <x:c r="AP918" t="n">
        <x:f>_xlfn.XLOOKUP($A918,Games!$A$2:$A$18,Games!$K$2:$K$18,"Missing game",0)</x:f>
        <x:v>-6</x:v>
      </x:c>
      <x:c r="AQ918" t="n">
        <x:f>_xlfn.XLOOKUP($A918,Games!$A$2:$A$18,Games!$L$2:$L$18,"Missing game",0)</x:f>
        <x:v>50</x:v>
      </x:c>
      <x:c r="AR918" t="n">
        <x:f>_xlfn.XLOOKUP($A918,Games!$A$2:$A$18,Games!$M$2:$M$18,"Missing game",0)</x:f>
        <x:v>0</x:v>
      </x:c>
      <x:c r="AS918" t="str">
        <x:f>_xlfn.XLOOKUP($A918,Games!$A$2:$A$18,Games!$N$2:$N$18,"Missing game",0)</x:f>
        <x:v>dome</x:v>
      </x:c>
      <x:c r="AT918" t="str">
        <x:f>_xlfn.XLOOKUP($A918,Games!$A$2:$A$18,Games!$O$2:$O$18,"Missing game",0)</x:f>
        <x:v>sportturf</x:v>
      </x:c>
      <x:c r="AU918" t="str">
        <x:f>_xlfn.XLOOKUP($A918,Games!$A$2:$A$18,Games!$P$2:$P$18,"Missing game",0)</x:f>
      </x:c>
      <x:c r="AV918" t="str">
        <x:f>_xlfn.XLOOKUP($A918,Games!$A$2:$A$18,Games!$Q$2:$Q$18,"Missing game",0)</x:f>
      </x:c>
      <x:c r="AW918" t="str">
        <x:f>_xlfn.XLOOKUP($A918,Games!$A$2:$A$18,Games!$R$2:$R$18,"Missing game",0)</x:f>
        <x:v>U.S. Bank Stadium</x:v>
      </x:c>
    </x:row>
    <x:row r="919">
      <x:c r="A919" t="str">
        <x:v>2025_07_PHI_MIN</x:v>
      </x:c>
      <x:c r="B919" t="n">
        <x:v>1659</x:v>
      </x:c>
      <x:c r="C919" t="n">
        <x:v>2</x:v>
      </x:c>
      <x:c r="D919" t="str">
        <x:v>03:37</x:v>
      </x:c>
      <x:c r="E919" t="n">
        <x:v>2</x:v>
      </x:c>
      <x:c r="F919" t="n">
        <x:v>11</x:v>
      </x:c>
      <x:c r="G919" t="str">
        <x:v>MIN</x:v>
      </x:c>
      <x:c r="H919" t="str">
        <x:v>PHI</x:v>
      </x:c>
      <x:c r="I919" t="str">
        <x:v>MIN</x:v>
      </x:c>
      <x:c r="J919" t="n">
        <x:v>69</x:v>
      </x:c>
      <x:c r="K919" t="str">
        <x:v>(3:37) (Shotgun) 11-C.Wentz pass short right to 87-T.Hockenson to MIN 34 for 3 yards (98-J.Carter).</x:v>
      </x:c>
      <x:c r="L919" t="str">
        <x:v>pass</x:v>
      </x:c>
      <x:c r="M919" t="n">
        <x:v>3</x:v>
      </x:c>
      <x:c r="N919" t="n">
        <x:v>1</x:v>
      </x:c>
      <x:c r="O919" t="n">
        <x:v>0</x:v>
      </x:c>
      <x:c r="P919" t="str">
        <x:v>short</x:v>
      </x:c>
      <x:c r="Q919" t="str">
        <x:v>right</x:v>
      </x:c>
      <x:c r="R919" t="n">
        <x:v>-4</x:v>
      </x:c>
      <x:c r="S919" t="n">
        <x:v>7</x:v>
      </x:c>
      <x:c r="T919"/>
      <x:c r="U919"/>
      <x:c r="V919" t="n">
        <x:v>1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/>
      <x:c r="AC919" t="n">
        <x:v>0</x:v>
      </x:c>
      <x:c r="AD919" t="n">
        <x:v>-0.2638400683645159</x:v>
      </x:c>
      <x:c r="AE919" t="n">
        <x:v>0</x:v>
      </x:c>
      <x:c r="AF919" t="n">
        <x:v>-0.002932995557785034</x:v>
      </x:c>
      <x:c r="AG919" t="n">
        <x:f>_xlfn.XLOOKUP($A919,Games!$A$2:$A$18,Games!$B$2:$B$18,"Missing game",0)</x:f>
        <x:v>2025</x:v>
      </x:c>
      <x:c r="AH919" t="str">
        <x:f>_xlfn.XLOOKUP($A919,Games!$A$2:$A$18,Games!$C$2:$C$18,"Missing game",0)</x:f>
        <x:v>REG</x:v>
      </x:c>
      <x:c r="AI919" t="n">
        <x:f>_xlfn.XLOOKUP($A919,Games!$A$2:$A$18,Games!$D$2:$D$18,"Missing game",0)</x:f>
        <x:v>7</x:v>
      </x:c>
      <x:c r="AJ919" s="1" t="n">
        <x:f>_xlfn.XLOOKUP($A919,Games!$A$2:$A$18,Games!$E$2:$E$18,"Missing game",0)</x:f>
        <x:v>45949</x:v>
      </x:c>
      <x:c r="AK919" t="str">
        <x:f>_xlfn.XLOOKUP($A919,Games!$A$2:$A$18,Games!$F$2:$F$18,"Missing game",0)</x:f>
        <x:v>Sunday</x:v>
      </x:c>
      <x:c r="AL919" t="str">
        <x:f>_xlfn.XLOOKUP($A919,Games!$A$2:$A$18,Games!$G$2:$G$18,"Missing game",0)</x:f>
        <x:v>PHI</x:v>
      </x:c>
      <x:c r="AM919" t="n">
        <x:f>_xlfn.XLOOKUP($A919,Games!$A$2:$A$18,Games!$H$2:$H$18,"Missing game",0)</x:f>
        <x:v>28</x:v>
      </x:c>
      <x:c r="AN919" t="str">
        <x:f>_xlfn.XLOOKUP($A919,Games!$A$2:$A$18,Games!$I$2:$I$18,"Missing game",0)</x:f>
        <x:v>MIN</x:v>
      </x:c>
      <x:c r="AO919" t="n">
        <x:f>_xlfn.XLOOKUP($A919,Games!$A$2:$A$18,Games!$J$2:$J$18,"Missing game",0)</x:f>
        <x:v>22</x:v>
      </x:c>
      <x:c r="AP919" t="n">
        <x:f>_xlfn.XLOOKUP($A919,Games!$A$2:$A$18,Games!$K$2:$K$18,"Missing game",0)</x:f>
        <x:v>-6</x:v>
      </x:c>
      <x:c r="AQ919" t="n">
        <x:f>_xlfn.XLOOKUP($A919,Games!$A$2:$A$18,Games!$L$2:$L$18,"Missing game",0)</x:f>
        <x:v>50</x:v>
      </x:c>
      <x:c r="AR919" t="n">
        <x:f>_xlfn.XLOOKUP($A919,Games!$A$2:$A$18,Games!$M$2:$M$18,"Missing game",0)</x:f>
        <x:v>0</x:v>
      </x:c>
      <x:c r="AS919" t="str">
        <x:f>_xlfn.XLOOKUP($A919,Games!$A$2:$A$18,Games!$N$2:$N$18,"Missing game",0)</x:f>
        <x:v>dome</x:v>
      </x:c>
      <x:c r="AT919" t="str">
        <x:f>_xlfn.XLOOKUP($A919,Games!$A$2:$A$18,Games!$O$2:$O$18,"Missing game",0)</x:f>
        <x:v>sportturf</x:v>
      </x:c>
      <x:c r="AU919" t="str">
        <x:f>_xlfn.XLOOKUP($A919,Games!$A$2:$A$18,Games!$P$2:$P$18,"Missing game",0)</x:f>
      </x:c>
      <x:c r="AV919" t="str">
        <x:f>_xlfn.XLOOKUP($A919,Games!$A$2:$A$18,Games!$Q$2:$Q$18,"Missing game",0)</x:f>
      </x:c>
      <x:c r="AW919" t="str">
        <x:f>_xlfn.XLOOKUP($A919,Games!$A$2:$A$18,Games!$R$2:$R$18,"Missing game",0)</x:f>
        <x:v>U.S. Bank Stadium</x:v>
      </x:c>
    </x:row>
    <x:row r="920">
      <x:c r="A920" t="str">
        <x:v>2025_07_PHI_MIN</x:v>
      </x:c>
      <x:c r="B920" t="n">
        <x:v>1684</x:v>
      </x:c>
      <x:c r="C920" t="n">
        <x:v>2</x:v>
      </x:c>
      <x:c r="D920" t="str">
        <x:v>03:00</x:v>
      </x:c>
      <x:c r="E920" t="n">
        <x:v>3</x:v>
      </x:c>
      <x:c r="F920" t="n">
        <x:v>8</x:v>
      </x:c>
      <x:c r="G920" t="str">
        <x:v>MIN</x:v>
      </x:c>
      <x:c r="H920" t="str">
        <x:v>PHI</x:v>
      </x:c>
      <x:c r="I920" t="str">
        <x:v>MIN</x:v>
      </x:c>
      <x:c r="J920" t="n">
        <x:v>66</x:v>
      </x:c>
      <x:c r="K920" t="str">
        <x:v>(3:00) (No Huddle, Shotgun) 11-C.Wentz pass short right to 18-J.Jefferson pushed ob at MIN 44 for 10 yards (53-Z.Baun).</x:v>
      </x:c>
      <x:c r="L920" t="str">
        <x:v>pass</x:v>
      </x:c>
      <x:c r="M920" t="n">
        <x:v>10</x:v>
      </x:c>
      <x:c r="N920" t="n">
        <x:v>1</x:v>
      </x:c>
      <x:c r="O920" t="n">
        <x:v>1</x:v>
      </x:c>
      <x:c r="P920" t="str">
        <x:v>short</x:v>
      </x:c>
      <x:c r="Q920" t="str">
        <x:v>right</x:v>
      </x:c>
      <x:c r="R920" t="n">
        <x:v>7</x:v>
      </x:c>
      <x:c r="S920" t="n">
        <x:v>3</x:v>
      </x:c>
      <x:c r="T920"/>
      <x:c r="U920"/>
      <x:c r="V920" t="n">
        <x:v>1</x:v>
      </x:c>
      <x:c r="W920" t="n">
        <x:v>1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/>
      <x:c r="AC920" t="n">
        <x:v>0</x:v>
      </x:c>
      <x:c r="AD920" t="n">
        <x:v>1.691111221560277</x:v>
      </x:c>
      <x:c r="AE920" t="n">
        <x:v>1</x:v>
      </x:c>
      <x:c r="AF920" t="n">
        <x:v>0.03459891676902771</x:v>
      </x:c>
      <x:c r="AG920" t="n">
        <x:f>_xlfn.XLOOKUP($A920,Games!$A$2:$A$18,Games!$B$2:$B$18,"Missing game",0)</x:f>
        <x:v>2025</x:v>
      </x:c>
      <x:c r="AH920" t="str">
        <x:f>_xlfn.XLOOKUP($A920,Games!$A$2:$A$18,Games!$C$2:$C$18,"Missing game",0)</x:f>
        <x:v>REG</x:v>
      </x:c>
      <x:c r="AI920" t="n">
        <x:f>_xlfn.XLOOKUP($A920,Games!$A$2:$A$18,Games!$D$2:$D$18,"Missing game",0)</x:f>
        <x:v>7</x:v>
      </x:c>
      <x:c r="AJ920" s="1" t="n">
        <x:f>_xlfn.XLOOKUP($A920,Games!$A$2:$A$18,Games!$E$2:$E$18,"Missing game",0)</x:f>
        <x:v>45949</x:v>
      </x:c>
      <x:c r="AK920" t="str">
        <x:f>_xlfn.XLOOKUP($A920,Games!$A$2:$A$18,Games!$F$2:$F$18,"Missing game",0)</x:f>
        <x:v>Sunday</x:v>
      </x:c>
      <x:c r="AL920" t="str">
        <x:f>_xlfn.XLOOKUP($A920,Games!$A$2:$A$18,Games!$G$2:$G$18,"Missing game",0)</x:f>
        <x:v>PHI</x:v>
      </x:c>
      <x:c r="AM920" t="n">
        <x:f>_xlfn.XLOOKUP($A920,Games!$A$2:$A$18,Games!$H$2:$H$18,"Missing game",0)</x:f>
        <x:v>28</x:v>
      </x:c>
      <x:c r="AN920" t="str">
        <x:f>_xlfn.XLOOKUP($A920,Games!$A$2:$A$18,Games!$I$2:$I$18,"Missing game",0)</x:f>
        <x:v>MIN</x:v>
      </x:c>
      <x:c r="AO920" t="n">
        <x:f>_xlfn.XLOOKUP($A920,Games!$A$2:$A$18,Games!$J$2:$J$18,"Missing game",0)</x:f>
        <x:v>22</x:v>
      </x:c>
      <x:c r="AP920" t="n">
        <x:f>_xlfn.XLOOKUP($A920,Games!$A$2:$A$18,Games!$K$2:$K$18,"Missing game",0)</x:f>
        <x:v>-6</x:v>
      </x:c>
      <x:c r="AQ920" t="n">
        <x:f>_xlfn.XLOOKUP($A920,Games!$A$2:$A$18,Games!$L$2:$L$18,"Missing game",0)</x:f>
        <x:v>50</x:v>
      </x:c>
      <x:c r="AR920" t="n">
        <x:f>_xlfn.XLOOKUP($A920,Games!$A$2:$A$18,Games!$M$2:$M$18,"Missing game",0)</x:f>
        <x:v>0</x:v>
      </x:c>
      <x:c r="AS920" t="str">
        <x:f>_xlfn.XLOOKUP($A920,Games!$A$2:$A$18,Games!$N$2:$N$18,"Missing game",0)</x:f>
        <x:v>dome</x:v>
      </x:c>
      <x:c r="AT920" t="str">
        <x:f>_xlfn.XLOOKUP($A920,Games!$A$2:$A$18,Games!$O$2:$O$18,"Missing game",0)</x:f>
        <x:v>sportturf</x:v>
      </x:c>
      <x:c r="AU920" t="str">
        <x:f>_xlfn.XLOOKUP($A920,Games!$A$2:$A$18,Games!$P$2:$P$18,"Missing game",0)</x:f>
      </x:c>
      <x:c r="AV920" t="str">
        <x:f>_xlfn.XLOOKUP($A920,Games!$A$2:$A$18,Games!$Q$2:$Q$18,"Missing game",0)</x:f>
      </x:c>
      <x:c r="AW920" t="str">
        <x:f>_xlfn.XLOOKUP($A920,Games!$A$2:$A$18,Games!$R$2:$R$18,"Missing game",0)</x:f>
        <x:v>U.S. Bank Stadium</x:v>
      </x:c>
    </x:row>
    <x:row r="921">
      <x:c r="A921" t="str">
        <x:v>2025_07_PHI_MIN</x:v>
      </x:c>
      <x:c r="B921" t="n">
        <x:v>1714</x:v>
      </x:c>
      <x:c r="C921" t="n">
        <x:v>2</x:v>
      </x:c>
      <x:c r="D921" t="str">
        <x:v>02:22</x:v>
      </x:c>
      <x:c r="E921" t="n">
        <x:v>1</x:v>
      </x:c>
      <x:c r="F921" t="n">
        <x:v>10</x:v>
      </x:c>
      <x:c r="G921" t="str">
        <x:v>MIN</x:v>
      </x:c>
      <x:c r="H921" t="str">
        <x:v>PHI</x:v>
      </x:c>
      <x:c r="I921" t="str">
        <x:v>MIN</x:v>
      </x:c>
      <x:c r="J921" t="n">
        <x:v>56</x:v>
      </x:c>
      <x:c r="K921" t="str">
        <x:v>(2:22) 11-C.Wentz pass short left to 36-Z.Scott to MIN 46 for 2 yards (53-Z.Baun).</x:v>
      </x:c>
      <x:c r="L921" t="str">
        <x:v>pass</x:v>
      </x:c>
      <x:c r="M921" t="n">
        <x:v>2</x:v>
      </x:c>
      <x:c r="N921" t="n">
        <x:v>0</x:v>
      </x:c>
      <x:c r="O921" t="n">
        <x:v>0</x:v>
      </x:c>
      <x:c r="P921" t="str">
        <x:v>short</x:v>
      </x:c>
      <x:c r="Q921" t="str">
        <x:v>left</x:v>
      </x:c>
      <x:c r="R921" t="n">
        <x:v>0</x:v>
      </x:c>
      <x:c r="S921" t="n">
        <x:v>2</x:v>
      </x:c>
      <x:c r="T921"/>
      <x:c r="U921"/>
      <x:c r="V921" t="n">
        <x:v>1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/>
      <x:c r="AC921" t="n">
        <x:v>0</x:v>
      </x:c>
      <x:c r="AD921" t="n">
        <x:v>-0.4646539373206906</x:v>
      </x:c>
      <x:c r="AE921" t="n">
        <x:v>0</x:v>
      </x:c>
      <x:c r="AF921" t="n">
        <x:v>-0.016648143529891968</x:v>
      </x:c>
      <x:c r="AG921" t="n">
        <x:f>_xlfn.XLOOKUP($A921,Games!$A$2:$A$18,Games!$B$2:$B$18,"Missing game",0)</x:f>
        <x:v>2025</x:v>
      </x:c>
      <x:c r="AH921" t="str">
        <x:f>_xlfn.XLOOKUP($A921,Games!$A$2:$A$18,Games!$C$2:$C$18,"Missing game",0)</x:f>
        <x:v>REG</x:v>
      </x:c>
      <x:c r="AI921" t="n">
        <x:f>_xlfn.XLOOKUP($A921,Games!$A$2:$A$18,Games!$D$2:$D$18,"Missing game",0)</x:f>
        <x:v>7</x:v>
      </x:c>
      <x:c r="AJ921" s="1" t="n">
        <x:f>_xlfn.XLOOKUP($A921,Games!$A$2:$A$18,Games!$E$2:$E$18,"Missing game",0)</x:f>
        <x:v>45949</x:v>
      </x:c>
      <x:c r="AK921" t="str">
        <x:f>_xlfn.XLOOKUP($A921,Games!$A$2:$A$18,Games!$F$2:$F$18,"Missing game",0)</x:f>
        <x:v>Sunday</x:v>
      </x:c>
      <x:c r="AL921" t="str">
        <x:f>_xlfn.XLOOKUP($A921,Games!$A$2:$A$18,Games!$G$2:$G$18,"Missing game",0)</x:f>
        <x:v>PHI</x:v>
      </x:c>
      <x:c r="AM921" t="n">
        <x:f>_xlfn.XLOOKUP($A921,Games!$A$2:$A$18,Games!$H$2:$H$18,"Missing game",0)</x:f>
        <x:v>28</x:v>
      </x:c>
      <x:c r="AN921" t="str">
        <x:f>_xlfn.XLOOKUP($A921,Games!$A$2:$A$18,Games!$I$2:$I$18,"Missing game",0)</x:f>
        <x:v>MIN</x:v>
      </x:c>
      <x:c r="AO921" t="n">
        <x:f>_xlfn.XLOOKUP($A921,Games!$A$2:$A$18,Games!$J$2:$J$18,"Missing game",0)</x:f>
        <x:v>22</x:v>
      </x:c>
      <x:c r="AP921" t="n">
        <x:f>_xlfn.XLOOKUP($A921,Games!$A$2:$A$18,Games!$K$2:$K$18,"Missing game",0)</x:f>
        <x:v>-6</x:v>
      </x:c>
      <x:c r="AQ921" t="n">
        <x:f>_xlfn.XLOOKUP($A921,Games!$A$2:$A$18,Games!$L$2:$L$18,"Missing game",0)</x:f>
        <x:v>50</x:v>
      </x:c>
      <x:c r="AR921" t="n">
        <x:f>_xlfn.XLOOKUP($A921,Games!$A$2:$A$18,Games!$M$2:$M$18,"Missing game",0)</x:f>
        <x:v>0</x:v>
      </x:c>
      <x:c r="AS921" t="str">
        <x:f>_xlfn.XLOOKUP($A921,Games!$A$2:$A$18,Games!$N$2:$N$18,"Missing game",0)</x:f>
        <x:v>dome</x:v>
      </x:c>
      <x:c r="AT921" t="str">
        <x:f>_xlfn.XLOOKUP($A921,Games!$A$2:$A$18,Games!$O$2:$O$18,"Missing game",0)</x:f>
        <x:v>sportturf</x:v>
      </x:c>
      <x:c r="AU921" t="str">
        <x:f>_xlfn.XLOOKUP($A921,Games!$A$2:$A$18,Games!$P$2:$P$18,"Missing game",0)</x:f>
      </x:c>
      <x:c r="AV921" t="str">
        <x:f>_xlfn.XLOOKUP($A921,Games!$A$2:$A$18,Games!$Q$2:$Q$18,"Missing game",0)</x:f>
      </x:c>
      <x:c r="AW921" t="str">
        <x:f>_xlfn.XLOOKUP($A921,Games!$A$2:$A$18,Games!$R$2:$R$18,"Missing game",0)</x:f>
        <x:v>U.S. Bank Stadium</x:v>
      </x:c>
    </x:row>
    <x:row r="922">
      <x:c r="A922" t="str">
        <x:v>2025_07_PHI_MIN</x:v>
      </x:c>
      <x:c r="B922" t="n">
        <x:v>1739</x:v>
      </x:c>
      <x:c r="C922" t="n">
        <x:v>2</x:v>
      </x:c>
      <x:c r="D922" t="str">
        <x:v>02:00</x:v>
      </x:c>
      <x:c r="E922" t="n">
        <x:v>2</x:v>
      </x:c>
      <x:c r="F922" t="n">
        <x:v>8</x:v>
      </x:c>
      <x:c r="G922" t="str">
        <x:v>MIN</x:v>
      </x:c>
      <x:c r="H922" t="str">
        <x:v>PHI</x:v>
      </x:c>
      <x:c r="I922" t="str">
        <x:v>MIN</x:v>
      </x:c>
      <x:c r="J922" t="n">
        <x:v>54</x:v>
      </x:c>
      <x:c r="K922" t="str">
        <x:v>(2:00) (Shotgun) 11-C.Wentz pass short middle to 87-T.Hockenson to 50 for 4 yards (17-N.Dean).</x:v>
      </x:c>
      <x:c r="L922" t="str">
        <x:v>pass</x:v>
      </x:c>
      <x:c r="M922" t="n">
        <x:v>4</x:v>
      </x:c>
      <x:c r="N922" t="n">
        <x:v>1</x:v>
      </x:c>
      <x:c r="O922" t="n">
        <x:v>0</x:v>
      </x:c>
      <x:c r="P922" t="str">
        <x:v>short</x:v>
      </x:c>
      <x:c r="Q922" t="str">
        <x:v>middle</x:v>
      </x:c>
      <x:c r="R922" t="n">
        <x:v>4</x:v>
      </x:c>
      <x:c r="S922" t="n">
        <x:v>0</x:v>
      </x:c>
      <x:c r="T922"/>
      <x:c r="U922"/>
      <x:c r="V922" t="n">
        <x:v>1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/>
      <x:c r="AC922" t="n">
        <x:v>0</x:v>
      </x:c>
      <x:c r="AD922" t="n">
        <x:v>-0.0008349991985596716</x:v>
      </x:c>
      <x:c r="AE922" t="n">
        <x:v>0</x:v>
      </x:c>
      <x:c r="AF922" t="n">
        <x:v>-0.006302237510681152</x:v>
      </x:c>
      <x:c r="AG922" t="n">
        <x:f>_xlfn.XLOOKUP($A922,Games!$A$2:$A$18,Games!$B$2:$B$18,"Missing game",0)</x:f>
        <x:v>2025</x:v>
      </x:c>
      <x:c r="AH922" t="str">
        <x:f>_xlfn.XLOOKUP($A922,Games!$A$2:$A$18,Games!$C$2:$C$18,"Missing game",0)</x:f>
        <x:v>REG</x:v>
      </x:c>
      <x:c r="AI922" t="n">
        <x:f>_xlfn.XLOOKUP($A922,Games!$A$2:$A$18,Games!$D$2:$D$18,"Missing game",0)</x:f>
        <x:v>7</x:v>
      </x:c>
      <x:c r="AJ922" s="1" t="n">
        <x:f>_xlfn.XLOOKUP($A922,Games!$A$2:$A$18,Games!$E$2:$E$18,"Missing game",0)</x:f>
        <x:v>45949</x:v>
      </x:c>
      <x:c r="AK922" t="str">
        <x:f>_xlfn.XLOOKUP($A922,Games!$A$2:$A$18,Games!$F$2:$F$18,"Missing game",0)</x:f>
        <x:v>Sunday</x:v>
      </x:c>
      <x:c r="AL922" t="str">
        <x:f>_xlfn.XLOOKUP($A922,Games!$A$2:$A$18,Games!$G$2:$G$18,"Missing game",0)</x:f>
        <x:v>PHI</x:v>
      </x:c>
      <x:c r="AM922" t="n">
        <x:f>_xlfn.XLOOKUP($A922,Games!$A$2:$A$18,Games!$H$2:$H$18,"Missing game",0)</x:f>
        <x:v>28</x:v>
      </x:c>
      <x:c r="AN922" t="str">
        <x:f>_xlfn.XLOOKUP($A922,Games!$A$2:$A$18,Games!$I$2:$I$18,"Missing game",0)</x:f>
        <x:v>MIN</x:v>
      </x:c>
      <x:c r="AO922" t="n">
        <x:f>_xlfn.XLOOKUP($A922,Games!$A$2:$A$18,Games!$J$2:$J$18,"Missing game",0)</x:f>
        <x:v>22</x:v>
      </x:c>
      <x:c r="AP922" t="n">
        <x:f>_xlfn.XLOOKUP($A922,Games!$A$2:$A$18,Games!$K$2:$K$18,"Missing game",0)</x:f>
        <x:v>-6</x:v>
      </x:c>
      <x:c r="AQ922" t="n">
        <x:f>_xlfn.XLOOKUP($A922,Games!$A$2:$A$18,Games!$L$2:$L$18,"Missing game",0)</x:f>
        <x:v>50</x:v>
      </x:c>
      <x:c r="AR922" t="n">
        <x:f>_xlfn.XLOOKUP($A922,Games!$A$2:$A$18,Games!$M$2:$M$18,"Missing game",0)</x:f>
        <x:v>0</x:v>
      </x:c>
      <x:c r="AS922" t="str">
        <x:f>_xlfn.XLOOKUP($A922,Games!$A$2:$A$18,Games!$N$2:$N$18,"Missing game",0)</x:f>
        <x:v>dome</x:v>
      </x:c>
      <x:c r="AT922" t="str">
        <x:f>_xlfn.XLOOKUP($A922,Games!$A$2:$A$18,Games!$O$2:$O$18,"Missing game",0)</x:f>
        <x:v>sportturf</x:v>
      </x:c>
      <x:c r="AU922" t="str">
        <x:f>_xlfn.XLOOKUP($A922,Games!$A$2:$A$18,Games!$P$2:$P$18,"Missing game",0)</x:f>
      </x:c>
      <x:c r="AV922" t="str">
        <x:f>_xlfn.XLOOKUP($A922,Games!$A$2:$A$18,Games!$Q$2:$Q$18,"Missing game",0)</x:f>
      </x:c>
      <x:c r="AW922" t="str">
        <x:f>_xlfn.XLOOKUP($A922,Games!$A$2:$A$18,Games!$R$2:$R$18,"Missing game",0)</x:f>
        <x:v>U.S. Bank Stadium</x:v>
      </x:c>
    </x:row>
    <x:row r="923">
      <x:c r="A923" t="str">
        <x:v>2025_07_PHI_MIN</x:v>
      </x:c>
      <x:c r="B923" t="n">
        <x:v>1771</x:v>
      </x:c>
      <x:c r="C923" t="n">
        <x:v>2</x:v>
      </x:c>
      <x:c r="D923" t="str">
        <x:v>01:17</x:v>
      </x:c>
      <x:c r="E923" t="n">
        <x:v>3</x:v>
      </x:c>
      <x:c r="F923" t="n">
        <x:v>4</x:v>
      </x:c>
      <x:c r="G923" t="str">
        <x:v>MIN</x:v>
      </x:c>
      <x:c r="H923" t="str">
        <x:v>PHI</x:v>
      </x:c>
      <x:c r="I923" t="str">
        <x:v>50</x:v>
      </x:c>
      <x:c r="J923" t="n">
        <x:v>50</x:v>
      </x:c>
      <x:c r="K923" t="str">
        <x:v>(1:17) (Shotgun) 11-C.Wentz pass incomplete deep right [98-J.Carter].</x:v>
      </x:c>
      <x:c r="L923" t="str">
        <x:v>pass</x:v>
      </x:c>
      <x:c r="M923" t="n">
        <x:v>0</x:v>
      </x:c>
      <x:c r="N923" t="n">
        <x:v>1</x:v>
      </x:c>
      <x:c r="O923" t="n">
        <x:v>0</x:v>
      </x:c>
      <x:c r="P923" t="str">
        <x:v>deep</x:v>
      </x:c>
      <x:c r="Q923" t="str">
        <x:v>right</x:v>
      </x:c>
      <x:c r="R923" t="n">
        <x:v>20</x:v>
      </x:c>
      <x:c r="S923"/>
      <x:c r="T923"/>
      <x:c r="U923"/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/>
      <x:c r="AC923" t="n">
        <x:v>0</x:v>
      </x:c>
      <x:c r="AD923" t="n">
        <x:v>-1.4057173049077392</x:v>
      </x:c>
      <x:c r="AE923" t="n">
        <x:v>0</x:v>
      </x:c>
      <x:c r="AF923" t="n">
        <x:v>-0.03171779215335846</x:v>
      </x:c>
      <x:c r="AG923" t="n">
        <x:f>_xlfn.XLOOKUP($A923,Games!$A$2:$A$18,Games!$B$2:$B$18,"Missing game",0)</x:f>
        <x:v>2025</x:v>
      </x:c>
      <x:c r="AH923" t="str">
        <x:f>_xlfn.XLOOKUP($A923,Games!$A$2:$A$18,Games!$C$2:$C$18,"Missing game",0)</x:f>
        <x:v>REG</x:v>
      </x:c>
      <x:c r="AI923" t="n">
        <x:f>_xlfn.XLOOKUP($A923,Games!$A$2:$A$18,Games!$D$2:$D$18,"Missing game",0)</x:f>
        <x:v>7</x:v>
      </x:c>
      <x:c r="AJ923" s="1" t="n">
        <x:f>_xlfn.XLOOKUP($A923,Games!$A$2:$A$18,Games!$E$2:$E$18,"Missing game",0)</x:f>
        <x:v>45949</x:v>
      </x:c>
      <x:c r="AK923" t="str">
        <x:f>_xlfn.XLOOKUP($A923,Games!$A$2:$A$18,Games!$F$2:$F$18,"Missing game",0)</x:f>
        <x:v>Sunday</x:v>
      </x:c>
      <x:c r="AL923" t="str">
        <x:f>_xlfn.XLOOKUP($A923,Games!$A$2:$A$18,Games!$G$2:$G$18,"Missing game",0)</x:f>
        <x:v>PHI</x:v>
      </x:c>
      <x:c r="AM923" t="n">
        <x:f>_xlfn.XLOOKUP($A923,Games!$A$2:$A$18,Games!$H$2:$H$18,"Missing game",0)</x:f>
        <x:v>28</x:v>
      </x:c>
      <x:c r="AN923" t="str">
        <x:f>_xlfn.XLOOKUP($A923,Games!$A$2:$A$18,Games!$I$2:$I$18,"Missing game",0)</x:f>
        <x:v>MIN</x:v>
      </x:c>
      <x:c r="AO923" t="n">
        <x:f>_xlfn.XLOOKUP($A923,Games!$A$2:$A$18,Games!$J$2:$J$18,"Missing game",0)</x:f>
        <x:v>22</x:v>
      </x:c>
      <x:c r="AP923" t="n">
        <x:f>_xlfn.XLOOKUP($A923,Games!$A$2:$A$18,Games!$K$2:$K$18,"Missing game",0)</x:f>
        <x:v>-6</x:v>
      </x:c>
      <x:c r="AQ923" t="n">
        <x:f>_xlfn.XLOOKUP($A923,Games!$A$2:$A$18,Games!$L$2:$L$18,"Missing game",0)</x:f>
        <x:v>50</x:v>
      </x:c>
      <x:c r="AR923" t="n">
        <x:f>_xlfn.XLOOKUP($A923,Games!$A$2:$A$18,Games!$M$2:$M$18,"Missing game",0)</x:f>
        <x:v>0</x:v>
      </x:c>
      <x:c r="AS923" t="str">
        <x:f>_xlfn.XLOOKUP($A923,Games!$A$2:$A$18,Games!$N$2:$N$18,"Missing game",0)</x:f>
        <x:v>dome</x:v>
      </x:c>
      <x:c r="AT923" t="str">
        <x:f>_xlfn.XLOOKUP($A923,Games!$A$2:$A$18,Games!$O$2:$O$18,"Missing game",0)</x:f>
        <x:v>sportturf</x:v>
      </x:c>
      <x:c r="AU923" t="str">
        <x:f>_xlfn.XLOOKUP($A923,Games!$A$2:$A$18,Games!$P$2:$P$18,"Missing game",0)</x:f>
      </x:c>
      <x:c r="AV923" t="str">
        <x:f>_xlfn.XLOOKUP($A923,Games!$A$2:$A$18,Games!$Q$2:$Q$18,"Missing game",0)</x:f>
      </x:c>
      <x:c r="AW923" t="str">
        <x:f>_xlfn.XLOOKUP($A923,Games!$A$2:$A$18,Games!$R$2:$R$18,"Missing game",0)</x:f>
        <x:v>U.S. Bank Stadium</x:v>
      </x:c>
    </x:row>
    <x:row r="924">
      <x:c r="A924" t="str">
        <x:v>2025_07_PHI_MIN</x:v>
      </x:c>
      <x:c r="B924" t="n">
        <x:v>1794</x:v>
      </x:c>
      <x:c r="C924" t="n">
        <x:v>2</x:v>
      </x:c>
      <x:c r="D924" t="str">
        <x:v>01:06</x:v>
      </x:c>
      <x:c r="E924" t="n">
        <x:v>4</x:v>
      </x:c>
      <x:c r="F924" t="n">
        <x:v>4</x:v>
      </x:c>
      <x:c r="G924" t="str">
        <x:v>MIN</x:v>
      </x:c>
      <x:c r="H924" t="str">
        <x:v>PHI</x:v>
      </x:c>
      <x:c r="I924" t="str">
        <x:v>50</x:v>
      </x:c>
      <x:c r="J924" t="n">
        <x:v>50</x:v>
      </x:c>
      <x:c r="K924" t="str">
        <x:v>(1:06) 17-R.Wright punts 34 yards to PHI 16, Center-42-A.DePaola, out of bounds.</x:v>
      </x:c>
      <x:c r="L924" t="str">
        <x:v>punt</x:v>
      </x:c>
      <x:c r="M924" t="n">
        <x:v>0</x:v>
      </x:c>
      <x:c r="N924" t="n">
        <x:v>0</x:v>
      </x:c>
      <x:c r="O924" t="n">
        <x:v>0</x:v>
      </x:c>
      <x:c r="P924"/>
      <x:c r="Q924"/>
      <x:c r="R924"/>
      <x:c r="S924"/>
      <x:c r="T924"/>
      <x:c r="U924"/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/>
      <x:c r="AC924" t="n">
        <x:v>0</x:v>
      </x:c>
      <x:c r="AD924" t="n">
        <x:v>-0.9871838709223084</x:v>
      </x:c>
      <x:c r="AE924" t="n">
        <x:v>0</x:v>
      </x:c>
      <x:c r="AF924" t="n">
        <x:v>-0.012538716197013855</x:v>
      </x:c>
      <x:c r="AG924" t="n">
        <x:f>_xlfn.XLOOKUP($A924,Games!$A$2:$A$18,Games!$B$2:$B$18,"Missing game",0)</x:f>
        <x:v>2025</x:v>
      </x:c>
      <x:c r="AH924" t="str">
        <x:f>_xlfn.XLOOKUP($A924,Games!$A$2:$A$18,Games!$C$2:$C$18,"Missing game",0)</x:f>
        <x:v>REG</x:v>
      </x:c>
      <x:c r="AI924" t="n">
        <x:f>_xlfn.XLOOKUP($A924,Games!$A$2:$A$18,Games!$D$2:$D$18,"Missing game",0)</x:f>
        <x:v>7</x:v>
      </x:c>
      <x:c r="AJ924" s="1" t="n">
        <x:f>_xlfn.XLOOKUP($A924,Games!$A$2:$A$18,Games!$E$2:$E$18,"Missing game",0)</x:f>
        <x:v>45949</x:v>
      </x:c>
      <x:c r="AK924" t="str">
        <x:f>_xlfn.XLOOKUP($A924,Games!$A$2:$A$18,Games!$F$2:$F$18,"Missing game",0)</x:f>
        <x:v>Sunday</x:v>
      </x:c>
      <x:c r="AL924" t="str">
        <x:f>_xlfn.XLOOKUP($A924,Games!$A$2:$A$18,Games!$G$2:$G$18,"Missing game",0)</x:f>
        <x:v>PHI</x:v>
      </x:c>
      <x:c r="AM924" t="n">
        <x:f>_xlfn.XLOOKUP($A924,Games!$A$2:$A$18,Games!$H$2:$H$18,"Missing game",0)</x:f>
        <x:v>28</x:v>
      </x:c>
      <x:c r="AN924" t="str">
        <x:f>_xlfn.XLOOKUP($A924,Games!$A$2:$A$18,Games!$I$2:$I$18,"Missing game",0)</x:f>
        <x:v>MIN</x:v>
      </x:c>
      <x:c r="AO924" t="n">
        <x:f>_xlfn.XLOOKUP($A924,Games!$A$2:$A$18,Games!$J$2:$J$18,"Missing game",0)</x:f>
        <x:v>22</x:v>
      </x:c>
      <x:c r="AP924" t="n">
        <x:f>_xlfn.XLOOKUP($A924,Games!$A$2:$A$18,Games!$K$2:$K$18,"Missing game",0)</x:f>
        <x:v>-6</x:v>
      </x:c>
      <x:c r="AQ924" t="n">
        <x:f>_xlfn.XLOOKUP($A924,Games!$A$2:$A$18,Games!$L$2:$L$18,"Missing game",0)</x:f>
        <x:v>50</x:v>
      </x:c>
      <x:c r="AR924" t="n">
        <x:f>_xlfn.XLOOKUP($A924,Games!$A$2:$A$18,Games!$M$2:$M$18,"Missing game",0)</x:f>
        <x:v>0</x:v>
      </x:c>
      <x:c r="AS924" t="str">
        <x:f>_xlfn.XLOOKUP($A924,Games!$A$2:$A$18,Games!$N$2:$N$18,"Missing game",0)</x:f>
        <x:v>dome</x:v>
      </x:c>
      <x:c r="AT924" t="str">
        <x:f>_xlfn.XLOOKUP($A924,Games!$A$2:$A$18,Games!$O$2:$O$18,"Missing game",0)</x:f>
        <x:v>sportturf</x:v>
      </x:c>
      <x:c r="AU924" t="str">
        <x:f>_xlfn.XLOOKUP($A924,Games!$A$2:$A$18,Games!$P$2:$P$18,"Missing game",0)</x:f>
      </x:c>
      <x:c r="AV924" t="str">
        <x:f>_xlfn.XLOOKUP($A924,Games!$A$2:$A$18,Games!$Q$2:$Q$18,"Missing game",0)</x:f>
      </x:c>
      <x:c r="AW924" t="str">
        <x:f>_xlfn.XLOOKUP($A924,Games!$A$2:$A$18,Games!$R$2:$R$18,"Missing game",0)</x:f>
        <x:v>U.S. Bank Stadium</x:v>
      </x:c>
    </x:row>
    <x:row r="925">
      <x:c r="A925" t="str">
        <x:v>2025_07_PHI_MIN</x:v>
      </x:c>
      <x:c r="B925" t="n">
        <x:v>1813</x:v>
      </x:c>
      <x:c r="C925" t="n">
        <x:v>2</x:v>
      </x:c>
      <x:c r="D925" t="str">
        <x:v>00:59</x:v>
      </x:c>
      <x:c r="E925" t="n">
        <x:v>1</x:v>
      </x:c>
      <x:c r="F925" t="n">
        <x:v>10</x:v>
      </x:c>
      <x:c r="G925" t="str">
        <x:v>PHI</x:v>
      </x:c>
      <x:c r="H925" t="str">
        <x:v>MIN</x:v>
      </x:c>
      <x:c r="I925" t="str">
        <x:v>PHI</x:v>
      </x:c>
      <x:c r="J925" t="n">
        <x:v>84</x:v>
      </x:c>
      <x:c r="K925" t="str">
        <x:v>(:59) (Shotgun) 1-J.Hurts pass short middle to 6-D.Smith to PHI 22 for 6 yards (15-D.Turner).</x:v>
      </x:c>
      <x:c r="L925" t="str">
        <x:v>pass</x:v>
      </x:c>
      <x:c r="M925" t="n">
        <x:v>6</x:v>
      </x:c>
      <x:c r="N925" t="n">
        <x:v>1</x:v>
      </x:c>
      <x:c r="O925" t="n">
        <x:v>0</x:v>
      </x:c>
      <x:c r="P925" t="str">
        <x:v>short</x:v>
      </x:c>
      <x:c r="Q925" t="str">
        <x:v>middle</x:v>
      </x:c>
      <x:c r="R925" t="n">
        <x:v>5</x:v>
      </x:c>
      <x:c r="S925" t="n">
        <x:v>1</x:v>
      </x:c>
      <x:c r="T925"/>
      <x:c r="U925"/>
      <x:c r="V925" t="n">
        <x:v>1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/>
      <x:c r="AC925" t="n">
        <x:v>0</x:v>
      </x:c>
      <x:c r="AD925" t="n">
        <x:v>-0.09970598173094913</x:v>
      </x:c>
      <x:c r="AE925" t="n">
        <x:v>0</x:v>
      </x:c>
      <x:c r="AF925" t="n">
        <x:v>0.005596816539764404</x:v>
      </x:c>
      <x:c r="AG925" t="n">
        <x:f>_xlfn.XLOOKUP($A925,Games!$A$2:$A$18,Games!$B$2:$B$18,"Missing game",0)</x:f>
        <x:v>2025</x:v>
      </x:c>
      <x:c r="AH925" t="str">
        <x:f>_xlfn.XLOOKUP($A925,Games!$A$2:$A$18,Games!$C$2:$C$18,"Missing game",0)</x:f>
        <x:v>REG</x:v>
      </x:c>
      <x:c r="AI925" t="n">
        <x:f>_xlfn.XLOOKUP($A925,Games!$A$2:$A$18,Games!$D$2:$D$18,"Missing game",0)</x:f>
        <x:v>7</x:v>
      </x:c>
      <x:c r="AJ925" s="1" t="n">
        <x:f>_xlfn.XLOOKUP($A925,Games!$A$2:$A$18,Games!$E$2:$E$18,"Missing game",0)</x:f>
        <x:v>45949</x:v>
      </x:c>
      <x:c r="AK925" t="str">
        <x:f>_xlfn.XLOOKUP($A925,Games!$A$2:$A$18,Games!$F$2:$F$18,"Missing game",0)</x:f>
        <x:v>Sunday</x:v>
      </x:c>
      <x:c r="AL925" t="str">
        <x:f>_xlfn.XLOOKUP($A925,Games!$A$2:$A$18,Games!$G$2:$G$18,"Missing game",0)</x:f>
        <x:v>PHI</x:v>
      </x:c>
      <x:c r="AM925" t="n">
        <x:f>_xlfn.XLOOKUP($A925,Games!$A$2:$A$18,Games!$H$2:$H$18,"Missing game",0)</x:f>
        <x:v>28</x:v>
      </x:c>
      <x:c r="AN925" t="str">
        <x:f>_xlfn.XLOOKUP($A925,Games!$A$2:$A$18,Games!$I$2:$I$18,"Missing game",0)</x:f>
        <x:v>MIN</x:v>
      </x:c>
      <x:c r="AO925" t="n">
        <x:f>_xlfn.XLOOKUP($A925,Games!$A$2:$A$18,Games!$J$2:$J$18,"Missing game",0)</x:f>
        <x:v>22</x:v>
      </x:c>
      <x:c r="AP925" t="n">
        <x:f>_xlfn.XLOOKUP($A925,Games!$A$2:$A$18,Games!$K$2:$K$18,"Missing game",0)</x:f>
        <x:v>-6</x:v>
      </x:c>
      <x:c r="AQ925" t="n">
        <x:f>_xlfn.XLOOKUP($A925,Games!$A$2:$A$18,Games!$L$2:$L$18,"Missing game",0)</x:f>
        <x:v>50</x:v>
      </x:c>
      <x:c r="AR925" t="n">
        <x:f>_xlfn.XLOOKUP($A925,Games!$A$2:$A$18,Games!$M$2:$M$18,"Missing game",0)</x:f>
        <x:v>0</x:v>
      </x:c>
      <x:c r="AS925" t="str">
        <x:f>_xlfn.XLOOKUP($A925,Games!$A$2:$A$18,Games!$N$2:$N$18,"Missing game",0)</x:f>
        <x:v>dome</x:v>
      </x:c>
      <x:c r="AT925" t="str">
        <x:f>_xlfn.XLOOKUP($A925,Games!$A$2:$A$18,Games!$O$2:$O$18,"Missing game",0)</x:f>
        <x:v>sportturf</x:v>
      </x:c>
      <x:c r="AU925" t="str">
        <x:f>_xlfn.XLOOKUP($A925,Games!$A$2:$A$18,Games!$P$2:$P$18,"Missing game",0)</x:f>
      </x:c>
      <x:c r="AV925" t="str">
        <x:f>_xlfn.XLOOKUP($A925,Games!$A$2:$A$18,Games!$Q$2:$Q$18,"Missing game",0)</x:f>
      </x:c>
      <x:c r="AW925" t="str">
        <x:f>_xlfn.XLOOKUP($A925,Games!$A$2:$A$18,Games!$R$2:$R$18,"Missing game",0)</x:f>
        <x:v>U.S. Bank Stadium</x:v>
      </x:c>
    </x:row>
    <x:row r="926">
      <x:c r="A926" t="str">
        <x:v>2025_07_PHI_MIN</x:v>
      </x:c>
      <x:c r="B926" t="n">
        <x:v>1838</x:v>
      </x:c>
      <x:c r="C926" t="n">
        <x:v>2</x:v>
      </x:c>
      <x:c r="D926" t="str">
        <x:v>00:42</x:v>
      </x:c>
      <x:c r="E926" t="n">
        <x:v>2</x:v>
      </x:c>
      <x:c r="F926" t="n">
        <x:v>4</x:v>
      </x:c>
      <x:c r="G926" t="str">
        <x:v>PHI</x:v>
      </x:c>
      <x:c r="H926" t="str">
        <x:v>MIN</x:v>
      </x:c>
      <x:c r="I926" t="str">
        <x:v>PHI</x:v>
      </x:c>
      <x:c r="J926" t="n">
        <x:v>78</x:v>
      </x:c>
      <x:c r="K926" t="str">
        <x:v>(:42) (No Huddle, Shotgun) 1-J.Hurts pass short right to 6-D.Smith to PHI 38 for 16 yards (7-B.Murphy).</x:v>
      </x:c>
      <x:c r="L926" t="str">
        <x:v>pass</x:v>
      </x:c>
      <x:c r="M926" t="n">
        <x:v>16</x:v>
      </x:c>
      <x:c r="N926" t="n">
        <x:v>1</x:v>
      </x:c>
      <x:c r="O926" t="n">
        <x:v>1</x:v>
      </x:c>
      <x:c r="P926" t="str">
        <x:v>short</x:v>
      </x:c>
      <x:c r="Q926" t="str">
        <x:v>right</x:v>
      </x:c>
      <x:c r="R926" t="n">
        <x:v>13</x:v>
      </x:c>
      <x:c r="S926" t="n">
        <x:v>3</x:v>
      </x:c>
      <x:c r="T926"/>
      <x:c r="U926"/>
      <x:c r="V926" t="n">
        <x:v>1</x:v>
      </x:c>
      <x:c r="W926" t="n">
        <x:v>1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/>
      <x:c r="AC926" t="n">
        <x:v>0</x:v>
      </x:c>
      <x:c r="AD926" t="n">
        <x:v>0.5614965682034381</x:v>
      </x:c>
      <x:c r="AE926" t="n">
        <x:v>1</x:v>
      </x:c>
      <x:c r="AF926" t="n">
        <x:v>0.02975451946258545</x:v>
      </x:c>
      <x:c r="AG926" t="n">
        <x:f>_xlfn.XLOOKUP($A926,Games!$A$2:$A$18,Games!$B$2:$B$18,"Missing game",0)</x:f>
        <x:v>2025</x:v>
      </x:c>
      <x:c r="AH926" t="str">
        <x:f>_xlfn.XLOOKUP($A926,Games!$A$2:$A$18,Games!$C$2:$C$18,"Missing game",0)</x:f>
        <x:v>REG</x:v>
      </x:c>
      <x:c r="AI926" t="n">
        <x:f>_xlfn.XLOOKUP($A926,Games!$A$2:$A$18,Games!$D$2:$D$18,"Missing game",0)</x:f>
        <x:v>7</x:v>
      </x:c>
      <x:c r="AJ926" s="1" t="n">
        <x:f>_xlfn.XLOOKUP($A926,Games!$A$2:$A$18,Games!$E$2:$E$18,"Missing game",0)</x:f>
        <x:v>45949</x:v>
      </x:c>
      <x:c r="AK926" t="str">
        <x:f>_xlfn.XLOOKUP($A926,Games!$A$2:$A$18,Games!$F$2:$F$18,"Missing game",0)</x:f>
        <x:v>Sunday</x:v>
      </x:c>
      <x:c r="AL926" t="str">
        <x:f>_xlfn.XLOOKUP($A926,Games!$A$2:$A$18,Games!$G$2:$G$18,"Missing game",0)</x:f>
        <x:v>PHI</x:v>
      </x:c>
      <x:c r="AM926" t="n">
        <x:f>_xlfn.XLOOKUP($A926,Games!$A$2:$A$18,Games!$H$2:$H$18,"Missing game",0)</x:f>
        <x:v>28</x:v>
      </x:c>
      <x:c r="AN926" t="str">
        <x:f>_xlfn.XLOOKUP($A926,Games!$A$2:$A$18,Games!$I$2:$I$18,"Missing game",0)</x:f>
        <x:v>MIN</x:v>
      </x:c>
      <x:c r="AO926" t="n">
        <x:f>_xlfn.XLOOKUP($A926,Games!$A$2:$A$18,Games!$J$2:$J$18,"Missing game",0)</x:f>
        <x:v>22</x:v>
      </x:c>
      <x:c r="AP926" t="n">
        <x:f>_xlfn.XLOOKUP($A926,Games!$A$2:$A$18,Games!$K$2:$K$18,"Missing game",0)</x:f>
        <x:v>-6</x:v>
      </x:c>
      <x:c r="AQ926" t="n">
        <x:f>_xlfn.XLOOKUP($A926,Games!$A$2:$A$18,Games!$L$2:$L$18,"Missing game",0)</x:f>
        <x:v>50</x:v>
      </x:c>
      <x:c r="AR926" t="n">
        <x:f>_xlfn.XLOOKUP($A926,Games!$A$2:$A$18,Games!$M$2:$M$18,"Missing game",0)</x:f>
        <x:v>0</x:v>
      </x:c>
      <x:c r="AS926" t="str">
        <x:f>_xlfn.XLOOKUP($A926,Games!$A$2:$A$18,Games!$N$2:$N$18,"Missing game",0)</x:f>
        <x:v>dome</x:v>
      </x:c>
      <x:c r="AT926" t="str">
        <x:f>_xlfn.XLOOKUP($A926,Games!$A$2:$A$18,Games!$O$2:$O$18,"Missing game",0)</x:f>
        <x:v>sportturf</x:v>
      </x:c>
      <x:c r="AU926" t="str">
        <x:f>_xlfn.XLOOKUP($A926,Games!$A$2:$A$18,Games!$P$2:$P$18,"Missing game",0)</x:f>
      </x:c>
      <x:c r="AV926" t="str">
        <x:f>_xlfn.XLOOKUP($A926,Games!$A$2:$A$18,Games!$Q$2:$Q$18,"Missing game",0)</x:f>
      </x:c>
      <x:c r="AW926" t="str">
        <x:f>_xlfn.XLOOKUP($A926,Games!$A$2:$A$18,Games!$R$2:$R$18,"Missing game",0)</x:f>
        <x:v>U.S. Bank Stadium</x:v>
      </x:c>
    </x:row>
    <x:row r="927">
      <x:c r="A927" t="str">
        <x:v>2025_07_PHI_MIN</x:v>
      </x:c>
      <x:c r="B927" t="n">
        <x:v>1863</x:v>
      </x:c>
      <x:c r="C927" t="n">
        <x:v>2</x:v>
      </x:c>
      <x:c r="D927" t="str">
        <x:v>00:34</x:v>
      </x:c>
      <x:c r="E927" t="n">
        <x:v>1</x:v>
      </x:c>
      <x:c r="F927" t="n">
        <x:v>10</x:v>
      </x:c>
      <x:c r="G927" t="str">
        <x:v>PHI</x:v>
      </x:c>
      <x:c r="H927" t="str">
        <x:v>MIN</x:v>
      </x:c>
      <x:c r="I927" t="str">
        <x:v>PHI</x:v>
      </x:c>
      <x:c r="J927" t="n">
        <x:v>62</x:v>
      </x:c>
      <x:c r="K927" t="str">
        <x:v>(:34) (Shotgun) 1-J.Hurts pass incomplete short middle to 11-A.Brown (22-H.Smith).</x:v>
      </x:c>
      <x:c r="L927" t="str">
        <x:v>pass</x:v>
      </x:c>
      <x:c r="M927" t="n">
        <x:v>0</x:v>
      </x:c>
      <x:c r="N927" t="n">
        <x:v>1</x:v>
      </x:c>
      <x:c r="O927" t="n">
        <x:v>0</x:v>
      </x:c>
      <x:c r="P927" t="str">
        <x:v>short</x:v>
      </x:c>
      <x:c r="Q927" t="str">
        <x:v>middle</x:v>
      </x:c>
      <x:c r="R927" t="n">
        <x:v>11</x:v>
      </x:c>
      <x:c r="S927"/>
      <x:c r="T927"/>
      <x:c r="U927"/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/>
      <x:c r="AC927" t="n">
        <x:v>0</x:v>
      </x:c>
      <x:c r="AD927" t="n">
        <x:v>-0.26328737946460024</x:v>
      </x:c>
      <x:c r="AE927" t="n">
        <x:v>0</x:v>
      </x:c>
      <x:c r="AF927" t="n">
        <x:v>-0.013654947280883789</x:v>
      </x:c>
      <x:c r="AG927" t="n">
        <x:f>_xlfn.XLOOKUP($A927,Games!$A$2:$A$18,Games!$B$2:$B$18,"Missing game",0)</x:f>
        <x:v>2025</x:v>
      </x:c>
      <x:c r="AH927" t="str">
        <x:f>_xlfn.XLOOKUP($A927,Games!$A$2:$A$18,Games!$C$2:$C$18,"Missing game",0)</x:f>
        <x:v>REG</x:v>
      </x:c>
      <x:c r="AI927" t="n">
        <x:f>_xlfn.XLOOKUP($A927,Games!$A$2:$A$18,Games!$D$2:$D$18,"Missing game",0)</x:f>
        <x:v>7</x:v>
      </x:c>
      <x:c r="AJ927" s="1" t="n">
        <x:f>_xlfn.XLOOKUP($A927,Games!$A$2:$A$18,Games!$E$2:$E$18,"Missing game",0)</x:f>
        <x:v>45949</x:v>
      </x:c>
      <x:c r="AK927" t="str">
        <x:f>_xlfn.XLOOKUP($A927,Games!$A$2:$A$18,Games!$F$2:$F$18,"Missing game",0)</x:f>
        <x:v>Sunday</x:v>
      </x:c>
      <x:c r="AL927" t="str">
        <x:f>_xlfn.XLOOKUP($A927,Games!$A$2:$A$18,Games!$G$2:$G$18,"Missing game",0)</x:f>
        <x:v>PHI</x:v>
      </x:c>
      <x:c r="AM927" t="n">
        <x:f>_xlfn.XLOOKUP($A927,Games!$A$2:$A$18,Games!$H$2:$H$18,"Missing game",0)</x:f>
        <x:v>28</x:v>
      </x:c>
      <x:c r="AN927" t="str">
        <x:f>_xlfn.XLOOKUP($A927,Games!$A$2:$A$18,Games!$I$2:$I$18,"Missing game",0)</x:f>
        <x:v>MIN</x:v>
      </x:c>
      <x:c r="AO927" t="n">
        <x:f>_xlfn.XLOOKUP($A927,Games!$A$2:$A$18,Games!$J$2:$J$18,"Missing game",0)</x:f>
        <x:v>22</x:v>
      </x:c>
      <x:c r="AP927" t="n">
        <x:f>_xlfn.XLOOKUP($A927,Games!$A$2:$A$18,Games!$K$2:$K$18,"Missing game",0)</x:f>
        <x:v>-6</x:v>
      </x:c>
      <x:c r="AQ927" t="n">
        <x:f>_xlfn.XLOOKUP($A927,Games!$A$2:$A$18,Games!$L$2:$L$18,"Missing game",0)</x:f>
        <x:v>50</x:v>
      </x:c>
      <x:c r="AR927" t="n">
        <x:f>_xlfn.XLOOKUP($A927,Games!$A$2:$A$18,Games!$M$2:$M$18,"Missing game",0)</x:f>
        <x:v>0</x:v>
      </x:c>
      <x:c r="AS927" t="str">
        <x:f>_xlfn.XLOOKUP($A927,Games!$A$2:$A$18,Games!$N$2:$N$18,"Missing game",0)</x:f>
        <x:v>dome</x:v>
      </x:c>
      <x:c r="AT927" t="str">
        <x:f>_xlfn.XLOOKUP($A927,Games!$A$2:$A$18,Games!$O$2:$O$18,"Missing game",0)</x:f>
        <x:v>sportturf</x:v>
      </x:c>
      <x:c r="AU927" t="str">
        <x:f>_xlfn.XLOOKUP($A927,Games!$A$2:$A$18,Games!$P$2:$P$18,"Missing game",0)</x:f>
      </x:c>
      <x:c r="AV927" t="str">
        <x:f>_xlfn.XLOOKUP($A927,Games!$A$2:$A$18,Games!$Q$2:$Q$18,"Missing game",0)</x:f>
      </x:c>
      <x:c r="AW927" t="str">
        <x:f>_xlfn.XLOOKUP($A927,Games!$A$2:$A$18,Games!$R$2:$R$18,"Missing game",0)</x:f>
        <x:v>U.S. Bank Stadium</x:v>
      </x:c>
    </x:row>
    <x:row r="928">
      <x:c r="A928" t="str">
        <x:v>2025_07_PHI_MIN</x:v>
      </x:c>
      <x:c r="B928" t="n">
        <x:v>1875</x:v>
      </x:c>
      <x:c r="C928" t="n">
        <x:v>2</x:v>
      </x:c>
      <x:c r="D928" t="str">
        <x:v>00:34</x:v>
      </x:c>
      <x:c r="E928"/>
      <x:c r="F928" t="n">
        <x:v>0</x:v>
      </x:c>
      <x:c r="G928"/>
      <x:c r="H928"/>
      <x:c r="I928"/>
      <x:c r="J928"/>
      <x:c r="K928" t="str">
        <x:v>Timeout #1 by PHI at 00:34.</x:v>
      </x:c>
      <x:c r="L928" t="str">
        <x:v>no_play</x:v>
      </x:c>
      <x:c r="M928" t="n">
        <x:v>0</x:v>
      </x:c>
      <x:c r="N928" t="n">
        <x:v>0</x:v>
      </x:c>
      <x:c r="O928" t="n">
        <x:v>0</x:v>
      </x:c>
      <x:c r="P928"/>
      <x:c r="Q928"/>
      <x:c r="R928"/>
      <x:c r="S928"/>
      <x:c r="T928"/>
      <x:c r="U928"/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/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f>_xlfn.XLOOKUP($A928,Games!$A$2:$A$18,Games!$B$2:$B$18,"Missing game",0)</x:f>
        <x:v>2025</x:v>
      </x:c>
      <x:c r="AH928" t="str">
        <x:f>_xlfn.XLOOKUP($A928,Games!$A$2:$A$18,Games!$C$2:$C$18,"Missing game",0)</x:f>
        <x:v>REG</x:v>
      </x:c>
      <x:c r="AI928" t="n">
        <x:f>_xlfn.XLOOKUP($A928,Games!$A$2:$A$18,Games!$D$2:$D$18,"Missing game",0)</x:f>
        <x:v>7</x:v>
      </x:c>
      <x:c r="AJ928" s="1" t="n">
        <x:f>_xlfn.XLOOKUP($A928,Games!$A$2:$A$18,Games!$E$2:$E$18,"Missing game",0)</x:f>
        <x:v>45949</x:v>
      </x:c>
      <x:c r="AK928" t="str">
        <x:f>_xlfn.XLOOKUP($A928,Games!$A$2:$A$18,Games!$F$2:$F$18,"Missing game",0)</x:f>
        <x:v>Sunday</x:v>
      </x:c>
      <x:c r="AL928" t="str">
        <x:f>_xlfn.XLOOKUP($A928,Games!$A$2:$A$18,Games!$G$2:$G$18,"Missing game",0)</x:f>
        <x:v>PHI</x:v>
      </x:c>
      <x:c r="AM928" t="n">
        <x:f>_xlfn.XLOOKUP($A928,Games!$A$2:$A$18,Games!$H$2:$H$18,"Missing game",0)</x:f>
        <x:v>28</x:v>
      </x:c>
      <x:c r="AN928" t="str">
        <x:f>_xlfn.XLOOKUP($A928,Games!$A$2:$A$18,Games!$I$2:$I$18,"Missing game",0)</x:f>
        <x:v>MIN</x:v>
      </x:c>
      <x:c r="AO928" t="n">
        <x:f>_xlfn.XLOOKUP($A928,Games!$A$2:$A$18,Games!$J$2:$J$18,"Missing game",0)</x:f>
        <x:v>22</x:v>
      </x:c>
      <x:c r="AP928" t="n">
        <x:f>_xlfn.XLOOKUP($A928,Games!$A$2:$A$18,Games!$K$2:$K$18,"Missing game",0)</x:f>
        <x:v>-6</x:v>
      </x:c>
      <x:c r="AQ928" t="n">
        <x:f>_xlfn.XLOOKUP($A928,Games!$A$2:$A$18,Games!$L$2:$L$18,"Missing game",0)</x:f>
        <x:v>50</x:v>
      </x:c>
      <x:c r="AR928" t="n">
        <x:f>_xlfn.XLOOKUP($A928,Games!$A$2:$A$18,Games!$M$2:$M$18,"Missing game",0)</x:f>
        <x:v>0</x:v>
      </x:c>
      <x:c r="AS928" t="str">
        <x:f>_xlfn.XLOOKUP($A928,Games!$A$2:$A$18,Games!$N$2:$N$18,"Missing game",0)</x:f>
        <x:v>dome</x:v>
      </x:c>
      <x:c r="AT928" t="str">
        <x:f>_xlfn.XLOOKUP($A928,Games!$A$2:$A$18,Games!$O$2:$O$18,"Missing game",0)</x:f>
        <x:v>sportturf</x:v>
      </x:c>
      <x:c r="AU928" t="str">
        <x:f>_xlfn.XLOOKUP($A928,Games!$A$2:$A$18,Games!$P$2:$P$18,"Missing game",0)</x:f>
      </x:c>
      <x:c r="AV928" t="str">
        <x:f>_xlfn.XLOOKUP($A928,Games!$A$2:$A$18,Games!$Q$2:$Q$18,"Missing game",0)</x:f>
      </x:c>
      <x:c r="AW928" t="str">
        <x:f>_xlfn.XLOOKUP($A928,Games!$A$2:$A$18,Games!$R$2:$R$18,"Missing game",0)</x:f>
        <x:v>U.S. Bank Stadium</x:v>
      </x:c>
    </x:row>
    <x:row r="929">
      <x:c r="A929" t="str">
        <x:v>2025_07_PHI_MIN</x:v>
      </x:c>
      <x:c r="B929" t="n">
        <x:v>1893</x:v>
      </x:c>
      <x:c r="C929" t="n">
        <x:v>2</x:v>
      </x:c>
      <x:c r="D929" t="str">
        <x:v>00:29</x:v>
      </x:c>
      <x:c r="E929" t="n">
        <x:v>2</x:v>
      </x:c>
      <x:c r="F929" t="n">
        <x:v>10</x:v>
      </x:c>
      <x:c r="G929" t="str">
        <x:v>PHI</x:v>
      </x:c>
      <x:c r="H929" t="str">
        <x:v>MIN</x:v>
      </x:c>
      <x:c r="I929" t="str">
        <x:v>PHI</x:v>
      </x:c>
      <x:c r="J929" t="n">
        <x:v>62</x:v>
      </x:c>
      <x:c r="K929" t="str">
        <x:v>(:29) (Shotgun) 1-J.Hurts sacked at PHI 35 for -3 yards (sack split by 15-D.Turner and 93-J.Allen).</x:v>
      </x:c>
      <x:c r="L929" t="str">
        <x:v>pass</x:v>
      </x:c>
      <x:c r="M929" t="n">
        <x:v>-3</x:v>
      </x:c>
      <x:c r="N929" t="n">
        <x:v>1</x:v>
      </x:c>
      <x:c r="O929" t="n">
        <x:v>0</x:v>
      </x:c>
      <x:c r="P929"/>
      <x:c r="Q929"/>
      <x:c r="R929"/>
      <x:c r="S929"/>
      <x:c r="T929"/>
      <x:c r="U929"/>
      <x:c r="V929" t="n">
        <x:v>0</x:v>
      </x:c>
      <x:c r="W929" t="n">
        <x:v>0</x:v>
      </x:c>
      <x:c r="X929" t="n">
        <x:v>1</x:v>
      </x:c>
      <x:c r="Y929" t="n">
        <x:v>0</x:v>
      </x:c>
      <x:c r="Z929" t="n">
        <x:v>0</x:v>
      </x:c>
      <x:c r="AA929" t="n">
        <x:v>0</x:v>
      </x:c>
      <x:c r="AB929"/>
      <x:c r="AC929" t="n">
        <x:v>0</x:v>
      </x:c>
      <x:c r="AD929" t="n">
        <x:v>-0.7837268783478066</x:v>
      </x:c>
      <x:c r="AE929" t="n">
        <x:v>0</x:v>
      </x:c>
      <x:c r="AF929" t="n">
        <x:v>-0.03671090304851532</x:v>
      </x:c>
      <x:c r="AG929" t="n">
        <x:f>_xlfn.XLOOKUP($A929,Games!$A$2:$A$18,Games!$B$2:$B$18,"Missing game",0)</x:f>
        <x:v>2025</x:v>
      </x:c>
      <x:c r="AH929" t="str">
        <x:f>_xlfn.XLOOKUP($A929,Games!$A$2:$A$18,Games!$C$2:$C$18,"Missing game",0)</x:f>
        <x:v>REG</x:v>
      </x:c>
      <x:c r="AI929" t="n">
        <x:f>_xlfn.XLOOKUP($A929,Games!$A$2:$A$18,Games!$D$2:$D$18,"Missing game",0)</x:f>
        <x:v>7</x:v>
      </x:c>
      <x:c r="AJ929" s="1" t="n">
        <x:f>_xlfn.XLOOKUP($A929,Games!$A$2:$A$18,Games!$E$2:$E$18,"Missing game",0)</x:f>
        <x:v>45949</x:v>
      </x:c>
      <x:c r="AK929" t="str">
        <x:f>_xlfn.XLOOKUP($A929,Games!$A$2:$A$18,Games!$F$2:$F$18,"Missing game",0)</x:f>
        <x:v>Sunday</x:v>
      </x:c>
      <x:c r="AL929" t="str">
        <x:f>_xlfn.XLOOKUP($A929,Games!$A$2:$A$18,Games!$G$2:$G$18,"Missing game",0)</x:f>
        <x:v>PHI</x:v>
      </x:c>
      <x:c r="AM929" t="n">
        <x:f>_xlfn.XLOOKUP($A929,Games!$A$2:$A$18,Games!$H$2:$H$18,"Missing game",0)</x:f>
        <x:v>28</x:v>
      </x:c>
      <x:c r="AN929" t="str">
        <x:f>_xlfn.XLOOKUP($A929,Games!$A$2:$A$18,Games!$I$2:$I$18,"Missing game",0)</x:f>
        <x:v>MIN</x:v>
      </x:c>
      <x:c r="AO929" t="n">
        <x:f>_xlfn.XLOOKUP($A929,Games!$A$2:$A$18,Games!$J$2:$J$18,"Missing game",0)</x:f>
        <x:v>22</x:v>
      </x:c>
      <x:c r="AP929" t="n">
        <x:f>_xlfn.XLOOKUP($A929,Games!$A$2:$A$18,Games!$K$2:$K$18,"Missing game",0)</x:f>
        <x:v>-6</x:v>
      </x:c>
      <x:c r="AQ929" t="n">
        <x:f>_xlfn.XLOOKUP($A929,Games!$A$2:$A$18,Games!$L$2:$L$18,"Missing game",0)</x:f>
        <x:v>50</x:v>
      </x:c>
      <x:c r="AR929" t="n">
        <x:f>_xlfn.XLOOKUP($A929,Games!$A$2:$A$18,Games!$M$2:$M$18,"Missing game",0)</x:f>
        <x:v>0</x:v>
      </x:c>
      <x:c r="AS929" t="str">
        <x:f>_xlfn.XLOOKUP($A929,Games!$A$2:$A$18,Games!$N$2:$N$18,"Missing game",0)</x:f>
        <x:v>dome</x:v>
      </x:c>
      <x:c r="AT929" t="str">
        <x:f>_xlfn.XLOOKUP($A929,Games!$A$2:$A$18,Games!$O$2:$O$18,"Missing game",0)</x:f>
        <x:v>sportturf</x:v>
      </x:c>
      <x:c r="AU929" t="str">
        <x:f>_xlfn.XLOOKUP($A929,Games!$A$2:$A$18,Games!$P$2:$P$18,"Missing game",0)</x:f>
      </x:c>
      <x:c r="AV929" t="str">
        <x:f>_xlfn.XLOOKUP($A929,Games!$A$2:$A$18,Games!$Q$2:$Q$18,"Missing game",0)</x:f>
      </x:c>
      <x:c r="AW929" t="str">
        <x:f>_xlfn.XLOOKUP($A929,Games!$A$2:$A$18,Games!$R$2:$R$18,"Missing game",0)</x:f>
        <x:v>U.S. Bank Stadium</x:v>
      </x:c>
    </x:row>
    <x:row r="930">
      <x:c r="A930" t="str">
        <x:v>2025_07_PHI_MIN</x:v>
      </x:c>
      <x:c r="B930" t="n">
        <x:v>1913</x:v>
      </x:c>
      <x:c r="C930" t="n">
        <x:v>2</x:v>
      </x:c>
      <x:c r="D930" t="str">
        <x:v>00:00</x:v>
      </x:c>
      <x:c r="E930"/>
      <x:c r="F930" t="n">
        <x:v>0</x:v>
      </x:c>
      <x:c r="G930"/>
      <x:c r="H930"/>
      <x:c r="I930"/>
      <x:c r="J930"/>
      <x:c r="K930" t="str">
        <x:v>END QUARTER 2</x:v>
      </x:c>
      <x:c r="L930"/>
      <x:c r="M930"/>
      <x:c r="N930" t="n">
        <x:v>0</x:v>
      </x:c>
      <x:c r="O930" t="n">
        <x:v>0</x:v>
      </x:c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 t="n">
        <x:v>0</x:v>
      </x:c>
      <x:c r="AG930" t="n">
        <x:f>_xlfn.XLOOKUP($A930,Games!$A$2:$A$18,Games!$B$2:$B$18,"Missing game",0)</x:f>
        <x:v>2025</x:v>
      </x:c>
      <x:c r="AH930" t="str">
        <x:f>_xlfn.XLOOKUP($A930,Games!$A$2:$A$18,Games!$C$2:$C$18,"Missing game",0)</x:f>
        <x:v>REG</x:v>
      </x:c>
      <x:c r="AI930" t="n">
        <x:f>_xlfn.XLOOKUP($A930,Games!$A$2:$A$18,Games!$D$2:$D$18,"Missing game",0)</x:f>
        <x:v>7</x:v>
      </x:c>
      <x:c r="AJ930" s="1" t="n">
        <x:f>_xlfn.XLOOKUP($A930,Games!$A$2:$A$18,Games!$E$2:$E$18,"Missing game",0)</x:f>
        <x:v>45949</x:v>
      </x:c>
      <x:c r="AK930" t="str">
        <x:f>_xlfn.XLOOKUP($A930,Games!$A$2:$A$18,Games!$F$2:$F$18,"Missing game",0)</x:f>
        <x:v>Sunday</x:v>
      </x:c>
      <x:c r="AL930" t="str">
        <x:f>_xlfn.XLOOKUP($A930,Games!$A$2:$A$18,Games!$G$2:$G$18,"Missing game",0)</x:f>
        <x:v>PHI</x:v>
      </x:c>
      <x:c r="AM930" t="n">
        <x:f>_xlfn.XLOOKUP($A930,Games!$A$2:$A$18,Games!$H$2:$H$18,"Missing game",0)</x:f>
        <x:v>28</x:v>
      </x:c>
      <x:c r="AN930" t="str">
        <x:f>_xlfn.XLOOKUP($A930,Games!$A$2:$A$18,Games!$I$2:$I$18,"Missing game",0)</x:f>
        <x:v>MIN</x:v>
      </x:c>
      <x:c r="AO930" t="n">
        <x:f>_xlfn.XLOOKUP($A930,Games!$A$2:$A$18,Games!$J$2:$J$18,"Missing game",0)</x:f>
        <x:v>22</x:v>
      </x:c>
      <x:c r="AP930" t="n">
        <x:f>_xlfn.XLOOKUP($A930,Games!$A$2:$A$18,Games!$K$2:$K$18,"Missing game",0)</x:f>
        <x:v>-6</x:v>
      </x:c>
      <x:c r="AQ930" t="n">
        <x:f>_xlfn.XLOOKUP($A930,Games!$A$2:$A$18,Games!$L$2:$L$18,"Missing game",0)</x:f>
        <x:v>50</x:v>
      </x:c>
      <x:c r="AR930" t="n">
        <x:f>_xlfn.XLOOKUP($A930,Games!$A$2:$A$18,Games!$M$2:$M$18,"Missing game",0)</x:f>
        <x:v>0</x:v>
      </x:c>
      <x:c r="AS930" t="str">
        <x:f>_xlfn.XLOOKUP($A930,Games!$A$2:$A$18,Games!$N$2:$N$18,"Missing game",0)</x:f>
        <x:v>dome</x:v>
      </x:c>
      <x:c r="AT930" t="str">
        <x:f>_xlfn.XLOOKUP($A930,Games!$A$2:$A$18,Games!$O$2:$O$18,"Missing game",0)</x:f>
        <x:v>sportturf</x:v>
      </x:c>
      <x:c r="AU930" t="str">
        <x:f>_xlfn.XLOOKUP($A930,Games!$A$2:$A$18,Games!$P$2:$P$18,"Missing game",0)</x:f>
      </x:c>
      <x:c r="AV930" t="str">
        <x:f>_xlfn.XLOOKUP($A930,Games!$A$2:$A$18,Games!$Q$2:$Q$18,"Missing game",0)</x:f>
      </x:c>
      <x:c r="AW930" t="str">
        <x:f>_xlfn.XLOOKUP($A930,Games!$A$2:$A$18,Games!$R$2:$R$18,"Missing game",0)</x:f>
        <x:v>U.S. Bank Stadium</x:v>
      </x:c>
    </x:row>
    <x:row r="931">
      <x:c r="A931" t="str">
        <x:v>2025_07_PHI_MIN</x:v>
      </x:c>
      <x:c r="B931" t="n">
        <x:v>1933</x:v>
      </x:c>
      <x:c r="C931" t="n">
        <x:v>3</x:v>
      </x:c>
      <x:c r="D931" t="str">
        <x:v>15:00</x:v>
      </x:c>
      <x:c r="E931"/>
      <x:c r="F931" t="n">
        <x:v>0</x:v>
      </x:c>
      <x:c r="G931" t="str">
        <x:v>MIN</x:v>
      </x:c>
      <x:c r="H931" t="str">
        <x:v>PHI</x:v>
      </x:c>
      <x:c r="I931" t="str">
        <x:v>PHI</x:v>
      </x:c>
      <x:c r="J931" t="n">
        <x:v>35</x:v>
      </x:c>
      <x:c r="K931" t="str">
        <x:v>4-J.Elliott kicks 55 yards from PHI 35 to MIN 10. 4-M.Price pushed ob at MIN 48 for 38 yards (33-C.DeJean).</x:v>
      </x:c>
      <x:c r="L931" t="str">
        <x:v>kickoff</x:v>
      </x:c>
      <x:c r="M931" t="n">
        <x:v>0</x:v>
      </x:c>
      <x:c r="N931" t="n">
        <x:v>0</x:v>
      </x:c>
      <x:c r="O931" t="n">
        <x:v>0</x:v>
      </x:c>
      <x:c r="P931"/>
      <x:c r="Q931"/>
      <x:c r="R931"/>
      <x:c r="S931"/>
      <x:c r="T931"/>
      <x:c r="U931"/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/>
      <x:c r="AC931" t="n">
        <x:v>0</x:v>
      </x:c>
      <x:c r="AD931" t="n">
        <x:v>1.3455987581983209</x:v>
      </x:c>
      <x:c r="AE931" t="n">
        <x:v>1</x:v>
      </x:c>
      <x:c r="AF931" t="n">
        <x:v>0.04124675691127777</x:v>
      </x:c>
      <x:c r="AG931" t="n">
        <x:f>_xlfn.XLOOKUP($A931,Games!$A$2:$A$18,Games!$B$2:$B$18,"Missing game",0)</x:f>
        <x:v>2025</x:v>
      </x:c>
      <x:c r="AH931" t="str">
        <x:f>_xlfn.XLOOKUP($A931,Games!$A$2:$A$18,Games!$C$2:$C$18,"Missing game",0)</x:f>
        <x:v>REG</x:v>
      </x:c>
      <x:c r="AI931" t="n">
        <x:f>_xlfn.XLOOKUP($A931,Games!$A$2:$A$18,Games!$D$2:$D$18,"Missing game",0)</x:f>
        <x:v>7</x:v>
      </x:c>
      <x:c r="AJ931" s="1" t="n">
        <x:f>_xlfn.XLOOKUP($A931,Games!$A$2:$A$18,Games!$E$2:$E$18,"Missing game",0)</x:f>
        <x:v>45949</x:v>
      </x:c>
      <x:c r="AK931" t="str">
        <x:f>_xlfn.XLOOKUP($A931,Games!$A$2:$A$18,Games!$F$2:$F$18,"Missing game",0)</x:f>
        <x:v>Sunday</x:v>
      </x:c>
      <x:c r="AL931" t="str">
        <x:f>_xlfn.XLOOKUP($A931,Games!$A$2:$A$18,Games!$G$2:$G$18,"Missing game",0)</x:f>
        <x:v>PHI</x:v>
      </x:c>
      <x:c r="AM931" t="n">
        <x:f>_xlfn.XLOOKUP($A931,Games!$A$2:$A$18,Games!$H$2:$H$18,"Missing game",0)</x:f>
        <x:v>28</x:v>
      </x:c>
      <x:c r="AN931" t="str">
        <x:f>_xlfn.XLOOKUP($A931,Games!$A$2:$A$18,Games!$I$2:$I$18,"Missing game",0)</x:f>
        <x:v>MIN</x:v>
      </x:c>
      <x:c r="AO931" t="n">
        <x:f>_xlfn.XLOOKUP($A931,Games!$A$2:$A$18,Games!$J$2:$J$18,"Missing game",0)</x:f>
        <x:v>22</x:v>
      </x:c>
      <x:c r="AP931" t="n">
        <x:f>_xlfn.XLOOKUP($A931,Games!$A$2:$A$18,Games!$K$2:$K$18,"Missing game",0)</x:f>
        <x:v>-6</x:v>
      </x:c>
      <x:c r="AQ931" t="n">
        <x:f>_xlfn.XLOOKUP($A931,Games!$A$2:$A$18,Games!$L$2:$L$18,"Missing game",0)</x:f>
        <x:v>50</x:v>
      </x:c>
      <x:c r="AR931" t="n">
        <x:f>_xlfn.XLOOKUP($A931,Games!$A$2:$A$18,Games!$M$2:$M$18,"Missing game",0)</x:f>
        <x:v>0</x:v>
      </x:c>
      <x:c r="AS931" t="str">
        <x:f>_xlfn.XLOOKUP($A931,Games!$A$2:$A$18,Games!$N$2:$N$18,"Missing game",0)</x:f>
        <x:v>dome</x:v>
      </x:c>
      <x:c r="AT931" t="str">
        <x:f>_xlfn.XLOOKUP($A931,Games!$A$2:$A$18,Games!$O$2:$O$18,"Missing game",0)</x:f>
        <x:v>sportturf</x:v>
      </x:c>
      <x:c r="AU931" t="str">
        <x:f>_xlfn.XLOOKUP($A931,Games!$A$2:$A$18,Games!$P$2:$P$18,"Missing game",0)</x:f>
      </x:c>
      <x:c r="AV931" t="str">
        <x:f>_xlfn.XLOOKUP($A931,Games!$A$2:$A$18,Games!$Q$2:$Q$18,"Missing game",0)</x:f>
      </x:c>
      <x:c r="AW931" t="str">
        <x:f>_xlfn.XLOOKUP($A931,Games!$A$2:$A$18,Games!$R$2:$R$18,"Missing game",0)</x:f>
        <x:v>U.S. Bank Stadium</x:v>
      </x:c>
    </x:row>
    <x:row r="932">
      <x:c r="A932" t="str">
        <x:v>2025_07_PHI_MIN</x:v>
      </x:c>
      <x:c r="B932" t="n">
        <x:v>1961</x:v>
      </x:c>
      <x:c r="C932" t="n">
        <x:v>3</x:v>
      </x:c>
      <x:c r="D932" t="str">
        <x:v>14:50</x:v>
      </x:c>
      <x:c r="E932" t="n">
        <x:v>1</x:v>
      </x:c>
      <x:c r="F932" t="n">
        <x:v>10</x:v>
      </x:c>
      <x:c r="G932" t="str">
        <x:v>MIN</x:v>
      </x:c>
      <x:c r="H932" t="str">
        <x:v>PHI</x:v>
      </x:c>
      <x:c r="I932" t="str">
        <x:v>MIN</x:v>
      </x:c>
      <x:c r="J932" t="n">
        <x:v>52</x:v>
      </x:c>
      <x:c r="K932" t="str">
        <x:v>(14:50) 27-J.Mason left tackle to PHI 45 for 7 yards (58-J.Hunt; 17-N.Dean).</x:v>
      </x:c>
      <x:c r="L932" t="str">
        <x:v>run</x:v>
      </x:c>
      <x:c r="M932" t="n">
        <x:v>7</x:v>
      </x:c>
      <x:c r="N932" t="n">
        <x:v>0</x:v>
      </x:c>
      <x:c r="O932" t="n">
        <x:v>0</x:v>
      </x:c>
      <x:c r="P932"/>
      <x:c r="Q932"/>
      <x:c r="R932"/>
      <x:c r="S932"/>
      <x:c r="T932" t="str">
        <x:v>left</x:v>
      </x:c>
      <x:c r="U932" t="str">
        <x:v>tackle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/>
      <x:c r="AC932" t="n">
        <x:v>0</x:v>
      </x:c>
      <x:c r="AD932" t="n">
        <x:v>0.2523503047414124</x:v>
      </x:c>
      <x:c r="AE932" t="n">
        <x:v>1</x:v>
      </x:c>
      <x:c r="AF932" t="n">
        <x:v>0.01067662239074707</x:v>
      </x:c>
      <x:c r="AG932" t="n">
        <x:f>_xlfn.XLOOKUP($A932,Games!$A$2:$A$18,Games!$B$2:$B$18,"Missing game",0)</x:f>
        <x:v>2025</x:v>
      </x:c>
      <x:c r="AH932" t="str">
        <x:f>_xlfn.XLOOKUP($A932,Games!$A$2:$A$18,Games!$C$2:$C$18,"Missing game",0)</x:f>
        <x:v>REG</x:v>
      </x:c>
      <x:c r="AI932" t="n">
        <x:f>_xlfn.XLOOKUP($A932,Games!$A$2:$A$18,Games!$D$2:$D$18,"Missing game",0)</x:f>
        <x:v>7</x:v>
      </x:c>
      <x:c r="AJ932" s="1" t="n">
        <x:f>_xlfn.XLOOKUP($A932,Games!$A$2:$A$18,Games!$E$2:$E$18,"Missing game",0)</x:f>
        <x:v>45949</x:v>
      </x:c>
      <x:c r="AK932" t="str">
        <x:f>_xlfn.XLOOKUP($A932,Games!$A$2:$A$18,Games!$F$2:$F$18,"Missing game",0)</x:f>
        <x:v>Sunday</x:v>
      </x:c>
      <x:c r="AL932" t="str">
        <x:f>_xlfn.XLOOKUP($A932,Games!$A$2:$A$18,Games!$G$2:$G$18,"Missing game",0)</x:f>
        <x:v>PHI</x:v>
      </x:c>
      <x:c r="AM932" t="n">
        <x:f>_xlfn.XLOOKUP($A932,Games!$A$2:$A$18,Games!$H$2:$H$18,"Missing game",0)</x:f>
        <x:v>28</x:v>
      </x:c>
      <x:c r="AN932" t="str">
        <x:f>_xlfn.XLOOKUP($A932,Games!$A$2:$A$18,Games!$I$2:$I$18,"Missing game",0)</x:f>
        <x:v>MIN</x:v>
      </x:c>
      <x:c r="AO932" t="n">
        <x:f>_xlfn.XLOOKUP($A932,Games!$A$2:$A$18,Games!$J$2:$J$18,"Missing game",0)</x:f>
        <x:v>22</x:v>
      </x:c>
      <x:c r="AP932" t="n">
        <x:f>_xlfn.XLOOKUP($A932,Games!$A$2:$A$18,Games!$K$2:$K$18,"Missing game",0)</x:f>
        <x:v>-6</x:v>
      </x:c>
      <x:c r="AQ932" t="n">
        <x:f>_xlfn.XLOOKUP($A932,Games!$A$2:$A$18,Games!$L$2:$L$18,"Missing game",0)</x:f>
        <x:v>50</x:v>
      </x:c>
      <x:c r="AR932" t="n">
        <x:f>_xlfn.XLOOKUP($A932,Games!$A$2:$A$18,Games!$M$2:$M$18,"Missing game",0)</x:f>
        <x:v>0</x:v>
      </x:c>
      <x:c r="AS932" t="str">
        <x:f>_xlfn.XLOOKUP($A932,Games!$A$2:$A$18,Games!$N$2:$N$18,"Missing game",0)</x:f>
        <x:v>dome</x:v>
      </x:c>
      <x:c r="AT932" t="str">
        <x:f>_xlfn.XLOOKUP($A932,Games!$A$2:$A$18,Games!$O$2:$O$18,"Missing game",0)</x:f>
        <x:v>sportturf</x:v>
      </x:c>
      <x:c r="AU932" t="str">
        <x:f>_xlfn.XLOOKUP($A932,Games!$A$2:$A$18,Games!$P$2:$P$18,"Missing game",0)</x:f>
      </x:c>
      <x:c r="AV932" t="str">
        <x:f>_xlfn.XLOOKUP($A932,Games!$A$2:$A$18,Games!$Q$2:$Q$18,"Missing game",0)</x:f>
      </x:c>
      <x:c r="AW932" t="str">
        <x:f>_xlfn.XLOOKUP($A932,Games!$A$2:$A$18,Games!$R$2:$R$18,"Missing game",0)</x:f>
        <x:v>U.S. Bank Stadium</x:v>
      </x:c>
    </x:row>
    <x:row r="933">
      <x:c r="A933" t="str">
        <x:v>2025_07_PHI_MIN</x:v>
      </x:c>
      <x:c r="B933" t="n">
        <x:v>1983</x:v>
      </x:c>
      <x:c r="C933" t="n">
        <x:v>3</x:v>
      </x:c>
      <x:c r="D933" t="str">
        <x:v>14:08</x:v>
      </x:c>
      <x:c r="E933" t="n">
        <x:v>2</x:v>
      </x:c>
      <x:c r="F933" t="n">
        <x:v>3</x:v>
      </x:c>
      <x:c r="G933" t="str">
        <x:v>MIN</x:v>
      </x:c>
      <x:c r="H933" t="str">
        <x:v>PHI</x:v>
      </x:c>
      <x:c r="I933" t="str">
        <x:v>PHI</x:v>
      </x:c>
      <x:c r="J933" t="n">
        <x:v>45</x:v>
      </x:c>
      <x:c r="K933" t="str">
        <x:v>(14:08) 27-J.Mason right end to PHI 33 for 12 yards (32-R.Blankenship; 17-N.Dean).</x:v>
      </x:c>
      <x:c r="L933" t="str">
        <x:v>run</x:v>
      </x:c>
      <x:c r="M933" t="n">
        <x:v>12</x:v>
      </x:c>
      <x:c r="N933" t="n">
        <x:v>0</x:v>
      </x:c>
      <x:c r="O933" t="n">
        <x:v>0</x:v>
      </x:c>
      <x:c r="P933"/>
      <x:c r="Q933"/>
      <x:c r="R933"/>
      <x:c r="S933"/>
      <x:c r="T933" t="str">
        <x:v>right</x:v>
      </x:c>
      <x:c r="U933" t="str">
        <x:v>end</x:v>
      </x:c>
      <x:c r="V933" t="n">
        <x:v>0</x:v>
      </x:c>
      <x:c r="W933" t="n">
        <x:v>1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/>
      <x:c r="AC933" t="n">
        <x:v>0</x:v>
      </x:c>
      <x:c r="AD933" t="n">
        <x:v>0.8477116143330932</x:v>
      </x:c>
      <x:c r="AE933" t="n">
        <x:v>1</x:v>
      </x:c>
      <x:c r="AF933" t="n">
        <x:v>0.0050370097160339355</x:v>
      </x:c>
      <x:c r="AG933" t="n">
        <x:f>_xlfn.XLOOKUP($A933,Games!$A$2:$A$18,Games!$B$2:$B$18,"Missing game",0)</x:f>
        <x:v>2025</x:v>
      </x:c>
      <x:c r="AH933" t="str">
        <x:f>_xlfn.XLOOKUP($A933,Games!$A$2:$A$18,Games!$C$2:$C$18,"Missing game",0)</x:f>
        <x:v>REG</x:v>
      </x:c>
      <x:c r="AI933" t="n">
        <x:f>_xlfn.XLOOKUP($A933,Games!$A$2:$A$18,Games!$D$2:$D$18,"Missing game",0)</x:f>
        <x:v>7</x:v>
      </x:c>
      <x:c r="AJ933" s="1" t="n">
        <x:f>_xlfn.XLOOKUP($A933,Games!$A$2:$A$18,Games!$E$2:$E$18,"Missing game",0)</x:f>
        <x:v>45949</x:v>
      </x:c>
      <x:c r="AK933" t="str">
        <x:f>_xlfn.XLOOKUP($A933,Games!$A$2:$A$18,Games!$F$2:$F$18,"Missing game",0)</x:f>
        <x:v>Sunday</x:v>
      </x:c>
      <x:c r="AL933" t="str">
        <x:f>_xlfn.XLOOKUP($A933,Games!$A$2:$A$18,Games!$G$2:$G$18,"Missing game",0)</x:f>
        <x:v>PHI</x:v>
      </x:c>
      <x:c r="AM933" t="n">
        <x:f>_xlfn.XLOOKUP($A933,Games!$A$2:$A$18,Games!$H$2:$H$18,"Missing game",0)</x:f>
        <x:v>28</x:v>
      </x:c>
      <x:c r="AN933" t="str">
        <x:f>_xlfn.XLOOKUP($A933,Games!$A$2:$A$18,Games!$I$2:$I$18,"Missing game",0)</x:f>
        <x:v>MIN</x:v>
      </x:c>
      <x:c r="AO933" t="n">
        <x:f>_xlfn.XLOOKUP($A933,Games!$A$2:$A$18,Games!$J$2:$J$18,"Missing game",0)</x:f>
        <x:v>22</x:v>
      </x:c>
      <x:c r="AP933" t="n">
        <x:f>_xlfn.XLOOKUP($A933,Games!$A$2:$A$18,Games!$K$2:$K$18,"Missing game",0)</x:f>
        <x:v>-6</x:v>
      </x:c>
      <x:c r="AQ933" t="n">
        <x:f>_xlfn.XLOOKUP($A933,Games!$A$2:$A$18,Games!$L$2:$L$18,"Missing game",0)</x:f>
        <x:v>50</x:v>
      </x:c>
      <x:c r="AR933" t="n">
        <x:f>_xlfn.XLOOKUP($A933,Games!$A$2:$A$18,Games!$M$2:$M$18,"Missing game",0)</x:f>
        <x:v>0</x:v>
      </x:c>
      <x:c r="AS933" t="str">
        <x:f>_xlfn.XLOOKUP($A933,Games!$A$2:$A$18,Games!$N$2:$N$18,"Missing game",0)</x:f>
        <x:v>dome</x:v>
      </x:c>
      <x:c r="AT933" t="str">
        <x:f>_xlfn.XLOOKUP($A933,Games!$A$2:$A$18,Games!$O$2:$O$18,"Missing game",0)</x:f>
        <x:v>sportturf</x:v>
      </x:c>
      <x:c r="AU933" t="str">
        <x:f>_xlfn.XLOOKUP($A933,Games!$A$2:$A$18,Games!$P$2:$P$18,"Missing game",0)</x:f>
      </x:c>
      <x:c r="AV933" t="str">
        <x:f>_xlfn.XLOOKUP($A933,Games!$A$2:$A$18,Games!$Q$2:$Q$18,"Missing game",0)</x:f>
      </x:c>
      <x:c r="AW933" t="str">
        <x:f>_xlfn.XLOOKUP($A933,Games!$A$2:$A$18,Games!$R$2:$R$18,"Missing game",0)</x:f>
        <x:v>U.S. Bank Stadium</x:v>
      </x:c>
    </x:row>
    <x:row r="934">
      <x:c r="A934" t="str">
        <x:v>2025_07_PHI_MIN</x:v>
      </x:c>
      <x:c r="B934" t="n">
        <x:v>2005</x:v>
      </x:c>
      <x:c r="C934" t="n">
        <x:v>3</x:v>
      </x:c>
      <x:c r="D934" t="str">
        <x:v>13:22</x:v>
      </x:c>
      <x:c r="E934" t="n">
        <x:v>1</x:v>
      </x:c>
      <x:c r="F934" t="n">
        <x:v>10</x:v>
      </x:c>
      <x:c r="G934" t="str">
        <x:v>MIN</x:v>
      </x:c>
      <x:c r="H934" t="str">
        <x:v>PHI</x:v>
      </x:c>
      <x:c r="I934" t="str">
        <x:v>PHI</x:v>
      </x:c>
      <x:c r="J934" t="n">
        <x:v>33</x:v>
      </x:c>
      <x:c r="K934" t="str">
        <x:v>(13:22) 11-C.Wentz pass short right to 30-C.Ham to PHI 28 for 5 yards (53-Z.Baun).</x:v>
      </x:c>
      <x:c r="L934" t="str">
        <x:v>pass</x:v>
      </x:c>
      <x:c r="M934" t="n">
        <x:v>5</x:v>
      </x:c>
      <x:c r="N934" t="n">
        <x:v>0</x:v>
      </x:c>
      <x:c r="O934" t="n">
        <x:v>0</x:v>
      </x:c>
      <x:c r="P934" t="str">
        <x:v>short</x:v>
      </x:c>
      <x:c r="Q934" t="str">
        <x:v>right</x:v>
      </x:c>
      <x:c r="R934" t="n">
        <x:v>4</x:v>
      </x:c>
      <x:c r="S934" t="n">
        <x:v>1</x:v>
      </x:c>
      <x:c r="T934"/>
      <x:c r="U934"/>
      <x:c r="V934" t="n">
        <x:v>1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/>
      <x:c r="AC934" t="n">
        <x:v>0</x:v>
      </x:c>
      <x:c r="AD934" t="n">
        <x:v>0.08496018312871456</x:v>
      </x:c>
      <x:c r="AE934" t="n">
        <x:v>1</x:v>
      </x:c>
      <x:c r="AF934" t="n">
        <x:v>0.004845291376113892</x:v>
      </x:c>
      <x:c r="AG934" t="n">
        <x:f>_xlfn.XLOOKUP($A934,Games!$A$2:$A$18,Games!$B$2:$B$18,"Missing game",0)</x:f>
        <x:v>2025</x:v>
      </x:c>
      <x:c r="AH934" t="str">
        <x:f>_xlfn.XLOOKUP($A934,Games!$A$2:$A$18,Games!$C$2:$C$18,"Missing game",0)</x:f>
        <x:v>REG</x:v>
      </x:c>
      <x:c r="AI934" t="n">
        <x:f>_xlfn.XLOOKUP($A934,Games!$A$2:$A$18,Games!$D$2:$D$18,"Missing game",0)</x:f>
        <x:v>7</x:v>
      </x:c>
      <x:c r="AJ934" s="1" t="n">
        <x:f>_xlfn.XLOOKUP($A934,Games!$A$2:$A$18,Games!$E$2:$E$18,"Missing game",0)</x:f>
        <x:v>45949</x:v>
      </x:c>
      <x:c r="AK934" t="str">
        <x:f>_xlfn.XLOOKUP($A934,Games!$A$2:$A$18,Games!$F$2:$F$18,"Missing game",0)</x:f>
        <x:v>Sunday</x:v>
      </x:c>
      <x:c r="AL934" t="str">
        <x:f>_xlfn.XLOOKUP($A934,Games!$A$2:$A$18,Games!$G$2:$G$18,"Missing game",0)</x:f>
        <x:v>PHI</x:v>
      </x:c>
      <x:c r="AM934" t="n">
        <x:f>_xlfn.XLOOKUP($A934,Games!$A$2:$A$18,Games!$H$2:$H$18,"Missing game",0)</x:f>
        <x:v>28</x:v>
      </x:c>
      <x:c r="AN934" t="str">
        <x:f>_xlfn.XLOOKUP($A934,Games!$A$2:$A$18,Games!$I$2:$I$18,"Missing game",0)</x:f>
        <x:v>MIN</x:v>
      </x:c>
      <x:c r="AO934" t="n">
        <x:f>_xlfn.XLOOKUP($A934,Games!$A$2:$A$18,Games!$J$2:$J$18,"Missing game",0)</x:f>
        <x:v>22</x:v>
      </x:c>
      <x:c r="AP934" t="n">
        <x:f>_xlfn.XLOOKUP($A934,Games!$A$2:$A$18,Games!$K$2:$K$18,"Missing game",0)</x:f>
        <x:v>-6</x:v>
      </x:c>
      <x:c r="AQ934" t="n">
        <x:f>_xlfn.XLOOKUP($A934,Games!$A$2:$A$18,Games!$L$2:$L$18,"Missing game",0)</x:f>
        <x:v>50</x:v>
      </x:c>
      <x:c r="AR934" t="n">
        <x:f>_xlfn.XLOOKUP($A934,Games!$A$2:$A$18,Games!$M$2:$M$18,"Missing game",0)</x:f>
        <x:v>0</x:v>
      </x:c>
      <x:c r="AS934" t="str">
        <x:f>_xlfn.XLOOKUP($A934,Games!$A$2:$A$18,Games!$N$2:$N$18,"Missing game",0)</x:f>
        <x:v>dome</x:v>
      </x:c>
      <x:c r="AT934" t="str">
        <x:f>_xlfn.XLOOKUP($A934,Games!$A$2:$A$18,Games!$O$2:$O$18,"Missing game",0)</x:f>
        <x:v>sportturf</x:v>
      </x:c>
      <x:c r="AU934" t="str">
        <x:f>_xlfn.XLOOKUP($A934,Games!$A$2:$A$18,Games!$P$2:$P$18,"Missing game",0)</x:f>
      </x:c>
      <x:c r="AV934" t="str">
        <x:f>_xlfn.XLOOKUP($A934,Games!$A$2:$A$18,Games!$Q$2:$Q$18,"Missing game",0)</x:f>
      </x:c>
      <x:c r="AW934" t="str">
        <x:f>_xlfn.XLOOKUP($A934,Games!$A$2:$A$18,Games!$R$2:$R$18,"Missing game",0)</x:f>
        <x:v>U.S. Bank Stadium</x:v>
      </x:c>
    </x:row>
    <x:row r="935">
      <x:c r="A935" t="str">
        <x:v>2025_07_PHI_MIN</x:v>
      </x:c>
      <x:c r="B935" t="n">
        <x:v>2030</x:v>
      </x:c>
      <x:c r="C935" t="n">
        <x:v>3</x:v>
      </x:c>
      <x:c r="D935" t="str">
        <x:v>12:38</x:v>
      </x:c>
      <x:c r="E935" t="n">
        <x:v>2</x:v>
      </x:c>
      <x:c r="F935" t="n">
        <x:v>5</x:v>
      </x:c>
      <x:c r="G935" t="str">
        <x:v>MIN</x:v>
      </x:c>
      <x:c r="H935" t="str">
        <x:v>PHI</x:v>
      </x:c>
      <x:c r="I935" t="str">
        <x:v>PHI</x:v>
      </x:c>
      <x:c r="J935" t="n">
        <x:v>28</x:v>
      </x:c>
      <x:c r="K935" t="str">
        <x:v>(12:38) (Shotgun) 11-C.Wentz pass short right to 18-J.Jefferson pushed ob at PHI 24 for 4 yards (30-J.Campbell).</x:v>
      </x:c>
      <x:c r="L935" t="str">
        <x:v>pass</x:v>
      </x:c>
      <x:c r="M935" t="n">
        <x:v>4</x:v>
      </x:c>
      <x:c r="N935" t="n">
        <x:v>1</x:v>
      </x:c>
      <x:c r="O935" t="n">
        <x:v>0</x:v>
      </x:c>
      <x:c r="P935" t="str">
        <x:v>short</x:v>
      </x:c>
      <x:c r="Q935" t="str">
        <x:v>right</x:v>
      </x:c>
      <x:c r="R935" t="n">
        <x:v>3</x:v>
      </x:c>
      <x:c r="S935" t="n">
        <x:v>1</x:v>
      </x:c>
      <x:c r="T935"/>
      <x:c r="U935"/>
      <x:c r="V935" t="n">
        <x:v>1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/>
      <x:c r="AC935" t="n">
        <x:v>0</x:v>
      </x:c>
      <x:c r="AD935" t="n">
        <x:v>0.21832448686473072</x:v>
      </x:c>
      <x:c r="AE935" t="n">
        <x:v>1</x:v>
      </x:c>
      <x:c r="AF935" t="n">
        <x:v>0.014420688152313232</x:v>
      </x:c>
      <x:c r="AG935" t="n">
        <x:f>_xlfn.XLOOKUP($A935,Games!$A$2:$A$18,Games!$B$2:$B$18,"Missing game",0)</x:f>
        <x:v>2025</x:v>
      </x:c>
      <x:c r="AH935" t="str">
        <x:f>_xlfn.XLOOKUP($A935,Games!$A$2:$A$18,Games!$C$2:$C$18,"Missing game",0)</x:f>
        <x:v>REG</x:v>
      </x:c>
      <x:c r="AI935" t="n">
        <x:f>_xlfn.XLOOKUP($A935,Games!$A$2:$A$18,Games!$D$2:$D$18,"Missing game",0)</x:f>
        <x:v>7</x:v>
      </x:c>
      <x:c r="AJ935" s="1" t="n">
        <x:f>_xlfn.XLOOKUP($A935,Games!$A$2:$A$18,Games!$E$2:$E$18,"Missing game",0)</x:f>
        <x:v>45949</x:v>
      </x:c>
      <x:c r="AK935" t="str">
        <x:f>_xlfn.XLOOKUP($A935,Games!$A$2:$A$18,Games!$F$2:$F$18,"Missing game",0)</x:f>
        <x:v>Sunday</x:v>
      </x:c>
      <x:c r="AL935" t="str">
        <x:f>_xlfn.XLOOKUP($A935,Games!$A$2:$A$18,Games!$G$2:$G$18,"Missing game",0)</x:f>
        <x:v>PHI</x:v>
      </x:c>
      <x:c r="AM935" t="n">
        <x:f>_xlfn.XLOOKUP($A935,Games!$A$2:$A$18,Games!$H$2:$H$18,"Missing game",0)</x:f>
        <x:v>28</x:v>
      </x:c>
      <x:c r="AN935" t="str">
        <x:f>_xlfn.XLOOKUP($A935,Games!$A$2:$A$18,Games!$I$2:$I$18,"Missing game",0)</x:f>
        <x:v>MIN</x:v>
      </x:c>
      <x:c r="AO935" t="n">
        <x:f>_xlfn.XLOOKUP($A935,Games!$A$2:$A$18,Games!$J$2:$J$18,"Missing game",0)</x:f>
        <x:v>22</x:v>
      </x:c>
      <x:c r="AP935" t="n">
        <x:f>_xlfn.XLOOKUP($A935,Games!$A$2:$A$18,Games!$K$2:$K$18,"Missing game",0)</x:f>
        <x:v>-6</x:v>
      </x:c>
      <x:c r="AQ935" t="n">
        <x:f>_xlfn.XLOOKUP($A935,Games!$A$2:$A$18,Games!$L$2:$L$18,"Missing game",0)</x:f>
        <x:v>50</x:v>
      </x:c>
      <x:c r="AR935" t="n">
        <x:f>_xlfn.XLOOKUP($A935,Games!$A$2:$A$18,Games!$M$2:$M$18,"Missing game",0)</x:f>
        <x:v>0</x:v>
      </x:c>
      <x:c r="AS935" t="str">
        <x:f>_xlfn.XLOOKUP($A935,Games!$A$2:$A$18,Games!$N$2:$N$18,"Missing game",0)</x:f>
        <x:v>dome</x:v>
      </x:c>
      <x:c r="AT935" t="str">
        <x:f>_xlfn.XLOOKUP($A935,Games!$A$2:$A$18,Games!$O$2:$O$18,"Missing game",0)</x:f>
        <x:v>sportturf</x:v>
      </x:c>
      <x:c r="AU935" t="str">
        <x:f>_xlfn.XLOOKUP($A935,Games!$A$2:$A$18,Games!$P$2:$P$18,"Missing game",0)</x:f>
      </x:c>
      <x:c r="AV935" t="str">
        <x:f>_xlfn.XLOOKUP($A935,Games!$A$2:$A$18,Games!$Q$2:$Q$18,"Missing game",0)</x:f>
      </x:c>
      <x:c r="AW935" t="str">
        <x:f>_xlfn.XLOOKUP($A935,Games!$A$2:$A$18,Games!$R$2:$R$18,"Missing game",0)</x:f>
        <x:v>U.S. Bank Stadium</x:v>
      </x:c>
    </x:row>
    <x:row r="936">
      <x:c r="A936" t="str">
        <x:v>2025_07_PHI_MIN</x:v>
      </x:c>
      <x:c r="B936" t="n">
        <x:v>2060</x:v>
      </x:c>
      <x:c r="C936" t="n">
        <x:v>3</x:v>
      </x:c>
      <x:c r="D936" t="str">
        <x:v>12:01</x:v>
      </x:c>
      <x:c r="E936" t="n">
        <x:v>3</x:v>
      </x:c>
      <x:c r="F936" t="n">
        <x:v>1</x:v>
      </x:c>
      <x:c r="G936" t="str">
        <x:v>MIN</x:v>
      </x:c>
      <x:c r="H936" t="str">
        <x:v>PHI</x:v>
      </x:c>
      <x:c r="I936" t="str">
        <x:v>PHI</x:v>
      </x:c>
      <x:c r="J936" t="n">
        <x:v>24</x:v>
      </x:c>
      <x:c r="K936" t="str">
        <x:v>(12:01) 27-J.Mason right guard to PHI 22 for 2 yards (90-J.Davis).</x:v>
      </x:c>
      <x:c r="L936" t="str">
        <x:v>run</x:v>
      </x:c>
      <x:c r="M936" t="n">
        <x:v>2</x:v>
      </x:c>
      <x:c r="N936" t="n">
        <x:v>0</x:v>
      </x:c>
      <x:c r="O936" t="n">
        <x:v>0</x:v>
      </x:c>
      <x:c r="P936"/>
      <x:c r="Q936"/>
      <x:c r="R936"/>
      <x:c r="S936"/>
      <x:c r="T936" t="str">
        <x:v>right</x:v>
      </x:c>
      <x:c r="U936" t="str">
        <x:v>guard</x:v>
      </x:c>
      <x:c r="V936" t="n">
        <x:v>0</x:v>
      </x:c>
      <x:c r="W936" t="n">
        <x:v>1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/>
      <x:c r="AC936" t="n">
        <x:v>0</x:v>
      </x:c>
      <x:c r="AD936" t="n">
        <x:v>0.42593078420031816</x:v>
      </x:c>
      <x:c r="AE936" t="n">
        <x:v>1</x:v>
      </x:c>
      <x:c r="AF936" t="n">
        <x:v>0.010677307844161987</x:v>
      </x:c>
      <x:c r="AG936" t="n">
        <x:f>_xlfn.XLOOKUP($A936,Games!$A$2:$A$18,Games!$B$2:$B$18,"Missing game",0)</x:f>
        <x:v>2025</x:v>
      </x:c>
      <x:c r="AH936" t="str">
        <x:f>_xlfn.XLOOKUP($A936,Games!$A$2:$A$18,Games!$C$2:$C$18,"Missing game",0)</x:f>
        <x:v>REG</x:v>
      </x:c>
      <x:c r="AI936" t="n">
        <x:f>_xlfn.XLOOKUP($A936,Games!$A$2:$A$18,Games!$D$2:$D$18,"Missing game",0)</x:f>
        <x:v>7</x:v>
      </x:c>
      <x:c r="AJ936" s="1" t="n">
        <x:f>_xlfn.XLOOKUP($A936,Games!$A$2:$A$18,Games!$E$2:$E$18,"Missing game",0)</x:f>
        <x:v>45949</x:v>
      </x:c>
      <x:c r="AK936" t="str">
        <x:f>_xlfn.XLOOKUP($A936,Games!$A$2:$A$18,Games!$F$2:$F$18,"Missing game",0)</x:f>
        <x:v>Sunday</x:v>
      </x:c>
      <x:c r="AL936" t="str">
        <x:f>_xlfn.XLOOKUP($A936,Games!$A$2:$A$18,Games!$G$2:$G$18,"Missing game",0)</x:f>
        <x:v>PHI</x:v>
      </x:c>
      <x:c r="AM936" t="n">
        <x:f>_xlfn.XLOOKUP($A936,Games!$A$2:$A$18,Games!$H$2:$H$18,"Missing game",0)</x:f>
        <x:v>28</x:v>
      </x:c>
      <x:c r="AN936" t="str">
        <x:f>_xlfn.XLOOKUP($A936,Games!$A$2:$A$18,Games!$I$2:$I$18,"Missing game",0)</x:f>
        <x:v>MIN</x:v>
      </x:c>
      <x:c r="AO936" t="n">
        <x:f>_xlfn.XLOOKUP($A936,Games!$A$2:$A$18,Games!$J$2:$J$18,"Missing game",0)</x:f>
        <x:v>22</x:v>
      </x:c>
      <x:c r="AP936" t="n">
        <x:f>_xlfn.XLOOKUP($A936,Games!$A$2:$A$18,Games!$K$2:$K$18,"Missing game",0)</x:f>
        <x:v>-6</x:v>
      </x:c>
      <x:c r="AQ936" t="n">
        <x:f>_xlfn.XLOOKUP($A936,Games!$A$2:$A$18,Games!$L$2:$L$18,"Missing game",0)</x:f>
        <x:v>50</x:v>
      </x:c>
      <x:c r="AR936" t="n">
        <x:f>_xlfn.XLOOKUP($A936,Games!$A$2:$A$18,Games!$M$2:$M$18,"Missing game",0)</x:f>
        <x:v>0</x:v>
      </x:c>
      <x:c r="AS936" t="str">
        <x:f>_xlfn.XLOOKUP($A936,Games!$A$2:$A$18,Games!$N$2:$N$18,"Missing game",0)</x:f>
        <x:v>dome</x:v>
      </x:c>
      <x:c r="AT936" t="str">
        <x:f>_xlfn.XLOOKUP($A936,Games!$A$2:$A$18,Games!$O$2:$O$18,"Missing game",0)</x:f>
        <x:v>sportturf</x:v>
      </x:c>
      <x:c r="AU936" t="str">
        <x:f>_xlfn.XLOOKUP($A936,Games!$A$2:$A$18,Games!$P$2:$P$18,"Missing game",0)</x:f>
      </x:c>
      <x:c r="AV936" t="str">
        <x:f>_xlfn.XLOOKUP($A936,Games!$A$2:$A$18,Games!$Q$2:$Q$18,"Missing game",0)</x:f>
      </x:c>
      <x:c r="AW936" t="str">
        <x:f>_xlfn.XLOOKUP($A936,Games!$A$2:$A$18,Games!$R$2:$R$18,"Missing game",0)</x:f>
        <x:v>U.S. Bank Stadium</x:v>
      </x:c>
    </x:row>
    <x:row r="937">
      <x:c r="A937" t="str">
        <x:v>2025_07_PHI_MIN</x:v>
      </x:c>
      <x:c r="B937" t="n">
        <x:v>2082</x:v>
      </x:c>
      <x:c r="C937" t="n">
        <x:v>3</x:v>
      </x:c>
      <x:c r="D937" t="str">
        <x:v>11:19</x:v>
      </x:c>
      <x:c r="E937" t="n">
        <x:v>1</x:v>
      </x:c>
      <x:c r="F937" t="n">
        <x:v>10</x:v>
      </x:c>
      <x:c r="G937" t="str">
        <x:v>MIN</x:v>
      </x:c>
      <x:c r="H937" t="str">
        <x:v>PHI</x:v>
      </x:c>
      <x:c r="I937" t="str">
        <x:v>PHI</x:v>
      </x:c>
      <x:c r="J937" t="n">
        <x:v>22</x:v>
      </x:c>
      <x:c r="K937" t="str">
        <x:v>(11:19) 27-J.Mason right end to PHI 11 for 11 yards (32-R.Blankenship).</x:v>
      </x:c>
      <x:c r="L937" t="str">
        <x:v>run</x:v>
      </x:c>
      <x:c r="M937" t="n">
        <x:v>11</x:v>
      </x:c>
      <x:c r="N937" t="n">
        <x:v>0</x:v>
      </x:c>
      <x:c r="O937" t="n">
        <x:v>0</x:v>
      </x:c>
      <x:c r="P937"/>
      <x:c r="Q937"/>
      <x:c r="R937"/>
      <x:c r="S937"/>
      <x:c r="T937" t="str">
        <x:v>right</x:v>
      </x:c>
      <x:c r="U937" t="str">
        <x:v>end</x:v>
      </x:c>
      <x:c r="V937" t="n">
        <x:v>0</x:v>
      </x:c>
      <x:c r="W937" t="n">
        <x:v>1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/>
      <x:c r="AC937" t="n">
        <x:v>0</x:v>
      </x:c>
      <x:c r="AD937" t="n">
        <x:v>0.426146553712897</x:v>
      </x:c>
      <x:c r="AE937" t="n">
        <x:v>1</x:v>
      </x:c>
      <x:c r="AF937" t="n">
        <x:v>0.013754725456237793</x:v>
      </x:c>
      <x:c r="AG937" t="n">
        <x:f>_xlfn.XLOOKUP($A937,Games!$A$2:$A$18,Games!$B$2:$B$18,"Missing game",0)</x:f>
        <x:v>2025</x:v>
      </x:c>
      <x:c r="AH937" t="str">
        <x:f>_xlfn.XLOOKUP($A937,Games!$A$2:$A$18,Games!$C$2:$C$18,"Missing game",0)</x:f>
        <x:v>REG</x:v>
      </x:c>
      <x:c r="AI937" t="n">
        <x:f>_xlfn.XLOOKUP($A937,Games!$A$2:$A$18,Games!$D$2:$D$18,"Missing game",0)</x:f>
        <x:v>7</x:v>
      </x:c>
      <x:c r="AJ937" s="1" t="n">
        <x:f>_xlfn.XLOOKUP($A937,Games!$A$2:$A$18,Games!$E$2:$E$18,"Missing game",0)</x:f>
        <x:v>45949</x:v>
      </x:c>
      <x:c r="AK937" t="str">
        <x:f>_xlfn.XLOOKUP($A937,Games!$A$2:$A$18,Games!$F$2:$F$18,"Missing game",0)</x:f>
        <x:v>Sunday</x:v>
      </x:c>
      <x:c r="AL937" t="str">
        <x:f>_xlfn.XLOOKUP($A937,Games!$A$2:$A$18,Games!$G$2:$G$18,"Missing game",0)</x:f>
        <x:v>PHI</x:v>
      </x:c>
      <x:c r="AM937" t="n">
        <x:f>_xlfn.XLOOKUP($A937,Games!$A$2:$A$18,Games!$H$2:$H$18,"Missing game",0)</x:f>
        <x:v>28</x:v>
      </x:c>
      <x:c r="AN937" t="str">
        <x:f>_xlfn.XLOOKUP($A937,Games!$A$2:$A$18,Games!$I$2:$I$18,"Missing game",0)</x:f>
        <x:v>MIN</x:v>
      </x:c>
      <x:c r="AO937" t="n">
        <x:f>_xlfn.XLOOKUP($A937,Games!$A$2:$A$18,Games!$J$2:$J$18,"Missing game",0)</x:f>
        <x:v>22</x:v>
      </x:c>
      <x:c r="AP937" t="n">
        <x:f>_xlfn.XLOOKUP($A937,Games!$A$2:$A$18,Games!$K$2:$K$18,"Missing game",0)</x:f>
        <x:v>-6</x:v>
      </x:c>
      <x:c r="AQ937" t="n">
        <x:f>_xlfn.XLOOKUP($A937,Games!$A$2:$A$18,Games!$L$2:$L$18,"Missing game",0)</x:f>
        <x:v>50</x:v>
      </x:c>
      <x:c r="AR937" t="n">
        <x:f>_xlfn.XLOOKUP($A937,Games!$A$2:$A$18,Games!$M$2:$M$18,"Missing game",0)</x:f>
        <x:v>0</x:v>
      </x:c>
      <x:c r="AS937" t="str">
        <x:f>_xlfn.XLOOKUP($A937,Games!$A$2:$A$18,Games!$N$2:$N$18,"Missing game",0)</x:f>
        <x:v>dome</x:v>
      </x:c>
      <x:c r="AT937" t="str">
        <x:f>_xlfn.XLOOKUP($A937,Games!$A$2:$A$18,Games!$O$2:$O$18,"Missing game",0)</x:f>
        <x:v>sportturf</x:v>
      </x:c>
      <x:c r="AU937" t="str">
        <x:f>_xlfn.XLOOKUP($A937,Games!$A$2:$A$18,Games!$P$2:$P$18,"Missing game",0)</x:f>
      </x:c>
      <x:c r="AV937" t="str">
        <x:f>_xlfn.XLOOKUP($A937,Games!$A$2:$A$18,Games!$Q$2:$Q$18,"Missing game",0)</x:f>
      </x:c>
      <x:c r="AW937" t="str">
        <x:f>_xlfn.XLOOKUP($A937,Games!$A$2:$A$18,Games!$R$2:$R$18,"Missing game",0)</x:f>
        <x:v>U.S. Bank Stadium</x:v>
      </x:c>
    </x:row>
    <x:row r="938">
      <x:c r="A938" t="str">
        <x:v>2025_07_PHI_MIN</x:v>
      </x:c>
      <x:c r="B938" t="n">
        <x:v>2104</x:v>
      </x:c>
      <x:c r="C938" t="n">
        <x:v>3</x:v>
      </x:c>
      <x:c r="D938" t="str">
        <x:v>10:34</x:v>
      </x:c>
      <x:c r="E938" t="n">
        <x:v>1</x:v>
      </x:c>
      <x:c r="F938" t="n">
        <x:v>10</x:v>
      </x:c>
      <x:c r="G938" t="str">
        <x:v>MIN</x:v>
      </x:c>
      <x:c r="H938" t="str">
        <x:v>PHI</x:v>
      </x:c>
      <x:c r="I938" t="str">
        <x:v>PHI</x:v>
      </x:c>
      <x:c r="J938" t="n">
        <x:v>11</x:v>
      </x:c>
      <x:c r="K938" t="str">
        <x:v>(10:34) 27-J.Mason right end to PHI 9 for 2 yards (53-Z.Baun).</x:v>
      </x:c>
      <x:c r="L938" t="str">
        <x:v>run</x:v>
      </x:c>
      <x:c r="M938" t="n">
        <x:v>2</x:v>
      </x:c>
      <x:c r="N938" t="n">
        <x:v>0</x:v>
      </x:c>
      <x:c r="O938" t="n">
        <x:v>0</x:v>
      </x:c>
      <x:c r="P938"/>
      <x:c r="Q938"/>
      <x:c r="R938"/>
      <x:c r="S938"/>
      <x:c r="T938" t="str">
        <x:v>right</x:v>
      </x:c>
      <x:c r="U938" t="str">
        <x:v>end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/>
      <x:c r="AC938" t="n">
        <x:v>0</x:v>
      </x:c>
      <x:c r="AD938" t="n">
        <x:v>-0.4602384582394734</x:v>
      </x:c>
      <x:c r="AE938" t="n">
        <x:v>0</x:v>
      </x:c>
      <x:c r="AF938" t="n">
        <x:v>-0.0002656280994415283</x:v>
      </x:c>
      <x:c r="AG938" t="n">
        <x:f>_xlfn.XLOOKUP($A938,Games!$A$2:$A$18,Games!$B$2:$B$18,"Missing game",0)</x:f>
        <x:v>2025</x:v>
      </x:c>
      <x:c r="AH938" t="str">
        <x:f>_xlfn.XLOOKUP($A938,Games!$A$2:$A$18,Games!$C$2:$C$18,"Missing game",0)</x:f>
        <x:v>REG</x:v>
      </x:c>
      <x:c r="AI938" t="n">
        <x:f>_xlfn.XLOOKUP($A938,Games!$A$2:$A$18,Games!$D$2:$D$18,"Missing game",0)</x:f>
        <x:v>7</x:v>
      </x:c>
      <x:c r="AJ938" s="1" t="n">
        <x:f>_xlfn.XLOOKUP($A938,Games!$A$2:$A$18,Games!$E$2:$E$18,"Missing game",0)</x:f>
        <x:v>45949</x:v>
      </x:c>
      <x:c r="AK938" t="str">
        <x:f>_xlfn.XLOOKUP($A938,Games!$A$2:$A$18,Games!$F$2:$F$18,"Missing game",0)</x:f>
        <x:v>Sunday</x:v>
      </x:c>
      <x:c r="AL938" t="str">
        <x:f>_xlfn.XLOOKUP($A938,Games!$A$2:$A$18,Games!$G$2:$G$18,"Missing game",0)</x:f>
        <x:v>PHI</x:v>
      </x:c>
      <x:c r="AM938" t="n">
        <x:f>_xlfn.XLOOKUP($A938,Games!$A$2:$A$18,Games!$H$2:$H$18,"Missing game",0)</x:f>
        <x:v>28</x:v>
      </x:c>
      <x:c r="AN938" t="str">
        <x:f>_xlfn.XLOOKUP($A938,Games!$A$2:$A$18,Games!$I$2:$I$18,"Missing game",0)</x:f>
        <x:v>MIN</x:v>
      </x:c>
      <x:c r="AO938" t="n">
        <x:f>_xlfn.XLOOKUP($A938,Games!$A$2:$A$18,Games!$J$2:$J$18,"Missing game",0)</x:f>
        <x:v>22</x:v>
      </x:c>
      <x:c r="AP938" t="n">
        <x:f>_xlfn.XLOOKUP($A938,Games!$A$2:$A$18,Games!$K$2:$K$18,"Missing game",0)</x:f>
        <x:v>-6</x:v>
      </x:c>
      <x:c r="AQ938" t="n">
        <x:f>_xlfn.XLOOKUP($A938,Games!$A$2:$A$18,Games!$L$2:$L$18,"Missing game",0)</x:f>
        <x:v>50</x:v>
      </x:c>
      <x:c r="AR938" t="n">
        <x:f>_xlfn.XLOOKUP($A938,Games!$A$2:$A$18,Games!$M$2:$M$18,"Missing game",0)</x:f>
        <x:v>0</x:v>
      </x:c>
      <x:c r="AS938" t="str">
        <x:f>_xlfn.XLOOKUP($A938,Games!$A$2:$A$18,Games!$N$2:$N$18,"Missing game",0)</x:f>
        <x:v>dome</x:v>
      </x:c>
      <x:c r="AT938" t="str">
        <x:f>_xlfn.XLOOKUP($A938,Games!$A$2:$A$18,Games!$O$2:$O$18,"Missing game",0)</x:f>
        <x:v>sportturf</x:v>
      </x:c>
      <x:c r="AU938" t="str">
        <x:f>_xlfn.XLOOKUP($A938,Games!$A$2:$A$18,Games!$P$2:$P$18,"Missing game",0)</x:f>
      </x:c>
      <x:c r="AV938" t="str">
        <x:f>_xlfn.XLOOKUP($A938,Games!$A$2:$A$18,Games!$Q$2:$Q$18,"Missing game",0)</x:f>
      </x:c>
      <x:c r="AW938" t="str">
        <x:f>_xlfn.XLOOKUP($A938,Games!$A$2:$A$18,Games!$R$2:$R$18,"Missing game",0)</x:f>
        <x:v>U.S. Bank Stadium</x:v>
      </x:c>
    </x:row>
    <x:row r="939">
      <x:c r="A939" t="str">
        <x:v>2025_07_PHI_MIN</x:v>
      </x:c>
      <x:c r="B939" t="n">
        <x:v>2126</x:v>
      </x:c>
      <x:c r="C939" t="n">
        <x:v>3</x:v>
      </x:c>
      <x:c r="D939" t="str">
        <x:v>09:50</x:v>
      </x:c>
      <x:c r="E939" t="n">
        <x:v>2</x:v>
      </x:c>
      <x:c r="F939" t="n">
        <x:v>8</x:v>
      </x:c>
      <x:c r="G939" t="str">
        <x:v>MIN</x:v>
      </x:c>
      <x:c r="H939" t="str">
        <x:v>PHI</x:v>
      </x:c>
      <x:c r="I939" t="str">
        <x:v>PHI</x:v>
      </x:c>
      <x:c r="J939" t="n">
        <x:v>9</x:v>
      </x:c>
      <x:c r="K939" t="str">
        <x:v>(9:50) 11-C.Wentz pass incomplete short middle [48-P.Johnson]. PENALTY on MIN-11-C.Wentz, Intentional Grounding, 10 yards, enforced at PHI 9.</x:v>
      </x:c>
      <x:c r="L939" t="str">
        <x:v>pass</x:v>
      </x:c>
      <x:c r="M939" t="n">
        <x:v>0</x:v>
      </x:c>
      <x:c r="N939" t="n">
        <x:v>0</x:v>
      </x:c>
      <x:c r="O939" t="n">
        <x:v>0</x:v>
      </x:c>
      <x:c r="P939" t="str">
        <x:v>short</x:v>
      </x:c>
      <x:c r="Q939" t="str">
        <x:v>middle</x:v>
      </x:c>
      <x:c r="R939" t="n">
        <x:v>-4</x:v>
      </x:c>
      <x:c r="S939"/>
      <x:c r="T939"/>
      <x:c r="U939"/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1</x:v>
      </x:c>
      <x:c r="AB939" t="n">
        <x:v>10</x:v>
      </x:c>
      <x:c r="AC939" t="n">
        <x:v>0</x:v>
      </x:c>
      <x:c r="AD939" t="n">
        <x:v>-1.7832958484068513</x:v>
      </x:c>
      <x:c r="AE939" t="n">
        <x:v>0</x:v>
      </x:c>
      <x:c r="AF939" t="n">
        <x:v>-0.06357991695404053</x:v>
      </x:c>
      <x:c r="AG939" t="n">
        <x:f>_xlfn.XLOOKUP($A939,Games!$A$2:$A$18,Games!$B$2:$B$18,"Missing game",0)</x:f>
        <x:v>2025</x:v>
      </x:c>
      <x:c r="AH939" t="str">
        <x:f>_xlfn.XLOOKUP($A939,Games!$A$2:$A$18,Games!$C$2:$C$18,"Missing game",0)</x:f>
        <x:v>REG</x:v>
      </x:c>
      <x:c r="AI939" t="n">
        <x:f>_xlfn.XLOOKUP($A939,Games!$A$2:$A$18,Games!$D$2:$D$18,"Missing game",0)</x:f>
        <x:v>7</x:v>
      </x:c>
      <x:c r="AJ939" s="1" t="n">
        <x:f>_xlfn.XLOOKUP($A939,Games!$A$2:$A$18,Games!$E$2:$E$18,"Missing game",0)</x:f>
        <x:v>45949</x:v>
      </x:c>
      <x:c r="AK939" t="str">
        <x:f>_xlfn.XLOOKUP($A939,Games!$A$2:$A$18,Games!$F$2:$F$18,"Missing game",0)</x:f>
        <x:v>Sunday</x:v>
      </x:c>
      <x:c r="AL939" t="str">
        <x:f>_xlfn.XLOOKUP($A939,Games!$A$2:$A$18,Games!$G$2:$G$18,"Missing game",0)</x:f>
        <x:v>PHI</x:v>
      </x:c>
      <x:c r="AM939" t="n">
        <x:f>_xlfn.XLOOKUP($A939,Games!$A$2:$A$18,Games!$H$2:$H$18,"Missing game",0)</x:f>
        <x:v>28</x:v>
      </x:c>
      <x:c r="AN939" t="str">
        <x:f>_xlfn.XLOOKUP($A939,Games!$A$2:$A$18,Games!$I$2:$I$18,"Missing game",0)</x:f>
        <x:v>MIN</x:v>
      </x:c>
      <x:c r="AO939" t="n">
        <x:f>_xlfn.XLOOKUP($A939,Games!$A$2:$A$18,Games!$J$2:$J$18,"Missing game",0)</x:f>
        <x:v>22</x:v>
      </x:c>
      <x:c r="AP939" t="n">
        <x:f>_xlfn.XLOOKUP($A939,Games!$A$2:$A$18,Games!$K$2:$K$18,"Missing game",0)</x:f>
        <x:v>-6</x:v>
      </x:c>
      <x:c r="AQ939" t="n">
        <x:f>_xlfn.XLOOKUP($A939,Games!$A$2:$A$18,Games!$L$2:$L$18,"Missing game",0)</x:f>
        <x:v>50</x:v>
      </x:c>
      <x:c r="AR939" t="n">
        <x:f>_xlfn.XLOOKUP($A939,Games!$A$2:$A$18,Games!$M$2:$M$18,"Missing game",0)</x:f>
        <x:v>0</x:v>
      </x:c>
      <x:c r="AS939" t="str">
        <x:f>_xlfn.XLOOKUP($A939,Games!$A$2:$A$18,Games!$N$2:$N$18,"Missing game",0)</x:f>
        <x:v>dome</x:v>
      </x:c>
      <x:c r="AT939" t="str">
        <x:f>_xlfn.XLOOKUP($A939,Games!$A$2:$A$18,Games!$O$2:$O$18,"Missing game",0)</x:f>
        <x:v>sportturf</x:v>
      </x:c>
      <x:c r="AU939" t="str">
        <x:f>_xlfn.XLOOKUP($A939,Games!$A$2:$A$18,Games!$P$2:$P$18,"Missing game",0)</x:f>
      </x:c>
      <x:c r="AV939" t="str">
        <x:f>_xlfn.XLOOKUP($A939,Games!$A$2:$A$18,Games!$Q$2:$Q$18,"Missing game",0)</x:f>
      </x:c>
      <x:c r="AW939" t="str">
        <x:f>_xlfn.XLOOKUP($A939,Games!$A$2:$A$18,Games!$R$2:$R$18,"Missing game",0)</x:f>
        <x:v>U.S. Bank Stadium</x:v>
      </x:c>
    </x:row>
    <x:row r="940">
      <x:c r="A940" t="str">
        <x:v>2025_07_PHI_MIN</x:v>
      </x:c>
      <x:c r="B940" t="n">
        <x:v>2160</x:v>
      </x:c>
      <x:c r="C940" t="n">
        <x:v>3</x:v>
      </x:c>
      <x:c r="D940" t="str">
        <x:v>09:46</x:v>
      </x:c>
      <x:c r="E940" t="n">
        <x:v>3</x:v>
      </x:c>
      <x:c r="F940" t="n">
        <x:v>18</x:v>
      </x:c>
      <x:c r="G940" t="str">
        <x:v>MIN</x:v>
      </x:c>
      <x:c r="H940" t="str">
        <x:v>PHI</x:v>
      </x:c>
      <x:c r="I940" t="str">
        <x:v>PHI</x:v>
      </x:c>
      <x:c r="J940" t="n">
        <x:v>19</x:v>
      </x:c>
      <x:c r="K940" t="str">
        <x:v>(9:46) (Shotgun) 11-C.Wentz pass short middle to 87-T.Hockenson to PHI 10 for 9 yards (33-C.DeJean; 53-Z.Baun).</x:v>
      </x:c>
      <x:c r="L940" t="str">
        <x:v>pass</x:v>
      </x:c>
      <x:c r="M940" t="n">
        <x:v>9</x:v>
      </x:c>
      <x:c r="N940" t="n">
        <x:v>1</x:v>
      </x:c>
      <x:c r="O940" t="n">
        <x:v>0</x:v>
      </x:c>
      <x:c r="P940" t="str">
        <x:v>short</x:v>
      </x:c>
      <x:c r="Q940" t="str">
        <x:v>middle</x:v>
      </x:c>
      <x:c r="R940" t="n">
        <x:v>4</x:v>
      </x:c>
      <x:c r="S940" t="n">
        <x:v>5</x:v>
      </x:c>
      <x:c r="T940"/>
      <x:c r="U940"/>
      <x:c r="V940" t="n">
        <x:v>1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/>
      <x:c r="AC940" t="n">
        <x:v>0</x:v>
      </x:c>
      <x:c r="AD940" t="n">
        <x:v>-0.28406094774843993</x:v>
      </x:c>
      <x:c r="AE940" t="n">
        <x:v>0</x:v>
      </x:c>
      <x:c r="AF940" t="n">
        <x:v>-0.0014005005359649658</x:v>
      </x:c>
      <x:c r="AG940" t="n">
        <x:f>_xlfn.XLOOKUP($A940,Games!$A$2:$A$18,Games!$B$2:$B$18,"Missing game",0)</x:f>
        <x:v>2025</x:v>
      </x:c>
      <x:c r="AH940" t="str">
        <x:f>_xlfn.XLOOKUP($A940,Games!$A$2:$A$18,Games!$C$2:$C$18,"Missing game",0)</x:f>
        <x:v>REG</x:v>
      </x:c>
      <x:c r="AI940" t="n">
        <x:f>_xlfn.XLOOKUP($A940,Games!$A$2:$A$18,Games!$D$2:$D$18,"Missing game",0)</x:f>
        <x:v>7</x:v>
      </x:c>
      <x:c r="AJ940" s="1" t="n">
        <x:f>_xlfn.XLOOKUP($A940,Games!$A$2:$A$18,Games!$E$2:$E$18,"Missing game",0)</x:f>
        <x:v>45949</x:v>
      </x:c>
      <x:c r="AK940" t="str">
        <x:f>_xlfn.XLOOKUP($A940,Games!$A$2:$A$18,Games!$F$2:$F$18,"Missing game",0)</x:f>
        <x:v>Sunday</x:v>
      </x:c>
      <x:c r="AL940" t="str">
        <x:f>_xlfn.XLOOKUP($A940,Games!$A$2:$A$18,Games!$G$2:$G$18,"Missing game",0)</x:f>
        <x:v>PHI</x:v>
      </x:c>
      <x:c r="AM940" t="n">
        <x:f>_xlfn.XLOOKUP($A940,Games!$A$2:$A$18,Games!$H$2:$H$18,"Missing game",0)</x:f>
        <x:v>28</x:v>
      </x:c>
      <x:c r="AN940" t="str">
        <x:f>_xlfn.XLOOKUP($A940,Games!$A$2:$A$18,Games!$I$2:$I$18,"Missing game",0)</x:f>
        <x:v>MIN</x:v>
      </x:c>
      <x:c r="AO940" t="n">
        <x:f>_xlfn.XLOOKUP($A940,Games!$A$2:$A$18,Games!$J$2:$J$18,"Missing game",0)</x:f>
        <x:v>22</x:v>
      </x:c>
      <x:c r="AP940" t="n">
        <x:f>_xlfn.XLOOKUP($A940,Games!$A$2:$A$18,Games!$K$2:$K$18,"Missing game",0)</x:f>
        <x:v>-6</x:v>
      </x:c>
      <x:c r="AQ940" t="n">
        <x:f>_xlfn.XLOOKUP($A940,Games!$A$2:$A$18,Games!$L$2:$L$18,"Missing game",0)</x:f>
        <x:v>50</x:v>
      </x:c>
      <x:c r="AR940" t="n">
        <x:f>_xlfn.XLOOKUP($A940,Games!$A$2:$A$18,Games!$M$2:$M$18,"Missing game",0)</x:f>
        <x:v>0</x:v>
      </x:c>
      <x:c r="AS940" t="str">
        <x:f>_xlfn.XLOOKUP($A940,Games!$A$2:$A$18,Games!$N$2:$N$18,"Missing game",0)</x:f>
        <x:v>dome</x:v>
      </x:c>
      <x:c r="AT940" t="str">
        <x:f>_xlfn.XLOOKUP($A940,Games!$A$2:$A$18,Games!$O$2:$O$18,"Missing game",0)</x:f>
        <x:v>sportturf</x:v>
      </x:c>
      <x:c r="AU940" t="str">
        <x:f>_xlfn.XLOOKUP($A940,Games!$A$2:$A$18,Games!$P$2:$P$18,"Missing game",0)</x:f>
      </x:c>
      <x:c r="AV940" t="str">
        <x:f>_xlfn.XLOOKUP($A940,Games!$A$2:$A$18,Games!$Q$2:$Q$18,"Missing game",0)</x:f>
      </x:c>
      <x:c r="AW940" t="str">
        <x:f>_xlfn.XLOOKUP($A940,Games!$A$2:$A$18,Games!$R$2:$R$18,"Missing game",0)</x:f>
        <x:v>U.S. Bank Stadium</x:v>
      </x:c>
    </x:row>
    <x:row r="941">
      <x:c r="A941" t="str">
        <x:v>2025_07_PHI_MIN</x:v>
      </x:c>
      <x:c r="B941" t="n">
        <x:v>2185</x:v>
      </x:c>
      <x:c r="C941" t="n">
        <x:v>3</x:v>
      </x:c>
      <x:c r="D941" t="str">
        <x:v>09:05</x:v>
      </x:c>
      <x:c r="E941" t="n">
        <x:v>4</x:v>
      </x:c>
      <x:c r="F941" t="n">
        <x:v>9</x:v>
      </x:c>
      <x:c r="G941" t="str">
        <x:v>MIN</x:v>
      </x:c>
      <x:c r="H941" t="str">
        <x:v>PHI</x:v>
      </x:c>
      <x:c r="I941" t="str">
        <x:v>PHI</x:v>
      </x:c>
      <x:c r="J941" t="n">
        <x:v>10</x:v>
      </x:c>
      <x:c r="K941" t="str">
        <x:v>(9:05) 16-W.Reichard 28 yard field goal is GOOD, Center-42-A.DePaola, Holder-17-R.Wright.</x:v>
      </x:c>
      <x:c r="L941" t="str">
        <x:v>field_goal</x:v>
      </x:c>
      <x:c r="M941" t="n">
        <x:v>0</x:v>
      </x:c>
      <x:c r="N941" t="n">
        <x:v>0</x:v>
      </x:c>
      <x:c r="O941" t="n">
        <x:v>0</x:v>
      </x:c>
      <x:c r="P941"/>
      <x:c r="Q941"/>
      <x:c r="R941"/>
      <x:c r="S941"/>
      <x:c r="T941"/>
      <x:c r="U941"/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/>
      <x:c r="AC941" t="n">
        <x:v>0</x:v>
      </x:c>
      <x:c r="AD941" t="n">
        <x:v>0.08528858519865068</x:v>
      </x:c>
      <x:c r="AE941" t="n">
        <x:v>1</x:v>
      </x:c>
      <x:c r="AF941" t="n">
        <x:v>0.029080718755722046</x:v>
      </x:c>
      <x:c r="AG941" t="n">
        <x:f>_xlfn.XLOOKUP($A941,Games!$A$2:$A$18,Games!$B$2:$B$18,"Missing game",0)</x:f>
        <x:v>2025</x:v>
      </x:c>
      <x:c r="AH941" t="str">
        <x:f>_xlfn.XLOOKUP($A941,Games!$A$2:$A$18,Games!$C$2:$C$18,"Missing game",0)</x:f>
        <x:v>REG</x:v>
      </x:c>
      <x:c r="AI941" t="n">
        <x:f>_xlfn.XLOOKUP($A941,Games!$A$2:$A$18,Games!$D$2:$D$18,"Missing game",0)</x:f>
        <x:v>7</x:v>
      </x:c>
      <x:c r="AJ941" s="1" t="n">
        <x:f>_xlfn.XLOOKUP($A941,Games!$A$2:$A$18,Games!$E$2:$E$18,"Missing game",0)</x:f>
        <x:v>45949</x:v>
      </x:c>
      <x:c r="AK941" t="str">
        <x:f>_xlfn.XLOOKUP($A941,Games!$A$2:$A$18,Games!$F$2:$F$18,"Missing game",0)</x:f>
        <x:v>Sunday</x:v>
      </x:c>
      <x:c r="AL941" t="str">
        <x:f>_xlfn.XLOOKUP($A941,Games!$A$2:$A$18,Games!$G$2:$G$18,"Missing game",0)</x:f>
        <x:v>PHI</x:v>
      </x:c>
      <x:c r="AM941" t="n">
        <x:f>_xlfn.XLOOKUP($A941,Games!$A$2:$A$18,Games!$H$2:$H$18,"Missing game",0)</x:f>
        <x:v>28</x:v>
      </x:c>
      <x:c r="AN941" t="str">
        <x:f>_xlfn.XLOOKUP($A941,Games!$A$2:$A$18,Games!$I$2:$I$18,"Missing game",0)</x:f>
        <x:v>MIN</x:v>
      </x:c>
      <x:c r="AO941" t="n">
        <x:f>_xlfn.XLOOKUP($A941,Games!$A$2:$A$18,Games!$J$2:$J$18,"Missing game",0)</x:f>
        <x:v>22</x:v>
      </x:c>
      <x:c r="AP941" t="n">
        <x:f>_xlfn.XLOOKUP($A941,Games!$A$2:$A$18,Games!$K$2:$K$18,"Missing game",0)</x:f>
        <x:v>-6</x:v>
      </x:c>
      <x:c r="AQ941" t="n">
        <x:f>_xlfn.XLOOKUP($A941,Games!$A$2:$A$18,Games!$L$2:$L$18,"Missing game",0)</x:f>
        <x:v>50</x:v>
      </x:c>
      <x:c r="AR941" t="n">
        <x:f>_xlfn.XLOOKUP($A941,Games!$A$2:$A$18,Games!$M$2:$M$18,"Missing game",0)</x:f>
        <x:v>0</x:v>
      </x:c>
      <x:c r="AS941" t="str">
        <x:f>_xlfn.XLOOKUP($A941,Games!$A$2:$A$18,Games!$N$2:$N$18,"Missing game",0)</x:f>
        <x:v>dome</x:v>
      </x:c>
      <x:c r="AT941" t="str">
        <x:f>_xlfn.XLOOKUP($A941,Games!$A$2:$A$18,Games!$O$2:$O$18,"Missing game",0)</x:f>
        <x:v>sportturf</x:v>
      </x:c>
      <x:c r="AU941" t="str">
        <x:f>_xlfn.XLOOKUP($A941,Games!$A$2:$A$18,Games!$P$2:$P$18,"Missing game",0)</x:f>
      </x:c>
      <x:c r="AV941" t="str">
        <x:f>_xlfn.XLOOKUP($A941,Games!$A$2:$A$18,Games!$Q$2:$Q$18,"Missing game",0)</x:f>
      </x:c>
      <x:c r="AW941" t="str">
        <x:f>_xlfn.XLOOKUP($A941,Games!$A$2:$A$18,Games!$R$2:$R$18,"Missing game",0)</x:f>
        <x:v>U.S. Bank Stadium</x:v>
      </x:c>
    </x:row>
    <x:row r="942">
      <x:c r="A942" t="str">
        <x:v>2025_07_PHI_MIN</x:v>
      </x:c>
      <x:c r="B942" t="n">
        <x:v>2205</x:v>
      </x:c>
      <x:c r="C942" t="n">
        <x:v>3</x:v>
      </x:c>
      <x:c r="D942" t="str">
        <x:v>09:02</x:v>
      </x:c>
      <x:c r="E942"/>
      <x:c r="F942" t="n">
        <x:v>0</x:v>
      </x:c>
      <x:c r="G942" t="str">
        <x:v>PHI</x:v>
      </x:c>
      <x:c r="H942" t="str">
        <x:v>MIN</x:v>
      </x:c>
      <x:c r="I942" t="str">
        <x:v>MIN</x:v>
      </x:c>
      <x:c r="J942" t="n">
        <x:v>35</x:v>
      </x:c>
      <x:c r="K942" t="str">
        <x:v>16-W.Reichard kicks 56 yards from MIN 35 to PHI 9. 87-X.Gipson to PHI 34 for 25 yards (96-T.Batty). PENALTY on PHI-36-C.Latu, Illegal Double-Team Block, 15 yards, enforced at PHI 31.</x:v>
      </x:c>
      <x:c r="L942" t="str">
        <x:v>kickoff</x:v>
      </x:c>
      <x:c r="M942" t="n">
        <x:v>0</x:v>
      </x:c>
      <x:c r="N942" t="n">
        <x:v>0</x:v>
      </x:c>
      <x:c r="O942" t="n">
        <x:v>0</x:v>
      </x:c>
      <x:c r="P942"/>
      <x:c r="Q942"/>
      <x:c r="R942"/>
      <x:c r="S942"/>
      <x:c r="T942"/>
      <x:c r="U942"/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1</x:v>
      </x:c>
      <x:c r="AB942" t="n">
        <x:v>15</x:v>
      </x:c>
      <x:c r="AC942" t="n">
        <x:v>0</x:v>
      </x:c>
      <x:c r="AD942" t="n">
        <x:v>-0.5878631416708231</x:v>
      </x:c>
      <x:c r="AE942" t="n">
        <x:v>0</x:v>
      </x:c>
      <x:c r="AF942" t="n">
        <x:v>-0.017790794372558594</x:v>
      </x:c>
      <x:c r="AG942" t="n">
        <x:f>_xlfn.XLOOKUP($A942,Games!$A$2:$A$18,Games!$B$2:$B$18,"Missing game",0)</x:f>
        <x:v>2025</x:v>
      </x:c>
      <x:c r="AH942" t="str">
        <x:f>_xlfn.XLOOKUP($A942,Games!$A$2:$A$18,Games!$C$2:$C$18,"Missing game",0)</x:f>
        <x:v>REG</x:v>
      </x:c>
      <x:c r="AI942" t="n">
        <x:f>_xlfn.XLOOKUP($A942,Games!$A$2:$A$18,Games!$D$2:$D$18,"Missing game",0)</x:f>
        <x:v>7</x:v>
      </x:c>
      <x:c r="AJ942" s="1" t="n">
        <x:f>_xlfn.XLOOKUP($A942,Games!$A$2:$A$18,Games!$E$2:$E$18,"Missing game",0)</x:f>
        <x:v>45949</x:v>
      </x:c>
      <x:c r="AK942" t="str">
        <x:f>_xlfn.XLOOKUP($A942,Games!$A$2:$A$18,Games!$F$2:$F$18,"Missing game",0)</x:f>
        <x:v>Sunday</x:v>
      </x:c>
      <x:c r="AL942" t="str">
        <x:f>_xlfn.XLOOKUP($A942,Games!$A$2:$A$18,Games!$G$2:$G$18,"Missing game",0)</x:f>
        <x:v>PHI</x:v>
      </x:c>
      <x:c r="AM942" t="n">
        <x:f>_xlfn.XLOOKUP($A942,Games!$A$2:$A$18,Games!$H$2:$H$18,"Missing game",0)</x:f>
        <x:v>28</x:v>
      </x:c>
      <x:c r="AN942" t="str">
        <x:f>_xlfn.XLOOKUP($A942,Games!$A$2:$A$18,Games!$I$2:$I$18,"Missing game",0)</x:f>
        <x:v>MIN</x:v>
      </x:c>
      <x:c r="AO942" t="n">
        <x:f>_xlfn.XLOOKUP($A942,Games!$A$2:$A$18,Games!$J$2:$J$18,"Missing game",0)</x:f>
        <x:v>22</x:v>
      </x:c>
      <x:c r="AP942" t="n">
        <x:f>_xlfn.XLOOKUP($A942,Games!$A$2:$A$18,Games!$K$2:$K$18,"Missing game",0)</x:f>
        <x:v>-6</x:v>
      </x:c>
      <x:c r="AQ942" t="n">
        <x:f>_xlfn.XLOOKUP($A942,Games!$A$2:$A$18,Games!$L$2:$L$18,"Missing game",0)</x:f>
        <x:v>50</x:v>
      </x:c>
      <x:c r="AR942" t="n">
        <x:f>_xlfn.XLOOKUP($A942,Games!$A$2:$A$18,Games!$M$2:$M$18,"Missing game",0)</x:f>
        <x:v>0</x:v>
      </x:c>
      <x:c r="AS942" t="str">
        <x:f>_xlfn.XLOOKUP($A942,Games!$A$2:$A$18,Games!$N$2:$N$18,"Missing game",0)</x:f>
        <x:v>dome</x:v>
      </x:c>
      <x:c r="AT942" t="str">
        <x:f>_xlfn.XLOOKUP($A942,Games!$A$2:$A$18,Games!$O$2:$O$18,"Missing game",0)</x:f>
        <x:v>sportturf</x:v>
      </x:c>
      <x:c r="AU942" t="str">
        <x:f>_xlfn.XLOOKUP($A942,Games!$A$2:$A$18,Games!$P$2:$P$18,"Missing game",0)</x:f>
      </x:c>
      <x:c r="AV942" t="str">
        <x:f>_xlfn.XLOOKUP($A942,Games!$A$2:$A$18,Games!$Q$2:$Q$18,"Missing game",0)</x:f>
      </x:c>
      <x:c r="AW942" t="str">
        <x:f>_xlfn.XLOOKUP($A942,Games!$A$2:$A$18,Games!$R$2:$R$18,"Missing game",0)</x:f>
        <x:v>U.S. Bank Stadium</x:v>
      </x:c>
    </x:row>
    <x:row r="943">
      <x:c r="A943" t="str">
        <x:v>2025_07_PHI_MIN</x:v>
      </x:c>
      <x:c r="B943" t="n">
        <x:v>2246</x:v>
      </x:c>
      <x:c r="C943" t="n">
        <x:v>3</x:v>
      </x:c>
      <x:c r="D943" t="str">
        <x:v>08:57</x:v>
      </x:c>
      <x:c r="E943" t="n">
        <x:v>1</x:v>
      </x:c>
      <x:c r="F943" t="n">
        <x:v>10</x:v>
      </x:c>
      <x:c r="G943" t="str">
        <x:v>PHI</x:v>
      </x:c>
      <x:c r="H943" t="str">
        <x:v>MIN</x:v>
      </x:c>
      <x:c r="I943" t="str">
        <x:v>PHI</x:v>
      </x:c>
      <x:c r="J943" t="n">
        <x:v>84</x:v>
      </x:c>
      <x:c r="K943" t="str">
        <x:v>(8:57) (Shotgun) 1-J.Hurts pass short left to 6-D.Smith to PHI 21 for 5 yards (51-B.Cashman).</x:v>
      </x:c>
      <x:c r="L943" t="str">
        <x:v>pass</x:v>
      </x:c>
      <x:c r="M943" t="n">
        <x:v>5</x:v>
      </x:c>
      <x:c r="N943" t="n">
        <x:v>1</x:v>
      </x:c>
      <x:c r="O943" t="n">
        <x:v>0</x:v>
      </x:c>
      <x:c r="P943" t="str">
        <x:v>short</x:v>
      </x:c>
      <x:c r="Q943" t="str">
        <x:v>left</x:v>
      </x:c>
      <x:c r="R943" t="n">
        <x:v>5</x:v>
      </x:c>
      <x:c r="S943" t="n">
        <x:v>0</x:v>
      </x:c>
      <x:c r="T943"/>
      <x:c r="U943"/>
      <x:c r="V943" t="n">
        <x:v>1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/>
      <x:c r="AC943" t="n">
        <x:v>0</x:v>
      </x:c>
      <x:c r="AD943" t="n">
        <x:v>-0.061292183585464954</x:v>
      </x:c>
      <x:c r="AE943" t="n">
        <x:v>0</x:v>
      </x:c>
      <x:c r="AF943" t="n">
        <x:v>0.004545152187347412</x:v>
      </x:c>
      <x:c r="AG943" t="n">
        <x:f>_xlfn.XLOOKUP($A943,Games!$A$2:$A$18,Games!$B$2:$B$18,"Missing game",0)</x:f>
        <x:v>2025</x:v>
      </x:c>
      <x:c r="AH943" t="str">
        <x:f>_xlfn.XLOOKUP($A943,Games!$A$2:$A$18,Games!$C$2:$C$18,"Missing game",0)</x:f>
        <x:v>REG</x:v>
      </x:c>
      <x:c r="AI943" t="n">
        <x:f>_xlfn.XLOOKUP($A943,Games!$A$2:$A$18,Games!$D$2:$D$18,"Missing game",0)</x:f>
        <x:v>7</x:v>
      </x:c>
      <x:c r="AJ943" s="1" t="n">
        <x:f>_xlfn.XLOOKUP($A943,Games!$A$2:$A$18,Games!$E$2:$E$18,"Missing game",0)</x:f>
        <x:v>45949</x:v>
      </x:c>
      <x:c r="AK943" t="str">
        <x:f>_xlfn.XLOOKUP($A943,Games!$A$2:$A$18,Games!$F$2:$F$18,"Missing game",0)</x:f>
        <x:v>Sunday</x:v>
      </x:c>
      <x:c r="AL943" t="str">
        <x:f>_xlfn.XLOOKUP($A943,Games!$A$2:$A$18,Games!$G$2:$G$18,"Missing game",0)</x:f>
        <x:v>PHI</x:v>
      </x:c>
      <x:c r="AM943" t="n">
        <x:f>_xlfn.XLOOKUP($A943,Games!$A$2:$A$18,Games!$H$2:$H$18,"Missing game",0)</x:f>
        <x:v>28</x:v>
      </x:c>
      <x:c r="AN943" t="str">
        <x:f>_xlfn.XLOOKUP($A943,Games!$A$2:$A$18,Games!$I$2:$I$18,"Missing game",0)</x:f>
        <x:v>MIN</x:v>
      </x:c>
      <x:c r="AO943" t="n">
        <x:f>_xlfn.XLOOKUP($A943,Games!$A$2:$A$18,Games!$J$2:$J$18,"Missing game",0)</x:f>
        <x:v>22</x:v>
      </x:c>
      <x:c r="AP943" t="n">
        <x:f>_xlfn.XLOOKUP($A943,Games!$A$2:$A$18,Games!$K$2:$K$18,"Missing game",0)</x:f>
        <x:v>-6</x:v>
      </x:c>
      <x:c r="AQ943" t="n">
        <x:f>_xlfn.XLOOKUP($A943,Games!$A$2:$A$18,Games!$L$2:$L$18,"Missing game",0)</x:f>
        <x:v>50</x:v>
      </x:c>
      <x:c r="AR943" t="n">
        <x:f>_xlfn.XLOOKUP($A943,Games!$A$2:$A$18,Games!$M$2:$M$18,"Missing game",0)</x:f>
        <x:v>0</x:v>
      </x:c>
      <x:c r="AS943" t="str">
        <x:f>_xlfn.XLOOKUP($A943,Games!$A$2:$A$18,Games!$N$2:$N$18,"Missing game",0)</x:f>
        <x:v>dome</x:v>
      </x:c>
      <x:c r="AT943" t="str">
        <x:f>_xlfn.XLOOKUP($A943,Games!$A$2:$A$18,Games!$O$2:$O$18,"Missing game",0)</x:f>
        <x:v>sportturf</x:v>
      </x:c>
      <x:c r="AU943" t="str">
        <x:f>_xlfn.XLOOKUP($A943,Games!$A$2:$A$18,Games!$P$2:$P$18,"Missing game",0)</x:f>
      </x:c>
      <x:c r="AV943" t="str">
        <x:f>_xlfn.XLOOKUP($A943,Games!$A$2:$A$18,Games!$Q$2:$Q$18,"Missing game",0)</x:f>
      </x:c>
      <x:c r="AW943" t="str">
        <x:f>_xlfn.XLOOKUP($A943,Games!$A$2:$A$18,Games!$R$2:$R$18,"Missing game",0)</x:f>
        <x:v>U.S. Bank Stadium</x:v>
      </x:c>
    </x:row>
    <x:row r="944">
      <x:c r="A944" t="str">
        <x:v>2025_07_PHI_MIN</x:v>
      </x:c>
      <x:c r="B944" t="n">
        <x:v>2271</x:v>
      </x:c>
      <x:c r="C944" t="n">
        <x:v>3</x:v>
      </x:c>
      <x:c r="D944" t="str">
        <x:v>08:17</x:v>
      </x:c>
      <x:c r="E944" t="n">
        <x:v>2</x:v>
      </x:c>
      <x:c r="F944" t="n">
        <x:v>5</x:v>
      </x:c>
      <x:c r="G944" t="str">
        <x:v>PHI</x:v>
      </x:c>
      <x:c r="H944" t="str">
        <x:v>MIN</x:v>
      </x:c>
      <x:c r="I944" t="str">
        <x:v>PHI</x:v>
      </x:c>
      <x:c r="J944" t="n">
        <x:v>79</x:v>
      </x:c>
      <x:c r="K944" t="str">
        <x:v>(8:17) 74-F.Johnson reported in as eligible. 1-J.Hurts pass deep middle to 6-D.Smith for 79 yards, TOUCHDOWN.</x:v>
      </x:c>
      <x:c r="L944" t="str">
        <x:v>pass</x:v>
      </x:c>
      <x:c r="M944" t="n">
        <x:v>79</x:v>
      </x:c>
      <x:c r="N944" t="n">
        <x:v>0</x:v>
      </x:c>
      <x:c r="O944" t="n">
        <x:v>0</x:v>
      </x:c>
      <x:c r="P944" t="str">
        <x:v>deep</x:v>
      </x:c>
      <x:c r="Q944" t="str">
        <x:v>middle</x:v>
      </x:c>
      <x:c r="R944" t="n">
        <x:v>49</x:v>
      </x:c>
      <x:c r="S944" t="n">
        <x:v>30</x:v>
      </x:c>
      <x:c r="T944"/>
      <x:c r="U944"/>
      <x:c r="V944" t="n">
        <x:v>1</x:v>
      </x:c>
      <x:c r="W944" t="n">
        <x:v>1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/>
      <x:c r="AC944" t="n">
        <x:v>1</x:v>
      </x:c>
      <x:c r="AD944" t="n">
        <x:v>6.583969845436513</x:v>
      </x:c>
      <x:c r="AE944" t="n">
        <x:v>1</x:v>
      </x:c>
      <x:c r="AF944" t="n">
        <x:v>0.17725538698101695</x:v>
      </x:c>
      <x:c r="AG944" t="n">
        <x:f>_xlfn.XLOOKUP($A944,Games!$A$2:$A$18,Games!$B$2:$B$18,"Missing game",0)</x:f>
        <x:v>2025</x:v>
      </x:c>
      <x:c r="AH944" t="str">
        <x:f>_xlfn.XLOOKUP($A944,Games!$A$2:$A$18,Games!$C$2:$C$18,"Missing game",0)</x:f>
        <x:v>REG</x:v>
      </x:c>
      <x:c r="AI944" t="n">
        <x:f>_xlfn.XLOOKUP($A944,Games!$A$2:$A$18,Games!$D$2:$D$18,"Missing game",0)</x:f>
        <x:v>7</x:v>
      </x:c>
      <x:c r="AJ944" s="1" t="n">
        <x:f>_xlfn.XLOOKUP($A944,Games!$A$2:$A$18,Games!$E$2:$E$18,"Missing game",0)</x:f>
        <x:v>45949</x:v>
      </x:c>
      <x:c r="AK944" t="str">
        <x:f>_xlfn.XLOOKUP($A944,Games!$A$2:$A$18,Games!$F$2:$F$18,"Missing game",0)</x:f>
        <x:v>Sunday</x:v>
      </x:c>
      <x:c r="AL944" t="str">
        <x:f>_xlfn.XLOOKUP($A944,Games!$A$2:$A$18,Games!$G$2:$G$18,"Missing game",0)</x:f>
        <x:v>PHI</x:v>
      </x:c>
      <x:c r="AM944" t="n">
        <x:f>_xlfn.XLOOKUP($A944,Games!$A$2:$A$18,Games!$H$2:$H$18,"Missing game",0)</x:f>
        <x:v>28</x:v>
      </x:c>
      <x:c r="AN944" t="str">
        <x:f>_xlfn.XLOOKUP($A944,Games!$A$2:$A$18,Games!$I$2:$I$18,"Missing game",0)</x:f>
        <x:v>MIN</x:v>
      </x:c>
      <x:c r="AO944" t="n">
        <x:f>_xlfn.XLOOKUP($A944,Games!$A$2:$A$18,Games!$J$2:$J$18,"Missing game",0)</x:f>
        <x:v>22</x:v>
      </x:c>
      <x:c r="AP944" t="n">
        <x:f>_xlfn.XLOOKUP($A944,Games!$A$2:$A$18,Games!$K$2:$K$18,"Missing game",0)</x:f>
        <x:v>-6</x:v>
      </x:c>
      <x:c r="AQ944" t="n">
        <x:f>_xlfn.XLOOKUP($A944,Games!$A$2:$A$18,Games!$L$2:$L$18,"Missing game",0)</x:f>
        <x:v>50</x:v>
      </x:c>
      <x:c r="AR944" t="n">
        <x:f>_xlfn.XLOOKUP($A944,Games!$A$2:$A$18,Games!$M$2:$M$18,"Missing game",0)</x:f>
        <x:v>0</x:v>
      </x:c>
      <x:c r="AS944" t="str">
        <x:f>_xlfn.XLOOKUP($A944,Games!$A$2:$A$18,Games!$N$2:$N$18,"Missing game",0)</x:f>
        <x:v>dome</x:v>
      </x:c>
      <x:c r="AT944" t="str">
        <x:f>_xlfn.XLOOKUP($A944,Games!$A$2:$A$18,Games!$O$2:$O$18,"Missing game",0)</x:f>
        <x:v>sportturf</x:v>
      </x:c>
      <x:c r="AU944" t="str">
        <x:f>_xlfn.XLOOKUP($A944,Games!$A$2:$A$18,Games!$P$2:$P$18,"Missing game",0)</x:f>
      </x:c>
      <x:c r="AV944" t="str">
        <x:f>_xlfn.XLOOKUP($A944,Games!$A$2:$A$18,Games!$Q$2:$Q$18,"Missing game",0)</x:f>
      </x:c>
      <x:c r="AW944" t="str">
        <x:f>_xlfn.XLOOKUP($A944,Games!$A$2:$A$18,Games!$R$2:$R$18,"Missing game",0)</x:f>
        <x:v>U.S. Bank Stadium</x:v>
      </x:c>
    </x:row>
    <x:row r="945">
      <x:c r="A945" t="str">
        <x:v>2025_07_PHI_MIN</x:v>
      </x:c>
      <x:c r="B945" t="n">
        <x:v>2304</x:v>
      </x:c>
      <x:c r="C945" t="n">
        <x:v>3</x:v>
      </x:c>
      <x:c r="D945" t="str">
        <x:v>08:07</x:v>
      </x:c>
      <x:c r="E945"/>
      <x:c r="F945" t="n">
        <x:v>0</x:v>
      </x:c>
      <x:c r="G945" t="str">
        <x:v>PHI</x:v>
      </x:c>
      <x:c r="H945" t="str">
        <x:v>MIN</x:v>
      </x:c>
      <x:c r="I945" t="str">
        <x:v>MIN</x:v>
      </x:c>
      <x:c r="J945" t="n">
        <x:v>15</x:v>
      </x:c>
      <x:c r="K945" t="str">
        <x:v>4-J.Elliott extra point is GOOD, Center-57-C.Adomitis, Holder-10-B.Mann.</x:v>
      </x:c>
      <x:c r="L945" t="str">
        <x:v>extra_point</x:v>
      </x:c>
      <x:c r="M945" t="n">
        <x:v>0</x:v>
      </x:c>
      <x:c r="N945" t="n">
        <x:v>0</x:v>
      </x:c>
      <x:c r="O945" t="n">
        <x:v>0</x:v>
      </x:c>
      <x:c r="P945"/>
      <x:c r="Q945"/>
      <x:c r="R945"/>
      <x:c r="S945"/>
      <x:c r="T945"/>
      <x:c r="U945"/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/>
      <x:c r="AC945" t="n">
        <x:v>0</x:v>
      </x:c>
      <x:c r="AD945" t="n">
        <x:v>0.05117156607063911</x:v>
      </x:c>
      <x:c r="AE945" t="n">
        <x:v>1</x:v>
      </x:c>
      <x:c r="AF945" t="n">
        <x:v>0.0020642033491069522</x:v>
      </x:c>
      <x:c r="AG945" t="n">
        <x:f>_xlfn.XLOOKUP($A945,Games!$A$2:$A$18,Games!$B$2:$B$18,"Missing game",0)</x:f>
        <x:v>2025</x:v>
      </x:c>
      <x:c r="AH945" t="str">
        <x:f>_xlfn.XLOOKUP($A945,Games!$A$2:$A$18,Games!$C$2:$C$18,"Missing game",0)</x:f>
        <x:v>REG</x:v>
      </x:c>
      <x:c r="AI945" t="n">
        <x:f>_xlfn.XLOOKUP($A945,Games!$A$2:$A$18,Games!$D$2:$D$18,"Missing game",0)</x:f>
        <x:v>7</x:v>
      </x:c>
      <x:c r="AJ945" s="1" t="n">
        <x:f>_xlfn.XLOOKUP($A945,Games!$A$2:$A$18,Games!$E$2:$E$18,"Missing game",0)</x:f>
        <x:v>45949</x:v>
      </x:c>
      <x:c r="AK945" t="str">
        <x:f>_xlfn.XLOOKUP($A945,Games!$A$2:$A$18,Games!$F$2:$F$18,"Missing game",0)</x:f>
        <x:v>Sunday</x:v>
      </x:c>
      <x:c r="AL945" t="str">
        <x:f>_xlfn.XLOOKUP($A945,Games!$A$2:$A$18,Games!$G$2:$G$18,"Missing game",0)</x:f>
        <x:v>PHI</x:v>
      </x:c>
      <x:c r="AM945" t="n">
        <x:f>_xlfn.XLOOKUP($A945,Games!$A$2:$A$18,Games!$H$2:$H$18,"Missing game",0)</x:f>
        <x:v>28</x:v>
      </x:c>
      <x:c r="AN945" t="str">
        <x:f>_xlfn.XLOOKUP($A945,Games!$A$2:$A$18,Games!$I$2:$I$18,"Missing game",0)</x:f>
        <x:v>MIN</x:v>
      </x:c>
      <x:c r="AO945" t="n">
        <x:f>_xlfn.XLOOKUP($A945,Games!$A$2:$A$18,Games!$J$2:$J$18,"Missing game",0)</x:f>
        <x:v>22</x:v>
      </x:c>
      <x:c r="AP945" t="n">
        <x:f>_xlfn.XLOOKUP($A945,Games!$A$2:$A$18,Games!$K$2:$K$18,"Missing game",0)</x:f>
        <x:v>-6</x:v>
      </x:c>
      <x:c r="AQ945" t="n">
        <x:f>_xlfn.XLOOKUP($A945,Games!$A$2:$A$18,Games!$L$2:$L$18,"Missing game",0)</x:f>
        <x:v>50</x:v>
      </x:c>
      <x:c r="AR945" t="n">
        <x:f>_xlfn.XLOOKUP($A945,Games!$A$2:$A$18,Games!$M$2:$M$18,"Missing game",0)</x:f>
        <x:v>0</x:v>
      </x:c>
      <x:c r="AS945" t="str">
        <x:f>_xlfn.XLOOKUP($A945,Games!$A$2:$A$18,Games!$N$2:$N$18,"Missing game",0)</x:f>
        <x:v>dome</x:v>
      </x:c>
      <x:c r="AT945" t="str">
        <x:f>_xlfn.XLOOKUP($A945,Games!$A$2:$A$18,Games!$O$2:$O$18,"Missing game",0)</x:f>
        <x:v>sportturf</x:v>
      </x:c>
      <x:c r="AU945" t="str">
        <x:f>_xlfn.XLOOKUP($A945,Games!$A$2:$A$18,Games!$P$2:$P$18,"Missing game",0)</x:f>
      </x:c>
      <x:c r="AV945" t="str">
        <x:f>_xlfn.XLOOKUP($A945,Games!$A$2:$A$18,Games!$Q$2:$Q$18,"Missing game",0)</x:f>
      </x:c>
      <x:c r="AW945" t="str">
        <x:f>_xlfn.XLOOKUP($A945,Games!$A$2:$A$18,Games!$R$2:$R$18,"Missing game",0)</x:f>
        <x:v>U.S. Bank Stadium</x:v>
      </x:c>
    </x:row>
    <x:row r="946">
      <x:c r="A946" t="str">
        <x:v>2025_07_PHI_MIN</x:v>
      </x:c>
      <x:c r="B946" t="n">
        <x:v>2319</x:v>
      </x:c>
      <x:c r="C946" t="n">
        <x:v>3</x:v>
      </x:c>
      <x:c r="D946" t="str">
        <x:v>08:07</x:v>
      </x:c>
      <x:c r="E946"/>
      <x:c r="F946" t="n">
        <x:v>0</x:v>
      </x:c>
      <x:c r="G946" t="str">
        <x:v>MIN</x:v>
      </x:c>
      <x:c r="H946" t="str">
        <x:v>PHI</x:v>
      </x:c>
      <x:c r="I946" t="str">
        <x:v>PHI</x:v>
      </x:c>
      <x:c r="J946" t="n">
        <x:v>35</x:v>
      </x:c>
      <x:c r="K946" t="str">
        <x:v>4-J.Elliott kicks 43 yards from PHI 35 to MIN 22, short of landing zone. PENALTY on PHI-4-J.Elliott, Kickoff Short of Landing Zone, placed at MIN 40.</x:v>
      </x:c>
      <x:c r="L946" t="str">
        <x:v>kickoff</x:v>
      </x:c>
      <x:c r="M946" t="n">
        <x:v>0</x:v>
      </x:c>
      <x:c r="N946" t="n">
        <x:v>0</x:v>
      </x:c>
      <x:c r="O946" t="n">
        <x:v>0</x:v>
      </x:c>
      <x:c r="P946"/>
      <x:c r="Q946"/>
      <x:c r="R946"/>
      <x:c r="S946"/>
      <x:c r="T946"/>
      <x:c r="U946"/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1</x:v>
      </x:c>
      <x:c r="AB946" t="n">
        <x:v>0</x:v>
      </x:c>
      <x:c r="AC946" t="n">
        <x:v>0</x:v>
      </x:c>
      <x:c r="AD946" t="n">
        <x:v>0.8086895544547588</x:v>
      </x:c>
      <x:c r="AE946" t="n">
        <x:v>1</x:v>
      </x:c>
      <x:c r="AF946" t="n">
        <x:v>0.03596179187297821</x:v>
      </x:c>
      <x:c r="AG946" t="n">
        <x:f>_xlfn.XLOOKUP($A946,Games!$A$2:$A$18,Games!$B$2:$B$18,"Missing game",0)</x:f>
        <x:v>2025</x:v>
      </x:c>
      <x:c r="AH946" t="str">
        <x:f>_xlfn.XLOOKUP($A946,Games!$A$2:$A$18,Games!$C$2:$C$18,"Missing game",0)</x:f>
        <x:v>REG</x:v>
      </x:c>
      <x:c r="AI946" t="n">
        <x:f>_xlfn.XLOOKUP($A946,Games!$A$2:$A$18,Games!$D$2:$D$18,"Missing game",0)</x:f>
        <x:v>7</x:v>
      </x:c>
      <x:c r="AJ946" s="1" t="n">
        <x:f>_xlfn.XLOOKUP($A946,Games!$A$2:$A$18,Games!$E$2:$E$18,"Missing game",0)</x:f>
        <x:v>45949</x:v>
      </x:c>
      <x:c r="AK946" t="str">
        <x:f>_xlfn.XLOOKUP($A946,Games!$A$2:$A$18,Games!$F$2:$F$18,"Missing game",0)</x:f>
        <x:v>Sunday</x:v>
      </x:c>
      <x:c r="AL946" t="str">
        <x:f>_xlfn.XLOOKUP($A946,Games!$A$2:$A$18,Games!$G$2:$G$18,"Missing game",0)</x:f>
        <x:v>PHI</x:v>
      </x:c>
      <x:c r="AM946" t="n">
        <x:f>_xlfn.XLOOKUP($A946,Games!$A$2:$A$18,Games!$H$2:$H$18,"Missing game",0)</x:f>
        <x:v>28</x:v>
      </x:c>
      <x:c r="AN946" t="str">
        <x:f>_xlfn.XLOOKUP($A946,Games!$A$2:$A$18,Games!$I$2:$I$18,"Missing game",0)</x:f>
        <x:v>MIN</x:v>
      </x:c>
      <x:c r="AO946" t="n">
        <x:f>_xlfn.XLOOKUP($A946,Games!$A$2:$A$18,Games!$J$2:$J$18,"Missing game",0)</x:f>
        <x:v>22</x:v>
      </x:c>
      <x:c r="AP946" t="n">
        <x:f>_xlfn.XLOOKUP($A946,Games!$A$2:$A$18,Games!$K$2:$K$18,"Missing game",0)</x:f>
        <x:v>-6</x:v>
      </x:c>
      <x:c r="AQ946" t="n">
        <x:f>_xlfn.XLOOKUP($A946,Games!$A$2:$A$18,Games!$L$2:$L$18,"Missing game",0)</x:f>
        <x:v>50</x:v>
      </x:c>
      <x:c r="AR946" t="n">
        <x:f>_xlfn.XLOOKUP($A946,Games!$A$2:$A$18,Games!$M$2:$M$18,"Missing game",0)</x:f>
        <x:v>0</x:v>
      </x:c>
      <x:c r="AS946" t="str">
        <x:f>_xlfn.XLOOKUP($A946,Games!$A$2:$A$18,Games!$N$2:$N$18,"Missing game",0)</x:f>
        <x:v>dome</x:v>
      </x:c>
      <x:c r="AT946" t="str">
        <x:f>_xlfn.XLOOKUP($A946,Games!$A$2:$A$18,Games!$O$2:$O$18,"Missing game",0)</x:f>
        <x:v>sportturf</x:v>
      </x:c>
      <x:c r="AU946" t="str">
        <x:f>_xlfn.XLOOKUP($A946,Games!$A$2:$A$18,Games!$P$2:$P$18,"Missing game",0)</x:f>
      </x:c>
      <x:c r="AV946" t="str">
        <x:f>_xlfn.XLOOKUP($A946,Games!$A$2:$A$18,Games!$Q$2:$Q$18,"Missing game",0)</x:f>
      </x:c>
      <x:c r="AW946" t="str">
        <x:f>_xlfn.XLOOKUP($A946,Games!$A$2:$A$18,Games!$R$2:$R$18,"Missing game",0)</x:f>
        <x:v>U.S. Bank Stadium</x:v>
      </x:c>
    </x:row>
    <x:row r="947">
      <x:c r="A947" t="str">
        <x:v>2025_07_PHI_MIN</x:v>
      </x:c>
      <x:c r="B947" t="n">
        <x:v>2355</x:v>
      </x:c>
      <x:c r="C947" t="n">
        <x:v>3</x:v>
      </x:c>
      <x:c r="D947" t="str">
        <x:v>08:07</x:v>
      </x:c>
      <x:c r="E947" t="n">
        <x:v>1</x:v>
      </x:c>
      <x:c r="F947" t="n">
        <x:v>10</x:v>
      </x:c>
      <x:c r="G947" t="str">
        <x:v>MIN</x:v>
      </x:c>
      <x:c r="H947" t="str">
        <x:v>PHI</x:v>
      </x:c>
      <x:c r="I947" t="str">
        <x:v>MIN</x:v>
      </x:c>
      <x:c r="J947" t="n">
        <x:v>60</x:v>
      </x:c>
      <x:c r="K947" t="str">
        <x:v>(8:07) 11-C.Wentz pass incomplete short right to 87-T.Hockenson. PENALTY on PHI-58-J.Hunt, Defensive Pass Interference, 14 yards, enforced at MIN 40 - No Play.</x:v>
      </x:c>
      <x:c r="L947" t="str">
        <x:v>no_play</x:v>
      </x:c>
      <x:c r="M947" t="n">
        <x:v>0</x:v>
      </x:c>
      <x:c r="N947" t="n">
        <x:v>0</x:v>
      </x:c>
      <x:c r="O947" t="n">
        <x:v>0</x:v>
      </x:c>
      <x:c r="P947"/>
      <x:c r="Q947"/>
      <x:c r="R947"/>
      <x:c r="S947"/>
      <x:c r="T947"/>
      <x:c r="U947"/>
      <x:c r="V947" t="n">
        <x:v>0</x:v>
      </x:c>
      <x:c r="W947" t="n">
        <x:v>1</x:v>
      </x:c>
      <x:c r="X947" t="n">
        <x:v>0</x:v>
      </x:c>
      <x:c r="Y947" t="n">
        <x:v>0</x:v>
      </x:c>
      <x:c r="Z947" t="n">
        <x:v>0</x:v>
      </x:c>
      <x:c r="AA947" t="n">
        <x:v>1</x:v>
      </x:c>
      <x:c r="AB947" t="n">
        <x:v>14</x:v>
      </x:c>
      <x:c r="AC947" t="n">
        <x:v>0</x:v>
      </x:c>
      <x:c r="AD947" t="n">
        <x:v>0.8445768251549453</x:v>
      </x:c>
      <x:c r="AE947" t="n">
        <x:v>1</x:v>
      </x:c>
      <x:c r="AF947" t="n">
        <x:v>0.012294188141822815</x:v>
      </x:c>
      <x:c r="AG947" t="n">
        <x:f>_xlfn.XLOOKUP($A947,Games!$A$2:$A$18,Games!$B$2:$B$18,"Missing game",0)</x:f>
        <x:v>2025</x:v>
      </x:c>
      <x:c r="AH947" t="str">
        <x:f>_xlfn.XLOOKUP($A947,Games!$A$2:$A$18,Games!$C$2:$C$18,"Missing game",0)</x:f>
        <x:v>REG</x:v>
      </x:c>
      <x:c r="AI947" t="n">
        <x:f>_xlfn.XLOOKUP($A947,Games!$A$2:$A$18,Games!$D$2:$D$18,"Missing game",0)</x:f>
        <x:v>7</x:v>
      </x:c>
      <x:c r="AJ947" s="1" t="n">
        <x:f>_xlfn.XLOOKUP($A947,Games!$A$2:$A$18,Games!$E$2:$E$18,"Missing game",0)</x:f>
        <x:v>45949</x:v>
      </x:c>
      <x:c r="AK947" t="str">
        <x:f>_xlfn.XLOOKUP($A947,Games!$A$2:$A$18,Games!$F$2:$F$18,"Missing game",0)</x:f>
        <x:v>Sunday</x:v>
      </x:c>
      <x:c r="AL947" t="str">
        <x:f>_xlfn.XLOOKUP($A947,Games!$A$2:$A$18,Games!$G$2:$G$18,"Missing game",0)</x:f>
        <x:v>PHI</x:v>
      </x:c>
      <x:c r="AM947" t="n">
        <x:f>_xlfn.XLOOKUP($A947,Games!$A$2:$A$18,Games!$H$2:$H$18,"Missing game",0)</x:f>
        <x:v>28</x:v>
      </x:c>
      <x:c r="AN947" t="str">
        <x:f>_xlfn.XLOOKUP($A947,Games!$A$2:$A$18,Games!$I$2:$I$18,"Missing game",0)</x:f>
        <x:v>MIN</x:v>
      </x:c>
      <x:c r="AO947" t="n">
        <x:f>_xlfn.XLOOKUP($A947,Games!$A$2:$A$18,Games!$J$2:$J$18,"Missing game",0)</x:f>
        <x:v>22</x:v>
      </x:c>
      <x:c r="AP947" t="n">
        <x:f>_xlfn.XLOOKUP($A947,Games!$A$2:$A$18,Games!$K$2:$K$18,"Missing game",0)</x:f>
        <x:v>-6</x:v>
      </x:c>
      <x:c r="AQ947" t="n">
        <x:f>_xlfn.XLOOKUP($A947,Games!$A$2:$A$18,Games!$L$2:$L$18,"Missing game",0)</x:f>
        <x:v>50</x:v>
      </x:c>
      <x:c r="AR947" t="n">
        <x:f>_xlfn.XLOOKUP($A947,Games!$A$2:$A$18,Games!$M$2:$M$18,"Missing game",0)</x:f>
        <x:v>0</x:v>
      </x:c>
      <x:c r="AS947" t="str">
        <x:f>_xlfn.XLOOKUP($A947,Games!$A$2:$A$18,Games!$N$2:$N$18,"Missing game",0)</x:f>
        <x:v>dome</x:v>
      </x:c>
      <x:c r="AT947" t="str">
        <x:f>_xlfn.XLOOKUP($A947,Games!$A$2:$A$18,Games!$O$2:$O$18,"Missing game",0)</x:f>
        <x:v>sportturf</x:v>
      </x:c>
      <x:c r="AU947" t="str">
        <x:f>_xlfn.XLOOKUP($A947,Games!$A$2:$A$18,Games!$P$2:$P$18,"Missing game",0)</x:f>
      </x:c>
      <x:c r="AV947" t="str">
        <x:f>_xlfn.XLOOKUP($A947,Games!$A$2:$A$18,Games!$Q$2:$Q$18,"Missing game",0)</x:f>
      </x:c>
      <x:c r="AW947" t="str">
        <x:f>_xlfn.XLOOKUP($A947,Games!$A$2:$A$18,Games!$R$2:$R$18,"Missing game",0)</x:f>
        <x:v>U.S. Bank Stadium</x:v>
      </x:c>
    </x:row>
    <x:row r="948">
      <x:c r="A948" t="str">
        <x:v>2025_07_PHI_MIN</x:v>
      </x:c>
      <x:c r="B948" t="n">
        <x:v>2389</x:v>
      </x:c>
      <x:c r="C948" t="n">
        <x:v>3</x:v>
      </x:c>
      <x:c r="D948" t="str">
        <x:v>08:00</x:v>
      </x:c>
      <x:c r="E948" t="n">
        <x:v>1</x:v>
      </x:c>
      <x:c r="F948" t="n">
        <x:v>10</x:v>
      </x:c>
      <x:c r="G948" t="str">
        <x:v>MIN</x:v>
      </x:c>
      <x:c r="H948" t="str">
        <x:v>PHI</x:v>
      </x:c>
      <x:c r="I948" t="str">
        <x:v>PHI</x:v>
      </x:c>
      <x:c r="J948" t="n">
        <x:v>46</x:v>
      </x:c>
      <x:c r="K948" t="str">
        <x:v>(8:00) 36-Z.Scott left end to 50 for -4 yards (17-N.Dean).</x:v>
      </x:c>
      <x:c r="L948" t="str">
        <x:v>run</x:v>
      </x:c>
      <x:c r="M948" t="n">
        <x:v>-4</x:v>
      </x:c>
      <x:c r="N948" t="n">
        <x:v>0</x:v>
      </x:c>
      <x:c r="O948" t="n">
        <x:v>0</x:v>
      </x:c>
      <x:c r="P948"/>
      <x:c r="Q948"/>
      <x:c r="R948"/>
      <x:c r="S948"/>
      <x:c r="T948" t="str">
        <x:v>left</x:v>
      </x:c>
      <x:c r="U948" t="str">
        <x:v>end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/>
      <x:c r="AC948" t="n">
        <x:v>0</x:v>
      </x:c>
      <x:c r="AD948" t="n">
        <x:v>-1.11484358436428</x:v>
      </x:c>
      <x:c r="AE948" t="n">
        <x:v>0</x:v>
      </x:c>
      <x:c r="AF948" t="n">
        <x:v>-0.02108551561832428</x:v>
      </x:c>
      <x:c r="AG948" t="n">
        <x:f>_xlfn.XLOOKUP($A948,Games!$A$2:$A$18,Games!$B$2:$B$18,"Missing game",0)</x:f>
        <x:v>2025</x:v>
      </x:c>
      <x:c r="AH948" t="str">
        <x:f>_xlfn.XLOOKUP($A948,Games!$A$2:$A$18,Games!$C$2:$C$18,"Missing game",0)</x:f>
        <x:v>REG</x:v>
      </x:c>
      <x:c r="AI948" t="n">
        <x:f>_xlfn.XLOOKUP($A948,Games!$A$2:$A$18,Games!$D$2:$D$18,"Missing game",0)</x:f>
        <x:v>7</x:v>
      </x:c>
      <x:c r="AJ948" s="1" t="n">
        <x:f>_xlfn.XLOOKUP($A948,Games!$A$2:$A$18,Games!$E$2:$E$18,"Missing game",0)</x:f>
        <x:v>45949</x:v>
      </x:c>
      <x:c r="AK948" t="str">
        <x:f>_xlfn.XLOOKUP($A948,Games!$A$2:$A$18,Games!$F$2:$F$18,"Missing game",0)</x:f>
        <x:v>Sunday</x:v>
      </x:c>
      <x:c r="AL948" t="str">
        <x:f>_xlfn.XLOOKUP($A948,Games!$A$2:$A$18,Games!$G$2:$G$18,"Missing game",0)</x:f>
        <x:v>PHI</x:v>
      </x:c>
      <x:c r="AM948" t="n">
        <x:f>_xlfn.XLOOKUP($A948,Games!$A$2:$A$18,Games!$H$2:$H$18,"Missing game",0)</x:f>
        <x:v>28</x:v>
      </x:c>
      <x:c r="AN948" t="str">
        <x:f>_xlfn.XLOOKUP($A948,Games!$A$2:$A$18,Games!$I$2:$I$18,"Missing game",0)</x:f>
        <x:v>MIN</x:v>
      </x:c>
      <x:c r="AO948" t="n">
        <x:f>_xlfn.XLOOKUP($A948,Games!$A$2:$A$18,Games!$J$2:$J$18,"Missing game",0)</x:f>
        <x:v>22</x:v>
      </x:c>
      <x:c r="AP948" t="n">
        <x:f>_xlfn.XLOOKUP($A948,Games!$A$2:$A$18,Games!$K$2:$K$18,"Missing game",0)</x:f>
        <x:v>-6</x:v>
      </x:c>
      <x:c r="AQ948" t="n">
        <x:f>_xlfn.XLOOKUP($A948,Games!$A$2:$A$18,Games!$L$2:$L$18,"Missing game",0)</x:f>
        <x:v>50</x:v>
      </x:c>
      <x:c r="AR948" t="n">
        <x:f>_xlfn.XLOOKUP($A948,Games!$A$2:$A$18,Games!$M$2:$M$18,"Missing game",0)</x:f>
        <x:v>0</x:v>
      </x:c>
      <x:c r="AS948" t="str">
        <x:f>_xlfn.XLOOKUP($A948,Games!$A$2:$A$18,Games!$N$2:$N$18,"Missing game",0)</x:f>
        <x:v>dome</x:v>
      </x:c>
      <x:c r="AT948" t="str">
        <x:f>_xlfn.XLOOKUP($A948,Games!$A$2:$A$18,Games!$O$2:$O$18,"Missing game",0)</x:f>
        <x:v>sportturf</x:v>
      </x:c>
      <x:c r="AU948" t="str">
        <x:f>_xlfn.XLOOKUP($A948,Games!$A$2:$A$18,Games!$P$2:$P$18,"Missing game",0)</x:f>
      </x:c>
      <x:c r="AV948" t="str">
        <x:f>_xlfn.XLOOKUP($A948,Games!$A$2:$A$18,Games!$Q$2:$Q$18,"Missing game",0)</x:f>
      </x:c>
      <x:c r="AW948" t="str">
        <x:f>_xlfn.XLOOKUP($A948,Games!$A$2:$A$18,Games!$R$2:$R$18,"Missing game",0)</x:f>
        <x:v>U.S. Bank Stadium</x:v>
      </x:c>
    </x:row>
    <x:row r="949">
      <x:c r="A949" t="str">
        <x:v>2025_07_PHI_MIN</x:v>
      </x:c>
      <x:c r="B949" t="n">
        <x:v>2411</x:v>
      </x:c>
      <x:c r="C949" t="n">
        <x:v>3</x:v>
      </x:c>
      <x:c r="D949" t="str">
        <x:v>07:17</x:v>
      </x:c>
      <x:c r="E949" t="n">
        <x:v>2</x:v>
      </x:c>
      <x:c r="F949" t="n">
        <x:v>14</x:v>
      </x:c>
      <x:c r="G949" t="str">
        <x:v>MIN</x:v>
      </x:c>
      <x:c r="H949" t="str">
        <x:v>PHI</x:v>
      </x:c>
      <x:c r="I949" t="str">
        <x:v>50</x:v>
      </x:c>
      <x:c r="J949" t="n">
        <x:v>50</x:v>
      </x:c>
      <x:c r="K949" t="str">
        <x:v>(7:17) (Shotgun) 11-C.Wentz pass short middle to 87-T.Hockenson to PHI 40 for 10 yards (30-J.Campbell).</x:v>
      </x:c>
      <x:c r="L949" t="str">
        <x:v>pass</x:v>
      </x:c>
      <x:c r="M949" t="n">
        <x:v>10</x:v>
      </x:c>
      <x:c r="N949" t="n">
        <x:v>1</x:v>
      </x:c>
      <x:c r="O949" t="n">
        <x:v>0</x:v>
      </x:c>
      <x:c r="P949" t="str">
        <x:v>short</x:v>
      </x:c>
      <x:c r="Q949" t="str">
        <x:v>middle</x:v>
      </x:c>
      <x:c r="R949" t="n">
        <x:v>7</x:v>
      </x:c>
      <x:c r="S949" t="n">
        <x:v>3</x:v>
      </x:c>
      <x:c r="T949"/>
      <x:c r="U949"/>
      <x:c r="V949" t="n">
        <x:v>1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/>
      <x:c r="AC949" t="n">
        <x:v>0</x:v>
      </x:c>
      <x:c r="AD949" t="n">
        <x:v>0.4722863072529435</x:v>
      </x:c>
      <x:c r="AE949" t="n">
        <x:v>1</x:v>
      </x:c>
      <x:c r="AF949" t="n">
        <x:v>0.01107516884803772</x:v>
      </x:c>
      <x:c r="AG949" t="n">
        <x:f>_xlfn.XLOOKUP($A949,Games!$A$2:$A$18,Games!$B$2:$B$18,"Missing game",0)</x:f>
        <x:v>2025</x:v>
      </x:c>
      <x:c r="AH949" t="str">
        <x:f>_xlfn.XLOOKUP($A949,Games!$A$2:$A$18,Games!$C$2:$C$18,"Missing game",0)</x:f>
        <x:v>REG</x:v>
      </x:c>
      <x:c r="AI949" t="n">
        <x:f>_xlfn.XLOOKUP($A949,Games!$A$2:$A$18,Games!$D$2:$D$18,"Missing game",0)</x:f>
        <x:v>7</x:v>
      </x:c>
      <x:c r="AJ949" s="1" t="n">
        <x:f>_xlfn.XLOOKUP($A949,Games!$A$2:$A$18,Games!$E$2:$E$18,"Missing game",0)</x:f>
        <x:v>45949</x:v>
      </x:c>
      <x:c r="AK949" t="str">
        <x:f>_xlfn.XLOOKUP($A949,Games!$A$2:$A$18,Games!$F$2:$F$18,"Missing game",0)</x:f>
        <x:v>Sunday</x:v>
      </x:c>
      <x:c r="AL949" t="str">
        <x:f>_xlfn.XLOOKUP($A949,Games!$A$2:$A$18,Games!$G$2:$G$18,"Missing game",0)</x:f>
        <x:v>PHI</x:v>
      </x:c>
      <x:c r="AM949" t="n">
        <x:f>_xlfn.XLOOKUP($A949,Games!$A$2:$A$18,Games!$H$2:$H$18,"Missing game",0)</x:f>
        <x:v>28</x:v>
      </x:c>
      <x:c r="AN949" t="str">
        <x:f>_xlfn.XLOOKUP($A949,Games!$A$2:$A$18,Games!$I$2:$I$18,"Missing game",0)</x:f>
        <x:v>MIN</x:v>
      </x:c>
      <x:c r="AO949" t="n">
        <x:f>_xlfn.XLOOKUP($A949,Games!$A$2:$A$18,Games!$J$2:$J$18,"Missing game",0)</x:f>
        <x:v>22</x:v>
      </x:c>
      <x:c r="AP949" t="n">
        <x:f>_xlfn.XLOOKUP($A949,Games!$A$2:$A$18,Games!$K$2:$K$18,"Missing game",0)</x:f>
        <x:v>-6</x:v>
      </x:c>
      <x:c r="AQ949" t="n">
        <x:f>_xlfn.XLOOKUP($A949,Games!$A$2:$A$18,Games!$L$2:$L$18,"Missing game",0)</x:f>
        <x:v>50</x:v>
      </x:c>
      <x:c r="AR949" t="n">
        <x:f>_xlfn.XLOOKUP($A949,Games!$A$2:$A$18,Games!$M$2:$M$18,"Missing game",0)</x:f>
        <x:v>0</x:v>
      </x:c>
      <x:c r="AS949" t="str">
        <x:f>_xlfn.XLOOKUP($A949,Games!$A$2:$A$18,Games!$N$2:$N$18,"Missing game",0)</x:f>
        <x:v>dome</x:v>
      </x:c>
      <x:c r="AT949" t="str">
        <x:f>_xlfn.XLOOKUP($A949,Games!$A$2:$A$18,Games!$O$2:$O$18,"Missing game",0)</x:f>
        <x:v>sportturf</x:v>
      </x:c>
      <x:c r="AU949" t="str">
        <x:f>_xlfn.XLOOKUP($A949,Games!$A$2:$A$18,Games!$P$2:$P$18,"Missing game",0)</x:f>
      </x:c>
      <x:c r="AV949" t="str">
        <x:f>_xlfn.XLOOKUP($A949,Games!$A$2:$A$18,Games!$Q$2:$Q$18,"Missing game",0)</x:f>
      </x:c>
      <x:c r="AW949" t="str">
        <x:f>_xlfn.XLOOKUP($A949,Games!$A$2:$A$18,Games!$R$2:$R$18,"Missing game",0)</x:f>
        <x:v>U.S. Bank Stadium</x:v>
      </x:c>
    </x:row>
    <x:row r="950">
      <x:c r="A950" t="str">
        <x:v>2025_07_PHI_MIN</x:v>
      </x:c>
      <x:c r="B950" t="n">
        <x:v>2436</x:v>
      </x:c>
      <x:c r="C950" t="n">
        <x:v>3</x:v>
      </x:c>
      <x:c r="D950" t="str">
        <x:v>06:33</x:v>
      </x:c>
      <x:c r="E950" t="n">
        <x:v>3</x:v>
      </x:c>
      <x:c r="F950" t="n">
        <x:v>4</x:v>
      </x:c>
      <x:c r="G950" t="str">
        <x:v>MIN</x:v>
      </x:c>
      <x:c r="H950" t="str">
        <x:v>PHI</x:v>
      </x:c>
      <x:c r="I950" t="str">
        <x:v>PHI</x:v>
      </x:c>
      <x:c r="J950" t="n">
        <x:v>40</x:v>
      </x:c>
      <x:c r="K950" t="str">
        <x:v>(6:33) (Shotgun) 11-C.Wentz pass short left to 1-J.Nailor to PHI 29 for 11 yards (8-A.Jackson).</x:v>
      </x:c>
      <x:c r="L950" t="str">
        <x:v>pass</x:v>
      </x:c>
      <x:c r="M950" t="n">
        <x:v>11</x:v>
      </x:c>
      <x:c r="N950" t="n">
        <x:v>1</x:v>
      </x:c>
      <x:c r="O950" t="n">
        <x:v>0</x:v>
      </x:c>
      <x:c r="P950" t="str">
        <x:v>short</x:v>
      </x:c>
      <x:c r="Q950" t="str">
        <x:v>left</x:v>
      </x:c>
      <x:c r="R950" t="n">
        <x:v>11</x:v>
      </x:c>
      <x:c r="S950" t="n">
        <x:v>0</x:v>
      </x:c>
      <x:c r="T950"/>
      <x:c r="U950"/>
      <x:c r="V950" t="n">
        <x:v>1</x:v>
      </x:c>
      <x:c r="W950" t="n">
        <x:v>1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/>
      <x:c r="AC950" t="n">
        <x:v>0</x:v>
      </x:c>
      <x:c r="AD950" t="n">
        <x:v>1.698267800384201</x:v>
      </x:c>
      <x:c r="AE950" t="n">
        <x:v>1</x:v>
      </x:c>
      <x:c r="AF950" t="n">
        <x:v>0.011467471718788147</x:v>
      </x:c>
      <x:c r="AG950" t="n">
        <x:f>_xlfn.XLOOKUP($A950,Games!$A$2:$A$18,Games!$B$2:$B$18,"Missing game",0)</x:f>
        <x:v>2025</x:v>
      </x:c>
      <x:c r="AH950" t="str">
        <x:f>_xlfn.XLOOKUP($A950,Games!$A$2:$A$18,Games!$C$2:$C$18,"Missing game",0)</x:f>
        <x:v>REG</x:v>
      </x:c>
      <x:c r="AI950" t="n">
        <x:f>_xlfn.XLOOKUP($A950,Games!$A$2:$A$18,Games!$D$2:$D$18,"Missing game",0)</x:f>
        <x:v>7</x:v>
      </x:c>
      <x:c r="AJ950" s="1" t="n">
        <x:f>_xlfn.XLOOKUP($A950,Games!$A$2:$A$18,Games!$E$2:$E$18,"Missing game",0)</x:f>
        <x:v>45949</x:v>
      </x:c>
      <x:c r="AK950" t="str">
        <x:f>_xlfn.XLOOKUP($A950,Games!$A$2:$A$18,Games!$F$2:$F$18,"Missing game",0)</x:f>
        <x:v>Sunday</x:v>
      </x:c>
      <x:c r="AL950" t="str">
        <x:f>_xlfn.XLOOKUP($A950,Games!$A$2:$A$18,Games!$G$2:$G$18,"Missing game",0)</x:f>
        <x:v>PHI</x:v>
      </x:c>
      <x:c r="AM950" t="n">
        <x:f>_xlfn.XLOOKUP($A950,Games!$A$2:$A$18,Games!$H$2:$H$18,"Missing game",0)</x:f>
        <x:v>28</x:v>
      </x:c>
      <x:c r="AN950" t="str">
        <x:f>_xlfn.XLOOKUP($A950,Games!$A$2:$A$18,Games!$I$2:$I$18,"Missing game",0)</x:f>
        <x:v>MIN</x:v>
      </x:c>
      <x:c r="AO950" t="n">
        <x:f>_xlfn.XLOOKUP($A950,Games!$A$2:$A$18,Games!$J$2:$J$18,"Missing game",0)</x:f>
        <x:v>22</x:v>
      </x:c>
      <x:c r="AP950" t="n">
        <x:f>_xlfn.XLOOKUP($A950,Games!$A$2:$A$18,Games!$K$2:$K$18,"Missing game",0)</x:f>
        <x:v>-6</x:v>
      </x:c>
      <x:c r="AQ950" t="n">
        <x:f>_xlfn.XLOOKUP($A950,Games!$A$2:$A$18,Games!$L$2:$L$18,"Missing game",0)</x:f>
        <x:v>50</x:v>
      </x:c>
      <x:c r="AR950" t="n">
        <x:f>_xlfn.XLOOKUP($A950,Games!$A$2:$A$18,Games!$M$2:$M$18,"Missing game",0)</x:f>
        <x:v>0</x:v>
      </x:c>
      <x:c r="AS950" t="str">
        <x:f>_xlfn.XLOOKUP($A950,Games!$A$2:$A$18,Games!$N$2:$N$18,"Missing game",0)</x:f>
        <x:v>dome</x:v>
      </x:c>
      <x:c r="AT950" t="str">
        <x:f>_xlfn.XLOOKUP($A950,Games!$A$2:$A$18,Games!$O$2:$O$18,"Missing game",0)</x:f>
        <x:v>sportturf</x:v>
      </x:c>
      <x:c r="AU950" t="str">
        <x:f>_xlfn.XLOOKUP($A950,Games!$A$2:$A$18,Games!$P$2:$P$18,"Missing game",0)</x:f>
      </x:c>
      <x:c r="AV950" t="str">
        <x:f>_xlfn.XLOOKUP($A950,Games!$A$2:$A$18,Games!$Q$2:$Q$18,"Missing game",0)</x:f>
      </x:c>
      <x:c r="AW950" t="str">
        <x:f>_xlfn.XLOOKUP($A950,Games!$A$2:$A$18,Games!$R$2:$R$18,"Missing game",0)</x:f>
        <x:v>U.S. Bank Stadium</x:v>
      </x:c>
    </x:row>
    <x:row r="951">
      <x:c r="A951" t="str">
        <x:v>2025_07_PHI_MIN</x:v>
      </x:c>
      <x:c r="B951" t="n">
        <x:v>2461</x:v>
      </x:c>
      <x:c r="C951" t="n">
        <x:v>3</x:v>
      </x:c>
      <x:c r="D951" t="str">
        <x:v>06:04</x:v>
      </x:c>
      <x:c r="E951" t="n">
        <x:v>1</x:v>
      </x:c>
      <x:c r="F951" t="n">
        <x:v>10</x:v>
      </x:c>
      <x:c r="G951" t="str">
        <x:v>MIN</x:v>
      </x:c>
      <x:c r="H951" t="str">
        <x:v>PHI</x:v>
      </x:c>
      <x:c r="I951" t="str">
        <x:v>PHI</x:v>
      </x:c>
      <x:c r="J951" t="n">
        <x:v>29</x:v>
      </x:c>
      <x:c r="K951" t="str">
        <x:v>(6:04) (No Huddle, Shotgun) 11-C.Wentz pass short middle to 87-T.Hockenson to PHI 19 for 10 yards (53-Z.Baun; 8-A.Jackson). PHI-8-A.Jackson was injured during the play.</x:v>
      </x:c>
      <x:c r="L951" t="str">
        <x:v>pass</x:v>
      </x:c>
      <x:c r="M951" t="n">
        <x:v>10</x:v>
      </x:c>
      <x:c r="N951" t="n">
        <x:v>1</x:v>
      </x:c>
      <x:c r="O951" t="n">
        <x:v>1</x:v>
      </x:c>
      <x:c r="P951" t="str">
        <x:v>short</x:v>
      </x:c>
      <x:c r="Q951" t="str">
        <x:v>middle</x:v>
      </x:c>
      <x:c r="R951" t="n">
        <x:v>4</x:v>
      </x:c>
      <x:c r="S951" t="n">
        <x:v>6</x:v>
      </x:c>
      <x:c r="T951"/>
      <x:c r="U951"/>
      <x:c r="V951" t="n">
        <x:v>1</x:v>
      </x:c>
      <x:c r="W951" t="n">
        <x:v>1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/>
      <x:c r="AC951" t="n">
        <x:v>0</x:v>
      </x:c>
      <x:c r="AD951" t="n">
        <x:v>0.6242098629008979</x:v>
      </x:c>
      <x:c r="AE951" t="n">
        <x:v>1</x:v>
      </x:c>
      <x:c r="AF951" t="n">
        <x:v>0.03168010711669922</x:v>
      </x:c>
      <x:c r="AG951" t="n">
        <x:f>_xlfn.XLOOKUP($A951,Games!$A$2:$A$18,Games!$B$2:$B$18,"Missing game",0)</x:f>
        <x:v>2025</x:v>
      </x:c>
      <x:c r="AH951" t="str">
        <x:f>_xlfn.XLOOKUP($A951,Games!$A$2:$A$18,Games!$C$2:$C$18,"Missing game",0)</x:f>
        <x:v>REG</x:v>
      </x:c>
      <x:c r="AI951" t="n">
        <x:f>_xlfn.XLOOKUP($A951,Games!$A$2:$A$18,Games!$D$2:$D$18,"Missing game",0)</x:f>
        <x:v>7</x:v>
      </x:c>
      <x:c r="AJ951" s="1" t="n">
        <x:f>_xlfn.XLOOKUP($A951,Games!$A$2:$A$18,Games!$E$2:$E$18,"Missing game",0)</x:f>
        <x:v>45949</x:v>
      </x:c>
      <x:c r="AK951" t="str">
        <x:f>_xlfn.XLOOKUP($A951,Games!$A$2:$A$18,Games!$F$2:$F$18,"Missing game",0)</x:f>
        <x:v>Sunday</x:v>
      </x:c>
      <x:c r="AL951" t="str">
        <x:f>_xlfn.XLOOKUP($A951,Games!$A$2:$A$18,Games!$G$2:$G$18,"Missing game",0)</x:f>
        <x:v>PHI</x:v>
      </x:c>
      <x:c r="AM951" t="n">
        <x:f>_xlfn.XLOOKUP($A951,Games!$A$2:$A$18,Games!$H$2:$H$18,"Missing game",0)</x:f>
        <x:v>28</x:v>
      </x:c>
      <x:c r="AN951" t="str">
        <x:f>_xlfn.XLOOKUP($A951,Games!$A$2:$A$18,Games!$I$2:$I$18,"Missing game",0)</x:f>
        <x:v>MIN</x:v>
      </x:c>
      <x:c r="AO951" t="n">
        <x:f>_xlfn.XLOOKUP($A951,Games!$A$2:$A$18,Games!$J$2:$J$18,"Missing game",0)</x:f>
        <x:v>22</x:v>
      </x:c>
      <x:c r="AP951" t="n">
        <x:f>_xlfn.XLOOKUP($A951,Games!$A$2:$A$18,Games!$K$2:$K$18,"Missing game",0)</x:f>
        <x:v>-6</x:v>
      </x:c>
      <x:c r="AQ951" t="n">
        <x:f>_xlfn.XLOOKUP($A951,Games!$A$2:$A$18,Games!$L$2:$L$18,"Missing game",0)</x:f>
        <x:v>50</x:v>
      </x:c>
      <x:c r="AR951" t="n">
        <x:f>_xlfn.XLOOKUP($A951,Games!$A$2:$A$18,Games!$M$2:$M$18,"Missing game",0)</x:f>
        <x:v>0</x:v>
      </x:c>
      <x:c r="AS951" t="str">
        <x:f>_xlfn.XLOOKUP($A951,Games!$A$2:$A$18,Games!$N$2:$N$18,"Missing game",0)</x:f>
        <x:v>dome</x:v>
      </x:c>
      <x:c r="AT951" t="str">
        <x:f>_xlfn.XLOOKUP($A951,Games!$A$2:$A$18,Games!$O$2:$O$18,"Missing game",0)</x:f>
        <x:v>sportturf</x:v>
      </x:c>
      <x:c r="AU951" t="str">
        <x:f>_xlfn.XLOOKUP($A951,Games!$A$2:$A$18,Games!$P$2:$P$18,"Missing game",0)</x:f>
      </x:c>
      <x:c r="AV951" t="str">
        <x:f>_xlfn.XLOOKUP($A951,Games!$A$2:$A$18,Games!$Q$2:$Q$18,"Missing game",0)</x:f>
      </x:c>
      <x:c r="AW951" t="str">
        <x:f>_xlfn.XLOOKUP($A951,Games!$A$2:$A$18,Games!$R$2:$R$18,"Missing game",0)</x:f>
        <x:v>U.S. Bank Stadium</x:v>
      </x:c>
    </x:row>
    <x:row r="952">
      <x:c r="A952" t="str">
        <x:v>2025_07_PHI_MIN</x:v>
      </x:c>
      <x:c r="B952" t="n">
        <x:v>2489</x:v>
      </x:c>
      <x:c r="C952" t="n">
        <x:v>3</x:v>
      </x:c>
      <x:c r="D952" t="str">
        <x:v>05:43</x:v>
      </x:c>
      <x:c r="E952" t="n">
        <x:v>1</x:v>
      </x:c>
      <x:c r="F952" t="n">
        <x:v>10</x:v>
      </x:c>
      <x:c r="G952" t="str">
        <x:v>MIN</x:v>
      </x:c>
      <x:c r="H952" t="str">
        <x:v>PHI</x:v>
      </x:c>
      <x:c r="I952" t="str">
        <x:v>PHI</x:v>
      </x:c>
      <x:c r="J952" t="n">
        <x:v>19</x:v>
      </x:c>
      <x:c r="K952" t="str">
        <x:v>(5:43) 36-Z.Scott up the middle to PHI 14 for 5 yards (98-J.Carter, 24-A.Mukuba).</x:v>
      </x:c>
      <x:c r="L952" t="str">
        <x:v>run</x:v>
      </x:c>
      <x:c r="M952" t="n">
        <x:v>5</x:v>
      </x:c>
      <x:c r="N952" t="n">
        <x:v>0</x:v>
      </x:c>
      <x:c r="O952" t="n">
        <x:v>0</x:v>
      </x:c>
      <x:c r="P952"/>
      <x:c r="Q952"/>
      <x:c r="R952"/>
      <x:c r="S952"/>
      <x:c r="T952" t="str">
        <x:v>middle</x:v>
      </x:c>
      <x:c r="U952"/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/>
      <x:c r="AC952" t="n">
        <x:v>0</x:v>
      </x:c>
      <x:c r="AD952" t="n">
        <x:v>0.1299877689452842</x:v>
      </x:c>
      <x:c r="AE952" t="n">
        <x:v>1</x:v>
      </x:c>
      <x:c r="AF952" t="n">
        <x:v>-0.024975642561912537</x:v>
      </x:c>
      <x:c r="AG952" t="n">
        <x:f>_xlfn.XLOOKUP($A952,Games!$A$2:$A$18,Games!$B$2:$B$18,"Missing game",0)</x:f>
        <x:v>2025</x:v>
      </x:c>
      <x:c r="AH952" t="str">
        <x:f>_xlfn.XLOOKUP($A952,Games!$A$2:$A$18,Games!$C$2:$C$18,"Missing game",0)</x:f>
        <x:v>REG</x:v>
      </x:c>
      <x:c r="AI952" t="n">
        <x:f>_xlfn.XLOOKUP($A952,Games!$A$2:$A$18,Games!$D$2:$D$18,"Missing game",0)</x:f>
        <x:v>7</x:v>
      </x:c>
      <x:c r="AJ952" s="1" t="n">
        <x:f>_xlfn.XLOOKUP($A952,Games!$A$2:$A$18,Games!$E$2:$E$18,"Missing game",0)</x:f>
        <x:v>45949</x:v>
      </x:c>
      <x:c r="AK952" t="str">
        <x:f>_xlfn.XLOOKUP($A952,Games!$A$2:$A$18,Games!$F$2:$F$18,"Missing game",0)</x:f>
        <x:v>Sunday</x:v>
      </x:c>
      <x:c r="AL952" t="str">
        <x:f>_xlfn.XLOOKUP($A952,Games!$A$2:$A$18,Games!$G$2:$G$18,"Missing game",0)</x:f>
        <x:v>PHI</x:v>
      </x:c>
      <x:c r="AM952" t="n">
        <x:f>_xlfn.XLOOKUP($A952,Games!$A$2:$A$18,Games!$H$2:$H$18,"Missing game",0)</x:f>
        <x:v>28</x:v>
      </x:c>
      <x:c r="AN952" t="str">
        <x:f>_xlfn.XLOOKUP($A952,Games!$A$2:$A$18,Games!$I$2:$I$18,"Missing game",0)</x:f>
        <x:v>MIN</x:v>
      </x:c>
      <x:c r="AO952" t="n">
        <x:f>_xlfn.XLOOKUP($A952,Games!$A$2:$A$18,Games!$J$2:$J$18,"Missing game",0)</x:f>
        <x:v>22</x:v>
      </x:c>
      <x:c r="AP952" t="n">
        <x:f>_xlfn.XLOOKUP($A952,Games!$A$2:$A$18,Games!$K$2:$K$18,"Missing game",0)</x:f>
        <x:v>-6</x:v>
      </x:c>
      <x:c r="AQ952" t="n">
        <x:f>_xlfn.XLOOKUP($A952,Games!$A$2:$A$18,Games!$L$2:$L$18,"Missing game",0)</x:f>
        <x:v>50</x:v>
      </x:c>
      <x:c r="AR952" t="n">
        <x:f>_xlfn.XLOOKUP($A952,Games!$A$2:$A$18,Games!$M$2:$M$18,"Missing game",0)</x:f>
        <x:v>0</x:v>
      </x:c>
      <x:c r="AS952" t="str">
        <x:f>_xlfn.XLOOKUP($A952,Games!$A$2:$A$18,Games!$N$2:$N$18,"Missing game",0)</x:f>
        <x:v>dome</x:v>
      </x:c>
      <x:c r="AT952" t="str">
        <x:f>_xlfn.XLOOKUP($A952,Games!$A$2:$A$18,Games!$O$2:$O$18,"Missing game",0)</x:f>
        <x:v>sportturf</x:v>
      </x:c>
      <x:c r="AU952" t="str">
        <x:f>_xlfn.XLOOKUP($A952,Games!$A$2:$A$18,Games!$P$2:$P$18,"Missing game",0)</x:f>
      </x:c>
      <x:c r="AV952" t="str">
        <x:f>_xlfn.XLOOKUP($A952,Games!$A$2:$A$18,Games!$Q$2:$Q$18,"Missing game",0)</x:f>
      </x:c>
      <x:c r="AW952" t="str">
        <x:f>_xlfn.XLOOKUP($A952,Games!$A$2:$A$18,Games!$R$2:$R$18,"Missing game",0)</x:f>
        <x:v>U.S. Bank Stadium</x:v>
      </x:c>
    </x:row>
    <x:row r="953">
      <x:c r="A953" t="str">
        <x:v>2025_07_PHI_MIN</x:v>
      </x:c>
      <x:c r="B953" t="n">
        <x:v>2528</x:v>
      </x:c>
      <x:c r="C953" t="n">
        <x:v>3</x:v>
      </x:c>
      <x:c r="D953" t="str">
        <x:v>05:08</x:v>
      </x:c>
      <x:c r="E953" t="n">
        <x:v>2</x:v>
      </x:c>
      <x:c r="F953" t="n">
        <x:v>5</x:v>
      </x:c>
      <x:c r="G953" t="str">
        <x:v>MIN</x:v>
      </x:c>
      <x:c r="H953" t="str">
        <x:v>PHI</x:v>
      </x:c>
      <x:c r="I953" t="str">
        <x:v>PHI</x:v>
      </x:c>
      <x:c r="J953" t="n">
        <x:v>14</x:v>
      </x:c>
      <x:c r="K953" t="str">
        <x:v>(5:08) (No Huddle) 11-C.Wentz pass short right to 3-J.Addison to PHI 5 for 9 yards (32-R.Blankenship).</x:v>
      </x:c>
      <x:c r="L953" t="str">
        <x:v>pass</x:v>
      </x:c>
      <x:c r="M953" t="n">
        <x:v>9</x:v>
      </x:c>
      <x:c r="N953" t="n">
        <x:v>0</x:v>
      </x:c>
      <x:c r="O953" t="n">
        <x:v>1</x:v>
      </x:c>
      <x:c r="P953" t="str">
        <x:v>short</x:v>
      </x:c>
      <x:c r="Q953" t="str">
        <x:v>right</x:v>
      </x:c>
      <x:c r="R953" t="n">
        <x:v>9</x:v>
      </x:c>
      <x:c r="S953" t="n">
        <x:v>0</x:v>
      </x:c>
      <x:c r="T953"/>
      <x:c r="U953"/>
      <x:c r="V953" t="n">
        <x:v>1</x:v>
      </x:c>
      <x:c r="W953" t="n">
        <x:v>1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/>
      <x:c r="AC953" t="n">
        <x:v>0</x:v>
      </x:c>
      <x:c r="AD953" t="n">
        <x:v>0.8515804054914042</x:v>
      </x:c>
      <x:c r="AE953" t="n">
        <x:v>1</x:v>
      </x:c>
      <x:c r="AF953" t="n">
        <x:v>0.018050208687782288</x:v>
      </x:c>
      <x:c r="AG953" t="n">
        <x:f>_xlfn.XLOOKUP($A953,Games!$A$2:$A$18,Games!$B$2:$B$18,"Missing game",0)</x:f>
        <x:v>2025</x:v>
      </x:c>
      <x:c r="AH953" t="str">
        <x:f>_xlfn.XLOOKUP($A953,Games!$A$2:$A$18,Games!$C$2:$C$18,"Missing game",0)</x:f>
        <x:v>REG</x:v>
      </x:c>
      <x:c r="AI953" t="n">
        <x:f>_xlfn.XLOOKUP($A953,Games!$A$2:$A$18,Games!$D$2:$D$18,"Missing game",0)</x:f>
        <x:v>7</x:v>
      </x:c>
      <x:c r="AJ953" s="1" t="n">
        <x:f>_xlfn.XLOOKUP($A953,Games!$A$2:$A$18,Games!$E$2:$E$18,"Missing game",0)</x:f>
        <x:v>45949</x:v>
      </x:c>
      <x:c r="AK953" t="str">
        <x:f>_xlfn.XLOOKUP($A953,Games!$A$2:$A$18,Games!$F$2:$F$18,"Missing game",0)</x:f>
        <x:v>Sunday</x:v>
      </x:c>
      <x:c r="AL953" t="str">
        <x:f>_xlfn.XLOOKUP($A953,Games!$A$2:$A$18,Games!$G$2:$G$18,"Missing game",0)</x:f>
        <x:v>PHI</x:v>
      </x:c>
      <x:c r="AM953" t="n">
        <x:f>_xlfn.XLOOKUP($A953,Games!$A$2:$A$18,Games!$H$2:$H$18,"Missing game",0)</x:f>
        <x:v>28</x:v>
      </x:c>
      <x:c r="AN953" t="str">
        <x:f>_xlfn.XLOOKUP($A953,Games!$A$2:$A$18,Games!$I$2:$I$18,"Missing game",0)</x:f>
        <x:v>MIN</x:v>
      </x:c>
      <x:c r="AO953" t="n">
        <x:f>_xlfn.XLOOKUP($A953,Games!$A$2:$A$18,Games!$J$2:$J$18,"Missing game",0)</x:f>
        <x:v>22</x:v>
      </x:c>
      <x:c r="AP953" t="n">
        <x:f>_xlfn.XLOOKUP($A953,Games!$A$2:$A$18,Games!$K$2:$K$18,"Missing game",0)</x:f>
        <x:v>-6</x:v>
      </x:c>
      <x:c r="AQ953" t="n">
        <x:f>_xlfn.XLOOKUP($A953,Games!$A$2:$A$18,Games!$L$2:$L$18,"Missing game",0)</x:f>
        <x:v>50</x:v>
      </x:c>
      <x:c r="AR953" t="n">
        <x:f>_xlfn.XLOOKUP($A953,Games!$A$2:$A$18,Games!$M$2:$M$18,"Missing game",0)</x:f>
        <x:v>0</x:v>
      </x:c>
      <x:c r="AS953" t="str">
        <x:f>_xlfn.XLOOKUP($A953,Games!$A$2:$A$18,Games!$N$2:$N$18,"Missing game",0)</x:f>
        <x:v>dome</x:v>
      </x:c>
      <x:c r="AT953" t="str">
        <x:f>_xlfn.XLOOKUP($A953,Games!$A$2:$A$18,Games!$O$2:$O$18,"Missing game",0)</x:f>
        <x:v>sportturf</x:v>
      </x:c>
      <x:c r="AU953" t="str">
        <x:f>_xlfn.XLOOKUP($A953,Games!$A$2:$A$18,Games!$P$2:$P$18,"Missing game",0)</x:f>
      </x:c>
      <x:c r="AV953" t="str">
        <x:f>_xlfn.XLOOKUP($A953,Games!$A$2:$A$18,Games!$Q$2:$Q$18,"Missing game",0)</x:f>
      </x:c>
      <x:c r="AW953" t="str">
        <x:f>_xlfn.XLOOKUP($A953,Games!$A$2:$A$18,Games!$R$2:$R$18,"Missing game",0)</x:f>
        <x:v>U.S. Bank Stadium</x:v>
      </x:c>
    </x:row>
    <x:row r="954">
      <x:c r="A954" t="str">
        <x:v>2025_07_PHI_MIN</x:v>
      </x:c>
      <x:c r="B954" t="n">
        <x:v>2553</x:v>
      </x:c>
      <x:c r="C954" t="n">
        <x:v>3</x:v>
      </x:c>
      <x:c r="D954" t="str">
        <x:v>04:25</x:v>
      </x:c>
      <x:c r="E954" t="n">
        <x:v>1</x:v>
      </x:c>
      <x:c r="F954" t="n">
        <x:v>5</x:v>
      </x:c>
      <x:c r="G954" t="str">
        <x:v>MIN</x:v>
      </x:c>
      <x:c r="H954" t="str">
        <x:v>PHI</x:v>
      </x:c>
      <x:c r="I954" t="str">
        <x:v>PHI</x:v>
      </x:c>
      <x:c r="J954" t="n">
        <x:v>5</x:v>
      </x:c>
      <x:c r="K954" t="str">
        <x:v>(4:25) (Shotgun) 36-Z.Scott up the middle to PHI 1 for 4 yards (24-A.Mukuba; 7-K.Ringo).</x:v>
      </x:c>
      <x:c r="L954" t="str">
        <x:v>run</x:v>
      </x:c>
      <x:c r="M954" t="n">
        <x:v>4</x:v>
      </x:c>
      <x:c r="N954" t="n">
        <x:v>1</x:v>
      </x:c>
      <x:c r="O954" t="n">
        <x:v>0</x:v>
      </x:c>
      <x:c r="P954"/>
      <x:c r="Q954"/>
      <x:c r="R954"/>
      <x:c r="S954"/>
      <x:c r="T954" t="str">
        <x:v>middle</x:v>
      </x:c>
      <x:c r="U954"/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/>
      <x:c r="AC954" t="n">
        <x:v>0</x:v>
      </x:c>
      <x:c r="AD954" t="n">
        <x:v>0.33152014861116186</x:v>
      </x:c>
      <x:c r="AE954" t="n">
        <x:v>1</x:v>
      </x:c>
      <x:c r="AF954" t="n">
        <x:v>0.01777389645576477</x:v>
      </x:c>
      <x:c r="AG954" t="n">
        <x:f>_xlfn.XLOOKUP($A954,Games!$A$2:$A$18,Games!$B$2:$B$18,"Missing game",0)</x:f>
        <x:v>2025</x:v>
      </x:c>
      <x:c r="AH954" t="str">
        <x:f>_xlfn.XLOOKUP($A954,Games!$A$2:$A$18,Games!$C$2:$C$18,"Missing game",0)</x:f>
        <x:v>REG</x:v>
      </x:c>
      <x:c r="AI954" t="n">
        <x:f>_xlfn.XLOOKUP($A954,Games!$A$2:$A$18,Games!$D$2:$D$18,"Missing game",0)</x:f>
        <x:v>7</x:v>
      </x:c>
      <x:c r="AJ954" s="1" t="n">
        <x:f>_xlfn.XLOOKUP($A954,Games!$A$2:$A$18,Games!$E$2:$E$18,"Missing game",0)</x:f>
        <x:v>45949</x:v>
      </x:c>
      <x:c r="AK954" t="str">
        <x:f>_xlfn.XLOOKUP($A954,Games!$A$2:$A$18,Games!$F$2:$F$18,"Missing game",0)</x:f>
        <x:v>Sunday</x:v>
      </x:c>
      <x:c r="AL954" t="str">
        <x:f>_xlfn.XLOOKUP($A954,Games!$A$2:$A$18,Games!$G$2:$G$18,"Missing game",0)</x:f>
        <x:v>PHI</x:v>
      </x:c>
      <x:c r="AM954" t="n">
        <x:f>_xlfn.XLOOKUP($A954,Games!$A$2:$A$18,Games!$H$2:$H$18,"Missing game",0)</x:f>
        <x:v>28</x:v>
      </x:c>
      <x:c r="AN954" t="str">
        <x:f>_xlfn.XLOOKUP($A954,Games!$A$2:$A$18,Games!$I$2:$I$18,"Missing game",0)</x:f>
        <x:v>MIN</x:v>
      </x:c>
      <x:c r="AO954" t="n">
        <x:f>_xlfn.XLOOKUP($A954,Games!$A$2:$A$18,Games!$J$2:$J$18,"Missing game",0)</x:f>
        <x:v>22</x:v>
      </x:c>
      <x:c r="AP954" t="n">
        <x:f>_xlfn.XLOOKUP($A954,Games!$A$2:$A$18,Games!$K$2:$K$18,"Missing game",0)</x:f>
        <x:v>-6</x:v>
      </x:c>
      <x:c r="AQ954" t="n">
        <x:f>_xlfn.XLOOKUP($A954,Games!$A$2:$A$18,Games!$L$2:$L$18,"Missing game",0)</x:f>
        <x:v>50</x:v>
      </x:c>
      <x:c r="AR954" t="n">
        <x:f>_xlfn.XLOOKUP($A954,Games!$A$2:$A$18,Games!$M$2:$M$18,"Missing game",0)</x:f>
        <x:v>0</x:v>
      </x:c>
      <x:c r="AS954" t="str">
        <x:f>_xlfn.XLOOKUP($A954,Games!$A$2:$A$18,Games!$N$2:$N$18,"Missing game",0)</x:f>
        <x:v>dome</x:v>
      </x:c>
      <x:c r="AT954" t="str">
        <x:f>_xlfn.XLOOKUP($A954,Games!$A$2:$A$18,Games!$O$2:$O$18,"Missing game",0)</x:f>
        <x:v>sportturf</x:v>
      </x:c>
      <x:c r="AU954" t="str">
        <x:f>_xlfn.XLOOKUP($A954,Games!$A$2:$A$18,Games!$P$2:$P$18,"Missing game",0)</x:f>
      </x:c>
      <x:c r="AV954" t="str">
        <x:f>_xlfn.XLOOKUP($A954,Games!$A$2:$A$18,Games!$Q$2:$Q$18,"Missing game",0)</x:f>
      </x:c>
      <x:c r="AW954" t="str">
        <x:f>_xlfn.XLOOKUP($A954,Games!$A$2:$A$18,Games!$R$2:$R$18,"Missing game",0)</x:f>
        <x:v>U.S. Bank Stadium</x:v>
      </x:c>
    </x:row>
    <x:row r="955">
      <x:c r="A955" t="str">
        <x:v>2025_07_PHI_MIN</x:v>
      </x:c>
      <x:c r="B955" t="n">
        <x:v>2575</x:v>
      </x:c>
      <x:c r="C955" t="n">
        <x:v>3</x:v>
      </x:c>
      <x:c r="D955" t="str">
        <x:v>03:42</x:v>
      </x:c>
      <x:c r="E955" t="n">
        <x:v>2</x:v>
      </x:c>
      <x:c r="F955" t="n">
        <x:v>1</x:v>
      </x:c>
      <x:c r="G955" t="str">
        <x:v>MIN</x:v>
      </x:c>
      <x:c r="H955" t="str">
        <x:v>PHI</x:v>
      </x:c>
      <x:c r="I955" t="str">
        <x:v>PHI</x:v>
      </x:c>
      <x:c r="J955" t="n">
        <x:v>1</x:v>
      </x:c>
      <x:c r="K955" t="str">
        <x:v>(3:42) Direct snap to 27-J.Mason. 27-J.Mason left end for 1 yard, TOUCHDOWN.</x:v>
      </x:c>
      <x:c r="L955" t="str">
        <x:v>run</x:v>
      </x:c>
      <x:c r="M955" t="n">
        <x:v>1</x:v>
      </x:c>
      <x:c r="N955" t="n">
        <x:v>0</x:v>
      </x:c>
      <x:c r="O955" t="n">
        <x:v>0</x:v>
      </x:c>
      <x:c r="P955"/>
      <x:c r="Q955"/>
      <x:c r="R955"/>
      <x:c r="S955"/>
      <x:c r="T955" t="str">
        <x:v>left</x:v>
      </x:c>
      <x:c r="U955" t="str">
        <x:v>end</x:v>
      </x:c>
      <x:c r="V955" t="n">
        <x:v>0</x:v>
      </x:c>
      <x:c r="W955" t="n">
        <x:v>1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/>
      <x:c r="AC955" t="n">
        <x:v>1</x:v>
      </x:c>
      <x:c r="AD955" t="n">
        <x:v>0.6498687363346107</x:v>
      </x:c>
      <x:c r="AE955" t="n">
        <x:v>1</x:v>
      </x:c>
      <x:c r="AF955" t="n">
        <x:v>0.06071381828404476</x:v>
      </x:c>
      <x:c r="AG955" t="n">
        <x:f>_xlfn.XLOOKUP($A955,Games!$A$2:$A$18,Games!$B$2:$B$18,"Missing game",0)</x:f>
        <x:v>2025</x:v>
      </x:c>
      <x:c r="AH955" t="str">
        <x:f>_xlfn.XLOOKUP($A955,Games!$A$2:$A$18,Games!$C$2:$C$18,"Missing game",0)</x:f>
        <x:v>REG</x:v>
      </x:c>
      <x:c r="AI955" t="n">
        <x:f>_xlfn.XLOOKUP($A955,Games!$A$2:$A$18,Games!$D$2:$D$18,"Missing game",0)</x:f>
        <x:v>7</x:v>
      </x:c>
      <x:c r="AJ955" s="1" t="n">
        <x:f>_xlfn.XLOOKUP($A955,Games!$A$2:$A$18,Games!$E$2:$E$18,"Missing game",0)</x:f>
        <x:v>45949</x:v>
      </x:c>
      <x:c r="AK955" t="str">
        <x:f>_xlfn.XLOOKUP($A955,Games!$A$2:$A$18,Games!$F$2:$F$18,"Missing game",0)</x:f>
        <x:v>Sunday</x:v>
      </x:c>
      <x:c r="AL955" t="str">
        <x:f>_xlfn.XLOOKUP($A955,Games!$A$2:$A$18,Games!$G$2:$G$18,"Missing game",0)</x:f>
        <x:v>PHI</x:v>
      </x:c>
      <x:c r="AM955" t="n">
        <x:f>_xlfn.XLOOKUP($A955,Games!$A$2:$A$18,Games!$H$2:$H$18,"Missing game",0)</x:f>
        <x:v>28</x:v>
      </x:c>
      <x:c r="AN955" t="str">
        <x:f>_xlfn.XLOOKUP($A955,Games!$A$2:$A$18,Games!$I$2:$I$18,"Missing game",0)</x:f>
        <x:v>MIN</x:v>
      </x:c>
      <x:c r="AO955" t="n">
        <x:f>_xlfn.XLOOKUP($A955,Games!$A$2:$A$18,Games!$J$2:$J$18,"Missing game",0)</x:f>
        <x:v>22</x:v>
      </x:c>
      <x:c r="AP955" t="n">
        <x:f>_xlfn.XLOOKUP($A955,Games!$A$2:$A$18,Games!$K$2:$K$18,"Missing game",0)</x:f>
        <x:v>-6</x:v>
      </x:c>
      <x:c r="AQ955" t="n">
        <x:f>_xlfn.XLOOKUP($A955,Games!$A$2:$A$18,Games!$L$2:$L$18,"Missing game",0)</x:f>
        <x:v>50</x:v>
      </x:c>
      <x:c r="AR955" t="n">
        <x:f>_xlfn.XLOOKUP($A955,Games!$A$2:$A$18,Games!$M$2:$M$18,"Missing game",0)</x:f>
        <x:v>0</x:v>
      </x:c>
      <x:c r="AS955" t="str">
        <x:f>_xlfn.XLOOKUP($A955,Games!$A$2:$A$18,Games!$N$2:$N$18,"Missing game",0)</x:f>
        <x:v>dome</x:v>
      </x:c>
      <x:c r="AT955" t="str">
        <x:f>_xlfn.XLOOKUP($A955,Games!$A$2:$A$18,Games!$O$2:$O$18,"Missing game",0)</x:f>
        <x:v>sportturf</x:v>
      </x:c>
      <x:c r="AU955" t="str">
        <x:f>_xlfn.XLOOKUP($A955,Games!$A$2:$A$18,Games!$P$2:$P$18,"Missing game",0)</x:f>
      </x:c>
      <x:c r="AV955" t="str">
        <x:f>_xlfn.XLOOKUP($A955,Games!$A$2:$A$18,Games!$Q$2:$Q$18,"Missing game",0)</x:f>
      </x:c>
      <x:c r="AW955" t="str">
        <x:f>_xlfn.XLOOKUP($A955,Games!$A$2:$A$18,Games!$R$2:$R$18,"Missing game",0)</x:f>
        <x:v>U.S. Bank Stadium</x:v>
      </x:c>
    </x:row>
    <x:row r="956">
      <x:c r="A956" t="str">
        <x:v>2025_07_PHI_MIN</x:v>
      </x:c>
      <x:c r="B956" t="n">
        <x:v>2628</x:v>
      </x:c>
      <x:c r="C956" t="n">
        <x:v>3</x:v>
      </x:c>
      <x:c r="D956" t="str">
        <x:v>03:38</x:v>
      </x:c>
      <x:c r="E956"/>
      <x:c r="F956" t="n">
        <x:v>0</x:v>
      </x:c>
      <x:c r="G956" t="str">
        <x:v>MIN</x:v>
      </x:c>
      <x:c r="H956" t="str">
        <x:v>PHI</x:v>
      </x:c>
      <x:c r="I956" t="str">
        <x:v>PHI</x:v>
      </x:c>
      <x:c r="J956" t="n">
        <x:v>15</x:v>
      </x:c>
      <x:c r="K956" t="str">
        <x:v>16-W.Reichard extra point is GOOD, Center-42-A.DePaola, Holder-17-R.Wright.</x:v>
      </x:c>
      <x:c r="L956" t="str">
        <x:v>extra_point</x:v>
      </x:c>
      <x:c r="M956" t="n">
        <x:v>0</x:v>
      </x:c>
      <x:c r="N956" t="n">
        <x:v>0</x:v>
      </x:c>
      <x:c r="O956" t="n">
        <x:v>0</x:v>
      </x:c>
      <x:c r="P956"/>
      <x:c r="Q956"/>
      <x:c r="R956"/>
      <x:c r="S956"/>
      <x:c r="T956"/>
      <x:c r="U956"/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/>
      <x:c r="AC956" t="n">
        <x:v>0</x:v>
      </x:c>
      <x:c r="AD956" t="n">
        <x:v>0.05117156607063911</x:v>
      </x:c>
      <x:c r="AE956" t="n">
        <x:v>1</x:v>
      </x:c>
      <x:c r="AF956" t="n">
        <x:v>0.0035575721540350713</x:v>
      </x:c>
      <x:c r="AG956" t="n">
        <x:f>_xlfn.XLOOKUP($A956,Games!$A$2:$A$18,Games!$B$2:$B$18,"Missing game",0)</x:f>
        <x:v>2025</x:v>
      </x:c>
      <x:c r="AH956" t="str">
        <x:f>_xlfn.XLOOKUP($A956,Games!$A$2:$A$18,Games!$C$2:$C$18,"Missing game",0)</x:f>
        <x:v>REG</x:v>
      </x:c>
      <x:c r="AI956" t="n">
        <x:f>_xlfn.XLOOKUP($A956,Games!$A$2:$A$18,Games!$D$2:$D$18,"Missing game",0)</x:f>
        <x:v>7</x:v>
      </x:c>
      <x:c r="AJ956" s="1" t="n">
        <x:f>_xlfn.XLOOKUP($A956,Games!$A$2:$A$18,Games!$E$2:$E$18,"Missing game",0)</x:f>
        <x:v>45949</x:v>
      </x:c>
      <x:c r="AK956" t="str">
        <x:f>_xlfn.XLOOKUP($A956,Games!$A$2:$A$18,Games!$F$2:$F$18,"Missing game",0)</x:f>
        <x:v>Sunday</x:v>
      </x:c>
      <x:c r="AL956" t="str">
        <x:f>_xlfn.XLOOKUP($A956,Games!$A$2:$A$18,Games!$G$2:$G$18,"Missing game",0)</x:f>
        <x:v>PHI</x:v>
      </x:c>
      <x:c r="AM956" t="n">
        <x:f>_xlfn.XLOOKUP($A956,Games!$A$2:$A$18,Games!$H$2:$H$18,"Missing game",0)</x:f>
        <x:v>28</x:v>
      </x:c>
      <x:c r="AN956" t="str">
        <x:f>_xlfn.XLOOKUP($A956,Games!$A$2:$A$18,Games!$I$2:$I$18,"Missing game",0)</x:f>
        <x:v>MIN</x:v>
      </x:c>
      <x:c r="AO956" t="n">
        <x:f>_xlfn.XLOOKUP($A956,Games!$A$2:$A$18,Games!$J$2:$J$18,"Missing game",0)</x:f>
        <x:v>22</x:v>
      </x:c>
      <x:c r="AP956" t="n">
        <x:f>_xlfn.XLOOKUP($A956,Games!$A$2:$A$18,Games!$K$2:$K$18,"Missing game",0)</x:f>
        <x:v>-6</x:v>
      </x:c>
      <x:c r="AQ956" t="n">
        <x:f>_xlfn.XLOOKUP($A956,Games!$A$2:$A$18,Games!$L$2:$L$18,"Missing game",0)</x:f>
        <x:v>50</x:v>
      </x:c>
      <x:c r="AR956" t="n">
        <x:f>_xlfn.XLOOKUP($A956,Games!$A$2:$A$18,Games!$M$2:$M$18,"Missing game",0)</x:f>
        <x:v>0</x:v>
      </x:c>
      <x:c r="AS956" t="str">
        <x:f>_xlfn.XLOOKUP($A956,Games!$A$2:$A$18,Games!$N$2:$N$18,"Missing game",0)</x:f>
        <x:v>dome</x:v>
      </x:c>
      <x:c r="AT956" t="str">
        <x:f>_xlfn.XLOOKUP($A956,Games!$A$2:$A$18,Games!$O$2:$O$18,"Missing game",0)</x:f>
        <x:v>sportturf</x:v>
      </x:c>
      <x:c r="AU956" t="str">
        <x:f>_xlfn.XLOOKUP($A956,Games!$A$2:$A$18,Games!$P$2:$P$18,"Missing game",0)</x:f>
      </x:c>
      <x:c r="AV956" t="str">
        <x:f>_xlfn.XLOOKUP($A956,Games!$A$2:$A$18,Games!$Q$2:$Q$18,"Missing game",0)</x:f>
      </x:c>
      <x:c r="AW956" t="str">
        <x:f>_xlfn.XLOOKUP($A956,Games!$A$2:$A$18,Games!$R$2:$R$18,"Missing game",0)</x:f>
        <x:v>U.S. Bank Stadium</x:v>
      </x:c>
    </x:row>
    <x:row r="957">
      <x:c r="A957" t="str">
        <x:v>2025_07_PHI_MIN</x:v>
      </x:c>
      <x:c r="B957" t="n">
        <x:v>2643</x:v>
      </x:c>
      <x:c r="C957" t="n">
        <x:v>3</x:v>
      </x:c>
      <x:c r="D957" t="str">
        <x:v>03:38</x:v>
      </x:c>
      <x:c r="E957"/>
      <x:c r="F957" t="n">
        <x:v>0</x:v>
      </x:c>
      <x:c r="G957" t="str">
        <x:v>PHI</x:v>
      </x:c>
      <x:c r="H957" t="str">
        <x:v>MIN</x:v>
      </x:c>
      <x:c r="I957" t="str">
        <x:v>MIN</x:v>
      </x:c>
      <x:c r="J957" t="n">
        <x:v>35</x:v>
      </x:c>
      <x:c r="K957" t="str">
        <x:v>16-W.Reichard kicks 63 yards from MIN 35 to PHI 2. 87-X.Gipson pushed ob at PHI 30 for 28 yards (37-T.Thomas).</x:v>
      </x:c>
      <x:c r="L957" t="str">
        <x:v>kickoff</x:v>
      </x:c>
      <x:c r="M957" t="n">
        <x:v>0</x:v>
      </x:c>
      <x:c r="N957" t="n">
        <x:v>0</x:v>
      </x:c>
      <x:c r="O957" t="n">
        <x:v>0</x:v>
      </x:c>
      <x:c r="P957"/>
      <x:c r="Q957"/>
      <x:c r="R957"/>
      <x:c r="S957"/>
      <x:c r="T957"/>
      <x:c r="U957"/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/>
      <x:c r="AC957" t="n">
        <x:v>0</x:v>
      </x:c>
      <x:c r="AD957" t="n">
        <x:v>0.2784328814595938</x:v>
      </x:c>
      <x:c r="AE957" t="n">
        <x:v>1</x:v>
      </x:c>
      <x:c r="AF957" t="n">
        <x:v>0.015000224113464355</x:v>
      </x:c>
      <x:c r="AG957" t="n">
        <x:f>_xlfn.XLOOKUP($A957,Games!$A$2:$A$18,Games!$B$2:$B$18,"Missing game",0)</x:f>
        <x:v>2025</x:v>
      </x:c>
      <x:c r="AH957" t="str">
        <x:f>_xlfn.XLOOKUP($A957,Games!$A$2:$A$18,Games!$C$2:$C$18,"Missing game",0)</x:f>
        <x:v>REG</x:v>
      </x:c>
      <x:c r="AI957" t="n">
        <x:f>_xlfn.XLOOKUP($A957,Games!$A$2:$A$18,Games!$D$2:$D$18,"Missing game",0)</x:f>
        <x:v>7</x:v>
      </x:c>
      <x:c r="AJ957" s="1" t="n">
        <x:f>_xlfn.XLOOKUP($A957,Games!$A$2:$A$18,Games!$E$2:$E$18,"Missing game",0)</x:f>
        <x:v>45949</x:v>
      </x:c>
      <x:c r="AK957" t="str">
        <x:f>_xlfn.XLOOKUP($A957,Games!$A$2:$A$18,Games!$F$2:$F$18,"Missing game",0)</x:f>
        <x:v>Sunday</x:v>
      </x:c>
      <x:c r="AL957" t="str">
        <x:f>_xlfn.XLOOKUP($A957,Games!$A$2:$A$18,Games!$G$2:$G$18,"Missing game",0)</x:f>
        <x:v>PHI</x:v>
      </x:c>
      <x:c r="AM957" t="n">
        <x:f>_xlfn.XLOOKUP($A957,Games!$A$2:$A$18,Games!$H$2:$H$18,"Missing game",0)</x:f>
        <x:v>28</x:v>
      </x:c>
      <x:c r="AN957" t="str">
        <x:f>_xlfn.XLOOKUP($A957,Games!$A$2:$A$18,Games!$I$2:$I$18,"Missing game",0)</x:f>
        <x:v>MIN</x:v>
      </x:c>
      <x:c r="AO957" t="n">
        <x:f>_xlfn.XLOOKUP($A957,Games!$A$2:$A$18,Games!$J$2:$J$18,"Missing game",0)</x:f>
        <x:v>22</x:v>
      </x:c>
      <x:c r="AP957" t="n">
        <x:f>_xlfn.XLOOKUP($A957,Games!$A$2:$A$18,Games!$K$2:$K$18,"Missing game",0)</x:f>
        <x:v>-6</x:v>
      </x:c>
      <x:c r="AQ957" t="n">
        <x:f>_xlfn.XLOOKUP($A957,Games!$A$2:$A$18,Games!$L$2:$L$18,"Missing game",0)</x:f>
        <x:v>50</x:v>
      </x:c>
      <x:c r="AR957" t="n">
        <x:f>_xlfn.XLOOKUP($A957,Games!$A$2:$A$18,Games!$M$2:$M$18,"Missing game",0)</x:f>
        <x:v>0</x:v>
      </x:c>
      <x:c r="AS957" t="str">
        <x:f>_xlfn.XLOOKUP($A957,Games!$A$2:$A$18,Games!$N$2:$N$18,"Missing game",0)</x:f>
        <x:v>dome</x:v>
      </x:c>
      <x:c r="AT957" t="str">
        <x:f>_xlfn.XLOOKUP($A957,Games!$A$2:$A$18,Games!$O$2:$O$18,"Missing game",0)</x:f>
        <x:v>sportturf</x:v>
      </x:c>
      <x:c r="AU957" t="str">
        <x:f>_xlfn.XLOOKUP($A957,Games!$A$2:$A$18,Games!$P$2:$P$18,"Missing game",0)</x:f>
      </x:c>
      <x:c r="AV957" t="str">
        <x:f>_xlfn.XLOOKUP($A957,Games!$A$2:$A$18,Games!$Q$2:$Q$18,"Missing game",0)</x:f>
      </x:c>
      <x:c r="AW957" t="str">
        <x:f>_xlfn.XLOOKUP($A957,Games!$A$2:$A$18,Games!$R$2:$R$18,"Missing game",0)</x:f>
        <x:v>U.S. Bank Stadium</x:v>
      </x:c>
    </x:row>
    <x:row r="958">
      <x:c r="A958" t="str">
        <x:v>2025_07_PHI_MIN</x:v>
      </x:c>
      <x:c r="B958" t="n">
        <x:v>2667</x:v>
      </x:c>
      <x:c r="C958" t="n">
        <x:v>3</x:v>
      </x:c>
      <x:c r="D958" t="str">
        <x:v>03:33</x:v>
      </x:c>
      <x:c r="E958" t="n">
        <x:v>1</x:v>
      </x:c>
      <x:c r="F958" t="n">
        <x:v>10</x:v>
      </x:c>
      <x:c r="G958" t="str">
        <x:v>PHI</x:v>
      </x:c>
      <x:c r="H958" t="str">
        <x:v>MIN</x:v>
      </x:c>
      <x:c r="I958" t="str">
        <x:v>PHI</x:v>
      </x:c>
      <x:c r="J958" t="n">
        <x:v>70</x:v>
      </x:c>
      <x:c r="K958" t="str">
        <x:v>(3:33) 26-S.Barkley right end to PHI 35 for 5 yards (44-J.Metellus).</x:v>
      </x:c>
      <x:c r="L958" t="str">
        <x:v>run</x:v>
      </x:c>
      <x:c r="M958" t="n">
        <x:v>5</x:v>
      </x:c>
      <x:c r="N958" t="n">
        <x:v>0</x:v>
      </x:c>
      <x:c r="O958" t="n">
        <x:v>0</x:v>
      </x:c>
      <x:c r="P958"/>
      <x:c r="Q958"/>
      <x:c r="R958"/>
      <x:c r="S958"/>
      <x:c r="T958" t="str">
        <x:v>right</x:v>
      </x:c>
      <x:c r="U958" t="str">
        <x:v>end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/>
      <x:c r="AC958" t="n">
        <x:v>0</x:v>
      </x:c>
      <x:c r="AD958" t="n">
        <x:v>-0.0698476885445416</x:v>
      </x:c>
      <x:c r="AE958" t="n">
        <x:v>0</x:v>
      </x:c>
      <x:c r="AF958" t="n">
        <x:v>0.014668703079223633</x:v>
      </x:c>
      <x:c r="AG958" t="n">
        <x:f>_xlfn.XLOOKUP($A958,Games!$A$2:$A$18,Games!$B$2:$B$18,"Missing game",0)</x:f>
        <x:v>2025</x:v>
      </x:c>
      <x:c r="AH958" t="str">
        <x:f>_xlfn.XLOOKUP($A958,Games!$A$2:$A$18,Games!$C$2:$C$18,"Missing game",0)</x:f>
        <x:v>REG</x:v>
      </x:c>
      <x:c r="AI958" t="n">
        <x:f>_xlfn.XLOOKUP($A958,Games!$A$2:$A$18,Games!$D$2:$D$18,"Missing game",0)</x:f>
        <x:v>7</x:v>
      </x:c>
      <x:c r="AJ958" s="1" t="n">
        <x:f>_xlfn.XLOOKUP($A958,Games!$A$2:$A$18,Games!$E$2:$E$18,"Missing game",0)</x:f>
        <x:v>45949</x:v>
      </x:c>
      <x:c r="AK958" t="str">
        <x:f>_xlfn.XLOOKUP($A958,Games!$A$2:$A$18,Games!$F$2:$F$18,"Missing game",0)</x:f>
        <x:v>Sunday</x:v>
      </x:c>
      <x:c r="AL958" t="str">
        <x:f>_xlfn.XLOOKUP($A958,Games!$A$2:$A$18,Games!$G$2:$G$18,"Missing game",0)</x:f>
        <x:v>PHI</x:v>
      </x:c>
      <x:c r="AM958" t="n">
        <x:f>_xlfn.XLOOKUP($A958,Games!$A$2:$A$18,Games!$H$2:$H$18,"Missing game",0)</x:f>
        <x:v>28</x:v>
      </x:c>
      <x:c r="AN958" t="str">
        <x:f>_xlfn.XLOOKUP($A958,Games!$A$2:$A$18,Games!$I$2:$I$18,"Missing game",0)</x:f>
        <x:v>MIN</x:v>
      </x:c>
      <x:c r="AO958" t="n">
        <x:f>_xlfn.XLOOKUP($A958,Games!$A$2:$A$18,Games!$J$2:$J$18,"Missing game",0)</x:f>
        <x:v>22</x:v>
      </x:c>
      <x:c r="AP958" t="n">
        <x:f>_xlfn.XLOOKUP($A958,Games!$A$2:$A$18,Games!$K$2:$K$18,"Missing game",0)</x:f>
        <x:v>-6</x:v>
      </x:c>
      <x:c r="AQ958" t="n">
        <x:f>_xlfn.XLOOKUP($A958,Games!$A$2:$A$18,Games!$L$2:$L$18,"Missing game",0)</x:f>
        <x:v>50</x:v>
      </x:c>
      <x:c r="AR958" t="n">
        <x:f>_xlfn.XLOOKUP($A958,Games!$A$2:$A$18,Games!$M$2:$M$18,"Missing game",0)</x:f>
        <x:v>0</x:v>
      </x:c>
      <x:c r="AS958" t="str">
        <x:f>_xlfn.XLOOKUP($A958,Games!$A$2:$A$18,Games!$N$2:$N$18,"Missing game",0)</x:f>
        <x:v>dome</x:v>
      </x:c>
      <x:c r="AT958" t="str">
        <x:f>_xlfn.XLOOKUP($A958,Games!$A$2:$A$18,Games!$O$2:$O$18,"Missing game",0)</x:f>
        <x:v>sportturf</x:v>
      </x:c>
      <x:c r="AU958" t="str">
        <x:f>_xlfn.XLOOKUP($A958,Games!$A$2:$A$18,Games!$P$2:$P$18,"Missing game",0)</x:f>
      </x:c>
      <x:c r="AV958" t="str">
        <x:f>_xlfn.XLOOKUP($A958,Games!$A$2:$A$18,Games!$Q$2:$Q$18,"Missing game",0)</x:f>
      </x:c>
      <x:c r="AW958" t="str">
        <x:f>_xlfn.XLOOKUP($A958,Games!$A$2:$A$18,Games!$R$2:$R$18,"Missing game",0)</x:f>
        <x:v>U.S. Bank Stadium</x:v>
      </x:c>
    </x:row>
    <x:row r="959">
      <x:c r="A959" t="str">
        <x:v>2025_07_PHI_MIN</x:v>
      </x:c>
      <x:c r="B959" t="n">
        <x:v>2694</x:v>
      </x:c>
      <x:c r="C959" t="n">
        <x:v>3</x:v>
      </x:c>
      <x:c r="D959" t="str">
        <x:v>02:51</x:v>
      </x:c>
      <x:c r="E959" t="n">
        <x:v>2</x:v>
      </x:c>
      <x:c r="F959" t="n">
        <x:v>5</x:v>
      </x:c>
      <x:c r="G959" t="str">
        <x:v>PHI</x:v>
      </x:c>
      <x:c r="H959" t="str">
        <x:v>MIN</x:v>
      </x:c>
      <x:c r="I959" t="str">
        <x:v>PHI</x:v>
      </x:c>
      <x:c r="J959" t="n">
        <x:v>65</x:v>
      </x:c>
      <x:c r="K959" t="str">
        <x:v>(2:51) 74-F.Johnson reported in as eligible. 26-S.Barkley left guard to PHI 48 for 13 yards (26-T.Jackson). PENALTY on PHI-56-T.Steen, Offensive Holding, 10 yards, enforced at PHI 36.</x:v>
      </x:c>
      <x:c r="L959" t="str">
        <x:v>run</x:v>
      </x:c>
      <x:c r="M959" t="n">
        <x:v>1</x:v>
      </x:c>
      <x:c r="N959" t="n">
        <x:v>0</x:v>
      </x:c>
      <x:c r="O959" t="n">
        <x:v>0</x:v>
      </x:c>
      <x:c r="P959"/>
      <x:c r="Q959"/>
      <x:c r="R959"/>
      <x:c r="S959"/>
      <x:c r="T959" t="str">
        <x:v>left</x:v>
      </x:c>
      <x:c r="U959" t="str">
        <x:v>guard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1</x:v>
      </x:c>
      <x:c r="AB959" t="n">
        <x:v>10</x:v>
      </x:c>
      <x:c r="AC959" t="n">
        <x:v>0</x:v>
      </x:c>
      <x:c r="AD959" t="n">
        <x:v>-1.12338141258806</x:v>
      </x:c>
      <x:c r="AE959" t="n">
        <x:v>0</x:v>
      </x:c>
      <x:c r="AF959" t="n">
        <x:v>-0.019900858402252197</x:v>
      </x:c>
      <x:c r="AG959" t="n">
        <x:f>_xlfn.XLOOKUP($A959,Games!$A$2:$A$18,Games!$B$2:$B$18,"Missing game",0)</x:f>
        <x:v>2025</x:v>
      </x:c>
      <x:c r="AH959" t="str">
        <x:f>_xlfn.XLOOKUP($A959,Games!$A$2:$A$18,Games!$C$2:$C$18,"Missing game",0)</x:f>
        <x:v>REG</x:v>
      </x:c>
      <x:c r="AI959" t="n">
        <x:f>_xlfn.XLOOKUP($A959,Games!$A$2:$A$18,Games!$D$2:$D$18,"Missing game",0)</x:f>
        <x:v>7</x:v>
      </x:c>
      <x:c r="AJ959" s="1" t="n">
        <x:f>_xlfn.XLOOKUP($A959,Games!$A$2:$A$18,Games!$E$2:$E$18,"Missing game",0)</x:f>
        <x:v>45949</x:v>
      </x:c>
      <x:c r="AK959" t="str">
        <x:f>_xlfn.XLOOKUP($A959,Games!$A$2:$A$18,Games!$F$2:$F$18,"Missing game",0)</x:f>
        <x:v>Sunday</x:v>
      </x:c>
      <x:c r="AL959" t="str">
        <x:f>_xlfn.XLOOKUP($A959,Games!$A$2:$A$18,Games!$G$2:$G$18,"Missing game",0)</x:f>
        <x:v>PHI</x:v>
      </x:c>
      <x:c r="AM959" t="n">
        <x:f>_xlfn.XLOOKUP($A959,Games!$A$2:$A$18,Games!$H$2:$H$18,"Missing game",0)</x:f>
        <x:v>28</x:v>
      </x:c>
      <x:c r="AN959" t="str">
        <x:f>_xlfn.XLOOKUP($A959,Games!$A$2:$A$18,Games!$I$2:$I$18,"Missing game",0)</x:f>
        <x:v>MIN</x:v>
      </x:c>
      <x:c r="AO959" t="n">
        <x:f>_xlfn.XLOOKUP($A959,Games!$A$2:$A$18,Games!$J$2:$J$18,"Missing game",0)</x:f>
        <x:v>22</x:v>
      </x:c>
      <x:c r="AP959" t="n">
        <x:f>_xlfn.XLOOKUP($A959,Games!$A$2:$A$18,Games!$K$2:$K$18,"Missing game",0)</x:f>
        <x:v>-6</x:v>
      </x:c>
      <x:c r="AQ959" t="n">
        <x:f>_xlfn.XLOOKUP($A959,Games!$A$2:$A$18,Games!$L$2:$L$18,"Missing game",0)</x:f>
        <x:v>50</x:v>
      </x:c>
      <x:c r="AR959" t="n">
        <x:f>_xlfn.XLOOKUP($A959,Games!$A$2:$A$18,Games!$M$2:$M$18,"Missing game",0)</x:f>
        <x:v>0</x:v>
      </x:c>
      <x:c r="AS959" t="str">
        <x:f>_xlfn.XLOOKUP($A959,Games!$A$2:$A$18,Games!$N$2:$N$18,"Missing game",0)</x:f>
        <x:v>dome</x:v>
      </x:c>
      <x:c r="AT959" t="str">
        <x:f>_xlfn.XLOOKUP($A959,Games!$A$2:$A$18,Games!$O$2:$O$18,"Missing game",0)</x:f>
        <x:v>sportturf</x:v>
      </x:c>
      <x:c r="AU959" t="str">
        <x:f>_xlfn.XLOOKUP($A959,Games!$A$2:$A$18,Games!$P$2:$P$18,"Missing game",0)</x:f>
      </x:c>
      <x:c r="AV959" t="str">
        <x:f>_xlfn.XLOOKUP($A959,Games!$A$2:$A$18,Games!$Q$2:$Q$18,"Missing game",0)</x:f>
      </x:c>
      <x:c r="AW959" t="str">
        <x:f>_xlfn.XLOOKUP($A959,Games!$A$2:$A$18,Games!$R$2:$R$18,"Missing game",0)</x:f>
        <x:v>U.S. Bank Stadium</x:v>
      </x:c>
    </x:row>
    <x:row r="960">
      <x:c r="A960" t="str">
        <x:v>2025_07_PHI_MIN</x:v>
      </x:c>
      <x:c r="B960" t="n">
        <x:v>2734</x:v>
      </x:c>
      <x:c r="C960" t="n">
        <x:v>3</x:v>
      </x:c>
      <x:c r="D960" t="str">
        <x:v>02:25</x:v>
      </x:c>
      <x:c r="E960" t="n">
        <x:v>2</x:v>
      </x:c>
      <x:c r="F960" t="n">
        <x:v>14</x:v>
      </x:c>
      <x:c r="G960" t="str">
        <x:v>PHI</x:v>
      </x:c>
      <x:c r="H960" t="str">
        <x:v>MIN</x:v>
      </x:c>
      <x:c r="I960" t="str">
        <x:v>PHI</x:v>
      </x:c>
      <x:c r="J960" t="n">
        <x:v>74</x:v>
      </x:c>
      <x:c r="K960" t="str">
        <x:v>(2:25) (Shotgun) 1-J.Hurts pass short right to 37-T.Bigsby to PHI 25 for -1 yards (15-D.Turner).</x:v>
      </x:c>
      <x:c r="L960" t="str">
        <x:v>pass</x:v>
      </x:c>
      <x:c r="M960" t="n">
        <x:v>-1</x:v>
      </x:c>
      <x:c r="N960" t="n">
        <x:v>1</x:v>
      </x:c>
      <x:c r="O960" t="n">
        <x:v>0</x:v>
      </x:c>
      <x:c r="P960" t="str">
        <x:v>short</x:v>
      </x:c>
      <x:c r="Q960" t="str">
        <x:v>right</x:v>
      </x:c>
      <x:c r="R960" t="n">
        <x:v>-7</x:v>
      </x:c>
      <x:c r="S960" t="n">
        <x:v>6</x:v>
      </x:c>
      <x:c r="T960"/>
      <x:c r="U960"/>
      <x:c r="V960" t="n">
        <x:v>1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/>
      <x:c r="AC960" t="n">
        <x:v>0</x:v>
      </x:c>
      <x:c r="AD960" t="n">
        <x:v>-0.8992312443442643</x:v>
      </x:c>
      <x:c r="AE960" t="n">
        <x:v>0</x:v>
      </x:c>
      <x:c r="AF960" t="n">
        <x:v>-0.023044705390930176</x:v>
      </x:c>
      <x:c r="AG960" t="n">
        <x:f>_xlfn.XLOOKUP($A960,Games!$A$2:$A$18,Games!$B$2:$B$18,"Missing game",0)</x:f>
        <x:v>2025</x:v>
      </x:c>
      <x:c r="AH960" t="str">
        <x:f>_xlfn.XLOOKUP($A960,Games!$A$2:$A$18,Games!$C$2:$C$18,"Missing game",0)</x:f>
        <x:v>REG</x:v>
      </x:c>
      <x:c r="AI960" t="n">
        <x:f>_xlfn.XLOOKUP($A960,Games!$A$2:$A$18,Games!$D$2:$D$18,"Missing game",0)</x:f>
        <x:v>7</x:v>
      </x:c>
      <x:c r="AJ960" s="1" t="n">
        <x:f>_xlfn.XLOOKUP($A960,Games!$A$2:$A$18,Games!$E$2:$E$18,"Missing game",0)</x:f>
        <x:v>45949</x:v>
      </x:c>
      <x:c r="AK960" t="str">
        <x:f>_xlfn.XLOOKUP($A960,Games!$A$2:$A$18,Games!$F$2:$F$18,"Missing game",0)</x:f>
        <x:v>Sunday</x:v>
      </x:c>
      <x:c r="AL960" t="str">
        <x:f>_xlfn.XLOOKUP($A960,Games!$A$2:$A$18,Games!$G$2:$G$18,"Missing game",0)</x:f>
        <x:v>PHI</x:v>
      </x:c>
      <x:c r="AM960" t="n">
        <x:f>_xlfn.XLOOKUP($A960,Games!$A$2:$A$18,Games!$H$2:$H$18,"Missing game",0)</x:f>
        <x:v>28</x:v>
      </x:c>
      <x:c r="AN960" t="str">
        <x:f>_xlfn.XLOOKUP($A960,Games!$A$2:$A$18,Games!$I$2:$I$18,"Missing game",0)</x:f>
        <x:v>MIN</x:v>
      </x:c>
      <x:c r="AO960" t="n">
        <x:f>_xlfn.XLOOKUP($A960,Games!$A$2:$A$18,Games!$J$2:$J$18,"Missing game",0)</x:f>
        <x:v>22</x:v>
      </x:c>
      <x:c r="AP960" t="n">
        <x:f>_xlfn.XLOOKUP($A960,Games!$A$2:$A$18,Games!$K$2:$K$18,"Missing game",0)</x:f>
        <x:v>-6</x:v>
      </x:c>
      <x:c r="AQ960" t="n">
        <x:f>_xlfn.XLOOKUP($A960,Games!$A$2:$A$18,Games!$L$2:$L$18,"Missing game",0)</x:f>
        <x:v>50</x:v>
      </x:c>
      <x:c r="AR960" t="n">
        <x:f>_xlfn.XLOOKUP($A960,Games!$A$2:$A$18,Games!$M$2:$M$18,"Missing game",0)</x:f>
        <x:v>0</x:v>
      </x:c>
      <x:c r="AS960" t="str">
        <x:f>_xlfn.XLOOKUP($A960,Games!$A$2:$A$18,Games!$N$2:$N$18,"Missing game",0)</x:f>
        <x:v>dome</x:v>
      </x:c>
      <x:c r="AT960" t="str">
        <x:f>_xlfn.XLOOKUP($A960,Games!$A$2:$A$18,Games!$O$2:$O$18,"Missing game",0)</x:f>
        <x:v>sportturf</x:v>
      </x:c>
      <x:c r="AU960" t="str">
        <x:f>_xlfn.XLOOKUP($A960,Games!$A$2:$A$18,Games!$P$2:$P$18,"Missing game",0)</x:f>
      </x:c>
      <x:c r="AV960" t="str">
        <x:f>_xlfn.XLOOKUP($A960,Games!$A$2:$A$18,Games!$Q$2:$Q$18,"Missing game",0)</x:f>
      </x:c>
      <x:c r="AW960" t="str">
        <x:f>_xlfn.XLOOKUP($A960,Games!$A$2:$A$18,Games!$R$2:$R$18,"Missing game",0)</x:f>
        <x:v>U.S. Bank Stadium</x:v>
      </x:c>
    </x:row>
    <x:row r="961">
      <x:c r="A961" t="str">
        <x:v>2025_07_PHI_MIN</x:v>
      </x:c>
      <x:c r="B961" t="n">
        <x:v>2763</x:v>
      </x:c>
      <x:c r="C961" t="n">
        <x:v>3</x:v>
      </x:c>
      <x:c r="D961" t="str">
        <x:v>01:38</x:v>
      </x:c>
      <x:c r="E961" t="n">
        <x:v>3</x:v>
      </x:c>
      <x:c r="F961" t="n">
        <x:v>15</x:v>
      </x:c>
      <x:c r="G961" t="str">
        <x:v>PHI</x:v>
      </x:c>
      <x:c r="H961" t="str">
        <x:v>MIN</x:v>
      </x:c>
      <x:c r="I961" t="str">
        <x:v>PHI</x:v>
      </x:c>
      <x:c r="J961" t="n">
        <x:v>75</x:v>
      </x:c>
      <x:c r="K961" t="str">
        <x:v>(1:38) (Shotgun) 1-J.Hurts pass deep left to 6-D.Smith to MIN 47 for 28 yards (8-J.Okudah). Penalty on MIN-51-B.Cashman, Illegal Contact, declined.</x:v>
      </x:c>
      <x:c r="L961" t="str">
        <x:v>pass</x:v>
      </x:c>
      <x:c r="M961" t="n">
        <x:v>28</x:v>
      </x:c>
      <x:c r="N961" t="n">
        <x:v>1</x:v>
      </x:c>
      <x:c r="O961" t="n">
        <x:v>0</x:v>
      </x:c>
      <x:c r="P961" t="str">
        <x:v>deep</x:v>
      </x:c>
      <x:c r="Q961" t="str">
        <x:v>left</x:v>
      </x:c>
      <x:c r="R961" t="n">
        <x:v>28</x:v>
      </x:c>
      <x:c r="S961" t="n">
        <x:v>0</x:v>
      </x:c>
      <x:c r="T961"/>
      <x:c r="U961"/>
      <x:c r="V961" t="n">
        <x:v>1</x:v>
      </x:c>
      <x:c r="W961" t="n">
        <x:v>1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/>
      <x:c r="AC961" t="n">
        <x:v>0</x:v>
      </x:c>
      <x:c r="AD961" t="n">
        <x:v>3.659588501788676</x:v>
      </x:c>
      <x:c r="AE961" t="n">
        <x:v>1</x:v>
      </x:c>
      <x:c r="AF961" t="n">
        <x:v>0.11242944002151489</x:v>
      </x:c>
      <x:c r="AG961" t="n">
        <x:f>_xlfn.XLOOKUP($A961,Games!$A$2:$A$18,Games!$B$2:$B$18,"Missing game",0)</x:f>
        <x:v>2025</x:v>
      </x:c>
      <x:c r="AH961" t="str">
        <x:f>_xlfn.XLOOKUP($A961,Games!$A$2:$A$18,Games!$C$2:$C$18,"Missing game",0)</x:f>
        <x:v>REG</x:v>
      </x:c>
      <x:c r="AI961" t="n">
        <x:f>_xlfn.XLOOKUP($A961,Games!$A$2:$A$18,Games!$D$2:$D$18,"Missing game",0)</x:f>
        <x:v>7</x:v>
      </x:c>
      <x:c r="AJ961" s="1" t="n">
        <x:f>_xlfn.XLOOKUP($A961,Games!$A$2:$A$18,Games!$E$2:$E$18,"Missing game",0)</x:f>
        <x:v>45949</x:v>
      </x:c>
      <x:c r="AK961" t="str">
        <x:f>_xlfn.XLOOKUP($A961,Games!$A$2:$A$18,Games!$F$2:$F$18,"Missing game",0)</x:f>
        <x:v>Sunday</x:v>
      </x:c>
      <x:c r="AL961" t="str">
        <x:f>_xlfn.XLOOKUP($A961,Games!$A$2:$A$18,Games!$G$2:$G$18,"Missing game",0)</x:f>
        <x:v>PHI</x:v>
      </x:c>
      <x:c r="AM961" t="n">
        <x:f>_xlfn.XLOOKUP($A961,Games!$A$2:$A$18,Games!$H$2:$H$18,"Missing game",0)</x:f>
        <x:v>28</x:v>
      </x:c>
      <x:c r="AN961" t="str">
        <x:f>_xlfn.XLOOKUP($A961,Games!$A$2:$A$18,Games!$I$2:$I$18,"Missing game",0)</x:f>
        <x:v>MIN</x:v>
      </x:c>
      <x:c r="AO961" t="n">
        <x:f>_xlfn.XLOOKUP($A961,Games!$A$2:$A$18,Games!$J$2:$J$18,"Missing game",0)</x:f>
        <x:v>22</x:v>
      </x:c>
      <x:c r="AP961" t="n">
        <x:f>_xlfn.XLOOKUP($A961,Games!$A$2:$A$18,Games!$K$2:$K$18,"Missing game",0)</x:f>
        <x:v>-6</x:v>
      </x:c>
      <x:c r="AQ961" t="n">
        <x:f>_xlfn.XLOOKUP($A961,Games!$A$2:$A$18,Games!$L$2:$L$18,"Missing game",0)</x:f>
        <x:v>50</x:v>
      </x:c>
      <x:c r="AR961" t="n">
        <x:f>_xlfn.XLOOKUP($A961,Games!$A$2:$A$18,Games!$M$2:$M$18,"Missing game",0)</x:f>
        <x:v>0</x:v>
      </x:c>
      <x:c r="AS961" t="str">
        <x:f>_xlfn.XLOOKUP($A961,Games!$A$2:$A$18,Games!$N$2:$N$18,"Missing game",0)</x:f>
        <x:v>dome</x:v>
      </x:c>
      <x:c r="AT961" t="str">
        <x:f>_xlfn.XLOOKUP($A961,Games!$A$2:$A$18,Games!$O$2:$O$18,"Missing game",0)</x:f>
        <x:v>sportturf</x:v>
      </x:c>
      <x:c r="AU961" t="str">
        <x:f>_xlfn.XLOOKUP($A961,Games!$A$2:$A$18,Games!$P$2:$P$18,"Missing game",0)</x:f>
      </x:c>
      <x:c r="AV961" t="str">
        <x:f>_xlfn.XLOOKUP($A961,Games!$A$2:$A$18,Games!$Q$2:$Q$18,"Missing game",0)</x:f>
      </x:c>
      <x:c r="AW961" t="str">
        <x:f>_xlfn.XLOOKUP($A961,Games!$A$2:$A$18,Games!$R$2:$R$18,"Missing game",0)</x:f>
        <x:v>U.S. Bank Stadium</x:v>
      </x:c>
    </x:row>
    <x:row r="962">
      <x:c r="A962" t="str">
        <x:v>2025_07_PHI_MIN</x:v>
      </x:c>
      <x:c r="B962" t="n">
        <x:v>2799</x:v>
      </x:c>
      <x:c r="C962" t="n">
        <x:v>3</x:v>
      </x:c>
      <x:c r="D962" t="str">
        <x:v>01:13</x:v>
      </x:c>
      <x:c r="E962" t="n">
        <x:v>1</x:v>
      </x:c>
      <x:c r="F962" t="n">
        <x:v>10</x:v>
      </x:c>
      <x:c r="G962" t="str">
        <x:v>PHI</x:v>
      </x:c>
      <x:c r="H962" t="str">
        <x:v>MIN</x:v>
      </x:c>
      <x:c r="I962" t="str">
        <x:v>MIN</x:v>
      </x:c>
      <x:c r="J962" t="n">
        <x:v>47</x:v>
      </x:c>
      <x:c r="K962" t="str">
        <x:v>(1:13) 74-F.Johnson reported in as eligible. 1-J.Hurts pass deep left to 6-D.Smith to MIN 28 for 19 yards (22-H.Smith) [51-B.Cashman].</x:v>
      </x:c>
      <x:c r="L962" t="str">
        <x:v>pass</x:v>
      </x:c>
      <x:c r="M962" t="n">
        <x:v>19</x:v>
      </x:c>
      <x:c r="N962" t="n">
        <x:v>0</x:v>
      </x:c>
      <x:c r="O962" t="n">
        <x:v>0</x:v>
      </x:c>
      <x:c r="P962" t="str">
        <x:v>deep</x:v>
      </x:c>
      <x:c r="Q962" t="str">
        <x:v>left</x:v>
      </x:c>
      <x:c r="R962" t="n">
        <x:v>19</x:v>
      </x:c>
      <x:c r="S962" t="n">
        <x:v>0</x:v>
      </x:c>
      <x:c r="T962"/>
      <x:c r="U962"/>
      <x:c r="V962" t="n">
        <x:v>1</x:v>
      </x:c>
      <x:c r="W962" t="n">
        <x:v>1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/>
      <x:c r="AC962" t="n">
        <x:v>0</x:v>
      </x:c>
      <x:c r="AD962" t="n">
        <x:v>1.3055879356106743</x:v>
      </x:c>
      <x:c r="AE962" t="n">
        <x:v>1</x:v>
      </x:c>
      <x:c r="AF962" t="n">
        <x:v>0.017836332321166992</x:v>
      </x:c>
      <x:c r="AG962" t="n">
        <x:f>_xlfn.XLOOKUP($A962,Games!$A$2:$A$18,Games!$B$2:$B$18,"Missing game",0)</x:f>
        <x:v>2025</x:v>
      </x:c>
      <x:c r="AH962" t="str">
        <x:f>_xlfn.XLOOKUP($A962,Games!$A$2:$A$18,Games!$C$2:$C$18,"Missing game",0)</x:f>
        <x:v>REG</x:v>
      </x:c>
      <x:c r="AI962" t="n">
        <x:f>_xlfn.XLOOKUP($A962,Games!$A$2:$A$18,Games!$D$2:$D$18,"Missing game",0)</x:f>
        <x:v>7</x:v>
      </x:c>
      <x:c r="AJ962" s="1" t="n">
        <x:f>_xlfn.XLOOKUP($A962,Games!$A$2:$A$18,Games!$E$2:$E$18,"Missing game",0)</x:f>
        <x:v>45949</x:v>
      </x:c>
      <x:c r="AK962" t="str">
        <x:f>_xlfn.XLOOKUP($A962,Games!$A$2:$A$18,Games!$F$2:$F$18,"Missing game",0)</x:f>
        <x:v>Sunday</x:v>
      </x:c>
      <x:c r="AL962" t="str">
        <x:f>_xlfn.XLOOKUP($A962,Games!$A$2:$A$18,Games!$G$2:$G$18,"Missing game",0)</x:f>
        <x:v>PHI</x:v>
      </x:c>
      <x:c r="AM962" t="n">
        <x:f>_xlfn.XLOOKUP($A962,Games!$A$2:$A$18,Games!$H$2:$H$18,"Missing game",0)</x:f>
        <x:v>28</x:v>
      </x:c>
      <x:c r="AN962" t="str">
        <x:f>_xlfn.XLOOKUP($A962,Games!$A$2:$A$18,Games!$I$2:$I$18,"Missing game",0)</x:f>
        <x:v>MIN</x:v>
      </x:c>
      <x:c r="AO962" t="n">
        <x:f>_xlfn.XLOOKUP($A962,Games!$A$2:$A$18,Games!$J$2:$J$18,"Missing game",0)</x:f>
        <x:v>22</x:v>
      </x:c>
      <x:c r="AP962" t="n">
        <x:f>_xlfn.XLOOKUP($A962,Games!$A$2:$A$18,Games!$K$2:$K$18,"Missing game",0)</x:f>
        <x:v>-6</x:v>
      </x:c>
      <x:c r="AQ962" t="n">
        <x:f>_xlfn.XLOOKUP($A962,Games!$A$2:$A$18,Games!$L$2:$L$18,"Missing game",0)</x:f>
        <x:v>50</x:v>
      </x:c>
      <x:c r="AR962" t="n">
        <x:f>_xlfn.XLOOKUP($A962,Games!$A$2:$A$18,Games!$M$2:$M$18,"Missing game",0)</x:f>
        <x:v>0</x:v>
      </x:c>
      <x:c r="AS962" t="str">
        <x:f>_xlfn.XLOOKUP($A962,Games!$A$2:$A$18,Games!$N$2:$N$18,"Missing game",0)</x:f>
        <x:v>dome</x:v>
      </x:c>
      <x:c r="AT962" t="str">
        <x:f>_xlfn.XLOOKUP($A962,Games!$A$2:$A$18,Games!$O$2:$O$18,"Missing game",0)</x:f>
        <x:v>sportturf</x:v>
      </x:c>
      <x:c r="AU962" t="str">
        <x:f>_xlfn.XLOOKUP($A962,Games!$A$2:$A$18,Games!$P$2:$P$18,"Missing game",0)</x:f>
      </x:c>
      <x:c r="AV962" t="str">
        <x:f>_xlfn.XLOOKUP($A962,Games!$A$2:$A$18,Games!$Q$2:$Q$18,"Missing game",0)</x:f>
      </x:c>
      <x:c r="AW962" t="str">
        <x:f>_xlfn.XLOOKUP($A962,Games!$A$2:$A$18,Games!$R$2:$R$18,"Missing game",0)</x:f>
        <x:v>U.S. Bank Stadium</x:v>
      </x:c>
    </x:row>
    <x:row r="963">
      <x:c r="A963" t="str">
        <x:v>2025_07_PHI_MIN</x:v>
      </x:c>
      <x:c r="B963" t="n">
        <x:v>2837</x:v>
      </x:c>
      <x:c r="C963" t="n">
        <x:v>3</x:v>
      </x:c>
      <x:c r="D963" t="str">
        <x:v>00:50</x:v>
      </x:c>
      <x:c r="E963" t="n">
        <x:v>1</x:v>
      </x:c>
      <x:c r="F963" t="n">
        <x:v>10</x:v>
      </x:c>
      <x:c r="G963" t="str">
        <x:v>PHI</x:v>
      </x:c>
      <x:c r="H963" t="str">
        <x:v>MIN</x:v>
      </x:c>
      <x:c r="I963" t="str">
        <x:v>MIN</x:v>
      </x:c>
      <x:c r="J963" t="n">
        <x:v>28</x:v>
      </x:c>
      <x:c r="K963" t="str">
        <x:v>(:50) (Shotgun) 1-J.Hurts pass short middle to 88-D.Goedert to MIN 23 for 5 yards (44-J.Metellus; 55-E.Wilson).</x:v>
      </x:c>
      <x:c r="L963" t="str">
        <x:v>pass</x:v>
      </x:c>
      <x:c r="M963" t="n">
        <x:v>5</x:v>
      </x:c>
      <x:c r="N963" t="n">
        <x:v>1</x:v>
      </x:c>
      <x:c r="O963" t="n">
        <x:v>0</x:v>
      </x:c>
      <x:c r="P963" t="str">
        <x:v>short</x:v>
      </x:c>
      <x:c r="Q963" t="str">
        <x:v>middle</x:v>
      </x:c>
      <x:c r="R963" t="n">
        <x:v>4</x:v>
      </x:c>
      <x:c r="S963" t="n">
        <x:v>1</x:v>
      </x:c>
      <x:c r="T963"/>
      <x:c r="U963"/>
      <x:c r="V963" t="n">
        <x:v>1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/>
      <x:c r="AC963" t="n">
        <x:v>0</x:v>
      </x:c>
      <x:c r="AD963" t="n">
        <x:v>0.11892854853067547</x:v>
      </x:c>
      <x:c r="AE963" t="n">
        <x:v>1</x:v>
      </x:c>
      <x:c r="AF963" t="n">
        <x:v>0.0121612548828125</x:v>
      </x:c>
      <x:c r="AG963" t="n">
        <x:f>_xlfn.XLOOKUP($A963,Games!$A$2:$A$18,Games!$B$2:$B$18,"Missing game",0)</x:f>
        <x:v>2025</x:v>
      </x:c>
      <x:c r="AH963" t="str">
        <x:f>_xlfn.XLOOKUP($A963,Games!$A$2:$A$18,Games!$C$2:$C$18,"Missing game",0)</x:f>
        <x:v>REG</x:v>
      </x:c>
      <x:c r="AI963" t="n">
        <x:f>_xlfn.XLOOKUP($A963,Games!$A$2:$A$18,Games!$D$2:$D$18,"Missing game",0)</x:f>
        <x:v>7</x:v>
      </x:c>
      <x:c r="AJ963" s="1" t="n">
        <x:f>_xlfn.XLOOKUP($A963,Games!$A$2:$A$18,Games!$E$2:$E$18,"Missing game",0)</x:f>
        <x:v>45949</x:v>
      </x:c>
      <x:c r="AK963" t="str">
        <x:f>_xlfn.XLOOKUP($A963,Games!$A$2:$A$18,Games!$F$2:$F$18,"Missing game",0)</x:f>
        <x:v>Sunday</x:v>
      </x:c>
      <x:c r="AL963" t="str">
        <x:f>_xlfn.XLOOKUP($A963,Games!$A$2:$A$18,Games!$G$2:$G$18,"Missing game",0)</x:f>
        <x:v>PHI</x:v>
      </x:c>
      <x:c r="AM963" t="n">
        <x:f>_xlfn.XLOOKUP($A963,Games!$A$2:$A$18,Games!$H$2:$H$18,"Missing game",0)</x:f>
        <x:v>28</x:v>
      </x:c>
      <x:c r="AN963" t="str">
        <x:f>_xlfn.XLOOKUP($A963,Games!$A$2:$A$18,Games!$I$2:$I$18,"Missing game",0)</x:f>
        <x:v>MIN</x:v>
      </x:c>
      <x:c r="AO963" t="n">
        <x:f>_xlfn.XLOOKUP($A963,Games!$A$2:$A$18,Games!$J$2:$J$18,"Missing game",0)</x:f>
        <x:v>22</x:v>
      </x:c>
      <x:c r="AP963" t="n">
        <x:f>_xlfn.XLOOKUP($A963,Games!$A$2:$A$18,Games!$K$2:$K$18,"Missing game",0)</x:f>
        <x:v>-6</x:v>
      </x:c>
      <x:c r="AQ963" t="n">
        <x:f>_xlfn.XLOOKUP($A963,Games!$A$2:$A$18,Games!$L$2:$L$18,"Missing game",0)</x:f>
        <x:v>50</x:v>
      </x:c>
      <x:c r="AR963" t="n">
        <x:f>_xlfn.XLOOKUP($A963,Games!$A$2:$A$18,Games!$M$2:$M$18,"Missing game",0)</x:f>
        <x:v>0</x:v>
      </x:c>
      <x:c r="AS963" t="str">
        <x:f>_xlfn.XLOOKUP($A963,Games!$A$2:$A$18,Games!$N$2:$N$18,"Missing game",0)</x:f>
        <x:v>dome</x:v>
      </x:c>
      <x:c r="AT963" t="str">
        <x:f>_xlfn.XLOOKUP($A963,Games!$A$2:$A$18,Games!$O$2:$O$18,"Missing game",0)</x:f>
        <x:v>sportturf</x:v>
      </x:c>
      <x:c r="AU963" t="str">
        <x:f>_xlfn.XLOOKUP($A963,Games!$A$2:$A$18,Games!$P$2:$P$18,"Missing game",0)</x:f>
      </x:c>
      <x:c r="AV963" t="str">
        <x:f>_xlfn.XLOOKUP($A963,Games!$A$2:$A$18,Games!$Q$2:$Q$18,"Missing game",0)</x:f>
      </x:c>
      <x:c r="AW963" t="str">
        <x:f>_xlfn.XLOOKUP($A963,Games!$A$2:$A$18,Games!$R$2:$R$18,"Missing game",0)</x:f>
        <x:v>U.S. Bank Stadium</x:v>
      </x:c>
    </x:row>
    <x:row r="964">
      <x:c r="A964" t="str">
        <x:v>2025_07_PHI_MIN</x:v>
      </x:c>
      <x:c r="B964" t="n">
        <x:v>2862</x:v>
      </x:c>
      <x:c r="C964" t="n">
        <x:v>3</x:v>
      </x:c>
      <x:c r="D964" t="str">
        <x:v>00:08</x:v>
      </x:c>
      <x:c r="E964" t="n">
        <x:v>2</x:v>
      </x:c>
      <x:c r="F964" t="n">
        <x:v>5</x:v>
      </x:c>
      <x:c r="G964" t="str">
        <x:v>PHI</x:v>
      </x:c>
      <x:c r="H964" t="str">
        <x:v>MIN</x:v>
      </x:c>
      <x:c r="I964" t="str">
        <x:v>MIN</x:v>
      </x:c>
      <x:c r="J964" t="n">
        <x:v>23</x:v>
      </x:c>
      <x:c r="K964" t="str">
        <x:v>(:08) 26-S.Barkley left end to MIN 23 for no gain (93-J.Allen).</x:v>
      </x:c>
      <x:c r="L964" t="str">
        <x:v>run</x:v>
      </x:c>
      <x:c r="M964" t="n">
        <x:v>0</x:v>
      </x:c>
      <x:c r="N964" t="n">
        <x:v>0</x:v>
      </x:c>
      <x:c r="O964" t="n">
        <x:v>0</x:v>
      </x:c>
      <x:c r="P964"/>
      <x:c r="Q964"/>
      <x:c r="R964"/>
      <x:c r="S964"/>
      <x:c r="T964" t="str">
        <x:v>left</x:v>
      </x:c>
      <x:c r="U964" t="str">
        <x:v>end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/>
      <x:c r="AC964" t="n">
        <x:v>0</x:v>
      </x:c>
      <x:c r="AD964" t="n">
        <x:v>-0.6181441710796207</x:v>
      </x:c>
      <x:c r="AE964" t="n">
        <x:v>0</x:v>
      </x:c>
      <x:c r="AF964" t="n">
        <x:v>-0.011345207691192627</x:v>
      </x:c>
      <x:c r="AG964" t="n">
        <x:f>_xlfn.XLOOKUP($A964,Games!$A$2:$A$18,Games!$B$2:$B$18,"Missing game",0)</x:f>
        <x:v>2025</x:v>
      </x:c>
      <x:c r="AH964" t="str">
        <x:f>_xlfn.XLOOKUP($A964,Games!$A$2:$A$18,Games!$C$2:$C$18,"Missing game",0)</x:f>
        <x:v>REG</x:v>
      </x:c>
      <x:c r="AI964" t="n">
        <x:f>_xlfn.XLOOKUP($A964,Games!$A$2:$A$18,Games!$D$2:$D$18,"Missing game",0)</x:f>
        <x:v>7</x:v>
      </x:c>
      <x:c r="AJ964" s="1" t="n">
        <x:f>_xlfn.XLOOKUP($A964,Games!$A$2:$A$18,Games!$E$2:$E$18,"Missing game",0)</x:f>
        <x:v>45949</x:v>
      </x:c>
      <x:c r="AK964" t="str">
        <x:f>_xlfn.XLOOKUP($A964,Games!$A$2:$A$18,Games!$F$2:$F$18,"Missing game",0)</x:f>
        <x:v>Sunday</x:v>
      </x:c>
      <x:c r="AL964" t="str">
        <x:f>_xlfn.XLOOKUP($A964,Games!$A$2:$A$18,Games!$G$2:$G$18,"Missing game",0)</x:f>
        <x:v>PHI</x:v>
      </x:c>
      <x:c r="AM964" t="n">
        <x:f>_xlfn.XLOOKUP($A964,Games!$A$2:$A$18,Games!$H$2:$H$18,"Missing game",0)</x:f>
        <x:v>28</x:v>
      </x:c>
      <x:c r="AN964" t="str">
        <x:f>_xlfn.XLOOKUP($A964,Games!$A$2:$A$18,Games!$I$2:$I$18,"Missing game",0)</x:f>
        <x:v>MIN</x:v>
      </x:c>
      <x:c r="AO964" t="n">
        <x:f>_xlfn.XLOOKUP($A964,Games!$A$2:$A$18,Games!$J$2:$J$18,"Missing game",0)</x:f>
        <x:v>22</x:v>
      </x:c>
      <x:c r="AP964" t="n">
        <x:f>_xlfn.XLOOKUP($A964,Games!$A$2:$A$18,Games!$K$2:$K$18,"Missing game",0)</x:f>
        <x:v>-6</x:v>
      </x:c>
      <x:c r="AQ964" t="n">
        <x:f>_xlfn.XLOOKUP($A964,Games!$A$2:$A$18,Games!$L$2:$L$18,"Missing game",0)</x:f>
        <x:v>50</x:v>
      </x:c>
      <x:c r="AR964" t="n">
        <x:f>_xlfn.XLOOKUP($A964,Games!$A$2:$A$18,Games!$M$2:$M$18,"Missing game",0)</x:f>
        <x:v>0</x:v>
      </x:c>
      <x:c r="AS964" t="str">
        <x:f>_xlfn.XLOOKUP($A964,Games!$A$2:$A$18,Games!$N$2:$N$18,"Missing game",0)</x:f>
        <x:v>dome</x:v>
      </x:c>
      <x:c r="AT964" t="str">
        <x:f>_xlfn.XLOOKUP($A964,Games!$A$2:$A$18,Games!$O$2:$O$18,"Missing game",0)</x:f>
        <x:v>sportturf</x:v>
      </x:c>
      <x:c r="AU964" t="str">
        <x:f>_xlfn.XLOOKUP($A964,Games!$A$2:$A$18,Games!$P$2:$P$18,"Missing game",0)</x:f>
      </x:c>
      <x:c r="AV964" t="str">
        <x:f>_xlfn.XLOOKUP($A964,Games!$A$2:$A$18,Games!$Q$2:$Q$18,"Missing game",0)</x:f>
      </x:c>
      <x:c r="AW964" t="str">
        <x:f>_xlfn.XLOOKUP($A964,Games!$A$2:$A$18,Games!$R$2:$R$18,"Missing game",0)</x:f>
        <x:v>U.S. Bank Stadium</x:v>
      </x:c>
    </x:row>
    <x:row r="965">
      <x:c r="A965" t="str">
        <x:v>2025_07_PHI_MIN</x:v>
      </x:c>
      <x:c r="B965" t="n">
        <x:v>2884</x:v>
      </x:c>
      <x:c r="C965" t="n">
        <x:v>3</x:v>
      </x:c>
      <x:c r="D965" t="str">
        <x:v>00:00</x:v>
      </x:c>
      <x:c r="E965"/>
      <x:c r="F965" t="n">
        <x:v>0</x:v>
      </x:c>
      <x:c r="G965" t="str">
        <x:v>PHI</x:v>
      </x:c>
      <x:c r="H965" t="str">
        <x:v>MIN</x:v>
      </x:c>
      <x:c r="I965"/>
      <x:c r="J965"/>
      <x:c r="K965" t="str">
        <x:v>END QUARTER 3</x:v>
      </x:c>
      <x:c r="L965"/>
      <x:c r="M965"/>
      <x:c r="N965" t="n">
        <x:v>0</x:v>
      </x:c>
      <x:c r="O965" t="n">
        <x:v>0</x:v>
      </x:c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 t="n">
        <x:v>0</x:v>
      </x:c>
      <x:c r="AE965" t="n">
        <x:v>0</x:v>
      </x:c>
      <x:c r="AF965" t="n">
        <x:v>0</x:v>
      </x:c>
      <x:c r="AG965" t="n">
        <x:f>_xlfn.XLOOKUP($A965,Games!$A$2:$A$18,Games!$B$2:$B$18,"Missing game",0)</x:f>
        <x:v>2025</x:v>
      </x:c>
      <x:c r="AH965" t="str">
        <x:f>_xlfn.XLOOKUP($A965,Games!$A$2:$A$18,Games!$C$2:$C$18,"Missing game",0)</x:f>
        <x:v>REG</x:v>
      </x:c>
      <x:c r="AI965" t="n">
        <x:f>_xlfn.XLOOKUP($A965,Games!$A$2:$A$18,Games!$D$2:$D$18,"Missing game",0)</x:f>
        <x:v>7</x:v>
      </x:c>
      <x:c r="AJ965" s="1" t="n">
        <x:f>_xlfn.XLOOKUP($A965,Games!$A$2:$A$18,Games!$E$2:$E$18,"Missing game",0)</x:f>
        <x:v>45949</x:v>
      </x:c>
      <x:c r="AK965" t="str">
        <x:f>_xlfn.XLOOKUP($A965,Games!$A$2:$A$18,Games!$F$2:$F$18,"Missing game",0)</x:f>
        <x:v>Sunday</x:v>
      </x:c>
      <x:c r="AL965" t="str">
        <x:f>_xlfn.XLOOKUP($A965,Games!$A$2:$A$18,Games!$G$2:$G$18,"Missing game",0)</x:f>
        <x:v>PHI</x:v>
      </x:c>
      <x:c r="AM965" t="n">
        <x:f>_xlfn.XLOOKUP($A965,Games!$A$2:$A$18,Games!$H$2:$H$18,"Missing game",0)</x:f>
        <x:v>28</x:v>
      </x:c>
      <x:c r="AN965" t="str">
        <x:f>_xlfn.XLOOKUP($A965,Games!$A$2:$A$18,Games!$I$2:$I$18,"Missing game",0)</x:f>
        <x:v>MIN</x:v>
      </x:c>
      <x:c r="AO965" t="n">
        <x:f>_xlfn.XLOOKUP($A965,Games!$A$2:$A$18,Games!$J$2:$J$18,"Missing game",0)</x:f>
        <x:v>22</x:v>
      </x:c>
      <x:c r="AP965" t="n">
        <x:f>_xlfn.XLOOKUP($A965,Games!$A$2:$A$18,Games!$K$2:$K$18,"Missing game",0)</x:f>
        <x:v>-6</x:v>
      </x:c>
      <x:c r="AQ965" t="n">
        <x:f>_xlfn.XLOOKUP($A965,Games!$A$2:$A$18,Games!$L$2:$L$18,"Missing game",0)</x:f>
        <x:v>50</x:v>
      </x:c>
      <x:c r="AR965" t="n">
        <x:f>_xlfn.XLOOKUP($A965,Games!$A$2:$A$18,Games!$M$2:$M$18,"Missing game",0)</x:f>
        <x:v>0</x:v>
      </x:c>
      <x:c r="AS965" t="str">
        <x:f>_xlfn.XLOOKUP($A965,Games!$A$2:$A$18,Games!$N$2:$N$18,"Missing game",0)</x:f>
        <x:v>dome</x:v>
      </x:c>
      <x:c r="AT965" t="str">
        <x:f>_xlfn.XLOOKUP($A965,Games!$A$2:$A$18,Games!$O$2:$O$18,"Missing game",0)</x:f>
        <x:v>sportturf</x:v>
      </x:c>
      <x:c r="AU965" t="str">
        <x:f>_xlfn.XLOOKUP($A965,Games!$A$2:$A$18,Games!$P$2:$P$18,"Missing game",0)</x:f>
      </x:c>
      <x:c r="AV965" t="str">
        <x:f>_xlfn.XLOOKUP($A965,Games!$A$2:$A$18,Games!$Q$2:$Q$18,"Missing game",0)</x:f>
      </x:c>
      <x:c r="AW965" t="str">
        <x:f>_xlfn.XLOOKUP($A965,Games!$A$2:$A$18,Games!$R$2:$R$18,"Missing game",0)</x:f>
        <x:v>U.S. Bank Stadium</x:v>
      </x:c>
    </x:row>
    <x:row r="966">
      <x:c r="A966" t="str">
        <x:v>2025_07_PHI_MIN</x:v>
      </x:c>
      <x:c r="B966" t="n">
        <x:v>2904</x:v>
      </x:c>
      <x:c r="C966" t="n">
        <x:v>4</x:v>
      </x:c>
      <x:c r="D966" t="str">
        <x:v>15:00</x:v>
      </x:c>
      <x:c r="E966" t="n">
        <x:v>3</x:v>
      </x:c>
      <x:c r="F966" t="n">
        <x:v>5</x:v>
      </x:c>
      <x:c r="G966" t="str">
        <x:v>PHI</x:v>
      </x:c>
      <x:c r="H966" t="str">
        <x:v>MIN</x:v>
      </x:c>
      <x:c r="I966" t="str">
        <x:v>MIN</x:v>
      </x:c>
      <x:c r="J966" t="n">
        <x:v>23</x:v>
      </x:c>
      <x:c r="K966" t="str">
        <x:v>(15:00) (Shotgun) 26-S.Barkley right tackle to MIN 23 for no gain (61-J.Redmond).</x:v>
      </x:c>
      <x:c r="L966" t="str">
        <x:v>run</x:v>
      </x:c>
      <x:c r="M966" t="n">
        <x:v>0</x:v>
      </x:c>
      <x:c r="N966" t="n">
        <x:v>1</x:v>
      </x:c>
      <x:c r="O966" t="n">
        <x:v>0</x:v>
      </x:c>
      <x:c r="P966"/>
      <x:c r="Q966"/>
      <x:c r="R966"/>
      <x:c r="S966"/>
      <x:c r="T966" t="str">
        <x:v>right</x:v>
      </x:c>
      <x:c r="U966" t="str">
        <x:v>tackle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/>
      <x:c r="AC966" t="n">
        <x:v>0</x:v>
      </x:c>
      <x:c r="AD966" t="n">
        <x:v>-1.505904443837108</x:v>
      </x:c>
      <x:c r="AE966" t="n">
        <x:v>0</x:v>
      </x:c>
      <x:c r="AF966" t="n">
        <x:v>-0.03947126865386963</x:v>
      </x:c>
      <x:c r="AG966" t="n">
        <x:f>_xlfn.XLOOKUP($A966,Games!$A$2:$A$18,Games!$B$2:$B$18,"Missing game",0)</x:f>
        <x:v>2025</x:v>
      </x:c>
      <x:c r="AH966" t="str">
        <x:f>_xlfn.XLOOKUP($A966,Games!$A$2:$A$18,Games!$C$2:$C$18,"Missing game",0)</x:f>
        <x:v>REG</x:v>
      </x:c>
      <x:c r="AI966" t="n">
        <x:f>_xlfn.XLOOKUP($A966,Games!$A$2:$A$18,Games!$D$2:$D$18,"Missing game",0)</x:f>
        <x:v>7</x:v>
      </x:c>
      <x:c r="AJ966" s="1" t="n">
        <x:f>_xlfn.XLOOKUP($A966,Games!$A$2:$A$18,Games!$E$2:$E$18,"Missing game",0)</x:f>
        <x:v>45949</x:v>
      </x:c>
      <x:c r="AK966" t="str">
        <x:f>_xlfn.XLOOKUP($A966,Games!$A$2:$A$18,Games!$F$2:$F$18,"Missing game",0)</x:f>
        <x:v>Sunday</x:v>
      </x:c>
      <x:c r="AL966" t="str">
        <x:f>_xlfn.XLOOKUP($A966,Games!$A$2:$A$18,Games!$G$2:$G$18,"Missing game",0)</x:f>
        <x:v>PHI</x:v>
      </x:c>
      <x:c r="AM966" t="n">
        <x:f>_xlfn.XLOOKUP($A966,Games!$A$2:$A$18,Games!$H$2:$H$18,"Missing game",0)</x:f>
        <x:v>28</x:v>
      </x:c>
      <x:c r="AN966" t="str">
        <x:f>_xlfn.XLOOKUP($A966,Games!$A$2:$A$18,Games!$I$2:$I$18,"Missing game",0)</x:f>
        <x:v>MIN</x:v>
      </x:c>
      <x:c r="AO966" t="n">
        <x:f>_xlfn.XLOOKUP($A966,Games!$A$2:$A$18,Games!$J$2:$J$18,"Missing game",0)</x:f>
        <x:v>22</x:v>
      </x:c>
      <x:c r="AP966" t="n">
        <x:f>_xlfn.XLOOKUP($A966,Games!$A$2:$A$18,Games!$K$2:$K$18,"Missing game",0)</x:f>
        <x:v>-6</x:v>
      </x:c>
      <x:c r="AQ966" t="n">
        <x:f>_xlfn.XLOOKUP($A966,Games!$A$2:$A$18,Games!$L$2:$L$18,"Missing game",0)</x:f>
        <x:v>50</x:v>
      </x:c>
      <x:c r="AR966" t="n">
        <x:f>_xlfn.XLOOKUP($A966,Games!$A$2:$A$18,Games!$M$2:$M$18,"Missing game",0)</x:f>
        <x:v>0</x:v>
      </x:c>
      <x:c r="AS966" t="str">
        <x:f>_xlfn.XLOOKUP($A966,Games!$A$2:$A$18,Games!$N$2:$N$18,"Missing game",0)</x:f>
        <x:v>dome</x:v>
      </x:c>
      <x:c r="AT966" t="str">
        <x:f>_xlfn.XLOOKUP($A966,Games!$A$2:$A$18,Games!$O$2:$O$18,"Missing game",0)</x:f>
        <x:v>sportturf</x:v>
      </x:c>
      <x:c r="AU966" t="str">
        <x:f>_xlfn.XLOOKUP($A966,Games!$A$2:$A$18,Games!$P$2:$P$18,"Missing game",0)</x:f>
      </x:c>
      <x:c r="AV966" t="str">
        <x:f>_xlfn.XLOOKUP($A966,Games!$A$2:$A$18,Games!$Q$2:$Q$18,"Missing game",0)</x:f>
      </x:c>
      <x:c r="AW966" t="str">
        <x:f>_xlfn.XLOOKUP($A966,Games!$A$2:$A$18,Games!$R$2:$R$18,"Missing game",0)</x:f>
        <x:v>U.S. Bank Stadium</x:v>
      </x:c>
    </x:row>
    <x:row r="967">
      <x:c r="A967" t="str">
        <x:v>2025_07_PHI_MIN</x:v>
      </x:c>
      <x:c r="B967" t="n">
        <x:v>2926</x:v>
      </x:c>
      <x:c r="C967" t="n">
        <x:v>4</x:v>
      </x:c>
      <x:c r="D967" t="str">
        <x:v>14:19</x:v>
      </x:c>
      <x:c r="E967" t="n">
        <x:v>4</x:v>
      </x:c>
      <x:c r="F967" t="n">
        <x:v>5</x:v>
      </x:c>
      <x:c r="G967" t="str">
        <x:v>PHI</x:v>
      </x:c>
      <x:c r="H967" t="str">
        <x:v>MIN</x:v>
      </x:c>
      <x:c r="I967" t="str">
        <x:v>MIN</x:v>
      </x:c>
      <x:c r="J967" t="n">
        <x:v>23</x:v>
      </x:c>
      <x:c r="K967" t="str">
        <x:v>(14:19) 4-J.Elliott 42 yard field goal is No Good, Wide Right, Center-57-C.Adomitis, Holder-10-B.Mann.</x:v>
      </x:c>
      <x:c r="L967" t="str">
        <x:v>field_goal</x:v>
      </x:c>
      <x:c r="M967" t="n">
        <x:v>0</x:v>
      </x:c>
      <x:c r="N967" t="n">
        <x:v>0</x:v>
      </x:c>
      <x:c r="O967" t="n">
        <x:v>0</x:v>
      </x:c>
      <x:c r="P967"/>
      <x:c r="Q967"/>
      <x:c r="R967"/>
      <x:c r="S967"/>
      <x:c r="T967"/>
      <x:c r="U967"/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/>
      <x:c r="AC967" t="n">
        <x:v>0</x:v>
      </x:c>
      <x:c r="AD967" t="n">
        <x:v>-4.152453949167056</x:v>
      </x:c>
      <x:c r="AE967" t="n">
        <x:v>0</x:v>
      </x:c>
      <x:c r="AF967" t="n">
        <x:v>-0.1150745153427124</x:v>
      </x:c>
      <x:c r="AG967" t="n">
        <x:f>_xlfn.XLOOKUP($A967,Games!$A$2:$A$18,Games!$B$2:$B$18,"Missing game",0)</x:f>
        <x:v>2025</x:v>
      </x:c>
      <x:c r="AH967" t="str">
        <x:f>_xlfn.XLOOKUP($A967,Games!$A$2:$A$18,Games!$C$2:$C$18,"Missing game",0)</x:f>
        <x:v>REG</x:v>
      </x:c>
      <x:c r="AI967" t="n">
        <x:f>_xlfn.XLOOKUP($A967,Games!$A$2:$A$18,Games!$D$2:$D$18,"Missing game",0)</x:f>
        <x:v>7</x:v>
      </x:c>
      <x:c r="AJ967" s="1" t="n">
        <x:f>_xlfn.XLOOKUP($A967,Games!$A$2:$A$18,Games!$E$2:$E$18,"Missing game",0)</x:f>
        <x:v>45949</x:v>
      </x:c>
      <x:c r="AK967" t="str">
        <x:f>_xlfn.XLOOKUP($A967,Games!$A$2:$A$18,Games!$F$2:$F$18,"Missing game",0)</x:f>
        <x:v>Sunday</x:v>
      </x:c>
      <x:c r="AL967" t="str">
        <x:f>_xlfn.XLOOKUP($A967,Games!$A$2:$A$18,Games!$G$2:$G$18,"Missing game",0)</x:f>
        <x:v>PHI</x:v>
      </x:c>
      <x:c r="AM967" t="n">
        <x:f>_xlfn.XLOOKUP($A967,Games!$A$2:$A$18,Games!$H$2:$H$18,"Missing game",0)</x:f>
        <x:v>28</x:v>
      </x:c>
      <x:c r="AN967" t="str">
        <x:f>_xlfn.XLOOKUP($A967,Games!$A$2:$A$18,Games!$I$2:$I$18,"Missing game",0)</x:f>
        <x:v>MIN</x:v>
      </x:c>
      <x:c r="AO967" t="n">
        <x:f>_xlfn.XLOOKUP($A967,Games!$A$2:$A$18,Games!$J$2:$J$18,"Missing game",0)</x:f>
        <x:v>22</x:v>
      </x:c>
      <x:c r="AP967" t="n">
        <x:f>_xlfn.XLOOKUP($A967,Games!$A$2:$A$18,Games!$K$2:$K$18,"Missing game",0)</x:f>
        <x:v>-6</x:v>
      </x:c>
      <x:c r="AQ967" t="n">
        <x:f>_xlfn.XLOOKUP($A967,Games!$A$2:$A$18,Games!$L$2:$L$18,"Missing game",0)</x:f>
        <x:v>50</x:v>
      </x:c>
      <x:c r="AR967" t="n">
        <x:f>_xlfn.XLOOKUP($A967,Games!$A$2:$A$18,Games!$M$2:$M$18,"Missing game",0)</x:f>
        <x:v>0</x:v>
      </x:c>
      <x:c r="AS967" t="str">
        <x:f>_xlfn.XLOOKUP($A967,Games!$A$2:$A$18,Games!$N$2:$N$18,"Missing game",0)</x:f>
        <x:v>dome</x:v>
      </x:c>
      <x:c r="AT967" t="str">
        <x:f>_xlfn.XLOOKUP($A967,Games!$A$2:$A$18,Games!$O$2:$O$18,"Missing game",0)</x:f>
        <x:v>sportturf</x:v>
      </x:c>
      <x:c r="AU967" t="str">
        <x:f>_xlfn.XLOOKUP($A967,Games!$A$2:$A$18,Games!$P$2:$P$18,"Missing game",0)</x:f>
      </x:c>
      <x:c r="AV967" t="str">
        <x:f>_xlfn.XLOOKUP($A967,Games!$A$2:$A$18,Games!$Q$2:$Q$18,"Missing game",0)</x:f>
      </x:c>
      <x:c r="AW967" t="str">
        <x:f>_xlfn.XLOOKUP($A967,Games!$A$2:$A$18,Games!$R$2:$R$18,"Missing game",0)</x:f>
        <x:v>U.S. Bank Stadium</x:v>
      </x:c>
    </x:row>
    <x:row r="968">
      <x:c r="A968" t="str">
        <x:v>2025_07_PHI_MIN</x:v>
      </x:c>
      <x:c r="B968" t="n">
        <x:v>2947</x:v>
      </x:c>
      <x:c r="C968" t="n">
        <x:v>4</x:v>
      </x:c>
      <x:c r="D968" t="str">
        <x:v>14:15</x:v>
      </x:c>
      <x:c r="E968" t="n">
        <x:v>1</x:v>
      </x:c>
      <x:c r="F968" t="n">
        <x:v>10</x:v>
      </x:c>
      <x:c r="G968" t="str">
        <x:v>MIN</x:v>
      </x:c>
      <x:c r="H968" t="str">
        <x:v>PHI</x:v>
      </x:c>
      <x:c r="I968" t="str">
        <x:v>MIN</x:v>
      </x:c>
      <x:c r="J968" t="n">
        <x:v>68</x:v>
      </x:c>
      <x:c r="K968" t="str">
        <x:v>(14:15) (Shotgun) 27-J.Mason up the middle to MIN 40 for 8 yards (17-N.Dean).</x:v>
      </x:c>
      <x:c r="L968" t="str">
        <x:v>run</x:v>
      </x:c>
      <x:c r="M968" t="n">
        <x:v>8</x:v>
      </x:c>
      <x:c r="N968" t="n">
        <x:v>1</x:v>
      </x:c>
      <x:c r="O968" t="n">
        <x:v>0</x:v>
      </x:c>
      <x:c r="P968"/>
      <x:c r="Q968"/>
      <x:c r="R968"/>
      <x:c r="S968"/>
      <x:c r="T968" t="str">
        <x:v>middle</x:v>
      </x:c>
      <x:c r="U968"/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/>
      <x:c r="AC968" t="n">
        <x:v>0</x:v>
      </x:c>
      <x:c r="AD968" t="n">
        <x:v>0.41074066096916795</x:v>
      </x:c>
      <x:c r="AE968" t="n">
        <x:v>1</x:v>
      </x:c>
      <x:c r="AF968" t="n">
        <x:v>0.014263659715652466</x:v>
      </x:c>
      <x:c r="AG968" t="n">
        <x:f>_xlfn.XLOOKUP($A968,Games!$A$2:$A$18,Games!$B$2:$B$18,"Missing game",0)</x:f>
        <x:v>2025</x:v>
      </x:c>
      <x:c r="AH968" t="str">
        <x:f>_xlfn.XLOOKUP($A968,Games!$A$2:$A$18,Games!$C$2:$C$18,"Missing game",0)</x:f>
        <x:v>REG</x:v>
      </x:c>
      <x:c r="AI968" t="n">
        <x:f>_xlfn.XLOOKUP($A968,Games!$A$2:$A$18,Games!$D$2:$D$18,"Missing game",0)</x:f>
        <x:v>7</x:v>
      </x:c>
      <x:c r="AJ968" s="1" t="n">
        <x:f>_xlfn.XLOOKUP($A968,Games!$A$2:$A$18,Games!$E$2:$E$18,"Missing game",0)</x:f>
        <x:v>45949</x:v>
      </x:c>
      <x:c r="AK968" t="str">
        <x:f>_xlfn.XLOOKUP($A968,Games!$A$2:$A$18,Games!$F$2:$F$18,"Missing game",0)</x:f>
        <x:v>Sunday</x:v>
      </x:c>
      <x:c r="AL968" t="str">
        <x:f>_xlfn.XLOOKUP($A968,Games!$A$2:$A$18,Games!$G$2:$G$18,"Missing game",0)</x:f>
        <x:v>PHI</x:v>
      </x:c>
      <x:c r="AM968" t="n">
        <x:f>_xlfn.XLOOKUP($A968,Games!$A$2:$A$18,Games!$H$2:$H$18,"Missing game",0)</x:f>
        <x:v>28</x:v>
      </x:c>
      <x:c r="AN968" t="str">
        <x:f>_xlfn.XLOOKUP($A968,Games!$A$2:$A$18,Games!$I$2:$I$18,"Missing game",0)</x:f>
        <x:v>MIN</x:v>
      </x:c>
      <x:c r="AO968" t="n">
        <x:f>_xlfn.XLOOKUP($A968,Games!$A$2:$A$18,Games!$J$2:$J$18,"Missing game",0)</x:f>
        <x:v>22</x:v>
      </x:c>
      <x:c r="AP968" t="n">
        <x:f>_xlfn.XLOOKUP($A968,Games!$A$2:$A$18,Games!$K$2:$K$18,"Missing game",0)</x:f>
        <x:v>-6</x:v>
      </x:c>
      <x:c r="AQ968" t="n">
        <x:f>_xlfn.XLOOKUP($A968,Games!$A$2:$A$18,Games!$L$2:$L$18,"Missing game",0)</x:f>
        <x:v>50</x:v>
      </x:c>
      <x:c r="AR968" t="n">
        <x:f>_xlfn.XLOOKUP($A968,Games!$A$2:$A$18,Games!$M$2:$M$18,"Missing game",0)</x:f>
        <x:v>0</x:v>
      </x:c>
      <x:c r="AS968" t="str">
        <x:f>_xlfn.XLOOKUP($A968,Games!$A$2:$A$18,Games!$N$2:$N$18,"Missing game",0)</x:f>
        <x:v>dome</x:v>
      </x:c>
      <x:c r="AT968" t="str">
        <x:f>_xlfn.XLOOKUP($A968,Games!$A$2:$A$18,Games!$O$2:$O$18,"Missing game",0)</x:f>
        <x:v>sportturf</x:v>
      </x:c>
      <x:c r="AU968" t="str">
        <x:f>_xlfn.XLOOKUP($A968,Games!$A$2:$A$18,Games!$P$2:$P$18,"Missing game",0)</x:f>
      </x:c>
      <x:c r="AV968" t="str">
        <x:f>_xlfn.XLOOKUP($A968,Games!$A$2:$A$18,Games!$Q$2:$Q$18,"Missing game",0)</x:f>
      </x:c>
      <x:c r="AW968" t="str">
        <x:f>_xlfn.XLOOKUP($A968,Games!$A$2:$A$18,Games!$R$2:$R$18,"Missing game",0)</x:f>
        <x:v>U.S. Bank Stadium</x:v>
      </x:c>
    </x:row>
    <x:row r="969">
      <x:c r="A969" t="str">
        <x:v>2025_07_PHI_MIN</x:v>
      </x:c>
      <x:c r="B969" t="n">
        <x:v>2969</x:v>
      </x:c>
      <x:c r="C969" t="n">
        <x:v>4</x:v>
      </x:c>
      <x:c r="D969" t="str">
        <x:v>13:41</x:v>
      </x:c>
      <x:c r="E969" t="n">
        <x:v>2</x:v>
      </x:c>
      <x:c r="F969" t="n">
        <x:v>2</x:v>
      </x:c>
      <x:c r="G969" t="str">
        <x:v>MIN</x:v>
      </x:c>
      <x:c r="H969" t="str">
        <x:v>PHI</x:v>
      </x:c>
      <x:c r="I969" t="str">
        <x:v>MIN</x:v>
      </x:c>
      <x:c r="J969" t="n">
        <x:v>60</x:v>
      </x:c>
      <x:c r="K969" t="str">
        <x:v>(13:41) (No Huddle) 11-C.Wentz pass deep left to 3-J.Addison to PHI 35 for 25 yards (7-K.Ringo).</x:v>
      </x:c>
      <x:c r="L969" t="str">
        <x:v>pass</x:v>
      </x:c>
      <x:c r="M969" t="n">
        <x:v>25</x:v>
      </x:c>
      <x:c r="N969" t="n">
        <x:v>0</x:v>
      </x:c>
      <x:c r="O969" t="n">
        <x:v>1</x:v>
      </x:c>
      <x:c r="P969" t="str">
        <x:v>deep</x:v>
      </x:c>
      <x:c r="Q969" t="str">
        <x:v>left</x:v>
      </x:c>
      <x:c r="R969" t="n">
        <x:v>18</x:v>
      </x:c>
      <x:c r="S969" t="n">
        <x:v>7</x:v>
      </x:c>
      <x:c r="T969"/>
      <x:c r="U969"/>
      <x:c r="V969" t="n">
        <x:v>1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/>
      <x:c r="AC969" t="n">
        <x:v>0</x:v>
      </x:c>
      <x:c r="AD969" t="n">
        <x:v>1.4658694214886054</x:v>
      </x:c>
      <x:c r="AE969" t="n">
        <x:v>1</x:v>
      </x:c>
      <x:c r="AF969" t="n">
        <x:v>0.060574352741241455</x:v>
      </x:c>
      <x:c r="AG969" t="n">
        <x:f>_xlfn.XLOOKUP($A969,Games!$A$2:$A$18,Games!$B$2:$B$18,"Missing game",0)</x:f>
        <x:v>2025</x:v>
      </x:c>
      <x:c r="AH969" t="str">
        <x:f>_xlfn.XLOOKUP($A969,Games!$A$2:$A$18,Games!$C$2:$C$18,"Missing game",0)</x:f>
        <x:v>REG</x:v>
      </x:c>
      <x:c r="AI969" t="n">
        <x:f>_xlfn.XLOOKUP($A969,Games!$A$2:$A$18,Games!$D$2:$D$18,"Missing game",0)</x:f>
        <x:v>7</x:v>
      </x:c>
      <x:c r="AJ969" s="1" t="n">
        <x:f>_xlfn.XLOOKUP($A969,Games!$A$2:$A$18,Games!$E$2:$E$18,"Missing game",0)</x:f>
        <x:v>45949</x:v>
      </x:c>
      <x:c r="AK969" t="str">
        <x:f>_xlfn.XLOOKUP($A969,Games!$A$2:$A$18,Games!$F$2:$F$18,"Missing game",0)</x:f>
        <x:v>Sunday</x:v>
      </x:c>
      <x:c r="AL969" t="str">
        <x:f>_xlfn.XLOOKUP($A969,Games!$A$2:$A$18,Games!$G$2:$G$18,"Missing game",0)</x:f>
        <x:v>PHI</x:v>
      </x:c>
      <x:c r="AM969" t="n">
        <x:f>_xlfn.XLOOKUP($A969,Games!$A$2:$A$18,Games!$H$2:$H$18,"Missing game",0)</x:f>
        <x:v>28</x:v>
      </x:c>
      <x:c r="AN969" t="str">
        <x:f>_xlfn.XLOOKUP($A969,Games!$A$2:$A$18,Games!$I$2:$I$18,"Missing game",0)</x:f>
        <x:v>MIN</x:v>
      </x:c>
      <x:c r="AO969" t="n">
        <x:f>_xlfn.XLOOKUP($A969,Games!$A$2:$A$18,Games!$J$2:$J$18,"Missing game",0)</x:f>
        <x:v>22</x:v>
      </x:c>
      <x:c r="AP969" t="n">
        <x:f>_xlfn.XLOOKUP($A969,Games!$A$2:$A$18,Games!$K$2:$K$18,"Missing game",0)</x:f>
        <x:v>-6</x:v>
      </x:c>
      <x:c r="AQ969" t="n">
        <x:f>_xlfn.XLOOKUP($A969,Games!$A$2:$A$18,Games!$L$2:$L$18,"Missing game",0)</x:f>
        <x:v>50</x:v>
      </x:c>
      <x:c r="AR969" t="n">
        <x:f>_xlfn.XLOOKUP($A969,Games!$A$2:$A$18,Games!$M$2:$M$18,"Missing game",0)</x:f>
        <x:v>0</x:v>
      </x:c>
      <x:c r="AS969" t="str">
        <x:f>_xlfn.XLOOKUP($A969,Games!$A$2:$A$18,Games!$N$2:$N$18,"Missing game",0)</x:f>
        <x:v>dome</x:v>
      </x:c>
      <x:c r="AT969" t="str">
        <x:f>_xlfn.XLOOKUP($A969,Games!$A$2:$A$18,Games!$O$2:$O$18,"Missing game",0)</x:f>
        <x:v>sportturf</x:v>
      </x:c>
      <x:c r="AU969" t="str">
        <x:f>_xlfn.XLOOKUP($A969,Games!$A$2:$A$18,Games!$P$2:$P$18,"Missing game",0)</x:f>
      </x:c>
      <x:c r="AV969" t="str">
        <x:f>_xlfn.XLOOKUP($A969,Games!$A$2:$A$18,Games!$Q$2:$Q$18,"Missing game",0)</x:f>
      </x:c>
      <x:c r="AW969" t="str">
        <x:f>_xlfn.XLOOKUP($A969,Games!$A$2:$A$18,Games!$R$2:$R$18,"Missing game",0)</x:f>
        <x:v>U.S. Bank Stadium</x:v>
      </x:c>
    </x:row>
    <x:row r="970">
      <x:c r="A970" t="str">
        <x:v>2025_07_PHI_MIN</x:v>
      </x:c>
      <x:c r="B970" t="n">
        <x:v>2994</x:v>
      </x:c>
      <x:c r="C970" t="n">
        <x:v>4</x:v>
      </x:c>
      <x:c r="D970" t="str">
        <x:v>12:57</x:v>
      </x:c>
      <x:c r="E970" t="n">
        <x:v>1</x:v>
      </x:c>
      <x:c r="F970" t="n">
        <x:v>10</x:v>
      </x:c>
      <x:c r="G970" t="str">
        <x:v>MIN</x:v>
      </x:c>
      <x:c r="H970" t="str">
        <x:v>PHI</x:v>
      </x:c>
      <x:c r="I970" t="str">
        <x:v>PHI</x:v>
      </x:c>
      <x:c r="J970" t="n">
        <x:v>35</x:v>
      </x:c>
      <x:c r="K970" t="str">
        <x:v>(12:57) 11-C.Wentz pass deep right to 3-J.Addison to PHI 15 for 20 yards (27-Q.Mitchell).</x:v>
      </x:c>
      <x:c r="L970" t="str">
        <x:v>pass</x:v>
      </x:c>
      <x:c r="M970" t="n">
        <x:v>20</x:v>
      </x:c>
      <x:c r="N970" t="n">
        <x:v>0</x:v>
      </x:c>
      <x:c r="O970" t="n">
        <x:v>0</x:v>
      </x:c>
      <x:c r="P970" t="str">
        <x:v>deep</x:v>
      </x:c>
      <x:c r="Q970" t="str">
        <x:v>right</x:v>
      </x:c>
      <x:c r="R970" t="n">
        <x:v>20</x:v>
      </x:c>
      <x:c r="S970" t="n">
        <x:v>0</x:v>
      </x:c>
      <x:c r="T970"/>
      <x:c r="U970"/>
      <x:c r="V970" t="n">
        <x:v>1</x:v>
      </x:c>
      <x:c r="W970" t="n">
        <x:v>1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/>
      <x:c r="AC970" t="n">
        <x:v>0</x:v>
      </x:c>
      <x:c r="AD970" t="n">
        <x:v>1.3351972432574257</x:v>
      </x:c>
      <x:c r="AE970" t="n">
        <x:v>1</x:v>
      </x:c>
      <x:c r="AF970" t="n">
        <x:v>0.07270821928977966</x:v>
      </x:c>
      <x:c r="AG970" t="n">
        <x:f>_xlfn.XLOOKUP($A970,Games!$A$2:$A$18,Games!$B$2:$B$18,"Missing game",0)</x:f>
        <x:v>2025</x:v>
      </x:c>
      <x:c r="AH970" t="str">
        <x:f>_xlfn.XLOOKUP($A970,Games!$A$2:$A$18,Games!$C$2:$C$18,"Missing game",0)</x:f>
        <x:v>REG</x:v>
      </x:c>
      <x:c r="AI970" t="n">
        <x:f>_xlfn.XLOOKUP($A970,Games!$A$2:$A$18,Games!$D$2:$D$18,"Missing game",0)</x:f>
        <x:v>7</x:v>
      </x:c>
      <x:c r="AJ970" s="1" t="n">
        <x:f>_xlfn.XLOOKUP($A970,Games!$A$2:$A$18,Games!$E$2:$E$18,"Missing game",0)</x:f>
        <x:v>45949</x:v>
      </x:c>
      <x:c r="AK970" t="str">
        <x:f>_xlfn.XLOOKUP($A970,Games!$A$2:$A$18,Games!$F$2:$F$18,"Missing game",0)</x:f>
        <x:v>Sunday</x:v>
      </x:c>
      <x:c r="AL970" t="str">
        <x:f>_xlfn.XLOOKUP($A970,Games!$A$2:$A$18,Games!$G$2:$G$18,"Missing game",0)</x:f>
        <x:v>PHI</x:v>
      </x:c>
      <x:c r="AM970" t="n">
        <x:f>_xlfn.XLOOKUP($A970,Games!$A$2:$A$18,Games!$H$2:$H$18,"Missing game",0)</x:f>
        <x:v>28</x:v>
      </x:c>
      <x:c r="AN970" t="str">
        <x:f>_xlfn.XLOOKUP($A970,Games!$A$2:$A$18,Games!$I$2:$I$18,"Missing game",0)</x:f>
        <x:v>MIN</x:v>
      </x:c>
      <x:c r="AO970" t="n">
        <x:f>_xlfn.XLOOKUP($A970,Games!$A$2:$A$18,Games!$J$2:$J$18,"Missing game",0)</x:f>
        <x:v>22</x:v>
      </x:c>
      <x:c r="AP970" t="n">
        <x:f>_xlfn.XLOOKUP($A970,Games!$A$2:$A$18,Games!$K$2:$K$18,"Missing game",0)</x:f>
        <x:v>-6</x:v>
      </x:c>
      <x:c r="AQ970" t="n">
        <x:f>_xlfn.XLOOKUP($A970,Games!$A$2:$A$18,Games!$L$2:$L$18,"Missing game",0)</x:f>
        <x:v>50</x:v>
      </x:c>
      <x:c r="AR970" t="n">
        <x:f>_xlfn.XLOOKUP($A970,Games!$A$2:$A$18,Games!$M$2:$M$18,"Missing game",0)</x:f>
        <x:v>0</x:v>
      </x:c>
      <x:c r="AS970" t="str">
        <x:f>_xlfn.XLOOKUP($A970,Games!$A$2:$A$18,Games!$N$2:$N$18,"Missing game",0)</x:f>
        <x:v>dome</x:v>
      </x:c>
      <x:c r="AT970" t="str">
        <x:f>_xlfn.XLOOKUP($A970,Games!$A$2:$A$18,Games!$O$2:$O$18,"Missing game",0)</x:f>
        <x:v>sportturf</x:v>
      </x:c>
      <x:c r="AU970" t="str">
        <x:f>_xlfn.XLOOKUP($A970,Games!$A$2:$A$18,Games!$P$2:$P$18,"Missing game",0)</x:f>
      </x:c>
      <x:c r="AV970" t="str">
        <x:f>_xlfn.XLOOKUP($A970,Games!$A$2:$A$18,Games!$Q$2:$Q$18,"Missing game",0)</x:f>
      </x:c>
      <x:c r="AW970" t="str">
        <x:f>_xlfn.XLOOKUP($A970,Games!$A$2:$A$18,Games!$R$2:$R$18,"Missing game",0)</x:f>
        <x:v>U.S. Bank Stadium</x:v>
      </x:c>
    </x:row>
    <x:row r="971">
      <x:c r="A971" t="str">
        <x:v>2025_07_PHI_MIN</x:v>
      </x:c>
      <x:c r="B971" t="n">
        <x:v>3019</x:v>
      </x:c>
      <x:c r="C971" t="n">
        <x:v>4</x:v>
      </x:c>
      <x:c r="D971" t="str">
        <x:v>12:14</x:v>
      </x:c>
      <x:c r="E971" t="n">
        <x:v>1</x:v>
      </x:c>
      <x:c r="F971" t="n">
        <x:v>10</x:v>
      </x:c>
      <x:c r="G971" t="str">
        <x:v>MIN</x:v>
      </x:c>
      <x:c r="H971" t="str">
        <x:v>PHI</x:v>
      </x:c>
      <x:c r="I971" t="str">
        <x:v>PHI</x:v>
      </x:c>
      <x:c r="J971" t="n">
        <x:v>15</x:v>
      </x:c>
      <x:c r="K971" t="str">
        <x:v>(12:14) 27-J.Mason left end to PHI 17 for -2 yards (33-C.DeJean).</x:v>
      </x:c>
      <x:c r="L971" t="str">
        <x:v>run</x:v>
      </x:c>
      <x:c r="M971" t="n">
        <x:v>-2</x:v>
      </x:c>
      <x:c r="N971" t="n">
        <x:v>0</x:v>
      </x:c>
      <x:c r="O971" t="n">
        <x:v>0</x:v>
      </x:c>
      <x:c r="P971"/>
      <x:c r="Q971"/>
      <x:c r="R971"/>
      <x:c r="S971"/>
      <x:c r="T971" t="str">
        <x:v>left</x:v>
      </x:c>
      <x:c r="U971" t="str">
        <x:v>end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/>
      <x:c r="AC971" t="n">
        <x:v>0</x:v>
      </x:c>
      <x:c r="AD971" t="n">
        <x:v>-0.9274916305439547</x:v>
      </x:c>
      <x:c r="AE971" t="n">
        <x:v>0</x:v>
      </x:c>
      <x:c r="AF971" t="n">
        <x:v>-0.04601582884788513</x:v>
      </x:c>
      <x:c r="AG971" t="n">
        <x:f>_xlfn.XLOOKUP($A971,Games!$A$2:$A$18,Games!$B$2:$B$18,"Missing game",0)</x:f>
        <x:v>2025</x:v>
      </x:c>
      <x:c r="AH971" t="str">
        <x:f>_xlfn.XLOOKUP($A971,Games!$A$2:$A$18,Games!$C$2:$C$18,"Missing game",0)</x:f>
        <x:v>REG</x:v>
      </x:c>
      <x:c r="AI971" t="n">
        <x:f>_xlfn.XLOOKUP($A971,Games!$A$2:$A$18,Games!$D$2:$D$18,"Missing game",0)</x:f>
        <x:v>7</x:v>
      </x:c>
      <x:c r="AJ971" s="1" t="n">
        <x:f>_xlfn.XLOOKUP($A971,Games!$A$2:$A$18,Games!$E$2:$E$18,"Missing game",0)</x:f>
        <x:v>45949</x:v>
      </x:c>
      <x:c r="AK971" t="str">
        <x:f>_xlfn.XLOOKUP($A971,Games!$A$2:$A$18,Games!$F$2:$F$18,"Missing game",0)</x:f>
        <x:v>Sunday</x:v>
      </x:c>
      <x:c r="AL971" t="str">
        <x:f>_xlfn.XLOOKUP($A971,Games!$A$2:$A$18,Games!$G$2:$G$18,"Missing game",0)</x:f>
        <x:v>PHI</x:v>
      </x:c>
      <x:c r="AM971" t="n">
        <x:f>_xlfn.XLOOKUP($A971,Games!$A$2:$A$18,Games!$H$2:$H$18,"Missing game",0)</x:f>
        <x:v>28</x:v>
      </x:c>
      <x:c r="AN971" t="str">
        <x:f>_xlfn.XLOOKUP($A971,Games!$A$2:$A$18,Games!$I$2:$I$18,"Missing game",0)</x:f>
        <x:v>MIN</x:v>
      </x:c>
      <x:c r="AO971" t="n">
        <x:f>_xlfn.XLOOKUP($A971,Games!$A$2:$A$18,Games!$J$2:$J$18,"Missing game",0)</x:f>
        <x:v>22</x:v>
      </x:c>
      <x:c r="AP971" t="n">
        <x:f>_xlfn.XLOOKUP($A971,Games!$A$2:$A$18,Games!$K$2:$K$18,"Missing game",0)</x:f>
        <x:v>-6</x:v>
      </x:c>
      <x:c r="AQ971" t="n">
        <x:f>_xlfn.XLOOKUP($A971,Games!$A$2:$A$18,Games!$L$2:$L$18,"Missing game",0)</x:f>
        <x:v>50</x:v>
      </x:c>
      <x:c r="AR971" t="n">
        <x:f>_xlfn.XLOOKUP($A971,Games!$A$2:$A$18,Games!$M$2:$M$18,"Missing game",0)</x:f>
        <x:v>0</x:v>
      </x:c>
      <x:c r="AS971" t="str">
        <x:f>_xlfn.XLOOKUP($A971,Games!$A$2:$A$18,Games!$N$2:$N$18,"Missing game",0)</x:f>
        <x:v>dome</x:v>
      </x:c>
      <x:c r="AT971" t="str">
        <x:f>_xlfn.XLOOKUP($A971,Games!$A$2:$A$18,Games!$O$2:$O$18,"Missing game",0)</x:f>
        <x:v>sportturf</x:v>
      </x:c>
      <x:c r="AU971" t="str">
        <x:f>_xlfn.XLOOKUP($A971,Games!$A$2:$A$18,Games!$P$2:$P$18,"Missing game",0)</x:f>
      </x:c>
      <x:c r="AV971" t="str">
        <x:f>_xlfn.XLOOKUP($A971,Games!$A$2:$A$18,Games!$Q$2:$Q$18,"Missing game",0)</x:f>
      </x:c>
      <x:c r="AW971" t="str">
        <x:f>_xlfn.XLOOKUP($A971,Games!$A$2:$A$18,Games!$R$2:$R$18,"Missing game",0)</x:f>
        <x:v>U.S. Bank Stadium</x:v>
      </x:c>
    </x:row>
    <x:row r="972">
      <x:c r="A972" t="str">
        <x:v>2025_07_PHI_MIN</x:v>
      </x:c>
      <x:c r="B972" t="n">
        <x:v>3041</x:v>
      </x:c>
      <x:c r="C972" t="n">
        <x:v>4</x:v>
      </x:c>
      <x:c r="D972" t="str">
        <x:v>11:31</x:v>
      </x:c>
      <x:c r="E972" t="n">
        <x:v>2</x:v>
      </x:c>
      <x:c r="F972" t="n">
        <x:v>12</x:v>
      </x:c>
      <x:c r="G972" t="str">
        <x:v>MIN</x:v>
      </x:c>
      <x:c r="H972" t="str">
        <x:v>PHI</x:v>
      </x:c>
      <x:c r="I972" t="str">
        <x:v>PHI</x:v>
      </x:c>
      <x:c r="J972" t="n">
        <x:v>17</x:v>
      </x:c>
      <x:c r="K972" t="str">
        <x:v>(11:31) (Shotgun) 11-C.Wentz pass short middle to 18-J.Jefferson to PHI 10 for 7 yards (53-Z.Baun).</x:v>
      </x:c>
      <x:c r="L972" t="str">
        <x:v>pass</x:v>
      </x:c>
      <x:c r="M972" t="n">
        <x:v>7</x:v>
      </x:c>
      <x:c r="N972" t="n">
        <x:v>1</x:v>
      </x:c>
      <x:c r="O972" t="n">
        <x:v>0</x:v>
      </x:c>
      <x:c r="P972" t="str">
        <x:v>short</x:v>
      </x:c>
      <x:c r="Q972" t="str">
        <x:v>middle</x:v>
      </x:c>
      <x:c r="R972" t="n">
        <x:v>6</x:v>
      </x:c>
      <x:c r="S972" t="n">
        <x:v>1</x:v>
      </x:c>
      <x:c r="T972"/>
      <x:c r="U972"/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/>
      <x:c r="AC972" t="n">
        <x:v>0</x:v>
      </x:c>
      <x:c r="AD972" t="n">
        <x:v>0.11199196113739163</x:v>
      </x:c>
      <x:c r="AE972" t="n">
        <x:v>1</x:v>
      </x:c>
      <x:c r="AF972" t="n">
        <x:v>0.040586918592453</x:v>
      </x:c>
      <x:c r="AG972" t="n">
        <x:f>_xlfn.XLOOKUP($A972,Games!$A$2:$A$18,Games!$B$2:$B$18,"Missing game",0)</x:f>
        <x:v>2025</x:v>
      </x:c>
      <x:c r="AH972" t="str">
        <x:f>_xlfn.XLOOKUP($A972,Games!$A$2:$A$18,Games!$C$2:$C$18,"Missing game",0)</x:f>
        <x:v>REG</x:v>
      </x:c>
      <x:c r="AI972" t="n">
        <x:f>_xlfn.XLOOKUP($A972,Games!$A$2:$A$18,Games!$D$2:$D$18,"Missing game",0)</x:f>
        <x:v>7</x:v>
      </x:c>
      <x:c r="AJ972" s="1" t="n">
        <x:f>_xlfn.XLOOKUP($A972,Games!$A$2:$A$18,Games!$E$2:$E$18,"Missing game",0)</x:f>
        <x:v>45949</x:v>
      </x:c>
      <x:c r="AK972" t="str">
        <x:f>_xlfn.XLOOKUP($A972,Games!$A$2:$A$18,Games!$F$2:$F$18,"Missing game",0)</x:f>
        <x:v>Sunday</x:v>
      </x:c>
      <x:c r="AL972" t="str">
        <x:f>_xlfn.XLOOKUP($A972,Games!$A$2:$A$18,Games!$G$2:$G$18,"Missing game",0)</x:f>
        <x:v>PHI</x:v>
      </x:c>
      <x:c r="AM972" t="n">
        <x:f>_xlfn.XLOOKUP($A972,Games!$A$2:$A$18,Games!$H$2:$H$18,"Missing game",0)</x:f>
        <x:v>28</x:v>
      </x:c>
      <x:c r="AN972" t="str">
        <x:f>_xlfn.XLOOKUP($A972,Games!$A$2:$A$18,Games!$I$2:$I$18,"Missing game",0)</x:f>
        <x:v>MIN</x:v>
      </x:c>
      <x:c r="AO972" t="n">
        <x:f>_xlfn.XLOOKUP($A972,Games!$A$2:$A$18,Games!$J$2:$J$18,"Missing game",0)</x:f>
        <x:v>22</x:v>
      </x:c>
      <x:c r="AP972" t="n">
        <x:f>_xlfn.XLOOKUP($A972,Games!$A$2:$A$18,Games!$K$2:$K$18,"Missing game",0)</x:f>
        <x:v>-6</x:v>
      </x:c>
      <x:c r="AQ972" t="n">
        <x:f>_xlfn.XLOOKUP($A972,Games!$A$2:$A$18,Games!$L$2:$L$18,"Missing game",0)</x:f>
        <x:v>50</x:v>
      </x:c>
      <x:c r="AR972" t="n">
        <x:f>_xlfn.XLOOKUP($A972,Games!$A$2:$A$18,Games!$M$2:$M$18,"Missing game",0)</x:f>
        <x:v>0</x:v>
      </x:c>
      <x:c r="AS972" t="str">
        <x:f>_xlfn.XLOOKUP($A972,Games!$A$2:$A$18,Games!$N$2:$N$18,"Missing game",0)</x:f>
        <x:v>dome</x:v>
      </x:c>
      <x:c r="AT972" t="str">
        <x:f>_xlfn.XLOOKUP($A972,Games!$A$2:$A$18,Games!$O$2:$O$18,"Missing game",0)</x:f>
        <x:v>sportturf</x:v>
      </x:c>
      <x:c r="AU972" t="str">
        <x:f>_xlfn.XLOOKUP($A972,Games!$A$2:$A$18,Games!$P$2:$P$18,"Missing game",0)</x:f>
      </x:c>
      <x:c r="AV972" t="str">
        <x:f>_xlfn.XLOOKUP($A972,Games!$A$2:$A$18,Games!$Q$2:$Q$18,"Missing game",0)</x:f>
      </x:c>
      <x:c r="AW972" t="str">
        <x:f>_xlfn.XLOOKUP($A972,Games!$A$2:$A$18,Games!$R$2:$R$18,"Missing game",0)</x:f>
        <x:v>U.S. Bank Stadium</x:v>
      </x:c>
    </x:row>
    <x:row r="973">
      <x:c r="A973" t="str">
        <x:v>2025_07_PHI_MIN</x:v>
      </x:c>
      <x:c r="B973" t="n">
        <x:v>3066</x:v>
      </x:c>
      <x:c r="C973" t="n">
        <x:v>4</x:v>
      </x:c>
      <x:c r="D973" t="str">
        <x:v>10:49</x:v>
      </x:c>
      <x:c r="E973" t="n">
        <x:v>3</x:v>
      </x:c>
      <x:c r="F973" t="n">
        <x:v>5</x:v>
      </x:c>
      <x:c r="G973" t="str">
        <x:v>MIN</x:v>
      </x:c>
      <x:c r="H973" t="str">
        <x:v>PHI</x:v>
      </x:c>
      <x:c r="I973" t="str">
        <x:v>PHI</x:v>
      </x:c>
      <x:c r="J973" t="n">
        <x:v>10</x:v>
      </x:c>
      <x:c r="K973" t="str">
        <x:v>(10:49) (Shotgun) 11-C.Wentz sacked at PHI 17 for -7 yards (97-M.Ojomo).</x:v>
      </x:c>
      <x:c r="L973" t="str">
        <x:v>pass</x:v>
      </x:c>
      <x:c r="M973" t="n">
        <x:v>-7</x:v>
      </x:c>
      <x:c r="N973" t="n">
        <x:v>1</x:v>
      </x:c>
      <x:c r="O973" t="n">
        <x:v>0</x:v>
      </x:c>
      <x:c r="P973"/>
      <x:c r="Q973"/>
      <x:c r="R973"/>
      <x:c r="S973"/>
      <x:c r="T973"/>
      <x:c r="U973"/>
      <x:c r="V973" t="n">
        <x:v>0</x:v>
      </x:c>
      <x:c r="W973" t="n">
        <x:v>0</x:v>
      </x:c>
      <x:c r="X973" t="n">
        <x:v>1</x:v>
      </x:c>
      <x:c r="Y973" t="n">
        <x:v>0</x:v>
      </x:c>
      <x:c r="Z973" t="n">
        <x:v>0</x:v>
      </x:c>
      <x:c r="AA973" t="n">
        <x:v>0</x:v>
      </x:c>
      <x:c r="AB973"/>
      <x:c r="AC973" t="n">
        <x:v>0</x:v>
      </x:c>
      <x:c r="AD973" t="n">
        <x:v>-1.6435189195077773</x:v>
      </x:c>
      <x:c r="AE973" t="n">
        <x:v>0</x:v>
      </x:c>
      <x:c r="AF973" t="n">
        <x:v>-0.13399586081504822</x:v>
      </x:c>
      <x:c r="AG973" t="n">
        <x:f>_xlfn.XLOOKUP($A973,Games!$A$2:$A$18,Games!$B$2:$B$18,"Missing game",0)</x:f>
        <x:v>2025</x:v>
      </x:c>
      <x:c r="AH973" t="str">
        <x:f>_xlfn.XLOOKUP($A973,Games!$A$2:$A$18,Games!$C$2:$C$18,"Missing game",0)</x:f>
        <x:v>REG</x:v>
      </x:c>
      <x:c r="AI973" t="n">
        <x:f>_xlfn.XLOOKUP($A973,Games!$A$2:$A$18,Games!$D$2:$D$18,"Missing game",0)</x:f>
        <x:v>7</x:v>
      </x:c>
      <x:c r="AJ973" s="1" t="n">
        <x:f>_xlfn.XLOOKUP($A973,Games!$A$2:$A$18,Games!$E$2:$E$18,"Missing game",0)</x:f>
        <x:v>45949</x:v>
      </x:c>
      <x:c r="AK973" t="str">
        <x:f>_xlfn.XLOOKUP($A973,Games!$A$2:$A$18,Games!$F$2:$F$18,"Missing game",0)</x:f>
        <x:v>Sunday</x:v>
      </x:c>
      <x:c r="AL973" t="str">
        <x:f>_xlfn.XLOOKUP($A973,Games!$A$2:$A$18,Games!$G$2:$G$18,"Missing game",0)</x:f>
        <x:v>PHI</x:v>
      </x:c>
      <x:c r="AM973" t="n">
        <x:f>_xlfn.XLOOKUP($A973,Games!$A$2:$A$18,Games!$H$2:$H$18,"Missing game",0)</x:f>
        <x:v>28</x:v>
      </x:c>
      <x:c r="AN973" t="str">
        <x:f>_xlfn.XLOOKUP($A973,Games!$A$2:$A$18,Games!$I$2:$I$18,"Missing game",0)</x:f>
        <x:v>MIN</x:v>
      </x:c>
      <x:c r="AO973" t="n">
        <x:f>_xlfn.XLOOKUP($A973,Games!$A$2:$A$18,Games!$J$2:$J$18,"Missing game",0)</x:f>
        <x:v>22</x:v>
      </x:c>
      <x:c r="AP973" t="n">
        <x:f>_xlfn.XLOOKUP($A973,Games!$A$2:$A$18,Games!$K$2:$K$18,"Missing game",0)</x:f>
        <x:v>-6</x:v>
      </x:c>
      <x:c r="AQ973" t="n">
        <x:f>_xlfn.XLOOKUP($A973,Games!$A$2:$A$18,Games!$L$2:$L$18,"Missing game",0)</x:f>
        <x:v>50</x:v>
      </x:c>
      <x:c r="AR973" t="n">
        <x:f>_xlfn.XLOOKUP($A973,Games!$A$2:$A$18,Games!$M$2:$M$18,"Missing game",0)</x:f>
        <x:v>0</x:v>
      </x:c>
      <x:c r="AS973" t="str">
        <x:f>_xlfn.XLOOKUP($A973,Games!$A$2:$A$18,Games!$N$2:$N$18,"Missing game",0)</x:f>
        <x:v>dome</x:v>
      </x:c>
      <x:c r="AT973" t="str">
        <x:f>_xlfn.XLOOKUP($A973,Games!$A$2:$A$18,Games!$O$2:$O$18,"Missing game",0)</x:f>
        <x:v>sportturf</x:v>
      </x:c>
      <x:c r="AU973" t="str">
        <x:f>_xlfn.XLOOKUP($A973,Games!$A$2:$A$18,Games!$P$2:$P$18,"Missing game",0)</x:f>
      </x:c>
      <x:c r="AV973" t="str">
        <x:f>_xlfn.XLOOKUP($A973,Games!$A$2:$A$18,Games!$Q$2:$Q$18,"Missing game",0)</x:f>
      </x:c>
      <x:c r="AW973" t="str">
        <x:f>_xlfn.XLOOKUP($A973,Games!$A$2:$A$18,Games!$R$2:$R$18,"Missing game",0)</x:f>
        <x:v>U.S. Bank Stadium</x:v>
      </x:c>
    </x:row>
    <x:row r="974">
      <x:c r="A974" t="str">
        <x:v>2025_07_PHI_MIN</x:v>
      </x:c>
      <x:c r="B974" t="n">
        <x:v>3086</x:v>
      </x:c>
      <x:c r="C974" t="n">
        <x:v>4</x:v>
      </x:c>
      <x:c r="D974" t="str">
        <x:v>10:10</x:v>
      </x:c>
      <x:c r="E974" t="n">
        <x:v>4</x:v>
      </x:c>
      <x:c r="F974" t="n">
        <x:v>12</x:v>
      </x:c>
      <x:c r="G974" t="str">
        <x:v>MIN</x:v>
      </x:c>
      <x:c r="H974" t="str">
        <x:v>PHI</x:v>
      </x:c>
      <x:c r="I974" t="str">
        <x:v>PHI</x:v>
      </x:c>
      <x:c r="J974" t="n">
        <x:v>17</x:v>
      </x:c>
      <x:c r="K974" t="str">
        <x:v>(10:10) 16-W.Reichard 35 yard field goal is GOOD, Center-42-A.DePaola, Holder-17-R.Wright.</x:v>
      </x:c>
      <x:c r="L974" t="str">
        <x:v>field_goal</x:v>
      </x:c>
      <x:c r="M974" t="n">
        <x:v>0</x:v>
      </x:c>
      <x:c r="N974" t="n">
        <x:v>0</x:v>
      </x:c>
      <x:c r="O974" t="n">
        <x:v>0</x:v>
      </x:c>
      <x:c r="P974"/>
      <x:c r="Q974"/>
      <x:c r="R974"/>
      <x:c r="S974"/>
      <x:c r="T974"/>
      <x:c r="U974"/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/>
      <x:c r="AC974" t="n">
        <x:v>0</x:v>
      </x:c>
      <x:c r="AD974" t="n">
        <x:v>0.3275730248175468</x:v>
      </x:c>
      <x:c r="AE974" t="n">
        <x:v>1</x:v>
      </x:c>
      <x:c r="AF974" t="n">
        <x:v>0.006657510995864868</x:v>
      </x:c>
      <x:c r="AG974" t="n">
        <x:f>_xlfn.XLOOKUP($A974,Games!$A$2:$A$18,Games!$B$2:$B$18,"Missing game",0)</x:f>
        <x:v>2025</x:v>
      </x:c>
      <x:c r="AH974" t="str">
        <x:f>_xlfn.XLOOKUP($A974,Games!$A$2:$A$18,Games!$C$2:$C$18,"Missing game",0)</x:f>
        <x:v>REG</x:v>
      </x:c>
      <x:c r="AI974" t="n">
        <x:f>_xlfn.XLOOKUP($A974,Games!$A$2:$A$18,Games!$D$2:$D$18,"Missing game",0)</x:f>
        <x:v>7</x:v>
      </x:c>
      <x:c r="AJ974" s="1" t="n">
        <x:f>_xlfn.XLOOKUP($A974,Games!$A$2:$A$18,Games!$E$2:$E$18,"Missing game",0)</x:f>
        <x:v>45949</x:v>
      </x:c>
      <x:c r="AK974" t="str">
        <x:f>_xlfn.XLOOKUP($A974,Games!$A$2:$A$18,Games!$F$2:$F$18,"Missing game",0)</x:f>
        <x:v>Sunday</x:v>
      </x:c>
      <x:c r="AL974" t="str">
        <x:f>_xlfn.XLOOKUP($A974,Games!$A$2:$A$18,Games!$G$2:$G$18,"Missing game",0)</x:f>
        <x:v>PHI</x:v>
      </x:c>
      <x:c r="AM974" t="n">
        <x:f>_xlfn.XLOOKUP($A974,Games!$A$2:$A$18,Games!$H$2:$H$18,"Missing game",0)</x:f>
        <x:v>28</x:v>
      </x:c>
      <x:c r="AN974" t="str">
        <x:f>_xlfn.XLOOKUP($A974,Games!$A$2:$A$18,Games!$I$2:$I$18,"Missing game",0)</x:f>
        <x:v>MIN</x:v>
      </x:c>
      <x:c r="AO974" t="n">
        <x:f>_xlfn.XLOOKUP($A974,Games!$A$2:$A$18,Games!$J$2:$J$18,"Missing game",0)</x:f>
        <x:v>22</x:v>
      </x:c>
      <x:c r="AP974" t="n">
        <x:f>_xlfn.XLOOKUP($A974,Games!$A$2:$A$18,Games!$K$2:$K$18,"Missing game",0)</x:f>
        <x:v>-6</x:v>
      </x:c>
      <x:c r="AQ974" t="n">
        <x:f>_xlfn.XLOOKUP($A974,Games!$A$2:$A$18,Games!$L$2:$L$18,"Missing game",0)</x:f>
        <x:v>50</x:v>
      </x:c>
      <x:c r="AR974" t="n">
        <x:f>_xlfn.XLOOKUP($A974,Games!$A$2:$A$18,Games!$M$2:$M$18,"Missing game",0)</x:f>
        <x:v>0</x:v>
      </x:c>
      <x:c r="AS974" t="str">
        <x:f>_xlfn.XLOOKUP($A974,Games!$A$2:$A$18,Games!$N$2:$N$18,"Missing game",0)</x:f>
        <x:v>dome</x:v>
      </x:c>
      <x:c r="AT974" t="str">
        <x:f>_xlfn.XLOOKUP($A974,Games!$A$2:$A$18,Games!$O$2:$O$18,"Missing game",0)</x:f>
        <x:v>sportturf</x:v>
      </x:c>
      <x:c r="AU974" t="str">
        <x:f>_xlfn.XLOOKUP($A974,Games!$A$2:$A$18,Games!$P$2:$P$18,"Missing game",0)</x:f>
      </x:c>
      <x:c r="AV974" t="str">
        <x:f>_xlfn.XLOOKUP($A974,Games!$A$2:$A$18,Games!$Q$2:$Q$18,"Missing game",0)</x:f>
      </x:c>
      <x:c r="AW974" t="str">
        <x:f>_xlfn.XLOOKUP($A974,Games!$A$2:$A$18,Games!$R$2:$R$18,"Missing game",0)</x:f>
        <x:v>U.S. Bank Stadium</x:v>
      </x:c>
    </x:row>
    <x:row r="975">
      <x:c r="A975" t="str">
        <x:v>2025_07_PHI_MIN</x:v>
      </x:c>
      <x:c r="B975" t="n">
        <x:v>3106</x:v>
      </x:c>
      <x:c r="C975" t="n">
        <x:v>4</x:v>
      </x:c>
      <x:c r="D975" t="str">
        <x:v>10:06</x:v>
      </x:c>
      <x:c r="E975"/>
      <x:c r="F975" t="n">
        <x:v>0</x:v>
      </x:c>
      <x:c r="G975" t="str">
        <x:v>PHI</x:v>
      </x:c>
      <x:c r="H975" t="str">
        <x:v>MIN</x:v>
      </x:c>
      <x:c r="I975" t="str">
        <x:v>MIN</x:v>
      </x:c>
      <x:c r="J975" t="n">
        <x:v>35</x:v>
      </x:c>
      <x:c r="K975" t="str">
        <x:v>16-W.Reichard kicks 60 yards from MIN 35 to PHI 5. 87-X.Gipson to PHI 30 for 25 yards (56-A.Keys).</x:v>
      </x:c>
      <x:c r="L975" t="str">
        <x:v>kickoff</x:v>
      </x:c>
      <x:c r="M975" t="n">
        <x:v>0</x:v>
      </x:c>
      <x:c r="N975" t="n">
        <x:v>0</x:v>
      </x:c>
      <x:c r="O975" t="n">
        <x:v>0</x:v>
      </x:c>
      <x:c r="P975"/>
      <x:c r="Q975"/>
      <x:c r="R975"/>
      <x:c r="S975"/>
      <x:c r="T975"/>
      <x:c r="U975"/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/>
      <x:c r="AC975" t="n">
        <x:v>0</x:v>
      </x:c>
      <x:c r="AD975" t="n">
        <x:v>0.18768144538626075</x:v>
      </x:c>
      <x:c r="AE975" t="n">
        <x:v>1</x:v>
      </x:c>
      <x:c r="AF975" t="n">
        <x:v>0.005462229251861572</x:v>
      </x:c>
      <x:c r="AG975" t="n">
        <x:f>_xlfn.XLOOKUP($A975,Games!$A$2:$A$18,Games!$B$2:$B$18,"Missing game",0)</x:f>
        <x:v>2025</x:v>
      </x:c>
      <x:c r="AH975" t="str">
        <x:f>_xlfn.XLOOKUP($A975,Games!$A$2:$A$18,Games!$C$2:$C$18,"Missing game",0)</x:f>
        <x:v>REG</x:v>
      </x:c>
      <x:c r="AI975" t="n">
        <x:f>_xlfn.XLOOKUP($A975,Games!$A$2:$A$18,Games!$D$2:$D$18,"Missing game",0)</x:f>
        <x:v>7</x:v>
      </x:c>
      <x:c r="AJ975" s="1" t="n">
        <x:f>_xlfn.XLOOKUP($A975,Games!$A$2:$A$18,Games!$E$2:$E$18,"Missing game",0)</x:f>
        <x:v>45949</x:v>
      </x:c>
      <x:c r="AK975" t="str">
        <x:f>_xlfn.XLOOKUP($A975,Games!$A$2:$A$18,Games!$F$2:$F$18,"Missing game",0)</x:f>
        <x:v>Sunday</x:v>
      </x:c>
      <x:c r="AL975" t="str">
        <x:f>_xlfn.XLOOKUP($A975,Games!$A$2:$A$18,Games!$G$2:$G$18,"Missing game",0)</x:f>
        <x:v>PHI</x:v>
      </x:c>
      <x:c r="AM975" t="n">
        <x:f>_xlfn.XLOOKUP($A975,Games!$A$2:$A$18,Games!$H$2:$H$18,"Missing game",0)</x:f>
        <x:v>28</x:v>
      </x:c>
      <x:c r="AN975" t="str">
        <x:f>_xlfn.XLOOKUP($A975,Games!$A$2:$A$18,Games!$I$2:$I$18,"Missing game",0)</x:f>
        <x:v>MIN</x:v>
      </x:c>
      <x:c r="AO975" t="n">
        <x:f>_xlfn.XLOOKUP($A975,Games!$A$2:$A$18,Games!$J$2:$J$18,"Missing game",0)</x:f>
        <x:v>22</x:v>
      </x:c>
      <x:c r="AP975" t="n">
        <x:f>_xlfn.XLOOKUP($A975,Games!$A$2:$A$18,Games!$K$2:$K$18,"Missing game",0)</x:f>
        <x:v>-6</x:v>
      </x:c>
      <x:c r="AQ975" t="n">
        <x:f>_xlfn.XLOOKUP($A975,Games!$A$2:$A$18,Games!$L$2:$L$18,"Missing game",0)</x:f>
        <x:v>50</x:v>
      </x:c>
      <x:c r="AR975" t="n">
        <x:f>_xlfn.XLOOKUP($A975,Games!$A$2:$A$18,Games!$M$2:$M$18,"Missing game",0)</x:f>
        <x:v>0</x:v>
      </x:c>
      <x:c r="AS975" t="str">
        <x:f>_xlfn.XLOOKUP($A975,Games!$A$2:$A$18,Games!$N$2:$N$18,"Missing game",0)</x:f>
        <x:v>dome</x:v>
      </x:c>
      <x:c r="AT975" t="str">
        <x:f>_xlfn.XLOOKUP($A975,Games!$A$2:$A$18,Games!$O$2:$O$18,"Missing game",0)</x:f>
        <x:v>sportturf</x:v>
      </x:c>
      <x:c r="AU975" t="str">
        <x:f>_xlfn.XLOOKUP($A975,Games!$A$2:$A$18,Games!$P$2:$P$18,"Missing game",0)</x:f>
      </x:c>
      <x:c r="AV975" t="str">
        <x:f>_xlfn.XLOOKUP($A975,Games!$A$2:$A$18,Games!$Q$2:$Q$18,"Missing game",0)</x:f>
      </x:c>
      <x:c r="AW975" t="str">
        <x:f>_xlfn.XLOOKUP($A975,Games!$A$2:$A$18,Games!$R$2:$R$18,"Missing game",0)</x:f>
        <x:v>U.S. Bank Stadium</x:v>
      </x:c>
    </x:row>
    <x:row r="976">
      <x:c r="A976" t="str">
        <x:v>2025_07_PHI_MIN</x:v>
      </x:c>
      <x:c r="B976" t="n">
        <x:v>3136</x:v>
      </x:c>
      <x:c r="C976" t="n">
        <x:v>4</x:v>
      </x:c>
      <x:c r="D976" t="str">
        <x:v>09:59</x:v>
      </x:c>
      <x:c r="E976" t="n">
        <x:v>1</x:v>
      </x:c>
      <x:c r="F976" t="n">
        <x:v>10</x:v>
      </x:c>
      <x:c r="G976" t="str">
        <x:v>PHI</x:v>
      </x:c>
      <x:c r="H976" t="str">
        <x:v>MIN</x:v>
      </x:c>
      <x:c r="I976" t="str">
        <x:v>PHI</x:v>
      </x:c>
      <x:c r="J976" t="n">
        <x:v>70</x:v>
      </x:c>
      <x:c r="K976" t="str">
        <x:v>(9:59) 74-F.Johnson reported in as eligible. 26-S.Barkley left tackle to PHI 27 for -3 yards (58-J.Greenard, 61-J.Redmond).</x:v>
      </x:c>
      <x:c r="L976" t="str">
        <x:v>run</x:v>
      </x:c>
      <x:c r="M976" t="n">
        <x:v>-3</x:v>
      </x:c>
      <x:c r="N976" t="n">
        <x:v>0</x:v>
      </x:c>
      <x:c r="O976" t="n">
        <x:v>0</x:v>
      </x:c>
      <x:c r="P976"/>
      <x:c r="Q976"/>
      <x:c r="R976"/>
      <x:c r="S976"/>
      <x:c r="T976" t="str">
        <x:v>left</x:v>
      </x:c>
      <x:c r="U976" t="str">
        <x:v>tackle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/>
      <x:c r="AC976" t="n">
        <x:v>0</x:v>
      </x:c>
      <x:c r="AD976" t="n">
        <x:v>-1.146216704044491</x:v>
      </x:c>
      <x:c r="AE976" t="n">
        <x:v>0</x:v>
      </x:c>
      <x:c r="AF976" t="n">
        <x:v>-0.04994678497314453</x:v>
      </x:c>
      <x:c r="AG976" t="n">
        <x:f>_xlfn.XLOOKUP($A976,Games!$A$2:$A$18,Games!$B$2:$B$18,"Missing game",0)</x:f>
        <x:v>2025</x:v>
      </x:c>
      <x:c r="AH976" t="str">
        <x:f>_xlfn.XLOOKUP($A976,Games!$A$2:$A$18,Games!$C$2:$C$18,"Missing game",0)</x:f>
        <x:v>REG</x:v>
      </x:c>
      <x:c r="AI976" t="n">
        <x:f>_xlfn.XLOOKUP($A976,Games!$A$2:$A$18,Games!$D$2:$D$18,"Missing game",0)</x:f>
        <x:v>7</x:v>
      </x:c>
      <x:c r="AJ976" s="1" t="n">
        <x:f>_xlfn.XLOOKUP($A976,Games!$A$2:$A$18,Games!$E$2:$E$18,"Missing game",0)</x:f>
        <x:v>45949</x:v>
      </x:c>
      <x:c r="AK976" t="str">
        <x:f>_xlfn.XLOOKUP($A976,Games!$A$2:$A$18,Games!$F$2:$F$18,"Missing game",0)</x:f>
        <x:v>Sunday</x:v>
      </x:c>
      <x:c r="AL976" t="str">
        <x:f>_xlfn.XLOOKUP($A976,Games!$A$2:$A$18,Games!$G$2:$G$18,"Missing game",0)</x:f>
        <x:v>PHI</x:v>
      </x:c>
      <x:c r="AM976" t="n">
        <x:f>_xlfn.XLOOKUP($A976,Games!$A$2:$A$18,Games!$H$2:$H$18,"Missing game",0)</x:f>
        <x:v>28</x:v>
      </x:c>
      <x:c r="AN976" t="str">
        <x:f>_xlfn.XLOOKUP($A976,Games!$A$2:$A$18,Games!$I$2:$I$18,"Missing game",0)</x:f>
        <x:v>MIN</x:v>
      </x:c>
      <x:c r="AO976" t="n">
        <x:f>_xlfn.XLOOKUP($A976,Games!$A$2:$A$18,Games!$J$2:$J$18,"Missing game",0)</x:f>
        <x:v>22</x:v>
      </x:c>
      <x:c r="AP976" t="n">
        <x:f>_xlfn.XLOOKUP($A976,Games!$A$2:$A$18,Games!$K$2:$K$18,"Missing game",0)</x:f>
        <x:v>-6</x:v>
      </x:c>
      <x:c r="AQ976" t="n">
        <x:f>_xlfn.XLOOKUP($A976,Games!$A$2:$A$18,Games!$L$2:$L$18,"Missing game",0)</x:f>
        <x:v>50</x:v>
      </x:c>
      <x:c r="AR976" t="n">
        <x:f>_xlfn.XLOOKUP($A976,Games!$A$2:$A$18,Games!$M$2:$M$18,"Missing game",0)</x:f>
        <x:v>0</x:v>
      </x:c>
      <x:c r="AS976" t="str">
        <x:f>_xlfn.XLOOKUP($A976,Games!$A$2:$A$18,Games!$N$2:$N$18,"Missing game",0)</x:f>
        <x:v>dome</x:v>
      </x:c>
      <x:c r="AT976" t="str">
        <x:f>_xlfn.XLOOKUP($A976,Games!$A$2:$A$18,Games!$O$2:$O$18,"Missing game",0)</x:f>
        <x:v>sportturf</x:v>
      </x:c>
      <x:c r="AU976" t="str">
        <x:f>_xlfn.XLOOKUP($A976,Games!$A$2:$A$18,Games!$P$2:$P$18,"Missing game",0)</x:f>
      </x:c>
      <x:c r="AV976" t="str">
        <x:f>_xlfn.XLOOKUP($A976,Games!$A$2:$A$18,Games!$Q$2:$Q$18,"Missing game",0)</x:f>
      </x:c>
      <x:c r="AW976" t="str">
        <x:f>_xlfn.XLOOKUP($A976,Games!$A$2:$A$18,Games!$R$2:$R$18,"Missing game",0)</x:f>
        <x:v>U.S. Bank Stadium</x:v>
      </x:c>
    </x:row>
    <x:row r="977">
      <x:c r="A977" t="str">
        <x:v>2025_07_PHI_MIN</x:v>
      </x:c>
      <x:c r="B977" t="n">
        <x:v>3160</x:v>
      </x:c>
      <x:c r="C977" t="n">
        <x:v>4</x:v>
      </x:c>
      <x:c r="D977" t="str">
        <x:v>09:16</x:v>
      </x:c>
      <x:c r="E977" t="n">
        <x:v>2</x:v>
      </x:c>
      <x:c r="F977" t="n">
        <x:v>13</x:v>
      </x:c>
      <x:c r="G977" t="str">
        <x:v>PHI</x:v>
      </x:c>
      <x:c r="H977" t="str">
        <x:v>MIN</x:v>
      </x:c>
      <x:c r="I977" t="str">
        <x:v>PHI</x:v>
      </x:c>
      <x:c r="J977" t="n">
        <x:v>73</x:v>
      </x:c>
      <x:c r="K977" t="str">
        <x:v>(9:16) (Shotgun) 1-J.Hurts pass incomplete short left to 6-D.Smith.</x:v>
      </x:c>
      <x:c r="L977" t="str">
        <x:v>pass</x:v>
      </x:c>
      <x:c r="M977" t="n">
        <x:v>0</x:v>
      </x:c>
      <x:c r="N977" t="n">
        <x:v>1</x:v>
      </x:c>
      <x:c r="O977" t="n">
        <x:v>0</x:v>
      </x:c>
      <x:c r="P977" t="str">
        <x:v>short</x:v>
      </x:c>
      <x:c r="Q977" t="str">
        <x:v>left</x:v>
      </x:c>
      <x:c r="R977" t="n">
        <x:v>10</x:v>
      </x:c>
      <x:c r="S977"/>
      <x:c r="T977"/>
      <x:c r="U977"/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/>
      <x:c r="AC977" t="n">
        <x:v>0</x:v>
      </x:c>
      <x:c r="AD977" t="n">
        <x:v>-0.768488384783268</x:v>
      </x:c>
      <x:c r="AE977" t="n">
        <x:v>0</x:v>
      </x:c>
      <x:c r="AF977" t="n">
        <x:v>-0.02636963129043579</x:v>
      </x:c>
      <x:c r="AG977" t="n">
        <x:f>_xlfn.XLOOKUP($A977,Games!$A$2:$A$18,Games!$B$2:$B$18,"Missing game",0)</x:f>
        <x:v>2025</x:v>
      </x:c>
      <x:c r="AH977" t="str">
        <x:f>_xlfn.XLOOKUP($A977,Games!$A$2:$A$18,Games!$C$2:$C$18,"Missing game",0)</x:f>
        <x:v>REG</x:v>
      </x:c>
      <x:c r="AI977" t="n">
        <x:f>_xlfn.XLOOKUP($A977,Games!$A$2:$A$18,Games!$D$2:$D$18,"Missing game",0)</x:f>
        <x:v>7</x:v>
      </x:c>
      <x:c r="AJ977" s="1" t="n">
        <x:f>_xlfn.XLOOKUP($A977,Games!$A$2:$A$18,Games!$E$2:$E$18,"Missing game",0)</x:f>
        <x:v>45949</x:v>
      </x:c>
      <x:c r="AK977" t="str">
        <x:f>_xlfn.XLOOKUP($A977,Games!$A$2:$A$18,Games!$F$2:$F$18,"Missing game",0)</x:f>
        <x:v>Sunday</x:v>
      </x:c>
      <x:c r="AL977" t="str">
        <x:f>_xlfn.XLOOKUP($A977,Games!$A$2:$A$18,Games!$G$2:$G$18,"Missing game",0)</x:f>
        <x:v>PHI</x:v>
      </x:c>
      <x:c r="AM977" t="n">
        <x:f>_xlfn.XLOOKUP($A977,Games!$A$2:$A$18,Games!$H$2:$H$18,"Missing game",0)</x:f>
        <x:v>28</x:v>
      </x:c>
      <x:c r="AN977" t="str">
        <x:f>_xlfn.XLOOKUP($A977,Games!$A$2:$A$18,Games!$I$2:$I$18,"Missing game",0)</x:f>
        <x:v>MIN</x:v>
      </x:c>
      <x:c r="AO977" t="n">
        <x:f>_xlfn.XLOOKUP($A977,Games!$A$2:$A$18,Games!$J$2:$J$18,"Missing game",0)</x:f>
        <x:v>22</x:v>
      </x:c>
      <x:c r="AP977" t="n">
        <x:f>_xlfn.XLOOKUP($A977,Games!$A$2:$A$18,Games!$K$2:$K$18,"Missing game",0)</x:f>
        <x:v>-6</x:v>
      </x:c>
      <x:c r="AQ977" t="n">
        <x:f>_xlfn.XLOOKUP($A977,Games!$A$2:$A$18,Games!$L$2:$L$18,"Missing game",0)</x:f>
        <x:v>50</x:v>
      </x:c>
      <x:c r="AR977" t="n">
        <x:f>_xlfn.XLOOKUP($A977,Games!$A$2:$A$18,Games!$M$2:$M$18,"Missing game",0)</x:f>
        <x:v>0</x:v>
      </x:c>
      <x:c r="AS977" t="str">
        <x:f>_xlfn.XLOOKUP($A977,Games!$A$2:$A$18,Games!$N$2:$N$18,"Missing game",0)</x:f>
        <x:v>dome</x:v>
      </x:c>
      <x:c r="AT977" t="str">
        <x:f>_xlfn.XLOOKUP($A977,Games!$A$2:$A$18,Games!$O$2:$O$18,"Missing game",0)</x:f>
        <x:v>sportturf</x:v>
      </x:c>
      <x:c r="AU977" t="str">
        <x:f>_xlfn.XLOOKUP($A977,Games!$A$2:$A$18,Games!$P$2:$P$18,"Missing game",0)</x:f>
      </x:c>
      <x:c r="AV977" t="str">
        <x:f>_xlfn.XLOOKUP($A977,Games!$A$2:$A$18,Games!$Q$2:$Q$18,"Missing game",0)</x:f>
      </x:c>
      <x:c r="AW977" t="str">
        <x:f>_xlfn.XLOOKUP($A977,Games!$A$2:$A$18,Games!$R$2:$R$18,"Missing game",0)</x:f>
        <x:v>U.S. Bank Stadium</x:v>
      </x:c>
    </x:row>
    <x:row r="978">
      <x:c r="A978" t="str">
        <x:v>2025_07_PHI_MIN</x:v>
      </x:c>
      <x:c r="B978" t="n">
        <x:v>3183</x:v>
      </x:c>
      <x:c r="C978" t="n">
        <x:v>4</x:v>
      </x:c>
      <x:c r="D978" t="str">
        <x:v>09:09</x:v>
      </x:c>
      <x:c r="E978" t="n">
        <x:v>3</x:v>
      </x:c>
      <x:c r="F978" t="n">
        <x:v>13</x:v>
      </x:c>
      <x:c r="G978" t="str">
        <x:v>PHI</x:v>
      </x:c>
      <x:c r="H978" t="str">
        <x:v>MIN</x:v>
      </x:c>
      <x:c r="I978" t="str">
        <x:v>PHI</x:v>
      </x:c>
      <x:c r="J978" t="n">
        <x:v>73</x:v>
      </x:c>
      <x:c r="K978" t="str">
        <x:v>(9:09) (Shotgun) 1-J.Hurts pass short right to 11-A.Brown to PHI 40 for 13 yards (8-J.Okudah).</x:v>
      </x:c>
      <x:c r="L978" t="str">
        <x:v>pass</x:v>
      </x:c>
      <x:c r="M978" t="n">
        <x:v>13</x:v>
      </x:c>
      <x:c r="N978" t="n">
        <x:v>1</x:v>
      </x:c>
      <x:c r="O978" t="n">
        <x:v>0</x:v>
      </x:c>
      <x:c r="P978" t="str">
        <x:v>short</x:v>
      </x:c>
      <x:c r="Q978" t="str">
        <x:v>right</x:v>
      </x:c>
      <x:c r="R978" t="n">
        <x:v>14</x:v>
      </x:c>
      <x:c r="S978" t="n">
        <x:v>-1</x:v>
      </x:c>
      <x:c r="T978"/>
      <x:c r="U978"/>
      <x:c r="V978" t="n">
        <x:v>1</x:v>
      </x:c>
      <x:c r="W978" t="n">
        <x:v>1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/>
      <x:c r="AC978" t="n">
        <x:v>0</x:v>
      </x:c>
      <x:c r="AD978" t="n">
        <x:v>2.3979100740980357</x:v>
      </x:c>
      <x:c r="AE978" t="n">
        <x:v>1</x:v>
      </x:c>
      <x:c r="AF978" t="n">
        <x:v>0.09803539514541626</x:v>
      </x:c>
      <x:c r="AG978" t="n">
        <x:f>_xlfn.XLOOKUP($A978,Games!$A$2:$A$18,Games!$B$2:$B$18,"Missing game",0)</x:f>
        <x:v>2025</x:v>
      </x:c>
      <x:c r="AH978" t="str">
        <x:f>_xlfn.XLOOKUP($A978,Games!$A$2:$A$18,Games!$C$2:$C$18,"Missing game",0)</x:f>
        <x:v>REG</x:v>
      </x:c>
      <x:c r="AI978" t="n">
        <x:f>_xlfn.XLOOKUP($A978,Games!$A$2:$A$18,Games!$D$2:$D$18,"Missing game",0)</x:f>
        <x:v>7</x:v>
      </x:c>
      <x:c r="AJ978" s="1" t="n">
        <x:f>_xlfn.XLOOKUP($A978,Games!$A$2:$A$18,Games!$E$2:$E$18,"Missing game",0)</x:f>
        <x:v>45949</x:v>
      </x:c>
      <x:c r="AK978" t="str">
        <x:f>_xlfn.XLOOKUP($A978,Games!$A$2:$A$18,Games!$F$2:$F$18,"Missing game",0)</x:f>
        <x:v>Sunday</x:v>
      </x:c>
      <x:c r="AL978" t="str">
        <x:f>_xlfn.XLOOKUP($A978,Games!$A$2:$A$18,Games!$G$2:$G$18,"Missing game",0)</x:f>
        <x:v>PHI</x:v>
      </x:c>
      <x:c r="AM978" t="n">
        <x:f>_xlfn.XLOOKUP($A978,Games!$A$2:$A$18,Games!$H$2:$H$18,"Missing game",0)</x:f>
        <x:v>28</x:v>
      </x:c>
      <x:c r="AN978" t="str">
        <x:f>_xlfn.XLOOKUP($A978,Games!$A$2:$A$18,Games!$I$2:$I$18,"Missing game",0)</x:f>
        <x:v>MIN</x:v>
      </x:c>
      <x:c r="AO978" t="n">
        <x:f>_xlfn.XLOOKUP($A978,Games!$A$2:$A$18,Games!$J$2:$J$18,"Missing game",0)</x:f>
        <x:v>22</x:v>
      </x:c>
      <x:c r="AP978" t="n">
        <x:f>_xlfn.XLOOKUP($A978,Games!$A$2:$A$18,Games!$K$2:$K$18,"Missing game",0)</x:f>
        <x:v>-6</x:v>
      </x:c>
      <x:c r="AQ978" t="n">
        <x:f>_xlfn.XLOOKUP($A978,Games!$A$2:$A$18,Games!$L$2:$L$18,"Missing game",0)</x:f>
        <x:v>50</x:v>
      </x:c>
      <x:c r="AR978" t="n">
        <x:f>_xlfn.XLOOKUP($A978,Games!$A$2:$A$18,Games!$M$2:$M$18,"Missing game",0)</x:f>
        <x:v>0</x:v>
      </x:c>
      <x:c r="AS978" t="str">
        <x:f>_xlfn.XLOOKUP($A978,Games!$A$2:$A$18,Games!$N$2:$N$18,"Missing game",0)</x:f>
        <x:v>dome</x:v>
      </x:c>
      <x:c r="AT978" t="str">
        <x:f>_xlfn.XLOOKUP($A978,Games!$A$2:$A$18,Games!$O$2:$O$18,"Missing game",0)</x:f>
        <x:v>sportturf</x:v>
      </x:c>
      <x:c r="AU978" t="str">
        <x:f>_xlfn.XLOOKUP($A978,Games!$A$2:$A$18,Games!$P$2:$P$18,"Missing game",0)</x:f>
      </x:c>
      <x:c r="AV978" t="str">
        <x:f>_xlfn.XLOOKUP($A978,Games!$A$2:$A$18,Games!$Q$2:$Q$18,"Missing game",0)</x:f>
      </x:c>
      <x:c r="AW978" t="str">
        <x:f>_xlfn.XLOOKUP($A978,Games!$A$2:$A$18,Games!$R$2:$R$18,"Missing game",0)</x:f>
        <x:v>U.S. Bank Stadium</x:v>
      </x:c>
    </x:row>
    <x:row r="979">
      <x:c r="A979" t="str">
        <x:v>2025_07_PHI_MIN</x:v>
      </x:c>
      <x:c r="B979" t="n">
        <x:v>3208</x:v>
      </x:c>
      <x:c r="C979" t="n">
        <x:v>4</x:v>
      </x:c>
      <x:c r="D979" t="str">
        <x:v>08:41</x:v>
      </x:c>
      <x:c r="E979" t="n">
        <x:v>1</x:v>
      </x:c>
      <x:c r="F979" t="n">
        <x:v>10</x:v>
      </x:c>
      <x:c r="G979" t="str">
        <x:v>PHI</x:v>
      </x:c>
      <x:c r="H979" t="str">
        <x:v>MIN</x:v>
      </x:c>
      <x:c r="I979" t="str">
        <x:v>PHI</x:v>
      </x:c>
      <x:c r="J979" t="n">
        <x:v>60</x:v>
      </x:c>
      <x:c r="K979" t="str">
        <x:v>(8:41) (No Huddle, Shotgun) 26-S.Barkley right tackle to PHI 48 for 8 yards (7-B.Murphy).</x:v>
      </x:c>
      <x:c r="L979" t="str">
        <x:v>run</x:v>
      </x:c>
      <x:c r="M979" t="n">
        <x:v>8</x:v>
      </x:c>
      <x:c r="N979" t="n">
        <x:v>1</x:v>
      </x:c>
      <x:c r="O979" t="n">
        <x:v>1</x:v>
      </x:c>
      <x:c r="P979"/>
      <x:c r="Q979"/>
      <x:c r="R979"/>
      <x:c r="S979"/>
      <x:c r="T979" t="str">
        <x:v>right</x:v>
      </x:c>
      <x:c r="U979" t="str">
        <x:v>tackle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/>
      <x:c r="AC979" t="n">
        <x:v>0</x:v>
      </x:c>
      <x:c r="AD979" t="n">
        <x:v>0.6661774956155568</x:v>
      </x:c>
      <x:c r="AE979" t="n">
        <x:v>1</x:v>
      </x:c>
      <x:c r="AF979" t="n">
        <x:v>0.08189541101455688</x:v>
      </x:c>
      <x:c r="AG979" t="n">
        <x:f>_xlfn.XLOOKUP($A979,Games!$A$2:$A$18,Games!$B$2:$B$18,"Missing game",0)</x:f>
        <x:v>2025</x:v>
      </x:c>
      <x:c r="AH979" t="str">
        <x:f>_xlfn.XLOOKUP($A979,Games!$A$2:$A$18,Games!$C$2:$C$18,"Missing game",0)</x:f>
        <x:v>REG</x:v>
      </x:c>
      <x:c r="AI979" t="n">
        <x:f>_xlfn.XLOOKUP($A979,Games!$A$2:$A$18,Games!$D$2:$D$18,"Missing game",0)</x:f>
        <x:v>7</x:v>
      </x:c>
      <x:c r="AJ979" s="1" t="n">
        <x:f>_xlfn.XLOOKUP($A979,Games!$A$2:$A$18,Games!$E$2:$E$18,"Missing game",0)</x:f>
        <x:v>45949</x:v>
      </x:c>
      <x:c r="AK979" t="str">
        <x:f>_xlfn.XLOOKUP($A979,Games!$A$2:$A$18,Games!$F$2:$F$18,"Missing game",0)</x:f>
        <x:v>Sunday</x:v>
      </x:c>
      <x:c r="AL979" t="str">
        <x:f>_xlfn.XLOOKUP($A979,Games!$A$2:$A$18,Games!$G$2:$G$18,"Missing game",0)</x:f>
        <x:v>PHI</x:v>
      </x:c>
      <x:c r="AM979" t="n">
        <x:f>_xlfn.XLOOKUP($A979,Games!$A$2:$A$18,Games!$H$2:$H$18,"Missing game",0)</x:f>
        <x:v>28</x:v>
      </x:c>
      <x:c r="AN979" t="str">
        <x:f>_xlfn.XLOOKUP($A979,Games!$A$2:$A$18,Games!$I$2:$I$18,"Missing game",0)</x:f>
        <x:v>MIN</x:v>
      </x:c>
      <x:c r="AO979" t="n">
        <x:f>_xlfn.XLOOKUP($A979,Games!$A$2:$A$18,Games!$J$2:$J$18,"Missing game",0)</x:f>
        <x:v>22</x:v>
      </x:c>
      <x:c r="AP979" t="n">
        <x:f>_xlfn.XLOOKUP($A979,Games!$A$2:$A$18,Games!$K$2:$K$18,"Missing game",0)</x:f>
        <x:v>-6</x:v>
      </x:c>
      <x:c r="AQ979" t="n">
        <x:f>_xlfn.XLOOKUP($A979,Games!$A$2:$A$18,Games!$L$2:$L$18,"Missing game",0)</x:f>
        <x:v>50</x:v>
      </x:c>
      <x:c r="AR979" t="n">
        <x:f>_xlfn.XLOOKUP($A979,Games!$A$2:$A$18,Games!$M$2:$M$18,"Missing game",0)</x:f>
        <x:v>0</x:v>
      </x:c>
      <x:c r="AS979" t="str">
        <x:f>_xlfn.XLOOKUP($A979,Games!$A$2:$A$18,Games!$N$2:$N$18,"Missing game",0)</x:f>
        <x:v>dome</x:v>
      </x:c>
      <x:c r="AT979" t="str">
        <x:f>_xlfn.XLOOKUP($A979,Games!$A$2:$A$18,Games!$O$2:$O$18,"Missing game",0)</x:f>
        <x:v>sportturf</x:v>
      </x:c>
      <x:c r="AU979" t="str">
        <x:f>_xlfn.XLOOKUP($A979,Games!$A$2:$A$18,Games!$P$2:$P$18,"Missing game",0)</x:f>
      </x:c>
      <x:c r="AV979" t="str">
        <x:f>_xlfn.XLOOKUP($A979,Games!$A$2:$A$18,Games!$Q$2:$Q$18,"Missing game",0)</x:f>
      </x:c>
      <x:c r="AW979" t="str">
        <x:f>_xlfn.XLOOKUP($A979,Games!$A$2:$A$18,Games!$R$2:$R$18,"Missing game",0)</x:f>
        <x:v>U.S. Bank Stadium</x:v>
      </x:c>
    </x:row>
    <x:row r="980">
      <x:c r="A980" t="str">
        <x:v>2025_07_PHI_MIN</x:v>
      </x:c>
      <x:c r="B980" t="n">
        <x:v>3230</x:v>
      </x:c>
      <x:c r="C980" t="n">
        <x:v>4</x:v>
      </x:c>
      <x:c r="D980" t="str">
        <x:v>08:02</x:v>
      </x:c>
      <x:c r="E980" t="n">
        <x:v>2</x:v>
      </x:c>
      <x:c r="F980" t="n">
        <x:v>2</x:v>
      </x:c>
      <x:c r="G980" t="str">
        <x:v>PHI</x:v>
      </x:c>
      <x:c r="H980" t="str">
        <x:v>MIN</x:v>
      </x:c>
      <x:c r="I980" t="str">
        <x:v>PHI</x:v>
      </x:c>
      <x:c r="J980" t="n">
        <x:v>52</x:v>
      </x:c>
      <x:c r="K980" t="str">
        <x:v>(8:02) 74-F.Johnson reported in as eligible. 26-S.Barkley left tackle to MIN 47 for 5 yards (55-E.Wilson; 99-E.Williams). PHI-26-S.Barkley was injured during the play.</x:v>
      </x:c>
      <x:c r="L980" t="str">
        <x:v>run</x:v>
      </x:c>
      <x:c r="M980" t="n">
        <x:v>5</x:v>
      </x:c>
      <x:c r="N980" t="n">
        <x:v>0</x:v>
      </x:c>
      <x:c r="O980" t="n">
        <x:v>0</x:v>
      </x:c>
      <x:c r="P980"/>
      <x:c r="Q980"/>
      <x:c r="R980"/>
      <x:c r="S980"/>
      <x:c r="T980" t="str">
        <x:v>left</x:v>
      </x:c>
      <x:c r="U980" t="str">
        <x:v>tackle</x:v>
      </x:c>
      <x:c r="V980" t="n">
        <x:v>0</x:v>
      </x:c>
      <x:c r="W980" t="n">
        <x:v>1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/>
      <x:c r="AC980" t="n">
        <x:v>0</x:v>
      </x:c>
      <x:c r="AD980" t="n">
        <x:v>0.27982348133809865</x:v>
      </x:c>
      <x:c r="AE980" t="n">
        <x:v>1</x:v>
      </x:c>
      <x:c r="AF980" t="n">
        <x:v>0.0111006498336792</x:v>
      </x:c>
      <x:c r="AG980" t="n">
        <x:f>_xlfn.XLOOKUP($A980,Games!$A$2:$A$18,Games!$B$2:$B$18,"Missing game",0)</x:f>
        <x:v>2025</x:v>
      </x:c>
      <x:c r="AH980" t="str">
        <x:f>_xlfn.XLOOKUP($A980,Games!$A$2:$A$18,Games!$C$2:$C$18,"Missing game",0)</x:f>
        <x:v>REG</x:v>
      </x:c>
      <x:c r="AI980" t="n">
        <x:f>_xlfn.XLOOKUP($A980,Games!$A$2:$A$18,Games!$D$2:$D$18,"Missing game",0)</x:f>
        <x:v>7</x:v>
      </x:c>
      <x:c r="AJ980" s="1" t="n">
        <x:f>_xlfn.XLOOKUP($A980,Games!$A$2:$A$18,Games!$E$2:$E$18,"Missing game",0)</x:f>
        <x:v>45949</x:v>
      </x:c>
      <x:c r="AK980" t="str">
        <x:f>_xlfn.XLOOKUP($A980,Games!$A$2:$A$18,Games!$F$2:$F$18,"Missing game",0)</x:f>
        <x:v>Sunday</x:v>
      </x:c>
      <x:c r="AL980" t="str">
        <x:f>_xlfn.XLOOKUP($A980,Games!$A$2:$A$18,Games!$G$2:$G$18,"Missing game",0)</x:f>
        <x:v>PHI</x:v>
      </x:c>
      <x:c r="AM980" t="n">
        <x:f>_xlfn.XLOOKUP($A980,Games!$A$2:$A$18,Games!$H$2:$H$18,"Missing game",0)</x:f>
        <x:v>28</x:v>
      </x:c>
      <x:c r="AN980" t="str">
        <x:f>_xlfn.XLOOKUP($A980,Games!$A$2:$A$18,Games!$I$2:$I$18,"Missing game",0)</x:f>
        <x:v>MIN</x:v>
      </x:c>
      <x:c r="AO980" t="n">
        <x:f>_xlfn.XLOOKUP($A980,Games!$A$2:$A$18,Games!$J$2:$J$18,"Missing game",0)</x:f>
        <x:v>22</x:v>
      </x:c>
      <x:c r="AP980" t="n">
        <x:f>_xlfn.XLOOKUP($A980,Games!$A$2:$A$18,Games!$K$2:$K$18,"Missing game",0)</x:f>
        <x:v>-6</x:v>
      </x:c>
      <x:c r="AQ980" t="n">
        <x:f>_xlfn.XLOOKUP($A980,Games!$A$2:$A$18,Games!$L$2:$L$18,"Missing game",0)</x:f>
        <x:v>50</x:v>
      </x:c>
      <x:c r="AR980" t="n">
        <x:f>_xlfn.XLOOKUP($A980,Games!$A$2:$A$18,Games!$M$2:$M$18,"Missing game",0)</x:f>
        <x:v>0</x:v>
      </x:c>
      <x:c r="AS980" t="str">
        <x:f>_xlfn.XLOOKUP($A980,Games!$A$2:$A$18,Games!$N$2:$N$18,"Missing game",0)</x:f>
        <x:v>dome</x:v>
      </x:c>
      <x:c r="AT980" t="str">
        <x:f>_xlfn.XLOOKUP($A980,Games!$A$2:$A$18,Games!$O$2:$O$18,"Missing game",0)</x:f>
        <x:v>sportturf</x:v>
      </x:c>
      <x:c r="AU980" t="str">
        <x:f>_xlfn.XLOOKUP($A980,Games!$A$2:$A$18,Games!$P$2:$P$18,"Missing game",0)</x:f>
      </x:c>
      <x:c r="AV980" t="str">
        <x:f>_xlfn.XLOOKUP($A980,Games!$A$2:$A$18,Games!$Q$2:$Q$18,"Missing game",0)</x:f>
      </x:c>
      <x:c r="AW980" t="str">
        <x:f>_xlfn.XLOOKUP($A980,Games!$A$2:$A$18,Games!$R$2:$R$18,"Missing game",0)</x:f>
        <x:v>U.S. Bank Stadium</x:v>
      </x:c>
    </x:row>
    <x:row r="981">
      <x:c r="A981" t="str">
        <x:v>2025_07_PHI_MIN</x:v>
      </x:c>
      <x:c r="B981" t="n">
        <x:v>3254</x:v>
      </x:c>
      <x:c r="C981" t="n">
        <x:v>4</x:v>
      </x:c>
      <x:c r="D981" t="str">
        <x:v>07:30</x:v>
      </x:c>
      <x:c r="E981" t="n">
        <x:v>1</x:v>
      </x:c>
      <x:c r="F981" t="n">
        <x:v>10</x:v>
      </x:c>
      <x:c r="G981" t="str">
        <x:v>PHI</x:v>
      </x:c>
      <x:c r="H981" t="str">
        <x:v>MIN</x:v>
      </x:c>
      <x:c r="I981" t="str">
        <x:v>MIN</x:v>
      </x:c>
      <x:c r="J981" t="n">
        <x:v>47</x:v>
      </x:c>
      <x:c r="K981" t="str">
        <x:v>(7:30) 1-J.Hurts pass deep middle to 6-D.Smith to MIN 26 for 21 yards (22-H.Smith).</x:v>
      </x:c>
      <x:c r="L981" t="str">
        <x:v>pass</x:v>
      </x:c>
      <x:c r="M981" t="n">
        <x:v>21</x:v>
      </x:c>
      <x:c r="N981" t="n">
        <x:v>0</x:v>
      </x:c>
      <x:c r="O981" t="n">
        <x:v>0</x:v>
      </x:c>
      <x:c r="P981" t="str">
        <x:v>deep</x:v>
      </x:c>
      <x:c r="Q981" t="str">
        <x:v>middle</x:v>
      </x:c>
      <x:c r="R981" t="n">
        <x:v>17</x:v>
      </x:c>
      <x:c r="S981" t="n">
        <x:v>4</x:v>
      </x:c>
      <x:c r="T981"/>
      <x:c r="U981"/>
      <x:c r="V981" t="n">
        <x:v>1</x:v>
      </x:c>
      <x:c r="W981" t="n">
        <x:v>1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/>
      <x:c r="AC981" t="n">
        <x:v>0</x:v>
      </x:c>
      <x:c r="AD981" t="n">
        <x:v>1.2776345337624662</x:v>
      </x:c>
      <x:c r="AE981" t="n">
        <x:v>1</x:v>
      </x:c>
      <x:c r="AF981" t="n">
        <x:v>0.03464847803115845</x:v>
      </x:c>
      <x:c r="AG981" t="n">
        <x:f>_xlfn.XLOOKUP($A981,Games!$A$2:$A$18,Games!$B$2:$B$18,"Missing game",0)</x:f>
        <x:v>2025</x:v>
      </x:c>
      <x:c r="AH981" t="str">
        <x:f>_xlfn.XLOOKUP($A981,Games!$A$2:$A$18,Games!$C$2:$C$18,"Missing game",0)</x:f>
        <x:v>REG</x:v>
      </x:c>
      <x:c r="AI981" t="n">
        <x:f>_xlfn.XLOOKUP($A981,Games!$A$2:$A$18,Games!$D$2:$D$18,"Missing game",0)</x:f>
        <x:v>7</x:v>
      </x:c>
      <x:c r="AJ981" s="1" t="n">
        <x:f>_xlfn.XLOOKUP($A981,Games!$A$2:$A$18,Games!$E$2:$E$18,"Missing game",0)</x:f>
        <x:v>45949</x:v>
      </x:c>
      <x:c r="AK981" t="str">
        <x:f>_xlfn.XLOOKUP($A981,Games!$A$2:$A$18,Games!$F$2:$F$18,"Missing game",0)</x:f>
        <x:v>Sunday</x:v>
      </x:c>
      <x:c r="AL981" t="str">
        <x:f>_xlfn.XLOOKUP($A981,Games!$A$2:$A$18,Games!$G$2:$G$18,"Missing game",0)</x:f>
        <x:v>PHI</x:v>
      </x:c>
      <x:c r="AM981" t="n">
        <x:f>_xlfn.XLOOKUP($A981,Games!$A$2:$A$18,Games!$H$2:$H$18,"Missing game",0)</x:f>
        <x:v>28</x:v>
      </x:c>
      <x:c r="AN981" t="str">
        <x:f>_xlfn.XLOOKUP($A981,Games!$A$2:$A$18,Games!$I$2:$I$18,"Missing game",0)</x:f>
        <x:v>MIN</x:v>
      </x:c>
      <x:c r="AO981" t="n">
        <x:f>_xlfn.XLOOKUP($A981,Games!$A$2:$A$18,Games!$J$2:$J$18,"Missing game",0)</x:f>
        <x:v>22</x:v>
      </x:c>
      <x:c r="AP981" t="n">
        <x:f>_xlfn.XLOOKUP($A981,Games!$A$2:$A$18,Games!$K$2:$K$18,"Missing game",0)</x:f>
        <x:v>-6</x:v>
      </x:c>
      <x:c r="AQ981" t="n">
        <x:f>_xlfn.XLOOKUP($A981,Games!$A$2:$A$18,Games!$L$2:$L$18,"Missing game",0)</x:f>
        <x:v>50</x:v>
      </x:c>
      <x:c r="AR981" t="n">
        <x:f>_xlfn.XLOOKUP($A981,Games!$A$2:$A$18,Games!$M$2:$M$18,"Missing game",0)</x:f>
        <x:v>0</x:v>
      </x:c>
      <x:c r="AS981" t="str">
        <x:f>_xlfn.XLOOKUP($A981,Games!$A$2:$A$18,Games!$N$2:$N$18,"Missing game",0)</x:f>
        <x:v>dome</x:v>
      </x:c>
      <x:c r="AT981" t="str">
        <x:f>_xlfn.XLOOKUP($A981,Games!$A$2:$A$18,Games!$O$2:$O$18,"Missing game",0)</x:f>
        <x:v>sportturf</x:v>
      </x:c>
      <x:c r="AU981" t="str">
        <x:f>_xlfn.XLOOKUP($A981,Games!$A$2:$A$18,Games!$P$2:$P$18,"Missing game",0)</x:f>
      </x:c>
      <x:c r="AV981" t="str">
        <x:f>_xlfn.XLOOKUP($A981,Games!$A$2:$A$18,Games!$Q$2:$Q$18,"Missing game",0)</x:f>
      </x:c>
      <x:c r="AW981" t="str">
        <x:f>_xlfn.XLOOKUP($A981,Games!$A$2:$A$18,Games!$R$2:$R$18,"Missing game",0)</x:f>
        <x:v>U.S. Bank Stadium</x:v>
      </x:c>
    </x:row>
    <x:row r="982">
      <x:c r="A982" t="str">
        <x:v>2025_07_PHI_MIN</x:v>
      </x:c>
      <x:c r="B982" t="n">
        <x:v>3287</x:v>
      </x:c>
      <x:c r="C982" t="n">
        <x:v>4</x:v>
      </x:c>
      <x:c r="D982" t="str">
        <x:v>06:40</x:v>
      </x:c>
      <x:c r="E982" t="n">
        <x:v>1</x:v>
      </x:c>
      <x:c r="F982" t="n">
        <x:v>10</x:v>
      </x:c>
      <x:c r="G982" t="str">
        <x:v>PHI</x:v>
      </x:c>
      <x:c r="H982" t="str">
        <x:v>MIN</x:v>
      </x:c>
      <x:c r="I982" t="str">
        <x:v>MIN</x:v>
      </x:c>
      <x:c r="J982" t="n">
        <x:v>26</x:v>
      </x:c>
      <x:c r="K982" t="str">
        <x:v>(6:40) (Shotgun) 1-J.Hurts pass deep middle to 11-A.Brown for 26 yards, TOUCHDOWN. ** Injury Update: PHI-26-S.Barkley has returned to the game.</x:v>
      </x:c>
      <x:c r="L982" t="str">
        <x:v>pass</x:v>
      </x:c>
      <x:c r="M982" t="n">
        <x:v>26</x:v>
      </x:c>
      <x:c r="N982" t="n">
        <x:v>1</x:v>
      </x:c>
      <x:c r="O982" t="n">
        <x:v>0</x:v>
      </x:c>
      <x:c r="P982" t="str">
        <x:v>deep</x:v>
      </x:c>
      <x:c r="Q982" t="str">
        <x:v>middle</x:v>
      </x:c>
      <x:c r="R982" t="n">
        <x:v>21</x:v>
      </x:c>
      <x:c r="S982" t="n">
        <x:v>5</x:v>
      </x:c>
      <x:c r="T982"/>
      <x:c r="U982"/>
      <x:c r="V982" t="n">
        <x:v>1</x:v>
      </x:c>
      <x:c r="W982" t="n">
        <x:v>1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/>
      <x:c r="AC982" t="n">
        <x:v>1</x:v>
      </x:c>
      <x:c r="AD982" t="n">
        <x:v>2.748622986546252</x:v>
      </x:c>
      <x:c r="AE982" t="n">
        <x:v>1</x:v>
      </x:c>
      <x:c r="AF982" t="n">
        <x:v>0.09072470743236183</x:v>
      </x:c>
      <x:c r="AG982" t="n">
        <x:f>_xlfn.XLOOKUP($A982,Games!$A$2:$A$18,Games!$B$2:$B$18,"Missing game",0)</x:f>
        <x:v>2025</x:v>
      </x:c>
      <x:c r="AH982" t="str">
        <x:f>_xlfn.XLOOKUP($A982,Games!$A$2:$A$18,Games!$C$2:$C$18,"Missing game",0)</x:f>
        <x:v>REG</x:v>
      </x:c>
      <x:c r="AI982" t="n">
        <x:f>_xlfn.XLOOKUP($A982,Games!$A$2:$A$18,Games!$D$2:$D$18,"Missing game",0)</x:f>
        <x:v>7</x:v>
      </x:c>
      <x:c r="AJ982" s="1" t="n">
        <x:f>_xlfn.XLOOKUP($A982,Games!$A$2:$A$18,Games!$E$2:$E$18,"Missing game",0)</x:f>
        <x:v>45949</x:v>
      </x:c>
      <x:c r="AK982" t="str">
        <x:f>_xlfn.XLOOKUP($A982,Games!$A$2:$A$18,Games!$F$2:$F$18,"Missing game",0)</x:f>
        <x:v>Sunday</x:v>
      </x:c>
      <x:c r="AL982" t="str">
        <x:f>_xlfn.XLOOKUP($A982,Games!$A$2:$A$18,Games!$G$2:$G$18,"Missing game",0)</x:f>
        <x:v>PHI</x:v>
      </x:c>
      <x:c r="AM982" t="n">
        <x:f>_xlfn.XLOOKUP($A982,Games!$A$2:$A$18,Games!$H$2:$H$18,"Missing game",0)</x:f>
        <x:v>28</x:v>
      </x:c>
      <x:c r="AN982" t="str">
        <x:f>_xlfn.XLOOKUP($A982,Games!$A$2:$A$18,Games!$I$2:$I$18,"Missing game",0)</x:f>
        <x:v>MIN</x:v>
      </x:c>
      <x:c r="AO982" t="n">
        <x:f>_xlfn.XLOOKUP($A982,Games!$A$2:$A$18,Games!$J$2:$J$18,"Missing game",0)</x:f>
        <x:v>22</x:v>
      </x:c>
      <x:c r="AP982" t="n">
        <x:f>_xlfn.XLOOKUP($A982,Games!$A$2:$A$18,Games!$K$2:$K$18,"Missing game",0)</x:f>
        <x:v>-6</x:v>
      </x:c>
      <x:c r="AQ982" t="n">
        <x:f>_xlfn.XLOOKUP($A982,Games!$A$2:$A$18,Games!$L$2:$L$18,"Missing game",0)</x:f>
        <x:v>50</x:v>
      </x:c>
      <x:c r="AR982" t="n">
        <x:f>_xlfn.XLOOKUP($A982,Games!$A$2:$A$18,Games!$M$2:$M$18,"Missing game",0)</x:f>
        <x:v>0</x:v>
      </x:c>
      <x:c r="AS982" t="str">
        <x:f>_xlfn.XLOOKUP($A982,Games!$A$2:$A$18,Games!$N$2:$N$18,"Missing game",0)</x:f>
        <x:v>dome</x:v>
      </x:c>
      <x:c r="AT982" t="str">
        <x:f>_xlfn.XLOOKUP($A982,Games!$A$2:$A$18,Games!$O$2:$O$18,"Missing game",0)</x:f>
        <x:v>sportturf</x:v>
      </x:c>
      <x:c r="AU982" t="str">
        <x:f>_xlfn.XLOOKUP($A982,Games!$A$2:$A$18,Games!$P$2:$P$18,"Missing game",0)</x:f>
      </x:c>
      <x:c r="AV982" t="str">
        <x:f>_xlfn.XLOOKUP($A982,Games!$A$2:$A$18,Games!$Q$2:$Q$18,"Missing game",0)</x:f>
      </x:c>
      <x:c r="AW982" t="str">
        <x:f>_xlfn.XLOOKUP($A982,Games!$A$2:$A$18,Games!$R$2:$R$18,"Missing game",0)</x:f>
        <x:v>U.S. Bank Stadium</x:v>
      </x:c>
    </x:row>
    <x:row r="983">
      <x:c r="A983" t="str">
        <x:v>2025_07_PHI_MIN</x:v>
      </x:c>
      <x:c r="B983" t="n">
        <x:v>3313</x:v>
      </x:c>
      <x:c r="C983" t="n">
        <x:v>4</x:v>
      </x:c>
      <x:c r="D983" t="str">
        <x:v>06:35</x:v>
      </x:c>
      <x:c r="E983"/>
      <x:c r="F983" t="n">
        <x:v>0</x:v>
      </x:c>
      <x:c r="G983" t="str">
        <x:v>PHI</x:v>
      </x:c>
      <x:c r="H983" t="str">
        <x:v>MIN</x:v>
      </x:c>
      <x:c r="I983" t="str">
        <x:v>MIN</x:v>
      </x:c>
      <x:c r="J983" t="n">
        <x:v>15</x:v>
      </x:c>
      <x:c r="K983" t="str">
        <x:v>4-J.Elliott extra point is GOOD, Center-57-C.Adomitis, Holder-10-B.Mann.</x:v>
      </x:c>
      <x:c r="L983" t="str">
        <x:v>extra_point</x:v>
      </x:c>
      <x:c r="M983" t="n">
        <x:v>0</x:v>
      </x:c>
      <x:c r="N983" t="n">
        <x:v>0</x:v>
      </x:c>
      <x:c r="O983" t="n">
        <x:v>0</x:v>
      </x:c>
      <x:c r="P983"/>
      <x:c r="Q983"/>
      <x:c r="R983"/>
      <x:c r="S983"/>
      <x:c r="T983"/>
      <x:c r="U983"/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/>
      <x:c r="AC983" t="n">
        <x:v>0</x:v>
      </x:c>
      <x:c r="AD983" t="n">
        <x:v>0.05117156607063911</x:v>
      </x:c>
      <x:c r="AE983" t="n">
        <x:v>1</x:v>
      </x:c>
      <x:c r="AF983" t="n">
        <x:v>0.0014746330303228028</x:v>
      </x:c>
      <x:c r="AG983" t="n">
        <x:f>_xlfn.XLOOKUP($A983,Games!$A$2:$A$18,Games!$B$2:$B$18,"Missing game",0)</x:f>
        <x:v>2025</x:v>
      </x:c>
      <x:c r="AH983" t="str">
        <x:f>_xlfn.XLOOKUP($A983,Games!$A$2:$A$18,Games!$C$2:$C$18,"Missing game",0)</x:f>
        <x:v>REG</x:v>
      </x:c>
      <x:c r="AI983" t="n">
        <x:f>_xlfn.XLOOKUP($A983,Games!$A$2:$A$18,Games!$D$2:$D$18,"Missing game",0)</x:f>
        <x:v>7</x:v>
      </x:c>
      <x:c r="AJ983" s="1" t="n">
        <x:f>_xlfn.XLOOKUP($A983,Games!$A$2:$A$18,Games!$E$2:$E$18,"Missing game",0)</x:f>
        <x:v>45949</x:v>
      </x:c>
      <x:c r="AK983" t="str">
        <x:f>_xlfn.XLOOKUP($A983,Games!$A$2:$A$18,Games!$F$2:$F$18,"Missing game",0)</x:f>
        <x:v>Sunday</x:v>
      </x:c>
      <x:c r="AL983" t="str">
        <x:f>_xlfn.XLOOKUP($A983,Games!$A$2:$A$18,Games!$G$2:$G$18,"Missing game",0)</x:f>
        <x:v>PHI</x:v>
      </x:c>
      <x:c r="AM983" t="n">
        <x:f>_xlfn.XLOOKUP($A983,Games!$A$2:$A$18,Games!$H$2:$H$18,"Missing game",0)</x:f>
        <x:v>28</x:v>
      </x:c>
      <x:c r="AN983" t="str">
        <x:f>_xlfn.XLOOKUP($A983,Games!$A$2:$A$18,Games!$I$2:$I$18,"Missing game",0)</x:f>
        <x:v>MIN</x:v>
      </x:c>
      <x:c r="AO983" t="n">
        <x:f>_xlfn.XLOOKUP($A983,Games!$A$2:$A$18,Games!$J$2:$J$18,"Missing game",0)</x:f>
        <x:v>22</x:v>
      </x:c>
      <x:c r="AP983" t="n">
        <x:f>_xlfn.XLOOKUP($A983,Games!$A$2:$A$18,Games!$K$2:$K$18,"Missing game",0)</x:f>
        <x:v>-6</x:v>
      </x:c>
      <x:c r="AQ983" t="n">
        <x:f>_xlfn.XLOOKUP($A983,Games!$A$2:$A$18,Games!$L$2:$L$18,"Missing game",0)</x:f>
        <x:v>50</x:v>
      </x:c>
      <x:c r="AR983" t="n">
        <x:f>_xlfn.XLOOKUP($A983,Games!$A$2:$A$18,Games!$M$2:$M$18,"Missing game",0)</x:f>
        <x:v>0</x:v>
      </x:c>
      <x:c r="AS983" t="str">
        <x:f>_xlfn.XLOOKUP($A983,Games!$A$2:$A$18,Games!$N$2:$N$18,"Missing game",0)</x:f>
        <x:v>dome</x:v>
      </x:c>
      <x:c r="AT983" t="str">
        <x:f>_xlfn.XLOOKUP($A983,Games!$A$2:$A$18,Games!$O$2:$O$18,"Missing game",0)</x:f>
        <x:v>sportturf</x:v>
      </x:c>
      <x:c r="AU983" t="str">
        <x:f>_xlfn.XLOOKUP($A983,Games!$A$2:$A$18,Games!$P$2:$P$18,"Missing game",0)</x:f>
      </x:c>
      <x:c r="AV983" t="str">
        <x:f>_xlfn.XLOOKUP($A983,Games!$A$2:$A$18,Games!$Q$2:$Q$18,"Missing game",0)</x:f>
      </x:c>
      <x:c r="AW983" t="str">
        <x:f>_xlfn.XLOOKUP($A983,Games!$A$2:$A$18,Games!$R$2:$R$18,"Missing game",0)</x:f>
        <x:v>U.S. Bank Stadium</x:v>
      </x:c>
    </x:row>
    <x:row r="984">
      <x:c r="A984" t="str">
        <x:v>2025_07_PHI_MIN</x:v>
      </x:c>
      <x:c r="B984" t="n">
        <x:v>3328</x:v>
      </x:c>
      <x:c r="C984" t="n">
        <x:v>4</x:v>
      </x:c>
      <x:c r="D984" t="str">
        <x:v>06:35</x:v>
      </x:c>
      <x:c r="E984"/>
      <x:c r="F984" t="n">
        <x:v>0</x:v>
      </x:c>
      <x:c r="G984" t="str">
        <x:v>MIN</x:v>
      </x:c>
      <x:c r="H984" t="str">
        <x:v>PHI</x:v>
      </x:c>
      <x:c r="I984" t="str">
        <x:v>PHI</x:v>
      </x:c>
      <x:c r="J984" t="n">
        <x:v>35</x:v>
      </x:c>
      <x:c r="K984" t="str">
        <x:v>4-J.Elliott kicks 56 yards from PHI 35 to MIN 9. 4-M.Price pushed ob at MIN 28 for 19 yards (33-C.DeJean).</x:v>
      </x:c>
      <x:c r="L984" t="str">
        <x:v>kickoff</x:v>
      </x:c>
      <x:c r="M984" t="n">
        <x:v>0</x:v>
      </x:c>
      <x:c r="N984" t="n">
        <x:v>0</x:v>
      </x:c>
      <x:c r="O984" t="n">
        <x:v>0</x:v>
      </x:c>
      <x:c r="P984"/>
      <x:c r="Q984"/>
      <x:c r="R984"/>
      <x:c r="S984"/>
      <x:c r="T984"/>
      <x:c r="U984"/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/>
      <x:c r="AC984" t="n">
        <x:v>0</x:v>
      </x:c>
      <x:c r="AD984" t="n">
        <x:v>0.07766974344849586</x:v>
      </x:c>
      <x:c r="AE984" t="n">
        <x:v>1</x:v>
      </x:c>
      <x:c r="AF984" t="n">
        <x:v>0.006328359246253967</x:v>
      </x:c>
      <x:c r="AG984" t="n">
        <x:f>_xlfn.XLOOKUP($A984,Games!$A$2:$A$18,Games!$B$2:$B$18,"Missing game",0)</x:f>
        <x:v>2025</x:v>
      </x:c>
      <x:c r="AH984" t="str">
        <x:f>_xlfn.XLOOKUP($A984,Games!$A$2:$A$18,Games!$C$2:$C$18,"Missing game",0)</x:f>
        <x:v>REG</x:v>
      </x:c>
      <x:c r="AI984" t="n">
        <x:f>_xlfn.XLOOKUP($A984,Games!$A$2:$A$18,Games!$D$2:$D$18,"Missing game",0)</x:f>
        <x:v>7</x:v>
      </x:c>
      <x:c r="AJ984" s="1" t="n">
        <x:f>_xlfn.XLOOKUP($A984,Games!$A$2:$A$18,Games!$E$2:$E$18,"Missing game",0)</x:f>
        <x:v>45949</x:v>
      </x:c>
      <x:c r="AK984" t="str">
        <x:f>_xlfn.XLOOKUP($A984,Games!$A$2:$A$18,Games!$F$2:$F$18,"Missing game",0)</x:f>
        <x:v>Sunday</x:v>
      </x:c>
      <x:c r="AL984" t="str">
        <x:f>_xlfn.XLOOKUP($A984,Games!$A$2:$A$18,Games!$G$2:$G$18,"Missing game",0)</x:f>
        <x:v>PHI</x:v>
      </x:c>
      <x:c r="AM984" t="n">
        <x:f>_xlfn.XLOOKUP($A984,Games!$A$2:$A$18,Games!$H$2:$H$18,"Missing game",0)</x:f>
        <x:v>28</x:v>
      </x:c>
      <x:c r="AN984" t="str">
        <x:f>_xlfn.XLOOKUP($A984,Games!$A$2:$A$18,Games!$I$2:$I$18,"Missing game",0)</x:f>
        <x:v>MIN</x:v>
      </x:c>
      <x:c r="AO984" t="n">
        <x:f>_xlfn.XLOOKUP($A984,Games!$A$2:$A$18,Games!$J$2:$J$18,"Missing game",0)</x:f>
        <x:v>22</x:v>
      </x:c>
      <x:c r="AP984" t="n">
        <x:f>_xlfn.XLOOKUP($A984,Games!$A$2:$A$18,Games!$K$2:$K$18,"Missing game",0)</x:f>
        <x:v>-6</x:v>
      </x:c>
      <x:c r="AQ984" t="n">
        <x:f>_xlfn.XLOOKUP($A984,Games!$A$2:$A$18,Games!$L$2:$L$18,"Missing game",0)</x:f>
        <x:v>50</x:v>
      </x:c>
      <x:c r="AR984" t="n">
        <x:f>_xlfn.XLOOKUP($A984,Games!$A$2:$A$18,Games!$M$2:$M$18,"Missing game",0)</x:f>
        <x:v>0</x:v>
      </x:c>
      <x:c r="AS984" t="str">
        <x:f>_xlfn.XLOOKUP($A984,Games!$A$2:$A$18,Games!$N$2:$N$18,"Missing game",0)</x:f>
        <x:v>dome</x:v>
      </x:c>
      <x:c r="AT984" t="str">
        <x:f>_xlfn.XLOOKUP($A984,Games!$A$2:$A$18,Games!$O$2:$O$18,"Missing game",0)</x:f>
        <x:v>sportturf</x:v>
      </x:c>
      <x:c r="AU984" t="str">
        <x:f>_xlfn.XLOOKUP($A984,Games!$A$2:$A$18,Games!$P$2:$P$18,"Missing game",0)</x:f>
      </x:c>
      <x:c r="AV984" t="str">
        <x:f>_xlfn.XLOOKUP($A984,Games!$A$2:$A$18,Games!$Q$2:$Q$18,"Missing game",0)</x:f>
      </x:c>
      <x:c r="AW984" t="str">
        <x:f>_xlfn.XLOOKUP($A984,Games!$A$2:$A$18,Games!$R$2:$R$18,"Missing game",0)</x:f>
        <x:v>U.S. Bank Stadium</x:v>
      </x:c>
    </x:row>
    <x:row r="985">
      <x:c r="A985" t="str">
        <x:v>2025_07_PHI_MIN</x:v>
      </x:c>
      <x:c r="B985" t="n">
        <x:v>3366</x:v>
      </x:c>
      <x:c r="C985" t="n">
        <x:v>4</x:v>
      </x:c>
      <x:c r="D985" t="str">
        <x:v>06:30</x:v>
      </x:c>
      <x:c r="E985" t="n">
        <x:v>1</x:v>
      </x:c>
      <x:c r="F985" t="n">
        <x:v>10</x:v>
      </x:c>
      <x:c r="G985" t="str">
        <x:v>MIN</x:v>
      </x:c>
      <x:c r="H985" t="str">
        <x:v>PHI</x:v>
      </x:c>
      <x:c r="I985" t="str">
        <x:v>MIN</x:v>
      </x:c>
      <x:c r="J985" t="n">
        <x:v>72</x:v>
      </x:c>
      <x:c r="K985" t="str">
        <x:v>(6:30) (Shotgun) 11-C.Wentz pass short right to 3-J.Addison pushed ob at MIN 35 for 7 yards (27-Q.Mitchell).</x:v>
      </x:c>
      <x:c r="L985" t="str">
        <x:v>pass</x:v>
      </x:c>
      <x:c r="M985" t="n">
        <x:v>7</x:v>
      </x:c>
      <x:c r="N985" t="n">
        <x:v>1</x:v>
      </x:c>
      <x:c r="O985" t="n">
        <x:v>0</x:v>
      </x:c>
      <x:c r="P985" t="str">
        <x:v>short</x:v>
      </x:c>
      <x:c r="Q985" t="str">
        <x:v>right</x:v>
      </x:c>
      <x:c r="R985" t="n">
        <x:v>6</x:v>
      </x:c>
      <x:c r="S985" t="n">
        <x:v>1</x:v>
      </x:c>
      <x:c r="T985"/>
      <x:c r="U985"/>
      <x:c r="V985" t="n">
        <x:v>1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/>
      <x:c r="AC985" t="n">
        <x:v>0</x:v>
      </x:c>
      <x:c r="AD985" t="n">
        <x:v>0.2849876740947366</x:v>
      </x:c>
      <x:c r="AE985" t="n">
        <x:v>1</x:v>
      </x:c>
      <x:c r="AF985" t="n">
        <x:v>-0.012259386479854584</x:v>
      </x:c>
      <x:c r="AG985" t="n">
        <x:f>_xlfn.XLOOKUP($A985,Games!$A$2:$A$18,Games!$B$2:$B$18,"Missing game",0)</x:f>
        <x:v>2025</x:v>
      </x:c>
      <x:c r="AH985" t="str">
        <x:f>_xlfn.XLOOKUP($A985,Games!$A$2:$A$18,Games!$C$2:$C$18,"Missing game",0)</x:f>
        <x:v>REG</x:v>
      </x:c>
      <x:c r="AI985" t="n">
        <x:f>_xlfn.XLOOKUP($A985,Games!$A$2:$A$18,Games!$D$2:$D$18,"Missing game",0)</x:f>
        <x:v>7</x:v>
      </x:c>
      <x:c r="AJ985" s="1" t="n">
        <x:f>_xlfn.XLOOKUP($A985,Games!$A$2:$A$18,Games!$E$2:$E$18,"Missing game",0)</x:f>
        <x:v>45949</x:v>
      </x:c>
      <x:c r="AK985" t="str">
        <x:f>_xlfn.XLOOKUP($A985,Games!$A$2:$A$18,Games!$F$2:$F$18,"Missing game",0)</x:f>
        <x:v>Sunday</x:v>
      </x:c>
      <x:c r="AL985" t="str">
        <x:f>_xlfn.XLOOKUP($A985,Games!$A$2:$A$18,Games!$G$2:$G$18,"Missing game",0)</x:f>
        <x:v>PHI</x:v>
      </x:c>
      <x:c r="AM985" t="n">
        <x:f>_xlfn.XLOOKUP($A985,Games!$A$2:$A$18,Games!$H$2:$H$18,"Missing game",0)</x:f>
        <x:v>28</x:v>
      </x:c>
      <x:c r="AN985" t="str">
        <x:f>_xlfn.XLOOKUP($A985,Games!$A$2:$A$18,Games!$I$2:$I$18,"Missing game",0)</x:f>
        <x:v>MIN</x:v>
      </x:c>
      <x:c r="AO985" t="n">
        <x:f>_xlfn.XLOOKUP($A985,Games!$A$2:$A$18,Games!$J$2:$J$18,"Missing game",0)</x:f>
        <x:v>22</x:v>
      </x:c>
      <x:c r="AP985" t="n">
        <x:f>_xlfn.XLOOKUP($A985,Games!$A$2:$A$18,Games!$K$2:$K$18,"Missing game",0)</x:f>
        <x:v>-6</x:v>
      </x:c>
      <x:c r="AQ985" t="n">
        <x:f>_xlfn.XLOOKUP($A985,Games!$A$2:$A$18,Games!$L$2:$L$18,"Missing game",0)</x:f>
        <x:v>50</x:v>
      </x:c>
      <x:c r="AR985" t="n">
        <x:f>_xlfn.XLOOKUP($A985,Games!$A$2:$A$18,Games!$M$2:$M$18,"Missing game",0)</x:f>
        <x:v>0</x:v>
      </x:c>
      <x:c r="AS985" t="str">
        <x:f>_xlfn.XLOOKUP($A985,Games!$A$2:$A$18,Games!$N$2:$N$18,"Missing game",0)</x:f>
        <x:v>dome</x:v>
      </x:c>
      <x:c r="AT985" t="str">
        <x:f>_xlfn.XLOOKUP($A985,Games!$A$2:$A$18,Games!$O$2:$O$18,"Missing game",0)</x:f>
        <x:v>sportturf</x:v>
      </x:c>
      <x:c r="AU985" t="str">
        <x:f>_xlfn.XLOOKUP($A985,Games!$A$2:$A$18,Games!$P$2:$P$18,"Missing game",0)</x:f>
      </x:c>
      <x:c r="AV985" t="str">
        <x:f>_xlfn.XLOOKUP($A985,Games!$A$2:$A$18,Games!$Q$2:$Q$18,"Missing game",0)</x:f>
      </x:c>
      <x:c r="AW985" t="str">
        <x:f>_xlfn.XLOOKUP($A985,Games!$A$2:$A$18,Games!$R$2:$R$18,"Missing game",0)</x:f>
        <x:v>U.S. Bank Stadium</x:v>
      </x:c>
    </x:row>
    <x:row r="986">
      <x:c r="A986" t="str">
        <x:v>2025_07_PHI_MIN</x:v>
      </x:c>
      <x:c r="B986" t="n">
        <x:v>3396</x:v>
      </x:c>
      <x:c r="C986" t="n">
        <x:v>4</x:v>
      </x:c>
      <x:c r="D986" t="str">
        <x:v>05:51</x:v>
      </x:c>
      <x:c r="E986" t="n">
        <x:v>2</x:v>
      </x:c>
      <x:c r="F986" t="n">
        <x:v>3</x:v>
      </x:c>
      <x:c r="G986" t="str">
        <x:v>MIN</x:v>
      </x:c>
      <x:c r="H986" t="str">
        <x:v>PHI</x:v>
      </x:c>
      <x:c r="I986" t="str">
        <x:v>MIN</x:v>
      </x:c>
      <x:c r="J986" t="n">
        <x:v>65</x:v>
      </x:c>
      <x:c r="K986" t="str">
        <x:v>(5:51) (Shotgun) 11-C.Wentz pass short left to 3-J.Addison pushed ob at MIN 49 for 14 yards (7-K.Ringo) [90-J.Davis].</x:v>
      </x:c>
      <x:c r="L986" t="str">
        <x:v>pass</x:v>
      </x:c>
      <x:c r="M986" t="n">
        <x:v>14</x:v>
      </x:c>
      <x:c r="N986" t="n">
        <x:v>1</x:v>
      </x:c>
      <x:c r="O986" t="n">
        <x:v>0</x:v>
      </x:c>
      <x:c r="P986" t="str">
        <x:v>short</x:v>
      </x:c>
      <x:c r="Q986" t="str">
        <x:v>left</x:v>
      </x:c>
      <x:c r="R986" t="n">
        <x:v>15</x:v>
      </x:c>
      <x:c r="S986" t="n">
        <x:v>-1</x:v>
      </x:c>
      <x:c r="T986"/>
      <x:c r="U986"/>
      <x:c r="V986" t="n">
        <x:v>1</x:v>
      </x:c>
      <x:c r="W986" t="n">
        <x:v>1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/>
      <x:c r="AC986" t="n">
        <x:v>0</x:v>
      </x:c>
      <x:c r="AD986" t="n">
        <x:v>1.0718088059220463</x:v>
      </x:c>
      <x:c r="AE986" t="n">
        <x:v>1</x:v>
      </x:c>
      <x:c r="AF986" t="n">
        <x:v>-0.005907870829105377</x:v>
      </x:c>
      <x:c r="AG986" t="n">
        <x:f>_xlfn.XLOOKUP($A986,Games!$A$2:$A$18,Games!$B$2:$B$18,"Missing game",0)</x:f>
        <x:v>2025</x:v>
      </x:c>
      <x:c r="AH986" t="str">
        <x:f>_xlfn.XLOOKUP($A986,Games!$A$2:$A$18,Games!$C$2:$C$18,"Missing game",0)</x:f>
        <x:v>REG</x:v>
      </x:c>
      <x:c r="AI986" t="n">
        <x:f>_xlfn.XLOOKUP($A986,Games!$A$2:$A$18,Games!$D$2:$D$18,"Missing game",0)</x:f>
        <x:v>7</x:v>
      </x:c>
      <x:c r="AJ986" s="1" t="n">
        <x:f>_xlfn.XLOOKUP($A986,Games!$A$2:$A$18,Games!$E$2:$E$18,"Missing game",0)</x:f>
        <x:v>45949</x:v>
      </x:c>
      <x:c r="AK986" t="str">
        <x:f>_xlfn.XLOOKUP($A986,Games!$A$2:$A$18,Games!$F$2:$F$18,"Missing game",0)</x:f>
        <x:v>Sunday</x:v>
      </x:c>
      <x:c r="AL986" t="str">
        <x:f>_xlfn.XLOOKUP($A986,Games!$A$2:$A$18,Games!$G$2:$G$18,"Missing game",0)</x:f>
        <x:v>PHI</x:v>
      </x:c>
      <x:c r="AM986" t="n">
        <x:f>_xlfn.XLOOKUP($A986,Games!$A$2:$A$18,Games!$H$2:$H$18,"Missing game",0)</x:f>
        <x:v>28</x:v>
      </x:c>
      <x:c r="AN986" t="str">
        <x:f>_xlfn.XLOOKUP($A986,Games!$A$2:$A$18,Games!$I$2:$I$18,"Missing game",0)</x:f>
        <x:v>MIN</x:v>
      </x:c>
      <x:c r="AO986" t="n">
        <x:f>_xlfn.XLOOKUP($A986,Games!$A$2:$A$18,Games!$J$2:$J$18,"Missing game",0)</x:f>
        <x:v>22</x:v>
      </x:c>
      <x:c r="AP986" t="n">
        <x:f>_xlfn.XLOOKUP($A986,Games!$A$2:$A$18,Games!$K$2:$K$18,"Missing game",0)</x:f>
        <x:v>-6</x:v>
      </x:c>
      <x:c r="AQ986" t="n">
        <x:f>_xlfn.XLOOKUP($A986,Games!$A$2:$A$18,Games!$L$2:$L$18,"Missing game",0)</x:f>
        <x:v>50</x:v>
      </x:c>
      <x:c r="AR986" t="n">
        <x:f>_xlfn.XLOOKUP($A986,Games!$A$2:$A$18,Games!$M$2:$M$18,"Missing game",0)</x:f>
        <x:v>0</x:v>
      </x:c>
      <x:c r="AS986" t="str">
        <x:f>_xlfn.XLOOKUP($A986,Games!$A$2:$A$18,Games!$N$2:$N$18,"Missing game",0)</x:f>
        <x:v>dome</x:v>
      </x:c>
      <x:c r="AT986" t="str">
        <x:f>_xlfn.XLOOKUP($A986,Games!$A$2:$A$18,Games!$O$2:$O$18,"Missing game",0)</x:f>
        <x:v>sportturf</x:v>
      </x:c>
      <x:c r="AU986" t="str">
        <x:f>_xlfn.XLOOKUP($A986,Games!$A$2:$A$18,Games!$P$2:$P$18,"Missing game",0)</x:f>
      </x:c>
      <x:c r="AV986" t="str">
        <x:f>_xlfn.XLOOKUP($A986,Games!$A$2:$A$18,Games!$Q$2:$Q$18,"Missing game",0)</x:f>
      </x:c>
      <x:c r="AW986" t="str">
        <x:f>_xlfn.XLOOKUP($A986,Games!$A$2:$A$18,Games!$R$2:$R$18,"Missing game",0)</x:f>
        <x:v>U.S. Bank Stadium</x:v>
      </x:c>
    </x:row>
    <x:row r="987">
      <x:c r="A987" t="str">
        <x:v>2025_07_PHI_MIN</x:v>
      </x:c>
      <x:c r="B987" t="n">
        <x:v>3431</x:v>
      </x:c>
      <x:c r="C987" t="n">
        <x:v>4</x:v>
      </x:c>
      <x:c r="D987" t="str">
        <x:v>05:21</x:v>
      </x:c>
      <x:c r="E987" t="n">
        <x:v>1</x:v>
      </x:c>
      <x:c r="F987" t="n">
        <x:v>10</x:v>
      </x:c>
      <x:c r="G987" t="str">
        <x:v>MIN</x:v>
      </x:c>
      <x:c r="H987" t="str">
        <x:v>PHI</x:v>
      </x:c>
      <x:c r="I987" t="str">
        <x:v>MIN</x:v>
      </x:c>
      <x:c r="J987" t="n">
        <x:v>51</x:v>
      </x:c>
      <x:c r="K987" t="str">
        <x:v>(5:21) (No Huddle, Shotgun) 11-C.Wentz pass incomplete deep right to 18-J.Jefferson.</x:v>
      </x:c>
      <x:c r="L987" t="str">
        <x:v>pass</x:v>
      </x:c>
      <x:c r="M987" t="n">
        <x:v>0</x:v>
      </x:c>
      <x:c r="N987" t="n">
        <x:v>1</x:v>
      </x:c>
      <x:c r="O987" t="n">
        <x:v>1</x:v>
      </x:c>
      <x:c r="P987" t="str">
        <x:v>deep</x:v>
      </x:c>
      <x:c r="Q987" t="str">
        <x:v>right</x:v>
      </x:c>
      <x:c r="R987" t="n">
        <x:v>39</x:v>
      </x:c>
      <x:c r="S987"/>
      <x:c r="T987"/>
      <x:c r="U987"/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/>
      <x:c r="AC987" t="n">
        <x:v>0</x:v>
      </x:c>
      <x:c r="AD987" t="n">
        <x:v>-0.5315677912440151</x:v>
      </x:c>
      <x:c r="AE987" t="n">
        <x:v>0</x:v>
      </x:c>
      <x:c r="AF987" t="n">
        <x:v>-0.013128690421581268</x:v>
      </x:c>
      <x:c r="AG987" t="n">
        <x:f>_xlfn.XLOOKUP($A987,Games!$A$2:$A$18,Games!$B$2:$B$18,"Missing game",0)</x:f>
        <x:v>2025</x:v>
      </x:c>
      <x:c r="AH987" t="str">
        <x:f>_xlfn.XLOOKUP($A987,Games!$A$2:$A$18,Games!$C$2:$C$18,"Missing game",0)</x:f>
        <x:v>REG</x:v>
      </x:c>
      <x:c r="AI987" t="n">
        <x:f>_xlfn.XLOOKUP($A987,Games!$A$2:$A$18,Games!$D$2:$D$18,"Missing game",0)</x:f>
        <x:v>7</x:v>
      </x:c>
      <x:c r="AJ987" s="1" t="n">
        <x:f>_xlfn.XLOOKUP($A987,Games!$A$2:$A$18,Games!$E$2:$E$18,"Missing game",0)</x:f>
        <x:v>45949</x:v>
      </x:c>
      <x:c r="AK987" t="str">
        <x:f>_xlfn.XLOOKUP($A987,Games!$A$2:$A$18,Games!$F$2:$F$18,"Missing game",0)</x:f>
        <x:v>Sunday</x:v>
      </x:c>
      <x:c r="AL987" t="str">
        <x:f>_xlfn.XLOOKUP($A987,Games!$A$2:$A$18,Games!$G$2:$G$18,"Missing game",0)</x:f>
        <x:v>PHI</x:v>
      </x:c>
      <x:c r="AM987" t="n">
        <x:f>_xlfn.XLOOKUP($A987,Games!$A$2:$A$18,Games!$H$2:$H$18,"Missing game",0)</x:f>
        <x:v>28</x:v>
      </x:c>
      <x:c r="AN987" t="str">
        <x:f>_xlfn.XLOOKUP($A987,Games!$A$2:$A$18,Games!$I$2:$I$18,"Missing game",0)</x:f>
        <x:v>MIN</x:v>
      </x:c>
      <x:c r="AO987" t="n">
        <x:f>_xlfn.XLOOKUP($A987,Games!$A$2:$A$18,Games!$J$2:$J$18,"Missing game",0)</x:f>
        <x:v>22</x:v>
      </x:c>
      <x:c r="AP987" t="n">
        <x:f>_xlfn.XLOOKUP($A987,Games!$A$2:$A$18,Games!$K$2:$K$18,"Missing game",0)</x:f>
        <x:v>-6</x:v>
      </x:c>
      <x:c r="AQ987" t="n">
        <x:f>_xlfn.XLOOKUP($A987,Games!$A$2:$A$18,Games!$L$2:$L$18,"Missing game",0)</x:f>
        <x:v>50</x:v>
      </x:c>
      <x:c r="AR987" t="n">
        <x:f>_xlfn.XLOOKUP($A987,Games!$A$2:$A$18,Games!$M$2:$M$18,"Missing game",0)</x:f>
        <x:v>0</x:v>
      </x:c>
      <x:c r="AS987" t="str">
        <x:f>_xlfn.XLOOKUP($A987,Games!$A$2:$A$18,Games!$N$2:$N$18,"Missing game",0)</x:f>
        <x:v>dome</x:v>
      </x:c>
      <x:c r="AT987" t="str">
        <x:f>_xlfn.XLOOKUP($A987,Games!$A$2:$A$18,Games!$O$2:$O$18,"Missing game",0)</x:f>
        <x:v>sportturf</x:v>
      </x:c>
      <x:c r="AU987" t="str">
        <x:f>_xlfn.XLOOKUP($A987,Games!$A$2:$A$18,Games!$P$2:$P$18,"Missing game",0)</x:f>
      </x:c>
      <x:c r="AV987" t="str">
        <x:f>_xlfn.XLOOKUP($A987,Games!$A$2:$A$18,Games!$Q$2:$Q$18,"Missing game",0)</x:f>
      </x:c>
      <x:c r="AW987" t="str">
        <x:f>_xlfn.XLOOKUP($A987,Games!$A$2:$A$18,Games!$R$2:$R$18,"Missing game",0)</x:f>
        <x:v>U.S. Bank Stadium</x:v>
      </x:c>
    </x:row>
    <x:row r="988">
      <x:c r="A988" t="str">
        <x:v>2025_07_PHI_MIN</x:v>
      </x:c>
      <x:c r="B988" t="n">
        <x:v>3459</x:v>
      </x:c>
      <x:c r="C988" t="n">
        <x:v>4</x:v>
      </x:c>
      <x:c r="D988" t="str">
        <x:v>05:15</x:v>
      </x:c>
      <x:c r="E988" t="n">
        <x:v>2</x:v>
      </x:c>
      <x:c r="F988" t="n">
        <x:v>10</x:v>
      </x:c>
      <x:c r="G988" t="str">
        <x:v>MIN</x:v>
      </x:c>
      <x:c r="H988" t="str">
        <x:v>PHI</x:v>
      </x:c>
      <x:c r="I988" t="str">
        <x:v>MIN</x:v>
      </x:c>
      <x:c r="J988" t="n">
        <x:v>51</x:v>
      </x:c>
      <x:c r="K988" t="str">
        <x:v>(5:15) (Shotgun) 11-C.Wentz pass incomplete short middle to 19-A.Thielen.</x:v>
      </x:c>
      <x:c r="L988" t="str">
        <x:v>pass</x:v>
      </x:c>
      <x:c r="M988" t="n">
        <x:v>0</x:v>
      </x:c>
      <x:c r="N988" t="n">
        <x:v>1</x:v>
      </x:c>
      <x:c r="O988" t="n">
        <x:v>0</x:v>
      </x:c>
      <x:c r="P988" t="str">
        <x:v>short</x:v>
      </x:c>
      <x:c r="Q988" t="str">
        <x:v>middle</x:v>
      </x:c>
      <x:c r="R988" t="n">
        <x:v>4</x:v>
      </x:c>
      <x:c r="S988"/>
      <x:c r="T988"/>
      <x:c r="U988"/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/>
      <x:c r="AC988" t="n">
        <x:v>0</x:v>
      </x:c>
      <x:c r="AD988" t="n">
        <x:v>-0.7611973630264401</x:v>
      </x:c>
      <x:c r="AE988" t="n">
        <x:v>0</x:v>
      </x:c>
      <x:c r="AF988" t="n">
        <x:v>-0.018144600093364716</x:v>
      </x:c>
      <x:c r="AG988" t="n">
        <x:f>_xlfn.XLOOKUP($A988,Games!$A$2:$A$18,Games!$B$2:$B$18,"Missing game",0)</x:f>
        <x:v>2025</x:v>
      </x:c>
      <x:c r="AH988" t="str">
        <x:f>_xlfn.XLOOKUP($A988,Games!$A$2:$A$18,Games!$C$2:$C$18,"Missing game",0)</x:f>
        <x:v>REG</x:v>
      </x:c>
      <x:c r="AI988" t="n">
        <x:f>_xlfn.XLOOKUP($A988,Games!$A$2:$A$18,Games!$D$2:$D$18,"Missing game",0)</x:f>
        <x:v>7</x:v>
      </x:c>
      <x:c r="AJ988" s="1" t="n">
        <x:f>_xlfn.XLOOKUP($A988,Games!$A$2:$A$18,Games!$E$2:$E$18,"Missing game",0)</x:f>
        <x:v>45949</x:v>
      </x:c>
      <x:c r="AK988" t="str">
        <x:f>_xlfn.XLOOKUP($A988,Games!$A$2:$A$18,Games!$F$2:$F$18,"Missing game",0)</x:f>
        <x:v>Sunday</x:v>
      </x:c>
      <x:c r="AL988" t="str">
        <x:f>_xlfn.XLOOKUP($A988,Games!$A$2:$A$18,Games!$G$2:$G$18,"Missing game",0)</x:f>
        <x:v>PHI</x:v>
      </x:c>
      <x:c r="AM988" t="n">
        <x:f>_xlfn.XLOOKUP($A988,Games!$A$2:$A$18,Games!$H$2:$H$18,"Missing game",0)</x:f>
        <x:v>28</x:v>
      </x:c>
      <x:c r="AN988" t="str">
        <x:f>_xlfn.XLOOKUP($A988,Games!$A$2:$A$18,Games!$I$2:$I$18,"Missing game",0)</x:f>
        <x:v>MIN</x:v>
      </x:c>
      <x:c r="AO988" t="n">
        <x:f>_xlfn.XLOOKUP($A988,Games!$A$2:$A$18,Games!$J$2:$J$18,"Missing game",0)</x:f>
        <x:v>22</x:v>
      </x:c>
      <x:c r="AP988" t="n">
        <x:f>_xlfn.XLOOKUP($A988,Games!$A$2:$A$18,Games!$K$2:$K$18,"Missing game",0)</x:f>
        <x:v>-6</x:v>
      </x:c>
      <x:c r="AQ988" t="n">
        <x:f>_xlfn.XLOOKUP($A988,Games!$A$2:$A$18,Games!$L$2:$L$18,"Missing game",0)</x:f>
        <x:v>50</x:v>
      </x:c>
      <x:c r="AR988" t="n">
        <x:f>_xlfn.XLOOKUP($A988,Games!$A$2:$A$18,Games!$M$2:$M$18,"Missing game",0)</x:f>
        <x:v>0</x:v>
      </x:c>
      <x:c r="AS988" t="str">
        <x:f>_xlfn.XLOOKUP($A988,Games!$A$2:$A$18,Games!$N$2:$N$18,"Missing game",0)</x:f>
        <x:v>dome</x:v>
      </x:c>
      <x:c r="AT988" t="str">
        <x:f>_xlfn.XLOOKUP($A988,Games!$A$2:$A$18,Games!$O$2:$O$18,"Missing game",0)</x:f>
        <x:v>sportturf</x:v>
      </x:c>
      <x:c r="AU988" t="str">
        <x:f>_xlfn.XLOOKUP($A988,Games!$A$2:$A$18,Games!$P$2:$P$18,"Missing game",0)</x:f>
      </x:c>
      <x:c r="AV988" t="str">
        <x:f>_xlfn.XLOOKUP($A988,Games!$A$2:$A$18,Games!$Q$2:$Q$18,"Missing game",0)</x:f>
      </x:c>
      <x:c r="AW988" t="str">
        <x:f>_xlfn.XLOOKUP($A988,Games!$A$2:$A$18,Games!$R$2:$R$18,"Missing game",0)</x:f>
        <x:v>U.S. Bank Stadium</x:v>
      </x:c>
    </x:row>
    <x:row r="989">
      <x:c r="A989" t="str">
        <x:v>2025_07_PHI_MIN</x:v>
      </x:c>
      <x:c r="B989" t="n">
        <x:v>3494</x:v>
      </x:c>
      <x:c r="C989" t="n">
        <x:v>4</x:v>
      </x:c>
      <x:c r="D989" t="str">
        <x:v>05:08</x:v>
      </x:c>
      <x:c r="E989" t="n">
        <x:v>3</x:v>
      </x:c>
      <x:c r="F989" t="n">
        <x:v>10</x:v>
      </x:c>
      <x:c r="G989" t="str">
        <x:v>MIN</x:v>
      </x:c>
      <x:c r="H989" t="str">
        <x:v>PHI</x:v>
      </x:c>
      <x:c r="I989" t="str">
        <x:v>MIN</x:v>
      </x:c>
      <x:c r="J989" t="n">
        <x:v>51</x:v>
      </x:c>
      <x:c r="K989" t="str">
        <x:v>(5:08) (Shotgun) 11-C.Wentz scrambles up the middle to PHI 35 for 16 yards (7-K.Ringo). PHI-97-M.Ojomo was injured during the play.</x:v>
      </x:c>
      <x:c r="L989" t="str">
        <x:v>run</x:v>
      </x:c>
      <x:c r="M989" t="n">
        <x:v>16</x:v>
      </x:c>
      <x:c r="N989" t="n">
        <x:v>1</x:v>
      </x:c>
      <x:c r="O989" t="n">
        <x:v>0</x:v>
      </x:c>
      <x:c r="P989"/>
      <x:c r="Q989"/>
      <x:c r="R989"/>
      <x:c r="S989"/>
      <x:c r="T989" t="str">
        <x:v>middle</x:v>
      </x:c>
      <x:c r="U989"/>
      <x:c r="V989" t="n">
        <x:v>0</x:v>
      </x:c>
      <x:c r="W989" t="n">
        <x:v>1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/>
      <x:c r="AC989" t="n">
        <x:v>0</x:v>
      </x:c>
      <x:c r="AD989" t="n">
        <x:v>2.2650103003252298</x:v>
      </x:c>
      <x:c r="AE989" t="n">
        <x:v>1</x:v>
      </x:c>
      <x:c r="AF989" t="n">
        <x:v>0.05414486676454544</x:v>
      </x:c>
      <x:c r="AG989" t="n">
        <x:f>_xlfn.XLOOKUP($A989,Games!$A$2:$A$18,Games!$B$2:$B$18,"Missing game",0)</x:f>
        <x:v>2025</x:v>
      </x:c>
      <x:c r="AH989" t="str">
        <x:f>_xlfn.XLOOKUP($A989,Games!$A$2:$A$18,Games!$C$2:$C$18,"Missing game",0)</x:f>
        <x:v>REG</x:v>
      </x:c>
      <x:c r="AI989" t="n">
        <x:f>_xlfn.XLOOKUP($A989,Games!$A$2:$A$18,Games!$D$2:$D$18,"Missing game",0)</x:f>
        <x:v>7</x:v>
      </x:c>
      <x:c r="AJ989" s="1" t="n">
        <x:f>_xlfn.XLOOKUP($A989,Games!$A$2:$A$18,Games!$E$2:$E$18,"Missing game",0)</x:f>
        <x:v>45949</x:v>
      </x:c>
      <x:c r="AK989" t="str">
        <x:f>_xlfn.XLOOKUP($A989,Games!$A$2:$A$18,Games!$F$2:$F$18,"Missing game",0)</x:f>
        <x:v>Sunday</x:v>
      </x:c>
      <x:c r="AL989" t="str">
        <x:f>_xlfn.XLOOKUP($A989,Games!$A$2:$A$18,Games!$G$2:$G$18,"Missing game",0)</x:f>
        <x:v>PHI</x:v>
      </x:c>
      <x:c r="AM989" t="n">
        <x:f>_xlfn.XLOOKUP($A989,Games!$A$2:$A$18,Games!$H$2:$H$18,"Missing game",0)</x:f>
        <x:v>28</x:v>
      </x:c>
      <x:c r="AN989" t="str">
        <x:f>_xlfn.XLOOKUP($A989,Games!$A$2:$A$18,Games!$I$2:$I$18,"Missing game",0)</x:f>
        <x:v>MIN</x:v>
      </x:c>
      <x:c r="AO989" t="n">
        <x:f>_xlfn.XLOOKUP($A989,Games!$A$2:$A$18,Games!$J$2:$J$18,"Missing game",0)</x:f>
        <x:v>22</x:v>
      </x:c>
      <x:c r="AP989" t="n">
        <x:f>_xlfn.XLOOKUP($A989,Games!$A$2:$A$18,Games!$K$2:$K$18,"Missing game",0)</x:f>
        <x:v>-6</x:v>
      </x:c>
      <x:c r="AQ989" t="n">
        <x:f>_xlfn.XLOOKUP($A989,Games!$A$2:$A$18,Games!$L$2:$L$18,"Missing game",0)</x:f>
        <x:v>50</x:v>
      </x:c>
      <x:c r="AR989" t="n">
        <x:f>_xlfn.XLOOKUP($A989,Games!$A$2:$A$18,Games!$M$2:$M$18,"Missing game",0)</x:f>
        <x:v>0</x:v>
      </x:c>
      <x:c r="AS989" t="str">
        <x:f>_xlfn.XLOOKUP($A989,Games!$A$2:$A$18,Games!$N$2:$N$18,"Missing game",0)</x:f>
        <x:v>dome</x:v>
      </x:c>
      <x:c r="AT989" t="str">
        <x:f>_xlfn.XLOOKUP($A989,Games!$A$2:$A$18,Games!$O$2:$O$18,"Missing game",0)</x:f>
        <x:v>sportturf</x:v>
      </x:c>
      <x:c r="AU989" t="str">
        <x:f>_xlfn.XLOOKUP($A989,Games!$A$2:$A$18,Games!$P$2:$P$18,"Missing game",0)</x:f>
      </x:c>
      <x:c r="AV989" t="str">
        <x:f>_xlfn.XLOOKUP($A989,Games!$A$2:$A$18,Games!$Q$2:$Q$18,"Missing game",0)</x:f>
      </x:c>
      <x:c r="AW989" t="str">
        <x:f>_xlfn.XLOOKUP($A989,Games!$A$2:$A$18,Games!$R$2:$R$18,"Missing game",0)</x:f>
        <x:v>U.S. Bank Stadium</x:v>
      </x:c>
    </x:row>
    <x:row r="990">
      <x:c r="A990" t="str">
        <x:v>2025_07_PHI_MIN</x:v>
      </x:c>
      <x:c r="B990" t="n">
        <x:v>3516</x:v>
      </x:c>
      <x:c r="C990" t="n">
        <x:v>4</x:v>
      </x:c>
      <x:c r="D990" t="str">
        <x:v>04:35</x:v>
      </x:c>
      <x:c r="E990" t="n">
        <x:v>1</x:v>
      </x:c>
      <x:c r="F990" t="n">
        <x:v>10</x:v>
      </x:c>
      <x:c r="G990" t="str">
        <x:v>MIN</x:v>
      </x:c>
      <x:c r="H990" t="str">
        <x:v>PHI</x:v>
      </x:c>
      <x:c r="I990" t="str">
        <x:v>PHI</x:v>
      </x:c>
      <x:c r="J990" t="n">
        <x:v>35</x:v>
      </x:c>
      <x:c r="K990" t="str">
        <x:v>(4:35) (Shotgun) 11-C.Wentz pass incomplete deep right to 18-J.Jefferson.</x:v>
      </x:c>
      <x:c r="L990" t="str">
        <x:v>pass</x:v>
      </x:c>
      <x:c r="M990" t="n">
        <x:v>0</x:v>
      </x:c>
      <x:c r="N990" t="n">
        <x:v>1</x:v>
      </x:c>
      <x:c r="O990" t="n">
        <x:v>0</x:v>
      </x:c>
      <x:c r="P990" t="str">
        <x:v>deep</x:v>
      </x:c>
      <x:c r="Q990" t="str">
        <x:v>right</x:v>
      </x:c>
      <x:c r="R990" t="n">
        <x:v>31</x:v>
      </x:c>
      <x:c r="S990"/>
      <x:c r="T990"/>
      <x:c r="U990"/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/>
      <x:c r="AC990" t="n">
        <x:v>0</x:v>
      </x:c>
      <x:c r="AD990" t="n">
        <x:v>-0.4656182328471914</x:v>
      </x:c>
      <x:c r="AE990" t="n">
        <x:v>0</x:v>
      </x:c>
      <x:c r="AF990" t="n">
        <x:v>-0.011910855770111084</x:v>
      </x:c>
      <x:c r="AG990" t="n">
        <x:f>_xlfn.XLOOKUP($A990,Games!$A$2:$A$18,Games!$B$2:$B$18,"Missing game",0)</x:f>
        <x:v>2025</x:v>
      </x:c>
      <x:c r="AH990" t="str">
        <x:f>_xlfn.XLOOKUP($A990,Games!$A$2:$A$18,Games!$C$2:$C$18,"Missing game",0)</x:f>
        <x:v>REG</x:v>
      </x:c>
      <x:c r="AI990" t="n">
        <x:f>_xlfn.XLOOKUP($A990,Games!$A$2:$A$18,Games!$D$2:$D$18,"Missing game",0)</x:f>
        <x:v>7</x:v>
      </x:c>
      <x:c r="AJ990" s="1" t="n">
        <x:f>_xlfn.XLOOKUP($A990,Games!$A$2:$A$18,Games!$E$2:$E$18,"Missing game",0)</x:f>
        <x:v>45949</x:v>
      </x:c>
      <x:c r="AK990" t="str">
        <x:f>_xlfn.XLOOKUP($A990,Games!$A$2:$A$18,Games!$F$2:$F$18,"Missing game",0)</x:f>
        <x:v>Sunday</x:v>
      </x:c>
      <x:c r="AL990" t="str">
        <x:f>_xlfn.XLOOKUP($A990,Games!$A$2:$A$18,Games!$G$2:$G$18,"Missing game",0)</x:f>
        <x:v>PHI</x:v>
      </x:c>
      <x:c r="AM990" t="n">
        <x:f>_xlfn.XLOOKUP($A990,Games!$A$2:$A$18,Games!$H$2:$H$18,"Missing game",0)</x:f>
        <x:v>28</x:v>
      </x:c>
      <x:c r="AN990" t="str">
        <x:f>_xlfn.XLOOKUP($A990,Games!$A$2:$A$18,Games!$I$2:$I$18,"Missing game",0)</x:f>
        <x:v>MIN</x:v>
      </x:c>
      <x:c r="AO990" t="n">
        <x:f>_xlfn.XLOOKUP($A990,Games!$A$2:$A$18,Games!$J$2:$J$18,"Missing game",0)</x:f>
        <x:v>22</x:v>
      </x:c>
      <x:c r="AP990" t="n">
        <x:f>_xlfn.XLOOKUP($A990,Games!$A$2:$A$18,Games!$K$2:$K$18,"Missing game",0)</x:f>
        <x:v>-6</x:v>
      </x:c>
      <x:c r="AQ990" t="n">
        <x:f>_xlfn.XLOOKUP($A990,Games!$A$2:$A$18,Games!$L$2:$L$18,"Missing game",0)</x:f>
        <x:v>50</x:v>
      </x:c>
      <x:c r="AR990" t="n">
        <x:f>_xlfn.XLOOKUP($A990,Games!$A$2:$A$18,Games!$M$2:$M$18,"Missing game",0)</x:f>
        <x:v>0</x:v>
      </x:c>
      <x:c r="AS990" t="str">
        <x:f>_xlfn.XLOOKUP($A990,Games!$A$2:$A$18,Games!$N$2:$N$18,"Missing game",0)</x:f>
        <x:v>dome</x:v>
      </x:c>
      <x:c r="AT990" t="str">
        <x:f>_xlfn.XLOOKUP($A990,Games!$A$2:$A$18,Games!$O$2:$O$18,"Missing game",0)</x:f>
        <x:v>sportturf</x:v>
      </x:c>
      <x:c r="AU990" t="str">
        <x:f>_xlfn.XLOOKUP($A990,Games!$A$2:$A$18,Games!$P$2:$P$18,"Missing game",0)</x:f>
      </x:c>
      <x:c r="AV990" t="str">
        <x:f>_xlfn.XLOOKUP($A990,Games!$A$2:$A$18,Games!$Q$2:$Q$18,"Missing game",0)</x:f>
      </x:c>
      <x:c r="AW990" t="str">
        <x:f>_xlfn.XLOOKUP($A990,Games!$A$2:$A$18,Games!$R$2:$R$18,"Missing game",0)</x:f>
        <x:v>U.S. Bank Stadium</x:v>
      </x:c>
    </x:row>
    <x:row r="991">
      <x:c r="A991" t="str">
        <x:v>2025_07_PHI_MIN</x:v>
      </x:c>
      <x:c r="B991" t="n">
        <x:v>3549</x:v>
      </x:c>
      <x:c r="C991" t="n">
        <x:v>4</x:v>
      </x:c>
      <x:c r="D991" t="str">
        <x:v>04:31</x:v>
      </x:c>
      <x:c r="E991" t="n">
        <x:v>2</x:v>
      </x:c>
      <x:c r="F991" t="n">
        <x:v>10</x:v>
      </x:c>
      <x:c r="G991" t="str">
        <x:v>MIN</x:v>
      </x:c>
      <x:c r="H991" t="str">
        <x:v>PHI</x:v>
      </x:c>
      <x:c r="I991" t="str">
        <x:v>PHI</x:v>
      </x:c>
      <x:c r="J991" t="n">
        <x:v>35</x:v>
      </x:c>
      <x:c r="K991" t="str">
        <x:v>(4:31) (Shotgun) 11-C.Wentz pass incomplete short left to 87-T.Hockenson.</x:v>
      </x:c>
      <x:c r="L991" t="str">
        <x:v>pass</x:v>
      </x:c>
      <x:c r="M991" t="n">
        <x:v>0</x:v>
      </x:c>
      <x:c r="N991" t="n">
        <x:v>1</x:v>
      </x:c>
      <x:c r="O991" t="n">
        <x:v>0</x:v>
      </x:c>
      <x:c r="P991" t="str">
        <x:v>short</x:v>
      </x:c>
      <x:c r="Q991" t="str">
        <x:v>left</x:v>
      </x:c>
      <x:c r="R991" t="n">
        <x:v>1</x:v>
      </x:c>
      <x:c r="S991"/>
      <x:c r="T991"/>
      <x:c r="U991"/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/>
      <x:c r="AC991" t="n">
        <x:v>0</x:v>
      </x:c>
      <x:c r="AD991" t="n">
        <x:v>-0.685519999358803</x:v>
      </x:c>
      <x:c r="AE991" t="n">
        <x:v>0</x:v>
      </x:c>
      <x:c r="AF991" t="n">
        <x:v>-0.017180107533931732</x:v>
      </x:c>
      <x:c r="AG991" t="n">
        <x:f>_xlfn.XLOOKUP($A991,Games!$A$2:$A$18,Games!$B$2:$B$18,"Missing game",0)</x:f>
        <x:v>2025</x:v>
      </x:c>
      <x:c r="AH991" t="str">
        <x:f>_xlfn.XLOOKUP($A991,Games!$A$2:$A$18,Games!$C$2:$C$18,"Missing game",0)</x:f>
        <x:v>REG</x:v>
      </x:c>
      <x:c r="AI991" t="n">
        <x:f>_xlfn.XLOOKUP($A991,Games!$A$2:$A$18,Games!$D$2:$D$18,"Missing game",0)</x:f>
        <x:v>7</x:v>
      </x:c>
      <x:c r="AJ991" s="1" t="n">
        <x:f>_xlfn.XLOOKUP($A991,Games!$A$2:$A$18,Games!$E$2:$E$18,"Missing game",0)</x:f>
        <x:v>45949</x:v>
      </x:c>
      <x:c r="AK991" t="str">
        <x:f>_xlfn.XLOOKUP($A991,Games!$A$2:$A$18,Games!$F$2:$F$18,"Missing game",0)</x:f>
        <x:v>Sunday</x:v>
      </x:c>
      <x:c r="AL991" t="str">
        <x:f>_xlfn.XLOOKUP($A991,Games!$A$2:$A$18,Games!$G$2:$G$18,"Missing game",0)</x:f>
        <x:v>PHI</x:v>
      </x:c>
      <x:c r="AM991" t="n">
        <x:f>_xlfn.XLOOKUP($A991,Games!$A$2:$A$18,Games!$H$2:$H$18,"Missing game",0)</x:f>
        <x:v>28</x:v>
      </x:c>
      <x:c r="AN991" t="str">
        <x:f>_xlfn.XLOOKUP($A991,Games!$A$2:$A$18,Games!$I$2:$I$18,"Missing game",0)</x:f>
        <x:v>MIN</x:v>
      </x:c>
      <x:c r="AO991" t="n">
        <x:f>_xlfn.XLOOKUP($A991,Games!$A$2:$A$18,Games!$J$2:$J$18,"Missing game",0)</x:f>
        <x:v>22</x:v>
      </x:c>
      <x:c r="AP991" t="n">
        <x:f>_xlfn.XLOOKUP($A991,Games!$A$2:$A$18,Games!$K$2:$K$18,"Missing game",0)</x:f>
        <x:v>-6</x:v>
      </x:c>
      <x:c r="AQ991" t="n">
        <x:f>_xlfn.XLOOKUP($A991,Games!$A$2:$A$18,Games!$L$2:$L$18,"Missing game",0)</x:f>
        <x:v>50</x:v>
      </x:c>
      <x:c r="AR991" t="n">
        <x:f>_xlfn.XLOOKUP($A991,Games!$A$2:$A$18,Games!$M$2:$M$18,"Missing game",0)</x:f>
        <x:v>0</x:v>
      </x:c>
      <x:c r="AS991" t="str">
        <x:f>_xlfn.XLOOKUP($A991,Games!$A$2:$A$18,Games!$N$2:$N$18,"Missing game",0)</x:f>
        <x:v>dome</x:v>
      </x:c>
      <x:c r="AT991" t="str">
        <x:f>_xlfn.XLOOKUP($A991,Games!$A$2:$A$18,Games!$O$2:$O$18,"Missing game",0)</x:f>
        <x:v>sportturf</x:v>
      </x:c>
      <x:c r="AU991" t="str">
        <x:f>_xlfn.XLOOKUP($A991,Games!$A$2:$A$18,Games!$P$2:$P$18,"Missing game",0)</x:f>
      </x:c>
      <x:c r="AV991" t="str">
        <x:f>_xlfn.XLOOKUP($A991,Games!$A$2:$A$18,Games!$Q$2:$Q$18,"Missing game",0)</x:f>
      </x:c>
      <x:c r="AW991" t="str">
        <x:f>_xlfn.XLOOKUP($A991,Games!$A$2:$A$18,Games!$R$2:$R$18,"Missing game",0)</x:f>
        <x:v>U.S. Bank Stadium</x:v>
      </x:c>
    </x:row>
    <x:row r="992">
      <x:c r="A992" t="str">
        <x:v>2025_07_PHI_MIN</x:v>
      </x:c>
      <x:c r="B992" t="n">
        <x:v>3572</x:v>
      </x:c>
      <x:c r="C992" t="n">
        <x:v>4</x:v>
      </x:c>
      <x:c r="D992" t="str">
        <x:v>04:27</x:v>
      </x:c>
      <x:c r="E992" t="n">
        <x:v>3</x:v>
      </x:c>
      <x:c r="F992" t="n">
        <x:v>10</x:v>
      </x:c>
      <x:c r="G992" t="str">
        <x:v>MIN</x:v>
      </x:c>
      <x:c r="H992" t="str">
        <x:v>PHI</x:v>
      </x:c>
      <x:c r="I992" t="str">
        <x:v>PHI</x:v>
      </x:c>
      <x:c r="J992" t="n">
        <x:v>35</x:v>
      </x:c>
      <x:c r="K992" t="str">
        <x:v>(4:27) (Shotgun) 11-C.Wentz scrambles left tackle to PHI 23 for 12 yards (48-P.Johnson).</x:v>
      </x:c>
      <x:c r="L992" t="str">
        <x:v>run</x:v>
      </x:c>
      <x:c r="M992" t="n">
        <x:v>12</x:v>
      </x:c>
      <x:c r="N992" t="n">
        <x:v>1</x:v>
      </x:c>
      <x:c r="O992" t="n">
        <x:v>0</x:v>
      </x:c>
      <x:c r="P992"/>
      <x:c r="Q992"/>
      <x:c r="R992"/>
      <x:c r="S992"/>
      <x:c r="T992" t="str">
        <x:v>left</x:v>
      </x:c>
      <x:c r="U992" t="str">
        <x:v>tackle</x:v>
      </x:c>
      <x:c r="V992" t="n">
        <x:v>0</x:v>
      </x:c>
      <x:c r="W992" t="n">
        <x:v>1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/>
      <x:c r="AC992" t="n">
        <x:v>0</x:v>
      </x:c>
      <x:c r="AD992" t="n">
        <x:v>1.8920758232125081</x:v>
      </x:c>
      <x:c r="AE992" t="n">
        <x:v>1</x:v>
      </x:c>
      <x:c r="AF992" t="n">
        <x:v>0.07411792874336243</x:v>
      </x:c>
      <x:c r="AG992" t="n">
        <x:f>_xlfn.XLOOKUP($A992,Games!$A$2:$A$18,Games!$B$2:$B$18,"Missing game",0)</x:f>
        <x:v>2025</x:v>
      </x:c>
      <x:c r="AH992" t="str">
        <x:f>_xlfn.XLOOKUP($A992,Games!$A$2:$A$18,Games!$C$2:$C$18,"Missing game",0)</x:f>
        <x:v>REG</x:v>
      </x:c>
      <x:c r="AI992" t="n">
        <x:f>_xlfn.XLOOKUP($A992,Games!$A$2:$A$18,Games!$D$2:$D$18,"Missing game",0)</x:f>
        <x:v>7</x:v>
      </x:c>
      <x:c r="AJ992" s="1" t="n">
        <x:f>_xlfn.XLOOKUP($A992,Games!$A$2:$A$18,Games!$E$2:$E$18,"Missing game",0)</x:f>
        <x:v>45949</x:v>
      </x:c>
      <x:c r="AK992" t="str">
        <x:f>_xlfn.XLOOKUP($A992,Games!$A$2:$A$18,Games!$F$2:$F$18,"Missing game",0)</x:f>
        <x:v>Sunday</x:v>
      </x:c>
      <x:c r="AL992" t="str">
        <x:f>_xlfn.XLOOKUP($A992,Games!$A$2:$A$18,Games!$G$2:$G$18,"Missing game",0)</x:f>
        <x:v>PHI</x:v>
      </x:c>
      <x:c r="AM992" t="n">
        <x:f>_xlfn.XLOOKUP($A992,Games!$A$2:$A$18,Games!$H$2:$H$18,"Missing game",0)</x:f>
        <x:v>28</x:v>
      </x:c>
      <x:c r="AN992" t="str">
        <x:f>_xlfn.XLOOKUP($A992,Games!$A$2:$A$18,Games!$I$2:$I$18,"Missing game",0)</x:f>
        <x:v>MIN</x:v>
      </x:c>
      <x:c r="AO992" t="n">
        <x:f>_xlfn.XLOOKUP($A992,Games!$A$2:$A$18,Games!$J$2:$J$18,"Missing game",0)</x:f>
        <x:v>22</x:v>
      </x:c>
      <x:c r="AP992" t="n">
        <x:f>_xlfn.XLOOKUP($A992,Games!$A$2:$A$18,Games!$K$2:$K$18,"Missing game",0)</x:f>
        <x:v>-6</x:v>
      </x:c>
      <x:c r="AQ992" t="n">
        <x:f>_xlfn.XLOOKUP($A992,Games!$A$2:$A$18,Games!$L$2:$L$18,"Missing game",0)</x:f>
        <x:v>50</x:v>
      </x:c>
      <x:c r="AR992" t="n">
        <x:f>_xlfn.XLOOKUP($A992,Games!$A$2:$A$18,Games!$M$2:$M$18,"Missing game",0)</x:f>
        <x:v>0</x:v>
      </x:c>
      <x:c r="AS992" t="str">
        <x:f>_xlfn.XLOOKUP($A992,Games!$A$2:$A$18,Games!$N$2:$N$18,"Missing game",0)</x:f>
        <x:v>dome</x:v>
      </x:c>
      <x:c r="AT992" t="str">
        <x:f>_xlfn.XLOOKUP($A992,Games!$A$2:$A$18,Games!$O$2:$O$18,"Missing game",0)</x:f>
        <x:v>sportturf</x:v>
      </x:c>
      <x:c r="AU992" t="str">
        <x:f>_xlfn.XLOOKUP($A992,Games!$A$2:$A$18,Games!$P$2:$P$18,"Missing game",0)</x:f>
      </x:c>
      <x:c r="AV992" t="str">
        <x:f>_xlfn.XLOOKUP($A992,Games!$A$2:$A$18,Games!$Q$2:$Q$18,"Missing game",0)</x:f>
      </x:c>
      <x:c r="AW992" t="str">
        <x:f>_xlfn.XLOOKUP($A992,Games!$A$2:$A$18,Games!$R$2:$R$18,"Missing game",0)</x:f>
        <x:v>U.S. Bank Stadium</x:v>
      </x:c>
    </x:row>
    <x:row r="993">
      <x:c r="A993" t="str">
        <x:v>2025_07_PHI_MIN</x:v>
      </x:c>
      <x:c r="B993" t="n">
        <x:v>3594</x:v>
      </x:c>
      <x:c r="C993" t="n">
        <x:v>4</x:v>
      </x:c>
      <x:c r="D993" t="str">
        <x:v>03:49</x:v>
      </x:c>
      <x:c r="E993" t="n">
        <x:v>1</x:v>
      </x:c>
      <x:c r="F993" t="n">
        <x:v>10</x:v>
      </x:c>
      <x:c r="G993" t="str">
        <x:v>MIN</x:v>
      </x:c>
      <x:c r="H993" t="str">
        <x:v>PHI</x:v>
      </x:c>
      <x:c r="I993" t="str">
        <x:v>PHI</x:v>
      </x:c>
      <x:c r="J993" t="n">
        <x:v>23</x:v>
      </x:c>
      <x:c r="K993" t="str">
        <x:v>(3:49) (Shotgun) 11-C.Wentz pass incomplete deep right to 18-J.Jefferson.</x:v>
      </x:c>
      <x:c r="L993" t="str">
        <x:v>pass</x:v>
      </x:c>
      <x:c r="M993" t="n">
        <x:v>0</x:v>
      </x:c>
      <x:c r="N993" t="n">
        <x:v>1</x:v>
      </x:c>
      <x:c r="O993" t="n">
        <x:v>0</x:v>
      </x:c>
      <x:c r="P993" t="str">
        <x:v>deep</x:v>
      </x:c>
      <x:c r="Q993" t="str">
        <x:v>right</x:v>
      </x:c>
      <x:c r="R993" t="n">
        <x:v>22</x:v>
      </x:c>
      <x:c r="S993"/>
      <x:c r="T993"/>
      <x:c r="U993"/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/>
      <x:c r="AC993" t="n">
        <x:v>0</x:v>
      </x:c>
      <x:c r="AD993" t="n">
        <x:v>-0.510139053221792</x:v>
      </x:c>
      <x:c r="AE993" t="n">
        <x:v>0</x:v>
      </x:c>
      <x:c r="AF993" t="n">
        <x:v>-0.01744779944419861</x:v>
      </x:c>
      <x:c r="AG993" t="n">
        <x:f>_xlfn.XLOOKUP($A993,Games!$A$2:$A$18,Games!$B$2:$B$18,"Missing game",0)</x:f>
        <x:v>2025</x:v>
      </x:c>
      <x:c r="AH993" t="str">
        <x:f>_xlfn.XLOOKUP($A993,Games!$A$2:$A$18,Games!$C$2:$C$18,"Missing game",0)</x:f>
        <x:v>REG</x:v>
      </x:c>
      <x:c r="AI993" t="n">
        <x:f>_xlfn.XLOOKUP($A993,Games!$A$2:$A$18,Games!$D$2:$D$18,"Missing game",0)</x:f>
        <x:v>7</x:v>
      </x:c>
      <x:c r="AJ993" s="1" t="n">
        <x:f>_xlfn.XLOOKUP($A993,Games!$A$2:$A$18,Games!$E$2:$E$18,"Missing game",0)</x:f>
        <x:v>45949</x:v>
      </x:c>
      <x:c r="AK993" t="str">
        <x:f>_xlfn.XLOOKUP($A993,Games!$A$2:$A$18,Games!$F$2:$F$18,"Missing game",0)</x:f>
        <x:v>Sunday</x:v>
      </x:c>
      <x:c r="AL993" t="str">
        <x:f>_xlfn.XLOOKUP($A993,Games!$A$2:$A$18,Games!$G$2:$G$18,"Missing game",0)</x:f>
        <x:v>PHI</x:v>
      </x:c>
      <x:c r="AM993" t="n">
        <x:f>_xlfn.XLOOKUP($A993,Games!$A$2:$A$18,Games!$H$2:$H$18,"Missing game",0)</x:f>
        <x:v>28</x:v>
      </x:c>
      <x:c r="AN993" t="str">
        <x:f>_xlfn.XLOOKUP($A993,Games!$A$2:$A$18,Games!$I$2:$I$18,"Missing game",0)</x:f>
        <x:v>MIN</x:v>
      </x:c>
      <x:c r="AO993" t="n">
        <x:f>_xlfn.XLOOKUP($A993,Games!$A$2:$A$18,Games!$J$2:$J$18,"Missing game",0)</x:f>
        <x:v>22</x:v>
      </x:c>
      <x:c r="AP993" t="n">
        <x:f>_xlfn.XLOOKUP($A993,Games!$A$2:$A$18,Games!$K$2:$K$18,"Missing game",0)</x:f>
        <x:v>-6</x:v>
      </x:c>
      <x:c r="AQ993" t="n">
        <x:f>_xlfn.XLOOKUP($A993,Games!$A$2:$A$18,Games!$L$2:$L$18,"Missing game",0)</x:f>
        <x:v>50</x:v>
      </x:c>
      <x:c r="AR993" t="n">
        <x:f>_xlfn.XLOOKUP($A993,Games!$A$2:$A$18,Games!$M$2:$M$18,"Missing game",0)</x:f>
        <x:v>0</x:v>
      </x:c>
      <x:c r="AS993" t="str">
        <x:f>_xlfn.XLOOKUP($A993,Games!$A$2:$A$18,Games!$N$2:$N$18,"Missing game",0)</x:f>
        <x:v>dome</x:v>
      </x:c>
      <x:c r="AT993" t="str">
        <x:f>_xlfn.XLOOKUP($A993,Games!$A$2:$A$18,Games!$O$2:$O$18,"Missing game",0)</x:f>
        <x:v>sportturf</x:v>
      </x:c>
      <x:c r="AU993" t="str">
        <x:f>_xlfn.XLOOKUP($A993,Games!$A$2:$A$18,Games!$P$2:$P$18,"Missing game",0)</x:f>
      </x:c>
      <x:c r="AV993" t="str">
        <x:f>_xlfn.XLOOKUP($A993,Games!$A$2:$A$18,Games!$Q$2:$Q$18,"Missing game",0)</x:f>
      </x:c>
      <x:c r="AW993" t="str">
        <x:f>_xlfn.XLOOKUP($A993,Games!$A$2:$A$18,Games!$R$2:$R$18,"Missing game",0)</x:f>
        <x:v>U.S. Bank Stadium</x:v>
      </x:c>
    </x:row>
    <x:row r="994">
      <x:c r="A994" t="str">
        <x:v>2025_07_PHI_MIN</x:v>
      </x:c>
      <x:c r="B994" t="n">
        <x:v>3617</x:v>
      </x:c>
      <x:c r="C994" t="n">
        <x:v>4</x:v>
      </x:c>
      <x:c r="D994" t="str">
        <x:v>03:45</x:v>
      </x:c>
      <x:c r="E994" t="n">
        <x:v>2</x:v>
      </x:c>
      <x:c r="F994" t="n">
        <x:v>10</x:v>
      </x:c>
      <x:c r="G994" t="str">
        <x:v>MIN</x:v>
      </x:c>
      <x:c r="H994" t="str">
        <x:v>PHI</x:v>
      </x:c>
      <x:c r="I994" t="str">
        <x:v>PHI</x:v>
      </x:c>
      <x:c r="J994" t="n">
        <x:v>23</x:v>
      </x:c>
      <x:c r="K994" t="str">
        <x:v>(3:45) (Shotgun) 11-C.Wentz pass short left to 3-J.Addison to PHI 15 for 8 yards (7-K.Ringo).</x:v>
      </x:c>
      <x:c r="L994" t="str">
        <x:v>pass</x:v>
      </x:c>
      <x:c r="M994" t="n">
        <x:v>8</x:v>
      </x:c>
      <x:c r="N994" t="n">
        <x:v>1</x:v>
      </x:c>
      <x:c r="O994" t="n">
        <x:v>0</x:v>
      </x:c>
      <x:c r="P994" t="str">
        <x:v>short</x:v>
      </x:c>
      <x:c r="Q994" t="str">
        <x:v>left</x:v>
      </x:c>
      <x:c r="R994" t="n">
        <x:v>7</x:v>
      </x:c>
      <x:c r="S994" t="n">
        <x:v>1</x:v>
      </x:c>
      <x:c r="T994"/>
      <x:c r="U994"/>
      <x:c r="V994" t="n">
        <x:v>1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/>
      <x:c r="AC994" t="n">
        <x:v>0</x:v>
      </x:c>
      <x:c r="AD994" t="n">
        <x:v>0.4610459107789211</x:v>
      </x:c>
      <x:c r="AE994" t="n">
        <x:v>1</x:v>
      </x:c>
      <x:c r="AF994" t="n">
        <x:v>-0.0203869491815567</x:v>
      </x:c>
      <x:c r="AG994" t="n">
        <x:f>_xlfn.XLOOKUP($A994,Games!$A$2:$A$18,Games!$B$2:$B$18,"Missing game",0)</x:f>
        <x:v>2025</x:v>
      </x:c>
      <x:c r="AH994" t="str">
        <x:f>_xlfn.XLOOKUP($A994,Games!$A$2:$A$18,Games!$C$2:$C$18,"Missing game",0)</x:f>
        <x:v>REG</x:v>
      </x:c>
      <x:c r="AI994" t="n">
        <x:f>_xlfn.XLOOKUP($A994,Games!$A$2:$A$18,Games!$D$2:$D$18,"Missing game",0)</x:f>
        <x:v>7</x:v>
      </x:c>
      <x:c r="AJ994" s="1" t="n">
        <x:f>_xlfn.XLOOKUP($A994,Games!$A$2:$A$18,Games!$E$2:$E$18,"Missing game",0)</x:f>
        <x:v>45949</x:v>
      </x:c>
      <x:c r="AK994" t="str">
        <x:f>_xlfn.XLOOKUP($A994,Games!$A$2:$A$18,Games!$F$2:$F$18,"Missing game",0)</x:f>
        <x:v>Sunday</x:v>
      </x:c>
      <x:c r="AL994" t="str">
        <x:f>_xlfn.XLOOKUP($A994,Games!$A$2:$A$18,Games!$G$2:$G$18,"Missing game",0)</x:f>
        <x:v>PHI</x:v>
      </x:c>
      <x:c r="AM994" t="n">
        <x:f>_xlfn.XLOOKUP($A994,Games!$A$2:$A$18,Games!$H$2:$H$18,"Missing game",0)</x:f>
        <x:v>28</x:v>
      </x:c>
      <x:c r="AN994" t="str">
        <x:f>_xlfn.XLOOKUP($A994,Games!$A$2:$A$18,Games!$I$2:$I$18,"Missing game",0)</x:f>
        <x:v>MIN</x:v>
      </x:c>
      <x:c r="AO994" t="n">
        <x:f>_xlfn.XLOOKUP($A994,Games!$A$2:$A$18,Games!$J$2:$J$18,"Missing game",0)</x:f>
        <x:v>22</x:v>
      </x:c>
      <x:c r="AP994" t="n">
        <x:f>_xlfn.XLOOKUP($A994,Games!$A$2:$A$18,Games!$K$2:$K$18,"Missing game",0)</x:f>
        <x:v>-6</x:v>
      </x:c>
      <x:c r="AQ994" t="n">
        <x:f>_xlfn.XLOOKUP($A994,Games!$A$2:$A$18,Games!$L$2:$L$18,"Missing game",0)</x:f>
        <x:v>50</x:v>
      </x:c>
      <x:c r="AR994" t="n">
        <x:f>_xlfn.XLOOKUP($A994,Games!$A$2:$A$18,Games!$M$2:$M$18,"Missing game",0)</x:f>
        <x:v>0</x:v>
      </x:c>
      <x:c r="AS994" t="str">
        <x:f>_xlfn.XLOOKUP($A994,Games!$A$2:$A$18,Games!$N$2:$N$18,"Missing game",0)</x:f>
        <x:v>dome</x:v>
      </x:c>
      <x:c r="AT994" t="str">
        <x:f>_xlfn.XLOOKUP($A994,Games!$A$2:$A$18,Games!$O$2:$O$18,"Missing game",0)</x:f>
        <x:v>sportturf</x:v>
      </x:c>
      <x:c r="AU994" t="str">
        <x:f>_xlfn.XLOOKUP($A994,Games!$A$2:$A$18,Games!$P$2:$P$18,"Missing game",0)</x:f>
      </x:c>
      <x:c r="AV994" t="str">
        <x:f>_xlfn.XLOOKUP($A994,Games!$A$2:$A$18,Games!$Q$2:$Q$18,"Missing game",0)</x:f>
      </x:c>
      <x:c r="AW994" t="str">
        <x:f>_xlfn.XLOOKUP($A994,Games!$A$2:$A$18,Games!$R$2:$R$18,"Missing game",0)</x:f>
        <x:v>U.S. Bank Stadium</x:v>
      </x:c>
    </x:row>
    <x:row r="995">
      <x:c r="A995" t="str">
        <x:v>2025_07_PHI_MIN</x:v>
      </x:c>
      <x:c r="B995" t="n">
        <x:v>3642</x:v>
      </x:c>
      <x:c r="C995" t="n">
        <x:v>4</x:v>
      </x:c>
      <x:c r="D995" t="str">
        <x:v>03:05</x:v>
      </x:c>
      <x:c r="E995" t="n">
        <x:v>3</x:v>
      </x:c>
      <x:c r="F995" t="n">
        <x:v>2</x:v>
      </x:c>
      <x:c r="G995" t="str">
        <x:v>MIN</x:v>
      </x:c>
      <x:c r="H995" t="str">
        <x:v>PHI</x:v>
      </x:c>
      <x:c r="I995" t="str">
        <x:v>PHI</x:v>
      </x:c>
      <x:c r="J995" t="n">
        <x:v>15</x:v>
      </x:c>
      <x:c r="K995" t="str">
        <x:v>(3:05) (No Huddle, Shotgun) 11-C.Wentz pass short right to 87-T.Hockenson for 15 yards, TOUCHDOWN. The Replay Official reviewed the pass completion ruling, and the play was REVERSED. (No Huddle, Shotgun) 11-C.Wentz pass incomplete short right to 87-T.Hockenson.</x:v>
      </x:c>
      <x:c r="L995" t="str">
        <x:v>pass</x:v>
      </x:c>
      <x:c r="M995" t="n">
        <x:v>0</x:v>
      </x:c>
      <x:c r="N995" t="n">
        <x:v>1</x:v>
      </x:c>
      <x:c r="O995" t="n">
        <x:v>1</x:v>
      </x:c>
      <x:c r="P995" t="str">
        <x:v>short</x:v>
      </x:c>
      <x:c r="Q995" t="str">
        <x:v>right</x:v>
      </x:c>
      <x:c r="R995" t="n">
        <x:v>15</x:v>
      </x:c>
      <x:c r="S995"/>
      <x:c r="T995"/>
      <x:c r="U995"/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/>
      <x:c r="AC995" t="n">
        <x:v>0</x:v>
      </x:c>
      <x:c r="AD995" t="n">
        <x:v>-1.4729694152483717</x:v>
      </x:c>
      <x:c r="AE995" t="n">
        <x:v>0</x:v>
      </x:c>
      <x:c r="AF995" t="n">
        <x:v>-0.04949373006820679</x:v>
      </x:c>
      <x:c r="AG995" t="n">
        <x:f>_xlfn.XLOOKUP($A995,Games!$A$2:$A$18,Games!$B$2:$B$18,"Missing game",0)</x:f>
        <x:v>2025</x:v>
      </x:c>
      <x:c r="AH995" t="str">
        <x:f>_xlfn.XLOOKUP($A995,Games!$A$2:$A$18,Games!$C$2:$C$18,"Missing game",0)</x:f>
        <x:v>REG</x:v>
      </x:c>
      <x:c r="AI995" t="n">
        <x:f>_xlfn.XLOOKUP($A995,Games!$A$2:$A$18,Games!$D$2:$D$18,"Missing game",0)</x:f>
        <x:v>7</x:v>
      </x:c>
      <x:c r="AJ995" s="1" t="n">
        <x:f>_xlfn.XLOOKUP($A995,Games!$A$2:$A$18,Games!$E$2:$E$18,"Missing game",0)</x:f>
        <x:v>45949</x:v>
      </x:c>
      <x:c r="AK995" t="str">
        <x:f>_xlfn.XLOOKUP($A995,Games!$A$2:$A$18,Games!$F$2:$F$18,"Missing game",0)</x:f>
        <x:v>Sunday</x:v>
      </x:c>
      <x:c r="AL995" t="str">
        <x:f>_xlfn.XLOOKUP($A995,Games!$A$2:$A$18,Games!$G$2:$G$18,"Missing game",0)</x:f>
        <x:v>PHI</x:v>
      </x:c>
      <x:c r="AM995" t="n">
        <x:f>_xlfn.XLOOKUP($A995,Games!$A$2:$A$18,Games!$H$2:$H$18,"Missing game",0)</x:f>
        <x:v>28</x:v>
      </x:c>
      <x:c r="AN995" t="str">
        <x:f>_xlfn.XLOOKUP($A995,Games!$A$2:$A$18,Games!$I$2:$I$18,"Missing game",0)</x:f>
        <x:v>MIN</x:v>
      </x:c>
      <x:c r="AO995" t="n">
        <x:f>_xlfn.XLOOKUP($A995,Games!$A$2:$A$18,Games!$J$2:$J$18,"Missing game",0)</x:f>
        <x:v>22</x:v>
      </x:c>
      <x:c r="AP995" t="n">
        <x:f>_xlfn.XLOOKUP($A995,Games!$A$2:$A$18,Games!$K$2:$K$18,"Missing game",0)</x:f>
        <x:v>-6</x:v>
      </x:c>
      <x:c r="AQ995" t="n">
        <x:f>_xlfn.XLOOKUP($A995,Games!$A$2:$A$18,Games!$L$2:$L$18,"Missing game",0)</x:f>
        <x:v>50</x:v>
      </x:c>
      <x:c r="AR995" t="n">
        <x:f>_xlfn.XLOOKUP($A995,Games!$A$2:$A$18,Games!$M$2:$M$18,"Missing game",0)</x:f>
        <x:v>0</x:v>
      </x:c>
      <x:c r="AS995" t="str">
        <x:f>_xlfn.XLOOKUP($A995,Games!$A$2:$A$18,Games!$N$2:$N$18,"Missing game",0)</x:f>
        <x:v>dome</x:v>
      </x:c>
      <x:c r="AT995" t="str">
        <x:f>_xlfn.XLOOKUP($A995,Games!$A$2:$A$18,Games!$O$2:$O$18,"Missing game",0)</x:f>
        <x:v>sportturf</x:v>
      </x:c>
      <x:c r="AU995" t="str">
        <x:f>_xlfn.XLOOKUP($A995,Games!$A$2:$A$18,Games!$P$2:$P$18,"Missing game",0)</x:f>
      </x:c>
      <x:c r="AV995" t="str">
        <x:f>_xlfn.XLOOKUP($A995,Games!$A$2:$A$18,Games!$Q$2:$Q$18,"Missing game",0)</x:f>
      </x:c>
      <x:c r="AW995" t="str">
        <x:f>_xlfn.XLOOKUP($A995,Games!$A$2:$A$18,Games!$R$2:$R$18,"Missing game",0)</x:f>
        <x:v>U.S. Bank Stadium</x:v>
      </x:c>
    </x:row>
    <x:row r="996">
      <x:c r="A996" t="str">
        <x:v>2025_07_PHI_MIN</x:v>
      </x:c>
      <x:c r="B996" t="n">
        <x:v>3703</x:v>
      </x:c>
      <x:c r="C996" t="n">
        <x:v>4</x:v>
      </x:c>
      <x:c r="D996" t="str">
        <x:v>02:58</x:v>
      </x:c>
      <x:c r="E996" t="n">
        <x:v>4</x:v>
      </x:c>
      <x:c r="F996" t="n">
        <x:v>2</x:v>
      </x:c>
      <x:c r="G996" t="str">
        <x:v>MIN</x:v>
      </x:c>
      <x:c r="H996" t="str">
        <x:v>PHI</x:v>
      </x:c>
      <x:c r="I996" t="str">
        <x:v>PHI</x:v>
      </x:c>
      <x:c r="J996" t="n">
        <x:v>15</x:v>
      </x:c>
      <x:c r="K996" t="str">
        <x:v>(2:58) (Shotgun) 11-C.Wentz pass short right to 3-J.Addison pushed ob at PHI 10 for 5 yards (33-C.DeJean).</x:v>
      </x:c>
      <x:c r="L996" t="str">
        <x:v>pass</x:v>
      </x:c>
      <x:c r="M996" t="n">
        <x:v>5</x:v>
      </x:c>
      <x:c r="N996" t="n">
        <x:v>1</x:v>
      </x:c>
      <x:c r="O996" t="n">
        <x:v>0</x:v>
      </x:c>
      <x:c r="P996" t="str">
        <x:v>short</x:v>
      </x:c>
      <x:c r="Q996" t="str">
        <x:v>right</x:v>
      </x:c>
      <x:c r="R996" t="n">
        <x:v>1</x:v>
      </x:c>
      <x:c r="S996" t="n">
        <x:v>4</x:v>
      </x:c>
      <x:c r="T996"/>
      <x:c r="U996"/>
      <x:c r="V996" t="n">
        <x:v>1</x:v>
      </x:c>
      <x:c r="W996" t="n">
        <x:v>1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/>
      <x:c r="AC996" t="n">
        <x:v>0</x:v>
      </x:c>
      <x:c r="AD996" t="n">
        <x:v>2.138757286593318</x:v>
      </x:c>
      <x:c r="AE996" t="n">
        <x:v>1</x:v>
      </x:c>
      <x:c r="AF996" t="n">
        <x:v>0.08718276023864746</x:v>
      </x:c>
      <x:c r="AG996" t="n">
        <x:f>_xlfn.XLOOKUP($A996,Games!$A$2:$A$18,Games!$B$2:$B$18,"Missing game",0)</x:f>
        <x:v>2025</x:v>
      </x:c>
      <x:c r="AH996" t="str">
        <x:f>_xlfn.XLOOKUP($A996,Games!$A$2:$A$18,Games!$C$2:$C$18,"Missing game",0)</x:f>
        <x:v>REG</x:v>
      </x:c>
      <x:c r="AI996" t="n">
        <x:f>_xlfn.XLOOKUP($A996,Games!$A$2:$A$18,Games!$D$2:$D$18,"Missing game",0)</x:f>
        <x:v>7</x:v>
      </x:c>
      <x:c r="AJ996" s="1" t="n">
        <x:f>_xlfn.XLOOKUP($A996,Games!$A$2:$A$18,Games!$E$2:$E$18,"Missing game",0)</x:f>
        <x:v>45949</x:v>
      </x:c>
      <x:c r="AK996" t="str">
        <x:f>_xlfn.XLOOKUP($A996,Games!$A$2:$A$18,Games!$F$2:$F$18,"Missing game",0)</x:f>
        <x:v>Sunday</x:v>
      </x:c>
      <x:c r="AL996" t="str">
        <x:f>_xlfn.XLOOKUP($A996,Games!$A$2:$A$18,Games!$G$2:$G$18,"Missing game",0)</x:f>
        <x:v>PHI</x:v>
      </x:c>
      <x:c r="AM996" t="n">
        <x:f>_xlfn.XLOOKUP($A996,Games!$A$2:$A$18,Games!$H$2:$H$18,"Missing game",0)</x:f>
        <x:v>28</x:v>
      </x:c>
      <x:c r="AN996" t="str">
        <x:f>_xlfn.XLOOKUP($A996,Games!$A$2:$A$18,Games!$I$2:$I$18,"Missing game",0)</x:f>
        <x:v>MIN</x:v>
      </x:c>
      <x:c r="AO996" t="n">
        <x:f>_xlfn.XLOOKUP($A996,Games!$A$2:$A$18,Games!$J$2:$J$18,"Missing game",0)</x:f>
        <x:v>22</x:v>
      </x:c>
      <x:c r="AP996" t="n">
        <x:f>_xlfn.XLOOKUP($A996,Games!$A$2:$A$18,Games!$K$2:$K$18,"Missing game",0)</x:f>
        <x:v>-6</x:v>
      </x:c>
      <x:c r="AQ996" t="n">
        <x:f>_xlfn.XLOOKUP($A996,Games!$A$2:$A$18,Games!$L$2:$L$18,"Missing game",0)</x:f>
        <x:v>50</x:v>
      </x:c>
      <x:c r="AR996" t="n">
        <x:f>_xlfn.XLOOKUP($A996,Games!$A$2:$A$18,Games!$M$2:$M$18,"Missing game",0)</x:f>
        <x:v>0</x:v>
      </x:c>
      <x:c r="AS996" t="str">
        <x:f>_xlfn.XLOOKUP($A996,Games!$A$2:$A$18,Games!$N$2:$N$18,"Missing game",0)</x:f>
        <x:v>dome</x:v>
      </x:c>
      <x:c r="AT996" t="str">
        <x:f>_xlfn.XLOOKUP($A996,Games!$A$2:$A$18,Games!$O$2:$O$18,"Missing game",0)</x:f>
        <x:v>sportturf</x:v>
      </x:c>
      <x:c r="AU996" t="str">
        <x:f>_xlfn.XLOOKUP($A996,Games!$A$2:$A$18,Games!$P$2:$P$18,"Missing game",0)</x:f>
      </x:c>
      <x:c r="AV996" t="str">
        <x:f>_xlfn.XLOOKUP($A996,Games!$A$2:$A$18,Games!$Q$2:$Q$18,"Missing game",0)</x:f>
      </x:c>
      <x:c r="AW996" t="str">
        <x:f>_xlfn.XLOOKUP($A996,Games!$A$2:$A$18,Games!$R$2:$R$18,"Missing game",0)</x:f>
        <x:v>U.S. Bank Stadium</x:v>
      </x:c>
    </x:row>
    <x:row r="997">
      <x:c r="A997" t="str">
        <x:v>2025_07_PHI_MIN</x:v>
      </x:c>
      <x:c r="B997" t="n">
        <x:v>3733</x:v>
      </x:c>
      <x:c r="C997" t="n">
        <x:v>4</x:v>
      </x:c>
      <x:c r="D997" t="str">
        <x:v>02:54</x:v>
      </x:c>
      <x:c r="E997" t="n">
        <x:v>1</x:v>
      </x:c>
      <x:c r="F997" t="n">
        <x:v>10</x:v>
      </x:c>
      <x:c r="G997" t="str">
        <x:v>MIN</x:v>
      </x:c>
      <x:c r="H997" t="str">
        <x:v>PHI</x:v>
      </x:c>
      <x:c r="I997" t="str">
        <x:v>PHI</x:v>
      </x:c>
      <x:c r="J997" t="n">
        <x:v>10</x:v>
      </x:c>
      <x:c r="K997" t="str">
        <x:v>(2:54) (Shotgun) 11-C.Wentz sacked at PHI 18 for -8 yards (0-J.Uche).</x:v>
      </x:c>
      <x:c r="L997" t="str">
        <x:v>pass</x:v>
      </x:c>
      <x:c r="M997" t="n">
        <x:v>-8</x:v>
      </x:c>
      <x:c r="N997" t="n">
        <x:v>1</x:v>
      </x:c>
      <x:c r="O997" t="n">
        <x:v>0</x:v>
      </x:c>
      <x:c r="P997"/>
      <x:c r="Q997"/>
      <x:c r="R997"/>
      <x:c r="S997"/>
      <x:c r="T997"/>
      <x:c r="U997"/>
      <x:c r="V997" t="n">
        <x:v>0</x:v>
      </x:c>
      <x:c r="W997" t="n">
        <x:v>0</x:v>
      </x:c>
      <x:c r="X997" t="n">
        <x:v>1</x:v>
      </x:c>
      <x:c r="Y997" t="n">
        <x:v>0</x:v>
      </x:c>
      <x:c r="Z997" t="n">
        <x:v>0</x:v>
      </x:c>
      <x:c r="AA997" t="n">
        <x:v>0</x:v>
      </x:c>
      <x:c r="AB997"/>
      <x:c r="AC997" t="n">
        <x:v>0</x:v>
      </x:c>
      <x:c r="AD997" t="n">
        <x:v>-1.4661452766740695</x:v>
      </x:c>
      <x:c r="AE997" t="n">
        <x:v>0</x:v>
      </x:c>
      <x:c r="AF997" t="n">
        <x:v>-0.04242900758981705</x:v>
      </x:c>
      <x:c r="AG997" t="n">
        <x:f>_xlfn.XLOOKUP($A997,Games!$A$2:$A$18,Games!$B$2:$B$18,"Missing game",0)</x:f>
        <x:v>2025</x:v>
      </x:c>
      <x:c r="AH997" t="str">
        <x:f>_xlfn.XLOOKUP($A997,Games!$A$2:$A$18,Games!$C$2:$C$18,"Missing game",0)</x:f>
        <x:v>REG</x:v>
      </x:c>
      <x:c r="AI997" t="n">
        <x:f>_xlfn.XLOOKUP($A997,Games!$A$2:$A$18,Games!$D$2:$D$18,"Missing game",0)</x:f>
        <x:v>7</x:v>
      </x:c>
      <x:c r="AJ997" s="1" t="n">
        <x:f>_xlfn.XLOOKUP($A997,Games!$A$2:$A$18,Games!$E$2:$E$18,"Missing game",0)</x:f>
        <x:v>45949</x:v>
      </x:c>
      <x:c r="AK997" t="str">
        <x:f>_xlfn.XLOOKUP($A997,Games!$A$2:$A$18,Games!$F$2:$F$18,"Missing game",0)</x:f>
        <x:v>Sunday</x:v>
      </x:c>
      <x:c r="AL997" t="str">
        <x:f>_xlfn.XLOOKUP($A997,Games!$A$2:$A$18,Games!$G$2:$G$18,"Missing game",0)</x:f>
        <x:v>PHI</x:v>
      </x:c>
      <x:c r="AM997" t="n">
        <x:f>_xlfn.XLOOKUP($A997,Games!$A$2:$A$18,Games!$H$2:$H$18,"Missing game",0)</x:f>
        <x:v>28</x:v>
      </x:c>
      <x:c r="AN997" t="str">
        <x:f>_xlfn.XLOOKUP($A997,Games!$A$2:$A$18,Games!$I$2:$I$18,"Missing game",0)</x:f>
        <x:v>MIN</x:v>
      </x:c>
      <x:c r="AO997" t="n">
        <x:f>_xlfn.XLOOKUP($A997,Games!$A$2:$A$18,Games!$J$2:$J$18,"Missing game",0)</x:f>
        <x:v>22</x:v>
      </x:c>
      <x:c r="AP997" t="n">
        <x:f>_xlfn.XLOOKUP($A997,Games!$A$2:$A$18,Games!$K$2:$K$18,"Missing game",0)</x:f>
        <x:v>-6</x:v>
      </x:c>
      <x:c r="AQ997" t="n">
        <x:f>_xlfn.XLOOKUP($A997,Games!$A$2:$A$18,Games!$L$2:$L$18,"Missing game",0)</x:f>
        <x:v>50</x:v>
      </x:c>
      <x:c r="AR997" t="n">
        <x:f>_xlfn.XLOOKUP($A997,Games!$A$2:$A$18,Games!$M$2:$M$18,"Missing game",0)</x:f>
        <x:v>0</x:v>
      </x:c>
      <x:c r="AS997" t="str">
        <x:f>_xlfn.XLOOKUP($A997,Games!$A$2:$A$18,Games!$N$2:$N$18,"Missing game",0)</x:f>
        <x:v>dome</x:v>
      </x:c>
      <x:c r="AT997" t="str">
        <x:f>_xlfn.XLOOKUP($A997,Games!$A$2:$A$18,Games!$O$2:$O$18,"Missing game",0)</x:f>
        <x:v>sportturf</x:v>
      </x:c>
      <x:c r="AU997" t="str">
        <x:f>_xlfn.XLOOKUP($A997,Games!$A$2:$A$18,Games!$P$2:$P$18,"Missing game",0)</x:f>
      </x:c>
      <x:c r="AV997" t="str">
        <x:f>_xlfn.XLOOKUP($A997,Games!$A$2:$A$18,Games!$Q$2:$Q$18,"Missing game",0)</x:f>
      </x:c>
      <x:c r="AW997" t="str">
        <x:f>_xlfn.XLOOKUP($A997,Games!$A$2:$A$18,Games!$R$2:$R$18,"Missing game",0)</x:f>
        <x:v>U.S. Bank Stadium</x:v>
      </x:c>
    </x:row>
    <x:row r="998">
      <x:c r="A998" t="str">
        <x:v>2025_07_PHI_MIN</x:v>
      </x:c>
      <x:c r="B998" t="n">
        <x:v>3753</x:v>
      </x:c>
      <x:c r="C998" t="n">
        <x:v>4</x:v>
      </x:c>
      <x:c r="D998" t="str">
        <x:v>02:28</x:v>
      </x:c>
      <x:c r="E998" t="n">
        <x:v>2</x:v>
      </x:c>
      <x:c r="F998" t="n">
        <x:v>18</x:v>
      </x:c>
      <x:c r="G998" t="str">
        <x:v>MIN</x:v>
      </x:c>
      <x:c r="H998" t="str">
        <x:v>PHI</x:v>
      </x:c>
      <x:c r="I998" t="str">
        <x:v>PHI</x:v>
      </x:c>
      <x:c r="J998" t="n">
        <x:v>18</x:v>
      </x:c>
      <x:c r="K998" t="str">
        <x:v>(2:28) (No Huddle, Shotgun) 11-C.Wentz pass short middle to 87-T.Hockenson to PHI 11 for 7 yards (33-C.DeJean).</x:v>
      </x:c>
      <x:c r="L998" t="str">
        <x:v>pass</x:v>
      </x:c>
      <x:c r="M998" t="n">
        <x:v>7</x:v>
      </x:c>
      <x:c r="N998" t="n">
        <x:v>1</x:v>
      </x:c>
      <x:c r="O998" t="n">
        <x:v>1</x:v>
      </x:c>
      <x:c r="P998" t="str">
        <x:v>short</x:v>
      </x:c>
      <x:c r="Q998" t="str">
        <x:v>middle</x:v>
      </x:c>
      <x:c r="R998" t="n">
        <x:v>6</x:v>
      </x:c>
      <x:c r="S998" t="n">
        <x:v>1</x:v>
      </x:c>
      <x:c r="T998"/>
      <x:c r="U998"/>
      <x:c r="V998" t="n">
        <x:v>1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/>
      <x:c r="AC998" t="n">
        <x:v>0</x:v>
      </x:c>
      <x:c r="AD998" t="n">
        <x:v>0.06015854387078434</x:v>
      </x:c>
      <x:c r="AE998" t="n">
        <x:v>1</x:v>
      </x:c>
      <x:c r="AF998" t="n">
        <x:v>-0.006959453225135803</x:v>
      </x:c>
      <x:c r="AG998" t="n">
        <x:f>_xlfn.XLOOKUP($A998,Games!$A$2:$A$18,Games!$B$2:$B$18,"Missing game",0)</x:f>
        <x:v>2025</x:v>
      </x:c>
      <x:c r="AH998" t="str">
        <x:f>_xlfn.XLOOKUP($A998,Games!$A$2:$A$18,Games!$C$2:$C$18,"Missing game",0)</x:f>
        <x:v>REG</x:v>
      </x:c>
      <x:c r="AI998" t="n">
        <x:f>_xlfn.XLOOKUP($A998,Games!$A$2:$A$18,Games!$D$2:$D$18,"Missing game",0)</x:f>
        <x:v>7</x:v>
      </x:c>
      <x:c r="AJ998" s="1" t="n">
        <x:f>_xlfn.XLOOKUP($A998,Games!$A$2:$A$18,Games!$E$2:$E$18,"Missing game",0)</x:f>
        <x:v>45949</x:v>
      </x:c>
      <x:c r="AK998" t="str">
        <x:f>_xlfn.XLOOKUP($A998,Games!$A$2:$A$18,Games!$F$2:$F$18,"Missing game",0)</x:f>
        <x:v>Sunday</x:v>
      </x:c>
      <x:c r="AL998" t="str">
        <x:f>_xlfn.XLOOKUP($A998,Games!$A$2:$A$18,Games!$G$2:$G$18,"Missing game",0)</x:f>
        <x:v>PHI</x:v>
      </x:c>
      <x:c r="AM998" t="n">
        <x:f>_xlfn.XLOOKUP($A998,Games!$A$2:$A$18,Games!$H$2:$H$18,"Missing game",0)</x:f>
        <x:v>28</x:v>
      </x:c>
      <x:c r="AN998" t="str">
        <x:f>_xlfn.XLOOKUP($A998,Games!$A$2:$A$18,Games!$I$2:$I$18,"Missing game",0)</x:f>
        <x:v>MIN</x:v>
      </x:c>
      <x:c r="AO998" t="n">
        <x:f>_xlfn.XLOOKUP($A998,Games!$A$2:$A$18,Games!$J$2:$J$18,"Missing game",0)</x:f>
        <x:v>22</x:v>
      </x:c>
      <x:c r="AP998" t="n">
        <x:f>_xlfn.XLOOKUP($A998,Games!$A$2:$A$18,Games!$K$2:$K$18,"Missing game",0)</x:f>
        <x:v>-6</x:v>
      </x:c>
      <x:c r="AQ998" t="n">
        <x:f>_xlfn.XLOOKUP($A998,Games!$A$2:$A$18,Games!$L$2:$L$18,"Missing game",0)</x:f>
        <x:v>50</x:v>
      </x:c>
      <x:c r="AR998" t="n">
        <x:f>_xlfn.XLOOKUP($A998,Games!$A$2:$A$18,Games!$M$2:$M$18,"Missing game",0)</x:f>
        <x:v>0</x:v>
      </x:c>
      <x:c r="AS998" t="str">
        <x:f>_xlfn.XLOOKUP($A998,Games!$A$2:$A$18,Games!$N$2:$N$18,"Missing game",0)</x:f>
        <x:v>dome</x:v>
      </x:c>
      <x:c r="AT998" t="str">
        <x:f>_xlfn.XLOOKUP($A998,Games!$A$2:$A$18,Games!$O$2:$O$18,"Missing game",0)</x:f>
        <x:v>sportturf</x:v>
      </x:c>
      <x:c r="AU998" t="str">
        <x:f>_xlfn.XLOOKUP($A998,Games!$A$2:$A$18,Games!$P$2:$P$18,"Missing game",0)</x:f>
      </x:c>
      <x:c r="AV998" t="str">
        <x:f>_xlfn.XLOOKUP($A998,Games!$A$2:$A$18,Games!$Q$2:$Q$18,"Missing game",0)</x:f>
      </x:c>
      <x:c r="AW998" t="str">
        <x:f>_xlfn.XLOOKUP($A998,Games!$A$2:$A$18,Games!$R$2:$R$18,"Missing game",0)</x:f>
        <x:v>U.S. Bank Stadium</x:v>
      </x:c>
    </x:row>
    <x:row r="999">
      <x:c r="A999" t="str">
        <x:v>2025_07_PHI_MIN</x:v>
      </x:c>
      <x:c r="B999" t="n">
        <x:v>3778</x:v>
      </x:c>
      <x:c r="C999" t="n">
        <x:v>4</x:v>
      </x:c>
      <x:c r="D999" t="str">
        <x:v>02:05</x:v>
      </x:c>
      <x:c r="E999" t="n">
        <x:v>3</x:v>
      </x:c>
      <x:c r="F999" t="n">
        <x:v>11</x:v>
      </x:c>
      <x:c r="G999" t="str">
        <x:v>MIN</x:v>
      </x:c>
      <x:c r="H999" t="str">
        <x:v>PHI</x:v>
      </x:c>
      <x:c r="I999" t="str">
        <x:v>PHI</x:v>
      </x:c>
      <x:c r="J999" t="n">
        <x:v>11</x:v>
      </x:c>
      <x:c r="K999" t="str">
        <x:v>(2:05) (No Huddle, Shotgun) 11-C.Wentz pass incomplete short left to 1-J.Nailor.</x:v>
      </x:c>
      <x:c r="L999" t="str">
        <x:v>pass</x:v>
      </x:c>
      <x:c r="M999" t="n">
        <x:v>0</x:v>
      </x:c>
      <x:c r="N999" t="n">
        <x:v>1</x:v>
      </x:c>
      <x:c r="O999" t="n">
        <x:v>1</x:v>
      </x:c>
      <x:c r="P999" t="str">
        <x:v>short</x:v>
      </x:c>
      <x:c r="Q999" t="str">
        <x:v>left</x:v>
      </x:c>
      <x:c r="R999" t="n">
        <x:v>11</x:v>
      </x:c>
      <x:c r="S999"/>
      <x:c r="T999"/>
      <x:c r="U999"/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/>
      <x:c r="AC999" t="n">
        <x:v>0</x:v>
      </x:c>
      <x:c r="AD999" t="n">
        <x:v>-0.6605754609227312</x:v>
      </x:c>
      <x:c r="AE999" t="n">
        <x:v>0</x:v>
      </x:c>
      <x:c r="AF999" t="n">
        <x:v>-0.061348553746938705</x:v>
      </x:c>
      <x:c r="AG999" t="n">
        <x:f>_xlfn.XLOOKUP($A999,Games!$A$2:$A$18,Games!$B$2:$B$18,"Missing game",0)</x:f>
        <x:v>2025</x:v>
      </x:c>
      <x:c r="AH999" t="str">
        <x:f>_xlfn.XLOOKUP($A999,Games!$A$2:$A$18,Games!$C$2:$C$18,"Missing game",0)</x:f>
        <x:v>REG</x:v>
      </x:c>
      <x:c r="AI999" t="n">
        <x:f>_xlfn.XLOOKUP($A999,Games!$A$2:$A$18,Games!$D$2:$D$18,"Missing game",0)</x:f>
        <x:v>7</x:v>
      </x:c>
      <x:c r="AJ999" s="1" t="n">
        <x:f>_xlfn.XLOOKUP($A999,Games!$A$2:$A$18,Games!$E$2:$E$18,"Missing game",0)</x:f>
        <x:v>45949</x:v>
      </x:c>
      <x:c r="AK999" t="str">
        <x:f>_xlfn.XLOOKUP($A999,Games!$A$2:$A$18,Games!$F$2:$F$18,"Missing game",0)</x:f>
        <x:v>Sunday</x:v>
      </x:c>
      <x:c r="AL999" t="str">
        <x:f>_xlfn.XLOOKUP($A999,Games!$A$2:$A$18,Games!$G$2:$G$18,"Missing game",0)</x:f>
        <x:v>PHI</x:v>
      </x:c>
      <x:c r="AM999" t="n">
        <x:f>_xlfn.XLOOKUP($A999,Games!$A$2:$A$18,Games!$H$2:$H$18,"Missing game",0)</x:f>
        <x:v>28</x:v>
      </x:c>
      <x:c r="AN999" t="str">
        <x:f>_xlfn.XLOOKUP($A999,Games!$A$2:$A$18,Games!$I$2:$I$18,"Missing game",0)</x:f>
        <x:v>MIN</x:v>
      </x:c>
      <x:c r="AO999" t="n">
        <x:f>_xlfn.XLOOKUP($A999,Games!$A$2:$A$18,Games!$J$2:$J$18,"Missing game",0)</x:f>
        <x:v>22</x:v>
      </x:c>
      <x:c r="AP999" t="n">
        <x:f>_xlfn.XLOOKUP($A999,Games!$A$2:$A$18,Games!$K$2:$K$18,"Missing game",0)</x:f>
        <x:v>-6</x:v>
      </x:c>
      <x:c r="AQ999" t="n">
        <x:f>_xlfn.XLOOKUP($A999,Games!$A$2:$A$18,Games!$L$2:$L$18,"Missing game",0)</x:f>
        <x:v>50</x:v>
      </x:c>
      <x:c r="AR999" t="n">
        <x:f>_xlfn.XLOOKUP($A999,Games!$A$2:$A$18,Games!$M$2:$M$18,"Missing game",0)</x:f>
        <x:v>0</x:v>
      </x:c>
      <x:c r="AS999" t="str">
        <x:f>_xlfn.XLOOKUP($A999,Games!$A$2:$A$18,Games!$N$2:$N$18,"Missing game",0)</x:f>
        <x:v>dome</x:v>
      </x:c>
      <x:c r="AT999" t="str">
        <x:f>_xlfn.XLOOKUP($A999,Games!$A$2:$A$18,Games!$O$2:$O$18,"Missing game",0)</x:f>
        <x:v>sportturf</x:v>
      </x:c>
      <x:c r="AU999" t="str">
        <x:f>_xlfn.XLOOKUP($A999,Games!$A$2:$A$18,Games!$P$2:$P$18,"Missing game",0)</x:f>
      </x:c>
      <x:c r="AV999" t="str">
        <x:f>_xlfn.XLOOKUP($A999,Games!$A$2:$A$18,Games!$Q$2:$Q$18,"Missing game",0)</x:f>
      </x:c>
      <x:c r="AW999" t="str">
        <x:f>_xlfn.XLOOKUP($A999,Games!$A$2:$A$18,Games!$R$2:$R$18,"Missing game",0)</x:f>
        <x:v>U.S. Bank Stadium</x:v>
      </x:c>
    </x:row>
    <x:row r="1000">
      <x:c r="A1000" t="str">
        <x:v>2025_07_PHI_MIN</x:v>
      </x:c>
      <x:c r="B1000" t="n">
        <x:v>3801</x:v>
      </x:c>
      <x:c r="C1000" t="n">
        <x:v>4</x:v>
      </x:c>
      <x:c r="D1000" t="str">
        <x:v>02:00</x:v>
      </x:c>
      <x:c r="E1000" t="n">
        <x:v>4</x:v>
      </x:c>
      <x:c r="F1000" t="n">
        <x:v>11</x:v>
      </x:c>
      <x:c r="G1000" t="str">
        <x:v>MIN</x:v>
      </x:c>
      <x:c r="H1000" t="str">
        <x:v>PHI</x:v>
      </x:c>
      <x:c r="I1000" t="str">
        <x:v>PHI</x:v>
      </x:c>
      <x:c r="J1000" t="n">
        <x:v>11</x:v>
      </x:c>
      <x:c r="K1000" t="str">
        <x:v>(2:00) 16-W.Reichard 29 yard field goal is GOOD, Center-42-A.DePaola, Holder-17-R.Wright.</x:v>
      </x:c>
      <x:c r="L1000" t="str">
        <x:v>field_goal</x:v>
      </x:c>
      <x:c r="M1000" t="n">
        <x:v>0</x:v>
      </x:c>
      <x:c r="N1000" t="n">
        <x:v>0</x:v>
      </x:c>
      <x:c r="O1000" t="n">
        <x:v>0</x:v>
      </x:c>
      <x:c r="P1000"/>
      <x:c r="Q1000"/>
      <x:c r="R1000"/>
      <x:c r="S1000"/>
      <x:c r="T1000"/>
      <x:c r="U1000"/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/>
      <x:c r="AC1000" t="n">
        <x:v>0</x:v>
      </x:c>
      <x:c r="AD1000" t="n">
        <x:v>0.09238998363801665</x:v>
      </x:c>
      <x:c r="AE1000" t="n">
        <x:v>1</x:v>
      </x:c>
      <x:c r="AF1000" t="n">
        <x:v>-0.020250018686056137</x:v>
      </x:c>
      <x:c r="AG1000" t="n">
        <x:f>_xlfn.XLOOKUP($A1000,Games!$A$2:$A$18,Games!$B$2:$B$18,"Missing game",0)</x:f>
        <x:v>2025</x:v>
      </x:c>
      <x:c r="AH1000" t="str">
        <x:f>_xlfn.XLOOKUP($A1000,Games!$A$2:$A$18,Games!$C$2:$C$18,"Missing game",0)</x:f>
        <x:v>REG</x:v>
      </x:c>
      <x:c r="AI1000" t="n">
        <x:f>_xlfn.XLOOKUP($A1000,Games!$A$2:$A$18,Games!$D$2:$D$18,"Missing game",0)</x:f>
        <x:v>7</x:v>
      </x:c>
      <x:c r="AJ1000" s="1" t="n">
        <x:f>_xlfn.XLOOKUP($A1000,Games!$A$2:$A$18,Games!$E$2:$E$18,"Missing game",0)</x:f>
        <x:v>45949</x:v>
      </x:c>
      <x:c r="AK1000" t="str">
        <x:f>_xlfn.XLOOKUP($A1000,Games!$A$2:$A$18,Games!$F$2:$F$18,"Missing game",0)</x:f>
        <x:v>Sunday</x:v>
      </x:c>
      <x:c r="AL1000" t="str">
        <x:f>_xlfn.XLOOKUP($A1000,Games!$A$2:$A$18,Games!$G$2:$G$18,"Missing game",0)</x:f>
        <x:v>PHI</x:v>
      </x:c>
      <x:c r="AM1000" t="n">
        <x:f>_xlfn.XLOOKUP($A1000,Games!$A$2:$A$18,Games!$H$2:$H$18,"Missing game",0)</x:f>
        <x:v>28</x:v>
      </x:c>
      <x:c r="AN1000" t="str">
        <x:f>_xlfn.XLOOKUP($A1000,Games!$A$2:$A$18,Games!$I$2:$I$18,"Missing game",0)</x:f>
        <x:v>MIN</x:v>
      </x:c>
      <x:c r="AO1000" t="n">
        <x:f>_xlfn.XLOOKUP($A1000,Games!$A$2:$A$18,Games!$J$2:$J$18,"Missing game",0)</x:f>
        <x:v>22</x:v>
      </x:c>
      <x:c r="AP1000" t="n">
        <x:f>_xlfn.XLOOKUP($A1000,Games!$A$2:$A$18,Games!$K$2:$K$18,"Missing game",0)</x:f>
        <x:v>-6</x:v>
      </x:c>
      <x:c r="AQ1000" t="n">
        <x:f>_xlfn.XLOOKUP($A1000,Games!$A$2:$A$18,Games!$L$2:$L$18,"Missing game",0)</x:f>
        <x:v>50</x:v>
      </x:c>
      <x:c r="AR1000" t="n">
        <x:f>_xlfn.XLOOKUP($A1000,Games!$A$2:$A$18,Games!$M$2:$M$18,"Missing game",0)</x:f>
        <x:v>0</x:v>
      </x:c>
      <x:c r="AS1000" t="str">
        <x:f>_xlfn.XLOOKUP($A1000,Games!$A$2:$A$18,Games!$N$2:$N$18,"Missing game",0)</x:f>
        <x:v>dome</x:v>
      </x:c>
      <x:c r="AT1000" t="str">
        <x:f>_xlfn.XLOOKUP($A1000,Games!$A$2:$A$18,Games!$O$2:$O$18,"Missing game",0)</x:f>
        <x:v>sportturf</x:v>
      </x:c>
      <x:c r="AU1000" t="str">
        <x:f>_xlfn.XLOOKUP($A1000,Games!$A$2:$A$18,Games!$P$2:$P$18,"Missing game",0)</x:f>
      </x:c>
      <x:c r="AV1000" t="str">
        <x:f>_xlfn.XLOOKUP($A1000,Games!$A$2:$A$18,Games!$Q$2:$Q$18,"Missing game",0)</x:f>
      </x:c>
      <x:c r="AW1000" t="str">
        <x:f>_xlfn.XLOOKUP($A1000,Games!$A$2:$A$18,Games!$R$2:$R$18,"Missing game",0)</x:f>
        <x:v>U.S. Bank Stadium</x:v>
      </x:c>
    </x:row>
    <x:row r="1001">
      <x:c r="A1001" t="str">
        <x:v>2025_07_PHI_MIN</x:v>
      </x:c>
      <x:c r="B1001" t="n">
        <x:v>3828</x:v>
      </x:c>
      <x:c r="C1001" t="n">
        <x:v>4</x:v>
      </x:c>
      <x:c r="D1001" t="str">
        <x:v>01:57</x:v>
      </x:c>
      <x:c r="E1001"/>
      <x:c r="F1001" t="n">
        <x:v>0</x:v>
      </x:c>
      <x:c r="G1001" t="str">
        <x:v>PHI</x:v>
      </x:c>
      <x:c r="H1001" t="str">
        <x:v>MIN</x:v>
      </x:c>
      <x:c r="I1001" t="str">
        <x:v>MIN</x:v>
      </x:c>
      <x:c r="J1001" t="n">
        <x:v>35</x:v>
      </x:c>
      <x:c r="K1001" t="str">
        <x:v>16-W.Reichard kicks 59 yards from MIN 35 to PHI 6. 87-X.Gipson to PHI 43 for 37 yards (13-T.Felton).</x:v>
      </x:c>
      <x:c r="L1001" t="str">
        <x:v>kickoff</x:v>
      </x:c>
      <x:c r="M1001" t="n">
        <x:v>0</x:v>
      </x:c>
      <x:c r="N1001" t="n">
        <x:v>0</x:v>
      </x:c>
      <x:c r="O1001" t="n">
        <x:v>0</x:v>
      </x:c>
      <x:c r="P1001"/>
      <x:c r="Q1001"/>
      <x:c r="R1001"/>
      <x:c r="S1001"/>
      <x:c r="T1001"/>
      <x:c r="U1001"/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/>
      <x:c r="AC1001" t="n">
        <x:v>0</x:v>
      </x:c>
      <x:c r="AD1001" t="n">
        <x:v>0.9502054548356682</x:v>
      </x:c>
      <x:c r="AE1001" t="n">
        <x:v>1</x:v>
      </x:c>
      <x:c r="AF1001" t="n">
        <x:v>0.004844725131988525</x:v>
      </x:c>
      <x:c r="AG1001" t="n">
        <x:f>_xlfn.XLOOKUP($A1001,Games!$A$2:$A$18,Games!$B$2:$B$18,"Missing game",0)</x:f>
        <x:v>2025</x:v>
      </x:c>
      <x:c r="AH1001" t="str">
        <x:f>_xlfn.XLOOKUP($A1001,Games!$A$2:$A$18,Games!$C$2:$C$18,"Missing game",0)</x:f>
        <x:v>REG</x:v>
      </x:c>
      <x:c r="AI1001" t="n">
        <x:f>_xlfn.XLOOKUP($A1001,Games!$A$2:$A$18,Games!$D$2:$D$18,"Missing game",0)</x:f>
        <x:v>7</x:v>
      </x:c>
      <x:c r="AJ1001" s="1" t="n">
        <x:f>_xlfn.XLOOKUP($A1001,Games!$A$2:$A$18,Games!$E$2:$E$18,"Missing game",0)</x:f>
        <x:v>45949</x:v>
      </x:c>
      <x:c r="AK1001" t="str">
        <x:f>_xlfn.XLOOKUP($A1001,Games!$A$2:$A$18,Games!$F$2:$F$18,"Missing game",0)</x:f>
        <x:v>Sunday</x:v>
      </x:c>
      <x:c r="AL1001" t="str">
        <x:f>_xlfn.XLOOKUP($A1001,Games!$A$2:$A$18,Games!$G$2:$G$18,"Missing game",0)</x:f>
        <x:v>PHI</x:v>
      </x:c>
      <x:c r="AM1001" t="n">
        <x:f>_xlfn.XLOOKUP($A1001,Games!$A$2:$A$18,Games!$H$2:$H$18,"Missing game",0)</x:f>
        <x:v>28</x:v>
      </x:c>
      <x:c r="AN1001" t="str">
        <x:f>_xlfn.XLOOKUP($A1001,Games!$A$2:$A$18,Games!$I$2:$I$18,"Missing game",0)</x:f>
        <x:v>MIN</x:v>
      </x:c>
      <x:c r="AO1001" t="n">
        <x:f>_xlfn.XLOOKUP($A1001,Games!$A$2:$A$18,Games!$J$2:$J$18,"Missing game",0)</x:f>
        <x:v>22</x:v>
      </x:c>
      <x:c r="AP1001" t="n">
        <x:f>_xlfn.XLOOKUP($A1001,Games!$A$2:$A$18,Games!$K$2:$K$18,"Missing game",0)</x:f>
        <x:v>-6</x:v>
      </x:c>
      <x:c r="AQ1001" t="n">
        <x:f>_xlfn.XLOOKUP($A1001,Games!$A$2:$A$18,Games!$L$2:$L$18,"Missing game",0)</x:f>
        <x:v>50</x:v>
      </x:c>
      <x:c r="AR1001" t="n">
        <x:f>_xlfn.XLOOKUP($A1001,Games!$A$2:$A$18,Games!$M$2:$M$18,"Missing game",0)</x:f>
        <x:v>0</x:v>
      </x:c>
      <x:c r="AS1001" t="str">
        <x:f>_xlfn.XLOOKUP($A1001,Games!$A$2:$A$18,Games!$N$2:$N$18,"Missing game",0)</x:f>
        <x:v>dome</x:v>
      </x:c>
      <x:c r="AT1001" t="str">
        <x:f>_xlfn.XLOOKUP($A1001,Games!$A$2:$A$18,Games!$O$2:$O$18,"Missing game",0)</x:f>
        <x:v>sportturf</x:v>
      </x:c>
      <x:c r="AU1001" t="str">
        <x:f>_xlfn.XLOOKUP($A1001,Games!$A$2:$A$18,Games!$P$2:$P$18,"Missing game",0)</x:f>
      </x:c>
      <x:c r="AV1001" t="str">
        <x:f>_xlfn.XLOOKUP($A1001,Games!$A$2:$A$18,Games!$Q$2:$Q$18,"Missing game",0)</x:f>
      </x:c>
      <x:c r="AW1001" t="str">
        <x:f>_xlfn.XLOOKUP($A1001,Games!$A$2:$A$18,Games!$R$2:$R$18,"Missing game",0)</x:f>
        <x:v>U.S. Bank Stadium</x:v>
      </x:c>
    </x:row>
    <x:row r="1002">
      <x:c r="A1002" t="str">
        <x:v>2025_07_PHI_MIN</x:v>
      </x:c>
      <x:c r="B1002" t="n">
        <x:v>3851</x:v>
      </x:c>
      <x:c r="C1002" t="n">
        <x:v>4</x:v>
      </x:c>
      <x:c r="D1002" t="str">
        <x:v>01:52</x:v>
      </x:c>
      <x:c r="E1002" t="n">
        <x:v>1</x:v>
      </x:c>
      <x:c r="F1002" t="n">
        <x:v>10</x:v>
      </x:c>
      <x:c r="G1002" t="str">
        <x:v>PHI</x:v>
      </x:c>
      <x:c r="H1002" t="str">
        <x:v>MIN</x:v>
      </x:c>
      <x:c r="I1002" t="str">
        <x:v>PHI</x:v>
      </x:c>
      <x:c r="J1002" t="n">
        <x:v>57</x:v>
      </x:c>
      <x:c r="K1002" t="str">
        <x:v>(1:52) 74-F.Johnson reported in as eligible. 26-S.Barkley up the middle to PHI 44 for 1 yard (44-J.Metellus).</x:v>
      </x:c>
      <x:c r="L1002" t="str">
        <x:v>run</x:v>
      </x:c>
      <x:c r="M1002" t="n">
        <x:v>1</x:v>
      </x:c>
      <x:c r="N1002" t="n">
        <x:v>0</x:v>
      </x:c>
      <x:c r="O1002" t="n">
        <x:v>0</x:v>
      </x:c>
      <x:c r="P1002"/>
      <x:c r="Q1002"/>
      <x:c r="R1002"/>
      <x:c r="S1002"/>
      <x:c r="T1002" t="str">
        <x:v>middle</x:v>
      </x:c>
      <x:c r="U1002"/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/>
      <x:c r="AC1002" t="n">
        <x:v>0</x:v>
      </x:c>
      <x:c r="AD1002" t="n">
        <x:v>-0.2902503567747772</x:v>
      </x:c>
      <x:c r="AE1002" t="n">
        <x:v>0</x:v>
      </x:c>
      <x:c r="AF1002" t="n">
        <x:v>-0.0011498332023620605</x:v>
      </x:c>
      <x:c r="AG1002" t="n">
        <x:f>_xlfn.XLOOKUP($A1002,Games!$A$2:$A$18,Games!$B$2:$B$18,"Missing game",0)</x:f>
        <x:v>2025</x:v>
      </x:c>
      <x:c r="AH1002" t="str">
        <x:f>_xlfn.XLOOKUP($A1002,Games!$A$2:$A$18,Games!$C$2:$C$18,"Missing game",0)</x:f>
        <x:v>REG</x:v>
      </x:c>
      <x:c r="AI1002" t="n">
        <x:f>_xlfn.XLOOKUP($A1002,Games!$A$2:$A$18,Games!$D$2:$D$18,"Missing game",0)</x:f>
        <x:v>7</x:v>
      </x:c>
      <x:c r="AJ1002" s="1" t="n">
        <x:f>_xlfn.XLOOKUP($A1002,Games!$A$2:$A$18,Games!$E$2:$E$18,"Missing game",0)</x:f>
        <x:v>45949</x:v>
      </x:c>
      <x:c r="AK1002" t="str">
        <x:f>_xlfn.XLOOKUP($A1002,Games!$A$2:$A$18,Games!$F$2:$F$18,"Missing game",0)</x:f>
        <x:v>Sunday</x:v>
      </x:c>
      <x:c r="AL1002" t="str">
        <x:f>_xlfn.XLOOKUP($A1002,Games!$A$2:$A$18,Games!$G$2:$G$18,"Missing game",0)</x:f>
        <x:v>PHI</x:v>
      </x:c>
      <x:c r="AM1002" t="n">
        <x:f>_xlfn.XLOOKUP($A1002,Games!$A$2:$A$18,Games!$H$2:$H$18,"Missing game",0)</x:f>
        <x:v>28</x:v>
      </x:c>
      <x:c r="AN1002" t="str">
        <x:f>_xlfn.XLOOKUP($A1002,Games!$A$2:$A$18,Games!$I$2:$I$18,"Missing game",0)</x:f>
        <x:v>MIN</x:v>
      </x:c>
      <x:c r="AO1002" t="n">
        <x:f>_xlfn.XLOOKUP($A1002,Games!$A$2:$A$18,Games!$J$2:$J$18,"Missing game",0)</x:f>
        <x:v>22</x:v>
      </x:c>
      <x:c r="AP1002" t="n">
        <x:f>_xlfn.XLOOKUP($A1002,Games!$A$2:$A$18,Games!$K$2:$K$18,"Missing game",0)</x:f>
        <x:v>-6</x:v>
      </x:c>
      <x:c r="AQ1002" t="n">
        <x:f>_xlfn.XLOOKUP($A1002,Games!$A$2:$A$18,Games!$L$2:$L$18,"Missing game",0)</x:f>
        <x:v>50</x:v>
      </x:c>
      <x:c r="AR1002" t="n">
        <x:f>_xlfn.XLOOKUP($A1002,Games!$A$2:$A$18,Games!$M$2:$M$18,"Missing game",0)</x:f>
        <x:v>0</x:v>
      </x:c>
      <x:c r="AS1002" t="str">
        <x:f>_xlfn.XLOOKUP($A1002,Games!$A$2:$A$18,Games!$N$2:$N$18,"Missing game",0)</x:f>
        <x:v>dome</x:v>
      </x:c>
      <x:c r="AT1002" t="str">
        <x:f>_xlfn.XLOOKUP($A1002,Games!$A$2:$A$18,Games!$O$2:$O$18,"Missing game",0)</x:f>
        <x:v>sportturf</x:v>
      </x:c>
      <x:c r="AU1002" t="str">
        <x:f>_xlfn.XLOOKUP($A1002,Games!$A$2:$A$18,Games!$P$2:$P$18,"Missing game",0)</x:f>
      </x:c>
      <x:c r="AV1002" t="str">
        <x:f>_xlfn.XLOOKUP($A1002,Games!$A$2:$A$18,Games!$Q$2:$Q$18,"Missing game",0)</x:f>
      </x:c>
      <x:c r="AW1002" t="str">
        <x:f>_xlfn.XLOOKUP($A1002,Games!$A$2:$A$18,Games!$R$2:$R$18,"Missing game",0)</x:f>
        <x:v>U.S. Bank Stadium</x:v>
      </x:c>
    </x:row>
    <x:row r="1003">
      <x:c r="A1003" t="str">
        <x:v>2025_07_PHI_MIN</x:v>
      </x:c>
      <x:c r="B1003" t="n">
        <x:v>3875</x:v>
      </x:c>
      <x:c r="C1003" t="n">
        <x:v>4</x:v>
      </x:c>
      <x:c r="D1003" t="str">
        <x:v>01:48</x:v>
      </x:c>
      <x:c r="E1003" t="n">
        <x:v>2</x:v>
      </x:c>
      <x:c r="F1003" t="n">
        <x:v>9</x:v>
      </x:c>
      <x:c r="G1003" t="str">
        <x:v>PHI</x:v>
      </x:c>
      <x:c r="H1003" t="str">
        <x:v>MIN</x:v>
      </x:c>
      <x:c r="I1003" t="str">
        <x:v>PHI</x:v>
      </x:c>
      <x:c r="J1003" t="n">
        <x:v>56</x:v>
      </x:c>
      <x:c r="K1003" t="str">
        <x:v>(1:48) (Shotgun) 1-J.Hurts pass incomplete short left to 11-A.Brown.</x:v>
      </x:c>
      <x:c r="L1003" t="str">
        <x:v>pass</x:v>
      </x:c>
      <x:c r="M1003" t="n">
        <x:v>0</x:v>
      </x:c>
      <x:c r="N1003" t="n">
        <x:v>1</x:v>
      </x:c>
      <x:c r="O1003" t="n">
        <x:v>0</x:v>
      </x:c>
      <x:c r="P1003" t="str">
        <x:v>short</x:v>
      </x:c>
      <x:c r="Q1003" t="str">
        <x:v>left</x:v>
      </x:c>
      <x:c r="R1003" t="n">
        <x:v>5</x:v>
      </x:c>
      <x:c r="S1003"/>
      <x:c r="T1003"/>
      <x:c r="U1003"/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/>
      <x:c r="AC1003" t="n">
        <x:v>0</x:v>
      </x:c>
      <x:c r="AD1003" t="n">
        <x:v>-0.44310877879615873</x:v>
      </x:c>
      <x:c r="AE1003" t="n">
        <x:v>0</x:v>
      </x:c>
      <x:c r="AF1003" t="n">
        <x:v>-0.006830334663391113</x:v>
      </x:c>
      <x:c r="AG1003" t="n">
        <x:f>_xlfn.XLOOKUP($A1003,Games!$A$2:$A$18,Games!$B$2:$B$18,"Missing game",0)</x:f>
        <x:v>2025</x:v>
      </x:c>
      <x:c r="AH1003" t="str">
        <x:f>_xlfn.XLOOKUP($A1003,Games!$A$2:$A$18,Games!$C$2:$C$18,"Missing game",0)</x:f>
        <x:v>REG</x:v>
      </x:c>
      <x:c r="AI1003" t="n">
        <x:f>_xlfn.XLOOKUP($A1003,Games!$A$2:$A$18,Games!$D$2:$D$18,"Missing game",0)</x:f>
        <x:v>7</x:v>
      </x:c>
      <x:c r="AJ1003" s="1" t="n">
        <x:f>_xlfn.XLOOKUP($A1003,Games!$A$2:$A$18,Games!$E$2:$E$18,"Missing game",0)</x:f>
        <x:v>45949</x:v>
      </x:c>
      <x:c r="AK1003" t="str">
        <x:f>_xlfn.XLOOKUP($A1003,Games!$A$2:$A$18,Games!$F$2:$F$18,"Missing game",0)</x:f>
        <x:v>Sunday</x:v>
      </x:c>
      <x:c r="AL1003" t="str">
        <x:f>_xlfn.XLOOKUP($A1003,Games!$A$2:$A$18,Games!$G$2:$G$18,"Missing game",0)</x:f>
        <x:v>PHI</x:v>
      </x:c>
      <x:c r="AM1003" t="n">
        <x:f>_xlfn.XLOOKUP($A1003,Games!$A$2:$A$18,Games!$H$2:$H$18,"Missing game",0)</x:f>
        <x:v>28</x:v>
      </x:c>
      <x:c r="AN1003" t="str">
        <x:f>_xlfn.XLOOKUP($A1003,Games!$A$2:$A$18,Games!$I$2:$I$18,"Missing game",0)</x:f>
        <x:v>MIN</x:v>
      </x:c>
      <x:c r="AO1003" t="n">
        <x:f>_xlfn.XLOOKUP($A1003,Games!$A$2:$A$18,Games!$J$2:$J$18,"Missing game",0)</x:f>
        <x:v>22</x:v>
      </x:c>
      <x:c r="AP1003" t="n">
        <x:f>_xlfn.XLOOKUP($A1003,Games!$A$2:$A$18,Games!$K$2:$K$18,"Missing game",0)</x:f>
        <x:v>-6</x:v>
      </x:c>
      <x:c r="AQ1003" t="n">
        <x:f>_xlfn.XLOOKUP($A1003,Games!$A$2:$A$18,Games!$L$2:$L$18,"Missing game",0)</x:f>
        <x:v>50</x:v>
      </x:c>
      <x:c r="AR1003" t="n">
        <x:f>_xlfn.XLOOKUP($A1003,Games!$A$2:$A$18,Games!$M$2:$M$18,"Missing game",0)</x:f>
        <x:v>0</x:v>
      </x:c>
      <x:c r="AS1003" t="str">
        <x:f>_xlfn.XLOOKUP($A1003,Games!$A$2:$A$18,Games!$N$2:$N$18,"Missing game",0)</x:f>
        <x:v>dome</x:v>
      </x:c>
      <x:c r="AT1003" t="str">
        <x:f>_xlfn.XLOOKUP($A1003,Games!$A$2:$A$18,Games!$O$2:$O$18,"Missing game",0)</x:f>
        <x:v>sportturf</x:v>
      </x:c>
      <x:c r="AU1003" t="str">
        <x:f>_xlfn.XLOOKUP($A1003,Games!$A$2:$A$18,Games!$P$2:$P$18,"Missing game",0)</x:f>
      </x:c>
      <x:c r="AV1003" t="str">
        <x:f>_xlfn.XLOOKUP($A1003,Games!$A$2:$A$18,Games!$Q$2:$Q$18,"Missing game",0)</x:f>
      </x:c>
      <x:c r="AW1003" t="str">
        <x:f>_xlfn.XLOOKUP($A1003,Games!$A$2:$A$18,Games!$R$2:$R$18,"Missing game",0)</x:f>
        <x:v>U.S. Bank Stadium</x:v>
      </x:c>
    </x:row>
    <x:row r="1004">
      <x:c r="A1004" t="str">
        <x:v>2025_07_PHI_MIN</x:v>
      </x:c>
      <x:c r="B1004" t="n">
        <x:v>3887</x:v>
      </x:c>
      <x:c r="C1004" t="n">
        <x:v>4</x:v>
      </x:c>
      <x:c r="D1004" t="str">
        <x:v>01:48</x:v>
      </x:c>
      <x:c r="E1004"/>
      <x:c r="F1004" t="n">
        <x:v>0</x:v>
      </x:c>
      <x:c r="G1004"/>
      <x:c r="H1004"/>
      <x:c r="I1004"/>
      <x:c r="J1004"/>
      <x:c r="K1004" t="str">
        <x:v>Timeout #1 by MIN at 01:48.</x:v>
      </x:c>
      <x:c r="L1004" t="str">
        <x:v>no_play</x:v>
      </x:c>
      <x:c r="M1004" t="n">
        <x:v>0</x:v>
      </x:c>
      <x:c r="N1004" t="n">
        <x:v>0</x:v>
      </x:c>
      <x:c r="O1004" t="n">
        <x:v>0</x:v>
      </x:c>
      <x:c r="P1004"/>
      <x:c r="Q1004"/>
      <x:c r="R1004"/>
      <x:c r="S1004"/>
      <x:c r="T1004"/>
      <x:c r="U1004"/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/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f>_xlfn.XLOOKUP($A1004,Games!$A$2:$A$18,Games!$B$2:$B$18,"Missing game",0)</x:f>
        <x:v>2025</x:v>
      </x:c>
      <x:c r="AH1004" t="str">
        <x:f>_xlfn.XLOOKUP($A1004,Games!$A$2:$A$18,Games!$C$2:$C$18,"Missing game",0)</x:f>
        <x:v>REG</x:v>
      </x:c>
      <x:c r="AI1004" t="n">
        <x:f>_xlfn.XLOOKUP($A1004,Games!$A$2:$A$18,Games!$D$2:$D$18,"Missing game",0)</x:f>
        <x:v>7</x:v>
      </x:c>
      <x:c r="AJ1004" s="1" t="n">
        <x:f>_xlfn.XLOOKUP($A1004,Games!$A$2:$A$18,Games!$E$2:$E$18,"Missing game",0)</x:f>
        <x:v>45949</x:v>
      </x:c>
      <x:c r="AK1004" t="str">
        <x:f>_xlfn.XLOOKUP($A1004,Games!$A$2:$A$18,Games!$F$2:$F$18,"Missing game",0)</x:f>
        <x:v>Sunday</x:v>
      </x:c>
      <x:c r="AL1004" t="str">
        <x:f>_xlfn.XLOOKUP($A1004,Games!$A$2:$A$18,Games!$G$2:$G$18,"Missing game",0)</x:f>
        <x:v>PHI</x:v>
      </x:c>
      <x:c r="AM1004" t="n">
        <x:f>_xlfn.XLOOKUP($A1004,Games!$A$2:$A$18,Games!$H$2:$H$18,"Missing game",0)</x:f>
        <x:v>28</x:v>
      </x:c>
      <x:c r="AN1004" t="str">
        <x:f>_xlfn.XLOOKUP($A1004,Games!$A$2:$A$18,Games!$I$2:$I$18,"Missing game",0)</x:f>
        <x:v>MIN</x:v>
      </x:c>
      <x:c r="AO1004" t="n">
        <x:f>_xlfn.XLOOKUP($A1004,Games!$A$2:$A$18,Games!$J$2:$J$18,"Missing game",0)</x:f>
        <x:v>22</x:v>
      </x:c>
      <x:c r="AP1004" t="n">
        <x:f>_xlfn.XLOOKUP($A1004,Games!$A$2:$A$18,Games!$K$2:$K$18,"Missing game",0)</x:f>
        <x:v>-6</x:v>
      </x:c>
      <x:c r="AQ1004" t="n">
        <x:f>_xlfn.XLOOKUP($A1004,Games!$A$2:$A$18,Games!$L$2:$L$18,"Missing game",0)</x:f>
        <x:v>50</x:v>
      </x:c>
      <x:c r="AR1004" t="n">
        <x:f>_xlfn.XLOOKUP($A1004,Games!$A$2:$A$18,Games!$M$2:$M$18,"Missing game",0)</x:f>
        <x:v>0</x:v>
      </x:c>
      <x:c r="AS1004" t="str">
        <x:f>_xlfn.XLOOKUP($A1004,Games!$A$2:$A$18,Games!$N$2:$N$18,"Missing game",0)</x:f>
        <x:v>dome</x:v>
      </x:c>
      <x:c r="AT1004" t="str">
        <x:f>_xlfn.XLOOKUP($A1004,Games!$A$2:$A$18,Games!$O$2:$O$18,"Missing game",0)</x:f>
        <x:v>sportturf</x:v>
      </x:c>
      <x:c r="AU1004" t="str">
        <x:f>_xlfn.XLOOKUP($A1004,Games!$A$2:$A$18,Games!$P$2:$P$18,"Missing game",0)</x:f>
      </x:c>
      <x:c r="AV1004" t="str">
        <x:f>_xlfn.XLOOKUP($A1004,Games!$A$2:$A$18,Games!$Q$2:$Q$18,"Missing game",0)</x:f>
      </x:c>
      <x:c r="AW1004" t="str">
        <x:f>_xlfn.XLOOKUP($A1004,Games!$A$2:$A$18,Games!$R$2:$R$18,"Missing game",0)</x:f>
        <x:v>U.S. Bank Stadium</x:v>
      </x:c>
    </x:row>
    <x:row r="1005">
      <x:c r="A1005" t="str">
        <x:v>2025_07_PHI_MIN</x:v>
      </x:c>
      <x:c r="B1005" t="n">
        <x:v>3905</x:v>
      </x:c>
      <x:c r="C1005" t="n">
        <x:v>4</x:v>
      </x:c>
      <x:c r="D1005" t="str">
        <x:v>01:45</x:v>
      </x:c>
      <x:c r="E1005" t="n">
        <x:v>3</x:v>
      </x:c>
      <x:c r="F1005" t="n">
        <x:v>9</x:v>
      </x:c>
      <x:c r="G1005" t="str">
        <x:v>PHI</x:v>
      </x:c>
      <x:c r="H1005" t="str">
        <x:v>MIN</x:v>
      </x:c>
      <x:c r="I1005" t="str">
        <x:v>PHI</x:v>
      </x:c>
      <x:c r="J1005" t="n">
        <x:v>56</x:v>
      </x:c>
      <x:c r="K1005" t="str">
        <x:v>(1:45) (Shotgun) 1-J.Hurts pass deep left to 11-A.Brown to MIN 11 for 45 yards (7-B.Murphy; 2-I.Rodgers).</x:v>
      </x:c>
      <x:c r="L1005" t="str">
        <x:v>pass</x:v>
      </x:c>
      <x:c r="M1005" t="n">
        <x:v>45</x:v>
      </x:c>
      <x:c r="N1005" t="n">
        <x:v>1</x:v>
      </x:c>
      <x:c r="O1005" t="n">
        <x:v>0</x:v>
      </x:c>
      <x:c r="P1005" t="str">
        <x:v>deep</x:v>
      </x:c>
      <x:c r="Q1005" t="str">
        <x:v>left</x:v>
      </x:c>
      <x:c r="R1005" t="n">
        <x:v>32</x:v>
      </x:c>
      <x:c r="S1005" t="n">
        <x:v>13</x:v>
      </x:c>
      <x:c r="T1005"/>
      <x:c r="U1005"/>
      <x:c r="V1005" t="n">
        <x:v>1</x:v>
      </x:c>
      <x:c r="W1005" t="n">
        <x:v>1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/>
      <x:c r="AC1005" t="n">
        <x:v>0</x:v>
      </x:c>
      <x:c r="AD1005" t="n">
        <x:v>3.688479993783403</x:v>
      </x:c>
      <x:c r="AE1005" t="n">
        <x:v>1</x:v>
      </x:c>
      <x:c r="AF1005" t="n">
        <x:v>0.022132515907287598</x:v>
      </x:c>
      <x:c r="AG1005" t="n">
        <x:f>_xlfn.XLOOKUP($A1005,Games!$A$2:$A$18,Games!$B$2:$B$18,"Missing game",0)</x:f>
        <x:v>2025</x:v>
      </x:c>
      <x:c r="AH1005" t="str">
        <x:f>_xlfn.XLOOKUP($A1005,Games!$A$2:$A$18,Games!$C$2:$C$18,"Missing game",0)</x:f>
        <x:v>REG</x:v>
      </x:c>
      <x:c r="AI1005" t="n">
        <x:f>_xlfn.XLOOKUP($A1005,Games!$A$2:$A$18,Games!$D$2:$D$18,"Missing game",0)</x:f>
        <x:v>7</x:v>
      </x:c>
      <x:c r="AJ1005" s="1" t="n">
        <x:f>_xlfn.XLOOKUP($A1005,Games!$A$2:$A$18,Games!$E$2:$E$18,"Missing game",0)</x:f>
        <x:v>45949</x:v>
      </x:c>
      <x:c r="AK1005" t="str">
        <x:f>_xlfn.XLOOKUP($A1005,Games!$A$2:$A$18,Games!$F$2:$F$18,"Missing game",0)</x:f>
        <x:v>Sunday</x:v>
      </x:c>
      <x:c r="AL1005" t="str">
        <x:f>_xlfn.XLOOKUP($A1005,Games!$A$2:$A$18,Games!$G$2:$G$18,"Missing game",0)</x:f>
        <x:v>PHI</x:v>
      </x:c>
      <x:c r="AM1005" t="n">
        <x:f>_xlfn.XLOOKUP($A1005,Games!$A$2:$A$18,Games!$H$2:$H$18,"Missing game",0)</x:f>
        <x:v>28</x:v>
      </x:c>
      <x:c r="AN1005" t="str">
        <x:f>_xlfn.XLOOKUP($A1005,Games!$A$2:$A$18,Games!$I$2:$I$18,"Missing game",0)</x:f>
        <x:v>MIN</x:v>
      </x:c>
      <x:c r="AO1005" t="n">
        <x:f>_xlfn.XLOOKUP($A1005,Games!$A$2:$A$18,Games!$J$2:$J$18,"Missing game",0)</x:f>
        <x:v>22</x:v>
      </x:c>
      <x:c r="AP1005" t="n">
        <x:f>_xlfn.XLOOKUP($A1005,Games!$A$2:$A$18,Games!$K$2:$K$18,"Missing game",0)</x:f>
        <x:v>-6</x:v>
      </x:c>
      <x:c r="AQ1005" t="n">
        <x:f>_xlfn.XLOOKUP($A1005,Games!$A$2:$A$18,Games!$L$2:$L$18,"Missing game",0)</x:f>
        <x:v>50</x:v>
      </x:c>
      <x:c r="AR1005" t="n">
        <x:f>_xlfn.XLOOKUP($A1005,Games!$A$2:$A$18,Games!$M$2:$M$18,"Missing game",0)</x:f>
        <x:v>0</x:v>
      </x:c>
      <x:c r="AS1005" t="str">
        <x:f>_xlfn.XLOOKUP($A1005,Games!$A$2:$A$18,Games!$N$2:$N$18,"Missing game",0)</x:f>
        <x:v>dome</x:v>
      </x:c>
      <x:c r="AT1005" t="str">
        <x:f>_xlfn.XLOOKUP($A1005,Games!$A$2:$A$18,Games!$O$2:$O$18,"Missing game",0)</x:f>
        <x:v>sportturf</x:v>
      </x:c>
      <x:c r="AU1005" t="str">
        <x:f>_xlfn.XLOOKUP($A1005,Games!$A$2:$A$18,Games!$P$2:$P$18,"Missing game",0)</x:f>
      </x:c>
      <x:c r="AV1005" t="str">
        <x:f>_xlfn.XLOOKUP($A1005,Games!$A$2:$A$18,Games!$Q$2:$Q$18,"Missing game",0)</x:f>
      </x:c>
      <x:c r="AW1005" t="str">
        <x:f>_xlfn.XLOOKUP($A1005,Games!$A$2:$A$18,Games!$R$2:$R$18,"Missing game",0)</x:f>
        <x:v>U.S. Bank Stadium</x:v>
      </x:c>
    </x:row>
    <x:row r="1006">
      <x:c r="A1006" t="str">
        <x:v>2025_07_PHI_MIN</x:v>
      </x:c>
      <x:c r="B1006" t="n">
        <x:v>3928</x:v>
      </x:c>
      <x:c r="C1006" t="n">
        <x:v>4</x:v>
      </x:c>
      <x:c r="D1006" t="str">
        <x:v>01:45</x:v>
      </x:c>
      <x:c r="E1006"/>
      <x:c r="F1006" t="n">
        <x:v>0</x:v>
      </x:c>
      <x:c r="G1006"/>
      <x:c r="H1006"/>
      <x:c r="I1006"/>
      <x:c r="J1006"/>
      <x:c r="K1006" t="str">
        <x:v>Timeout #1 by PHI at 01:45.</x:v>
      </x:c>
      <x:c r="L1006" t="str">
        <x:v>no_play</x:v>
      </x:c>
      <x:c r="M1006" t="n">
        <x:v>0</x:v>
      </x:c>
      <x:c r="N1006" t="n">
        <x:v>0</x:v>
      </x:c>
      <x:c r="O1006" t="n">
        <x:v>0</x:v>
      </x:c>
      <x:c r="P1006"/>
      <x:c r="Q1006"/>
      <x:c r="R1006"/>
      <x:c r="S1006"/>
      <x:c r="T1006"/>
      <x:c r="U1006"/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/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f>_xlfn.XLOOKUP($A1006,Games!$A$2:$A$18,Games!$B$2:$B$18,"Missing game",0)</x:f>
        <x:v>2025</x:v>
      </x:c>
      <x:c r="AH1006" t="str">
        <x:f>_xlfn.XLOOKUP($A1006,Games!$A$2:$A$18,Games!$C$2:$C$18,"Missing game",0)</x:f>
        <x:v>REG</x:v>
      </x:c>
      <x:c r="AI1006" t="n">
        <x:f>_xlfn.XLOOKUP($A1006,Games!$A$2:$A$18,Games!$D$2:$D$18,"Missing game",0)</x:f>
        <x:v>7</x:v>
      </x:c>
      <x:c r="AJ1006" s="1" t="n">
        <x:f>_xlfn.XLOOKUP($A1006,Games!$A$2:$A$18,Games!$E$2:$E$18,"Missing game",0)</x:f>
        <x:v>45949</x:v>
      </x:c>
      <x:c r="AK1006" t="str">
        <x:f>_xlfn.XLOOKUP($A1006,Games!$A$2:$A$18,Games!$F$2:$F$18,"Missing game",0)</x:f>
        <x:v>Sunday</x:v>
      </x:c>
      <x:c r="AL1006" t="str">
        <x:f>_xlfn.XLOOKUP($A1006,Games!$A$2:$A$18,Games!$G$2:$G$18,"Missing game",0)</x:f>
        <x:v>PHI</x:v>
      </x:c>
      <x:c r="AM1006" t="n">
        <x:f>_xlfn.XLOOKUP($A1006,Games!$A$2:$A$18,Games!$H$2:$H$18,"Missing game",0)</x:f>
        <x:v>28</x:v>
      </x:c>
      <x:c r="AN1006" t="str">
        <x:f>_xlfn.XLOOKUP($A1006,Games!$A$2:$A$18,Games!$I$2:$I$18,"Missing game",0)</x:f>
        <x:v>MIN</x:v>
      </x:c>
      <x:c r="AO1006" t="n">
        <x:f>_xlfn.XLOOKUP($A1006,Games!$A$2:$A$18,Games!$J$2:$J$18,"Missing game",0)</x:f>
        <x:v>22</x:v>
      </x:c>
      <x:c r="AP1006" t="n">
        <x:f>_xlfn.XLOOKUP($A1006,Games!$A$2:$A$18,Games!$K$2:$K$18,"Missing game",0)</x:f>
        <x:v>-6</x:v>
      </x:c>
      <x:c r="AQ1006" t="n">
        <x:f>_xlfn.XLOOKUP($A1006,Games!$A$2:$A$18,Games!$L$2:$L$18,"Missing game",0)</x:f>
        <x:v>50</x:v>
      </x:c>
      <x:c r="AR1006" t="n">
        <x:f>_xlfn.XLOOKUP($A1006,Games!$A$2:$A$18,Games!$M$2:$M$18,"Missing game",0)</x:f>
        <x:v>0</x:v>
      </x:c>
      <x:c r="AS1006" t="str">
        <x:f>_xlfn.XLOOKUP($A1006,Games!$A$2:$A$18,Games!$N$2:$N$18,"Missing game",0)</x:f>
        <x:v>dome</x:v>
      </x:c>
      <x:c r="AT1006" t="str">
        <x:f>_xlfn.XLOOKUP($A1006,Games!$A$2:$A$18,Games!$O$2:$O$18,"Missing game",0)</x:f>
        <x:v>sportturf</x:v>
      </x:c>
      <x:c r="AU1006" t="str">
        <x:f>_xlfn.XLOOKUP($A1006,Games!$A$2:$A$18,Games!$P$2:$P$18,"Missing game",0)</x:f>
      </x:c>
      <x:c r="AV1006" t="str">
        <x:f>_xlfn.XLOOKUP($A1006,Games!$A$2:$A$18,Games!$Q$2:$Q$18,"Missing game",0)</x:f>
      </x:c>
      <x:c r="AW1006" t="str">
        <x:f>_xlfn.XLOOKUP($A1006,Games!$A$2:$A$18,Games!$R$2:$R$18,"Missing game",0)</x:f>
        <x:v>U.S. Bank Stadium</x:v>
      </x:c>
    </x:row>
    <x:row r="1007">
      <x:c r="A1007" t="str">
        <x:v>2025_07_PHI_MIN</x:v>
      </x:c>
      <x:c r="B1007" t="n">
        <x:v>3948</x:v>
      </x:c>
      <x:c r="C1007" t="n">
        <x:v>4</x:v>
      </x:c>
      <x:c r="D1007" t="str">
        <x:v>01:36</x:v>
      </x:c>
      <x:c r="E1007" t="n">
        <x:v>1</x:v>
      </x:c>
      <x:c r="F1007" t="n">
        <x:v>10</x:v>
      </x:c>
      <x:c r="G1007" t="str">
        <x:v>PHI</x:v>
      </x:c>
      <x:c r="H1007" t="str">
        <x:v>MIN</x:v>
      </x:c>
      <x:c r="I1007" t="str">
        <x:v>MIN</x:v>
      </x:c>
      <x:c r="J1007" t="n">
        <x:v>11</x:v>
      </x:c>
      <x:c r="K1007" t="str">
        <x:v>(1:36) 74-F.Johnson reported in as eligible. 26-S.Barkley up the middle to MIN 14 for -3 yards (50-L.Rodriguez).</x:v>
      </x:c>
      <x:c r="L1007" t="str">
        <x:v>run</x:v>
      </x:c>
      <x:c r="M1007" t="n">
        <x:v>-3</x:v>
      </x:c>
      <x:c r="N1007" t="n">
        <x:v>0</x:v>
      </x:c>
      <x:c r="O1007" t="n">
        <x:v>0</x:v>
      </x:c>
      <x:c r="P1007"/>
      <x:c r="Q1007"/>
      <x:c r="R1007"/>
      <x:c r="S1007"/>
      <x:c r="T1007" t="str">
        <x:v>middle</x:v>
      </x:c>
      <x:c r="U1007"/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/>
      <x:c r="AC1007" t="n">
        <x:v>0</x:v>
      </x:c>
      <x:c r="AD1007" t="n">
        <x:v>-1.5753093078383245</x:v>
      </x:c>
      <x:c r="AE1007" t="n">
        <x:v>0</x:v>
      </x:c>
      <x:c r="AF1007" t="n">
        <x:v>0.0017316937446594238</x:v>
      </x:c>
      <x:c r="AG1007" t="n">
        <x:f>_xlfn.XLOOKUP($A1007,Games!$A$2:$A$18,Games!$B$2:$B$18,"Missing game",0)</x:f>
        <x:v>2025</x:v>
      </x:c>
      <x:c r="AH1007" t="str">
        <x:f>_xlfn.XLOOKUP($A1007,Games!$A$2:$A$18,Games!$C$2:$C$18,"Missing game",0)</x:f>
        <x:v>REG</x:v>
      </x:c>
      <x:c r="AI1007" t="n">
        <x:f>_xlfn.XLOOKUP($A1007,Games!$A$2:$A$18,Games!$D$2:$D$18,"Missing game",0)</x:f>
        <x:v>7</x:v>
      </x:c>
      <x:c r="AJ1007" s="1" t="n">
        <x:f>_xlfn.XLOOKUP($A1007,Games!$A$2:$A$18,Games!$E$2:$E$18,"Missing game",0)</x:f>
        <x:v>45949</x:v>
      </x:c>
      <x:c r="AK1007" t="str">
        <x:f>_xlfn.XLOOKUP($A1007,Games!$A$2:$A$18,Games!$F$2:$F$18,"Missing game",0)</x:f>
        <x:v>Sunday</x:v>
      </x:c>
      <x:c r="AL1007" t="str">
        <x:f>_xlfn.XLOOKUP($A1007,Games!$A$2:$A$18,Games!$G$2:$G$18,"Missing game",0)</x:f>
        <x:v>PHI</x:v>
      </x:c>
      <x:c r="AM1007" t="n">
        <x:f>_xlfn.XLOOKUP($A1007,Games!$A$2:$A$18,Games!$H$2:$H$18,"Missing game",0)</x:f>
        <x:v>28</x:v>
      </x:c>
      <x:c r="AN1007" t="str">
        <x:f>_xlfn.XLOOKUP($A1007,Games!$A$2:$A$18,Games!$I$2:$I$18,"Missing game",0)</x:f>
        <x:v>MIN</x:v>
      </x:c>
      <x:c r="AO1007" t="n">
        <x:f>_xlfn.XLOOKUP($A1007,Games!$A$2:$A$18,Games!$J$2:$J$18,"Missing game",0)</x:f>
        <x:v>22</x:v>
      </x:c>
      <x:c r="AP1007" t="n">
        <x:f>_xlfn.XLOOKUP($A1007,Games!$A$2:$A$18,Games!$K$2:$K$18,"Missing game",0)</x:f>
        <x:v>-6</x:v>
      </x:c>
      <x:c r="AQ1007" t="n">
        <x:f>_xlfn.XLOOKUP($A1007,Games!$A$2:$A$18,Games!$L$2:$L$18,"Missing game",0)</x:f>
        <x:v>50</x:v>
      </x:c>
      <x:c r="AR1007" t="n">
        <x:f>_xlfn.XLOOKUP($A1007,Games!$A$2:$A$18,Games!$M$2:$M$18,"Missing game",0)</x:f>
        <x:v>0</x:v>
      </x:c>
      <x:c r="AS1007" t="str">
        <x:f>_xlfn.XLOOKUP($A1007,Games!$A$2:$A$18,Games!$N$2:$N$18,"Missing game",0)</x:f>
        <x:v>dome</x:v>
      </x:c>
      <x:c r="AT1007" t="str">
        <x:f>_xlfn.XLOOKUP($A1007,Games!$A$2:$A$18,Games!$O$2:$O$18,"Missing game",0)</x:f>
        <x:v>sportturf</x:v>
      </x:c>
      <x:c r="AU1007" t="str">
        <x:f>_xlfn.XLOOKUP($A1007,Games!$A$2:$A$18,Games!$P$2:$P$18,"Missing game",0)</x:f>
      </x:c>
      <x:c r="AV1007" t="str">
        <x:f>_xlfn.XLOOKUP($A1007,Games!$A$2:$A$18,Games!$Q$2:$Q$18,"Missing game",0)</x:f>
      </x:c>
      <x:c r="AW1007" t="str">
        <x:f>_xlfn.XLOOKUP($A1007,Games!$A$2:$A$18,Games!$R$2:$R$18,"Missing game",0)</x:f>
        <x:v>U.S. Bank Stadium</x:v>
      </x:c>
    </x:row>
    <x:row r="1008">
      <x:c r="A1008" t="str">
        <x:v>2025_07_PHI_MIN</x:v>
      </x:c>
      <x:c r="B1008" t="n">
        <x:v>3960</x:v>
      </x:c>
      <x:c r="C1008" t="n">
        <x:v>4</x:v>
      </x:c>
      <x:c r="D1008" t="str">
        <x:v>01:36</x:v>
      </x:c>
      <x:c r="E1008"/>
      <x:c r="F1008" t="n">
        <x:v>0</x:v>
      </x:c>
      <x:c r="G1008"/>
      <x:c r="H1008"/>
      <x:c r="I1008"/>
      <x:c r="J1008"/>
      <x:c r="K1008" t="str">
        <x:v>Timeout #2 by MIN at 01:36.</x:v>
      </x:c>
      <x:c r="L1008" t="str">
        <x:v>no_play</x:v>
      </x:c>
      <x:c r="M1008" t="n">
        <x:v>0</x:v>
      </x:c>
      <x:c r="N1008" t="n">
        <x:v>0</x:v>
      </x:c>
      <x:c r="O1008" t="n">
        <x:v>0</x:v>
      </x:c>
      <x:c r="P1008"/>
      <x:c r="Q1008"/>
      <x:c r="R1008"/>
      <x:c r="S1008"/>
      <x:c r="T1008"/>
      <x:c r="U1008"/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/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f>_xlfn.XLOOKUP($A1008,Games!$A$2:$A$18,Games!$B$2:$B$18,"Missing game",0)</x:f>
        <x:v>2025</x:v>
      </x:c>
      <x:c r="AH1008" t="str">
        <x:f>_xlfn.XLOOKUP($A1008,Games!$A$2:$A$18,Games!$C$2:$C$18,"Missing game",0)</x:f>
        <x:v>REG</x:v>
      </x:c>
      <x:c r="AI1008" t="n">
        <x:f>_xlfn.XLOOKUP($A1008,Games!$A$2:$A$18,Games!$D$2:$D$18,"Missing game",0)</x:f>
        <x:v>7</x:v>
      </x:c>
      <x:c r="AJ1008" s="1" t="n">
        <x:f>_xlfn.XLOOKUP($A1008,Games!$A$2:$A$18,Games!$E$2:$E$18,"Missing game",0)</x:f>
        <x:v>45949</x:v>
      </x:c>
      <x:c r="AK1008" t="str">
        <x:f>_xlfn.XLOOKUP($A1008,Games!$A$2:$A$18,Games!$F$2:$F$18,"Missing game",0)</x:f>
        <x:v>Sunday</x:v>
      </x:c>
      <x:c r="AL1008" t="str">
        <x:f>_xlfn.XLOOKUP($A1008,Games!$A$2:$A$18,Games!$G$2:$G$18,"Missing game",0)</x:f>
        <x:v>PHI</x:v>
      </x:c>
      <x:c r="AM1008" t="n">
        <x:f>_xlfn.XLOOKUP($A1008,Games!$A$2:$A$18,Games!$H$2:$H$18,"Missing game",0)</x:f>
        <x:v>28</x:v>
      </x:c>
      <x:c r="AN1008" t="str">
        <x:f>_xlfn.XLOOKUP($A1008,Games!$A$2:$A$18,Games!$I$2:$I$18,"Missing game",0)</x:f>
        <x:v>MIN</x:v>
      </x:c>
      <x:c r="AO1008" t="n">
        <x:f>_xlfn.XLOOKUP($A1008,Games!$A$2:$A$18,Games!$J$2:$J$18,"Missing game",0)</x:f>
        <x:v>22</x:v>
      </x:c>
      <x:c r="AP1008" t="n">
        <x:f>_xlfn.XLOOKUP($A1008,Games!$A$2:$A$18,Games!$K$2:$K$18,"Missing game",0)</x:f>
        <x:v>-6</x:v>
      </x:c>
      <x:c r="AQ1008" t="n">
        <x:f>_xlfn.XLOOKUP($A1008,Games!$A$2:$A$18,Games!$L$2:$L$18,"Missing game",0)</x:f>
        <x:v>50</x:v>
      </x:c>
      <x:c r="AR1008" t="n">
        <x:f>_xlfn.XLOOKUP($A1008,Games!$A$2:$A$18,Games!$M$2:$M$18,"Missing game",0)</x:f>
        <x:v>0</x:v>
      </x:c>
      <x:c r="AS1008" t="str">
        <x:f>_xlfn.XLOOKUP($A1008,Games!$A$2:$A$18,Games!$N$2:$N$18,"Missing game",0)</x:f>
        <x:v>dome</x:v>
      </x:c>
      <x:c r="AT1008" t="str">
        <x:f>_xlfn.XLOOKUP($A1008,Games!$A$2:$A$18,Games!$O$2:$O$18,"Missing game",0)</x:f>
        <x:v>sportturf</x:v>
      </x:c>
      <x:c r="AU1008" t="str">
        <x:f>_xlfn.XLOOKUP($A1008,Games!$A$2:$A$18,Games!$P$2:$P$18,"Missing game",0)</x:f>
      </x:c>
      <x:c r="AV1008" t="str">
        <x:f>_xlfn.XLOOKUP($A1008,Games!$A$2:$A$18,Games!$Q$2:$Q$18,"Missing game",0)</x:f>
      </x:c>
      <x:c r="AW1008" t="str">
        <x:f>_xlfn.XLOOKUP($A1008,Games!$A$2:$A$18,Games!$R$2:$R$18,"Missing game",0)</x:f>
        <x:v>U.S. Bank Stadium</x:v>
      </x:c>
    </x:row>
    <x:row r="1009">
      <x:c r="A1009" t="str">
        <x:v>2025_07_PHI_MIN</x:v>
      </x:c>
      <x:c r="B1009" t="n">
        <x:v>3979</x:v>
      </x:c>
      <x:c r="C1009" t="n">
        <x:v>4</x:v>
      </x:c>
      <x:c r="D1009" t="str">
        <x:v>01:33</x:v>
      </x:c>
      <x:c r="E1009" t="n">
        <x:v>2</x:v>
      </x:c>
      <x:c r="F1009" t="n">
        <x:v>13</x:v>
      </x:c>
      <x:c r="G1009" t="str">
        <x:v>PHI</x:v>
      </x:c>
      <x:c r="H1009" t="str">
        <x:v>MIN</x:v>
      </x:c>
      <x:c r="I1009" t="str">
        <x:v>MIN</x:v>
      </x:c>
      <x:c r="J1009" t="n">
        <x:v>14</x:v>
      </x:c>
      <x:c r="K1009" t="str">
        <x:v>(1:33) 74-F.Johnson reported in as eligible. 26-S.Barkley up the middle to MIN 14 for no gain (51-B.Cashman; 97-J.Hargrave).</x:v>
      </x:c>
      <x:c r="L1009" t="str">
        <x:v>run</x:v>
      </x:c>
      <x:c r="M1009" t="n">
        <x:v>0</x:v>
      </x:c>
      <x:c r="N1009" t="n">
        <x:v>0</x:v>
      </x:c>
      <x:c r="O1009" t="n">
        <x:v>0</x:v>
      </x:c>
      <x:c r="P1009"/>
      <x:c r="Q1009"/>
      <x:c r="R1009"/>
      <x:c r="S1009"/>
      <x:c r="T1009" t="str">
        <x:v>middle</x:v>
      </x:c>
      <x:c r="U1009"/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/>
      <x:c r="AC1009" t="n">
        <x:v>0</x:v>
      </x:c>
      <x:c r="AD1009" t="n">
        <x:v>-0.559153622132726</x:v>
      </x:c>
      <x:c r="AE1009" t="n">
        <x:v>0</x:v>
      </x:c>
      <x:c r="AF1009" t="n">
        <x:v>0.004404604434967041</x:v>
      </x:c>
      <x:c r="AG1009" t="n">
        <x:f>_xlfn.XLOOKUP($A1009,Games!$A$2:$A$18,Games!$B$2:$B$18,"Missing game",0)</x:f>
        <x:v>2025</x:v>
      </x:c>
      <x:c r="AH1009" t="str">
        <x:f>_xlfn.XLOOKUP($A1009,Games!$A$2:$A$18,Games!$C$2:$C$18,"Missing game",0)</x:f>
        <x:v>REG</x:v>
      </x:c>
      <x:c r="AI1009" t="n">
        <x:f>_xlfn.XLOOKUP($A1009,Games!$A$2:$A$18,Games!$D$2:$D$18,"Missing game",0)</x:f>
        <x:v>7</x:v>
      </x:c>
      <x:c r="AJ1009" s="1" t="n">
        <x:f>_xlfn.XLOOKUP($A1009,Games!$A$2:$A$18,Games!$E$2:$E$18,"Missing game",0)</x:f>
        <x:v>45949</x:v>
      </x:c>
      <x:c r="AK1009" t="str">
        <x:f>_xlfn.XLOOKUP($A1009,Games!$A$2:$A$18,Games!$F$2:$F$18,"Missing game",0)</x:f>
        <x:v>Sunday</x:v>
      </x:c>
      <x:c r="AL1009" t="str">
        <x:f>_xlfn.XLOOKUP($A1009,Games!$A$2:$A$18,Games!$G$2:$G$18,"Missing game",0)</x:f>
        <x:v>PHI</x:v>
      </x:c>
      <x:c r="AM1009" t="n">
        <x:f>_xlfn.XLOOKUP($A1009,Games!$A$2:$A$18,Games!$H$2:$H$18,"Missing game",0)</x:f>
        <x:v>28</x:v>
      </x:c>
      <x:c r="AN1009" t="str">
        <x:f>_xlfn.XLOOKUP($A1009,Games!$A$2:$A$18,Games!$I$2:$I$18,"Missing game",0)</x:f>
        <x:v>MIN</x:v>
      </x:c>
      <x:c r="AO1009" t="n">
        <x:f>_xlfn.XLOOKUP($A1009,Games!$A$2:$A$18,Games!$J$2:$J$18,"Missing game",0)</x:f>
        <x:v>22</x:v>
      </x:c>
      <x:c r="AP1009" t="n">
        <x:f>_xlfn.XLOOKUP($A1009,Games!$A$2:$A$18,Games!$K$2:$K$18,"Missing game",0)</x:f>
        <x:v>-6</x:v>
      </x:c>
      <x:c r="AQ1009" t="n">
        <x:f>_xlfn.XLOOKUP($A1009,Games!$A$2:$A$18,Games!$L$2:$L$18,"Missing game",0)</x:f>
        <x:v>50</x:v>
      </x:c>
      <x:c r="AR1009" t="n">
        <x:f>_xlfn.XLOOKUP($A1009,Games!$A$2:$A$18,Games!$M$2:$M$18,"Missing game",0)</x:f>
        <x:v>0</x:v>
      </x:c>
      <x:c r="AS1009" t="str">
        <x:f>_xlfn.XLOOKUP($A1009,Games!$A$2:$A$18,Games!$N$2:$N$18,"Missing game",0)</x:f>
        <x:v>dome</x:v>
      </x:c>
      <x:c r="AT1009" t="str">
        <x:f>_xlfn.XLOOKUP($A1009,Games!$A$2:$A$18,Games!$O$2:$O$18,"Missing game",0)</x:f>
        <x:v>sportturf</x:v>
      </x:c>
      <x:c r="AU1009" t="str">
        <x:f>_xlfn.XLOOKUP($A1009,Games!$A$2:$A$18,Games!$P$2:$P$18,"Missing game",0)</x:f>
      </x:c>
      <x:c r="AV1009" t="str">
        <x:f>_xlfn.XLOOKUP($A1009,Games!$A$2:$A$18,Games!$Q$2:$Q$18,"Missing game",0)</x:f>
      </x:c>
      <x:c r="AW1009" t="str">
        <x:f>_xlfn.XLOOKUP($A1009,Games!$A$2:$A$18,Games!$R$2:$R$18,"Missing game",0)</x:f>
        <x:v>U.S. Bank Stadium</x:v>
      </x:c>
    </x:row>
    <x:row r="1010">
      <x:c r="A1010" t="str">
        <x:v>2025_07_PHI_MIN</x:v>
      </x:c>
      <x:c r="B1010" t="n">
        <x:v>3991</x:v>
      </x:c>
      <x:c r="C1010" t="n">
        <x:v>4</x:v>
      </x:c>
      <x:c r="D1010" t="str">
        <x:v>01:33</x:v>
      </x:c>
      <x:c r="E1010"/>
      <x:c r="F1010" t="n">
        <x:v>0</x:v>
      </x:c>
      <x:c r="G1010"/>
      <x:c r="H1010"/>
      <x:c r="I1010"/>
      <x:c r="J1010"/>
      <x:c r="K1010" t="str">
        <x:v>Timeout #3 by MIN at 01:33.</x:v>
      </x:c>
      <x:c r="L1010" t="str">
        <x:v>no_play</x:v>
      </x:c>
      <x:c r="M1010" t="n">
        <x:v>0</x:v>
      </x:c>
      <x:c r="N1010" t="n">
        <x:v>0</x:v>
      </x:c>
      <x:c r="O1010" t="n">
        <x:v>0</x:v>
      </x:c>
      <x:c r="P1010"/>
      <x:c r="Q1010"/>
      <x:c r="R1010"/>
      <x:c r="S1010"/>
      <x:c r="T1010"/>
      <x:c r="U1010"/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/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f>_xlfn.XLOOKUP($A1010,Games!$A$2:$A$18,Games!$B$2:$B$18,"Missing game",0)</x:f>
        <x:v>2025</x:v>
      </x:c>
      <x:c r="AH1010" t="str">
        <x:f>_xlfn.XLOOKUP($A1010,Games!$A$2:$A$18,Games!$C$2:$C$18,"Missing game",0)</x:f>
        <x:v>REG</x:v>
      </x:c>
      <x:c r="AI1010" t="n">
        <x:f>_xlfn.XLOOKUP($A1010,Games!$A$2:$A$18,Games!$D$2:$D$18,"Missing game",0)</x:f>
        <x:v>7</x:v>
      </x:c>
      <x:c r="AJ1010" s="1" t="n">
        <x:f>_xlfn.XLOOKUP($A1010,Games!$A$2:$A$18,Games!$E$2:$E$18,"Missing game",0)</x:f>
        <x:v>45949</x:v>
      </x:c>
      <x:c r="AK1010" t="str">
        <x:f>_xlfn.XLOOKUP($A1010,Games!$A$2:$A$18,Games!$F$2:$F$18,"Missing game",0)</x:f>
        <x:v>Sunday</x:v>
      </x:c>
      <x:c r="AL1010" t="str">
        <x:f>_xlfn.XLOOKUP($A1010,Games!$A$2:$A$18,Games!$G$2:$G$18,"Missing game",0)</x:f>
        <x:v>PHI</x:v>
      </x:c>
      <x:c r="AM1010" t="n">
        <x:f>_xlfn.XLOOKUP($A1010,Games!$A$2:$A$18,Games!$H$2:$H$18,"Missing game",0)</x:f>
        <x:v>28</x:v>
      </x:c>
      <x:c r="AN1010" t="str">
        <x:f>_xlfn.XLOOKUP($A1010,Games!$A$2:$A$18,Games!$I$2:$I$18,"Missing game",0)</x:f>
        <x:v>MIN</x:v>
      </x:c>
      <x:c r="AO1010" t="n">
        <x:f>_xlfn.XLOOKUP($A1010,Games!$A$2:$A$18,Games!$J$2:$J$18,"Missing game",0)</x:f>
        <x:v>22</x:v>
      </x:c>
      <x:c r="AP1010" t="n">
        <x:f>_xlfn.XLOOKUP($A1010,Games!$A$2:$A$18,Games!$K$2:$K$18,"Missing game",0)</x:f>
        <x:v>-6</x:v>
      </x:c>
      <x:c r="AQ1010" t="n">
        <x:f>_xlfn.XLOOKUP($A1010,Games!$A$2:$A$18,Games!$L$2:$L$18,"Missing game",0)</x:f>
        <x:v>50</x:v>
      </x:c>
      <x:c r="AR1010" t="n">
        <x:f>_xlfn.XLOOKUP($A1010,Games!$A$2:$A$18,Games!$M$2:$M$18,"Missing game",0)</x:f>
        <x:v>0</x:v>
      </x:c>
      <x:c r="AS1010" t="str">
        <x:f>_xlfn.XLOOKUP($A1010,Games!$A$2:$A$18,Games!$N$2:$N$18,"Missing game",0)</x:f>
        <x:v>dome</x:v>
      </x:c>
      <x:c r="AT1010" t="str">
        <x:f>_xlfn.XLOOKUP($A1010,Games!$A$2:$A$18,Games!$O$2:$O$18,"Missing game",0)</x:f>
        <x:v>sportturf</x:v>
      </x:c>
      <x:c r="AU1010" t="str">
        <x:f>_xlfn.XLOOKUP($A1010,Games!$A$2:$A$18,Games!$P$2:$P$18,"Missing game",0)</x:f>
      </x:c>
      <x:c r="AV1010" t="str">
        <x:f>_xlfn.XLOOKUP($A1010,Games!$A$2:$A$18,Games!$Q$2:$Q$18,"Missing game",0)</x:f>
      </x:c>
      <x:c r="AW1010" t="str">
        <x:f>_xlfn.XLOOKUP($A1010,Games!$A$2:$A$18,Games!$R$2:$R$18,"Missing game",0)</x:f>
        <x:v>U.S. Bank Stadium</x:v>
      </x:c>
    </x:row>
    <x:row r="1011">
      <x:c r="A1011" t="str">
        <x:v>2025_07_PHI_MIN</x:v>
      </x:c>
      <x:c r="B1011" t="n">
        <x:v>4010</x:v>
      </x:c>
      <x:c r="C1011" t="n">
        <x:v>4</x:v>
      </x:c>
      <x:c r="D1011" t="str">
        <x:v>00:47</x:v>
      </x:c>
      <x:c r="E1011" t="n">
        <x:v>3</x:v>
      </x:c>
      <x:c r="F1011" t="n">
        <x:v>13</x:v>
      </x:c>
      <x:c r="G1011" t="str">
        <x:v>PHI</x:v>
      </x:c>
      <x:c r="H1011" t="str">
        <x:v>MIN</x:v>
      </x:c>
      <x:c r="I1011" t="str">
        <x:v>MIN</x:v>
      </x:c>
      <x:c r="J1011" t="n">
        <x:v>14</x:v>
      </x:c>
      <x:c r="K1011" t="str">
        <x:v>(:47) 1-J.Hurts up the middle to MIN 19 for -5 yards (58-J.Greenard).</x:v>
      </x:c>
      <x:c r="L1011" t="str">
        <x:v>run</x:v>
      </x:c>
      <x:c r="M1011" t="n">
        <x:v>-5</x:v>
      </x:c>
      <x:c r="N1011" t="n">
        <x:v>0</x:v>
      </x:c>
      <x:c r="O1011" t="n">
        <x:v>0</x:v>
      </x:c>
      <x:c r="P1011"/>
      <x:c r="Q1011"/>
      <x:c r="R1011"/>
      <x:c r="S1011"/>
      <x:c r="T1011" t="str">
        <x:v>middle</x:v>
      </x:c>
      <x:c r="U1011"/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/>
      <x:c r="AC1011" t="n">
        <x:v>0</x:v>
      </x:c>
      <x:c r="AD1011" t="n">
        <x:v>-0.2627231498481706</x:v>
      </x:c>
      <x:c r="AE1011" t="n">
        <x:v>0</x:v>
      </x:c>
      <x:c r="AF1011" t="n">
        <x:v>-0.00021880865097045898</x:v>
      </x:c>
      <x:c r="AG1011" t="n">
        <x:f>_xlfn.XLOOKUP($A1011,Games!$A$2:$A$18,Games!$B$2:$B$18,"Missing game",0)</x:f>
        <x:v>2025</x:v>
      </x:c>
      <x:c r="AH1011" t="str">
        <x:f>_xlfn.XLOOKUP($A1011,Games!$A$2:$A$18,Games!$C$2:$C$18,"Missing game",0)</x:f>
        <x:v>REG</x:v>
      </x:c>
      <x:c r="AI1011" t="n">
        <x:f>_xlfn.XLOOKUP($A1011,Games!$A$2:$A$18,Games!$D$2:$D$18,"Missing game",0)</x:f>
        <x:v>7</x:v>
      </x:c>
      <x:c r="AJ1011" s="1" t="n">
        <x:f>_xlfn.XLOOKUP($A1011,Games!$A$2:$A$18,Games!$E$2:$E$18,"Missing game",0)</x:f>
        <x:v>45949</x:v>
      </x:c>
      <x:c r="AK1011" t="str">
        <x:f>_xlfn.XLOOKUP($A1011,Games!$A$2:$A$18,Games!$F$2:$F$18,"Missing game",0)</x:f>
        <x:v>Sunday</x:v>
      </x:c>
      <x:c r="AL1011" t="str">
        <x:f>_xlfn.XLOOKUP($A1011,Games!$A$2:$A$18,Games!$G$2:$G$18,"Missing game",0)</x:f>
        <x:v>PHI</x:v>
      </x:c>
      <x:c r="AM1011" t="n">
        <x:f>_xlfn.XLOOKUP($A1011,Games!$A$2:$A$18,Games!$H$2:$H$18,"Missing game",0)</x:f>
        <x:v>28</x:v>
      </x:c>
      <x:c r="AN1011" t="str">
        <x:f>_xlfn.XLOOKUP($A1011,Games!$A$2:$A$18,Games!$I$2:$I$18,"Missing game",0)</x:f>
        <x:v>MIN</x:v>
      </x:c>
      <x:c r="AO1011" t="n">
        <x:f>_xlfn.XLOOKUP($A1011,Games!$A$2:$A$18,Games!$J$2:$J$18,"Missing game",0)</x:f>
        <x:v>22</x:v>
      </x:c>
      <x:c r="AP1011" t="n">
        <x:f>_xlfn.XLOOKUP($A1011,Games!$A$2:$A$18,Games!$K$2:$K$18,"Missing game",0)</x:f>
        <x:v>-6</x:v>
      </x:c>
      <x:c r="AQ1011" t="n">
        <x:f>_xlfn.XLOOKUP($A1011,Games!$A$2:$A$18,Games!$L$2:$L$18,"Missing game",0)</x:f>
        <x:v>50</x:v>
      </x:c>
      <x:c r="AR1011" t="n">
        <x:f>_xlfn.XLOOKUP($A1011,Games!$A$2:$A$18,Games!$M$2:$M$18,"Missing game",0)</x:f>
        <x:v>0</x:v>
      </x:c>
      <x:c r="AS1011" t="str">
        <x:f>_xlfn.XLOOKUP($A1011,Games!$A$2:$A$18,Games!$N$2:$N$18,"Missing game",0)</x:f>
        <x:v>dome</x:v>
      </x:c>
      <x:c r="AT1011" t="str">
        <x:f>_xlfn.XLOOKUP($A1011,Games!$A$2:$A$18,Games!$O$2:$O$18,"Missing game",0)</x:f>
        <x:v>sportturf</x:v>
      </x:c>
      <x:c r="AU1011" t="str">
        <x:f>_xlfn.XLOOKUP($A1011,Games!$A$2:$A$18,Games!$P$2:$P$18,"Missing game",0)</x:f>
      </x:c>
      <x:c r="AV1011" t="str">
        <x:f>_xlfn.XLOOKUP($A1011,Games!$A$2:$A$18,Games!$Q$2:$Q$18,"Missing game",0)</x:f>
      </x:c>
      <x:c r="AW1011" t="str">
        <x:f>_xlfn.XLOOKUP($A1011,Games!$A$2:$A$18,Games!$R$2:$R$18,"Missing game",0)</x:f>
        <x:v>U.S. Bank Stadium</x:v>
      </x:c>
    </x:row>
    <x:row r="1012">
      <x:c r="A1012" t="str">
        <x:v>2025_07_PHI_MIN</x:v>
      </x:c>
      <x:c r="B1012" t="n">
        <x:v>4024</x:v>
      </x:c>
      <x:c r="C1012" t="n">
        <x:v>4</x:v>
      </x:c>
      <x:c r="D1012" t="str">
        <x:v>00:47</x:v>
      </x:c>
      <x:c r="E1012"/>
      <x:c r="F1012" t="n">
        <x:v>0</x:v>
      </x:c>
      <x:c r="G1012"/>
      <x:c r="H1012"/>
      <x:c r="I1012"/>
      <x:c r="J1012"/>
      <x:c r="K1012" t="str">
        <x:v>Timeout #2 by PHI at 00:47.</x:v>
      </x:c>
      <x:c r="L1012" t="str">
        <x:v>no_play</x:v>
      </x:c>
      <x:c r="M1012" t="n">
        <x:v>0</x:v>
      </x:c>
      <x:c r="N1012" t="n">
        <x:v>0</x:v>
      </x:c>
      <x:c r="O1012" t="n">
        <x:v>0</x:v>
      </x:c>
      <x:c r="P1012"/>
      <x:c r="Q1012"/>
      <x:c r="R1012"/>
      <x:c r="S1012"/>
      <x:c r="T1012"/>
      <x:c r="U1012"/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/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f>_xlfn.XLOOKUP($A1012,Games!$A$2:$A$18,Games!$B$2:$B$18,"Missing game",0)</x:f>
        <x:v>2025</x:v>
      </x:c>
      <x:c r="AH1012" t="str">
        <x:f>_xlfn.XLOOKUP($A1012,Games!$A$2:$A$18,Games!$C$2:$C$18,"Missing game",0)</x:f>
        <x:v>REG</x:v>
      </x:c>
      <x:c r="AI1012" t="n">
        <x:f>_xlfn.XLOOKUP($A1012,Games!$A$2:$A$18,Games!$D$2:$D$18,"Missing game",0)</x:f>
        <x:v>7</x:v>
      </x:c>
      <x:c r="AJ1012" s="1" t="n">
        <x:f>_xlfn.XLOOKUP($A1012,Games!$A$2:$A$18,Games!$E$2:$E$18,"Missing game",0)</x:f>
        <x:v>45949</x:v>
      </x:c>
      <x:c r="AK1012" t="str">
        <x:f>_xlfn.XLOOKUP($A1012,Games!$A$2:$A$18,Games!$F$2:$F$18,"Missing game",0)</x:f>
        <x:v>Sunday</x:v>
      </x:c>
      <x:c r="AL1012" t="str">
        <x:f>_xlfn.XLOOKUP($A1012,Games!$A$2:$A$18,Games!$G$2:$G$18,"Missing game",0)</x:f>
        <x:v>PHI</x:v>
      </x:c>
      <x:c r="AM1012" t="n">
        <x:f>_xlfn.XLOOKUP($A1012,Games!$A$2:$A$18,Games!$H$2:$H$18,"Missing game",0)</x:f>
        <x:v>28</x:v>
      </x:c>
      <x:c r="AN1012" t="str">
        <x:f>_xlfn.XLOOKUP($A1012,Games!$A$2:$A$18,Games!$I$2:$I$18,"Missing game",0)</x:f>
        <x:v>MIN</x:v>
      </x:c>
      <x:c r="AO1012" t="n">
        <x:f>_xlfn.XLOOKUP($A1012,Games!$A$2:$A$18,Games!$J$2:$J$18,"Missing game",0)</x:f>
        <x:v>22</x:v>
      </x:c>
      <x:c r="AP1012" t="n">
        <x:f>_xlfn.XLOOKUP($A1012,Games!$A$2:$A$18,Games!$K$2:$K$18,"Missing game",0)</x:f>
        <x:v>-6</x:v>
      </x:c>
      <x:c r="AQ1012" t="n">
        <x:f>_xlfn.XLOOKUP($A1012,Games!$A$2:$A$18,Games!$L$2:$L$18,"Missing game",0)</x:f>
        <x:v>50</x:v>
      </x:c>
      <x:c r="AR1012" t="n">
        <x:f>_xlfn.XLOOKUP($A1012,Games!$A$2:$A$18,Games!$M$2:$M$18,"Missing game",0)</x:f>
        <x:v>0</x:v>
      </x:c>
      <x:c r="AS1012" t="str">
        <x:f>_xlfn.XLOOKUP($A1012,Games!$A$2:$A$18,Games!$N$2:$N$18,"Missing game",0)</x:f>
        <x:v>dome</x:v>
      </x:c>
      <x:c r="AT1012" t="str">
        <x:f>_xlfn.XLOOKUP($A1012,Games!$A$2:$A$18,Games!$O$2:$O$18,"Missing game",0)</x:f>
        <x:v>sportturf</x:v>
      </x:c>
      <x:c r="AU1012" t="str">
        <x:f>_xlfn.XLOOKUP($A1012,Games!$A$2:$A$18,Games!$P$2:$P$18,"Missing game",0)</x:f>
      </x:c>
      <x:c r="AV1012" t="str">
        <x:f>_xlfn.XLOOKUP($A1012,Games!$A$2:$A$18,Games!$Q$2:$Q$18,"Missing game",0)</x:f>
      </x:c>
      <x:c r="AW1012" t="str">
        <x:f>_xlfn.XLOOKUP($A1012,Games!$A$2:$A$18,Games!$R$2:$R$18,"Missing game",0)</x:f>
        <x:v>U.S. Bank Stadium</x:v>
      </x:c>
    </x:row>
    <x:row r="1013">
      <x:c r="A1013" t="str">
        <x:v>2025_07_PHI_MIN</x:v>
      </x:c>
      <x:c r="B1013" t="n">
        <x:v>4041</x:v>
      </x:c>
      <x:c r="C1013" t="n">
        <x:v>4</x:v>
      </x:c>
      <x:c r="D1013" t="str">
        <x:v>00:02</x:v>
      </x:c>
      <x:c r="E1013" t="n">
        <x:v>4</x:v>
      </x:c>
      <x:c r="F1013" t="n">
        <x:v>18</x:v>
      </x:c>
      <x:c r="G1013" t="str">
        <x:v>PHI</x:v>
      </x:c>
      <x:c r="H1013" t="str">
        <x:v>MIN</x:v>
      </x:c>
      <x:c r="I1013" t="str">
        <x:v>MIN</x:v>
      </x:c>
      <x:c r="J1013" t="n">
        <x:v>19</x:v>
      </x:c>
      <x:c r="K1013" t="str">
        <x:v>(:02) (Run formation) PENALTY on PHI, Delay of Game, 5 yards, enforced at MIN 19 - No Play.</x:v>
      </x:c>
      <x:c r="L1013" t="str">
        <x:v>no_play</x:v>
      </x:c>
      <x:c r="M1013" t="n">
        <x:v>0</x:v>
      </x:c>
      <x:c r="N1013" t="n">
        <x:v>0</x:v>
      </x:c>
      <x:c r="O1013" t="n">
        <x:v>0</x:v>
      </x:c>
      <x:c r="P1013"/>
      <x:c r="Q1013"/>
      <x:c r="R1013"/>
      <x:c r="S1013"/>
      <x:c r="T1013"/>
      <x:c r="U1013"/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1</x:v>
      </x:c>
      <x:c r="AB1013" t="n">
        <x:v>5</x:v>
      </x:c>
      <x:c r="AC1013" t="n">
        <x:v>0</x:v>
      </x:c>
      <x:c r="AD1013" t="n">
        <x:v>-0.6093313415767625</x:v>
      </x:c>
      <x:c r="AE1013" t="n">
        <x:v>0</x:v>
      </x:c>
      <x:c r="AF1013" t="n">
        <x:v>-0.002115011215209961</x:v>
      </x:c>
      <x:c r="AG1013" t="n">
        <x:f>_xlfn.XLOOKUP($A1013,Games!$A$2:$A$18,Games!$B$2:$B$18,"Missing game",0)</x:f>
        <x:v>2025</x:v>
      </x:c>
      <x:c r="AH1013" t="str">
        <x:f>_xlfn.XLOOKUP($A1013,Games!$A$2:$A$18,Games!$C$2:$C$18,"Missing game",0)</x:f>
        <x:v>REG</x:v>
      </x:c>
      <x:c r="AI1013" t="n">
        <x:f>_xlfn.XLOOKUP($A1013,Games!$A$2:$A$18,Games!$D$2:$D$18,"Missing game",0)</x:f>
        <x:v>7</x:v>
      </x:c>
      <x:c r="AJ1013" s="1" t="n">
        <x:f>_xlfn.XLOOKUP($A1013,Games!$A$2:$A$18,Games!$E$2:$E$18,"Missing game",0)</x:f>
        <x:v>45949</x:v>
      </x:c>
      <x:c r="AK1013" t="str">
        <x:f>_xlfn.XLOOKUP($A1013,Games!$A$2:$A$18,Games!$F$2:$F$18,"Missing game",0)</x:f>
        <x:v>Sunday</x:v>
      </x:c>
      <x:c r="AL1013" t="str">
        <x:f>_xlfn.XLOOKUP($A1013,Games!$A$2:$A$18,Games!$G$2:$G$18,"Missing game",0)</x:f>
        <x:v>PHI</x:v>
      </x:c>
      <x:c r="AM1013" t="n">
        <x:f>_xlfn.XLOOKUP($A1013,Games!$A$2:$A$18,Games!$H$2:$H$18,"Missing game",0)</x:f>
        <x:v>28</x:v>
      </x:c>
      <x:c r="AN1013" t="str">
        <x:f>_xlfn.XLOOKUP($A1013,Games!$A$2:$A$18,Games!$I$2:$I$18,"Missing game",0)</x:f>
        <x:v>MIN</x:v>
      </x:c>
      <x:c r="AO1013" t="n">
        <x:f>_xlfn.XLOOKUP($A1013,Games!$A$2:$A$18,Games!$J$2:$J$18,"Missing game",0)</x:f>
        <x:v>22</x:v>
      </x:c>
      <x:c r="AP1013" t="n">
        <x:f>_xlfn.XLOOKUP($A1013,Games!$A$2:$A$18,Games!$K$2:$K$18,"Missing game",0)</x:f>
        <x:v>-6</x:v>
      </x:c>
      <x:c r="AQ1013" t="n">
        <x:f>_xlfn.XLOOKUP($A1013,Games!$A$2:$A$18,Games!$L$2:$L$18,"Missing game",0)</x:f>
        <x:v>50</x:v>
      </x:c>
      <x:c r="AR1013" t="n">
        <x:f>_xlfn.XLOOKUP($A1013,Games!$A$2:$A$18,Games!$M$2:$M$18,"Missing game",0)</x:f>
        <x:v>0</x:v>
      </x:c>
      <x:c r="AS1013" t="str">
        <x:f>_xlfn.XLOOKUP($A1013,Games!$A$2:$A$18,Games!$N$2:$N$18,"Missing game",0)</x:f>
        <x:v>dome</x:v>
      </x:c>
      <x:c r="AT1013" t="str">
        <x:f>_xlfn.XLOOKUP($A1013,Games!$A$2:$A$18,Games!$O$2:$O$18,"Missing game",0)</x:f>
        <x:v>sportturf</x:v>
      </x:c>
      <x:c r="AU1013" t="str">
        <x:f>_xlfn.XLOOKUP($A1013,Games!$A$2:$A$18,Games!$P$2:$P$18,"Missing game",0)</x:f>
      </x:c>
      <x:c r="AV1013" t="str">
        <x:f>_xlfn.XLOOKUP($A1013,Games!$A$2:$A$18,Games!$Q$2:$Q$18,"Missing game",0)</x:f>
      </x:c>
      <x:c r="AW1013" t="str">
        <x:f>_xlfn.XLOOKUP($A1013,Games!$A$2:$A$18,Games!$R$2:$R$18,"Missing game",0)</x:f>
        <x:v>U.S. Bank Stadium</x:v>
      </x:c>
    </x:row>
    <x:row r="1014">
      <x:c r="A1014" t="str">
        <x:v>2025_07_PHI_MIN</x:v>
      </x:c>
      <x:c r="B1014" t="n">
        <x:v>4065</x:v>
      </x:c>
      <x:c r="C1014" t="n">
        <x:v>4</x:v>
      </x:c>
      <x:c r="D1014" t="str">
        <x:v>00:02</x:v>
      </x:c>
      <x:c r="E1014" t="n">
        <x:v>4</x:v>
      </x:c>
      <x:c r="F1014" t="n">
        <x:v>23</x:v>
      </x:c>
      <x:c r="G1014" t="str">
        <x:v>PHI</x:v>
      </x:c>
      <x:c r="H1014" t="str">
        <x:v>MIN</x:v>
      </x:c>
      <x:c r="I1014" t="str">
        <x:v>MIN</x:v>
      </x:c>
      <x:c r="J1014" t="n">
        <x:v>24</x:v>
      </x:c>
      <x:c r="K1014" t="str">
        <x:v>(:02) 1-J.Hurts kneels to MIN 29 for -5 yards.</x:v>
      </x:c>
      <x:c r="L1014" t="str">
        <x:v>qb_kneel</x:v>
      </x:c>
      <x:c r="M1014" t="n">
        <x:v>-5</x:v>
      </x:c>
      <x:c r="N1014" t="n">
        <x:v>0</x:v>
      </x:c>
      <x:c r="O1014" t="n">
        <x:v>0</x:v>
      </x:c>
      <x:c r="P1014"/>
      <x:c r="Q1014"/>
      <x:c r="R1014"/>
      <x:c r="S1014"/>
      <x:c r="T1014"/>
      <x:c r="U1014"/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/>
      <x:c r="AC1014" t="n">
        <x:v>0</x:v>
      </x:c>
      <x:c r="AD1014" t="n">
        <x:v>-1.8560788054019213</x:v>
      </x:c>
      <x:c r="AE1014" t="n">
        <x:v>0</x:v>
      </x:c>
      <x:c r="AF1014"/>
      <x:c r="AG1014" t="n">
        <x:f>_xlfn.XLOOKUP($A1014,Games!$A$2:$A$18,Games!$B$2:$B$18,"Missing game",0)</x:f>
        <x:v>2025</x:v>
      </x:c>
      <x:c r="AH1014" t="str">
        <x:f>_xlfn.XLOOKUP($A1014,Games!$A$2:$A$18,Games!$C$2:$C$18,"Missing game",0)</x:f>
        <x:v>REG</x:v>
      </x:c>
      <x:c r="AI1014" t="n">
        <x:f>_xlfn.XLOOKUP($A1014,Games!$A$2:$A$18,Games!$D$2:$D$18,"Missing game",0)</x:f>
        <x:v>7</x:v>
      </x:c>
      <x:c r="AJ1014" s="1" t="n">
        <x:f>_xlfn.XLOOKUP($A1014,Games!$A$2:$A$18,Games!$E$2:$E$18,"Missing game",0)</x:f>
        <x:v>45949</x:v>
      </x:c>
      <x:c r="AK1014" t="str">
        <x:f>_xlfn.XLOOKUP($A1014,Games!$A$2:$A$18,Games!$F$2:$F$18,"Missing game",0)</x:f>
        <x:v>Sunday</x:v>
      </x:c>
      <x:c r="AL1014" t="str">
        <x:f>_xlfn.XLOOKUP($A1014,Games!$A$2:$A$18,Games!$G$2:$G$18,"Missing game",0)</x:f>
        <x:v>PHI</x:v>
      </x:c>
      <x:c r="AM1014" t="n">
        <x:f>_xlfn.XLOOKUP($A1014,Games!$A$2:$A$18,Games!$H$2:$H$18,"Missing game",0)</x:f>
        <x:v>28</x:v>
      </x:c>
      <x:c r="AN1014" t="str">
        <x:f>_xlfn.XLOOKUP($A1014,Games!$A$2:$A$18,Games!$I$2:$I$18,"Missing game",0)</x:f>
        <x:v>MIN</x:v>
      </x:c>
      <x:c r="AO1014" t="n">
        <x:f>_xlfn.XLOOKUP($A1014,Games!$A$2:$A$18,Games!$J$2:$J$18,"Missing game",0)</x:f>
        <x:v>22</x:v>
      </x:c>
      <x:c r="AP1014" t="n">
        <x:f>_xlfn.XLOOKUP($A1014,Games!$A$2:$A$18,Games!$K$2:$K$18,"Missing game",0)</x:f>
        <x:v>-6</x:v>
      </x:c>
      <x:c r="AQ1014" t="n">
        <x:f>_xlfn.XLOOKUP($A1014,Games!$A$2:$A$18,Games!$L$2:$L$18,"Missing game",0)</x:f>
        <x:v>50</x:v>
      </x:c>
      <x:c r="AR1014" t="n">
        <x:f>_xlfn.XLOOKUP($A1014,Games!$A$2:$A$18,Games!$M$2:$M$18,"Missing game",0)</x:f>
        <x:v>0</x:v>
      </x:c>
      <x:c r="AS1014" t="str">
        <x:f>_xlfn.XLOOKUP($A1014,Games!$A$2:$A$18,Games!$N$2:$N$18,"Missing game",0)</x:f>
        <x:v>dome</x:v>
      </x:c>
      <x:c r="AT1014" t="str">
        <x:f>_xlfn.XLOOKUP($A1014,Games!$A$2:$A$18,Games!$O$2:$O$18,"Missing game",0)</x:f>
        <x:v>sportturf</x:v>
      </x:c>
      <x:c r="AU1014" t="str">
        <x:f>_xlfn.XLOOKUP($A1014,Games!$A$2:$A$18,Games!$P$2:$P$18,"Missing game",0)</x:f>
      </x:c>
      <x:c r="AV1014" t="str">
        <x:f>_xlfn.XLOOKUP($A1014,Games!$A$2:$A$18,Games!$Q$2:$Q$18,"Missing game",0)</x:f>
      </x:c>
      <x:c r="AW1014" t="str">
        <x:f>_xlfn.XLOOKUP($A1014,Games!$A$2:$A$18,Games!$R$2:$R$18,"Missing game",0)</x:f>
        <x:v>U.S. Bank Stadium</x:v>
      </x:c>
    </x:row>
    <x:row r="1015">
      <x:c r="A1015" t="str">
        <x:v>2025_07_PHI_MIN</x:v>
      </x:c>
      <x:c r="B1015" t="n">
        <x:v>4077</x:v>
      </x:c>
      <x:c r="C1015" t="n">
        <x:v>4</x:v>
      </x:c>
      <x:c r="D1015" t="str">
        <x:v>00:02</x:v>
      </x:c>
      <x:c r="E1015"/>
      <x:c r="F1015" t="n">
        <x:v>0</x:v>
      </x:c>
      <x:c r="G1015"/>
      <x:c r="H1015"/>
      <x:c r="I1015"/>
      <x:c r="J1015"/>
      <x:c r="K1015" t="str">
        <x:v>Timeout #3 by PHI at 00:02.</x:v>
      </x:c>
      <x:c r="L1015" t="str">
        <x:v>no_play</x:v>
      </x:c>
      <x:c r="M1015" t="n">
        <x:v>0</x:v>
      </x:c>
      <x:c r="N1015" t="n">
        <x:v>0</x:v>
      </x:c>
      <x:c r="O1015" t="n">
        <x:v>0</x:v>
      </x:c>
      <x:c r="P1015"/>
      <x:c r="Q1015"/>
      <x:c r="R1015"/>
      <x:c r="S1015"/>
      <x:c r="T1015"/>
      <x:c r="U1015"/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/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f>_xlfn.XLOOKUP($A1015,Games!$A$2:$A$18,Games!$B$2:$B$18,"Missing game",0)</x:f>
        <x:v>2025</x:v>
      </x:c>
      <x:c r="AH1015" t="str">
        <x:f>_xlfn.XLOOKUP($A1015,Games!$A$2:$A$18,Games!$C$2:$C$18,"Missing game",0)</x:f>
        <x:v>REG</x:v>
      </x:c>
      <x:c r="AI1015" t="n">
        <x:f>_xlfn.XLOOKUP($A1015,Games!$A$2:$A$18,Games!$D$2:$D$18,"Missing game",0)</x:f>
        <x:v>7</x:v>
      </x:c>
      <x:c r="AJ1015" s="1" t="n">
        <x:f>_xlfn.XLOOKUP($A1015,Games!$A$2:$A$18,Games!$E$2:$E$18,"Missing game",0)</x:f>
        <x:v>45949</x:v>
      </x:c>
      <x:c r="AK1015" t="str">
        <x:f>_xlfn.XLOOKUP($A1015,Games!$A$2:$A$18,Games!$F$2:$F$18,"Missing game",0)</x:f>
        <x:v>Sunday</x:v>
      </x:c>
      <x:c r="AL1015" t="str">
        <x:f>_xlfn.XLOOKUP($A1015,Games!$A$2:$A$18,Games!$G$2:$G$18,"Missing game",0)</x:f>
        <x:v>PHI</x:v>
      </x:c>
      <x:c r="AM1015" t="n">
        <x:f>_xlfn.XLOOKUP($A1015,Games!$A$2:$A$18,Games!$H$2:$H$18,"Missing game",0)</x:f>
        <x:v>28</x:v>
      </x:c>
      <x:c r="AN1015" t="str">
        <x:f>_xlfn.XLOOKUP($A1015,Games!$A$2:$A$18,Games!$I$2:$I$18,"Missing game",0)</x:f>
        <x:v>MIN</x:v>
      </x:c>
      <x:c r="AO1015" t="n">
        <x:f>_xlfn.XLOOKUP($A1015,Games!$A$2:$A$18,Games!$J$2:$J$18,"Missing game",0)</x:f>
        <x:v>22</x:v>
      </x:c>
      <x:c r="AP1015" t="n">
        <x:f>_xlfn.XLOOKUP($A1015,Games!$A$2:$A$18,Games!$K$2:$K$18,"Missing game",0)</x:f>
        <x:v>-6</x:v>
      </x:c>
      <x:c r="AQ1015" t="n">
        <x:f>_xlfn.XLOOKUP($A1015,Games!$A$2:$A$18,Games!$L$2:$L$18,"Missing game",0)</x:f>
        <x:v>50</x:v>
      </x:c>
      <x:c r="AR1015" t="n">
        <x:f>_xlfn.XLOOKUP($A1015,Games!$A$2:$A$18,Games!$M$2:$M$18,"Missing game",0)</x:f>
        <x:v>0</x:v>
      </x:c>
      <x:c r="AS1015" t="str">
        <x:f>_xlfn.XLOOKUP($A1015,Games!$A$2:$A$18,Games!$N$2:$N$18,"Missing game",0)</x:f>
        <x:v>dome</x:v>
      </x:c>
      <x:c r="AT1015" t="str">
        <x:f>_xlfn.XLOOKUP($A1015,Games!$A$2:$A$18,Games!$O$2:$O$18,"Missing game",0)</x:f>
        <x:v>sportturf</x:v>
      </x:c>
      <x:c r="AU1015" t="str">
        <x:f>_xlfn.XLOOKUP($A1015,Games!$A$2:$A$18,Games!$P$2:$P$18,"Missing game",0)</x:f>
      </x:c>
      <x:c r="AV1015" t="str">
        <x:f>_xlfn.XLOOKUP($A1015,Games!$A$2:$A$18,Games!$Q$2:$Q$18,"Missing game",0)</x:f>
      </x:c>
      <x:c r="AW1015" t="str">
        <x:f>_xlfn.XLOOKUP($A1015,Games!$A$2:$A$18,Games!$R$2:$R$18,"Missing game",0)</x:f>
        <x:v>U.S. Bank Stadium</x:v>
      </x:c>
    </x:row>
    <x:row r="1016">
      <x:c r="A1016" t="str">
        <x:v>2025_07_PHI_MIN</x:v>
      </x:c>
      <x:c r="B1016" t="n">
        <x:v>4094</x:v>
      </x:c>
      <x:c r="C1016" t="n">
        <x:v>4</x:v>
      </x:c>
      <x:c r="D1016" t="str">
        <x:v>00:00</x:v>
      </x:c>
      <x:c r="E1016"/>
      <x:c r="F1016" t="n">
        <x:v>0</x:v>
      </x:c>
      <x:c r="G1016" t="str">
        <x:v>MIN</x:v>
      </x:c>
      <x:c r="H1016" t="str">
        <x:v>PHI</x:v>
      </x:c>
      <x:c r="I1016"/>
      <x:c r="J1016"/>
      <x:c r="K1016" t="str">
        <x:v>END GAME</x:v>
      </x:c>
      <x:c r="L1016"/>
      <x:c r="M1016"/>
      <x:c r="N1016" t="n">
        <x:v>0</x:v>
      </x:c>
      <x:c r="O1016" t="n">
        <x:v>0</x:v>
      </x:c>
      <x:c r="P1016"/>
      <x:c r="Q1016"/>
      <x:c r="R1016"/>
      <x:c r="S1016"/>
      <x:c r="T1016"/>
      <x:c r="U1016"/>
      <x:c r="V1016"/>
      <x:c r="W1016"/>
      <x:c r="X1016"/>
      <x:c r="Y1016"/>
      <x:c r="Z1016"/>
      <x:c r="AA1016"/>
      <x:c r="AB1016"/>
      <x:c r="AC1016"/>
      <x:c r="AD1016"/>
      <x:c r="AE1016"/>
      <x:c r="AF1016"/>
      <x:c r="AG1016" t="n">
        <x:f>_xlfn.XLOOKUP($A1016,Games!$A$2:$A$18,Games!$B$2:$B$18,"Missing game",0)</x:f>
        <x:v>2025</x:v>
      </x:c>
      <x:c r="AH1016" t="str">
        <x:f>_xlfn.XLOOKUP($A1016,Games!$A$2:$A$18,Games!$C$2:$C$18,"Missing game",0)</x:f>
        <x:v>REG</x:v>
      </x:c>
      <x:c r="AI1016" t="n">
        <x:f>_xlfn.XLOOKUP($A1016,Games!$A$2:$A$18,Games!$D$2:$D$18,"Missing game",0)</x:f>
        <x:v>7</x:v>
      </x:c>
      <x:c r="AJ1016" s="1" t="n">
        <x:f>_xlfn.XLOOKUP($A1016,Games!$A$2:$A$18,Games!$E$2:$E$18,"Missing game",0)</x:f>
        <x:v>45949</x:v>
      </x:c>
      <x:c r="AK1016" t="str">
        <x:f>_xlfn.XLOOKUP($A1016,Games!$A$2:$A$18,Games!$F$2:$F$18,"Missing game",0)</x:f>
        <x:v>Sunday</x:v>
      </x:c>
      <x:c r="AL1016" t="str">
        <x:f>_xlfn.XLOOKUP($A1016,Games!$A$2:$A$18,Games!$G$2:$G$18,"Missing game",0)</x:f>
        <x:v>PHI</x:v>
      </x:c>
      <x:c r="AM1016" t="n">
        <x:f>_xlfn.XLOOKUP($A1016,Games!$A$2:$A$18,Games!$H$2:$H$18,"Missing game",0)</x:f>
        <x:v>28</x:v>
      </x:c>
      <x:c r="AN1016" t="str">
        <x:f>_xlfn.XLOOKUP($A1016,Games!$A$2:$A$18,Games!$I$2:$I$18,"Missing game",0)</x:f>
        <x:v>MIN</x:v>
      </x:c>
      <x:c r="AO1016" t="n">
        <x:f>_xlfn.XLOOKUP($A1016,Games!$A$2:$A$18,Games!$J$2:$J$18,"Missing game",0)</x:f>
        <x:v>22</x:v>
      </x:c>
      <x:c r="AP1016" t="n">
        <x:f>_xlfn.XLOOKUP($A1016,Games!$A$2:$A$18,Games!$K$2:$K$18,"Missing game",0)</x:f>
        <x:v>-6</x:v>
      </x:c>
      <x:c r="AQ1016" t="n">
        <x:f>_xlfn.XLOOKUP($A1016,Games!$A$2:$A$18,Games!$L$2:$L$18,"Missing game",0)</x:f>
        <x:v>50</x:v>
      </x:c>
      <x:c r="AR1016" t="n">
        <x:f>_xlfn.XLOOKUP($A1016,Games!$A$2:$A$18,Games!$M$2:$M$18,"Missing game",0)</x:f>
        <x:v>0</x:v>
      </x:c>
      <x:c r="AS1016" t="str">
        <x:f>_xlfn.XLOOKUP($A1016,Games!$A$2:$A$18,Games!$N$2:$N$18,"Missing game",0)</x:f>
        <x:v>dome</x:v>
      </x:c>
      <x:c r="AT1016" t="str">
        <x:f>_xlfn.XLOOKUP($A1016,Games!$A$2:$A$18,Games!$O$2:$O$18,"Missing game",0)</x:f>
        <x:v>sportturf</x:v>
      </x:c>
      <x:c r="AU1016" t="str">
        <x:f>_xlfn.XLOOKUP($A1016,Games!$A$2:$A$18,Games!$P$2:$P$18,"Missing game",0)</x:f>
      </x:c>
      <x:c r="AV1016" t="str">
        <x:f>_xlfn.XLOOKUP($A1016,Games!$A$2:$A$18,Games!$Q$2:$Q$18,"Missing game",0)</x:f>
      </x:c>
      <x:c r="AW1016" t="str">
        <x:f>_xlfn.XLOOKUP($A1016,Games!$A$2:$A$18,Games!$R$2:$R$18,"Missing game",0)</x:f>
        <x:v>U.S. Bank Stadium</x:v>
      </x:c>
    </x:row>
    <x:row r="1017">
      <x:c r="A1017" t="str">
        <x:v>2025_08_MIN_LAC</x:v>
      </x:c>
      <x:c r="B1017" t="n">
        <x:v>1</x:v>
      </x:c>
      <x:c r="C1017" t="n">
        <x:v>1</x:v>
      </x:c>
      <x:c r="D1017" t="str">
        <x:v>15:00</x:v>
      </x:c>
      <x:c r="E1017"/>
      <x:c r="F1017" t="n">
        <x:v>0</x:v>
      </x:c>
      <x:c r="G1017"/>
      <x:c r="H1017"/>
      <x:c r="I1017"/>
      <x:c r="J1017"/>
      <x:c r="K1017" t="str">
        <x:v>GAME</x:v>
      </x:c>
      <x:c r="L1017"/>
      <x:c r="M1017"/>
      <x:c r="N1017" t="n">
        <x:v>0</x:v>
      </x:c>
      <x:c r="O1017" t="n">
        <x:v>0</x:v>
      </x:c>
      <x:c r="P1017"/>
      <x:c r="Q1017"/>
      <x:c r="R1017"/>
      <x:c r="S1017"/>
      <x:c r="T1017"/>
      <x:c r="U1017"/>
      <x:c r="V1017"/>
      <x:c r="W1017"/>
      <x:c r="X1017"/>
      <x:c r="Y1017"/>
      <x:c r="Z1017"/>
      <x:c r="AA1017"/>
      <x:c r="AB1017"/>
      <x:c r="AC1017"/>
      <x:c r="AD1017" t="n">
        <x:v>0</x:v>
      </x:c>
      <x:c r="AE1017" t="n">
        <x:v>0</x:v>
      </x:c>
      <x:c r="AF1017" t="n">
        <x:v>0</x:v>
      </x:c>
      <x:c r="AG1017" t="n">
        <x:f>_xlfn.XLOOKUP($A1017,Games!$A$2:$A$18,Games!$B$2:$B$18,"Missing game",0)</x:f>
        <x:v>2025</x:v>
      </x:c>
      <x:c r="AH1017" t="str">
        <x:f>_xlfn.XLOOKUP($A1017,Games!$A$2:$A$18,Games!$C$2:$C$18,"Missing game",0)</x:f>
        <x:v>REG</x:v>
      </x:c>
      <x:c r="AI1017" t="n">
        <x:f>_xlfn.XLOOKUP($A1017,Games!$A$2:$A$18,Games!$D$2:$D$18,"Missing game",0)</x:f>
        <x:v>8</x:v>
      </x:c>
      <x:c r="AJ1017" s="1" t="n">
        <x:f>_xlfn.XLOOKUP($A1017,Games!$A$2:$A$18,Games!$E$2:$E$18,"Missing game",0)</x:f>
        <x:v>45953</x:v>
      </x:c>
      <x:c r="AK1017" t="str">
        <x:f>_xlfn.XLOOKUP($A1017,Games!$A$2:$A$18,Games!$F$2:$F$18,"Missing game",0)</x:f>
        <x:v>Thursday</x:v>
      </x:c>
      <x:c r="AL1017" t="str">
        <x:f>_xlfn.XLOOKUP($A1017,Games!$A$2:$A$18,Games!$G$2:$G$18,"Missing game",0)</x:f>
        <x:v>MIN</x:v>
      </x:c>
      <x:c r="AM1017" t="n">
        <x:f>_xlfn.XLOOKUP($A1017,Games!$A$2:$A$18,Games!$H$2:$H$18,"Missing game",0)</x:f>
        <x:v>10</x:v>
      </x:c>
      <x:c r="AN1017" t="str">
        <x:f>_xlfn.XLOOKUP($A1017,Games!$A$2:$A$18,Games!$I$2:$I$18,"Missing game",0)</x:f>
        <x:v>LAC</x:v>
      </x:c>
      <x:c r="AO1017" t="n">
        <x:f>_xlfn.XLOOKUP($A1017,Games!$A$2:$A$18,Games!$J$2:$J$18,"Missing game",0)</x:f>
        <x:v>37</x:v>
      </x:c>
      <x:c r="AP1017" t="n">
        <x:f>_xlfn.XLOOKUP($A1017,Games!$A$2:$A$18,Games!$K$2:$K$18,"Missing game",0)</x:f>
        <x:v>27</x:v>
      </x:c>
      <x:c r="AQ1017" t="n">
        <x:f>_xlfn.XLOOKUP($A1017,Games!$A$2:$A$18,Games!$L$2:$L$18,"Missing game",0)</x:f>
        <x:v>47</x:v>
      </x:c>
      <x:c r="AR1017" t="n">
        <x:f>_xlfn.XLOOKUP($A1017,Games!$A$2:$A$18,Games!$M$2:$M$18,"Missing game",0)</x:f>
        <x:v>0</x:v>
      </x:c>
      <x:c r="AS1017" t="str">
        <x:f>_xlfn.XLOOKUP($A1017,Games!$A$2:$A$18,Games!$N$2:$N$18,"Missing game",0)</x:f>
        <x:v>dome</x:v>
      </x:c>
      <x:c r="AT1017" t="str">
        <x:f>_xlfn.XLOOKUP($A1017,Games!$A$2:$A$18,Games!$O$2:$O$18,"Missing game",0)</x:f>
        <x:v>matrixturf</x:v>
      </x:c>
      <x:c r="AU1017" t="str">
        <x:f>_xlfn.XLOOKUP($A1017,Games!$A$2:$A$18,Games!$P$2:$P$18,"Missing game",0)</x:f>
      </x:c>
      <x:c r="AV1017" t="str">
        <x:f>_xlfn.XLOOKUP($A1017,Games!$A$2:$A$18,Games!$Q$2:$Q$18,"Missing game",0)</x:f>
      </x:c>
      <x:c r="AW1017" t="str">
        <x:f>_xlfn.XLOOKUP($A1017,Games!$A$2:$A$18,Games!$R$2:$R$18,"Missing game",0)</x:f>
        <x:v>SoFi Stadium</x:v>
      </x:c>
    </x:row>
    <x:row r="1018">
      <x:c r="A1018" t="str">
        <x:v>2025_08_MIN_LAC</x:v>
      </x:c>
      <x:c r="B1018" t="n">
        <x:v>40</x:v>
      </x:c>
      <x:c r="C1018" t="n">
        <x:v>1</x:v>
      </x:c>
      <x:c r="D1018" t="str">
        <x:v>15:00</x:v>
      </x:c>
      <x:c r="E1018"/>
      <x:c r="F1018" t="n">
        <x:v>0</x:v>
      </x:c>
      <x:c r="G1018" t="str">
        <x:v>MIN</x:v>
      </x:c>
      <x:c r="H1018" t="str">
        <x:v>LAC</x:v>
      </x:c>
      <x:c r="I1018" t="str">
        <x:v>LAC</x:v>
      </x:c>
      <x:c r="J1018" t="n">
        <x:v>35</x:v>
      </x:c>
      <x:c r="K1018" t="str">
        <x:v>11-C.Dicker kicks 65 yards from LAC 35 to MIN 0. 4-M.Price pushed ob at MIN 46 for 46 yards (11-C.Dicker). PENALTY on MIN-96-T.Batty, Offensive Holding, 10 yards, enforced at MIN 26.</x:v>
      </x:c>
      <x:c r="L1018" t="str">
        <x:v>kickoff</x:v>
      </x:c>
      <x:c r="M1018" t="n">
        <x:v>0</x:v>
      </x:c>
      <x:c r="N1018" t="n">
        <x:v>0</x:v>
      </x:c>
      <x:c r="O1018" t="n">
        <x:v>0</x:v>
      </x:c>
      <x:c r="P1018"/>
      <x:c r="Q1018"/>
      <x:c r="R1018"/>
      <x:c r="S1018"/>
      <x:c r="T1018"/>
      <x:c r="U1018"/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1</x:v>
      </x:c>
      <x:c r="AB1018" t="n">
        <x:v>10</x:v>
      </x:c>
      <x:c r="AC1018" t="n">
        <x:v>0</x:v>
      </x:c>
      <x:c r="AD1018" t="n">
        <x:v>-0.5547201493754983</x:v>
      </x:c>
      <x:c r="AE1018" t="n">
        <x:v>0</x:v>
      </x:c>
      <x:c r="AF1018" t="n">
        <x:v>-0.015891432762145996</x:v>
      </x:c>
      <x:c r="AG1018" t="n">
        <x:f>_xlfn.XLOOKUP($A1018,Games!$A$2:$A$18,Games!$B$2:$B$18,"Missing game",0)</x:f>
        <x:v>2025</x:v>
      </x:c>
      <x:c r="AH1018" t="str">
        <x:f>_xlfn.XLOOKUP($A1018,Games!$A$2:$A$18,Games!$C$2:$C$18,"Missing game",0)</x:f>
        <x:v>REG</x:v>
      </x:c>
      <x:c r="AI1018" t="n">
        <x:f>_xlfn.XLOOKUP($A1018,Games!$A$2:$A$18,Games!$D$2:$D$18,"Missing game",0)</x:f>
        <x:v>8</x:v>
      </x:c>
      <x:c r="AJ1018" s="1" t="n">
        <x:f>_xlfn.XLOOKUP($A1018,Games!$A$2:$A$18,Games!$E$2:$E$18,"Missing game",0)</x:f>
        <x:v>45953</x:v>
      </x:c>
      <x:c r="AK1018" t="str">
        <x:f>_xlfn.XLOOKUP($A1018,Games!$A$2:$A$18,Games!$F$2:$F$18,"Missing game",0)</x:f>
        <x:v>Thursday</x:v>
      </x:c>
      <x:c r="AL1018" t="str">
        <x:f>_xlfn.XLOOKUP($A1018,Games!$A$2:$A$18,Games!$G$2:$G$18,"Missing game",0)</x:f>
        <x:v>MIN</x:v>
      </x:c>
      <x:c r="AM1018" t="n">
        <x:f>_xlfn.XLOOKUP($A1018,Games!$A$2:$A$18,Games!$H$2:$H$18,"Missing game",0)</x:f>
        <x:v>10</x:v>
      </x:c>
      <x:c r="AN1018" t="str">
        <x:f>_xlfn.XLOOKUP($A1018,Games!$A$2:$A$18,Games!$I$2:$I$18,"Missing game",0)</x:f>
        <x:v>LAC</x:v>
      </x:c>
      <x:c r="AO1018" t="n">
        <x:f>_xlfn.XLOOKUP($A1018,Games!$A$2:$A$18,Games!$J$2:$J$18,"Missing game",0)</x:f>
        <x:v>37</x:v>
      </x:c>
      <x:c r="AP1018" t="n">
        <x:f>_xlfn.XLOOKUP($A1018,Games!$A$2:$A$18,Games!$K$2:$K$18,"Missing game",0)</x:f>
        <x:v>27</x:v>
      </x:c>
      <x:c r="AQ1018" t="n">
        <x:f>_xlfn.XLOOKUP($A1018,Games!$A$2:$A$18,Games!$L$2:$L$18,"Missing game",0)</x:f>
        <x:v>47</x:v>
      </x:c>
      <x:c r="AR1018" t="n">
        <x:f>_xlfn.XLOOKUP($A1018,Games!$A$2:$A$18,Games!$M$2:$M$18,"Missing game",0)</x:f>
        <x:v>0</x:v>
      </x:c>
      <x:c r="AS1018" t="str">
        <x:f>_xlfn.XLOOKUP($A1018,Games!$A$2:$A$18,Games!$N$2:$N$18,"Missing game",0)</x:f>
        <x:v>dome</x:v>
      </x:c>
      <x:c r="AT1018" t="str">
        <x:f>_xlfn.XLOOKUP($A1018,Games!$A$2:$A$18,Games!$O$2:$O$18,"Missing game",0)</x:f>
        <x:v>matrixturf</x:v>
      </x:c>
      <x:c r="AU1018" t="str">
        <x:f>_xlfn.XLOOKUP($A1018,Games!$A$2:$A$18,Games!$P$2:$P$18,"Missing game",0)</x:f>
      </x:c>
      <x:c r="AV1018" t="str">
        <x:f>_xlfn.XLOOKUP($A1018,Games!$A$2:$A$18,Games!$Q$2:$Q$18,"Missing game",0)</x:f>
      </x:c>
      <x:c r="AW1018" t="str">
        <x:f>_xlfn.XLOOKUP($A1018,Games!$A$2:$A$18,Games!$R$2:$R$18,"Missing game",0)</x:f>
        <x:v>SoFi Stadium</x:v>
      </x:c>
    </x:row>
    <x:row r="1019">
      <x:c r="A1019" t="str">
        <x:v>2025_08_MIN_LAC</x:v>
      </x:c>
      <x:c r="B1019" t="n">
        <x:v>74</x:v>
      </x:c>
      <x:c r="C1019" t="n">
        <x:v>1</x:v>
      </x:c>
      <x:c r="D1019" t="str">
        <x:v>14:50</x:v>
      </x:c>
      <x:c r="E1019" t="n">
        <x:v>1</x:v>
      </x:c>
      <x:c r="F1019" t="n">
        <x:v>10</x:v>
      </x:c>
      <x:c r="G1019" t="str">
        <x:v>MIN</x:v>
      </x:c>
      <x:c r="H1019" t="str">
        <x:v>LAC</x:v>
      </x:c>
      <x:c r="I1019" t="str">
        <x:v>MIN</x:v>
      </x:c>
      <x:c r="J1019" t="n">
        <x:v>84</x:v>
      </x:c>
      <x:c r="K1019" t="str">
        <x:v>(14:50) (Shotgun) 11-C.Wentz pass incomplete short left to 33-A.Jones.</x:v>
      </x:c>
      <x:c r="L1019" t="str">
        <x:v>pass</x:v>
      </x:c>
      <x:c r="M1019" t="n">
        <x:v>0</x:v>
      </x:c>
      <x:c r="N1019" t="n">
        <x:v>1</x:v>
      </x:c>
      <x:c r="O1019" t="n">
        <x:v>0</x:v>
      </x:c>
      <x:c r="P1019" t="str">
        <x:v>short</x:v>
      </x:c>
      <x:c r="Q1019" t="str">
        <x:v>left</x:v>
      </x:c>
      <x:c r="R1019" t="n">
        <x:v>-6</x:v>
      </x:c>
      <x:c r="S1019"/>
      <x:c r="T1019"/>
      <x:c r="U1019"/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/>
      <x:c r="AC1019" t="n">
        <x:v>0</x:v>
      </x:c>
      <x:c r="AD1019" t="n">
        <x:v>-0.6817890498787165</x:v>
      </x:c>
      <x:c r="AE1019" t="n">
        <x:v>0</x:v>
      </x:c>
      <x:c r="AF1019" t="n">
        <x:v>-0.012759804725646973</x:v>
      </x:c>
      <x:c r="AG1019" t="n">
        <x:f>_xlfn.XLOOKUP($A1019,Games!$A$2:$A$18,Games!$B$2:$B$18,"Missing game",0)</x:f>
        <x:v>2025</x:v>
      </x:c>
      <x:c r="AH1019" t="str">
        <x:f>_xlfn.XLOOKUP($A1019,Games!$A$2:$A$18,Games!$C$2:$C$18,"Missing game",0)</x:f>
        <x:v>REG</x:v>
      </x:c>
      <x:c r="AI1019" t="n">
        <x:f>_xlfn.XLOOKUP($A1019,Games!$A$2:$A$18,Games!$D$2:$D$18,"Missing game",0)</x:f>
        <x:v>8</x:v>
      </x:c>
      <x:c r="AJ1019" s="1" t="n">
        <x:f>_xlfn.XLOOKUP($A1019,Games!$A$2:$A$18,Games!$E$2:$E$18,"Missing game",0)</x:f>
        <x:v>45953</x:v>
      </x:c>
      <x:c r="AK1019" t="str">
        <x:f>_xlfn.XLOOKUP($A1019,Games!$A$2:$A$18,Games!$F$2:$F$18,"Missing game",0)</x:f>
        <x:v>Thursday</x:v>
      </x:c>
      <x:c r="AL1019" t="str">
        <x:f>_xlfn.XLOOKUP($A1019,Games!$A$2:$A$18,Games!$G$2:$G$18,"Missing game",0)</x:f>
        <x:v>MIN</x:v>
      </x:c>
      <x:c r="AM1019" t="n">
        <x:f>_xlfn.XLOOKUP($A1019,Games!$A$2:$A$18,Games!$H$2:$H$18,"Missing game",0)</x:f>
        <x:v>10</x:v>
      </x:c>
      <x:c r="AN1019" t="str">
        <x:f>_xlfn.XLOOKUP($A1019,Games!$A$2:$A$18,Games!$I$2:$I$18,"Missing game",0)</x:f>
        <x:v>LAC</x:v>
      </x:c>
      <x:c r="AO1019" t="n">
        <x:f>_xlfn.XLOOKUP($A1019,Games!$A$2:$A$18,Games!$J$2:$J$18,"Missing game",0)</x:f>
        <x:v>37</x:v>
      </x:c>
      <x:c r="AP1019" t="n">
        <x:f>_xlfn.XLOOKUP($A1019,Games!$A$2:$A$18,Games!$K$2:$K$18,"Missing game",0)</x:f>
        <x:v>27</x:v>
      </x:c>
      <x:c r="AQ1019" t="n">
        <x:f>_xlfn.XLOOKUP($A1019,Games!$A$2:$A$18,Games!$L$2:$L$18,"Missing game",0)</x:f>
        <x:v>47</x:v>
      </x:c>
      <x:c r="AR1019" t="n">
        <x:f>_xlfn.XLOOKUP($A1019,Games!$A$2:$A$18,Games!$M$2:$M$18,"Missing game",0)</x:f>
        <x:v>0</x:v>
      </x:c>
      <x:c r="AS1019" t="str">
        <x:f>_xlfn.XLOOKUP($A1019,Games!$A$2:$A$18,Games!$N$2:$N$18,"Missing game",0)</x:f>
        <x:v>dome</x:v>
      </x:c>
      <x:c r="AT1019" t="str">
        <x:f>_xlfn.XLOOKUP($A1019,Games!$A$2:$A$18,Games!$O$2:$O$18,"Missing game",0)</x:f>
        <x:v>matrixturf</x:v>
      </x:c>
      <x:c r="AU1019" t="str">
        <x:f>_xlfn.XLOOKUP($A1019,Games!$A$2:$A$18,Games!$P$2:$P$18,"Missing game",0)</x:f>
      </x:c>
      <x:c r="AV1019" t="str">
        <x:f>_xlfn.XLOOKUP($A1019,Games!$A$2:$A$18,Games!$Q$2:$Q$18,"Missing game",0)</x:f>
      </x:c>
      <x:c r="AW1019" t="str">
        <x:f>_xlfn.XLOOKUP($A1019,Games!$A$2:$A$18,Games!$R$2:$R$18,"Missing game",0)</x:f>
        <x:v>SoFi Stadium</x:v>
      </x:c>
    </x:row>
    <x:row r="1020">
      <x:c r="A1020" t="str">
        <x:v>2025_08_MIN_LAC</x:v>
      </x:c>
      <x:c r="B1020" t="n">
        <x:v>102</x:v>
      </x:c>
      <x:c r="C1020" t="n">
        <x:v>1</x:v>
      </x:c>
      <x:c r="D1020" t="str">
        <x:v>14:46</x:v>
      </x:c>
      <x:c r="E1020" t="n">
        <x:v>2</x:v>
      </x:c>
      <x:c r="F1020" t="n">
        <x:v>10</x:v>
      </x:c>
      <x:c r="G1020" t="str">
        <x:v>MIN</x:v>
      </x:c>
      <x:c r="H1020" t="str">
        <x:v>LAC</x:v>
      </x:c>
      <x:c r="I1020" t="str">
        <x:v>MIN</x:v>
      </x:c>
      <x:c r="J1020" t="n">
        <x:v>84</x:v>
      </x:c>
      <x:c r="K1020" t="str">
        <x:v>(14:46) (Shotgun) 33-A.Jones up the middle to MIN 16 for no gain (6-D.Perryman).</x:v>
      </x:c>
      <x:c r="L1020" t="str">
        <x:v>run</x:v>
      </x:c>
      <x:c r="M1020" t="n">
        <x:v>0</x:v>
      </x:c>
      <x:c r="N1020" t="n">
        <x:v>1</x:v>
      </x:c>
      <x:c r="O1020" t="n">
        <x:v>0</x:v>
      </x:c>
      <x:c r="P1020"/>
      <x:c r="Q1020"/>
      <x:c r="R1020"/>
      <x:c r="S1020"/>
      <x:c r="T1020" t="str">
        <x:v>middle</x:v>
      </x:c>
      <x:c r="U1020"/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/>
      <x:c r="AC1020" t="n">
        <x:v>0</x:v>
      </x:c>
      <x:c r="AD1020" t="n">
        <x:v>-0.7813854729756713</x:v>
      </x:c>
      <x:c r="AE1020" t="n">
        <x:v>0</x:v>
      </x:c>
      <x:c r="AF1020" t="n">
        <x:v>-0.025137752294540405</x:v>
      </x:c>
      <x:c r="AG1020" t="n">
        <x:f>_xlfn.XLOOKUP($A1020,Games!$A$2:$A$18,Games!$B$2:$B$18,"Missing game",0)</x:f>
        <x:v>2025</x:v>
      </x:c>
      <x:c r="AH1020" t="str">
        <x:f>_xlfn.XLOOKUP($A1020,Games!$A$2:$A$18,Games!$C$2:$C$18,"Missing game",0)</x:f>
        <x:v>REG</x:v>
      </x:c>
      <x:c r="AI1020" t="n">
        <x:f>_xlfn.XLOOKUP($A1020,Games!$A$2:$A$18,Games!$D$2:$D$18,"Missing game",0)</x:f>
        <x:v>8</x:v>
      </x:c>
      <x:c r="AJ1020" s="1" t="n">
        <x:f>_xlfn.XLOOKUP($A1020,Games!$A$2:$A$18,Games!$E$2:$E$18,"Missing game",0)</x:f>
        <x:v>45953</x:v>
      </x:c>
      <x:c r="AK1020" t="str">
        <x:f>_xlfn.XLOOKUP($A1020,Games!$A$2:$A$18,Games!$F$2:$F$18,"Missing game",0)</x:f>
        <x:v>Thursday</x:v>
      </x:c>
      <x:c r="AL1020" t="str">
        <x:f>_xlfn.XLOOKUP($A1020,Games!$A$2:$A$18,Games!$G$2:$G$18,"Missing game",0)</x:f>
        <x:v>MIN</x:v>
      </x:c>
      <x:c r="AM1020" t="n">
        <x:f>_xlfn.XLOOKUP($A1020,Games!$A$2:$A$18,Games!$H$2:$H$18,"Missing game",0)</x:f>
        <x:v>10</x:v>
      </x:c>
      <x:c r="AN1020" t="str">
        <x:f>_xlfn.XLOOKUP($A1020,Games!$A$2:$A$18,Games!$I$2:$I$18,"Missing game",0)</x:f>
        <x:v>LAC</x:v>
      </x:c>
      <x:c r="AO1020" t="n">
        <x:f>_xlfn.XLOOKUP($A1020,Games!$A$2:$A$18,Games!$J$2:$J$18,"Missing game",0)</x:f>
        <x:v>37</x:v>
      </x:c>
      <x:c r="AP1020" t="n">
        <x:f>_xlfn.XLOOKUP($A1020,Games!$A$2:$A$18,Games!$K$2:$K$18,"Missing game",0)</x:f>
        <x:v>27</x:v>
      </x:c>
      <x:c r="AQ1020" t="n">
        <x:f>_xlfn.XLOOKUP($A1020,Games!$A$2:$A$18,Games!$L$2:$L$18,"Missing game",0)</x:f>
        <x:v>47</x:v>
      </x:c>
      <x:c r="AR1020" t="n">
        <x:f>_xlfn.XLOOKUP($A1020,Games!$A$2:$A$18,Games!$M$2:$M$18,"Missing game",0)</x:f>
        <x:v>0</x:v>
      </x:c>
      <x:c r="AS1020" t="str">
        <x:f>_xlfn.XLOOKUP($A1020,Games!$A$2:$A$18,Games!$N$2:$N$18,"Missing game",0)</x:f>
        <x:v>dome</x:v>
      </x:c>
      <x:c r="AT1020" t="str">
        <x:f>_xlfn.XLOOKUP($A1020,Games!$A$2:$A$18,Games!$O$2:$O$18,"Missing game",0)</x:f>
        <x:v>matrixturf</x:v>
      </x:c>
      <x:c r="AU1020" t="str">
        <x:f>_xlfn.XLOOKUP($A1020,Games!$A$2:$A$18,Games!$P$2:$P$18,"Missing game",0)</x:f>
      </x:c>
      <x:c r="AV1020" t="str">
        <x:f>_xlfn.XLOOKUP($A1020,Games!$A$2:$A$18,Games!$Q$2:$Q$18,"Missing game",0)</x:f>
      </x:c>
      <x:c r="AW1020" t="str">
        <x:f>_xlfn.XLOOKUP($A1020,Games!$A$2:$A$18,Games!$R$2:$R$18,"Missing game",0)</x:f>
        <x:v>SoFi Stadium</x:v>
      </x:c>
    </x:row>
    <x:row r="1021">
      <x:c r="A1021" t="str">
        <x:v>2025_08_MIN_LAC</x:v>
      </x:c>
      <x:c r="B1021" t="n">
        <x:v>124</x:v>
      </x:c>
      <x:c r="C1021" t="n">
        <x:v>1</x:v>
      </x:c>
      <x:c r="D1021" t="str">
        <x:v>14:03</x:v>
      </x:c>
      <x:c r="E1021" t="n">
        <x:v>3</x:v>
      </x:c>
      <x:c r="F1021" t="n">
        <x:v>10</x:v>
      </x:c>
      <x:c r="G1021" t="str">
        <x:v>MIN</x:v>
      </x:c>
      <x:c r="H1021" t="str">
        <x:v>LAC</x:v>
      </x:c>
      <x:c r="I1021" t="str">
        <x:v>MIN</x:v>
      </x:c>
      <x:c r="J1021" t="n">
        <x:v>84</x:v>
      </x:c>
      <x:c r="K1021" t="str">
        <x:v>(14:03) (Shotgun) 11-C.Wentz pass deep left to 18-J.Jefferson to MIN 32 for 16 yards (24-B.St-Juste) [0-D.Henley].</x:v>
      </x:c>
      <x:c r="L1021" t="str">
        <x:v>pass</x:v>
      </x:c>
      <x:c r="M1021" t="n">
        <x:v>16</x:v>
      </x:c>
      <x:c r="N1021" t="n">
        <x:v>1</x:v>
      </x:c>
      <x:c r="O1021" t="n">
        <x:v>0</x:v>
      </x:c>
      <x:c r="P1021" t="str">
        <x:v>deep</x:v>
      </x:c>
      <x:c r="Q1021" t="str">
        <x:v>left</x:v>
      </x:c>
      <x:c r="R1021" t="n">
        <x:v>16</x:v>
      </x:c>
      <x:c r="S1021" t="n">
        <x:v>0</x:v>
      </x:c>
      <x:c r="T1021"/>
      <x:c r="U1021"/>
      <x:c r="V1021" t="n">
        <x:v>1</x:v>
      </x:c>
      <x:c r="W1021" t="n">
        <x:v>1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/>
      <x:c r="AC1021" t="n">
        <x:v>0</x:v>
      </x:c>
      <x:c r="AD1021" t="n">
        <x:v>2.597128297202289</x:v>
      </x:c>
      <x:c r="AE1021" t="n">
        <x:v>1</x:v>
      </x:c>
      <x:c r="AF1021" t="n">
        <x:v>0.060209721326828</x:v>
      </x:c>
      <x:c r="AG1021" t="n">
        <x:f>_xlfn.XLOOKUP($A1021,Games!$A$2:$A$18,Games!$B$2:$B$18,"Missing game",0)</x:f>
        <x:v>2025</x:v>
      </x:c>
      <x:c r="AH1021" t="str">
        <x:f>_xlfn.XLOOKUP($A1021,Games!$A$2:$A$18,Games!$C$2:$C$18,"Missing game",0)</x:f>
        <x:v>REG</x:v>
      </x:c>
      <x:c r="AI1021" t="n">
        <x:f>_xlfn.XLOOKUP($A1021,Games!$A$2:$A$18,Games!$D$2:$D$18,"Missing game",0)</x:f>
        <x:v>8</x:v>
      </x:c>
      <x:c r="AJ1021" s="1" t="n">
        <x:f>_xlfn.XLOOKUP($A1021,Games!$A$2:$A$18,Games!$E$2:$E$18,"Missing game",0)</x:f>
        <x:v>45953</x:v>
      </x:c>
      <x:c r="AK1021" t="str">
        <x:f>_xlfn.XLOOKUP($A1021,Games!$A$2:$A$18,Games!$F$2:$F$18,"Missing game",0)</x:f>
        <x:v>Thursday</x:v>
      </x:c>
      <x:c r="AL1021" t="str">
        <x:f>_xlfn.XLOOKUP($A1021,Games!$A$2:$A$18,Games!$G$2:$G$18,"Missing game",0)</x:f>
        <x:v>MIN</x:v>
      </x:c>
      <x:c r="AM1021" t="n">
        <x:f>_xlfn.XLOOKUP($A1021,Games!$A$2:$A$18,Games!$H$2:$H$18,"Missing game",0)</x:f>
        <x:v>10</x:v>
      </x:c>
      <x:c r="AN1021" t="str">
        <x:f>_xlfn.XLOOKUP($A1021,Games!$A$2:$A$18,Games!$I$2:$I$18,"Missing game",0)</x:f>
        <x:v>LAC</x:v>
      </x:c>
      <x:c r="AO1021" t="n">
        <x:f>_xlfn.XLOOKUP($A1021,Games!$A$2:$A$18,Games!$J$2:$J$18,"Missing game",0)</x:f>
        <x:v>37</x:v>
      </x:c>
      <x:c r="AP1021" t="n">
        <x:f>_xlfn.XLOOKUP($A1021,Games!$A$2:$A$18,Games!$K$2:$K$18,"Missing game",0)</x:f>
        <x:v>27</x:v>
      </x:c>
      <x:c r="AQ1021" t="n">
        <x:f>_xlfn.XLOOKUP($A1021,Games!$A$2:$A$18,Games!$L$2:$L$18,"Missing game",0)</x:f>
        <x:v>47</x:v>
      </x:c>
      <x:c r="AR1021" t="n">
        <x:f>_xlfn.XLOOKUP($A1021,Games!$A$2:$A$18,Games!$M$2:$M$18,"Missing game",0)</x:f>
        <x:v>0</x:v>
      </x:c>
      <x:c r="AS1021" t="str">
        <x:f>_xlfn.XLOOKUP($A1021,Games!$A$2:$A$18,Games!$N$2:$N$18,"Missing game",0)</x:f>
        <x:v>dome</x:v>
      </x:c>
      <x:c r="AT1021" t="str">
        <x:f>_xlfn.XLOOKUP($A1021,Games!$A$2:$A$18,Games!$O$2:$O$18,"Missing game",0)</x:f>
        <x:v>matrixturf</x:v>
      </x:c>
      <x:c r="AU1021" t="str">
        <x:f>_xlfn.XLOOKUP($A1021,Games!$A$2:$A$18,Games!$P$2:$P$18,"Missing game",0)</x:f>
      </x:c>
      <x:c r="AV1021" t="str">
        <x:f>_xlfn.XLOOKUP($A1021,Games!$A$2:$A$18,Games!$Q$2:$Q$18,"Missing game",0)</x:f>
      </x:c>
      <x:c r="AW1021" t="str">
        <x:f>_xlfn.XLOOKUP($A1021,Games!$A$2:$A$18,Games!$R$2:$R$18,"Missing game",0)</x:f>
        <x:v>SoFi Stadium</x:v>
      </x:c>
    </x:row>
    <x:row r="1022">
      <x:c r="A1022" t="str">
        <x:v>2025_08_MIN_LAC</x:v>
      </x:c>
      <x:c r="B1022" t="n">
        <x:v>149</x:v>
      </x:c>
      <x:c r="C1022" t="n">
        <x:v>1</x:v>
      </x:c>
      <x:c r="D1022" t="str">
        <x:v>13:19</x:v>
      </x:c>
      <x:c r="E1022" t="n">
        <x:v>1</x:v>
      </x:c>
      <x:c r="F1022" t="n">
        <x:v>10</x:v>
      </x:c>
      <x:c r="G1022" t="str">
        <x:v>MIN</x:v>
      </x:c>
      <x:c r="H1022" t="str">
        <x:v>LAC</x:v>
      </x:c>
      <x:c r="I1022" t="str">
        <x:v>MIN</x:v>
      </x:c>
      <x:c r="J1022" t="n">
        <x:v>68</x:v>
      </x:c>
      <x:c r="K1022" t="str">
        <x:v>(13:19) 27-J.Mason left tackle to MIN 34 for 2 yards (24-B.St-Juste).</x:v>
      </x:c>
      <x:c r="L1022" t="str">
        <x:v>run</x:v>
      </x:c>
      <x:c r="M1022" t="n">
        <x:v>2</x:v>
      </x:c>
      <x:c r="N1022" t="n">
        <x:v>0</x:v>
      </x:c>
      <x:c r="O1022" t="n">
        <x:v>0</x:v>
      </x:c>
      <x:c r="P1022"/>
      <x:c r="Q1022"/>
      <x:c r="R1022"/>
      <x:c r="S1022"/>
      <x:c r="T1022" t="str">
        <x:v>left</x:v>
      </x:c>
      <x:c r="U1022" t="str">
        <x:v>tackle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/>
      <x:c r="AC1022" t="n">
        <x:v>0</x:v>
      </x:c>
      <x:c r="AD1022" t="n">
        <x:v>-0.5694185346364975</x:v>
      </x:c>
      <x:c r="AE1022" t="n">
        <x:v>0</x:v>
      </x:c>
      <x:c r="AF1022" t="n">
        <x:v>-0.00904121994972229</x:v>
      </x:c>
      <x:c r="AG1022" t="n">
        <x:f>_xlfn.XLOOKUP($A1022,Games!$A$2:$A$18,Games!$B$2:$B$18,"Missing game",0)</x:f>
        <x:v>2025</x:v>
      </x:c>
      <x:c r="AH1022" t="str">
        <x:f>_xlfn.XLOOKUP($A1022,Games!$A$2:$A$18,Games!$C$2:$C$18,"Missing game",0)</x:f>
        <x:v>REG</x:v>
      </x:c>
      <x:c r="AI1022" t="n">
        <x:f>_xlfn.XLOOKUP($A1022,Games!$A$2:$A$18,Games!$D$2:$D$18,"Missing game",0)</x:f>
        <x:v>8</x:v>
      </x:c>
      <x:c r="AJ1022" s="1" t="n">
        <x:f>_xlfn.XLOOKUP($A1022,Games!$A$2:$A$18,Games!$E$2:$E$18,"Missing game",0)</x:f>
        <x:v>45953</x:v>
      </x:c>
      <x:c r="AK1022" t="str">
        <x:f>_xlfn.XLOOKUP($A1022,Games!$A$2:$A$18,Games!$F$2:$F$18,"Missing game",0)</x:f>
        <x:v>Thursday</x:v>
      </x:c>
      <x:c r="AL1022" t="str">
        <x:f>_xlfn.XLOOKUP($A1022,Games!$A$2:$A$18,Games!$G$2:$G$18,"Missing game",0)</x:f>
        <x:v>MIN</x:v>
      </x:c>
      <x:c r="AM1022" t="n">
        <x:f>_xlfn.XLOOKUP($A1022,Games!$A$2:$A$18,Games!$H$2:$H$18,"Missing game",0)</x:f>
        <x:v>10</x:v>
      </x:c>
      <x:c r="AN1022" t="str">
        <x:f>_xlfn.XLOOKUP($A1022,Games!$A$2:$A$18,Games!$I$2:$I$18,"Missing game",0)</x:f>
        <x:v>LAC</x:v>
      </x:c>
      <x:c r="AO1022" t="n">
        <x:f>_xlfn.XLOOKUP($A1022,Games!$A$2:$A$18,Games!$J$2:$J$18,"Missing game",0)</x:f>
        <x:v>37</x:v>
      </x:c>
      <x:c r="AP1022" t="n">
        <x:f>_xlfn.XLOOKUP($A1022,Games!$A$2:$A$18,Games!$K$2:$K$18,"Missing game",0)</x:f>
        <x:v>27</x:v>
      </x:c>
      <x:c r="AQ1022" t="n">
        <x:f>_xlfn.XLOOKUP($A1022,Games!$A$2:$A$18,Games!$L$2:$L$18,"Missing game",0)</x:f>
        <x:v>47</x:v>
      </x:c>
      <x:c r="AR1022" t="n">
        <x:f>_xlfn.XLOOKUP($A1022,Games!$A$2:$A$18,Games!$M$2:$M$18,"Missing game",0)</x:f>
        <x:v>0</x:v>
      </x:c>
      <x:c r="AS1022" t="str">
        <x:f>_xlfn.XLOOKUP($A1022,Games!$A$2:$A$18,Games!$N$2:$N$18,"Missing game",0)</x:f>
        <x:v>dome</x:v>
      </x:c>
      <x:c r="AT1022" t="str">
        <x:f>_xlfn.XLOOKUP($A1022,Games!$A$2:$A$18,Games!$O$2:$O$18,"Missing game",0)</x:f>
        <x:v>matrixturf</x:v>
      </x:c>
      <x:c r="AU1022" t="str">
        <x:f>_xlfn.XLOOKUP($A1022,Games!$A$2:$A$18,Games!$P$2:$P$18,"Missing game",0)</x:f>
      </x:c>
      <x:c r="AV1022" t="str">
        <x:f>_xlfn.XLOOKUP($A1022,Games!$A$2:$A$18,Games!$Q$2:$Q$18,"Missing game",0)</x:f>
      </x:c>
      <x:c r="AW1022" t="str">
        <x:f>_xlfn.XLOOKUP($A1022,Games!$A$2:$A$18,Games!$R$2:$R$18,"Missing game",0)</x:f>
        <x:v>SoFi Stadium</x:v>
      </x:c>
    </x:row>
    <x:row r="1023">
      <x:c r="A1023" t="str">
        <x:v>2025_08_MIN_LAC</x:v>
      </x:c>
      <x:c r="B1023" t="n">
        <x:v>171</x:v>
      </x:c>
      <x:c r="C1023" t="n">
        <x:v>1</x:v>
      </x:c>
      <x:c r="D1023" t="str">
        <x:v>12:37</x:v>
      </x:c>
      <x:c r="E1023" t="n">
        <x:v>2</x:v>
      </x:c>
      <x:c r="F1023" t="n">
        <x:v>8</x:v>
      </x:c>
      <x:c r="G1023" t="str">
        <x:v>MIN</x:v>
      </x:c>
      <x:c r="H1023" t="str">
        <x:v>LAC</x:v>
      </x:c>
      <x:c r="I1023" t="str">
        <x:v>MIN</x:v>
      </x:c>
      <x:c r="J1023" t="n">
        <x:v>66</x:v>
      </x:c>
      <x:c r="K1023" t="str">
        <x:v>(12:37) (Shotgun) 11-C.Wentz pass short right to 3-J.Addison to MIN 41 for 7 yards (29-T.Still).</x:v>
      </x:c>
      <x:c r="L1023" t="str">
        <x:v>pass</x:v>
      </x:c>
      <x:c r="M1023" t="n">
        <x:v>7</x:v>
      </x:c>
      <x:c r="N1023" t="n">
        <x:v>1</x:v>
      </x:c>
      <x:c r="O1023" t="n">
        <x:v>0</x:v>
      </x:c>
      <x:c r="P1023" t="str">
        <x:v>short</x:v>
      </x:c>
      <x:c r="Q1023" t="str">
        <x:v>right</x:v>
      </x:c>
      <x:c r="R1023" t="n">
        <x:v>1</x:v>
      </x:c>
      <x:c r="S1023" t="n">
        <x:v>6</x:v>
      </x:c>
      <x:c r="T1023"/>
      <x:c r="U1023"/>
      <x:c r="V1023" t="n">
        <x:v>1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/>
      <x:c r="AC1023" t="n">
        <x:v>0</x:v>
      </x:c>
      <x:c r="AD1023" t="n">
        <x:v>0.6243405966088176</x:v>
      </x:c>
      <x:c r="AE1023" t="n">
        <x:v>1</x:v>
      </x:c>
      <x:c r="AF1023" t="n">
        <x:v>-0.00426289439201355</x:v>
      </x:c>
      <x:c r="AG1023" t="n">
        <x:f>_xlfn.XLOOKUP($A1023,Games!$A$2:$A$18,Games!$B$2:$B$18,"Missing game",0)</x:f>
        <x:v>2025</x:v>
      </x:c>
      <x:c r="AH1023" t="str">
        <x:f>_xlfn.XLOOKUP($A1023,Games!$A$2:$A$18,Games!$C$2:$C$18,"Missing game",0)</x:f>
        <x:v>REG</x:v>
      </x:c>
      <x:c r="AI1023" t="n">
        <x:f>_xlfn.XLOOKUP($A1023,Games!$A$2:$A$18,Games!$D$2:$D$18,"Missing game",0)</x:f>
        <x:v>8</x:v>
      </x:c>
      <x:c r="AJ1023" s="1" t="n">
        <x:f>_xlfn.XLOOKUP($A1023,Games!$A$2:$A$18,Games!$E$2:$E$18,"Missing game",0)</x:f>
        <x:v>45953</x:v>
      </x:c>
      <x:c r="AK1023" t="str">
        <x:f>_xlfn.XLOOKUP($A1023,Games!$A$2:$A$18,Games!$F$2:$F$18,"Missing game",0)</x:f>
        <x:v>Thursday</x:v>
      </x:c>
      <x:c r="AL1023" t="str">
        <x:f>_xlfn.XLOOKUP($A1023,Games!$A$2:$A$18,Games!$G$2:$G$18,"Missing game",0)</x:f>
        <x:v>MIN</x:v>
      </x:c>
      <x:c r="AM1023" t="n">
        <x:f>_xlfn.XLOOKUP($A1023,Games!$A$2:$A$18,Games!$H$2:$H$18,"Missing game",0)</x:f>
        <x:v>10</x:v>
      </x:c>
      <x:c r="AN1023" t="str">
        <x:f>_xlfn.XLOOKUP($A1023,Games!$A$2:$A$18,Games!$I$2:$I$18,"Missing game",0)</x:f>
        <x:v>LAC</x:v>
      </x:c>
      <x:c r="AO1023" t="n">
        <x:f>_xlfn.XLOOKUP($A1023,Games!$A$2:$A$18,Games!$J$2:$J$18,"Missing game",0)</x:f>
        <x:v>37</x:v>
      </x:c>
      <x:c r="AP1023" t="n">
        <x:f>_xlfn.XLOOKUP($A1023,Games!$A$2:$A$18,Games!$K$2:$K$18,"Missing game",0)</x:f>
        <x:v>27</x:v>
      </x:c>
      <x:c r="AQ1023" t="n">
        <x:f>_xlfn.XLOOKUP($A1023,Games!$A$2:$A$18,Games!$L$2:$L$18,"Missing game",0)</x:f>
        <x:v>47</x:v>
      </x:c>
      <x:c r="AR1023" t="n">
        <x:f>_xlfn.XLOOKUP($A1023,Games!$A$2:$A$18,Games!$M$2:$M$18,"Missing game",0)</x:f>
        <x:v>0</x:v>
      </x:c>
      <x:c r="AS1023" t="str">
        <x:f>_xlfn.XLOOKUP($A1023,Games!$A$2:$A$18,Games!$N$2:$N$18,"Missing game",0)</x:f>
        <x:v>dome</x:v>
      </x:c>
      <x:c r="AT1023" t="str">
        <x:f>_xlfn.XLOOKUP($A1023,Games!$A$2:$A$18,Games!$O$2:$O$18,"Missing game",0)</x:f>
        <x:v>matrixturf</x:v>
      </x:c>
      <x:c r="AU1023" t="str">
        <x:f>_xlfn.XLOOKUP($A1023,Games!$A$2:$A$18,Games!$P$2:$P$18,"Missing game",0)</x:f>
      </x:c>
      <x:c r="AV1023" t="str">
        <x:f>_xlfn.XLOOKUP($A1023,Games!$A$2:$A$18,Games!$Q$2:$Q$18,"Missing game",0)</x:f>
      </x:c>
      <x:c r="AW1023" t="str">
        <x:f>_xlfn.XLOOKUP($A1023,Games!$A$2:$A$18,Games!$R$2:$R$18,"Missing game",0)</x:f>
        <x:v>SoFi Stadium</x:v>
      </x:c>
    </x:row>
    <x:row r="1024">
      <x:c r="A1024" t="str">
        <x:v>2025_08_MIN_LAC</x:v>
      </x:c>
      <x:c r="B1024" t="n">
        <x:v>196</x:v>
      </x:c>
      <x:c r="C1024" t="n">
        <x:v>1</x:v>
      </x:c>
      <x:c r="D1024" t="str">
        <x:v>11:54</x:v>
      </x:c>
      <x:c r="E1024" t="n">
        <x:v>3</x:v>
      </x:c>
      <x:c r="F1024" t="n">
        <x:v>1</x:v>
      </x:c>
      <x:c r="G1024" t="str">
        <x:v>MIN</x:v>
      </x:c>
      <x:c r="H1024" t="str">
        <x:v>LAC</x:v>
      </x:c>
      <x:c r="I1024" t="str">
        <x:v>MIN</x:v>
      </x:c>
      <x:c r="J1024" t="n">
        <x:v>59</x:v>
      </x:c>
      <x:c r="K1024" t="str">
        <x:v>(11:54) 11-C.Wentz pass incomplete short right.</x:v>
      </x:c>
      <x:c r="L1024" t="str">
        <x:v>pass</x:v>
      </x:c>
      <x:c r="M1024" t="n">
        <x:v>0</x:v>
      </x:c>
      <x:c r="N1024" t="n">
        <x:v>0</x:v>
      </x:c>
      <x:c r="O1024" t="n">
        <x:v>0</x:v>
      </x:c>
      <x:c r="P1024" t="str">
        <x:v>short</x:v>
      </x:c>
      <x:c r="Q1024" t="str">
        <x:v>right</x:v>
      </x:c>
      <x:c r="R1024" t="n">
        <x:v>-6</x:v>
      </x:c>
      <x:c r="S1024"/>
      <x:c r="T1024"/>
      <x:c r="U1024"/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/>
      <x:c r="AC1024" t="n">
        <x:v>0</x:v>
      </x:c>
      <x:c r="AD1024" t="n">
        <x:v>-1.7846304294653237</x:v>
      </x:c>
      <x:c r="AE1024" t="n">
        <x:v>0</x:v>
      </x:c>
      <x:c r="AF1024" t="n">
        <x:v>-0.02710270881652832</x:v>
      </x:c>
      <x:c r="AG1024" t="n">
        <x:f>_xlfn.XLOOKUP($A1024,Games!$A$2:$A$18,Games!$B$2:$B$18,"Missing game",0)</x:f>
        <x:v>2025</x:v>
      </x:c>
      <x:c r="AH1024" t="str">
        <x:f>_xlfn.XLOOKUP($A1024,Games!$A$2:$A$18,Games!$C$2:$C$18,"Missing game",0)</x:f>
        <x:v>REG</x:v>
      </x:c>
      <x:c r="AI1024" t="n">
        <x:f>_xlfn.XLOOKUP($A1024,Games!$A$2:$A$18,Games!$D$2:$D$18,"Missing game",0)</x:f>
        <x:v>8</x:v>
      </x:c>
      <x:c r="AJ1024" s="1" t="n">
        <x:f>_xlfn.XLOOKUP($A1024,Games!$A$2:$A$18,Games!$E$2:$E$18,"Missing game",0)</x:f>
        <x:v>45953</x:v>
      </x:c>
      <x:c r="AK1024" t="str">
        <x:f>_xlfn.XLOOKUP($A1024,Games!$A$2:$A$18,Games!$F$2:$F$18,"Missing game",0)</x:f>
        <x:v>Thursday</x:v>
      </x:c>
      <x:c r="AL1024" t="str">
        <x:f>_xlfn.XLOOKUP($A1024,Games!$A$2:$A$18,Games!$G$2:$G$18,"Missing game",0)</x:f>
        <x:v>MIN</x:v>
      </x:c>
      <x:c r="AM1024" t="n">
        <x:f>_xlfn.XLOOKUP($A1024,Games!$A$2:$A$18,Games!$H$2:$H$18,"Missing game",0)</x:f>
        <x:v>10</x:v>
      </x:c>
      <x:c r="AN1024" t="str">
        <x:f>_xlfn.XLOOKUP($A1024,Games!$A$2:$A$18,Games!$I$2:$I$18,"Missing game",0)</x:f>
        <x:v>LAC</x:v>
      </x:c>
      <x:c r="AO1024" t="n">
        <x:f>_xlfn.XLOOKUP($A1024,Games!$A$2:$A$18,Games!$J$2:$J$18,"Missing game",0)</x:f>
        <x:v>37</x:v>
      </x:c>
      <x:c r="AP1024" t="n">
        <x:f>_xlfn.XLOOKUP($A1024,Games!$A$2:$A$18,Games!$K$2:$K$18,"Missing game",0)</x:f>
        <x:v>27</x:v>
      </x:c>
      <x:c r="AQ1024" t="n">
        <x:f>_xlfn.XLOOKUP($A1024,Games!$A$2:$A$18,Games!$L$2:$L$18,"Missing game",0)</x:f>
        <x:v>47</x:v>
      </x:c>
      <x:c r="AR1024" t="n">
        <x:f>_xlfn.XLOOKUP($A1024,Games!$A$2:$A$18,Games!$M$2:$M$18,"Missing game",0)</x:f>
        <x:v>0</x:v>
      </x:c>
      <x:c r="AS1024" t="str">
        <x:f>_xlfn.XLOOKUP($A1024,Games!$A$2:$A$18,Games!$N$2:$N$18,"Missing game",0)</x:f>
        <x:v>dome</x:v>
      </x:c>
      <x:c r="AT1024" t="str">
        <x:f>_xlfn.XLOOKUP($A1024,Games!$A$2:$A$18,Games!$O$2:$O$18,"Missing game",0)</x:f>
        <x:v>matrixturf</x:v>
      </x:c>
      <x:c r="AU1024" t="str">
        <x:f>_xlfn.XLOOKUP($A1024,Games!$A$2:$A$18,Games!$P$2:$P$18,"Missing game",0)</x:f>
      </x:c>
      <x:c r="AV1024" t="str">
        <x:f>_xlfn.XLOOKUP($A1024,Games!$A$2:$A$18,Games!$Q$2:$Q$18,"Missing game",0)</x:f>
      </x:c>
      <x:c r="AW1024" t="str">
        <x:f>_xlfn.XLOOKUP($A1024,Games!$A$2:$A$18,Games!$R$2:$R$18,"Missing game",0)</x:f>
        <x:v>SoFi Stadium</x:v>
      </x:c>
    </x:row>
    <x:row r="1025">
      <x:c r="A1025" t="str">
        <x:v>2025_08_MIN_LAC</x:v>
      </x:c>
      <x:c r="B1025" t="n">
        <x:v>219</x:v>
      </x:c>
      <x:c r="C1025" t="n">
        <x:v>1</x:v>
      </x:c>
      <x:c r="D1025" t="str">
        <x:v>11:47</x:v>
      </x:c>
      <x:c r="E1025" t="n">
        <x:v>4</x:v>
      </x:c>
      <x:c r="F1025" t="n">
        <x:v>1</x:v>
      </x:c>
      <x:c r="G1025" t="str">
        <x:v>MIN</x:v>
      </x:c>
      <x:c r="H1025" t="str">
        <x:v>LAC</x:v>
      </x:c>
      <x:c r="I1025" t="str">
        <x:v>MIN</x:v>
      </x:c>
      <x:c r="J1025" t="n">
        <x:v>59</x:v>
      </x:c>
      <x:c r="K1025" t="str">
        <x:v>(11:47) 17-R.Wright punts 42 yards to LAC 17, Center-42-A.DePaola, fair catch by 12-D.Davis.</x:v>
      </x:c>
      <x:c r="L1025" t="str">
        <x:v>punt</x:v>
      </x:c>
      <x:c r="M1025" t="n">
        <x:v>0</x:v>
      </x:c>
      <x:c r="N1025" t="n">
        <x:v>0</x:v>
      </x:c>
      <x:c r="O1025" t="n">
        <x:v>0</x:v>
      </x:c>
      <x:c r="P1025"/>
      <x:c r="Q1025"/>
      <x:c r="R1025"/>
      <x:c r="S1025"/>
      <x:c r="T1025"/>
      <x:c r="U1025"/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/>
      <x:c r="AC1025" t="n">
        <x:v>0</x:v>
      </x:c>
      <x:c r="AD1025" t="n">
        <x:v>-1.0498335398733616</x:v>
      </x:c>
      <x:c r="AE1025" t="n">
        <x:v>0</x:v>
      </x:c>
      <x:c r="AF1025" t="n">
        <x:v>-0.007693380117416382</x:v>
      </x:c>
      <x:c r="AG1025" t="n">
        <x:f>_xlfn.XLOOKUP($A1025,Games!$A$2:$A$18,Games!$B$2:$B$18,"Missing game",0)</x:f>
        <x:v>2025</x:v>
      </x:c>
      <x:c r="AH1025" t="str">
        <x:f>_xlfn.XLOOKUP($A1025,Games!$A$2:$A$18,Games!$C$2:$C$18,"Missing game",0)</x:f>
        <x:v>REG</x:v>
      </x:c>
      <x:c r="AI1025" t="n">
        <x:f>_xlfn.XLOOKUP($A1025,Games!$A$2:$A$18,Games!$D$2:$D$18,"Missing game",0)</x:f>
        <x:v>8</x:v>
      </x:c>
      <x:c r="AJ1025" s="1" t="n">
        <x:f>_xlfn.XLOOKUP($A1025,Games!$A$2:$A$18,Games!$E$2:$E$18,"Missing game",0)</x:f>
        <x:v>45953</x:v>
      </x:c>
      <x:c r="AK1025" t="str">
        <x:f>_xlfn.XLOOKUP($A1025,Games!$A$2:$A$18,Games!$F$2:$F$18,"Missing game",0)</x:f>
        <x:v>Thursday</x:v>
      </x:c>
      <x:c r="AL1025" t="str">
        <x:f>_xlfn.XLOOKUP($A1025,Games!$A$2:$A$18,Games!$G$2:$G$18,"Missing game",0)</x:f>
        <x:v>MIN</x:v>
      </x:c>
      <x:c r="AM1025" t="n">
        <x:f>_xlfn.XLOOKUP($A1025,Games!$A$2:$A$18,Games!$H$2:$H$18,"Missing game",0)</x:f>
        <x:v>10</x:v>
      </x:c>
      <x:c r="AN1025" t="str">
        <x:f>_xlfn.XLOOKUP($A1025,Games!$A$2:$A$18,Games!$I$2:$I$18,"Missing game",0)</x:f>
        <x:v>LAC</x:v>
      </x:c>
      <x:c r="AO1025" t="n">
        <x:f>_xlfn.XLOOKUP($A1025,Games!$A$2:$A$18,Games!$J$2:$J$18,"Missing game",0)</x:f>
        <x:v>37</x:v>
      </x:c>
      <x:c r="AP1025" t="n">
        <x:f>_xlfn.XLOOKUP($A1025,Games!$A$2:$A$18,Games!$K$2:$K$18,"Missing game",0)</x:f>
        <x:v>27</x:v>
      </x:c>
      <x:c r="AQ1025" t="n">
        <x:f>_xlfn.XLOOKUP($A1025,Games!$A$2:$A$18,Games!$L$2:$L$18,"Missing game",0)</x:f>
        <x:v>47</x:v>
      </x:c>
      <x:c r="AR1025" t="n">
        <x:f>_xlfn.XLOOKUP($A1025,Games!$A$2:$A$18,Games!$M$2:$M$18,"Missing game",0)</x:f>
        <x:v>0</x:v>
      </x:c>
      <x:c r="AS1025" t="str">
        <x:f>_xlfn.XLOOKUP($A1025,Games!$A$2:$A$18,Games!$N$2:$N$18,"Missing game",0)</x:f>
        <x:v>dome</x:v>
      </x:c>
      <x:c r="AT1025" t="str">
        <x:f>_xlfn.XLOOKUP($A1025,Games!$A$2:$A$18,Games!$O$2:$O$18,"Missing game",0)</x:f>
        <x:v>matrixturf</x:v>
      </x:c>
      <x:c r="AU1025" t="str">
        <x:f>_xlfn.XLOOKUP($A1025,Games!$A$2:$A$18,Games!$P$2:$P$18,"Missing game",0)</x:f>
      </x:c>
      <x:c r="AV1025" t="str">
        <x:f>_xlfn.XLOOKUP($A1025,Games!$A$2:$A$18,Games!$Q$2:$Q$18,"Missing game",0)</x:f>
      </x:c>
      <x:c r="AW1025" t="str">
        <x:f>_xlfn.XLOOKUP($A1025,Games!$A$2:$A$18,Games!$R$2:$R$18,"Missing game",0)</x:f>
        <x:v>SoFi Stadium</x:v>
      </x:c>
    </x:row>
    <x:row r="1026">
      <x:c r="A1026" t="str">
        <x:v>2025_08_MIN_LAC</x:v>
      </x:c>
      <x:c r="B1026" t="n">
        <x:v>239</x:v>
      </x:c>
      <x:c r="C1026" t="n">
        <x:v>1</x:v>
      </x:c>
      <x:c r="D1026" t="str">
        <x:v>11:40</x:v>
      </x:c>
      <x:c r="E1026" t="n">
        <x:v>1</x:v>
      </x:c>
      <x:c r="F1026" t="n">
        <x:v>10</x:v>
      </x:c>
      <x:c r="G1026" t="str">
        <x:v>LAC</x:v>
      </x:c>
      <x:c r="H1026" t="str">
        <x:v>MIN</x:v>
      </x:c>
      <x:c r="I1026" t="str">
        <x:v>LAC</x:v>
      </x:c>
      <x:c r="J1026" t="n">
        <x:v>83</x:v>
      </x:c>
      <x:c r="K1026" t="str">
        <x:v>(11:40) (Shotgun) 30-K.Vidal right tackle to LAC 14 for -3 yards (58-J.Greenard).</x:v>
      </x:c>
      <x:c r="L1026" t="str">
        <x:v>run</x:v>
      </x:c>
      <x:c r="M1026" t="n">
        <x:v>-3</x:v>
      </x:c>
      <x:c r="N1026" t="n">
        <x:v>1</x:v>
      </x:c>
      <x:c r="O1026" t="n">
        <x:v>0</x:v>
      </x:c>
      <x:c r="P1026"/>
      <x:c r="Q1026"/>
      <x:c r="R1026"/>
      <x:c r="S1026"/>
      <x:c r="T1026" t="str">
        <x:v>right</x:v>
      </x:c>
      <x:c r="U1026" t="str">
        <x:v>tackle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/>
      <x:c r="AC1026" t="n">
        <x:v>0</x:v>
      </x:c>
      <x:c r="AD1026" t="n">
        <x:v>-1.480673886835575</x:v>
      </x:c>
      <x:c r="AE1026" t="n">
        <x:v>0</x:v>
      </x:c>
      <x:c r="AF1026" t="n">
        <x:v>-0.017106175422668457</x:v>
      </x:c>
      <x:c r="AG1026" t="n">
        <x:f>_xlfn.XLOOKUP($A1026,Games!$A$2:$A$18,Games!$B$2:$B$18,"Missing game",0)</x:f>
        <x:v>2025</x:v>
      </x:c>
      <x:c r="AH1026" t="str">
        <x:f>_xlfn.XLOOKUP($A1026,Games!$A$2:$A$18,Games!$C$2:$C$18,"Missing game",0)</x:f>
        <x:v>REG</x:v>
      </x:c>
      <x:c r="AI1026" t="n">
        <x:f>_xlfn.XLOOKUP($A1026,Games!$A$2:$A$18,Games!$D$2:$D$18,"Missing game",0)</x:f>
        <x:v>8</x:v>
      </x:c>
      <x:c r="AJ1026" s="1" t="n">
        <x:f>_xlfn.XLOOKUP($A1026,Games!$A$2:$A$18,Games!$E$2:$E$18,"Missing game",0)</x:f>
        <x:v>45953</x:v>
      </x:c>
      <x:c r="AK1026" t="str">
        <x:f>_xlfn.XLOOKUP($A1026,Games!$A$2:$A$18,Games!$F$2:$F$18,"Missing game",0)</x:f>
        <x:v>Thursday</x:v>
      </x:c>
      <x:c r="AL1026" t="str">
        <x:f>_xlfn.XLOOKUP($A1026,Games!$A$2:$A$18,Games!$G$2:$G$18,"Missing game",0)</x:f>
        <x:v>MIN</x:v>
      </x:c>
      <x:c r="AM1026" t="n">
        <x:f>_xlfn.XLOOKUP($A1026,Games!$A$2:$A$18,Games!$H$2:$H$18,"Missing game",0)</x:f>
        <x:v>10</x:v>
      </x:c>
      <x:c r="AN1026" t="str">
        <x:f>_xlfn.XLOOKUP($A1026,Games!$A$2:$A$18,Games!$I$2:$I$18,"Missing game",0)</x:f>
        <x:v>LAC</x:v>
      </x:c>
      <x:c r="AO1026" t="n">
        <x:f>_xlfn.XLOOKUP($A1026,Games!$A$2:$A$18,Games!$J$2:$J$18,"Missing game",0)</x:f>
        <x:v>37</x:v>
      </x:c>
      <x:c r="AP1026" t="n">
        <x:f>_xlfn.XLOOKUP($A1026,Games!$A$2:$A$18,Games!$K$2:$K$18,"Missing game",0)</x:f>
        <x:v>27</x:v>
      </x:c>
      <x:c r="AQ1026" t="n">
        <x:f>_xlfn.XLOOKUP($A1026,Games!$A$2:$A$18,Games!$L$2:$L$18,"Missing game",0)</x:f>
        <x:v>47</x:v>
      </x:c>
      <x:c r="AR1026" t="n">
        <x:f>_xlfn.XLOOKUP($A1026,Games!$A$2:$A$18,Games!$M$2:$M$18,"Missing game",0)</x:f>
        <x:v>0</x:v>
      </x:c>
      <x:c r="AS1026" t="str">
        <x:f>_xlfn.XLOOKUP($A1026,Games!$A$2:$A$18,Games!$N$2:$N$18,"Missing game",0)</x:f>
        <x:v>dome</x:v>
      </x:c>
      <x:c r="AT1026" t="str">
        <x:f>_xlfn.XLOOKUP($A1026,Games!$A$2:$A$18,Games!$O$2:$O$18,"Missing game",0)</x:f>
        <x:v>matrixturf</x:v>
      </x:c>
      <x:c r="AU1026" t="str">
        <x:f>_xlfn.XLOOKUP($A1026,Games!$A$2:$A$18,Games!$P$2:$P$18,"Missing game",0)</x:f>
      </x:c>
      <x:c r="AV1026" t="str">
        <x:f>_xlfn.XLOOKUP($A1026,Games!$A$2:$A$18,Games!$Q$2:$Q$18,"Missing game",0)</x:f>
      </x:c>
      <x:c r="AW1026" t="str">
        <x:f>_xlfn.XLOOKUP($A1026,Games!$A$2:$A$18,Games!$R$2:$R$18,"Missing game",0)</x:f>
        <x:v>SoFi Stadium</x:v>
      </x:c>
    </x:row>
    <x:row r="1027">
      <x:c r="A1027" t="str">
        <x:v>2025_08_MIN_LAC</x:v>
      </x:c>
      <x:c r="B1027" t="n">
        <x:v>268</x:v>
      </x:c>
      <x:c r="C1027" t="n">
        <x:v>1</x:v>
      </x:c>
      <x:c r="D1027" t="str">
        <x:v>10:56</x:v>
      </x:c>
      <x:c r="E1027" t="n">
        <x:v>2</x:v>
      </x:c>
      <x:c r="F1027" t="n">
        <x:v>13</x:v>
      </x:c>
      <x:c r="G1027" t="str">
        <x:v>LAC</x:v>
      </x:c>
      <x:c r="H1027" t="str">
        <x:v>MIN</x:v>
      </x:c>
      <x:c r="I1027" t="str">
        <x:v>LAC</x:v>
      </x:c>
      <x:c r="J1027" t="n">
        <x:v>86</x:v>
      </x:c>
      <x:c r="K1027" t="str">
        <x:v>(10:56) (Shotgun) 10-J.Herbert pass short left intended for 15-L.McConkey INTERCEPTED by 2-I.Rodgers [44-J.Metellus] at LAC 17. 2-I.Rodgers for 17 yards, TOUCHDOWN. The Replay Official reviewed the interception ruling, and the play was REVERSED. (Shotgun) 10-J.Herbert pass incomplete short left to 15-L.McConkey [44-J.Metellus].</x:v>
      </x:c>
      <x:c r="L1027" t="str">
        <x:v>pass</x:v>
      </x:c>
      <x:c r="M1027" t="n">
        <x:v>0</x:v>
      </x:c>
      <x:c r="N1027" t="n">
        <x:v>1</x:v>
      </x:c>
      <x:c r="O1027" t="n">
        <x:v>0</x:v>
      </x:c>
      <x:c r="P1027" t="str">
        <x:v>short</x:v>
      </x:c>
      <x:c r="Q1027" t="str">
        <x:v>left</x:v>
      </x:c>
      <x:c r="R1027" t="n">
        <x:v>6</x:v>
      </x:c>
      <x:c r="S1027"/>
      <x:c r="T1027"/>
      <x:c r="U1027"/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/>
      <x:c r="AC1027" t="n">
        <x:v>0</x:v>
      </x:c>
      <x:c r="AD1027" t="n">
        <x:v>-0.8263926482759416</x:v>
      </x:c>
      <x:c r="AE1027" t="n">
        <x:v>0</x:v>
      </x:c>
      <x:c r="AF1027" t="n">
        <x:v>-0.02541220188140869</x:v>
      </x:c>
      <x:c r="AG1027" t="n">
        <x:f>_xlfn.XLOOKUP($A1027,Games!$A$2:$A$18,Games!$B$2:$B$18,"Missing game",0)</x:f>
        <x:v>2025</x:v>
      </x:c>
      <x:c r="AH1027" t="str">
        <x:f>_xlfn.XLOOKUP($A1027,Games!$A$2:$A$18,Games!$C$2:$C$18,"Missing game",0)</x:f>
        <x:v>REG</x:v>
      </x:c>
      <x:c r="AI1027" t="n">
        <x:f>_xlfn.XLOOKUP($A1027,Games!$A$2:$A$18,Games!$D$2:$D$18,"Missing game",0)</x:f>
        <x:v>8</x:v>
      </x:c>
      <x:c r="AJ1027" s="1" t="n">
        <x:f>_xlfn.XLOOKUP($A1027,Games!$A$2:$A$18,Games!$E$2:$E$18,"Missing game",0)</x:f>
        <x:v>45953</x:v>
      </x:c>
      <x:c r="AK1027" t="str">
        <x:f>_xlfn.XLOOKUP($A1027,Games!$A$2:$A$18,Games!$F$2:$F$18,"Missing game",0)</x:f>
        <x:v>Thursday</x:v>
      </x:c>
      <x:c r="AL1027" t="str">
        <x:f>_xlfn.XLOOKUP($A1027,Games!$A$2:$A$18,Games!$G$2:$G$18,"Missing game",0)</x:f>
        <x:v>MIN</x:v>
      </x:c>
      <x:c r="AM1027" t="n">
        <x:f>_xlfn.XLOOKUP($A1027,Games!$A$2:$A$18,Games!$H$2:$H$18,"Missing game",0)</x:f>
        <x:v>10</x:v>
      </x:c>
      <x:c r="AN1027" t="str">
        <x:f>_xlfn.XLOOKUP($A1027,Games!$A$2:$A$18,Games!$I$2:$I$18,"Missing game",0)</x:f>
        <x:v>LAC</x:v>
      </x:c>
      <x:c r="AO1027" t="n">
        <x:f>_xlfn.XLOOKUP($A1027,Games!$A$2:$A$18,Games!$J$2:$J$18,"Missing game",0)</x:f>
        <x:v>37</x:v>
      </x:c>
      <x:c r="AP1027" t="n">
        <x:f>_xlfn.XLOOKUP($A1027,Games!$A$2:$A$18,Games!$K$2:$K$18,"Missing game",0)</x:f>
        <x:v>27</x:v>
      </x:c>
      <x:c r="AQ1027" t="n">
        <x:f>_xlfn.XLOOKUP($A1027,Games!$A$2:$A$18,Games!$L$2:$L$18,"Missing game",0)</x:f>
        <x:v>47</x:v>
      </x:c>
      <x:c r="AR1027" t="n">
        <x:f>_xlfn.XLOOKUP($A1027,Games!$A$2:$A$18,Games!$M$2:$M$18,"Missing game",0)</x:f>
        <x:v>0</x:v>
      </x:c>
      <x:c r="AS1027" t="str">
        <x:f>_xlfn.XLOOKUP($A1027,Games!$A$2:$A$18,Games!$N$2:$N$18,"Missing game",0)</x:f>
        <x:v>dome</x:v>
      </x:c>
      <x:c r="AT1027" t="str">
        <x:f>_xlfn.XLOOKUP($A1027,Games!$A$2:$A$18,Games!$O$2:$O$18,"Missing game",0)</x:f>
        <x:v>matrixturf</x:v>
      </x:c>
      <x:c r="AU1027" t="str">
        <x:f>_xlfn.XLOOKUP($A1027,Games!$A$2:$A$18,Games!$P$2:$P$18,"Missing game",0)</x:f>
      </x:c>
      <x:c r="AV1027" t="str">
        <x:f>_xlfn.XLOOKUP($A1027,Games!$A$2:$A$18,Games!$Q$2:$Q$18,"Missing game",0)</x:f>
      </x:c>
      <x:c r="AW1027" t="str">
        <x:f>_xlfn.XLOOKUP($A1027,Games!$A$2:$A$18,Games!$R$2:$R$18,"Missing game",0)</x:f>
        <x:v>SoFi Stadium</x:v>
      </x:c>
    </x:row>
    <x:row r="1028">
      <x:c r="A1028" t="str">
        <x:v>2025_08_MIN_LAC</x:v>
      </x:c>
      <x:c r="B1028" t="n">
        <x:v>334</x:v>
      </x:c>
      <x:c r="C1028" t="n">
        <x:v>1</x:v>
      </x:c>
      <x:c r="D1028" t="str">
        <x:v>10:53</x:v>
      </x:c>
      <x:c r="E1028" t="n">
        <x:v>3</x:v>
      </x:c>
      <x:c r="F1028" t="n">
        <x:v>13</x:v>
      </x:c>
      <x:c r="G1028" t="str">
        <x:v>LAC</x:v>
      </x:c>
      <x:c r="H1028" t="str">
        <x:v>MIN</x:v>
      </x:c>
      <x:c r="I1028" t="str">
        <x:v>LAC</x:v>
      </x:c>
      <x:c r="J1028" t="n">
        <x:v>86</x:v>
      </x:c>
      <x:c r="K1028" t="str">
        <x:v>(10:53) (Shotgun) 10-J.Herbert pass short middle to 13-K.Allen to LAC 31 for 17 yards (22-H.Smith).</x:v>
      </x:c>
      <x:c r="L1028" t="str">
        <x:v>pass</x:v>
      </x:c>
      <x:c r="M1028" t="n">
        <x:v>17</x:v>
      </x:c>
      <x:c r="N1028" t="n">
        <x:v>1</x:v>
      </x:c>
      <x:c r="O1028" t="n">
        <x:v>0</x:v>
      </x:c>
      <x:c r="P1028" t="str">
        <x:v>short</x:v>
      </x:c>
      <x:c r="Q1028" t="str">
        <x:v>middle</x:v>
      </x:c>
      <x:c r="R1028" t="n">
        <x:v>14</x:v>
      </x:c>
      <x:c r="S1028" t="n">
        <x:v>3</x:v>
      </x:c>
      <x:c r="T1028"/>
      <x:c r="U1028"/>
      <x:c r="V1028" t="n">
        <x:v>1</x:v>
      </x:c>
      <x:c r="W1028" t="n">
        <x:v>1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/>
      <x:c r="AC1028" t="n">
        <x:v>0</x:v>
      </x:c>
      <x:c r="AD1028" t="n">
        <x:v>3.1169266384094954</x:v>
      </x:c>
      <x:c r="AE1028" t="n">
        <x:v>1</x:v>
      </x:c>
      <x:c r="AF1028" t="n">
        <x:v>0.05548745393753052</x:v>
      </x:c>
      <x:c r="AG1028" t="n">
        <x:f>_xlfn.XLOOKUP($A1028,Games!$A$2:$A$18,Games!$B$2:$B$18,"Missing game",0)</x:f>
        <x:v>2025</x:v>
      </x:c>
      <x:c r="AH1028" t="str">
        <x:f>_xlfn.XLOOKUP($A1028,Games!$A$2:$A$18,Games!$C$2:$C$18,"Missing game",0)</x:f>
        <x:v>REG</x:v>
      </x:c>
      <x:c r="AI1028" t="n">
        <x:f>_xlfn.XLOOKUP($A1028,Games!$A$2:$A$18,Games!$D$2:$D$18,"Missing game",0)</x:f>
        <x:v>8</x:v>
      </x:c>
      <x:c r="AJ1028" s="1" t="n">
        <x:f>_xlfn.XLOOKUP($A1028,Games!$A$2:$A$18,Games!$E$2:$E$18,"Missing game",0)</x:f>
        <x:v>45953</x:v>
      </x:c>
      <x:c r="AK1028" t="str">
        <x:f>_xlfn.XLOOKUP($A1028,Games!$A$2:$A$18,Games!$F$2:$F$18,"Missing game",0)</x:f>
        <x:v>Thursday</x:v>
      </x:c>
      <x:c r="AL1028" t="str">
        <x:f>_xlfn.XLOOKUP($A1028,Games!$A$2:$A$18,Games!$G$2:$G$18,"Missing game",0)</x:f>
        <x:v>MIN</x:v>
      </x:c>
      <x:c r="AM1028" t="n">
        <x:f>_xlfn.XLOOKUP($A1028,Games!$A$2:$A$18,Games!$H$2:$H$18,"Missing game",0)</x:f>
        <x:v>10</x:v>
      </x:c>
      <x:c r="AN1028" t="str">
        <x:f>_xlfn.XLOOKUP($A1028,Games!$A$2:$A$18,Games!$I$2:$I$18,"Missing game",0)</x:f>
        <x:v>LAC</x:v>
      </x:c>
      <x:c r="AO1028" t="n">
        <x:f>_xlfn.XLOOKUP($A1028,Games!$A$2:$A$18,Games!$J$2:$J$18,"Missing game",0)</x:f>
        <x:v>37</x:v>
      </x:c>
      <x:c r="AP1028" t="n">
        <x:f>_xlfn.XLOOKUP($A1028,Games!$A$2:$A$18,Games!$K$2:$K$18,"Missing game",0)</x:f>
        <x:v>27</x:v>
      </x:c>
      <x:c r="AQ1028" t="n">
        <x:f>_xlfn.XLOOKUP($A1028,Games!$A$2:$A$18,Games!$L$2:$L$18,"Missing game",0)</x:f>
        <x:v>47</x:v>
      </x:c>
      <x:c r="AR1028" t="n">
        <x:f>_xlfn.XLOOKUP($A1028,Games!$A$2:$A$18,Games!$M$2:$M$18,"Missing game",0)</x:f>
        <x:v>0</x:v>
      </x:c>
      <x:c r="AS1028" t="str">
        <x:f>_xlfn.XLOOKUP($A1028,Games!$A$2:$A$18,Games!$N$2:$N$18,"Missing game",0)</x:f>
        <x:v>dome</x:v>
      </x:c>
      <x:c r="AT1028" t="str">
        <x:f>_xlfn.XLOOKUP($A1028,Games!$A$2:$A$18,Games!$O$2:$O$18,"Missing game",0)</x:f>
        <x:v>matrixturf</x:v>
      </x:c>
      <x:c r="AU1028" t="str">
        <x:f>_xlfn.XLOOKUP($A1028,Games!$A$2:$A$18,Games!$P$2:$P$18,"Missing game",0)</x:f>
      </x:c>
      <x:c r="AV1028" t="str">
        <x:f>_xlfn.XLOOKUP($A1028,Games!$A$2:$A$18,Games!$Q$2:$Q$18,"Missing game",0)</x:f>
      </x:c>
      <x:c r="AW1028" t="str">
        <x:f>_xlfn.XLOOKUP($A1028,Games!$A$2:$A$18,Games!$R$2:$R$18,"Missing game",0)</x:f>
        <x:v>SoFi Stadium</x:v>
      </x:c>
    </x:row>
    <x:row r="1029">
      <x:c r="A1029" t="str">
        <x:v>2025_08_MIN_LAC</x:v>
      </x:c>
      <x:c r="B1029" t="n">
        <x:v>359</x:v>
      </x:c>
      <x:c r="C1029" t="n">
        <x:v>1</x:v>
      </x:c>
      <x:c r="D1029" t="str">
        <x:v>10:11</x:v>
      </x:c>
      <x:c r="E1029" t="n">
        <x:v>1</x:v>
      </x:c>
      <x:c r="F1029" t="n">
        <x:v>10</x:v>
      </x:c>
      <x:c r="G1029" t="str">
        <x:v>LAC</x:v>
      </x:c>
      <x:c r="H1029" t="str">
        <x:v>MIN</x:v>
      </x:c>
      <x:c r="I1029" t="str">
        <x:v>LAC</x:v>
      </x:c>
      <x:c r="J1029" t="n">
        <x:v>69</x:v>
      </x:c>
      <x:c r="K1029" t="str">
        <x:v>(10:11) 67-F.Sarell reported in as eligible. 30-K.Vidal up the middle to LAC 30 for -1 yards (50-L.Rodriguez).</x:v>
      </x:c>
      <x:c r="L1029" t="str">
        <x:v>run</x:v>
      </x:c>
      <x:c r="M1029" t="n">
        <x:v>-1</x:v>
      </x:c>
      <x:c r="N1029" t="n">
        <x:v>0</x:v>
      </x:c>
      <x:c r="O1029" t="n">
        <x:v>0</x:v>
      </x:c>
      <x:c r="P1029"/>
      <x:c r="Q1029"/>
      <x:c r="R1029"/>
      <x:c r="S1029"/>
      <x:c r="T1029" t="str">
        <x:v>middle</x:v>
      </x:c>
      <x:c r="U1029"/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/>
      <x:c r="AC1029" t="n">
        <x:v>0</x:v>
      </x:c>
      <x:c r="AD1029" t="n">
        <x:v>-0.8200086220167577</x:v>
      </x:c>
      <x:c r="AE1029" t="n">
        <x:v>0</x:v>
      </x:c>
      <x:c r="AF1029" t="n">
        <x:v>-0.01657027006149292</x:v>
      </x:c>
      <x:c r="AG1029" t="n">
        <x:f>_xlfn.XLOOKUP($A1029,Games!$A$2:$A$18,Games!$B$2:$B$18,"Missing game",0)</x:f>
        <x:v>2025</x:v>
      </x:c>
      <x:c r="AH1029" t="str">
        <x:f>_xlfn.XLOOKUP($A1029,Games!$A$2:$A$18,Games!$C$2:$C$18,"Missing game",0)</x:f>
        <x:v>REG</x:v>
      </x:c>
      <x:c r="AI1029" t="n">
        <x:f>_xlfn.XLOOKUP($A1029,Games!$A$2:$A$18,Games!$D$2:$D$18,"Missing game",0)</x:f>
        <x:v>8</x:v>
      </x:c>
      <x:c r="AJ1029" s="1" t="n">
        <x:f>_xlfn.XLOOKUP($A1029,Games!$A$2:$A$18,Games!$E$2:$E$18,"Missing game",0)</x:f>
        <x:v>45953</x:v>
      </x:c>
      <x:c r="AK1029" t="str">
        <x:f>_xlfn.XLOOKUP($A1029,Games!$A$2:$A$18,Games!$F$2:$F$18,"Missing game",0)</x:f>
        <x:v>Thursday</x:v>
      </x:c>
      <x:c r="AL1029" t="str">
        <x:f>_xlfn.XLOOKUP($A1029,Games!$A$2:$A$18,Games!$G$2:$G$18,"Missing game",0)</x:f>
        <x:v>MIN</x:v>
      </x:c>
      <x:c r="AM1029" t="n">
        <x:f>_xlfn.XLOOKUP($A1029,Games!$A$2:$A$18,Games!$H$2:$H$18,"Missing game",0)</x:f>
        <x:v>10</x:v>
      </x:c>
      <x:c r="AN1029" t="str">
        <x:f>_xlfn.XLOOKUP($A1029,Games!$A$2:$A$18,Games!$I$2:$I$18,"Missing game",0)</x:f>
        <x:v>LAC</x:v>
      </x:c>
      <x:c r="AO1029" t="n">
        <x:f>_xlfn.XLOOKUP($A1029,Games!$A$2:$A$18,Games!$J$2:$J$18,"Missing game",0)</x:f>
        <x:v>37</x:v>
      </x:c>
      <x:c r="AP1029" t="n">
        <x:f>_xlfn.XLOOKUP($A1029,Games!$A$2:$A$18,Games!$K$2:$K$18,"Missing game",0)</x:f>
        <x:v>27</x:v>
      </x:c>
      <x:c r="AQ1029" t="n">
        <x:f>_xlfn.XLOOKUP($A1029,Games!$A$2:$A$18,Games!$L$2:$L$18,"Missing game",0)</x:f>
        <x:v>47</x:v>
      </x:c>
      <x:c r="AR1029" t="n">
        <x:f>_xlfn.XLOOKUP($A1029,Games!$A$2:$A$18,Games!$M$2:$M$18,"Missing game",0)</x:f>
        <x:v>0</x:v>
      </x:c>
      <x:c r="AS1029" t="str">
        <x:f>_xlfn.XLOOKUP($A1029,Games!$A$2:$A$18,Games!$N$2:$N$18,"Missing game",0)</x:f>
        <x:v>dome</x:v>
      </x:c>
      <x:c r="AT1029" t="str">
        <x:f>_xlfn.XLOOKUP($A1029,Games!$A$2:$A$18,Games!$O$2:$O$18,"Missing game",0)</x:f>
        <x:v>matrixturf</x:v>
      </x:c>
      <x:c r="AU1029" t="str">
        <x:f>_xlfn.XLOOKUP($A1029,Games!$A$2:$A$18,Games!$P$2:$P$18,"Missing game",0)</x:f>
      </x:c>
      <x:c r="AV1029" t="str">
        <x:f>_xlfn.XLOOKUP($A1029,Games!$A$2:$A$18,Games!$Q$2:$Q$18,"Missing game",0)</x:f>
      </x:c>
      <x:c r="AW1029" t="str">
        <x:f>_xlfn.XLOOKUP($A1029,Games!$A$2:$A$18,Games!$R$2:$R$18,"Missing game",0)</x:f>
        <x:v>SoFi Stadium</x:v>
      </x:c>
    </x:row>
    <x:row r="1030">
      <x:c r="A1030" t="str">
        <x:v>2025_08_MIN_LAC</x:v>
      </x:c>
      <x:c r="B1030" t="n">
        <x:v>383</x:v>
      </x:c>
      <x:c r="C1030" t="n">
        <x:v>1</x:v>
      </x:c>
      <x:c r="D1030" t="str">
        <x:v>09:29</x:v>
      </x:c>
      <x:c r="E1030" t="n">
        <x:v>2</x:v>
      </x:c>
      <x:c r="F1030" t="n">
        <x:v>11</x:v>
      </x:c>
      <x:c r="G1030" t="str">
        <x:v>LAC</x:v>
      </x:c>
      <x:c r="H1030" t="str">
        <x:v>MIN</x:v>
      </x:c>
      <x:c r="I1030" t="str">
        <x:v>LAC</x:v>
      </x:c>
      <x:c r="J1030" t="n">
        <x:v>70</x:v>
      </x:c>
      <x:c r="K1030" t="str">
        <x:v>(9:29) (Shotgun) 10-J.Herbert pass short left to 86-O.Gadsden pushed ob at LAC 39 for 9 yards (22-H.Smith) [61-J.Redmond].</x:v>
      </x:c>
      <x:c r="L1030" t="str">
        <x:v>pass</x:v>
      </x:c>
      <x:c r="M1030" t="n">
        <x:v>9</x:v>
      </x:c>
      <x:c r="N1030" t="n">
        <x:v>1</x:v>
      </x:c>
      <x:c r="O1030" t="n">
        <x:v>0</x:v>
      </x:c>
      <x:c r="P1030" t="str">
        <x:v>short</x:v>
      </x:c>
      <x:c r="Q1030" t="str">
        <x:v>left</x:v>
      </x:c>
      <x:c r="R1030" t="n">
        <x:v>6</x:v>
      </x:c>
      <x:c r="S1030" t="n">
        <x:v>3</x:v>
      </x:c>
      <x:c r="T1030"/>
      <x:c r="U1030"/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/>
      <x:c r="AC1030" t="n">
        <x:v>0</x:v>
      </x:c>
      <x:c r="AD1030" t="n">
        <x:v>0.5655474723316729</x:v>
      </x:c>
      <x:c r="AE1030" t="n">
        <x:v>1</x:v>
      </x:c>
      <x:c r="AF1030" t="n">
        <x:v>0.015816211700439453</x:v>
      </x:c>
      <x:c r="AG1030" t="n">
        <x:f>_xlfn.XLOOKUP($A1030,Games!$A$2:$A$18,Games!$B$2:$B$18,"Missing game",0)</x:f>
        <x:v>2025</x:v>
      </x:c>
      <x:c r="AH1030" t="str">
        <x:f>_xlfn.XLOOKUP($A1030,Games!$A$2:$A$18,Games!$C$2:$C$18,"Missing game",0)</x:f>
        <x:v>REG</x:v>
      </x:c>
      <x:c r="AI1030" t="n">
        <x:f>_xlfn.XLOOKUP($A1030,Games!$A$2:$A$18,Games!$D$2:$D$18,"Missing game",0)</x:f>
        <x:v>8</x:v>
      </x:c>
      <x:c r="AJ1030" s="1" t="n">
        <x:f>_xlfn.XLOOKUP($A1030,Games!$A$2:$A$18,Games!$E$2:$E$18,"Missing game",0)</x:f>
        <x:v>45953</x:v>
      </x:c>
      <x:c r="AK1030" t="str">
        <x:f>_xlfn.XLOOKUP($A1030,Games!$A$2:$A$18,Games!$F$2:$F$18,"Missing game",0)</x:f>
        <x:v>Thursday</x:v>
      </x:c>
      <x:c r="AL1030" t="str">
        <x:f>_xlfn.XLOOKUP($A1030,Games!$A$2:$A$18,Games!$G$2:$G$18,"Missing game",0)</x:f>
        <x:v>MIN</x:v>
      </x:c>
      <x:c r="AM1030" t="n">
        <x:f>_xlfn.XLOOKUP($A1030,Games!$A$2:$A$18,Games!$H$2:$H$18,"Missing game",0)</x:f>
        <x:v>10</x:v>
      </x:c>
      <x:c r="AN1030" t="str">
        <x:f>_xlfn.XLOOKUP($A1030,Games!$A$2:$A$18,Games!$I$2:$I$18,"Missing game",0)</x:f>
        <x:v>LAC</x:v>
      </x:c>
      <x:c r="AO1030" t="n">
        <x:f>_xlfn.XLOOKUP($A1030,Games!$A$2:$A$18,Games!$J$2:$J$18,"Missing game",0)</x:f>
        <x:v>37</x:v>
      </x:c>
      <x:c r="AP1030" t="n">
        <x:f>_xlfn.XLOOKUP($A1030,Games!$A$2:$A$18,Games!$K$2:$K$18,"Missing game",0)</x:f>
        <x:v>27</x:v>
      </x:c>
      <x:c r="AQ1030" t="n">
        <x:f>_xlfn.XLOOKUP($A1030,Games!$A$2:$A$18,Games!$L$2:$L$18,"Missing game",0)</x:f>
        <x:v>47</x:v>
      </x:c>
      <x:c r="AR1030" t="n">
        <x:f>_xlfn.XLOOKUP($A1030,Games!$A$2:$A$18,Games!$M$2:$M$18,"Missing game",0)</x:f>
        <x:v>0</x:v>
      </x:c>
      <x:c r="AS1030" t="str">
        <x:f>_xlfn.XLOOKUP($A1030,Games!$A$2:$A$18,Games!$N$2:$N$18,"Missing game",0)</x:f>
        <x:v>dome</x:v>
      </x:c>
      <x:c r="AT1030" t="str">
        <x:f>_xlfn.XLOOKUP($A1030,Games!$A$2:$A$18,Games!$O$2:$O$18,"Missing game",0)</x:f>
        <x:v>matrixturf</x:v>
      </x:c>
      <x:c r="AU1030" t="str">
        <x:f>_xlfn.XLOOKUP($A1030,Games!$A$2:$A$18,Games!$P$2:$P$18,"Missing game",0)</x:f>
      </x:c>
      <x:c r="AV1030" t="str">
        <x:f>_xlfn.XLOOKUP($A1030,Games!$A$2:$A$18,Games!$Q$2:$Q$18,"Missing game",0)</x:f>
      </x:c>
      <x:c r="AW1030" t="str">
        <x:f>_xlfn.XLOOKUP($A1030,Games!$A$2:$A$18,Games!$R$2:$R$18,"Missing game",0)</x:f>
        <x:v>SoFi Stadium</x:v>
      </x:c>
    </x:row>
    <x:row r="1031">
      <x:c r="A1031" t="str">
        <x:v>2025_08_MIN_LAC</x:v>
      </x:c>
      <x:c r="B1031" t="n">
        <x:v>413</x:v>
      </x:c>
      <x:c r="C1031" t="n">
        <x:v>1</x:v>
      </x:c>
      <x:c r="D1031" t="str">
        <x:v>08:55</x:v>
      </x:c>
      <x:c r="E1031" t="n">
        <x:v>3</x:v>
      </x:c>
      <x:c r="F1031" t="n">
        <x:v>2</x:v>
      </x:c>
      <x:c r="G1031" t="str">
        <x:v>LAC</x:v>
      </x:c>
      <x:c r="H1031" t="str">
        <x:v>MIN</x:v>
      </x:c>
      <x:c r="I1031" t="str">
        <x:v>LAC</x:v>
      </x:c>
      <x:c r="J1031" t="n">
        <x:v>61</x:v>
      </x:c>
      <x:c r="K1031" t="str">
        <x:v>(8:55) (Shotgun) 32-J.Patterson right guard to LAC 42 for 3 yards (22-H.Smith; 51-B.Cashman).</x:v>
      </x:c>
      <x:c r="L1031" t="str">
        <x:v>run</x:v>
      </x:c>
      <x:c r="M1031" t="n">
        <x:v>3</x:v>
      </x:c>
      <x:c r="N1031" t="n">
        <x:v>1</x:v>
      </x:c>
      <x:c r="O1031" t="n">
        <x:v>0</x:v>
      </x:c>
      <x:c r="P1031"/>
      <x:c r="Q1031"/>
      <x:c r="R1031"/>
      <x:c r="S1031"/>
      <x:c r="T1031" t="str">
        <x:v>right</x:v>
      </x:c>
      <x:c r="U1031" t="str">
        <x:v>guard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/>
      <x:c r="AC1031" t="n">
        <x:v>0</x:v>
      </x:c>
      <x:c r="AD1031" t="n">
        <x:v>0.9115914492867887</x:v>
      </x:c>
      <x:c r="AE1031" t="n">
        <x:v>1</x:v>
      </x:c>
      <x:c r="AF1031" t="n">
        <x:v>0.019758641719818115</x:v>
      </x:c>
      <x:c r="AG1031" t="n">
        <x:f>_xlfn.XLOOKUP($A1031,Games!$A$2:$A$18,Games!$B$2:$B$18,"Missing game",0)</x:f>
        <x:v>2025</x:v>
      </x:c>
      <x:c r="AH1031" t="str">
        <x:f>_xlfn.XLOOKUP($A1031,Games!$A$2:$A$18,Games!$C$2:$C$18,"Missing game",0)</x:f>
        <x:v>REG</x:v>
      </x:c>
      <x:c r="AI1031" t="n">
        <x:f>_xlfn.XLOOKUP($A1031,Games!$A$2:$A$18,Games!$D$2:$D$18,"Missing game",0)</x:f>
        <x:v>8</x:v>
      </x:c>
      <x:c r="AJ1031" s="1" t="n">
        <x:f>_xlfn.XLOOKUP($A1031,Games!$A$2:$A$18,Games!$E$2:$E$18,"Missing game",0)</x:f>
        <x:v>45953</x:v>
      </x:c>
      <x:c r="AK1031" t="str">
        <x:f>_xlfn.XLOOKUP($A1031,Games!$A$2:$A$18,Games!$F$2:$F$18,"Missing game",0)</x:f>
        <x:v>Thursday</x:v>
      </x:c>
      <x:c r="AL1031" t="str">
        <x:f>_xlfn.XLOOKUP($A1031,Games!$A$2:$A$18,Games!$G$2:$G$18,"Missing game",0)</x:f>
        <x:v>MIN</x:v>
      </x:c>
      <x:c r="AM1031" t="n">
        <x:f>_xlfn.XLOOKUP($A1031,Games!$A$2:$A$18,Games!$H$2:$H$18,"Missing game",0)</x:f>
        <x:v>10</x:v>
      </x:c>
      <x:c r="AN1031" t="str">
        <x:f>_xlfn.XLOOKUP($A1031,Games!$A$2:$A$18,Games!$I$2:$I$18,"Missing game",0)</x:f>
        <x:v>LAC</x:v>
      </x:c>
      <x:c r="AO1031" t="n">
        <x:f>_xlfn.XLOOKUP($A1031,Games!$A$2:$A$18,Games!$J$2:$J$18,"Missing game",0)</x:f>
        <x:v>37</x:v>
      </x:c>
      <x:c r="AP1031" t="n">
        <x:f>_xlfn.XLOOKUP($A1031,Games!$A$2:$A$18,Games!$K$2:$K$18,"Missing game",0)</x:f>
        <x:v>27</x:v>
      </x:c>
      <x:c r="AQ1031" t="n">
        <x:f>_xlfn.XLOOKUP($A1031,Games!$A$2:$A$18,Games!$L$2:$L$18,"Missing game",0)</x:f>
        <x:v>47</x:v>
      </x:c>
      <x:c r="AR1031" t="n">
        <x:f>_xlfn.XLOOKUP($A1031,Games!$A$2:$A$18,Games!$M$2:$M$18,"Missing game",0)</x:f>
        <x:v>0</x:v>
      </x:c>
      <x:c r="AS1031" t="str">
        <x:f>_xlfn.XLOOKUP($A1031,Games!$A$2:$A$18,Games!$N$2:$N$18,"Missing game",0)</x:f>
        <x:v>dome</x:v>
      </x:c>
      <x:c r="AT1031" t="str">
        <x:f>_xlfn.XLOOKUP($A1031,Games!$A$2:$A$18,Games!$O$2:$O$18,"Missing game",0)</x:f>
        <x:v>matrixturf</x:v>
      </x:c>
      <x:c r="AU1031" t="str">
        <x:f>_xlfn.XLOOKUP($A1031,Games!$A$2:$A$18,Games!$P$2:$P$18,"Missing game",0)</x:f>
      </x:c>
      <x:c r="AV1031" t="str">
        <x:f>_xlfn.XLOOKUP($A1031,Games!$A$2:$A$18,Games!$Q$2:$Q$18,"Missing game",0)</x:f>
      </x:c>
      <x:c r="AW1031" t="str">
        <x:f>_xlfn.XLOOKUP($A1031,Games!$A$2:$A$18,Games!$R$2:$R$18,"Missing game",0)</x:f>
        <x:v>SoFi Stadium</x:v>
      </x:c>
    </x:row>
    <x:row r="1032">
      <x:c r="A1032" t="str">
        <x:v>2025_08_MIN_LAC</x:v>
      </x:c>
      <x:c r="B1032" t="n">
        <x:v>435</x:v>
      </x:c>
      <x:c r="C1032" t="n">
        <x:v>1</x:v>
      </x:c>
      <x:c r="D1032" t="str">
        <x:v>08:20</x:v>
      </x:c>
      <x:c r="E1032" t="n">
        <x:v>1</x:v>
      </x:c>
      <x:c r="F1032" t="n">
        <x:v>10</x:v>
      </x:c>
      <x:c r="G1032" t="str">
        <x:v>LAC</x:v>
      </x:c>
      <x:c r="H1032" t="str">
        <x:v>MIN</x:v>
      </x:c>
      <x:c r="I1032" t="str">
        <x:v>LAC</x:v>
      </x:c>
      <x:c r="J1032" t="n">
        <x:v>58</x:v>
      </x:c>
      <x:c r="K1032" t="str">
        <x:v>(8:20) (Shotgun) 10-J.Herbert pass short left to 15-L.McConkey to LAC 46 for 4 yards (22-H.Smith).</x:v>
      </x:c>
      <x:c r="L1032" t="str">
        <x:v>pass</x:v>
      </x:c>
      <x:c r="M1032" t="n">
        <x:v>4</x:v>
      </x:c>
      <x:c r="N1032" t="n">
        <x:v>1</x:v>
      </x:c>
      <x:c r="O1032" t="n">
        <x:v>0</x:v>
      </x:c>
      <x:c r="P1032" t="str">
        <x:v>short</x:v>
      </x:c>
      <x:c r="Q1032" t="str">
        <x:v>left</x:v>
      </x:c>
      <x:c r="R1032" t="n">
        <x:v>-4</x:v>
      </x:c>
      <x:c r="S1032" t="n">
        <x:v>8</x:v>
      </x:c>
      <x:c r="T1032"/>
      <x:c r="U1032"/>
      <x:c r="V1032" t="n">
        <x:v>1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/>
      <x:c r="AC1032" t="n">
        <x:v>0</x:v>
      </x:c>
      <x:c r="AD1032" t="n">
        <x:v>-0.11135596199892461</x:v>
      </x:c>
      <x:c r="AE1032" t="n">
        <x:v>0</x:v>
      </x:c>
      <x:c r="AF1032" t="n">
        <x:v>-0.002612590789794922</x:v>
      </x:c>
      <x:c r="AG1032" t="n">
        <x:f>_xlfn.XLOOKUP($A1032,Games!$A$2:$A$18,Games!$B$2:$B$18,"Missing game",0)</x:f>
        <x:v>2025</x:v>
      </x:c>
      <x:c r="AH1032" t="str">
        <x:f>_xlfn.XLOOKUP($A1032,Games!$A$2:$A$18,Games!$C$2:$C$18,"Missing game",0)</x:f>
        <x:v>REG</x:v>
      </x:c>
      <x:c r="AI1032" t="n">
        <x:f>_xlfn.XLOOKUP($A1032,Games!$A$2:$A$18,Games!$D$2:$D$18,"Missing game",0)</x:f>
        <x:v>8</x:v>
      </x:c>
      <x:c r="AJ1032" s="1" t="n">
        <x:f>_xlfn.XLOOKUP($A1032,Games!$A$2:$A$18,Games!$E$2:$E$18,"Missing game",0)</x:f>
        <x:v>45953</x:v>
      </x:c>
      <x:c r="AK1032" t="str">
        <x:f>_xlfn.XLOOKUP($A1032,Games!$A$2:$A$18,Games!$F$2:$F$18,"Missing game",0)</x:f>
        <x:v>Thursday</x:v>
      </x:c>
      <x:c r="AL1032" t="str">
        <x:f>_xlfn.XLOOKUP($A1032,Games!$A$2:$A$18,Games!$G$2:$G$18,"Missing game",0)</x:f>
        <x:v>MIN</x:v>
      </x:c>
      <x:c r="AM1032" t="n">
        <x:f>_xlfn.XLOOKUP($A1032,Games!$A$2:$A$18,Games!$H$2:$H$18,"Missing game",0)</x:f>
        <x:v>10</x:v>
      </x:c>
      <x:c r="AN1032" t="str">
        <x:f>_xlfn.XLOOKUP($A1032,Games!$A$2:$A$18,Games!$I$2:$I$18,"Missing game",0)</x:f>
        <x:v>LAC</x:v>
      </x:c>
      <x:c r="AO1032" t="n">
        <x:f>_xlfn.XLOOKUP($A1032,Games!$A$2:$A$18,Games!$J$2:$J$18,"Missing game",0)</x:f>
        <x:v>37</x:v>
      </x:c>
      <x:c r="AP1032" t="n">
        <x:f>_xlfn.XLOOKUP($A1032,Games!$A$2:$A$18,Games!$K$2:$K$18,"Missing game",0)</x:f>
        <x:v>27</x:v>
      </x:c>
      <x:c r="AQ1032" t="n">
        <x:f>_xlfn.XLOOKUP($A1032,Games!$A$2:$A$18,Games!$L$2:$L$18,"Missing game",0)</x:f>
        <x:v>47</x:v>
      </x:c>
      <x:c r="AR1032" t="n">
        <x:f>_xlfn.XLOOKUP($A1032,Games!$A$2:$A$18,Games!$M$2:$M$18,"Missing game",0)</x:f>
        <x:v>0</x:v>
      </x:c>
      <x:c r="AS1032" t="str">
        <x:f>_xlfn.XLOOKUP($A1032,Games!$A$2:$A$18,Games!$N$2:$N$18,"Missing game",0)</x:f>
        <x:v>dome</x:v>
      </x:c>
      <x:c r="AT1032" t="str">
        <x:f>_xlfn.XLOOKUP($A1032,Games!$A$2:$A$18,Games!$O$2:$O$18,"Missing game",0)</x:f>
        <x:v>matrixturf</x:v>
      </x:c>
      <x:c r="AU1032" t="str">
        <x:f>_xlfn.XLOOKUP($A1032,Games!$A$2:$A$18,Games!$P$2:$P$18,"Missing game",0)</x:f>
      </x:c>
      <x:c r="AV1032" t="str">
        <x:f>_xlfn.XLOOKUP($A1032,Games!$A$2:$A$18,Games!$Q$2:$Q$18,"Missing game",0)</x:f>
      </x:c>
      <x:c r="AW1032" t="str">
        <x:f>_xlfn.XLOOKUP($A1032,Games!$A$2:$A$18,Games!$R$2:$R$18,"Missing game",0)</x:f>
        <x:v>SoFi Stadium</x:v>
      </x:c>
    </x:row>
    <x:row r="1033">
      <x:c r="A1033" t="str">
        <x:v>2025_08_MIN_LAC</x:v>
      </x:c>
      <x:c r="B1033" t="n">
        <x:v>460</x:v>
      </x:c>
      <x:c r="C1033" t="n">
        <x:v>1</x:v>
      </x:c>
      <x:c r="D1033" t="str">
        <x:v>07:37</x:v>
      </x:c>
      <x:c r="E1033" t="n">
        <x:v>2</x:v>
      </x:c>
      <x:c r="F1033" t="n">
        <x:v>6</x:v>
      </x:c>
      <x:c r="G1033" t="str">
        <x:v>LAC</x:v>
      </x:c>
      <x:c r="H1033" t="str">
        <x:v>MIN</x:v>
      </x:c>
      <x:c r="I1033" t="str">
        <x:v>LAC</x:v>
      </x:c>
      <x:c r="J1033" t="n">
        <x:v>54</x:v>
      </x:c>
      <x:c r="K1033" t="str">
        <x:v>(7:37) (Shotgun) 10-J.Herbert pass short middle to 86-O.Gadsden to MIN 41 for 13 yards (22-H.Smith) [0-I.Pace].</x:v>
      </x:c>
      <x:c r="L1033" t="str">
        <x:v>pass</x:v>
      </x:c>
      <x:c r="M1033" t="n">
        <x:v>13</x:v>
      </x:c>
      <x:c r="N1033" t="n">
        <x:v>1</x:v>
      </x:c>
      <x:c r="O1033" t="n">
        <x:v>0</x:v>
      </x:c>
      <x:c r="P1033" t="str">
        <x:v>short</x:v>
      </x:c>
      <x:c r="Q1033" t="str">
        <x:v>middle</x:v>
      </x:c>
      <x:c r="R1033" t="n">
        <x:v>12</x:v>
      </x:c>
      <x:c r="S1033" t="n">
        <x:v>1</x:v>
      </x:c>
      <x:c r="T1033"/>
      <x:c r="U1033"/>
      <x:c r="V1033" t="n">
        <x:v>1</x:v>
      </x:c>
      <x:c r="W1033" t="n">
        <x:v>1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/>
      <x:c r="AC1033" t="n">
        <x:v>0</x:v>
      </x:c>
      <x:c r="AD1033" t="n">
        <x:v>1.1502549201250076</x:v>
      </x:c>
      <x:c r="AE1033" t="n">
        <x:v>1</x:v>
      </x:c>
      <x:c r="AF1033" t="n">
        <x:v>0.03554654121398926</x:v>
      </x:c>
      <x:c r="AG1033" t="n">
        <x:f>_xlfn.XLOOKUP($A1033,Games!$A$2:$A$18,Games!$B$2:$B$18,"Missing game",0)</x:f>
        <x:v>2025</x:v>
      </x:c>
      <x:c r="AH1033" t="str">
        <x:f>_xlfn.XLOOKUP($A1033,Games!$A$2:$A$18,Games!$C$2:$C$18,"Missing game",0)</x:f>
        <x:v>REG</x:v>
      </x:c>
      <x:c r="AI1033" t="n">
        <x:f>_xlfn.XLOOKUP($A1033,Games!$A$2:$A$18,Games!$D$2:$D$18,"Missing game",0)</x:f>
        <x:v>8</x:v>
      </x:c>
      <x:c r="AJ1033" s="1" t="n">
        <x:f>_xlfn.XLOOKUP($A1033,Games!$A$2:$A$18,Games!$E$2:$E$18,"Missing game",0)</x:f>
        <x:v>45953</x:v>
      </x:c>
      <x:c r="AK1033" t="str">
        <x:f>_xlfn.XLOOKUP($A1033,Games!$A$2:$A$18,Games!$F$2:$F$18,"Missing game",0)</x:f>
        <x:v>Thursday</x:v>
      </x:c>
      <x:c r="AL1033" t="str">
        <x:f>_xlfn.XLOOKUP($A1033,Games!$A$2:$A$18,Games!$G$2:$G$18,"Missing game",0)</x:f>
        <x:v>MIN</x:v>
      </x:c>
      <x:c r="AM1033" t="n">
        <x:f>_xlfn.XLOOKUP($A1033,Games!$A$2:$A$18,Games!$H$2:$H$18,"Missing game",0)</x:f>
        <x:v>10</x:v>
      </x:c>
      <x:c r="AN1033" t="str">
        <x:f>_xlfn.XLOOKUP($A1033,Games!$A$2:$A$18,Games!$I$2:$I$18,"Missing game",0)</x:f>
        <x:v>LAC</x:v>
      </x:c>
      <x:c r="AO1033" t="n">
        <x:f>_xlfn.XLOOKUP($A1033,Games!$A$2:$A$18,Games!$J$2:$J$18,"Missing game",0)</x:f>
        <x:v>37</x:v>
      </x:c>
      <x:c r="AP1033" t="n">
        <x:f>_xlfn.XLOOKUP($A1033,Games!$A$2:$A$18,Games!$K$2:$K$18,"Missing game",0)</x:f>
        <x:v>27</x:v>
      </x:c>
      <x:c r="AQ1033" t="n">
        <x:f>_xlfn.XLOOKUP($A1033,Games!$A$2:$A$18,Games!$L$2:$L$18,"Missing game",0)</x:f>
        <x:v>47</x:v>
      </x:c>
      <x:c r="AR1033" t="n">
        <x:f>_xlfn.XLOOKUP($A1033,Games!$A$2:$A$18,Games!$M$2:$M$18,"Missing game",0)</x:f>
        <x:v>0</x:v>
      </x:c>
      <x:c r="AS1033" t="str">
        <x:f>_xlfn.XLOOKUP($A1033,Games!$A$2:$A$18,Games!$N$2:$N$18,"Missing game",0)</x:f>
        <x:v>dome</x:v>
      </x:c>
      <x:c r="AT1033" t="str">
        <x:f>_xlfn.XLOOKUP($A1033,Games!$A$2:$A$18,Games!$O$2:$O$18,"Missing game",0)</x:f>
        <x:v>matrixturf</x:v>
      </x:c>
      <x:c r="AU1033" t="str">
        <x:f>_xlfn.XLOOKUP($A1033,Games!$A$2:$A$18,Games!$P$2:$P$18,"Missing game",0)</x:f>
      </x:c>
      <x:c r="AV1033" t="str">
        <x:f>_xlfn.XLOOKUP($A1033,Games!$A$2:$A$18,Games!$Q$2:$Q$18,"Missing game",0)</x:f>
      </x:c>
      <x:c r="AW1033" t="str">
        <x:f>_xlfn.XLOOKUP($A1033,Games!$A$2:$A$18,Games!$R$2:$R$18,"Missing game",0)</x:f>
        <x:v>SoFi Stadium</x:v>
      </x:c>
    </x:row>
    <x:row r="1034">
      <x:c r="A1034" t="str">
        <x:v>2025_08_MIN_LAC</x:v>
      </x:c>
      <x:c r="B1034" t="n">
        <x:v>485</x:v>
      </x:c>
      <x:c r="C1034" t="n">
        <x:v>1</x:v>
      </x:c>
      <x:c r="D1034" t="str">
        <x:v>07:00</x:v>
      </x:c>
      <x:c r="E1034" t="n">
        <x:v>1</x:v>
      </x:c>
      <x:c r="F1034" t="n">
        <x:v>10</x:v>
      </x:c>
      <x:c r="G1034" t="str">
        <x:v>LAC</x:v>
      </x:c>
      <x:c r="H1034" t="str">
        <x:v>MIN</x:v>
      </x:c>
      <x:c r="I1034" t="str">
        <x:v>MIN</x:v>
      </x:c>
      <x:c r="J1034" t="n">
        <x:v>41</x:v>
      </x:c>
      <x:c r="K1034" t="str">
        <x:v>(7:00) (Shotgun) 30-K.Vidal up the middle to MIN 35 for 6 yards (0-I.Pace).</x:v>
      </x:c>
      <x:c r="L1034" t="str">
        <x:v>run</x:v>
      </x:c>
      <x:c r="M1034" t="n">
        <x:v>6</x:v>
      </x:c>
      <x:c r="N1034" t="n">
        <x:v>1</x:v>
      </x:c>
      <x:c r="O1034" t="n">
        <x:v>0</x:v>
      </x:c>
      <x:c r="P1034"/>
      <x:c r="Q1034"/>
      <x:c r="R1034"/>
      <x:c r="S1034"/>
      <x:c r="T1034" t="str">
        <x:v>middle</x:v>
      </x:c>
      <x:c r="U1034"/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/>
      <x:c r="AC1034" t="n">
        <x:v>0</x:v>
      </x:c>
      <x:c r="AD1034" t="n">
        <x:v>0.1224034687038511</x:v>
      </x:c>
      <x:c r="AE1034" t="n">
        <x:v>1</x:v>
      </x:c>
      <x:c r="AF1034" t="n">
        <x:v>0.01929318904876709</x:v>
      </x:c>
      <x:c r="AG1034" t="n">
        <x:f>_xlfn.XLOOKUP($A1034,Games!$A$2:$A$18,Games!$B$2:$B$18,"Missing game",0)</x:f>
        <x:v>2025</x:v>
      </x:c>
      <x:c r="AH1034" t="str">
        <x:f>_xlfn.XLOOKUP($A1034,Games!$A$2:$A$18,Games!$C$2:$C$18,"Missing game",0)</x:f>
        <x:v>REG</x:v>
      </x:c>
      <x:c r="AI1034" t="n">
        <x:f>_xlfn.XLOOKUP($A1034,Games!$A$2:$A$18,Games!$D$2:$D$18,"Missing game",0)</x:f>
        <x:v>8</x:v>
      </x:c>
      <x:c r="AJ1034" s="1" t="n">
        <x:f>_xlfn.XLOOKUP($A1034,Games!$A$2:$A$18,Games!$E$2:$E$18,"Missing game",0)</x:f>
        <x:v>45953</x:v>
      </x:c>
      <x:c r="AK1034" t="str">
        <x:f>_xlfn.XLOOKUP($A1034,Games!$A$2:$A$18,Games!$F$2:$F$18,"Missing game",0)</x:f>
        <x:v>Thursday</x:v>
      </x:c>
      <x:c r="AL1034" t="str">
        <x:f>_xlfn.XLOOKUP($A1034,Games!$A$2:$A$18,Games!$G$2:$G$18,"Missing game",0)</x:f>
        <x:v>MIN</x:v>
      </x:c>
      <x:c r="AM1034" t="n">
        <x:f>_xlfn.XLOOKUP($A1034,Games!$A$2:$A$18,Games!$H$2:$H$18,"Missing game",0)</x:f>
        <x:v>10</x:v>
      </x:c>
      <x:c r="AN1034" t="str">
        <x:f>_xlfn.XLOOKUP($A1034,Games!$A$2:$A$18,Games!$I$2:$I$18,"Missing game",0)</x:f>
        <x:v>LAC</x:v>
      </x:c>
      <x:c r="AO1034" t="n">
        <x:f>_xlfn.XLOOKUP($A1034,Games!$A$2:$A$18,Games!$J$2:$J$18,"Missing game",0)</x:f>
        <x:v>37</x:v>
      </x:c>
      <x:c r="AP1034" t="n">
        <x:f>_xlfn.XLOOKUP($A1034,Games!$A$2:$A$18,Games!$K$2:$K$18,"Missing game",0)</x:f>
        <x:v>27</x:v>
      </x:c>
      <x:c r="AQ1034" t="n">
        <x:f>_xlfn.XLOOKUP($A1034,Games!$A$2:$A$18,Games!$L$2:$L$18,"Missing game",0)</x:f>
        <x:v>47</x:v>
      </x:c>
      <x:c r="AR1034" t="n">
        <x:f>_xlfn.XLOOKUP($A1034,Games!$A$2:$A$18,Games!$M$2:$M$18,"Missing game",0)</x:f>
        <x:v>0</x:v>
      </x:c>
      <x:c r="AS1034" t="str">
        <x:f>_xlfn.XLOOKUP($A1034,Games!$A$2:$A$18,Games!$N$2:$N$18,"Missing game",0)</x:f>
        <x:v>dome</x:v>
      </x:c>
      <x:c r="AT1034" t="str">
        <x:f>_xlfn.XLOOKUP($A1034,Games!$A$2:$A$18,Games!$O$2:$O$18,"Missing game",0)</x:f>
        <x:v>matrixturf</x:v>
      </x:c>
      <x:c r="AU1034" t="str">
        <x:f>_xlfn.XLOOKUP($A1034,Games!$A$2:$A$18,Games!$P$2:$P$18,"Missing game",0)</x:f>
      </x:c>
      <x:c r="AV1034" t="str">
        <x:f>_xlfn.XLOOKUP($A1034,Games!$A$2:$A$18,Games!$Q$2:$Q$18,"Missing game",0)</x:f>
      </x:c>
      <x:c r="AW1034" t="str">
        <x:f>_xlfn.XLOOKUP($A1034,Games!$A$2:$A$18,Games!$R$2:$R$18,"Missing game",0)</x:f>
        <x:v>SoFi Stadium</x:v>
      </x:c>
    </x:row>
    <x:row r="1035">
      <x:c r="A1035" t="str">
        <x:v>2025_08_MIN_LAC</x:v>
      </x:c>
      <x:c r="B1035" t="n">
        <x:v>507</x:v>
      </x:c>
      <x:c r="C1035" t="n">
        <x:v>1</x:v>
      </x:c>
      <x:c r="D1035" t="str">
        <x:v>06:26</x:v>
      </x:c>
      <x:c r="E1035" t="n">
        <x:v>2</x:v>
      </x:c>
      <x:c r="F1035" t="n">
        <x:v>4</x:v>
      </x:c>
      <x:c r="G1035" t="str">
        <x:v>LAC</x:v>
      </x:c>
      <x:c r="H1035" t="str">
        <x:v>MIN</x:v>
      </x:c>
      <x:c r="I1035" t="str">
        <x:v>MIN</x:v>
      </x:c>
      <x:c r="J1035" t="n">
        <x:v>35</x:v>
      </x:c>
      <x:c r="K1035" t="str">
        <x:v>(6:26) 30-K.Vidal right guard to MIN 32 for 3 yards (96-T.Batty; 15-D.Turner).</x:v>
      </x:c>
      <x:c r="L1035" t="str">
        <x:v>run</x:v>
      </x:c>
      <x:c r="M1035" t="n">
        <x:v>3</x:v>
      </x:c>
      <x:c r="N1035" t="n">
        <x:v>0</x:v>
      </x:c>
      <x:c r="O1035" t="n">
        <x:v>0</x:v>
      </x:c>
      <x:c r="P1035"/>
      <x:c r="Q1035"/>
      <x:c r="R1035"/>
      <x:c r="S1035"/>
      <x:c r="T1035" t="str">
        <x:v>right</x:v>
      </x:c>
      <x:c r="U1035" t="str">
        <x:v>guard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/>
      <x:c r="AC1035" t="n">
        <x:v>0</x:v>
      </x:c>
      <x:c r="AD1035" t="n">
        <x:v>-0.06738227885216475</x:v>
      </x:c>
      <x:c r="AE1035" t="n">
        <x:v>0</x:v>
      </x:c>
      <x:c r="AF1035" t="n">
        <x:v>-0.009453952312469482</x:v>
      </x:c>
      <x:c r="AG1035" t="n">
        <x:f>_xlfn.XLOOKUP($A1035,Games!$A$2:$A$18,Games!$B$2:$B$18,"Missing game",0)</x:f>
        <x:v>2025</x:v>
      </x:c>
      <x:c r="AH1035" t="str">
        <x:f>_xlfn.XLOOKUP($A1035,Games!$A$2:$A$18,Games!$C$2:$C$18,"Missing game",0)</x:f>
        <x:v>REG</x:v>
      </x:c>
      <x:c r="AI1035" t="n">
        <x:f>_xlfn.XLOOKUP($A1035,Games!$A$2:$A$18,Games!$D$2:$D$18,"Missing game",0)</x:f>
        <x:v>8</x:v>
      </x:c>
      <x:c r="AJ1035" s="1" t="n">
        <x:f>_xlfn.XLOOKUP($A1035,Games!$A$2:$A$18,Games!$E$2:$E$18,"Missing game",0)</x:f>
        <x:v>45953</x:v>
      </x:c>
      <x:c r="AK1035" t="str">
        <x:f>_xlfn.XLOOKUP($A1035,Games!$A$2:$A$18,Games!$F$2:$F$18,"Missing game",0)</x:f>
        <x:v>Thursday</x:v>
      </x:c>
      <x:c r="AL1035" t="str">
        <x:f>_xlfn.XLOOKUP($A1035,Games!$A$2:$A$18,Games!$G$2:$G$18,"Missing game",0)</x:f>
        <x:v>MIN</x:v>
      </x:c>
      <x:c r="AM1035" t="n">
        <x:f>_xlfn.XLOOKUP($A1035,Games!$A$2:$A$18,Games!$H$2:$H$18,"Missing game",0)</x:f>
        <x:v>10</x:v>
      </x:c>
      <x:c r="AN1035" t="str">
        <x:f>_xlfn.XLOOKUP($A1035,Games!$A$2:$A$18,Games!$I$2:$I$18,"Missing game",0)</x:f>
        <x:v>LAC</x:v>
      </x:c>
      <x:c r="AO1035" t="n">
        <x:f>_xlfn.XLOOKUP($A1035,Games!$A$2:$A$18,Games!$J$2:$J$18,"Missing game",0)</x:f>
        <x:v>37</x:v>
      </x:c>
      <x:c r="AP1035" t="n">
        <x:f>_xlfn.XLOOKUP($A1035,Games!$A$2:$A$18,Games!$K$2:$K$18,"Missing game",0)</x:f>
        <x:v>27</x:v>
      </x:c>
      <x:c r="AQ1035" t="n">
        <x:f>_xlfn.XLOOKUP($A1035,Games!$A$2:$A$18,Games!$L$2:$L$18,"Missing game",0)</x:f>
        <x:v>47</x:v>
      </x:c>
      <x:c r="AR1035" t="n">
        <x:f>_xlfn.XLOOKUP($A1035,Games!$A$2:$A$18,Games!$M$2:$M$18,"Missing game",0)</x:f>
        <x:v>0</x:v>
      </x:c>
      <x:c r="AS1035" t="str">
        <x:f>_xlfn.XLOOKUP($A1035,Games!$A$2:$A$18,Games!$N$2:$N$18,"Missing game",0)</x:f>
        <x:v>dome</x:v>
      </x:c>
      <x:c r="AT1035" t="str">
        <x:f>_xlfn.XLOOKUP($A1035,Games!$A$2:$A$18,Games!$O$2:$O$18,"Missing game",0)</x:f>
        <x:v>matrixturf</x:v>
      </x:c>
      <x:c r="AU1035" t="str">
        <x:f>_xlfn.XLOOKUP($A1035,Games!$A$2:$A$18,Games!$P$2:$P$18,"Missing game",0)</x:f>
      </x:c>
      <x:c r="AV1035" t="str">
        <x:f>_xlfn.XLOOKUP($A1035,Games!$A$2:$A$18,Games!$Q$2:$Q$18,"Missing game",0)</x:f>
      </x:c>
      <x:c r="AW1035" t="str">
        <x:f>_xlfn.XLOOKUP($A1035,Games!$A$2:$A$18,Games!$R$2:$R$18,"Missing game",0)</x:f>
        <x:v>SoFi Stadium</x:v>
      </x:c>
    </x:row>
    <x:row r="1036">
      <x:c r="A1036" t="str">
        <x:v>2025_08_MIN_LAC</x:v>
      </x:c>
      <x:c r="B1036" t="n">
        <x:v>529</x:v>
      </x:c>
      <x:c r="C1036" t="n">
        <x:v>1</x:v>
      </x:c>
      <x:c r="D1036" t="str">
        <x:v>05:43</x:v>
      </x:c>
      <x:c r="E1036" t="n">
        <x:v>3</x:v>
      </x:c>
      <x:c r="F1036" t="n">
        <x:v>1</x:v>
      </x:c>
      <x:c r="G1036" t="str">
        <x:v>LAC</x:v>
      </x:c>
      <x:c r="H1036" t="str">
        <x:v>MIN</x:v>
      </x:c>
      <x:c r="I1036" t="str">
        <x:v>MIN</x:v>
      </x:c>
      <x:c r="J1036" t="n">
        <x:v>32</x:v>
      </x:c>
      <x:c r="K1036" t="str">
        <x:v>(5:43) 10-J.Herbert pass short middle to 15-L.McConkey to MIN 17 for 15 yards (7-B.Murphy). PENALTY on MIN-15-D.Turner, Roughing the Passer, 9 yards, enforced at MIN 17.</x:v>
      </x:c>
      <x:c r="L1036" t="str">
        <x:v>pass</x:v>
      </x:c>
      <x:c r="M1036" t="n">
        <x:v>15</x:v>
      </x:c>
      <x:c r="N1036" t="n">
        <x:v>0</x:v>
      </x:c>
      <x:c r="O1036" t="n">
        <x:v>0</x:v>
      </x:c>
      <x:c r="P1036" t="str">
        <x:v>short</x:v>
      </x:c>
      <x:c r="Q1036" t="str">
        <x:v>middle</x:v>
      </x:c>
      <x:c r="R1036" t="n">
        <x:v>12</x:v>
      </x:c>
      <x:c r="S1036" t="n">
        <x:v>3</x:v>
      </x:c>
      <x:c r="T1036"/>
      <x:c r="U1036"/>
      <x:c r="V1036" t="n">
        <x:v>1</x:v>
      </x:c>
      <x:c r="W1036" t="n">
        <x:v>1</x:v>
      </x:c>
      <x:c r="X1036" t="n">
        <x:v>0</x:v>
      </x:c>
      <x:c r="Y1036" t="n">
        <x:v>0</x:v>
      </x:c>
      <x:c r="Z1036" t="n">
        <x:v>0</x:v>
      </x:c>
      <x:c r="AA1036" t="n">
        <x:v>1</x:v>
      </x:c>
      <x:c r="AB1036" t="n">
        <x:v>9</x:v>
      </x:c>
      <x:c r="AC1036" t="n">
        <x:v>0</x:v>
      </x:c>
      <x:c r="AD1036" t="n">
        <x:v>1.9159140343545005</x:v>
      </x:c>
      <x:c r="AE1036" t="n">
        <x:v>1</x:v>
      </x:c>
      <x:c r="AF1036" t="n">
        <x:v>0.0445522665977478</x:v>
      </x:c>
      <x:c r="AG1036" t="n">
        <x:f>_xlfn.XLOOKUP($A1036,Games!$A$2:$A$18,Games!$B$2:$B$18,"Missing game",0)</x:f>
        <x:v>2025</x:v>
      </x:c>
      <x:c r="AH1036" t="str">
        <x:f>_xlfn.XLOOKUP($A1036,Games!$A$2:$A$18,Games!$C$2:$C$18,"Missing game",0)</x:f>
        <x:v>REG</x:v>
      </x:c>
      <x:c r="AI1036" t="n">
        <x:f>_xlfn.XLOOKUP($A1036,Games!$A$2:$A$18,Games!$D$2:$D$18,"Missing game",0)</x:f>
        <x:v>8</x:v>
      </x:c>
      <x:c r="AJ1036" s="1" t="n">
        <x:f>_xlfn.XLOOKUP($A1036,Games!$A$2:$A$18,Games!$E$2:$E$18,"Missing game",0)</x:f>
        <x:v>45953</x:v>
      </x:c>
      <x:c r="AK1036" t="str">
        <x:f>_xlfn.XLOOKUP($A1036,Games!$A$2:$A$18,Games!$F$2:$F$18,"Missing game",0)</x:f>
        <x:v>Thursday</x:v>
      </x:c>
      <x:c r="AL1036" t="str">
        <x:f>_xlfn.XLOOKUP($A1036,Games!$A$2:$A$18,Games!$G$2:$G$18,"Missing game",0)</x:f>
        <x:v>MIN</x:v>
      </x:c>
      <x:c r="AM1036" t="n">
        <x:f>_xlfn.XLOOKUP($A1036,Games!$A$2:$A$18,Games!$H$2:$H$18,"Missing game",0)</x:f>
        <x:v>10</x:v>
      </x:c>
      <x:c r="AN1036" t="str">
        <x:f>_xlfn.XLOOKUP($A1036,Games!$A$2:$A$18,Games!$I$2:$I$18,"Missing game",0)</x:f>
        <x:v>LAC</x:v>
      </x:c>
      <x:c r="AO1036" t="n">
        <x:f>_xlfn.XLOOKUP($A1036,Games!$A$2:$A$18,Games!$J$2:$J$18,"Missing game",0)</x:f>
        <x:v>37</x:v>
      </x:c>
      <x:c r="AP1036" t="n">
        <x:f>_xlfn.XLOOKUP($A1036,Games!$A$2:$A$18,Games!$K$2:$K$18,"Missing game",0)</x:f>
        <x:v>27</x:v>
      </x:c>
      <x:c r="AQ1036" t="n">
        <x:f>_xlfn.XLOOKUP($A1036,Games!$A$2:$A$18,Games!$L$2:$L$18,"Missing game",0)</x:f>
        <x:v>47</x:v>
      </x:c>
      <x:c r="AR1036" t="n">
        <x:f>_xlfn.XLOOKUP($A1036,Games!$A$2:$A$18,Games!$M$2:$M$18,"Missing game",0)</x:f>
        <x:v>0</x:v>
      </x:c>
      <x:c r="AS1036" t="str">
        <x:f>_xlfn.XLOOKUP($A1036,Games!$A$2:$A$18,Games!$N$2:$N$18,"Missing game",0)</x:f>
        <x:v>dome</x:v>
      </x:c>
      <x:c r="AT1036" t="str">
        <x:f>_xlfn.XLOOKUP($A1036,Games!$A$2:$A$18,Games!$O$2:$O$18,"Missing game",0)</x:f>
        <x:v>matrixturf</x:v>
      </x:c>
      <x:c r="AU1036" t="str">
        <x:f>_xlfn.XLOOKUP($A1036,Games!$A$2:$A$18,Games!$P$2:$P$18,"Missing game",0)</x:f>
      </x:c>
      <x:c r="AV1036" t="str">
        <x:f>_xlfn.XLOOKUP($A1036,Games!$A$2:$A$18,Games!$Q$2:$Q$18,"Missing game",0)</x:f>
      </x:c>
      <x:c r="AW1036" t="str">
        <x:f>_xlfn.XLOOKUP($A1036,Games!$A$2:$A$18,Games!$R$2:$R$18,"Missing game",0)</x:f>
        <x:v>SoFi Stadium</x:v>
      </x:c>
    </x:row>
    <x:row r="1037">
      <x:c r="A1037" t="str">
        <x:v>2025_08_MIN_LAC</x:v>
      </x:c>
      <x:c r="B1037" t="n">
        <x:v>565</x:v>
      </x:c>
      <x:c r="C1037" t="n">
        <x:v>1</x:v>
      </x:c>
      <x:c r="D1037" t="str">
        <x:v>05:29</x:v>
      </x:c>
      <x:c r="E1037" t="n">
        <x:v>1</x:v>
      </x:c>
      <x:c r="F1037" t="n">
        <x:v>8</x:v>
      </x:c>
      <x:c r="G1037" t="str">
        <x:v>LAC</x:v>
      </x:c>
      <x:c r="H1037" t="str">
        <x:v>MIN</x:v>
      </x:c>
      <x:c r="I1037" t="str">
        <x:v>MIN</x:v>
      </x:c>
      <x:c r="J1037" t="n">
        <x:v>8</x:v>
      </x:c>
      <x:c r="K1037" t="str">
        <x:v>(5:29) 30-K.Vidal up the middle to MIN 10 for -2 yards (58-J.Greenard).</x:v>
      </x:c>
      <x:c r="L1037" t="str">
        <x:v>run</x:v>
      </x:c>
      <x:c r="M1037" t="n">
        <x:v>-2</x:v>
      </x:c>
      <x:c r="N1037" t="n">
        <x:v>0</x:v>
      </x:c>
      <x:c r="O1037" t="n">
        <x:v>0</x:v>
      </x:c>
      <x:c r="P1037"/>
      <x:c r="Q1037"/>
      <x:c r="R1037"/>
      <x:c r="S1037"/>
      <x:c r="T1037" t="str">
        <x:v>middle</x:v>
      </x:c>
      <x:c r="U1037"/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/>
      <x:c r="AC1037" t="n">
        <x:v>0</x:v>
      </x:c>
      <x:c r="AD1037" t="n">
        <x:v>-0.7259486054535955</x:v>
      </x:c>
      <x:c r="AE1037" t="n">
        <x:v>0</x:v>
      </x:c>
      <x:c r="AF1037" t="n">
        <x:v>-0.015726149082183838</x:v>
      </x:c>
      <x:c r="AG1037" t="n">
        <x:f>_xlfn.XLOOKUP($A1037,Games!$A$2:$A$18,Games!$B$2:$B$18,"Missing game",0)</x:f>
        <x:v>2025</x:v>
      </x:c>
      <x:c r="AH1037" t="str">
        <x:f>_xlfn.XLOOKUP($A1037,Games!$A$2:$A$18,Games!$C$2:$C$18,"Missing game",0)</x:f>
        <x:v>REG</x:v>
      </x:c>
      <x:c r="AI1037" t="n">
        <x:f>_xlfn.XLOOKUP($A1037,Games!$A$2:$A$18,Games!$D$2:$D$18,"Missing game",0)</x:f>
        <x:v>8</x:v>
      </x:c>
      <x:c r="AJ1037" s="1" t="n">
        <x:f>_xlfn.XLOOKUP($A1037,Games!$A$2:$A$18,Games!$E$2:$E$18,"Missing game",0)</x:f>
        <x:v>45953</x:v>
      </x:c>
      <x:c r="AK1037" t="str">
        <x:f>_xlfn.XLOOKUP($A1037,Games!$A$2:$A$18,Games!$F$2:$F$18,"Missing game",0)</x:f>
        <x:v>Thursday</x:v>
      </x:c>
      <x:c r="AL1037" t="str">
        <x:f>_xlfn.XLOOKUP($A1037,Games!$A$2:$A$18,Games!$G$2:$G$18,"Missing game",0)</x:f>
        <x:v>MIN</x:v>
      </x:c>
      <x:c r="AM1037" t="n">
        <x:f>_xlfn.XLOOKUP($A1037,Games!$A$2:$A$18,Games!$H$2:$H$18,"Missing game",0)</x:f>
        <x:v>10</x:v>
      </x:c>
      <x:c r="AN1037" t="str">
        <x:f>_xlfn.XLOOKUP($A1037,Games!$A$2:$A$18,Games!$I$2:$I$18,"Missing game",0)</x:f>
        <x:v>LAC</x:v>
      </x:c>
      <x:c r="AO1037" t="n">
        <x:f>_xlfn.XLOOKUP($A1037,Games!$A$2:$A$18,Games!$J$2:$J$18,"Missing game",0)</x:f>
        <x:v>37</x:v>
      </x:c>
      <x:c r="AP1037" t="n">
        <x:f>_xlfn.XLOOKUP($A1037,Games!$A$2:$A$18,Games!$K$2:$K$18,"Missing game",0)</x:f>
        <x:v>27</x:v>
      </x:c>
      <x:c r="AQ1037" t="n">
        <x:f>_xlfn.XLOOKUP($A1037,Games!$A$2:$A$18,Games!$L$2:$L$18,"Missing game",0)</x:f>
        <x:v>47</x:v>
      </x:c>
      <x:c r="AR1037" t="n">
        <x:f>_xlfn.XLOOKUP($A1037,Games!$A$2:$A$18,Games!$M$2:$M$18,"Missing game",0)</x:f>
        <x:v>0</x:v>
      </x:c>
      <x:c r="AS1037" t="str">
        <x:f>_xlfn.XLOOKUP($A1037,Games!$A$2:$A$18,Games!$N$2:$N$18,"Missing game",0)</x:f>
        <x:v>dome</x:v>
      </x:c>
      <x:c r="AT1037" t="str">
        <x:f>_xlfn.XLOOKUP($A1037,Games!$A$2:$A$18,Games!$O$2:$O$18,"Missing game",0)</x:f>
        <x:v>matrixturf</x:v>
      </x:c>
      <x:c r="AU1037" t="str">
        <x:f>_xlfn.XLOOKUP($A1037,Games!$A$2:$A$18,Games!$P$2:$P$18,"Missing game",0)</x:f>
      </x:c>
      <x:c r="AV1037" t="str">
        <x:f>_xlfn.XLOOKUP($A1037,Games!$A$2:$A$18,Games!$Q$2:$Q$18,"Missing game",0)</x:f>
      </x:c>
      <x:c r="AW1037" t="str">
        <x:f>_xlfn.XLOOKUP($A1037,Games!$A$2:$A$18,Games!$R$2:$R$18,"Missing game",0)</x:f>
        <x:v>SoFi Stadium</x:v>
      </x:c>
    </x:row>
    <x:row r="1038">
      <x:c r="A1038" t="str">
        <x:v>2025_08_MIN_LAC</x:v>
      </x:c>
      <x:c r="B1038" t="n">
        <x:v>587</x:v>
      </x:c>
      <x:c r="C1038" t="n">
        <x:v>1</x:v>
      </x:c>
      <x:c r="D1038" t="str">
        <x:v>04:49</x:v>
      </x:c>
      <x:c r="E1038" t="n">
        <x:v>2</x:v>
      </x:c>
      <x:c r="F1038" t="n">
        <x:v>10</x:v>
      </x:c>
      <x:c r="G1038" t="str">
        <x:v>LAC</x:v>
      </x:c>
      <x:c r="H1038" t="str">
        <x:v>MIN</x:v>
      </x:c>
      <x:c r="I1038" t="str">
        <x:v>MIN</x:v>
      </x:c>
      <x:c r="J1038" t="n">
        <x:v>10</x:v>
      </x:c>
      <x:c r="K1038" t="str">
        <x:v>(4:49) 10-J.Herbert scrambles up the middle to MIN 8 for 2 yards (58-J.Greenard).</x:v>
      </x:c>
      <x:c r="L1038" t="str">
        <x:v>run</x:v>
      </x:c>
      <x:c r="M1038" t="n">
        <x:v>2</x:v>
      </x:c>
      <x:c r="N1038" t="n">
        <x:v>0</x:v>
      </x:c>
      <x:c r="O1038" t="n">
        <x:v>0</x:v>
      </x:c>
      <x:c r="P1038"/>
      <x:c r="Q1038"/>
      <x:c r="R1038"/>
      <x:c r="S1038"/>
      <x:c r="T1038" t="str">
        <x:v>middle</x:v>
      </x:c>
      <x:c r="U1038"/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/>
      <x:c r="AC1038" t="n">
        <x:v>0</x:v>
      </x:c>
      <x:c r="AD1038" t="n">
        <x:v>-0.7027613091049716</x:v>
      </x:c>
      <x:c r="AE1038" t="n">
        <x:v>0</x:v>
      </x:c>
      <x:c r="AF1038" t="n">
        <x:v>-0.019731640815734863</x:v>
      </x:c>
      <x:c r="AG1038" t="n">
        <x:f>_xlfn.XLOOKUP($A1038,Games!$A$2:$A$18,Games!$B$2:$B$18,"Missing game",0)</x:f>
        <x:v>2025</x:v>
      </x:c>
      <x:c r="AH1038" t="str">
        <x:f>_xlfn.XLOOKUP($A1038,Games!$A$2:$A$18,Games!$C$2:$C$18,"Missing game",0)</x:f>
        <x:v>REG</x:v>
      </x:c>
      <x:c r="AI1038" t="n">
        <x:f>_xlfn.XLOOKUP($A1038,Games!$A$2:$A$18,Games!$D$2:$D$18,"Missing game",0)</x:f>
        <x:v>8</x:v>
      </x:c>
      <x:c r="AJ1038" s="1" t="n">
        <x:f>_xlfn.XLOOKUP($A1038,Games!$A$2:$A$18,Games!$E$2:$E$18,"Missing game",0)</x:f>
        <x:v>45953</x:v>
      </x:c>
      <x:c r="AK1038" t="str">
        <x:f>_xlfn.XLOOKUP($A1038,Games!$A$2:$A$18,Games!$F$2:$F$18,"Missing game",0)</x:f>
        <x:v>Thursday</x:v>
      </x:c>
      <x:c r="AL1038" t="str">
        <x:f>_xlfn.XLOOKUP($A1038,Games!$A$2:$A$18,Games!$G$2:$G$18,"Missing game",0)</x:f>
        <x:v>MIN</x:v>
      </x:c>
      <x:c r="AM1038" t="n">
        <x:f>_xlfn.XLOOKUP($A1038,Games!$A$2:$A$18,Games!$H$2:$H$18,"Missing game",0)</x:f>
        <x:v>10</x:v>
      </x:c>
      <x:c r="AN1038" t="str">
        <x:f>_xlfn.XLOOKUP($A1038,Games!$A$2:$A$18,Games!$I$2:$I$18,"Missing game",0)</x:f>
        <x:v>LAC</x:v>
      </x:c>
      <x:c r="AO1038" t="n">
        <x:f>_xlfn.XLOOKUP($A1038,Games!$A$2:$A$18,Games!$J$2:$J$18,"Missing game",0)</x:f>
        <x:v>37</x:v>
      </x:c>
      <x:c r="AP1038" t="n">
        <x:f>_xlfn.XLOOKUP($A1038,Games!$A$2:$A$18,Games!$K$2:$K$18,"Missing game",0)</x:f>
        <x:v>27</x:v>
      </x:c>
      <x:c r="AQ1038" t="n">
        <x:f>_xlfn.XLOOKUP($A1038,Games!$A$2:$A$18,Games!$L$2:$L$18,"Missing game",0)</x:f>
        <x:v>47</x:v>
      </x:c>
      <x:c r="AR1038" t="n">
        <x:f>_xlfn.XLOOKUP($A1038,Games!$A$2:$A$18,Games!$M$2:$M$18,"Missing game",0)</x:f>
        <x:v>0</x:v>
      </x:c>
      <x:c r="AS1038" t="str">
        <x:f>_xlfn.XLOOKUP($A1038,Games!$A$2:$A$18,Games!$N$2:$N$18,"Missing game",0)</x:f>
        <x:v>dome</x:v>
      </x:c>
      <x:c r="AT1038" t="str">
        <x:f>_xlfn.XLOOKUP($A1038,Games!$A$2:$A$18,Games!$O$2:$O$18,"Missing game",0)</x:f>
        <x:v>matrixturf</x:v>
      </x:c>
      <x:c r="AU1038" t="str">
        <x:f>_xlfn.XLOOKUP($A1038,Games!$A$2:$A$18,Games!$P$2:$P$18,"Missing game",0)</x:f>
      </x:c>
      <x:c r="AV1038" t="str">
        <x:f>_xlfn.XLOOKUP($A1038,Games!$A$2:$A$18,Games!$Q$2:$Q$18,"Missing game",0)</x:f>
      </x:c>
      <x:c r="AW1038" t="str">
        <x:f>_xlfn.XLOOKUP($A1038,Games!$A$2:$A$18,Games!$R$2:$R$18,"Missing game",0)</x:f>
        <x:v>SoFi Stadium</x:v>
      </x:c>
    </x:row>
    <x:row r="1039">
      <x:c r="A1039" t="str">
        <x:v>2025_08_MIN_LAC</x:v>
      </x:c>
      <x:c r="B1039" t="n">
        <x:v>609</x:v>
      </x:c>
      <x:c r="C1039" t="n">
        <x:v>1</x:v>
      </x:c>
      <x:c r="D1039" t="str">
        <x:v>04:05</x:v>
      </x:c>
      <x:c r="E1039" t="n">
        <x:v>3</x:v>
      </x:c>
      <x:c r="F1039" t="n">
        <x:v>8</x:v>
      </x:c>
      <x:c r="G1039" t="str">
        <x:v>LAC</x:v>
      </x:c>
      <x:c r="H1039" t="str">
        <x:v>MIN</x:v>
      </x:c>
      <x:c r="I1039" t="str">
        <x:v>MIN</x:v>
      </x:c>
      <x:c r="J1039" t="n">
        <x:v>8</x:v>
      </x:c>
      <x:c r="K1039" t="str">
        <x:v>(4:05) (Shotgun) 10-J.Herbert pass short middle to 86-O.Gadsden for 8 yards, TOUCHDOWN [58-J.Greenard]. PENALTY on LAC-86-O.Gadsden, Unsportsmanlike Conduct, 15 yards, enforced between downs.</x:v>
      </x:c>
      <x:c r="L1039" t="str">
        <x:v>pass</x:v>
      </x:c>
      <x:c r="M1039" t="n">
        <x:v>8</x:v>
      </x:c>
      <x:c r="N1039" t="n">
        <x:v>1</x:v>
      </x:c>
      <x:c r="O1039" t="n">
        <x:v>0</x:v>
      </x:c>
      <x:c r="P1039" t="str">
        <x:v>short</x:v>
      </x:c>
      <x:c r="Q1039" t="str">
        <x:v>middle</x:v>
      </x:c>
      <x:c r="R1039" t="n">
        <x:v>8</x:v>
      </x:c>
      <x:c r="S1039" t="n">
        <x:v>0</x:v>
      </x:c>
      <x:c r="T1039"/>
      <x:c r="U1039"/>
      <x:c r="V1039" t="n">
        <x:v>1</x:v>
      </x:c>
      <x:c r="W1039" t="n">
        <x:v>1</x:v>
      </x:c>
      <x:c r="X1039" t="n">
        <x:v>0</x:v>
      </x:c>
      <x:c r="Y1039" t="n">
        <x:v>0</x:v>
      </x:c>
      <x:c r="Z1039" t="n">
        <x:v>0</x:v>
      </x:c>
      <x:c r="AA1039" t="n">
        <x:v>1</x:v>
      </x:c>
      <x:c r="AB1039" t="n">
        <x:v>15</x:v>
      </x:c>
      <x:c r="AC1039" t="n">
        <x:v>1</x:v>
      </x:c>
      <x:c r="AD1039" t="n">
        <x:v>2.759828405221924</x:v>
      </x:c>
      <x:c r="AE1039" t="n">
        <x:v>1</x:v>
      </x:c>
      <x:c r="AF1039" t="n">
        <x:v>0.06058356504219964</x:v>
      </x:c>
      <x:c r="AG1039" t="n">
        <x:f>_xlfn.XLOOKUP($A1039,Games!$A$2:$A$18,Games!$B$2:$B$18,"Missing game",0)</x:f>
        <x:v>2025</x:v>
      </x:c>
      <x:c r="AH1039" t="str">
        <x:f>_xlfn.XLOOKUP($A1039,Games!$A$2:$A$18,Games!$C$2:$C$18,"Missing game",0)</x:f>
        <x:v>REG</x:v>
      </x:c>
      <x:c r="AI1039" t="n">
        <x:f>_xlfn.XLOOKUP($A1039,Games!$A$2:$A$18,Games!$D$2:$D$18,"Missing game",0)</x:f>
        <x:v>8</x:v>
      </x:c>
      <x:c r="AJ1039" s="1" t="n">
        <x:f>_xlfn.XLOOKUP($A1039,Games!$A$2:$A$18,Games!$E$2:$E$18,"Missing game",0)</x:f>
        <x:v>45953</x:v>
      </x:c>
      <x:c r="AK1039" t="str">
        <x:f>_xlfn.XLOOKUP($A1039,Games!$A$2:$A$18,Games!$F$2:$F$18,"Missing game",0)</x:f>
        <x:v>Thursday</x:v>
      </x:c>
      <x:c r="AL1039" t="str">
        <x:f>_xlfn.XLOOKUP($A1039,Games!$A$2:$A$18,Games!$G$2:$G$18,"Missing game",0)</x:f>
        <x:v>MIN</x:v>
      </x:c>
      <x:c r="AM1039" t="n">
        <x:f>_xlfn.XLOOKUP($A1039,Games!$A$2:$A$18,Games!$H$2:$H$18,"Missing game",0)</x:f>
        <x:v>10</x:v>
      </x:c>
      <x:c r="AN1039" t="str">
        <x:f>_xlfn.XLOOKUP($A1039,Games!$A$2:$A$18,Games!$I$2:$I$18,"Missing game",0)</x:f>
        <x:v>LAC</x:v>
      </x:c>
      <x:c r="AO1039" t="n">
        <x:f>_xlfn.XLOOKUP($A1039,Games!$A$2:$A$18,Games!$J$2:$J$18,"Missing game",0)</x:f>
        <x:v>37</x:v>
      </x:c>
      <x:c r="AP1039" t="n">
        <x:f>_xlfn.XLOOKUP($A1039,Games!$A$2:$A$18,Games!$K$2:$K$18,"Missing game",0)</x:f>
        <x:v>27</x:v>
      </x:c>
      <x:c r="AQ1039" t="n">
        <x:f>_xlfn.XLOOKUP($A1039,Games!$A$2:$A$18,Games!$L$2:$L$18,"Missing game",0)</x:f>
        <x:v>47</x:v>
      </x:c>
      <x:c r="AR1039" t="n">
        <x:f>_xlfn.XLOOKUP($A1039,Games!$A$2:$A$18,Games!$M$2:$M$18,"Missing game",0)</x:f>
        <x:v>0</x:v>
      </x:c>
      <x:c r="AS1039" t="str">
        <x:f>_xlfn.XLOOKUP($A1039,Games!$A$2:$A$18,Games!$N$2:$N$18,"Missing game",0)</x:f>
        <x:v>dome</x:v>
      </x:c>
      <x:c r="AT1039" t="str">
        <x:f>_xlfn.XLOOKUP($A1039,Games!$A$2:$A$18,Games!$O$2:$O$18,"Missing game",0)</x:f>
        <x:v>matrixturf</x:v>
      </x:c>
      <x:c r="AU1039" t="str">
        <x:f>_xlfn.XLOOKUP($A1039,Games!$A$2:$A$18,Games!$P$2:$P$18,"Missing game",0)</x:f>
      </x:c>
      <x:c r="AV1039" t="str">
        <x:f>_xlfn.XLOOKUP($A1039,Games!$A$2:$A$18,Games!$Q$2:$Q$18,"Missing game",0)</x:f>
      </x:c>
      <x:c r="AW1039" t="str">
        <x:f>_xlfn.XLOOKUP($A1039,Games!$A$2:$A$18,Games!$R$2:$R$18,"Missing game",0)</x:f>
        <x:v>SoFi Stadium</x:v>
      </x:c>
    </x:row>
    <x:row r="1040">
      <x:c r="A1040" t="str">
        <x:v>2025_08_MIN_LAC</x:v>
      </x:c>
      <x:c r="B1040" t="n">
        <x:v>646</x:v>
      </x:c>
      <x:c r="C1040" t="n">
        <x:v>1</x:v>
      </x:c>
      <x:c r="D1040" t="str">
        <x:v>04:01</x:v>
      </x:c>
      <x:c r="E1040"/>
      <x:c r="F1040" t="n">
        <x:v>0</x:v>
      </x:c>
      <x:c r="G1040" t="str">
        <x:v>LAC</x:v>
      </x:c>
      <x:c r="H1040" t="str">
        <x:v>MIN</x:v>
      </x:c>
      <x:c r="I1040" t="str">
        <x:v>MIN</x:v>
      </x:c>
      <x:c r="J1040" t="n">
        <x:v>30</x:v>
      </x:c>
      <x:c r="K1040" t="str">
        <x:v>11-C.Dicker extra point is GOOD, Center-41-R.Lovato, Holder-16-J.Scott.</x:v>
      </x:c>
      <x:c r="L1040" t="str">
        <x:v>extra_point</x:v>
      </x:c>
      <x:c r="M1040" t="n">
        <x:v>0</x:v>
      </x:c>
      <x:c r="N1040" t="n">
        <x:v>0</x:v>
      </x:c>
      <x:c r="O1040" t="n">
        <x:v>0</x:v>
      </x:c>
      <x:c r="P1040"/>
      <x:c r="Q1040"/>
      <x:c r="R1040"/>
      <x:c r="S1040"/>
      <x:c r="T1040"/>
      <x:c r="U1040"/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/>
      <x:c r="AC1040" t="n">
        <x:v>0</x:v>
      </x:c>
      <x:c r="AD1040" t="n">
        <x:v>0.2566468109132223</x:v>
      </x:c>
      <x:c r="AE1040" t="n">
        <x:v>1</x:v>
      </x:c>
      <x:c r="AF1040" t="n">
        <x:v>0.001196768476782295</x:v>
      </x:c>
      <x:c r="AG1040" t="n">
        <x:f>_xlfn.XLOOKUP($A1040,Games!$A$2:$A$18,Games!$B$2:$B$18,"Missing game",0)</x:f>
        <x:v>2025</x:v>
      </x:c>
      <x:c r="AH1040" t="str">
        <x:f>_xlfn.XLOOKUP($A1040,Games!$A$2:$A$18,Games!$C$2:$C$18,"Missing game",0)</x:f>
        <x:v>REG</x:v>
      </x:c>
      <x:c r="AI1040" t="n">
        <x:f>_xlfn.XLOOKUP($A1040,Games!$A$2:$A$18,Games!$D$2:$D$18,"Missing game",0)</x:f>
        <x:v>8</x:v>
      </x:c>
      <x:c r="AJ1040" s="1" t="n">
        <x:f>_xlfn.XLOOKUP($A1040,Games!$A$2:$A$18,Games!$E$2:$E$18,"Missing game",0)</x:f>
        <x:v>45953</x:v>
      </x:c>
      <x:c r="AK1040" t="str">
        <x:f>_xlfn.XLOOKUP($A1040,Games!$A$2:$A$18,Games!$F$2:$F$18,"Missing game",0)</x:f>
        <x:v>Thursday</x:v>
      </x:c>
      <x:c r="AL1040" t="str">
        <x:f>_xlfn.XLOOKUP($A1040,Games!$A$2:$A$18,Games!$G$2:$G$18,"Missing game",0)</x:f>
        <x:v>MIN</x:v>
      </x:c>
      <x:c r="AM1040" t="n">
        <x:f>_xlfn.XLOOKUP($A1040,Games!$A$2:$A$18,Games!$H$2:$H$18,"Missing game",0)</x:f>
        <x:v>10</x:v>
      </x:c>
      <x:c r="AN1040" t="str">
        <x:f>_xlfn.XLOOKUP($A1040,Games!$A$2:$A$18,Games!$I$2:$I$18,"Missing game",0)</x:f>
        <x:v>LAC</x:v>
      </x:c>
      <x:c r="AO1040" t="n">
        <x:f>_xlfn.XLOOKUP($A1040,Games!$A$2:$A$18,Games!$J$2:$J$18,"Missing game",0)</x:f>
        <x:v>37</x:v>
      </x:c>
      <x:c r="AP1040" t="n">
        <x:f>_xlfn.XLOOKUP($A1040,Games!$A$2:$A$18,Games!$K$2:$K$18,"Missing game",0)</x:f>
        <x:v>27</x:v>
      </x:c>
      <x:c r="AQ1040" t="n">
        <x:f>_xlfn.XLOOKUP($A1040,Games!$A$2:$A$18,Games!$L$2:$L$18,"Missing game",0)</x:f>
        <x:v>47</x:v>
      </x:c>
      <x:c r="AR1040" t="n">
        <x:f>_xlfn.XLOOKUP($A1040,Games!$A$2:$A$18,Games!$M$2:$M$18,"Missing game",0)</x:f>
        <x:v>0</x:v>
      </x:c>
      <x:c r="AS1040" t="str">
        <x:f>_xlfn.XLOOKUP($A1040,Games!$A$2:$A$18,Games!$N$2:$N$18,"Missing game",0)</x:f>
        <x:v>dome</x:v>
      </x:c>
      <x:c r="AT1040" t="str">
        <x:f>_xlfn.XLOOKUP($A1040,Games!$A$2:$A$18,Games!$O$2:$O$18,"Missing game",0)</x:f>
        <x:v>matrixturf</x:v>
      </x:c>
      <x:c r="AU1040" t="str">
        <x:f>_xlfn.XLOOKUP($A1040,Games!$A$2:$A$18,Games!$P$2:$P$18,"Missing game",0)</x:f>
      </x:c>
      <x:c r="AV1040" t="str">
        <x:f>_xlfn.XLOOKUP($A1040,Games!$A$2:$A$18,Games!$Q$2:$Q$18,"Missing game",0)</x:f>
      </x:c>
      <x:c r="AW1040" t="str">
        <x:f>_xlfn.XLOOKUP($A1040,Games!$A$2:$A$18,Games!$R$2:$R$18,"Missing game",0)</x:f>
        <x:v>SoFi Stadium</x:v>
      </x:c>
    </x:row>
    <x:row r="1041">
      <x:c r="A1041" t="str">
        <x:v>2025_08_MIN_LAC</x:v>
      </x:c>
      <x:c r="B1041" t="n">
        <x:v>661</x:v>
      </x:c>
      <x:c r="C1041" t="n">
        <x:v>1</x:v>
      </x:c>
      <x:c r="D1041" t="str">
        <x:v>04:01</x:v>
      </x:c>
      <x:c r="E1041"/>
      <x:c r="F1041" t="n">
        <x:v>0</x:v>
      </x:c>
      <x:c r="G1041" t="str">
        <x:v>MIN</x:v>
      </x:c>
      <x:c r="H1041" t="str">
        <x:v>LAC</x:v>
      </x:c>
      <x:c r="I1041" t="str">
        <x:v>LAC</x:v>
      </x:c>
      <x:c r="J1041" t="n">
        <x:v>35</x:v>
      </x:c>
      <x:c r="K1041" t="str">
        <x:v>11-C.Dicker kicks 62 yards from LAC 35 to MIN 3. 4-M.Price to MIN 23 for 20 yards (58-M.Wax). PENALTY on MIN-0-I.Pace, Illegal Formation, 5 yards, enforced at MIN 23.</x:v>
      </x:c>
      <x:c r="L1041" t="str">
        <x:v>kickoff</x:v>
      </x:c>
      <x:c r="M1041" t="n">
        <x:v>0</x:v>
      </x:c>
      <x:c r="N1041" t="n">
        <x:v>0</x:v>
      </x:c>
      <x:c r="O1041" t="n">
        <x:v>0</x:v>
      </x:c>
      <x:c r="P1041"/>
      <x:c r="Q1041"/>
      <x:c r="R1041"/>
      <x:c r="S1041"/>
      <x:c r="T1041"/>
      <x:c r="U1041"/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1</x:v>
      </x:c>
      <x:c r="AB1041" t="n">
        <x:v>5</x:v>
      </x:c>
      <x:c r="AC1041" t="n">
        <x:v>0</x:v>
      </x:c>
      <x:c r="AD1041" t="n">
        <x:v>-0.5213618981651962</x:v>
      </x:c>
      <x:c r="AE1041" t="n">
        <x:v>0</x:v>
      </x:c>
      <x:c r="AF1041" t="n">
        <x:v>-0.01023806631565094</x:v>
      </x:c>
      <x:c r="AG1041" t="n">
        <x:f>_xlfn.XLOOKUP($A1041,Games!$A$2:$A$18,Games!$B$2:$B$18,"Missing game",0)</x:f>
        <x:v>2025</x:v>
      </x:c>
      <x:c r="AH1041" t="str">
        <x:f>_xlfn.XLOOKUP($A1041,Games!$A$2:$A$18,Games!$C$2:$C$18,"Missing game",0)</x:f>
        <x:v>REG</x:v>
      </x:c>
      <x:c r="AI1041" t="n">
        <x:f>_xlfn.XLOOKUP($A1041,Games!$A$2:$A$18,Games!$D$2:$D$18,"Missing game",0)</x:f>
        <x:v>8</x:v>
      </x:c>
      <x:c r="AJ1041" s="1" t="n">
        <x:f>_xlfn.XLOOKUP($A1041,Games!$A$2:$A$18,Games!$E$2:$E$18,"Missing game",0)</x:f>
        <x:v>45953</x:v>
      </x:c>
      <x:c r="AK1041" t="str">
        <x:f>_xlfn.XLOOKUP($A1041,Games!$A$2:$A$18,Games!$F$2:$F$18,"Missing game",0)</x:f>
        <x:v>Thursday</x:v>
      </x:c>
      <x:c r="AL1041" t="str">
        <x:f>_xlfn.XLOOKUP($A1041,Games!$A$2:$A$18,Games!$G$2:$G$18,"Missing game",0)</x:f>
        <x:v>MIN</x:v>
      </x:c>
      <x:c r="AM1041" t="n">
        <x:f>_xlfn.XLOOKUP($A1041,Games!$A$2:$A$18,Games!$H$2:$H$18,"Missing game",0)</x:f>
        <x:v>10</x:v>
      </x:c>
      <x:c r="AN1041" t="str">
        <x:f>_xlfn.XLOOKUP($A1041,Games!$A$2:$A$18,Games!$I$2:$I$18,"Missing game",0)</x:f>
        <x:v>LAC</x:v>
      </x:c>
      <x:c r="AO1041" t="n">
        <x:f>_xlfn.XLOOKUP($A1041,Games!$A$2:$A$18,Games!$J$2:$J$18,"Missing game",0)</x:f>
        <x:v>37</x:v>
      </x:c>
      <x:c r="AP1041" t="n">
        <x:f>_xlfn.XLOOKUP($A1041,Games!$A$2:$A$18,Games!$K$2:$K$18,"Missing game",0)</x:f>
        <x:v>27</x:v>
      </x:c>
      <x:c r="AQ1041" t="n">
        <x:f>_xlfn.XLOOKUP($A1041,Games!$A$2:$A$18,Games!$L$2:$L$18,"Missing game",0)</x:f>
        <x:v>47</x:v>
      </x:c>
      <x:c r="AR1041" t="n">
        <x:f>_xlfn.XLOOKUP($A1041,Games!$A$2:$A$18,Games!$M$2:$M$18,"Missing game",0)</x:f>
        <x:v>0</x:v>
      </x:c>
      <x:c r="AS1041" t="str">
        <x:f>_xlfn.XLOOKUP($A1041,Games!$A$2:$A$18,Games!$N$2:$N$18,"Missing game",0)</x:f>
        <x:v>dome</x:v>
      </x:c>
      <x:c r="AT1041" t="str">
        <x:f>_xlfn.XLOOKUP($A1041,Games!$A$2:$A$18,Games!$O$2:$O$18,"Missing game",0)</x:f>
        <x:v>matrixturf</x:v>
      </x:c>
      <x:c r="AU1041" t="str">
        <x:f>_xlfn.XLOOKUP($A1041,Games!$A$2:$A$18,Games!$P$2:$P$18,"Missing game",0)</x:f>
      </x:c>
      <x:c r="AV1041" t="str">
        <x:f>_xlfn.XLOOKUP($A1041,Games!$A$2:$A$18,Games!$Q$2:$Q$18,"Missing game",0)</x:f>
      </x:c>
      <x:c r="AW1041" t="str">
        <x:f>_xlfn.XLOOKUP($A1041,Games!$A$2:$A$18,Games!$R$2:$R$18,"Missing game",0)</x:f>
        <x:v>SoFi Stadium</x:v>
      </x:c>
    </x:row>
    <x:row r="1042">
      <x:c r="A1042" t="str">
        <x:v>2025_08_MIN_LAC</x:v>
      </x:c>
      <x:c r="B1042" t="n">
        <x:v>707</x:v>
      </x:c>
      <x:c r="C1042" t="n">
        <x:v>1</x:v>
      </x:c>
      <x:c r="D1042" t="str">
        <x:v>03:55</x:v>
      </x:c>
      <x:c r="E1042" t="n">
        <x:v>1</x:v>
      </x:c>
      <x:c r="F1042" t="n">
        <x:v>10</x:v>
      </x:c>
      <x:c r="G1042" t="str">
        <x:v>MIN</x:v>
      </x:c>
      <x:c r="H1042" t="str">
        <x:v>LAC</x:v>
      </x:c>
      <x:c r="I1042" t="str">
        <x:v>MIN</x:v>
      </x:c>
      <x:c r="J1042" t="n">
        <x:v>82</x:v>
      </x:c>
      <x:c r="K1042" t="str">
        <x:v>(3:55) 27-J.Mason right end to MIN 17 for -1 yards (45-T.Tuipulotu, 0-D.Henley).</x:v>
      </x:c>
      <x:c r="L1042" t="str">
        <x:v>run</x:v>
      </x:c>
      <x:c r="M1042" t="n">
        <x:v>-1</x:v>
      </x:c>
      <x:c r="N1042" t="n">
        <x:v>0</x:v>
      </x:c>
      <x:c r="O1042" t="n">
        <x:v>0</x:v>
      </x:c>
      <x:c r="P1042"/>
      <x:c r="Q1042"/>
      <x:c r="R1042"/>
      <x:c r="S1042"/>
      <x:c r="T1042" t="str">
        <x:v>right</x:v>
      </x:c>
      <x:c r="U1042" t="str">
        <x:v>end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/>
      <x:c r="AC1042" t="n">
        <x:v>0</x:v>
      </x:c>
      <x:c r="AD1042" t="n">
        <x:v>-0.9193192347884178</x:v>
      </x:c>
      <x:c r="AE1042" t="n">
        <x:v>0</x:v>
      </x:c>
      <x:c r="AF1042" t="n">
        <x:v>-0.015505731105804443</x:v>
      </x:c>
      <x:c r="AG1042" t="n">
        <x:f>_xlfn.XLOOKUP($A1042,Games!$A$2:$A$18,Games!$B$2:$B$18,"Missing game",0)</x:f>
        <x:v>2025</x:v>
      </x:c>
      <x:c r="AH1042" t="str">
        <x:f>_xlfn.XLOOKUP($A1042,Games!$A$2:$A$18,Games!$C$2:$C$18,"Missing game",0)</x:f>
        <x:v>REG</x:v>
      </x:c>
      <x:c r="AI1042" t="n">
        <x:f>_xlfn.XLOOKUP($A1042,Games!$A$2:$A$18,Games!$D$2:$D$18,"Missing game",0)</x:f>
        <x:v>8</x:v>
      </x:c>
      <x:c r="AJ1042" s="1" t="n">
        <x:f>_xlfn.XLOOKUP($A1042,Games!$A$2:$A$18,Games!$E$2:$E$18,"Missing game",0)</x:f>
        <x:v>45953</x:v>
      </x:c>
      <x:c r="AK1042" t="str">
        <x:f>_xlfn.XLOOKUP($A1042,Games!$A$2:$A$18,Games!$F$2:$F$18,"Missing game",0)</x:f>
        <x:v>Thursday</x:v>
      </x:c>
      <x:c r="AL1042" t="str">
        <x:f>_xlfn.XLOOKUP($A1042,Games!$A$2:$A$18,Games!$G$2:$G$18,"Missing game",0)</x:f>
        <x:v>MIN</x:v>
      </x:c>
      <x:c r="AM1042" t="n">
        <x:f>_xlfn.XLOOKUP($A1042,Games!$A$2:$A$18,Games!$H$2:$H$18,"Missing game",0)</x:f>
        <x:v>10</x:v>
      </x:c>
      <x:c r="AN1042" t="str">
        <x:f>_xlfn.XLOOKUP($A1042,Games!$A$2:$A$18,Games!$I$2:$I$18,"Missing game",0)</x:f>
        <x:v>LAC</x:v>
      </x:c>
      <x:c r="AO1042" t="n">
        <x:f>_xlfn.XLOOKUP($A1042,Games!$A$2:$A$18,Games!$J$2:$J$18,"Missing game",0)</x:f>
        <x:v>37</x:v>
      </x:c>
      <x:c r="AP1042" t="n">
        <x:f>_xlfn.XLOOKUP($A1042,Games!$A$2:$A$18,Games!$K$2:$K$18,"Missing game",0)</x:f>
        <x:v>27</x:v>
      </x:c>
      <x:c r="AQ1042" t="n">
        <x:f>_xlfn.XLOOKUP($A1042,Games!$A$2:$A$18,Games!$L$2:$L$18,"Missing game",0)</x:f>
        <x:v>47</x:v>
      </x:c>
      <x:c r="AR1042" t="n">
        <x:f>_xlfn.XLOOKUP($A1042,Games!$A$2:$A$18,Games!$M$2:$M$18,"Missing game",0)</x:f>
        <x:v>0</x:v>
      </x:c>
      <x:c r="AS1042" t="str">
        <x:f>_xlfn.XLOOKUP($A1042,Games!$A$2:$A$18,Games!$N$2:$N$18,"Missing game",0)</x:f>
        <x:v>dome</x:v>
      </x:c>
      <x:c r="AT1042" t="str">
        <x:f>_xlfn.XLOOKUP($A1042,Games!$A$2:$A$18,Games!$O$2:$O$18,"Missing game",0)</x:f>
        <x:v>matrixturf</x:v>
      </x:c>
      <x:c r="AU1042" t="str">
        <x:f>_xlfn.XLOOKUP($A1042,Games!$A$2:$A$18,Games!$P$2:$P$18,"Missing game",0)</x:f>
      </x:c>
      <x:c r="AV1042" t="str">
        <x:f>_xlfn.XLOOKUP($A1042,Games!$A$2:$A$18,Games!$Q$2:$Q$18,"Missing game",0)</x:f>
      </x:c>
      <x:c r="AW1042" t="str">
        <x:f>_xlfn.XLOOKUP($A1042,Games!$A$2:$A$18,Games!$R$2:$R$18,"Missing game",0)</x:f>
        <x:v>SoFi Stadium</x:v>
      </x:c>
    </x:row>
    <x:row r="1043">
      <x:c r="A1043" t="str">
        <x:v>2025_08_MIN_LAC</x:v>
      </x:c>
      <x:c r="B1043" t="n">
        <x:v>729</x:v>
      </x:c>
      <x:c r="C1043" t="n">
        <x:v>1</x:v>
      </x:c>
      <x:c r="D1043" t="str">
        <x:v>03:11</x:v>
      </x:c>
      <x:c r="E1043" t="n">
        <x:v>2</x:v>
      </x:c>
      <x:c r="F1043" t="n">
        <x:v>11</x:v>
      </x:c>
      <x:c r="G1043" t="str">
        <x:v>MIN</x:v>
      </x:c>
      <x:c r="H1043" t="str">
        <x:v>LAC</x:v>
      </x:c>
      <x:c r="I1043" t="str">
        <x:v>MIN</x:v>
      </x:c>
      <x:c r="J1043" t="n">
        <x:v>83</x:v>
      </x:c>
      <x:c r="K1043" t="str">
        <x:v>(3:11) 11-C.Wentz pass incomplete short right to 3-J.Addison (20-C.Hart).</x:v>
      </x:c>
      <x:c r="L1043" t="str">
        <x:v>pass</x:v>
      </x:c>
      <x:c r="M1043" t="n">
        <x:v>0</x:v>
      </x:c>
      <x:c r="N1043" t="n">
        <x:v>0</x:v>
      </x:c>
      <x:c r="O1043" t="n">
        <x:v>0</x:v>
      </x:c>
      <x:c r="P1043" t="str">
        <x:v>short</x:v>
      </x:c>
      <x:c r="Q1043" t="str">
        <x:v>right</x:v>
      </x:c>
      <x:c r="R1043" t="n">
        <x:v>15</x:v>
      </x:c>
      <x:c r="S1043"/>
      <x:c r="T1043"/>
      <x:c r="U1043"/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/>
      <x:c r="AC1043" t="n">
        <x:v>0</x:v>
      </x:c>
      <x:c r="AD1043" t="n">
        <x:v>-0.7600111314095557</x:v>
      </x:c>
      <x:c r="AE1043" t="n">
        <x:v>0</x:v>
      </x:c>
      <x:c r="AF1043" t="n">
        <x:v>-0.011849939823150635</x:v>
      </x:c>
      <x:c r="AG1043" t="n">
        <x:f>_xlfn.XLOOKUP($A1043,Games!$A$2:$A$18,Games!$B$2:$B$18,"Missing game",0)</x:f>
        <x:v>2025</x:v>
      </x:c>
      <x:c r="AH1043" t="str">
        <x:f>_xlfn.XLOOKUP($A1043,Games!$A$2:$A$18,Games!$C$2:$C$18,"Missing game",0)</x:f>
        <x:v>REG</x:v>
      </x:c>
      <x:c r="AI1043" t="n">
        <x:f>_xlfn.XLOOKUP($A1043,Games!$A$2:$A$18,Games!$D$2:$D$18,"Missing game",0)</x:f>
        <x:v>8</x:v>
      </x:c>
      <x:c r="AJ1043" s="1" t="n">
        <x:f>_xlfn.XLOOKUP($A1043,Games!$A$2:$A$18,Games!$E$2:$E$18,"Missing game",0)</x:f>
        <x:v>45953</x:v>
      </x:c>
      <x:c r="AK1043" t="str">
        <x:f>_xlfn.XLOOKUP($A1043,Games!$A$2:$A$18,Games!$F$2:$F$18,"Missing game",0)</x:f>
        <x:v>Thursday</x:v>
      </x:c>
      <x:c r="AL1043" t="str">
        <x:f>_xlfn.XLOOKUP($A1043,Games!$A$2:$A$18,Games!$G$2:$G$18,"Missing game",0)</x:f>
        <x:v>MIN</x:v>
      </x:c>
      <x:c r="AM1043" t="n">
        <x:f>_xlfn.XLOOKUP($A1043,Games!$A$2:$A$18,Games!$H$2:$H$18,"Missing game",0)</x:f>
        <x:v>10</x:v>
      </x:c>
      <x:c r="AN1043" t="str">
        <x:f>_xlfn.XLOOKUP($A1043,Games!$A$2:$A$18,Games!$I$2:$I$18,"Missing game",0)</x:f>
        <x:v>LAC</x:v>
      </x:c>
      <x:c r="AO1043" t="n">
        <x:f>_xlfn.XLOOKUP($A1043,Games!$A$2:$A$18,Games!$J$2:$J$18,"Missing game",0)</x:f>
        <x:v>37</x:v>
      </x:c>
      <x:c r="AP1043" t="n">
        <x:f>_xlfn.XLOOKUP($A1043,Games!$A$2:$A$18,Games!$K$2:$K$18,"Missing game",0)</x:f>
        <x:v>27</x:v>
      </x:c>
      <x:c r="AQ1043" t="n">
        <x:f>_xlfn.XLOOKUP($A1043,Games!$A$2:$A$18,Games!$L$2:$L$18,"Missing game",0)</x:f>
        <x:v>47</x:v>
      </x:c>
      <x:c r="AR1043" t="n">
        <x:f>_xlfn.XLOOKUP($A1043,Games!$A$2:$A$18,Games!$M$2:$M$18,"Missing game",0)</x:f>
        <x:v>0</x:v>
      </x:c>
      <x:c r="AS1043" t="str">
        <x:f>_xlfn.XLOOKUP($A1043,Games!$A$2:$A$18,Games!$N$2:$N$18,"Missing game",0)</x:f>
        <x:v>dome</x:v>
      </x:c>
      <x:c r="AT1043" t="str">
        <x:f>_xlfn.XLOOKUP($A1043,Games!$A$2:$A$18,Games!$O$2:$O$18,"Missing game",0)</x:f>
        <x:v>matrixturf</x:v>
      </x:c>
      <x:c r="AU1043" t="str">
        <x:f>_xlfn.XLOOKUP($A1043,Games!$A$2:$A$18,Games!$P$2:$P$18,"Missing game",0)</x:f>
      </x:c>
      <x:c r="AV1043" t="str">
        <x:f>_xlfn.XLOOKUP($A1043,Games!$A$2:$A$18,Games!$Q$2:$Q$18,"Missing game",0)</x:f>
      </x:c>
      <x:c r="AW1043" t="str">
        <x:f>_xlfn.XLOOKUP($A1043,Games!$A$2:$A$18,Games!$R$2:$R$18,"Missing game",0)</x:f>
        <x:v>SoFi Stadium</x:v>
      </x:c>
    </x:row>
    <x:row r="1044">
      <x:c r="A1044" t="str">
        <x:v>2025_08_MIN_LAC</x:v>
      </x:c>
      <x:c r="B1044" t="n">
        <x:v>752</x:v>
      </x:c>
      <x:c r="C1044" t="n">
        <x:v>1</x:v>
      </x:c>
      <x:c r="D1044" t="str">
        <x:v>03:01</x:v>
      </x:c>
      <x:c r="E1044" t="n">
        <x:v>3</x:v>
      </x:c>
      <x:c r="F1044" t="n">
        <x:v>11</x:v>
      </x:c>
      <x:c r="G1044" t="str">
        <x:v>MIN</x:v>
      </x:c>
      <x:c r="H1044" t="str">
        <x:v>LAC</x:v>
      </x:c>
      <x:c r="I1044" t="str">
        <x:v>MIN</x:v>
      </x:c>
      <x:c r="J1044" t="n">
        <x:v>83</x:v>
      </x:c>
      <x:c r="K1044" t="str">
        <x:v>(3:01) (Shotgun) 11-C.Wentz sacked at MIN 9 for -8 yards (92-J.Eboigbe).</x:v>
      </x:c>
      <x:c r="L1044" t="str">
        <x:v>pass</x:v>
      </x:c>
      <x:c r="M1044" t="n">
        <x:v>-8</x:v>
      </x:c>
      <x:c r="N1044" t="n">
        <x:v>1</x:v>
      </x:c>
      <x:c r="O1044" t="n">
        <x:v>0</x:v>
      </x:c>
      <x:c r="P1044"/>
      <x:c r="Q1044"/>
      <x:c r="R1044"/>
      <x:c r="S1044"/>
      <x:c r="T1044"/>
      <x:c r="U1044"/>
      <x:c r="V1044" t="n">
        <x:v>0</x:v>
      </x:c>
      <x:c r="W1044" t="n">
        <x:v>0</x:v>
      </x:c>
      <x:c r="X1044" t="n">
        <x:v>1</x:v>
      </x:c>
      <x:c r="Y1044" t="n">
        <x:v>0</x:v>
      </x:c>
      <x:c r="Z1044" t="n">
        <x:v>0</x:v>
      </x:c>
      <x:c r="AA1044" t="n">
        <x:v>0</x:v>
      </x:c>
      <x:c r="AB1044"/>
      <x:c r="AC1044" t="n">
        <x:v>0</x:v>
      </x:c>
      <x:c r="AD1044" t="n">
        <x:v>-1.6884425012394786</x:v>
      </x:c>
      <x:c r="AE1044" t="n">
        <x:v>0</x:v>
      </x:c>
      <x:c r="AF1044" t="n">
        <x:v>-0.034764647483825684</x:v>
      </x:c>
      <x:c r="AG1044" t="n">
        <x:f>_xlfn.XLOOKUP($A1044,Games!$A$2:$A$18,Games!$B$2:$B$18,"Missing game",0)</x:f>
        <x:v>2025</x:v>
      </x:c>
      <x:c r="AH1044" t="str">
        <x:f>_xlfn.XLOOKUP($A1044,Games!$A$2:$A$18,Games!$C$2:$C$18,"Missing game",0)</x:f>
        <x:v>REG</x:v>
      </x:c>
      <x:c r="AI1044" t="n">
        <x:f>_xlfn.XLOOKUP($A1044,Games!$A$2:$A$18,Games!$D$2:$D$18,"Missing game",0)</x:f>
        <x:v>8</x:v>
      </x:c>
      <x:c r="AJ1044" s="1" t="n">
        <x:f>_xlfn.XLOOKUP($A1044,Games!$A$2:$A$18,Games!$E$2:$E$18,"Missing game",0)</x:f>
        <x:v>45953</x:v>
      </x:c>
      <x:c r="AK1044" t="str">
        <x:f>_xlfn.XLOOKUP($A1044,Games!$A$2:$A$18,Games!$F$2:$F$18,"Missing game",0)</x:f>
        <x:v>Thursday</x:v>
      </x:c>
      <x:c r="AL1044" t="str">
        <x:f>_xlfn.XLOOKUP($A1044,Games!$A$2:$A$18,Games!$G$2:$G$18,"Missing game",0)</x:f>
        <x:v>MIN</x:v>
      </x:c>
      <x:c r="AM1044" t="n">
        <x:f>_xlfn.XLOOKUP($A1044,Games!$A$2:$A$18,Games!$H$2:$H$18,"Missing game",0)</x:f>
        <x:v>10</x:v>
      </x:c>
      <x:c r="AN1044" t="str">
        <x:f>_xlfn.XLOOKUP($A1044,Games!$A$2:$A$18,Games!$I$2:$I$18,"Missing game",0)</x:f>
        <x:v>LAC</x:v>
      </x:c>
      <x:c r="AO1044" t="n">
        <x:f>_xlfn.XLOOKUP($A1044,Games!$A$2:$A$18,Games!$J$2:$J$18,"Missing game",0)</x:f>
        <x:v>37</x:v>
      </x:c>
      <x:c r="AP1044" t="n">
        <x:f>_xlfn.XLOOKUP($A1044,Games!$A$2:$A$18,Games!$K$2:$K$18,"Missing game",0)</x:f>
        <x:v>27</x:v>
      </x:c>
      <x:c r="AQ1044" t="n">
        <x:f>_xlfn.XLOOKUP($A1044,Games!$A$2:$A$18,Games!$L$2:$L$18,"Missing game",0)</x:f>
        <x:v>47</x:v>
      </x:c>
      <x:c r="AR1044" t="n">
        <x:f>_xlfn.XLOOKUP($A1044,Games!$A$2:$A$18,Games!$M$2:$M$18,"Missing game",0)</x:f>
        <x:v>0</x:v>
      </x:c>
      <x:c r="AS1044" t="str">
        <x:f>_xlfn.XLOOKUP($A1044,Games!$A$2:$A$18,Games!$N$2:$N$18,"Missing game",0)</x:f>
        <x:v>dome</x:v>
      </x:c>
      <x:c r="AT1044" t="str">
        <x:f>_xlfn.XLOOKUP($A1044,Games!$A$2:$A$18,Games!$O$2:$O$18,"Missing game",0)</x:f>
        <x:v>matrixturf</x:v>
      </x:c>
      <x:c r="AU1044" t="str">
        <x:f>_xlfn.XLOOKUP($A1044,Games!$A$2:$A$18,Games!$P$2:$P$18,"Missing game",0)</x:f>
      </x:c>
      <x:c r="AV1044" t="str">
        <x:f>_xlfn.XLOOKUP($A1044,Games!$A$2:$A$18,Games!$Q$2:$Q$18,"Missing game",0)</x:f>
      </x:c>
      <x:c r="AW1044" t="str">
        <x:f>_xlfn.XLOOKUP($A1044,Games!$A$2:$A$18,Games!$R$2:$R$18,"Missing game",0)</x:f>
        <x:v>SoFi Stadium</x:v>
      </x:c>
    </x:row>
    <x:row r="1045">
      <x:c r="A1045" t="str">
        <x:v>2025_08_MIN_LAC</x:v>
      </x:c>
      <x:c r="B1045" t="n">
        <x:v>772</x:v>
      </x:c>
      <x:c r="C1045" t="n">
        <x:v>1</x:v>
      </x:c>
      <x:c r="D1045" t="str">
        <x:v>02:24</x:v>
      </x:c>
      <x:c r="E1045" t="n">
        <x:v>4</x:v>
      </x:c>
      <x:c r="F1045" t="n">
        <x:v>19</x:v>
      </x:c>
      <x:c r="G1045" t="str">
        <x:v>MIN</x:v>
      </x:c>
      <x:c r="H1045" t="str">
        <x:v>LAC</x:v>
      </x:c>
      <x:c r="I1045" t="str">
        <x:v>MIN</x:v>
      </x:c>
      <x:c r="J1045" t="n">
        <x:v>91</x:v>
      </x:c>
      <x:c r="K1045" t="str">
        <x:v>(2:24) 17-R.Wright punts 50 yards to LAC 41, Center-42-A.DePaola, downed by MIN-13-T.Felton.</x:v>
      </x:c>
      <x:c r="L1045" t="str">
        <x:v>punt</x:v>
      </x:c>
      <x:c r="M1045" t="n">
        <x:v>0</x:v>
      </x:c>
      <x:c r="N1045" t="n">
        <x:v>0</x:v>
      </x:c>
      <x:c r="O1045" t="n">
        <x:v>0</x:v>
      </x:c>
      <x:c r="P1045"/>
      <x:c r="Q1045"/>
      <x:c r="R1045"/>
      <x:c r="S1045"/>
      <x:c r="T1045"/>
      <x:c r="U1045"/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/>
      <x:c r="AC1045" t="n">
        <x:v>0</x:v>
      </x:c>
      <x:c r="AD1045" t="n">
        <x:v>0.2588533859234303</x:v>
      </x:c>
      <x:c r="AE1045" t="n">
        <x:v>1</x:v>
      </x:c>
      <x:c r="AF1045" t="n">
        <x:v>0.0018647462129592896</x:v>
      </x:c>
      <x:c r="AG1045" t="n">
        <x:f>_xlfn.XLOOKUP($A1045,Games!$A$2:$A$18,Games!$B$2:$B$18,"Missing game",0)</x:f>
        <x:v>2025</x:v>
      </x:c>
      <x:c r="AH1045" t="str">
        <x:f>_xlfn.XLOOKUP($A1045,Games!$A$2:$A$18,Games!$C$2:$C$18,"Missing game",0)</x:f>
        <x:v>REG</x:v>
      </x:c>
      <x:c r="AI1045" t="n">
        <x:f>_xlfn.XLOOKUP($A1045,Games!$A$2:$A$18,Games!$D$2:$D$18,"Missing game",0)</x:f>
        <x:v>8</x:v>
      </x:c>
      <x:c r="AJ1045" s="1" t="n">
        <x:f>_xlfn.XLOOKUP($A1045,Games!$A$2:$A$18,Games!$E$2:$E$18,"Missing game",0)</x:f>
        <x:v>45953</x:v>
      </x:c>
      <x:c r="AK1045" t="str">
        <x:f>_xlfn.XLOOKUP($A1045,Games!$A$2:$A$18,Games!$F$2:$F$18,"Missing game",0)</x:f>
        <x:v>Thursday</x:v>
      </x:c>
      <x:c r="AL1045" t="str">
        <x:f>_xlfn.XLOOKUP($A1045,Games!$A$2:$A$18,Games!$G$2:$G$18,"Missing game",0)</x:f>
        <x:v>MIN</x:v>
      </x:c>
      <x:c r="AM1045" t="n">
        <x:f>_xlfn.XLOOKUP($A1045,Games!$A$2:$A$18,Games!$H$2:$H$18,"Missing game",0)</x:f>
        <x:v>10</x:v>
      </x:c>
      <x:c r="AN1045" t="str">
        <x:f>_xlfn.XLOOKUP($A1045,Games!$A$2:$A$18,Games!$I$2:$I$18,"Missing game",0)</x:f>
        <x:v>LAC</x:v>
      </x:c>
      <x:c r="AO1045" t="n">
        <x:f>_xlfn.XLOOKUP($A1045,Games!$A$2:$A$18,Games!$J$2:$J$18,"Missing game",0)</x:f>
        <x:v>37</x:v>
      </x:c>
      <x:c r="AP1045" t="n">
        <x:f>_xlfn.XLOOKUP($A1045,Games!$A$2:$A$18,Games!$K$2:$K$18,"Missing game",0)</x:f>
        <x:v>27</x:v>
      </x:c>
      <x:c r="AQ1045" t="n">
        <x:f>_xlfn.XLOOKUP($A1045,Games!$A$2:$A$18,Games!$L$2:$L$18,"Missing game",0)</x:f>
        <x:v>47</x:v>
      </x:c>
      <x:c r="AR1045" t="n">
        <x:f>_xlfn.XLOOKUP($A1045,Games!$A$2:$A$18,Games!$M$2:$M$18,"Missing game",0)</x:f>
        <x:v>0</x:v>
      </x:c>
      <x:c r="AS1045" t="str">
        <x:f>_xlfn.XLOOKUP($A1045,Games!$A$2:$A$18,Games!$N$2:$N$18,"Missing game",0)</x:f>
        <x:v>dome</x:v>
      </x:c>
      <x:c r="AT1045" t="str">
        <x:f>_xlfn.XLOOKUP($A1045,Games!$A$2:$A$18,Games!$O$2:$O$18,"Missing game",0)</x:f>
        <x:v>matrixturf</x:v>
      </x:c>
      <x:c r="AU1045" t="str">
        <x:f>_xlfn.XLOOKUP($A1045,Games!$A$2:$A$18,Games!$P$2:$P$18,"Missing game",0)</x:f>
      </x:c>
      <x:c r="AV1045" t="str">
        <x:f>_xlfn.XLOOKUP($A1045,Games!$A$2:$A$18,Games!$Q$2:$Q$18,"Missing game",0)</x:f>
      </x:c>
      <x:c r="AW1045" t="str">
        <x:f>_xlfn.XLOOKUP($A1045,Games!$A$2:$A$18,Games!$R$2:$R$18,"Missing game",0)</x:f>
        <x:v>SoFi Stadium</x:v>
      </x:c>
    </x:row>
    <x:row r="1046">
      <x:c r="A1046" t="str">
        <x:v>2025_08_MIN_LAC</x:v>
      </x:c>
      <x:c r="B1046" t="n">
        <x:v>792</x:v>
      </x:c>
      <x:c r="C1046" t="n">
        <x:v>1</x:v>
      </x:c>
      <x:c r="D1046" t="str">
        <x:v>02:12</x:v>
      </x:c>
      <x:c r="E1046" t="n">
        <x:v>1</x:v>
      </x:c>
      <x:c r="F1046" t="n">
        <x:v>10</x:v>
      </x:c>
      <x:c r="G1046" t="str">
        <x:v>LAC</x:v>
      </x:c>
      <x:c r="H1046" t="str">
        <x:v>MIN</x:v>
      </x:c>
      <x:c r="I1046" t="str">
        <x:v>LAC</x:v>
      </x:c>
      <x:c r="J1046" t="n">
        <x:v>59</x:v>
      </x:c>
      <x:c r="K1046" t="str">
        <x:v>(2:12) 10-J.Herbert pass incomplete deep left to 15-L.McConkey. PENALTY on MIN-58-J.Greenard, Defensive Offside, 5 yards, enforced at LAC 41 - No Play.</x:v>
      </x:c>
      <x:c r="L1046" t="str">
        <x:v>no_play</x:v>
      </x:c>
      <x:c r="M1046" t="n">
        <x:v>0</x:v>
      </x:c>
      <x:c r="N1046" t="n">
        <x:v>0</x:v>
      </x:c>
      <x:c r="O1046" t="n">
        <x:v>0</x:v>
      </x:c>
      <x:c r="P1046"/>
      <x:c r="Q1046"/>
      <x:c r="R1046"/>
      <x:c r="S1046"/>
      <x:c r="T1046"/>
      <x:c r="U1046"/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1</x:v>
      </x:c>
      <x:c r="AB1046" t="n">
        <x:v>5</x:v>
      </x:c>
      <x:c r="AC1046" t="n">
        <x:v>0</x:v>
      </x:c>
      <x:c r="AD1046" t="n">
        <x:v>0.6412019324488938</x:v>
      </x:c>
      <x:c r="AE1046" t="n">
        <x:v>1</x:v>
      </x:c>
      <x:c r="AF1046" t="n">
        <x:v>0.007983088493347168</x:v>
      </x:c>
      <x:c r="AG1046" t="n">
        <x:f>_xlfn.XLOOKUP($A1046,Games!$A$2:$A$18,Games!$B$2:$B$18,"Missing game",0)</x:f>
        <x:v>2025</x:v>
      </x:c>
      <x:c r="AH1046" t="str">
        <x:f>_xlfn.XLOOKUP($A1046,Games!$A$2:$A$18,Games!$C$2:$C$18,"Missing game",0)</x:f>
        <x:v>REG</x:v>
      </x:c>
      <x:c r="AI1046" t="n">
        <x:f>_xlfn.XLOOKUP($A1046,Games!$A$2:$A$18,Games!$D$2:$D$18,"Missing game",0)</x:f>
        <x:v>8</x:v>
      </x:c>
      <x:c r="AJ1046" s="1" t="n">
        <x:f>_xlfn.XLOOKUP($A1046,Games!$A$2:$A$18,Games!$E$2:$E$18,"Missing game",0)</x:f>
        <x:v>45953</x:v>
      </x:c>
      <x:c r="AK1046" t="str">
        <x:f>_xlfn.XLOOKUP($A1046,Games!$A$2:$A$18,Games!$F$2:$F$18,"Missing game",0)</x:f>
        <x:v>Thursday</x:v>
      </x:c>
      <x:c r="AL1046" t="str">
        <x:f>_xlfn.XLOOKUP($A1046,Games!$A$2:$A$18,Games!$G$2:$G$18,"Missing game",0)</x:f>
        <x:v>MIN</x:v>
      </x:c>
      <x:c r="AM1046" t="n">
        <x:f>_xlfn.XLOOKUP($A1046,Games!$A$2:$A$18,Games!$H$2:$H$18,"Missing game",0)</x:f>
        <x:v>10</x:v>
      </x:c>
      <x:c r="AN1046" t="str">
        <x:f>_xlfn.XLOOKUP($A1046,Games!$A$2:$A$18,Games!$I$2:$I$18,"Missing game",0)</x:f>
        <x:v>LAC</x:v>
      </x:c>
      <x:c r="AO1046" t="n">
        <x:f>_xlfn.XLOOKUP($A1046,Games!$A$2:$A$18,Games!$J$2:$J$18,"Missing game",0)</x:f>
        <x:v>37</x:v>
      </x:c>
      <x:c r="AP1046" t="n">
        <x:f>_xlfn.XLOOKUP($A1046,Games!$A$2:$A$18,Games!$K$2:$K$18,"Missing game",0)</x:f>
        <x:v>27</x:v>
      </x:c>
      <x:c r="AQ1046" t="n">
        <x:f>_xlfn.XLOOKUP($A1046,Games!$A$2:$A$18,Games!$L$2:$L$18,"Missing game",0)</x:f>
        <x:v>47</x:v>
      </x:c>
      <x:c r="AR1046" t="n">
        <x:f>_xlfn.XLOOKUP($A1046,Games!$A$2:$A$18,Games!$M$2:$M$18,"Missing game",0)</x:f>
        <x:v>0</x:v>
      </x:c>
      <x:c r="AS1046" t="str">
        <x:f>_xlfn.XLOOKUP($A1046,Games!$A$2:$A$18,Games!$N$2:$N$18,"Missing game",0)</x:f>
        <x:v>dome</x:v>
      </x:c>
      <x:c r="AT1046" t="str">
        <x:f>_xlfn.XLOOKUP($A1046,Games!$A$2:$A$18,Games!$O$2:$O$18,"Missing game",0)</x:f>
        <x:v>matrixturf</x:v>
      </x:c>
      <x:c r="AU1046" t="str">
        <x:f>_xlfn.XLOOKUP($A1046,Games!$A$2:$A$18,Games!$P$2:$P$18,"Missing game",0)</x:f>
      </x:c>
      <x:c r="AV1046" t="str">
        <x:f>_xlfn.XLOOKUP($A1046,Games!$A$2:$A$18,Games!$Q$2:$Q$18,"Missing game",0)</x:f>
      </x:c>
      <x:c r="AW1046" t="str">
        <x:f>_xlfn.XLOOKUP($A1046,Games!$A$2:$A$18,Games!$R$2:$R$18,"Missing game",0)</x:f>
        <x:v>SoFi Stadium</x:v>
      </x:c>
    </x:row>
    <x:row r="1047">
      <x:c r="A1047" t="str">
        <x:v>2025_08_MIN_LAC</x:v>
      </x:c>
      <x:c r="B1047" t="n">
        <x:v>838</x:v>
      </x:c>
      <x:c r="C1047" t="n">
        <x:v>1</x:v>
      </x:c>
      <x:c r="D1047" t="str">
        <x:v>02:06</x:v>
      </x:c>
      <x:c r="E1047" t="n">
        <x:v>1</x:v>
      </x:c>
      <x:c r="F1047" t="n">
        <x:v>5</x:v>
      </x:c>
      <x:c r="G1047" t="str">
        <x:v>LAC</x:v>
      </x:c>
      <x:c r="H1047" t="str">
        <x:v>MIN</x:v>
      </x:c>
      <x:c r="I1047" t="str">
        <x:v>LAC</x:v>
      </x:c>
      <x:c r="J1047" t="n">
        <x:v>54</x:v>
      </x:c>
      <x:c r="K1047" t="str">
        <x:v>(2:06) 32-J.Patterson up the middle to 50 for 4 yards (93-J.Allen; 55-E.Wilson).</x:v>
      </x:c>
      <x:c r="L1047" t="str">
        <x:v>run</x:v>
      </x:c>
      <x:c r="M1047" t="n">
        <x:v>4</x:v>
      </x:c>
      <x:c r="N1047" t="n">
        <x:v>0</x:v>
      </x:c>
      <x:c r="O1047" t="n">
        <x:v>0</x:v>
      </x:c>
      <x:c r="P1047"/>
      <x:c r="Q1047"/>
      <x:c r="R1047"/>
      <x:c r="S1047"/>
      <x:c r="T1047" t="str">
        <x:v>middle</x:v>
      </x:c>
      <x:c r="U1047"/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/>
      <x:c r="AC1047" t="n">
        <x:v>0</x:v>
      </x:c>
      <x:c r="AD1047" t="n">
        <x:v>0.14168544905260205</x:v>
      </x:c>
      <x:c r="AE1047" t="n">
        <x:v>1</x:v>
      </x:c>
      <x:c r="AF1047" t="n">
        <x:v>0.0009303092956542969</x:v>
      </x:c>
      <x:c r="AG1047" t="n">
        <x:f>_xlfn.XLOOKUP($A1047,Games!$A$2:$A$18,Games!$B$2:$B$18,"Missing game",0)</x:f>
        <x:v>2025</x:v>
      </x:c>
      <x:c r="AH1047" t="str">
        <x:f>_xlfn.XLOOKUP($A1047,Games!$A$2:$A$18,Games!$C$2:$C$18,"Missing game",0)</x:f>
        <x:v>REG</x:v>
      </x:c>
      <x:c r="AI1047" t="n">
        <x:f>_xlfn.XLOOKUP($A1047,Games!$A$2:$A$18,Games!$D$2:$D$18,"Missing game",0)</x:f>
        <x:v>8</x:v>
      </x:c>
      <x:c r="AJ1047" s="1" t="n">
        <x:f>_xlfn.XLOOKUP($A1047,Games!$A$2:$A$18,Games!$E$2:$E$18,"Missing game",0)</x:f>
        <x:v>45953</x:v>
      </x:c>
      <x:c r="AK1047" t="str">
        <x:f>_xlfn.XLOOKUP($A1047,Games!$A$2:$A$18,Games!$F$2:$F$18,"Missing game",0)</x:f>
        <x:v>Thursday</x:v>
      </x:c>
      <x:c r="AL1047" t="str">
        <x:f>_xlfn.XLOOKUP($A1047,Games!$A$2:$A$18,Games!$G$2:$G$18,"Missing game",0)</x:f>
        <x:v>MIN</x:v>
      </x:c>
      <x:c r="AM1047" t="n">
        <x:f>_xlfn.XLOOKUP($A1047,Games!$A$2:$A$18,Games!$H$2:$H$18,"Missing game",0)</x:f>
        <x:v>10</x:v>
      </x:c>
      <x:c r="AN1047" t="str">
        <x:f>_xlfn.XLOOKUP($A1047,Games!$A$2:$A$18,Games!$I$2:$I$18,"Missing game",0)</x:f>
        <x:v>LAC</x:v>
      </x:c>
      <x:c r="AO1047" t="n">
        <x:f>_xlfn.XLOOKUP($A1047,Games!$A$2:$A$18,Games!$J$2:$J$18,"Missing game",0)</x:f>
        <x:v>37</x:v>
      </x:c>
      <x:c r="AP1047" t="n">
        <x:f>_xlfn.XLOOKUP($A1047,Games!$A$2:$A$18,Games!$K$2:$K$18,"Missing game",0)</x:f>
        <x:v>27</x:v>
      </x:c>
      <x:c r="AQ1047" t="n">
        <x:f>_xlfn.XLOOKUP($A1047,Games!$A$2:$A$18,Games!$L$2:$L$18,"Missing game",0)</x:f>
        <x:v>47</x:v>
      </x:c>
      <x:c r="AR1047" t="n">
        <x:f>_xlfn.XLOOKUP($A1047,Games!$A$2:$A$18,Games!$M$2:$M$18,"Missing game",0)</x:f>
        <x:v>0</x:v>
      </x:c>
      <x:c r="AS1047" t="str">
        <x:f>_xlfn.XLOOKUP($A1047,Games!$A$2:$A$18,Games!$N$2:$N$18,"Missing game",0)</x:f>
        <x:v>dome</x:v>
      </x:c>
      <x:c r="AT1047" t="str">
        <x:f>_xlfn.XLOOKUP($A1047,Games!$A$2:$A$18,Games!$O$2:$O$18,"Missing game",0)</x:f>
        <x:v>matrixturf</x:v>
      </x:c>
      <x:c r="AU1047" t="str">
        <x:f>_xlfn.XLOOKUP($A1047,Games!$A$2:$A$18,Games!$P$2:$P$18,"Missing game",0)</x:f>
      </x:c>
      <x:c r="AV1047" t="str">
        <x:f>_xlfn.XLOOKUP($A1047,Games!$A$2:$A$18,Games!$Q$2:$Q$18,"Missing game",0)</x:f>
      </x:c>
      <x:c r="AW1047" t="str">
        <x:f>_xlfn.XLOOKUP($A1047,Games!$A$2:$A$18,Games!$R$2:$R$18,"Missing game",0)</x:f>
        <x:v>SoFi Stadium</x:v>
      </x:c>
    </x:row>
    <x:row r="1048">
      <x:c r="A1048" t="str">
        <x:v>2025_08_MIN_LAC</x:v>
      </x:c>
      <x:c r="B1048" t="n">
        <x:v>860</x:v>
      </x:c>
      <x:c r="C1048" t="n">
        <x:v>1</x:v>
      </x:c>
      <x:c r="D1048" t="str">
        <x:v>01:33</x:v>
      </x:c>
      <x:c r="E1048" t="n">
        <x:v>2</x:v>
      </x:c>
      <x:c r="F1048" t="n">
        <x:v>1</x:v>
      </x:c>
      <x:c r="G1048" t="str">
        <x:v>LAC</x:v>
      </x:c>
      <x:c r="H1048" t="str">
        <x:v>MIN</x:v>
      </x:c>
      <x:c r="I1048" t="str">
        <x:v>50</x:v>
      </x:c>
      <x:c r="J1048" t="n">
        <x:v>50</x:v>
      </x:c>
      <x:c r="K1048" t="str">
        <x:v>(1:33) 30-K.Vidal up the middle to MIN 44 for 6 yards (50-L.Rodriguez).</x:v>
      </x:c>
      <x:c r="L1048" t="str">
        <x:v>run</x:v>
      </x:c>
      <x:c r="M1048" t="n">
        <x:v>6</x:v>
      </x:c>
      <x:c r="N1048" t="n">
        <x:v>0</x:v>
      </x:c>
      <x:c r="O1048" t="n">
        <x:v>0</x:v>
      </x:c>
      <x:c r="P1048"/>
      <x:c r="Q1048"/>
      <x:c r="R1048"/>
      <x:c r="S1048"/>
      <x:c r="T1048" t="str">
        <x:v>middle</x:v>
      </x:c>
      <x:c r="U1048"/>
      <x:c r="V1048" t="n">
        <x:v>0</x:v>
      </x:c>
      <x:c r="W1048" t="n">
        <x:v>1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/>
      <x:c r="AC1048" t="n">
        <x:v>0</x:v>
      </x:c>
      <x:c r="AD1048" t="n">
        <x:v>-0.0006078481674194336</x:v>
      </x:c>
      <x:c r="AE1048" t="n">
        <x:v>0</x:v>
      </x:c>
      <x:c r="AF1048" t="n">
        <x:v>0.0034270286560058594</x:v>
      </x:c>
      <x:c r="AG1048" t="n">
        <x:f>_xlfn.XLOOKUP($A1048,Games!$A$2:$A$18,Games!$B$2:$B$18,"Missing game",0)</x:f>
        <x:v>2025</x:v>
      </x:c>
      <x:c r="AH1048" t="str">
        <x:f>_xlfn.XLOOKUP($A1048,Games!$A$2:$A$18,Games!$C$2:$C$18,"Missing game",0)</x:f>
        <x:v>REG</x:v>
      </x:c>
      <x:c r="AI1048" t="n">
        <x:f>_xlfn.XLOOKUP($A1048,Games!$A$2:$A$18,Games!$D$2:$D$18,"Missing game",0)</x:f>
        <x:v>8</x:v>
      </x:c>
      <x:c r="AJ1048" s="1" t="n">
        <x:f>_xlfn.XLOOKUP($A1048,Games!$A$2:$A$18,Games!$E$2:$E$18,"Missing game",0)</x:f>
        <x:v>45953</x:v>
      </x:c>
      <x:c r="AK1048" t="str">
        <x:f>_xlfn.XLOOKUP($A1048,Games!$A$2:$A$18,Games!$F$2:$F$18,"Missing game",0)</x:f>
        <x:v>Thursday</x:v>
      </x:c>
      <x:c r="AL1048" t="str">
        <x:f>_xlfn.XLOOKUP($A1048,Games!$A$2:$A$18,Games!$G$2:$G$18,"Missing game",0)</x:f>
        <x:v>MIN</x:v>
      </x:c>
      <x:c r="AM1048" t="n">
        <x:f>_xlfn.XLOOKUP($A1048,Games!$A$2:$A$18,Games!$H$2:$H$18,"Missing game",0)</x:f>
        <x:v>10</x:v>
      </x:c>
      <x:c r="AN1048" t="str">
        <x:f>_xlfn.XLOOKUP($A1048,Games!$A$2:$A$18,Games!$I$2:$I$18,"Missing game",0)</x:f>
        <x:v>LAC</x:v>
      </x:c>
      <x:c r="AO1048" t="n">
        <x:f>_xlfn.XLOOKUP($A1048,Games!$A$2:$A$18,Games!$J$2:$J$18,"Missing game",0)</x:f>
        <x:v>37</x:v>
      </x:c>
      <x:c r="AP1048" t="n">
        <x:f>_xlfn.XLOOKUP($A1048,Games!$A$2:$A$18,Games!$K$2:$K$18,"Missing game",0)</x:f>
        <x:v>27</x:v>
      </x:c>
      <x:c r="AQ1048" t="n">
        <x:f>_xlfn.XLOOKUP($A1048,Games!$A$2:$A$18,Games!$L$2:$L$18,"Missing game",0)</x:f>
        <x:v>47</x:v>
      </x:c>
      <x:c r="AR1048" t="n">
        <x:f>_xlfn.XLOOKUP($A1048,Games!$A$2:$A$18,Games!$M$2:$M$18,"Missing game",0)</x:f>
        <x:v>0</x:v>
      </x:c>
      <x:c r="AS1048" t="str">
        <x:f>_xlfn.XLOOKUP($A1048,Games!$A$2:$A$18,Games!$N$2:$N$18,"Missing game",0)</x:f>
        <x:v>dome</x:v>
      </x:c>
      <x:c r="AT1048" t="str">
        <x:f>_xlfn.XLOOKUP($A1048,Games!$A$2:$A$18,Games!$O$2:$O$18,"Missing game",0)</x:f>
        <x:v>matrixturf</x:v>
      </x:c>
      <x:c r="AU1048" t="str">
        <x:f>_xlfn.XLOOKUP($A1048,Games!$A$2:$A$18,Games!$P$2:$P$18,"Missing game",0)</x:f>
      </x:c>
      <x:c r="AV1048" t="str">
        <x:f>_xlfn.XLOOKUP($A1048,Games!$A$2:$A$18,Games!$Q$2:$Q$18,"Missing game",0)</x:f>
      </x:c>
      <x:c r="AW1048" t="str">
        <x:f>_xlfn.XLOOKUP($A1048,Games!$A$2:$A$18,Games!$R$2:$R$18,"Missing game",0)</x:f>
        <x:v>SoFi Stadium</x:v>
      </x:c>
    </x:row>
    <x:row r="1049">
      <x:c r="A1049" t="str">
        <x:v>2025_08_MIN_LAC</x:v>
      </x:c>
      <x:c r="B1049" t="n">
        <x:v>882</x:v>
      </x:c>
      <x:c r="C1049" t="n">
        <x:v>1</x:v>
      </x:c>
      <x:c r="D1049" t="str">
        <x:v>00:55</x:v>
      </x:c>
      <x:c r="E1049" t="n">
        <x:v>1</x:v>
      </x:c>
      <x:c r="F1049" t="n">
        <x:v>10</x:v>
      </x:c>
      <x:c r="G1049" t="str">
        <x:v>LAC</x:v>
      </x:c>
      <x:c r="H1049" t="str">
        <x:v>MIN</x:v>
      </x:c>
      <x:c r="I1049" t="str">
        <x:v>MIN</x:v>
      </x:c>
      <x:c r="J1049" t="n">
        <x:v>44</x:v>
      </x:c>
      <x:c r="K1049" t="str">
        <x:v>(:55) 10-J.Herbert pass short right to 86-O.Gadsden to MIN 37 for 7 yards (22-H.Smith).</x:v>
      </x:c>
      <x:c r="L1049" t="str">
        <x:v>pass</x:v>
      </x:c>
      <x:c r="M1049" t="n">
        <x:v>7</x:v>
      </x:c>
      <x:c r="N1049" t="n">
        <x:v>0</x:v>
      </x:c>
      <x:c r="O1049" t="n">
        <x:v>0</x:v>
      </x:c>
      <x:c r="P1049" t="str">
        <x:v>short</x:v>
      </x:c>
      <x:c r="Q1049" t="str">
        <x:v>right</x:v>
      </x:c>
      <x:c r="R1049" t="n">
        <x:v>-1</x:v>
      </x:c>
      <x:c r="S1049" t="n">
        <x:v>8</x:v>
      </x:c>
      <x:c r="T1049"/>
      <x:c r="U1049"/>
      <x:c r="V1049" t="n">
        <x:v>1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/>
      <x:c r="AC1049" t="n">
        <x:v>0</x:v>
      </x:c>
      <x:c r="AD1049" t="n">
        <x:v>0.28371587046422064</x:v>
      </x:c>
      <x:c r="AE1049" t="n">
        <x:v>1</x:v>
      </x:c>
      <x:c r="AF1049" t="n">
        <x:v>0.00791400671005249</x:v>
      </x:c>
      <x:c r="AG1049" t="n">
        <x:f>_xlfn.XLOOKUP($A1049,Games!$A$2:$A$18,Games!$B$2:$B$18,"Missing game",0)</x:f>
        <x:v>2025</x:v>
      </x:c>
      <x:c r="AH1049" t="str">
        <x:f>_xlfn.XLOOKUP($A1049,Games!$A$2:$A$18,Games!$C$2:$C$18,"Missing game",0)</x:f>
        <x:v>REG</x:v>
      </x:c>
      <x:c r="AI1049" t="n">
        <x:f>_xlfn.XLOOKUP($A1049,Games!$A$2:$A$18,Games!$D$2:$D$18,"Missing game",0)</x:f>
        <x:v>8</x:v>
      </x:c>
      <x:c r="AJ1049" s="1" t="n">
        <x:f>_xlfn.XLOOKUP($A1049,Games!$A$2:$A$18,Games!$E$2:$E$18,"Missing game",0)</x:f>
        <x:v>45953</x:v>
      </x:c>
      <x:c r="AK1049" t="str">
        <x:f>_xlfn.XLOOKUP($A1049,Games!$A$2:$A$18,Games!$F$2:$F$18,"Missing game",0)</x:f>
        <x:v>Thursday</x:v>
      </x:c>
      <x:c r="AL1049" t="str">
        <x:f>_xlfn.XLOOKUP($A1049,Games!$A$2:$A$18,Games!$G$2:$G$18,"Missing game",0)</x:f>
        <x:v>MIN</x:v>
      </x:c>
      <x:c r="AM1049" t="n">
        <x:f>_xlfn.XLOOKUP($A1049,Games!$A$2:$A$18,Games!$H$2:$H$18,"Missing game",0)</x:f>
        <x:v>10</x:v>
      </x:c>
      <x:c r="AN1049" t="str">
        <x:f>_xlfn.XLOOKUP($A1049,Games!$A$2:$A$18,Games!$I$2:$I$18,"Missing game",0)</x:f>
        <x:v>LAC</x:v>
      </x:c>
      <x:c r="AO1049" t="n">
        <x:f>_xlfn.XLOOKUP($A1049,Games!$A$2:$A$18,Games!$J$2:$J$18,"Missing game",0)</x:f>
        <x:v>37</x:v>
      </x:c>
      <x:c r="AP1049" t="n">
        <x:f>_xlfn.XLOOKUP($A1049,Games!$A$2:$A$18,Games!$K$2:$K$18,"Missing game",0)</x:f>
        <x:v>27</x:v>
      </x:c>
      <x:c r="AQ1049" t="n">
        <x:f>_xlfn.XLOOKUP($A1049,Games!$A$2:$A$18,Games!$L$2:$L$18,"Missing game",0)</x:f>
        <x:v>47</x:v>
      </x:c>
      <x:c r="AR1049" t="n">
        <x:f>_xlfn.XLOOKUP($A1049,Games!$A$2:$A$18,Games!$M$2:$M$18,"Missing game",0)</x:f>
        <x:v>0</x:v>
      </x:c>
      <x:c r="AS1049" t="str">
        <x:f>_xlfn.XLOOKUP($A1049,Games!$A$2:$A$18,Games!$N$2:$N$18,"Missing game",0)</x:f>
        <x:v>dome</x:v>
      </x:c>
      <x:c r="AT1049" t="str">
        <x:f>_xlfn.XLOOKUP($A1049,Games!$A$2:$A$18,Games!$O$2:$O$18,"Missing game",0)</x:f>
        <x:v>matrixturf</x:v>
      </x:c>
      <x:c r="AU1049" t="str">
        <x:f>_xlfn.XLOOKUP($A1049,Games!$A$2:$A$18,Games!$P$2:$P$18,"Missing game",0)</x:f>
      </x:c>
      <x:c r="AV1049" t="str">
        <x:f>_xlfn.XLOOKUP($A1049,Games!$A$2:$A$18,Games!$Q$2:$Q$18,"Missing game",0)</x:f>
      </x:c>
      <x:c r="AW1049" t="str">
        <x:f>_xlfn.XLOOKUP($A1049,Games!$A$2:$A$18,Games!$R$2:$R$18,"Missing game",0)</x:f>
        <x:v>SoFi Stadium</x:v>
      </x:c>
    </x:row>
    <x:row r="1050">
      <x:c r="A1050" t="str">
        <x:v>2025_08_MIN_LAC</x:v>
      </x:c>
      <x:c r="B1050" t="n">
        <x:v>907</x:v>
      </x:c>
      <x:c r="C1050" t="n">
        <x:v>1</x:v>
      </x:c>
      <x:c r="D1050" t="str">
        <x:v>00:17</x:v>
      </x:c>
      <x:c r="E1050" t="n">
        <x:v>2</x:v>
      </x:c>
      <x:c r="F1050" t="n">
        <x:v>3</x:v>
      </x:c>
      <x:c r="G1050" t="str">
        <x:v>LAC</x:v>
      </x:c>
      <x:c r="H1050" t="str">
        <x:v>MIN</x:v>
      </x:c>
      <x:c r="I1050" t="str">
        <x:v>MIN</x:v>
      </x:c>
      <x:c r="J1050" t="n">
        <x:v>37</x:v>
      </x:c>
      <x:c r="K1050" t="str">
        <x:v>(:17) 30-K.Vidal up the middle to MIN 31 for 6 yards (55-E.Wilson).</x:v>
      </x:c>
      <x:c r="L1050" t="str">
        <x:v>run</x:v>
      </x:c>
      <x:c r="M1050" t="n">
        <x:v>6</x:v>
      </x:c>
      <x:c r="N1050" t="n">
        <x:v>0</x:v>
      </x:c>
      <x:c r="O1050" t="n">
        <x:v>0</x:v>
      </x:c>
      <x:c r="P1050"/>
      <x:c r="Q1050"/>
      <x:c r="R1050"/>
      <x:c r="S1050"/>
      <x:c r="T1050" t="str">
        <x:v>middle</x:v>
      </x:c>
      <x:c r="U1050"/>
      <x:c r="V1050" t="n">
        <x:v>0</x:v>
      </x:c>
      <x:c r="W1050" t="n">
        <x:v>1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/>
      <x:c r="AC1050" t="n">
        <x:v>0</x:v>
      </x:c>
      <x:c r="AD1050" t="n">
        <x:v>0.5434337181504816</x:v>
      </x:c>
      <x:c r="AE1050" t="n">
        <x:v>1</x:v>
      </x:c>
      <x:c r="AF1050" t="n">
        <x:v>0.004054367542266846</x:v>
      </x:c>
      <x:c r="AG1050" t="n">
        <x:f>_xlfn.XLOOKUP($A1050,Games!$A$2:$A$18,Games!$B$2:$B$18,"Missing game",0)</x:f>
        <x:v>2025</x:v>
      </x:c>
      <x:c r="AH1050" t="str">
        <x:f>_xlfn.XLOOKUP($A1050,Games!$A$2:$A$18,Games!$C$2:$C$18,"Missing game",0)</x:f>
        <x:v>REG</x:v>
      </x:c>
      <x:c r="AI1050" t="n">
        <x:f>_xlfn.XLOOKUP($A1050,Games!$A$2:$A$18,Games!$D$2:$D$18,"Missing game",0)</x:f>
        <x:v>8</x:v>
      </x:c>
      <x:c r="AJ1050" s="1" t="n">
        <x:f>_xlfn.XLOOKUP($A1050,Games!$A$2:$A$18,Games!$E$2:$E$18,"Missing game",0)</x:f>
        <x:v>45953</x:v>
      </x:c>
      <x:c r="AK1050" t="str">
        <x:f>_xlfn.XLOOKUP($A1050,Games!$A$2:$A$18,Games!$F$2:$F$18,"Missing game",0)</x:f>
        <x:v>Thursday</x:v>
      </x:c>
      <x:c r="AL1050" t="str">
        <x:f>_xlfn.XLOOKUP($A1050,Games!$A$2:$A$18,Games!$G$2:$G$18,"Missing game",0)</x:f>
        <x:v>MIN</x:v>
      </x:c>
      <x:c r="AM1050" t="n">
        <x:f>_xlfn.XLOOKUP($A1050,Games!$A$2:$A$18,Games!$H$2:$H$18,"Missing game",0)</x:f>
        <x:v>10</x:v>
      </x:c>
      <x:c r="AN1050" t="str">
        <x:f>_xlfn.XLOOKUP($A1050,Games!$A$2:$A$18,Games!$I$2:$I$18,"Missing game",0)</x:f>
        <x:v>LAC</x:v>
      </x:c>
      <x:c r="AO1050" t="n">
        <x:f>_xlfn.XLOOKUP($A1050,Games!$A$2:$A$18,Games!$J$2:$J$18,"Missing game",0)</x:f>
        <x:v>37</x:v>
      </x:c>
      <x:c r="AP1050" t="n">
        <x:f>_xlfn.XLOOKUP($A1050,Games!$A$2:$A$18,Games!$K$2:$K$18,"Missing game",0)</x:f>
        <x:v>27</x:v>
      </x:c>
      <x:c r="AQ1050" t="n">
        <x:f>_xlfn.XLOOKUP($A1050,Games!$A$2:$A$18,Games!$L$2:$L$18,"Missing game",0)</x:f>
        <x:v>47</x:v>
      </x:c>
      <x:c r="AR1050" t="n">
        <x:f>_xlfn.XLOOKUP($A1050,Games!$A$2:$A$18,Games!$M$2:$M$18,"Missing game",0)</x:f>
        <x:v>0</x:v>
      </x:c>
      <x:c r="AS1050" t="str">
        <x:f>_xlfn.XLOOKUP($A1050,Games!$A$2:$A$18,Games!$N$2:$N$18,"Missing game",0)</x:f>
        <x:v>dome</x:v>
      </x:c>
      <x:c r="AT1050" t="str">
        <x:f>_xlfn.XLOOKUP($A1050,Games!$A$2:$A$18,Games!$O$2:$O$18,"Missing game",0)</x:f>
        <x:v>matrixturf</x:v>
      </x:c>
      <x:c r="AU1050" t="str">
        <x:f>_xlfn.XLOOKUP($A1050,Games!$A$2:$A$18,Games!$P$2:$P$18,"Missing game",0)</x:f>
      </x:c>
      <x:c r="AV1050" t="str">
        <x:f>_xlfn.XLOOKUP($A1050,Games!$A$2:$A$18,Games!$Q$2:$Q$18,"Missing game",0)</x:f>
      </x:c>
      <x:c r="AW1050" t="str">
        <x:f>_xlfn.XLOOKUP($A1050,Games!$A$2:$A$18,Games!$R$2:$R$18,"Missing game",0)</x:f>
        <x:v>SoFi Stadium</x:v>
      </x:c>
    </x:row>
    <x:row r="1051">
      <x:c r="A1051" t="str">
        <x:v>2025_08_MIN_LAC</x:v>
      </x:c>
      <x:c r="B1051" t="n">
        <x:v>929</x:v>
      </x:c>
      <x:c r="C1051" t="n">
        <x:v>1</x:v>
      </x:c>
      <x:c r="D1051" t="str">
        <x:v>00:00</x:v>
      </x:c>
      <x:c r="E1051"/>
      <x:c r="F1051" t="n">
        <x:v>0</x:v>
      </x:c>
      <x:c r="G1051" t="str">
        <x:v>LAC</x:v>
      </x:c>
      <x:c r="H1051" t="str">
        <x:v>MIN</x:v>
      </x:c>
      <x:c r="I1051"/>
      <x:c r="J1051"/>
      <x:c r="K1051" t="str">
        <x:v>END QUARTER 1</x:v>
      </x:c>
      <x:c r="L1051"/>
      <x:c r="M1051"/>
      <x:c r="N1051" t="n">
        <x:v>0</x:v>
      </x:c>
      <x:c r="O1051" t="n">
        <x:v>0</x:v>
      </x:c>
      <x:c r="P1051"/>
      <x:c r="Q1051"/>
      <x:c r="R1051"/>
      <x:c r="S1051"/>
      <x:c r="T1051"/>
      <x:c r="U1051"/>
      <x:c r="V1051"/>
      <x:c r="W1051"/>
      <x:c r="X1051"/>
      <x:c r="Y1051"/>
      <x:c r="Z1051"/>
      <x:c r="AA1051"/>
      <x:c r="AB1051"/>
      <x:c r="AC1051"/>
      <x:c r="AD1051" t="n">
        <x:v>0</x:v>
      </x:c>
      <x:c r="AE1051" t="n">
        <x:v>0</x:v>
      </x:c>
      <x:c r="AF1051" t="n">
        <x:v>0</x:v>
      </x:c>
      <x:c r="AG1051" t="n">
        <x:f>_xlfn.XLOOKUP($A1051,Games!$A$2:$A$18,Games!$B$2:$B$18,"Missing game",0)</x:f>
        <x:v>2025</x:v>
      </x:c>
      <x:c r="AH1051" t="str">
        <x:f>_xlfn.XLOOKUP($A1051,Games!$A$2:$A$18,Games!$C$2:$C$18,"Missing game",0)</x:f>
        <x:v>REG</x:v>
      </x:c>
      <x:c r="AI1051" t="n">
        <x:f>_xlfn.XLOOKUP($A1051,Games!$A$2:$A$18,Games!$D$2:$D$18,"Missing game",0)</x:f>
        <x:v>8</x:v>
      </x:c>
      <x:c r="AJ1051" s="1" t="n">
        <x:f>_xlfn.XLOOKUP($A1051,Games!$A$2:$A$18,Games!$E$2:$E$18,"Missing game",0)</x:f>
        <x:v>45953</x:v>
      </x:c>
      <x:c r="AK1051" t="str">
        <x:f>_xlfn.XLOOKUP($A1051,Games!$A$2:$A$18,Games!$F$2:$F$18,"Missing game",0)</x:f>
        <x:v>Thursday</x:v>
      </x:c>
      <x:c r="AL1051" t="str">
        <x:f>_xlfn.XLOOKUP($A1051,Games!$A$2:$A$18,Games!$G$2:$G$18,"Missing game",0)</x:f>
        <x:v>MIN</x:v>
      </x:c>
      <x:c r="AM1051" t="n">
        <x:f>_xlfn.XLOOKUP($A1051,Games!$A$2:$A$18,Games!$H$2:$H$18,"Missing game",0)</x:f>
        <x:v>10</x:v>
      </x:c>
      <x:c r="AN1051" t="str">
        <x:f>_xlfn.XLOOKUP($A1051,Games!$A$2:$A$18,Games!$I$2:$I$18,"Missing game",0)</x:f>
        <x:v>LAC</x:v>
      </x:c>
      <x:c r="AO1051" t="n">
        <x:f>_xlfn.XLOOKUP($A1051,Games!$A$2:$A$18,Games!$J$2:$J$18,"Missing game",0)</x:f>
        <x:v>37</x:v>
      </x:c>
      <x:c r="AP1051" t="n">
        <x:f>_xlfn.XLOOKUP($A1051,Games!$A$2:$A$18,Games!$K$2:$K$18,"Missing game",0)</x:f>
        <x:v>27</x:v>
      </x:c>
      <x:c r="AQ1051" t="n">
        <x:f>_xlfn.XLOOKUP($A1051,Games!$A$2:$A$18,Games!$L$2:$L$18,"Missing game",0)</x:f>
        <x:v>47</x:v>
      </x:c>
      <x:c r="AR1051" t="n">
        <x:f>_xlfn.XLOOKUP($A1051,Games!$A$2:$A$18,Games!$M$2:$M$18,"Missing game",0)</x:f>
        <x:v>0</x:v>
      </x:c>
      <x:c r="AS1051" t="str">
        <x:f>_xlfn.XLOOKUP($A1051,Games!$A$2:$A$18,Games!$N$2:$N$18,"Missing game",0)</x:f>
        <x:v>dome</x:v>
      </x:c>
      <x:c r="AT1051" t="str">
        <x:f>_xlfn.XLOOKUP($A1051,Games!$A$2:$A$18,Games!$O$2:$O$18,"Missing game",0)</x:f>
        <x:v>matrixturf</x:v>
      </x:c>
      <x:c r="AU1051" t="str">
        <x:f>_xlfn.XLOOKUP($A1051,Games!$A$2:$A$18,Games!$P$2:$P$18,"Missing game",0)</x:f>
      </x:c>
      <x:c r="AV1051" t="str">
        <x:f>_xlfn.XLOOKUP($A1051,Games!$A$2:$A$18,Games!$Q$2:$Q$18,"Missing game",0)</x:f>
      </x:c>
      <x:c r="AW1051" t="str">
        <x:f>_xlfn.XLOOKUP($A1051,Games!$A$2:$A$18,Games!$R$2:$R$18,"Missing game",0)</x:f>
        <x:v>SoFi Stadium</x:v>
      </x:c>
    </x:row>
    <x:row r="1052">
      <x:c r="A1052" t="str">
        <x:v>2025_08_MIN_LAC</x:v>
      </x:c>
      <x:c r="B1052" t="n">
        <x:v>949</x:v>
      </x:c>
      <x:c r="C1052" t="n">
        <x:v>2</x:v>
      </x:c>
      <x:c r="D1052" t="str">
        <x:v>15:00</x:v>
      </x:c>
      <x:c r="E1052" t="n">
        <x:v>1</x:v>
      </x:c>
      <x:c r="F1052" t="n">
        <x:v>10</x:v>
      </x:c>
      <x:c r="G1052" t="str">
        <x:v>LAC</x:v>
      </x:c>
      <x:c r="H1052" t="str">
        <x:v>MIN</x:v>
      </x:c>
      <x:c r="I1052" t="str">
        <x:v>MIN</x:v>
      </x:c>
      <x:c r="J1052" t="n">
        <x:v>31</x:v>
      </x:c>
      <x:c r="K1052" t="str">
        <x:v>(15:00) 10-J.Herbert scrambles left tackle ran ob at MIN 13 for 18 yards (22-H.Smith).</x:v>
      </x:c>
      <x:c r="L1052" t="str">
        <x:v>run</x:v>
      </x:c>
      <x:c r="M1052" t="n">
        <x:v>18</x:v>
      </x:c>
      <x:c r="N1052" t="n">
        <x:v>0</x:v>
      </x:c>
      <x:c r="O1052" t="n">
        <x:v>0</x:v>
      </x:c>
      <x:c r="P1052"/>
      <x:c r="Q1052"/>
      <x:c r="R1052"/>
      <x:c r="S1052"/>
      <x:c r="T1052" t="str">
        <x:v>left</x:v>
      </x:c>
      <x:c r="U1052" t="str">
        <x:v>tackle</x:v>
      </x:c>
      <x:c r="V1052" t="n">
        <x:v>0</x:v>
      </x:c>
      <x:c r="W1052" t="n">
        <x:v>1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/>
      <x:c r="AC1052" t="n">
        <x:v>0</x:v>
      </x:c>
      <x:c r="AD1052" t="n">
        <x:v>1.1224290773971006</x:v>
      </x:c>
      <x:c r="AE1052" t="n">
        <x:v>1</x:v>
      </x:c>
      <x:c r="AF1052" t="n">
        <x:v>0.011932075023651123</x:v>
      </x:c>
      <x:c r="AG1052" t="n">
        <x:f>_xlfn.XLOOKUP($A1052,Games!$A$2:$A$18,Games!$B$2:$B$18,"Missing game",0)</x:f>
        <x:v>2025</x:v>
      </x:c>
      <x:c r="AH1052" t="str">
        <x:f>_xlfn.XLOOKUP($A1052,Games!$A$2:$A$18,Games!$C$2:$C$18,"Missing game",0)</x:f>
        <x:v>REG</x:v>
      </x:c>
      <x:c r="AI1052" t="n">
        <x:f>_xlfn.XLOOKUP($A1052,Games!$A$2:$A$18,Games!$D$2:$D$18,"Missing game",0)</x:f>
        <x:v>8</x:v>
      </x:c>
      <x:c r="AJ1052" s="1" t="n">
        <x:f>_xlfn.XLOOKUP($A1052,Games!$A$2:$A$18,Games!$E$2:$E$18,"Missing game",0)</x:f>
        <x:v>45953</x:v>
      </x:c>
      <x:c r="AK1052" t="str">
        <x:f>_xlfn.XLOOKUP($A1052,Games!$A$2:$A$18,Games!$F$2:$F$18,"Missing game",0)</x:f>
        <x:v>Thursday</x:v>
      </x:c>
      <x:c r="AL1052" t="str">
        <x:f>_xlfn.XLOOKUP($A1052,Games!$A$2:$A$18,Games!$G$2:$G$18,"Missing game",0)</x:f>
        <x:v>MIN</x:v>
      </x:c>
      <x:c r="AM1052" t="n">
        <x:f>_xlfn.XLOOKUP($A1052,Games!$A$2:$A$18,Games!$H$2:$H$18,"Missing game",0)</x:f>
        <x:v>10</x:v>
      </x:c>
      <x:c r="AN1052" t="str">
        <x:f>_xlfn.XLOOKUP($A1052,Games!$A$2:$A$18,Games!$I$2:$I$18,"Missing game",0)</x:f>
        <x:v>LAC</x:v>
      </x:c>
      <x:c r="AO1052" t="n">
        <x:f>_xlfn.XLOOKUP($A1052,Games!$A$2:$A$18,Games!$J$2:$J$18,"Missing game",0)</x:f>
        <x:v>37</x:v>
      </x:c>
      <x:c r="AP1052" t="n">
        <x:f>_xlfn.XLOOKUP($A1052,Games!$A$2:$A$18,Games!$K$2:$K$18,"Missing game",0)</x:f>
        <x:v>27</x:v>
      </x:c>
      <x:c r="AQ1052" t="n">
        <x:f>_xlfn.XLOOKUP($A1052,Games!$A$2:$A$18,Games!$L$2:$L$18,"Missing game",0)</x:f>
        <x:v>47</x:v>
      </x:c>
      <x:c r="AR1052" t="n">
        <x:f>_xlfn.XLOOKUP($A1052,Games!$A$2:$A$18,Games!$M$2:$M$18,"Missing game",0)</x:f>
        <x:v>0</x:v>
      </x:c>
      <x:c r="AS1052" t="str">
        <x:f>_xlfn.XLOOKUP($A1052,Games!$A$2:$A$18,Games!$N$2:$N$18,"Missing game",0)</x:f>
        <x:v>dome</x:v>
      </x:c>
      <x:c r="AT1052" t="str">
        <x:f>_xlfn.XLOOKUP($A1052,Games!$A$2:$A$18,Games!$O$2:$O$18,"Missing game",0)</x:f>
        <x:v>matrixturf</x:v>
      </x:c>
      <x:c r="AU1052" t="str">
        <x:f>_xlfn.XLOOKUP($A1052,Games!$A$2:$A$18,Games!$P$2:$P$18,"Missing game",0)</x:f>
      </x:c>
      <x:c r="AV1052" t="str">
        <x:f>_xlfn.XLOOKUP($A1052,Games!$A$2:$A$18,Games!$Q$2:$Q$18,"Missing game",0)</x:f>
      </x:c>
      <x:c r="AW1052" t="str">
        <x:f>_xlfn.XLOOKUP($A1052,Games!$A$2:$A$18,Games!$R$2:$R$18,"Missing game",0)</x:f>
        <x:v>SoFi Stadium</x:v>
      </x:c>
    </x:row>
    <x:row r="1053">
      <x:c r="A1053" t="str">
        <x:v>2025_08_MIN_LAC</x:v>
      </x:c>
      <x:c r="B1053" t="n">
        <x:v>976</x:v>
      </x:c>
      <x:c r="C1053" t="n">
        <x:v>2</x:v>
      </x:c>
      <x:c r="D1053" t="str">
        <x:v>14:23</x:v>
      </x:c>
      <x:c r="E1053" t="n">
        <x:v>1</x:v>
      </x:c>
      <x:c r="F1053" t="n">
        <x:v>10</x:v>
      </x:c>
      <x:c r="G1053" t="str">
        <x:v>LAC</x:v>
      </x:c>
      <x:c r="H1053" t="str">
        <x:v>MIN</x:v>
      </x:c>
      <x:c r="I1053" t="str">
        <x:v>MIN</x:v>
      </x:c>
      <x:c r="J1053" t="n">
        <x:v>13</x:v>
      </x:c>
      <x:c r="K1053" t="str">
        <x:v>(14:23) 30-K.Vidal left end to MIN 9 for 4 yards (51-B.Cashman).</x:v>
      </x:c>
      <x:c r="L1053" t="str">
        <x:v>run</x:v>
      </x:c>
      <x:c r="M1053" t="n">
        <x:v>4</x:v>
      </x:c>
      <x:c r="N1053" t="n">
        <x:v>0</x:v>
      </x:c>
      <x:c r="O1053" t="n">
        <x:v>0</x:v>
      </x:c>
      <x:c r="P1053"/>
      <x:c r="Q1053"/>
      <x:c r="R1053"/>
      <x:c r="S1053"/>
      <x:c r="T1053" t="str">
        <x:v>left</x:v>
      </x:c>
      <x:c r="U1053" t="str">
        <x:v>end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/>
      <x:c r="AC1053" t="n">
        <x:v>0</x:v>
      </x:c>
      <x:c r="AD1053" t="n">
        <x:v>-0.2974774072645232</x:v>
      </x:c>
      <x:c r="AE1053" t="n">
        <x:v>0</x:v>
      </x:c>
      <x:c r="AF1053" t="n">
        <x:v>-0.0005884170532226562</x:v>
      </x:c>
      <x:c r="AG1053" t="n">
        <x:f>_xlfn.XLOOKUP($A1053,Games!$A$2:$A$18,Games!$B$2:$B$18,"Missing game",0)</x:f>
        <x:v>2025</x:v>
      </x:c>
      <x:c r="AH1053" t="str">
        <x:f>_xlfn.XLOOKUP($A1053,Games!$A$2:$A$18,Games!$C$2:$C$18,"Missing game",0)</x:f>
        <x:v>REG</x:v>
      </x:c>
      <x:c r="AI1053" t="n">
        <x:f>_xlfn.XLOOKUP($A1053,Games!$A$2:$A$18,Games!$D$2:$D$18,"Missing game",0)</x:f>
        <x:v>8</x:v>
      </x:c>
      <x:c r="AJ1053" s="1" t="n">
        <x:f>_xlfn.XLOOKUP($A1053,Games!$A$2:$A$18,Games!$E$2:$E$18,"Missing game",0)</x:f>
        <x:v>45953</x:v>
      </x:c>
      <x:c r="AK1053" t="str">
        <x:f>_xlfn.XLOOKUP($A1053,Games!$A$2:$A$18,Games!$F$2:$F$18,"Missing game",0)</x:f>
        <x:v>Thursday</x:v>
      </x:c>
      <x:c r="AL1053" t="str">
        <x:f>_xlfn.XLOOKUP($A1053,Games!$A$2:$A$18,Games!$G$2:$G$18,"Missing game",0)</x:f>
        <x:v>MIN</x:v>
      </x:c>
      <x:c r="AM1053" t="n">
        <x:f>_xlfn.XLOOKUP($A1053,Games!$A$2:$A$18,Games!$H$2:$H$18,"Missing game",0)</x:f>
        <x:v>10</x:v>
      </x:c>
      <x:c r="AN1053" t="str">
        <x:f>_xlfn.XLOOKUP($A1053,Games!$A$2:$A$18,Games!$I$2:$I$18,"Missing game",0)</x:f>
        <x:v>LAC</x:v>
      </x:c>
      <x:c r="AO1053" t="n">
        <x:f>_xlfn.XLOOKUP($A1053,Games!$A$2:$A$18,Games!$J$2:$J$18,"Missing game",0)</x:f>
        <x:v>37</x:v>
      </x:c>
      <x:c r="AP1053" t="n">
        <x:f>_xlfn.XLOOKUP($A1053,Games!$A$2:$A$18,Games!$K$2:$K$18,"Missing game",0)</x:f>
        <x:v>27</x:v>
      </x:c>
      <x:c r="AQ1053" t="n">
        <x:f>_xlfn.XLOOKUP($A1053,Games!$A$2:$A$18,Games!$L$2:$L$18,"Missing game",0)</x:f>
        <x:v>47</x:v>
      </x:c>
      <x:c r="AR1053" t="n">
        <x:f>_xlfn.XLOOKUP($A1053,Games!$A$2:$A$18,Games!$M$2:$M$18,"Missing game",0)</x:f>
        <x:v>0</x:v>
      </x:c>
      <x:c r="AS1053" t="str">
        <x:f>_xlfn.XLOOKUP($A1053,Games!$A$2:$A$18,Games!$N$2:$N$18,"Missing game",0)</x:f>
        <x:v>dome</x:v>
      </x:c>
      <x:c r="AT1053" t="str">
        <x:f>_xlfn.XLOOKUP($A1053,Games!$A$2:$A$18,Games!$O$2:$O$18,"Missing game",0)</x:f>
        <x:v>matrixturf</x:v>
      </x:c>
      <x:c r="AU1053" t="str">
        <x:f>_xlfn.XLOOKUP($A1053,Games!$A$2:$A$18,Games!$P$2:$P$18,"Missing game",0)</x:f>
      </x:c>
      <x:c r="AV1053" t="str">
        <x:f>_xlfn.XLOOKUP($A1053,Games!$A$2:$A$18,Games!$Q$2:$Q$18,"Missing game",0)</x:f>
      </x:c>
      <x:c r="AW1053" t="str">
        <x:f>_xlfn.XLOOKUP($A1053,Games!$A$2:$A$18,Games!$R$2:$R$18,"Missing game",0)</x:f>
        <x:v>SoFi Stadium</x:v>
      </x:c>
    </x:row>
    <x:row r="1054">
      <x:c r="A1054" t="str">
        <x:v>2025_08_MIN_LAC</x:v>
      </x:c>
      <x:c r="B1054" t="n">
        <x:v>998</x:v>
      </x:c>
      <x:c r="C1054" t="n">
        <x:v>2</x:v>
      </x:c>
      <x:c r="D1054" t="str">
        <x:v>13:45</x:v>
      </x:c>
      <x:c r="E1054" t="n">
        <x:v>2</x:v>
      </x:c>
      <x:c r="F1054" t="n">
        <x:v>6</x:v>
      </x:c>
      <x:c r="G1054" t="str">
        <x:v>LAC</x:v>
      </x:c>
      <x:c r="H1054" t="str">
        <x:v>MIN</x:v>
      </x:c>
      <x:c r="I1054" t="str">
        <x:v>MIN</x:v>
      </x:c>
      <x:c r="J1054" t="n">
        <x:v>9</x:v>
      </x:c>
      <x:c r="K1054" t="str">
        <x:v>(13:45) 10-J.Herbert scrambles right end pushed ob at MIN 3 for 6 yards (55-E.Wilson).</x:v>
      </x:c>
      <x:c r="L1054" t="str">
        <x:v>run</x:v>
      </x:c>
      <x:c r="M1054" t="n">
        <x:v>6</x:v>
      </x:c>
      <x:c r="N1054" t="n">
        <x:v>0</x:v>
      </x:c>
      <x:c r="O1054" t="n">
        <x:v>0</x:v>
      </x:c>
      <x:c r="P1054"/>
      <x:c r="Q1054"/>
      <x:c r="R1054"/>
      <x:c r="S1054"/>
      <x:c r="T1054" t="str">
        <x:v>right</x:v>
      </x:c>
      <x:c r="U1054" t="str">
        <x:v>end</x:v>
      </x:c>
      <x:c r="V1054" t="n">
        <x:v>0</x:v>
      </x:c>
      <x:c r="W1054" t="n">
        <x:v>1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/>
      <x:c r="AC1054" t="n">
        <x:v>0</x:v>
      </x:c>
      <x:c r="AD1054" t="n">
        <x:v>1.2526904668775387</x:v>
      </x:c>
      <x:c r="AE1054" t="n">
        <x:v>1</x:v>
      </x:c>
      <x:c r="AF1054" t="n">
        <x:v>0.018156886100769043</x:v>
      </x:c>
      <x:c r="AG1054" t="n">
        <x:f>_xlfn.XLOOKUP($A1054,Games!$A$2:$A$18,Games!$B$2:$B$18,"Missing game",0)</x:f>
        <x:v>2025</x:v>
      </x:c>
      <x:c r="AH1054" t="str">
        <x:f>_xlfn.XLOOKUP($A1054,Games!$A$2:$A$18,Games!$C$2:$C$18,"Missing game",0)</x:f>
        <x:v>REG</x:v>
      </x:c>
      <x:c r="AI1054" t="n">
        <x:f>_xlfn.XLOOKUP($A1054,Games!$A$2:$A$18,Games!$D$2:$D$18,"Missing game",0)</x:f>
        <x:v>8</x:v>
      </x:c>
      <x:c r="AJ1054" s="1" t="n">
        <x:f>_xlfn.XLOOKUP($A1054,Games!$A$2:$A$18,Games!$E$2:$E$18,"Missing game",0)</x:f>
        <x:v>45953</x:v>
      </x:c>
      <x:c r="AK1054" t="str">
        <x:f>_xlfn.XLOOKUP($A1054,Games!$A$2:$A$18,Games!$F$2:$F$18,"Missing game",0)</x:f>
        <x:v>Thursday</x:v>
      </x:c>
      <x:c r="AL1054" t="str">
        <x:f>_xlfn.XLOOKUP($A1054,Games!$A$2:$A$18,Games!$G$2:$G$18,"Missing game",0)</x:f>
        <x:v>MIN</x:v>
      </x:c>
      <x:c r="AM1054" t="n">
        <x:f>_xlfn.XLOOKUP($A1054,Games!$A$2:$A$18,Games!$H$2:$H$18,"Missing game",0)</x:f>
        <x:v>10</x:v>
      </x:c>
      <x:c r="AN1054" t="str">
        <x:f>_xlfn.XLOOKUP($A1054,Games!$A$2:$A$18,Games!$I$2:$I$18,"Missing game",0)</x:f>
        <x:v>LAC</x:v>
      </x:c>
      <x:c r="AO1054" t="n">
        <x:f>_xlfn.XLOOKUP($A1054,Games!$A$2:$A$18,Games!$J$2:$J$18,"Missing game",0)</x:f>
        <x:v>37</x:v>
      </x:c>
      <x:c r="AP1054" t="n">
        <x:f>_xlfn.XLOOKUP($A1054,Games!$A$2:$A$18,Games!$K$2:$K$18,"Missing game",0)</x:f>
        <x:v>27</x:v>
      </x:c>
      <x:c r="AQ1054" t="n">
        <x:f>_xlfn.XLOOKUP($A1054,Games!$A$2:$A$18,Games!$L$2:$L$18,"Missing game",0)</x:f>
        <x:v>47</x:v>
      </x:c>
      <x:c r="AR1054" t="n">
        <x:f>_xlfn.XLOOKUP($A1054,Games!$A$2:$A$18,Games!$M$2:$M$18,"Missing game",0)</x:f>
        <x:v>0</x:v>
      </x:c>
      <x:c r="AS1054" t="str">
        <x:f>_xlfn.XLOOKUP($A1054,Games!$A$2:$A$18,Games!$N$2:$N$18,"Missing game",0)</x:f>
        <x:v>dome</x:v>
      </x:c>
      <x:c r="AT1054" t="str">
        <x:f>_xlfn.XLOOKUP($A1054,Games!$A$2:$A$18,Games!$O$2:$O$18,"Missing game",0)</x:f>
        <x:v>matrixturf</x:v>
      </x:c>
      <x:c r="AU1054" t="str">
        <x:f>_xlfn.XLOOKUP($A1054,Games!$A$2:$A$18,Games!$P$2:$P$18,"Missing game",0)</x:f>
      </x:c>
      <x:c r="AV1054" t="str">
        <x:f>_xlfn.XLOOKUP($A1054,Games!$A$2:$A$18,Games!$Q$2:$Q$18,"Missing game",0)</x:f>
      </x:c>
      <x:c r="AW1054" t="str">
        <x:f>_xlfn.XLOOKUP($A1054,Games!$A$2:$A$18,Games!$R$2:$R$18,"Missing game",0)</x:f>
        <x:v>SoFi Stadium</x:v>
      </x:c>
    </x:row>
    <x:row r="1055">
      <x:c r="A1055" t="str">
        <x:v>2025_08_MIN_LAC</x:v>
      </x:c>
      <x:c r="B1055" t="n">
        <x:v>1020</x:v>
      </x:c>
      <x:c r="C1055" t="n">
        <x:v>2</x:v>
      </x:c>
      <x:c r="D1055" t="str">
        <x:v>13:13</x:v>
      </x:c>
      <x:c r="E1055" t="n">
        <x:v>1</x:v>
      </x:c>
      <x:c r="F1055" t="n">
        <x:v>3</x:v>
      </x:c>
      <x:c r="G1055" t="str">
        <x:v>LAC</x:v>
      </x:c>
      <x:c r="H1055" t="str">
        <x:v>MIN</x:v>
      </x:c>
      <x:c r="I1055" t="str">
        <x:v>MIN</x:v>
      </x:c>
      <x:c r="J1055" t="n">
        <x:v>3</x:v>
      </x:c>
      <x:c r="K1055" t="str">
        <x:v>(13:13) 30-K.Vidal left tackle for 3 yards, TOUCHDOWN.</x:v>
      </x:c>
      <x:c r="L1055" t="str">
        <x:v>run</x:v>
      </x:c>
      <x:c r="M1055" t="n">
        <x:v>3</x:v>
      </x:c>
      <x:c r="N1055" t="n">
        <x:v>0</x:v>
      </x:c>
      <x:c r="O1055" t="n">
        <x:v>0</x:v>
      </x:c>
      <x:c r="P1055"/>
      <x:c r="Q1055"/>
      <x:c r="R1055"/>
      <x:c r="S1055"/>
      <x:c r="T1055" t="str">
        <x:v>left</x:v>
      </x:c>
      <x:c r="U1055" t="str">
        <x:v>tackle</x:v>
      </x:c>
      <x:c r="V1055" t="n">
        <x:v>0</x:v>
      </x:c>
      <x:c r="W1055" t="n">
        <x:v>1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/>
      <x:c r="AC1055" t="n">
        <x:v>1</x:v>
      </x:c>
      <x:c r="AD1055" t="n">
        <x:v>0.7720439344993792</x:v>
      </x:c>
      <x:c r="AE1055" t="n">
        <x:v>1</x:v>
      </x:c>
      <x:c r="AF1055" t="n">
        <x:v>-0.0027409506783776516</x:v>
      </x:c>
      <x:c r="AG1055" t="n">
        <x:f>_xlfn.XLOOKUP($A1055,Games!$A$2:$A$18,Games!$B$2:$B$18,"Missing game",0)</x:f>
        <x:v>2025</x:v>
      </x:c>
      <x:c r="AH1055" t="str">
        <x:f>_xlfn.XLOOKUP($A1055,Games!$A$2:$A$18,Games!$C$2:$C$18,"Missing game",0)</x:f>
        <x:v>REG</x:v>
      </x:c>
      <x:c r="AI1055" t="n">
        <x:f>_xlfn.XLOOKUP($A1055,Games!$A$2:$A$18,Games!$D$2:$D$18,"Missing game",0)</x:f>
        <x:v>8</x:v>
      </x:c>
      <x:c r="AJ1055" s="1" t="n">
        <x:f>_xlfn.XLOOKUP($A1055,Games!$A$2:$A$18,Games!$E$2:$E$18,"Missing game",0)</x:f>
        <x:v>45953</x:v>
      </x:c>
      <x:c r="AK1055" t="str">
        <x:f>_xlfn.XLOOKUP($A1055,Games!$A$2:$A$18,Games!$F$2:$F$18,"Missing game",0)</x:f>
        <x:v>Thursday</x:v>
      </x:c>
      <x:c r="AL1055" t="str">
        <x:f>_xlfn.XLOOKUP($A1055,Games!$A$2:$A$18,Games!$G$2:$G$18,"Missing game",0)</x:f>
        <x:v>MIN</x:v>
      </x:c>
      <x:c r="AM1055" t="n">
        <x:f>_xlfn.XLOOKUP($A1055,Games!$A$2:$A$18,Games!$H$2:$H$18,"Missing game",0)</x:f>
        <x:v>10</x:v>
      </x:c>
      <x:c r="AN1055" t="str">
        <x:f>_xlfn.XLOOKUP($A1055,Games!$A$2:$A$18,Games!$I$2:$I$18,"Missing game",0)</x:f>
        <x:v>LAC</x:v>
      </x:c>
      <x:c r="AO1055" t="n">
        <x:f>_xlfn.XLOOKUP($A1055,Games!$A$2:$A$18,Games!$J$2:$J$18,"Missing game",0)</x:f>
        <x:v>37</x:v>
      </x:c>
      <x:c r="AP1055" t="n">
        <x:f>_xlfn.XLOOKUP($A1055,Games!$A$2:$A$18,Games!$K$2:$K$18,"Missing game",0)</x:f>
        <x:v>27</x:v>
      </x:c>
      <x:c r="AQ1055" t="n">
        <x:f>_xlfn.XLOOKUP($A1055,Games!$A$2:$A$18,Games!$L$2:$L$18,"Missing game",0)</x:f>
        <x:v>47</x:v>
      </x:c>
      <x:c r="AR1055" t="n">
        <x:f>_xlfn.XLOOKUP($A1055,Games!$A$2:$A$18,Games!$M$2:$M$18,"Missing game",0)</x:f>
        <x:v>0</x:v>
      </x:c>
      <x:c r="AS1055" t="str">
        <x:f>_xlfn.XLOOKUP($A1055,Games!$A$2:$A$18,Games!$N$2:$N$18,"Missing game",0)</x:f>
        <x:v>dome</x:v>
      </x:c>
      <x:c r="AT1055" t="str">
        <x:f>_xlfn.XLOOKUP($A1055,Games!$A$2:$A$18,Games!$O$2:$O$18,"Missing game",0)</x:f>
        <x:v>matrixturf</x:v>
      </x:c>
      <x:c r="AU1055" t="str">
        <x:f>_xlfn.XLOOKUP($A1055,Games!$A$2:$A$18,Games!$P$2:$P$18,"Missing game",0)</x:f>
      </x:c>
      <x:c r="AV1055" t="str">
        <x:f>_xlfn.XLOOKUP($A1055,Games!$A$2:$A$18,Games!$Q$2:$Q$18,"Missing game",0)</x:f>
      </x:c>
      <x:c r="AW1055" t="str">
        <x:f>_xlfn.XLOOKUP($A1055,Games!$A$2:$A$18,Games!$R$2:$R$18,"Missing game",0)</x:f>
        <x:v>SoFi Stadium</x:v>
      </x:c>
    </x:row>
    <x:row r="1056">
      <x:c r="A1056" t="str">
        <x:v>2025_08_MIN_LAC</x:v>
      </x:c>
      <x:c r="B1056" t="n">
        <x:v>1043</x:v>
      </x:c>
      <x:c r="C1056" t="n">
        <x:v>2</x:v>
      </x:c>
      <x:c r="D1056" t="str">
        <x:v>13:08</x:v>
      </x:c>
      <x:c r="E1056"/>
      <x:c r="F1056" t="n">
        <x:v>0</x:v>
      </x:c>
      <x:c r="G1056" t="str">
        <x:v>LAC</x:v>
      </x:c>
      <x:c r="H1056" t="str">
        <x:v>MIN</x:v>
      </x:c>
      <x:c r="I1056" t="str">
        <x:v>MIN</x:v>
      </x:c>
      <x:c r="J1056" t="n">
        <x:v>15</x:v>
      </x:c>
      <x:c r="K1056" t="str">
        <x:v>11-C.Dicker extra point is GOOD, Center-41-R.Lovato, Holder-16-J.Scott.</x:v>
      </x:c>
      <x:c r="L1056" t="str">
        <x:v>extra_point</x:v>
      </x:c>
      <x:c r="M1056" t="n">
        <x:v>0</x:v>
      </x:c>
      <x:c r="N1056" t="n">
        <x:v>0</x:v>
      </x:c>
      <x:c r="O1056" t="n">
        <x:v>0</x:v>
      </x:c>
      <x:c r="P1056"/>
      <x:c r="Q1056"/>
      <x:c r="R1056"/>
      <x:c r="S1056"/>
      <x:c r="T1056"/>
      <x:c r="U1056"/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/>
      <x:c r="AC1056" t="n">
        <x:v>0</x:v>
      </x:c>
      <x:c r="AD1056" t="n">
        <x:v>0.05117156607063911</x:v>
      </x:c>
      <x:c r="AE1056" t="n">
        <x:v>1</x:v>
      </x:c>
      <x:c r="AF1056" t="n">
        <x:v>0.00010611245492031518</x:v>
      </x:c>
      <x:c r="AG1056" t="n">
        <x:f>_xlfn.XLOOKUP($A1056,Games!$A$2:$A$18,Games!$B$2:$B$18,"Missing game",0)</x:f>
        <x:v>2025</x:v>
      </x:c>
      <x:c r="AH1056" t="str">
        <x:f>_xlfn.XLOOKUP($A1056,Games!$A$2:$A$18,Games!$C$2:$C$18,"Missing game",0)</x:f>
        <x:v>REG</x:v>
      </x:c>
      <x:c r="AI1056" t="n">
        <x:f>_xlfn.XLOOKUP($A1056,Games!$A$2:$A$18,Games!$D$2:$D$18,"Missing game",0)</x:f>
        <x:v>8</x:v>
      </x:c>
      <x:c r="AJ1056" s="1" t="n">
        <x:f>_xlfn.XLOOKUP($A1056,Games!$A$2:$A$18,Games!$E$2:$E$18,"Missing game",0)</x:f>
        <x:v>45953</x:v>
      </x:c>
      <x:c r="AK1056" t="str">
        <x:f>_xlfn.XLOOKUP($A1056,Games!$A$2:$A$18,Games!$F$2:$F$18,"Missing game",0)</x:f>
        <x:v>Thursday</x:v>
      </x:c>
      <x:c r="AL1056" t="str">
        <x:f>_xlfn.XLOOKUP($A1056,Games!$A$2:$A$18,Games!$G$2:$G$18,"Missing game",0)</x:f>
        <x:v>MIN</x:v>
      </x:c>
      <x:c r="AM1056" t="n">
        <x:f>_xlfn.XLOOKUP($A1056,Games!$A$2:$A$18,Games!$H$2:$H$18,"Missing game",0)</x:f>
        <x:v>10</x:v>
      </x:c>
      <x:c r="AN1056" t="str">
        <x:f>_xlfn.XLOOKUP($A1056,Games!$A$2:$A$18,Games!$I$2:$I$18,"Missing game",0)</x:f>
        <x:v>LAC</x:v>
      </x:c>
      <x:c r="AO1056" t="n">
        <x:f>_xlfn.XLOOKUP($A1056,Games!$A$2:$A$18,Games!$J$2:$J$18,"Missing game",0)</x:f>
        <x:v>37</x:v>
      </x:c>
      <x:c r="AP1056" t="n">
        <x:f>_xlfn.XLOOKUP($A1056,Games!$A$2:$A$18,Games!$K$2:$K$18,"Missing game",0)</x:f>
        <x:v>27</x:v>
      </x:c>
      <x:c r="AQ1056" t="n">
        <x:f>_xlfn.XLOOKUP($A1056,Games!$A$2:$A$18,Games!$L$2:$L$18,"Missing game",0)</x:f>
        <x:v>47</x:v>
      </x:c>
      <x:c r="AR1056" t="n">
        <x:f>_xlfn.XLOOKUP($A1056,Games!$A$2:$A$18,Games!$M$2:$M$18,"Missing game",0)</x:f>
        <x:v>0</x:v>
      </x:c>
      <x:c r="AS1056" t="str">
        <x:f>_xlfn.XLOOKUP($A1056,Games!$A$2:$A$18,Games!$N$2:$N$18,"Missing game",0)</x:f>
        <x:v>dome</x:v>
      </x:c>
      <x:c r="AT1056" t="str">
        <x:f>_xlfn.XLOOKUP($A1056,Games!$A$2:$A$18,Games!$O$2:$O$18,"Missing game",0)</x:f>
        <x:v>matrixturf</x:v>
      </x:c>
      <x:c r="AU1056" t="str">
        <x:f>_xlfn.XLOOKUP($A1056,Games!$A$2:$A$18,Games!$P$2:$P$18,"Missing game",0)</x:f>
      </x:c>
      <x:c r="AV1056" t="str">
        <x:f>_xlfn.XLOOKUP($A1056,Games!$A$2:$A$18,Games!$Q$2:$Q$18,"Missing game",0)</x:f>
      </x:c>
      <x:c r="AW1056" t="str">
        <x:f>_xlfn.XLOOKUP($A1056,Games!$A$2:$A$18,Games!$R$2:$R$18,"Missing game",0)</x:f>
        <x:v>SoFi Stadium</x:v>
      </x:c>
    </x:row>
    <x:row r="1057">
      <x:c r="A1057" t="str">
        <x:v>2025_08_MIN_LAC</x:v>
      </x:c>
      <x:c r="B1057" t="n">
        <x:v>1058</x:v>
      </x:c>
      <x:c r="C1057" t="n">
        <x:v>2</x:v>
      </x:c>
      <x:c r="D1057" t="str">
        <x:v>13:08</x:v>
      </x:c>
      <x:c r="E1057"/>
      <x:c r="F1057" t="n">
        <x:v>0</x:v>
      </x:c>
      <x:c r="G1057" t="str">
        <x:v>MIN</x:v>
      </x:c>
      <x:c r="H1057" t="str">
        <x:v>LAC</x:v>
      </x:c>
      <x:c r="I1057" t="str">
        <x:v>LAC</x:v>
      </x:c>
      <x:c r="J1057" t="n">
        <x:v>35</x:v>
      </x:c>
      <x:c r="K1057" t="str">
        <x:v>11-C.Dicker kicks 60 yards from LAC 35 to MIN 5. 4-M.Price to MIN 30 for 25 yards (40-K.Williamson).</x:v>
      </x:c>
      <x:c r="L1057" t="str">
        <x:v>kickoff</x:v>
      </x:c>
      <x:c r="M1057" t="n">
        <x:v>0</x:v>
      </x:c>
      <x:c r="N1057" t="n">
        <x:v>0</x:v>
      </x:c>
      <x:c r="O1057" t="n">
        <x:v>0</x:v>
      </x:c>
      <x:c r="P1057"/>
      <x:c r="Q1057"/>
      <x:c r="R1057"/>
      <x:c r="S1057"/>
      <x:c r="T1057"/>
      <x:c r="U1057"/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/>
      <x:c r="AC1057" t="n">
        <x:v>0</x:v>
      </x:c>
      <x:c r="AD1057" t="n">
        <x:v>0.2525223442353308</x:v>
      </x:c>
      <x:c r="AE1057" t="n">
        <x:v>1</x:v>
      </x:c>
      <x:c r="AF1057" t="n">
        <x:v>0.0001499280333518982</x:v>
      </x:c>
      <x:c r="AG1057" t="n">
        <x:f>_xlfn.XLOOKUP($A1057,Games!$A$2:$A$18,Games!$B$2:$B$18,"Missing game",0)</x:f>
        <x:v>2025</x:v>
      </x:c>
      <x:c r="AH1057" t="str">
        <x:f>_xlfn.XLOOKUP($A1057,Games!$A$2:$A$18,Games!$C$2:$C$18,"Missing game",0)</x:f>
        <x:v>REG</x:v>
      </x:c>
      <x:c r="AI1057" t="n">
        <x:f>_xlfn.XLOOKUP($A1057,Games!$A$2:$A$18,Games!$D$2:$D$18,"Missing game",0)</x:f>
        <x:v>8</x:v>
      </x:c>
      <x:c r="AJ1057" s="1" t="n">
        <x:f>_xlfn.XLOOKUP($A1057,Games!$A$2:$A$18,Games!$E$2:$E$18,"Missing game",0)</x:f>
        <x:v>45953</x:v>
      </x:c>
      <x:c r="AK1057" t="str">
        <x:f>_xlfn.XLOOKUP($A1057,Games!$A$2:$A$18,Games!$F$2:$F$18,"Missing game",0)</x:f>
        <x:v>Thursday</x:v>
      </x:c>
      <x:c r="AL1057" t="str">
        <x:f>_xlfn.XLOOKUP($A1057,Games!$A$2:$A$18,Games!$G$2:$G$18,"Missing game",0)</x:f>
        <x:v>MIN</x:v>
      </x:c>
      <x:c r="AM1057" t="n">
        <x:f>_xlfn.XLOOKUP($A1057,Games!$A$2:$A$18,Games!$H$2:$H$18,"Missing game",0)</x:f>
        <x:v>10</x:v>
      </x:c>
      <x:c r="AN1057" t="str">
        <x:f>_xlfn.XLOOKUP($A1057,Games!$A$2:$A$18,Games!$I$2:$I$18,"Missing game",0)</x:f>
        <x:v>LAC</x:v>
      </x:c>
      <x:c r="AO1057" t="n">
        <x:f>_xlfn.XLOOKUP($A1057,Games!$A$2:$A$18,Games!$J$2:$J$18,"Missing game",0)</x:f>
        <x:v>37</x:v>
      </x:c>
      <x:c r="AP1057" t="n">
        <x:f>_xlfn.XLOOKUP($A1057,Games!$A$2:$A$18,Games!$K$2:$K$18,"Missing game",0)</x:f>
        <x:v>27</x:v>
      </x:c>
      <x:c r="AQ1057" t="n">
        <x:f>_xlfn.XLOOKUP($A1057,Games!$A$2:$A$18,Games!$L$2:$L$18,"Missing game",0)</x:f>
        <x:v>47</x:v>
      </x:c>
      <x:c r="AR1057" t="n">
        <x:f>_xlfn.XLOOKUP($A1057,Games!$A$2:$A$18,Games!$M$2:$M$18,"Missing game",0)</x:f>
        <x:v>0</x:v>
      </x:c>
      <x:c r="AS1057" t="str">
        <x:f>_xlfn.XLOOKUP($A1057,Games!$A$2:$A$18,Games!$N$2:$N$18,"Missing game",0)</x:f>
        <x:v>dome</x:v>
      </x:c>
      <x:c r="AT1057" t="str">
        <x:f>_xlfn.XLOOKUP($A1057,Games!$A$2:$A$18,Games!$O$2:$O$18,"Missing game",0)</x:f>
        <x:v>matrixturf</x:v>
      </x:c>
      <x:c r="AU1057" t="str">
        <x:f>_xlfn.XLOOKUP($A1057,Games!$A$2:$A$18,Games!$P$2:$P$18,"Missing game",0)</x:f>
      </x:c>
      <x:c r="AV1057" t="str">
        <x:f>_xlfn.XLOOKUP($A1057,Games!$A$2:$A$18,Games!$Q$2:$Q$18,"Missing game",0)</x:f>
      </x:c>
      <x:c r="AW1057" t="str">
        <x:f>_xlfn.XLOOKUP($A1057,Games!$A$2:$A$18,Games!$R$2:$R$18,"Missing game",0)</x:f>
        <x:v>SoFi Stadium</x:v>
      </x:c>
    </x:row>
    <x:row r="1058">
      <x:c r="A1058" t="str">
        <x:v>2025_08_MIN_LAC</x:v>
      </x:c>
      <x:c r="B1058" t="n">
        <x:v>1098</x:v>
      </x:c>
      <x:c r="C1058" t="n">
        <x:v>2</x:v>
      </x:c>
      <x:c r="D1058" t="str">
        <x:v>13:01</x:v>
      </x:c>
      <x:c r="E1058" t="n">
        <x:v>1</x:v>
      </x:c>
      <x:c r="F1058" t="n">
        <x:v>10</x:v>
      </x:c>
      <x:c r="G1058" t="str">
        <x:v>MIN</x:v>
      </x:c>
      <x:c r="H1058" t="str">
        <x:v>LAC</x:v>
      </x:c>
      <x:c r="I1058" t="str">
        <x:v>MIN</x:v>
      </x:c>
      <x:c r="J1058" t="n">
        <x:v>70</x:v>
      </x:c>
      <x:c r="K1058" t="str">
        <x:v>(13:01) (Shotgun) 11-C.Wentz pass incomplete short left to 18-J.Jefferson (20-C.Hart).</x:v>
      </x:c>
      <x:c r="L1058" t="str">
        <x:v>pass</x:v>
      </x:c>
      <x:c r="M1058" t="n">
        <x:v>0</x:v>
      </x:c>
      <x:c r="N1058" t="n">
        <x:v>1</x:v>
      </x:c>
      <x:c r="O1058" t="n">
        <x:v>0</x:v>
      </x:c>
      <x:c r="P1058" t="str">
        <x:v>short</x:v>
      </x:c>
      <x:c r="Q1058" t="str">
        <x:v>left</x:v>
      </x:c>
      <x:c r="R1058" t="n">
        <x:v>5</x:v>
      </x:c>
      <x:c r="S1058"/>
      <x:c r="T1058"/>
      <x:c r="U1058"/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/>
      <x:c r="AC1058" t="n">
        <x:v>0</x:v>
      </x:c>
      <x:c r="AD1058" t="n">
        <x:v>-0.5912001961842179</x:v>
      </x:c>
      <x:c r="AE1058" t="n">
        <x:v>0</x:v>
      </x:c>
      <x:c r="AF1058" t="n">
        <x:v>-0.008261166512966156</x:v>
      </x:c>
      <x:c r="AG1058" t="n">
        <x:f>_xlfn.XLOOKUP($A1058,Games!$A$2:$A$18,Games!$B$2:$B$18,"Missing game",0)</x:f>
        <x:v>2025</x:v>
      </x:c>
      <x:c r="AH1058" t="str">
        <x:f>_xlfn.XLOOKUP($A1058,Games!$A$2:$A$18,Games!$C$2:$C$18,"Missing game",0)</x:f>
        <x:v>REG</x:v>
      </x:c>
      <x:c r="AI1058" t="n">
        <x:f>_xlfn.XLOOKUP($A1058,Games!$A$2:$A$18,Games!$D$2:$D$18,"Missing game",0)</x:f>
        <x:v>8</x:v>
      </x:c>
      <x:c r="AJ1058" s="1" t="n">
        <x:f>_xlfn.XLOOKUP($A1058,Games!$A$2:$A$18,Games!$E$2:$E$18,"Missing game",0)</x:f>
        <x:v>45953</x:v>
      </x:c>
      <x:c r="AK1058" t="str">
        <x:f>_xlfn.XLOOKUP($A1058,Games!$A$2:$A$18,Games!$F$2:$F$18,"Missing game",0)</x:f>
        <x:v>Thursday</x:v>
      </x:c>
      <x:c r="AL1058" t="str">
        <x:f>_xlfn.XLOOKUP($A1058,Games!$A$2:$A$18,Games!$G$2:$G$18,"Missing game",0)</x:f>
        <x:v>MIN</x:v>
      </x:c>
      <x:c r="AM1058" t="n">
        <x:f>_xlfn.XLOOKUP($A1058,Games!$A$2:$A$18,Games!$H$2:$H$18,"Missing game",0)</x:f>
        <x:v>10</x:v>
      </x:c>
      <x:c r="AN1058" t="str">
        <x:f>_xlfn.XLOOKUP($A1058,Games!$A$2:$A$18,Games!$I$2:$I$18,"Missing game",0)</x:f>
        <x:v>LAC</x:v>
      </x:c>
      <x:c r="AO1058" t="n">
        <x:f>_xlfn.XLOOKUP($A1058,Games!$A$2:$A$18,Games!$J$2:$J$18,"Missing game",0)</x:f>
        <x:v>37</x:v>
      </x:c>
      <x:c r="AP1058" t="n">
        <x:f>_xlfn.XLOOKUP($A1058,Games!$A$2:$A$18,Games!$K$2:$K$18,"Missing game",0)</x:f>
        <x:v>27</x:v>
      </x:c>
      <x:c r="AQ1058" t="n">
        <x:f>_xlfn.XLOOKUP($A1058,Games!$A$2:$A$18,Games!$L$2:$L$18,"Missing game",0)</x:f>
        <x:v>47</x:v>
      </x:c>
      <x:c r="AR1058" t="n">
        <x:f>_xlfn.XLOOKUP($A1058,Games!$A$2:$A$18,Games!$M$2:$M$18,"Missing game",0)</x:f>
        <x:v>0</x:v>
      </x:c>
      <x:c r="AS1058" t="str">
        <x:f>_xlfn.XLOOKUP($A1058,Games!$A$2:$A$18,Games!$N$2:$N$18,"Missing game",0)</x:f>
        <x:v>dome</x:v>
      </x:c>
      <x:c r="AT1058" t="str">
        <x:f>_xlfn.XLOOKUP($A1058,Games!$A$2:$A$18,Games!$O$2:$O$18,"Missing game",0)</x:f>
        <x:v>matrixturf</x:v>
      </x:c>
      <x:c r="AU1058" t="str">
        <x:f>_xlfn.XLOOKUP($A1058,Games!$A$2:$A$18,Games!$P$2:$P$18,"Missing game",0)</x:f>
      </x:c>
      <x:c r="AV1058" t="str">
        <x:f>_xlfn.XLOOKUP($A1058,Games!$A$2:$A$18,Games!$Q$2:$Q$18,"Missing game",0)</x:f>
      </x:c>
      <x:c r="AW1058" t="str">
        <x:f>_xlfn.XLOOKUP($A1058,Games!$A$2:$A$18,Games!$R$2:$R$18,"Missing game",0)</x:f>
        <x:v>SoFi Stadium</x:v>
      </x:c>
    </x:row>
    <x:row r="1059">
      <x:c r="A1059" t="str">
        <x:v>2025_08_MIN_LAC</x:v>
      </x:c>
      <x:c r="B1059" t="n">
        <x:v>1131</x:v>
      </x:c>
      <x:c r="C1059" t="n">
        <x:v>2</x:v>
      </x:c>
      <x:c r="D1059" t="str">
        <x:v>12:58</x:v>
      </x:c>
      <x:c r="E1059" t="n">
        <x:v>2</x:v>
      </x:c>
      <x:c r="F1059" t="n">
        <x:v>10</x:v>
      </x:c>
      <x:c r="G1059" t="str">
        <x:v>MIN</x:v>
      </x:c>
      <x:c r="H1059" t="str">
        <x:v>LAC</x:v>
      </x:c>
      <x:c r="I1059" t="str">
        <x:v>MIN</x:v>
      </x:c>
      <x:c r="J1059" t="n">
        <x:v>70</x:v>
      </x:c>
      <x:c r="K1059" t="str">
        <x:v>(12:58) (Shotgun) 33-A.Jones up the middle to MIN 35 for 5 yards (92-J.Eboigbe; 96-N.Jones).</x:v>
      </x:c>
      <x:c r="L1059" t="str">
        <x:v>run</x:v>
      </x:c>
      <x:c r="M1059" t="n">
        <x:v>5</x:v>
      </x:c>
      <x:c r="N1059" t="n">
        <x:v>1</x:v>
      </x:c>
      <x:c r="O1059" t="n">
        <x:v>0</x:v>
      </x:c>
      <x:c r="P1059"/>
      <x:c r="Q1059"/>
      <x:c r="R1059"/>
      <x:c r="S1059"/>
      <x:c r="T1059" t="str">
        <x:v>middle</x:v>
      </x:c>
      <x:c r="U1059"/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/>
      <x:c r="AC1059" t="n">
        <x:v>0</x:v>
      </x:c>
      <x:c r="AD1059" t="n">
        <x:v>-0.3144558980129659</x:v>
      </x:c>
      <x:c r="AE1059" t="n">
        <x:v>0</x:v>
      </x:c>
      <x:c r="AF1059" t="n">
        <x:v>0.003980718553066254</x:v>
      </x:c>
      <x:c r="AG1059" t="n">
        <x:f>_xlfn.XLOOKUP($A1059,Games!$A$2:$A$18,Games!$B$2:$B$18,"Missing game",0)</x:f>
        <x:v>2025</x:v>
      </x:c>
      <x:c r="AH1059" t="str">
        <x:f>_xlfn.XLOOKUP($A1059,Games!$A$2:$A$18,Games!$C$2:$C$18,"Missing game",0)</x:f>
        <x:v>REG</x:v>
      </x:c>
      <x:c r="AI1059" t="n">
        <x:f>_xlfn.XLOOKUP($A1059,Games!$A$2:$A$18,Games!$D$2:$D$18,"Missing game",0)</x:f>
        <x:v>8</x:v>
      </x:c>
      <x:c r="AJ1059" s="1" t="n">
        <x:f>_xlfn.XLOOKUP($A1059,Games!$A$2:$A$18,Games!$E$2:$E$18,"Missing game",0)</x:f>
        <x:v>45953</x:v>
      </x:c>
      <x:c r="AK1059" t="str">
        <x:f>_xlfn.XLOOKUP($A1059,Games!$A$2:$A$18,Games!$F$2:$F$18,"Missing game",0)</x:f>
        <x:v>Thursday</x:v>
      </x:c>
      <x:c r="AL1059" t="str">
        <x:f>_xlfn.XLOOKUP($A1059,Games!$A$2:$A$18,Games!$G$2:$G$18,"Missing game",0)</x:f>
        <x:v>MIN</x:v>
      </x:c>
      <x:c r="AM1059" t="n">
        <x:f>_xlfn.XLOOKUP($A1059,Games!$A$2:$A$18,Games!$H$2:$H$18,"Missing game",0)</x:f>
        <x:v>10</x:v>
      </x:c>
      <x:c r="AN1059" t="str">
        <x:f>_xlfn.XLOOKUP($A1059,Games!$A$2:$A$18,Games!$I$2:$I$18,"Missing game",0)</x:f>
        <x:v>LAC</x:v>
      </x:c>
      <x:c r="AO1059" t="n">
        <x:f>_xlfn.XLOOKUP($A1059,Games!$A$2:$A$18,Games!$J$2:$J$18,"Missing game",0)</x:f>
        <x:v>37</x:v>
      </x:c>
      <x:c r="AP1059" t="n">
        <x:f>_xlfn.XLOOKUP($A1059,Games!$A$2:$A$18,Games!$K$2:$K$18,"Missing game",0)</x:f>
        <x:v>27</x:v>
      </x:c>
      <x:c r="AQ1059" t="n">
        <x:f>_xlfn.XLOOKUP($A1059,Games!$A$2:$A$18,Games!$L$2:$L$18,"Missing game",0)</x:f>
        <x:v>47</x:v>
      </x:c>
      <x:c r="AR1059" t="n">
        <x:f>_xlfn.XLOOKUP($A1059,Games!$A$2:$A$18,Games!$M$2:$M$18,"Missing game",0)</x:f>
        <x:v>0</x:v>
      </x:c>
      <x:c r="AS1059" t="str">
        <x:f>_xlfn.XLOOKUP($A1059,Games!$A$2:$A$18,Games!$N$2:$N$18,"Missing game",0)</x:f>
        <x:v>dome</x:v>
      </x:c>
      <x:c r="AT1059" t="str">
        <x:f>_xlfn.XLOOKUP($A1059,Games!$A$2:$A$18,Games!$O$2:$O$18,"Missing game",0)</x:f>
        <x:v>matrixturf</x:v>
      </x:c>
      <x:c r="AU1059" t="str">
        <x:f>_xlfn.XLOOKUP($A1059,Games!$A$2:$A$18,Games!$P$2:$P$18,"Missing game",0)</x:f>
      </x:c>
      <x:c r="AV1059" t="str">
        <x:f>_xlfn.XLOOKUP($A1059,Games!$A$2:$A$18,Games!$Q$2:$Q$18,"Missing game",0)</x:f>
      </x:c>
      <x:c r="AW1059" t="str">
        <x:f>_xlfn.XLOOKUP($A1059,Games!$A$2:$A$18,Games!$R$2:$R$18,"Missing game",0)</x:f>
        <x:v>SoFi Stadium</x:v>
      </x:c>
    </x:row>
    <x:row r="1060">
      <x:c r="A1060" t="str">
        <x:v>2025_08_MIN_LAC</x:v>
      </x:c>
      <x:c r="B1060" t="n">
        <x:v>1153</x:v>
      </x:c>
      <x:c r="C1060" t="n">
        <x:v>2</x:v>
      </x:c>
      <x:c r="D1060" t="str">
        <x:v>12:14</x:v>
      </x:c>
      <x:c r="E1060" t="n">
        <x:v>3</x:v>
      </x:c>
      <x:c r="F1060" t="n">
        <x:v>5</x:v>
      </x:c>
      <x:c r="G1060" t="str">
        <x:v>MIN</x:v>
      </x:c>
      <x:c r="H1060" t="str">
        <x:v>LAC</x:v>
      </x:c>
      <x:c r="I1060" t="str">
        <x:v>MIN</x:v>
      </x:c>
      <x:c r="J1060" t="n">
        <x:v>65</x:v>
      </x:c>
      <x:c r="K1060" t="str">
        <x:v>(12:14) (Shotgun) 11-C.Wentz pass short left to 18-J.Jefferson pushed ob at MIN 45 for 10 yards (20-C.Hart).</x:v>
      </x:c>
      <x:c r="L1060" t="str">
        <x:v>pass</x:v>
      </x:c>
      <x:c r="M1060" t="n">
        <x:v>10</x:v>
      </x:c>
      <x:c r="N1060" t="n">
        <x:v>1</x:v>
      </x:c>
      <x:c r="O1060" t="n">
        <x:v>0</x:v>
      </x:c>
      <x:c r="P1060" t="str">
        <x:v>short</x:v>
      </x:c>
      <x:c r="Q1060" t="str">
        <x:v>left</x:v>
      </x:c>
      <x:c r="R1060" t="n">
        <x:v>10</x:v>
      </x:c>
      <x:c r="S1060" t="n">
        <x:v>0</x:v>
      </x:c>
      <x:c r="T1060"/>
      <x:c r="U1060"/>
      <x:c r="V1060" t="n">
        <x:v>1</x:v>
      </x:c>
      <x:c r="W1060" t="n">
        <x:v>1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/>
      <x:c r="AC1060" t="n">
        <x:v>0</x:v>
      </x:c>
      <x:c r="AD1060" t="n">
        <x:v>1.8234280527103692</x:v>
      </x:c>
      <x:c r="AE1060" t="n">
        <x:v>1</x:v>
      </x:c>
      <x:c r="AF1060" t="n">
        <x:v>0.02345161885023117</x:v>
      </x:c>
      <x:c r="AG1060" t="n">
        <x:f>_xlfn.XLOOKUP($A1060,Games!$A$2:$A$18,Games!$B$2:$B$18,"Missing game",0)</x:f>
        <x:v>2025</x:v>
      </x:c>
      <x:c r="AH1060" t="str">
        <x:f>_xlfn.XLOOKUP($A1060,Games!$A$2:$A$18,Games!$C$2:$C$18,"Missing game",0)</x:f>
        <x:v>REG</x:v>
      </x:c>
      <x:c r="AI1060" t="n">
        <x:f>_xlfn.XLOOKUP($A1060,Games!$A$2:$A$18,Games!$D$2:$D$18,"Missing game",0)</x:f>
        <x:v>8</x:v>
      </x:c>
      <x:c r="AJ1060" s="1" t="n">
        <x:f>_xlfn.XLOOKUP($A1060,Games!$A$2:$A$18,Games!$E$2:$E$18,"Missing game",0)</x:f>
        <x:v>45953</x:v>
      </x:c>
      <x:c r="AK1060" t="str">
        <x:f>_xlfn.XLOOKUP($A1060,Games!$A$2:$A$18,Games!$F$2:$F$18,"Missing game",0)</x:f>
        <x:v>Thursday</x:v>
      </x:c>
      <x:c r="AL1060" t="str">
        <x:f>_xlfn.XLOOKUP($A1060,Games!$A$2:$A$18,Games!$G$2:$G$18,"Missing game",0)</x:f>
        <x:v>MIN</x:v>
      </x:c>
      <x:c r="AM1060" t="n">
        <x:f>_xlfn.XLOOKUP($A1060,Games!$A$2:$A$18,Games!$H$2:$H$18,"Missing game",0)</x:f>
        <x:v>10</x:v>
      </x:c>
      <x:c r="AN1060" t="str">
        <x:f>_xlfn.XLOOKUP($A1060,Games!$A$2:$A$18,Games!$I$2:$I$18,"Missing game",0)</x:f>
        <x:v>LAC</x:v>
      </x:c>
      <x:c r="AO1060" t="n">
        <x:f>_xlfn.XLOOKUP($A1060,Games!$A$2:$A$18,Games!$J$2:$J$18,"Missing game",0)</x:f>
        <x:v>37</x:v>
      </x:c>
      <x:c r="AP1060" t="n">
        <x:f>_xlfn.XLOOKUP($A1060,Games!$A$2:$A$18,Games!$K$2:$K$18,"Missing game",0)</x:f>
        <x:v>27</x:v>
      </x:c>
      <x:c r="AQ1060" t="n">
        <x:f>_xlfn.XLOOKUP($A1060,Games!$A$2:$A$18,Games!$L$2:$L$18,"Missing game",0)</x:f>
        <x:v>47</x:v>
      </x:c>
      <x:c r="AR1060" t="n">
        <x:f>_xlfn.XLOOKUP($A1060,Games!$A$2:$A$18,Games!$M$2:$M$18,"Missing game",0)</x:f>
        <x:v>0</x:v>
      </x:c>
      <x:c r="AS1060" t="str">
        <x:f>_xlfn.XLOOKUP($A1060,Games!$A$2:$A$18,Games!$N$2:$N$18,"Missing game",0)</x:f>
        <x:v>dome</x:v>
      </x:c>
      <x:c r="AT1060" t="str">
        <x:f>_xlfn.XLOOKUP($A1060,Games!$A$2:$A$18,Games!$O$2:$O$18,"Missing game",0)</x:f>
        <x:v>matrixturf</x:v>
      </x:c>
      <x:c r="AU1060" t="str">
        <x:f>_xlfn.XLOOKUP($A1060,Games!$A$2:$A$18,Games!$P$2:$P$18,"Missing game",0)</x:f>
      </x:c>
      <x:c r="AV1060" t="str">
        <x:f>_xlfn.XLOOKUP($A1060,Games!$A$2:$A$18,Games!$Q$2:$Q$18,"Missing game",0)</x:f>
      </x:c>
      <x:c r="AW1060" t="str">
        <x:f>_xlfn.XLOOKUP($A1060,Games!$A$2:$A$18,Games!$R$2:$R$18,"Missing game",0)</x:f>
        <x:v>SoFi Stadium</x:v>
      </x:c>
    </x:row>
    <x:row r="1061">
      <x:c r="A1061" t="str">
        <x:v>2025_08_MIN_LAC</x:v>
      </x:c>
      <x:c r="B1061" t="n">
        <x:v>1183</x:v>
      </x:c>
      <x:c r="C1061" t="n">
        <x:v>2</x:v>
      </x:c>
      <x:c r="D1061" t="str">
        <x:v>11:37</x:v>
      </x:c>
      <x:c r="E1061" t="n">
        <x:v>1</x:v>
      </x:c>
      <x:c r="F1061" t="n">
        <x:v>10</x:v>
      </x:c>
      <x:c r="G1061" t="str">
        <x:v>MIN</x:v>
      </x:c>
      <x:c r="H1061" t="str">
        <x:v>LAC</x:v>
      </x:c>
      <x:c r="I1061" t="str">
        <x:v>MIN</x:v>
      </x:c>
      <x:c r="J1061" t="n">
        <x:v>55</x:v>
      </x:c>
      <x:c r="K1061" t="str">
        <x:v>(11:37) (No Huddle) 33-A.Jones right end to MIN 49 for 4 yards (45-T.Tuipulotu; 90-T.Tart).</x:v>
      </x:c>
      <x:c r="L1061" t="str">
        <x:v>run</x:v>
      </x:c>
      <x:c r="M1061" t="n">
        <x:v>4</x:v>
      </x:c>
      <x:c r="N1061" t="n">
        <x:v>0</x:v>
      </x:c>
      <x:c r="O1061" t="n">
        <x:v>1</x:v>
      </x:c>
      <x:c r="P1061"/>
      <x:c r="Q1061"/>
      <x:c r="R1061"/>
      <x:c r="S1061"/>
      <x:c r="T1061" t="str">
        <x:v>right</x:v>
      </x:c>
      <x:c r="U1061" t="str">
        <x:v>end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/>
      <x:c r="AC1061" t="n">
        <x:v>0</x:v>
      </x:c>
      <x:c r="AD1061" t="n">
        <x:v>-0.09596358332782984</x:v>
      </x:c>
      <x:c r="AE1061" t="n">
        <x:v>0</x:v>
      </x:c>
      <x:c r="AF1061" t="n">
        <x:v>-0.006300643086433411</x:v>
      </x:c>
      <x:c r="AG1061" t="n">
        <x:f>_xlfn.XLOOKUP($A1061,Games!$A$2:$A$18,Games!$B$2:$B$18,"Missing game",0)</x:f>
        <x:v>2025</x:v>
      </x:c>
      <x:c r="AH1061" t="str">
        <x:f>_xlfn.XLOOKUP($A1061,Games!$A$2:$A$18,Games!$C$2:$C$18,"Missing game",0)</x:f>
        <x:v>REG</x:v>
      </x:c>
      <x:c r="AI1061" t="n">
        <x:f>_xlfn.XLOOKUP($A1061,Games!$A$2:$A$18,Games!$D$2:$D$18,"Missing game",0)</x:f>
        <x:v>8</x:v>
      </x:c>
      <x:c r="AJ1061" s="1" t="n">
        <x:f>_xlfn.XLOOKUP($A1061,Games!$A$2:$A$18,Games!$E$2:$E$18,"Missing game",0)</x:f>
        <x:v>45953</x:v>
      </x:c>
      <x:c r="AK1061" t="str">
        <x:f>_xlfn.XLOOKUP($A1061,Games!$A$2:$A$18,Games!$F$2:$F$18,"Missing game",0)</x:f>
        <x:v>Thursday</x:v>
      </x:c>
      <x:c r="AL1061" t="str">
        <x:f>_xlfn.XLOOKUP($A1061,Games!$A$2:$A$18,Games!$G$2:$G$18,"Missing game",0)</x:f>
        <x:v>MIN</x:v>
      </x:c>
      <x:c r="AM1061" t="n">
        <x:f>_xlfn.XLOOKUP($A1061,Games!$A$2:$A$18,Games!$H$2:$H$18,"Missing game",0)</x:f>
        <x:v>10</x:v>
      </x:c>
      <x:c r="AN1061" t="str">
        <x:f>_xlfn.XLOOKUP($A1061,Games!$A$2:$A$18,Games!$I$2:$I$18,"Missing game",0)</x:f>
        <x:v>LAC</x:v>
      </x:c>
      <x:c r="AO1061" t="n">
        <x:f>_xlfn.XLOOKUP($A1061,Games!$A$2:$A$18,Games!$J$2:$J$18,"Missing game",0)</x:f>
        <x:v>37</x:v>
      </x:c>
      <x:c r="AP1061" t="n">
        <x:f>_xlfn.XLOOKUP($A1061,Games!$A$2:$A$18,Games!$K$2:$K$18,"Missing game",0)</x:f>
        <x:v>27</x:v>
      </x:c>
      <x:c r="AQ1061" t="n">
        <x:f>_xlfn.XLOOKUP($A1061,Games!$A$2:$A$18,Games!$L$2:$L$18,"Missing game",0)</x:f>
        <x:v>47</x:v>
      </x:c>
      <x:c r="AR1061" t="n">
        <x:f>_xlfn.XLOOKUP($A1061,Games!$A$2:$A$18,Games!$M$2:$M$18,"Missing game",0)</x:f>
        <x:v>0</x:v>
      </x:c>
      <x:c r="AS1061" t="str">
        <x:f>_xlfn.XLOOKUP($A1061,Games!$A$2:$A$18,Games!$N$2:$N$18,"Missing game",0)</x:f>
        <x:v>dome</x:v>
      </x:c>
      <x:c r="AT1061" t="str">
        <x:f>_xlfn.XLOOKUP($A1061,Games!$A$2:$A$18,Games!$O$2:$O$18,"Missing game",0)</x:f>
        <x:v>matrixturf</x:v>
      </x:c>
      <x:c r="AU1061" t="str">
        <x:f>_xlfn.XLOOKUP($A1061,Games!$A$2:$A$18,Games!$P$2:$P$18,"Missing game",0)</x:f>
      </x:c>
      <x:c r="AV1061" t="str">
        <x:f>_xlfn.XLOOKUP($A1061,Games!$A$2:$A$18,Games!$Q$2:$Q$18,"Missing game",0)</x:f>
      </x:c>
      <x:c r="AW1061" t="str">
        <x:f>_xlfn.XLOOKUP($A1061,Games!$A$2:$A$18,Games!$R$2:$R$18,"Missing game",0)</x:f>
        <x:v>SoFi Stadium</x:v>
      </x:c>
    </x:row>
    <x:row r="1062">
      <x:c r="A1062" t="str">
        <x:v>2025_08_MIN_LAC</x:v>
      </x:c>
      <x:c r="B1062" t="n">
        <x:v>1205</x:v>
      </x:c>
      <x:c r="C1062" t="n">
        <x:v>2</x:v>
      </x:c>
      <x:c r="D1062" t="str">
        <x:v>11:01</x:v>
      </x:c>
      <x:c r="E1062" t="n">
        <x:v>2</x:v>
      </x:c>
      <x:c r="F1062" t="n">
        <x:v>6</x:v>
      </x:c>
      <x:c r="G1062" t="str">
        <x:v>MIN</x:v>
      </x:c>
      <x:c r="H1062" t="str">
        <x:v>LAC</x:v>
      </x:c>
      <x:c r="I1062" t="str">
        <x:v>MIN</x:v>
      </x:c>
      <x:c r="J1062" t="n">
        <x:v>51</x:v>
      </x:c>
      <x:c r="K1062" t="str">
        <x:v>(11:01) (Shotgun) 11-C.Wentz pass short left to 18-J.Jefferson to LAC 40 for 11 yards (24-B.St-Juste).</x:v>
      </x:c>
      <x:c r="L1062" t="str">
        <x:v>pass</x:v>
      </x:c>
      <x:c r="M1062" t="n">
        <x:v>11</x:v>
      </x:c>
      <x:c r="N1062" t="n">
        <x:v>1</x:v>
      </x:c>
      <x:c r="O1062" t="n">
        <x:v>0</x:v>
      </x:c>
      <x:c r="P1062" t="str">
        <x:v>short</x:v>
      </x:c>
      <x:c r="Q1062" t="str">
        <x:v>left</x:v>
      </x:c>
      <x:c r="R1062" t="n">
        <x:v>7</x:v>
      </x:c>
      <x:c r="S1062" t="n">
        <x:v>4</x:v>
      </x:c>
      <x:c r="T1062"/>
      <x:c r="U1062"/>
      <x:c r="V1062" t="n">
        <x:v>1</x:v>
      </x:c>
      <x:c r="W1062" t="n">
        <x:v>1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/>
      <x:c r="AC1062" t="n">
        <x:v>0</x:v>
      </x:c>
      <x:c r="AD1062" t="n">
        <x:v>1.0888588411035016</x:v>
      </x:c>
      <x:c r="AE1062" t="n">
        <x:v>1</x:v>
      </x:c>
      <x:c r="AF1062" t="n">
        <x:v>-0.00817205011844635</x:v>
      </x:c>
      <x:c r="AG1062" t="n">
        <x:f>_xlfn.XLOOKUP($A1062,Games!$A$2:$A$18,Games!$B$2:$B$18,"Missing game",0)</x:f>
        <x:v>2025</x:v>
      </x:c>
      <x:c r="AH1062" t="str">
        <x:f>_xlfn.XLOOKUP($A1062,Games!$A$2:$A$18,Games!$C$2:$C$18,"Missing game",0)</x:f>
        <x:v>REG</x:v>
      </x:c>
      <x:c r="AI1062" t="n">
        <x:f>_xlfn.XLOOKUP($A1062,Games!$A$2:$A$18,Games!$D$2:$D$18,"Missing game",0)</x:f>
        <x:v>8</x:v>
      </x:c>
      <x:c r="AJ1062" s="1" t="n">
        <x:f>_xlfn.XLOOKUP($A1062,Games!$A$2:$A$18,Games!$E$2:$E$18,"Missing game",0)</x:f>
        <x:v>45953</x:v>
      </x:c>
      <x:c r="AK1062" t="str">
        <x:f>_xlfn.XLOOKUP($A1062,Games!$A$2:$A$18,Games!$F$2:$F$18,"Missing game",0)</x:f>
        <x:v>Thursday</x:v>
      </x:c>
      <x:c r="AL1062" t="str">
        <x:f>_xlfn.XLOOKUP($A1062,Games!$A$2:$A$18,Games!$G$2:$G$18,"Missing game",0)</x:f>
        <x:v>MIN</x:v>
      </x:c>
      <x:c r="AM1062" t="n">
        <x:f>_xlfn.XLOOKUP($A1062,Games!$A$2:$A$18,Games!$H$2:$H$18,"Missing game",0)</x:f>
        <x:v>10</x:v>
      </x:c>
      <x:c r="AN1062" t="str">
        <x:f>_xlfn.XLOOKUP($A1062,Games!$A$2:$A$18,Games!$I$2:$I$18,"Missing game",0)</x:f>
        <x:v>LAC</x:v>
      </x:c>
      <x:c r="AO1062" t="n">
        <x:f>_xlfn.XLOOKUP($A1062,Games!$A$2:$A$18,Games!$J$2:$J$18,"Missing game",0)</x:f>
        <x:v>37</x:v>
      </x:c>
      <x:c r="AP1062" t="n">
        <x:f>_xlfn.XLOOKUP($A1062,Games!$A$2:$A$18,Games!$K$2:$K$18,"Missing game",0)</x:f>
        <x:v>27</x:v>
      </x:c>
      <x:c r="AQ1062" t="n">
        <x:f>_xlfn.XLOOKUP($A1062,Games!$A$2:$A$18,Games!$L$2:$L$18,"Missing game",0)</x:f>
        <x:v>47</x:v>
      </x:c>
      <x:c r="AR1062" t="n">
        <x:f>_xlfn.XLOOKUP($A1062,Games!$A$2:$A$18,Games!$M$2:$M$18,"Missing game",0)</x:f>
        <x:v>0</x:v>
      </x:c>
      <x:c r="AS1062" t="str">
        <x:f>_xlfn.XLOOKUP($A1062,Games!$A$2:$A$18,Games!$N$2:$N$18,"Missing game",0)</x:f>
        <x:v>dome</x:v>
      </x:c>
      <x:c r="AT1062" t="str">
        <x:f>_xlfn.XLOOKUP($A1062,Games!$A$2:$A$18,Games!$O$2:$O$18,"Missing game",0)</x:f>
        <x:v>matrixturf</x:v>
      </x:c>
      <x:c r="AU1062" t="str">
        <x:f>_xlfn.XLOOKUP($A1062,Games!$A$2:$A$18,Games!$P$2:$P$18,"Missing game",0)</x:f>
      </x:c>
      <x:c r="AV1062" t="str">
        <x:f>_xlfn.XLOOKUP($A1062,Games!$A$2:$A$18,Games!$Q$2:$Q$18,"Missing game",0)</x:f>
      </x:c>
      <x:c r="AW1062" t="str">
        <x:f>_xlfn.XLOOKUP($A1062,Games!$A$2:$A$18,Games!$R$2:$R$18,"Missing game",0)</x:f>
        <x:v>SoFi Stadium</x:v>
      </x:c>
    </x:row>
    <x:row r="1063">
      <x:c r="A1063" t="str">
        <x:v>2025_08_MIN_LAC</x:v>
      </x:c>
      <x:c r="B1063" t="n">
        <x:v>1230</x:v>
      </x:c>
      <x:c r="C1063" t="n">
        <x:v>2</x:v>
      </x:c>
      <x:c r="D1063" t="str">
        <x:v>10:23</x:v>
      </x:c>
      <x:c r="E1063" t="n">
        <x:v>1</x:v>
      </x:c>
      <x:c r="F1063" t="n">
        <x:v>10</x:v>
      </x:c>
      <x:c r="G1063" t="str">
        <x:v>MIN</x:v>
      </x:c>
      <x:c r="H1063" t="str">
        <x:v>LAC</x:v>
      </x:c>
      <x:c r="I1063" t="str">
        <x:v>LAC</x:v>
      </x:c>
      <x:c r="J1063" t="n">
        <x:v>40</x:v>
      </x:c>
      <x:c r="K1063" t="str">
        <x:v>(10:23) (Shotgun) 11-C.Wentz pass short right to 33-A.Jones ran ob at LAC 38 for 2 yards (6-D.Perryman).</x:v>
      </x:c>
      <x:c r="L1063" t="str">
        <x:v>pass</x:v>
      </x:c>
      <x:c r="M1063" t="n">
        <x:v>2</x:v>
      </x:c>
      <x:c r="N1063" t="n">
        <x:v>1</x:v>
      </x:c>
      <x:c r="O1063" t="n">
        <x:v>0</x:v>
      </x:c>
      <x:c r="P1063" t="str">
        <x:v>short</x:v>
      </x:c>
      <x:c r="Q1063" t="str">
        <x:v>right</x:v>
      </x:c>
      <x:c r="R1063" t="n">
        <x:v>-7</x:v>
      </x:c>
      <x:c r="S1063" t="n">
        <x:v>9</x:v>
      </x:c>
      <x:c r="T1063"/>
      <x:c r="U1063"/>
      <x:c r="V1063" t="n">
        <x:v>1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/>
      <x:c r="AC1063" t="n">
        <x:v>0</x:v>
      </x:c>
      <x:c r="AD1063" t="n">
        <x:v>-0.48295291664544493</x:v>
      </x:c>
      <x:c r="AE1063" t="n">
        <x:v>0</x:v>
      </x:c>
      <x:c r="AF1063" t="n">
        <x:v>-0.007347695529460907</x:v>
      </x:c>
      <x:c r="AG1063" t="n">
        <x:f>_xlfn.XLOOKUP($A1063,Games!$A$2:$A$18,Games!$B$2:$B$18,"Missing game",0)</x:f>
        <x:v>2025</x:v>
      </x:c>
      <x:c r="AH1063" t="str">
        <x:f>_xlfn.XLOOKUP($A1063,Games!$A$2:$A$18,Games!$C$2:$C$18,"Missing game",0)</x:f>
        <x:v>REG</x:v>
      </x:c>
      <x:c r="AI1063" t="n">
        <x:f>_xlfn.XLOOKUP($A1063,Games!$A$2:$A$18,Games!$D$2:$D$18,"Missing game",0)</x:f>
        <x:v>8</x:v>
      </x:c>
      <x:c r="AJ1063" s="1" t="n">
        <x:f>_xlfn.XLOOKUP($A1063,Games!$A$2:$A$18,Games!$E$2:$E$18,"Missing game",0)</x:f>
        <x:v>45953</x:v>
      </x:c>
      <x:c r="AK1063" t="str">
        <x:f>_xlfn.XLOOKUP($A1063,Games!$A$2:$A$18,Games!$F$2:$F$18,"Missing game",0)</x:f>
        <x:v>Thursday</x:v>
      </x:c>
      <x:c r="AL1063" t="str">
        <x:f>_xlfn.XLOOKUP($A1063,Games!$A$2:$A$18,Games!$G$2:$G$18,"Missing game",0)</x:f>
        <x:v>MIN</x:v>
      </x:c>
      <x:c r="AM1063" t="n">
        <x:f>_xlfn.XLOOKUP($A1063,Games!$A$2:$A$18,Games!$H$2:$H$18,"Missing game",0)</x:f>
        <x:v>10</x:v>
      </x:c>
      <x:c r="AN1063" t="str">
        <x:f>_xlfn.XLOOKUP($A1063,Games!$A$2:$A$18,Games!$I$2:$I$18,"Missing game",0)</x:f>
        <x:v>LAC</x:v>
      </x:c>
      <x:c r="AO1063" t="n">
        <x:f>_xlfn.XLOOKUP($A1063,Games!$A$2:$A$18,Games!$J$2:$J$18,"Missing game",0)</x:f>
        <x:v>37</x:v>
      </x:c>
      <x:c r="AP1063" t="n">
        <x:f>_xlfn.XLOOKUP($A1063,Games!$A$2:$A$18,Games!$K$2:$K$18,"Missing game",0)</x:f>
        <x:v>27</x:v>
      </x:c>
      <x:c r="AQ1063" t="n">
        <x:f>_xlfn.XLOOKUP($A1063,Games!$A$2:$A$18,Games!$L$2:$L$18,"Missing game",0)</x:f>
        <x:v>47</x:v>
      </x:c>
      <x:c r="AR1063" t="n">
        <x:f>_xlfn.XLOOKUP($A1063,Games!$A$2:$A$18,Games!$M$2:$M$18,"Missing game",0)</x:f>
        <x:v>0</x:v>
      </x:c>
      <x:c r="AS1063" t="str">
        <x:f>_xlfn.XLOOKUP($A1063,Games!$A$2:$A$18,Games!$N$2:$N$18,"Missing game",0)</x:f>
        <x:v>dome</x:v>
      </x:c>
      <x:c r="AT1063" t="str">
        <x:f>_xlfn.XLOOKUP($A1063,Games!$A$2:$A$18,Games!$O$2:$O$18,"Missing game",0)</x:f>
        <x:v>matrixturf</x:v>
      </x:c>
      <x:c r="AU1063" t="str">
        <x:f>_xlfn.XLOOKUP($A1063,Games!$A$2:$A$18,Games!$P$2:$P$18,"Missing game",0)</x:f>
      </x:c>
      <x:c r="AV1063" t="str">
        <x:f>_xlfn.XLOOKUP($A1063,Games!$A$2:$A$18,Games!$Q$2:$Q$18,"Missing game",0)</x:f>
      </x:c>
      <x:c r="AW1063" t="str">
        <x:f>_xlfn.XLOOKUP($A1063,Games!$A$2:$A$18,Games!$R$2:$R$18,"Missing game",0)</x:f>
        <x:v>SoFi Stadium</x:v>
      </x:c>
    </x:row>
    <x:row r="1064">
      <x:c r="A1064" t="str">
        <x:v>2025_08_MIN_LAC</x:v>
      </x:c>
      <x:c r="B1064" t="n">
        <x:v>1260</x:v>
      </x:c>
      <x:c r="C1064" t="n">
        <x:v>2</x:v>
      </x:c>
      <x:c r="D1064" t="str">
        <x:v>09:43</x:v>
      </x:c>
      <x:c r="E1064" t="n">
        <x:v>2</x:v>
      </x:c>
      <x:c r="F1064" t="n">
        <x:v>8</x:v>
      </x:c>
      <x:c r="G1064" t="str">
        <x:v>MIN</x:v>
      </x:c>
      <x:c r="H1064" t="str">
        <x:v>LAC</x:v>
      </x:c>
      <x:c r="I1064" t="str">
        <x:v>LAC</x:v>
      </x:c>
      <x:c r="J1064" t="n">
        <x:v>38</x:v>
      </x:c>
      <x:c r="K1064" t="str">
        <x:v>(9:43) (Shotgun) 11-C.Wentz pass incomplete short left to 1-J.Nailor (6-D.Perryman).</x:v>
      </x:c>
      <x:c r="L1064" t="str">
        <x:v>pass</x:v>
      </x:c>
      <x:c r="M1064" t="n">
        <x:v>0</x:v>
      </x:c>
      <x:c r="N1064" t="n">
        <x:v>1</x:v>
      </x:c>
      <x:c r="O1064" t="n">
        <x:v>0</x:v>
      </x:c>
      <x:c r="P1064" t="str">
        <x:v>short</x:v>
      </x:c>
      <x:c r="Q1064" t="str">
        <x:v>left</x:v>
      </x:c>
      <x:c r="R1064" t="n">
        <x:v>5</x:v>
      </x:c>
      <x:c r="S1064"/>
      <x:c r="T1064"/>
      <x:c r="U1064"/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/>
      <x:c r="AC1064" t="n">
        <x:v>0</x:v>
      </x:c>
      <x:c r="AD1064" t="n">
        <x:v>-0.855854713357985</x:v>
      </x:c>
      <x:c r="AE1064" t="n">
        <x:v>0</x:v>
      </x:c>
      <x:c r="AF1064" t="n">
        <x:v>-0.0109182670712471</x:v>
      </x:c>
      <x:c r="AG1064" t="n">
        <x:f>_xlfn.XLOOKUP($A1064,Games!$A$2:$A$18,Games!$B$2:$B$18,"Missing game",0)</x:f>
        <x:v>2025</x:v>
      </x:c>
      <x:c r="AH1064" t="str">
        <x:f>_xlfn.XLOOKUP($A1064,Games!$A$2:$A$18,Games!$C$2:$C$18,"Missing game",0)</x:f>
        <x:v>REG</x:v>
      </x:c>
      <x:c r="AI1064" t="n">
        <x:f>_xlfn.XLOOKUP($A1064,Games!$A$2:$A$18,Games!$D$2:$D$18,"Missing game",0)</x:f>
        <x:v>8</x:v>
      </x:c>
      <x:c r="AJ1064" s="1" t="n">
        <x:f>_xlfn.XLOOKUP($A1064,Games!$A$2:$A$18,Games!$E$2:$E$18,"Missing game",0)</x:f>
        <x:v>45953</x:v>
      </x:c>
      <x:c r="AK1064" t="str">
        <x:f>_xlfn.XLOOKUP($A1064,Games!$A$2:$A$18,Games!$F$2:$F$18,"Missing game",0)</x:f>
        <x:v>Thursday</x:v>
      </x:c>
      <x:c r="AL1064" t="str">
        <x:f>_xlfn.XLOOKUP($A1064,Games!$A$2:$A$18,Games!$G$2:$G$18,"Missing game",0)</x:f>
        <x:v>MIN</x:v>
      </x:c>
      <x:c r="AM1064" t="n">
        <x:f>_xlfn.XLOOKUP($A1064,Games!$A$2:$A$18,Games!$H$2:$H$18,"Missing game",0)</x:f>
        <x:v>10</x:v>
      </x:c>
      <x:c r="AN1064" t="str">
        <x:f>_xlfn.XLOOKUP($A1064,Games!$A$2:$A$18,Games!$I$2:$I$18,"Missing game",0)</x:f>
        <x:v>LAC</x:v>
      </x:c>
      <x:c r="AO1064" t="n">
        <x:f>_xlfn.XLOOKUP($A1064,Games!$A$2:$A$18,Games!$J$2:$J$18,"Missing game",0)</x:f>
        <x:v>37</x:v>
      </x:c>
      <x:c r="AP1064" t="n">
        <x:f>_xlfn.XLOOKUP($A1064,Games!$A$2:$A$18,Games!$K$2:$K$18,"Missing game",0)</x:f>
        <x:v>27</x:v>
      </x:c>
      <x:c r="AQ1064" t="n">
        <x:f>_xlfn.XLOOKUP($A1064,Games!$A$2:$A$18,Games!$L$2:$L$18,"Missing game",0)</x:f>
        <x:v>47</x:v>
      </x:c>
      <x:c r="AR1064" t="n">
        <x:f>_xlfn.XLOOKUP($A1064,Games!$A$2:$A$18,Games!$M$2:$M$18,"Missing game",0)</x:f>
        <x:v>0</x:v>
      </x:c>
      <x:c r="AS1064" t="str">
        <x:f>_xlfn.XLOOKUP($A1064,Games!$A$2:$A$18,Games!$N$2:$N$18,"Missing game",0)</x:f>
        <x:v>dome</x:v>
      </x:c>
      <x:c r="AT1064" t="str">
        <x:f>_xlfn.XLOOKUP($A1064,Games!$A$2:$A$18,Games!$O$2:$O$18,"Missing game",0)</x:f>
        <x:v>matrixturf</x:v>
      </x:c>
      <x:c r="AU1064" t="str">
        <x:f>_xlfn.XLOOKUP($A1064,Games!$A$2:$A$18,Games!$P$2:$P$18,"Missing game",0)</x:f>
      </x:c>
      <x:c r="AV1064" t="str">
        <x:f>_xlfn.XLOOKUP($A1064,Games!$A$2:$A$18,Games!$Q$2:$Q$18,"Missing game",0)</x:f>
      </x:c>
      <x:c r="AW1064" t="str">
        <x:f>_xlfn.XLOOKUP($A1064,Games!$A$2:$A$18,Games!$R$2:$R$18,"Missing game",0)</x:f>
        <x:v>SoFi Stadium</x:v>
      </x:c>
    </x:row>
    <x:row r="1065">
      <x:c r="A1065" t="str">
        <x:v>2025_08_MIN_LAC</x:v>
      </x:c>
      <x:c r="B1065" t="n">
        <x:v>1283</x:v>
      </x:c>
      <x:c r="C1065" t="n">
        <x:v>2</x:v>
      </x:c>
      <x:c r="D1065" t="str">
        <x:v>09:40</x:v>
      </x:c>
      <x:c r="E1065" t="n">
        <x:v>3</x:v>
      </x:c>
      <x:c r="F1065" t="n">
        <x:v>8</x:v>
      </x:c>
      <x:c r="G1065" t="str">
        <x:v>MIN</x:v>
      </x:c>
      <x:c r="H1065" t="str">
        <x:v>LAC</x:v>
      </x:c>
      <x:c r="I1065" t="str">
        <x:v>LAC</x:v>
      </x:c>
      <x:c r="J1065" t="n">
        <x:v>38</x:v>
      </x:c>
      <x:c r="K1065" t="str">
        <x:v>(9:40) (Shotgun) 11-C.Wentz pass short right to 27-J.Mason to LAC 35 for 3 yards (20-C.Hart).</x:v>
      </x:c>
      <x:c r="L1065" t="str">
        <x:v>pass</x:v>
      </x:c>
      <x:c r="M1065" t="n">
        <x:v>3</x:v>
      </x:c>
      <x:c r="N1065" t="n">
        <x:v>1</x:v>
      </x:c>
      <x:c r="O1065" t="n">
        <x:v>0</x:v>
      </x:c>
      <x:c r="P1065" t="str">
        <x:v>short</x:v>
      </x:c>
      <x:c r="Q1065" t="str">
        <x:v>right</x:v>
      </x:c>
      <x:c r="R1065" t="n">
        <x:v>-1</x:v>
      </x:c>
      <x:c r="S1065" t="n">
        <x:v>4</x:v>
      </x:c>
      <x:c r="T1065"/>
      <x:c r="U1065"/>
      <x:c r="V1065" t="n">
        <x:v>1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/>
      <x:c r="AC1065" t="n">
        <x:v>0</x:v>
      </x:c>
      <x:c r="AD1065" t="n">
        <x:v>-0.7021422689091303</x:v>
      </x:c>
      <x:c r="AE1065" t="n">
        <x:v>0</x:v>
      </x:c>
      <x:c r="AF1065" t="n">
        <x:v>-0.008493907749652863</x:v>
      </x:c>
      <x:c r="AG1065" t="n">
        <x:f>_xlfn.XLOOKUP($A1065,Games!$A$2:$A$18,Games!$B$2:$B$18,"Missing game",0)</x:f>
        <x:v>2025</x:v>
      </x:c>
      <x:c r="AH1065" t="str">
        <x:f>_xlfn.XLOOKUP($A1065,Games!$A$2:$A$18,Games!$C$2:$C$18,"Missing game",0)</x:f>
        <x:v>REG</x:v>
      </x:c>
      <x:c r="AI1065" t="n">
        <x:f>_xlfn.XLOOKUP($A1065,Games!$A$2:$A$18,Games!$D$2:$D$18,"Missing game",0)</x:f>
        <x:v>8</x:v>
      </x:c>
      <x:c r="AJ1065" s="1" t="n">
        <x:f>_xlfn.XLOOKUP($A1065,Games!$A$2:$A$18,Games!$E$2:$E$18,"Missing game",0)</x:f>
        <x:v>45953</x:v>
      </x:c>
      <x:c r="AK1065" t="str">
        <x:f>_xlfn.XLOOKUP($A1065,Games!$A$2:$A$18,Games!$F$2:$F$18,"Missing game",0)</x:f>
        <x:v>Thursday</x:v>
      </x:c>
      <x:c r="AL1065" t="str">
        <x:f>_xlfn.XLOOKUP($A1065,Games!$A$2:$A$18,Games!$G$2:$G$18,"Missing game",0)</x:f>
        <x:v>MIN</x:v>
      </x:c>
      <x:c r="AM1065" t="n">
        <x:f>_xlfn.XLOOKUP($A1065,Games!$A$2:$A$18,Games!$H$2:$H$18,"Missing game",0)</x:f>
        <x:v>10</x:v>
      </x:c>
      <x:c r="AN1065" t="str">
        <x:f>_xlfn.XLOOKUP($A1065,Games!$A$2:$A$18,Games!$I$2:$I$18,"Missing game",0)</x:f>
        <x:v>LAC</x:v>
      </x:c>
      <x:c r="AO1065" t="n">
        <x:f>_xlfn.XLOOKUP($A1065,Games!$A$2:$A$18,Games!$J$2:$J$18,"Missing game",0)</x:f>
        <x:v>37</x:v>
      </x:c>
      <x:c r="AP1065" t="n">
        <x:f>_xlfn.XLOOKUP($A1065,Games!$A$2:$A$18,Games!$K$2:$K$18,"Missing game",0)</x:f>
        <x:v>27</x:v>
      </x:c>
      <x:c r="AQ1065" t="n">
        <x:f>_xlfn.XLOOKUP($A1065,Games!$A$2:$A$18,Games!$L$2:$L$18,"Missing game",0)</x:f>
        <x:v>47</x:v>
      </x:c>
      <x:c r="AR1065" t="n">
        <x:f>_xlfn.XLOOKUP($A1065,Games!$A$2:$A$18,Games!$M$2:$M$18,"Missing game",0)</x:f>
        <x:v>0</x:v>
      </x:c>
      <x:c r="AS1065" t="str">
        <x:f>_xlfn.XLOOKUP($A1065,Games!$A$2:$A$18,Games!$N$2:$N$18,"Missing game",0)</x:f>
        <x:v>dome</x:v>
      </x:c>
      <x:c r="AT1065" t="str">
        <x:f>_xlfn.XLOOKUP($A1065,Games!$A$2:$A$18,Games!$O$2:$O$18,"Missing game",0)</x:f>
        <x:v>matrixturf</x:v>
      </x:c>
      <x:c r="AU1065" t="str">
        <x:f>_xlfn.XLOOKUP($A1065,Games!$A$2:$A$18,Games!$P$2:$P$18,"Missing game",0)</x:f>
      </x:c>
      <x:c r="AV1065" t="str">
        <x:f>_xlfn.XLOOKUP($A1065,Games!$A$2:$A$18,Games!$Q$2:$Q$18,"Missing game",0)</x:f>
      </x:c>
      <x:c r="AW1065" t="str">
        <x:f>_xlfn.XLOOKUP($A1065,Games!$A$2:$A$18,Games!$R$2:$R$18,"Missing game",0)</x:f>
        <x:v>SoFi Stadium</x:v>
      </x:c>
    </x:row>
    <x:row r="1066">
      <x:c r="A1066" t="str">
        <x:v>2025_08_MIN_LAC</x:v>
      </x:c>
      <x:c r="B1066" t="n">
        <x:v>1308</x:v>
      </x:c>
      <x:c r="C1066" t="n">
        <x:v>2</x:v>
      </x:c>
      <x:c r="D1066" t="str">
        <x:v>09:00</x:v>
      </x:c>
      <x:c r="E1066" t="n">
        <x:v>4</x:v>
      </x:c>
      <x:c r="F1066" t="n">
        <x:v>5</x:v>
      </x:c>
      <x:c r="G1066" t="str">
        <x:v>MIN</x:v>
      </x:c>
      <x:c r="H1066" t="str">
        <x:v>LAC</x:v>
      </x:c>
      <x:c r="I1066" t="str">
        <x:v>LAC</x:v>
      </x:c>
      <x:c r="J1066" t="n">
        <x:v>35</x:v>
      </x:c>
      <x:c r="K1066" t="str">
        <x:v>(9:00) 16-W.Reichard 54 yard field goal is GOOD, Center-42-A.DePaola, Holder-17-R.Wright.</x:v>
      </x:c>
      <x:c r="L1066" t="str">
        <x:v>field_goal</x:v>
      </x:c>
      <x:c r="M1066" t="n">
        <x:v>0</x:v>
      </x:c>
      <x:c r="N1066" t="n">
        <x:v>0</x:v>
      </x:c>
      <x:c r="O1066" t="n">
        <x:v>0</x:v>
      </x:c>
      <x:c r="P1066"/>
      <x:c r="Q1066"/>
      <x:c r="R1066"/>
      <x:c r="S1066"/>
      <x:c r="T1066"/>
      <x:c r="U1066"/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/>
      <x:c r="AC1066" t="n">
        <x:v>0</x:v>
      </x:c>
      <x:c r="AD1066" t="n">
        <x:v>1.647012425377954</x:v>
      </x:c>
      <x:c r="AE1066" t="n">
        <x:v>1</x:v>
      </x:c>
      <x:c r="AF1066" t="n">
        <x:v>0.020369060337543488</x:v>
      </x:c>
      <x:c r="AG1066" t="n">
        <x:f>_xlfn.XLOOKUP($A1066,Games!$A$2:$A$18,Games!$B$2:$B$18,"Missing game",0)</x:f>
        <x:v>2025</x:v>
      </x:c>
      <x:c r="AH1066" t="str">
        <x:f>_xlfn.XLOOKUP($A1066,Games!$A$2:$A$18,Games!$C$2:$C$18,"Missing game",0)</x:f>
        <x:v>REG</x:v>
      </x:c>
      <x:c r="AI1066" t="n">
        <x:f>_xlfn.XLOOKUP($A1066,Games!$A$2:$A$18,Games!$D$2:$D$18,"Missing game",0)</x:f>
        <x:v>8</x:v>
      </x:c>
      <x:c r="AJ1066" s="1" t="n">
        <x:f>_xlfn.XLOOKUP($A1066,Games!$A$2:$A$18,Games!$E$2:$E$18,"Missing game",0)</x:f>
        <x:v>45953</x:v>
      </x:c>
      <x:c r="AK1066" t="str">
        <x:f>_xlfn.XLOOKUP($A1066,Games!$A$2:$A$18,Games!$F$2:$F$18,"Missing game",0)</x:f>
        <x:v>Thursday</x:v>
      </x:c>
      <x:c r="AL1066" t="str">
        <x:f>_xlfn.XLOOKUP($A1066,Games!$A$2:$A$18,Games!$G$2:$G$18,"Missing game",0)</x:f>
        <x:v>MIN</x:v>
      </x:c>
      <x:c r="AM1066" t="n">
        <x:f>_xlfn.XLOOKUP($A1066,Games!$A$2:$A$18,Games!$H$2:$H$18,"Missing game",0)</x:f>
        <x:v>10</x:v>
      </x:c>
      <x:c r="AN1066" t="str">
        <x:f>_xlfn.XLOOKUP($A1066,Games!$A$2:$A$18,Games!$I$2:$I$18,"Missing game",0)</x:f>
        <x:v>LAC</x:v>
      </x:c>
      <x:c r="AO1066" t="n">
        <x:f>_xlfn.XLOOKUP($A1066,Games!$A$2:$A$18,Games!$J$2:$J$18,"Missing game",0)</x:f>
        <x:v>37</x:v>
      </x:c>
      <x:c r="AP1066" t="n">
        <x:f>_xlfn.XLOOKUP($A1066,Games!$A$2:$A$18,Games!$K$2:$K$18,"Missing game",0)</x:f>
        <x:v>27</x:v>
      </x:c>
      <x:c r="AQ1066" t="n">
        <x:f>_xlfn.XLOOKUP($A1066,Games!$A$2:$A$18,Games!$L$2:$L$18,"Missing game",0)</x:f>
        <x:v>47</x:v>
      </x:c>
      <x:c r="AR1066" t="n">
        <x:f>_xlfn.XLOOKUP($A1066,Games!$A$2:$A$18,Games!$M$2:$M$18,"Missing game",0)</x:f>
        <x:v>0</x:v>
      </x:c>
      <x:c r="AS1066" t="str">
        <x:f>_xlfn.XLOOKUP($A1066,Games!$A$2:$A$18,Games!$N$2:$N$18,"Missing game",0)</x:f>
        <x:v>dome</x:v>
      </x:c>
      <x:c r="AT1066" t="str">
        <x:f>_xlfn.XLOOKUP($A1066,Games!$A$2:$A$18,Games!$O$2:$O$18,"Missing game",0)</x:f>
        <x:v>matrixturf</x:v>
      </x:c>
      <x:c r="AU1066" t="str">
        <x:f>_xlfn.XLOOKUP($A1066,Games!$A$2:$A$18,Games!$P$2:$P$18,"Missing game",0)</x:f>
      </x:c>
      <x:c r="AV1066" t="str">
        <x:f>_xlfn.XLOOKUP($A1066,Games!$A$2:$A$18,Games!$Q$2:$Q$18,"Missing game",0)</x:f>
      </x:c>
      <x:c r="AW1066" t="str">
        <x:f>_xlfn.XLOOKUP($A1066,Games!$A$2:$A$18,Games!$R$2:$R$18,"Missing game",0)</x:f>
        <x:v>SoFi Stadium</x:v>
      </x:c>
    </x:row>
    <x:row r="1067">
      <x:c r="A1067" t="str">
        <x:v>2025_08_MIN_LAC</x:v>
      </x:c>
      <x:c r="B1067" t="n">
        <x:v>1328</x:v>
      </x:c>
      <x:c r="C1067" t="n">
        <x:v>2</x:v>
      </x:c>
      <x:c r="D1067" t="str">
        <x:v>08:55</x:v>
      </x:c>
      <x:c r="E1067"/>
      <x:c r="F1067" t="n">
        <x:v>0</x:v>
      </x:c>
      <x:c r="G1067" t="str">
        <x:v>LAC</x:v>
      </x:c>
      <x:c r="H1067" t="str">
        <x:v>MIN</x:v>
      </x:c>
      <x:c r="I1067" t="str">
        <x:v>MIN</x:v>
      </x:c>
      <x:c r="J1067" t="n">
        <x:v>35</x:v>
      </x:c>
      <x:c r="K1067" t="str">
        <x:v>16-W.Reichard kicks 64 yards from MIN 35 to LAC 1. 12-D.Davis to LAC 25 for 24 yards (98-B.Richter).</x:v>
      </x:c>
      <x:c r="L1067" t="str">
        <x:v>kickoff</x:v>
      </x:c>
      <x:c r="M1067" t="n">
        <x:v>0</x:v>
      </x:c>
      <x:c r="N1067" t="n">
        <x:v>0</x:v>
      </x:c>
      <x:c r="O1067" t="n">
        <x:v>0</x:v>
      </x:c>
      <x:c r="P1067"/>
      <x:c r="Q1067"/>
      <x:c r="R1067"/>
      <x:c r="S1067"/>
      <x:c r="T1067"/>
      <x:c r="U1067"/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/>
      <x:c r="AC1067" t="n">
        <x:v>0</x:v>
      </x:c>
      <x:c r="AD1067" t="n">
        <x:v>-0.01910382555797696</x:v>
      </x:c>
      <x:c r="AE1067" t="n">
        <x:v>0</x:v>
      </x:c>
      <x:c r="AF1067" t="n">
        <x:v>0</x:v>
      </x:c>
      <x:c r="AG1067" t="n">
        <x:f>_xlfn.XLOOKUP($A1067,Games!$A$2:$A$18,Games!$B$2:$B$18,"Missing game",0)</x:f>
        <x:v>2025</x:v>
      </x:c>
      <x:c r="AH1067" t="str">
        <x:f>_xlfn.XLOOKUP($A1067,Games!$A$2:$A$18,Games!$C$2:$C$18,"Missing game",0)</x:f>
        <x:v>REG</x:v>
      </x:c>
      <x:c r="AI1067" t="n">
        <x:f>_xlfn.XLOOKUP($A1067,Games!$A$2:$A$18,Games!$D$2:$D$18,"Missing game",0)</x:f>
        <x:v>8</x:v>
      </x:c>
      <x:c r="AJ1067" s="1" t="n">
        <x:f>_xlfn.XLOOKUP($A1067,Games!$A$2:$A$18,Games!$E$2:$E$18,"Missing game",0)</x:f>
        <x:v>45953</x:v>
      </x:c>
      <x:c r="AK1067" t="str">
        <x:f>_xlfn.XLOOKUP($A1067,Games!$A$2:$A$18,Games!$F$2:$F$18,"Missing game",0)</x:f>
        <x:v>Thursday</x:v>
      </x:c>
      <x:c r="AL1067" t="str">
        <x:f>_xlfn.XLOOKUP($A1067,Games!$A$2:$A$18,Games!$G$2:$G$18,"Missing game",0)</x:f>
        <x:v>MIN</x:v>
      </x:c>
      <x:c r="AM1067" t="n">
        <x:f>_xlfn.XLOOKUP($A1067,Games!$A$2:$A$18,Games!$H$2:$H$18,"Missing game",0)</x:f>
        <x:v>10</x:v>
      </x:c>
      <x:c r="AN1067" t="str">
        <x:f>_xlfn.XLOOKUP($A1067,Games!$A$2:$A$18,Games!$I$2:$I$18,"Missing game",0)</x:f>
        <x:v>LAC</x:v>
      </x:c>
      <x:c r="AO1067" t="n">
        <x:f>_xlfn.XLOOKUP($A1067,Games!$A$2:$A$18,Games!$J$2:$J$18,"Missing game",0)</x:f>
        <x:v>37</x:v>
      </x:c>
      <x:c r="AP1067" t="n">
        <x:f>_xlfn.XLOOKUP($A1067,Games!$A$2:$A$18,Games!$K$2:$K$18,"Missing game",0)</x:f>
        <x:v>27</x:v>
      </x:c>
      <x:c r="AQ1067" t="n">
        <x:f>_xlfn.XLOOKUP($A1067,Games!$A$2:$A$18,Games!$L$2:$L$18,"Missing game",0)</x:f>
        <x:v>47</x:v>
      </x:c>
      <x:c r="AR1067" t="n">
        <x:f>_xlfn.XLOOKUP($A1067,Games!$A$2:$A$18,Games!$M$2:$M$18,"Missing game",0)</x:f>
        <x:v>0</x:v>
      </x:c>
      <x:c r="AS1067" t="str">
        <x:f>_xlfn.XLOOKUP($A1067,Games!$A$2:$A$18,Games!$N$2:$N$18,"Missing game",0)</x:f>
        <x:v>dome</x:v>
      </x:c>
      <x:c r="AT1067" t="str">
        <x:f>_xlfn.XLOOKUP($A1067,Games!$A$2:$A$18,Games!$O$2:$O$18,"Missing game",0)</x:f>
        <x:v>matrixturf</x:v>
      </x:c>
      <x:c r="AU1067" t="str">
        <x:f>_xlfn.XLOOKUP($A1067,Games!$A$2:$A$18,Games!$P$2:$P$18,"Missing game",0)</x:f>
      </x:c>
      <x:c r="AV1067" t="str">
        <x:f>_xlfn.XLOOKUP($A1067,Games!$A$2:$A$18,Games!$Q$2:$Q$18,"Missing game",0)</x:f>
      </x:c>
      <x:c r="AW1067" t="str">
        <x:f>_xlfn.XLOOKUP($A1067,Games!$A$2:$A$18,Games!$R$2:$R$18,"Missing game",0)</x:f>
        <x:v>SoFi Stadium</x:v>
      </x:c>
    </x:row>
    <x:row r="1068">
      <x:c r="A1068" t="str">
        <x:v>2025_08_MIN_LAC</x:v>
      </x:c>
      <x:c r="B1068" t="n">
        <x:v>1358</x:v>
      </x:c>
      <x:c r="C1068" t="n">
        <x:v>2</x:v>
      </x:c>
      <x:c r="D1068" t="str">
        <x:v>08:50</x:v>
      </x:c>
      <x:c r="E1068" t="n">
        <x:v>1</x:v>
      </x:c>
      <x:c r="F1068" t="n">
        <x:v>10</x:v>
      </x:c>
      <x:c r="G1068" t="str">
        <x:v>LAC</x:v>
      </x:c>
      <x:c r="H1068" t="str">
        <x:v>MIN</x:v>
      </x:c>
      <x:c r="I1068" t="str">
        <x:v>LAC</x:v>
      </x:c>
      <x:c r="J1068" t="n">
        <x:v>75</x:v>
      </x:c>
      <x:c r="K1068" t="str">
        <x:v>(8:50) 10-J.Herbert pass deep right to 86-O.Gadsden to MIN 35 for 40 yards (51-B.Cashman).</x:v>
      </x:c>
      <x:c r="L1068" t="str">
        <x:v>pass</x:v>
      </x:c>
      <x:c r="M1068" t="n">
        <x:v>40</x:v>
      </x:c>
      <x:c r="N1068" t="n">
        <x:v>0</x:v>
      </x:c>
      <x:c r="O1068" t="n">
        <x:v>0</x:v>
      </x:c>
      <x:c r="P1068" t="str">
        <x:v>deep</x:v>
      </x:c>
      <x:c r="Q1068" t="str">
        <x:v>right</x:v>
      </x:c>
      <x:c r="R1068" t="n">
        <x:v>25</x:v>
      </x:c>
      <x:c r="S1068" t="n">
        <x:v>15</x:v>
      </x:c>
      <x:c r="T1068"/>
      <x:c r="U1068"/>
      <x:c r="V1068" t="n">
        <x:v>1</x:v>
      </x:c>
      <x:c r="W1068" t="n">
        <x:v>1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/>
      <x:c r="AC1068" t="n">
        <x:v>0</x:v>
      </x:c>
      <x:c r="AD1068" t="n">
        <x:v>2.2420725726988167</x:v>
      </x:c>
      <x:c r="AE1068" t="n">
        <x:v>1</x:v>
      </x:c>
      <x:c r="AF1068" t="n">
        <x:v>0.024325311183929443</x:v>
      </x:c>
      <x:c r="AG1068" t="n">
        <x:f>_xlfn.XLOOKUP($A1068,Games!$A$2:$A$18,Games!$B$2:$B$18,"Missing game",0)</x:f>
        <x:v>2025</x:v>
      </x:c>
      <x:c r="AH1068" t="str">
        <x:f>_xlfn.XLOOKUP($A1068,Games!$A$2:$A$18,Games!$C$2:$C$18,"Missing game",0)</x:f>
        <x:v>REG</x:v>
      </x:c>
      <x:c r="AI1068" t="n">
        <x:f>_xlfn.XLOOKUP($A1068,Games!$A$2:$A$18,Games!$D$2:$D$18,"Missing game",0)</x:f>
        <x:v>8</x:v>
      </x:c>
      <x:c r="AJ1068" s="1" t="n">
        <x:f>_xlfn.XLOOKUP($A1068,Games!$A$2:$A$18,Games!$E$2:$E$18,"Missing game",0)</x:f>
        <x:v>45953</x:v>
      </x:c>
      <x:c r="AK1068" t="str">
        <x:f>_xlfn.XLOOKUP($A1068,Games!$A$2:$A$18,Games!$F$2:$F$18,"Missing game",0)</x:f>
        <x:v>Thursday</x:v>
      </x:c>
      <x:c r="AL1068" t="str">
        <x:f>_xlfn.XLOOKUP($A1068,Games!$A$2:$A$18,Games!$G$2:$G$18,"Missing game",0)</x:f>
        <x:v>MIN</x:v>
      </x:c>
      <x:c r="AM1068" t="n">
        <x:f>_xlfn.XLOOKUP($A1068,Games!$A$2:$A$18,Games!$H$2:$H$18,"Missing game",0)</x:f>
        <x:v>10</x:v>
      </x:c>
      <x:c r="AN1068" t="str">
        <x:f>_xlfn.XLOOKUP($A1068,Games!$A$2:$A$18,Games!$I$2:$I$18,"Missing game",0)</x:f>
        <x:v>LAC</x:v>
      </x:c>
      <x:c r="AO1068" t="n">
        <x:f>_xlfn.XLOOKUP($A1068,Games!$A$2:$A$18,Games!$J$2:$J$18,"Missing game",0)</x:f>
        <x:v>37</x:v>
      </x:c>
      <x:c r="AP1068" t="n">
        <x:f>_xlfn.XLOOKUP($A1068,Games!$A$2:$A$18,Games!$K$2:$K$18,"Missing game",0)</x:f>
        <x:v>27</x:v>
      </x:c>
      <x:c r="AQ1068" t="n">
        <x:f>_xlfn.XLOOKUP($A1068,Games!$A$2:$A$18,Games!$L$2:$L$18,"Missing game",0)</x:f>
        <x:v>47</x:v>
      </x:c>
      <x:c r="AR1068" t="n">
        <x:f>_xlfn.XLOOKUP($A1068,Games!$A$2:$A$18,Games!$M$2:$M$18,"Missing game",0)</x:f>
        <x:v>0</x:v>
      </x:c>
      <x:c r="AS1068" t="str">
        <x:f>_xlfn.XLOOKUP($A1068,Games!$A$2:$A$18,Games!$N$2:$N$18,"Missing game",0)</x:f>
        <x:v>dome</x:v>
      </x:c>
      <x:c r="AT1068" t="str">
        <x:f>_xlfn.XLOOKUP($A1068,Games!$A$2:$A$18,Games!$O$2:$O$18,"Missing game",0)</x:f>
        <x:v>matrixturf</x:v>
      </x:c>
      <x:c r="AU1068" t="str">
        <x:f>_xlfn.XLOOKUP($A1068,Games!$A$2:$A$18,Games!$P$2:$P$18,"Missing game",0)</x:f>
      </x:c>
      <x:c r="AV1068" t="str">
        <x:f>_xlfn.XLOOKUP($A1068,Games!$A$2:$A$18,Games!$Q$2:$Q$18,"Missing game",0)</x:f>
      </x:c>
      <x:c r="AW1068" t="str">
        <x:f>_xlfn.XLOOKUP($A1068,Games!$A$2:$A$18,Games!$R$2:$R$18,"Missing game",0)</x:f>
        <x:v>SoFi Stadium</x:v>
      </x:c>
    </x:row>
    <x:row r="1069">
      <x:c r="A1069" t="str">
        <x:v>2025_08_MIN_LAC</x:v>
      </x:c>
      <x:c r="B1069" t="n">
        <x:v>1383</x:v>
      </x:c>
      <x:c r="C1069" t="n">
        <x:v>2</x:v>
      </x:c>
      <x:c r="D1069" t="str">
        <x:v>08:07</x:v>
      </x:c>
      <x:c r="E1069" t="n">
        <x:v>1</x:v>
      </x:c>
      <x:c r="F1069" t="n">
        <x:v>10</x:v>
      </x:c>
      <x:c r="G1069" t="str">
        <x:v>LAC</x:v>
      </x:c>
      <x:c r="H1069" t="str">
        <x:v>MIN</x:v>
      </x:c>
      <x:c r="I1069" t="str">
        <x:v>MIN</x:v>
      </x:c>
      <x:c r="J1069" t="n">
        <x:v>35</x:v>
      </x:c>
      <x:c r="K1069" t="str">
        <x:v>(8:07) 30-K.Vidal up the middle to MIN 36 for -1 yards (51-B.Cashman).</x:v>
      </x:c>
      <x:c r="L1069" t="str">
        <x:v>run</x:v>
      </x:c>
      <x:c r="M1069" t="n">
        <x:v>-1</x:v>
      </x:c>
      <x:c r="N1069" t="n">
        <x:v>0</x:v>
      </x:c>
      <x:c r="O1069" t="n">
        <x:v>0</x:v>
      </x:c>
      <x:c r="P1069"/>
      <x:c r="Q1069"/>
      <x:c r="R1069"/>
      <x:c r="S1069"/>
      <x:c r="T1069" t="str">
        <x:v>middle</x:v>
      </x:c>
      <x:c r="U1069"/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/>
      <x:c r="AC1069" t="n">
        <x:v>0</x:v>
      </x:c>
      <x:c r="AD1069" t="n">
        <x:v>-0.8366498297546059</x:v>
      </x:c>
      <x:c r="AE1069" t="n">
        <x:v>0</x:v>
      </x:c>
      <x:c r="AF1069" t="n">
        <x:v>-0.007661879062652588</x:v>
      </x:c>
      <x:c r="AG1069" t="n">
        <x:f>_xlfn.XLOOKUP($A1069,Games!$A$2:$A$18,Games!$B$2:$B$18,"Missing game",0)</x:f>
        <x:v>2025</x:v>
      </x:c>
      <x:c r="AH1069" t="str">
        <x:f>_xlfn.XLOOKUP($A1069,Games!$A$2:$A$18,Games!$C$2:$C$18,"Missing game",0)</x:f>
        <x:v>REG</x:v>
      </x:c>
      <x:c r="AI1069" t="n">
        <x:f>_xlfn.XLOOKUP($A1069,Games!$A$2:$A$18,Games!$D$2:$D$18,"Missing game",0)</x:f>
        <x:v>8</x:v>
      </x:c>
      <x:c r="AJ1069" s="1" t="n">
        <x:f>_xlfn.XLOOKUP($A1069,Games!$A$2:$A$18,Games!$E$2:$E$18,"Missing game",0)</x:f>
        <x:v>45953</x:v>
      </x:c>
      <x:c r="AK1069" t="str">
        <x:f>_xlfn.XLOOKUP($A1069,Games!$A$2:$A$18,Games!$F$2:$F$18,"Missing game",0)</x:f>
        <x:v>Thursday</x:v>
      </x:c>
      <x:c r="AL1069" t="str">
        <x:f>_xlfn.XLOOKUP($A1069,Games!$A$2:$A$18,Games!$G$2:$G$18,"Missing game",0)</x:f>
        <x:v>MIN</x:v>
      </x:c>
      <x:c r="AM1069" t="n">
        <x:f>_xlfn.XLOOKUP($A1069,Games!$A$2:$A$18,Games!$H$2:$H$18,"Missing game",0)</x:f>
        <x:v>10</x:v>
      </x:c>
      <x:c r="AN1069" t="str">
        <x:f>_xlfn.XLOOKUP($A1069,Games!$A$2:$A$18,Games!$I$2:$I$18,"Missing game",0)</x:f>
        <x:v>LAC</x:v>
      </x:c>
      <x:c r="AO1069" t="n">
        <x:f>_xlfn.XLOOKUP($A1069,Games!$A$2:$A$18,Games!$J$2:$J$18,"Missing game",0)</x:f>
        <x:v>37</x:v>
      </x:c>
      <x:c r="AP1069" t="n">
        <x:f>_xlfn.XLOOKUP($A1069,Games!$A$2:$A$18,Games!$K$2:$K$18,"Missing game",0)</x:f>
        <x:v>27</x:v>
      </x:c>
      <x:c r="AQ1069" t="n">
        <x:f>_xlfn.XLOOKUP($A1069,Games!$A$2:$A$18,Games!$L$2:$L$18,"Missing game",0)</x:f>
        <x:v>47</x:v>
      </x:c>
      <x:c r="AR1069" t="n">
        <x:f>_xlfn.XLOOKUP($A1069,Games!$A$2:$A$18,Games!$M$2:$M$18,"Missing game",0)</x:f>
        <x:v>0</x:v>
      </x:c>
      <x:c r="AS1069" t="str">
        <x:f>_xlfn.XLOOKUP($A1069,Games!$A$2:$A$18,Games!$N$2:$N$18,"Missing game",0)</x:f>
        <x:v>dome</x:v>
      </x:c>
      <x:c r="AT1069" t="str">
        <x:f>_xlfn.XLOOKUP($A1069,Games!$A$2:$A$18,Games!$O$2:$O$18,"Missing game",0)</x:f>
        <x:v>matrixturf</x:v>
      </x:c>
      <x:c r="AU1069" t="str">
        <x:f>_xlfn.XLOOKUP($A1069,Games!$A$2:$A$18,Games!$P$2:$P$18,"Missing game",0)</x:f>
      </x:c>
      <x:c r="AV1069" t="str">
        <x:f>_xlfn.XLOOKUP($A1069,Games!$A$2:$A$18,Games!$Q$2:$Q$18,"Missing game",0)</x:f>
      </x:c>
      <x:c r="AW1069" t="str">
        <x:f>_xlfn.XLOOKUP($A1069,Games!$A$2:$A$18,Games!$R$2:$R$18,"Missing game",0)</x:f>
        <x:v>SoFi Stadium</x:v>
      </x:c>
    </x:row>
    <x:row r="1070">
      <x:c r="A1070" t="str">
        <x:v>2025_08_MIN_LAC</x:v>
      </x:c>
      <x:c r="B1070" t="n">
        <x:v>1405</x:v>
      </x:c>
      <x:c r="C1070" t="n">
        <x:v>2</x:v>
      </x:c>
      <x:c r="D1070" t="str">
        <x:v>07:25</x:v>
      </x:c>
      <x:c r="E1070" t="n">
        <x:v>2</x:v>
      </x:c>
      <x:c r="F1070" t="n">
        <x:v>11</x:v>
      </x:c>
      <x:c r="G1070" t="str">
        <x:v>LAC</x:v>
      </x:c>
      <x:c r="H1070" t="str">
        <x:v>MIN</x:v>
      </x:c>
      <x:c r="I1070" t="str">
        <x:v>MIN</x:v>
      </x:c>
      <x:c r="J1070" t="n">
        <x:v>36</x:v>
      </x:c>
      <x:c r="K1070" t="str">
        <x:v>(7:25) (Shotgun) 10-J.Herbert pass short right to 13-K.Allen to MIN 24 for 12 yards (7-B.Murphy). Penalty on MIN-15-D.Turner, Defensive Offside, declined.</x:v>
      </x:c>
      <x:c r="L1070" t="str">
        <x:v>pass</x:v>
      </x:c>
      <x:c r="M1070" t="n">
        <x:v>12</x:v>
      </x:c>
      <x:c r="N1070" t="n">
        <x:v>1</x:v>
      </x:c>
      <x:c r="O1070" t="n">
        <x:v>0</x:v>
      </x:c>
      <x:c r="P1070" t="str">
        <x:v>short</x:v>
      </x:c>
      <x:c r="Q1070" t="str">
        <x:v>right</x:v>
      </x:c>
      <x:c r="R1070" t="n">
        <x:v>9</x:v>
      </x:c>
      <x:c r="S1070" t="n">
        <x:v>3</x:v>
      </x:c>
      <x:c r="T1070"/>
      <x:c r="U1070"/>
      <x:c r="V1070" t="n">
        <x:v>1</x:v>
      </x:c>
      <x:c r="W1070" t="n">
        <x:v>1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/>
      <x:c r="AC1070" t="n">
        <x:v>0</x:v>
      </x:c>
      <x:c r="AD1070" t="n">
        <x:v>1.6250668421853334</x:v>
      </x:c>
      <x:c r="AE1070" t="n">
        <x:v>1</x:v>
      </x:c>
      <x:c r="AF1070" t="n">
        <x:v>0.018065571784973145</x:v>
      </x:c>
      <x:c r="AG1070" t="n">
        <x:f>_xlfn.XLOOKUP($A1070,Games!$A$2:$A$18,Games!$B$2:$B$18,"Missing game",0)</x:f>
        <x:v>2025</x:v>
      </x:c>
      <x:c r="AH1070" t="str">
        <x:f>_xlfn.XLOOKUP($A1070,Games!$A$2:$A$18,Games!$C$2:$C$18,"Missing game",0)</x:f>
        <x:v>REG</x:v>
      </x:c>
      <x:c r="AI1070" t="n">
        <x:f>_xlfn.XLOOKUP($A1070,Games!$A$2:$A$18,Games!$D$2:$D$18,"Missing game",0)</x:f>
        <x:v>8</x:v>
      </x:c>
      <x:c r="AJ1070" s="1" t="n">
        <x:f>_xlfn.XLOOKUP($A1070,Games!$A$2:$A$18,Games!$E$2:$E$18,"Missing game",0)</x:f>
        <x:v>45953</x:v>
      </x:c>
      <x:c r="AK1070" t="str">
        <x:f>_xlfn.XLOOKUP($A1070,Games!$A$2:$A$18,Games!$F$2:$F$18,"Missing game",0)</x:f>
        <x:v>Thursday</x:v>
      </x:c>
      <x:c r="AL1070" t="str">
        <x:f>_xlfn.XLOOKUP($A1070,Games!$A$2:$A$18,Games!$G$2:$G$18,"Missing game",0)</x:f>
        <x:v>MIN</x:v>
      </x:c>
      <x:c r="AM1070" t="n">
        <x:f>_xlfn.XLOOKUP($A1070,Games!$A$2:$A$18,Games!$H$2:$H$18,"Missing game",0)</x:f>
        <x:v>10</x:v>
      </x:c>
      <x:c r="AN1070" t="str">
        <x:f>_xlfn.XLOOKUP($A1070,Games!$A$2:$A$18,Games!$I$2:$I$18,"Missing game",0)</x:f>
        <x:v>LAC</x:v>
      </x:c>
      <x:c r="AO1070" t="n">
        <x:f>_xlfn.XLOOKUP($A1070,Games!$A$2:$A$18,Games!$J$2:$J$18,"Missing game",0)</x:f>
        <x:v>37</x:v>
      </x:c>
      <x:c r="AP1070" t="n">
        <x:f>_xlfn.XLOOKUP($A1070,Games!$A$2:$A$18,Games!$K$2:$K$18,"Missing game",0)</x:f>
        <x:v>27</x:v>
      </x:c>
      <x:c r="AQ1070" t="n">
        <x:f>_xlfn.XLOOKUP($A1070,Games!$A$2:$A$18,Games!$L$2:$L$18,"Missing game",0)</x:f>
        <x:v>47</x:v>
      </x:c>
      <x:c r="AR1070" t="n">
        <x:f>_xlfn.XLOOKUP($A1070,Games!$A$2:$A$18,Games!$M$2:$M$18,"Missing game",0)</x:f>
        <x:v>0</x:v>
      </x:c>
      <x:c r="AS1070" t="str">
        <x:f>_xlfn.XLOOKUP($A1070,Games!$A$2:$A$18,Games!$N$2:$N$18,"Missing game",0)</x:f>
        <x:v>dome</x:v>
      </x:c>
      <x:c r="AT1070" t="str">
        <x:f>_xlfn.XLOOKUP($A1070,Games!$A$2:$A$18,Games!$O$2:$O$18,"Missing game",0)</x:f>
        <x:v>matrixturf</x:v>
      </x:c>
      <x:c r="AU1070" t="str">
        <x:f>_xlfn.XLOOKUP($A1070,Games!$A$2:$A$18,Games!$P$2:$P$18,"Missing game",0)</x:f>
      </x:c>
      <x:c r="AV1070" t="str">
        <x:f>_xlfn.XLOOKUP($A1070,Games!$A$2:$A$18,Games!$Q$2:$Q$18,"Missing game",0)</x:f>
      </x:c>
      <x:c r="AW1070" t="str">
        <x:f>_xlfn.XLOOKUP($A1070,Games!$A$2:$A$18,Games!$R$2:$R$18,"Missing game",0)</x:f>
        <x:v>SoFi Stadium</x:v>
      </x:c>
    </x:row>
    <x:row r="1071">
      <x:c r="A1071" t="str">
        <x:v>2025_08_MIN_LAC</x:v>
      </x:c>
      <x:c r="B1071" t="n">
        <x:v>1441</x:v>
      </x:c>
      <x:c r="C1071" t="n">
        <x:v>2</x:v>
      </x:c>
      <x:c r="D1071" t="str">
        <x:v>07:01</x:v>
      </x:c>
      <x:c r="E1071" t="n">
        <x:v>1</x:v>
      </x:c>
      <x:c r="F1071" t="n">
        <x:v>10</x:v>
      </x:c>
      <x:c r="G1071" t="str">
        <x:v>LAC</x:v>
      </x:c>
      <x:c r="H1071" t="str">
        <x:v>MIN</x:v>
      </x:c>
      <x:c r="I1071" t="str">
        <x:v>MIN</x:v>
      </x:c>
      <x:c r="J1071" t="n">
        <x:v>24</x:v>
      </x:c>
      <x:c r="K1071" t="str">
        <x:v>(7:01) 10-J.Herbert sacked at MIN 31 for -7 yards (58-J.Greenard).</x:v>
      </x:c>
      <x:c r="L1071" t="str">
        <x:v>pass</x:v>
      </x:c>
      <x:c r="M1071" t="n">
        <x:v>-7</x:v>
      </x:c>
      <x:c r="N1071" t="n">
        <x:v>0</x:v>
      </x:c>
      <x:c r="O1071" t="n">
        <x:v>0</x:v>
      </x:c>
      <x:c r="P1071"/>
      <x:c r="Q1071"/>
      <x:c r="R1071"/>
      <x:c r="S1071"/>
      <x:c r="T1071"/>
      <x:c r="U1071"/>
      <x:c r="V1071" t="n">
        <x:v>0</x:v>
      </x:c>
      <x:c r="W1071" t="n">
        <x:v>0</x:v>
      </x:c>
      <x:c r="X1071" t="n">
        <x:v>1</x:v>
      </x:c>
      <x:c r="Y1071" t="n">
        <x:v>0</x:v>
      </x:c>
      <x:c r="Z1071" t="n">
        <x:v>0</x:v>
      </x:c>
      <x:c r="AA1071" t="n">
        <x:v>0</x:v>
      </x:c>
      <x:c r="AB1071"/>
      <x:c r="AC1071" t="n">
        <x:v>0</x:v>
      </x:c>
      <x:c r="AD1071" t="n">
        <x:v>-1.5393485218519345</x:v>
      </x:c>
      <x:c r="AE1071" t="n">
        <x:v>0</x:v>
      </x:c>
      <x:c r="AF1071" t="n">
        <x:v>-0.01386028528213501</x:v>
      </x:c>
      <x:c r="AG1071" t="n">
        <x:f>_xlfn.XLOOKUP($A1071,Games!$A$2:$A$18,Games!$B$2:$B$18,"Missing game",0)</x:f>
        <x:v>2025</x:v>
      </x:c>
      <x:c r="AH1071" t="str">
        <x:f>_xlfn.XLOOKUP($A1071,Games!$A$2:$A$18,Games!$C$2:$C$18,"Missing game",0)</x:f>
        <x:v>REG</x:v>
      </x:c>
      <x:c r="AI1071" t="n">
        <x:f>_xlfn.XLOOKUP($A1071,Games!$A$2:$A$18,Games!$D$2:$D$18,"Missing game",0)</x:f>
        <x:v>8</x:v>
      </x:c>
      <x:c r="AJ1071" s="1" t="n">
        <x:f>_xlfn.XLOOKUP($A1071,Games!$A$2:$A$18,Games!$E$2:$E$18,"Missing game",0)</x:f>
        <x:v>45953</x:v>
      </x:c>
      <x:c r="AK1071" t="str">
        <x:f>_xlfn.XLOOKUP($A1071,Games!$A$2:$A$18,Games!$F$2:$F$18,"Missing game",0)</x:f>
        <x:v>Thursday</x:v>
      </x:c>
      <x:c r="AL1071" t="str">
        <x:f>_xlfn.XLOOKUP($A1071,Games!$A$2:$A$18,Games!$G$2:$G$18,"Missing game",0)</x:f>
        <x:v>MIN</x:v>
      </x:c>
      <x:c r="AM1071" t="n">
        <x:f>_xlfn.XLOOKUP($A1071,Games!$A$2:$A$18,Games!$H$2:$H$18,"Missing game",0)</x:f>
        <x:v>10</x:v>
      </x:c>
      <x:c r="AN1071" t="str">
        <x:f>_xlfn.XLOOKUP($A1071,Games!$A$2:$A$18,Games!$I$2:$I$18,"Missing game",0)</x:f>
        <x:v>LAC</x:v>
      </x:c>
      <x:c r="AO1071" t="n">
        <x:f>_xlfn.XLOOKUP($A1071,Games!$A$2:$A$18,Games!$J$2:$J$18,"Missing game",0)</x:f>
        <x:v>37</x:v>
      </x:c>
      <x:c r="AP1071" t="n">
        <x:f>_xlfn.XLOOKUP($A1071,Games!$A$2:$A$18,Games!$K$2:$K$18,"Missing game",0)</x:f>
        <x:v>27</x:v>
      </x:c>
      <x:c r="AQ1071" t="n">
        <x:f>_xlfn.XLOOKUP($A1071,Games!$A$2:$A$18,Games!$L$2:$L$18,"Missing game",0)</x:f>
        <x:v>47</x:v>
      </x:c>
      <x:c r="AR1071" t="n">
        <x:f>_xlfn.XLOOKUP($A1071,Games!$A$2:$A$18,Games!$M$2:$M$18,"Missing game",0)</x:f>
        <x:v>0</x:v>
      </x:c>
      <x:c r="AS1071" t="str">
        <x:f>_xlfn.XLOOKUP($A1071,Games!$A$2:$A$18,Games!$N$2:$N$18,"Missing game",0)</x:f>
        <x:v>dome</x:v>
      </x:c>
      <x:c r="AT1071" t="str">
        <x:f>_xlfn.XLOOKUP($A1071,Games!$A$2:$A$18,Games!$O$2:$O$18,"Missing game",0)</x:f>
        <x:v>matrixturf</x:v>
      </x:c>
      <x:c r="AU1071" t="str">
        <x:f>_xlfn.XLOOKUP($A1071,Games!$A$2:$A$18,Games!$P$2:$P$18,"Missing game",0)</x:f>
      </x:c>
      <x:c r="AV1071" t="str">
        <x:f>_xlfn.XLOOKUP($A1071,Games!$A$2:$A$18,Games!$Q$2:$Q$18,"Missing game",0)</x:f>
      </x:c>
      <x:c r="AW1071" t="str">
        <x:f>_xlfn.XLOOKUP($A1071,Games!$A$2:$A$18,Games!$R$2:$R$18,"Missing game",0)</x:f>
        <x:v>SoFi Stadium</x:v>
      </x:c>
    </x:row>
    <x:row r="1072">
      <x:c r="A1072" t="str">
        <x:v>2025_08_MIN_LAC</x:v>
      </x:c>
      <x:c r="B1072" t="n">
        <x:v>1468</x:v>
      </x:c>
      <x:c r="C1072" t="n">
        <x:v>2</x:v>
      </x:c>
      <x:c r="D1072" t="str">
        <x:v>06:17</x:v>
      </x:c>
      <x:c r="E1072" t="n">
        <x:v>2</x:v>
      </x:c>
      <x:c r="F1072" t="n">
        <x:v>17</x:v>
      </x:c>
      <x:c r="G1072" t="str">
        <x:v>LAC</x:v>
      </x:c>
      <x:c r="H1072" t="str">
        <x:v>MIN</x:v>
      </x:c>
      <x:c r="I1072" t="str">
        <x:v>MIN</x:v>
      </x:c>
      <x:c r="J1072" t="n">
        <x:v>31</x:v>
      </x:c>
      <x:c r="K1072" t="str">
        <x:v>(6:17) (Shotgun) 10-J.Herbert pass incomplete short left.</x:v>
      </x:c>
      <x:c r="L1072" t="str">
        <x:v>pass</x:v>
      </x:c>
      <x:c r="M1072" t="n">
        <x:v>0</x:v>
      </x:c>
      <x:c r="N1072" t="n">
        <x:v>1</x:v>
      </x:c>
      <x:c r="O1072" t="n">
        <x:v>0</x:v>
      </x:c>
      <x:c r="P1072" t="str">
        <x:v>short</x:v>
      </x:c>
      <x:c r="Q1072" t="str">
        <x:v>left</x:v>
      </x:c>
      <x:c r="R1072" t="n">
        <x:v>-5</x:v>
      </x:c>
      <x:c r="S1072"/>
      <x:c r="T1072"/>
      <x:c r="U1072"/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/>
      <x:c r="AC1072" t="n">
        <x:v>0</x:v>
      </x:c>
      <x:c r="AD1072" t="n">
        <x:v>-0.6124214172596112</x:v>
      </x:c>
      <x:c r="AE1072" t="n">
        <x:v>0</x:v>
      </x:c>
      <x:c r="AF1072" t="n">
        <x:v>-0.011658668518066406</x:v>
      </x:c>
      <x:c r="AG1072" t="n">
        <x:f>_xlfn.XLOOKUP($A1072,Games!$A$2:$A$18,Games!$B$2:$B$18,"Missing game",0)</x:f>
        <x:v>2025</x:v>
      </x:c>
      <x:c r="AH1072" t="str">
        <x:f>_xlfn.XLOOKUP($A1072,Games!$A$2:$A$18,Games!$C$2:$C$18,"Missing game",0)</x:f>
        <x:v>REG</x:v>
      </x:c>
      <x:c r="AI1072" t="n">
        <x:f>_xlfn.XLOOKUP($A1072,Games!$A$2:$A$18,Games!$D$2:$D$18,"Missing game",0)</x:f>
        <x:v>8</x:v>
      </x:c>
      <x:c r="AJ1072" s="1" t="n">
        <x:f>_xlfn.XLOOKUP($A1072,Games!$A$2:$A$18,Games!$E$2:$E$18,"Missing game",0)</x:f>
        <x:v>45953</x:v>
      </x:c>
      <x:c r="AK1072" t="str">
        <x:f>_xlfn.XLOOKUP($A1072,Games!$A$2:$A$18,Games!$F$2:$F$18,"Missing game",0)</x:f>
        <x:v>Thursday</x:v>
      </x:c>
      <x:c r="AL1072" t="str">
        <x:f>_xlfn.XLOOKUP($A1072,Games!$A$2:$A$18,Games!$G$2:$G$18,"Missing game",0)</x:f>
        <x:v>MIN</x:v>
      </x:c>
      <x:c r="AM1072" t="n">
        <x:f>_xlfn.XLOOKUP($A1072,Games!$A$2:$A$18,Games!$H$2:$H$18,"Missing game",0)</x:f>
        <x:v>10</x:v>
      </x:c>
      <x:c r="AN1072" t="str">
        <x:f>_xlfn.XLOOKUP($A1072,Games!$A$2:$A$18,Games!$I$2:$I$18,"Missing game",0)</x:f>
        <x:v>LAC</x:v>
      </x:c>
      <x:c r="AO1072" t="n">
        <x:f>_xlfn.XLOOKUP($A1072,Games!$A$2:$A$18,Games!$J$2:$J$18,"Missing game",0)</x:f>
        <x:v>37</x:v>
      </x:c>
      <x:c r="AP1072" t="n">
        <x:f>_xlfn.XLOOKUP($A1072,Games!$A$2:$A$18,Games!$K$2:$K$18,"Missing game",0)</x:f>
        <x:v>27</x:v>
      </x:c>
      <x:c r="AQ1072" t="n">
        <x:f>_xlfn.XLOOKUP($A1072,Games!$A$2:$A$18,Games!$L$2:$L$18,"Missing game",0)</x:f>
        <x:v>47</x:v>
      </x:c>
      <x:c r="AR1072" t="n">
        <x:f>_xlfn.XLOOKUP($A1072,Games!$A$2:$A$18,Games!$M$2:$M$18,"Missing game",0)</x:f>
        <x:v>0</x:v>
      </x:c>
      <x:c r="AS1072" t="str">
        <x:f>_xlfn.XLOOKUP($A1072,Games!$A$2:$A$18,Games!$N$2:$N$18,"Missing game",0)</x:f>
        <x:v>dome</x:v>
      </x:c>
      <x:c r="AT1072" t="str">
        <x:f>_xlfn.XLOOKUP($A1072,Games!$A$2:$A$18,Games!$O$2:$O$18,"Missing game",0)</x:f>
        <x:v>matrixturf</x:v>
      </x:c>
      <x:c r="AU1072" t="str">
        <x:f>_xlfn.XLOOKUP($A1072,Games!$A$2:$A$18,Games!$P$2:$P$18,"Missing game",0)</x:f>
      </x:c>
      <x:c r="AV1072" t="str">
        <x:f>_xlfn.XLOOKUP($A1072,Games!$A$2:$A$18,Games!$Q$2:$Q$18,"Missing game",0)</x:f>
      </x:c>
      <x:c r="AW1072" t="str">
        <x:f>_xlfn.XLOOKUP($A1072,Games!$A$2:$A$18,Games!$R$2:$R$18,"Missing game",0)</x:f>
        <x:v>SoFi Stadium</x:v>
      </x:c>
    </x:row>
    <x:row r="1073">
      <x:c r="A1073" t="str">
        <x:v>2025_08_MIN_LAC</x:v>
      </x:c>
      <x:c r="B1073" t="n">
        <x:v>1491</x:v>
      </x:c>
      <x:c r="C1073" t="n">
        <x:v>2</x:v>
      </x:c>
      <x:c r="D1073" t="str">
        <x:v>06:14</x:v>
      </x:c>
      <x:c r="E1073" t="n">
        <x:v>3</x:v>
      </x:c>
      <x:c r="F1073" t="n">
        <x:v>17</x:v>
      </x:c>
      <x:c r="G1073" t="str">
        <x:v>LAC</x:v>
      </x:c>
      <x:c r="H1073" t="str">
        <x:v>MIN</x:v>
      </x:c>
      <x:c r="I1073" t="str">
        <x:v>MIN</x:v>
      </x:c>
      <x:c r="J1073" t="n">
        <x:v>31</x:v>
      </x:c>
      <x:c r="K1073" t="str">
        <x:v>(6:14) (Shotgun) 10-J.Herbert pass incomplete short left to 15-L.McConkey [97-J.Hargrave].</x:v>
      </x:c>
      <x:c r="L1073" t="str">
        <x:v>pass</x:v>
      </x:c>
      <x:c r="M1073" t="n">
        <x:v>0</x:v>
      </x:c>
      <x:c r="N1073" t="n">
        <x:v>1</x:v>
      </x:c>
      <x:c r="O1073" t="n">
        <x:v>0</x:v>
      </x:c>
      <x:c r="P1073" t="str">
        <x:v>short</x:v>
      </x:c>
      <x:c r="Q1073" t="str">
        <x:v>left</x:v>
      </x:c>
      <x:c r="R1073" t="n">
        <x:v>15</x:v>
      </x:c>
      <x:c r="S1073"/>
      <x:c r="T1073"/>
      <x:c r="U1073"/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/>
      <x:c r="AC1073" t="n">
        <x:v>0</x:v>
      </x:c>
      <x:c r="AD1073" t="n">
        <x:v>-0.663805542493459</x:v>
      </x:c>
      <x:c r="AE1073" t="n">
        <x:v>0</x:v>
      </x:c>
      <x:c r="AF1073" t="n">
        <x:v>-0.013063490390777588</x:v>
      </x:c>
      <x:c r="AG1073" t="n">
        <x:f>_xlfn.XLOOKUP($A1073,Games!$A$2:$A$18,Games!$B$2:$B$18,"Missing game",0)</x:f>
        <x:v>2025</x:v>
      </x:c>
      <x:c r="AH1073" t="str">
        <x:f>_xlfn.XLOOKUP($A1073,Games!$A$2:$A$18,Games!$C$2:$C$18,"Missing game",0)</x:f>
        <x:v>REG</x:v>
      </x:c>
      <x:c r="AI1073" t="n">
        <x:f>_xlfn.XLOOKUP($A1073,Games!$A$2:$A$18,Games!$D$2:$D$18,"Missing game",0)</x:f>
        <x:v>8</x:v>
      </x:c>
      <x:c r="AJ1073" s="1" t="n">
        <x:f>_xlfn.XLOOKUP($A1073,Games!$A$2:$A$18,Games!$E$2:$E$18,"Missing game",0)</x:f>
        <x:v>45953</x:v>
      </x:c>
      <x:c r="AK1073" t="str">
        <x:f>_xlfn.XLOOKUP($A1073,Games!$A$2:$A$18,Games!$F$2:$F$18,"Missing game",0)</x:f>
        <x:v>Thursday</x:v>
      </x:c>
      <x:c r="AL1073" t="str">
        <x:f>_xlfn.XLOOKUP($A1073,Games!$A$2:$A$18,Games!$G$2:$G$18,"Missing game",0)</x:f>
        <x:v>MIN</x:v>
      </x:c>
      <x:c r="AM1073" t="n">
        <x:f>_xlfn.XLOOKUP($A1073,Games!$A$2:$A$18,Games!$H$2:$H$18,"Missing game",0)</x:f>
        <x:v>10</x:v>
      </x:c>
      <x:c r="AN1073" t="str">
        <x:f>_xlfn.XLOOKUP($A1073,Games!$A$2:$A$18,Games!$I$2:$I$18,"Missing game",0)</x:f>
        <x:v>LAC</x:v>
      </x:c>
      <x:c r="AO1073" t="n">
        <x:f>_xlfn.XLOOKUP($A1073,Games!$A$2:$A$18,Games!$J$2:$J$18,"Missing game",0)</x:f>
        <x:v>37</x:v>
      </x:c>
      <x:c r="AP1073" t="n">
        <x:f>_xlfn.XLOOKUP($A1073,Games!$A$2:$A$18,Games!$K$2:$K$18,"Missing game",0)</x:f>
        <x:v>27</x:v>
      </x:c>
      <x:c r="AQ1073" t="n">
        <x:f>_xlfn.XLOOKUP($A1073,Games!$A$2:$A$18,Games!$L$2:$L$18,"Missing game",0)</x:f>
        <x:v>47</x:v>
      </x:c>
      <x:c r="AR1073" t="n">
        <x:f>_xlfn.XLOOKUP($A1073,Games!$A$2:$A$18,Games!$M$2:$M$18,"Missing game",0)</x:f>
        <x:v>0</x:v>
      </x:c>
      <x:c r="AS1073" t="str">
        <x:f>_xlfn.XLOOKUP($A1073,Games!$A$2:$A$18,Games!$N$2:$N$18,"Missing game",0)</x:f>
        <x:v>dome</x:v>
      </x:c>
      <x:c r="AT1073" t="str">
        <x:f>_xlfn.XLOOKUP($A1073,Games!$A$2:$A$18,Games!$O$2:$O$18,"Missing game",0)</x:f>
        <x:v>matrixturf</x:v>
      </x:c>
      <x:c r="AU1073" t="str">
        <x:f>_xlfn.XLOOKUP($A1073,Games!$A$2:$A$18,Games!$P$2:$P$18,"Missing game",0)</x:f>
      </x:c>
      <x:c r="AV1073" t="str">
        <x:f>_xlfn.XLOOKUP($A1073,Games!$A$2:$A$18,Games!$Q$2:$Q$18,"Missing game",0)</x:f>
      </x:c>
      <x:c r="AW1073" t="str">
        <x:f>_xlfn.XLOOKUP($A1073,Games!$A$2:$A$18,Games!$R$2:$R$18,"Missing game",0)</x:f>
        <x:v>SoFi Stadium</x:v>
      </x:c>
    </x:row>
    <x:row r="1074">
      <x:c r="A1074" t="str">
        <x:v>2025_08_MIN_LAC</x:v>
      </x:c>
      <x:c r="B1074" t="n">
        <x:v>1514</x:v>
      </x:c>
      <x:c r="C1074" t="n">
        <x:v>2</x:v>
      </x:c>
      <x:c r="D1074" t="str">
        <x:v>06:10</x:v>
      </x:c>
      <x:c r="E1074" t="n">
        <x:v>4</x:v>
      </x:c>
      <x:c r="F1074" t="n">
        <x:v>17</x:v>
      </x:c>
      <x:c r="G1074" t="str">
        <x:v>LAC</x:v>
      </x:c>
      <x:c r="H1074" t="str">
        <x:v>MIN</x:v>
      </x:c>
      <x:c r="I1074" t="str">
        <x:v>MIN</x:v>
      </x:c>
      <x:c r="J1074" t="n">
        <x:v>31</x:v>
      </x:c>
      <x:c r="K1074" t="str">
        <x:v>(6:10) 11-C.Dicker 49 yard field goal is No Good, Wide Left, Center-41-R.Lovato, Holder-16-J.Scott.</x:v>
      </x:c>
      <x:c r="L1074" t="str">
        <x:v>field_goal</x:v>
      </x:c>
      <x:c r="M1074" t="n">
        <x:v>0</x:v>
      </x:c>
      <x:c r="N1074" t="n">
        <x:v>0</x:v>
      </x:c>
      <x:c r="O1074" t="n">
        <x:v>0</x:v>
      </x:c>
      <x:c r="P1074"/>
      <x:c r="Q1074"/>
      <x:c r="R1074"/>
      <x:c r="S1074"/>
      <x:c r="T1074"/>
      <x:c r="U1074"/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/>
      <x:c r="AC1074" t="n">
        <x:v>0</x:v>
      </x:c>
      <x:c r="AD1074" t="n">
        <x:v>-3.724270325872827</x:v>
      </x:c>
      <x:c r="AE1074" t="n">
        <x:v>0</x:v>
      </x:c>
      <x:c r="AF1074" t="n">
        <x:v>-0.03443445265293121</x:v>
      </x:c>
      <x:c r="AG1074" t="n">
        <x:f>_xlfn.XLOOKUP($A1074,Games!$A$2:$A$18,Games!$B$2:$B$18,"Missing game",0)</x:f>
        <x:v>2025</x:v>
      </x:c>
      <x:c r="AH1074" t="str">
        <x:f>_xlfn.XLOOKUP($A1074,Games!$A$2:$A$18,Games!$C$2:$C$18,"Missing game",0)</x:f>
        <x:v>REG</x:v>
      </x:c>
      <x:c r="AI1074" t="n">
        <x:f>_xlfn.XLOOKUP($A1074,Games!$A$2:$A$18,Games!$D$2:$D$18,"Missing game",0)</x:f>
        <x:v>8</x:v>
      </x:c>
      <x:c r="AJ1074" s="1" t="n">
        <x:f>_xlfn.XLOOKUP($A1074,Games!$A$2:$A$18,Games!$E$2:$E$18,"Missing game",0)</x:f>
        <x:v>45953</x:v>
      </x:c>
      <x:c r="AK1074" t="str">
        <x:f>_xlfn.XLOOKUP($A1074,Games!$A$2:$A$18,Games!$F$2:$F$18,"Missing game",0)</x:f>
        <x:v>Thursday</x:v>
      </x:c>
      <x:c r="AL1074" t="str">
        <x:f>_xlfn.XLOOKUP($A1074,Games!$A$2:$A$18,Games!$G$2:$G$18,"Missing game",0)</x:f>
        <x:v>MIN</x:v>
      </x:c>
      <x:c r="AM1074" t="n">
        <x:f>_xlfn.XLOOKUP($A1074,Games!$A$2:$A$18,Games!$H$2:$H$18,"Missing game",0)</x:f>
        <x:v>10</x:v>
      </x:c>
      <x:c r="AN1074" t="str">
        <x:f>_xlfn.XLOOKUP($A1074,Games!$A$2:$A$18,Games!$I$2:$I$18,"Missing game",0)</x:f>
        <x:v>LAC</x:v>
      </x:c>
      <x:c r="AO1074" t="n">
        <x:f>_xlfn.XLOOKUP($A1074,Games!$A$2:$A$18,Games!$J$2:$J$18,"Missing game",0)</x:f>
        <x:v>37</x:v>
      </x:c>
      <x:c r="AP1074" t="n">
        <x:f>_xlfn.XLOOKUP($A1074,Games!$A$2:$A$18,Games!$K$2:$K$18,"Missing game",0)</x:f>
        <x:v>27</x:v>
      </x:c>
      <x:c r="AQ1074" t="n">
        <x:f>_xlfn.XLOOKUP($A1074,Games!$A$2:$A$18,Games!$L$2:$L$18,"Missing game",0)</x:f>
        <x:v>47</x:v>
      </x:c>
      <x:c r="AR1074" t="n">
        <x:f>_xlfn.XLOOKUP($A1074,Games!$A$2:$A$18,Games!$M$2:$M$18,"Missing game",0)</x:f>
        <x:v>0</x:v>
      </x:c>
      <x:c r="AS1074" t="str">
        <x:f>_xlfn.XLOOKUP($A1074,Games!$A$2:$A$18,Games!$N$2:$N$18,"Missing game",0)</x:f>
        <x:v>dome</x:v>
      </x:c>
      <x:c r="AT1074" t="str">
        <x:f>_xlfn.XLOOKUP($A1074,Games!$A$2:$A$18,Games!$O$2:$O$18,"Missing game",0)</x:f>
        <x:v>matrixturf</x:v>
      </x:c>
      <x:c r="AU1074" t="str">
        <x:f>_xlfn.XLOOKUP($A1074,Games!$A$2:$A$18,Games!$P$2:$P$18,"Missing game",0)</x:f>
      </x:c>
      <x:c r="AV1074" t="str">
        <x:f>_xlfn.XLOOKUP($A1074,Games!$A$2:$A$18,Games!$Q$2:$Q$18,"Missing game",0)</x:f>
      </x:c>
      <x:c r="AW1074" t="str">
        <x:f>_xlfn.XLOOKUP($A1074,Games!$A$2:$A$18,Games!$R$2:$R$18,"Missing game",0)</x:f>
        <x:v>SoFi Stadium</x:v>
      </x:c>
    </x:row>
    <x:row r="1075">
      <x:c r="A1075" t="str">
        <x:v>2025_08_MIN_LAC</x:v>
      </x:c>
      <x:c r="B1075" t="n">
        <x:v>1535</x:v>
      </x:c>
      <x:c r="C1075" t="n">
        <x:v>2</x:v>
      </x:c>
      <x:c r="D1075" t="str">
        <x:v>06:06</x:v>
      </x:c>
      <x:c r="E1075" t="n">
        <x:v>1</x:v>
      </x:c>
      <x:c r="F1075" t="n">
        <x:v>10</x:v>
      </x:c>
      <x:c r="G1075" t="str">
        <x:v>MIN</x:v>
      </x:c>
      <x:c r="H1075" t="str">
        <x:v>LAC</x:v>
      </x:c>
      <x:c r="I1075" t="str">
        <x:v>MIN</x:v>
      </x:c>
      <x:c r="J1075" t="n">
        <x:v>61</x:v>
      </x:c>
      <x:c r="K1075" t="str">
        <x:v>(6:06) 27-J.Mason up the middle to MIN 43 for 4 yards (6-D.Perryman). PENALTY on MIN-74-D.Jackson, Offensive Holding, 10 yards, enforced at MIN 39 - No Play.</x:v>
      </x:c>
      <x:c r="L1075" t="str">
        <x:v>no_play</x:v>
      </x:c>
      <x:c r="M1075" t="n">
        <x:v>0</x:v>
      </x:c>
      <x:c r="N1075" t="n">
        <x:v>0</x:v>
      </x:c>
      <x:c r="O1075" t="n">
        <x:v>0</x:v>
      </x:c>
      <x:c r="P1075"/>
      <x:c r="Q1075"/>
      <x:c r="R1075"/>
      <x:c r="S1075"/>
      <x:c r="T1075"/>
      <x:c r="U1075"/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1</x:v>
      </x:c>
      <x:c r="AB1075" t="n">
        <x:v>10</x:v>
      </x:c>
      <x:c r="AC1075" t="n">
        <x:v>0</x:v>
      </x:c>
      <x:c r="AD1075" t="n">
        <x:v>-0.9661405568476766</x:v>
      </x:c>
      <x:c r="AE1075" t="n">
        <x:v>0</x:v>
      </x:c>
      <x:c r="AF1075" t="n">
        <x:v>-0.009720906615257263</x:v>
      </x:c>
      <x:c r="AG1075" t="n">
        <x:f>_xlfn.XLOOKUP($A1075,Games!$A$2:$A$18,Games!$B$2:$B$18,"Missing game",0)</x:f>
        <x:v>2025</x:v>
      </x:c>
      <x:c r="AH1075" t="str">
        <x:f>_xlfn.XLOOKUP($A1075,Games!$A$2:$A$18,Games!$C$2:$C$18,"Missing game",0)</x:f>
        <x:v>REG</x:v>
      </x:c>
      <x:c r="AI1075" t="n">
        <x:f>_xlfn.XLOOKUP($A1075,Games!$A$2:$A$18,Games!$D$2:$D$18,"Missing game",0)</x:f>
        <x:v>8</x:v>
      </x:c>
      <x:c r="AJ1075" s="1" t="n">
        <x:f>_xlfn.XLOOKUP($A1075,Games!$A$2:$A$18,Games!$E$2:$E$18,"Missing game",0)</x:f>
        <x:v>45953</x:v>
      </x:c>
      <x:c r="AK1075" t="str">
        <x:f>_xlfn.XLOOKUP($A1075,Games!$A$2:$A$18,Games!$F$2:$F$18,"Missing game",0)</x:f>
        <x:v>Thursday</x:v>
      </x:c>
      <x:c r="AL1075" t="str">
        <x:f>_xlfn.XLOOKUP($A1075,Games!$A$2:$A$18,Games!$G$2:$G$18,"Missing game",0)</x:f>
        <x:v>MIN</x:v>
      </x:c>
      <x:c r="AM1075" t="n">
        <x:f>_xlfn.XLOOKUP($A1075,Games!$A$2:$A$18,Games!$H$2:$H$18,"Missing game",0)</x:f>
        <x:v>10</x:v>
      </x:c>
      <x:c r="AN1075" t="str">
        <x:f>_xlfn.XLOOKUP($A1075,Games!$A$2:$A$18,Games!$I$2:$I$18,"Missing game",0)</x:f>
        <x:v>LAC</x:v>
      </x:c>
      <x:c r="AO1075" t="n">
        <x:f>_xlfn.XLOOKUP($A1075,Games!$A$2:$A$18,Games!$J$2:$J$18,"Missing game",0)</x:f>
        <x:v>37</x:v>
      </x:c>
      <x:c r="AP1075" t="n">
        <x:f>_xlfn.XLOOKUP($A1075,Games!$A$2:$A$18,Games!$K$2:$K$18,"Missing game",0)</x:f>
        <x:v>27</x:v>
      </x:c>
      <x:c r="AQ1075" t="n">
        <x:f>_xlfn.XLOOKUP($A1075,Games!$A$2:$A$18,Games!$L$2:$L$18,"Missing game",0)</x:f>
        <x:v>47</x:v>
      </x:c>
      <x:c r="AR1075" t="n">
        <x:f>_xlfn.XLOOKUP($A1075,Games!$A$2:$A$18,Games!$M$2:$M$18,"Missing game",0)</x:f>
        <x:v>0</x:v>
      </x:c>
      <x:c r="AS1075" t="str">
        <x:f>_xlfn.XLOOKUP($A1075,Games!$A$2:$A$18,Games!$N$2:$N$18,"Missing game",0)</x:f>
        <x:v>dome</x:v>
      </x:c>
      <x:c r="AT1075" t="str">
        <x:f>_xlfn.XLOOKUP($A1075,Games!$A$2:$A$18,Games!$O$2:$O$18,"Missing game",0)</x:f>
        <x:v>matrixturf</x:v>
      </x:c>
      <x:c r="AU1075" t="str">
        <x:f>_xlfn.XLOOKUP($A1075,Games!$A$2:$A$18,Games!$P$2:$P$18,"Missing game",0)</x:f>
      </x:c>
      <x:c r="AV1075" t="str">
        <x:f>_xlfn.XLOOKUP($A1075,Games!$A$2:$A$18,Games!$Q$2:$Q$18,"Missing game",0)</x:f>
      </x:c>
      <x:c r="AW1075" t="str">
        <x:f>_xlfn.XLOOKUP($A1075,Games!$A$2:$A$18,Games!$R$2:$R$18,"Missing game",0)</x:f>
        <x:v>SoFi Stadium</x:v>
      </x:c>
    </x:row>
    <x:row r="1076">
      <x:c r="A1076" t="str">
        <x:v>2025_08_MIN_LAC</x:v>
      </x:c>
      <x:c r="B1076" t="n">
        <x:v>1575</x:v>
      </x:c>
      <x:c r="C1076" t="n">
        <x:v>2</x:v>
      </x:c>
      <x:c r="D1076" t="str">
        <x:v>05:42</x:v>
      </x:c>
      <x:c r="E1076" t="n">
        <x:v>1</x:v>
      </x:c>
      <x:c r="F1076" t="n">
        <x:v>20</x:v>
      </x:c>
      <x:c r="G1076" t="str">
        <x:v>MIN</x:v>
      </x:c>
      <x:c r="H1076" t="str">
        <x:v>LAC</x:v>
      </x:c>
      <x:c r="I1076" t="str">
        <x:v>MIN</x:v>
      </x:c>
      <x:c r="J1076" t="n">
        <x:v>71</x:v>
      </x:c>
      <x:c r="K1076" t="str">
        <x:v>(5:42) (Shotgun) 11-C.Wentz pass short left to 18-J.Jefferson pushed ob at MIN 32 for 3 yards (24-B.St-Juste).</x:v>
      </x:c>
      <x:c r="L1076" t="str">
        <x:v>pass</x:v>
      </x:c>
      <x:c r="M1076" t="n">
        <x:v>3</x:v>
      </x:c>
      <x:c r="N1076" t="n">
        <x:v>1</x:v>
      </x:c>
      <x:c r="O1076" t="n">
        <x:v>0</x:v>
      </x:c>
      <x:c r="P1076" t="str">
        <x:v>short</x:v>
      </x:c>
      <x:c r="Q1076" t="str">
        <x:v>left</x:v>
      </x:c>
      <x:c r="R1076" t="n">
        <x:v>-3</x:v>
      </x:c>
      <x:c r="S1076" t="n">
        <x:v>6</x:v>
      </x:c>
      <x:c r="T1076"/>
      <x:c r="U1076"/>
      <x:c r="V1076" t="n">
        <x:v>1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/>
      <x:c r="AC1076" t="n">
        <x:v>0</x:v>
      </x:c>
      <x:c r="AD1076" t="n">
        <x:v>-0.3565084938891232</x:v>
      </x:c>
      <x:c r="AE1076" t="n">
        <x:v>0</x:v>
      </x:c>
      <x:c r="AF1076" t="n">
        <x:v>-0.010615035891532898</x:v>
      </x:c>
      <x:c r="AG1076" t="n">
        <x:f>_xlfn.XLOOKUP($A1076,Games!$A$2:$A$18,Games!$B$2:$B$18,"Missing game",0)</x:f>
        <x:v>2025</x:v>
      </x:c>
      <x:c r="AH1076" t="str">
        <x:f>_xlfn.XLOOKUP($A1076,Games!$A$2:$A$18,Games!$C$2:$C$18,"Missing game",0)</x:f>
        <x:v>REG</x:v>
      </x:c>
      <x:c r="AI1076" t="n">
        <x:f>_xlfn.XLOOKUP($A1076,Games!$A$2:$A$18,Games!$D$2:$D$18,"Missing game",0)</x:f>
        <x:v>8</x:v>
      </x:c>
      <x:c r="AJ1076" s="1" t="n">
        <x:f>_xlfn.XLOOKUP($A1076,Games!$A$2:$A$18,Games!$E$2:$E$18,"Missing game",0)</x:f>
        <x:v>45953</x:v>
      </x:c>
      <x:c r="AK1076" t="str">
        <x:f>_xlfn.XLOOKUP($A1076,Games!$A$2:$A$18,Games!$F$2:$F$18,"Missing game",0)</x:f>
        <x:v>Thursday</x:v>
      </x:c>
      <x:c r="AL1076" t="str">
        <x:f>_xlfn.XLOOKUP($A1076,Games!$A$2:$A$18,Games!$G$2:$G$18,"Missing game",0)</x:f>
        <x:v>MIN</x:v>
      </x:c>
      <x:c r="AM1076" t="n">
        <x:f>_xlfn.XLOOKUP($A1076,Games!$A$2:$A$18,Games!$H$2:$H$18,"Missing game",0)</x:f>
        <x:v>10</x:v>
      </x:c>
      <x:c r="AN1076" t="str">
        <x:f>_xlfn.XLOOKUP($A1076,Games!$A$2:$A$18,Games!$I$2:$I$18,"Missing game",0)</x:f>
        <x:v>LAC</x:v>
      </x:c>
      <x:c r="AO1076" t="n">
        <x:f>_xlfn.XLOOKUP($A1076,Games!$A$2:$A$18,Games!$J$2:$J$18,"Missing game",0)</x:f>
        <x:v>37</x:v>
      </x:c>
      <x:c r="AP1076" t="n">
        <x:f>_xlfn.XLOOKUP($A1076,Games!$A$2:$A$18,Games!$K$2:$K$18,"Missing game",0)</x:f>
        <x:v>27</x:v>
      </x:c>
      <x:c r="AQ1076" t="n">
        <x:f>_xlfn.XLOOKUP($A1076,Games!$A$2:$A$18,Games!$L$2:$L$18,"Missing game",0)</x:f>
        <x:v>47</x:v>
      </x:c>
      <x:c r="AR1076" t="n">
        <x:f>_xlfn.XLOOKUP($A1076,Games!$A$2:$A$18,Games!$M$2:$M$18,"Missing game",0)</x:f>
        <x:v>0</x:v>
      </x:c>
      <x:c r="AS1076" t="str">
        <x:f>_xlfn.XLOOKUP($A1076,Games!$A$2:$A$18,Games!$N$2:$N$18,"Missing game",0)</x:f>
        <x:v>dome</x:v>
      </x:c>
      <x:c r="AT1076" t="str">
        <x:f>_xlfn.XLOOKUP($A1076,Games!$A$2:$A$18,Games!$O$2:$O$18,"Missing game",0)</x:f>
        <x:v>matrixturf</x:v>
      </x:c>
      <x:c r="AU1076" t="str">
        <x:f>_xlfn.XLOOKUP($A1076,Games!$A$2:$A$18,Games!$P$2:$P$18,"Missing game",0)</x:f>
      </x:c>
      <x:c r="AV1076" t="str">
        <x:f>_xlfn.XLOOKUP($A1076,Games!$A$2:$A$18,Games!$Q$2:$Q$18,"Missing game",0)</x:f>
      </x:c>
      <x:c r="AW1076" t="str">
        <x:f>_xlfn.XLOOKUP($A1076,Games!$A$2:$A$18,Games!$R$2:$R$18,"Missing game",0)</x:f>
        <x:v>SoFi Stadium</x:v>
      </x:c>
    </x:row>
    <x:row r="1077">
      <x:c r="A1077" t="str">
        <x:v>2025_08_MIN_LAC</x:v>
      </x:c>
      <x:c r="B1077" t="n">
        <x:v>1605</x:v>
      </x:c>
      <x:c r="C1077" t="n">
        <x:v>2</x:v>
      </x:c>
      <x:c r="D1077" t="str">
        <x:v>05:03</x:v>
      </x:c>
      <x:c r="E1077" t="n">
        <x:v>2</x:v>
      </x:c>
      <x:c r="F1077" t="n">
        <x:v>17</x:v>
      </x:c>
      <x:c r="G1077" t="str">
        <x:v>MIN</x:v>
      </x:c>
      <x:c r="H1077" t="str">
        <x:v>LAC</x:v>
      </x:c>
      <x:c r="I1077" t="str">
        <x:v>MIN</x:v>
      </x:c>
      <x:c r="J1077" t="n">
        <x:v>68</x:v>
      </x:c>
      <x:c r="K1077" t="str">
        <x:v>(5:03) (Shotgun) 11-C.Wentz pass short middle to 18-J.Jefferson to MIN 47 for 15 yards (27-R.Mickens).</x:v>
      </x:c>
      <x:c r="L1077" t="str">
        <x:v>pass</x:v>
      </x:c>
      <x:c r="M1077" t="n">
        <x:v>15</x:v>
      </x:c>
      <x:c r="N1077" t="n">
        <x:v>1</x:v>
      </x:c>
      <x:c r="O1077" t="n">
        <x:v>0</x:v>
      </x:c>
      <x:c r="P1077" t="str">
        <x:v>short</x:v>
      </x:c>
      <x:c r="Q1077" t="str">
        <x:v>middle</x:v>
      </x:c>
      <x:c r="R1077" t="n">
        <x:v>15</x:v>
      </x:c>
      <x:c r="S1077" t="n">
        <x:v>0</x:v>
      </x:c>
      <x:c r="T1077"/>
      <x:c r="U1077"/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/>
      <x:c r="AC1077" t="n">
        <x:v>0</x:v>
      </x:c>
      <x:c r="AD1077" t="n">
        <x:v>1.059137155301869</x:v>
      </x:c>
      <x:c r="AE1077" t="n">
        <x:v>1</x:v>
      </x:c>
      <x:c r="AF1077" t="n">
        <x:v>0.025509685277938843</x:v>
      </x:c>
      <x:c r="AG1077" t="n">
        <x:f>_xlfn.XLOOKUP($A1077,Games!$A$2:$A$18,Games!$B$2:$B$18,"Missing game",0)</x:f>
        <x:v>2025</x:v>
      </x:c>
      <x:c r="AH1077" t="str">
        <x:f>_xlfn.XLOOKUP($A1077,Games!$A$2:$A$18,Games!$C$2:$C$18,"Missing game",0)</x:f>
        <x:v>REG</x:v>
      </x:c>
      <x:c r="AI1077" t="n">
        <x:f>_xlfn.XLOOKUP($A1077,Games!$A$2:$A$18,Games!$D$2:$D$18,"Missing game",0)</x:f>
        <x:v>8</x:v>
      </x:c>
      <x:c r="AJ1077" s="1" t="n">
        <x:f>_xlfn.XLOOKUP($A1077,Games!$A$2:$A$18,Games!$E$2:$E$18,"Missing game",0)</x:f>
        <x:v>45953</x:v>
      </x:c>
      <x:c r="AK1077" t="str">
        <x:f>_xlfn.XLOOKUP($A1077,Games!$A$2:$A$18,Games!$F$2:$F$18,"Missing game",0)</x:f>
        <x:v>Thursday</x:v>
      </x:c>
      <x:c r="AL1077" t="str">
        <x:f>_xlfn.XLOOKUP($A1077,Games!$A$2:$A$18,Games!$G$2:$G$18,"Missing game",0)</x:f>
        <x:v>MIN</x:v>
      </x:c>
      <x:c r="AM1077" t="n">
        <x:f>_xlfn.XLOOKUP($A1077,Games!$A$2:$A$18,Games!$H$2:$H$18,"Missing game",0)</x:f>
        <x:v>10</x:v>
      </x:c>
      <x:c r="AN1077" t="str">
        <x:f>_xlfn.XLOOKUP($A1077,Games!$A$2:$A$18,Games!$I$2:$I$18,"Missing game",0)</x:f>
        <x:v>LAC</x:v>
      </x:c>
      <x:c r="AO1077" t="n">
        <x:f>_xlfn.XLOOKUP($A1077,Games!$A$2:$A$18,Games!$J$2:$J$18,"Missing game",0)</x:f>
        <x:v>37</x:v>
      </x:c>
      <x:c r="AP1077" t="n">
        <x:f>_xlfn.XLOOKUP($A1077,Games!$A$2:$A$18,Games!$K$2:$K$18,"Missing game",0)</x:f>
        <x:v>27</x:v>
      </x:c>
      <x:c r="AQ1077" t="n">
        <x:f>_xlfn.XLOOKUP($A1077,Games!$A$2:$A$18,Games!$L$2:$L$18,"Missing game",0)</x:f>
        <x:v>47</x:v>
      </x:c>
      <x:c r="AR1077" t="n">
        <x:f>_xlfn.XLOOKUP($A1077,Games!$A$2:$A$18,Games!$M$2:$M$18,"Missing game",0)</x:f>
        <x:v>0</x:v>
      </x:c>
      <x:c r="AS1077" t="str">
        <x:f>_xlfn.XLOOKUP($A1077,Games!$A$2:$A$18,Games!$N$2:$N$18,"Missing game",0)</x:f>
        <x:v>dome</x:v>
      </x:c>
      <x:c r="AT1077" t="str">
        <x:f>_xlfn.XLOOKUP($A1077,Games!$A$2:$A$18,Games!$O$2:$O$18,"Missing game",0)</x:f>
        <x:v>matrixturf</x:v>
      </x:c>
      <x:c r="AU1077" t="str">
        <x:f>_xlfn.XLOOKUP($A1077,Games!$A$2:$A$18,Games!$P$2:$P$18,"Missing game",0)</x:f>
      </x:c>
      <x:c r="AV1077" t="str">
        <x:f>_xlfn.XLOOKUP($A1077,Games!$A$2:$A$18,Games!$Q$2:$Q$18,"Missing game",0)</x:f>
      </x:c>
      <x:c r="AW1077" t="str">
        <x:f>_xlfn.XLOOKUP($A1077,Games!$A$2:$A$18,Games!$R$2:$R$18,"Missing game",0)</x:f>
        <x:v>SoFi Stadium</x:v>
      </x:c>
    </x:row>
    <x:row r="1078">
      <x:c r="A1078" t="str">
        <x:v>2025_08_MIN_LAC</x:v>
      </x:c>
      <x:c r="B1078" t="n">
        <x:v>1630</x:v>
      </x:c>
      <x:c r="C1078" t="n">
        <x:v>2</x:v>
      </x:c>
      <x:c r="D1078" t="str">
        <x:v>04:17</x:v>
      </x:c>
      <x:c r="E1078" t="n">
        <x:v>3</x:v>
      </x:c>
      <x:c r="F1078" t="n">
        <x:v>2</x:v>
      </x:c>
      <x:c r="G1078" t="str">
        <x:v>MIN</x:v>
      </x:c>
      <x:c r="H1078" t="str">
        <x:v>LAC</x:v>
      </x:c>
      <x:c r="I1078" t="str">
        <x:v>MIN</x:v>
      </x:c>
      <x:c r="J1078" t="n">
        <x:v>53</x:v>
      </x:c>
      <x:c r="K1078" t="str">
        <x:v>(4:17) (Shotgun) 11-C.Wentz pass incomplete short middle to 19-A.Thielen (29-T.Still).</x:v>
      </x:c>
      <x:c r="L1078" t="str">
        <x:v>pass</x:v>
      </x:c>
      <x:c r="M1078" t="n">
        <x:v>0</x:v>
      </x:c>
      <x:c r="N1078" t="n">
        <x:v>1</x:v>
      </x:c>
      <x:c r="O1078" t="n">
        <x:v>0</x:v>
      </x:c>
      <x:c r="P1078" t="str">
        <x:v>short</x:v>
      </x:c>
      <x:c r="Q1078" t="str">
        <x:v>middle</x:v>
      </x:c>
      <x:c r="R1078" t="n">
        <x:v>-7</x:v>
      </x:c>
      <x:c r="S1078"/>
      <x:c r="T1078"/>
      <x:c r="U1078"/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/>
      <x:c r="AC1078" t="n">
        <x:v>0</x:v>
      </x:c>
      <x:c r="AD1078" t="n">
        <x:v>-1.7068049446679652</x:v>
      </x:c>
      <x:c r="AE1078" t="n">
        <x:v>0</x:v>
      </x:c>
      <x:c r="AF1078" t="n">
        <x:v>-0.02806784212589264</x:v>
      </x:c>
      <x:c r="AG1078" t="n">
        <x:f>_xlfn.XLOOKUP($A1078,Games!$A$2:$A$18,Games!$B$2:$B$18,"Missing game",0)</x:f>
        <x:v>2025</x:v>
      </x:c>
      <x:c r="AH1078" t="str">
        <x:f>_xlfn.XLOOKUP($A1078,Games!$A$2:$A$18,Games!$C$2:$C$18,"Missing game",0)</x:f>
        <x:v>REG</x:v>
      </x:c>
      <x:c r="AI1078" t="n">
        <x:f>_xlfn.XLOOKUP($A1078,Games!$A$2:$A$18,Games!$D$2:$D$18,"Missing game",0)</x:f>
        <x:v>8</x:v>
      </x:c>
      <x:c r="AJ1078" s="1" t="n">
        <x:f>_xlfn.XLOOKUP($A1078,Games!$A$2:$A$18,Games!$E$2:$E$18,"Missing game",0)</x:f>
        <x:v>45953</x:v>
      </x:c>
      <x:c r="AK1078" t="str">
        <x:f>_xlfn.XLOOKUP($A1078,Games!$A$2:$A$18,Games!$F$2:$F$18,"Missing game",0)</x:f>
        <x:v>Thursday</x:v>
      </x:c>
      <x:c r="AL1078" t="str">
        <x:f>_xlfn.XLOOKUP($A1078,Games!$A$2:$A$18,Games!$G$2:$G$18,"Missing game",0)</x:f>
        <x:v>MIN</x:v>
      </x:c>
      <x:c r="AM1078" t="n">
        <x:f>_xlfn.XLOOKUP($A1078,Games!$A$2:$A$18,Games!$H$2:$H$18,"Missing game",0)</x:f>
        <x:v>10</x:v>
      </x:c>
      <x:c r="AN1078" t="str">
        <x:f>_xlfn.XLOOKUP($A1078,Games!$A$2:$A$18,Games!$I$2:$I$18,"Missing game",0)</x:f>
        <x:v>LAC</x:v>
      </x:c>
      <x:c r="AO1078" t="n">
        <x:f>_xlfn.XLOOKUP($A1078,Games!$A$2:$A$18,Games!$J$2:$J$18,"Missing game",0)</x:f>
        <x:v>37</x:v>
      </x:c>
      <x:c r="AP1078" t="n">
        <x:f>_xlfn.XLOOKUP($A1078,Games!$A$2:$A$18,Games!$K$2:$K$18,"Missing game",0)</x:f>
        <x:v>27</x:v>
      </x:c>
      <x:c r="AQ1078" t="n">
        <x:f>_xlfn.XLOOKUP($A1078,Games!$A$2:$A$18,Games!$L$2:$L$18,"Missing game",0)</x:f>
        <x:v>47</x:v>
      </x:c>
      <x:c r="AR1078" t="n">
        <x:f>_xlfn.XLOOKUP($A1078,Games!$A$2:$A$18,Games!$M$2:$M$18,"Missing game",0)</x:f>
        <x:v>0</x:v>
      </x:c>
      <x:c r="AS1078" t="str">
        <x:f>_xlfn.XLOOKUP($A1078,Games!$A$2:$A$18,Games!$N$2:$N$18,"Missing game",0)</x:f>
        <x:v>dome</x:v>
      </x:c>
      <x:c r="AT1078" t="str">
        <x:f>_xlfn.XLOOKUP($A1078,Games!$A$2:$A$18,Games!$O$2:$O$18,"Missing game",0)</x:f>
        <x:v>matrixturf</x:v>
      </x:c>
      <x:c r="AU1078" t="str">
        <x:f>_xlfn.XLOOKUP($A1078,Games!$A$2:$A$18,Games!$P$2:$P$18,"Missing game",0)</x:f>
      </x:c>
      <x:c r="AV1078" t="str">
        <x:f>_xlfn.XLOOKUP($A1078,Games!$A$2:$A$18,Games!$Q$2:$Q$18,"Missing game",0)</x:f>
      </x:c>
      <x:c r="AW1078" t="str">
        <x:f>_xlfn.XLOOKUP($A1078,Games!$A$2:$A$18,Games!$R$2:$R$18,"Missing game",0)</x:f>
        <x:v>SoFi Stadium</x:v>
      </x:c>
    </x:row>
    <x:row r="1079">
      <x:c r="A1079" t="str">
        <x:v>2025_08_MIN_LAC</x:v>
      </x:c>
      <x:c r="B1079" t="n">
        <x:v>1653</x:v>
      </x:c>
      <x:c r="C1079" t="n">
        <x:v>2</x:v>
      </x:c>
      <x:c r="D1079" t="str">
        <x:v>04:12</x:v>
      </x:c>
      <x:c r="E1079" t="n">
        <x:v>4</x:v>
      </x:c>
      <x:c r="F1079" t="n">
        <x:v>2</x:v>
      </x:c>
      <x:c r="G1079" t="str">
        <x:v>MIN</x:v>
      </x:c>
      <x:c r="H1079" t="str">
        <x:v>LAC</x:v>
      </x:c>
      <x:c r="I1079" t="str">
        <x:v>MIN</x:v>
      </x:c>
      <x:c r="J1079" t="n">
        <x:v>53</x:v>
      </x:c>
      <x:c r="K1079" t="str">
        <x:v>(4:12) 17-R.Wright punts 41 yards to LAC 12, Center-42-A.DePaola. 12-D.Davis to LAC 22 for 10 yards (0-I.Pace). PENALTY on LAC-36-J.Taylor, Offensive Holding, 6 yards, enforced at LAC 12.</x:v>
      </x:c>
      <x:c r="L1079" t="str">
        <x:v>punt</x:v>
      </x:c>
      <x:c r="M1079" t="n">
        <x:v>0</x:v>
      </x:c>
      <x:c r="N1079" t="n">
        <x:v>0</x:v>
      </x:c>
      <x:c r="O1079" t="n">
        <x:v>0</x:v>
      </x:c>
      <x:c r="P1079"/>
      <x:c r="Q1079"/>
      <x:c r="R1079"/>
      <x:c r="S1079"/>
      <x:c r="T1079"/>
      <x:c r="U1079"/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1</x:v>
      </x:c>
      <x:c r="AB1079" t="n">
        <x:v>6</x:v>
      </x:c>
      <x:c r="AC1079" t="n">
        <x:v>0</x:v>
      </x:c>
      <x:c r="AD1079" t="n">
        <x:v>-0.11053292430005968</x:v>
      </x:c>
      <x:c r="AE1079" t="n">
        <x:v>0</x:v>
      </x:c>
      <x:c r="AF1079" t="n">
        <x:v>-0.006134688854217529</x:v>
      </x:c>
      <x:c r="AG1079" t="n">
        <x:f>_xlfn.XLOOKUP($A1079,Games!$A$2:$A$18,Games!$B$2:$B$18,"Missing game",0)</x:f>
        <x:v>2025</x:v>
      </x:c>
      <x:c r="AH1079" t="str">
        <x:f>_xlfn.XLOOKUP($A1079,Games!$A$2:$A$18,Games!$C$2:$C$18,"Missing game",0)</x:f>
        <x:v>REG</x:v>
      </x:c>
      <x:c r="AI1079" t="n">
        <x:f>_xlfn.XLOOKUP($A1079,Games!$A$2:$A$18,Games!$D$2:$D$18,"Missing game",0)</x:f>
        <x:v>8</x:v>
      </x:c>
      <x:c r="AJ1079" s="1" t="n">
        <x:f>_xlfn.XLOOKUP($A1079,Games!$A$2:$A$18,Games!$E$2:$E$18,"Missing game",0)</x:f>
        <x:v>45953</x:v>
      </x:c>
      <x:c r="AK1079" t="str">
        <x:f>_xlfn.XLOOKUP($A1079,Games!$A$2:$A$18,Games!$F$2:$F$18,"Missing game",0)</x:f>
        <x:v>Thursday</x:v>
      </x:c>
      <x:c r="AL1079" t="str">
        <x:f>_xlfn.XLOOKUP($A1079,Games!$A$2:$A$18,Games!$G$2:$G$18,"Missing game",0)</x:f>
        <x:v>MIN</x:v>
      </x:c>
      <x:c r="AM1079" t="n">
        <x:f>_xlfn.XLOOKUP($A1079,Games!$A$2:$A$18,Games!$H$2:$H$18,"Missing game",0)</x:f>
        <x:v>10</x:v>
      </x:c>
      <x:c r="AN1079" t="str">
        <x:f>_xlfn.XLOOKUP($A1079,Games!$A$2:$A$18,Games!$I$2:$I$18,"Missing game",0)</x:f>
        <x:v>LAC</x:v>
      </x:c>
      <x:c r="AO1079" t="n">
        <x:f>_xlfn.XLOOKUP($A1079,Games!$A$2:$A$18,Games!$J$2:$J$18,"Missing game",0)</x:f>
        <x:v>37</x:v>
      </x:c>
      <x:c r="AP1079" t="n">
        <x:f>_xlfn.XLOOKUP($A1079,Games!$A$2:$A$18,Games!$K$2:$K$18,"Missing game",0)</x:f>
        <x:v>27</x:v>
      </x:c>
      <x:c r="AQ1079" t="n">
        <x:f>_xlfn.XLOOKUP($A1079,Games!$A$2:$A$18,Games!$L$2:$L$18,"Missing game",0)</x:f>
        <x:v>47</x:v>
      </x:c>
      <x:c r="AR1079" t="n">
        <x:f>_xlfn.XLOOKUP($A1079,Games!$A$2:$A$18,Games!$M$2:$M$18,"Missing game",0)</x:f>
        <x:v>0</x:v>
      </x:c>
      <x:c r="AS1079" t="str">
        <x:f>_xlfn.XLOOKUP($A1079,Games!$A$2:$A$18,Games!$N$2:$N$18,"Missing game",0)</x:f>
        <x:v>dome</x:v>
      </x:c>
      <x:c r="AT1079" t="str">
        <x:f>_xlfn.XLOOKUP($A1079,Games!$A$2:$A$18,Games!$O$2:$O$18,"Missing game",0)</x:f>
        <x:v>matrixturf</x:v>
      </x:c>
      <x:c r="AU1079" t="str">
        <x:f>_xlfn.XLOOKUP($A1079,Games!$A$2:$A$18,Games!$P$2:$P$18,"Missing game",0)</x:f>
      </x:c>
      <x:c r="AV1079" t="str">
        <x:f>_xlfn.XLOOKUP($A1079,Games!$A$2:$A$18,Games!$Q$2:$Q$18,"Missing game",0)</x:f>
      </x:c>
      <x:c r="AW1079" t="str">
        <x:f>_xlfn.XLOOKUP($A1079,Games!$A$2:$A$18,Games!$R$2:$R$18,"Missing game",0)</x:f>
        <x:v>SoFi Stadium</x:v>
      </x:c>
    </x:row>
    <x:row r="1080">
      <x:c r="A1080" t="str">
        <x:v>2025_08_MIN_LAC</x:v>
      </x:c>
      <x:c r="B1080" t="n">
        <x:v>1690</x:v>
      </x:c>
      <x:c r="C1080" t="n">
        <x:v>2</x:v>
      </x:c>
      <x:c r="D1080" t="str">
        <x:v>04:04</x:v>
      </x:c>
      <x:c r="E1080" t="n">
        <x:v>1</x:v>
      </x:c>
      <x:c r="F1080" t="n">
        <x:v>10</x:v>
      </x:c>
      <x:c r="G1080" t="str">
        <x:v>LAC</x:v>
      </x:c>
      <x:c r="H1080" t="str">
        <x:v>MIN</x:v>
      </x:c>
      <x:c r="I1080" t="str">
        <x:v>LAC</x:v>
      </x:c>
      <x:c r="J1080" t="n">
        <x:v>94</x:v>
      </x:c>
      <x:c r="K1080" t="str">
        <x:v>(4:04) (Shotgun) 30-K.Vidal right guard to LAC 9 for 3 yards (61-J.Redmond; 15-D.Turner).</x:v>
      </x:c>
      <x:c r="L1080" t="str">
        <x:v>run</x:v>
      </x:c>
      <x:c r="M1080" t="n">
        <x:v>3</x:v>
      </x:c>
      <x:c r="N1080" t="n">
        <x:v>1</x:v>
      </x:c>
      <x:c r="O1080" t="n">
        <x:v>0</x:v>
      </x:c>
      <x:c r="P1080"/>
      <x:c r="Q1080"/>
      <x:c r="R1080"/>
      <x:c r="S1080"/>
      <x:c r="T1080" t="str">
        <x:v>right</x:v>
      </x:c>
      <x:c r="U1080" t="str">
        <x:v>guard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/>
      <x:c r="AC1080" t="n">
        <x:v>0</x:v>
      </x:c>
      <x:c r="AD1080" t="n">
        <x:v>-0.3118567804340273</x:v>
      </x:c>
      <x:c r="AE1080" t="n">
        <x:v>0</x:v>
      </x:c>
      <x:c r="AF1080" t="n">
        <x:v>0.014917492866516113</x:v>
      </x:c>
      <x:c r="AG1080" t="n">
        <x:f>_xlfn.XLOOKUP($A1080,Games!$A$2:$A$18,Games!$B$2:$B$18,"Missing game",0)</x:f>
        <x:v>2025</x:v>
      </x:c>
      <x:c r="AH1080" t="str">
        <x:f>_xlfn.XLOOKUP($A1080,Games!$A$2:$A$18,Games!$C$2:$C$18,"Missing game",0)</x:f>
        <x:v>REG</x:v>
      </x:c>
      <x:c r="AI1080" t="n">
        <x:f>_xlfn.XLOOKUP($A1080,Games!$A$2:$A$18,Games!$D$2:$D$18,"Missing game",0)</x:f>
        <x:v>8</x:v>
      </x:c>
      <x:c r="AJ1080" s="1" t="n">
        <x:f>_xlfn.XLOOKUP($A1080,Games!$A$2:$A$18,Games!$E$2:$E$18,"Missing game",0)</x:f>
        <x:v>45953</x:v>
      </x:c>
      <x:c r="AK1080" t="str">
        <x:f>_xlfn.XLOOKUP($A1080,Games!$A$2:$A$18,Games!$F$2:$F$18,"Missing game",0)</x:f>
        <x:v>Thursday</x:v>
      </x:c>
      <x:c r="AL1080" t="str">
        <x:f>_xlfn.XLOOKUP($A1080,Games!$A$2:$A$18,Games!$G$2:$G$18,"Missing game",0)</x:f>
        <x:v>MIN</x:v>
      </x:c>
      <x:c r="AM1080" t="n">
        <x:f>_xlfn.XLOOKUP($A1080,Games!$A$2:$A$18,Games!$H$2:$H$18,"Missing game",0)</x:f>
        <x:v>10</x:v>
      </x:c>
      <x:c r="AN1080" t="str">
        <x:f>_xlfn.XLOOKUP($A1080,Games!$A$2:$A$18,Games!$I$2:$I$18,"Missing game",0)</x:f>
        <x:v>LAC</x:v>
      </x:c>
      <x:c r="AO1080" t="n">
        <x:f>_xlfn.XLOOKUP($A1080,Games!$A$2:$A$18,Games!$J$2:$J$18,"Missing game",0)</x:f>
        <x:v>37</x:v>
      </x:c>
      <x:c r="AP1080" t="n">
        <x:f>_xlfn.XLOOKUP($A1080,Games!$A$2:$A$18,Games!$K$2:$K$18,"Missing game",0)</x:f>
        <x:v>27</x:v>
      </x:c>
      <x:c r="AQ1080" t="n">
        <x:f>_xlfn.XLOOKUP($A1080,Games!$A$2:$A$18,Games!$L$2:$L$18,"Missing game",0)</x:f>
        <x:v>47</x:v>
      </x:c>
      <x:c r="AR1080" t="n">
        <x:f>_xlfn.XLOOKUP($A1080,Games!$A$2:$A$18,Games!$M$2:$M$18,"Missing game",0)</x:f>
        <x:v>0</x:v>
      </x:c>
      <x:c r="AS1080" t="str">
        <x:f>_xlfn.XLOOKUP($A1080,Games!$A$2:$A$18,Games!$N$2:$N$18,"Missing game",0)</x:f>
        <x:v>dome</x:v>
      </x:c>
      <x:c r="AT1080" t="str">
        <x:f>_xlfn.XLOOKUP($A1080,Games!$A$2:$A$18,Games!$O$2:$O$18,"Missing game",0)</x:f>
        <x:v>matrixturf</x:v>
      </x:c>
      <x:c r="AU1080" t="str">
        <x:f>_xlfn.XLOOKUP($A1080,Games!$A$2:$A$18,Games!$P$2:$P$18,"Missing game",0)</x:f>
      </x:c>
      <x:c r="AV1080" t="str">
        <x:f>_xlfn.XLOOKUP($A1080,Games!$A$2:$A$18,Games!$Q$2:$Q$18,"Missing game",0)</x:f>
      </x:c>
      <x:c r="AW1080" t="str">
        <x:f>_xlfn.XLOOKUP($A1080,Games!$A$2:$A$18,Games!$R$2:$R$18,"Missing game",0)</x:f>
        <x:v>SoFi Stadium</x:v>
      </x:c>
    </x:row>
    <x:row r="1081">
      <x:c r="A1081" t="str">
        <x:v>2025_08_MIN_LAC</x:v>
      </x:c>
      <x:c r="B1081" t="n">
        <x:v>1719</x:v>
      </x:c>
      <x:c r="C1081" t="n">
        <x:v>2</x:v>
      </x:c>
      <x:c r="D1081" t="str">
        <x:v>03:27</x:v>
      </x:c>
      <x:c r="E1081" t="n">
        <x:v>2</x:v>
      </x:c>
      <x:c r="F1081" t="n">
        <x:v>7</x:v>
      </x:c>
      <x:c r="G1081" t="str">
        <x:v>LAC</x:v>
      </x:c>
      <x:c r="H1081" t="str">
        <x:v>MIN</x:v>
      </x:c>
      <x:c r="I1081" t="str">
        <x:v>LAC</x:v>
      </x:c>
      <x:c r="J1081" t="n">
        <x:v>91</x:v>
      </x:c>
      <x:c r="K1081" t="str">
        <x:v>(3:27) (Shotgun) 10-J.Herbert pass short left to 9-T.Harris to LAC 11 for 2 yards (2-I.Rodgers).</x:v>
      </x:c>
      <x:c r="L1081" t="str">
        <x:v>pass</x:v>
      </x:c>
      <x:c r="M1081" t="n">
        <x:v>2</x:v>
      </x:c>
      <x:c r="N1081" t="n">
        <x:v>1</x:v>
      </x:c>
      <x:c r="O1081" t="n">
        <x:v>0</x:v>
      </x:c>
      <x:c r="P1081" t="str">
        <x:v>short</x:v>
      </x:c>
      <x:c r="Q1081" t="str">
        <x:v>left</x:v>
      </x:c>
      <x:c r="R1081" t="n">
        <x:v>2</x:v>
      </x:c>
      <x:c r="S1081" t="n">
        <x:v>0</x:v>
      </x:c>
      <x:c r="T1081"/>
      <x:c r="U1081"/>
      <x:c r="V1081" t="n">
        <x:v>1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/>
      <x:c r="AC1081" t="n">
        <x:v>0</x:v>
      </x:c>
      <x:c r="AD1081" t="n">
        <x:v>-0.0967037184163928</x:v>
      </x:c>
      <x:c r="AE1081" t="n">
        <x:v>0</x:v>
      </x:c>
      <x:c r="AF1081" t="n">
        <x:v>-0.010897457599639893</x:v>
      </x:c>
      <x:c r="AG1081" t="n">
        <x:f>_xlfn.XLOOKUP($A1081,Games!$A$2:$A$18,Games!$B$2:$B$18,"Missing game",0)</x:f>
        <x:v>2025</x:v>
      </x:c>
      <x:c r="AH1081" t="str">
        <x:f>_xlfn.XLOOKUP($A1081,Games!$A$2:$A$18,Games!$C$2:$C$18,"Missing game",0)</x:f>
        <x:v>REG</x:v>
      </x:c>
      <x:c r="AI1081" t="n">
        <x:f>_xlfn.XLOOKUP($A1081,Games!$A$2:$A$18,Games!$D$2:$D$18,"Missing game",0)</x:f>
        <x:v>8</x:v>
      </x:c>
      <x:c r="AJ1081" s="1" t="n">
        <x:f>_xlfn.XLOOKUP($A1081,Games!$A$2:$A$18,Games!$E$2:$E$18,"Missing game",0)</x:f>
        <x:v>45953</x:v>
      </x:c>
      <x:c r="AK1081" t="str">
        <x:f>_xlfn.XLOOKUP($A1081,Games!$A$2:$A$18,Games!$F$2:$F$18,"Missing game",0)</x:f>
        <x:v>Thursday</x:v>
      </x:c>
      <x:c r="AL1081" t="str">
        <x:f>_xlfn.XLOOKUP($A1081,Games!$A$2:$A$18,Games!$G$2:$G$18,"Missing game",0)</x:f>
        <x:v>MIN</x:v>
      </x:c>
      <x:c r="AM1081" t="n">
        <x:f>_xlfn.XLOOKUP($A1081,Games!$A$2:$A$18,Games!$H$2:$H$18,"Missing game",0)</x:f>
        <x:v>10</x:v>
      </x:c>
      <x:c r="AN1081" t="str">
        <x:f>_xlfn.XLOOKUP($A1081,Games!$A$2:$A$18,Games!$I$2:$I$18,"Missing game",0)</x:f>
        <x:v>LAC</x:v>
      </x:c>
      <x:c r="AO1081" t="n">
        <x:f>_xlfn.XLOOKUP($A1081,Games!$A$2:$A$18,Games!$J$2:$J$18,"Missing game",0)</x:f>
        <x:v>37</x:v>
      </x:c>
      <x:c r="AP1081" t="n">
        <x:f>_xlfn.XLOOKUP($A1081,Games!$A$2:$A$18,Games!$K$2:$K$18,"Missing game",0)</x:f>
        <x:v>27</x:v>
      </x:c>
      <x:c r="AQ1081" t="n">
        <x:f>_xlfn.XLOOKUP($A1081,Games!$A$2:$A$18,Games!$L$2:$L$18,"Missing game",0)</x:f>
        <x:v>47</x:v>
      </x:c>
      <x:c r="AR1081" t="n">
        <x:f>_xlfn.XLOOKUP($A1081,Games!$A$2:$A$18,Games!$M$2:$M$18,"Missing game",0)</x:f>
        <x:v>0</x:v>
      </x:c>
      <x:c r="AS1081" t="str">
        <x:f>_xlfn.XLOOKUP($A1081,Games!$A$2:$A$18,Games!$N$2:$N$18,"Missing game",0)</x:f>
        <x:v>dome</x:v>
      </x:c>
      <x:c r="AT1081" t="str">
        <x:f>_xlfn.XLOOKUP($A1081,Games!$A$2:$A$18,Games!$O$2:$O$18,"Missing game",0)</x:f>
        <x:v>matrixturf</x:v>
      </x:c>
      <x:c r="AU1081" t="str">
        <x:f>_xlfn.XLOOKUP($A1081,Games!$A$2:$A$18,Games!$P$2:$P$18,"Missing game",0)</x:f>
      </x:c>
      <x:c r="AV1081" t="str">
        <x:f>_xlfn.XLOOKUP($A1081,Games!$A$2:$A$18,Games!$Q$2:$Q$18,"Missing game",0)</x:f>
      </x:c>
      <x:c r="AW1081" t="str">
        <x:f>_xlfn.XLOOKUP($A1081,Games!$A$2:$A$18,Games!$R$2:$R$18,"Missing game",0)</x:f>
        <x:v>SoFi Stadium</x:v>
      </x:c>
    </x:row>
    <x:row r="1082">
      <x:c r="A1082" t="str">
        <x:v>2025_08_MIN_LAC</x:v>
      </x:c>
      <x:c r="B1082" t="n">
        <x:v>1744</x:v>
      </x:c>
      <x:c r="C1082" t="n">
        <x:v>2</x:v>
      </x:c>
      <x:c r="D1082" t="str">
        <x:v>02:47</x:v>
      </x:c>
      <x:c r="E1082" t="n">
        <x:v>3</x:v>
      </x:c>
      <x:c r="F1082" t="n">
        <x:v>5</x:v>
      </x:c>
      <x:c r="G1082" t="str">
        <x:v>LAC</x:v>
      </x:c>
      <x:c r="H1082" t="str">
        <x:v>MIN</x:v>
      </x:c>
      <x:c r="I1082" t="str">
        <x:v>LAC</x:v>
      </x:c>
      <x:c r="J1082" t="n">
        <x:v>89</x:v>
      </x:c>
      <x:c r="K1082" t="str">
        <x:v>(2:47) (Shotgun) 10-J.Herbert pass short left to 13-K.Allen ran ob at LAC 17 for 6 yards.</x:v>
      </x:c>
      <x:c r="L1082" t="str">
        <x:v>pass</x:v>
      </x:c>
      <x:c r="M1082" t="n">
        <x:v>6</x:v>
      </x:c>
      <x:c r="N1082" t="n">
        <x:v>1</x:v>
      </x:c>
      <x:c r="O1082" t="n">
        <x:v>0</x:v>
      </x:c>
      <x:c r="P1082" t="str">
        <x:v>short</x:v>
      </x:c>
      <x:c r="Q1082" t="str">
        <x:v>left</x:v>
      </x:c>
      <x:c r="R1082" t="n">
        <x:v>6</x:v>
      </x:c>
      <x:c r="S1082" t="n">
        <x:v>0</x:v>
      </x:c>
      <x:c r="T1082"/>
      <x:c r="U1082"/>
      <x:c r="V1082" t="n">
        <x:v>1</x:v>
      </x:c>
      <x:c r="W1082" t="n">
        <x:v>1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/>
      <x:c r="AC1082" t="n">
        <x:v>0</x:v>
      </x:c>
      <x:c r="AD1082" t="n">
        <x:v>1.1399348669219762</x:v>
      </x:c>
      <x:c r="AE1082" t="n">
        <x:v>1</x:v>
      </x:c>
      <x:c r="AF1082" t="n">
        <x:v>0.024010539054870605</x:v>
      </x:c>
      <x:c r="AG1082" t="n">
        <x:f>_xlfn.XLOOKUP($A1082,Games!$A$2:$A$18,Games!$B$2:$B$18,"Missing game",0)</x:f>
        <x:v>2025</x:v>
      </x:c>
      <x:c r="AH1082" t="str">
        <x:f>_xlfn.XLOOKUP($A1082,Games!$A$2:$A$18,Games!$C$2:$C$18,"Missing game",0)</x:f>
        <x:v>REG</x:v>
      </x:c>
      <x:c r="AI1082" t="n">
        <x:f>_xlfn.XLOOKUP($A1082,Games!$A$2:$A$18,Games!$D$2:$D$18,"Missing game",0)</x:f>
        <x:v>8</x:v>
      </x:c>
      <x:c r="AJ1082" s="1" t="n">
        <x:f>_xlfn.XLOOKUP($A1082,Games!$A$2:$A$18,Games!$E$2:$E$18,"Missing game",0)</x:f>
        <x:v>45953</x:v>
      </x:c>
      <x:c r="AK1082" t="str">
        <x:f>_xlfn.XLOOKUP($A1082,Games!$A$2:$A$18,Games!$F$2:$F$18,"Missing game",0)</x:f>
        <x:v>Thursday</x:v>
      </x:c>
      <x:c r="AL1082" t="str">
        <x:f>_xlfn.XLOOKUP($A1082,Games!$A$2:$A$18,Games!$G$2:$G$18,"Missing game",0)</x:f>
        <x:v>MIN</x:v>
      </x:c>
      <x:c r="AM1082" t="n">
        <x:f>_xlfn.XLOOKUP($A1082,Games!$A$2:$A$18,Games!$H$2:$H$18,"Missing game",0)</x:f>
        <x:v>10</x:v>
      </x:c>
      <x:c r="AN1082" t="str">
        <x:f>_xlfn.XLOOKUP($A1082,Games!$A$2:$A$18,Games!$I$2:$I$18,"Missing game",0)</x:f>
        <x:v>LAC</x:v>
      </x:c>
      <x:c r="AO1082" t="n">
        <x:f>_xlfn.XLOOKUP($A1082,Games!$A$2:$A$18,Games!$J$2:$J$18,"Missing game",0)</x:f>
        <x:v>37</x:v>
      </x:c>
      <x:c r="AP1082" t="n">
        <x:f>_xlfn.XLOOKUP($A1082,Games!$A$2:$A$18,Games!$K$2:$K$18,"Missing game",0)</x:f>
        <x:v>27</x:v>
      </x:c>
      <x:c r="AQ1082" t="n">
        <x:f>_xlfn.XLOOKUP($A1082,Games!$A$2:$A$18,Games!$L$2:$L$18,"Missing game",0)</x:f>
        <x:v>47</x:v>
      </x:c>
      <x:c r="AR1082" t="n">
        <x:f>_xlfn.XLOOKUP($A1082,Games!$A$2:$A$18,Games!$M$2:$M$18,"Missing game",0)</x:f>
        <x:v>0</x:v>
      </x:c>
      <x:c r="AS1082" t="str">
        <x:f>_xlfn.XLOOKUP($A1082,Games!$A$2:$A$18,Games!$N$2:$N$18,"Missing game",0)</x:f>
        <x:v>dome</x:v>
      </x:c>
      <x:c r="AT1082" t="str">
        <x:f>_xlfn.XLOOKUP($A1082,Games!$A$2:$A$18,Games!$O$2:$O$18,"Missing game",0)</x:f>
        <x:v>matrixturf</x:v>
      </x:c>
      <x:c r="AU1082" t="str">
        <x:f>_xlfn.XLOOKUP($A1082,Games!$A$2:$A$18,Games!$P$2:$P$18,"Missing game",0)</x:f>
      </x:c>
      <x:c r="AV1082" t="str">
        <x:f>_xlfn.XLOOKUP($A1082,Games!$A$2:$A$18,Games!$Q$2:$Q$18,"Missing game",0)</x:f>
      </x:c>
      <x:c r="AW1082" t="str">
        <x:f>_xlfn.XLOOKUP($A1082,Games!$A$2:$A$18,Games!$R$2:$R$18,"Missing game",0)</x:f>
        <x:v>SoFi Stadium</x:v>
      </x:c>
    </x:row>
    <x:row r="1083">
      <x:c r="A1083" t="str">
        <x:v>2025_08_MIN_LAC</x:v>
      </x:c>
      <x:c r="B1083" t="n">
        <x:v>1769</x:v>
      </x:c>
      <x:c r="C1083" t="n">
        <x:v>2</x:v>
      </x:c>
      <x:c r="D1083" t="str">
        <x:v>02:08</x:v>
      </x:c>
      <x:c r="E1083" t="n">
        <x:v>1</x:v>
      </x:c>
      <x:c r="F1083" t="n">
        <x:v>10</x:v>
      </x:c>
      <x:c r="G1083" t="str">
        <x:v>LAC</x:v>
      </x:c>
      <x:c r="H1083" t="str">
        <x:v>MIN</x:v>
      </x:c>
      <x:c r="I1083" t="str">
        <x:v>LAC</x:v>
      </x:c>
      <x:c r="J1083" t="n">
        <x:v>83</x:v>
      </x:c>
      <x:c r="K1083" t="str">
        <x:v>(2:08) 10-J.Herbert pass short middle to 15-L.McConkey to LAC 33 for 16 yards (2-I.Rodgers).</x:v>
      </x:c>
      <x:c r="L1083" t="str">
        <x:v>pass</x:v>
      </x:c>
      <x:c r="M1083" t="n">
        <x:v>16</x:v>
      </x:c>
      <x:c r="N1083" t="n">
        <x:v>0</x:v>
      </x:c>
      <x:c r="O1083" t="n">
        <x:v>0</x:v>
      </x:c>
      <x:c r="P1083" t="str">
        <x:v>short</x:v>
      </x:c>
      <x:c r="Q1083" t="str">
        <x:v>middle</x:v>
      </x:c>
      <x:c r="R1083" t="n">
        <x:v>10</x:v>
      </x:c>
      <x:c r="S1083" t="n">
        <x:v>6</x:v>
      </x:c>
      <x:c r="T1083"/>
      <x:c r="U1083"/>
      <x:c r="V1083" t="n">
        <x:v>1</x:v>
      </x:c>
      <x:c r="W1083" t="n">
        <x:v>1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/>
      <x:c r="AC1083" t="n">
        <x:v>0</x:v>
      </x:c>
      <x:c r="AD1083" t="n">
        <x:v>0.882141794776544</x:v>
      </x:c>
      <x:c r="AE1083" t="n">
        <x:v>1</x:v>
      </x:c>
      <x:c r="AF1083" t="n">
        <x:v>0.009214997291564941</x:v>
      </x:c>
      <x:c r="AG1083" t="n">
        <x:f>_xlfn.XLOOKUP($A1083,Games!$A$2:$A$18,Games!$B$2:$B$18,"Missing game",0)</x:f>
        <x:v>2025</x:v>
      </x:c>
      <x:c r="AH1083" t="str">
        <x:f>_xlfn.XLOOKUP($A1083,Games!$A$2:$A$18,Games!$C$2:$C$18,"Missing game",0)</x:f>
        <x:v>REG</x:v>
      </x:c>
      <x:c r="AI1083" t="n">
        <x:f>_xlfn.XLOOKUP($A1083,Games!$A$2:$A$18,Games!$D$2:$D$18,"Missing game",0)</x:f>
        <x:v>8</x:v>
      </x:c>
      <x:c r="AJ1083" s="1" t="n">
        <x:f>_xlfn.XLOOKUP($A1083,Games!$A$2:$A$18,Games!$E$2:$E$18,"Missing game",0)</x:f>
        <x:v>45953</x:v>
      </x:c>
      <x:c r="AK1083" t="str">
        <x:f>_xlfn.XLOOKUP($A1083,Games!$A$2:$A$18,Games!$F$2:$F$18,"Missing game",0)</x:f>
        <x:v>Thursday</x:v>
      </x:c>
      <x:c r="AL1083" t="str">
        <x:f>_xlfn.XLOOKUP($A1083,Games!$A$2:$A$18,Games!$G$2:$G$18,"Missing game",0)</x:f>
        <x:v>MIN</x:v>
      </x:c>
      <x:c r="AM1083" t="n">
        <x:f>_xlfn.XLOOKUP($A1083,Games!$A$2:$A$18,Games!$H$2:$H$18,"Missing game",0)</x:f>
        <x:v>10</x:v>
      </x:c>
      <x:c r="AN1083" t="str">
        <x:f>_xlfn.XLOOKUP($A1083,Games!$A$2:$A$18,Games!$I$2:$I$18,"Missing game",0)</x:f>
        <x:v>LAC</x:v>
      </x:c>
      <x:c r="AO1083" t="n">
        <x:f>_xlfn.XLOOKUP($A1083,Games!$A$2:$A$18,Games!$J$2:$J$18,"Missing game",0)</x:f>
        <x:v>37</x:v>
      </x:c>
      <x:c r="AP1083" t="n">
        <x:f>_xlfn.XLOOKUP($A1083,Games!$A$2:$A$18,Games!$K$2:$K$18,"Missing game",0)</x:f>
        <x:v>27</x:v>
      </x:c>
      <x:c r="AQ1083" t="n">
        <x:f>_xlfn.XLOOKUP($A1083,Games!$A$2:$A$18,Games!$L$2:$L$18,"Missing game",0)</x:f>
        <x:v>47</x:v>
      </x:c>
      <x:c r="AR1083" t="n">
        <x:f>_xlfn.XLOOKUP($A1083,Games!$A$2:$A$18,Games!$M$2:$M$18,"Missing game",0)</x:f>
        <x:v>0</x:v>
      </x:c>
      <x:c r="AS1083" t="str">
        <x:f>_xlfn.XLOOKUP($A1083,Games!$A$2:$A$18,Games!$N$2:$N$18,"Missing game",0)</x:f>
        <x:v>dome</x:v>
      </x:c>
      <x:c r="AT1083" t="str">
        <x:f>_xlfn.XLOOKUP($A1083,Games!$A$2:$A$18,Games!$O$2:$O$18,"Missing game",0)</x:f>
        <x:v>matrixturf</x:v>
      </x:c>
      <x:c r="AU1083" t="str">
        <x:f>_xlfn.XLOOKUP($A1083,Games!$A$2:$A$18,Games!$P$2:$P$18,"Missing game",0)</x:f>
      </x:c>
      <x:c r="AV1083" t="str">
        <x:f>_xlfn.XLOOKUP($A1083,Games!$A$2:$A$18,Games!$Q$2:$Q$18,"Missing game",0)</x:f>
      </x:c>
      <x:c r="AW1083" t="str">
        <x:f>_xlfn.XLOOKUP($A1083,Games!$A$2:$A$18,Games!$R$2:$R$18,"Missing game",0)</x:f>
        <x:v>SoFi Stadium</x:v>
      </x:c>
    </x:row>
    <x:row r="1084">
      <x:c r="A1084" t="str">
        <x:v>2025_08_MIN_LAC</x:v>
      </x:c>
      <x:c r="B1084" t="n">
        <x:v>1794</x:v>
      </x:c>
      <x:c r="C1084" t="n">
        <x:v>2</x:v>
      </x:c>
      <x:c r="D1084" t="str">
        <x:v>01:57</x:v>
      </x:c>
      <x:c r="E1084" t="n">
        <x:v>1</x:v>
      </x:c>
      <x:c r="F1084" t="n">
        <x:v>10</x:v>
      </x:c>
      <x:c r="G1084" t="str">
        <x:v>LAC</x:v>
      </x:c>
      <x:c r="H1084" t="str">
        <x:v>MIN</x:v>
      </x:c>
      <x:c r="I1084" t="str">
        <x:v>LAC</x:v>
      </x:c>
      <x:c r="J1084" t="n">
        <x:v>67</x:v>
      </x:c>
      <x:c r="K1084" t="str">
        <x:v>(1:57) (Shotgun) 10-J.Herbert scrambles up the middle to MIN 49 for 18 yards (51-B.Cashman).</x:v>
      </x:c>
      <x:c r="L1084" t="str">
        <x:v>run</x:v>
      </x:c>
      <x:c r="M1084" t="n">
        <x:v>18</x:v>
      </x:c>
      <x:c r="N1084" t="n">
        <x:v>1</x:v>
      </x:c>
      <x:c r="O1084" t="n">
        <x:v>0</x:v>
      </x:c>
      <x:c r="P1084"/>
      <x:c r="Q1084"/>
      <x:c r="R1084"/>
      <x:c r="S1084"/>
      <x:c r="T1084" t="str">
        <x:v>middle</x:v>
      </x:c>
      <x:c r="U1084"/>
      <x:c r="V1084" t="n">
        <x:v>0</x:v>
      </x:c>
      <x:c r="W1084" t="n">
        <x:v>1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/>
      <x:c r="AC1084" t="n">
        <x:v>0</x:v>
      </x:c>
      <x:c r="AD1084" t="n">
        <x:v>0.9945767666213214</x:v>
      </x:c>
      <x:c r="AE1084" t="n">
        <x:v>1</x:v>
      </x:c>
      <x:c r="AF1084" t="n">
        <x:v>0.005038619041442871</x:v>
      </x:c>
      <x:c r="AG1084" t="n">
        <x:f>_xlfn.XLOOKUP($A1084,Games!$A$2:$A$18,Games!$B$2:$B$18,"Missing game",0)</x:f>
        <x:v>2025</x:v>
      </x:c>
      <x:c r="AH1084" t="str">
        <x:f>_xlfn.XLOOKUP($A1084,Games!$A$2:$A$18,Games!$C$2:$C$18,"Missing game",0)</x:f>
        <x:v>REG</x:v>
      </x:c>
      <x:c r="AI1084" t="n">
        <x:f>_xlfn.XLOOKUP($A1084,Games!$A$2:$A$18,Games!$D$2:$D$18,"Missing game",0)</x:f>
        <x:v>8</x:v>
      </x:c>
      <x:c r="AJ1084" s="1" t="n">
        <x:f>_xlfn.XLOOKUP($A1084,Games!$A$2:$A$18,Games!$E$2:$E$18,"Missing game",0)</x:f>
        <x:v>45953</x:v>
      </x:c>
      <x:c r="AK1084" t="str">
        <x:f>_xlfn.XLOOKUP($A1084,Games!$A$2:$A$18,Games!$F$2:$F$18,"Missing game",0)</x:f>
        <x:v>Thursday</x:v>
      </x:c>
      <x:c r="AL1084" t="str">
        <x:f>_xlfn.XLOOKUP($A1084,Games!$A$2:$A$18,Games!$G$2:$G$18,"Missing game",0)</x:f>
        <x:v>MIN</x:v>
      </x:c>
      <x:c r="AM1084" t="n">
        <x:f>_xlfn.XLOOKUP($A1084,Games!$A$2:$A$18,Games!$H$2:$H$18,"Missing game",0)</x:f>
        <x:v>10</x:v>
      </x:c>
      <x:c r="AN1084" t="str">
        <x:f>_xlfn.XLOOKUP($A1084,Games!$A$2:$A$18,Games!$I$2:$I$18,"Missing game",0)</x:f>
        <x:v>LAC</x:v>
      </x:c>
      <x:c r="AO1084" t="n">
        <x:f>_xlfn.XLOOKUP($A1084,Games!$A$2:$A$18,Games!$J$2:$J$18,"Missing game",0)</x:f>
        <x:v>37</x:v>
      </x:c>
      <x:c r="AP1084" t="n">
        <x:f>_xlfn.XLOOKUP($A1084,Games!$A$2:$A$18,Games!$K$2:$K$18,"Missing game",0)</x:f>
        <x:v>27</x:v>
      </x:c>
      <x:c r="AQ1084" t="n">
        <x:f>_xlfn.XLOOKUP($A1084,Games!$A$2:$A$18,Games!$L$2:$L$18,"Missing game",0)</x:f>
        <x:v>47</x:v>
      </x:c>
      <x:c r="AR1084" t="n">
        <x:f>_xlfn.XLOOKUP($A1084,Games!$A$2:$A$18,Games!$M$2:$M$18,"Missing game",0)</x:f>
        <x:v>0</x:v>
      </x:c>
      <x:c r="AS1084" t="str">
        <x:f>_xlfn.XLOOKUP($A1084,Games!$A$2:$A$18,Games!$N$2:$N$18,"Missing game",0)</x:f>
        <x:v>dome</x:v>
      </x:c>
      <x:c r="AT1084" t="str">
        <x:f>_xlfn.XLOOKUP($A1084,Games!$A$2:$A$18,Games!$O$2:$O$18,"Missing game",0)</x:f>
        <x:v>matrixturf</x:v>
      </x:c>
      <x:c r="AU1084" t="str">
        <x:f>_xlfn.XLOOKUP($A1084,Games!$A$2:$A$18,Games!$P$2:$P$18,"Missing game",0)</x:f>
      </x:c>
      <x:c r="AV1084" t="str">
        <x:f>_xlfn.XLOOKUP($A1084,Games!$A$2:$A$18,Games!$Q$2:$Q$18,"Missing game",0)</x:f>
      </x:c>
      <x:c r="AW1084" t="str">
        <x:f>_xlfn.XLOOKUP($A1084,Games!$A$2:$A$18,Games!$R$2:$R$18,"Missing game",0)</x:f>
        <x:v>SoFi Stadium</x:v>
      </x:c>
    </x:row>
    <x:row r="1085">
      <x:c r="A1085" t="str">
        <x:v>2025_08_MIN_LAC</x:v>
      </x:c>
      <x:c r="B1085" t="n">
        <x:v>1828</x:v>
      </x:c>
      <x:c r="C1085" t="n">
        <x:v>2</x:v>
      </x:c>
      <x:c r="D1085" t="str">
        <x:v>01:29</x:v>
      </x:c>
      <x:c r="E1085" t="n">
        <x:v>1</x:v>
      </x:c>
      <x:c r="F1085" t="n">
        <x:v>10</x:v>
      </x:c>
      <x:c r="G1085" t="str">
        <x:v>LAC</x:v>
      </x:c>
      <x:c r="H1085" t="str">
        <x:v>MIN</x:v>
      </x:c>
      <x:c r="I1085" t="str">
        <x:v>MIN</x:v>
      </x:c>
      <x:c r="J1085" t="n">
        <x:v>49</x:v>
      </x:c>
      <x:c r="K1085" t="str">
        <x:v>(1:29) (No Huddle, Shotgun) 10-J.Herbert scrambles left guard to MIN 42 for 7 yards (44-J.Metellus).</x:v>
      </x:c>
      <x:c r="L1085" t="str">
        <x:v>run</x:v>
      </x:c>
      <x:c r="M1085" t="n">
        <x:v>7</x:v>
      </x:c>
      <x:c r="N1085" t="n">
        <x:v>1</x:v>
      </x:c>
      <x:c r="O1085" t="n">
        <x:v>1</x:v>
      </x:c>
      <x:c r="P1085"/>
      <x:c r="Q1085"/>
      <x:c r="R1085"/>
      <x:c r="S1085"/>
      <x:c r="T1085" t="str">
        <x:v>left</x:v>
      </x:c>
      <x:c r="U1085" t="str">
        <x:v>guard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/>
      <x:c r="AC1085" t="n">
        <x:v>0</x:v>
      </x:c>
      <x:c r="AD1085" t="n">
        <x:v>0.18949499662267044</x:v>
      </x:c>
      <x:c r="AE1085" t="n">
        <x:v>1</x:v>
      </x:c>
      <x:c r="AF1085" t="n">
        <x:v>0.0052071213722229</x:v>
      </x:c>
      <x:c r="AG1085" t="n">
        <x:f>_xlfn.XLOOKUP($A1085,Games!$A$2:$A$18,Games!$B$2:$B$18,"Missing game",0)</x:f>
        <x:v>2025</x:v>
      </x:c>
      <x:c r="AH1085" t="str">
        <x:f>_xlfn.XLOOKUP($A1085,Games!$A$2:$A$18,Games!$C$2:$C$18,"Missing game",0)</x:f>
        <x:v>REG</x:v>
      </x:c>
      <x:c r="AI1085" t="n">
        <x:f>_xlfn.XLOOKUP($A1085,Games!$A$2:$A$18,Games!$D$2:$D$18,"Missing game",0)</x:f>
        <x:v>8</x:v>
      </x:c>
      <x:c r="AJ1085" s="1" t="n">
        <x:f>_xlfn.XLOOKUP($A1085,Games!$A$2:$A$18,Games!$E$2:$E$18,"Missing game",0)</x:f>
        <x:v>45953</x:v>
      </x:c>
      <x:c r="AK1085" t="str">
        <x:f>_xlfn.XLOOKUP($A1085,Games!$A$2:$A$18,Games!$F$2:$F$18,"Missing game",0)</x:f>
        <x:v>Thursday</x:v>
      </x:c>
      <x:c r="AL1085" t="str">
        <x:f>_xlfn.XLOOKUP($A1085,Games!$A$2:$A$18,Games!$G$2:$G$18,"Missing game",0)</x:f>
        <x:v>MIN</x:v>
      </x:c>
      <x:c r="AM1085" t="n">
        <x:f>_xlfn.XLOOKUP($A1085,Games!$A$2:$A$18,Games!$H$2:$H$18,"Missing game",0)</x:f>
        <x:v>10</x:v>
      </x:c>
      <x:c r="AN1085" t="str">
        <x:f>_xlfn.XLOOKUP($A1085,Games!$A$2:$A$18,Games!$I$2:$I$18,"Missing game",0)</x:f>
        <x:v>LAC</x:v>
      </x:c>
      <x:c r="AO1085" t="n">
        <x:f>_xlfn.XLOOKUP($A1085,Games!$A$2:$A$18,Games!$J$2:$J$18,"Missing game",0)</x:f>
        <x:v>37</x:v>
      </x:c>
      <x:c r="AP1085" t="n">
        <x:f>_xlfn.XLOOKUP($A1085,Games!$A$2:$A$18,Games!$K$2:$K$18,"Missing game",0)</x:f>
        <x:v>27</x:v>
      </x:c>
      <x:c r="AQ1085" t="n">
        <x:f>_xlfn.XLOOKUP($A1085,Games!$A$2:$A$18,Games!$L$2:$L$18,"Missing game",0)</x:f>
        <x:v>47</x:v>
      </x:c>
      <x:c r="AR1085" t="n">
        <x:f>_xlfn.XLOOKUP($A1085,Games!$A$2:$A$18,Games!$M$2:$M$18,"Missing game",0)</x:f>
        <x:v>0</x:v>
      </x:c>
      <x:c r="AS1085" t="str">
        <x:f>_xlfn.XLOOKUP($A1085,Games!$A$2:$A$18,Games!$N$2:$N$18,"Missing game",0)</x:f>
        <x:v>dome</x:v>
      </x:c>
      <x:c r="AT1085" t="str">
        <x:f>_xlfn.XLOOKUP($A1085,Games!$A$2:$A$18,Games!$O$2:$O$18,"Missing game",0)</x:f>
        <x:v>matrixturf</x:v>
      </x:c>
      <x:c r="AU1085" t="str">
        <x:f>_xlfn.XLOOKUP($A1085,Games!$A$2:$A$18,Games!$P$2:$P$18,"Missing game",0)</x:f>
      </x:c>
      <x:c r="AV1085" t="str">
        <x:f>_xlfn.XLOOKUP($A1085,Games!$A$2:$A$18,Games!$Q$2:$Q$18,"Missing game",0)</x:f>
      </x:c>
      <x:c r="AW1085" t="str">
        <x:f>_xlfn.XLOOKUP($A1085,Games!$A$2:$A$18,Games!$R$2:$R$18,"Missing game",0)</x:f>
        <x:v>SoFi Stadium</x:v>
      </x:c>
    </x:row>
    <x:row r="1086">
      <x:c r="A1086" t="str">
        <x:v>2025_08_MIN_LAC</x:v>
      </x:c>
      <x:c r="B1086" t="n">
        <x:v>1850</x:v>
      </x:c>
      <x:c r="C1086" t="n">
        <x:v>2</x:v>
      </x:c>
      <x:c r="D1086" t="str">
        <x:v>01:16</x:v>
      </x:c>
      <x:c r="E1086" t="n">
        <x:v>2</x:v>
      </x:c>
      <x:c r="F1086" t="n">
        <x:v>3</x:v>
      </x:c>
      <x:c r="G1086" t="str">
        <x:v>LAC</x:v>
      </x:c>
      <x:c r="H1086" t="str">
        <x:v>MIN</x:v>
      </x:c>
      <x:c r="I1086" t="str">
        <x:v>MIN</x:v>
      </x:c>
      <x:c r="J1086" t="n">
        <x:v>42</x:v>
      </x:c>
      <x:c r="K1086" t="str">
        <x:v>(1:16) (Shotgun) 10-J.Herbert pass short middle to 15-L.McConkey to MIN 27 for 15 yards (8-J.Okudah).</x:v>
      </x:c>
      <x:c r="L1086" t="str">
        <x:v>pass</x:v>
      </x:c>
      <x:c r="M1086" t="n">
        <x:v>15</x:v>
      </x:c>
      <x:c r="N1086" t="n">
        <x:v>1</x:v>
      </x:c>
      <x:c r="O1086" t="n">
        <x:v>0</x:v>
      </x:c>
      <x:c r="P1086" t="str">
        <x:v>short</x:v>
      </x:c>
      <x:c r="Q1086" t="str">
        <x:v>middle</x:v>
      </x:c>
      <x:c r="R1086" t="n">
        <x:v>8</x:v>
      </x:c>
      <x:c r="S1086" t="n">
        <x:v>7</x:v>
      </x:c>
      <x:c r="T1086"/>
      <x:c r="U1086"/>
      <x:c r="V1086" t="n">
        <x:v>1</x:v>
      </x:c>
      <x:c r="W1086" t="n">
        <x:v>1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/>
      <x:c r="AC1086" t="n">
        <x:v>0</x:v>
      </x:c>
      <x:c r="AD1086" t="n">
        <x:v>0.939527440816164</x:v>
      </x:c>
      <x:c r="AE1086" t="n">
        <x:v>1</x:v>
      </x:c>
      <x:c r="AF1086" t="n">
        <x:v>0.002637028694152832</x:v>
      </x:c>
      <x:c r="AG1086" t="n">
        <x:f>_xlfn.XLOOKUP($A1086,Games!$A$2:$A$18,Games!$B$2:$B$18,"Missing game",0)</x:f>
        <x:v>2025</x:v>
      </x:c>
      <x:c r="AH1086" t="str">
        <x:f>_xlfn.XLOOKUP($A1086,Games!$A$2:$A$18,Games!$C$2:$C$18,"Missing game",0)</x:f>
        <x:v>REG</x:v>
      </x:c>
      <x:c r="AI1086" t="n">
        <x:f>_xlfn.XLOOKUP($A1086,Games!$A$2:$A$18,Games!$D$2:$D$18,"Missing game",0)</x:f>
        <x:v>8</x:v>
      </x:c>
      <x:c r="AJ1086" s="1" t="n">
        <x:f>_xlfn.XLOOKUP($A1086,Games!$A$2:$A$18,Games!$E$2:$E$18,"Missing game",0)</x:f>
        <x:v>45953</x:v>
      </x:c>
      <x:c r="AK1086" t="str">
        <x:f>_xlfn.XLOOKUP($A1086,Games!$A$2:$A$18,Games!$F$2:$F$18,"Missing game",0)</x:f>
        <x:v>Thursday</x:v>
      </x:c>
      <x:c r="AL1086" t="str">
        <x:f>_xlfn.XLOOKUP($A1086,Games!$A$2:$A$18,Games!$G$2:$G$18,"Missing game",0)</x:f>
        <x:v>MIN</x:v>
      </x:c>
      <x:c r="AM1086" t="n">
        <x:f>_xlfn.XLOOKUP($A1086,Games!$A$2:$A$18,Games!$H$2:$H$18,"Missing game",0)</x:f>
        <x:v>10</x:v>
      </x:c>
      <x:c r="AN1086" t="str">
        <x:f>_xlfn.XLOOKUP($A1086,Games!$A$2:$A$18,Games!$I$2:$I$18,"Missing game",0)</x:f>
        <x:v>LAC</x:v>
      </x:c>
      <x:c r="AO1086" t="n">
        <x:f>_xlfn.XLOOKUP($A1086,Games!$A$2:$A$18,Games!$J$2:$J$18,"Missing game",0)</x:f>
        <x:v>37</x:v>
      </x:c>
      <x:c r="AP1086" t="n">
        <x:f>_xlfn.XLOOKUP($A1086,Games!$A$2:$A$18,Games!$K$2:$K$18,"Missing game",0)</x:f>
        <x:v>27</x:v>
      </x:c>
      <x:c r="AQ1086" t="n">
        <x:f>_xlfn.XLOOKUP($A1086,Games!$A$2:$A$18,Games!$L$2:$L$18,"Missing game",0)</x:f>
        <x:v>47</x:v>
      </x:c>
      <x:c r="AR1086" t="n">
        <x:f>_xlfn.XLOOKUP($A1086,Games!$A$2:$A$18,Games!$M$2:$M$18,"Missing game",0)</x:f>
        <x:v>0</x:v>
      </x:c>
      <x:c r="AS1086" t="str">
        <x:f>_xlfn.XLOOKUP($A1086,Games!$A$2:$A$18,Games!$N$2:$N$18,"Missing game",0)</x:f>
        <x:v>dome</x:v>
      </x:c>
      <x:c r="AT1086" t="str">
        <x:f>_xlfn.XLOOKUP($A1086,Games!$A$2:$A$18,Games!$O$2:$O$18,"Missing game",0)</x:f>
        <x:v>matrixturf</x:v>
      </x:c>
      <x:c r="AU1086" t="str">
        <x:f>_xlfn.XLOOKUP($A1086,Games!$A$2:$A$18,Games!$P$2:$P$18,"Missing game",0)</x:f>
      </x:c>
      <x:c r="AV1086" t="str">
        <x:f>_xlfn.XLOOKUP($A1086,Games!$A$2:$A$18,Games!$Q$2:$Q$18,"Missing game",0)</x:f>
      </x:c>
      <x:c r="AW1086" t="str">
        <x:f>_xlfn.XLOOKUP($A1086,Games!$A$2:$A$18,Games!$R$2:$R$18,"Missing game",0)</x:f>
        <x:v>SoFi Stadium</x:v>
      </x:c>
    </x:row>
    <x:row r="1087">
      <x:c r="A1087" t="str">
        <x:v>2025_08_MIN_LAC</x:v>
      </x:c>
      <x:c r="B1087" t="n">
        <x:v>1862</x:v>
      </x:c>
      <x:c r="C1087" t="n">
        <x:v>2</x:v>
      </x:c>
      <x:c r="D1087" t="str">
        <x:v>01:16</x:v>
      </x:c>
      <x:c r="E1087"/>
      <x:c r="F1087" t="n">
        <x:v>0</x:v>
      </x:c>
      <x:c r="G1087"/>
      <x:c r="H1087"/>
      <x:c r="I1087"/>
      <x:c r="J1087"/>
      <x:c r="K1087" t="str">
        <x:v>Timeout #1 by LAC at 01:16.</x:v>
      </x:c>
      <x:c r="L1087" t="str">
        <x:v>no_play</x:v>
      </x:c>
      <x:c r="M1087" t="n">
        <x:v>0</x:v>
      </x:c>
      <x:c r="N1087" t="n">
        <x:v>0</x:v>
      </x:c>
      <x:c r="O1087" t="n">
        <x:v>0</x:v>
      </x:c>
      <x:c r="P1087"/>
      <x:c r="Q1087"/>
      <x:c r="R1087"/>
      <x:c r="S1087"/>
      <x:c r="T1087"/>
      <x:c r="U1087"/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/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f>_xlfn.XLOOKUP($A1087,Games!$A$2:$A$18,Games!$B$2:$B$18,"Missing game",0)</x:f>
        <x:v>2025</x:v>
      </x:c>
      <x:c r="AH1087" t="str">
        <x:f>_xlfn.XLOOKUP($A1087,Games!$A$2:$A$18,Games!$C$2:$C$18,"Missing game",0)</x:f>
        <x:v>REG</x:v>
      </x:c>
      <x:c r="AI1087" t="n">
        <x:f>_xlfn.XLOOKUP($A1087,Games!$A$2:$A$18,Games!$D$2:$D$18,"Missing game",0)</x:f>
        <x:v>8</x:v>
      </x:c>
      <x:c r="AJ1087" s="1" t="n">
        <x:f>_xlfn.XLOOKUP($A1087,Games!$A$2:$A$18,Games!$E$2:$E$18,"Missing game",0)</x:f>
        <x:v>45953</x:v>
      </x:c>
      <x:c r="AK1087" t="str">
        <x:f>_xlfn.XLOOKUP($A1087,Games!$A$2:$A$18,Games!$F$2:$F$18,"Missing game",0)</x:f>
        <x:v>Thursday</x:v>
      </x:c>
      <x:c r="AL1087" t="str">
        <x:f>_xlfn.XLOOKUP($A1087,Games!$A$2:$A$18,Games!$G$2:$G$18,"Missing game",0)</x:f>
        <x:v>MIN</x:v>
      </x:c>
      <x:c r="AM1087" t="n">
        <x:f>_xlfn.XLOOKUP($A1087,Games!$A$2:$A$18,Games!$H$2:$H$18,"Missing game",0)</x:f>
        <x:v>10</x:v>
      </x:c>
      <x:c r="AN1087" t="str">
        <x:f>_xlfn.XLOOKUP($A1087,Games!$A$2:$A$18,Games!$I$2:$I$18,"Missing game",0)</x:f>
        <x:v>LAC</x:v>
      </x:c>
      <x:c r="AO1087" t="n">
        <x:f>_xlfn.XLOOKUP($A1087,Games!$A$2:$A$18,Games!$J$2:$J$18,"Missing game",0)</x:f>
        <x:v>37</x:v>
      </x:c>
      <x:c r="AP1087" t="n">
        <x:f>_xlfn.XLOOKUP($A1087,Games!$A$2:$A$18,Games!$K$2:$K$18,"Missing game",0)</x:f>
        <x:v>27</x:v>
      </x:c>
      <x:c r="AQ1087" t="n">
        <x:f>_xlfn.XLOOKUP($A1087,Games!$A$2:$A$18,Games!$L$2:$L$18,"Missing game",0)</x:f>
        <x:v>47</x:v>
      </x:c>
      <x:c r="AR1087" t="n">
        <x:f>_xlfn.XLOOKUP($A1087,Games!$A$2:$A$18,Games!$M$2:$M$18,"Missing game",0)</x:f>
        <x:v>0</x:v>
      </x:c>
      <x:c r="AS1087" t="str">
        <x:f>_xlfn.XLOOKUP($A1087,Games!$A$2:$A$18,Games!$N$2:$N$18,"Missing game",0)</x:f>
        <x:v>dome</x:v>
      </x:c>
      <x:c r="AT1087" t="str">
        <x:f>_xlfn.XLOOKUP($A1087,Games!$A$2:$A$18,Games!$O$2:$O$18,"Missing game",0)</x:f>
        <x:v>matrixturf</x:v>
      </x:c>
      <x:c r="AU1087" t="str">
        <x:f>_xlfn.XLOOKUP($A1087,Games!$A$2:$A$18,Games!$P$2:$P$18,"Missing game",0)</x:f>
      </x:c>
      <x:c r="AV1087" t="str">
        <x:f>_xlfn.XLOOKUP($A1087,Games!$A$2:$A$18,Games!$Q$2:$Q$18,"Missing game",0)</x:f>
      </x:c>
      <x:c r="AW1087" t="str">
        <x:f>_xlfn.XLOOKUP($A1087,Games!$A$2:$A$18,Games!$R$2:$R$18,"Missing game",0)</x:f>
        <x:v>SoFi Stadium</x:v>
      </x:c>
    </x:row>
    <x:row r="1088">
      <x:c r="A1088" t="str">
        <x:v>2025_08_MIN_LAC</x:v>
      </x:c>
      <x:c r="B1088" t="n">
        <x:v>1882</x:v>
      </x:c>
      <x:c r="C1088" t="n">
        <x:v>2</x:v>
      </x:c>
      <x:c r="D1088" t="str">
        <x:v>00:55</x:v>
      </x:c>
      <x:c r="E1088" t="n">
        <x:v>1</x:v>
      </x:c>
      <x:c r="F1088" t="n">
        <x:v>10</x:v>
      </x:c>
      <x:c r="G1088" t="str">
        <x:v>LAC</x:v>
      </x:c>
      <x:c r="H1088" t="str">
        <x:v>MIN</x:v>
      </x:c>
      <x:c r="I1088" t="str">
        <x:v>MIN</x:v>
      </x:c>
      <x:c r="J1088" t="n">
        <x:v>27</x:v>
      </x:c>
      <x:c r="K1088" t="str">
        <x:v>(:55) (No Huddle, Shotgun) 10-J.Herbert pass incomplete deep right to 13-K.Allen.</x:v>
      </x:c>
      <x:c r="L1088" t="str">
        <x:v>pass</x:v>
      </x:c>
      <x:c r="M1088" t="n">
        <x:v>0</x:v>
      </x:c>
      <x:c r="N1088" t="n">
        <x:v>1</x:v>
      </x:c>
      <x:c r="O1088" t="n">
        <x:v>1</x:v>
      </x:c>
      <x:c r="P1088" t="str">
        <x:v>deep</x:v>
      </x:c>
      <x:c r="Q1088" t="str">
        <x:v>right</x:v>
      </x:c>
      <x:c r="R1088" t="n">
        <x:v>21</x:v>
      </x:c>
      <x:c r="S1088"/>
      <x:c r="T1088"/>
      <x:c r="U1088"/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/>
      <x:c r="AC1088" t="n">
        <x:v>0</x:v>
      </x:c>
      <x:c r="AD1088" t="n">
        <x:v>-0.3613919850322418</x:v>
      </x:c>
      <x:c r="AE1088" t="n">
        <x:v>0</x:v>
      </x:c>
      <x:c r="AF1088" t="n">
        <x:v>-0.004810333251953125</x:v>
      </x:c>
      <x:c r="AG1088" t="n">
        <x:f>_xlfn.XLOOKUP($A1088,Games!$A$2:$A$18,Games!$B$2:$B$18,"Missing game",0)</x:f>
        <x:v>2025</x:v>
      </x:c>
      <x:c r="AH1088" t="str">
        <x:f>_xlfn.XLOOKUP($A1088,Games!$A$2:$A$18,Games!$C$2:$C$18,"Missing game",0)</x:f>
        <x:v>REG</x:v>
      </x:c>
      <x:c r="AI1088" t="n">
        <x:f>_xlfn.XLOOKUP($A1088,Games!$A$2:$A$18,Games!$D$2:$D$18,"Missing game",0)</x:f>
        <x:v>8</x:v>
      </x:c>
      <x:c r="AJ1088" s="1" t="n">
        <x:f>_xlfn.XLOOKUP($A1088,Games!$A$2:$A$18,Games!$E$2:$E$18,"Missing game",0)</x:f>
        <x:v>45953</x:v>
      </x:c>
      <x:c r="AK1088" t="str">
        <x:f>_xlfn.XLOOKUP($A1088,Games!$A$2:$A$18,Games!$F$2:$F$18,"Missing game",0)</x:f>
        <x:v>Thursday</x:v>
      </x:c>
      <x:c r="AL1088" t="str">
        <x:f>_xlfn.XLOOKUP($A1088,Games!$A$2:$A$18,Games!$G$2:$G$18,"Missing game",0)</x:f>
        <x:v>MIN</x:v>
      </x:c>
      <x:c r="AM1088" t="n">
        <x:f>_xlfn.XLOOKUP($A1088,Games!$A$2:$A$18,Games!$H$2:$H$18,"Missing game",0)</x:f>
        <x:v>10</x:v>
      </x:c>
      <x:c r="AN1088" t="str">
        <x:f>_xlfn.XLOOKUP($A1088,Games!$A$2:$A$18,Games!$I$2:$I$18,"Missing game",0)</x:f>
        <x:v>LAC</x:v>
      </x:c>
      <x:c r="AO1088" t="n">
        <x:f>_xlfn.XLOOKUP($A1088,Games!$A$2:$A$18,Games!$J$2:$J$18,"Missing game",0)</x:f>
        <x:v>37</x:v>
      </x:c>
      <x:c r="AP1088" t="n">
        <x:f>_xlfn.XLOOKUP($A1088,Games!$A$2:$A$18,Games!$K$2:$K$18,"Missing game",0)</x:f>
        <x:v>27</x:v>
      </x:c>
      <x:c r="AQ1088" t="n">
        <x:f>_xlfn.XLOOKUP($A1088,Games!$A$2:$A$18,Games!$L$2:$L$18,"Missing game",0)</x:f>
        <x:v>47</x:v>
      </x:c>
      <x:c r="AR1088" t="n">
        <x:f>_xlfn.XLOOKUP($A1088,Games!$A$2:$A$18,Games!$M$2:$M$18,"Missing game",0)</x:f>
        <x:v>0</x:v>
      </x:c>
      <x:c r="AS1088" t="str">
        <x:f>_xlfn.XLOOKUP($A1088,Games!$A$2:$A$18,Games!$N$2:$N$18,"Missing game",0)</x:f>
        <x:v>dome</x:v>
      </x:c>
      <x:c r="AT1088" t="str">
        <x:f>_xlfn.XLOOKUP($A1088,Games!$A$2:$A$18,Games!$O$2:$O$18,"Missing game",0)</x:f>
        <x:v>matrixturf</x:v>
      </x:c>
      <x:c r="AU1088" t="str">
        <x:f>_xlfn.XLOOKUP($A1088,Games!$A$2:$A$18,Games!$P$2:$P$18,"Missing game",0)</x:f>
      </x:c>
      <x:c r="AV1088" t="str">
        <x:f>_xlfn.XLOOKUP($A1088,Games!$A$2:$A$18,Games!$Q$2:$Q$18,"Missing game",0)</x:f>
      </x:c>
      <x:c r="AW1088" t="str">
        <x:f>_xlfn.XLOOKUP($A1088,Games!$A$2:$A$18,Games!$R$2:$R$18,"Missing game",0)</x:f>
        <x:v>SoFi Stadium</x:v>
      </x:c>
    </x:row>
    <x:row r="1089">
      <x:c r="A1089" t="str">
        <x:v>2025_08_MIN_LAC</x:v>
      </x:c>
      <x:c r="B1089" t="n">
        <x:v>1905</x:v>
      </x:c>
      <x:c r="C1089" t="n">
        <x:v>2</x:v>
      </x:c>
      <x:c r="D1089" t="str">
        <x:v>00:50</x:v>
      </x:c>
      <x:c r="E1089" t="n">
        <x:v>2</x:v>
      </x:c>
      <x:c r="F1089" t="n">
        <x:v>10</x:v>
      </x:c>
      <x:c r="G1089" t="str">
        <x:v>LAC</x:v>
      </x:c>
      <x:c r="H1089" t="str">
        <x:v>MIN</x:v>
      </x:c>
      <x:c r="I1089" t="str">
        <x:v>MIN</x:v>
      </x:c>
      <x:c r="J1089" t="n">
        <x:v>27</x:v>
      </x:c>
      <x:c r="K1089" t="str">
        <x:v>(:50) (Shotgun) 10-J.Herbert pass deep right to 15-L.McConkey for 27 yards, TOUCHDOWN.</x:v>
      </x:c>
      <x:c r="L1089" t="str">
        <x:v>pass</x:v>
      </x:c>
      <x:c r="M1089" t="n">
        <x:v>27</x:v>
      </x:c>
      <x:c r="N1089" t="n">
        <x:v>1</x:v>
      </x:c>
      <x:c r="O1089" t="n">
        <x:v>0</x:v>
      </x:c>
      <x:c r="P1089" t="str">
        <x:v>deep</x:v>
      </x:c>
      <x:c r="Q1089" t="str">
        <x:v>right</x:v>
      </x:c>
      <x:c r="R1089" t="n">
        <x:v>27</x:v>
      </x:c>
      <x:c r="S1089" t="n">
        <x:v>0</x:v>
      </x:c>
      <x:c r="T1089"/>
      <x:c r="U1089"/>
      <x:c r="V1089" t="n">
        <x:v>1</x:v>
      </x:c>
      <x:c r="W1089" t="n">
        <x:v>1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/>
      <x:c r="AC1089" t="n">
        <x:v>1</x:v>
      </x:c>
      <x:c r="AD1089" t="n">
        <x:v>3.607096284045838</x:v>
      </x:c>
      <x:c r="AE1089" t="n">
        <x:v>1</x:v>
      </x:c>
      <x:c r="AF1089" t="n">
        <x:v>0.005667919823450385</x:v>
      </x:c>
      <x:c r="AG1089" t="n">
        <x:f>_xlfn.XLOOKUP($A1089,Games!$A$2:$A$18,Games!$B$2:$B$18,"Missing game",0)</x:f>
        <x:v>2025</x:v>
      </x:c>
      <x:c r="AH1089" t="str">
        <x:f>_xlfn.XLOOKUP($A1089,Games!$A$2:$A$18,Games!$C$2:$C$18,"Missing game",0)</x:f>
        <x:v>REG</x:v>
      </x:c>
      <x:c r="AI1089" t="n">
        <x:f>_xlfn.XLOOKUP($A1089,Games!$A$2:$A$18,Games!$D$2:$D$18,"Missing game",0)</x:f>
        <x:v>8</x:v>
      </x:c>
      <x:c r="AJ1089" s="1" t="n">
        <x:f>_xlfn.XLOOKUP($A1089,Games!$A$2:$A$18,Games!$E$2:$E$18,"Missing game",0)</x:f>
        <x:v>45953</x:v>
      </x:c>
      <x:c r="AK1089" t="str">
        <x:f>_xlfn.XLOOKUP($A1089,Games!$A$2:$A$18,Games!$F$2:$F$18,"Missing game",0)</x:f>
        <x:v>Thursday</x:v>
      </x:c>
      <x:c r="AL1089" t="str">
        <x:f>_xlfn.XLOOKUP($A1089,Games!$A$2:$A$18,Games!$G$2:$G$18,"Missing game",0)</x:f>
        <x:v>MIN</x:v>
      </x:c>
      <x:c r="AM1089" t="n">
        <x:f>_xlfn.XLOOKUP($A1089,Games!$A$2:$A$18,Games!$H$2:$H$18,"Missing game",0)</x:f>
        <x:v>10</x:v>
      </x:c>
      <x:c r="AN1089" t="str">
        <x:f>_xlfn.XLOOKUP($A1089,Games!$A$2:$A$18,Games!$I$2:$I$18,"Missing game",0)</x:f>
        <x:v>LAC</x:v>
      </x:c>
      <x:c r="AO1089" t="n">
        <x:f>_xlfn.XLOOKUP($A1089,Games!$A$2:$A$18,Games!$J$2:$J$18,"Missing game",0)</x:f>
        <x:v>37</x:v>
      </x:c>
      <x:c r="AP1089" t="n">
        <x:f>_xlfn.XLOOKUP($A1089,Games!$A$2:$A$18,Games!$K$2:$K$18,"Missing game",0)</x:f>
        <x:v>27</x:v>
      </x:c>
      <x:c r="AQ1089" t="n">
        <x:f>_xlfn.XLOOKUP($A1089,Games!$A$2:$A$18,Games!$L$2:$L$18,"Missing game",0)</x:f>
        <x:v>47</x:v>
      </x:c>
      <x:c r="AR1089" t="n">
        <x:f>_xlfn.XLOOKUP($A1089,Games!$A$2:$A$18,Games!$M$2:$M$18,"Missing game",0)</x:f>
        <x:v>0</x:v>
      </x:c>
      <x:c r="AS1089" t="str">
        <x:f>_xlfn.XLOOKUP($A1089,Games!$A$2:$A$18,Games!$N$2:$N$18,"Missing game",0)</x:f>
        <x:v>dome</x:v>
      </x:c>
      <x:c r="AT1089" t="str">
        <x:f>_xlfn.XLOOKUP($A1089,Games!$A$2:$A$18,Games!$O$2:$O$18,"Missing game",0)</x:f>
        <x:v>matrixturf</x:v>
      </x:c>
      <x:c r="AU1089" t="str">
        <x:f>_xlfn.XLOOKUP($A1089,Games!$A$2:$A$18,Games!$P$2:$P$18,"Missing game",0)</x:f>
      </x:c>
      <x:c r="AV1089" t="str">
        <x:f>_xlfn.XLOOKUP($A1089,Games!$A$2:$A$18,Games!$Q$2:$Q$18,"Missing game",0)</x:f>
      </x:c>
      <x:c r="AW1089" t="str">
        <x:f>_xlfn.XLOOKUP($A1089,Games!$A$2:$A$18,Games!$R$2:$R$18,"Missing game",0)</x:f>
        <x:v>SoFi Stadium</x:v>
      </x:c>
    </x:row>
    <x:row r="1090">
      <x:c r="A1090" t="str">
        <x:v>2025_08_MIN_LAC</x:v>
      </x:c>
      <x:c r="B1090" t="n">
        <x:v>1931</x:v>
      </x:c>
      <x:c r="C1090" t="n">
        <x:v>2</x:v>
      </x:c>
      <x:c r="D1090" t="str">
        <x:v>00:45</x:v>
      </x:c>
      <x:c r="E1090"/>
      <x:c r="F1090" t="n">
        <x:v>0</x:v>
      </x:c>
      <x:c r="G1090" t="str">
        <x:v>LAC</x:v>
      </x:c>
      <x:c r="H1090" t="str">
        <x:v>MIN</x:v>
      </x:c>
      <x:c r="I1090" t="str">
        <x:v>MIN</x:v>
      </x:c>
      <x:c r="J1090" t="n">
        <x:v>15</x:v>
      </x:c>
      <x:c r="K1090" t="str">
        <x:v>11-C.Dicker extra point is GOOD, Center-41-R.Lovato, Holder-16-J.Scott.</x:v>
      </x:c>
      <x:c r="L1090" t="str">
        <x:v>extra_point</x:v>
      </x:c>
      <x:c r="M1090" t="n">
        <x:v>0</x:v>
      </x:c>
      <x:c r="N1090" t="n">
        <x:v>0</x:v>
      </x:c>
      <x:c r="O1090" t="n">
        <x:v>0</x:v>
      </x:c>
      <x:c r="P1090"/>
      <x:c r="Q1090"/>
      <x:c r="R1090"/>
      <x:c r="S1090"/>
      <x:c r="T1090"/>
      <x:c r="U1090"/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/>
      <x:c r="AC1090" t="n">
        <x:v>0</x:v>
      </x:c>
      <x:c r="AD1090" t="n">
        <x:v>0.05117156607063911</x:v>
      </x:c>
      <x:c r="AE1090" t="n">
        <x:v>1</x:v>
      </x:c>
      <x:c r="AF1090" t="n">
        <x:v>-0.00019319594792777117</x:v>
      </x:c>
      <x:c r="AG1090" t="n">
        <x:f>_xlfn.XLOOKUP($A1090,Games!$A$2:$A$18,Games!$B$2:$B$18,"Missing game",0)</x:f>
        <x:v>2025</x:v>
      </x:c>
      <x:c r="AH1090" t="str">
        <x:f>_xlfn.XLOOKUP($A1090,Games!$A$2:$A$18,Games!$C$2:$C$18,"Missing game",0)</x:f>
        <x:v>REG</x:v>
      </x:c>
      <x:c r="AI1090" t="n">
        <x:f>_xlfn.XLOOKUP($A1090,Games!$A$2:$A$18,Games!$D$2:$D$18,"Missing game",0)</x:f>
        <x:v>8</x:v>
      </x:c>
      <x:c r="AJ1090" s="1" t="n">
        <x:f>_xlfn.XLOOKUP($A1090,Games!$A$2:$A$18,Games!$E$2:$E$18,"Missing game",0)</x:f>
        <x:v>45953</x:v>
      </x:c>
      <x:c r="AK1090" t="str">
        <x:f>_xlfn.XLOOKUP($A1090,Games!$A$2:$A$18,Games!$F$2:$F$18,"Missing game",0)</x:f>
        <x:v>Thursday</x:v>
      </x:c>
      <x:c r="AL1090" t="str">
        <x:f>_xlfn.XLOOKUP($A1090,Games!$A$2:$A$18,Games!$G$2:$G$18,"Missing game",0)</x:f>
        <x:v>MIN</x:v>
      </x:c>
      <x:c r="AM1090" t="n">
        <x:f>_xlfn.XLOOKUP($A1090,Games!$A$2:$A$18,Games!$H$2:$H$18,"Missing game",0)</x:f>
        <x:v>10</x:v>
      </x:c>
      <x:c r="AN1090" t="str">
        <x:f>_xlfn.XLOOKUP($A1090,Games!$A$2:$A$18,Games!$I$2:$I$18,"Missing game",0)</x:f>
        <x:v>LAC</x:v>
      </x:c>
      <x:c r="AO1090" t="n">
        <x:f>_xlfn.XLOOKUP($A1090,Games!$A$2:$A$18,Games!$J$2:$J$18,"Missing game",0)</x:f>
        <x:v>37</x:v>
      </x:c>
      <x:c r="AP1090" t="n">
        <x:f>_xlfn.XLOOKUP($A1090,Games!$A$2:$A$18,Games!$K$2:$K$18,"Missing game",0)</x:f>
        <x:v>27</x:v>
      </x:c>
      <x:c r="AQ1090" t="n">
        <x:f>_xlfn.XLOOKUP($A1090,Games!$A$2:$A$18,Games!$L$2:$L$18,"Missing game",0)</x:f>
        <x:v>47</x:v>
      </x:c>
      <x:c r="AR1090" t="n">
        <x:f>_xlfn.XLOOKUP($A1090,Games!$A$2:$A$18,Games!$M$2:$M$18,"Missing game",0)</x:f>
        <x:v>0</x:v>
      </x:c>
      <x:c r="AS1090" t="str">
        <x:f>_xlfn.XLOOKUP($A1090,Games!$A$2:$A$18,Games!$N$2:$N$18,"Missing game",0)</x:f>
        <x:v>dome</x:v>
      </x:c>
      <x:c r="AT1090" t="str">
        <x:f>_xlfn.XLOOKUP($A1090,Games!$A$2:$A$18,Games!$O$2:$O$18,"Missing game",0)</x:f>
        <x:v>matrixturf</x:v>
      </x:c>
      <x:c r="AU1090" t="str">
        <x:f>_xlfn.XLOOKUP($A1090,Games!$A$2:$A$18,Games!$P$2:$P$18,"Missing game",0)</x:f>
      </x:c>
      <x:c r="AV1090" t="str">
        <x:f>_xlfn.XLOOKUP($A1090,Games!$A$2:$A$18,Games!$Q$2:$Q$18,"Missing game",0)</x:f>
      </x:c>
      <x:c r="AW1090" t="str">
        <x:f>_xlfn.XLOOKUP($A1090,Games!$A$2:$A$18,Games!$R$2:$R$18,"Missing game",0)</x:f>
        <x:v>SoFi Stadium</x:v>
      </x:c>
    </x:row>
    <x:row r="1091">
      <x:c r="A1091" t="str">
        <x:v>2025_08_MIN_LAC</x:v>
      </x:c>
      <x:c r="B1091" t="n">
        <x:v>1946</x:v>
      </x:c>
      <x:c r="C1091" t="n">
        <x:v>2</x:v>
      </x:c>
      <x:c r="D1091" t="str">
        <x:v>00:45</x:v>
      </x:c>
      <x:c r="E1091"/>
      <x:c r="F1091" t="n">
        <x:v>0</x:v>
      </x:c>
      <x:c r="G1091" t="str">
        <x:v>MIN</x:v>
      </x:c>
      <x:c r="H1091" t="str">
        <x:v>LAC</x:v>
      </x:c>
      <x:c r="I1091" t="str">
        <x:v>LAC</x:v>
      </x:c>
      <x:c r="J1091" t="n">
        <x:v>35</x:v>
      </x:c>
      <x:c r="K1091" t="str">
        <x:v>11-C.Dicker kicks 24 yards from LAC 35 to MIN 41, short of landing zone. PENALTY on LAC-11-C.Dicker, Kickoff Short of Landing Zone, placed at MIN 41.</x:v>
      </x:c>
      <x:c r="L1091" t="str">
        <x:v>kickoff</x:v>
      </x:c>
      <x:c r="M1091" t="n">
        <x:v>0</x:v>
      </x:c>
      <x:c r="N1091" t="n">
        <x:v>0</x:v>
      </x:c>
      <x:c r="O1091" t="n">
        <x:v>0</x:v>
      </x:c>
      <x:c r="P1091"/>
      <x:c r="Q1091"/>
      <x:c r="R1091"/>
      <x:c r="S1091"/>
      <x:c r="T1091"/>
      <x:c r="U1091"/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1</x:v>
      </x:c>
      <x:c r="AB1091" t="n">
        <x:v>0</x:v>
      </x:c>
      <x:c r="AC1091" t="n">
        <x:v>0</x:v>
      </x:c>
      <x:c r="AD1091" t="n">
        <x:v>0.765436279878486</x:v>
      </x:c>
      <x:c r="AE1091" t="n">
        <x:v>1</x:v>
      </x:c>
      <x:c r="AF1091" t="n">
        <x:v>0.005655966699123383</x:v>
      </x:c>
      <x:c r="AG1091" t="n">
        <x:f>_xlfn.XLOOKUP($A1091,Games!$A$2:$A$18,Games!$B$2:$B$18,"Missing game",0)</x:f>
        <x:v>2025</x:v>
      </x:c>
      <x:c r="AH1091" t="str">
        <x:f>_xlfn.XLOOKUP($A1091,Games!$A$2:$A$18,Games!$C$2:$C$18,"Missing game",0)</x:f>
        <x:v>REG</x:v>
      </x:c>
      <x:c r="AI1091" t="n">
        <x:f>_xlfn.XLOOKUP($A1091,Games!$A$2:$A$18,Games!$D$2:$D$18,"Missing game",0)</x:f>
        <x:v>8</x:v>
      </x:c>
      <x:c r="AJ1091" s="1" t="n">
        <x:f>_xlfn.XLOOKUP($A1091,Games!$A$2:$A$18,Games!$E$2:$E$18,"Missing game",0)</x:f>
        <x:v>45953</x:v>
      </x:c>
      <x:c r="AK1091" t="str">
        <x:f>_xlfn.XLOOKUP($A1091,Games!$A$2:$A$18,Games!$F$2:$F$18,"Missing game",0)</x:f>
        <x:v>Thursday</x:v>
      </x:c>
      <x:c r="AL1091" t="str">
        <x:f>_xlfn.XLOOKUP($A1091,Games!$A$2:$A$18,Games!$G$2:$G$18,"Missing game",0)</x:f>
        <x:v>MIN</x:v>
      </x:c>
      <x:c r="AM1091" t="n">
        <x:f>_xlfn.XLOOKUP($A1091,Games!$A$2:$A$18,Games!$H$2:$H$18,"Missing game",0)</x:f>
        <x:v>10</x:v>
      </x:c>
      <x:c r="AN1091" t="str">
        <x:f>_xlfn.XLOOKUP($A1091,Games!$A$2:$A$18,Games!$I$2:$I$18,"Missing game",0)</x:f>
        <x:v>LAC</x:v>
      </x:c>
      <x:c r="AO1091" t="n">
        <x:f>_xlfn.XLOOKUP($A1091,Games!$A$2:$A$18,Games!$J$2:$J$18,"Missing game",0)</x:f>
        <x:v>37</x:v>
      </x:c>
      <x:c r="AP1091" t="n">
        <x:f>_xlfn.XLOOKUP($A1091,Games!$A$2:$A$18,Games!$K$2:$K$18,"Missing game",0)</x:f>
        <x:v>27</x:v>
      </x:c>
      <x:c r="AQ1091" t="n">
        <x:f>_xlfn.XLOOKUP($A1091,Games!$A$2:$A$18,Games!$L$2:$L$18,"Missing game",0)</x:f>
        <x:v>47</x:v>
      </x:c>
      <x:c r="AR1091" t="n">
        <x:f>_xlfn.XLOOKUP($A1091,Games!$A$2:$A$18,Games!$M$2:$M$18,"Missing game",0)</x:f>
        <x:v>0</x:v>
      </x:c>
      <x:c r="AS1091" t="str">
        <x:f>_xlfn.XLOOKUP($A1091,Games!$A$2:$A$18,Games!$N$2:$N$18,"Missing game",0)</x:f>
        <x:v>dome</x:v>
      </x:c>
      <x:c r="AT1091" t="str">
        <x:f>_xlfn.XLOOKUP($A1091,Games!$A$2:$A$18,Games!$O$2:$O$18,"Missing game",0)</x:f>
        <x:v>matrixturf</x:v>
      </x:c>
      <x:c r="AU1091" t="str">
        <x:f>_xlfn.XLOOKUP($A1091,Games!$A$2:$A$18,Games!$P$2:$P$18,"Missing game",0)</x:f>
      </x:c>
      <x:c r="AV1091" t="str">
        <x:f>_xlfn.XLOOKUP($A1091,Games!$A$2:$A$18,Games!$Q$2:$Q$18,"Missing game",0)</x:f>
      </x:c>
      <x:c r="AW1091" t="str">
        <x:f>_xlfn.XLOOKUP($A1091,Games!$A$2:$A$18,Games!$R$2:$R$18,"Missing game",0)</x:f>
        <x:v>SoFi Stadium</x:v>
      </x:c>
    </x:row>
    <x:row r="1092">
      <x:c r="A1092" t="str">
        <x:v>2025_08_MIN_LAC</x:v>
      </x:c>
      <x:c r="B1092" t="n">
        <x:v>1975</x:v>
      </x:c>
      <x:c r="C1092" t="n">
        <x:v>2</x:v>
      </x:c>
      <x:c r="D1092" t="str">
        <x:v>00:45</x:v>
      </x:c>
      <x:c r="E1092" t="n">
        <x:v>1</x:v>
      </x:c>
      <x:c r="F1092" t="n">
        <x:v>10</x:v>
      </x:c>
      <x:c r="G1092" t="str">
        <x:v>MIN</x:v>
      </x:c>
      <x:c r="H1092" t="str">
        <x:v>LAC</x:v>
      </x:c>
      <x:c r="I1092" t="str">
        <x:v>MIN</x:v>
      </x:c>
      <x:c r="J1092" t="n">
        <x:v>59</x:v>
      </x:c>
      <x:c r="K1092" t="str">
        <x:v>(:45) (Shotgun) 11-C.Wentz pass short right to 3-J.Addison to LAC 44 for 15 yards (20-C.Hart).</x:v>
      </x:c>
      <x:c r="L1092" t="str">
        <x:v>pass</x:v>
      </x:c>
      <x:c r="M1092" t="n">
        <x:v>15</x:v>
      </x:c>
      <x:c r="N1092" t="n">
        <x:v>1</x:v>
      </x:c>
      <x:c r="O1092" t="n">
        <x:v>0</x:v>
      </x:c>
      <x:c r="P1092" t="str">
        <x:v>short</x:v>
      </x:c>
      <x:c r="Q1092" t="str">
        <x:v>right</x:v>
      </x:c>
      <x:c r="R1092" t="n">
        <x:v>15</x:v>
      </x:c>
      <x:c r="S1092" t="n">
        <x:v>0</x:v>
      </x:c>
      <x:c r="T1092"/>
      <x:c r="U1092"/>
      <x:c r="V1092" t="n">
        <x:v>1</x:v>
      </x:c>
      <x:c r="W1092" t="n">
        <x:v>1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/>
      <x:c r="AC1092" t="n">
        <x:v>0</x:v>
      </x:c>
      <x:c r="AD1092" t="n">
        <x:v>0.9971274440758862</x:v>
      </x:c>
      <x:c r="AE1092" t="n">
        <x:v>1</x:v>
      </x:c>
      <x:c r="AF1092" t="n">
        <x:v>-0.00008206069469451904</x:v>
      </x:c>
      <x:c r="AG1092" t="n">
        <x:f>_xlfn.XLOOKUP($A1092,Games!$A$2:$A$18,Games!$B$2:$B$18,"Missing game",0)</x:f>
        <x:v>2025</x:v>
      </x:c>
      <x:c r="AH1092" t="str">
        <x:f>_xlfn.XLOOKUP($A1092,Games!$A$2:$A$18,Games!$C$2:$C$18,"Missing game",0)</x:f>
        <x:v>REG</x:v>
      </x:c>
      <x:c r="AI1092" t="n">
        <x:f>_xlfn.XLOOKUP($A1092,Games!$A$2:$A$18,Games!$D$2:$D$18,"Missing game",0)</x:f>
        <x:v>8</x:v>
      </x:c>
      <x:c r="AJ1092" s="1" t="n">
        <x:f>_xlfn.XLOOKUP($A1092,Games!$A$2:$A$18,Games!$E$2:$E$18,"Missing game",0)</x:f>
        <x:v>45953</x:v>
      </x:c>
      <x:c r="AK1092" t="str">
        <x:f>_xlfn.XLOOKUP($A1092,Games!$A$2:$A$18,Games!$F$2:$F$18,"Missing game",0)</x:f>
        <x:v>Thursday</x:v>
      </x:c>
      <x:c r="AL1092" t="str">
        <x:f>_xlfn.XLOOKUP($A1092,Games!$A$2:$A$18,Games!$G$2:$G$18,"Missing game",0)</x:f>
        <x:v>MIN</x:v>
      </x:c>
      <x:c r="AM1092" t="n">
        <x:f>_xlfn.XLOOKUP($A1092,Games!$A$2:$A$18,Games!$H$2:$H$18,"Missing game",0)</x:f>
        <x:v>10</x:v>
      </x:c>
      <x:c r="AN1092" t="str">
        <x:f>_xlfn.XLOOKUP($A1092,Games!$A$2:$A$18,Games!$I$2:$I$18,"Missing game",0)</x:f>
        <x:v>LAC</x:v>
      </x:c>
      <x:c r="AO1092" t="n">
        <x:f>_xlfn.XLOOKUP($A1092,Games!$A$2:$A$18,Games!$J$2:$J$18,"Missing game",0)</x:f>
        <x:v>37</x:v>
      </x:c>
      <x:c r="AP1092" t="n">
        <x:f>_xlfn.XLOOKUP($A1092,Games!$A$2:$A$18,Games!$K$2:$K$18,"Missing game",0)</x:f>
        <x:v>27</x:v>
      </x:c>
      <x:c r="AQ1092" t="n">
        <x:f>_xlfn.XLOOKUP($A1092,Games!$A$2:$A$18,Games!$L$2:$L$18,"Missing game",0)</x:f>
        <x:v>47</x:v>
      </x:c>
      <x:c r="AR1092" t="n">
        <x:f>_xlfn.XLOOKUP($A1092,Games!$A$2:$A$18,Games!$M$2:$M$18,"Missing game",0)</x:f>
        <x:v>0</x:v>
      </x:c>
      <x:c r="AS1092" t="str">
        <x:f>_xlfn.XLOOKUP($A1092,Games!$A$2:$A$18,Games!$N$2:$N$18,"Missing game",0)</x:f>
        <x:v>dome</x:v>
      </x:c>
      <x:c r="AT1092" t="str">
        <x:f>_xlfn.XLOOKUP($A1092,Games!$A$2:$A$18,Games!$O$2:$O$18,"Missing game",0)</x:f>
        <x:v>matrixturf</x:v>
      </x:c>
      <x:c r="AU1092" t="str">
        <x:f>_xlfn.XLOOKUP($A1092,Games!$A$2:$A$18,Games!$P$2:$P$18,"Missing game",0)</x:f>
      </x:c>
      <x:c r="AV1092" t="str">
        <x:f>_xlfn.XLOOKUP($A1092,Games!$A$2:$A$18,Games!$Q$2:$Q$18,"Missing game",0)</x:f>
      </x:c>
      <x:c r="AW1092" t="str">
        <x:f>_xlfn.XLOOKUP($A1092,Games!$A$2:$A$18,Games!$R$2:$R$18,"Missing game",0)</x:f>
        <x:v>SoFi Stadium</x:v>
      </x:c>
    </x:row>
    <x:row r="1093">
      <x:c r="A1093" t="str">
        <x:v>2025_08_MIN_LAC</x:v>
      </x:c>
      <x:c r="B1093" t="n">
        <x:v>2000</x:v>
      </x:c>
      <x:c r="C1093" t="n">
        <x:v>2</x:v>
      </x:c>
      <x:c r="D1093" t="str">
        <x:v>00:39</x:v>
      </x:c>
      <x:c r="E1093" t="n">
        <x:v>1</x:v>
      </x:c>
      <x:c r="F1093" t="n">
        <x:v>10</x:v>
      </x:c>
      <x:c r="G1093" t="str">
        <x:v>MIN</x:v>
      </x:c>
      <x:c r="H1093" t="str">
        <x:v>LAC</x:v>
      </x:c>
      <x:c r="I1093" t="str">
        <x:v>LAC</x:v>
      </x:c>
      <x:c r="J1093" t="n">
        <x:v>44</x:v>
      </x:c>
      <x:c r="K1093" t="str">
        <x:v>(:39) (Shotgun) 11-C.Wentz sacked at LAC 45 for -1 yards (98-O.Oweh).</x:v>
      </x:c>
      <x:c r="L1093" t="str">
        <x:v>pass</x:v>
      </x:c>
      <x:c r="M1093" t="n">
        <x:v>-1</x:v>
      </x:c>
      <x:c r="N1093" t="n">
        <x:v>1</x:v>
      </x:c>
      <x:c r="O1093" t="n">
        <x:v>0</x:v>
      </x:c>
      <x:c r="P1093"/>
      <x:c r="Q1093"/>
      <x:c r="R1093"/>
      <x:c r="S1093"/>
      <x:c r="T1093"/>
      <x:c r="U1093"/>
      <x:c r="V1093" t="n">
        <x:v>0</x:v>
      </x:c>
      <x:c r="W1093" t="n">
        <x:v>0</x:v>
      </x:c>
      <x:c r="X1093" t="n">
        <x:v>1</x:v>
      </x:c>
      <x:c r="Y1093" t="n">
        <x:v>0</x:v>
      </x:c>
      <x:c r="Z1093" t="n">
        <x:v>0</x:v>
      </x:c>
      <x:c r="AA1093" t="n">
        <x:v>0</x:v>
      </x:c>
      <x:c r="AB1093"/>
      <x:c r="AC1093" t="n">
        <x:v>0</x:v>
      </x:c>
      <x:c r="AD1093" t="n">
        <x:v>-0.46203358325874433</x:v>
      </x:c>
      <x:c r="AE1093" t="n">
        <x:v>0</x:v>
      </x:c>
      <x:c r="AF1093" t="n">
        <x:v>-0.014834366738796234</x:v>
      </x:c>
      <x:c r="AG1093" t="n">
        <x:f>_xlfn.XLOOKUP($A1093,Games!$A$2:$A$18,Games!$B$2:$B$18,"Missing game",0)</x:f>
        <x:v>2025</x:v>
      </x:c>
      <x:c r="AH1093" t="str">
        <x:f>_xlfn.XLOOKUP($A1093,Games!$A$2:$A$18,Games!$C$2:$C$18,"Missing game",0)</x:f>
        <x:v>REG</x:v>
      </x:c>
      <x:c r="AI1093" t="n">
        <x:f>_xlfn.XLOOKUP($A1093,Games!$A$2:$A$18,Games!$D$2:$D$18,"Missing game",0)</x:f>
        <x:v>8</x:v>
      </x:c>
      <x:c r="AJ1093" s="1" t="n">
        <x:f>_xlfn.XLOOKUP($A1093,Games!$A$2:$A$18,Games!$E$2:$E$18,"Missing game",0)</x:f>
        <x:v>45953</x:v>
      </x:c>
      <x:c r="AK1093" t="str">
        <x:f>_xlfn.XLOOKUP($A1093,Games!$A$2:$A$18,Games!$F$2:$F$18,"Missing game",0)</x:f>
        <x:v>Thursday</x:v>
      </x:c>
      <x:c r="AL1093" t="str">
        <x:f>_xlfn.XLOOKUP($A1093,Games!$A$2:$A$18,Games!$G$2:$G$18,"Missing game",0)</x:f>
        <x:v>MIN</x:v>
      </x:c>
      <x:c r="AM1093" t="n">
        <x:f>_xlfn.XLOOKUP($A1093,Games!$A$2:$A$18,Games!$H$2:$H$18,"Missing game",0)</x:f>
        <x:v>10</x:v>
      </x:c>
      <x:c r="AN1093" t="str">
        <x:f>_xlfn.XLOOKUP($A1093,Games!$A$2:$A$18,Games!$I$2:$I$18,"Missing game",0)</x:f>
        <x:v>LAC</x:v>
      </x:c>
      <x:c r="AO1093" t="n">
        <x:f>_xlfn.XLOOKUP($A1093,Games!$A$2:$A$18,Games!$J$2:$J$18,"Missing game",0)</x:f>
        <x:v>37</x:v>
      </x:c>
      <x:c r="AP1093" t="n">
        <x:f>_xlfn.XLOOKUP($A1093,Games!$A$2:$A$18,Games!$K$2:$K$18,"Missing game",0)</x:f>
        <x:v>27</x:v>
      </x:c>
      <x:c r="AQ1093" t="n">
        <x:f>_xlfn.XLOOKUP($A1093,Games!$A$2:$A$18,Games!$L$2:$L$18,"Missing game",0)</x:f>
        <x:v>47</x:v>
      </x:c>
      <x:c r="AR1093" t="n">
        <x:f>_xlfn.XLOOKUP($A1093,Games!$A$2:$A$18,Games!$M$2:$M$18,"Missing game",0)</x:f>
        <x:v>0</x:v>
      </x:c>
      <x:c r="AS1093" t="str">
        <x:f>_xlfn.XLOOKUP($A1093,Games!$A$2:$A$18,Games!$N$2:$N$18,"Missing game",0)</x:f>
        <x:v>dome</x:v>
      </x:c>
      <x:c r="AT1093" t="str">
        <x:f>_xlfn.XLOOKUP($A1093,Games!$A$2:$A$18,Games!$O$2:$O$18,"Missing game",0)</x:f>
        <x:v>matrixturf</x:v>
      </x:c>
      <x:c r="AU1093" t="str">
        <x:f>_xlfn.XLOOKUP($A1093,Games!$A$2:$A$18,Games!$P$2:$P$18,"Missing game",0)</x:f>
      </x:c>
      <x:c r="AV1093" t="str">
        <x:f>_xlfn.XLOOKUP($A1093,Games!$A$2:$A$18,Games!$Q$2:$Q$18,"Missing game",0)</x:f>
      </x:c>
      <x:c r="AW1093" t="str">
        <x:f>_xlfn.XLOOKUP($A1093,Games!$A$2:$A$18,Games!$R$2:$R$18,"Missing game",0)</x:f>
        <x:v>SoFi Stadium</x:v>
      </x:c>
    </x:row>
    <x:row r="1094">
      <x:c r="A1094" t="str">
        <x:v>2025_08_MIN_LAC</x:v>
      </x:c>
      <x:c r="B1094" t="n">
        <x:v>2012</x:v>
      </x:c>
      <x:c r="C1094" t="n">
        <x:v>2</x:v>
      </x:c>
      <x:c r="D1094" t="str">
        <x:v>00:39</x:v>
      </x:c>
      <x:c r="E1094"/>
      <x:c r="F1094" t="n">
        <x:v>0</x:v>
      </x:c>
      <x:c r="G1094"/>
      <x:c r="H1094"/>
      <x:c r="I1094"/>
      <x:c r="J1094"/>
      <x:c r="K1094" t="str">
        <x:v>Timeout #1 by MIN at 00:39.</x:v>
      </x:c>
      <x:c r="L1094" t="str">
        <x:v>no_play</x:v>
      </x:c>
      <x:c r="M1094" t="n">
        <x:v>0</x:v>
      </x:c>
      <x:c r="N1094" t="n">
        <x:v>0</x:v>
      </x:c>
      <x:c r="O1094" t="n">
        <x:v>0</x:v>
      </x:c>
      <x:c r="P1094"/>
      <x:c r="Q1094"/>
      <x:c r="R1094"/>
      <x:c r="S1094"/>
      <x:c r="T1094"/>
      <x:c r="U1094"/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/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f>_xlfn.XLOOKUP($A1094,Games!$A$2:$A$18,Games!$B$2:$B$18,"Missing game",0)</x:f>
        <x:v>2025</x:v>
      </x:c>
      <x:c r="AH1094" t="str">
        <x:f>_xlfn.XLOOKUP($A1094,Games!$A$2:$A$18,Games!$C$2:$C$18,"Missing game",0)</x:f>
        <x:v>REG</x:v>
      </x:c>
      <x:c r="AI1094" t="n">
        <x:f>_xlfn.XLOOKUP($A1094,Games!$A$2:$A$18,Games!$D$2:$D$18,"Missing game",0)</x:f>
        <x:v>8</x:v>
      </x:c>
      <x:c r="AJ1094" s="1" t="n">
        <x:f>_xlfn.XLOOKUP($A1094,Games!$A$2:$A$18,Games!$E$2:$E$18,"Missing game",0)</x:f>
        <x:v>45953</x:v>
      </x:c>
      <x:c r="AK1094" t="str">
        <x:f>_xlfn.XLOOKUP($A1094,Games!$A$2:$A$18,Games!$F$2:$F$18,"Missing game",0)</x:f>
        <x:v>Thursday</x:v>
      </x:c>
      <x:c r="AL1094" t="str">
        <x:f>_xlfn.XLOOKUP($A1094,Games!$A$2:$A$18,Games!$G$2:$G$18,"Missing game",0)</x:f>
        <x:v>MIN</x:v>
      </x:c>
      <x:c r="AM1094" t="n">
        <x:f>_xlfn.XLOOKUP($A1094,Games!$A$2:$A$18,Games!$H$2:$H$18,"Missing game",0)</x:f>
        <x:v>10</x:v>
      </x:c>
      <x:c r="AN1094" t="str">
        <x:f>_xlfn.XLOOKUP($A1094,Games!$A$2:$A$18,Games!$I$2:$I$18,"Missing game",0)</x:f>
        <x:v>LAC</x:v>
      </x:c>
      <x:c r="AO1094" t="n">
        <x:f>_xlfn.XLOOKUP($A1094,Games!$A$2:$A$18,Games!$J$2:$J$18,"Missing game",0)</x:f>
        <x:v>37</x:v>
      </x:c>
      <x:c r="AP1094" t="n">
        <x:f>_xlfn.XLOOKUP($A1094,Games!$A$2:$A$18,Games!$K$2:$K$18,"Missing game",0)</x:f>
        <x:v>27</x:v>
      </x:c>
      <x:c r="AQ1094" t="n">
        <x:f>_xlfn.XLOOKUP($A1094,Games!$A$2:$A$18,Games!$L$2:$L$18,"Missing game",0)</x:f>
        <x:v>47</x:v>
      </x:c>
      <x:c r="AR1094" t="n">
        <x:f>_xlfn.XLOOKUP($A1094,Games!$A$2:$A$18,Games!$M$2:$M$18,"Missing game",0)</x:f>
        <x:v>0</x:v>
      </x:c>
      <x:c r="AS1094" t="str">
        <x:f>_xlfn.XLOOKUP($A1094,Games!$A$2:$A$18,Games!$N$2:$N$18,"Missing game",0)</x:f>
        <x:v>dome</x:v>
      </x:c>
      <x:c r="AT1094" t="str">
        <x:f>_xlfn.XLOOKUP($A1094,Games!$A$2:$A$18,Games!$O$2:$O$18,"Missing game",0)</x:f>
        <x:v>matrixturf</x:v>
      </x:c>
      <x:c r="AU1094" t="str">
        <x:f>_xlfn.XLOOKUP($A1094,Games!$A$2:$A$18,Games!$P$2:$P$18,"Missing game",0)</x:f>
      </x:c>
      <x:c r="AV1094" t="str">
        <x:f>_xlfn.XLOOKUP($A1094,Games!$A$2:$A$18,Games!$Q$2:$Q$18,"Missing game",0)</x:f>
      </x:c>
      <x:c r="AW1094" t="str">
        <x:f>_xlfn.XLOOKUP($A1094,Games!$A$2:$A$18,Games!$R$2:$R$18,"Missing game",0)</x:f>
        <x:v>SoFi Stadium</x:v>
      </x:c>
    </x:row>
    <x:row r="1095">
      <x:c r="A1095" t="str">
        <x:v>2025_08_MIN_LAC</x:v>
      </x:c>
      <x:c r="B1095" t="n">
        <x:v>2027</x:v>
      </x:c>
      <x:c r="C1095" t="n">
        <x:v>2</x:v>
      </x:c>
      <x:c r="D1095" t="str">
        <x:v>00:32</x:v>
      </x:c>
      <x:c r="E1095" t="n">
        <x:v>2</x:v>
      </x:c>
      <x:c r="F1095" t="n">
        <x:v>11</x:v>
      </x:c>
      <x:c r="G1095" t="str">
        <x:v>MIN</x:v>
      </x:c>
      <x:c r="H1095" t="str">
        <x:v>LAC</x:v>
      </x:c>
      <x:c r="I1095" t="str">
        <x:v>LAC</x:v>
      </x:c>
      <x:c r="J1095" t="n">
        <x:v>45</x:v>
      </x:c>
      <x:c r="K1095" t="str">
        <x:v>(:32) (Shotgun) 11-C.Wentz sacked at MIN 48 for -7 yards (92-J.Eboigbe).</x:v>
      </x:c>
      <x:c r="L1095" t="str">
        <x:v>pass</x:v>
      </x:c>
      <x:c r="M1095" t="n">
        <x:v>-7</x:v>
      </x:c>
      <x:c r="N1095" t="n">
        <x:v>1</x:v>
      </x:c>
      <x:c r="O1095" t="n">
        <x:v>0</x:v>
      </x:c>
      <x:c r="P1095"/>
      <x:c r="Q1095"/>
      <x:c r="R1095"/>
      <x:c r="S1095"/>
      <x:c r="T1095"/>
      <x:c r="U1095"/>
      <x:c r="V1095" t="n">
        <x:v>0</x:v>
      </x:c>
      <x:c r="W1095" t="n">
        <x:v>0</x:v>
      </x:c>
      <x:c r="X1095" t="n">
        <x:v>1</x:v>
      </x:c>
      <x:c r="Y1095" t="n">
        <x:v>0</x:v>
      </x:c>
      <x:c r="Z1095" t="n">
        <x:v>0</x:v>
      </x:c>
      <x:c r="AA1095" t="n">
        <x:v>0</x:v>
      </x:c>
      <x:c r="AB1095"/>
      <x:c r="AC1095" t="n">
        <x:v>0</x:v>
      </x:c>
      <x:c r="AD1095" t="n">
        <x:v>-1.3852134753833525</x:v>
      </x:c>
      <x:c r="AE1095" t="n">
        <x:v>0</x:v>
      </x:c>
      <x:c r="AF1095" t="n">
        <x:v>-0.008677110075950623</x:v>
      </x:c>
      <x:c r="AG1095" t="n">
        <x:f>_xlfn.XLOOKUP($A1095,Games!$A$2:$A$18,Games!$B$2:$B$18,"Missing game",0)</x:f>
        <x:v>2025</x:v>
      </x:c>
      <x:c r="AH1095" t="str">
        <x:f>_xlfn.XLOOKUP($A1095,Games!$A$2:$A$18,Games!$C$2:$C$18,"Missing game",0)</x:f>
        <x:v>REG</x:v>
      </x:c>
      <x:c r="AI1095" t="n">
        <x:f>_xlfn.XLOOKUP($A1095,Games!$A$2:$A$18,Games!$D$2:$D$18,"Missing game",0)</x:f>
        <x:v>8</x:v>
      </x:c>
      <x:c r="AJ1095" s="1" t="n">
        <x:f>_xlfn.XLOOKUP($A1095,Games!$A$2:$A$18,Games!$E$2:$E$18,"Missing game",0)</x:f>
        <x:v>45953</x:v>
      </x:c>
      <x:c r="AK1095" t="str">
        <x:f>_xlfn.XLOOKUP($A1095,Games!$A$2:$A$18,Games!$F$2:$F$18,"Missing game",0)</x:f>
        <x:v>Thursday</x:v>
      </x:c>
      <x:c r="AL1095" t="str">
        <x:f>_xlfn.XLOOKUP($A1095,Games!$A$2:$A$18,Games!$G$2:$G$18,"Missing game",0)</x:f>
        <x:v>MIN</x:v>
      </x:c>
      <x:c r="AM1095" t="n">
        <x:f>_xlfn.XLOOKUP($A1095,Games!$A$2:$A$18,Games!$H$2:$H$18,"Missing game",0)</x:f>
        <x:v>10</x:v>
      </x:c>
      <x:c r="AN1095" t="str">
        <x:f>_xlfn.XLOOKUP($A1095,Games!$A$2:$A$18,Games!$I$2:$I$18,"Missing game",0)</x:f>
        <x:v>LAC</x:v>
      </x:c>
      <x:c r="AO1095" t="n">
        <x:f>_xlfn.XLOOKUP($A1095,Games!$A$2:$A$18,Games!$J$2:$J$18,"Missing game",0)</x:f>
        <x:v>37</x:v>
      </x:c>
      <x:c r="AP1095" t="n">
        <x:f>_xlfn.XLOOKUP($A1095,Games!$A$2:$A$18,Games!$K$2:$K$18,"Missing game",0)</x:f>
        <x:v>27</x:v>
      </x:c>
      <x:c r="AQ1095" t="n">
        <x:f>_xlfn.XLOOKUP($A1095,Games!$A$2:$A$18,Games!$L$2:$L$18,"Missing game",0)</x:f>
        <x:v>47</x:v>
      </x:c>
      <x:c r="AR1095" t="n">
        <x:f>_xlfn.XLOOKUP($A1095,Games!$A$2:$A$18,Games!$M$2:$M$18,"Missing game",0)</x:f>
        <x:v>0</x:v>
      </x:c>
      <x:c r="AS1095" t="str">
        <x:f>_xlfn.XLOOKUP($A1095,Games!$A$2:$A$18,Games!$N$2:$N$18,"Missing game",0)</x:f>
        <x:v>dome</x:v>
      </x:c>
      <x:c r="AT1095" t="str">
        <x:f>_xlfn.XLOOKUP($A1095,Games!$A$2:$A$18,Games!$O$2:$O$18,"Missing game",0)</x:f>
        <x:v>matrixturf</x:v>
      </x:c>
      <x:c r="AU1095" t="str">
        <x:f>_xlfn.XLOOKUP($A1095,Games!$A$2:$A$18,Games!$P$2:$P$18,"Missing game",0)</x:f>
      </x:c>
      <x:c r="AV1095" t="str">
        <x:f>_xlfn.XLOOKUP($A1095,Games!$A$2:$A$18,Games!$Q$2:$Q$18,"Missing game",0)</x:f>
      </x:c>
      <x:c r="AW1095" t="str">
        <x:f>_xlfn.XLOOKUP($A1095,Games!$A$2:$A$18,Games!$R$2:$R$18,"Missing game",0)</x:f>
        <x:v>SoFi Stadium</x:v>
      </x:c>
    </x:row>
    <x:row r="1096">
      <x:c r="A1096" t="str">
        <x:v>2025_08_MIN_LAC</x:v>
      </x:c>
      <x:c r="B1096" t="n">
        <x:v>2039</x:v>
      </x:c>
      <x:c r="C1096" t="n">
        <x:v>2</x:v>
      </x:c>
      <x:c r="D1096" t="str">
        <x:v>00:32</x:v>
      </x:c>
      <x:c r="E1096"/>
      <x:c r="F1096" t="n">
        <x:v>0</x:v>
      </x:c>
      <x:c r="G1096"/>
      <x:c r="H1096"/>
      <x:c r="I1096"/>
      <x:c r="J1096"/>
      <x:c r="K1096" t="str">
        <x:v>Timeout #2 by MIN at 00:32.</x:v>
      </x:c>
      <x:c r="L1096" t="str">
        <x:v>no_play</x:v>
      </x:c>
      <x:c r="M1096" t="n">
        <x:v>0</x:v>
      </x:c>
      <x:c r="N1096" t="n">
        <x:v>0</x:v>
      </x:c>
      <x:c r="O1096" t="n">
        <x:v>0</x:v>
      </x:c>
      <x:c r="P1096"/>
      <x:c r="Q1096"/>
      <x:c r="R1096"/>
      <x:c r="S1096"/>
      <x:c r="T1096"/>
      <x:c r="U1096"/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/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f>_xlfn.XLOOKUP($A1096,Games!$A$2:$A$18,Games!$B$2:$B$18,"Missing game",0)</x:f>
        <x:v>2025</x:v>
      </x:c>
      <x:c r="AH1096" t="str">
        <x:f>_xlfn.XLOOKUP($A1096,Games!$A$2:$A$18,Games!$C$2:$C$18,"Missing game",0)</x:f>
        <x:v>REG</x:v>
      </x:c>
      <x:c r="AI1096" t="n">
        <x:f>_xlfn.XLOOKUP($A1096,Games!$A$2:$A$18,Games!$D$2:$D$18,"Missing game",0)</x:f>
        <x:v>8</x:v>
      </x:c>
      <x:c r="AJ1096" s="1" t="n">
        <x:f>_xlfn.XLOOKUP($A1096,Games!$A$2:$A$18,Games!$E$2:$E$18,"Missing game",0)</x:f>
        <x:v>45953</x:v>
      </x:c>
      <x:c r="AK1096" t="str">
        <x:f>_xlfn.XLOOKUP($A1096,Games!$A$2:$A$18,Games!$F$2:$F$18,"Missing game",0)</x:f>
        <x:v>Thursday</x:v>
      </x:c>
      <x:c r="AL1096" t="str">
        <x:f>_xlfn.XLOOKUP($A1096,Games!$A$2:$A$18,Games!$G$2:$G$18,"Missing game",0)</x:f>
        <x:v>MIN</x:v>
      </x:c>
      <x:c r="AM1096" t="n">
        <x:f>_xlfn.XLOOKUP($A1096,Games!$A$2:$A$18,Games!$H$2:$H$18,"Missing game",0)</x:f>
        <x:v>10</x:v>
      </x:c>
      <x:c r="AN1096" t="str">
        <x:f>_xlfn.XLOOKUP($A1096,Games!$A$2:$A$18,Games!$I$2:$I$18,"Missing game",0)</x:f>
        <x:v>LAC</x:v>
      </x:c>
      <x:c r="AO1096" t="n">
        <x:f>_xlfn.XLOOKUP($A1096,Games!$A$2:$A$18,Games!$J$2:$J$18,"Missing game",0)</x:f>
        <x:v>37</x:v>
      </x:c>
      <x:c r="AP1096" t="n">
        <x:f>_xlfn.XLOOKUP($A1096,Games!$A$2:$A$18,Games!$K$2:$K$18,"Missing game",0)</x:f>
        <x:v>27</x:v>
      </x:c>
      <x:c r="AQ1096" t="n">
        <x:f>_xlfn.XLOOKUP($A1096,Games!$A$2:$A$18,Games!$L$2:$L$18,"Missing game",0)</x:f>
        <x:v>47</x:v>
      </x:c>
      <x:c r="AR1096" t="n">
        <x:f>_xlfn.XLOOKUP($A1096,Games!$A$2:$A$18,Games!$M$2:$M$18,"Missing game",0)</x:f>
        <x:v>0</x:v>
      </x:c>
      <x:c r="AS1096" t="str">
        <x:f>_xlfn.XLOOKUP($A1096,Games!$A$2:$A$18,Games!$N$2:$N$18,"Missing game",0)</x:f>
        <x:v>dome</x:v>
      </x:c>
      <x:c r="AT1096" t="str">
        <x:f>_xlfn.XLOOKUP($A1096,Games!$A$2:$A$18,Games!$O$2:$O$18,"Missing game",0)</x:f>
        <x:v>matrixturf</x:v>
      </x:c>
      <x:c r="AU1096" t="str">
        <x:f>_xlfn.XLOOKUP($A1096,Games!$A$2:$A$18,Games!$P$2:$P$18,"Missing game",0)</x:f>
      </x:c>
      <x:c r="AV1096" t="str">
        <x:f>_xlfn.XLOOKUP($A1096,Games!$A$2:$A$18,Games!$Q$2:$Q$18,"Missing game",0)</x:f>
      </x:c>
      <x:c r="AW1096" t="str">
        <x:f>_xlfn.XLOOKUP($A1096,Games!$A$2:$A$18,Games!$R$2:$R$18,"Missing game",0)</x:f>
        <x:v>SoFi Stadium</x:v>
      </x:c>
    </x:row>
    <x:row r="1097">
      <x:c r="A1097" t="str">
        <x:v>2025_08_MIN_LAC</x:v>
      </x:c>
      <x:c r="B1097" t="n">
        <x:v>2054</x:v>
      </x:c>
      <x:c r="C1097" t="n">
        <x:v>2</x:v>
      </x:c>
      <x:c r="D1097" t="str">
        <x:v>00:26</x:v>
      </x:c>
      <x:c r="E1097" t="n">
        <x:v>3</x:v>
      </x:c>
      <x:c r="F1097" t="n">
        <x:v>18</x:v>
      </x:c>
      <x:c r="G1097" t="str">
        <x:v>MIN</x:v>
      </x:c>
      <x:c r="H1097" t="str">
        <x:v>LAC</x:v>
      </x:c>
      <x:c r="I1097" t="str">
        <x:v>MIN</x:v>
      </x:c>
      <x:c r="J1097" t="n">
        <x:v>52</x:v>
      </x:c>
      <x:c r="K1097" t="str">
        <x:v>(:26) (Shotgun) 11-C.Wentz pass short left to 18-J.Jefferson to LAC 35 for 17 yards (24-B.St-Juste).</x:v>
      </x:c>
      <x:c r="L1097" t="str">
        <x:v>pass</x:v>
      </x:c>
      <x:c r="M1097" t="n">
        <x:v>17</x:v>
      </x:c>
      <x:c r="N1097" t="n">
        <x:v>1</x:v>
      </x:c>
      <x:c r="O1097" t="n">
        <x:v>0</x:v>
      </x:c>
      <x:c r="P1097" t="str">
        <x:v>short</x:v>
      </x:c>
      <x:c r="Q1097" t="str">
        <x:v>left</x:v>
      </x:c>
      <x:c r="R1097" t="n">
        <x:v>-11</x:v>
      </x:c>
      <x:c r="S1097" t="n">
        <x:v>28</x:v>
      </x:c>
      <x:c r="T1097"/>
      <x:c r="U1097"/>
      <x:c r="V1097" t="n">
        <x:v>1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/>
      <x:c r="AC1097" t="n">
        <x:v>0</x:v>
      </x:c>
      <x:c r="AD1097" t="n">
        <x:v>1.370272783486386</x:v>
      </x:c>
      <x:c r="AE1097" t="n">
        <x:v>1</x:v>
      </x:c>
      <x:c r="AF1097" t="n">
        <x:v>0.005174197256565094</x:v>
      </x:c>
      <x:c r="AG1097" t="n">
        <x:f>_xlfn.XLOOKUP($A1097,Games!$A$2:$A$18,Games!$B$2:$B$18,"Missing game",0)</x:f>
        <x:v>2025</x:v>
      </x:c>
      <x:c r="AH1097" t="str">
        <x:f>_xlfn.XLOOKUP($A1097,Games!$A$2:$A$18,Games!$C$2:$C$18,"Missing game",0)</x:f>
        <x:v>REG</x:v>
      </x:c>
      <x:c r="AI1097" t="n">
        <x:f>_xlfn.XLOOKUP($A1097,Games!$A$2:$A$18,Games!$D$2:$D$18,"Missing game",0)</x:f>
        <x:v>8</x:v>
      </x:c>
      <x:c r="AJ1097" s="1" t="n">
        <x:f>_xlfn.XLOOKUP($A1097,Games!$A$2:$A$18,Games!$E$2:$E$18,"Missing game",0)</x:f>
        <x:v>45953</x:v>
      </x:c>
      <x:c r="AK1097" t="str">
        <x:f>_xlfn.XLOOKUP($A1097,Games!$A$2:$A$18,Games!$F$2:$F$18,"Missing game",0)</x:f>
        <x:v>Thursday</x:v>
      </x:c>
      <x:c r="AL1097" t="str">
        <x:f>_xlfn.XLOOKUP($A1097,Games!$A$2:$A$18,Games!$G$2:$G$18,"Missing game",0)</x:f>
        <x:v>MIN</x:v>
      </x:c>
      <x:c r="AM1097" t="n">
        <x:f>_xlfn.XLOOKUP($A1097,Games!$A$2:$A$18,Games!$H$2:$H$18,"Missing game",0)</x:f>
        <x:v>10</x:v>
      </x:c>
      <x:c r="AN1097" t="str">
        <x:f>_xlfn.XLOOKUP($A1097,Games!$A$2:$A$18,Games!$I$2:$I$18,"Missing game",0)</x:f>
        <x:v>LAC</x:v>
      </x:c>
      <x:c r="AO1097" t="n">
        <x:f>_xlfn.XLOOKUP($A1097,Games!$A$2:$A$18,Games!$J$2:$J$18,"Missing game",0)</x:f>
        <x:v>37</x:v>
      </x:c>
      <x:c r="AP1097" t="n">
        <x:f>_xlfn.XLOOKUP($A1097,Games!$A$2:$A$18,Games!$K$2:$K$18,"Missing game",0)</x:f>
        <x:v>27</x:v>
      </x:c>
      <x:c r="AQ1097" t="n">
        <x:f>_xlfn.XLOOKUP($A1097,Games!$A$2:$A$18,Games!$L$2:$L$18,"Missing game",0)</x:f>
        <x:v>47</x:v>
      </x:c>
      <x:c r="AR1097" t="n">
        <x:f>_xlfn.XLOOKUP($A1097,Games!$A$2:$A$18,Games!$M$2:$M$18,"Missing game",0)</x:f>
        <x:v>0</x:v>
      </x:c>
      <x:c r="AS1097" t="str">
        <x:f>_xlfn.XLOOKUP($A1097,Games!$A$2:$A$18,Games!$N$2:$N$18,"Missing game",0)</x:f>
        <x:v>dome</x:v>
      </x:c>
      <x:c r="AT1097" t="str">
        <x:f>_xlfn.XLOOKUP($A1097,Games!$A$2:$A$18,Games!$O$2:$O$18,"Missing game",0)</x:f>
        <x:v>matrixturf</x:v>
      </x:c>
      <x:c r="AU1097" t="str">
        <x:f>_xlfn.XLOOKUP($A1097,Games!$A$2:$A$18,Games!$P$2:$P$18,"Missing game",0)</x:f>
      </x:c>
      <x:c r="AV1097" t="str">
        <x:f>_xlfn.XLOOKUP($A1097,Games!$A$2:$A$18,Games!$Q$2:$Q$18,"Missing game",0)</x:f>
      </x:c>
      <x:c r="AW1097" t="str">
        <x:f>_xlfn.XLOOKUP($A1097,Games!$A$2:$A$18,Games!$R$2:$R$18,"Missing game",0)</x:f>
        <x:v>SoFi Stadium</x:v>
      </x:c>
    </x:row>
    <x:row r="1098">
      <x:c r="A1098" t="str">
        <x:v>2025_08_MIN_LAC</x:v>
      </x:c>
      <x:c r="B1098" t="n">
        <x:v>2066</x:v>
      </x:c>
      <x:c r="C1098" t="n">
        <x:v>2</x:v>
      </x:c>
      <x:c r="D1098" t="str">
        <x:v>00:26</x:v>
      </x:c>
      <x:c r="E1098"/>
      <x:c r="F1098" t="n">
        <x:v>0</x:v>
      </x:c>
      <x:c r="G1098"/>
      <x:c r="H1098"/>
      <x:c r="I1098"/>
      <x:c r="J1098"/>
      <x:c r="K1098" t="str">
        <x:v>Timeout #3 by MIN at 00:26.</x:v>
      </x:c>
      <x:c r="L1098" t="str">
        <x:v>no_play</x:v>
      </x:c>
      <x:c r="M1098" t="n">
        <x:v>0</x:v>
      </x:c>
      <x:c r="N1098" t="n">
        <x:v>0</x:v>
      </x:c>
      <x:c r="O1098" t="n">
        <x:v>0</x:v>
      </x:c>
      <x:c r="P1098"/>
      <x:c r="Q1098"/>
      <x:c r="R1098"/>
      <x:c r="S1098"/>
      <x:c r="T1098"/>
      <x:c r="U1098"/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/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f>_xlfn.XLOOKUP($A1098,Games!$A$2:$A$18,Games!$B$2:$B$18,"Missing game",0)</x:f>
        <x:v>2025</x:v>
      </x:c>
      <x:c r="AH1098" t="str">
        <x:f>_xlfn.XLOOKUP($A1098,Games!$A$2:$A$18,Games!$C$2:$C$18,"Missing game",0)</x:f>
        <x:v>REG</x:v>
      </x:c>
      <x:c r="AI1098" t="n">
        <x:f>_xlfn.XLOOKUP($A1098,Games!$A$2:$A$18,Games!$D$2:$D$18,"Missing game",0)</x:f>
        <x:v>8</x:v>
      </x:c>
      <x:c r="AJ1098" s="1" t="n">
        <x:f>_xlfn.XLOOKUP($A1098,Games!$A$2:$A$18,Games!$E$2:$E$18,"Missing game",0)</x:f>
        <x:v>45953</x:v>
      </x:c>
      <x:c r="AK1098" t="str">
        <x:f>_xlfn.XLOOKUP($A1098,Games!$A$2:$A$18,Games!$F$2:$F$18,"Missing game",0)</x:f>
        <x:v>Thursday</x:v>
      </x:c>
      <x:c r="AL1098" t="str">
        <x:f>_xlfn.XLOOKUP($A1098,Games!$A$2:$A$18,Games!$G$2:$G$18,"Missing game",0)</x:f>
        <x:v>MIN</x:v>
      </x:c>
      <x:c r="AM1098" t="n">
        <x:f>_xlfn.XLOOKUP($A1098,Games!$A$2:$A$18,Games!$H$2:$H$18,"Missing game",0)</x:f>
        <x:v>10</x:v>
      </x:c>
      <x:c r="AN1098" t="str">
        <x:f>_xlfn.XLOOKUP($A1098,Games!$A$2:$A$18,Games!$I$2:$I$18,"Missing game",0)</x:f>
        <x:v>LAC</x:v>
      </x:c>
      <x:c r="AO1098" t="n">
        <x:f>_xlfn.XLOOKUP($A1098,Games!$A$2:$A$18,Games!$J$2:$J$18,"Missing game",0)</x:f>
        <x:v>37</x:v>
      </x:c>
      <x:c r="AP1098" t="n">
        <x:f>_xlfn.XLOOKUP($A1098,Games!$A$2:$A$18,Games!$K$2:$K$18,"Missing game",0)</x:f>
        <x:v>27</x:v>
      </x:c>
      <x:c r="AQ1098" t="n">
        <x:f>_xlfn.XLOOKUP($A1098,Games!$A$2:$A$18,Games!$L$2:$L$18,"Missing game",0)</x:f>
        <x:v>47</x:v>
      </x:c>
      <x:c r="AR1098" t="n">
        <x:f>_xlfn.XLOOKUP($A1098,Games!$A$2:$A$18,Games!$M$2:$M$18,"Missing game",0)</x:f>
        <x:v>0</x:v>
      </x:c>
      <x:c r="AS1098" t="str">
        <x:f>_xlfn.XLOOKUP($A1098,Games!$A$2:$A$18,Games!$N$2:$N$18,"Missing game",0)</x:f>
        <x:v>dome</x:v>
      </x:c>
      <x:c r="AT1098" t="str">
        <x:f>_xlfn.XLOOKUP($A1098,Games!$A$2:$A$18,Games!$O$2:$O$18,"Missing game",0)</x:f>
        <x:v>matrixturf</x:v>
      </x:c>
      <x:c r="AU1098" t="str">
        <x:f>_xlfn.XLOOKUP($A1098,Games!$A$2:$A$18,Games!$P$2:$P$18,"Missing game",0)</x:f>
      </x:c>
      <x:c r="AV1098" t="str">
        <x:f>_xlfn.XLOOKUP($A1098,Games!$A$2:$A$18,Games!$Q$2:$Q$18,"Missing game",0)</x:f>
      </x:c>
      <x:c r="AW1098" t="str">
        <x:f>_xlfn.XLOOKUP($A1098,Games!$A$2:$A$18,Games!$R$2:$R$18,"Missing game",0)</x:f>
        <x:v>SoFi Stadium</x:v>
      </x:c>
    </x:row>
    <x:row r="1099">
      <x:c r="A1099" t="str">
        <x:v>2025_08_MIN_LAC</x:v>
      </x:c>
      <x:c r="B1099" t="n">
        <x:v>2086</x:v>
      </x:c>
      <x:c r="C1099" t="n">
        <x:v>2</x:v>
      </x:c>
      <x:c r="D1099" t="str">
        <x:v>00:03</x:v>
      </x:c>
      <x:c r="E1099" t="n">
        <x:v>4</x:v>
      </x:c>
      <x:c r="F1099" t="n">
        <x:v>1</x:v>
      </x:c>
      <x:c r="G1099" t="str">
        <x:v>MIN</x:v>
      </x:c>
      <x:c r="H1099" t="str">
        <x:v>LAC</x:v>
      </x:c>
      <x:c r="I1099" t="str">
        <x:v>LAC</x:v>
      </x:c>
      <x:c r="J1099" t="n">
        <x:v>35</x:v>
      </x:c>
      <x:c r="K1099" t="str">
        <x:v>(:03) 16-W.Reichard 53 yard field goal is No Good, Short, Center-42-A.DePaola, Holder-17-R.Wright.</x:v>
      </x:c>
      <x:c r="L1099" t="str">
        <x:v>field_goal</x:v>
      </x:c>
      <x:c r="M1099" t="n">
        <x:v>0</x:v>
      </x:c>
      <x:c r="N1099" t="n">
        <x:v>0</x:v>
      </x:c>
      <x:c r="O1099" t="n">
        <x:v>0</x:v>
      </x:c>
      <x:c r="P1099"/>
      <x:c r="Q1099"/>
      <x:c r="R1099"/>
      <x:c r="S1099"/>
      <x:c r="T1099"/>
      <x:c r="U1099"/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/>
      <x:c r="AC1099" t="n">
        <x:v>0</x:v>
      </x:c>
      <x:c r="AD1099" t="n">
        <x:v>-2.0680755046598884</x:v>
      </x:c>
      <x:c r="AE1099" t="n">
        <x:v>0</x:v>
      </x:c>
      <x:c r="AF1099" t="n">
        <x:v>-0.01455274224281311</x:v>
      </x:c>
      <x:c r="AG1099" t="n">
        <x:f>_xlfn.XLOOKUP($A1099,Games!$A$2:$A$18,Games!$B$2:$B$18,"Missing game",0)</x:f>
        <x:v>2025</x:v>
      </x:c>
      <x:c r="AH1099" t="str">
        <x:f>_xlfn.XLOOKUP($A1099,Games!$A$2:$A$18,Games!$C$2:$C$18,"Missing game",0)</x:f>
        <x:v>REG</x:v>
      </x:c>
      <x:c r="AI1099" t="n">
        <x:f>_xlfn.XLOOKUP($A1099,Games!$A$2:$A$18,Games!$D$2:$D$18,"Missing game",0)</x:f>
        <x:v>8</x:v>
      </x:c>
      <x:c r="AJ1099" s="1" t="n">
        <x:f>_xlfn.XLOOKUP($A1099,Games!$A$2:$A$18,Games!$E$2:$E$18,"Missing game",0)</x:f>
        <x:v>45953</x:v>
      </x:c>
      <x:c r="AK1099" t="str">
        <x:f>_xlfn.XLOOKUP($A1099,Games!$A$2:$A$18,Games!$F$2:$F$18,"Missing game",0)</x:f>
        <x:v>Thursday</x:v>
      </x:c>
      <x:c r="AL1099" t="str">
        <x:f>_xlfn.XLOOKUP($A1099,Games!$A$2:$A$18,Games!$G$2:$G$18,"Missing game",0)</x:f>
        <x:v>MIN</x:v>
      </x:c>
      <x:c r="AM1099" t="n">
        <x:f>_xlfn.XLOOKUP($A1099,Games!$A$2:$A$18,Games!$H$2:$H$18,"Missing game",0)</x:f>
        <x:v>10</x:v>
      </x:c>
      <x:c r="AN1099" t="str">
        <x:f>_xlfn.XLOOKUP($A1099,Games!$A$2:$A$18,Games!$I$2:$I$18,"Missing game",0)</x:f>
        <x:v>LAC</x:v>
      </x:c>
      <x:c r="AO1099" t="n">
        <x:f>_xlfn.XLOOKUP($A1099,Games!$A$2:$A$18,Games!$J$2:$J$18,"Missing game",0)</x:f>
        <x:v>37</x:v>
      </x:c>
      <x:c r="AP1099" t="n">
        <x:f>_xlfn.XLOOKUP($A1099,Games!$A$2:$A$18,Games!$K$2:$K$18,"Missing game",0)</x:f>
        <x:v>27</x:v>
      </x:c>
      <x:c r="AQ1099" t="n">
        <x:f>_xlfn.XLOOKUP($A1099,Games!$A$2:$A$18,Games!$L$2:$L$18,"Missing game",0)</x:f>
        <x:v>47</x:v>
      </x:c>
      <x:c r="AR1099" t="n">
        <x:f>_xlfn.XLOOKUP($A1099,Games!$A$2:$A$18,Games!$M$2:$M$18,"Missing game",0)</x:f>
        <x:v>0</x:v>
      </x:c>
      <x:c r="AS1099" t="str">
        <x:f>_xlfn.XLOOKUP($A1099,Games!$A$2:$A$18,Games!$N$2:$N$18,"Missing game",0)</x:f>
        <x:v>dome</x:v>
      </x:c>
      <x:c r="AT1099" t="str">
        <x:f>_xlfn.XLOOKUP($A1099,Games!$A$2:$A$18,Games!$O$2:$O$18,"Missing game",0)</x:f>
        <x:v>matrixturf</x:v>
      </x:c>
      <x:c r="AU1099" t="str">
        <x:f>_xlfn.XLOOKUP($A1099,Games!$A$2:$A$18,Games!$P$2:$P$18,"Missing game",0)</x:f>
      </x:c>
      <x:c r="AV1099" t="str">
        <x:f>_xlfn.XLOOKUP($A1099,Games!$A$2:$A$18,Games!$Q$2:$Q$18,"Missing game",0)</x:f>
      </x:c>
      <x:c r="AW1099" t="str">
        <x:f>_xlfn.XLOOKUP($A1099,Games!$A$2:$A$18,Games!$R$2:$R$18,"Missing game",0)</x:f>
        <x:v>SoFi Stadium</x:v>
      </x:c>
    </x:row>
    <x:row r="1100">
      <x:c r="A1100" t="str">
        <x:v>2025_08_MIN_LAC</x:v>
      </x:c>
      <x:c r="B1100" t="n">
        <x:v>2107</x:v>
      </x:c>
      <x:c r="C1100" t="n">
        <x:v>2</x:v>
      </x:c>
      <x:c r="D1100" t="str">
        <x:v>00:00</x:v>
      </x:c>
      <x:c r="E1100"/>
      <x:c r="F1100" t="n">
        <x:v>0</x:v>
      </x:c>
      <x:c r="G1100"/>
      <x:c r="H1100"/>
      <x:c r="I1100"/>
      <x:c r="J1100"/>
      <x:c r="K1100" t="str">
        <x:v>END QUARTER 2</x:v>
      </x:c>
      <x:c r="L1100"/>
      <x:c r="M1100"/>
      <x:c r="N1100" t="n">
        <x:v>0</x:v>
      </x:c>
      <x:c r="O1100" t="n">
        <x:v>0</x:v>
      </x:c>
      <x:c r="P1100"/>
      <x:c r="Q1100"/>
      <x:c r="R1100"/>
      <x:c r="S1100"/>
      <x:c r="T1100"/>
      <x:c r="U1100"/>
      <x:c r="V1100"/>
      <x:c r="W1100"/>
      <x:c r="X1100"/>
      <x:c r="Y1100"/>
      <x:c r="Z1100"/>
      <x:c r="AA1100"/>
      <x:c r="AB1100"/>
      <x:c r="AC1100"/>
      <x:c r="AD1100"/>
      <x:c r="AE1100"/>
      <x:c r="AF1100" t="n">
        <x:v>0</x:v>
      </x:c>
      <x:c r="AG1100" t="n">
        <x:f>_xlfn.XLOOKUP($A1100,Games!$A$2:$A$18,Games!$B$2:$B$18,"Missing game",0)</x:f>
        <x:v>2025</x:v>
      </x:c>
      <x:c r="AH1100" t="str">
        <x:f>_xlfn.XLOOKUP($A1100,Games!$A$2:$A$18,Games!$C$2:$C$18,"Missing game",0)</x:f>
        <x:v>REG</x:v>
      </x:c>
      <x:c r="AI1100" t="n">
        <x:f>_xlfn.XLOOKUP($A1100,Games!$A$2:$A$18,Games!$D$2:$D$18,"Missing game",0)</x:f>
        <x:v>8</x:v>
      </x:c>
      <x:c r="AJ1100" s="1" t="n">
        <x:f>_xlfn.XLOOKUP($A1100,Games!$A$2:$A$18,Games!$E$2:$E$18,"Missing game",0)</x:f>
        <x:v>45953</x:v>
      </x:c>
      <x:c r="AK1100" t="str">
        <x:f>_xlfn.XLOOKUP($A1100,Games!$A$2:$A$18,Games!$F$2:$F$18,"Missing game",0)</x:f>
        <x:v>Thursday</x:v>
      </x:c>
      <x:c r="AL1100" t="str">
        <x:f>_xlfn.XLOOKUP($A1100,Games!$A$2:$A$18,Games!$G$2:$G$18,"Missing game",0)</x:f>
        <x:v>MIN</x:v>
      </x:c>
      <x:c r="AM1100" t="n">
        <x:f>_xlfn.XLOOKUP($A1100,Games!$A$2:$A$18,Games!$H$2:$H$18,"Missing game",0)</x:f>
        <x:v>10</x:v>
      </x:c>
      <x:c r="AN1100" t="str">
        <x:f>_xlfn.XLOOKUP($A1100,Games!$A$2:$A$18,Games!$I$2:$I$18,"Missing game",0)</x:f>
        <x:v>LAC</x:v>
      </x:c>
      <x:c r="AO1100" t="n">
        <x:f>_xlfn.XLOOKUP($A1100,Games!$A$2:$A$18,Games!$J$2:$J$18,"Missing game",0)</x:f>
        <x:v>37</x:v>
      </x:c>
      <x:c r="AP1100" t="n">
        <x:f>_xlfn.XLOOKUP($A1100,Games!$A$2:$A$18,Games!$K$2:$K$18,"Missing game",0)</x:f>
        <x:v>27</x:v>
      </x:c>
      <x:c r="AQ1100" t="n">
        <x:f>_xlfn.XLOOKUP($A1100,Games!$A$2:$A$18,Games!$L$2:$L$18,"Missing game",0)</x:f>
        <x:v>47</x:v>
      </x:c>
      <x:c r="AR1100" t="n">
        <x:f>_xlfn.XLOOKUP($A1100,Games!$A$2:$A$18,Games!$M$2:$M$18,"Missing game",0)</x:f>
        <x:v>0</x:v>
      </x:c>
      <x:c r="AS1100" t="str">
        <x:f>_xlfn.XLOOKUP($A1100,Games!$A$2:$A$18,Games!$N$2:$N$18,"Missing game",0)</x:f>
        <x:v>dome</x:v>
      </x:c>
      <x:c r="AT1100" t="str">
        <x:f>_xlfn.XLOOKUP($A1100,Games!$A$2:$A$18,Games!$O$2:$O$18,"Missing game",0)</x:f>
        <x:v>matrixturf</x:v>
      </x:c>
      <x:c r="AU1100" t="str">
        <x:f>_xlfn.XLOOKUP($A1100,Games!$A$2:$A$18,Games!$P$2:$P$18,"Missing game",0)</x:f>
      </x:c>
      <x:c r="AV1100" t="str">
        <x:f>_xlfn.XLOOKUP($A1100,Games!$A$2:$A$18,Games!$Q$2:$Q$18,"Missing game",0)</x:f>
      </x:c>
      <x:c r="AW1100" t="str">
        <x:f>_xlfn.XLOOKUP($A1100,Games!$A$2:$A$18,Games!$R$2:$R$18,"Missing game",0)</x:f>
        <x:v>SoFi Stadium</x:v>
      </x:c>
    </x:row>
    <x:row r="1101">
      <x:c r="A1101" t="str">
        <x:v>2025_08_MIN_LAC</x:v>
      </x:c>
      <x:c r="B1101" t="n">
        <x:v>2127</x:v>
      </x:c>
      <x:c r="C1101" t="n">
        <x:v>3</x:v>
      </x:c>
      <x:c r="D1101" t="str">
        <x:v>15:00</x:v>
      </x:c>
      <x:c r="E1101"/>
      <x:c r="F1101" t="n">
        <x:v>0</x:v>
      </x:c>
      <x:c r="G1101" t="str">
        <x:v>LAC</x:v>
      </x:c>
      <x:c r="H1101" t="str">
        <x:v>MIN</x:v>
      </x:c>
      <x:c r="I1101" t="str">
        <x:v>MIN</x:v>
      </x:c>
      <x:c r="J1101" t="n">
        <x:v>35</x:v>
      </x:c>
      <x:c r="K1101" t="str">
        <x:v>16-W.Reichard kicks 60 yards from MIN 35 to LAC 5. 12-D.Davis to LAC 33 for 28 yards (8-J.Okudah; 56-A.Keys).</x:v>
      </x:c>
      <x:c r="L1101" t="str">
        <x:v>kickoff</x:v>
      </x:c>
      <x:c r="M1101" t="n">
        <x:v>0</x:v>
      </x:c>
      <x:c r="N1101" t="n">
        <x:v>0</x:v>
      </x:c>
      <x:c r="O1101" t="n">
        <x:v>0</x:v>
      </x:c>
      <x:c r="P1101"/>
      <x:c r="Q1101"/>
      <x:c r="R1101"/>
      <x:c r="S1101"/>
      <x:c r="T1101"/>
      <x:c r="U1101"/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/>
      <x:c r="AC1101" t="n">
        <x:v>0</x:v>
      </x:c>
      <x:c r="AD1101" t="n">
        <x:v>0.47301989747211337</x:v>
      </x:c>
      <x:c r="AE1101" t="n">
        <x:v>1</x:v>
      </x:c>
      <x:c r="AF1101" t="n">
        <x:v>-0.0001265406608581543</x:v>
      </x:c>
      <x:c r="AG1101" t="n">
        <x:f>_xlfn.XLOOKUP($A1101,Games!$A$2:$A$18,Games!$B$2:$B$18,"Missing game",0)</x:f>
        <x:v>2025</x:v>
      </x:c>
      <x:c r="AH1101" t="str">
        <x:f>_xlfn.XLOOKUP($A1101,Games!$A$2:$A$18,Games!$C$2:$C$18,"Missing game",0)</x:f>
        <x:v>REG</x:v>
      </x:c>
      <x:c r="AI1101" t="n">
        <x:f>_xlfn.XLOOKUP($A1101,Games!$A$2:$A$18,Games!$D$2:$D$18,"Missing game",0)</x:f>
        <x:v>8</x:v>
      </x:c>
      <x:c r="AJ1101" s="1" t="n">
        <x:f>_xlfn.XLOOKUP($A1101,Games!$A$2:$A$18,Games!$E$2:$E$18,"Missing game",0)</x:f>
        <x:v>45953</x:v>
      </x:c>
      <x:c r="AK1101" t="str">
        <x:f>_xlfn.XLOOKUP($A1101,Games!$A$2:$A$18,Games!$F$2:$F$18,"Missing game",0)</x:f>
        <x:v>Thursday</x:v>
      </x:c>
      <x:c r="AL1101" t="str">
        <x:f>_xlfn.XLOOKUP($A1101,Games!$A$2:$A$18,Games!$G$2:$G$18,"Missing game",0)</x:f>
        <x:v>MIN</x:v>
      </x:c>
      <x:c r="AM1101" t="n">
        <x:f>_xlfn.XLOOKUP($A1101,Games!$A$2:$A$18,Games!$H$2:$H$18,"Missing game",0)</x:f>
        <x:v>10</x:v>
      </x:c>
      <x:c r="AN1101" t="str">
        <x:f>_xlfn.XLOOKUP($A1101,Games!$A$2:$A$18,Games!$I$2:$I$18,"Missing game",0)</x:f>
        <x:v>LAC</x:v>
      </x:c>
      <x:c r="AO1101" t="n">
        <x:f>_xlfn.XLOOKUP($A1101,Games!$A$2:$A$18,Games!$J$2:$J$18,"Missing game",0)</x:f>
        <x:v>37</x:v>
      </x:c>
      <x:c r="AP1101" t="n">
        <x:f>_xlfn.XLOOKUP($A1101,Games!$A$2:$A$18,Games!$K$2:$K$18,"Missing game",0)</x:f>
        <x:v>27</x:v>
      </x:c>
      <x:c r="AQ1101" t="n">
        <x:f>_xlfn.XLOOKUP($A1101,Games!$A$2:$A$18,Games!$L$2:$L$18,"Missing game",0)</x:f>
        <x:v>47</x:v>
      </x:c>
      <x:c r="AR1101" t="n">
        <x:f>_xlfn.XLOOKUP($A1101,Games!$A$2:$A$18,Games!$M$2:$M$18,"Missing game",0)</x:f>
        <x:v>0</x:v>
      </x:c>
      <x:c r="AS1101" t="str">
        <x:f>_xlfn.XLOOKUP($A1101,Games!$A$2:$A$18,Games!$N$2:$N$18,"Missing game",0)</x:f>
        <x:v>dome</x:v>
      </x:c>
      <x:c r="AT1101" t="str">
        <x:f>_xlfn.XLOOKUP($A1101,Games!$A$2:$A$18,Games!$O$2:$O$18,"Missing game",0)</x:f>
        <x:v>matrixturf</x:v>
      </x:c>
      <x:c r="AU1101" t="str">
        <x:f>_xlfn.XLOOKUP($A1101,Games!$A$2:$A$18,Games!$P$2:$P$18,"Missing game",0)</x:f>
      </x:c>
      <x:c r="AV1101" t="str">
        <x:f>_xlfn.XLOOKUP($A1101,Games!$A$2:$A$18,Games!$Q$2:$Q$18,"Missing game",0)</x:f>
      </x:c>
      <x:c r="AW1101" t="str">
        <x:f>_xlfn.XLOOKUP($A1101,Games!$A$2:$A$18,Games!$R$2:$R$18,"Missing game",0)</x:f>
        <x:v>SoFi Stadium</x:v>
      </x:c>
    </x:row>
    <x:row r="1102">
      <x:c r="A1102" t="str">
        <x:v>2025_08_MIN_LAC</x:v>
      </x:c>
      <x:c r="B1102" t="n">
        <x:v>2165</x:v>
      </x:c>
      <x:c r="C1102" t="n">
        <x:v>3</x:v>
      </x:c>
      <x:c r="D1102" t="str">
        <x:v>14:54</x:v>
      </x:c>
      <x:c r="E1102" t="n">
        <x:v>1</x:v>
      </x:c>
      <x:c r="F1102" t="n">
        <x:v>10</x:v>
      </x:c>
      <x:c r="G1102" t="str">
        <x:v>LAC</x:v>
      </x:c>
      <x:c r="H1102" t="str">
        <x:v>MIN</x:v>
      </x:c>
      <x:c r="I1102" t="str">
        <x:v>LAC</x:v>
      </x:c>
      <x:c r="J1102" t="n">
        <x:v>67</x:v>
      </x:c>
      <x:c r="K1102" t="str">
        <x:v>(14:54) 30-K.Vidal up the middle to LAC 40 for 7 yards (50-L.Rodriguez).</x:v>
      </x:c>
      <x:c r="L1102" t="str">
        <x:v>run</x:v>
      </x:c>
      <x:c r="M1102" t="n">
        <x:v>7</x:v>
      </x:c>
      <x:c r="N1102" t="n">
        <x:v>0</x:v>
      </x:c>
      <x:c r="O1102" t="n">
        <x:v>0</x:v>
      </x:c>
      <x:c r="P1102"/>
      <x:c r="Q1102"/>
      <x:c r="R1102"/>
      <x:c r="S1102"/>
      <x:c r="T1102" t="str">
        <x:v>middle</x:v>
      </x:c>
      <x:c r="U1102"/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/>
      <x:c r="AC1102" t="n">
        <x:v>0</x:v>
      </x:c>
      <x:c r="AD1102" t="n">
        <x:v>0.2571492011193186</x:v>
      </x:c>
      <x:c r="AE1102" t="n">
        <x:v>1</x:v>
      </x:c>
      <x:c r="AF1102" t="n">
        <x:v>0.007317245006561279</x:v>
      </x:c>
      <x:c r="AG1102" t="n">
        <x:f>_xlfn.XLOOKUP($A1102,Games!$A$2:$A$18,Games!$B$2:$B$18,"Missing game",0)</x:f>
        <x:v>2025</x:v>
      </x:c>
      <x:c r="AH1102" t="str">
        <x:f>_xlfn.XLOOKUP($A1102,Games!$A$2:$A$18,Games!$C$2:$C$18,"Missing game",0)</x:f>
        <x:v>REG</x:v>
      </x:c>
      <x:c r="AI1102" t="n">
        <x:f>_xlfn.XLOOKUP($A1102,Games!$A$2:$A$18,Games!$D$2:$D$18,"Missing game",0)</x:f>
        <x:v>8</x:v>
      </x:c>
      <x:c r="AJ1102" s="1" t="n">
        <x:f>_xlfn.XLOOKUP($A1102,Games!$A$2:$A$18,Games!$E$2:$E$18,"Missing game",0)</x:f>
        <x:v>45953</x:v>
      </x:c>
      <x:c r="AK1102" t="str">
        <x:f>_xlfn.XLOOKUP($A1102,Games!$A$2:$A$18,Games!$F$2:$F$18,"Missing game",0)</x:f>
        <x:v>Thursday</x:v>
      </x:c>
      <x:c r="AL1102" t="str">
        <x:f>_xlfn.XLOOKUP($A1102,Games!$A$2:$A$18,Games!$G$2:$G$18,"Missing game",0)</x:f>
        <x:v>MIN</x:v>
      </x:c>
      <x:c r="AM1102" t="n">
        <x:f>_xlfn.XLOOKUP($A1102,Games!$A$2:$A$18,Games!$H$2:$H$18,"Missing game",0)</x:f>
        <x:v>10</x:v>
      </x:c>
      <x:c r="AN1102" t="str">
        <x:f>_xlfn.XLOOKUP($A1102,Games!$A$2:$A$18,Games!$I$2:$I$18,"Missing game",0)</x:f>
        <x:v>LAC</x:v>
      </x:c>
      <x:c r="AO1102" t="n">
        <x:f>_xlfn.XLOOKUP($A1102,Games!$A$2:$A$18,Games!$J$2:$J$18,"Missing game",0)</x:f>
        <x:v>37</x:v>
      </x:c>
      <x:c r="AP1102" t="n">
        <x:f>_xlfn.XLOOKUP($A1102,Games!$A$2:$A$18,Games!$K$2:$K$18,"Missing game",0)</x:f>
        <x:v>27</x:v>
      </x:c>
      <x:c r="AQ1102" t="n">
        <x:f>_xlfn.XLOOKUP($A1102,Games!$A$2:$A$18,Games!$L$2:$L$18,"Missing game",0)</x:f>
        <x:v>47</x:v>
      </x:c>
      <x:c r="AR1102" t="n">
        <x:f>_xlfn.XLOOKUP($A1102,Games!$A$2:$A$18,Games!$M$2:$M$18,"Missing game",0)</x:f>
        <x:v>0</x:v>
      </x:c>
      <x:c r="AS1102" t="str">
        <x:f>_xlfn.XLOOKUP($A1102,Games!$A$2:$A$18,Games!$N$2:$N$18,"Missing game",0)</x:f>
        <x:v>dome</x:v>
      </x:c>
      <x:c r="AT1102" t="str">
        <x:f>_xlfn.XLOOKUP($A1102,Games!$A$2:$A$18,Games!$O$2:$O$18,"Missing game",0)</x:f>
        <x:v>matrixturf</x:v>
      </x:c>
      <x:c r="AU1102" t="str">
        <x:f>_xlfn.XLOOKUP($A1102,Games!$A$2:$A$18,Games!$P$2:$P$18,"Missing game",0)</x:f>
      </x:c>
      <x:c r="AV1102" t="str">
        <x:f>_xlfn.XLOOKUP($A1102,Games!$A$2:$A$18,Games!$Q$2:$Q$18,"Missing game",0)</x:f>
      </x:c>
      <x:c r="AW1102" t="str">
        <x:f>_xlfn.XLOOKUP($A1102,Games!$A$2:$A$18,Games!$R$2:$R$18,"Missing game",0)</x:f>
        <x:v>SoFi Stadium</x:v>
      </x:c>
    </x:row>
    <x:row r="1103">
      <x:c r="A1103" t="str">
        <x:v>2025_08_MIN_LAC</x:v>
      </x:c>
      <x:c r="B1103" t="n">
        <x:v>2187</x:v>
      </x:c>
      <x:c r="C1103" t="n">
        <x:v>3</x:v>
      </x:c>
      <x:c r="D1103" t="str">
        <x:v>14:15</x:v>
      </x:c>
      <x:c r="E1103" t="n">
        <x:v>2</x:v>
      </x:c>
      <x:c r="F1103" t="n">
        <x:v>3</x:v>
      </x:c>
      <x:c r="G1103" t="str">
        <x:v>LAC</x:v>
      </x:c>
      <x:c r="H1103" t="str">
        <x:v>MIN</x:v>
      </x:c>
      <x:c r="I1103" t="str">
        <x:v>LAC</x:v>
      </x:c>
      <x:c r="J1103" t="n">
        <x:v>60</x:v>
      </x:c>
      <x:c r="K1103" t="str">
        <x:v>(14:15) 30-K.Vidal up the middle to LAC 48 for 8 yards (44-J.Metellus; 0-I.Pace).</x:v>
      </x:c>
      <x:c r="L1103" t="str">
        <x:v>run</x:v>
      </x:c>
      <x:c r="M1103" t="n">
        <x:v>8</x:v>
      </x:c>
      <x:c r="N1103" t="n">
        <x:v>0</x:v>
      </x:c>
      <x:c r="O1103" t="n">
        <x:v>0</x:v>
      </x:c>
      <x:c r="P1103"/>
      <x:c r="Q1103"/>
      <x:c r="R1103"/>
      <x:c r="S1103"/>
      <x:c r="T1103" t="str">
        <x:v>middle</x:v>
      </x:c>
      <x:c r="U1103"/>
      <x:c r="V1103" t="n">
        <x:v>0</x:v>
      </x:c>
      <x:c r="W1103" t="n">
        <x:v>1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/>
      <x:c r="AC1103" t="n">
        <x:v>0</x:v>
      </x:c>
      <x:c r="AD1103" t="n">
        <x:v>0.6258298926986754</x:v>
      </x:c>
      <x:c r="AE1103" t="n">
        <x:v>1</x:v>
      </x:c>
      <x:c r="AF1103" t="n">
        <x:v>0.002829611301422119</x:v>
      </x:c>
      <x:c r="AG1103" t="n">
        <x:f>_xlfn.XLOOKUP($A1103,Games!$A$2:$A$18,Games!$B$2:$B$18,"Missing game",0)</x:f>
        <x:v>2025</x:v>
      </x:c>
      <x:c r="AH1103" t="str">
        <x:f>_xlfn.XLOOKUP($A1103,Games!$A$2:$A$18,Games!$C$2:$C$18,"Missing game",0)</x:f>
        <x:v>REG</x:v>
      </x:c>
      <x:c r="AI1103" t="n">
        <x:f>_xlfn.XLOOKUP($A1103,Games!$A$2:$A$18,Games!$D$2:$D$18,"Missing game",0)</x:f>
        <x:v>8</x:v>
      </x:c>
      <x:c r="AJ1103" s="1" t="n">
        <x:f>_xlfn.XLOOKUP($A1103,Games!$A$2:$A$18,Games!$E$2:$E$18,"Missing game",0)</x:f>
        <x:v>45953</x:v>
      </x:c>
      <x:c r="AK1103" t="str">
        <x:f>_xlfn.XLOOKUP($A1103,Games!$A$2:$A$18,Games!$F$2:$F$18,"Missing game",0)</x:f>
        <x:v>Thursday</x:v>
      </x:c>
      <x:c r="AL1103" t="str">
        <x:f>_xlfn.XLOOKUP($A1103,Games!$A$2:$A$18,Games!$G$2:$G$18,"Missing game",0)</x:f>
        <x:v>MIN</x:v>
      </x:c>
      <x:c r="AM1103" t="n">
        <x:f>_xlfn.XLOOKUP($A1103,Games!$A$2:$A$18,Games!$H$2:$H$18,"Missing game",0)</x:f>
        <x:v>10</x:v>
      </x:c>
      <x:c r="AN1103" t="str">
        <x:f>_xlfn.XLOOKUP($A1103,Games!$A$2:$A$18,Games!$I$2:$I$18,"Missing game",0)</x:f>
        <x:v>LAC</x:v>
      </x:c>
      <x:c r="AO1103" t="n">
        <x:f>_xlfn.XLOOKUP($A1103,Games!$A$2:$A$18,Games!$J$2:$J$18,"Missing game",0)</x:f>
        <x:v>37</x:v>
      </x:c>
      <x:c r="AP1103" t="n">
        <x:f>_xlfn.XLOOKUP($A1103,Games!$A$2:$A$18,Games!$K$2:$K$18,"Missing game",0)</x:f>
        <x:v>27</x:v>
      </x:c>
      <x:c r="AQ1103" t="n">
        <x:f>_xlfn.XLOOKUP($A1103,Games!$A$2:$A$18,Games!$L$2:$L$18,"Missing game",0)</x:f>
        <x:v>47</x:v>
      </x:c>
      <x:c r="AR1103" t="n">
        <x:f>_xlfn.XLOOKUP($A1103,Games!$A$2:$A$18,Games!$M$2:$M$18,"Missing game",0)</x:f>
        <x:v>0</x:v>
      </x:c>
      <x:c r="AS1103" t="str">
        <x:f>_xlfn.XLOOKUP($A1103,Games!$A$2:$A$18,Games!$N$2:$N$18,"Missing game",0)</x:f>
        <x:v>dome</x:v>
      </x:c>
      <x:c r="AT1103" t="str">
        <x:f>_xlfn.XLOOKUP($A1103,Games!$A$2:$A$18,Games!$O$2:$O$18,"Missing game",0)</x:f>
        <x:v>matrixturf</x:v>
      </x:c>
      <x:c r="AU1103" t="str">
        <x:f>_xlfn.XLOOKUP($A1103,Games!$A$2:$A$18,Games!$P$2:$P$18,"Missing game",0)</x:f>
      </x:c>
      <x:c r="AV1103" t="str">
        <x:f>_xlfn.XLOOKUP($A1103,Games!$A$2:$A$18,Games!$Q$2:$Q$18,"Missing game",0)</x:f>
      </x:c>
      <x:c r="AW1103" t="str">
        <x:f>_xlfn.XLOOKUP($A1103,Games!$A$2:$A$18,Games!$R$2:$R$18,"Missing game",0)</x:f>
        <x:v>SoFi Stadium</x:v>
      </x:c>
    </x:row>
    <x:row r="1104">
      <x:c r="A1104" t="str">
        <x:v>2025_08_MIN_LAC</x:v>
      </x:c>
      <x:c r="B1104" t="n">
        <x:v>2209</x:v>
      </x:c>
      <x:c r="C1104" t="n">
        <x:v>3</x:v>
      </x:c>
      <x:c r="D1104" t="str">
        <x:v>13:35</x:v>
      </x:c>
      <x:c r="E1104" t="n">
        <x:v>1</x:v>
      </x:c>
      <x:c r="F1104" t="n">
        <x:v>10</x:v>
      </x:c>
      <x:c r="G1104" t="str">
        <x:v>LAC</x:v>
      </x:c>
      <x:c r="H1104" t="str">
        <x:v>MIN</x:v>
      </x:c>
      <x:c r="I1104" t="str">
        <x:v>LAC</x:v>
      </x:c>
      <x:c r="J1104" t="n">
        <x:v>52</x:v>
      </x:c>
      <x:c r="K1104" t="str">
        <x:v>(13:35) 30-K.Vidal up the middle to MIN 43 for 9 yards (55-E.Wilson; 0-I.Pace).</x:v>
      </x:c>
      <x:c r="L1104" t="str">
        <x:v>run</x:v>
      </x:c>
      <x:c r="M1104" t="n">
        <x:v>9</x:v>
      </x:c>
      <x:c r="N1104" t="n">
        <x:v>0</x:v>
      </x:c>
      <x:c r="O1104" t="n">
        <x:v>0</x:v>
      </x:c>
      <x:c r="P1104"/>
      <x:c r="Q1104"/>
      <x:c r="R1104"/>
      <x:c r="S1104"/>
      <x:c r="T1104" t="str">
        <x:v>middle</x:v>
      </x:c>
      <x:c r="U1104"/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/>
      <x:c r="AC1104" t="n">
        <x:v>0</x:v>
      </x:c>
      <x:c r="AD1104" t="n">
        <x:v>0.5858873699326068</x:v>
      </x:c>
      <x:c r="AE1104" t="n">
        <x:v>1</x:v>
      </x:c>
      <x:c r="AF1104" t="n">
        <x:v>0.005272805690765381</x:v>
      </x:c>
      <x:c r="AG1104" t="n">
        <x:f>_xlfn.XLOOKUP($A1104,Games!$A$2:$A$18,Games!$B$2:$B$18,"Missing game",0)</x:f>
        <x:v>2025</x:v>
      </x:c>
      <x:c r="AH1104" t="str">
        <x:f>_xlfn.XLOOKUP($A1104,Games!$A$2:$A$18,Games!$C$2:$C$18,"Missing game",0)</x:f>
        <x:v>REG</x:v>
      </x:c>
      <x:c r="AI1104" t="n">
        <x:f>_xlfn.XLOOKUP($A1104,Games!$A$2:$A$18,Games!$D$2:$D$18,"Missing game",0)</x:f>
        <x:v>8</x:v>
      </x:c>
      <x:c r="AJ1104" s="1" t="n">
        <x:f>_xlfn.XLOOKUP($A1104,Games!$A$2:$A$18,Games!$E$2:$E$18,"Missing game",0)</x:f>
        <x:v>45953</x:v>
      </x:c>
      <x:c r="AK1104" t="str">
        <x:f>_xlfn.XLOOKUP($A1104,Games!$A$2:$A$18,Games!$F$2:$F$18,"Missing game",0)</x:f>
        <x:v>Thursday</x:v>
      </x:c>
      <x:c r="AL1104" t="str">
        <x:f>_xlfn.XLOOKUP($A1104,Games!$A$2:$A$18,Games!$G$2:$G$18,"Missing game",0)</x:f>
        <x:v>MIN</x:v>
      </x:c>
      <x:c r="AM1104" t="n">
        <x:f>_xlfn.XLOOKUP($A1104,Games!$A$2:$A$18,Games!$H$2:$H$18,"Missing game",0)</x:f>
        <x:v>10</x:v>
      </x:c>
      <x:c r="AN1104" t="str">
        <x:f>_xlfn.XLOOKUP($A1104,Games!$A$2:$A$18,Games!$I$2:$I$18,"Missing game",0)</x:f>
        <x:v>LAC</x:v>
      </x:c>
      <x:c r="AO1104" t="n">
        <x:f>_xlfn.XLOOKUP($A1104,Games!$A$2:$A$18,Games!$J$2:$J$18,"Missing game",0)</x:f>
        <x:v>37</x:v>
      </x:c>
      <x:c r="AP1104" t="n">
        <x:f>_xlfn.XLOOKUP($A1104,Games!$A$2:$A$18,Games!$K$2:$K$18,"Missing game",0)</x:f>
        <x:v>27</x:v>
      </x:c>
      <x:c r="AQ1104" t="n">
        <x:f>_xlfn.XLOOKUP($A1104,Games!$A$2:$A$18,Games!$L$2:$L$18,"Missing game",0)</x:f>
        <x:v>47</x:v>
      </x:c>
      <x:c r="AR1104" t="n">
        <x:f>_xlfn.XLOOKUP($A1104,Games!$A$2:$A$18,Games!$M$2:$M$18,"Missing game",0)</x:f>
        <x:v>0</x:v>
      </x:c>
      <x:c r="AS1104" t="str">
        <x:f>_xlfn.XLOOKUP($A1104,Games!$A$2:$A$18,Games!$N$2:$N$18,"Missing game",0)</x:f>
        <x:v>dome</x:v>
      </x:c>
      <x:c r="AT1104" t="str">
        <x:f>_xlfn.XLOOKUP($A1104,Games!$A$2:$A$18,Games!$O$2:$O$18,"Missing game",0)</x:f>
        <x:v>matrixturf</x:v>
      </x:c>
      <x:c r="AU1104" t="str">
        <x:f>_xlfn.XLOOKUP($A1104,Games!$A$2:$A$18,Games!$P$2:$P$18,"Missing game",0)</x:f>
      </x:c>
      <x:c r="AV1104" t="str">
        <x:f>_xlfn.XLOOKUP($A1104,Games!$A$2:$A$18,Games!$Q$2:$Q$18,"Missing game",0)</x:f>
      </x:c>
      <x:c r="AW1104" t="str">
        <x:f>_xlfn.XLOOKUP($A1104,Games!$A$2:$A$18,Games!$R$2:$R$18,"Missing game",0)</x:f>
        <x:v>SoFi Stadium</x:v>
      </x:c>
    </x:row>
    <x:row r="1105">
      <x:c r="A1105" t="str">
        <x:v>2025_08_MIN_LAC</x:v>
      </x:c>
      <x:c r="B1105" t="n">
        <x:v>2231</x:v>
      </x:c>
      <x:c r="C1105" t="n">
        <x:v>3</x:v>
      </x:c>
      <x:c r="D1105" t="str">
        <x:v>12:59</x:v>
      </x:c>
      <x:c r="E1105" t="n">
        <x:v>2</x:v>
      </x:c>
      <x:c r="F1105" t="n">
        <x:v>1</x:v>
      </x:c>
      <x:c r="G1105" t="str">
        <x:v>LAC</x:v>
      </x:c>
      <x:c r="H1105" t="str">
        <x:v>MIN</x:v>
      </x:c>
      <x:c r="I1105" t="str">
        <x:v>MIN</x:v>
      </x:c>
      <x:c r="J1105" t="n">
        <x:v>43</x:v>
      </x:c>
      <x:c r="K1105" t="str">
        <x:v>(12:59) 32-J.Patterson up the middle to MIN 43 for no gain (93-J.Allen; 50-L.Rodriguez).</x:v>
      </x:c>
      <x:c r="L1105" t="str">
        <x:v>run</x:v>
      </x:c>
      <x:c r="M1105" t="n">
        <x:v>0</x:v>
      </x:c>
      <x:c r="N1105" t="n">
        <x:v>0</x:v>
      </x:c>
      <x:c r="O1105" t="n">
        <x:v>0</x:v>
      </x:c>
      <x:c r="P1105"/>
      <x:c r="Q1105"/>
      <x:c r="R1105"/>
      <x:c r="S1105"/>
      <x:c r="T1105" t="str">
        <x:v>middle</x:v>
      </x:c>
      <x:c r="U1105"/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/>
      <x:c r="AC1105" t="n">
        <x:v>0</x:v>
      </x:c>
      <x:c r="AD1105" t="n">
        <x:v>-0.6569791708607227</x:v>
      </x:c>
      <x:c r="AE1105" t="n">
        <x:v>0</x:v>
      </x:c>
      <x:c r="AF1105" t="n">
        <x:v>-0.0045809149742126465</x:v>
      </x:c>
      <x:c r="AG1105" t="n">
        <x:f>_xlfn.XLOOKUP($A1105,Games!$A$2:$A$18,Games!$B$2:$B$18,"Missing game",0)</x:f>
        <x:v>2025</x:v>
      </x:c>
      <x:c r="AH1105" t="str">
        <x:f>_xlfn.XLOOKUP($A1105,Games!$A$2:$A$18,Games!$C$2:$C$18,"Missing game",0)</x:f>
        <x:v>REG</x:v>
      </x:c>
      <x:c r="AI1105" t="n">
        <x:f>_xlfn.XLOOKUP($A1105,Games!$A$2:$A$18,Games!$D$2:$D$18,"Missing game",0)</x:f>
        <x:v>8</x:v>
      </x:c>
      <x:c r="AJ1105" s="1" t="n">
        <x:f>_xlfn.XLOOKUP($A1105,Games!$A$2:$A$18,Games!$E$2:$E$18,"Missing game",0)</x:f>
        <x:v>45953</x:v>
      </x:c>
      <x:c r="AK1105" t="str">
        <x:f>_xlfn.XLOOKUP($A1105,Games!$A$2:$A$18,Games!$F$2:$F$18,"Missing game",0)</x:f>
        <x:v>Thursday</x:v>
      </x:c>
      <x:c r="AL1105" t="str">
        <x:f>_xlfn.XLOOKUP($A1105,Games!$A$2:$A$18,Games!$G$2:$G$18,"Missing game",0)</x:f>
        <x:v>MIN</x:v>
      </x:c>
      <x:c r="AM1105" t="n">
        <x:f>_xlfn.XLOOKUP($A1105,Games!$A$2:$A$18,Games!$H$2:$H$18,"Missing game",0)</x:f>
        <x:v>10</x:v>
      </x:c>
      <x:c r="AN1105" t="str">
        <x:f>_xlfn.XLOOKUP($A1105,Games!$A$2:$A$18,Games!$I$2:$I$18,"Missing game",0)</x:f>
        <x:v>LAC</x:v>
      </x:c>
      <x:c r="AO1105" t="n">
        <x:f>_xlfn.XLOOKUP($A1105,Games!$A$2:$A$18,Games!$J$2:$J$18,"Missing game",0)</x:f>
        <x:v>37</x:v>
      </x:c>
      <x:c r="AP1105" t="n">
        <x:f>_xlfn.XLOOKUP($A1105,Games!$A$2:$A$18,Games!$K$2:$K$18,"Missing game",0)</x:f>
        <x:v>27</x:v>
      </x:c>
      <x:c r="AQ1105" t="n">
        <x:f>_xlfn.XLOOKUP($A1105,Games!$A$2:$A$18,Games!$L$2:$L$18,"Missing game",0)</x:f>
        <x:v>47</x:v>
      </x:c>
      <x:c r="AR1105" t="n">
        <x:f>_xlfn.XLOOKUP($A1105,Games!$A$2:$A$18,Games!$M$2:$M$18,"Missing game",0)</x:f>
        <x:v>0</x:v>
      </x:c>
      <x:c r="AS1105" t="str">
        <x:f>_xlfn.XLOOKUP($A1105,Games!$A$2:$A$18,Games!$N$2:$N$18,"Missing game",0)</x:f>
        <x:v>dome</x:v>
      </x:c>
      <x:c r="AT1105" t="str">
        <x:f>_xlfn.XLOOKUP($A1105,Games!$A$2:$A$18,Games!$O$2:$O$18,"Missing game",0)</x:f>
        <x:v>matrixturf</x:v>
      </x:c>
      <x:c r="AU1105" t="str">
        <x:f>_xlfn.XLOOKUP($A1105,Games!$A$2:$A$18,Games!$P$2:$P$18,"Missing game",0)</x:f>
      </x:c>
      <x:c r="AV1105" t="str">
        <x:f>_xlfn.XLOOKUP($A1105,Games!$A$2:$A$18,Games!$Q$2:$Q$18,"Missing game",0)</x:f>
      </x:c>
      <x:c r="AW1105" t="str">
        <x:f>_xlfn.XLOOKUP($A1105,Games!$A$2:$A$18,Games!$R$2:$R$18,"Missing game",0)</x:f>
        <x:v>SoFi Stadium</x:v>
      </x:c>
    </x:row>
    <x:row r="1106">
      <x:c r="A1106" t="str">
        <x:v>2025_08_MIN_LAC</x:v>
      </x:c>
      <x:c r="B1106" t="n">
        <x:v>2253</x:v>
      </x:c>
      <x:c r="C1106" t="n">
        <x:v>3</x:v>
      </x:c>
      <x:c r="D1106" t="str">
        <x:v>12:17</x:v>
      </x:c>
      <x:c r="E1106" t="n">
        <x:v>3</x:v>
      </x:c>
      <x:c r="F1106" t="n">
        <x:v>1</x:v>
      </x:c>
      <x:c r="G1106" t="str">
        <x:v>LAC</x:v>
      </x:c>
      <x:c r="H1106" t="str">
        <x:v>MIN</x:v>
      </x:c>
      <x:c r="I1106" t="str">
        <x:v>MIN</x:v>
      </x:c>
      <x:c r="J1106" t="n">
        <x:v>43</x:v>
      </x:c>
      <x:c r="K1106" t="str">
        <x:v>(12:17) 10-J.Herbert pass short right to 30-K.Vidal pushed ob at MIN 33 for 10 yards (51-B.Cashman).</x:v>
      </x:c>
      <x:c r="L1106" t="str">
        <x:v>pass</x:v>
      </x:c>
      <x:c r="M1106" t="n">
        <x:v>10</x:v>
      </x:c>
      <x:c r="N1106" t="n">
        <x:v>0</x:v>
      </x:c>
      <x:c r="O1106" t="n">
        <x:v>0</x:v>
      </x:c>
      <x:c r="P1106" t="str">
        <x:v>short</x:v>
      </x:c>
      <x:c r="Q1106" t="str">
        <x:v>right</x:v>
      </x:c>
      <x:c r="R1106" t="n">
        <x:v>-1</x:v>
      </x:c>
      <x:c r="S1106" t="n">
        <x:v>11</x:v>
      </x:c>
      <x:c r="T1106"/>
      <x:c r="U1106"/>
      <x:c r="V1106" t="n">
        <x:v>1</x:v>
      </x:c>
      <x:c r="W1106" t="n">
        <x:v>1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/>
      <x:c r="AC1106" t="n">
        <x:v>0</x:v>
      </x:c>
      <x:c r="AD1106" t="n">
        <x:v>1.1050000661052763</x:v>
      </x:c>
      <x:c r="AE1106" t="n">
        <x:v>1</x:v>
      </x:c>
      <x:c r="AF1106" t="n">
        <x:v>0.005610108375549316</x:v>
      </x:c>
      <x:c r="AG1106" t="n">
        <x:f>_xlfn.XLOOKUP($A1106,Games!$A$2:$A$18,Games!$B$2:$B$18,"Missing game",0)</x:f>
        <x:v>2025</x:v>
      </x:c>
      <x:c r="AH1106" t="str">
        <x:f>_xlfn.XLOOKUP($A1106,Games!$A$2:$A$18,Games!$C$2:$C$18,"Missing game",0)</x:f>
        <x:v>REG</x:v>
      </x:c>
      <x:c r="AI1106" t="n">
        <x:f>_xlfn.XLOOKUP($A1106,Games!$A$2:$A$18,Games!$D$2:$D$18,"Missing game",0)</x:f>
        <x:v>8</x:v>
      </x:c>
      <x:c r="AJ1106" s="1" t="n">
        <x:f>_xlfn.XLOOKUP($A1106,Games!$A$2:$A$18,Games!$E$2:$E$18,"Missing game",0)</x:f>
        <x:v>45953</x:v>
      </x:c>
      <x:c r="AK1106" t="str">
        <x:f>_xlfn.XLOOKUP($A1106,Games!$A$2:$A$18,Games!$F$2:$F$18,"Missing game",0)</x:f>
        <x:v>Thursday</x:v>
      </x:c>
      <x:c r="AL1106" t="str">
        <x:f>_xlfn.XLOOKUP($A1106,Games!$A$2:$A$18,Games!$G$2:$G$18,"Missing game",0)</x:f>
        <x:v>MIN</x:v>
      </x:c>
      <x:c r="AM1106" t="n">
        <x:f>_xlfn.XLOOKUP($A1106,Games!$A$2:$A$18,Games!$H$2:$H$18,"Missing game",0)</x:f>
        <x:v>10</x:v>
      </x:c>
      <x:c r="AN1106" t="str">
        <x:f>_xlfn.XLOOKUP($A1106,Games!$A$2:$A$18,Games!$I$2:$I$18,"Missing game",0)</x:f>
        <x:v>LAC</x:v>
      </x:c>
      <x:c r="AO1106" t="n">
        <x:f>_xlfn.XLOOKUP($A1106,Games!$A$2:$A$18,Games!$J$2:$J$18,"Missing game",0)</x:f>
        <x:v>37</x:v>
      </x:c>
      <x:c r="AP1106" t="n">
        <x:f>_xlfn.XLOOKUP($A1106,Games!$A$2:$A$18,Games!$K$2:$K$18,"Missing game",0)</x:f>
        <x:v>27</x:v>
      </x:c>
      <x:c r="AQ1106" t="n">
        <x:f>_xlfn.XLOOKUP($A1106,Games!$A$2:$A$18,Games!$L$2:$L$18,"Missing game",0)</x:f>
        <x:v>47</x:v>
      </x:c>
      <x:c r="AR1106" t="n">
        <x:f>_xlfn.XLOOKUP($A1106,Games!$A$2:$A$18,Games!$M$2:$M$18,"Missing game",0)</x:f>
        <x:v>0</x:v>
      </x:c>
      <x:c r="AS1106" t="str">
        <x:f>_xlfn.XLOOKUP($A1106,Games!$A$2:$A$18,Games!$N$2:$N$18,"Missing game",0)</x:f>
        <x:v>dome</x:v>
      </x:c>
      <x:c r="AT1106" t="str">
        <x:f>_xlfn.XLOOKUP($A1106,Games!$A$2:$A$18,Games!$O$2:$O$18,"Missing game",0)</x:f>
        <x:v>matrixturf</x:v>
      </x:c>
      <x:c r="AU1106" t="str">
        <x:f>_xlfn.XLOOKUP($A1106,Games!$A$2:$A$18,Games!$P$2:$P$18,"Missing game",0)</x:f>
      </x:c>
      <x:c r="AV1106" t="str">
        <x:f>_xlfn.XLOOKUP($A1106,Games!$A$2:$A$18,Games!$Q$2:$Q$18,"Missing game",0)</x:f>
      </x:c>
      <x:c r="AW1106" t="str">
        <x:f>_xlfn.XLOOKUP($A1106,Games!$A$2:$A$18,Games!$R$2:$R$18,"Missing game",0)</x:f>
        <x:v>SoFi Stadium</x:v>
      </x:c>
    </x:row>
    <x:row r="1107">
      <x:c r="A1107" t="str">
        <x:v>2025_08_MIN_LAC</x:v>
      </x:c>
      <x:c r="B1107" t="n">
        <x:v>2283</x:v>
      </x:c>
      <x:c r="C1107" t="n">
        <x:v>3</x:v>
      </x:c>
      <x:c r="D1107" t="str">
        <x:v>11:39</x:v>
      </x:c>
      <x:c r="E1107" t="n">
        <x:v>1</x:v>
      </x:c>
      <x:c r="F1107" t="n">
        <x:v>10</x:v>
      </x:c>
      <x:c r="G1107" t="str">
        <x:v>LAC</x:v>
      </x:c>
      <x:c r="H1107" t="str">
        <x:v>MIN</x:v>
      </x:c>
      <x:c r="I1107" t="str">
        <x:v>MIN</x:v>
      </x:c>
      <x:c r="J1107" t="n">
        <x:v>33</x:v>
      </x:c>
      <x:c r="K1107" t="str">
        <x:v>(11:39) 30-K.Vidal left end to MIN 36 for -3 yards (55-E.Wilson).</x:v>
      </x:c>
      <x:c r="L1107" t="str">
        <x:v>run</x:v>
      </x:c>
      <x:c r="M1107" t="n">
        <x:v>-3</x:v>
      </x:c>
      <x:c r="N1107" t="n">
        <x:v>0</x:v>
      </x:c>
      <x:c r="O1107" t="n">
        <x:v>0</x:v>
      </x:c>
      <x:c r="P1107"/>
      <x:c r="Q1107"/>
      <x:c r="R1107"/>
      <x:c r="S1107"/>
      <x:c r="T1107" t="str">
        <x:v>left</x:v>
      </x:c>
      <x:c r="U1107" t="str">
        <x:v>end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/>
      <x:c r="AC1107" t="n">
        <x:v>0</x:v>
      </x:c>
      <x:c r="AD1107" t="n">
        <x:v>-1.1894332037772983</x:v>
      </x:c>
      <x:c r="AE1107" t="n">
        <x:v>0</x:v>
      </x:c>
      <x:c r="AF1107" t="n">
        <x:v>-0.0034148097038269043</x:v>
      </x:c>
      <x:c r="AG1107" t="n">
        <x:f>_xlfn.XLOOKUP($A1107,Games!$A$2:$A$18,Games!$B$2:$B$18,"Missing game",0)</x:f>
        <x:v>2025</x:v>
      </x:c>
      <x:c r="AH1107" t="str">
        <x:f>_xlfn.XLOOKUP($A1107,Games!$A$2:$A$18,Games!$C$2:$C$18,"Missing game",0)</x:f>
        <x:v>REG</x:v>
      </x:c>
      <x:c r="AI1107" t="n">
        <x:f>_xlfn.XLOOKUP($A1107,Games!$A$2:$A$18,Games!$D$2:$D$18,"Missing game",0)</x:f>
        <x:v>8</x:v>
      </x:c>
      <x:c r="AJ1107" s="1" t="n">
        <x:f>_xlfn.XLOOKUP($A1107,Games!$A$2:$A$18,Games!$E$2:$E$18,"Missing game",0)</x:f>
        <x:v>45953</x:v>
      </x:c>
      <x:c r="AK1107" t="str">
        <x:f>_xlfn.XLOOKUP($A1107,Games!$A$2:$A$18,Games!$F$2:$F$18,"Missing game",0)</x:f>
        <x:v>Thursday</x:v>
      </x:c>
      <x:c r="AL1107" t="str">
        <x:f>_xlfn.XLOOKUP($A1107,Games!$A$2:$A$18,Games!$G$2:$G$18,"Missing game",0)</x:f>
        <x:v>MIN</x:v>
      </x:c>
      <x:c r="AM1107" t="n">
        <x:f>_xlfn.XLOOKUP($A1107,Games!$A$2:$A$18,Games!$H$2:$H$18,"Missing game",0)</x:f>
        <x:v>10</x:v>
      </x:c>
      <x:c r="AN1107" t="str">
        <x:f>_xlfn.XLOOKUP($A1107,Games!$A$2:$A$18,Games!$I$2:$I$18,"Missing game",0)</x:f>
        <x:v>LAC</x:v>
      </x:c>
      <x:c r="AO1107" t="n">
        <x:f>_xlfn.XLOOKUP($A1107,Games!$A$2:$A$18,Games!$J$2:$J$18,"Missing game",0)</x:f>
        <x:v>37</x:v>
      </x:c>
      <x:c r="AP1107" t="n">
        <x:f>_xlfn.XLOOKUP($A1107,Games!$A$2:$A$18,Games!$K$2:$K$18,"Missing game",0)</x:f>
        <x:v>27</x:v>
      </x:c>
      <x:c r="AQ1107" t="n">
        <x:f>_xlfn.XLOOKUP($A1107,Games!$A$2:$A$18,Games!$L$2:$L$18,"Missing game",0)</x:f>
        <x:v>47</x:v>
      </x:c>
      <x:c r="AR1107" t="n">
        <x:f>_xlfn.XLOOKUP($A1107,Games!$A$2:$A$18,Games!$M$2:$M$18,"Missing game",0)</x:f>
        <x:v>0</x:v>
      </x:c>
      <x:c r="AS1107" t="str">
        <x:f>_xlfn.XLOOKUP($A1107,Games!$A$2:$A$18,Games!$N$2:$N$18,"Missing game",0)</x:f>
        <x:v>dome</x:v>
      </x:c>
      <x:c r="AT1107" t="str">
        <x:f>_xlfn.XLOOKUP($A1107,Games!$A$2:$A$18,Games!$O$2:$O$18,"Missing game",0)</x:f>
        <x:v>matrixturf</x:v>
      </x:c>
      <x:c r="AU1107" t="str">
        <x:f>_xlfn.XLOOKUP($A1107,Games!$A$2:$A$18,Games!$P$2:$P$18,"Missing game",0)</x:f>
      </x:c>
      <x:c r="AV1107" t="str">
        <x:f>_xlfn.XLOOKUP($A1107,Games!$A$2:$A$18,Games!$Q$2:$Q$18,"Missing game",0)</x:f>
      </x:c>
      <x:c r="AW1107" t="str">
        <x:f>_xlfn.XLOOKUP($A1107,Games!$A$2:$A$18,Games!$R$2:$R$18,"Missing game",0)</x:f>
        <x:v>SoFi Stadium</x:v>
      </x:c>
    </x:row>
    <x:row r="1108">
      <x:c r="A1108" t="str">
        <x:v>2025_08_MIN_LAC</x:v>
      </x:c>
      <x:c r="B1108" t="n">
        <x:v>2305</x:v>
      </x:c>
      <x:c r="C1108" t="n">
        <x:v>3</x:v>
      </x:c>
      <x:c r="D1108" t="str">
        <x:v>10:54</x:v>
      </x:c>
      <x:c r="E1108" t="n">
        <x:v>2</x:v>
      </x:c>
      <x:c r="F1108" t="n">
        <x:v>13</x:v>
      </x:c>
      <x:c r="G1108" t="str">
        <x:v>LAC</x:v>
      </x:c>
      <x:c r="H1108" t="str">
        <x:v>MIN</x:v>
      </x:c>
      <x:c r="I1108" t="str">
        <x:v>MIN</x:v>
      </x:c>
      <x:c r="J1108" t="n">
        <x:v>36</x:v>
      </x:c>
      <x:c r="K1108" t="str">
        <x:v>(10:54) (Shotgun) 10-J.Herbert pass short middle to 15-L.McConkey to MIN 25 for 11 yards (22-H.Smith).</x:v>
      </x:c>
      <x:c r="L1108" t="str">
        <x:v>pass</x:v>
      </x:c>
      <x:c r="M1108" t="n">
        <x:v>11</x:v>
      </x:c>
      <x:c r="N1108" t="n">
        <x:v>1</x:v>
      </x:c>
      <x:c r="O1108" t="n">
        <x:v>0</x:v>
      </x:c>
      <x:c r="P1108" t="str">
        <x:v>short</x:v>
      </x:c>
      <x:c r="Q1108" t="str">
        <x:v>middle</x:v>
      </x:c>
      <x:c r="R1108" t="n">
        <x:v>7</x:v>
      </x:c>
      <x:c r="S1108" t="n">
        <x:v>4</x:v>
      </x:c>
      <x:c r="T1108"/>
      <x:c r="U1108"/>
      <x:c r="V1108" t="n">
        <x:v>1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/>
      <x:c r="AC1108" t="n">
        <x:v>0</x:v>
      </x:c>
      <x:c r="AD1108" t="n">
        <x:v>0.9228924810886383</x:v>
      </x:c>
      <x:c r="AE1108" t="n">
        <x:v>1</x:v>
      </x:c>
      <x:c r="AF1108" t="n">
        <x:v>0.004700303077697754</x:v>
      </x:c>
      <x:c r="AG1108" t="n">
        <x:f>_xlfn.XLOOKUP($A1108,Games!$A$2:$A$18,Games!$B$2:$B$18,"Missing game",0)</x:f>
        <x:v>2025</x:v>
      </x:c>
      <x:c r="AH1108" t="str">
        <x:f>_xlfn.XLOOKUP($A1108,Games!$A$2:$A$18,Games!$C$2:$C$18,"Missing game",0)</x:f>
        <x:v>REG</x:v>
      </x:c>
      <x:c r="AI1108" t="n">
        <x:f>_xlfn.XLOOKUP($A1108,Games!$A$2:$A$18,Games!$D$2:$D$18,"Missing game",0)</x:f>
        <x:v>8</x:v>
      </x:c>
      <x:c r="AJ1108" s="1" t="n">
        <x:f>_xlfn.XLOOKUP($A1108,Games!$A$2:$A$18,Games!$E$2:$E$18,"Missing game",0)</x:f>
        <x:v>45953</x:v>
      </x:c>
      <x:c r="AK1108" t="str">
        <x:f>_xlfn.XLOOKUP($A1108,Games!$A$2:$A$18,Games!$F$2:$F$18,"Missing game",0)</x:f>
        <x:v>Thursday</x:v>
      </x:c>
      <x:c r="AL1108" t="str">
        <x:f>_xlfn.XLOOKUP($A1108,Games!$A$2:$A$18,Games!$G$2:$G$18,"Missing game",0)</x:f>
        <x:v>MIN</x:v>
      </x:c>
      <x:c r="AM1108" t="n">
        <x:f>_xlfn.XLOOKUP($A1108,Games!$A$2:$A$18,Games!$H$2:$H$18,"Missing game",0)</x:f>
        <x:v>10</x:v>
      </x:c>
      <x:c r="AN1108" t="str">
        <x:f>_xlfn.XLOOKUP($A1108,Games!$A$2:$A$18,Games!$I$2:$I$18,"Missing game",0)</x:f>
        <x:v>LAC</x:v>
      </x:c>
      <x:c r="AO1108" t="n">
        <x:f>_xlfn.XLOOKUP($A1108,Games!$A$2:$A$18,Games!$J$2:$J$18,"Missing game",0)</x:f>
        <x:v>37</x:v>
      </x:c>
      <x:c r="AP1108" t="n">
        <x:f>_xlfn.XLOOKUP($A1108,Games!$A$2:$A$18,Games!$K$2:$K$18,"Missing game",0)</x:f>
        <x:v>27</x:v>
      </x:c>
      <x:c r="AQ1108" t="n">
        <x:f>_xlfn.XLOOKUP($A1108,Games!$A$2:$A$18,Games!$L$2:$L$18,"Missing game",0)</x:f>
        <x:v>47</x:v>
      </x:c>
      <x:c r="AR1108" t="n">
        <x:f>_xlfn.XLOOKUP($A1108,Games!$A$2:$A$18,Games!$M$2:$M$18,"Missing game",0)</x:f>
        <x:v>0</x:v>
      </x:c>
      <x:c r="AS1108" t="str">
        <x:f>_xlfn.XLOOKUP($A1108,Games!$A$2:$A$18,Games!$N$2:$N$18,"Missing game",0)</x:f>
        <x:v>dome</x:v>
      </x:c>
      <x:c r="AT1108" t="str">
        <x:f>_xlfn.XLOOKUP($A1108,Games!$A$2:$A$18,Games!$O$2:$O$18,"Missing game",0)</x:f>
        <x:v>matrixturf</x:v>
      </x:c>
      <x:c r="AU1108" t="str">
        <x:f>_xlfn.XLOOKUP($A1108,Games!$A$2:$A$18,Games!$P$2:$P$18,"Missing game",0)</x:f>
      </x:c>
      <x:c r="AV1108" t="str">
        <x:f>_xlfn.XLOOKUP($A1108,Games!$A$2:$A$18,Games!$Q$2:$Q$18,"Missing game",0)</x:f>
      </x:c>
      <x:c r="AW1108" t="str">
        <x:f>_xlfn.XLOOKUP($A1108,Games!$A$2:$A$18,Games!$R$2:$R$18,"Missing game",0)</x:f>
        <x:v>SoFi Stadium</x:v>
      </x:c>
    </x:row>
    <x:row r="1109">
      <x:c r="A1109" t="str">
        <x:v>2025_08_MIN_LAC</x:v>
      </x:c>
      <x:c r="B1109" t="n">
        <x:v>2330</x:v>
      </x:c>
      <x:c r="C1109" t="n">
        <x:v>3</x:v>
      </x:c>
      <x:c r="D1109" t="str">
        <x:v>10:12</x:v>
      </x:c>
      <x:c r="E1109" t="n">
        <x:v>3</x:v>
      </x:c>
      <x:c r="F1109" t="n">
        <x:v>2</x:v>
      </x:c>
      <x:c r="G1109" t="str">
        <x:v>LAC</x:v>
      </x:c>
      <x:c r="H1109" t="str">
        <x:v>MIN</x:v>
      </x:c>
      <x:c r="I1109" t="str">
        <x:v>MIN</x:v>
      </x:c>
      <x:c r="J1109" t="n">
        <x:v>25</x:v>
      </x:c>
      <x:c r="K1109" t="str">
        <x:v>(10:12) (Shotgun) 10-J.Herbert pass incomplete short right to 15-L.McConkey [15-D.Turner].</x:v>
      </x:c>
      <x:c r="L1109" t="str">
        <x:v>pass</x:v>
      </x:c>
      <x:c r="M1109" t="n">
        <x:v>0</x:v>
      </x:c>
      <x:c r="N1109" t="n">
        <x:v>1</x:v>
      </x:c>
      <x:c r="O1109" t="n">
        <x:v>0</x:v>
      </x:c>
      <x:c r="P1109" t="str">
        <x:v>short</x:v>
      </x:c>
      <x:c r="Q1109" t="str">
        <x:v>right</x:v>
      </x:c>
      <x:c r="R1109" t="n">
        <x:v>8</x:v>
      </x:c>
      <x:c r="S1109"/>
      <x:c r="T1109"/>
      <x:c r="U1109"/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/>
      <x:c r="AC1109" t="n">
        <x:v>0</x:v>
      </x:c>
      <x:c r="AD1109" t="n">
        <x:v>-1.993300618380034</x:v>
      </x:c>
      <x:c r="AE1109" t="n">
        <x:v>0</x:v>
      </x:c>
      <x:c r="AF1109" t="n">
        <x:v>-0.011113107204437256</x:v>
      </x:c>
      <x:c r="AG1109" t="n">
        <x:f>_xlfn.XLOOKUP($A1109,Games!$A$2:$A$18,Games!$B$2:$B$18,"Missing game",0)</x:f>
        <x:v>2025</x:v>
      </x:c>
      <x:c r="AH1109" t="str">
        <x:f>_xlfn.XLOOKUP($A1109,Games!$A$2:$A$18,Games!$C$2:$C$18,"Missing game",0)</x:f>
        <x:v>REG</x:v>
      </x:c>
      <x:c r="AI1109" t="n">
        <x:f>_xlfn.XLOOKUP($A1109,Games!$A$2:$A$18,Games!$D$2:$D$18,"Missing game",0)</x:f>
        <x:v>8</x:v>
      </x:c>
      <x:c r="AJ1109" s="1" t="n">
        <x:f>_xlfn.XLOOKUP($A1109,Games!$A$2:$A$18,Games!$E$2:$E$18,"Missing game",0)</x:f>
        <x:v>45953</x:v>
      </x:c>
      <x:c r="AK1109" t="str">
        <x:f>_xlfn.XLOOKUP($A1109,Games!$A$2:$A$18,Games!$F$2:$F$18,"Missing game",0)</x:f>
        <x:v>Thursday</x:v>
      </x:c>
      <x:c r="AL1109" t="str">
        <x:f>_xlfn.XLOOKUP($A1109,Games!$A$2:$A$18,Games!$G$2:$G$18,"Missing game",0)</x:f>
        <x:v>MIN</x:v>
      </x:c>
      <x:c r="AM1109" t="n">
        <x:f>_xlfn.XLOOKUP($A1109,Games!$A$2:$A$18,Games!$H$2:$H$18,"Missing game",0)</x:f>
        <x:v>10</x:v>
      </x:c>
      <x:c r="AN1109" t="str">
        <x:f>_xlfn.XLOOKUP($A1109,Games!$A$2:$A$18,Games!$I$2:$I$18,"Missing game",0)</x:f>
        <x:v>LAC</x:v>
      </x:c>
      <x:c r="AO1109" t="n">
        <x:f>_xlfn.XLOOKUP($A1109,Games!$A$2:$A$18,Games!$J$2:$J$18,"Missing game",0)</x:f>
        <x:v>37</x:v>
      </x:c>
      <x:c r="AP1109" t="n">
        <x:f>_xlfn.XLOOKUP($A1109,Games!$A$2:$A$18,Games!$K$2:$K$18,"Missing game",0)</x:f>
        <x:v>27</x:v>
      </x:c>
      <x:c r="AQ1109" t="n">
        <x:f>_xlfn.XLOOKUP($A1109,Games!$A$2:$A$18,Games!$L$2:$L$18,"Missing game",0)</x:f>
        <x:v>47</x:v>
      </x:c>
      <x:c r="AR1109" t="n">
        <x:f>_xlfn.XLOOKUP($A1109,Games!$A$2:$A$18,Games!$M$2:$M$18,"Missing game",0)</x:f>
        <x:v>0</x:v>
      </x:c>
      <x:c r="AS1109" t="str">
        <x:f>_xlfn.XLOOKUP($A1109,Games!$A$2:$A$18,Games!$N$2:$N$18,"Missing game",0)</x:f>
        <x:v>dome</x:v>
      </x:c>
      <x:c r="AT1109" t="str">
        <x:f>_xlfn.XLOOKUP($A1109,Games!$A$2:$A$18,Games!$O$2:$O$18,"Missing game",0)</x:f>
        <x:v>matrixturf</x:v>
      </x:c>
      <x:c r="AU1109" t="str">
        <x:f>_xlfn.XLOOKUP($A1109,Games!$A$2:$A$18,Games!$P$2:$P$18,"Missing game",0)</x:f>
      </x:c>
      <x:c r="AV1109" t="str">
        <x:f>_xlfn.XLOOKUP($A1109,Games!$A$2:$A$18,Games!$Q$2:$Q$18,"Missing game",0)</x:f>
      </x:c>
      <x:c r="AW1109" t="str">
        <x:f>_xlfn.XLOOKUP($A1109,Games!$A$2:$A$18,Games!$R$2:$R$18,"Missing game",0)</x:f>
        <x:v>SoFi Stadium</x:v>
      </x:c>
    </x:row>
    <x:row r="1110">
      <x:c r="A1110" t="str">
        <x:v>2025_08_MIN_LAC</x:v>
      </x:c>
      <x:c r="B1110" t="n">
        <x:v>2342</x:v>
      </x:c>
      <x:c r="C1110" t="n">
        <x:v>3</x:v>
      </x:c>
      <x:c r="D1110" t="str">
        <x:v>10:12</x:v>
      </x:c>
      <x:c r="E1110"/>
      <x:c r="F1110" t="n">
        <x:v>0</x:v>
      </x:c>
      <x:c r="G1110"/>
      <x:c r="H1110"/>
      <x:c r="I1110"/>
      <x:c r="J1110"/>
      <x:c r="K1110" t="str">
        <x:v>Timeout #1 by LAC at 10:12.</x:v>
      </x:c>
      <x:c r="L1110" t="str">
        <x:v>no_play</x:v>
      </x:c>
      <x:c r="M1110" t="n">
        <x:v>0</x:v>
      </x:c>
      <x:c r="N1110" t="n">
        <x:v>0</x:v>
      </x:c>
      <x:c r="O1110" t="n">
        <x:v>0</x:v>
      </x:c>
      <x:c r="P1110"/>
      <x:c r="Q1110"/>
      <x:c r="R1110"/>
      <x:c r="S1110"/>
      <x:c r="T1110"/>
      <x:c r="U1110"/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/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f>_xlfn.XLOOKUP($A1110,Games!$A$2:$A$18,Games!$B$2:$B$18,"Missing game",0)</x:f>
        <x:v>2025</x:v>
      </x:c>
      <x:c r="AH1110" t="str">
        <x:f>_xlfn.XLOOKUP($A1110,Games!$A$2:$A$18,Games!$C$2:$C$18,"Missing game",0)</x:f>
        <x:v>REG</x:v>
      </x:c>
      <x:c r="AI1110" t="n">
        <x:f>_xlfn.XLOOKUP($A1110,Games!$A$2:$A$18,Games!$D$2:$D$18,"Missing game",0)</x:f>
        <x:v>8</x:v>
      </x:c>
      <x:c r="AJ1110" s="1" t="n">
        <x:f>_xlfn.XLOOKUP($A1110,Games!$A$2:$A$18,Games!$E$2:$E$18,"Missing game",0)</x:f>
        <x:v>45953</x:v>
      </x:c>
      <x:c r="AK1110" t="str">
        <x:f>_xlfn.XLOOKUP($A1110,Games!$A$2:$A$18,Games!$F$2:$F$18,"Missing game",0)</x:f>
        <x:v>Thursday</x:v>
      </x:c>
      <x:c r="AL1110" t="str">
        <x:f>_xlfn.XLOOKUP($A1110,Games!$A$2:$A$18,Games!$G$2:$G$18,"Missing game",0)</x:f>
        <x:v>MIN</x:v>
      </x:c>
      <x:c r="AM1110" t="n">
        <x:f>_xlfn.XLOOKUP($A1110,Games!$A$2:$A$18,Games!$H$2:$H$18,"Missing game",0)</x:f>
        <x:v>10</x:v>
      </x:c>
      <x:c r="AN1110" t="str">
        <x:f>_xlfn.XLOOKUP($A1110,Games!$A$2:$A$18,Games!$I$2:$I$18,"Missing game",0)</x:f>
        <x:v>LAC</x:v>
      </x:c>
      <x:c r="AO1110" t="n">
        <x:f>_xlfn.XLOOKUP($A1110,Games!$A$2:$A$18,Games!$J$2:$J$18,"Missing game",0)</x:f>
        <x:v>37</x:v>
      </x:c>
      <x:c r="AP1110" t="n">
        <x:f>_xlfn.XLOOKUP($A1110,Games!$A$2:$A$18,Games!$K$2:$K$18,"Missing game",0)</x:f>
        <x:v>27</x:v>
      </x:c>
      <x:c r="AQ1110" t="n">
        <x:f>_xlfn.XLOOKUP($A1110,Games!$A$2:$A$18,Games!$L$2:$L$18,"Missing game",0)</x:f>
        <x:v>47</x:v>
      </x:c>
      <x:c r="AR1110" t="n">
        <x:f>_xlfn.XLOOKUP($A1110,Games!$A$2:$A$18,Games!$M$2:$M$18,"Missing game",0)</x:f>
        <x:v>0</x:v>
      </x:c>
      <x:c r="AS1110" t="str">
        <x:f>_xlfn.XLOOKUP($A1110,Games!$A$2:$A$18,Games!$N$2:$N$18,"Missing game",0)</x:f>
        <x:v>dome</x:v>
      </x:c>
      <x:c r="AT1110" t="str">
        <x:f>_xlfn.XLOOKUP($A1110,Games!$A$2:$A$18,Games!$O$2:$O$18,"Missing game",0)</x:f>
        <x:v>matrixturf</x:v>
      </x:c>
      <x:c r="AU1110" t="str">
        <x:f>_xlfn.XLOOKUP($A1110,Games!$A$2:$A$18,Games!$P$2:$P$18,"Missing game",0)</x:f>
      </x:c>
      <x:c r="AV1110" t="str">
        <x:f>_xlfn.XLOOKUP($A1110,Games!$A$2:$A$18,Games!$Q$2:$Q$18,"Missing game",0)</x:f>
      </x:c>
      <x:c r="AW1110" t="str">
        <x:f>_xlfn.XLOOKUP($A1110,Games!$A$2:$A$18,Games!$R$2:$R$18,"Missing game",0)</x:f>
        <x:v>SoFi Stadium</x:v>
      </x:c>
    </x:row>
    <x:row r="1111">
      <x:c r="A1111" t="str">
        <x:v>2025_08_MIN_LAC</x:v>
      </x:c>
      <x:c r="B1111" t="n">
        <x:v>2360</x:v>
      </x:c>
      <x:c r="C1111" t="n">
        <x:v>3</x:v>
      </x:c>
      <x:c r="D1111" t="str">
        <x:v>10:05</x:v>
      </x:c>
      <x:c r="E1111" t="n">
        <x:v>4</x:v>
      </x:c>
      <x:c r="F1111" t="n">
        <x:v>2</x:v>
      </x:c>
      <x:c r="G1111" t="str">
        <x:v>LAC</x:v>
      </x:c>
      <x:c r="H1111" t="str">
        <x:v>MIN</x:v>
      </x:c>
      <x:c r="I1111" t="str">
        <x:v>MIN</x:v>
      </x:c>
      <x:c r="J1111" t="n">
        <x:v>25</x:v>
      </x:c>
      <x:c r="K1111" t="str">
        <x:v>(10:05) 11-C.Dicker 43 yard field goal is GOOD, Center-41-R.Lovato, Holder-16-J.Scott.</x:v>
      </x:c>
      <x:c r="L1111" t="str">
        <x:v>field_goal</x:v>
      </x:c>
      <x:c r="M1111" t="n">
        <x:v>0</x:v>
      </x:c>
      <x:c r="N1111" t="n">
        <x:v>0</x:v>
      </x:c>
      <x:c r="O1111" t="n">
        <x:v>0</x:v>
      </x:c>
      <x:c r="P1111"/>
      <x:c r="Q1111"/>
      <x:c r="R1111"/>
      <x:c r="S1111"/>
      <x:c r="T1111"/>
      <x:c r="U1111"/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/>
      <x:c r="AC1111" t="n">
        <x:v>0</x:v>
      </x:c>
      <x:c r="AD1111" t="n">
        <x:v>1.028650100584799</x:v>
      </x:c>
      <x:c r="AE1111" t="n">
        <x:v>1</x:v>
      </x:c>
      <x:c r="AF1111" t="n">
        <x:v>-0.0008620284497737885</x:v>
      </x:c>
      <x:c r="AG1111" t="n">
        <x:f>_xlfn.XLOOKUP($A1111,Games!$A$2:$A$18,Games!$B$2:$B$18,"Missing game",0)</x:f>
        <x:v>2025</x:v>
      </x:c>
      <x:c r="AH1111" t="str">
        <x:f>_xlfn.XLOOKUP($A1111,Games!$A$2:$A$18,Games!$C$2:$C$18,"Missing game",0)</x:f>
        <x:v>REG</x:v>
      </x:c>
      <x:c r="AI1111" t="n">
        <x:f>_xlfn.XLOOKUP($A1111,Games!$A$2:$A$18,Games!$D$2:$D$18,"Missing game",0)</x:f>
        <x:v>8</x:v>
      </x:c>
      <x:c r="AJ1111" s="1" t="n">
        <x:f>_xlfn.XLOOKUP($A1111,Games!$A$2:$A$18,Games!$E$2:$E$18,"Missing game",0)</x:f>
        <x:v>45953</x:v>
      </x:c>
      <x:c r="AK1111" t="str">
        <x:f>_xlfn.XLOOKUP($A1111,Games!$A$2:$A$18,Games!$F$2:$F$18,"Missing game",0)</x:f>
        <x:v>Thursday</x:v>
      </x:c>
      <x:c r="AL1111" t="str">
        <x:f>_xlfn.XLOOKUP($A1111,Games!$A$2:$A$18,Games!$G$2:$G$18,"Missing game",0)</x:f>
        <x:v>MIN</x:v>
      </x:c>
      <x:c r="AM1111" t="n">
        <x:f>_xlfn.XLOOKUP($A1111,Games!$A$2:$A$18,Games!$H$2:$H$18,"Missing game",0)</x:f>
        <x:v>10</x:v>
      </x:c>
      <x:c r="AN1111" t="str">
        <x:f>_xlfn.XLOOKUP($A1111,Games!$A$2:$A$18,Games!$I$2:$I$18,"Missing game",0)</x:f>
        <x:v>LAC</x:v>
      </x:c>
      <x:c r="AO1111" t="n">
        <x:f>_xlfn.XLOOKUP($A1111,Games!$A$2:$A$18,Games!$J$2:$J$18,"Missing game",0)</x:f>
        <x:v>37</x:v>
      </x:c>
      <x:c r="AP1111" t="n">
        <x:f>_xlfn.XLOOKUP($A1111,Games!$A$2:$A$18,Games!$K$2:$K$18,"Missing game",0)</x:f>
        <x:v>27</x:v>
      </x:c>
      <x:c r="AQ1111" t="n">
        <x:f>_xlfn.XLOOKUP($A1111,Games!$A$2:$A$18,Games!$L$2:$L$18,"Missing game",0)</x:f>
        <x:v>47</x:v>
      </x:c>
      <x:c r="AR1111" t="n">
        <x:f>_xlfn.XLOOKUP($A1111,Games!$A$2:$A$18,Games!$M$2:$M$18,"Missing game",0)</x:f>
        <x:v>0</x:v>
      </x:c>
      <x:c r="AS1111" t="str">
        <x:f>_xlfn.XLOOKUP($A1111,Games!$A$2:$A$18,Games!$N$2:$N$18,"Missing game",0)</x:f>
        <x:v>dome</x:v>
      </x:c>
      <x:c r="AT1111" t="str">
        <x:f>_xlfn.XLOOKUP($A1111,Games!$A$2:$A$18,Games!$O$2:$O$18,"Missing game",0)</x:f>
        <x:v>matrixturf</x:v>
      </x:c>
      <x:c r="AU1111" t="str">
        <x:f>_xlfn.XLOOKUP($A1111,Games!$A$2:$A$18,Games!$P$2:$P$18,"Missing game",0)</x:f>
      </x:c>
      <x:c r="AV1111" t="str">
        <x:f>_xlfn.XLOOKUP($A1111,Games!$A$2:$A$18,Games!$Q$2:$Q$18,"Missing game",0)</x:f>
      </x:c>
      <x:c r="AW1111" t="str">
        <x:f>_xlfn.XLOOKUP($A1111,Games!$A$2:$A$18,Games!$R$2:$R$18,"Missing game",0)</x:f>
        <x:v>SoFi Stadium</x:v>
      </x:c>
    </x:row>
    <x:row r="1112">
      <x:c r="A1112" t="str">
        <x:v>2025_08_MIN_LAC</x:v>
      </x:c>
      <x:c r="B1112" t="n">
        <x:v>2380</x:v>
      </x:c>
      <x:c r="C1112" t="n">
        <x:v>3</x:v>
      </x:c>
      <x:c r="D1112" t="str">
        <x:v>10:01</x:v>
      </x:c>
      <x:c r="E1112"/>
      <x:c r="F1112" t="n">
        <x:v>0</x:v>
      </x:c>
      <x:c r="G1112" t="str">
        <x:v>MIN</x:v>
      </x:c>
      <x:c r="H1112" t="str">
        <x:v>LAC</x:v>
      </x:c>
      <x:c r="I1112" t="str">
        <x:v>LAC</x:v>
      </x:c>
      <x:c r="J1112" t="n">
        <x:v>35</x:v>
      </x:c>
      <x:c r="K1112" t="str">
        <x:v>11-C.Dicker kicks 66 yards from LAC 35 to MIN -1. 4-M.Price to MIN 41 for 42 yards (36-J.Taylor). PENALTY on MIN-96-T.Batty, Offensive Holding, 10 yards, enforced at MIN 32.</x:v>
      </x:c>
      <x:c r="L1112" t="str">
        <x:v>kickoff</x:v>
      </x:c>
      <x:c r="M1112" t="n">
        <x:v>0</x:v>
      </x:c>
      <x:c r="N1112" t="n">
        <x:v>0</x:v>
      </x:c>
      <x:c r="O1112" t="n">
        <x:v>0</x:v>
      </x:c>
      <x:c r="P1112"/>
      <x:c r="Q1112"/>
      <x:c r="R1112"/>
      <x:c r="S1112"/>
      <x:c r="T1112"/>
      <x:c r="U1112"/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1</x:v>
      </x:c>
      <x:c r="AB1112" t="n">
        <x:v>10</x:v>
      </x:c>
      <x:c r="AC1112" t="n">
        <x:v>0</x:v>
      </x:c>
      <x:c r="AD1112" t="n">
        <x:v>-0.3062595028895885</x:v>
      </x:c>
      <x:c r="AE1112" t="n">
        <x:v>0</x:v>
      </x:c>
      <x:c r="AF1112" t="n">
        <x:v>-0.0030155405402183533</x:v>
      </x:c>
      <x:c r="AG1112" t="n">
        <x:f>_xlfn.XLOOKUP($A1112,Games!$A$2:$A$18,Games!$B$2:$B$18,"Missing game",0)</x:f>
        <x:v>2025</x:v>
      </x:c>
      <x:c r="AH1112" t="str">
        <x:f>_xlfn.XLOOKUP($A1112,Games!$A$2:$A$18,Games!$C$2:$C$18,"Missing game",0)</x:f>
        <x:v>REG</x:v>
      </x:c>
      <x:c r="AI1112" t="n">
        <x:f>_xlfn.XLOOKUP($A1112,Games!$A$2:$A$18,Games!$D$2:$D$18,"Missing game",0)</x:f>
        <x:v>8</x:v>
      </x:c>
      <x:c r="AJ1112" s="1" t="n">
        <x:f>_xlfn.XLOOKUP($A1112,Games!$A$2:$A$18,Games!$E$2:$E$18,"Missing game",0)</x:f>
        <x:v>45953</x:v>
      </x:c>
      <x:c r="AK1112" t="str">
        <x:f>_xlfn.XLOOKUP($A1112,Games!$A$2:$A$18,Games!$F$2:$F$18,"Missing game",0)</x:f>
        <x:v>Thursday</x:v>
      </x:c>
      <x:c r="AL1112" t="str">
        <x:f>_xlfn.XLOOKUP($A1112,Games!$A$2:$A$18,Games!$G$2:$G$18,"Missing game",0)</x:f>
        <x:v>MIN</x:v>
      </x:c>
      <x:c r="AM1112" t="n">
        <x:f>_xlfn.XLOOKUP($A1112,Games!$A$2:$A$18,Games!$H$2:$H$18,"Missing game",0)</x:f>
        <x:v>10</x:v>
      </x:c>
      <x:c r="AN1112" t="str">
        <x:f>_xlfn.XLOOKUP($A1112,Games!$A$2:$A$18,Games!$I$2:$I$18,"Missing game",0)</x:f>
        <x:v>LAC</x:v>
      </x:c>
      <x:c r="AO1112" t="n">
        <x:f>_xlfn.XLOOKUP($A1112,Games!$A$2:$A$18,Games!$J$2:$J$18,"Missing game",0)</x:f>
        <x:v>37</x:v>
      </x:c>
      <x:c r="AP1112" t="n">
        <x:f>_xlfn.XLOOKUP($A1112,Games!$A$2:$A$18,Games!$K$2:$K$18,"Missing game",0)</x:f>
        <x:v>27</x:v>
      </x:c>
      <x:c r="AQ1112" t="n">
        <x:f>_xlfn.XLOOKUP($A1112,Games!$A$2:$A$18,Games!$L$2:$L$18,"Missing game",0)</x:f>
        <x:v>47</x:v>
      </x:c>
      <x:c r="AR1112" t="n">
        <x:f>_xlfn.XLOOKUP($A1112,Games!$A$2:$A$18,Games!$M$2:$M$18,"Missing game",0)</x:f>
        <x:v>0</x:v>
      </x:c>
      <x:c r="AS1112" t="str">
        <x:f>_xlfn.XLOOKUP($A1112,Games!$A$2:$A$18,Games!$N$2:$N$18,"Missing game",0)</x:f>
        <x:v>dome</x:v>
      </x:c>
      <x:c r="AT1112" t="str">
        <x:f>_xlfn.XLOOKUP($A1112,Games!$A$2:$A$18,Games!$O$2:$O$18,"Missing game",0)</x:f>
        <x:v>matrixturf</x:v>
      </x:c>
      <x:c r="AU1112" t="str">
        <x:f>_xlfn.XLOOKUP($A1112,Games!$A$2:$A$18,Games!$P$2:$P$18,"Missing game",0)</x:f>
      </x:c>
      <x:c r="AV1112" t="str">
        <x:f>_xlfn.XLOOKUP($A1112,Games!$A$2:$A$18,Games!$Q$2:$Q$18,"Missing game",0)</x:f>
      </x:c>
      <x:c r="AW1112" t="str">
        <x:f>_xlfn.XLOOKUP($A1112,Games!$A$2:$A$18,Games!$R$2:$R$18,"Missing game",0)</x:f>
        <x:v>SoFi Stadium</x:v>
      </x:c>
    </x:row>
    <x:row r="1113">
      <x:c r="A1113" t="str">
        <x:v>2025_08_MIN_LAC</x:v>
      </x:c>
      <x:c r="B1113" t="n">
        <x:v>2421</x:v>
      </x:c>
      <x:c r="C1113" t="n">
        <x:v>3</x:v>
      </x:c>
      <x:c r="D1113" t="str">
        <x:v>09:53</x:v>
      </x:c>
      <x:c r="E1113" t="n">
        <x:v>1</x:v>
      </x:c>
      <x:c r="F1113" t="n">
        <x:v>10</x:v>
      </x:c>
      <x:c r="G1113" t="str">
        <x:v>MIN</x:v>
      </x:c>
      <x:c r="H1113" t="str">
        <x:v>LAC</x:v>
      </x:c>
      <x:c r="I1113" t="str">
        <x:v>MIN</x:v>
      </x:c>
      <x:c r="J1113" t="n">
        <x:v>78</x:v>
      </x:c>
      <x:c r="K1113" t="str">
        <x:v>(9:53) 27-J.Mason up the middle to MIN 20 for -2 yards (29-T.Still).</x:v>
      </x:c>
      <x:c r="L1113" t="str">
        <x:v>run</x:v>
      </x:c>
      <x:c r="M1113" t="n">
        <x:v>-2</x:v>
      </x:c>
      <x:c r="N1113" t="n">
        <x:v>0</x:v>
      </x:c>
      <x:c r="O1113" t="n">
        <x:v>0</x:v>
      </x:c>
      <x:c r="P1113"/>
      <x:c r="Q1113"/>
      <x:c r="R1113"/>
      <x:c r="S1113"/>
      <x:c r="T1113" t="str">
        <x:v>middle</x:v>
      </x:c>
      <x:c r="U1113"/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/>
      <x:c r="AC1113" t="n">
        <x:v>0</x:v>
      </x:c>
      <x:c r="AD1113" t="n">
        <x:v>-1.0406895922496915</x:v>
      </x:c>
      <x:c r="AE1113" t="n">
        <x:v>0</x:v>
      </x:c>
      <x:c r="AF1113" t="n">
        <x:v>-0.005699779838323593</x:v>
      </x:c>
      <x:c r="AG1113" t="n">
        <x:f>_xlfn.XLOOKUP($A1113,Games!$A$2:$A$18,Games!$B$2:$B$18,"Missing game",0)</x:f>
        <x:v>2025</x:v>
      </x:c>
      <x:c r="AH1113" t="str">
        <x:f>_xlfn.XLOOKUP($A1113,Games!$A$2:$A$18,Games!$C$2:$C$18,"Missing game",0)</x:f>
        <x:v>REG</x:v>
      </x:c>
      <x:c r="AI1113" t="n">
        <x:f>_xlfn.XLOOKUP($A1113,Games!$A$2:$A$18,Games!$D$2:$D$18,"Missing game",0)</x:f>
        <x:v>8</x:v>
      </x:c>
      <x:c r="AJ1113" s="1" t="n">
        <x:f>_xlfn.XLOOKUP($A1113,Games!$A$2:$A$18,Games!$E$2:$E$18,"Missing game",0)</x:f>
        <x:v>45953</x:v>
      </x:c>
      <x:c r="AK1113" t="str">
        <x:f>_xlfn.XLOOKUP($A1113,Games!$A$2:$A$18,Games!$F$2:$F$18,"Missing game",0)</x:f>
        <x:v>Thursday</x:v>
      </x:c>
      <x:c r="AL1113" t="str">
        <x:f>_xlfn.XLOOKUP($A1113,Games!$A$2:$A$18,Games!$G$2:$G$18,"Missing game",0)</x:f>
        <x:v>MIN</x:v>
      </x:c>
      <x:c r="AM1113" t="n">
        <x:f>_xlfn.XLOOKUP($A1113,Games!$A$2:$A$18,Games!$H$2:$H$18,"Missing game",0)</x:f>
        <x:v>10</x:v>
      </x:c>
      <x:c r="AN1113" t="str">
        <x:f>_xlfn.XLOOKUP($A1113,Games!$A$2:$A$18,Games!$I$2:$I$18,"Missing game",0)</x:f>
        <x:v>LAC</x:v>
      </x:c>
      <x:c r="AO1113" t="n">
        <x:f>_xlfn.XLOOKUP($A1113,Games!$A$2:$A$18,Games!$J$2:$J$18,"Missing game",0)</x:f>
        <x:v>37</x:v>
      </x:c>
      <x:c r="AP1113" t="n">
        <x:f>_xlfn.XLOOKUP($A1113,Games!$A$2:$A$18,Games!$K$2:$K$18,"Missing game",0)</x:f>
        <x:v>27</x:v>
      </x:c>
      <x:c r="AQ1113" t="n">
        <x:f>_xlfn.XLOOKUP($A1113,Games!$A$2:$A$18,Games!$L$2:$L$18,"Missing game",0)</x:f>
        <x:v>47</x:v>
      </x:c>
      <x:c r="AR1113" t="n">
        <x:f>_xlfn.XLOOKUP($A1113,Games!$A$2:$A$18,Games!$M$2:$M$18,"Missing game",0)</x:f>
        <x:v>0</x:v>
      </x:c>
      <x:c r="AS1113" t="str">
        <x:f>_xlfn.XLOOKUP($A1113,Games!$A$2:$A$18,Games!$N$2:$N$18,"Missing game",0)</x:f>
        <x:v>dome</x:v>
      </x:c>
      <x:c r="AT1113" t="str">
        <x:f>_xlfn.XLOOKUP($A1113,Games!$A$2:$A$18,Games!$O$2:$O$18,"Missing game",0)</x:f>
        <x:v>matrixturf</x:v>
      </x:c>
      <x:c r="AU1113" t="str">
        <x:f>_xlfn.XLOOKUP($A1113,Games!$A$2:$A$18,Games!$P$2:$P$18,"Missing game",0)</x:f>
      </x:c>
      <x:c r="AV1113" t="str">
        <x:f>_xlfn.XLOOKUP($A1113,Games!$A$2:$A$18,Games!$Q$2:$Q$18,"Missing game",0)</x:f>
      </x:c>
      <x:c r="AW1113" t="str">
        <x:f>_xlfn.XLOOKUP($A1113,Games!$A$2:$A$18,Games!$R$2:$R$18,"Missing game",0)</x:f>
        <x:v>SoFi Stadium</x:v>
      </x:c>
    </x:row>
    <x:row r="1114">
      <x:c r="A1114" t="str">
        <x:v>2025_08_MIN_LAC</x:v>
      </x:c>
      <x:c r="B1114" t="n">
        <x:v>2443</x:v>
      </x:c>
      <x:c r="C1114" t="n">
        <x:v>3</x:v>
      </x:c>
      <x:c r="D1114" t="str">
        <x:v>09:14</x:v>
      </x:c>
      <x:c r="E1114" t="n">
        <x:v>2</x:v>
      </x:c>
      <x:c r="F1114" t="n">
        <x:v>12</x:v>
      </x:c>
      <x:c r="G1114" t="str">
        <x:v>MIN</x:v>
      </x:c>
      <x:c r="H1114" t="str">
        <x:v>LAC</x:v>
      </x:c>
      <x:c r="I1114" t="str">
        <x:v>MIN</x:v>
      </x:c>
      <x:c r="J1114" t="n">
        <x:v>80</x:v>
      </x:c>
      <x:c r="K1114" t="str">
        <x:v>(9:14) 11-C.Wentz pass short right to 33-A.Jones to MIN 33 for 13 yards (27-R.Mickens; 0-D.Henley).</x:v>
      </x:c>
      <x:c r="L1114" t="str">
        <x:v>pass</x:v>
      </x:c>
      <x:c r="M1114" t="n">
        <x:v>13</x:v>
      </x:c>
      <x:c r="N1114" t="n">
        <x:v>0</x:v>
      </x:c>
      <x:c r="O1114" t="n">
        <x:v>0</x:v>
      </x:c>
      <x:c r="P1114" t="str">
        <x:v>short</x:v>
      </x:c>
      <x:c r="Q1114" t="str">
        <x:v>right</x:v>
      </x:c>
      <x:c r="R1114" t="n">
        <x:v>-5</x:v>
      </x:c>
      <x:c r="S1114" t="n">
        <x:v>18</x:v>
      </x:c>
      <x:c r="T1114"/>
      <x:c r="U1114"/>
      <x:c r="V1114" t="n">
        <x:v>1</x:v>
      </x:c>
      <x:c r="W1114" t="n">
        <x:v>1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/>
      <x:c r="AC1114" t="n">
        <x:v>0</x:v>
      </x:c>
      <x:c r="AD1114" t="n">
        <x:v>1.8112716425675899</x:v>
      </x:c>
      <x:c r="AE1114" t="n">
        <x:v>1</x:v>
      </x:c>
      <x:c r="AF1114" t="n">
        <x:v>0.012917246669530869</x:v>
      </x:c>
      <x:c r="AG1114" t="n">
        <x:f>_xlfn.XLOOKUP($A1114,Games!$A$2:$A$18,Games!$B$2:$B$18,"Missing game",0)</x:f>
        <x:v>2025</x:v>
      </x:c>
      <x:c r="AH1114" t="str">
        <x:f>_xlfn.XLOOKUP($A1114,Games!$A$2:$A$18,Games!$C$2:$C$18,"Missing game",0)</x:f>
        <x:v>REG</x:v>
      </x:c>
      <x:c r="AI1114" t="n">
        <x:f>_xlfn.XLOOKUP($A1114,Games!$A$2:$A$18,Games!$D$2:$D$18,"Missing game",0)</x:f>
        <x:v>8</x:v>
      </x:c>
      <x:c r="AJ1114" s="1" t="n">
        <x:f>_xlfn.XLOOKUP($A1114,Games!$A$2:$A$18,Games!$E$2:$E$18,"Missing game",0)</x:f>
        <x:v>45953</x:v>
      </x:c>
      <x:c r="AK1114" t="str">
        <x:f>_xlfn.XLOOKUP($A1114,Games!$A$2:$A$18,Games!$F$2:$F$18,"Missing game",0)</x:f>
        <x:v>Thursday</x:v>
      </x:c>
      <x:c r="AL1114" t="str">
        <x:f>_xlfn.XLOOKUP($A1114,Games!$A$2:$A$18,Games!$G$2:$G$18,"Missing game",0)</x:f>
        <x:v>MIN</x:v>
      </x:c>
      <x:c r="AM1114" t="n">
        <x:f>_xlfn.XLOOKUP($A1114,Games!$A$2:$A$18,Games!$H$2:$H$18,"Missing game",0)</x:f>
        <x:v>10</x:v>
      </x:c>
      <x:c r="AN1114" t="str">
        <x:f>_xlfn.XLOOKUP($A1114,Games!$A$2:$A$18,Games!$I$2:$I$18,"Missing game",0)</x:f>
        <x:v>LAC</x:v>
      </x:c>
      <x:c r="AO1114" t="n">
        <x:f>_xlfn.XLOOKUP($A1114,Games!$A$2:$A$18,Games!$J$2:$J$18,"Missing game",0)</x:f>
        <x:v>37</x:v>
      </x:c>
      <x:c r="AP1114" t="n">
        <x:f>_xlfn.XLOOKUP($A1114,Games!$A$2:$A$18,Games!$K$2:$K$18,"Missing game",0)</x:f>
        <x:v>27</x:v>
      </x:c>
      <x:c r="AQ1114" t="n">
        <x:f>_xlfn.XLOOKUP($A1114,Games!$A$2:$A$18,Games!$L$2:$L$18,"Missing game",0)</x:f>
        <x:v>47</x:v>
      </x:c>
      <x:c r="AR1114" t="n">
        <x:f>_xlfn.XLOOKUP($A1114,Games!$A$2:$A$18,Games!$M$2:$M$18,"Missing game",0)</x:f>
        <x:v>0</x:v>
      </x:c>
      <x:c r="AS1114" t="str">
        <x:f>_xlfn.XLOOKUP($A1114,Games!$A$2:$A$18,Games!$N$2:$N$18,"Missing game",0)</x:f>
        <x:v>dome</x:v>
      </x:c>
      <x:c r="AT1114" t="str">
        <x:f>_xlfn.XLOOKUP($A1114,Games!$A$2:$A$18,Games!$O$2:$O$18,"Missing game",0)</x:f>
        <x:v>matrixturf</x:v>
      </x:c>
      <x:c r="AU1114" t="str">
        <x:f>_xlfn.XLOOKUP($A1114,Games!$A$2:$A$18,Games!$P$2:$P$18,"Missing game",0)</x:f>
      </x:c>
      <x:c r="AV1114" t="str">
        <x:f>_xlfn.XLOOKUP($A1114,Games!$A$2:$A$18,Games!$Q$2:$Q$18,"Missing game",0)</x:f>
      </x:c>
      <x:c r="AW1114" t="str">
        <x:f>_xlfn.XLOOKUP($A1114,Games!$A$2:$A$18,Games!$R$2:$R$18,"Missing game",0)</x:f>
        <x:v>SoFi Stadium</x:v>
      </x:c>
    </x:row>
    <x:row r="1115">
      <x:c r="A1115" t="str">
        <x:v>2025_08_MIN_LAC</x:v>
      </x:c>
      <x:c r="B1115" t="n">
        <x:v>2479</x:v>
      </x:c>
      <x:c r="C1115" t="n">
        <x:v>3</x:v>
      </x:c>
      <x:c r="D1115" t="str">
        <x:v>08:38</x:v>
      </x:c>
      <x:c r="E1115" t="n">
        <x:v>1</x:v>
      </x:c>
      <x:c r="F1115" t="n">
        <x:v>10</x:v>
      </x:c>
      <x:c r="G1115" t="str">
        <x:v>MIN</x:v>
      </x:c>
      <x:c r="H1115" t="str">
        <x:v>LAC</x:v>
      </x:c>
      <x:c r="I1115" t="str">
        <x:v>MIN</x:v>
      </x:c>
      <x:c r="J1115" t="n">
        <x:v>67</x:v>
      </x:c>
      <x:c r="K1115" t="str">
        <x:v>(8:38) (Shotgun) 11-C.Wentz pass incomplete short middle to 85-B.Yurosek.</x:v>
      </x:c>
      <x:c r="L1115" t="str">
        <x:v>pass</x:v>
      </x:c>
      <x:c r="M1115" t="n">
        <x:v>0</x:v>
      </x:c>
      <x:c r="N1115" t="n">
        <x:v>1</x:v>
      </x:c>
      <x:c r="O1115" t="n">
        <x:v>0</x:v>
      </x:c>
      <x:c r="P1115" t="str">
        <x:v>short</x:v>
      </x:c>
      <x:c r="Q1115" t="str">
        <x:v>middle</x:v>
      </x:c>
      <x:c r="R1115" t="n">
        <x:v>6</x:v>
      </x:c>
      <x:c r="S1115"/>
      <x:c r="T1115"/>
      <x:c r="U1115"/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/>
      <x:c r="AC1115" t="n">
        <x:v>0</x:v>
      </x:c>
      <x:c r="AD1115" t="n">
        <x:v>-0.6255225134082139</x:v>
      </x:c>
      <x:c r="AE1115" t="n">
        <x:v>0</x:v>
      </x:c>
      <x:c r="AF1115" t="n">
        <x:v>-0.005206320434808731</x:v>
      </x:c>
      <x:c r="AG1115" t="n">
        <x:f>_xlfn.XLOOKUP($A1115,Games!$A$2:$A$18,Games!$B$2:$B$18,"Missing game",0)</x:f>
        <x:v>2025</x:v>
      </x:c>
      <x:c r="AH1115" t="str">
        <x:f>_xlfn.XLOOKUP($A1115,Games!$A$2:$A$18,Games!$C$2:$C$18,"Missing game",0)</x:f>
        <x:v>REG</x:v>
      </x:c>
      <x:c r="AI1115" t="n">
        <x:f>_xlfn.XLOOKUP($A1115,Games!$A$2:$A$18,Games!$D$2:$D$18,"Missing game",0)</x:f>
        <x:v>8</x:v>
      </x:c>
      <x:c r="AJ1115" s="1" t="n">
        <x:f>_xlfn.XLOOKUP($A1115,Games!$A$2:$A$18,Games!$E$2:$E$18,"Missing game",0)</x:f>
        <x:v>45953</x:v>
      </x:c>
      <x:c r="AK1115" t="str">
        <x:f>_xlfn.XLOOKUP($A1115,Games!$A$2:$A$18,Games!$F$2:$F$18,"Missing game",0)</x:f>
        <x:v>Thursday</x:v>
      </x:c>
      <x:c r="AL1115" t="str">
        <x:f>_xlfn.XLOOKUP($A1115,Games!$A$2:$A$18,Games!$G$2:$G$18,"Missing game",0)</x:f>
        <x:v>MIN</x:v>
      </x:c>
      <x:c r="AM1115" t="n">
        <x:f>_xlfn.XLOOKUP($A1115,Games!$A$2:$A$18,Games!$H$2:$H$18,"Missing game",0)</x:f>
        <x:v>10</x:v>
      </x:c>
      <x:c r="AN1115" t="str">
        <x:f>_xlfn.XLOOKUP($A1115,Games!$A$2:$A$18,Games!$I$2:$I$18,"Missing game",0)</x:f>
        <x:v>LAC</x:v>
      </x:c>
      <x:c r="AO1115" t="n">
        <x:f>_xlfn.XLOOKUP($A1115,Games!$A$2:$A$18,Games!$J$2:$J$18,"Missing game",0)</x:f>
        <x:v>37</x:v>
      </x:c>
      <x:c r="AP1115" t="n">
        <x:f>_xlfn.XLOOKUP($A1115,Games!$A$2:$A$18,Games!$K$2:$K$18,"Missing game",0)</x:f>
        <x:v>27</x:v>
      </x:c>
      <x:c r="AQ1115" t="n">
        <x:f>_xlfn.XLOOKUP($A1115,Games!$A$2:$A$18,Games!$L$2:$L$18,"Missing game",0)</x:f>
        <x:v>47</x:v>
      </x:c>
      <x:c r="AR1115" t="n">
        <x:f>_xlfn.XLOOKUP($A1115,Games!$A$2:$A$18,Games!$M$2:$M$18,"Missing game",0)</x:f>
        <x:v>0</x:v>
      </x:c>
      <x:c r="AS1115" t="str">
        <x:f>_xlfn.XLOOKUP($A1115,Games!$A$2:$A$18,Games!$N$2:$N$18,"Missing game",0)</x:f>
        <x:v>dome</x:v>
      </x:c>
      <x:c r="AT1115" t="str">
        <x:f>_xlfn.XLOOKUP($A1115,Games!$A$2:$A$18,Games!$O$2:$O$18,"Missing game",0)</x:f>
        <x:v>matrixturf</x:v>
      </x:c>
      <x:c r="AU1115" t="str">
        <x:f>_xlfn.XLOOKUP($A1115,Games!$A$2:$A$18,Games!$P$2:$P$18,"Missing game",0)</x:f>
      </x:c>
      <x:c r="AV1115" t="str">
        <x:f>_xlfn.XLOOKUP($A1115,Games!$A$2:$A$18,Games!$Q$2:$Q$18,"Missing game",0)</x:f>
      </x:c>
      <x:c r="AW1115" t="str">
        <x:f>_xlfn.XLOOKUP($A1115,Games!$A$2:$A$18,Games!$R$2:$R$18,"Missing game",0)</x:f>
        <x:v>SoFi Stadium</x:v>
      </x:c>
    </x:row>
    <x:row r="1116">
      <x:c r="A1116" t="str">
        <x:v>2025_08_MIN_LAC</x:v>
      </x:c>
      <x:c r="B1116" t="n">
        <x:v>2502</x:v>
      </x:c>
      <x:c r="C1116" t="n">
        <x:v>3</x:v>
      </x:c>
      <x:c r="D1116" t="str">
        <x:v>08:35</x:v>
      </x:c>
      <x:c r="E1116" t="n">
        <x:v>2</x:v>
      </x:c>
      <x:c r="F1116" t="n">
        <x:v>10</x:v>
      </x:c>
      <x:c r="G1116" t="str">
        <x:v>MIN</x:v>
      </x:c>
      <x:c r="H1116" t="str">
        <x:v>LAC</x:v>
      </x:c>
      <x:c r="I1116" t="str">
        <x:v>MIN</x:v>
      </x:c>
      <x:c r="J1116" t="n">
        <x:v>67</x:v>
      </x:c>
      <x:c r="K1116" t="str">
        <x:v>(8:35) (Shotgun) 33-A.Jones up the middle to MIN 38 for 5 yards (90-T.Tart).</x:v>
      </x:c>
      <x:c r="L1116" t="str">
        <x:v>run</x:v>
      </x:c>
      <x:c r="M1116" t="n">
        <x:v>5</x:v>
      </x:c>
      <x:c r="N1116" t="n">
        <x:v>1</x:v>
      </x:c>
      <x:c r="O1116" t="n">
        <x:v>0</x:v>
      </x:c>
      <x:c r="P1116"/>
      <x:c r="Q1116"/>
      <x:c r="R1116"/>
      <x:c r="S1116"/>
      <x:c r="T1116" t="str">
        <x:v>middle</x:v>
      </x:c>
      <x:c r="U1116"/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/>
      <x:c r="AC1116" t="n">
        <x:v>0</x:v>
      </x:c>
      <x:c r="AD1116" t="n">
        <x:v>-0.31372019136324525</x:v>
      </x:c>
      <x:c r="AE1116" t="n">
        <x:v>0</x:v>
      </x:c>
      <x:c r="AF1116" t="n">
        <x:v>-0.0009777434170246124</x:v>
      </x:c>
      <x:c r="AG1116" t="n">
        <x:f>_xlfn.XLOOKUP($A1116,Games!$A$2:$A$18,Games!$B$2:$B$18,"Missing game",0)</x:f>
        <x:v>2025</x:v>
      </x:c>
      <x:c r="AH1116" t="str">
        <x:f>_xlfn.XLOOKUP($A1116,Games!$A$2:$A$18,Games!$C$2:$C$18,"Missing game",0)</x:f>
        <x:v>REG</x:v>
      </x:c>
      <x:c r="AI1116" t="n">
        <x:f>_xlfn.XLOOKUP($A1116,Games!$A$2:$A$18,Games!$D$2:$D$18,"Missing game",0)</x:f>
        <x:v>8</x:v>
      </x:c>
      <x:c r="AJ1116" s="1" t="n">
        <x:f>_xlfn.XLOOKUP($A1116,Games!$A$2:$A$18,Games!$E$2:$E$18,"Missing game",0)</x:f>
        <x:v>45953</x:v>
      </x:c>
      <x:c r="AK1116" t="str">
        <x:f>_xlfn.XLOOKUP($A1116,Games!$A$2:$A$18,Games!$F$2:$F$18,"Missing game",0)</x:f>
        <x:v>Thursday</x:v>
      </x:c>
      <x:c r="AL1116" t="str">
        <x:f>_xlfn.XLOOKUP($A1116,Games!$A$2:$A$18,Games!$G$2:$G$18,"Missing game",0)</x:f>
        <x:v>MIN</x:v>
      </x:c>
      <x:c r="AM1116" t="n">
        <x:f>_xlfn.XLOOKUP($A1116,Games!$A$2:$A$18,Games!$H$2:$H$18,"Missing game",0)</x:f>
        <x:v>10</x:v>
      </x:c>
      <x:c r="AN1116" t="str">
        <x:f>_xlfn.XLOOKUP($A1116,Games!$A$2:$A$18,Games!$I$2:$I$18,"Missing game",0)</x:f>
        <x:v>LAC</x:v>
      </x:c>
      <x:c r="AO1116" t="n">
        <x:f>_xlfn.XLOOKUP($A1116,Games!$A$2:$A$18,Games!$J$2:$J$18,"Missing game",0)</x:f>
        <x:v>37</x:v>
      </x:c>
      <x:c r="AP1116" t="n">
        <x:f>_xlfn.XLOOKUP($A1116,Games!$A$2:$A$18,Games!$K$2:$K$18,"Missing game",0)</x:f>
        <x:v>27</x:v>
      </x:c>
      <x:c r="AQ1116" t="n">
        <x:f>_xlfn.XLOOKUP($A1116,Games!$A$2:$A$18,Games!$L$2:$L$18,"Missing game",0)</x:f>
        <x:v>47</x:v>
      </x:c>
      <x:c r="AR1116" t="n">
        <x:f>_xlfn.XLOOKUP($A1116,Games!$A$2:$A$18,Games!$M$2:$M$18,"Missing game",0)</x:f>
        <x:v>0</x:v>
      </x:c>
      <x:c r="AS1116" t="str">
        <x:f>_xlfn.XLOOKUP($A1116,Games!$A$2:$A$18,Games!$N$2:$N$18,"Missing game",0)</x:f>
        <x:v>dome</x:v>
      </x:c>
      <x:c r="AT1116" t="str">
        <x:f>_xlfn.XLOOKUP($A1116,Games!$A$2:$A$18,Games!$O$2:$O$18,"Missing game",0)</x:f>
        <x:v>matrixturf</x:v>
      </x:c>
      <x:c r="AU1116" t="str">
        <x:f>_xlfn.XLOOKUP($A1116,Games!$A$2:$A$18,Games!$P$2:$P$18,"Missing game",0)</x:f>
      </x:c>
      <x:c r="AV1116" t="str">
        <x:f>_xlfn.XLOOKUP($A1116,Games!$A$2:$A$18,Games!$Q$2:$Q$18,"Missing game",0)</x:f>
      </x:c>
      <x:c r="AW1116" t="str">
        <x:f>_xlfn.XLOOKUP($A1116,Games!$A$2:$A$18,Games!$R$2:$R$18,"Missing game",0)</x:f>
        <x:v>SoFi Stadium</x:v>
      </x:c>
    </x:row>
    <x:row r="1117">
      <x:c r="A1117" t="str">
        <x:v>2025_08_MIN_LAC</x:v>
      </x:c>
      <x:c r="B1117" t="n">
        <x:v>2524</x:v>
      </x:c>
      <x:c r="C1117" t="n">
        <x:v>3</x:v>
      </x:c>
      <x:c r="D1117" t="str">
        <x:v>07:49</x:v>
      </x:c>
      <x:c r="E1117" t="n">
        <x:v>3</x:v>
      </x:c>
      <x:c r="F1117" t="n">
        <x:v>5</x:v>
      </x:c>
      <x:c r="G1117" t="str">
        <x:v>MIN</x:v>
      </x:c>
      <x:c r="H1117" t="str">
        <x:v>LAC</x:v>
      </x:c>
      <x:c r="I1117" t="str">
        <x:v>MIN</x:v>
      </x:c>
      <x:c r="J1117" t="n">
        <x:v>62</x:v>
      </x:c>
      <x:c r="K1117" t="str">
        <x:v>(7:49) (Shotgun) 11-C.Wentz sacked at MIN 32 for -6 yards (52-K.Mack). FUMBLES (52-K.Mack) [52-K.Mack], and recovers at MIN 34.</x:v>
      </x:c>
      <x:c r="L1117" t="str">
        <x:v>pass</x:v>
      </x:c>
      <x:c r="M1117" t="n">
        <x:v>-4</x:v>
      </x:c>
      <x:c r="N1117" t="n">
        <x:v>1</x:v>
      </x:c>
      <x:c r="O1117" t="n">
        <x:v>0</x:v>
      </x:c>
      <x:c r="P1117"/>
      <x:c r="Q1117"/>
      <x:c r="R1117"/>
      <x:c r="S1117"/>
      <x:c r="T1117"/>
      <x:c r="U1117"/>
      <x:c r="V1117" t="n">
        <x:v>0</x:v>
      </x:c>
      <x:c r="W1117" t="n">
        <x:v>0</x:v>
      </x:c>
      <x:c r="X1117" t="n">
        <x:v>1</x:v>
      </x:c>
      <x:c r="Y1117" t="n">
        <x:v>0</x:v>
      </x:c>
      <x:c r="Z1117" t="n">
        <x:v>0</x:v>
      </x:c>
      <x:c r="AA1117" t="n">
        <x:v>0</x:v>
      </x:c>
      <x:c r="AB1117"/>
      <x:c r="AC1117" t="n">
        <x:v>0</x:v>
      </x:c>
      <x:c r="AD1117" t="n">
        <x:v>-1.9966175402514637</x:v>
      </x:c>
      <x:c r="AE1117" t="n">
        <x:v>0</x:v>
      </x:c>
      <x:c r="AF1117" t="n">
        <x:v>-0.016710927709937096</x:v>
      </x:c>
      <x:c r="AG1117" t="n">
        <x:f>_xlfn.XLOOKUP($A1117,Games!$A$2:$A$18,Games!$B$2:$B$18,"Missing game",0)</x:f>
        <x:v>2025</x:v>
      </x:c>
      <x:c r="AH1117" t="str">
        <x:f>_xlfn.XLOOKUP($A1117,Games!$A$2:$A$18,Games!$C$2:$C$18,"Missing game",0)</x:f>
        <x:v>REG</x:v>
      </x:c>
      <x:c r="AI1117" t="n">
        <x:f>_xlfn.XLOOKUP($A1117,Games!$A$2:$A$18,Games!$D$2:$D$18,"Missing game",0)</x:f>
        <x:v>8</x:v>
      </x:c>
      <x:c r="AJ1117" s="1" t="n">
        <x:f>_xlfn.XLOOKUP($A1117,Games!$A$2:$A$18,Games!$E$2:$E$18,"Missing game",0)</x:f>
        <x:v>45953</x:v>
      </x:c>
      <x:c r="AK1117" t="str">
        <x:f>_xlfn.XLOOKUP($A1117,Games!$A$2:$A$18,Games!$F$2:$F$18,"Missing game",0)</x:f>
        <x:v>Thursday</x:v>
      </x:c>
      <x:c r="AL1117" t="str">
        <x:f>_xlfn.XLOOKUP($A1117,Games!$A$2:$A$18,Games!$G$2:$G$18,"Missing game",0)</x:f>
        <x:v>MIN</x:v>
      </x:c>
      <x:c r="AM1117" t="n">
        <x:f>_xlfn.XLOOKUP($A1117,Games!$A$2:$A$18,Games!$H$2:$H$18,"Missing game",0)</x:f>
        <x:v>10</x:v>
      </x:c>
      <x:c r="AN1117" t="str">
        <x:f>_xlfn.XLOOKUP($A1117,Games!$A$2:$A$18,Games!$I$2:$I$18,"Missing game",0)</x:f>
        <x:v>LAC</x:v>
      </x:c>
      <x:c r="AO1117" t="n">
        <x:f>_xlfn.XLOOKUP($A1117,Games!$A$2:$A$18,Games!$J$2:$J$18,"Missing game",0)</x:f>
        <x:v>37</x:v>
      </x:c>
      <x:c r="AP1117" t="n">
        <x:f>_xlfn.XLOOKUP($A1117,Games!$A$2:$A$18,Games!$K$2:$K$18,"Missing game",0)</x:f>
        <x:v>27</x:v>
      </x:c>
      <x:c r="AQ1117" t="n">
        <x:f>_xlfn.XLOOKUP($A1117,Games!$A$2:$A$18,Games!$L$2:$L$18,"Missing game",0)</x:f>
        <x:v>47</x:v>
      </x:c>
      <x:c r="AR1117" t="n">
        <x:f>_xlfn.XLOOKUP($A1117,Games!$A$2:$A$18,Games!$M$2:$M$18,"Missing game",0)</x:f>
        <x:v>0</x:v>
      </x:c>
      <x:c r="AS1117" t="str">
        <x:f>_xlfn.XLOOKUP($A1117,Games!$A$2:$A$18,Games!$N$2:$N$18,"Missing game",0)</x:f>
        <x:v>dome</x:v>
      </x:c>
      <x:c r="AT1117" t="str">
        <x:f>_xlfn.XLOOKUP($A1117,Games!$A$2:$A$18,Games!$O$2:$O$18,"Missing game",0)</x:f>
        <x:v>matrixturf</x:v>
      </x:c>
      <x:c r="AU1117" t="str">
        <x:f>_xlfn.XLOOKUP($A1117,Games!$A$2:$A$18,Games!$P$2:$P$18,"Missing game",0)</x:f>
      </x:c>
      <x:c r="AV1117" t="str">
        <x:f>_xlfn.XLOOKUP($A1117,Games!$A$2:$A$18,Games!$Q$2:$Q$18,"Missing game",0)</x:f>
      </x:c>
      <x:c r="AW1117" t="str">
        <x:f>_xlfn.XLOOKUP($A1117,Games!$A$2:$A$18,Games!$R$2:$R$18,"Missing game",0)</x:f>
        <x:v>SoFi Stadium</x:v>
      </x:c>
    </x:row>
    <x:row r="1118">
      <x:c r="A1118" t="str">
        <x:v>2025_08_MIN_LAC</x:v>
      </x:c>
      <x:c r="B1118" t="n">
        <x:v>2544</x:v>
      </x:c>
      <x:c r="C1118" t="n">
        <x:v>3</x:v>
      </x:c>
      <x:c r="D1118" t="str">
        <x:v>07:10</x:v>
      </x:c>
      <x:c r="E1118" t="n">
        <x:v>4</x:v>
      </x:c>
      <x:c r="F1118" t="n">
        <x:v>9</x:v>
      </x:c>
      <x:c r="G1118" t="str">
        <x:v>MIN</x:v>
      </x:c>
      <x:c r="H1118" t="str">
        <x:v>LAC</x:v>
      </x:c>
      <x:c r="I1118" t="str">
        <x:v>MIN</x:v>
      </x:c>
      <x:c r="J1118" t="n">
        <x:v>66</x:v>
      </x:c>
      <x:c r="K1118" t="str">
        <x:v>(7:10) 17-R.Wright punts 51 yards to LAC 15, Center-42-A.DePaola, fair catch by 12-D.Davis.</x:v>
      </x:c>
      <x:c r="L1118" t="str">
        <x:v>punt</x:v>
      </x:c>
      <x:c r="M1118" t="n">
        <x:v>0</x:v>
      </x:c>
      <x:c r="N1118" t="n">
        <x:v>0</x:v>
      </x:c>
      <x:c r="O1118" t="n">
        <x:v>0</x:v>
      </x:c>
      <x:c r="P1118"/>
      <x:c r="Q1118"/>
      <x:c r="R1118"/>
      <x:c r="S1118"/>
      <x:c r="T1118"/>
      <x:c r="U1118"/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/>
      <x:c r="AC1118" t="n">
        <x:v>0</x:v>
      </x:c>
      <x:c r="AD1118" t="n">
        <x:v>0.1309402114711702</x:v>
      </x:c>
      <x:c r="AE1118" t="n">
        <x:v>1</x:v>
      </x:c>
      <x:c r="AF1118" t="n">
        <x:v>-0.009602895006537437</x:v>
      </x:c>
      <x:c r="AG1118" t="n">
        <x:f>_xlfn.XLOOKUP($A1118,Games!$A$2:$A$18,Games!$B$2:$B$18,"Missing game",0)</x:f>
        <x:v>2025</x:v>
      </x:c>
      <x:c r="AH1118" t="str">
        <x:f>_xlfn.XLOOKUP($A1118,Games!$A$2:$A$18,Games!$C$2:$C$18,"Missing game",0)</x:f>
        <x:v>REG</x:v>
      </x:c>
      <x:c r="AI1118" t="n">
        <x:f>_xlfn.XLOOKUP($A1118,Games!$A$2:$A$18,Games!$D$2:$D$18,"Missing game",0)</x:f>
        <x:v>8</x:v>
      </x:c>
      <x:c r="AJ1118" s="1" t="n">
        <x:f>_xlfn.XLOOKUP($A1118,Games!$A$2:$A$18,Games!$E$2:$E$18,"Missing game",0)</x:f>
        <x:v>45953</x:v>
      </x:c>
      <x:c r="AK1118" t="str">
        <x:f>_xlfn.XLOOKUP($A1118,Games!$A$2:$A$18,Games!$F$2:$F$18,"Missing game",0)</x:f>
        <x:v>Thursday</x:v>
      </x:c>
      <x:c r="AL1118" t="str">
        <x:f>_xlfn.XLOOKUP($A1118,Games!$A$2:$A$18,Games!$G$2:$G$18,"Missing game",0)</x:f>
        <x:v>MIN</x:v>
      </x:c>
      <x:c r="AM1118" t="n">
        <x:f>_xlfn.XLOOKUP($A1118,Games!$A$2:$A$18,Games!$H$2:$H$18,"Missing game",0)</x:f>
        <x:v>10</x:v>
      </x:c>
      <x:c r="AN1118" t="str">
        <x:f>_xlfn.XLOOKUP($A1118,Games!$A$2:$A$18,Games!$I$2:$I$18,"Missing game",0)</x:f>
        <x:v>LAC</x:v>
      </x:c>
      <x:c r="AO1118" t="n">
        <x:f>_xlfn.XLOOKUP($A1118,Games!$A$2:$A$18,Games!$J$2:$J$18,"Missing game",0)</x:f>
        <x:v>37</x:v>
      </x:c>
      <x:c r="AP1118" t="n">
        <x:f>_xlfn.XLOOKUP($A1118,Games!$A$2:$A$18,Games!$K$2:$K$18,"Missing game",0)</x:f>
        <x:v>27</x:v>
      </x:c>
      <x:c r="AQ1118" t="n">
        <x:f>_xlfn.XLOOKUP($A1118,Games!$A$2:$A$18,Games!$L$2:$L$18,"Missing game",0)</x:f>
        <x:v>47</x:v>
      </x:c>
      <x:c r="AR1118" t="n">
        <x:f>_xlfn.XLOOKUP($A1118,Games!$A$2:$A$18,Games!$M$2:$M$18,"Missing game",0)</x:f>
        <x:v>0</x:v>
      </x:c>
      <x:c r="AS1118" t="str">
        <x:f>_xlfn.XLOOKUP($A1118,Games!$A$2:$A$18,Games!$N$2:$N$18,"Missing game",0)</x:f>
        <x:v>dome</x:v>
      </x:c>
      <x:c r="AT1118" t="str">
        <x:f>_xlfn.XLOOKUP($A1118,Games!$A$2:$A$18,Games!$O$2:$O$18,"Missing game",0)</x:f>
        <x:v>matrixturf</x:v>
      </x:c>
      <x:c r="AU1118" t="str">
        <x:f>_xlfn.XLOOKUP($A1118,Games!$A$2:$A$18,Games!$P$2:$P$18,"Missing game",0)</x:f>
      </x:c>
      <x:c r="AV1118" t="str">
        <x:f>_xlfn.XLOOKUP($A1118,Games!$A$2:$A$18,Games!$Q$2:$Q$18,"Missing game",0)</x:f>
      </x:c>
      <x:c r="AW1118" t="str">
        <x:f>_xlfn.XLOOKUP($A1118,Games!$A$2:$A$18,Games!$R$2:$R$18,"Missing game",0)</x:f>
        <x:v>SoFi Stadium</x:v>
      </x:c>
    </x:row>
    <x:row r="1119">
      <x:c r="A1119" t="str">
        <x:v>2025_08_MIN_LAC</x:v>
      </x:c>
      <x:c r="B1119" t="n">
        <x:v>2564</x:v>
      </x:c>
      <x:c r="C1119" t="n">
        <x:v>3</x:v>
      </x:c>
      <x:c r="D1119" t="str">
        <x:v>07:03</x:v>
      </x:c>
      <x:c r="E1119" t="n">
        <x:v>1</x:v>
      </x:c>
      <x:c r="F1119" t="n">
        <x:v>10</x:v>
      </x:c>
      <x:c r="G1119" t="str">
        <x:v>LAC</x:v>
      </x:c>
      <x:c r="H1119" t="str">
        <x:v>MIN</x:v>
      </x:c>
      <x:c r="I1119" t="str">
        <x:v>LAC</x:v>
      </x:c>
      <x:c r="J1119" t="n">
        <x:v>85</x:v>
      </x:c>
      <x:c r="K1119" t="str">
        <x:v>(7:03) (Shotgun) 10-J.Herbert pass short middle intended for 15-L.McConkey INTERCEPTED by 44-J.Metellus (61-J.Redmond) at LAC 26. 44-J.Metellus to LAC 26 for no gain (15-L.McConkey).</x:v>
      </x:c>
      <x:c r="L1119" t="str">
        <x:v>pass</x:v>
      </x:c>
      <x:c r="M1119" t="n">
        <x:v>0</x:v>
      </x:c>
      <x:c r="N1119" t="n">
        <x:v>1</x:v>
      </x:c>
      <x:c r="O1119" t="n">
        <x:v>0</x:v>
      </x:c>
      <x:c r="P1119" t="str">
        <x:v>short</x:v>
      </x:c>
      <x:c r="Q1119" t="str">
        <x:v>middle</x:v>
      </x:c>
      <x:c r="R1119" t="n">
        <x:v>11</x:v>
      </x:c>
      <x:c r="S1119"/>
      <x:c r="T1119"/>
      <x:c r="U1119"/>
      <x:c r="V1119" t="n">
        <x:v>0</x:v>
      </x:c>
      <x:c r="W1119" t="n">
        <x:v>0</x:v>
      </x:c>
      <x:c r="X1119" t="n">
        <x:v>0</x:v>
      </x:c>
      <x:c r="Y1119" t="n">
        <x:v>1</x:v>
      </x:c>
      <x:c r="Z1119" t="n">
        <x:v>0</x:v>
      </x:c>
      <x:c r="AA1119" t="n">
        <x:v>0</x:v>
      </x:c>
      <x:c r="AB1119"/>
      <x:c r="AC1119" t="n">
        <x:v>0</x:v>
      </x:c>
      <x:c r="AD1119" t="n">
        <x:v>-5.421676361002028</x:v>
      </x:c>
      <x:c r="AE1119" t="n">
        <x:v>0</x:v>
      </x:c>
      <x:c r="AF1119" t="n">
        <x:v>-0.03929027169942856</x:v>
      </x:c>
      <x:c r="AG1119" t="n">
        <x:f>_xlfn.XLOOKUP($A1119,Games!$A$2:$A$18,Games!$B$2:$B$18,"Missing game",0)</x:f>
        <x:v>2025</x:v>
      </x:c>
      <x:c r="AH1119" t="str">
        <x:f>_xlfn.XLOOKUP($A1119,Games!$A$2:$A$18,Games!$C$2:$C$18,"Missing game",0)</x:f>
        <x:v>REG</x:v>
      </x:c>
      <x:c r="AI1119" t="n">
        <x:f>_xlfn.XLOOKUP($A1119,Games!$A$2:$A$18,Games!$D$2:$D$18,"Missing game",0)</x:f>
        <x:v>8</x:v>
      </x:c>
      <x:c r="AJ1119" s="1" t="n">
        <x:f>_xlfn.XLOOKUP($A1119,Games!$A$2:$A$18,Games!$E$2:$E$18,"Missing game",0)</x:f>
        <x:v>45953</x:v>
      </x:c>
      <x:c r="AK1119" t="str">
        <x:f>_xlfn.XLOOKUP($A1119,Games!$A$2:$A$18,Games!$F$2:$F$18,"Missing game",0)</x:f>
        <x:v>Thursday</x:v>
      </x:c>
      <x:c r="AL1119" t="str">
        <x:f>_xlfn.XLOOKUP($A1119,Games!$A$2:$A$18,Games!$G$2:$G$18,"Missing game",0)</x:f>
        <x:v>MIN</x:v>
      </x:c>
      <x:c r="AM1119" t="n">
        <x:f>_xlfn.XLOOKUP($A1119,Games!$A$2:$A$18,Games!$H$2:$H$18,"Missing game",0)</x:f>
        <x:v>10</x:v>
      </x:c>
      <x:c r="AN1119" t="str">
        <x:f>_xlfn.XLOOKUP($A1119,Games!$A$2:$A$18,Games!$I$2:$I$18,"Missing game",0)</x:f>
        <x:v>LAC</x:v>
      </x:c>
      <x:c r="AO1119" t="n">
        <x:f>_xlfn.XLOOKUP($A1119,Games!$A$2:$A$18,Games!$J$2:$J$18,"Missing game",0)</x:f>
        <x:v>37</x:v>
      </x:c>
      <x:c r="AP1119" t="n">
        <x:f>_xlfn.XLOOKUP($A1119,Games!$A$2:$A$18,Games!$K$2:$K$18,"Missing game",0)</x:f>
        <x:v>27</x:v>
      </x:c>
      <x:c r="AQ1119" t="n">
        <x:f>_xlfn.XLOOKUP($A1119,Games!$A$2:$A$18,Games!$L$2:$L$18,"Missing game",0)</x:f>
        <x:v>47</x:v>
      </x:c>
      <x:c r="AR1119" t="n">
        <x:f>_xlfn.XLOOKUP($A1119,Games!$A$2:$A$18,Games!$M$2:$M$18,"Missing game",0)</x:f>
        <x:v>0</x:v>
      </x:c>
      <x:c r="AS1119" t="str">
        <x:f>_xlfn.XLOOKUP($A1119,Games!$A$2:$A$18,Games!$N$2:$N$18,"Missing game",0)</x:f>
        <x:v>dome</x:v>
      </x:c>
      <x:c r="AT1119" t="str">
        <x:f>_xlfn.XLOOKUP($A1119,Games!$A$2:$A$18,Games!$O$2:$O$18,"Missing game",0)</x:f>
        <x:v>matrixturf</x:v>
      </x:c>
      <x:c r="AU1119" t="str">
        <x:f>_xlfn.XLOOKUP($A1119,Games!$A$2:$A$18,Games!$P$2:$P$18,"Missing game",0)</x:f>
      </x:c>
      <x:c r="AV1119" t="str">
        <x:f>_xlfn.XLOOKUP($A1119,Games!$A$2:$A$18,Games!$Q$2:$Q$18,"Missing game",0)</x:f>
      </x:c>
      <x:c r="AW1119" t="str">
        <x:f>_xlfn.XLOOKUP($A1119,Games!$A$2:$A$18,Games!$R$2:$R$18,"Missing game",0)</x:f>
        <x:v>SoFi Stadium</x:v>
      </x:c>
    </x:row>
    <x:row r="1120">
      <x:c r="A1120" t="str">
        <x:v>2025_08_MIN_LAC</x:v>
      </x:c>
      <x:c r="B1120" t="n">
        <x:v>2603</x:v>
      </x:c>
      <x:c r="C1120" t="n">
        <x:v>3</x:v>
      </x:c>
      <x:c r="D1120" t="str">
        <x:v>06:58</x:v>
      </x:c>
      <x:c r="E1120" t="n">
        <x:v>1</x:v>
      </x:c>
      <x:c r="F1120" t="n">
        <x:v>10</x:v>
      </x:c>
      <x:c r="G1120" t="str">
        <x:v>MIN</x:v>
      </x:c>
      <x:c r="H1120" t="str">
        <x:v>LAC</x:v>
      </x:c>
      <x:c r="I1120" t="str">
        <x:v>LAC</x:v>
      </x:c>
      <x:c r="J1120" t="n">
        <x:v>26</x:v>
      </x:c>
      <x:c r="K1120" t="str">
        <x:v>(6:58) (Shotgun) 27-J.Mason right tackle to LAC 22 for 4 yards (26-D.Jackson; 0-D.Henley).</x:v>
      </x:c>
      <x:c r="L1120" t="str">
        <x:v>run</x:v>
      </x:c>
      <x:c r="M1120" t="n">
        <x:v>4</x:v>
      </x:c>
      <x:c r="N1120" t="n">
        <x:v>1</x:v>
      </x:c>
      <x:c r="O1120" t="n">
        <x:v>0</x:v>
      </x:c>
      <x:c r="P1120"/>
      <x:c r="Q1120"/>
      <x:c r="R1120"/>
      <x:c r="S1120"/>
      <x:c r="T1120" t="str">
        <x:v>right</x:v>
      </x:c>
      <x:c r="U1120" t="str">
        <x:v>tackle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/>
      <x:c r="AC1120" t="n">
        <x:v>0</x:v>
      </x:c>
      <x:c r="AD1120" t="n">
        <x:v>-0.1719980943016708</x:v>
      </x:c>
      <x:c r="AE1120" t="n">
        <x:v>0</x:v>
      </x:c>
      <x:c r="AF1120" t="n">
        <x:v>0.0033766552805900574</x:v>
      </x:c>
      <x:c r="AG1120" t="n">
        <x:f>_xlfn.XLOOKUP($A1120,Games!$A$2:$A$18,Games!$B$2:$B$18,"Missing game",0)</x:f>
        <x:v>2025</x:v>
      </x:c>
      <x:c r="AH1120" t="str">
        <x:f>_xlfn.XLOOKUP($A1120,Games!$A$2:$A$18,Games!$C$2:$C$18,"Missing game",0)</x:f>
        <x:v>REG</x:v>
      </x:c>
      <x:c r="AI1120" t="n">
        <x:f>_xlfn.XLOOKUP($A1120,Games!$A$2:$A$18,Games!$D$2:$D$18,"Missing game",0)</x:f>
        <x:v>8</x:v>
      </x:c>
      <x:c r="AJ1120" s="1" t="n">
        <x:f>_xlfn.XLOOKUP($A1120,Games!$A$2:$A$18,Games!$E$2:$E$18,"Missing game",0)</x:f>
        <x:v>45953</x:v>
      </x:c>
      <x:c r="AK1120" t="str">
        <x:f>_xlfn.XLOOKUP($A1120,Games!$A$2:$A$18,Games!$F$2:$F$18,"Missing game",0)</x:f>
        <x:v>Thursday</x:v>
      </x:c>
      <x:c r="AL1120" t="str">
        <x:f>_xlfn.XLOOKUP($A1120,Games!$A$2:$A$18,Games!$G$2:$G$18,"Missing game",0)</x:f>
        <x:v>MIN</x:v>
      </x:c>
      <x:c r="AM1120" t="n">
        <x:f>_xlfn.XLOOKUP($A1120,Games!$A$2:$A$18,Games!$H$2:$H$18,"Missing game",0)</x:f>
        <x:v>10</x:v>
      </x:c>
      <x:c r="AN1120" t="str">
        <x:f>_xlfn.XLOOKUP($A1120,Games!$A$2:$A$18,Games!$I$2:$I$18,"Missing game",0)</x:f>
        <x:v>LAC</x:v>
      </x:c>
      <x:c r="AO1120" t="n">
        <x:f>_xlfn.XLOOKUP($A1120,Games!$A$2:$A$18,Games!$J$2:$J$18,"Missing game",0)</x:f>
        <x:v>37</x:v>
      </x:c>
      <x:c r="AP1120" t="n">
        <x:f>_xlfn.XLOOKUP($A1120,Games!$A$2:$A$18,Games!$K$2:$K$18,"Missing game",0)</x:f>
        <x:v>27</x:v>
      </x:c>
      <x:c r="AQ1120" t="n">
        <x:f>_xlfn.XLOOKUP($A1120,Games!$A$2:$A$18,Games!$L$2:$L$18,"Missing game",0)</x:f>
        <x:v>47</x:v>
      </x:c>
      <x:c r="AR1120" t="n">
        <x:f>_xlfn.XLOOKUP($A1120,Games!$A$2:$A$18,Games!$M$2:$M$18,"Missing game",0)</x:f>
        <x:v>0</x:v>
      </x:c>
      <x:c r="AS1120" t="str">
        <x:f>_xlfn.XLOOKUP($A1120,Games!$A$2:$A$18,Games!$N$2:$N$18,"Missing game",0)</x:f>
        <x:v>dome</x:v>
      </x:c>
      <x:c r="AT1120" t="str">
        <x:f>_xlfn.XLOOKUP($A1120,Games!$A$2:$A$18,Games!$O$2:$O$18,"Missing game",0)</x:f>
        <x:v>matrixturf</x:v>
      </x:c>
      <x:c r="AU1120" t="str">
        <x:f>_xlfn.XLOOKUP($A1120,Games!$A$2:$A$18,Games!$P$2:$P$18,"Missing game",0)</x:f>
      </x:c>
      <x:c r="AV1120" t="str">
        <x:f>_xlfn.XLOOKUP($A1120,Games!$A$2:$A$18,Games!$Q$2:$Q$18,"Missing game",0)</x:f>
      </x:c>
      <x:c r="AW1120" t="str">
        <x:f>_xlfn.XLOOKUP($A1120,Games!$A$2:$A$18,Games!$R$2:$R$18,"Missing game",0)</x:f>
        <x:v>SoFi Stadium</x:v>
      </x:c>
    </x:row>
    <x:row r="1121">
      <x:c r="A1121" t="str">
        <x:v>2025_08_MIN_LAC</x:v>
      </x:c>
      <x:c r="B1121" t="n">
        <x:v>2625</x:v>
      </x:c>
      <x:c r="C1121" t="n">
        <x:v>3</x:v>
      </x:c>
      <x:c r="D1121" t="str">
        <x:v>06:26</x:v>
      </x:c>
      <x:c r="E1121" t="n">
        <x:v>2</x:v>
      </x:c>
      <x:c r="F1121" t="n">
        <x:v>6</x:v>
      </x:c>
      <x:c r="G1121" t="str">
        <x:v>MIN</x:v>
      </x:c>
      <x:c r="H1121" t="str">
        <x:v>LAC</x:v>
      </x:c>
      <x:c r="I1121" t="str">
        <x:v>LAC</x:v>
      </x:c>
      <x:c r="J1121" t="n">
        <x:v>22</x:v>
      </x:c>
      <x:c r="K1121" t="str">
        <x:v>(6:26) (No Huddle, Shotgun) 11-C.Wentz pass short left to 87-T.Hockenson to LAC 8 for 14 yards (29-T.Still; 2-E.Molden).</x:v>
      </x:c>
      <x:c r="L1121" t="str">
        <x:v>pass</x:v>
      </x:c>
      <x:c r="M1121" t="n">
        <x:v>14</x:v>
      </x:c>
      <x:c r="N1121" t="n">
        <x:v>1</x:v>
      </x:c>
      <x:c r="O1121" t="n">
        <x:v>1</x:v>
      </x:c>
      <x:c r="P1121" t="str">
        <x:v>short</x:v>
      </x:c>
      <x:c r="Q1121" t="str">
        <x:v>left</x:v>
      </x:c>
      <x:c r="R1121" t="n">
        <x:v>7</x:v>
      </x:c>
      <x:c r="S1121" t="n">
        <x:v>7</x:v>
      </x:c>
      <x:c r="T1121"/>
      <x:c r="U1121"/>
      <x:c r="V1121" t="n">
        <x:v>1</x:v>
      </x:c>
      <x:c r="W1121" t="n">
        <x:v>1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/>
      <x:c r="AC1121" t="n">
        <x:v>0</x:v>
      </x:c>
      <x:c r="AD1121" t="n">
        <x:v>1.2106622937135398</x:v>
      </x:c>
      <x:c r="AE1121" t="n">
        <x:v>1</x:v>
      </x:c>
      <x:c r="AF1121" t="n">
        <x:v>-0.0031240321695804596</x:v>
      </x:c>
      <x:c r="AG1121" t="n">
        <x:f>_xlfn.XLOOKUP($A1121,Games!$A$2:$A$18,Games!$B$2:$B$18,"Missing game",0)</x:f>
        <x:v>2025</x:v>
      </x:c>
      <x:c r="AH1121" t="str">
        <x:f>_xlfn.XLOOKUP($A1121,Games!$A$2:$A$18,Games!$C$2:$C$18,"Missing game",0)</x:f>
        <x:v>REG</x:v>
      </x:c>
      <x:c r="AI1121" t="n">
        <x:f>_xlfn.XLOOKUP($A1121,Games!$A$2:$A$18,Games!$D$2:$D$18,"Missing game",0)</x:f>
        <x:v>8</x:v>
      </x:c>
      <x:c r="AJ1121" s="1" t="n">
        <x:f>_xlfn.XLOOKUP($A1121,Games!$A$2:$A$18,Games!$E$2:$E$18,"Missing game",0)</x:f>
        <x:v>45953</x:v>
      </x:c>
      <x:c r="AK1121" t="str">
        <x:f>_xlfn.XLOOKUP($A1121,Games!$A$2:$A$18,Games!$F$2:$F$18,"Missing game",0)</x:f>
        <x:v>Thursday</x:v>
      </x:c>
      <x:c r="AL1121" t="str">
        <x:f>_xlfn.XLOOKUP($A1121,Games!$A$2:$A$18,Games!$G$2:$G$18,"Missing game",0)</x:f>
        <x:v>MIN</x:v>
      </x:c>
      <x:c r="AM1121" t="n">
        <x:f>_xlfn.XLOOKUP($A1121,Games!$A$2:$A$18,Games!$H$2:$H$18,"Missing game",0)</x:f>
        <x:v>10</x:v>
      </x:c>
      <x:c r="AN1121" t="str">
        <x:f>_xlfn.XLOOKUP($A1121,Games!$A$2:$A$18,Games!$I$2:$I$18,"Missing game",0)</x:f>
        <x:v>LAC</x:v>
      </x:c>
      <x:c r="AO1121" t="n">
        <x:f>_xlfn.XLOOKUP($A1121,Games!$A$2:$A$18,Games!$J$2:$J$18,"Missing game",0)</x:f>
        <x:v>37</x:v>
      </x:c>
      <x:c r="AP1121" t="n">
        <x:f>_xlfn.XLOOKUP($A1121,Games!$A$2:$A$18,Games!$K$2:$K$18,"Missing game",0)</x:f>
        <x:v>27</x:v>
      </x:c>
      <x:c r="AQ1121" t="n">
        <x:f>_xlfn.XLOOKUP($A1121,Games!$A$2:$A$18,Games!$L$2:$L$18,"Missing game",0)</x:f>
        <x:v>47</x:v>
      </x:c>
      <x:c r="AR1121" t="n">
        <x:f>_xlfn.XLOOKUP($A1121,Games!$A$2:$A$18,Games!$M$2:$M$18,"Missing game",0)</x:f>
        <x:v>0</x:v>
      </x:c>
      <x:c r="AS1121" t="str">
        <x:f>_xlfn.XLOOKUP($A1121,Games!$A$2:$A$18,Games!$N$2:$N$18,"Missing game",0)</x:f>
        <x:v>dome</x:v>
      </x:c>
      <x:c r="AT1121" t="str">
        <x:f>_xlfn.XLOOKUP($A1121,Games!$A$2:$A$18,Games!$O$2:$O$18,"Missing game",0)</x:f>
        <x:v>matrixturf</x:v>
      </x:c>
      <x:c r="AU1121" t="str">
        <x:f>_xlfn.XLOOKUP($A1121,Games!$A$2:$A$18,Games!$P$2:$P$18,"Missing game",0)</x:f>
      </x:c>
      <x:c r="AV1121" t="str">
        <x:f>_xlfn.XLOOKUP($A1121,Games!$A$2:$A$18,Games!$Q$2:$Q$18,"Missing game",0)</x:f>
      </x:c>
      <x:c r="AW1121" t="str">
        <x:f>_xlfn.XLOOKUP($A1121,Games!$A$2:$A$18,Games!$R$2:$R$18,"Missing game",0)</x:f>
        <x:v>SoFi Stadium</x:v>
      </x:c>
    </x:row>
    <x:row r="1122">
      <x:c r="A1122" t="str">
        <x:v>2025_08_MIN_LAC</x:v>
      </x:c>
      <x:c r="B1122" t="n">
        <x:v>2650</x:v>
      </x:c>
      <x:c r="C1122" t="n">
        <x:v>3</x:v>
      </x:c>
      <x:c r="D1122" t="str">
        <x:v>05:46</x:v>
      </x:c>
      <x:c r="E1122" t="n">
        <x:v>1</x:v>
      </x:c>
      <x:c r="F1122" t="n">
        <x:v>8</x:v>
      </x:c>
      <x:c r="G1122" t="str">
        <x:v>MIN</x:v>
      </x:c>
      <x:c r="H1122" t="str">
        <x:v>LAC</x:v>
      </x:c>
      <x:c r="I1122" t="str">
        <x:v>LAC</x:v>
      </x:c>
      <x:c r="J1122" t="n">
        <x:v>8</x:v>
      </x:c>
      <x:c r="K1122" t="str">
        <x:v>(5:46) (Shotgun) 11-C.Wentz sacked at LAC 14 for -6 yards (45-T.Tuipulotu). FUMBLES (45-T.Tuipulotu) [45-T.Tuipulotu], RECOVERED by LAC-27-R.Mickens at LAC 3. 27-R.Mickens for 97 yards, TOUCHDOWN. The Replay Official reviewed the passer was not down by contact ruling, and the play was REVERSED. (Shotgun) 11-C.Wentz sacked at LAC 15 for -7 yards (45-T.Tuipulotu).</x:v>
      </x:c>
      <x:c r="L1122" t="str">
        <x:v>pass</x:v>
      </x:c>
      <x:c r="M1122" t="n">
        <x:v>-7</x:v>
      </x:c>
      <x:c r="N1122" t="n">
        <x:v>1</x:v>
      </x:c>
      <x:c r="O1122" t="n">
        <x:v>0</x:v>
      </x:c>
      <x:c r="P1122"/>
      <x:c r="Q1122"/>
      <x:c r="R1122"/>
      <x:c r="S1122"/>
      <x:c r="T1122"/>
      <x:c r="U1122"/>
      <x:c r="V1122" t="n">
        <x:v>0</x:v>
      </x:c>
      <x:c r="W1122" t="n">
        <x:v>0</x:v>
      </x:c>
      <x:c r="X1122" t="n">
        <x:v>1</x:v>
      </x:c>
      <x:c r="Y1122" t="n">
        <x:v>0</x:v>
      </x:c>
      <x:c r="Z1122" t="n">
        <x:v>0</x:v>
      </x:c>
      <x:c r="AA1122" t="n">
        <x:v>0</x:v>
      </x:c>
      <x:c r="AB1122"/>
      <x:c r="AC1122" t="n">
        <x:v>0</x:v>
      </x:c>
      <x:c r="AD1122" t="n">
        <x:v>-1.4005330192157999</x:v>
      </x:c>
      <x:c r="AE1122" t="n">
        <x:v>0</x:v>
      </x:c>
      <x:c r="AF1122" t="n">
        <x:v>-0.010902810841798782</x:v>
      </x:c>
      <x:c r="AG1122" t="n">
        <x:f>_xlfn.XLOOKUP($A1122,Games!$A$2:$A$18,Games!$B$2:$B$18,"Missing game",0)</x:f>
        <x:v>2025</x:v>
      </x:c>
      <x:c r="AH1122" t="str">
        <x:f>_xlfn.XLOOKUP($A1122,Games!$A$2:$A$18,Games!$C$2:$C$18,"Missing game",0)</x:f>
        <x:v>REG</x:v>
      </x:c>
      <x:c r="AI1122" t="n">
        <x:f>_xlfn.XLOOKUP($A1122,Games!$A$2:$A$18,Games!$D$2:$D$18,"Missing game",0)</x:f>
        <x:v>8</x:v>
      </x:c>
      <x:c r="AJ1122" s="1" t="n">
        <x:f>_xlfn.XLOOKUP($A1122,Games!$A$2:$A$18,Games!$E$2:$E$18,"Missing game",0)</x:f>
        <x:v>45953</x:v>
      </x:c>
      <x:c r="AK1122" t="str">
        <x:f>_xlfn.XLOOKUP($A1122,Games!$A$2:$A$18,Games!$F$2:$F$18,"Missing game",0)</x:f>
        <x:v>Thursday</x:v>
      </x:c>
      <x:c r="AL1122" t="str">
        <x:f>_xlfn.XLOOKUP($A1122,Games!$A$2:$A$18,Games!$G$2:$G$18,"Missing game",0)</x:f>
        <x:v>MIN</x:v>
      </x:c>
      <x:c r="AM1122" t="n">
        <x:f>_xlfn.XLOOKUP($A1122,Games!$A$2:$A$18,Games!$H$2:$H$18,"Missing game",0)</x:f>
        <x:v>10</x:v>
      </x:c>
      <x:c r="AN1122" t="str">
        <x:f>_xlfn.XLOOKUP($A1122,Games!$A$2:$A$18,Games!$I$2:$I$18,"Missing game",0)</x:f>
        <x:v>LAC</x:v>
      </x:c>
      <x:c r="AO1122" t="n">
        <x:f>_xlfn.XLOOKUP($A1122,Games!$A$2:$A$18,Games!$J$2:$J$18,"Missing game",0)</x:f>
        <x:v>37</x:v>
      </x:c>
      <x:c r="AP1122" t="n">
        <x:f>_xlfn.XLOOKUP($A1122,Games!$A$2:$A$18,Games!$K$2:$K$18,"Missing game",0)</x:f>
        <x:v>27</x:v>
      </x:c>
      <x:c r="AQ1122" t="n">
        <x:f>_xlfn.XLOOKUP($A1122,Games!$A$2:$A$18,Games!$L$2:$L$18,"Missing game",0)</x:f>
        <x:v>47</x:v>
      </x:c>
      <x:c r="AR1122" t="n">
        <x:f>_xlfn.XLOOKUP($A1122,Games!$A$2:$A$18,Games!$M$2:$M$18,"Missing game",0)</x:f>
        <x:v>0</x:v>
      </x:c>
      <x:c r="AS1122" t="str">
        <x:f>_xlfn.XLOOKUP($A1122,Games!$A$2:$A$18,Games!$N$2:$N$18,"Missing game",0)</x:f>
        <x:v>dome</x:v>
      </x:c>
      <x:c r="AT1122" t="str">
        <x:f>_xlfn.XLOOKUP($A1122,Games!$A$2:$A$18,Games!$O$2:$O$18,"Missing game",0)</x:f>
        <x:v>matrixturf</x:v>
      </x:c>
      <x:c r="AU1122" t="str">
        <x:f>_xlfn.XLOOKUP($A1122,Games!$A$2:$A$18,Games!$P$2:$P$18,"Missing game",0)</x:f>
      </x:c>
      <x:c r="AV1122" t="str">
        <x:f>_xlfn.XLOOKUP($A1122,Games!$A$2:$A$18,Games!$Q$2:$Q$18,"Missing game",0)</x:f>
      </x:c>
      <x:c r="AW1122" t="str">
        <x:f>_xlfn.XLOOKUP($A1122,Games!$A$2:$A$18,Games!$R$2:$R$18,"Missing game",0)</x:f>
        <x:v>SoFi Stadium</x:v>
      </x:c>
    </x:row>
    <x:row r="1123">
      <x:c r="A1123" t="str">
        <x:v>2025_08_MIN_LAC</x:v>
      </x:c>
      <x:c r="B1123" t="n">
        <x:v>2741</x:v>
      </x:c>
      <x:c r="C1123" t="n">
        <x:v>3</x:v>
      </x:c>
      <x:c r="D1123" t="str">
        <x:v>05:37</x:v>
      </x:c>
      <x:c r="E1123" t="n">
        <x:v>2</x:v>
      </x:c>
      <x:c r="F1123" t="n">
        <x:v>15</x:v>
      </x:c>
      <x:c r="G1123" t="str">
        <x:v>MIN</x:v>
      </x:c>
      <x:c r="H1123" t="str">
        <x:v>LAC</x:v>
      </x:c>
      <x:c r="I1123" t="str">
        <x:v>LAC</x:v>
      </x:c>
      <x:c r="J1123" t="n">
        <x:v>15</x:v>
      </x:c>
      <x:c r="K1123" t="str">
        <x:v>(5:37) (Shotgun) 33-A.Jones up the middle to LAC 14 for 1 yard (52-K.Mack). ** Injury Update: LAC-23-T.Jefferson has returned to the game.</x:v>
      </x:c>
      <x:c r="L1123" t="str">
        <x:v>run</x:v>
      </x:c>
      <x:c r="M1123" t="n">
        <x:v>1</x:v>
      </x:c>
      <x:c r="N1123" t="n">
        <x:v>1</x:v>
      </x:c>
      <x:c r="O1123" t="n">
        <x:v>0</x:v>
      </x:c>
      <x:c r="P1123"/>
      <x:c r="Q1123"/>
      <x:c r="R1123"/>
      <x:c r="S1123"/>
      <x:c r="T1123" t="str">
        <x:v>middle</x:v>
      </x:c>
      <x:c r="U1123"/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/>
      <x:c r="AC1123" t="n">
        <x:v>0</x:v>
      </x:c>
      <x:c r="AD1123" t="n">
        <x:v>-0.7666402644244954</x:v>
      </x:c>
      <x:c r="AE1123" t="n">
        <x:v>0</x:v>
      </x:c>
      <x:c r="AF1123" t="n">
        <x:v>-0.014198318123817444</x:v>
      </x:c>
      <x:c r="AG1123" t="n">
        <x:f>_xlfn.XLOOKUP($A1123,Games!$A$2:$A$18,Games!$B$2:$B$18,"Missing game",0)</x:f>
        <x:v>2025</x:v>
      </x:c>
      <x:c r="AH1123" t="str">
        <x:f>_xlfn.XLOOKUP($A1123,Games!$A$2:$A$18,Games!$C$2:$C$18,"Missing game",0)</x:f>
        <x:v>REG</x:v>
      </x:c>
      <x:c r="AI1123" t="n">
        <x:f>_xlfn.XLOOKUP($A1123,Games!$A$2:$A$18,Games!$D$2:$D$18,"Missing game",0)</x:f>
        <x:v>8</x:v>
      </x:c>
      <x:c r="AJ1123" s="1" t="n">
        <x:f>_xlfn.XLOOKUP($A1123,Games!$A$2:$A$18,Games!$E$2:$E$18,"Missing game",0)</x:f>
        <x:v>45953</x:v>
      </x:c>
      <x:c r="AK1123" t="str">
        <x:f>_xlfn.XLOOKUP($A1123,Games!$A$2:$A$18,Games!$F$2:$F$18,"Missing game",0)</x:f>
        <x:v>Thursday</x:v>
      </x:c>
      <x:c r="AL1123" t="str">
        <x:f>_xlfn.XLOOKUP($A1123,Games!$A$2:$A$18,Games!$G$2:$G$18,"Missing game",0)</x:f>
        <x:v>MIN</x:v>
      </x:c>
      <x:c r="AM1123" t="n">
        <x:f>_xlfn.XLOOKUP($A1123,Games!$A$2:$A$18,Games!$H$2:$H$18,"Missing game",0)</x:f>
        <x:v>10</x:v>
      </x:c>
      <x:c r="AN1123" t="str">
        <x:f>_xlfn.XLOOKUP($A1123,Games!$A$2:$A$18,Games!$I$2:$I$18,"Missing game",0)</x:f>
        <x:v>LAC</x:v>
      </x:c>
      <x:c r="AO1123" t="n">
        <x:f>_xlfn.XLOOKUP($A1123,Games!$A$2:$A$18,Games!$J$2:$J$18,"Missing game",0)</x:f>
        <x:v>37</x:v>
      </x:c>
      <x:c r="AP1123" t="n">
        <x:f>_xlfn.XLOOKUP($A1123,Games!$A$2:$A$18,Games!$K$2:$K$18,"Missing game",0)</x:f>
        <x:v>27</x:v>
      </x:c>
      <x:c r="AQ1123" t="n">
        <x:f>_xlfn.XLOOKUP($A1123,Games!$A$2:$A$18,Games!$L$2:$L$18,"Missing game",0)</x:f>
        <x:v>47</x:v>
      </x:c>
      <x:c r="AR1123" t="n">
        <x:f>_xlfn.XLOOKUP($A1123,Games!$A$2:$A$18,Games!$M$2:$M$18,"Missing game",0)</x:f>
        <x:v>0</x:v>
      </x:c>
      <x:c r="AS1123" t="str">
        <x:f>_xlfn.XLOOKUP($A1123,Games!$A$2:$A$18,Games!$N$2:$N$18,"Missing game",0)</x:f>
        <x:v>dome</x:v>
      </x:c>
      <x:c r="AT1123" t="str">
        <x:f>_xlfn.XLOOKUP($A1123,Games!$A$2:$A$18,Games!$O$2:$O$18,"Missing game",0)</x:f>
        <x:v>matrixturf</x:v>
      </x:c>
      <x:c r="AU1123" t="str">
        <x:f>_xlfn.XLOOKUP($A1123,Games!$A$2:$A$18,Games!$P$2:$P$18,"Missing game",0)</x:f>
      </x:c>
      <x:c r="AV1123" t="str">
        <x:f>_xlfn.XLOOKUP($A1123,Games!$A$2:$A$18,Games!$Q$2:$Q$18,"Missing game",0)</x:f>
      </x:c>
      <x:c r="AW1123" t="str">
        <x:f>_xlfn.XLOOKUP($A1123,Games!$A$2:$A$18,Games!$R$2:$R$18,"Missing game",0)</x:f>
        <x:v>SoFi Stadium</x:v>
      </x:c>
    </x:row>
    <x:row r="1124">
      <x:c r="A1124" t="str">
        <x:v>2025_08_MIN_LAC</x:v>
      </x:c>
      <x:c r="B1124" t="n">
        <x:v>2763</x:v>
      </x:c>
      <x:c r="C1124" t="n">
        <x:v>3</x:v>
      </x:c>
      <x:c r="D1124" t="str">
        <x:v>04:54</x:v>
      </x:c>
      <x:c r="E1124" t="n">
        <x:v>3</x:v>
      </x:c>
      <x:c r="F1124" t="n">
        <x:v>14</x:v>
      </x:c>
      <x:c r="G1124" t="str">
        <x:v>MIN</x:v>
      </x:c>
      <x:c r="H1124" t="str">
        <x:v>LAC</x:v>
      </x:c>
      <x:c r="I1124" t="str">
        <x:v>LAC</x:v>
      </x:c>
      <x:c r="J1124" t="n">
        <x:v>14</x:v>
      </x:c>
      <x:c r="K1124" t="str">
        <x:v>(4:54) (Shotgun) 11-C.Wentz pass incomplete short left to 33-A.Jones.</x:v>
      </x:c>
      <x:c r="L1124" t="str">
        <x:v>pass</x:v>
      </x:c>
      <x:c r="M1124" t="n">
        <x:v>0</x:v>
      </x:c>
      <x:c r="N1124" t="n">
        <x:v>1</x:v>
      </x:c>
      <x:c r="O1124" t="n">
        <x:v>0</x:v>
      </x:c>
      <x:c r="P1124" t="str">
        <x:v>short</x:v>
      </x:c>
      <x:c r="Q1124" t="str">
        <x:v>left</x:v>
      </x:c>
      <x:c r="R1124" t="n">
        <x:v>13</x:v>
      </x:c>
      <x:c r="S1124"/>
      <x:c r="T1124"/>
      <x:c r="U1124"/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/>
      <x:c r="AC1124" t="n">
        <x:v>0</x:v>
      </x:c>
      <x:c r="AD1124" t="n">
        <x:v>-0.6978723790962249</x:v>
      </x:c>
      <x:c r="AE1124" t="n">
        <x:v>0</x:v>
      </x:c>
      <x:c r="AF1124" t="n">
        <x:v>-0.003149496391415596</x:v>
      </x:c>
      <x:c r="AG1124" t="n">
        <x:f>_xlfn.XLOOKUP($A1124,Games!$A$2:$A$18,Games!$B$2:$B$18,"Missing game",0)</x:f>
        <x:v>2025</x:v>
      </x:c>
      <x:c r="AH1124" t="str">
        <x:f>_xlfn.XLOOKUP($A1124,Games!$A$2:$A$18,Games!$C$2:$C$18,"Missing game",0)</x:f>
        <x:v>REG</x:v>
      </x:c>
      <x:c r="AI1124" t="n">
        <x:f>_xlfn.XLOOKUP($A1124,Games!$A$2:$A$18,Games!$D$2:$D$18,"Missing game",0)</x:f>
        <x:v>8</x:v>
      </x:c>
      <x:c r="AJ1124" s="1" t="n">
        <x:f>_xlfn.XLOOKUP($A1124,Games!$A$2:$A$18,Games!$E$2:$E$18,"Missing game",0)</x:f>
        <x:v>45953</x:v>
      </x:c>
      <x:c r="AK1124" t="str">
        <x:f>_xlfn.XLOOKUP($A1124,Games!$A$2:$A$18,Games!$F$2:$F$18,"Missing game",0)</x:f>
        <x:v>Thursday</x:v>
      </x:c>
      <x:c r="AL1124" t="str">
        <x:f>_xlfn.XLOOKUP($A1124,Games!$A$2:$A$18,Games!$G$2:$G$18,"Missing game",0)</x:f>
        <x:v>MIN</x:v>
      </x:c>
      <x:c r="AM1124" t="n">
        <x:f>_xlfn.XLOOKUP($A1124,Games!$A$2:$A$18,Games!$H$2:$H$18,"Missing game",0)</x:f>
        <x:v>10</x:v>
      </x:c>
      <x:c r="AN1124" t="str">
        <x:f>_xlfn.XLOOKUP($A1124,Games!$A$2:$A$18,Games!$I$2:$I$18,"Missing game",0)</x:f>
        <x:v>LAC</x:v>
      </x:c>
      <x:c r="AO1124" t="n">
        <x:f>_xlfn.XLOOKUP($A1124,Games!$A$2:$A$18,Games!$J$2:$J$18,"Missing game",0)</x:f>
        <x:v>37</x:v>
      </x:c>
      <x:c r="AP1124" t="n">
        <x:f>_xlfn.XLOOKUP($A1124,Games!$A$2:$A$18,Games!$K$2:$K$18,"Missing game",0)</x:f>
        <x:v>27</x:v>
      </x:c>
      <x:c r="AQ1124" t="n">
        <x:f>_xlfn.XLOOKUP($A1124,Games!$A$2:$A$18,Games!$L$2:$L$18,"Missing game",0)</x:f>
        <x:v>47</x:v>
      </x:c>
      <x:c r="AR1124" t="n">
        <x:f>_xlfn.XLOOKUP($A1124,Games!$A$2:$A$18,Games!$M$2:$M$18,"Missing game",0)</x:f>
        <x:v>0</x:v>
      </x:c>
      <x:c r="AS1124" t="str">
        <x:f>_xlfn.XLOOKUP($A1124,Games!$A$2:$A$18,Games!$N$2:$N$18,"Missing game",0)</x:f>
        <x:v>dome</x:v>
      </x:c>
      <x:c r="AT1124" t="str">
        <x:f>_xlfn.XLOOKUP($A1124,Games!$A$2:$A$18,Games!$O$2:$O$18,"Missing game",0)</x:f>
        <x:v>matrixturf</x:v>
      </x:c>
      <x:c r="AU1124" t="str">
        <x:f>_xlfn.XLOOKUP($A1124,Games!$A$2:$A$18,Games!$P$2:$P$18,"Missing game",0)</x:f>
      </x:c>
      <x:c r="AV1124" t="str">
        <x:f>_xlfn.XLOOKUP($A1124,Games!$A$2:$A$18,Games!$Q$2:$Q$18,"Missing game",0)</x:f>
      </x:c>
      <x:c r="AW1124" t="str">
        <x:f>_xlfn.XLOOKUP($A1124,Games!$A$2:$A$18,Games!$R$2:$R$18,"Missing game",0)</x:f>
        <x:v>SoFi Stadium</x:v>
      </x:c>
    </x:row>
    <x:row r="1125">
      <x:c r="A1125" t="str">
        <x:v>2025_08_MIN_LAC</x:v>
      </x:c>
      <x:c r="B1125" t="n">
        <x:v>2789</x:v>
      </x:c>
      <x:c r="C1125" t="n">
        <x:v>3</x:v>
      </x:c>
      <x:c r="D1125" t="str">
        <x:v>04:49</x:v>
      </x:c>
      <x:c r="E1125" t="n">
        <x:v>4</x:v>
      </x:c>
      <x:c r="F1125" t="n">
        <x:v>14</x:v>
      </x:c>
      <x:c r="G1125" t="str">
        <x:v>MIN</x:v>
      </x:c>
      <x:c r="H1125" t="str">
        <x:v>LAC</x:v>
      </x:c>
      <x:c r="I1125" t="str">
        <x:v>LAC</x:v>
      </x:c>
      <x:c r="J1125" t="n">
        <x:v>14</x:v>
      </x:c>
      <x:c r="K1125" t="str">
        <x:v>(4:49) 16-W.Reichard 32 yard field goal is GOOD, NULLIFIED by Penalty, Center-42-A.DePaola, Holder-17-R.Wright. PENALTY on LAC, Defensive Too Many Men on Field, 5 yards, enforced at LAC 14 - No Play.</x:v>
      </x:c>
      <x:c r="L1125" t="str">
        <x:v>no_play</x:v>
      </x:c>
      <x:c r="M1125" t="n">
        <x:v>0</x:v>
      </x:c>
      <x:c r="N1125" t="n">
        <x:v>0</x:v>
      </x:c>
      <x:c r="O1125" t="n">
        <x:v>0</x:v>
      </x:c>
      <x:c r="P1125"/>
      <x:c r="Q1125"/>
      <x:c r="R1125"/>
      <x:c r="S1125"/>
      <x:c r="T1125"/>
      <x:c r="U1125"/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1</x:v>
      </x:c>
      <x:c r="AB1125" t="n">
        <x:v>5</x:v>
      </x:c>
      <x:c r="AC1125" t="n">
        <x:v>0</x:v>
      </x:c>
      <x:c r="AD1125" t="n">
        <x:v>0.15157284028828144</x:v>
      </x:c>
      <x:c r="AE1125" t="n">
        <x:v>1</x:v>
      </x:c>
      <x:c r="AF1125" t="n">
        <x:v>0.002023113891482353</x:v>
      </x:c>
      <x:c r="AG1125" t="n">
        <x:f>_xlfn.XLOOKUP($A1125,Games!$A$2:$A$18,Games!$B$2:$B$18,"Missing game",0)</x:f>
        <x:v>2025</x:v>
      </x:c>
      <x:c r="AH1125" t="str">
        <x:f>_xlfn.XLOOKUP($A1125,Games!$A$2:$A$18,Games!$C$2:$C$18,"Missing game",0)</x:f>
        <x:v>REG</x:v>
      </x:c>
      <x:c r="AI1125" t="n">
        <x:f>_xlfn.XLOOKUP($A1125,Games!$A$2:$A$18,Games!$D$2:$D$18,"Missing game",0)</x:f>
        <x:v>8</x:v>
      </x:c>
      <x:c r="AJ1125" s="1" t="n">
        <x:f>_xlfn.XLOOKUP($A1125,Games!$A$2:$A$18,Games!$E$2:$E$18,"Missing game",0)</x:f>
        <x:v>45953</x:v>
      </x:c>
      <x:c r="AK1125" t="str">
        <x:f>_xlfn.XLOOKUP($A1125,Games!$A$2:$A$18,Games!$F$2:$F$18,"Missing game",0)</x:f>
        <x:v>Thursday</x:v>
      </x:c>
      <x:c r="AL1125" t="str">
        <x:f>_xlfn.XLOOKUP($A1125,Games!$A$2:$A$18,Games!$G$2:$G$18,"Missing game",0)</x:f>
        <x:v>MIN</x:v>
      </x:c>
      <x:c r="AM1125" t="n">
        <x:f>_xlfn.XLOOKUP($A1125,Games!$A$2:$A$18,Games!$H$2:$H$18,"Missing game",0)</x:f>
        <x:v>10</x:v>
      </x:c>
      <x:c r="AN1125" t="str">
        <x:f>_xlfn.XLOOKUP($A1125,Games!$A$2:$A$18,Games!$I$2:$I$18,"Missing game",0)</x:f>
        <x:v>LAC</x:v>
      </x:c>
      <x:c r="AO1125" t="n">
        <x:f>_xlfn.XLOOKUP($A1125,Games!$A$2:$A$18,Games!$J$2:$J$18,"Missing game",0)</x:f>
        <x:v>37</x:v>
      </x:c>
      <x:c r="AP1125" t="n">
        <x:f>_xlfn.XLOOKUP($A1125,Games!$A$2:$A$18,Games!$K$2:$K$18,"Missing game",0)</x:f>
        <x:v>27</x:v>
      </x:c>
      <x:c r="AQ1125" t="n">
        <x:f>_xlfn.XLOOKUP($A1125,Games!$A$2:$A$18,Games!$L$2:$L$18,"Missing game",0)</x:f>
        <x:v>47</x:v>
      </x:c>
      <x:c r="AR1125" t="n">
        <x:f>_xlfn.XLOOKUP($A1125,Games!$A$2:$A$18,Games!$M$2:$M$18,"Missing game",0)</x:f>
        <x:v>0</x:v>
      </x:c>
      <x:c r="AS1125" t="str">
        <x:f>_xlfn.XLOOKUP($A1125,Games!$A$2:$A$18,Games!$N$2:$N$18,"Missing game",0)</x:f>
        <x:v>dome</x:v>
      </x:c>
      <x:c r="AT1125" t="str">
        <x:f>_xlfn.XLOOKUP($A1125,Games!$A$2:$A$18,Games!$O$2:$O$18,"Missing game",0)</x:f>
        <x:v>matrixturf</x:v>
      </x:c>
      <x:c r="AU1125" t="str">
        <x:f>_xlfn.XLOOKUP($A1125,Games!$A$2:$A$18,Games!$P$2:$P$18,"Missing game",0)</x:f>
      </x:c>
      <x:c r="AV1125" t="str">
        <x:f>_xlfn.XLOOKUP($A1125,Games!$A$2:$A$18,Games!$Q$2:$Q$18,"Missing game",0)</x:f>
      </x:c>
      <x:c r="AW1125" t="str">
        <x:f>_xlfn.XLOOKUP($A1125,Games!$A$2:$A$18,Games!$R$2:$R$18,"Missing game",0)</x:f>
        <x:v>SoFi Stadium</x:v>
      </x:c>
    </x:row>
    <x:row r="1126">
      <x:c r="A1126" t="str">
        <x:v>2025_08_MIN_LAC</x:v>
      </x:c>
      <x:c r="B1126" t="n">
        <x:v>2820</x:v>
      </x:c>
      <x:c r="C1126" t="n">
        <x:v>3</x:v>
      </x:c>
      <x:c r="D1126" t="str">
        <x:v>04:46</x:v>
      </x:c>
      <x:c r="E1126" t="n">
        <x:v>4</x:v>
      </x:c>
      <x:c r="F1126" t="n">
        <x:v>9</x:v>
      </x:c>
      <x:c r="G1126" t="str">
        <x:v>MIN</x:v>
      </x:c>
      <x:c r="H1126" t="str">
        <x:v>LAC</x:v>
      </x:c>
      <x:c r="I1126" t="str">
        <x:v>LAC</x:v>
      </x:c>
      <x:c r="J1126" t="n">
        <x:v>9</x:v>
      </x:c>
      <x:c r="K1126" t="str">
        <x:v>(4:46) (Shotgun) 11-C.Wentz sacked at LAC 17 for -8 yards (0-D.Henley). PENALTY on LAC-24-B.St-Juste, Illegal Contact, 5 yards, enforced at LAC 9 - No Play.</x:v>
      </x:c>
      <x:c r="L1126" t="str">
        <x:v>no_play</x:v>
      </x:c>
      <x:c r="M1126" t="n">
        <x:v>0</x:v>
      </x:c>
      <x:c r="N1126" t="n">
        <x:v>1</x:v>
      </x:c>
      <x:c r="O1126" t="n">
        <x:v>0</x:v>
      </x:c>
      <x:c r="P1126"/>
      <x:c r="Q1126"/>
      <x:c r="R1126"/>
      <x:c r="S1126"/>
      <x:c r="T1126"/>
      <x:c r="U1126"/>
      <x:c r="V1126" t="n">
        <x:v>0</x:v>
      </x:c>
      <x:c r="W1126" t="n">
        <x:v>1</x:v>
      </x:c>
      <x:c r="X1126" t="n">
        <x:v>0</x:v>
      </x:c>
      <x:c r="Y1126" t="n">
        <x:v>0</x:v>
      </x:c>
      <x:c r="Z1126" t="n">
        <x:v>0</x:v>
      </x:c>
      <x:c r="AA1126" t="n">
        <x:v>1</x:v>
      </x:c>
      <x:c r="AB1126" t="n">
        <x:v>5</x:v>
      </x:c>
      <x:c r="AC1126" t="n">
        <x:v>0</x:v>
      </x:c>
      <x:c r="AD1126" t="n">
        <x:v>3.2199020456755534</x:v>
      </x:c>
      <x:c r="AE1126" t="n">
        <x:v>1</x:v>
      </x:c>
      <x:c r="AF1126" t="n">
        <x:v>0.01855769380927086</x:v>
      </x:c>
      <x:c r="AG1126" t="n">
        <x:f>_xlfn.XLOOKUP($A1126,Games!$A$2:$A$18,Games!$B$2:$B$18,"Missing game",0)</x:f>
        <x:v>2025</x:v>
      </x:c>
      <x:c r="AH1126" t="str">
        <x:f>_xlfn.XLOOKUP($A1126,Games!$A$2:$A$18,Games!$C$2:$C$18,"Missing game",0)</x:f>
        <x:v>REG</x:v>
      </x:c>
      <x:c r="AI1126" t="n">
        <x:f>_xlfn.XLOOKUP($A1126,Games!$A$2:$A$18,Games!$D$2:$D$18,"Missing game",0)</x:f>
        <x:v>8</x:v>
      </x:c>
      <x:c r="AJ1126" s="1" t="n">
        <x:f>_xlfn.XLOOKUP($A1126,Games!$A$2:$A$18,Games!$E$2:$E$18,"Missing game",0)</x:f>
        <x:v>45953</x:v>
      </x:c>
      <x:c r="AK1126" t="str">
        <x:f>_xlfn.XLOOKUP($A1126,Games!$A$2:$A$18,Games!$F$2:$F$18,"Missing game",0)</x:f>
        <x:v>Thursday</x:v>
      </x:c>
      <x:c r="AL1126" t="str">
        <x:f>_xlfn.XLOOKUP($A1126,Games!$A$2:$A$18,Games!$G$2:$G$18,"Missing game",0)</x:f>
        <x:v>MIN</x:v>
      </x:c>
      <x:c r="AM1126" t="n">
        <x:f>_xlfn.XLOOKUP($A1126,Games!$A$2:$A$18,Games!$H$2:$H$18,"Missing game",0)</x:f>
        <x:v>10</x:v>
      </x:c>
      <x:c r="AN1126" t="str">
        <x:f>_xlfn.XLOOKUP($A1126,Games!$A$2:$A$18,Games!$I$2:$I$18,"Missing game",0)</x:f>
        <x:v>LAC</x:v>
      </x:c>
      <x:c r="AO1126" t="n">
        <x:f>_xlfn.XLOOKUP($A1126,Games!$A$2:$A$18,Games!$J$2:$J$18,"Missing game",0)</x:f>
        <x:v>37</x:v>
      </x:c>
      <x:c r="AP1126" t="n">
        <x:f>_xlfn.XLOOKUP($A1126,Games!$A$2:$A$18,Games!$K$2:$K$18,"Missing game",0)</x:f>
        <x:v>27</x:v>
      </x:c>
      <x:c r="AQ1126" t="n">
        <x:f>_xlfn.XLOOKUP($A1126,Games!$A$2:$A$18,Games!$L$2:$L$18,"Missing game",0)</x:f>
        <x:v>47</x:v>
      </x:c>
      <x:c r="AR1126" t="n">
        <x:f>_xlfn.XLOOKUP($A1126,Games!$A$2:$A$18,Games!$M$2:$M$18,"Missing game",0)</x:f>
        <x:v>0</x:v>
      </x:c>
      <x:c r="AS1126" t="str">
        <x:f>_xlfn.XLOOKUP($A1126,Games!$A$2:$A$18,Games!$N$2:$N$18,"Missing game",0)</x:f>
        <x:v>dome</x:v>
      </x:c>
      <x:c r="AT1126" t="str">
        <x:f>_xlfn.XLOOKUP($A1126,Games!$A$2:$A$18,Games!$O$2:$O$18,"Missing game",0)</x:f>
        <x:v>matrixturf</x:v>
      </x:c>
      <x:c r="AU1126" t="str">
        <x:f>_xlfn.XLOOKUP($A1126,Games!$A$2:$A$18,Games!$P$2:$P$18,"Missing game",0)</x:f>
      </x:c>
      <x:c r="AV1126" t="str">
        <x:f>_xlfn.XLOOKUP($A1126,Games!$A$2:$A$18,Games!$Q$2:$Q$18,"Missing game",0)</x:f>
      </x:c>
      <x:c r="AW1126" t="str">
        <x:f>_xlfn.XLOOKUP($A1126,Games!$A$2:$A$18,Games!$R$2:$R$18,"Missing game",0)</x:f>
        <x:v>SoFi Stadium</x:v>
      </x:c>
    </x:row>
    <x:row r="1127">
      <x:c r="A1127" t="str">
        <x:v>2025_08_MIN_LAC</x:v>
      </x:c>
      <x:c r="B1127" t="n">
        <x:v>2858</x:v>
      </x:c>
      <x:c r="C1127" t="n">
        <x:v>3</x:v>
      </x:c>
      <x:c r="D1127" t="str">
        <x:v>04:40</x:v>
      </x:c>
      <x:c r="E1127" t="n">
        <x:v>1</x:v>
      </x:c>
      <x:c r="F1127" t="n">
        <x:v>4</x:v>
      </x:c>
      <x:c r="G1127" t="str">
        <x:v>MIN</x:v>
      </x:c>
      <x:c r="H1127" t="str">
        <x:v>LAC</x:v>
      </x:c>
      <x:c r="I1127" t="str">
        <x:v>LAC</x:v>
      </x:c>
      <x:c r="J1127" t="n">
        <x:v>4</x:v>
      </x:c>
      <x:c r="K1127" t="str">
        <x:v>(4:40) (Shotgun) 11-C.Wentz pass short right to 3-J.Addison for 4 yards, TOUCHDOWN.</x:v>
      </x:c>
      <x:c r="L1127" t="str">
        <x:v>pass</x:v>
      </x:c>
      <x:c r="M1127" t="n">
        <x:v>4</x:v>
      </x:c>
      <x:c r="N1127" t="n">
        <x:v>1</x:v>
      </x:c>
      <x:c r="O1127" t="n">
        <x:v>0</x:v>
      </x:c>
      <x:c r="P1127" t="str">
        <x:v>short</x:v>
      </x:c>
      <x:c r="Q1127" t="str">
        <x:v>right</x:v>
      </x:c>
      <x:c r="R1127" t="n">
        <x:v>4</x:v>
      </x:c>
      <x:c r="S1127" t="n">
        <x:v>0</x:v>
      </x:c>
      <x:c r="T1127"/>
      <x:c r="U1127"/>
      <x:c r="V1127" t="n">
        <x:v>1</x:v>
      </x:c>
      <x:c r="W1127" t="n">
        <x:v>1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/>
      <x:c r="AC1127" t="n">
        <x:v>1</x:v>
      </x:c>
      <x:c r="AD1127" t="n">
        <x:v>0.9175119117135182</x:v>
      </x:c>
      <x:c r="AE1127" t="n">
        <x:v>1</x:v>
      </x:c>
      <x:c r="AF1127" t="n">
        <x:v>-0.00012130539762755799</x:v>
      </x:c>
      <x:c r="AG1127" t="n">
        <x:f>_xlfn.XLOOKUP($A1127,Games!$A$2:$A$18,Games!$B$2:$B$18,"Missing game",0)</x:f>
        <x:v>2025</x:v>
      </x:c>
      <x:c r="AH1127" t="str">
        <x:f>_xlfn.XLOOKUP($A1127,Games!$A$2:$A$18,Games!$C$2:$C$18,"Missing game",0)</x:f>
        <x:v>REG</x:v>
      </x:c>
      <x:c r="AI1127" t="n">
        <x:f>_xlfn.XLOOKUP($A1127,Games!$A$2:$A$18,Games!$D$2:$D$18,"Missing game",0)</x:f>
        <x:v>8</x:v>
      </x:c>
      <x:c r="AJ1127" s="1" t="n">
        <x:f>_xlfn.XLOOKUP($A1127,Games!$A$2:$A$18,Games!$E$2:$E$18,"Missing game",0)</x:f>
        <x:v>45953</x:v>
      </x:c>
      <x:c r="AK1127" t="str">
        <x:f>_xlfn.XLOOKUP($A1127,Games!$A$2:$A$18,Games!$F$2:$F$18,"Missing game",0)</x:f>
        <x:v>Thursday</x:v>
      </x:c>
      <x:c r="AL1127" t="str">
        <x:f>_xlfn.XLOOKUP($A1127,Games!$A$2:$A$18,Games!$G$2:$G$18,"Missing game",0)</x:f>
        <x:v>MIN</x:v>
      </x:c>
      <x:c r="AM1127" t="n">
        <x:f>_xlfn.XLOOKUP($A1127,Games!$A$2:$A$18,Games!$H$2:$H$18,"Missing game",0)</x:f>
        <x:v>10</x:v>
      </x:c>
      <x:c r="AN1127" t="str">
        <x:f>_xlfn.XLOOKUP($A1127,Games!$A$2:$A$18,Games!$I$2:$I$18,"Missing game",0)</x:f>
        <x:v>LAC</x:v>
      </x:c>
      <x:c r="AO1127" t="n">
        <x:f>_xlfn.XLOOKUP($A1127,Games!$A$2:$A$18,Games!$J$2:$J$18,"Missing game",0)</x:f>
        <x:v>37</x:v>
      </x:c>
      <x:c r="AP1127" t="n">
        <x:f>_xlfn.XLOOKUP($A1127,Games!$A$2:$A$18,Games!$K$2:$K$18,"Missing game",0)</x:f>
        <x:v>27</x:v>
      </x:c>
      <x:c r="AQ1127" t="n">
        <x:f>_xlfn.XLOOKUP($A1127,Games!$A$2:$A$18,Games!$L$2:$L$18,"Missing game",0)</x:f>
        <x:v>47</x:v>
      </x:c>
      <x:c r="AR1127" t="n">
        <x:f>_xlfn.XLOOKUP($A1127,Games!$A$2:$A$18,Games!$M$2:$M$18,"Missing game",0)</x:f>
        <x:v>0</x:v>
      </x:c>
      <x:c r="AS1127" t="str">
        <x:f>_xlfn.XLOOKUP($A1127,Games!$A$2:$A$18,Games!$N$2:$N$18,"Missing game",0)</x:f>
        <x:v>dome</x:v>
      </x:c>
      <x:c r="AT1127" t="str">
        <x:f>_xlfn.XLOOKUP($A1127,Games!$A$2:$A$18,Games!$O$2:$O$18,"Missing game",0)</x:f>
        <x:v>matrixturf</x:v>
      </x:c>
      <x:c r="AU1127" t="str">
        <x:f>_xlfn.XLOOKUP($A1127,Games!$A$2:$A$18,Games!$P$2:$P$18,"Missing game",0)</x:f>
      </x:c>
      <x:c r="AV1127" t="str">
        <x:f>_xlfn.XLOOKUP($A1127,Games!$A$2:$A$18,Games!$Q$2:$Q$18,"Missing game",0)</x:f>
      </x:c>
      <x:c r="AW1127" t="str">
        <x:f>_xlfn.XLOOKUP($A1127,Games!$A$2:$A$18,Games!$R$2:$R$18,"Missing game",0)</x:f>
        <x:v>SoFi Stadium</x:v>
      </x:c>
    </x:row>
    <x:row r="1128">
      <x:c r="A1128" t="str">
        <x:v>2025_08_MIN_LAC</x:v>
      </x:c>
      <x:c r="B1128" t="n">
        <x:v>2884</x:v>
      </x:c>
      <x:c r="C1128" t="n">
        <x:v>3</x:v>
      </x:c>
      <x:c r="D1128" t="str">
        <x:v>04:36</x:v>
      </x:c>
      <x:c r="E1128"/>
      <x:c r="F1128" t="n">
        <x:v>0</x:v>
      </x:c>
      <x:c r="G1128" t="str">
        <x:v>MIN</x:v>
      </x:c>
      <x:c r="H1128" t="str">
        <x:v>LAC</x:v>
      </x:c>
      <x:c r="I1128" t="str">
        <x:v>LAC</x:v>
      </x:c>
      <x:c r="J1128" t="n">
        <x:v>15</x:v>
      </x:c>
      <x:c r="K1128" t="str">
        <x:v>16-W.Reichard extra point is GOOD, Center-42-A.DePaola, Holder-17-R.Wright.</x:v>
      </x:c>
      <x:c r="L1128" t="str">
        <x:v>extra_point</x:v>
      </x:c>
      <x:c r="M1128" t="n">
        <x:v>0</x:v>
      </x:c>
      <x:c r="N1128" t="n">
        <x:v>0</x:v>
      </x:c>
      <x:c r="O1128" t="n">
        <x:v>0</x:v>
      </x:c>
      <x:c r="P1128"/>
      <x:c r="Q1128"/>
      <x:c r="R1128"/>
      <x:c r="S1128"/>
      <x:c r="T1128"/>
      <x:c r="U1128"/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/>
      <x:c r="AC1128" t="n">
        <x:v>0</x:v>
      </x:c>
      <x:c r="AD1128" t="n">
        <x:v>0.05117156607063911</x:v>
      </x:c>
      <x:c r="AE1128" t="n">
        <x:v>1</x:v>
      </x:c>
      <x:c r="AF1128" t="n">
        <x:v>0.000496904066679682</x:v>
      </x:c>
      <x:c r="AG1128" t="n">
        <x:f>_xlfn.XLOOKUP($A1128,Games!$A$2:$A$18,Games!$B$2:$B$18,"Missing game",0)</x:f>
        <x:v>2025</x:v>
      </x:c>
      <x:c r="AH1128" t="str">
        <x:f>_xlfn.XLOOKUP($A1128,Games!$A$2:$A$18,Games!$C$2:$C$18,"Missing game",0)</x:f>
        <x:v>REG</x:v>
      </x:c>
      <x:c r="AI1128" t="n">
        <x:f>_xlfn.XLOOKUP($A1128,Games!$A$2:$A$18,Games!$D$2:$D$18,"Missing game",0)</x:f>
        <x:v>8</x:v>
      </x:c>
      <x:c r="AJ1128" s="1" t="n">
        <x:f>_xlfn.XLOOKUP($A1128,Games!$A$2:$A$18,Games!$E$2:$E$18,"Missing game",0)</x:f>
        <x:v>45953</x:v>
      </x:c>
      <x:c r="AK1128" t="str">
        <x:f>_xlfn.XLOOKUP($A1128,Games!$A$2:$A$18,Games!$F$2:$F$18,"Missing game",0)</x:f>
        <x:v>Thursday</x:v>
      </x:c>
      <x:c r="AL1128" t="str">
        <x:f>_xlfn.XLOOKUP($A1128,Games!$A$2:$A$18,Games!$G$2:$G$18,"Missing game",0)</x:f>
        <x:v>MIN</x:v>
      </x:c>
      <x:c r="AM1128" t="n">
        <x:f>_xlfn.XLOOKUP($A1128,Games!$A$2:$A$18,Games!$H$2:$H$18,"Missing game",0)</x:f>
        <x:v>10</x:v>
      </x:c>
      <x:c r="AN1128" t="str">
        <x:f>_xlfn.XLOOKUP($A1128,Games!$A$2:$A$18,Games!$I$2:$I$18,"Missing game",0)</x:f>
        <x:v>LAC</x:v>
      </x:c>
      <x:c r="AO1128" t="n">
        <x:f>_xlfn.XLOOKUP($A1128,Games!$A$2:$A$18,Games!$J$2:$J$18,"Missing game",0)</x:f>
        <x:v>37</x:v>
      </x:c>
      <x:c r="AP1128" t="n">
        <x:f>_xlfn.XLOOKUP($A1128,Games!$A$2:$A$18,Games!$K$2:$K$18,"Missing game",0)</x:f>
        <x:v>27</x:v>
      </x:c>
      <x:c r="AQ1128" t="n">
        <x:f>_xlfn.XLOOKUP($A1128,Games!$A$2:$A$18,Games!$L$2:$L$18,"Missing game",0)</x:f>
        <x:v>47</x:v>
      </x:c>
      <x:c r="AR1128" t="n">
        <x:f>_xlfn.XLOOKUP($A1128,Games!$A$2:$A$18,Games!$M$2:$M$18,"Missing game",0)</x:f>
        <x:v>0</x:v>
      </x:c>
      <x:c r="AS1128" t="str">
        <x:f>_xlfn.XLOOKUP($A1128,Games!$A$2:$A$18,Games!$N$2:$N$18,"Missing game",0)</x:f>
        <x:v>dome</x:v>
      </x:c>
      <x:c r="AT1128" t="str">
        <x:f>_xlfn.XLOOKUP($A1128,Games!$A$2:$A$18,Games!$O$2:$O$18,"Missing game",0)</x:f>
        <x:v>matrixturf</x:v>
      </x:c>
      <x:c r="AU1128" t="str">
        <x:f>_xlfn.XLOOKUP($A1128,Games!$A$2:$A$18,Games!$P$2:$P$18,"Missing game",0)</x:f>
      </x:c>
      <x:c r="AV1128" t="str">
        <x:f>_xlfn.XLOOKUP($A1128,Games!$A$2:$A$18,Games!$Q$2:$Q$18,"Missing game",0)</x:f>
      </x:c>
      <x:c r="AW1128" t="str">
        <x:f>_xlfn.XLOOKUP($A1128,Games!$A$2:$A$18,Games!$R$2:$R$18,"Missing game",0)</x:f>
        <x:v>SoFi Stadium</x:v>
      </x:c>
    </x:row>
    <x:row r="1129">
      <x:c r="A1129" t="str">
        <x:v>2025_08_MIN_LAC</x:v>
      </x:c>
      <x:c r="B1129" t="n">
        <x:v>2899</x:v>
      </x:c>
      <x:c r="C1129" t="n">
        <x:v>3</x:v>
      </x:c>
      <x:c r="D1129" t="str">
        <x:v>04:36</x:v>
      </x:c>
      <x:c r="E1129"/>
      <x:c r="F1129" t="n">
        <x:v>0</x:v>
      </x:c>
      <x:c r="G1129" t="str">
        <x:v>LAC</x:v>
      </x:c>
      <x:c r="H1129" t="str">
        <x:v>MIN</x:v>
      </x:c>
      <x:c r="I1129" t="str">
        <x:v>MIN</x:v>
      </x:c>
      <x:c r="J1129" t="n">
        <x:v>35</x:v>
      </x:c>
      <x:c r="K1129" t="str">
        <x:v>16-W.Reichard kicks 61 yards from MIN 35 to LAC 4. 12-D.Davis to LAC 27 for 23 yards (55-E.Wilson).</x:v>
      </x:c>
      <x:c r="L1129" t="str">
        <x:v>kickoff</x:v>
      </x:c>
      <x:c r="M1129" t="n">
        <x:v>0</x:v>
      </x:c>
      <x:c r="N1129" t="n">
        <x:v>0</x:v>
      </x:c>
      <x:c r="O1129" t="n">
        <x:v>0</x:v>
      </x:c>
      <x:c r="P1129"/>
      <x:c r="Q1129"/>
      <x:c r="R1129"/>
      <x:c r="S1129"/>
      <x:c r="T1129"/>
      <x:c r="U1129"/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/>
      <x:c r="AC1129" t="n">
        <x:v>0</x:v>
      </x:c>
      <x:c r="AD1129" t="n">
        <x:v>0.09521330753341317</x:v>
      </x:c>
      <x:c r="AE1129" t="n">
        <x:v>1</x:v>
      </x:c>
      <x:c r="AF1129" t="n">
        <x:v>0</x:v>
      </x:c>
      <x:c r="AG1129" t="n">
        <x:f>_xlfn.XLOOKUP($A1129,Games!$A$2:$A$18,Games!$B$2:$B$18,"Missing game",0)</x:f>
        <x:v>2025</x:v>
      </x:c>
      <x:c r="AH1129" t="str">
        <x:f>_xlfn.XLOOKUP($A1129,Games!$A$2:$A$18,Games!$C$2:$C$18,"Missing game",0)</x:f>
        <x:v>REG</x:v>
      </x:c>
      <x:c r="AI1129" t="n">
        <x:f>_xlfn.XLOOKUP($A1129,Games!$A$2:$A$18,Games!$D$2:$D$18,"Missing game",0)</x:f>
        <x:v>8</x:v>
      </x:c>
      <x:c r="AJ1129" s="1" t="n">
        <x:f>_xlfn.XLOOKUP($A1129,Games!$A$2:$A$18,Games!$E$2:$E$18,"Missing game",0)</x:f>
        <x:v>45953</x:v>
      </x:c>
      <x:c r="AK1129" t="str">
        <x:f>_xlfn.XLOOKUP($A1129,Games!$A$2:$A$18,Games!$F$2:$F$18,"Missing game",0)</x:f>
        <x:v>Thursday</x:v>
      </x:c>
      <x:c r="AL1129" t="str">
        <x:f>_xlfn.XLOOKUP($A1129,Games!$A$2:$A$18,Games!$G$2:$G$18,"Missing game",0)</x:f>
        <x:v>MIN</x:v>
      </x:c>
      <x:c r="AM1129" t="n">
        <x:f>_xlfn.XLOOKUP($A1129,Games!$A$2:$A$18,Games!$H$2:$H$18,"Missing game",0)</x:f>
        <x:v>10</x:v>
      </x:c>
      <x:c r="AN1129" t="str">
        <x:f>_xlfn.XLOOKUP($A1129,Games!$A$2:$A$18,Games!$I$2:$I$18,"Missing game",0)</x:f>
        <x:v>LAC</x:v>
      </x:c>
      <x:c r="AO1129" t="n">
        <x:f>_xlfn.XLOOKUP($A1129,Games!$A$2:$A$18,Games!$J$2:$J$18,"Missing game",0)</x:f>
        <x:v>37</x:v>
      </x:c>
      <x:c r="AP1129" t="n">
        <x:f>_xlfn.XLOOKUP($A1129,Games!$A$2:$A$18,Games!$K$2:$K$18,"Missing game",0)</x:f>
        <x:v>27</x:v>
      </x:c>
      <x:c r="AQ1129" t="n">
        <x:f>_xlfn.XLOOKUP($A1129,Games!$A$2:$A$18,Games!$L$2:$L$18,"Missing game",0)</x:f>
        <x:v>47</x:v>
      </x:c>
      <x:c r="AR1129" t="n">
        <x:f>_xlfn.XLOOKUP($A1129,Games!$A$2:$A$18,Games!$M$2:$M$18,"Missing game",0)</x:f>
        <x:v>0</x:v>
      </x:c>
      <x:c r="AS1129" t="str">
        <x:f>_xlfn.XLOOKUP($A1129,Games!$A$2:$A$18,Games!$N$2:$N$18,"Missing game",0)</x:f>
        <x:v>dome</x:v>
      </x:c>
      <x:c r="AT1129" t="str">
        <x:f>_xlfn.XLOOKUP($A1129,Games!$A$2:$A$18,Games!$O$2:$O$18,"Missing game",0)</x:f>
        <x:v>matrixturf</x:v>
      </x:c>
      <x:c r="AU1129" t="str">
        <x:f>_xlfn.XLOOKUP($A1129,Games!$A$2:$A$18,Games!$P$2:$P$18,"Missing game",0)</x:f>
      </x:c>
      <x:c r="AV1129" t="str">
        <x:f>_xlfn.XLOOKUP($A1129,Games!$A$2:$A$18,Games!$Q$2:$Q$18,"Missing game",0)</x:f>
      </x:c>
      <x:c r="AW1129" t="str">
        <x:f>_xlfn.XLOOKUP($A1129,Games!$A$2:$A$18,Games!$R$2:$R$18,"Missing game",0)</x:f>
        <x:v>SoFi Stadium</x:v>
      </x:c>
    </x:row>
    <x:row r="1130">
      <x:c r="A1130" t="str">
        <x:v>2025_08_MIN_LAC</x:v>
      </x:c>
      <x:c r="B1130" t="n">
        <x:v>2922</x:v>
      </x:c>
      <x:c r="C1130" t="n">
        <x:v>3</x:v>
      </x:c>
      <x:c r="D1130" t="str">
        <x:v>04:31</x:v>
      </x:c>
      <x:c r="E1130" t="n">
        <x:v>1</x:v>
      </x:c>
      <x:c r="F1130" t="n">
        <x:v>10</x:v>
      </x:c>
      <x:c r="G1130" t="str">
        <x:v>LAC</x:v>
      </x:c>
      <x:c r="H1130" t="str">
        <x:v>MIN</x:v>
      </x:c>
      <x:c r="I1130" t="str">
        <x:v>LAC</x:v>
      </x:c>
      <x:c r="J1130" t="n">
        <x:v>73</x:v>
      </x:c>
      <x:c r="K1130" t="str">
        <x:v>(4:31) 30-K.Vidal up the middle to LAC 29 for 2 yards (58-J.Greenard).</x:v>
      </x:c>
      <x:c r="L1130" t="str">
        <x:v>run</x:v>
      </x:c>
      <x:c r="M1130" t="n">
        <x:v>2</x:v>
      </x:c>
      <x:c r="N1130" t="n">
        <x:v>0</x:v>
      </x:c>
      <x:c r="O1130" t="n">
        <x:v>0</x:v>
      </x:c>
      <x:c r="P1130"/>
      <x:c r="Q1130"/>
      <x:c r="R1130"/>
      <x:c r="S1130"/>
      <x:c r="T1130" t="str">
        <x:v>middle</x:v>
      </x:c>
      <x:c r="U1130"/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/>
      <x:c r="AC1130" t="n">
        <x:v>0</x:v>
      </x:c>
      <x:c r="AD1130" t="n">
        <x:v>-0.436697986908257</x:v>
      </x:c>
      <x:c r="AE1130" t="n">
        <x:v>0</x:v>
      </x:c>
      <x:c r="AF1130" t="n">
        <x:v>-0.006835043430328369</x:v>
      </x:c>
      <x:c r="AG1130" t="n">
        <x:f>_xlfn.XLOOKUP($A1130,Games!$A$2:$A$18,Games!$B$2:$B$18,"Missing game",0)</x:f>
        <x:v>2025</x:v>
      </x:c>
      <x:c r="AH1130" t="str">
        <x:f>_xlfn.XLOOKUP($A1130,Games!$A$2:$A$18,Games!$C$2:$C$18,"Missing game",0)</x:f>
        <x:v>REG</x:v>
      </x:c>
      <x:c r="AI1130" t="n">
        <x:f>_xlfn.XLOOKUP($A1130,Games!$A$2:$A$18,Games!$D$2:$D$18,"Missing game",0)</x:f>
        <x:v>8</x:v>
      </x:c>
      <x:c r="AJ1130" s="1" t="n">
        <x:f>_xlfn.XLOOKUP($A1130,Games!$A$2:$A$18,Games!$E$2:$E$18,"Missing game",0)</x:f>
        <x:v>45953</x:v>
      </x:c>
      <x:c r="AK1130" t="str">
        <x:f>_xlfn.XLOOKUP($A1130,Games!$A$2:$A$18,Games!$F$2:$F$18,"Missing game",0)</x:f>
        <x:v>Thursday</x:v>
      </x:c>
      <x:c r="AL1130" t="str">
        <x:f>_xlfn.XLOOKUP($A1130,Games!$A$2:$A$18,Games!$G$2:$G$18,"Missing game",0)</x:f>
        <x:v>MIN</x:v>
      </x:c>
      <x:c r="AM1130" t="n">
        <x:f>_xlfn.XLOOKUP($A1130,Games!$A$2:$A$18,Games!$H$2:$H$18,"Missing game",0)</x:f>
        <x:v>10</x:v>
      </x:c>
      <x:c r="AN1130" t="str">
        <x:f>_xlfn.XLOOKUP($A1130,Games!$A$2:$A$18,Games!$I$2:$I$18,"Missing game",0)</x:f>
        <x:v>LAC</x:v>
      </x:c>
      <x:c r="AO1130" t="n">
        <x:f>_xlfn.XLOOKUP($A1130,Games!$A$2:$A$18,Games!$J$2:$J$18,"Missing game",0)</x:f>
        <x:v>37</x:v>
      </x:c>
      <x:c r="AP1130" t="n">
        <x:f>_xlfn.XLOOKUP($A1130,Games!$A$2:$A$18,Games!$K$2:$K$18,"Missing game",0)</x:f>
        <x:v>27</x:v>
      </x:c>
      <x:c r="AQ1130" t="n">
        <x:f>_xlfn.XLOOKUP($A1130,Games!$A$2:$A$18,Games!$L$2:$L$18,"Missing game",0)</x:f>
        <x:v>47</x:v>
      </x:c>
      <x:c r="AR1130" t="n">
        <x:f>_xlfn.XLOOKUP($A1130,Games!$A$2:$A$18,Games!$M$2:$M$18,"Missing game",0)</x:f>
        <x:v>0</x:v>
      </x:c>
      <x:c r="AS1130" t="str">
        <x:f>_xlfn.XLOOKUP($A1130,Games!$A$2:$A$18,Games!$N$2:$N$18,"Missing game",0)</x:f>
        <x:v>dome</x:v>
      </x:c>
      <x:c r="AT1130" t="str">
        <x:f>_xlfn.XLOOKUP($A1130,Games!$A$2:$A$18,Games!$O$2:$O$18,"Missing game",0)</x:f>
        <x:v>matrixturf</x:v>
      </x:c>
      <x:c r="AU1130" t="str">
        <x:f>_xlfn.XLOOKUP($A1130,Games!$A$2:$A$18,Games!$P$2:$P$18,"Missing game",0)</x:f>
      </x:c>
      <x:c r="AV1130" t="str">
        <x:f>_xlfn.XLOOKUP($A1130,Games!$A$2:$A$18,Games!$Q$2:$Q$18,"Missing game",0)</x:f>
      </x:c>
      <x:c r="AW1130" t="str">
        <x:f>_xlfn.XLOOKUP($A1130,Games!$A$2:$A$18,Games!$R$2:$R$18,"Missing game",0)</x:f>
        <x:v>SoFi Stadium</x:v>
      </x:c>
    </x:row>
    <x:row r="1131">
      <x:c r="A1131" t="str">
        <x:v>2025_08_MIN_LAC</x:v>
      </x:c>
      <x:c r="B1131" t="n">
        <x:v>2944</x:v>
      </x:c>
      <x:c r="C1131" t="n">
        <x:v>3</x:v>
      </x:c>
      <x:c r="D1131" t="str">
        <x:v>03:54</x:v>
      </x:c>
      <x:c r="E1131" t="n">
        <x:v>2</x:v>
      </x:c>
      <x:c r="F1131" t="n">
        <x:v>8</x:v>
      </x:c>
      <x:c r="G1131" t="str">
        <x:v>LAC</x:v>
      </x:c>
      <x:c r="H1131" t="str">
        <x:v>MIN</x:v>
      </x:c>
      <x:c r="I1131" t="str">
        <x:v>LAC</x:v>
      </x:c>
      <x:c r="J1131" t="n">
        <x:v>71</x:v>
      </x:c>
      <x:c r="K1131" t="str">
        <x:v>(3:54) (Shotgun) 10-J.Herbert pass incomplete short left to 30-K.Vidal.</x:v>
      </x:c>
      <x:c r="L1131" t="str">
        <x:v>pass</x:v>
      </x:c>
      <x:c r="M1131" t="n">
        <x:v>0</x:v>
      </x:c>
      <x:c r="N1131" t="n">
        <x:v>1</x:v>
      </x:c>
      <x:c r="O1131" t="n">
        <x:v>0</x:v>
      </x:c>
      <x:c r="P1131" t="str">
        <x:v>short</x:v>
      </x:c>
      <x:c r="Q1131" t="str">
        <x:v>left</x:v>
      </x:c>
      <x:c r="R1131" t="n">
        <x:v>-2</x:v>
      </x:c>
      <x:c r="S1131"/>
      <x:c r="T1131"/>
      <x:c r="U1131"/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/>
      <x:c r="AC1131" t="n">
        <x:v>0</x:v>
      </x:c>
      <x:c r="AD1131" t="n">
        <x:v>-0.813251479761675</x:v>
      </x:c>
      <x:c r="AE1131" t="n">
        <x:v>0</x:v>
      </x:c>
      <x:c r="AF1131" t="n">
        <x:v>-0.006001710891723633</x:v>
      </x:c>
      <x:c r="AG1131" t="n">
        <x:f>_xlfn.XLOOKUP($A1131,Games!$A$2:$A$18,Games!$B$2:$B$18,"Missing game",0)</x:f>
        <x:v>2025</x:v>
      </x:c>
      <x:c r="AH1131" t="str">
        <x:f>_xlfn.XLOOKUP($A1131,Games!$A$2:$A$18,Games!$C$2:$C$18,"Missing game",0)</x:f>
        <x:v>REG</x:v>
      </x:c>
      <x:c r="AI1131" t="n">
        <x:f>_xlfn.XLOOKUP($A1131,Games!$A$2:$A$18,Games!$D$2:$D$18,"Missing game",0)</x:f>
        <x:v>8</x:v>
      </x:c>
      <x:c r="AJ1131" s="1" t="n">
        <x:f>_xlfn.XLOOKUP($A1131,Games!$A$2:$A$18,Games!$E$2:$E$18,"Missing game",0)</x:f>
        <x:v>45953</x:v>
      </x:c>
      <x:c r="AK1131" t="str">
        <x:f>_xlfn.XLOOKUP($A1131,Games!$A$2:$A$18,Games!$F$2:$F$18,"Missing game",0)</x:f>
        <x:v>Thursday</x:v>
      </x:c>
      <x:c r="AL1131" t="str">
        <x:f>_xlfn.XLOOKUP($A1131,Games!$A$2:$A$18,Games!$G$2:$G$18,"Missing game",0)</x:f>
        <x:v>MIN</x:v>
      </x:c>
      <x:c r="AM1131" t="n">
        <x:f>_xlfn.XLOOKUP($A1131,Games!$A$2:$A$18,Games!$H$2:$H$18,"Missing game",0)</x:f>
        <x:v>10</x:v>
      </x:c>
      <x:c r="AN1131" t="str">
        <x:f>_xlfn.XLOOKUP($A1131,Games!$A$2:$A$18,Games!$I$2:$I$18,"Missing game",0)</x:f>
        <x:v>LAC</x:v>
      </x:c>
      <x:c r="AO1131" t="n">
        <x:f>_xlfn.XLOOKUP($A1131,Games!$A$2:$A$18,Games!$J$2:$J$18,"Missing game",0)</x:f>
        <x:v>37</x:v>
      </x:c>
      <x:c r="AP1131" t="n">
        <x:f>_xlfn.XLOOKUP($A1131,Games!$A$2:$A$18,Games!$K$2:$K$18,"Missing game",0)</x:f>
        <x:v>27</x:v>
      </x:c>
      <x:c r="AQ1131" t="n">
        <x:f>_xlfn.XLOOKUP($A1131,Games!$A$2:$A$18,Games!$L$2:$L$18,"Missing game",0)</x:f>
        <x:v>47</x:v>
      </x:c>
      <x:c r="AR1131" t="n">
        <x:f>_xlfn.XLOOKUP($A1131,Games!$A$2:$A$18,Games!$M$2:$M$18,"Missing game",0)</x:f>
        <x:v>0</x:v>
      </x:c>
      <x:c r="AS1131" t="str">
        <x:f>_xlfn.XLOOKUP($A1131,Games!$A$2:$A$18,Games!$N$2:$N$18,"Missing game",0)</x:f>
        <x:v>dome</x:v>
      </x:c>
      <x:c r="AT1131" t="str">
        <x:f>_xlfn.XLOOKUP($A1131,Games!$A$2:$A$18,Games!$O$2:$O$18,"Missing game",0)</x:f>
        <x:v>matrixturf</x:v>
      </x:c>
      <x:c r="AU1131" t="str">
        <x:f>_xlfn.XLOOKUP($A1131,Games!$A$2:$A$18,Games!$P$2:$P$18,"Missing game",0)</x:f>
      </x:c>
      <x:c r="AV1131" t="str">
        <x:f>_xlfn.XLOOKUP($A1131,Games!$A$2:$A$18,Games!$Q$2:$Q$18,"Missing game",0)</x:f>
      </x:c>
      <x:c r="AW1131" t="str">
        <x:f>_xlfn.XLOOKUP($A1131,Games!$A$2:$A$18,Games!$R$2:$R$18,"Missing game",0)</x:f>
        <x:v>SoFi Stadium</x:v>
      </x:c>
    </x:row>
    <x:row r="1132">
      <x:c r="A1132" t="str">
        <x:v>2025_08_MIN_LAC</x:v>
      </x:c>
      <x:c r="B1132" t="n">
        <x:v>2967</x:v>
      </x:c>
      <x:c r="C1132" t="n">
        <x:v>3</x:v>
      </x:c>
      <x:c r="D1132" t="str">
        <x:v>03:50</x:v>
      </x:c>
      <x:c r="E1132" t="n">
        <x:v>3</x:v>
      </x:c>
      <x:c r="F1132" t="n">
        <x:v>8</x:v>
      </x:c>
      <x:c r="G1132" t="str">
        <x:v>LAC</x:v>
      </x:c>
      <x:c r="H1132" t="str">
        <x:v>MIN</x:v>
      </x:c>
      <x:c r="I1132" t="str">
        <x:v>LAC</x:v>
      </x:c>
      <x:c r="J1132" t="n">
        <x:v>71</x:v>
      </x:c>
      <x:c r="K1132" t="str">
        <x:v>(3:50) (Shotgun) 10-J.Herbert pass short left to 13-K.Allen to LAC 38 for 9 yards (2-I.Rodgers). Penalty on MIN-7-B.Murphy, Defensive Holding, declined.</x:v>
      </x:c>
      <x:c r="L1132" t="str">
        <x:v>pass</x:v>
      </x:c>
      <x:c r="M1132" t="n">
        <x:v>9</x:v>
      </x:c>
      <x:c r="N1132" t="n">
        <x:v>1</x:v>
      </x:c>
      <x:c r="O1132" t="n">
        <x:v>0</x:v>
      </x:c>
      <x:c r="P1132" t="str">
        <x:v>short</x:v>
      </x:c>
      <x:c r="Q1132" t="str">
        <x:v>left</x:v>
      </x:c>
      <x:c r="R1132" t="n">
        <x:v>6</x:v>
      </x:c>
      <x:c r="S1132" t="n">
        <x:v>3</x:v>
      </x:c>
      <x:c r="T1132"/>
      <x:c r="U1132"/>
      <x:c r="V1132" t="n">
        <x:v>1</x:v>
      </x:c>
      <x:c r="W1132" t="n">
        <x:v>1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/>
      <x:c r="AC1132" t="n">
        <x:v>0</x:v>
      </x:c>
      <x:c r="AD1132" t="n">
        <x:v>1.8328962582163513</x:v>
      </x:c>
      <x:c r="AE1132" t="n">
        <x:v>1</x:v>
      </x:c>
      <x:c r="AF1132" t="n">
        <x:v>0.018907785415649414</x:v>
      </x:c>
      <x:c r="AG1132" t="n">
        <x:f>_xlfn.XLOOKUP($A1132,Games!$A$2:$A$18,Games!$B$2:$B$18,"Missing game",0)</x:f>
        <x:v>2025</x:v>
      </x:c>
      <x:c r="AH1132" t="str">
        <x:f>_xlfn.XLOOKUP($A1132,Games!$A$2:$A$18,Games!$C$2:$C$18,"Missing game",0)</x:f>
        <x:v>REG</x:v>
      </x:c>
      <x:c r="AI1132" t="n">
        <x:f>_xlfn.XLOOKUP($A1132,Games!$A$2:$A$18,Games!$D$2:$D$18,"Missing game",0)</x:f>
        <x:v>8</x:v>
      </x:c>
      <x:c r="AJ1132" s="1" t="n">
        <x:f>_xlfn.XLOOKUP($A1132,Games!$A$2:$A$18,Games!$E$2:$E$18,"Missing game",0)</x:f>
        <x:v>45953</x:v>
      </x:c>
      <x:c r="AK1132" t="str">
        <x:f>_xlfn.XLOOKUP($A1132,Games!$A$2:$A$18,Games!$F$2:$F$18,"Missing game",0)</x:f>
        <x:v>Thursday</x:v>
      </x:c>
      <x:c r="AL1132" t="str">
        <x:f>_xlfn.XLOOKUP($A1132,Games!$A$2:$A$18,Games!$G$2:$G$18,"Missing game",0)</x:f>
        <x:v>MIN</x:v>
      </x:c>
      <x:c r="AM1132" t="n">
        <x:f>_xlfn.XLOOKUP($A1132,Games!$A$2:$A$18,Games!$H$2:$H$18,"Missing game",0)</x:f>
        <x:v>10</x:v>
      </x:c>
      <x:c r="AN1132" t="str">
        <x:f>_xlfn.XLOOKUP($A1132,Games!$A$2:$A$18,Games!$I$2:$I$18,"Missing game",0)</x:f>
        <x:v>LAC</x:v>
      </x:c>
      <x:c r="AO1132" t="n">
        <x:f>_xlfn.XLOOKUP($A1132,Games!$A$2:$A$18,Games!$J$2:$J$18,"Missing game",0)</x:f>
        <x:v>37</x:v>
      </x:c>
      <x:c r="AP1132" t="n">
        <x:f>_xlfn.XLOOKUP($A1132,Games!$A$2:$A$18,Games!$K$2:$K$18,"Missing game",0)</x:f>
        <x:v>27</x:v>
      </x:c>
      <x:c r="AQ1132" t="n">
        <x:f>_xlfn.XLOOKUP($A1132,Games!$A$2:$A$18,Games!$L$2:$L$18,"Missing game",0)</x:f>
        <x:v>47</x:v>
      </x:c>
      <x:c r="AR1132" t="n">
        <x:f>_xlfn.XLOOKUP($A1132,Games!$A$2:$A$18,Games!$M$2:$M$18,"Missing game",0)</x:f>
        <x:v>0</x:v>
      </x:c>
      <x:c r="AS1132" t="str">
        <x:f>_xlfn.XLOOKUP($A1132,Games!$A$2:$A$18,Games!$N$2:$N$18,"Missing game",0)</x:f>
        <x:v>dome</x:v>
      </x:c>
      <x:c r="AT1132" t="str">
        <x:f>_xlfn.XLOOKUP($A1132,Games!$A$2:$A$18,Games!$O$2:$O$18,"Missing game",0)</x:f>
        <x:v>matrixturf</x:v>
      </x:c>
      <x:c r="AU1132" t="str">
        <x:f>_xlfn.XLOOKUP($A1132,Games!$A$2:$A$18,Games!$P$2:$P$18,"Missing game",0)</x:f>
      </x:c>
      <x:c r="AV1132" t="str">
        <x:f>_xlfn.XLOOKUP($A1132,Games!$A$2:$A$18,Games!$Q$2:$Q$18,"Missing game",0)</x:f>
      </x:c>
      <x:c r="AW1132" t="str">
        <x:f>_xlfn.XLOOKUP($A1132,Games!$A$2:$A$18,Games!$R$2:$R$18,"Missing game",0)</x:f>
        <x:v>SoFi Stadium</x:v>
      </x:c>
    </x:row>
    <x:row r="1133">
      <x:c r="A1133" t="str">
        <x:v>2025_08_MIN_LAC</x:v>
      </x:c>
      <x:c r="B1133" t="n">
        <x:v>3003</x:v>
      </x:c>
      <x:c r="C1133" t="n">
        <x:v>3</x:v>
      </x:c>
      <x:c r="D1133" t="str">
        <x:v>03:39</x:v>
      </x:c>
      <x:c r="E1133" t="n">
        <x:v>1</x:v>
      </x:c>
      <x:c r="F1133" t="n">
        <x:v>10</x:v>
      </x:c>
      <x:c r="G1133" t="str">
        <x:v>LAC</x:v>
      </x:c>
      <x:c r="H1133" t="str">
        <x:v>MIN</x:v>
      </x:c>
      <x:c r="I1133" t="str">
        <x:v>LAC</x:v>
      </x:c>
      <x:c r="J1133" t="n">
        <x:v>62</x:v>
      </x:c>
      <x:c r="K1133" t="str">
        <x:v>(3:39) 30-K.Vidal left guard to MIN 44 for 18 yards (22-H.Smith).</x:v>
      </x:c>
      <x:c r="L1133" t="str">
        <x:v>run</x:v>
      </x:c>
      <x:c r="M1133" t="n">
        <x:v>18</x:v>
      </x:c>
      <x:c r="N1133" t="n">
        <x:v>0</x:v>
      </x:c>
      <x:c r="O1133" t="n">
        <x:v>0</x:v>
      </x:c>
      <x:c r="P1133"/>
      <x:c r="Q1133"/>
      <x:c r="R1133"/>
      <x:c r="S1133"/>
      <x:c r="T1133" t="str">
        <x:v>left</x:v>
      </x:c>
      <x:c r="U1133" t="str">
        <x:v>guard</x:v>
      </x:c>
      <x:c r="V1133" t="n">
        <x:v>0</x:v>
      </x:c>
      <x:c r="W1133" t="n">
        <x:v>1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/>
      <x:c r="AC1133" t="n">
        <x:v>0</x:v>
      </x:c>
      <x:c r="AD1133" t="n">
        <x:v>1.0604547193506733</x:v>
      </x:c>
      <x:c r="AE1133" t="n">
        <x:v>1</x:v>
      </x:c>
      <x:c r="AF1133" t="n">
        <x:v>0.007606685161590576</x:v>
      </x:c>
      <x:c r="AG1133" t="n">
        <x:f>_xlfn.XLOOKUP($A1133,Games!$A$2:$A$18,Games!$B$2:$B$18,"Missing game",0)</x:f>
        <x:v>2025</x:v>
      </x:c>
      <x:c r="AH1133" t="str">
        <x:f>_xlfn.XLOOKUP($A1133,Games!$A$2:$A$18,Games!$C$2:$C$18,"Missing game",0)</x:f>
        <x:v>REG</x:v>
      </x:c>
      <x:c r="AI1133" t="n">
        <x:f>_xlfn.XLOOKUP($A1133,Games!$A$2:$A$18,Games!$D$2:$D$18,"Missing game",0)</x:f>
        <x:v>8</x:v>
      </x:c>
      <x:c r="AJ1133" s="1" t="n">
        <x:f>_xlfn.XLOOKUP($A1133,Games!$A$2:$A$18,Games!$E$2:$E$18,"Missing game",0)</x:f>
        <x:v>45953</x:v>
      </x:c>
      <x:c r="AK1133" t="str">
        <x:f>_xlfn.XLOOKUP($A1133,Games!$A$2:$A$18,Games!$F$2:$F$18,"Missing game",0)</x:f>
        <x:v>Thursday</x:v>
      </x:c>
      <x:c r="AL1133" t="str">
        <x:f>_xlfn.XLOOKUP($A1133,Games!$A$2:$A$18,Games!$G$2:$G$18,"Missing game",0)</x:f>
        <x:v>MIN</x:v>
      </x:c>
      <x:c r="AM1133" t="n">
        <x:f>_xlfn.XLOOKUP($A1133,Games!$A$2:$A$18,Games!$H$2:$H$18,"Missing game",0)</x:f>
        <x:v>10</x:v>
      </x:c>
      <x:c r="AN1133" t="str">
        <x:f>_xlfn.XLOOKUP($A1133,Games!$A$2:$A$18,Games!$I$2:$I$18,"Missing game",0)</x:f>
        <x:v>LAC</x:v>
      </x:c>
      <x:c r="AO1133" t="n">
        <x:f>_xlfn.XLOOKUP($A1133,Games!$A$2:$A$18,Games!$J$2:$J$18,"Missing game",0)</x:f>
        <x:v>37</x:v>
      </x:c>
      <x:c r="AP1133" t="n">
        <x:f>_xlfn.XLOOKUP($A1133,Games!$A$2:$A$18,Games!$K$2:$K$18,"Missing game",0)</x:f>
        <x:v>27</x:v>
      </x:c>
      <x:c r="AQ1133" t="n">
        <x:f>_xlfn.XLOOKUP($A1133,Games!$A$2:$A$18,Games!$L$2:$L$18,"Missing game",0)</x:f>
        <x:v>47</x:v>
      </x:c>
      <x:c r="AR1133" t="n">
        <x:f>_xlfn.XLOOKUP($A1133,Games!$A$2:$A$18,Games!$M$2:$M$18,"Missing game",0)</x:f>
        <x:v>0</x:v>
      </x:c>
      <x:c r="AS1133" t="str">
        <x:f>_xlfn.XLOOKUP($A1133,Games!$A$2:$A$18,Games!$N$2:$N$18,"Missing game",0)</x:f>
        <x:v>dome</x:v>
      </x:c>
      <x:c r="AT1133" t="str">
        <x:f>_xlfn.XLOOKUP($A1133,Games!$A$2:$A$18,Games!$O$2:$O$18,"Missing game",0)</x:f>
        <x:v>matrixturf</x:v>
      </x:c>
      <x:c r="AU1133" t="str">
        <x:f>_xlfn.XLOOKUP($A1133,Games!$A$2:$A$18,Games!$P$2:$P$18,"Missing game",0)</x:f>
      </x:c>
      <x:c r="AV1133" t="str">
        <x:f>_xlfn.XLOOKUP($A1133,Games!$A$2:$A$18,Games!$Q$2:$Q$18,"Missing game",0)</x:f>
      </x:c>
      <x:c r="AW1133" t="str">
        <x:f>_xlfn.XLOOKUP($A1133,Games!$A$2:$A$18,Games!$R$2:$R$18,"Missing game",0)</x:f>
        <x:v>SoFi Stadium</x:v>
      </x:c>
    </x:row>
    <x:row r="1134">
      <x:c r="A1134" t="str">
        <x:v>2025_08_MIN_LAC</x:v>
      </x:c>
      <x:c r="B1134" t="n">
        <x:v>3025</x:v>
      </x:c>
      <x:c r="C1134" t="n">
        <x:v>3</x:v>
      </x:c>
      <x:c r="D1134" t="str">
        <x:v>03:00</x:v>
      </x:c>
      <x:c r="E1134" t="n">
        <x:v>1</x:v>
      </x:c>
      <x:c r="F1134" t="n">
        <x:v>10</x:v>
      </x:c>
      <x:c r="G1134" t="str">
        <x:v>LAC</x:v>
      </x:c>
      <x:c r="H1134" t="str">
        <x:v>MIN</x:v>
      </x:c>
      <x:c r="I1134" t="str">
        <x:v>MIN</x:v>
      </x:c>
      <x:c r="J1134" t="n">
        <x:v>44</x:v>
      </x:c>
      <x:c r="K1134" t="str">
        <x:v>(3:00) PENALTY on LAC-76-J.Alt, False Start, 5 yards, enforced at MIN 44 - No Play.</x:v>
      </x:c>
      <x:c r="L1134" t="str">
        <x:v>no_play</x:v>
      </x:c>
      <x:c r="M1134" t="n">
        <x:v>0</x:v>
      </x:c>
      <x:c r="N1134" t="n">
        <x:v>0</x:v>
      </x:c>
      <x:c r="O1134" t="n">
        <x:v>0</x:v>
      </x:c>
      <x:c r="P1134"/>
      <x:c r="Q1134"/>
      <x:c r="R1134"/>
      <x:c r="S1134"/>
      <x:c r="T1134"/>
      <x:c r="U1134"/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1</x:v>
      </x:c>
      <x:c r="AB1134" t="n">
        <x:v>5</x:v>
      </x:c>
      <x:c r="AC1134" t="n">
        <x:v>0</x:v>
      </x:c>
      <x:c r="AD1134" t="n">
        <x:v>-0.593055599485524</x:v>
      </x:c>
      <x:c r="AE1134" t="n">
        <x:v>0</x:v>
      </x:c>
      <x:c r="AF1134" t="n">
        <x:v>-0.003544330596923828</x:v>
      </x:c>
      <x:c r="AG1134" t="n">
        <x:f>_xlfn.XLOOKUP($A1134,Games!$A$2:$A$18,Games!$B$2:$B$18,"Missing game",0)</x:f>
        <x:v>2025</x:v>
      </x:c>
      <x:c r="AH1134" t="str">
        <x:f>_xlfn.XLOOKUP($A1134,Games!$A$2:$A$18,Games!$C$2:$C$18,"Missing game",0)</x:f>
        <x:v>REG</x:v>
      </x:c>
      <x:c r="AI1134" t="n">
        <x:f>_xlfn.XLOOKUP($A1134,Games!$A$2:$A$18,Games!$D$2:$D$18,"Missing game",0)</x:f>
        <x:v>8</x:v>
      </x:c>
      <x:c r="AJ1134" s="1" t="n">
        <x:f>_xlfn.XLOOKUP($A1134,Games!$A$2:$A$18,Games!$E$2:$E$18,"Missing game",0)</x:f>
        <x:v>45953</x:v>
      </x:c>
      <x:c r="AK1134" t="str">
        <x:f>_xlfn.XLOOKUP($A1134,Games!$A$2:$A$18,Games!$F$2:$F$18,"Missing game",0)</x:f>
        <x:v>Thursday</x:v>
      </x:c>
      <x:c r="AL1134" t="str">
        <x:f>_xlfn.XLOOKUP($A1134,Games!$A$2:$A$18,Games!$G$2:$G$18,"Missing game",0)</x:f>
        <x:v>MIN</x:v>
      </x:c>
      <x:c r="AM1134" t="n">
        <x:f>_xlfn.XLOOKUP($A1134,Games!$A$2:$A$18,Games!$H$2:$H$18,"Missing game",0)</x:f>
        <x:v>10</x:v>
      </x:c>
      <x:c r="AN1134" t="str">
        <x:f>_xlfn.XLOOKUP($A1134,Games!$A$2:$A$18,Games!$I$2:$I$18,"Missing game",0)</x:f>
        <x:v>LAC</x:v>
      </x:c>
      <x:c r="AO1134" t="n">
        <x:f>_xlfn.XLOOKUP($A1134,Games!$A$2:$A$18,Games!$J$2:$J$18,"Missing game",0)</x:f>
        <x:v>37</x:v>
      </x:c>
      <x:c r="AP1134" t="n">
        <x:f>_xlfn.XLOOKUP($A1134,Games!$A$2:$A$18,Games!$K$2:$K$18,"Missing game",0)</x:f>
        <x:v>27</x:v>
      </x:c>
      <x:c r="AQ1134" t="n">
        <x:f>_xlfn.XLOOKUP($A1134,Games!$A$2:$A$18,Games!$L$2:$L$18,"Missing game",0)</x:f>
        <x:v>47</x:v>
      </x:c>
      <x:c r="AR1134" t="n">
        <x:f>_xlfn.XLOOKUP($A1134,Games!$A$2:$A$18,Games!$M$2:$M$18,"Missing game",0)</x:f>
        <x:v>0</x:v>
      </x:c>
      <x:c r="AS1134" t="str">
        <x:f>_xlfn.XLOOKUP($A1134,Games!$A$2:$A$18,Games!$N$2:$N$18,"Missing game",0)</x:f>
        <x:v>dome</x:v>
      </x:c>
      <x:c r="AT1134" t="str">
        <x:f>_xlfn.XLOOKUP($A1134,Games!$A$2:$A$18,Games!$O$2:$O$18,"Missing game",0)</x:f>
        <x:v>matrixturf</x:v>
      </x:c>
      <x:c r="AU1134" t="str">
        <x:f>_xlfn.XLOOKUP($A1134,Games!$A$2:$A$18,Games!$P$2:$P$18,"Missing game",0)</x:f>
      </x:c>
      <x:c r="AV1134" t="str">
        <x:f>_xlfn.XLOOKUP($A1134,Games!$A$2:$A$18,Games!$Q$2:$Q$18,"Missing game",0)</x:f>
      </x:c>
      <x:c r="AW1134" t="str">
        <x:f>_xlfn.XLOOKUP($A1134,Games!$A$2:$A$18,Games!$R$2:$R$18,"Missing game",0)</x:f>
        <x:v>SoFi Stadium</x:v>
      </x:c>
    </x:row>
    <x:row r="1135">
      <x:c r="A1135" t="str">
        <x:v>2025_08_MIN_LAC</x:v>
      </x:c>
      <x:c r="B1135" t="n">
        <x:v>3049</x:v>
      </x:c>
      <x:c r="C1135" t="n">
        <x:v>3</x:v>
      </x:c>
      <x:c r="D1135" t="str">
        <x:v>02:45</x:v>
      </x:c>
      <x:c r="E1135" t="n">
        <x:v>1</x:v>
      </x:c>
      <x:c r="F1135" t="n">
        <x:v>15</x:v>
      </x:c>
      <x:c r="G1135" t="str">
        <x:v>LAC</x:v>
      </x:c>
      <x:c r="H1135" t="str">
        <x:v>MIN</x:v>
      </x:c>
      <x:c r="I1135" t="str">
        <x:v>MIN</x:v>
      </x:c>
      <x:c r="J1135" t="n">
        <x:v>49</x:v>
      </x:c>
      <x:c r="K1135" t="str">
        <x:v>(2:45) (Shotgun) 30-K.Vidal right tackle to MIN 28 for 21 yards (2-I.Rodgers).</x:v>
      </x:c>
      <x:c r="L1135" t="str">
        <x:v>run</x:v>
      </x:c>
      <x:c r="M1135" t="n">
        <x:v>21</x:v>
      </x:c>
      <x:c r="N1135" t="n">
        <x:v>1</x:v>
      </x:c>
      <x:c r="O1135" t="n">
        <x:v>0</x:v>
      </x:c>
      <x:c r="P1135"/>
      <x:c r="Q1135"/>
      <x:c r="R1135"/>
      <x:c r="S1135"/>
      <x:c r="T1135" t="str">
        <x:v>right</x:v>
      </x:c>
      <x:c r="U1135" t="str">
        <x:v>tackle</x:v>
      </x:c>
      <x:c r="V1135" t="n">
        <x:v>0</x:v>
      </x:c>
      <x:c r="W1135" t="n">
        <x:v>1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/>
      <x:c r="AC1135" t="n">
        <x:v>0</x:v>
      </x:c>
      <x:c r="AD1135" t="n">
        <x:v>1.6867135957581922</x:v>
      </x:c>
      <x:c r="AE1135" t="n">
        <x:v>1</x:v>
      </x:c>
      <x:c r="AF1135" t="n">
        <x:v>0.00621640682220459</x:v>
      </x:c>
      <x:c r="AG1135" t="n">
        <x:f>_xlfn.XLOOKUP($A1135,Games!$A$2:$A$18,Games!$B$2:$B$18,"Missing game",0)</x:f>
        <x:v>2025</x:v>
      </x:c>
      <x:c r="AH1135" t="str">
        <x:f>_xlfn.XLOOKUP($A1135,Games!$A$2:$A$18,Games!$C$2:$C$18,"Missing game",0)</x:f>
        <x:v>REG</x:v>
      </x:c>
      <x:c r="AI1135" t="n">
        <x:f>_xlfn.XLOOKUP($A1135,Games!$A$2:$A$18,Games!$D$2:$D$18,"Missing game",0)</x:f>
        <x:v>8</x:v>
      </x:c>
      <x:c r="AJ1135" s="1" t="n">
        <x:f>_xlfn.XLOOKUP($A1135,Games!$A$2:$A$18,Games!$E$2:$E$18,"Missing game",0)</x:f>
        <x:v>45953</x:v>
      </x:c>
      <x:c r="AK1135" t="str">
        <x:f>_xlfn.XLOOKUP($A1135,Games!$A$2:$A$18,Games!$F$2:$F$18,"Missing game",0)</x:f>
        <x:v>Thursday</x:v>
      </x:c>
      <x:c r="AL1135" t="str">
        <x:f>_xlfn.XLOOKUP($A1135,Games!$A$2:$A$18,Games!$G$2:$G$18,"Missing game",0)</x:f>
        <x:v>MIN</x:v>
      </x:c>
      <x:c r="AM1135" t="n">
        <x:f>_xlfn.XLOOKUP($A1135,Games!$A$2:$A$18,Games!$H$2:$H$18,"Missing game",0)</x:f>
        <x:v>10</x:v>
      </x:c>
      <x:c r="AN1135" t="str">
        <x:f>_xlfn.XLOOKUP($A1135,Games!$A$2:$A$18,Games!$I$2:$I$18,"Missing game",0)</x:f>
        <x:v>LAC</x:v>
      </x:c>
      <x:c r="AO1135" t="n">
        <x:f>_xlfn.XLOOKUP($A1135,Games!$A$2:$A$18,Games!$J$2:$J$18,"Missing game",0)</x:f>
        <x:v>37</x:v>
      </x:c>
      <x:c r="AP1135" t="n">
        <x:f>_xlfn.XLOOKUP($A1135,Games!$A$2:$A$18,Games!$K$2:$K$18,"Missing game",0)</x:f>
        <x:v>27</x:v>
      </x:c>
      <x:c r="AQ1135" t="n">
        <x:f>_xlfn.XLOOKUP($A1135,Games!$A$2:$A$18,Games!$L$2:$L$18,"Missing game",0)</x:f>
        <x:v>47</x:v>
      </x:c>
      <x:c r="AR1135" t="n">
        <x:f>_xlfn.XLOOKUP($A1135,Games!$A$2:$A$18,Games!$M$2:$M$18,"Missing game",0)</x:f>
        <x:v>0</x:v>
      </x:c>
      <x:c r="AS1135" t="str">
        <x:f>_xlfn.XLOOKUP($A1135,Games!$A$2:$A$18,Games!$N$2:$N$18,"Missing game",0)</x:f>
        <x:v>dome</x:v>
      </x:c>
      <x:c r="AT1135" t="str">
        <x:f>_xlfn.XLOOKUP($A1135,Games!$A$2:$A$18,Games!$O$2:$O$18,"Missing game",0)</x:f>
        <x:v>matrixturf</x:v>
      </x:c>
      <x:c r="AU1135" t="str">
        <x:f>_xlfn.XLOOKUP($A1135,Games!$A$2:$A$18,Games!$P$2:$P$18,"Missing game",0)</x:f>
      </x:c>
      <x:c r="AV1135" t="str">
        <x:f>_xlfn.XLOOKUP($A1135,Games!$A$2:$A$18,Games!$Q$2:$Q$18,"Missing game",0)</x:f>
      </x:c>
      <x:c r="AW1135" t="str">
        <x:f>_xlfn.XLOOKUP($A1135,Games!$A$2:$A$18,Games!$R$2:$R$18,"Missing game",0)</x:f>
        <x:v>SoFi Stadium</x:v>
      </x:c>
    </x:row>
    <x:row r="1136">
      <x:c r="A1136" t="str">
        <x:v>2025_08_MIN_LAC</x:v>
      </x:c>
      <x:c r="B1136" t="n">
        <x:v>3071</x:v>
      </x:c>
      <x:c r="C1136" t="n">
        <x:v>3</x:v>
      </x:c>
      <x:c r="D1136" t="str">
        <x:v>02:03</x:v>
      </x:c>
      <x:c r="E1136" t="n">
        <x:v>1</x:v>
      </x:c>
      <x:c r="F1136" t="n">
        <x:v>10</x:v>
      </x:c>
      <x:c r="G1136" t="str">
        <x:v>LAC</x:v>
      </x:c>
      <x:c r="H1136" t="str">
        <x:v>MIN</x:v>
      </x:c>
      <x:c r="I1136" t="str">
        <x:v>MIN</x:v>
      </x:c>
      <x:c r="J1136" t="n">
        <x:v>28</x:v>
      </x:c>
      <x:c r="K1136" t="str">
        <x:v>(2:03) 32-J.Patterson right guard to MIN 23 for 5 yards (44-J.Metellus).</x:v>
      </x:c>
      <x:c r="L1136" t="str">
        <x:v>run</x:v>
      </x:c>
      <x:c r="M1136" t="n">
        <x:v>5</x:v>
      </x:c>
      <x:c r="N1136" t="n">
        <x:v>0</x:v>
      </x:c>
      <x:c r="O1136" t="n">
        <x:v>0</x:v>
      </x:c>
      <x:c r="P1136"/>
      <x:c r="Q1136"/>
      <x:c r="R1136"/>
      <x:c r="S1136"/>
      <x:c r="T1136" t="str">
        <x:v>right</x:v>
      </x:c>
      <x:c r="U1136" t="str">
        <x:v>guard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/>
      <x:c r="AC1136" t="n">
        <x:v>0</x:v>
      </x:c>
      <x:c r="AD1136" t="n">
        <x:v>0.1747563456883654</x:v>
      </x:c>
      <x:c r="AE1136" t="n">
        <x:v>1</x:v>
      </x:c>
      <x:c r="AF1136" t="n">
        <x:v>-0.0036359429359436035</x:v>
      </x:c>
      <x:c r="AG1136" t="n">
        <x:f>_xlfn.XLOOKUP($A1136,Games!$A$2:$A$18,Games!$B$2:$B$18,"Missing game",0)</x:f>
        <x:v>2025</x:v>
      </x:c>
      <x:c r="AH1136" t="str">
        <x:f>_xlfn.XLOOKUP($A1136,Games!$A$2:$A$18,Games!$C$2:$C$18,"Missing game",0)</x:f>
        <x:v>REG</x:v>
      </x:c>
      <x:c r="AI1136" t="n">
        <x:f>_xlfn.XLOOKUP($A1136,Games!$A$2:$A$18,Games!$D$2:$D$18,"Missing game",0)</x:f>
        <x:v>8</x:v>
      </x:c>
      <x:c r="AJ1136" s="1" t="n">
        <x:f>_xlfn.XLOOKUP($A1136,Games!$A$2:$A$18,Games!$E$2:$E$18,"Missing game",0)</x:f>
        <x:v>45953</x:v>
      </x:c>
      <x:c r="AK1136" t="str">
        <x:f>_xlfn.XLOOKUP($A1136,Games!$A$2:$A$18,Games!$F$2:$F$18,"Missing game",0)</x:f>
        <x:v>Thursday</x:v>
      </x:c>
      <x:c r="AL1136" t="str">
        <x:f>_xlfn.XLOOKUP($A1136,Games!$A$2:$A$18,Games!$G$2:$G$18,"Missing game",0)</x:f>
        <x:v>MIN</x:v>
      </x:c>
      <x:c r="AM1136" t="n">
        <x:f>_xlfn.XLOOKUP($A1136,Games!$A$2:$A$18,Games!$H$2:$H$18,"Missing game",0)</x:f>
        <x:v>10</x:v>
      </x:c>
      <x:c r="AN1136" t="str">
        <x:f>_xlfn.XLOOKUP($A1136,Games!$A$2:$A$18,Games!$I$2:$I$18,"Missing game",0)</x:f>
        <x:v>LAC</x:v>
      </x:c>
      <x:c r="AO1136" t="n">
        <x:f>_xlfn.XLOOKUP($A1136,Games!$A$2:$A$18,Games!$J$2:$J$18,"Missing game",0)</x:f>
        <x:v>37</x:v>
      </x:c>
      <x:c r="AP1136" t="n">
        <x:f>_xlfn.XLOOKUP($A1136,Games!$A$2:$A$18,Games!$K$2:$K$18,"Missing game",0)</x:f>
        <x:v>27</x:v>
      </x:c>
      <x:c r="AQ1136" t="n">
        <x:f>_xlfn.XLOOKUP($A1136,Games!$A$2:$A$18,Games!$L$2:$L$18,"Missing game",0)</x:f>
        <x:v>47</x:v>
      </x:c>
      <x:c r="AR1136" t="n">
        <x:f>_xlfn.XLOOKUP($A1136,Games!$A$2:$A$18,Games!$M$2:$M$18,"Missing game",0)</x:f>
        <x:v>0</x:v>
      </x:c>
      <x:c r="AS1136" t="str">
        <x:f>_xlfn.XLOOKUP($A1136,Games!$A$2:$A$18,Games!$N$2:$N$18,"Missing game",0)</x:f>
        <x:v>dome</x:v>
      </x:c>
      <x:c r="AT1136" t="str">
        <x:f>_xlfn.XLOOKUP($A1136,Games!$A$2:$A$18,Games!$O$2:$O$18,"Missing game",0)</x:f>
        <x:v>matrixturf</x:v>
      </x:c>
      <x:c r="AU1136" t="str">
        <x:f>_xlfn.XLOOKUP($A1136,Games!$A$2:$A$18,Games!$P$2:$P$18,"Missing game",0)</x:f>
      </x:c>
      <x:c r="AV1136" t="str">
        <x:f>_xlfn.XLOOKUP($A1136,Games!$A$2:$A$18,Games!$Q$2:$Q$18,"Missing game",0)</x:f>
      </x:c>
      <x:c r="AW1136" t="str">
        <x:f>_xlfn.XLOOKUP($A1136,Games!$A$2:$A$18,Games!$R$2:$R$18,"Missing game",0)</x:f>
        <x:v>SoFi Stadium</x:v>
      </x:c>
    </x:row>
    <x:row r="1137">
      <x:c r="A1137" t="str">
        <x:v>2025_08_MIN_LAC</x:v>
      </x:c>
      <x:c r="B1137" t="n">
        <x:v>3093</x:v>
      </x:c>
      <x:c r="C1137" t="n">
        <x:v>3</x:v>
      </x:c>
      <x:c r="D1137" t="str">
        <x:v>01:23</x:v>
      </x:c>
      <x:c r="E1137" t="n">
        <x:v>2</x:v>
      </x:c>
      <x:c r="F1137" t="n">
        <x:v>5</x:v>
      </x:c>
      <x:c r="G1137" t="str">
        <x:v>LAC</x:v>
      </x:c>
      <x:c r="H1137" t="str">
        <x:v>MIN</x:v>
      </x:c>
      <x:c r="I1137" t="str">
        <x:v>MIN</x:v>
      </x:c>
      <x:c r="J1137" t="n">
        <x:v>23</x:v>
      </x:c>
      <x:c r="K1137" t="str">
        <x:v>(1:23) 32-J.Patterson left guard to MIN 22 for 1 yard (93-J.Allen; 58-J.Greenard).</x:v>
      </x:c>
      <x:c r="L1137" t="str">
        <x:v>run</x:v>
      </x:c>
      <x:c r="M1137" t="n">
        <x:v>1</x:v>
      </x:c>
      <x:c r="N1137" t="n">
        <x:v>0</x:v>
      </x:c>
      <x:c r="O1137" t="n">
        <x:v>0</x:v>
      </x:c>
      <x:c r="P1137"/>
      <x:c r="Q1137"/>
      <x:c r="R1137"/>
      <x:c r="S1137"/>
      <x:c r="T1137" t="str">
        <x:v>left</x:v>
      </x:c>
      <x:c r="U1137" t="str">
        <x:v>guard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/>
      <x:c r="AC1137" t="n">
        <x:v>0</x:v>
      </x:c>
      <x:c r="AD1137" t="n">
        <x:v>-0.568135965266265</x:v>
      </x:c>
      <x:c r="AE1137" t="n">
        <x:v>0</x:v>
      </x:c>
      <x:c r="AF1137" t="n">
        <x:v>-0.0017695426940917969</x:v>
      </x:c>
      <x:c r="AG1137" t="n">
        <x:f>_xlfn.XLOOKUP($A1137,Games!$A$2:$A$18,Games!$B$2:$B$18,"Missing game",0)</x:f>
        <x:v>2025</x:v>
      </x:c>
      <x:c r="AH1137" t="str">
        <x:f>_xlfn.XLOOKUP($A1137,Games!$A$2:$A$18,Games!$C$2:$C$18,"Missing game",0)</x:f>
        <x:v>REG</x:v>
      </x:c>
      <x:c r="AI1137" t="n">
        <x:f>_xlfn.XLOOKUP($A1137,Games!$A$2:$A$18,Games!$D$2:$D$18,"Missing game",0)</x:f>
        <x:v>8</x:v>
      </x:c>
      <x:c r="AJ1137" s="1" t="n">
        <x:f>_xlfn.XLOOKUP($A1137,Games!$A$2:$A$18,Games!$E$2:$E$18,"Missing game",0)</x:f>
        <x:v>45953</x:v>
      </x:c>
      <x:c r="AK1137" t="str">
        <x:f>_xlfn.XLOOKUP($A1137,Games!$A$2:$A$18,Games!$F$2:$F$18,"Missing game",0)</x:f>
        <x:v>Thursday</x:v>
      </x:c>
      <x:c r="AL1137" t="str">
        <x:f>_xlfn.XLOOKUP($A1137,Games!$A$2:$A$18,Games!$G$2:$G$18,"Missing game",0)</x:f>
        <x:v>MIN</x:v>
      </x:c>
      <x:c r="AM1137" t="n">
        <x:f>_xlfn.XLOOKUP($A1137,Games!$A$2:$A$18,Games!$H$2:$H$18,"Missing game",0)</x:f>
        <x:v>10</x:v>
      </x:c>
      <x:c r="AN1137" t="str">
        <x:f>_xlfn.XLOOKUP($A1137,Games!$A$2:$A$18,Games!$I$2:$I$18,"Missing game",0)</x:f>
        <x:v>LAC</x:v>
      </x:c>
      <x:c r="AO1137" t="n">
        <x:f>_xlfn.XLOOKUP($A1137,Games!$A$2:$A$18,Games!$J$2:$J$18,"Missing game",0)</x:f>
        <x:v>37</x:v>
      </x:c>
      <x:c r="AP1137" t="n">
        <x:f>_xlfn.XLOOKUP($A1137,Games!$A$2:$A$18,Games!$K$2:$K$18,"Missing game",0)</x:f>
        <x:v>27</x:v>
      </x:c>
      <x:c r="AQ1137" t="n">
        <x:f>_xlfn.XLOOKUP($A1137,Games!$A$2:$A$18,Games!$L$2:$L$18,"Missing game",0)</x:f>
        <x:v>47</x:v>
      </x:c>
      <x:c r="AR1137" t="n">
        <x:f>_xlfn.XLOOKUP($A1137,Games!$A$2:$A$18,Games!$M$2:$M$18,"Missing game",0)</x:f>
        <x:v>0</x:v>
      </x:c>
      <x:c r="AS1137" t="str">
        <x:f>_xlfn.XLOOKUP($A1137,Games!$A$2:$A$18,Games!$N$2:$N$18,"Missing game",0)</x:f>
        <x:v>dome</x:v>
      </x:c>
      <x:c r="AT1137" t="str">
        <x:f>_xlfn.XLOOKUP($A1137,Games!$A$2:$A$18,Games!$O$2:$O$18,"Missing game",0)</x:f>
        <x:v>matrixturf</x:v>
      </x:c>
      <x:c r="AU1137" t="str">
        <x:f>_xlfn.XLOOKUP($A1137,Games!$A$2:$A$18,Games!$P$2:$P$18,"Missing game",0)</x:f>
      </x:c>
      <x:c r="AV1137" t="str">
        <x:f>_xlfn.XLOOKUP($A1137,Games!$A$2:$A$18,Games!$Q$2:$Q$18,"Missing game",0)</x:f>
      </x:c>
      <x:c r="AW1137" t="str">
        <x:f>_xlfn.XLOOKUP($A1137,Games!$A$2:$A$18,Games!$R$2:$R$18,"Missing game",0)</x:f>
        <x:v>SoFi Stadium</x:v>
      </x:c>
    </x:row>
    <x:row r="1138">
      <x:c r="A1138" t="str">
        <x:v>2025_08_MIN_LAC</x:v>
      </x:c>
      <x:c r="B1138" t="n">
        <x:v>3115</x:v>
      </x:c>
      <x:c r="C1138" t="n">
        <x:v>3</x:v>
      </x:c>
      <x:c r="D1138" t="str">
        <x:v>00:39</x:v>
      </x:c>
      <x:c r="E1138" t="n">
        <x:v>3</x:v>
      </x:c>
      <x:c r="F1138" t="n">
        <x:v>4</x:v>
      </x:c>
      <x:c r="G1138" t="str">
        <x:v>LAC</x:v>
      </x:c>
      <x:c r="H1138" t="str">
        <x:v>MIN</x:v>
      </x:c>
      <x:c r="I1138" t="str">
        <x:v>MIN</x:v>
      </x:c>
      <x:c r="J1138" t="n">
        <x:v>22</x:v>
      </x:c>
      <x:c r="K1138" t="str">
        <x:v>(:39) (Shotgun) 10-J.Herbert scrambles left tackle ran ob at MIN 14 for 8 yards (44-J.Metellus).</x:v>
      </x:c>
      <x:c r="L1138" t="str">
        <x:v>run</x:v>
      </x:c>
      <x:c r="M1138" t="n">
        <x:v>8</x:v>
      </x:c>
      <x:c r="N1138" t="n">
        <x:v>1</x:v>
      </x:c>
      <x:c r="O1138" t="n">
        <x:v>0</x:v>
      </x:c>
      <x:c r="P1138"/>
      <x:c r="Q1138"/>
      <x:c r="R1138"/>
      <x:c r="S1138"/>
      <x:c r="T1138" t="str">
        <x:v>left</x:v>
      </x:c>
      <x:c r="U1138" t="str">
        <x:v>tackle</x:v>
      </x:c>
      <x:c r="V1138" t="n">
        <x:v>0</x:v>
      </x:c>
      <x:c r="W1138" t="n">
        <x:v>1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/>
      <x:c r="AC1138" t="n">
        <x:v>0</x:v>
      </x:c>
      <x:c r="AD1138" t="n">
        <x:v>1.2587529931915924</x:v>
      </x:c>
      <x:c r="AE1138" t="n">
        <x:v>1</x:v>
      </x:c>
      <x:c r="AF1138" t="n">
        <x:v>0.012683331966400146</x:v>
      </x:c>
      <x:c r="AG1138" t="n">
        <x:f>_xlfn.XLOOKUP($A1138,Games!$A$2:$A$18,Games!$B$2:$B$18,"Missing game",0)</x:f>
        <x:v>2025</x:v>
      </x:c>
      <x:c r="AH1138" t="str">
        <x:f>_xlfn.XLOOKUP($A1138,Games!$A$2:$A$18,Games!$C$2:$C$18,"Missing game",0)</x:f>
        <x:v>REG</x:v>
      </x:c>
      <x:c r="AI1138" t="n">
        <x:f>_xlfn.XLOOKUP($A1138,Games!$A$2:$A$18,Games!$D$2:$D$18,"Missing game",0)</x:f>
        <x:v>8</x:v>
      </x:c>
      <x:c r="AJ1138" s="1" t="n">
        <x:f>_xlfn.XLOOKUP($A1138,Games!$A$2:$A$18,Games!$E$2:$E$18,"Missing game",0)</x:f>
        <x:v>45953</x:v>
      </x:c>
      <x:c r="AK1138" t="str">
        <x:f>_xlfn.XLOOKUP($A1138,Games!$A$2:$A$18,Games!$F$2:$F$18,"Missing game",0)</x:f>
        <x:v>Thursday</x:v>
      </x:c>
      <x:c r="AL1138" t="str">
        <x:f>_xlfn.XLOOKUP($A1138,Games!$A$2:$A$18,Games!$G$2:$G$18,"Missing game",0)</x:f>
        <x:v>MIN</x:v>
      </x:c>
      <x:c r="AM1138" t="n">
        <x:f>_xlfn.XLOOKUP($A1138,Games!$A$2:$A$18,Games!$H$2:$H$18,"Missing game",0)</x:f>
        <x:v>10</x:v>
      </x:c>
      <x:c r="AN1138" t="str">
        <x:f>_xlfn.XLOOKUP($A1138,Games!$A$2:$A$18,Games!$I$2:$I$18,"Missing game",0)</x:f>
        <x:v>LAC</x:v>
      </x:c>
      <x:c r="AO1138" t="n">
        <x:f>_xlfn.XLOOKUP($A1138,Games!$A$2:$A$18,Games!$J$2:$J$18,"Missing game",0)</x:f>
        <x:v>37</x:v>
      </x:c>
      <x:c r="AP1138" t="n">
        <x:f>_xlfn.XLOOKUP($A1138,Games!$A$2:$A$18,Games!$K$2:$K$18,"Missing game",0)</x:f>
        <x:v>27</x:v>
      </x:c>
      <x:c r="AQ1138" t="n">
        <x:f>_xlfn.XLOOKUP($A1138,Games!$A$2:$A$18,Games!$L$2:$L$18,"Missing game",0)</x:f>
        <x:v>47</x:v>
      </x:c>
      <x:c r="AR1138" t="n">
        <x:f>_xlfn.XLOOKUP($A1138,Games!$A$2:$A$18,Games!$M$2:$M$18,"Missing game",0)</x:f>
        <x:v>0</x:v>
      </x:c>
      <x:c r="AS1138" t="str">
        <x:f>_xlfn.XLOOKUP($A1138,Games!$A$2:$A$18,Games!$N$2:$N$18,"Missing game",0)</x:f>
        <x:v>dome</x:v>
      </x:c>
      <x:c r="AT1138" t="str">
        <x:f>_xlfn.XLOOKUP($A1138,Games!$A$2:$A$18,Games!$O$2:$O$18,"Missing game",0)</x:f>
        <x:v>matrixturf</x:v>
      </x:c>
      <x:c r="AU1138" t="str">
        <x:f>_xlfn.XLOOKUP($A1138,Games!$A$2:$A$18,Games!$P$2:$P$18,"Missing game",0)</x:f>
      </x:c>
      <x:c r="AV1138" t="str">
        <x:f>_xlfn.XLOOKUP($A1138,Games!$A$2:$A$18,Games!$Q$2:$Q$18,"Missing game",0)</x:f>
      </x:c>
      <x:c r="AW1138" t="str">
        <x:f>_xlfn.XLOOKUP($A1138,Games!$A$2:$A$18,Games!$R$2:$R$18,"Missing game",0)</x:f>
        <x:v>SoFi Stadium</x:v>
      </x:c>
    </x:row>
    <x:row r="1139">
      <x:c r="A1139" t="str">
        <x:v>2025_08_MIN_LAC</x:v>
      </x:c>
      <x:c r="B1139" t="n">
        <x:v>3142</x:v>
      </x:c>
      <x:c r="C1139" t="n">
        <x:v>3</x:v>
      </x:c>
      <x:c r="D1139" t="str">
        <x:v>00:00</x:v>
      </x:c>
      <x:c r="E1139"/>
      <x:c r="F1139" t="n">
        <x:v>0</x:v>
      </x:c>
      <x:c r="G1139" t="str">
        <x:v>LAC</x:v>
      </x:c>
      <x:c r="H1139" t="str">
        <x:v>MIN</x:v>
      </x:c>
      <x:c r="I1139"/>
      <x:c r="J1139"/>
      <x:c r="K1139" t="str">
        <x:v>END QUARTER 3</x:v>
      </x:c>
      <x:c r="L1139"/>
      <x:c r="M1139"/>
      <x:c r="N1139" t="n">
        <x:v>0</x:v>
      </x:c>
      <x:c r="O1139" t="n">
        <x:v>0</x:v>
      </x:c>
      <x:c r="P1139"/>
      <x:c r="Q1139"/>
      <x:c r="R1139"/>
      <x:c r="S1139"/>
      <x:c r="T1139"/>
      <x:c r="U1139"/>
      <x:c r="V1139"/>
      <x:c r="W1139"/>
      <x:c r="X1139"/>
      <x:c r="Y1139"/>
      <x:c r="Z1139"/>
      <x:c r="AA1139"/>
      <x:c r="AB1139"/>
      <x:c r="AC1139"/>
      <x:c r="AD1139" t="n">
        <x:v>0</x:v>
      </x:c>
      <x:c r="AE1139" t="n">
        <x:v>0</x:v>
      </x:c>
      <x:c r="AF1139" t="n">
        <x:v>0</x:v>
      </x:c>
      <x:c r="AG1139" t="n">
        <x:f>_xlfn.XLOOKUP($A1139,Games!$A$2:$A$18,Games!$B$2:$B$18,"Missing game",0)</x:f>
        <x:v>2025</x:v>
      </x:c>
      <x:c r="AH1139" t="str">
        <x:f>_xlfn.XLOOKUP($A1139,Games!$A$2:$A$18,Games!$C$2:$C$18,"Missing game",0)</x:f>
        <x:v>REG</x:v>
      </x:c>
      <x:c r="AI1139" t="n">
        <x:f>_xlfn.XLOOKUP($A1139,Games!$A$2:$A$18,Games!$D$2:$D$18,"Missing game",0)</x:f>
        <x:v>8</x:v>
      </x:c>
      <x:c r="AJ1139" s="1" t="n">
        <x:f>_xlfn.XLOOKUP($A1139,Games!$A$2:$A$18,Games!$E$2:$E$18,"Missing game",0)</x:f>
        <x:v>45953</x:v>
      </x:c>
      <x:c r="AK1139" t="str">
        <x:f>_xlfn.XLOOKUP($A1139,Games!$A$2:$A$18,Games!$F$2:$F$18,"Missing game",0)</x:f>
        <x:v>Thursday</x:v>
      </x:c>
      <x:c r="AL1139" t="str">
        <x:f>_xlfn.XLOOKUP($A1139,Games!$A$2:$A$18,Games!$G$2:$G$18,"Missing game",0)</x:f>
        <x:v>MIN</x:v>
      </x:c>
      <x:c r="AM1139" t="n">
        <x:f>_xlfn.XLOOKUP($A1139,Games!$A$2:$A$18,Games!$H$2:$H$18,"Missing game",0)</x:f>
        <x:v>10</x:v>
      </x:c>
      <x:c r="AN1139" t="str">
        <x:f>_xlfn.XLOOKUP($A1139,Games!$A$2:$A$18,Games!$I$2:$I$18,"Missing game",0)</x:f>
        <x:v>LAC</x:v>
      </x:c>
      <x:c r="AO1139" t="n">
        <x:f>_xlfn.XLOOKUP($A1139,Games!$A$2:$A$18,Games!$J$2:$J$18,"Missing game",0)</x:f>
        <x:v>37</x:v>
      </x:c>
      <x:c r="AP1139" t="n">
        <x:f>_xlfn.XLOOKUP($A1139,Games!$A$2:$A$18,Games!$K$2:$K$18,"Missing game",0)</x:f>
        <x:v>27</x:v>
      </x:c>
      <x:c r="AQ1139" t="n">
        <x:f>_xlfn.XLOOKUP($A1139,Games!$A$2:$A$18,Games!$L$2:$L$18,"Missing game",0)</x:f>
        <x:v>47</x:v>
      </x:c>
      <x:c r="AR1139" t="n">
        <x:f>_xlfn.XLOOKUP($A1139,Games!$A$2:$A$18,Games!$M$2:$M$18,"Missing game",0)</x:f>
        <x:v>0</x:v>
      </x:c>
      <x:c r="AS1139" t="str">
        <x:f>_xlfn.XLOOKUP($A1139,Games!$A$2:$A$18,Games!$N$2:$N$18,"Missing game",0)</x:f>
        <x:v>dome</x:v>
      </x:c>
      <x:c r="AT1139" t="str">
        <x:f>_xlfn.XLOOKUP($A1139,Games!$A$2:$A$18,Games!$O$2:$O$18,"Missing game",0)</x:f>
        <x:v>matrixturf</x:v>
      </x:c>
      <x:c r="AU1139" t="str">
        <x:f>_xlfn.XLOOKUP($A1139,Games!$A$2:$A$18,Games!$P$2:$P$18,"Missing game",0)</x:f>
      </x:c>
      <x:c r="AV1139" t="str">
        <x:f>_xlfn.XLOOKUP($A1139,Games!$A$2:$A$18,Games!$Q$2:$Q$18,"Missing game",0)</x:f>
      </x:c>
      <x:c r="AW1139" t="str">
        <x:f>_xlfn.XLOOKUP($A1139,Games!$A$2:$A$18,Games!$R$2:$R$18,"Missing game",0)</x:f>
        <x:v>SoFi Stadium</x:v>
      </x:c>
    </x:row>
    <x:row r="1140">
      <x:c r="A1140" t="str">
        <x:v>2025_08_MIN_LAC</x:v>
      </x:c>
      <x:c r="B1140" t="n">
        <x:v>3162</x:v>
      </x:c>
      <x:c r="C1140" t="n">
        <x:v>4</x:v>
      </x:c>
      <x:c r="D1140" t="str">
        <x:v>15:00</x:v>
      </x:c>
      <x:c r="E1140" t="n">
        <x:v>1</x:v>
      </x:c>
      <x:c r="F1140" t="n">
        <x:v>10</x:v>
      </x:c>
      <x:c r="G1140" t="str">
        <x:v>LAC</x:v>
      </x:c>
      <x:c r="H1140" t="str">
        <x:v>MIN</x:v>
      </x:c>
      <x:c r="I1140" t="str">
        <x:v>MIN</x:v>
      </x:c>
      <x:c r="J1140" t="n">
        <x:v>14</x:v>
      </x:c>
      <x:c r="K1140" t="str">
        <x:v>(15:00) (Shotgun) 10-J.Herbert scrambles up the middle to MIN 11 for 3 yards (51-B.Cashman).</x:v>
      </x:c>
      <x:c r="L1140" t="str">
        <x:v>run</x:v>
      </x:c>
      <x:c r="M1140" t="n">
        <x:v>3</x:v>
      </x:c>
      <x:c r="N1140" t="n">
        <x:v>1</x:v>
      </x:c>
      <x:c r="O1140" t="n">
        <x:v>0</x:v>
      </x:c>
      <x:c r="P1140"/>
      <x:c r="Q1140"/>
      <x:c r="R1140"/>
      <x:c r="S1140"/>
      <x:c r="T1140" t="str">
        <x:v>middle</x:v>
      </x:c>
      <x:c r="U1140"/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/>
      <x:c r="AC1140" t="n">
        <x:v>0</x:v>
      </x:c>
      <x:c r="AD1140" t="n">
        <x:v>-0.3482765497174114</x:v>
      </x:c>
      <x:c r="AE1140" t="n">
        <x:v>0</x:v>
      </x:c>
      <x:c r="AF1140" t="n">
        <x:v>-0.0018402934074401855</x:v>
      </x:c>
      <x:c r="AG1140" t="n">
        <x:f>_xlfn.XLOOKUP($A1140,Games!$A$2:$A$18,Games!$B$2:$B$18,"Missing game",0)</x:f>
        <x:v>2025</x:v>
      </x:c>
      <x:c r="AH1140" t="str">
        <x:f>_xlfn.XLOOKUP($A1140,Games!$A$2:$A$18,Games!$C$2:$C$18,"Missing game",0)</x:f>
        <x:v>REG</x:v>
      </x:c>
      <x:c r="AI1140" t="n">
        <x:f>_xlfn.XLOOKUP($A1140,Games!$A$2:$A$18,Games!$D$2:$D$18,"Missing game",0)</x:f>
        <x:v>8</x:v>
      </x:c>
      <x:c r="AJ1140" s="1" t="n">
        <x:f>_xlfn.XLOOKUP($A1140,Games!$A$2:$A$18,Games!$E$2:$E$18,"Missing game",0)</x:f>
        <x:v>45953</x:v>
      </x:c>
      <x:c r="AK1140" t="str">
        <x:f>_xlfn.XLOOKUP($A1140,Games!$A$2:$A$18,Games!$F$2:$F$18,"Missing game",0)</x:f>
        <x:v>Thursday</x:v>
      </x:c>
      <x:c r="AL1140" t="str">
        <x:f>_xlfn.XLOOKUP($A1140,Games!$A$2:$A$18,Games!$G$2:$G$18,"Missing game",0)</x:f>
        <x:v>MIN</x:v>
      </x:c>
      <x:c r="AM1140" t="n">
        <x:f>_xlfn.XLOOKUP($A1140,Games!$A$2:$A$18,Games!$H$2:$H$18,"Missing game",0)</x:f>
        <x:v>10</x:v>
      </x:c>
      <x:c r="AN1140" t="str">
        <x:f>_xlfn.XLOOKUP($A1140,Games!$A$2:$A$18,Games!$I$2:$I$18,"Missing game",0)</x:f>
        <x:v>LAC</x:v>
      </x:c>
      <x:c r="AO1140" t="n">
        <x:f>_xlfn.XLOOKUP($A1140,Games!$A$2:$A$18,Games!$J$2:$J$18,"Missing game",0)</x:f>
        <x:v>37</x:v>
      </x:c>
      <x:c r="AP1140" t="n">
        <x:f>_xlfn.XLOOKUP($A1140,Games!$A$2:$A$18,Games!$K$2:$K$18,"Missing game",0)</x:f>
        <x:v>27</x:v>
      </x:c>
      <x:c r="AQ1140" t="n">
        <x:f>_xlfn.XLOOKUP($A1140,Games!$A$2:$A$18,Games!$L$2:$L$18,"Missing game",0)</x:f>
        <x:v>47</x:v>
      </x:c>
      <x:c r="AR1140" t="n">
        <x:f>_xlfn.XLOOKUP($A1140,Games!$A$2:$A$18,Games!$M$2:$M$18,"Missing game",0)</x:f>
        <x:v>0</x:v>
      </x:c>
      <x:c r="AS1140" t="str">
        <x:f>_xlfn.XLOOKUP($A1140,Games!$A$2:$A$18,Games!$N$2:$N$18,"Missing game",0)</x:f>
        <x:v>dome</x:v>
      </x:c>
      <x:c r="AT1140" t="str">
        <x:f>_xlfn.XLOOKUP($A1140,Games!$A$2:$A$18,Games!$O$2:$O$18,"Missing game",0)</x:f>
        <x:v>matrixturf</x:v>
      </x:c>
      <x:c r="AU1140" t="str">
        <x:f>_xlfn.XLOOKUP($A1140,Games!$A$2:$A$18,Games!$P$2:$P$18,"Missing game",0)</x:f>
      </x:c>
      <x:c r="AV1140" t="str">
        <x:f>_xlfn.XLOOKUP($A1140,Games!$A$2:$A$18,Games!$Q$2:$Q$18,"Missing game",0)</x:f>
      </x:c>
      <x:c r="AW1140" t="str">
        <x:f>_xlfn.XLOOKUP($A1140,Games!$A$2:$A$18,Games!$R$2:$R$18,"Missing game",0)</x:f>
        <x:v>SoFi Stadium</x:v>
      </x:c>
    </x:row>
    <x:row r="1141">
      <x:c r="A1141" t="str">
        <x:v>2025_08_MIN_LAC</x:v>
      </x:c>
      <x:c r="B1141" t="n">
        <x:v>3184</x:v>
      </x:c>
      <x:c r="C1141" t="n">
        <x:v>4</x:v>
      </x:c>
      <x:c r="D1141" t="str">
        <x:v>14:19</x:v>
      </x:c>
      <x:c r="E1141" t="n">
        <x:v>2</x:v>
      </x:c>
      <x:c r="F1141" t="n">
        <x:v>7</x:v>
      </x:c>
      <x:c r="G1141" t="str">
        <x:v>LAC</x:v>
      </x:c>
      <x:c r="H1141" t="str">
        <x:v>MIN</x:v>
      </x:c>
      <x:c r="I1141" t="str">
        <x:v>MIN</x:v>
      </x:c>
      <x:c r="J1141" t="n">
        <x:v>11</x:v>
      </x:c>
      <x:c r="K1141" t="str">
        <x:v>(14:19) 30-K.Vidal left end pushed ob at MIN 2 for 9 yards (2-I.Rodgers).</x:v>
      </x:c>
      <x:c r="L1141" t="str">
        <x:v>run</x:v>
      </x:c>
      <x:c r="M1141" t="n">
        <x:v>9</x:v>
      </x:c>
      <x:c r="N1141" t="n">
        <x:v>0</x:v>
      </x:c>
      <x:c r="O1141" t="n">
        <x:v>0</x:v>
      </x:c>
      <x:c r="P1141"/>
      <x:c r="Q1141"/>
      <x:c r="R1141"/>
      <x:c r="S1141"/>
      <x:c r="T1141" t="str">
        <x:v>left</x:v>
      </x:c>
      <x:c r="U1141" t="str">
        <x:v>end</x:v>
      </x:c>
      <x:c r="V1141" t="n">
        <x:v>0</x:v>
      </x:c>
      <x:c r="W1141" t="n">
        <x:v>1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/>
      <x:c r="AC1141" t="n">
        <x:v>0</x:v>
      </x:c>
      <x:c r="AD1141" t="n">
        <x:v>1.458716923079919</x:v>
      </x:c>
      <x:c r="AE1141" t="n">
        <x:v>1</x:v>
      </x:c>
      <x:c r="AF1141" t="n">
        <x:v>0.007268071174621582</x:v>
      </x:c>
      <x:c r="AG1141" t="n">
        <x:f>_xlfn.XLOOKUP($A1141,Games!$A$2:$A$18,Games!$B$2:$B$18,"Missing game",0)</x:f>
        <x:v>2025</x:v>
      </x:c>
      <x:c r="AH1141" t="str">
        <x:f>_xlfn.XLOOKUP($A1141,Games!$A$2:$A$18,Games!$C$2:$C$18,"Missing game",0)</x:f>
        <x:v>REG</x:v>
      </x:c>
      <x:c r="AI1141" t="n">
        <x:f>_xlfn.XLOOKUP($A1141,Games!$A$2:$A$18,Games!$D$2:$D$18,"Missing game",0)</x:f>
        <x:v>8</x:v>
      </x:c>
      <x:c r="AJ1141" s="1" t="n">
        <x:f>_xlfn.XLOOKUP($A1141,Games!$A$2:$A$18,Games!$E$2:$E$18,"Missing game",0)</x:f>
        <x:v>45953</x:v>
      </x:c>
      <x:c r="AK1141" t="str">
        <x:f>_xlfn.XLOOKUP($A1141,Games!$A$2:$A$18,Games!$F$2:$F$18,"Missing game",0)</x:f>
        <x:v>Thursday</x:v>
      </x:c>
      <x:c r="AL1141" t="str">
        <x:f>_xlfn.XLOOKUP($A1141,Games!$A$2:$A$18,Games!$G$2:$G$18,"Missing game",0)</x:f>
        <x:v>MIN</x:v>
      </x:c>
      <x:c r="AM1141" t="n">
        <x:f>_xlfn.XLOOKUP($A1141,Games!$A$2:$A$18,Games!$H$2:$H$18,"Missing game",0)</x:f>
        <x:v>10</x:v>
      </x:c>
      <x:c r="AN1141" t="str">
        <x:f>_xlfn.XLOOKUP($A1141,Games!$A$2:$A$18,Games!$I$2:$I$18,"Missing game",0)</x:f>
        <x:v>LAC</x:v>
      </x:c>
      <x:c r="AO1141" t="n">
        <x:f>_xlfn.XLOOKUP($A1141,Games!$A$2:$A$18,Games!$J$2:$J$18,"Missing game",0)</x:f>
        <x:v>37</x:v>
      </x:c>
      <x:c r="AP1141" t="n">
        <x:f>_xlfn.XLOOKUP($A1141,Games!$A$2:$A$18,Games!$K$2:$K$18,"Missing game",0)</x:f>
        <x:v>27</x:v>
      </x:c>
      <x:c r="AQ1141" t="n">
        <x:f>_xlfn.XLOOKUP($A1141,Games!$A$2:$A$18,Games!$L$2:$L$18,"Missing game",0)</x:f>
        <x:v>47</x:v>
      </x:c>
      <x:c r="AR1141" t="n">
        <x:f>_xlfn.XLOOKUP($A1141,Games!$A$2:$A$18,Games!$M$2:$M$18,"Missing game",0)</x:f>
        <x:v>0</x:v>
      </x:c>
      <x:c r="AS1141" t="str">
        <x:f>_xlfn.XLOOKUP($A1141,Games!$A$2:$A$18,Games!$N$2:$N$18,"Missing game",0)</x:f>
        <x:v>dome</x:v>
      </x:c>
      <x:c r="AT1141" t="str">
        <x:f>_xlfn.XLOOKUP($A1141,Games!$A$2:$A$18,Games!$O$2:$O$18,"Missing game",0)</x:f>
        <x:v>matrixturf</x:v>
      </x:c>
      <x:c r="AU1141" t="str">
        <x:f>_xlfn.XLOOKUP($A1141,Games!$A$2:$A$18,Games!$P$2:$P$18,"Missing game",0)</x:f>
      </x:c>
      <x:c r="AV1141" t="str">
        <x:f>_xlfn.XLOOKUP($A1141,Games!$A$2:$A$18,Games!$Q$2:$Q$18,"Missing game",0)</x:f>
      </x:c>
      <x:c r="AW1141" t="str">
        <x:f>_xlfn.XLOOKUP($A1141,Games!$A$2:$A$18,Games!$R$2:$R$18,"Missing game",0)</x:f>
        <x:v>SoFi Stadium</x:v>
      </x:c>
    </x:row>
    <x:row r="1142">
      <x:c r="A1142" t="str">
        <x:v>2025_08_MIN_LAC</x:v>
      </x:c>
      <x:c r="B1142" t="n">
        <x:v>3211</x:v>
      </x:c>
      <x:c r="C1142" t="n">
        <x:v>4</x:v>
      </x:c>
      <x:c r="D1142" t="str">
        <x:v>13:41</x:v>
      </x:c>
      <x:c r="E1142" t="n">
        <x:v>1</x:v>
      </x:c>
      <x:c r="F1142" t="n">
        <x:v>2</x:v>
      </x:c>
      <x:c r="G1142" t="str">
        <x:v>LAC</x:v>
      </x:c>
      <x:c r="H1142" t="str">
        <x:v>MIN</x:v>
      </x:c>
      <x:c r="I1142" t="str">
        <x:v>MIN</x:v>
      </x:c>
      <x:c r="J1142" t="n">
        <x:v>2</x:v>
      </x:c>
      <x:c r="K1142" t="str">
        <x:v>(13:41) 30-K.Vidal left tackle to MIN 2 for no gain (7-B.Murphy; 51-B.Cashman). MIN-58-J.Greenard was injured during the play.</x:v>
      </x:c>
      <x:c r="L1142" t="str">
        <x:v>run</x:v>
      </x:c>
      <x:c r="M1142" t="n">
        <x:v>0</x:v>
      </x:c>
      <x:c r="N1142" t="n">
        <x:v>0</x:v>
      </x:c>
      <x:c r="O1142" t="n">
        <x:v>0</x:v>
      </x:c>
      <x:c r="P1142"/>
      <x:c r="Q1142"/>
      <x:c r="R1142"/>
      <x:c r="S1142"/>
      <x:c r="T1142" t="str">
        <x:v>left</x:v>
      </x:c>
      <x:c r="U1142" t="str">
        <x:v>tackle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/>
      <x:c r="AC1142" t="n">
        <x:v>0</x:v>
      </x:c>
      <x:c r="AD1142" t="n">
        <x:v>-0.35437714878935367</x:v>
      </x:c>
      <x:c r="AE1142" t="n">
        <x:v>0</x:v>
      </x:c>
      <x:c r="AF1142" t="n">
        <x:v>-0.0005499720573425293</x:v>
      </x:c>
      <x:c r="AG1142" t="n">
        <x:f>_xlfn.XLOOKUP($A1142,Games!$A$2:$A$18,Games!$B$2:$B$18,"Missing game",0)</x:f>
        <x:v>2025</x:v>
      </x:c>
      <x:c r="AH1142" t="str">
        <x:f>_xlfn.XLOOKUP($A1142,Games!$A$2:$A$18,Games!$C$2:$C$18,"Missing game",0)</x:f>
        <x:v>REG</x:v>
      </x:c>
      <x:c r="AI1142" t="n">
        <x:f>_xlfn.XLOOKUP($A1142,Games!$A$2:$A$18,Games!$D$2:$D$18,"Missing game",0)</x:f>
        <x:v>8</x:v>
      </x:c>
      <x:c r="AJ1142" s="1" t="n">
        <x:f>_xlfn.XLOOKUP($A1142,Games!$A$2:$A$18,Games!$E$2:$E$18,"Missing game",0)</x:f>
        <x:v>45953</x:v>
      </x:c>
      <x:c r="AK1142" t="str">
        <x:f>_xlfn.XLOOKUP($A1142,Games!$A$2:$A$18,Games!$F$2:$F$18,"Missing game",0)</x:f>
        <x:v>Thursday</x:v>
      </x:c>
      <x:c r="AL1142" t="str">
        <x:f>_xlfn.XLOOKUP($A1142,Games!$A$2:$A$18,Games!$G$2:$G$18,"Missing game",0)</x:f>
        <x:v>MIN</x:v>
      </x:c>
      <x:c r="AM1142" t="n">
        <x:f>_xlfn.XLOOKUP($A1142,Games!$A$2:$A$18,Games!$H$2:$H$18,"Missing game",0)</x:f>
        <x:v>10</x:v>
      </x:c>
      <x:c r="AN1142" t="str">
        <x:f>_xlfn.XLOOKUP($A1142,Games!$A$2:$A$18,Games!$I$2:$I$18,"Missing game",0)</x:f>
        <x:v>LAC</x:v>
      </x:c>
      <x:c r="AO1142" t="n">
        <x:f>_xlfn.XLOOKUP($A1142,Games!$A$2:$A$18,Games!$J$2:$J$18,"Missing game",0)</x:f>
        <x:v>37</x:v>
      </x:c>
      <x:c r="AP1142" t="n">
        <x:f>_xlfn.XLOOKUP($A1142,Games!$A$2:$A$18,Games!$K$2:$K$18,"Missing game",0)</x:f>
        <x:v>27</x:v>
      </x:c>
      <x:c r="AQ1142" t="n">
        <x:f>_xlfn.XLOOKUP($A1142,Games!$A$2:$A$18,Games!$L$2:$L$18,"Missing game",0)</x:f>
        <x:v>47</x:v>
      </x:c>
      <x:c r="AR1142" t="n">
        <x:f>_xlfn.XLOOKUP($A1142,Games!$A$2:$A$18,Games!$M$2:$M$18,"Missing game",0)</x:f>
        <x:v>0</x:v>
      </x:c>
      <x:c r="AS1142" t="str">
        <x:f>_xlfn.XLOOKUP($A1142,Games!$A$2:$A$18,Games!$N$2:$N$18,"Missing game",0)</x:f>
        <x:v>dome</x:v>
      </x:c>
      <x:c r="AT1142" t="str">
        <x:f>_xlfn.XLOOKUP($A1142,Games!$A$2:$A$18,Games!$O$2:$O$18,"Missing game",0)</x:f>
        <x:v>matrixturf</x:v>
      </x:c>
      <x:c r="AU1142" t="str">
        <x:f>_xlfn.XLOOKUP($A1142,Games!$A$2:$A$18,Games!$P$2:$P$18,"Missing game",0)</x:f>
      </x:c>
      <x:c r="AV1142" t="str">
        <x:f>_xlfn.XLOOKUP($A1142,Games!$A$2:$A$18,Games!$Q$2:$Q$18,"Missing game",0)</x:f>
      </x:c>
      <x:c r="AW1142" t="str">
        <x:f>_xlfn.XLOOKUP($A1142,Games!$A$2:$A$18,Games!$R$2:$R$18,"Missing game",0)</x:f>
        <x:v>SoFi Stadium</x:v>
      </x:c>
    </x:row>
    <x:row r="1143">
      <x:c r="A1143" t="str">
        <x:v>2025_08_MIN_LAC</x:v>
      </x:c>
      <x:c r="B1143" t="n">
        <x:v>3236</x:v>
      </x:c>
      <x:c r="C1143" t="n">
        <x:v>4</x:v>
      </x:c>
      <x:c r="D1143" t="str">
        <x:v>12:59</x:v>
      </x:c>
      <x:c r="E1143" t="n">
        <x:v>2</x:v>
      </x:c>
      <x:c r="F1143" t="n">
        <x:v>2</x:v>
      </x:c>
      <x:c r="G1143" t="str">
        <x:v>LAC</x:v>
      </x:c>
      <x:c r="H1143" t="str">
        <x:v>MIN</x:v>
      </x:c>
      <x:c r="I1143" t="str">
        <x:v>MIN</x:v>
      </x:c>
      <x:c r="J1143" t="n">
        <x:v>2</x:v>
      </x:c>
      <x:c r="K1143" t="str">
        <x:v>(12:59) PENALTY on MIN, Defensive Too Many Men on Field, 1 yard, enforced at MIN 2 - No Play.</x:v>
      </x:c>
      <x:c r="L1143" t="str">
        <x:v>no_play</x:v>
      </x:c>
      <x:c r="M1143" t="n">
        <x:v>0</x:v>
      </x:c>
      <x:c r="N1143" t="n">
        <x:v>0</x:v>
      </x:c>
      <x:c r="O1143" t="n">
        <x:v>0</x:v>
      </x:c>
      <x:c r="P1143"/>
      <x:c r="Q1143"/>
      <x:c r="R1143"/>
      <x:c r="S1143"/>
      <x:c r="T1143"/>
      <x:c r="U1143"/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1</x:v>
      </x:c>
      <x:c r="AB1143" t="n">
        <x:v>1</x:v>
      </x:c>
      <x:c r="AC1143" t="n">
        <x:v>0</x:v>
      </x:c>
      <x:c r="AD1143" t="n">
        <x:v>0.26637556281639263</x:v>
      </x:c>
      <x:c r="AE1143" t="n">
        <x:v>1</x:v>
      </x:c>
      <x:c r="AF1143" t="n">
        <x:v>0.0021132826805114746</x:v>
      </x:c>
      <x:c r="AG1143" t="n">
        <x:f>_xlfn.XLOOKUP($A1143,Games!$A$2:$A$18,Games!$B$2:$B$18,"Missing game",0)</x:f>
        <x:v>2025</x:v>
      </x:c>
      <x:c r="AH1143" t="str">
        <x:f>_xlfn.XLOOKUP($A1143,Games!$A$2:$A$18,Games!$C$2:$C$18,"Missing game",0)</x:f>
        <x:v>REG</x:v>
      </x:c>
      <x:c r="AI1143" t="n">
        <x:f>_xlfn.XLOOKUP($A1143,Games!$A$2:$A$18,Games!$D$2:$D$18,"Missing game",0)</x:f>
        <x:v>8</x:v>
      </x:c>
      <x:c r="AJ1143" s="1" t="n">
        <x:f>_xlfn.XLOOKUP($A1143,Games!$A$2:$A$18,Games!$E$2:$E$18,"Missing game",0)</x:f>
        <x:v>45953</x:v>
      </x:c>
      <x:c r="AK1143" t="str">
        <x:f>_xlfn.XLOOKUP($A1143,Games!$A$2:$A$18,Games!$F$2:$F$18,"Missing game",0)</x:f>
        <x:v>Thursday</x:v>
      </x:c>
      <x:c r="AL1143" t="str">
        <x:f>_xlfn.XLOOKUP($A1143,Games!$A$2:$A$18,Games!$G$2:$G$18,"Missing game",0)</x:f>
        <x:v>MIN</x:v>
      </x:c>
      <x:c r="AM1143" t="n">
        <x:f>_xlfn.XLOOKUP($A1143,Games!$A$2:$A$18,Games!$H$2:$H$18,"Missing game",0)</x:f>
        <x:v>10</x:v>
      </x:c>
      <x:c r="AN1143" t="str">
        <x:f>_xlfn.XLOOKUP($A1143,Games!$A$2:$A$18,Games!$I$2:$I$18,"Missing game",0)</x:f>
        <x:v>LAC</x:v>
      </x:c>
      <x:c r="AO1143" t="n">
        <x:f>_xlfn.XLOOKUP($A1143,Games!$A$2:$A$18,Games!$J$2:$J$18,"Missing game",0)</x:f>
        <x:v>37</x:v>
      </x:c>
      <x:c r="AP1143" t="n">
        <x:f>_xlfn.XLOOKUP($A1143,Games!$A$2:$A$18,Games!$K$2:$K$18,"Missing game",0)</x:f>
        <x:v>27</x:v>
      </x:c>
      <x:c r="AQ1143" t="n">
        <x:f>_xlfn.XLOOKUP($A1143,Games!$A$2:$A$18,Games!$L$2:$L$18,"Missing game",0)</x:f>
        <x:v>47</x:v>
      </x:c>
      <x:c r="AR1143" t="n">
        <x:f>_xlfn.XLOOKUP($A1143,Games!$A$2:$A$18,Games!$M$2:$M$18,"Missing game",0)</x:f>
        <x:v>0</x:v>
      </x:c>
      <x:c r="AS1143" t="str">
        <x:f>_xlfn.XLOOKUP($A1143,Games!$A$2:$A$18,Games!$N$2:$N$18,"Missing game",0)</x:f>
        <x:v>dome</x:v>
      </x:c>
      <x:c r="AT1143" t="str">
        <x:f>_xlfn.XLOOKUP($A1143,Games!$A$2:$A$18,Games!$O$2:$O$18,"Missing game",0)</x:f>
        <x:v>matrixturf</x:v>
      </x:c>
      <x:c r="AU1143" t="str">
        <x:f>_xlfn.XLOOKUP($A1143,Games!$A$2:$A$18,Games!$P$2:$P$18,"Missing game",0)</x:f>
      </x:c>
      <x:c r="AV1143" t="str">
        <x:f>_xlfn.XLOOKUP($A1143,Games!$A$2:$A$18,Games!$Q$2:$Q$18,"Missing game",0)</x:f>
      </x:c>
      <x:c r="AW1143" t="str">
        <x:f>_xlfn.XLOOKUP($A1143,Games!$A$2:$A$18,Games!$R$2:$R$18,"Missing game",0)</x:f>
        <x:v>SoFi Stadium</x:v>
      </x:c>
    </x:row>
    <x:row r="1144">
      <x:c r="A1144" t="str">
        <x:v>2025_08_MIN_LAC</x:v>
      </x:c>
      <x:c r="B1144" t="n">
        <x:v>3267</x:v>
      </x:c>
      <x:c r="C1144" t="n">
        <x:v>4</x:v>
      </x:c>
      <x:c r="D1144" t="str">
        <x:v>12:48</x:v>
      </x:c>
      <x:c r="E1144" t="n">
        <x:v>2</x:v>
      </x:c>
      <x:c r="F1144" t="n">
        <x:v>1</x:v>
      </x:c>
      <x:c r="G1144" t="str">
        <x:v>LAC</x:v>
      </x:c>
      <x:c r="H1144" t="str">
        <x:v>MIN</x:v>
      </x:c>
      <x:c r="I1144" t="str">
        <x:v>MIN</x:v>
      </x:c>
      <x:c r="J1144" t="n">
        <x:v>1</x:v>
      </x:c>
      <x:c r="K1144" t="str">
        <x:v>(12:48) PENALTY on LAC-66-B.Hart, False Start, 5 yards, enforced at MIN 1 - No Play.</x:v>
      </x:c>
      <x:c r="L1144" t="str">
        <x:v>no_play</x:v>
      </x:c>
      <x:c r="M1144" t="n">
        <x:v>0</x:v>
      </x:c>
      <x:c r="N1144" t="n">
        <x:v>0</x:v>
      </x:c>
      <x:c r="O1144" t="n">
        <x:v>0</x:v>
      </x:c>
      <x:c r="P1144"/>
      <x:c r="Q1144"/>
      <x:c r="R1144"/>
      <x:c r="S1144"/>
      <x:c r="T1144"/>
      <x:c r="U1144"/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1</x:v>
      </x:c>
      <x:c r="AB1144" t="n">
        <x:v>5</x:v>
      </x:c>
      <x:c r="AC1144" t="n">
        <x:v>0</x:v>
      </x:c>
      <x:c r="AD1144" t="n">
        <x:v>-1.029271314793732</x:v>
      </x:c>
      <x:c r="AE1144" t="n">
        <x:v>0</x:v>
      </x:c>
      <x:c r="AF1144" t="n">
        <x:v>-0.006505072116851807</x:v>
      </x:c>
      <x:c r="AG1144" t="n">
        <x:f>_xlfn.XLOOKUP($A1144,Games!$A$2:$A$18,Games!$B$2:$B$18,"Missing game",0)</x:f>
        <x:v>2025</x:v>
      </x:c>
      <x:c r="AH1144" t="str">
        <x:f>_xlfn.XLOOKUP($A1144,Games!$A$2:$A$18,Games!$C$2:$C$18,"Missing game",0)</x:f>
        <x:v>REG</x:v>
      </x:c>
      <x:c r="AI1144" t="n">
        <x:f>_xlfn.XLOOKUP($A1144,Games!$A$2:$A$18,Games!$D$2:$D$18,"Missing game",0)</x:f>
        <x:v>8</x:v>
      </x:c>
      <x:c r="AJ1144" s="1" t="n">
        <x:f>_xlfn.XLOOKUP($A1144,Games!$A$2:$A$18,Games!$E$2:$E$18,"Missing game",0)</x:f>
        <x:v>45953</x:v>
      </x:c>
      <x:c r="AK1144" t="str">
        <x:f>_xlfn.XLOOKUP($A1144,Games!$A$2:$A$18,Games!$F$2:$F$18,"Missing game",0)</x:f>
        <x:v>Thursday</x:v>
      </x:c>
      <x:c r="AL1144" t="str">
        <x:f>_xlfn.XLOOKUP($A1144,Games!$A$2:$A$18,Games!$G$2:$G$18,"Missing game",0)</x:f>
        <x:v>MIN</x:v>
      </x:c>
      <x:c r="AM1144" t="n">
        <x:f>_xlfn.XLOOKUP($A1144,Games!$A$2:$A$18,Games!$H$2:$H$18,"Missing game",0)</x:f>
        <x:v>10</x:v>
      </x:c>
      <x:c r="AN1144" t="str">
        <x:f>_xlfn.XLOOKUP($A1144,Games!$A$2:$A$18,Games!$I$2:$I$18,"Missing game",0)</x:f>
        <x:v>LAC</x:v>
      </x:c>
      <x:c r="AO1144" t="n">
        <x:f>_xlfn.XLOOKUP($A1144,Games!$A$2:$A$18,Games!$J$2:$J$18,"Missing game",0)</x:f>
        <x:v>37</x:v>
      </x:c>
      <x:c r="AP1144" t="n">
        <x:f>_xlfn.XLOOKUP($A1144,Games!$A$2:$A$18,Games!$K$2:$K$18,"Missing game",0)</x:f>
        <x:v>27</x:v>
      </x:c>
      <x:c r="AQ1144" t="n">
        <x:f>_xlfn.XLOOKUP($A1144,Games!$A$2:$A$18,Games!$L$2:$L$18,"Missing game",0)</x:f>
        <x:v>47</x:v>
      </x:c>
      <x:c r="AR1144" t="n">
        <x:f>_xlfn.XLOOKUP($A1144,Games!$A$2:$A$18,Games!$M$2:$M$18,"Missing game",0)</x:f>
        <x:v>0</x:v>
      </x:c>
      <x:c r="AS1144" t="str">
        <x:f>_xlfn.XLOOKUP($A1144,Games!$A$2:$A$18,Games!$N$2:$N$18,"Missing game",0)</x:f>
        <x:v>dome</x:v>
      </x:c>
      <x:c r="AT1144" t="str">
        <x:f>_xlfn.XLOOKUP($A1144,Games!$A$2:$A$18,Games!$O$2:$O$18,"Missing game",0)</x:f>
        <x:v>matrixturf</x:v>
      </x:c>
      <x:c r="AU1144" t="str">
        <x:f>_xlfn.XLOOKUP($A1144,Games!$A$2:$A$18,Games!$P$2:$P$18,"Missing game",0)</x:f>
      </x:c>
      <x:c r="AV1144" t="str">
        <x:f>_xlfn.XLOOKUP($A1144,Games!$A$2:$A$18,Games!$Q$2:$Q$18,"Missing game",0)</x:f>
      </x:c>
      <x:c r="AW1144" t="str">
        <x:f>_xlfn.XLOOKUP($A1144,Games!$A$2:$A$18,Games!$R$2:$R$18,"Missing game",0)</x:f>
        <x:v>SoFi Stadium</x:v>
      </x:c>
    </x:row>
    <x:row r="1145">
      <x:c r="A1145" t="str">
        <x:v>2025_08_MIN_LAC</x:v>
      </x:c>
      <x:c r="B1145" t="n">
        <x:v>3301</x:v>
      </x:c>
      <x:c r="C1145" t="n">
        <x:v>4</x:v>
      </x:c>
      <x:c r="D1145" t="str">
        <x:v>12:48</x:v>
      </x:c>
      <x:c r="E1145" t="n">
        <x:v>2</x:v>
      </x:c>
      <x:c r="F1145" t="n">
        <x:v>6</x:v>
      </x:c>
      <x:c r="G1145" t="str">
        <x:v>LAC</x:v>
      </x:c>
      <x:c r="H1145" t="str">
        <x:v>MIN</x:v>
      </x:c>
      <x:c r="I1145" t="str">
        <x:v>MIN</x:v>
      </x:c>
      <x:c r="J1145" t="n">
        <x:v>6</x:v>
      </x:c>
      <x:c r="K1145" t="str">
        <x:v>(12:48) 10-J.Herbert pass short middle to 9-T.Harris for 6 yards, TOUCHDOWN.</x:v>
      </x:c>
      <x:c r="L1145" t="str">
        <x:v>pass</x:v>
      </x:c>
      <x:c r="M1145" t="n">
        <x:v>6</x:v>
      </x:c>
      <x:c r="N1145" t="n">
        <x:v>0</x:v>
      </x:c>
      <x:c r="O1145" t="n">
        <x:v>0</x:v>
      </x:c>
      <x:c r="P1145" t="str">
        <x:v>short</x:v>
      </x:c>
      <x:c r="Q1145" t="str">
        <x:v>middle</x:v>
      </x:c>
      <x:c r="R1145" t="n">
        <x:v>6</x:v>
      </x:c>
      <x:c r="S1145" t="n">
        <x:v>0</x:v>
      </x:c>
      <x:c r="T1145"/>
      <x:c r="U1145"/>
      <x:c r="V1145" t="n">
        <x:v>1</x:v>
      </x:c>
      <x:c r="W1145" t="n">
        <x:v>1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/>
      <x:c r="AC1145" t="n">
        <x:v>1</x:v>
      </x:c>
      <x:c r="AD1145" t="n">
        <x:v>1.7379920086241327</x:v>
      </x:c>
      <x:c r="AE1145" t="n">
        <x:v>1</x:v>
      </x:c>
      <x:c r="AF1145" t="n">
        <x:v>0.014685632410382787</x:v>
      </x:c>
      <x:c r="AG1145" t="n">
        <x:f>_xlfn.XLOOKUP($A1145,Games!$A$2:$A$18,Games!$B$2:$B$18,"Missing game",0)</x:f>
        <x:v>2025</x:v>
      </x:c>
      <x:c r="AH1145" t="str">
        <x:f>_xlfn.XLOOKUP($A1145,Games!$A$2:$A$18,Games!$C$2:$C$18,"Missing game",0)</x:f>
        <x:v>REG</x:v>
      </x:c>
      <x:c r="AI1145" t="n">
        <x:f>_xlfn.XLOOKUP($A1145,Games!$A$2:$A$18,Games!$D$2:$D$18,"Missing game",0)</x:f>
        <x:v>8</x:v>
      </x:c>
      <x:c r="AJ1145" s="1" t="n">
        <x:f>_xlfn.XLOOKUP($A1145,Games!$A$2:$A$18,Games!$E$2:$E$18,"Missing game",0)</x:f>
        <x:v>45953</x:v>
      </x:c>
      <x:c r="AK1145" t="str">
        <x:f>_xlfn.XLOOKUP($A1145,Games!$A$2:$A$18,Games!$F$2:$F$18,"Missing game",0)</x:f>
        <x:v>Thursday</x:v>
      </x:c>
      <x:c r="AL1145" t="str">
        <x:f>_xlfn.XLOOKUP($A1145,Games!$A$2:$A$18,Games!$G$2:$G$18,"Missing game",0)</x:f>
        <x:v>MIN</x:v>
      </x:c>
      <x:c r="AM1145" t="n">
        <x:f>_xlfn.XLOOKUP($A1145,Games!$A$2:$A$18,Games!$H$2:$H$18,"Missing game",0)</x:f>
        <x:v>10</x:v>
      </x:c>
      <x:c r="AN1145" t="str">
        <x:f>_xlfn.XLOOKUP($A1145,Games!$A$2:$A$18,Games!$I$2:$I$18,"Missing game",0)</x:f>
        <x:v>LAC</x:v>
      </x:c>
      <x:c r="AO1145" t="n">
        <x:f>_xlfn.XLOOKUP($A1145,Games!$A$2:$A$18,Games!$J$2:$J$18,"Missing game",0)</x:f>
        <x:v>37</x:v>
      </x:c>
      <x:c r="AP1145" t="n">
        <x:f>_xlfn.XLOOKUP($A1145,Games!$A$2:$A$18,Games!$K$2:$K$18,"Missing game",0)</x:f>
        <x:v>27</x:v>
      </x:c>
      <x:c r="AQ1145" t="n">
        <x:f>_xlfn.XLOOKUP($A1145,Games!$A$2:$A$18,Games!$L$2:$L$18,"Missing game",0)</x:f>
        <x:v>47</x:v>
      </x:c>
      <x:c r="AR1145" t="n">
        <x:f>_xlfn.XLOOKUP($A1145,Games!$A$2:$A$18,Games!$M$2:$M$18,"Missing game",0)</x:f>
        <x:v>0</x:v>
      </x:c>
      <x:c r="AS1145" t="str">
        <x:f>_xlfn.XLOOKUP($A1145,Games!$A$2:$A$18,Games!$N$2:$N$18,"Missing game",0)</x:f>
        <x:v>dome</x:v>
      </x:c>
      <x:c r="AT1145" t="str">
        <x:f>_xlfn.XLOOKUP($A1145,Games!$A$2:$A$18,Games!$O$2:$O$18,"Missing game",0)</x:f>
        <x:v>matrixturf</x:v>
      </x:c>
      <x:c r="AU1145" t="str">
        <x:f>_xlfn.XLOOKUP($A1145,Games!$A$2:$A$18,Games!$P$2:$P$18,"Missing game",0)</x:f>
      </x:c>
      <x:c r="AV1145" t="str">
        <x:f>_xlfn.XLOOKUP($A1145,Games!$A$2:$A$18,Games!$Q$2:$Q$18,"Missing game",0)</x:f>
      </x:c>
      <x:c r="AW1145" t="str">
        <x:f>_xlfn.XLOOKUP($A1145,Games!$A$2:$A$18,Games!$R$2:$R$18,"Missing game",0)</x:f>
        <x:v>SoFi Stadium</x:v>
      </x:c>
    </x:row>
    <x:row r="1146">
      <x:c r="A1146" t="str">
        <x:v>2025_08_MIN_LAC</x:v>
      </x:c>
      <x:c r="B1146" t="n">
        <x:v>3327</x:v>
      </x:c>
      <x:c r="C1146" t="n">
        <x:v>4</x:v>
      </x:c>
      <x:c r="D1146" t="str">
        <x:v>12:42</x:v>
      </x:c>
      <x:c r="E1146"/>
      <x:c r="F1146" t="n">
        <x:v>0</x:v>
      </x:c>
      <x:c r="G1146" t="str">
        <x:v>LAC</x:v>
      </x:c>
      <x:c r="H1146" t="str">
        <x:v>MIN</x:v>
      </x:c>
      <x:c r="I1146" t="str">
        <x:v>MIN</x:v>
      </x:c>
      <x:c r="J1146" t="n">
        <x:v>15</x:v>
      </x:c>
      <x:c r="K1146" t="str">
        <x:v>11-C.Dicker extra point is GOOD, Center-41-R.Lovato, Holder-16-J.Scott.</x:v>
      </x:c>
      <x:c r="L1146" t="str">
        <x:v>extra_point</x:v>
      </x:c>
      <x:c r="M1146" t="n">
        <x:v>0</x:v>
      </x:c>
      <x:c r="N1146" t="n">
        <x:v>0</x:v>
      </x:c>
      <x:c r="O1146" t="n">
        <x:v>0</x:v>
      </x:c>
      <x:c r="P1146"/>
      <x:c r="Q1146"/>
      <x:c r="R1146"/>
      <x:c r="S1146"/>
      <x:c r="T1146"/>
      <x:c r="U1146"/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/>
      <x:c r="AC1146" t="n">
        <x:v>0</x:v>
      </x:c>
      <x:c r="AD1146" t="n">
        <x:v>0.05117156607063911</x:v>
      </x:c>
      <x:c r="AE1146" t="n">
        <x:v>1</x:v>
      </x:c>
      <x:c r="AF1146" t="n">
        <x:v>0.00001555613156600799</x:v>
      </x:c>
      <x:c r="AG1146" t="n">
        <x:f>_xlfn.XLOOKUP($A1146,Games!$A$2:$A$18,Games!$B$2:$B$18,"Missing game",0)</x:f>
        <x:v>2025</x:v>
      </x:c>
      <x:c r="AH1146" t="str">
        <x:f>_xlfn.XLOOKUP($A1146,Games!$A$2:$A$18,Games!$C$2:$C$18,"Missing game",0)</x:f>
        <x:v>REG</x:v>
      </x:c>
      <x:c r="AI1146" t="n">
        <x:f>_xlfn.XLOOKUP($A1146,Games!$A$2:$A$18,Games!$D$2:$D$18,"Missing game",0)</x:f>
        <x:v>8</x:v>
      </x:c>
      <x:c r="AJ1146" s="1" t="n">
        <x:f>_xlfn.XLOOKUP($A1146,Games!$A$2:$A$18,Games!$E$2:$E$18,"Missing game",0)</x:f>
        <x:v>45953</x:v>
      </x:c>
      <x:c r="AK1146" t="str">
        <x:f>_xlfn.XLOOKUP($A1146,Games!$A$2:$A$18,Games!$F$2:$F$18,"Missing game",0)</x:f>
        <x:v>Thursday</x:v>
      </x:c>
      <x:c r="AL1146" t="str">
        <x:f>_xlfn.XLOOKUP($A1146,Games!$A$2:$A$18,Games!$G$2:$G$18,"Missing game",0)</x:f>
        <x:v>MIN</x:v>
      </x:c>
      <x:c r="AM1146" t="n">
        <x:f>_xlfn.XLOOKUP($A1146,Games!$A$2:$A$18,Games!$H$2:$H$18,"Missing game",0)</x:f>
        <x:v>10</x:v>
      </x:c>
      <x:c r="AN1146" t="str">
        <x:f>_xlfn.XLOOKUP($A1146,Games!$A$2:$A$18,Games!$I$2:$I$18,"Missing game",0)</x:f>
        <x:v>LAC</x:v>
      </x:c>
      <x:c r="AO1146" t="n">
        <x:f>_xlfn.XLOOKUP($A1146,Games!$A$2:$A$18,Games!$J$2:$J$18,"Missing game",0)</x:f>
        <x:v>37</x:v>
      </x:c>
      <x:c r="AP1146" t="n">
        <x:f>_xlfn.XLOOKUP($A1146,Games!$A$2:$A$18,Games!$K$2:$K$18,"Missing game",0)</x:f>
        <x:v>27</x:v>
      </x:c>
      <x:c r="AQ1146" t="n">
        <x:f>_xlfn.XLOOKUP($A1146,Games!$A$2:$A$18,Games!$L$2:$L$18,"Missing game",0)</x:f>
        <x:v>47</x:v>
      </x:c>
      <x:c r="AR1146" t="n">
        <x:f>_xlfn.XLOOKUP($A1146,Games!$A$2:$A$18,Games!$M$2:$M$18,"Missing game",0)</x:f>
        <x:v>0</x:v>
      </x:c>
      <x:c r="AS1146" t="str">
        <x:f>_xlfn.XLOOKUP($A1146,Games!$A$2:$A$18,Games!$N$2:$N$18,"Missing game",0)</x:f>
        <x:v>dome</x:v>
      </x:c>
      <x:c r="AT1146" t="str">
        <x:f>_xlfn.XLOOKUP($A1146,Games!$A$2:$A$18,Games!$O$2:$O$18,"Missing game",0)</x:f>
        <x:v>matrixturf</x:v>
      </x:c>
      <x:c r="AU1146" t="str">
        <x:f>_xlfn.XLOOKUP($A1146,Games!$A$2:$A$18,Games!$P$2:$P$18,"Missing game",0)</x:f>
      </x:c>
      <x:c r="AV1146" t="str">
        <x:f>_xlfn.XLOOKUP($A1146,Games!$A$2:$A$18,Games!$Q$2:$Q$18,"Missing game",0)</x:f>
      </x:c>
      <x:c r="AW1146" t="str">
        <x:f>_xlfn.XLOOKUP($A1146,Games!$A$2:$A$18,Games!$R$2:$R$18,"Missing game",0)</x:f>
        <x:v>SoFi Stadium</x:v>
      </x:c>
    </x:row>
    <x:row r="1147">
      <x:c r="A1147" t="str">
        <x:v>2025_08_MIN_LAC</x:v>
      </x:c>
      <x:c r="B1147" t="n">
        <x:v>3342</x:v>
      </x:c>
      <x:c r="C1147" t="n">
        <x:v>4</x:v>
      </x:c>
      <x:c r="D1147" t="str">
        <x:v>12:42</x:v>
      </x:c>
      <x:c r="E1147"/>
      <x:c r="F1147" t="n">
        <x:v>0</x:v>
      </x:c>
      <x:c r="G1147" t="str">
        <x:v>MIN</x:v>
      </x:c>
      <x:c r="H1147" t="str">
        <x:v>LAC</x:v>
      </x:c>
      <x:c r="I1147" t="str">
        <x:v>LAC</x:v>
      </x:c>
      <x:c r="J1147" t="n">
        <x:v>35</x:v>
      </x:c>
      <x:c r="K1147" t="str">
        <x:v>11-C.Dicker kicks 65 yards from LAC 35 to MIN 0. 4-M.Price pushed ob at MIN 31 for 31 yards (36-J.Taylor).</x:v>
      </x:c>
      <x:c r="L1147" t="str">
        <x:v>kickoff</x:v>
      </x:c>
      <x:c r="M1147" t="n">
        <x:v>0</x:v>
      </x:c>
      <x:c r="N1147" t="n">
        <x:v>0</x:v>
      </x:c>
      <x:c r="O1147" t="n">
        <x:v>0</x:v>
      </x:c>
      <x:c r="P1147"/>
      <x:c r="Q1147"/>
      <x:c r="R1147"/>
      <x:c r="S1147"/>
      <x:c r="T1147"/>
      <x:c r="U1147"/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/>
      <x:c r="AC1147" t="n">
        <x:v>0</x:v>
      </x:c>
      <x:c r="AD1147" t="n">
        <x:v>0.28651048825122416</x:v>
      </x:c>
      <x:c r="AE1147" t="n">
        <x:v>1</x:v>
      </x:c>
      <x:c r="AF1147" t="n">
        <x:v>0.001210113987326622</x:v>
      </x:c>
      <x:c r="AG1147" t="n">
        <x:f>_xlfn.XLOOKUP($A1147,Games!$A$2:$A$18,Games!$B$2:$B$18,"Missing game",0)</x:f>
        <x:v>2025</x:v>
      </x:c>
      <x:c r="AH1147" t="str">
        <x:f>_xlfn.XLOOKUP($A1147,Games!$A$2:$A$18,Games!$C$2:$C$18,"Missing game",0)</x:f>
        <x:v>REG</x:v>
      </x:c>
      <x:c r="AI1147" t="n">
        <x:f>_xlfn.XLOOKUP($A1147,Games!$A$2:$A$18,Games!$D$2:$D$18,"Missing game",0)</x:f>
        <x:v>8</x:v>
      </x:c>
      <x:c r="AJ1147" s="1" t="n">
        <x:f>_xlfn.XLOOKUP($A1147,Games!$A$2:$A$18,Games!$E$2:$E$18,"Missing game",0)</x:f>
        <x:v>45953</x:v>
      </x:c>
      <x:c r="AK1147" t="str">
        <x:f>_xlfn.XLOOKUP($A1147,Games!$A$2:$A$18,Games!$F$2:$F$18,"Missing game",0)</x:f>
        <x:v>Thursday</x:v>
      </x:c>
      <x:c r="AL1147" t="str">
        <x:f>_xlfn.XLOOKUP($A1147,Games!$A$2:$A$18,Games!$G$2:$G$18,"Missing game",0)</x:f>
        <x:v>MIN</x:v>
      </x:c>
      <x:c r="AM1147" t="n">
        <x:f>_xlfn.XLOOKUP($A1147,Games!$A$2:$A$18,Games!$H$2:$H$18,"Missing game",0)</x:f>
        <x:v>10</x:v>
      </x:c>
      <x:c r="AN1147" t="str">
        <x:f>_xlfn.XLOOKUP($A1147,Games!$A$2:$A$18,Games!$I$2:$I$18,"Missing game",0)</x:f>
        <x:v>LAC</x:v>
      </x:c>
      <x:c r="AO1147" t="n">
        <x:f>_xlfn.XLOOKUP($A1147,Games!$A$2:$A$18,Games!$J$2:$J$18,"Missing game",0)</x:f>
        <x:v>37</x:v>
      </x:c>
      <x:c r="AP1147" t="n">
        <x:f>_xlfn.XLOOKUP($A1147,Games!$A$2:$A$18,Games!$K$2:$K$18,"Missing game",0)</x:f>
        <x:v>27</x:v>
      </x:c>
      <x:c r="AQ1147" t="n">
        <x:f>_xlfn.XLOOKUP($A1147,Games!$A$2:$A$18,Games!$L$2:$L$18,"Missing game",0)</x:f>
        <x:v>47</x:v>
      </x:c>
      <x:c r="AR1147" t="n">
        <x:f>_xlfn.XLOOKUP($A1147,Games!$A$2:$A$18,Games!$M$2:$M$18,"Missing game",0)</x:f>
        <x:v>0</x:v>
      </x:c>
      <x:c r="AS1147" t="str">
        <x:f>_xlfn.XLOOKUP($A1147,Games!$A$2:$A$18,Games!$N$2:$N$18,"Missing game",0)</x:f>
        <x:v>dome</x:v>
      </x:c>
      <x:c r="AT1147" t="str">
        <x:f>_xlfn.XLOOKUP($A1147,Games!$A$2:$A$18,Games!$O$2:$O$18,"Missing game",0)</x:f>
        <x:v>matrixturf</x:v>
      </x:c>
      <x:c r="AU1147" t="str">
        <x:f>_xlfn.XLOOKUP($A1147,Games!$A$2:$A$18,Games!$P$2:$P$18,"Missing game",0)</x:f>
      </x:c>
      <x:c r="AV1147" t="str">
        <x:f>_xlfn.XLOOKUP($A1147,Games!$A$2:$A$18,Games!$Q$2:$Q$18,"Missing game",0)</x:f>
      </x:c>
      <x:c r="AW1147" t="str">
        <x:f>_xlfn.XLOOKUP($A1147,Games!$A$2:$A$18,Games!$R$2:$R$18,"Missing game",0)</x:f>
        <x:v>SoFi Stadium</x:v>
      </x:c>
    </x:row>
    <x:row r="1148">
      <x:c r="A1148" t="str">
        <x:v>2025_08_MIN_LAC</x:v>
      </x:c>
      <x:c r="B1148" t="n">
        <x:v>3382</x:v>
      </x:c>
      <x:c r="C1148" t="n">
        <x:v>4</x:v>
      </x:c>
      <x:c r="D1148" t="str">
        <x:v>12:34</x:v>
      </x:c>
      <x:c r="E1148" t="n">
        <x:v>1</x:v>
      </x:c>
      <x:c r="F1148" t="n">
        <x:v>10</x:v>
      </x:c>
      <x:c r="G1148" t="str">
        <x:v>MIN</x:v>
      </x:c>
      <x:c r="H1148" t="str">
        <x:v>LAC</x:v>
      </x:c>
      <x:c r="I1148" t="str">
        <x:v>MIN</x:v>
      </x:c>
      <x:c r="J1148" t="n">
        <x:v>69</x:v>
      </x:c>
      <x:c r="K1148" t="str">
        <x:v>(12:34) (Shotgun) 11-C.Wentz pass short right to 87-T.Hockenson to MIN 43 for 12 yards (0-D.Henley).</x:v>
      </x:c>
      <x:c r="L1148" t="str">
        <x:v>pass</x:v>
      </x:c>
      <x:c r="M1148" t="n">
        <x:v>12</x:v>
      </x:c>
      <x:c r="N1148" t="n">
        <x:v>1</x:v>
      </x:c>
      <x:c r="O1148" t="n">
        <x:v>0</x:v>
      </x:c>
      <x:c r="P1148" t="str">
        <x:v>short</x:v>
      </x:c>
      <x:c r="Q1148" t="str">
        <x:v>right</x:v>
      </x:c>
      <x:c r="R1148" t="n">
        <x:v>-4</x:v>
      </x:c>
      <x:c r="S1148" t="n">
        <x:v>16</x:v>
      </x:c>
      <x:c r="T1148"/>
      <x:c r="U1148"/>
      <x:c r="V1148" t="n">
        <x:v>1</x:v>
      </x:c>
      <x:c r="W1148" t="n">
        <x:v>1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/>
      <x:c r="AC1148" t="n">
        <x:v>0</x:v>
      </x:c>
      <x:c r="AD1148" t="n">
        <x:v>0.7749471797142178</x:v>
      </x:c>
      <x:c r="AE1148" t="n">
        <x:v>1</x:v>
      </x:c>
      <x:c r="AF1148" t="n">
        <x:v>0.0001806085929274559</x:v>
      </x:c>
      <x:c r="AG1148" t="n">
        <x:f>_xlfn.XLOOKUP($A1148,Games!$A$2:$A$18,Games!$B$2:$B$18,"Missing game",0)</x:f>
        <x:v>2025</x:v>
      </x:c>
      <x:c r="AH1148" t="str">
        <x:f>_xlfn.XLOOKUP($A1148,Games!$A$2:$A$18,Games!$C$2:$C$18,"Missing game",0)</x:f>
        <x:v>REG</x:v>
      </x:c>
      <x:c r="AI1148" t="n">
        <x:f>_xlfn.XLOOKUP($A1148,Games!$A$2:$A$18,Games!$D$2:$D$18,"Missing game",0)</x:f>
        <x:v>8</x:v>
      </x:c>
      <x:c r="AJ1148" s="1" t="n">
        <x:f>_xlfn.XLOOKUP($A1148,Games!$A$2:$A$18,Games!$E$2:$E$18,"Missing game",0)</x:f>
        <x:v>45953</x:v>
      </x:c>
      <x:c r="AK1148" t="str">
        <x:f>_xlfn.XLOOKUP($A1148,Games!$A$2:$A$18,Games!$F$2:$F$18,"Missing game",0)</x:f>
        <x:v>Thursday</x:v>
      </x:c>
      <x:c r="AL1148" t="str">
        <x:f>_xlfn.XLOOKUP($A1148,Games!$A$2:$A$18,Games!$G$2:$G$18,"Missing game",0)</x:f>
        <x:v>MIN</x:v>
      </x:c>
      <x:c r="AM1148" t="n">
        <x:f>_xlfn.XLOOKUP($A1148,Games!$A$2:$A$18,Games!$H$2:$H$18,"Missing game",0)</x:f>
        <x:v>10</x:v>
      </x:c>
      <x:c r="AN1148" t="str">
        <x:f>_xlfn.XLOOKUP($A1148,Games!$A$2:$A$18,Games!$I$2:$I$18,"Missing game",0)</x:f>
        <x:v>LAC</x:v>
      </x:c>
      <x:c r="AO1148" t="n">
        <x:f>_xlfn.XLOOKUP($A1148,Games!$A$2:$A$18,Games!$J$2:$J$18,"Missing game",0)</x:f>
        <x:v>37</x:v>
      </x:c>
      <x:c r="AP1148" t="n">
        <x:f>_xlfn.XLOOKUP($A1148,Games!$A$2:$A$18,Games!$K$2:$K$18,"Missing game",0)</x:f>
        <x:v>27</x:v>
      </x:c>
      <x:c r="AQ1148" t="n">
        <x:f>_xlfn.XLOOKUP($A1148,Games!$A$2:$A$18,Games!$L$2:$L$18,"Missing game",0)</x:f>
        <x:v>47</x:v>
      </x:c>
      <x:c r="AR1148" t="n">
        <x:f>_xlfn.XLOOKUP($A1148,Games!$A$2:$A$18,Games!$M$2:$M$18,"Missing game",0)</x:f>
        <x:v>0</x:v>
      </x:c>
      <x:c r="AS1148" t="str">
        <x:f>_xlfn.XLOOKUP($A1148,Games!$A$2:$A$18,Games!$N$2:$N$18,"Missing game",0)</x:f>
        <x:v>dome</x:v>
      </x:c>
      <x:c r="AT1148" t="str">
        <x:f>_xlfn.XLOOKUP($A1148,Games!$A$2:$A$18,Games!$O$2:$O$18,"Missing game",0)</x:f>
        <x:v>matrixturf</x:v>
      </x:c>
      <x:c r="AU1148" t="str">
        <x:f>_xlfn.XLOOKUP($A1148,Games!$A$2:$A$18,Games!$P$2:$P$18,"Missing game",0)</x:f>
      </x:c>
      <x:c r="AV1148" t="str">
        <x:f>_xlfn.XLOOKUP($A1148,Games!$A$2:$A$18,Games!$Q$2:$Q$18,"Missing game",0)</x:f>
      </x:c>
      <x:c r="AW1148" t="str">
        <x:f>_xlfn.XLOOKUP($A1148,Games!$A$2:$A$18,Games!$R$2:$R$18,"Missing game",0)</x:f>
        <x:v>SoFi Stadium</x:v>
      </x:c>
    </x:row>
    <x:row r="1149">
      <x:c r="A1149" t="str">
        <x:v>2025_08_MIN_LAC</x:v>
      </x:c>
      <x:c r="B1149" t="n">
        <x:v>3407</x:v>
      </x:c>
      <x:c r="C1149" t="n">
        <x:v>4</x:v>
      </x:c>
      <x:c r="D1149" t="str">
        <x:v>12:02</x:v>
      </x:c>
      <x:c r="E1149" t="n">
        <x:v>1</x:v>
      </x:c>
      <x:c r="F1149" t="n">
        <x:v>10</x:v>
      </x:c>
      <x:c r="G1149" t="str">
        <x:v>MIN</x:v>
      </x:c>
      <x:c r="H1149" t="str">
        <x:v>LAC</x:v>
      </x:c>
      <x:c r="I1149" t="str">
        <x:v>MIN</x:v>
      </x:c>
      <x:c r="J1149" t="n">
        <x:v>57</x:v>
      </x:c>
      <x:c r="K1149" t="str">
        <x:v>(12:02) (No Huddle) 11-C.Wentz pass deep right intended for 18-J.Jefferson INTERCEPTED by 27-R.Mickens at LAC 33. 27-R.Mickens to LAC 48 for 15 yards (27-J.Mason; 64-B.Brandel).</x:v>
      </x:c>
      <x:c r="L1149" t="str">
        <x:v>pass</x:v>
      </x:c>
      <x:c r="M1149" t="n">
        <x:v>0</x:v>
      </x:c>
      <x:c r="N1149" t="n">
        <x:v>0</x:v>
      </x:c>
      <x:c r="O1149" t="n">
        <x:v>1</x:v>
      </x:c>
      <x:c r="P1149" t="str">
        <x:v>deep</x:v>
      </x:c>
      <x:c r="Q1149" t="str">
        <x:v>right</x:v>
      </x:c>
      <x:c r="R1149" t="n">
        <x:v>24</x:v>
      </x:c>
      <x:c r="S1149"/>
      <x:c r="T1149"/>
      <x:c r="U1149"/>
      <x:c r="V1149" t="n">
        <x:v>0</x:v>
      </x:c>
      <x:c r="W1149" t="n">
        <x:v>0</x:v>
      </x:c>
      <x:c r="X1149" t="n">
        <x:v>0</x:v>
      </x:c>
      <x:c r="Y1149" t="n">
        <x:v>1</x:v>
      </x:c>
      <x:c r="Z1149" t="n">
        <x:v>0</x:v>
      </x:c>
      <x:c r="AA1149" t="n">
        <x:v>0</x:v>
      </x:c>
      <x:c r="AB1149"/>
      <x:c r="AC1149" t="n">
        <x:v>0</x:v>
      </x:c>
      <x:c r="AD1149" t="n">
        <x:v>-5.263863259227946</x:v>
      </x:c>
      <x:c r="AE1149" t="n">
        <x:v>0</x:v>
      </x:c>
      <x:c r="AF1149" t="n">
        <x:v>-0.012584414333105087</x:v>
      </x:c>
      <x:c r="AG1149" t="n">
        <x:f>_xlfn.XLOOKUP($A1149,Games!$A$2:$A$18,Games!$B$2:$B$18,"Missing game",0)</x:f>
        <x:v>2025</x:v>
      </x:c>
      <x:c r="AH1149" t="str">
        <x:f>_xlfn.XLOOKUP($A1149,Games!$A$2:$A$18,Games!$C$2:$C$18,"Missing game",0)</x:f>
        <x:v>REG</x:v>
      </x:c>
      <x:c r="AI1149" t="n">
        <x:f>_xlfn.XLOOKUP($A1149,Games!$A$2:$A$18,Games!$D$2:$D$18,"Missing game",0)</x:f>
        <x:v>8</x:v>
      </x:c>
      <x:c r="AJ1149" s="1" t="n">
        <x:f>_xlfn.XLOOKUP($A1149,Games!$A$2:$A$18,Games!$E$2:$E$18,"Missing game",0)</x:f>
        <x:v>45953</x:v>
      </x:c>
      <x:c r="AK1149" t="str">
        <x:f>_xlfn.XLOOKUP($A1149,Games!$A$2:$A$18,Games!$F$2:$F$18,"Missing game",0)</x:f>
        <x:v>Thursday</x:v>
      </x:c>
      <x:c r="AL1149" t="str">
        <x:f>_xlfn.XLOOKUP($A1149,Games!$A$2:$A$18,Games!$G$2:$G$18,"Missing game",0)</x:f>
        <x:v>MIN</x:v>
      </x:c>
      <x:c r="AM1149" t="n">
        <x:f>_xlfn.XLOOKUP($A1149,Games!$A$2:$A$18,Games!$H$2:$H$18,"Missing game",0)</x:f>
        <x:v>10</x:v>
      </x:c>
      <x:c r="AN1149" t="str">
        <x:f>_xlfn.XLOOKUP($A1149,Games!$A$2:$A$18,Games!$I$2:$I$18,"Missing game",0)</x:f>
        <x:v>LAC</x:v>
      </x:c>
      <x:c r="AO1149" t="n">
        <x:f>_xlfn.XLOOKUP($A1149,Games!$A$2:$A$18,Games!$J$2:$J$18,"Missing game",0)</x:f>
        <x:v>37</x:v>
      </x:c>
      <x:c r="AP1149" t="n">
        <x:f>_xlfn.XLOOKUP($A1149,Games!$A$2:$A$18,Games!$K$2:$K$18,"Missing game",0)</x:f>
        <x:v>27</x:v>
      </x:c>
      <x:c r="AQ1149" t="n">
        <x:f>_xlfn.XLOOKUP($A1149,Games!$A$2:$A$18,Games!$L$2:$L$18,"Missing game",0)</x:f>
        <x:v>47</x:v>
      </x:c>
      <x:c r="AR1149" t="n">
        <x:f>_xlfn.XLOOKUP($A1149,Games!$A$2:$A$18,Games!$M$2:$M$18,"Missing game",0)</x:f>
        <x:v>0</x:v>
      </x:c>
      <x:c r="AS1149" t="str">
        <x:f>_xlfn.XLOOKUP($A1149,Games!$A$2:$A$18,Games!$N$2:$N$18,"Missing game",0)</x:f>
        <x:v>dome</x:v>
      </x:c>
      <x:c r="AT1149" t="str">
        <x:f>_xlfn.XLOOKUP($A1149,Games!$A$2:$A$18,Games!$O$2:$O$18,"Missing game",0)</x:f>
        <x:v>matrixturf</x:v>
      </x:c>
      <x:c r="AU1149" t="str">
        <x:f>_xlfn.XLOOKUP($A1149,Games!$A$2:$A$18,Games!$P$2:$P$18,"Missing game",0)</x:f>
      </x:c>
      <x:c r="AV1149" t="str">
        <x:f>_xlfn.XLOOKUP($A1149,Games!$A$2:$A$18,Games!$Q$2:$Q$18,"Missing game",0)</x:f>
      </x:c>
      <x:c r="AW1149" t="str">
        <x:f>_xlfn.XLOOKUP($A1149,Games!$A$2:$A$18,Games!$R$2:$R$18,"Missing game",0)</x:f>
        <x:v>SoFi Stadium</x:v>
      </x:c>
    </x:row>
    <x:row r="1150">
      <x:c r="A1150" t="str">
        <x:v>2025_08_MIN_LAC</x:v>
      </x:c>
      <x:c r="B1150" t="n">
        <x:v>3434</x:v>
      </x:c>
      <x:c r="C1150" t="n">
        <x:v>4</x:v>
      </x:c>
      <x:c r="D1150" t="str">
        <x:v>11:53</x:v>
      </x:c>
      <x:c r="E1150" t="n">
        <x:v>1</x:v>
      </x:c>
      <x:c r="F1150" t="n">
        <x:v>10</x:v>
      </x:c>
      <x:c r="G1150" t="str">
        <x:v>LAC</x:v>
      </x:c>
      <x:c r="H1150" t="str">
        <x:v>MIN</x:v>
      </x:c>
      <x:c r="I1150" t="str">
        <x:v>LAC</x:v>
      </x:c>
      <x:c r="J1150" t="n">
        <x:v>52</x:v>
      </x:c>
      <x:c r="K1150" t="str">
        <x:v>(11:53) (Shotgun) 32-J.Patterson left guard to 50 for 2 yards (61-J.Redmond).</x:v>
      </x:c>
      <x:c r="L1150" t="str">
        <x:v>run</x:v>
      </x:c>
      <x:c r="M1150" t="n">
        <x:v>2</x:v>
      </x:c>
      <x:c r="N1150" t="n">
        <x:v>1</x:v>
      </x:c>
      <x:c r="O1150" t="n">
        <x:v>0</x:v>
      </x:c>
      <x:c r="P1150"/>
      <x:c r="Q1150"/>
      <x:c r="R1150"/>
      <x:c r="S1150"/>
      <x:c r="T1150" t="str">
        <x:v>left</x:v>
      </x:c>
      <x:c r="U1150" t="str">
        <x:v>guard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/>
      <x:c r="AC1150" t="n">
        <x:v>0</x:v>
      </x:c>
      <x:c r="AD1150" t="n">
        <x:v>-0.49428294226527214</x:v>
      </x:c>
      <x:c r="AE1150" t="n">
        <x:v>0</x:v>
      </x:c>
      <x:c r="AF1150" t="n">
        <x:v>-0.0006319880485534668</x:v>
      </x:c>
      <x:c r="AG1150" t="n">
        <x:f>_xlfn.XLOOKUP($A1150,Games!$A$2:$A$18,Games!$B$2:$B$18,"Missing game",0)</x:f>
        <x:v>2025</x:v>
      </x:c>
      <x:c r="AH1150" t="str">
        <x:f>_xlfn.XLOOKUP($A1150,Games!$A$2:$A$18,Games!$C$2:$C$18,"Missing game",0)</x:f>
        <x:v>REG</x:v>
      </x:c>
      <x:c r="AI1150" t="n">
        <x:f>_xlfn.XLOOKUP($A1150,Games!$A$2:$A$18,Games!$D$2:$D$18,"Missing game",0)</x:f>
        <x:v>8</x:v>
      </x:c>
      <x:c r="AJ1150" s="1" t="n">
        <x:f>_xlfn.XLOOKUP($A1150,Games!$A$2:$A$18,Games!$E$2:$E$18,"Missing game",0)</x:f>
        <x:v>45953</x:v>
      </x:c>
      <x:c r="AK1150" t="str">
        <x:f>_xlfn.XLOOKUP($A1150,Games!$A$2:$A$18,Games!$F$2:$F$18,"Missing game",0)</x:f>
        <x:v>Thursday</x:v>
      </x:c>
      <x:c r="AL1150" t="str">
        <x:f>_xlfn.XLOOKUP($A1150,Games!$A$2:$A$18,Games!$G$2:$G$18,"Missing game",0)</x:f>
        <x:v>MIN</x:v>
      </x:c>
      <x:c r="AM1150" t="n">
        <x:f>_xlfn.XLOOKUP($A1150,Games!$A$2:$A$18,Games!$H$2:$H$18,"Missing game",0)</x:f>
        <x:v>10</x:v>
      </x:c>
      <x:c r="AN1150" t="str">
        <x:f>_xlfn.XLOOKUP($A1150,Games!$A$2:$A$18,Games!$I$2:$I$18,"Missing game",0)</x:f>
        <x:v>LAC</x:v>
      </x:c>
      <x:c r="AO1150" t="n">
        <x:f>_xlfn.XLOOKUP($A1150,Games!$A$2:$A$18,Games!$J$2:$J$18,"Missing game",0)</x:f>
        <x:v>37</x:v>
      </x:c>
      <x:c r="AP1150" t="n">
        <x:f>_xlfn.XLOOKUP($A1150,Games!$A$2:$A$18,Games!$K$2:$K$18,"Missing game",0)</x:f>
        <x:v>27</x:v>
      </x:c>
      <x:c r="AQ1150" t="n">
        <x:f>_xlfn.XLOOKUP($A1150,Games!$A$2:$A$18,Games!$L$2:$L$18,"Missing game",0)</x:f>
        <x:v>47</x:v>
      </x:c>
      <x:c r="AR1150" t="n">
        <x:f>_xlfn.XLOOKUP($A1150,Games!$A$2:$A$18,Games!$M$2:$M$18,"Missing game",0)</x:f>
        <x:v>0</x:v>
      </x:c>
      <x:c r="AS1150" t="str">
        <x:f>_xlfn.XLOOKUP($A1150,Games!$A$2:$A$18,Games!$N$2:$N$18,"Missing game",0)</x:f>
        <x:v>dome</x:v>
      </x:c>
      <x:c r="AT1150" t="str">
        <x:f>_xlfn.XLOOKUP($A1150,Games!$A$2:$A$18,Games!$O$2:$O$18,"Missing game",0)</x:f>
        <x:v>matrixturf</x:v>
      </x:c>
      <x:c r="AU1150" t="str">
        <x:f>_xlfn.XLOOKUP($A1150,Games!$A$2:$A$18,Games!$P$2:$P$18,"Missing game",0)</x:f>
      </x:c>
      <x:c r="AV1150" t="str">
        <x:f>_xlfn.XLOOKUP($A1150,Games!$A$2:$A$18,Games!$Q$2:$Q$18,"Missing game",0)</x:f>
      </x:c>
      <x:c r="AW1150" t="str">
        <x:f>_xlfn.XLOOKUP($A1150,Games!$A$2:$A$18,Games!$R$2:$R$18,"Missing game",0)</x:f>
        <x:v>SoFi Stadium</x:v>
      </x:c>
    </x:row>
    <x:row r="1151">
      <x:c r="A1151" t="str">
        <x:v>2025_08_MIN_LAC</x:v>
      </x:c>
      <x:c r="B1151" t="n">
        <x:v>3468</x:v>
      </x:c>
      <x:c r="C1151" t="n">
        <x:v>4</x:v>
      </x:c>
      <x:c r="D1151" t="str">
        <x:v>11:12</x:v>
      </x:c>
      <x:c r="E1151" t="n">
        <x:v>2</x:v>
      </x:c>
      <x:c r="F1151" t="n">
        <x:v>8</x:v>
      </x:c>
      <x:c r="G1151" t="str">
        <x:v>LAC</x:v>
      </x:c>
      <x:c r="H1151" t="str">
        <x:v>MIN</x:v>
      </x:c>
      <x:c r="I1151" t="str">
        <x:v>50</x:v>
      </x:c>
      <x:c r="J1151" t="n">
        <x:v>50</x:v>
      </x:c>
      <x:c r="K1151" t="str">
        <x:v>(11:12) (Shotgun) 30-K.Vidal right end to MIN 36 for 14 yards (55-E.Wilson).</x:v>
      </x:c>
      <x:c r="L1151" t="str">
        <x:v>run</x:v>
      </x:c>
      <x:c r="M1151" t="n">
        <x:v>14</x:v>
      </x:c>
      <x:c r="N1151" t="n">
        <x:v>1</x:v>
      </x:c>
      <x:c r="O1151" t="n">
        <x:v>0</x:v>
      </x:c>
      <x:c r="P1151"/>
      <x:c r="Q1151"/>
      <x:c r="R1151"/>
      <x:c r="S1151"/>
      <x:c r="T1151" t="str">
        <x:v>right</x:v>
      </x:c>
      <x:c r="U1151" t="str">
        <x:v>end</x:v>
      </x:c>
      <x:c r="V1151" t="n">
        <x:v>0</x:v>
      </x:c>
      <x:c r="W1151" t="n">
        <x:v>1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/>
      <x:c r="AC1151" t="n">
        <x:v>0</x:v>
      </x:c>
      <x:c r="AD1151" t="n">
        <x:v>1.4590487213572487</x:v>
      </x:c>
      <x:c r="AE1151" t="n">
        <x:v>1</x:v>
      </x:c>
      <x:c r="AF1151" t="n">
        <x:v>0.001378178596496582</x:v>
      </x:c>
      <x:c r="AG1151" t="n">
        <x:f>_xlfn.XLOOKUP($A1151,Games!$A$2:$A$18,Games!$B$2:$B$18,"Missing game",0)</x:f>
        <x:v>2025</x:v>
      </x:c>
      <x:c r="AH1151" t="str">
        <x:f>_xlfn.XLOOKUP($A1151,Games!$A$2:$A$18,Games!$C$2:$C$18,"Missing game",0)</x:f>
        <x:v>REG</x:v>
      </x:c>
      <x:c r="AI1151" t="n">
        <x:f>_xlfn.XLOOKUP($A1151,Games!$A$2:$A$18,Games!$D$2:$D$18,"Missing game",0)</x:f>
        <x:v>8</x:v>
      </x:c>
      <x:c r="AJ1151" s="1" t="n">
        <x:f>_xlfn.XLOOKUP($A1151,Games!$A$2:$A$18,Games!$E$2:$E$18,"Missing game",0)</x:f>
        <x:v>45953</x:v>
      </x:c>
      <x:c r="AK1151" t="str">
        <x:f>_xlfn.XLOOKUP($A1151,Games!$A$2:$A$18,Games!$F$2:$F$18,"Missing game",0)</x:f>
        <x:v>Thursday</x:v>
      </x:c>
      <x:c r="AL1151" t="str">
        <x:f>_xlfn.XLOOKUP($A1151,Games!$A$2:$A$18,Games!$G$2:$G$18,"Missing game",0)</x:f>
        <x:v>MIN</x:v>
      </x:c>
      <x:c r="AM1151" t="n">
        <x:f>_xlfn.XLOOKUP($A1151,Games!$A$2:$A$18,Games!$H$2:$H$18,"Missing game",0)</x:f>
        <x:v>10</x:v>
      </x:c>
      <x:c r="AN1151" t="str">
        <x:f>_xlfn.XLOOKUP($A1151,Games!$A$2:$A$18,Games!$I$2:$I$18,"Missing game",0)</x:f>
        <x:v>LAC</x:v>
      </x:c>
      <x:c r="AO1151" t="n">
        <x:f>_xlfn.XLOOKUP($A1151,Games!$A$2:$A$18,Games!$J$2:$J$18,"Missing game",0)</x:f>
        <x:v>37</x:v>
      </x:c>
      <x:c r="AP1151" t="n">
        <x:f>_xlfn.XLOOKUP($A1151,Games!$A$2:$A$18,Games!$K$2:$K$18,"Missing game",0)</x:f>
        <x:v>27</x:v>
      </x:c>
      <x:c r="AQ1151" t="n">
        <x:f>_xlfn.XLOOKUP($A1151,Games!$A$2:$A$18,Games!$L$2:$L$18,"Missing game",0)</x:f>
        <x:v>47</x:v>
      </x:c>
      <x:c r="AR1151" t="n">
        <x:f>_xlfn.XLOOKUP($A1151,Games!$A$2:$A$18,Games!$M$2:$M$18,"Missing game",0)</x:f>
        <x:v>0</x:v>
      </x:c>
      <x:c r="AS1151" t="str">
        <x:f>_xlfn.XLOOKUP($A1151,Games!$A$2:$A$18,Games!$N$2:$N$18,"Missing game",0)</x:f>
        <x:v>dome</x:v>
      </x:c>
      <x:c r="AT1151" t="str">
        <x:f>_xlfn.XLOOKUP($A1151,Games!$A$2:$A$18,Games!$O$2:$O$18,"Missing game",0)</x:f>
        <x:v>matrixturf</x:v>
      </x:c>
      <x:c r="AU1151" t="str">
        <x:f>_xlfn.XLOOKUP($A1151,Games!$A$2:$A$18,Games!$P$2:$P$18,"Missing game",0)</x:f>
      </x:c>
      <x:c r="AV1151" t="str">
        <x:f>_xlfn.XLOOKUP($A1151,Games!$A$2:$A$18,Games!$Q$2:$Q$18,"Missing game",0)</x:f>
      </x:c>
      <x:c r="AW1151" t="str">
        <x:f>_xlfn.XLOOKUP($A1151,Games!$A$2:$A$18,Games!$R$2:$R$18,"Missing game",0)</x:f>
        <x:v>SoFi Stadium</x:v>
      </x:c>
    </x:row>
    <x:row r="1152">
      <x:c r="A1152" t="str">
        <x:v>2025_08_MIN_LAC</x:v>
      </x:c>
      <x:c r="B1152" t="n">
        <x:v>3507</x:v>
      </x:c>
      <x:c r="C1152" t="n">
        <x:v>4</x:v>
      </x:c>
      <x:c r="D1152" t="str">
        <x:v>10:29</x:v>
      </x:c>
      <x:c r="E1152" t="n">
        <x:v>1</x:v>
      </x:c>
      <x:c r="F1152" t="n">
        <x:v>10</x:v>
      </x:c>
      <x:c r="G1152" t="str">
        <x:v>LAC</x:v>
      </x:c>
      <x:c r="H1152" t="str">
        <x:v>MIN</x:v>
      </x:c>
      <x:c r="I1152" t="str">
        <x:v>MIN</x:v>
      </x:c>
      <x:c r="J1152" t="n">
        <x:v>36</x:v>
      </x:c>
      <x:c r="K1152" t="str">
        <x:v>(10:29) 30-K.Vidal left tackle to MIN 37 for -1 yards (93-J.Allen, 51-B.Cashman).</x:v>
      </x:c>
      <x:c r="L1152" t="str">
        <x:v>run</x:v>
      </x:c>
      <x:c r="M1152" t="n">
        <x:v>-1</x:v>
      </x:c>
      <x:c r="N1152" t="n">
        <x:v>0</x:v>
      </x:c>
      <x:c r="O1152" t="n">
        <x:v>0</x:v>
      </x:c>
      <x:c r="P1152"/>
      <x:c r="Q1152"/>
      <x:c r="R1152"/>
      <x:c r="S1152"/>
      <x:c r="T1152" t="str">
        <x:v>left</x:v>
      </x:c>
      <x:c r="U1152" t="str">
        <x:v>tackle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/>
      <x:c r="AC1152" t="n">
        <x:v>0</x:v>
      </x:c>
      <x:c r="AD1152" t="n">
        <x:v>-0.9266791426343843</x:v>
      </x:c>
      <x:c r="AE1152" t="n">
        <x:v>0</x:v>
      </x:c>
      <x:c r="AF1152" t="n">
        <x:v>-0.00007891654968261719</x:v>
      </x:c>
      <x:c r="AG1152" t="n">
        <x:f>_xlfn.XLOOKUP($A1152,Games!$A$2:$A$18,Games!$B$2:$B$18,"Missing game",0)</x:f>
        <x:v>2025</x:v>
      </x:c>
      <x:c r="AH1152" t="str">
        <x:f>_xlfn.XLOOKUP($A1152,Games!$A$2:$A$18,Games!$C$2:$C$18,"Missing game",0)</x:f>
        <x:v>REG</x:v>
      </x:c>
      <x:c r="AI1152" t="n">
        <x:f>_xlfn.XLOOKUP($A1152,Games!$A$2:$A$18,Games!$D$2:$D$18,"Missing game",0)</x:f>
        <x:v>8</x:v>
      </x:c>
      <x:c r="AJ1152" s="1" t="n">
        <x:f>_xlfn.XLOOKUP($A1152,Games!$A$2:$A$18,Games!$E$2:$E$18,"Missing game",0)</x:f>
        <x:v>45953</x:v>
      </x:c>
      <x:c r="AK1152" t="str">
        <x:f>_xlfn.XLOOKUP($A1152,Games!$A$2:$A$18,Games!$F$2:$F$18,"Missing game",0)</x:f>
        <x:v>Thursday</x:v>
      </x:c>
      <x:c r="AL1152" t="str">
        <x:f>_xlfn.XLOOKUP($A1152,Games!$A$2:$A$18,Games!$G$2:$G$18,"Missing game",0)</x:f>
        <x:v>MIN</x:v>
      </x:c>
      <x:c r="AM1152" t="n">
        <x:f>_xlfn.XLOOKUP($A1152,Games!$A$2:$A$18,Games!$H$2:$H$18,"Missing game",0)</x:f>
        <x:v>10</x:v>
      </x:c>
      <x:c r="AN1152" t="str">
        <x:f>_xlfn.XLOOKUP($A1152,Games!$A$2:$A$18,Games!$I$2:$I$18,"Missing game",0)</x:f>
        <x:v>LAC</x:v>
      </x:c>
      <x:c r="AO1152" t="n">
        <x:f>_xlfn.XLOOKUP($A1152,Games!$A$2:$A$18,Games!$J$2:$J$18,"Missing game",0)</x:f>
        <x:v>37</x:v>
      </x:c>
      <x:c r="AP1152" t="n">
        <x:f>_xlfn.XLOOKUP($A1152,Games!$A$2:$A$18,Games!$K$2:$K$18,"Missing game",0)</x:f>
        <x:v>27</x:v>
      </x:c>
      <x:c r="AQ1152" t="n">
        <x:f>_xlfn.XLOOKUP($A1152,Games!$A$2:$A$18,Games!$L$2:$L$18,"Missing game",0)</x:f>
        <x:v>47</x:v>
      </x:c>
      <x:c r="AR1152" t="n">
        <x:f>_xlfn.XLOOKUP($A1152,Games!$A$2:$A$18,Games!$M$2:$M$18,"Missing game",0)</x:f>
        <x:v>0</x:v>
      </x:c>
      <x:c r="AS1152" t="str">
        <x:f>_xlfn.XLOOKUP($A1152,Games!$A$2:$A$18,Games!$N$2:$N$18,"Missing game",0)</x:f>
        <x:v>dome</x:v>
      </x:c>
      <x:c r="AT1152" t="str">
        <x:f>_xlfn.XLOOKUP($A1152,Games!$A$2:$A$18,Games!$O$2:$O$18,"Missing game",0)</x:f>
        <x:v>matrixturf</x:v>
      </x:c>
      <x:c r="AU1152" t="str">
        <x:f>_xlfn.XLOOKUP($A1152,Games!$A$2:$A$18,Games!$P$2:$P$18,"Missing game",0)</x:f>
      </x:c>
      <x:c r="AV1152" t="str">
        <x:f>_xlfn.XLOOKUP($A1152,Games!$A$2:$A$18,Games!$Q$2:$Q$18,"Missing game",0)</x:f>
      </x:c>
      <x:c r="AW1152" t="str">
        <x:f>_xlfn.XLOOKUP($A1152,Games!$A$2:$A$18,Games!$R$2:$R$18,"Missing game",0)</x:f>
        <x:v>SoFi Stadium</x:v>
      </x:c>
    </x:row>
    <x:row r="1153">
      <x:c r="A1153" t="str">
        <x:v>2025_08_MIN_LAC</x:v>
      </x:c>
      <x:c r="B1153" t="n">
        <x:v>3530</x:v>
      </x:c>
      <x:c r="C1153" t="n">
        <x:v>4</x:v>
      </x:c>
      <x:c r="D1153" t="str">
        <x:v>09:44</x:v>
      </x:c>
      <x:c r="E1153" t="n">
        <x:v>2</x:v>
      </x:c>
      <x:c r="F1153" t="n">
        <x:v>11</x:v>
      </x:c>
      <x:c r="G1153" t="str">
        <x:v>LAC</x:v>
      </x:c>
      <x:c r="H1153" t="str">
        <x:v>MIN</x:v>
      </x:c>
      <x:c r="I1153" t="str">
        <x:v>MIN</x:v>
      </x:c>
      <x:c r="J1153" t="n">
        <x:v>37</x:v>
      </x:c>
      <x:c r="K1153" t="str">
        <x:v>(9:44) 30-K.Vidal right tackle to MIN 40 for -3 yards (61-J.Redmond, 44-J.Metellus). PENALTY on MIN-44-J.Metellus, Face Mask, 16 yards, enforced at MIN 37 - No Play.</x:v>
      </x:c>
      <x:c r="L1153" t="str">
        <x:v>no_play</x:v>
      </x:c>
      <x:c r="M1153" t="n">
        <x:v>0</x:v>
      </x:c>
      <x:c r="N1153" t="n">
        <x:v>0</x:v>
      </x:c>
      <x:c r="O1153" t="n">
        <x:v>0</x:v>
      </x:c>
      <x:c r="P1153"/>
      <x:c r="Q1153"/>
      <x:c r="R1153"/>
      <x:c r="S1153"/>
      <x:c r="T1153"/>
      <x:c r="U1153"/>
      <x:c r="V1153" t="n">
        <x:v>0</x:v>
      </x:c>
      <x:c r="W1153" t="n">
        <x:v>1</x:v>
      </x:c>
      <x:c r="X1153" t="n">
        <x:v>0</x:v>
      </x:c>
      <x:c r="Y1153" t="n">
        <x:v>0</x:v>
      </x:c>
      <x:c r="Z1153" t="n">
        <x:v>0</x:v>
      </x:c>
      <x:c r="AA1153" t="n">
        <x:v>1</x:v>
      </x:c>
      <x:c r="AB1153" t="n">
        <x:v>16</x:v>
      </x:c>
      <x:c r="AC1153" t="n">
        <x:v>0</x:v>
      </x:c>
      <x:c r="AD1153" t="n">
        <x:v>1.8867146759293973</x:v>
      </x:c>
      <x:c r="AE1153" t="n">
        <x:v>1</x:v>
      </x:c>
      <x:c r="AF1153" t="n">
        <x:v>0.0009922385215759277</x:v>
      </x:c>
      <x:c r="AG1153" t="n">
        <x:f>_xlfn.XLOOKUP($A1153,Games!$A$2:$A$18,Games!$B$2:$B$18,"Missing game",0)</x:f>
        <x:v>2025</x:v>
      </x:c>
      <x:c r="AH1153" t="str">
        <x:f>_xlfn.XLOOKUP($A1153,Games!$A$2:$A$18,Games!$C$2:$C$18,"Missing game",0)</x:f>
        <x:v>REG</x:v>
      </x:c>
      <x:c r="AI1153" t="n">
        <x:f>_xlfn.XLOOKUP($A1153,Games!$A$2:$A$18,Games!$D$2:$D$18,"Missing game",0)</x:f>
        <x:v>8</x:v>
      </x:c>
      <x:c r="AJ1153" s="1" t="n">
        <x:f>_xlfn.XLOOKUP($A1153,Games!$A$2:$A$18,Games!$E$2:$E$18,"Missing game",0)</x:f>
        <x:v>45953</x:v>
      </x:c>
      <x:c r="AK1153" t="str">
        <x:f>_xlfn.XLOOKUP($A1153,Games!$A$2:$A$18,Games!$F$2:$F$18,"Missing game",0)</x:f>
        <x:v>Thursday</x:v>
      </x:c>
      <x:c r="AL1153" t="str">
        <x:f>_xlfn.XLOOKUP($A1153,Games!$A$2:$A$18,Games!$G$2:$G$18,"Missing game",0)</x:f>
        <x:v>MIN</x:v>
      </x:c>
      <x:c r="AM1153" t="n">
        <x:f>_xlfn.XLOOKUP($A1153,Games!$A$2:$A$18,Games!$H$2:$H$18,"Missing game",0)</x:f>
        <x:v>10</x:v>
      </x:c>
      <x:c r="AN1153" t="str">
        <x:f>_xlfn.XLOOKUP($A1153,Games!$A$2:$A$18,Games!$I$2:$I$18,"Missing game",0)</x:f>
        <x:v>LAC</x:v>
      </x:c>
      <x:c r="AO1153" t="n">
        <x:f>_xlfn.XLOOKUP($A1153,Games!$A$2:$A$18,Games!$J$2:$J$18,"Missing game",0)</x:f>
        <x:v>37</x:v>
      </x:c>
      <x:c r="AP1153" t="n">
        <x:f>_xlfn.XLOOKUP($A1153,Games!$A$2:$A$18,Games!$K$2:$K$18,"Missing game",0)</x:f>
        <x:v>27</x:v>
      </x:c>
      <x:c r="AQ1153" t="n">
        <x:f>_xlfn.XLOOKUP($A1153,Games!$A$2:$A$18,Games!$L$2:$L$18,"Missing game",0)</x:f>
        <x:v>47</x:v>
      </x:c>
      <x:c r="AR1153" t="n">
        <x:f>_xlfn.XLOOKUP($A1153,Games!$A$2:$A$18,Games!$M$2:$M$18,"Missing game",0)</x:f>
        <x:v>0</x:v>
      </x:c>
      <x:c r="AS1153" t="str">
        <x:f>_xlfn.XLOOKUP($A1153,Games!$A$2:$A$18,Games!$N$2:$N$18,"Missing game",0)</x:f>
        <x:v>dome</x:v>
      </x:c>
      <x:c r="AT1153" t="str">
        <x:f>_xlfn.XLOOKUP($A1153,Games!$A$2:$A$18,Games!$O$2:$O$18,"Missing game",0)</x:f>
        <x:v>matrixturf</x:v>
      </x:c>
      <x:c r="AU1153" t="str">
        <x:f>_xlfn.XLOOKUP($A1153,Games!$A$2:$A$18,Games!$P$2:$P$18,"Missing game",0)</x:f>
      </x:c>
      <x:c r="AV1153" t="str">
        <x:f>_xlfn.XLOOKUP($A1153,Games!$A$2:$A$18,Games!$Q$2:$Q$18,"Missing game",0)</x:f>
      </x:c>
      <x:c r="AW1153" t="str">
        <x:f>_xlfn.XLOOKUP($A1153,Games!$A$2:$A$18,Games!$R$2:$R$18,"Missing game",0)</x:f>
        <x:v>SoFi Stadium</x:v>
      </x:c>
    </x:row>
    <x:row r="1154">
      <x:c r="A1154" t="str">
        <x:v>2025_08_MIN_LAC</x:v>
      </x:c>
      <x:c r="B1154" t="n">
        <x:v>3563</x:v>
      </x:c>
      <x:c r="C1154" t="n">
        <x:v>4</x:v>
      </x:c>
      <x:c r="D1154" t="str">
        <x:v>09:17</x:v>
      </x:c>
      <x:c r="E1154" t="n">
        <x:v>1</x:v>
      </x:c>
      <x:c r="F1154" t="n">
        <x:v>10</x:v>
      </x:c>
      <x:c r="G1154" t="str">
        <x:v>LAC</x:v>
      </x:c>
      <x:c r="H1154" t="str">
        <x:v>MIN</x:v>
      </x:c>
      <x:c r="I1154" t="str">
        <x:v>MIN</x:v>
      </x:c>
      <x:c r="J1154" t="n">
        <x:v>21</x:v>
      </x:c>
      <x:c r="K1154" t="str">
        <x:v>(9:17) 32-J.Patterson left guard to MIN 17 for 4 yards (97-J.Hargrave; 55-E.Wilson).</x:v>
      </x:c>
      <x:c r="L1154" t="str">
        <x:v>run</x:v>
      </x:c>
      <x:c r="M1154" t="n">
        <x:v>4</x:v>
      </x:c>
      <x:c r="N1154" t="n">
        <x:v>0</x:v>
      </x:c>
      <x:c r="O1154" t="n">
        <x:v>0</x:v>
      </x:c>
      <x:c r="P1154"/>
      <x:c r="Q1154"/>
      <x:c r="R1154"/>
      <x:c r="S1154"/>
      <x:c r="T1154" t="str">
        <x:v>left</x:v>
      </x:c>
      <x:c r="U1154" t="str">
        <x:v>guard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/>
      <x:c r="AC1154" t="n">
        <x:v>0</x:v>
      </x:c>
      <x:c r="AD1154" t="n">
        <x:v>-0.09691908792592585</x:v>
      </x:c>
      <x:c r="AE1154" t="n">
        <x:v>0</x:v>
      </x:c>
      <x:c r="AF1154" t="n">
        <x:v>-0.00008511543273925781</x:v>
      </x:c>
      <x:c r="AG1154" t="n">
        <x:f>_xlfn.XLOOKUP($A1154,Games!$A$2:$A$18,Games!$B$2:$B$18,"Missing game",0)</x:f>
        <x:v>2025</x:v>
      </x:c>
      <x:c r="AH1154" t="str">
        <x:f>_xlfn.XLOOKUP($A1154,Games!$A$2:$A$18,Games!$C$2:$C$18,"Missing game",0)</x:f>
        <x:v>REG</x:v>
      </x:c>
      <x:c r="AI1154" t="n">
        <x:f>_xlfn.XLOOKUP($A1154,Games!$A$2:$A$18,Games!$D$2:$D$18,"Missing game",0)</x:f>
        <x:v>8</x:v>
      </x:c>
      <x:c r="AJ1154" s="1" t="n">
        <x:f>_xlfn.XLOOKUP($A1154,Games!$A$2:$A$18,Games!$E$2:$E$18,"Missing game",0)</x:f>
        <x:v>45953</x:v>
      </x:c>
      <x:c r="AK1154" t="str">
        <x:f>_xlfn.XLOOKUP($A1154,Games!$A$2:$A$18,Games!$F$2:$F$18,"Missing game",0)</x:f>
        <x:v>Thursday</x:v>
      </x:c>
      <x:c r="AL1154" t="str">
        <x:f>_xlfn.XLOOKUP($A1154,Games!$A$2:$A$18,Games!$G$2:$G$18,"Missing game",0)</x:f>
        <x:v>MIN</x:v>
      </x:c>
      <x:c r="AM1154" t="n">
        <x:f>_xlfn.XLOOKUP($A1154,Games!$A$2:$A$18,Games!$H$2:$H$18,"Missing game",0)</x:f>
        <x:v>10</x:v>
      </x:c>
      <x:c r="AN1154" t="str">
        <x:f>_xlfn.XLOOKUP($A1154,Games!$A$2:$A$18,Games!$I$2:$I$18,"Missing game",0)</x:f>
        <x:v>LAC</x:v>
      </x:c>
      <x:c r="AO1154" t="n">
        <x:f>_xlfn.XLOOKUP($A1154,Games!$A$2:$A$18,Games!$J$2:$J$18,"Missing game",0)</x:f>
        <x:v>37</x:v>
      </x:c>
      <x:c r="AP1154" t="n">
        <x:f>_xlfn.XLOOKUP($A1154,Games!$A$2:$A$18,Games!$K$2:$K$18,"Missing game",0)</x:f>
        <x:v>27</x:v>
      </x:c>
      <x:c r="AQ1154" t="n">
        <x:f>_xlfn.XLOOKUP($A1154,Games!$A$2:$A$18,Games!$L$2:$L$18,"Missing game",0)</x:f>
        <x:v>47</x:v>
      </x:c>
      <x:c r="AR1154" t="n">
        <x:f>_xlfn.XLOOKUP($A1154,Games!$A$2:$A$18,Games!$M$2:$M$18,"Missing game",0)</x:f>
        <x:v>0</x:v>
      </x:c>
      <x:c r="AS1154" t="str">
        <x:f>_xlfn.XLOOKUP($A1154,Games!$A$2:$A$18,Games!$N$2:$N$18,"Missing game",0)</x:f>
        <x:v>dome</x:v>
      </x:c>
      <x:c r="AT1154" t="str">
        <x:f>_xlfn.XLOOKUP($A1154,Games!$A$2:$A$18,Games!$O$2:$O$18,"Missing game",0)</x:f>
        <x:v>matrixturf</x:v>
      </x:c>
      <x:c r="AU1154" t="str">
        <x:f>_xlfn.XLOOKUP($A1154,Games!$A$2:$A$18,Games!$P$2:$P$18,"Missing game",0)</x:f>
      </x:c>
      <x:c r="AV1154" t="str">
        <x:f>_xlfn.XLOOKUP($A1154,Games!$A$2:$A$18,Games!$Q$2:$Q$18,"Missing game",0)</x:f>
      </x:c>
      <x:c r="AW1154" t="str">
        <x:f>_xlfn.XLOOKUP($A1154,Games!$A$2:$A$18,Games!$R$2:$R$18,"Missing game",0)</x:f>
        <x:v>SoFi Stadium</x:v>
      </x:c>
    </x:row>
    <x:row r="1155">
      <x:c r="A1155" t="str">
        <x:v>2025_08_MIN_LAC</x:v>
      </x:c>
      <x:c r="B1155" t="n">
        <x:v>3585</x:v>
      </x:c>
      <x:c r="C1155" t="n">
        <x:v>4</x:v>
      </x:c>
      <x:c r="D1155" t="str">
        <x:v>08:33</x:v>
      </x:c>
      <x:c r="E1155" t="n">
        <x:v>2</x:v>
      </x:c>
      <x:c r="F1155" t="n">
        <x:v>6</x:v>
      </x:c>
      <x:c r="G1155" t="str">
        <x:v>LAC</x:v>
      </x:c>
      <x:c r="H1155" t="str">
        <x:v>MIN</x:v>
      </x:c>
      <x:c r="I1155" t="str">
        <x:v>MIN</x:v>
      </x:c>
      <x:c r="J1155" t="n">
        <x:v>17</x:v>
      </x:c>
      <x:c r="K1155" t="str">
        <x:v>(8:33) 10-J.Herbert sacked at MIN 25 for -8 yards (93-J.Allen).</x:v>
      </x:c>
      <x:c r="L1155" t="str">
        <x:v>pass</x:v>
      </x:c>
      <x:c r="M1155" t="n">
        <x:v>-8</x:v>
      </x:c>
      <x:c r="N1155" t="n">
        <x:v>0</x:v>
      </x:c>
      <x:c r="O1155" t="n">
        <x:v>0</x:v>
      </x:c>
      <x:c r="P1155"/>
      <x:c r="Q1155"/>
      <x:c r="R1155"/>
      <x:c r="S1155"/>
      <x:c r="T1155"/>
      <x:c r="U1155"/>
      <x:c r="V1155" t="n">
        <x:v>0</x:v>
      </x:c>
      <x:c r="W1155" t="n">
        <x:v>0</x:v>
      </x:c>
      <x:c r="X1155" t="n">
        <x:v>1</x:v>
      </x:c>
      <x:c r="Y1155" t="n">
        <x:v>0</x:v>
      </x:c>
      <x:c r="Z1155" t="n">
        <x:v>0</x:v>
      </x:c>
      <x:c r="AA1155" t="n">
        <x:v>0</x:v>
      </x:c>
      <x:c r="AB1155"/>
      <x:c r="AC1155" t="n">
        <x:v>0</x:v>
      </x:c>
      <x:c r="AD1155" t="n">
        <x:v>-1.7796281581977382</x:v>
      </x:c>
      <x:c r="AE1155" t="n">
        <x:v>0</x:v>
      </x:c>
      <x:c r="AF1155" t="n">
        <x:v>-0.0002186894416809082</x:v>
      </x:c>
      <x:c r="AG1155" t="n">
        <x:f>_xlfn.XLOOKUP($A1155,Games!$A$2:$A$18,Games!$B$2:$B$18,"Missing game",0)</x:f>
        <x:v>2025</x:v>
      </x:c>
      <x:c r="AH1155" t="str">
        <x:f>_xlfn.XLOOKUP($A1155,Games!$A$2:$A$18,Games!$C$2:$C$18,"Missing game",0)</x:f>
        <x:v>REG</x:v>
      </x:c>
      <x:c r="AI1155" t="n">
        <x:f>_xlfn.XLOOKUP($A1155,Games!$A$2:$A$18,Games!$D$2:$D$18,"Missing game",0)</x:f>
        <x:v>8</x:v>
      </x:c>
      <x:c r="AJ1155" s="1" t="n">
        <x:f>_xlfn.XLOOKUP($A1155,Games!$A$2:$A$18,Games!$E$2:$E$18,"Missing game",0)</x:f>
        <x:v>45953</x:v>
      </x:c>
      <x:c r="AK1155" t="str">
        <x:f>_xlfn.XLOOKUP($A1155,Games!$A$2:$A$18,Games!$F$2:$F$18,"Missing game",0)</x:f>
        <x:v>Thursday</x:v>
      </x:c>
      <x:c r="AL1155" t="str">
        <x:f>_xlfn.XLOOKUP($A1155,Games!$A$2:$A$18,Games!$G$2:$G$18,"Missing game",0)</x:f>
        <x:v>MIN</x:v>
      </x:c>
      <x:c r="AM1155" t="n">
        <x:f>_xlfn.XLOOKUP($A1155,Games!$A$2:$A$18,Games!$H$2:$H$18,"Missing game",0)</x:f>
        <x:v>10</x:v>
      </x:c>
      <x:c r="AN1155" t="str">
        <x:f>_xlfn.XLOOKUP($A1155,Games!$A$2:$A$18,Games!$I$2:$I$18,"Missing game",0)</x:f>
        <x:v>LAC</x:v>
      </x:c>
      <x:c r="AO1155" t="n">
        <x:f>_xlfn.XLOOKUP($A1155,Games!$A$2:$A$18,Games!$J$2:$J$18,"Missing game",0)</x:f>
        <x:v>37</x:v>
      </x:c>
      <x:c r="AP1155" t="n">
        <x:f>_xlfn.XLOOKUP($A1155,Games!$A$2:$A$18,Games!$K$2:$K$18,"Missing game",0)</x:f>
        <x:v>27</x:v>
      </x:c>
      <x:c r="AQ1155" t="n">
        <x:f>_xlfn.XLOOKUP($A1155,Games!$A$2:$A$18,Games!$L$2:$L$18,"Missing game",0)</x:f>
        <x:v>47</x:v>
      </x:c>
      <x:c r="AR1155" t="n">
        <x:f>_xlfn.XLOOKUP($A1155,Games!$A$2:$A$18,Games!$M$2:$M$18,"Missing game",0)</x:f>
        <x:v>0</x:v>
      </x:c>
      <x:c r="AS1155" t="str">
        <x:f>_xlfn.XLOOKUP($A1155,Games!$A$2:$A$18,Games!$N$2:$N$18,"Missing game",0)</x:f>
        <x:v>dome</x:v>
      </x:c>
      <x:c r="AT1155" t="str">
        <x:f>_xlfn.XLOOKUP($A1155,Games!$A$2:$A$18,Games!$O$2:$O$18,"Missing game",0)</x:f>
        <x:v>matrixturf</x:v>
      </x:c>
      <x:c r="AU1155" t="str">
        <x:f>_xlfn.XLOOKUP($A1155,Games!$A$2:$A$18,Games!$P$2:$P$18,"Missing game",0)</x:f>
      </x:c>
      <x:c r="AV1155" t="str">
        <x:f>_xlfn.XLOOKUP($A1155,Games!$A$2:$A$18,Games!$Q$2:$Q$18,"Missing game",0)</x:f>
      </x:c>
      <x:c r="AW1155" t="str">
        <x:f>_xlfn.XLOOKUP($A1155,Games!$A$2:$A$18,Games!$R$2:$R$18,"Missing game",0)</x:f>
        <x:v>SoFi Stadium</x:v>
      </x:c>
    </x:row>
    <x:row r="1156">
      <x:c r="A1156" t="str">
        <x:v>2025_08_MIN_LAC</x:v>
      </x:c>
      <x:c r="B1156" t="n">
        <x:v>3605</x:v>
      </x:c>
      <x:c r="C1156" t="n">
        <x:v>4</x:v>
      </x:c>
      <x:c r="D1156" t="str">
        <x:v>07:51</x:v>
      </x:c>
      <x:c r="E1156" t="n">
        <x:v>3</x:v>
      </x:c>
      <x:c r="F1156" t="n">
        <x:v>14</x:v>
      </x:c>
      <x:c r="G1156" t="str">
        <x:v>LAC</x:v>
      </x:c>
      <x:c r="H1156" t="str">
        <x:v>MIN</x:v>
      </x:c>
      <x:c r="I1156" t="str">
        <x:v>MIN</x:v>
      </x:c>
      <x:c r="J1156" t="n">
        <x:v>25</x:v>
      </x:c>
      <x:c r="K1156" t="str">
        <x:v>(7:51) (Shotgun) 30-K.Vidal right guard to MIN 16 for 9 yards (44-J.Metellus; 26-T.Jackson).</x:v>
      </x:c>
      <x:c r="L1156" t="str">
        <x:v>run</x:v>
      </x:c>
      <x:c r="M1156" t="n">
        <x:v>9</x:v>
      </x:c>
      <x:c r="N1156" t="n">
        <x:v>1</x:v>
      </x:c>
      <x:c r="O1156" t="n">
        <x:v>0</x:v>
      </x:c>
      <x:c r="P1156"/>
      <x:c r="Q1156"/>
      <x:c r="R1156"/>
      <x:c r="S1156"/>
      <x:c r="T1156" t="str">
        <x:v>right</x:v>
      </x:c>
      <x:c r="U1156" t="str">
        <x:v>guard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/>
      <x:c r="AC1156" t="n">
        <x:v>0</x:v>
      </x:c>
      <x:c r="AD1156" t="n">
        <x:v>-0.019681640788591803</x:v>
      </x:c>
      <x:c r="AE1156" t="n">
        <x:v>0</x:v>
      </x:c>
      <x:c r="AF1156" t="n">
        <x:v>-0.000014185905456542969</x:v>
      </x:c>
      <x:c r="AG1156" t="n">
        <x:f>_xlfn.XLOOKUP($A1156,Games!$A$2:$A$18,Games!$B$2:$B$18,"Missing game",0)</x:f>
        <x:v>2025</x:v>
      </x:c>
      <x:c r="AH1156" t="str">
        <x:f>_xlfn.XLOOKUP($A1156,Games!$A$2:$A$18,Games!$C$2:$C$18,"Missing game",0)</x:f>
        <x:v>REG</x:v>
      </x:c>
      <x:c r="AI1156" t="n">
        <x:f>_xlfn.XLOOKUP($A1156,Games!$A$2:$A$18,Games!$D$2:$D$18,"Missing game",0)</x:f>
        <x:v>8</x:v>
      </x:c>
      <x:c r="AJ1156" s="1" t="n">
        <x:f>_xlfn.XLOOKUP($A1156,Games!$A$2:$A$18,Games!$E$2:$E$18,"Missing game",0)</x:f>
        <x:v>45953</x:v>
      </x:c>
      <x:c r="AK1156" t="str">
        <x:f>_xlfn.XLOOKUP($A1156,Games!$A$2:$A$18,Games!$F$2:$F$18,"Missing game",0)</x:f>
        <x:v>Thursday</x:v>
      </x:c>
      <x:c r="AL1156" t="str">
        <x:f>_xlfn.XLOOKUP($A1156,Games!$A$2:$A$18,Games!$G$2:$G$18,"Missing game",0)</x:f>
        <x:v>MIN</x:v>
      </x:c>
      <x:c r="AM1156" t="n">
        <x:f>_xlfn.XLOOKUP($A1156,Games!$A$2:$A$18,Games!$H$2:$H$18,"Missing game",0)</x:f>
        <x:v>10</x:v>
      </x:c>
      <x:c r="AN1156" t="str">
        <x:f>_xlfn.XLOOKUP($A1156,Games!$A$2:$A$18,Games!$I$2:$I$18,"Missing game",0)</x:f>
        <x:v>LAC</x:v>
      </x:c>
      <x:c r="AO1156" t="n">
        <x:f>_xlfn.XLOOKUP($A1156,Games!$A$2:$A$18,Games!$J$2:$J$18,"Missing game",0)</x:f>
        <x:v>37</x:v>
      </x:c>
      <x:c r="AP1156" t="n">
        <x:f>_xlfn.XLOOKUP($A1156,Games!$A$2:$A$18,Games!$K$2:$K$18,"Missing game",0)</x:f>
        <x:v>27</x:v>
      </x:c>
      <x:c r="AQ1156" t="n">
        <x:f>_xlfn.XLOOKUP($A1156,Games!$A$2:$A$18,Games!$L$2:$L$18,"Missing game",0)</x:f>
        <x:v>47</x:v>
      </x:c>
      <x:c r="AR1156" t="n">
        <x:f>_xlfn.XLOOKUP($A1156,Games!$A$2:$A$18,Games!$M$2:$M$18,"Missing game",0)</x:f>
        <x:v>0</x:v>
      </x:c>
      <x:c r="AS1156" t="str">
        <x:f>_xlfn.XLOOKUP($A1156,Games!$A$2:$A$18,Games!$N$2:$N$18,"Missing game",0)</x:f>
        <x:v>dome</x:v>
      </x:c>
      <x:c r="AT1156" t="str">
        <x:f>_xlfn.XLOOKUP($A1156,Games!$A$2:$A$18,Games!$O$2:$O$18,"Missing game",0)</x:f>
        <x:v>matrixturf</x:v>
      </x:c>
      <x:c r="AU1156" t="str">
        <x:f>_xlfn.XLOOKUP($A1156,Games!$A$2:$A$18,Games!$P$2:$P$18,"Missing game",0)</x:f>
      </x:c>
      <x:c r="AV1156" t="str">
        <x:f>_xlfn.XLOOKUP($A1156,Games!$A$2:$A$18,Games!$Q$2:$Q$18,"Missing game",0)</x:f>
      </x:c>
      <x:c r="AW1156" t="str">
        <x:f>_xlfn.XLOOKUP($A1156,Games!$A$2:$A$18,Games!$R$2:$R$18,"Missing game",0)</x:f>
        <x:v>SoFi Stadium</x:v>
      </x:c>
    </x:row>
    <x:row r="1157">
      <x:c r="A1157" t="str">
        <x:v>2025_08_MIN_LAC</x:v>
      </x:c>
      <x:c r="B1157" t="n">
        <x:v>3627</x:v>
      </x:c>
      <x:c r="C1157" t="n">
        <x:v>4</x:v>
      </x:c>
      <x:c r="D1157" t="str">
        <x:v>07:04</x:v>
      </x:c>
      <x:c r="E1157" t="n">
        <x:v>4</x:v>
      </x:c>
      <x:c r="F1157" t="n">
        <x:v>5</x:v>
      </x:c>
      <x:c r="G1157" t="str">
        <x:v>LAC</x:v>
      </x:c>
      <x:c r="H1157" t="str">
        <x:v>MIN</x:v>
      </x:c>
      <x:c r="I1157" t="str">
        <x:v>MIN</x:v>
      </x:c>
      <x:c r="J1157" t="n">
        <x:v>16</x:v>
      </x:c>
      <x:c r="K1157" t="str">
        <x:v>(7:04) 11-C.Dicker 34 yard field goal is GOOD, Center-41-R.Lovato, Holder-16-J.Scott.</x:v>
      </x:c>
      <x:c r="L1157" t="str">
        <x:v>field_goal</x:v>
      </x:c>
      <x:c r="M1157" t="n">
        <x:v>0</x:v>
      </x:c>
      <x:c r="N1157" t="n">
        <x:v>0</x:v>
      </x:c>
      <x:c r="O1157" t="n">
        <x:v>0</x:v>
      </x:c>
      <x:c r="P1157"/>
      <x:c r="Q1157"/>
      <x:c r="R1157"/>
      <x:c r="S1157"/>
      <x:c r="T1157"/>
      <x:c r="U1157"/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/>
      <x:c r="AC1157" t="n">
        <x:v>0</x:v>
      </x:c>
      <x:c r="AD1157" t="n">
        <x:v>0.24776379671381354</x:v>
      </x:c>
      <x:c r="AE1157" t="n">
        <x:v>1</x:v>
      </x:c>
      <x:c r="AF1157" t="n">
        <x:v>0.0002945084706880152</x:v>
      </x:c>
      <x:c r="AG1157" t="n">
        <x:f>_xlfn.XLOOKUP($A1157,Games!$A$2:$A$18,Games!$B$2:$B$18,"Missing game",0)</x:f>
        <x:v>2025</x:v>
      </x:c>
      <x:c r="AH1157" t="str">
        <x:f>_xlfn.XLOOKUP($A1157,Games!$A$2:$A$18,Games!$C$2:$C$18,"Missing game",0)</x:f>
        <x:v>REG</x:v>
      </x:c>
      <x:c r="AI1157" t="n">
        <x:f>_xlfn.XLOOKUP($A1157,Games!$A$2:$A$18,Games!$D$2:$D$18,"Missing game",0)</x:f>
        <x:v>8</x:v>
      </x:c>
      <x:c r="AJ1157" s="1" t="n">
        <x:f>_xlfn.XLOOKUP($A1157,Games!$A$2:$A$18,Games!$E$2:$E$18,"Missing game",0)</x:f>
        <x:v>45953</x:v>
      </x:c>
      <x:c r="AK1157" t="str">
        <x:f>_xlfn.XLOOKUP($A1157,Games!$A$2:$A$18,Games!$F$2:$F$18,"Missing game",0)</x:f>
        <x:v>Thursday</x:v>
      </x:c>
      <x:c r="AL1157" t="str">
        <x:f>_xlfn.XLOOKUP($A1157,Games!$A$2:$A$18,Games!$G$2:$G$18,"Missing game",0)</x:f>
        <x:v>MIN</x:v>
      </x:c>
      <x:c r="AM1157" t="n">
        <x:f>_xlfn.XLOOKUP($A1157,Games!$A$2:$A$18,Games!$H$2:$H$18,"Missing game",0)</x:f>
        <x:v>10</x:v>
      </x:c>
      <x:c r="AN1157" t="str">
        <x:f>_xlfn.XLOOKUP($A1157,Games!$A$2:$A$18,Games!$I$2:$I$18,"Missing game",0)</x:f>
        <x:v>LAC</x:v>
      </x:c>
      <x:c r="AO1157" t="n">
        <x:f>_xlfn.XLOOKUP($A1157,Games!$A$2:$A$18,Games!$J$2:$J$18,"Missing game",0)</x:f>
        <x:v>37</x:v>
      </x:c>
      <x:c r="AP1157" t="n">
        <x:f>_xlfn.XLOOKUP($A1157,Games!$A$2:$A$18,Games!$K$2:$K$18,"Missing game",0)</x:f>
        <x:v>27</x:v>
      </x:c>
      <x:c r="AQ1157" t="n">
        <x:f>_xlfn.XLOOKUP($A1157,Games!$A$2:$A$18,Games!$L$2:$L$18,"Missing game",0)</x:f>
        <x:v>47</x:v>
      </x:c>
      <x:c r="AR1157" t="n">
        <x:f>_xlfn.XLOOKUP($A1157,Games!$A$2:$A$18,Games!$M$2:$M$18,"Missing game",0)</x:f>
        <x:v>0</x:v>
      </x:c>
      <x:c r="AS1157" t="str">
        <x:f>_xlfn.XLOOKUP($A1157,Games!$A$2:$A$18,Games!$N$2:$N$18,"Missing game",0)</x:f>
        <x:v>dome</x:v>
      </x:c>
      <x:c r="AT1157" t="str">
        <x:f>_xlfn.XLOOKUP($A1157,Games!$A$2:$A$18,Games!$O$2:$O$18,"Missing game",0)</x:f>
        <x:v>matrixturf</x:v>
      </x:c>
      <x:c r="AU1157" t="str">
        <x:f>_xlfn.XLOOKUP($A1157,Games!$A$2:$A$18,Games!$P$2:$P$18,"Missing game",0)</x:f>
      </x:c>
      <x:c r="AV1157" t="str">
        <x:f>_xlfn.XLOOKUP($A1157,Games!$A$2:$A$18,Games!$Q$2:$Q$18,"Missing game",0)</x:f>
      </x:c>
      <x:c r="AW1157" t="str">
        <x:f>_xlfn.XLOOKUP($A1157,Games!$A$2:$A$18,Games!$R$2:$R$18,"Missing game",0)</x:f>
        <x:v>SoFi Stadium</x:v>
      </x:c>
    </x:row>
    <x:row r="1158">
      <x:c r="A1158" t="str">
        <x:v>2025_08_MIN_LAC</x:v>
      </x:c>
      <x:c r="B1158" t="n">
        <x:v>3647</x:v>
      </x:c>
      <x:c r="C1158" t="n">
        <x:v>4</x:v>
      </x:c>
      <x:c r="D1158" t="str">
        <x:v>07:01</x:v>
      </x:c>
      <x:c r="E1158"/>
      <x:c r="F1158" t="n">
        <x:v>0</x:v>
      </x:c>
      <x:c r="G1158" t="str">
        <x:v>MIN</x:v>
      </x:c>
      <x:c r="H1158" t="str">
        <x:v>LAC</x:v>
      </x:c>
      <x:c r="I1158" t="str">
        <x:v>LAC</x:v>
      </x:c>
      <x:c r="J1158" t="n">
        <x:v>35</x:v>
      </x:c>
      <x:c r="K1158" t="str">
        <x:v>11-C.Dicker kicks 65 yards from LAC 35 to end zone, Touchback to the MIN 35.</x:v>
      </x:c>
      <x:c r="L1158" t="str">
        <x:v>kickoff</x:v>
      </x:c>
      <x:c r="M1158" t="n">
        <x:v>0</x:v>
      </x:c>
      <x:c r="N1158" t="n">
        <x:v>0</x:v>
      </x:c>
      <x:c r="O1158" t="n">
        <x:v>0</x:v>
      </x:c>
      <x:c r="P1158"/>
      <x:c r="Q1158"/>
      <x:c r="R1158"/>
      <x:c r="S1158"/>
      <x:c r="T1158"/>
      <x:c r="U1158"/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/>
      <x:c r="AC1158" t="n">
        <x:v>0</x:v>
      </x:c>
      <x:c r="AD1158" t="n">
        <x:v>0.5095302327536047</x:v>
      </x:c>
      <x:c r="AE1158" t="n">
        <x:v>1</x:v>
      </x:c>
      <x:c r="AF1158" t="n">
        <x:v>-0.00004859259934164584</x:v>
      </x:c>
      <x:c r="AG1158" t="n">
        <x:f>_xlfn.XLOOKUP($A1158,Games!$A$2:$A$18,Games!$B$2:$B$18,"Missing game",0)</x:f>
        <x:v>2025</x:v>
      </x:c>
      <x:c r="AH1158" t="str">
        <x:f>_xlfn.XLOOKUP($A1158,Games!$A$2:$A$18,Games!$C$2:$C$18,"Missing game",0)</x:f>
        <x:v>REG</x:v>
      </x:c>
      <x:c r="AI1158" t="n">
        <x:f>_xlfn.XLOOKUP($A1158,Games!$A$2:$A$18,Games!$D$2:$D$18,"Missing game",0)</x:f>
        <x:v>8</x:v>
      </x:c>
      <x:c r="AJ1158" s="1" t="n">
        <x:f>_xlfn.XLOOKUP($A1158,Games!$A$2:$A$18,Games!$E$2:$E$18,"Missing game",0)</x:f>
        <x:v>45953</x:v>
      </x:c>
      <x:c r="AK1158" t="str">
        <x:f>_xlfn.XLOOKUP($A1158,Games!$A$2:$A$18,Games!$F$2:$F$18,"Missing game",0)</x:f>
        <x:v>Thursday</x:v>
      </x:c>
      <x:c r="AL1158" t="str">
        <x:f>_xlfn.XLOOKUP($A1158,Games!$A$2:$A$18,Games!$G$2:$G$18,"Missing game",0)</x:f>
        <x:v>MIN</x:v>
      </x:c>
      <x:c r="AM1158" t="n">
        <x:f>_xlfn.XLOOKUP($A1158,Games!$A$2:$A$18,Games!$H$2:$H$18,"Missing game",0)</x:f>
        <x:v>10</x:v>
      </x:c>
      <x:c r="AN1158" t="str">
        <x:f>_xlfn.XLOOKUP($A1158,Games!$A$2:$A$18,Games!$I$2:$I$18,"Missing game",0)</x:f>
        <x:v>LAC</x:v>
      </x:c>
      <x:c r="AO1158" t="n">
        <x:f>_xlfn.XLOOKUP($A1158,Games!$A$2:$A$18,Games!$J$2:$J$18,"Missing game",0)</x:f>
        <x:v>37</x:v>
      </x:c>
      <x:c r="AP1158" t="n">
        <x:f>_xlfn.XLOOKUP($A1158,Games!$A$2:$A$18,Games!$K$2:$K$18,"Missing game",0)</x:f>
        <x:v>27</x:v>
      </x:c>
      <x:c r="AQ1158" t="n">
        <x:f>_xlfn.XLOOKUP($A1158,Games!$A$2:$A$18,Games!$L$2:$L$18,"Missing game",0)</x:f>
        <x:v>47</x:v>
      </x:c>
      <x:c r="AR1158" t="n">
        <x:f>_xlfn.XLOOKUP($A1158,Games!$A$2:$A$18,Games!$M$2:$M$18,"Missing game",0)</x:f>
        <x:v>0</x:v>
      </x:c>
      <x:c r="AS1158" t="str">
        <x:f>_xlfn.XLOOKUP($A1158,Games!$A$2:$A$18,Games!$N$2:$N$18,"Missing game",0)</x:f>
        <x:v>dome</x:v>
      </x:c>
      <x:c r="AT1158" t="str">
        <x:f>_xlfn.XLOOKUP($A1158,Games!$A$2:$A$18,Games!$O$2:$O$18,"Missing game",0)</x:f>
        <x:v>matrixturf</x:v>
      </x:c>
      <x:c r="AU1158" t="str">
        <x:f>_xlfn.XLOOKUP($A1158,Games!$A$2:$A$18,Games!$P$2:$P$18,"Missing game",0)</x:f>
      </x:c>
      <x:c r="AV1158" t="str">
        <x:f>_xlfn.XLOOKUP($A1158,Games!$A$2:$A$18,Games!$Q$2:$Q$18,"Missing game",0)</x:f>
      </x:c>
      <x:c r="AW1158" t="str">
        <x:f>_xlfn.XLOOKUP($A1158,Games!$A$2:$A$18,Games!$R$2:$R$18,"Missing game",0)</x:f>
        <x:v>SoFi Stadium</x:v>
      </x:c>
    </x:row>
    <x:row r="1159">
      <x:c r="A1159" t="str">
        <x:v>2025_08_MIN_LAC</x:v>
      </x:c>
      <x:c r="B1159" t="n">
        <x:v>3680</x:v>
      </x:c>
      <x:c r="C1159" t="n">
        <x:v>4</x:v>
      </x:c>
      <x:c r="D1159" t="str">
        <x:v>07:01</x:v>
      </x:c>
      <x:c r="E1159" t="n">
        <x:v>1</x:v>
      </x:c>
      <x:c r="F1159" t="n">
        <x:v>10</x:v>
      </x:c>
      <x:c r="G1159" t="str">
        <x:v>MIN</x:v>
      </x:c>
      <x:c r="H1159" t="str">
        <x:v>LAC</x:v>
      </x:c>
      <x:c r="I1159" t="str">
        <x:v>MIN</x:v>
      </x:c>
      <x:c r="J1159" t="n">
        <x:v>65</x:v>
      </x:c>
      <x:c r="K1159" t="str">
        <x:v>(7:01) (Shotgun) 11-C.Wentz pass short right to 18-J.Jefferson to MIN 37 for 2 yards (20-C.Hart).</x:v>
      </x:c>
      <x:c r="L1159" t="str">
        <x:v>pass</x:v>
      </x:c>
      <x:c r="M1159" t="n">
        <x:v>2</x:v>
      </x:c>
      <x:c r="N1159" t="n">
        <x:v>1</x:v>
      </x:c>
      <x:c r="O1159" t="n">
        <x:v>0</x:v>
      </x:c>
      <x:c r="P1159" t="str">
        <x:v>short</x:v>
      </x:c>
      <x:c r="Q1159" t="str">
        <x:v>right</x:v>
      </x:c>
      <x:c r="R1159" t="n">
        <x:v>-3</x:v>
      </x:c>
      <x:c r="S1159" t="n">
        <x:v>5</x:v>
      </x:c>
      <x:c r="T1159"/>
      <x:c r="U1159"/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/>
      <x:c r="AC1159" t="n">
        <x:v>0</x:v>
      </x:c>
      <x:c r="AD1159" t="n">
        <x:v>-0.35839457623660564</x:v>
      </x:c>
      <x:c r="AE1159" t="n">
        <x:v>0</x:v>
      </x:c>
      <x:c r="AF1159" t="n">
        <x:v>-0.00011014143819920719</x:v>
      </x:c>
      <x:c r="AG1159" t="n">
        <x:f>_xlfn.XLOOKUP($A1159,Games!$A$2:$A$18,Games!$B$2:$B$18,"Missing game",0)</x:f>
        <x:v>2025</x:v>
      </x:c>
      <x:c r="AH1159" t="str">
        <x:f>_xlfn.XLOOKUP($A1159,Games!$A$2:$A$18,Games!$C$2:$C$18,"Missing game",0)</x:f>
        <x:v>REG</x:v>
      </x:c>
      <x:c r="AI1159" t="n">
        <x:f>_xlfn.XLOOKUP($A1159,Games!$A$2:$A$18,Games!$D$2:$D$18,"Missing game",0)</x:f>
        <x:v>8</x:v>
      </x:c>
      <x:c r="AJ1159" s="1" t="n">
        <x:f>_xlfn.XLOOKUP($A1159,Games!$A$2:$A$18,Games!$E$2:$E$18,"Missing game",0)</x:f>
        <x:v>45953</x:v>
      </x:c>
      <x:c r="AK1159" t="str">
        <x:f>_xlfn.XLOOKUP($A1159,Games!$A$2:$A$18,Games!$F$2:$F$18,"Missing game",0)</x:f>
        <x:v>Thursday</x:v>
      </x:c>
      <x:c r="AL1159" t="str">
        <x:f>_xlfn.XLOOKUP($A1159,Games!$A$2:$A$18,Games!$G$2:$G$18,"Missing game",0)</x:f>
        <x:v>MIN</x:v>
      </x:c>
      <x:c r="AM1159" t="n">
        <x:f>_xlfn.XLOOKUP($A1159,Games!$A$2:$A$18,Games!$H$2:$H$18,"Missing game",0)</x:f>
        <x:v>10</x:v>
      </x:c>
      <x:c r="AN1159" t="str">
        <x:f>_xlfn.XLOOKUP($A1159,Games!$A$2:$A$18,Games!$I$2:$I$18,"Missing game",0)</x:f>
        <x:v>LAC</x:v>
      </x:c>
      <x:c r="AO1159" t="n">
        <x:f>_xlfn.XLOOKUP($A1159,Games!$A$2:$A$18,Games!$J$2:$J$18,"Missing game",0)</x:f>
        <x:v>37</x:v>
      </x:c>
      <x:c r="AP1159" t="n">
        <x:f>_xlfn.XLOOKUP($A1159,Games!$A$2:$A$18,Games!$K$2:$K$18,"Missing game",0)</x:f>
        <x:v>27</x:v>
      </x:c>
      <x:c r="AQ1159" t="n">
        <x:f>_xlfn.XLOOKUP($A1159,Games!$A$2:$A$18,Games!$L$2:$L$18,"Missing game",0)</x:f>
        <x:v>47</x:v>
      </x:c>
      <x:c r="AR1159" t="n">
        <x:f>_xlfn.XLOOKUP($A1159,Games!$A$2:$A$18,Games!$M$2:$M$18,"Missing game",0)</x:f>
        <x:v>0</x:v>
      </x:c>
      <x:c r="AS1159" t="str">
        <x:f>_xlfn.XLOOKUP($A1159,Games!$A$2:$A$18,Games!$N$2:$N$18,"Missing game",0)</x:f>
        <x:v>dome</x:v>
      </x:c>
      <x:c r="AT1159" t="str">
        <x:f>_xlfn.XLOOKUP($A1159,Games!$A$2:$A$18,Games!$O$2:$O$18,"Missing game",0)</x:f>
        <x:v>matrixturf</x:v>
      </x:c>
      <x:c r="AU1159" t="str">
        <x:f>_xlfn.XLOOKUP($A1159,Games!$A$2:$A$18,Games!$P$2:$P$18,"Missing game",0)</x:f>
      </x:c>
      <x:c r="AV1159" t="str">
        <x:f>_xlfn.XLOOKUP($A1159,Games!$A$2:$A$18,Games!$Q$2:$Q$18,"Missing game",0)</x:f>
      </x:c>
      <x:c r="AW1159" t="str">
        <x:f>_xlfn.XLOOKUP($A1159,Games!$A$2:$A$18,Games!$R$2:$R$18,"Missing game",0)</x:f>
        <x:v>SoFi Stadium</x:v>
      </x:c>
    </x:row>
    <x:row r="1160">
      <x:c r="A1160" t="str">
        <x:v>2025_08_MIN_LAC</x:v>
      </x:c>
      <x:c r="B1160" t="n">
        <x:v>3705</x:v>
      </x:c>
      <x:c r="C1160" t="n">
        <x:v>4</x:v>
      </x:c>
      <x:c r="D1160" t="str">
        <x:v>06:35</x:v>
      </x:c>
      <x:c r="E1160" t="n">
        <x:v>2</x:v>
      </x:c>
      <x:c r="F1160" t="n">
        <x:v>8</x:v>
      </x:c>
      <x:c r="G1160" t="str">
        <x:v>MIN</x:v>
      </x:c>
      <x:c r="H1160" t="str">
        <x:v>LAC</x:v>
      </x:c>
      <x:c r="I1160" t="str">
        <x:v>MIN</x:v>
      </x:c>
      <x:c r="J1160" t="n">
        <x:v>63</x:v>
      </x:c>
      <x:c r="K1160" t="str">
        <x:v>(6:35) (No Huddle, Shotgun) 11-C.Wentz pass incomplete short right to 18-J.Jefferson (20-C.Hart).</x:v>
      </x:c>
      <x:c r="L1160" t="str">
        <x:v>pass</x:v>
      </x:c>
      <x:c r="M1160" t="n">
        <x:v>0</x:v>
      </x:c>
      <x:c r="N1160" t="n">
        <x:v>1</x:v>
      </x:c>
      <x:c r="O1160" t="n">
        <x:v>1</x:v>
      </x:c>
      <x:c r="P1160" t="str">
        <x:v>short</x:v>
      </x:c>
      <x:c r="Q1160" t="str">
        <x:v>right</x:v>
      </x:c>
      <x:c r="R1160" t="n">
        <x:v>9</x:v>
      </x:c>
      <x:c r="S1160"/>
      <x:c r="T1160"/>
      <x:c r="U1160"/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/>
      <x:c r="AC1160" t="n">
        <x:v>0</x:v>
      </x:c>
      <x:c r="AD1160" t="n">
        <x:v>-0.6802407042123377</x:v>
      </x:c>
      <x:c r="AE1160" t="n">
        <x:v>0</x:v>
      </x:c>
      <x:c r="AF1160" t="n">
        <x:v>-0.00009302893886342645</x:v>
      </x:c>
      <x:c r="AG1160" t="n">
        <x:f>_xlfn.XLOOKUP($A1160,Games!$A$2:$A$18,Games!$B$2:$B$18,"Missing game",0)</x:f>
        <x:v>2025</x:v>
      </x:c>
      <x:c r="AH1160" t="str">
        <x:f>_xlfn.XLOOKUP($A1160,Games!$A$2:$A$18,Games!$C$2:$C$18,"Missing game",0)</x:f>
        <x:v>REG</x:v>
      </x:c>
      <x:c r="AI1160" t="n">
        <x:f>_xlfn.XLOOKUP($A1160,Games!$A$2:$A$18,Games!$D$2:$D$18,"Missing game",0)</x:f>
        <x:v>8</x:v>
      </x:c>
      <x:c r="AJ1160" s="1" t="n">
        <x:f>_xlfn.XLOOKUP($A1160,Games!$A$2:$A$18,Games!$E$2:$E$18,"Missing game",0)</x:f>
        <x:v>45953</x:v>
      </x:c>
      <x:c r="AK1160" t="str">
        <x:f>_xlfn.XLOOKUP($A1160,Games!$A$2:$A$18,Games!$F$2:$F$18,"Missing game",0)</x:f>
        <x:v>Thursday</x:v>
      </x:c>
      <x:c r="AL1160" t="str">
        <x:f>_xlfn.XLOOKUP($A1160,Games!$A$2:$A$18,Games!$G$2:$G$18,"Missing game",0)</x:f>
        <x:v>MIN</x:v>
      </x:c>
      <x:c r="AM1160" t="n">
        <x:f>_xlfn.XLOOKUP($A1160,Games!$A$2:$A$18,Games!$H$2:$H$18,"Missing game",0)</x:f>
        <x:v>10</x:v>
      </x:c>
      <x:c r="AN1160" t="str">
        <x:f>_xlfn.XLOOKUP($A1160,Games!$A$2:$A$18,Games!$I$2:$I$18,"Missing game",0)</x:f>
        <x:v>LAC</x:v>
      </x:c>
      <x:c r="AO1160" t="n">
        <x:f>_xlfn.XLOOKUP($A1160,Games!$A$2:$A$18,Games!$J$2:$J$18,"Missing game",0)</x:f>
        <x:v>37</x:v>
      </x:c>
      <x:c r="AP1160" t="n">
        <x:f>_xlfn.XLOOKUP($A1160,Games!$A$2:$A$18,Games!$K$2:$K$18,"Missing game",0)</x:f>
        <x:v>27</x:v>
      </x:c>
      <x:c r="AQ1160" t="n">
        <x:f>_xlfn.XLOOKUP($A1160,Games!$A$2:$A$18,Games!$L$2:$L$18,"Missing game",0)</x:f>
        <x:v>47</x:v>
      </x:c>
      <x:c r="AR1160" t="n">
        <x:f>_xlfn.XLOOKUP($A1160,Games!$A$2:$A$18,Games!$M$2:$M$18,"Missing game",0)</x:f>
        <x:v>0</x:v>
      </x:c>
      <x:c r="AS1160" t="str">
        <x:f>_xlfn.XLOOKUP($A1160,Games!$A$2:$A$18,Games!$N$2:$N$18,"Missing game",0)</x:f>
        <x:v>dome</x:v>
      </x:c>
      <x:c r="AT1160" t="str">
        <x:f>_xlfn.XLOOKUP($A1160,Games!$A$2:$A$18,Games!$O$2:$O$18,"Missing game",0)</x:f>
        <x:v>matrixturf</x:v>
      </x:c>
      <x:c r="AU1160" t="str">
        <x:f>_xlfn.XLOOKUP($A1160,Games!$A$2:$A$18,Games!$P$2:$P$18,"Missing game",0)</x:f>
      </x:c>
      <x:c r="AV1160" t="str">
        <x:f>_xlfn.XLOOKUP($A1160,Games!$A$2:$A$18,Games!$Q$2:$Q$18,"Missing game",0)</x:f>
      </x:c>
      <x:c r="AW1160" t="str">
        <x:f>_xlfn.XLOOKUP($A1160,Games!$A$2:$A$18,Games!$R$2:$R$18,"Missing game",0)</x:f>
        <x:v>SoFi Stadium</x:v>
      </x:c>
    </x:row>
    <x:row r="1161">
      <x:c r="A1161" t="str">
        <x:v>2025_08_MIN_LAC</x:v>
      </x:c>
      <x:c r="B1161" t="n">
        <x:v>3728</x:v>
      </x:c>
      <x:c r="C1161" t="n">
        <x:v>4</x:v>
      </x:c>
      <x:c r="D1161" t="str">
        <x:v>06:28</x:v>
      </x:c>
      <x:c r="E1161" t="n">
        <x:v>3</x:v>
      </x:c>
      <x:c r="F1161" t="n">
        <x:v>8</x:v>
      </x:c>
      <x:c r="G1161" t="str">
        <x:v>MIN</x:v>
      </x:c>
      <x:c r="H1161" t="str">
        <x:v>LAC</x:v>
      </x:c>
      <x:c r="I1161" t="str">
        <x:v>MIN</x:v>
      </x:c>
      <x:c r="J1161" t="n">
        <x:v>63</x:v>
      </x:c>
      <x:c r="K1161" t="str">
        <x:v>(6:28) (Shotgun) 11-C.Wentz pass incomplete short right to 87-T.Hockenson [92-J.Eboigbe].</x:v>
      </x:c>
      <x:c r="L1161" t="str">
        <x:v>pass</x:v>
      </x:c>
      <x:c r="M1161" t="n">
        <x:v>0</x:v>
      </x:c>
      <x:c r="N1161" t="n">
        <x:v>1</x:v>
      </x:c>
      <x:c r="O1161" t="n">
        <x:v>0</x:v>
      </x:c>
      <x:c r="P1161" t="str">
        <x:v>short</x:v>
      </x:c>
      <x:c r="Q1161" t="str">
        <x:v>right</x:v>
      </x:c>
      <x:c r="R1161" t="n">
        <x:v>4</x:v>
      </x:c>
      <x:c r="S1161"/>
      <x:c r="T1161"/>
      <x:c r="U1161"/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/>
      <x:c r="AC1161" t="n">
        <x:v>0</x:v>
      </x:c>
      <x:c r="AD1161" t="n">
        <x:v>-1.4541693250648677</x:v>
      </x:c>
      <x:c r="AE1161" t="n">
        <x:v>0</x:v>
      </x:c>
      <x:c r="AF1161" t="n">
        <x:v>0.000029131624614819884</x:v>
      </x:c>
      <x:c r="AG1161" t="n">
        <x:f>_xlfn.XLOOKUP($A1161,Games!$A$2:$A$18,Games!$B$2:$B$18,"Missing game",0)</x:f>
        <x:v>2025</x:v>
      </x:c>
      <x:c r="AH1161" t="str">
        <x:f>_xlfn.XLOOKUP($A1161,Games!$A$2:$A$18,Games!$C$2:$C$18,"Missing game",0)</x:f>
        <x:v>REG</x:v>
      </x:c>
      <x:c r="AI1161" t="n">
        <x:f>_xlfn.XLOOKUP($A1161,Games!$A$2:$A$18,Games!$D$2:$D$18,"Missing game",0)</x:f>
        <x:v>8</x:v>
      </x:c>
      <x:c r="AJ1161" s="1" t="n">
        <x:f>_xlfn.XLOOKUP($A1161,Games!$A$2:$A$18,Games!$E$2:$E$18,"Missing game",0)</x:f>
        <x:v>45953</x:v>
      </x:c>
      <x:c r="AK1161" t="str">
        <x:f>_xlfn.XLOOKUP($A1161,Games!$A$2:$A$18,Games!$F$2:$F$18,"Missing game",0)</x:f>
        <x:v>Thursday</x:v>
      </x:c>
      <x:c r="AL1161" t="str">
        <x:f>_xlfn.XLOOKUP($A1161,Games!$A$2:$A$18,Games!$G$2:$G$18,"Missing game",0)</x:f>
        <x:v>MIN</x:v>
      </x:c>
      <x:c r="AM1161" t="n">
        <x:f>_xlfn.XLOOKUP($A1161,Games!$A$2:$A$18,Games!$H$2:$H$18,"Missing game",0)</x:f>
        <x:v>10</x:v>
      </x:c>
      <x:c r="AN1161" t="str">
        <x:f>_xlfn.XLOOKUP($A1161,Games!$A$2:$A$18,Games!$I$2:$I$18,"Missing game",0)</x:f>
        <x:v>LAC</x:v>
      </x:c>
      <x:c r="AO1161" t="n">
        <x:f>_xlfn.XLOOKUP($A1161,Games!$A$2:$A$18,Games!$J$2:$J$18,"Missing game",0)</x:f>
        <x:v>37</x:v>
      </x:c>
      <x:c r="AP1161" t="n">
        <x:f>_xlfn.XLOOKUP($A1161,Games!$A$2:$A$18,Games!$K$2:$K$18,"Missing game",0)</x:f>
        <x:v>27</x:v>
      </x:c>
      <x:c r="AQ1161" t="n">
        <x:f>_xlfn.XLOOKUP($A1161,Games!$A$2:$A$18,Games!$L$2:$L$18,"Missing game",0)</x:f>
        <x:v>47</x:v>
      </x:c>
      <x:c r="AR1161" t="n">
        <x:f>_xlfn.XLOOKUP($A1161,Games!$A$2:$A$18,Games!$M$2:$M$18,"Missing game",0)</x:f>
        <x:v>0</x:v>
      </x:c>
      <x:c r="AS1161" t="str">
        <x:f>_xlfn.XLOOKUP($A1161,Games!$A$2:$A$18,Games!$N$2:$N$18,"Missing game",0)</x:f>
        <x:v>dome</x:v>
      </x:c>
      <x:c r="AT1161" t="str">
        <x:f>_xlfn.XLOOKUP($A1161,Games!$A$2:$A$18,Games!$O$2:$O$18,"Missing game",0)</x:f>
        <x:v>matrixturf</x:v>
      </x:c>
      <x:c r="AU1161" t="str">
        <x:f>_xlfn.XLOOKUP($A1161,Games!$A$2:$A$18,Games!$P$2:$P$18,"Missing game",0)</x:f>
      </x:c>
      <x:c r="AV1161" t="str">
        <x:f>_xlfn.XLOOKUP($A1161,Games!$A$2:$A$18,Games!$Q$2:$Q$18,"Missing game",0)</x:f>
      </x:c>
      <x:c r="AW1161" t="str">
        <x:f>_xlfn.XLOOKUP($A1161,Games!$A$2:$A$18,Games!$R$2:$R$18,"Missing game",0)</x:f>
        <x:v>SoFi Stadium</x:v>
      </x:c>
    </x:row>
    <x:row r="1162">
      <x:c r="A1162" t="str">
        <x:v>2025_08_MIN_LAC</x:v>
      </x:c>
      <x:c r="B1162" t="n">
        <x:v>3751</x:v>
      </x:c>
      <x:c r="C1162" t="n">
        <x:v>4</x:v>
      </x:c>
      <x:c r="D1162" t="str">
        <x:v>06:23</x:v>
      </x:c>
      <x:c r="E1162" t="n">
        <x:v>4</x:v>
      </x:c>
      <x:c r="F1162" t="n">
        <x:v>8</x:v>
      </x:c>
      <x:c r="G1162" t="str">
        <x:v>MIN</x:v>
      </x:c>
      <x:c r="H1162" t="str">
        <x:v>LAC</x:v>
      </x:c>
      <x:c r="I1162" t="str">
        <x:v>MIN</x:v>
      </x:c>
      <x:c r="J1162" t="n">
        <x:v>63</x:v>
      </x:c>
      <x:c r="K1162" t="str">
        <x:v>(6:23) (Shotgun) 11-C.Wentz pass incomplete short left to 18-J.Jefferson [20-C.Hart].</x:v>
      </x:c>
      <x:c r="L1162" t="str">
        <x:v>pass</x:v>
      </x:c>
      <x:c r="M1162" t="n">
        <x:v>0</x:v>
      </x:c>
      <x:c r="N1162" t="n">
        <x:v>1</x:v>
      </x:c>
      <x:c r="O1162" t="n">
        <x:v>0</x:v>
      </x:c>
      <x:c r="P1162" t="str">
        <x:v>short</x:v>
      </x:c>
      <x:c r="Q1162" t="str">
        <x:v>left</x:v>
      </x:c>
      <x:c r="R1162" t="n">
        <x:v>11</x:v>
      </x:c>
      <x:c r="S1162"/>
      <x:c r="T1162"/>
      <x:c r="U1162"/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/>
      <x:c r="AC1162" t="n">
        <x:v>0</x:v>
      </x:c>
      <x:c r="AD1162" t="n">
        <x:v>-3.079886246006936</x:v>
      </x:c>
      <x:c r="AE1162" t="n">
        <x:v>0</x:v>
      </x:c>
      <x:c r="AF1162" t="n">
        <x:v>-0.00015430650091730058</x:v>
      </x:c>
      <x:c r="AG1162" t="n">
        <x:f>_xlfn.XLOOKUP($A1162,Games!$A$2:$A$18,Games!$B$2:$B$18,"Missing game",0)</x:f>
        <x:v>2025</x:v>
      </x:c>
      <x:c r="AH1162" t="str">
        <x:f>_xlfn.XLOOKUP($A1162,Games!$A$2:$A$18,Games!$C$2:$C$18,"Missing game",0)</x:f>
        <x:v>REG</x:v>
      </x:c>
      <x:c r="AI1162" t="n">
        <x:f>_xlfn.XLOOKUP($A1162,Games!$A$2:$A$18,Games!$D$2:$D$18,"Missing game",0)</x:f>
        <x:v>8</x:v>
      </x:c>
      <x:c r="AJ1162" s="1" t="n">
        <x:f>_xlfn.XLOOKUP($A1162,Games!$A$2:$A$18,Games!$E$2:$E$18,"Missing game",0)</x:f>
        <x:v>45953</x:v>
      </x:c>
      <x:c r="AK1162" t="str">
        <x:f>_xlfn.XLOOKUP($A1162,Games!$A$2:$A$18,Games!$F$2:$F$18,"Missing game",0)</x:f>
        <x:v>Thursday</x:v>
      </x:c>
      <x:c r="AL1162" t="str">
        <x:f>_xlfn.XLOOKUP($A1162,Games!$A$2:$A$18,Games!$G$2:$G$18,"Missing game",0)</x:f>
        <x:v>MIN</x:v>
      </x:c>
      <x:c r="AM1162" t="n">
        <x:f>_xlfn.XLOOKUP($A1162,Games!$A$2:$A$18,Games!$H$2:$H$18,"Missing game",0)</x:f>
        <x:v>10</x:v>
      </x:c>
      <x:c r="AN1162" t="str">
        <x:f>_xlfn.XLOOKUP($A1162,Games!$A$2:$A$18,Games!$I$2:$I$18,"Missing game",0)</x:f>
        <x:v>LAC</x:v>
      </x:c>
      <x:c r="AO1162" t="n">
        <x:f>_xlfn.XLOOKUP($A1162,Games!$A$2:$A$18,Games!$J$2:$J$18,"Missing game",0)</x:f>
        <x:v>37</x:v>
      </x:c>
      <x:c r="AP1162" t="n">
        <x:f>_xlfn.XLOOKUP($A1162,Games!$A$2:$A$18,Games!$K$2:$K$18,"Missing game",0)</x:f>
        <x:v>27</x:v>
      </x:c>
      <x:c r="AQ1162" t="n">
        <x:f>_xlfn.XLOOKUP($A1162,Games!$A$2:$A$18,Games!$L$2:$L$18,"Missing game",0)</x:f>
        <x:v>47</x:v>
      </x:c>
      <x:c r="AR1162" t="n">
        <x:f>_xlfn.XLOOKUP($A1162,Games!$A$2:$A$18,Games!$M$2:$M$18,"Missing game",0)</x:f>
        <x:v>0</x:v>
      </x:c>
      <x:c r="AS1162" t="str">
        <x:f>_xlfn.XLOOKUP($A1162,Games!$A$2:$A$18,Games!$N$2:$N$18,"Missing game",0)</x:f>
        <x:v>dome</x:v>
      </x:c>
      <x:c r="AT1162" t="str">
        <x:f>_xlfn.XLOOKUP($A1162,Games!$A$2:$A$18,Games!$O$2:$O$18,"Missing game",0)</x:f>
        <x:v>matrixturf</x:v>
      </x:c>
      <x:c r="AU1162" t="str">
        <x:f>_xlfn.XLOOKUP($A1162,Games!$A$2:$A$18,Games!$P$2:$P$18,"Missing game",0)</x:f>
      </x:c>
      <x:c r="AV1162" t="str">
        <x:f>_xlfn.XLOOKUP($A1162,Games!$A$2:$A$18,Games!$Q$2:$Q$18,"Missing game",0)</x:f>
      </x:c>
      <x:c r="AW1162" t="str">
        <x:f>_xlfn.XLOOKUP($A1162,Games!$A$2:$A$18,Games!$R$2:$R$18,"Missing game",0)</x:f>
        <x:v>SoFi Stadium</x:v>
      </x:c>
    </x:row>
    <x:row r="1163">
      <x:c r="A1163" t="str">
        <x:v>2025_08_MIN_LAC</x:v>
      </x:c>
      <x:c r="B1163" t="n">
        <x:v>3774</x:v>
      </x:c>
      <x:c r="C1163" t="n">
        <x:v>4</x:v>
      </x:c>
      <x:c r="D1163" t="str">
        <x:v>06:19</x:v>
      </x:c>
      <x:c r="E1163" t="n">
        <x:v>1</x:v>
      </x:c>
      <x:c r="F1163" t="n">
        <x:v>10</x:v>
      </x:c>
      <x:c r="G1163" t="str">
        <x:v>LAC</x:v>
      </x:c>
      <x:c r="H1163" t="str">
        <x:v>MIN</x:v>
      </x:c>
      <x:c r="I1163" t="str">
        <x:v>MIN</x:v>
      </x:c>
      <x:c r="J1163" t="n">
        <x:v>36</x:v>
      </x:c>
      <x:c r="K1163" t="str">
        <x:v>(6:19) 32-J.Patterson right guard to MIN 34 for 2 yards (51-B.Cashman; 44-J.Metellus).</x:v>
      </x:c>
      <x:c r="L1163" t="str">
        <x:v>run</x:v>
      </x:c>
      <x:c r="M1163" t="n">
        <x:v>2</x:v>
      </x:c>
      <x:c r="N1163" t="n">
        <x:v>0</x:v>
      </x:c>
      <x:c r="O1163" t="n">
        <x:v>0</x:v>
      </x:c>
      <x:c r="P1163"/>
      <x:c r="Q1163"/>
      <x:c r="R1163"/>
      <x:c r="S1163"/>
      <x:c r="T1163" t="str">
        <x:v>right</x:v>
      </x:c>
      <x:c r="U1163" t="str">
        <x:v>guard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/>
      <x:c r="AC1163" t="n">
        <x:v>0</x:v>
      </x:c>
      <x:c r="AD1163" t="n">
        <x:v>-0.3930301775690168</x:v>
      </x:c>
      <x:c r="AE1163" t="n">
        <x:v>0</x:v>
      </x:c>
      <x:c r="AF1163" t="n">
        <x:v>-0.000056803226470947266</x:v>
      </x:c>
      <x:c r="AG1163" t="n">
        <x:f>_xlfn.XLOOKUP($A1163,Games!$A$2:$A$18,Games!$B$2:$B$18,"Missing game",0)</x:f>
        <x:v>2025</x:v>
      </x:c>
      <x:c r="AH1163" t="str">
        <x:f>_xlfn.XLOOKUP($A1163,Games!$A$2:$A$18,Games!$C$2:$C$18,"Missing game",0)</x:f>
        <x:v>REG</x:v>
      </x:c>
      <x:c r="AI1163" t="n">
        <x:f>_xlfn.XLOOKUP($A1163,Games!$A$2:$A$18,Games!$D$2:$D$18,"Missing game",0)</x:f>
        <x:v>8</x:v>
      </x:c>
      <x:c r="AJ1163" s="1" t="n">
        <x:f>_xlfn.XLOOKUP($A1163,Games!$A$2:$A$18,Games!$E$2:$E$18,"Missing game",0)</x:f>
        <x:v>45953</x:v>
      </x:c>
      <x:c r="AK1163" t="str">
        <x:f>_xlfn.XLOOKUP($A1163,Games!$A$2:$A$18,Games!$F$2:$F$18,"Missing game",0)</x:f>
        <x:v>Thursday</x:v>
      </x:c>
      <x:c r="AL1163" t="str">
        <x:f>_xlfn.XLOOKUP($A1163,Games!$A$2:$A$18,Games!$G$2:$G$18,"Missing game",0)</x:f>
        <x:v>MIN</x:v>
      </x:c>
      <x:c r="AM1163" t="n">
        <x:f>_xlfn.XLOOKUP($A1163,Games!$A$2:$A$18,Games!$H$2:$H$18,"Missing game",0)</x:f>
        <x:v>10</x:v>
      </x:c>
      <x:c r="AN1163" t="str">
        <x:f>_xlfn.XLOOKUP($A1163,Games!$A$2:$A$18,Games!$I$2:$I$18,"Missing game",0)</x:f>
        <x:v>LAC</x:v>
      </x:c>
      <x:c r="AO1163" t="n">
        <x:f>_xlfn.XLOOKUP($A1163,Games!$A$2:$A$18,Games!$J$2:$J$18,"Missing game",0)</x:f>
        <x:v>37</x:v>
      </x:c>
      <x:c r="AP1163" t="n">
        <x:f>_xlfn.XLOOKUP($A1163,Games!$A$2:$A$18,Games!$K$2:$K$18,"Missing game",0)</x:f>
        <x:v>27</x:v>
      </x:c>
      <x:c r="AQ1163" t="n">
        <x:f>_xlfn.XLOOKUP($A1163,Games!$A$2:$A$18,Games!$L$2:$L$18,"Missing game",0)</x:f>
        <x:v>47</x:v>
      </x:c>
      <x:c r="AR1163" t="n">
        <x:f>_xlfn.XLOOKUP($A1163,Games!$A$2:$A$18,Games!$M$2:$M$18,"Missing game",0)</x:f>
        <x:v>0</x:v>
      </x:c>
      <x:c r="AS1163" t="str">
        <x:f>_xlfn.XLOOKUP($A1163,Games!$A$2:$A$18,Games!$N$2:$N$18,"Missing game",0)</x:f>
        <x:v>dome</x:v>
      </x:c>
      <x:c r="AT1163" t="str">
        <x:f>_xlfn.XLOOKUP($A1163,Games!$A$2:$A$18,Games!$O$2:$O$18,"Missing game",0)</x:f>
        <x:v>matrixturf</x:v>
      </x:c>
      <x:c r="AU1163" t="str">
        <x:f>_xlfn.XLOOKUP($A1163,Games!$A$2:$A$18,Games!$P$2:$P$18,"Missing game",0)</x:f>
      </x:c>
      <x:c r="AV1163" t="str">
        <x:f>_xlfn.XLOOKUP($A1163,Games!$A$2:$A$18,Games!$Q$2:$Q$18,"Missing game",0)</x:f>
      </x:c>
      <x:c r="AW1163" t="str">
        <x:f>_xlfn.XLOOKUP($A1163,Games!$A$2:$A$18,Games!$R$2:$R$18,"Missing game",0)</x:f>
        <x:v>SoFi Stadium</x:v>
      </x:c>
    </x:row>
    <x:row r="1164">
      <x:c r="A1164" t="str">
        <x:v>2025_08_MIN_LAC</x:v>
      </x:c>
      <x:c r="B1164" t="n">
        <x:v>3803</x:v>
      </x:c>
      <x:c r="C1164" t="n">
        <x:v>4</x:v>
      </x:c>
      <x:c r="D1164" t="str">
        <x:v>05:37</x:v>
      </x:c>
      <x:c r="E1164" t="n">
        <x:v>2</x:v>
      </x:c>
      <x:c r="F1164" t="n">
        <x:v>8</x:v>
      </x:c>
      <x:c r="G1164" t="str">
        <x:v>LAC</x:v>
      </x:c>
      <x:c r="H1164" t="str">
        <x:v>MIN</x:v>
      </x:c>
      <x:c r="I1164" t="str">
        <x:v>MIN</x:v>
      </x:c>
      <x:c r="J1164" t="n">
        <x:v>34</x:v>
      </x:c>
      <x:c r="K1164" t="str">
        <x:v>(5:37) 32-J.Patterson up the middle to MIN 27 for 7 yards (24-J.Ward; 50-L.Rodriguez).</x:v>
      </x:c>
      <x:c r="L1164" t="str">
        <x:v>run</x:v>
      </x:c>
      <x:c r="M1164" t="n">
        <x:v>7</x:v>
      </x:c>
      <x:c r="N1164" t="n">
        <x:v>0</x:v>
      </x:c>
      <x:c r="O1164" t="n">
        <x:v>0</x:v>
      </x:c>
      <x:c r="P1164"/>
      <x:c r="Q1164"/>
      <x:c r="R1164"/>
      <x:c r="S1164"/>
      <x:c r="T1164" t="str">
        <x:v>middle</x:v>
      </x:c>
      <x:c r="U1164"/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/>
      <x:c r="AC1164" t="n">
        <x:v>0</x:v>
      </x:c>
      <x:c r="AD1164" t="n">
        <x:v>0.46350796218030155</x:v>
      </x:c>
      <x:c r="AE1164" t="n">
        <x:v>1</x:v>
      </x:c>
      <x:c r="AF1164" t="n">
        <x:v>0.00006765127182006836</x:v>
      </x:c>
      <x:c r="AG1164" t="n">
        <x:f>_xlfn.XLOOKUP($A1164,Games!$A$2:$A$18,Games!$B$2:$B$18,"Missing game",0)</x:f>
        <x:v>2025</x:v>
      </x:c>
      <x:c r="AH1164" t="str">
        <x:f>_xlfn.XLOOKUP($A1164,Games!$A$2:$A$18,Games!$C$2:$C$18,"Missing game",0)</x:f>
        <x:v>REG</x:v>
      </x:c>
      <x:c r="AI1164" t="n">
        <x:f>_xlfn.XLOOKUP($A1164,Games!$A$2:$A$18,Games!$D$2:$D$18,"Missing game",0)</x:f>
        <x:v>8</x:v>
      </x:c>
      <x:c r="AJ1164" s="1" t="n">
        <x:f>_xlfn.XLOOKUP($A1164,Games!$A$2:$A$18,Games!$E$2:$E$18,"Missing game",0)</x:f>
        <x:v>45953</x:v>
      </x:c>
      <x:c r="AK1164" t="str">
        <x:f>_xlfn.XLOOKUP($A1164,Games!$A$2:$A$18,Games!$F$2:$F$18,"Missing game",0)</x:f>
        <x:v>Thursday</x:v>
      </x:c>
      <x:c r="AL1164" t="str">
        <x:f>_xlfn.XLOOKUP($A1164,Games!$A$2:$A$18,Games!$G$2:$G$18,"Missing game",0)</x:f>
        <x:v>MIN</x:v>
      </x:c>
      <x:c r="AM1164" t="n">
        <x:f>_xlfn.XLOOKUP($A1164,Games!$A$2:$A$18,Games!$H$2:$H$18,"Missing game",0)</x:f>
        <x:v>10</x:v>
      </x:c>
      <x:c r="AN1164" t="str">
        <x:f>_xlfn.XLOOKUP($A1164,Games!$A$2:$A$18,Games!$I$2:$I$18,"Missing game",0)</x:f>
        <x:v>LAC</x:v>
      </x:c>
      <x:c r="AO1164" t="n">
        <x:f>_xlfn.XLOOKUP($A1164,Games!$A$2:$A$18,Games!$J$2:$J$18,"Missing game",0)</x:f>
        <x:v>37</x:v>
      </x:c>
      <x:c r="AP1164" t="n">
        <x:f>_xlfn.XLOOKUP($A1164,Games!$A$2:$A$18,Games!$K$2:$K$18,"Missing game",0)</x:f>
        <x:v>27</x:v>
      </x:c>
      <x:c r="AQ1164" t="n">
        <x:f>_xlfn.XLOOKUP($A1164,Games!$A$2:$A$18,Games!$L$2:$L$18,"Missing game",0)</x:f>
        <x:v>47</x:v>
      </x:c>
      <x:c r="AR1164" t="n">
        <x:f>_xlfn.XLOOKUP($A1164,Games!$A$2:$A$18,Games!$M$2:$M$18,"Missing game",0)</x:f>
        <x:v>0</x:v>
      </x:c>
      <x:c r="AS1164" t="str">
        <x:f>_xlfn.XLOOKUP($A1164,Games!$A$2:$A$18,Games!$N$2:$N$18,"Missing game",0)</x:f>
        <x:v>dome</x:v>
      </x:c>
      <x:c r="AT1164" t="str">
        <x:f>_xlfn.XLOOKUP($A1164,Games!$A$2:$A$18,Games!$O$2:$O$18,"Missing game",0)</x:f>
        <x:v>matrixturf</x:v>
      </x:c>
      <x:c r="AU1164" t="str">
        <x:f>_xlfn.XLOOKUP($A1164,Games!$A$2:$A$18,Games!$P$2:$P$18,"Missing game",0)</x:f>
      </x:c>
      <x:c r="AV1164" t="str">
        <x:f>_xlfn.XLOOKUP($A1164,Games!$A$2:$A$18,Games!$Q$2:$Q$18,"Missing game",0)</x:f>
      </x:c>
      <x:c r="AW1164" t="str">
        <x:f>_xlfn.XLOOKUP($A1164,Games!$A$2:$A$18,Games!$R$2:$R$18,"Missing game",0)</x:f>
        <x:v>SoFi Stadium</x:v>
      </x:c>
    </x:row>
    <x:row r="1165">
      <x:c r="A1165" t="str">
        <x:v>2025_08_MIN_LAC</x:v>
      </x:c>
      <x:c r="B1165" t="n">
        <x:v>3825</x:v>
      </x:c>
      <x:c r="C1165" t="n">
        <x:v>4</x:v>
      </x:c>
      <x:c r="D1165" t="str">
        <x:v>04:54</x:v>
      </x:c>
      <x:c r="E1165" t="n">
        <x:v>3</x:v>
      </x:c>
      <x:c r="F1165" t="n">
        <x:v>1</x:v>
      </x:c>
      <x:c r="G1165" t="str">
        <x:v>LAC</x:v>
      </x:c>
      <x:c r="H1165" t="str">
        <x:v>MIN</x:v>
      </x:c>
      <x:c r="I1165" t="str">
        <x:v>MIN</x:v>
      </x:c>
      <x:c r="J1165" t="n">
        <x:v>27</x:v>
      </x:c>
      <x:c r="K1165" t="str">
        <x:v>(4:54) 32-J.Patterson up the middle to MIN 24 for 3 yards (51-B.Cashman; 55-E.Wilson).</x:v>
      </x:c>
      <x:c r="L1165" t="str">
        <x:v>run</x:v>
      </x:c>
      <x:c r="M1165" t="n">
        <x:v>3</x:v>
      </x:c>
      <x:c r="N1165" t="n">
        <x:v>0</x:v>
      </x:c>
      <x:c r="O1165" t="n">
        <x:v>0</x:v>
      </x:c>
      <x:c r="P1165"/>
      <x:c r="Q1165"/>
      <x:c r="R1165"/>
      <x:c r="S1165"/>
      <x:c r="T1165" t="str">
        <x:v>middle</x:v>
      </x:c>
      <x:c r="U1165"/>
      <x:c r="V1165" t="n">
        <x:v>0</x:v>
      </x:c>
      <x:c r="W1165" t="n">
        <x:v>1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/>
      <x:c r="AC1165" t="n">
        <x:v>0</x:v>
      </x:c>
      <x:c r="AD1165" t="n">
        <x:v>0.609026774065569</x:v>
      </x:c>
      <x:c r="AE1165" t="n">
        <x:v>1</x:v>
      </x:c>
      <x:c r="AF1165" t="n">
        <x:v>0.000010371208190917969</x:v>
      </x:c>
      <x:c r="AG1165" t="n">
        <x:f>_xlfn.XLOOKUP($A1165,Games!$A$2:$A$18,Games!$B$2:$B$18,"Missing game",0)</x:f>
        <x:v>2025</x:v>
      </x:c>
      <x:c r="AH1165" t="str">
        <x:f>_xlfn.XLOOKUP($A1165,Games!$A$2:$A$18,Games!$C$2:$C$18,"Missing game",0)</x:f>
        <x:v>REG</x:v>
      </x:c>
      <x:c r="AI1165" t="n">
        <x:f>_xlfn.XLOOKUP($A1165,Games!$A$2:$A$18,Games!$D$2:$D$18,"Missing game",0)</x:f>
        <x:v>8</x:v>
      </x:c>
      <x:c r="AJ1165" s="1" t="n">
        <x:f>_xlfn.XLOOKUP($A1165,Games!$A$2:$A$18,Games!$E$2:$E$18,"Missing game",0)</x:f>
        <x:v>45953</x:v>
      </x:c>
      <x:c r="AK1165" t="str">
        <x:f>_xlfn.XLOOKUP($A1165,Games!$A$2:$A$18,Games!$F$2:$F$18,"Missing game",0)</x:f>
        <x:v>Thursday</x:v>
      </x:c>
      <x:c r="AL1165" t="str">
        <x:f>_xlfn.XLOOKUP($A1165,Games!$A$2:$A$18,Games!$G$2:$G$18,"Missing game",0)</x:f>
        <x:v>MIN</x:v>
      </x:c>
      <x:c r="AM1165" t="n">
        <x:f>_xlfn.XLOOKUP($A1165,Games!$A$2:$A$18,Games!$H$2:$H$18,"Missing game",0)</x:f>
        <x:v>10</x:v>
      </x:c>
      <x:c r="AN1165" t="str">
        <x:f>_xlfn.XLOOKUP($A1165,Games!$A$2:$A$18,Games!$I$2:$I$18,"Missing game",0)</x:f>
        <x:v>LAC</x:v>
      </x:c>
      <x:c r="AO1165" t="n">
        <x:f>_xlfn.XLOOKUP($A1165,Games!$A$2:$A$18,Games!$J$2:$J$18,"Missing game",0)</x:f>
        <x:v>37</x:v>
      </x:c>
      <x:c r="AP1165" t="n">
        <x:f>_xlfn.XLOOKUP($A1165,Games!$A$2:$A$18,Games!$K$2:$K$18,"Missing game",0)</x:f>
        <x:v>27</x:v>
      </x:c>
      <x:c r="AQ1165" t="n">
        <x:f>_xlfn.XLOOKUP($A1165,Games!$A$2:$A$18,Games!$L$2:$L$18,"Missing game",0)</x:f>
        <x:v>47</x:v>
      </x:c>
      <x:c r="AR1165" t="n">
        <x:f>_xlfn.XLOOKUP($A1165,Games!$A$2:$A$18,Games!$M$2:$M$18,"Missing game",0)</x:f>
        <x:v>0</x:v>
      </x:c>
      <x:c r="AS1165" t="str">
        <x:f>_xlfn.XLOOKUP($A1165,Games!$A$2:$A$18,Games!$N$2:$N$18,"Missing game",0)</x:f>
        <x:v>dome</x:v>
      </x:c>
      <x:c r="AT1165" t="str">
        <x:f>_xlfn.XLOOKUP($A1165,Games!$A$2:$A$18,Games!$O$2:$O$18,"Missing game",0)</x:f>
        <x:v>matrixturf</x:v>
      </x:c>
      <x:c r="AU1165" t="str">
        <x:f>_xlfn.XLOOKUP($A1165,Games!$A$2:$A$18,Games!$P$2:$P$18,"Missing game",0)</x:f>
      </x:c>
      <x:c r="AV1165" t="str">
        <x:f>_xlfn.XLOOKUP($A1165,Games!$A$2:$A$18,Games!$Q$2:$Q$18,"Missing game",0)</x:f>
      </x:c>
      <x:c r="AW1165" t="str">
        <x:f>_xlfn.XLOOKUP($A1165,Games!$A$2:$A$18,Games!$R$2:$R$18,"Missing game",0)</x:f>
        <x:v>SoFi Stadium</x:v>
      </x:c>
    </x:row>
    <x:row r="1166">
      <x:c r="A1166" t="str">
        <x:v>2025_08_MIN_LAC</x:v>
      </x:c>
      <x:c r="B1166" t="n">
        <x:v>3847</x:v>
      </x:c>
      <x:c r="C1166" t="n">
        <x:v>4</x:v>
      </x:c>
      <x:c r="D1166" t="str">
        <x:v>04:11</x:v>
      </x:c>
      <x:c r="E1166" t="n">
        <x:v>1</x:v>
      </x:c>
      <x:c r="F1166" t="n">
        <x:v>10</x:v>
      </x:c>
      <x:c r="G1166" t="str">
        <x:v>LAC</x:v>
      </x:c>
      <x:c r="H1166" t="str">
        <x:v>MIN</x:v>
      </x:c>
      <x:c r="I1166" t="str">
        <x:v>MIN</x:v>
      </x:c>
      <x:c r="J1166" t="n">
        <x:v>24</x:v>
      </x:c>
      <x:c r="K1166" t="str">
        <x:v>(4:11) (Shotgun) 31-N.Miller-Hines right tackle to MIN 23 for 1 yard (55-E.Wilson).</x:v>
      </x:c>
      <x:c r="L1166" t="str">
        <x:v>run</x:v>
      </x:c>
      <x:c r="M1166" t="n">
        <x:v>1</x:v>
      </x:c>
      <x:c r="N1166" t="n">
        <x:v>1</x:v>
      </x:c>
      <x:c r="O1166" t="n">
        <x:v>0</x:v>
      </x:c>
      <x:c r="P1166"/>
      <x:c r="Q1166"/>
      <x:c r="R1166"/>
      <x:c r="S1166"/>
      <x:c r="T1166" t="str">
        <x:v>right</x:v>
      </x:c>
      <x:c r="U1166" t="str">
        <x:v>tackle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/>
      <x:c r="AC1166" t="n">
        <x:v>0</x:v>
      </x:c>
      <x:c r="AD1166" t="n">
        <x:v>-0.5835145910386927</x:v>
      </x:c>
      <x:c r="AE1166" t="n">
        <x:v>0</x:v>
      </x:c>
      <x:c r="AF1166" t="n">
        <x:v>-0.000018477439880371094</x:v>
      </x:c>
      <x:c r="AG1166" t="n">
        <x:f>_xlfn.XLOOKUP($A1166,Games!$A$2:$A$18,Games!$B$2:$B$18,"Missing game",0)</x:f>
        <x:v>2025</x:v>
      </x:c>
      <x:c r="AH1166" t="str">
        <x:f>_xlfn.XLOOKUP($A1166,Games!$A$2:$A$18,Games!$C$2:$C$18,"Missing game",0)</x:f>
        <x:v>REG</x:v>
      </x:c>
      <x:c r="AI1166" t="n">
        <x:f>_xlfn.XLOOKUP($A1166,Games!$A$2:$A$18,Games!$D$2:$D$18,"Missing game",0)</x:f>
        <x:v>8</x:v>
      </x:c>
      <x:c r="AJ1166" s="1" t="n">
        <x:f>_xlfn.XLOOKUP($A1166,Games!$A$2:$A$18,Games!$E$2:$E$18,"Missing game",0)</x:f>
        <x:v>45953</x:v>
      </x:c>
      <x:c r="AK1166" t="str">
        <x:f>_xlfn.XLOOKUP($A1166,Games!$A$2:$A$18,Games!$F$2:$F$18,"Missing game",0)</x:f>
        <x:v>Thursday</x:v>
      </x:c>
      <x:c r="AL1166" t="str">
        <x:f>_xlfn.XLOOKUP($A1166,Games!$A$2:$A$18,Games!$G$2:$G$18,"Missing game",0)</x:f>
        <x:v>MIN</x:v>
      </x:c>
      <x:c r="AM1166" t="n">
        <x:f>_xlfn.XLOOKUP($A1166,Games!$A$2:$A$18,Games!$H$2:$H$18,"Missing game",0)</x:f>
        <x:v>10</x:v>
      </x:c>
      <x:c r="AN1166" t="str">
        <x:f>_xlfn.XLOOKUP($A1166,Games!$A$2:$A$18,Games!$I$2:$I$18,"Missing game",0)</x:f>
        <x:v>LAC</x:v>
      </x:c>
      <x:c r="AO1166" t="n">
        <x:f>_xlfn.XLOOKUP($A1166,Games!$A$2:$A$18,Games!$J$2:$J$18,"Missing game",0)</x:f>
        <x:v>37</x:v>
      </x:c>
      <x:c r="AP1166" t="n">
        <x:f>_xlfn.XLOOKUP($A1166,Games!$A$2:$A$18,Games!$K$2:$K$18,"Missing game",0)</x:f>
        <x:v>27</x:v>
      </x:c>
      <x:c r="AQ1166" t="n">
        <x:f>_xlfn.XLOOKUP($A1166,Games!$A$2:$A$18,Games!$L$2:$L$18,"Missing game",0)</x:f>
        <x:v>47</x:v>
      </x:c>
      <x:c r="AR1166" t="n">
        <x:f>_xlfn.XLOOKUP($A1166,Games!$A$2:$A$18,Games!$M$2:$M$18,"Missing game",0)</x:f>
        <x:v>0</x:v>
      </x:c>
      <x:c r="AS1166" t="str">
        <x:f>_xlfn.XLOOKUP($A1166,Games!$A$2:$A$18,Games!$N$2:$N$18,"Missing game",0)</x:f>
        <x:v>dome</x:v>
      </x:c>
      <x:c r="AT1166" t="str">
        <x:f>_xlfn.XLOOKUP($A1166,Games!$A$2:$A$18,Games!$O$2:$O$18,"Missing game",0)</x:f>
        <x:v>matrixturf</x:v>
      </x:c>
      <x:c r="AU1166" t="str">
        <x:f>_xlfn.XLOOKUP($A1166,Games!$A$2:$A$18,Games!$P$2:$P$18,"Missing game",0)</x:f>
      </x:c>
      <x:c r="AV1166" t="str">
        <x:f>_xlfn.XLOOKUP($A1166,Games!$A$2:$A$18,Games!$Q$2:$Q$18,"Missing game",0)</x:f>
      </x:c>
      <x:c r="AW1166" t="str">
        <x:f>_xlfn.XLOOKUP($A1166,Games!$A$2:$A$18,Games!$R$2:$R$18,"Missing game",0)</x:f>
        <x:v>SoFi Stadium</x:v>
      </x:c>
    </x:row>
    <x:row r="1167">
      <x:c r="A1167" t="str">
        <x:v>2025_08_MIN_LAC</x:v>
      </x:c>
      <x:c r="B1167" t="n">
        <x:v>3869</x:v>
      </x:c>
      <x:c r="C1167" t="n">
        <x:v>4</x:v>
      </x:c>
      <x:c r="D1167" t="str">
        <x:v>03:26</x:v>
      </x:c>
      <x:c r="E1167" t="n">
        <x:v>2</x:v>
      </x:c>
      <x:c r="F1167" t="n">
        <x:v>9</x:v>
      </x:c>
      <x:c r="G1167" t="str">
        <x:v>LAC</x:v>
      </x:c>
      <x:c r="H1167" t="str">
        <x:v>MIN</x:v>
      </x:c>
      <x:c r="I1167" t="str">
        <x:v>MIN</x:v>
      </x:c>
      <x:c r="J1167" t="n">
        <x:v>23</x:v>
      </x:c>
      <x:c r="K1167" t="str">
        <x:v>(3:26) 31-N.Miller-Hines right guard to MIN 26 for -3 yards (96-T.Batty).</x:v>
      </x:c>
      <x:c r="L1167" t="str">
        <x:v>run</x:v>
      </x:c>
      <x:c r="M1167" t="n">
        <x:v>-3</x:v>
      </x:c>
      <x:c r="N1167" t="n">
        <x:v>0</x:v>
      </x:c>
      <x:c r="O1167" t="n">
        <x:v>0</x:v>
      </x:c>
      <x:c r="P1167"/>
      <x:c r="Q1167"/>
      <x:c r="R1167"/>
      <x:c r="S1167"/>
      <x:c r="T1167" t="str">
        <x:v>right</x:v>
      </x:c>
      <x:c r="U1167" t="str">
        <x:v>guard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/>
      <x:c r="AC1167" t="n">
        <x:v>0</x:v>
      </x:c>
      <x:c r="AD1167" t="n">
        <x:v>-0.9303679111180827</x:v>
      </x:c>
      <x:c r="AE1167" t="n">
        <x:v>0</x:v>
      </x:c>
      <x:c r="AF1167" t="n">
        <x:v>0.0000035762786865234375</x:v>
      </x:c>
      <x:c r="AG1167" t="n">
        <x:f>_xlfn.XLOOKUP($A1167,Games!$A$2:$A$18,Games!$B$2:$B$18,"Missing game",0)</x:f>
        <x:v>2025</x:v>
      </x:c>
      <x:c r="AH1167" t="str">
        <x:f>_xlfn.XLOOKUP($A1167,Games!$A$2:$A$18,Games!$C$2:$C$18,"Missing game",0)</x:f>
        <x:v>REG</x:v>
      </x:c>
      <x:c r="AI1167" t="n">
        <x:f>_xlfn.XLOOKUP($A1167,Games!$A$2:$A$18,Games!$D$2:$D$18,"Missing game",0)</x:f>
        <x:v>8</x:v>
      </x:c>
      <x:c r="AJ1167" s="1" t="n">
        <x:f>_xlfn.XLOOKUP($A1167,Games!$A$2:$A$18,Games!$E$2:$E$18,"Missing game",0)</x:f>
        <x:v>45953</x:v>
      </x:c>
      <x:c r="AK1167" t="str">
        <x:f>_xlfn.XLOOKUP($A1167,Games!$A$2:$A$18,Games!$F$2:$F$18,"Missing game",0)</x:f>
        <x:v>Thursday</x:v>
      </x:c>
      <x:c r="AL1167" t="str">
        <x:f>_xlfn.XLOOKUP($A1167,Games!$A$2:$A$18,Games!$G$2:$G$18,"Missing game",0)</x:f>
        <x:v>MIN</x:v>
      </x:c>
      <x:c r="AM1167" t="n">
        <x:f>_xlfn.XLOOKUP($A1167,Games!$A$2:$A$18,Games!$H$2:$H$18,"Missing game",0)</x:f>
        <x:v>10</x:v>
      </x:c>
      <x:c r="AN1167" t="str">
        <x:f>_xlfn.XLOOKUP($A1167,Games!$A$2:$A$18,Games!$I$2:$I$18,"Missing game",0)</x:f>
        <x:v>LAC</x:v>
      </x:c>
      <x:c r="AO1167" t="n">
        <x:f>_xlfn.XLOOKUP($A1167,Games!$A$2:$A$18,Games!$J$2:$J$18,"Missing game",0)</x:f>
        <x:v>37</x:v>
      </x:c>
      <x:c r="AP1167" t="n">
        <x:f>_xlfn.XLOOKUP($A1167,Games!$A$2:$A$18,Games!$K$2:$K$18,"Missing game",0)</x:f>
        <x:v>27</x:v>
      </x:c>
      <x:c r="AQ1167" t="n">
        <x:f>_xlfn.XLOOKUP($A1167,Games!$A$2:$A$18,Games!$L$2:$L$18,"Missing game",0)</x:f>
        <x:v>47</x:v>
      </x:c>
      <x:c r="AR1167" t="n">
        <x:f>_xlfn.XLOOKUP($A1167,Games!$A$2:$A$18,Games!$M$2:$M$18,"Missing game",0)</x:f>
        <x:v>0</x:v>
      </x:c>
      <x:c r="AS1167" t="str">
        <x:f>_xlfn.XLOOKUP($A1167,Games!$A$2:$A$18,Games!$N$2:$N$18,"Missing game",0)</x:f>
        <x:v>dome</x:v>
      </x:c>
      <x:c r="AT1167" t="str">
        <x:f>_xlfn.XLOOKUP($A1167,Games!$A$2:$A$18,Games!$O$2:$O$18,"Missing game",0)</x:f>
        <x:v>matrixturf</x:v>
      </x:c>
      <x:c r="AU1167" t="str">
        <x:f>_xlfn.XLOOKUP($A1167,Games!$A$2:$A$18,Games!$P$2:$P$18,"Missing game",0)</x:f>
      </x:c>
      <x:c r="AV1167" t="str">
        <x:f>_xlfn.XLOOKUP($A1167,Games!$A$2:$A$18,Games!$Q$2:$Q$18,"Missing game",0)</x:f>
      </x:c>
      <x:c r="AW1167" t="str">
        <x:f>_xlfn.XLOOKUP($A1167,Games!$A$2:$A$18,Games!$R$2:$R$18,"Missing game",0)</x:f>
        <x:v>SoFi Stadium</x:v>
      </x:c>
    </x:row>
    <x:row r="1168">
      <x:c r="A1168" t="str">
        <x:v>2025_08_MIN_LAC</x:v>
      </x:c>
      <x:c r="B1168" t="n">
        <x:v>3891</x:v>
      </x:c>
      <x:c r="C1168" t="n">
        <x:v>4</x:v>
      </x:c>
      <x:c r="D1168" t="str">
        <x:v>02:44</x:v>
      </x:c>
      <x:c r="E1168" t="n">
        <x:v>3</x:v>
      </x:c>
      <x:c r="F1168" t="n">
        <x:v>12</x:v>
      </x:c>
      <x:c r="G1168" t="str">
        <x:v>LAC</x:v>
      </x:c>
      <x:c r="H1168" t="str">
        <x:v>MIN</x:v>
      </x:c>
      <x:c r="I1168" t="str">
        <x:v>MIN</x:v>
      </x:c>
      <x:c r="J1168" t="n">
        <x:v>26</x:v>
      </x:c>
      <x:c r="K1168" t="str">
        <x:v>(2:44) 32-J.Patterson left end to MIN 27 for -1 yards (96-T.Batty).</x:v>
      </x:c>
      <x:c r="L1168" t="str">
        <x:v>run</x:v>
      </x:c>
      <x:c r="M1168" t="n">
        <x:v>-1</x:v>
      </x:c>
      <x:c r="N1168" t="n">
        <x:v>0</x:v>
      </x:c>
      <x:c r="O1168" t="n">
        <x:v>0</x:v>
      </x:c>
      <x:c r="P1168"/>
      <x:c r="Q1168"/>
      <x:c r="R1168"/>
      <x:c r="S1168"/>
      <x:c r="T1168" t="str">
        <x:v>left</x:v>
      </x:c>
      <x:c r="U1168" t="str">
        <x:v>end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/>
      <x:c r="AC1168" t="n">
        <x:v>0</x:v>
      </x:c>
      <x:c r="AD1168" t="n">
        <x:v>-0.7981863745118767</x:v>
      </x:c>
      <x:c r="AE1168" t="n">
        <x:v>0</x:v>
      </x:c>
      <x:c r="AF1168" t="n">
        <x:v>0.0000036954879760742188</x:v>
      </x:c>
      <x:c r="AG1168" t="n">
        <x:f>_xlfn.XLOOKUP($A1168,Games!$A$2:$A$18,Games!$B$2:$B$18,"Missing game",0)</x:f>
        <x:v>2025</x:v>
      </x:c>
      <x:c r="AH1168" t="str">
        <x:f>_xlfn.XLOOKUP($A1168,Games!$A$2:$A$18,Games!$C$2:$C$18,"Missing game",0)</x:f>
        <x:v>REG</x:v>
      </x:c>
      <x:c r="AI1168" t="n">
        <x:f>_xlfn.XLOOKUP($A1168,Games!$A$2:$A$18,Games!$D$2:$D$18,"Missing game",0)</x:f>
        <x:v>8</x:v>
      </x:c>
      <x:c r="AJ1168" s="1" t="n">
        <x:f>_xlfn.XLOOKUP($A1168,Games!$A$2:$A$18,Games!$E$2:$E$18,"Missing game",0)</x:f>
        <x:v>45953</x:v>
      </x:c>
      <x:c r="AK1168" t="str">
        <x:f>_xlfn.XLOOKUP($A1168,Games!$A$2:$A$18,Games!$F$2:$F$18,"Missing game",0)</x:f>
        <x:v>Thursday</x:v>
      </x:c>
      <x:c r="AL1168" t="str">
        <x:f>_xlfn.XLOOKUP($A1168,Games!$A$2:$A$18,Games!$G$2:$G$18,"Missing game",0)</x:f>
        <x:v>MIN</x:v>
      </x:c>
      <x:c r="AM1168" t="n">
        <x:f>_xlfn.XLOOKUP($A1168,Games!$A$2:$A$18,Games!$H$2:$H$18,"Missing game",0)</x:f>
        <x:v>10</x:v>
      </x:c>
      <x:c r="AN1168" t="str">
        <x:f>_xlfn.XLOOKUP($A1168,Games!$A$2:$A$18,Games!$I$2:$I$18,"Missing game",0)</x:f>
        <x:v>LAC</x:v>
      </x:c>
      <x:c r="AO1168" t="n">
        <x:f>_xlfn.XLOOKUP($A1168,Games!$A$2:$A$18,Games!$J$2:$J$18,"Missing game",0)</x:f>
        <x:v>37</x:v>
      </x:c>
      <x:c r="AP1168" t="n">
        <x:f>_xlfn.XLOOKUP($A1168,Games!$A$2:$A$18,Games!$K$2:$K$18,"Missing game",0)</x:f>
        <x:v>27</x:v>
      </x:c>
      <x:c r="AQ1168" t="n">
        <x:f>_xlfn.XLOOKUP($A1168,Games!$A$2:$A$18,Games!$L$2:$L$18,"Missing game",0)</x:f>
        <x:v>47</x:v>
      </x:c>
      <x:c r="AR1168" t="n">
        <x:f>_xlfn.XLOOKUP($A1168,Games!$A$2:$A$18,Games!$M$2:$M$18,"Missing game",0)</x:f>
        <x:v>0</x:v>
      </x:c>
      <x:c r="AS1168" t="str">
        <x:f>_xlfn.XLOOKUP($A1168,Games!$A$2:$A$18,Games!$N$2:$N$18,"Missing game",0)</x:f>
        <x:v>dome</x:v>
      </x:c>
      <x:c r="AT1168" t="str">
        <x:f>_xlfn.XLOOKUP($A1168,Games!$A$2:$A$18,Games!$O$2:$O$18,"Missing game",0)</x:f>
        <x:v>matrixturf</x:v>
      </x:c>
      <x:c r="AU1168" t="str">
        <x:f>_xlfn.XLOOKUP($A1168,Games!$A$2:$A$18,Games!$P$2:$P$18,"Missing game",0)</x:f>
      </x:c>
      <x:c r="AV1168" t="str">
        <x:f>_xlfn.XLOOKUP($A1168,Games!$A$2:$A$18,Games!$Q$2:$Q$18,"Missing game",0)</x:f>
      </x:c>
      <x:c r="AW1168" t="str">
        <x:f>_xlfn.XLOOKUP($A1168,Games!$A$2:$A$18,Games!$R$2:$R$18,"Missing game",0)</x:f>
        <x:v>SoFi Stadium</x:v>
      </x:c>
    </x:row>
    <x:row r="1169">
      <x:c r="A1169" t="str">
        <x:v>2025_08_MIN_LAC</x:v>
      </x:c>
      <x:c r="B1169" t="n">
        <x:v>3913</x:v>
      </x:c>
      <x:c r="C1169" t="n">
        <x:v>4</x:v>
      </x:c>
      <x:c r="D1169" t="str">
        <x:v>02:00</x:v>
      </x:c>
      <x:c r="E1169" t="n">
        <x:v>4</x:v>
      </x:c>
      <x:c r="F1169" t="n">
        <x:v>13</x:v>
      </x:c>
      <x:c r="G1169" t="str">
        <x:v>LAC</x:v>
      </x:c>
      <x:c r="H1169" t="str">
        <x:v>MIN</x:v>
      </x:c>
      <x:c r="I1169" t="str">
        <x:v>MIN</x:v>
      </x:c>
      <x:c r="J1169" t="n">
        <x:v>27</x:v>
      </x:c>
      <x:c r="K1169" t="str">
        <x:v>(2:00) 11-C.Dicker 45 yard field goal is GOOD, Center-41-R.Lovato, Holder-16-J.Scott.</x:v>
      </x:c>
      <x:c r="L1169" t="str">
        <x:v>field_goal</x:v>
      </x:c>
      <x:c r="M1169" t="n">
        <x:v>0</x:v>
      </x:c>
      <x:c r="N1169" t="n">
        <x:v>0</x:v>
      </x:c>
      <x:c r="O1169" t="n">
        <x:v>0</x:v>
      </x:c>
      <x:c r="P1169"/>
      <x:c r="Q1169"/>
      <x:c r="R1169"/>
      <x:c r="S1169"/>
      <x:c r="T1169"/>
      <x:c r="U1169"/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/>
      <x:c r="AC1169" t="n">
        <x:v>0</x:v>
      </x:c>
      <x:c r="AD1169" t="n">
        <x:v>1.0567524964900963</x:v>
      </x:c>
      <x:c r="AE1169" t="n">
        <x:v>1</x:v>
      </x:c>
      <x:c r="AF1169" t="n">
        <x:v>0.00007130762242013589</x:v>
      </x:c>
      <x:c r="AG1169" t="n">
        <x:f>_xlfn.XLOOKUP($A1169,Games!$A$2:$A$18,Games!$B$2:$B$18,"Missing game",0)</x:f>
        <x:v>2025</x:v>
      </x:c>
      <x:c r="AH1169" t="str">
        <x:f>_xlfn.XLOOKUP($A1169,Games!$A$2:$A$18,Games!$C$2:$C$18,"Missing game",0)</x:f>
        <x:v>REG</x:v>
      </x:c>
      <x:c r="AI1169" t="n">
        <x:f>_xlfn.XLOOKUP($A1169,Games!$A$2:$A$18,Games!$D$2:$D$18,"Missing game",0)</x:f>
        <x:v>8</x:v>
      </x:c>
      <x:c r="AJ1169" s="1" t="n">
        <x:f>_xlfn.XLOOKUP($A1169,Games!$A$2:$A$18,Games!$E$2:$E$18,"Missing game",0)</x:f>
        <x:v>45953</x:v>
      </x:c>
      <x:c r="AK1169" t="str">
        <x:f>_xlfn.XLOOKUP($A1169,Games!$A$2:$A$18,Games!$F$2:$F$18,"Missing game",0)</x:f>
        <x:v>Thursday</x:v>
      </x:c>
      <x:c r="AL1169" t="str">
        <x:f>_xlfn.XLOOKUP($A1169,Games!$A$2:$A$18,Games!$G$2:$G$18,"Missing game",0)</x:f>
        <x:v>MIN</x:v>
      </x:c>
      <x:c r="AM1169" t="n">
        <x:f>_xlfn.XLOOKUP($A1169,Games!$A$2:$A$18,Games!$H$2:$H$18,"Missing game",0)</x:f>
        <x:v>10</x:v>
      </x:c>
      <x:c r="AN1169" t="str">
        <x:f>_xlfn.XLOOKUP($A1169,Games!$A$2:$A$18,Games!$I$2:$I$18,"Missing game",0)</x:f>
        <x:v>LAC</x:v>
      </x:c>
      <x:c r="AO1169" t="n">
        <x:f>_xlfn.XLOOKUP($A1169,Games!$A$2:$A$18,Games!$J$2:$J$18,"Missing game",0)</x:f>
        <x:v>37</x:v>
      </x:c>
      <x:c r="AP1169" t="n">
        <x:f>_xlfn.XLOOKUP($A1169,Games!$A$2:$A$18,Games!$K$2:$K$18,"Missing game",0)</x:f>
        <x:v>27</x:v>
      </x:c>
      <x:c r="AQ1169" t="n">
        <x:f>_xlfn.XLOOKUP($A1169,Games!$A$2:$A$18,Games!$L$2:$L$18,"Missing game",0)</x:f>
        <x:v>47</x:v>
      </x:c>
      <x:c r="AR1169" t="n">
        <x:f>_xlfn.XLOOKUP($A1169,Games!$A$2:$A$18,Games!$M$2:$M$18,"Missing game",0)</x:f>
        <x:v>0</x:v>
      </x:c>
      <x:c r="AS1169" t="str">
        <x:f>_xlfn.XLOOKUP($A1169,Games!$A$2:$A$18,Games!$N$2:$N$18,"Missing game",0)</x:f>
        <x:v>dome</x:v>
      </x:c>
      <x:c r="AT1169" t="str">
        <x:f>_xlfn.XLOOKUP($A1169,Games!$A$2:$A$18,Games!$O$2:$O$18,"Missing game",0)</x:f>
        <x:v>matrixturf</x:v>
      </x:c>
      <x:c r="AU1169" t="str">
        <x:f>_xlfn.XLOOKUP($A1169,Games!$A$2:$A$18,Games!$P$2:$P$18,"Missing game",0)</x:f>
      </x:c>
      <x:c r="AV1169" t="str">
        <x:f>_xlfn.XLOOKUP($A1169,Games!$A$2:$A$18,Games!$Q$2:$Q$18,"Missing game",0)</x:f>
      </x:c>
      <x:c r="AW1169" t="str">
        <x:f>_xlfn.XLOOKUP($A1169,Games!$A$2:$A$18,Games!$R$2:$R$18,"Missing game",0)</x:f>
        <x:v>SoFi Stadium</x:v>
      </x:c>
    </x:row>
    <x:row r="1170">
      <x:c r="A1170" t="str">
        <x:v>2025_08_MIN_LAC</x:v>
      </x:c>
      <x:c r="B1170" t="n">
        <x:v>3940</x:v>
      </x:c>
      <x:c r="C1170" t="n">
        <x:v>4</x:v>
      </x:c>
      <x:c r="D1170" t="str">
        <x:v>01:56</x:v>
      </x:c>
      <x:c r="E1170"/>
      <x:c r="F1170" t="n">
        <x:v>0</x:v>
      </x:c>
      <x:c r="G1170" t="str">
        <x:v>MIN</x:v>
      </x:c>
      <x:c r="H1170" t="str">
        <x:v>LAC</x:v>
      </x:c>
      <x:c r="I1170" t="str">
        <x:v>LAC</x:v>
      </x:c>
      <x:c r="J1170" t="n">
        <x:v>35</x:v>
      </x:c>
      <x:c r="K1170" t="str">
        <x:v>11-C.Dicker kicks 65 yards from LAC 35 to end zone, Touchback to the MIN 35.</x:v>
      </x:c>
      <x:c r="L1170" t="str">
        <x:v>kickoff</x:v>
      </x:c>
      <x:c r="M1170" t="n">
        <x:v>0</x:v>
      </x:c>
      <x:c r="N1170" t="n">
        <x:v>0</x:v>
      </x:c>
      <x:c r="O1170" t="n">
        <x:v>0</x:v>
      </x:c>
      <x:c r="P1170"/>
      <x:c r="Q1170"/>
      <x:c r="R1170"/>
      <x:c r="S1170"/>
      <x:c r="T1170"/>
      <x:c r="U1170"/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/>
      <x:c r="AC1170" t="n">
        <x:v>0</x:v>
      </x:c>
      <x:c r="AD1170" t="n">
        <x:v>0.6166472953045741</x:v>
      </x:c>
      <x:c r="AE1170" t="n">
        <x:v>1</x:v>
      </x:c>
      <x:c r="AF1170" t="n">
        <x:v>-0.000005937366950092837</x:v>
      </x:c>
      <x:c r="AG1170" t="n">
        <x:f>_xlfn.XLOOKUP($A1170,Games!$A$2:$A$18,Games!$B$2:$B$18,"Missing game",0)</x:f>
        <x:v>2025</x:v>
      </x:c>
      <x:c r="AH1170" t="str">
        <x:f>_xlfn.XLOOKUP($A1170,Games!$A$2:$A$18,Games!$C$2:$C$18,"Missing game",0)</x:f>
        <x:v>REG</x:v>
      </x:c>
      <x:c r="AI1170" t="n">
        <x:f>_xlfn.XLOOKUP($A1170,Games!$A$2:$A$18,Games!$D$2:$D$18,"Missing game",0)</x:f>
        <x:v>8</x:v>
      </x:c>
      <x:c r="AJ1170" s="1" t="n">
        <x:f>_xlfn.XLOOKUP($A1170,Games!$A$2:$A$18,Games!$E$2:$E$18,"Missing game",0)</x:f>
        <x:v>45953</x:v>
      </x:c>
      <x:c r="AK1170" t="str">
        <x:f>_xlfn.XLOOKUP($A1170,Games!$A$2:$A$18,Games!$F$2:$F$18,"Missing game",0)</x:f>
        <x:v>Thursday</x:v>
      </x:c>
      <x:c r="AL1170" t="str">
        <x:f>_xlfn.XLOOKUP($A1170,Games!$A$2:$A$18,Games!$G$2:$G$18,"Missing game",0)</x:f>
        <x:v>MIN</x:v>
      </x:c>
      <x:c r="AM1170" t="n">
        <x:f>_xlfn.XLOOKUP($A1170,Games!$A$2:$A$18,Games!$H$2:$H$18,"Missing game",0)</x:f>
        <x:v>10</x:v>
      </x:c>
      <x:c r="AN1170" t="str">
        <x:f>_xlfn.XLOOKUP($A1170,Games!$A$2:$A$18,Games!$I$2:$I$18,"Missing game",0)</x:f>
        <x:v>LAC</x:v>
      </x:c>
      <x:c r="AO1170" t="n">
        <x:f>_xlfn.XLOOKUP($A1170,Games!$A$2:$A$18,Games!$J$2:$J$18,"Missing game",0)</x:f>
        <x:v>37</x:v>
      </x:c>
      <x:c r="AP1170" t="n">
        <x:f>_xlfn.XLOOKUP($A1170,Games!$A$2:$A$18,Games!$K$2:$K$18,"Missing game",0)</x:f>
        <x:v>27</x:v>
      </x:c>
      <x:c r="AQ1170" t="n">
        <x:f>_xlfn.XLOOKUP($A1170,Games!$A$2:$A$18,Games!$L$2:$L$18,"Missing game",0)</x:f>
        <x:v>47</x:v>
      </x:c>
      <x:c r="AR1170" t="n">
        <x:f>_xlfn.XLOOKUP($A1170,Games!$A$2:$A$18,Games!$M$2:$M$18,"Missing game",0)</x:f>
        <x:v>0</x:v>
      </x:c>
      <x:c r="AS1170" t="str">
        <x:f>_xlfn.XLOOKUP($A1170,Games!$A$2:$A$18,Games!$N$2:$N$18,"Missing game",0)</x:f>
        <x:v>dome</x:v>
      </x:c>
      <x:c r="AT1170" t="str">
        <x:f>_xlfn.XLOOKUP($A1170,Games!$A$2:$A$18,Games!$O$2:$O$18,"Missing game",0)</x:f>
        <x:v>matrixturf</x:v>
      </x:c>
      <x:c r="AU1170" t="str">
        <x:f>_xlfn.XLOOKUP($A1170,Games!$A$2:$A$18,Games!$P$2:$P$18,"Missing game",0)</x:f>
      </x:c>
      <x:c r="AV1170" t="str">
        <x:f>_xlfn.XLOOKUP($A1170,Games!$A$2:$A$18,Games!$Q$2:$Q$18,"Missing game",0)</x:f>
      </x:c>
      <x:c r="AW1170" t="str">
        <x:f>_xlfn.XLOOKUP($A1170,Games!$A$2:$A$18,Games!$R$2:$R$18,"Missing game",0)</x:f>
        <x:v>SoFi Stadium</x:v>
      </x:c>
    </x:row>
    <x:row r="1171">
      <x:c r="A1171" t="str">
        <x:v>2025_08_MIN_LAC</x:v>
      </x:c>
      <x:c r="B1171" t="n">
        <x:v>3957</x:v>
      </x:c>
      <x:c r="C1171" t="n">
        <x:v>4</x:v>
      </x:c>
      <x:c r="D1171" t="str">
        <x:v>01:56</x:v>
      </x:c>
      <x:c r="E1171" t="n">
        <x:v>1</x:v>
      </x:c>
      <x:c r="F1171" t="n">
        <x:v>10</x:v>
      </x:c>
      <x:c r="G1171" t="str">
        <x:v>MIN</x:v>
      </x:c>
      <x:c r="H1171" t="str">
        <x:v>LAC</x:v>
      </x:c>
      <x:c r="I1171" t="str">
        <x:v>MIN</x:v>
      </x:c>
      <x:c r="J1171" t="n">
        <x:v>65</x:v>
      </x:c>
      <x:c r="K1171" t="str">
        <x:v>(1:56) (Shotgun) 12-M.Brosmer pass short right to 85-B.Yurosek pushed ob at MIN 40 for 5 yards (24-B.St-Juste).</x:v>
      </x:c>
      <x:c r="L1171" t="str">
        <x:v>pass</x:v>
      </x:c>
      <x:c r="M1171" t="n">
        <x:v>5</x:v>
      </x:c>
      <x:c r="N1171" t="n">
        <x:v>1</x:v>
      </x:c>
      <x:c r="O1171" t="n">
        <x:v>0</x:v>
      </x:c>
      <x:c r="P1171" t="str">
        <x:v>short</x:v>
      </x:c>
      <x:c r="Q1171" t="str">
        <x:v>right</x:v>
      </x:c>
      <x:c r="R1171" t="n">
        <x:v>0</x:v>
      </x:c>
      <x:c r="S1171" t="n">
        <x:v>5</x:v>
      </x:c>
      <x:c r="T1171"/>
      <x:c r="U1171"/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/>
      <x:c r="AC1171" t="n">
        <x:v>0</x:v>
      </x:c>
      <x:c r="AD1171" t="n">
        <x:v>-0.1002407455816865</x:v>
      </x:c>
      <x:c r="AE1171" t="n">
        <x:v>0</x:v>
      </x:c>
      <x:c r="AF1171" t="n">
        <x:v>0.00000549169271835126</x:v>
      </x:c>
      <x:c r="AG1171" t="n">
        <x:f>_xlfn.XLOOKUP($A1171,Games!$A$2:$A$18,Games!$B$2:$B$18,"Missing game",0)</x:f>
        <x:v>2025</x:v>
      </x:c>
      <x:c r="AH1171" t="str">
        <x:f>_xlfn.XLOOKUP($A1171,Games!$A$2:$A$18,Games!$C$2:$C$18,"Missing game",0)</x:f>
        <x:v>REG</x:v>
      </x:c>
      <x:c r="AI1171" t="n">
        <x:f>_xlfn.XLOOKUP($A1171,Games!$A$2:$A$18,Games!$D$2:$D$18,"Missing game",0)</x:f>
        <x:v>8</x:v>
      </x:c>
      <x:c r="AJ1171" s="1" t="n">
        <x:f>_xlfn.XLOOKUP($A1171,Games!$A$2:$A$18,Games!$E$2:$E$18,"Missing game",0)</x:f>
        <x:v>45953</x:v>
      </x:c>
      <x:c r="AK1171" t="str">
        <x:f>_xlfn.XLOOKUP($A1171,Games!$A$2:$A$18,Games!$F$2:$F$18,"Missing game",0)</x:f>
        <x:v>Thursday</x:v>
      </x:c>
      <x:c r="AL1171" t="str">
        <x:f>_xlfn.XLOOKUP($A1171,Games!$A$2:$A$18,Games!$G$2:$G$18,"Missing game",0)</x:f>
        <x:v>MIN</x:v>
      </x:c>
      <x:c r="AM1171" t="n">
        <x:f>_xlfn.XLOOKUP($A1171,Games!$A$2:$A$18,Games!$H$2:$H$18,"Missing game",0)</x:f>
        <x:v>10</x:v>
      </x:c>
      <x:c r="AN1171" t="str">
        <x:f>_xlfn.XLOOKUP($A1171,Games!$A$2:$A$18,Games!$I$2:$I$18,"Missing game",0)</x:f>
        <x:v>LAC</x:v>
      </x:c>
      <x:c r="AO1171" t="n">
        <x:f>_xlfn.XLOOKUP($A1171,Games!$A$2:$A$18,Games!$J$2:$J$18,"Missing game",0)</x:f>
        <x:v>37</x:v>
      </x:c>
      <x:c r="AP1171" t="n">
        <x:f>_xlfn.XLOOKUP($A1171,Games!$A$2:$A$18,Games!$K$2:$K$18,"Missing game",0)</x:f>
        <x:v>27</x:v>
      </x:c>
      <x:c r="AQ1171" t="n">
        <x:f>_xlfn.XLOOKUP($A1171,Games!$A$2:$A$18,Games!$L$2:$L$18,"Missing game",0)</x:f>
        <x:v>47</x:v>
      </x:c>
      <x:c r="AR1171" t="n">
        <x:f>_xlfn.XLOOKUP($A1171,Games!$A$2:$A$18,Games!$M$2:$M$18,"Missing game",0)</x:f>
        <x:v>0</x:v>
      </x:c>
      <x:c r="AS1171" t="str">
        <x:f>_xlfn.XLOOKUP($A1171,Games!$A$2:$A$18,Games!$N$2:$N$18,"Missing game",0)</x:f>
        <x:v>dome</x:v>
      </x:c>
      <x:c r="AT1171" t="str">
        <x:f>_xlfn.XLOOKUP($A1171,Games!$A$2:$A$18,Games!$O$2:$O$18,"Missing game",0)</x:f>
        <x:v>matrixturf</x:v>
      </x:c>
      <x:c r="AU1171" t="str">
        <x:f>_xlfn.XLOOKUP($A1171,Games!$A$2:$A$18,Games!$P$2:$P$18,"Missing game",0)</x:f>
      </x:c>
      <x:c r="AV1171" t="str">
        <x:f>_xlfn.XLOOKUP($A1171,Games!$A$2:$A$18,Games!$Q$2:$Q$18,"Missing game",0)</x:f>
      </x:c>
      <x:c r="AW1171" t="str">
        <x:f>_xlfn.XLOOKUP($A1171,Games!$A$2:$A$18,Games!$R$2:$R$18,"Missing game",0)</x:f>
        <x:v>SoFi Stadium</x:v>
      </x:c>
    </x:row>
    <x:row r="1172">
      <x:c r="A1172" t="str">
        <x:v>2025_08_MIN_LAC</x:v>
      </x:c>
      <x:c r="B1172" t="n">
        <x:v>3987</x:v>
      </x:c>
      <x:c r="C1172" t="n">
        <x:v>4</x:v>
      </x:c>
      <x:c r="D1172" t="str">
        <x:v>01:52</x:v>
      </x:c>
      <x:c r="E1172" t="n">
        <x:v>2</x:v>
      </x:c>
      <x:c r="F1172" t="n">
        <x:v>5</x:v>
      </x:c>
      <x:c r="G1172" t="str">
        <x:v>MIN</x:v>
      </x:c>
      <x:c r="H1172" t="str">
        <x:v>LAC</x:v>
      </x:c>
      <x:c r="I1172" t="str">
        <x:v>MIN</x:v>
      </x:c>
      <x:c r="J1172" t="n">
        <x:v>60</x:v>
      </x:c>
      <x:c r="K1172" t="str">
        <x:v>(1:52) (No Huddle, Shotgun) PENALTY on LAC-96-N.Jones, Encroachment, 5 yards, enforced at MIN 40 - No Play.</x:v>
      </x:c>
      <x:c r="L1172" t="str">
        <x:v>no_play</x:v>
      </x:c>
      <x:c r="M1172" t="n">
        <x:v>0</x:v>
      </x:c>
      <x:c r="N1172" t="n">
        <x:v>1</x:v>
      </x:c>
      <x:c r="O1172" t="n">
        <x:v>1</x:v>
      </x:c>
      <x:c r="P1172"/>
      <x:c r="Q1172"/>
      <x:c r="R1172"/>
      <x:c r="S1172"/>
      <x:c r="T1172"/>
      <x:c r="U1172"/>
      <x:c r="V1172" t="n">
        <x:v>0</x:v>
      </x:c>
      <x:c r="W1172" t="n">
        <x:v>1</x:v>
      </x:c>
      <x:c r="X1172" t="n">
        <x:v>0</x:v>
      </x:c>
      <x:c r="Y1172" t="n">
        <x:v>0</x:v>
      </x:c>
      <x:c r="Z1172" t="n">
        <x:v>0</x:v>
      </x:c>
      <x:c r="AA1172" t="n">
        <x:v>1</x:v>
      </x:c>
      <x:c r="AB1172" t="n">
        <x:v>5</x:v>
      </x:c>
      <x:c r="AC1172" t="n">
        <x:v>0</x:v>
      </x:c>
      <x:c r="AD1172" t="n">
        <x:v>0.5473040068754926</x:v>
      </x:c>
      <x:c r="AE1172" t="n">
        <x:v>1</x:v>
      </x:c>
      <x:c r="AF1172" t="n">
        <x:v>0.0000013219178072176874</x:v>
      </x:c>
      <x:c r="AG1172" t="n">
        <x:f>_xlfn.XLOOKUP($A1172,Games!$A$2:$A$18,Games!$B$2:$B$18,"Missing game",0)</x:f>
        <x:v>2025</x:v>
      </x:c>
      <x:c r="AH1172" t="str">
        <x:f>_xlfn.XLOOKUP($A1172,Games!$A$2:$A$18,Games!$C$2:$C$18,"Missing game",0)</x:f>
        <x:v>REG</x:v>
      </x:c>
      <x:c r="AI1172" t="n">
        <x:f>_xlfn.XLOOKUP($A1172,Games!$A$2:$A$18,Games!$D$2:$D$18,"Missing game",0)</x:f>
        <x:v>8</x:v>
      </x:c>
      <x:c r="AJ1172" s="1" t="n">
        <x:f>_xlfn.XLOOKUP($A1172,Games!$A$2:$A$18,Games!$E$2:$E$18,"Missing game",0)</x:f>
        <x:v>45953</x:v>
      </x:c>
      <x:c r="AK1172" t="str">
        <x:f>_xlfn.XLOOKUP($A1172,Games!$A$2:$A$18,Games!$F$2:$F$18,"Missing game",0)</x:f>
        <x:v>Thursday</x:v>
      </x:c>
      <x:c r="AL1172" t="str">
        <x:f>_xlfn.XLOOKUP($A1172,Games!$A$2:$A$18,Games!$G$2:$G$18,"Missing game",0)</x:f>
        <x:v>MIN</x:v>
      </x:c>
      <x:c r="AM1172" t="n">
        <x:f>_xlfn.XLOOKUP($A1172,Games!$A$2:$A$18,Games!$H$2:$H$18,"Missing game",0)</x:f>
        <x:v>10</x:v>
      </x:c>
      <x:c r="AN1172" t="str">
        <x:f>_xlfn.XLOOKUP($A1172,Games!$A$2:$A$18,Games!$I$2:$I$18,"Missing game",0)</x:f>
        <x:v>LAC</x:v>
      </x:c>
      <x:c r="AO1172" t="n">
        <x:f>_xlfn.XLOOKUP($A1172,Games!$A$2:$A$18,Games!$J$2:$J$18,"Missing game",0)</x:f>
        <x:v>37</x:v>
      </x:c>
      <x:c r="AP1172" t="n">
        <x:f>_xlfn.XLOOKUP($A1172,Games!$A$2:$A$18,Games!$K$2:$K$18,"Missing game",0)</x:f>
        <x:v>27</x:v>
      </x:c>
      <x:c r="AQ1172" t="n">
        <x:f>_xlfn.XLOOKUP($A1172,Games!$A$2:$A$18,Games!$L$2:$L$18,"Missing game",0)</x:f>
        <x:v>47</x:v>
      </x:c>
      <x:c r="AR1172" t="n">
        <x:f>_xlfn.XLOOKUP($A1172,Games!$A$2:$A$18,Games!$M$2:$M$18,"Missing game",0)</x:f>
        <x:v>0</x:v>
      </x:c>
      <x:c r="AS1172" t="str">
        <x:f>_xlfn.XLOOKUP($A1172,Games!$A$2:$A$18,Games!$N$2:$N$18,"Missing game",0)</x:f>
        <x:v>dome</x:v>
      </x:c>
      <x:c r="AT1172" t="str">
        <x:f>_xlfn.XLOOKUP($A1172,Games!$A$2:$A$18,Games!$O$2:$O$18,"Missing game",0)</x:f>
        <x:v>matrixturf</x:v>
      </x:c>
      <x:c r="AU1172" t="str">
        <x:f>_xlfn.XLOOKUP($A1172,Games!$A$2:$A$18,Games!$P$2:$P$18,"Missing game",0)</x:f>
      </x:c>
      <x:c r="AV1172" t="str">
        <x:f>_xlfn.XLOOKUP($A1172,Games!$A$2:$A$18,Games!$Q$2:$Q$18,"Missing game",0)</x:f>
      </x:c>
      <x:c r="AW1172" t="str">
        <x:f>_xlfn.XLOOKUP($A1172,Games!$A$2:$A$18,Games!$R$2:$R$18,"Missing game",0)</x:f>
        <x:v>SoFi Stadium</x:v>
      </x:c>
    </x:row>
    <x:row r="1173">
      <x:c r="A1173" t="str">
        <x:v>2025_08_MIN_LAC</x:v>
      </x:c>
      <x:c r="B1173" t="n">
        <x:v>4011</x:v>
      </x:c>
      <x:c r="C1173" t="n">
        <x:v>4</x:v>
      </x:c>
      <x:c r="D1173" t="str">
        <x:v>01:52</x:v>
      </x:c>
      <x:c r="E1173" t="n">
        <x:v>1</x:v>
      </x:c>
      <x:c r="F1173" t="n">
        <x:v>10</x:v>
      </x:c>
      <x:c r="G1173" t="str">
        <x:v>MIN</x:v>
      </x:c>
      <x:c r="H1173" t="str">
        <x:v>LAC</x:v>
      </x:c>
      <x:c r="I1173" t="str">
        <x:v>MIN</x:v>
      </x:c>
      <x:c r="J1173" t="n">
        <x:v>55</x:v>
      </x:c>
      <x:c r="K1173" t="str">
        <x:v>(1:52) (Shotgun) 12-M.Brosmer pass incomplete short left to 19-A.Thielen (26-D.Jackson).</x:v>
      </x:c>
      <x:c r="L1173" t="str">
        <x:v>pass</x:v>
      </x:c>
      <x:c r="M1173" t="n">
        <x:v>0</x:v>
      </x:c>
      <x:c r="N1173" t="n">
        <x:v>1</x:v>
      </x:c>
      <x:c r="O1173" t="n">
        <x:v>0</x:v>
      </x:c>
      <x:c r="P1173" t="str">
        <x:v>short</x:v>
      </x:c>
      <x:c r="Q1173" t="str">
        <x:v>left</x:v>
      </x:c>
      <x:c r="R1173" t="n">
        <x:v>4</x:v>
      </x:c>
      <x:c r="S1173"/>
      <x:c r="T1173"/>
      <x:c r="U1173"/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/>
      <x:c r="AC1173" t="n">
        <x:v>0</x:v>
      </x:c>
      <x:c r="AD1173" t="n">
        <x:v>-0.3837971450993791</x:v>
      </x:c>
      <x:c r="AE1173" t="n">
        <x:v>0</x:v>
      </x:c>
      <x:c r="AF1173" t="n">
        <x:v>-0.000003644483513198793</x:v>
      </x:c>
      <x:c r="AG1173" t="n">
        <x:f>_xlfn.XLOOKUP($A1173,Games!$A$2:$A$18,Games!$B$2:$B$18,"Missing game",0)</x:f>
        <x:v>2025</x:v>
      </x:c>
      <x:c r="AH1173" t="str">
        <x:f>_xlfn.XLOOKUP($A1173,Games!$A$2:$A$18,Games!$C$2:$C$18,"Missing game",0)</x:f>
        <x:v>REG</x:v>
      </x:c>
      <x:c r="AI1173" t="n">
        <x:f>_xlfn.XLOOKUP($A1173,Games!$A$2:$A$18,Games!$D$2:$D$18,"Missing game",0)</x:f>
        <x:v>8</x:v>
      </x:c>
      <x:c r="AJ1173" s="1" t="n">
        <x:f>_xlfn.XLOOKUP($A1173,Games!$A$2:$A$18,Games!$E$2:$E$18,"Missing game",0)</x:f>
        <x:v>45953</x:v>
      </x:c>
      <x:c r="AK1173" t="str">
        <x:f>_xlfn.XLOOKUP($A1173,Games!$A$2:$A$18,Games!$F$2:$F$18,"Missing game",0)</x:f>
        <x:v>Thursday</x:v>
      </x:c>
      <x:c r="AL1173" t="str">
        <x:f>_xlfn.XLOOKUP($A1173,Games!$A$2:$A$18,Games!$G$2:$G$18,"Missing game",0)</x:f>
        <x:v>MIN</x:v>
      </x:c>
      <x:c r="AM1173" t="n">
        <x:f>_xlfn.XLOOKUP($A1173,Games!$A$2:$A$18,Games!$H$2:$H$18,"Missing game",0)</x:f>
        <x:v>10</x:v>
      </x:c>
      <x:c r="AN1173" t="str">
        <x:f>_xlfn.XLOOKUP($A1173,Games!$A$2:$A$18,Games!$I$2:$I$18,"Missing game",0)</x:f>
        <x:v>LAC</x:v>
      </x:c>
      <x:c r="AO1173" t="n">
        <x:f>_xlfn.XLOOKUP($A1173,Games!$A$2:$A$18,Games!$J$2:$J$18,"Missing game",0)</x:f>
        <x:v>37</x:v>
      </x:c>
      <x:c r="AP1173" t="n">
        <x:f>_xlfn.XLOOKUP($A1173,Games!$A$2:$A$18,Games!$K$2:$K$18,"Missing game",0)</x:f>
        <x:v>27</x:v>
      </x:c>
      <x:c r="AQ1173" t="n">
        <x:f>_xlfn.XLOOKUP($A1173,Games!$A$2:$A$18,Games!$L$2:$L$18,"Missing game",0)</x:f>
        <x:v>47</x:v>
      </x:c>
      <x:c r="AR1173" t="n">
        <x:f>_xlfn.XLOOKUP($A1173,Games!$A$2:$A$18,Games!$M$2:$M$18,"Missing game",0)</x:f>
        <x:v>0</x:v>
      </x:c>
      <x:c r="AS1173" t="str">
        <x:f>_xlfn.XLOOKUP($A1173,Games!$A$2:$A$18,Games!$N$2:$N$18,"Missing game",0)</x:f>
        <x:v>dome</x:v>
      </x:c>
      <x:c r="AT1173" t="str">
        <x:f>_xlfn.XLOOKUP($A1173,Games!$A$2:$A$18,Games!$O$2:$O$18,"Missing game",0)</x:f>
        <x:v>matrixturf</x:v>
      </x:c>
      <x:c r="AU1173" t="str">
        <x:f>_xlfn.XLOOKUP($A1173,Games!$A$2:$A$18,Games!$P$2:$P$18,"Missing game",0)</x:f>
      </x:c>
      <x:c r="AV1173" t="str">
        <x:f>_xlfn.XLOOKUP($A1173,Games!$A$2:$A$18,Games!$Q$2:$Q$18,"Missing game",0)</x:f>
      </x:c>
      <x:c r="AW1173" t="str">
        <x:f>_xlfn.XLOOKUP($A1173,Games!$A$2:$A$18,Games!$R$2:$R$18,"Missing game",0)</x:f>
        <x:v>SoFi Stadium</x:v>
      </x:c>
    </x:row>
    <x:row r="1174">
      <x:c r="A1174" t="str">
        <x:v>2025_08_MIN_LAC</x:v>
      </x:c>
      <x:c r="B1174" t="n">
        <x:v>4034</x:v>
      </x:c>
      <x:c r="C1174" t="n">
        <x:v>4</x:v>
      </x:c>
      <x:c r="D1174" t="str">
        <x:v>01:46</x:v>
      </x:c>
      <x:c r="E1174" t="n">
        <x:v>2</x:v>
      </x:c>
      <x:c r="F1174" t="n">
        <x:v>10</x:v>
      </x:c>
      <x:c r="G1174" t="str">
        <x:v>MIN</x:v>
      </x:c>
      <x:c r="H1174" t="str">
        <x:v>LAC</x:v>
      </x:c>
      <x:c r="I1174" t="str">
        <x:v>MIN</x:v>
      </x:c>
      <x:c r="J1174" t="n">
        <x:v>55</x:v>
      </x:c>
      <x:c r="K1174" t="str">
        <x:v>(1:46) (Shotgun) 36-Z.Scott right tackle to LAC 49 for 6 yards (43-T.Dye; 98-O.Oweh).</x:v>
      </x:c>
      <x:c r="L1174" t="str">
        <x:v>run</x:v>
      </x:c>
      <x:c r="M1174" t="n">
        <x:v>6</x:v>
      </x:c>
      <x:c r="N1174" t="n">
        <x:v>1</x:v>
      </x:c>
      <x:c r="O1174" t="n">
        <x:v>0</x:v>
      </x:c>
      <x:c r="P1174"/>
      <x:c r="Q1174"/>
      <x:c r="R1174"/>
      <x:c r="S1174"/>
      <x:c r="T1174" t="str">
        <x:v>right</x:v>
      </x:c>
      <x:c r="U1174" t="str">
        <x:v>tackle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/>
      <x:c r="AC1174" t="n">
        <x:v>0</x:v>
      </x:c>
      <x:c r="AD1174" t="n">
        <x:v>0.24879589688498527</x:v>
      </x:c>
      <x:c r="AE1174" t="n">
        <x:v>1</x:v>
      </x:c>
      <x:c r="AF1174" t="n">
        <x:v>0.000008177681593224406</x:v>
      </x:c>
      <x:c r="AG1174" t="n">
        <x:f>_xlfn.XLOOKUP($A1174,Games!$A$2:$A$18,Games!$B$2:$B$18,"Missing game",0)</x:f>
        <x:v>2025</x:v>
      </x:c>
      <x:c r="AH1174" t="str">
        <x:f>_xlfn.XLOOKUP($A1174,Games!$A$2:$A$18,Games!$C$2:$C$18,"Missing game",0)</x:f>
        <x:v>REG</x:v>
      </x:c>
      <x:c r="AI1174" t="n">
        <x:f>_xlfn.XLOOKUP($A1174,Games!$A$2:$A$18,Games!$D$2:$D$18,"Missing game",0)</x:f>
        <x:v>8</x:v>
      </x:c>
      <x:c r="AJ1174" s="1" t="n">
        <x:f>_xlfn.XLOOKUP($A1174,Games!$A$2:$A$18,Games!$E$2:$E$18,"Missing game",0)</x:f>
        <x:v>45953</x:v>
      </x:c>
      <x:c r="AK1174" t="str">
        <x:f>_xlfn.XLOOKUP($A1174,Games!$A$2:$A$18,Games!$F$2:$F$18,"Missing game",0)</x:f>
        <x:v>Thursday</x:v>
      </x:c>
      <x:c r="AL1174" t="str">
        <x:f>_xlfn.XLOOKUP($A1174,Games!$A$2:$A$18,Games!$G$2:$G$18,"Missing game",0)</x:f>
        <x:v>MIN</x:v>
      </x:c>
      <x:c r="AM1174" t="n">
        <x:f>_xlfn.XLOOKUP($A1174,Games!$A$2:$A$18,Games!$H$2:$H$18,"Missing game",0)</x:f>
        <x:v>10</x:v>
      </x:c>
      <x:c r="AN1174" t="str">
        <x:f>_xlfn.XLOOKUP($A1174,Games!$A$2:$A$18,Games!$I$2:$I$18,"Missing game",0)</x:f>
        <x:v>LAC</x:v>
      </x:c>
      <x:c r="AO1174" t="n">
        <x:f>_xlfn.XLOOKUP($A1174,Games!$A$2:$A$18,Games!$J$2:$J$18,"Missing game",0)</x:f>
        <x:v>37</x:v>
      </x:c>
      <x:c r="AP1174" t="n">
        <x:f>_xlfn.XLOOKUP($A1174,Games!$A$2:$A$18,Games!$K$2:$K$18,"Missing game",0)</x:f>
        <x:v>27</x:v>
      </x:c>
      <x:c r="AQ1174" t="n">
        <x:f>_xlfn.XLOOKUP($A1174,Games!$A$2:$A$18,Games!$L$2:$L$18,"Missing game",0)</x:f>
        <x:v>47</x:v>
      </x:c>
      <x:c r="AR1174" t="n">
        <x:f>_xlfn.XLOOKUP($A1174,Games!$A$2:$A$18,Games!$M$2:$M$18,"Missing game",0)</x:f>
        <x:v>0</x:v>
      </x:c>
      <x:c r="AS1174" t="str">
        <x:f>_xlfn.XLOOKUP($A1174,Games!$A$2:$A$18,Games!$N$2:$N$18,"Missing game",0)</x:f>
        <x:v>dome</x:v>
      </x:c>
      <x:c r="AT1174" t="str">
        <x:f>_xlfn.XLOOKUP($A1174,Games!$A$2:$A$18,Games!$O$2:$O$18,"Missing game",0)</x:f>
        <x:v>matrixturf</x:v>
      </x:c>
      <x:c r="AU1174" t="str">
        <x:f>_xlfn.XLOOKUP($A1174,Games!$A$2:$A$18,Games!$P$2:$P$18,"Missing game",0)</x:f>
      </x:c>
      <x:c r="AV1174" t="str">
        <x:f>_xlfn.XLOOKUP($A1174,Games!$A$2:$A$18,Games!$Q$2:$Q$18,"Missing game",0)</x:f>
      </x:c>
      <x:c r="AW1174" t="str">
        <x:f>_xlfn.XLOOKUP($A1174,Games!$A$2:$A$18,Games!$R$2:$R$18,"Missing game",0)</x:f>
        <x:v>SoFi Stadium</x:v>
      </x:c>
    </x:row>
    <x:row r="1175">
      <x:c r="A1175" t="str">
        <x:v>2025_08_MIN_LAC</x:v>
      </x:c>
      <x:c r="B1175" t="n">
        <x:v>4056</x:v>
      </x:c>
      <x:c r="C1175" t="n">
        <x:v>4</x:v>
      </x:c>
      <x:c r="D1175" t="str">
        <x:v>01:01</x:v>
      </x:c>
      <x:c r="E1175" t="n">
        <x:v>3</x:v>
      </x:c>
      <x:c r="F1175" t="n">
        <x:v>4</x:v>
      </x:c>
      <x:c r="G1175" t="str">
        <x:v>MIN</x:v>
      </x:c>
      <x:c r="H1175" t="str">
        <x:v>LAC</x:v>
      </x:c>
      <x:c r="I1175" t="str">
        <x:v>LAC</x:v>
      </x:c>
      <x:c r="J1175" t="n">
        <x:v>49</x:v>
      </x:c>
      <x:c r="K1175" t="str">
        <x:v>(1:01) (Shotgun) 12-M.Brosmer pass short right to 36-Z.Scott pushed ob at LAC 44 for 5 yards (98-O.Oweh).</x:v>
      </x:c>
      <x:c r="L1175" t="str">
        <x:v>pass</x:v>
      </x:c>
      <x:c r="M1175" t="n">
        <x:v>5</x:v>
      </x:c>
      <x:c r="N1175" t="n">
        <x:v>1</x:v>
      </x:c>
      <x:c r="O1175" t="n">
        <x:v>0</x:v>
      </x:c>
      <x:c r="P1175" t="str">
        <x:v>short</x:v>
      </x:c>
      <x:c r="Q1175" t="str">
        <x:v>right</x:v>
      </x:c>
      <x:c r="R1175" t="n">
        <x:v>-5</x:v>
      </x:c>
      <x:c r="S1175" t="n">
        <x:v>10</x:v>
      </x:c>
      <x:c r="T1175"/>
      <x:c r="U1175"/>
      <x:c r="V1175" t="n">
        <x:v>1</x:v>
      </x:c>
      <x:c r="W1175" t="n">
        <x:v>1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/>
      <x:c r="AC1175" t="n">
        <x:v>0</x:v>
      </x:c>
      <x:c r="AD1175" t="n">
        <x:v>0.8274516538367607</x:v>
      </x:c>
      <x:c r="AE1175" t="n">
        <x:v>1</x:v>
      </x:c>
      <x:c r="AF1175" t="n">
        <x:v>-7.985145202837884e-7</x:v>
      </x:c>
      <x:c r="AG1175" t="n">
        <x:f>_xlfn.XLOOKUP($A1175,Games!$A$2:$A$18,Games!$B$2:$B$18,"Missing game",0)</x:f>
        <x:v>2025</x:v>
      </x:c>
      <x:c r="AH1175" t="str">
        <x:f>_xlfn.XLOOKUP($A1175,Games!$A$2:$A$18,Games!$C$2:$C$18,"Missing game",0)</x:f>
        <x:v>REG</x:v>
      </x:c>
      <x:c r="AI1175" t="n">
        <x:f>_xlfn.XLOOKUP($A1175,Games!$A$2:$A$18,Games!$D$2:$D$18,"Missing game",0)</x:f>
        <x:v>8</x:v>
      </x:c>
      <x:c r="AJ1175" s="1" t="n">
        <x:f>_xlfn.XLOOKUP($A1175,Games!$A$2:$A$18,Games!$E$2:$E$18,"Missing game",0)</x:f>
        <x:v>45953</x:v>
      </x:c>
      <x:c r="AK1175" t="str">
        <x:f>_xlfn.XLOOKUP($A1175,Games!$A$2:$A$18,Games!$F$2:$F$18,"Missing game",0)</x:f>
        <x:v>Thursday</x:v>
      </x:c>
      <x:c r="AL1175" t="str">
        <x:f>_xlfn.XLOOKUP($A1175,Games!$A$2:$A$18,Games!$G$2:$G$18,"Missing game",0)</x:f>
        <x:v>MIN</x:v>
      </x:c>
      <x:c r="AM1175" t="n">
        <x:f>_xlfn.XLOOKUP($A1175,Games!$A$2:$A$18,Games!$H$2:$H$18,"Missing game",0)</x:f>
        <x:v>10</x:v>
      </x:c>
      <x:c r="AN1175" t="str">
        <x:f>_xlfn.XLOOKUP($A1175,Games!$A$2:$A$18,Games!$I$2:$I$18,"Missing game",0)</x:f>
        <x:v>LAC</x:v>
      </x:c>
      <x:c r="AO1175" t="n">
        <x:f>_xlfn.XLOOKUP($A1175,Games!$A$2:$A$18,Games!$J$2:$J$18,"Missing game",0)</x:f>
        <x:v>37</x:v>
      </x:c>
      <x:c r="AP1175" t="n">
        <x:f>_xlfn.XLOOKUP($A1175,Games!$A$2:$A$18,Games!$K$2:$K$18,"Missing game",0)</x:f>
        <x:v>27</x:v>
      </x:c>
      <x:c r="AQ1175" t="n">
        <x:f>_xlfn.XLOOKUP($A1175,Games!$A$2:$A$18,Games!$L$2:$L$18,"Missing game",0)</x:f>
        <x:v>47</x:v>
      </x:c>
      <x:c r="AR1175" t="n">
        <x:f>_xlfn.XLOOKUP($A1175,Games!$A$2:$A$18,Games!$M$2:$M$18,"Missing game",0)</x:f>
        <x:v>0</x:v>
      </x:c>
      <x:c r="AS1175" t="str">
        <x:f>_xlfn.XLOOKUP($A1175,Games!$A$2:$A$18,Games!$N$2:$N$18,"Missing game",0)</x:f>
        <x:v>dome</x:v>
      </x:c>
      <x:c r="AT1175" t="str">
        <x:f>_xlfn.XLOOKUP($A1175,Games!$A$2:$A$18,Games!$O$2:$O$18,"Missing game",0)</x:f>
        <x:v>matrixturf</x:v>
      </x:c>
      <x:c r="AU1175" t="str">
        <x:f>_xlfn.XLOOKUP($A1175,Games!$A$2:$A$18,Games!$P$2:$P$18,"Missing game",0)</x:f>
      </x:c>
      <x:c r="AV1175" t="str">
        <x:f>_xlfn.XLOOKUP($A1175,Games!$A$2:$A$18,Games!$Q$2:$Q$18,"Missing game",0)</x:f>
      </x:c>
      <x:c r="AW1175" t="str">
        <x:f>_xlfn.XLOOKUP($A1175,Games!$A$2:$A$18,Games!$R$2:$R$18,"Missing game",0)</x:f>
        <x:v>SoFi Stadium</x:v>
      </x:c>
    </x:row>
    <x:row r="1176">
      <x:c r="A1176" t="str">
        <x:v>2025_08_MIN_LAC</x:v>
      </x:c>
      <x:c r="B1176" t="n">
        <x:v>4086</x:v>
      </x:c>
      <x:c r="C1176" t="n">
        <x:v>4</x:v>
      </x:c>
      <x:c r="D1176" t="str">
        <x:v>00:57</x:v>
      </x:c>
      <x:c r="E1176" t="n">
        <x:v>1</x:v>
      </x:c>
      <x:c r="F1176" t="n">
        <x:v>10</x:v>
      </x:c>
      <x:c r="G1176" t="str">
        <x:v>MIN</x:v>
      </x:c>
      <x:c r="H1176" t="str">
        <x:v>LAC</x:v>
      </x:c>
      <x:c r="I1176" t="str">
        <x:v>LAC</x:v>
      </x:c>
      <x:c r="J1176" t="n">
        <x:v>44</x:v>
      </x:c>
      <x:c r="K1176" t="str">
        <x:v>(:57) (Shotgun) 12-M.Brosmer pass short right to 36-Z.Scott to LAC 41 for 3 yards (24-B.St-Juste).</x:v>
      </x:c>
      <x:c r="L1176" t="str">
        <x:v>pass</x:v>
      </x:c>
      <x:c r="M1176" t="n">
        <x:v>3</x:v>
      </x:c>
      <x:c r="N1176" t="n">
        <x:v>1</x:v>
      </x:c>
      <x:c r="O1176" t="n">
        <x:v>0</x:v>
      </x:c>
      <x:c r="P1176" t="str">
        <x:v>short</x:v>
      </x:c>
      <x:c r="Q1176" t="str">
        <x:v>right</x:v>
      </x:c>
      <x:c r="R1176" t="n">
        <x:v>-5</x:v>
      </x:c>
      <x:c r="S1176" t="n">
        <x:v>8</x:v>
      </x:c>
      <x:c r="T1176"/>
      <x:c r="U1176"/>
      <x:c r="V1176" t="n">
        <x:v>1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/>
      <x:c r="AC1176" t="n">
        <x:v>0</x:v>
      </x:c>
      <x:c r="AD1176" t="n">
        <x:v>-0.35418752185069025</x:v>
      </x:c>
      <x:c r="AE1176" t="n">
        <x:v>0</x:v>
      </x:c>
      <x:c r="AF1176" t="n">
        <x:v>-0.00000264721893472597</x:v>
      </x:c>
      <x:c r="AG1176" t="n">
        <x:f>_xlfn.XLOOKUP($A1176,Games!$A$2:$A$18,Games!$B$2:$B$18,"Missing game",0)</x:f>
        <x:v>2025</x:v>
      </x:c>
      <x:c r="AH1176" t="str">
        <x:f>_xlfn.XLOOKUP($A1176,Games!$A$2:$A$18,Games!$C$2:$C$18,"Missing game",0)</x:f>
        <x:v>REG</x:v>
      </x:c>
      <x:c r="AI1176" t="n">
        <x:f>_xlfn.XLOOKUP($A1176,Games!$A$2:$A$18,Games!$D$2:$D$18,"Missing game",0)</x:f>
        <x:v>8</x:v>
      </x:c>
      <x:c r="AJ1176" s="1" t="n">
        <x:f>_xlfn.XLOOKUP($A1176,Games!$A$2:$A$18,Games!$E$2:$E$18,"Missing game",0)</x:f>
        <x:v>45953</x:v>
      </x:c>
      <x:c r="AK1176" t="str">
        <x:f>_xlfn.XLOOKUP($A1176,Games!$A$2:$A$18,Games!$F$2:$F$18,"Missing game",0)</x:f>
        <x:v>Thursday</x:v>
      </x:c>
      <x:c r="AL1176" t="str">
        <x:f>_xlfn.XLOOKUP($A1176,Games!$A$2:$A$18,Games!$G$2:$G$18,"Missing game",0)</x:f>
        <x:v>MIN</x:v>
      </x:c>
      <x:c r="AM1176" t="n">
        <x:f>_xlfn.XLOOKUP($A1176,Games!$A$2:$A$18,Games!$H$2:$H$18,"Missing game",0)</x:f>
        <x:v>10</x:v>
      </x:c>
      <x:c r="AN1176" t="str">
        <x:f>_xlfn.XLOOKUP($A1176,Games!$A$2:$A$18,Games!$I$2:$I$18,"Missing game",0)</x:f>
        <x:v>LAC</x:v>
      </x:c>
      <x:c r="AO1176" t="n">
        <x:f>_xlfn.XLOOKUP($A1176,Games!$A$2:$A$18,Games!$J$2:$J$18,"Missing game",0)</x:f>
        <x:v>37</x:v>
      </x:c>
      <x:c r="AP1176" t="n">
        <x:f>_xlfn.XLOOKUP($A1176,Games!$A$2:$A$18,Games!$K$2:$K$18,"Missing game",0)</x:f>
        <x:v>27</x:v>
      </x:c>
      <x:c r="AQ1176" t="n">
        <x:f>_xlfn.XLOOKUP($A1176,Games!$A$2:$A$18,Games!$L$2:$L$18,"Missing game",0)</x:f>
        <x:v>47</x:v>
      </x:c>
      <x:c r="AR1176" t="n">
        <x:f>_xlfn.XLOOKUP($A1176,Games!$A$2:$A$18,Games!$M$2:$M$18,"Missing game",0)</x:f>
        <x:v>0</x:v>
      </x:c>
      <x:c r="AS1176" t="str">
        <x:f>_xlfn.XLOOKUP($A1176,Games!$A$2:$A$18,Games!$N$2:$N$18,"Missing game",0)</x:f>
        <x:v>dome</x:v>
      </x:c>
      <x:c r="AT1176" t="str">
        <x:f>_xlfn.XLOOKUP($A1176,Games!$A$2:$A$18,Games!$O$2:$O$18,"Missing game",0)</x:f>
        <x:v>matrixturf</x:v>
      </x:c>
      <x:c r="AU1176" t="str">
        <x:f>_xlfn.XLOOKUP($A1176,Games!$A$2:$A$18,Games!$P$2:$P$18,"Missing game",0)</x:f>
      </x:c>
      <x:c r="AV1176" t="str">
        <x:f>_xlfn.XLOOKUP($A1176,Games!$A$2:$A$18,Games!$Q$2:$Q$18,"Missing game",0)</x:f>
      </x:c>
      <x:c r="AW1176" t="str">
        <x:f>_xlfn.XLOOKUP($A1176,Games!$A$2:$A$18,Games!$R$2:$R$18,"Missing game",0)</x:f>
        <x:v>SoFi Stadium</x:v>
      </x:c>
    </x:row>
    <x:row r="1177">
      <x:c r="A1177" t="str">
        <x:v>2025_08_MIN_LAC</x:v>
      </x:c>
      <x:c r="B1177" t="n">
        <x:v>4116</x:v>
      </x:c>
      <x:c r="C1177" t="n">
        <x:v>4</x:v>
      </x:c>
      <x:c r="D1177" t="str">
        <x:v>00:29</x:v>
      </x:c>
      <x:c r="E1177" t="n">
        <x:v>2</x:v>
      </x:c>
      <x:c r="F1177" t="n">
        <x:v>7</x:v>
      </x:c>
      <x:c r="G1177" t="str">
        <x:v>MIN</x:v>
      </x:c>
      <x:c r="H1177" t="str">
        <x:v>LAC</x:v>
      </x:c>
      <x:c r="I1177" t="str">
        <x:v>LAC</x:v>
      </x:c>
      <x:c r="J1177" t="n">
        <x:v>41</x:v>
      </x:c>
      <x:c r="K1177" t="str">
        <x:v>(:29) (No Huddle, Shotgun) 36-Z.Scott right tackle to LAC 31 for 10 yards (40-K.Williamson).</x:v>
      </x:c>
      <x:c r="L1177" t="str">
        <x:v>run</x:v>
      </x:c>
      <x:c r="M1177" t="n">
        <x:v>10</x:v>
      </x:c>
      <x:c r="N1177" t="n">
        <x:v>1</x:v>
      </x:c>
      <x:c r="O1177" t="n">
        <x:v>1</x:v>
      </x:c>
      <x:c r="P1177"/>
      <x:c r="Q1177"/>
      <x:c r="R1177"/>
      <x:c r="S1177"/>
      <x:c r="T1177" t="str">
        <x:v>right</x:v>
      </x:c>
      <x:c r="U1177" t="str">
        <x:v>tackle</x:v>
      </x:c>
      <x:c r="V1177" t="n">
        <x:v>0</x:v>
      </x:c>
      <x:c r="W1177" t="n">
        <x:v>1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/>
      <x:c r="AC1177" t="n">
        <x:v>0</x:v>
      </x:c>
      <x:c r="AD1177" t="n">
        <x:v>-2.46359871403547</x:v>
      </x:c>
      <x:c r="AE1177" t="n">
        <x:v>0</x:v>
      </x:c>
      <x:c r="AF1177" t="n">
        <x:v>-0.00006572021084139124</x:v>
      </x:c>
      <x:c r="AG1177" t="n">
        <x:f>_xlfn.XLOOKUP($A1177,Games!$A$2:$A$18,Games!$B$2:$B$18,"Missing game",0)</x:f>
        <x:v>2025</x:v>
      </x:c>
      <x:c r="AH1177" t="str">
        <x:f>_xlfn.XLOOKUP($A1177,Games!$A$2:$A$18,Games!$C$2:$C$18,"Missing game",0)</x:f>
        <x:v>REG</x:v>
      </x:c>
      <x:c r="AI1177" t="n">
        <x:f>_xlfn.XLOOKUP($A1177,Games!$A$2:$A$18,Games!$D$2:$D$18,"Missing game",0)</x:f>
        <x:v>8</x:v>
      </x:c>
      <x:c r="AJ1177" s="1" t="n">
        <x:f>_xlfn.XLOOKUP($A1177,Games!$A$2:$A$18,Games!$E$2:$E$18,"Missing game",0)</x:f>
        <x:v>45953</x:v>
      </x:c>
      <x:c r="AK1177" t="str">
        <x:f>_xlfn.XLOOKUP($A1177,Games!$A$2:$A$18,Games!$F$2:$F$18,"Missing game",0)</x:f>
        <x:v>Thursday</x:v>
      </x:c>
      <x:c r="AL1177" t="str">
        <x:f>_xlfn.XLOOKUP($A1177,Games!$A$2:$A$18,Games!$G$2:$G$18,"Missing game",0)</x:f>
        <x:v>MIN</x:v>
      </x:c>
      <x:c r="AM1177" t="n">
        <x:f>_xlfn.XLOOKUP($A1177,Games!$A$2:$A$18,Games!$H$2:$H$18,"Missing game",0)</x:f>
        <x:v>10</x:v>
      </x:c>
      <x:c r="AN1177" t="str">
        <x:f>_xlfn.XLOOKUP($A1177,Games!$A$2:$A$18,Games!$I$2:$I$18,"Missing game",0)</x:f>
        <x:v>LAC</x:v>
      </x:c>
      <x:c r="AO1177" t="n">
        <x:f>_xlfn.XLOOKUP($A1177,Games!$A$2:$A$18,Games!$J$2:$J$18,"Missing game",0)</x:f>
        <x:v>37</x:v>
      </x:c>
      <x:c r="AP1177" t="n">
        <x:f>_xlfn.XLOOKUP($A1177,Games!$A$2:$A$18,Games!$K$2:$K$18,"Missing game",0)</x:f>
        <x:v>27</x:v>
      </x:c>
      <x:c r="AQ1177" t="n">
        <x:f>_xlfn.XLOOKUP($A1177,Games!$A$2:$A$18,Games!$L$2:$L$18,"Missing game",0)</x:f>
        <x:v>47</x:v>
      </x:c>
      <x:c r="AR1177" t="n">
        <x:f>_xlfn.XLOOKUP($A1177,Games!$A$2:$A$18,Games!$M$2:$M$18,"Missing game",0)</x:f>
        <x:v>0</x:v>
      </x:c>
      <x:c r="AS1177" t="str">
        <x:f>_xlfn.XLOOKUP($A1177,Games!$A$2:$A$18,Games!$N$2:$N$18,"Missing game",0)</x:f>
        <x:v>dome</x:v>
      </x:c>
      <x:c r="AT1177" t="str">
        <x:f>_xlfn.XLOOKUP($A1177,Games!$A$2:$A$18,Games!$O$2:$O$18,"Missing game",0)</x:f>
        <x:v>matrixturf</x:v>
      </x:c>
      <x:c r="AU1177" t="str">
        <x:f>_xlfn.XLOOKUP($A1177,Games!$A$2:$A$18,Games!$P$2:$P$18,"Missing game",0)</x:f>
      </x:c>
      <x:c r="AV1177" t="str">
        <x:f>_xlfn.XLOOKUP($A1177,Games!$A$2:$A$18,Games!$Q$2:$Q$18,"Missing game",0)</x:f>
      </x:c>
      <x:c r="AW1177" t="str">
        <x:f>_xlfn.XLOOKUP($A1177,Games!$A$2:$A$18,Games!$R$2:$R$18,"Missing game",0)</x:f>
        <x:v>SoFi Stadium</x:v>
      </x:c>
    </x:row>
    <x:row r="1178">
      <x:c r="A1178" t="str">
        <x:v>2025_08_MIN_LAC</x:v>
      </x:c>
      <x:c r="B1178" t="n">
        <x:v>4138</x:v>
      </x:c>
      <x:c r="C1178" t="n">
        <x:v>4</x:v>
      </x:c>
      <x:c r="D1178" t="str">
        <x:v>00:00</x:v>
      </x:c>
      <x:c r="E1178"/>
      <x:c r="F1178" t="n">
        <x:v>0</x:v>
      </x:c>
      <x:c r="G1178" t="str">
        <x:v>MIN</x:v>
      </x:c>
      <x:c r="H1178" t="str">
        <x:v>LAC</x:v>
      </x:c>
      <x:c r="I1178"/>
      <x:c r="J1178"/>
      <x:c r="K1178" t="str">
        <x:v>END GAME</x:v>
      </x:c>
      <x:c r="L1178"/>
      <x:c r="M1178"/>
      <x:c r="N1178" t="n">
        <x:v>0</x:v>
      </x:c>
      <x:c r="O1178" t="n">
        <x:v>0</x:v>
      </x:c>
      <x:c r="P1178"/>
      <x:c r="Q1178"/>
      <x:c r="R1178"/>
      <x:c r="S1178"/>
      <x:c r="T1178"/>
      <x:c r="U1178"/>
      <x:c r="V1178"/>
      <x:c r="W1178"/>
      <x:c r="X1178"/>
      <x:c r="Y1178"/>
      <x:c r="Z1178"/>
      <x:c r="AA1178"/>
      <x:c r="AB1178"/>
      <x:c r="AC1178"/>
      <x:c r="AD1178"/>
      <x:c r="AE1178"/>
      <x:c r="AF1178"/>
      <x:c r="AG1178" t="n">
        <x:f>_xlfn.XLOOKUP($A1178,Games!$A$2:$A$18,Games!$B$2:$B$18,"Missing game",0)</x:f>
        <x:v>2025</x:v>
      </x:c>
      <x:c r="AH1178" t="str">
        <x:f>_xlfn.XLOOKUP($A1178,Games!$A$2:$A$18,Games!$C$2:$C$18,"Missing game",0)</x:f>
        <x:v>REG</x:v>
      </x:c>
      <x:c r="AI1178" t="n">
        <x:f>_xlfn.XLOOKUP($A1178,Games!$A$2:$A$18,Games!$D$2:$D$18,"Missing game",0)</x:f>
        <x:v>8</x:v>
      </x:c>
      <x:c r="AJ1178" s="1" t="n">
        <x:f>_xlfn.XLOOKUP($A1178,Games!$A$2:$A$18,Games!$E$2:$E$18,"Missing game",0)</x:f>
        <x:v>45953</x:v>
      </x:c>
      <x:c r="AK1178" t="str">
        <x:f>_xlfn.XLOOKUP($A1178,Games!$A$2:$A$18,Games!$F$2:$F$18,"Missing game",0)</x:f>
        <x:v>Thursday</x:v>
      </x:c>
      <x:c r="AL1178" t="str">
        <x:f>_xlfn.XLOOKUP($A1178,Games!$A$2:$A$18,Games!$G$2:$G$18,"Missing game",0)</x:f>
        <x:v>MIN</x:v>
      </x:c>
      <x:c r="AM1178" t="n">
        <x:f>_xlfn.XLOOKUP($A1178,Games!$A$2:$A$18,Games!$H$2:$H$18,"Missing game",0)</x:f>
        <x:v>10</x:v>
      </x:c>
      <x:c r="AN1178" t="str">
        <x:f>_xlfn.XLOOKUP($A1178,Games!$A$2:$A$18,Games!$I$2:$I$18,"Missing game",0)</x:f>
        <x:v>LAC</x:v>
      </x:c>
      <x:c r="AO1178" t="n">
        <x:f>_xlfn.XLOOKUP($A1178,Games!$A$2:$A$18,Games!$J$2:$J$18,"Missing game",0)</x:f>
        <x:v>37</x:v>
      </x:c>
      <x:c r="AP1178" t="n">
        <x:f>_xlfn.XLOOKUP($A1178,Games!$A$2:$A$18,Games!$K$2:$K$18,"Missing game",0)</x:f>
        <x:v>27</x:v>
      </x:c>
      <x:c r="AQ1178" t="n">
        <x:f>_xlfn.XLOOKUP($A1178,Games!$A$2:$A$18,Games!$L$2:$L$18,"Missing game",0)</x:f>
        <x:v>47</x:v>
      </x:c>
      <x:c r="AR1178" t="n">
        <x:f>_xlfn.XLOOKUP($A1178,Games!$A$2:$A$18,Games!$M$2:$M$18,"Missing game",0)</x:f>
        <x:v>0</x:v>
      </x:c>
      <x:c r="AS1178" t="str">
        <x:f>_xlfn.XLOOKUP($A1178,Games!$A$2:$A$18,Games!$N$2:$N$18,"Missing game",0)</x:f>
        <x:v>dome</x:v>
      </x:c>
      <x:c r="AT1178" t="str">
        <x:f>_xlfn.XLOOKUP($A1178,Games!$A$2:$A$18,Games!$O$2:$O$18,"Missing game",0)</x:f>
        <x:v>matrixturf</x:v>
      </x:c>
      <x:c r="AU1178" t="str">
        <x:f>_xlfn.XLOOKUP($A1178,Games!$A$2:$A$18,Games!$P$2:$P$18,"Missing game",0)</x:f>
      </x:c>
      <x:c r="AV1178" t="str">
        <x:f>_xlfn.XLOOKUP($A1178,Games!$A$2:$A$18,Games!$Q$2:$Q$18,"Missing game",0)</x:f>
      </x:c>
      <x:c r="AW1178" t="str">
        <x:f>_xlfn.XLOOKUP($A1178,Games!$A$2:$A$18,Games!$R$2:$R$18,"Missing game",0)</x:f>
        <x:v>SoFi Stadium</x:v>
      </x:c>
    </x:row>
    <x:row r="1179">
      <x:c r="A1179" t="str">
        <x:v>2025_09_MIN_DET</x:v>
      </x:c>
      <x:c r="B1179" t="n">
        <x:v>1</x:v>
      </x:c>
      <x:c r="C1179" t="n">
        <x:v>1</x:v>
      </x:c>
      <x:c r="D1179" t="str">
        <x:v>15:00</x:v>
      </x:c>
      <x:c r="E1179"/>
      <x:c r="F1179" t="n">
        <x:v>0</x:v>
      </x:c>
      <x:c r="G1179"/>
      <x:c r="H1179"/>
      <x:c r="I1179"/>
      <x:c r="J1179"/>
      <x:c r="K1179" t="str">
        <x:v>GAME</x:v>
      </x:c>
      <x:c r="L1179"/>
      <x:c r="M1179"/>
      <x:c r="N1179" t="n">
        <x:v>0</x:v>
      </x:c>
      <x:c r="O1179" t="n">
        <x:v>0</x:v>
      </x:c>
      <x:c r="P1179"/>
      <x:c r="Q1179"/>
      <x:c r="R1179"/>
      <x:c r="S1179"/>
      <x:c r="T1179"/>
      <x:c r="U1179"/>
      <x:c r="V1179"/>
      <x:c r="W1179"/>
      <x:c r="X1179"/>
      <x:c r="Y1179"/>
      <x:c r="Z1179"/>
      <x:c r="AA1179"/>
      <x:c r="AB1179"/>
      <x:c r="AC1179"/>
      <x:c r="AD1179" t="n">
        <x:v>0</x:v>
      </x:c>
      <x:c r="AE1179" t="n">
        <x:v>0</x:v>
      </x:c>
      <x:c r="AF1179" t="n">
        <x:v>0</x:v>
      </x:c>
      <x:c r="AG1179" t="n">
        <x:f>_xlfn.XLOOKUP($A1179,Games!$A$2:$A$18,Games!$B$2:$B$18,"Missing game",0)</x:f>
        <x:v>2025</x:v>
      </x:c>
      <x:c r="AH1179" t="str">
        <x:f>_xlfn.XLOOKUP($A1179,Games!$A$2:$A$18,Games!$C$2:$C$18,"Missing game",0)</x:f>
        <x:v>REG</x:v>
      </x:c>
      <x:c r="AI1179" t="n">
        <x:f>_xlfn.XLOOKUP($A1179,Games!$A$2:$A$18,Games!$D$2:$D$18,"Missing game",0)</x:f>
        <x:v>9</x:v>
      </x:c>
      <x:c r="AJ1179" s="1" t="n">
        <x:f>_xlfn.XLOOKUP($A1179,Games!$A$2:$A$18,Games!$E$2:$E$18,"Missing game",0)</x:f>
        <x:v>45963</x:v>
      </x:c>
      <x:c r="AK1179" t="str">
        <x:f>_xlfn.XLOOKUP($A1179,Games!$A$2:$A$18,Games!$F$2:$F$18,"Missing game",0)</x:f>
        <x:v>Sunday</x:v>
      </x:c>
      <x:c r="AL1179" t="str">
        <x:f>_xlfn.XLOOKUP($A1179,Games!$A$2:$A$18,Games!$G$2:$G$18,"Missing game",0)</x:f>
        <x:v>MIN</x:v>
      </x:c>
      <x:c r="AM1179" t="n">
        <x:f>_xlfn.XLOOKUP($A1179,Games!$A$2:$A$18,Games!$H$2:$H$18,"Missing game",0)</x:f>
        <x:v>27</x:v>
      </x:c>
      <x:c r="AN1179" t="str">
        <x:f>_xlfn.XLOOKUP($A1179,Games!$A$2:$A$18,Games!$I$2:$I$18,"Missing game",0)</x:f>
        <x:v>DET</x:v>
      </x:c>
      <x:c r="AO1179" t="n">
        <x:f>_xlfn.XLOOKUP($A1179,Games!$A$2:$A$18,Games!$J$2:$J$18,"Missing game",0)</x:f>
        <x:v>24</x:v>
      </x:c>
      <x:c r="AP1179" t="n">
        <x:f>_xlfn.XLOOKUP($A1179,Games!$A$2:$A$18,Games!$K$2:$K$18,"Missing game",0)</x:f>
        <x:v>-3</x:v>
      </x:c>
      <x:c r="AQ1179" t="n">
        <x:f>_xlfn.XLOOKUP($A1179,Games!$A$2:$A$18,Games!$L$2:$L$18,"Missing game",0)</x:f>
        <x:v>51</x:v>
      </x:c>
      <x:c r="AR1179" t="n">
        <x:f>_xlfn.XLOOKUP($A1179,Games!$A$2:$A$18,Games!$M$2:$M$18,"Missing game",0)</x:f>
        <x:v>0</x:v>
      </x:c>
      <x:c r="AS1179" t="str">
        <x:f>_xlfn.XLOOKUP($A1179,Games!$A$2:$A$18,Games!$N$2:$N$18,"Missing game",0)</x:f>
        <x:v>dome</x:v>
      </x:c>
      <x:c r="AT1179" t="str">
        <x:f>_xlfn.XLOOKUP($A1179,Games!$A$2:$A$18,Games!$O$2:$O$18,"Missing game",0)</x:f>
        <x:v>fieldturf</x:v>
      </x:c>
      <x:c r="AU1179" t="str">
        <x:f>_xlfn.XLOOKUP($A1179,Games!$A$2:$A$18,Games!$P$2:$P$18,"Missing game",0)</x:f>
      </x:c>
      <x:c r="AV1179" t="str">
        <x:f>_xlfn.XLOOKUP($A1179,Games!$A$2:$A$18,Games!$Q$2:$Q$18,"Missing game",0)</x:f>
      </x:c>
      <x:c r="AW1179" t="str">
        <x:f>_xlfn.XLOOKUP($A1179,Games!$A$2:$A$18,Games!$R$2:$R$18,"Missing game",0)</x:f>
        <x:v>Ford Field</x:v>
      </x:c>
    </x:row>
    <x:row r="1180">
      <x:c r="A1180" t="str">
        <x:v>2025_09_MIN_DET</x:v>
      </x:c>
      <x:c r="B1180" t="n">
        <x:v>39</x:v>
      </x:c>
      <x:c r="C1180" t="n">
        <x:v>1</x:v>
      </x:c>
      <x:c r="D1180" t="str">
        <x:v>15:00</x:v>
      </x:c>
      <x:c r="E1180"/>
      <x:c r="F1180" t="n">
        <x:v>0</x:v>
      </x:c>
      <x:c r="G1180" t="str">
        <x:v>DET</x:v>
      </x:c>
      <x:c r="H1180" t="str">
        <x:v>MIN</x:v>
      </x:c>
      <x:c r="I1180" t="str">
        <x:v>MIN</x:v>
      </x:c>
      <x:c r="J1180" t="n">
        <x:v>35</x:v>
      </x:c>
      <x:c r="K1180" t="str">
        <x:v>16-W.Reichard kicks 62 yards from MIN 35 to DET 3. 25-J.Saylors to DET 28 for 25 yards (0-I.Pace).</x:v>
      </x:c>
      <x:c r="L1180" t="str">
        <x:v>kickoff</x:v>
      </x:c>
      <x:c r="M1180" t="n">
        <x:v>0</x:v>
      </x:c>
      <x:c r="N1180" t="n">
        <x:v>0</x:v>
      </x:c>
      <x:c r="O1180" t="n">
        <x:v>0</x:v>
      </x:c>
      <x:c r="P1180"/>
      <x:c r="Q1180"/>
      <x:c r="R1180"/>
      <x:c r="S1180"/>
      <x:c r="T1180"/>
      <x:c r="U1180"/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/>
      <x:c r="AC1180" t="n">
        <x:v>0</x:v>
      </x:c>
      <x:c r="AD1180" t="n">
        <x:v>0.11364768957719207</x:v>
      </x:c>
      <x:c r="AE1180" t="n">
        <x:v>1</x:v>
      </x:c>
      <x:c r="AF1180" t="n">
        <x:v>0.0068395137786865234</x:v>
      </x:c>
      <x:c r="AG1180" t="n">
        <x:f>_xlfn.XLOOKUP($A1180,Games!$A$2:$A$18,Games!$B$2:$B$18,"Missing game",0)</x:f>
        <x:v>2025</x:v>
      </x:c>
      <x:c r="AH1180" t="str">
        <x:f>_xlfn.XLOOKUP($A1180,Games!$A$2:$A$18,Games!$C$2:$C$18,"Missing game",0)</x:f>
        <x:v>REG</x:v>
      </x:c>
      <x:c r="AI1180" t="n">
        <x:f>_xlfn.XLOOKUP($A1180,Games!$A$2:$A$18,Games!$D$2:$D$18,"Missing game",0)</x:f>
        <x:v>9</x:v>
      </x:c>
      <x:c r="AJ1180" s="1" t="n">
        <x:f>_xlfn.XLOOKUP($A1180,Games!$A$2:$A$18,Games!$E$2:$E$18,"Missing game",0)</x:f>
        <x:v>45963</x:v>
      </x:c>
      <x:c r="AK1180" t="str">
        <x:f>_xlfn.XLOOKUP($A1180,Games!$A$2:$A$18,Games!$F$2:$F$18,"Missing game",0)</x:f>
        <x:v>Sunday</x:v>
      </x:c>
      <x:c r="AL1180" t="str">
        <x:f>_xlfn.XLOOKUP($A1180,Games!$A$2:$A$18,Games!$G$2:$G$18,"Missing game",0)</x:f>
        <x:v>MIN</x:v>
      </x:c>
      <x:c r="AM1180" t="n">
        <x:f>_xlfn.XLOOKUP($A1180,Games!$A$2:$A$18,Games!$H$2:$H$18,"Missing game",0)</x:f>
        <x:v>27</x:v>
      </x:c>
      <x:c r="AN1180" t="str">
        <x:f>_xlfn.XLOOKUP($A1180,Games!$A$2:$A$18,Games!$I$2:$I$18,"Missing game",0)</x:f>
        <x:v>DET</x:v>
      </x:c>
      <x:c r="AO1180" t="n">
        <x:f>_xlfn.XLOOKUP($A1180,Games!$A$2:$A$18,Games!$J$2:$J$18,"Missing game",0)</x:f>
        <x:v>24</x:v>
      </x:c>
      <x:c r="AP1180" t="n">
        <x:f>_xlfn.XLOOKUP($A1180,Games!$A$2:$A$18,Games!$K$2:$K$18,"Missing game",0)</x:f>
        <x:v>-3</x:v>
      </x:c>
      <x:c r="AQ1180" t="n">
        <x:f>_xlfn.XLOOKUP($A1180,Games!$A$2:$A$18,Games!$L$2:$L$18,"Missing game",0)</x:f>
        <x:v>51</x:v>
      </x:c>
      <x:c r="AR1180" t="n">
        <x:f>_xlfn.XLOOKUP($A1180,Games!$A$2:$A$18,Games!$M$2:$M$18,"Missing game",0)</x:f>
        <x:v>0</x:v>
      </x:c>
      <x:c r="AS1180" t="str">
        <x:f>_xlfn.XLOOKUP($A1180,Games!$A$2:$A$18,Games!$N$2:$N$18,"Missing game",0)</x:f>
        <x:v>dome</x:v>
      </x:c>
      <x:c r="AT1180" t="str">
        <x:f>_xlfn.XLOOKUP($A1180,Games!$A$2:$A$18,Games!$O$2:$O$18,"Missing game",0)</x:f>
        <x:v>fieldturf</x:v>
      </x:c>
      <x:c r="AU1180" t="str">
        <x:f>_xlfn.XLOOKUP($A1180,Games!$A$2:$A$18,Games!$P$2:$P$18,"Missing game",0)</x:f>
      </x:c>
      <x:c r="AV1180" t="str">
        <x:f>_xlfn.XLOOKUP($A1180,Games!$A$2:$A$18,Games!$Q$2:$Q$18,"Missing game",0)</x:f>
      </x:c>
      <x:c r="AW1180" t="str">
        <x:f>_xlfn.XLOOKUP($A1180,Games!$A$2:$A$18,Games!$R$2:$R$18,"Missing game",0)</x:f>
        <x:v>Ford Field</x:v>
      </x:c>
    </x:row>
    <x:row r="1181">
      <x:c r="A1181" t="str">
        <x:v>2025_09_MIN_DET</x:v>
      </x:c>
      <x:c r="B1181" t="n">
        <x:v>62</x:v>
      </x:c>
      <x:c r="C1181" t="n">
        <x:v>1</x:v>
      </x:c>
      <x:c r="D1181" t="str">
        <x:v>14:56</x:v>
      </x:c>
      <x:c r="E1181" t="n">
        <x:v>1</x:v>
      </x:c>
      <x:c r="F1181" t="n">
        <x:v>10</x:v>
      </x:c>
      <x:c r="G1181" t="str">
        <x:v>DET</x:v>
      </x:c>
      <x:c r="H1181" t="str">
        <x:v>MIN</x:v>
      </x:c>
      <x:c r="I1181" t="str">
        <x:v>DET</x:v>
      </x:c>
      <x:c r="J1181" t="n">
        <x:v>72</x:v>
      </x:c>
      <x:c r="K1181" t="str">
        <x:v>(14:56) (Shotgun) 16-J.Goff pass short right to 87-S.LaPorta to DET 43 for 15 yards (55-E.Wilson; 51-B.Cashman).</x:v>
      </x:c>
      <x:c r="L1181" t="str">
        <x:v>pass</x:v>
      </x:c>
      <x:c r="M1181" t="n">
        <x:v>15</x:v>
      </x:c>
      <x:c r="N1181" t="n">
        <x:v>1</x:v>
      </x:c>
      <x:c r="O1181" t="n">
        <x:v>0</x:v>
      </x:c>
      <x:c r="P1181" t="str">
        <x:v>short</x:v>
      </x:c>
      <x:c r="Q1181" t="str">
        <x:v>right</x:v>
      </x:c>
      <x:c r="R1181" t="n">
        <x:v>5</x:v>
      </x:c>
      <x:c r="S1181" t="n">
        <x:v>10</x:v>
      </x:c>
      <x:c r="T1181"/>
      <x:c r="U1181"/>
      <x:c r="V1181" t="n">
        <x:v>1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/>
      <x:c r="AC1181" t="n">
        <x:v>0</x:v>
      </x:c>
      <x:c r="AD1181" t="n">
        <x:v>0.9434648340102285</x:v>
      </x:c>
      <x:c r="AE1181" t="n">
        <x:v>1</x:v>
      </x:c>
      <x:c r="AF1181" t="n">
        <x:v>0.02687513828277588</x:v>
      </x:c>
      <x:c r="AG1181" t="n">
        <x:f>_xlfn.XLOOKUP($A1181,Games!$A$2:$A$18,Games!$B$2:$B$18,"Missing game",0)</x:f>
        <x:v>2025</x:v>
      </x:c>
      <x:c r="AH1181" t="str">
        <x:f>_xlfn.XLOOKUP($A1181,Games!$A$2:$A$18,Games!$C$2:$C$18,"Missing game",0)</x:f>
        <x:v>REG</x:v>
      </x:c>
      <x:c r="AI1181" t="n">
        <x:f>_xlfn.XLOOKUP($A1181,Games!$A$2:$A$18,Games!$D$2:$D$18,"Missing game",0)</x:f>
        <x:v>9</x:v>
      </x:c>
      <x:c r="AJ1181" s="1" t="n">
        <x:f>_xlfn.XLOOKUP($A1181,Games!$A$2:$A$18,Games!$E$2:$E$18,"Missing game",0)</x:f>
        <x:v>45963</x:v>
      </x:c>
      <x:c r="AK1181" t="str">
        <x:f>_xlfn.XLOOKUP($A1181,Games!$A$2:$A$18,Games!$F$2:$F$18,"Missing game",0)</x:f>
        <x:v>Sunday</x:v>
      </x:c>
      <x:c r="AL1181" t="str">
        <x:f>_xlfn.XLOOKUP($A1181,Games!$A$2:$A$18,Games!$G$2:$G$18,"Missing game",0)</x:f>
        <x:v>MIN</x:v>
      </x:c>
      <x:c r="AM1181" t="n">
        <x:f>_xlfn.XLOOKUP($A1181,Games!$A$2:$A$18,Games!$H$2:$H$18,"Missing game",0)</x:f>
        <x:v>27</x:v>
      </x:c>
      <x:c r="AN1181" t="str">
        <x:f>_xlfn.XLOOKUP($A1181,Games!$A$2:$A$18,Games!$I$2:$I$18,"Missing game",0)</x:f>
        <x:v>DET</x:v>
      </x:c>
      <x:c r="AO1181" t="n">
        <x:f>_xlfn.XLOOKUP($A1181,Games!$A$2:$A$18,Games!$J$2:$J$18,"Missing game",0)</x:f>
        <x:v>24</x:v>
      </x:c>
      <x:c r="AP1181" t="n">
        <x:f>_xlfn.XLOOKUP($A1181,Games!$A$2:$A$18,Games!$K$2:$K$18,"Missing game",0)</x:f>
        <x:v>-3</x:v>
      </x:c>
      <x:c r="AQ1181" t="n">
        <x:f>_xlfn.XLOOKUP($A1181,Games!$A$2:$A$18,Games!$L$2:$L$18,"Missing game",0)</x:f>
        <x:v>51</x:v>
      </x:c>
      <x:c r="AR1181" t="n">
        <x:f>_xlfn.XLOOKUP($A1181,Games!$A$2:$A$18,Games!$M$2:$M$18,"Missing game",0)</x:f>
        <x:v>0</x:v>
      </x:c>
      <x:c r="AS1181" t="str">
        <x:f>_xlfn.XLOOKUP($A1181,Games!$A$2:$A$18,Games!$N$2:$N$18,"Missing game",0)</x:f>
        <x:v>dome</x:v>
      </x:c>
      <x:c r="AT1181" t="str">
        <x:f>_xlfn.XLOOKUP($A1181,Games!$A$2:$A$18,Games!$O$2:$O$18,"Missing game",0)</x:f>
        <x:v>fieldturf</x:v>
      </x:c>
      <x:c r="AU1181" t="str">
        <x:f>_xlfn.XLOOKUP($A1181,Games!$A$2:$A$18,Games!$P$2:$P$18,"Missing game",0)</x:f>
      </x:c>
      <x:c r="AV1181" t="str">
        <x:f>_xlfn.XLOOKUP($A1181,Games!$A$2:$A$18,Games!$Q$2:$Q$18,"Missing game",0)</x:f>
      </x:c>
      <x:c r="AW1181" t="str">
        <x:f>_xlfn.XLOOKUP($A1181,Games!$A$2:$A$18,Games!$R$2:$R$18,"Missing game",0)</x:f>
        <x:v>Ford Field</x:v>
      </x:c>
    </x:row>
    <x:row r="1182">
      <x:c r="A1182" t="str">
        <x:v>2025_09_MIN_DET</x:v>
      </x:c>
      <x:c r="B1182" t="n">
        <x:v>87</x:v>
      </x:c>
      <x:c r="C1182" t="n">
        <x:v>1</x:v>
      </x:c>
      <x:c r="D1182" t="str">
        <x:v>14:17</x:v>
      </x:c>
      <x:c r="E1182" t="n">
        <x:v>1</x:v>
      </x:c>
      <x:c r="F1182" t="n">
        <x:v>10</x:v>
      </x:c>
      <x:c r="G1182" t="str">
        <x:v>DET</x:v>
      </x:c>
      <x:c r="H1182" t="str">
        <x:v>MIN</x:v>
      </x:c>
      <x:c r="I1182" t="str">
        <x:v>DET</x:v>
      </x:c>
      <x:c r="J1182" t="n">
        <x:v>57</x:v>
      </x:c>
      <x:c r="K1182" t="str">
        <x:v>(14:17) 16-J.Goff pass short right to 87-S.LaPorta to MIN 46 for 11 yards (7-B.Murphy; 97-J.Hargrave).</x:v>
      </x:c>
      <x:c r="L1182" t="str">
        <x:v>pass</x:v>
      </x:c>
      <x:c r="M1182" t="n">
        <x:v>11</x:v>
      </x:c>
      <x:c r="N1182" t="n">
        <x:v>0</x:v>
      </x:c>
      <x:c r="O1182" t="n">
        <x:v>0</x:v>
      </x:c>
      <x:c r="P1182" t="str">
        <x:v>short</x:v>
      </x:c>
      <x:c r="Q1182" t="str">
        <x:v>right</x:v>
      </x:c>
      <x:c r="R1182" t="n">
        <x:v>-4</x:v>
      </x:c>
      <x:c r="S1182" t="n">
        <x:v>15</x:v>
      </x:c>
      <x:c r="T1182"/>
      <x:c r="U1182"/>
      <x:c r="V1182" t="n">
        <x:v>1</x:v>
      </x:c>
      <x:c r="W1182" t="n">
        <x:v>1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/>
      <x:c r="AC1182" t="n">
        <x:v>0</x:v>
      </x:c>
      <x:c r="AD1182" t="n">
        <x:v>0.6002036337740719</x:v>
      </x:c>
      <x:c r="AE1182" t="n">
        <x:v>1</x:v>
      </x:c>
      <x:c r="AF1182" t="n">
        <x:v>0.004470229148864746</x:v>
      </x:c>
      <x:c r="AG1182" t="n">
        <x:f>_xlfn.XLOOKUP($A1182,Games!$A$2:$A$18,Games!$B$2:$B$18,"Missing game",0)</x:f>
        <x:v>2025</x:v>
      </x:c>
      <x:c r="AH1182" t="str">
        <x:f>_xlfn.XLOOKUP($A1182,Games!$A$2:$A$18,Games!$C$2:$C$18,"Missing game",0)</x:f>
        <x:v>REG</x:v>
      </x:c>
      <x:c r="AI1182" t="n">
        <x:f>_xlfn.XLOOKUP($A1182,Games!$A$2:$A$18,Games!$D$2:$D$18,"Missing game",0)</x:f>
        <x:v>9</x:v>
      </x:c>
      <x:c r="AJ1182" s="1" t="n">
        <x:f>_xlfn.XLOOKUP($A1182,Games!$A$2:$A$18,Games!$E$2:$E$18,"Missing game",0)</x:f>
        <x:v>45963</x:v>
      </x:c>
      <x:c r="AK1182" t="str">
        <x:f>_xlfn.XLOOKUP($A1182,Games!$A$2:$A$18,Games!$F$2:$F$18,"Missing game",0)</x:f>
        <x:v>Sunday</x:v>
      </x:c>
      <x:c r="AL1182" t="str">
        <x:f>_xlfn.XLOOKUP($A1182,Games!$A$2:$A$18,Games!$G$2:$G$18,"Missing game",0)</x:f>
        <x:v>MIN</x:v>
      </x:c>
      <x:c r="AM1182" t="n">
        <x:f>_xlfn.XLOOKUP($A1182,Games!$A$2:$A$18,Games!$H$2:$H$18,"Missing game",0)</x:f>
        <x:v>27</x:v>
      </x:c>
      <x:c r="AN1182" t="str">
        <x:f>_xlfn.XLOOKUP($A1182,Games!$A$2:$A$18,Games!$I$2:$I$18,"Missing game",0)</x:f>
        <x:v>DET</x:v>
      </x:c>
      <x:c r="AO1182" t="n">
        <x:f>_xlfn.XLOOKUP($A1182,Games!$A$2:$A$18,Games!$J$2:$J$18,"Missing game",0)</x:f>
        <x:v>24</x:v>
      </x:c>
      <x:c r="AP1182" t="n">
        <x:f>_xlfn.XLOOKUP($A1182,Games!$A$2:$A$18,Games!$K$2:$K$18,"Missing game",0)</x:f>
        <x:v>-3</x:v>
      </x:c>
      <x:c r="AQ1182" t="n">
        <x:f>_xlfn.XLOOKUP($A1182,Games!$A$2:$A$18,Games!$L$2:$L$18,"Missing game",0)</x:f>
        <x:v>51</x:v>
      </x:c>
      <x:c r="AR1182" t="n">
        <x:f>_xlfn.XLOOKUP($A1182,Games!$A$2:$A$18,Games!$M$2:$M$18,"Missing game",0)</x:f>
        <x:v>0</x:v>
      </x:c>
      <x:c r="AS1182" t="str">
        <x:f>_xlfn.XLOOKUP($A1182,Games!$A$2:$A$18,Games!$N$2:$N$18,"Missing game",0)</x:f>
        <x:v>dome</x:v>
      </x:c>
      <x:c r="AT1182" t="str">
        <x:f>_xlfn.XLOOKUP($A1182,Games!$A$2:$A$18,Games!$O$2:$O$18,"Missing game",0)</x:f>
        <x:v>fieldturf</x:v>
      </x:c>
      <x:c r="AU1182" t="str">
        <x:f>_xlfn.XLOOKUP($A1182,Games!$A$2:$A$18,Games!$P$2:$P$18,"Missing game",0)</x:f>
      </x:c>
      <x:c r="AV1182" t="str">
        <x:f>_xlfn.XLOOKUP($A1182,Games!$A$2:$A$18,Games!$Q$2:$Q$18,"Missing game",0)</x:f>
      </x:c>
      <x:c r="AW1182" t="str">
        <x:f>_xlfn.XLOOKUP($A1182,Games!$A$2:$A$18,Games!$R$2:$R$18,"Missing game",0)</x:f>
        <x:v>Ford Field</x:v>
      </x:c>
    </x:row>
    <x:row r="1183">
      <x:c r="A1183" t="str">
        <x:v>2025_09_MIN_DET</x:v>
      </x:c>
      <x:c r="B1183" t="n">
        <x:v>112</x:v>
      </x:c>
      <x:c r="C1183" t="n">
        <x:v>1</x:v>
      </x:c>
      <x:c r="D1183" t="str">
        <x:v>13:38</x:v>
      </x:c>
      <x:c r="E1183" t="n">
        <x:v>1</x:v>
      </x:c>
      <x:c r="F1183" t="n">
        <x:v>10</x:v>
      </x:c>
      <x:c r="G1183" t="str">
        <x:v>DET</x:v>
      </x:c>
      <x:c r="H1183" t="str">
        <x:v>MIN</x:v>
      </x:c>
      <x:c r="I1183" t="str">
        <x:v>MIN</x:v>
      </x:c>
      <x:c r="J1183" t="n">
        <x:v>46</x:v>
      </x:c>
      <x:c r="K1183" t="str">
        <x:v>(13:38) 0-J.Gibbs up the middle to MIN 40 for 6 yards (51-B.Cashman; 93-J.Allen).</x:v>
      </x:c>
      <x:c r="L1183" t="str">
        <x:v>run</x:v>
      </x:c>
      <x:c r="M1183" t="n">
        <x:v>6</x:v>
      </x:c>
      <x:c r="N1183" t="n">
        <x:v>0</x:v>
      </x:c>
      <x:c r="O1183" t="n">
        <x:v>0</x:v>
      </x:c>
      <x:c r="P1183"/>
      <x:c r="Q1183"/>
      <x:c r="R1183"/>
      <x:c r="S1183"/>
      <x:c r="T1183" t="str">
        <x:v>middle</x:v>
      </x:c>
      <x:c r="U1183"/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/>
      <x:c r="AC1183" t="n">
        <x:v>0</x:v>
      </x:c>
      <x:c r="AD1183" t="n">
        <x:v>0.18955613463185728</x:v>
      </x:c>
      <x:c r="AE1183" t="n">
        <x:v>1</x:v>
      </x:c>
      <x:c r="AF1183" t="n">
        <x:v>0.031947970390319824</x:v>
      </x:c>
      <x:c r="AG1183" t="n">
        <x:f>_xlfn.XLOOKUP($A1183,Games!$A$2:$A$18,Games!$B$2:$B$18,"Missing game",0)</x:f>
        <x:v>2025</x:v>
      </x:c>
      <x:c r="AH1183" t="str">
        <x:f>_xlfn.XLOOKUP($A1183,Games!$A$2:$A$18,Games!$C$2:$C$18,"Missing game",0)</x:f>
        <x:v>REG</x:v>
      </x:c>
      <x:c r="AI1183" t="n">
        <x:f>_xlfn.XLOOKUP($A1183,Games!$A$2:$A$18,Games!$D$2:$D$18,"Missing game",0)</x:f>
        <x:v>9</x:v>
      </x:c>
      <x:c r="AJ1183" s="1" t="n">
        <x:f>_xlfn.XLOOKUP($A1183,Games!$A$2:$A$18,Games!$E$2:$E$18,"Missing game",0)</x:f>
        <x:v>45963</x:v>
      </x:c>
      <x:c r="AK1183" t="str">
        <x:f>_xlfn.XLOOKUP($A1183,Games!$A$2:$A$18,Games!$F$2:$F$18,"Missing game",0)</x:f>
        <x:v>Sunday</x:v>
      </x:c>
      <x:c r="AL1183" t="str">
        <x:f>_xlfn.XLOOKUP($A1183,Games!$A$2:$A$18,Games!$G$2:$G$18,"Missing game",0)</x:f>
        <x:v>MIN</x:v>
      </x:c>
      <x:c r="AM1183" t="n">
        <x:f>_xlfn.XLOOKUP($A1183,Games!$A$2:$A$18,Games!$H$2:$H$18,"Missing game",0)</x:f>
        <x:v>27</x:v>
      </x:c>
      <x:c r="AN1183" t="str">
        <x:f>_xlfn.XLOOKUP($A1183,Games!$A$2:$A$18,Games!$I$2:$I$18,"Missing game",0)</x:f>
        <x:v>DET</x:v>
      </x:c>
      <x:c r="AO1183" t="n">
        <x:f>_xlfn.XLOOKUP($A1183,Games!$A$2:$A$18,Games!$J$2:$J$18,"Missing game",0)</x:f>
        <x:v>24</x:v>
      </x:c>
      <x:c r="AP1183" t="n">
        <x:f>_xlfn.XLOOKUP($A1183,Games!$A$2:$A$18,Games!$K$2:$K$18,"Missing game",0)</x:f>
        <x:v>-3</x:v>
      </x:c>
      <x:c r="AQ1183" t="n">
        <x:f>_xlfn.XLOOKUP($A1183,Games!$A$2:$A$18,Games!$L$2:$L$18,"Missing game",0)</x:f>
        <x:v>51</x:v>
      </x:c>
      <x:c r="AR1183" t="n">
        <x:f>_xlfn.XLOOKUP($A1183,Games!$A$2:$A$18,Games!$M$2:$M$18,"Missing game",0)</x:f>
        <x:v>0</x:v>
      </x:c>
      <x:c r="AS1183" t="str">
        <x:f>_xlfn.XLOOKUP($A1183,Games!$A$2:$A$18,Games!$N$2:$N$18,"Missing game",0)</x:f>
        <x:v>dome</x:v>
      </x:c>
      <x:c r="AT1183" t="str">
        <x:f>_xlfn.XLOOKUP($A1183,Games!$A$2:$A$18,Games!$O$2:$O$18,"Missing game",0)</x:f>
        <x:v>fieldturf</x:v>
      </x:c>
      <x:c r="AU1183" t="str">
        <x:f>_xlfn.XLOOKUP($A1183,Games!$A$2:$A$18,Games!$P$2:$P$18,"Missing game",0)</x:f>
      </x:c>
      <x:c r="AV1183" t="str">
        <x:f>_xlfn.XLOOKUP($A1183,Games!$A$2:$A$18,Games!$Q$2:$Q$18,"Missing game",0)</x:f>
      </x:c>
      <x:c r="AW1183" t="str">
        <x:f>_xlfn.XLOOKUP($A1183,Games!$A$2:$A$18,Games!$R$2:$R$18,"Missing game",0)</x:f>
        <x:v>Ford Field</x:v>
      </x:c>
    </x:row>
    <x:row r="1184">
      <x:c r="A1184" t="str">
        <x:v>2025_09_MIN_DET</x:v>
      </x:c>
      <x:c r="B1184" t="n">
        <x:v>134</x:v>
      </x:c>
      <x:c r="C1184" t="n">
        <x:v>1</x:v>
      </x:c>
      <x:c r="D1184" t="str">
        <x:v>13:01</x:v>
      </x:c>
      <x:c r="E1184" t="n">
        <x:v>2</x:v>
      </x:c>
      <x:c r="F1184" t="n">
        <x:v>4</x:v>
      </x:c>
      <x:c r="G1184" t="str">
        <x:v>DET</x:v>
      </x:c>
      <x:c r="H1184" t="str">
        <x:v>MIN</x:v>
      </x:c>
      <x:c r="I1184" t="str">
        <x:v>MIN</x:v>
      </x:c>
      <x:c r="J1184" t="n">
        <x:v>40</x:v>
      </x:c>
      <x:c r="K1184" t="str">
        <x:v>(13:01) 16-J.Goff pass incomplete short right to 1-J.Williams [43-A.Van Ginkel].</x:v>
      </x:c>
      <x:c r="L1184" t="str">
        <x:v>pass</x:v>
      </x:c>
      <x:c r="M1184" t="n">
        <x:v>0</x:v>
      </x:c>
      <x:c r="N1184" t="n">
        <x:v>0</x:v>
      </x:c>
      <x:c r="O1184" t="n">
        <x:v>0</x:v>
      </x:c>
      <x:c r="P1184" t="str">
        <x:v>short</x:v>
      </x:c>
      <x:c r="Q1184" t="str">
        <x:v>right</x:v>
      </x:c>
      <x:c r="R1184" t="n">
        <x:v>13</x:v>
      </x:c>
      <x:c r="S1184"/>
      <x:c r="T1184"/>
      <x:c r="U1184"/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/>
      <x:c r="AC1184" t="n">
        <x:v>0</x:v>
      </x:c>
      <x:c r="AD1184" t="n">
        <x:v>-0.8018158162012696</x:v>
      </x:c>
      <x:c r="AE1184" t="n">
        <x:v>0</x:v>
      </x:c>
      <x:c r="AF1184" t="n">
        <x:v>-0.02617204189300537</x:v>
      </x:c>
      <x:c r="AG1184" t="n">
        <x:f>_xlfn.XLOOKUP($A1184,Games!$A$2:$A$18,Games!$B$2:$B$18,"Missing game",0)</x:f>
        <x:v>2025</x:v>
      </x:c>
      <x:c r="AH1184" t="str">
        <x:f>_xlfn.XLOOKUP($A1184,Games!$A$2:$A$18,Games!$C$2:$C$18,"Missing game",0)</x:f>
        <x:v>REG</x:v>
      </x:c>
      <x:c r="AI1184" t="n">
        <x:f>_xlfn.XLOOKUP($A1184,Games!$A$2:$A$18,Games!$D$2:$D$18,"Missing game",0)</x:f>
        <x:v>9</x:v>
      </x:c>
      <x:c r="AJ1184" s="1" t="n">
        <x:f>_xlfn.XLOOKUP($A1184,Games!$A$2:$A$18,Games!$E$2:$E$18,"Missing game",0)</x:f>
        <x:v>45963</x:v>
      </x:c>
      <x:c r="AK1184" t="str">
        <x:f>_xlfn.XLOOKUP($A1184,Games!$A$2:$A$18,Games!$F$2:$F$18,"Missing game",0)</x:f>
        <x:v>Sunday</x:v>
      </x:c>
      <x:c r="AL1184" t="str">
        <x:f>_xlfn.XLOOKUP($A1184,Games!$A$2:$A$18,Games!$G$2:$G$18,"Missing game",0)</x:f>
        <x:v>MIN</x:v>
      </x:c>
      <x:c r="AM1184" t="n">
        <x:f>_xlfn.XLOOKUP($A1184,Games!$A$2:$A$18,Games!$H$2:$H$18,"Missing game",0)</x:f>
        <x:v>27</x:v>
      </x:c>
      <x:c r="AN1184" t="str">
        <x:f>_xlfn.XLOOKUP($A1184,Games!$A$2:$A$18,Games!$I$2:$I$18,"Missing game",0)</x:f>
        <x:v>DET</x:v>
      </x:c>
      <x:c r="AO1184" t="n">
        <x:f>_xlfn.XLOOKUP($A1184,Games!$A$2:$A$18,Games!$J$2:$J$18,"Missing game",0)</x:f>
        <x:v>24</x:v>
      </x:c>
      <x:c r="AP1184" t="n">
        <x:f>_xlfn.XLOOKUP($A1184,Games!$A$2:$A$18,Games!$K$2:$K$18,"Missing game",0)</x:f>
        <x:v>-3</x:v>
      </x:c>
      <x:c r="AQ1184" t="n">
        <x:f>_xlfn.XLOOKUP($A1184,Games!$A$2:$A$18,Games!$L$2:$L$18,"Missing game",0)</x:f>
        <x:v>51</x:v>
      </x:c>
      <x:c r="AR1184" t="n">
        <x:f>_xlfn.XLOOKUP($A1184,Games!$A$2:$A$18,Games!$M$2:$M$18,"Missing game",0)</x:f>
        <x:v>0</x:v>
      </x:c>
      <x:c r="AS1184" t="str">
        <x:f>_xlfn.XLOOKUP($A1184,Games!$A$2:$A$18,Games!$N$2:$N$18,"Missing game",0)</x:f>
        <x:v>dome</x:v>
      </x:c>
      <x:c r="AT1184" t="str">
        <x:f>_xlfn.XLOOKUP($A1184,Games!$A$2:$A$18,Games!$O$2:$O$18,"Missing game",0)</x:f>
        <x:v>fieldturf</x:v>
      </x:c>
      <x:c r="AU1184" t="str">
        <x:f>_xlfn.XLOOKUP($A1184,Games!$A$2:$A$18,Games!$P$2:$P$18,"Missing game",0)</x:f>
      </x:c>
      <x:c r="AV1184" t="str">
        <x:f>_xlfn.XLOOKUP($A1184,Games!$A$2:$A$18,Games!$Q$2:$Q$18,"Missing game",0)</x:f>
      </x:c>
      <x:c r="AW1184" t="str">
        <x:f>_xlfn.XLOOKUP($A1184,Games!$A$2:$A$18,Games!$R$2:$R$18,"Missing game",0)</x:f>
        <x:v>Ford Field</x:v>
      </x:c>
    </x:row>
    <x:row r="1185">
      <x:c r="A1185" t="str">
        <x:v>2025_09_MIN_DET</x:v>
      </x:c>
      <x:c r="B1185" t="n">
        <x:v>157</x:v>
      </x:c>
      <x:c r="C1185" t="n">
        <x:v>1</x:v>
      </x:c>
      <x:c r="D1185" t="str">
        <x:v>12:56</x:v>
      </x:c>
      <x:c r="E1185" t="n">
        <x:v>3</x:v>
      </x:c>
      <x:c r="F1185" t="n">
        <x:v>4</x:v>
      </x:c>
      <x:c r="G1185" t="str">
        <x:v>DET</x:v>
      </x:c>
      <x:c r="H1185" t="str">
        <x:v>MIN</x:v>
      </x:c>
      <x:c r="I1185" t="str">
        <x:v>MIN</x:v>
      </x:c>
      <x:c r="J1185" t="n">
        <x:v>40</x:v>
      </x:c>
      <x:c r="K1185" t="str">
        <x:v>(12:56) (Shotgun) 16-J.Goff pass incomplete short right.</x:v>
      </x:c>
      <x:c r="L1185" t="str">
        <x:v>pass</x:v>
      </x:c>
      <x:c r="M1185" t="n">
        <x:v>0</x:v>
      </x:c>
      <x:c r="N1185" t="n">
        <x:v>1</x:v>
      </x:c>
      <x:c r="O1185" t="n">
        <x:v>0</x:v>
      </x:c>
      <x:c r="P1185" t="str">
        <x:v>short</x:v>
      </x:c>
      <x:c r="Q1185" t="str">
        <x:v>right</x:v>
      </x:c>
      <x:c r="R1185" t="n">
        <x:v>4</x:v>
      </x:c>
      <x:c r="S1185"/>
      <x:c r="T1185"/>
      <x:c r="U1185"/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/>
      <x:c r="AC1185" t="n">
        <x:v>0</x:v>
      </x:c>
      <x:c r="AD1185" t="n">
        <x:v>-1.9032044294290245</x:v>
      </x:c>
      <x:c r="AE1185" t="n">
        <x:v>0</x:v>
      </x:c>
      <x:c r="AF1185" t="n">
        <x:v>-0.05601775646209717</x:v>
      </x:c>
      <x:c r="AG1185" t="n">
        <x:f>_xlfn.XLOOKUP($A1185,Games!$A$2:$A$18,Games!$B$2:$B$18,"Missing game",0)</x:f>
        <x:v>2025</x:v>
      </x:c>
      <x:c r="AH1185" t="str">
        <x:f>_xlfn.XLOOKUP($A1185,Games!$A$2:$A$18,Games!$C$2:$C$18,"Missing game",0)</x:f>
        <x:v>REG</x:v>
      </x:c>
      <x:c r="AI1185" t="n">
        <x:f>_xlfn.XLOOKUP($A1185,Games!$A$2:$A$18,Games!$D$2:$D$18,"Missing game",0)</x:f>
        <x:v>9</x:v>
      </x:c>
      <x:c r="AJ1185" s="1" t="n">
        <x:f>_xlfn.XLOOKUP($A1185,Games!$A$2:$A$18,Games!$E$2:$E$18,"Missing game",0)</x:f>
        <x:v>45963</x:v>
      </x:c>
      <x:c r="AK1185" t="str">
        <x:f>_xlfn.XLOOKUP($A1185,Games!$A$2:$A$18,Games!$F$2:$F$18,"Missing game",0)</x:f>
        <x:v>Sunday</x:v>
      </x:c>
      <x:c r="AL1185" t="str">
        <x:f>_xlfn.XLOOKUP($A1185,Games!$A$2:$A$18,Games!$G$2:$G$18,"Missing game",0)</x:f>
        <x:v>MIN</x:v>
      </x:c>
      <x:c r="AM1185" t="n">
        <x:f>_xlfn.XLOOKUP($A1185,Games!$A$2:$A$18,Games!$H$2:$H$18,"Missing game",0)</x:f>
        <x:v>27</x:v>
      </x:c>
      <x:c r="AN1185" t="str">
        <x:f>_xlfn.XLOOKUP($A1185,Games!$A$2:$A$18,Games!$I$2:$I$18,"Missing game",0)</x:f>
        <x:v>DET</x:v>
      </x:c>
      <x:c r="AO1185" t="n">
        <x:f>_xlfn.XLOOKUP($A1185,Games!$A$2:$A$18,Games!$J$2:$J$18,"Missing game",0)</x:f>
        <x:v>24</x:v>
      </x:c>
      <x:c r="AP1185" t="n">
        <x:f>_xlfn.XLOOKUP($A1185,Games!$A$2:$A$18,Games!$K$2:$K$18,"Missing game",0)</x:f>
        <x:v>-3</x:v>
      </x:c>
      <x:c r="AQ1185" t="n">
        <x:f>_xlfn.XLOOKUP($A1185,Games!$A$2:$A$18,Games!$L$2:$L$18,"Missing game",0)</x:f>
        <x:v>51</x:v>
      </x:c>
      <x:c r="AR1185" t="n">
        <x:f>_xlfn.XLOOKUP($A1185,Games!$A$2:$A$18,Games!$M$2:$M$18,"Missing game",0)</x:f>
        <x:v>0</x:v>
      </x:c>
      <x:c r="AS1185" t="str">
        <x:f>_xlfn.XLOOKUP($A1185,Games!$A$2:$A$18,Games!$N$2:$N$18,"Missing game",0)</x:f>
        <x:v>dome</x:v>
      </x:c>
      <x:c r="AT1185" t="str">
        <x:f>_xlfn.XLOOKUP($A1185,Games!$A$2:$A$18,Games!$O$2:$O$18,"Missing game",0)</x:f>
        <x:v>fieldturf</x:v>
      </x:c>
      <x:c r="AU1185" t="str">
        <x:f>_xlfn.XLOOKUP($A1185,Games!$A$2:$A$18,Games!$P$2:$P$18,"Missing game",0)</x:f>
      </x:c>
      <x:c r="AV1185" t="str">
        <x:f>_xlfn.XLOOKUP($A1185,Games!$A$2:$A$18,Games!$Q$2:$Q$18,"Missing game",0)</x:f>
      </x:c>
      <x:c r="AW1185" t="str">
        <x:f>_xlfn.XLOOKUP($A1185,Games!$A$2:$A$18,Games!$R$2:$R$18,"Missing game",0)</x:f>
        <x:v>Ford Field</x:v>
      </x:c>
    </x:row>
    <x:row r="1186">
      <x:c r="A1186" t="str">
        <x:v>2025_09_MIN_DET</x:v>
      </x:c>
      <x:c r="B1186" t="n">
        <x:v>180</x:v>
      </x:c>
      <x:c r="C1186" t="n">
        <x:v>1</x:v>
      </x:c>
      <x:c r="D1186" t="str">
        <x:v>12:51</x:v>
      </x:c>
      <x:c r="E1186" t="n">
        <x:v>4</x:v>
      </x:c>
      <x:c r="F1186" t="n">
        <x:v>4</x:v>
      </x:c>
      <x:c r="G1186" t="str">
        <x:v>DET</x:v>
      </x:c>
      <x:c r="H1186" t="str">
        <x:v>MIN</x:v>
      </x:c>
      <x:c r="I1186" t="str">
        <x:v>MIN</x:v>
      </x:c>
      <x:c r="J1186" t="n">
        <x:v>40</x:v>
      </x:c>
      <x:c r="K1186" t="str">
        <x:v>(12:51) (Shotgun) 16-J.Goff pass deep middle to 87-S.LaPorta for 40 yards, TOUCHDOWN.</x:v>
      </x:c>
      <x:c r="L1186" t="str">
        <x:v>pass</x:v>
      </x:c>
      <x:c r="M1186" t="n">
        <x:v>40</x:v>
      </x:c>
      <x:c r="N1186" t="n">
        <x:v>1</x:v>
      </x:c>
      <x:c r="O1186" t="n">
        <x:v>0</x:v>
      </x:c>
      <x:c r="P1186" t="str">
        <x:v>deep</x:v>
      </x:c>
      <x:c r="Q1186" t="str">
        <x:v>middle</x:v>
      </x:c>
      <x:c r="R1186" t="n">
        <x:v>20</x:v>
      </x:c>
      <x:c r="S1186" t="n">
        <x:v>20</x:v>
      </x:c>
      <x:c r="T1186"/>
      <x:c r="U1186"/>
      <x:c r="V1186" t="n">
        <x:v>1</x:v>
      </x:c>
      <x:c r="W1186" t="n">
        <x:v>1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/>
      <x:c r="AC1186" t="n">
        <x:v>1</x:v>
      </x:c>
      <x:c r="AD1186" t="n">
        <x:v>6.016863969620317</x:v>
      </x:c>
      <x:c r="AE1186" t="n">
        <x:v>1</x:v>
      </x:c>
      <x:c r="AF1186" t="n">
        <x:v>0.16374282359550574</x:v>
      </x:c>
      <x:c r="AG1186" t="n">
        <x:f>_xlfn.XLOOKUP($A1186,Games!$A$2:$A$18,Games!$B$2:$B$18,"Missing game",0)</x:f>
        <x:v>2025</x:v>
      </x:c>
      <x:c r="AH1186" t="str">
        <x:f>_xlfn.XLOOKUP($A1186,Games!$A$2:$A$18,Games!$C$2:$C$18,"Missing game",0)</x:f>
        <x:v>REG</x:v>
      </x:c>
      <x:c r="AI1186" t="n">
        <x:f>_xlfn.XLOOKUP($A1186,Games!$A$2:$A$18,Games!$D$2:$D$18,"Missing game",0)</x:f>
        <x:v>9</x:v>
      </x:c>
      <x:c r="AJ1186" s="1" t="n">
        <x:f>_xlfn.XLOOKUP($A1186,Games!$A$2:$A$18,Games!$E$2:$E$18,"Missing game",0)</x:f>
        <x:v>45963</x:v>
      </x:c>
      <x:c r="AK1186" t="str">
        <x:f>_xlfn.XLOOKUP($A1186,Games!$A$2:$A$18,Games!$F$2:$F$18,"Missing game",0)</x:f>
        <x:v>Sunday</x:v>
      </x:c>
      <x:c r="AL1186" t="str">
        <x:f>_xlfn.XLOOKUP($A1186,Games!$A$2:$A$18,Games!$G$2:$G$18,"Missing game",0)</x:f>
        <x:v>MIN</x:v>
      </x:c>
      <x:c r="AM1186" t="n">
        <x:f>_xlfn.XLOOKUP($A1186,Games!$A$2:$A$18,Games!$H$2:$H$18,"Missing game",0)</x:f>
        <x:v>27</x:v>
      </x:c>
      <x:c r="AN1186" t="str">
        <x:f>_xlfn.XLOOKUP($A1186,Games!$A$2:$A$18,Games!$I$2:$I$18,"Missing game",0)</x:f>
        <x:v>DET</x:v>
      </x:c>
      <x:c r="AO1186" t="n">
        <x:f>_xlfn.XLOOKUP($A1186,Games!$A$2:$A$18,Games!$J$2:$J$18,"Missing game",0)</x:f>
        <x:v>24</x:v>
      </x:c>
      <x:c r="AP1186" t="n">
        <x:f>_xlfn.XLOOKUP($A1186,Games!$A$2:$A$18,Games!$K$2:$K$18,"Missing game",0)</x:f>
        <x:v>-3</x:v>
      </x:c>
      <x:c r="AQ1186" t="n">
        <x:f>_xlfn.XLOOKUP($A1186,Games!$A$2:$A$18,Games!$L$2:$L$18,"Missing game",0)</x:f>
        <x:v>51</x:v>
      </x:c>
      <x:c r="AR1186" t="n">
        <x:f>_xlfn.XLOOKUP($A1186,Games!$A$2:$A$18,Games!$M$2:$M$18,"Missing game",0)</x:f>
        <x:v>0</x:v>
      </x:c>
      <x:c r="AS1186" t="str">
        <x:f>_xlfn.XLOOKUP($A1186,Games!$A$2:$A$18,Games!$N$2:$N$18,"Missing game",0)</x:f>
        <x:v>dome</x:v>
      </x:c>
      <x:c r="AT1186" t="str">
        <x:f>_xlfn.XLOOKUP($A1186,Games!$A$2:$A$18,Games!$O$2:$O$18,"Missing game",0)</x:f>
        <x:v>fieldturf</x:v>
      </x:c>
      <x:c r="AU1186" t="str">
        <x:f>_xlfn.XLOOKUP($A1186,Games!$A$2:$A$18,Games!$P$2:$P$18,"Missing game",0)</x:f>
      </x:c>
      <x:c r="AV1186" t="str">
        <x:f>_xlfn.XLOOKUP($A1186,Games!$A$2:$A$18,Games!$Q$2:$Q$18,"Missing game",0)</x:f>
      </x:c>
      <x:c r="AW1186" t="str">
        <x:f>_xlfn.XLOOKUP($A1186,Games!$A$2:$A$18,Games!$R$2:$R$18,"Missing game",0)</x:f>
        <x:v>Ford Field</x:v>
      </x:c>
    </x:row>
    <x:row r="1187">
      <x:c r="A1187" t="str">
        <x:v>2025_09_MIN_DET</x:v>
      </x:c>
      <x:c r="B1187" t="n">
        <x:v>206</x:v>
      </x:c>
      <x:c r="C1187" t="n">
        <x:v>1</x:v>
      </x:c>
      <x:c r="D1187" t="str">
        <x:v>12:37</x:v>
      </x:c>
      <x:c r="E1187"/>
      <x:c r="F1187" t="n">
        <x:v>0</x:v>
      </x:c>
      <x:c r="G1187" t="str">
        <x:v>DET</x:v>
      </x:c>
      <x:c r="H1187" t="str">
        <x:v>MIN</x:v>
      </x:c>
      <x:c r="I1187" t="str">
        <x:v>MIN</x:v>
      </x:c>
      <x:c r="J1187" t="n">
        <x:v>15</x:v>
      </x:c>
      <x:c r="K1187" t="str">
        <x:v>39-J.Bates extra point is GOOD, Center-49-H.Hatten, Holder-3-J.Fox.</x:v>
      </x:c>
      <x:c r="L1187" t="str">
        <x:v>extra_point</x:v>
      </x:c>
      <x:c r="M1187" t="n">
        <x:v>0</x:v>
      </x:c>
      <x:c r="N1187" t="n">
        <x:v>0</x:v>
      </x:c>
      <x:c r="O1187" t="n">
        <x:v>0</x:v>
      </x:c>
      <x:c r="P1187"/>
      <x:c r="Q1187"/>
      <x:c r="R1187"/>
      <x:c r="S1187"/>
      <x:c r="T1187"/>
      <x:c r="U1187"/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/>
      <x:c r="AC1187" t="n">
        <x:v>0</x:v>
      </x:c>
      <x:c r="AD1187" t="n">
        <x:v>0.05117156607063911</x:v>
      </x:c>
      <x:c r="AE1187" t="n">
        <x:v>1</x:v>
      </x:c>
      <x:c r="AF1187" t="n">
        <x:v>0.0013477969222249753</x:v>
      </x:c>
      <x:c r="AG1187" t="n">
        <x:f>_xlfn.XLOOKUP($A1187,Games!$A$2:$A$18,Games!$B$2:$B$18,"Missing game",0)</x:f>
        <x:v>2025</x:v>
      </x:c>
      <x:c r="AH1187" t="str">
        <x:f>_xlfn.XLOOKUP($A1187,Games!$A$2:$A$18,Games!$C$2:$C$18,"Missing game",0)</x:f>
        <x:v>REG</x:v>
      </x:c>
      <x:c r="AI1187" t="n">
        <x:f>_xlfn.XLOOKUP($A1187,Games!$A$2:$A$18,Games!$D$2:$D$18,"Missing game",0)</x:f>
        <x:v>9</x:v>
      </x:c>
      <x:c r="AJ1187" s="1" t="n">
        <x:f>_xlfn.XLOOKUP($A1187,Games!$A$2:$A$18,Games!$E$2:$E$18,"Missing game",0)</x:f>
        <x:v>45963</x:v>
      </x:c>
      <x:c r="AK1187" t="str">
        <x:f>_xlfn.XLOOKUP($A1187,Games!$A$2:$A$18,Games!$F$2:$F$18,"Missing game",0)</x:f>
        <x:v>Sunday</x:v>
      </x:c>
      <x:c r="AL1187" t="str">
        <x:f>_xlfn.XLOOKUP($A1187,Games!$A$2:$A$18,Games!$G$2:$G$18,"Missing game",0)</x:f>
        <x:v>MIN</x:v>
      </x:c>
      <x:c r="AM1187" t="n">
        <x:f>_xlfn.XLOOKUP($A1187,Games!$A$2:$A$18,Games!$H$2:$H$18,"Missing game",0)</x:f>
        <x:v>27</x:v>
      </x:c>
      <x:c r="AN1187" t="str">
        <x:f>_xlfn.XLOOKUP($A1187,Games!$A$2:$A$18,Games!$I$2:$I$18,"Missing game",0)</x:f>
        <x:v>DET</x:v>
      </x:c>
      <x:c r="AO1187" t="n">
        <x:f>_xlfn.XLOOKUP($A1187,Games!$A$2:$A$18,Games!$J$2:$J$18,"Missing game",0)</x:f>
        <x:v>24</x:v>
      </x:c>
      <x:c r="AP1187" t="n">
        <x:f>_xlfn.XLOOKUP($A1187,Games!$A$2:$A$18,Games!$K$2:$K$18,"Missing game",0)</x:f>
        <x:v>-3</x:v>
      </x:c>
      <x:c r="AQ1187" t="n">
        <x:f>_xlfn.XLOOKUP($A1187,Games!$A$2:$A$18,Games!$L$2:$L$18,"Missing game",0)</x:f>
        <x:v>51</x:v>
      </x:c>
      <x:c r="AR1187" t="n">
        <x:f>_xlfn.XLOOKUP($A1187,Games!$A$2:$A$18,Games!$M$2:$M$18,"Missing game",0)</x:f>
        <x:v>0</x:v>
      </x:c>
      <x:c r="AS1187" t="str">
        <x:f>_xlfn.XLOOKUP($A1187,Games!$A$2:$A$18,Games!$N$2:$N$18,"Missing game",0)</x:f>
        <x:v>dome</x:v>
      </x:c>
      <x:c r="AT1187" t="str">
        <x:f>_xlfn.XLOOKUP($A1187,Games!$A$2:$A$18,Games!$O$2:$O$18,"Missing game",0)</x:f>
        <x:v>fieldturf</x:v>
      </x:c>
      <x:c r="AU1187" t="str">
        <x:f>_xlfn.XLOOKUP($A1187,Games!$A$2:$A$18,Games!$P$2:$P$18,"Missing game",0)</x:f>
      </x:c>
      <x:c r="AV1187" t="str">
        <x:f>_xlfn.XLOOKUP($A1187,Games!$A$2:$A$18,Games!$Q$2:$Q$18,"Missing game",0)</x:f>
      </x:c>
      <x:c r="AW1187" t="str">
        <x:f>_xlfn.XLOOKUP($A1187,Games!$A$2:$A$18,Games!$R$2:$R$18,"Missing game",0)</x:f>
        <x:v>Ford Field</x:v>
      </x:c>
    </x:row>
    <x:row r="1188">
      <x:c r="A1188" t="str">
        <x:v>2025_09_MIN_DET</x:v>
      </x:c>
      <x:c r="B1188" t="n">
        <x:v>221</x:v>
      </x:c>
      <x:c r="C1188" t="n">
        <x:v>1</x:v>
      </x:c>
      <x:c r="D1188" t="str">
        <x:v>12:37</x:v>
      </x:c>
      <x:c r="E1188"/>
      <x:c r="F1188" t="n">
        <x:v>0</x:v>
      </x:c>
      <x:c r="G1188" t="str">
        <x:v>MIN</x:v>
      </x:c>
      <x:c r="H1188" t="str">
        <x:v>DET</x:v>
      </x:c>
      <x:c r="I1188" t="str">
        <x:v>DET</x:v>
      </x:c>
      <x:c r="J1188" t="n">
        <x:v>35</x:v>
      </x:c>
      <x:c r="K1188" t="str">
        <x:v>39-J.Bates kicks 62 yards from DET 35 to MIN 3. 4-M.Price to DET 36 for 61 yards (25-J.Saylors; 39-J.Bates).</x:v>
      </x:c>
      <x:c r="L1188" t="str">
        <x:v>kickoff</x:v>
      </x:c>
      <x:c r="M1188" t="n">
        <x:v>0</x:v>
      </x:c>
      <x:c r="N1188" t="n">
        <x:v>0</x:v>
      </x:c>
      <x:c r="O1188" t="n">
        <x:v>0</x:v>
      </x:c>
      <x:c r="P1188"/>
      <x:c r="Q1188"/>
      <x:c r="R1188"/>
      <x:c r="S1188"/>
      <x:c r="T1188"/>
      <x:c r="U1188"/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/>
      <x:c r="AC1188" t="n">
        <x:v>0</x:v>
      </x:c>
      <x:c r="AD1188" t="n">
        <x:v>2.588531636632979</x:v>
      </x:c>
      <x:c r="AE1188" t="n">
        <x:v>1</x:v>
      </x:c>
      <x:c r="AF1188" t="n">
        <x:v>0.05561983585357666</x:v>
      </x:c>
      <x:c r="AG1188" t="n">
        <x:f>_xlfn.XLOOKUP($A1188,Games!$A$2:$A$18,Games!$B$2:$B$18,"Missing game",0)</x:f>
        <x:v>2025</x:v>
      </x:c>
      <x:c r="AH1188" t="str">
        <x:f>_xlfn.XLOOKUP($A1188,Games!$A$2:$A$18,Games!$C$2:$C$18,"Missing game",0)</x:f>
        <x:v>REG</x:v>
      </x:c>
      <x:c r="AI1188" t="n">
        <x:f>_xlfn.XLOOKUP($A1188,Games!$A$2:$A$18,Games!$D$2:$D$18,"Missing game",0)</x:f>
        <x:v>9</x:v>
      </x:c>
      <x:c r="AJ1188" s="1" t="n">
        <x:f>_xlfn.XLOOKUP($A1188,Games!$A$2:$A$18,Games!$E$2:$E$18,"Missing game",0)</x:f>
        <x:v>45963</x:v>
      </x:c>
      <x:c r="AK1188" t="str">
        <x:f>_xlfn.XLOOKUP($A1188,Games!$A$2:$A$18,Games!$F$2:$F$18,"Missing game",0)</x:f>
        <x:v>Sunday</x:v>
      </x:c>
      <x:c r="AL1188" t="str">
        <x:f>_xlfn.XLOOKUP($A1188,Games!$A$2:$A$18,Games!$G$2:$G$18,"Missing game",0)</x:f>
        <x:v>MIN</x:v>
      </x:c>
      <x:c r="AM1188" t="n">
        <x:f>_xlfn.XLOOKUP($A1188,Games!$A$2:$A$18,Games!$H$2:$H$18,"Missing game",0)</x:f>
        <x:v>27</x:v>
      </x:c>
      <x:c r="AN1188" t="str">
        <x:f>_xlfn.XLOOKUP($A1188,Games!$A$2:$A$18,Games!$I$2:$I$18,"Missing game",0)</x:f>
        <x:v>DET</x:v>
      </x:c>
      <x:c r="AO1188" t="n">
        <x:f>_xlfn.XLOOKUP($A1188,Games!$A$2:$A$18,Games!$J$2:$J$18,"Missing game",0)</x:f>
        <x:v>24</x:v>
      </x:c>
      <x:c r="AP1188" t="n">
        <x:f>_xlfn.XLOOKUP($A1188,Games!$A$2:$A$18,Games!$K$2:$K$18,"Missing game",0)</x:f>
        <x:v>-3</x:v>
      </x:c>
      <x:c r="AQ1188" t="n">
        <x:f>_xlfn.XLOOKUP($A1188,Games!$A$2:$A$18,Games!$L$2:$L$18,"Missing game",0)</x:f>
        <x:v>51</x:v>
      </x:c>
      <x:c r="AR1188" t="n">
        <x:f>_xlfn.XLOOKUP($A1188,Games!$A$2:$A$18,Games!$M$2:$M$18,"Missing game",0)</x:f>
        <x:v>0</x:v>
      </x:c>
      <x:c r="AS1188" t="str">
        <x:f>_xlfn.XLOOKUP($A1188,Games!$A$2:$A$18,Games!$N$2:$N$18,"Missing game",0)</x:f>
        <x:v>dome</x:v>
      </x:c>
      <x:c r="AT1188" t="str">
        <x:f>_xlfn.XLOOKUP($A1188,Games!$A$2:$A$18,Games!$O$2:$O$18,"Missing game",0)</x:f>
        <x:v>fieldturf</x:v>
      </x:c>
      <x:c r="AU1188" t="str">
        <x:f>_xlfn.XLOOKUP($A1188,Games!$A$2:$A$18,Games!$P$2:$P$18,"Missing game",0)</x:f>
      </x:c>
      <x:c r="AV1188" t="str">
        <x:f>_xlfn.XLOOKUP($A1188,Games!$A$2:$A$18,Games!$Q$2:$Q$18,"Missing game",0)</x:f>
      </x:c>
      <x:c r="AW1188" t="str">
        <x:f>_xlfn.XLOOKUP($A1188,Games!$A$2:$A$18,Games!$R$2:$R$18,"Missing game",0)</x:f>
        <x:v>Ford Field</x:v>
      </x:c>
    </x:row>
    <x:row r="1189">
      <x:c r="A1189" t="str">
        <x:v>2025_09_MIN_DET</x:v>
      </x:c>
      <x:c r="B1189" t="n">
        <x:v>251</x:v>
      </x:c>
      <x:c r="C1189" t="n">
        <x:v>1</x:v>
      </x:c>
      <x:c r="D1189" t="str">
        <x:v>12:26</x:v>
      </x:c>
      <x:c r="E1189" t="n">
        <x:v>1</x:v>
      </x:c>
      <x:c r="F1189" t="n">
        <x:v>10</x:v>
      </x:c>
      <x:c r="G1189" t="str">
        <x:v>MIN</x:v>
      </x:c>
      <x:c r="H1189" t="str">
        <x:v>DET</x:v>
      </x:c>
      <x:c r="I1189" t="str">
        <x:v>DET</x:v>
      </x:c>
      <x:c r="J1189" t="n">
        <x:v>36</x:v>
      </x:c>
      <x:c r="K1189" t="str">
        <x:v>(12:26) 33-A.Jones left tackle to DET 25 for 11 yards (32-B.Branch).</x:v>
      </x:c>
      <x:c r="L1189" t="str">
        <x:v>run</x:v>
      </x:c>
      <x:c r="M1189" t="n">
        <x:v>11</x:v>
      </x:c>
      <x:c r="N1189" t="n">
        <x:v>0</x:v>
      </x:c>
      <x:c r="O1189" t="n">
        <x:v>0</x:v>
      </x:c>
      <x:c r="P1189"/>
      <x:c r="Q1189"/>
      <x:c r="R1189"/>
      <x:c r="S1189"/>
      <x:c r="T1189" t="str">
        <x:v>left</x:v>
      </x:c>
      <x:c r="U1189" t="str">
        <x:v>tackle</x:v>
      </x:c>
      <x:c r="V1189" t="n">
        <x:v>0</x:v>
      </x:c>
      <x:c r="W1189" t="n">
        <x:v>1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/>
      <x:c r="AC1189" t="n">
        <x:v>0</x:v>
      </x:c>
      <x:c r="AD1189" t="n">
        <x:v>0.7743954012403265</x:v>
      </x:c>
      <x:c r="AE1189" t="n">
        <x:v>1</x:v>
      </x:c>
      <x:c r="AF1189" t="n">
        <x:v>0.0269925594329834</x:v>
      </x:c>
      <x:c r="AG1189" t="n">
        <x:f>_xlfn.XLOOKUP($A1189,Games!$A$2:$A$18,Games!$B$2:$B$18,"Missing game",0)</x:f>
        <x:v>2025</x:v>
      </x:c>
      <x:c r="AH1189" t="str">
        <x:f>_xlfn.XLOOKUP($A1189,Games!$A$2:$A$18,Games!$C$2:$C$18,"Missing game",0)</x:f>
        <x:v>REG</x:v>
      </x:c>
      <x:c r="AI1189" t="n">
        <x:f>_xlfn.XLOOKUP($A1189,Games!$A$2:$A$18,Games!$D$2:$D$18,"Missing game",0)</x:f>
        <x:v>9</x:v>
      </x:c>
      <x:c r="AJ1189" s="1" t="n">
        <x:f>_xlfn.XLOOKUP($A1189,Games!$A$2:$A$18,Games!$E$2:$E$18,"Missing game",0)</x:f>
        <x:v>45963</x:v>
      </x:c>
      <x:c r="AK1189" t="str">
        <x:f>_xlfn.XLOOKUP($A1189,Games!$A$2:$A$18,Games!$F$2:$F$18,"Missing game",0)</x:f>
        <x:v>Sunday</x:v>
      </x:c>
      <x:c r="AL1189" t="str">
        <x:f>_xlfn.XLOOKUP($A1189,Games!$A$2:$A$18,Games!$G$2:$G$18,"Missing game",0)</x:f>
        <x:v>MIN</x:v>
      </x:c>
      <x:c r="AM1189" t="n">
        <x:f>_xlfn.XLOOKUP($A1189,Games!$A$2:$A$18,Games!$H$2:$H$18,"Missing game",0)</x:f>
        <x:v>27</x:v>
      </x:c>
      <x:c r="AN1189" t="str">
        <x:f>_xlfn.XLOOKUP($A1189,Games!$A$2:$A$18,Games!$I$2:$I$18,"Missing game",0)</x:f>
        <x:v>DET</x:v>
      </x:c>
      <x:c r="AO1189" t="n">
        <x:f>_xlfn.XLOOKUP($A1189,Games!$A$2:$A$18,Games!$J$2:$J$18,"Missing game",0)</x:f>
        <x:v>24</x:v>
      </x:c>
      <x:c r="AP1189" t="n">
        <x:f>_xlfn.XLOOKUP($A1189,Games!$A$2:$A$18,Games!$K$2:$K$18,"Missing game",0)</x:f>
        <x:v>-3</x:v>
      </x:c>
      <x:c r="AQ1189" t="n">
        <x:f>_xlfn.XLOOKUP($A1189,Games!$A$2:$A$18,Games!$L$2:$L$18,"Missing game",0)</x:f>
        <x:v>51</x:v>
      </x:c>
      <x:c r="AR1189" t="n">
        <x:f>_xlfn.XLOOKUP($A1189,Games!$A$2:$A$18,Games!$M$2:$M$18,"Missing game",0)</x:f>
        <x:v>0</x:v>
      </x:c>
      <x:c r="AS1189" t="str">
        <x:f>_xlfn.XLOOKUP($A1189,Games!$A$2:$A$18,Games!$N$2:$N$18,"Missing game",0)</x:f>
        <x:v>dome</x:v>
      </x:c>
      <x:c r="AT1189" t="str">
        <x:f>_xlfn.XLOOKUP($A1189,Games!$A$2:$A$18,Games!$O$2:$O$18,"Missing game",0)</x:f>
        <x:v>fieldturf</x:v>
      </x:c>
      <x:c r="AU1189" t="str">
        <x:f>_xlfn.XLOOKUP($A1189,Games!$A$2:$A$18,Games!$P$2:$P$18,"Missing game",0)</x:f>
      </x:c>
      <x:c r="AV1189" t="str">
        <x:f>_xlfn.XLOOKUP($A1189,Games!$A$2:$A$18,Games!$Q$2:$Q$18,"Missing game",0)</x:f>
      </x:c>
      <x:c r="AW1189" t="str">
        <x:f>_xlfn.XLOOKUP($A1189,Games!$A$2:$A$18,Games!$R$2:$R$18,"Missing game",0)</x:f>
        <x:v>Ford Field</x:v>
      </x:c>
    </x:row>
    <x:row r="1190">
      <x:c r="A1190" t="str">
        <x:v>2025_09_MIN_DET</x:v>
      </x:c>
      <x:c r="B1190" t="n">
        <x:v>273</x:v>
      </x:c>
      <x:c r="C1190" t="n">
        <x:v>1</x:v>
      </x:c>
      <x:c r="D1190" t="str">
        <x:v>11:46</x:v>
      </x:c>
      <x:c r="E1190" t="n">
        <x:v>1</x:v>
      </x:c>
      <x:c r="F1190" t="n">
        <x:v>10</x:v>
      </x:c>
      <x:c r="G1190" t="str">
        <x:v>MIN</x:v>
      </x:c>
      <x:c r="H1190" t="str">
        <x:v>DET</x:v>
      </x:c>
      <x:c r="I1190" t="str">
        <x:v>DET</x:v>
      </x:c>
      <x:c r="J1190" t="n">
        <x:v>25</x:v>
      </x:c>
      <x:c r="K1190" t="str">
        <x:v>(11:46) 33-A.Jones right tackle to DET 24 for 1 yard (98-D.Reader; 54-A.McNeill).</x:v>
      </x:c>
      <x:c r="L1190" t="str">
        <x:v>run</x:v>
      </x:c>
      <x:c r="M1190" t="n">
        <x:v>1</x:v>
      </x:c>
      <x:c r="N1190" t="n">
        <x:v>0</x:v>
      </x:c>
      <x:c r="O1190" t="n">
        <x:v>0</x:v>
      </x:c>
      <x:c r="P1190"/>
      <x:c r="Q1190"/>
      <x:c r="R1190"/>
      <x:c r="S1190"/>
      <x:c r="T1190" t="str">
        <x:v>right</x:v>
      </x:c>
      <x:c r="U1190" t="str">
        <x:v>tackle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/>
      <x:c r="AC1190" t="n">
        <x:v>0</x:v>
      </x:c>
      <x:c r="AD1190" t="n">
        <x:v>-0.3849814982386306</x:v>
      </x:c>
      <x:c r="AE1190" t="n">
        <x:v>0</x:v>
      </x:c>
      <x:c r="AF1190" t="n">
        <x:v>-0.011916905641555786</x:v>
      </x:c>
      <x:c r="AG1190" t="n">
        <x:f>_xlfn.XLOOKUP($A1190,Games!$A$2:$A$18,Games!$B$2:$B$18,"Missing game",0)</x:f>
        <x:v>2025</x:v>
      </x:c>
      <x:c r="AH1190" t="str">
        <x:f>_xlfn.XLOOKUP($A1190,Games!$A$2:$A$18,Games!$C$2:$C$18,"Missing game",0)</x:f>
        <x:v>REG</x:v>
      </x:c>
      <x:c r="AI1190" t="n">
        <x:f>_xlfn.XLOOKUP($A1190,Games!$A$2:$A$18,Games!$D$2:$D$18,"Missing game",0)</x:f>
        <x:v>9</x:v>
      </x:c>
      <x:c r="AJ1190" s="1" t="n">
        <x:f>_xlfn.XLOOKUP($A1190,Games!$A$2:$A$18,Games!$E$2:$E$18,"Missing game",0)</x:f>
        <x:v>45963</x:v>
      </x:c>
      <x:c r="AK1190" t="str">
        <x:f>_xlfn.XLOOKUP($A1190,Games!$A$2:$A$18,Games!$F$2:$F$18,"Missing game",0)</x:f>
        <x:v>Sunday</x:v>
      </x:c>
      <x:c r="AL1190" t="str">
        <x:f>_xlfn.XLOOKUP($A1190,Games!$A$2:$A$18,Games!$G$2:$G$18,"Missing game",0)</x:f>
        <x:v>MIN</x:v>
      </x:c>
      <x:c r="AM1190" t="n">
        <x:f>_xlfn.XLOOKUP($A1190,Games!$A$2:$A$18,Games!$H$2:$H$18,"Missing game",0)</x:f>
        <x:v>27</x:v>
      </x:c>
      <x:c r="AN1190" t="str">
        <x:f>_xlfn.XLOOKUP($A1190,Games!$A$2:$A$18,Games!$I$2:$I$18,"Missing game",0)</x:f>
        <x:v>DET</x:v>
      </x:c>
      <x:c r="AO1190" t="n">
        <x:f>_xlfn.XLOOKUP($A1190,Games!$A$2:$A$18,Games!$J$2:$J$18,"Missing game",0)</x:f>
        <x:v>24</x:v>
      </x:c>
      <x:c r="AP1190" t="n">
        <x:f>_xlfn.XLOOKUP($A1190,Games!$A$2:$A$18,Games!$K$2:$K$18,"Missing game",0)</x:f>
        <x:v>-3</x:v>
      </x:c>
      <x:c r="AQ1190" t="n">
        <x:f>_xlfn.XLOOKUP($A1190,Games!$A$2:$A$18,Games!$L$2:$L$18,"Missing game",0)</x:f>
        <x:v>51</x:v>
      </x:c>
      <x:c r="AR1190" t="n">
        <x:f>_xlfn.XLOOKUP($A1190,Games!$A$2:$A$18,Games!$M$2:$M$18,"Missing game",0)</x:f>
        <x:v>0</x:v>
      </x:c>
      <x:c r="AS1190" t="str">
        <x:f>_xlfn.XLOOKUP($A1190,Games!$A$2:$A$18,Games!$N$2:$N$18,"Missing game",0)</x:f>
        <x:v>dome</x:v>
      </x:c>
      <x:c r="AT1190" t="str">
        <x:f>_xlfn.XLOOKUP($A1190,Games!$A$2:$A$18,Games!$O$2:$O$18,"Missing game",0)</x:f>
        <x:v>fieldturf</x:v>
      </x:c>
      <x:c r="AU1190" t="str">
        <x:f>_xlfn.XLOOKUP($A1190,Games!$A$2:$A$18,Games!$P$2:$P$18,"Missing game",0)</x:f>
      </x:c>
      <x:c r="AV1190" t="str">
        <x:f>_xlfn.XLOOKUP($A1190,Games!$A$2:$A$18,Games!$Q$2:$Q$18,"Missing game",0)</x:f>
      </x:c>
      <x:c r="AW1190" t="str">
        <x:f>_xlfn.XLOOKUP($A1190,Games!$A$2:$A$18,Games!$R$2:$R$18,"Missing game",0)</x:f>
        <x:v>Ford Field</x:v>
      </x:c>
    </x:row>
    <x:row r="1191">
      <x:c r="A1191" t="str">
        <x:v>2025_09_MIN_DET</x:v>
      </x:c>
      <x:c r="B1191" t="n">
        <x:v>295</x:v>
      </x:c>
      <x:c r="C1191" t="n">
        <x:v>1</x:v>
      </x:c>
      <x:c r="D1191" t="str">
        <x:v>11:08</x:v>
      </x:c>
      <x:c r="E1191" t="n">
        <x:v>2</x:v>
      </x:c>
      <x:c r="F1191" t="n">
        <x:v>9</x:v>
      </x:c>
      <x:c r="G1191" t="str">
        <x:v>MIN</x:v>
      </x:c>
      <x:c r="H1191" t="str">
        <x:v>DET</x:v>
      </x:c>
      <x:c r="I1191" t="str">
        <x:v>DET</x:v>
      </x:c>
      <x:c r="J1191" t="n">
        <x:v>24</x:v>
      </x:c>
      <x:c r="K1191" t="str">
        <x:v>(11:08) (Shotgun) 9-J.McCarthy pass incomplete deep left to 3-J.Addison (6-T.Arnold).</x:v>
      </x:c>
      <x:c r="L1191" t="str">
        <x:v>pass</x:v>
      </x:c>
      <x:c r="M1191" t="n">
        <x:v>0</x:v>
      </x:c>
      <x:c r="N1191" t="n">
        <x:v>1</x:v>
      </x:c>
      <x:c r="O1191" t="n">
        <x:v>0</x:v>
      </x:c>
      <x:c r="P1191" t="str">
        <x:v>deep</x:v>
      </x:c>
      <x:c r="Q1191" t="str">
        <x:v>left</x:v>
      </x:c>
      <x:c r="R1191" t="n">
        <x:v>23</x:v>
      </x:c>
      <x:c r="S1191"/>
      <x:c r="T1191"/>
      <x:c r="U1191"/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/>
      <x:c r="AC1191" t="n">
        <x:v>0</x:v>
      </x:c>
      <x:c r="AD1191" t="n">
        <x:v>-0.5782357176067308</x:v>
      </x:c>
      <x:c r="AE1191" t="n">
        <x:v>0</x:v>
      </x:c>
      <x:c r="AF1191" t="n">
        <x:v>-0.023012489080429077</x:v>
      </x:c>
      <x:c r="AG1191" t="n">
        <x:f>_xlfn.XLOOKUP($A1191,Games!$A$2:$A$18,Games!$B$2:$B$18,"Missing game",0)</x:f>
        <x:v>2025</x:v>
      </x:c>
      <x:c r="AH1191" t="str">
        <x:f>_xlfn.XLOOKUP($A1191,Games!$A$2:$A$18,Games!$C$2:$C$18,"Missing game",0)</x:f>
        <x:v>REG</x:v>
      </x:c>
      <x:c r="AI1191" t="n">
        <x:f>_xlfn.XLOOKUP($A1191,Games!$A$2:$A$18,Games!$D$2:$D$18,"Missing game",0)</x:f>
        <x:v>9</x:v>
      </x:c>
      <x:c r="AJ1191" s="1" t="n">
        <x:f>_xlfn.XLOOKUP($A1191,Games!$A$2:$A$18,Games!$E$2:$E$18,"Missing game",0)</x:f>
        <x:v>45963</x:v>
      </x:c>
      <x:c r="AK1191" t="str">
        <x:f>_xlfn.XLOOKUP($A1191,Games!$A$2:$A$18,Games!$F$2:$F$18,"Missing game",0)</x:f>
        <x:v>Sunday</x:v>
      </x:c>
      <x:c r="AL1191" t="str">
        <x:f>_xlfn.XLOOKUP($A1191,Games!$A$2:$A$18,Games!$G$2:$G$18,"Missing game",0)</x:f>
        <x:v>MIN</x:v>
      </x:c>
      <x:c r="AM1191" t="n">
        <x:f>_xlfn.XLOOKUP($A1191,Games!$A$2:$A$18,Games!$H$2:$H$18,"Missing game",0)</x:f>
        <x:v>27</x:v>
      </x:c>
      <x:c r="AN1191" t="str">
        <x:f>_xlfn.XLOOKUP($A1191,Games!$A$2:$A$18,Games!$I$2:$I$18,"Missing game",0)</x:f>
        <x:v>DET</x:v>
      </x:c>
      <x:c r="AO1191" t="n">
        <x:f>_xlfn.XLOOKUP($A1191,Games!$A$2:$A$18,Games!$J$2:$J$18,"Missing game",0)</x:f>
        <x:v>24</x:v>
      </x:c>
      <x:c r="AP1191" t="n">
        <x:f>_xlfn.XLOOKUP($A1191,Games!$A$2:$A$18,Games!$K$2:$K$18,"Missing game",0)</x:f>
        <x:v>-3</x:v>
      </x:c>
      <x:c r="AQ1191" t="n">
        <x:f>_xlfn.XLOOKUP($A1191,Games!$A$2:$A$18,Games!$L$2:$L$18,"Missing game",0)</x:f>
        <x:v>51</x:v>
      </x:c>
      <x:c r="AR1191" t="n">
        <x:f>_xlfn.XLOOKUP($A1191,Games!$A$2:$A$18,Games!$M$2:$M$18,"Missing game",0)</x:f>
        <x:v>0</x:v>
      </x:c>
      <x:c r="AS1191" t="str">
        <x:f>_xlfn.XLOOKUP($A1191,Games!$A$2:$A$18,Games!$N$2:$N$18,"Missing game",0)</x:f>
        <x:v>dome</x:v>
      </x:c>
      <x:c r="AT1191" t="str">
        <x:f>_xlfn.XLOOKUP($A1191,Games!$A$2:$A$18,Games!$O$2:$O$18,"Missing game",0)</x:f>
        <x:v>fieldturf</x:v>
      </x:c>
      <x:c r="AU1191" t="str">
        <x:f>_xlfn.XLOOKUP($A1191,Games!$A$2:$A$18,Games!$P$2:$P$18,"Missing game",0)</x:f>
      </x:c>
      <x:c r="AV1191" t="str">
        <x:f>_xlfn.XLOOKUP($A1191,Games!$A$2:$A$18,Games!$Q$2:$Q$18,"Missing game",0)</x:f>
      </x:c>
      <x:c r="AW1191" t="str">
        <x:f>_xlfn.XLOOKUP($A1191,Games!$A$2:$A$18,Games!$R$2:$R$18,"Missing game",0)</x:f>
        <x:v>Ford Field</x:v>
      </x:c>
    </x:row>
    <x:row r="1192">
      <x:c r="A1192" t="str">
        <x:v>2025_09_MIN_DET</x:v>
      </x:c>
      <x:c r="B1192" t="n">
        <x:v>318</x:v>
      </x:c>
      <x:c r="C1192" t="n">
        <x:v>1</x:v>
      </x:c>
      <x:c r="D1192" t="str">
        <x:v>11:02</x:v>
      </x:c>
      <x:c r="E1192" t="n">
        <x:v>3</x:v>
      </x:c>
      <x:c r="F1192" t="n">
        <x:v>9</x:v>
      </x:c>
      <x:c r="G1192" t="str">
        <x:v>MIN</x:v>
      </x:c>
      <x:c r="H1192" t="str">
        <x:v>DET</x:v>
      </x:c>
      <x:c r="I1192" t="str">
        <x:v>DET</x:v>
      </x:c>
      <x:c r="J1192" t="n">
        <x:v>24</x:v>
      </x:c>
      <x:c r="K1192" t="str">
        <x:v>(11:02) (Shotgun) 9-J.McCarthy pass short right to 33-A.Jones to DET 10 for 14 yards (12-T.Harper) [97-A.Hutchinson].</x:v>
      </x:c>
      <x:c r="L1192" t="str">
        <x:v>pass</x:v>
      </x:c>
      <x:c r="M1192" t="n">
        <x:v>14</x:v>
      </x:c>
      <x:c r="N1192" t="n">
        <x:v>1</x:v>
      </x:c>
      <x:c r="O1192" t="n">
        <x:v>0</x:v>
      </x:c>
      <x:c r="P1192" t="str">
        <x:v>short</x:v>
      </x:c>
      <x:c r="Q1192" t="str">
        <x:v>right</x:v>
      </x:c>
      <x:c r="R1192" t="n">
        <x:v>-1</x:v>
      </x:c>
      <x:c r="S1192" t="n">
        <x:v>15</x:v>
      </x:c>
      <x:c r="T1192"/>
      <x:c r="U1192"/>
      <x:c r="V1192" t="n">
        <x:v>1</x:v>
      </x:c>
      <x:c r="W1192" t="n">
        <x:v>1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/>
      <x:c r="AC1192" t="n">
        <x:v>0</x:v>
      </x:c>
      <x:c r="AD1192" t="n">
        <x:v>1.6788182976888493</x:v>
      </x:c>
      <x:c r="AE1192" t="n">
        <x:v>1</x:v>
      </x:c>
      <x:c r="AF1192" t="n">
        <x:v>0.04380515217781067</x:v>
      </x:c>
      <x:c r="AG1192" t="n">
        <x:f>_xlfn.XLOOKUP($A1192,Games!$A$2:$A$18,Games!$B$2:$B$18,"Missing game",0)</x:f>
        <x:v>2025</x:v>
      </x:c>
      <x:c r="AH1192" t="str">
        <x:f>_xlfn.XLOOKUP($A1192,Games!$A$2:$A$18,Games!$C$2:$C$18,"Missing game",0)</x:f>
        <x:v>REG</x:v>
      </x:c>
      <x:c r="AI1192" t="n">
        <x:f>_xlfn.XLOOKUP($A1192,Games!$A$2:$A$18,Games!$D$2:$D$18,"Missing game",0)</x:f>
        <x:v>9</x:v>
      </x:c>
      <x:c r="AJ1192" s="1" t="n">
        <x:f>_xlfn.XLOOKUP($A1192,Games!$A$2:$A$18,Games!$E$2:$E$18,"Missing game",0)</x:f>
        <x:v>45963</x:v>
      </x:c>
      <x:c r="AK1192" t="str">
        <x:f>_xlfn.XLOOKUP($A1192,Games!$A$2:$A$18,Games!$F$2:$F$18,"Missing game",0)</x:f>
        <x:v>Sunday</x:v>
      </x:c>
      <x:c r="AL1192" t="str">
        <x:f>_xlfn.XLOOKUP($A1192,Games!$A$2:$A$18,Games!$G$2:$G$18,"Missing game",0)</x:f>
        <x:v>MIN</x:v>
      </x:c>
      <x:c r="AM1192" t="n">
        <x:f>_xlfn.XLOOKUP($A1192,Games!$A$2:$A$18,Games!$H$2:$H$18,"Missing game",0)</x:f>
        <x:v>27</x:v>
      </x:c>
      <x:c r="AN1192" t="str">
        <x:f>_xlfn.XLOOKUP($A1192,Games!$A$2:$A$18,Games!$I$2:$I$18,"Missing game",0)</x:f>
        <x:v>DET</x:v>
      </x:c>
      <x:c r="AO1192" t="n">
        <x:f>_xlfn.XLOOKUP($A1192,Games!$A$2:$A$18,Games!$J$2:$J$18,"Missing game",0)</x:f>
        <x:v>24</x:v>
      </x:c>
      <x:c r="AP1192" t="n">
        <x:f>_xlfn.XLOOKUP($A1192,Games!$A$2:$A$18,Games!$K$2:$K$18,"Missing game",0)</x:f>
        <x:v>-3</x:v>
      </x:c>
      <x:c r="AQ1192" t="n">
        <x:f>_xlfn.XLOOKUP($A1192,Games!$A$2:$A$18,Games!$L$2:$L$18,"Missing game",0)</x:f>
        <x:v>51</x:v>
      </x:c>
      <x:c r="AR1192" t="n">
        <x:f>_xlfn.XLOOKUP($A1192,Games!$A$2:$A$18,Games!$M$2:$M$18,"Missing game",0)</x:f>
        <x:v>0</x:v>
      </x:c>
      <x:c r="AS1192" t="str">
        <x:f>_xlfn.XLOOKUP($A1192,Games!$A$2:$A$18,Games!$N$2:$N$18,"Missing game",0)</x:f>
        <x:v>dome</x:v>
      </x:c>
      <x:c r="AT1192" t="str">
        <x:f>_xlfn.XLOOKUP($A1192,Games!$A$2:$A$18,Games!$O$2:$O$18,"Missing game",0)</x:f>
        <x:v>fieldturf</x:v>
      </x:c>
      <x:c r="AU1192" t="str">
        <x:f>_xlfn.XLOOKUP($A1192,Games!$A$2:$A$18,Games!$P$2:$P$18,"Missing game",0)</x:f>
      </x:c>
      <x:c r="AV1192" t="str">
        <x:f>_xlfn.XLOOKUP($A1192,Games!$A$2:$A$18,Games!$Q$2:$Q$18,"Missing game",0)</x:f>
      </x:c>
      <x:c r="AW1192" t="str">
        <x:f>_xlfn.XLOOKUP($A1192,Games!$A$2:$A$18,Games!$R$2:$R$18,"Missing game",0)</x:f>
        <x:v>Ford Field</x:v>
      </x:c>
    </x:row>
    <x:row r="1193">
      <x:c r="A1193" t="str">
        <x:v>2025_09_MIN_DET</x:v>
      </x:c>
      <x:c r="B1193" t="n">
        <x:v>343</x:v>
      </x:c>
      <x:c r="C1193" t="n">
        <x:v>1</x:v>
      </x:c>
      <x:c r="D1193" t="str">
        <x:v>10:20</x:v>
      </x:c>
      <x:c r="E1193" t="n">
        <x:v>1</x:v>
      </x:c>
      <x:c r="F1193" t="n">
        <x:v>10</x:v>
      </x:c>
      <x:c r="G1193" t="str">
        <x:v>MIN</x:v>
      </x:c>
      <x:c r="H1193" t="str">
        <x:v>DET</x:v>
      </x:c>
      <x:c r="I1193" t="str">
        <x:v>DET</x:v>
      </x:c>
      <x:c r="J1193" t="n">
        <x:v>10</x:v>
      </x:c>
      <x:c r="K1193" t="str">
        <x:v>(10:20) (Shotgun) 9-J.McCarthy pass short right to 18-J.Jefferson for 10 yards, TOUCHDOWN.</x:v>
      </x:c>
      <x:c r="L1193" t="str">
        <x:v>pass</x:v>
      </x:c>
      <x:c r="M1193" t="n">
        <x:v>10</x:v>
      </x:c>
      <x:c r="N1193" t="n">
        <x:v>1</x:v>
      </x:c>
      <x:c r="O1193" t="n">
        <x:v>0</x:v>
      </x:c>
      <x:c r="P1193" t="str">
        <x:v>short</x:v>
      </x:c>
      <x:c r="Q1193" t="str">
        <x:v>right</x:v>
      </x:c>
      <x:c r="R1193" t="n">
        <x:v>10</x:v>
      </x:c>
      <x:c r="S1193" t="n">
        <x:v>0</x:v>
      </x:c>
      <x:c r="T1193"/>
      <x:c r="U1193"/>
      <x:c r="V1193" t="n">
        <x:v>1</x:v>
      </x:c>
      <x:c r="W1193" t="n">
        <x:v>1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/>
      <x:c r="AC1193" t="n">
        <x:v>1</x:v>
      </x:c>
      <x:c r="AD1193" t="n">
        <x:v>1.8166667078621686</x:v>
      </x:c>
      <x:c r="AE1193" t="n">
        <x:v>1</x:v>
      </x:c>
      <x:c r="AF1193" t="n">
        <x:v>0.05989801423127139</x:v>
      </x:c>
      <x:c r="AG1193" t="n">
        <x:f>_xlfn.XLOOKUP($A1193,Games!$A$2:$A$18,Games!$B$2:$B$18,"Missing game",0)</x:f>
        <x:v>2025</x:v>
      </x:c>
      <x:c r="AH1193" t="str">
        <x:f>_xlfn.XLOOKUP($A1193,Games!$A$2:$A$18,Games!$C$2:$C$18,"Missing game",0)</x:f>
        <x:v>REG</x:v>
      </x:c>
      <x:c r="AI1193" t="n">
        <x:f>_xlfn.XLOOKUP($A1193,Games!$A$2:$A$18,Games!$D$2:$D$18,"Missing game",0)</x:f>
        <x:v>9</x:v>
      </x:c>
      <x:c r="AJ1193" s="1" t="n">
        <x:f>_xlfn.XLOOKUP($A1193,Games!$A$2:$A$18,Games!$E$2:$E$18,"Missing game",0)</x:f>
        <x:v>45963</x:v>
      </x:c>
      <x:c r="AK1193" t="str">
        <x:f>_xlfn.XLOOKUP($A1193,Games!$A$2:$A$18,Games!$F$2:$F$18,"Missing game",0)</x:f>
        <x:v>Sunday</x:v>
      </x:c>
      <x:c r="AL1193" t="str">
        <x:f>_xlfn.XLOOKUP($A1193,Games!$A$2:$A$18,Games!$G$2:$G$18,"Missing game",0)</x:f>
        <x:v>MIN</x:v>
      </x:c>
      <x:c r="AM1193" t="n">
        <x:f>_xlfn.XLOOKUP($A1193,Games!$A$2:$A$18,Games!$H$2:$H$18,"Missing game",0)</x:f>
        <x:v>27</x:v>
      </x:c>
      <x:c r="AN1193" t="str">
        <x:f>_xlfn.XLOOKUP($A1193,Games!$A$2:$A$18,Games!$I$2:$I$18,"Missing game",0)</x:f>
        <x:v>DET</x:v>
      </x:c>
      <x:c r="AO1193" t="n">
        <x:f>_xlfn.XLOOKUP($A1193,Games!$A$2:$A$18,Games!$J$2:$J$18,"Missing game",0)</x:f>
        <x:v>24</x:v>
      </x:c>
      <x:c r="AP1193" t="n">
        <x:f>_xlfn.XLOOKUP($A1193,Games!$A$2:$A$18,Games!$K$2:$K$18,"Missing game",0)</x:f>
        <x:v>-3</x:v>
      </x:c>
      <x:c r="AQ1193" t="n">
        <x:f>_xlfn.XLOOKUP($A1193,Games!$A$2:$A$18,Games!$L$2:$L$18,"Missing game",0)</x:f>
        <x:v>51</x:v>
      </x:c>
      <x:c r="AR1193" t="n">
        <x:f>_xlfn.XLOOKUP($A1193,Games!$A$2:$A$18,Games!$M$2:$M$18,"Missing game",0)</x:f>
        <x:v>0</x:v>
      </x:c>
      <x:c r="AS1193" t="str">
        <x:f>_xlfn.XLOOKUP($A1193,Games!$A$2:$A$18,Games!$N$2:$N$18,"Missing game",0)</x:f>
        <x:v>dome</x:v>
      </x:c>
      <x:c r="AT1193" t="str">
        <x:f>_xlfn.XLOOKUP($A1193,Games!$A$2:$A$18,Games!$O$2:$O$18,"Missing game",0)</x:f>
        <x:v>fieldturf</x:v>
      </x:c>
      <x:c r="AU1193" t="str">
        <x:f>_xlfn.XLOOKUP($A1193,Games!$A$2:$A$18,Games!$P$2:$P$18,"Missing game",0)</x:f>
      </x:c>
      <x:c r="AV1193" t="str">
        <x:f>_xlfn.XLOOKUP($A1193,Games!$A$2:$A$18,Games!$Q$2:$Q$18,"Missing game",0)</x:f>
      </x:c>
      <x:c r="AW1193" t="str">
        <x:f>_xlfn.XLOOKUP($A1193,Games!$A$2:$A$18,Games!$R$2:$R$18,"Missing game",0)</x:f>
        <x:v>Ford Field</x:v>
      </x:c>
    </x:row>
    <x:row r="1194">
      <x:c r="A1194" t="str">
        <x:v>2025_09_MIN_DET</x:v>
      </x:c>
      <x:c r="B1194" t="n">
        <x:v>369</x:v>
      </x:c>
      <x:c r="C1194" t="n">
        <x:v>1</x:v>
      </x:c>
      <x:c r="D1194" t="str">
        <x:v>10:17</x:v>
      </x:c>
      <x:c r="E1194"/>
      <x:c r="F1194" t="n">
        <x:v>0</x:v>
      </x:c>
      <x:c r="G1194" t="str">
        <x:v>MIN</x:v>
      </x:c>
      <x:c r="H1194" t="str">
        <x:v>DET</x:v>
      </x:c>
      <x:c r="I1194" t="str">
        <x:v>DET</x:v>
      </x:c>
      <x:c r="J1194" t="n">
        <x:v>15</x:v>
      </x:c>
      <x:c r="K1194" t="str">
        <x:v>16-W.Reichard extra point is GOOD, Center-42-A.DePaola, Holder-17-R.Wright.</x:v>
      </x:c>
      <x:c r="L1194" t="str">
        <x:v>extra_point</x:v>
      </x:c>
      <x:c r="M1194" t="n">
        <x:v>0</x:v>
      </x:c>
      <x:c r="N1194" t="n">
        <x:v>0</x:v>
      </x:c>
      <x:c r="O1194" t="n">
        <x:v>0</x:v>
      </x:c>
      <x:c r="P1194"/>
      <x:c r="Q1194"/>
      <x:c r="R1194"/>
      <x:c r="S1194"/>
      <x:c r="T1194"/>
      <x:c r="U1194"/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/>
      <x:c r="AC1194" t="n">
        <x:v>0</x:v>
      </x:c>
      <x:c r="AD1194" t="n">
        <x:v>0.05117156607063911</x:v>
      </x:c>
      <x:c r="AE1194" t="n">
        <x:v>1</x:v>
      </x:c>
      <x:c r="AF1194" t="n">
        <x:v>0.0016475067896178919</x:v>
      </x:c>
      <x:c r="AG1194" t="n">
        <x:f>_xlfn.XLOOKUP($A1194,Games!$A$2:$A$18,Games!$B$2:$B$18,"Missing game",0)</x:f>
        <x:v>2025</x:v>
      </x:c>
      <x:c r="AH1194" t="str">
        <x:f>_xlfn.XLOOKUP($A1194,Games!$A$2:$A$18,Games!$C$2:$C$18,"Missing game",0)</x:f>
        <x:v>REG</x:v>
      </x:c>
      <x:c r="AI1194" t="n">
        <x:f>_xlfn.XLOOKUP($A1194,Games!$A$2:$A$18,Games!$D$2:$D$18,"Missing game",0)</x:f>
        <x:v>9</x:v>
      </x:c>
      <x:c r="AJ1194" s="1" t="n">
        <x:f>_xlfn.XLOOKUP($A1194,Games!$A$2:$A$18,Games!$E$2:$E$18,"Missing game",0)</x:f>
        <x:v>45963</x:v>
      </x:c>
      <x:c r="AK1194" t="str">
        <x:f>_xlfn.XLOOKUP($A1194,Games!$A$2:$A$18,Games!$F$2:$F$18,"Missing game",0)</x:f>
        <x:v>Sunday</x:v>
      </x:c>
      <x:c r="AL1194" t="str">
        <x:f>_xlfn.XLOOKUP($A1194,Games!$A$2:$A$18,Games!$G$2:$G$18,"Missing game",0)</x:f>
        <x:v>MIN</x:v>
      </x:c>
      <x:c r="AM1194" t="n">
        <x:f>_xlfn.XLOOKUP($A1194,Games!$A$2:$A$18,Games!$H$2:$H$18,"Missing game",0)</x:f>
        <x:v>27</x:v>
      </x:c>
      <x:c r="AN1194" t="str">
        <x:f>_xlfn.XLOOKUP($A1194,Games!$A$2:$A$18,Games!$I$2:$I$18,"Missing game",0)</x:f>
        <x:v>DET</x:v>
      </x:c>
      <x:c r="AO1194" t="n">
        <x:f>_xlfn.XLOOKUP($A1194,Games!$A$2:$A$18,Games!$J$2:$J$18,"Missing game",0)</x:f>
        <x:v>24</x:v>
      </x:c>
      <x:c r="AP1194" t="n">
        <x:f>_xlfn.XLOOKUP($A1194,Games!$A$2:$A$18,Games!$K$2:$K$18,"Missing game",0)</x:f>
        <x:v>-3</x:v>
      </x:c>
      <x:c r="AQ1194" t="n">
        <x:f>_xlfn.XLOOKUP($A1194,Games!$A$2:$A$18,Games!$L$2:$L$18,"Missing game",0)</x:f>
        <x:v>51</x:v>
      </x:c>
      <x:c r="AR1194" t="n">
        <x:f>_xlfn.XLOOKUP($A1194,Games!$A$2:$A$18,Games!$M$2:$M$18,"Missing game",0)</x:f>
        <x:v>0</x:v>
      </x:c>
      <x:c r="AS1194" t="str">
        <x:f>_xlfn.XLOOKUP($A1194,Games!$A$2:$A$18,Games!$N$2:$N$18,"Missing game",0)</x:f>
        <x:v>dome</x:v>
      </x:c>
      <x:c r="AT1194" t="str">
        <x:f>_xlfn.XLOOKUP($A1194,Games!$A$2:$A$18,Games!$O$2:$O$18,"Missing game",0)</x:f>
        <x:v>fieldturf</x:v>
      </x:c>
      <x:c r="AU1194" t="str">
        <x:f>_xlfn.XLOOKUP($A1194,Games!$A$2:$A$18,Games!$P$2:$P$18,"Missing game",0)</x:f>
      </x:c>
      <x:c r="AV1194" t="str">
        <x:f>_xlfn.XLOOKUP($A1194,Games!$A$2:$A$18,Games!$Q$2:$Q$18,"Missing game",0)</x:f>
      </x:c>
      <x:c r="AW1194" t="str">
        <x:f>_xlfn.XLOOKUP($A1194,Games!$A$2:$A$18,Games!$R$2:$R$18,"Missing game",0)</x:f>
        <x:v>Ford Field</x:v>
      </x:c>
    </x:row>
    <x:row r="1195">
      <x:c r="A1195" t="str">
        <x:v>2025_09_MIN_DET</x:v>
      </x:c>
      <x:c r="B1195" t="n">
        <x:v>384</x:v>
      </x:c>
      <x:c r="C1195" t="n">
        <x:v>1</x:v>
      </x:c>
      <x:c r="D1195" t="str">
        <x:v>10:17</x:v>
      </x:c>
      <x:c r="E1195"/>
      <x:c r="F1195" t="n">
        <x:v>0</x:v>
      </x:c>
      <x:c r="G1195" t="str">
        <x:v>DET</x:v>
      </x:c>
      <x:c r="H1195" t="str">
        <x:v>MIN</x:v>
      </x:c>
      <x:c r="I1195" t="str">
        <x:v>MIN</x:v>
      </x:c>
      <x:c r="J1195" t="n">
        <x:v>35</x:v>
      </x:c>
      <x:c r="K1195" t="str">
        <x:v>16-W.Reichard kicks 63 yards from MIN 35 to DET 2. 25-J.Saylors to DET 28 for 26 yards (15-D.Turner).</x:v>
      </x:c>
      <x:c r="L1195" t="str">
        <x:v>kickoff</x:v>
      </x:c>
      <x:c r="M1195" t="n">
        <x:v>0</x:v>
      </x:c>
      <x:c r="N1195" t="n">
        <x:v>0</x:v>
      </x:c>
      <x:c r="O1195" t="n">
        <x:v>0</x:v>
      </x:c>
      <x:c r="P1195"/>
      <x:c r="Q1195"/>
      <x:c r="R1195"/>
      <x:c r="S1195"/>
      <x:c r="T1195"/>
      <x:c r="U1195"/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/>
      <x:c r="AC1195" t="n">
        <x:v>0</x:v>
      </x:c>
      <x:c r="AD1195" t="n">
        <x:v>0.09871405689045787</x:v>
      </x:c>
      <x:c r="AE1195" t="n">
        <x:v>1</x:v>
      </x:c>
      <x:c r="AF1195" t="n">
        <x:v>0.0068395137786865234</x:v>
      </x:c>
      <x:c r="AG1195" t="n">
        <x:f>_xlfn.XLOOKUP($A1195,Games!$A$2:$A$18,Games!$B$2:$B$18,"Missing game",0)</x:f>
        <x:v>2025</x:v>
      </x:c>
      <x:c r="AH1195" t="str">
        <x:f>_xlfn.XLOOKUP($A1195,Games!$A$2:$A$18,Games!$C$2:$C$18,"Missing game",0)</x:f>
        <x:v>REG</x:v>
      </x:c>
      <x:c r="AI1195" t="n">
        <x:f>_xlfn.XLOOKUP($A1195,Games!$A$2:$A$18,Games!$D$2:$D$18,"Missing game",0)</x:f>
        <x:v>9</x:v>
      </x:c>
      <x:c r="AJ1195" s="1" t="n">
        <x:f>_xlfn.XLOOKUP($A1195,Games!$A$2:$A$18,Games!$E$2:$E$18,"Missing game",0)</x:f>
        <x:v>45963</x:v>
      </x:c>
      <x:c r="AK1195" t="str">
        <x:f>_xlfn.XLOOKUP($A1195,Games!$A$2:$A$18,Games!$F$2:$F$18,"Missing game",0)</x:f>
        <x:v>Sunday</x:v>
      </x:c>
      <x:c r="AL1195" t="str">
        <x:f>_xlfn.XLOOKUP($A1195,Games!$A$2:$A$18,Games!$G$2:$G$18,"Missing game",0)</x:f>
        <x:v>MIN</x:v>
      </x:c>
      <x:c r="AM1195" t="n">
        <x:f>_xlfn.XLOOKUP($A1195,Games!$A$2:$A$18,Games!$H$2:$H$18,"Missing game",0)</x:f>
        <x:v>27</x:v>
      </x:c>
      <x:c r="AN1195" t="str">
        <x:f>_xlfn.XLOOKUP($A1195,Games!$A$2:$A$18,Games!$I$2:$I$18,"Missing game",0)</x:f>
        <x:v>DET</x:v>
      </x:c>
      <x:c r="AO1195" t="n">
        <x:f>_xlfn.XLOOKUP($A1195,Games!$A$2:$A$18,Games!$J$2:$J$18,"Missing game",0)</x:f>
        <x:v>24</x:v>
      </x:c>
      <x:c r="AP1195" t="n">
        <x:f>_xlfn.XLOOKUP($A1195,Games!$A$2:$A$18,Games!$K$2:$K$18,"Missing game",0)</x:f>
        <x:v>-3</x:v>
      </x:c>
      <x:c r="AQ1195" t="n">
        <x:f>_xlfn.XLOOKUP($A1195,Games!$A$2:$A$18,Games!$L$2:$L$18,"Missing game",0)</x:f>
        <x:v>51</x:v>
      </x:c>
      <x:c r="AR1195" t="n">
        <x:f>_xlfn.XLOOKUP($A1195,Games!$A$2:$A$18,Games!$M$2:$M$18,"Missing game",0)</x:f>
        <x:v>0</x:v>
      </x:c>
      <x:c r="AS1195" t="str">
        <x:f>_xlfn.XLOOKUP($A1195,Games!$A$2:$A$18,Games!$N$2:$N$18,"Missing game",0)</x:f>
        <x:v>dome</x:v>
      </x:c>
      <x:c r="AT1195" t="str">
        <x:f>_xlfn.XLOOKUP($A1195,Games!$A$2:$A$18,Games!$O$2:$O$18,"Missing game",0)</x:f>
        <x:v>fieldturf</x:v>
      </x:c>
      <x:c r="AU1195" t="str">
        <x:f>_xlfn.XLOOKUP($A1195,Games!$A$2:$A$18,Games!$P$2:$P$18,"Missing game",0)</x:f>
      </x:c>
      <x:c r="AV1195" t="str">
        <x:f>_xlfn.XLOOKUP($A1195,Games!$A$2:$A$18,Games!$Q$2:$Q$18,"Missing game",0)</x:f>
      </x:c>
      <x:c r="AW1195" t="str">
        <x:f>_xlfn.XLOOKUP($A1195,Games!$A$2:$A$18,Games!$R$2:$R$18,"Missing game",0)</x:f>
        <x:v>Ford Field</x:v>
      </x:c>
    </x:row>
    <x:row r="1196">
      <x:c r="A1196" t="str">
        <x:v>2025_09_MIN_DET</x:v>
      </x:c>
      <x:c r="B1196" t="n">
        <x:v>414</x:v>
      </x:c>
      <x:c r="C1196" t="n">
        <x:v>1</x:v>
      </x:c>
      <x:c r="D1196" t="str">
        <x:v>10:12</x:v>
      </x:c>
      <x:c r="E1196" t="n">
        <x:v>1</x:v>
      </x:c>
      <x:c r="F1196" t="n">
        <x:v>10</x:v>
      </x:c>
      <x:c r="G1196" t="str">
        <x:v>DET</x:v>
      </x:c>
      <x:c r="H1196" t="str">
        <x:v>MIN</x:v>
      </x:c>
      <x:c r="I1196" t="str">
        <x:v>DET</x:v>
      </x:c>
      <x:c r="J1196" t="n">
        <x:v>72</x:v>
      </x:c>
      <x:c r="K1196" t="str">
        <x:v>(10:12) 5-D.Montgomery left tackle to DET 30 for 2 yards (97-J.Hargrave; 44-J.Metellus).</x:v>
      </x:c>
      <x:c r="L1196" t="str">
        <x:v>run</x:v>
      </x:c>
      <x:c r="M1196" t="n">
        <x:v>2</x:v>
      </x:c>
      <x:c r="N1196" t="n">
        <x:v>0</x:v>
      </x:c>
      <x:c r="O1196" t="n">
        <x:v>0</x:v>
      </x:c>
      <x:c r="P1196"/>
      <x:c r="Q1196"/>
      <x:c r="R1196"/>
      <x:c r="S1196"/>
      <x:c r="T1196" t="str">
        <x:v>left</x:v>
      </x:c>
      <x:c r="U1196" t="str">
        <x:v>tackle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/>
      <x:c r="AC1196" t="n">
        <x:v>0</x:v>
      </x:c>
      <x:c r="AD1196" t="n">
        <x:v>-0.4133460260927677</x:v>
      </x:c>
      <x:c r="AE1196" t="n">
        <x:v>0</x:v>
      </x:c>
      <x:c r="AF1196" t="n">
        <x:v>-0.018808186054229736</x:v>
      </x:c>
      <x:c r="AG1196" t="n">
        <x:f>_xlfn.XLOOKUP($A1196,Games!$A$2:$A$18,Games!$B$2:$B$18,"Missing game",0)</x:f>
        <x:v>2025</x:v>
      </x:c>
      <x:c r="AH1196" t="str">
        <x:f>_xlfn.XLOOKUP($A1196,Games!$A$2:$A$18,Games!$C$2:$C$18,"Missing game",0)</x:f>
        <x:v>REG</x:v>
      </x:c>
      <x:c r="AI1196" t="n">
        <x:f>_xlfn.XLOOKUP($A1196,Games!$A$2:$A$18,Games!$D$2:$D$18,"Missing game",0)</x:f>
        <x:v>9</x:v>
      </x:c>
      <x:c r="AJ1196" s="1" t="n">
        <x:f>_xlfn.XLOOKUP($A1196,Games!$A$2:$A$18,Games!$E$2:$E$18,"Missing game",0)</x:f>
        <x:v>45963</x:v>
      </x:c>
      <x:c r="AK1196" t="str">
        <x:f>_xlfn.XLOOKUP($A1196,Games!$A$2:$A$18,Games!$F$2:$F$18,"Missing game",0)</x:f>
        <x:v>Sunday</x:v>
      </x:c>
      <x:c r="AL1196" t="str">
        <x:f>_xlfn.XLOOKUP($A1196,Games!$A$2:$A$18,Games!$G$2:$G$18,"Missing game",0)</x:f>
        <x:v>MIN</x:v>
      </x:c>
      <x:c r="AM1196" t="n">
        <x:f>_xlfn.XLOOKUP($A1196,Games!$A$2:$A$18,Games!$H$2:$H$18,"Missing game",0)</x:f>
        <x:v>27</x:v>
      </x:c>
      <x:c r="AN1196" t="str">
        <x:f>_xlfn.XLOOKUP($A1196,Games!$A$2:$A$18,Games!$I$2:$I$18,"Missing game",0)</x:f>
        <x:v>DET</x:v>
      </x:c>
      <x:c r="AO1196" t="n">
        <x:f>_xlfn.XLOOKUP($A1196,Games!$A$2:$A$18,Games!$J$2:$J$18,"Missing game",0)</x:f>
        <x:v>24</x:v>
      </x:c>
      <x:c r="AP1196" t="n">
        <x:f>_xlfn.XLOOKUP($A1196,Games!$A$2:$A$18,Games!$K$2:$K$18,"Missing game",0)</x:f>
        <x:v>-3</x:v>
      </x:c>
      <x:c r="AQ1196" t="n">
        <x:f>_xlfn.XLOOKUP($A1196,Games!$A$2:$A$18,Games!$L$2:$L$18,"Missing game",0)</x:f>
        <x:v>51</x:v>
      </x:c>
      <x:c r="AR1196" t="n">
        <x:f>_xlfn.XLOOKUP($A1196,Games!$A$2:$A$18,Games!$M$2:$M$18,"Missing game",0)</x:f>
        <x:v>0</x:v>
      </x:c>
      <x:c r="AS1196" t="str">
        <x:f>_xlfn.XLOOKUP($A1196,Games!$A$2:$A$18,Games!$N$2:$N$18,"Missing game",0)</x:f>
        <x:v>dome</x:v>
      </x:c>
      <x:c r="AT1196" t="str">
        <x:f>_xlfn.XLOOKUP($A1196,Games!$A$2:$A$18,Games!$O$2:$O$18,"Missing game",0)</x:f>
        <x:v>fieldturf</x:v>
      </x:c>
      <x:c r="AU1196" t="str">
        <x:f>_xlfn.XLOOKUP($A1196,Games!$A$2:$A$18,Games!$P$2:$P$18,"Missing game",0)</x:f>
      </x:c>
      <x:c r="AV1196" t="str">
        <x:f>_xlfn.XLOOKUP($A1196,Games!$A$2:$A$18,Games!$Q$2:$Q$18,"Missing game",0)</x:f>
      </x:c>
      <x:c r="AW1196" t="str">
        <x:f>_xlfn.XLOOKUP($A1196,Games!$A$2:$A$18,Games!$R$2:$R$18,"Missing game",0)</x:f>
        <x:v>Ford Field</x:v>
      </x:c>
    </x:row>
    <x:row r="1197">
      <x:c r="A1197" t="str">
        <x:v>2025_09_MIN_DET</x:v>
      </x:c>
      <x:c r="B1197" t="n">
        <x:v>436</x:v>
      </x:c>
      <x:c r="C1197" t="n">
        <x:v>1</x:v>
      </x:c>
      <x:c r="D1197" t="str">
        <x:v>09:40</x:v>
      </x:c>
      <x:c r="E1197" t="n">
        <x:v>2</x:v>
      </x:c>
      <x:c r="F1197" t="n">
        <x:v>8</x:v>
      </x:c>
      <x:c r="G1197" t="str">
        <x:v>DET</x:v>
      </x:c>
      <x:c r="H1197" t="str">
        <x:v>MIN</x:v>
      </x:c>
      <x:c r="I1197" t="str">
        <x:v>DET</x:v>
      </x:c>
      <x:c r="J1197" t="n">
        <x:v>70</x:v>
      </x:c>
      <x:c r="K1197" t="str">
        <x:v>(9:40) 16-J.Goff pass short right to 0-J.Gibbs to DET 28 for -2 yards (55-E.Wilson, 51-B.Cashman).</x:v>
      </x:c>
      <x:c r="L1197" t="str">
        <x:v>pass</x:v>
      </x:c>
      <x:c r="M1197" t="n">
        <x:v>-2</x:v>
      </x:c>
      <x:c r="N1197" t="n">
        <x:v>0</x:v>
      </x:c>
      <x:c r="O1197" t="n">
        <x:v>0</x:v>
      </x:c>
      <x:c r="P1197" t="str">
        <x:v>short</x:v>
      </x:c>
      <x:c r="Q1197" t="str">
        <x:v>right</x:v>
      </x:c>
      <x:c r="R1197" t="n">
        <x:v>-3</x:v>
      </x:c>
      <x:c r="S1197" t="n">
        <x:v>1</x:v>
      </x:c>
      <x:c r="T1197"/>
      <x:c r="U1197"/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/>
      <x:c r="AC1197" t="n">
        <x:v>0</x:v>
      </x:c>
      <x:c r="AD1197" t="n">
        <x:v>-0.96790402662009</x:v>
      </x:c>
      <x:c r="AE1197" t="n">
        <x:v>0</x:v>
      </x:c>
      <x:c r="AF1197" t="n">
        <x:v>-0.02906644344329834</x:v>
      </x:c>
      <x:c r="AG1197" t="n">
        <x:f>_xlfn.XLOOKUP($A1197,Games!$A$2:$A$18,Games!$B$2:$B$18,"Missing game",0)</x:f>
        <x:v>2025</x:v>
      </x:c>
      <x:c r="AH1197" t="str">
        <x:f>_xlfn.XLOOKUP($A1197,Games!$A$2:$A$18,Games!$C$2:$C$18,"Missing game",0)</x:f>
        <x:v>REG</x:v>
      </x:c>
      <x:c r="AI1197" t="n">
        <x:f>_xlfn.XLOOKUP($A1197,Games!$A$2:$A$18,Games!$D$2:$D$18,"Missing game",0)</x:f>
        <x:v>9</x:v>
      </x:c>
      <x:c r="AJ1197" s="1" t="n">
        <x:f>_xlfn.XLOOKUP($A1197,Games!$A$2:$A$18,Games!$E$2:$E$18,"Missing game",0)</x:f>
        <x:v>45963</x:v>
      </x:c>
      <x:c r="AK1197" t="str">
        <x:f>_xlfn.XLOOKUP($A1197,Games!$A$2:$A$18,Games!$F$2:$F$18,"Missing game",0)</x:f>
        <x:v>Sunday</x:v>
      </x:c>
      <x:c r="AL1197" t="str">
        <x:f>_xlfn.XLOOKUP($A1197,Games!$A$2:$A$18,Games!$G$2:$G$18,"Missing game",0)</x:f>
        <x:v>MIN</x:v>
      </x:c>
      <x:c r="AM1197" t="n">
        <x:f>_xlfn.XLOOKUP($A1197,Games!$A$2:$A$18,Games!$H$2:$H$18,"Missing game",0)</x:f>
        <x:v>27</x:v>
      </x:c>
      <x:c r="AN1197" t="str">
        <x:f>_xlfn.XLOOKUP($A1197,Games!$A$2:$A$18,Games!$I$2:$I$18,"Missing game",0)</x:f>
        <x:v>DET</x:v>
      </x:c>
      <x:c r="AO1197" t="n">
        <x:f>_xlfn.XLOOKUP($A1197,Games!$A$2:$A$18,Games!$J$2:$J$18,"Missing game",0)</x:f>
        <x:v>24</x:v>
      </x:c>
      <x:c r="AP1197" t="n">
        <x:f>_xlfn.XLOOKUP($A1197,Games!$A$2:$A$18,Games!$K$2:$K$18,"Missing game",0)</x:f>
        <x:v>-3</x:v>
      </x:c>
      <x:c r="AQ1197" t="n">
        <x:f>_xlfn.XLOOKUP($A1197,Games!$A$2:$A$18,Games!$L$2:$L$18,"Missing game",0)</x:f>
        <x:v>51</x:v>
      </x:c>
      <x:c r="AR1197" t="n">
        <x:f>_xlfn.XLOOKUP($A1197,Games!$A$2:$A$18,Games!$M$2:$M$18,"Missing game",0)</x:f>
        <x:v>0</x:v>
      </x:c>
      <x:c r="AS1197" t="str">
        <x:f>_xlfn.XLOOKUP($A1197,Games!$A$2:$A$18,Games!$N$2:$N$18,"Missing game",0)</x:f>
        <x:v>dome</x:v>
      </x:c>
      <x:c r="AT1197" t="str">
        <x:f>_xlfn.XLOOKUP($A1197,Games!$A$2:$A$18,Games!$O$2:$O$18,"Missing game",0)</x:f>
        <x:v>fieldturf</x:v>
      </x:c>
      <x:c r="AU1197" t="str">
        <x:f>_xlfn.XLOOKUP($A1197,Games!$A$2:$A$18,Games!$P$2:$P$18,"Missing game",0)</x:f>
      </x:c>
      <x:c r="AV1197" t="str">
        <x:f>_xlfn.XLOOKUP($A1197,Games!$A$2:$A$18,Games!$Q$2:$Q$18,"Missing game",0)</x:f>
      </x:c>
      <x:c r="AW1197" t="str">
        <x:f>_xlfn.XLOOKUP($A1197,Games!$A$2:$A$18,Games!$R$2:$R$18,"Missing game",0)</x:f>
        <x:v>Ford Field</x:v>
      </x:c>
    </x:row>
    <x:row r="1198">
      <x:c r="A1198" t="str">
        <x:v>2025_09_MIN_DET</x:v>
      </x:c>
      <x:c r="B1198" t="n">
        <x:v>461</x:v>
      </x:c>
      <x:c r="C1198" t="n">
        <x:v>1</x:v>
      </x:c>
      <x:c r="D1198" t="str">
        <x:v>08:51</x:v>
      </x:c>
      <x:c r="E1198" t="n">
        <x:v>3</x:v>
      </x:c>
      <x:c r="F1198" t="n">
        <x:v>10</x:v>
      </x:c>
      <x:c r="G1198" t="str">
        <x:v>DET</x:v>
      </x:c>
      <x:c r="H1198" t="str">
        <x:v>MIN</x:v>
      </x:c>
      <x:c r="I1198" t="str">
        <x:v>DET</x:v>
      </x:c>
      <x:c r="J1198" t="n">
        <x:v>72</x:v>
      </x:c>
      <x:c r="K1198" t="str">
        <x:v>(8:51) (Shotgun) PENALTY on DET-87-S.LaPorta, False Start, 5 yards, enforced at DET 28 - No Play.</x:v>
      </x:c>
      <x:c r="L1198" t="str">
        <x:v>no_play</x:v>
      </x:c>
      <x:c r="M1198" t="n">
        <x:v>0</x:v>
      </x:c>
      <x:c r="N1198" t="n">
        <x:v>1</x:v>
      </x:c>
      <x:c r="O1198" t="n">
        <x:v>0</x:v>
      </x:c>
      <x:c r="P1198"/>
      <x:c r="Q1198"/>
      <x:c r="R1198"/>
      <x:c r="S1198"/>
      <x:c r="T1198"/>
      <x:c r="U1198"/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1</x:v>
      </x:c>
      <x:c r="AB1198" t="n">
        <x:v>5</x:v>
      </x:c>
      <x:c r="AC1198" t="n">
        <x:v>0</x:v>
      </x:c>
      <x:c r="AD1198" t="n">
        <x:v>-0.9926813743077219</x:v>
      </x:c>
      <x:c r="AE1198" t="n">
        <x:v>0</x:v>
      </x:c>
      <x:c r="AF1198" t="n">
        <x:v>-0.01693287491798401</x:v>
      </x:c>
      <x:c r="AG1198" t="n">
        <x:f>_xlfn.XLOOKUP($A1198,Games!$A$2:$A$18,Games!$B$2:$B$18,"Missing game",0)</x:f>
        <x:v>2025</x:v>
      </x:c>
      <x:c r="AH1198" t="str">
        <x:f>_xlfn.XLOOKUP($A1198,Games!$A$2:$A$18,Games!$C$2:$C$18,"Missing game",0)</x:f>
        <x:v>REG</x:v>
      </x:c>
      <x:c r="AI1198" t="n">
        <x:f>_xlfn.XLOOKUP($A1198,Games!$A$2:$A$18,Games!$D$2:$D$18,"Missing game",0)</x:f>
        <x:v>9</x:v>
      </x:c>
      <x:c r="AJ1198" s="1" t="n">
        <x:f>_xlfn.XLOOKUP($A1198,Games!$A$2:$A$18,Games!$E$2:$E$18,"Missing game",0)</x:f>
        <x:v>45963</x:v>
      </x:c>
      <x:c r="AK1198" t="str">
        <x:f>_xlfn.XLOOKUP($A1198,Games!$A$2:$A$18,Games!$F$2:$F$18,"Missing game",0)</x:f>
        <x:v>Sunday</x:v>
      </x:c>
      <x:c r="AL1198" t="str">
        <x:f>_xlfn.XLOOKUP($A1198,Games!$A$2:$A$18,Games!$G$2:$G$18,"Missing game",0)</x:f>
        <x:v>MIN</x:v>
      </x:c>
      <x:c r="AM1198" t="n">
        <x:f>_xlfn.XLOOKUP($A1198,Games!$A$2:$A$18,Games!$H$2:$H$18,"Missing game",0)</x:f>
        <x:v>27</x:v>
      </x:c>
      <x:c r="AN1198" t="str">
        <x:f>_xlfn.XLOOKUP($A1198,Games!$A$2:$A$18,Games!$I$2:$I$18,"Missing game",0)</x:f>
        <x:v>DET</x:v>
      </x:c>
      <x:c r="AO1198" t="n">
        <x:f>_xlfn.XLOOKUP($A1198,Games!$A$2:$A$18,Games!$J$2:$J$18,"Missing game",0)</x:f>
        <x:v>24</x:v>
      </x:c>
      <x:c r="AP1198" t="n">
        <x:f>_xlfn.XLOOKUP($A1198,Games!$A$2:$A$18,Games!$K$2:$K$18,"Missing game",0)</x:f>
        <x:v>-3</x:v>
      </x:c>
      <x:c r="AQ1198" t="n">
        <x:f>_xlfn.XLOOKUP($A1198,Games!$A$2:$A$18,Games!$L$2:$L$18,"Missing game",0)</x:f>
        <x:v>51</x:v>
      </x:c>
      <x:c r="AR1198" t="n">
        <x:f>_xlfn.XLOOKUP($A1198,Games!$A$2:$A$18,Games!$M$2:$M$18,"Missing game",0)</x:f>
        <x:v>0</x:v>
      </x:c>
      <x:c r="AS1198" t="str">
        <x:f>_xlfn.XLOOKUP($A1198,Games!$A$2:$A$18,Games!$N$2:$N$18,"Missing game",0)</x:f>
        <x:v>dome</x:v>
      </x:c>
      <x:c r="AT1198" t="str">
        <x:f>_xlfn.XLOOKUP($A1198,Games!$A$2:$A$18,Games!$O$2:$O$18,"Missing game",0)</x:f>
        <x:v>fieldturf</x:v>
      </x:c>
      <x:c r="AU1198" t="str">
        <x:f>_xlfn.XLOOKUP($A1198,Games!$A$2:$A$18,Games!$P$2:$P$18,"Missing game",0)</x:f>
      </x:c>
      <x:c r="AV1198" t="str">
        <x:f>_xlfn.XLOOKUP($A1198,Games!$A$2:$A$18,Games!$Q$2:$Q$18,"Missing game",0)</x:f>
      </x:c>
      <x:c r="AW1198" t="str">
        <x:f>_xlfn.XLOOKUP($A1198,Games!$A$2:$A$18,Games!$R$2:$R$18,"Missing game",0)</x:f>
        <x:v>Ford Field</x:v>
      </x:c>
    </x:row>
    <x:row r="1199">
      <x:c r="A1199" t="str">
        <x:v>2025_09_MIN_DET</x:v>
      </x:c>
      <x:c r="B1199" t="n">
        <x:v>485</x:v>
      </x:c>
      <x:c r="C1199" t="n">
        <x:v>1</x:v>
      </x:c>
      <x:c r="D1199" t="str">
        <x:v>08:38</x:v>
      </x:c>
      <x:c r="E1199" t="n">
        <x:v>3</x:v>
      </x:c>
      <x:c r="F1199" t="n">
        <x:v>15</x:v>
      </x:c>
      <x:c r="G1199" t="str">
        <x:v>DET</x:v>
      </x:c>
      <x:c r="H1199" t="str">
        <x:v>MIN</x:v>
      </x:c>
      <x:c r="I1199" t="str">
        <x:v>DET</x:v>
      </x:c>
      <x:c r="J1199" t="n">
        <x:v>77</x:v>
      </x:c>
      <x:c r="K1199" t="str">
        <x:v>(8:38) (Shotgun) 16-J.Goff pass short left to 1-J.Williams to DET 21 for -2 yards (58-J.Greenard).</x:v>
      </x:c>
      <x:c r="L1199" t="str">
        <x:v>pass</x:v>
      </x:c>
      <x:c r="M1199" t="n">
        <x:v>-2</x:v>
      </x:c>
      <x:c r="N1199" t="n">
        <x:v>1</x:v>
      </x:c>
      <x:c r="O1199" t="n">
        <x:v>0</x:v>
      </x:c>
      <x:c r="P1199" t="str">
        <x:v>short</x:v>
      </x:c>
      <x:c r="Q1199" t="str">
        <x:v>left</x:v>
      </x:c>
      <x:c r="R1199" t="n">
        <x:v>-4</x:v>
      </x:c>
      <x:c r="S1199" t="n">
        <x:v>2</x:v>
      </x:c>
      <x:c r="T1199"/>
      <x:c r="U1199"/>
      <x:c r="V1199" t="n">
        <x:v>1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/>
      <x:c r="AC1199" t="n">
        <x:v>0</x:v>
      </x:c>
      <x:c r="AD1199" t="n">
        <x:v>-1.2532407674007118</x:v>
      </x:c>
      <x:c r="AE1199" t="n">
        <x:v>0</x:v>
      </x:c>
      <x:c r="AF1199" t="n">
        <x:v>-0.0365387499332428</x:v>
      </x:c>
      <x:c r="AG1199" t="n">
        <x:f>_xlfn.XLOOKUP($A1199,Games!$A$2:$A$18,Games!$B$2:$B$18,"Missing game",0)</x:f>
        <x:v>2025</x:v>
      </x:c>
      <x:c r="AH1199" t="str">
        <x:f>_xlfn.XLOOKUP($A1199,Games!$A$2:$A$18,Games!$C$2:$C$18,"Missing game",0)</x:f>
        <x:v>REG</x:v>
      </x:c>
      <x:c r="AI1199" t="n">
        <x:f>_xlfn.XLOOKUP($A1199,Games!$A$2:$A$18,Games!$D$2:$D$18,"Missing game",0)</x:f>
        <x:v>9</x:v>
      </x:c>
      <x:c r="AJ1199" s="1" t="n">
        <x:f>_xlfn.XLOOKUP($A1199,Games!$A$2:$A$18,Games!$E$2:$E$18,"Missing game",0)</x:f>
        <x:v>45963</x:v>
      </x:c>
      <x:c r="AK1199" t="str">
        <x:f>_xlfn.XLOOKUP($A1199,Games!$A$2:$A$18,Games!$F$2:$F$18,"Missing game",0)</x:f>
        <x:v>Sunday</x:v>
      </x:c>
      <x:c r="AL1199" t="str">
        <x:f>_xlfn.XLOOKUP($A1199,Games!$A$2:$A$18,Games!$G$2:$G$18,"Missing game",0)</x:f>
        <x:v>MIN</x:v>
      </x:c>
      <x:c r="AM1199" t="n">
        <x:f>_xlfn.XLOOKUP($A1199,Games!$A$2:$A$18,Games!$H$2:$H$18,"Missing game",0)</x:f>
        <x:v>27</x:v>
      </x:c>
      <x:c r="AN1199" t="str">
        <x:f>_xlfn.XLOOKUP($A1199,Games!$A$2:$A$18,Games!$I$2:$I$18,"Missing game",0)</x:f>
        <x:v>DET</x:v>
      </x:c>
      <x:c r="AO1199" t="n">
        <x:f>_xlfn.XLOOKUP($A1199,Games!$A$2:$A$18,Games!$J$2:$J$18,"Missing game",0)</x:f>
        <x:v>24</x:v>
      </x:c>
      <x:c r="AP1199" t="n">
        <x:f>_xlfn.XLOOKUP($A1199,Games!$A$2:$A$18,Games!$K$2:$K$18,"Missing game",0)</x:f>
        <x:v>-3</x:v>
      </x:c>
      <x:c r="AQ1199" t="n">
        <x:f>_xlfn.XLOOKUP($A1199,Games!$A$2:$A$18,Games!$L$2:$L$18,"Missing game",0)</x:f>
        <x:v>51</x:v>
      </x:c>
      <x:c r="AR1199" t="n">
        <x:f>_xlfn.XLOOKUP($A1199,Games!$A$2:$A$18,Games!$M$2:$M$18,"Missing game",0)</x:f>
        <x:v>0</x:v>
      </x:c>
      <x:c r="AS1199" t="str">
        <x:f>_xlfn.XLOOKUP($A1199,Games!$A$2:$A$18,Games!$N$2:$N$18,"Missing game",0)</x:f>
        <x:v>dome</x:v>
      </x:c>
      <x:c r="AT1199" t="str">
        <x:f>_xlfn.XLOOKUP($A1199,Games!$A$2:$A$18,Games!$O$2:$O$18,"Missing game",0)</x:f>
        <x:v>fieldturf</x:v>
      </x:c>
      <x:c r="AU1199" t="str">
        <x:f>_xlfn.XLOOKUP($A1199,Games!$A$2:$A$18,Games!$P$2:$P$18,"Missing game",0)</x:f>
      </x:c>
      <x:c r="AV1199" t="str">
        <x:f>_xlfn.XLOOKUP($A1199,Games!$A$2:$A$18,Games!$Q$2:$Q$18,"Missing game",0)</x:f>
      </x:c>
      <x:c r="AW1199" t="str">
        <x:f>_xlfn.XLOOKUP($A1199,Games!$A$2:$A$18,Games!$R$2:$R$18,"Missing game",0)</x:f>
        <x:v>Ford Field</x:v>
      </x:c>
    </x:row>
    <x:row r="1200">
      <x:c r="A1200" t="str">
        <x:v>2025_09_MIN_DET</x:v>
      </x:c>
      <x:c r="B1200" t="n">
        <x:v>510</x:v>
      </x:c>
      <x:c r="C1200" t="n">
        <x:v>1</x:v>
      </x:c>
      <x:c r="D1200" t="str">
        <x:v>07:58</x:v>
      </x:c>
      <x:c r="E1200" t="n">
        <x:v>4</x:v>
      </x:c>
      <x:c r="F1200" t="n">
        <x:v>17</x:v>
      </x:c>
      <x:c r="G1200" t="str">
        <x:v>DET</x:v>
      </x:c>
      <x:c r="H1200" t="str">
        <x:v>MIN</x:v>
      </x:c>
      <x:c r="I1200" t="str">
        <x:v>DET</x:v>
      </x:c>
      <x:c r="J1200" t="n">
        <x:v>79</x:v>
      </x:c>
      <x:c r="K1200" t="str">
        <x:v>(7:58) 3-J.Fox punts 43 yards to MIN 36, Center-49-H.Hatten, downed by DET-18-I.TeSlaa.</x:v>
      </x:c>
      <x:c r="L1200" t="str">
        <x:v>punt</x:v>
      </x:c>
      <x:c r="M1200" t="n">
        <x:v>0</x:v>
      </x:c>
      <x:c r="N1200" t="n">
        <x:v>0</x:v>
      </x:c>
      <x:c r="O1200" t="n">
        <x:v>0</x:v>
      </x:c>
      <x:c r="P1200"/>
      <x:c r="Q1200"/>
      <x:c r="R1200"/>
      <x:c r="S1200"/>
      <x:c r="T1200"/>
      <x:c r="U1200"/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/>
      <x:c r="AC1200" t="n">
        <x:v>0</x:v>
      </x:c>
      <x:c r="AD1200" t="n">
        <x:v>0.08202830096706748</x:v>
      </x:c>
      <x:c r="AE1200" t="n">
        <x:v>1</x:v>
      </x:c>
      <x:c r="AF1200" t="n">
        <x:v>0.0238492488861084</x:v>
      </x:c>
      <x:c r="AG1200" t="n">
        <x:f>_xlfn.XLOOKUP($A1200,Games!$A$2:$A$18,Games!$B$2:$B$18,"Missing game",0)</x:f>
        <x:v>2025</x:v>
      </x:c>
      <x:c r="AH1200" t="str">
        <x:f>_xlfn.XLOOKUP($A1200,Games!$A$2:$A$18,Games!$C$2:$C$18,"Missing game",0)</x:f>
        <x:v>REG</x:v>
      </x:c>
      <x:c r="AI1200" t="n">
        <x:f>_xlfn.XLOOKUP($A1200,Games!$A$2:$A$18,Games!$D$2:$D$18,"Missing game",0)</x:f>
        <x:v>9</x:v>
      </x:c>
      <x:c r="AJ1200" s="1" t="n">
        <x:f>_xlfn.XLOOKUP($A1200,Games!$A$2:$A$18,Games!$E$2:$E$18,"Missing game",0)</x:f>
        <x:v>45963</x:v>
      </x:c>
      <x:c r="AK1200" t="str">
        <x:f>_xlfn.XLOOKUP($A1200,Games!$A$2:$A$18,Games!$F$2:$F$18,"Missing game",0)</x:f>
        <x:v>Sunday</x:v>
      </x:c>
      <x:c r="AL1200" t="str">
        <x:f>_xlfn.XLOOKUP($A1200,Games!$A$2:$A$18,Games!$G$2:$G$18,"Missing game",0)</x:f>
        <x:v>MIN</x:v>
      </x:c>
      <x:c r="AM1200" t="n">
        <x:f>_xlfn.XLOOKUP($A1200,Games!$A$2:$A$18,Games!$H$2:$H$18,"Missing game",0)</x:f>
        <x:v>27</x:v>
      </x:c>
      <x:c r="AN1200" t="str">
        <x:f>_xlfn.XLOOKUP($A1200,Games!$A$2:$A$18,Games!$I$2:$I$18,"Missing game",0)</x:f>
        <x:v>DET</x:v>
      </x:c>
      <x:c r="AO1200" t="n">
        <x:f>_xlfn.XLOOKUP($A1200,Games!$A$2:$A$18,Games!$J$2:$J$18,"Missing game",0)</x:f>
        <x:v>24</x:v>
      </x:c>
      <x:c r="AP1200" t="n">
        <x:f>_xlfn.XLOOKUP($A1200,Games!$A$2:$A$18,Games!$K$2:$K$18,"Missing game",0)</x:f>
        <x:v>-3</x:v>
      </x:c>
      <x:c r="AQ1200" t="n">
        <x:f>_xlfn.XLOOKUP($A1200,Games!$A$2:$A$18,Games!$L$2:$L$18,"Missing game",0)</x:f>
        <x:v>51</x:v>
      </x:c>
      <x:c r="AR1200" t="n">
        <x:f>_xlfn.XLOOKUP($A1200,Games!$A$2:$A$18,Games!$M$2:$M$18,"Missing game",0)</x:f>
        <x:v>0</x:v>
      </x:c>
      <x:c r="AS1200" t="str">
        <x:f>_xlfn.XLOOKUP($A1200,Games!$A$2:$A$18,Games!$N$2:$N$18,"Missing game",0)</x:f>
        <x:v>dome</x:v>
      </x:c>
      <x:c r="AT1200" t="str">
        <x:f>_xlfn.XLOOKUP($A1200,Games!$A$2:$A$18,Games!$O$2:$O$18,"Missing game",0)</x:f>
        <x:v>fieldturf</x:v>
      </x:c>
      <x:c r="AU1200" t="str">
        <x:f>_xlfn.XLOOKUP($A1200,Games!$A$2:$A$18,Games!$P$2:$P$18,"Missing game",0)</x:f>
      </x:c>
      <x:c r="AV1200" t="str">
        <x:f>_xlfn.XLOOKUP($A1200,Games!$A$2:$A$18,Games!$Q$2:$Q$18,"Missing game",0)</x:f>
      </x:c>
      <x:c r="AW1200" t="str">
        <x:f>_xlfn.XLOOKUP($A1200,Games!$A$2:$A$18,Games!$R$2:$R$18,"Missing game",0)</x:f>
        <x:v>Ford Field</x:v>
      </x:c>
    </x:row>
    <x:row r="1201">
      <x:c r="A1201" t="str">
        <x:v>2025_09_MIN_DET</x:v>
      </x:c>
      <x:c r="B1201" t="n">
        <x:v>530</x:v>
      </x:c>
      <x:c r="C1201" t="n">
        <x:v>1</x:v>
      </x:c>
      <x:c r="D1201" t="str">
        <x:v>07:48</x:v>
      </x:c>
      <x:c r="E1201" t="n">
        <x:v>1</x:v>
      </x:c>
      <x:c r="F1201" t="n">
        <x:v>10</x:v>
      </x:c>
      <x:c r="G1201" t="str">
        <x:v>MIN</x:v>
      </x:c>
      <x:c r="H1201" t="str">
        <x:v>DET</x:v>
      </x:c>
      <x:c r="I1201" t="str">
        <x:v>MIN</x:v>
      </x:c>
      <x:c r="J1201" t="n">
        <x:v>64</x:v>
      </x:c>
      <x:c r="K1201" t="str">
        <x:v>(7:48) 33-A.Jones up the middle to 50 for 14 yards (12-T.Harper).</x:v>
      </x:c>
      <x:c r="L1201" t="str">
        <x:v>run</x:v>
      </x:c>
      <x:c r="M1201" t="n">
        <x:v>14</x:v>
      </x:c>
      <x:c r="N1201" t="n">
        <x:v>0</x:v>
      </x:c>
      <x:c r="O1201" t="n">
        <x:v>0</x:v>
      </x:c>
      <x:c r="P1201"/>
      <x:c r="Q1201"/>
      <x:c r="R1201"/>
      <x:c r="S1201"/>
      <x:c r="T1201" t="str">
        <x:v>middle</x:v>
      </x:c>
      <x:c r="U1201"/>
      <x:c r="V1201" t="n">
        <x:v>0</x:v>
      </x:c>
      <x:c r="W1201" t="n">
        <x:v>1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/>
      <x:c r="AC1201" t="n">
        <x:v>0</x:v>
      </x:c>
      <x:c r="AD1201" t="n">
        <x:v>0.9260956924408674</x:v>
      </x:c>
      <x:c r="AE1201" t="n">
        <x:v>1</x:v>
      </x:c>
      <x:c r="AF1201" t="n">
        <x:v>0.025186777114868164</x:v>
      </x:c>
      <x:c r="AG1201" t="n">
        <x:f>_xlfn.XLOOKUP($A1201,Games!$A$2:$A$18,Games!$B$2:$B$18,"Missing game",0)</x:f>
        <x:v>2025</x:v>
      </x:c>
      <x:c r="AH1201" t="str">
        <x:f>_xlfn.XLOOKUP($A1201,Games!$A$2:$A$18,Games!$C$2:$C$18,"Missing game",0)</x:f>
        <x:v>REG</x:v>
      </x:c>
      <x:c r="AI1201" t="n">
        <x:f>_xlfn.XLOOKUP($A1201,Games!$A$2:$A$18,Games!$D$2:$D$18,"Missing game",0)</x:f>
        <x:v>9</x:v>
      </x:c>
      <x:c r="AJ1201" s="1" t="n">
        <x:f>_xlfn.XLOOKUP($A1201,Games!$A$2:$A$18,Games!$E$2:$E$18,"Missing game",0)</x:f>
        <x:v>45963</x:v>
      </x:c>
      <x:c r="AK1201" t="str">
        <x:f>_xlfn.XLOOKUP($A1201,Games!$A$2:$A$18,Games!$F$2:$F$18,"Missing game",0)</x:f>
        <x:v>Sunday</x:v>
      </x:c>
      <x:c r="AL1201" t="str">
        <x:f>_xlfn.XLOOKUP($A1201,Games!$A$2:$A$18,Games!$G$2:$G$18,"Missing game",0)</x:f>
        <x:v>MIN</x:v>
      </x:c>
      <x:c r="AM1201" t="n">
        <x:f>_xlfn.XLOOKUP($A1201,Games!$A$2:$A$18,Games!$H$2:$H$18,"Missing game",0)</x:f>
        <x:v>27</x:v>
      </x:c>
      <x:c r="AN1201" t="str">
        <x:f>_xlfn.XLOOKUP($A1201,Games!$A$2:$A$18,Games!$I$2:$I$18,"Missing game",0)</x:f>
        <x:v>DET</x:v>
      </x:c>
      <x:c r="AO1201" t="n">
        <x:f>_xlfn.XLOOKUP($A1201,Games!$A$2:$A$18,Games!$J$2:$J$18,"Missing game",0)</x:f>
        <x:v>24</x:v>
      </x:c>
      <x:c r="AP1201" t="n">
        <x:f>_xlfn.XLOOKUP($A1201,Games!$A$2:$A$18,Games!$K$2:$K$18,"Missing game",0)</x:f>
        <x:v>-3</x:v>
      </x:c>
      <x:c r="AQ1201" t="n">
        <x:f>_xlfn.XLOOKUP($A1201,Games!$A$2:$A$18,Games!$L$2:$L$18,"Missing game",0)</x:f>
        <x:v>51</x:v>
      </x:c>
      <x:c r="AR1201" t="n">
        <x:f>_xlfn.XLOOKUP($A1201,Games!$A$2:$A$18,Games!$M$2:$M$18,"Missing game",0)</x:f>
        <x:v>0</x:v>
      </x:c>
      <x:c r="AS1201" t="str">
        <x:f>_xlfn.XLOOKUP($A1201,Games!$A$2:$A$18,Games!$N$2:$N$18,"Missing game",0)</x:f>
        <x:v>dome</x:v>
      </x:c>
      <x:c r="AT1201" t="str">
        <x:f>_xlfn.XLOOKUP($A1201,Games!$A$2:$A$18,Games!$O$2:$O$18,"Missing game",0)</x:f>
        <x:v>fieldturf</x:v>
      </x:c>
      <x:c r="AU1201" t="str">
        <x:f>_xlfn.XLOOKUP($A1201,Games!$A$2:$A$18,Games!$P$2:$P$18,"Missing game",0)</x:f>
      </x:c>
      <x:c r="AV1201" t="str">
        <x:f>_xlfn.XLOOKUP($A1201,Games!$A$2:$A$18,Games!$Q$2:$Q$18,"Missing game",0)</x:f>
      </x:c>
      <x:c r="AW1201" t="str">
        <x:f>_xlfn.XLOOKUP($A1201,Games!$A$2:$A$18,Games!$R$2:$R$18,"Missing game",0)</x:f>
        <x:v>Ford Field</x:v>
      </x:c>
    </x:row>
    <x:row r="1202">
      <x:c r="A1202" t="str">
        <x:v>2025_09_MIN_DET</x:v>
      </x:c>
      <x:c r="B1202" t="n">
        <x:v>559</x:v>
      </x:c>
      <x:c r="C1202" t="n">
        <x:v>1</x:v>
      </x:c>
      <x:c r="D1202" t="str">
        <x:v>07:03</x:v>
      </x:c>
      <x:c r="E1202" t="n">
        <x:v>1</x:v>
      </x:c>
      <x:c r="F1202" t="n">
        <x:v>10</x:v>
      </x:c>
      <x:c r="G1202" t="str">
        <x:v>MIN</x:v>
      </x:c>
      <x:c r="H1202" t="str">
        <x:v>DET</x:v>
      </x:c>
      <x:c r="I1202" t="str">
        <x:v>50</x:v>
      </x:c>
      <x:c r="J1202" t="n">
        <x:v>50</x:v>
      </x:c>
      <x:c r="K1202" t="str">
        <x:v>(7:03) 9-J.McCarthy pass short middle to 33-A.Jones to DET 44 for 6 yards (34-A.Anzalone; 46-J.Campbell).</x:v>
      </x:c>
      <x:c r="L1202" t="str">
        <x:v>pass</x:v>
      </x:c>
      <x:c r="M1202" t="n">
        <x:v>6</x:v>
      </x:c>
      <x:c r="N1202" t="n">
        <x:v>0</x:v>
      </x:c>
      <x:c r="O1202" t="n">
        <x:v>0</x:v>
      </x:c>
      <x:c r="P1202" t="str">
        <x:v>short</x:v>
      </x:c>
      <x:c r="Q1202" t="str">
        <x:v>middle</x:v>
      </x:c>
      <x:c r="R1202" t="n">
        <x:v>1</x:v>
      </x:c>
      <x:c r="S1202" t="n">
        <x:v>5</x:v>
      </x:c>
      <x:c r="T1202"/>
      <x:c r="U1202"/>
      <x:c r="V1202" t="n">
        <x:v>1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/>
      <x:c r="AC1202" t="n">
        <x:v>0</x:v>
      </x:c>
      <x:c r="AD1202" t="n">
        <x:v>0.1896207903046161</x:v>
      </x:c>
      <x:c r="AE1202" t="n">
        <x:v>1</x:v>
      </x:c>
      <x:c r="AF1202" t="n">
        <x:v>-0.0069155097007751465</x:v>
      </x:c>
      <x:c r="AG1202" t="n">
        <x:f>_xlfn.XLOOKUP($A1202,Games!$A$2:$A$18,Games!$B$2:$B$18,"Missing game",0)</x:f>
        <x:v>2025</x:v>
      </x:c>
      <x:c r="AH1202" t="str">
        <x:f>_xlfn.XLOOKUP($A1202,Games!$A$2:$A$18,Games!$C$2:$C$18,"Missing game",0)</x:f>
        <x:v>REG</x:v>
      </x:c>
      <x:c r="AI1202" t="n">
        <x:f>_xlfn.XLOOKUP($A1202,Games!$A$2:$A$18,Games!$D$2:$D$18,"Missing game",0)</x:f>
        <x:v>9</x:v>
      </x:c>
      <x:c r="AJ1202" s="1" t="n">
        <x:f>_xlfn.XLOOKUP($A1202,Games!$A$2:$A$18,Games!$E$2:$E$18,"Missing game",0)</x:f>
        <x:v>45963</x:v>
      </x:c>
      <x:c r="AK1202" t="str">
        <x:f>_xlfn.XLOOKUP($A1202,Games!$A$2:$A$18,Games!$F$2:$F$18,"Missing game",0)</x:f>
        <x:v>Sunday</x:v>
      </x:c>
      <x:c r="AL1202" t="str">
        <x:f>_xlfn.XLOOKUP($A1202,Games!$A$2:$A$18,Games!$G$2:$G$18,"Missing game",0)</x:f>
        <x:v>MIN</x:v>
      </x:c>
      <x:c r="AM1202" t="n">
        <x:f>_xlfn.XLOOKUP($A1202,Games!$A$2:$A$18,Games!$H$2:$H$18,"Missing game",0)</x:f>
        <x:v>27</x:v>
      </x:c>
      <x:c r="AN1202" t="str">
        <x:f>_xlfn.XLOOKUP($A1202,Games!$A$2:$A$18,Games!$I$2:$I$18,"Missing game",0)</x:f>
        <x:v>DET</x:v>
      </x:c>
      <x:c r="AO1202" t="n">
        <x:f>_xlfn.XLOOKUP($A1202,Games!$A$2:$A$18,Games!$J$2:$J$18,"Missing game",0)</x:f>
        <x:v>24</x:v>
      </x:c>
      <x:c r="AP1202" t="n">
        <x:f>_xlfn.XLOOKUP($A1202,Games!$A$2:$A$18,Games!$K$2:$K$18,"Missing game",0)</x:f>
        <x:v>-3</x:v>
      </x:c>
      <x:c r="AQ1202" t="n">
        <x:f>_xlfn.XLOOKUP($A1202,Games!$A$2:$A$18,Games!$L$2:$L$18,"Missing game",0)</x:f>
        <x:v>51</x:v>
      </x:c>
      <x:c r="AR1202" t="n">
        <x:f>_xlfn.XLOOKUP($A1202,Games!$A$2:$A$18,Games!$M$2:$M$18,"Missing game",0)</x:f>
        <x:v>0</x:v>
      </x:c>
      <x:c r="AS1202" t="str">
        <x:f>_xlfn.XLOOKUP($A1202,Games!$A$2:$A$18,Games!$N$2:$N$18,"Missing game",0)</x:f>
        <x:v>dome</x:v>
      </x:c>
      <x:c r="AT1202" t="str">
        <x:f>_xlfn.XLOOKUP($A1202,Games!$A$2:$A$18,Games!$O$2:$O$18,"Missing game",0)</x:f>
        <x:v>fieldturf</x:v>
      </x:c>
      <x:c r="AU1202" t="str">
        <x:f>_xlfn.XLOOKUP($A1202,Games!$A$2:$A$18,Games!$P$2:$P$18,"Missing game",0)</x:f>
      </x:c>
      <x:c r="AV1202" t="str">
        <x:f>_xlfn.XLOOKUP($A1202,Games!$A$2:$A$18,Games!$Q$2:$Q$18,"Missing game",0)</x:f>
      </x:c>
      <x:c r="AW1202" t="str">
        <x:f>_xlfn.XLOOKUP($A1202,Games!$A$2:$A$18,Games!$R$2:$R$18,"Missing game",0)</x:f>
        <x:v>Ford Field</x:v>
      </x:c>
    </x:row>
    <x:row r="1203">
      <x:c r="A1203" t="str">
        <x:v>2025_09_MIN_DET</x:v>
      </x:c>
      <x:c r="B1203" t="n">
        <x:v>584</x:v>
      </x:c>
      <x:c r="C1203" t="n">
        <x:v>1</x:v>
      </x:c>
      <x:c r="D1203" t="str">
        <x:v>06:25</x:v>
      </x:c>
      <x:c r="E1203" t="n">
        <x:v>2</x:v>
      </x:c>
      <x:c r="F1203" t="n">
        <x:v>4</x:v>
      </x:c>
      <x:c r="G1203" t="str">
        <x:v>MIN</x:v>
      </x:c>
      <x:c r="H1203" t="str">
        <x:v>DET</x:v>
      </x:c>
      <x:c r="I1203" t="str">
        <x:v>DET</x:v>
      </x:c>
      <x:c r="J1203" t="n">
        <x:v>44</x:v>
      </x:c>
      <x:c r="K1203" t="str">
        <x:v>(6:25) (Shotgun) 33-A.Jones up the middle to DET 39 for 5 yards (46-J.Campbell; 78-T.Lacy).</x:v>
      </x:c>
      <x:c r="L1203" t="str">
        <x:v>run</x:v>
      </x:c>
      <x:c r="M1203" t="n">
        <x:v>5</x:v>
      </x:c>
      <x:c r="N1203" t="n">
        <x:v>1</x:v>
      </x:c>
      <x:c r="O1203" t="n">
        <x:v>0</x:v>
      </x:c>
      <x:c r="P1203"/>
      <x:c r="Q1203"/>
      <x:c r="R1203"/>
      <x:c r="S1203"/>
      <x:c r="T1203" t="str">
        <x:v>middle</x:v>
      </x:c>
      <x:c r="U1203"/>
      <x:c r="V1203" t="n">
        <x:v>0</x:v>
      </x:c>
      <x:c r="W1203" t="n">
        <x:v>1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/>
      <x:c r="AC1203" t="n">
        <x:v>0</x:v>
      </x:c>
      <x:c r="AD1203" t="n">
        <x:v>0.5487859174609184</x:v>
      </x:c>
      <x:c r="AE1203" t="n">
        <x:v>1</x:v>
      </x:c>
      <x:c r="AF1203" t="n">
        <x:v>0.04212003946304321</x:v>
      </x:c>
      <x:c r="AG1203" t="n">
        <x:f>_xlfn.XLOOKUP($A1203,Games!$A$2:$A$18,Games!$B$2:$B$18,"Missing game",0)</x:f>
        <x:v>2025</x:v>
      </x:c>
      <x:c r="AH1203" t="str">
        <x:f>_xlfn.XLOOKUP($A1203,Games!$A$2:$A$18,Games!$C$2:$C$18,"Missing game",0)</x:f>
        <x:v>REG</x:v>
      </x:c>
      <x:c r="AI1203" t="n">
        <x:f>_xlfn.XLOOKUP($A1203,Games!$A$2:$A$18,Games!$D$2:$D$18,"Missing game",0)</x:f>
        <x:v>9</x:v>
      </x:c>
      <x:c r="AJ1203" s="1" t="n">
        <x:f>_xlfn.XLOOKUP($A1203,Games!$A$2:$A$18,Games!$E$2:$E$18,"Missing game",0)</x:f>
        <x:v>45963</x:v>
      </x:c>
      <x:c r="AK1203" t="str">
        <x:f>_xlfn.XLOOKUP($A1203,Games!$A$2:$A$18,Games!$F$2:$F$18,"Missing game",0)</x:f>
        <x:v>Sunday</x:v>
      </x:c>
      <x:c r="AL1203" t="str">
        <x:f>_xlfn.XLOOKUP($A1203,Games!$A$2:$A$18,Games!$G$2:$G$18,"Missing game",0)</x:f>
        <x:v>MIN</x:v>
      </x:c>
      <x:c r="AM1203" t="n">
        <x:f>_xlfn.XLOOKUP($A1203,Games!$A$2:$A$18,Games!$H$2:$H$18,"Missing game",0)</x:f>
        <x:v>27</x:v>
      </x:c>
      <x:c r="AN1203" t="str">
        <x:f>_xlfn.XLOOKUP($A1203,Games!$A$2:$A$18,Games!$I$2:$I$18,"Missing game",0)</x:f>
        <x:v>DET</x:v>
      </x:c>
      <x:c r="AO1203" t="n">
        <x:f>_xlfn.XLOOKUP($A1203,Games!$A$2:$A$18,Games!$J$2:$J$18,"Missing game",0)</x:f>
        <x:v>24</x:v>
      </x:c>
      <x:c r="AP1203" t="n">
        <x:f>_xlfn.XLOOKUP($A1203,Games!$A$2:$A$18,Games!$K$2:$K$18,"Missing game",0)</x:f>
        <x:v>-3</x:v>
      </x:c>
      <x:c r="AQ1203" t="n">
        <x:f>_xlfn.XLOOKUP($A1203,Games!$A$2:$A$18,Games!$L$2:$L$18,"Missing game",0)</x:f>
        <x:v>51</x:v>
      </x:c>
      <x:c r="AR1203" t="n">
        <x:f>_xlfn.XLOOKUP($A1203,Games!$A$2:$A$18,Games!$M$2:$M$18,"Missing game",0)</x:f>
        <x:v>0</x:v>
      </x:c>
      <x:c r="AS1203" t="str">
        <x:f>_xlfn.XLOOKUP($A1203,Games!$A$2:$A$18,Games!$N$2:$N$18,"Missing game",0)</x:f>
        <x:v>dome</x:v>
      </x:c>
      <x:c r="AT1203" t="str">
        <x:f>_xlfn.XLOOKUP($A1203,Games!$A$2:$A$18,Games!$O$2:$O$18,"Missing game",0)</x:f>
        <x:v>fieldturf</x:v>
      </x:c>
      <x:c r="AU1203" t="str">
        <x:f>_xlfn.XLOOKUP($A1203,Games!$A$2:$A$18,Games!$P$2:$P$18,"Missing game",0)</x:f>
      </x:c>
      <x:c r="AV1203" t="str">
        <x:f>_xlfn.XLOOKUP($A1203,Games!$A$2:$A$18,Games!$Q$2:$Q$18,"Missing game",0)</x:f>
      </x:c>
      <x:c r="AW1203" t="str">
        <x:f>_xlfn.XLOOKUP($A1203,Games!$A$2:$A$18,Games!$R$2:$R$18,"Missing game",0)</x:f>
        <x:v>Ford Field</x:v>
      </x:c>
    </x:row>
    <x:row r="1204">
      <x:c r="A1204" t="str">
        <x:v>2025_09_MIN_DET</x:v>
      </x:c>
      <x:c r="B1204" t="n">
        <x:v>606</x:v>
      </x:c>
      <x:c r="C1204" t="n">
        <x:v>1</x:v>
      </x:c>
      <x:c r="D1204" t="str">
        <x:v>05:46</x:v>
      </x:c>
      <x:c r="E1204" t="n">
        <x:v>1</x:v>
      </x:c>
      <x:c r="F1204" t="n">
        <x:v>10</x:v>
      </x:c>
      <x:c r="G1204" t="str">
        <x:v>MIN</x:v>
      </x:c>
      <x:c r="H1204" t="str">
        <x:v>DET</x:v>
      </x:c>
      <x:c r="I1204" t="str">
        <x:v>DET</x:v>
      </x:c>
      <x:c r="J1204" t="n">
        <x:v>39</x:v>
      </x:c>
      <x:c r="K1204" t="str">
        <x:v>(5:46) 9-J.McCarthy pass incomplete deep left to 1-J.Nailor [34-A.Anzalone].</x:v>
      </x:c>
      <x:c r="L1204" t="str">
        <x:v>pass</x:v>
      </x:c>
      <x:c r="M1204" t="n">
        <x:v>0</x:v>
      </x:c>
      <x:c r="N1204" t="n">
        <x:v>0</x:v>
      </x:c>
      <x:c r="O1204" t="n">
        <x:v>0</x:v>
      </x:c>
      <x:c r="P1204" t="str">
        <x:v>deep</x:v>
      </x:c>
      <x:c r="Q1204" t="str">
        <x:v>left</x:v>
      </x:c>
      <x:c r="R1204" t="n">
        <x:v>31</x:v>
      </x:c>
      <x:c r="S1204"/>
      <x:c r="T1204"/>
      <x:c r="U1204"/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/>
      <x:c r="AC1204" t="n">
        <x:v>0</x:v>
      </x:c>
      <x:c r="AD1204" t="n">
        <x:v>-0.6140471324324608</x:v>
      </x:c>
      <x:c r="AE1204" t="n">
        <x:v>0</x:v>
      </x:c>
      <x:c r="AF1204" t="n">
        <x:v>-0.012582838535308838</x:v>
      </x:c>
      <x:c r="AG1204" t="n">
        <x:f>_xlfn.XLOOKUP($A1204,Games!$A$2:$A$18,Games!$B$2:$B$18,"Missing game",0)</x:f>
        <x:v>2025</x:v>
      </x:c>
      <x:c r="AH1204" t="str">
        <x:f>_xlfn.XLOOKUP($A1204,Games!$A$2:$A$18,Games!$C$2:$C$18,"Missing game",0)</x:f>
        <x:v>REG</x:v>
      </x:c>
      <x:c r="AI1204" t="n">
        <x:f>_xlfn.XLOOKUP($A1204,Games!$A$2:$A$18,Games!$D$2:$D$18,"Missing game",0)</x:f>
        <x:v>9</x:v>
      </x:c>
      <x:c r="AJ1204" s="1" t="n">
        <x:f>_xlfn.XLOOKUP($A1204,Games!$A$2:$A$18,Games!$E$2:$E$18,"Missing game",0)</x:f>
        <x:v>45963</x:v>
      </x:c>
      <x:c r="AK1204" t="str">
        <x:f>_xlfn.XLOOKUP($A1204,Games!$A$2:$A$18,Games!$F$2:$F$18,"Missing game",0)</x:f>
        <x:v>Sunday</x:v>
      </x:c>
      <x:c r="AL1204" t="str">
        <x:f>_xlfn.XLOOKUP($A1204,Games!$A$2:$A$18,Games!$G$2:$G$18,"Missing game",0)</x:f>
        <x:v>MIN</x:v>
      </x:c>
      <x:c r="AM1204" t="n">
        <x:f>_xlfn.XLOOKUP($A1204,Games!$A$2:$A$18,Games!$H$2:$H$18,"Missing game",0)</x:f>
        <x:v>27</x:v>
      </x:c>
      <x:c r="AN1204" t="str">
        <x:f>_xlfn.XLOOKUP($A1204,Games!$A$2:$A$18,Games!$I$2:$I$18,"Missing game",0)</x:f>
        <x:v>DET</x:v>
      </x:c>
      <x:c r="AO1204" t="n">
        <x:f>_xlfn.XLOOKUP($A1204,Games!$A$2:$A$18,Games!$J$2:$J$18,"Missing game",0)</x:f>
        <x:v>24</x:v>
      </x:c>
      <x:c r="AP1204" t="n">
        <x:f>_xlfn.XLOOKUP($A1204,Games!$A$2:$A$18,Games!$K$2:$K$18,"Missing game",0)</x:f>
        <x:v>-3</x:v>
      </x:c>
      <x:c r="AQ1204" t="n">
        <x:f>_xlfn.XLOOKUP($A1204,Games!$A$2:$A$18,Games!$L$2:$L$18,"Missing game",0)</x:f>
        <x:v>51</x:v>
      </x:c>
      <x:c r="AR1204" t="n">
        <x:f>_xlfn.XLOOKUP($A1204,Games!$A$2:$A$18,Games!$M$2:$M$18,"Missing game",0)</x:f>
        <x:v>0</x:v>
      </x:c>
      <x:c r="AS1204" t="str">
        <x:f>_xlfn.XLOOKUP($A1204,Games!$A$2:$A$18,Games!$N$2:$N$18,"Missing game",0)</x:f>
        <x:v>dome</x:v>
      </x:c>
      <x:c r="AT1204" t="str">
        <x:f>_xlfn.XLOOKUP($A1204,Games!$A$2:$A$18,Games!$O$2:$O$18,"Missing game",0)</x:f>
        <x:v>fieldturf</x:v>
      </x:c>
      <x:c r="AU1204" t="str">
        <x:f>_xlfn.XLOOKUP($A1204,Games!$A$2:$A$18,Games!$P$2:$P$18,"Missing game",0)</x:f>
      </x:c>
      <x:c r="AV1204" t="str">
        <x:f>_xlfn.XLOOKUP($A1204,Games!$A$2:$A$18,Games!$Q$2:$Q$18,"Missing game",0)</x:f>
      </x:c>
      <x:c r="AW1204" t="str">
        <x:f>_xlfn.XLOOKUP($A1204,Games!$A$2:$A$18,Games!$R$2:$R$18,"Missing game",0)</x:f>
        <x:v>Ford Field</x:v>
      </x:c>
    </x:row>
    <x:row r="1205">
      <x:c r="A1205" t="str">
        <x:v>2025_09_MIN_DET</x:v>
      </x:c>
      <x:c r="B1205" t="n">
        <x:v>629</x:v>
      </x:c>
      <x:c r="C1205" t="n">
        <x:v>1</x:v>
      </x:c>
      <x:c r="D1205" t="str">
        <x:v>05:39</x:v>
      </x:c>
      <x:c r="E1205" t="n">
        <x:v>2</x:v>
      </x:c>
      <x:c r="F1205" t="n">
        <x:v>10</x:v>
      </x:c>
      <x:c r="G1205" t="str">
        <x:v>MIN</x:v>
      </x:c>
      <x:c r="H1205" t="str">
        <x:v>DET</x:v>
      </x:c>
      <x:c r="I1205" t="str">
        <x:v>DET</x:v>
      </x:c>
      <x:c r="J1205" t="n">
        <x:v>39</x:v>
      </x:c>
      <x:c r="K1205" t="str">
        <x:v>(5:39) (Shotgun) 33-A.Jones up the middle to DET 38 for 1 yard (46-J.Campbell).</x:v>
      </x:c>
      <x:c r="L1205" t="str">
        <x:v>run</x:v>
      </x:c>
      <x:c r="M1205" t="n">
        <x:v>1</x:v>
      </x:c>
      <x:c r="N1205" t="n">
        <x:v>1</x:v>
      </x:c>
      <x:c r="O1205" t="n">
        <x:v>0</x:v>
      </x:c>
      <x:c r="P1205"/>
      <x:c r="Q1205"/>
      <x:c r="R1205"/>
      <x:c r="S1205"/>
      <x:c r="T1205" t="str">
        <x:v>middle</x:v>
      </x:c>
      <x:c r="U1205"/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/>
      <x:c r="AC1205" t="n">
        <x:v>0</x:v>
      </x:c>
      <x:c r="AD1205" t="n">
        <x:v>-0.8982960551511496</x:v>
      </x:c>
      <x:c r="AE1205" t="n">
        <x:v>0</x:v>
      </x:c>
      <x:c r="AF1205" t="n">
        <x:v>-0.015240371227264404</x:v>
      </x:c>
      <x:c r="AG1205" t="n">
        <x:f>_xlfn.XLOOKUP($A1205,Games!$A$2:$A$18,Games!$B$2:$B$18,"Missing game",0)</x:f>
        <x:v>2025</x:v>
      </x:c>
      <x:c r="AH1205" t="str">
        <x:f>_xlfn.XLOOKUP($A1205,Games!$A$2:$A$18,Games!$C$2:$C$18,"Missing game",0)</x:f>
        <x:v>REG</x:v>
      </x:c>
      <x:c r="AI1205" t="n">
        <x:f>_xlfn.XLOOKUP($A1205,Games!$A$2:$A$18,Games!$D$2:$D$18,"Missing game",0)</x:f>
        <x:v>9</x:v>
      </x:c>
      <x:c r="AJ1205" s="1" t="n">
        <x:f>_xlfn.XLOOKUP($A1205,Games!$A$2:$A$18,Games!$E$2:$E$18,"Missing game",0)</x:f>
        <x:v>45963</x:v>
      </x:c>
      <x:c r="AK1205" t="str">
        <x:f>_xlfn.XLOOKUP($A1205,Games!$A$2:$A$18,Games!$F$2:$F$18,"Missing game",0)</x:f>
        <x:v>Sunday</x:v>
      </x:c>
      <x:c r="AL1205" t="str">
        <x:f>_xlfn.XLOOKUP($A1205,Games!$A$2:$A$18,Games!$G$2:$G$18,"Missing game",0)</x:f>
        <x:v>MIN</x:v>
      </x:c>
      <x:c r="AM1205" t="n">
        <x:f>_xlfn.XLOOKUP($A1205,Games!$A$2:$A$18,Games!$H$2:$H$18,"Missing game",0)</x:f>
        <x:v>27</x:v>
      </x:c>
      <x:c r="AN1205" t="str">
        <x:f>_xlfn.XLOOKUP($A1205,Games!$A$2:$A$18,Games!$I$2:$I$18,"Missing game",0)</x:f>
        <x:v>DET</x:v>
      </x:c>
      <x:c r="AO1205" t="n">
        <x:f>_xlfn.XLOOKUP($A1205,Games!$A$2:$A$18,Games!$J$2:$J$18,"Missing game",0)</x:f>
        <x:v>24</x:v>
      </x:c>
      <x:c r="AP1205" t="n">
        <x:f>_xlfn.XLOOKUP($A1205,Games!$A$2:$A$18,Games!$K$2:$K$18,"Missing game",0)</x:f>
        <x:v>-3</x:v>
      </x:c>
      <x:c r="AQ1205" t="n">
        <x:f>_xlfn.XLOOKUP($A1205,Games!$A$2:$A$18,Games!$L$2:$L$18,"Missing game",0)</x:f>
        <x:v>51</x:v>
      </x:c>
      <x:c r="AR1205" t="n">
        <x:f>_xlfn.XLOOKUP($A1205,Games!$A$2:$A$18,Games!$M$2:$M$18,"Missing game",0)</x:f>
        <x:v>0</x:v>
      </x:c>
      <x:c r="AS1205" t="str">
        <x:f>_xlfn.XLOOKUP($A1205,Games!$A$2:$A$18,Games!$N$2:$N$18,"Missing game",0)</x:f>
        <x:v>dome</x:v>
      </x:c>
      <x:c r="AT1205" t="str">
        <x:f>_xlfn.XLOOKUP($A1205,Games!$A$2:$A$18,Games!$O$2:$O$18,"Missing game",0)</x:f>
        <x:v>fieldturf</x:v>
      </x:c>
      <x:c r="AU1205" t="str">
        <x:f>_xlfn.XLOOKUP($A1205,Games!$A$2:$A$18,Games!$P$2:$P$18,"Missing game",0)</x:f>
      </x:c>
      <x:c r="AV1205" t="str">
        <x:f>_xlfn.XLOOKUP($A1205,Games!$A$2:$A$18,Games!$Q$2:$Q$18,"Missing game",0)</x:f>
      </x:c>
      <x:c r="AW1205" t="str">
        <x:f>_xlfn.XLOOKUP($A1205,Games!$A$2:$A$18,Games!$R$2:$R$18,"Missing game",0)</x:f>
        <x:v>Ford Field</x:v>
      </x:c>
    </x:row>
    <x:row r="1206">
      <x:c r="A1206" t="str">
        <x:v>2025_09_MIN_DET</x:v>
      </x:c>
      <x:c r="B1206" t="n">
        <x:v>651</x:v>
      </x:c>
      <x:c r="C1206" t="n">
        <x:v>1</x:v>
      </x:c>
      <x:c r="D1206" t="str">
        <x:v>04:59</x:v>
      </x:c>
      <x:c r="E1206" t="n">
        <x:v>3</x:v>
      </x:c>
      <x:c r="F1206" t="n">
        <x:v>9</x:v>
      </x:c>
      <x:c r="G1206" t="str">
        <x:v>MIN</x:v>
      </x:c>
      <x:c r="H1206" t="str">
        <x:v>DET</x:v>
      </x:c>
      <x:c r="I1206" t="str">
        <x:v>DET</x:v>
      </x:c>
      <x:c r="J1206" t="n">
        <x:v>38</x:v>
      </x:c>
      <x:c r="K1206" t="str">
        <x:v>(4:59) (Shotgun) 9-J.McCarthy pass deep left to 3-J.Addison to DET 7 for 31 yards (27-A.Maulet).</x:v>
      </x:c>
      <x:c r="L1206" t="str">
        <x:v>pass</x:v>
      </x:c>
      <x:c r="M1206" t="n">
        <x:v>31</x:v>
      </x:c>
      <x:c r="N1206" t="n">
        <x:v>1</x:v>
      </x:c>
      <x:c r="O1206" t="n">
        <x:v>0</x:v>
      </x:c>
      <x:c r="P1206" t="str">
        <x:v>deep</x:v>
      </x:c>
      <x:c r="Q1206" t="str">
        <x:v>left</x:v>
      </x:c>
      <x:c r="R1206" t="n">
        <x:v>31</x:v>
      </x:c>
      <x:c r="S1206" t="n">
        <x:v>0</x:v>
      </x:c>
      <x:c r="T1206"/>
      <x:c r="U1206"/>
      <x:c r="V1206" t="n">
        <x:v>1</x:v>
      </x:c>
      <x:c r="W1206" t="n">
        <x:v>1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/>
      <x:c r="AC1206" t="n">
        <x:v>0</x:v>
      </x:c>
      <x:c r="AD1206" t="n">
        <x:v>3.6496559479855932</x:v>
      </x:c>
      <x:c r="AE1206" t="n">
        <x:v>1</x:v>
      </x:c>
      <x:c r="AF1206" t="n">
        <x:v>0.07880038022994995</x:v>
      </x:c>
      <x:c r="AG1206" t="n">
        <x:f>_xlfn.XLOOKUP($A1206,Games!$A$2:$A$18,Games!$B$2:$B$18,"Missing game",0)</x:f>
        <x:v>2025</x:v>
      </x:c>
      <x:c r="AH1206" t="str">
        <x:f>_xlfn.XLOOKUP($A1206,Games!$A$2:$A$18,Games!$C$2:$C$18,"Missing game",0)</x:f>
        <x:v>REG</x:v>
      </x:c>
      <x:c r="AI1206" t="n">
        <x:f>_xlfn.XLOOKUP($A1206,Games!$A$2:$A$18,Games!$D$2:$D$18,"Missing game",0)</x:f>
        <x:v>9</x:v>
      </x:c>
      <x:c r="AJ1206" s="1" t="n">
        <x:f>_xlfn.XLOOKUP($A1206,Games!$A$2:$A$18,Games!$E$2:$E$18,"Missing game",0)</x:f>
        <x:v>45963</x:v>
      </x:c>
      <x:c r="AK1206" t="str">
        <x:f>_xlfn.XLOOKUP($A1206,Games!$A$2:$A$18,Games!$F$2:$F$18,"Missing game",0)</x:f>
        <x:v>Sunday</x:v>
      </x:c>
      <x:c r="AL1206" t="str">
        <x:f>_xlfn.XLOOKUP($A1206,Games!$A$2:$A$18,Games!$G$2:$G$18,"Missing game",0)</x:f>
        <x:v>MIN</x:v>
      </x:c>
      <x:c r="AM1206" t="n">
        <x:f>_xlfn.XLOOKUP($A1206,Games!$A$2:$A$18,Games!$H$2:$H$18,"Missing game",0)</x:f>
        <x:v>27</x:v>
      </x:c>
      <x:c r="AN1206" t="str">
        <x:f>_xlfn.XLOOKUP($A1206,Games!$A$2:$A$18,Games!$I$2:$I$18,"Missing game",0)</x:f>
        <x:v>DET</x:v>
      </x:c>
      <x:c r="AO1206" t="n">
        <x:f>_xlfn.XLOOKUP($A1206,Games!$A$2:$A$18,Games!$J$2:$J$18,"Missing game",0)</x:f>
        <x:v>24</x:v>
      </x:c>
      <x:c r="AP1206" t="n">
        <x:f>_xlfn.XLOOKUP($A1206,Games!$A$2:$A$18,Games!$K$2:$K$18,"Missing game",0)</x:f>
        <x:v>-3</x:v>
      </x:c>
      <x:c r="AQ1206" t="n">
        <x:f>_xlfn.XLOOKUP($A1206,Games!$A$2:$A$18,Games!$L$2:$L$18,"Missing game",0)</x:f>
        <x:v>51</x:v>
      </x:c>
      <x:c r="AR1206" t="n">
        <x:f>_xlfn.XLOOKUP($A1206,Games!$A$2:$A$18,Games!$M$2:$M$18,"Missing game",0)</x:f>
        <x:v>0</x:v>
      </x:c>
      <x:c r="AS1206" t="str">
        <x:f>_xlfn.XLOOKUP($A1206,Games!$A$2:$A$18,Games!$N$2:$N$18,"Missing game",0)</x:f>
        <x:v>dome</x:v>
      </x:c>
      <x:c r="AT1206" t="str">
        <x:f>_xlfn.XLOOKUP($A1206,Games!$A$2:$A$18,Games!$O$2:$O$18,"Missing game",0)</x:f>
        <x:v>fieldturf</x:v>
      </x:c>
      <x:c r="AU1206" t="str">
        <x:f>_xlfn.XLOOKUP($A1206,Games!$A$2:$A$18,Games!$P$2:$P$18,"Missing game",0)</x:f>
      </x:c>
      <x:c r="AV1206" t="str">
        <x:f>_xlfn.XLOOKUP($A1206,Games!$A$2:$A$18,Games!$Q$2:$Q$18,"Missing game",0)</x:f>
      </x:c>
      <x:c r="AW1206" t="str">
        <x:f>_xlfn.XLOOKUP($A1206,Games!$A$2:$A$18,Games!$R$2:$R$18,"Missing game",0)</x:f>
        <x:v>Ford Field</x:v>
      </x:c>
    </x:row>
    <x:row r="1207">
      <x:c r="A1207" t="str">
        <x:v>2025_09_MIN_DET</x:v>
      </x:c>
      <x:c r="B1207" t="n">
        <x:v>676</x:v>
      </x:c>
      <x:c r="C1207" t="n">
        <x:v>1</x:v>
      </x:c>
      <x:c r="D1207" t="str">
        <x:v>04:13</x:v>
      </x:c>
      <x:c r="E1207" t="n">
        <x:v>1</x:v>
      </x:c>
      <x:c r="F1207" t="n">
        <x:v>7</x:v>
      </x:c>
      <x:c r="G1207" t="str">
        <x:v>MIN</x:v>
      </x:c>
      <x:c r="H1207" t="str">
        <x:v>DET</x:v>
      </x:c>
      <x:c r="I1207" t="str">
        <x:v>DET</x:v>
      </x:c>
      <x:c r="J1207" t="n">
        <x:v>7</x:v>
      </x:c>
      <x:c r="K1207" t="str">
        <x:v>(4:13) (Shotgun) 9-J.McCarthy pass short middle to 87-T.Hockenson for 7 yards, TOUCHDOWN.</x:v>
      </x:c>
      <x:c r="L1207" t="str">
        <x:v>pass</x:v>
      </x:c>
      <x:c r="M1207" t="n">
        <x:v>7</x:v>
      </x:c>
      <x:c r="N1207" t="n">
        <x:v>1</x:v>
      </x:c>
      <x:c r="O1207" t="n">
        <x:v>0</x:v>
      </x:c>
      <x:c r="P1207" t="str">
        <x:v>short</x:v>
      </x:c>
      <x:c r="Q1207" t="str">
        <x:v>middle</x:v>
      </x:c>
      <x:c r="R1207" t="n">
        <x:v>7</x:v>
      </x:c>
      <x:c r="S1207" t="n">
        <x:v>0</x:v>
      </x:c>
      <x:c r="T1207"/>
      <x:c r="U1207"/>
      <x:c r="V1207" t="n">
        <x:v>1</x:v>
      </x:c>
      <x:c r="W1207" t="n">
        <x:v>1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/>
      <x:c r="AC1207" t="n">
        <x:v>1</x:v>
      </x:c>
      <x:c r="AD1207" t="n">
        <x:v>1.4313178606680594</x:v>
      </x:c>
      <x:c r="AE1207" t="n">
        <x:v>1</x:v>
      </x:c>
      <x:c r="AF1207" t="n">
        <x:v>0.03752159040382841</x:v>
      </x:c>
      <x:c r="AG1207" t="n">
        <x:f>_xlfn.XLOOKUP($A1207,Games!$A$2:$A$18,Games!$B$2:$B$18,"Missing game",0)</x:f>
        <x:v>2025</x:v>
      </x:c>
      <x:c r="AH1207" t="str">
        <x:f>_xlfn.XLOOKUP($A1207,Games!$A$2:$A$18,Games!$C$2:$C$18,"Missing game",0)</x:f>
        <x:v>REG</x:v>
      </x:c>
      <x:c r="AI1207" t="n">
        <x:f>_xlfn.XLOOKUP($A1207,Games!$A$2:$A$18,Games!$D$2:$D$18,"Missing game",0)</x:f>
        <x:v>9</x:v>
      </x:c>
      <x:c r="AJ1207" s="1" t="n">
        <x:f>_xlfn.XLOOKUP($A1207,Games!$A$2:$A$18,Games!$E$2:$E$18,"Missing game",0)</x:f>
        <x:v>45963</x:v>
      </x:c>
      <x:c r="AK1207" t="str">
        <x:f>_xlfn.XLOOKUP($A1207,Games!$A$2:$A$18,Games!$F$2:$F$18,"Missing game",0)</x:f>
        <x:v>Sunday</x:v>
      </x:c>
      <x:c r="AL1207" t="str">
        <x:f>_xlfn.XLOOKUP($A1207,Games!$A$2:$A$18,Games!$G$2:$G$18,"Missing game",0)</x:f>
        <x:v>MIN</x:v>
      </x:c>
      <x:c r="AM1207" t="n">
        <x:f>_xlfn.XLOOKUP($A1207,Games!$A$2:$A$18,Games!$H$2:$H$18,"Missing game",0)</x:f>
        <x:v>27</x:v>
      </x:c>
      <x:c r="AN1207" t="str">
        <x:f>_xlfn.XLOOKUP($A1207,Games!$A$2:$A$18,Games!$I$2:$I$18,"Missing game",0)</x:f>
        <x:v>DET</x:v>
      </x:c>
      <x:c r="AO1207" t="n">
        <x:f>_xlfn.XLOOKUP($A1207,Games!$A$2:$A$18,Games!$J$2:$J$18,"Missing game",0)</x:f>
        <x:v>24</x:v>
      </x:c>
      <x:c r="AP1207" t="n">
        <x:f>_xlfn.XLOOKUP($A1207,Games!$A$2:$A$18,Games!$K$2:$K$18,"Missing game",0)</x:f>
        <x:v>-3</x:v>
      </x:c>
      <x:c r="AQ1207" t="n">
        <x:f>_xlfn.XLOOKUP($A1207,Games!$A$2:$A$18,Games!$L$2:$L$18,"Missing game",0)</x:f>
        <x:v>51</x:v>
      </x:c>
      <x:c r="AR1207" t="n">
        <x:f>_xlfn.XLOOKUP($A1207,Games!$A$2:$A$18,Games!$M$2:$M$18,"Missing game",0)</x:f>
        <x:v>0</x:v>
      </x:c>
      <x:c r="AS1207" t="str">
        <x:f>_xlfn.XLOOKUP($A1207,Games!$A$2:$A$18,Games!$N$2:$N$18,"Missing game",0)</x:f>
        <x:v>dome</x:v>
      </x:c>
      <x:c r="AT1207" t="str">
        <x:f>_xlfn.XLOOKUP($A1207,Games!$A$2:$A$18,Games!$O$2:$O$18,"Missing game",0)</x:f>
        <x:v>fieldturf</x:v>
      </x:c>
      <x:c r="AU1207" t="str">
        <x:f>_xlfn.XLOOKUP($A1207,Games!$A$2:$A$18,Games!$P$2:$P$18,"Missing game",0)</x:f>
      </x:c>
      <x:c r="AV1207" t="str">
        <x:f>_xlfn.XLOOKUP($A1207,Games!$A$2:$A$18,Games!$Q$2:$Q$18,"Missing game",0)</x:f>
      </x:c>
      <x:c r="AW1207" t="str">
        <x:f>_xlfn.XLOOKUP($A1207,Games!$A$2:$A$18,Games!$R$2:$R$18,"Missing game",0)</x:f>
        <x:v>Ford Field</x:v>
      </x:c>
    </x:row>
    <x:row r="1208">
      <x:c r="A1208" t="str">
        <x:v>2025_09_MIN_DET</x:v>
      </x:c>
      <x:c r="B1208" t="n">
        <x:v>702</x:v>
      </x:c>
      <x:c r="C1208" t="n">
        <x:v>1</x:v>
      </x:c>
      <x:c r="D1208" t="str">
        <x:v>04:08</x:v>
      </x:c>
      <x:c r="E1208"/>
      <x:c r="F1208" t="n">
        <x:v>0</x:v>
      </x:c>
      <x:c r="G1208" t="str">
        <x:v>MIN</x:v>
      </x:c>
      <x:c r="H1208" t="str">
        <x:v>DET</x:v>
      </x:c>
      <x:c r="I1208" t="str">
        <x:v>DET</x:v>
      </x:c>
      <x:c r="J1208" t="n">
        <x:v>15</x:v>
      </x:c>
      <x:c r="K1208" t="str">
        <x:v>16-W.Reichard extra point is GOOD, Center-42-A.DePaola, Holder-17-R.Wright.</x:v>
      </x:c>
      <x:c r="L1208" t="str">
        <x:v>extra_point</x:v>
      </x:c>
      <x:c r="M1208" t="n">
        <x:v>0</x:v>
      </x:c>
      <x:c r="N1208" t="n">
        <x:v>0</x:v>
      </x:c>
      <x:c r="O1208" t="n">
        <x:v>0</x:v>
      </x:c>
      <x:c r="P1208"/>
      <x:c r="Q1208"/>
      <x:c r="R1208"/>
      <x:c r="S1208"/>
      <x:c r="T1208"/>
      <x:c r="U1208"/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/>
      <x:c r="AC1208" t="n">
        <x:v>0</x:v>
      </x:c>
      <x:c r="AD1208" t="n">
        <x:v>0.05117156607063911</x:v>
      </x:c>
      <x:c r="AE1208" t="n">
        <x:v>1</x:v>
      </x:c>
      <x:c r="AF1208" t="n">
        <x:v>0.0009016199786331391</x:v>
      </x:c>
      <x:c r="AG1208" t="n">
        <x:f>_xlfn.XLOOKUP($A1208,Games!$A$2:$A$18,Games!$B$2:$B$18,"Missing game",0)</x:f>
        <x:v>2025</x:v>
      </x:c>
      <x:c r="AH1208" t="str">
        <x:f>_xlfn.XLOOKUP($A1208,Games!$A$2:$A$18,Games!$C$2:$C$18,"Missing game",0)</x:f>
        <x:v>REG</x:v>
      </x:c>
      <x:c r="AI1208" t="n">
        <x:f>_xlfn.XLOOKUP($A1208,Games!$A$2:$A$18,Games!$D$2:$D$18,"Missing game",0)</x:f>
        <x:v>9</x:v>
      </x:c>
      <x:c r="AJ1208" s="1" t="n">
        <x:f>_xlfn.XLOOKUP($A1208,Games!$A$2:$A$18,Games!$E$2:$E$18,"Missing game",0)</x:f>
        <x:v>45963</x:v>
      </x:c>
      <x:c r="AK1208" t="str">
        <x:f>_xlfn.XLOOKUP($A1208,Games!$A$2:$A$18,Games!$F$2:$F$18,"Missing game",0)</x:f>
        <x:v>Sunday</x:v>
      </x:c>
      <x:c r="AL1208" t="str">
        <x:f>_xlfn.XLOOKUP($A1208,Games!$A$2:$A$18,Games!$G$2:$G$18,"Missing game",0)</x:f>
        <x:v>MIN</x:v>
      </x:c>
      <x:c r="AM1208" t="n">
        <x:f>_xlfn.XLOOKUP($A1208,Games!$A$2:$A$18,Games!$H$2:$H$18,"Missing game",0)</x:f>
        <x:v>27</x:v>
      </x:c>
      <x:c r="AN1208" t="str">
        <x:f>_xlfn.XLOOKUP($A1208,Games!$A$2:$A$18,Games!$I$2:$I$18,"Missing game",0)</x:f>
        <x:v>DET</x:v>
      </x:c>
      <x:c r="AO1208" t="n">
        <x:f>_xlfn.XLOOKUP($A1208,Games!$A$2:$A$18,Games!$J$2:$J$18,"Missing game",0)</x:f>
        <x:v>24</x:v>
      </x:c>
      <x:c r="AP1208" t="n">
        <x:f>_xlfn.XLOOKUP($A1208,Games!$A$2:$A$18,Games!$K$2:$K$18,"Missing game",0)</x:f>
        <x:v>-3</x:v>
      </x:c>
      <x:c r="AQ1208" t="n">
        <x:f>_xlfn.XLOOKUP($A1208,Games!$A$2:$A$18,Games!$L$2:$L$18,"Missing game",0)</x:f>
        <x:v>51</x:v>
      </x:c>
      <x:c r="AR1208" t="n">
        <x:f>_xlfn.XLOOKUP($A1208,Games!$A$2:$A$18,Games!$M$2:$M$18,"Missing game",0)</x:f>
        <x:v>0</x:v>
      </x:c>
      <x:c r="AS1208" t="str">
        <x:f>_xlfn.XLOOKUP($A1208,Games!$A$2:$A$18,Games!$N$2:$N$18,"Missing game",0)</x:f>
        <x:v>dome</x:v>
      </x:c>
      <x:c r="AT1208" t="str">
        <x:f>_xlfn.XLOOKUP($A1208,Games!$A$2:$A$18,Games!$O$2:$O$18,"Missing game",0)</x:f>
        <x:v>fieldturf</x:v>
      </x:c>
      <x:c r="AU1208" t="str">
        <x:f>_xlfn.XLOOKUP($A1208,Games!$A$2:$A$18,Games!$P$2:$P$18,"Missing game",0)</x:f>
      </x:c>
      <x:c r="AV1208" t="str">
        <x:f>_xlfn.XLOOKUP($A1208,Games!$A$2:$A$18,Games!$Q$2:$Q$18,"Missing game",0)</x:f>
      </x:c>
      <x:c r="AW1208" t="str">
        <x:f>_xlfn.XLOOKUP($A1208,Games!$A$2:$A$18,Games!$R$2:$R$18,"Missing game",0)</x:f>
        <x:v>Ford Field</x:v>
      </x:c>
    </x:row>
    <x:row r="1209">
      <x:c r="A1209" t="str">
        <x:v>2025_09_MIN_DET</x:v>
      </x:c>
      <x:c r="B1209" t="n">
        <x:v>717</x:v>
      </x:c>
      <x:c r="C1209" t="n">
        <x:v>1</x:v>
      </x:c>
      <x:c r="D1209" t="str">
        <x:v>04:08</x:v>
      </x:c>
      <x:c r="E1209"/>
      <x:c r="F1209" t="n">
        <x:v>0</x:v>
      </x:c>
      <x:c r="G1209" t="str">
        <x:v>DET</x:v>
      </x:c>
      <x:c r="H1209" t="str">
        <x:v>MIN</x:v>
      </x:c>
      <x:c r="I1209" t="str">
        <x:v>MIN</x:v>
      </x:c>
      <x:c r="J1209" t="n">
        <x:v>35</x:v>
      </x:c>
      <x:c r="K1209" t="str">
        <x:v>16-W.Reichard kicks 61 yards from MIN 35 to DET 4. 25-J.Saylors to DET 30 for 26 yards (55-E.Wilson).</x:v>
      </x:c>
      <x:c r="L1209" t="str">
        <x:v>kickoff</x:v>
      </x:c>
      <x:c r="M1209" t="n">
        <x:v>0</x:v>
      </x:c>
      <x:c r="N1209" t="n">
        <x:v>0</x:v>
      </x:c>
      <x:c r="O1209" t="n">
        <x:v>0</x:v>
      </x:c>
      <x:c r="P1209"/>
      <x:c r="Q1209"/>
      <x:c r="R1209"/>
      <x:c r="S1209"/>
      <x:c r="T1209"/>
      <x:c r="U1209"/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/>
      <x:c r="AC1209" t="n">
        <x:v>0</x:v>
      </x:c>
      <x:c r="AD1209" t="n">
        <x:v>0.2959408189635724</x:v>
      </x:c>
      <x:c r="AE1209" t="n">
        <x:v>1</x:v>
      </x:c>
      <x:c r="AF1209" t="n">
        <x:v>0.005548626184463501</x:v>
      </x:c>
      <x:c r="AG1209" t="n">
        <x:f>_xlfn.XLOOKUP($A1209,Games!$A$2:$A$18,Games!$B$2:$B$18,"Missing game",0)</x:f>
        <x:v>2025</x:v>
      </x:c>
      <x:c r="AH1209" t="str">
        <x:f>_xlfn.XLOOKUP($A1209,Games!$A$2:$A$18,Games!$C$2:$C$18,"Missing game",0)</x:f>
        <x:v>REG</x:v>
      </x:c>
      <x:c r="AI1209" t="n">
        <x:f>_xlfn.XLOOKUP($A1209,Games!$A$2:$A$18,Games!$D$2:$D$18,"Missing game",0)</x:f>
        <x:v>9</x:v>
      </x:c>
      <x:c r="AJ1209" s="1" t="n">
        <x:f>_xlfn.XLOOKUP($A1209,Games!$A$2:$A$18,Games!$E$2:$E$18,"Missing game",0)</x:f>
        <x:v>45963</x:v>
      </x:c>
      <x:c r="AK1209" t="str">
        <x:f>_xlfn.XLOOKUP($A1209,Games!$A$2:$A$18,Games!$F$2:$F$18,"Missing game",0)</x:f>
        <x:v>Sunday</x:v>
      </x:c>
      <x:c r="AL1209" t="str">
        <x:f>_xlfn.XLOOKUP($A1209,Games!$A$2:$A$18,Games!$G$2:$G$18,"Missing game",0)</x:f>
        <x:v>MIN</x:v>
      </x:c>
      <x:c r="AM1209" t="n">
        <x:f>_xlfn.XLOOKUP($A1209,Games!$A$2:$A$18,Games!$H$2:$H$18,"Missing game",0)</x:f>
        <x:v>27</x:v>
      </x:c>
      <x:c r="AN1209" t="str">
        <x:f>_xlfn.XLOOKUP($A1209,Games!$A$2:$A$18,Games!$I$2:$I$18,"Missing game",0)</x:f>
        <x:v>DET</x:v>
      </x:c>
      <x:c r="AO1209" t="n">
        <x:f>_xlfn.XLOOKUP($A1209,Games!$A$2:$A$18,Games!$J$2:$J$18,"Missing game",0)</x:f>
        <x:v>24</x:v>
      </x:c>
      <x:c r="AP1209" t="n">
        <x:f>_xlfn.XLOOKUP($A1209,Games!$A$2:$A$18,Games!$K$2:$K$18,"Missing game",0)</x:f>
        <x:v>-3</x:v>
      </x:c>
      <x:c r="AQ1209" t="n">
        <x:f>_xlfn.XLOOKUP($A1209,Games!$A$2:$A$18,Games!$L$2:$L$18,"Missing game",0)</x:f>
        <x:v>51</x:v>
      </x:c>
      <x:c r="AR1209" t="n">
        <x:f>_xlfn.XLOOKUP($A1209,Games!$A$2:$A$18,Games!$M$2:$M$18,"Missing game",0)</x:f>
        <x:v>0</x:v>
      </x:c>
      <x:c r="AS1209" t="str">
        <x:f>_xlfn.XLOOKUP($A1209,Games!$A$2:$A$18,Games!$N$2:$N$18,"Missing game",0)</x:f>
        <x:v>dome</x:v>
      </x:c>
      <x:c r="AT1209" t="str">
        <x:f>_xlfn.XLOOKUP($A1209,Games!$A$2:$A$18,Games!$O$2:$O$18,"Missing game",0)</x:f>
        <x:v>fieldturf</x:v>
      </x:c>
      <x:c r="AU1209" t="str">
        <x:f>_xlfn.XLOOKUP($A1209,Games!$A$2:$A$18,Games!$P$2:$P$18,"Missing game",0)</x:f>
      </x:c>
      <x:c r="AV1209" t="str">
        <x:f>_xlfn.XLOOKUP($A1209,Games!$A$2:$A$18,Games!$Q$2:$Q$18,"Missing game",0)</x:f>
      </x:c>
      <x:c r="AW1209" t="str">
        <x:f>_xlfn.XLOOKUP($A1209,Games!$A$2:$A$18,Games!$R$2:$R$18,"Missing game",0)</x:f>
        <x:v>Ford Field</x:v>
      </x:c>
    </x:row>
    <x:row r="1210">
      <x:c r="A1210" t="str">
        <x:v>2025_09_MIN_DET</x:v>
      </x:c>
      <x:c r="B1210" t="n">
        <x:v>747</x:v>
      </x:c>
      <x:c r="C1210" t="n">
        <x:v>1</x:v>
      </x:c>
      <x:c r="D1210" t="str">
        <x:v>04:04</x:v>
      </x:c>
      <x:c r="E1210" t="n">
        <x:v>1</x:v>
      </x:c>
      <x:c r="F1210" t="n">
        <x:v>10</x:v>
      </x:c>
      <x:c r="G1210" t="str">
        <x:v>DET</x:v>
      </x:c>
      <x:c r="H1210" t="str">
        <x:v>MIN</x:v>
      </x:c>
      <x:c r="I1210" t="str">
        <x:v>DET</x:v>
      </x:c>
      <x:c r="J1210" t="n">
        <x:v>70</x:v>
      </x:c>
      <x:c r="K1210" t="str">
        <x:v>(4:04) (Shotgun) 16-J.Goff sacked at DET 24 for -6 yards (50-L.Rodriguez).</x:v>
      </x:c>
      <x:c r="L1210" t="str">
        <x:v>pass</x:v>
      </x:c>
      <x:c r="M1210" t="n">
        <x:v>-6</x:v>
      </x:c>
      <x:c r="N1210" t="n">
        <x:v>1</x:v>
      </x:c>
      <x:c r="O1210" t="n">
        <x:v>0</x:v>
      </x:c>
      <x:c r="P1210"/>
      <x:c r="Q1210"/>
      <x:c r="R1210"/>
      <x:c r="S1210"/>
      <x:c r="T1210"/>
      <x:c r="U1210"/>
      <x:c r="V1210" t="n">
        <x:v>0</x:v>
      </x:c>
      <x:c r="W1210" t="n">
        <x:v>0</x:v>
      </x:c>
      <x:c r="X1210" t="n">
        <x:v>1</x:v>
      </x:c>
      <x:c r="Y1210" t="n">
        <x:v>0</x:v>
      </x:c>
      <x:c r="Z1210" t="n">
        <x:v>0</x:v>
      </x:c>
      <x:c r="AA1210" t="n">
        <x:v>0</x:v>
      </x:c>
      <x:c r="AB1210"/>
      <x:c r="AC1210" t="n">
        <x:v>0</x:v>
      </x:c>
      <x:c r="AD1210" t="n">
        <x:v>-1.6184804113581777</x:v>
      </x:c>
      <x:c r="AE1210" t="n">
        <x:v>0</x:v>
      </x:c>
      <x:c r="AF1210" t="n">
        <x:v>-0.028973698616027832</x:v>
      </x:c>
      <x:c r="AG1210" t="n">
        <x:f>_xlfn.XLOOKUP($A1210,Games!$A$2:$A$18,Games!$B$2:$B$18,"Missing game",0)</x:f>
        <x:v>2025</x:v>
      </x:c>
      <x:c r="AH1210" t="str">
        <x:f>_xlfn.XLOOKUP($A1210,Games!$A$2:$A$18,Games!$C$2:$C$18,"Missing game",0)</x:f>
        <x:v>REG</x:v>
      </x:c>
      <x:c r="AI1210" t="n">
        <x:f>_xlfn.XLOOKUP($A1210,Games!$A$2:$A$18,Games!$D$2:$D$18,"Missing game",0)</x:f>
        <x:v>9</x:v>
      </x:c>
      <x:c r="AJ1210" s="1" t="n">
        <x:f>_xlfn.XLOOKUP($A1210,Games!$A$2:$A$18,Games!$E$2:$E$18,"Missing game",0)</x:f>
        <x:v>45963</x:v>
      </x:c>
      <x:c r="AK1210" t="str">
        <x:f>_xlfn.XLOOKUP($A1210,Games!$A$2:$A$18,Games!$F$2:$F$18,"Missing game",0)</x:f>
        <x:v>Sunday</x:v>
      </x:c>
      <x:c r="AL1210" t="str">
        <x:f>_xlfn.XLOOKUP($A1210,Games!$A$2:$A$18,Games!$G$2:$G$18,"Missing game",0)</x:f>
        <x:v>MIN</x:v>
      </x:c>
      <x:c r="AM1210" t="n">
        <x:f>_xlfn.XLOOKUP($A1210,Games!$A$2:$A$18,Games!$H$2:$H$18,"Missing game",0)</x:f>
        <x:v>27</x:v>
      </x:c>
      <x:c r="AN1210" t="str">
        <x:f>_xlfn.XLOOKUP($A1210,Games!$A$2:$A$18,Games!$I$2:$I$18,"Missing game",0)</x:f>
        <x:v>DET</x:v>
      </x:c>
      <x:c r="AO1210" t="n">
        <x:f>_xlfn.XLOOKUP($A1210,Games!$A$2:$A$18,Games!$J$2:$J$18,"Missing game",0)</x:f>
        <x:v>24</x:v>
      </x:c>
      <x:c r="AP1210" t="n">
        <x:f>_xlfn.XLOOKUP($A1210,Games!$A$2:$A$18,Games!$K$2:$K$18,"Missing game",0)</x:f>
        <x:v>-3</x:v>
      </x:c>
      <x:c r="AQ1210" t="n">
        <x:f>_xlfn.XLOOKUP($A1210,Games!$A$2:$A$18,Games!$L$2:$L$18,"Missing game",0)</x:f>
        <x:v>51</x:v>
      </x:c>
      <x:c r="AR1210" t="n">
        <x:f>_xlfn.XLOOKUP($A1210,Games!$A$2:$A$18,Games!$M$2:$M$18,"Missing game",0)</x:f>
        <x:v>0</x:v>
      </x:c>
      <x:c r="AS1210" t="str">
        <x:f>_xlfn.XLOOKUP($A1210,Games!$A$2:$A$18,Games!$N$2:$N$18,"Missing game",0)</x:f>
        <x:v>dome</x:v>
      </x:c>
      <x:c r="AT1210" t="str">
        <x:f>_xlfn.XLOOKUP($A1210,Games!$A$2:$A$18,Games!$O$2:$O$18,"Missing game",0)</x:f>
        <x:v>fieldturf</x:v>
      </x:c>
      <x:c r="AU1210" t="str">
        <x:f>_xlfn.XLOOKUP($A1210,Games!$A$2:$A$18,Games!$P$2:$P$18,"Missing game",0)</x:f>
      </x:c>
      <x:c r="AV1210" t="str">
        <x:f>_xlfn.XLOOKUP($A1210,Games!$A$2:$A$18,Games!$Q$2:$Q$18,"Missing game",0)</x:f>
      </x:c>
      <x:c r="AW1210" t="str">
        <x:f>_xlfn.XLOOKUP($A1210,Games!$A$2:$A$18,Games!$R$2:$R$18,"Missing game",0)</x:f>
        <x:v>Ford Field</x:v>
      </x:c>
    </x:row>
    <x:row r="1211">
      <x:c r="A1211" t="str">
        <x:v>2025_09_MIN_DET</x:v>
      </x:c>
      <x:c r="B1211" t="n">
        <x:v>767</x:v>
      </x:c>
      <x:c r="C1211" t="n">
        <x:v>1</x:v>
      </x:c>
      <x:c r="D1211" t="str">
        <x:v>03:23</x:v>
      </x:c>
      <x:c r="E1211" t="n">
        <x:v>2</x:v>
      </x:c>
      <x:c r="F1211" t="n">
        <x:v>16</x:v>
      </x:c>
      <x:c r="G1211" t="str">
        <x:v>DET</x:v>
      </x:c>
      <x:c r="H1211" t="str">
        <x:v>MIN</x:v>
      </x:c>
      <x:c r="I1211" t="str">
        <x:v>DET</x:v>
      </x:c>
      <x:c r="J1211" t="n">
        <x:v>76</x:v>
      </x:c>
      <x:c r="K1211" t="str">
        <x:v>(3:23) 0-J.Gibbs right end to DET 31 for 7 yards (26-T.Jackson; 51-B.Cashman).</x:v>
      </x:c>
      <x:c r="L1211" t="str">
        <x:v>run</x:v>
      </x:c>
      <x:c r="M1211" t="n">
        <x:v>7</x:v>
      </x:c>
      <x:c r="N1211" t="n">
        <x:v>0</x:v>
      </x:c>
      <x:c r="O1211" t="n">
        <x:v>0</x:v>
      </x:c>
      <x:c r="P1211"/>
      <x:c r="Q1211"/>
      <x:c r="R1211"/>
      <x:c r="S1211"/>
      <x:c r="T1211" t="str">
        <x:v>right</x:v>
      </x:c>
      <x:c r="U1211" t="str">
        <x:v>end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/>
      <x:c r="AC1211" t="n">
        <x:v>0</x:v>
      </x:c>
      <x:c r="AD1211" t="n">
        <x:v>0.2850018460303545</x:v>
      </x:c>
      <x:c r="AE1211" t="n">
        <x:v>1</x:v>
      </x:c>
      <x:c r="AF1211" t="n">
        <x:v>-0.005886465311050415</x:v>
      </x:c>
      <x:c r="AG1211" t="n">
        <x:f>_xlfn.XLOOKUP($A1211,Games!$A$2:$A$18,Games!$B$2:$B$18,"Missing game",0)</x:f>
        <x:v>2025</x:v>
      </x:c>
      <x:c r="AH1211" t="str">
        <x:f>_xlfn.XLOOKUP($A1211,Games!$A$2:$A$18,Games!$C$2:$C$18,"Missing game",0)</x:f>
        <x:v>REG</x:v>
      </x:c>
      <x:c r="AI1211" t="n">
        <x:f>_xlfn.XLOOKUP($A1211,Games!$A$2:$A$18,Games!$D$2:$D$18,"Missing game",0)</x:f>
        <x:v>9</x:v>
      </x:c>
      <x:c r="AJ1211" s="1" t="n">
        <x:f>_xlfn.XLOOKUP($A1211,Games!$A$2:$A$18,Games!$E$2:$E$18,"Missing game",0)</x:f>
        <x:v>45963</x:v>
      </x:c>
      <x:c r="AK1211" t="str">
        <x:f>_xlfn.XLOOKUP($A1211,Games!$A$2:$A$18,Games!$F$2:$F$18,"Missing game",0)</x:f>
        <x:v>Sunday</x:v>
      </x:c>
      <x:c r="AL1211" t="str">
        <x:f>_xlfn.XLOOKUP($A1211,Games!$A$2:$A$18,Games!$G$2:$G$18,"Missing game",0)</x:f>
        <x:v>MIN</x:v>
      </x:c>
      <x:c r="AM1211" t="n">
        <x:f>_xlfn.XLOOKUP($A1211,Games!$A$2:$A$18,Games!$H$2:$H$18,"Missing game",0)</x:f>
        <x:v>27</x:v>
      </x:c>
      <x:c r="AN1211" t="str">
        <x:f>_xlfn.XLOOKUP($A1211,Games!$A$2:$A$18,Games!$I$2:$I$18,"Missing game",0)</x:f>
        <x:v>DET</x:v>
      </x:c>
      <x:c r="AO1211" t="n">
        <x:f>_xlfn.XLOOKUP($A1211,Games!$A$2:$A$18,Games!$J$2:$J$18,"Missing game",0)</x:f>
        <x:v>24</x:v>
      </x:c>
      <x:c r="AP1211" t="n">
        <x:f>_xlfn.XLOOKUP($A1211,Games!$A$2:$A$18,Games!$K$2:$K$18,"Missing game",0)</x:f>
        <x:v>-3</x:v>
      </x:c>
      <x:c r="AQ1211" t="n">
        <x:f>_xlfn.XLOOKUP($A1211,Games!$A$2:$A$18,Games!$L$2:$L$18,"Missing game",0)</x:f>
        <x:v>51</x:v>
      </x:c>
      <x:c r="AR1211" t="n">
        <x:f>_xlfn.XLOOKUP($A1211,Games!$A$2:$A$18,Games!$M$2:$M$18,"Missing game",0)</x:f>
        <x:v>0</x:v>
      </x:c>
      <x:c r="AS1211" t="str">
        <x:f>_xlfn.XLOOKUP($A1211,Games!$A$2:$A$18,Games!$N$2:$N$18,"Missing game",0)</x:f>
        <x:v>dome</x:v>
      </x:c>
      <x:c r="AT1211" t="str">
        <x:f>_xlfn.XLOOKUP($A1211,Games!$A$2:$A$18,Games!$O$2:$O$18,"Missing game",0)</x:f>
        <x:v>fieldturf</x:v>
      </x:c>
      <x:c r="AU1211" t="str">
        <x:f>_xlfn.XLOOKUP($A1211,Games!$A$2:$A$18,Games!$P$2:$P$18,"Missing game",0)</x:f>
      </x:c>
      <x:c r="AV1211" t="str">
        <x:f>_xlfn.XLOOKUP($A1211,Games!$A$2:$A$18,Games!$Q$2:$Q$18,"Missing game",0)</x:f>
      </x:c>
      <x:c r="AW1211" t="str">
        <x:f>_xlfn.XLOOKUP($A1211,Games!$A$2:$A$18,Games!$R$2:$R$18,"Missing game",0)</x:f>
        <x:v>Ford Field</x:v>
      </x:c>
    </x:row>
    <x:row r="1212">
      <x:c r="A1212" t="str">
        <x:v>2025_09_MIN_DET</x:v>
      </x:c>
      <x:c r="B1212" t="n">
        <x:v>789</x:v>
      </x:c>
      <x:c r="C1212" t="n">
        <x:v>1</x:v>
      </x:c>
      <x:c r="D1212" t="str">
        <x:v>02:42</x:v>
      </x:c>
      <x:c r="E1212" t="n">
        <x:v>3</x:v>
      </x:c>
      <x:c r="F1212" t="n">
        <x:v>9</x:v>
      </x:c>
      <x:c r="G1212" t="str">
        <x:v>DET</x:v>
      </x:c>
      <x:c r="H1212" t="str">
        <x:v>MIN</x:v>
      </x:c>
      <x:c r="I1212" t="str">
        <x:v>DET</x:v>
      </x:c>
      <x:c r="J1212" t="n">
        <x:v>69</x:v>
      </x:c>
      <x:c r="K1212" t="str">
        <x:v>(2:42) (Shotgun) 16-J.Goff pass deep left to 14-A.St. Brown to 50 for 19 yards (7-B.Murphy).</x:v>
      </x:c>
      <x:c r="L1212" t="str">
        <x:v>pass</x:v>
      </x:c>
      <x:c r="M1212" t="n">
        <x:v>19</x:v>
      </x:c>
      <x:c r="N1212" t="n">
        <x:v>1</x:v>
      </x:c>
      <x:c r="O1212" t="n">
        <x:v>0</x:v>
      </x:c>
      <x:c r="P1212" t="str">
        <x:v>deep</x:v>
      </x:c>
      <x:c r="Q1212" t="str">
        <x:v>left</x:v>
      </x:c>
      <x:c r="R1212" t="n">
        <x:v>18</x:v>
      </x:c>
      <x:c r="S1212" t="n">
        <x:v>1</x:v>
      </x:c>
      <x:c r="T1212"/>
      <x:c r="U1212"/>
      <x:c r="V1212" t="n">
        <x:v>1</x:v>
      </x:c>
      <x:c r="W1212" t="n">
        <x:v>1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/>
      <x:c r="AC1212" t="n">
        <x:v>0</x:v>
      </x:c>
      <x:c r="AD1212" t="n">
        <x:v>2.5069336034357548</x:v>
      </x:c>
      <x:c r="AE1212" t="n">
        <x:v>1</x:v>
      </x:c>
      <x:c r="AF1212" t="n">
        <x:v>0.06544804573059082</x:v>
      </x:c>
      <x:c r="AG1212" t="n">
        <x:f>_xlfn.XLOOKUP($A1212,Games!$A$2:$A$18,Games!$B$2:$B$18,"Missing game",0)</x:f>
        <x:v>2025</x:v>
      </x:c>
      <x:c r="AH1212" t="str">
        <x:f>_xlfn.XLOOKUP($A1212,Games!$A$2:$A$18,Games!$C$2:$C$18,"Missing game",0)</x:f>
        <x:v>REG</x:v>
      </x:c>
      <x:c r="AI1212" t="n">
        <x:f>_xlfn.XLOOKUP($A1212,Games!$A$2:$A$18,Games!$D$2:$D$18,"Missing game",0)</x:f>
        <x:v>9</x:v>
      </x:c>
      <x:c r="AJ1212" s="1" t="n">
        <x:f>_xlfn.XLOOKUP($A1212,Games!$A$2:$A$18,Games!$E$2:$E$18,"Missing game",0)</x:f>
        <x:v>45963</x:v>
      </x:c>
      <x:c r="AK1212" t="str">
        <x:f>_xlfn.XLOOKUP($A1212,Games!$A$2:$A$18,Games!$F$2:$F$18,"Missing game",0)</x:f>
        <x:v>Sunday</x:v>
      </x:c>
      <x:c r="AL1212" t="str">
        <x:f>_xlfn.XLOOKUP($A1212,Games!$A$2:$A$18,Games!$G$2:$G$18,"Missing game",0)</x:f>
        <x:v>MIN</x:v>
      </x:c>
      <x:c r="AM1212" t="n">
        <x:f>_xlfn.XLOOKUP($A1212,Games!$A$2:$A$18,Games!$H$2:$H$18,"Missing game",0)</x:f>
        <x:v>27</x:v>
      </x:c>
      <x:c r="AN1212" t="str">
        <x:f>_xlfn.XLOOKUP($A1212,Games!$A$2:$A$18,Games!$I$2:$I$18,"Missing game",0)</x:f>
        <x:v>DET</x:v>
      </x:c>
      <x:c r="AO1212" t="n">
        <x:f>_xlfn.XLOOKUP($A1212,Games!$A$2:$A$18,Games!$J$2:$J$18,"Missing game",0)</x:f>
        <x:v>24</x:v>
      </x:c>
      <x:c r="AP1212" t="n">
        <x:f>_xlfn.XLOOKUP($A1212,Games!$A$2:$A$18,Games!$K$2:$K$18,"Missing game",0)</x:f>
        <x:v>-3</x:v>
      </x:c>
      <x:c r="AQ1212" t="n">
        <x:f>_xlfn.XLOOKUP($A1212,Games!$A$2:$A$18,Games!$L$2:$L$18,"Missing game",0)</x:f>
        <x:v>51</x:v>
      </x:c>
      <x:c r="AR1212" t="n">
        <x:f>_xlfn.XLOOKUP($A1212,Games!$A$2:$A$18,Games!$M$2:$M$18,"Missing game",0)</x:f>
        <x:v>0</x:v>
      </x:c>
      <x:c r="AS1212" t="str">
        <x:f>_xlfn.XLOOKUP($A1212,Games!$A$2:$A$18,Games!$N$2:$N$18,"Missing game",0)</x:f>
        <x:v>dome</x:v>
      </x:c>
      <x:c r="AT1212" t="str">
        <x:f>_xlfn.XLOOKUP($A1212,Games!$A$2:$A$18,Games!$O$2:$O$18,"Missing game",0)</x:f>
        <x:v>fieldturf</x:v>
      </x:c>
      <x:c r="AU1212" t="str">
        <x:f>_xlfn.XLOOKUP($A1212,Games!$A$2:$A$18,Games!$P$2:$P$18,"Missing game",0)</x:f>
      </x:c>
      <x:c r="AV1212" t="str">
        <x:f>_xlfn.XLOOKUP($A1212,Games!$A$2:$A$18,Games!$Q$2:$Q$18,"Missing game",0)</x:f>
      </x:c>
      <x:c r="AW1212" t="str">
        <x:f>_xlfn.XLOOKUP($A1212,Games!$A$2:$A$18,Games!$R$2:$R$18,"Missing game",0)</x:f>
        <x:v>Ford Field</x:v>
      </x:c>
    </x:row>
    <x:row r="1213">
      <x:c r="A1213" t="str">
        <x:v>2025_09_MIN_DET</x:v>
      </x:c>
      <x:c r="B1213" t="n">
        <x:v>814</x:v>
      </x:c>
      <x:c r="C1213" t="n">
        <x:v>1</x:v>
      </x:c>
      <x:c r="D1213" t="str">
        <x:v>01:58</x:v>
      </x:c>
      <x:c r="E1213" t="n">
        <x:v>1</x:v>
      </x:c>
      <x:c r="F1213" t="n">
        <x:v>10</x:v>
      </x:c>
      <x:c r="G1213" t="str">
        <x:v>DET</x:v>
      </x:c>
      <x:c r="H1213" t="str">
        <x:v>MIN</x:v>
      </x:c>
      <x:c r="I1213" t="str">
        <x:v>50</x:v>
      </x:c>
      <x:c r="J1213" t="n">
        <x:v>50</x:v>
      </x:c>
      <x:c r="K1213" t="str">
        <x:v>(1:58) 0-J.Gibbs up the middle to MIN 46 for 4 yards (51-B.Cashman; 0-I.Pace).</x:v>
      </x:c>
      <x:c r="L1213" t="str">
        <x:v>run</x:v>
      </x:c>
      <x:c r="M1213" t="n">
        <x:v>4</x:v>
      </x:c>
      <x:c r="N1213" t="n">
        <x:v>0</x:v>
      </x:c>
      <x:c r="O1213" t="n">
        <x:v>0</x:v>
      </x:c>
      <x:c r="P1213"/>
      <x:c r="Q1213"/>
      <x:c r="R1213"/>
      <x:c r="S1213"/>
      <x:c r="T1213" t="str">
        <x:v>middle</x:v>
      </x:c>
      <x:c r="U1213"/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/>
      <x:c r="AC1213" t="n">
        <x:v>0</x:v>
      </x:c>
      <x:c r="AD1213" t="n">
        <x:v>-0.24776545749045908</x:v>
      </x:c>
      <x:c r="AE1213" t="n">
        <x:v>0</x:v>
      </x:c>
      <x:c r="AF1213" t="n">
        <x:v>-0.01239052414894104</x:v>
      </x:c>
      <x:c r="AG1213" t="n">
        <x:f>_xlfn.XLOOKUP($A1213,Games!$A$2:$A$18,Games!$B$2:$B$18,"Missing game",0)</x:f>
        <x:v>2025</x:v>
      </x:c>
      <x:c r="AH1213" t="str">
        <x:f>_xlfn.XLOOKUP($A1213,Games!$A$2:$A$18,Games!$C$2:$C$18,"Missing game",0)</x:f>
        <x:v>REG</x:v>
      </x:c>
      <x:c r="AI1213" t="n">
        <x:f>_xlfn.XLOOKUP($A1213,Games!$A$2:$A$18,Games!$D$2:$D$18,"Missing game",0)</x:f>
        <x:v>9</x:v>
      </x:c>
      <x:c r="AJ1213" s="1" t="n">
        <x:f>_xlfn.XLOOKUP($A1213,Games!$A$2:$A$18,Games!$E$2:$E$18,"Missing game",0)</x:f>
        <x:v>45963</x:v>
      </x:c>
      <x:c r="AK1213" t="str">
        <x:f>_xlfn.XLOOKUP($A1213,Games!$A$2:$A$18,Games!$F$2:$F$18,"Missing game",0)</x:f>
        <x:v>Sunday</x:v>
      </x:c>
      <x:c r="AL1213" t="str">
        <x:f>_xlfn.XLOOKUP($A1213,Games!$A$2:$A$18,Games!$G$2:$G$18,"Missing game",0)</x:f>
        <x:v>MIN</x:v>
      </x:c>
      <x:c r="AM1213" t="n">
        <x:f>_xlfn.XLOOKUP($A1213,Games!$A$2:$A$18,Games!$H$2:$H$18,"Missing game",0)</x:f>
        <x:v>27</x:v>
      </x:c>
      <x:c r="AN1213" t="str">
        <x:f>_xlfn.XLOOKUP($A1213,Games!$A$2:$A$18,Games!$I$2:$I$18,"Missing game",0)</x:f>
        <x:v>DET</x:v>
      </x:c>
      <x:c r="AO1213" t="n">
        <x:f>_xlfn.XLOOKUP($A1213,Games!$A$2:$A$18,Games!$J$2:$J$18,"Missing game",0)</x:f>
        <x:v>24</x:v>
      </x:c>
      <x:c r="AP1213" t="n">
        <x:f>_xlfn.XLOOKUP($A1213,Games!$A$2:$A$18,Games!$K$2:$K$18,"Missing game",0)</x:f>
        <x:v>-3</x:v>
      </x:c>
      <x:c r="AQ1213" t="n">
        <x:f>_xlfn.XLOOKUP($A1213,Games!$A$2:$A$18,Games!$L$2:$L$18,"Missing game",0)</x:f>
        <x:v>51</x:v>
      </x:c>
      <x:c r="AR1213" t="n">
        <x:f>_xlfn.XLOOKUP($A1213,Games!$A$2:$A$18,Games!$M$2:$M$18,"Missing game",0)</x:f>
        <x:v>0</x:v>
      </x:c>
      <x:c r="AS1213" t="str">
        <x:f>_xlfn.XLOOKUP($A1213,Games!$A$2:$A$18,Games!$N$2:$N$18,"Missing game",0)</x:f>
        <x:v>dome</x:v>
      </x:c>
      <x:c r="AT1213" t="str">
        <x:f>_xlfn.XLOOKUP($A1213,Games!$A$2:$A$18,Games!$O$2:$O$18,"Missing game",0)</x:f>
        <x:v>fieldturf</x:v>
      </x:c>
      <x:c r="AU1213" t="str">
        <x:f>_xlfn.XLOOKUP($A1213,Games!$A$2:$A$18,Games!$P$2:$P$18,"Missing game",0)</x:f>
      </x:c>
      <x:c r="AV1213" t="str">
        <x:f>_xlfn.XLOOKUP($A1213,Games!$A$2:$A$18,Games!$Q$2:$Q$18,"Missing game",0)</x:f>
      </x:c>
      <x:c r="AW1213" t="str">
        <x:f>_xlfn.XLOOKUP($A1213,Games!$A$2:$A$18,Games!$R$2:$R$18,"Missing game",0)</x:f>
        <x:v>Ford Field</x:v>
      </x:c>
    </x:row>
    <x:row r="1214">
      <x:c r="A1214" t="str">
        <x:v>2025_09_MIN_DET</x:v>
      </x:c>
      <x:c r="B1214" t="n">
        <x:v>836</x:v>
      </x:c>
      <x:c r="C1214" t="n">
        <x:v>1</x:v>
      </x:c>
      <x:c r="D1214" t="str">
        <x:v>01:22</x:v>
      </x:c>
      <x:c r="E1214" t="n">
        <x:v>2</x:v>
      </x:c>
      <x:c r="F1214" t="n">
        <x:v>6</x:v>
      </x:c>
      <x:c r="G1214" t="str">
        <x:v>DET</x:v>
      </x:c>
      <x:c r="H1214" t="str">
        <x:v>MIN</x:v>
      </x:c>
      <x:c r="I1214" t="str">
        <x:v>MIN</x:v>
      </x:c>
      <x:c r="J1214" t="n">
        <x:v>46</x:v>
      </x:c>
      <x:c r="K1214" t="str">
        <x:v>(1:22) 16-J.Goff pass incomplete short middle to 87-S.LaPorta [50-L.Rodriguez].</x:v>
      </x:c>
      <x:c r="L1214" t="str">
        <x:v>pass</x:v>
      </x:c>
      <x:c r="M1214" t="n">
        <x:v>0</x:v>
      </x:c>
      <x:c r="N1214" t="n">
        <x:v>0</x:v>
      </x:c>
      <x:c r="O1214" t="n">
        <x:v>0</x:v>
      </x:c>
      <x:c r="P1214" t="str">
        <x:v>short</x:v>
      </x:c>
      <x:c r="Q1214" t="str">
        <x:v>middle</x:v>
      </x:c>
      <x:c r="R1214" t="n">
        <x:v>7</x:v>
      </x:c>
      <x:c r="S1214"/>
      <x:c r="T1214"/>
      <x:c r="U1214"/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/>
      <x:c r="AC1214" t="n">
        <x:v>0</x:v>
      </x:c>
      <x:c r="AD1214" t="n">
        <x:v>-0.8644621709827334</x:v>
      </x:c>
      <x:c r="AE1214" t="n">
        <x:v>0</x:v>
      </x:c>
      <x:c r="AF1214" t="n">
        <x:v>-0.01669764518737793</x:v>
      </x:c>
      <x:c r="AG1214" t="n">
        <x:f>_xlfn.XLOOKUP($A1214,Games!$A$2:$A$18,Games!$B$2:$B$18,"Missing game",0)</x:f>
        <x:v>2025</x:v>
      </x:c>
      <x:c r="AH1214" t="str">
        <x:f>_xlfn.XLOOKUP($A1214,Games!$A$2:$A$18,Games!$C$2:$C$18,"Missing game",0)</x:f>
        <x:v>REG</x:v>
      </x:c>
      <x:c r="AI1214" t="n">
        <x:f>_xlfn.XLOOKUP($A1214,Games!$A$2:$A$18,Games!$D$2:$D$18,"Missing game",0)</x:f>
        <x:v>9</x:v>
      </x:c>
      <x:c r="AJ1214" s="1" t="n">
        <x:f>_xlfn.XLOOKUP($A1214,Games!$A$2:$A$18,Games!$E$2:$E$18,"Missing game",0)</x:f>
        <x:v>45963</x:v>
      </x:c>
      <x:c r="AK1214" t="str">
        <x:f>_xlfn.XLOOKUP($A1214,Games!$A$2:$A$18,Games!$F$2:$F$18,"Missing game",0)</x:f>
        <x:v>Sunday</x:v>
      </x:c>
      <x:c r="AL1214" t="str">
        <x:f>_xlfn.XLOOKUP($A1214,Games!$A$2:$A$18,Games!$G$2:$G$18,"Missing game",0)</x:f>
        <x:v>MIN</x:v>
      </x:c>
      <x:c r="AM1214" t="n">
        <x:f>_xlfn.XLOOKUP($A1214,Games!$A$2:$A$18,Games!$H$2:$H$18,"Missing game",0)</x:f>
        <x:v>27</x:v>
      </x:c>
      <x:c r="AN1214" t="str">
        <x:f>_xlfn.XLOOKUP($A1214,Games!$A$2:$A$18,Games!$I$2:$I$18,"Missing game",0)</x:f>
        <x:v>DET</x:v>
      </x:c>
      <x:c r="AO1214" t="n">
        <x:f>_xlfn.XLOOKUP($A1214,Games!$A$2:$A$18,Games!$J$2:$J$18,"Missing game",0)</x:f>
        <x:v>24</x:v>
      </x:c>
      <x:c r="AP1214" t="n">
        <x:f>_xlfn.XLOOKUP($A1214,Games!$A$2:$A$18,Games!$K$2:$K$18,"Missing game",0)</x:f>
        <x:v>-3</x:v>
      </x:c>
      <x:c r="AQ1214" t="n">
        <x:f>_xlfn.XLOOKUP($A1214,Games!$A$2:$A$18,Games!$L$2:$L$18,"Missing game",0)</x:f>
        <x:v>51</x:v>
      </x:c>
      <x:c r="AR1214" t="n">
        <x:f>_xlfn.XLOOKUP($A1214,Games!$A$2:$A$18,Games!$M$2:$M$18,"Missing game",0)</x:f>
        <x:v>0</x:v>
      </x:c>
      <x:c r="AS1214" t="str">
        <x:f>_xlfn.XLOOKUP($A1214,Games!$A$2:$A$18,Games!$N$2:$N$18,"Missing game",0)</x:f>
        <x:v>dome</x:v>
      </x:c>
      <x:c r="AT1214" t="str">
        <x:f>_xlfn.XLOOKUP($A1214,Games!$A$2:$A$18,Games!$O$2:$O$18,"Missing game",0)</x:f>
        <x:v>fieldturf</x:v>
      </x:c>
      <x:c r="AU1214" t="str">
        <x:f>_xlfn.XLOOKUP($A1214,Games!$A$2:$A$18,Games!$P$2:$P$18,"Missing game",0)</x:f>
      </x:c>
      <x:c r="AV1214" t="str">
        <x:f>_xlfn.XLOOKUP($A1214,Games!$A$2:$A$18,Games!$Q$2:$Q$18,"Missing game",0)</x:f>
      </x:c>
      <x:c r="AW1214" t="str">
        <x:f>_xlfn.XLOOKUP($A1214,Games!$A$2:$A$18,Games!$R$2:$R$18,"Missing game",0)</x:f>
        <x:v>Ford Field</x:v>
      </x:c>
    </x:row>
    <x:row r="1215">
      <x:c r="A1215" t="str">
        <x:v>2025_09_MIN_DET</x:v>
      </x:c>
      <x:c r="B1215" t="n">
        <x:v>859</x:v>
      </x:c>
      <x:c r="C1215" t="n">
        <x:v>1</x:v>
      </x:c>
      <x:c r="D1215" t="str">
        <x:v>01:16</x:v>
      </x:c>
      <x:c r="E1215" t="n">
        <x:v>3</x:v>
      </x:c>
      <x:c r="F1215" t="n">
        <x:v>6</x:v>
      </x:c>
      <x:c r="G1215" t="str">
        <x:v>DET</x:v>
      </x:c>
      <x:c r="H1215" t="str">
        <x:v>MIN</x:v>
      </x:c>
      <x:c r="I1215" t="str">
        <x:v>MIN</x:v>
      </x:c>
      <x:c r="J1215" t="n">
        <x:v>46</x:v>
      </x:c>
      <x:c r="K1215" t="str">
        <x:v>(1:16) (Shotgun) 16-J.Goff sacked at DET 44 for -10 yards (55-E.Wilson).</x:v>
      </x:c>
      <x:c r="L1215" t="str">
        <x:v>pass</x:v>
      </x:c>
      <x:c r="M1215" t="n">
        <x:v>-10</x:v>
      </x:c>
      <x:c r="N1215" t="n">
        <x:v>1</x:v>
      </x:c>
      <x:c r="O1215" t="n">
        <x:v>0</x:v>
      </x:c>
      <x:c r="P1215"/>
      <x:c r="Q1215"/>
      <x:c r="R1215"/>
      <x:c r="S1215"/>
      <x:c r="T1215"/>
      <x:c r="U1215"/>
      <x:c r="V1215" t="n">
        <x:v>0</x:v>
      </x:c>
      <x:c r="W1215" t="n">
        <x:v>0</x:v>
      </x:c>
      <x:c r="X1215" t="n">
        <x:v>1</x:v>
      </x:c>
      <x:c r="Y1215" t="n">
        <x:v>0</x:v>
      </x:c>
      <x:c r="Z1215" t="n">
        <x:v>0</x:v>
      </x:c>
      <x:c r="AA1215" t="n">
        <x:v>0</x:v>
      </x:c>
      <x:c r="AB1215"/>
      <x:c r="AC1215" t="n">
        <x:v>0</x:v>
      </x:c>
      <x:c r="AD1215" t="n">
        <x:v>-2.578124024439603</x:v>
      </x:c>
      <x:c r="AE1215" t="n">
        <x:v>0</x:v>
      </x:c>
      <x:c r="AF1215" t="n">
        <x:v>-0.05289334058761597</x:v>
      </x:c>
      <x:c r="AG1215" t="n">
        <x:f>_xlfn.XLOOKUP($A1215,Games!$A$2:$A$18,Games!$B$2:$B$18,"Missing game",0)</x:f>
        <x:v>2025</x:v>
      </x:c>
      <x:c r="AH1215" t="str">
        <x:f>_xlfn.XLOOKUP($A1215,Games!$A$2:$A$18,Games!$C$2:$C$18,"Missing game",0)</x:f>
        <x:v>REG</x:v>
      </x:c>
      <x:c r="AI1215" t="n">
        <x:f>_xlfn.XLOOKUP($A1215,Games!$A$2:$A$18,Games!$D$2:$D$18,"Missing game",0)</x:f>
        <x:v>9</x:v>
      </x:c>
      <x:c r="AJ1215" s="1" t="n">
        <x:f>_xlfn.XLOOKUP($A1215,Games!$A$2:$A$18,Games!$E$2:$E$18,"Missing game",0)</x:f>
        <x:v>45963</x:v>
      </x:c>
      <x:c r="AK1215" t="str">
        <x:f>_xlfn.XLOOKUP($A1215,Games!$A$2:$A$18,Games!$F$2:$F$18,"Missing game",0)</x:f>
        <x:v>Sunday</x:v>
      </x:c>
      <x:c r="AL1215" t="str">
        <x:f>_xlfn.XLOOKUP($A1215,Games!$A$2:$A$18,Games!$G$2:$G$18,"Missing game",0)</x:f>
        <x:v>MIN</x:v>
      </x:c>
      <x:c r="AM1215" t="n">
        <x:f>_xlfn.XLOOKUP($A1215,Games!$A$2:$A$18,Games!$H$2:$H$18,"Missing game",0)</x:f>
        <x:v>27</x:v>
      </x:c>
      <x:c r="AN1215" t="str">
        <x:f>_xlfn.XLOOKUP($A1215,Games!$A$2:$A$18,Games!$I$2:$I$18,"Missing game",0)</x:f>
        <x:v>DET</x:v>
      </x:c>
      <x:c r="AO1215" t="n">
        <x:f>_xlfn.XLOOKUP($A1215,Games!$A$2:$A$18,Games!$J$2:$J$18,"Missing game",0)</x:f>
        <x:v>24</x:v>
      </x:c>
      <x:c r="AP1215" t="n">
        <x:f>_xlfn.XLOOKUP($A1215,Games!$A$2:$A$18,Games!$K$2:$K$18,"Missing game",0)</x:f>
        <x:v>-3</x:v>
      </x:c>
      <x:c r="AQ1215" t="n">
        <x:f>_xlfn.XLOOKUP($A1215,Games!$A$2:$A$18,Games!$L$2:$L$18,"Missing game",0)</x:f>
        <x:v>51</x:v>
      </x:c>
      <x:c r="AR1215" t="n">
        <x:f>_xlfn.XLOOKUP($A1215,Games!$A$2:$A$18,Games!$M$2:$M$18,"Missing game",0)</x:f>
        <x:v>0</x:v>
      </x:c>
      <x:c r="AS1215" t="str">
        <x:f>_xlfn.XLOOKUP($A1215,Games!$A$2:$A$18,Games!$N$2:$N$18,"Missing game",0)</x:f>
        <x:v>dome</x:v>
      </x:c>
      <x:c r="AT1215" t="str">
        <x:f>_xlfn.XLOOKUP($A1215,Games!$A$2:$A$18,Games!$O$2:$O$18,"Missing game",0)</x:f>
        <x:v>fieldturf</x:v>
      </x:c>
      <x:c r="AU1215" t="str">
        <x:f>_xlfn.XLOOKUP($A1215,Games!$A$2:$A$18,Games!$P$2:$P$18,"Missing game",0)</x:f>
      </x:c>
      <x:c r="AV1215" t="str">
        <x:f>_xlfn.XLOOKUP($A1215,Games!$A$2:$A$18,Games!$Q$2:$Q$18,"Missing game",0)</x:f>
      </x:c>
      <x:c r="AW1215" t="str">
        <x:f>_xlfn.XLOOKUP($A1215,Games!$A$2:$A$18,Games!$R$2:$R$18,"Missing game",0)</x:f>
        <x:v>Ford Field</x:v>
      </x:c>
    </x:row>
    <x:row r="1216">
      <x:c r="A1216" t="str">
        <x:v>2025_09_MIN_DET</x:v>
      </x:c>
      <x:c r="B1216" t="n">
        <x:v>879</x:v>
      </x:c>
      <x:c r="C1216" t="n">
        <x:v>1</x:v>
      </x:c>
      <x:c r="D1216" t="str">
        <x:v>00:38</x:v>
      </x:c>
      <x:c r="E1216" t="n">
        <x:v>4</x:v>
      </x:c>
      <x:c r="F1216" t="n">
        <x:v>16</x:v>
      </x:c>
      <x:c r="G1216" t="str">
        <x:v>DET</x:v>
      </x:c>
      <x:c r="H1216" t="str">
        <x:v>MIN</x:v>
      </x:c>
      <x:c r="I1216" t="str">
        <x:v>DET</x:v>
      </x:c>
      <x:c r="J1216" t="n">
        <x:v>56</x:v>
      </x:c>
      <x:c r="K1216" t="str">
        <x:v>(:38) 3-J.Fox punts 43 yards to MIN 13, Center-49-H.Hatten, fair catch by 4-M.Price. PENALTY on MIN-13-T.Felton, Offensive Holding, 6 yards, enforced at MIN 13.</x:v>
      </x:c>
      <x:c r="L1216" t="str">
        <x:v>punt</x:v>
      </x:c>
      <x:c r="M1216" t="n">
        <x:v>0</x:v>
      </x:c>
      <x:c r="N1216" t="n">
        <x:v>0</x:v>
      </x:c>
      <x:c r="O1216" t="n">
        <x:v>0</x:v>
      </x:c>
      <x:c r="P1216"/>
      <x:c r="Q1216"/>
      <x:c r="R1216"/>
      <x:c r="S1216"/>
      <x:c r="T1216"/>
      <x:c r="U1216"/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1</x:v>
      </x:c>
      <x:c r="AB1216" t="n">
        <x:v>6</x:v>
      </x:c>
      <x:c r="AC1216" t="n">
        <x:v>0</x:v>
      </x:c>
      <x:c r="AD1216" t="n">
        <x:v>0.6353769383858889</x:v>
      </x:c>
      <x:c r="AE1216" t="n">
        <x:v>1</x:v>
      </x:c>
      <x:c r="AF1216" t="n">
        <x:v>0.030489444732666016</x:v>
      </x:c>
      <x:c r="AG1216" t="n">
        <x:f>_xlfn.XLOOKUP($A1216,Games!$A$2:$A$18,Games!$B$2:$B$18,"Missing game",0)</x:f>
        <x:v>2025</x:v>
      </x:c>
      <x:c r="AH1216" t="str">
        <x:f>_xlfn.XLOOKUP($A1216,Games!$A$2:$A$18,Games!$C$2:$C$18,"Missing game",0)</x:f>
        <x:v>REG</x:v>
      </x:c>
      <x:c r="AI1216" t="n">
        <x:f>_xlfn.XLOOKUP($A1216,Games!$A$2:$A$18,Games!$D$2:$D$18,"Missing game",0)</x:f>
        <x:v>9</x:v>
      </x:c>
      <x:c r="AJ1216" s="1" t="n">
        <x:f>_xlfn.XLOOKUP($A1216,Games!$A$2:$A$18,Games!$E$2:$E$18,"Missing game",0)</x:f>
        <x:v>45963</x:v>
      </x:c>
      <x:c r="AK1216" t="str">
        <x:f>_xlfn.XLOOKUP($A1216,Games!$A$2:$A$18,Games!$F$2:$F$18,"Missing game",0)</x:f>
        <x:v>Sunday</x:v>
      </x:c>
      <x:c r="AL1216" t="str">
        <x:f>_xlfn.XLOOKUP($A1216,Games!$A$2:$A$18,Games!$G$2:$G$18,"Missing game",0)</x:f>
        <x:v>MIN</x:v>
      </x:c>
      <x:c r="AM1216" t="n">
        <x:f>_xlfn.XLOOKUP($A1216,Games!$A$2:$A$18,Games!$H$2:$H$18,"Missing game",0)</x:f>
        <x:v>27</x:v>
      </x:c>
      <x:c r="AN1216" t="str">
        <x:f>_xlfn.XLOOKUP($A1216,Games!$A$2:$A$18,Games!$I$2:$I$18,"Missing game",0)</x:f>
        <x:v>DET</x:v>
      </x:c>
      <x:c r="AO1216" t="n">
        <x:f>_xlfn.XLOOKUP($A1216,Games!$A$2:$A$18,Games!$J$2:$J$18,"Missing game",0)</x:f>
        <x:v>24</x:v>
      </x:c>
      <x:c r="AP1216" t="n">
        <x:f>_xlfn.XLOOKUP($A1216,Games!$A$2:$A$18,Games!$K$2:$K$18,"Missing game",0)</x:f>
        <x:v>-3</x:v>
      </x:c>
      <x:c r="AQ1216" t="n">
        <x:f>_xlfn.XLOOKUP($A1216,Games!$A$2:$A$18,Games!$L$2:$L$18,"Missing game",0)</x:f>
        <x:v>51</x:v>
      </x:c>
      <x:c r="AR1216" t="n">
        <x:f>_xlfn.XLOOKUP($A1216,Games!$A$2:$A$18,Games!$M$2:$M$18,"Missing game",0)</x:f>
        <x:v>0</x:v>
      </x:c>
      <x:c r="AS1216" t="str">
        <x:f>_xlfn.XLOOKUP($A1216,Games!$A$2:$A$18,Games!$N$2:$N$18,"Missing game",0)</x:f>
        <x:v>dome</x:v>
      </x:c>
      <x:c r="AT1216" t="str">
        <x:f>_xlfn.XLOOKUP($A1216,Games!$A$2:$A$18,Games!$O$2:$O$18,"Missing game",0)</x:f>
        <x:v>fieldturf</x:v>
      </x:c>
      <x:c r="AU1216" t="str">
        <x:f>_xlfn.XLOOKUP($A1216,Games!$A$2:$A$18,Games!$P$2:$P$18,"Missing game",0)</x:f>
      </x:c>
      <x:c r="AV1216" t="str">
        <x:f>_xlfn.XLOOKUP($A1216,Games!$A$2:$A$18,Games!$Q$2:$Q$18,"Missing game",0)</x:f>
      </x:c>
      <x:c r="AW1216" t="str">
        <x:f>_xlfn.XLOOKUP($A1216,Games!$A$2:$A$18,Games!$R$2:$R$18,"Missing game",0)</x:f>
        <x:v>Ford Field</x:v>
      </x:c>
    </x:row>
    <x:row r="1217">
      <x:c r="A1217" t="str">
        <x:v>2025_09_MIN_DET</x:v>
      </x:c>
      <x:c r="B1217" t="n">
        <x:v>910</x:v>
      </x:c>
      <x:c r="C1217" t="n">
        <x:v>1</x:v>
      </x:c>
      <x:c r="D1217" t="str">
        <x:v>00:31</x:v>
      </x:c>
      <x:c r="E1217" t="n">
        <x:v>1</x:v>
      </x:c>
      <x:c r="F1217" t="n">
        <x:v>10</x:v>
      </x:c>
      <x:c r="G1217" t="str">
        <x:v>MIN</x:v>
      </x:c>
      <x:c r="H1217" t="str">
        <x:v>DET</x:v>
      </x:c>
      <x:c r="I1217" t="str">
        <x:v>MIN</x:v>
      </x:c>
      <x:c r="J1217" t="n">
        <x:v>93</x:v>
      </x:c>
      <x:c r="K1217" t="str">
        <x:v>(:31) (Shotgun) 27-J.Mason up the middle to MIN 8 for 1 yard (78-T.Lacy; 34-A.Anzalone).</x:v>
      </x:c>
      <x:c r="L1217" t="str">
        <x:v>run</x:v>
      </x:c>
      <x:c r="M1217" t="n">
        <x:v>1</x:v>
      </x:c>
      <x:c r="N1217" t="n">
        <x:v>1</x:v>
      </x:c>
      <x:c r="O1217" t="n">
        <x:v>0</x:v>
      </x:c>
      <x:c r="P1217"/>
      <x:c r="Q1217"/>
      <x:c r="R1217"/>
      <x:c r="S1217"/>
      <x:c r="T1217" t="str">
        <x:v>middle</x:v>
      </x:c>
      <x:c r="U1217"/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/>
      <x:c r="AC1217" t="n">
        <x:v>0</x:v>
      </x:c>
      <x:c r="AD1217" t="n">
        <x:v>-0.6018822549376637</x:v>
      </x:c>
      <x:c r="AE1217" t="n">
        <x:v>0</x:v>
      </x:c>
      <x:c r="AF1217" t="n">
        <x:v>-0.015255570411682129</x:v>
      </x:c>
      <x:c r="AG1217" t="n">
        <x:f>_xlfn.XLOOKUP($A1217,Games!$A$2:$A$18,Games!$B$2:$B$18,"Missing game",0)</x:f>
        <x:v>2025</x:v>
      </x:c>
      <x:c r="AH1217" t="str">
        <x:f>_xlfn.XLOOKUP($A1217,Games!$A$2:$A$18,Games!$C$2:$C$18,"Missing game",0)</x:f>
        <x:v>REG</x:v>
      </x:c>
      <x:c r="AI1217" t="n">
        <x:f>_xlfn.XLOOKUP($A1217,Games!$A$2:$A$18,Games!$D$2:$D$18,"Missing game",0)</x:f>
        <x:v>9</x:v>
      </x:c>
      <x:c r="AJ1217" s="1" t="n">
        <x:f>_xlfn.XLOOKUP($A1217,Games!$A$2:$A$18,Games!$E$2:$E$18,"Missing game",0)</x:f>
        <x:v>45963</x:v>
      </x:c>
      <x:c r="AK1217" t="str">
        <x:f>_xlfn.XLOOKUP($A1217,Games!$A$2:$A$18,Games!$F$2:$F$18,"Missing game",0)</x:f>
        <x:v>Sunday</x:v>
      </x:c>
      <x:c r="AL1217" t="str">
        <x:f>_xlfn.XLOOKUP($A1217,Games!$A$2:$A$18,Games!$G$2:$G$18,"Missing game",0)</x:f>
        <x:v>MIN</x:v>
      </x:c>
      <x:c r="AM1217" t="n">
        <x:f>_xlfn.XLOOKUP($A1217,Games!$A$2:$A$18,Games!$H$2:$H$18,"Missing game",0)</x:f>
        <x:v>27</x:v>
      </x:c>
      <x:c r="AN1217" t="str">
        <x:f>_xlfn.XLOOKUP($A1217,Games!$A$2:$A$18,Games!$I$2:$I$18,"Missing game",0)</x:f>
        <x:v>DET</x:v>
      </x:c>
      <x:c r="AO1217" t="n">
        <x:f>_xlfn.XLOOKUP($A1217,Games!$A$2:$A$18,Games!$J$2:$J$18,"Missing game",0)</x:f>
        <x:v>24</x:v>
      </x:c>
      <x:c r="AP1217" t="n">
        <x:f>_xlfn.XLOOKUP($A1217,Games!$A$2:$A$18,Games!$K$2:$K$18,"Missing game",0)</x:f>
        <x:v>-3</x:v>
      </x:c>
      <x:c r="AQ1217" t="n">
        <x:f>_xlfn.XLOOKUP($A1217,Games!$A$2:$A$18,Games!$L$2:$L$18,"Missing game",0)</x:f>
        <x:v>51</x:v>
      </x:c>
      <x:c r="AR1217" t="n">
        <x:f>_xlfn.XLOOKUP($A1217,Games!$A$2:$A$18,Games!$M$2:$M$18,"Missing game",0)</x:f>
        <x:v>0</x:v>
      </x:c>
      <x:c r="AS1217" t="str">
        <x:f>_xlfn.XLOOKUP($A1217,Games!$A$2:$A$18,Games!$N$2:$N$18,"Missing game",0)</x:f>
        <x:v>dome</x:v>
      </x:c>
      <x:c r="AT1217" t="str">
        <x:f>_xlfn.XLOOKUP($A1217,Games!$A$2:$A$18,Games!$O$2:$O$18,"Missing game",0)</x:f>
        <x:v>fieldturf</x:v>
      </x:c>
      <x:c r="AU1217" t="str">
        <x:f>_xlfn.XLOOKUP($A1217,Games!$A$2:$A$18,Games!$P$2:$P$18,"Missing game",0)</x:f>
      </x:c>
      <x:c r="AV1217" t="str">
        <x:f>_xlfn.XLOOKUP($A1217,Games!$A$2:$A$18,Games!$Q$2:$Q$18,"Missing game",0)</x:f>
      </x:c>
      <x:c r="AW1217" t="str">
        <x:f>_xlfn.XLOOKUP($A1217,Games!$A$2:$A$18,Games!$R$2:$R$18,"Missing game",0)</x:f>
        <x:v>Ford Field</x:v>
      </x:c>
    </x:row>
    <x:row r="1218">
      <x:c r="A1218" t="str">
        <x:v>2025_09_MIN_DET</x:v>
      </x:c>
      <x:c r="B1218" t="n">
        <x:v>932</x:v>
      </x:c>
      <x:c r="C1218" t="n">
        <x:v>1</x:v>
      </x:c>
      <x:c r="D1218" t="str">
        <x:v>00:00</x:v>
      </x:c>
      <x:c r="E1218"/>
      <x:c r="F1218" t="n">
        <x:v>0</x:v>
      </x:c>
      <x:c r="G1218" t="str">
        <x:v>MIN</x:v>
      </x:c>
      <x:c r="H1218" t="str">
        <x:v>DET</x:v>
      </x:c>
      <x:c r="I1218"/>
      <x:c r="J1218"/>
      <x:c r="K1218" t="str">
        <x:v>END QUARTER 1</x:v>
      </x:c>
      <x:c r="L1218"/>
      <x:c r="M1218"/>
      <x:c r="N1218" t="n">
        <x:v>0</x:v>
      </x:c>
      <x:c r="O1218" t="n">
        <x:v>0</x:v>
      </x:c>
      <x:c r="P1218"/>
      <x:c r="Q1218"/>
      <x:c r="R1218"/>
      <x:c r="S1218"/>
      <x:c r="T1218"/>
      <x:c r="U1218"/>
      <x:c r="V1218"/>
      <x:c r="W1218"/>
      <x:c r="X1218"/>
      <x:c r="Y1218"/>
      <x:c r="Z1218"/>
      <x:c r="AA1218"/>
      <x:c r="AB1218"/>
      <x:c r="AC1218"/>
      <x:c r="AD1218" t="n">
        <x:v>0</x:v>
      </x:c>
      <x:c r="AE1218" t="n">
        <x:v>0</x:v>
      </x:c>
      <x:c r="AF1218" t="n">
        <x:v>0</x:v>
      </x:c>
      <x:c r="AG1218" t="n">
        <x:f>_xlfn.XLOOKUP($A1218,Games!$A$2:$A$18,Games!$B$2:$B$18,"Missing game",0)</x:f>
        <x:v>2025</x:v>
      </x:c>
      <x:c r="AH1218" t="str">
        <x:f>_xlfn.XLOOKUP($A1218,Games!$A$2:$A$18,Games!$C$2:$C$18,"Missing game",0)</x:f>
        <x:v>REG</x:v>
      </x:c>
      <x:c r="AI1218" t="n">
        <x:f>_xlfn.XLOOKUP($A1218,Games!$A$2:$A$18,Games!$D$2:$D$18,"Missing game",0)</x:f>
        <x:v>9</x:v>
      </x:c>
      <x:c r="AJ1218" s="1" t="n">
        <x:f>_xlfn.XLOOKUP($A1218,Games!$A$2:$A$18,Games!$E$2:$E$18,"Missing game",0)</x:f>
        <x:v>45963</x:v>
      </x:c>
      <x:c r="AK1218" t="str">
        <x:f>_xlfn.XLOOKUP($A1218,Games!$A$2:$A$18,Games!$F$2:$F$18,"Missing game",0)</x:f>
        <x:v>Sunday</x:v>
      </x:c>
      <x:c r="AL1218" t="str">
        <x:f>_xlfn.XLOOKUP($A1218,Games!$A$2:$A$18,Games!$G$2:$G$18,"Missing game",0)</x:f>
        <x:v>MIN</x:v>
      </x:c>
      <x:c r="AM1218" t="n">
        <x:f>_xlfn.XLOOKUP($A1218,Games!$A$2:$A$18,Games!$H$2:$H$18,"Missing game",0)</x:f>
        <x:v>27</x:v>
      </x:c>
      <x:c r="AN1218" t="str">
        <x:f>_xlfn.XLOOKUP($A1218,Games!$A$2:$A$18,Games!$I$2:$I$18,"Missing game",0)</x:f>
        <x:v>DET</x:v>
      </x:c>
      <x:c r="AO1218" t="n">
        <x:f>_xlfn.XLOOKUP($A1218,Games!$A$2:$A$18,Games!$J$2:$J$18,"Missing game",0)</x:f>
        <x:v>24</x:v>
      </x:c>
      <x:c r="AP1218" t="n">
        <x:f>_xlfn.XLOOKUP($A1218,Games!$A$2:$A$18,Games!$K$2:$K$18,"Missing game",0)</x:f>
        <x:v>-3</x:v>
      </x:c>
      <x:c r="AQ1218" t="n">
        <x:f>_xlfn.XLOOKUP($A1218,Games!$A$2:$A$18,Games!$L$2:$L$18,"Missing game",0)</x:f>
        <x:v>51</x:v>
      </x:c>
      <x:c r="AR1218" t="n">
        <x:f>_xlfn.XLOOKUP($A1218,Games!$A$2:$A$18,Games!$M$2:$M$18,"Missing game",0)</x:f>
        <x:v>0</x:v>
      </x:c>
      <x:c r="AS1218" t="str">
        <x:f>_xlfn.XLOOKUP($A1218,Games!$A$2:$A$18,Games!$N$2:$N$18,"Missing game",0)</x:f>
        <x:v>dome</x:v>
      </x:c>
      <x:c r="AT1218" t="str">
        <x:f>_xlfn.XLOOKUP($A1218,Games!$A$2:$A$18,Games!$O$2:$O$18,"Missing game",0)</x:f>
        <x:v>fieldturf</x:v>
      </x:c>
      <x:c r="AU1218" t="str">
        <x:f>_xlfn.XLOOKUP($A1218,Games!$A$2:$A$18,Games!$P$2:$P$18,"Missing game",0)</x:f>
      </x:c>
      <x:c r="AV1218" t="str">
        <x:f>_xlfn.XLOOKUP($A1218,Games!$A$2:$A$18,Games!$Q$2:$Q$18,"Missing game",0)</x:f>
      </x:c>
      <x:c r="AW1218" t="str">
        <x:f>_xlfn.XLOOKUP($A1218,Games!$A$2:$A$18,Games!$R$2:$R$18,"Missing game",0)</x:f>
        <x:v>Ford Field</x:v>
      </x:c>
    </x:row>
    <x:row r="1219">
      <x:c r="A1219" t="str">
        <x:v>2025_09_MIN_DET</x:v>
      </x:c>
      <x:c r="B1219" t="n">
        <x:v>952</x:v>
      </x:c>
      <x:c r="C1219" t="n">
        <x:v>2</x:v>
      </x:c>
      <x:c r="D1219" t="str">
        <x:v>15:00</x:v>
      </x:c>
      <x:c r="E1219" t="n">
        <x:v>2</x:v>
      </x:c>
      <x:c r="F1219" t="n">
        <x:v>9</x:v>
      </x:c>
      <x:c r="G1219" t="str">
        <x:v>MIN</x:v>
      </x:c>
      <x:c r="H1219" t="str">
        <x:v>DET</x:v>
      </x:c>
      <x:c r="I1219" t="str">
        <x:v>MIN</x:v>
      </x:c>
      <x:c r="J1219" t="n">
        <x:v>92</x:v>
      </x:c>
      <x:c r="K1219" t="str">
        <x:v>(15:00) (Shotgun) 9-J.McCarthy sacked at MIN 4 for -4 yards (55-D.Barnes).</x:v>
      </x:c>
      <x:c r="L1219" t="str">
        <x:v>pass</x:v>
      </x:c>
      <x:c r="M1219" t="n">
        <x:v>-4</x:v>
      </x:c>
      <x:c r="N1219" t="n">
        <x:v>1</x:v>
      </x:c>
      <x:c r="O1219" t="n">
        <x:v>0</x:v>
      </x:c>
      <x:c r="P1219"/>
      <x:c r="Q1219"/>
      <x:c r="R1219"/>
      <x:c r="S1219"/>
      <x:c r="T1219"/>
      <x:c r="U1219"/>
      <x:c r="V1219" t="n">
        <x:v>0</x:v>
      </x:c>
      <x:c r="W1219" t="n">
        <x:v>0</x:v>
      </x:c>
      <x:c r="X1219" t="n">
        <x:v>1</x:v>
      </x:c>
      <x:c r="Y1219" t="n">
        <x:v>0</x:v>
      </x:c>
      <x:c r="Z1219" t="n">
        <x:v>0</x:v>
      </x:c>
      <x:c r="AA1219" t="n">
        <x:v>0</x:v>
      </x:c>
      <x:c r="AB1219"/>
      <x:c r="AC1219" t="n">
        <x:v>0</x:v>
      </x:c>
      <x:c r="AD1219" t="n">
        <x:v>-1.4676943207159638</x:v>
      </x:c>
      <x:c r="AE1219" t="n">
        <x:v>0</x:v>
      </x:c>
      <x:c r="AF1219" t="n">
        <x:v>-0.03213983774185181</x:v>
      </x:c>
      <x:c r="AG1219" t="n">
        <x:f>_xlfn.XLOOKUP($A1219,Games!$A$2:$A$18,Games!$B$2:$B$18,"Missing game",0)</x:f>
        <x:v>2025</x:v>
      </x:c>
      <x:c r="AH1219" t="str">
        <x:f>_xlfn.XLOOKUP($A1219,Games!$A$2:$A$18,Games!$C$2:$C$18,"Missing game",0)</x:f>
        <x:v>REG</x:v>
      </x:c>
      <x:c r="AI1219" t="n">
        <x:f>_xlfn.XLOOKUP($A1219,Games!$A$2:$A$18,Games!$D$2:$D$18,"Missing game",0)</x:f>
        <x:v>9</x:v>
      </x:c>
      <x:c r="AJ1219" s="1" t="n">
        <x:f>_xlfn.XLOOKUP($A1219,Games!$A$2:$A$18,Games!$E$2:$E$18,"Missing game",0)</x:f>
        <x:v>45963</x:v>
      </x:c>
      <x:c r="AK1219" t="str">
        <x:f>_xlfn.XLOOKUP($A1219,Games!$A$2:$A$18,Games!$F$2:$F$18,"Missing game",0)</x:f>
        <x:v>Sunday</x:v>
      </x:c>
      <x:c r="AL1219" t="str">
        <x:f>_xlfn.XLOOKUP($A1219,Games!$A$2:$A$18,Games!$G$2:$G$18,"Missing game",0)</x:f>
        <x:v>MIN</x:v>
      </x:c>
      <x:c r="AM1219" t="n">
        <x:f>_xlfn.XLOOKUP($A1219,Games!$A$2:$A$18,Games!$H$2:$H$18,"Missing game",0)</x:f>
        <x:v>27</x:v>
      </x:c>
      <x:c r="AN1219" t="str">
        <x:f>_xlfn.XLOOKUP($A1219,Games!$A$2:$A$18,Games!$I$2:$I$18,"Missing game",0)</x:f>
        <x:v>DET</x:v>
      </x:c>
      <x:c r="AO1219" t="n">
        <x:f>_xlfn.XLOOKUP($A1219,Games!$A$2:$A$18,Games!$J$2:$J$18,"Missing game",0)</x:f>
        <x:v>24</x:v>
      </x:c>
      <x:c r="AP1219" t="n">
        <x:f>_xlfn.XLOOKUP($A1219,Games!$A$2:$A$18,Games!$K$2:$K$18,"Missing game",0)</x:f>
        <x:v>-3</x:v>
      </x:c>
      <x:c r="AQ1219" t="n">
        <x:f>_xlfn.XLOOKUP($A1219,Games!$A$2:$A$18,Games!$L$2:$L$18,"Missing game",0)</x:f>
        <x:v>51</x:v>
      </x:c>
      <x:c r="AR1219" t="n">
        <x:f>_xlfn.XLOOKUP($A1219,Games!$A$2:$A$18,Games!$M$2:$M$18,"Missing game",0)</x:f>
        <x:v>0</x:v>
      </x:c>
      <x:c r="AS1219" t="str">
        <x:f>_xlfn.XLOOKUP($A1219,Games!$A$2:$A$18,Games!$N$2:$N$18,"Missing game",0)</x:f>
        <x:v>dome</x:v>
      </x:c>
      <x:c r="AT1219" t="str">
        <x:f>_xlfn.XLOOKUP($A1219,Games!$A$2:$A$18,Games!$O$2:$O$18,"Missing game",0)</x:f>
        <x:v>fieldturf</x:v>
      </x:c>
      <x:c r="AU1219" t="str">
        <x:f>_xlfn.XLOOKUP($A1219,Games!$A$2:$A$18,Games!$P$2:$P$18,"Missing game",0)</x:f>
      </x:c>
      <x:c r="AV1219" t="str">
        <x:f>_xlfn.XLOOKUP($A1219,Games!$A$2:$A$18,Games!$Q$2:$Q$18,"Missing game",0)</x:f>
      </x:c>
      <x:c r="AW1219" t="str">
        <x:f>_xlfn.XLOOKUP($A1219,Games!$A$2:$A$18,Games!$R$2:$R$18,"Missing game",0)</x:f>
        <x:v>Ford Field</x:v>
      </x:c>
    </x:row>
    <x:row r="1220">
      <x:c r="A1220" t="str">
        <x:v>2025_09_MIN_DET</x:v>
      </x:c>
      <x:c r="B1220" t="n">
        <x:v>972</x:v>
      </x:c>
      <x:c r="C1220" t="n">
        <x:v>2</x:v>
      </x:c>
      <x:c r="D1220" t="str">
        <x:v>14:13</x:v>
      </x:c>
      <x:c r="E1220" t="n">
        <x:v>3</x:v>
      </x:c>
      <x:c r="F1220" t="n">
        <x:v>13</x:v>
      </x:c>
      <x:c r="G1220" t="str">
        <x:v>MIN</x:v>
      </x:c>
      <x:c r="H1220" t="str">
        <x:v>DET</x:v>
      </x:c>
      <x:c r="I1220" t="str">
        <x:v>MIN</x:v>
      </x:c>
      <x:c r="J1220" t="n">
        <x:v>96</x:v>
      </x:c>
      <x:c r="K1220" t="str">
        <x:v>(14:13) (Shotgun) 9-J.McCarthy pass incomplete short left to 87-T.Hockenson.</x:v>
      </x:c>
      <x:c r="L1220" t="str">
        <x:v>pass</x:v>
      </x:c>
      <x:c r="M1220" t="n">
        <x:v>0</x:v>
      </x:c>
      <x:c r="N1220" t="n">
        <x:v>1</x:v>
      </x:c>
      <x:c r="O1220" t="n">
        <x:v>0</x:v>
      </x:c>
      <x:c r="P1220" t="str">
        <x:v>short</x:v>
      </x:c>
      <x:c r="Q1220" t="str">
        <x:v>left</x:v>
      </x:c>
      <x:c r="R1220" t="n">
        <x:v>4</x:v>
      </x:c>
      <x:c r="S1220"/>
      <x:c r="T1220"/>
      <x:c r="U1220"/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/>
      <x:c r="AC1220" t="n">
        <x:v>0</x:v>
      </x:c>
      <x:c r="AD1220" t="n">
        <x:v>-0.9547712646890432</x:v>
      </x:c>
      <x:c r="AE1220" t="n">
        <x:v>0</x:v>
      </x:c>
      <x:c r="AF1220" t="n">
        <x:v>-0.023382961750030518</x:v>
      </x:c>
      <x:c r="AG1220" t="n">
        <x:f>_xlfn.XLOOKUP($A1220,Games!$A$2:$A$18,Games!$B$2:$B$18,"Missing game",0)</x:f>
        <x:v>2025</x:v>
      </x:c>
      <x:c r="AH1220" t="str">
        <x:f>_xlfn.XLOOKUP($A1220,Games!$A$2:$A$18,Games!$C$2:$C$18,"Missing game",0)</x:f>
        <x:v>REG</x:v>
      </x:c>
      <x:c r="AI1220" t="n">
        <x:f>_xlfn.XLOOKUP($A1220,Games!$A$2:$A$18,Games!$D$2:$D$18,"Missing game",0)</x:f>
        <x:v>9</x:v>
      </x:c>
      <x:c r="AJ1220" s="1" t="n">
        <x:f>_xlfn.XLOOKUP($A1220,Games!$A$2:$A$18,Games!$E$2:$E$18,"Missing game",0)</x:f>
        <x:v>45963</x:v>
      </x:c>
      <x:c r="AK1220" t="str">
        <x:f>_xlfn.XLOOKUP($A1220,Games!$A$2:$A$18,Games!$F$2:$F$18,"Missing game",0)</x:f>
        <x:v>Sunday</x:v>
      </x:c>
      <x:c r="AL1220" t="str">
        <x:f>_xlfn.XLOOKUP($A1220,Games!$A$2:$A$18,Games!$G$2:$G$18,"Missing game",0)</x:f>
        <x:v>MIN</x:v>
      </x:c>
      <x:c r="AM1220" t="n">
        <x:f>_xlfn.XLOOKUP($A1220,Games!$A$2:$A$18,Games!$H$2:$H$18,"Missing game",0)</x:f>
        <x:v>27</x:v>
      </x:c>
      <x:c r="AN1220" t="str">
        <x:f>_xlfn.XLOOKUP($A1220,Games!$A$2:$A$18,Games!$I$2:$I$18,"Missing game",0)</x:f>
        <x:v>DET</x:v>
      </x:c>
      <x:c r="AO1220" t="n">
        <x:f>_xlfn.XLOOKUP($A1220,Games!$A$2:$A$18,Games!$J$2:$J$18,"Missing game",0)</x:f>
        <x:v>24</x:v>
      </x:c>
      <x:c r="AP1220" t="n">
        <x:f>_xlfn.XLOOKUP($A1220,Games!$A$2:$A$18,Games!$K$2:$K$18,"Missing game",0)</x:f>
        <x:v>-3</x:v>
      </x:c>
      <x:c r="AQ1220" t="n">
        <x:f>_xlfn.XLOOKUP($A1220,Games!$A$2:$A$18,Games!$L$2:$L$18,"Missing game",0)</x:f>
        <x:v>51</x:v>
      </x:c>
      <x:c r="AR1220" t="n">
        <x:f>_xlfn.XLOOKUP($A1220,Games!$A$2:$A$18,Games!$M$2:$M$18,"Missing game",0)</x:f>
        <x:v>0</x:v>
      </x:c>
      <x:c r="AS1220" t="str">
        <x:f>_xlfn.XLOOKUP($A1220,Games!$A$2:$A$18,Games!$N$2:$N$18,"Missing game",0)</x:f>
        <x:v>dome</x:v>
      </x:c>
      <x:c r="AT1220" t="str">
        <x:f>_xlfn.XLOOKUP($A1220,Games!$A$2:$A$18,Games!$O$2:$O$18,"Missing game",0)</x:f>
        <x:v>fieldturf</x:v>
      </x:c>
      <x:c r="AU1220" t="str">
        <x:f>_xlfn.XLOOKUP($A1220,Games!$A$2:$A$18,Games!$P$2:$P$18,"Missing game",0)</x:f>
      </x:c>
      <x:c r="AV1220" t="str">
        <x:f>_xlfn.XLOOKUP($A1220,Games!$A$2:$A$18,Games!$Q$2:$Q$18,"Missing game",0)</x:f>
      </x:c>
      <x:c r="AW1220" t="str">
        <x:f>_xlfn.XLOOKUP($A1220,Games!$A$2:$A$18,Games!$R$2:$R$18,"Missing game",0)</x:f>
        <x:v>Ford Field</x:v>
      </x:c>
    </x:row>
    <x:row r="1221">
      <x:c r="A1221" t="str">
        <x:v>2025_09_MIN_DET</x:v>
      </x:c>
      <x:c r="B1221" t="n">
        <x:v>995</x:v>
      </x:c>
      <x:c r="C1221" t="n">
        <x:v>2</x:v>
      </x:c>
      <x:c r="D1221" t="str">
        <x:v>14:08</x:v>
      </x:c>
      <x:c r="E1221" t="n">
        <x:v>4</x:v>
      </x:c>
      <x:c r="F1221" t="n">
        <x:v>13</x:v>
      </x:c>
      <x:c r="G1221" t="str">
        <x:v>MIN</x:v>
      </x:c>
      <x:c r="H1221" t="str">
        <x:v>DET</x:v>
      </x:c>
      <x:c r="I1221" t="str">
        <x:v>MIN</x:v>
      </x:c>
      <x:c r="J1221" t="n">
        <x:v>96</x:v>
      </x:c>
      <x:c r="K1221" t="str">
        <x:v>(14:08) 17-R.Wright punts 44 yards to MIN 48, Center-42-A.DePaola. 11-K.Raymond to MIN 35 for 13 yards (36-Z.Scott; 85-B.Yurosek).</x:v>
      </x:c>
      <x:c r="L1221" t="str">
        <x:v>punt</x:v>
      </x:c>
      <x:c r="M1221" t="n">
        <x:v>0</x:v>
      </x:c>
      <x:c r="N1221" t="n">
        <x:v>0</x:v>
      </x:c>
      <x:c r="O1221" t="n">
        <x:v>0</x:v>
      </x:c>
      <x:c r="P1221"/>
      <x:c r="Q1221"/>
      <x:c r="R1221"/>
      <x:c r="S1221"/>
      <x:c r="T1221"/>
      <x:c r="U1221"/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/>
      <x:c r="AC1221" t="n">
        <x:v>0</x:v>
      </x:c>
      <x:c r="AD1221" t="n">
        <x:v>-0.7229295034194365</x:v>
      </x:c>
      <x:c r="AE1221" t="n">
        <x:v>0</x:v>
      </x:c>
      <x:c r="AF1221" t="n">
        <x:v>0.006208568811416626</x:v>
      </x:c>
      <x:c r="AG1221" t="n">
        <x:f>_xlfn.XLOOKUP($A1221,Games!$A$2:$A$18,Games!$B$2:$B$18,"Missing game",0)</x:f>
        <x:v>2025</x:v>
      </x:c>
      <x:c r="AH1221" t="str">
        <x:f>_xlfn.XLOOKUP($A1221,Games!$A$2:$A$18,Games!$C$2:$C$18,"Missing game",0)</x:f>
        <x:v>REG</x:v>
      </x:c>
      <x:c r="AI1221" t="n">
        <x:f>_xlfn.XLOOKUP($A1221,Games!$A$2:$A$18,Games!$D$2:$D$18,"Missing game",0)</x:f>
        <x:v>9</x:v>
      </x:c>
      <x:c r="AJ1221" s="1" t="n">
        <x:f>_xlfn.XLOOKUP($A1221,Games!$A$2:$A$18,Games!$E$2:$E$18,"Missing game",0)</x:f>
        <x:v>45963</x:v>
      </x:c>
      <x:c r="AK1221" t="str">
        <x:f>_xlfn.XLOOKUP($A1221,Games!$A$2:$A$18,Games!$F$2:$F$18,"Missing game",0)</x:f>
        <x:v>Sunday</x:v>
      </x:c>
      <x:c r="AL1221" t="str">
        <x:f>_xlfn.XLOOKUP($A1221,Games!$A$2:$A$18,Games!$G$2:$G$18,"Missing game",0)</x:f>
        <x:v>MIN</x:v>
      </x:c>
      <x:c r="AM1221" t="n">
        <x:f>_xlfn.XLOOKUP($A1221,Games!$A$2:$A$18,Games!$H$2:$H$18,"Missing game",0)</x:f>
        <x:v>27</x:v>
      </x:c>
      <x:c r="AN1221" t="str">
        <x:f>_xlfn.XLOOKUP($A1221,Games!$A$2:$A$18,Games!$I$2:$I$18,"Missing game",0)</x:f>
        <x:v>DET</x:v>
      </x:c>
      <x:c r="AO1221" t="n">
        <x:f>_xlfn.XLOOKUP($A1221,Games!$A$2:$A$18,Games!$J$2:$J$18,"Missing game",0)</x:f>
        <x:v>24</x:v>
      </x:c>
      <x:c r="AP1221" t="n">
        <x:f>_xlfn.XLOOKUP($A1221,Games!$A$2:$A$18,Games!$K$2:$K$18,"Missing game",0)</x:f>
        <x:v>-3</x:v>
      </x:c>
      <x:c r="AQ1221" t="n">
        <x:f>_xlfn.XLOOKUP($A1221,Games!$A$2:$A$18,Games!$L$2:$L$18,"Missing game",0)</x:f>
        <x:v>51</x:v>
      </x:c>
      <x:c r="AR1221" t="n">
        <x:f>_xlfn.XLOOKUP($A1221,Games!$A$2:$A$18,Games!$M$2:$M$18,"Missing game",0)</x:f>
        <x:v>0</x:v>
      </x:c>
      <x:c r="AS1221" t="str">
        <x:f>_xlfn.XLOOKUP($A1221,Games!$A$2:$A$18,Games!$N$2:$N$18,"Missing game",0)</x:f>
        <x:v>dome</x:v>
      </x:c>
      <x:c r="AT1221" t="str">
        <x:f>_xlfn.XLOOKUP($A1221,Games!$A$2:$A$18,Games!$O$2:$O$18,"Missing game",0)</x:f>
        <x:v>fieldturf</x:v>
      </x:c>
      <x:c r="AU1221" t="str">
        <x:f>_xlfn.XLOOKUP($A1221,Games!$A$2:$A$18,Games!$P$2:$P$18,"Missing game",0)</x:f>
      </x:c>
      <x:c r="AV1221" t="str">
        <x:f>_xlfn.XLOOKUP($A1221,Games!$A$2:$A$18,Games!$Q$2:$Q$18,"Missing game",0)</x:f>
      </x:c>
      <x:c r="AW1221" t="str">
        <x:f>_xlfn.XLOOKUP($A1221,Games!$A$2:$A$18,Games!$R$2:$R$18,"Missing game",0)</x:f>
        <x:v>Ford Field</x:v>
      </x:c>
    </x:row>
    <x:row r="1222">
      <x:c r="A1222" t="str">
        <x:v>2025_09_MIN_DET</x:v>
      </x:c>
      <x:c r="B1222" t="n">
        <x:v>1021</x:v>
      </x:c>
      <x:c r="C1222" t="n">
        <x:v>2</x:v>
      </x:c>
      <x:c r="D1222" t="str">
        <x:v>13:58</x:v>
      </x:c>
      <x:c r="E1222" t="n">
        <x:v>1</x:v>
      </x:c>
      <x:c r="F1222" t="n">
        <x:v>10</x:v>
      </x:c>
      <x:c r="G1222" t="str">
        <x:v>DET</x:v>
      </x:c>
      <x:c r="H1222" t="str">
        <x:v>MIN</x:v>
      </x:c>
      <x:c r="I1222" t="str">
        <x:v>MIN</x:v>
      </x:c>
      <x:c r="J1222" t="n">
        <x:v>35</x:v>
      </x:c>
      <x:c r="K1222" t="str">
        <x:v>(13:58) 16-J.Goff pass short left to 87-S.LaPorta to MIN 30 for 5 yards (51-B.Cashman).</x:v>
      </x:c>
      <x:c r="L1222" t="str">
        <x:v>pass</x:v>
      </x:c>
      <x:c r="M1222" t="n">
        <x:v>5</x:v>
      </x:c>
      <x:c r="N1222" t="n">
        <x:v>0</x:v>
      </x:c>
      <x:c r="O1222" t="n">
        <x:v>0</x:v>
      </x:c>
      <x:c r="P1222" t="str">
        <x:v>short</x:v>
      </x:c>
      <x:c r="Q1222" t="str">
        <x:v>left</x:v>
      </x:c>
      <x:c r="R1222" t="n">
        <x:v>5</x:v>
      </x:c>
      <x:c r="S1222" t="n">
        <x:v>0</x:v>
      </x:c>
      <x:c r="T1222"/>
      <x:c r="U1222"/>
      <x:c r="V1222" t="n">
        <x:v>1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/>
      <x:c r="AC1222" t="n">
        <x:v>0</x:v>
      </x:c>
      <x:c r="AD1222" t="n">
        <x:v>0.06222600443288684</x:v>
      </x:c>
      <x:c r="AE1222" t="n">
        <x:v>1</x:v>
      </x:c>
      <x:c r="AF1222" t="n">
        <x:v>0.004056960344314575</x:v>
      </x:c>
      <x:c r="AG1222" t="n">
        <x:f>_xlfn.XLOOKUP($A1222,Games!$A$2:$A$18,Games!$B$2:$B$18,"Missing game",0)</x:f>
        <x:v>2025</x:v>
      </x:c>
      <x:c r="AH1222" t="str">
        <x:f>_xlfn.XLOOKUP($A1222,Games!$A$2:$A$18,Games!$C$2:$C$18,"Missing game",0)</x:f>
        <x:v>REG</x:v>
      </x:c>
      <x:c r="AI1222" t="n">
        <x:f>_xlfn.XLOOKUP($A1222,Games!$A$2:$A$18,Games!$D$2:$D$18,"Missing game",0)</x:f>
        <x:v>9</x:v>
      </x:c>
      <x:c r="AJ1222" s="1" t="n">
        <x:f>_xlfn.XLOOKUP($A1222,Games!$A$2:$A$18,Games!$E$2:$E$18,"Missing game",0)</x:f>
        <x:v>45963</x:v>
      </x:c>
      <x:c r="AK1222" t="str">
        <x:f>_xlfn.XLOOKUP($A1222,Games!$A$2:$A$18,Games!$F$2:$F$18,"Missing game",0)</x:f>
        <x:v>Sunday</x:v>
      </x:c>
      <x:c r="AL1222" t="str">
        <x:f>_xlfn.XLOOKUP($A1222,Games!$A$2:$A$18,Games!$G$2:$G$18,"Missing game",0)</x:f>
        <x:v>MIN</x:v>
      </x:c>
      <x:c r="AM1222" t="n">
        <x:f>_xlfn.XLOOKUP($A1222,Games!$A$2:$A$18,Games!$H$2:$H$18,"Missing game",0)</x:f>
        <x:v>27</x:v>
      </x:c>
      <x:c r="AN1222" t="str">
        <x:f>_xlfn.XLOOKUP($A1222,Games!$A$2:$A$18,Games!$I$2:$I$18,"Missing game",0)</x:f>
        <x:v>DET</x:v>
      </x:c>
      <x:c r="AO1222" t="n">
        <x:f>_xlfn.XLOOKUP($A1222,Games!$A$2:$A$18,Games!$J$2:$J$18,"Missing game",0)</x:f>
        <x:v>24</x:v>
      </x:c>
      <x:c r="AP1222" t="n">
        <x:f>_xlfn.XLOOKUP($A1222,Games!$A$2:$A$18,Games!$K$2:$K$18,"Missing game",0)</x:f>
        <x:v>-3</x:v>
      </x:c>
      <x:c r="AQ1222" t="n">
        <x:f>_xlfn.XLOOKUP($A1222,Games!$A$2:$A$18,Games!$L$2:$L$18,"Missing game",0)</x:f>
        <x:v>51</x:v>
      </x:c>
      <x:c r="AR1222" t="n">
        <x:f>_xlfn.XLOOKUP($A1222,Games!$A$2:$A$18,Games!$M$2:$M$18,"Missing game",0)</x:f>
        <x:v>0</x:v>
      </x:c>
      <x:c r="AS1222" t="str">
        <x:f>_xlfn.XLOOKUP($A1222,Games!$A$2:$A$18,Games!$N$2:$N$18,"Missing game",0)</x:f>
        <x:v>dome</x:v>
      </x:c>
      <x:c r="AT1222" t="str">
        <x:f>_xlfn.XLOOKUP($A1222,Games!$A$2:$A$18,Games!$O$2:$O$18,"Missing game",0)</x:f>
        <x:v>fieldturf</x:v>
      </x:c>
      <x:c r="AU1222" t="str">
        <x:f>_xlfn.XLOOKUP($A1222,Games!$A$2:$A$18,Games!$P$2:$P$18,"Missing game",0)</x:f>
      </x:c>
      <x:c r="AV1222" t="str">
        <x:f>_xlfn.XLOOKUP($A1222,Games!$A$2:$A$18,Games!$Q$2:$Q$18,"Missing game",0)</x:f>
      </x:c>
      <x:c r="AW1222" t="str">
        <x:f>_xlfn.XLOOKUP($A1222,Games!$A$2:$A$18,Games!$R$2:$R$18,"Missing game",0)</x:f>
        <x:v>Ford Field</x:v>
      </x:c>
    </x:row>
    <x:row r="1223">
      <x:c r="A1223" t="str">
        <x:v>2025_09_MIN_DET</x:v>
      </x:c>
      <x:c r="B1223" t="n">
        <x:v>1053</x:v>
      </x:c>
      <x:c r="C1223" t="n">
        <x:v>2</x:v>
      </x:c>
      <x:c r="D1223" t="str">
        <x:v>13:33</x:v>
      </x:c>
      <x:c r="E1223" t="n">
        <x:v>2</x:v>
      </x:c>
      <x:c r="F1223" t="n">
        <x:v>5</x:v>
      </x:c>
      <x:c r="G1223" t="str">
        <x:v>DET</x:v>
      </x:c>
      <x:c r="H1223" t="str">
        <x:v>MIN</x:v>
      </x:c>
      <x:c r="I1223" t="str">
        <x:v>MIN</x:v>
      </x:c>
      <x:c r="J1223" t="n">
        <x:v>30</x:v>
      </x:c>
      <x:c r="K1223" t="str">
        <x:v>(13:33) (No Huddle) 5-D.Montgomery right tackle to MIN 26 for 4 yards (44-J.Metellus; 51-B.Cashman).</x:v>
      </x:c>
      <x:c r="L1223" t="str">
        <x:v>run</x:v>
      </x:c>
      <x:c r="M1223" t="n">
        <x:v>4</x:v>
      </x:c>
      <x:c r="N1223" t="n">
        <x:v>0</x:v>
      </x:c>
      <x:c r="O1223" t="n">
        <x:v>1</x:v>
      </x:c>
      <x:c r="P1223"/>
      <x:c r="Q1223"/>
      <x:c r="R1223"/>
      <x:c r="S1223"/>
      <x:c r="T1223" t="str">
        <x:v>right</x:v>
      </x:c>
      <x:c r="U1223" t="str">
        <x:v>tackle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/>
      <x:c r="AC1223" t="n">
        <x:v>0</x:v>
      </x:c>
      <x:c r="AD1223" t="n">
        <x:v>0.08227545500267297</x:v>
      </x:c>
      <x:c r="AE1223" t="n">
        <x:v>1</x:v>
      </x:c>
      <x:c r="AF1223" t="n">
        <x:v>0.01498425006866455</x:v>
      </x:c>
      <x:c r="AG1223" t="n">
        <x:f>_xlfn.XLOOKUP($A1223,Games!$A$2:$A$18,Games!$B$2:$B$18,"Missing game",0)</x:f>
        <x:v>2025</x:v>
      </x:c>
      <x:c r="AH1223" t="str">
        <x:f>_xlfn.XLOOKUP($A1223,Games!$A$2:$A$18,Games!$C$2:$C$18,"Missing game",0)</x:f>
        <x:v>REG</x:v>
      </x:c>
      <x:c r="AI1223" t="n">
        <x:f>_xlfn.XLOOKUP($A1223,Games!$A$2:$A$18,Games!$D$2:$D$18,"Missing game",0)</x:f>
        <x:v>9</x:v>
      </x:c>
      <x:c r="AJ1223" s="1" t="n">
        <x:f>_xlfn.XLOOKUP($A1223,Games!$A$2:$A$18,Games!$E$2:$E$18,"Missing game",0)</x:f>
        <x:v>45963</x:v>
      </x:c>
      <x:c r="AK1223" t="str">
        <x:f>_xlfn.XLOOKUP($A1223,Games!$A$2:$A$18,Games!$F$2:$F$18,"Missing game",0)</x:f>
        <x:v>Sunday</x:v>
      </x:c>
      <x:c r="AL1223" t="str">
        <x:f>_xlfn.XLOOKUP($A1223,Games!$A$2:$A$18,Games!$G$2:$G$18,"Missing game",0)</x:f>
        <x:v>MIN</x:v>
      </x:c>
      <x:c r="AM1223" t="n">
        <x:f>_xlfn.XLOOKUP($A1223,Games!$A$2:$A$18,Games!$H$2:$H$18,"Missing game",0)</x:f>
        <x:v>27</x:v>
      </x:c>
      <x:c r="AN1223" t="str">
        <x:f>_xlfn.XLOOKUP($A1223,Games!$A$2:$A$18,Games!$I$2:$I$18,"Missing game",0)</x:f>
        <x:v>DET</x:v>
      </x:c>
      <x:c r="AO1223" t="n">
        <x:f>_xlfn.XLOOKUP($A1223,Games!$A$2:$A$18,Games!$J$2:$J$18,"Missing game",0)</x:f>
        <x:v>24</x:v>
      </x:c>
      <x:c r="AP1223" t="n">
        <x:f>_xlfn.XLOOKUP($A1223,Games!$A$2:$A$18,Games!$K$2:$K$18,"Missing game",0)</x:f>
        <x:v>-3</x:v>
      </x:c>
      <x:c r="AQ1223" t="n">
        <x:f>_xlfn.XLOOKUP($A1223,Games!$A$2:$A$18,Games!$L$2:$L$18,"Missing game",0)</x:f>
        <x:v>51</x:v>
      </x:c>
      <x:c r="AR1223" t="n">
        <x:f>_xlfn.XLOOKUP($A1223,Games!$A$2:$A$18,Games!$M$2:$M$18,"Missing game",0)</x:f>
        <x:v>0</x:v>
      </x:c>
      <x:c r="AS1223" t="str">
        <x:f>_xlfn.XLOOKUP($A1223,Games!$A$2:$A$18,Games!$N$2:$N$18,"Missing game",0)</x:f>
        <x:v>dome</x:v>
      </x:c>
      <x:c r="AT1223" t="str">
        <x:f>_xlfn.XLOOKUP($A1223,Games!$A$2:$A$18,Games!$O$2:$O$18,"Missing game",0)</x:f>
        <x:v>fieldturf</x:v>
      </x:c>
      <x:c r="AU1223" t="str">
        <x:f>_xlfn.XLOOKUP($A1223,Games!$A$2:$A$18,Games!$P$2:$P$18,"Missing game",0)</x:f>
      </x:c>
      <x:c r="AV1223" t="str">
        <x:f>_xlfn.XLOOKUP($A1223,Games!$A$2:$A$18,Games!$Q$2:$Q$18,"Missing game",0)</x:f>
      </x:c>
      <x:c r="AW1223" t="str">
        <x:f>_xlfn.XLOOKUP($A1223,Games!$A$2:$A$18,Games!$R$2:$R$18,"Missing game",0)</x:f>
        <x:v>Ford Field</x:v>
      </x:c>
    </x:row>
    <x:row r="1224">
      <x:c r="A1224" t="str">
        <x:v>2025_09_MIN_DET</x:v>
      </x:c>
      <x:c r="B1224" t="n">
        <x:v>1075</x:v>
      </x:c>
      <x:c r="C1224" t="n">
        <x:v>2</x:v>
      </x:c>
      <x:c r="D1224" t="str">
        <x:v>13:02</x:v>
      </x:c>
      <x:c r="E1224" t="n">
        <x:v>3</x:v>
      </x:c>
      <x:c r="F1224" t="n">
        <x:v>1</x:v>
      </x:c>
      <x:c r="G1224" t="str">
        <x:v>DET</x:v>
      </x:c>
      <x:c r="H1224" t="str">
        <x:v>MIN</x:v>
      </x:c>
      <x:c r="I1224" t="str">
        <x:v>MIN</x:v>
      </x:c>
      <x:c r="J1224" t="n">
        <x:v>26</x:v>
      </x:c>
      <x:c r="K1224" t="str">
        <x:v>(13:02) (No Huddle) 5-D.Montgomery up the middle to MIN 25 for 1 yard (97-J.Hargrave; 61-J.Redmond).</x:v>
      </x:c>
      <x:c r="L1224" t="str">
        <x:v>run</x:v>
      </x:c>
      <x:c r="M1224" t="n">
        <x:v>1</x:v>
      </x:c>
      <x:c r="N1224" t="n">
        <x:v>0</x:v>
      </x:c>
      <x:c r="O1224" t="n">
        <x:v>1</x:v>
      </x:c>
      <x:c r="P1224"/>
      <x:c r="Q1224"/>
      <x:c r="R1224"/>
      <x:c r="S1224"/>
      <x:c r="T1224" t="str">
        <x:v>middle</x:v>
      </x:c>
      <x:c r="U1224"/>
      <x:c r="V1224" t="n">
        <x:v>0</x:v>
      </x:c>
      <x:c r="W1224" t="n">
        <x:v>1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/>
      <x:c r="AC1224" t="n">
        <x:v>0</x:v>
      </x:c>
      <x:c r="AD1224" t="n">
        <x:v>0.4898802333045751</x:v>
      </x:c>
      <x:c r="AE1224" t="n">
        <x:v>1</x:v>
      </x:c>
      <x:c r="AF1224" t="n">
        <x:v>0.008481979370117188</x:v>
      </x:c>
      <x:c r="AG1224" t="n">
        <x:f>_xlfn.XLOOKUP($A1224,Games!$A$2:$A$18,Games!$B$2:$B$18,"Missing game",0)</x:f>
        <x:v>2025</x:v>
      </x:c>
      <x:c r="AH1224" t="str">
        <x:f>_xlfn.XLOOKUP($A1224,Games!$A$2:$A$18,Games!$C$2:$C$18,"Missing game",0)</x:f>
        <x:v>REG</x:v>
      </x:c>
      <x:c r="AI1224" t="n">
        <x:f>_xlfn.XLOOKUP($A1224,Games!$A$2:$A$18,Games!$D$2:$D$18,"Missing game",0)</x:f>
        <x:v>9</x:v>
      </x:c>
      <x:c r="AJ1224" s="1" t="n">
        <x:f>_xlfn.XLOOKUP($A1224,Games!$A$2:$A$18,Games!$E$2:$E$18,"Missing game",0)</x:f>
        <x:v>45963</x:v>
      </x:c>
      <x:c r="AK1224" t="str">
        <x:f>_xlfn.XLOOKUP($A1224,Games!$A$2:$A$18,Games!$F$2:$F$18,"Missing game",0)</x:f>
        <x:v>Sunday</x:v>
      </x:c>
      <x:c r="AL1224" t="str">
        <x:f>_xlfn.XLOOKUP($A1224,Games!$A$2:$A$18,Games!$G$2:$G$18,"Missing game",0)</x:f>
        <x:v>MIN</x:v>
      </x:c>
      <x:c r="AM1224" t="n">
        <x:f>_xlfn.XLOOKUP($A1224,Games!$A$2:$A$18,Games!$H$2:$H$18,"Missing game",0)</x:f>
        <x:v>27</x:v>
      </x:c>
      <x:c r="AN1224" t="str">
        <x:f>_xlfn.XLOOKUP($A1224,Games!$A$2:$A$18,Games!$I$2:$I$18,"Missing game",0)</x:f>
        <x:v>DET</x:v>
      </x:c>
      <x:c r="AO1224" t="n">
        <x:f>_xlfn.XLOOKUP($A1224,Games!$A$2:$A$18,Games!$J$2:$J$18,"Missing game",0)</x:f>
        <x:v>24</x:v>
      </x:c>
      <x:c r="AP1224" t="n">
        <x:f>_xlfn.XLOOKUP($A1224,Games!$A$2:$A$18,Games!$K$2:$K$18,"Missing game",0)</x:f>
        <x:v>-3</x:v>
      </x:c>
      <x:c r="AQ1224" t="n">
        <x:f>_xlfn.XLOOKUP($A1224,Games!$A$2:$A$18,Games!$L$2:$L$18,"Missing game",0)</x:f>
        <x:v>51</x:v>
      </x:c>
      <x:c r="AR1224" t="n">
        <x:f>_xlfn.XLOOKUP($A1224,Games!$A$2:$A$18,Games!$M$2:$M$18,"Missing game",0)</x:f>
        <x:v>0</x:v>
      </x:c>
      <x:c r="AS1224" t="str">
        <x:f>_xlfn.XLOOKUP($A1224,Games!$A$2:$A$18,Games!$N$2:$N$18,"Missing game",0)</x:f>
        <x:v>dome</x:v>
      </x:c>
      <x:c r="AT1224" t="str">
        <x:f>_xlfn.XLOOKUP($A1224,Games!$A$2:$A$18,Games!$O$2:$O$18,"Missing game",0)</x:f>
        <x:v>fieldturf</x:v>
      </x:c>
      <x:c r="AU1224" t="str">
        <x:f>_xlfn.XLOOKUP($A1224,Games!$A$2:$A$18,Games!$P$2:$P$18,"Missing game",0)</x:f>
      </x:c>
      <x:c r="AV1224" t="str">
        <x:f>_xlfn.XLOOKUP($A1224,Games!$A$2:$A$18,Games!$Q$2:$Q$18,"Missing game",0)</x:f>
      </x:c>
      <x:c r="AW1224" t="str">
        <x:f>_xlfn.XLOOKUP($A1224,Games!$A$2:$A$18,Games!$R$2:$R$18,"Missing game",0)</x:f>
        <x:v>Ford Field</x:v>
      </x:c>
    </x:row>
    <x:row r="1225">
      <x:c r="A1225" t="str">
        <x:v>2025_09_MIN_DET</x:v>
      </x:c>
      <x:c r="B1225" t="n">
        <x:v>1097</x:v>
      </x:c>
      <x:c r="C1225" t="n">
        <x:v>2</x:v>
      </x:c>
      <x:c r="D1225" t="str">
        <x:v>12:20</x:v>
      </x:c>
      <x:c r="E1225" t="n">
        <x:v>1</x:v>
      </x:c>
      <x:c r="F1225" t="n">
        <x:v>10</x:v>
      </x:c>
      <x:c r="G1225" t="str">
        <x:v>DET</x:v>
      </x:c>
      <x:c r="H1225" t="str">
        <x:v>MIN</x:v>
      </x:c>
      <x:c r="I1225" t="str">
        <x:v>MIN</x:v>
      </x:c>
      <x:c r="J1225" t="n">
        <x:v>25</x:v>
      </x:c>
      <x:c r="K1225" t="str">
        <x:v>(12:20) 5-D.Montgomery left guard to MIN 24 for 1 yard (51-B.Cashman).</x:v>
      </x:c>
      <x:c r="L1225" t="str">
        <x:v>run</x:v>
      </x:c>
      <x:c r="M1225" t="n">
        <x:v>1</x:v>
      </x:c>
      <x:c r="N1225" t="n">
        <x:v>0</x:v>
      </x:c>
      <x:c r="O1225" t="n">
        <x:v>0</x:v>
      </x:c>
      <x:c r="P1225"/>
      <x:c r="Q1225"/>
      <x:c r="R1225"/>
      <x:c r="S1225"/>
      <x:c r="T1225" t="str">
        <x:v>left</x:v>
      </x:c>
      <x:c r="U1225" t="str">
        <x:v>guard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/>
      <x:c r="AC1225" t="n">
        <x:v>0</x:v>
      </x:c>
      <x:c r="AD1225" t="n">
        <x:v>-0.3113481804030016</x:v>
      </x:c>
      <x:c r="AE1225" t="n">
        <x:v>0</x:v>
      </x:c>
      <x:c r="AF1225" t="n">
        <x:v>-0.014662504196166992</x:v>
      </x:c>
      <x:c r="AG1225" t="n">
        <x:f>_xlfn.XLOOKUP($A1225,Games!$A$2:$A$18,Games!$B$2:$B$18,"Missing game",0)</x:f>
        <x:v>2025</x:v>
      </x:c>
      <x:c r="AH1225" t="str">
        <x:f>_xlfn.XLOOKUP($A1225,Games!$A$2:$A$18,Games!$C$2:$C$18,"Missing game",0)</x:f>
        <x:v>REG</x:v>
      </x:c>
      <x:c r="AI1225" t="n">
        <x:f>_xlfn.XLOOKUP($A1225,Games!$A$2:$A$18,Games!$D$2:$D$18,"Missing game",0)</x:f>
        <x:v>9</x:v>
      </x:c>
      <x:c r="AJ1225" s="1" t="n">
        <x:f>_xlfn.XLOOKUP($A1225,Games!$A$2:$A$18,Games!$E$2:$E$18,"Missing game",0)</x:f>
        <x:v>45963</x:v>
      </x:c>
      <x:c r="AK1225" t="str">
        <x:f>_xlfn.XLOOKUP($A1225,Games!$A$2:$A$18,Games!$F$2:$F$18,"Missing game",0)</x:f>
        <x:v>Sunday</x:v>
      </x:c>
      <x:c r="AL1225" t="str">
        <x:f>_xlfn.XLOOKUP($A1225,Games!$A$2:$A$18,Games!$G$2:$G$18,"Missing game",0)</x:f>
        <x:v>MIN</x:v>
      </x:c>
      <x:c r="AM1225" t="n">
        <x:f>_xlfn.XLOOKUP($A1225,Games!$A$2:$A$18,Games!$H$2:$H$18,"Missing game",0)</x:f>
        <x:v>27</x:v>
      </x:c>
      <x:c r="AN1225" t="str">
        <x:f>_xlfn.XLOOKUP($A1225,Games!$A$2:$A$18,Games!$I$2:$I$18,"Missing game",0)</x:f>
        <x:v>DET</x:v>
      </x:c>
      <x:c r="AO1225" t="n">
        <x:f>_xlfn.XLOOKUP($A1225,Games!$A$2:$A$18,Games!$J$2:$J$18,"Missing game",0)</x:f>
        <x:v>24</x:v>
      </x:c>
      <x:c r="AP1225" t="n">
        <x:f>_xlfn.XLOOKUP($A1225,Games!$A$2:$A$18,Games!$K$2:$K$18,"Missing game",0)</x:f>
        <x:v>-3</x:v>
      </x:c>
      <x:c r="AQ1225" t="n">
        <x:f>_xlfn.XLOOKUP($A1225,Games!$A$2:$A$18,Games!$L$2:$L$18,"Missing game",0)</x:f>
        <x:v>51</x:v>
      </x:c>
      <x:c r="AR1225" t="n">
        <x:f>_xlfn.XLOOKUP($A1225,Games!$A$2:$A$18,Games!$M$2:$M$18,"Missing game",0)</x:f>
        <x:v>0</x:v>
      </x:c>
      <x:c r="AS1225" t="str">
        <x:f>_xlfn.XLOOKUP($A1225,Games!$A$2:$A$18,Games!$N$2:$N$18,"Missing game",0)</x:f>
        <x:v>dome</x:v>
      </x:c>
      <x:c r="AT1225" t="str">
        <x:f>_xlfn.XLOOKUP($A1225,Games!$A$2:$A$18,Games!$O$2:$O$18,"Missing game",0)</x:f>
        <x:v>fieldturf</x:v>
      </x:c>
      <x:c r="AU1225" t="str">
        <x:f>_xlfn.XLOOKUP($A1225,Games!$A$2:$A$18,Games!$P$2:$P$18,"Missing game",0)</x:f>
      </x:c>
      <x:c r="AV1225" t="str">
        <x:f>_xlfn.XLOOKUP($A1225,Games!$A$2:$A$18,Games!$Q$2:$Q$18,"Missing game",0)</x:f>
      </x:c>
      <x:c r="AW1225" t="str">
        <x:f>_xlfn.XLOOKUP($A1225,Games!$A$2:$A$18,Games!$R$2:$R$18,"Missing game",0)</x:f>
        <x:v>Ford Field</x:v>
      </x:c>
    </x:row>
    <x:row r="1226">
      <x:c r="A1226" t="str">
        <x:v>2025_09_MIN_DET</x:v>
      </x:c>
      <x:c r="B1226" t="n">
        <x:v>1119</x:v>
      </x:c>
      <x:c r="C1226" t="n">
        <x:v>2</x:v>
      </x:c>
      <x:c r="D1226" t="str">
        <x:v>11:46</x:v>
      </x:c>
      <x:c r="E1226" t="n">
        <x:v>2</x:v>
      </x:c>
      <x:c r="F1226" t="n">
        <x:v>9</x:v>
      </x:c>
      <x:c r="G1226" t="str">
        <x:v>DET</x:v>
      </x:c>
      <x:c r="H1226" t="str">
        <x:v>MIN</x:v>
      </x:c>
      <x:c r="I1226" t="str">
        <x:v>MIN</x:v>
      </x:c>
      <x:c r="J1226" t="n">
        <x:v>24</x:v>
      </x:c>
      <x:c r="K1226" t="str">
        <x:v>(11:46) (Shotgun) 16-J.Goff pass short left to 5-D.Montgomery to MIN 11 for 13 yards (51-B.Cashman) [93-J.Allen].</x:v>
      </x:c>
      <x:c r="L1226" t="str">
        <x:v>pass</x:v>
      </x:c>
      <x:c r="M1226" t="n">
        <x:v>13</x:v>
      </x:c>
      <x:c r="N1226" t="n">
        <x:v>1</x:v>
      </x:c>
      <x:c r="O1226" t="n">
        <x:v>0</x:v>
      </x:c>
      <x:c r="P1226" t="str">
        <x:v>short</x:v>
      </x:c>
      <x:c r="Q1226" t="str">
        <x:v>left</x:v>
      </x:c>
      <x:c r="R1226" t="n">
        <x:v>-3</x:v>
      </x:c>
      <x:c r="S1226" t="n">
        <x:v>16</x:v>
      </x:c>
      <x:c r="T1226"/>
      <x:c r="U1226"/>
      <x:c r="V1226" t="n">
        <x:v>1</x:v>
      </x:c>
      <x:c r="W1226" t="n">
        <x:v>1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/>
      <x:c r="AC1226" t="n">
        <x:v>0</x:v>
      </x:c>
      <x:c r="AD1226" t="n">
        <x:v>1.0661640912294388</x:v>
      </x:c>
      <x:c r="AE1226" t="n">
        <x:v>1</x:v>
      </x:c>
      <x:c r="AF1226" t="n">
        <x:v>0.03135323524475098</x:v>
      </x:c>
      <x:c r="AG1226" t="n">
        <x:f>_xlfn.XLOOKUP($A1226,Games!$A$2:$A$18,Games!$B$2:$B$18,"Missing game",0)</x:f>
        <x:v>2025</x:v>
      </x:c>
      <x:c r="AH1226" t="str">
        <x:f>_xlfn.XLOOKUP($A1226,Games!$A$2:$A$18,Games!$C$2:$C$18,"Missing game",0)</x:f>
        <x:v>REG</x:v>
      </x:c>
      <x:c r="AI1226" t="n">
        <x:f>_xlfn.XLOOKUP($A1226,Games!$A$2:$A$18,Games!$D$2:$D$18,"Missing game",0)</x:f>
        <x:v>9</x:v>
      </x:c>
      <x:c r="AJ1226" s="1" t="n">
        <x:f>_xlfn.XLOOKUP($A1226,Games!$A$2:$A$18,Games!$E$2:$E$18,"Missing game",0)</x:f>
        <x:v>45963</x:v>
      </x:c>
      <x:c r="AK1226" t="str">
        <x:f>_xlfn.XLOOKUP($A1226,Games!$A$2:$A$18,Games!$F$2:$F$18,"Missing game",0)</x:f>
        <x:v>Sunday</x:v>
      </x:c>
      <x:c r="AL1226" t="str">
        <x:f>_xlfn.XLOOKUP($A1226,Games!$A$2:$A$18,Games!$G$2:$G$18,"Missing game",0)</x:f>
        <x:v>MIN</x:v>
      </x:c>
      <x:c r="AM1226" t="n">
        <x:f>_xlfn.XLOOKUP($A1226,Games!$A$2:$A$18,Games!$H$2:$H$18,"Missing game",0)</x:f>
        <x:v>27</x:v>
      </x:c>
      <x:c r="AN1226" t="str">
        <x:f>_xlfn.XLOOKUP($A1226,Games!$A$2:$A$18,Games!$I$2:$I$18,"Missing game",0)</x:f>
        <x:v>DET</x:v>
      </x:c>
      <x:c r="AO1226" t="n">
        <x:f>_xlfn.XLOOKUP($A1226,Games!$A$2:$A$18,Games!$J$2:$J$18,"Missing game",0)</x:f>
        <x:v>24</x:v>
      </x:c>
      <x:c r="AP1226" t="n">
        <x:f>_xlfn.XLOOKUP($A1226,Games!$A$2:$A$18,Games!$K$2:$K$18,"Missing game",0)</x:f>
        <x:v>-3</x:v>
      </x:c>
      <x:c r="AQ1226" t="n">
        <x:f>_xlfn.XLOOKUP($A1226,Games!$A$2:$A$18,Games!$L$2:$L$18,"Missing game",0)</x:f>
        <x:v>51</x:v>
      </x:c>
      <x:c r="AR1226" t="n">
        <x:f>_xlfn.XLOOKUP($A1226,Games!$A$2:$A$18,Games!$M$2:$M$18,"Missing game",0)</x:f>
        <x:v>0</x:v>
      </x:c>
      <x:c r="AS1226" t="str">
        <x:f>_xlfn.XLOOKUP($A1226,Games!$A$2:$A$18,Games!$N$2:$N$18,"Missing game",0)</x:f>
        <x:v>dome</x:v>
      </x:c>
      <x:c r="AT1226" t="str">
        <x:f>_xlfn.XLOOKUP($A1226,Games!$A$2:$A$18,Games!$O$2:$O$18,"Missing game",0)</x:f>
        <x:v>fieldturf</x:v>
      </x:c>
      <x:c r="AU1226" t="str">
        <x:f>_xlfn.XLOOKUP($A1226,Games!$A$2:$A$18,Games!$P$2:$P$18,"Missing game",0)</x:f>
      </x:c>
      <x:c r="AV1226" t="str">
        <x:f>_xlfn.XLOOKUP($A1226,Games!$A$2:$A$18,Games!$Q$2:$Q$18,"Missing game",0)</x:f>
      </x:c>
      <x:c r="AW1226" t="str">
        <x:f>_xlfn.XLOOKUP($A1226,Games!$A$2:$A$18,Games!$R$2:$R$18,"Missing game",0)</x:f>
        <x:v>Ford Field</x:v>
      </x:c>
    </x:row>
    <x:row r="1227">
      <x:c r="A1227" t="str">
        <x:v>2025_09_MIN_DET</x:v>
      </x:c>
      <x:c r="B1227" t="n">
        <x:v>1144</x:v>
      </x:c>
      <x:c r="C1227" t="n">
        <x:v>2</x:v>
      </x:c>
      <x:c r="D1227" t="str">
        <x:v>10:56</x:v>
      </x:c>
      <x:c r="E1227" t="n">
        <x:v>1</x:v>
      </x:c>
      <x:c r="F1227" t="n">
        <x:v>10</x:v>
      </x:c>
      <x:c r="G1227" t="str">
        <x:v>DET</x:v>
      </x:c>
      <x:c r="H1227" t="str">
        <x:v>MIN</x:v>
      </x:c>
      <x:c r="I1227" t="str">
        <x:v>MIN</x:v>
      </x:c>
      <x:c r="J1227" t="n">
        <x:v>11</x:v>
      </x:c>
      <x:c r="K1227" t="str">
        <x:v>(10:56) 70-D.Skipper reported in as eligible. 16-J.Goff pass short left to 14-A.St. Brown to MIN 2 for 9 yards (7-B.Murphy).</x:v>
      </x:c>
      <x:c r="L1227" t="str">
        <x:v>pass</x:v>
      </x:c>
      <x:c r="M1227" t="n">
        <x:v>9</x:v>
      </x:c>
      <x:c r="N1227" t="n">
        <x:v>0</x:v>
      </x:c>
      <x:c r="O1227" t="n">
        <x:v>0</x:v>
      </x:c>
      <x:c r="P1227" t="str">
        <x:v>short</x:v>
      </x:c>
      <x:c r="Q1227" t="str">
        <x:v>left</x:v>
      </x:c>
      <x:c r="R1227" t="n">
        <x:v>5</x:v>
      </x:c>
      <x:c r="S1227" t="n">
        <x:v>4</x:v>
      </x:c>
      <x:c r="T1227"/>
      <x:c r="U1227"/>
      <x:c r="V1227" t="n">
        <x:v>1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/>
      <x:c r="AC1227" t="n">
        <x:v>0</x:v>
      </x:c>
      <x:c r="AD1227" t="n">
        <x:v>0.9596459125168622</x:v>
      </x:c>
      <x:c r="AE1227" t="n">
        <x:v>1</x:v>
      </x:c>
      <x:c r="AF1227" t="n">
        <x:v>0.03301766514778137</x:v>
      </x:c>
      <x:c r="AG1227" t="n">
        <x:f>_xlfn.XLOOKUP($A1227,Games!$A$2:$A$18,Games!$B$2:$B$18,"Missing game",0)</x:f>
        <x:v>2025</x:v>
      </x:c>
      <x:c r="AH1227" t="str">
        <x:f>_xlfn.XLOOKUP($A1227,Games!$A$2:$A$18,Games!$C$2:$C$18,"Missing game",0)</x:f>
        <x:v>REG</x:v>
      </x:c>
      <x:c r="AI1227" t="n">
        <x:f>_xlfn.XLOOKUP($A1227,Games!$A$2:$A$18,Games!$D$2:$D$18,"Missing game",0)</x:f>
        <x:v>9</x:v>
      </x:c>
      <x:c r="AJ1227" s="1" t="n">
        <x:f>_xlfn.XLOOKUP($A1227,Games!$A$2:$A$18,Games!$E$2:$E$18,"Missing game",0)</x:f>
        <x:v>45963</x:v>
      </x:c>
      <x:c r="AK1227" t="str">
        <x:f>_xlfn.XLOOKUP($A1227,Games!$A$2:$A$18,Games!$F$2:$F$18,"Missing game",0)</x:f>
        <x:v>Sunday</x:v>
      </x:c>
      <x:c r="AL1227" t="str">
        <x:f>_xlfn.XLOOKUP($A1227,Games!$A$2:$A$18,Games!$G$2:$G$18,"Missing game",0)</x:f>
        <x:v>MIN</x:v>
      </x:c>
      <x:c r="AM1227" t="n">
        <x:f>_xlfn.XLOOKUP($A1227,Games!$A$2:$A$18,Games!$H$2:$H$18,"Missing game",0)</x:f>
        <x:v>27</x:v>
      </x:c>
      <x:c r="AN1227" t="str">
        <x:f>_xlfn.XLOOKUP($A1227,Games!$A$2:$A$18,Games!$I$2:$I$18,"Missing game",0)</x:f>
        <x:v>DET</x:v>
      </x:c>
      <x:c r="AO1227" t="n">
        <x:f>_xlfn.XLOOKUP($A1227,Games!$A$2:$A$18,Games!$J$2:$J$18,"Missing game",0)</x:f>
        <x:v>24</x:v>
      </x:c>
      <x:c r="AP1227" t="n">
        <x:f>_xlfn.XLOOKUP($A1227,Games!$A$2:$A$18,Games!$K$2:$K$18,"Missing game",0)</x:f>
        <x:v>-3</x:v>
      </x:c>
      <x:c r="AQ1227" t="n">
        <x:f>_xlfn.XLOOKUP($A1227,Games!$A$2:$A$18,Games!$L$2:$L$18,"Missing game",0)</x:f>
        <x:v>51</x:v>
      </x:c>
      <x:c r="AR1227" t="n">
        <x:f>_xlfn.XLOOKUP($A1227,Games!$A$2:$A$18,Games!$M$2:$M$18,"Missing game",0)</x:f>
        <x:v>0</x:v>
      </x:c>
      <x:c r="AS1227" t="str">
        <x:f>_xlfn.XLOOKUP($A1227,Games!$A$2:$A$18,Games!$N$2:$N$18,"Missing game",0)</x:f>
        <x:v>dome</x:v>
      </x:c>
      <x:c r="AT1227" t="str">
        <x:f>_xlfn.XLOOKUP($A1227,Games!$A$2:$A$18,Games!$O$2:$O$18,"Missing game",0)</x:f>
        <x:v>fieldturf</x:v>
      </x:c>
      <x:c r="AU1227" t="str">
        <x:f>_xlfn.XLOOKUP($A1227,Games!$A$2:$A$18,Games!$P$2:$P$18,"Missing game",0)</x:f>
      </x:c>
      <x:c r="AV1227" t="str">
        <x:f>_xlfn.XLOOKUP($A1227,Games!$A$2:$A$18,Games!$Q$2:$Q$18,"Missing game",0)</x:f>
      </x:c>
      <x:c r="AW1227" t="str">
        <x:f>_xlfn.XLOOKUP($A1227,Games!$A$2:$A$18,Games!$R$2:$R$18,"Missing game",0)</x:f>
        <x:v>Ford Field</x:v>
      </x:c>
    </x:row>
    <x:row r="1228">
      <x:c r="A1228" t="str">
        <x:v>2025_09_MIN_DET</x:v>
      </x:c>
      <x:c r="B1228" t="n">
        <x:v>1171</x:v>
      </x:c>
      <x:c r="C1228" t="n">
        <x:v>2</x:v>
      </x:c>
      <x:c r="D1228" t="str">
        <x:v>10:28</x:v>
      </x:c>
      <x:c r="E1228" t="n">
        <x:v>2</x:v>
      </x:c>
      <x:c r="F1228" t="n">
        <x:v>1</x:v>
      </x:c>
      <x:c r="G1228" t="str">
        <x:v>DET</x:v>
      </x:c>
      <x:c r="H1228" t="str">
        <x:v>MIN</x:v>
      </x:c>
      <x:c r="I1228" t="str">
        <x:v>MIN</x:v>
      </x:c>
      <x:c r="J1228" t="n">
        <x:v>2</x:v>
      </x:c>
      <x:c r="K1228" t="str">
        <x:v>(10:28) 5-D.Montgomery up the middle to MIN 2 for no gain (50-L.Rodriguez; 43-A.Van Ginkel).</x:v>
      </x:c>
      <x:c r="L1228" t="str">
        <x:v>run</x:v>
      </x:c>
      <x:c r="M1228" t="n">
        <x:v>0</x:v>
      </x:c>
      <x:c r="N1228" t="n">
        <x:v>0</x:v>
      </x:c>
      <x:c r="O1228" t="n">
        <x:v>0</x:v>
      </x:c>
      <x:c r="P1228"/>
      <x:c r="Q1228"/>
      <x:c r="R1228"/>
      <x:c r="S1228"/>
      <x:c r="T1228" t="str">
        <x:v>middle</x:v>
      </x:c>
      <x:c r="U1228"/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/>
      <x:c r="AC1228" t="n">
        <x:v>0</x:v>
      </x:c>
      <x:c r="AD1228" t="n">
        <x:v>-0.5169025833019987</x:v>
      </x:c>
      <x:c r="AE1228" t="n">
        <x:v>0</x:v>
      </x:c>
      <x:c r="AF1228" t="n">
        <x:v>-0.01995837688446045</x:v>
      </x:c>
      <x:c r="AG1228" t="n">
        <x:f>_xlfn.XLOOKUP($A1228,Games!$A$2:$A$18,Games!$B$2:$B$18,"Missing game",0)</x:f>
        <x:v>2025</x:v>
      </x:c>
      <x:c r="AH1228" t="str">
        <x:f>_xlfn.XLOOKUP($A1228,Games!$A$2:$A$18,Games!$C$2:$C$18,"Missing game",0)</x:f>
        <x:v>REG</x:v>
      </x:c>
      <x:c r="AI1228" t="n">
        <x:f>_xlfn.XLOOKUP($A1228,Games!$A$2:$A$18,Games!$D$2:$D$18,"Missing game",0)</x:f>
        <x:v>9</x:v>
      </x:c>
      <x:c r="AJ1228" s="1" t="n">
        <x:f>_xlfn.XLOOKUP($A1228,Games!$A$2:$A$18,Games!$E$2:$E$18,"Missing game",0)</x:f>
        <x:v>45963</x:v>
      </x:c>
      <x:c r="AK1228" t="str">
        <x:f>_xlfn.XLOOKUP($A1228,Games!$A$2:$A$18,Games!$F$2:$F$18,"Missing game",0)</x:f>
        <x:v>Sunday</x:v>
      </x:c>
      <x:c r="AL1228" t="str">
        <x:f>_xlfn.XLOOKUP($A1228,Games!$A$2:$A$18,Games!$G$2:$G$18,"Missing game",0)</x:f>
        <x:v>MIN</x:v>
      </x:c>
      <x:c r="AM1228" t="n">
        <x:f>_xlfn.XLOOKUP($A1228,Games!$A$2:$A$18,Games!$H$2:$H$18,"Missing game",0)</x:f>
        <x:v>27</x:v>
      </x:c>
      <x:c r="AN1228" t="str">
        <x:f>_xlfn.XLOOKUP($A1228,Games!$A$2:$A$18,Games!$I$2:$I$18,"Missing game",0)</x:f>
        <x:v>DET</x:v>
      </x:c>
      <x:c r="AO1228" t="n">
        <x:f>_xlfn.XLOOKUP($A1228,Games!$A$2:$A$18,Games!$J$2:$J$18,"Missing game",0)</x:f>
        <x:v>24</x:v>
      </x:c>
      <x:c r="AP1228" t="n">
        <x:f>_xlfn.XLOOKUP($A1228,Games!$A$2:$A$18,Games!$K$2:$K$18,"Missing game",0)</x:f>
        <x:v>-3</x:v>
      </x:c>
      <x:c r="AQ1228" t="n">
        <x:f>_xlfn.XLOOKUP($A1228,Games!$A$2:$A$18,Games!$L$2:$L$18,"Missing game",0)</x:f>
        <x:v>51</x:v>
      </x:c>
      <x:c r="AR1228" t="n">
        <x:f>_xlfn.XLOOKUP($A1228,Games!$A$2:$A$18,Games!$M$2:$M$18,"Missing game",0)</x:f>
        <x:v>0</x:v>
      </x:c>
      <x:c r="AS1228" t="str">
        <x:f>_xlfn.XLOOKUP($A1228,Games!$A$2:$A$18,Games!$N$2:$N$18,"Missing game",0)</x:f>
        <x:v>dome</x:v>
      </x:c>
      <x:c r="AT1228" t="str">
        <x:f>_xlfn.XLOOKUP($A1228,Games!$A$2:$A$18,Games!$O$2:$O$18,"Missing game",0)</x:f>
        <x:v>fieldturf</x:v>
      </x:c>
      <x:c r="AU1228" t="str">
        <x:f>_xlfn.XLOOKUP($A1228,Games!$A$2:$A$18,Games!$P$2:$P$18,"Missing game",0)</x:f>
      </x:c>
      <x:c r="AV1228" t="str">
        <x:f>_xlfn.XLOOKUP($A1228,Games!$A$2:$A$18,Games!$Q$2:$Q$18,"Missing game",0)</x:f>
      </x:c>
      <x:c r="AW1228" t="str">
        <x:f>_xlfn.XLOOKUP($A1228,Games!$A$2:$A$18,Games!$R$2:$R$18,"Missing game",0)</x:f>
        <x:v>Ford Field</x:v>
      </x:c>
    </x:row>
    <x:row r="1229">
      <x:c r="A1229" t="str">
        <x:v>2025_09_MIN_DET</x:v>
      </x:c>
      <x:c r="B1229" t="n">
        <x:v>1193</x:v>
      </x:c>
      <x:c r="C1229" t="n">
        <x:v>2</x:v>
      </x:c>
      <x:c r="D1229" t="str">
        <x:v>09:47</x:v>
      </x:c>
      <x:c r="E1229" t="n">
        <x:v>3</x:v>
      </x:c>
      <x:c r="F1229" t="n">
        <x:v>1</x:v>
      </x:c>
      <x:c r="G1229" t="str">
        <x:v>DET</x:v>
      </x:c>
      <x:c r="H1229" t="str">
        <x:v>MIN</x:v>
      </x:c>
      <x:c r="I1229" t="str">
        <x:v>MIN</x:v>
      </x:c>
      <x:c r="J1229" t="n">
        <x:v>2</x:v>
      </x:c>
      <x:c r="K1229" t="str">
        <x:v>(9:47) (Shotgun) 16-J.Goff pass incomplete short left to 14-A.St. Brown.</x:v>
      </x:c>
      <x:c r="L1229" t="str">
        <x:v>pass</x:v>
      </x:c>
      <x:c r="M1229" t="n">
        <x:v>0</x:v>
      </x:c>
      <x:c r="N1229" t="n">
        <x:v>1</x:v>
      </x:c>
      <x:c r="O1229" t="n">
        <x:v>0</x:v>
      </x:c>
      <x:c r="P1229" t="str">
        <x:v>short</x:v>
      </x:c>
      <x:c r="Q1229" t="str">
        <x:v>left</x:v>
      </x:c>
      <x:c r="R1229" t="n">
        <x:v>2</x:v>
      </x:c>
      <x:c r="S1229"/>
      <x:c r="T1229"/>
      <x:c r="U1229"/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/>
      <x:c r="AC1229" t="n">
        <x:v>0</x:v>
      </x:c>
      <x:c r="AD1229" t="n">
        <x:v>-1.32434923062101</x:v>
      </x:c>
      <x:c r="AE1229" t="n">
        <x:v>0</x:v>
      </x:c>
      <x:c r="AF1229" t="n">
        <x:v>-0.06331208348274231</x:v>
      </x:c>
      <x:c r="AG1229" t="n">
        <x:f>_xlfn.XLOOKUP($A1229,Games!$A$2:$A$18,Games!$B$2:$B$18,"Missing game",0)</x:f>
        <x:v>2025</x:v>
      </x:c>
      <x:c r="AH1229" t="str">
        <x:f>_xlfn.XLOOKUP($A1229,Games!$A$2:$A$18,Games!$C$2:$C$18,"Missing game",0)</x:f>
        <x:v>REG</x:v>
      </x:c>
      <x:c r="AI1229" t="n">
        <x:f>_xlfn.XLOOKUP($A1229,Games!$A$2:$A$18,Games!$D$2:$D$18,"Missing game",0)</x:f>
        <x:v>9</x:v>
      </x:c>
      <x:c r="AJ1229" s="1" t="n">
        <x:f>_xlfn.XLOOKUP($A1229,Games!$A$2:$A$18,Games!$E$2:$E$18,"Missing game",0)</x:f>
        <x:v>45963</x:v>
      </x:c>
      <x:c r="AK1229" t="str">
        <x:f>_xlfn.XLOOKUP($A1229,Games!$A$2:$A$18,Games!$F$2:$F$18,"Missing game",0)</x:f>
        <x:v>Sunday</x:v>
      </x:c>
      <x:c r="AL1229" t="str">
        <x:f>_xlfn.XLOOKUP($A1229,Games!$A$2:$A$18,Games!$G$2:$G$18,"Missing game",0)</x:f>
        <x:v>MIN</x:v>
      </x:c>
      <x:c r="AM1229" t="n">
        <x:f>_xlfn.XLOOKUP($A1229,Games!$A$2:$A$18,Games!$H$2:$H$18,"Missing game",0)</x:f>
        <x:v>27</x:v>
      </x:c>
      <x:c r="AN1229" t="str">
        <x:f>_xlfn.XLOOKUP($A1229,Games!$A$2:$A$18,Games!$I$2:$I$18,"Missing game",0)</x:f>
        <x:v>DET</x:v>
      </x:c>
      <x:c r="AO1229" t="n">
        <x:f>_xlfn.XLOOKUP($A1229,Games!$A$2:$A$18,Games!$J$2:$J$18,"Missing game",0)</x:f>
        <x:v>24</x:v>
      </x:c>
      <x:c r="AP1229" t="n">
        <x:f>_xlfn.XLOOKUP($A1229,Games!$A$2:$A$18,Games!$K$2:$K$18,"Missing game",0)</x:f>
        <x:v>-3</x:v>
      </x:c>
      <x:c r="AQ1229" t="n">
        <x:f>_xlfn.XLOOKUP($A1229,Games!$A$2:$A$18,Games!$L$2:$L$18,"Missing game",0)</x:f>
        <x:v>51</x:v>
      </x:c>
      <x:c r="AR1229" t="n">
        <x:f>_xlfn.XLOOKUP($A1229,Games!$A$2:$A$18,Games!$M$2:$M$18,"Missing game",0)</x:f>
        <x:v>0</x:v>
      </x:c>
      <x:c r="AS1229" t="str">
        <x:f>_xlfn.XLOOKUP($A1229,Games!$A$2:$A$18,Games!$N$2:$N$18,"Missing game",0)</x:f>
        <x:v>dome</x:v>
      </x:c>
      <x:c r="AT1229" t="str">
        <x:f>_xlfn.XLOOKUP($A1229,Games!$A$2:$A$18,Games!$O$2:$O$18,"Missing game",0)</x:f>
        <x:v>fieldturf</x:v>
      </x:c>
      <x:c r="AU1229" t="str">
        <x:f>_xlfn.XLOOKUP($A1229,Games!$A$2:$A$18,Games!$P$2:$P$18,"Missing game",0)</x:f>
      </x:c>
      <x:c r="AV1229" t="str">
        <x:f>_xlfn.XLOOKUP($A1229,Games!$A$2:$A$18,Games!$Q$2:$Q$18,"Missing game",0)</x:f>
      </x:c>
      <x:c r="AW1229" t="str">
        <x:f>_xlfn.XLOOKUP($A1229,Games!$A$2:$A$18,Games!$R$2:$R$18,"Missing game",0)</x:f>
        <x:v>Ford Field</x:v>
      </x:c>
    </x:row>
    <x:row r="1230">
      <x:c r="A1230" t="str">
        <x:v>2025_09_MIN_DET</x:v>
      </x:c>
      <x:c r="B1230" t="n">
        <x:v>1216</x:v>
      </x:c>
      <x:c r="C1230" t="n">
        <x:v>2</x:v>
      </x:c>
      <x:c r="D1230" t="str">
        <x:v>09:43</x:v>
      </x:c>
      <x:c r="E1230" t="n">
        <x:v>4</x:v>
      </x:c>
      <x:c r="F1230" t="n">
        <x:v>1</x:v>
      </x:c>
      <x:c r="G1230" t="str">
        <x:v>DET</x:v>
      </x:c>
      <x:c r="H1230" t="str">
        <x:v>MIN</x:v>
      </x:c>
      <x:c r="I1230" t="str">
        <x:v>MIN</x:v>
      </x:c>
      <x:c r="J1230" t="n">
        <x:v>2</x:v>
      </x:c>
      <x:c r="K1230" t="str">
        <x:v>(9:43) 70-D.Skipper reported in as eligible. 5-D.Montgomery up the middle for 2 yards, TOUCHDOWN.</x:v>
      </x:c>
      <x:c r="L1230" t="str">
        <x:v>run</x:v>
      </x:c>
      <x:c r="M1230" t="n">
        <x:v>2</x:v>
      </x:c>
      <x:c r="N1230" t="n">
        <x:v>0</x:v>
      </x:c>
      <x:c r="O1230" t="n">
        <x:v>0</x:v>
      </x:c>
      <x:c r="P1230"/>
      <x:c r="Q1230"/>
      <x:c r="R1230"/>
      <x:c r="S1230"/>
      <x:c r="T1230" t="str">
        <x:v>middle</x:v>
      </x:c>
      <x:c r="U1230"/>
      <x:c r="V1230" t="n">
        <x:v>0</x:v>
      </x:c>
      <x:c r="W1230" t="n">
        <x:v>1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/>
      <x:c r="AC1230" t="n">
        <x:v>1</x:v>
      </x:c>
      <x:c r="AD1230" t="n">
        <x:v>2.6727561997249722</x:v>
      </x:c>
      <x:c r="AE1230" t="n">
        <x:v>1</x:v>
      </x:c>
      <x:c r="AF1230" t="n">
        <x:v>0.13832574886392324</x:v>
      </x:c>
      <x:c r="AG1230" t="n">
        <x:f>_xlfn.XLOOKUP($A1230,Games!$A$2:$A$18,Games!$B$2:$B$18,"Missing game",0)</x:f>
        <x:v>2025</x:v>
      </x:c>
      <x:c r="AH1230" t="str">
        <x:f>_xlfn.XLOOKUP($A1230,Games!$A$2:$A$18,Games!$C$2:$C$18,"Missing game",0)</x:f>
        <x:v>REG</x:v>
      </x:c>
      <x:c r="AI1230" t="n">
        <x:f>_xlfn.XLOOKUP($A1230,Games!$A$2:$A$18,Games!$D$2:$D$18,"Missing game",0)</x:f>
        <x:v>9</x:v>
      </x:c>
      <x:c r="AJ1230" s="1" t="n">
        <x:f>_xlfn.XLOOKUP($A1230,Games!$A$2:$A$18,Games!$E$2:$E$18,"Missing game",0)</x:f>
        <x:v>45963</x:v>
      </x:c>
      <x:c r="AK1230" t="str">
        <x:f>_xlfn.XLOOKUP($A1230,Games!$A$2:$A$18,Games!$F$2:$F$18,"Missing game",0)</x:f>
        <x:v>Sunday</x:v>
      </x:c>
      <x:c r="AL1230" t="str">
        <x:f>_xlfn.XLOOKUP($A1230,Games!$A$2:$A$18,Games!$G$2:$G$18,"Missing game",0)</x:f>
        <x:v>MIN</x:v>
      </x:c>
      <x:c r="AM1230" t="n">
        <x:f>_xlfn.XLOOKUP($A1230,Games!$A$2:$A$18,Games!$H$2:$H$18,"Missing game",0)</x:f>
        <x:v>27</x:v>
      </x:c>
      <x:c r="AN1230" t="str">
        <x:f>_xlfn.XLOOKUP($A1230,Games!$A$2:$A$18,Games!$I$2:$I$18,"Missing game",0)</x:f>
        <x:v>DET</x:v>
      </x:c>
      <x:c r="AO1230" t="n">
        <x:f>_xlfn.XLOOKUP($A1230,Games!$A$2:$A$18,Games!$J$2:$J$18,"Missing game",0)</x:f>
        <x:v>24</x:v>
      </x:c>
      <x:c r="AP1230" t="n">
        <x:f>_xlfn.XLOOKUP($A1230,Games!$A$2:$A$18,Games!$K$2:$K$18,"Missing game",0)</x:f>
        <x:v>-3</x:v>
      </x:c>
      <x:c r="AQ1230" t="n">
        <x:f>_xlfn.XLOOKUP($A1230,Games!$A$2:$A$18,Games!$L$2:$L$18,"Missing game",0)</x:f>
        <x:v>51</x:v>
      </x:c>
      <x:c r="AR1230" t="n">
        <x:f>_xlfn.XLOOKUP($A1230,Games!$A$2:$A$18,Games!$M$2:$M$18,"Missing game",0)</x:f>
        <x:v>0</x:v>
      </x:c>
      <x:c r="AS1230" t="str">
        <x:f>_xlfn.XLOOKUP($A1230,Games!$A$2:$A$18,Games!$N$2:$N$18,"Missing game",0)</x:f>
        <x:v>dome</x:v>
      </x:c>
      <x:c r="AT1230" t="str">
        <x:f>_xlfn.XLOOKUP($A1230,Games!$A$2:$A$18,Games!$O$2:$O$18,"Missing game",0)</x:f>
        <x:v>fieldturf</x:v>
      </x:c>
      <x:c r="AU1230" t="str">
        <x:f>_xlfn.XLOOKUP($A1230,Games!$A$2:$A$18,Games!$P$2:$P$18,"Missing game",0)</x:f>
      </x:c>
      <x:c r="AV1230" t="str">
        <x:f>_xlfn.XLOOKUP($A1230,Games!$A$2:$A$18,Games!$Q$2:$Q$18,"Missing game",0)</x:f>
      </x:c>
      <x:c r="AW1230" t="str">
        <x:f>_xlfn.XLOOKUP($A1230,Games!$A$2:$A$18,Games!$R$2:$R$18,"Missing game",0)</x:f>
        <x:v>Ford Field</x:v>
      </x:c>
    </x:row>
    <x:row r="1231">
      <x:c r="A1231" t="str">
        <x:v>2025_09_MIN_DET</x:v>
      </x:c>
      <x:c r="B1231" t="n">
        <x:v>1230</x:v>
      </x:c>
      <x:c r="C1231" t="n">
        <x:v>2</x:v>
      </x:c>
      <x:c r="D1231" t="str">
        <x:v>09:43</x:v>
      </x:c>
      <x:c r="E1231"/>
      <x:c r="F1231" t="n">
        <x:v>0</x:v>
      </x:c>
      <x:c r="G1231"/>
      <x:c r="H1231"/>
      <x:c r="I1231"/>
      <x:c r="J1231"/>
      <x:c r="K1231" t="str">
        <x:v>Timeout #1 by MIN at 09:43.</x:v>
      </x:c>
      <x:c r="L1231" t="str">
        <x:v>no_play</x:v>
      </x:c>
      <x:c r="M1231" t="n">
        <x:v>0</x:v>
      </x:c>
      <x:c r="N1231" t="n">
        <x:v>0</x:v>
      </x:c>
      <x:c r="O1231" t="n">
        <x:v>0</x:v>
      </x:c>
      <x:c r="P1231"/>
      <x:c r="Q1231"/>
      <x:c r="R1231"/>
      <x:c r="S1231"/>
      <x:c r="T1231"/>
      <x:c r="U1231"/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/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f>_xlfn.XLOOKUP($A1231,Games!$A$2:$A$18,Games!$B$2:$B$18,"Missing game",0)</x:f>
        <x:v>2025</x:v>
      </x:c>
      <x:c r="AH1231" t="str">
        <x:f>_xlfn.XLOOKUP($A1231,Games!$A$2:$A$18,Games!$C$2:$C$18,"Missing game",0)</x:f>
        <x:v>REG</x:v>
      </x:c>
      <x:c r="AI1231" t="n">
        <x:f>_xlfn.XLOOKUP($A1231,Games!$A$2:$A$18,Games!$D$2:$D$18,"Missing game",0)</x:f>
        <x:v>9</x:v>
      </x:c>
      <x:c r="AJ1231" s="1" t="n">
        <x:f>_xlfn.XLOOKUP($A1231,Games!$A$2:$A$18,Games!$E$2:$E$18,"Missing game",0)</x:f>
        <x:v>45963</x:v>
      </x:c>
      <x:c r="AK1231" t="str">
        <x:f>_xlfn.XLOOKUP($A1231,Games!$A$2:$A$18,Games!$F$2:$F$18,"Missing game",0)</x:f>
        <x:v>Sunday</x:v>
      </x:c>
      <x:c r="AL1231" t="str">
        <x:f>_xlfn.XLOOKUP($A1231,Games!$A$2:$A$18,Games!$G$2:$G$18,"Missing game",0)</x:f>
        <x:v>MIN</x:v>
      </x:c>
      <x:c r="AM1231" t="n">
        <x:f>_xlfn.XLOOKUP($A1231,Games!$A$2:$A$18,Games!$H$2:$H$18,"Missing game",0)</x:f>
        <x:v>27</x:v>
      </x:c>
      <x:c r="AN1231" t="str">
        <x:f>_xlfn.XLOOKUP($A1231,Games!$A$2:$A$18,Games!$I$2:$I$18,"Missing game",0)</x:f>
        <x:v>DET</x:v>
      </x:c>
      <x:c r="AO1231" t="n">
        <x:f>_xlfn.XLOOKUP($A1231,Games!$A$2:$A$18,Games!$J$2:$J$18,"Missing game",0)</x:f>
        <x:v>24</x:v>
      </x:c>
      <x:c r="AP1231" t="n">
        <x:f>_xlfn.XLOOKUP($A1231,Games!$A$2:$A$18,Games!$K$2:$K$18,"Missing game",0)</x:f>
        <x:v>-3</x:v>
      </x:c>
      <x:c r="AQ1231" t="n">
        <x:f>_xlfn.XLOOKUP($A1231,Games!$A$2:$A$18,Games!$L$2:$L$18,"Missing game",0)</x:f>
        <x:v>51</x:v>
      </x:c>
      <x:c r="AR1231" t="n">
        <x:f>_xlfn.XLOOKUP($A1231,Games!$A$2:$A$18,Games!$M$2:$M$18,"Missing game",0)</x:f>
        <x:v>0</x:v>
      </x:c>
      <x:c r="AS1231" t="str">
        <x:f>_xlfn.XLOOKUP($A1231,Games!$A$2:$A$18,Games!$N$2:$N$18,"Missing game",0)</x:f>
        <x:v>dome</x:v>
      </x:c>
      <x:c r="AT1231" t="str">
        <x:f>_xlfn.XLOOKUP($A1231,Games!$A$2:$A$18,Games!$O$2:$O$18,"Missing game",0)</x:f>
        <x:v>fieldturf</x:v>
      </x:c>
      <x:c r="AU1231" t="str">
        <x:f>_xlfn.XLOOKUP($A1231,Games!$A$2:$A$18,Games!$P$2:$P$18,"Missing game",0)</x:f>
      </x:c>
      <x:c r="AV1231" t="str">
        <x:f>_xlfn.XLOOKUP($A1231,Games!$A$2:$A$18,Games!$Q$2:$Q$18,"Missing game",0)</x:f>
      </x:c>
      <x:c r="AW1231" t="str">
        <x:f>_xlfn.XLOOKUP($A1231,Games!$A$2:$A$18,Games!$R$2:$R$18,"Missing game",0)</x:f>
        <x:v>Ford Field</x:v>
      </x:c>
    </x:row>
    <x:row r="1232">
      <x:c r="A1232" t="str">
        <x:v>2025_09_MIN_DET</x:v>
      </x:c>
      <x:c r="B1232" t="n">
        <x:v>1248</x:v>
      </x:c>
      <x:c r="C1232" t="n">
        <x:v>2</x:v>
      </x:c>
      <x:c r="D1232" t="str">
        <x:v>09:39</x:v>
      </x:c>
      <x:c r="E1232"/>
      <x:c r="F1232" t="n">
        <x:v>0</x:v>
      </x:c>
      <x:c r="G1232" t="str">
        <x:v>DET</x:v>
      </x:c>
      <x:c r="H1232" t="str">
        <x:v>MIN</x:v>
      </x:c>
      <x:c r="I1232" t="str">
        <x:v>MIN</x:v>
      </x:c>
      <x:c r="J1232" t="n">
        <x:v>15</x:v>
      </x:c>
      <x:c r="K1232" t="str">
        <x:v>39-J.Bates extra point is GOOD, Center-49-H.Hatten, Holder-3-J.Fox.</x:v>
      </x:c>
      <x:c r="L1232" t="str">
        <x:v>extra_point</x:v>
      </x:c>
      <x:c r="M1232" t="n">
        <x:v>0</x:v>
      </x:c>
      <x:c r="N1232" t="n">
        <x:v>0</x:v>
      </x:c>
      <x:c r="O1232" t="n">
        <x:v>0</x:v>
      </x:c>
      <x:c r="P1232"/>
      <x:c r="Q1232"/>
      <x:c r="R1232"/>
      <x:c r="S1232"/>
      <x:c r="T1232"/>
      <x:c r="U1232"/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/>
      <x:c r="AC1232" t="n">
        <x:v>0</x:v>
      </x:c>
      <x:c r="AD1232" t="n">
        <x:v>0.05117156607063911</x:v>
      </x:c>
      <x:c r="AE1232" t="n">
        <x:v>1</x:v>
      </x:c>
      <x:c r="AF1232" t="n">
        <x:v>0.0041580517857197075</x:v>
      </x:c>
      <x:c r="AG1232" t="n">
        <x:f>_xlfn.XLOOKUP($A1232,Games!$A$2:$A$18,Games!$B$2:$B$18,"Missing game",0)</x:f>
        <x:v>2025</x:v>
      </x:c>
      <x:c r="AH1232" t="str">
        <x:f>_xlfn.XLOOKUP($A1232,Games!$A$2:$A$18,Games!$C$2:$C$18,"Missing game",0)</x:f>
        <x:v>REG</x:v>
      </x:c>
      <x:c r="AI1232" t="n">
        <x:f>_xlfn.XLOOKUP($A1232,Games!$A$2:$A$18,Games!$D$2:$D$18,"Missing game",0)</x:f>
        <x:v>9</x:v>
      </x:c>
      <x:c r="AJ1232" s="1" t="n">
        <x:f>_xlfn.XLOOKUP($A1232,Games!$A$2:$A$18,Games!$E$2:$E$18,"Missing game",0)</x:f>
        <x:v>45963</x:v>
      </x:c>
      <x:c r="AK1232" t="str">
        <x:f>_xlfn.XLOOKUP($A1232,Games!$A$2:$A$18,Games!$F$2:$F$18,"Missing game",0)</x:f>
        <x:v>Sunday</x:v>
      </x:c>
      <x:c r="AL1232" t="str">
        <x:f>_xlfn.XLOOKUP($A1232,Games!$A$2:$A$18,Games!$G$2:$G$18,"Missing game",0)</x:f>
        <x:v>MIN</x:v>
      </x:c>
      <x:c r="AM1232" t="n">
        <x:f>_xlfn.XLOOKUP($A1232,Games!$A$2:$A$18,Games!$H$2:$H$18,"Missing game",0)</x:f>
        <x:v>27</x:v>
      </x:c>
      <x:c r="AN1232" t="str">
        <x:f>_xlfn.XLOOKUP($A1232,Games!$A$2:$A$18,Games!$I$2:$I$18,"Missing game",0)</x:f>
        <x:v>DET</x:v>
      </x:c>
      <x:c r="AO1232" t="n">
        <x:f>_xlfn.XLOOKUP($A1232,Games!$A$2:$A$18,Games!$J$2:$J$18,"Missing game",0)</x:f>
        <x:v>24</x:v>
      </x:c>
      <x:c r="AP1232" t="n">
        <x:f>_xlfn.XLOOKUP($A1232,Games!$A$2:$A$18,Games!$K$2:$K$18,"Missing game",0)</x:f>
        <x:v>-3</x:v>
      </x:c>
      <x:c r="AQ1232" t="n">
        <x:f>_xlfn.XLOOKUP($A1232,Games!$A$2:$A$18,Games!$L$2:$L$18,"Missing game",0)</x:f>
        <x:v>51</x:v>
      </x:c>
      <x:c r="AR1232" t="n">
        <x:f>_xlfn.XLOOKUP($A1232,Games!$A$2:$A$18,Games!$M$2:$M$18,"Missing game",0)</x:f>
        <x:v>0</x:v>
      </x:c>
      <x:c r="AS1232" t="str">
        <x:f>_xlfn.XLOOKUP($A1232,Games!$A$2:$A$18,Games!$N$2:$N$18,"Missing game",0)</x:f>
        <x:v>dome</x:v>
      </x:c>
      <x:c r="AT1232" t="str">
        <x:f>_xlfn.XLOOKUP($A1232,Games!$A$2:$A$18,Games!$O$2:$O$18,"Missing game",0)</x:f>
        <x:v>fieldturf</x:v>
      </x:c>
      <x:c r="AU1232" t="str">
        <x:f>_xlfn.XLOOKUP($A1232,Games!$A$2:$A$18,Games!$P$2:$P$18,"Missing game",0)</x:f>
      </x:c>
      <x:c r="AV1232" t="str">
        <x:f>_xlfn.XLOOKUP($A1232,Games!$A$2:$A$18,Games!$Q$2:$Q$18,"Missing game",0)</x:f>
      </x:c>
      <x:c r="AW1232" t="str">
        <x:f>_xlfn.XLOOKUP($A1232,Games!$A$2:$A$18,Games!$R$2:$R$18,"Missing game",0)</x:f>
        <x:v>Ford Field</x:v>
      </x:c>
    </x:row>
    <x:row r="1233">
      <x:c r="A1233" t="str">
        <x:v>2025_09_MIN_DET</x:v>
      </x:c>
      <x:c r="B1233" t="n">
        <x:v>1263</x:v>
      </x:c>
      <x:c r="C1233" t="n">
        <x:v>2</x:v>
      </x:c>
      <x:c r="D1233" t="str">
        <x:v>09:39</x:v>
      </x:c>
      <x:c r="E1233"/>
      <x:c r="F1233" t="n">
        <x:v>0</x:v>
      </x:c>
      <x:c r="G1233" t="str">
        <x:v>MIN</x:v>
      </x:c>
      <x:c r="H1233" t="str">
        <x:v>DET</x:v>
      </x:c>
      <x:c r="I1233" t="str">
        <x:v>DET</x:v>
      </x:c>
      <x:c r="J1233" t="n">
        <x:v>35</x:v>
      </x:c>
      <x:c r="K1233" t="str">
        <x:v>39-J.Bates kicks 65 yards from DET 35 to MIN 0. 4-M.Price to MIN 27 for 27 yards (15-G.Stuard).</x:v>
      </x:c>
      <x:c r="L1233" t="str">
        <x:v>kickoff</x:v>
      </x:c>
      <x:c r="M1233" t="n">
        <x:v>0</x:v>
      </x:c>
      <x:c r="N1233" t="n">
        <x:v>0</x:v>
      </x:c>
      <x:c r="O1233" t="n">
        <x:v>0</x:v>
      </x:c>
      <x:c r="P1233"/>
      <x:c r="Q1233"/>
      <x:c r="R1233"/>
      <x:c r="S1233"/>
      <x:c r="T1233"/>
      <x:c r="U1233"/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/>
      <x:c r="AC1233" t="n">
        <x:v>0</x:v>
      </x:c>
      <x:c r="AD1233" t="n">
        <x:v>0.045687907142564654</x:v>
      </x:c>
      <x:c r="AE1233" t="n">
        <x:v>1</x:v>
      </x:c>
      <x:c r="AF1233" t="n">
        <x:v>0</x:v>
      </x:c>
      <x:c r="AG1233" t="n">
        <x:f>_xlfn.XLOOKUP($A1233,Games!$A$2:$A$18,Games!$B$2:$B$18,"Missing game",0)</x:f>
        <x:v>2025</x:v>
      </x:c>
      <x:c r="AH1233" t="str">
        <x:f>_xlfn.XLOOKUP($A1233,Games!$A$2:$A$18,Games!$C$2:$C$18,"Missing game",0)</x:f>
        <x:v>REG</x:v>
      </x:c>
      <x:c r="AI1233" t="n">
        <x:f>_xlfn.XLOOKUP($A1233,Games!$A$2:$A$18,Games!$D$2:$D$18,"Missing game",0)</x:f>
        <x:v>9</x:v>
      </x:c>
      <x:c r="AJ1233" s="1" t="n">
        <x:f>_xlfn.XLOOKUP($A1233,Games!$A$2:$A$18,Games!$E$2:$E$18,"Missing game",0)</x:f>
        <x:v>45963</x:v>
      </x:c>
      <x:c r="AK1233" t="str">
        <x:f>_xlfn.XLOOKUP($A1233,Games!$A$2:$A$18,Games!$F$2:$F$18,"Missing game",0)</x:f>
        <x:v>Sunday</x:v>
      </x:c>
      <x:c r="AL1233" t="str">
        <x:f>_xlfn.XLOOKUP($A1233,Games!$A$2:$A$18,Games!$G$2:$G$18,"Missing game",0)</x:f>
        <x:v>MIN</x:v>
      </x:c>
      <x:c r="AM1233" t="n">
        <x:f>_xlfn.XLOOKUP($A1233,Games!$A$2:$A$18,Games!$H$2:$H$18,"Missing game",0)</x:f>
        <x:v>27</x:v>
      </x:c>
      <x:c r="AN1233" t="str">
        <x:f>_xlfn.XLOOKUP($A1233,Games!$A$2:$A$18,Games!$I$2:$I$18,"Missing game",0)</x:f>
        <x:v>DET</x:v>
      </x:c>
      <x:c r="AO1233" t="n">
        <x:f>_xlfn.XLOOKUP($A1233,Games!$A$2:$A$18,Games!$J$2:$J$18,"Missing game",0)</x:f>
        <x:v>24</x:v>
      </x:c>
      <x:c r="AP1233" t="n">
        <x:f>_xlfn.XLOOKUP($A1233,Games!$A$2:$A$18,Games!$K$2:$K$18,"Missing game",0)</x:f>
        <x:v>-3</x:v>
      </x:c>
      <x:c r="AQ1233" t="n">
        <x:f>_xlfn.XLOOKUP($A1233,Games!$A$2:$A$18,Games!$L$2:$L$18,"Missing game",0)</x:f>
        <x:v>51</x:v>
      </x:c>
      <x:c r="AR1233" t="n">
        <x:f>_xlfn.XLOOKUP($A1233,Games!$A$2:$A$18,Games!$M$2:$M$18,"Missing game",0)</x:f>
        <x:v>0</x:v>
      </x:c>
      <x:c r="AS1233" t="str">
        <x:f>_xlfn.XLOOKUP($A1233,Games!$A$2:$A$18,Games!$N$2:$N$18,"Missing game",0)</x:f>
        <x:v>dome</x:v>
      </x:c>
      <x:c r="AT1233" t="str">
        <x:f>_xlfn.XLOOKUP($A1233,Games!$A$2:$A$18,Games!$O$2:$O$18,"Missing game",0)</x:f>
        <x:v>fieldturf</x:v>
      </x:c>
      <x:c r="AU1233" t="str">
        <x:f>_xlfn.XLOOKUP($A1233,Games!$A$2:$A$18,Games!$P$2:$P$18,"Missing game",0)</x:f>
      </x:c>
      <x:c r="AV1233" t="str">
        <x:f>_xlfn.XLOOKUP($A1233,Games!$A$2:$A$18,Games!$Q$2:$Q$18,"Missing game",0)</x:f>
      </x:c>
      <x:c r="AW1233" t="str">
        <x:f>_xlfn.XLOOKUP($A1233,Games!$A$2:$A$18,Games!$R$2:$R$18,"Missing game",0)</x:f>
        <x:v>Ford Field</x:v>
      </x:c>
    </x:row>
    <x:row r="1234">
      <x:c r="A1234" t="str">
        <x:v>2025_09_MIN_DET</x:v>
      </x:c>
      <x:c r="B1234" t="n">
        <x:v>1293</x:v>
      </x:c>
      <x:c r="C1234" t="n">
        <x:v>2</x:v>
      </x:c>
      <x:c r="D1234" t="str">
        <x:v>09:32</x:v>
      </x:c>
      <x:c r="E1234" t="n">
        <x:v>1</x:v>
      </x:c>
      <x:c r="F1234" t="n">
        <x:v>10</x:v>
      </x:c>
      <x:c r="G1234" t="str">
        <x:v>MIN</x:v>
      </x:c>
      <x:c r="H1234" t="str">
        <x:v>DET</x:v>
      </x:c>
      <x:c r="I1234" t="str">
        <x:v>MIN</x:v>
      </x:c>
      <x:c r="J1234" t="n">
        <x:v>73</x:v>
      </x:c>
      <x:c r="K1234" t="str">
        <x:v>(9:32) 9-J.McCarthy sacked at MIN 27 for 0 yards (78-T.Lacy).</x:v>
      </x:c>
      <x:c r="L1234" t="str">
        <x:v>pass</x:v>
      </x:c>
      <x:c r="M1234" t="n">
        <x:v>0</x:v>
      </x:c>
      <x:c r="N1234" t="n">
        <x:v>0</x:v>
      </x:c>
      <x:c r="O1234" t="n">
        <x:v>0</x:v>
      </x:c>
      <x:c r="P1234"/>
      <x:c r="Q1234"/>
      <x:c r="R1234"/>
      <x:c r="S1234"/>
      <x:c r="T1234"/>
      <x:c r="U1234"/>
      <x:c r="V1234" t="n">
        <x:v>0</x:v>
      </x:c>
      <x:c r="W1234" t="n">
        <x:v>0</x:v>
      </x:c>
      <x:c r="X1234" t="n">
        <x:v>1</x:v>
      </x:c>
      <x:c r="Y1234" t="n">
        <x:v>0</x:v>
      </x:c>
      <x:c r="Z1234" t="n">
        <x:v>0</x:v>
      </x:c>
      <x:c r="AA1234" t="n">
        <x:v>0</x:v>
      </x:c>
      <x:c r="AB1234"/>
      <x:c r="AC1234" t="n">
        <x:v>0</x:v>
      </x:c>
      <x:c r="AD1234" t="n">
        <x:v>-0.5663600964471698</x:v>
      </x:c>
      <x:c r="AE1234" t="n">
        <x:v>0</x:v>
      </x:c>
      <x:c r="AF1234" t="n">
        <x:v>-0.015653669834136963</x:v>
      </x:c>
      <x:c r="AG1234" t="n">
        <x:f>_xlfn.XLOOKUP($A1234,Games!$A$2:$A$18,Games!$B$2:$B$18,"Missing game",0)</x:f>
        <x:v>2025</x:v>
      </x:c>
      <x:c r="AH1234" t="str">
        <x:f>_xlfn.XLOOKUP($A1234,Games!$A$2:$A$18,Games!$C$2:$C$18,"Missing game",0)</x:f>
        <x:v>REG</x:v>
      </x:c>
      <x:c r="AI1234" t="n">
        <x:f>_xlfn.XLOOKUP($A1234,Games!$A$2:$A$18,Games!$D$2:$D$18,"Missing game",0)</x:f>
        <x:v>9</x:v>
      </x:c>
      <x:c r="AJ1234" s="1" t="n">
        <x:f>_xlfn.XLOOKUP($A1234,Games!$A$2:$A$18,Games!$E$2:$E$18,"Missing game",0)</x:f>
        <x:v>45963</x:v>
      </x:c>
      <x:c r="AK1234" t="str">
        <x:f>_xlfn.XLOOKUP($A1234,Games!$A$2:$A$18,Games!$F$2:$F$18,"Missing game",0)</x:f>
        <x:v>Sunday</x:v>
      </x:c>
      <x:c r="AL1234" t="str">
        <x:f>_xlfn.XLOOKUP($A1234,Games!$A$2:$A$18,Games!$G$2:$G$18,"Missing game",0)</x:f>
        <x:v>MIN</x:v>
      </x:c>
      <x:c r="AM1234" t="n">
        <x:f>_xlfn.XLOOKUP($A1234,Games!$A$2:$A$18,Games!$H$2:$H$18,"Missing game",0)</x:f>
        <x:v>27</x:v>
      </x:c>
      <x:c r="AN1234" t="str">
        <x:f>_xlfn.XLOOKUP($A1234,Games!$A$2:$A$18,Games!$I$2:$I$18,"Missing game",0)</x:f>
        <x:v>DET</x:v>
      </x:c>
      <x:c r="AO1234" t="n">
        <x:f>_xlfn.XLOOKUP($A1234,Games!$A$2:$A$18,Games!$J$2:$J$18,"Missing game",0)</x:f>
        <x:v>24</x:v>
      </x:c>
      <x:c r="AP1234" t="n">
        <x:f>_xlfn.XLOOKUP($A1234,Games!$A$2:$A$18,Games!$K$2:$K$18,"Missing game",0)</x:f>
        <x:v>-3</x:v>
      </x:c>
      <x:c r="AQ1234" t="n">
        <x:f>_xlfn.XLOOKUP($A1234,Games!$A$2:$A$18,Games!$L$2:$L$18,"Missing game",0)</x:f>
        <x:v>51</x:v>
      </x:c>
      <x:c r="AR1234" t="n">
        <x:f>_xlfn.XLOOKUP($A1234,Games!$A$2:$A$18,Games!$M$2:$M$18,"Missing game",0)</x:f>
        <x:v>0</x:v>
      </x:c>
      <x:c r="AS1234" t="str">
        <x:f>_xlfn.XLOOKUP($A1234,Games!$A$2:$A$18,Games!$N$2:$N$18,"Missing game",0)</x:f>
        <x:v>dome</x:v>
      </x:c>
      <x:c r="AT1234" t="str">
        <x:f>_xlfn.XLOOKUP($A1234,Games!$A$2:$A$18,Games!$O$2:$O$18,"Missing game",0)</x:f>
        <x:v>fieldturf</x:v>
      </x:c>
      <x:c r="AU1234" t="str">
        <x:f>_xlfn.XLOOKUP($A1234,Games!$A$2:$A$18,Games!$P$2:$P$18,"Missing game",0)</x:f>
      </x:c>
      <x:c r="AV1234" t="str">
        <x:f>_xlfn.XLOOKUP($A1234,Games!$A$2:$A$18,Games!$Q$2:$Q$18,"Missing game",0)</x:f>
      </x:c>
      <x:c r="AW1234" t="str">
        <x:f>_xlfn.XLOOKUP($A1234,Games!$A$2:$A$18,Games!$R$2:$R$18,"Missing game",0)</x:f>
        <x:v>Ford Field</x:v>
      </x:c>
    </x:row>
    <x:row r="1235">
      <x:c r="A1235" t="str">
        <x:v>2025_09_MIN_DET</x:v>
      </x:c>
      <x:c r="B1235" t="n">
        <x:v>1322</x:v>
      </x:c>
      <x:c r="C1235" t="n">
        <x:v>2</x:v>
      </x:c>
      <x:c r="D1235" t="str">
        <x:v>08:44</x:v>
      </x:c>
      <x:c r="E1235" t="n">
        <x:v>2</x:v>
      </x:c>
      <x:c r="F1235" t="n">
        <x:v>10</x:v>
      </x:c>
      <x:c r="G1235" t="str">
        <x:v>MIN</x:v>
      </x:c>
      <x:c r="H1235" t="str">
        <x:v>DET</x:v>
      </x:c>
      <x:c r="I1235" t="str">
        <x:v>MIN</x:v>
      </x:c>
      <x:c r="J1235" t="n">
        <x:v>73</x:v>
      </x:c>
      <x:c r="K1235" t="str">
        <x:v>(8:44) PENALTY on MIN-1-J.Nailor, False Start, 5 yards, enforced at MIN 27 - No Play.</x:v>
      </x:c>
      <x:c r="L1235" t="str">
        <x:v>no_play</x:v>
      </x:c>
      <x:c r="M1235" t="n">
        <x:v>0</x:v>
      </x:c>
      <x:c r="N1235" t="n">
        <x:v>0</x:v>
      </x:c>
      <x:c r="O1235" t="n">
        <x:v>0</x:v>
      </x:c>
      <x:c r="P1235"/>
      <x:c r="Q1235"/>
      <x:c r="R1235"/>
      <x:c r="S1235"/>
      <x:c r="T1235"/>
      <x:c r="U1235"/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1</x:v>
      </x:c>
      <x:c r="AB1235" t="n">
        <x:v>5</x:v>
      </x:c>
      <x:c r="AC1235" t="n">
        <x:v>0</x:v>
      </x:c>
      <x:c r="AD1235" t="n">
        <x:v>-0.6840953025966883</x:v>
      </x:c>
      <x:c r="AE1235" t="n">
        <x:v>0</x:v>
      </x:c>
      <x:c r="AF1235" t="n">
        <x:v>-0.008223265409469604</x:v>
      </x:c>
      <x:c r="AG1235" t="n">
        <x:f>_xlfn.XLOOKUP($A1235,Games!$A$2:$A$18,Games!$B$2:$B$18,"Missing game",0)</x:f>
        <x:v>2025</x:v>
      </x:c>
      <x:c r="AH1235" t="str">
        <x:f>_xlfn.XLOOKUP($A1235,Games!$A$2:$A$18,Games!$C$2:$C$18,"Missing game",0)</x:f>
        <x:v>REG</x:v>
      </x:c>
      <x:c r="AI1235" t="n">
        <x:f>_xlfn.XLOOKUP($A1235,Games!$A$2:$A$18,Games!$D$2:$D$18,"Missing game",0)</x:f>
        <x:v>9</x:v>
      </x:c>
      <x:c r="AJ1235" s="1" t="n">
        <x:f>_xlfn.XLOOKUP($A1235,Games!$A$2:$A$18,Games!$E$2:$E$18,"Missing game",0)</x:f>
        <x:v>45963</x:v>
      </x:c>
      <x:c r="AK1235" t="str">
        <x:f>_xlfn.XLOOKUP($A1235,Games!$A$2:$A$18,Games!$F$2:$F$18,"Missing game",0)</x:f>
        <x:v>Sunday</x:v>
      </x:c>
      <x:c r="AL1235" t="str">
        <x:f>_xlfn.XLOOKUP($A1235,Games!$A$2:$A$18,Games!$G$2:$G$18,"Missing game",0)</x:f>
        <x:v>MIN</x:v>
      </x:c>
      <x:c r="AM1235" t="n">
        <x:f>_xlfn.XLOOKUP($A1235,Games!$A$2:$A$18,Games!$H$2:$H$18,"Missing game",0)</x:f>
        <x:v>27</x:v>
      </x:c>
      <x:c r="AN1235" t="str">
        <x:f>_xlfn.XLOOKUP($A1235,Games!$A$2:$A$18,Games!$I$2:$I$18,"Missing game",0)</x:f>
        <x:v>DET</x:v>
      </x:c>
      <x:c r="AO1235" t="n">
        <x:f>_xlfn.XLOOKUP($A1235,Games!$A$2:$A$18,Games!$J$2:$J$18,"Missing game",0)</x:f>
        <x:v>24</x:v>
      </x:c>
      <x:c r="AP1235" t="n">
        <x:f>_xlfn.XLOOKUP($A1235,Games!$A$2:$A$18,Games!$K$2:$K$18,"Missing game",0)</x:f>
        <x:v>-3</x:v>
      </x:c>
      <x:c r="AQ1235" t="n">
        <x:f>_xlfn.XLOOKUP($A1235,Games!$A$2:$A$18,Games!$L$2:$L$18,"Missing game",0)</x:f>
        <x:v>51</x:v>
      </x:c>
      <x:c r="AR1235" t="n">
        <x:f>_xlfn.XLOOKUP($A1235,Games!$A$2:$A$18,Games!$M$2:$M$18,"Missing game",0)</x:f>
        <x:v>0</x:v>
      </x:c>
      <x:c r="AS1235" t="str">
        <x:f>_xlfn.XLOOKUP($A1235,Games!$A$2:$A$18,Games!$N$2:$N$18,"Missing game",0)</x:f>
        <x:v>dome</x:v>
      </x:c>
      <x:c r="AT1235" t="str">
        <x:f>_xlfn.XLOOKUP($A1235,Games!$A$2:$A$18,Games!$O$2:$O$18,"Missing game",0)</x:f>
        <x:v>fieldturf</x:v>
      </x:c>
      <x:c r="AU1235" t="str">
        <x:f>_xlfn.XLOOKUP($A1235,Games!$A$2:$A$18,Games!$P$2:$P$18,"Missing game",0)</x:f>
      </x:c>
      <x:c r="AV1235" t="str">
        <x:f>_xlfn.XLOOKUP($A1235,Games!$A$2:$A$18,Games!$Q$2:$Q$18,"Missing game",0)</x:f>
      </x:c>
      <x:c r="AW1235" t="str">
        <x:f>_xlfn.XLOOKUP($A1235,Games!$A$2:$A$18,Games!$R$2:$R$18,"Missing game",0)</x:f>
        <x:v>Ford Field</x:v>
      </x:c>
    </x:row>
    <x:row r="1236">
      <x:c r="A1236" t="str">
        <x:v>2025_09_MIN_DET</x:v>
      </x:c>
      <x:c r="B1236" t="n">
        <x:v>1355</x:v>
      </x:c>
      <x:c r="C1236" t="n">
        <x:v>2</x:v>
      </x:c>
      <x:c r="D1236" t="str">
        <x:v>08:27</x:v>
      </x:c>
      <x:c r="E1236" t="n">
        <x:v>2</x:v>
      </x:c>
      <x:c r="F1236" t="n">
        <x:v>15</x:v>
      </x:c>
      <x:c r="G1236" t="str">
        <x:v>MIN</x:v>
      </x:c>
      <x:c r="H1236" t="str">
        <x:v>DET</x:v>
      </x:c>
      <x:c r="I1236" t="str">
        <x:v>MIN</x:v>
      </x:c>
      <x:c r="J1236" t="n">
        <x:v>78</x:v>
      </x:c>
      <x:c r="K1236" t="str">
        <x:v>(8:27) (Shotgun) 33-A.Jones left end pushed ob at DET 47 for 31 yards (46-J.Campbell).</x:v>
      </x:c>
      <x:c r="L1236" t="str">
        <x:v>run</x:v>
      </x:c>
      <x:c r="M1236" t="n">
        <x:v>31</x:v>
      </x:c>
      <x:c r="N1236" t="n">
        <x:v>1</x:v>
      </x:c>
      <x:c r="O1236" t="n">
        <x:v>0</x:v>
      </x:c>
      <x:c r="P1236"/>
      <x:c r="Q1236"/>
      <x:c r="R1236"/>
      <x:c r="S1236"/>
      <x:c r="T1236" t="str">
        <x:v>left</x:v>
      </x:c>
      <x:c r="U1236" t="str">
        <x:v>end</x:v>
      </x:c>
      <x:c r="V1236" t="n">
        <x:v>0</x:v>
      </x:c>
      <x:c r="W1236" t="n">
        <x:v>1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/>
      <x:c r="AC1236" t="n">
        <x:v>0</x:v>
      </x:c>
      <x:c r="AD1236" t="n">
        <x:v>2.890668125124648</x:v>
      </x:c>
      <x:c r="AE1236" t="n">
        <x:v>1</x:v>
      </x:c>
      <x:c r="AF1236" t="n">
        <x:v>0.0877637267112732</x:v>
      </x:c>
      <x:c r="AG1236" t="n">
        <x:f>_xlfn.XLOOKUP($A1236,Games!$A$2:$A$18,Games!$B$2:$B$18,"Missing game",0)</x:f>
        <x:v>2025</x:v>
      </x:c>
      <x:c r="AH1236" t="str">
        <x:f>_xlfn.XLOOKUP($A1236,Games!$A$2:$A$18,Games!$C$2:$C$18,"Missing game",0)</x:f>
        <x:v>REG</x:v>
      </x:c>
      <x:c r="AI1236" t="n">
        <x:f>_xlfn.XLOOKUP($A1236,Games!$A$2:$A$18,Games!$D$2:$D$18,"Missing game",0)</x:f>
        <x:v>9</x:v>
      </x:c>
      <x:c r="AJ1236" s="1" t="n">
        <x:f>_xlfn.XLOOKUP($A1236,Games!$A$2:$A$18,Games!$E$2:$E$18,"Missing game",0)</x:f>
        <x:v>45963</x:v>
      </x:c>
      <x:c r="AK1236" t="str">
        <x:f>_xlfn.XLOOKUP($A1236,Games!$A$2:$A$18,Games!$F$2:$F$18,"Missing game",0)</x:f>
        <x:v>Sunday</x:v>
      </x:c>
      <x:c r="AL1236" t="str">
        <x:f>_xlfn.XLOOKUP($A1236,Games!$A$2:$A$18,Games!$G$2:$G$18,"Missing game",0)</x:f>
        <x:v>MIN</x:v>
      </x:c>
      <x:c r="AM1236" t="n">
        <x:f>_xlfn.XLOOKUP($A1236,Games!$A$2:$A$18,Games!$H$2:$H$18,"Missing game",0)</x:f>
        <x:v>27</x:v>
      </x:c>
      <x:c r="AN1236" t="str">
        <x:f>_xlfn.XLOOKUP($A1236,Games!$A$2:$A$18,Games!$I$2:$I$18,"Missing game",0)</x:f>
        <x:v>DET</x:v>
      </x:c>
      <x:c r="AO1236" t="n">
        <x:f>_xlfn.XLOOKUP($A1236,Games!$A$2:$A$18,Games!$J$2:$J$18,"Missing game",0)</x:f>
        <x:v>24</x:v>
      </x:c>
      <x:c r="AP1236" t="n">
        <x:f>_xlfn.XLOOKUP($A1236,Games!$A$2:$A$18,Games!$K$2:$K$18,"Missing game",0)</x:f>
        <x:v>-3</x:v>
      </x:c>
      <x:c r="AQ1236" t="n">
        <x:f>_xlfn.XLOOKUP($A1236,Games!$A$2:$A$18,Games!$L$2:$L$18,"Missing game",0)</x:f>
        <x:v>51</x:v>
      </x:c>
      <x:c r="AR1236" t="n">
        <x:f>_xlfn.XLOOKUP($A1236,Games!$A$2:$A$18,Games!$M$2:$M$18,"Missing game",0)</x:f>
        <x:v>0</x:v>
      </x:c>
      <x:c r="AS1236" t="str">
        <x:f>_xlfn.XLOOKUP($A1236,Games!$A$2:$A$18,Games!$N$2:$N$18,"Missing game",0)</x:f>
        <x:v>dome</x:v>
      </x:c>
      <x:c r="AT1236" t="str">
        <x:f>_xlfn.XLOOKUP($A1236,Games!$A$2:$A$18,Games!$O$2:$O$18,"Missing game",0)</x:f>
        <x:v>fieldturf</x:v>
      </x:c>
      <x:c r="AU1236" t="str">
        <x:f>_xlfn.XLOOKUP($A1236,Games!$A$2:$A$18,Games!$P$2:$P$18,"Missing game",0)</x:f>
      </x:c>
      <x:c r="AV1236" t="str">
        <x:f>_xlfn.XLOOKUP($A1236,Games!$A$2:$A$18,Games!$Q$2:$Q$18,"Missing game",0)</x:f>
      </x:c>
      <x:c r="AW1236" t="str">
        <x:f>_xlfn.XLOOKUP($A1236,Games!$A$2:$A$18,Games!$R$2:$R$18,"Missing game",0)</x:f>
        <x:v>Ford Field</x:v>
      </x:c>
    </x:row>
    <x:row r="1237">
      <x:c r="A1237" t="str">
        <x:v>2025_09_MIN_DET</x:v>
      </x:c>
      <x:c r="B1237" t="n">
        <x:v>1385</x:v>
      </x:c>
      <x:c r="C1237" t="n">
        <x:v>2</x:v>
      </x:c>
      <x:c r="D1237" t="str">
        <x:v>07:41</x:v>
      </x:c>
      <x:c r="E1237" t="n">
        <x:v>1</x:v>
      </x:c>
      <x:c r="F1237" t="n">
        <x:v>10</x:v>
      </x:c>
      <x:c r="G1237" t="str">
        <x:v>MIN</x:v>
      </x:c>
      <x:c r="H1237" t="str">
        <x:v>DET</x:v>
      </x:c>
      <x:c r="I1237" t="str">
        <x:v>DET</x:v>
      </x:c>
      <x:c r="J1237" t="n">
        <x:v>47</x:v>
      </x:c>
      <x:c r="K1237" t="str">
        <x:v>(7:41) (Shotgun) 9-J.McCarthy pass short left to 18-J.Jefferson pushed ob at DET 45 for 2 yards (34-A.Anzalone). PENALTY on DET-97-A.Hutchinson, Unnecessary Roughness, 15 yards, enforced at DET 45.</x:v>
      </x:c>
      <x:c r="L1237" t="str">
        <x:v>pass</x:v>
      </x:c>
      <x:c r="M1237" t="n">
        <x:v>2</x:v>
      </x:c>
      <x:c r="N1237" t="n">
        <x:v>1</x:v>
      </x:c>
      <x:c r="O1237" t="n">
        <x:v>0</x:v>
      </x:c>
      <x:c r="P1237" t="str">
        <x:v>short</x:v>
      </x:c>
      <x:c r="Q1237" t="str">
        <x:v>left</x:v>
      </x:c>
      <x:c r="R1237" t="n">
        <x:v>2</x:v>
      </x:c>
      <x:c r="S1237" t="n">
        <x:v>0</x:v>
      </x:c>
      <x:c r="T1237"/>
      <x:c r="U1237"/>
      <x:c r="V1237" t="n">
        <x:v>1</x:v>
      </x:c>
      <x:c r="W1237" t="n">
        <x:v>1</x:v>
      </x:c>
      <x:c r="X1237" t="n">
        <x:v>0</x:v>
      </x:c>
      <x:c r="Y1237" t="n">
        <x:v>0</x:v>
      </x:c>
      <x:c r="Z1237" t="n">
        <x:v>0</x:v>
      </x:c>
      <x:c r="AA1237" t="n">
        <x:v>1</x:v>
      </x:c>
      <x:c r="AB1237" t="n">
        <x:v>15</x:v>
      </x:c>
      <x:c r="AC1237" t="n">
        <x:v>0</x:v>
      </x:c>
      <x:c r="AD1237" t="n">
        <x:v>1.0125226870877668</x:v>
      </x:c>
      <x:c r="AE1237" t="n">
        <x:v>1</x:v>
      </x:c>
      <x:c r="AF1237" t="n">
        <x:v>0.05024498701095581</x:v>
      </x:c>
      <x:c r="AG1237" t="n">
        <x:f>_xlfn.XLOOKUP($A1237,Games!$A$2:$A$18,Games!$B$2:$B$18,"Missing game",0)</x:f>
        <x:v>2025</x:v>
      </x:c>
      <x:c r="AH1237" t="str">
        <x:f>_xlfn.XLOOKUP($A1237,Games!$A$2:$A$18,Games!$C$2:$C$18,"Missing game",0)</x:f>
        <x:v>REG</x:v>
      </x:c>
      <x:c r="AI1237" t="n">
        <x:f>_xlfn.XLOOKUP($A1237,Games!$A$2:$A$18,Games!$D$2:$D$18,"Missing game",0)</x:f>
        <x:v>9</x:v>
      </x:c>
      <x:c r="AJ1237" s="1" t="n">
        <x:f>_xlfn.XLOOKUP($A1237,Games!$A$2:$A$18,Games!$E$2:$E$18,"Missing game",0)</x:f>
        <x:v>45963</x:v>
      </x:c>
      <x:c r="AK1237" t="str">
        <x:f>_xlfn.XLOOKUP($A1237,Games!$A$2:$A$18,Games!$F$2:$F$18,"Missing game",0)</x:f>
        <x:v>Sunday</x:v>
      </x:c>
      <x:c r="AL1237" t="str">
        <x:f>_xlfn.XLOOKUP($A1237,Games!$A$2:$A$18,Games!$G$2:$G$18,"Missing game",0)</x:f>
        <x:v>MIN</x:v>
      </x:c>
      <x:c r="AM1237" t="n">
        <x:f>_xlfn.XLOOKUP($A1237,Games!$A$2:$A$18,Games!$H$2:$H$18,"Missing game",0)</x:f>
        <x:v>27</x:v>
      </x:c>
      <x:c r="AN1237" t="str">
        <x:f>_xlfn.XLOOKUP($A1237,Games!$A$2:$A$18,Games!$I$2:$I$18,"Missing game",0)</x:f>
        <x:v>DET</x:v>
      </x:c>
      <x:c r="AO1237" t="n">
        <x:f>_xlfn.XLOOKUP($A1237,Games!$A$2:$A$18,Games!$J$2:$J$18,"Missing game",0)</x:f>
        <x:v>24</x:v>
      </x:c>
      <x:c r="AP1237" t="n">
        <x:f>_xlfn.XLOOKUP($A1237,Games!$A$2:$A$18,Games!$K$2:$K$18,"Missing game",0)</x:f>
        <x:v>-3</x:v>
      </x:c>
      <x:c r="AQ1237" t="n">
        <x:f>_xlfn.XLOOKUP($A1237,Games!$A$2:$A$18,Games!$L$2:$L$18,"Missing game",0)</x:f>
        <x:v>51</x:v>
      </x:c>
      <x:c r="AR1237" t="n">
        <x:f>_xlfn.XLOOKUP($A1237,Games!$A$2:$A$18,Games!$M$2:$M$18,"Missing game",0)</x:f>
        <x:v>0</x:v>
      </x:c>
      <x:c r="AS1237" t="str">
        <x:f>_xlfn.XLOOKUP($A1237,Games!$A$2:$A$18,Games!$N$2:$N$18,"Missing game",0)</x:f>
        <x:v>dome</x:v>
      </x:c>
      <x:c r="AT1237" t="str">
        <x:f>_xlfn.XLOOKUP($A1237,Games!$A$2:$A$18,Games!$O$2:$O$18,"Missing game",0)</x:f>
        <x:v>fieldturf</x:v>
      </x:c>
      <x:c r="AU1237" t="str">
        <x:f>_xlfn.XLOOKUP($A1237,Games!$A$2:$A$18,Games!$P$2:$P$18,"Missing game",0)</x:f>
      </x:c>
      <x:c r="AV1237" t="str">
        <x:f>_xlfn.XLOOKUP($A1237,Games!$A$2:$A$18,Games!$Q$2:$Q$18,"Missing game",0)</x:f>
      </x:c>
      <x:c r="AW1237" t="str">
        <x:f>_xlfn.XLOOKUP($A1237,Games!$A$2:$A$18,Games!$R$2:$R$18,"Missing game",0)</x:f>
        <x:v>Ford Field</x:v>
      </x:c>
    </x:row>
    <x:row r="1238">
      <x:c r="A1238" t="str">
        <x:v>2025_09_MIN_DET</x:v>
      </x:c>
      <x:c r="B1238" t="n">
        <x:v>1426</x:v>
      </x:c>
      <x:c r="C1238" t="n">
        <x:v>2</x:v>
      </x:c>
      <x:c r="D1238" t="str">
        <x:v>07:18</x:v>
      </x:c>
      <x:c r="E1238" t="n">
        <x:v>1</x:v>
      </x:c>
      <x:c r="F1238" t="n">
        <x:v>10</x:v>
      </x:c>
      <x:c r="G1238" t="str">
        <x:v>MIN</x:v>
      </x:c>
      <x:c r="H1238" t="str">
        <x:v>DET</x:v>
      </x:c>
      <x:c r="I1238" t="str">
        <x:v>DET</x:v>
      </x:c>
      <x:c r="J1238" t="n">
        <x:v>30</x:v>
      </x:c>
      <x:c r="K1238" t="str">
        <x:v>(7:18) 9-J.McCarthy pass short right to 18-J.Jefferson pushed ob at DET 19 for 11 yards (21-A.Robertson).</x:v>
      </x:c>
      <x:c r="L1238" t="str">
        <x:v>pass</x:v>
      </x:c>
      <x:c r="M1238" t="n">
        <x:v>11</x:v>
      </x:c>
      <x:c r="N1238" t="n">
        <x:v>0</x:v>
      </x:c>
      <x:c r="O1238" t="n">
        <x:v>0</x:v>
      </x:c>
      <x:c r="P1238" t="str">
        <x:v>short</x:v>
      </x:c>
      <x:c r="Q1238" t="str">
        <x:v>right</x:v>
      </x:c>
      <x:c r="R1238" t="n">
        <x:v>11</x:v>
      </x:c>
      <x:c r="S1238" t="n">
        <x:v>0</x:v>
      </x:c>
      <x:c r="T1238"/>
      <x:c r="U1238"/>
      <x:c r="V1238" t="n">
        <x:v>1</x:v>
      </x:c>
      <x:c r="W1238" t="n">
        <x:v>1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/>
      <x:c r="AC1238" t="n">
        <x:v>0</x:v>
      </x:c>
      <x:c r="AD1238" t="n">
        <x:v>0.6894634470809251</x:v>
      </x:c>
      <x:c r="AE1238" t="n">
        <x:v>1</x:v>
      </x:c>
      <x:c r="AF1238" t="n">
        <x:v>0.023397505283355713</x:v>
      </x:c>
      <x:c r="AG1238" t="n">
        <x:f>_xlfn.XLOOKUP($A1238,Games!$A$2:$A$18,Games!$B$2:$B$18,"Missing game",0)</x:f>
        <x:v>2025</x:v>
      </x:c>
      <x:c r="AH1238" t="str">
        <x:f>_xlfn.XLOOKUP($A1238,Games!$A$2:$A$18,Games!$C$2:$C$18,"Missing game",0)</x:f>
        <x:v>REG</x:v>
      </x:c>
      <x:c r="AI1238" t="n">
        <x:f>_xlfn.XLOOKUP($A1238,Games!$A$2:$A$18,Games!$D$2:$D$18,"Missing game",0)</x:f>
        <x:v>9</x:v>
      </x:c>
      <x:c r="AJ1238" s="1" t="n">
        <x:f>_xlfn.XLOOKUP($A1238,Games!$A$2:$A$18,Games!$E$2:$E$18,"Missing game",0)</x:f>
        <x:v>45963</x:v>
      </x:c>
      <x:c r="AK1238" t="str">
        <x:f>_xlfn.XLOOKUP($A1238,Games!$A$2:$A$18,Games!$F$2:$F$18,"Missing game",0)</x:f>
        <x:v>Sunday</x:v>
      </x:c>
      <x:c r="AL1238" t="str">
        <x:f>_xlfn.XLOOKUP($A1238,Games!$A$2:$A$18,Games!$G$2:$G$18,"Missing game",0)</x:f>
        <x:v>MIN</x:v>
      </x:c>
      <x:c r="AM1238" t="n">
        <x:f>_xlfn.XLOOKUP($A1238,Games!$A$2:$A$18,Games!$H$2:$H$18,"Missing game",0)</x:f>
        <x:v>27</x:v>
      </x:c>
      <x:c r="AN1238" t="str">
        <x:f>_xlfn.XLOOKUP($A1238,Games!$A$2:$A$18,Games!$I$2:$I$18,"Missing game",0)</x:f>
        <x:v>DET</x:v>
      </x:c>
      <x:c r="AO1238" t="n">
        <x:f>_xlfn.XLOOKUP($A1238,Games!$A$2:$A$18,Games!$J$2:$J$18,"Missing game",0)</x:f>
        <x:v>24</x:v>
      </x:c>
      <x:c r="AP1238" t="n">
        <x:f>_xlfn.XLOOKUP($A1238,Games!$A$2:$A$18,Games!$K$2:$K$18,"Missing game",0)</x:f>
        <x:v>-3</x:v>
      </x:c>
      <x:c r="AQ1238" t="n">
        <x:f>_xlfn.XLOOKUP($A1238,Games!$A$2:$A$18,Games!$L$2:$L$18,"Missing game",0)</x:f>
        <x:v>51</x:v>
      </x:c>
      <x:c r="AR1238" t="n">
        <x:f>_xlfn.XLOOKUP($A1238,Games!$A$2:$A$18,Games!$M$2:$M$18,"Missing game",0)</x:f>
        <x:v>0</x:v>
      </x:c>
      <x:c r="AS1238" t="str">
        <x:f>_xlfn.XLOOKUP($A1238,Games!$A$2:$A$18,Games!$N$2:$N$18,"Missing game",0)</x:f>
        <x:v>dome</x:v>
      </x:c>
      <x:c r="AT1238" t="str">
        <x:f>_xlfn.XLOOKUP($A1238,Games!$A$2:$A$18,Games!$O$2:$O$18,"Missing game",0)</x:f>
        <x:v>fieldturf</x:v>
      </x:c>
      <x:c r="AU1238" t="str">
        <x:f>_xlfn.XLOOKUP($A1238,Games!$A$2:$A$18,Games!$P$2:$P$18,"Missing game",0)</x:f>
      </x:c>
      <x:c r="AV1238" t="str">
        <x:f>_xlfn.XLOOKUP($A1238,Games!$A$2:$A$18,Games!$Q$2:$Q$18,"Missing game",0)</x:f>
      </x:c>
      <x:c r="AW1238" t="str">
        <x:f>_xlfn.XLOOKUP($A1238,Games!$A$2:$A$18,Games!$R$2:$R$18,"Missing game",0)</x:f>
        <x:v>Ford Field</x:v>
      </x:c>
    </x:row>
    <x:row r="1239">
      <x:c r="A1239" t="str">
        <x:v>2025_09_MIN_DET</x:v>
      </x:c>
      <x:c r="B1239" t="n">
        <x:v>1456</x:v>
      </x:c>
      <x:c r="C1239" t="n">
        <x:v>2</x:v>
      </x:c>
      <x:c r="D1239" t="str">
        <x:v>06:44</x:v>
      </x:c>
      <x:c r="E1239" t="n">
        <x:v>1</x:v>
      </x:c>
      <x:c r="F1239" t="n">
        <x:v>10</x:v>
      </x:c>
      <x:c r="G1239" t="str">
        <x:v>MIN</x:v>
      </x:c>
      <x:c r="H1239" t="str">
        <x:v>DET</x:v>
      </x:c>
      <x:c r="I1239" t="str">
        <x:v>DET</x:v>
      </x:c>
      <x:c r="J1239" t="n">
        <x:v>19</x:v>
      </x:c>
      <x:c r="K1239" t="str">
        <x:v>(6:44) 27-J.Mason left end to DET 19 for no gain (32-B.Branch).</x:v>
      </x:c>
      <x:c r="L1239" t="str">
        <x:v>run</x:v>
      </x:c>
      <x:c r="M1239" t="n">
        <x:v>0</x:v>
      </x:c>
      <x:c r="N1239" t="n">
        <x:v>0</x:v>
      </x:c>
      <x:c r="O1239" t="n">
        <x:v>0</x:v>
      </x:c>
      <x:c r="P1239"/>
      <x:c r="Q1239"/>
      <x:c r="R1239"/>
      <x:c r="S1239"/>
      <x:c r="T1239" t="str">
        <x:v>left</x:v>
      </x:c>
      <x:c r="U1239" t="str">
        <x:v>end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/>
      <x:c r="AC1239" t="n">
        <x:v>0</x:v>
      </x:c>
      <x:c r="AD1239" t="n">
        <x:v>-0.5056858775787987</x:v>
      </x:c>
      <x:c r="AE1239" t="n">
        <x:v>0</x:v>
      </x:c>
      <x:c r="AF1239" t="n">
        <x:v>-0.012157917022705078</x:v>
      </x:c>
      <x:c r="AG1239" t="n">
        <x:f>_xlfn.XLOOKUP($A1239,Games!$A$2:$A$18,Games!$B$2:$B$18,"Missing game",0)</x:f>
        <x:v>2025</x:v>
      </x:c>
      <x:c r="AH1239" t="str">
        <x:f>_xlfn.XLOOKUP($A1239,Games!$A$2:$A$18,Games!$C$2:$C$18,"Missing game",0)</x:f>
        <x:v>REG</x:v>
      </x:c>
      <x:c r="AI1239" t="n">
        <x:f>_xlfn.XLOOKUP($A1239,Games!$A$2:$A$18,Games!$D$2:$D$18,"Missing game",0)</x:f>
        <x:v>9</x:v>
      </x:c>
      <x:c r="AJ1239" s="1" t="n">
        <x:f>_xlfn.XLOOKUP($A1239,Games!$A$2:$A$18,Games!$E$2:$E$18,"Missing game",0)</x:f>
        <x:v>45963</x:v>
      </x:c>
      <x:c r="AK1239" t="str">
        <x:f>_xlfn.XLOOKUP($A1239,Games!$A$2:$A$18,Games!$F$2:$F$18,"Missing game",0)</x:f>
        <x:v>Sunday</x:v>
      </x:c>
      <x:c r="AL1239" t="str">
        <x:f>_xlfn.XLOOKUP($A1239,Games!$A$2:$A$18,Games!$G$2:$G$18,"Missing game",0)</x:f>
        <x:v>MIN</x:v>
      </x:c>
      <x:c r="AM1239" t="n">
        <x:f>_xlfn.XLOOKUP($A1239,Games!$A$2:$A$18,Games!$H$2:$H$18,"Missing game",0)</x:f>
        <x:v>27</x:v>
      </x:c>
      <x:c r="AN1239" t="str">
        <x:f>_xlfn.XLOOKUP($A1239,Games!$A$2:$A$18,Games!$I$2:$I$18,"Missing game",0)</x:f>
        <x:v>DET</x:v>
      </x:c>
      <x:c r="AO1239" t="n">
        <x:f>_xlfn.XLOOKUP($A1239,Games!$A$2:$A$18,Games!$J$2:$J$18,"Missing game",0)</x:f>
        <x:v>24</x:v>
      </x:c>
      <x:c r="AP1239" t="n">
        <x:f>_xlfn.XLOOKUP($A1239,Games!$A$2:$A$18,Games!$K$2:$K$18,"Missing game",0)</x:f>
        <x:v>-3</x:v>
      </x:c>
      <x:c r="AQ1239" t="n">
        <x:f>_xlfn.XLOOKUP($A1239,Games!$A$2:$A$18,Games!$L$2:$L$18,"Missing game",0)</x:f>
        <x:v>51</x:v>
      </x:c>
      <x:c r="AR1239" t="n">
        <x:f>_xlfn.XLOOKUP($A1239,Games!$A$2:$A$18,Games!$M$2:$M$18,"Missing game",0)</x:f>
        <x:v>0</x:v>
      </x:c>
      <x:c r="AS1239" t="str">
        <x:f>_xlfn.XLOOKUP($A1239,Games!$A$2:$A$18,Games!$N$2:$N$18,"Missing game",0)</x:f>
        <x:v>dome</x:v>
      </x:c>
      <x:c r="AT1239" t="str">
        <x:f>_xlfn.XLOOKUP($A1239,Games!$A$2:$A$18,Games!$O$2:$O$18,"Missing game",0)</x:f>
        <x:v>fieldturf</x:v>
      </x:c>
      <x:c r="AU1239" t="str">
        <x:f>_xlfn.XLOOKUP($A1239,Games!$A$2:$A$18,Games!$P$2:$P$18,"Missing game",0)</x:f>
      </x:c>
      <x:c r="AV1239" t="str">
        <x:f>_xlfn.XLOOKUP($A1239,Games!$A$2:$A$18,Games!$Q$2:$Q$18,"Missing game",0)</x:f>
      </x:c>
      <x:c r="AW1239" t="str">
        <x:f>_xlfn.XLOOKUP($A1239,Games!$A$2:$A$18,Games!$R$2:$R$18,"Missing game",0)</x:f>
        <x:v>Ford Field</x:v>
      </x:c>
    </x:row>
    <x:row r="1240">
      <x:c r="A1240" t="str">
        <x:v>2025_09_MIN_DET</x:v>
      </x:c>
      <x:c r="B1240" t="n">
        <x:v>1478</x:v>
      </x:c>
      <x:c r="C1240" t="n">
        <x:v>2</x:v>
      </x:c>
      <x:c r="D1240" t="str">
        <x:v>05:57</x:v>
      </x:c>
      <x:c r="E1240" t="n">
        <x:v>2</x:v>
      </x:c>
      <x:c r="F1240" t="n">
        <x:v>10</x:v>
      </x:c>
      <x:c r="G1240" t="str">
        <x:v>MIN</x:v>
      </x:c>
      <x:c r="H1240" t="str">
        <x:v>DET</x:v>
      </x:c>
      <x:c r="I1240" t="str">
        <x:v>DET</x:v>
      </x:c>
      <x:c r="J1240" t="n">
        <x:v>19</x:v>
      </x:c>
      <x:c r="K1240" t="str">
        <x:v>(5:57) (Shotgun) 9-J.McCarthy pass short left to 27-J.Mason to DET 18 for 1 yard (55-D.Barnes).</x:v>
      </x:c>
      <x:c r="L1240" t="str">
        <x:v>pass</x:v>
      </x:c>
      <x:c r="M1240" t="n">
        <x:v>1</x:v>
      </x:c>
      <x:c r="N1240" t="n">
        <x:v>1</x:v>
      </x:c>
      <x:c r="O1240" t="n">
        <x:v>0</x:v>
      </x:c>
      <x:c r="P1240" t="str">
        <x:v>short</x:v>
      </x:c>
      <x:c r="Q1240" t="str">
        <x:v>left</x:v>
      </x:c>
      <x:c r="R1240" t="n">
        <x:v>0</x:v>
      </x:c>
      <x:c r="S1240" t="n">
        <x:v>1</x:v>
      </x:c>
      <x:c r="T1240"/>
      <x:c r="U1240"/>
      <x:c r="V1240" t="n">
        <x:v>1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/>
      <x:c r="AC1240" t="n">
        <x:v>0</x:v>
      </x:c>
      <x:c r="AD1240" t="n">
        <x:v>-0.5951471562730148</x:v>
      </x:c>
      <x:c r="AE1240" t="n">
        <x:v>0</x:v>
      </x:c>
      <x:c r="AF1240" t="n">
        <x:v>-0.023936033248901367</x:v>
      </x:c>
      <x:c r="AG1240" t="n">
        <x:f>_xlfn.XLOOKUP($A1240,Games!$A$2:$A$18,Games!$B$2:$B$18,"Missing game",0)</x:f>
        <x:v>2025</x:v>
      </x:c>
      <x:c r="AH1240" t="str">
        <x:f>_xlfn.XLOOKUP($A1240,Games!$A$2:$A$18,Games!$C$2:$C$18,"Missing game",0)</x:f>
        <x:v>REG</x:v>
      </x:c>
      <x:c r="AI1240" t="n">
        <x:f>_xlfn.XLOOKUP($A1240,Games!$A$2:$A$18,Games!$D$2:$D$18,"Missing game",0)</x:f>
        <x:v>9</x:v>
      </x:c>
      <x:c r="AJ1240" s="1" t="n">
        <x:f>_xlfn.XLOOKUP($A1240,Games!$A$2:$A$18,Games!$E$2:$E$18,"Missing game",0)</x:f>
        <x:v>45963</x:v>
      </x:c>
      <x:c r="AK1240" t="str">
        <x:f>_xlfn.XLOOKUP($A1240,Games!$A$2:$A$18,Games!$F$2:$F$18,"Missing game",0)</x:f>
        <x:v>Sunday</x:v>
      </x:c>
      <x:c r="AL1240" t="str">
        <x:f>_xlfn.XLOOKUP($A1240,Games!$A$2:$A$18,Games!$G$2:$G$18,"Missing game",0)</x:f>
        <x:v>MIN</x:v>
      </x:c>
      <x:c r="AM1240" t="n">
        <x:f>_xlfn.XLOOKUP($A1240,Games!$A$2:$A$18,Games!$H$2:$H$18,"Missing game",0)</x:f>
        <x:v>27</x:v>
      </x:c>
      <x:c r="AN1240" t="str">
        <x:f>_xlfn.XLOOKUP($A1240,Games!$A$2:$A$18,Games!$I$2:$I$18,"Missing game",0)</x:f>
        <x:v>DET</x:v>
      </x:c>
      <x:c r="AO1240" t="n">
        <x:f>_xlfn.XLOOKUP($A1240,Games!$A$2:$A$18,Games!$J$2:$J$18,"Missing game",0)</x:f>
        <x:v>24</x:v>
      </x:c>
      <x:c r="AP1240" t="n">
        <x:f>_xlfn.XLOOKUP($A1240,Games!$A$2:$A$18,Games!$K$2:$K$18,"Missing game",0)</x:f>
        <x:v>-3</x:v>
      </x:c>
      <x:c r="AQ1240" t="n">
        <x:f>_xlfn.XLOOKUP($A1240,Games!$A$2:$A$18,Games!$L$2:$L$18,"Missing game",0)</x:f>
        <x:v>51</x:v>
      </x:c>
      <x:c r="AR1240" t="n">
        <x:f>_xlfn.XLOOKUP($A1240,Games!$A$2:$A$18,Games!$M$2:$M$18,"Missing game",0)</x:f>
        <x:v>0</x:v>
      </x:c>
      <x:c r="AS1240" t="str">
        <x:f>_xlfn.XLOOKUP($A1240,Games!$A$2:$A$18,Games!$N$2:$N$18,"Missing game",0)</x:f>
        <x:v>dome</x:v>
      </x:c>
      <x:c r="AT1240" t="str">
        <x:f>_xlfn.XLOOKUP($A1240,Games!$A$2:$A$18,Games!$O$2:$O$18,"Missing game",0)</x:f>
        <x:v>fieldturf</x:v>
      </x:c>
      <x:c r="AU1240" t="str">
        <x:f>_xlfn.XLOOKUP($A1240,Games!$A$2:$A$18,Games!$P$2:$P$18,"Missing game",0)</x:f>
      </x:c>
      <x:c r="AV1240" t="str">
        <x:f>_xlfn.XLOOKUP($A1240,Games!$A$2:$A$18,Games!$Q$2:$Q$18,"Missing game",0)</x:f>
      </x:c>
      <x:c r="AW1240" t="str">
        <x:f>_xlfn.XLOOKUP($A1240,Games!$A$2:$A$18,Games!$R$2:$R$18,"Missing game",0)</x:f>
        <x:v>Ford Field</x:v>
      </x:c>
    </x:row>
    <x:row r="1241">
      <x:c r="A1241" t="str">
        <x:v>2025_09_MIN_DET</x:v>
      </x:c>
      <x:c r="B1241" t="n">
        <x:v>1503</x:v>
      </x:c>
      <x:c r="C1241" t="n">
        <x:v>2</x:v>
      </x:c>
      <x:c r="D1241" t="str">
        <x:v>05:12</x:v>
      </x:c>
      <x:c r="E1241" t="n">
        <x:v>3</x:v>
      </x:c>
      <x:c r="F1241" t="n">
        <x:v>9</x:v>
      </x:c>
      <x:c r="G1241" t="str">
        <x:v>MIN</x:v>
      </x:c>
      <x:c r="H1241" t="str">
        <x:v>DET</x:v>
      </x:c>
      <x:c r="I1241" t="str">
        <x:v>DET</x:v>
      </x:c>
      <x:c r="J1241" t="n">
        <x:v>18</x:v>
      </x:c>
      <x:c r="K1241" t="str">
        <x:v>(5:12) (Shotgun) 9-J.McCarthy sacked at DET 32 for -14 yards (46-J.Campbell).</x:v>
      </x:c>
      <x:c r="L1241" t="str">
        <x:v>pass</x:v>
      </x:c>
      <x:c r="M1241" t="n">
        <x:v>-14</x:v>
      </x:c>
      <x:c r="N1241" t="n">
        <x:v>1</x:v>
      </x:c>
      <x:c r="O1241" t="n">
        <x:v>0</x:v>
      </x:c>
      <x:c r="P1241"/>
      <x:c r="Q1241"/>
      <x:c r="R1241"/>
      <x:c r="S1241"/>
      <x:c r="T1241"/>
      <x:c r="U1241"/>
      <x:c r="V1241" t="n">
        <x:v>0</x:v>
      </x:c>
      <x:c r="W1241" t="n">
        <x:v>0</x:v>
      </x:c>
      <x:c r="X1241" t="n">
        <x:v>1</x:v>
      </x:c>
      <x:c r="Y1241" t="n">
        <x:v>0</x:v>
      </x:c>
      <x:c r="Z1241" t="n">
        <x:v>0</x:v>
      </x:c>
      <x:c r="AA1241" t="n">
        <x:v>0</x:v>
      </x:c>
      <x:c r="AB1241"/>
      <x:c r="AC1241" t="n">
        <x:v>0</x:v>
      </x:c>
      <x:c r="AD1241" t="n">
        <x:v>-1.7664305125355924</x:v>
      </x:c>
      <x:c r="AE1241" t="n">
        <x:v>0</x:v>
      </x:c>
      <x:c r="AF1241" t="n">
        <x:v>-0.08356350660324097</x:v>
      </x:c>
      <x:c r="AG1241" t="n">
        <x:f>_xlfn.XLOOKUP($A1241,Games!$A$2:$A$18,Games!$B$2:$B$18,"Missing game",0)</x:f>
        <x:v>2025</x:v>
      </x:c>
      <x:c r="AH1241" t="str">
        <x:f>_xlfn.XLOOKUP($A1241,Games!$A$2:$A$18,Games!$C$2:$C$18,"Missing game",0)</x:f>
        <x:v>REG</x:v>
      </x:c>
      <x:c r="AI1241" t="n">
        <x:f>_xlfn.XLOOKUP($A1241,Games!$A$2:$A$18,Games!$D$2:$D$18,"Missing game",0)</x:f>
        <x:v>9</x:v>
      </x:c>
      <x:c r="AJ1241" s="1" t="n">
        <x:f>_xlfn.XLOOKUP($A1241,Games!$A$2:$A$18,Games!$E$2:$E$18,"Missing game",0)</x:f>
        <x:v>45963</x:v>
      </x:c>
      <x:c r="AK1241" t="str">
        <x:f>_xlfn.XLOOKUP($A1241,Games!$A$2:$A$18,Games!$F$2:$F$18,"Missing game",0)</x:f>
        <x:v>Sunday</x:v>
      </x:c>
      <x:c r="AL1241" t="str">
        <x:f>_xlfn.XLOOKUP($A1241,Games!$A$2:$A$18,Games!$G$2:$G$18,"Missing game",0)</x:f>
        <x:v>MIN</x:v>
      </x:c>
      <x:c r="AM1241" t="n">
        <x:f>_xlfn.XLOOKUP($A1241,Games!$A$2:$A$18,Games!$H$2:$H$18,"Missing game",0)</x:f>
        <x:v>27</x:v>
      </x:c>
      <x:c r="AN1241" t="str">
        <x:f>_xlfn.XLOOKUP($A1241,Games!$A$2:$A$18,Games!$I$2:$I$18,"Missing game",0)</x:f>
        <x:v>DET</x:v>
      </x:c>
      <x:c r="AO1241" t="n">
        <x:f>_xlfn.XLOOKUP($A1241,Games!$A$2:$A$18,Games!$J$2:$J$18,"Missing game",0)</x:f>
        <x:v>24</x:v>
      </x:c>
      <x:c r="AP1241" t="n">
        <x:f>_xlfn.XLOOKUP($A1241,Games!$A$2:$A$18,Games!$K$2:$K$18,"Missing game",0)</x:f>
        <x:v>-3</x:v>
      </x:c>
      <x:c r="AQ1241" t="n">
        <x:f>_xlfn.XLOOKUP($A1241,Games!$A$2:$A$18,Games!$L$2:$L$18,"Missing game",0)</x:f>
        <x:v>51</x:v>
      </x:c>
      <x:c r="AR1241" t="n">
        <x:f>_xlfn.XLOOKUP($A1241,Games!$A$2:$A$18,Games!$M$2:$M$18,"Missing game",0)</x:f>
        <x:v>0</x:v>
      </x:c>
      <x:c r="AS1241" t="str">
        <x:f>_xlfn.XLOOKUP($A1241,Games!$A$2:$A$18,Games!$N$2:$N$18,"Missing game",0)</x:f>
        <x:v>dome</x:v>
      </x:c>
      <x:c r="AT1241" t="str">
        <x:f>_xlfn.XLOOKUP($A1241,Games!$A$2:$A$18,Games!$O$2:$O$18,"Missing game",0)</x:f>
        <x:v>fieldturf</x:v>
      </x:c>
      <x:c r="AU1241" t="str">
        <x:f>_xlfn.XLOOKUP($A1241,Games!$A$2:$A$18,Games!$P$2:$P$18,"Missing game",0)</x:f>
      </x:c>
      <x:c r="AV1241" t="str">
        <x:f>_xlfn.XLOOKUP($A1241,Games!$A$2:$A$18,Games!$Q$2:$Q$18,"Missing game",0)</x:f>
      </x:c>
      <x:c r="AW1241" t="str">
        <x:f>_xlfn.XLOOKUP($A1241,Games!$A$2:$A$18,Games!$R$2:$R$18,"Missing game",0)</x:f>
        <x:v>Ford Field</x:v>
      </x:c>
    </x:row>
    <x:row r="1242">
      <x:c r="A1242" t="str">
        <x:v>2025_09_MIN_DET</x:v>
      </x:c>
      <x:c r="B1242" t="n">
        <x:v>1528</x:v>
      </x:c>
      <x:c r="C1242" t="n">
        <x:v>2</x:v>
      </x:c>
      <x:c r="D1242" t="str">
        <x:v>04:46</x:v>
      </x:c>
      <x:c r="E1242" t="n">
        <x:v>4</x:v>
      </x:c>
      <x:c r="F1242" t="n">
        <x:v>23</x:v>
      </x:c>
      <x:c r="G1242" t="str">
        <x:v>MIN</x:v>
      </x:c>
      <x:c r="H1242" t="str">
        <x:v>DET</x:v>
      </x:c>
      <x:c r="I1242" t="str">
        <x:v>DET</x:v>
      </x:c>
      <x:c r="J1242" t="n">
        <x:v>32</x:v>
      </x:c>
      <x:c r="K1242" t="str">
        <x:v>(4:46) 16-W.Reichard 50 yard field goal is GOOD, Center-42-A.DePaola, Holder-17-R.Wright.</x:v>
      </x:c>
      <x:c r="L1242" t="str">
        <x:v>field_goal</x:v>
      </x:c>
      <x:c r="M1242" t="n">
        <x:v>0</x:v>
      </x:c>
      <x:c r="N1242" t="n">
        <x:v>0</x:v>
      </x:c>
      <x:c r="O1242" t="n">
        <x:v>0</x:v>
      </x:c>
      <x:c r="P1242"/>
      <x:c r="Q1242"/>
      <x:c r="R1242"/>
      <x:c r="S1242"/>
      <x:c r="T1242"/>
      <x:c r="U1242"/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/>
      <x:c r="AC1242" t="n">
        <x:v>0</x:v>
      </x:c>
      <x:c r="AD1242" t="n">
        <x:v>1.3191383036893995</x:v>
      </x:c>
      <x:c r="AE1242" t="n">
        <x:v>1</x:v>
      </x:c>
      <x:c r="AF1242" t="n">
        <x:v>0.06226584315299988</x:v>
      </x:c>
      <x:c r="AG1242" t="n">
        <x:f>_xlfn.XLOOKUP($A1242,Games!$A$2:$A$18,Games!$B$2:$B$18,"Missing game",0)</x:f>
        <x:v>2025</x:v>
      </x:c>
      <x:c r="AH1242" t="str">
        <x:f>_xlfn.XLOOKUP($A1242,Games!$A$2:$A$18,Games!$C$2:$C$18,"Missing game",0)</x:f>
        <x:v>REG</x:v>
      </x:c>
      <x:c r="AI1242" t="n">
        <x:f>_xlfn.XLOOKUP($A1242,Games!$A$2:$A$18,Games!$D$2:$D$18,"Missing game",0)</x:f>
        <x:v>9</x:v>
      </x:c>
      <x:c r="AJ1242" s="1" t="n">
        <x:f>_xlfn.XLOOKUP($A1242,Games!$A$2:$A$18,Games!$E$2:$E$18,"Missing game",0)</x:f>
        <x:v>45963</x:v>
      </x:c>
      <x:c r="AK1242" t="str">
        <x:f>_xlfn.XLOOKUP($A1242,Games!$A$2:$A$18,Games!$F$2:$F$18,"Missing game",0)</x:f>
        <x:v>Sunday</x:v>
      </x:c>
      <x:c r="AL1242" t="str">
        <x:f>_xlfn.XLOOKUP($A1242,Games!$A$2:$A$18,Games!$G$2:$G$18,"Missing game",0)</x:f>
        <x:v>MIN</x:v>
      </x:c>
      <x:c r="AM1242" t="n">
        <x:f>_xlfn.XLOOKUP($A1242,Games!$A$2:$A$18,Games!$H$2:$H$18,"Missing game",0)</x:f>
        <x:v>27</x:v>
      </x:c>
      <x:c r="AN1242" t="str">
        <x:f>_xlfn.XLOOKUP($A1242,Games!$A$2:$A$18,Games!$I$2:$I$18,"Missing game",0)</x:f>
        <x:v>DET</x:v>
      </x:c>
      <x:c r="AO1242" t="n">
        <x:f>_xlfn.XLOOKUP($A1242,Games!$A$2:$A$18,Games!$J$2:$J$18,"Missing game",0)</x:f>
        <x:v>24</x:v>
      </x:c>
      <x:c r="AP1242" t="n">
        <x:f>_xlfn.XLOOKUP($A1242,Games!$A$2:$A$18,Games!$K$2:$K$18,"Missing game",0)</x:f>
        <x:v>-3</x:v>
      </x:c>
      <x:c r="AQ1242" t="n">
        <x:f>_xlfn.XLOOKUP($A1242,Games!$A$2:$A$18,Games!$L$2:$L$18,"Missing game",0)</x:f>
        <x:v>51</x:v>
      </x:c>
      <x:c r="AR1242" t="n">
        <x:f>_xlfn.XLOOKUP($A1242,Games!$A$2:$A$18,Games!$M$2:$M$18,"Missing game",0)</x:f>
        <x:v>0</x:v>
      </x:c>
      <x:c r="AS1242" t="str">
        <x:f>_xlfn.XLOOKUP($A1242,Games!$A$2:$A$18,Games!$N$2:$N$18,"Missing game",0)</x:f>
        <x:v>dome</x:v>
      </x:c>
      <x:c r="AT1242" t="str">
        <x:f>_xlfn.XLOOKUP($A1242,Games!$A$2:$A$18,Games!$O$2:$O$18,"Missing game",0)</x:f>
        <x:v>fieldturf</x:v>
      </x:c>
      <x:c r="AU1242" t="str">
        <x:f>_xlfn.XLOOKUP($A1242,Games!$A$2:$A$18,Games!$P$2:$P$18,"Missing game",0)</x:f>
      </x:c>
      <x:c r="AV1242" t="str">
        <x:f>_xlfn.XLOOKUP($A1242,Games!$A$2:$A$18,Games!$Q$2:$Q$18,"Missing game",0)</x:f>
      </x:c>
      <x:c r="AW1242" t="str">
        <x:f>_xlfn.XLOOKUP($A1242,Games!$A$2:$A$18,Games!$R$2:$R$18,"Missing game",0)</x:f>
        <x:v>Ford Field</x:v>
      </x:c>
    </x:row>
    <x:row r="1243">
      <x:c r="A1243" t="str">
        <x:v>2025_09_MIN_DET</x:v>
      </x:c>
      <x:c r="B1243" t="n">
        <x:v>1548</x:v>
      </x:c>
      <x:c r="C1243" t="n">
        <x:v>2</x:v>
      </x:c>
      <x:c r="D1243" t="str">
        <x:v>04:42</x:v>
      </x:c>
      <x:c r="E1243"/>
      <x:c r="F1243" t="n">
        <x:v>0</x:v>
      </x:c>
      <x:c r="G1243" t="str">
        <x:v>DET</x:v>
      </x:c>
      <x:c r="H1243" t="str">
        <x:v>MIN</x:v>
      </x:c>
      <x:c r="I1243" t="str">
        <x:v>MIN</x:v>
      </x:c>
      <x:c r="J1243" t="n">
        <x:v>35</x:v>
      </x:c>
      <x:c r="K1243" t="str">
        <x:v>16-W.Reichard kicks 64 yards from MIN 35 to DET 1. 25-J.Saylors to DET 29 for 28 yards (15-D.Turner; 96-T.Batty).</x:v>
      </x:c>
      <x:c r="L1243" t="str">
        <x:v>kickoff</x:v>
      </x:c>
      <x:c r="M1243" t="n">
        <x:v>0</x:v>
      </x:c>
      <x:c r="N1243" t="n">
        <x:v>0</x:v>
      </x:c>
      <x:c r="O1243" t="n">
        <x:v>0</x:v>
      </x:c>
      <x:c r="P1243"/>
      <x:c r="Q1243"/>
      <x:c r="R1243"/>
      <x:c r="S1243"/>
      <x:c r="T1243"/>
      <x:c r="U1243"/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/>
      <x:c r="AC1243" t="n">
        <x:v>0</x:v>
      </x:c>
      <x:c r="AD1243" t="n">
        <x:v>0.34535756101831794</x:v>
      </x:c>
      <x:c r="AE1243" t="n">
        <x:v>1</x:v>
      </x:c>
      <x:c r="AF1243" t="n">
        <x:v>0.006790101528167725</x:v>
      </x:c>
      <x:c r="AG1243" t="n">
        <x:f>_xlfn.XLOOKUP($A1243,Games!$A$2:$A$18,Games!$B$2:$B$18,"Missing game",0)</x:f>
        <x:v>2025</x:v>
      </x:c>
      <x:c r="AH1243" t="str">
        <x:f>_xlfn.XLOOKUP($A1243,Games!$A$2:$A$18,Games!$C$2:$C$18,"Missing game",0)</x:f>
        <x:v>REG</x:v>
      </x:c>
      <x:c r="AI1243" t="n">
        <x:f>_xlfn.XLOOKUP($A1243,Games!$A$2:$A$18,Games!$D$2:$D$18,"Missing game",0)</x:f>
        <x:v>9</x:v>
      </x:c>
      <x:c r="AJ1243" s="1" t="n">
        <x:f>_xlfn.XLOOKUP($A1243,Games!$A$2:$A$18,Games!$E$2:$E$18,"Missing game",0)</x:f>
        <x:v>45963</x:v>
      </x:c>
      <x:c r="AK1243" t="str">
        <x:f>_xlfn.XLOOKUP($A1243,Games!$A$2:$A$18,Games!$F$2:$F$18,"Missing game",0)</x:f>
        <x:v>Sunday</x:v>
      </x:c>
      <x:c r="AL1243" t="str">
        <x:f>_xlfn.XLOOKUP($A1243,Games!$A$2:$A$18,Games!$G$2:$G$18,"Missing game",0)</x:f>
        <x:v>MIN</x:v>
      </x:c>
      <x:c r="AM1243" t="n">
        <x:f>_xlfn.XLOOKUP($A1243,Games!$A$2:$A$18,Games!$H$2:$H$18,"Missing game",0)</x:f>
        <x:v>27</x:v>
      </x:c>
      <x:c r="AN1243" t="str">
        <x:f>_xlfn.XLOOKUP($A1243,Games!$A$2:$A$18,Games!$I$2:$I$18,"Missing game",0)</x:f>
        <x:v>DET</x:v>
      </x:c>
      <x:c r="AO1243" t="n">
        <x:f>_xlfn.XLOOKUP($A1243,Games!$A$2:$A$18,Games!$J$2:$J$18,"Missing game",0)</x:f>
        <x:v>24</x:v>
      </x:c>
      <x:c r="AP1243" t="n">
        <x:f>_xlfn.XLOOKUP($A1243,Games!$A$2:$A$18,Games!$K$2:$K$18,"Missing game",0)</x:f>
        <x:v>-3</x:v>
      </x:c>
      <x:c r="AQ1243" t="n">
        <x:f>_xlfn.XLOOKUP($A1243,Games!$A$2:$A$18,Games!$L$2:$L$18,"Missing game",0)</x:f>
        <x:v>51</x:v>
      </x:c>
      <x:c r="AR1243" t="n">
        <x:f>_xlfn.XLOOKUP($A1243,Games!$A$2:$A$18,Games!$M$2:$M$18,"Missing game",0)</x:f>
        <x:v>0</x:v>
      </x:c>
      <x:c r="AS1243" t="str">
        <x:f>_xlfn.XLOOKUP($A1243,Games!$A$2:$A$18,Games!$N$2:$N$18,"Missing game",0)</x:f>
        <x:v>dome</x:v>
      </x:c>
      <x:c r="AT1243" t="str">
        <x:f>_xlfn.XLOOKUP($A1243,Games!$A$2:$A$18,Games!$O$2:$O$18,"Missing game",0)</x:f>
        <x:v>fieldturf</x:v>
      </x:c>
      <x:c r="AU1243" t="str">
        <x:f>_xlfn.XLOOKUP($A1243,Games!$A$2:$A$18,Games!$P$2:$P$18,"Missing game",0)</x:f>
      </x:c>
      <x:c r="AV1243" t="str">
        <x:f>_xlfn.XLOOKUP($A1243,Games!$A$2:$A$18,Games!$Q$2:$Q$18,"Missing game",0)</x:f>
      </x:c>
      <x:c r="AW1243" t="str">
        <x:f>_xlfn.XLOOKUP($A1243,Games!$A$2:$A$18,Games!$R$2:$R$18,"Missing game",0)</x:f>
        <x:v>Ford Field</x:v>
      </x:c>
    </x:row>
    <x:row r="1244">
      <x:c r="A1244" t="str">
        <x:v>2025_09_MIN_DET</x:v>
      </x:c>
      <x:c r="B1244" t="n">
        <x:v>1578</x:v>
      </x:c>
      <x:c r="C1244" t="n">
        <x:v>2</x:v>
      </x:c>
      <x:c r="D1244" t="str">
        <x:v>04:36</x:v>
      </x:c>
      <x:c r="E1244" t="n">
        <x:v>1</x:v>
      </x:c>
      <x:c r="F1244" t="n">
        <x:v>10</x:v>
      </x:c>
      <x:c r="G1244" t="str">
        <x:v>DET</x:v>
      </x:c>
      <x:c r="H1244" t="str">
        <x:v>MIN</x:v>
      </x:c>
      <x:c r="I1244" t="str">
        <x:v>DET</x:v>
      </x:c>
      <x:c r="J1244" t="n">
        <x:v>71</x:v>
      </x:c>
      <x:c r="K1244" t="str">
        <x:v>(4:36) 0-J.Gibbs up the middle to DET 27 for -2 yards (97-J.Hargrave).</x:v>
      </x:c>
      <x:c r="L1244" t="str">
        <x:v>run</x:v>
      </x:c>
      <x:c r="M1244" t="n">
        <x:v>-2</x:v>
      </x:c>
      <x:c r="N1244" t="n">
        <x:v>0</x:v>
      </x:c>
      <x:c r="O1244" t="n">
        <x:v>0</x:v>
      </x:c>
      <x:c r="P1244"/>
      <x:c r="Q1244"/>
      <x:c r="R1244"/>
      <x:c r="S1244"/>
      <x:c r="T1244" t="str">
        <x:v>middle</x:v>
      </x:c>
      <x:c r="U1244"/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/>
      <x:c r="AC1244" t="n">
        <x:v>0</x:v>
      </x:c>
      <x:c r="AD1244" t="n">
        <x:v>-1.021672077011317</x:v>
      </x:c>
      <x:c r="AE1244" t="n">
        <x:v>0</x:v>
      </x:c>
      <x:c r="AF1244" t="n">
        <x:v>-0.043258339166641235</x:v>
      </x:c>
      <x:c r="AG1244" t="n">
        <x:f>_xlfn.XLOOKUP($A1244,Games!$A$2:$A$18,Games!$B$2:$B$18,"Missing game",0)</x:f>
        <x:v>2025</x:v>
      </x:c>
      <x:c r="AH1244" t="str">
        <x:f>_xlfn.XLOOKUP($A1244,Games!$A$2:$A$18,Games!$C$2:$C$18,"Missing game",0)</x:f>
        <x:v>REG</x:v>
      </x:c>
      <x:c r="AI1244" t="n">
        <x:f>_xlfn.XLOOKUP($A1244,Games!$A$2:$A$18,Games!$D$2:$D$18,"Missing game",0)</x:f>
        <x:v>9</x:v>
      </x:c>
      <x:c r="AJ1244" s="1" t="n">
        <x:f>_xlfn.XLOOKUP($A1244,Games!$A$2:$A$18,Games!$E$2:$E$18,"Missing game",0)</x:f>
        <x:v>45963</x:v>
      </x:c>
      <x:c r="AK1244" t="str">
        <x:f>_xlfn.XLOOKUP($A1244,Games!$A$2:$A$18,Games!$F$2:$F$18,"Missing game",0)</x:f>
        <x:v>Sunday</x:v>
      </x:c>
      <x:c r="AL1244" t="str">
        <x:f>_xlfn.XLOOKUP($A1244,Games!$A$2:$A$18,Games!$G$2:$G$18,"Missing game",0)</x:f>
        <x:v>MIN</x:v>
      </x:c>
      <x:c r="AM1244" t="n">
        <x:f>_xlfn.XLOOKUP($A1244,Games!$A$2:$A$18,Games!$H$2:$H$18,"Missing game",0)</x:f>
        <x:v>27</x:v>
      </x:c>
      <x:c r="AN1244" t="str">
        <x:f>_xlfn.XLOOKUP($A1244,Games!$A$2:$A$18,Games!$I$2:$I$18,"Missing game",0)</x:f>
        <x:v>DET</x:v>
      </x:c>
      <x:c r="AO1244" t="n">
        <x:f>_xlfn.XLOOKUP($A1244,Games!$A$2:$A$18,Games!$J$2:$J$18,"Missing game",0)</x:f>
        <x:v>24</x:v>
      </x:c>
      <x:c r="AP1244" t="n">
        <x:f>_xlfn.XLOOKUP($A1244,Games!$A$2:$A$18,Games!$K$2:$K$18,"Missing game",0)</x:f>
        <x:v>-3</x:v>
      </x:c>
      <x:c r="AQ1244" t="n">
        <x:f>_xlfn.XLOOKUP($A1244,Games!$A$2:$A$18,Games!$L$2:$L$18,"Missing game",0)</x:f>
        <x:v>51</x:v>
      </x:c>
      <x:c r="AR1244" t="n">
        <x:f>_xlfn.XLOOKUP($A1244,Games!$A$2:$A$18,Games!$M$2:$M$18,"Missing game",0)</x:f>
        <x:v>0</x:v>
      </x:c>
      <x:c r="AS1244" t="str">
        <x:f>_xlfn.XLOOKUP($A1244,Games!$A$2:$A$18,Games!$N$2:$N$18,"Missing game",0)</x:f>
        <x:v>dome</x:v>
      </x:c>
      <x:c r="AT1244" t="str">
        <x:f>_xlfn.XLOOKUP($A1244,Games!$A$2:$A$18,Games!$O$2:$O$18,"Missing game",0)</x:f>
        <x:v>fieldturf</x:v>
      </x:c>
      <x:c r="AU1244" t="str">
        <x:f>_xlfn.XLOOKUP($A1244,Games!$A$2:$A$18,Games!$P$2:$P$18,"Missing game",0)</x:f>
      </x:c>
      <x:c r="AV1244" t="str">
        <x:f>_xlfn.XLOOKUP($A1244,Games!$A$2:$A$18,Games!$Q$2:$Q$18,"Missing game",0)</x:f>
      </x:c>
      <x:c r="AW1244" t="str">
        <x:f>_xlfn.XLOOKUP($A1244,Games!$A$2:$A$18,Games!$R$2:$R$18,"Missing game",0)</x:f>
        <x:v>Ford Field</x:v>
      </x:c>
    </x:row>
    <x:row r="1245">
      <x:c r="A1245" t="str">
        <x:v>2025_09_MIN_DET</x:v>
      </x:c>
      <x:c r="B1245" t="n">
        <x:v>1600</x:v>
      </x:c>
      <x:c r="C1245" t="n">
        <x:v>2</x:v>
      </x:c>
      <x:c r="D1245" t="str">
        <x:v>04:03</x:v>
      </x:c>
      <x:c r="E1245" t="n">
        <x:v>2</x:v>
      </x:c>
      <x:c r="F1245" t="n">
        <x:v>12</x:v>
      </x:c>
      <x:c r="G1245" t="str">
        <x:v>DET</x:v>
      </x:c>
      <x:c r="H1245" t="str">
        <x:v>MIN</x:v>
      </x:c>
      <x:c r="I1245" t="str">
        <x:v>DET</x:v>
      </x:c>
      <x:c r="J1245" t="n">
        <x:v>73</x:v>
      </x:c>
      <x:c r="K1245" t="str">
        <x:v>(4:03) (Shotgun) 16-J.Goff pass short middle to 14-A.St. Brown to DET 35 for 8 yards (26-T.Jackson; 7-B.Murphy).</x:v>
      </x:c>
      <x:c r="L1245" t="str">
        <x:v>pass</x:v>
      </x:c>
      <x:c r="M1245" t="n">
        <x:v>8</x:v>
      </x:c>
      <x:c r="N1245" t="n">
        <x:v>1</x:v>
      </x:c>
      <x:c r="O1245" t="n">
        <x:v>0</x:v>
      </x:c>
      <x:c r="P1245" t="str">
        <x:v>short</x:v>
      </x:c>
      <x:c r="Q1245" t="str">
        <x:v>middle</x:v>
      </x:c>
      <x:c r="R1245" t="n">
        <x:v>5</x:v>
      </x:c>
      <x:c r="S1245" t="n">
        <x:v>3</x:v>
      </x:c>
      <x:c r="T1245"/>
      <x:c r="U1245"/>
      <x:c r="V1245" t="n">
        <x:v>1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/>
      <x:c r="AC1245" t="n">
        <x:v>0</x:v>
      </x:c>
      <x:c r="AD1245" t="n">
        <x:v>0.4567653910489753</x:v>
      </x:c>
      <x:c r="AE1245" t="n">
        <x:v>1</x:v>
      </x:c>
      <x:c r="AF1245" t="n">
        <x:v>0.03271201252937317</x:v>
      </x:c>
      <x:c r="AG1245" t="n">
        <x:f>_xlfn.XLOOKUP($A1245,Games!$A$2:$A$18,Games!$B$2:$B$18,"Missing game",0)</x:f>
        <x:v>2025</x:v>
      </x:c>
      <x:c r="AH1245" t="str">
        <x:f>_xlfn.XLOOKUP($A1245,Games!$A$2:$A$18,Games!$C$2:$C$18,"Missing game",0)</x:f>
        <x:v>REG</x:v>
      </x:c>
      <x:c r="AI1245" t="n">
        <x:f>_xlfn.XLOOKUP($A1245,Games!$A$2:$A$18,Games!$D$2:$D$18,"Missing game",0)</x:f>
        <x:v>9</x:v>
      </x:c>
      <x:c r="AJ1245" s="1" t="n">
        <x:f>_xlfn.XLOOKUP($A1245,Games!$A$2:$A$18,Games!$E$2:$E$18,"Missing game",0)</x:f>
        <x:v>45963</x:v>
      </x:c>
      <x:c r="AK1245" t="str">
        <x:f>_xlfn.XLOOKUP($A1245,Games!$A$2:$A$18,Games!$F$2:$F$18,"Missing game",0)</x:f>
        <x:v>Sunday</x:v>
      </x:c>
      <x:c r="AL1245" t="str">
        <x:f>_xlfn.XLOOKUP($A1245,Games!$A$2:$A$18,Games!$G$2:$G$18,"Missing game",0)</x:f>
        <x:v>MIN</x:v>
      </x:c>
      <x:c r="AM1245" t="n">
        <x:f>_xlfn.XLOOKUP($A1245,Games!$A$2:$A$18,Games!$H$2:$H$18,"Missing game",0)</x:f>
        <x:v>27</x:v>
      </x:c>
      <x:c r="AN1245" t="str">
        <x:f>_xlfn.XLOOKUP($A1245,Games!$A$2:$A$18,Games!$I$2:$I$18,"Missing game",0)</x:f>
        <x:v>DET</x:v>
      </x:c>
      <x:c r="AO1245" t="n">
        <x:f>_xlfn.XLOOKUP($A1245,Games!$A$2:$A$18,Games!$J$2:$J$18,"Missing game",0)</x:f>
        <x:v>24</x:v>
      </x:c>
      <x:c r="AP1245" t="n">
        <x:f>_xlfn.XLOOKUP($A1245,Games!$A$2:$A$18,Games!$K$2:$K$18,"Missing game",0)</x:f>
        <x:v>-3</x:v>
      </x:c>
      <x:c r="AQ1245" t="n">
        <x:f>_xlfn.XLOOKUP($A1245,Games!$A$2:$A$18,Games!$L$2:$L$18,"Missing game",0)</x:f>
        <x:v>51</x:v>
      </x:c>
      <x:c r="AR1245" t="n">
        <x:f>_xlfn.XLOOKUP($A1245,Games!$A$2:$A$18,Games!$M$2:$M$18,"Missing game",0)</x:f>
        <x:v>0</x:v>
      </x:c>
      <x:c r="AS1245" t="str">
        <x:f>_xlfn.XLOOKUP($A1245,Games!$A$2:$A$18,Games!$N$2:$N$18,"Missing game",0)</x:f>
        <x:v>dome</x:v>
      </x:c>
      <x:c r="AT1245" t="str">
        <x:f>_xlfn.XLOOKUP($A1245,Games!$A$2:$A$18,Games!$O$2:$O$18,"Missing game",0)</x:f>
        <x:v>fieldturf</x:v>
      </x:c>
      <x:c r="AU1245" t="str">
        <x:f>_xlfn.XLOOKUP($A1245,Games!$A$2:$A$18,Games!$P$2:$P$18,"Missing game",0)</x:f>
      </x:c>
      <x:c r="AV1245" t="str">
        <x:f>_xlfn.XLOOKUP($A1245,Games!$A$2:$A$18,Games!$Q$2:$Q$18,"Missing game",0)</x:f>
      </x:c>
      <x:c r="AW1245" t="str">
        <x:f>_xlfn.XLOOKUP($A1245,Games!$A$2:$A$18,Games!$R$2:$R$18,"Missing game",0)</x:f>
        <x:v>Ford Field</x:v>
      </x:c>
    </x:row>
    <x:row r="1246">
      <x:c r="A1246" t="str">
        <x:v>2025_09_MIN_DET</x:v>
      </x:c>
      <x:c r="B1246" t="n">
        <x:v>1625</x:v>
      </x:c>
      <x:c r="C1246" t="n">
        <x:v>2</x:v>
      </x:c>
      <x:c r="D1246" t="str">
        <x:v>03:23</x:v>
      </x:c>
      <x:c r="E1246" t="n">
        <x:v>3</x:v>
      </x:c>
      <x:c r="F1246" t="n">
        <x:v>4</x:v>
      </x:c>
      <x:c r="G1246" t="str">
        <x:v>DET</x:v>
      </x:c>
      <x:c r="H1246" t="str">
        <x:v>MIN</x:v>
      </x:c>
      <x:c r="I1246" t="str">
        <x:v>DET</x:v>
      </x:c>
      <x:c r="J1246" t="n">
        <x:v>65</x:v>
      </x:c>
      <x:c r="K1246" t="str">
        <x:v>(3:23) (Shotgun) 16-J.Goff pass incomplete short left to 14-A.St. Brown (22-H.Smith).</x:v>
      </x:c>
      <x:c r="L1246" t="str">
        <x:v>pass</x:v>
      </x:c>
      <x:c r="M1246" t="n">
        <x:v>0</x:v>
      </x:c>
      <x:c r="N1246" t="n">
        <x:v>1</x:v>
      </x:c>
      <x:c r="O1246" t="n">
        <x:v>0</x:v>
      </x:c>
      <x:c r="P1246" t="str">
        <x:v>short</x:v>
      </x:c>
      <x:c r="Q1246" t="str">
        <x:v>left</x:v>
      </x:c>
      <x:c r="R1246" t="n">
        <x:v>-7</x:v>
      </x:c>
      <x:c r="S1246"/>
      <x:c r="T1246"/>
      <x:c r="U1246"/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/>
      <x:c r="AC1246" t="n">
        <x:v>0</x:v>
      </x:c>
      <x:c r="AD1246" t="n">
        <x:v>-1.3810252499533817</x:v>
      </x:c>
      <x:c r="AE1246" t="n">
        <x:v>0</x:v>
      </x:c>
      <x:c r="AF1246" t="n">
        <x:v>-0.04156792163848877</x:v>
      </x:c>
      <x:c r="AG1246" t="n">
        <x:f>_xlfn.XLOOKUP($A1246,Games!$A$2:$A$18,Games!$B$2:$B$18,"Missing game",0)</x:f>
        <x:v>2025</x:v>
      </x:c>
      <x:c r="AH1246" t="str">
        <x:f>_xlfn.XLOOKUP($A1246,Games!$A$2:$A$18,Games!$C$2:$C$18,"Missing game",0)</x:f>
        <x:v>REG</x:v>
      </x:c>
      <x:c r="AI1246" t="n">
        <x:f>_xlfn.XLOOKUP($A1246,Games!$A$2:$A$18,Games!$D$2:$D$18,"Missing game",0)</x:f>
        <x:v>9</x:v>
      </x:c>
      <x:c r="AJ1246" s="1" t="n">
        <x:f>_xlfn.XLOOKUP($A1246,Games!$A$2:$A$18,Games!$E$2:$E$18,"Missing game",0)</x:f>
        <x:v>45963</x:v>
      </x:c>
      <x:c r="AK1246" t="str">
        <x:f>_xlfn.XLOOKUP($A1246,Games!$A$2:$A$18,Games!$F$2:$F$18,"Missing game",0)</x:f>
        <x:v>Sunday</x:v>
      </x:c>
      <x:c r="AL1246" t="str">
        <x:f>_xlfn.XLOOKUP($A1246,Games!$A$2:$A$18,Games!$G$2:$G$18,"Missing game",0)</x:f>
        <x:v>MIN</x:v>
      </x:c>
      <x:c r="AM1246" t="n">
        <x:f>_xlfn.XLOOKUP($A1246,Games!$A$2:$A$18,Games!$H$2:$H$18,"Missing game",0)</x:f>
        <x:v>27</x:v>
      </x:c>
      <x:c r="AN1246" t="str">
        <x:f>_xlfn.XLOOKUP($A1246,Games!$A$2:$A$18,Games!$I$2:$I$18,"Missing game",0)</x:f>
        <x:v>DET</x:v>
      </x:c>
      <x:c r="AO1246" t="n">
        <x:f>_xlfn.XLOOKUP($A1246,Games!$A$2:$A$18,Games!$J$2:$J$18,"Missing game",0)</x:f>
        <x:v>24</x:v>
      </x:c>
      <x:c r="AP1246" t="n">
        <x:f>_xlfn.XLOOKUP($A1246,Games!$A$2:$A$18,Games!$K$2:$K$18,"Missing game",0)</x:f>
        <x:v>-3</x:v>
      </x:c>
      <x:c r="AQ1246" t="n">
        <x:f>_xlfn.XLOOKUP($A1246,Games!$A$2:$A$18,Games!$L$2:$L$18,"Missing game",0)</x:f>
        <x:v>51</x:v>
      </x:c>
      <x:c r="AR1246" t="n">
        <x:f>_xlfn.XLOOKUP($A1246,Games!$A$2:$A$18,Games!$M$2:$M$18,"Missing game",0)</x:f>
        <x:v>0</x:v>
      </x:c>
      <x:c r="AS1246" t="str">
        <x:f>_xlfn.XLOOKUP($A1246,Games!$A$2:$A$18,Games!$N$2:$N$18,"Missing game",0)</x:f>
        <x:v>dome</x:v>
      </x:c>
      <x:c r="AT1246" t="str">
        <x:f>_xlfn.XLOOKUP($A1246,Games!$A$2:$A$18,Games!$O$2:$O$18,"Missing game",0)</x:f>
        <x:v>fieldturf</x:v>
      </x:c>
      <x:c r="AU1246" t="str">
        <x:f>_xlfn.XLOOKUP($A1246,Games!$A$2:$A$18,Games!$P$2:$P$18,"Missing game",0)</x:f>
      </x:c>
      <x:c r="AV1246" t="str">
        <x:f>_xlfn.XLOOKUP($A1246,Games!$A$2:$A$18,Games!$Q$2:$Q$18,"Missing game",0)</x:f>
      </x:c>
      <x:c r="AW1246" t="str">
        <x:f>_xlfn.XLOOKUP($A1246,Games!$A$2:$A$18,Games!$R$2:$R$18,"Missing game",0)</x:f>
        <x:v>Ford Field</x:v>
      </x:c>
    </x:row>
    <x:row r="1247">
      <x:c r="A1247" t="str">
        <x:v>2025_09_MIN_DET</x:v>
      </x:c>
      <x:c r="B1247" t="n">
        <x:v>1648</x:v>
      </x:c>
      <x:c r="C1247" t="n">
        <x:v>2</x:v>
      </x:c>
      <x:c r="D1247" t="str">
        <x:v>03:21</x:v>
      </x:c>
      <x:c r="E1247" t="n">
        <x:v>4</x:v>
      </x:c>
      <x:c r="F1247" t="n">
        <x:v>4</x:v>
      </x:c>
      <x:c r="G1247" t="str">
        <x:v>DET</x:v>
      </x:c>
      <x:c r="H1247" t="str">
        <x:v>MIN</x:v>
      </x:c>
      <x:c r="I1247" t="str">
        <x:v>DET</x:v>
      </x:c>
      <x:c r="J1247" t="n">
        <x:v>65</x:v>
      </x:c>
      <x:c r="K1247" t="str">
        <x:v>(3:21) 3-J.Fox punts 40 yards to MIN 25, Center-49-H.Hatten, fair catch by 4-M.Price.</x:v>
      </x:c>
      <x:c r="L1247" t="str">
        <x:v>punt</x:v>
      </x:c>
      <x:c r="M1247" t="n">
        <x:v>0</x:v>
      </x:c>
      <x:c r="N1247" t="n">
        <x:v>0</x:v>
      </x:c>
      <x:c r="O1247" t="n">
        <x:v>0</x:v>
      </x:c>
      <x:c r="P1247"/>
      <x:c r="Q1247"/>
      <x:c r="R1247"/>
      <x:c r="S1247"/>
      <x:c r="T1247"/>
      <x:c r="U1247"/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/>
      <x:c r="AC1247" t="n">
        <x:v>0</x:v>
      </x:c>
      <x:c r="AD1247" t="n">
        <x:v>-0.4994680567178875</x:v>
      </x:c>
      <x:c r="AE1247" t="n">
        <x:v>0</x:v>
      </x:c>
      <x:c r="AF1247" t="n">
        <x:v>-0.018149346113204956</x:v>
      </x:c>
      <x:c r="AG1247" t="n">
        <x:f>_xlfn.XLOOKUP($A1247,Games!$A$2:$A$18,Games!$B$2:$B$18,"Missing game",0)</x:f>
        <x:v>2025</x:v>
      </x:c>
      <x:c r="AH1247" t="str">
        <x:f>_xlfn.XLOOKUP($A1247,Games!$A$2:$A$18,Games!$C$2:$C$18,"Missing game",0)</x:f>
        <x:v>REG</x:v>
      </x:c>
      <x:c r="AI1247" t="n">
        <x:f>_xlfn.XLOOKUP($A1247,Games!$A$2:$A$18,Games!$D$2:$D$18,"Missing game",0)</x:f>
        <x:v>9</x:v>
      </x:c>
      <x:c r="AJ1247" s="1" t="n">
        <x:f>_xlfn.XLOOKUP($A1247,Games!$A$2:$A$18,Games!$E$2:$E$18,"Missing game",0)</x:f>
        <x:v>45963</x:v>
      </x:c>
      <x:c r="AK1247" t="str">
        <x:f>_xlfn.XLOOKUP($A1247,Games!$A$2:$A$18,Games!$F$2:$F$18,"Missing game",0)</x:f>
        <x:v>Sunday</x:v>
      </x:c>
      <x:c r="AL1247" t="str">
        <x:f>_xlfn.XLOOKUP($A1247,Games!$A$2:$A$18,Games!$G$2:$G$18,"Missing game",0)</x:f>
        <x:v>MIN</x:v>
      </x:c>
      <x:c r="AM1247" t="n">
        <x:f>_xlfn.XLOOKUP($A1247,Games!$A$2:$A$18,Games!$H$2:$H$18,"Missing game",0)</x:f>
        <x:v>27</x:v>
      </x:c>
      <x:c r="AN1247" t="str">
        <x:f>_xlfn.XLOOKUP($A1247,Games!$A$2:$A$18,Games!$I$2:$I$18,"Missing game",0)</x:f>
        <x:v>DET</x:v>
      </x:c>
      <x:c r="AO1247" t="n">
        <x:f>_xlfn.XLOOKUP($A1247,Games!$A$2:$A$18,Games!$J$2:$J$18,"Missing game",0)</x:f>
        <x:v>24</x:v>
      </x:c>
      <x:c r="AP1247" t="n">
        <x:f>_xlfn.XLOOKUP($A1247,Games!$A$2:$A$18,Games!$K$2:$K$18,"Missing game",0)</x:f>
        <x:v>-3</x:v>
      </x:c>
      <x:c r="AQ1247" t="n">
        <x:f>_xlfn.XLOOKUP($A1247,Games!$A$2:$A$18,Games!$L$2:$L$18,"Missing game",0)</x:f>
        <x:v>51</x:v>
      </x:c>
      <x:c r="AR1247" t="n">
        <x:f>_xlfn.XLOOKUP($A1247,Games!$A$2:$A$18,Games!$M$2:$M$18,"Missing game",0)</x:f>
        <x:v>0</x:v>
      </x:c>
      <x:c r="AS1247" t="str">
        <x:f>_xlfn.XLOOKUP($A1247,Games!$A$2:$A$18,Games!$N$2:$N$18,"Missing game",0)</x:f>
        <x:v>dome</x:v>
      </x:c>
      <x:c r="AT1247" t="str">
        <x:f>_xlfn.XLOOKUP($A1247,Games!$A$2:$A$18,Games!$O$2:$O$18,"Missing game",0)</x:f>
        <x:v>fieldturf</x:v>
      </x:c>
      <x:c r="AU1247" t="str">
        <x:f>_xlfn.XLOOKUP($A1247,Games!$A$2:$A$18,Games!$P$2:$P$18,"Missing game",0)</x:f>
      </x:c>
      <x:c r="AV1247" t="str">
        <x:f>_xlfn.XLOOKUP($A1247,Games!$A$2:$A$18,Games!$Q$2:$Q$18,"Missing game",0)</x:f>
      </x:c>
      <x:c r="AW1247" t="str">
        <x:f>_xlfn.XLOOKUP($A1247,Games!$A$2:$A$18,Games!$R$2:$R$18,"Missing game",0)</x:f>
        <x:v>Ford Field</x:v>
      </x:c>
    </x:row>
    <x:row r="1248">
      <x:c r="A1248" t="str">
        <x:v>2025_09_MIN_DET</x:v>
      </x:c>
      <x:c r="B1248" t="n">
        <x:v>1668</x:v>
      </x:c>
      <x:c r="C1248" t="n">
        <x:v>2</x:v>
      </x:c>
      <x:c r="D1248" t="str">
        <x:v>03:13</x:v>
      </x:c>
      <x:c r="E1248" t="n">
        <x:v>1</x:v>
      </x:c>
      <x:c r="F1248" t="n">
        <x:v>10</x:v>
      </x:c>
      <x:c r="G1248" t="str">
        <x:v>MIN</x:v>
      </x:c>
      <x:c r="H1248" t="str">
        <x:v>DET</x:v>
      </x:c>
      <x:c r="I1248" t="str">
        <x:v>MIN</x:v>
      </x:c>
      <x:c r="J1248" t="n">
        <x:v>75</x:v>
      </x:c>
      <x:c r="K1248" t="str">
        <x:v>(3:13) PENALTY on MIN-71-C.Darrisaw, False Start, 5 yards, enforced at MIN 25 - No Play.</x:v>
      </x:c>
      <x:c r="L1248" t="str">
        <x:v>no_play</x:v>
      </x:c>
      <x:c r="M1248" t="n">
        <x:v>0</x:v>
      </x:c>
      <x:c r="N1248" t="n">
        <x:v>0</x:v>
      </x:c>
      <x:c r="O1248" t="n">
        <x:v>0</x:v>
      </x:c>
      <x:c r="P1248"/>
      <x:c r="Q1248"/>
      <x:c r="R1248"/>
      <x:c r="S1248"/>
      <x:c r="T1248"/>
      <x:c r="U1248"/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1</x:v>
      </x:c>
      <x:c r="AB1248" t="n">
        <x:v>5</x:v>
      </x:c>
      <x:c r="AC1248" t="n">
        <x:v>0</x:v>
      </x:c>
      <x:c r="AD1248" t="n">
        <x:v>-0.4859391702339053</x:v>
      </x:c>
      <x:c r="AE1248" t="n">
        <x:v>0</x:v>
      </x:c>
      <x:c r="AF1248" t="n">
        <x:v>-0.01864922046661377</x:v>
      </x:c>
      <x:c r="AG1248" t="n">
        <x:f>_xlfn.XLOOKUP($A1248,Games!$A$2:$A$18,Games!$B$2:$B$18,"Missing game",0)</x:f>
        <x:v>2025</x:v>
      </x:c>
      <x:c r="AH1248" t="str">
        <x:f>_xlfn.XLOOKUP($A1248,Games!$A$2:$A$18,Games!$C$2:$C$18,"Missing game",0)</x:f>
        <x:v>REG</x:v>
      </x:c>
      <x:c r="AI1248" t="n">
        <x:f>_xlfn.XLOOKUP($A1248,Games!$A$2:$A$18,Games!$D$2:$D$18,"Missing game",0)</x:f>
        <x:v>9</x:v>
      </x:c>
      <x:c r="AJ1248" s="1" t="n">
        <x:f>_xlfn.XLOOKUP($A1248,Games!$A$2:$A$18,Games!$E$2:$E$18,"Missing game",0)</x:f>
        <x:v>45963</x:v>
      </x:c>
      <x:c r="AK1248" t="str">
        <x:f>_xlfn.XLOOKUP($A1248,Games!$A$2:$A$18,Games!$F$2:$F$18,"Missing game",0)</x:f>
        <x:v>Sunday</x:v>
      </x:c>
      <x:c r="AL1248" t="str">
        <x:f>_xlfn.XLOOKUP($A1248,Games!$A$2:$A$18,Games!$G$2:$G$18,"Missing game",0)</x:f>
        <x:v>MIN</x:v>
      </x:c>
      <x:c r="AM1248" t="n">
        <x:f>_xlfn.XLOOKUP($A1248,Games!$A$2:$A$18,Games!$H$2:$H$18,"Missing game",0)</x:f>
        <x:v>27</x:v>
      </x:c>
      <x:c r="AN1248" t="str">
        <x:f>_xlfn.XLOOKUP($A1248,Games!$A$2:$A$18,Games!$I$2:$I$18,"Missing game",0)</x:f>
        <x:v>DET</x:v>
      </x:c>
      <x:c r="AO1248" t="n">
        <x:f>_xlfn.XLOOKUP($A1248,Games!$A$2:$A$18,Games!$J$2:$J$18,"Missing game",0)</x:f>
        <x:v>24</x:v>
      </x:c>
      <x:c r="AP1248" t="n">
        <x:f>_xlfn.XLOOKUP($A1248,Games!$A$2:$A$18,Games!$K$2:$K$18,"Missing game",0)</x:f>
        <x:v>-3</x:v>
      </x:c>
      <x:c r="AQ1248" t="n">
        <x:f>_xlfn.XLOOKUP($A1248,Games!$A$2:$A$18,Games!$L$2:$L$18,"Missing game",0)</x:f>
        <x:v>51</x:v>
      </x:c>
      <x:c r="AR1248" t="n">
        <x:f>_xlfn.XLOOKUP($A1248,Games!$A$2:$A$18,Games!$M$2:$M$18,"Missing game",0)</x:f>
        <x:v>0</x:v>
      </x:c>
      <x:c r="AS1248" t="str">
        <x:f>_xlfn.XLOOKUP($A1248,Games!$A$2:$A$18,Games!$N$2:$N$18,"Missing game",0)</x:f>
        <x:v>dome</x:v>
      </x:c>
      <x:c r="AT1248" t="str">
        <x:f>_xlfn.XLOOKUP($A1248,Games!$A$2:$A$18,Games!$O$2:$O$18,"Missing game",0)</x:f>
        <x:v>fieldturf</x:v>
      </x:c>
      <x:c r="AU1248" t="str">
        <x:f>_xlfn.XLOOKUP($A1248,Games!$A$2:$A$18,Games!$P$2:$P$18,"Missing game",0)</x:f>
      </x:c>
      <x:c r="AV1248" t="str">
        <x:f>_xlfn.XLOOKUP($A1248,Games!$A$2:$A$18,Games!$Q$2:$Q$18,"Missing game",0)</x:f>
      </x:c>
      <x:c r="AW1248" t="str">
        <x:f>_xlfn.XLOOKUP($A1248,Games!$A$2:$A$18,Games!$R$2:$R$18,"Missing game",0)</x:f>
        <x:v>Ford Field</x:v>
      </x:c>
    </x:row>
    <x:row r="1249">
      <x:c r="A1249" t="str">
        <x:v>2025_09_MIN_DET</x:v>
      </x:c>
      <x:c r="B1249" t="n">
        <x:v>1699</x:v>
      </x:c>
      <x:c r="C1249" t="n">
        <x:v>2</x:v>
      </x:c>
      <x:c r="D1249" t="str">
        <x:v>03:13</x:v>
      </x:c>
      <x:c r="E1249" t="n">
        <x:v>1</x:v>
      </x:c>
      <x:c r="F1249" t="n">
        <x:v>15</x:v>
      </x:c>
      <x:c r="G1249" t="str">
        <x:v>MIN</x:v>
      </x:c>
      <x:c r="H1249" t="str">
        <x:v>DET</x:v>
      </x:c>
      <x:c r="I1249" t="str">
        <x:v>MIN</x:v>
      </x:c>
      <x:c r="J1249" t="n">
        <x:v>80</x:v>
      </x:c>
      <x:c r="K1249" t="str">
        <x:v>(3:13) (Shotgun) 33-A.Jones right end to MIN 26 for 6 yards (46-J.Campbell).</x:v>
      </x:c>
      <x:c r="L1249" t="str">
        <x:v>run</x:v>
      </x:c>
      <x:c r="M1249" t="n">
        <x:v>6</x:v>
      </x:c>
      <x:c r="N1249" t="n">
        <x:v>1</x:v>
      </x:c>
      <x:c r="O1249" t="n">
        <x:v>0</x:v>
      </x:c>
      <x:c r="P1249"/>
      <x:c r="Q1249"/>
      <x:c r="R1249"/>
      <x:c r="S1249"/>
      <x:c r="T1249" t="str">
        <x:v>right</x:v>
      </x:c>
      <x:c r="U1249" t="str">
        <x:v>end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/>
      <x:c r="AC1249" t="n">
        <x:v>0</x:v>
      </x:c>
      <x:c r="AD1249" t="n">
        <x:v>-0.008855228777974844</x:v>
      </x:c>
      <x:c r="AE1249" t="n">
        <x:v>0</x:v>
      </x:c>
      <x:c r="AF1249" t="n">
        <x:v>0.005719959735870361</x:v>
      </x:c>
      <x:c r="AG1249" t="n">
        <x:f>_xlfn.XLOOKUP($A1249,Games!$A$2:$A$18,Games!$B$2:$B$18,"Missing game",0)</x:f>
        <x:v>2025</x:v>
      </x:c>
      <x:c r="AH1249" t="str">
        <x:f>_xlfn.XLOOKUP($A1249,Games!$A$2:$A$18,Games!$C$2:$C$18,"Missing game",0)</x:f>
        <x:v>REG</x:v>
      </x:c>
      <x:c r="AI1249" t="n">
        <x:f>_xlfn.XLOOKUP($A1249,Games!$A$2:$A$18,Games!$D$2:$D$18,"Missing game",0)</x:f>
        <x:v>9</x:v>
      </x:c>
      <x:c r="AJ1249" s="1" t="n">
        <x:f>_xlfn.XLOOKUP($A1249,Games!$A$2:$A$18,Games!$E$2:$E$18,"Missing game",0)</x:f>
        <x:v>45963</x:v>
      </x:c>
      <x:c r="AK1249" t="str">
        <x:f>_xlfn.XLOOKUP($A1249,Games!$A$2:$A$18,Games!$F$2:$F$18,"Missing game",0)</x:f>
        <x:v>Sunday</x:v>
      </x:c>
      <x:c r="AL1249" t="str">
        <x:f>_xlfn.XLOOKUP($A1249,Games!$A$2:$A$18,Games!$G$2:$G$18,"Missing game",0)</x:f>
        <x:v>MIN</x:v>
      </x:c>
      <x:c r="AM1249" t="n">
        <x:f>_xlfn.XLOOKUP($A1249,Games!$A$2:$A$18,Games!$H$2:$H$18,"Missing game",0)</x:f>
        <x:v>27</x:v>
      </x:c>
      <x:c r="AN1249" t="str">
        <x:f>_xlfn.XLOOKUP($A1249,Games!$A$2:$A$18,Games!$I$2:$I$18,"Missing game",0)</x:f>
        <x:v>DET</x:v>
      </x:c>
      <x:c r="AO1249" t="n">
        <x:f>_xlfn.XLOOKUP($A1249,Games!$A$2:$A$18,Games!$J$2:$J$18,"Missing game",0)</x:f>
        <x:v>24</x:v>
      </x:c>
      <x:c r="AP1249" t="n">
        <x:f>_xlfn.XLOOKUP($A1249,Games!$A$2:$A$18,Games!$K$2:$K$18,"Missing game",0)</x:f>
        <x:v>-3</x:v>
      </x:c>
      <x:c r="AQ1249" t="n">
        <x:f>_xlfn.XLOOKUP($A1249,Games!$A$2:$A$18,Games!$L$2:$L$18,"Missing game",0)</x:f>
        <x:v>51</x:v>
      </x:c>
      <x:c r="AR1249" t="n">
        <x:f>_xlfn.XLOOKUP($A1249,Games!$A$2:$A$18,Games!$M$2:$M$18,"Missing game",0)</x:f>
        <x:v>0</x:v>
      </x:c>
      <x:c r="AS1249" t="str">
        <x:f>_xlfn.XLOOKUP($A1249,Games!$A$2:$A$18,Games!$N$2:$N$18,"Missing game",0)</x:f>
        <x:v>dome</x:v>
      </x:c>
      <x:c r="AT1249" t="str">
        <x:f>_xlfn.XLOOKUP($A1249,Games!$A$2:$A$18,Games!$O$2:$O$18,"Missing game",0)</x:f>
        <x:v>fieldturf</x:v>
      </x:c>
      <x:c r="AU1249" t="str">
        <x:f>_xlfn.XLOOKUP($A1249,Games!$A$2:$A$18,Games!$P$2:$P$18,"Missing game",0)</x:f>
      </x:c>
      <x:c r="AV1249" t="str">
        <x:f>_xlfn.XLOOKUP($A1249,Games!$A$2:$A$18,Games!$Q$2:$Q$18,"Missing game",0)</x:f>
      </x:c>
      <x:c r="AW1249" t="str">
        <x:f>_xlfn.XLOOKUP($A1249,Games!$A$2:$A$18,Games!$R$2:$R$18,"Missing game",0)</x:f>
        <x:v>Ford Field</x:v>
      </x:c>
    </x:row>
    <x:row r="1250">
      <x:c r="A1250" t="str">
        <x:v>2025_09_MIN_DET</x:v>
      </x:c>
      <x:c r="B1250" t="n">
        <x:v>1721</x:v>
      </x:c>
      <x:c r="C1250" t="n">
        <x:v>2</x:v>
      </x:c>
      <x:c r="D1250" t="str">
        <x:v>02:35</x:v>
      </x:c>
      <x:c r="E1250" t="n">
        <x:v>2</x:v>
      </x:c>
      <x:c r="F1250" t="n">
        <x:v>9</x:v>
      </x:c>
      <x:c r="G1250" t="str">
        <x:v>MIN</x:v>
      </x:c>
      <x:c r="H1250" t="str">
        <x:v>DET</x:v>
      </x:c>
      <x:c r="I1250" t="str">
        <x:v>MIN</x:v>
      </x:c>
      <x:c r="J1250" t="n">
        <x:v>74</x:v>
      </x:c>
      <x:c r="K1250" t="str">
        <x:v>(2:35) (Shotgun) 9-J.McCarthy pass short middle to 87-T.Hockenson to MIN 30 for 4 yards (32-B.Branch). PENALTY on DET-46-J.Campbell, Roughing the Passer, 15 yards, enforced at MIN 30.</x:v>
      </x:c>
      <x:c r="L1250" t="str">
        <x:v>pass</x:v>
      </x:c>
      <x:c r="M1250" t="n">
        <x:v>4</x:v>
      </x:c>
      <x:c r="N1250" t="n">
        <x:v>1</x:v>
      </x:c>
      <x:c r="O1250" t="n">
        <x:v>0</x:v>
      </x:c>
      <x:c r="P1250" t="str">
        <x:v>short</x:v>
      </x:c>
      <x:c r="Q1250" t="str">
        <x:v>middle</x:v>
      </x:c>
      <x:c r="R1250" t="n">
        <x:v>4</x:v>
      </x:c>
      <x:c r="S1250" t="n">
        <x:v>0</x:v>
      </x:c>
      <x:c r="T1250"/>
      <x:c r="U1250"/>
      <x:c r="V1250" t="n">
        <x:v>1</x:v>
      </x:c>
      <x:c r="W1250" t="n">
        <x:v>1</x:v>
      </x:c>
      <x:c r="X1250" t="n">
        <x:v>0</x:v>
      </x:c>
      <x:c r="Y1250" t="n">
        <x:v>0</x:v>
      </x:c>
      <x:c r="Z1250" t="n">
        <x:v>0</x:v>
      </x:c>
      <x:c r="AA1250" t="n">
        <x:v>1</x:v>
      </x:c>
      <x:c r="AB1250" t="n">
        <x:v>15</x:v>
      </x:c>
      <x:c r="AC1250" t="n">
        <x:v>0</x:v>
      </x:c>
      <x:c r="AD1250" t="n">
        <x:v>1.6102107689366676</x:v>
      </x:c>
      <x:c r="AE1250" t="n">
        <x:v>1</x:v>
      </x:c>
      <x:c r="AF1250" t="n">
        <x:v>0.047690510749816895</x:v>
      </x:c>
      <x:c r="AG1250" t="n">
        <x:f>_xlfn.XLOOKUP($A1250,Games!$A$2:$A$18,Games!$B$2:$B$18,"Missing game",0)</x:f>
        <x:v>2025</x:v>
      </x:c>
      <x:c r="AH1250" t="str">
        <x:f>_xlfn.XLOOKUP($A1250,Games!$A$2:$A$18,Games!$C$2:$C$18,"Missing game",0)</x:f>
        <x:v>REG</x:v>
      </x:c>
      <x:c r="AI1250" t="n">
        <x:f>_xlfn.XLOOKUP($A1250,Games!$A$2:$A$18,Games!$D$2:$D$18,"Missing game",0)</x:f>
        <x:v>9</x:v>
      </x:c>
      <x:c r="AJ1250" s="1" t="n">
        <x:f>_xlfn.XLOOKUP($A1250,Games!$A$2:$A$18,Games!$E$2:$E$18,"Missing game",0)</x:f>
        <x:v>45963</x:v>
      </x:c>
      <x:c r="AK1250" t="str">
        <x:f>_xlfn.XLOOKUP($A1250,Games!$A$2:$A$18,Games!$F$2:$F$18,"Missing game",0)</x:f>
        <x:v>Sunday</x:v>
      </x:c>
      <x:c r="AL1250" t="str">
        <x:f>_xlfn.XLOOKUP($A1250,Games!$A$2:$A$18,Games!$G$2:$G$18,"Missing game",0)</x:f>
        <x:v>MIN</x:v>
      </x:c>
      <x:c r="AM1250" t="n">
        <x:f>_xlfn.XLOOKUP($A1250,Games!$A$2:$A$18,Games!$H$2:$H$18,"Missing game",0)</x:f>
        <x:v>27</x:v>
      </x:c>
      <x:c r="AN1250" t="str">
        <x:f>_xlfn.XLOOKUP($A1250,Games!$A$2:$A$18,Games!$I$2:$I$18,"Missing game",0)</x:f>
        <x:v>DET</x:v>
      </x:c>
      <x:c r="AO1250" t="n">
        <x:f>_xlfn.XLOOKUP($A1250,Games!$A$2:$A$18,Games!$J$2:$J$18,"Missing game",0)</x:f>
        <x:v>24</x:v>
      </x:c>
      <x:c r="AP1250" t="n">
        <x:f>_xlfn.XLOOKUP($A1250,Games!$A$2:$A$18,Games!$K$2:$K$18,"Missing game",0)</x:f>
        <x:v>-3</x:v>
      </x:c>
      <x:c r="AQ1250" t="n">
        <x:f>_xlfn.XLOOKUP($A1250,Games!$A$2:$A$18,Games!$L$2:$L$18,"Missing game",0)</x:f>
        <x:v>51</x:v>
      </x:c>
      <x:c r="AR1250" t="n">
        <x:f>_xlfn.XLOOKUP($A1250,Games!$A$2:$A$18,Games!$M$2:$M$18,"Missing game",0)</x:f>
        <x:v>0</x:v>
      </x:c>
      <x:c r="AS1250" t="str">
        <x:f>_xlfn.XLOOKUP($A1250,Games!$A$2:$A$18,Games!$N$2:$N$18,"Missing game",0)</x:f>
        <x:v>dome</x:v>
      </x:c>
      <x:c r="AT1250" t="str">
        <x:f>_xlfn.XLOOKUP($A1250,Games!$A$2:$A$18,Games!$O$2:$O$18,"Missing game",0)</x:f>
        <x:v>fieldturf</x:v>
      </x:c>
      <x:c r="AU1250" t="str">
        <x:f>_xlfn.XLOOKUP($A1250,Games!$A$2:$A$18,Games!$P$2:$P$18,"Missing game",0)</x:f>
      </x:c>
      <x:c r="AV1250" t="str">
        <x:f>_xlfn.XLOOKUP($A1250,Games!$A$2:$A$18,Games!$Q$2:$Q$18,"Missing game",0)</x:f>
      </x:c>
      <x:c r="AW1250" t="str">
        <x:f>_xlfn.XLOOKUP($A1250,Games!$A$2:$A$18,Games!$R$2:$R$18,"Missing game",0)</x:f>
        <x:v>Ford Field</x:v>
      </x:c>
    </x:row>
    <x:row r="1251">
      <x:c r="A1251" t="str">
        <x:v>2025_09_MIN_DET</x:v>
      </x:c>
      <x:c r="B1251" t="n">
        <x:v>1757</x:v>
      </x:c>
      <x:c r="C1251" t="n">
        <x:v>2</x:v>
      </x:c>
      <x:c r="D1251" t="str">
        <x:v>02:07</x:v>
      </x:c>
      <x:c r="E1251" t="n">
        <x:v>1</x:v>
      </x:c>
      <x:c r="F1251" t="n">
        <x:v>10</x:v>
      </x:c>
      <x:c r="G1251" t="str">
        <x:v>MIN</x:v>
      </x:c>
      <x:c r="H1251" t="str">
        <x:v>DET</x:v>
      </x:c>
      <x:c r="I1251" t="str">
        <x:v>MIN</x:v>
      </x:c>
      <x:c r="J1251" t="n">
        <x:v>55</x:v>
      </x:c>
      <x:c r="K1251" t="str">
        <x:v>(2:07) 9-J.McCarthy up the middle to MIN 42 for -3 yards (55-D.Barnes).</x:v>
      </x:c>
      <x:c r="L1251" t="str">
        <x:v>run</x:v>
      </x:c>
      <x:c r="M1251" t="n">
        <x:v>-3</x:v>
      </x:c>
      <x:c r="N1251" t="n">
        <x:v>0</x:v>
      </x:c>
      <x:c r="O1251" t="n">
        <x:v>0</x:v>
      </x:c>
      <x:c r="P1251"/>
      <x:c r="Q1251"/>
      <x:c r="R1251"/>
      <x:c r="S1251"/>
      <x:c r="T1251" t="str">
        <x:v>middle</x:v>
      </x:c>
      <x:c r="U1251"/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/>
      <x:c r="AC1251" t="n">
        <x:v>0</x:v>
      </x:c>
      <x:c r="AD1251" t="n">
        <x:v>-0.8301675679977052</x:v>
      </x:c>
      <x:c r="AE1251" t="n">
        <x:v>0</x:v>
      </x:c>
      <x:c r="AF1251" t="n">
        <x:v>-0.0283660888671875</x:v>
      </x:c>
      <x:c r="AG1251" t="n">
        <x:f>_xlfn.XLOOKUP($A1251,Games!$A$2:$A$18,Games!$B$2:$B$18,"Missing game",0)</x:f>
        <x:v>2025</x:v>
      </x:c>
      <x:c r="AH1251" t="str">
        <x:f>_xlfn.XLOOKUP($A1251,Games!$A$2:$A$18,Games!$C$2:$C$18,"Missing game",0)</x:f>
        <x:v>REG</x:v>
      </x:c>
      <x:c r="AI1251" t="n">
        <x:f>_xlfn.XLOOKUP($A1251,Games!$A$2:$A$18,Games!$D$2:$D$18,"Missing game",0)</x:f>
        <x:v>9</x:v>
      </x:c>
      <x:c r="AJ1251" s="1" t="n">
        <x:f>_xlfn.XLOOKUP($A1251,Games!$A$2:$A$18,Games!$E$2:$E$18,"Missing game",0)</x:f>
        <x:v>45963</x:v>
      </x:c>
      <x:c r="AK1251" t="str">
        <x:f>_xlfn.XLOOKUP($A1251,Games!$A$2:$A$18,Games!$F$2:$F$18,"Missing game",0)</x:f>
        <x:v>Sunday</x:v>
      </x:c>
      <x:c r="AL1251" t="str">
        <x:f>_xlfn.XLOOKUP($A1251,Games!$A$2:$A$18,Games!$G$2:$G$18,"Missing game",0)</x:f>
        <x:v>MIN</x:v>
      </x:c>
      <x:c r="AM1251" t="n">
        <x:f>_xlfn.XLOOKUP($A1251,Games!$A$2:$A$18,Games!$H$2:$H$18,"Missing game",0)</x:f>
        <x:v>27</x:v>
      </x:c>
      <x:c r="AN1251" t="str">
        <x:f>_xlfn.XLOOKUP($A1251,Games!$A$2:$A$18,Games!$I$2:$I$18,"Missing game",0)</x:f>
        <x:v>DET</x:v>
      </x:c>
      <x:c r="AO1251" t="n">
        <x:f>_xlfn.XLOOKUP($A1251,Games!$A$2:$A$18,Games!$J$2:$J$18,"Missing game",0)</x:f>
        <x:v>24</x:v>
      </x:c>
      <x:c r="AP1251" t="n">
        <x:f>_xlfn.XLOOKUP($A1251,Games!$A$2:$A$18,Games!$K$2:$K$18,"Missing game",0)</x:f>
        <x:v>-3</x:v>
      </x:c>
      <x:c r="AQ1251" t="n">
        <x:f>_xlfn.XLOOKUP($A1251,Games!$A$2:$A$18,Games!$L$2:$L$18,"Missing game",0)</x:f>
        <x:v>51</x:v>
      </x:c>
      <x:c r="AR1251" t="n">
        <x:f>_xlfn.XLOOKUP($A1251,Games!$A$2:$A$18,Games!$M$2:$M$18,"Missing game",0)</x:f>
        <x:v>0</x:v>
      </x:c>
      <x:c r="AS1251" t="str">
        <x:f>_xlfn.XLOOKUP($A1251,Games!$A$2:$A$18,Games!$N$2:$N$18,"Missing game",0)</x:f>
        <x:v>dome</x:v>
      </x:c>
      <x:c r="AT1251" t="str">
        <x:f>_xlfn.XLOOKUP($A1251,Games!$A$2:$A$18,Games!$O$2:$O$18,"Missing game",0)</x:f>
        <x:v>fieldturf</x:v>
      </x:c>
      <x:c r="AU1251" t="str">
        <x:f>_xlfn.XLOOKUP($A1251,Games!$A$2:$A$18,Games!$P$2:$P$18,"Missing game",0)</x:f>
      </x:c>
      <x:c r="AV1251" t="str">
        <x:f>_xlfn.XLOOKUP($A1251,Games!$A$2:$A$18,Games!$Q$2:$Q$18,"Missing game",0)</x:f>
      </x:c>
      <x:c r="AW1251" t="str">
        <x:f>_xlfn.XLOOKUP($A1251,Games!$A$2:$A$18,Games!$R$2:$R$18,"Missing game",0)</x:f>
        <x:v>Ford Field</x:v>
      </x:c>
    </x:row>
    <x:row r="1252">
      <x:c r="A1252" t="str">
        <x:v>2025_09_MIN_DET</x:v>
      </x:c>
      <x:c r="B1252" t="n">
        <x:v>1779</x:v>
      </x:c>
      <x:c r="C1252" t="n">
        <x:v>2</x:v>
      </x:c>
      <x:c r="D1252" t="str">
        <x:v>02:00</x:v>
      </x:c>
      <x:c r="E1252" t="n">
        <x:v>2</x:v>
      </x:c>
      <x:c r="F1252" t="n">
        <x:v>13</x:v>
      </x:c>
      <x:c r="G1252" t="str">
        <x:v>MIN</x:v>
      </x:c>
      <x:c r="H1252" t="str">
        <x:v>DET</x:v>
      </x:c>
      <x:c r="I1252" t="str">
        <x:v>MIN</x:v>
      </x:c>
      <x:c r="J1252" t="n">
        <x:v>58</x:v>
      </x:c>
      <x:c r="K1252" t="str">
        <x:v>(2:00) (Shotgun) 9-J.McCarthy pass incomplete short right to 18-J.Jefferson.</x:v>
      </x:c>
      <x:c r="L1252" t="str">
        <x:v>pass</x:v>
      </x:c>
      <x:c r="M1252" t="n">
        <x:v>0</x:v>
      </x:c>
      <x:c r="N1252" t="n">
        <x:v>1</x:v>
      </x:c>
      <x:c r="O1252" t="n">
        <x:v>0</x:v>
      </x:c>
      <x:c r="P1252" t="str">
        <x:v>short</x:v>
      </x:c>
      <x:c r="Q1252" t="str">
        <x:v>right</x:v>
      </x:c>
      <x:c r="R1252" t="n">
        <x:v>9</x:v>
      </x:c>
      <x:c r="S1252"/>
      <x:c r="T1252"/>
      <x:c r="U1252"/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/>
      <x:c r="AC1252" t="n">
        <x:v>0</x:v>
      </x:c>
      <x:c r="AD1252" t="n">
        <x:v>-0.6232738491380587</x:v>
      </x:c>
      <x:c r="AE1252" t="n">
        <x:v>0</x:v>
      </x:c>
      <x:c r="AF1252" t="n">
        <x:v>-0.028479576110839844</x:v>
      </x:c>
      <x:c r="AG1252" t="n">
        <x:f>_xlfn.XLOOKUP($A1252,Games!$A$2:$A$18,Games!$B$2:$B$18,"Missing game",0)</x:f>
        <x:v>2025</x:v>
      </x:c>
      <x:c r="AH1252" t="str">
        <x:f>_xlfn.XLOOKUP($A1252,Games!$A$2:$A$18,Games!$C$2:$C$18,"Missing game",0)</x:f>
        <x:v>REG</x:v>
      </x:c>
      <x:c r="AI1252" t="n">
        <x:f>_xlfn.XLOOKUP($A1252,Games!$A$2:$A$18,Games!$D$2:$D$18,"Missing game",0)</x:f>
        <x:v>9</x:v>
      </x:c>
      <x:c r="AJ1252" s="1" t="n">
        <x:f>_xlfn.XLOOKUP($A1252,Games!$A$2:$A$18,Games!$E$2:$E$18,"Missing game",0)</x:f>
        <x:v>45963</x:v>
      </x:c>
      <x:c r="AK1252" t="str">
        <x:f>_xlfn.XLOOKUP($A1252,Games!$A$2:$A$18,Games!$F$2:$F$18,"Missing game",0)</x:f>
        <x:v>Sunday</x:v>
      </x:c>
      <x:c r="AL1252" t="str">
        <x:f>_xlfn.XLOOKUP($A1252,Games!$A$2:$A$18,Games!$G$2:$G$18,"Missing game",0)</x:f>
        <x:v>MIN</x:v>
      </x:c>
      <x:c r="AM1252" t="n">
        <x:f>_xlfn.XLOOKUP($A1252,Games!$A$2:$A$18,Games!$H$2:$H$18,"Missing game",0)</x:f>
        <x:v>27</x:v>
      </x:c>
      <x:c r="AN1252" t="str">
        <x:f>_xlfn.XLOOKUP($A1252,Games!$A$2:$A$18,Games!$I$2:$I$18,"Missing game",0)</x:f>
        <x:v>DET</x:v>
      </x:c>
      <x:c r="AO1252" t="n">
        <x:f>_xlfn.XLOOKUP($A1252,Games!$A$2:$A$18,Games!$J$2:$J$18,"Missing game",0)</x:f>
        <x:v>24</x:v>
      </x:c>
      <x:c r="AP1252" t="n">
        <x:f>_xlfn.XLOOKUP($A1252,Games!$A$2:$A$18,Games!$K$2:$K$18,"Missing game",0)</x:f>
        <x:v>-3</x:v>
      </x:c>
      <x:c r="AQ1252" t="n">
        <x:f>_xlfn.XLOOKUP($A1252,Games!$A$2:$A$18,Games!$L$2:$L$18,"Missing game",0)</x:f>
        <x:v>51</x:v>
      </x:c>
      <x:c r="AR1252" t="n">
        <x:f>_xlfn.XLOOKUP($A1252,Games!$A$2:$A$18,Games!$M$2:$M$18,"Missing game",0)</x:f>
        <x:v>0</x:v>
      </x:c>
      <x:c r="AS1252" t="str">
        <x:f>_xlfn.XLOOKUP($A1252,Games!$A$2:$A$18,Games!$N$2:$N$18,"Missing game",0)</x:f>
        <x:v>dome</x:v>
      </x:c>
      <x:c r="AT1252" t="str">
        <x:f>_xlfn.XLOOKUP($A1252,Games!$A$2:$A$18,Games!$O$2:$O$18,"Missing game",0)</x:f>
        <x:v>fieldturf</x:v>
      </x:c>
      <x:c r="AU1252" t="str">
        <x:f>_xlfn.XLOOKUP($A1252,Games!$A$2:$A$18,Games!$P$2:$P$18,"Missing game",0)</x:f>
      </x:c>
      <x:c r="AV1252" t="str">
        <x:f>_xlfn.XLOOKUP($A1252,Games!$A$2:$A$18,Games!$Q$2:$Q$18,"Missing game",0)</x:f>
      </x:c>
      <x:c r="AW1252" t="str">
        <x:f>_xlfn.XLOOKUP($A1252,Games!$A$2:$A$18,Games!$R$2:$R$18,"Missing game",0)</x:f>
        <x:v>Ford Field</x:v>
      </x:c>
    </x:row>
    <x:row r="1253">
      <x:c r="A1253" t="str">
        <x:v>2025_09_MIN_DET</x:v>
      </x:c>
      <x:c r="B1253" t="n">
        <x:v>1809</x:v>
      </x:c>
      <x:c r="C1253" t="n">
        <x:v>2</x:v>
      </x:c>
      <x:c r="D1253" t="str">
        <x:v>01:54</x:v>
      </x:c>
      <x:c r="E1253" t="n">
        <x:v>3</x:v>
      </x:c>
      <x:c r="F1253" t="n">
        <x:v>13</x:v>
      </x:c>
      <x:c r="G1253" t="str">
        <x:v>MIN</x:v>
      </x:c>
      <x:c r="H1253" t="str">
        <x:v>DET</x:v>
      </x:c>
      <x:c r="I1253" t="str">
        <x:v>MIN</x:v>
      </x:c>
      <x:c r="J1253" t="n">
        <x:v>58</x:v>
      </x:c>
      <x:c r="K1253" t="str">
        <x:v>(1:54) (Shotgun) 9-J.McCarthy pass deep right intended for 3-J.Addison INTERCEPTED by 12-T.Harper (97-A.Hutchinson) [97-A.Hutchinson] at DET 23. 12-T.Harper pushed ob at DET 48 for 25 yards (33-A.Jones). PENALTY on DET-21-A.Robertson, Illegal Contact, 5 yards, enforced at MIN 42 - No Play.</x:v>
      </x:c>
      <x:c r="L1253" t="str">
        <x:v>no_play</x:v>
      </x:c>
      <x:c r="M1253" t="n">
        <x:v>0</x:v>
      </x:c>
      <x:c r="N1253" t="n">
        <x:v>1</x:v>
      </x:c>
      <x:c r="O1253" t="n">
        <x:v>0</x:v>
      </x:c>
      <x:c r="P1253"/>
      <x:c r="Q1253"/>
      <x:c r="R1253"/>
      <x:c r="S1253"/>
      <x:c r="T1253"/>
      <x:c r="U1253"/>
      <x:c r="V1253" t="n">
        <x:v>0</x:v>
      </x:c>
      <x:c r="W1253" t="n">
        <x:v>1</x:v>
      </x:c>
      <x:c r="X1253" t="n">
        <x:v>0</x:v>
      </x:c>
      <x:c r="Y1253" t="n">
        <x:v>0</x:v>
      </x:c>
      <x:c r="Z1253" t="n">
        <x:v>0</x:v>
      </x:c>
      <x:c r="AA1253" t="n">
        <x:v>1</x:v>
      </x:c>
      <x:c r="AB1253" t="n">
        <x:v>5</x:v>
      </x:c>
      <x:c r="AC1253" t="n">
        <x:v>0</x:v>
      </x:c>
      <x:c r="AD1253" t="n">
        <x:v>1.576593926991336</x:v>
      </x:c>
      <x:c r="AE1253" t="n">
        <x:v>1</x:v>
      </x:c>
      <x:c r="AF1253" t="n">
        <x:v>0.056845664978027344</x:v>
      </x:c>
      <x:c r="AG1253" t="n">
        <x:f>_xlfn.XLOOKUP($A1253,Games!$A$2:$A$18,Games!$B$2:$B$18,"Missing game",0)</x:f>
        <x:v>2025</x:v>
      </x:c>
      <x:c r="AH1253" t="str">
        <x:f>_xlfn.XLOOKUP($A1253,Games!$A$2:$A$18,Games!$C$2:$C$18,"Missing game",0)</x:f>
        <x:v>REG</x:v>
      </x:c>
      <x:c r="AI1253" t="n">
        <x:f>_xlfn.XLOOKUP($A1253,Games!$A$2:$A$18,Games!$D$2:$D$18,"Missing game",0)</x:f>
        <x:v>9</x:v>
      </x:c>
      <x:c r="AJ1253" s="1" t="n">
        <x:f>_xlfn.XLOOKUP($A1253,Games!$A$2:$A$18,Games!$E$2:$E$18,"Missing game",0)</x:f>
        <x:v>45963</x:v>
      </x:c>
      <x:c r="AK1253" t="str">
        <x:f>_xlfn.XLOOKUP($A1253,Games!$A$2:$A$18,Games!$F$2:$F$18,"Missing game",0)</x:f>
        <x:v>Sunday</x:v>
      </x:c>
      <x:c r="AL1253" t="str">
        <x:f>_xlfn.XLOOKUP($A1253,Games!$A$2:$A$18,Games!$G$2:$G$18,"Missing game",0)</x:f>
        <x:v>MIN</x:v>
      </x:c>
      <x:c r="AM1253" t="n">
        <x:f>_xlfn.XLOOKUP($A1253,Games!$A$2:$A$18,Games!$H$2:$H$18,"Missing game",0)</x:f>
        <x:v>27</x:v>
      </x:c>
      <x:c r="AN1253" t="str">
        <x:f>_xlfn.XLOOKUP($A1253,Games!$A$2:$A$18,Games!$I$2:$I$18,"Missing game",0)</x:f>
        <x:v>DET</x:v>
      </x:c>
      <x:c r="AO1253" t="n">
        <x:f>_xlfn.XLOOKUP($A1253,Games!$A$2:$A$18,Games!$J$2:$J$18,"Missing game",0)</x:f>
        <x:v>24</x:v>
      </x:c>
      <x:c r="AP1253" t="n">
        <x:f>_xlfn.XLOOKUP($A1253,Games!$A$2:$A$18,Games!$K$2:$K$18,"Missing game",0)</x:f>
        <x:v>-3</x:v>
      </x:c>
      <x:c r="AQ1253" t="n">
        <x:f>_xlfn.XLOOKUP($A1253,Games!$A$2:$A$18,Games!$L$2:$L$18,"Missing game",0)</x:f>
        <x:v>51</x:v>
      </x:c>
      <x:c r="AR1253" t="n">
        <x:f>_xlfn.XLOOKUP($A1253,Games!$A$2:$A$18,Games!$M$2:$M$18,"Missing game",0)</x:f>
        <x:v>0</x:v>
      </x:c>
      <x:c r="AS1253" t="str">
        <x:f>_xlfn.XLOOKUP($A1253,Games!$A$2:$A$18,Games!$N$2:$N$18,"Missing game",0)</x:f>
        <x:v>dome</x:v>
      </x:c>
      <x:c r="AT1253" t="str">
        <x:f>_xlfn.XLOOKUP($A1253,Games!$A$2:$A$18,Games!$O$2:$O$18,"Missing game",0)</x:f>
        <x:v>fieldturf</x:v>
      </x:c>
      <x:c r="AU1253" t="str">
        <x:f>_xlfn.XLOOKUP($A1253,Games!$A$2:$A$18,Games!$P$2:$P$18,"Missing game",0)</x:f>
      </x:c>
      <x:c r="AV1253" t="str">
        <x:f>_xlfn.XLOOKUP($A1253,Games!$A$2:$A$18,Games!$Q$2:$Q$18,"Missing game",0)</x:f>
      </x:c>
      <x:c r="AW1253" t="str">
        <x:f>_xlfn.XLOOKUP($A1253,Games!$A$2:$A$18,Games!$R$2:$R$18,"Missing game",0)</x:f>
        <x:v>Ford Field</x:v>
      </x:c>
    </x:row>
    <x:row r="1254">
      <x:c r="A1254" t="str">
        <x:v>2025_09_MIN_DET</x:v>
      </x:c>
      <x:c r="B1254" t="n">
        <x:v>1852</x:v>
      </x:c>
      <x:c r="C1254" t="n">
        <x:v>2</x:v>
      </x:c>
      <x:c r="D1254" t="str">
        <x:v>01:42</x:v>
      </x:c>
      <x:c r="E1254" t="n">
        <x:v>1</x:v>
      </x:c>
      <x:c r="F1254" t="n">
        <x:v>10</x:v>
      </x:c>
      <x:c r="G1254" t="str">
        <x:v>MIN</x:v>
      </x:c>
      <x:c r="H1254" t="str">
        <x:v>DET</x:v>
      </x:c>
      <x:c r="I1254" t="str">
        <x:v>MIN</x:v>
      </x:c>
      <x:c r="J1254" t="n">
        <x:v>53</x:v>
      </x:c>
      <x:c r="K1254" t="str">
        <x:v>(1:42) 9-J.McCarthy pass incomplete short left [96-A.Muhammad].</x:v>
      </x:c>
      <x:c r="L1254" t="str">
        <x:v>pass</x:v>
      </x:c>
      <x:c r="M1254" t="n">
        <x:v>0</x:v>
      </x:c>
      <x:c r="N1254" t="n">
        <x:v>0</x:v>
      </x:c>
      <x:c r="O1254" t="n">
        <x:v>0</x:v>
      </x:c>
      <x:c r="P1254" t="str">
        <x:v>short</x:v>
      </x:c>
      <x:c r="Q1254" t="str">
        <x:v>left</x:v>
      </x:c>
      <x:c r="R1254" t="n">
        <x:v>5</x:v>
      </x:c>
      <x:c r="S1254"/>
      <x:c r="T1254"/>
      <x:c r="U1254"/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/>
      <x:c r="AC1254" t="n">
        <x:v>0</x:v>
      </x:c>
      <x:c r="AD1254" t="n">
        <x:v>-0.33701053773984313</x:v>
      </x:c>
      <x:c r="AE1254" t="n">
        <x:v>0</x:v>
      </x:c>
      <x:c r="AF1254" t="n">
        <x:v>-0.014074087142944336</x:v>
      </x:c>
      <x:c r="AG1254" t="n">
        <x:f>_xlfn.XLOOKUP($A1254,Games!$A$2:$A$18,Games!$B$2:$B$18,"Missing game",0)</x:f>
        <x:v>2025</x:v>
      </x:c>
      <x:c r="AH1254" t="str">
        <x:f>_xlfn.XLOOKUP($A1254,Games!$A$2:$A$18,Games!$C$2:$C$18,"Missing game",0)</x:f>
        <x:v>REG</x:v>
      </x:c>
      <x:c r="AI1254" t="n">
        <x:f>_xlfn.XLOOKUP($A1254,Games!$A$2:$A$18,Games!$D$2:$D$18,"Missing game",0)</x:f>
        <x:v>9</x:v>
      </x:c>
      <x:c r="AJ1254" s="1" t="n">
        <x:f>_xlfn.XLOOKUP($A1254,Games!$A$2:$A$18,Games!$E$2:$E$18,"Missing game",0)</x:f>
        <x:v>45963</x:v>
      </x:c>
      <x:c r="AK1254" t="str">
        <x:f>_xlfn.XLOOKUP($A1254,Games!$A$2:$A$18,Games!$F$2:$F$18,"Missing game",0)</x:f>
        <x:v>Sunday</x:v>
      </x:c>
      <x:c r="AL1254" t="str">
        <x:f>_xlfn.XLOOKUP($A1254,Games!$A$2:$A$18,Games!$G$2:$G$18,"Missing game",0)</x:f>
        <x:v>MIN</x:v>
      </x:c>
      <x:c r="AM1254" t="n">
        <x:f>_xlfn.XLOOKUP($A1254,Games!$A$2:$A$18,Games!$H$2:$H$18,"Missing game",0)</x:f>
        <x:v>27</x:v>
      </x:c>
      <x:c r="AN1254" t="str">
        <x:f>_xlfn.XLOOKUP($A1254,Games!$A$2:$A$18,Games!$I$2:$I$18,"Missing game",0)</x:f>
        <x:v>DET</x:v>
      </x:c>
      <x:c r="AO1254" t="n">
        <x:f>_xlfn.XLOOKUP($A1254,Games!$A$2:$A$18,Games!$J$2:$J$18,"Missing game",0)</x:f>
        <x:v>24</x:v>
      </x:c>
      <x:c r="AP1254" t="n">
        <x:f>_xlfn.XLOOKUP($A1254,Games!$A$2:$A$18,Games!$K$2:$K$18,"Missing game",0)</x:f>
        <x:v>-3</x:v>
      </x:c>
      <x:c r="AQ1254" t="n">
        <x:f>_xlfn.XLOOKUP($A1254,Games!$A$2:$A$18,Games!$L$2:$L$18,"Missing game",0)</x:f>
        <x:v>51</x:v>
      </x:c>
      <x:c r="AR1254" t="n">
        <x:f>_xlfn.XLOOKUP($A1254,Games!$A$2:$A$18,Games!$M$2:$M$18,"Missing game",0)</x:f>
        <x:v>0</x:v>
      </x:c>
      <x:c r="AS1254" t="str">
        <x:f>_xlfn.XLOOKUP($A1254,Games!$A$2:$A$18,Games!$N$2:$N$18,"Missing game",0)</x:f>
        <x:v>dome</x:v>
      </x:c>
      <x:c r="AT1254" t="str">
        <x:f>_xlfn.XLOOKUP($A1254,Games!$A$2:$A$18,Games!$O$2:$O$18,"Missing game",0)</x:f>
        <x:v>fieldturf</x:v>
      </x:c>
      <x:c r="AU1254" t="str">
        <x:f>_xlfn.XLOOKUP($A1254,Games!$A$2:$A$18,Games!$P$2:$P$18,"Missing game",0)</x:f>
      </x:c>
      <x:c r="AV1254" t="str">
        <x:f>_xlfn.XLOOKUP($A1254,Games!$A$2:$A$18,Games!$Q$2:$Q$18,"Missing game",0)</x:f>
      </x:c>
      <x:c r="AW1254" t="str">
        <x:f>_xlfn.XLOOKUP($A1254,Games!$A$2:$A$18,Games!$R$2:$R$18,"Missing game",0)</x:f>
        <x:v>Ford Field</x:v>
      </x:c>
    </x:row>
    <x:row r="1255">
      <x:c r="A1255" t="str">
        <x:v>2025_09_MIN_DET</x:v>
      </x:c>
      <x:c r="B1255" t="n">
        <x:v>1875</x:v>
      </x:c>
      <x:c r="C1255" t="n">
        <x:v>2</x:v>
      </x:c>
      <x:c r="D1255" t="str">
        <x:v>01:38</x:v>
      </x:c>
      <x:c r="E1255" t="n">
        <x:v>2</x:v>
      </x:c>
      <x:c r="F1255" t="n">
        <x:v>10</x:v>
      </x:c>
      <x:c r="G1255" t="str">
        <x:v>MIN</x:v>
      </x:c>
      <x:c r="H1255" t="str">
        <x:v>DET</x:v>
      </x:c>
      <x:c r="I1255" t="str">
        <x:v>MIN</x:v>
      </x:c>
      <x:c r="J1255" t="n">
        <x:v>53</x:v>
      </x:c>
      <x:c r="K1255" t="str">
        <x:v>(1:38) (Shotgun) 9-J.McCarthy pass short right to 18-J.Jefferson to MIN 46 for -1 yards (21-A.Robertson).</x:v>
      </x:c>
      <x:c r="L1255" t="str">
        <x:v>pass</x:v>
      </x:c>
      <x:c r="M1255" t="n">
        <x:v>-1</x:v>
      </x:c>
      <x:c r="N1255" t="n">
        <x:v>1</x:v>
      </x:c>
      <x:c r="O1255" t="n">
        <x:v>0</x:v>
      </x:c>
      <x:c r="P1255" t="str">
        <x:v>short</x:v>
      </x:c>
      <x:c r="Q1255" t="str">
        <x:v>right</x:v>
      </x:c>
      <x:c r="R1255" t="n">
        <x:v>-1</x:v>
      </x:c>
      <x:c r="S1255" t="n">
        <x:v>0</x:v>
      </x:c>
      <x:c r="T1255"/>
      <x:c r="U1255"/>
      <x:c r="V1255" t="n">
        <x:v>1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/>
      <x:c r="AC1255" t="n">
        <x:v>0</x:v>
      </x:c>
      <x:c r="AD1255" t="n">
        <x:v>-0.6946860495954752</x:v>
      </x:c>
      <x:c r="AE1255" t="n">
        <x:v>0</x:v>
      </x:c>
      <x:c r="AF1255" t="n">
        <x:v>-0.019744873046875</x:v>
      </x:c>
      <x:c r="AG1255" t="n">
        <x:f>_xlfn.XLOOKUP($A1255,Games!$A$2:$A$18,Games!$B$2:$B$18,"Missing game",0)</x:f>
        <x:v>2025</x:v>
      </x:c>
      <x:c r="AH1255" t="str">
        <x:f>_xlfn.XLOOKUP($A1255,Games!$A$2:$A$18,Games!$C$2:$C$18,"Missing game",0)</x:f>
        <x:v>REG</x:v>
      </x:c>
      <x:c r="AI1255" t="n">
        <x:f>_xlfn.XLOOKUP($A1255,Games!$A$2:$A$18,Games!$D$2:$D$18,"Missing game",0)</x:f>
        <x:v>9</x:v>
      </x:c>
      <x:c r="AJ1255" s="1" t="n">
        <x:f>_xlfn.XLOOKUP($A1255,Games!$A$2:$A$18,Games!$E$2:$E$18,"Missing game",0)</x:f>
        <x:v>45963</x:v>
      </x:c>
      <x:c r="AK1255" t="str">
        <x:f>_xlfn.XLOOKUP($A1255,Games!$A$2:$A$18,Games!$F$2:$F$18,"Missing game",0)</x:f>
        <x:v>Sunday</x:v>
      </x:c>
      <x:c r="AL1255" t="str">
        <x:f>_xlfn.XLOOKUP($A1255,Games!$A$2:$A$18,Games!$G$2:$G$18,"Missing game",0)</x:f>
        <x:v>MIN</x:v>
      </x:c>
      <x:c r="AM1255" t="n">
        <x:f>_xlfn.XLOOKUP($A1255,Games!$A$2:$A$18,Games!$H$2:$H$18,"Missing game",0)</x:f>
        <x:v>27</x:v>
      </x:c>
      <x:c r="AN1255" t="str">
        <x:f>_xlfn.XLOOKUP($A1255,Games!$A$2:$A$18,Games!$I$2:$I$18,"Missing game",0)</x:f>
        <x:v>DET</x:v>
      </x:c>
      <x:c r="AO1255" t="n">
        <x:f>_xlfn.XLOOKUP($A1255,Games!$A$2:$A$18,Games!$J$2:$J$18,"Missing game",0)</x:f>
        <x:v>24</x:v>
      </x:c>
      <x:c r="AP1255" t="n">
        <x:f>_xlfn.XLOOKUP($A1255,Games!$A$2:$A$18,Games!$K$2:$K$18,"Missing game",0)</x:f>
        <x:v>-3</x:v>
      </x:c>
      <x:c r="AQ1255" t="n">
        <x:f>_xlfn.XLOOKUP($A1255,Games!$A$2:$A$18,Games!$L$2:$L$18,"Missing game",0)</x:f>
        <x:v>51</x:v>
      </x:c>
      <x:c r="AR1255" t="n">
        <x:f>_xlfn.XLOOKUP($A1255,Games!$A$2:$A$18,Games!$M$2:$M$18,"Missing game",0)</x:f>
        <x:v>0</x:v>
      </x:c>
      <x:c r="AS1255" t="str">
        <x:f>_xlfn.XLOOKUP($A1255,Games!$A$2:$A$18,Games!$N$2:$N$18,"Missing game",0)</x:f>
        <x:v>dome</x:v>
      </x:c>
      <x:c r="AT1255" t="str">
        <x:f>_xlfn.XLOOKUP($A1255,Games!$A$2:$A$18,Games!$O$2:$O$18,"Missing game",0)</x:f>
        <x:v>fieldturf</x:v>
      </x:c>
      <x:c r="AU1255" t="str">
        <x:f>_xlfn.XLOOKUP($A1255,Games!$A$2:$A$18,Games!$P$2:$P$18,"Missing game",0)</x:f>
      </x:c>
      <x:c r="AV1255" t="str">
        <x:f>_xlfn.XLOOKUP($A1255,Games!$A$2:$A$18,Games!$Q$2:$Q$18,"Missing game",0)</x:f>
      </x:c>
      <x:c r="AW1255" t="str">
        <x:f>_xlfn.XLOOKUP($A1255,Games!$A$2:$A$18,Games!$R$2:$R$18,"Missing game",0)</x:f>
        <x:v>Ford Field</x:v>
      </x:c>
    </x:row>
    <x:row r="1256">
      <x:c r="A1256" t="str">
        <x:v>2025_09_MIN_DET</x:v>
      </x:c>
      <x:c r="B1256" t="n">
        <x:v>1900</x:v>
      </x:c>
      <x:c r="C1256" t="n">
        <x:v>2</x:v>
      </x:c>
      <x:c r="D1256" t="str">
        <x:v>00:51</x:v>
      </x:c>
      <x:c r="E1256" t="n">
        <x:v>3</x:v>
      </x:c>
      <x:c r="F1256" t="n">
        <x:v>11</x:v>
      </x:c>
      <x:c r="G1256" t="str">
        <x:v>MIN</x:v>
      </x:c>
      <x:c r="H1256" t="str">
        <x:v>DET</x:v>
      </x:c>
      <x:c r="I1256" t="str">
        <x:v>MIN</x:v>
      </x:c>
      <x:c r="J1256" t="n">
        <x:v>54</x:v>
      </x:c>
      <x:c r="K1256" t="str">
        <x:v>(:51) (Shotgun) 9-J.McCarthy pass short left intended for 1-J.Nailor INTERCEPTED by 6-T.Arnold at DET 39. 6-T.Arnold to DET 39 for no gain (1-J.Nailor). The Replay Official reviewed the interception ruling, and the play was Upheld. The ruling on the field stands.</x:v>
      </x:c>
      <x:c r="L1256" t="str">
        <x:v>pass</x:v>
      </x:c>
      <x:c r="M1256" t="n">
        <x:v>0</x:v>
      </x:c>
      <x:c r="N1256" t="n">
        <x:v>1</x:v>
      </x:c>
      <x:c r="O1256" t="n">
        <x:v>0</x:v>
      </x:c>
      <x:c r="P1256" t="str">
        <x:v>short</x:v>
      </x:c>
      <x:c r="Q1256" t="str">
        <x:v>left</x:v>
      </x:c>
      <x:c r="R1256" t="n">
        <x:v>15</x:v>
      </x:c>
      <x:c r="S1256"/>
      <x:c r="T1256"/>
      <x:c r="U1256"/>
      <x:c r="V1256" t="n">
        <x:v>0</x:v>
      </x:c>
      <x:c r="W1256" t="n">
        <x:v>0</x:v>
      </x:c>
      <x:c r="X1256" t="n">
        <x:v>0</x:v>
      </x:c>
      <x:c r="Y1256" t="n">
        <x:v>1</x:v>
      </x:c>
      <x:c r="Z1256" t="n">
        <x:v>0</x:v>
      </x:c>
      <x:c r="AA1256" t="n">
        <x:v>0</x:v>
      </x:c>
      <x:c r="AB1256"/>
      <x:c r="AC1256" t="n">
        <x:v>0</x:v>
      </x:c>
      <x:c r="AD1256" t="n">
        <x:v>-2.510203219309915</x:v>
      </x:c>
      <x:c r="AE1256" t="n">
        <x:v>0</x:v>
      </x:c>
      <x:c r="AF1256" t="n">
        <x:v>-0.08128061890602112</x:v>
      </x:c>
      <x:c r="AG1256" t="n">
        <x:f>_xlfn.XLOOKUP($A1256,Games!$A$2:$A$18,Games!$B$2:$B$18,"Missing game",0)</x:f>
        <x:v>2025</x:v>
      </x:c>
      <x:c r="AH1256" t="str">
        <x:f>_xlfn.XLOOKUP($A1256,Games!$A$2:$A$18,Games!$C$2:$C$18,"Missing game",0)</x:f>
        <x:v>REG</x:v>
      </x:c>
      <x:c r="AI1256" t="n">
        <x:f>_xlfn.XLOOKUP($A1256,Games!$A$2:$A$18,Games!$D$2:$D$18,"Missing game",0)</x:f>
        <x:v>9</x:v>
      </x:c>
      <x:c r="AJ1256" s="1" t="n">
        <x:f>_xlfn.XLOOKUP($A1256,Games!$A$2:$A$18,Games!$E$2:$E$18,"Missing game",0)</x:f>
        <x:v>45963</x:v>
      </x:c>
      <x:c r="AK1256" t="str">
        <x:f>_xlfn.XLOOKUP($A1256,Games!$A$2:$A$18,Games!$F$2:$F$18,"Missing game",0)</x:f>
        <x:v>Sunday</x:v>
      </x:c>
      <x:c r="AL1256" t="str">
        <x:f>_xlfn.XLOOKUP($A1256,Games!$A$2:$A$18,Games!$G$2:$G$18,"Missing game",0)</x:f>
        <x:v>MIN</x:v>
      </x:c>
      <x:c r="AM1256" t="n">
        <x:f>_xlfn.XLOOKUP($A1256,Games!$A$2:$A$18,Games!$H$2:$H$18,"Missing game",0)</x:f>
        <x:v>27</x:v>
      </x:c>
      <x:c r="AN1256" t="str">
        <x:f>_xlfn.XLOOKUP($A1256,Games!$A$2:$A$18,Games!$I$2:$I$18,"Missing game",0)</x:f>
        <x:v>DET</x:v>
      </x:c>
      <x:c r="AO1256" t="n">
        <x:f>_xlfn.XLOOKUP($A1256,Games!$A$2:$A$18,Games!$J$2:$J$18,"Missing game",0)</x:f>
        <x:v>24</x:v>
      </x:c>
      <x:c r="AP1256" t="n">
        <x:f>_xlfn.XLOOKUP($A1256,Games!$A$2:$A$18,Games!$K$2:$K$18,"Missing game",0)</x:f>
        <x:v>-3</x:v>
      </x:c>
      <x:c r="AQ1256" t="n">
        <x:f>_xlfn.XLOOKUP($A1256,Games!$A$2:$A$18,Games!$L$2:$L$18,"Missing game",0)</x:f>
        <x:v>51</x:v>
      </x:c>
      <x:c r="AR1256" t="n">
        <x:f>_xlfn.XLOOKUP($A1256,Games!$A$2:$A$18,Games!$M$2:$M$18,"Missing game",0)</x:f>
        <x:v>0</x:v>
      </x:c>
      <x:c r="AS1256" t="str">
        <x:f>_xlfn.XLOOKUP($A1256,Games!$A$2:$A$18,Games!$N$2:$N$18,"Missing game",0)</x:f>
        <x:v>dome</x:v>
      </x:c>
      <x:c r="AT1256" t="str">
        <x:f>_xlfn.XLOOKUP($A1256,Games!$A$2:$A$18,Games!$O$2:$O$18,"Missing game",0)</x:f>
        <x:v>fieldturf</x:v>
      </x:c>
      <x:c r="AU1256" t="str">
        <x:f>_xlfn.XLOOKUP($A1256,Games!$A$2:$A$18,Games!$P$2:$P$18,"Missing game",0)</x:f>
      </x:c>
      <x:c r="AV1256" t="str">
        <x:f>_xlfn.XLOOKUP($A1256,Games!$A$2:$A$18,Games!$Q$2:$Q$18,"Missing game",0)</x:f>
      </x:c>
      <x:c r="AW1256" t="str">
        <x:f>_xlfn.XLOOKUP($A1256,Games!$A$2:$A$18,Games!$R$2:$R$18,"Missing game",0)</x:f>
        <x:v>Ford Field</x:v>
      </x:c>
    </x:row>
    <x:row r="1257">
      <x:c r="A1257" t="str">
        <x:v>2025_09_MIN_DET</x:v>
      </x:c>
      <x:c r="B1257" t="n">
        <x:v>1965</x:v>
      </x:c>
      <x:c r="C1257" t="n">
        <x:v>2</x:v>
      </x:c>
      <x:c r="D1257" t="str">
        <x:v>00:47</x:v>
      </x:c>
      <x:c r="E1257" t="n">
        <x:v>1</x:v>
      </x:c>
      <x:c r="F1257" t="n">
        <x:v>10</x:v>
      </x:c>
      <x:c r="G1257" t="str">
        <x:v>DET</x:v>
      </x:c>
      <x:c r="H1257" t="str">
        <x:v>MIN</x:v>
      </x:c>
      <x:c r="I1257" t="str">
        <x:v>DET</x:v>
      </x:c>
      <x:c r="J1257" t="n">
        <x:v>61</x:v>
      </x:c>
      <x:c r="K1257" t="str">
        <x:v>(:47) (Shotgun) 16-J.Goff pass incomplete short right to 11-K.Raymond.</x:v>
      </x:c>
      <x:c r="L1257" t="str">
        <x:v>pass</x:v>
      </x:c>
      <x:c r="M1257" t="n">
        <x:v>0</x:v>
      </x:c>
      <x:c r="N1257" t="n">
        <x:v>1</x:v>
      </x:c>
      <x:c r="O1257" t="n">
        <x:v>0</x:v>
      </x:c>
      <x:c r="P1257" t="str">
        <x:v>short</x:v>
      </x:c>
      <x:c r="Q1257" t="str">
        <x:v>right</x:v>
      </x:c>
      <x:c r="R1257" t="n">
        <x:v>6</x:v>
      </x:c>
      <x:c r="S1257"/>
      <x:c r="T1257"/>
      <x:c r="U1257"/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/>
      <x:c r="AC1257" t="n">
        <x:v>0</x:v>
      </x:c>
      <x:c r="AD1257" t="n">
        <x:v>-0.13572981132892892</x:v>
      </x:c>
      <x:c r="AE1257" t="n">
        <x:v>0</x:v>
      </x:c>
      <x:c r="AF1257" t="n">
        <x:v>-0.019231081008911133</x:v>
      </x:c>
      <x:c r="AG1257" t="n">
        <x:f>_xlfn.XLOOKUP($A1257,Games!$A$2:$A$18,Games!$B$2:$B$18,"Missing game",0)</x:f>
        <x:v>2025</x:v>
      </x:c>
      <x:c r="AH1257" t="str">
        <x:f>_xlfn.XLOOKUP($A1257,Games!$A$2:$A$18,Games!$C$2:$C$18,"Missing game",0)</x:f>
        <x:v>REG</x:v>
      </x:c>
      <x:c r="AI1257" t="n">
        <x:f>_xlfn.XLOOKUP($A1257,Games!$A$2:$A$18,Games!$D$2:$D$18,"Missing game",0)</x:f>
        <x:v>9</x:v>
      </x:c>
      <x:c r="AJ1257" s="1" t="n">
        <x:f>_xlfn.XLOOKUP($A1257,Games!$A$2:$A$18,Games!$E$2:$E$18,"Missing game",0)</x:f>
        <x:v>45963</x:v>
      </x:c>
      <x:c r="AK1257" t="str">
        <x:f>_xlfn.XLOOKUP($A1257,Games!$A$2:$A$18,Games!$F$2:$F$18,"Missing game",0)</x:f>
        <x:v>Sunday</x:v>
      </x:c>
      <x:c r="AL1257" t="str">
        <x:f>_xlfn.XLOOKUP($A1257,Games!$A$2:$A$18,Games!$G$2:$G$18,"Missing game",0)</x:f>
        <x:v>MIN</x:v>
      </x:c>
      <x:c r="AM1257" t="n">
        <x:f>_xlfn.XLOOKUP($A1257,Games!$A$2:$A$18,Games!$H$2:$H$18,"Missing game",0)</x:f>
        <x:v>27</x:v>
      </x:c>
      <x:c r="AN1257" t="str">
        <x:f>_xlfn.XLOOKUP($A1257,Games!$A$2:$A$18,Games!$I$2:$I$18,"Missing game",0)</x:f>
        <x:v>DET</x:v>
      </x:c>
      <x:c r="AO1257" t="n">
        <x:f>_xlfn.XLOOKUP($A1257,Games!$A$2:$A$18,Games!$J$2:$J$18,"Missing game",0)</x:f>
        <x:v>24</x:v>
      </x:c>
      <x:c r="AP1257" t="n">
        <x:f>_xlfn.XLOOKUP($A1257,Games!$A$2:$A$18,Games!$K$2:$K$18,"Missing game",0)</x:f>
        <x:v>-3</x:v>
      </x:c>
      <x:c r="AQ1257" t="n">
        <x:f>_xlfn.XLOOKUP($A1257,Games!$A$2:$A$18,Games!$L$2:$L$18,"Missing game",0)</x:f>
        <x:v>51</x:v>
      </x:c>
      <x:c r="AR1257" t="n">
        <x:f>_xlfn.XLOOKUP($A1257,Games!$A$2:$A$18,Games!$M$2:$M$18,"Missing game",0)</x:f>
        <x:v>0</x:v>
      </x:c>
      <x:c r="AS1257" t="str">
        <x:f>_xlfn.XLOOKUP($A1257,Games!$A$2:$A$18,Games!$N$2:$N$18,"Missing game",0)</x:f>
        <x:v>dome</x:v>
      </x:c>
      <x:c r="AT1257" t="str">
        <x:f>_xlfn.XLOOKUP($A1257,Games!$A$2:$A$18,Games!$O$2:$O$18,"Missing game",0)</x:f>
        <x:v>fieldturf</x:v>
      </x:c>
      <x:c r="AU1257" t="str">
        <x:f>_xlfn.XLOOKUP($A1257,Games!$A$2:$A$18,Games!$P$2:$P$18,"Missing game",0)</x:f>
      </x:c>
      <x:c r="AV1257" t="str">
        <x:f>_xlfn.XLOOKUP($A1257,Games!$A$2:$A$18,Games!$Q$2:$Q$18,"Missing game",0)</x:f>
      </x:c>
      <x:c r="AW1257" t="str">
        <x:f>_xlfn.XLOOKUP($A1257,Games!$A$2:$A$18,Games!$R$2:$R$18,"Missing game",0)</x:f>
        <x:v>Ford Field</x:v>
      </x:c>
    </x:row>
    <x:row r="1258">
      <x:c r="A1258" t="str">
        <x:v>2025_09_MIN_DET</x:v>
      </x:c>
      <x:c r="B1258" t="n">
        <x:v>1988</x:v>
      </x:c>
      <x:c r="C1258" t="n">
        <x:v>2</x:v>
      </x:c>
      <x:c r="D1258" t="str">
        <x:v>00:44</x:v>
      </x:c>
      <x:c r="E1258" t="n">
        <x:v>2</x:v>
      </x:c>
      <x:c r="F1258" t="n">
        <x:v>10</x:v>
      </x:c>
      <x:c r="G1258" t="str">
        <x:v>DET</x:v>
      </x:c>
      <x:c r="H1258" t="str">
        <x:v>MIN</x:v>
      </x:c>
      <x:c r="I1258" t="str">
        <x:v>DET</x:v>
      </x:c>
      <x:c r="J1258" t="n">
        <x:v>61</x:v>
      </x:c>
      <x:c r="K1258" t="str">
        <x:v>(:44) (Shotgun) 16-J.Goff pass short middle to 0-J.Gibbs to DET 38 for -1 yards (43-A.Van Ginkel).</x:v>
      </x:c>
      <x:c r="L1258" t="str">
        <x:v>pass</x:v>
      </x:c>
      <x:c r="M1258" t="n">
        <x:v>-1</x:v>
      </x:c>
      <x:c r="N1258" t="n">
        <x:v>1</x:v>
      </x:c>
      <x:c r="O1258" t="n">
        <x:v>0</x:v>
      </x:c>
      <x:c r="P1258" t="str">
        <x:v>short</x:v>
      </x:c>
      <x:c r="Q1258" t="str">
        <x:v>middle</x:v>
      </x:c>
      <x:c r="R1258" t="n">
        <x:v>-4</x:v>
      </x:c>
      <x:c r="S1258" t="n">
        <x:v>3</x:v>
      </x:c>
      <x:c r="T1258"/>
      <x:c r="U1258"/>
      <x:c r="V1258" t="n">
        <x:v>1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/>
      <x:c r="AC1258" t="n">
        <x:v>0</x:v>
      </x:c>
      <x:c r="AD1258" t="n">
        <x:v>-0.4973206161521375</x:v>
      </x:c>
      <x:c r="AE1258" t="n">
        <x:v>0</x:v>
      </x:c>
      <x:c r="AF1258" t="n">
        <x:v>-0.05646824836730957</x:v>
      </x:c>
      <x:c r="AG1258" t="n">
        <x:f>_xlfn.XLOOKUP($A1258,Games!$A$2:$A$18,Games!$B$2:$B$18,"Missing game",0)</x:f>
        <x:v>2025</x:v>
      </x:c>
      <x:c r="AH1258" t="str">
        <x:f>_xlfn.XLOOKUP($A1258,Games!$A$2:$A$18,Games!$C$2:$C$18,"Missing game",0)</x:f>
        <x:v>REG</x:v>
      </x:c>
      <x:c r="AI1258" t="n">
        <x:f>_xlfn.XLOOKUP($A1258,Games!$A$2:$A$18,Games!$D$2:$D$18,"Missing game",0)</x:f>
        <x:v>9</x:v>
      </x:c>
      <x:c r="AJ1258" s="1" t="n">
        <x:f>_xlfn.XLOOKUP($A1258,Games!$A$2:$A$18,Games!$E$2:$E$18,"Missing game",0)</x:f>
        <x:v>45963</x:v>
      </x:c>
      <x:c r="AK1258" t="str">
        <x:f>_xlfn.XLOOKUP($A1258,Games!$A$2:$A$18,Games!$F$2:$F$18,"Missing game",0)</x:f>
        <x:v>Sunday</x:v>
      </x:c>
      <x:c r="AL1258" t="str">
        <x:f>_xlfn.XLOOKUP($A1258,Games!$A$2:$A$18,Games!$G$2:$G$18,"Missing game",0)</x:f>
        <x:v>MIN</x:v>
      </x:c>
      <x:c r="AM1258" t="n">
        <x:f>_xlfn.XLOOKUP($A1258,Games!$A$2:$A$18,Games!$H$2:$H$18,"Missing game",0)</x:f>
        <x:v>27</x:v>
      </x:c>
      <x:c r="AN1258" t="str">
        <x:f>_xlfn.XLOOKUP($A1258,Games!$A$2:$A$18,Games!$I$2:$I$18,"Missing game",0)</x:f>
        <x:v>DET</x:v>
      </x:c>
      <x:c r="AO1258" t="n">
        <x:f>_xlfn.XLOOKUP($A1258,Games!$A$2:$A$18,Games!$J$2:$J$18,"Missing game",0)</x:f>
        <x:v>24</x:v>
      </x:c>
      <x:c r="AP1258" t="n">
        <x:f>_xlfn.XLOOKUP($A1258,Games!$A$2:$A$18,Games!$K$2:$K$18,"Missing game",0)</x:f>
        <x:v>-3</x:v>
      </x:c>
      <x:c r="AQ1258" t="n">
        <x:f>_xlfn.XLOOKUP($A1258,Games!$A$2:$A$18,Games!$L$2:$L$18,"Missing game",0)</x:f>
        <x:v>51</x:v>
      </x:c>
      <x:c r="AR1258" t="n">
        <x:f>_xlfn.XLOOKUP($A1258,Games!$A$2:$A$18,Games!$M$2:$M$18,"Missing game",0)</x:f>
        <x:v>0</x:v>
      </x:c>
      <x:c r="AS1258" t="str">
        <x:f>_xlfn.XLOOKUP($A1258,Games!$A$2:$A$18,Games!$N$2:$N$18,"Missing game",0)</x:f>
        <x:v>dome</x:v>
      </x:c>
      <x:c r="AT1258" t="str">
        <x:f>_xlfn.XLOOKUP($A1258,Games!$A$2:$A$18,Games!$O$2:$O$18,"Missing game",0)</x:f>
        <x:v>fieldturf</x:v>
      </x:c>
      <x:c r="AU1258" t="str">
        <x:f>_xlfn.XLOOKUP($A1258,Games!$A$2:$A$18,Games!$P$2:$P$18,"Missing game",0)</x:f>
      </x:c>
      <x:c r="AV1258" t="str">
        <x:f>_xlfn.XLOOKUP($A1258,Games!$A$2:$A$18,Games!$Q$2:$Q$18,"Missing game",0)</x:f>
      </x:c>
      <x:c r="AW1258" t="str">
        <x:f>_xlfn.XLOOKUP($A1258,Games!$A$2:$A$18,Games!$R$2:$R$18,"Missing game",0)</x:f>
        <x:v>Ford Field</x:v>
      </x:c>
    </x:row>
    <x:row r="1259">
      <x:c r="A1259" t="str">
        <x:v>2025_09_MIN_DET</x:v>
      </x:c>
      <x:c r="B1259" t="n">
        <x:v>2013</x:v>
      </x:c>
      <x:c r="C1259" t="n">
        <x:v>2</x:v>
      </x:c>
      <x:c r="D1259" t="str">
        <x:v>00:37</x:v>
      </x:c>
      <x:c r="E1259" t="n">
        <x:v>3</x:v>
      </x:c>
      <x:c r="F1259" t="n">
        <x:v>11</x:v>
      </x:c>
      <x:c r="G1259" t="str">
        <x:v>DET</x:v>
      </x:c>
      <x:c r="H1259" t="str">
        <x:v>MIN</x:v>
      </x:c>
      <x:c r="I1259" t="str">
        <x:v>DET</x:v>
      </x:c>
      <x:c r="J1259" t="n">
        <x:v>62</x:v>
      </x:c>
      <x:c r="K1259" t="str">
        <x:v>(:37) (Shotgun) 16-J.Goff pass incomplete short middle to 87-S.LaPorta.</x:v>
      </x:c>
      <x:c r="L1259" t="str">
        <x:v>pass</x:v>
      </x:c>
      <x:c r="M1259" t="n">
        <x:v>0</x:v>
      </x:c>
      <x:c r="N1259" t="n">
        <x:v>1</x:v>
      </x:c>
      <x:c r="O1259" t="n">
        <x:v>0</x:v>
      </x:c>
      <x:c r="P1259" t="str">
        <x:v>short</x:v>
      </x:c>
      <x:c r="Q1259" t="str">
        <x:v>middle</x:v>
      </x:c>
      <x:c r="R1259" t="n">
        <x:v>8</x:v>
      </x:c>
      <x:c r="S1259"/>
      <x:c r="T1259"/>
      <x:c r="U1259"/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/>
      <x:c r="AC1259" t="n">
        <x:v>0</x:v>
      </x:c>
      <x:c r="AD1259" t="n">
        <x:v>-0.6828341945074499</x:v>
      </x:c>
      <x:c r="AE1259" t="n">
        <x:v>0</x:v>
      </x:c>
      <x:c r="AF1259" t="n">
        <x:v>-0.025163620710372925</x:v>
      </x:c>
      <x:c r="AG1259" t="n">
        <x:f>_xlfn.XLOOKUP($A1259,Games!$A$2:$A$18,Games!$B$2:$B$18,"Missing game",0)</x:f>
        <x:v>2025</x:v>
      </x:c>
      <x:c r="AH1259" t="str">
        <x:f>_xlfn.XLOOKUP($A1259,Games!$A$2:$A$18,Games!$C$2:$C$18,"Missing game",0)</x:f>
        <x:v>REG</x:v>
      </x:c>
      <x:c r="AI1259" t="n">
        <x:f>_xlfn.XLOOKUP($A1259,Games!$A$2:$A$18,Games!$D$2:$D$18,"Missing game",0)</x:f>
        <x:v>9</x:v>
      </x:c>
      <x:c r="AJ1259" s="1" t="n">
        <x:f>_xlfn.XLOOKUP($A1259,Games!$A$2:$A$18,Games!$E$2:$E$18,"Missing game",0)</x:f>
        <x:v>45963</x:v>
      </x:c>
      <x:c r="AK1259" t="str">
        <x:f>_xlfn.XLOOKUP($A1259,Games!$A$2:$A$18,Games!$F$2:$F$18,"Missing game",0)</x:f>
        <x:v>Sunday</x:v>
      </x:c>
      <x:c r="AL1259" t="str">
        <x:f>_xlfn.XLOOKUP($A1259,Games!$A$2:$A$18,Games!$G$2:$G$18,"Missing game",0)</x:f>
        <x:v>MIN</x:v>
      </x:c>
      <x:c r="AM1259" t="n">
        <x:f>_xlfn.XLOOKUP($A1259,Games!$A$2:$A$18,Games!$H$2:$H$18,"Missing game",0)</x:f>
        <x:v>27</x:v>
      </x:c>
      <x:c r="AN1259" t="str">
        <x:f>_xlfn.XLOOKUP($A1259,Games!$A$2:$A$18,Games!$I$2:$I$18,"Missing game",0)</x:f>
        <x:v>DET</x:v>
      </x:c>
      <x:c r="AO1259" t="n">
        <x:f>_xlfn.XLOOKUP($A1259,Games!$A$2:$A$18,Games!$J$2:$J$18,"Missing game",0)</x:f>
        <x:v>24</x:v>
      </x:c>
      <x:c r="AP1259" t="n">
        <x:f>_xlfn.XLOOKUP($A1259,Games!$A$2:$A$18,Games!$K$2:$K$18,"Missing game",0)</x:f>
        <x:v>-3</x:v>
      </x:c>
      <x:c r="AQ1259" t="n">
        <x:f>_xlfn.XLOOKUP($A1259,Games!$A$2:$A$18,Games!$L$2:$L$18,"Missing game",0)</x:f>
        <x:v>51</x:v>
      </x:c>
      <x:c r="AR1259" t="n">
        <x:f>_xlfn.XLOOKUP($A1259,Games!$A$2:$A$18,Games!$M$2:$M$18,"Missing game",0)</x:f>
        <x:v>0</x:v>
      </x:c>
      <x:c r="AS1259" t="str">
        <x:f>_xlfn.XLOOKUP($A1259,Games!$A$2:$A$18,Games!$N$2:$N$18,"Missing game",0)</x:f>
        <x:v>dome</x:v>
      </x:c>
      <x:c r="AT1259" t="str">
        <x:f>_xlfn.XLOOKUP($A1259,Games!$A$2:$A$18,Games!$O$2:$O$18,"Missing game",0)</x:f>
        <x:v>fieldturf</x:v>
      </x:c>
      <x:c r="AU1259" t="str">
        <x:f>_xlfn.XLOOKUP($A1259,Games!$A$2:$A$18,Games!$P$2:$P$18,"Missing game",0)</x:f>
      </x:c>
      <x:c r="AV1259" t="str">
        <x:f>_xlfn.XLOOKUP($A1259,Games!$A$2:$A$18,Games!$Q$2:$Q$18,"Missing game",0)</x:f>
      </x:c>
      <x:c r="AW1259" t="str">
        <x:f>_xlfn.XLOOKUP($A1259,Games!$A$2:$A$18,Games!$R$2:$R$18,"Missing game",0)</x:f>
        <x:v>Ford Field</x:v>
      </x:c>
    </x:row>
    <x:row r="1260">
      <x:c r="A1260" t="str">
        <x:v>2025_09_MIN_DET</x:v>
      </x:c>
      <x:c r="B1260" t="n">
        <x:v>2025</x:v>
      </x:c>
      <x:c r="C1260" t="n">
        <x:v>2</x:v>
      </x:c>
      <x:c r="D1260" t="str">
        <x:v>00:37</x:v>
      </x:c>
      <x:c r="E1260"/>
      <x:c r="F1260" t="n">
        <x:v>0</x:v>
      </x:c>
      <x:c r="G1260"/>
      <x:c r="H1260"/>
      <x:c r="I1260"/>
      <x:c r="J1260"/>
      <x:c r="K1260" t="str">
        <x:v>Timeout #1 by DET at 00:37.</x:v>
      </x:c>
      <x:c r="L1260" t="str">
        <x:v>no_play</x:v>
      </x:c>
      <x:c r="M1260" t="n">
        <x:v>0</x:v>
      </x:c>
      <x:c r="N1260" t="n">
        <x:v>0</x:v>
      </x:c>
      <x:c r="O1260" t="n">
        <x:v>0</x:v>
      </x:c>
      <x:c r="P1260"/>
      <x:c r="Q1260"/>
      <x:c r="R1260"/>
      <x:c r="S1260"/>
      <x:c r="T1260"/>
      <x:c r="U1260"/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/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f>_xlfn.XLOOKUP($A1260,Games!$A$2:$A$18,Games!$B$2:$B$18,"Missing game",0)</x:f>
        <x:v>2025</x:v>
      </x:c>
      <x:c r="AH1260" t="str">
        <x:f>_xlfn.XLOOKUP($A1260,Games!$A$2:$A$18,Games!$C$2:$C$18,"Missing game",0)</x:f>
        <x:v>REG</x:v>
      </x:c>
      <x:c r="AI1260" t="n">
        <x:f>_xlfn.XLOOKUP($A1260,Games!$A$2:$A$18,Games!$D$2:$D$18,"Missing game",0)</x:f>
        <x:v>9</x:v>
      </x:c>
      <x:c r="AJ1260" s="1" t="n">
        <x:f>_xlfn.XLOOKUP($A1260,Games!$A$2:$A$18,Games!$E$2:$E$18,"Missing game",0)</x:f>
        <x:v>45963</x:v>
      </x:c>
      <x:c r="AK1260" t="str">
        <x:f>_xlfn.XLOOKUP($A1260,Games!$A$2:$A$18,Games!$F$2:$F$18,"Missing game",0)</x:f>
        <x:v>Sunday</x:v>
      </x:c>
      <x:c r="AL1260" t="str">
        <x:f>_xlfn.XLOOKUP($A1260,Games!$A$2:$A$18,Games!$G$2:$G$18,"Missing game",0)</x:f>
        <x:v>MIN</x:v>
      </x:c>
      <x:c r="AM1260" t="n">
        <x:f>_xlfn.XLOOKUP($A1260,Games!$A$2:$A$18,Games!$H$2:$H$18,"Missing game",0)</x:f>
        <x:v>27</x:v>
      </x:c>
      <x:c r="AN1260" t="str">
        <x:f>_xlfn.XLOOKUP($A1260,Games!$A$2:$A$18,Games!$I$2:$I$18,"Missing game",0)</x:f>
        <x:v>DET</x:v>
      </x:c>
      <x:c r="AO1260" t="n">
        <x:f>_xlfn.XLOOKUP($A1260,Games!$A$2:$A$18,Games!$J$2:$J$18,"Missing game",0)</x:f>
        <x:v>24</x:v>
      </x:c>
      <x:c r="AP1260" t="n">
        <x:f>_xlfn.XLOOKUP($A1260,Games!$A$2:$A$18,Games!$K$2:$K$18,"Missing game",0)</x:f>
        <x:v>-3</x:v>
      </x:c>
      <x:c r="AQ1260" t="n">
        <x:f>_xlfn.XLOOKUP($A1260,Games!$A$2:$A$18,Games!$L$2:$L$18,"Missing game",0)</x:f>
        <x:v>51</x:v>
      </x:c>
      <x:c r="AR1260" t="n">
        <x:f>_xlfn.XLOOKUP($A1260,Games!$A$2:$A$18,Games!$M$2:$M$18,"Missing game",0)</x:f>
        <x:v>0</x:v>
      </x:c>
      <x:c r="AS1260" t="str">
        <x:f>_xlfn.XLOOKUP($A1260,Games!$A$2:$A$18,Games!$N$2:$N$18,"Missing game",0)</x:f>
        <x:v>dome</x:v>
      </x:c>
      <x:c r="AT1260" t="str">
        <x:f>_xlfn.XLOOKUP($A1260,Games!$A$2:$A$18,Games!$O$2:$O$18,"Missing game",0)</x:f>
        <x:v>fieldturf</x:v>
      </x:c>
      <x:c r="AU1260" t="str">
        <x:f>_xlfn.XLOOKUP($A1260,Games!$A$2:$A$18,Games!$P$2:$P$18,"Missing game",0)</x:f>
      </x:c>
      <x:c r="AV1260" t="str">
        <x:f>_xlfn.XLOOKUP($A1260,Games!$A$2:$A$18,Games!$Q$2:$Q$18,"Missing game",0)</x:f>
      </x:c>
      <x:c r="AW1260" t="str">
        <x:f>_xlfn.XLOOKUP($A1260,Games!$A$2:$A$18,Games!$R$2:$R$18,"Missing game",0)</x:f>
        <x:v>Ford Field</x:v>
      </x:c>
    </x:row>
    <x:row r="1261">
      <x:c r="A1261" t="str">
        <x:v>2025_09_MIN_DET</x:v>
      </x:c>
      <x:c r="B1261" t="n">
        <x:v>2043</x:v>
      </x:c>
      <x:c r="C1261" t="n">
        <x:v>2</x:v>
      </x:c>
      <x:c r="D1261" t="str">
        <x:v>00:35</x:v>
      </x:c>
      <x:c r="E1261" t="n">
        <x:v>4</x:v>
      </x:c>
      <x:c r="F1261" t="n">
        <x:v>11</x:v>
      </x:c>
      <x:c r="G1261" t="str">
        <x:v>DET</x:v>
      </x:c>
      <x:c r="H1261" t="str">
        <x:v>MIN</x:v>
      </x:c>
      <x:c r="I1261" t="str">
        <x:v>DET</x:v>
      </x:c>
      <x:c r="J1261" t="n">
        <x:v>62</x:v>
      </x:c>
      <x:c r="K1261" t="str">
        <x:v>(:35) 3-J.Fox punts 58 yards to MIN 4, Center-49-H.Hatten. 4-M.Price to MIN 11 for 7 yards (33-S.Vaki).</x:v>
      </x:c>
      <x:c r="L1261" t="str">
        <x:v>punt</x:v>
      </x:c>
      <x:c r="M1261" t="n">
        <x:v>0</x:v>
      </x:c>
      <x:c r="N1261" t="n">
        <x:v>0</x:v>
      </x:c>
      <x:c r="O1261" t="n">
        <x:v>0</x:v>
      </x:c>
      <x:c r="P1261"/>
      <x:c r="Q1261"/>
      <x:c r="R1261"/>
      <x:c r="S1261"/>
      <x:c r="T1261"/>
      <x:c r="U1261"/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/>
      <x:c r="AC1261" t="n">
        <x:v>0</x:v>
      </x:c>
      <x:c r="AD1261" t="n">
        <x:v>0.030436848988756537</x:v>
      </x:c>
      <x:c r="AE1261" t="n">
        <x:v>1</x:v>
      </x:c>
      <x:c r="AF1261" t="n">
        <x:v>0.03951144218444824</x:v>
      </x:c>
      <x:c r="AG1261" t="n">
        <x:f>_xlfn.XLOOKUP($A1261,Games!$A$2:$A$18,Games!$B$2:$B$18,"Missing game",0)</x:f>
        <x:v>2025</x:v>
      </x:c>
      <x:c r="AH1261" t="str">
        <x:f>_xlfn.XLOOKUP($A1261,Games!$A$2:$A$18,Games!$C$2:$C$18,"Missing game",0)</x:f>
        <x:v>REG</x:v>
      </x:c>
      <x:c r="AI1261" t="n">
        <x:f>_xlfn.XLOOKUP($A1261,Games!$A$2:$A$18,Games!$D$2:$D$18,"Missing game",0)</x:f>
        <x:v>9</x:v>
      </x:c>
      <x:c r="AJ1261" s="1" t="n">
        <x:f>_xlfn.XLOOKUP($A1261,Games!$A$2:$A$18,Games!$E$2:$E$18,"Missing game",0)</x:f>
        <x:v>45963</x:v>
      </x:c>
      <x:c r="AK1261" t="str">
        <x:f>_xlfn.XLOOKUP($A1261,Games!$A$2:$A$18,Games!$F$2:$F$18,"Missing game",0)</x:f>
        <x:v>Sunday</x:v>
      </x:c>
      <x:c r="AL1261" t="str">
        <x:f>_xlfn.XLOOKUP($A1261,Games!$A$2:$A$18,Games!$G$2:$G$18,"Missing game",0)</x:f>
        <x:v>MIN</x:v>
      </x:c>
      <x:c r="AM1261" t="n">
        <x:f>_xlfn.XLOOKUP($A1261,Games!$A$2:$A$18,Games!$H$2:$H$18,"Missing game",0)</x:f>
        <x:v>27</x:v>
      </x:c>
      <x:c r="AN1261" t="str">
        <x:f>_xlfn.XLOOKUP($A1261,Games!$A$2:$A$18,Games!$I$2:$I$18,"Missing game",0)</x:f>
        <x:v>DET</x:v>
      </x:c>
      <x:c r="AO1261" t="n">
        <x:f>_xlfn.XLOOKUP($A1261,Games!$A$2:$A$18,Games!$J$2:$J$18,"Missing game",0)</x:f>
        <x:v>24</x:v>
      </x:c>
      <x:c r="AP1261" t="n">
        <x:f>_xlfn.XLOOKUP($A1261,Games!$A$2:$A$18,Games!$K$2:$K$18,"Missing game",0)</x:f>
        <x:v>-3</x:v>
      </x:c>
      <x:c r="AQ1261" t="n">
        <x:f>_xlfn.XLOOKUP($A1261,Games!$A$2:$A$18,Games!$L$2:$L$18,"Missing game",0)</x:f>
        <x:v>51</x:v>
      </x:c>
      <x:c r="AR1261" t="n">
        <x:f>_xlfn.XLOOKUP($A1261,Games!$A$2:$A$18,Games!$M$2:$M$18,"Missing game",0)</x:f>
        <x:v>0</x:v>
      </x:c>
      <x:c r="AS1261" t="str">
        <x:f>_xlfn.XLOOKUP($A1261,Games!$A$2:$A$18,Games!$N$2:$N$18,"Missing game",0)</x:f>
        <x:v>dome</x:v>
      </x:c>
      <x:c r="AT1261" t="str">
        <x:f>_xlfn.XLOOKUP($A1261,Games!$A$2:$A$18,Games!$O$2:$O$18,"Missing game",0)</x:f>
        <x:v>fieldturf</x:v>
      </x:c>
      <x:c r="AU1261" t="str">
        <x:f>_xlfn.XLOOKUP($A1261,Games!$A$2:$A$18,Games!$P$2:$P$18,"Missing game",0)</x:f>
      </x:c>
      <x:c r="AV1261" t="str">
        <x:f>_xlfn.XLOOKUP($A1261,Games!$A$2:$A$18,Games!$Q$2:$Q$18,"Missing game",0)</x:f>
      </x:c>
      <x:c r="AW1261" t="str">
        <x:f>_xlfn.XLOOKUP($A1261,Games!$A$2:$A$18,Games!$R$2:$R$18,"Missing game",0)</x:f>
        <x:v>Ford Field</x:v>
      </x:c>
    </x:row>
    <x:row r="1262">
      <x:c r="A1262" t="str">
        <x:v>2025_09_MIN_DET</x:v>
      </x:c>
      <x:c r="B1262" t="n">
        <x:v>2069</x:v>
      </x:c>
      <x:c r="C1262" t="n">
        <x:v>2</x:v>
      </x:c>
      <x:c r="D1262" t="str">
        <x:v>00:21</x:v>
      </x:c>
      <x:c r="E1262" t="n">
        <x:v>1</x:v>
      </x:c>
      <x:c r="F1262" t="n">
        <x:v>10</x:v>
      </x:c>
      <x:c r="G1262" t="str">
        <x:v>MIN</x:v>
      </x:c>
      <x:c r="H1262" t="str">
        <x:v>DET</x:v>
      </x:c>
      <x:c r="I1262" t="str">
        <x:v>MIN</x:v>
      </x:c>
      <x:c r="J1262" t="n">
        <x:v>89</x:v>
      </x:c>
      <x:c r="K1262" t="str">
        <x:v>(:21) 9-J.McCarthy kneels to MIN 10 for -1 yards.</x:v>
      </x:c>
      <x:c r="L1262" t="str">
        <x:v>qb_kneel</x:v>
      </x:c>
      <x:c r="M1262" t="n">
        <x:v>-1</x:v>
      </x:c>
      <x:c r="N1262" t="n">
        <x:v>0</x:v>
      </x:c>
      <x:c r="O1262" t="n">
        <x:v>0</x:v>
      </x:c>
      <x:c r="P1262"/>
      <x:c r="Q1262"/>
      <x:c r="R1262"/>
      <x:c r="S1262"/>
      <x:c r="T1262"/>
      <x:c r="U1262"/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/>
      <x:c r="AC1262" t="n">
        <x:v>0</x:v>
      </x:c>
      <x:c r="AD1262" t="n">
        <x:v>0</x:v>
      </x:c>
      <x:c r="AE1262" t="n">
        <x:v>0</x:v>
      </x:c>
      <x:c r="AF1262"/>
      <x:c r="AG1262" t="n">
        <x:f>_xlfn.XLOOKUP($A1262,Games!$A$2:$A$18,Games!$B$2:$B$18,"Missing game",0)</x:f>
        <x:v>2025</x:v>
      </x:c>
      <x:c r="AH1262" t="str">
        <x:f>_xlfn.XLOOKUP($A1262,Games!$A$2:$A$18,Games!$C$2:$C$18,"Missing game",0)</x:f>
        <x:v>REG</x:v>
      </x:c>
      <x:c r="AI1262" t="n">
        <x:f>_xlfn.XLOOKUP($A1262,Games!$A$2:$A$18,Games!$D$2:$D$18,"Missing game",0)</x:f>
        <x:v>9</x:v>
      </x:c>
      <x:c r="AJ1262" s="1" t="n">
        <x:f>_xlfn.XLOOKUP($A1262,Games!$A$2:$A$18,Games!$E$2:$E$18,"Missing game",0)</x:f>
        <x:v>45963</x:v>
      </x:c>
      <x:c r="AK1262" t="str">
        <x:f>_xlfn.XLOOKUP($A1262,Games!$A$2:$A$18,Games!$F$2:$F$18,"Missing game",0)</x:f>
        <x:v>Sunday</x:v>
      </x:c>
      <x:c r="AL1262" t="str">
        <x:f>_xlfn.XLOOKUP($A1262,Games!$A$2:$A$18,Games!$G$2:$G$18,"Missing game",0)</x:f>
        <x:v>MIN</x:v>
      </x:c>
      <x:c r="AM1262" t="n">
        <x:f>_xlfn.XLOOKUP($A1262,Games!$A$2:$A$18,Games!$H$2:$H$18,"Missing game",0)</x:f>
        <x:v>27</x:v>
      </x:c>
      <x:c r="AN1262" t="str">
        <x:f>_xlfn.XLOOKUP($A1262,Games!$A$2:$A$18,Games!$I$2:$I$18,"Missing game",0)</x:f>
        <x:v>DET</x:v>
      </x:c>
      <x:c r="AO1262" t="n">
        <x:f>_xlfn.XLOOKUP($A1262,Games!$A$2:$A$18,Games!$J$2:$J$18,"Missing game",0)</x:f>
        <x:v>24</x:v>
      </x:c>
      <x:c r="AP1262" t="n">
        <x:f>_xlfn.XLOOKUP($A1262,Games!$A$2:$A$18,Games!$K$2:$K$18,"Missing game",0)</x:f>
        <x:v>-3</x:v>
      </x:c>
      <x:c r="AQ1262" t="n">
        <x:f>_xlfn.XLOOKUP($A1262,Games!$A$2:$A$18,Games!$L$2:$L$18,"Missing game",0)</x:f>
        <x:v>51</x:v>
      </x:c>
      <x:c r="AR1262" t="n">
        <x:f>_xlfn.XLOOKUP($A1262,Games!$A$2:$A$18,Games!$M$2:$M$18,"Missing game",0)</x:f>
        <x:v>0</x:v>
      </x:c>
      <x:c r="AS1262" t="str">
        <x:f>_xlfn.XLOOKUP($A1262,Games!$A$2:$A$18,Games!$N$2:$N$18,"Missing game",0)</x:f>
        <x:v>dome</x:v>
      </x:c>
      <x:c r="AT1262" t="str">
        <x:f>_xlfn.XLOOKUP($A1262,Games!$A$2:$A$18,Games!$O$2:$O$18,"Missing game",0)</x:f>
        <x:v>fieldturf</x:v>
      </x:c>
      <x:c r="AU1262" t="str">
        <x:f>_xlfn.XLOOKUP($A1262,Games!$A$2:$A$18,Games!$P$2:$P$18,"Missing game",0)</x:f>
      </x:c>
      <x:c r="AV1262" t="str">
        <x:f>_xlfn.XLOOKUP($A1262,Games!$A$2:$A$18,Games!$Q$2:$Q$18,"Missing game",0)</x:f>
      </x:c>
      <x:c r="AW1262" t="str">
        <x:f>_xlfn.XLOOKUP($A1262,Games!$A$2:$A$18,Games!$R$2:$R$18,"Missing game",0)</x:f>
        <x:v>Ford Field</x:v>
      </x:c>
    </x:row>
    <x:row r="1263">
      <x:c r="A1263" t="str">
        <x:v>2025_09_MIN_DET</x:v>
      </x:c>
      <x:c r="B1263" t="n">
        <x:v>2091</x:v>
      </x:c>
      <x:c r="C1263" t="n">
        <x:v>2</x:v>
      </x:c>
      <x:c r="D1263" t="str">
        <x:v>00:00</x:v>
      </x:c>
      <x:c r="E1263"/>
      <x:c r="F1263" t="n">
        <x:v>0</x:v>
      </x:c>
      <x:c r="G1263"/>
      <x:c r="H1263"/>
      <x:c r="I1263"/>
      <x:c r="J1263"/>
      <x:c r="K1263" t="str">
        <x:v>END QUARTER 2</x:v>
      </x:c>
      <x:c r="L1263"/>
      <x:c r="M1263"/>
      <x:c r="N1263" t="n">
        <x:v>0</x:v>
      </x:c>
      <x:c r="O1263" t="n">
        <x:v>0</x:v>
      </x:c>
      <x:c r="P1263"/>
      <x:c r="Q1263"/>
      <x:c r="R1263"/>
      <x:c r="S1263"/>
      <x:c r="T1263"/>
      <x:c r="U1263"/>
      <x:c r="V1263"/>
      <x:c r="W1263"/>
      <x:c r="X1263"/>
      <x:c r="Y1263"/>
      <x:c r="Z1263"/>
      <x:c r="AA1263"/>
      <x:c r="AB1263"/>
      <x:c r="AC1263"/>
      <x:c r="AD1263"/>
      <x:c r="AE1263"/>
      <x:c r="AF1263" t="n">
        <x:v>0</x:v>
      </x:c>
      <x:c r="AG1263" t="n">
        <x:f>_xlfn.XLOOKUP($A1263,Games!$A$2:$A$18,Games!$B$2:$B$18,"Missing game",0)</x:f>
        <x:v>2025</x:v>
      </x:c>
      <x:c r="AH1263" t="str">
        <x:f>_xlfn.XLOOKUP($A1263,Games!$A$2:$A$18,Games!$C$2:$C$18,"Missing game",0)</x:f>
        <x:v>REG</x:v>
      </x:c>
      <x:c r="AI1263" t="n">
        <x:f>_xlfn.XLOOKUP($A1263,Games!$A$2:$A$18,Games!$D$2:$D$18,"Missing game",0)</x:f>
        <x:v>9</x:v>
      </x:c>
      <x:c r="AJ1263" s="1" t="n">
        <x:f>_xlfn.XLOOKUP($A1263,Games!$A$2:$A$18,Games!$E$2:$E$18,"Missing game",0)</x:f>
        <x:v>45963</x:v>
      </x:c>
      <x:c r="AK1263" t="str">
        <x:f>_xlfn.XLOOKUP($A1263,Games!$A$2:$A$18,Games!$F$2:$F$18,"Missing game",0)</x:f>
        <x:v>Sunday</x:v>
      </x:c>
      <x:c r="AL1263" t="str">
        <x:f>_xlfn.XLOOKUP($A1263,Games!$A$2:$A$18,Games!$G$2:$G$18,"Missing game",0)</x:f>
        <x:v>MIN</x:v>
      </x:c>
      <x:c r="AM1263" t="n">
        <x:f>_xlfn.XLOOKUP($A1263,Games!$A$2:$A$18,Games!$H$2:$H$18,"Missing game",0)</x:f>
        <x:v>27</x:v>
      </x:c>
      <x:c r="AN1263" t="str">
        <x:f>_xlfn.XLOOKUP($A1263,Games!$A$2:$A$18,Games!$I$2:$I$18,"Missing game",0)</x:f>
        <x:v>DET</x:v>
      </x:c>
      <x:c r="AO1263" t="n">
        <x:f>_xlfn.XLOOKUP($A1263,Games!$A$2:$A$18,Games!$J$2:$J$18,"Missing game",0)</x:f>
        <x:v>24</x:v>
      </x:c>
      <x:c r="AP1263" t="n">
        <x:f>_xlfn.XLOOKUP($A1263,Games!$A$2:$A$18,Games!$K$2:$K$18,"Missing game",0)</x:f>
        <x:v>-3</x:v>
      </x:c>
      <x:c r="AQ1263" t="n">
        <x:f>_xlfn.XLOOKUP($A1263,Games!$A$2:$A$18,Games!$L$2:$L$18,"Missing game",0)</x:f>
        <x:v>51</x:v>
      </x:c>
      <x:c r="AR1263" t="n">
        <x:f>_xlfn.XLOOKUP($A1263,Games!$A$2:$A$18,Games!$M$2:$M$18,"Missing game",0)</x:f>
        <x:v>0</x:v>
      </x:c>
      <x:c r="AS1263" t="str">
        <x:f>_xlfn.XLOOKUP($A1263,Games!$A$2:$A$18,Games!$N$2:$N$18,"Missing game",0)</x:f>
        <x:v>dome</x:v>
      </x:c>
      <x:c r="AT1263" t="str">
        <x:f>_xlfn.XLOOKUP($A1263,Games!$A$2:$A$18,Games!$O$2:$O$18,"Missing game",0)</x:f>
        <x:v>fieldturf</x:v>
      </x:c>
      <x:c r="AU1263" t="str">
        <x:f>_xlfn.XLOOKUP($A1263,Games!$A$2:$A$18,Games!$P$2:$P$18,"Missing game",0)</x:f>
      </x:c>
      <x:c r="AV1263" t="str">
        <x:f>_xlfn.XLOOKUP($A1263,Games!$A$2:$A$18,Games!$Q$2:$Q$18,"Missing game",0)</x:f>
      </x:c>
      <x:c r="AW1263" t="str">
        <x:f>_xlfn.XLOOKUP($A1263,Games!$A$2:$A$18,Games!$R$2:$R$18,"Missing game",0)</x:f>
        <x:v>Ford Field</x:v>
      </x:c>
    </x:row>
    <x:row r="1264">
      <x:c r="A1264" t="str">
        <x:v>2025_09_MIN_DET</x:v>
      </x:c>
      <x:c r="B1264" t="n">
        <x:v>2111</x:v>
      </x:c>
      <x:c r="C1264" t="n">
        <x:v>3</x:v>
      </x:c>
      <x:c r="D1264" t="str">
        <x:v>15:00</x:v>
      </x:c>
      <x:c r="E1264"/>
      <x:c r="F1264" t="n">
        <x:v>0</x:v>
      </x:c>
      <x:c r="G1264" t="str">
        <x:v>MIN</x:v>
      </x:c>
      <x:c r="H1264" t="str">
        <x:v>DET</x:v>
      </x:c>
      <x:c r="I1264" t="str">
        <x:v>DET</x:v>
      </x:c>
      <x:c r="J1264" t="n">
        <x:v>35</x:v>
      </x:c>
      <x:c r="K1264" t="str">
        <x:v>39-J.Bates kicks 56 yards from DET 35 to MIN 9. 4-M.Price to MIN 29 for 20 yards (42-T.Summers; 33-S.Vaki).</x:v>
      </x:c>
      <x:c r="L1264" t="str">
        <x:v>kickoff</x:v>
      </x:c>
      <x:c r="M1264" t="n">
        <x:v>0</x:v>
      </x:c>
      <x:c r="N1264" t="n">
        <x:v>0</x:v>
      </x:c>
      <x:c r="O1264" t="n">
        <x:v>0</x:v>
      </x:c>
      <x:c r="P1264"/>
      <x:c r="Q1264"/>
      <x:c r="R1264"/>
      <x:c r="S1264"/>
      <x:c r="T1264"/>
      <x:c r="U1264"/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/>
      <x:c r="AC1264" t="n">
        <x:v>0</x:v>
      </x:c>
      <x:c r="AD1264" t="n">
        <x:v>0.2885966971516609</x:v>
      </x:c>
      <x:c r="AE1264" t="n">
        <x:v>1</x:v>
      </x:c>
      <x:c r="AF1264" t="n">
        <x:v>0.0020439624786376953</x:v>
      </x:c>
      <x:c r="AG1264" t="n">
        <x:f>_xlfn.XLOOKUP($A1264,Games!$A$2:$A$18,Games!$B$2:$B$18,"Missing game",0)</x:f>
        <x:v>2025</x:v>
      </x:c>
      <x:c r="AH1264" t="str">
        <x:f>_xlfn.XLOOKUP($A1264,Games!$A$2:$A$18,Games!$C$2:$C$18,"Missing game",0)</x:f>
        <x:v>REG</x:v>
      </x:c>
      <x:c r="AI1264" t="n">
        <x:f>_xlfn.XLOOKUP($A1264,Games!$A$2:$A$18,Games!$D$2:$D$18,"Missing game",0)</x:f>
        <x:v>9</x:v>
      </x:c>
      <x:c r="AJ1264" s="1" t="n">
        <x:f>_xlfn.XLOOKUP($A1264,Games!$A$2:$A$18,Games!$E$2:$E$18,"Missing game",0)</x:f>
        <x:v>45963</x:v>
      </x:c>
      <x:c r="AK1264" t="str">
        <x:f>_xlfn.XLOOKUP($A1264,Games!$A$2:$A$18,Games!$F$2:$F$18,"Missing game",0)</x:f>
        <x:v>Sunday</x:v>
      </x:c>
      <x:c r="AL1264" t="str">
        <x:f>_xlfn.XLOOKUP($A1264,Games!$A$2:$A$18,Games!$G$2:$G$18,"Missing game",0)</x:f>
        <x:v>MIN</x:v>
      </x:c>
      <x:c r="AM1264" t="n">
        <x:f>_xlfn.XLOOKUP($A1264,Games!$A$2:$A$18,Games!$H$2:$H$18,"Missing game",0)</x:f>
        <x:v>27</x:v>
      </x:c>
      <x:c r="AN1264" t="str">
        <x:f>_xlfn.XLOOKUP($A1264,Games!$A$2:$A$18,Games!$I$2:$I$18,"Missing game",0)</x:f>
        <x:v>DET</x:v>
      </x:c>
      <x:c r="AO1264" t="n">
        <x:f>_xlfn.XLOOKUP($A1264,Games!$A$2:$A$18,Games!$J$2:$J$18,"Missing game",0)</x:f>
        <x:v>24</x:v>
      </x:c>
      <x:c r="AP1264" t="n">
        <x:f>_xlfn.XLOOKUP($A1264,Games!$A$2:$A$18,Games!$K$2:$K$18,"Missing game",0)</x:f>
        <x:v>-3</x:v>
      </x:c>
      <x:c r="AQ1264" t="n">
        <x:f>_xlfn.XLOOKUP($A1264,Games!$A$2:$A$18,Games!$L$2:$L$18,"Missing game",0)</x:f>
        <x:v>51</x:v>
      </x:c>
      <x:c r="AR1264" t="n">
        <x:f>_xlfn.XLOOKUP($A1264,Games!$A$2:$A$18,Games!$M$2:$M$18,"Missing game",0)</x:f>
        <x:v>0</x:v>
      </x:c>
      <x:c r="AS1264" t="str">
        <x:f>_xlfn.XLOOKUP($A1264,Games!$A$2:$A$18,Games!$N$2:$N$18,"Missing game",0)</x:f>
        <x:v>dome</x:v>
      </x:c>
      <x:c r="AT1264" t="str">
        <x:f>_xlfn.XLOOKUP($A1264,Games!$A$2:$A$18,Games!$O$2:$O$18,"Missing game",0)</x:f>
        <x:v>fieldturf</x:v>
      </x:c>
      <x:c r="AU1264" t="str">
        <x:f>_xlfn.XLOOKUP($A1264,Games!$A$2:$A$18,Games!$P$2:$P$18,"Missing game",0)</x:f>
      </x:c>
      <x:c r="AV1264" t="str">
        <x:f>_xlfn.XLOOKUP($A1264,Games!$A$2:$A$18,Games!$Q$2:$Q$18,"Missing game",0)</x:f>
      </x:c>
      <x:c r="AW1264" t="str">
        <x:f>_xlfn.XLOOKUP($A1264,Games!$A$2:$A$18,Games!$R$2:$R$18,"Missing game",0)</x:f>
        <x:v>Ford Field</x:v>
      </x:c>
    </x:row>
    <x:row r="1265">
      <x:c r="A1265" t="str">
        <x:v>2025_09_MIN_DET</x:v>
      </x:c>
      <x:c r="B1265" t="n">
        <x:v>2134</x:v>
      </x:c>
      <x:c r="C1265" t="n">
        <x:v>3</x:v>
      </x:c>
      <x:c r="D1265" t="str">
        <x:v>14:56</x:v>
      </x:c>
      <x:c r="E1265" t="n">
        <x:v>1</x:v>
      </x:c>
      <x:c r="F1265" t="n">
        <x:v>10</x:v>
      </x:c>
      <x:c r="G1265" t="str">
        <x:v>MIN</x:v>
      </x:c>
      <x:c r="H1265" t="str">
        <x:v>DET</x:v>
      </x:c>
      <x:c r="I1265" t="str">
        <x:v>MIN</x:v>
      </x:c>
      <x:c r="J1265" t="n">
        <x:v>71</x:v>
      </x:c>
      <x:c r="K1265" t="str">
        <x:v>(14:56) 33-A.Jones right tackle to MIN 35 for 6 yards (34-A.Anzalone).</x:v>
      </x:c>
      <x:c r="L1265" t="str">
        <x:v>run</x:v>
      </x:c>
      <x:c r="M1265" t="n">
        <x:v>6</x:v>
      </x:c>
      <x:c r="N1265" t="n">
        <x:v>0</x:v>
      </x:c>
      <x:c r="O1265" t="n">
        <x:v>0</x:v>
      </x:c>
      <x:c r="P1265"/>
      <x:c r="Q1265"/>
      <x:c r="R1265"/>
      <x:c r="S1265"/>
      <x:c r="T1265" t="str">
        <x:v>right</x:v>
      </x:c>
      <x:c r="U1265" t="str">
        <x:v>tackle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/>
      <x:c r="AC1265" t="n">
        <x:v>0</x:v>
      </x:c>
      <x:c r="AD1265" t="n">
        <x:v>0.11904179025441408</x:v>
      </x:c>
      <x:c r="AE1265" t="n">
        <x:v>1</x:v>
      </x:c>
      <x:c r="AF1265" t="n">
        <x:v>0.005299627780914307</x:v>
      </x:c>
      <x:c r="AG1265" t="n">
        <x:f>_xlfn.XLOOKUP($A1265,Games!$A$2:$A$18,Games!$B$2:$B$18,"Missing game",0)</x:f>
        <x:v>2025</x:v>
      </x:c>
      <x:c r="AH1265" t="str">
        <x:f>_xlfn.XLOOKUP($A1265,Games!$A$2:$A$18,Games!$C$2:$C$18,"Missing game",0)</x:f>
        <x:v>REG</x:v>
      </x:c>
      <x:c r="AI1265" t="n">
        <x:f>_xlfn.XLOOKUP($A1265,Games!$A$2:$A$18,Games!$D$2:$D$18,"Missing game",0)</x:f>
        <x:v>9</x:v>
      </x:c>
      <x:c r="AJ1265" s="1" t="n">
        <x:f>_xlfn.XLOOKUP($A1265,Games!$A$2:$A$18,Games!$E$2:$E$18,"Missing game",0)</x:f>
        <x:v>45963</x:v>
      </x:c>
      <x:c r="AK1265" t="str">
        <x:f>_xlfn.XLOOKUP($A1265,Games!$A$2:$A$18,Games!$F$2:$F$18,"Missing game",0)</x:f>
        <x:v>Sunday</x:v>
      </x:c>
      <x:c r="AL1265" t="str">
        <x:f>_xlfn.XLOOKUP($A1265,Games!$A$2:$A$18,Games!$G$2:$G$18,"Missing game",0)</x:f>
        <x:v>MIN</x:v>
      </x:c>
      <x:c r="AM1265" t="n">
        <x:f>_xlfn.XLOOKUP($A1265,Games!$A$2:$A$18,Games!$H$2:$H$18,"Missing game",0)</x:f>
        <x:v>27</x:v>
      </x:c>
      <x:c r="AN1265" t="str">
        <x:f>_xlfn.XLOOKUP($A1265,Games!$A$2:$A$18,Games!$I$2:$I$18,"Missing game",0)</x:f>
        <x:v>DET</x:v>
      </x:c>
      <x:c r="AO1265" t="n">
        <x:f>_xlfn.XLOOKUP($A1265,Games!$A$2:$A$18,Games!$J$2:$J$18,"Missing game",0)</x:f>
        <x:v>24</x:v>
      </x:c>
      <x:c r="AP1265" t="n">
        <x:f>_xlfn.XLOOKUP($A1265,Games!$A$2:$A$18,Games!$K$2:$K$18,"Missing game",0)</x:f>
        <x:v>-3</x:v>
      </x:c>
      <x:c r="AQ1265" t="n">
        <x:f>_xlfn.XLOOKUP($A1265,Games!$A$2:$A$18,Games!$L$2:$L$18,"Missing game",0)</x:f>
        <x:v>51</x:v>
      </x:c>
      <x:c r="AR1265" t="n">
        <x:f>_xlfn.XLOOKUP($A1265,Games!$A$2:$A$18,Games!$M$2:$M$18,"Missing game",0)</x:f>
        <x:v>0</x:v>
      </x:c>
      <x:c r="AS1265" t="str">
        <x:f>_xlfn.XLOOKUP($A1265,Games!$A$2:$A$18,Games!$N$2:$N$18,"Missing game",0)</x:f>
        <x:v>dome</x:v>
      </x:c>
      <x:c r="AT1265" t="str">
        <x:f>_xlfn.XLOOKUP($A1265,Games!$A$2:$A$18,Games!$O$2:$O$18,"Missing game",0)</x:f>
        <x:v>fieldturf</x:v>
      </x:c>
      <x:c r="AU1265" t="str">
        <x:f>_xlfn.XLOOKUP($A1265,Games!$A$2:$A$18,Games!$P$2:$P$18,"Missing game",0)</x:f>
      </x:c>
      <x:c r="AV1265" t="str">
        <x:f>_xlfn.XLOOKUP($A1265,Games!$A$2:$A$18,Games!$Q$2:$Q$18,"Missing game",0)</x:f>
      </x:c>
      <x:c r="AW1265" t="str">
        <x:f>_xlfn.XLOOKUP($A1265,Games!$A$2:$A$18,Games!$R$2:$R$18,"Missing game",0)</x:f>
        <x:v>Ford Field</x:v>
      </x:c>
    </x:row>
    <x:row r="1266">
      <x:c r="A1266" t="str">
        <x:v>2025_09_MIN_DET</x:v>
      </x:c>
      <x:c r="B1266" t="n">
        <x:v>2156</x:v>
      </x:c>
      <x:c r="C1266" t="n">
        <x:v>3</x:v>
      </x:c>
      <x:c r="D1266" t="str">
        <x:v>14:20</x:v>
      </x:c>
      <x:c r="E1266" t="n">
        <x:v>2</x:v>
      </x:c>
      <x:c r="F1266" t="n">
        <x:v>4</x:v>
      </x:c>
      <x:c r="G1266" t="str">
        <x:v>MIN</x:v>
      </x:c>
      <x:c r="H1266" t="str">
        <x:v>DET</x:v>
      </x:c>
      <x:c r="I1266" t="str">
        <x:v>MIN</x:v>
      </x:c>
      <x:c r="J1266" t="n">
        <x:v>65</x:v>
      </x:c>
      <x:c r="K1266" t="str">
        <x:v>(14:20) 33-A.Jones left end pushed ob at MIN 38 for 3 yards (55-D.Barnes).</x:v>
      </x:c>
      <x:c r="L1266" t="str">
        <x:v>run</x:v>
      </x:c>
      <x:c r="M1266" t="n">
        <x:v>3</x:v>
      </x:c>
      <x:c r="N1266" t="n">
        <x:v>0</x:v>
      </x:c>
      <x:c r="O1266" t="n">
        <x:v>0</x:v>
      </x:c>
      <x:c r="P1266"/>
      <x:c r="Q1266"/>
      <x:c r="R1266"/>
      <x:c r="S1266"/>
      <x:c r="T1266" t="str">
        <x:v>left</x:v>
      </x:c>
      <x:c r="U1266" t="str">
        <x:v>end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/>
      <x:c r="AC1266" t="n">
        <x:v>0</x:v>
      </x:c>
      <x:c r="AD1266" t="n">
        <x:v>0.00941298808902502</x:v>
      </x:c>
      <x:c r="AE1266" t="n">
        <x:v>1</x:v>
      </x:c>
      <x:c r="AF1266" t="n">
        <x:v>-0.010754942893981934</x:v>
      </x:c>
      <x:c r="AG1266" t="n">
        <x:f>_xlfn.XLOOKUP($A1266,Games!$A$2:$A$18,Games!$B$2:$B$18,"Missing game",0)</x:f>
        <x:v>2025</x:v>
      </x:c>
      <x:c r="AH1266" t="str">
        <x:f>_xlfn.XLOOKUP($A1266,Games!$A$2:$A$18,Games!$C$2:$C$18,"Missing game",0)</x:f>
        <x:v>REG</x:v>
      </x:c>
      <x:c r="AI1266" t="n">
        <x:f>_xlfn.XLOOKUP($A1266,Games!$A$2:$A$18,Games!$D$2:$D$18,"Missing game",0)</x:f>
        <x:v>9</x:v>
      </x:c>
      <x:c r="AJ1266" s="1" t="n">
        <x:f>_xlfn.XLOOKUP($A1266,Games!$A$2:$A$18,Games!$E$2:$E$18,"Missing game",0)</x:f>
        <x:v>45963</x:v>
      </x:c>
      <x:c r="AK1266" t="str">
        <x:f>_xlfn.XLOOKUP($A1266,Games!$A$2:$A$18,Games!$F$2:$F$18,"Missing game",0)</x:f>
        <x:v>Sunday</x:v>
      </x:c>
      <x:c r="AL1266" t="str">
        <x:f>_xlfn.XLOOKUP($A1266,Games!$A$2:$A$18,Games!$G$2:$G$18,"Missing game",0)</x:f>
        <x:v>MIN</x:v>
      </x:c>
      <x:c r="AM1266" t="n">
        <x:f>_xlfn.XLOOKUP($A1266,Games!$A$2:$A$18,Games!$H$2:$H$18,"Missing game",0)</x:f>
        <x:v>27</x:v>
      </x:c>
      <x:c r="AN1266" t="str">
        <x:f>_xlfn.XLOOKUP($A1266,Games!$A$2:$A$18,Games!$I$2:$I$18,"Missing game",0)</x:f>
        <x:v>DET</x:v>
      </x:c>
      <x:c r="AO1266" t="n">
        <x:f>_xlfn.XLOOKUP($A1266,Games!$A$2:$A$18,Games!$J$2:$J$18,"Missing game",0)</x:f>
        <x:v>24</x:v>
      </x:c>
      <x:c r="AP1266" t="n">
        <x:f>_xlfn.XLOOKUP($A1266,Games!$A$2:$A$18,Games!$K$2:$K$18,"Missing game",0)</x:f>
        <x:v>-3</x:v>
      </x:c>
      <x:c r="AQ1266" t="n">
        <x:f>_xlfn.XLOOKUP($A1266,Games!$A$2:$A$18,Games!$L$2:$L$18,"Missing game",0)</x:f>
        <x:v>51</x:v>
      </x:c>
      <x:c r="AR1266" t="n">
        <x:f>_xlfn.XLOOKUP($A1266,Games!$A$2:$A$18,Games!$M$2:$M$18,"Missing game",0)</x:f>
        <x:v>0</x:v>
      </x:c>
      <x:c r="AS1266" t="str">
        <x:f>_xlfn.XLOOKUP($A1266,Games!$A$2:$A$18,Games!$N$2:$N$18,"Missing game",0)</x:f>
        <x:v>dome</x:v>
      </x:c>
      <x:c r="AT1266" t="str">
        <x:f>_xlfn.XLOOKUP($A1266,Games!$A$2:$A$18,Games!$O$2:$O$18,"Missing game",0)</x:f>
        <x:v>fieldturf</x:v>
      </x:c>
      <x:c r="AU1266" t="str">
        <x:f>_xlfn.XLOOKUP($A1266,Games!$A$2:$A$18,Games!$P$2:$P$18,"Missing game",0)</x:f>
      </x:c>
      <x:c r="AV1266" t="str">
        <x:f>_xlfn.XLOOKUP($A1266,Games!$A$2:$A$18,Games!$Q$2:$Q$18,"Missing game",0)</x:f>
      </x:c>
      <x:c r="AW1266" t="str">
        <x:f>_xlfn.XLOOKUP($A1266,Games!$A$2:$A$18,Games!$R$2:$R$18,"Missing game",0)</x:f>
        <x:v>Ford Field</x:v>
      </x:c>
    </x:row>
    <x:row r="1267">
      <x:c r="A1267" t="str">
        <x:v>2025_09_MIN_DET</x:v>
      </x:c>
      <x:c r="B1267" t="n">
        <x:v>2183</x:v>
      </x:c>
      <x:c r="C1267" t="n">
        <x:v>3</x:v>
      </x:c>
      <x:c r="D1267" t="str">
        <x:v>13:51</x:v>
      </x:c>
      <x:c r="E1267" t="n">
        <x:v>3</x:v>
      </x:c>
      <x:c r="F1267" t="n">
        <x:v>1</x:v>
      </x:c>
      <x:c r="G1267" t="str">
        <x:v>MIN</x:v>
      </x:c>
      <x:c r="H1267" t="str">
        <x:v>DET</x:v>
      </x:c>
      <x:c r="I1267" t="str">
        <x:v>MIN</x:v>
      </x:c>
      <x:c r="J1267" t="n">
        <x:v>62</x:v>
      </x:c>
      <x:c r="K1267" t="str">
        <x:v>(13:51) 27-J.Mason up the middle to MIN 39 for 1 yard (97-A.Hutchinson; 46-J.Campbell). PENALTY on DET-54-A.McNeill, Defensive Offside, 5 yards, enforced at MIN 38 - No Play.</x:v>
      </x:c>
      <x:c r="L1267" t="str">
        <x:v>no_play</x:v>
      </x:c>
      <x:c r="M1267" t="n">
        <x:v>0</x:v>
      </x:c>
      <x:c r="N1267" t="n">
        <x:v>0</x:v>
      </x:c>
      <x:c r="O1267" t="n">
        <x:v>0</x:v>
      </x:c>
      <x:c r="P1267"/>
      <x:c r="Q1267"/>
      <x:c r="R1267"/>
      <x:c r="S1267"/>
      <x:c r="T1267"/>
      <x:c r="U1267"/>
      <x:c r="V1267" t="n">
        <x:v>0</x:v>
      </x:c>
      <x:c r="W1267" t="n">
        <x:v>1</x:v>
      </x:c>
      <x:c r="X1267" t="n">
        <x:v>0</x:v>
      </x:c>
      <x:c r="Y1267" t="n">
        <x:v>0</x:v>
      </x:c>
      <x:c r="Z1267" t="n">
        <x:v>0</x:v>
      </x:c>
      <x:c r="AA1267" t="n">
        <x:v>1</x:v>
      </x:c>
      <x:c r="AB1267" t="n">
        <x:v>5</x:v>
      </x:c>
      <x:c r="AC1267" t="n">
        <x:v>0</x:v>
      </x:c>
      <x:c r="AD1267" t="n">
        <x:v>0.8018276209477335</x:v>
      </x:c>
      <x:c r="AE1267" t="n">
        <x:v>1</x:v>
      </x:c>
      <x:c r="AF1267" t="n">
        <x:v>0.04394650459289551</x:v>
      </x:c>
      <x:c r="AG1267" t="n">
        <x:f>_xlfn.XLOOKUP($A1267,Games!$A$2:$A$18,Games!$B$2:$B$18,"Missing game",0)</x:f>
        <x:v>2025</x:v>
      </x:c>
      <x:c r="AH1267" t="str">
        <x:f>_xlfn.XLOOKUP($A1267,Games!$A$2:$A$18,Games!$C$2:$C$18,"Missing game",0)</x:f>
        <x:v>REG</x:v>
      </x:c>
      <x:c r="AI1267" t="n">
        <x:f>_xlfn.XLOOKUP($A1267,Games!$A$2:$A$18,Games!$D$2:$D$18,"Missing game",0)</x:f>
        <x:v>9</x:v>
      </x:c>
      <x:c r="AJ1267" s="1" t="n">
        <x:f>_xlfn.XLOOKUP($A1267,Games!$A$2:$A$18,Games!$E$2:$E$18,"Missing game",0)</x:f>
        <x:v>45963</x:v>
      </x:c>
      <x:c r="AK1267" t="str">
        <x:f>_xlfn.XLOOKUP($A1267,Games!$A$2:$A$18,Games!$F$2:$F$18,"Missing game",0)</x:f>
        <x:v>Sunday</x:v>
      </x:c>
      <x:c r="AL1267" t="str">
        <x:f>_xlfn.XLOOKUP($A1267,Games!$A$2:$A$18,Games!$G$2:$G$18,"Missing game",0)</x:f>
        <x:v>MIN</x:v>
      </x:c>
      <x:c r="AM1267" t="n">
        <x:f>_xlfn.XLOOKUP($A1267,Games!$A$2:$A$18,Games!$H$2:$H$18,"Missing game",0)</x:f>
        <x:v>27</x:v>
      </x:c>
      <x:c r="AN1267" t="str">
        <x:f>_xlfn.XLOOKUP($A1267,Games!$A$2:$A$18,Games!$I$2:$I$18,"Missing game",0)</x:f>
        <x:v>DET</x:v>
      </x:c>
      <x:c r="AO1267" t="n">
        <x:f>_xlfn.XLOOKUP($A1267,Games!$A$2:$A$18,Games!$J$2:$J$18,"Missing game",0)</x:f>
        <x:v>24</x:v>
      </x:c>
      <x:c r="AP1267" t="n">
        <x:f>_xlfn.XLOOKUP($A1267,Games!$A$2:$A$18,Games!$K$2:$K$18,"Missing game",0)</x:f>
        <x:v>-3</x:v>
      </x:c>
      <x:c r="AQ1267" t="n">
        <x:f>_xlfn.XLOOKUP($A1267,Games!$A$2:$A$18,Games!$L$2:$L$18,"Missing game",0)</x:f>
        <x:v>51</x:v>
      </x:c>
      <x:c r="AR1267" t="n">
        <x:f>_xlfn.XLOOKUP($A1267,Games!$A$2:$A$18,Games!$M$2:$M$18,"Missing game",0)</x:f>
        <x:v>0</x:v>
      </x:c>
      <x:c r="AS1267" t="str">
        <x:f>_xlfn.XLOOKUP($A1267,Games!$A$2:$A$18,Games!$N$2:$N$18,"Missing game",0)</x:f>
        <x:v>dome</x:v>
      </x:c>
      <x:c r="AT1267" t="str">
        <x:f>_xlfn.XLOOKUP($A1267,Games!$A$2:$A$18,Games!$O$2:$O$18,"Missing game",0)</x:f>
        <x:v>fieldturf</x:v>
      </x:c>
      <x:c r="AU1267" t="str">
        <x:f>_xlfn.XLOOKUP($A1267,Games!$A$2:$A$18,Games!$P$2:$P$18,"Missing game",0)</x:f>
      </x:c>
      <x:c r="AV1267" t="str">
        <x:f>_xlfn.XLOOKUP($A1267,Games!$A$2:$A$18,Games!$Q$2:$Q$18,"Missing game",0)</x:f>
      </x:c>
      <x:c r="AW1267" t="str">
        <x:f>_xlfn.XLOOKUP($A1267,Games!$A$2:$A$18,Games!$R$2:$R$18,"Missing game",0)</x:f>
        <x:v>Ford Field</x:v>
      </x:c>
    </x:row>
    <x:row r="1268">
      <x:c r="A1268" t="str">
        <x:v>2025_09_MIN_DET</x:v>
      </x:c>
      <x:c r="B1268" t="n">
        <x:v>2217</x:v>
      </x:c>
      <x:c r="C1268" t="n">
        <x:v>3</x:v>
      </x:c>
      <x:c r="D1268" t="str">
        <x:v>13:29</x:v>
      </x:c>
      <x:c r="E1268" t="n">
        <x:v>1</x:v>
      </x:c>
      <x:c r="F1268" t="n">
        <x:v>10</x:v>
      </x:c>
      <x:c r="G1268" t="str">
        <x:v>MIN</x:v>
      </x:c>
      <x:c r="H1268" t="str">
        <x:v>DET</x:v>
      </x:c>
      <x:c r="I1268" t="str">
        <x:v>MIN</x:v>
      </x:c>
      <x:c r="J1268" t="n">
        <x:v>57</x:v>
      </x:c>
      <x:c r="K1268" t="str">
        <x:v>(13:29) (Shotgun) 9-J.McCarthy pass incomplete deep right to 3-J.Addison.</x:v>
      </x:c>
      <x:c r="L1268" t="str">
        <x:v>pass</x:v>
      </x:c>
      <x:c r="M1268" t="n">
        <x:v>0</x:v>
      </x:c>
      <x:c r="N1268" t="n">
        <x:v>1</x:v>
      </x:c>
      <x:c r="O1268" t="n">
        <x:v>0</x:v>
      </x:c>
      <x:c r="P1268" t="str">
        <x:v>deep</x:v>
      </x:c>
      <x:c r="Q1268" t="str">
        <x:v>right</x:v>
      </x:c>
      <x:c r="R1268" t="n">
        <x:v>31</x:v>
      </x:c>
      <x:c r="S1268"/>
      <x:c r="T1268"/>
      <x:c r="U1268"/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/>
      <x:c r="AC1268" t="n">
        <x:v>0</x:v>
      </x:c>
      <x:c r="AD1268" t="n">
        <x:v>-0.5439926269464195</x:v>
      </x:c>
      <x:c r="AE1268" t="n">
        <x:v>0</x:v>
      </x:c>
      <x:c r="AF1268" t="n">
        <x:v>-0.017249703407287598</x:v>
      </x:c>
      <x:c r="AG1268" t="n">
        <x:f>_xlfn.XLOOKUP($A1268,Games!$A$2:$A$18,Games!$B$2:$B$18,"Missing game",0)</x:f>
        <x:v>2025</x:v>
      </x:c>
      <x:c r="AH1268" t="str">
        <x:f>_xlfn.XLOOKUP($A1268,Games!$A$2:$A$18,Games!$C$2:$C$18,"Missing game",0)</x:f>
        <x:v>REG</x:v>
      </x:c>
      <x:c r="AI1268" t="n">
        <x:f>_xlfn.XLOOKUP($A1268,Games!$A$2:$A$18,Games!$D$2:$D$18,"Missing game",0)</x:f>
        <x:v>9</x:v>
      </x:c>
      <x:c r="AJ1268" s="1" t="n">
        <x:f>_xlfn.XLOOKUP($A1268,Games!$A$2:$A$18,Games!$E$2:$E$18,"Missing game",0)</x:f>
        <x:v>45963</x:v>
      </x:c>
      <x:c r="AK1268" t="str">
        <x:f>_xlfn.XLOOKUP($A1268,Games!$A$2:$A$18,Games!$F$2:$F$18,"Missing game",0)</x:f>
        <x:v>Sunday</x:v>
      </x:c>
      <x:c r="AL1268" t="str">
        <x:f>_xlfn.XLOOKUP($A1268,Games!$A$2:$A$18,Games!$G$2:$G$18,"Missing game",0)</x:f>
        <x:v>MIN</x:v>
      </x:c>
      <x:c r="AM1268" t="n">
        <x:f>_xlfn.XLOOKUP($A1268,Games!$A$2:$A$18,Games!$H$2:$H$18,"Missing game",0)</x:f>
        <x:v>27</x:v>
      </x:c>
      <x:c r="AN1268" t="str">
        <x:f>_xlfn.XLOOKUP($A1268,Games!$A$2:$A$18,Games!$I$2:$I$18,"Missing game",0)</x:f>
        <x:v>DET</x:v>
      </x:c>
      <x:c r="AO1268" t="n">
        <x:f>_xlfn.XLOOKUP($A1268,Games!$A$2:$A$18,Games!$J$2:$J$18,"Missing game",0)</x:f>
        <x:v>24</x:v>
      </x:c>
      <x:c r="AP1268" t="n">
        <x:f>_xlfn.XLOOKUP($A1268,Games!$A$2:$A$18,Games!$K$2:$K$18,"Missing game",0)</x:f>
        <x:v>-3</x:v>
      </x:c>
      <x:c r="AQ1268" t="n">
        <x:f>_xlfn.XLOOKUP($A1268,Games!$A$2:$A$18,Games!$L$2:$L$18,"Missing game",0)</x:f>
        <x:v>51</x:v>
      </x:c>
      <x:c r="AR1268" t="n">
        <x:f>_xlfn.XLOOKUP($A1268,Games!$A$2:$A$18,Games!$M$2:$M$18,"Missing game",0)</x:f>
        <x:v>0</x:v>
      </x:c>
      <x:c r="AS1268" t="str">
        <x:f>_xlfn.XLOOKUP($A1268,Games!$A$2:$A$18,Games!$N$2:$N$18,"Missing game",0)</x:f>
        <x:v>dome</x:v>
      </x:c>
      <x:c r="AT1268" t="str">
        <x:f>_xlfn.XLOOKUP($A1268,Games!$A$2:$A$18,Games!$O$2:$O$18,"Missing game",0)</x:f>
        <x:v>fieldturf</x:v>
      </x:c>
      <x:c r="AU1268" t="str">
        <x:f>_xlfn.XLOOKUP($A1268,Games!$A$2:$A$18,Games!$P$2:$P$18,"Missing game",0)</x:f>
      </x:c>
      <x:c r="AV1268" t="str">
        <x:f>_xlfn.XLOOKUP($A1268,Games!$A$2:$A$18,Games!$Q$2:$Q$18,"Missing game",0)</x:f>
      </x:c>
      <x:c r="AW1268" t="str">
        <x:f>_xlfn.XLOOKUP($A1268,Games!$A$2:$A$18,Games!$R$2:$R$18,"Missing game",0)</x:f>
        <x:v>Ford Field</x:v>
      </x:c>
    </x:row>
    <x:row r="1269">
      <x:c r="A1269" t="str">
        <x:v>2025_09_MIN_DET</x:v>
      </x:c>
      <x:c r="B1269" t="n">
        <x:v>2240</x:v>
      </x:c>
      <x:c r="C1269" t="n">
        <x:v>3</x:v>
      </x:c>
      <x:c r="D1269" t="str">
        <x:v>13:24</x:v>
      </x:c>
      <x:c r="E1269" t="n">
        <x:v>2</x:v>
      </x:c>
      <x:c r="F1269" t="n">
        <x:v>10</x:v>
      </x:c>
      <x:c r="G1269" t="str">
        <x:v>MIN</x:v>
      </x:c>
      <x:c r="H1269" t="str">
        <x:v>DET</x:v>
      </x:c>
      <x:c r="I1269" t="str">
        <x:v>MIN</x:v>
      </x:c>
      <x:c r="J1269" t="n">
        <x:v>57</x:v>
      </x:c>
      <x:c r="K1269" t="str">
        <x:v>(13:24) (Shotgun) 9-J.McCarthy right tackle to 50 for 7 yards (46-J.Campbell).</x:v>
      </x:c>
      <x:c r="L1269" t="str">
        <x:v>run</x:v>
      </x:c>
      <x:c r="M1269" t="n">
        <x:v>7</x:v>
      </x:c>
      <x:c r="N1269" t="n">
        <x:v>1</x:v>
      </x:c>
      <x:c r="O1269" t="n">
        <x:v>0</x:v>
      </x:c>
      <x:c r="P1269"/>
      <x:c r="Q1269"/>
      <x:c r="R1269"/>
      <x:c r="S1269"/>
      <x:c r="T1269" t="str">
        <x:v>right</x:v>
      </x:c>
      <x:c r="U1269" t="str">
        <x:v>tackle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/>
      <x:c r="AC1269" t="n">
        <x:v>0</x:v>
      </x:c>
      <x:c r="AD1269" t="n">
        <x:v>0.08481086743995547</x:v>
      </x:c>
      <x:c r="AE1269" t="n">
        <x:v>1</x:v>
      </x:c>
      <x:c r="AF1269" t="n">
        <x:v>0.024221420288085938</x:v>
      </x:c>
      <x:c r="AG1269" t="n">
        <x:f>_xlfn.XLOOKUP($A1269,Games!$A$2:$A$18,Games!$B$2:$B$18,"Missing game",0)</x:f>
        <x:v>2025</x:v>
      </x:c>
      <x:c r="AH1269" t="str">
        <x:f>_xlfn.XLOOKUP($A1269,Games!$A$2:$A$18,Games!$C$2:$C$18,"Missing game",0)</x:f>
        <x:v>REG</x:v>
      </x:c>
      <x:c r="AI1269" t="n">
        <x:f>_xlfn.XLOOKUP($A1269,Games!$A$2:$A$18,Games!$D$2:$D$18,"Missing game",0)</x:f>
        <x:v>9</x:v>
      </x:c>
      <x:c r="AJ1269" s="1" t="n">
        <x:f>_xlfn.XLOOKUP($A1269,Games!$A$2:$A$18,Games!$E$2:$E$18,"Missing game",0)</x:f>
        <x:v>45963</x:v>
      </x:c>
      <x:c r="AK1269" t="str">
        <x:f>_xlfn.XLOOKUP($A1269,Games!$A$2:$A$18,Games!$F$2:$F$18,"Missing game",0)</x:f>
        <x:v>Sunday</x:v>
      </x:c>
      <x:c r="AL1269" t="str">
        <x:f>_xlfn.XLOOKUP($A1269,Games!$A$2:$A$18,Games!$G$2:$G$18,"Missing game",0)</x:f>
        <x:v>MIN</x:v>
      </x:c>
      <x:c r="AM1269" t="n">
        <x:f>_xlfn.XLOOKUP($A1269,Games!$A$2:$A$18,Games!$H$2:$H$18,"Missing game",0)</x:f>
        <x:v>27</x:v>
      </x:c>
      <x:c r="AN1269" t="str">
        <x:f>_xlfn.XLOOKUP($A1269,Games!$A$2:$A$18,Games!$I$2:$I$18,"Missing game",0)</x:f>
        <x:v>DET</x:v>
      </x:c>
      <x:c r="AO1269" t="n">
        <x:f>_xlfn.XLOOKUP($A1269,Games!$A$2:$A$18,Games!$J$2:$J$18,"Missing game",0)</x:f>
        <x:v>24</x:v>
      </x:c>
      <x:c r="AP1269" t="n">
        <x:f>_xlfn.XLOOKUP($A1269,Games!$A$2:$A$18,Games!$K$2:$K$18,"Missing game",0)</x:f>
        <x:v>-3</x:v>
      </x:c>
      <x:c r="AQ1269" t="n">
        <x:f>_xlfn.XLOOKUP($A1269,Games!$A$2:$A$18,Games!$L$2:$L$18,"Missing game",0)</x:f>
        <x:v>51</x:v>
      </x:c>
      <x:c r="AR1269" t="n">
        <x:f>_xlfn.XLOOKUP($A1269,Games!$A$2:$A$18,Games!$M$2:$M$18,"Missing game",0)</x:f>
        <x:v>0</x:v>
      </x:c>
      <x:c r="AS1269" t="str">
        <x:f>_xlfn.XLOOKUP($A1269,Games!$A$2:$A$18,Games!$N$2:$N$18,"Missing game",0)</x:f>
        <x:v>dome</x:v>
      </x:c>
      <x:c r="AT1269" t="str">
        <x:f>_xlfn.XLOOKUP($A1269,Games!$A$2:$A$18,Games!$O$2:$O$18,"Missing game",0)</x:f>
        <x:v>fieldturf</x:v>
      </x:c>
      <x:c r="AU1269" t="str">
        <x:f>_xlfn.XLOOKUP($A1269,Games!$A$2:$A$18,Games!$P$2:$P$18,"Missing game",0)</x:f>
      </x:c>
      <x:c r="AV1269" t="str">
        <x:f>_xlfn.XLOOKUP($A1269,Games!$A$2:$A$18,Games!$Q$2:$Q$18,"Missing game",0)</x:f>
      </x:c>
      <x:c r="AW1269" t="str">
        <x:f>_xlfn.XLOOKUP($A1269,Games!$A$2:$A$18,Games!$R$2:$R$18,"Missing game",0)</x:f>
        <x:v>Ford Field</x:v>
      </x:c>
    </x:row>
    <x:row r="1270">
      <x:c r="A1270" t="str">
        <x:v>2025_09_MIN_DET</x:v>
      </x:c>
      <x:c r="B1270" t="n">
        <x:v>2262</x:v>
      </x:c>
      <x:c r="C1270" t="n">
        <x:v>3</x:v>
      </x:c>
      <x:c r="D1270" t="str">
        <x:v>12:43</x:v>
      </x:c>
      <x:c r="E1270" t="n">
        <x:v>3</x:v>
      </x:c>
      <x:c r="F1270" t="n">
        <x:v>3</x:v>
      </x:c>
      <x:c r="G1270" t="str">
        <x:v>MIN</x:v>
      </x:c>
      <x:c r="H1270" t="str">
        <x:v>DET</x:v>
      </x:c>
      <x:c r="I1270" t="str">
        <x:v>50</x:v>
      </x:c>
      <x:c r="J1270" t="n">
        <x:v>50</x:v>
      </x:c>
      <x:c r="K1270" t="str">
        <x:v>(12:43) (Shotgun) 9-J.McCarthy pass incomplete short right to 1-J.Nailor.</x:v>
      </x:c>
      <x:c r="L1270" t="str">
        <x:v>pass</x:v>
      </x:c>
      <x:c r="M1270" t="n">
        <x:v>0</x:v>
      </x:c>
      <x:c r="N1270" t="n">
        <x:v>1</x:v>
      </x:c>
      <x:c r="O1270" t="n">
        <x:v>0</x:v>
      </x:c>
      <x:c r="P1270" t="str">
        <x:v>short</x:v>
      </x:c>
      <x:c r="Q1270" t="str">
        <x:v>right</x:v>
      </x:c>
      <x:c r="R1270" t="n">
        <x:v>13</x:v>
      </x:c>
      <x:c r="S1270"/>
      <x:c r="T1270"/>
      <x:c r="U1270"/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/>
      <x:c r="AC1270" t="n">
        <x:v>0</x:v>
      </x:c>
      <x:c r="AD1270" t="n">
        <x:v>-1.952600987860933</x:v>
      </x:c>
      <x:c r="AE1270" t="n">
        <x:v>0</x:v>
      </x:c>
      <x:c r="AF1270" t="n">
        <x:v>-0.04348325729370117</x:v>
      </x:c>
      <x:c r="AG1270" t="n">
        <x:f>_xlfn.XLOOKUP($A1270,Games!$A$2:$A$18,Games!$B$2:$B$18,"Missing game",0)</x:f>
        <x:v>2025</x:v>
      </x:c>
      <x:c r="AH1270" t="str">
        <x:f>_xlfn.XLOOKUP($A1270,Games!$A$2:$A$18,Games!$C$2:$C$18,"Missing game",0)</x:f>
        <x:v>REG</x:v>
      </x:c>
      <x:c r="AI1270" t="n">
        <x:f>_xlfn.XLOOKUP($A1270,Games!$A$2:$A$18,Games!$D$2:$D$18,"Missing game",0)</x:f>
        <x:v>9</x:v>
      </x:c>
      <x:c r="AJ1270" s="1" t="n">
        <x:f>_xlfn.XLOOKUP($A1270,Games!$A$2:$A$18,Games!$E$2:$E$18,"Missing game",0)</x:f>
        <x:v>45963</x:v>
      </x:c>
      <x:c r="AK1270" t="str">
        <x:f>_xlfn.XLOOKUP($A1270,Games!$A$2:$A$18,Games!$F$2:$F$18,"Missing game",0)</x:f>
        <x:v>Sunday</x:v>
      </x:c>
      <x:c r="AL1270" t="str">
        <x:f>_xlfn.XLOOKUP($A1270,Games!$A$2:$A$18,Games!$G$2:$G$18,"Missing game",0)</x:f>
        <x:v>MIN</x:v>
      </x:c>
      <x:c r="AM1270" t="n">
        <x:f>_xlfn.XLOOKUP($A1270,Games!$A$2:$A$18,Games!$H$2:$H$18,"Missing game",0)</x:f>
        <x:v>27</x:v>
      </x:c>
      <x:c r="AN1270" t="str">
        <x:f>_xlfn.XLOOKUP($A1270,Games!$A$2:$A$18,Games!$I$2:$I$18,"Missing game",0)</x:f>
        <x:v>DET</x:v>
      </x:c>
      <x:c r="AO1270" t="n">
        <x:f>_xlfn.XLOOKUP($A1270,Games!$A$2:$A$18,Games!$J$2:$J$18,"Missing game",0)</x:f>
        <x:v>24</x:v>
      </x:c>
      <x:c r="AP1270" t="n">
        <x:f>_xlfn.XLOOKUP($A1270,Games!$A$2:$A$18,Games!$K$2:$K$18,"Missing game",0)</x:f>
        <x:v>-3</x:v>
      </x:c>
      <x:c r="AQ1270" t="n">
        <x:f>_xlfn.XLOOKUP($A1270,Games!$A$2:$A$18,Games!$L$2:$L$18,"Missing game",0)</x:f>
        <x:v>51</x:v>
      </x:c>
      <x:c r="AR1270" t="n">
        <x:f>_xlfn.XLOOKUP($A1270,Games!$A$2:$A$18,Games!$M$2:$M$18,"Missing game",0)</x:f>
        <x:v>0</x:v>
      </x:c>
      <x:c r="AS1270" t="str">
        <x:f>_xlfn.XLOOKUP($A1270,Games!$A$2:$A$18,Games!$N$2:$N$18,"Missing game",0)</x:f>
        <x:v>dome</x:v>
      </x:c>
      <x:c r="AT1270" t="str">
        <x:f>_xlfn.XLOOKUP($A1270,Games!$A$2:$A$18,Games!$O$2:$O$18,"Missing game",0)</x:f>
        <x:v>fieldturf</x:v>
      </x:c>
      <x:c r="AU1270" t="str">
        <x:f>_xlfn.XLOOKUP($A1270,Games!$A$2:$A$18,Games!$P$2:$P$18,"Missing game",0)</x:f>
      </x:c>
      <x:c r="AV1270" t="str">
        <x:f>_xlfn.XLOOKUP($A1270,Games!$A$2:$A$18,Games!$Q$2:$Q$18,"Missing game",0)</x:f>
      </x:c>
      <x:c r="AW1270" t="str">
        <x:f>_xlfn.XLOOKUP($A1270,Games!$A$2:$A$18,Games!$R$2:$R$18,"Missing game",0)</x:f>
        <x:v>Ford Field</x:v>
      </x:c>
    </x:row>
    <x:row r="1271">
      <x:c r="A1271" t="str">
        <x:v>2025_09_MIN_DET</x:v>
      </x:c>
      <x:c r="B1271" t="n">
        <x:v>2285</x:v>
      </x:c>
      <x:c r="C1271" t="n">
        <x:v>3</x:v>
      </x:c>
      <x:c r="D1271" t="str">
        <x:v>12:37</x:v>
      </x:c>
      <x:c r="E1271" t="n">
        <x:v>4</x:v>
      </x:c>
      <x:c r="F1271" t="n">
        <x:v>3</x:v>
      </x:c>
      <x:c r="G1271" t="str">
        <x:v>MIN</x:v>
      </x:c>
      <x:c r="H1271" t="str">
        <x:v>DET</x:v>
      </x:c>
      <x:c r="I1271" t="str">
        <x:v>50</x:v>
      </x:c>
      <x:c r="J1271" t="n">
        <x:v>50</x:v>
      </x:c>
      <x:c r="K1271" t="str">
        <x:v>(12:37) 17-R.Wright punts 42 yards to DET 8, Center-42-A.DePaola, fair catch by 11-K.Raymond.</x:v>
      </x:c>
      <x:c r="L1271" t="str">
        <x:v>punt</x:v>
      </x:c>
      <x:c r="M1271" t="n">
        <x:v>0</x:v>
      </x:c>
      <x:c r="N1271" t="n">
        <x:v>0</x:v>
      </x:c>
      <x:c r="O1271" t="n">
        <x:v>0</x:v>
      </x:c>
      <x:c r="P1271"/>
      <x:c r="Q1271"/>
      <x:c r="R1271"/>
      <x:c r="S1271"/>
      <x:c r="T1271"/>
      <x:c r="U1271"/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/>
      <x:c r="AC1271" t="n">
        <x:v>0</x:v>
      </x:c>
      <x:c r="AD1271" t="n">
        <x:v>-0.23156643728725612</x:v>
      </x:c>
      <x:c r="AE1271" t="n">
        <x:v>0</x:v>
      </x:c>
      <x:c r="AF1271" t="n">
        <x:v>-0.018970340490341187</x:v>
      </x:c>
      <x:c r="AG1271" t="n">
        <x:f>_xlfn.XLOOKUP($A1271,Games!$A$2:$A$18,Games!$B$2:$B$18,"Missing game",0)</x:f>
        <x:v>2025</x:v>
      </x:c>
      <x:c r="AH1271" t="str">
        <x:f>_xlfn.XLOOKUP($A1271,Games!$A$2:$A$18,Games!$C$2:$C$18,"Missing game",0)</x:f>
        <x:v>REG</x:v>
      </x:c>
      <x:c r="AI1271" t="n">
        <x:f>_xlfn.XLOOKUP($A1271,Games!$A$2:$A$18,Games!$D$2:$D$18,"Missing game",0)</x:f>
        <x:v>9</x:v>
      </x:c>
      <x:c r="AJ1271" s="1" t="n">
        <x:f>_xlfn.XLOOKUP($A1271,Games!$A$2:$A$18,Games!$E$2:$E$18,"Missing game",0)</x:f>
        <x:v>45963</x:v>
      </x:c>
      <x:c r="AK1271" t="str">
        <x:f>_xlfn.XLOOKUP($A1271,Games!$A$2:$A$18,Games!$F$2:$F$18,"Missing game",0)</x:f>
        <x:v>Sunday</x:v>
      </x:c>
      <x:c r="AL1271" t="str">
        <x:f>_xlfn.XLOOKUP($A1271,Games!$A$2:$A$18,Games!$G$2:$G$18,"Missing game",0)</x:f>
        <x:v>MIN</x:v>
      </x:c>
      <x:c r="AM1271" t="n">
        <x:f>_xlfn.XLOOKUP($A1271,Games!$A$2:$A$18,Games!$H$2:$H$18,"Missing game",0)</x:f>
        <x:v>27</x:v>
      </x:c>
      <x:c r="AN1271" t="str">
        <x:f>_xlfn.XLOOKUP($A1271,Games!$A$2:$A$18,Games!$I$2:$I$18,"Missing game",0)</x:f>
        <x:v>DET</x:v>
      </x:c>
      <x:c r="AO1271" t="n">
        <x:f>_xlfn.XLOOKUP($A1271,Games!$A$2:$A$18,Games!$J$2:$J$18,"Missing game",0)</x:f>
        <x:v>24</x:v>
      </x:c>
      <x:c r="AP1271" t="n">
        <x:f>_xlfn.XLOOKUP($A1271,Games!$A$2:$A$18,Games!$K$2:$K$18,"Missing game",0)</x:f>
        <x:v>-3</x:v>
      </x:c>
      <x:c r="AQ1271" t="n">
        <x:f>_xlfn.XLOOKUP($A1271,Games!$A$2:$A$18,Games!$L$2:$L$18,"Missing game",0)</x:f>
        <x:v>51</x:v>
      </x:c>
      <x:c r="AR1271" t="n">
        <x:f>_xlfn.XLOOKUP($A1271,Games!$A$2:$A$18,Games!$M$2:$M$18,"Missing game",0)</x:f>
        <x:v>0</x:v>
      </x:c>
      <x:c r="AS1271" t="str">
        <x:f>_xlfn.XLOOKUP($A1271,Games!$A$2:$A$18,Games!$N$2:$N$18,"Missing game",0)</x:f>
        <x:v>dome</x:v>
      </x:c>
      <x:c r="AT1271" t="str">
        <x:f>_xlfn.XLOOKUP($A1271,Games!$A$2:$A$18,Games!$O$2:$O$18,"Missing game",0)</x:f>
        <x:v>fieldturf</x:v>
      </x:c>
      <x:c r="AU1271" t="str">
        <x:f>_xlfn.XLOOKUP($A1271,Games!$A$2:$A$18,Games!$P$2:$P$18,"Missing game",0)</x:f>
      </x:c>
      <x:c r="AV1271" t="str">
        <x:f>_xlfn.XLOOKUP($A1271,Games!$A$2:$A$18,Games!$Q$2:$Q$18,"Missing game",0)</x:f>
      </x:c>
      <x:c r="AW1271" t="str">
        <x:f>_xlfn.XLOOKUP($A1271,Games!$A$2:$A$18,Games!$R$2:$R$18,"Missing game",0)</x:f>
        <x:v>Ford Field</x:v>
      </x:c>
    </x:row>
    <x:row r="1272">
      <x:c r="A1272" t="str">
        <x:v>2025_09_MIN_DET</x:v>
      </x:c>
      <x:c r="B1272" t="n">
        <x:v>2305</x:v>
      </x:c>
      <x:c r="C1272" t="n">
        <x:v>3</x:v>
      </x:c>
      <x:c r="D1272" t="str">
        <x:v>12:31</x:v>
      </x:c>
      <x:c r="E1272" t="n">
        <x:v>1</x:v>
      </x:c>
      <x:c r="F1272" t="n">
        <x:v>10</x:v>
      </x:c>
      <x:c r="G1272" t="str">
        <x:v>DET</x:v>
      </x:c>
      <x:c r="H1272" t="str">
        <x:v>MIN</x:v>
      </x:c>
      <x:c r="I1272" t="str">
        <x:v>DET</x:v>
      </x:c>
      <x:c r="J1272" t="n">
        <x:v>92</x:v>
      </x:c>
      <x:c r="K1272" t="str">
        <x:v>(12:31) 0-J.Gibbs left end to DET 10 for 2 yards (97-J.Hargrave; 58-J.Greenard).</x:v>
      </x:c>
      <x:c r="L1272" t="str">
        <x:v>run</x:v>
      </x:c>
      <x:c r="M1272" t="n">
        <x:v>2</x:v>
      </x:c>
      <x:c r="N1272" t="n">
        <x:v>0</x:v>
      </x:c>
      <x:c r="O1272" t="n">
        <x:v>0</x:v>
      </x:c>
      <x:c r="P1272"/>
      <x:c r="Q1272"/>
      <x:c r="R1272"/>
      <x:c r="S1272"/>
      <x:c r="T1272" t="str">
        <x:v>left</x:v>
      </x:c>
      <x:c r="U1272" t="str">
        <x:v>end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/>
      <x:c r="AC1272" t="n">
        <x:v>0</x:v>
      </x:c>
      <x:c r="AD1272" t="n">
        <x:v>-0.37920842529274523</x:v>
      </x:c>
      <x:c r="AE1272" t="n">
        <x:v>0</x:v>
      </x:c>
      <x:c r="AF1272" t="n">
        <x:v>-0.020833641290664673</x:v>
      </x:c>
      <x:c r="AG1272" t="n">
        <x:f>_xlfn.XLOOKUP($A1272,Games!$A$2:$A$18,Games!$B$2:$B$18,"Missing game",0)</x:f>
        <x:v>2025</x:v>
      </x:c>
      <x:c r="AH1272" t="str">
        <x:f>_xlfn.XLOOKUP($A1272,Games!$A$2:$A$18,Games!$C$2:$C$18,"Missing game",0)</x:f>
        <x:v>REG</x:v>
      </x:c>
      <x:c r="AI1272" t="n">
        <x:f>_xlfn.XLOOKUP($A1272,Games!$A$2:$A$18,Games!$D$2:$D$18,"Missing game",0)</x:f>
        <x:v>9</x:v>
      </x:c>
      <x:c r="AJ1272" s="1" t="n">
        <x:f>_xlfn.XLOOKUP($A1272,Games!$A$2:$A$18,Games!$E$2:$E$18,"Missing game",0)</x:f>
        <x:v>45963</x:v>
      </x:c>
      <x:c r="AK1272" t="str">
        <x:f>_xlfn.XLOOKUP($A1272,Games!$A$2:$A$18,Games!$F$2:$F$18,"Missing game",0)</x:f>
        <x:v>Sunday</x:v>
      </x:c>
      <x:c r="AL1272" t="str">
        <x:f>_xlfn.XLOOKUP($A1272,Games!$A$2:$A$18,Games!$G$2:$G$18,"Missing game",0)</x:f>
        <x:v>MIN</x:v>
      </x:c>
      <x:c r="AM1272" t="n">
        <x:f>_xlfn.XLOOKUP($A1272,Games!$A$2:$A$18,Games!$H$2:$H$18,"Missing game",0)</x:f>
        <x:v>27</x:v>
      </x:c>
      <x:c r="AN1272" t="str">
        <x:f>_xlfn.XLOOKUP($A1272,Games!$A$2:$A$18,Games!$I$2:$I$18,"Missing game",0)</x:f>
        <x:v>DET</x:v>
      </x:c>
      <x:c r="AO1272" t="n">
        <x:f>_xlfn.XLOOKUP($A1272,Games!$A$2:$A$18,Games!$J$2:$J$18,"Missing game",0)</x:f>
        <x:v>24</x:v>
      </x:c>
      <x:c r="AP1272" t="n">
        <x:f>_xlfn.XLOOKUP($A1272,Games!$A$2:$A$18,Games!$K$2:$K$18,"Missing game",0)</x:f>
        <x:v>-3</x:v>
      </x:c>
      <x:c r="AQ1272" t="n">
        <x:f>_xlfn.XLOOKUP($A1272,Games!$A$2:$A$18,Games!$L$2:$L$18,"Missing game",0)</x:f>
        <x:v>51</x:v>
      </x:c>
      <x:c r="AR1272" t="n">
        <x:f>_xlfn.XLOOKUP($A1272,Games!$A$2:$A$18,Games!$M$2:$M$18,"Missing game",0)</x:f>
        <x:v>0</x:v>
      </x:c>
      <x:c r="AS1272" t="str">
        <x:f>_xlfn.XLOOKUP($A1272,Games!$A$2:$A$18,Games!$N$2:$N$18,"Missing game",0)</x:f>
        <x:v>dome</x:v>
      </x:c>
      <x:c r="AT1272" t="str">
        <x:f>_xlfn.XLOOKUP($A1272,Games!$A$2:$A$18,Games!$O$2:$O$18,"Missing game",0)</x:f>
        <x:v>fieldturf</x:v>
      </x:c>
      <x:c r="AU1272" t="str">
        <x:f>_xlfn.XLOOKUP($A1272,Games!$A$2:$A$18,Games!$P$2:$P$18,"Missing game",0)</x:f>
      </x:c>
      <x:c r="AV1272" t="str">
        <x:f>_xlfn.XLOOKUP($A1272,Games!$A$2:$A$18,Games!$Q$2:$Q$18,"Missing game",0)</x:f>
      </x:c>
      <x:c r="AW1272" t="str">
        <x:f>_xlfn.XLOOKUP($A1272,Games!$A$2:$A$18,Games!$R$2:$R$18,"Missing game",0)</x:f>
        <x:v>Ford Field</x:v>
      </x:c>
    </x:row>
    <x:row r="1273">
      <x:c r="A1273" t="str">
        <x:v>2025_09_MIN_DET</x:v>
      </x:c>
      <x:c r="B1273" t="n">
        <x:v>2339</x:v>
      </x:c>
      <x:c r="C1273" t="n">
        <x:v>3</x:v>
      </x:c>
      <x:c r="D1273" t="str">
        <x:v>11:56</x:v>
      </x:c>
      <x:c r="E1273" t="n">
        <x:v>2</x:v>
      </x:c>
      <x:c r="F1273" t="n">
        <x:v>8</x:v>
      </x:c>
      <x:c r="G1273" t="str">
        <x:v>DET</x:v>
      </x:c>
      <x:c r="H1273" t="str">
        <x:v>MIN</x:v>
      </x:c>
      <x:c r="I1273" t="str">
        <x:v>DET</x:v>
      </x:c>
      <x:c r="J1273" t="n">
        <x:v>90</x:v>
      </x:c>
      <x:c r="K1273" t="str">
        <x:v>(11:56) (Shotgun) 16-J.Goff pass incomplete short middle to 14-A.St. Brown [93-J.Allen].</x:v>
      </x:c>
      <x:c r="L1273" t="str">
        <x:v>pass</x:v>
      </x:c>
      <x:c r="M1273" t="n">
        <x:v>0</x:v>
      </x:c>
      <x:c r="N1273" t="n">
        <x:v>1</x:v>
      </x:c>
      <x:c r="O1273" t="n">
        <x:v>0</x:v>
      </x:c>
      <x:c r="P1273" t="str">
        <x:v>short</x:v>
      </x:c>
      <x:c r="Q1273" t="str">
        <x:v>middle</x:v>
      </x:c>
      <x:c r="R1273" t="n">
        <x:v>15</x:v>
      </x:c>
      <x:c r="S1273"/>
      <x:c r="T1273"/>
      <x:c r="U1273"/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/>
      <x:c r="AC1273" t="n">
        <x:v>0</x:v>
      </x:c>
      <x:c r="AD1273" t="n">
        <x:v>-0.8132827919907868</x:v>
      </x:c>
      <x:c r="AE1273" t="n">
        <x:v>0</x:v>
      </x:c>
      <x:c r="AF1273" t="n">
        <x:v>-0.03291761875152588</x:v>
      </x:c>
      <x:c r="AG1273" t="n">
        <x:f>_xlfn.XLOOKUP($A1273,Games!$A$2:$A$18,Games!$B$2:$B$18,"Missing game",0)</x:f>
        <x:v>2025</x:v>
      </x:c>
      <x:c r="AH1273" t="str">
        <x:f>_xlfn.XLOOKUP($A1273,Games!$A$2:$A$18,Games!$C$2:$C$18,"Missing game",0)</x:f>
        <x:v>REG</x:v>
      </x:c>
      <x:c r="AI1273" t="n">
        <x:f>_xlfn.XLOOKUP($A1273,Games!$A$2:$A$18,Games!$D$2:$D$18,"Missing game",0)</x:f>
        <x:v>9</x:v>
      </x:c>
      <x:c r="AJ1273" s="1" t="n">
        <x:f>_xlfn.XLOOKUP($A1273,Games!$A$2:$A$18,Games!$E$2:$E$18,"Missing game",0)</x:f>
        <x:v>45963</x:v>
      </x:c>
      <x:c r="AK1273" t="str">
        <x:f>_xlfn.XLOOKUP($A1273,Games!$A$2:$A$18,Games!$F$2:$F$18,"Missing game",0)</x:f>
        <x:v>Sunday</x:v>
      </x:c>
      <x:c r="AL1273" t="str">
        <x:f>_xlfn.XLOOKUP($A1273,Games!$A$2:$A$18,Games!$G$2:$G$18,"Missing game",0)</x:f>
        <x:v>MIN</x:v>
      </x:c>
      <x:c r="AM1273" t="n">
        <x:f>_xlfn.XLOOKUP($A1273,Games!$A$2:$A$18,Games!$H$2:$H$18,"Missing game",0)</x:f>
        <x:v>27</x:v>
      </x:c>
      <x:c r="AN1273" t="str">
        <x:f>_xlfn.XLOOKUP($A1273,Games!$A$2:$A$18,Games!$I$2:$I$18,"Missing game",0)</x:f>
        <x:v>DET</x:v>
      </x:c>
      <x:c r="AO1273" t="n">
        <x:f>_xlfn.XLOOKUP($A1273,Games!$A$2:$A$18,Games!$J$2:$J$18,"Missing game",0)</x:f>
        <x:v>24</x:v>
      </x:c>
      <x:c r="AP1273" t="n">
        <x:f>_xlfn.XLOOKUP($A1273,Games!$A$2:$A$18,Games!$K$2:$K$18,"Missing game",0)</x:f>
        <x:v>-3</x:v>
      </x:c>
      <x:c r="AQ1273" t="n">
        <x:f>_xlfn.XLOOKUP($A1273,Games!$A$2:$A$18,Games!$L$2:$L$18,"Missing game",0)</x:f>
        <x:v>51</x:v>
      </x:c>
      <x:c r="AR1273" t="n">
        <x:f>_xlfn.XLOOKUP($A1273,Games!$A$2:$A$18,Games!$M$2:$M$18,"Missing game",0)</x:f>
        <x:v>0</x:v>
      </x:c>
      <x:c r="AS1273" t="str">
        <x:f>_xlfn.XLOOKUP($A1273,Games!$A$2:$A$18,Games!$N$2:$N$18,"Missing game",0)</x:f>
        <x:v>dome</x:v>
      </x:c>
      <x:c r="AT1273" t="str">
        <x:f>_xlfn.XLOOKUP($A1273,Games!$A$2:$A$18,Games!$O$2:$O$18,"Missing game",0)</x:f>
        <x:v>fieldturf</x:v>
      </x:c>
      <x:c r="AU1273" t="str">
        <x:f>_xlfn.XLOOKUP($A1273,Games!$A$2:$A$18,Games!$P$2:$P$18,"Missing game",0)</x:f>
      </x:c>
      <x:c r="AV1273" t="str">
        <x:f>_xlfn.XLOOKUP($A1273,Games!$A$2:$A$18,Games!$Q$2:$Q$18,"Missing game",0)</x:f>
      </x:c>
      <x:c r="AW1273" t="str">
        <x:f>_xlfn.XLOOKUP($A1273,Games!$A$2:$A$18,Games!$R$2:$R$18,"Missing game",0)</x:f>
        <x:v>Ford Field</x:v>
      </x:c>
    </x:row>
    <x:row r="1274">
      <x:c r="A1274" t="str">
        <x:v>2025_09_MIN_DET</x:v>
      </x:c>
      <x:c r="B1274" t="n">
        <x:v>2362</x:v>
      </x:c>
      <x:c r="C1274" t="n">
        <x:v>3</x:v>
      </x:c>
      <x:c r="D1274" t="str">
        <x:v>11:50</x:v>
      </x:c>
      <x:c r="E1274" t="n">
        <x:v>3</x:v>
      </x:c>
      <x:c r="F1274" t="n">
        <x:v>8</x:v>
      </x:c>
      <x:c r="G1274" t="str">
        <x:v>DET</x:v>
      </x:c>
      <x:c r="H1274" t="str">
        <x:v>MIN</x:v>
      </x:c>
      <x:c r="I1274" t="str">
        <x:v>DET</x:v>
      </x:c>
      <x:c r="J1274" t="n">
        <x:v>90</x:v>
      </x:c>
      <x:c r="K1274" t="str">
        <x:v>(11:50) (Shotgun) 16-J.Goff pass short right to 0-J.Gibbs to DET 16 for 6 yards (51-B.Cashman; 44-J.Metellus).</x:v>
      </x:c>
      <x:c r="L1274" t="str">
        <x:v>pass</x:v>
      </x:c>
      <x:c r="M1274" t="n">
        <x:v>6</x:v>
      </x:c>
      <x:c r="N1274" t="n">
        <x:v>1</x:v>
      </x:c>
      <x:c r="O1274" t="n">
        <x:v>0</x:v>
      </x:c>
      <x:c r="P1274" t="str">
        <x:v>short</x:v>
      </x:c>
      <x:c r="Q1274" t="str">
        <x:v>right</x:v>
      </x:c>
      <x:c r="R1274" t="n">
        <x:v>-5</x:v>
      </x:c>
      <x:c r="S1274" t="n">
        <x:v>11</x:v>
      </x:c>
      <x:c r="T1274"/>
      <x:c r="U1274"/>
      <x:c r="V1274" t="n">
        <x:v>1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/>
      <x:c r="AC1274" t="n">
        <x:v>0</x:v>
      </x:c>
      <x:c r="AD1274" t="n">
        <x:v>-0.690471597481519</x:v>
      </x:c>
      <x:c r="AE1274" t="n">
        <x:v>0</x:v>
      </x:c>
      <x:c r="AF1274" t="n">
        <x:v>-0.009466707706451416</x:v>
      </x:c>
      <x:c r="AG1274" t="n">
        <x:f>_xlfn.XLOOKUP($A1274,Games!$A$2:$A$18,Games!$B$2:$B$18,"Missing game",0)</x:f>
        <x:v>2025</x:v>
      </x:c>
      <x:c r="AH1274" t="str">
        <x:f>_xlfn.XLOOKUP($A1274,Games!$A$2:$A$18,Games!$C$2:$C$18,"Missing game",0)</x:f>
        <x:v>REG</x:v>
      </x:c>
      <x:c r="AI1274" t="n">
        <x:f>_xlfn.XLOOKUP($A1274,Games!$A$2:$A$18,Games!$D$2:$D$18,"Missing game",0)</x:f>
        <x:v>9</x:v>
      </x:c>
      <x:c r="AJ1274" s="1" t="n">
        <x:f>_xlfn.XLOOKUP($A1274,Games!$A$2:$A$18,Games!$E$2:$E$18,"Missing game",0)</x:f>
        <x:v>45963</x:v>
      </x:c>
      <x:c r="AK1274" t="str">
        <x:f>_xlfn.XLOOKUP($A1274,Games!$A$2:$A$18,Games!$F$2:$F$18,"Missing game",0)</x:f>
        <x:v>Sunday</x:v>
      </x:c>
      <x:c r="AL1274" t="str">
        <x:f>_xlfn.XLOOKUP($A1274,Games!$A$2:$A$18,Games!$G$2:$G$18,"Missing game",0)</x:f>
        <x:v>MIN</x:v>
      </x:c>
      <x:c r="AM1274" t="n">
        <x:f>_xlfn.XLOOKUP($A1274,Games!$A$2:$A$18,Games!$H$2:$H$18,"Missing game",0)</x:f>
        <x:v>27</x:v>
      </x:c>
      <x:c r="AN1274" t="str">
        <x:f>_xlfn.XLOOKUP($A1274,Games!$A$2:$A$18,Games!$I$2:$I$18,"Missing game",0)</x:f>
        <x:v>DET</x:v>
      </x:c>
      <x:c r="AO1274" t="n">
        <x:f>_xlfn.XLOOKUP($A1274,Games!$A$2:$A$18,Games!$J$2:$J$18,"Missing game",0)</x:f>
        <x:v>24</x:v>
      </x:c>
      <x:c r="AP1274" t="n">
        <x:f>_xlfn.XLOOKUP($A1274,Games!$A$2:$A$18,Games!$K$2:$K$18,"Missing game",0)</x:f>
        <x:v>-3</x:v>
      </x:c>
      <x:c r="AQ1274" t="n">
        <x:f>_xlfn.XLOOKUP($A1274,Games!$A$2:$A$18,Games!$L$2:$L$18,"Missing game",0)</x:f>
        <x:v>51</x:v>
      </x:c>
      <x:c r="AR1274" t="n">
        <x:f>_xlfn.XLOOKUP($A1274,Games!$A$2:$A$18,Games!$M$2:$M$18,"Missing game",0)</x:f>
        <x:v>0</x:v>
      </x:c>
      <x:c r="AS1274" t="str">
        <x:f>_xlfn.XLOOKUP($A1274,Games!$A$2:$A$18,Games!$N$2:$N$18,"Missing game",0)</x:f>
        <x:v>dome</x:v>
      </x:c>
      <x:c r="AT1274" t="str">
        <x:f>_xlfn.XLOOKUP($A1274,Games!$A$2:$A$18,Games!$O$2:$O$18,"Missing game",0)</x:f>
        <x:v>fieldturf</x:v>
      </x:c>
      <x:c r="AU1274" t="str">
        <x:f>_xlfn.XLOOKUP($A1274,Games!$A$2:$A$18,Games!$P$2:$P$18,"Missing game",0)</x:f>
      </x:c>
      <x:c r="AV1274" t="str">
        <x:f>_xlfn.XLOOKUP($A1274,Games!$A$2:$A$18,Games!$Q$2:$Q$18,"Missing game",0)</x:f>
      </x:c>
      <x:c r="AW1274" t="str">
        <x:f>_xlfn.XLOOKUP($A1274,Games!$A$2:$A$18,Games!$R$2:$R$18,"Missing game",0)</x:f>
        <x:v>Ford Field</x:v>
      </x:c>
    </x:row>
    <x:row r="1275">
      <x:c r="A1275" t="str">
        <x:v>2025_09_MIN_DET</x:v>
      </x:c>
      <x:c r="B1275" t="n">
        <x:v>2398</x:v>
      </x:c>
      <x:c r="C1275" t="n">
        <x:v>3</x:v>
      </x:c>
      <x:c r="D1275" t="str">
        <x:v>11:31</x:v>
      </x:c>
      <x:c r="E1275" t="n">
        <x:v>4</x:v>
      </x:c>
      <x:c r="F1275" t="n">
        <x:v>2</x:v>
      </x:c>
      <x:c r="G1275" t="str">
        <x:v>DET</x:v>
      </x:c>
      <x:c r="H1275" t="str">
        <x:v>MIN</x:v>
      </x:c>
      <x:c r="I1275" t="str">
        <x:v>DET</x:v>
      </x:c>
      <x:c r="J1275" t="n">
        <x:v>84</x:v>
      </x:c>
      <x:c r="K1275" t="str">
        <x:v>(11:31) 3-J.Fox punts 54 yards to MIN 30, Center-49-H.Hatten, fair catch by 4-M.Price.</x:v>
      </x:c>
      <x:c r="L1275" t="str">
        <x:v>punt</x:v>
      </x:c>
      <x:c r="M1275" t="n">
        <x:v>0</x:v>
      </x:c>
      <x:c r="N1275" t="n">
        <x:v>0</x:v>
      </x:c>
      <x:c r="O1275" t="n">
        <x:v>0</x:v>
      </x:c>
      <x:c r="P1275"/>
      <x:c r="Q1275"/>
      <x:c r="R1275"/>
      <x:c r="S1275"/>
      <x:c r="T1275"/>
      <x:c r="U1275"/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/>
      <x:c r="AC1275" t="n">
        <x:v>0</x:v>
      </x:c>
      <x:c r="AD1275" t="n">
        <x:v>0.11135517247021198</x:v>
      </x:c>
      <x:c r="AE1275" t="n">
        <x:v>1</x:v>
      </x:c>
      <x:c r="AF1275" t="n">
        <x:v>0.0385286808013916</x:v>
      </x:c>
      <x:c r="AG1275" t="n">
        <x:f>_xlfn.XLOOKUP($A1275,Games!$A$2:$A$18,Games!$B$2:$B$18,"Missing game",0)</x:f>
        <x:v>2025</x:v>
      </x:c>
      <x:c r="AH1275" t="str">
        <x:f>_xlfn.XLOOKUP($A1275,Games!$A$2:$A$18,Games!$C$2:$C$18,"Missing game",0)</x:f>
        <x:v>REG</x:v>
      </x:c>
      <x:c r="AI1275" t="n">
        <x:f>_xlfn.XLOOKUP($A1275,Games!$A$2:$A$18,Games!$D$2:$D$18,"Missing game",0)</x:f>
        <x:v>9</x:v>
      </x:c>
      <x:c r="AJ1275" s="1" t="n">
        <x:f>_xlfn.XLOOKUP($A1275,Games!$A$2:$A$18,Games!$E$2:$E$18,"Missing game",0)</x:f>
        <x:v>45963</x:v>
      </x:c>
      <x:c r="AK1275" t="str">
        <x:f>_xlfn.XLOOKUP($A1275,Games!$A$2:$A$18,Games!$F$2:$F$18,"Missing game",0)</x:f>
        <x:v>Sunday</x:v>
      </x:c>
      <x:c r="AL1275" t="str">
        <x:f>_xlfn.XLOOKUP($A1275,Games!$A$2:$A$18,Games!$G$2:$G$18,"Missing game",0)</x:f>
        <x:v>MIN</x:v>
      </x:c>
      <x:c r="AM1275" t="n">
        <x:f>_xlfn.XLOOKUP($A1275,Games!$A$2:$A$18,Games!$H$2:$H$18,"Missing game",0)</x:f>
        <x:v>27</x:v>
      </x:c>
      <x:c r="AN1275" t="str">
        <x:f>_xlfn.XLOOKUP($A1275,Games!$A$2:$A$18,Games!$I$2:$I$18,"Missing game",0)</x:f>
        <x:v>DET</x:v>
      </x:c>
      <x:c r="AO1275" t="n">
        <x:f>_xlfn.XLOOKUP($A1275,Games!$A$2:$A$18,Games!$J$2:$J$18,"Missing game",0)</x:f>
        <x:v>24</x:v>
      </x:c>
      <x:c r="AP1275" t="n">
        <x:f>_xlfn.XLOOKUP($A1275,Games!$A$2:$A$18,Games!$K$2:$K$18,"Missing game",0)</x:f>
        <x:v>-3</x:v>
      </x:c>
      <x:c r="AQ1275" t="n">
        <x:f>_xlfn.XLOOKUP($A1275,Games!$A$2:$A$18,Games!$L$2:$L$18,"Missing game",0)</x:f>
        <x:v>51</x:v>
      </x:c>
      <x:c r="AR1275" t="n">
        <x:f>_xlfn.XLOOKUP($A1275,Games!$A$2:$A$18,Games!$M$2:$M$18,"Missing game",0)</x:f>
        <x:v>0</x:v>
      </x:c>
      <x:c r="AS1275" t="str">
        <x:f>_xlfn.XLOOKUP($A1275,Games!$A$2:$A$18,Games!$N$2:$N$18,"Missing game",0)</x:f>
        <x:v>dome</x:v>
      </x:c>
      <x:c r="AT1275" t="str">
        <x:f>_xlfn.XLOOKUP($A1275,Games!$A$2:$A$18,Games!$O$2:$O$18,"Missing game",0)</x:f>
        <x:v>fieldturf</x:v>
      </x:c>
      <x:c r="AU1275" t="str">
        <x:f>_xlfn.XLOOKUP($A1275,Games!$A$2:$A$18,Games!$P$2:$P$18,"Missing game",0)</x:f>
      </x:c>
      <x:c r="AV1275" t="str">
        <x:f>_xlfn.XLOOKUP($A1275,Games!$A$2:$A$18,Games!$Q$2:$Q$18,"Missing game",0)</x:f>
      </x:c>
      <x:c r="AW1275" t="str">
        <x:f>_xlfn.XLOOKUP($A1275,Games!$A$2:$A$18,Games!$R$2:$R$18,"Missing game",0)</x:f>
        <x:v>Ford Field</x:v>
      </x:c>
    </x:row>
    <x:row r="1276">
      <x:c r="A1276" t="str">
        <x:v>2025_09_MIN_DET</x:v>
      </x:c>
      <x:c r="B1276" t="n">
        <x:v>2419</x:v>
      </x:c>
      <x:c r="C1276" t="n">
        <x:v>3</x:v>
      </x:c>
      <x:c r="D1276" t="str">
        <x:v>11:24</x:v>
      </x:c>
      <x:c r="E1276" t="n">
        <x:v>1</x:v>
      </x:c>
      <x:c r="F1276" t="n">
        <x:v>10</x:v>
      </x:c>
      <x:c r="G1276" t="str">
        <x:v>MIN</x:v>
      </x:c>
      <x:c r="H1276" t="str">
        <x:v>DET</x:v>
      </x:c>
      <x:c r="I1276" t="str">
        <x:v>MIN</x:v>
      </x:c>
      <x:c r="J1276" t="n">
        <x:v>70</x:v>
      </x:c>
      <x:c r="K1276" t="str">
        <x:v>(11:24) 9-J.McCarthy pass short middle to 18-J.Jefferson to DET 49 for 21 yards (21-A.Robertson; 46-J.Campbell).</x:v>
      </x:c>
      <x:c r="L1276" t="str">
        <x:v>pass</x:v>
      </x:c>
      <x:c r="M1276" t="n">
        <x:v>21</x:v>
      </x:c>
      <x:c r="N1276" t="n">
        <x:v>0</x:v>
      </x:c>
      <x:c r="O1276" t="n">
        <x:v>0</x:v>
      </x:c>
      <x:c r="P1276" t="str">
        <x:v>short</x:v>
      </x:c>
      <x:c r="Q1276" t="str">
        <x:v>middle</x:v>
      </x:c>
      <x:c r="R1276" t="n">
        <x:v>14</x:v>
      </x:c>
      <x:c r="S1276" t="n">
        <x:v>7</x:v>
      </x:c>
      <x:c r="T1276"/>
      <x:c r="U1276"/>
      <x:c r="V1276" t="n">
        <x:v>1</x:v>
      </x:c>
      <x:c r="W1276" t="n">
        <x:v>1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/>
      <x:c r="AC1276" t="n">
        <x:v>0</x:v>
      </x:c>
      <x:c r="AD1276" t="n">
        <x:v>1.3728603480849415</x:v>
      </x:c>
      <x:c r="AE1276" t="n">
        <x:v>1</x:v>
      </x:c>
      <x:c r="AF1276" t="n">
        <x:v>0.06441354751586914</x:v>
      </x:c>
      <x:c r="AG1276" t="n">
        <x:f>_xlfn.XLOOKUP($A1276,Games!$A$2:$A$18,Games!$B$2:$B$18,"Missing game",0)</x:f>
        <x:v>2025</x:v>
      </x:c>
      <x:c r="AH1276" t="str">
        <x:f>_xlfn.XLOOKUP($A1276,Games!$A$2:$A$18,Games!$C$2:$C$18,"Missing game",0)</x:f>
        <x:v>REG</x:v>
      </x:c>
      <x:c r="AI1276" t="n">
        <x:f>_xlfn.XLOOKUP($A1276,Games!$A$2:$A$18,Games!$D$2:$D$18,"Missing game",0)</x:f>
        <x:v>9</x:v>
      </x:c>
      <x:c r="AJ1276" s="1" t="n">
        <x:f>_xlfn.XLOOKUP($A1276,Games!$A$2:$A$18,Games!$E$2:$E$18,"Missing game",0)</x:f>
        <x:v>45963</x:v>
      </x:c>
      <x:c r="AK1276" t="str">
        <x:f>_xlfn.XLOOKUP($A1276,Games!$A$2:$A$18,Games!$F$2:$F$18,"Missing game",0)</x:f>
        <x:v>Sunday</x:v>
      </x:c>
      <x:c r="AL1276" t="str">
        <x:f>_xlfn.XLOOKUP($A1276,Games!$A$2:$A$18,Games!$G$2:$G$18,"Missing game",0)</x:f>
        <x:v>MIN</x:v>
      </x:c>
      <x:c r="AM1276" t="n">
        <x:f>_xlfn.XLOOKUP($A1276,Games!$A$2:$A$18,Games!$H$2:$H$18,"Missing game",0)</x:f>
        <x:v>27</x:v>
      </x:c>
      <x:c r="AN1276" t="str">
        <x:f>_xlfn.XLOOKUP($A1276,Games!$A$2:$A$18,Games!$I$2:$I$18,"Missing game",0)</x:f>
        <x:v>DET</x:v>
      </x:c>
      <x:c r="AO1276" t="n">
        <x:f>_xlfn.XLOOKUP($A1276,Games!$A$2:$A$18,Games!$J$2:$J$18,"Missing game",0)</x:f>
        <x:v>24</x:v>
      </x:c>
      <x:c r="AP1276" t="n">
        <x:f>_xlfn.XLOOKUP($A1276,Games!$A$2:$A$18,Games!$K$2:$K$18,"Missing game",0)</x:f>
        <x:v>-3</x:v>
      </x:c>
      <x:c r="AQ1276" t="n">
        <x:f>_xlfn.XLOOKUP($A1276,Games!$A$2:$A$18,Games!$L$2:$L$18,"Missing game",0)</x:f>
        <x:v>51</x:v>
      </x:c>
      <x:c r="AR1276" t="n">
        <x:f>_xlfn.XLOOKUP($A1276,Games!$A$2:$A$18,Games!$M$2:$M$18,"Missing game",0)</x:f>
        <x:v>0</x:v>
      </x:c>
      <x:c r="AS1276" t="str">
        <x:f>_xlfn.XLOOKUP($A1276,Games!$A$2:$A$18,Games!$N$2:$N$18,"Missing game",0)</x:f>
        <x:v>dome</x:v>
      </x:c>
      <x:c r="AT1276" t="str">
        <x:f>_xlfn.XLOOKUP($A1276,Games!$A$2:$A$18,Games!$O$2:$O$18,"Missing game",0)</x:f>
        <x:v>fieldturf</x:v>
      </x:c>
      <x:c r="AU1276" t="str">
        <x:f>_xlfn.XLOOKUP($A1276,Games!$A$2:$A$18,Games!$P$2:$P$18,"Missing game",0)</x:f>
      </x:c>
      <x:c r="AV1276" t="str">
        <x:f>_xlfn.XLOOKUP($A1276,Games!$A$2:$A$18,Games!$Q$2:$Q$18,"Missing game",0)</x:f>
      </x:c>
      <x:c r="AW1276" t="str">
        <x:f>_xlfn.XLOOKUP($A1276,Games!$A$2:$A$18,Games!$R$2:$R$18,"Missing game",0)</x:f>
        <x:v>Ford Field</x:v>
      </x:c>
    </x:row>
    <x:row r="1277">
      <x:c r="A1277" t="str">
        <x:v>2025_09_MIN_DET</x:v>
      </x:c>
      <x:c r="B1277" t="n">
        <x:v>2456</x:v>
      </x:c>
      <x:c r="C1277" t="n">
        <x:v>3</x:v>
      </x:c>
      <x:c r="D1277" t="str">
        <x:v>10:47</x:v>
      </x:c>
      <x:c r="E1277" t="n">
        <x:v>1</x:v>
      </x:c>
      <x:c r="F1277" t="n">
        <x:v>10</x:v>
      </x:c>
      <x:c r="G1277" t="str">
        <x:v>MIN</x:v>
      </x:c>
      <x:c r="H1277" t="str">
        <x:v>DET</x:v>
      </x:c>
      <x:c r="I1277" t="str">
        <x:v>DET</x:v>
      </x:c>
      <x:c r="J1277" t="n">
        <x:v>49</x:v>
      </x:c>
      <x:c r="K1277" t="str">
        <x:v>(10:47) 27-J.Mason up the middle to DET 44 for 5 yards (78-T.Lacy; 32-B.Branch).</x:v>
      </x:c>
      <x:c r="L1277" t="str">
        <x:v>run</x:v>
      </x:c>
      <x:c r="M1277" t="n">
        <x:v>5</x:v>
      </x:c>
      <x:c r="N1277" t="n">
        <x:v>0</x:v>
      </x:c>
      <x:c r="O1277" t="n">
        <x:v>0</x:v>
      </x:c>
      <x:c r="P1277"/>
      <x:c r="Q1277"/>
      <x:c r="R1277"/>
      <x:c r="S1277"/>
      <x:c r="T1277" t="str">
        <x:v>middle</x:v>
      </x:c>
      <x:c r="U1277"/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/>
      <x:c r="AC1277" t="n">
        <x:v>0</x:v>
      </x:c>
      <x:c r="AD1277" t="n">
        <x:v>-0.017578787868842483</x:v>
      </x:c>
      <x:c r="AE1277" t="n">
        <x:v>0</x:v>
      </x:c>
      <x:c r="AF1277" t="n">
        <x:v>-0.0106239914894104</x:v>
      </x:c>
      <x:c r="AG1277" t="n">
        <x:f>_xlfn.XLOOKUP($A1277,Games!$A$2:$A$18,Games!$B$2:$B$18,"Missing game",0)</x:f>
        <x:v>2025</x:v>
      </x:c>
      <x:c r="AH1277" t="str">
        <x:f>_xlfn.XLOOKUP($A1277,Games!$A$2:$A$18,Games!$C$2:$C$18,"Missing game",0)</x:f>
        <x:v>REG</x:v>
      </x:c>
      <x:c r="AI1277" t="n">
        <x:f>_xlfn.XLOOKUP($A1277,Games!$A$2:$A$18,Games!$D$2:$D$18,"Missing game",0)</x:f>
        <x:v>9</x:v>
      </x:c>
      <x:c r="AJ1277" s="1" t="n">
        <x:f>_xlfn.XLOOKUP($A1277,Games!$A$2:$A$18,Games!$E$2:$E$18,"Missing game",0)</x:f>
        <x:v>45963</x:v>
      </x:c>
      <x:c r="AK1277" t="str">
        <x:f>_xlfn.XLOOKUP($A1277,Games!$A$2:$A$18,Games!$F$2:$F$18,"Missing game",0)</x:f>
        <x:v>Sunday</x:v>
      </x:c>
      <x:c r="AL1277" t="str">
        <x:f>_xlfn.XLOOKUP($A1277,Games!$A$2:$A$18,Games!$G$2:$G$18,"Missing game",0)</x:f>
        <x:v>MIN</x:v>
      </x:c>
      <x:c r="AM1277" t="n">
        <x:f>_xlfn.XLOOKUP($A1277,Games!$A$2:$A$18,Games!$H$2:$H$18,"Missing game",0)</x:f>
        <x:v>27</x:v>
      </x:c>
      <x:c r="AN1277" t="str">
        <x:f>_xlfn.XLOOKUP($A1277,Games!$A$2:$A$18,Games!$I$2:$I$18,"Missing game",0)</x:f>
        <x:v>DET</x:v>
      </x:c>
      <x:c r="AO1277" t="n">
        <x:f>_xlfn.XLOOKUP($A1277,Games!$A$2:$A$18,Games!$J$2:$J$18,"Missing game",0)</x:f>
        <x:v>24</x:v>
      </x:c>
      <x:c r="AP1277" t="n">
        <x:f>_xlfn.XLOOKUP($A1277,Games!$A$2:$A$18,Games!$K$2:$K$18,"Missing game",0)</x:f>
        <x:v>-3</x:v>
      </x:c>
      <x:c r="AQ1277" t="n">
        <x:f>_xlfn.XLOOKUP($A1277,Games!$A$2:$A$18,Games!$L$2:$L$18,"Missing game",0)</x:f>
        <x:v>51</x:v>
      </x:c>
      <x:c r="AR1277" t="n">
        <x:f>_xlfn.XLOOKUP($A1277,Games!$A$2:$A$18,Games!$M$2:$M$18,"Missing game",0)</x:f>
        <x:v>0</x:v>
      </x:c>
      <x:c r="AS1277" t="str">
        <x:f>_xlfn.XLOOKUP($A1277,Games!$A$2:$A$18,Games!$N$2:$N$18,"Missing game",0)</x:f>
        <x:v>dome</x:v>
      </x:c>
      <x:c r="AT1277" t="str">
        <x:f>_xlfn.XLOOKUP($A1277,Games!$A$2:$A$18,Games!$O$2:$O$18,"Missing game",0)</x:f>
        <x:v>fieldturf</x:v>
      </x:c>
      <x:c r="AU1277" t="str">
        <x:f>_xlfn.XLOOKUP($A1277,Games!$A$2:$A$18,Games!$P$2:$P$18,"Missing game",0)</x:f>
      </x:c>
      <x:c r="AV1277" t="str">
        <x:f>_xlfn.XLOOKUP($A1277,Games!$A$2:$A$18,Games!$Q$2:$Q$18,"Missing game",0)</x:f>
      </x:c>
      <x:c r="AW1277" t="str">
        <x:f>_xlfn.XLOOKUP($A1277,Games!$A$2:$A$18,Games!$R$2:$R$18,"Missing game",0)</x:f>
        <x:v>Ford Field</x:v>
      </x:c>
    </x:row>
    <x:row r="1278">
      <x:c r="A1278" t="str">
        <x:v>2025_09_MIN_DET</x:v>
      </x:c>
      <x:c r="B1278" t="n">
        <x:v>2478</x:v>
      </x:c>
      <x:c r="C1278" t="n">
        <x:v>3</x:v>
      </x:c>
      <x:c r="D1278" t="str">
        <x:v>10:11</x:v>
      </x:c>
      <x:c r="E1278" t="n">
        <x:v>2</x:v>
      </x:c>
      <x:c r="F1278" t="n">
        <x:v>5</x:v>
      </x:c>
      <x:c r="G1278" t="str">
        <x:v>MIN</x:v>
      </x:c>
      <x:c r="H1278" t="str">
        <x:v>DET</x:v>
      </x:c>
      <x:c r="I1278" t="str">
        <x:v>DET</x:v>
      </x:c>
      <x:c r="J1278" t="n">
        <x:v>44</x:v>
      </x:c>
      <x:c r="K1278" t="str">
        <x:v>(10:11) 9-J.McCarthy FUMBLES (Aborted) at DET 45, and recovers at DET 46. 9-J.McCarthy to DET 46 for no gain (91-T.Williams).</x:v>
      </x:c>
      <x:c r="L1278" t="str">
        <x:v>run</x:v>
      </x:c>
      <x:c r="M1278" t="n">
        <x:v>0</x:v>
      </x:c>
      <x:c r="N1278" t="n">
        <x:v>0</x:v>
      </x:c>
      <x:c r="O1278" t="n">
        <x:v>0</x:v>
      </x:c>
      <x:c r="P1278"/>
      <x:c r="Q1278"/>
      <x:c r="R1278"/>
      <x:c r="S1278"/>
      <x:c r="T1278"/>
      <x:c r="U1278"/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/>
      <x:c r="AC1278" t="n">
        <x:v>0</x:v>
      </x:c>
      <x:c r="AD1278" t="n">
        <x:v>-1.1641425399575382</x:v>
      </x:c>
      <x:c r="AE1278" t="n">
        <x:v>0</x:v>
      </x:c>
      <x:c r="AF1278" t="n">
        <x:v>-0.031406521797180176</x:v>
      </x:c>
      <x:c r="AG1278" t="n">
        <x:f>_xlfn.XLOOKUP($A1278,Games!$A$2:$A$18,Games!$B$2:$B$18,"Missing game",0)</x:f>
        <x:v>2025</x:v>
      </x:c>
      <x:c r="AH1278" t="str">
        <x:f>_xlfn.XLOOKUP($A1278,Games!$A$2:$A$18,Games!$C$2:$C$18,"Missing game",0)</x:f>
        <x:v>REG</x:v>
      </x:c>
      <x:c r="AI1278" t="n">
        <x:f>_xlfn.XLOOKUP($A1278,Games!$A$2:$A$18,Games!$D$2:$D$18,"Missing game",0)</x:f>
        <x:v>9</x:v>
      </x:c>
      <x:c r="AJ1278" s="1" t="n">
        <x:f>_xlfn.XLOOKUP($A1278,Games!$A$2:$A$18,Games!$E$2:$E$18,"Missing game",0)</x:f>
        <x:v>45963</x:v>
      </x:c>
      <x:c r="AK1278" t="str">
        <x:f>_xlfn.XLOOKUP($A1278,Games!$A$2:$A$18,Games!$F$2:$F$18,"Missing game",0)</x:f>
        <x:v>Sunday</x:v>
      </x:c>
      <x:c r="AL1278" t="str">
        <x:f>_xlfn.XLOOKUP($A1278,Games!$A$2:$A$18,Games!$G$2:$G$18,"Missing game",0)</x:f>
        <x:v>MIN</x:v>
      </x:c>
      <x:c r="AM1278" t="n">
        <x:f>_xlfn.XLOOKUP($A1278,Games!$A$2:$A$18,Games!$H$2:$H$18,"Missing game",0)</x:f>
        <x:v>27</x:v>
      </x:c>
      <x:c r="AN1278" t="str">
        <x:f>_xlfn.XLOOKUP($A1278,Games!$A$2:$A$18,Games!$I$2:$I$18,"Missing game",0)</x:f>
        <x:v>DET</x:v>
      </x:c>
      <x:c r="AO1278" t="n">
        <x:f>_xlfn.XLOOKUP($A1278,Games!$A$2:$A$18,Games!$J$2:$J$18,"Missing game",0)</x:f>
        <x:v>24</x:v>
      </x:c>
      <x:c r="AP1278" t="n">
        <x:f>_xlfn.XLOOKUP($A1278,Games!$A$2:$A$18,Games!$K$2:$K$18,"Missing game",0)</x:f>
        <x:v>-3</x:v>
      </x:c>
      <x:c r="AQ1278" t="n">
        <x:f>_xlfn.XLOOKUP($A1278,Games!$A$2:$A$18,Games!$L$2:$L$18,"Missing game",0)</x:f>
        <x:v>51</x:v>
      </x:c>
      <x:c r="AR1278" t="n">
        <x:f>_xlfn.XLOOKUP($A1278,Games!$A$2:$A$18,Games!$M$2:$M$18,"Missing game",0)</x:f>
        <x:v>0</x:v>
      </x:c>
      <x:c r="AS1278" t="str">
        <x:f>_xlfn.XLOOKUP($A1278,Games!$A$2:$A$18,Games!$N$2:$N$18,"Missing game",0)</x:f>
        <x:v>dome</x:v>
      </x:c>
      <x:c r="AT1278" t="str">
        <x:f>_xlfn.XLOOKUP($A1278,Games!$A$2:$A$18,Games!$O$2:$O$18,"Missing game",0)</x:f>
        <x:v>fieldturf</x:v>
      </x:c>
      <x:c r="AU1278" t="str">
        <x:f>_xlfn.XLOOKUP($A1278,Games!$A$2:$A$18,Games!$P$2:$P$18,"Missing game",0)</x:f>
      </x:c>
      <x:c r="AV1278" t="str">
        <x:f>_xlfn.XLOOKUP($A1278,Games!$A$2:$A$18,Games!$Q$2:$Q$18,"Missing game",0)</x:f>
      </x:c>
      <x:c r="AW1278" t="str">
        <x:f>_xlfn.XLOOKUP($A1278,Games!$A$2:$A$18,Games!$R$2:$R$18,"Missing game",0)</x:f>
        <x:v>Ford Field</x:v>
      </x:c>
    </x:row>
    <x:row r="1279">
      <x:c r="A1279" t="str">
        <x:v>2025_09_MIN_DET</x:v>
      </x:c>
      <x:c r="B1279" t="n">
        <x:v>2505</x:v>
      </x:c>
      <x:c r="C1279" t="n">
        <x:v>3</x:v>
      </x:c>
      <x:c r="D1279" t="str">
        <x:v>09:30</x:v>
      </x:c>
      <x:c r="E1279" t="n">
        <x:v>3</x:v>
      </x:c>
      <x:c r="F1279" t="n">
        <x:v>7</x:v>
      </x:c>
      <x:c r="G1279" t="str">
        <x:v>MIN</x:v>
      </x:c>
      <x:c r="H1279" t="str">
        <x:v>DET</x:v>
      </x:c>
      <x:c r="I1279" t="str">
        <x:v>DET</x:v>
      </x:c>
      <x:c r="J1279" t="n">
        <x:v>46</x:v>
      </x:c>
      <x:c r="K1279" t="str">
        <x:v>(9:30) (Shotgun) 9-J.McCarthy pass short right to 18-J.Jefferson to DET 35 for 11 yards (21-A.Robertson). Detroit challenged the pass completion ruling, and the play was REVERSED. (Shotgun) 9-J.McCarthy pass incomplete short right to 18-J.Jefferson.</x:v>
      </x:c>
      <x:c r="L1279" t="str">
        <x:v>pass</x:v>
      </x:c>
      <x:c r="M1279" t="n">
        <x:v>0</x:v>
      </x:c>
      <x:c r="N1279" t="n">
        <x:v>1</x:v>
      </x:c>
      <x:c r="O1279" t="n">
        <x:v>0</x:v>
      </x:c>
      <x:c r="P1279" t="str">
        <x:v>short</x:v>
      </x:c>
      <x:c r="Q1279" t="str">
        <x:v>right</x:v>
      </x:c>
      <x:c r="R1279" t="n">
        <x:v>11</x:v>
      </x:c>
      <x:c r="S1279"/>
      <x:c r="T1279"/>
      <x:c r="U1279"/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/>
      <x:c r="AC1279" t="n">
        <x:v>0</x:v>
      </x:c>
      <x:c r="AD1279" t="n">
        <x:v>-1.817724192282185</x:v>
      </x:c>
      <x:c r="AE1279" t="n">
        <x:v>0</x:v>
      </x:c>
      <x:c r="AF1279" t="n">
        <x:v>-0.031037449836730957</x:v>
      </x:c>
      <x:c r="AG1279" t="n">
        <x:f>_xlfn.XLOOKUP($A1279,Games!$A$2:$A$18,Games!$B$2:$B$18,"Missing game",0)</x:f>
        <x:v>2025</x:v>
      </x:c>
      <x:c r="AH1279" t="str">
        <x:f>_xlfn.XLOOKUP($A1279,Games!$A$2:$A$18,Games!$C$2:$C$18,"Missing game",0)</x:f>
        <x:v>REG</x:v>
      </x:c>
      <x:c r="AI1279" t="n">
        <x:f>_xlfn.XLOOKUP($A1279,Games!$A$2:$A$18,Games!$D$2:$D$18,"Missing game",0)</x:f>
        <x:v>9</x:v>
      </x:c>
      <x:c r="AJ1279" s="1" t="n">
        <x:f>_xlfn.XLOOKUP($A1279,Games!$A$2:$A$18,Games!$E$2:$E$18,"Missing game",0)</x:f>
        <x:v>45963</x:v>
      </x:c>
      <x:c r="AK1279" t="str">
        <x:f>_xlfn.XLOOKUP($A1279,Games!$A$2:$A$18,Games!$F$2:$F$18,"Missing game",0)</x:f>
        <x:v>Sunday</x:v>
      </x:c>
      <x:c r="AL1279" t="str">
        <x:f>_xlfn.XLOOKUP($A1279,Games!$A$2:$A$18,Games!$G$2:$G$18,"Missing game",0)</x:f>
        <x:v>MIN</x:v>
      </x:c>
      <x:c r="AM1279" t="n">
        <x:f>_xlfn.XLOOKUP($A1279,Games!$A$2:$A$18,Games!$H$2:$H$18,"Missing game",0)</x:f>
        <x:v>27</x:v>
      </x:c>
      <x:c r="AN1279" t="str">
        <x:f>_xlfn.XLOOKUP($A1279,Games!$A$2:$A$18,Games!$I$2:$I$18,"Missing game",0)</x:f>
        <x:v>DET</x:v>
      </x:c>
      <x:c r="AO1279" t="n">
        <x:f>_xlfn.XLOOKUP($A1279,Games!$A$2:$A$18,Games!$J$2:$J$18,"Missing game",0)</x:f>
        <x:v>24</x:v>
      </x:c>
      <x:c r="AP1279" t="n">
        <x:f>_xlfn.XLOOKUP($A1279,Games!$A$2:$A$18,Games!$K$2:$K$18,"Missing game",0)</x:f>
        <x:v>-3</x:v>
      </x:c>
      <x:c r="AQ1279" t="n">
        <x:f>_xlfn.XLOOKUP($A1279,Games!$A$2:$A$18,Games!$L$2:$L$18,"Missing game",0)</x:f>
        <x:v>51</x:v>
      </x:c>
      <x:c r="AR1279" t="n">
        <x:f>_xlfn.XLOOKUP($A1279,Games!$A$2:$A$18,Games!$M$2:$M$18,"Missing game",0)</x:f>
        <x:v>0</x:v>
      </x:c>
      <x:c r="AS1279" t="str">
        <x:f>_xlfn.XLOOKUP($A1279,Games!$A$2:$A$18,Games!$N$2:$N$18,"Missing game",0)</x:f>
        <x:v>dome</x:v>
      </x:c>
      <x:c r="AT1279" t="str">
        <x:f>_xlfn.XLOOKUP($A1279,Games!$A$2:$A$18,Games!$O$2:$O$18,"Missing game",0)</x:f>
        <x:v>fieldturf</x:v>
      </x:c>
      <x:c r="AU1279" t="str">
        <x:f>_xlfn.XLOOKUP($A1279,Games!$A$2:$A$18,Games!$P$2:$P$18,"Missing game",0)</x:f>
      </x:c>
      <x:c r="AV1279" t="str">
        <x:f>_xlfn.XLOOKUP($A1279,Games!$A$2:$A$18,Games!$Q$2:$Q$18,"Missing game",0)</x:f>
      </x:c>
      <x:c r="AW1279" t="str">
        <x:f>_xlfn.XLOOKUP($A1279,Games!$A$2:$A$18,Games!$R$2:$R$18,"Missing game",0)</x:f>
        <x:v>Ford Field</x:v>
      </x:c>
    </x:row>
    <x:row r="1280">
      <x:c r="A1280" t="str">
        <x:v>2025_09_MIN_DET</x:v>
      </x:c>
      <x:c r="B1280" t="n">
        <x:v>2530</x:v>
      </x:c>
      <x:c r="C1280" t="n">
        <x:v>3</x:v>
      </x:c>
      <x:c r="D1280" t="str">
        <x:v>09:26</x:v>
      </x:c>
      <x:c r="E1280" t="n">
        <x:v>4</x:v>
      </x:c>
      <x:c r="F1280" t="n">
        <x:v>7</x:v>
      </x:c>
      <x:c r="G1280" t="str">
        <x:v>MIN</x:v>
      </x:c>
      <x:c r="H1280" t="str">
        <x:v>DET</x:v>
      </x:c>
      <x:c r="I1280" t="str">
        <x:v>DET</x:v>
      </x:c>
      <x:c r="J1280" t="n">
        <x:v>46</x:v>
      </x:c>
      <x:c r="K1280" t="str">
        <x:v>(9:26) 17-R.Wright punts 39 yards to DET 7, Center-42-A.DePaola. 11-K.Raymond to DET 9 for 2 yards (37-T.Thomas).</x:v>
      </x:c>
      <x:c r="L1280" t="str">
        <x:v>punt</x:v>
      </x:c>
      <x:c r="M1280" t="n">
        <x:v>0</x:v>
      </x:c>
      <x:c r="N1280" t="n">
        <x:v>0</x:v>
      </x:c>
      <x:c r="O1280" t="n">
        <x:v>0</x:v>
      </x:c>
      <x:c r="P1280"/>
      <x:c r="Q1280"/>
      <x:c r="R1280"/>
      <x:c r="S1280"/>
      <x:c r="T1280"/>
      <x:c r="U1280"/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/>
      <x:c r="AC1280" t="n">
        <x:v>0</x:v>
      </x:c>
      <x:c r="AD1280" t="n">
        <x:v>-0.3820133046247065</x:v>
      </x:c>
      <x:c r="AE1280" t="n">
        <x:v>0</x:v>
      </x:c>
      <x:c r="AF1280" t="n">
        <x:v>-0.01349303126335144</x:v>
      </x:c>
      <x:c r="AG1280" t="n">
        <x:f>_xlfn.XLOOKUP($A1280,Games!$A$2:$A$18,Games!$B$2:$B$18,"Missing game",0)</x:f>
        <x:v>2025</x:v>
      </x:c>
      <x:c r="AH1280" t="str">
        <x:f>_xlfn.XLOOKUP($A1280,Games!$A$2:$A$18,Games!$C$2:$C$18,"Missing game",0)</x:f>
        <x:v>REG</x:v>
      </x:c>
      <x:c r="AI1280" t="n">
        <x:f>_xlfn.XLOOKUP($A1280,Games!$A$2:$A$18,Games!$D$2:$D$18,"Missing game",0)</x:f>
        <x:v>9</x:v>
      </x:c>
      <x:c r="AJ1280" s="1" t="n">
        <x:f>_xlfn.XLOOKUP($A1280,Games!$A$2:$A$18,Games!$E$2:$E$18,"Missing game",0)</x:f>
        <x:v>45963</x:v>
      </x:c>
      <x:c r="AK1280" t="str">
        <x:f>_xlfn.XLOOKUP($A1280,Games!$A$2:$A$18,Games!$F$2:$F$18,"Missing game",0)</x:f>
        <x:v>Sunday</x:v>
      </x:c>
      <x:c r="AL1280" t="str">
        <x:f>_xlfn.XLOOKUP($A1280,Games!$A$2:$A$18,Games!$G$2:$G$18,"Missing game",0)</x:f>
        <x:v>MIN</x:v>
      </x:c>
      <x:c r="AM1280" t="n">
        <x:f>_xlfn.XLOOKUP($A1280,Games!$A$2:$A$18,Games!$H$2:$H$18,"Missing game",0)</x:f>
        <x:v>27</x:v>
      </x:c>
      <x:c r="AN1280" t="str">
        <x:f>_xlfn.XLOOKUP($A1280,Games!$A$2:$A$18,Games!$I$2:$I$18,"Missing game",0)</x:f>
        <x:v>DET</x:v>
      </x:c>
      <x:c r="AO1280" t="n">
        <x:f>_xlfn.XLOOKUP($A1280,Games!$A$2:$A$18,Games!$J$2:$J$18,"Missing game",0)</x:f>
        <x:v>24</x:v>
      </x:c>
      <x:c r="AP1280" t="n">
        <x:f>_xlfn.XLOOKUP($A1280,Games!$A$2:$A$18,Games!$K$2:$K$18,"Missing game",0)</x:f>
        <x:v>-3</x:v>
      </x:c>
      <x:c r="AQ1280" t="n">
        <x:f>_xlfn.XLOOKUP($A1280,Games!$A$2:$A$18,Games!$L$2:$L$18,"Missing game",0)</x:f>
        <x:v>51</x:v>
      </x:c>
      <x:c r="AR1280" t="n">
        <x:f>_xlfn.XLOOKUP($A1280,Games!$A$2:$A$18,Games!$M$2:$M$18,"Missing game",0)</x:f>
        <x:v>0</x:v>
      </x:c>
      <x:c r="AS1280" t="str">
        <x:f>_xlfn.XLOOKUP($A1280,Games!$A$2:$A$18,Games!$N$2:$N$18,"Missing game",0)</x:f>
        <x:v>dome</x:v>
      </x:c>
      <x:c r="AT1280" t="str">
        <x:f>_xlfn.XLOOKUP($A1280,Games!$A$2:$A$18,Games!$O$2:$O$18,"Missing game",0)</x:f>
        <x:v>fieldturf</x:v>
      </x:c>
      <x:c r="AU1280" t="str">
        <x:f>_xlfn.XLOOKUP($A1280,Games!$A$2:$A$18,Games!$P$2:$P$18,"Missing game",0)</x:f>
      </x:c>
      <x:c r="AV1280" t="str">
        <x:f>_xlfn.XLOOKUP($A1280,Games!$A$2:$A$18,Games!$Q$2:$Q$18,"Missing game",0)</x:f>
      </x:c>
      <x:c r="AW1280" t="str">
        <x:f>_xlfn.XLOOKUP($A1280,Games!$A$2:$A$18,Games!$R$2:$R$18,"Missing game",0)</x:f>
        <x:v>Ford Field</x:v>
      </x:c>
    </x:row>
    <x:row r="1281">
      <x:c r="A1281" t="str">
        <x:v>2025_09_MIN_DET</x:v>
      </x:c>
      <x:c r="B1281" t="n">
        <x:v>2603</x:v>
      </x:c>
      <x:c r="C1281" t="n">
        <x:v>3</x:v>
      </x:c>
      <x:c r="D1281" t="str">
        <x:v>09:18</x:v>
      </x:c>
      <x:c r="E1281" t="n">
        <x:v>1</x:v>
      </x:c>
      <x:c r="F1281" t="n">
        <x:v>10</x:v>
      </x:c>
      <x:c r="G1281" t="str">
        <x:v>DET</x:v>
      </x:c>
      <x:c r="H1281" t="str">
        <x:v>MIN</x:v>
      </x:c>
      <x:c r="I1281" t="str">
        <x:v>DET</x:v>
      </x:c>
      <x:c r="J1281" t="n">
        <x:v>91</x:v>
      </x:c>
      <x:c r="K1281" t="str">
        <x:v>(9:18) (Shotgun) 70-D.Skipper reported in as eligible. 16-J.Goff pass incomplete deep right to 5-D.Montgomery.</x:v>
      </x:c>
      <x:c r="L1281" t="str">
        <x:v>pass</x:v>
      </x:c>
      <x:c r="M1281" t="n">
        <x:v>0</x:v>
      </x:c>
      <x:c r="N1281" t="n">
        <x:v>1</x:v>
      </x:c>
      <x:c r="O1281" t="n">
        <x:v>0</x:v>
      </x:c>
      <x:c r="P1281" t="str">
        <x:v>deep</x:v>
      </x:c>
      <x:c r="Q1281" t="str">
        <x:v>right</x:v>
      </x:c>
      <x:c r="R1281" t="n">
        <x:v>16</x:v>
      </x:c>
      <x:c r="S1281"/>
      <x:c r="T1281"/>
      <x:c r="U1281"/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/>
      <x:c r="AC1281" t="n">
        <x:v>0</x:v>
      </x:c>
      <x:c r="AD1281" t="n">
        <x:v>-0.6232170087751001</x:v>
      </x:c>
      <x:c r="AE1281" t="n">
        <x:v>0</x:v>
      </x:c>
      <x:c r="AF1281" t="n">
        <x:v>-0.020774155855178833</x:v>
      </x:c>
      <x:c r="AG1281" t="n">
        <x:f>_xlfn.XLOOKUP($A1281,Games!$A$2:$A$18,Games!$B$2:$B$18,"Missing game",0)</x:f>
        <x:v>2025</x:v>
      </x:c>
      <x:c r="AH1281" t="str">
        <x:f>_xlfn.XLOOKUP($A1281,Games!$A$2:$A$18,Games!$C$2:$C$18,"Missing game",0)</x:f>
        <x:v>REG</x:v>
      </x:c>
      <x:c r="AI1281" t="n">
        <x:f>_xlfn.XLOOKUP($A1281,Games!$A$2:$A$18,Games!$D$2:$D$18,"Missing game",0)</x:f>
        <x:v>9</x:v>
      </x:c>
      <x:c r="AJ1281" s="1" t="n">
        <x:f>_xlfn.XLOOKUP($A1281,Games!$A$2:$A$18,Games!$E$2:$E$18,"Missing game",0)</x:f>
        <x:v>45963</x:v>
      </x:c>
      <x:c r="AK1281" t="str">
        <x:f>_xlfn.XLOOKUP($A1281,Games!$A$2:$A$18,Games!$F$2:$F$18,"Missing game",0)</x:f>
        <x:v>Sunday</x:v>
      </x:c>
      <x:c r="AL1281" t="str">
        <x:f>_xlfn.XLOOKUP($A1281,Games!$A$2:$A$18,Games!$G$2:$G$18,"Missing game",0)</x:f>
        <x:v>MIN</x:v>
      </x:c>
      <x:c r="AM1281" t="n">
        <x:f>_xlfn.XLOOKUP($A1281,Games!$A$2:$A$18,Games!$H$2:$H$18,"Missing game",0)</x:f>
        <x:v>27</x:v>
      </x:c>
      <x:c r="AN1281" t="str">
        <x:f>_xlfn.XLOOKUP($A1281,Games!$A$2:$A$18,Games!$I$2:$I$18,"Missing game",0)</x:f>
        <x:v>DET</x:v>
      </x:c>
      <x:c r="AO1281" t="n">
        <x:f>_xlfn.XLOOKUP($A1281,Games!$A$2:$A$18,Games!$J$2:$J$18,"Missing game",0)</x:f>
        <x:v>24</x:v>
      </x:c>
      <x:c r="AP1281" t="n">
        <x:f>_xlfn.XLOOKUP($A1281,Games!$A$2:$A$18,Games!$K$2:$K$18,"Missing game",0)</x:f>
        <x:v>-3</x:v>
      </x:c>
      <x:c r="AQ1281" t="n">
        <x:f>_xlfn.XLOOKUP($A1281,Games!$A$2:$A$18,Games!$L$2:$L$18,"Missing game",0)</x:f>
        <x:v>51</x:v>
      </x:c>
      <x:c r="AR1281" t="n">
        <x:f>_xlfn.XLOOKUP($A1281,Games!$A$2:$A$18,Games!$M$2:$M$18,"Missing game",0)</x:f>
        <x:v>0</x:v>
      </x:c>
      <x:c r="AS1281" t="str">
        <x:f>_xlfn.XLOOKUP($A1281,Games!$A$2:$A$18,Games!$N$2:$N$18,"Missing game",0)</x:f>
        <x:v>dome</x:v>
      </x:c>
      <x:c r="AT1281" t="str">
        <x:f>_xlfn.XLOOKUP($A1281,Games!$A$2:$A$18,Games!$O$2:$O$18,"Missing game",0)</x:f>
        <x:v>fieldturf</x:v>
      </x:c>
      <x:c r="AU1281" t="str">
        <x:f>_xlfn.XLOOKUP($A1281,Games!$A$2:$A$18,Games!$P$2:$P$18,"Missing game",0)</x:f>
      </x:c>
      <x:c r="AV1281" t="str">
        <x:f>_xlfn.XLOOKUP($A1281,Games!$A$2:$A$18,Games!$Q$2:$Q$18,"Missing game",0)</x:f>
      </x:c>
      <x:c r="AW1281" t="str">
        <x:f>_xlfn.XLOOKUP($A1281,Games!$A$2:$A$18,Games!$R$2:$R$18,"Missing game",0)</x:f>
        <x:v>Ford Field</x:v>
      </x:c>
    </x:row>
    <x:row r="1282">
      <x:c r="A1282" t="str">
        <x:v>2025_09_MIN_DET</x:v>
      </x:c>
      <x:c r="B1282" t="n">
        <x:v>2628</x:v>
      </x:c>
      <x:c r="C1282" t="n">
        <x:v>3</x:v>
      </x:c>
      <x:c r="D1282" t="str">
        <x:v>09:14</x:v>
      </x:c>
      <x:c r="E1282" t="n">
        <x:v>2</x:v>
      </x:c>
      <x:c r="F1282" t="n">
        <x:v>10</x:v>
      </x:c>
      <x:c r="G1282" t="str">
        <x:v>DET</x:v>
      </x:c>
      <x:c r="H1282" t="str">
        <x:v>MIN</x:v>
      </x:c>
      <x:c r="I1282" t="str">
        <x:v>DET</x:v>
      </x:c>
      <x:c r="J1282" t="n">
        <x:v>91</x:v>
      </x:c>
      <x:c r="K1282" t="str">
        <x:v>(9:14) (Shotgun) 16-J.Goff pass short right to 5-D.Montgomery to DET 6 for -3 yards (51-B.Cashman, 7-B.Murphy).</x:v>
      </x:c>
      <x:c r="L1282" t="str">
        <x:v>pass</x:v>
      </x:c>
      <x:c r="M1282" t="n">
        <x:v>-3</x:v>
      </x:c>
      <x:c r="N1282" t="n">
        <x:v>1</x:v>
      </x:c>
      <x:c r="O1282" t="n">
        <x:v>0</x:v>
      </x:c>
      <x:c r="P1282" t="str">
        <x:v>short</x:v>
      </x:c>
      <x:c r="Q1282" t="str">
        <x:v>right</x:v>
      </x:c>
      <x:c r="R1282" t="n">
        <x:v>-3</x:v>
      </x:c>
      <x:c r="S1282" t="n">
        <x:v>0</x:v>
      </x:c>
      <x:c r="T1282"/>
      <x:c r="U1282"/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/>
      <x:c r="AC1282" t="n">
        <x:v>0</x:v>
      </x:c>
      <x:c r="AD1282" t="n">
        <x:v>-1.615962149342522</x:v>
      </x:c>
      <x:c r="AE1282" t="n">
        <x:v>0</x:v>
      </x:c>
      <x:c r="AF1282" t="n">
        <x:v>-0.05920296907424927</x:v>
      </x:c>
      <x:c r="AG1282" t="n">
        <x:f>_xlfn.XLOOKUP($A1282,Games!$A$2:$A$18,Games!$B$2:$B$18,"Missing game",0)</x:f>
        <x:v>2025</x:v>
      </x:c>
      <x:c r="AH1282" t="str">
        <x:f>_xlfn.XLOOKUP($A1282,Games!$A$2:$A$18,Games!$C$2:$C$18,"Missing game",0)</x:f>
        <x:v>REG</x:v>
      </x:c>
      <x:c r="AI1282" t="n">
        <x:f>_xlfn.XLOOKUP($A1282,Games!$A$2:$A$18,Games!$D$2:$D$18,"Missing game",0)</x:f>
        <x:v>9</x:v>
      </x:c>
      <x:c r="AJ1282" s="1" t="n">
        <x:f>_xlfn.XLOOKUP($A1282,Games!$A$2:$A$18,Games!$E$2:$E$18,"Missing game",0)</x:f>
        <x:v>45963</x:v>
      </x:c>
      <x:c r="AK1282" t="str">
        <x:f>_xlfn.XLOOKUP($A1282,Games!$A$2:$A$18,Games!$F$2:$F$18,"Missing game",0)</x:f>
        <x:v>Sunday</x:v>
      </x:c>
      <x:c r="AL1282" t="str">
        <x:f>_xlfn.XLOOKUP($A1282,Games!$A$2:$A$18,Games!$G$2:$G$18,"Missing game",0)</x:f>
        <x:v>MIN</x:v>
      </x:c>
      <x:c r="AM1282" t="n">
        <x:f>_xlfn.XLOOKUP($A1282,Games!$A$2:$A$18,Games!$H$2:$H$18,"Missing game",0)</x:f>
        <x:v>27</x:v>
      </x:c>
      <x:c r="AN1282" t="str">
        <x:f>_xlfn.XLOOKUP($A1282,Games!$A$2:$A$18,Games!$I$2:$I$18,"Missing game",0)</x:f>
        <x:v>DET</x:v>
      </x:c>
      <x:c r="AO1282" t="n">
        <x:f>_xlfn.XLOOKUP($A1282,Games!$A$2:$A$18,Games!$J$2:$J$18,"Missing game",0)</x:f>
        <x:v>24</x:v>
      </x:c>
      <x:c r="AP1282" t="n">
        <x:f>_xlfn.XLOOKUP($A1282,Games!$A$2:$A$18,Games!$K$2:$K$18,"Missing game",0)</x:f>
        <x:v>-3</x:v>
      </x:c>
      <x:c r="AQ1282" t="n">
        <x:f>_xlfn.XLOOKUP($A1282,Games!$A$2:$A$18,Games!$L$2:$L$18,"Missing game",0)</x:f>
        <x:v>51</x:v>
      </x:c>
      <x:c r="AR1282" t="n">
        <x:f>_xlfn.XLOOKUP($A1282,Games!$A$2:$A$18,Games!$M$2:$M$18,"Missing game",0)</x:f>
        <x:v>0</x:v>
      </x:c>
      <x:c r="AS1282" t="str">
        <x:f>_xlfn.XLOOKUP($A1282,Games!$A$2:$A$18,Games!$N$2:$N$18,"Missing game",0)</x:f>
        <x:v>dome</x:v>
      </x:c>
      <x:c r="AT1282" t="str">
        <x:f>_xlfn.XLOOKUP($A1282,Games!$A$2:$A$18,Games!$O$2:$O$18,"Missing game",0)</x:f>
        <x:v>fieldturf</x:v>
      </x:c>
      <x:c r="AU1282" t="str">
        <x:f>_xlfn.XLOOKUP($A1282,Games!$A$2:$A$18,Games!$P$2:$P$18,"Missing game",0)</x:f>
      </x:c>
      <x:c r="AV1282" t="str">
        <x:f>_xlfn.XLOOKUP($A1282,Games!$A$2:$A$18,Games!$Q$2:$Q$18,"Missing game",0)</x:f>
      </x:c>
      <x:c r="AW1282" t="str">
        <x:f>_xlfn.XLOOKUP($A1282,Games!$A$2:$A$18,Games!$R$2:$R$18,"Missing game",0)</x:f>
        <x:v>Ford Field</x:v>
      </x:c>
    </x:row>
    <x:row r="1283">
      <x:c r="A1283" t="str">
        <x:v>2025_09_MIN_DET</x:v>
      </x:c>
      <x:c r="B1283" t="n">
        <x:v>2653</x:v>
      </x:c>
      <x:c r="C1283" t="n">
        <x:v>3</x:v>
      </x:c>
      <x:c r="D1283" t="str">
        <x:v>08:30</x:v>
      </x:c>
      <x:c r="E1283" t="n">
        <x:v>3</x:v>
      </x:c>
      <x:c r="F1283" t="n">
        <x:v>13</x:v>
      </x:c>
      <x:c r="G1283" t="str">
        <x:v>DET</x:v>
      </x:c>
      <x:c r="H1283" t="str">
        <x:v>MIN</x:v>
      </x:c>
      <x:c r="I1283" t="str">
        <x:v>DET</x:v>
      </x:c>
      <x:c r="J1283" t="n">
        <x:v>94</x:v>
      </x:c>
      <x:c r="K1283" t="str">
        <x:v>(8:30) (Shotgun) 5-D.Montgomery left end to DET 17 for 11 yards (51-B.Cashman). FUMBLES (51-B.Cashman), RECOVERED by MIN-22-H.Smith at DET 34. 22-H.Smith to DET 35 for -1 yards (1-J.Williams).</x:v>
      </x:c>
      <x:c r="L1283" t="str">
        <x:v>run</x:v>
      </x:c>
      <x:c r="M1283" t="n">
        <x:v>11</x:v>
      </x:c>
      <x:c r="N1283" t="n">
        <x:v>1</x:v>
      </x:c>
      <x:c r="O1283" t="n">
        <x:v>0</x:v>
      </x:c>
      <x:c r="P1283"/>
      <x:c r="Q1283"/>
      <x:c r="R1283"/>
      <x:c r="S1283"/>
      <x:c r="T1283" t="str">
        <x:v>left</x:v>
      </x:c>
      <x:c r="U1283" t="str">
        <x:v>end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1</x:v>
      </x:c>
      <x:c r="AA1283" t="n">
        <x:v>0</x:v>
      </x:c>
      <x:c r="AB1283"/>
      <x:c r="AC1283" t="n">
        <x:v>0</x:v>
      </x:c>
      <x:c r="AD1283" t="n">
        <x:v>-2.109526827465743</x:v>
      </x:c>
      <x:c r="AE1283" t="n">
        <x:v>0</x:v>
      </x:c>
      <x:c r="AF1283" t="n">
        <x:v>-0.03308284282684326</x:v>
      </x:c>
      <x:c r="AG1283" t="n">
        <x:f>_xlfn.XLOOKUP($A1283,Games!$A$2:$A$18,Games!$B$2:$B$18,"Missing game",0)</x:f>
        <x:v>2025</x:v>
      </x:c>
      <x:c r="AH1283" t="str">
        <x:f>_xlfn.XLOOKUP($A1283,Games!$A$2:$A$18,Games!$C$2:$C$18,"Missing game",0)</x:f>
        <x:v>REG</x:v>
      </x:c>
      <x:c r="AI1283" t="n">
        <x:f>_xlfn.XLOOKUP($A1283,Games!$A$2:$A$18,Games!$D$2:$D$18,"Missing game",0)</x:f>
        <x:v>9</x:v>
      </x:c>
      <x:c r="AJ1283" s="1" t="n">
        <x:f>_xlfn.XLOOKUP($A1283,Games!$A$2:$A$18,Games!$E$2:$E$18,"Missing game",0)</x:f>
        <x:v>45963</x:v>
      </x:c>
      <x:c r="AK1283" t="str">
        <x:f>_xlfn.XLOOKUP($A1283,Games!$A$2:$A$18,Games!$F$2:$F$18,"Missing game",0)</x:f>
        <x:v>Sunday</x:v>
      </x:c>
      <x:c r="AL1283" t="str">
        <x:f>_xlfn.XLOOKUP($A1283,Games!$A$2:$A$18,Games!$G$2:$G$18,"Missing game",0)</x:f>
        <x:v>MIN</x:v>
      </x:c>
      <x:c r="AM1283" t="n">
        <x:f>_xlfn.XLOOKUP($A1283,Games!$A$2:$A$18,Games!$H$2:$H$18,"Missing game",0)</x:f>
        <x:v>27</x:v>
      </x:c>
      <x:c r="AN1283" t="str">
        <x:f>_xlfn.XLOOKUP($A1283,Games!$A$2:$A$18,Games!$I$2:$I$18,"Missing game",0)</x:f>
        <x:v>DET</x:v>
      </x:c>
      <x:c r="AO1283" t="n">
        <x:f>_xlfn.XLOOKUP($A1283,Games!$A$2:$A$18,Games!$J$2:$J$18,"Missing game",0)</x:f>
        <x:v>24</x:v>
      </x:c>
      <x:c r="AP1283" t="n">
        <x:f>_xlfn.XLOOKUP($A1283,Games!$A$2:$A$18,Games!$K$2:$K$18,"Missing game",0)</x:f>
        <x:v>-3</x:v>
      </x:c>
      <x:c r="AQ1283" t="n">
        <x:f>_xlfn.XLOOKUP($A1283,Games!$A$2:$A$18,Games!$L$2:$L$18,"Missing game",0)</x:f>
        <x:v>51</x:v>
      </x:c>
      <x:c r="AR1283" t="n">
        <x:f>_xlfn.XLOOKUP($A1283,Games!$A$2:$A$18,Games!$M$2:$M$18,"Missing game",0)</x:f>
        <x:v>0</x:v>
      </x:c>
      <x:c r="AS1283" t="str">
        <x:f>_xlfn.XLOOKUP($A1283,Games!$A$2:$A$18,Games!$N$2:$N$18,"Missing game",0)</x:f>
        <x:v>dome</x:v>
      </x:c>
      <x:c r="AT1283" t="str">
        <x:f>_xlfn.XLOOKUP($A1283,Games!$A$2:$A$18,Games!$O$2:$O$18,"Missing game",0)</x:f>
        <x:v>fieldturf</x:v>
      </x:c>
      <x:c r="AU1283" t="str">
        <x:f>_xlfn.XLOOKUP($A1283,Games!$A$2:$A$18,Games!$P$2:$P$18,"Missing game",0)</x:f>
      </x:c>
      <x:c r="AV1283" t="str">
        <x:f>_xlfn.XLOOKUP($A1283,Games!$A$2:$A$18,Games!$Q$2:$Q$18,"Missing game",0)</x:f>
      </x:c>
      <x:c r="AW1283" t="str">
        <x:f>_xlfn.XLOOKUP($A1283,Games!$A$2:$A$18,Games!$R$2:$R$18,"Missing game",0)</x:f>
        <x:v>Ford Field</x:v>
      </x:c>
    </x:row>
    <x:row r="1284">
      <x:c r="A1284" t="str">
        <x:v>2025_09_MIN_DET</x:v>
      </x:c>
      <x:c r="B1284" t="n">
        <x:v>2691</x:v>
      </x:c>
      <x:c r="C1284" t="n">
        <x:v>3</x:v>
      </x:c>
      <x:c r="D1284" t="str">
        <x:v>08:19</x:v>
      </x:c>
      <x:c r="E1284" t="n">
        <x:v>1</x:v>
      </x:c>
      <x:c r="F1284" t="n">
        <x:v>10</x:v>
      </x:c>
      <x:c r="G1284" t="str">
        <x:v>MIN</x:v>
      </x:c>
      <x:c r="H1284" t="str">
        <x:v>DET</x:v>
      </x:c>
      <x:c r="I1284" t="str">
        <x:v>DET</x:v>
      </x:c>
      <x:c r="J1284" t="n">
        <x:v>35</x:v>
      </x:c>
      <x:c r="K1284" t="str">
        <x:v>(8:19) 27-J.Mason left guard to DET 28 for 7 yards (91-T.Williams; 6-T.Arnold).</x:v>
      </x:c>
      <x:c r="L1284" t="str">
        <x:v>run</x:v>
      </x:c>
      <x:c r="M1284" t="n">
        <x:v>7</x:v>
      </x:c>
      <x:c r="N1284" t="n">
        <x:v>0</x:v>
      </x:c>
      <x:c r="O1284" t="n">
        <x:v>0</x:v>
      </x:c>
      <x:c r="P1284"/>
      <x:c r="Q1284"/>
      <x:c r="R1284"/>
      <x:c r="S1284"/>
      <x:c r="T1284" t="str">
        <x:v>left</x:v>
      </x:c>
      <x:c r="U1284" t="str">
        <x:v>guard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/>
      <x:c r="AC1284" t="n">
        <x:v>0</x:v>
      </x:c>
      <x:c r="AD1284" t="n">
        <x:v>0.4525317803490907</x:v>
      </x:c>
      <x:c r="AE1284" t="n">
        <x:v>1</x:v>
      </x:c>
      <x:c r="AF1284" t="n">
        <x:v>-0.001204848289489746</x:v>
      </x:c>
      <x:c r="AG1284" t="n">
        <x:f>_xlfn.XLOOKUP($A1284,Games!$A$2:$A$18,Games!$B$2:$B$18,"Missing game",0)</x:f>
        <x:v>2025</x:v>
      </x:c>
      <x:c r="AH1284" t="str">
        <x:f>_xlfn.XLOOKUP($A1284,Games!$A$2:$A$18,Games!$C$2:$C$18,"Missing game",0)</x:f>
        <x:v>REG</x:v>
      </x:c>
      <x:c r="AI1284" t="n">
        <x:f>_xlfn.XLOOKUP($A1284,Games!$A$2:$A$18,Games!$D$2:$D$18,"Missing game",0)</x:f>
        <x:v>9</x:v>
      </x:c>
      <x:c r="AJ1284" s="1" t="n">
        <x:f>_xlfn.XLOOKUP($A1284,Games!$A$2:$A$18,Games!$E$2:$E$18,"Missing game",0)</x:f>
        <x:v>45963</x:v>
      </x:c>
      <x:c r="AK1284" t="str">
        <x:f>_xlfn.XLOOKUP($A1284,Games!$A$2:$A$18,Games!$F$2:$F$18,"Missing game",0)</x:f>
        <x:v>Sunday</x:v>
      </x:c>
      <x:c r="AL1284" t="str">
        <x:f>_xlfn.XLOOKUP($A1284,Games!$A$2:$A$18,Games!$G$2:$G$18,"Missing game",0)</x:f>
        <x:v>MIN</x:v>
      </x:c>
      <x:c r="AM1284" t="n">
        <x:f>_xlfn.XLOOKUP($A1284,Games!$A$2:$A$18,Games!$H$2:$H$18,"Missing game",0)</x:f>
        <x:v>27</x:v>
      </x:c>
      <x:c r="AN1284" t="str">
        <x:f>_xlfn.XLOOKUP($A1284,Games!$A$2:$A$18,Games!$I$2:$I$18,"Missing game",0)</x:f>
        <x:v>DET</x:v>
      </x:c>
      <x:c r="AO1284" t="n">
        <x:f>_xlfn.XLOOKUP($A1284,Games!$A$2:$A$18,Games!$J$2:$J$18,"Missing game",0)</x:f>
        <x:v>24</x:v>
      </x:c>
      <x:c r="AP1284" t="n">
        <x:f>_xlfn.XLOOKUP($A1284,Games!$A$2:$A$18,Games!$K$2:$K$18,"Missing game",0)</x:f>
        <x:v>-3</x:v>
      </x:c>
      <x:c r="AQ1284" t="n">
        <x:f>_xlfn.XLOOKUP($A1284,Games!$A$2:$A$18,Games!$L$2:$L$18,"Missing game",0)</x:f>
        <x:v>51</x:v>
      </x:c>
      <x:c r="AR1284" t="n">
        <x:f>_xlfn.XLOOKUP($A1284,Games!$A$2:$A$18,Games!$M$2:$M$18,"Missing game",0)</x:f>
        <x:v>0</x:v>
      </x:c>
      <x:c r="AS1284" t="str">
        <x:f>_xlfn.XLOOKUP($A1284,Games!$A$2:$A$18,Games!$N$2:$N$18,"Missing game",0)</x:f>
        <x:v>dome</x:v>
      </x:c>
      <x:c r="AT1284" t="str">
        <x:f>_xlfn.XLOOKUP($A1284,Games!$A$2:$A$18,Games!$O$2:$O$18,"Missing game",0)</x:f>
        <x:v>fieldturf</x:v>
      </x:c>
      <x:c r="AU1284" t="str">
        <x:f>_xlfn.XLOOKUP($A1284,Games!$A$2:$A$18,Games!$P$2:$P$18,"Missing game",0)</x:f>
      </x:c>
      <x:c r="AV1284" t="str">
        <x:f>_xlfn.XLOOKUP($A1284,Games!$A$2:$A$18,Games!$Q$2:$Q$18,"Missing game",0)</x:f>
      </x:c>
      <x:c r="AW1284" t="str">
        <x:f>_xlfn.XLOOKUP($A1284,Games!$A$2:$A$18,Games!$R$2:$R$18,"Missing game",0)</x:f>
        <x:v>Ford Field</x:v>
      </x:c>
    </x:row>
    <x:row r="1285">
      <x:c r="A1285" t="str">
        <x:v>2025_09_MIN_DET</x:v>
      </x:c>
      <x:c r="B1285" t="n">
        <x:v>2713</x:v>
      </x:c>
      <x:c r="C1285" t="n">
        <x:v>3</x:v>
      </x:c>
      <x:c r="D1285" t="str">
        <x:v>07:36</x:v>
      </x:c>
      <x:c r="E1285" t="n">
        <x:v>2</x:v>
      </x:c>
      <x:c r="F1285" t="n">
        <x:v>3</x:v>
      </x:c>
      <x:c r="G1285" t="str">
        <x:v>MIN</x:v>
      </x:c>
      <x:c r="H1285" t="str">
        <x:v>DET</x:v>
      </x:c>
      <x:c r="I1285" t="str">
        <x:v>DET</x:v>
      </x:c>
      <x:c r="J1285" t="n">
        <x:v>28</x:v>
      </x:c>
      <x:c r="K1285" t="str">
        <x:v>(7:36) (Shotgun) 9-J.McCarthy pass deep left to 3-J.Addison to DET 11 for 17 yards (6-T.Arnold).</x:v>
      </x:c>
      <x:c r="L1285" t="str">
        <x:v>pass</x:v>
      </x:c>
      <x:c r="M1285" t="n">
        <x:v>17</x:v>
      </x:c>
      <x:c r="N1285" t="n">
        <x:v>1</x:v>
      </x:c>
      <x:c r="O1285" t="n">
        <x:v>0</x:v>
      </x:c>
      <x:c r="P1285" t="str">
        <x:v>deep</x:v>
      </x:c>
      <x:c r="Q1285" t="str">
        <x:v>left</x:v>
      </x:c>
      <x:c r="R1285" t="n">
        <x:v>17</x:v>
      </x:c>
      <x:c r="S1285" t="n">
        <x:v>0</x:v>
      </x:c>
      <x:c r="T1285"/>
      <x:c r="U1285"/>
      <x:c r="V1285" t="n">
        <x:v>1</x:v>
      </x:c>
      <x:c r="W1285" t="n">
        <x:v>1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/>
      <x:c r="AC1285" t="n">
        <x:v>0</x:v>
      </x:c>
      <x:c r="AD1285" t="n">
        <x:v>1.0494671700289473</x:v>
      </x:c>
      <x:c r="AE1285" t="n">
        <x:v>1</x:v>
      </x:c>
      <x:c r="AF1285" t="n">
        <x:v>0.05656254291534424</x:v>
      </x:c>
      <x:c r="AG1285" t="n">
        <x:f>_xlfn.XLOOKUP($A1285,Games!$A$2:$A$18,Games!$B$2:$B$18,"Missing game",0)</x:f>
        <x:v>2025</x:v>
      </x:c>
      <x:c r="AH1285" t="str">
        <x:f>_xlfn.XLOOKUP($A1285,Games!$A$2:$A$18,Games!$C$2:$C$18,"Missing game",0)</x:f>
        <x:v>REG</x:v>
      </x:c>
      <x:c r="AI1285" t="n">
        <x:f>_xlfn.XLOOKUP($A1285,Games!$A$2:$A$18,Games!$D$2:$D$18,"Missing game",0)</x:f>
        <x:v>9</x:v>
      </x:c>
      <x:c r="AJ1285" s="1" t="n">
        <x:f>_xlfn.XLOOKUP($A1285,Games!$A$2:$A$18,Games!$E$2:$E$18,"Missing game",0)</x:f>
        <x:v>45963</x:v>
      </x:c>
      <x:c r="AK1285" t="str">
        <x:f>_xlfn.XLOOKUP($A1285,Games!$A$2:$A$18,Games!$F$2:$F$18,"Missing game",0)</x:f>
        <x:v>Sunday</x:v>
      </x:c>
      <x:c r="AL1285" t="str">
        <x:f>_xlfn.XLOOKUP($A1285,Games!$A$2:$A$18,Games!$G$2:$G$18,"Missing game",0)</x:f>
        <x:v>MIN</x:v>
      </x:c>
      <x:c r="AM1285" t="n">
        <x:f>_xlfn.XLOOKUP($A1285,Games!$A$2:$A$18,Games!$H$2:$H$18,"Missing game",0)</x:f>
        <x:v>27</x:v>
      </x:c>
      <x:c r="AN1285" t="str">
        <x:f>_xlfn.XLOOKUP($A1285,Games!$A$2:$A$18,Games!$I$2:$I$18,"Missing game",0)</x:f>
        <x:v>DET</x:v>
      </x:c>
      <x:c r="AO1285" t="n">
        <x:f>_xlfn.XLOOKUP($A1285,Games!$A$2:$A$18,Games!$J$2:$J$18,"Missing game",0)</x:f>
        <x:v>24</x:v>
      </x:c>
      <x:c r="AP1285" t="n">
        <x:f>_xlfn.XLOOKUP($A1285,Games!$A$2:$A$18,Games!$K$2:$K$18,"Missing game",0)</x:f>
        <x:v>-3</x:v>
      </x:c>
      <x:c r="AQ1285" t="n">
        <x:f>_xlfn.XLOOKUP($A1285,Games!$A$2:$A$18,Games!$L$2:$L$18,"Missing game",0)</x:f>
        <x:v>51</x:v>
      </x:c>
      <x:c r="AR1285" t="n">
        <x:f>_xlfn.XLOOKUP($A1285,Games!$A$2:$A$18,Games!$M$2:$M$18,"Missing game",0)</x:f>
        <x:v>0</x:v>
      </x:c>
      <x:c r="AS1285" t="str">
        <x:f>_xlfn.XLOOKUP($A1285,Games!$A$2:$A$18,Games!$N$2:$N$18,"Missing game",0)</x:f>
        <x:v>dome</x:v>
      </x:c>
      <x:c r="AT1285" t="str">
        <x:f>_xlfn.XLOOKUP($A1285,Games!$A$2:$A$18,Games!$O$2:$O$18,"Missing game",0)</x:f>
        <x:v>fieldturf</x:v>
      </x:c>
      <x:c r="AU1285" t="str">
        <x:f>_xlfn.XLOOKUP($A1285,Games!$A$2:$A$18,Games!$P$2:$P$18,"Missing game",0)</x:f>
      </x:c>
      <x:c r="AV1285" t="str">
        <x:f>_xlfn.XLOOKUP($A1285,Games!$A$2:$A$18,Games!$Q$2:$Q$18,"Missing game",0)</x:f>
      </x:c>
      <x:c r="AW1285" t="str">
        <x:f>_xlfn.XLOOKUP($A1285,Games!$A$2:$A$18,Games!$R$2:$R$18,"Missing game",0)</x:f>
        <x:v>Ford Field</x:v>
      </x:c>
    </x:row>
    <x:row r="1286">
      <x:c r="A1286" t="str">
        <x:v>2025_09_MIN_DET</x:v>
      </x:c>
      <x:c r="B1286" t="n">
        <x:v>2738</x:v>
      </x:c>
      <x:c r="C1286" t="n">
        <x:v>3</x:v>
      </x:c>
      <x:c r="D1286" t="str">
        <x:v>06:58</x:v>
      </x:c>
      <x:c r="E1286" t="n">
        <x:v>1</x:v>
      </x:c>
      <x:c r="F1286" t="n">
        <x:v>10</x:v>
      </x:c>
      <x:c r="G1286" t="str">
        <x:v>MIN</x:v>
      </x:c>
      <x:c r="H1286" t="str">
        <x:v>DET</x:v>
      </x:c>
      <x:c r="I1286" t="str">
        <x:v>DET</x:v>
      </x:c>
      <x:c r="J1286" t="n">
        <x:v>11</x:v>
      </x:c>
      <x:c r="K1286" t="str">
        <x:v>(6:58) 27-J.Mason left tackle to DET 9 for 2 yards (34-A.Anzalone).</x:v>
      </x:c>
      <x:c r="L1286" t="str">
        <x:v>run</x:v>
      </x:c>
      <x:c r="M1286" t="n">
        <x:v>2</x:v>
      </x:c>
      <x:c r="N1286" t="n">
        <x:v>0</x:v>
      </x:c>
      <x:c r="O1286" t="n">
        <x:v>0</x:v>
      </x:c>
      <x:c r="P1286"/>
      <x:c r="Q1286"/>
      <x:c r="R1286"/>
      <x:c r="S1286"/>
      <x:c r="T1286" t="str">
        <x:v>left</x:v>
      </x:c>
      <x:c r="U1286" t="str">
        <x:v>tackle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/>
      <x:c r="AC1286" t="n">
        <x:v>0</x:v>
      </x:c>
      <x:c r="AD1286" t="n">
        <x:v>-0.4734858156880364</x:v>
      </x:c>
      <x:c r="AE1286" t="n">
        <x:v>0</x:v>
      </x:c>
      <x:c r="AF1286" t="n">
        <x:v>-0.005923271179199219</x:v>
      </x:c>
      <x:c r="AG1286" t="n">
        <x:f>_xlfn.XLOOKUP($A1286,Games!$A$2:$A$18,Games!$B$2:$B$18,"Missing game",0)</x:f>
        <x:v>2025</x:v>
      </x:c>
      <x:c r="AH1286" t="str">
        <x:f>_xlfn.XLOOKUP($A1286,Games!$A$2:$A$18,Games!$C$2:$C$18,"Missing game",0)</x:f>
        <x:v>REG</x:v>
      </x:c>
      <x:c r="AI1286" t="n">
        <x:f>_xlfn.XLOOKUP($A1286,Games!$A$2:$A$18,Games!$D$2:$D$18,"Missing game",0)</x:f>
        <x:v>9</x:v>
      </x:c>
      <x:c r="AJ1286" s="1" t="n">
        <x:f>_xlfn.XLOOKUP($A1286,Games!$A$2:$A$18,Games!$E$2:$E$18,"Missing game",0)</x:f>
        <x:v>45963</x:v>
      </x:c>
      <x:c r="AK1286" t="str">
        <x:f>_xlfn.XLOOKUP($A1286,Games!$A$2:$A$18,Games!$F$2:$F$18,"Missing game",0)</x:f>
        <x:v>Sunday</x:v>
      </x:c>
      <x:c r="AL1286" t="str">
        <x:f>_xlfn.XLOOKUP($A1286,Games!$A$2:$A$18,Games!$G$2:$G$18,"Missing game",0)</x:f>
        <x:v>MIN</x:v>
      </x:c>
      <x:c r="AM1286" t="n">
        <x:f>_xlfn.XLOOKUP($A1286,Games!$A$2:$A$18,Games!$H$2:$H$18,"Missing game",0)</x:f>
        <x:v>27</x:v>
      </x:c>
      <x:c r="AN1286" t="str">
        <x:f>_xlfn.XLOOKUP($A1286,Games!$A$2:$A$18,Games!$I$2:$I$18,"Missing game",0)</x:f>
        <x:v>DET</x:v>
      </x:c>
      <x:c r="AO1286" t="n">
        <x:f>_xlfn.XLOOKUP($A1286,Games!$A$2:$A$18,Games!$J$2:$J$18,"Missing game",0)</x:f>
        <x:v>24</x:v>
      </x:c>
      <x:c r="AP1286" t="n">
        <x:f>_xlfn.XLOOKUP($A1286,Games!$A$2:$A$18,Games!$K$2:$K$18,"Missing game",0)</x:f>
        <x:v>-3</x:v>
      </x:c>
      <x:c r="AQ1286" t="n">
        <x:f>_xlfn.XLOOKUP($A1286,Games!$A$2:$A$18,Games!$L$2:$L$18,"Missing game",0)</x:f>
        <x:v>51</x:v>
      </x:c>
      <x:c r="AR1286" t="n">
        <x:f>_xlfn.XLOOKUP($A1286,Games!$A$2:$A$18,Games!$M$2:$M$18,"Missing game",0)</x:f>
        <x:v>0</x:v>
      </x:c>
      <x:c r="AS1286" t="str">
        <x:f>_xlfn.XLOOKUP($A1286,Games!$A$2:$A$18,Games!$N$2:$N$18,"Missing game",0)</x:f>
        <x:v>dome</x:v>
      </x:c>
      <x:c r="AT1286" t="str">
        <x:f>_xlfn.XLOOKUP($A1286,Games!$A$2:$A$18,Games!$O$2:$O$18,"Missing game",0)</x:f>
        <x:v>fieldturf</x:v>
      </x:c>
      <x:c r="AU1286" t="str">
        <x:f>_xlfn.XLOOKUP($A1286,Games!$A$2:$A$18,Games!$P$2:$P$18,"Missing game",0)</x:f>
      </x:c>
      <x:c r="AV1286" t="str">
        <x:f>_xlfn.XLOOKUP($A1286,Games!$A$2:$A$18,Games!$Q$2:$Q$18,"Missing game",0)</x:f>
      </x:c>
      <x:c r="AW1286" t="str">
        <x:f>_xlfn.XLOOKUP($A1286,Games!$A$2:$A$18,Games!$R$2:$R$18,"Missing game",0)</x:f>
        <x:v>Ford Field</x:v>
      </x:c>
    </x:row>
    <x:row r="1287">
      <x:c r="A1287" t="str">
        <x:v>2025_09_MIN_DET</x:v>
      </x:c>
      <x:c r="B1287" t="n">
        <x:v>2760</x:v>
      </x:c>
      <x:c r="C1287" t="n">
        <x:v>3</x:v>
      </x:c>
      <x:c r="D1287" t="str">
        <x:v>06:18</x:v>
      </x:c>
      <x:c r="E1287" t="n">
        <x:v>2</x:v>
      </x:c>
      <x:c r="F1287" t="n">
        <x:v>8</x:v>
      </x:c>
      <x:c r="G1287" t="str">
        <x:v>MIN</x:v>
      </x:c>
      <x:c r="H1287" t="str">
        <x:v>DET</x:v>
      </x:c>
      <x:c r="I1287" t="str">
        <x:v>DET</x:v>
      </x:c>
      <x:c r="J1287" t="n">
        <x:v>9</x:v>
      </x:c>
      <x:c r="K1287" t="str">
        <x:v>(6:18) 9-J.McCarthy pass incomplete short right [97-A.Hutchinson]. MIN-18-J.Jefferson was injured during the play.</x:v>
      </x:c>
      <x:c r="L1287" t="str">
        <x:v>pass</x:v>
      </x:c>
      <x:c r="M1287" t="n">
        <x:v>0</x:v>
      </x:c>
      <x:c r="N1287" t="n">
        <x:v>0</x:v>
      </x:c>
      <x:c r="O1287" t="n">
        <x:v>0</x:v>
      </x:c>
      <x:c r="P1287" t="str">
        <x:v>short</x:v>
      </x:c>
      <x:c r="Q1287" t="str">
        <x:v>right</x:v>
      </x:c>
      <x:c r="R1287" t="n">
        <x:v>4</x:v>
      </x:c>
      <x:c r="S1287"/>
      <x:c r="T1287"/>
      <x:c r="U1287"/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/>
      <x:c r="AC1287" t="n">
        <x:v>0</x:v>
      </x:c>
      <x:c r="AD1287" t="n">
        <x:v>-0.7818908981280401</x:v>
      </x:c>
      <x:c r="AE1287" t="n">
        <x:v>0</x:v>
      </x:c>
      <x:c r="AF1287" t="n">
        <x:v>-0.019457638263702393</x:v>
      </x:c>
      <x:c r="AG1287" t="n">
        <x:f>_xlfn.XLOOKUP($A1287,Games!$A$2:$A$18,Games!$B$2:$B$18,"Missing game",0)</x:f>
        <x:v>2025</x:v>
      </x:c>
      <x:c r="AH1287" t="str">
        <x:f>_xlfn.XLOOKUP($A1287,Games!$A$2:$A$18,Games!$C$2:$C$18,"Missing game",0)</x:f>
        <x:v>REG</x:v>
      </x:c>
      <x:c r="AI1287" t="n">
        <x:f>_xlfn.XLOOKUP($A1287,Games!$A$2:$A$18,Games!$D$2:$D$18,"Missing game",0)</x:f>
        <x:v>9</x:v>
      </x:c>
      <x:c r="AJ1287" s="1" t="n">
        <x:f>_xlfn.XLOOKUP($A1287,Games!$A$2:$A$18,Games!$E$2:$E$18,"Missing game",0)</x:f>
        <x:v>45963</x:v>
      </x:c>
      <x:c r="AK1287" t="str">
        <x:f>_xlfn.XLOOKUP($A1287,Games!$A$2:$A$18,Games!$F$2:$F$18,"Missing game",0)</x:f>
        <x:v>Sunday</x:v>
      </x:c>
      <x:c r="AL1287" t="str">
        <x:f>_xlfn.XLOOKUP($A1287,Games!$A$2:$A$18,Games!$G$2:$G$18,"Missing game",0)</x:f>
        <x:v>MIN</x:v>
      </x:c>
      <x:c r="AM1287" t="n">
        <x:f>_xlfn.XLOOKUP($A1287,Games!$A$2:$A$18,Games!$H$2:$H$18,"Missing game",0)</x:f>
        <x:v>27</x:v>
      </x:c>
      <x:c r="AN1287" t="str">
        <x:f>_xlfn.XLOOKUP($A1287,Games!$A$2:$A$18,Games!$I$2:$I$18,"Missing game",0)</x:f>
        <x:v>DET</x:v>
      </x:c>
      <x:c r="AO1287" t="n">
        <x:f>_xlfn.XLOOKUP($A1287,Games!$A$2:$A$18,Games!$J$2:$J$18,"Missing game",0)</x:f>
        <x:v>24</x:v>
      </x:c>
      <x:c r="AP1287" t="n">
        <x:f>_xlfn.XLOOKUP($A1287,Games!$A$2:$A$18,Games!$K$2:$K$18,"Missing game",0)</x:f>
        <x:v>-3</x:v>
      </x:c>
      <x:c r="AQ1287" t="n">
        <x:f>_xlfn.XLOOKUP($A1287,Games!$A$2:$A$18,Games!$L$2:$L$18,"Missing game",0)</x:f>
        <x:v>51</x:v>
      </x:c>
      <x:c r="AR1287" t="n">
        <x:f>_xlfn.XLOOKUP($A1287,Games!$A$2:$A$18,Games!$M$2:$M$18,"Missing game",0)</x:f>
        <x:v>0</x:v>
      </x:c>
      <x:c r="AS1287" t="str">
        <x:f>_xlfn.XLOOKUP($A1287,Games!$A$2:$A$18,Games!$N$2:$N$18,"Missing game",0)</x:f>
        <x:v>dome</x:v>
      </x:c>
      <x:c r="AT1287" t="str">
        <x:f>_xlfn.XLOOKUP($A1287,Games!$A$2:$A$18,Games!$O$2:$O$18,"Missing game",0)</x:f>
        <x:v>fieldturf</x:v>
      </x:c>
      <x:c r="AU1287" t="str">
        <x:f>_xlfn.XLOOKUP($A1287,Games!$A$2:$A$18,Games!$P$2:$P$18,"Missing game",0)</x:f>
      </x:c>
      <x:c r="AV1287" t="str">
        <x:f>_xlfn.XLOOKUP($A1287,Games!$A$2:$A$18,Games!$Q$2:$Q$18,"Missing game",0)</x:f>
      </x:c>
      <x:c r="AW1287" t="str">
        <x:f>_xlfn.XLOOKUP($A1287,Games!$A$2:$A$18,Games!$R$2:$R$18,"Missing game",0)</x:f>
        <x:v>Ford Field</x:v>
      </x:c>
    </x:row>
    <x:row r="1288">
      <x:c r="A1288" t="str">
        <x:v>2025_09_MIN_DET</x:v>
      </x:c>
      <x:c r="B1288" t="n">
        <x:v>2783</x:v>
      </x:c>
      <x:c r="C1288" t="n">
        <x:v>3</x:v>
      </x:c>
      <x:c r="D1288" t="str">
        <x:v>06:13</x:v>
      </x:c>
      <x:c r="E1288" t="n">
        <x:v>3</x:v>
      </x:c>
      <x:c r="F1288" t="n">
        <x:v>8</x:v>
      </x:c>
      <x:c r="G1288" t="str">
        <x:v>MIN</x:v>
      </x:c>
      <x:c r="H1288" t="str">
        <x:v>DET</x:v>
      </x:c>
      <x:c r="I1288" t="str">
        <x:v>DET</x:v>
      </x:c>
      <x:c r="J1288" t="n">
        <x:v>9</x:v>
      </x:c>
      <x:c r="K1288" t="str">
        <x:v>(6:13) (Shotgun) 9-J.McCarthy scrambles right end for 9 yards, TOUCHDOWN.</x:v>
      </x:c>
      <x:c r="L1288" t="str">
        <x:v>run</x:v>
      </x:c>
      <x:c r="M1288" t="n">
        <x:v>9</x:v>
      </x:c>
      <x:c r="N1288" t="n">
        <x:v>1</x:v>
      </x:c>
      <x:c r="O1288" t="n">
        <x:v>0</x:v>
      </x:c>
      <x:c r="P1288"/>
      <x:c r="Q1288"/>
      <x:c r="R1288"/>
      <x:c r="S1288"/>
      <x:c r="T1288" t="str">
        <x:v>right</x:v>
      </x:c>
      <x:c r="U1288" t="str">
        <x:v>end</x:v>
      </x:c>
      <x:c r="V1288" t="n">
        <x:v>0</x:v>
      </x:c>
      <x:c r="W1288" t="n">
        <x:v>1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/>
      <x:c r="AC1288" t="n">
        <x:v>1</x:v>
      </x:c>
      <x:c r="AD1288" t="n">
        <x:v>3.057881342130713</x:v>
      </x:c>
      <x:c r="AE1288" t="n">
        <x:v>1</x:v>
      </x:c>
      <x:c r="AF1288" t="n">
        <x:v>0.07734206366593144</x:v>
      </x:c>
      <x:c r="AG1288" t="n">
        <x:f>_xlfn.XLOOKUP($A1288,Games!$A$2:$A$18,Games!$B$2:$B$18,"Missing game",0)</x:f>
        <x:v>2025</x:v>
      </x:c>
      <x:c r="AH1288" t="str">
        <x:f>_xlfn.XLOOKUP($A1288,Games!$A$2:$A$18,Games!$C$2:$C$18,"Missing game",0)</x:f>
        <x:v>REG</x:v>
      </x:c>
      <x:c r="AI1288" t="n">
        <x:f>_xlfn.XLOOKUP($A1288,Games!$A$2:$A$18,Games!$D$2:$D$18,"Missing game",0)</x:f>
        <x:v>9</x:v>
      </x:c>
      <x:c r="AJ1288" s="1" t="n">
        <x:f>_xlfn.XLOOKUP($A1288,Games!$A$2:$A$18,Games!$E$2:$E$18,"Missing game",0)</x:f>
        <x:v>45963</x:v>
      </x:c>
      <x:c r="AK1288" t="str">
        <x:f>_xlfn.XLOOKUP($A1288,Games!$A$2:$A$18,Games!$F$2:$F$18,"Missing game",0)</x:f>
        <x:v>Sunday</x:v>
      </x:c>
      <x:c r="AL1288" t="str">
        <x:f>_xlfn.XLOOKUP($A1288,Games!$A$2:$A$18,Games!$G$2:$G$18,"Missing game",0)</x:f>
        <x:v>MIN</x:v>
      </x:c>
      <x:c r="AM1288" t="n">
        <x:f>_xlfn.XLOOKUP($A1288,Games!$A$2:$A$18,Games!$H$2:$H$18,"Missing game",0)</x:f>
        <x:v>27</x:v>
      </x:c>
      <x:c r="AN1288" t="str">
        <x:f>_xlfn.XLOOKUP($A1288,Games!$A$2:$A$18,Games!$I$2:$I$18,"Missing game",0)</x:f>
        <x:v>DET</x:v>
      </x:c>
      <x:c r="AO1288" t="n">
        <x:f>_xlfn.XLOOKUP($A1288,Games!$A$2:$A$18,Games!$J$2:$J$18,"Missing game",0)</x:f>
        <x:v>24</x:v>
      </x:c>
      <x:c r="AP1288" t="n">
        <x:f>_xlfn.XLOOKUP($A1288,Games!$A$2:$A$18,Games!$K$2:$K$18,"Missing game",0)</x:f>
        <x:v>-3</x:v>
      </x:c>
      <x:c r="AQ1288" t="n">
        <x:f>_xlfn.XLOOKUP($A1288,Games!$A$2:$A$18,Games!$L$2:$L$18,"Missing game",0)</x:f>
        <x:v>51</x:v>
      </x:c>
      <x:c r="AR1288" t="n">
        <x:f>_xlfn.XLOOKUP($A1288,Games!$A$2:$A$18,Games!$M$2:$M$18,"Missing game",0)</x:f>
        <x:v>0</x:v>
      </x:c>
      <x:c r="AS1288" t="str">
        <x:f>_xlfn.XLOOKUP($A1288,Games!$A$2:$A$18,Games!$N$2:$N$18,"Missing game",0)</x:f>
        <x:v>dome</x:v>
      </x:c>
      <x:c r="AT1288" t="str">
        <x:f>_xlfn.XLOOKUP($A1288,Games!$A$2:$A$18,Games!$O$2:$O$18,"Missing game",0)</x:f>
        <x:v>fieldturf</x:v>
      </x:c>
      <x:c r="AU1288" t="str">
        <x:f>_xlfn.XLOOKUP($A1288,Games!$A$2:$A$18,Games!$P$2:$P$18,"Missing game",0)</x:f>
      </x:c>
      <x:c r="AV1288" t="str">
        <x:f>_xlfn.XLOOKUP($A1288,Games!$A$2:$A$18,Games!$Q$2:$Q$18,"Missing game",0)</x:f>
      </x:c>
      <x:c r="AW1288" t="str">
        <x:f>_xlfn.XLOOKUP($A1288,Games!$A$2:$A$18,Games!$R$2:$R$18,"Missing game",0)</x:f>
        <x:v>Ford Field</x:v>
      </x:c>
    </x:row>
    <x:row r="1289">
      <x:c r="A1289" t="str">
        <x:v>2025_09_MIN_DET</x:v>
      </x:c>
      <x:c r="B1289" t="n">
        <x:v>2816</x:v>
      </x:c>
      <x:c r="C1289" t="n">
        <x:v>3</x:v>
      </x:c>
      <x:c r="D1289" t="str">
        <x:v>06:04</x:v>
      </x:c>
      <x:c r="E1289"/>
      <x:c r="F1289" t="n">
        <x:v>0</x:v>
      </x:c>
      <x:c r="G1289" t="str">
        <x:v>MIN</x:v>
      </x:c>
      <x:c r="H1289" t="str">
        <x:v>DET</x:v>
      </x:c>
      <x:c r="I1289" t="str">
        <x:v>DET</x:v>
      </x:c>
      <x:c r="J1289" t="n">
        <x:v>15</x:v>
      </x:c>
      <x:c r="K1289" t="str">
        <x:v>16-W.Reichard extra point is GOOD, Center-42-A.DePaola, Holder-17-R.Wright.</x:v>
      </x:c>
      <x:c r="L1289" t="str">
        <x:v>extra_point</x:v>
      </x:c>
      <x:c r="M1289" t="n">
        <x:v>0</x:v>
      </x:c>
      <x:c r="N1289" t="n">
        <x:v>0</x:v>
      </x:c>
      <x:c r="O1289" t="n">
        <x:v>0</x:v>
      </x:c>
      <x:c r="P1289"/>
      <x:c r="Q1289"/>
      <x:c r="R1289"/>
      <x:c r="S1289"/>
      <x:c r="T1289"/>
      <x:c r="U1289"/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/>
      <x:c r="AC1289" t="n">
        <x:v>0</x:v>
      </x:c>
      <x:c r="AD1289" t="n">
        <x:v>0.05117156607063911</x:v>
      </x:c>
      <x:c r="AE1289" t="n">
        <x:v>1</x:v>
      </x:c>
      <x:c r="AF1289" t="n">
        <x:v>0.0008002663845370073</x:v>
      </x:c>
      <x:c r="AG1289" t="n">
        <x:f>_xlfn.XLOOKUP($A1289,Games!$A$2:$A$18,Games!$B$2:$B$18,"Missing game",0)</x:f>
        <x:v>2025</x:v>
      </x:c>
      <x:c r="AH1289" t="str">
        <x:f>_xlfn.XLOOKUP($A1289,Games!$A$2:$A$18,Games!$C$2:$C$18,"Missing game",0)</x:f>
        <x:v>REG</x:v>
      </x:c>
      <x:c r="AI1289" t="n">
        <x:f>_xlfn.XLOOKUP($A1289,Games!$A$2:$A$18,Games!$D$2:$D$18,"Missing game",0)</x:f>
        <x:v>9</x:v>
      </x:c>
      <x:c r="AJ1289" s="1" t="n">
        <x:f>_xlfn.XLOOKUP($A1289,Games!$A$2:$A$18,Games!$E$2:$E$18,"Missing game",0)</x:f>
        <x:v>45963</x:v>
      </x:c>
      <x:c r="AK1289" t="str">
        <x:f>_xlfn.XLOOKUP($A1289,Games!$A$2:$A$18,Games!$F$2:$F$18,"Missing game",0)</x:f>
        <x:v>Sunday</x:v>
      </x:c>
      <x:c r="AL1289" t="str">
        <x:f>_xlfn.XLOOKUP($A1289,Games!$A$2:$A$18,Games!$G$2:$G$18,"Missing game",0)</x:f>
        <x:v>MIN</x:v>
      </x:c>
      <x:c r="AM1289" t="n">
        <x:f>_xlfn.XLOOKUP($A1289,Games!$A$2:$A$18,Games!$H$2:$H$18,"Missing game",0)</x:f>
        <x:v>27</x:v>
      </x:c>
      <x:c r="AN1289" t="str">
        <x:f>_xlfn.XLOOKUP($A1289,Games!$A$2:$A$18,Games!$I$2:$I$18,"Missing game",0)</x:f>
        <x:v>DET</x:v>
      </x:c>
      <x:c r="AO1289" t="n">
        <x:f>_xlfn.XLOOKUP($A1289,Games!$A$2:$A$18,Games!$J$2:$J$18,"Missing game",0)</x:f>
        <x:v>24</x:v>
      </x:c>
      <x:c r="AP1289" t="n">
        <x:f>_xlfn.XLOOKUP($A1289,Games!$A$2:$A$18,Games!$K$2:$K$18,"Missing game",0)</x:f>
        <x:v>-3</x:v>
      </x:c>
      <x:c r="AQ1289" t="n">
        <x:f>_xlfn.XLOOKUP($A1289,Games!$A$2:$A$18,Games!$L$2:$L$18,"Missing game",0)</x:f>
        <x:v>51</x:v>
      </x:c>
      <x:c r="AR1289" t="n">
        <x:f>_xlfn.XLOOKUP($A1289,Games!$A$2:$A$18,Games!$M$2:$M$18,"Missing game",0)</x:f>
        <x:v>0</x:v>
      </x:c>
      <x:c r="AS1289" t="str">
        <x:f>_xlfn.XLOOKUP($A1289,Games!$A$2:$A$18,Games!$N$2:$N$18,"Missing game",0)</x:f>
        <x:v>dome</x:v>
      </x:c>
      <x:c r="AT1289" t="str">
        <x:f>_xlfn.XLOOKUP($A1289,Games!$A$2:$A$18,Games!$O$2:$O$18,"Missing game",0)</x:f>
        <x:v>fieldturf</x:v>
      </x:c>
      <x:c r="AU1289" t="str">
        <x:f>_xlfn.XLOOKUP($A1289,Games!$A$2:$A$18,Games!$P$2:$P$18,"Missing game",0)</x:f>
      </x:c>
      <x:c r="AV1289" t="str">
        <x:f>_xlfn.XLOOKUP($A1289,Games!$A$2:$A$18,Games!$Q$2:$Q$18,"Missing game",0)</x:f>
      </x:c>
      <x:c r="AW1289" t="str">
        <x:f>_xlfn.XLOOKUP($A1289,Games!$A$2:$A$18,Games!$R$2:$R$18,"Missing game",0)</x:f>
        <x:v>Ford Field</x:v>
      </x:c>
    </x:row>
    <x:row r="1290">
      <x:c r="A1290" t="str">
        <x:v>2025_09_MIN_DET</x:v>
      </x:c>
      <x:c r="B1290" t="n">
        <x:v>2831</x:v>
      </x:c>
      <x:c r="C1290" t="n">
        <x:v>3</x:v>
      </x:c>
      <x:c r="D1290" t="str">
        <x:v>06:04</x:v>
      </x:c>
      <x:c r="E1290"/>
      <x:c r="F1290" t="n">
        <x:v>0</x:v>
      </x:c>
      <x:c r="G1290" t="str">
        <x:v>DET</x:v>
      </x:c>
      <x:c r="H1290" t="str">
        <x:v>MIN</x:v>
      </x:c>
      <x:c r="I1290" t="str">
        <x:v>MIN</x:v>
      </x:c>
      <x:c r="J1290" t="n">
        <x:v>35</x:v>
      </x:c>
      <x:c r="K1290" t="str">
        <x:v>16-W.Reichard kicks 65 yards from MIN 35 to DET 0. 25-J.Saylors to DET 39 for 39 yards (57-C.Chambliss). ** Injury Update: DET-42-T.Summers has returned to the game.</x:v>
      </x:c>
      <x:c r="L1290" t="str">
        <x:v>kickoff</x:v>
      </x:c>
      <x:c r="M1290" t="n">
        <x:v>0</x:v>
      </x:c>
      <x:c r="N1290" t="n">
        <x:v>0</x:v>
      </x:c>
      <x:c r="O1290" t="n">
        <x:v>0</x:v>
      </x:c>
      <x:c r="P1290"/>
      <x:c r="Q1290"/>
      <x:c r="R1290"/>
      <x:c r="S1290"/>
      <x:c r="T1290"/>
      <x:c r="U1290"/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/>
      <x:c r="AC1290" t="n">
        <x:v>0</x:v>
      </x:c>
      <x:c r="AD1290" t="n">
        <x:v>0.7891759988851845</x:v>
      </x:c>
      <x:c r="AE1290" t="n">
        <x:v>1</x:v>
      </x:c>
      <x:c r="AF1290" t="n">
        <x:v>0.0264492928981781</x:v>
      </x:c>
      <x:c r="AG1290" t="n">
        <x:f>_xlfn.XLOOKUP($A1290,Games!$A$2:$A$18,Games!$B$2:$B$18,"Missing game",0)</x:f>
        <x:v>2025</x:v>
      </x:c>
      <x:c r="AH1290" t="str">
        <x:f>_xlfn.XLOOKUP($A1290,Games!$A$2:$A$18,Games!$C$2:$C$18,"Missing game",0)</x:f>
        <x:v>REG</x:v>
      </x:c>
      <x:c r="AI1290" t="n">
        <x:f>_xlfn.XLOOKUP($A1290,Games!$A$2:$A$18,Games!$D$2:$D$18,"Missing game",0)</x:f>
        <x:v>9</x:v>
      </x:c>
      <x:c r="AJ1290" s="1" t="n">
        <x:f>_xlfn.XLOOKUP($A1290,Games!$A$2:$A$18,Games!$E$2:$E$18,"Missing game",0)</x:f>
        <x:v>45963</x:v>
      </x:c>
      <x:c r="AK1290" t="str">
        <x:f>_xlfn.XLOOKUP($A1290,Games!$A$2:$A$18,Games!$F$2:$F$18,"Missing game",0)</x:f>
        <x:v>Sunday</x:v>
      </x:c>
      <x:c r="AL1290" t="str">
        <x:f>_xlfn.XLOOKUP($A1290,Games!$A$2:$A$18,Games!$G$2:$G$18,"Missing game",0)</x:f>
        <x:v>MIN</x:v>
      </x:c>
      <x:c r="AM1290" t="n">
        <x:f>_xlfn.XLOOKUP($A1290,Games!$A$2:$A$18,Games!$H$2:$H$18,"Missing game",0)</x:f>
        <x:v>27</x:v>
      </x:c>
      <x:c r="AN1290" t="str">
        <x:f>_xlfn.XLOOKUP($A1290,Games!$A$2:$A$18,Games!$I$2:$I$18,"Missing game",0)</x:f>
        <x:v>DET</x:v>
      </x:c>
      <x:c r="AO1290" t="n">
        <x:f>_xlfn.XLOOKUP($A1290,Games!$A$2:$A$18,Games!$J$2:$J$18,"Missing game",0)</x:f>
        <x:v>24</x:v>
      </x:c>
      <x:c r="AP1290" t="n">
        <x:f>_xlfn.XLOOKUP($A1290,Games!$A$2:$A$18,Games!$K$2:$K$18,"Missing game",0)</x:f>
        <x:v>-3</x:v>
      </x:c>
      <x:c r="AQ1290" t="n">
        <x:f>_xlfn.XLOOKUP($A1290,Games!$A$2:$A$18,Games!$L$2:$L$18,"Missing game",0)</x:f>
        <x:v>51</x:v>
      </x:c>
      <x:c r="AR1290" t="n">
        <x:f>_xlfn.XLOOKUP($A1290,Games!$A$2:$A$18,Games!$M$2:$M$18,"Missing game",0)</x:f>
        <x:v>0</x:v>
      </x:c>
      <x:c r="AS1290" t="str">
        <x:f>_xlfn.XLOOKUP($A1290,Games!$A$2:$A$18,Games!$N$2:$N$18,"Missing game",0)</x:f>
        <x:v>dome</x:v>
      </x:c>
      <x:c r="AT1290" t="str">
        <x:f>_xlfn.XLOOKUP($A1290,Games!$A$2:$A$18,Games!$O$2:$O$18,"Missing game",0)</x:f>
        <x:v>fieldturf</x:v>
      </x:c>
      <x:c r="AU1290" t="str">
        <x:f>_xlfn.XLOOKUP($A1290,Games!$A$2:$A$18,Games!$P$2:$P$18,"Missing game",0)</x:f>
      </x:c>
      <x:c r="AV1290" t="str">
        <x:f>_xlfn.XLOOKUP($A1290,Games!$A$2:$A$18,Games!$Q$2:$Q$18,"Missing game",0)</x:f>
      </x:c>
      <x:c r="AW1290" t="str">
        <x:f>_xlfn.XLOOKUP($A1290,Games!$A$2:$A$18,Games!$R$2:$R$18,"Missing game",0)</x:f>
        <x:v>Ford Field</x:v>
      </x:c>
    </x:row>
    <x:row r="1291">
      <x:c r="A1291" t="str">
        <x:v>2025_09_MIN_DET</x:v>
      </x:c>
      <x:c r="B1291" t="n">
        <x:v>2854</x:v>
      </x:c>
      <x:c r="C1291" t="n">
        <x:v>3</x:v>
      </x:c>
      <x:c r="D1291" t="str">
        <x:v>05:58</x:v>
      </x:c>
      <x:c r="E1291" t="n">
        <x:v>1</x:v>
      </x:c>
      <x:c r="F1291" t="n">
        <x:v>10</x:v>
      </x:c>
      <x:c r="G1291" t="str">
        <x:v>DET</x:v>
      </x:c>
      <x:c r="H1291" t="str">
        <x:v>MIN</x:v>
      </x:c>
      <x:c r="I1291" t="str">
        <x:v>DET</x:v>
      </x:c>
      <x:c r="J1291" t="n">
        <x:v>61</x:v>
      </x:c>
      <x:c r="K1291" t="str">
        <x:v>(5:58) (Shotgun) 16-J.Goff sacked at DET 31 for -8 yards (97-J.Hargrave). DET-68-T.Decker was injured during the play.</x:v>
      </x:c>
      <x:c r="L1291" t="str">
        <x:v>pass</x:v>
      </x:c>
      <x:c r="M1291" t="n">
        <x:v>-8</x:v>
      </x:c>
      <x:c r="N1291" t="n">
        <x:v>1</x:v>
      </x:c>
      <x:c r="O1291" t="n">
        <x:v>0</x:v>
      </x:c>
      <x:c r="P1291"/>
      <x:c r="Q1291"/>
      <x:c r="R1291"/>
      <x:c r="S1291"/>
      <x:c r="T1291"/>
      <x:c r="U1291"/>
      <x:c r="V1291" t="n">
        <x:v>0</x:v>
      </x:c>
      <x:c r="W1291" t="n">
        <x:v>0</x:v>
      </x:c>
      <x:c r="X1291" t="n">
        <x:v>1</x:v>
      </x:c>
      <x:c r="Y1291" t="n">
        <x:v>0</x:v>
      </x:c>
      <x:c r="Z1291" t="n">
        <x:v>0</x:v>
      </x:c>
      <x:c r="AA1291" t="n">
        <x:v>0</x:v>
      </x:c>
      <x:c r="AB1291"/>
      <x:c r="AC1291" t="n">
        <x:v>0</x:v>
      </x:c>
      <x:c r="AD1291" t="n">
        <x:v>-1.3912840948905796</x:v>
      </x:c>
      <x:c r="AE1291" t="n">
        <x:v>0</x:v>
      </x:c>
      <x:c r="AF1291" t="n">
        <x:v>-0.03468151390552521</x:v>
      </x:c>
      <x:c r="AG1291" t="n">
        <x:f>_xlfn.XLOOKUP($A1291,Games!$A$2:$A$18,Games!$B$2:$B$18,"Missing game",0)</x:f>
        <x:v>2025</x:v>
      </x:c>
      <x:c r="AH1291" t="str">
        <x:f>_xlfn.XLOOKUP($A1291,Games!$A$2:$A$18,Games!$C$2:$C$18,"Missing game",0)</x:f>
        <x:v>REG</x:v>
      </x:c>
      <x:c r="AI1291" t="n">
        <x:f>_xlfn.XLOOKUP($A1291,Games!$A$2:$A$18,Games!$D$2:$D$18,"Missing game",0)</x:f>
        <x:v>9</x:v>
      </x:c>
      <x:c r="AJ1291" s="1" t="n">
        <x:f>_xlfn.XLOOKUP($A1291,Games!$A$2:$A$18,Games!$E$2:$E$18,"Missing game",0)</x:f>
        <x:v>45963</x:v>
      </x:c>
      <x:c r="AK1291" t="str">
        <x:f>_xlfn.XLOOKUP($A1291,Games!$A$2:$A$18,Games!$F$2:$F$18,"Missing game",0)</x:f>
        <x:v>Sunday</x:v>
      </x:c>
      <x:c r="AL1291" t="str">
        <x:f>_xlfn.XLOOKUP($A1291,Games!$A$2:$A$18,Games!$G$2:$G$18,"Missing game",0)</x:f>
        <x:v>MIN</x:v>
      </x:c>
      <x:c r="AM1291" t="n">
        <x:f>_xlfn.XLOOKUP($A1291,Games!$A$2:$A$18,Games!$H$2:$H$18,"Missing game",0)</x:f>
        <x:v>27</x:v>
      </x:c>
      <x:c r="AN1291" t="str">
        <x:f>_xlfn.XLOOKUP($A1291,Games!$A$2:$A$18,Games!$I$2:$I$18,"Missing game",0)</x:f>
        <x:v>DET</x:v>
      </x:c>
      <x:c r="AO1291" t="n">
        <x:f>_xlfn.XLOOKUP($A1291,Games!$A$2:$A$18,Games!$J$2:$J$18,"Missing game",0)</x:f>
        <x:v>24</x:v>
      </x:c>
      <x:c r="AP1291" t="n">
        <x:f>_xlfn.XLOOKUP($A1291,Games!$A$2:$A$18,Games!$K$2:$K$18,"Missing game",0)</x:f>
        <x:v>-3</x:v>
      </x:c>
      <x:c r="AQ1291" t="n">
        <x:f>_xlfn.XLOOKUP($A1291,Games!$A$2:$A$18,Games!$L$2:$L$18,"Missing game",0)</x:f>
        <x:v>51</x:v>
      </x:c>
      <x:c r="AR1291" t="n">
        <x:f>_xlfn.XLOOKUP($A1291,Games!$A$2:$A$18,Games!$M$2:$M$18,"Missing game",0)</x:f>
        <x:v>0</x:v>
      </x:c>
      <x:c r="AS1291" t="str">
        <x:f>_xlfn.XLOOKUP($A1291,Games!$A$2:$A$18,Games!$N$2:$N$18,"Missing game",0)</x:f>
        <x:v>dome</x:v>
      </x:c>
      <x:c r="AT1291" t="str">
        <x:f>_xlfn.XLOOKUP($A1291,Games!$A$2:$A$18,Games!$O$2:$O$18,"Missing game",0)</x:f>
        <x:v>fieldturf</x:v>
      </x:c>
      <x:c r="AU1291" t="str">
        <x:f>_xlfn.XLOOKUP($A1291,Games!$A$2:$A$18,Games!$P$2:$P$18,"Missing game",0)</x:f>
      </x:c>
      <x:c r="AV1291" t="str">
        <x:f>_xlfn.XLOOKUP($A1291,Games!$A$2:$A$18,Games!$Q$2:$Q$18,"Missing game",0)</x:f>
      </x:c>
      <x:c r="AW1291" t="str">
        <x:f>_xlfn.XLOOKUP($A1291,Games!$A$2:$A$18,Games!$R$2:$R$18,"Missing game",0)</x:f>
        <x:v>Ford Field</x:v>
      </x:c>
    </x:row>
    <x:row r="1292">
      <x:c r="A1292" t="str">
        <x:v>2025_09_MIN_DET</x:v>
      </x:c>
      <x:c r="B1292" t="n">
        <x:v>2880</x:v>
      </x:c>
      <x:c r="C1292" t="n">
        <x:v>3</x:v>
      </x:c>
      <x:c r="D1292" t="str">
        <x:v>05:33</x:v>
      </x:c>
      <x:c r="E1292" t="n">
        <x:v>2</x:v>
      </x:c>
      <x:c r="F1292" t="n">
        <x:v>18</x:v>
      </x:c>
      <x:c r="G1292" t="str">
        <x:v>DET</x:v>
      </x:c>
      <x:c r="H1292" t="str">
        <x:v>MIN</x:v>
      </x:c>
      <x:c r="I1292" t="str">
        <x:v>DET</x:v>
      </x:c>
      <x:c r="J1292" t="n">
        <x:v>69</x:v>
      </x:c>
      <x:c r="K1292" t="str">
        <x:v>(5:33) (Shotgun) 16-J.Goff pass short middle to 14-A.St. Brown to DET 46 for 15 yards (7-B.Murphy).</x:v>
      </x:c>
      <x:c r="L1292" t="str">
        <x:v>pass</x:v>
      </x:c>
      <x:c r="M1292" t="n">
        <x:v>15</x:v>
      </x:c>
      <x:c r="N1292" t="n">
        <x:v>1</x:v>
      </x:c>
      <x:c r="O1292" t="n">
        <x:v>0</x:v>
      </x:c>
      <x:c r="P1292" t="str">
        <x:v>short</x:v>
      </x:c>
      <x:c r="Q1292" t="str">
        <x:v>middle</x:v>
      </x:c>
      <x:c r="R1292" t="n">
        <x:v>13</x:v>
      </x:c>
      <x:c r="S1292" t="n">
        <x:v>2</x:v>
      </x:c>
      <x:c r="T1292"/>
      <x:c r="U1292"/>
      <x:c r="V1292" t="n">
        <x:v>1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/>
      <x:c r="AC1292" t="n">
        <x:v>0</x:v>
      </x:c>
      <x:c r="AD1292" t="n">
        <x:v>0.8851052031386644</x:v>
      </x:c>
      <x:c r="AE1292" t="n">
        <x:v>1</x:v>
      </x:c>
      <x:c r="AF1292" t="n">
        <x:v>0.0357690155506134</x:v>
      </x:c>
      <x:c r="AG1292" t="n">
        <x:f>_xlfn.XLOOKUP($A1292,Games!$A$2:$A$18,Games!$B$2:$B$18,"Missing game",0)</x:f>
        <x:v>2025</x:v>
      </x:c>
      <x:c r="AH1292" t="str">
        <x:f>_xlfn.XLOOKUP($A1292,Games!$A$2:$A$18,Games!$C$2:$C$18,"Missing game",0)</x:f>
        <x:v>REG</x:v>
      </x:c>
      <x:c r="AI1292" t="n">
        <x:f>_xlfn.XLOOKUP($A1292,Games!$A$2:$A$18,Games!$D$2:$D$18,"Missing game",0)</x:f>
        <x:v>9</x:v>
      </x:c>
      <x:c r="AJ1292" s="1" t="n">
        <x:f>_xlfn.XLOOKUP($A1292,Games!$A$2:$A$18,Games!$E$2:$E$18,"Missing game",0)</x:f>
        <x:v>45963</x:v>
      </x:c>
      <x:c r="AK1292" t="str">
        <x:f>_xlfn.XLOOKUP($A1292,Games!$A$2:$A$18,Games!$F$2:$F$18,"Missing game",0)</x:f>
        <x:v>Sunday</x:v>
      </x:c>
      <x:c r="AL1292" t="str">
        <x:f>_xlfn.XLOOKUP($A1292,Games!$A$2:$A$18,Games!$G$2:$G$18,"Missing game",0)</x:f>
        <x:v>MIN</x:v>
      </x:c>
      <x:c r="AM1292" t="n">
        <x:f>_xlfn.XLOOKUP($A1292,Games!$A$2:$A$18,Games!$H$2:$H$18,"Missing game",0)</x:f>
        <x:v>27</x:v>
      </x:c>
      <x:c r="AN1292" t="str">
        <x:f>_xlfn.XLOOKUP($A1292,Games!$A$2:$A$18,Games!$I$2:$I$18,"Missing game",0)</x:f>
        <x:v>DET</x:v>
      </x:c>
      <x:c r="AO1292" t="n">
        <x:f>_xlfn.XLOOKUP($A1292,Games!$A$2:$A$18,Games!$J$2:$J$18,"Missing game",0)</x:f>
        <x:v>24</x:v>
      </x:c>
      <x:c r="AP1292" t="n">
        <x:f>_xlfn.XLOOKUP($A1292,Games!$A$2:$A$18,Games!$K$2:$K$18,"Missing game",0)</x:f>
        <x:v>-3</x:v>
      </x:c>
      <x:c r="AQ1292" t="n">
        <x:f>_xlfn.XLOOKUP($A1292,Games!$A$2:$A$18,Games!$L$2:$L$18,"Missing game",0)</x:f>
        <x:v>51</x:v>
      </x:c>
      <x:c r="AR1292" t="n">
        <x:f>_xlfn.XLOOKUP($A1292,Games!$A$2:$A$18,Games!$M$2:$M$18,"Missing game",0)</x:f>
        <x:v>0</x:v>
      </x:c>
      <x:c r="AS1292" t="str">
        <x:f>_xlfn.XLOOKUP($A1292,Games!$A$2:$A$18,Games!$N$2:$N$18,"Missing game",0)</x:f>
        <x:v>dome</x:v>
      </x:c>
      <x:c r="AT1292" t="str">
        <x:f>_xlfn.XLOOKUP($A1292,Games!$A$2:$A$18,Games!$O$2:$O$18,"Missing game",0)</x:f>
        <x:v>fieldturf</x:v>
      </x:c>
      <x:c r="AU1292" t="str">
        <x:f>_xlfn.XLOOKUP($A1292,Games!$A$2:$A$18,Games!$P$2:$P$18,"Missing game",0)</x:f>
      </x:c>
      <x:c r="AV1292" t="str">
        <x:f>_xlfn.XLOOKUP($A1292,Games!$A$2:$A$18,Games!$Q$2:$Q$18,"Missing game",0)</x:f>
      </x:c>
      <x:c r="AW1292" t="str">
        <x:f>_xlfn.XLOOKUP($A1292,Games!$A$2:$A$18,Games!$R$2:$R$18,"Missing game",0)</x:f>
        <x:v>Ford Field</x:v>
      </x:c>
    </x:row>
    <x:row r="1293">
      <x:c r="A1293" t="str">
        <x:v>2025_09_MIN_DET</x:v>
      </x:c>
      <x:c r="B1293" t="n">
        <x:v>2912</x:v>
      </x:c>
      <x:c r="C1293" t="n">
        <x:v>3</x:v>
      </x:c>
      <x:c r="D1293" t="str">
        <x:v>05:10</x:v>
      </x:c>
      <x:c r="E1293" t="n">
        <x:v>3</x:v>
      </x:c>
      <x:c r="F1293" t="n">
        <x:v>3</x:v>
      </x:c>
      <x:c r="G1293" t="str">
        <x:v>DET</x:v>
      </x:c>
      <x:c r="H1293" t="str">
        <x:v>MIN</x:v>
      </x:c>
      <x:c r="I1293" t="str">
        <x:v>DET</x:v>
      </x:c>
      <x:c r="J1293" t="n">
        <x:v>54</x:v>
      </x:c>
      <x:c r="K1293" t="str">
        <x:v>(5:10) (No Huddle, Shotgun) 16-J.Goff pass short left to 89-B.Wright to MIN 43 for 11 yards (23-F.Moreau; 58-J.Greenard).</x:v>
      </x:c>
      <x:c r="L1293" t="str">
        <x:v>pass</x:v>
      </x:c>
      <x:c r="M1293" t="n">
        <x:v>11</x:v>
      </x:c>
      <x:c r="N1293" t="n">
        <x:v>1</x:v>
      </x:c>
      <x:c r="O1293" t="n">
        <x:v>1</x:v>
      </x:c>
      <x:c r="P1293" t="str">
        <x:v>short</x:v>
      </x:c>
      <x:c r="Q1293" t="str">
        <x:v>left</x:v>
      </x:c>
      <x:c r="R1293" t="n">
        <x:v>2</x:v>
      </x:c>
      <x:c r="S1293" t="n">
        <x:v>9</x:v>
      </x:c>
      <x:c r="T1293"/>
      <x:c r="U1293"/>
      <x:c r="V1293" t="n">
        <x:v>1</x:v>
      </x:c>
      <x:c r="W1293" t="n">
        <x:v>1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/>
      <x:c r="AC1293" t="n">
        <x:v>0</x:v>
      </x:c>
      <x:c r="AD1293" t="n">
        <x:v>1.4671965192537755</x:v>
      </x:c>
      <x:c r="AE1293" t="n">
        <x:v>1</x:v>
      </x:c>
      <x:c r="AF1293" t="n">
        <x:v>0.004979118704795837</x:v>
      </x:c>
      <x:c r="AG1293" t="n">
        <x:f>_xlfn.XLOOKUP($A1293,Games!$A$2:$A$18,Games!$B$2:$B$18,"Missing game",0)</x:f>
        <x:v>2025</x:v>
      </x:c>
      <x:c r="AH1293" t="str">
        <x:f>_xlfn.XLOOKUP($A1293,Games!$A$2:$A$18,Games!$C$2:$C$18,"Missing game",0)</x:f>
        <x:v>REG</x:v>
      </x:c>
      <x:c r="AI1293" t="n">
        <x:f>_xlfn.XLOOKUP($A1293,Games!$A$2:$A$18,Games!$D$2:$D$18,"Missing game",0)</x:f>
        <x:v>9</x:v>
      </x:c>
      <x:c r="AJ1293" s="1" t="n">
        <x:f>_xlfn.XLOOKUP($A1293,Games!$A$2:$A$18,Games!$E$2:$E$18,"Missing game",0)</x:f>
        <x:v>45963</x:v>
      </x:c>
      <x:c r="AK1293" t="str">
        <x:f>_xlfn.XLOOKUP($A1293,Games!$A$2:$A$18,Games!$F$2:$F$18,"Missing game",0)</x:f>
        <x:v>Sunday</x:v>
      </x:c>
      <x:c r="AL1293" t="str">
        <x:f>_xlfn.XLOOKUP($A1293,Games!$A$2:$A$18,Games!$G$2:$G$18,"Missing game",0)</x:f>
        <x:v>MIN</x:v>
      </x:c>
      <x:c r="AM1293" t="n">
        <x:f>_xlfn.XLOOKUP($A1293,Games!$A$2:$A$18,Games!$H$2:$H$18,"Missing game",0)</x:f>
        <x:v>27</x:v>
      </x:c>
      <x:c r="AN1293" t="str">
        <x:f>_xlfn.XLOOKUP($A1293,Games!$A$2:$A$18,Games!$I$2:$I$18,"Missing game",0)</x:f>
        <x:v>DET</x:v>
      </x:c>
      <x:c r="AO1293" t="n">
        <x:f>_xlfn.XLOOKUP($A1293,Games!$A$2:$A$18,Games!$J$2:$J$18,"Missing game",0)</x:f>
        <x:v>24</x:v>
      </x:c>
      <x:c r="AP1293" t="n">
        <x:f>_xlfn.XLOOKUP($A1293,Games!$A$2:$A$18,Games!$K$2:$K$18,"Missing game",0)</x:f>
        <x:v>-3</x:v>
      </x:c>
      <x:c r="AQ1293" t="n">
        <x:f>_xlfn.XLOOKUP($A1293,Games!$A$2:$A$18,Games!$L$2:$L$18,"Missing game",0)</x:f>
        <x:v>51</x:v>
      </x:c>
      <x:c r="AR1293" t="n">
        <x:f>_xlfn.XLOOKUP($A1293,Games!$A$2:$A$18,Games!$M$2:$M$18,"Missing game",0)</x:f>
        <x:v>0</x:v>
      </x:c>
      <x:c r="AS1293" t="str">
        <x:f>_xlfn.XLOOKUP($A1293,Games!$A$2:$A$18,Games!$N$2:$N$18,"Missing game",0)</x:f>
        <x:v>dome</x:v>
      </x:c>
      <x:c r="AT1293" t="str">
        <x:f>_xlfn.XLOOKUP($A1293,Games!$A$2:$A$18,Games!$O$2:$O$18,"Missing game",0)</x:f>
        <x:v>fieldturf</x:v>
      </x:c>
      <x:c r="AU1293" t="str">
        <x:f>_xlfn.XLOOKUP($A1293,Games!$A$2:$A$18,Games!$P$2:$P$18,"Missing game",0)</x:f>
      </x:c>
      <x:c r="AV1293" t="str">
        <x:f>_xlfn.XLOOKUP($A1293,Games!$A$2:$A$18,Games!$Q$2:$Q$18,"Missing game",0)</x:f>
      </x:c>
      <x:c r="AW1293" t="str">
        <x:f>_xlfn.XLOOKUP($A1293,Games!$A$2:$A$18,Games!$R$2:$R$18,"Missing game",0)</x:f>
        <x:v>Ford Field</x:v>
      </x:c>
    </x:row>
    <x:row r="1294">
      <x:c r="A1294" t="str">
        <x:v>2025_09_MIN_DET</x:v>
      </x:c>
      <x:c r="B1294" t="n">
        <x:v>2937</x:v>
      </x:c>
      <x:c r="C1294" t="n">
        <x:v>3</x:v>
      </x:c>
      <x:c r="D1294" t="str">
        <x:v>04:29</x:v>
      </x:c>
      <x:c r="E1294" t="n">
        <x:v>1</x:v>
      </x:c>
      <x:c r="F1294" t="n">
        <x:v>10</x:v>
      </x:c>
      <x:c r="G1294" t="str">
        <x:v>DET</x:v>
      </x:c>
      <x:c r="H1294" t="str">
        <x:v>MIN</x:v>
      </x:c>
      <x:c r="I1294" t="str">
        <x:v>MIN</x:v>
      </x:c>
      <x:c r="J1294" t="n">
        <x:v>43</x:v>
      </x:c>
      <x:c r="K1294" t="str">
        <x:v>(4:29) 16-J.Goff pass short middle to 1-J.Williams to MIN 30 for 13 yards (22-H.Smith).</x:v>
      </x:c>
      <x:c r="L1294" t="str">
        <x:v>pass</x:v>
      </x:c>
      <x:c r="M1294" t="n">
        <x:v>13</x:v>
      </x:c>
      <x:c r="N1294" t="n">
        <x:v>0</x:v>
      </x:c>
      <x:c r="O1294" t="n">
        <x:v>0</x:v>
      </x:c>
      <x:c r="P1294" t="str">
        <x:v>short</x:v>
      </x:c>
      <x:c r="Q1294" t="str">
        <x:v>middle</x:v>
      </x:c>
      <x:c r="R1294" t="n">
        <x:v>13</x:v>
      </x:c>
      <x:c r="S1294" t="n">
        <x:v>0</x:v>
      </x:c>
      <x:c r="T1294"/>
      <x:c r="U1294"/>
      <x:c r="V1294" t="n">
        <x:v>1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/>
      <x:c r="AC1294" t="n">
        <x:v>0</x:v>
      </x:c>
      <x:c r="AD1294" t="n">
        <x:v>0.8643457503058016</x:v>
      </x:c>
      <x:c r="AE1294" t="n">
        <x:v>1</x:v>
      </x:c>
      <x:c r="AF1294" t="n">
        <x:v>0.021974995732307434</x:v>
      </x:c>
      <x:c r="AG1294" t="n">
        <x:f>_xlfn.XLOOKUP($A1294,Games!$A$2:$A$18,Games!$B$2:$B$18,"Missing game",0)</x:f>
        <x:v>2025</x:v>
      </x:c>
      <x:c r="AH1294" t="str">
        <x:f>_xlfn.XLOOKUP($A1294,Games!$A$2:$A$18,Games!$C$2:$C$18,"Missing game",0)</x:f>
        <x:v>REG</x:v>
      </x:c>
      <x:c r="AI1294" t="n">
        <x:f>_xlfn.XLOOKUP($A1294,Games!$A$2:$A$18,Games!$D$2:$D$18,"Missing game",0)</x:f>
        <x:v>9</x:v>
      </x:c>
      <x:c r="AJ1294" s="1" t="n">
        <x:f>_xlfn.XLOOKUP($A1294,Games!$A$2:$A$18,Games!$E$2:$E$18,"Missing game",0)</x:f>
        <x:v>45963</x:v>
      </x:c>
      <x:c r="AK1294" t="str">
        <x:f>_xlfn.XLOOKUP($A1294,Games!$A$2:$A$18,Games!$F$2:$F$18,"Missing game",0)</x:f>
        <x:v>Sunday</x:v>
      </x:c>
      <x:c r="AL1294" t="str">
        <x:f>_xlfn.XLOOKUP($A1294,Games!$A$2:$A$18,Games!$G$2:$G$18,"Missing game",0)</x:f>
        <x:v>MIN</x:v>
      </x:c>
      <x:c r="AM1294" t="n">
        <x:f>_xlfn.XLOOKUP($A1294,Games!$A$2:$A$18,Games!$H$2:$H$18,"Missing game",0)</x:f>
        <x:v>27</x:v>
      </x:c>
      <x:c r="AN1294" t="str">
        <x:f>_xlfn.XLOOKUP($A1294,Games!$A$2:$A$18,Games!$I$2:$I$18,"Missing game",0)</x:f>
        <x:v>DET</x:v>
      </x:c>
      <x:c r="AO1294" t="n">
        <x:f>_xlfn.XLOOKUP($A1294,Games!$A$2:$A$18,Games!$J$2:$J$18,"Missing game",0)</x:f>
        <x:v>24</x:v>
      </x:c>
      <x:c r="AP1294" t="n">
        <x:f>_xlfn.XLOOKUP($A1294,Games!$A$2:$A$18,Games!$K$2:$K$18,"Missing game",0)</x:f>
        <x:v>-3</x:v>
      </x:c>
      <x:c r="AQ1294" t="n">
        <x:f>_xlfn.XLOOKUP($A1294,Games!$A$2:$A$18,Games!$L$2:$L$18,"Missing game",0)</x:f>
        <x:v>51</x:v>
      </x:c>
      <x:c r="AR1294" t="n">
        <x:f>_xlfn.XLOOKUP($A1294,Games!$A$2:$A$18,Games!$M$2:$M$18,"Missing game",0)</x:f>
        <x:v>0</x:v>
      </x:c>
      <x:c r="AS1294" t="str">
        <x:f>_xlfn.XLOOKUP($A1294,Games!$A$2:$A$18,Games!$N$2:$N$18,"Missing game",0)</x:f>
        <x:v>dome</x:v>
      </x:c>
      <x:c r="AT1294" t="str">
        <x:f>_xlfn.XLOOKUP($A1294,Games!$A$2:$A$18,Games!$O$2:$O$18,"Missing game",0)</x:f>
        <x:v>fieldturf</x:v>
      </x:c>
      <x:c r="AU1294" t="str">
        <x:f>_xlfn.XLOOKUP($A1294,Games!$A$2:$A$18,Games!$P$2:$P$18,"Missing game",0)</x:f>
      </x:c>
      <x:c r="AV1294" t="str">
        <x:f>_xlfn.XLOOKUP($A1294,Games!$A$2:$A$18,Games!$Q$2:$Q$18,"Missing game",0)</x:f>
      </x:c>
      <x:c r="AW1294" t="str">
        <x:f>_xlfn.XLOOKUP($A1294,Games!$A$2:$A$18,Games!$R$2:$R$18,"Missing game",0)</x:f>
        <x:v>Ford Field</x:v>
      </x:c>
    </x:row>
    <x:row r="1295">
      <x:c r="A1295" t="str">
        <x:v>2025_09_MIN_DET</x:v>
      </x:c>
      <x:c r="B1295" t="n">
        <x:v>2962</x:v>
      </x:c>
      <x:c r="C1295" t="n">
        <x:v>3</x:v>
      </x:c>
      <x:c r="D1295" t="str">
        <x:v>03:46</x:v>
      </x:c>
      <x:c r="E1295" t="n">
        <x:v>1</x:v>
      </x:c>
      <x:c r="F1295" t="n">
        <x:v>10</x:v>
      </x:c>
      <x:c r="G1295" t="str">
        <x:v>DET</x:v>
      </x:c>
      <x:c r="H1295" t="str">
        <x:v>MIN</x:v>
      </x:c>
      <x:c r="I1295" t="str">
        <x:v>MIN</x:v>
      </x:c>
      <x:c r="J1295" t="n">
        <x:v>30</x:v>
      </x:c>
      <x:c r="K1295" t="str">
        <x:v>(3:46) PENALTY on DET-89-B.Wright, False Start, 5 yards, enforced at MIN 30 - No Play.</x:v>
      </x:c>
      <x:c r="L1295" t="str">
        <x:v>no_play</x:v>
      </x:c>
      <x:c r="M1295" t="n">
        <x:v>0</x:v>
      </x:c>
      <x:c r="N1295" t="n">
        <x:v>0</x:v>
      </x:c>
      <x:c r="O1295" t="n">
        <x:v>0</x:v>
      </x:c>
      <x:c r="P1295"/>
      <x:c r="Q1295"/>
      <x:c r="R1295"/>
      <x:c r="S1295"/>
      <x:c r="T1295"/>
      <x:c r="U1295"/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1</x:v>
      </x:c>
      <x:c r="AB1295" t="n">
        <x:v>5</x:v>
      </x:c>
      <x:c r="AC1295" t="n">
        <x:v>0</x:v>
      </x:c>
      <x:c r="AD1295" t="n">
        <x:v>-0.719490408198908</x:v>
      </x:c>
      <x:c r="AE1295" t="n">
        <x:v>0</x:v>
      </x:c>
      <x:c r="AF1295" t="n">
        <x:v>-0.03661304712295532</x:v>
      </x:c>
      <x:c r="AG1295" t="n">
        <x:f>_xlfn.XLOOKUP($A1295,Games!$A$2:$A$18,Games!$B$2:$B$18,"Missing game",0)</x:f>
        <x:v>2025</x:v>
      </x:c>
      <x:c r="AH1295" t="str">
        <x:f>_xlfn.XLOOKUP($A1295,Games!$A$2:$A$18,Games!$C$2:$C$18,"Missing game",0)</x:f>
        <x:v>REG</x:v>
      </x:c>
      <x:c r="AI1295" t="n">
        <x:f>_xlfn.XLOOKUP($A1295,Games!$A$2:$A$18,Games!$D$2:$D$18,"Missing game",0)</x:f>
        <x:v>9</x:v>
      </x:c>
      <x:c r="AJ1295" s="1" t="n">
        <x:f>_xlfn.XLOOKUP($A1295,Games!$A$2:$A$18,Games!$E$2:$E$18,"Missing game",0)</x:f>
        <x:v>45963</x:v>
      </x:c>
      <x:c r="AK1295" t="str">
        <x:f>_xlfn.XLOOKUP($A1295,Games!$A$2:$A$18,Games!$F$2:$F$18,"Missing game",0)</x:f>
        <x:v>Sunday</x:v>
      </x:c>
      <x:c r="AL1295" t="str">
        <x:f>_xlfn.XLOOKUP($A1295,Games!$A$2:$A$18,Games!$G$2:$G$18,"Missing game",0)</x:f>
        <x:v>MIN</x:v>
      </x:c>
      <x:c r="AM1295" t="n">
        <x:f>_xlfn.XLOOKUP($A1295,Games!$A$2:$A$18,Games!$H$2:$H$18,"Missing game",0)</x:f>
        <x:v>27</x:v>
      </x:c>
      <x:c r="AN1295" t="str">
        <x:f>_xlfn.XLOOKUP($A1295,Games!$A$2:$A$18,Games!$I$2:$I$18,"Missing game",0)</x:f>
        <x:v>DET</x:v>
      </x:c>
      <x:c r="AO1295" t="n">
        <x:f>_xlfn.XLOOKUP($A1295,Games!$A$2:$A$18,Games!$J$2:$J$18,"Missing game",0)</x:f>
        <x:v>24</x:v>
      </x:c>
      <x:c r="AP1295" t="n">
        <x:f>_xlfn.XLOOKUP($A1295,Games!$A$2:$A$18,Games!$K$2:$K$18,"Missing game",0)</x:f>
        <x:v>-3</x:v>
      </x:c>
      <x:c r="AQ1295" t="n">
        <x:f>_xlfn.XLOOKUP($A1295,Games!$A$2:$A$18,Games!$L$2:$L$18,"Missing game",0)</x:f>
        <x:v>51</x:v>
      </x:c>
      <x:c r="AR1295" t="n">
        <x:f>_xlfn.XLOOKUP($A1295,Games!$A$2:$A$18,Games!$M$2:$M$18,"Missing game",0)</x:f>
        <x:v>0</x:v>
      </x:c>
      <x:c r="AS1295" t="str">
        <x:f>_xlfn.XLOOKUP($A1295,Games!$A$2:$A$18,Games!$N$2:$N$18,"Missing game",0)</x:f>
        <x:v>dome</x:v>
      </x:c>
      <x:c r="AT1295" t="str">
        <x:f>_xlfn.XLOOKUP($A1295,Games!$A$2:$A$18,Games!$O$2:$O$18,"Missing game",0)</x:f>
        <x:v>fieldturf</x:v>
      </x:c>
      <x:c r="AU1295" t="str">
        <x:f>_xlfn.XLOOKUP($A1295,Games!$A$2:$A$18,Games!$P$2:$P$18,"Missing game",0)</x:f>
      </x:c>
      <x:c r="AV1295" t="str">
        <x:f>_xlfn.XLOOKUP($A1295,Games!$A$2:$A$18,Games!$Q$2:$Q$18,"Missing game",0)</x:f>
      </x:c>
      <x:c r="AW1295" t="str">
        <x:f>_xlfn.XLOOKUP($A1295,Games!$A$2:$A$18,Games!$R$2:$R$18,"Missing game",0)</x:f>
        <x:v>Ford Field</x:v>
      </x:c>
    </x:row>
    <x:row r="1296">
      <x:c r="A1296" t="str">
        <x:v>2025_09_MIN_DET</x:v>
      </x:c>
      <x:c r="B1296" t="n">
        <x:v>2986</x:v>
      </x:c>
      <x:c r="C1296" t="n">
        <x:v>3</x:v>
      </x:c>
      <x:c r="D1296" t="str">
        <x:v>03:23</x:v>
      </x:c>
      <x:c r="E1296" t="n">
        <x:v>1</x:v>
      </x:c>
      <x:c r="F1296" t="n">
        <x:v>15</x:v>
      </x:c>
      <x:c r="G1296" t="str">
        <x:v>DET</x:v>
      </x:c>
      <x:c r="H1296" t="str">
        <x:v>MIN</x:v>
      </x:c>
      <x:c r="I1296" t="str">
        <x:v>MIN</x:v>
      </x:c>
      <x:c r="J1296" t="n">
        <x:v>35</x:v>
      </x:c>
      <x:c r="K1296" t="str">
        <x:v>(3:23) 0-J.Gibbs left tackle to MIN 33 for 2 yards (58-J.Greenard; 97-J.Hargrave).</x:v>
      </x:c>
      <x:c r="L1296" t="str">
        <x:v>run</x:v>
      </x:c>
      <x:c r="M1296" t="n">
        <x:v>2</x:v>
      </x:c>
      <x:c r="N1296" t="n">
        <x:v>0</x:v>
      </x:c>
      <x:c r="O1296" t="n">
        <x:v>0</x:v>
      </x:c>
      <x:c r="P1296"/>
      <x:c r="Q1296"/>
      <x:c r="R1296"/>
      <x:c r="S1296"/>
      <x:c r="T1296" t="str">
        <x:v>left</x:v>
      </x:c>
      <x:c r="U1296" t="str">
        <x:v>tackle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0</x:v>
      </x:c>
      <x:c r="AB1296"/>
      <x:c r="AC1296" t="n">
        <x:v>0</x:v>
      </x:c>
      <x:c r="AD1296" t="n">
        <x:v>-0.3711484333034605</x:v>
      </x:c>
      <x:c r="AE1296" t="n">
        <x:v>0</x:v>
      </x:c>
      <x:c r="AF1296" t="n">
        <x:v>0.0021810382604599</x:v>
      </x:c>
      <x:c r="AG1296" t="n">
        <x:f>_xlfn.XLOOKUP($A1296,Games!$A$2:$A$18,Games!$B$2:$B$18,"Missing game",0)</x:f>
        <x:v>2025</x:v>
      </x:c>
      <x:c r="AH1296" t="str">
        <x:f>_xlfn.XLOOKUP($A1296,Games!$A$2:$A$18,Games!$C$2:$C$18,"Missing game",0)</x:f>
        <x:v>REG</x:v>
      </x:c>
      <x:c r="AI1296" t="n">
        <x:f>_xlfn.XLOOKUP($A1296,Games!$A$2:$A$18,Games!$D$2:$D$18,"Missing game",0)</x:f>
        <x:v>9</x:v>
      </x:c>
      <x:c r="AJ1296" s="1" t="n">
        <x:f>_xlfn.XLOOKUP($A1296,Games!$A$2:$A$18,Games!$E$2:$E$18,"Missing game",0)</x:f>
        <x:v>45963</x:v>
      </x:c>
      <x:c r="AK1296" t="str">
        <x:f>_xlfn.XLOOKUP($A1296,Games!$A$2:$A$18,Games!$F$2:$F$18,"Missing game",0)</x:f>
        <x:v>Sunday</x:v>
      </x:c>
      <x:c r="AL1296" t="str">
        <x:f>_xlfn.XLOOKUP($A1296,Games!$A$2:$A$18,Games!$G$2:$G$18,"Missing game",0)</x:f>
        <x:v>MIN</x:v>
      </x:c>
      <x:c r="AM1296" t="n">
        <x:f>_xlfn.XLOOKUP($A1296,Games!$A$2:$A$18,Games!$H$2:$H$18,"Missing game",0)</x:f>
        <x:v>27</x:v>
      </x:c>
      <x:c r="AN1296" t="str">
        <x:f>_xlfn.XLOOKUP($A1296,Games!$A$2:$A$18,Games!$I$2:$I$18,"Missing game",0)</x:f>
        <x:v>DET</x:v>
      </x:c>
      <x:c r="AO1296" t="n">
        <x:f>_xlfn.XLOOKUP($A1296,Games!$A$2:$A$18,Games!$J$2:$J$18,"Missing game",0)</x:f>
        <x:v>24</x:v>
      </x:c>
      <x:c r="AP1296" t="n">
        <x:f>_xlfn.XLOOKUP($A1296,Games!$A$2:$A$18,Games!$K$2:$K$18,"Missing game",0)</x:f>
        <x:v>-3</x:v>
      </x:c>
      <x:c r="AQ1296" t="n">
        <x:f>_xlfn.XLOOKUP($A1296,Games!$A$2:$A$18,Games!$L$2:$L$18,"Missing game",0)</x:f>
        <x:v>51</x:v>
      </x:c>
      <x:c r="AR1296" t="n">
        <x:f>_xlfn.XLOOKUP($A1296,Games!$A$2:$A$18,Games!$M$2:$M$18,"Missing game",0)</x:f>
        <x:v>0</x:v>
      </x:c>
      <x:c r="AS1296" t="str">
        <x:f>_xlfn.XLOOKUP($A1296,Games!$A$2:$A$18,Games!$N$2:$N$18,"Missing game",0)</x:f>
        <x:v>dome</x:v>
      </x:c>
      <x:c r="AT1296" t="str">
        <x:f>_xlfn.XLOOKUP($A1296,Games!$A$2:$A$18,Games!$O$2:$O$18,"Missing game",0)</x:f>
        <x:v>fieldturf</x:v>
      </x:c>
      <x:c r="AU1296" t="str">
        <x:f>_xlfn.XLOOKUP($A1296,Games!$A$2:$A$18,Games!$P$2:$P$18,"Missing game",0)</x:f>
      </x:c>
      <x:c r="AV1296" t="str">
        <x:f>_xlfn.XLOOKUP($A1296,Games!$A$2:$A$18,Games!$Q$2:$Q$18,"Missing game",0)</x:f>
      </x:c>
      <x:c r="AW1296" t="str">
        <x:f>_xlfn.XLOOKUP($A1296,Games!$A$2:$A$18,Games!$R$2:$R$18,"Missing game",0)</x:f>
        <x:v>Ford Field</x:v>
      </x:c>
    </x:row>
    <x:row r="1297">
      <x:c r="A1297" t="str">
        <x:v>2025_09_MIN_DET</x:v>
      </x:c>
      <x:c r="B1297" t="n">
        <x:v>3008</x:v>
      </x:c>
      <x:c r="C1297" t="n">
        <x:v>3</x:v>
      </x:c>
      <x:c r="D1297" t="str">
        <x:v>02:44</x:v>
      </x:c>
      <x:c r="E1297" t="n">
        <x:v>2</x:v>
      </x:c>
      <x:c r="F1297" t="n">
        <x:v>13</x:v>
      </x:c>
      <x:c r="G1297" t="str">
        <x:v>DET</x:v>
      </x:c>
      <x:c r="H1297" t="str">
        <x:v>MIN</x:v>
      </x:c>
      <x:c r="I1297" t="str">
        <x:v>MIN</x:v>
      </x:c>
      <x:c r="J1297" t="n">
        <x:v>33</x:v>
      </x:c>
      <x:c r="K1297" t="str">
        <x:v>(2:44) 16-J.Goff pass incomplete short right. PENALTY on DET-69-T.Ratledge, Offensive Holding, 10 yards, enforced at MIN 33 - No Play. Penalty on DET, Illegal Shift, declined.</x:v>
      </x:c>
      <x:c r="L1297" t="str">
        <x:v>no_play</x:v>
      </x:c>
      <x:c r="M1297" t="n">
        <x:v>0</x:v>
      </x:c>
      <x:c r="N1297" t="n">
        <x:v>0</x:v>
      </x:c>
      <x:c r="O1297" t="n">
        <x:v>0</x:v>
      </x:c>
      <x:c r="P1297"/>
      <x:c r="Q1297"/>
      <x:c r="R1297"/>
      <x:c r="S1297"/>
      <x:c r="T1297"/>
      <x:c r="U1297"/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1</x:v>
      </x:c>
      <x:c r="AB1297" t="n">
        <x:v>10</x:v>
      </x:c>
      <x:c r="AC1297" t="n">
        <x:v>0</x:v>
      </x:c>
      <x:c r="AD1297" t="n">
        <x:v>-0.877478713169694</x:v>
      </x:c>
      <x:c r="AE1297" t="n">
        <x:v>0</x:v>
      </x:c>
      <x:c r="AF1297" t="n">
        <x:v>-0.03546680510044098</x:v>
      </x:c>
      <x:c r="AG1297" t="n">
        <x:f>_xlfn.XLOOKUP($A1297,Games!$A$2:$A$18,Games!$B$2:$B$18,"Missing game",0)</x:f>
        <x:v>2025</x:v>
      </x:c>
      <x:c r="AH1297" t="str">
        <x:f>_xlfn.XLOOKUP($A1297,Games!$A$2:$A$18,Games!$C$2:$C$18,"Missing game",0)</x:f>
        <x:v>REG</x:v>
      </x:c>
      <x:c r="AI1297" t="n">
        <x:f>_xlfn.XLOOKUP($A1297,Games!$A$2:$A$18,Games!$D$2:$D$18,"Missing game",0)</x:f>
        <x:v>9</x:v>
      </x:c>
      <x:c r="AJ1297" s="1" t="n">
        <x:f>_xlfn.XLOOKUP($A1297,Games!$A$2:$A$18,Games!$E$2:$E$18,"Missing game",0)</x:f>
        <x:v>45963</x:v>
      </x:c>
      <x:c r="AK1297" t="str">
        <x:f>_xlfn.XLOOKUP($A1297,Games!$A$2:$A$18,Games!$F$2:$F$18,"Missing game",0)</x:f>
        <x:v>Sunday</x:v>
      </x:c>
      <x:c r="AL1297" t="str">
        <x:f>_xlfn.XLOOKUP($A1297,Games!$A$2:$A$18,Games!$G$2:$G$18,"Missing game",0)</x:f>
        <x:v>MIN</x:v>
      </x:c>
      <x:c r="AM1297" t="n">
        <x:f>_xlfn.XLOOKUP($A1297,Games!$A$2:$A$18,Games!$H$2:$H$18,"Missing game",0)</x:f>
        <x:v>27</x:v>
      </x:c>
      <x:c r="AN1297" t="str">
        <x:f>_xlfn.XLOOKUP($A1297,Games!$A$2:$A$18,Games!$I$2:$I$18,"Missing game",0)</x:f>
        <x:v>DET</x:v>
      </x:c>
      <x:c r="AO1297" t="n">
        <x:f>_xlfn.XLOOKUP($A1297,Games!$A$2:$A$18,Games!$J$2:$J$18,"Missing game",0)</x:f>
        <x:v>24</x:v>
      </x:c>
      <x:c r="AP1297" t="n">
        <x:f>_xlfn.XLOOKUP($A1297,Games!$A$2:$A$18,Games!$K$2:$K$18,"Missing game",0)</x:f>
        <x:v>-3</x:v>
      </x:c>
      <x:c r="AQ1297" t="n">
        <x:f>_xlfn.XLOOKUP($A1297,Games!$A$2:$A$18,Games!$L$2:$L$18,"Missing game",0)</x:f>
        <x:v>51</x:v>
      </x:c>
      <x:c r="AR1297" t="n">
        <x:f>_xlfn.XLOOKUP($A1297,Games!$A$2:$A$18,Games!$M$2:$M$18,"Missing game",0)</x:f>
        <x:v>0</x:v>
      </x:c>
      <x:c r="AS1297" t="str">
        <x:f>_xlfn.XLOOKUP($A1297,Games!$A$2:$A$18,Games!$N$2:$N$18,"Missing game",0)</x:f>
        <x:v>dome</x:v>
      </x:c>
      <x:c r="AT1297" t="str">
        <x:f>_xlfn.XLOOKUP($A1297,Games!$A$2:$A$18,Games!$O$2:$O$18,"Missing game",0)</x:f>
        <x:v>fieldturf</x:v>
      </x:c>
      <x:c r="AU1297" t="str">
        <x:f>_xlfn.XLOOKUP($A1297,Games!$A$2:$A$18,Games!$P$2:$P$18,"Missing game",0)</x:f>
      </x:c>
      <x:c r="AV1297" t="str">
        <x:f>_xlfn.XLOOKUP($A1297,Games!$A$2:$A$18,Games!$Q$2:$Q$18,"Missing game",0)</x:f>
      </x:c>
      <x:c r="AW1297" t="str">
        <x:f>_xlfn.XLOOKUP($A1297,Games!$A$2:$A$18,Games!$R$2:$R$18,"Missing game",0)</x:f>
        <x:v>Ford Field</x:v>
      </x:c>
    </x:row>
    <x:row r="1298">
      <x:c r="A1298" t="str">
        <x:v>2025_09_MIN_DET</x:v>
      </x:c>
      <x:c r="B1298" t="n">
        <x:v>3047</x:v>
      </x:c>
      <x:c r="C1298" t="n">
        <x:v>3</x:v>
      </x:c>
      <x:c r="D1298" t="str">
        <x:v>02:40</x:v>
      </x:c>
      <x:c r="E1298" t="n">
        <x:v>2</x:v>
      </x:c>
      <x:c r="F1298" t="n">
        <x:v>23</x:v>
      </x:c>
      <x:c r="G1298" t="str">
        <x:v>DET</x:v>
      </x:c>
      <x:c r="H1298" t="str">
        <x:v>MIN</x:v>
      </x:c>
      <x:c r="I1298" t="str">
        <x:v>MIN</x:v>
      </x:c>
      <x:c r="J1298" t="n">
        <x:v>43</x:v>
      </x:c>
      <x:c r="K1298" t="str">
        <x:v>(2:40) (Shotgun) 16-J.Goff pass short left to 87-S.LaPorta to MIN 34 for 9 yards (7-B.Murphy).</x:v>
      </x:c>
      <x:c r="L1298" t="str">
        <x:v>pass</x:v>
      </x:c>
      <x:c r="M1298" t="n">
        <x:v>9</x:v>
      </x:c>
      <x:c r="N1298" t="n">
        <x:v>1</x:v>
      </x:c>
      <x:c r="O1298" t="n">
        <x:v>0</x:v>
      </x:c>
      <x:c r="P1298" t="str">
        <x:v>short</x:v>
      </x:c>
      <x:c r="Q1298" t="str">
        <x:v>left</x:v>
      </x:c>
      <x:c r="R1298" t="n">
        <x:v>6</x:v>
      </x:c>
      <x:c r="S1298" t="n">
        <x:v>3</x:v>
      </x:c>
      <x:c r="T1298"/>
      <x:c r="U1298"/>
      <x:c r="V1298" t="n">
        <x:v>1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  <x:c r="AB1298"/>
      <x:c r="AC1298" t="n">
        <x:v>0</x:v>
      </x:c>
      <x:c r="AD1298" t="n">
        <x:v>-0.2194121654611081</x:v>
      </x:c>
      <x:c r="AE1298" t="n">
        <x:v>0</x:v>
      </x:c>
      <x:c r="AF1298" t="n">
        <x:v>0.0022312700748443604</x:v>
      </x:c>
      <x:c r="AG1298" t="n">
        <x:f>_xlfn.XLOOKUP($A1298,Games!$A$2:$A$18,Games!$B$2:$B$18,"Missing game",0)</x:f>
        <x:v>2025</x:v>
      </x:c>
      <x:c r="AH1298" t="str">
        <x:f>_xlfn.XLOOKUP($A1298,Games!$A$2:$A$18,Games!$C$2:$C$18,"Missing game",0)</x:f>
        <x:v>REG</x:v>
      </x:c>
      <x:c r="AI1298" t="n">
        <x:f>_xlfn.XLOOKUP($A1298,Games!$A$2:$A$18,Games!$D$2:$D$18,"Missing game",0)</x:f>
        <x:v>9</x:v>
      </x:c>
      <x:c r="AJ1298" s="1" t="n">
        <x:f>_xlfn.XLOOKUP($A1298,Games!$A$2:$A$18,Games!$E$2:$E$18,"Missing game",0)</x:f>
        <x:v>45963</x:v>
      </x:c>
      <x:c r="AK1298" t="str">
        <x:f>_xlfn.XLOOKUP($A1298,Games!$A$2:$A$18,Games!$F$2:$F$18,"Missing game",0)</x:f>
        <x:v>Sunday</x:v>
      </x:c>
      <x:c r="AL1298" t="str">
        <x:f>_xlfn.XLOOKUP($A1298,Games!$A$2:$A$18,Games!$G$2:$G$18,"Missing game",0)</x:f>
        <x:v>MIN</x:v>
      </x:c>
      <x:c r="AM1298" t="n">
        <x:f>_xlfn.XLOOKUP($A1298,Games!$A$2:$A$18,Games!$H$2:$H$18,"Missing game",0)</x:f>
        <x:v>27</x:v>
      </x:c>
      <x:c r="AN1298" t="str">
        <x:f>_xlfn.XLOOKUP($A1298,Games!$A$2:$A$18,Games!$I$2:$I$18,"Missing game",0)</x:f>
        <x:v>DET</x:v>
      </x:c>
      <x:c r="AO1298" t="n">
        <x:f>_xlfn.XLOOKUP($A1298,Games!$A$2:$A$18,Games!$J$2:$J$18,"Missing game",0)</x:f>
        <x:v>24</x:v>
      </x:c>
      <x:c r="AP1298" t="n">
        <x:f>_xlfn.XLOOKUP($A1298,Games!$A$2:$A$18,Games!$K$2:$K$18,"Missing game",0)</x:f>
        <x:v>-3</x:v>
      </x:c>
      <x:c r="AQ1298" t="n">
        <x:f>_xlfn.XLOOKUP($A1298,Games!$A$2:$A$18,Games!$L$2:$L$18,"Missing game",0)</x:f>
        <x:v>51</x:v>
      </x:c>
      <x:c r="AR1298" t="n">
        <x:f>_xlfn.XLOOKUP($A1298,Games!$A$2:$A$18,Games!$M$2:$M$18,"Missing game",0)</x:f>
        <x:v>0</x:v>
      </x:c>
      <x:c r="AS1298" t="str">
        <x:f>_xlfn.XLOOKUP($A1298,Games!$A$2:$A$18,Games!$N$2:$N$18,"Missing game",0)</x:f>
        <x:v>dome</x:v>
      </x:c>
      <x:c r="AT1298" t="str">
        <x:f>_xlfn.XLOOKUP($A1298,Games!$A$2:$A$18,Games!$O$2:$O$18,"Missing game",0)</x:f>
        <x:v>fieldturf</x:v>
      </x:c>
      <x:c r="AU1298" t="str">
        <x:f>_xlfn.XLOOKUP($A1298,Games!$A$2:$A$18,Games!$P$2:$P$18,"Missing game",0)</x:f>
      </x:c>
      <x:c r="AV1298" t="str">
        <x:f>_xlfn.XLOOKUP($A1298,Games!$A$2:$A$18,Games!$Q$2:$Q$18,"Missing game",0)</x:f>
      </x:c>
      <x:c r="AW1298" t="str">
        <x:f>_xlfn.XLOOKUP($A1298,Games!$A$2:$A$18,Games!$R$2:$R$18,"Missing game",0)</x:f>
        <x:v>Ford Field</x:v>
      </x:c>
    </x:row>
    <x:row r="1299">
      <x:c r="A1299" t="str">
        <x:v>2025_09_MIN_DET</x:v>
      </x:c>
      <x:c r="B1299" t="n">
        <x:v>3072</x:v>
      </x:c>
      <x:c r="C1299" t="n">
        <x:v>3</x:v>
      </x:c>
      <x:c r="D1299" t="str">
        <x:v>02:07</x:v>
      </x:c>
      <x:c r="E1299" t="n">
        <x:v>3</x:v>
      </x:c>
      <x:c r="F1299" t="n">
        <x:v>14</x:v>
      </x:c>
      <x:c r="G1299" t="str">
        <x:v>DET</x:v>
      </x:c>
      <x:c r="H1299" t="str">
        <x:v>MIN</x:v>
      </x:c>
      <x:c r="I1299" t="str">
        <x:v>MIN</x:v>
      </x:c>
      <x:c r="J1299" t="n">
        <x:v>34</x:v>
      </x:c>
      <x:c r="K1299" t="str">
        <x:v>(2:07) (Shotgun) 16-J.Goff pass short left to 1-J.Williams ran ob at MIN 16 for 18 yards (51-B.Cashman).</x:v>
      </x:c>
      <x:c r="L1299" t="str">
        <x:v>pass</x:v>
      </x:c>
      <x:c r="M1299" t="n">
        <x:v>18</x:v>
      </x:c>
      <x:c r="N1299" t="n">
        <x:v>1</x:v>
      </x:c>
      <x:c r="O1299" t="n">
        <x:v>0</x:v>
      </x:c>
      <x:c r="P1299" t="str">
        <x:v>short</x:v>
      </x:c>
      <x:c r="Q1299" t="str">
        <x:v>left</x:v>
      </x:c>
      <x:c r="R1299" t="n">
        <x:v>7</x:v>
      </x:c>
      <x:c r="S1299" t="n">
        <x:v>11</x:v>
      </x:c>
      <x:c r="T1299"/>
      <x:c r="U1299"/>
      <x:c r="V1299" t="n">
        <x:v>1</x:v>
      </x:c>
      <x:c r="W1299" t="n">
        <x:v>1</x:v>
      </x:c>
      <x:c r="X1299" t="n">
        <x:v>0</x:v>
      </x:c>
      <x:c r="Y1299" t="n">
        <x:v>0</x:v>
      </x:c>
      <x:c r="Z1299" t="n">
        <x:v>0</x:v>
      </x:c>
      <x:c r="AA1299" t="n">
        <x:v>0</x:v>
      </x:c>
      <x:c r="AB1299"/>
      <x:c r="AC1299" t="n">
        <x:v>0</x:v>
      </x:c>
      <x:c r="AD1299" t="n">
        <x:v>3.1015102628152817</x:v>
      </x:c>
      <x:c r="AE1299" t="n">
        <x:v>1</x:v>
      </x:c>
      <x:c r="AF1299" t="n">
        <x:v>0.1124136745929718</x:v>
      </x:c>
      <x:c r="AG1299" t="n">
        <x:f>_xlfn.XLOOKUP($A1299,Games!$A$2:$A$18,Games!$B$2:$B$18,"Missing game",0)</x:f>
        <x:v>2025</x:v>
      </x:c>
      <x:c r="AH1299" t="str">
        <x:f>_xlfn.XLOOKUP($A1299,Games!$A$2:$A$18,Games!$C$2:$C$18,"Missing game",0)</x:f>
        <x:v>REG</x:v>
      </x:c>
      <x:c r="AI1299" t="n">
        <x:f>_xlfn.XLOOKUP($A1299,Games!$A$2:$A$18,Games!$D$2:$D$18,"Missing game",0)</x:f>
        <x:v>9</x:v>
      </x:c>
      <x:c r="AJ1299" s="1" t="n">
        <x:f>_xlfn.XLOOKUP($A1299,Games!$A$2:$A$18,Games!$E$2:$E$18,"Missing game",0)</x:f>
        <x:v>45963</x:v>
      </x:c>
      <x:c r="AK1299" t="str">
        <x:f>_xlfn.XLOOKUP($A1299,Games!$A$2:$A$18,Games!$F$2:$F$18,"Missing game",0)</x:f>
        <x:v>Sunday</x:v>
      </x:c>
      <x:c r="AL1299" t="str">
        <x:f>_xlfn.XLOOKUP($A1299,Games!$A$2:$A$18,Games!$G$2:$G$18,"Missing game",0)</x:f>
        <x:v>MIN</x:v>
      </x:c>
      <x:c r="AM1299" t="n">
        <x:f>_xlfn.XLOOKUP($A1299,Games!$A$2:$A$18,Games!$H$2:$H$18,"Missing game",0)</x:f>
        <x:v>27</x:v>
      </x:c>
      <x:c r="AN1299" t="str">
        <x:f>_xlfn.XLOOKUP($A1299,Games!$A$2:$A$18,Games!$I$2:$I$18,"Missing game",0)</x:f>
        <x:v>DET</x:v>
      </x:c>
      <x:c r="AO1299" t="n">
        <x:f>_xlfn.XLOOKUP($A1299,Games!$A$2:$A$18,Games!$J$2:$J$18,"Missing game",0)</x:f>
        <x:v>24</x:v>
      </x:c>
      <x:c r="AP1299" t="n">
        <x:f>_xlfn.XLOOKUP($A1299,Games!$A$2:$A$18,Games!$K$2:$K$18,"Missing game",0)</x:f>
        <x:v>-3</x:v>
      </x:c>
      <x:c r="AQ1299" t="n">
        <x:f>_xlfn.XLOOKUP($A1299,Games!$A$2:$A$18,Games!$L$2:$L$18,"Missing game",0)</x:f>
        <x:v>51</x:v>
      </x:c>
      <x:c r="AR1299" t="n">
        <x:f>_xlfn.XLOOKUP($A1299,Games!$A$2:$A$18,Games!$M$2:$M$18,"Missing game",0)</x:f>
        <x:v>0</x:v>
      </x:c>
      <x:c r="AS1299" t="str">
        <x:f>_xlfn.XLOOKUP($A1299,Games!$A$2:$A$18,Games!$N$2:$N$18,"Missing game",0)</x:f>
        <x:v>dome</x:v>
      </x:c>
      <x:c r="AT1299" t="str">
        <x:f>_xlfn.XLOOKUP($A1299,Games!$A$2:$A$18,Games!$O$2:$O$18,"Missing game",0)</x:f>
        <x:v>fieldturf</x:v>
      </x:c>
      <x:c r="AU1299" t="str">
        <x:f>_xlfn.XLOOKUP($A1299,Games!$A$2:$A$18,Games!$P$2:$P$18,"Missing game",0)</x:f>
      </x:c>
      <x:c r="AV1299" t="str">
        <x:f>_xlfn.XLOOKUP($A1299,Games!$A$2:$A$18,Games!$Q$2:$Q$18,"Missing game",0)</x:f>
      </x:c>
      <x:c r="AW1299" t="str">
        <x:f>_xlfn.XLOOKUP($A1299,Games!$A$2:$A$18,Games!$R$2:$R$18,"Missing game",0)</x:f>
        <x:v>Ford Field</x:v>
      </x:c>
    </x:row>
    <x:row r="1300">
      <x:c r="A1300" t="str">
        <x:v>2025_09_MIN_DET</x:v>
      </x:c>
      <x:c r="B1300" t="n">
        <x:v>3102</x:v>
      </x:c>
      <x:c r="C1300" t="n">
        <x:v>3</x:v>
      </x:c>
      <x:c r="D1300" t="str">
        <x:v>01:34</x:v>
      </x:c>
      <x:c r="E1300" t="n">
        <x:v>1</x:v>
      </x:c>
      <x:c r="F1300" t="n">
        <x:v>10</x:v>
      </x:c>
      <x:c r="G1300" t="str">
        <x:v>DET</x:v>
      </x:c>
      <x:c r="H1300" t="str">
        <x:v>MIN</x:v>
      </x:c>
      <x:c r="I1300" t="str">
        <x:v>MIN</x:v>
      </x:c>
      <x:c r="J1300" t="n">
        <x:v>16</x:v>
      </x:c>
      <x:c r="K1300" t="str">
        <x:v>(1:34) (Shotgun) 16-J.Goff pass incomplete short middle to 1-J.Williams.</x:v>
      </x:c>
      <x:c r="L1300" t="str">
        <x:v>pass</x:v>
      </x:c>
      <x:c r="M1300" t="n">
        <x:v>0</x:v>
      </x:c>
      <x:c r="N1300" t="n">
        <x:v>1</x:v>
      </x:c>
      <x:c r="O1300" t="n">
        <x:v>0</x:v>
      </x:c>
      <x:c r="P1300" t="str">
        <x:v>short</x:v>
      </x:c>
      <x:c r="Q1300" t="str">
        <x:v>middle</x:v>
      </x:c>
      <x:c r="R1300" t="n">
        <x:v>5</x:v>
      </x:c>
      <x:c r="S1300"/>
      <x:c r="T1300"/>
      <x:c r="U1300"/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/>
      <x:c r="AC1300" t="n">
        <x:v>0</x:v>
      </x:c>
      <x:c r="AD1300" t="n">
        <x:v>-0.48269713565241545</x:v>
      </x:c>
      <x:c r="AE1300" t="n">
        <x:v>0</x:v>
      </x:c>
      <x:c r="AF1300" t="n">
        <x:v>-0.019420623779296875</x:v>
      </x:c>
      <x:c r="AG1300" t="n">
        <x:f>_xlfn.XLOOKUP($A1300,Games!$A$2:$A$18,Games!$B$2:$B$18,"Missing game",0)</x:f>
        <x:v>2025</x:v>
      </x:c>
      <x:c r="AH1300" t="str">
        <x:f>_xlfn.XLOOKUP($A1300,Games!$A$2:$A$18,Games!$C$2:$C$18,"Missing game",0)</x:f>
        <x:v>REG</x:v>
      </x:c>
      <x:c r="AI1300" t="n">
        <x:f>_xlfn.XLOOKUP($A1300,Games!$A$2:$A$18,Games!$D$2:$D$18,"Missing game",0)</x:f>
        <x:v>9</x:v>
      </x:c>
      <x:c r="AJ1300" s="1" t="n">
        <x:f>_xlfn.XLOOKUP($A1300,Games!$A$2:$A$18,Games!$E$2:$E$18,"Missing game",0)</x:f>
        <x:v>45963</x:v>
      </x:c>
      <x:c r="AK1300" t="str">
        <x:f>_xlfn.XLOOKUP($A1300,Games!$A$2:$A$18,Games!$F$2:$F$18,"Missing game",0)</x:f>
        <x:v>Sunday</x:v>
      </x:c>
      <x:c r="AL1300" t="str">
        <x:f>_xlfn.XLOOKUP($A1300,Games!$A$2:$A$18,Games!$G$2:$G$18,"Missing game",0)</x:f>
        <x:v>MIN</x:v>
      </x:c>
      <x:c r="AM1300" t="n">
        <x:f>_xlfn.XLOOKUP($A1300,Games!$A$2:$A$18,Games!$H$2:$H$18,"Missing game",0)</x:f>
        <x:v>27</x:v>
      </x:c>
      <x:c r="AN1300" t="str">
        <x:f>_xlfn.XLOOKUP($A1300,Games!$A$2:$A$18,Games!$I$2:$I$18,"Missing game",0)</x:f>
        <x:v>DET</x:v>
      </x:c>
      <x:c r="AO1300" t="n">
        <x:f>_xlfn.XLOOKUP($A1300,Games!$A$2:$A$18,Games!$J$2:$J$18,"Missing game",0)</x:f>
        <x:v>24</x:v>
      </x:c>
      <x:c r="AP1300" t="n">
        <x:f>_xlfn.XLOOKUP($A1300,Games!$A$2:$A$18,Games!$K$2:$K$18,"Missing game",0)</x:f>
        <x:v>-3</x:v>
      </x:c>
      <x:c r="AQ1300" t="n">
        <x:f>_xlfn.XLOOKUP($A1300,Games!$A$2:$A$18,Games!$L$2:$L$18,"Missing game",0)</x:f>
        <x:v>51</x:v>
      </x:c>
      <x:c r="AR1300" t="n">
        <x:f>_xlfn.XLOOKUP($A1300,Games!$A$2:$A$18,Games!$M$2:$M$18,"Missing game",0)</x:f>
        <x:v>0</x:v>
      </x:c>
      <x:c r="AS1300" t="str">
        <x:f>_xlfn.XLOOKUP($A1300,Games!$A$2:$A$18,Games!$N$2:$N$18,"Missing game",0)</x:f>
        <x:v>dome</x:v>
      </x:c>
      <x:c r="AT1300" t="str">
        <x:f>_xlfn.XLOOKUP($A1300,Games!$A$2:$A$18,Games!$O$2:$O$18,"Missing game",0)</x:f>
        <x:v>fieldturf</x:v>
      </x:c>
      <x:c r="AU1300" t="str">
        <x:f>_xlfn.XLOOKUP($A1300,Games!$A$2:$A$18,Games!$P$2:$P$18,"Missing game",0)</x:f>
      </x:c>
      <x:c r="AV1300" t="str">
        <x:f>_xlfn.XLOOKUP($A1300,Games!$A$2:$A$18,Games!$Q$2:$Q$18,"Missing game",0)</x:f>
      </x:c>
      <x:c r="AW1300" t="str">
        <x:f>_xlfn.XLOOKUP($A1300,Games!$A$2:$A$18,Games!$R$2:$R$18,"Missing game",0)</x:f>
        <x:v>Ford Field</x:v>
      </x:c>
    </x:row>
    <x:row r="1301">
      <x:c r="A1301" t="str">
        <x:v>2025_09_MIN_DET</x:v>
      </x:c>
      <x:c r="B1301" t="n">
        <x:v>3125</x:v>
      </x:c>
      <x:c r="C1301" t="n">
        <x:v>3</x:v>
      </x:c>
      <x:c r="D1301" t="str">
        <x:v>01:30</x:v>
      </x:c>
      <x:c r="E1301" t="n">
        <x:v>2</x:v>
      </x:c>
      <x:c r="F1301" t="n">
        <x:v>10</x:v>
      </x:c>
      <x:c r="G1301" t="str">
        <x:v>DET</x:v>
      </x:c>
      <x:c r="H1301" t="str">
        <x:v>MIN</x:v>
      </x:c>
      <x:c r="I1301" t="str">
        <x:v>MIN</x:v>
      </x:c>
      <x:c r="J1301" t="n">
        <x:v>16</x:v>
      </x:c>
      <x:c r="K1301" t="str">
        <x:v>(1:30) 0-J.Gibbs left end pushed ob at MIN 12 for 4 yards (2-I.Rodgers).</x:v>
      </x:c>
      <x:c r="L1301" t="str">
        <x:v>run</x:v>
      </x:c>
      <x:c r="M1301" t="n">
        <x:v>4</x:v>
      </x:c>
      <x:c r="N1301" t="n">
        <x:v>0</x:v>
      </x:c>
      <x:c r="O1301" t="n">
        <x:v>0</x:v>
      </x:c>
      <x:c r="P1301"/>
      <x:c r="Q1301"/>
      <x:c r="R1301"/>
      <x:c r="S1301"/>
      <x:c r="T1301" t="str">
        <x:v>left</x:v>
      </x:c>
      <x:c r="U1301" t="str">
        <x:v>end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/>
      <x:c r="AC1301" t="n">
        <x:v>0</x:v>
      </x:c>
      <x:c r="AD1301" t="n">
        <x:v>-0.4940212866058573</x:v>
      </x:c>
      <x:c r="AE1301" t="n">
        <x:v>0</x:v>
      </x:c>
      <x:c r="AF1301" t="n">
        <x:v>-0.003915846347808838</x:v>
      </x:c>
      <x:c r="AG1301" t="n">
        <x:f>_xlfn.XLOOKUP($A1301,Games!$A$2:$A$18,Games!$B$2:$B$18,"Missing game",0)</x:f>
        <x:v>2025</x:v>
      </x:c>
      <x:c r="AH1301" t="str">
        <x:f>_xlfn.XLOOKUP($A1301,Games!$A$2:$A$18,Games!$C$2:$C$18,"Missing game",0)</x:f>
        <x:v>REG</x:v>
      </x:c>
      <x:c r="AI1301" t="n">
        <x:f>_xlfn.XLOOKUP($A1301,Games!$A$2:$A$18,Games!$D$2:$D$18,"Missing game",0)</x:f>
        <x:v>9</x:v>
      </x:c>
      <x:c r="AJ1301" s="1" t="n">
        <x:f>_xlfn.XLOOKUP($A1301,Games!$A$2:$A$18,Games!$E$2:$E$18,"Missing game",0)</x:f>
        <x:v>45963</x:v>
      </x:c>
      <x:c r="AK1301" t="str">
        <x:f>_xlfn.XLOOKUP($A1301,Games!$A$2:$A$18,Games!$F$2:$F$18,"Missing game",0)</x:f>
        <x:v>Sunday</x:v>
      </x:c>
      <x:c r="AL1301" t="str">
        <x:f>_xlfn.XLOOKUP($A1301,Games!$A$2:$A$18,Games!$G$2:$G$18,"Missing game",0)</x:f>
        <x:v>MIN</x:v>
      </x:c>
      <x:c r="AM1301" t="n">
        <x:f>_xlfn.XLOOKUP($A1301,Games!$A$2:$A$18,Games!$H$2:$H$18,"Missing game",0)</x:f>
        <x:v>27</x:v>
      </x:c>
      <x:c r="AN1301" t="str">
        <x:f>_xlfn.XLOOKUP($A1301,Games!$A$2:$A$18,Games!$I$2:$I$18,"Missing game",0)</x:f>
        <x:v>DET</x:v>
      </x:c>
      <x:c r="AO1301" t="n">
        <x:f>_xlfn.XLOOKUP($A1301,Games!$A$2:$A$18,Games!$J$2:$J$18,"Missing game",0)</x:f>
        <x:v>24</x:v>
      </x:c>
      <x:c r="AP1301" t="n">
        <x:f>_xlfn.XLOOKUP($A1301,Games!$A$2:$A$18,Games!$K$2:$K$18,"Missing game",0)</x:f>
        <x:v>-3</x:v>
      </x:c>
      <x:c r="AQ1301" t="n">
        <x:f>_xlfn.XLOOKUP($A1301,Games!$A$2:$A$18,Games!$L$2:$L$18,"Missing game",0)</x:f>
        <x:v>51</x:v>
      </x:c>
      <x:c r="AR1301" t="n">
        <x:f>_xlfn.XLOOKUP($A1301,Games!$A$2:$A$18,Games!$M$2:$M$18,"Missing game",0)</x:f>
        <x:v>0</x:v>
      </x:c>
      <x:c r="AS1301" t="str">
        <x:f>_xlfn.XLOOKUP($A1301,Games!$A$2:$A$18,Games!$N$2:$N$18,"Missing game",0)</x:f>
        <x:v>dome</x:v>
      </x:c>
      <x:c r="AT1301" t="str">
        <x:f>_xlfn.XLOOKUP($A1301,Games!$A$2:$A$18,Games!$O$2:$O$18,"Missing game",0)</x:f>
        <x:v>fieldturf</x:v>
      </x:c>
      <x:c r="AU1301" t="str">
        <x:f>_xlfn.XLOOKUP($A1301,Games!$A$2:$A$18,Games!$P$2:$P$18,"Missing game",0)</x:f>
      </x:c>
      <x:c r="AV1301" t="str">
        <x:f>_xlfn.XLOOKUP($A1301,Games!$A$2:$A$18,Games!$Q$2:$Q$18,"Missing game",0)</x:f>
      </x:c>
      <x:c r="AW1301" t="str">
        <x:f>_xlfn.XLOOKUP($A1301,Games!$A$2:$A$18,Games!$R$2:$R$18,"Missing game",0)</x:f>
        <x:v>Ford Field</x:v>
      </x:c>
    </x:row>
    <x:row r="1302">
      <x:c r="A1302" t="str">
        <x:v>2025_09_MIN_DET</x:v>
      </x:c>
      <x:c r="B1302" t="n">
        <x:v>3152</x:v>
      </x:c>
      <x:c r="C1302" t="n">
        <x:v>3</x:v>
      </x:c>
      <x:c r="D1302" t="str">
        <x:v>00:55</x:v>
      </x:c>
      <x:c r="E1302" t="n">
        <x:v>3</x:v>
      </x:c>
      <x:c r="F1302" t="n">
        <x:v>6</x:v>
      </x:c>
      <x:c r="G1302" t="str">
        <x:v>DET</x:v>
      </x:c>
      <x:c r="H1302" t="str">
        <x:v>MIN</x:v>
      </x:c>
      <x:c r="I1302" t="str">
        <x:v>MIN</x:v>
      </x:c>
      <x:c r="J1302" t="n">
        <x:v>12</x:v>
      </x:c>
      <x:c r="K1302" t="str">
        <x:v>(:55) (Shotgun) 16-J.Goff sacked at MIN 23 for -11 yards (55-E.Wilson).</x:v>
      </x:c>
      <x:c r="L1302" t="str">
        <x:v>pass</x:v>
      </x:c>
      <x:c r="M1302" t="n">
        <x:v>-11</x:v>
      </x:c>
      <x:c r="N1302" t="n">
        <x:v>1</x:v>
      </x:c>
      <x:c r="O1302" t="n">
        <x:v>0</x:v>
      </x:c>
      <x:c r="P1302"/>
      <x:c r="Q1302"/>
      <x:c r="R1302"/>
      <x:c r="S1302"/>
      <x:c r="T1302"/>
      <x:c r="U1302"/>
      <x:c r="V1302" t="n">
        <x:v>0</x:v>
      </x:c>
      <x:c r="W1302" t="n">
        <x:v>0</x:v>
      </x:c>
      <x:c r="X1302" t="n">
        <x:v>1</x:v>
      </x:c>
      <x:c r="Y1302" t="n">
        <x:v>0</x:v>
      </x:c>
      <x:c r="Z1302" t="n">
        <x:v>0</x:v>
      </x:c>
      <x:c r="AA1302" t="n">
        <x:v>0</x:v>
      </x:c>
      <x:c r="AB1302"/>
      <x:c r="AC1302" t="n">
        <x:v>0</x:v>
      </x:c>
      <x:c r="AD1302" t="n">
        <x:v>-2.0674559677247424</x:v>
      </x:c>
      <x:c r="AE1302" t="n">
        <x:v>0</x:v>
      </x:c>
      <x:c r="AF1302" t="n">
        <x:v>-0.08441002666950226</x:v>
      </x:c>
      <x:c r="AG1302" t="n">
        <x:f>_xlfn.XLOOKUP($A1302,Games!$A$2:$A$18,Games!$B$2:$B$18,"Missing game",0)</x:f>
        <x:v>2025</x:v>
      </x:c>
      <x:c r="AH1302" t="str">
        <x:f>_xlfn.XLOOKUP($A1302,Games!$A$2:$A$18,Games!$C$2:$C$18,"Missing game",0)</x:f>
        <x:v>REG</x:v>
      </x:c>
      <x:c r="AI1302" t="n">
        <x:f>_xlfn.XLOOKUP($A1302,Games!$A$2:$A$18,Games!$D$2:$D$18,"Missing game",0)</x:f>
        <x:v>9</x:v>
      </x:c>
      <x:c r="AJ1302" s="1" t="n">
        <x:f>_xlfn.XLOOKUP($A1302,Games!$A$2:$A$18,Games!$E$2:$E$18,"Missing game",0)</x:f>
        <x:v>45963</x:v>
      </x:c>
      <x:c r="AK1302" t="str">
        <x:f>_xlfn.XLOOKUP($A1302,Games!$A$2:$A$18,Games!$F$2:$F$18,"Missing game",0)</x:f>
        <x:v>Sunday</x:v>
      </x:c>
      <x:c r="AL1302" t="str">
        <x:f>_xlfn.XLOOKUP($A1302,Games!$A$2:$A$18,Games!$G$2:$G$18,"Missing game",0)</x:f>
        <x:v>MIN</x:v>
      </x:c>
      <x:c r="AM1302" t="n">
        <x:f>_xlfn.XLOOKUP($A1302,Games!$A$2:$A$18,Games!$H$2:$H$18,"Missing game",0)</x:f>
        <x:v>27</x:v>
      </x:c>
      <x:c r="AN1302" t="str">
        <x:f>_xlfn.XLOOKUP($A1302,Games!$A$2:$A$18,Games!$I$2:$I$18,"Missing game",0)</x:f>
        <x:v>DET</x:v>
      </x:c>
      <x:c r="AO1302" t="n">
        <x:f>_xlfn.XLOOKUP($A1302,Games!$A$2:$A$18,Games!$J$2:$J$18,"Missing game",0)</x:f>
        <x:v>24</x:v>
      </x:c>
      <x:c r="AP1302" t="n">
        <x:f>_xlfn.XLOOKUP($A1302,Games!$A$2:$A$18,Games!$K$2:$K$18,"Missing game",0)</x:f>
        <x:v>-3</x:v>
      </x:c>
      <x:c r="AQ1302" t="n">
        <x:f>_xlfn.XLOOKUP($A1302,Games!$A$2:$A$18,Games!$L$2:$L$18,"Missing game",0)</x:f>
        <x:v>51</x:v>
      </x:c>
      <x:c r="AR1302" t="n">
        <x:f>_xlfn.XLOOKUP($A1302,Games!$A$2:$A$18,Games!$M$2:$M$18,"Missing game",0)</x:f>
        <x:v>0</x:v>
      </x:c>
      <x:c r="AS1302" t="str">
        <x:f>_xlfn.XLOOKUP($A1302,Games!$A$2:$A$18,Games!$N$2:$N$18,"Missing game",0)</x:f>
        <x:v>dome</x:v>
      </x:c>
      <x:c r="AT1302" t="str">
        <x:f>_xlfn.XLOOKUP($A1302,Games!$A$2:$A$18,Games!$O$2:$O$18,"Missing game",0)</x:f>
        <x:v>fieldturf</x:v>
      </x:c>
      <x:c r="AU1302" t="str">
        <x:f>_xlfn.XLOOKUP($A1302,Games!$A$2:$A$18,Games!$P$2:$P$18,"Missing game",0)</x:f>
      </x:c>
      <x:c r="AV1302" t="str">
        <x:f>_xlfn.XLOOKUP($A1302,Games!$A$2:$A$18,Games!$Q$2:$Q$18,"Missing game",0)</x:f>
      </x:c>
      <x:c r="AW1302" t="str">
        <x:f>_xlfn.XLOOKUP($A1302,Games!$A$2:$A$18,Games!$R$2:$R$18,"Missing game",0)</x:f>
        <x:v>Ford Field</x:v>
      </x:c>
    </x:row>
    <x:row r="1303">
      <x:c r="A1303" t="str">
        <x:v>2025_09_MIN_DET</x:v>
      </x:c>
      <x:c r="B1303" t="n">
        <x:v>3172</x:v>
      </x:c>
      <x:c r="C1303" t="n">
        <x:v>3</x:v>
      </x:c>
      <x:c r="D1303" t="str">
        <x:v>00:15</x:v>
      </x:c>
      <x:c r="E1303" t="n">
        <x:v>4</x:v>
      </x:c>
      <x:c r="F1303" t="n">
        <x:v>17</x:v>
      </x:c>
      <x:c r="G1303" t="str">
        <x:v>DET</x:v>
      </x:c>
      <x:c r="H1303" t="str">
        <x:v>MIN</x:v>
      </x:c>
      <x:c r="I1303" t="str">
        <x:v>MIN</x:v>
      </x:c>
      <x:c r="J1303" t="n">
        <x:v>23</x:v>
      </x:c>
      <x:c r="K1303" t="str">
        <x:v>(:15) 39-J.Bates 41 yard field goal is GOOD, Center-49-H.Hatten, Holder-3-J.Fox.</x:v>
      </x:c>
      <x:c r="L1303" t="str">
        <x:v>field_goal</x:v>
      </x:c>
      <x:c r="M1303" t="n">
        <x:v>0</x:v>
      </x:c>
      <x:c r="N1303" t="n">
        <x:v>0</x:v>
      </x:c>
      <x:c r="O1303" t="n">
        <x:v>0</x:v>
      </x:c>
      <x:c r="P1303"/>
      <x:c r="Q1303"/>
      <x:c r="R1303"/>
      <x:c r="S1303"/>
      <x:c r="T1303"/>
      <x:c r="U1303"/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  <x:c r="AB1303"/>
      <x:c r="AC1303" t="n">
        <x:v>0</x:v>
      </x:c>
      <x:c r="AD1303" t="n">
        <x:v>0.8369227988407482</x:v>
      </x:c>
      <x:c r="AE1303" t="n">
        <x:v>1</x:v>
      </x:c>
      <x:c r="AF1303" t="n">
        <x:v>0.006519779562950134</x:v>
      </x:c>
      <x:c r="AG1303" t="n">
        <x:f>_xlfn.XLOOKUP($A1303,Games!$A$2:$A$18,Games!$B$2:$B$18,"Missing game",0)</x:f>
        <x:v>2025</x:v>
      </x:c>
      <x:c r="AH1303" t="str">
        <x:f>_xlfn.XLOOKUP($A1303,Games!$A$2:$A$18,Games!$C$2:$C$18,"Missing game",0)</x:f>
        <x:v>REG</x:v>
      </x:c>
      <x:c r="AI1303" t="n">
        <x:f>_xlfn.XLOOKUP($A1303,Games!$A$2:$A$18,Games!$D$2:$D$18,"Missing game",0)</x:f>
        <x:v>9</x:v>
      </x:c>
      <x:c r="AJ1303" s="1" t="n">
        <x:f>_xlfn.XLOOKUP($A1303,Games!$A$2:$A$18,Games!$E$2:$E$18,"Missing game",0)</x:f>
        <x:v>45963</x:v>
      </x:c>
      <x:c r="AK1303" t="str">
        <x:f>_xlfn.XLOOKUP($A1303,Games!$A$2:$A$18,Games!$F$2:$F$18,"Missing game",0)</x:f>
        <x:v>Sunday</x:v>
      </x:c>
      <x:c r="AL1303" t="str">
        <x:f>_xlfn.XLOOKUP($A1303,Games!$A$2:$A$18,Games!$G$2:$G$18,"Missing game",0)</x:f>
        <x:v>MIN</x:v>
      </x:c>
      <x:c r="AM1303" t="n">
        <x:f>_xlfn.XLOOKUP($A1303,Games!$A$2:$A$18,Games!$H$2:$H$18,"Missing game",0)</x:f>
        <x:v>27</x:v>
      </x:c>
      <x:c r="AN1303" t="str">
        <x:f>_xlfn.XLOOKUP($A1303,Games!$A$2:$A$18,Games!$I$2:$I$18,"Missing game",0)</x:f>
        <x:v>DET</x:v>
      </x:c>
      <x:c r="AO1303" t="n">
        <x:f>_xlfn.XLOOKUP($A1303,Games!$A$2:$A$18,Games!$J$2:$J$18,"Missing game",0)</x:f>
        <x:v>24</x:v>
      </x:c>
      <x:c r="AP1303" t="n">
        <x:f>_xlfn.XLOOKUP($A1303,Games!$A$2:$A$18,Games!$K$2:$K$18,"Missing game",0)</x:f>
        <x:v>-3</x:v>
      </x:c>
      <x:c r="AQ1303" t="n">
        <x:f>_xlfn.XLOOKUP($A1303,Games!$A$2:$A$18,Games!$L$2:$L$18,"Missing game",0)</x:f>
        <x:v>51</x:v>
      </x:c>
      <x:c r="AR1303" t="n">
        <x:f>_xlfn.XLOOKUP($A1303,Games!$A$2:$A$18,Games!$M$2:$M$18,"Missing game",0)</x:f>
        <x:v>0</x:v>
      </x:c>
      <x:c r="AS1303" t="str">
        <x:f>_xlfn.XLOOKUP($A1303,Games!$A$2:$A$18,Games!$N$2:$N$18,"Missing game",0)</x:f>
        <x:v>dome</x:v>
      </x:c>
      <x:c r="AT1303" t="str">
        <x:f>_xlfn.XLOOKUP($A1303,Games!$A$2:$A$18,Games!$O$2:$O$18,"Missing game",0)</x:f>
        <x:v>fieldturf</x:v>
      </x:c>
      <x:c r="AU1303" t="str">
        <x:f>_xlfn.XLOOKUP($A1303,Games!$A$2:$A$18,Games!$P$2:$P$18,"Missing game",0)</x:f>
      </x:c>
      <x:c r="AV1303" t="str">
        <x:f>_xlfn.XLOOKUP($A1303,Games!$A$2:$A$18,Games!$Q$2:$Q$18,"Missing game",0)</x:f>
      </x:c>
      <x:c r="AW1303" t="str">
        <x:f>_xlfn.XLOOKUP($A1303,Games!$A$2:$A$18,Games!$R$2:$R$18,"Missing game",0)</x:f>
        <x:v>Ford Field</x:v>
      </x:c>
    </x:row>
    <x:row r="1304">
      <x:c r="A1304" t="str">
        <x:v>2025_09_MIN_DET</x:v>
      </x:c>
      <x:c r="B1304" t="n">
        <x:v>3192</x:v>
      </x:c>
      <x:c r="C1304" t="n">
        <x:v>3</x:v>
      </x:c>
      <x:c r="D1304" t="str">
        <x:v>00:11</x:v>
      </x:c>
      <x:c r="E1304"/>
      <x:c r="F1304" t="n">
        <x:v>0</x:v>
      </x:c>
      <x:c r="G1304" t="str">
        <x:v>MIN</x:v>
      </x:c>
      <x:c r="H1304" t="str">
        <x:v>DET</x:v>
      </x:c>
      <x:c r="I1304" t="str">
        <x:v>DET</x:v>
      </x:c>
      <x:c r="J1304" t="n">
        <x:v>35</x:v>
      </x:c>
      <x:c r="K1304" t="str">
        <x:v>39-J.Bates kicks 64 yards from DET 35 to MIN 1. 4-M.Price for 99 yards, TOUCHDOWN NULLIFIED by Penalty. PENALTY on MIN-37-T.Thomas, Offensive Holding, 10 yards, enforced at MIN 36.</x:v>
      </x:c>
      <x:c r="L1304" t="str">
        <x:v>kickoff</x:v>
      </x:c>
      <x:c r="M1304" t="n">
        <x:v>0</x:v>
      </x:c>
      <x:c r="N1304" t="n">
        <x:v>0</x:v>
      </x:c>
      <x:c r="O1304" t="n">
        <x:v>0</x:v>
      </x:c>
      <x:c r="P1304"/>
      <x:c r="Q1304"/>
      <x:c r="R1304"/>
      <x:c r="S1304"/>
      <x:c r="T1304"/>
      <x:c r="U1304"/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1</x:v>
      </x:c>
      <x:c r="AB1304" t="n">
        <x:v>10</x:v>
      </x:c>
      <x:c r="AC1304" t="n">
        <x:v>0</x:v>
      </x:c>
      <x:c r="AD1304" t="n">
        <x:v>0.014252698514610529</x:v>
      </x:c>
      <x:c r="AE1304" t="n">
        <x:v>1</x:v>
      </x:c>
      <x:c r="AF1304" t="n">
        <x:v>0</x:v>
      </x:c>
      <x:c r="AG1304" t="n">
        <x:f>_xlfn.XLOOKUP($A1304,Games!$A$2:$A$18,Games!$B$2:$B$18,"Missing game",0)</x:f>
        <x:v>2025</x:v>
      </x:c>
      <x:c r="AH1304" t="str">
        <x:f>_xlfn.XLOOKUP($A1304,Games!$A$2:$A$18,Games!$C$2:$C$18,"Missing game",0)</x:f>
        <x:v>REG</x:v>
      </x:c>
      <x:c r="AI1304" t="n">
        <x:f>_xlfn.XLOOKUP($A1304,Games!$A$2:$A$18,Games!$D$2:$D$18,"Missing game",0)</x:f>
        <x:v>9</x:v>
      </x:c>
      <x:c r="AJ1304" s="1" t="n">
        <x:f>_xlfn.XLOOKUP($A1304,Games!$A$2:$A$18,Games!$E$2:$E$18,"Missing game",0)</x:f>
        <x:v>45963</x:v>
      </x:c>
      <x:c r="AK1304" t="str">
        <x:f>_xlfn.XLOOKUP($A1304,Games!$A$2:$A$18,Games!$F$2:$F$18,"Missing game",0)</x:f>
        <x:v>Sunday</x:v>
      </x:c>
      <x:c r="AL1304" t="str">
        <x:f>_xlfn.XLOOKUP($A1304,Games!$A$2:$A$18,Games!$G$2:$G$18,"Missing game",0)</x:f>
        <x:v>MIN</x:v>
      </x:c>
      <x:c r="AM1304" t="n">
        <x:f>_xlfn.XLOOKUP($A1304,Games!$A$2:$A$18,Games!$H$2:$H$18,"Missing game",0)</x:f>
        <x:v>27</x:v>
      </x:c>
      <x:c r="AN1304" t="str">
        <x:f>_xlfn.XLOOKUP($A1304,Games!$A$2:$A$18,Games!$I$2:$I$18,"Missing game",0)</x:f>
        <x:v>DET</x:v>
      </x:c>
      <x:c r="AO1304" t="n">
        <x:f>_xlfn.XLOOKUP($A1304,Games!$A$2:$A$18,Games!$J$2:$J$18,"Missing game",0)</x:f>
        <x:v>24</x:v>
      </x:c>
      <x:c r="AP1304" t="n">
        <x:f>_xlfn.XLOOKUP($A1304,Games!$A$2:$A$18,Games!$K$2:$K$18,"Missing game",0)</x:f>
        <x:v>-3</x:v>
      </x:c>
      <x:c r="AQ1304" t="n">
        <x:f>_xlfn.XLOOKUP($A1304,Games!$A$2:$A$18,Games!$L$2:$L$18,"Missing game",0)</x:f>
        <x:v>51</x:v>
      </x:c>
      <x:c r="AR1304" t="n">
        <x:f>_xlfn.XLOOKUP($A1304,Games!$A$2:$A$18,Games!$M$2:$M$18,"Missing game",0)</x:f>
        <x:v>0</x:v>
      </x:c>
      <x:c r="AS1304" t="str">
        <x:f>_xlfn.XLOOKUP($A1304,Games!$A$2:$A$18,Games!$N$2:$N$18,"Missing game",0)</x:f>
        <x:v>dome</x:v>
      </x:c>
      <x:c r="AT1304" t="str">
        <x:f>_xlfn.XLOOKUP($A1304,Games!$A$2:$A$18,Games!$O$2:$O$18,"Missing game",0)</x:f>
        <x:v>fieldturf</x:v>
      </x:c>
      <x:c r="AU1304" t="str">
        <x:f>_xlfn.XLOOKUP($A1304,Games!$A$2:$A$18,Games!$P$2:$P$18,"Missing game",0)</x:f>
      </x:c>
      <x:c r="AV1304" t="str">
        <x:f>_xlfn.XLOOKUP($A1304,Games!$A$2:$A$18,Games!$Q$2:$Q$18,"Missing game",0)</x:f>
      </x:c>
      <x:c r="AW1304" t="str">
        <x:f>_xlfn.XLOOKUP($A1304,Games!$A$2:$A$18,Games!$R$2:$R$18,"Missing game",0)</x:f>
        <x:v>Ford Field</x:v>
      </x:c>
    </x:row>
    <x:row r="1305">
      <x:c r="A1305" t="str">
        <x:v>2025_09_MIN_DET</x:v>
      </x:c>
      <x:c r="B1305" t="n">
        <x:v>3227</x:v>
      </x:c>
      <x:c r="C1305" t="n">
        <x:v>3</x:v>
      </x:c>
      <x:c r="D1305" t="str">
        <x:v>00:00</x:v>
      </x:c>
      <x:c r="E1305"/>
      <x:c r="F1305" t="n">
        <x:v>0</x:v>
      </x:c>
      <x:c r="G1305" t="str">
        <x:v>MIN</x:v>
      </x:c>
      <x:c r="H1305" t="str">
        <x:v>DET</x:v>
      </x:c>
      <x:c r="I1305"/>
      <x:c r="J1305"/>
      <x:c r="K1305" t="str">
        <x:v>END QUARTER 3</x:v>
      </x:c>
      <x:c r="L1305"/>
      <x:c r="M1305"/>
      <x:c r="N1305" t="n">
        <x:v>0</x:v>
      </x:c>
      <x:c r="O1305" t="n">
        <x:v>0</x:v>
      </x:c>
      <x:c r="P1305"/>
      <x:c r="Q1305"/>
      <x:c r="R1305"/>
      <x:c r="S1305"/>
      <x:c r="T1305"/>
      <x:c r="U1305"/>
      <x:c r="V1305"/>
      <x:c r="W1305"/>
      <x:c r="X1305"/>
      <x:c r="Y1305"/>
      <x:c r="Z1305"/>
      <x:c r="AA1305"/>
      <x:c r="AB1305"/>
      <x:c r="AC1305"/>
      <x:c r="AD1305" t="n">
        <x:v>0</x:v>
      </x:c>
      <x:c r="AE1305" t="n">
        <x:v>0</x:v>
      </x:c>
      <x:c r="AF1305" t="n">
        <x:v>0</x:v>
      </x:c>
      <x:c r="AG1305" t="n">
        <x:f>_xlfn.XLOOKUP($A1305,Games!$A$2:$A$18,Games!$B$2:$B$18,"Missing game",0)</x:f>
        <x:v>2025</x:v>
      </x:c>
      <x:c r="AH1305" t="str">
        <x:f>_xlfn.XLOOKUP($A1305,Games!$A$2:$A$18,Games!$C$2:$C$18,"Missing game",0)</x:f>
        <x:v>REG</x:v>
      </x:c>
      <x:c r="AI1305" t="n">
        <x:f>_xlfn.XLOOKUP($A1305,Games!$A$2:$A$18,Games!$D$2:$D$18,"Missing game",0)</x:f>
        <x:v>9</x:v>
      </x:c>
      <x:c r="AJ1305" s="1" t="n">
        <x:f>_xlfn.XLOOKUP($A1305,Games!$A$2:$A$18,Games!$E$2:$E$18,"Missing game",0)</x:f>
        <x:v>45963</x:v>
      </x:c>
      <x:c r="AK1305" t="str">
        <x:f>_xlfn.XLOOKUP($A1305,Games!$A$2:$A$18,Games!$F$2:$F$18,"Missing game",0)</x:f>
        <x:v>Sunday</x:v>
      </x:c>
      <x:c r="AL1305" t="str">
        <x:f>_xlfn.XLOOKUP($A1305,Games!$A$2:$A$18,Games!$G$2:$G$18,"Missing game",0)</x:f>
        <x:v>MIN</x:v>
      </x:c>
      <x:c r="AM1305" t="n">
        <x:f>_xlfn.XLOOKUP($A1305,Games!$A$2:$A$18,Games!$H$2:$H$18,"Missing game",0)</x:f>
        <x:v>27</x:v>
      </x:c>
      <x:c r="AN1305" t="str">
        <x:f>_xlfn.XLOOKUP($A1305,Games!$A$2:$A$18,Games!$I$2:$I$18,"Missing game",0)</x:f>
        <x:v>DET</x:v>
      </x:c>
      <x:c r="AO1305" t="n">
        <x:f>_xlfn.XLOOKUP($A1305,Games!$A$2:$A$18,Games!$J$2:$J$18,"Missing game",0)</x:f>
        <x:v>24</x:v>
      </x:c>
      <x:c r="AP1305" t="n">
        <x:f>_xlfn.XLOOKUP($A1305,Games!$A$2:$A$18,Games!$K$2:$K$18,"Missing game",0)</x:f>
        <x:v>-3</x:v>
      </x:c>
      <x:c r="AQ1305" t="n">
        <x:f>_xlfn.XLOOKUP($A1305,Games!$A$2:$A$18,Games!$L$2:$L$18,"Missing game",0)</x:f>
        <x:v>51</x:v>
      </x:c>
      <x:c r="AR1305" t="n">
        <x:f>_xlfn.XLOOKUP($A1305,Games!$A$2:$A$18,Games!$M$2:$M$18,"Missing game",0)</x:f>
        <x:v>0</x:v>
      </x:c>
      <x:c r="AS1305" t="str">
        <x:f>_xlfn.XLOOKUP($A1305,Games!$A$2:$A$18,Games!$N$2:$N$18,"Missing game",0)</x:f>
        <x:v>dome</x:v>
      </x:c>
      <x:c r="AT1305" t="str">
        <x:f>_xlfn.XLOOKUP($A1305,Games!$A$2:$A$18,Games!$O$2:$O$18,"Missing game",0)</x:f>
        <x:v>fieldturf</x:v>
      </x:c>
      <x:c r="AU1305" t="str">
        <x:f>_xlfn.XLOOKUP($A1305,Games!$A$2:$A$18,Games!$P$2:$P$18,"Missing game",0)</x:f>
      </x:c>
      <x:c r="AV1305" t="str">
        <x:f>_xlfn.XLOOKUP($A1305,Games!$A$2:$A$18,Games!$Q$2:$Q$18,"Missing game",0)</x:f>
      </x:c>
      <x:c r="AW1305" t="str">
        <x:f>_xlfn.XLOOKUP($A1305,Games!$A$2:$A$18,Games!$R$2:$R$18,"Missing game",0)</x:f>
        <x:v>Ford Field</x:v>
      </x:c>
    </x:row>
    <x:row r="1306">
      <x:c r="A1306" t="str">
        <x:v>2025_09_MIN_DET</x:v>
      </x:c>
      <x:c r="B1306" t="n">
        <x:v>3247</x:v>
      </x:c>
      <x:c r="C1306" t="n">
        <x:v>4</x:v>
      </x:c>
      <x:c r="D1306" t="str">
        <x:v>15:00</x:v>
      </x:c>
      <x:c r="E1306" t="n">
        <x:v>1</x:v>
      </x:c>
      <x:c r="F1306" t="n">
        <x:v>10</x:v>
      </x:c>
      <x:c r="G1306" t="str">
        <x:v>MIN</x:v>
      </x:c>
      <x:c r="H1306" t="str">
        <x:v>DET</x:v>
      </x:c>
      <x:c r="I1306" t="str">
        <x:v>MIN</x:v>
      </x:c>
      <x:c r="J1306" t="n">
        <x:v>74</x:v>
      </x:c>
      <x:c r="K1306" t="str">
        <x:v>(15:00) 9-J.McCarthy pass short right to 18-J.Jefferson to MIN 30 for 4 yards (32-B.Branch). DET-21-A.Robertson was injured during the play. ** Injury Update: MIN-18-J.Jefferson has returned to the game.</x:v>
      </x:c>
      <x:c r="L1306" t="str">
        <x:v>pass</x:v>
      </x:c>
      <x:c r="M1306" t="n">
        <x:v>4</x:v>
      </x:c>
      <x:c r="N1306" t="n">
        <x:v>0</x:v>
      </x:c>
      <x:c r="O1306" t="n">
        <x:v>0</x:v>
      </x:c>
      <x:c r="P1306" t="str">
        <x:v>short</x:v>
      </x:c>
      <x:c r="Q1306" t="str">
        <x:v>right</x:v>
      </x:c>
      <x:c r="R1306" t="n">
        <x:v>-1</x:v>
      </x:c>
      <x:c r="S1306" t="n">
        <x:v>5</x:v>
      </x:c>
      <x:c r="T1306"/>
      <x:c r="U1306"/>
      <x:c r="V1306" t="n">
        <x:v>1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  <x:c r="AB1306"/>
      <x:c r="AC1306" t="n">
        <x:v>0</x:v>
      </x:c>
      <x:c r="AD1306" t="n">
        <x:v>-0.16534203989431262</x:v>
      </x:c>
      <x:c r="AE1306" t="n">
        <x:v>0</x:v>
      </x:c>
      <x:c r="AF1306" t="n">
        <x:v>-0.01009523868560791</x:v>
      </x:c>
      <x:c r="AG1306" t="n">
        <x:f>_xlfn.XLOOKUP($A1306,Games!$A$2:$A$18,Games!$B$2:$B$18,"Missing game",0)</x:f>
        <x:v>2025</x:v>
      </x:c>
      <x:c r="AH1306" t="str">
        <x:f>_xlfn.XLOOKUP($A1306,Games!$A$2:$A$18,Games!$C$2:$C$18,"Missing game",0)</x:f>
        <x:v>REG</x:v>
      </x:c>
      <x:c r="AI1306" t="n">
        <x:f>_xlfn.XLOOKUP($A1306,Games!$A$2:$A$18,Games!$D$2:$D$18,"Missing game",0)</x:f>
        <x:v>9</x:v>
      </x:c>
      <x:c r="AJ1306" s="1" t="n">
        <x:f>_xlfn.XLOOKUP($A1306,Games!$A$2:$A$18,Games!$E$2:$E$18,"Missing game",0)</x:f>
        <x:v>45963</x:v>
      </x:c>
      <x:c r="AK1306" t="str">
        <x:f>_xlfn.XLOOKUP($A1306,Games!$A$2:$A$18,Games!$F$2:$F$18,"Missing game",0)</x:f>
        <x:v>Sunday</x:v>
      </x:c>
      <x:c r="AL1306" t="str">
        <x:f>_xlfn.XLOOKUP($A1306,Games!$A$2:$A$18,Games!$G$2:$G$18,"Missing game",0)</x:f>
        <x:v>MIN</x:v>
      </x:c>
      <x:c r="AM1306" t="n">
        <x:f>_xlfn.XLOOKUP($A1306,Games!$A$2:$A$18,Games!$H$2:$H$18,"Missing game",0)</x:f>
        <x:v>27</x:v>
      </x:c>
      <x:c r="AN1306" t="str">
        <x:f>_xlfn.XLOOKUP($A1306,Games!$A$2:$A$18,Games!$I$2:$I$18,"Missing game",0)</x:f>
        <x:v>DET</x:v>
      </x:c>
      <x:c r="AO1306" t="n">
        <x:f>_xlfn.XLOOKUP($A1306,Games!$A$2:$A$18,Games!$J$2:$J$18,"Missing game",0)</x:f>
        <x:v>24</x:v>
      </x:c>
      <x:c r="AP1306" t="n">
        <x:f>_xlfn.XLOOKUP($A1306,Games!$A$2:$A$18,Games!$K$2:$K$18,"Missing game",0)</x:f>
        <x:v>-3</x:v>
      </x:c>
      <x:c r="AQ1306" t="n">
        <x:f>_xlfn.XLOOKUP($A1306,Games!$A$2:$A$18,Games!$L$2:$L$18,"Missing game",0)</x:f>
        <x:v>51</x:v>
      </x:c>
      <x:c r="AR1306" t="n">
        <x:f>_xlfn.XLOOKUP($A1306,Games!$A$2:$A$18,Games!$M$2:$M$18,"Missing game",0)</x:f>
        <x:v>0</x:v>
      </x:c>
      <x:c r="AS1306" t="str">
        <x:f>_xlfn.XLOOKUP($A1306,Games!$A$2:$A$18,Games!$N$2:$N$18,"Missing game",0)</x:f>
        <x:v>dome</x:v>
      </x:c>
      <x:c r="AT1306" t="str">
        <x:f>_xlfn.XLOOKUP($A1306,Games!$A$2:$A$18,Games!$O$2:$O$18,"Missing game",0)</x:f>
        <x:v>fieldturf</x:v>
      </x:c>
      <x:c r="AU1306" t="str">
        <x:f>_xlfn.XLOOKUP($A1306,Games!$A$2:$A$18,Games!$P$2:$P$18,"Missing game",0)</x:f>
      </x:c>
      <x:c r="AV1306" t="str">
        <x:f>_xlfn.XLOOKUP($A1306,Games!$A$2:$A$18,Games!$Q$2:$Q$18,"Missing game",0)</x:f>
      </x:c>
      <x:c r="AW1306" t="str">
        <x:f>_xlfn.XLOOKUP($A1306,Games!$A$2:$A$18,Games!$R$2:$R$18,"Missing game",0)</x:f>
        <x:v>Ford Field</x:v>
      </x:c>
    </x:row>
    <x:row r="1307">
      <x:c r="A1307" t="str">
        <x:v>2025_09_MIN_DET</x:v>
      </x:c>
      <x:c r="B1307" t="n">
        <x:v>3280</x:v>
      </x:c>
      <x:c r="C1307" t="n">
        <x:v>4</x:v>
      </x:c>
      <x:c r="D1307" t="str">
        <x:v>14:39</x:v>
      </x:c>
      <x:c r="E1307" t="n">
        <x:v>2</x:v>
      </x:c>
      <x:c r="F1307" t="n">
        <x:v>6</x:v>
      </x:c>
      <x:c r="G1307" t="str">
        <x:v>MIN</x:v>
      </x:c>
      <x:c r="H1307" t="str">
        <x:v>DET</x:v>
      </x:c>
      <x:c r="I1307" t="str">
        <x:v>MIN</x:v>
      </x:c>
      <x:c r="J1307" t="n">
        <x:v>70</x:v>
      </x:c>
      <x:c r="K1307" t="str">
        <x:v>(14:39) 27-J.Mason left end to MIN 33 for 3 yards (38-N.Whiteside; 32-B.Branch).</x:v>
      </x:c>
      <x:c r="L1307" t="str">
        <x:v>run</x:v>
      </x:c>
      <x:c r="M1307" t="n">
        <x:v>3</x:v>
      </x:c>
      <x:c r="N1307" t="n">
        <x:v>0</x:v>
      </x:c>
      <x:c r="O1307" t="n">
        <x:v>0</x:v>
      </x:c>
      <x:c r="P1307"/>
      <x:c r="Q1307"/>
      <x:c r="R1307"/>
      <x:c r="S1307"/>
      <x:c r="T1307" t="str">
        <x:v>left</x:v>
      </x:c>
      <x:c r="U1307" t="str">
        <x:v>end</x:v>
      </x:c>
      <x:c r="V1307" t="n">
        <x:v>0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0</x:v>
      </x:c>
      <x:c r="AB1307"/>
      <x:c r="AC1307" t="n">
        <x:v>0</x:v>
      </x:c>
      <x:c r="AD1307" t="n">
        <x:v>-0.3281984836794436</x:v>
      </x:c>
      <x:c r="AE1307" t="n">
        <x:v>0</x:v>
      </x:c>
      <x:c r="AF1307" t="n">
        <x:v>0.01531374454498291</x:v>
      </x:c>
      <x:c r="AG1307" t="n">
        <x:f>_xlfn.XLOOKUP($A1307,Games!$A$2:$A$18,Games!$B$2:$B$18,"Missing game",0)</x:f>
        <x:v>2025</x:v>
      </x:c>
      <x:c r="AH1307" t="str">
        <x:f>_xlfn.XLOOKUP($A1307,Games!$A$2:$A$18,Games!$C$2:$C$18,"Missing game",0)</x:f>
        <x:v>REG</x:v>
      </x:c>
      <x:c r="AI1307" t="n">
        <x:f>_xlfn.XLOOKUP($A1307,Games!$A$2:$A$18,Games!$D$2:$D$18,"Missing game",0)</x:f>
        <x:v>9</x:v>
      </x:c>
      <x:c r="AJ1307" s="1" t="n">
        <x:f>_xlfn.XLOOKUP($A1307,Games!$A$2:$A$18,Games!$E$2:$E$18,"Missing game",0)</x:f>
        <x:v>45963</x:v>
      </x:c>
      <x:c r="AK1307" t="str">
        <x:f>_xlfn.XLOOKUP($A1307,Games!$A$2:$A$18,Games!$F$2:$F$18,"Missing game",0)</x:f>
        <x:v>Sunday</x:v>
      </x:c>
      <x:c r="AL1307" t="str">
        <x:f>_xlfn.XLOOKUP($A1307,Games!$A$2:$A$18,Games!$G$2:$G$18,"Missing game",0)</x:f>
        <x:v>MIN</x:v>
      </x:c>
      <x:c r="AM1307" t="n">
        <x:f>_xlfn.XLOOKUP($A1307,Games!$A$2:$A$18,Games!$H$2:$H$18,"Missing game",0)</x:f>
        <x:v>27</x:v>
      </x:c>
      <x:c r="AN1307" t="str">
        <x:f>_xlfn.XLOOKUP($A1307,Games!$A$2:$A$18,Games!$I$2:$I$18,"Missing game",0)</x:f>
        <x:v>DET</x:v>
      </x:c>
      <x:c r="AO1307" t="n">
        <x:f>_xlfn.XLOOKUP($A1307,Games!$A$2:$A$18,Games!$J$2:$J$18,"Missing game",0)</x:f>
        <x:v>24</x:v>
      </x:c>
      <x:c r="AP1307" t="n">
        <x:f>_xlfn.XLOOKUP($A1307,Games!$A$2:$A$18,Games!$K$2:$K$18,"Missing game",0)</x:f>
        <x:v>-3</x:v>
      </x:c>
      <x:c r="AQ1307" t="n">
        <x:f>_xlfn.XLOOKUP($A1307,Games!$A$2:$A$18,Games!$L$2:$L$18,"Missing game",0)</x:f>
        <x:v>51</x:v>
      </x:c>
      <x:c r="AR1307" t="n">
        <x:f>_xlfn.XLOOKUP($A1307,Games!$A$2:$A$18,Games!$M$2:$M$18,"Missing game",0)</x:f>
        <x:v>0</x:v>
      </x:c>
      <x:c r="AS1307" t="str">
        <x:f>_xlfn.XLOOKUP($A1307,Games!$A$2:$A$18,Games!$N$2:$N$18,"Missing game",0)</x:f>
        <x:v>dome</x:v>
      </x:c>
      <x:c r="AT1307" t="str">
        <x:f>_xlfn.XLOOKUP($A1307,Games!$A$2:$A$18,Games!$O$2:$O$18,"Missing game",0)</x:f>
        <x:v>fieldturf</x:v>
      </x:c>
      <x:c r="AU1307" t="str">
        <x:f>_xlfn.XLOOKUP($A1307,Games!$A$2:$A$18,Games!$P$2:$P$18,"Missing game",0)</x:f>
      </x:c>
      <x:c r="AV1307" t="str">
        <x:f>_xlfn.XLOOKUP($A1307,Games!$A$2:$A$18,Games!$Q$2:$Q$18,"Missing game",0)</x:f>
      </x:c>
      <x:c r="AW1307" t="str">
        <x:f>_xlfn.XLOOKUP($A1307,Games!$A$2:$A$18,Games!$R$2:$R$18,"Missing game",0)</x:f>
        <x:v>Ford Field</x:v>
      </x:c>
    </x:row>
    <x:row r="1308">
      <x:c r="A1308" t="str">
        <x:v>2025_09_MIN_DET</x:v>
      </x:c>
      <x:c r="B1308" t="n">
        <x:v>3305</x:v>
      </x:c>
      <x:c r="C1308" t="n">
        <x:v>4</x:v>
      </x:c>
      <x:c r="D1308" t="str">
        <x:v>13:56</x:v>
      </x:c>
      <x:c r="E1308" t="n">
        <x:v>3</x:v>
      </x:c>
      <x:c r="F1308" t="n">
        <x:v>3</x:v>
      </x:c>
      <x:c r="G1308" t="str">
        <x:v>MIN</x:v>
      </x:c>
      <x:c r="H1308" t="str">
        <x:v>DET</x:v>
      </x:c>
      <x:c r="I1308" t="str">
        <x:v>MIN</x:v>
      </x:c>
      <x:c r="J1308" t="n">
        <x:v>67</x:v>
      </x:c>
      <x:c r="K1308" t="str">
        <x:v>(13:56) (Shotgun) 9-J.McCarthy sacked at MIN 24 for -9 yards (97-A.Hutchinson). ** Injury Update: DET-21-A.Robertson has returned to the game.</x:v>
      </x:c>
      <x:c r="L1308" t="str">
        <x:v>pass</x:v>
      </x:c>
      <x:c r="M1308" t="n">
        <x:v>-9</x:v>
      </x:c>
      <x:c r="N1308" t="n">
        <x:v>1</x:v>
      </x:c>
      <x:c r="O1308" t="n">
        <x:v>0</x:v>
      </x:c>
      <x:c r="P1308"/>
      <x:c r="Q1308"/>
      <x:c r="R1308"/>
      <x:c r="S1308"/>
      <x:c r="T1308"/>
      <x:c r="U1308"/>
      <x:c r="V1308" t="n">
        <x:v>0</x:v>
      </x:c>
      <x:c r="W1308" t="n">
        <x:v>0</x:v>
      </x:c>
      <x:c r="X1308" t="n">
        <x:v>1</x:v>
      </x:c>
      <x:c r="Y1308" t="n">
        <x:v>0</x:v>
      </x:c>
      <x:c r="Z1308" t="n">
        <x:v>0</x:v>
      </x:c>
      <x:c r="AA1308" t="n">
        <x:v>0</x:v>
      </x:c>
      <x:c r="AB1308"/>
      <x:c r="AC1308" t="n">
        <x:v>0</x:v>
      </x:c>
      <x:c r="AD1308" t="n">
        <x:v>-2.6020967825315893</x:v>
      </x:c>
      <x:c r="AE1308" t="n">
        <x:v>0</x:v>
      </x:c>
      <x:c r="AF1308" t="n">
        <x:v>-0.07357805967330933</x:v>
      </x:c>
      <x:c r="AG1308" t="n">
        <x:f>_xlfn.XLOOKUP($A1308,Games!$A$2:$A$18,Games!$B$2:$B$18,"Missing game",0)</x:f>
        <x:v>2025</x:v>
      </x:c>
      <x:c r="AH1308" t="str">
        <x:f>_xlfn.XLOOKUP($A1308,Games!$A$2:$A$18,Games!$C$2:$C$18,"Missing game",0)</x:f>
        <x:v>REG</x:v>
      </x:c>
      <x:c r="AI1308" t="n">
        <x:f>_xlfn.XLOOKUP($A1308,Games!$A$2:$A$18,Games!$D$2:$D$18,"Missing game",0)</x:f>
        <x:v>9</x:v>
      </x:c>
      <x:c r="AJ1308" s="1" t="n">
        <x:f>_xlfn.XLOOKUP($A1308,Games!$A$2:$A$18,Games!$E$2:$E$18,"Missing game",0)</x:f>
        <x:v>45963</x:v>
      </x:c>
      <x:c r="AK1308" t="str">
        <x:f>_xlfn.XLOOKUP($A1308,Games!$A$2:$A$18,Games!$F$2:$F$18,"Missing game",0)</x:f>
        <x:v>Sunday</x:v>
      </x:c>
      <x:c r="AL1308" t="str">
        <x:f>_xlfn.XLOOKUP($A1308,Games!$A$2:$A$18,Games!$G$2:$G$18,"Missing game",0)</x:f>
        <x:v>MIN</x:v>
      </x:c>
      <x:c r="AM1308" t="n">
        <x:f>_xlfn.XLOOKUP($A1308,Games!$A$2:$A$18,Games!$H$2:$H$18,"Missing game",0)</x:f>
        <x:v>27</x:v>
      </x:c>
      <x:c r="AN1308" t="str">
        <x:f>_xlfn.XLOOKUP($A1308,Games!$A$2:$A$18,Games!$I$2:$I$18,"Missing game",0)</x:f>
        <x:v>DET</x:v>
      </x:c>
      <x:c r="AO1308" t="n">
        <x:f>_xlfn.XLOOKUP($A1308,Games!$A$2:$A$18,Games!$J$2:$J$18,"Missing game",0)</x:f>
        <x:v>24</x:v>
      </x:c>
      <x:c r="AP1308" t="n">
        <x:f>_xlfn.XLOOKUP($A1308,Games!$A$2:$A$18,Games!$K$2:$K$18,"Missing game",0)</x:f>
        <x:v>-3</x:v>
      </x:c>
      <x:c r="AQ1308" t="n">
        <x:f>_xlfn.XLOOKUP($A1308,Games!$A$2:$A$18,Games!$L$2:$L$18,"Missing game",0)</x:f>
        <x:v>51</x:v>
      </x:c>
      <x:c r="AR1308" t="n">
        <x:f>_xlfn.XLOOKUP($A1308,Games!$A$2:$A$18,Games!$M$2:$M$18,"Missing game",0)</x:f>
        <x:v>0</x:v>
      </x:c>
      <x:c r="AS1308" t="str">
        <x:f>_xlfn.XLOOKUP($A1308,Games!$A$2:$A$18,Games!$N$2:$N$18,"Missing game",0)</x:f>
        <x:v>dome</x:v>
      </x:c>
      <x:c r="AT1308" t="str">
        <x:f>_xlfn.XLOOKUP($A1308,Games!$A$2:$A$18,Games!$O$2:$O$18,"Missing game",0)</x:f>
        <x:v>fieldturf</x:v>
      </x:c>
      <x:c r="AU1308" t="str">
        <x:f>_xlfn.XLOOKUP($A1308,Games!$A$2:$A$18,Games!$P$2:$P$18,"Missing game",0)</x:f>
      </x:c>
      <x:c r="AV1308" t="str">
        <x:f>_xlfn.XLOOKUP($A1308,Games!$A$2:$A$18,Games!$Q$2:$Q$18,"Missing game",0)</x:f>
      </x:c>
      <x:c r="AW1308" t="str">
        <x:f>_xlfn.XLOOKUP($A1308,Games!$A$2:$A$18,Games!$R$2:$R$18,"Missing game",0)</x:f>
        <x:v>Ford Field</x:v>
      </x:c>
    </x:row>
    <x:row r="1309">
      <x:c r="A1309" t="str">
        <x:v>2025_09_MIN_DET</x:v>
      </x:c>
      <x:c r="B1309" t="n">
        <x:v>3325</x:v>
      </x:c>
      <x:c r="C1309" t="n">
        <x:v>4</x:v>
      </x:c>
      <x:c r="D1309" t="str">
        <x:v>13:16</x:v>
      </x:c>
      <x:c r="E1309" t="n">
        <x:v>4</x:v>
      </x:c>
      <x:c r="F1309" t="n">
        <x:v>12</x:v>
      </x:c>
      <x:c r="G1309" t="str">
        <x:v>MIN</x:v>
      </x:c>
      <x:c r="H1309" t="str">
        <x:v>DET</x:v>
      </x:c>
      <x:c r="I1309" t="str">
        <x:v>MIN</x:v>
      </x:c>
      <x:c r="J1309" t="n">
        <x:v>76</x:v>
      </x:c>
      <x:c r="K1309" t="str">
        <x:v>(13:16) 17-R.Wright punts 51 yards to DET 25, Center-42-A.DePaola, out of bounds. PENALTY on MIN-37-T.Thomas, Unsportsmanlike Conduct, 15 yards, enforced at DET 25.</x:v>
      </x:c>
      <x:c r="L1309" t="str">
        <x:v>punt</x:v>
      </x:c>
      <x:c r="M1309" t="n">
        <x:v>0</x:v>
      </x:c>
      <x:c r="N1309" t="n">
        <x:v>0</x:v>
      </x:c>
      <x:c r="O1309" t="n">
        <x:v>0</x:v>
      </x:c>
      <x:c r="P1309"/>
      <x:c r="Q1309"/>
      <x:c r="R1309"/>
      <x:c r="S1309"/>
      <x:c r="T1309"/>
      <x:c r="U1309"/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1</x:v>
      </x:c>
      <x:c r="AB1309" t="n">
        <x:v>15</x:v>
      </x:c>
      <x:c r="AC1309" t="n">
        <x:v>0</x:v>
      </x:c>
      <x:c r="AD1309" t="n">
        <x:v>-0.3654555738903582</x:v>
      </x:c>
      <x:c r="AE1309" t="n">
        <x:v>0</x:v>
      </x:c>
      <x:c r="AF1309" t="n">
        <x:v>0.04187414050102234</x:v>
      </x:c>
      <x:c r="AG1309" t="n">
        <x:f>_xlfn.XLOOKUP($A1309,Games!$A$2:$A$18,Games!$B$2:$B$18,"Missing game",0)</x:f>
        <x:v>2025</x:v>
      </x:c>
      <x:c r="AH1309" t="str">
        <x:f>_xlfn.XLOOKUP($A1309,Games!$A$2:$A$18,Games!$C$2:$C$18,"Missing game",0)</x:f>
        <x:v>REG</x:v>
      </x:c>
      <x:c r="AI1309" t="n">
        <x:f>_xlfn.XLOOKUP($A1309,Games!$A$2:$A$18,Games!$D$2:$D$18,"Missing game",0)</x:f>
        <x:v>9</x:v>
      </x:c>
      <x:c r="AJ1309" s="1" t="n">
        <x:f>_xlfn.XLOOKUP($A1309,Games!$A$2:$A$18,Games!$E$2:$E$18,"Missing game",0)</x:f>
        <x:v>45963</x:v>
      </x:c>
      <x:c r="AK1309" t="str">
        <x:f>_xlfn.XLOOKUP($A1309,Games!$A$2:$A$18,Games!$F$2:$F$18,"Missing game",0)</x:f>
        <x:v>Sunday</x:v>
      </x:c>
      <x:c r="AL1309" t="str">
        <x:f>_xlfn.XLOOKUP($A1309,Games!$A$2:$A$18,Games!$G$2:$G$18,"Missing game",0)</x:f>
        <x:v>MIN</x:v>
      </x:c>
      <x:c r="AM1309" t="n">
        <x:f>_xlfn.XLOOKUP($A1309,Games!$A$2:$A$18,Games!$H$2:$H$18,"Missing game",0)</x:f>
        <x:v>27</x:v>
      </x:c>
      <x:c r="AN1309" t="str">
        <x:f>_xlfn.XLOOKUP($A1309,Games!$A$2:$A$18,Games!$I$2:$I$18,"Missing game",0)</x:f>
        <x:v>DET</x:v>
      </x:c>
      <x:c r="AO1309" t="n">
        <x:f>_xlfn.XLOOKUP($A1309,Games!$A$2:$A$18,Games!$J$2:$J$18,"Missing game",0)</x:f>
        <x:v>24</x:v>
      </x:c>
      <x:c r="AP1309" t="n">
        <x:f>_xlfn.XLOOKUP($A1309,Games!$A$2:$A$18,Games!$K$2:$K$18,"Missing game",0)</x:f>
        <x:v>-3</x:v>
      </x:c>
      <x:c r="AQ1309" t="n">
        <x:f>_xlfn.XLOOKUP($A1309,Games!$A$2:$A$18,Games!$L$2:$L$18,"Missing game",0)</x:f>
        <x:v>51</x:v>
      </x:c>
      <x:c r="AR1309" t="n">
        <x:f>_xlfn.XLOOKUP($A1309,Games!$A$2:$A$18,Games!$M$2:$M$18,"Missing game",0)</x:f>
        <x:v>0</x:v>
      </x:c>
      <x:c r="AS1309" t="str">
        <x:f>_xlfn.XLOOKUP($A1309,Games!$A$2:$A$18,Games!$N$2:$N$18,"Missing game",0)</x:f>
        <x:v>dome</x:v>
      </x:c>
      <x:c r="AT1309" t="str">
        <x:f>_xlfn.XLOOKUP($A1309,Games!$A$2:$A$18,Games!$O$2:$O$18,"Missing game",0)</x:f>
        <x:v>fieldturf</x:v>
      </x:c>
      <x:c r="AU1309" t="str">
        <x:f>_xlfn.XLOOKUP($A1309,Games!$A$2:$A$18,Games!$P$2:$P$18,"Missing game",0)</x:f>
      </x:c>
      <x:c r="AV1309" t="str">
        <x:f>_xlfn.XLOOKUP($A1309,Games!$A$2:$A$18,Games!$Q$2:$Q$18,"Missing game",0)</x:f>
      </x:c>
      <x:c r="AW1309" t="str">
        <x:f>_xlfn.XLOOKUP($A1309,Games!$A$2:$A$18,Games!$R$2:$R$18,"Missing game",0)</x:f>
        <x:v>Ford Field</x:v>
      </x:c>
    </x:row>
    <x:row r="1310">
      <x:c r="A1310" t="str">
        <x:v>2025_09_MIN_DET</x:v>
      </x:c>
      <x:c r="B1310" t="n">
        <x:v>3358</x:v>
      </x:c>
      <x:c r="C1310" t="n">
        <x:v>4</x:v>
      </x:c>
      <x:c r="D1310" t="str">
        <x:v>13:10</x:v>
      </x:c>
      <x:c r="E1310" t="n">
        <x:v>1</x:v>
      </x:c>
      <x:c r="F1310" t="n">
        <x:v>10</x:v>
      </x:c>
      <x:c r="G1310" t="str">
        <x:v>DET</x:v>
      </x:c>
      <x:c r="H1310" t="str">
        <x:v>MIN</x:v>
      </x:c>
      <x:c r="I1310" t="str">
        <x:v>DET</x:v>
      </x:c>
      <x:c r="J1310" t="n">
        <x:v>60</x:v>
      </x:c>
      <x:c r="K1310" t="str">
        <x:v>(13:10) 5-D.Montgomery right tackle to MIN 49 for 11 yards (15-D.Turner; 22-H.Smith). ** Injury Update: DET-68-T.Decker has returned to the game.</x:v>
      </x:c>
      <x:c r="L1310" t="str">
        <x:v>run</x:v>
      </x:c>
      <x:c r="M1310" t="n">
        <x:v>11</x:v>
      </x:c>
      <x:c r="N1310" t="n">
        <x:v>0</x:v>
      </x:c>
      <x:c r="O1310" t="n">
        <x:v>0</x:v>
      </x:c>
      <x:c r="P1310"/>
      <x:c r="Q1310"/>
      <x:c r="R1310"/>
      <x:c r="S1310"/>
      <x:c r="T1310" t="str">
        <x:v>right</x:v>
      </x:c>
      <x:c r="U1310" t="str">
        <x:v>tackle</x:v>
      </x:c>
      <x:c r="V1310" t="n">
        <x:v>0</x:v>
      </x:c>
      <x:c r="W1310" t="n">
        <x:v>1</x:v>
      </x:c>
      <x:c r="X1310" t="n">
        <x:v>0</x:v>
      </x:c>
      <x:c r="Y1310" t="n">
        <x:v>0</x:v>
      </x:c>
      <x:c r="Z1310" t="n">
        <x:v>0</x:v>
      </x:c>
      <x:c r="AA1310" t="n">
        <x:v>0</x:v>
      </x:c>
      <x:c r="AB1310"/>
      <x:c r="AC1310" t="n">
        <x:v>0</x:v>
      </x:c>
      <x:c r="AD1310" t="n">
        <x:v>0.6591046473477036</x:v>
      </x:c>
      <x:c r="AE1310" t="n">
        <x:v>1</x:v>
      </x:c>
      <x:c r="AF1310" t="n">
        <x:v>0.00762312114238739</x:v>
      </x:c>
      <x:c r="AG1310" t="n">
        <x:f>_xlfn.XLOOKUP($A1310,Games!$A$2:$A$18,Games!$B$2:$B$18,"Missing game",0)</x:f>
        <x:v>2025</x:v>
      </x:c>
      <x:c r="AH1310" t="str">
        <x:f>_xlfn.XLOOKUP($A1310,Games!$A$2:$A$18,Games!$C$2:$C$18,"Missing game",0)</x:f>
        <x:v>REG</x:v>
      </x:c>
      <x:c r="AI1310" t="n">
        <x:f>_xlfn.XLOOKUP($A1310,Games!$A$2:$A$18,Games!$D$2:$D$18,"Missing game",0)</x:f>
        <x:v>9</x:v>
      </x:c>
      <x:c r="AJ1310" s="1" t="n">
        <x:f>_xlfn.XLOOKUP($A1310,Games!$A$2:$A$18,Games!$E$2:$E$18,"Missing game",0)</x:f>
        <x:v>45963</x:v>
      </x:c>
      <x:c r="AK1310" t="str">
        <x:f>_xlfn.XLOOKUP($A1310,Games!$A$2:$A$18,Games!$F$2:$F$18,"Missing game",0)</x:f>
        <x:v>Sunday</x:v>
      </x:c>
      <x:c r="AL1310" t="str">
        <x:f>_xlfn.XLOOKUP($A1310,Games!$A$2:$A$18,Games!$G$2:$G$18,"Missing game",0)</x:f>
        <x:v>MIN</x:v>
      </x:c>
      <x:c r="AM1310" t="n">
        <x:f>_xlfn.XLOOKUP($A1310,Games!$A$2:$A$18,Games!$H$2:$H$18,"Missing game",0)</x:f>
        <x:v>27</x:v>
      </x:c>
      <x:c r="AN1310" t="str">
        <x:f>_xlfn.XLOOKUP($A1310,Games!$A$2:$A$18,Games!$I$2:$I$18,"Missing game",0)</x:f>
        <x:v>DET</x:v>
      </x:c>
      <x:c r="AO1310" t="n">
        <x:f>_xlfn.XLOOKUP($A1310,Games!$A$2:$A$18,Games!$J$2:$J$18,"Missing game",0)</x:f>
        <x:v>24</x:v>
      </x:c>
      <x:c r="AP1310" t="n">
        <x:f>_xlfn.XLOOKUP($A1310,Games!$A$2:$A$18,Games!$K$2:$K$18,"Missing game",0)</x:f>
        <x:v>-3</x:v>
      </x:c>
      <x:c r="AQ1310" t="n">
        <x:f>_xlfn.XLOOKUP($A1310,Games!$A$2:$A$18,Games!$L$2:$L$18,"Missing game",0)</x:f>
        <x:v>51</x:v>
      </x:c>
      <x:c r="AR1310" t="n">
        <x:f>_xlfn.XLOOKUP($A1310,Games!$A$2:$A$18,Games!$M$2:$M$18,"Missing game",0)</x:f>
        <x:v>0</x:v>
      </x:c>
      <x:c r="AS1310" t="str">
        <x:f>_xlfn.XLOOKUP($A1310,Games!$A$2:$A$18,Games!$N$2:$N$18,"Missing game",0)</x:f>
        <x:v>dome</x:v>
      </x:c>
      <x:c r="AT1310" t="str">
        <x:f>_xlfn.XLOOKUP($A1310,Games!$A$2:$A$18,Games!$O$2:$O$18,"Missing game",0)</x:f>
        <x:v>fieldturf</x:v>
      </x:c>
      <x:c r="AU1310" t="str">
        <x:f>_xlfn.XLOOKUP($A1310,Games!$A$2:$A$18,Games!$P$2:$P$18,"Missing game",0)</x:f>
      </x:c>
      <x:c r="AV1310" t="str">
        <x:f>_xlfn.XLOOKUP($A1310,Games!$A$2:$A$18,Games!$Q$2:$Q$18,"Missing game",0)</x:f>
      </x:c>
      <x:c r="AW1310" t="str">
        <x:f>_xlfn.XLOOKUP($A1310,Games!$A$2:$A$18,Games!$R$2:$R$18,"Missing game",0)</x:f>
        <x:v>Ford Field</x:v>
      </x:c>
    </x:row>
    <x:row r="1311">
      <x:c r="A1311" t="str">
        <x:v>2025_09_MIN_DET</x:v>
      </x:c>
      <x:c r="B1311" t="n">
        <x:v>3387</x:v>
      </x:c>
      <x:c r="C1311" t="n">
        <x:v>4</x:v>
      </x:c>
      <x:c r="D1311" t="str">
        <x:v>12:38</x:v>
      </x:c>
      <x:c r="E1311" t="n">
        <x:v>1</x:v>
      </x:c>
      <x:c r="F1311" t="n">
        <x:v>10</x:v>
      </x:c>
      <x:c r="G1311" t="str">
        <x:v>DET</x:v>
      </x:c>
      <x:c r="H1311" t="str">
        <x:v>MIN</x:v>
      </x:c>
      <x:c r="I1311" t="str">
        <x:v>MIN</x:v>
      </x:c>
      <x:c r="J1311" t="n">
        <x:v>49</x:v>
      </x:c>
      <x:c r="K1311" t="str">
        <x:v>(12:38) 5-D.Montgomery right tackle to MIN 46 for 3 yards (61-J.Redmond; 97-J.Hargrave).</x:v>
      </x:c>
      <x:c r="L1311" t="str">
        <x:v>run</x:v>
      </x:c>
      <x:c r="M1311" t="n">
        <x:v>3</x:v>
      </x:c>
      <x:c r="N1311" t="n">
        <x:v>0</x:v>
      </x:c>
      <x:c r="O1311" t="n">
        <x:v>0</x:v>
      </x:c>
      <x:c r="P1311"/>
      <x:c r="Q1311"/>
      <x:c r="R1311"/>
      <x:c r="S1311"/>
      <x:c r="T1311" t="str">
        <x:v>right</x:v>
      </x:c>
      <x:c r="U1311" t="str">
        <x:v>tackle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  <x:c r="AB1311"/>
      <x:c r="AC1311" t="n">
        <x:v>0</x:v>
      </x:c>
      <x:c r="AD1311" t="n">
        <x:v>-0.29395329765975475</x:v>
      </x:c>
      <x:c r="AE1311" t="n">
        <x:v>0</x:v>
      </x:c>
      <x:c r="AF1311" t="n">
        <x:v>-0.0020279735326766968</x:v>
      </x:c>
      <x:c r="AG1311" t="n">
        <x:f>_xlfn.XLOOKUP($A1311,Games!$A$2:$A$18,Games!$B$2:$B$18,"Missing game",0)</x:f>
        <x:v>2025</x:v>
      </x:c>
      <x:c r="AH1311" t="str">
        <x:f>_xlfn.XLOOKUP($A1311,Games!$A$2:$A$18,Games!$C$2:$C$18,"Missing game",0)</x:f>
        <x:v>REG</x:v>
      </x:c>
      <x:c r="AI1311" t="n">
        <x:f>_xlfn.XLOOKUP($A1311,Games!$A$2:$A$18,Games!$D$2:$D$18,"Missing game",0)</x:f>
        <x:v>9</x:v>
      </x:c>
      <x:c r="AJ1311" s="1" t="n">
        <x:f>_xlfn.XLOOKUP($A1311,Games!$A$2:$A$18,Games!$E$2:$E$18,"Missing game",0)</x:f>
        <x:v>45963</x:v>
      </x:c>
      <x:c r="AK1311" t="str">
        <x:f>_xlfn.XLOOKUP($A1311,Games!$A$2:$A$18,Games!$F$2:$F$18,"Missing game",0)</x:f>
        <x:v>Sunday</x:v>
      </x:c>
      <x:c r="AL1311" t="str">
        <x:f>_xlfn.XLOOKUP($A1311,Games!$A$2:$A$18,Games!$G$2:$G$18,"Missing game",0)</x:f>
        <x:v>MIN</x:v>
      </x:c>
      <x:c r="AM1311" t="n">
        <x:f>_xlfn.XLOOKUP($A1311,Games!$A$2:$A$18,Games!$H$2:$H$18,"Missing game",0)</x:f>
        <x:v>27</x:v>
      </x:c>
      <x:c r="AN1311" t="str">
        <x:f>_xlfn.XLOOKUP($A1311,Games!$A$2:$A$18,Games!$I$2:$I$18,"Missing game",0)</x:f>
        <x:v>DET</x:v>
      </x:c>
      <x:c r="AO1311" t="n">
        <x:f>_xlfn.XLOOKUP($A1311,Games!$A$2:$A$18,Games!$J$2:$J$18,"Missing game",0)</x:f>
        <x:v>24</x:v>
      </x:c>
      <x:c r="AP1311" t="n">
        <x:f>_xlfn.XLOOKUP($A1311,Games!$A$2:$A$18,Games!$K$2:$K$18,"Missing game",0)</x:f>
        <x:v>-3</x:v>
      </x:c>
      <x:c r="AQ1311" t="n">
        <x:f>_xlfn.XLOOKUP($A1311,Games!$A$2:$A$18,Games!$L$2:$L$18,"Missing game",0)</x:f>
        <x:v>51</x:v>
      </x:c>
      <x:c r="AR1311" t="n">
        <x:f>_xlfn.XLOOKUP($A1311,Games!$A$2:$A$18,Games!$M$2:$M$18,"Missing game",0)</x:f>
        <x:v>0</x:v>
      </x:c>
      <x:c r="AS1311" t="str">
        <x:f>_xlfn.XLOOKUP($A1311,Games!$A$2:$A$18,Games!$N$2:$N$18,"Missing game",0)</x:f>
        <x:v>dome</x:v>
      </x:c>
      <x:c r="AT1311" t="str">
        <x:f>_xlfn.XLOOKUP($A1311,Games!$A$2:$A$18,Games!$O$2:$O$18,"Missing game",0)</x:f>
        <x:v>fieldturf</x:v>
      </x:c>
      <x:c r="AU1311" t="str">
        <x:f>_xlfn.XLOOKUP($A1311,Games!$A$2:$A$18,Games!$P$2:$P$18,"Missing game",0)</x:f>
      </x:c>
      <x:c r="AV1311" t="str">
        <x:f>_xlfn.XLOOKUP($A1311,Games!$A$2:$A$18,Games!$Q$2:$Q$18,"Missing game",0)</x:f>
      </x:c>
      <x:c r="AW1311" t="str">
        <x:f>_xlfn.XLOOKUP($A1311,Games!$A$2:$A$18,Games!$R$2:$R$18,"Missing game",0)</x:f>
        <x:v>Ford Field</x:v>
      </x:c>
    </x:row>
    <x:row r="1312">
      <x:c r="A1312" t="str">
        <x:v>2025_09_MIN_DET</x:v>
      </x:c>
      <x:c r="B1312" t="n">
        <x:v>3409</x:v>
      </x:c>
      <x:c r="C1312" t="n">
        <x:v>4</x:v>
      </x:c>
      <x:c r="D1312" t="str">
        <x:v>11:57</x:v>
      </x:c>
      <x:c r="E1312" t="n">
        <x:v>2</x:v>
      </x:c>
      <x:c r="F1312" t="n">
        <x:v>7</x:v>
      </x:c>
      <x:c r="G1312" t="str">
        <x:v>DET</x:v>
      </x:c>
      <x:c r="H1312" t="str">
        <x:v>MIN</x:v>
      </x:c>
      <x:c r="I1312" t="str">
        <x:v>MIN</x:v>
      </x:c>
      <x:c r="J1312" t="n">
        <x:v>46</x:v>
      </x:c>
      <x:c r="K1312" t="str">
        <x:v>(11:57) 5-D.Montgomery up the middle to MIN 43 for 3 yards (51-B.Cashman; 0-I.Pace).</x:v>
      </x:c>
      <x:c r="L1312" t="str">
        <x:v>run</x:v>
      </x:c>
      <x:c r="M1312" t="n">
        <x:v>3</x:v>
      </x:c>
      <x:c r="N1312" t="n">
        <x:v>0</x:v>
      </x:c>
      <x:c r="O1312" t="n">
        <x:v>0</x:v>
      </x:c>
      <x:c r="P1312"/>
      <x:c r="Q1312"/>
      <x:c r="R1312"/>
      <x:c r="S1312"/>
      <x:c r="T1312" t="str">
        <x:v>middle</x:v>
      </x:c>
      <x:c r="U1312"/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0</x:v>
      </x:c>
      <x:c r="AB1312"/>
      <x:c r="AC1312" t="n">
        <x:v>0</x:v>
      </x:c>
      <x:c r="AD1312" t="n">
        <x:v>-0.4184431314934045</x:v>
      </x:c>
      <x:c r="AE1312" t="n">
        <x:v>0</x:v>
      </x:c>
      <x:c r="AF1312" t="n">
        <x:v>-0.012620612978935242</x:v>
      </x:c>
      <x:c r="AG1312" t="n">
        <x:f>_xlfn.XLOOKUP($A1312,Games!$A$2:$A$18,Games!$B$2:$B$18,"Missing game",0)</x:f>
        <x:v>2025</x:v>
      </x:c>
      <x:c r="AH1312" t="str">
        <x:f>_xlfn.XLOOKUP($A1312,Games!$A$2:$A$18,Games!$C$2:$C$18,"Missing game",0)</x:f>
        <x:v>REG</x:v>
      </x:c>
      <x:c r="AI1312" t="n">
        <x:f>_xlfn.XLOOKUP($A1312,Games!$A$2:$A$18,Games!$D$2:$D$18,"Missing game",0)</x:f>
        <x:v>9</x:v>
      </x:c>
      <x:c r="AJ1312" s="1" t="n">
        <x:f>_xlfn.XLOOKUP($A1312,Games!$A$2:$A$18,Games!$E$2:$E$18,"Missing game",0)</x:f>
        <x:v>45963</x:v>
      </x:c>
      <x:c r="AK1312" t="str">
        <x:f>_xlfn.XLOOKUP($A1312,Games!$A$2:$A$18,Games!$F$2:$F$18,"Missing game",0)</x:f>
        <x:v>Sunday</x:v>
      </x:c>
      <x:c r="AL1312" t="str">
        <x:f>_xlfn.XLOOKUP($A1312,Games!$A$2:$A$18,Games!$G$2:$G$18,"Missing game",0)</x:f>
        <x:v>MIN</x:v>
      </x:c>
      <x:c r="AM1312" t="n">
        <x:f>_xlfn.XLOOKUP($A1312,Games!$A$2:$A$18,Games!$H$2:$H$18,"Missing game",0)</x:f>
        <x:v>27</x:v>
      </x:c>
      <x:c r="AN1312" t="str">
        <x:f>_xlfn.XLOOKUP($A1312,Games!$A$2:$A$18,Games!$I$2:$I$18,"Missing game",0)</x:f>
        <x:v>DET</x:v>
      </x:c>
      <x:c r="AO1312" t="n">
        <x:f>_xlfn.XLOOKUP($A1312,Games!$A$2:$A$18,Games!$J$2:$J$18,"Missing game",0)</x:f>
        <x:v>24</x:v>
      </x:c>
      <x:c r="AP1312" t="n">
        <x:f>_xlfn.XLOOKUP($A1312,Games!$A$2:$A$18,Games!$K$2:$K$18,"Missing game",0)</x:f>
        <x:v>-3</x:v>
      </x:c>
      <x:c r="AQ1312" t="n">
        <x:f>_xlfn.XLOOKUP($A1312,Games!$A$2:$A$18,Games!$L$2:$L$18,"Missing game",0)</x:f>
        <x:v>51</x:v>
      </x:c>
      <x:c r="AR1312" t="n">
        <x:f>_xlfn.XLOOKUP($A1312,Games!$A$2:$A$18,Games!$M$2:$M$18,"Missing game",0)</x:f>
        <x:v>0</x:v>
      </x:c>
      <x:c r="AS1312" t="str">
        <x:f>_xlfn.XLOOKUP($A1312,Games!$A$2:$A$18,Games!$N$2:$N$18,"Missing game",0)</x:f>
        <x:v>dome</x:v>
      </x:c>
      <x:c r="AT1312" t="str">
        <x:f>_xlfn.XLOOKUP($A1312,Games!$A$2:$A$18,Games!$O$2:$O$18,"Missing game",0)</x:f>
        <x:v>fieldturf</x:v>
      </x:c>
      <x:c r="AU1312" t="str">
        <x:f>_xlfn.XLOOKUP($A1312,Games!$A$2:$A$18,Games!$P$2:$P$18,"Missing game",0)</x:f>
      </x:c>
      <x:c r="AV1312" t="str">
        <x:f>_xlfn.XLOOKUP($A1312,Games!$A$2:$A$18,Games!$Q$2:$Q$18,"Missing game",0)</x:f>
      </x:c>
      <x:c r="AW1312" t="str">
        <x:f>_xlfn.XLOOKUP($A1312,Games!$A$2:$A$18,Games!$R$2:$R$18,"Missing game",0)</x:f>
        <x:v>Ford Field</x:v>
      </x:c>
    </x:row>
    <x:row r="1313">
      <x:c r="A1313" t="str">
        <x:v>2025_09_MIN_DET</x:v>
      </x:c>
      <x:c r="B1313" t="n">
        <x:v>3431</x:v>
      </x:c>
      <x:c r="C1313" t="n">
        <x:v>4</x:v>
      </x:c>
      <x:c r="D1313" t="str">
        <x:v>11:16</x:v>
      </x:c>
      <x:c r="E1313" t="n">
        <x:v>3</x:v>
      </x:c>
      <x:c r="F1313" t="n">
        <x:v>4</x:v>
      </x:c>
      <x:c r="G1313" t="str">
        <x:v>DET</x:v>
      </x:c>
      <x:c r="H1313" t="str">
        <x:v>MIN</x:v>
      </x:c>
      <x:c r="I1313" t="str">
        <x:v>MIN</x:v>
      </x:c>
      <x:c r="J1313" t="n">
        <x:v>43</x:v>
      </x:c>
      <x:c r="K1313" t="str">
        <x:v>(11:16) (Shotgun) 5-D.Montgomery right end to MIN 41 for 2 yards (43-A.Van Ginkel; 23-F.Moreau).</x:v>
      </x:c>
      <x:c r="L1313" t="str">
        <x:v>run</x:v>
      </x:c>
      <x:c r="M1313" t="n">
        <x:v>2</x:v>
      </x:c>
      <x:c r="N1313" t="n">
        <x:v>1</x:v>
      </x:c>
      <x:c r="O1313" t="n">
        <x:v>0</x:v>
      </x:c>
      <x:c r="P1313"/>
      <x:c r="Q1313"/>
      <x:c r="R1313"/>
      <x:c r="S1313"/>
      <x:c r="T1313" t="str">
        <x:v>right</x:v>
      </x:c>
      <x:c r="U1313" t="str">
        <x:v>end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0</x:v>
      </x:c>
      <x:c r="AB1313"/>
      <x:c r="AC1313" t="n">
        <x:v>0</x:v>
      </x:c>
      <x:c r="AD1313" t="n">
        <x:v>-1.3308516957331449</x:v>
      </x:c>
      <x:c r="AE1313" t="n">
        <x:v>0</x:v>
      </x:c>
      <x:c r="AF1313" t="n">
        <x:v>-0.051588431000709534</x:v>
      </x:c>
      <x:c r="AG1313" t="n">
        <x:f>_xlfn.XLOOKUP($A1313,Games!$A$2:$A$18,Games!$B$2:$B$18,"Missing game",0)</x:f>
        <x:v>2025</x:v>
      </x:c>
      <x:c r="AH1313" t="str">
        <x:f>_xlfn.XLOOKUP($A1313,Games!$A$2:$A$18,Games!$C$2:$C$18,"Missing game",0)</x:f>
        <x:v>REG</x:v>
      </x:c>
      <x:c r="AI1313" t="n">
        <x:f>_xlfn.XLOOKUP($A1313,Games!$A$2:$A$18,Games!$D$2:$D$18,"Missing game",0)</x:f>
        <x:v>9</x:v>
      </x:c>
      <x:c r="AJ1313" s="1" t="n">
        <x:f>_xlfn.XLOOKUP($A1313,Games!$A$2:$A$18,Games!$E$2:$E$18,"Missing game",0)</x:f>
        <x:v>45963</x:v>
      </x:c>
      <x:c r="AK1313" t="str">
        <x:f>_xlfn.XLOOKUP($A1313,Games!$A$2:$A$18,Games!$F$2:$F$18,"Missing game",0)</x:f>
        <x:v>Sunday</x:v>
      </x:c>
      <x:c r="AL1313" t="str">
        <x:f>_xlfn.XLOOKUP($A1313,Games!$A$2:$A$18,Games!$G$2:$G$18,"Missing game",0)</x:f>
        <x:v>MIN</x:v>
      </x:c>
      <x:c r="AM1313" t="n">
        <x:f>_xlfn.XLOOKUP($A1313,Games!$A$2:$A$18,Games!$H$2:$H$18,"Missing game",0)</x:f>
        <x:v>27</x:v>
      </x:c>
      <x:c r="AN1313" t="str">
        <x:f>_xlfn.XLOOKUP($A1313,Games!$A$2:$A$18,Games!$I$2:$I$18,"Missing game",0)</x:f>
        <x:v>DET</x:v>
      </x:c>
      <x:c r="AO1313" t="n">
        <x:f>_xlfn.XLOOKUP($A1313,Games!$A$2:$A$18,Games!$J$2:$J$18,"Missing game",0)</x:f>
        <x:v>24</x:v>
      </x:c>
      <x:c r="AP1313" t="n">
        <x:f>_xlfn.XLOOKUP($A1313,Games!$A$2:$A$18,Games!$K$2:$K$18,"Missing game",0)</x:f>
        <x:v>-3</x:v>
      </x:c>
      <x:c r="AQ1313" t="n">
        <x:f>_xlfn.XLOOKUP($A1313,Games!$A$2:$A$18,Games!$L$2:$L$18,"Missing game",0)</x:f>
        <x:v>51</x:v>
      </x:c>
      <x:c r="AR1313" t="n">
        <x:f>_xlfn.XLOOKUP($A1313,Games!$A$2:$A$18,Games!$M$2:$M$18,"Missing game",0)</x:f>
        <x:v>0</x:v>
      </x:c>
      <x:c r="AS1313" t="str">
        <x:f>_xlfn.XLOOKUP($A1313,Games!$A$2:$A$18,Games!$N$2:$N$18,"Missing game",0)</x:f>
        <x:v>dome</x:v>
      </x:c>
      <x:c r="AT1313" t="str">
        <x:f>_xlfn.XLOOKUP($A1313,Games!$A$2:$A$18,Games!$O$2:$O$18,"Missing game",0)</x:f>
        <x:v>fieldturf</x:v>
      </x:c>
      <x:c r="AU1313" t="str">
        <x:f>_xlfn.XLOOKUP($A1313,Games!$A$2:$A$18,Games!$P$2:$P$18,"Missing game",0)</x:f>
      </x:c>
      <x:c r="AV1313" t="str">
        <x:f>_xlfn.XLOOKUP($A1313,Games!$A$2:$A$18,Games!$Q$2:$Q$18,"Missing game",0)</x:f>
      </x:c>
      <x:c r="AW1313" t="str">
        <x:f>_xlfn.XLOOKUP($A1313,Games!$A$2:$A$18,Games!$R$2:$R$18,"Missing game",0)</x:f>
        <x:v>Ford Field</x:v>
      </x:c>
    </x:row>
    <x:row r="1314">
      <x:c r="A1314" t="str">
        <x:v>2025_09_MIN_DET</x:v>
      </x:c>
      <x:c r="B1314" t="n">
        <x:v>3456</x:v>
      </x:c>
      <x:c r="C1314" t="n">
        <x:v>4</x:v>
      </x:c>
      <x:c r="D1314" t="str">
        <x:v>10:37</x:v>
      </x:c>
      <x:c r="E1314" t="n">
        <x:v>4</x:v>
      </x:c>
      <x:c r="F1314" t="n">
        <x:v>2</x:v>
      </x:c>
      <x:c r="G1314" t="str">
        <x:v>DET</x:v>
      </x:c>
      <x:c r="H1314" t="str">
        <x:v>MIN</x:v>
      </x:c>
      <x:c r="I1314" t="str">
        <x:v>MIN</x:v>
      </x:c>
      <x:c r="J1314" t="n">
        <x:v>41</x:v>
      </x:c>
      <x:c r="K1314" t="str">
        <x:v>(10:37) (Shotgun) 16-J.Goff pass short middle to 87-S.LaPorta to MIN 24 for 17 yards (22-H.Smith; 44-J.Metellus).</x:v>
      </x:c>
      <x:c r="L1314" t="str">
        <x:v>pass</x:v>
      </x:c>
      <x:c r="M1314" t="n">
        <x:v>17</x:v>
      </x:c>
      <x:c r="N1314" t="n">
        <x:v>1</x:v>
      </x:c>
      <x:c r="O1314" t="n">
        <x:v>0</x:v>
      </x:c>
      <x:c r="P1314" t="str">
        <x:v>short</x:v>
      </x:c>
      <x:c r="Q1314" t="str">
        <x:v>middle</x:v>
      </x:c>
      <x:c r="R1314" t="n">
        <x:v>8</x:v>
      </x:c>
      <x:c r="S1314" t="n">
        <x:v>9</x:v>
      </x:c>
      <x:c r="T1314"/>
      <x:c r="U1314"/>
      <x:c r="V1314" t="n">
        <x:v>1</x:v>
      </x:c>
      <x:c r="W1314" t="n">
        <x:v>1</x:v>
      </x:c>
      <x:c r="X1314" t="n">
        <x:v>0</x:v>
      </x:c>
      <x:c r="Y1314" t="n">
        <x:v>0</x:v>
      </x:c>
      <x:c r="Z1314" t="n">
        <x:v>0</x:v>
      </x:c>
      <x:c r="AA1314" t="n">
        <x:v>0</x:v>
      </x:c>
      <x:c r="AB1314"/>
      <x:c r="AC1314" t="n">
        <x:v>0</x:v>
      </x:c>
      <x:c r="AD1314" t="n">
        <x:v>3.6904345141956583</x:v>
      </x:c>
      <x:c r="AE1314" t="n">
        <x:v>1</x:v>
      </x:c>
      <x:c r="AF1314" t="n">
        <x:v>0.16205990314483643</x:v>
      </x:c>
      <x:c r="AG1314" t="n">
        <x:f>_xlfn.XLOOKUP($A1314,Games!$A$2:$A$18,Games!$B$2:$B$18,"Missing game",0)</x:f>
        <x:v>2025</x:v>
      </x:c>
      <x:c r="AH1314" t="str">
        <x:f>_xlfn.XLOOKUP($A1314,Games!$A$2:$A$18,Games!$C$2:$C$18,"Missing game",0)</x:f>
        <x:v>REG</x:v>
      </x:c>
      <x:c r="AI1314" t="n">
        <x:f>_xlfn.XLOOKUP($A1314,Games!$A$2:$A$18,Games!$D$2:$D$18,"Missing game",0)</x:f>
        <x:v>9</x:v>
      </x:c>
      <x:c r="AJ1314" s="1" t="n">
        <x:f>_xlfn.XLOOKUP($A1314,Games!$A$2:$A$18,Games!$E$2:$E$18,"Missing game",0)</x:f>
        <x:v>45963</x:v>
      </x:c>
      <x:c r="AK1314" t="str">
        <x:f>_xlfn.XLOOKUP($A1314,Games!$A$2:$A$18,Games!$F$2:$F$18,"Missing game",0)</x:f>
        <x:v>Sunday</x:v>
      </x:c>
      <x:c r="AL1314" t="str">
        <x:f>_xlfn.XLOOKUP($A1314,Games!$A$2:$A$18,Games!$G$2:$G$18,"Missing game",0)</x:f>
        <x:v>MIN</x:v>
      </x:c>
      <x:c r="AM1314" t="n">
        <x:f>_xlfn.XLOOKUP($A1314,Games!$A$2:$A$18,Games!$H$2:$H$18,"Missing game",0)</x:f>
        <x:v>27</x:v>
      </x:c>
      <x:c r="AN1314" t="str">
        <x:f>_xlfn.XLOOKUP($A1314,Games!$A$2:$A$18,Games!$I$2:$I$18,"Missing game",0)</x:f>
        <x:v>DET</x:v>
      </x:c>
      <x:c r="AO1314" t="n">
        <x:f>_xlfn.XLOOKUP($A1314,Games!$A$2:$A$18,Games!$J$2:$J$18,"Missing game",0)</x:f>
        <x:v>24</x:v>
      </x:c>
      <x:c r="AP1314" t="n">
        <x:f>_xlfn.XLOOKUP($A1314,Games!$A$2:$A$18,Games!$K$2:$K$18,"Missing game",0)</x:f>
        <x:v>-3</x:v>
      </x:c>
      <x:c r="AQ1314" t="n">
        <x:f>_xlfn.XLOOKUP($A1314,Games!$A$2:$A$18,Games!$L$2:$L$18,"Missing game",0)</x:f>
        <x:v>51</x:v>
      </x:c>
      <x:c r="AR1314" t="n">
        <x:f>_xlfn.XLOOKUP($A1314,Games!$A$2:$A$18,Games!$M$2:$M$18,"Missing game",0)</x:f>
        <x:v>0</x:v>
      </x:c>
      <x:c r="AS1314" t="str">
        <x:f>_xlfn.XLOOKUP($A1314,Games!$A$2:$A$18,Games!$N$2:$N$18,"Missing game",0)</x:f>
        <x:v>dome</x:v>
      </x:c>
      <x:c r="AT1314" t="str">
        <x:f>_xlfn.XLOOKUP($A1314,Games!$A$2:$A$18,Games!$O$2:$O$18,"Missing game",0)</x:f>
        <x:v>fieldturf</x:v>
      </x:c>
      <x:c r="AU1314" t="str">
        <x:f>_xlfn.XLOOKUP($A1314,Games!$A$2:$A$18,Games!$P$2:$P$18,"Missing game",0)</x:f>
      </x:c>
      <x:c r="AV1314" t="str">
        <x:f>_xlfn.XLOOKUP($A1314,Games!$A$2:$A$18,Games!$Q$2:$Q$18,"Missing game",0)</x:f>
      </x:c>
      <x:c r="AW1314" t="str">
        <x:f>_xlfn.XLOOKUP($A1314,Games!$A$2:$A$18,Games!$R$2:$R$18,"Missing game",0)</x:f>
        <x:v>Ford Field</x:v>
      </x:c>
    </x:row>
    <x:row r="1315">
      <x:c r="A1315" t="str">
        <x:v>2025_09_MIN_DET</x:v>
      </x:c>
      <x:c r="B1315" t="n">
        <x:v>3481</x:v>
      </x:c>
      <x:c r="C1315" t="n">
        <x:v>4</x:v>
      </x:c>
      <x:c r="D1315" t="str">
        <x:v>09:54</x:v>
      </x:c>
      <x:c r="E1315" t="n">
        <x:v>1</x:v>
      </x:c>
      <x:c r="F1315" t="n">
        <x:v>10</x:v>
      </x:c>
      <x:c r="G1315" t="str">
        <x:v>DET</x:v>
      </x:c>
      <x:c r="H1315" t="str">
        <x:v>MIN</x:v>
      </x:c>
      <x:c r="I1315" t="str">
        <x:v>MIN</x:v>
      </x:c>
      <x:c r="J1315" t="n">
        <x:v>24</x:v>
      </x:c>
      <x:c r="K1315" t="str">
        <x:v>(9:54) 5-D.Montgomery up the middle to MIN 24 for no gain (51-B.Cashman). PENALTY on DET-1-J.Williams, Illegal Block Above the Waist, 10 yards, enforced at MIN 24 - No Play.</x:v>
      </x:c>
      <x:c r="L1315" t="str">
        <x:v>no_play</x:v>
      </x:c>
      <x:c r="M1315" t="n">
        <x:v>0</x:v>
      </x:c>
      <x:c r="N1315" t="n">
        <x:v>0</x:v>
      </x:c>
      <x:c r="O1315" t="n">
        <x:v>0</x:v>
      </x:c>
      <x:c r="P1315"/>
      <x:c r="Q1315"/>
      <x:c r="R1315"/>
      <x:c r="S1315"/>
      <x:c r="T1315"/>
      <x:c r="U1315"/>
      <x:c r="V1315" t="n">
        <x:v>0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1</x:v>
      </x:c>
      <x:c r="AB1315" t="n">
        <x:v>10</x:v>
      </x:c>
      <x:c r="AC1315" t="n">
        <x:v>0</x:v>
      </x:c>
      <x:c r="AD1315" t="n">
        <x:v>-1.321502496371977</x:v>
      </x:c>
      <x:c r="AE1315" t="n">
        <x:v>0</x:v>
      </x:c>
      <x:c r="AF1315" t="n">
        <x:v>-0.07239022850990295</x:v>
      </x:c>
      <x:c r="AG1315" t="n">
        <x:f>_xlfn.XLOOKUP($A1315,Games!$A$2:$A$18,Games!$B$2:$B$18,"Missing game",0)</x:f>
        <x:v>2025</x:v>
      </x:c>
      <x:c r="AH1315" t="str">
        <x:f>_xlfn.XLOOKUP($A1315,Games!$A$2:$A$18,Games!$C$2:$C$18,"Missing game",0)</x:f>
        <x:v>REG</x:v>
      </x:c>
      <x:c r="AI1315" t="n">
        <x:f>_xlfn.XLOOKUP($A1315,Games!$A$2:$A$18,Games!$D$2:$D$18,"Missing game",0)</x:f>
        <x:v>9</x:v>
      </x:c>
      <x:c r="AJ1315" s="1" t="n">
        <x:f>_xlfn.XLOOKUP($A1315,Games!$A$2:$A$18,Games!$E$2:$E$18,"Missing game",0)</x:f>
        <x:v>45963</x:v>
      </x:c>
      <x:c r="AK1315" t="str">
        <x:f>_xlfn.XLOOKUP($A1315,Games!$A$2:$A$18,Games!$F$2:$F$18,"Missing game",0)</x:f>
        <x:v>Sunday</x:v>
      </x:c>
      <x:c r="AL1315" t="str">
        <x:f>_xlfn.XLOOKUP($A1315,Games!$A$2:$A$18,Games!$G$2:$G$18,"Missing game",0)</x:f>
        <x:v>MIN</x:v>
      </x:c>
      <x:c r="AM1315" t="n">
        <x:f>_xlfn.XLOOKUP($A1315,Games!$A$2:$A$18,Games!$H$2:$H$18,"Missing game",0)</x:f>
        <x:v>27</x:v>
      </x:c>
      <x:c r="AN1315" t="str">
        <x:f>_xlfn.XLOOKUP($A1315,Games!$A$2:$A$18,Games!$I$2:$I$18,"Missing game",0)</x:f>
        <x:v>DET</x:v>
      </x:c>
      <x:c r="AO1315" t="n">
        <x:f>_xlfn.XLOOKUP($A1315,Games!$A$2:$A$18,Games!$J$2:$J$18,"Missing game",0)</x:f>
        <x:v>24</x:v>
      </x:c>
      <x:c r="AP1315" t="n">
        <x:f>_xlfn.XLOOKUP($A1315,Games!$A$2:$A$18,Games!$K$2:$K$18,"Missing game",0)</x:f>
        <x:v>-3</x:v>
      </x:c>
      <x:c r="AQ1315" t="n">
        <x:f>_xlfn.XLOOKUP($A1315,Games!$A$2:$A$18,Games!$L$2:$L$18,"Missing game",0)</x:f>
        <x:v>51</x:v>
      </x:c>
      <x:c r="AR1315" t="n">
        <x:f>_xlfn.XLOOKUP($A1315,Games!$A$2:$A$18,Games!$M$2:$M$18,"Missing game",0)</x:f>
        <x:v>0</x:v>
      </x:c>
      <x:c r="AS1315" t="str">
        <x:f>_xlfn.XLOOKUP($A1315,Games!$A$2:$A$18,Games!$N$2:$N$18,"Missing game",0)</x:f>
        <x:v>dome</x:v>
      </x:c>
      <x:c r="AT1315" t="str">
        <x:f>_xlfn.XLOOKUP($A1315,Games!$A$2:$A$18,Games!$O$2:$O$18,"Missing game",0)</x:f>
        <x:v>fieldturf</x:v>
      </x:c>
      <x:c r="AU1315" t="str">
        <x:f>_xlfn.XLOOKUP($A1315,Games!$A$2:$A$18,Games!$P$2:$P$18,"Missing game",0)</x:f>
      </x:c>
      <x:c r="AV1315" t="str">
        <x:f>_xlfn.XLOOKUP($A1315,Games!$A$2:$A$18,Games!$Q$2:$Q$18,"Missing game",0)</x:f>
      </x:c>
      <x:c r="AW1315" t="str">
        <x:f>_xlfn.XLOOKUP($A1315,Games!$A$2:$A$18,Games!$R$2:$R$18,"Missing game",0)</x:f>
        <x:v>Ford Field</x:v>
      </x:c>
    </x:row>
    <x:row r="1316">
      <x:c r="A1316" t="str">
        <x:v>2025_09_MIN_DET</x:v>
      </x:c>
      <x:c r="B1316" t="n">
        <x:v>3514</x:v>
      </x:c>
      <x:c r="C1316" t="n">
        <x:v>4</x:v>
      </x:c>
      <x:c r="D1316" t="str">
        <x:v>09:35</x:v>
      </x:c>
      <x:c r="E1316" t="n">
        <x:v>1</x:v>
      </x:c>
      <x:c r="F1316" t="n">
        <x:v>20</x:v>
      </x:c>
      <x:c r="G1316" t="str">
        <x:v>DET</x:v>
      </x:c>
      <x:c r="H1316" t="str">
        <x:v>MIN</x:v>
      </x:c>
      <x:c r="I1316" t="str">
        <x:v>MIN</x:v>
      </x:c>
      <x:c r="J1316" t="n">
        <x:v>34</x:v>
      </x:c>
      <x:c r="K1316" t="str">
        <x:v>(9:35) (Shotgun) 16-J.Goff pass incomplete deep middle to 14-A.St. Brown. Penalty on DET-68-T.Decker, Offensive Holding, declined.</x:v>
      </x:c>
      <x:c r="L1316" t="str">
        <x:v>pass</x:v>
      </x:c>
      <x:c r="M1316" t="n">
        <x:v>0</x:v>
      </x:c>
      <x:c r="N1316" t="n">
        <x:v>1</x:v>
      </x:c>
      <x:c r="O1316" t="n">
        <x:v>0</x:v>
      </x:c>
      <x:c r="P1316" t="str">
        <x:v>deep</x:v>
      </x:c>
      <x:c r="Q1316" t="str">
        <x:v>middle</x:v>
      </x:c>
      <x:c r="R1316" t="n">
        <x:v>34</x:v>
      </x:c>
      <x:c r="S1316"/>
      <x:c r="T1316"/>
      <x:c r="U1316"/>
      <x:c r="V1316" t="n">
        <x:v>0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0</x:v>
      </x:c>
      <x:c r="AB1316"/>
      <x:c r="AC1316" t="n">
        <x:v>0</x:v>
      </x:c>
      <x:c r="AD1316" t="n">
        <x:v>-0.4965887498110533</x:v>
      </x:c>
      <x:c r="AE1316" t="n">
        <x:v>0</x:v>
      </x:c>
      <x:c r="AF1316" t="n">
        <x:v>-0.017566949129104614</x:v>
      </x:c>
      <x:c r="AG1316" t="n">
        <x:f>_xlfn.XLOOKUP($A1316,Games!$A$2:$A$18,Games!$B$2:$B$18,"Missing game",0)</x:f>
        <x:v>2025</x:v>
      </x:c>
      <x:c r="AH1316" t="str">
        <x:f>_xlfn.XLOOKUP($A1316,Games!$A$2:$A$18,Games!$C$2:$C$18,"Missing game",0)</x:f>
        <x:v>REG</x:v>
      </x:c>
      <x:c r="AI1316" t="n">
        <x:f>_xlfn.XLOOKUP($A1316,Games!$A$2:$A$18,Games!$D$2:$D$18,"Missing game",0)</x:f>
        <x:v>9</x:v>
      </x:c>
      <x:c r="AJ1316" s="1" t="n">
        <x:f>_xlfn.XLOOKUP($A1316,Games!$A$2:$A$18,Games!$E$2:$E$18,"Missing game",0)</x:f>
        <x:v>45963</x:v>
      </x:c>
      <x:c r="AK1316" t="str">
        <x:f>_xlfn.XLOOKUP($A1316,Games!$A$2:$A$18,Games!$F$2:$F$18,"Missing game",0)</x:f>
        <x:v>Sunday</x:v>
      </x:c>
      <x:c r="AL1316" t="str">
        <x:f>_xlfn.XLOOKUP($A1316,Games!$A$2:$A$18,Games!$G$2:$G$18,"Missing game",0)</x:f>
        <x:v>MIN</x:v>
      </x:c>
      <x:c r="AM1316" t="n">
        <x:f>_xlfn.XLOOKUP($A1316,Games!$A$2:$A$18,Games!$H$2:$H$18,"Missing game",0)</x:f>
        <x:v>27</x:v>
      </x:c>
      <x:c r="AN1316" t="str">
        <x:f>_xlfn.XLOOKUP($A1316,Games!$A$2:$A$18,Games!$I$2:$I$18,"Missing game",0)</x:f>
        <x:v>DET</x:v>
      </x:c>
      <x:c r="AO1316" t="n">
        <x:f>_xlfn.XLOOKUP($A1316,Games!$A$2:$A$18,Games!$J$2:$J$18,"Missing game",0)</x:f>
        <x:v>24</x:v>
      </x:c>
      <x:c r="AP1316" t="n">
        <x:f>_xlfn.XLOOKUP($A1316,Games!$A$2:$A$18,Games!$K$2:$K$18,"Missing game",0)</x:f>
        <x:v>-3</x:v>
      </x:c>
      <x:c r="AQ1316" t="n">
        <x:f>_xlfn.XLOOKUP($A1316,Games!$A$2:$A$18,Games!$L$2:$L$18,"Missing game",0)</x:f>
        <x:v>51</x:v>
      </x:c>
      <x:c r="AR1316" t="n">
        <x:f>_xlfn.XLOOKUP($A1316,Games!$A$2:$A$18,Games!$M$2:$M$18,"Missing game",0)</x:f>
        <x:v>0</x:v>
      </x:c>
      <x:c r="AS1316" t="str">
        <x:f>_xlfn.XLOOKUP($A1316,Games!$A$2:$A$18,Games!$N$2:$N$18,"Missing game",0)</x:f>
        <x:v>dome</x:v>
      </x:c>
      <x:c r="AT1316" t="str">
        <x:f>_xlfn.XLOOKUP($A1316,Games!$A$2:$A$18,Games!$O$2:$O$18,"Missing game",0)</x:f>
        <x:v>fieldturf</x:v>
      </x:c>
      <x:c r="AU1316" t="str">
        <x:f>_xlfn.XLOOKUP($A1316,Games!$A$2:$A$18,Games!$P$2:$P$18,"Missing game",0)</x:f>
      </x:c>
      <x:c r="AV1316" t="str">
        <x:f>_xlfn.XLOOKUP($A1316,Games!$A$2:$A$18,Games!$Q$2:$Q$18,"Missing game",0)</x:f>
      </x:c>
      <x:c r="AW1316" t="str">
        <x:f>_xlfn.XLOOKUP($A1316,Games!$A$2:$A$18,Games!$R$2:$R$18,"Missing game",0)</x:f>
        <x:v>Ford Field</x:v>
      </x:c>
    </x:row>
    <x:row r="1317">
      <x:c r="A1317" t="str">
        <x:v>2025_09_MIN_DET</x:v>
      </x:c>
      <x:c r="B1317" t="n">
        <x:v>3548</x:v>
      </x:c>
      <x:c r="C1317" t="n">
        <x:v>4</x:v>
      </x:c>
      <x:c r="D1317" t="str">
        <x:v>09:30</x:v>
      </x:c>
      <x:c r="E1317" t="n">
        <x:v>2</x:v>
      </x:c>
      <x:c r="F1317" t="n">
        <x:v>20</x:v>
      </x:c>
      <x:c r="G1317" t="str">
        <x:v>DET</x:v>
      </x:c>
      <x:c r="H1317" t="str">
        <x:v>MIN</x:v>
      </x:c>
      <x:c r="I1317" t="str">
        <x:v>MIN</x:v>
      </x:c>
      <x:c r="J1317" t="n">
        <x:v>34</x:v>
      </x:c>
      <x:c r="K1317" t="str">
        <x:v>(9:30) (Shotgun) 16-J.Goff pass short left to 14-A.St. Brown pushed ob at MIN 28 for 6 yards (58-J.Greenard).</x:v>
      </x:c>
      <x:c r="L1317" t="str">
        <x:v>pass</x:v>
      </x:c>
      <x:c r="M1317" t="n">
        <x:v>6</x:v>
      </x:c>
      <x:c r="N1317" t="n">
        <x:v>1</x:v>
      </x:c>
      <x:c r="O1317" t="n">
        <x:v>0</x:v>
      </x:c>
      <x:c r="P1317" t="str">
        <x:v>short</x:v>
      </x:c>
      <x:c r="Q1317" t="str">
        <x:v>left</x:v>
      </x:c>
      <x:c r="R1317" t="n">
        <x:v>-2</x:v>
      </x:c>
      <x:c r="S1317" t="n">
        <x:v>8</x:v>
      </x:c>
      <x:c r="T1317"/>
      <x:c r="U1317"/>
      <x:c r="V1317" t="n">
        <x:v>1</x:v>
      </x:c>
      <x:c r="W1317" t="n">
        <x:v>0</x:v>
      </x:c>
      <x:c r="X1317" t="n">
        <x:v>0</x:v>
      </x:c>
      <x:c r="Y1317" t="n">
        <x:v>0</x:v>
      </x:c>
      <x:c r="Z1317" t="n">
        <x:v>0</x:v>
      </x:c>
      <x:c r="AA1317" t="n">
        <x:v>0</x:v>
      </x:c>
      <x:c r="AB1317"/>
      <x:c r="AC1317" t="n">
        <x:v>0</x:v>
      </x:c>
      <x:c r="AD1317" t="n">
        <x:v>-0.06609554355964065</x:v>
      </x:c>
      <x:c r="AE1317" t="n">
        <x:v>0</x:v>
      </x:c>
      <x:c r="AF1317" t="n">
        <x:v>-0.009453356266021729</x:v>
      </x:c>
      <x:c r="AG1317" t="n">
        <x:f>_xlfn.XLOOKUP($A1317,Games!$A$2:$A$18,Games!$B$2:$B$18,"Missing game",0)</x:f>
        <x:v>2025</x:v>
      </x:c>
      <x:c r="AH1317" t="str">
        <x:f>_xlfn.XLOOKUP($A1317,Games!$A$2:$A$18,Games!$C$2:$C$18,"Missing game",0)</x:f>
        <x:v>REG</x:v>
      </x:c>
      <x:c r="AI1317" t="n">
        <x:f>_xlfn.XLOOKUP($A1317,Games!$A$2:$A$18,Games!$D$2:$D$18,"Missing game",0)</x:f>
        <x:v>9</x:v>
      </x:c>
      <x:c r="AJ1317" s="1" t="n">
        <x:f>_xlfn.XLOOKUP($A1317,Games!$A$2:$A$18,Games!$E$2:$E$18,"Missing game",0)</x:f>
        <x:v>45963</x:v>
      </x:c>
      <x:c r="AK1317" t="str">
        <x:f>_xlfn.XLOOKUP($A1317,Games!$A$2:$A$18,Games!$F$2:$F$18,"Missing game",0)</x:f>
        <x:v>Sunday</x:v>
      </x:c>
      <x:c r="AL1317" t="str">
        <x:f>_xlfn.XLOOKUP($A1317,Games!$A$2:$A$18,Games!$G$2:$G$18,"Missing game",0)</x:f>
        <x:v>MIN</x:v>
      </x:c>
      <x:c r="AM1317" t="n">
        <x:f>_xlfn.XLOOKUP($A1317,Games!$A$2:$A$18,Games!$H$2:$H$18,"Missing game",0)</x:f>
        <x:v>27</x:v>
      </x:c>
      <x:c r="AN1317" t="str">
        <x:f>_xlfn.XLOOKUP($A1317,Games!$A$2:$A$18,Games!$I$2:$I$18,"Missing game",0)</x:f>
        <x:v>DET</x:v>
      </x:c>
      <x:c r="AO1317" t="n">
        <x:f>_xlfn.XLOOKUP($A1317,Games!$A$2:$A$18,Games!$J$2:$J$18,"Missing game",0)</x:f>
        <x:v>24</x:v>
      </x:c>
      <x:c r="AP1317" t="n">
        <x:f>_xlfn.XLOOKUP($A1317,Games!$A$2:$A$18,Games!$K$2:$K$18,"Missing game",0)</x:f>
        <x:v>-3</x:v>
      </x:c>
      <x:c r="AQ1317" t="n">
        <x:f>_xlfn.XLOOKUP($A1317,Games!$A$2:$A$18,Games!$L$2:$L$18,"Missing game",0)</x:f>
        <x:v>51</x:v>
      </x:c>
      <x:c r="AR1317" t="n">
        <x:f>_xlfn.XLOOKUP($A1317,Games!$A$2:$A$18,Games!$M$2:$M$18,"Missing game",0)</x:f>
        <x:v>0</x:v>
      </x:c>
      <x:c r="AS1317" t="str">
        <x:f>_xlfn.XLOOKUP($A1317,Games!$A$2:$A$18,Games!$N$2:$N$18,"Missing game",0)</x:f>
        <x:v>dome</x:v>
      </x:c>
      <x:c r="AT1317" t="str">
        <x:f>_xlfn.XLOOKUP($A1317,Games!$A$2:$A$18,Games!$O$2:$O$18,"Missing game",0)</x:f>
        <x:v>fieldturf</x:v>
      </x:c>
      <x:c r="AU1317" t="str">
        <x:f>_xlfn.XLOOKUP($A1317,Games!$A$2:$A$18,Games!$P$2:$P$18,"Missing game",0)</x:f>
      </x:c>
      <x:c r="AV1317" t="str">
        <x:f>_xlfn.XLOOKUP($A1317,Games!$A$2:$A$18,Games!$Q$2:$Q$18,"Missing game",0)</x:f>
      </x:c>
      <x:c r="AW1317" t="str">
        <x:f>_xlfn.XLOOKUP($A1317,Games!$A$2:$A$18,Games!$R$2:$R$18,"Missing game",0)</x:f>
        <x:v>Ford Field</x:v>
      </x:c>
    </x:row>
    <x:row r="1318">
      <x:c r="A1318" t="str">
        <x:v>2025_09_MIN_DET</x:v>
      </x:c>
      <x:c r="B1318" t="n">
        <x:v>3578</x:v>
      </x:c>
      <x:c r="C1318" t="n">
        <x:v>4</x:v>
      </x:c>
      <x:c r="D1318" t="str">
        <x:v>08:54</x:v>
      </x:c>
      <x:c r="E1318" t="n">
        <x:v>3</x:v>
      </x:c>
      <x:c r="F1318" t="n">
        <x:v>14</x:v>
      </x:c>
      <x:c r="G1318" t="str">
        <x:v>DET</x:v>
      </x:c>
      <x:c r="H1318" t="str">
        <x:v>MIN</x:v>
      </x:c>
      <x:c r="I1318" t="str">
        <x:v>MIN</x:v>
      </x:c>
      <x:c r="J1318" t="n">
        <x:v>28</x:v>
      </x:c>
      <x:c r="K1318" t="str">
        <x:v>(8:54) (Shotgun) 16-J.Goff pass short right to 14-A.St. Brown to MIN 19 for 9 yards (7-B.Murphy) [93-J.Allen]. DET-14-A.St. Brown was injured during the play.</x:v>
      </x:c>
      <x:c r="L1318" t="str">
        <x:v>pass</x:v>
      </x:c>
      <x:c r="M1318" t="n">
        <x:v>9</x:v>
      </x:c>
      <x:c r="N1318" t="n">
        <x:v>1</x:v>
      </x:c>
      <x:c r="O1318" t="n">
        <x:v>0</x:v>
      </x:c>
      <x:c r="P1318" t="str">
        <x:v>short</x:v>
      </x:c>
      <x:c r="Q1318" t="str">
        <x:v>right</x:v>
      </x:c>
      <x:c r="R1318" t="n">
        <x:v>9</x:v>
      </x:c>
      <x:c r="S1318" t="n">
        <x:v>0</x:v>
      </x:c>
      <x:c r="T1318"/>
      <x:c r="U1318"/>
      <x:c r="V1318" t="n">
        <x:v>1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0</x:v>
      </x:c>
      <x:c r="AB1318"/>
      <x:c r="AC1318" t="n">
        <x:v>0</x:v>
      </x:c>
      <x:c r="AD1318" t="n">
        <x:v>-0.07180140085984021</x:v>
      </x:c>
      <x:c r="AE1318" t="n">
        <x:v>0</x:v>
      </x:c>
      <x:c r="AF1318" t="n">
        <x:v>0.010538354516029358</x:v>
      </x:c>
      <x:c r="AG1318" t="n">
        <x:f>_xlfn.XLOOKUP($A1318,Games!$A$2:$A$18,Games!$B$2:$B$18,"Missing game",0)</x:f>
        <x:v>2025</x:v>
      </x:c>
      <x:c r="AH1318" t="str">
        <x:f>_xlfn.XLOOKUP($A1318,Games!$A$2:$A$18,Games!$C$2:$C$18,"Missing game",0)</x:f>
        <x:v>REG</x:v>
      </x:c>
      <x:c r="AI1318" t="n">
        <x:f>_xlfn.XLOOKUP($A1318,Games!$A$2:$A$18,Games!$D$2:$D$18,"Missing game",0)</x:f>
        <x:v>9</x:v>
      </x:c>
      <x:c r="AJ1318" s="1" t="n">
        <x:f>_xlfn.XLOOKUP($A1318,Games!$A$2:$A$18,Games!$E$2:$E$18,"Missing game",0)</x:f>
        <x:v>45963</x:v>
      </x:c>
      <x:c r="AK1318" t="str">
        <x:f>_xlfn.XLOOKUP($A1318,Games!$A$2:$A$18,Games!$F$2:$F$18,"Missing game",0)</x:f>
        <x:v>Sunday</x:v>
      </x:c>
      <x:c r="AL1318" t="str">
        <x:f>_xlfn.XLOOKUP($A1318,Games!$A$2:$A$18,Games!$G$2:$G$18,"Missing game",0)</x:f>
        <x:v>MIN</x:v>
      </x:c>
      <x:c r="AM1318" t="n">
        <x:f>_xlfn.XLOOKUP($A1318,Games!$A$2:$A$18,Games!$H$2:$H$18,"Missing game",0)</x:f>
        <x:v>27</x:v>
      </x:c>
      <x:c r="AN1318" t="str">
        <x:f>_xlfn.XLOOKUP($A1318,Games!$A$2:$A$18,Games!$I$2:$I$18,"Missing game",0)</x:f>
        <x:v>DET</x:v>
      </x:c>
      <x:c r="AO1318" t="n">
        <x:f>_xlfn.XLOOKUP($A1318,Games!$A$2:$A$18,Games!$J$2:$J$18,"Missing game",0)</x:f>
        <x:v>24</x:v>
      </x:c>
      <x:c r="AP1318" t="n">
        <x:f>_xlfn.XLOOKUP($A1318,Games!$A$2:$A$18,Games!$K$2:$K$18,"Missing game",0)</x:f>
        <x:v>-3</x:v>
      </x:c>
      <x:c r="AQ1318" t="n">
        <x:f>_xlfn.XLOOKUP($A1318,Games!$A$2:$A$18,Games!$L$2:$L$18,"Missing game",0)</x:f>
        <x:v>51</x:v>
      </x:c>
      <x:c r="AR1318" t="n">
        <x:f>_xlfn.XLOOKUP($A1318,Games!$A$2:$A$18,Games!$M$2:$M$18,"Missing game",0)</x:f>
        <x:v>0</x:v>
      </x:c>
      <x:c r="AS1318" t="str">
        <x:f>_xlfn.XLOOKUP($A1318,Games!$A$2:$A$18,Games!$N$2:$N$18,"Missing game",0)</x:f>
        <x:v>dome</x:v>
      </x:c>
      <x:c r="AT1318" t="str">
        <x:f>_xlfn.XLOOKUP($A1318,Games!$A$2:$A$18,Games!$O$2:$O$18,"Missing game",0)</x:f>
        <x:v>fieldturf</x:v>
      </x:c>
      <x:c r="AU1318" t="str">
        <x:f>_xlfn.XLOOKUP($A1318,Games!$A$2:$A$18,Games!$P$2:$P$18,"Missing game",0)</x:f>
      </x:c>
      <x:c r="AV1318" t="str">
        <x:f>_xlfn.XLOOKUP($A1318,Games!$A$2:$A$18,Games!$Q$2:$Q$18,"Missing game",0)</x:f>
      </x:c>
      <x:c r="AW1318" t="str">
        <x:f>_xlfn.XLOOKUP($A1318,Games!$A$2:$A$18,Games!$R$2:$R$18,"Missing game",0)</x:f>
        <x:v>Ford Field</x:v>
      </x:c>
    </x:row>
    <x:row r="1319">
      <x:c r="A1319" t="str">
        <x:v>2025_09_MIN_DET</x:v>
      </x:c>
      <x:c r="B1319" t="n">
        <x:v>3606</x:v>
      </x:c>
      <x:c r="C1319" t="n">
        <x:v>4</x:v>
      </x:c>
      <x:c r="D1319" t="str">
        <x:v>08:11</x:v>
      </x:c>
      <x:c r="E1319" t="n">
        <x:v>4</x:v>
      </x:c>
      <x:c r="F1319" t="n">
        <x:v>5</x:v>
      </x:c>
      <x:c r="G1319" t="str">
        <x:v>DET</x:v>
      </x:c>
      <x:c r="H1319" t="str">
        <x:v>MIN</x:v>
      </x:c>
      <x:c r="I1319" t="str">
        <x:v>MIN</x:v>
      </x:c>
      <x:c r="J1319" t="n">
        <x:v>19</x:v>
      </x:c>
      <x:c r="K1319" t="str">
        <x:v>(8:11) (Shotgun) PENALTY on MIN-58-J.Greenard, Neutral Zone Infraction, 5 yards, enforced at MIN 19 - No Play.</x:v>
      </x:c>
      <x:c r="L1319" t="str">
        <x:v>no_play</x:v>
      </x:c>
      <x:c r="M1319" t="n">
        <x:v>0</x:v>
      </x:c>
      <x:c r="N1319" t="n">
        <x:v>1</x:v>
      </x:c>
      <x:c r="O1319" t="n">
        <x:v>0</x:v>
      </x:c>
      <x:c r="P1319"/>
      <x:c r="Q1319"/>
      <x:c r="R1319"/>
      <x:c r="S1319"/>
      <x:c r="T1319"/>
      <x:c r="U1319"/>
      <x:c r="V1319" t="n">
        <x:v>0</x:v>
      </x:c>
      <x:c r="W1319" t="n">
        <x:v>1</x:v>
      </x:c>
      <x:c r="X1319" t="n">
        <x:v>0</x:v>
      </x:c>
      <x:c r="Y1319" t="n">
        <x:v>0</x:v>
      </x:c>
      <x:c r="Z1319" t="n">
        <x:v>0</x:v>
      </x:c>
      <x:c r="AA1319" t="n">
        <x:v>1</x:v>
      </x:c>
      <x:c r="AB1319" t="n">
        <x:v>5</x:v>
      </x:c>
      <x:c r="AC1319" t="n">
        <x:v>0</x:v>
      </x:c>
      <x:c r="AD1319" t="n">
        <x:v>2.446895459317602</x:v>
      </x:c>
      <x:c r="AE1319" t="n">
        <x:v>1</x:v>
      </x:c>
      <x:c r="AF1319" t="n">
        <x:v>0.11337892711162567</x:v>
      </x:c>
      <x:c r="AG1319" t="n">
        <x:f>_xlfn.XLOOKUP($A1319,Games!$A$2:$A$18,Games!$B$2:$B$18,"Missing game",0)</x:f>
        <x:v>2025</x:v>
      </x:c>
      <x:c r="AH1319" t="str">
        <x:f>_xlfn.XLOOKUP($A1319,Games!$A$2:$A$18,Games!$C$2:$C$18,"Missing game",0)</x:f>
        <x:v>REG</x:v>
      </x:c>
      <x:c r="AI1319" t="n">
        <x:f>_xlfn.XLOOKUP($A1319,Games!$A$2:$A$18,Games!$D$2:$D$18,"Missing game",0)</x:f>
        <x:v>9</x:v>
      </x:c>
      <x:c r="AJ1319" s="1" t="n">
        <x:f>_xlfn.XLOOKUP($A1319,Games!$A$2:$A$18,Games!$E$2:$E$18,"Missing game",0)</x:f>
        <x:v>45963</x:v>
      </x:c>
      <x:c r="AK1319" t="str">
        <x:f>_xlfn.XLOOKUP($A1319,Games!$A$2:$A$18,Games!$F$2:$F$18,"Missing game",0)</x:f>
        <x:v>Sunday</x:v>
      </x:c>
      <x:c r="AL1319" t="str">
        <x:f>_xlfn.XLOOKUP($A1319,Games!$A$2:$A$18,Games!$G$2:$G$18,"Missing game",0)</x:f>
        <x:v>MIN</x:v>
      </x:c>
      <x:c r="AM1319" t="n">
        <x:f>_xlfn.XLOOKUP($A1319,Games!$A$2:$A$18,Games!$H$2:$H$18,"Missing game",0)</x:f>
        <x:v>27</x:v>
      </x:c>
      <x:c r="AN1319" t="str">
        <x:f>_xlfn.XLOOKUP($A1319,Games!$A$2:$A$18,Games!$I$2:$I$18,"Missing game",0)</x:f>
        <x:v>DET</x:v>
      </x:c>
      <x:c r="AO1319" t="n">
        <x:f>_xlfn.XLOOKUP($A1319,Games!$A$2:$A$18,Games!$J$2:$J$18,"Missing game",0)</x:f>
        <x:v>24</x:v>
      </x:c>
      <x:c r="AP1319" t="n">
        <x:f>_xlfn.XLOOKUP($A1319,Games!$A$2:$A$18,Games!$K$2:$K$18,"Missing game",0)</x:f>
        <x:v>-3</x:v>
      </x:c>
      <x:c r="AQ1319" t="n">
        <x:f>_xlfn.XLOOKUP($A1319,Games!$A$2:$A$18,Games!$L$2:$L$18,"Missing game",0)</x:f>
        <x:v>51</x:v>
      </x:c>
      <x:c r="AR1319" t="n">
        <x:f>_xlfn.XLOOKUP($A1319,Games!$A$2:$A$18,Games!$M$2:$M$18,"Missing game",0)</x:f>
        <x:v>0</x:v>
      </x:c>
      <x:c r="AS1319" t="str">
        <x:f>_xlfn.XLOOKUP($A1319,Games!$A$2:$A$18,Games!$N$2:$N$18,"Missing game",0)</x:f>
        <x:v>dome</x:v>
      </x:c>
      <x:c r="AT1319" t="str">
        <x:f>_xlfn.XLOOKUP($A1319,Games!$A$2:$A$18,Games!$O$2:$O$18,"Missing game",0)</x:f>
        <x:v>fieldturf</x:v>
      </x:c>
      <x:c r="AU1319" t="str">
        <x:f>_xlfn.XLOOKUP($A1319,Games!$A$2:$A$18,Games!$P$2:$P$18,"Missing game",0)</x:f>
      </x:c>
      <x:c r="AV1319" t="str">
        <x:f>_xlfn.XLOOKUP($A1319,Games!$A$2:$A$18,Games!$Q$2:$Q$18,"Missing game",0)</x:f>
      </x:c>
      <x:c r="AW1319" t="str">
        <x:f>_xlfn.XLOOKUP($A1319,Games!$A$2:$A$18,Games!$R$2:$R$18,"Missing game",0)</x:f>
        <x:v>Ford Field</x:v>
      </x:c>
    </x:row>
    <x:row r="1320">
      <x:c r="A1320" t="str">
        <x:v>2025_09_MIN_DET</x:v>
      </x:c>
      <x:c r="B1320" t="n">
        <x:v>3630</x:v>
      </x:c>
      <x:c r="C1320" t="n">
        <x:v>4</x:v>
      </x:c>
      <x:c r="D1320" t="str">
        <x:v>07:52</x:v>
      </x:c>
      <x:c r="E1320" t="n">
        <x:v>1</x:v>
      </x:c>
      <x:c r="F1320" t="n">
        <x:v>10</x:v>
      </x:c>
      <x:c r="G1320" t="str">
        <x:v>DET</x:v>
      </x:c>
      <x:c r="H1320" t="str">
        <x:v>MIN</x:v>
      </x:c>
      <x:c r="I1320" t="str">
        <x:v>MIN</x:v>
      </x:c>
      <x:c r="J1320" t="n">
        <x:v>14</x:v>
      </x:c>
      <x:c r="K1320" t="str">
        <x:v>(7:52) (Shotgun) 16-J.Goff pass incomplete short middle to 5-D.Montgomery [97-J.Hargrave]. DET-73-C.Mahogany was injured during the play.</x:v>
      </x:c>
      <x:c r="L1320" t="str">
        <x:v>pass</x:v>
      </x:c>
      <x:c r="M1320" t="n">
        <x:v>0</x:v>
      </x:c>
      <x:c r="N1320" t="n">
        <x:v>1</x:v>
      </x:c>
      <x:c r="O1320" t="n">
        <x:v>0</x:v>
      </x:c>
      <x:c r="P1320" t="str">
        <x:v>short</x:v>
      </x:c>
      <x:c r="Q1320" t="str">
        <x:v>middle</x:v>
      </x:c>
      <x:c r="R1320" t="n">
        <x:v>3</x:v>
      </x:c>
      <x:c r="S1320"/>
      <x:c r="T1320"/>
      <x:c r="U1320"/>
      <x:c r="V1320" t="n">
        <x:v>0</x:v>
      </x:c>
      <x:c r="W1320" t="n">
        <x:v>0</x:v>
      </x:c>
      <x:c r="X1320" t="n">
        <x:v>0</x:v>
      </x:c>
      <x:c r="Y1320" t="n">
        <x:v>0</x:v>
      </x:c>
      <x:c r="Z1320" t="n">
        <x:v>0</x:v>
      </x:c>
      <x:c r="AA1320" t="n">
        <x:v>0</x:v>
      </x:c>
      <x:c r="AB1320"/>
      <x:c r="AC1320" t="n">
        <x:v>0</x:v>
      </x:c>
      <x:c r="AD1320" t="n">
        <x:v>-0.45792648347560316</x:v>
      </x:c>
      <x:c r="AE1320" t="n">
        <x:v>0</x:v>
      </x:c>
      <x:c r="AF1320" t="n">
        <x:v>-0.02122032642364502</x:v>
      </x:c>
      <x:c r="AG1320" t="n">
        <x:f>_xlfn.XLOOKUP($A1320,Games!$A$2:$A$18,Games!$B$2:$B$18,"Missing game",0)</x:f>
        <x:v>2025</x:v>
      </x:c>
      <x:c r="AH1320" t="str">
        <x:f>_xlfn.XLOOKUP($A1320,Games!$A$2:$A$18,Games!$C$2:$C$18,"Missing game",0)</x:f>
        <x:v>REG</x:v>
      </x:c>
      <x:c r="AI1320" t="n">
        <x:f>_xlfn.XLOOKUP($A1320,Games!$A$2:$A$18,Games!$D$2:$D$18,"Missing game",0)</x:f>
        <x:v>9</x:v>
      </x:c>
      <x:c r="AJ1320" s="1" t="n">
        <x:f>_xlfn.XLOOKUP($A1320,Games!$A$2:$A$18,Games!$E$2:$E$18,"Missing game",0)</x:f>
        <x:v>45963</x:v>
      </x:c>
      <x:c r="AK1320" t="str">
        <x:f>_xlfn.XLOOKUP($A1320,Games!$A$2:$A$18,Games!$F$2:$F$18,"Missing game",0)</x:f>
        <x:v>Sunday</x:v>
      </x:c>
      <x:c r="AL1320" t="str">
        <x:f>_xlfn.XLOOKUP($A1320,Games!$A$2:$A$18,Games!$G$2:$G$18,"Missing game",0)</x:f>
        <x:v>MIN</x:v>
      </x:c>
      <x:c r="AM1320" t="n">
        <x:f>_xlfn.XLOOKUP($A1320,Games!$A$2:$A$18,Games!$H$2:$H$18,"Missing game",0)</x:f>
        <x:v>27</x:v>
      </x:c>
      <x:c r="AN1320" t="str">
        <x:f>_xlfn.XLOOKUP($A1320,Games!$A$2:$A$18,Games!$I$2:$I$18,"Missing game",0)</x:f>
        <x:v>DET</x:v>
      </x:c>
      <x:c r="AO1320" t="n">
        <x:f>_xlfn.XLOOKUP($A1320,Games!$A$2:$A$18,Games!$J$2:$J$18,"Missing game",0)</x:f>
        <x:v>24</x:v>
      </x:c>
      <x:c r="AP1320" t="n">
        <x:f>_xlfn.XLOOKUP($A1320,Games!$A$2:$A$18,Games!$K$2:$K$18,"Missing game",0)</x:f>
        <x:v>-3</x:v>
      </x:c>
      <x:c r="AQ1320" t="n">
        <x:f>_xlfn.XLOOKUP($A1320,Games!$A$2:$A$18,Games!$L$2:$L$18,"Missing game",0)</x:f>
        <x:v>51</x:v>
      </x:c>
      <x:c r="AR1320" t="n">
        <x:f>_xlfn.XLOOKUP($A1320,Games!$A$2:$A$18,Games!$M$2:$M$18,"Missing game",0)</x:f>
        <x:v>0</x:v>
      </x:c>
      <x:c r="AS1320" t="str">
        <x:f>_xlfn.XLOOKUP($A1320,Games!$A$2:$A$18,Games!$N$2:$N$18,"Missing game",0)</x:f>
        <x:v>dome</x:v>
      </x:c>
      <x:c r="AT1320" t="str">
        <x:f>_xlfn.XLOOKUP($A1320,Games!$A$2:$A$18,Games!$O$2:$O$18,"Missing game",0)</x:f>
        <x:v>fieldturf</x:v>
      </x:c>
      <x:c r="AU1320" t="str">
        <x:f>_xlfn.XLOOKUP($A1320,Games!$A$2:$A$18,Games!$P$2:$P$18,"Missing game",0)</x:f>
      </x:c>
      <x:c r="AV1320" t="str">
        <x:f>_xlfn.XLOOKUP($A1320,Games!$A$2:$A$18,Games!$Q$2:$Q$18,"Missing game",0)</x:f>
      </x:c>
      <x:c r="AW1320" t="str">
        <x:f>_xlfn.XLOOKUP($A1320,Games!$A$2:$A$18,Games!$R$2:$R$18,"Missing game",0)</x:f>
        <x:v>Ford Field</x:v>
      </x:c>
    </x:row>
    <x:row r="1321">
      <x:c r="A1321" t="str">
        <x:v>2025_09_MIN_DET</x:v>
      </x:c>
      <x:c r="B1321" t="n">
        <x:v>3661</x:v>
      </x:c>
      <x:c r="C1321" t="n">
        <x:v>4</x:v>
      </x:c>
      <x:c r="D1321" t="str">
        <x:v>07:48</x:v>
      </x:c>
      <x:c r="E1321" t="n">
        <x:v>2</x:v>
      </x:c>
      <x:c r="F1321" t="n">
        <x:v>10</x:v>
      </x:c>
      <x:c r="G1321" t="str">
        <x:v>DET</x:v>
      </x:c>
      <x:c r="H1321" t="str">
        <x:v>MIN</x:v>
      </x:c>
      <x:c r="I1321" t="str">
        <x:v>MIN</x:v>
      </x:c>
      <x:c r="J1321" t="n">
        <x:v>14</x:v>
      </x:c>
      <x:c r="K1321" t="str">
        <x:v>(7:48) 0-J.Gibbs left end pushed ob at MIN 13 for 1 yard (44-J.Metellus). ** Injury Update: DET-14-A.St. Brown has returned to the game. ** Injury Update: DET-69-T.Ratledge has returned to the game.</x:v>
      </x:c>
      <x:c r="L1321" t="str">
        <x:v>run</x:v>
      </x:c>
      <x:c r="M1321" t="n">
        <x:v>1</x:v>
      </x:c>
      <x:c r="N1321" t="n">
        <x:v>0</x:v>
      </x:c>
      <x:c r="O1321" t="n">
        <x:v>0</x:v>
      </x:c>
      <x:c r="P1321"/>
      <x:c r="Q1321"/>
      <x:c r="R1321"/>
      <x:c r="S1321"/>
      <x:c r="T1321" t="str">
        <x:v>left</x:v>
      </x:c>
      <x:c r="U1321" t="str">
        <x:v>end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0</x:v>
      </x:c>
      <x:c r="AB1321"/>
      <x:c r="AC1321" t="n">
        <x:v>0</x:v>
      </x:c>
      <x:c r="AD1321" t="n">
        <x:v>-0.7799139693379402</x:v>
      </x:c>
      <x:c r="AE1321" t="n">
        <x:v>0</x:v>
      </x:c>
      <x:c r="AF1321" t="n">
        <x:v>-0.02635374665260315</x:v>
      </x:c>
      <x:c r="AG1321" t="n">
        <x:f>_xlfn.XLOOKUP($A1321,Games!$A$2:$A$18,Games!$B$2:$B$18,"Missing game",0)</x:f>
        <x:v>2025</x:v>
      </x:c>
      <x:c r="AH1321" t="str">
        <x:f>_xlfn.XLOOKUP($A1321,Games!$A$2:$A$18,Games!$C$2:$C$18,"Missing game",0)</x:f>
        <x:v>REG</x:v>
      </x:c>
      <x:c r="AI1321" t="n">
        <x:f>_xlfn.XLOOKUP($A1321,Games!$A$2:$A$18,Games!$D$2:$D$18,"Missing game",0)</x:f>
        <x:v>9</x:v>
      </x:c>
      <x:c r="AJ1321" s="1" t="n">
        <x:f>_xlfn.XLOOKUP($A1321,Games!$A$2:$A$18,Games!$E$2:$E$18,"Missing game",0)</x:f>
        <x:v>45963</x:v>
      </x:c>
      <x:c r="AK1321" t="str">
        <x:f>_xlfn.XLOOKUP($A1321,Games!$A$2:$A$18,Games!$F$2:$F$18,"Missing game",0)</x:f>
        <x:v>Sunday</x:v>
      </x:c>
      <x:c r="AL1321" t="str">
        <x:f>_xlfn.XLOOKUP($A1321,Games!$A$2:$A$18,Games!$G$2:$G$18,"Missing game",0)</x:f>
        <x:v>MIN</x:v>
      </x:c>
      <x:c r="AM1321" t="n">
        <x:f>_xlfn.XLOOKUP($A1321,Games!$A$2:$A$18,Games!$H$2:$H$18,"Missing game",0)</x:f>
        <x:v>27</x:v>
      </x:c>
      <x:c r="AN1321" t="str">
        <x:f>_xlfn.XLOOKUP($A1321,Games!$A$2:$A$18,Games!$I$2:$I$18,"Missing game",0)</x:f>
        <x:v>DET</x:v>
      </x:c>
      <x:c r="AO1321" t="n">
        <x:f>_xlfn.XLOOKUP($A1321,Games!$A$2:$A$18,Games!$J$2:$J$18,"Missing game",0)</x:f>
        <x:v>24</x:v>
      </x:c>
      <x:c r="AP1321" t="n">
        <x:f>_xlfn.XLOOKUP($A1321,Games!$A$2:$A$18,Games!$K$2:$K$18,"Missing game",0)</x:f>
        <x:v>-3</x:v>
      </x:c>
      <x:c r="AQ1321" t="n">
        <x:f>_xlfn.XLOOKUP($A1321,Games!$A$2:$A$18,Games!$L$2:$L$18,"Missing game",0)</x:f>
        <x:v>51</x:v>
      </x:c>
      <x:c r="AR1321" t="n">
        <x:f>_xlfn.XLOOKUP($A1321,Games!$A$2:$A$18,Games!$M$2:$M$18,"Missing game",0)</x:f>
        <x:v>0</x:v>
      </x:c>
      <x:c r="AS1321" t="str">
        <x:f>_xlfn.XLOOKUP($A1321,Games!$A$2:$A$18,Games!$N$2:$N$18,"Missing game",0)</x:f>
        <x:v>dome</x:v>
      </x:c>
      <x:c r="AT1321" t="str">
        <x:f>_xlfn.XLOOKUP($A1321,Games!$A$2:$A$18,Games!$O$2:$O$18,"Missing game",0)</x:f>
        <x:v>fieldturf</x:v>
      </x:c>
      <x:c r="AU1321" t="str">
        <x:f>_xlfn.XLOOKUP($A1321,Games!$A$2:$A$18,Games!$P$2:$P$18,"Missing game",0)</x:f>
      </x:c>
      <x:c r="AV1321" t="str">
        <x:f>_xlfn.XLOOKUP($A1321,Games!$A$2:$A$18,Games!$Q$2:$Q$18,"Missing game",0)</x:f>
      </x:c>
      <x:c r="AW1321" t="str">
        <x:f>_xlfn.XLOOKUP($A1321,Games!$A$2:$A$18,Games!$R$2:$R$18,"Missing game",0)</x:f>
        <x:v>Ford Field</x:v>
      </x:c>
    </x:row>
    <x:row r="1322">
      <x:c r="A1322" t="str">
        <x:v>2025_09_MIN_DET</x:v>
      </x:c>
      <x:c r="B1322" t="n">
        <x:v>3695</x:v>
      </x:c>
      <x:c r="C1322" t="n">
        <x:v>4</x:v>
      </x:c>
      <x:c r="D1322" t="str">
        <x:v>07:09</x:v>
      </x:c>
      <x:c r="E1322" t="n">
        <x:v>3</x:v>
      </x:c>
      <x:c r="F1322" t="n">
        <x:v>9</x:v>
      </x:c>
      <x:c r="G1322" t="str">
        <x:v>DET</x:v>
      </x:c>
      <x:c r="H1322" t="str">
        <x:v>MIN</x:v>
      </x:c>
      <x:c r="I1322" t="str">
        <x:v>MIN</x:v>
      </x:c>
      <x:c r="J1322" t="n">
        <x:v>13</x:v>
      </x:c>
      <x:c r="K1322" t="str">
        <x:v>(7:09) (Shotgun) PENALTY on DET-68-T.Decker, False Start, 5 yards, enforced at MIN 13 - No Play.</x:v>
      </x:c>
      <x:c r="L1322" t="str">
        <x:v>no_play</x:v>
      </x:c>
      <x:c r="M1322" t="n">
        <x:v>0</x:v>
      </x:c>
      <x:c r="N1322" t="n">
        <x:v>1</x:v>
      </x:c>
      <x:c r="O1322" t="n">
        <x:v>0</x:v>
      </x:c>
      <x:c r="P1322"/>
      <x:c r="Q1322"/>
      <x:c r="R1322"/>
      <x:c r="S1322"/>
      <x:c r="T1322"/>
      <x:c r="U1322"/>
      <x:c r="V1322" t="n">
        <x:v>0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1</x:v>
      </x:c>
      <x:c r="AB1322" t="n">
        <x:v>5</x:v>
      </x:c>
      <x:c r="AC1322" t="n">
        <x:v>0</x:v>
      </x:c>
      <x:c r="AD1322" t="n">
        <x:v>-0.6817156707402319</x:v>
      </x:c>
      <x:c r="AE1322" t="n">
        <x:v>0</x:v>
      </x:c>
      <x:c r="AF1322" t="n">
        <x:v>-0.017247498035430908</x:v>
      </x:c>
      <x:c r="AG1322" t="n">
        <x:f>_xlfn.XLOOKUP($A1322,Games!$A$2:$A$18,Games!$B$2:$B$18,"Missing game",0)</x:f>
        <x:v>2025</x:v>
      </x:c>
      <x:c r="AH1322" t="str">
        <x:f>_xlfn.XLOOKUP($A1322,Games!$A$2:$A$18,Games!$C$2:$C$18,"Missing game",0)</x:f>
        <x:v>REG</x:v>
      </x:c>
      <x:c r="AI1322" t="n">
        <x:f>_xlfn.XLOOKUP($A1322,Games!$A$2:$A$18,Games!$D$2:$D$18,"Missing game",0)</x:f>
        <x:v>9</x:v>
      </x:c>
      <x:c r="AJ1322" s="1" t="n">
        <x:f>_xlfn.XLOOKUP($A1322,Games!$A$2:$A$18,Games!$E$2:$E$18,"Missing game",0)</x:f>
        <x:v>45963</x:v>
      </x:c>
      <x:c r="AK1322" t="str">
        <x:f>_xlfn.XLOOKUP($A1322,Games!$A$2:$A$18,Games!$F$2:$F$18,"Missing game",0)</x:f>
        <x:v>Sunday</x:v>
      </x:c>
      <x:c r="AL1322" t="str">
        <x:f>_xlfn.XLOOKUP($A1322,Games!$A$2:$A$18,Games!$G$2:$G$18,"Missing game",0)</x:f>
        <x:v>MIN</x:v>
      </x:c>
      <x:c r="AM1322" t="n">
        <x:f>_xlfn.XLOOKUP($A1322,Games!$A$2:$A$18,Games!$H$2:$H$18,"Missing game",0)</x:f>
        <x:v>27</x:v>
      </x:c>
      <x:c r="AN1322" t="str">
        <x:f>_xlfn.XLOOKUP($A1322,Games!$A$2:$A$18,Games!$I$2:$I$18,"Missing game",0)</x:f>
        <x:v>DET</x:v>
      </x:c>
      <x:c r="AO1322" t="n">
        <x:f>_xlfn.XLOOKUP($A1322,Games!$A$2:$A$18,Games!$J$2:$J$18,"Missing game",0)</x:f>
        <x:v>24</x:v>
      </x:c>
      <x:c r="AP1322" t="n">
        <x:f>_xlfn.XLOOKUP($A1322,Games!$A$2:$A$18,Games!$K$2:$K$18,"Missing game",0)</x:f>
        <x:v>-3</x:v>
      </x:c>
      <x:c r="AQ1322" t="n">
        <x:f>_xlfn.XLOOKUP($A1322,Games!$A$2:$A$18,Games!$L$2:$L$18,"Missing game",0)</x:f>
        <x:v>51</x:v>
      </x:c>
      <x:c r="AR1322" t="n">
        <x:f>_xlfn.XLOOKUP($A1322,Games!$A$2:$A$18,Games!$M$2:$M$18,"Missing game",0)</x:f>
        <x:v>0</x:v>
      </x:c>
      <x:c r="AS1322" t="str">
        <x:f>_xlfn.XLOOKUP($A1322,Games!$A$2:$A$18,Games!$N$2:$N$18,"Missing game",0)</x:f>
        <x:v>dome</x:v>
      </x:c>
      <x:c r="AT1322" t="str">
        <x:f>_xlfn.XLOOKUP($A1322,Games!$A$2:$A$18,Games!$O$2:$O$18,"Missing game",0)</x:f>
        <x:v>fieldturf</x:v>
      </x:c>
      <x:c r="AU1322" t="str">
        <x:f>_xlfn.XLOOKUP($A1322,Games!$A$2:$A$18,Games!$P$2:$P$18,"Missing game",0)</x:f>
      </x:c>
      <x:c r="AV1322" t="str">
        <x:f>_xlfn.XLOOKUP($A1322,Games!$A$2:$A$18,Games!$Q$2:$Q$18,"Missing game",0)</x:f>
      </x:c>
      <x:c r="AW1322" t="str">
        <x:f>_xlfn.XLOOKUP($A1322,Games!$A$2:$A$18,Games!$R$2:$R$18,"Missing game",0)</x:f>
        <x:v>Ford Field</x:v>
      </x:c>
    </x:row>
    <x:row r="1323">
      <x:c r="A1323" t="str">
        <x:v>2025_09_MIN_DET</x:v>
      </x:c>
      <x:c r="B1323" t="n">
        <x:v>3722</x:v>
      </x:c>
      <x:c r="C1323" t="n">
        <x:v>4</x:v>
      </x:c>
      <x:c r="D1323" t="str">
        <x:v>07:09</x:v>
      </x:c>
      <x:c r="E1323" t="n">
        <x:v>3</x:v>
      </x:c>
      <x:c r="F1323" t="n">
        <x:v>14</x:v>
      </x:c>
      <x:c r="G1323" t="str">
        <x:v>DET</x:v>
      </x:c>
      <x:c r="H1323" t="str">
        <x:v>MIN</x:v>
      </x:c>
      <x:c r="I1323" t="str">
        <x:v>MIN</x:v>
      </x:c>
      <x:c r="J1323" t="n">
        <x:v>18</x:v>
      </x:c>
      <x:c r="K1323" t="str">
        <x:v>(7:09) (Shotgun) 16-J.Goff sacked at MIN 27 for -9 yards (61-J.Redmond).</x:v>
      </x:c>
      <x:c r="L1323" t="str">
        <x:v>pass</x:v>
      </x:c>
      <x:c r="M1323" t="n">
        <x:v>-9</x:v>
      </x:c>
      <x:c r="N1323" t="n">
        <x:v>1</x:v>
      </x:c>
      <x:c r="O1323" t="n">
        <x:v>0</x:v>
      </x:c>
      <x:c r="P1323"/>
      <x:c r="Q1323"/>
      <x:c r="R1323"/>
      <x:c r="S1323"/>
      <x:c r="T1323"/>
      <x:c r="U1323"/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0</x:v>
      </x:c>
      <x:c r="AB1323"/>
      <x:c r="AC1323" t="n">
        <x:v>0</x:v>
      </x:c>
      <x:c r="AD1323" t="n">
        <x:v>-1.2452526943816062</x:v>
      </x:c>
      <x:c r="AE1323" t="n">
        <x:v>0</x:v>
      </x:c>
      <x:c r="AF1323" t="n">
        <x:v>-0.10013090074062347</x:v>
      </x:c>
      <x:c r="AG1323" t="n">
        <x:f>_xlfn.XLOOKUP($A1323,Games!$A$2:$A$18,Games!$B$2:$B$18,"Missing game",0)</x:f>
        <x:v>2025</x:v>
      </x:c>
      <x:c r="AH1323" t="str">
        <x:f>_xlfn.XLOOKUP($A1323,Games!$A$2:$A$18,Games!$C$2:$C$18,"Missing game",0)</x:f>
        <x:v>REG</x:v>
      </x:c>
      <x:c r="AI1323" t="n">
        <x:f>_xlfn.XLOOKUP($A1323,Games!$A$2:$A$18,Games!$D$2:$D$18,"Missing game",0)</x:f>
        <x:v>9</x:v>
      </x:c>
      <x:c r="AJ1323" s="1" t="n">
        <x:f>_xlfn.XLOOKUP($A1323,Games!$A$2:$A$18,Games!$E$2:$E$18,"Missing game",0)</x:f>
        <x:v>45963</x:v>
      </x:c>
      <x:c r="AK1323" t="str">
        <x:f>_xlfn.XLOOKUP($A1323,Games!$A$2:$A$18,Games!$F$2:$F$18,"Missing game",0)</x:f>
        <x:v>Sunday</x:v>
      </x:c>
      <x:c r="AL1323" t="str">
        <x:f>_xlfn.XLOOKUP($A1323,Games!$A$2:$A$18,Games!$G$2:$G$18,"Missing game",0)</x:f>
        <x:v>MIN</x:v>
      </x:c>
      <x:c r="AM1323" t="n">
        <x:f>_xlfn.XLOOKUP($A1323,Games!$A$2:$A$18,Games!$H$2:$H$18,"Missing game",0)</x:f>
        <x:v>27</x:v>
      </x:c>
      <x:c r="AN1323" t="str">
        <x:f>_xlfn.XLOOKUP($A1323,Games!$A$2:$A$18,Games!$I$2:$I$18,"Missing game",0)</x:f>
        <x:v>DET</x:v>
      </x:c>
      <x:c r="AO1323" t="n">
        <x:f>_xlfn.XLOOKUP($A1323,Games!$A$2:$A$18,Games!$J$2:$J$18,"Missing game",0)</x:f>
        <x:v>24</x:v>
      </x:c>
      <x:c r="AP1323" t="n">
        <x:f>_xlfn.XLOOKUP($A1323,Games!$A$2:$A$18,Games!$K$2:$K$18,"Missing game",0)</x:f>
        <x:v>-3</x:v>
      </x:c>
      <x:c r="AQ1323" t="n">
        <x:f>_xlfn.XLOOKUP($A1323,Games!$A$2:$A$18,Games!$L$2:$L$18,"Missing game",0)</x:f>
        <x:v>51</x:v>
      </x:c>
      <x:c r="AR1323" t="n">
        <x:f>_xlfn.XLOOKUP($A1323,Games!$A$2:$A$18,Games!$M$2:$M$18,"Missing game",0)</x:f>
        <x:v>0</x:v>
      </x:c>
      <x:c r="AS1323" t="str">
        <x:f>_xlfn.XLOOKUP($A1323,Games!$A$2:$A$18,Games!$N$2:$N$18,"Missing game",0)</x:f>
        <x:v>dome</x:v>
      </x:c>
      <x:c r="AT1323" t="str">
        <x:f>_xlfn.XLOOKUP($A1323,Games!$A$2:$A$18,Games!$O$2:$O$18,"Missing game",0)</x:f>
        <x:v>fieldturf</x:v>
      </x:c>
      <x:c r="AU1323" t="str">
        <x:f>_xlfn.XLOOKUP($A1323,Games!$A$2:$A$18,Games!$P$2:$P$18,"Missing game",0)</x:f>
      </x:c>
      <x:c r="AV1323" t="str">
        <x:f>_xlfn.XLOOKUP($A1323,Games!$A$2:$A$18,Games!$Q$2:$Q$18,"Missing game",0)</x:f>
      </x:c>
      <x:c r="AW1323" t="str">
        <x:f>_xlfn.XLOOKUP($A1323,Games!$A$2:$A$18,Games!$R$2:$R$18,"Missing game",0)</x:f>
        <x:v>Ford Field</x:v>
      </x:c>
    </x:row>
    <x:row r="1324">
      <x:c r="A1324" t="str">
        <x:v>2025_09_MIN_DET</x:v>
      </x:c>
      <x:c r="B1324" t="n">
        <x:v>3745</x:v>
      </x:c>
      <x:c r="C1324" t="n">
        <x:v>4</x:v>
      </x:c>
      <x:c r="D1324" t="str">
        <x:v>06:29</x:v>
      </x:c>
      <x:c r="E1324" t="n">
        <x:v>4</x:v>
      </x:c>
      <x:c r="F1324" t="n">
        <x:v>23</x:v>
      </x:c>
      <x:c r="G1324" t="str">
        <x:v>DET</x:v>
      </x:c>
      <x:c r="H1324" t="str">
        <x:v>MIN</x:v>
      </x:c>
      <x:c r="I1324" t="str">
        <x:v>MIN</x:v>
      </x:c>
      <x:c r="J1324" t="n">
        <x:v>27</x:v>
      </x:c>
      <x:c r="K1324" t="str">
        <x:v>(6:29) 39-J.Bates 45 yard field goal is BLOCKED (50-L.Rodriguez), Center-49-H.Hatten, Holder-3-J.Fox, RECOVERED by MIN-2-I.Rodgers at MIN 33. 2-I.Rodgers pushed ob at DET 26 for 41 yards (3-J.Fox).</x:v>
      </x:c>
      <x:c r="L1324" t="str">
        <x:v>field_goal</x:v>
      </x:c>
      <x:c r="M1324" t="n">
        <x:v>0</x:v>
      </x:c>
      <x:c r="N1324" t="n">
        <x:v>0</x:v>
      </x:c>
      <x:c r="O1324" t="n">
        <x:v>0</x:v>
      </x:c>
      <x:c r="P1324"/>
      <x:c r="Q1324"/>
      <x:c r="R1324"/>
      <x:c r="S1324"/>
      <x:c r="T1324"/>
      <x:c r="U1324"/>
      <x:c r="V1324" t="n">
        <x:v>0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0</x:v>
      </x:c>
      <x:c r="AB1324"/>
      <x:c r="AC1324" t="n">
        <x:v>0</x:v>
      </x:c>
      <x:c r="AD1324" t="n">
        <x:v>-6.147731856530327</x:v>
      </x:c>
      <x:c r="AE1324" t="n">
        <x:v>0</x:v>
      </x:c>
      <x:c r="AF1324" t="n">
        <x:v>-0.11776544153690338</x:v>
      </x:c>
      <x:c r="AG1324" t="n">
        <x:f>_xlfn.XLOOKUP($A1324,Games!$A$2:$A$18,Games!$B$2:$B$18,"Missing game",0)</x:f>
        <x:v>2025</x:v>
      </x:c>
      <x:c r="AH1324" t="str">
        <x:f>_xlfn.XLOOKUP($A1324,Games!$A$2:$A$18,Games!$C$2:$C$18,"Missing game",0)</x:f>
        <x:v>REG</x:v>
      </x:c>
      <x:c r="AI1324" t="n">
        <x:f>_xlfn.XLOOKUP($A1324,Games!$A$2:$A$18,Games!$D$2:$D$18,"Missing game",0)</x:f>
        <x:v>9</x:v>
      </x:c>
      <x:c r="AJ1324" s="1" t="n">
        <x:f>_xlfn.XLOOKUP($A1324,Games!$A$2:$A$18,Games!$E$2:$E$18,"Missing game",0)</x:f>
        <x:v>45963</x:v>
      </x:c>
      <x:c r="AK1324" t="str">
        <x:f>_xlfn.XLOOKUP($A1324,Games!$A$2:$A$18,Games!$F$2:$F$18,"Missing game",0)</x:f>
        <x:v>Sunday</x:v>
      </x:c>
      <x:c r="AL1324" t="str">
        <x:f>_xlfn.XLOOKUP($A1324,Games!$A$2:$A$18,Games!$G$2:$G$18,"Missing game",0)</x:f>
        <x:v>MIN</x:v>
      </x:c>
      <x:c r="AM1324" t="n">
        <x:f>_xlfn.XLOOKUP($A1324,Games!$A$2:$A$18,Games!$H$2:$H$18,"Missing game",0)</x:f>
        <x:v>27</x:v>
      </x:c>
      <x:c r="AN1324" t="str">
        <x:f>_xlfn.XLOOKUP($A1324,Games!$A$2:$A$18,Games!$I$2:$I$18,"Missing game",0)</x:f>
        <x:v>DET</x:v>
      </x:c>
      <x:c r="AO1324" t="n">
        <x:f>_xlfn.XLOOKUP($A1324,Games!$A$2:$A$18,Games!$J$2:$J$18,"Missing game",0)</x:f>
        <x:v>24</x:v>
      </x:c>
      <x:c r="AP1324" t="n">
        <x:f>_xlfn.XLOOKUP($A1324,Games!$A$2:$A$18,Games!$K$2:$K$18,"Missing game",0)</x:f>
        <x:v>-3</x:v>
      </x:c>
      <x:c r="AQ1324" t="n">
        <x:f>_xlfn.XLOOKUP($A1324,Games!$A$2:$A$18,Games!$L$2:$L$18,"Missing game",0)</x:f>
        <x:v>51</x:v>
      </x:c>
      <x:c r="AR1324" t="n">
        <x:f>_xlfn.XLOOKUP($A1324,Games!$A$2:$A$18,Games!$M$2:$M$18,"Missing game",0)</x:f>
        <x:v>0</x:v>
      </x:c>
      <x:c r="AS1324" t="str">
        <x:f>_xlfn.XLOOKUP($A1324,Games!$A$2:$A$18,Games!$N$2:$N$18,"Missing game",0)</x:f>
        <x:v>dome</x:v>
      </x:c>
      <x:c r="AT1324" t="str">
        <x:f>_xlfn.XLOOKUP($A1324,Games!$A$2:$A$18,Games!$O$2:$O$18,"Missing game",0)</x:f>
        <x:v>fieldturf</x:v>
      </x:c>
      <x:c r="AU1324" t="str">
        <x:f>_xlfn.XLOOKUP($A1324,Games!$A$2:$A$18,Games!$P$2:$P$18,"Missing game",0)</x:f>
      </x:c>
      <x:c r="AV1324" t="str">
        <x:f>_xlfn.XLOOKUP($A1324,Games!$A$2:$A$18,Games!$Q$2:$Q$18,"Missing game",0)</x:f>
      </x:c>
      <x:c r="AW1324" t="str">
        <x:f>_xlfn.XLOOKUP($A1324,Games!$A$2:$A$18,Games!$R$2:$R$18,"Missing game",0)</x:f>
        <x:v>Ford Field</x:v>
      </x:c>
    </x:row>
    <x:row r="1325">
      <x:c r="A1325" t="str">
        <x:v>2025_09_MIN_DET</x:v>
      </x:c>
      <x:c r="B1325" t="n">
        <x:v>3782</x:v>
      </x:c>
      <x:c r="C1325" t="n">
        <x:v>4</x:v>
      </x:c>
      <x:c r="D1325" t="str">
        <x:v>06:20</x:v>
      </x:c>
      <x:c r="E1325" t="n">
        <x:v>1</x:v>
      </x:c>
      <x:c r="F1325" t="n">
        <x:v>10</x:v>
      </x:c>
      <x:c r="G1325" t="str">
        <x:v>MIN</x:v>
      </x:c>
      <x:c r="H1325" t="str">
        <x:v>DET</x:v>
      </x:c>
      <x:c r="I1325" t="str">
        <x:v>DET</x:v>
      </x:c>
      <x:c r="J1325" t="n">
        <x:v>26</x:v>
      </x:c>
      <x:c r="K1325" t="str">
        <x:v>(6:20) 27-J.Mason right end ran ob at DET 21 for 5 yards (46-J.Campbell). ** Injury Update: DET-6-T.Arnold has returned to the game.</x:v>
      </x:c>
      <x:c r="L1325" t="str">
        <x:v>run</x:v>
      </x:c>
      <x:c r="M1325" t="n">
        <x:v>5</x:v>
      </x:c>
      <x:c r="N1325" t="n">
        <x:v>0</x:v>
      </x:c>
      <x:c r="O1325" t="n">
        <x:v>0</x:v>
      </x:c>
      <x:c r="P1325"/>
      <x:c r="Q1325"/>
      <x:c r="R1325"/>
      <x:c r="S1325"/>
      <x:c r="T1325" t="str">
        <x:v>right</x:v>
      </x:c>
      <x:c r="U1325" t="str">
        <x:v>end</x:v>
      </x:c>
      <x:c r="V1325" t="n">
        <x:v>0</x:v>
      </x:c>
      <x:c r="W1325" t="n">
        <x:v>0</x:v>
      </x:c>
      <x:c r="X1325" t="n">
        <x:v>0</x:v>
      </x:c>
      <x:c r="Y1325" t="n">
        <x:v>0</x:v>
      </x:c>
      <x:c r="Z1325" t="n">
        <x:v>0</x:v>
      </x:c>
      <x:c r="AA1325" t="n">
        <x:v>0</x:v>
      </x:c>
      <x:c r="AB1325"/>
      <x:c r="AC1325" t="n">
        <x:v>0</x:v>
      </x:c>
      <x:c r="AD1325" t="n">
        <x:v>0.06125999812502414</x:v>
      </x:c>
      <x:c r="AE1325" t="n">
        <x:v>1</x:v>
      </x:c>
      <x:c r="AF1325" t="n">
        <x:v>0.0005049705505371094</x:v>
      </x:c>
      <x:c r="AG1325" t="n">
        <x:f>_xlfn.XLOOKUP($A1325,Games!$A$2:$A$18,Games!$B$2:$B$18,"Missing game",0)</x:f>
        <x:v>2025</x:v>
      </x:c>
      <x:c r="AH1325" t="str">
        <x:f>_xlfn.XLOOKUP($A1325,Games!$A$2:$A$18,Games!$C$2:$C$18,"Missing game",0)</x:f>
        <x:v>REG</x:v>
      </x:c>
      <x:c r="AI1325" t="n">
        <x:f>_xlfn.XLOOKUP($A1325,Games!$A$2:$A$18,Games!$D$2:$D$18,"Missing game",0)</x:f>
        <x:v>9</x:v>
      </x:c>
      <x:c r="AJ1325" s="1" t="n">
        <x:f>_xlfn.XLOOKUP($A1325,Games!$A$2:$A$18,Games!$E$2:$E$18,"Missing game",0)</x:f>
        <x:v>45963</x:v>
      </x:c>
      <x:c r="AK1325" t="str">
        <x:f>_xlfn.XLOOKUP($A1325,Games!$A$2:$A$18,Games!$F$2:$F$18,"Missing game",0)</x:f>
        <x:v>Sunday</x:v>
      </x:c>
      <x:c r="AL1325" t="str">
        <x:f>_xlfn.XLOOKUP($A1325,Games!$A$2:$A$18,Games!$G$2:$G$18,"Missing game",0)</x:f>
        <x:v>MIN</x:v>
      </x:c>
      <x:c r="AM1325" t="n">
        <x:f>_xlfn.XLOOKUP($A1325,Games!$A$2:$A$18,Games!$H$2:$H$18,"Missing game",0)</x:f>
        <x:v>27</x:v>
      </x:c>
      <x:c r="AN1325" t="str">
        <x:f>_xlfn.XLOOKUP($A1325,Games!$A$2:$A$18,Games!$I$2:$I$18,"Missing game",0)</x:f>
        <x:v>DET</x:v>
      </x:c>
      <x:c r="AO1325" t="n">
        <x:f>_xlfn.XLOOKUP($A1325,Games!$A$2:$A$18,Games!$J$2:$J$18,"Missing game",0)</x:f>
        <x:v>24</x:v>
      </x:c>
      <x:c r="AP1325" t="n">
        <x:f>_xlfn.XLOOKUP($A1325,Games!$A$2:$A$18,Games!$K$2:$K$18,"Missing game",0)</x:f>
        <x:v>-3</x:v>
      </x:c>
      <x:c r="AQ1325" t="n">
        <x:f>_xlfn.XLOOKUP($A1325,Games!$A$2:$A$18,Games!$L$2:$L$18,"Missing game",0)</x:f>
        <x:v>51</x:v>
      </x:c>
      <x:c r="AR1325" t="n">
        <x:f>_xlfn.XLOOKUP($A1325,Games!$A$2:$A$18,Games!$M$2:$M$18,"Missing game",0)</x:f>
        <x:v>0</x:v>
      </x:c>
      <x:c r="AS1325" t="str">
        <x:f>_xlfn.XLOOKUP($A1325,Games!$A$2:$A$18,Games!$N$2:$N$18,"Missing game",0)</x:f>
        <x:v>dome</x:v>
      </x:c>
      <x:c r="AT1325" t="str">
        <x:f>_xlfn.XLOOKUP($A1325,Games!$A$2:$A$18,Games!$O$2:$O$18,"Missing game",0)</x:f>
        <x:v>fieldturf</x:v>
      </x:c>
      <x:c r="AU1325" t="str">
        <x:f>_xlfn.XLOOKUP($A1325,Games!$A$2:$A$18,Games!$P$2:$P$18,"Missing game",0)</x:f>
      </x:c>
      <x:c r="AV1325" t="str">
        <x:f>_xlfn.XLOOKUP($A1325,Games!$A$2:$A$18,Games!$Q$2:$Q$18,"Missing game",0)</x:f>
      </x:c>
      <x:c r="AW1325" t="str">
        <x:f>_xlfn.XLOOKUP($A1325,Games!$A$2:$A$18,Games!$R$2:$R$18,"Missing game",0)</x:f>
        <x:v>Ford Field</x:v>
      </x:c>
    </x:row>
    <x:row r="1326">
      <x:c r="A1326" t="str">
        <x:v>2025_09_MIN_DET</x:v>
      </x:c>
      <x:c r="B1326" t="n">
        <x:v>3814</x:v>
      </x:c>
      <x:c r="C1326" t="n">
        <x:v>4</x:v>
      </x:c>
      <x:c r="D1326" t="str">
        <x:v>05:37</x:v>
      </x:c>
      <x:c r="E1326" t="n">
        <x:v>2</x:v>
      </x:c>
      <x:c r="F1326" t="n">
        <x:v>5</x:v>
      </x:c>
      <x:c r="G1326" t="str">
        <x:v>MIN</x:v>
      </x:c>
      <x:c r="H1326" t="str">
        <x:v>DET</x:v>
      </x:c>
      <x:c r="I1326" t="str">
        <x:v>DET</x:v>
      </x:c>
      <x:c r="J1326" t="n">
        <x:v>21</x:v>
      </x:c>
      <x:c r="K1326" t="str">
        <x:v>(5:37) (Shotgun) 9-J.McCarthy scrambles left tackle to DET 16 for 5 yards (12-T.Harper; 34-A.Anzalone). PENALTY on MIN-74-D.Jackson, Offensive Holding, 10 yards, enforced at DET 21 - No Play.</x:v>
      </x:c>
      <x:c r="L1326" t="str">
        <x:v>no_play</x:v>
      </x:c>
      <x:c r="M1326" t="n">
        <x:v>0</x:v>
      </x:c>
      <x:c r="N1326" t="n">
        <x:v>1</x:v>
      </x:c>
      <x:c r="O1326" t="n">
        <x:v>0</x:v>
      </x:c>
      <x:c r="P1326"/>
      <x:c r="Q1326"/>
      <x:c r="R1326"/>
      <x:c r="S1326"/>
      <x:c r="T1326"/>
      <x:c r="U1326"/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1</x:v>
      </x:c>
      <x:c r="AB1326" t="n">
        <x:v>10</x:v>
      </x:c>
      <x:c r="AC1326" t="n">
        <x:v>0</x:v>
      </x:c>
      <x:c r="AD1326" t="n">
        <x:v>-1.253178604412824</x:v>
      </x:c>
      <x:c r="AE1326" t="n">
        <x:v>0</x:v>
      </x:c>
      <x:c r="AF1326" t="n">
        <x:v>-0.016488850116729736</x:v>
      </x:c>
      <x:c r="AG1326" t="n">
        <x:f>_xlfn.XLOOKUP($A1326,Games!$A$2:$A$18,Games!$B$2:$B$18,"Missing game",0)</x:f>
        <x:v>2025</x:v>
      </x:c>
      <x:c r="AH1326" t="str">
        <x:f>_xlfn.XLOOKUP($A1326,Games!$A$2:$A$18,Games!$C$2:$C$18,"Missing game",0)</x:f>
        <x:v>REG</x:v>
      </x:c>
      <x:c r="AI1326" t="n">
        <x:f>_xlfn.XLOOKUP($A1326,Games!$A$2:$A$18,Games!$D$2:$D$18,"Missing game",0)</x:f>
        <x:v>9</x:v>
      </x:c>
      <x:c r="AJ1326" s="1" t="n">
        <x:f>_xlfn.XLOOKUP($A1326,Games!$A$2:$A$18,Games!$E$2:$E$18,"Missing game",0)</x:f>
        <x:v>45963</x:v>
      </x:c>
      <x:c r="AK1326" t="str">
        <x:f>_xlfn.XLOOKUP($A1326,Games!$A$2:$A$18,Games!$F$2:$F$18,"Missing game",0)</x:f>
        <x:v>Sunday</x:v>
      </x:c>
      <x:c r="AL1326" t="str">
        <x:f>_xlfn.XLOOKUP($A1326,Games!$A$2:$A$18,Games!$G$2:$G$18,"Missing game",0)</x:f>
        <x:v>MIN</x:v>
      </x:c>
      <x:c r="AM1326" t="n">
        <x:f>_xlfn.XLOOKUP($A1326,Games!$A$2:$A$18,Games!$H$2:$H$18,"Missing game",0)</x:f>
        <x:v>27</x:v>
      </x:c>
      <x:c r="AN1326" t="str">
        <x:f>_xlfn.XLOOKUP($A1326,Games!$A$2:$A$18,Games!$I$2:$I$18,"Missing game",0)</x:f>
        <x:v>DET</x:v>
      </x:c>
      <x:c r="AO1326" t="n">
        <x:f>_xlfn.XLOOKUP($A1326,Games!$A$2:$A$18,Games!$J$2:$J$18,"Missing game",0)</x:f>
        <x:v>24</x:v>
      </x:c>
      <x:c r="AP1326" t="n">
        <x:f>_xlfn.XLOOKUP($A1326,Games!$A$2:$A$18,Games!$K$2:$K$18,"Missing game",0)</x:f>
        <x:v>-3</x:v>
      </x:c>
      <x:c r="AQ1326" t="n">
        <x:f>_xlfn.XLOOKUP($A1326,Games!$A$2:$A$18,Games!$L$2:$L$18,"Missing game",0)</x:f>
        <x:v>51</x:v>
      </x:c>
      <x:c r="AR1326" t="n">
        <x:f>_xlfn.XLOOKUP($A1326,Games!$A$2:$A$18,Games!$M$2:$M$18,"Missing game",0)</x:f>
        <x:v>0</x:v>
      </x:c>
      <x:c r="AS1326" t="str">
        <x:f>_xlfn.XLOOKUP($A1326,Games!$A$2:$A$18,Games!$N$2:$N$18,"Missing game",0)</x:f>
        <x:v>dome</x:v>
      </x:c>
      <x:c r="AT1326" t="str">
        <x:f>_xlfn.XLOOKUP($A1326,Games!$A$2:$A$18,Games!$O$2:$O$18,"Missing game",0)</x:f>
        <x:v>fieldturf</x:v>
      </x:c>
      <x:c r="AU1326" t="str">
        <x:f>_xlfn.XLOOKUP($A1326,Games!$A$2:$A$18,Games!$P$2:$P$18,"Missing game",0)</x:f>
      </x:c>
      <x:c r="AV1326" t="str">
        <x:f>_xlfn.XLOOKUP($A1326,Games!$A$2:$A$18,Games!$Q$2:$Q$18,"Missing game",0)</x:f>
      </x:c>
      <x:c r="AW1326" t="str">
        <x:f>_xlfn.XLOOKUP($A1326,Games!$A$2:$A$18,Games!$R$2:$R$18,"Missing game",0)</x:f>
        <x:v>Ford Field</x:v>
      </x:c>
    </x:row>
    <x:row r="1327">
      <x:c r="A1327" t="str">
        <x:v>2025_09_MIN_DET</x:v>
      </x:c>
      <x:c r="B1327" t="n">
        <x:v>3859</x:v>
      </x:c>
      <x:c r="C1327" t="n">
        <x:v>4</x:v>
      </x:c>
      <x:c r="D1327" t="str">
        <x:v>05:15</x:v>
      </x:c>
      <x:c r="E1327" t="n">
        <x:v>2</x:v>
      </x:c>
      <x:c r="F1327" t="n">
        <x:v>15</x:v>
      </x:c>
      <x:c r="G1327" t="str">
        <x:v>MIN</x:v>
      </x:c>
      <x:c r="H1327" t="str">
        <x:v>DET</x:v>
      </x:c>
      <x:c r="I1327" t="str">
        <x:v>DET</x:v>
      </x:c>
      <x:c r="J1327" t="n">
        <x:v>31</x:v>
      </x:c>
      <x:c r="K1327" t="str">
        <x:v>(5:15) 3-J.Addison right end to DET 15 for 16 yards (97-A.Hutchinson).</x:v>
      </x:c>
      <x:c r="L1327" t="str">
        <x:v>run</x:v>
      </x:c>
      <x:c r="M1327" t="n">
        <x:v>16</x:v>
      </x:c>
      <x:c r="N1327" t="n">
        <x:v>0</x:v>
      </x:c>
      <x:c r="O1327" t="n">
        <x:v>0</x:v>
      </x:c>
      <x:c r="P1327"/>
      <x:c r="Q1327"/>
      <x:c r="R1327"/>
      <x:c r="S1327"/>
      <x:c r="T1327" t="str">
        <x:v>right</x:v>
      </x:c>
      <x:c r="U1327" t="str">
        <x:v>end</x:v>
      </x:c>
      <x:c r="V1327" t="n">
        <x:v>0</x:v>
      </x:c>
      <x:c r="W1327" t="n">
        <x:v>1</x:v>
      </x:c>
      <x:c r="X1327" t="n">
        <x:v>0</x:v>
      </x:c>
      <x:c r="Y1327" t="n">
        <x:v>0</x:v>
      </x:c>
      <x:c r="Z1327" t="n">
        <x:v>0</x:v>
      </x:c>
      <x:c r="AA1327" t="n">
        <x:v>0</x:v>
      </x:c>
      <x:c r="AB1327"/>
      <x:c r="AC1327" t="n">
        <x:v>0</x:v>
      </x:c>
      <x:c r="AD1327" t="n">
        <x:v>1.8477918777498417</x:v>
      </x:c>
      <x:c r="AE1327" t="n">
        <x:v>1</x:v>
      </x:c>
      <x:c r="AF1327" t="n">
        <x:v>0.03685116767883301</x:v>
      </x:c>
      <x:c r="AG1327" t="n">
        <x:f>_xlfn.XLOOKUP($A1327,Games!$A$2:$A$18,Games!$B$2:$B$18,"Missing game",0)</x:f>
        <x:v>2025</x:v>
      </x:c>
      <x:c r="AH1327" t="str">
        <x:f>_xlfn.XLOOKUP($A1327,Games!$A$2:$A$18,Games!$C$2:$C$18,"Missing game",0)</x:f>
        <x:v>REG</x:v>
      </x:c>
      <x:c r="AI1327" t="n">
        <x:f>_xlfn.XLOOKUP($A1327,Games!$A$2:$A$18,Games!$D$2:$D$18,"Missing game",0)</x:f>
        <x:v>9</x:v>
      </x:c>
      <x:c r="AJ1327" s="1" t="n">
        <x:f>_xlfn.XLOOKUP($A1327,Games!$A$2:$A$18,Games!$E$2:$E$18,"Missing game",0)</x:f>
        <x:v>45963</x:v>
      </x:c>
      <x:c r="AK1327" t="str">
        <x:f>_xlfn.XLOOKUP($A1327,Games!$A$2:$A$18,Games!$F$2:$F$18,"Missing game",0)</x:f>
        <x:v>Sunday</x:v>
      </x:c>
      <x:c r="AL1327" t="str">
        <x:f>_xlfn.XLOOKUP($A1327,Games!$A$2:$A$18,Games!$G$2:$G$18,"Missing game",0)</x:f>
        <x:v>MIN</x:v>
      </x:c>
      <x:c r="AM1327" t="n">
        <x:f>_xlfn.XLOOKUP($A1327,Games!$A$2:$A$18,Games!$H$2:$H$18,"Missing game",0)</x:f>
        <x:v>27</x:v>
      </x:c>
      <x:c r="AN1327" t="str">
        <x:f>_xlfn.XLOOKUP($A1327,Games!$A$2:$A$18,Games!$I$2:$I$18,"Missing game",0)</x:f>
        <x:v>DET</x:v>
      </x:c>
      <x:c r="AO1327" t="n">
        <x:f>_xlfn.XLOOKUP($A1327,Games!$A$2:$A$18,Games!$J$2:$J$18,"Missing game",0)</x:f>
        <x:v>24</x:v>
      </x:c>
      <x:c r="AP1327" t="n">
        <x:f>_xlfn.XLOOKUP($A1327,Games!$A$2:$A$18,Games!$K$2:$K$18,"Missing game",0)</x:f>
        <x:v>-3</x:v>
      </x:c>
      <x:c r="AQ1327" t="n">
        <x:f>_xlfn.XLOOKUP($A1327,Games!$A$2:$A$18,Games!$L$2:$L$18,"Missing game",0)</x:f>
        <x:v>51</x:v>
      </x:c>
      <x:c r="AR1327" t="n">
        <x:f>_xlfn.XLOOKUP($A1327,Games!$A$2:$A$18,Games!$M$2:$M$18,"Missing game",0)</x:f>
        <x:v>0</x:v>
      </x:c>
      <x:c r="AS1327" t="str">
        <x:f>_xlfn.XLOOKUP($A1327,Games!$A$2:$A$18,Games!$N$2:$N$18,"Missing game",0)</x:f>
        <x:v>dome</x:v>
      </x:c>
      <x:c r="AT1327" t="str">
        <x:f>_xlfn.XLOOKUP($A1327,Games!$A$2:$A$18,Games!$O$2:$O$18,"Missing game",0)</x:f>
        <x:v>fieldturf</x:v>
      </x:c>
      <x:c r="AU1327" t="str">
        <x:f>_xlfn.XLOOKUP($A1327,Games!$A$2:$A$18,Games!$P$2:$P$18,"Missing game",0)</x:f>
      </x:c>
      <x:c r="AV1327" t="str">
        <x:f>_xlfn.XLOOKUP($A1327,Games!$A$2:$A$18,Games!$Q$2:$Q$18,"Missing game",0)</x:f>
      </x:c>
      <x:c r="AW1327" t="str">
        <x:f>_xlfn.XLOOKUP($A1327,Games!$A$2:$A$18,Games!$R$2:$R$18,"Missing game",0)</x:f>
        <x:v>Ford Field</x:v>
      </x:c>
    </x:row>
    <x:row r="1328">
      <x:c r="A1328" t="str">
        <x:v>2025_09_MIN_DET</x:v>
      </x:c>
      <x:c r="B1328" t="n">
        <x:v>3881</x:v>
      </x:c>
      <x:c r="C1328" t="n">
        <x:v>4</x:v>
      </x:c>
      <x:c r="D1328" t="str">
        <x:v>04:33</x:v>
      </x:c>
      <x:c r="E1328" t="n">
        <x:v>1</x:v>
      </x:c>
      <x:c r="F1328" t="n">
        <x:v>10</x:v>
      </x:c>
      <x:c r="G1328" t="str">
        <x:v>MIN</x:v>
      </x:c>
      <x:c r="H1328" t="str">
        <x:v>DET</x:v>
      </x:c>
      <x:c r="I1328" t="str">
        <x:v>DET</x:v>
      </x:c>
      <x:c r="J1328" t="n">
        <x:v>15</x:v>
      </x:c>
      <x:c r="K1328" t="str">
        <x:v>(4:33) 27-J.Mason left end pushed ob at DET 2 for 13 yards (34-A.Anzalone). PENALTY on DET-54-A.McNeill, Defensive Holding, 1 yard, enforced at DET 2.</x:v>
      </x:c>
      <x:c r="L1328" t="str">
        <x:v>run</x:v>
      </x:c>
      <x:c r="M1328" t="n">
        <x:v>13</x:v>
      </x:c>
      <x:c r="N1328" t="n">
        <x:v>0</x:v>
      </x:c>
      <x:c r="O1328" t="n">
        <x:v>0</x:v>
      </x:c>
      <x:c r="P1328"/>
      <x:c r="Q1328"/>
      <x:c r="R1328"/>
      <x:c r="S1328"/>
      <x:c r="T1328" t="str">
        <x:v>left</x:v>
      </x:c>
      <x:c r="U1328" t="str">
        <x:v>end</x:v>
      </x:c>
      <x:c r="V1328" t="n">
        <x:v>0</x:v>
      </x:c>
      <x:c r="W1328" t="n">
        <x:v>1</x:v>
      </x:c>
      <x:c r="X1328" t="n">
        <x:v>0</x:v>
      </x:c>
      <x:c r="Y1328" t="n">
        <x:v>0</x:v>
      </x:c>
      <x:c r="Z1328" t="n">
        <x:v>0</x:v>
      </x:c>
      <x:c r="AA1328" t="n">
        <x:v>1</x:v>
      </x:c>
      <x:c r="AB1328" t="n">
        <x:v>1</x:v>
      </x:c>
      <x:c r="AC1328" t="n">
        <x:v>0</x:v>
      </x:c>
      <x:c r="AD1328" t="n">
        <x:v>1.5081880245706998</x:v>
      </x:c>
      <x:c r="AE1328" t="n">
        <x:v>1</x:v>
      </x:c>
      <x:c r="AF1328" t="n">
        <x:v>0.01609426736831665</x:v>
      </x:c>
      <x:c r="AG1328" t="n">
        <x:f>_xlfn.XLOOKUP($A1328,Games!$A$2:$A$18,Games!$B$2:$B$18,"Missing game",0)</x:f>
        <x:v>2025</x:v>
      </x:c>
      <x:c r="AH1328" t="str">
        <x:f>_xlfn.XLOOKUP($A1328,Games!$A$2:$A$18,Games!$C$2:$C$18,"Missing game",0)</x:f>
        <x:v>REG</x:v>
      </x:c>
      <x:c r="AI1328" t="n">
        <x:f>_xlfn.XLOOKUP($A1328,Games!$A$2:$A$18,Games!$D$2:$D$18,"Missing game",0)</x:f>
        <x:v>9</x:v>
      </x:c>
      <x:c r="AJ1328" s="1" t="n">
        <x:f>_xlfn.XLOOKUP($A1328,Games!$A$2:$A$18,Games!$E$2:$E$18,"Missing game",0)</x:f>
        <x:v>45963</x:v>
      </x:c>
      <x:c r="AK1328" t="str">
        <x:f>_xlfn.XLOOKUP($A1328,Games!$A$2:$A$18,Games!$F$2:$F$18,"Missing game",0)</x:f>
        <x:v>Sunday</x:v>
      </x:c>
      <x:c r="AL1328" t="str">
        <x:f>_xlfn.XLOOKUP($A1328,Games!$A$2:$A$18,Games!$G$2:$G$18,"Missing game",0)</x:f>
        <x:v>MIN</x:v>
      </x:c>
      <x:c r="AM1328" t="n">
        <x:f>_xlfn.XLOOKUP($A1328,Games!$A$2:$A$18,Games!$H$2:$H$18,"Missing game",0)</x:f>
        <x:v>27</x:v>
      </x:c>
      <x:c r="AN1328" t="str">
        <x:f>_xlfn.XLOOKUP($A1328,Games!$A$2:$A$18,Games!$I$2:$I$18,"Missing game",0)</x:f>
        <x:v>DET</x:v>
      </x:c>
      <x:c r="AO1328" t="n">
        <x:f>_xlfn.XLOOKUP($A1328,Games!$A$2:$A$18,Games!$J$2:$J$18,"Missing game",0)</x:f>
        <x:v>24</x:v>
      </x:c>
      <x:c r="AP1328" t="n">
        <x:f>_xlfn.XLOOKUP($A1328,Games!$A$2:$A$18,Games!$K$2:$K$18,"Missing game",0)</x:f>
        <x:v>-3</x:v>
      </x:c>
      <x:c r="AQ1328" t="n">
        <x:f>_xlfn.XLOOKUP($A1328,Games!$A$2:$A$18,Games!$L$2:$L$18,"Missing game",0)</x:f>
        <x:v>51</x:v>
      </x:c>
      <x:c r="AR1328" t="n">
        <x:f>_xlfn.XLOOKUP($A1328,Games!$A$2:$A$18,Games!$M$2:$M$18,"Missing game",0)</x:f>
        <x:v>0</x:v>
      </x:c>
      <x:c r="AS1328" t="str">
        <x:f>_xlfn.XLOOKUP($A1328,Games!$A$2:$A$18,Games!$N$2:$N$18,"Missing game",0)</x:f>
        <x:v>dome</x:v>
      </x:c>
      <x:c r="AT1328" t="str">
        <x:f>_xlfn.XLOOKUP($A1328,Games!$A$2:$A$18,Games!$O$2:$O$18,"Missing game",0)</x:f>
        <x:v>fieldturf</x:v>
      </x:c>
      <x:c r="AU1328" t="str">
        <x:f>_xlfn.XLOOKUP($A1328,Games!$A$2:$A$18,Games!$P$2:$P$18,"Missing game",0)</x:f>
      </x:c>
      <x:c r="AV1328" t="str">
        <x:f>_xlfn.XLOOKUP($A1328,Games!$A$2:$A$18,Games!$Q$2:$Q$18,"Missing game",0)</x:f>
      </x:c>
      <x:c r="AW1328" t="str">
        <x:f>_xlfn.XLOOKUP($A1328,Games!$A$2:$A$18,Games!$R$2:$R$18,"Missing game",0)</x:f>
        <x:v>Ford Field</x:v>
      </x:c>
    </x:row>
    <x:row r="1329">
      <x:c r="A1329" t="str">
        <x:v>2025_09_MIN_DET</x:v>
      </x:c>
      <x:c r="B1329" t="n">
        <x:v>3919</x:v>
      </x:c>
      <x:c r="C1329" t="n">
        <x:v>4</x:v>
      </x:c>
      <x:c r="D1329" t="str">
        <x:v>04:26</x:v>
      </x:c>
      <x:c r="E1329" t="n">
        <x:v>1</x:v>
      </x:c>
      <x:c r="F1329" t="n">
        <x:v>1</x:v>
      </x:c>
      <x:c r="G1329" t="str">
        <x:v>MIN</x:v>
      </x:c>
      <x:c r="H1329" t="str">
        <x:v>DET</x:v>
      </x:c>
      <x:c r="I1329" t="str">
        <x:v>DET</x:v>
      </x:c>
      <x:c r="J1329" t="n">
        <x:v>1</x:v>
      </x:c>
      <x:c r="K1329" t="str">
        <x:v>(4:26) 60-J.Huber reported in as eligible. 27-J.Mason left tackle to DET 2 for -1 yards (15-G.Stuard, 55-D.Barnes).</x:v>
      </x:c>
      <x:c r="L1329" t="str">
        <x:v>run</x:v>
      </x:c>
      <x:c r="M1329" t="n">
        <x:v>-1</x:v>
      </x:c>
      <x:c r="N1329" t="n">
        <x:v>0</x:v>
      </x:c>
      <x:c r="O1329" t="n">
        <x:v>0</x:v>
      </x:c>
      <x:c r="P1329"/>
      <x:c r="Q1329"/>
      <x:c r="R1329"/>
      <x:c r="S1329"/>
      <x:c r="T1329" t="str">
        <x:v>left</x:v>
      </x:c>
      <x:c r="U1329" t="str">
        <x:v>tackle</x:v>
      </x:c>
      <x:c r="V1329" t="n">
        <x:v>0</x:v>
      </x:c>
      <x:c r="W1329" t="n">
        <x:v>0</x:v>
      </x:c>
      <x:c r="X1329" t="n">
        <x:v>0</x:v>
      </x:c>
      <x:c r="Y1329" t="n">
        <x:v>0</x:v>
      </x:c>
      <x:c r="Z1329" t="n">
        <x:v>0</x:v>
      </x:c>
      <x:c r="AA1329" t="n">
        <x:v>0</x:v>
      </x:c>
      <x:c r="AB1329"/>
      <x:c r="AC1329" t="n">
        <x:v>0</x:v>
      </x:c>
      <x:c r="AD1329" t="n">
        <x:v>-0.5607762181898579</x:v>
      </x:c>
      <x:c r="AE1329" t="n">
        <x:v>0</x:v>
      </x:c>
      <x:c r="AF1329" t="n">
        <x:v>-0.008082807064056396</x:v>
      </x:c>
      <x:c r="AG1329" t="n">
        <x:f>_xlfn.XLOOKUP($A1329,Games!$A$2:$A$18,Games!$B$2:$B$18,"Missing game",0)</x:f>
        <x:v>2025</x:v>
      </x:c>
      <x:c r="AH1329" t="str">
        <x:f>_xlfn.XLOOKUP($A1329,Games!$A$2:$A$18,Games!$C$2:$C$18,"Missing game",0)</x:f>
        <x:v>REG</x:v>
      </x:c>
      <x:c r="AI1329" t="n">
        <x:f>_xlfn.XLOOKUP($A1329,Games!$A$2:$A$18,Games!$D$2:$D$18,"Missing game",0)</x:f>
        <x:v>9</x:v>
      </x:c>
      <x:c r="AJ1329" s="1" t="n">
        <x:f>_xlfn.XLOOKUP($A1329,Games!$A$2:$A$18,Games!$E$2:$E$18,"Missing game",0)</x:f>
        <x:v>45963</x:v>
      </x:c>
      <x:c r="AK1329" t="str">
        <x:f>_xlfn.XLOOKUP($A1329,Games!$A$2:$A$18,Games!$F$2:$F$18,"Missing game",0)</x:f>
        <x:v>Sunday</x:v>
      </x:c>
      <x:c r="AL1329" t="str">
        <x:f>_xlfn.XLOOKUP($A1329,Games!$A$2:$A$18,Games!$G$2:$G$18,"Missing game",0)</x:f>
        <x:v>MIN</x:v>
      </x:c>
      <x:c r="AM1329" t="n">
        <x:f>_xlfn.XLOOKUP($A1329,Games!$A$2:$A$18,Games!$H$2:$H$18,"Missing game",0)</x:f>
        <x:v>27</x:v>
      </x:c>
      <x:c r="AN1329" t="str">
        <x:f>_xlfn.XLOOKUP($A1329,Games!$A$2:$A$18,Games!$I$2:$I$18,"Missing game",0)</x:f>
        <x:v>DET</x:v>
      </x:c>
      <x:c r="AO1329" t="n">
        <x:f>_xlfn.XLOOKUP($A1329,Games!$A$2:$A$18,Games!$J$2:$J$18,"Missing game",0)</x:f>
        <x:v>24</x:v>
      </x:c>
      <x:c r="AP1329" t="n">
        <x:f>_xlfn.XLOOKUP($A1329,Games!$A$2:$A$18,Games!$K$2:$K$18,"Missing game",0)</x:f>
        <x:v>-3</x:v>
      </x:c>
      <x:c r="AQ1329" t="n">
        <x:f>_xlfn.XLOOKUP($A1329,Games!$A$2:$A$18,Games!$L$2:$L$18,"Missing game",0)</x:f>
        <x:v>51</x:v>
      </x:c>
      <x:c r="AR1329" t="n">
        <x:f>_xlfn.XLOOKUP($A1329,Games!$A$2:$A$18,Games!$M$2:$M$18,"Missing game",0)</x:f>
        <x:v>0</x:v>
      </x:c>
      <x:c r="AS1329" t="str">
        <x:f>_xlfn.XLOOKUP($A1329,Games!$A$2:$A$18,Games!$N$2:$N$18,"Missing game",0)</x:f>
        <x:v>dome</x:v>
      </x:c>
      <x:c r="AT1329" t="str">
        <x:f>_xlfn.XLOOKUP($A1329,Games!$A$2:$A$18,Games!$O$2:$O$18,"Missing game",0)</x:f>
        <x:v>fieldturf</x:v>
      </x:c>
      <x:c r="AU1329" t="str">
        <x:f>_xlfn.XLOOKUP($A1329,Games!$A$2:$A$18,Games!$P$2:$P$18,"Missing game",0)</x:f>
      </x:c>
      <x:c r="AV1329" t="str">
        <x:f>_xlfn.XLOOKUP($A1329,Games!$A$2:$A$18,Games!$Q$2:$Q$18,"Missing game",0)</x:f>
      </x:c>
      <x:c r="AW1329" t="str">
        <x:f>_xlfn.XLOOKUP($A1329,Games!$A$2:$A$18,Games!$R$2:$R$18,"Missing game",0)</x:f>
        <x:v>Ford Field</x:v>
      </x:c>
    </x:row>
    <x:row r="1330">
      <x:c r="A1330" t="str">
        <x:v>2025_09_MIN_DET</x:v>
      </x:c>
      <x:c r="B1330" t="n">
        <x:v>3943</x:v>
      </x:c>
      <x:c r="C1330" t="n">
        <x:v>4</x:v>
      </x:c>
      <x:c r="D1330" t="str">
        <x:v>03:44</x:v>
      </x:c>
      <x:c r="E1330" t="n">
        <x:v>2</x:v>
      </x:c>
      <x:c r="F1330" t="n">
        <x:v>2</x:v>
      </x:c>
      <x:c r="G1330" t="str">
        <x:v>MIN</x:v>
      </x:c>
      <x:c r="H1330" t="str">
        <x:v>DET</x:v>
      </x:c>
      <x:c r="I1330" t="str">
        <x:v>DET</x:v>
      </x:c>
      <x:c r="J1330" t="n">
        <x:v>2</x:v>
      </x:c>
      <x:c r="K1330" t="str">
        <x:v>(3:44) 9-J.McCarthy pass incomplete short right to 18-J.Jefferson (6-T.Arnold).</x:v>
      </x:c>
      <x:c r="L1330" t="str">
        <x:v>pass</x:v>
      </x:c>
      <x:c r="M1330" t="n">
        <x:v>0</x:v>
      </x:c>
      <x:c r="N1330" t="n">
        <x:v>0</x:v>
      </x:c>
      <x:c r="O1330" t="n">
        <x:v>0</x:v>
      </x:c>
      <x:c r="P1330" t="str">
        <x:v>short</x:v>
      </x:c>
      <x:c r="Q1330" t="str">
        <x:v>right</x:v>
      </x:c>
      <x:c r="R1330" t="n">
        <x:v>2</x:v>
      </x:c>
      <x:c r="S1330"/>
      <x:c r="T1330"/>
      <x:c r="U1330"/>
      <x:c r="V1330" t="n">
        <x:v>0</x:v>
      </x:c>
      <x:c r="W1330" t="n">
        <x:v>0</x:v>
      </x:c>
      <x:c r="X1330" t="n">
        <x:v>0</x:v>
      </x:c>
      <x:c r="Y1330" t="n">
        <x:v>0</x:v>
      </x:c>
      <x:c r="Z1330" t="n">
        <x:v>0</x:v>
      </x:c>
      <x:c r="AA1330" t="n">
        <x:v>0</x:v>
      </x:c>
      <x:c r="AB1330"/>
      <x:c r="AC1330" t="n">
        <x:v>0</x:v>
      </x:c>
      <x:c r="AD1330" t="n">
        <x:v>-0.8361588045954704</x:v>
      </x:c>
      <x:c r="AE1330" t="n">
        <x:v>0</x:v>
      </x:c>
      <x:c r="AF1330" t="n">
        <x:v>-0.003122091293334961</x:v>
      </x:c>
      <x:c r="AG1330" t="n">
        <x:f>_xlfn.XLOOKUP($A1330,Games!$A$2:$A$18,Games!$B$2:$B$18,"Missing game",0)</x:f>
        <x:v>2025</x:v>
      </x:c>
      <x:c r="AH1330" t="str">
        <x:f>_xlfn.XLOOKUP($A1330,Games!$A$2:$A$18,Games!$C$2:$C$18,"Missing game",0)</x:f>
        <x:v>REG</x:v>
      </x:c>
      <x:c r="AI1330" t="n">
        <x:f>_xlfn.XLOOKUP($A1330,Games!$A$2:$A$18,Games!$D$2:$D$18,"Missing game",0)</x:f>
        <x:v>9</x:v>
      </x:c>
      <x:c r="AJ1330" s="1" t="n">
        <x:f>_xlfn.XLOOKUP($A1330,Games!$A$2:$A$18,Games!$E$2:$E$18,"Missing game",0)</x:f>
        <x:v>45963</x:v>
      </x:c>
      <x:c r="AK1330" t="str">
        <x:f>_xlfn.XLOOKUP($A1330,Games!$A$2:$A$18,Games!$F$2:$F$18,"Missing game",0)</x:f>
        <x:v>Sunday</x:v>
      </x:c>
      <x:c r="AL1330" t="str">
        <x:f>_xlfn.XLOOKUP($A1330,Games!$A$2:$A$18,Games!$G$2:$G$18,"Missing game",0)</x:f>
        <x:v>MIN</x:v>
      </x:c>
      <x:c r="AM1330" t="n">
        <x:f>_xlfn.XLOOKUP($A1330,Games!$A$2:$A$18,Games!$H$2:$H$18,"Missing game",0)</x:f>
        <x:v>27</x:v>
      </x:c>
      <x:c r="AN1330" t="str">
        <x:f>_xlfn.XLOOKUP($A1330,Games!$A$2:$A$18,Games!$I$2:$I$18,"Missing game",0)</x:f>
        <x:v>DET</x:v>
      </x:c>
      <x:c r="AO1330" t="n">
        <x:f>_xlfn.XLOOKUP($A1330,Games!$A$2:$A$18,Games!$J$2:$J$18,"Missing game",0)</x:f>
        <x:v>24</x:v>
      </x:c>
      <x:c r="AP1330" t="n">
        <x:f>_xlfn.XLOOKUP($A1330,Games!$A$2:$A$18,Games!$K$2:$K$18,"Missing game",0)</x:f>
        <x:v>-3</x:v>
      </x:c>
      <x:c r="AQ1330" t="n">
        <x:f>_xlfn.XLOOKUP($A1330,Games!$A$2:$A$18,Games!$L$2:$L$18,"Missing game",0)</x:f>
        <x:v>51</x:v>
      </x:c>
      <x:c r="AR1330" t="n">
        <x:f>_xlfn.XLOOKUP($A1330,Games!$A$2:$A$18,Games!$M$2:$M$18,"Missing game",0)</x:f>
        <x:v>0</x:v>
      </x:c>
      <x:c r="AS1330" t="str">
        <x:f>_xlfn.XLOOKUP($A1330,Games!$A$2:$A$18,Games!$N$2:$N$18,"Missing game",0)</x:f>
        <x:v>dome</x:v>
      </x:c>
      <x:c r="AT1330" t="str">
        <x:f>_xlfn.XLOOKUP($A1330,Games!$A$2:$A$18,Games!$O$2:$O$18,"Missing game",0)</x:f>
        <x:v>fieldturf</x:v>
      </x:c>
      <x:c r="AU1330" t="str">
        <x:f>_xlfn.XLOOKUP($A1330,Games!$A$2:$A$18,Games!$P$2:$P$18,"Missing game",0)</x:f>
      </x:c>
      <x:c r="AV1330" t="str">
        <x:f>_xlfn.XLOOKUP($A1330,Games!$A$2:$A$18,Games!$Q$2:$Q$18,"Missing game",0)</x:f>
      </x:c>
      <x:c r="AW1330" t="str">
        <x:f>_xlfn.XLOOKUP($A1330,Games!$A$2:$A$18,Games!$R$2:$R$18,"Missing game",0)</x:f>
        <x:v>Ford Field</x:v>
      </x:c>
    </x:row>
    <x:row r="1331">
      <x:c r="A1331" t="str">
        <x:v>2025_09_MIN_DET</x:v>
      </x:c>
      <x:c r="B1331" t="n">
        <x:v>3966</x:v>
      </x:c>
      <x:c r="C1331" t="n">
        <x:v>4</x:v>
      </x:c>
      <x:c r="D1331" t="str">
        <x:v>03:40</x:v>
      </x:c>
      <x:c r="E1331" t="n">
        <x:v>3</x:v>
      </x:c>
      <x:c r="F1331" t="n">
        <x:v>2</x:v>
      </x:c>
      <x:c r="G1331" t="str">
        <x:v>MIN</x:v>
      </x:c>
      <x:c r="H1331" t="str">
        <x:v>DET</x:v>
      </x:c>
      <x:c r="I1331" t="str">
        <x:v>DET</x:v>
      </x:c>
      <x:c r="J1331" t="n">
        <x:v>2</x:v>
      </x:c>
      <x:c r="K1331" t="str">
        <x:v>(3:40) 60-J.Huber reported in as eligible. 9-J.McCarthy sacked at DET 2 for 0 yards (96-A.Muhammad).</x:v>
      </x:c>
      <x:c r="L1331" t="str">
        <x:v>pass</x:v>
      </x:c>
      <x:c r="M1331" t="n">
        <x:v>0</x:v>
      </x:c>
      <x:c r="N1331" t="n">
        <x:v>0</x:v>
      </x:c>
      <x:c r="O1331" t="n">
        <x:v>0</x:v>
      </x:c>
      <x:c r="P1331"/>
      <x:c r="Q1331"/>
      <x:c r="R1331"/>
      <x:c r="S1331"/>
      <x:c r="T1331"/>
      <x:c r="U1331"/>
      <x:c r="V1331" t="n">
        <x:v>0</x:v>
      </x:c>
      <x:c r="W1331" t="n">
        <x:v>0</x:v>
      </x:c>
      <x:c r="X1331" t="n">
        <x:v>1</x:v>
      </x:c>
      <x:c r="Y1331" t="n">
        <x:v>0</x:v>
      </x:c>
      <x:c r="Z1331" t="n">
        <x:v>0</x:v>
      </x:c>
      <x:c r="AA1331" t="n">
        <x:v>0</x:v>
      </x:c>
      <x:c r="AB1331"/>
      <x:c r="AC1331" t="n">
        <x:v>0</x:v>
      </x:c>
      <x:c r="AD1331" t="n">
        <x:v>-2.030435244081281</x:v>
      </x:c>
      <x:c r="AE1331" t="n">
        <x:v>0</x:v>
      </x:c>
      <x:c r="AF1331" t="n">
        <x:v>-0.011991381645202637</x:v>
      </x:c>
      <x:c r="AG1331" t="n">
        <x:f>_xlfn.XLOOKUP($A1331,Games!$A$2:$A$18,Games!$B$2:$B$18,"Missing game",0)</x:f>
        <x:v>2025</x:v>
      </x:c>
      <x:c r="AH1331" t="str">
        <x:f>_xlfn.XLOOKUP($A1331,Games!$A$2:$A$18,Games!$C$2:$C$18,"Missing game",0)</x:f>
        <x:v>REG</x:v>
      </x:c>
      <x:c r="AI1331" t="n">
        <x:f>_xlfn.XLOOKUP($A1331,Games!$A$2:$A$18,Games!$D$2:$D$18,"Missing game",0)</x:f>
        <x:v>9</x:v>
      </x:c>
      <x:c r="AJ1331" s="1" t="n">
        <x:f>_xlfn.XLOOKUP($A1331,Games!$A$2:$A$18,Games!$E$2:$E$18,"Missing game",0)</x:f>
        <x:v>45963</x:v>
      </x:c>
      <x:c r="AK1331" t="str">
        <x:f>_xlfn.XLOOKUP($A1331,Games!$A$2:$A$18,Games!$F$2:$F$18,"Missing game",0)</x:f>
        <x:v>Sunday</x:v>
      </x:c>
      <x:c r="AL1331" t="str">
        <x:f>_xlfn.XLOOKUP($A1331,Games!$A$2:$A$18,Games!$G$2:$G$18,"Missing game",0)</x:f>
        <x:v>MIN</x:v>
      </x:c>
      <x:c r="AM1331" t="n">
        <x:f>_xlfn.XLOOKUP($A1331,Games!$A$2:$A$18,Games!$H$2:$H$18,"Missing game",0)</x:f>
        <x:v>27</x:v>
      </x:c>
      <x:c r="AN1331" t="str">
        <x:f>_xlfn.XLOOKUP($A1331,Games!$A$2:$A$18,Games!$I$2:$I$18,"Missing game",0)</x:f>
        <x:v>DET</x:v>
      </x:c>
      <x:c r="AO1331" t="n">
        <x:f>_xlfn.XLOOKUP($A1331,Games!$A$2:$A$18,Games!$J$2:$J$18,"Missing game",0)</x:f>
        <x:v>24</x:v>
      </x:c>
      <x:c r="AP1331" t="n">
        <x:f>_xlfn.XLOOKUP($A1331,Games!$A$2:$A$18,Games!$K$2:$K$18,"Missing game",0)</x:f>
        <x:v>-3</x:v>
      </x:c>
      <x:c r="AQ1331" t="n">
        <x:f>_xlfn.XLOOKUP($A1331,Games!$A$2:$A$18,Games!$L$2:$L$18,"Missing game",0)</x:f>
        <x:v>51</x:v>
      </x:c>
      <x:c r="AR1331" t="n">
        <x:f>_xlfn.XLOOKUP($A1331,Games!$A$2:$A$18,Games!$M$2:$M$18,"Missing game",0)</x:f>
        <x:v>0</x:v>
      </x:c>
      <x:c r="AS1331" t="str">
        <x:f>_xlfn.XLOOKUP($A1331,Games!$A$2:$A$18,Games!$N$2:$N$18,"Missing game",0)</x:f>
        <x:v>dome</x:v>
      </x:c>
      <x:c r="AT1331" t="str">
        <x:f>_xlfn.XLOOKUP($A1331,Games!$A$2:$A$18,Games!$O$2:$O$18,"Missing game",0)</x:f>
        <x:v>fieldturf</x:v>
      </x:c>
      <x:c r="AU1331" t="str">
        <x:f>_xlfn.XLOOKUP($A1331,Games!$A$2:$A$18,Games!$P$2:$P$18,"Missing game",0)</x:f>
      </x:c>
      <x:c r="AV1331" t="str">
        <x:f>_xlfn.XLOOKUP($A1331,Games!$A$2:$A$18,Games!$Q$2:$Q$18,"Missing game",0)</x:f>
      </x:c>
      <x:c r="AW1331" t="str">
        <x:f>_xlfn.XLOOKUP($A1331,Games!$A$2:$A$18,Games!$R$2:$R$18,"Missing game",0)</x:f>
        <x:v>Ford Field</x:v>
      </x:c>
    </x:row>
    <x:row r="1332">
      <x:c r="A1332" t="str">
        <x:v>2025_09_MIN_DET</x:v>
      </x:c>
      <x:c r="B1332" t="n">
        <x:v>4011</x:v>
      </x:c>
      <x:c r="C1332" t="n">
        <x:v>4</x:v>
      </x:c>
      <x:c r="D1332" t="str">
        <x:v>03:33</x:v>
      </x:c>
      <x:c r="E1332" t="n">
        <x:v>4</x:v>
      </x:c>
      <x:c r="F1332" t="n">
        <x:v>2</x:v>
      </x:c>
      <x:c r="G1332" t="str">
        <x:v>MIN</x:v>
      </x:c>
      <x:c r="H1332" t="str">
        <x:v>DET</x:v>
      </x:c>
      <x:c r="I1332" t="str">
        <x:v>DET</x:v>
      </x:c>
      <x:c r="J1332" t="n">
        <x:v>2</x:v>
      </x:c>
      <x:c r="K1332" t="str">
        <x:v>(3:33) 16-W.Reichard 20 yard field goal is GOOD, Center-42-A.DePaola, Holder-17-R.Wright.</x:v>
      </x:c>
      <x:c r="L1332" t="str">
        <x:v>field_goal</x:v>
      </x:c>
      <x:c r="M1332" t="n">
        <x:v>0</x:v>
      </x:c>
      <x:c r="N1332" t="n">
        <x:v>0</x:v>
      </x:c>
      <x:c r="O1332" t="n">
        <x:v>0</x:v>
      </x:c>
      <x:c r="P1332"/>
      <x:c r="Q1332"/>
      <x:c r="R1332"/>
      <x:c r="S1332"/>
      <x:c r="T1332"/>
      <x:c r="U1332"/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0</x:v>
      </x:c>
      <x:c r="AB1332"/>
      <x:c r="AC1332" t="n">
        <x:v>0</x:v>
      </x:c>
      <x:c r="AD1332" t="n">
        <x:v>0.011767087265588394</x:v>
      </x:c>
      <x:c r="AE1332" t="n">
        <x:v>1</x:v>
      </x:c>
      <x:c r="AF1332" t="n">
        <x:v>0.0016461797058582306</x:v>
      </x:c>
      <x:c r="AG1332" t="n">
        <x:f>_xlfn.XLOOKUP($A1332,Games!$A$2:$A$18,Games!$B$2:$B$18,"Missing game",0)</x:f>
        <x:v>2025</x:v>
      </x:c>
      <x:c r="AH1332" t="str">
        <x:f>_xlfn.XLOOKUP($A1332,Games!$A$2:$A$18,Games!$C$2:$C$18,"Missing game",0)</x:f>
        <x:v>REG</x:v>
      </x:c>
      <x:c r="AI1332" t="n">
        <x:f>_xlfn.XLOOKUP($A1332,Games!$A$2:$A$18,Games!$D$2:$D$18,"Missing game",0)</x:f>
        <x:v>9</x:v>
      </x:c>
      <x:c r="AJ1332" s="1" t="n">
        <x:f>_xlfn.XLOOKUP($A1332,Games!$A$2:$A$18,Games!$E$2:$E$18,"Missing game",0)</x:f>
        <x:v>45963</x:v>
      </x:c>
      <x:c r="AK1332" t="str">
        <x:f>_xlfn.XLOOKUP($A1332,Games!$A$2:$A$18,Games!$F$2:$F$18,"Missing game",0)</x:f>
        <x:v>Sunday</x:v>
      </x:c>
      <x:c r="AL1332" t="str">
        <x:f>_xlfn.XLOOKUP($A1332,Games!$A$2:$A$18,Games!$G$2:$G$18,"Missing game",0)</x:f>
        <x:v>MIN</x:v>
      </x:c>
      <x:c r="AM1332" t="n">
        <x:f>_xlfn.XLOOKUP($A1332,Games!$A$2:$A$18,Games!$H$2:$H$18,"Missing game",0)</x:f>
        <x:v>27</x:v>
      </x:c>
      <x:c r="AN1332" t="str">
        <x:f>_xlfn.XLOOKUP($A1332,Games!$A$2:$A$18,Games!$I$2:$I$18,"Missing game",0)</x:f>
        <x:v>DET</x:v>
      </x:c>
      <x:c r="AO1332" t="n">
        <x:f>_xlfn.XLOOKUP($A1332,Games!$A$2:$A$18,Games!$J$2:$J$18,"Missing game",0)</x:f>
        <x:v>24</x:v>
      </x:c>
      <x:c r="AP1332" t="n">
        <x:f>_xlfn.XLOOKUP($A1332,Games!$A$2:$A$18,Games!$K$2:$K$18,"Missing game",0)</x:f>
        <x:v>-3</x:v>
      </x:c>
      <x:c r="AQ1332" t="n">
        <x:f>_xlfn.XLOOKUP($A1332,Games!$A$2:$A$18,Games!$L$2:$L$18,"Missing game",0)</x:f>
        <x:v>51</x:v>
      </x:c>
      <x:c r="AR1332" t="n">
        <x:f>_xlfn.XLOOKUP($A1332,Games!$A$2:$A$18,Games!$M$2:$M$18,"Missing game",0)</x:f>
        <x:v>0</x:v>
      </x:c>
      <x:c r="AS1332" t="str">
        <x:f>_xlfn.XLOOKUP($A1332,Games!$A$2:$A$18,Games!$N$2:$N$18,"Missing game",0)</x:f>
        <x:v>dome</x:v>
      </x:c>
      <x:c r="AT1332" t="str">
        <x:f>_xlfn.XLOOKUP($A1332,Games!$A$2:$A$18,Games!$O$2:$O$18,"Missing game",0)</x:f>
        <x:v>fieldturf</x:v>
      </x:c>
      <x:c r="AU1332" t="str">
        <x:f>_xlfn.XLOOKUP($A1332,Games!$A$2:$A$18,Games!$P$2:$P$18,"Missing game",0)</x:f>
      </x:c>
      <x:c r="AV1332" t="str">
        <x:f>_xlfn.XLOOKUP($A1332,Games!$A$2:$A$18,Games!$Q$2:$Q$18,"Missing game",0)</x:f>
      </x:c>
      <x:c r="AW1332" t="str">
        <x:f>_xlfn.XLOOKUP($A1332,Games!$A$2:$A$18,Games!$R$2:$R$18,"Missing game",0)</x:f>
        <x:v>Ford Field</x:v>
      </x:c>
    </x:row>
    <x:row r="1333">
      <x:c r="A1333" t="str">
        <x:v>2025_09_MIN_DET</x:v>
      </x:c>
      <x:c r="B1333" t="n">
        <x:v>4031</x:v>
      </x:c>
      <x:c r="C1333" t="n">
        <x:v>4</x:v>
      </x:c>
      <x:c r="D1333" t="str">
        <x:v>03:31</x:v>
      </x:c>
      <x:c r="E1333"/>
      <x:c r="F1333" t="n">
        <x:v>0</x:v>
      </x:c>
      <x:c r="G1333" t="str">
        <x:v>DET</x:v>
      </x:c>
      <x:c r="H1333" t="str">
        <x:v>MIN</x:v>
      </x:c>
      <x:c r="I1333" t="str">
        <x:v>MIN</x:v>
      </x:c>
      <x:c r="J1333" t="n">
        <x:v>35</x:v>
      </x:c>
      <x:c r="K1333" t="str">
        <x:v>16-W.Reichard kicks 60 yards from MIN 35 to DET 5. 25-J.Saylors to DET 31 for 26 yards (55-E.Wilson; 24-J.Ward).</x:v>
      </x:c>
      <x:c r="L1333" t="str">
        <x:v>kickoff</x:v>
      </x:c>
      <x:c r="M1333" t="n">
        <x:v>0</x:v>
      </x:c>
      <x:c r="N1333" t="n">
        <x:v>0</x:v>
      </x:c>
      <x:c r="O1333" t="n">
        <x:v>0</x:v>
      </x:c>
      <x:c r="P1333"/>
      <x:c r="Q1333"/>
      <x:c r="R1333"/>
      <x:c r="S1333"/>
      <x:c r="T1333"/>
      <x:c r="U1333"/>
      <x:c r="V1333" t="n">
        <x:v>0</x:v>
      </x:c>
      <x:c r="W1333" t="n">
        <x:v>0</x:v>
      </x:c>
      <x:c r="X1333" t="n">
        <x:v>0</x:v>
      </x:c>
      <x:c r="Y1333" t="n">
        <x:v>0</x:v>
      </x:c>
      <x:c r="Z1333" t="n">
        <x:v>0</x:v>
      </x:c>
      <x:c r="AA1333" t="n">
        <x:v>0</x:v>
      </x:c>
      <x:c r="AB1333"/>
      <x:c r="AC1333" t="n">
        <x:v>0</x:v>
      </x:c>
      <x:c r="AD1333" t="n">
        <x:v>0.4998284998582676</x:v>
      </x:c>
      <x:c r="AE1333" t="n">
        <x:v>1</x:v>
      </x:c>
      <x:c r="AF1333" t="n">
        <x:v>0.006574992090463638</x:v>
      </x:c>
      <x:c r="AG1333" t="n">
        <x:f>_xlfn.XLOOKUP($A1333,Games!$A$2:$A$18,Games!$B$2:$B$18,"Missing game",0)</x:f>
        <x:v>2025</x:v>
      </x:c>
      <x:c r="AH1333" t="str">
        <x:f>_xlfn.XLOOKUP($A1333,Games!$A$2:$A$18,Games!$C$2:$C$18,"Missing game",0)</x:f>
        <x:v>REG</x:v>
      </x:c>
      <x:c r="AI1333" t="n">
        <x:f>_xlfn.XLOOKUP($A1333,Games!$A$2:$A$18,Games!$D$2:$D$18,"Missing game",0)</x:f>
        <x:v>9</x:v>
      </x:c>
      <x:c r="AJ1333" s="1" t="n">
        <x:f>_xlfn.XLOOKUP($A1333,Games!$A$2:$A$18,Games!$E$2:$E$18,"Missing game",0)</x:f>
        <x:v>45963</x:v>
      </x:c>
      <x:c r="AK1333" t="str">
        <x:f>_xlfn.XLOOKUP($A1333,Games!$A$2:$A$18,Games!$F$2:$F$18,"Missing game",0)</x:f>
        <x:v>Sunday</x:v>
      </x:c>
      <x:c r="AL1333" t="str">
        <x:f>_xlfn.XLOOKUP($A1333,Games!$A$2:$A$18,Games!$G$2:$G$18,"Missing game",0)</x:f>
        <x:v>MIN</x:v>
      </x:c>
      <x:c r="AM1333" t="n">
        <x:f>_xlfn.XLOOKUP($A1333,Games!$A$2:$A$18,Games!$H$2:$H$18,"Missing game",0)</x:f>
        <x:v>27</x:v>
      </x:c>
      <x:c r="AN1333" t="str">
        <x:f>_xlfn.XLOOKUP($A1333,Games!$A$2:$A$18,Games!$I$2:$I$18,"Missing game",0)</x:f>
        <x:v>DET</x:v>
      </x:c>
      <x:c r="AO1333" t="n">
        <x:f>_xlfn.XLOOKUP($A1333,Games!$A$2:$A$18,Games!$J$2:$J$18,"Missing game",0)</x:f>
        <x:v>24</x:v>
      </x:c>
      <x:c r="AP1333" t="n">
        <x:f>_xlfn.XLOOKUP($A1333,Games!$A$2:$A$18,Games!$K$2:$K$18,"Missing game",0)</x:f>
        <x:v>-3</x:v>
      </x:c>
      <x:c r="AQ1333" t="n">
        <x:f>_xlfn.XLOOKUP($A1333,Games!$A$2:$A$18,Games!$L$2:$L$18,"Missing game",0)</x:f>
        <x:v>51</x:v>
      </x:c>
      <x:c r="AR1333" t="n">
        <x:f>_xlfn.XLOOKUP($A1333,Games!$A$2:$A$18,Games!$M$2:$M$18,"Missing game",0)</x:f>
        <x:v>0</x:v>
      </x:c>
      <x:c r="AS1333" t="str">
        <x:f>_xlfn.XLOOKUP($A1333,Games!$A$2:$A$18,Games!$N$2:$N$18,"Missing game",0)</x:f>
        <x:v>dome</x:v>
      </x:c>
      <x:c r="AT1333" t="str">
        <x:f>_xlfn.XLOOKUP($A1333,Games!$A$2:$A$18,Games!$O$2:$O$18,"Missing game",0)</x:f>
        <x:v>fieldturf</x:v>
      </x:c>
      <x:c r="AU1333" t="str">
        <x:f>_xlfn.XLOOKUP($A1333,Games!$A$2:$A$18,Games!$P$2:$P$18,"Missing game",0)</x:f>
      </x:c>
      <x:c r="AV1333" t="str">
        <x:f>_xlfn.XLOOKUP($A1333,Games!$A$2:$A$18,Games!$Q$2:$Q$18,"Missing game",0)</x:f>
      </x:c>
      <x:c r="AW1333" t="str">
        <x:f>_xlfn.XLOOKUP($A1333,Games!$A$2:$A$18,Games!$R$2:$R$18,"Missing game",0)</x:f>
        <x:v>Ford Field</x:v>
      </x:c>
    </x:row>
    <x:row r="1334">
      <x:c r="A1334" t="str">
        <x:v>2025_09_MIN_DET</x:v>
      </x:c>
      <x:c r="B1334" t="n">
        <x:v>4054</x:v>
      </x:c>
      <x:c r="C1334" t="n">
        <x:v>4</x:v>
      </x:c>
      <x:c r="D1334" t="str">
        <x:v>03:23</x:v>
      </x:c>
      <x:c r="E1334" t="n">
        <x:v>1</x:v>
      </x:c>
      <x:c r="F1334" t="n">
        <x:v>10</x:v>
      </x:c>
      <x:c r="G1334" t="str">
        <x:v>DET</x:v>
      </x:c>
      <x:c r="H1334" t="str">
        <x:v>MIN</x:v>
      </x:c>
      <x:c r="I1334" t="str">
        <x:v>DET</x:v>
      </x:c>
      <x:c r="J1334" t="n">
        <x:v>69</x:v>
      </x:c>
      <x:c r="K1334" t="str">
        <x:v>(3:23) (Shotgun) 16-J.Goff pass short middle to 14-A.St. Brown to DET 35 for 4 yards (15-D.Turner).</x:v>
      </x:c>
      <x:c r="L1334" t="str">
        <x:v>pass</x:v>
      </x:c>
      <x:c r="M1334" t="n">
        <x:v>4</x:v>
      </x:c>
      <x:c r="N1334" t="n">
        <x:v>1</x:v>
      </x:c>
      <x:c r="O1334" t="n">
        <x:v>0</x:v>
      </x:c>
      <x:c r="P1334" t="str">
        <x:v>short</x:v>
      </x:c>
      <x:c r="Q1334" t="str">
        <x:v>middle</x:v>
      </x:c>
      <x:c r="R1334" t="n">
        <x:v>4</x:v>
      </x:c>
      <x:c r="S1334" t="n">
        <x:v>0</x:v>
      </x:c>
      <x:c r="T1334"/>
      <x:c r="U1334"/>
      <x:c r="V1334" t="n">
        <x:v>1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0</x:v>
      </x:c>
      <x:c r="AB1334"/>
      <x:c r="AC1334" t="n">
        <x:v>0</x:v>
      </x:c>
      <x:c r="AD1334" t="n">
        <x:v>-0.3030413237866014</x:v>
      </x:c>
      <x:c r="AE1334" t="n">
        <x:v>0</x:v>
      </x:c>
      <x:c r="AF1334" t="n">
        <x:v>-0.00767073780298233</x:v>
      </x:c>
      <x:c r="AG1334" t="n">
        <x:f>_xlfn.XLOOKUP($A1334,Games!$A$2:$A$18,Games!$B$2:$B$18,"Missing game",0)</x:f>
        <x:v>2025</x:v>
      </x:c>
      <x:c r="AH1334" t="str">
        <x:f>_xlfn.XLOOKUP($A1334,Games!$A$2:$A$18,Games!$C$2:$C$18,"Missing game",0)</x:f>
        <x:v>REG</x:v>
      </x:c>
      <x:c r="AI1334" t="n">
        <x:f>_xlfn.XLOOKUP($A1334,Games!$A$2:$A$18,Games!$D$2:$D$18,"Missing game",0)</x:f>
        <x:v>9</x:v>
      </x:c>
      <x:c r="AJ1334" s="1" t="n">
        <x:f>_xlfn.XLOOKUP($A1334,Games!$A$2:$A$18,Games!$E$2:$E$18,"Missing game",0)</x:f>
        <x:v>45963</x:v>
      </x:c>
      <x:c r="AK1334" t="str">
        <x:f>_xlfn.XLOOKUP($A1334,Games!$A$2:$A$18,Games!$F$2:$F$18,"Missing game",0)</x:f>
        <x:v>Sunday</x:v>
      </x:c>
      <x:c r="AL1334" t="str">
        <x:f>_xlfn.XLOOKUP($A1334,Games!$A$2:$A$18,Games!$G$2:$G$18,"Missing game",0)</x:f>
        <x:v>MIN</x:v>
      </x:c>
      <x:c r="AM1334" t="n">
        <x:f>_xlfn.XLOOKUP($A1334,Games!$A$2:$A$18,Games!$H$2:$H$18,"Missing game",0)</x:f>
        <x:v>27</x:v>
      </x:c>
      <x:c r="AN1334" t="str">
        <x:f>_xlfn.XLOOKUP($A1334,Games!$A$2:$A$18,Games!$I$2:$I$18,"Missing game",0)</x:f>
        <x:v>DET</x:v>
      </x:c>
      <x:c r="AO1334" t="n">
        <x:f>_xlfn.XLOOKUP($A1334,Games!$A$2:$A$18,Games!$J$2:$J$18,"Missing game",0)</x:f>
        <x:v>24</x:v>
      </x:c>
      <x:c r="AP1334" t="n">
        <x:f>_xlfn.XLOOKUP($A1334,Games!$A$2:$A$18,Games!$K$2:$K$18,"Missing game",0)</x:f>
        <x:v>-3</x:v>
      </x:c>
      <x:c r="AQ1334" t="n">
        <x:f>_xlfn.XLOOKUP($A1334,Games!$A$2:$A$18,Games!$L$2:$L$18,"Missing game",0)</x:f>
        <x:v>51</x:v>
      </x:c>
      <x:c r="AR1334" t="n">
        <x:f>_xlfn.XLOOKUP($A1334,Games!$A$2:$A$18,Games!$M$2:$M$18,"Missing game",0)</x:f>
        <x:v>0</x:v>
      </x:c>
      <x:c r="AS1334" t="str">
        <x:f>_xlfn.XLOOKUP($A1334,Games!$A$2:$A$18,Games!$N$2:$N$18,"Missing game",0)</x:f>
        <x:v>dome</x:v>
      </x:c>
      <x:c r="AT1334" t="str">
        <x:f>_xlfn.XLOOKUP($A1334,Games!$A$2:$A$18,Games!$O$2:$O$18,"Missing game",0)</x:f>
        <x:v>fieldturf</x:v>
      </x:c>
      <x:c r="AU1334" t="str">
        <x:f>_xlfn.XLOOKUP($A1334,Games!$A$2:$A$18,Games!$P$2:$P$18,"Missing game",0)</x:f>
      </x:c>
      <x:c r="AV1334" t="str">
        <x:f>_xlfn.XLOOKUP($A1334,Games!$A$2:$A$18,Games!$Q$2:$Q$18,"Missing game",0)</x:f>
      </x:c>
      <x:c r="AW1334" t="str">
        <x:f>_xlfn.XLOOKUP($A1334,Games!$A$2:$A$18,Games!$R$2:$R$18,"Missing game",0)</x:f>
        <x:v>Ford Field</x:v>
      </x:c>
    </x:row>
    <x:row r="1335">
      <x:c r="A1335" t="str">
        <x:v>2025_09_MIN_DET</x:v>
      </x:c>
      <x:c r="B1335" t="n">
        <x:v>4079</x:v>
      </x:c>
      <x:c r="C1335" t="n">
        <x:v>4</x:v>
      </x:c>
      <x:c r="D1335" t="str">
        <x:v>03:07</x:v>
      </x:c>
      <x:c r="E1335" t="n">
        <x:v>2</x:v>
      </x:c>
      <x:c r="F1335" t="n">
        <x:v>6</x:v>
      </x:c>
      <x:c r="G1335" t="str">
        <x:v>DET</x:v>
      </x:c>
      <x:c r="H1335" t="str">
        <x:v>MIN</x:v>
      </x:c>
      <x:c r="I1335" t="str">
        <x:v>DET</x:v>
      </x:c>
      <x:c r="J1335" t="n">
        <x:v>65</x:v>
      </x:c>
      <x:c r="K1335" t="str">
        <x:v>(3:07) (No Huddle, Shotgun) 16-J.Goff pass deep right to 14-A.St. Brown to MIN 46 for 19 yards (23-F.Moreau).</x:v>
      </x:c>
      <x:c r="L1335" t="str">
        <x:v>pass</x:v>
      </x:c>
      <x:c r="M1335" t="n">
        <x:v>19</x:v>
      </x:c>
      <x:c r="N1335" t="n">
        <x:v>1</x:v>
      </x:c>
      <x:c r="O1335" t="n">
        <x:v>1</x:v>
      </x:c>
      <x:c r="P1335" t="str">
        <x:v>deep</x:v>
      </x:c>
      <x:c r="Q1335" t="str">
        <x:v>right</x:v>
      </x:c>
      <x:c r="R1335" t="n">
        <x:v>18</x:v>
      </x:c>
      <x:c r="S1335" t="n">
        <x:v>1</x:v>
      </x:c>
      <x:c r="T1335"/>
      <x:c r="U1335"/>
      <x:c r="V1335" t="n">
        <x:v>1</x:v>
      </x:c>
      <x:c r="W1335" t="n">
        <x:v>1</x:v>
      </x:c>
      <x:c r="X1335" t="n">
        <x:v>0</x:v>
      </x:c>
      <x:c r="Y1335" t="n">
        <x:v>0</x:v>
      </x:c>
      <x:c r="Z1335" t="n">
        <x:v>0</x:v>
      </x:c>
      <x:c r="AA1335" t="n">
        <x:v>0</x:v>
      </x:c>
      <x:c r="AB1335"/>
      <x:c r="AC1335" t="n">
        <x:v>0</x:v>
      </x:c>
      <x:c r="AD1335" t="n">
        <x:v>1.533294596010819</x:v>
      </x:c>
      <x:c r="AE1335" t="n">
        <x:v>1</x:v>
      </x:c>
      <x:c r="AF1335" t="n">
        <x:v>0.009350039064884186</x:v>
      </x:c>
      <x:c r="AG1335" t="n">
        <x:f>_xlfn.XLOOKUP($A1335,Games!$A$2:$A$18,Games!$B$2:$B$18,"Missing game",0)</x:f>
        <x:v>2025</x:v>
      </x:c>
      <x:c r="AH1335" t="str">
        <x:f>_xlfn.XLOOKUP($A1335,Games!$A$2:$A$18,Games!$C$2:$C$18,"Missing game",0)</x:f>
        <x:v>REG</x:v>
      </x:c>
      <x:c r="AI1335" t="n">
        <x:f>_xlfn.XLOOKUP($A1335,Games!$A$2:$A$18,Games!$D$2:$D$18,"Missing game",0)</x:f>
        <x:v>9</x:v>
      </x:c>
      <x:c r="AJ1335" s="1" t="n">
        <x:f>_xlfn.XLOOKUP($A1335,Games!$A$2:$A$18,Games!$E$2:$E$18,"Missing game",0)</x:f>
        <x:v>45963</x:v>
      </x:c>
      <x:c r="AK1335" t="str">
        <x:f>_xlfn.XLOOKUP($A1335,Games!$A$2:$A$18,Games!$F$2:$F$18,"Missing game",0)</x:f>
        <x:v>Sunday</x:v>
      </x:c>
      <x:c r="AL1335" t="str">
        <x:f>_xlfn.XLOOKUP($A1335,Games!$A$2:$A$18,Games!$G$2:$G$18,"Missing game",0)</x:f>
        <x:v>MIN</x:v>
      </x:c>
      <x:c r="AM1335" t="n">
        <x:f>_xlfn.XLOOKUP($A1335,Games!$A$2:$A$18,Games!$H$2:$H$18,"Missing game",0)</x:f>
        <x:v>27</x:v>
      </x:c>
      <x:c r="AN1335" t="str">
        <x:f>_xlfn.XLOOKUP($A1335,Games!$A$2:$A$18,Games!$I$2:$I$18,"Missing game",0)</x:f>
        <x:v>DET</x:v>
      </x:c>
      <x:c r="AO1335" t="n">
        <x:f>_xlfn.XLOOKUP($A1335,Games!$A$2:$A$18,Games!$J$2:$J$18,"Missing game",0)</x:f>
        <x:v>24</x:v>
      </x:c>
      <x:c r="AP1335" t="n">
        <x:f>_xlfn.XLOOKUP($A1335,Games!$A$2:$A$18,Games!$K$2:$K$18,"Missing game",0)</x:f>
        <x:v>-3</x:v>
      </x:c>
      <x:c r="AQ1335" t="n">
        <x:f>_xlfn.XLOOKUP($A1335,Games!$A$2:$A$18,Games!$L$2:$L$18,"Missing game",0)</x:f>
        <x:v>51</x:v>
      </x:c>
      <x:c r="AR1335" t="n">
        <x:f>_xlfn.XLOOKUP($A1335,Games!$A$2:$A$18,Games!$M$2:$M$18,"Missing game",0)</x:f>
        <x:v>0</x:v>
      </x:c>
      <x:c r="AS1335" t="str">
        <x:f>_xlfn.XLOOKUP($A1335,Games!$A$2:$A$18,Games!$N$2:$N$18,"Missing game",0)</x:f>
        <x:v>dome</x:v>
      </x:c>
      <x:c r="AT1335" t="str">
        <x:f>_xlfn.XLOOKUP($A1335,Games!$A$2:$A$18,Games!$O$2:$O$18,"Missing game",0)</x:f>
        <x:v>fieldturf</x:v>
      </x:c>
      <x:c r="AU1335" t="str">
        <x:f>_xlfn.XLOOKUP($A1335,Games!$A$2:$A$18,Games!$P$2:$P$18,"Missing game",0)</x:f>
      </x:c>
      <x:c r="AV1335" t="str">
        <x:f>_xlfn.XLOOKUP($A1335,Games!$A$2:$A$18,Games!$Q$2:$Q$18,"Missing game",0)</x:f>
      </x:c>
      <x:c r="AW1335" t="str">
        <x:f>_xlfn.XLOOKUP($A1335,Games!$A$2:$A$18,Games!$R$2:$R$18,"Missing game",0)</x:f>
        <x:v>Ford Field</x:v>
      </x:c>
    </x:row>
    <x:row r="1336">
      <x:c r="A1336" t="str">
        <x:v>2025_09_MIN_DET</x:v>
      </x:c>
      <x:c r="B1336" t="n">
        <x:v>4104</x:v>
      </x:c>
      <x:c r="C1336" t="n">
        <x:v>4</x:v>
      </x:c>
      <x:c r="D1336" t="str">
        <x:v>02:48</x:v>
      </x:c>
      <x:c r="E1336" t="n">
        <x:v>1</x:v>
      </x:c>
      <x:c r="F1336" t="n">
        <x:v>10</x:v>
      </x:c>
      <x:c r="G1336" t="str">
        <x:v>DET</x:v>
      </x:c>
      <x:c r="H1336" t="str">
        <x:v>MIN</x:v>
      </x:c>
      <x:c r="I1336" t="str">
        <x:v>MIN</x:v>
      </x:c>
      <x:c r="J1336" t="n">
        <x:v>46</x:v>
      </x:c>
      <x:c r="K1336" t="str">
        <x:v>(2:48) (No Huddle, Shotgun) 16-J.Goff pass short left to 14-A.St. Brown to MIN 38 for 8 yards (2-I.Rodgers).</x:v>
      </x:c>
      <x:c r="L1336" t="str">
        <x:v>pass</x:v>
      </x:c>
      <x:c r="M1336" t="n">
        <x:v>8</x:v>
      </x:c>
      <x:c r="N1336" t="n">
        <x:v>1</x:v>
      </x:c>
      <x:c r="O1336" t="n">
        <x:v>1</x:v>
      </x:c>
      <x:c r="P1336" t="str">
        <x:v>short</x:v>
      </x:c>
      <x:c r="Q1336" t="str">
        <x:v>left</x:v>
      </x:c>
      <x:c r="R1336" t="n">
        <x:v>5</x:v>
      </x:c>
      <x:c r="S1336" t="n">
        <x:v>3</x:v>
      </x:c>
      <x:c r="T1336"/>
      <x:c r="U1336"/>
      <x:c r="V1336" t="n">
        <x:v>1</x:v>
      </x:c>
      <x:c r="W1336" t="n">
        <x:v>0</x:v>
      </x:c>
      <x:c r="X1336" t="n">
        <x:v>0</x:v>
      </x:c>
      <x:c r="Y1336" t="n">
        <x:v>0</x:v>
      </x:c>
      <x:c r="Z1336" t="n">
        <x:v>0</x:v>
      </x:c>
      <x:c r="AA1336" t="n">
        <x:v>0</x:v>
      </x:c>
      <x:c r="AB1336"/>
      <x:c r="AC1336" t="n">
        <x:v>0</x:v>
      </x:c>
      <x:c r="AD1336" t="n">
        <x:v>0.5194897834444419</x:v>
      </x:c>
      <x:c r="AE1336" t="n">
        <x:v>1</x:v>
      </x:c>
      <x:c r="AF1336" t="n">
        <x:v>0.001467771828174591</x:v>
      </x:c>
      <x:c r="AG1336" t="n">
        <x:f>_xlfn.XLOOKUP($A1336,Games!$A$2:$A$18,Games!$B$2:$B$18,"Missing game",0)</x:f>
        <x:v>2025</x:v>
      </x:c>
      <x:c r="AH1336" t="str">
        <x:f>_xlfn.XLOOKUP($A1336,Games!$A$2:$A$18,Games!$C$2:$C$18,"Missing game",0)</x:f>
        <x:v>REG</x:v>
      </x:c>
      <x:c r="AI1336" t="n">
        <x:f>_xlfn.XLOOKUP($A1336,Games!$A$2:$A$18,Games!$D$2:$D$18,"Missing game",0)</x:f>
        <x:v>9</x:v>
      </x:c>
      <x:c r="AJ1336" s="1" t="n">
        <x:f>_xlfn.XLOOKUP($A1336,Games!$A$2:$A$18,Games!$E$2:$E$18,"Missing game",0)</x:f>
        <x:v>45963</x:v>
      </x:c>
      <x:c r="AK1336" t="str">
        <x:f>_xlfn.XLOOKUP($A1336,Games!$A$2:$A$18,Games!$F$2:$F$18,"Missing game",0)</x:f>
        <x:v>Sunday</x:v>
      </x:c>
      <x:c r="AL1336" t="str">
        <x:f>_xlfn.XLOOKUP($A1336,Games!$A$2:$A$18,Games!$G$2:$G$18,"Missing game",0)</x:f>
        <x:v>MIN</x:v>
      </x:c>
      <x:c r="AM1336" t="n">
        <x:f>_xlfn.XLOOKUP($A1336,Games!$A$2:$A$18,Games!$H$2:$H$18,"Missing game",0)</x:f>
        <x:v>27</x:v>
      </x:c>
      <x:c r="AN1336" t="str">
        <x:f>_xlfn.XLOOKUP($A1336,Games!$A$2:$A$18,Games!$I$2:$I$18,"Missing game",0)</x:f>
        <x:v>DET</x:v>
      </x:c>
      <x:c r="AO1336" t="n">
        <x:f>_xlfn.XLOOKUP($A1336,Games!$A$2:$A$18,Games!$J$2:$J$18,"Missing game",0)</x:f>
        <x:v>24</x:v>
      </x:c>
      <x:c r="AP1336" t="n">
        <x:f>_xlfn.XLOOKUP($A1336,Games!$A$2:$A$18,Games!$K$2:$K$18,"Missing game",0)</x:f>
        <x:v>-3</x:v>
      </x:c>
      <x:c r="AQ1336" t="n">
        <x:f>_xlfn.XLOOKUP($A1336,Games!$A$2:$A$18,Games!$L$2:$L$18,"Missing game",0)</x:f>
        <x:v>51</x:v>
      </x:c>
      <x:c r="AR1336" t="n">
        <x:f>_xlfn.XLOOKUP($A1336,Games!$A$2:$A$18,Games!$M$2:$M$18,"Missing game",0)</x:f>
        <x:v>0</x:v>
      </x:c>
      <x:c r="AS1336" t="str">
        <x:f>_xlfn.XLOOKUP($A1336,Games!$A$2:$A$18,Games!$N$2:$N$18,"Missing game",0)</x:f>
        <x:v>dome</x:v>
      </x:c>
      <x:c r="AT1336" t="str">
        <x:f>_xlfn.XLOOKUP($A1336,Games!$A$2:$A$18,Games!$O$2:$O$18,"Missing game",0)</x:f>
        <x:v>fieldturf</x:v>
      </x:c>
      <x:c r="AU1336" t="str">
        <x:f>_xlfn.XLOOKUP($A1336,Games!$A$2:$A$18,Games!$P$2:$P$18,"Missing game",0)</x:f>
      </x:c>
      <x:c r="AV1336" t="str">
        <x:f>_xlfn.XLOOKUP($A1336,Games!$A$2:$A$18,Games!$Q$2:$Q$18,"Missing game",0)</x:f>
      </x:c>
      <x:c r="AW1336" t="str">
        <x:f>_xlfn.XLOOKUP($A1336,Games!$A$2:$A$18,Games!$R$2:$R$18,"Missing game",0)</x:f>
        <x:v>Ford Field</x:v>
      </x:c>
    </x:row>
    <x:row r="1337">
      <x:c r="A1337" t="str">
        <x:v>2025_09_MIN_DET</x:v>
      </x:c>
      <x:c r="B1337" t="n">
        <x:v>4129</x:v>
      </x:c>
      <x:c r="C1337" t="n">
        <x:v>4</x:v>
      </x:c>
      <x:c r="D1337" t="str">
        <x:v>02:22</x:v>
      </x:c>
      <x:c r="E1337" t="n">
        <x:v>2</x:v>
      </x:c>
      <x:c r="F1337" t="n">
        <x:v>2</x:v>
      </x:c>
      <x:c r="G1337" t="str">
        <x:v>DET</x:v>
      </x:c>
      <x:c r="H1337" t="str">
        <x:v>MIN</x:v>
      </x:c>
      <x:c r="I1337" t="str">
        <x:v>MIN</x:v>
      </x:c>
      <x:c r="J1337" t="n">
        <x:v>38</x:v>
      </x:c>
      <x:c r="K1337" t="str">
        <x:v>(2:22) (No Huddle, Shotgun) 0-J.Gibbs right tackle to MIN 37 for 1 yard (93-J.Allen).</x:v>
      </x:c>
      <x:c r="L1337" t="str">
        <x:v>run</x:v>
      </x:c>
      <x:c r="M1337" t="n">
        <x:v>1</x:v>
      </x:c>
      <x:c r="N1337" t="n">
        <x:v>1</x:v>
      </x:c>
      <x:c r="O1337" t="n">
        <x:v>1</x:v>
      </x:c>
      <x:c r="P1337"/>
      <x:c r="Q1337"/>
      <x:c r="R1337"/>
      <x:c r="S1337"/>
      <x:c r="T1337" t="str">
        <x:v>right</x:v>
      </x:c>
      <x:c r="U1337" t="str">
        <x:v>tackle</x:v>
      </x:c>
      <x:c r="V1337" t="n">
        <x:v>0</x:v>
      </x:c>
      <x:c r="W1337" t="n">
        <x:v>0</x:v>
      </x:c>
      <x:c r="X1337" t="n">
        <x:v>0</x:v>
      </x:c>
      <x:c r="Y1337" t="n">
        <x:v>0</x:v>
      </x:c>
      <x:c r="Z1337" t="n">
        <x:v>0</x:v>
      </x:c>
      <x:c r="AA1337" t="n">
        <x:v>0</x:v>
      </x:c>
      <x:c r="AB1337"/>
      <x:c r="AC1337" t="n">
        <x:v>0</x:v>
      </x:c>
      <x:c r="AD1337" t="n">
        <x:v>-0.2580850424710661</x:v>
      </x:c>
      <x:c r="AE1337" t="n">
        <x:v>0</x:v>
      </x:c>
      <x:c r="AF1337" t="n">
        <x:v>-0.010718077421188354</x:v>
      </x:c>
      <x:c r="AG1337" t="n">
        <x:f>_xlfn.XLOOKUP($A1337,Games!$A$2:$A$18,Games!$B$2:$B$18,"Missing game",0)</x:f>
        <x:v>2025</x:v>
      </x:c>
      <x:c r="AH1337" t="str">
        <x:f>_xlfn.XLOOKUP($A1337,Games!$A$2:$A$18,Games!$C$2:$C$18,"Missing game",0)</x:f>
        <x:v>REG</x:v>
      </x:c>
      <x:c r="AI1337" t="n">
        <x:f>_xlfn.XLOOKUP($A1337,Games!$A$2:$A$18,Games!$D$2:$D$18,"Missing game",0)</x:f>
        <x:v>9</x:v>
      </x:c>
      <x:c r="AJ1337" s="1" t="n">
        <x:f>_xlfn.XLOOKUP($A1337,Games!$A$2:$A$18,Games!$E$2:$E$18,"Missing game",0)</x:f>
        <x:v>45963</x:v>
      </x:c>
      <x:c r="AK1337" t="str">
        <x:f>_xlfn.XLOOKUP($A1337,Games!$A$2:$A$18,Games!$F$2:$F$18,"Missing game",0)</x:f>
        <x:v>Sunday</x:v>
      </x:c>
      <x:c r="AL1337" t="str">
        <x:f>_xlfn.XLOOKUP($A1337,Games!$A$2:$A$18,Games!$G$2:$G$18,"Missing game",0)</x:f>
        <x:v>MIN</x:v>
      </x:c>
      <x:c r="AM1337" t="n">
        <x:f>_xlfn.XLOOKUP($A1337,Games!$A$2:$A$18,Games!$H$2:$H$18,"Missing game",0)</x:f>
        <x:v>27</x:v>
      </x:c>
      <x:c r="AN1337" t="str">
        <x:f>_xlfn.XLOOKUP($A1337,Games!$A$2:$A$18,Games!$I$2:$I$18,"Missing game",0)</x:f>
        <x:v>DET</x:v>
      </x:c>
      <x:c r="AO1337" t="n">
        <x:f>_xlfn.XLOOKUP($A1337,Games!$A$2:$A$18,Games!$J$2:$J$18,"Missing game",0)</x:f>
        <x:v>24</x:v>
      </x:c>
      <x:c r="AP1337" t="n">
        <x:f>_xlfn.XLOOKUP($A1337,Games!$A$2:$A$18,Games!$K$2:$K$18,"Missing game",0)</x:f>
        <x:v>-3</x:v>
      </x:c>
      <x:c r="AQ1337" t="n">
        <x:f>_xlfn.XLOOKUP($A1337,Games!$A$2:$A$18,Games!$L$2:$L$18,"Missing game",0)</x:f>
        <x:v>51</x:v>
      </x:c>
      <x:c r="AR1337" t="n">
        <x:f>_xlfn.XLOOKUP($A1337,Games!$A$2:$A$18,Games!$M$2:$M$18,"Missing game",0)</x:f>
        <x:v>0</x:v>
      </x:c>
      <x:c r="AS1337" t="str">
        <x:f>_xlfn.XLOOKUP($A1337,Games!$A$2:$A$18,Games!$N$2:$N$18,"Missing game",0)</x:f>
        <x:v>dome</x:v>
      </x:c>
      <x:c r="AT1337" t="str">
        <x:f>_xlfn.XLOOKUP($A1337,Games!$A$2:$A$18,Games!$O$2:$O$18,"Missing game",0)</x:f>
        <x:v>fieldturf</x:v>
      </x:c>
      <x:c r="AU1337" t="str">
        <x:f>_xlfn.XLOOKUP($A1337,Games!$A$2:$A$18,Games!$P$2:$P$18,"Missing game",0)</x:f>
      </x:c>
      <x:c r="AV1337" t="str">
        <x:f>_xlfn.XLOOKUP($A1337,Games!$A$2:$A$18,Games!$Q$2:$Q$18,"Missing game",0)</x:f>
      </x:c>
      <x:c r="AW1337" t="str">
        <x:f>_xlfn.XLOOKUP($A1337,Games!$A$2:$A$18,Games!$R$2:$R$18,"Missing game",0)</x:f>
        <x:v>Ford Field</x:v>
      </x:c>
    </x:row>
    <x:row r="1338">
      <x:c r="A1338" t="str">
        <x:v>2025_09_MIN_DET</x:v>
      </x:c>
      <x:c r="B1338" t="n">
        <x:v>4151</x:v>
      </x:c>
      <x:c r="C1338" t="n">
        <x:v>4</x:v>
      </x:c>
      <x:c r="D1338" t="str">
        <x:v>02:00</x:v>
      </x:c>
      <x:c r="E1338" t="n">
        <x:v>3</x:v>
      </x:c>
      <x:c r="F1338" t="n">
        <x:v>1</x:v>
      </x:c>
      <x:c r="G1338" t="str">
        <x:v>DET</x:v>
      </x:c>
      <x:c r="H1338" t="str">
        <x:v>MIN</x:v>
      </x:c>
      <x:c r="I1338" t="str">
        <x:v>MIN</x:v>
      </x:c>
      <x:c r="J1338" t="n">
        <x:v>37</x:v>
      </x:c>
      <x:c r="K1338" t="str">
        <x:v>(2:00) (Shotgun) 16-J.Goff pass deep left to 1-J.Williams pushed ob at MIN 3 for 34 yards (2-I.Rodgers). The Replay Official reviewed the short of the goal line ruling, and the play was REVERSED. (Shotgun) 16-J.Goff pass deep left to 1-J.Williams for 37 yards, TOUCHDOWN.</x:v>
      </x:c>
      <x:c r="L1338" t="str">
        <x:v>pass</x:v>
      </x:c>
      <x:c r="M1338" t="n">
        <x:v>37</x:v>
      </x:c>
      <x:c r="N1338" t="n">
        <x:v>1</x:v>
      </x:c>
      <x:c r="O1338" t="n">
        <x:v>0</x:v>
      </x:c>
      <x:c r="P1338" t="str">
        <x:v>deep</x:v>
      </x:c>
      <x:c r="Q1338" t="str">
        <x:v>left</x:v>
      </x:c>
      <x:c r="R1338" t="n">
        <x:v>28</x:v>
      </x:c>
      <x:c r="S1338" t="n">
        <x:v>9</x:v>
      </x:c>
      <x:c r="T1338"/>
      <x:c r="U1338"/>
      <x:c r="V1338" t="n">
        <x:v>1</x:v>
      </x:c>
      <x:c r="W1338" t="n">
        <x:v>1</x:v>
      </x:c>
      <x:c r="X1338" t="n">
        <x:v>0</x:v>
      </x:c>
      <x:c r="Y1338" t="n">
        <x:v>0</x:v>
      </x:c>
      <x:c r="Z1338" t="n">
        <x:v>0</x:v>
      </x:c>
      <x:c r="AA1338" t="n">
        <x:v>0</x:v>
      </x:c>
      <x:c r="AB1338"/>
      <x:c r="AC1338" t="n">
        <x:v>1</x:v>
      </x:c>
      <x:c r="AD1338" t="n">
        <x:v>4.008145393338054</x:v>
      </x:c>
      <x:c r="AE1338" t="n">
        <x:v>1</x:v>
      </x:c>
      <x:c r="AF1338" t="n">
        <x:v>0.0676299062123924</x:v>
      </x:c>
      <x:c r="AG1338" t="n">
        <x:f>_xlfn.XLOOKUP($A1338,Games!$A$2:$A$18,Games!$B$2:$B$18,"Missing game",0)</x:f>
        <x:v>2025</x:v>
      </x:c>
      <x:c r="AH1338" t="str">
        <x:f>_xlfn.XLOOKUP($A1338,Games!$A$2:$A$18,Games!$C$2:$C$18,"Missing game",0)</x:f>
        <x:v>REG</x:v>
      </x:c>
      <x:c r="AI1338" t="n">
        <x:f>_xlfn.XLOOKUP($A1338,Games!$A$2:$A$18,Games!$D$2:$D$18,"Missing game",0)</x:f>
        <x:v>9</x:v>
      </x:c>
      <x:c r="AJ1338" s="1" t="n">
        <x:f>_xlfn.XLOOKUP($A1338,Games!$A$2:$A$18,Games!$E$2:$E$18,"Missing game",0)</x:f>
        <x:v>45963</x:v>
      </x:c>
      <x:c r="AK1338" t="str">
        <x:f>_xlfn.XLOOKUP($A1338,Games!$A$2:$A$18,Games!$F$2:$F$18,"Missing game",0)</x:f>
        <x:v>Sunday</x:v>
      </x:c>
      <x:c r="AL1338" t="str">
        <x:f>_xlfn.XLOOKUP($A1338,Games!$A$2:$A$18,Games!$G$2:$G$18,"Missing game",0)</x:f>
        <x:v>MIN</x:v>
      </x:c>
      <x:c r="AM1338" t="n">
        <x:f>_xlfn.XLOOKUP($A1338,Games!$A$2:$A$18,Games!$H$2:$H$18,"Missing game",0)</x:f>
        <x:v>27</x:v>
      </x:c>
      <x:c r="AN1338" t="str">
        <x:f>_xlfn.XLOOKUP($A1338,Games!$A$2:$A$18,Games!$I$2:$I$18,"Missing game",0)</x:f>
        <x:v>DET</x:v>
      </x:c>
      <x:c r="AO1338" t="n">
        <x:f>_xlfn.XLOOKUP($A1338,Games!$A$2:$A$18,Games!$J$2:$J$18,"Missing game",0)</x:f>
        <x:v>24</x:v>
      </x:c>
      <x:c r="AP1338" t="n">
        <x:f>_xlfn.XLOOKUP($A1338,Games!$A$2:$A$18,Games!$K$2:$K$18,"Missing game",0)</x:f>
        <x:v>-3</x:v>
      </x:c>
      <x:c r="AQ1338" t="n">
        <x:f>_xlfn.XLOOKUP($A1338,Games!$A$2:$A$18,Games!$L$2:$L$18,"Missing game",0)</x:f>
        <x:v>51</x:v>
      </x:c>
      <x:c r="AR1338" t="n">
        <x:f>_xlfn.XLOOKUP($A1338,Games!$A$2:$A$18,Games!$M$2:$M$18,"Missing game",0)</x:f>
        <x:v>0</x:v>
      </x:c>
      <x:c r="AS1338" t="str">
        <x:f>_xlfn.XLOOKUP($A1338,Games!$A$2:$A$18,Games!$N$2:$N$18,"Missing game",0)</x:f>
        <x:v>dome</x:v>
      </x:c>
      <x:c r="AT1338" t="str">
        <x:f>_xlfn.XLOOKUP($A1338,Games!$A$2:$A$18,Games!$O$2:$O$18,"Missing game",0)</x:f>
        <x:v>fieldturf</x:v>
      </x:c>
      <x:c r="AU1338" t="str">
        <x:f>_xlfn.XLOOKUP($A1338,Games!$A$2:$A$18,Games!$P$2:$P$18,"Missing game",0)</x:f>
      </x:c>
      <x:c r="AV1338" t="str">
        <x:f>_xlfn.XLOOKUP($A1338,Games!$A$2:$A$18,Games!$Q$2:$Q$18,"Missing game",0)</x:f>
      </x:c>
      <x:c r="AW1338" t="str">
        <x:f>_xlfn.XLOOKUP($A1338,Games!$A$2:$A$18,Games!$R$2:$R$18,"Missing game",0)</x:f>
        <x:v>Ford Field</x:v>
      </x:c>
    </x:row>
    <x:row r="1339">
      <x:c r="A1339" t="str">
        <x:v>2025_09_MIN_DET</x:v>
      </x:c>
      <x:c r="B1339" t="n">
        <x:v>4188</x:v>
      </x:c>
      <x:c r="C1339" t="n">
        <x:v>4</x:v>
      </x:c>
      <x:c r="D1339" t="str">
        <x:v>01:55</x:v>
      </x:c>
      <x:c r="E1339"/>
      <x:c r="F1339" t="n">
        <x:v>0</x:v>
      </x:c>
      <x:c r="G1339" t="str">
        <x:v>DET</x:v>
      </x:c>
      <x:c r="H1339" t="str">
        <x:v>MIN</x:v>
      </x:c>
      <x:c r="I1339" t="str">
        <x:v>MIN</x:v>
      </x:c>
      <x:c r="J1339" t="n">
        <x:v>15</x:v>
      </x:c>
      <x:c r="K1339" t="str">
        <x:v>39-J.Bates extra point is GOOD, Center-49-H.Hatten, Holder-3-J.Fox.</x:v>
      </x:c>
      <x:c r="L1339" t="str">
        <x:v>extra_point</x:v>
      </x:c>
      <x:c r="M1339" t="n">
        <x:v>0</x:v>
      </x:c>
      <x:c r="N1339" t="n">
        <x:v>0</x:v>
      </x:c>
      <x:c r="O1339" t="n">
        <x:v>0</x:v>
      </x:c>
      <x:c r="P1339"/>
      <x:c r="Q1339"/>
      <x:c r="R1339"/>
      <x:c r="S1339"/>
      <x:c r="T1339"/>
      <x:c r="U1339"/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0</x:v>
      </x:c>
      <x:c r="AB1339"/>
      <x:c r="AC1339" t="n">
        <x:v>0</x:v>
      </x:c>
      <x:c r="AD1339" t="n">
        <x:v>0.05117156607063911</x:v>
      </x:c>
      <x:c r="AE1339" t="n">
        <x:v>1</x:v>
      </x:c>
      <x:c r="AF1339" t="n">
        <x:v>0.001300220514234951</x:v>
      </x:c>
      <x:c r="AG1339" t="n">
        <x:f>_xlfn.XLOOKUP($A1339,Games!$A$2:$A$18,Games!$B$2:$B$18,"Missing game",0)</x:f>
        <x:v>2025</x:v>
      </x:c>
      <x:c r="AH1339" t="str">
        <x:f>_xlfn.XLOOKUP($A1339,Games!$A$2:$A$18,Games!$C$2:$C$18,"Missing game",0)</x:f>
        <x:v>REG</x:v>
      </x:c>
      <x:c r="AI1339" t="n">
        <x:f>_xlfn.XLOOKUP($A1339,Games!$A$2:$A$18,Games!$D$2:$D$18,"Missing game",0)</x:f>
        <x:v>9</x:v>
      </x:c>
      <x:c r="AJ1339" s="1" t="n">
        <x:f>_xlfn.XLOOKUP($A1339,Games!$A$2:$A$18,Games!$E$2:$E$18,"Missing game",0)</x:f>
        <x:v>45963</x:v>
      </x:c>
      <x:c r="AK1339" t="str">
        <x:f>_xlfn.XLOOKUP($A1339,Games!$A$2:$A$18,Games!$F$2:$F$18,"Missing game",0)</x:f>
        <x:v>Sunday</x:v>
      </x:c>
      <x:c r="AL1339" t="str">
        <x:f>_xlfn.XLOOKUP($A1339,Games!$A$2:$A$18,Games!$G$2:$G$18,"Missing game",0)</x:f>
        <x:v>MIN</x:v>
      </x:c>
      <x:c r="AM1339" t="n">
        <x:f>_xlfn.XLOOKUP($A1339,Games!$A$2:$A$18,Games!$H$2:$H$18,"Missing game",0)</x:f>
        <x:v>27</x:v>
      </x:c>
      <x:c r="AN1339" t="str">
        <x:f>_xlfn.XLOOKUP($A1339,Games!$A$2:$A$18,Games!$I$2:$I$18,"Missing game",0)</x:f>
        <x:v>DET</x:v>
      </x:c>
      <x:c r="AO1339" t="n">
        <x:f>_xlfn.XLOOKUP($A1339,Games!$A$2:$A$18,Games!$J$2:$J$18,"Missing game",0)</x:f>
        <x:v>24</x:v>
      </x:c>
      <x:c r="AP1339" t="n">
        <x:f>_xlfn.XLOOKUP($A1339,Games!$A$2:$A$18,Games!$K$2:$K$18,"Missing game",0)</x:f>
        <x:v>-3</x:v>
      </x:c>
      <x:c r="AQ1339" t="n">
        <x:f>_xlfn.XLOOKUP($A1339,Games!$A$2:$A$18,Games!$L$2:$L$18,"Missing game",0)</x:f>
        <x:v>51</x:v>
      </x:c>
      <x:c r="AR1339" t="n">
        <x:f>_xlfn.XLOOKUP($A1339,Games!$A$2:$A$18,Games!$M$2:$M$18,"Missing game",0)</x:f>
        <x:v>0</x:v>
      </x:c>
      <x:c r="AS1339" t="str">
        <x:f>_xlfn.XLOOKUP($A1339,Games!$A$2:$A$18,Games!$N$2:$N$18,"Missing game",0)</x:f>
        <x:v>dome</x:v>
      </x:c>
      <x:c r="AT1339" t="str">
        <x:f>_xlfn.XLOOKUP($A1339,Games!$A$2:$A$18,Games!$O$2:$O$18,"Missing game",0)</x:f>
        <x:v>fieldturf</x:v>
      </x:c>
      <x:c r="AU1339" t="str">
        <x:f>_xlfn.XLOOKUP($A1339,Games!$A$2:$A$18,Games!$P$2:$P$18,"Missing game",0)</x:f>
      </x:c>
      <x:c r="AV1339" t="str">
        <x:f>_xlfn.XLOOKUP($A1339,Games!$A$2:$A$18,Games!$Q$2:$Q$18,"Missing game",0)</x:f>
      </x:c>
      <x:c r="AW1339" t="str">
        <x:f>_xlfn.XLOOKUP($A1339,Games!$A$2:$A$18,Games!$R$2:$R$18,"Missing game",0)</x:f>
        <x:v>Ford Field</x:v>
      </x:c>
    </x:row>
    <x:row r="1340">
      <x:c r="A1340" t="str">
        <x:v>2025_09_MIN_DET</x:v>
      </x:c>
      <x:c r="B1340" t="n">
        <x:v>4245</x:v>
      </x:c>
      <x:c r="C1340" t="n">
        <x:v>4</x:v>
      </x:c>
      <x:c r="D1340" t="str">
        <x:v>01:55</x:v>
      </x:c>
      <x:c r="E1340"/>
      <x:c r="F1340" t="n">
        <x:v>0</x:v>
      </x:c>
      <x:c r="G1340" t="str">
        <x:v>MIN</x:v>
      </x:c>
      <x:c r="H1340" t="str">
        <x:v>DET</x:v>
      </x:c>
      <x:c r="I1340" t="str">
        <x:v>DET</x:v>
      </x:c>
      <x:c r="J1340" t="n">
        <x:v>35</x:v>
      </x:c>
      <x:c r="K1340" t="str">
        <x:v>39-J.Bates kicks 63 yards from DET 35 to MIN 2. 4-M.Price to MIN 23 for 21 yards (95-P.O'Connor; 99-T.Wheat).</x:v>
      </x:c>
      <x:c r="L1340" t="str">
        <x:v>kickoff</x:v>
      </x:c>
      <x:c r="M1340" t="n">
        <x:v>0</x:v>
      </x:c>
      <x:c r="N1340" t="n">
        <x:v>0</x:v>
      </x:c>
      <x:c r="O1340" t="n">
        <x:v>0</x:v>
      </x:c>
      <x:c r="P1340"/>
      <x:c r="Q1340"/>
      <x:c r="R1340"/>
      <x:c r="S1340"/>
      <x:c r="T1340"/>
      <x:c r="U1340"/>
      <x:c r="V1340" t="n">
        <x:v>0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0</x:v>
      </x:c>
      <x:c r="AB1340"/>
      <x:c r="AC1340" t="n">
        <x:v>0</x:v>
      </x:c>
      <x:c r="AD1340" t="n">
        <x:v>-0.14115563733503222</x:v>
      </x:c>
      <x:c r="AE1340" t="n">
        <x:v>0</x:v>
      </x:c>
      <x:c r="AF1340" t="n">
        <x:v>-0.0009271502494812012</x:v>
      </x:c>
      <x:c r="AG1340" t="n">
        <x:f>_xlfn.XLOOKUP($A1340,Games!$A$2:$A$18,Games!$B$2:$B$18,"Missing game",0)</x:f>
        <x:v>2025</x:v>
      </x:c>
      <x:c r="AH1340" t="str">
        <x:f>_xlfn.XLOOKUP($A1340,Games!$A$2:$A$18,Games!$C$2:$C$18,"Missing game",0)</x:f>
        <x:v>REG</x:v>
      </x:c>
      <x:c r="AI1340" t="n">
        <x:f>_xlfn.XLOOKUP($A1340,Games!$A$2:$A$18,Games!$D$2:$D$18,"Missing game",0)</x:f>
        <x:v>9</x:v>
      </x:c>
      <x:c r="AJ1340" s="1" t="n">
        <x:f>_xlfn.XLOOKUP($A1340,Games!$A$2:$A$18,Games!$E$2:$E$18,"Missing game",0)</x:f>
        <x:v>45963</x:v>
      </x:c>
      <x:c r="AK1340" t="str">
        <x:f>_xlfn.XLOOKUP($A1340,Games!$A$2:$A$18,Games!$F$2:$F$18,"Missing game",0)</x:f>
        <x:v>Sunday</x:v>
      </x:c>
      <x:c r="AL1340" t="str">
        <x:f>_xlfn.XLOOKUP($A1340,Games!$A$2:$A$18,Games!$G$2:$G$18,"Missing game",0)</x:f>
        <x:v>MIN</x:v>
      </x:c>
      <x:c r="AM1340" t="n">
        <x:f>_xlfn.XLOOKUP($A1340,Games!$A$2:$A$18,Games!$H$2:$H$18,"Missing game",0)</x:f>
        <x:v>27</x:v>
      </x:c>
      <x:c r="AN1340" t="str">
        <x:f>_xlfn.XLOOKUP($A1340,Games!$A$2:$A$18,Games!$I$2:$I$18,"Missing game",0)</x:f>
        <x:v>DET</x:v>
      </x:c>
      <x:c r="AO1340" t="n">
        <x:f>_xlfn.XLOOKUP($A1340,Games!$A$2:$A$18,Games!$J$2:$J$18,"Missing game",0)</x:f>
        <x:v>24</x:v>
      </x:c>
      <x:c r="AP1340" t="n">
        <x:f>_xlfn.XLOOKUP($A1340,Games!$A$2:$A$18,Games!$K$2:$K$18,"Missing game",0)</x:f>
        <x:v>-3</x:v>
      </x:c>
      <x:c r="AQ1340" t="n">
        <x:f>_xlfn.XLOOKUP($A1340,Games!$A$2:$A$18,Games!$L$2:$L$18,"Missing game",0)</x:f>
        <x:v>51</x:v>
      </x:c>
      <x:c r="AR1340" t="n">
        <x:f>_xlfn.XLOOKUP($A1340,Games!$A$2:$A$18,Games!$M$2:$M$18,"Missing game",0)</x:f>
        <x:v>0</x:v>
      </x:c>
      <x:c r="AS1340" t="str">
        <x:f>_xlfn.XLOOKUP($A1340,Games!$A$2:$A$18,Games!$N$2:$N$18,"Missing game",0)</x:f>
        <x:v>dome</x:v>
      </x:c>
      <x:c r="AT1340" t="str">
        <x:f>_xlfn.XLOOKUP($A1340,Games!$A$2:$A$18,Games!$O$2:$O$18,"Missing game",0)</x:f>
        <x:v>fieldturf</x:v>
      </x:c>
      <x:c r="AU1340" t="str">
        <x:f>_xlfn.XLOOKUP($A1340,Games!$A$2:$A$18,Games!$P$2:$P$18,"Missing game",0)</x:f>
      </x:c>
      <x:c r="AV1340" t="str">
        <x:f>_xlfn.XLOOKUP($A1340,Games!$A$2:$A$18,Games!$Q$2:$Q$18,"Missing game",0)</x:f>
      </x:c>
      <x:c r="AW1340" t="str">
        <x:f>_xlfn.XLOOKUP($A1340,Games!$A$2:$A$18,Games!$R$2:$R$18,"Missing game",0)</x:f>
        <x:v>Ford Field</x:v>
      </x:c>
    </x:row>
    <x:row r="1341">
      <x:c r="A1341" t="str">
        <x:v>2025_09_MIN_DET</x:v>
      </x:c>
      <x:c r="B1341" t="n">
        <x:v>4268</x:v>
      </x:c>
      <x:c r="C1341" t="n">
        <x:v>4</x:v>
      </x:c>
      <x:c r="D1341" t="str">
        <x:v>01:51</x:v>
      </x:c>
      <x:c r="E1341" t="n">
        <x:v>1</x:v>
      </x:c>
      <x:c r="F1341" t="n">
        <x:v>10</x:v>
      </x:c>
      <x:c r="G1341" t="str">
        <x:v>MIN</x:v>
      </x:c>
      <x:c r="H1341" t="str">
        <x:v>DET</x:v>
      </x:c>
      <x:c r="I1341" t="str">
        <x:v>MIN</x:v>
      </x:c>
      <x:c r="J1341" t="n">
        <x:v>77</x:v>
      </x:c>
      <x:c r="K1341" t="str">
        <x:v>(1:51) 9-J.McCarthy up the middle to MIN 27 for 4 yards (54-A.McNeill).</x:v>
      </x:c>
      <x:c r="L1341" t="str">
        <x:v>run</x:v>
      </x:c>
      <x:c r="M1341" t="n">
        <x:v>4</x:v>
      </x:c>
      <x:c r="N1341" t="n">
        <x:v>0</x:v>
      </x:c>
      <x:c r="O1341" t="n">
        <x:v>0</x:v>
      </x:c>
      <x:c r="P1341"/>
      <x:c r="Q1341"/>
      <x:c r="R1341"/>
      <x:c r="S1341"/>
      <x:c r="T1341" t="str">
        <x:v>middle</x:v>
      </x:c>
      <x:c r="U1341"/>
      <x:c r="V1341" t="n">
        <x:v>0</x:v>
      </x:c>
      <x:c r="W1341" t="n">
        <x:v>0</x:v>
      </x:c>
      <x:c r="X1341" t="n">
        <x:v>0</x:v>
      </x:c>
      <x:c r="Y1341" t="n">
        <x:v>0</x:v>
      </x:c>
      <x:c r="Z1341" t="n">
        <x:v>0</x:v>
      </x:c>
      <x:c r="AA1341" t="n">
        <x:v>0</x:v>
      </x:c>
      <x:c r="AB1341"/>
      <x:c r="AC1341" t="n">
        <x:v>0</x:v>
      </x:c>
      <x:c r="AD1341" t="n">
        <x:v>0.01667647308204323</x:v>
      </x:c>
      <x:c r="AE1341" t="n">
        <x:v>1</x:v>
      </x:c>
      <x:c r="AF1341" t="n">
        <x:v>-0.0035997629165649414</x:v>
      </x:c>
      <x:c r="AG1341" t="n">
        <x:f>_xlfn.XLOOKUP($A1341,Games!$A$2:$A$18,Games!$B$2:$B$18,"Missing game",0)</x:f>
        <x:v>2025</x:v>
      </x:c>
      <x:c r="AH1341" t="str">
        <x:f>_xlfn.XLOOKUP($A1341,Games!$A$2:$A$18,Games!$C$2:$C$18,"Missing game",0)</x:f>
        <x:v>REG</x:v>
      </x:c>
      <x:c r="AI1341" t="n">
        <x:f>_xlfn.XLOOKUP($A1341,Games!$A$2:$A$18,Games!$D$2:$D$18,"Missing game",0)</x:f>
        <x:v>9</x:v>
      </x:c>
      <x:c r="AJ1341" s="1" t="n">
        <x:f>_xlfn.XLOOKUP($A1341,Games!$A$2:$A$18,Games!$E$2:$E$18,"Missing game",0)</x:f>
        <x:v>45963</x:v>
      </x:c>
      <x:c r="AK1341" t="str">
        <x:f>_xlfn.XLOOKUP($A1341,Games!$A$2:$A$18,Games!$F$2:$F$18,"Missing game",0)</x:f>
        <x:v>Sunday</x:v>
      </x:c>
      <x:c r="AL1341" t="str">
        <x:f>_xlfn.XLOOKUP($A1341,Games!$A$2:$A$18,Games!$G$2:$G$18,"Missing game",0)</x:f>
        <x:v>MIN</x:v>
      </x:c>
      <x:c r="AM1341" t="n">
        <x:f>_xlfn.XLOOKUP($A1341,Games!$A$2:$A$18,Games!$H$2:$H$18,"Missing game",0)</x:f>
        <x:v>27</x:v>
      </x:c>
      <x:c r="AN1341" t="str">
        <x:f>_xlfn.XLOOKUP($A1341,Games!$A$2:$A$18,Games!$I$2:$I$18,"Missing game",0)</x:f>
        <x:v>DET</x:v>
      </x:c>
      <x:c r="AO1341" t="n">
        <x:f>_xlfn.XLOOKUP($A1341,Games!$A$2:$A$18,Games!$J$2:$J$18,"Missing game",0)</x:f>
        <x:v>24</x:v>
      </x:c>
      <x:c r="AP1341" t="n">
        <x:f>_xlfn.XLOOKUP($A1341,Games!$A$2:$A$18,Games!$K$2:$K$18,"Missing game",0)</x:f>
        <x:v>-3</x:v>
      </x:c>
      <x:c r="AQ1341" t="n">
        <x:f>_xlfn.XLOOKUP($A1341,Games!$A$2:$A$18,Games!$L$2:$L$18,"Missing game",0)</x:f>
        <x:v>51</x:v>
      </x:c>
      <x:c r="AR1341" t="n">
        <x:f>_xlfn.XLOOKUP($A1341,Games!$A$2:$A$18,Games!$M$2:$M$18,"Missing game",0)</x:f>
        <x:v>0</x:v>
      </x:c>
      <x:c r="AS1341" t="str">
        <x:f>_xlfn.XLOOKUP($A1341,Games!$A$2:$A$18,Games!$N$2:$N$18,"Missing game",0)</x:f>
        <x:v>dome</x:v>
      </x:c>
      <x:c r="AT1341" t="str">
        <x:f>_xlfn.XLOOKUP($A1341,Games!$A$2:$A$18,Games!$O$2:$O$18,"Missing game",0)</x:f>
        <x:v>fieldturf</x:v>
      </x:c>
      <x:c r="AU1341" t="str">
        <x:f>_xlfn.XLOOKUP($A1341,Games!$A$2:$A$18,Games!$P$2:$P$18,"Missing game",0)</x:f>
      </x:c>
      <x:c r="AV1341" t="str">
        <x:f>_xlfn.XLOOKUP($A1341,Games!$A$2:$A$18,Games!$Q$2:$Q$18,"Missing game",0)</x:f>
      </x:c>
      <x:c r="AW1341" t="str">
        <x:f>_xlfn.XLOOKUP($A1341,Games!$A$2:$A$18,Games!$R$2:$R$18,"Missing game",0)</x:f>
        <x:v>Ford Field</x:v>
      </x:c>
    </x:row>
    <x:row r="1342">
      <x:c r="A1342" t="str">
        <x:v>2025_09_MIN_DET</x:v>
      </x:c>
      <x:c r="B1342" t="n">
        <x:v>4290</x:v>
      </x:c>
      <x:c r="C1342" t="n">
        <x:v>4</x:v>
      </x:c>
      <x:c r="D1342" t="str">
        <x:v>01:45</x:v>
      </x:c>
      <x:c r="E1342" t="n">
        <x:v>2</x:v>
      </x:c>
      <x:c r="F1342" t="n">
        <x:v>6</x:v>
      </x:c>
      <x:c r="G1342" t="str">
        <x:v>MIN</x:v>
      </x:c>
      <x:c r="H1342" t="str">
        <x:v>DET</x:v>
      </x:c>
      <x:c r="I1342" t="str">
        <x:v>MIN</x:v>
      </x:c>
      <x:c r="J1342" t="n">
        <x:v>73</x:v>
      </x:c>
      <x:c r="K1342" t="str">
        <x:v>(1:45) 27-J.Mason up the middle to MIN 28 for 1 yard (6-T.Arnold; 34-A.Anzalone).</x:v>
      </x:c>
      <x:c r="L1342" t="str">
        <x:v>run</x:v>
      </x:c>
      <x:c r="M1342" t="n">
        <x:v>1</x:v>
      </x:c>
      <x:c r="N1342" t="n">
        <x:v>0</x:v>
      </x:c>
      <x:c r="O1342" t="n">
        <x:v>0</x:v>
      </x:c>
      <x:c r="P1342"/>
      <x:c r="Q1342"/>
      <x:c r="R1342"/>
      <x:c r="S1342"/>
      <x:c r="T1342" t="str">
        <x:v>middle</x:v>
      </x:c>
      <x:c r="U1342"/>
      <x:c r="V1342" t="n">
        <x:v>0</x:v>
      </x:c>
      <x:c r="W1342" t="n">
        <x:v>0</x:v>
      </x:c>
      <x:c r="X1342" t="n">
        <x:v>0</x:v>
      </x:c>
      <x:c r="Y1342" t="n">
        <x:v>0</x:v>
      </x:c>
      <x:c r="Z1342" t="n">
        <x:v>0</x:v>
      </x:c>
      <x:c r="AA1342" t="n">
        <x:v>0</x:v>
      </x:c>
      <x:c r="AB1342"/>
      <x:c r="AC1342" t="n">
        <x:v>0</x:v>
      </x:c>
      <x:c r="AD1342" t="n">
        <x:v>-0.28912654030136764</x:v>
      </x:c>
      <x:c r="AE1342" t="n">
        <x:v>0</x:v>
      </x:c>
      <x:c r="AF1342" t="n">
        <x:v>-0.015564262866973877</x:v>
      </x:c>
      <x:c r="AG1342" t="n">
        <x:f>_xlfn.XLOOKUP($A1342,Games!$A$2:$A$18,Games!$B$2:$B$18,"Missing game",0)</x:f>
        <x:v>2025</x:v>
      </x:c>
      <x:c r="AH1342" t="str">
        <x:f>_xlfn.XLOOKUP($A1342,Games!$A$2:$A$18,Games!$C$2:$C$18,"Missing game",0)</x:f>
        <x:v>REG</x:v>
      </x:c>
      <x:c r="AI1342" t="n">
        <x:f>_xlfn.XLOOKUP($A1342,Games!$A$2:$A$18,Games!$D$2:$D$18,"Missing game",0)</x:f>
        <x:v>9</x:v>
      </x:c>
      <x:c r="AJ1342" s="1" t="n">
        <x:f>_xlfn.XLOOKUP($A1342,Games!$A$2:$A$18,Games!$E$2:$E$18,"Missing game",0)</x:f>
        <x:v>45963</x:v>
      </x:c>
      <x:c r="AK1342" t="str">
        <x:f>_xlfn.XLOOKUP($A1342,Games!$A$2:$A$18,Games!$F$2:$F$18,"Missing game",0)</x:f>
        <x:v>Sunday</x:v>
      </x:c>
      <x:c r="AL1342" t="str">
        <x:f>_xlfn.XLOOKUP($A1342,Games!$A$2:$A$18,Games!$G$2:$G$18,"Missing game",0)</x:f>
        <x:v>MIN</x:v>
      </x:c>
      <x:c r="AM1342" t="n">
        <x:f>_xlfn.XLOOKUP($A1342,Games!$A$2:$A$18,Games!$H$2:$H$18,"Missing game",0)</x:f>
        <x:v>27</x:v>
      </x:c>
      <x:c r="AN1342" t="str">
        <x:f>_xlfn.XLOOKUP($A1342,Games!$A$2:$A$18,Games!$I$2:$I$18,"Missing game",0)</x:f>
        <x:v>DET</x:v>
      </x:c>
      <x:c r="AO1342" t="n">
        <x:f>_xlfn.XLOOKUP($A1342,Games!$A$2:$A$18,Games!$J$2:$J$18,"Missing game",0)</x:f>
        <x:v>24</x:v>
      </x:c>
      <x:c r="AP1342" t="n">
        <x:f>_xlfn.XLOOKUP($A1342,Games!$A$2:$A$18,Games!$K$2:$K$18,"Missing game",0)</x:f>
        <x:v>-3</x:v>
      </x:c>
      <x:c r="AQ1342" t="n">
        <x:f>_xlfn.XLOOKUP($A1342,Games!$A$2:$A$18,Games!$L$2:$L$18,"Missing game",0)</x:f>
        <x:v>51</x:v>
      </x:c>
      <x:c r="AR1342" t="n">
        <x:f>_xlfn.XLOOKUP($A1342,Games!$A$2:$A$18,Games!$M$2:$M$18,"Missing game",0)</x:f>
        <x:v>0</x:v>
      </x:c>
      <x:c r="AS1342" t="str">
        <x:f>_xlfn.XLOOKUP($A1342,Games!$A$2:$A$18,Games!$N$2:$N$18,"Missing game",0)</x:f>
        <x:v>dome</x:v>
      </x:c>
      <x:c r="AT1342" t="str">
        <x:f>_xlfn.XLOOKUP($A1342,Games!$A$2:$A$18,Games!$O$2:$O$18,"Missing game",0)</x:f>
        <x:v>fieldturf</x:v>
      </x:c>
      <x:c r="AU1342" t="str">
        <x:f>_xlfn.XLOOKUP($A1342,Games!$A$2:$A$18,Games!$P$2:$P$18,"Missing game",0)</x:f>
      </x:c>
      <x:c r="AV1342" t="str">
        <x:f>_xlfn.XLOOKUP($A1342,Games!$A$2:$A$18,Games!$Q$2:$Q$18,"Missing game",0)</x:f>
      </x:c>
      <x:c r="AW1342" t="str">
        <x:f>_xlfn.XLOOKUP($A1342,Games!$A$2:$A$18,Games!$R$2:$R$18,"Missing game",0)</x:f>
        <x:v>Ford Field</x:v>
      </x:c>
    </x:row>
    <x:row r="1343">
      <x:c r="A1343" t="str">
        <x:v>2025_09_MIN_DET</x:v>
      </x:c>
      <x:c r="B1343" t="n">
        <x:v>4302</x:v>
      </x:c>
      <x:c r="C1343" t="n">
        <x:v>4</x:v>
      </x:c>
      <x:c r="D1343" t="str">
        <x:v>01:45</x:v>
      </x:c>
      <x:c r="E1343"/>
      <x:c r="F1343" t="n">
        <x:v>0</x:v>
      </x:c>
      <x:c r="G1343"/>
      <x:c r="H1343"/>
      <x:c r="I1343"/>
      <x:c r="J1343"/>
      <x:c r="K1343" t="str">
        <x:v>Timeout #1 by DET at 01:45.</x:v>
      </x:c>
      <x:c r="L1343" t="str">
        <x:v>no_play</x:v>
      </x:c>
      <x:c r="M1343" t="n">
        <x:v>0</x:v>
      </x:c>
      <x:c r="N1343" t="n">
        <x:v>0</x:v>
      </x:c>
      <x:c r="O1343" t="n">
        <x:v>0</x:v>
      </x:c>
      <x:c r="P1343"/>
      <x:c r="Q1343"/>
      <x:c r="R1343"/>
      <x:c r="S1343"/>
      <x:c r="T1343"/>
      <x:c r="U1343"/>
      <x:c r="V1343" t="n">
        <x:v>0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0</x:v>
      </x:c>
      <x:c r="AB1343"/>
      <x:c r="AC1343" t="n">
        <x:v>0</x:v>
      </x:c>
      <x:c r="AD1343" t="n">
        <x:v>0</x:v>
      </x:c>
      <x:c r="AE1343" t="n">
        <x:v>0</x:v>
      </x:c>
      <x:c r="AF1343" t="n">
        <x:v>0</x:v>
      </x:c>
      <x:c r="AG1343" t="n">
        <x:f>_xlfn.XLOOKUP($A1343,Games!$A$2:$A$18,Games!$B$2:$B$18,"Missing game",0)</x:f>
        <x:v>2025</x:v>
      </x:c>
      <x:c r="AH1343" t="str">
        <x:f>_xlfn.XLOOKUP($A1343,Games!$A$2:$A$18,Games!$C$2:$C$18,"Missing game",0)</x:f>
        <x:v>REG</x:v>
      </x:c>
      <x:c r="AI1343" t="n">
        <x:f>_xlfn.XLOOKUP($A1343,Games!$A$2:$A$18,Games!$D$2:$D$18,"Missing game",0)</x:f>
        <x:v>9</x:v>
      </x:c>
      <x:c r="AJ1343" s="1" t="n">
        <x:f>_xlfn.XLOOKUP($A1343,Games!$A$2:$A$18,Games!$E$2:$E$18,"Missing game",0)</x:f>
        <x:v>45963</x:v>
      </x:c>
      <x:c r="AK1343" t="str">
        <x:f>_xlfn.XLOOKUP($A1343,Games!$A$2:$A$18,Games!$F$2:$F$18,"Missing game",0)</x:f>
        <x:v>Sunday</x:v>
      </x:c>
      <x:c r="AL1343" t="str">
        <x:f>_xlfn.XLOOKUP($A1343,Games!$A$2:$A$18,Games!$G$2:$G$18,"Missing game",0)</x:f>
        <x:v>MIN</x:v>
      </x:c>
      <x:c r="AM1343" t="n">
        <x:f>_xlfn.XLOOKUP($A1343,Games!$A$2:$A$18,Games!$H$2:$H$18,"Missing game",0)</x:f>
        <x:v>27</x:v>
      </x:c>
      <x:c r="AN1343" t="str">
        <x:f>_xlfn.XLOOKUP($A1343,Games!$A$2:$A$18,Games!$I$2:$I$18,"Missing game",0)</x:f>
        <x:v>DET</x:v>
      </x:c>
      <x:c r="AO1343" t="n">
        <x:f>_xlfn.XLOOKUP($A1343,Games!$A$2:$A$18,Games!$J$2:$J$18,"Missing game",0)</x:f>
        <x:v>24</x:v>
      </x:c>
      <x:c r="AP1343" t="n">
        <x:f>_xlfn.XLOOKUP($A1343,Games!$A$2:$A$18,Games!$K$2:$K$18,"Missing game",0)</x:f>
        <x:v>-3</x:v>
      </x:c>
      <x:c r="AQ1343" t="n">
        <x:f>_xlfn.XLOOKUP($A1343,Games!$A$2:$A$18,Games!$L$2:$L$18,"Missing game",0)</x:f>
        <x:v>51</x:v>
      </x:c>
      <x:c r="AR1343" t="n">
        <x:f>_xlfn.XLOOKUP($A1343,Games!$A$2:$A$18,Games!$M$2:$M$18,"Missing game",0)</x:f>
        <x:v>0</x:v>
      </x:c>
      <x:c r="AS1343" t="str">
        <x:f>_xlfn.XLOOKUP($A1343,Games!$A$2:$A$18,Games!$N$2:$N$18,"Missing game",0)</x:f>
        <x:v>dome</x:v>
      </x:c>
      <x:c r="AT1343" t="str">
        <x:f>_xlfn.XLOOKUP($A1343,Games!$A$2:$A$18,Games!$O$2:$O$18,"Missing game",0)</x:f>
        <x:v>fieldturf</x:v>
      </x:c>
      <x:c r="AU1343" t="str">
        <x:f>_xlfn.XLOOKUP($A1343,Games!$A$2:$A$18,Games!$P$2:$P$18,"Missing game",0)</x:f>
      </x:c>
      <x:c r="AV1343" t="str">
        <x:f>_xlfn.XLOOKUP($A1343,Games!$A$2:$A$18,Games!$Q$2:$Q$18,"Missing game",0)</x:f>
      </x:c>
      <x:c r="AW1343" t="str">
        <x:f>_xlfn.XLOOKUP($A1343,Games!$A$2:$A$18,Games!$R$2:$R$18,"Missing game",0)</x:f>
        <x:v>Ford Field</x:v>
      </x:c>
    </x:row>
    <x:row r="1344">
      <x:c r="A1344" t="str">
        <x:v>2025_09_MIN_DET</x:v>
      </x:c>
      <x:c r="B1344" t="n">
        <x:v>4324</x:v>
      </x:c>
      <x:c r="C1344" t="n">
        <x:v>4</x:v>
      </x:c>
      <x:c r="D1344" t="str">
        <x:v>01:41</x:v>
      </x:c>
      <x:c r="E1344" t="n">
        <x:v>3</x:v>
      </x:c>
      <x:c r="F1344" t="n">
        <x:v>5</x:v>
      </x:c>
      <x:c r="G1344" t="str">
        <x:v>MIN</x:v>
      </x:c>
      <x:c r="H1344" t="str">
        <x:v>DET</x:v>
      </x:c>
      <x:c r="I1344" t="str">
        <x:v>MIN</x:v>
      </x:c>
      <x:c r="J1344" t="n">
        <x:v>72</x:v>
      </x:c>
      <x:c r="K1344" t="str">
        <x:v>(1:41) (Shotgun) 9-J.McCarthy pass deep right to 1-J.Nailor to MIN 44 for 16 yards (27-A.Maulet).</x:v>
      </x:c>
      <x:c r="L1344" t="str">
        <x:v>pass</x:v>
      </x:c>
      <x:c r="M1344" t="n">
        <x:v>16</x:v>
      </x:c>
      <x:c r="N1344" t="n">
        <x:v>1</x:v>
      </x:c>
      <x:c r="O1344" t="n">
        <x:v>0</x:v>
      </x:c>
      <x:c r="P1344" t="str">
        <x:v>deep</x:v>
      </x:c>
      <x:c r="Q1344" t="str">
        <x:v>right</x:v>
      </x:c>
      <x:c r="R1344" t="n">
        <x:v>16</x:v>
      </x:c>
      <x:c r="S1344" t="n">
        <x:v>0</x:v>
      </x:c>
      <x:c r="T1344"/>
      <x:c r="U1344"/>
      <x:c r="V1344" t="n">
        <x:v>1</x:v>
      </x:c>
      <x:c r="W1344" t="n">
        <x:v>1</x:v>
      </x:c>
      <x:c r="X1344" t="n">
        <x:v>0</x:v>
      </x:c>
      <x:c r="Y1344" t="n">
        <x:v>0</x:v>
      </x:c>
      <x:c r="Z1344" t="n">
        <x:v>0</x:v>
      </x:c>
      <x:c r="AA1344" t="n">
        <x:v>0</x:v>
      </x:c>
      <x:c r="AB1344"/>
      <x:c r="AC1344" t="n">
        <x:v>0</x:v>
      </x:c>
      <x:c r="AD1344" t="n">
        <x:v>-0.48084721027407795</x:v>
      </x:c>
      <x:c r="AE1344" t="n">
        <x:v>0</x:v>
      </x:c>
      <x:c r="AF1344" t="n">
        <x:v>0.09419631958007812</x:v>
      </x:c>
      <x:c r="AG1344" t="n">
        <x:f>_xlfn.XLOOKUP($A1344,Games!$A$2:$A$18,Games!$B$2:$B$18,"Missing game",0)</x:f>
        <x:v>2025</x:v>
      </x:c>
      <x:c r="AH1344" t="str">
        <x:f>_xlfn.XLOOKUP($A1344,Games!$A$2:$A$18,Games!$C$2:$C$18,"Missing game",0)</x:f>
        <x:v>REG</x:v>
      </x:c>
      <x:c r="AI1344" t="n">
        <x:f>_xlfn.XLOOKUP($A1344,Games!$A$2:$A$18,Games!$D$2:$D$18,"Missing game",0)</x:f>
        <x:v>9</x:v>
      </x:c>
      <x:c r="AJ1344" s="1" t="n">
        <x:f>_xlfn.XLOOKUP($A1344,Games!$A$2:$A$18,Games!$E$2:$E$18,"Missing game",0)</x:f>
        <x:v>45963</x:v>
      </x:c>
      <x:c r="AK1344" t="str">
        <x:f>_xlfn.XLOOKUP($A1344,Games!$A$2:$A$18,Games!$F$2:$F$18,"Missing game",0)</x:f>
        <x:v>Sunday</x:v>
      </x:c>
      <x:c r="AL1344" t="str">
        <x:f>_xlfn.XLOOKUP($A1344,Games!$A$2:$A$18,Games!$G$2:$G$18,"Missing game",0)</x:f>
        <x:v>MIN</x:v>
      </x:c>
      <x:c r="AM1344" t="n">
        <x:f>_xlfn.XLOOKUP($A1344,Games!$A$2:$A$18,Games!$H$2:$H$18,"Missing game",0)</x:f>
        <x:v>27</x:v>
      </x:c>
      <x:c r="AN1344" t="str">
        <x:f>_xlfn.XLOOKUP($A1344,Games!$A$2:$A$18,Games!$I$2:$I$18,"Missing game",0)</x:f>
        <x:v>DET</x:v>
      </x:c>
      <x:c r="AO1344" t="n">
        <x:f>_xlfn.XLOOKUP($A1344,Games!$A$2:$A$18,Games!$J$2:$J$18,"Missing game",0)</x:f>
        <x:v>24</x:v>
      </x:c>
      <x:c r="AP1344" t="n">
        <x:f>_xlfn.XLOOKUP($A1344,Games!$A$2:$A$18,Games!$K$2:$K$18,"Missing game",0)</x:f>
        <x:v>-3</x:v>
      </x:c>
      <x:c r="AQ1344" t="n">
        <x:f>_xlfn.XLOOKUP($A1344,Games!$A$2:$A$18,Games!$L$2:$L$18,"Missing game",0)</x:f>
        <x:v>51</x:v>
      </x:c>
      <x:c r="AR1344" t="n">
        <x:f>_xlfn.XLOOKUP($A1344,Games!$A$2:$A$18,Games!$M$2:$M$18,"Missing game",0)</x:f>
        <x:v>0</x:v>
      </x:c>
      <x:c r="AS1344" t="str">
        <x:f>_xlfn.XLOOKUP($A1344,Games!$A$2:$A$18,Games!$N$2:$N$18,"Missing game",0)</x:f>
        <x:v>dome</x:v>
      </x:c>
      <x:c r="AT1344" t="str">
        <x:f>_xlfn.XLOOKUP($A1344,Games!$A$2:$A$18,Games!$O$2:$O$18,"Missing game",0)</x:f>
        <x:v>fieldturf</x:v>
      </x:c>
      <x:c r="AU1344" t="str">
        <x:f>_xlfn.XLOOKUP($A1344,Games!$A$2:$A$18,Games!$P$2:$P$18,"Missing game",0)</x:f>
      </x:c>
      <x:c r="AV1344" t="str">
        <x:f>_xlfn.XLOOKUP($A1344,Games!$A$2:$A$18,Games!$Q$2:$Q$18,"Missing game",0)</x:f>
      </x:c>
      <x:c r="AW1344" t="str">
        <x:f>_xlfn.XLOOKUP($A1344,Games!$A$2:$A$18,Games!$R$2:$R$18,"Missing game",0)</x:f>
        <x:v>Ford Field</x:v>
      </x:c>
    </x:row>
    <x:row r="1345">
      <x:c r="A1345" t="str">
        <x:v>2025_09_MIN_DET</x:v>
      </x:c>
      <x:c r="B1345" t="n">
        <x:v>4336</x:v>
      </x:c>
      <x:c r="C1345" t="n">
        <x:v>4</x:v>
      </x:c>
      <x:c r="D1345" t="str">
        <x:v>01:41</x:v>
      </x:c>
      <x:c r="E1345"/>
      <x:c r="F1345" t="n">
        <x:v>0</x:v>
      </x:c>
      <x:c r="G1345"/>
      <x:c r="H1345"/>
      <x:c r="I1345"/>
      <x:c r="J1345"/>
      <x:c r="K1345" t="str">
        <x:v>Timeout #2 by DET at 01:41.</x:v>
      </x:c>
      <x:c r="L1345" t="str">
        <x:v>no_play</x:v>
      </x:c>
      <x:c r="M1345" t="n">
        <x:v>0</x:v>
      </x:c>
      <x:c r="N1345" t="n">
        <x:v>0</x:v>
      </x:c>
      <x:c r="O1345" t="n">
        <x:v>0</x:v>
      </x:c>
      <x:c r="P1345"/>
      <x:c r="Q1345"/>
      <x:c r="R1345"/>
      <x:c r="S1345"/>
      <x:c r="T1345"/>
      <x:c r="U1345"/>
      <x:c r="V1345" t="n">
        <x:v>0</x:v>
      </x:c>
      <x:c r="W1345" t="n">
        <x:v>0</x:v>
      </x:c>
      <x:c r="X1345" t="n">
        <x:v>0</x:v>
      </x:c>
      <x:c r="Y1345" t="n">
        <x:v>0</x:v>
      </x:c>
      <x:c r="Z1345" t="n">
        <x:v>0</x:v>
      </x:c>
      <x:c r="AA1345" t="n">
        <x:v>0</x:v>
      </x:c>
      <x:c r="AB1345"/>
      <x:c r="AC1345" t="n">
        <x:v>0</x:v>
      </x:c>
      <x:c r="AD1345" t="n">
        <x:v>0</x:v>
      </x:c>
      <x:c r="AE1345" t="n">
        <x:v>0</x:v>
      </x:c>
      <x:c r="AF1345" t="n">
        <x:v>0</x:v>
      </x:c>
      <x:c r="AG1345" t="n">
        <x:f>_xlfn.XLOOKUP($A1345,Games!$A$2:$A$18,Games!$B$2:$B$18,"Missing game",0)</x:f>
        <x:v>2025</x:v>
      </x:c>
      <x:c r="AH1345" t="str">
        <x:f>_xlfn.XLOOKUP($A1345,Games!$A$2:$A$18,Games!$C$2:$C$18,"Missing game",0)</x:f>
        <x:v>REG</x:v>
      </x:c>
      <x:c r="AI1345" t="n">
        <x:f>_xlfn.XLOOKUP($A1345,Games!$A$2:$A$18,Games!$D$2:$D$18,"Missing game",0)</x:f>
        <x:v>9</x:v>
      </x:c>
      <x:c r="AJ1345" s="1" t="n">
        <x:f>_xlfn.XLOOKUP($A1345,Games!$A$2:$A$18,Games!$E$2:$E$18,"Missing game",0)</x:f>
        <x:v>45963</x:v>
      </x:c>
      <x:c r="AK1345" t="str">
        <x:f>_xlfn.XLOOKUP($A1345,Games!$A$2:$A$18,Games!$F$2:$F$18,"Missing game",0)</x:f>
        <x:v>Sunday</x:v>
      </x:c>
      <x:c r="AL1345" t="str">
        <x:f>_xlfn.XLOOKUP($A1345,Games!$A$2:$A$18,Games!$G$2:$G$18,"Missing game",0)</x:f>
        <x:v>MIN</x:v>
      </x:c>
      <x:c r="AM1345" t="n">
        <x:f>_xlfn.XLOOKUP($A1345,Games!$A$2:$A$18,Games!$H$2:$H$18,"Missing game",0)</x:f>
        <x:v>27</x:v>
      </x:c>
      <x:c r="AN1345" t="str">
        <x:f>_xlfn.XLOOKUP($A1345,Games!$A$2:$A$18,Games!$I$2:$I$18,"Missing game",0)</x:f>
        <x:v>DET</x:v>
      </x:c>
      <x:c r="AO1345" t="n">
        <x:f>_xlfn.XLOOKUP($A1345,Games!$A$2:$A$18,Games!$J$2:$J$18,"Missing game",0)</x:f>
        <x:v>24</x:v>
      </x:c>
      <x:c r="AP1345" t="n">
        <x:f>_xlfn.XLOOKUP($A1345,Games!$A$2:$A$18,Games!$K$2:$K$18,"Missing game",0)</x:f>
        <x:v>-3</x:v>
      </x:c>
      <x:c r="AQ1345" t="n">
        <x:f>_xlfn.XLOOKUP($A1345,Games!$A$2:$A$18,Games!$L$2:$L$18,"Missing game",0)</x:f>
        <x:v>51</x:v>
      </x:c>
      <x:c r="AR1345" t="n">
        <x:f>_xlfn.XLOOKUP($A1345,Games!$A$2:$A$18,Games!$M$2:$M$18,"Missing game",0)</x:f>
        <x:v>0</x:v>
      </x:c>
      <x:c r="AS1345" t="str">
        <x:f>_xlfn.XLOOKUP($A1345,Games!$A$2:$A$18,Games!$N$2:$N$18,"Missing game",0)</x:f>
        <x:v>dome</x:v>
      </x:c>
      <x:c r="AT1345" t="str">
        <x:f>_xlfn.XLOOKUP($A1345,Games!$A$2:$A$18,Games!$O$2:$O$18,"Missing game",0)</x:f>
        <x:v>fieldturf</x:v>
      </x:c>
      <x:c r="AU1345" t="str">
        <x:f>_xlfn.XLOOKUP($A1345,Games!$A$2:$A$18,Games!$P$2:$P$18,"Missing game",0)</x:f>
      </x:c>
      <x:c r="AV1345" t="str">
        <x:f>_xlfn.XLOOKUP($A1345,Games!$A$2:$A$18,Games!$Q$2:$Q$18,"Missing game",0)</x:f>
      </x:c>
      <x:c r="AW1345" t="str">
        <x:f>_xlfn.XLOOKUP($A1345,Games!$A$2:$A$18,Games!$R$2:$R$18,"Missing game",0)</x:f>
        <x:v>Ford Field</x:v>
      </x:c>
    </x:row>
    <x:row r="1346">
      <x:c r="A1346" t="str">
        <x:v>2025_09_MIN_DET</x:v>
      </x:c>
      <x:c r="B1346" t="n">
        <x:v>4356</x:v>
      </x:c>
      <x:c r="C1346" t="n">
        <x:v>4</x:v>
      </x:c>
      <x:c r="D1346" t="str">
        <x:v>01:00</x:v>
      </x:c>
      <x:c r="E1346" t="n">
        <x:v>1</x:v>
      </x:c>
      <x:c r="F1346" t="n">
        <x:v>10</x:v>
      </x:c>
      <x:c r="G1346" t="str">
        <x:v>MIN</x:v>
      </x:c>
      <x:c r="H1346" t="str">
        <x:v>DET</x:v>
      </x:c>
      <x:c r="I1346" t="str">
        <x:v>MIN</x:v>
      </x:c>
      <x:c r="J1346" t="n">
        <x:v>56</x:v>
      </x:c>
      <x:c r="K1346" t="str">
        <x:v>(1:00) 9-J.McCarthy kneels to MIN 43 for -1 yards.</x:v>
      </x:c>
      <x:c r="L1346" t="str">
        <x:v>qb_kneel</x:v>
      </x:c>
      <x:c r="M1346" t="n">
        <x:v>-1</x:v>
      </x:c>
      <x:c r="N1346" t="n">
        <x:v>0</x:v>
      </x:c>
      <x:c r="O1346" t="n">
        <x:v>0</x:v>
      </x:c>
      <x:c r="P1346"/>
      <x:c r="Q1346"/>
      <x:c r="R1346"/>
      <x:c r="S1346"/>
      <x:c r="T1346"/>
      <x:c r="U1346"/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0</x:v>
      </x:c>
      <x:c r="AB1346"/>
      <x:c r="AC1346" t="n">
        <x:v>0</x:v>
      </x:c>
      <x:c r="AD1346" t="n">
        <x:v>0</x:v>
      </x:c>
      <x:c r="AE1346" t="n">
        <x:v>0</x:v>
      </x:c>
      <x:c r="AF1346"/>
      <x:c r="AG1346" t="n">
        <x:f>_xlfn.XLOOKUP($A1346,Games!$A$2:$A$18,Games!$B$2:$B$18,"Missing game",0)</x:f>
        <x:v>2025</x:v>
      </x:c>
      <x:c r="AH1346" t="str">
        <x:f>_xlfn.XLOOKUP($A1346,Games!$A$2:$A$18,Games!$C$2:$C$18,"Missing game",0)</x:f>
        <x:v>REG</x:v>
      </x:c>
      <x:c r="AI1346" t="n">
        <x:f>_xlfn.XLOOKUP($A1346,Games!$A$2:$A$18,Games!$D$2:$D$18,"Missing game",0)</x:f>
        <x:v>9</x:v>
      </x:c>
      <x:c r="AJ1346" s="1" t="n">
        <x:f>_xlfn.XLOOKUP($A1346,Games!$A$2:$A$18,Games!$E$2:$E$18,"Missing game",0)</x:f>
        <x:v>45963</x:v>
      </x:c>
      <x:c r="AK1346" t="str">
        <x:f>_xlfn.XLOOKUP($A1346,Games!$A$2:$A$18,Games!$F$2:$F$18,"Missing game",0)</x:f>
        <x:v>Sunday</x:v>
      </x:c>
      <x:c r="AL1346" t="str">
        <x:f>_xlfn.XLOOKUP($A1346,Games!$A$2:$A$18,Games!$G$2:$G$18,"Missing game",0)</x:f>
        <x:v>MIN</x:v>
      </x:c>
      <x:c r="AM1346" t="n">
        <x:f>_xlfn.XLOOKUP($A1346,Games!$A$2:$A$18,Games!$H$2:$H$18,"Missing game",0)</x:f>
        <x:v>27</x:v>
      </x:c>
      <x:c r="AN1346" t="str">
        <x:f>_xlfn.XLOOKUP($A1346,Games!$A$2:$A$18,Games!$I$2:$I$18,"Missing game",0)</x:f>
        <x:v>DET</x:v>
      </x:c>
      <x:c r="AO1346" t="n">
        <x:f>_xlfn.XLOOKUP($A1346,Games!$A$2:$A$18,Games!$J$2:$J$18,"Missing game",0)</x:f>
        <x:v>24</x:v>
      </x:c>
      <x:c r="AP1346" t="n">
        <x:f>_xlfn.XLOOKUP($A1346,Games!$A$2:$A$18,Games!$K$2:$K$18,"Missing game",0)</x:f>
        <x:v>-3</x:v>
      </x:c>
      <x:c r="AQ1346" t="n">
        <x:f>_xlfn.XLOOKUP($A1346,Games!$A$2:$A$18,Games!$L$2:$L$18,"Missing game",0)</x:f>
        <x:v>51</x:v>
      </x:c>
      <x:c r="AR1346" t="n">
        <x:f>_xlfn.XLOOKUP($A1346,Games!$A$2:$A$18,Games!$M$2:$M$18,"Missing game",0)</x:f>
        <x:v>0</x:v>
      </x:c>
      <x:c r="AS1346" t="str">
        <x:f>_xlfn.XLOOKUP($A1346,Games!$A$2:$A$18,Games!$N$2:$N$18,"Missing game",0)</x:f>
        <x:v>dome</x:v>
      </x:c>
      <x:c r="AT1346" t="str">
        <x:f>_xlfn.XLOOKUP($A1346,Games!$A$2:$A$18,Games!$O$2:$O$18,"Missing game",0)</x:f>
        <x:v>fieldturf</x:v>
      </x:c>
      <x:c r="AU1346" t="str">
        <x:f>_xlfn.XLOOKUP($A1346,Games!$A$2:$A$18,Games!$P$2:$P$18,"Missing game",0)</x:f>
      </x:c>
      <x:c r="AV1346" t="str">
        <x:f>_xlfn.XLOOKUP($A1346,Games!$A$2:$A$18,Games!$Q$2:$Q$18,"Missing game",0)</x:f>
      </x:c>
      <x:c r="AW1346" t="str">
        <x:f>_xlfn.XLOOKUP($A1346,Games!$A$2:$A$18,Games!$R$2:$R$18,"Missing game",0)</x:f>
        <x:v>Ford Field</x:v>
      </x:c>
    </x:row>
    <x:row r="1347">
      <x:c r="A1347" t="str">
        <x:v>2025_09_MIN_DET</x:v>
      </x:c>
      <x:c r="B1347" t="n">
        <x:v>4378</x:v>
      </x:c>
      <x:c r="C1347" t="n">
        <x:v>4</x:v>
      </x:c>
      <x:c r="D1347" t="str">
        <x:v>00:56</x:v>
      </x:c>
      <x:c r="E1347" t="n">
        <x:v>2</x:v>
      </x:c>
      <x:c r="F1347" t="n">
        <x:v>11</x:v>
      </x:c>
      <x:c r="G1347" t="str">
        <x:v>MIN</x:v>
      </x:c>
      <x:c r="H1347" t="str">
        <x:v>DET</x:v>
      </x:c>
      <x:c r="I1347" t="str">
        <x:v>MIN</x:v>
      </x:c>
      <x:c r="J1347" t="n">
        <x:v>57</x:v>
      </x:c>
      <x:c r="K1347" t="str">
        <x:v>(:56) 9-J.McCarthy kneels to MIN 41 for -2 yards.</x:v>
      </x:c>
      <x:c r="L1347" t="str">
        <x:v>qb_kneel</x:v>
      </x:c>
      <x:c r="M1347" t="n">
        <x:v>-2</x:v>
      </x:c>
      <x:c r="N1347" t="n">
        <x:v>0</x:v>
      </x:c>
      <x:c r="O1347" t="n">
        <x:v>0</x:v>
      </x:c>
      <x:c r="P1347"/>
      <x:c r="Q1347"/>
      <x:c r="R1347"/>
      <x:c r="S1347"/>
      <x:c r="T1347"/>
      <x:c r="U1347"/>
      <x:c r="V1347" t="n">
        <x:v>0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0</x:v>
      </x:c>
      <x:c r="AB1347"/>
      <x:c r="AC1347" t="n">
        <x:v>0</x:v>
      </x:c>
      <x:c r="AD1347" t="n">
        <x:v>0</x:v>
      </x:c>
      <x:c r="AE1347" t="n">
        <x:v>0</x:v>
      </x:c>
      <x:c r="AF1347"/>
      <x:c r="AG1347" t="n">
        <x:f>_xlfn.XLOOKUP($A1347,Games!$A$2:$A$18,Games!$B$2:$B$18,"Missing game",0)</x:f>
        <x:v>2025</x:v>
      </x:c>
      <x:c r="AH1347" t="str">
        <x:f>_xlfn.XLOOKUP($A1347,Games!$A$2:$A$18,Games!$C$2:$C$18,"Missing game",0)</x:f>
        <x:v>REG</x:v>
      </x:c>
      <x:c r="AI1347" t="n">
        <x:f>_xlfn.XLOOKUP($A1347,Games!$A$2:$A$18,Games!$D$2:$D$18,"Missing game",0)</x:f>
        <x:v>9</x:v>
      </x:c>
      <x:c r="AJ1347" s="1" t="n">
        <x:f>_xlfn.XLOOKUP($A1347,Games!$A$2:$A$18,Games!$E$2:$E$18,"Missing game",0)</x:f>
        <x:v>45963</x:v>
      </x:c>
      <x:c r="AK1347" t="str">
        <x:f>_xlfn.XLOOKUP($A1347,Games!$A$2:$A$18,Games!$F$2:$F$18,"Missing game",0)</x:f>
        <x:v>Sunday</x:v>
      </x:c>
      <x:c r="AL1347" t="str">
        <x:f>_xlfn.XLOOKUP($A1347,Games!$A$2:$A$18,Games!$G$2:$G$18,"Missing game",0)</x:f>
        <x:v>MIN</x:v>
      </x:c>
      <x:c r="AM1347" t="n">
        <x:f>_xlfn.XLOOKUP($A1347,Games!$A$2:$A$18,Games!$H$2:$H$18,"Missing game",0)</x:f>
        <x:v>27</x:v>
      </x:c>
      <x:c r="AN1347" t="str">
        <x:f>_xlfn.XLOOKUP($A1347,Games!$A$2:$A$18,Games!$I$2:$I$18,"Missing game",0)</x:f>
        <x:v>DET</x:v>
      </x:c>
      <x:c r="AO1347" t="n">
        <x:f>_xlfn.XLOOKUP($A1347,Games!$A$2:$A$18,Games!$J$2:$J$18,"Missing game",0)</x:f>
        <x:v>24</x:v>
      </x:c>
      <x:c r="AP1347" t="n">
        <x:f>_xlfn.XLOOKUP($A1347,Games!$A$2:$A$18,Games!$K$2:$K$18,"Missing game",0)</x:f>
        <x:v>-3</x:v>
      </x:c>
      <x:c r="AQ1347" t="n">
        <x:f>_xlfn.XLOOKUP($A1347,Games!$A$2:$A$18,Games!$L$2:$L$18,"Missing game",0)</x:f>
        <x:v>51</x:v>
      </x:c>
      <x:c r="AR1347" t="n">
        <x:f>_xlfn.XLOOKUP($A1347,Games!$A$2:$A$18,Games!$M$2:$M$18,"Missing game",0)</x:f>
        <x:v>0</x:v>
      </x:c>
      <x:c r="AS1347" t="str">
        <x:f>_xlfn.XLOOKUP($A1347,Games!$A$2:$A$18,Games!$N$2:$N$18,"Missing game",0)</x:f>
        <x:v>dome</x:v>
      </x:c>
      <x:c r="AT1347" t="str">
        <x:f>_xlfn.XLOOKUP($A1347,Games!$A$2:$A$18,Games!$O$2:$O$18,"Missing game",0)</x:f>
        <x:v>fieldturf</x:v>
      </x:c>
      <x:c r="AU1347" t="str">
        <x:f>_xlfn.XLOOKUP($A1347,Games!$A$2:$A$18,Games!$P$2:$P$18,"Missing game",0)</x:f>
      </x:c>
      <x:c r="AV1347" t="str">
        <x:f>_xlfn.XLOOKUP($A1347,Games!$A$2:$A$18,Games!$Q$2:$Q$18,"Missing game",0)</x:f>
      </x:c>
      <x:c r="AW1347" t="str">
        <x:f>_xlfn.XLOOKUP($A1347,Games!$A$2:$A$18,Games!$R$2:$R$18,"Missing game",0)</x:f>
        <x:v>Ford Field</x:v>
      </x:c>
    </x:row>
    <x:row r="1348">
      <x:c r="A1348" t="str">
        <x:v>2025_09_MIN_DET</x:v>
      </x:c>
      <x:c r="B1348" t="n">
        <x:v>4390</x:v>
      </x:c>
      <x:c r="C1348" t="n">
        <x:v>4</x:v>
      </x:c>
      <x:c r="D1348" t="str">
        <x:v>00:56</x:v>
      </x:c>
      <x:c r="E1348"/>
      <x:c r="F1348" t="n">
        <x:v>0</x:v>
      </x:c>
      <x:c r="G1348"/>
      <x:c r="H1348"/>
      <x:c r="I1348"/>
      <x:c r="J1348"/>
      <x:c r="K1348" t="str">
        <x:v>Timeout #3 by DET at 00:56.</x:v>
      </x:c>
      <x:c r="L1348" t="str">
        <x:v>no_play</x:v>
      </x:c>
      <x:c r="M1348" t="n">
        <x:v>0</x:v>
      </x:c>
      <x:c r="N1348" t="n">
        <x:v>0</x:v>
      </x:c>
      <x:c r="O1348" t="n">
        <x:v>0</x:v>
      </x:c>
      <x:c r="P1348"/>
      <x:c r="Q1348"/>
      <x:c r="R1348"/>
      <x:c r="S1348"/>
      <x:c r="T1348"/>
      <x:c r="U1348"/>
      <x:c r="V1348" t="n">
        <x:v>0</x:v>
      </x:c>
      <x:c r="W1348" t="n">
        <x:v>0</x:v>
      </x:c>
      <x:c r="X1348" t="n">
        <x:v>0</x:v>
      </x:c>
      <x:c r="Y1348" t="n">
        <x:v>0</x:v>
      </x:c>
      <x:c r="Z1348" t="n">
        <x:v>0</x:v>
      </x:c>
      <x:c r="AA1348" t="n">
        <x:v>0</x:v>
      </x:c>
      <x:c r="AB1348"/>
      <x:c r="AC1348" t="n">
        <x:v>0</x:v>
      </x:c>
      <x:c r="AD1348" t="n">
        <x:v>0</x:v>
      </x:c>
      <x:c r="AE1348" t="n">
        <x:v>0</x:v>
      </x:c>
      <x:c r="AF1348" t="n">
        <x:v>0</x:v>
      </x:c>
      <x:c r="AG1348" t="n">
        <x:f>_xlfn.XLOOKUP($A1348,Games!$A$2:$A$18,Games!$B$2:$B$18,"Missing game",0)</x:f>
        <x:v>2025</x:v>
      </x:c>
      <x:c r="AH1348" t="str">
        <x:f>_xlfn.XLOOKUP($A1348,Games!$A$2:$A$18,Games!$C$2:$C$18,"Missing game",0)</x:f>
        <x:v>REG</x:v>
      </x:c>
      <x:c r="AI1348" t="n">
        <x:f>_xlfn.XLOOKUP($A1348,Games!$A$2:$A$18,Games!$D$2:$D$18,"Missing game",0)</x:f>
        <x:v>9</x:v>
      </x:c>
      <x:c r="AJ1348" s="1" t="n">
        <x:f>_xlfn.XLOOKUP($A1348,Games!$A$2:$A$18,Games!$E$2:$E$18,"Missing game",0)</x:f>
        <x:v>45963</x:v>
      </x:c>
      <x:c r="AK1348" t="str">
        <x:f>_xlfn.XLOOKUP($A1348,Games!$A$2:$A$18,Games!$F$2:$F$18,"Missing game",0)</x:f>
        <x:v>Sunday</x:v>
      </x:c>
      <x:c r="AL1348" t="str">
        <x:f>_xlfn.XLOOKUP($A1348,Games!$A$2:$A$18,Games!$G$2:$G$18,"Missing game",0)</x:f>
        <x:v>MIN</x:v>
      </x:c>
      <x:c r="AM1348" t="n">
        <x:f>_xlfn.XLOOKUP($A1348,Games!$A$2:$A$18,Games!$H$2:$H$18,"Missing game",0)</x:f>
        <x:v>27</x:v>
      </x:c>
      <x:c r="AN1348" t="str">
        <x:f>_xlfn.XLOOKUP($A1348,Games!$A$2:$A$18,Games!$I$2:$I$18,"Missing game",0)</x:f>
        <x:v>DET</x:v>
      </x:c>
      <x:c r="AO1348" t="n">
        <x:f>_xlfn.XLOOKUP($A1348,Games!$A$2:$A$18,Games!$J$2:$J$18,"Missing game",0)</x:f>
        <x:v>24</x:v>
      </x:c>
      <x:c r="AP1348" t="n">
        <x:f>_xlfn.XLOOKUP($A1348,Games!$A$2:$A$18,Games!$K$2:$K$18,"Missing game",0)</x:f>
        <x:v>-3</x:v>
      </x:c>
      <x:c r="AQ1348" t="n">
        <x:f>_xlfn.XLOOKUP($A1348,Games!$A$2:$A$18,Games!$L$2:$L$18,"Missing game",0)</x:f>
        <x:v>51</x:v>
      </x:c>
      <x:c r="AR1348" t="n">
        <x:f>_xlfn.XLOOKUP($A1348,Games!$A$2:$A$18,Games!$M$2:$M$18,"Missing game",0)</x:f>
        <x:v>0</x:v>
      </x:c>
      <x:c r="AS1348" t="str">
        <x:f>_xlfn.XLOOKUP($A1348,Games!$A$2:$A$18,Games!$N$2:$N$18,"Missing game",0)</x:f>
        <x:v>dome</x:v>
      </x:c>
      <x:c r="AT1348" t="str">
        <x:f>_xlfn.XLOOKUP($A1348,Games!$A$2:$A$18,Games!$O$2:$O$18,"Missing game",0)</x:f>
        <x:v>fieldturf</x:v>
      </x:c>
      <x:c r="AU1348" t="str">
        <x:f>_xlfn.XLOOKUP($A1348,Games!$A$2:$A$18,Games!$P$2:$P$18,"Missing game",0)</x:f>
      </x:c>
      <x:c r="AV1348" t="str">
        <x:f>_xlfn.XLOOKUP($A1348,Games!$A$2:$A$18,Games!$Q$2:$Q$18,"Missing game",0)</x:f>
      </x:c>
      <x:c r="AW1348" t="str">
        <x:f>_xlfn.XLOOKUP($A1348,Games!$A$2:$A$18,Games!$R$2:$R$18,"Missing game",0)</x:f>
        <x:v>Ford Field</x:v>
      </x:c>
    </x:row>
    <x:row r="1349">
      <x:c r="A1349" t="str">
        <x:v>2025_09_MIN_DET</x:v>
      </x:c>
      <x:c r="B1349" t="n">
        <x:v>4407</x:v>
      </x:c>
      <x:c r="C1349" t="n">
        <x:v>4</x:v>
      </x:c>
      <x:c r="D1349" t="str">
        <x:v>00:24</x:v>
      </x:c>
      <x:c r="E1349" t="n">
        <x:v>3</x:v>
      </x:c>
      <x:c r="F1349" t="n">
        <x:v>13</x:v>
      </x:c>
      <x:c r="G1349" t="str">
        <x:v>MIN</x:v>
      </x:c>
      <x:c r="H1349" t="str">
        <x:v>DET</x:v>
      </x:c>
      <x:c r="I1349" t="str">
        <x:v>MIN</x:v>
      </x:c>
      <x:c r="J1349" t="n">
        <x:v>59</x:v>
      </x:c>
      <x:c r="K1349" t="str">
        <x:v>(:24) 9-J.McCarthy kneels to MIN 40 for -1 yards.</x:v>
      </x:c>
      <x:c r="L1349" t="str">
        <x:v>qb_kneel</x:v>
      </x:c>
      <x:c r="M1349" t="n">
        <x:v>-1</x:v>
      </x:c>
      <x:c r="N1349" t="n">
        <x:v>0</x:v>
      </x:c>
      <x:c r="O1349" t="n">
        <x:v>0</x:v>
      </x:c>
      <x:c r="P1349"/>
      <x:c r="Q1349"/>
      <x:c r="R1349"/>
      <x:c r="S1349"/>
      <x:c r="T1349"/>
      <x:c r="U1349"/>
      <x:c r="V1349" t="n">
        <x:v>0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0</x:v>
      </x:c>
      <x:c r="AB1349"/>
      <x:c r="AC1349" t="n">
        <x:v>0</x:v>
      </x:c>
      <x:c r="AD1349" t="n">
        <x:v>0</x:v>
      </x:c>
      <x:c r="AE1349" t="n">
        <x:v>0</x:v>
      </x:c>
      <x:c r="AF1349"/>
      <x:c r="AG1349" t="n">
        <x:f>_xlfn.XLOOKUP($A1349,Games!$A$2:$A$18,Games!$B$2:$B$18,"Missing game",0)</x:f>
        <x:v>2025</x:v>
      </x:c>
      <x:c r="AH1349" t="str">
        <x:f>_xlfn.XLOOKUP($A1349,Games!$A$2:$A$18,Games!$C$2:$C$18,"Missing game",0)</x:f>
        <x:v>REG</x:v>
      </x:c>
      <x:c r="AI1349" t="n">
        <x:f>_xlfn.XLOOKUP($A1349,Games!$A$2:$A$18,Games!$D$2:$D$18,"Missing game",0)</x:f>
        <x:v>9</x:v>
      </x:c>
      <x:c r="AJ1349" s="1" t="n">
        <x:f>_xlfn.XLOOKUP($A1349,Games!$A$2:$A$18,Games!$E$2:$E$18,"Missing game",0)</x:f>
        <x:v>45963</x:v>
      </x:c>
      <x:c r="AK1349" t="str">
        <x:f>_xlfn.XLOOKUP($A1349,Games!$A$2:$A$18,Games!$F$2:$F$18,"Missing game",0)</x:f>
        <x:v>Sunday</x:v>
      </x:c>
      <x:c r="AL1349" t="str">
        <x:f>_xlfn.XLOOKUP($A1349,Games!$A$2:$A$18,Games!$G$2:$G$18,"Missing game",0)</x:f>
        <x:v>MIN</x:v>
      </x:c>
      <x:c r="AM1349" t="n">
        <x:f>_xlfn.XLOOKUP($A1349,Games!$A$2:$A$18,Games!$H$2:$H$18,"Missing game",0)</x:f>
        <x:v>27</x:v>
      </x:c>
      <x:c r="AN1349" t="str">
        <x:f>_xlfn.XLOOKUP($A1349,Games!$A$2:$A$18,Games!$I$2:$I$18,"Missing game",0)</x:f>
        <x:v>DET</x:v>
      </x:c>
      <x:c r="AO1349" t="n">
        <x:f>_xlfn.XLOOKUP($A1349,Games!$A$2:$A$18,Games!$J$2:$J$18,"Missing game",0)</x:f>
        <x:v>24</x:v>
      </x:c>
      <x:c r="AP1349" t="n">
        <x:f>_xlfn.XLOOKUP($A1349,Games!$A$2:$A$18,Games!$K$2:$K$18,"Missing game",0)</x:f>
        <x:v>-3</x:v>
      </x:c>
      <x:c r="AQ1349" t="n">
        <x:f>_xlfn.XLOOKUP($A1349,Games!$A$2:$A$18,Games!$L$2:$L$18,"Missing game",0)</x:f>
        <x:v>51</x:v>
      </x:c>
      <x:c r="AR1349" t="n">
        <x:f>_xlfn.XLOOKUP($A1349,Games!$A$2:$A$18,Games!$M$2:$M$18,"Missing game",0)</x:f>
        <x:v>0</x:v>
      </x:c>
      <x:c r="AS1349" t="str">
        <x:f>_xlfn.XLOOKUP($A1349,Games!$A$2:$A$18,Games!$N$2:$N$18,"Missing game",0)</x:f>
        <x:v>dome</x:v>
      </x:c>
      <x:c r="AT1349" t="str">
        <x:f>_xlfn.XLOOKUP($A1349,Games!$A$2:$A$18,Games!$O$2:$O$18,"Missing game",0)</x:f>
        <x:v>fieldturf</x:v>
      </x:c>
      <x:c r="AU1349" t="str">
        <x:f>_xlfn.XLOOKUP($A1349,Games!$A$2:$A$18,Games!$P$2:$P$18,"Missing game",0)</x:f>
      </x:c>
      <x:c r="AV1349" t="str">
        <x:f>_xlfn.XLOOKUP($A1349,Games!$A$2:$A$18,Games!$Q$2:$Q$18,"Missing game",0)</x:f>
      </x:c>
      <x:c r="AW1349" t="str">
        <x:f>_xlfn.XLOOKUP($A1349,Games!$A$2:$A$18,Games!$R$2:$R$18,"Missing game",0)</x:f>
        <x:v>Ford Field</x:v>
      </x:c>
    </x:row>
    <x:row r="1350">
      <x:c r="A1350" t="str">
        <x:v>2025_09_MIN_DET</x:v>
      </x:c>
      <x:c r="B1350" t="n">
        <x:v>4429</x:v>
      </x:c>
      <x:c r="C1350" t="n">
        <x:v>4</x:v>
      </x:c>
      <x:c r="D1350" t="str">
        <x:v>00:00</x:v>
      </x:c>
      <x:c r="E1350"/>
      <x:c r="F1350" t="n">
        <x:v>0</x:v>
      </x:c>
      <x:c r="G1350" t="str">
        <x:v>MIN</x:v>
      </x:c>
      <x:c r="H1350" t="str">
        <x:v>DET</x:v>
      </x:c>
      <x:c r="I1350"/>
      <x:c r="J1350"/>
      <x:c r="K1350" t="str">
        <x:v>END GAME</x:v>
      </x:c>
      <x:c r="L1350"/>
      <x:c r="M1350"/>
      <x:c r="N1350" t="n">
        <x:v>0</x:v>
      </x:c>
      <x:c r="O1350" t="n">
        <x:v>0</x:v>
      </x:c>
      <x:c r="P1350"/>
      <x:c r="Q1350"/>
      <x:c r="R1350"/>
      <x:c r="S1350"/>
      <x:c r="T1350"/>
      <x:c r="U1350"/>
      <x:c r="V1350"/>
      <x:c r="W1350"/>
      <x:c r="X1350"/>
      <x:c r="Y1350"/>
      <x:c r="Z1350"/>
      <x:c r="AA1350"/>
      <x:c r="AB1350"/>
      <x:c r="AC1350"/>
      <x:c r="AD1350"/>
      <x:c r="AE1350"/>
      <x:c r="AF1350"/>
      <x:c r="AG1350" t="n">
        <x:f>_xlfn.XLOOKUP($A1350,Games!$A$2:$A$18,Games!$B$2:$B$18,"Missing game",0)</x:f>
        <x:v>2025</x:v>
      </x:c>
      <x:c r="AH1350" t="str">
        <x:f>_xlfn.XLOOKUP($A1350,Games!$A$2:$A$18,Games!$C$2:$C$18,"Missing game",0)</x:f>
        <x:v>REG</x:v>
      </x:c>
      <x:c r="AI1350" t="n">
        <x:f>_xlfn.XLOOKUP($A1350,Games!$A$2:$A$18,Games!$D$2:$D$18,"Missing game",0)</x:f>
        <x:v>9</x:v>
      </x:c>
      <x:c r="AJ1350" s="1" t="n">
        <x:f>_xlfn.XLOOKUP($A1350,Games!$A$2:$A$18,Games!$E$2:$E$18,"Missing game",0)</x:f>
        <x:v>45963</x:v>
      </x:c>
      <x:c r="AK1350" t="str">
        <x:f>_xlfn.XLOOKUP($A1350,Games!$A$2:$A$18,Games!$F$2:$F$18,"Missing game",0)</x:f>
        <x:v>Sunday</x:v>
      </x:c>
      <x:c r="AL1350" t="str">
        <x:f>_xlfn.XLOOKUP($A1350,Games!$A$2:$A$18,Games!$G$2:$G$18,"Missing game",0)</x:f>
        <x:v>MIN</x:v>
      </x:c>
      <x:c r="AM1350" t="n">
        <x:f>_xlfn.XLOOKUP($A1350,Games!$A$2:$A$18,Games!$H$2:$H$18,"Missing game",0)</x:f>
        <x:v>27</x:v>
      </x:c>
      <x:c r="AN1350" t="str">
        <x:f>_xlfn.XLOOKUP($A1350,Games!$A$2:$A$18,Games!$I$2:$I$18,"Missing game",0)</x:f>
        <x:v>DET</x:v>
      </x:c>
      <x:c r="AO1350" t="n">
        <x:f>_xlfn.XLOOKUP($A1350,Games!$A$2:$A$18,Games!$J$2:$J$18,"Missing game",0)</x:f>
        <x:v>24</x:v>
      </x:c>
      <x:c r="AP1350" t="n">
        <x:f>_xlfn.XLOOKUP($A1350,Games!$A$2:$A$18,Games!$K$2:$K$18,"Missing game",0)</x:f>
        <x:v>-3</x:v>
      </x:c>
      <x:c r="AQ1350" t="n">
        <x:f>_xlfn.XLOOKUP($A1350,Games!$A$2:$A$18,Games!$L$2:$L$18,"Missing game",0)</x:f>
        <x:v>51</x:v>
      </x:c>
      <x:c r="AR1350" t="n">
        <x:f>_xlfn.XLOOKUP($A1350,Games!$A$2:$A$18,Games!$M$2:$M$18,"Missing game",0)</x:f>
        <x:v>0</x:v>
      </x:c>
      <x:c r="AS1350" t="str">
        <x:f>_xlfn.XLOOKUP($A1350,Games!$A$2:$A$18,Games!$N$2:$N$18,"Missing game",0)</x:f>
        <x:v>dome</x:v>
      </x:c>
      <x:c r="AT1350" t="str">
        <x:f>_xlfn.XLOOKUP($A1350,Games!$A$2:$A$18,Games!$O$2:$O$18,"Missing game",0)</x:f>
        <x:v>fieldturf</x:v>
      </x:c>
      <x:c r="AU1350" t="str">
        <x:f>_xlfn.XLOOKUP($A1350,Games!$A$2:$A$18,Games!$P$2:$P$18,"Missing game",0)</x:f>
      </x:c>
      <x:c r="AV1350" t="str">
        <x:f>_xlfn.XLOOKUP($A1350,Games!$A$2:$A$18,Games!$Q$2:$Q$18,"Missing game",0)</x:f>
      </x:c>
      <x:c r="AW1350" t="str">
        <x:f>_xlfn.XLOOKUP($A1350,Games!$A$2:$A$18,Games!$R$2:$R$18,"Missing game",0)</x:f>
        <x:v>Ford Field</x:v>
      </x:c>
    </x:row>
    <x:row r="1351">
      <x:c r="A1351" t="str">
        <x:v>2025_10_BAL_MIN</x:v>
      </x:c>
      <x:c r="B1351" t="n">
        <x:v>1</x:v>
      </x:c>
      <x:c r="C1351" t="n">
        <x:v>1</x:v>
      </x:c>
      <x:c r="D1351" t="str">
        <x:v>15:00</x:v>
      </x:c>
      <x:c r="E1351"/>
      <x:c r="F1351" t="n">
        <x:v>0</x:v>
      </x:c>
      <x:c r="G1351"/>
      <x:c r="H1351"/>
      <x:c r="I1351"/>
      <x:c r="J1351"/>
      <x:c r="K1351" t="str">
        <x:v>GAME</x:v>
      </x:c>
      <x:c r="L1351"/>
      <x:c r="M1351"/>
      <x:c r="N1351" t="n">
        <x:v>0</x:v>
      </x:c>
      <x:c r="O1351" t="n">
        <x:v>0</x:v>
      </x:c>
      <x:c r="P1351"/>
      <x:c r="Q1351"/>
      <x:c r="R1351"/>
      <x:c r="S1351"/>
      <x:c r="T1351"/>
      <x:c r="U1351"/>
      <x:c r="V1351"/>
      <x:c r="W1351"/>
      <x:c r="X1351"/>
      <x:c r="Y1351"/>
      <x:c r="Z1351"/>
      <x:c r="AA1351"/>
      <x:c r="AB1351"/>
      <x:c r="AC1351"/>
      <x:c r="AD1351" t="n">
        <x:v>0</x:v>
      </x:c>
      <x:c r="AE1351" t="n">
        <x:v>0</x:v>
      </x:c>
      <x:c r="AF1351" t="n">
        <x:v>0</x:v>
      </x:c>
      <x:c r="AG1351" t="n">
        <x:f>_xlfn.XLOOKUP($A1351,Games!$A$2:$A$18,Games!$B$2:$B$18,"Missing game",0)</x:f>
        <x:v>2025</x:v>
      </x:c>
      <x:c r="AH1351" t="str">
        <x:f>_xlfn.XLOOKUP($A1351,Games!$A$2:$A$18,Games!$C$2:$C$18,"Missing game",0)</x:f>
        <x:v>REG</x:v>
      </x:c>
      <x:c r="AI1351" t="n">
        <x:f>_xlfn.XLOOKUP($A1351,Games!$A$2:$A$18,Games!$D$2:$D$18,"Missing game",0)</x:f>
        <x:v>10</x:v>
      </x:c>
      <x:c r="AJ1351" s="1" t="n">
        <x:f>_xlfn.XLOOKUP($A1351,Games!$A$2:$A$18,Games!$E$2:$E$18,"Missing game",0)</x:f>
        <x:v>45970</x:v>
      </x:c>
      <x:c r="AK1351" t="str">
        <x:f>_xlfn.XLOOKUP($A1351,Games!$A$2:$A$18,Games!$F$2:$F$18,"Missing game",0)</x:f>
        <x:v>Sunday</x:v>
      </x:c>
      <x:c r="AL1351" t="str">
        <x:f>_xlfn.XLOOKUP($A1351,Games!$A$2:$A$18,Games!$G$2:$G$18,"Missing game",0)</x:f>
        <x:v>BAL</x:v>
      </x:c>
      <x:c r="AM1351" t="n">
        <x:f>_xlfn.XLOOKUP($A1351,Games!$A$2:$A$18,Games!$H$2:$H$18,"Missing game",0)</x:f>
        <x:v>27</x:v>
      </x:c>
      <x:c r="AN1351" t="str">
        <x:f>_xlfn.XLOOKUP($A1351,Games!$A$2:$A$18,Games!$I$2:$I$18,"Missing game",0)</x:f>
        <x:v>MIN</x:v>
      </x:c>
      <x:c r="AO1351" t="n">
        <x:f>_xlfn.XLOOKUP($A1351,Games!$A$2:$A$18,Games!$J$2:$J$18,"Missing game",0)</x:f>
        <x:v>19</x:v>
      </x:c>
      <x:c r="AP1351" t="n">
        <x:f>_xlfn.XLOOKUP($A1351,Games!$A$2:$A$18,Games!$K$2:$K$18,"Missing game",0)</x:f>
        <x:v>-8</x:v>
      </x:c>
      <x:c r="AQ1351" t="n">
        <x:f>_xlfn.XLOOKUP($A1351,Games!$A$2:$A$18,Games!$L$2:$L$18,"Missing game",0)</x:f>
        <x:v>46</x:v>
      </x:c>
      <x:c r="AR1351" t="n">
        <x:f>_xlfn.XLOOKUP($A1351,Games!$A$2:$A$18,Games!$M$2:$M$18,"Missing game",0)</x:f>
        <x:v>0</x:v>
      </x:c>
      <x:c r="AS1351" t="str">
        <x:f>_xlfn.XLOOKUP($A1351,Games!$A$2:$A$18,Games!$N$2:$N$18,"Missing game",0)</x:f>
        <x:v>dome</x:v>
      </x:c>
      <x:c r="AT1351" t="str">
        <x:f>_xlfn.XLOOKUP($A1351,Games!$A$2:$A$18,Games!$O$2:$O$18,"Missing game",0)</x:f>
        <x:v>sportturf</x:v>
      </x:c>
      <x:c r="AU1351" t="str">
        <x:f>_xlfn.XLOOKUP($A1351,Games!$A$2:$A$18,Games!$P$2:$P$18,"Missing game",0)</x:f>
      </x:c>
      <x:c r="AV1351" t="str">
        <x:f>_xlfn.XLOOKUP($A1351,Games!$A$2:$A$18,Games!$Q$2:$Q$18,"Missing game",0)</x:f>
      </x:c>
      <x:c r="AW1351" t="str">
        <x:f>_xlfn.XLOOKUP($A1351,Games!$A$2:$A$18,Games!$R$2:$R$18,"Missing game",0)</x:f>
        <x:v>U.S. Bank Stadium</x:v>
      </x:c>
    </x:row>
    <x:row r="1352">
      <x:c r="A1352" t="str">
        <x:v>2025_10_BAL_MIN</x:v>
      </x:c>
      <x:c r="B1352" t="n">
        <x:v>39</x:v>
      </x:c>
      <x:c r="C1352" t="n">
        <x:v>1</x:v>
      </x:c>
      <x:c r="D1352" t="str">
        <x:v>15:00</x:v>
      </x:c>
      <x:c r="E1352"/>
      <x:c r="F1352" t="n">
        <x:v>0</x:v>
      </x:c>
      <x:c r="G1352" t="str">
        <x:v>BAL</x:v>
      </x:c>
      <x:c r="H1352" t="str">
        <x:v>MIN</x:v>
      </x:c>
      <x:c r="I1352" t="str">
        <x:v>MIN</x:v>
      </x:c>
      <x:c r="J1352" t="n">
        <x:v>35</x:v>
      </x:c>
      <x:c r="K1352" t="str">
        <x:v>16-W.Reichard kicks 62 yards from MIN 35 to BAL 3. 43-J.Hill to BAL 31 for 28 yards (15-D.Turner).</x:v>
      </x:c>
      <x:c r="L1352" t="str">
        <x:v>kickoff</x:v>
      </x:c>
      <x:c r="M1352" t="n">
        <x:v>0</x:v>
      </x:c>
      <x:c r="N1352" t="n">
        <x:v>0</x:v>
      </x:c>
      <x:c r="O1352" t="n">
        <x:v>0</x:v>
      </x:c>
      <x:c r="P1352"/>
      <x:c r="Q1352"/>
      <x:c r="R1352"/>
      <x:c r="S1352"/>
      <x:c r="T1352"/>
      <x:c r="U1352"/>
      <x:c r="V1352" t="n">
        <x:v>0</x:v>
      </x:c>
      <x:c r="W1352" t="n">
        <x:v>0</x:v>
      </x:c>
      <x:c r="X1352" t="n">
        <x:v>0</x:v>
      </x:c>
      <x:c r="Y1352" t="n">
        <x:v>0</x:v>
      </x:c>
      <x:c r="Z1352" t="n">
        <x:v>0</x:v>
      </x:c>
      <x:c r="AA1352" t="n">
        <x:v>0</x:v>
      </x:c>
      <x:c r="AB1352"/>
      <x:c r="AC1352" t="n">
        <x:v>0</x:v>
      </x:c>
      <x:c r="AD1352" t="n">
        <x:v>0.3277302198112011</x:v>
      </x:c>
      <x:c r="AE1352" t="n">
        <x:v>1</x:v>
      </x:c>
      <x:c r="AF1352" t="n">
        <x:v>0.0003382861614227295</x:v>
      </x:c>
      <x:c r="AG1352" t="n">
        <x:f>_xlfn.XLOOKUP($A1352,Games!$A$2:$A$18,Games!$B$2:$B$18,"Missing game",0)</x:f>
        <x:v>2025</x:v>
      </x:c>
      <x:c r="AH1352" t="str">
        <x:f>_xlfn.XLOOKUP($A1352,Games!$A$2:$A$18,Games!$C$2:$C$18,"Missing game",0)</x:f>
        <x:v>REG</x:v>
      </x:c>
      <x:c r="AI1352" t="n">
        <x:f>_xlfn.XLOOKUP($A1352,Games!$A$2:$A$18,Games!$D$2:$D$18,"Missing game",0)</x:f>
        <x:v>10</x:v>
      </x:c>
      <x:c r="AJ1352" s="1" t="n">
        <x:f>_xlfn.XLOOKUP($A1352,Games!$A$2:$A$18,Games!$E$2:$E$18,"Missing game",0)</x:f>
        <x:v>45970</x:v>
      </x:c>
      <x:c r="AK1352" t="str">
        <x:f>_xlfn.XLOOKUP($A1352,Games!$A$2:$A$18,Games!$F$2:$F$18,"Missing game",0)</x:f>
        <x:v>Sunday</x:v>
      </x:c>
      <x:c r="AL1352" t="str">
        <x:f>_xlfn.XLOOKUP($A1352,Games!$A$2:$A$18,Games!$G$2:$G$18,"Missing game",0)</x:f>
        <x:v>BAL</x:v>
      </x:c>
      <x:c r="AM1352" t="n">
        <x:f>_xlfn.XLOOKUP($A1352,Games!$A$2:$A$18,Games!$H$2:$H$18,"Missing game",0)</x:f>
        <x:v>27</x:v>
      </x:c>
      <x:c r="AN1352" t="str">
        <x:f>_xlfn.XLOOKUP($A1352,Games!$A$2:$A$18,Games!$I$2:$I$18,"Missing game",0)</x:f>
        <x:v>MIN</x:v>
      </x:c>
      <x:c r="AO1352" t="n">
        <x:f>_xlfn.XLOOKUP($A1352,Games!$A$2:$A$18,Games!$J$2:$J$18,"Missing game",0)</x:f>
        <x:v>19</x:v>
      </x:c>
      <x:c r="AP1352" t="n">
        <x:f>_xlfn.XLOOKUP($A1352,Games!$A$2:$A$18,Games!$K$2:$K$18,"Missing game",0)</x:f>
        <x:v>-8</x:v>
      </x:c>
      <x:c r="AQ1352" t="n">
        <x:f>_xlfn.XLOOKUP($A1352,Games!$A$2:$A$18,Games!$L$2:$L$18,"Missing game",0)</x:f>
        <x:v>46</x:v>
      </x:c>
      <x:c r="AR1352" t="n">
        <x:f>_xlfn.XLOOKUP($A1352,Games!$A$2:$A$18,Games!$M$2:$M$18,"Missing game",0)</x:f>
        <x:v>0</x:v>
      </x:c>
      <x:c r="AS1352" t="str">
        <x:f>_xlfn.XLOOKUP($A1352,Games!$A$2:$A$18,Games!$N$2:$N$18,"Missing game",0)</x:f>
        <x:v>dome</x:v>
      </x:c>
      <x:c r="AT1352" t="str">
        <x:f>_xlfn.XLOOKUP($A1352,Games!$A$2:$A$18,Games!$O$2:$O$18,"Missing game",0)</x:f>
        <x:v>sportturf</x:v>
      </x:c>
      <x:c r="AU1352" t="str">
        <x:f>_xlfn.XLOOKUP($A1352,Games!$A$2:$A$18,Games!$P$2:$P$18,"Missing game",0)</x:f>
      </x:c>
      <x:c r="AV1352" t="str">
        <x:f>_xlfn.XLOOKUP($A1352,Games!$A$2:$A$18,Games!$Q$2:$Q$18,"Missing game",0)</x:f>
      </x:c>
      <x:c r="AW1352" t="str">
        <x:f>_xlfn.XLOOKUP($A1352,Games!$A$2:$A$18,Games!$R$2:$R$18,"Missing game",0)</x:f>
        <x:v>U.S. Bank Stadium</x:v>
      </x:c>
    </x:row>
    <x:row r="1353">
      <x:c r="A1353" t="str">
        <x:v>2025_10_BAL_MIN</x:v>
      </x:c>
      <x:c r="B1353" t="n">
        <x:v>62</x:v>
      </x:c>
      <x:c r="C1353" t="n">
        <x:v>1</x:v>
      </x:c>
      <x:c r="D1353" t="str">
        <x:v>14:55</x:v>
      </x:c>
      <x:c r="E1353" t="n">
        <x:v>1</x:v>
      </x:c>
      <x:c r="F1353" t="n">
        <x:v>10</x:v>
      </x:c>
      <x:c r="G1353" t="str">
        <x:v>BAL</x:v>
      </x:c>
      <x:c r="H1353" t="str">
        <x:v>MIN</x:v>
      </x:c>
      <x:c r="I1353" t="str">
        <x:v>BAL</x:v>
      </x:c>
      <x:c r="J1353" t="n">
        <x:v>69</x:v>
      </x:c>
      <x:c r="K1353" t="str">
        <x:v>(14:55) (Shotgun) 8-L.Jackson pass incomplete short right to 4-Z.Flowers (58-J.Greenard).</x:v>
      </x:c>
      <x:c r="L1353" t="str">
        <x:v>pass</x:v>
      </x:c>
      <x:c r="M1353" t="n">
        <x:v>0</x:v>
      </x:c>
      <x:c r="N1353" t="n">
        <x:v>1</x:v>
      </x:c>
      <x:c r="O1353" t="n">
        <x:v>0</x:v>
      </x:c>
      <x:c r="P1353" t="str">
        <x:v>short</x:v>
      </x:c>
      <x:c r="Q1353" t="str">
        <x:v>right</x:v>
      </x:c>
      <x:c r="R1353" t="n">
        <x:v>-4</x:v>
      </x:c>
      <x:c r="S1353"/>
      <x:c r="T1353"/>
      <x:c r="U1353"/>
      <x:c r="V1353" t="n">
        <x:v>0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0</x:v>
      </x:c>
      <x:c r="AB1353"/>
      <x:c r="AC1353" t="n">
        <x:v>0</x:v>
      </x:c>
      <x:c r="AD1353" t="n">
        <x:v>-0.5519597553648055</x:v>
      </x:c>
      <x:c r="AE1353" t="n">
        <x:v>0</x:v>
      </x:c>
      <x:c r="AF1353" t="n">
        <x:v>-0.017915993928909302</x:v>
      </x:c>
      <x:c r="AG1353" t="n">
        <x:f>_xlfn.XLOOKUP($A1353,Games!$A$2:$A$18,Games!$B$2:$B$18,"Missing game",0)</x:f>
        <x:v>2025</x:v>
      </x:c>
      <x:c r="AH1353" t="str">
        <x:f>_xlfn.XLOOKUP($A1353,Games!$A$2:$A$18,Games!$C$2:$C$18,"Missing game",0)</x:f>
        <x:v>REG</x:v>
      </x:c>
      <x:c r="AI1353" t="n">
        <x:f>_xlfn.XLOOKUP($A1353,Games!$A$2:$A$18,Games!$D$2:$D$18,"Missing game",0)</x:f>
        <x:v>10</x:v>
      </x:c>
      <x:c r="AJ1353" s="1" t="n">
        <x:f>_xlfn.XLOOKUP($A1353,Games!$A$2:$A$18,Games!$E$2:$E$18,"Missing game",0)</x:f>
        <x:v>45970</x:v>
      </x:c>
      <x:c r="AK1353" t="str">
        <x:f>_xlfn.XLOOKUP($A1353,Games!$A$2:$A$18,Games!$F$2:$F$18,"Missing game",0)</x:f>
        <x:v>Sunday</x:v>
      </x:c>
      <x:c r="AL1353" t="str">
        <x:f>_xlfn.XLOOKUP($A1353,Games!$A$2:$A$18,Games!$G$2:$G$18,"Missing game",0)</x:f>
        <x:v>BAL</x:v>
      </x:c>
      <x:c r="AM1353" t="n">
        <x:f>_xlfn.XLOOKUP($A1353,Games!$A$2:$A$18,Games!$H$2:$H$18,"Missing game",0)</x:f>
        <x:v>27</x:v>
      </x:c>
      <x:c r="AN1353" t="str">
        <x:f>_xlfn.XLOOKUP($A1353,Games!$A$2:$A$18,Games!$I$2:$I$18,"Missing game",0)</x:f>
        <x:v>MIN</x:v>
      </x:c>
      <x:c r="AO1353" t="n">
        <x:f>_xlfn.XLOOKUP($A1353,Games!$A$2:$A$18,Games!$J$2:$J$18,"Missing game",0)</x:f>
        <x:v>19</x:v>
      </x:c>
      <x:c r="AP1353" t="n">
        <x:f>_xlfn.XLOOKUP($A1353,Games!$A$2:$A$18,Games!$K$2:$K$18,"Missing game",0)</x:f>
        <x:v>-8</x:v>
      </x:c>
      <x:c r="AQ1353" t="n">
        <x:f>_xlfn.XLOOKUP($A1353,Games!$A$2:$A$18,Games!$L$2:$L$18,"Missing game",0)</x:f>
        <x:v>46</x:v>
      </x:c>
      <x:c r="AR1353" t="n">
        <x:f>_xlfn.XLOOKUP($A1353,Games!$A$2:$A$18,Games!$M$2:$M$18,"Missing game",0)</x:f>
        <x:v>0</x:v>
      </x:c>
      <x:c r="AS1353" t="str">
        <x:f>_xlfn.XLOOKUP($A1353,Games!$A$2:$A$18,Games!$N$2:$N$18,"Missing game",0)</x:f>
        <x:v>dome</x:v>
      </x:c>
      <x:c r="AT1353" t="str">
        <x:f>_xlfn.XLOOKUP($A1353,Games!$A$2:$A$18,Games!$O$2:$O$18,"Missing game",0)</x:f>
        <x:v>sportturf</x:v>
      </x:c>
      <x:c r="AU1353" t="str">
        <x:f>_xlfn.XLOOKUP($A1353,Games!$A$2:$A$18,Games!$P$2:$P$18,"Missing game",0)</x:f>
      </x:c>
      <x:c r="AV1353" t="str">
        <x:f>_xlfn.XLOOKUP($A1353,Games!$A$2:$A$18,Games!$Q$2:$Q$18,"Missing game",0)</x:f>
      </x:c>
      <x:c r="AW1353" t="str">
        <x:f>_xlfn.XLOOKUP($A1353,Games!$A$2:$A$18,Games!$R$2:$R$18,"Missing game",0)</x:f>
        <x:v>U.S. Bank Stadium</x:v>
      </x:c>
    </x:row>
    <x:row r="1354">
      <x:c r="A1354" t="str">
        <x:v>2025_10_BAL_MIN</x:v>
      </x:c>
      <x:c r="B1354" t="n">
        <x:v>85</x:v>
      </x:c>
      <x:c r="C1354" t="n">
        <x:v>1</x:v>
      </x:c>
      <x:c r="D1354" t="str">
        <x:v>14:49</x:v>
      </x:c>
      <x:c r="E1354" t="n">
        <x:v>2</x:v>
      </x:c>
      <x:c r="F1354" t="n">
        <x:v>10</x:v>
      </x:c>
      <x:c r="G1354" t="str">
        <x:v>BAL</x:v>
      </x:c>
      <x:c r="H1354" t="str">
        <x:v>MIN</x:v>
      </x:c>
      <x:c r="I1354" t="str">
        <x:v>BAL</x:v>
      </x:c>
      <x:c r="J1354" t="n">
        <x:v>69</x:v>
      </x:c>
      <x:c r="K1354" t="str">
        <x:v>(14:49) (Shotgun) 8-L.Jackson up the middle to BAL 33 for 2 yards (51-B.Cashman).</x:v>
      </x:c>
      <x:c r="L1354" t="str">
        <x:v>run</x:v>
      </x:c>
      <x:c r="M1354" t="n">
        <x:v>2</x:v>
      </x:c>
      <x:c r="N1354" t="n">
        <x:v>1</x:v>
      </x:c>
      <x:c r="O1354" t="n">
        <x:v>0</x:v>
      </x:c>
      <x:c r="P1354"/>
      <x:c r="Q1354"/>
      <x:c r="R1354"/>
      <x:c r="S1354"/>
      <x:c r="T1354" t="str">
        <x:v>middle</x:v>
      </x:c>
      <x:c r="U1354"/>
      <x:c r="V1354" t="n">
        <x:v>0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0</x:v>
      </x:c>
      <x:c r="AB1354"/>
      <x:c r="AC1354" t="n">
        <x:v>0</x:v>
      </x:c>
      <x:c r="AD1354" t="n">
        <x:v>-0.6620902395807207</x:v>
      </x:c>
      <x:c r="AE1354" t="n">
        <x:v>0</x:v>
      </x:c>
      <x:c r="AF1354" t="n">
        <x:v>-0.019474923610687256</x:v>
      </x:c>
      <x:c r="AG1354" t="n">
        <x:f>_xlfn.XLOOKUP($A1354,Games!$A$2:$A$18,Games!$B$2:$B$18,"Missing game",0)</x:f>
        <x:v>2025</x:v>
      </x:c>
      <x:c r="AH1354" t="str">
        <x:f>_xlfn.XLOOKUP($A1354,Games!$A$2:$A$18,Games!$C$2:$C$18,"Missing game",0)</x:f>
        <x:v>REG</x:v>
      </x:c>
      <x:c r="AI1354" t="n">
        <x:f>_xlfn.XLOOKUP($A1354,Games!$A$2:$A$18,Games!$D$2:$D$18,"Missing game",0)</x:f>
        <x:v>10</x:v>
      </x:c>
      <x:c r="AJ1354" s="1" t="n">
        <x:f>_xlfn.XLOOKUP($A1354,Games!$A$2:$A$18,Games!$E$2:$E$18,"Missing game",0)</x:f>
        <x:v>45970</x:v>
      </x:c>
      <x:c r="AK1354" t="str">
        <x:f>_xlfn.XLOOKUP($A1354,Games!$A$2:$A$18,Games!$F$2:$F$18,"Missing game",0)</x:f>
        <x:v>Sunday</x:v>
      </x:c>
      <x:c r="AL1354" t="str">
        <x:f>_xlfn.XLOOKUP($A1354,Games!$A$2:$A$18,Games!$G$2:$G$18,"Missing game",0)</x:f>
        <x:v>BAL</x:v>
      </x:c>
      <x:c r="AM1354" t="n">
        <x:f>_xlfn.XLOOKUP($A1354,Games!$A$2:$A$18,Games!$H$2:$H$18,"Missing game",0)</x:f>
        <x:v>27</x:v>
      </x:c>
      <x:c r="AN1354" t="str">
        <x:f>_xlfn.XLOOKUP($A1354,Games!$A$2:$A$18,Games!$I$2:$I$18,"Missing game",0)</x:f>
        <x:v>MIN</x:v>
      </x:c>
      <x:c r="AO1354" t="n">
        <x:f>_xlfn.XLOOKUP($A1354,Games!$A$2:$A$18,Games!$J$2:$J$18,"Missing game",0)</x:f>
        <x:v>19</x:v>
      </x:c>
      <x:c r="AP1354" t="n">
        <x:f>_xlfn.XLOOKUP($A1354,Games!$A$2:$A$18,Games!$K$2:$K$18,"Missing game",0)</x:f>
        <x:v>-8</x:v>
      </x:c>
      <x:c r="AQ1354" t="n">
        <x:f>_xlfn.XLOOKUP($A1354,Games!$A$2:$A$18,Games!$L$2:$L$18,"Missing game",0)</x:f>
        <x:v>46</x:v>
      </x:c>
      <x:c r="AR1354" t="n">
        <x:f>_xlfn.XLOOKUP($A1354,Games!$A$2:$A$18,Games!$M$2:$M$18,"Missing game",0)</x:f>
        <x:v>0</x:v>
      </x:c>
      <x:c r="AS1354" t="str">
        <x:f>_xlfn.XLOOKUP($A1354,Games!$A$2:$A$18,Games!$N$2:$N$18,"Missing game",0)</x:f>
        <x:v>dome</x:v>
      </x:c>
      <x:c r="AT1354" t="str">
        <x:f>_xlfn.XLOOKUP($A1354,Games!$A$2:$A$18,Games!$O$2:$O$18,"Missing game",0)</x:f>
        <x:v>sportturf</x:v>
      </x:c>
      <x:c r="AU1354" t="str">
        <x:f>_xlfn.XLOOKUP($A1354,Games!$A$2:$A$18,Games!$P$2:$P$18,"Missing game",0)</x:f>
      </x:c>
      <x:c r="AV1354" t="str">
        <x:f>_xlfn.XLOOKUP($A1354,Games!$A$2:$A$18,Games!$Q$2:$Q$18,"Missing game",0)</x:f>
      </x:c>
      <x:c r="AW1354" t="str">
        <x:f>_xlfn.XLOOKUP($A1354,Games!$A$2:$A$18,Games!$R$2:$R$18,"Missing game",0)</x:f>
        <x:v>U.S. Bank Stadium</x:v>
      </x:c>
    </x:row>
    <x:row r="1355">
      <x:c r="A1355" t="str">
        <x:v>2025_10_BAL_MIN</x:v>
      </x:c>
      <x:c r="B1355" t="n">
        <x:v>107</x:v>
      </x:c>
      <x:c r="C1355" t="n">
        <x:v>1</x:v>
      </x:c>
      <x:c r="D1355" t="str">
        <x:v>14:03</x:v>
      </x:c>
      <x:c r="E1355" t="n">
        <x:v>3</x:v>
      </x:c>
      <x:c r="F1355" t="n">
        <x:v>8</x:v>
      </x:c>
      <x:c r="G1355" t="str">
        <x:v>BAL</x:v>
      </x:c>
      <x:c r="H1355" t="str">
        <x:v>MIN</x:v>
      </x:c>
      <x:c r="I1355" t="str">
        <x:v>BAL</x:v>
      </x:c>
      <x:c r="J1355" t="n">
        <x:v>67</x:v>
      </x:c>
      <x:c r="K1355" t="str">
        <x:v>(14:03) (Shotgun) 8-L.Jackson pass short middle to 80-I.Likely to BAL 39 for 6 yards (2-I.Rodgers).</x:v>
      </x:c>
      <x:c r="L1355" t="str">
        <x:v>pass</x:v>
      </x:c>
      <x:c r="M1355" t="n">
        <x:v>6</x:v>
      </x:c>
      <x:c r="N1355" t="n">
        <x:v>1</x:v>
      </x:c>
      <x:c r="O1355" t="n">
        <x:v>0</x:v>
      </x:c>
      <x:c r="P1355" t="str">
        <x:v>short</x:v>
      </x:c>
      <x:c r="Q1355" t="str">
        <x:v>middle</x:v>
      </x:c>
      <x:c r="R1355" t="n">
        <x:v>5</x:v>
      </x:c>
      <x:c r="S1355" t="n">
        <x:v>1</x:v>
      </x:c>
      <x:c r="T1355"/>
      <x:c r="U1355"/>
      <x:c r="V1355" t="n">
        <x:v>1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0</x:v>
      </x:c>
      <x:c r="AB1355"/>
      <x:c r="AC1355" t="n">
        <x:v>0</x:v>
      </x:c>
      <x:c r="AD1355" t="n">
        <x:v>-0.8712856872007251</x:v>
      </x:c>
      <x:c r="AE1355" t="n">
        <x:v>0</x:v>
      </x:c>
      <x:c r="AF1355" t="n">
        <x:v>0.004809141159057617</x:v>
      </x:c>
      <x:c r="AG1355" t="n">
        <x:f>_xlfn.XLOOKUP($A1355,Games!$A$2:$A$18,Games!$B$2:$B$18,"Missing game",0)</x:f>
        <x:v>2025</x:v>
      </x:c>
      <x:c r="AH1355" t="str">
        <x:f>_xlfn.XLOOKUP($A1355,Games!$A$2:$A$18,Games!$C$2:$C$18,"Missing game",0)</x:f>
        <x:v>REG</x:v>
      </x:c>
      <x:c r="AI1355" t="n">
        <x:f>_xlfn.XLOOKUP($A1355,Games!$A$2:$A$18,Games!$D$2:$D$18,"Missing game",0)</x:f>
        <x:v>10</x:v>
      </x:c>
      <x:c r="AJ1355" s="1" t="n">
        <x:f>_xlfn.XLOOKUP($A1355,Games!$A$2:$A$18,Games!$E$2:$E$18,"Missing game",0)</x:f>
        <x:v>45970</x:v>
      </x:c>
      <x:c r="AK1355" t="str">
        <x:f>_xlfn.XLOOKUP($A1355,Games!$A$2:$A$18,Games!$F$2:$F$18,"Missing game",0)</x:f>
        <x:v>Sunday</x:v>
      </x:c>
      <x:c r="AL1355" t="str">
        <x:f>_xlfn.XLOOKUP($A1355,Games!$A$2:$A$18,Games!$G$2:$G$18,"Missing game",0)</x:f>
        <x:v>BAL</x:v>
      </x:c>
      <x:c r="AM1355" t="n">
        <x:f>_xlfn.XLOOKUP($A1355,Games!$A$2:$A$18,Games!$H$2:$H$18,"Missing game",0)</x:f>
        <x:v>27</x:v>
      </x:c>
      <x:c r="AN1355" t="str">
        <x:f>_xlfn.XLOOKUP($A1355,Games!$A$2:$A$18,Games!$I$2:$I$18,"Missing game",0)</x:f>
        <x:v>MIN</x:v>
      </x:c>
      <x:c r="AO1355" t="n">
        <x:f>_xlfn.XLOOKUP($A1355,Games!$A$2:$A$18,Games!$J$2:$J$18,"Missing game",0)</x:f>
        <x:v>19</x:v>
      </x:c>
      <x:c r="AP1355" t="n">
        <x:f>_xlfn.XLOOKUP($A1355,Games!$A$2:$A$18,Games!$K$2:$K$18,"Missing game",0)</x:f>
        <x:v>-8</x:v>
      </x:c>
      <x:c r="AQ1355" t="n">
        <x:f>_xlfn.XLOOKUP($A1355,Games!$A$2:$A$18,Games!$L$2:$L$18,"Missing game",0)</x:f>
        <x:v>46</x:v>
      </x:c>
      <x:c r="AR1355" t="n">
        <x:f>_xlfn.XLOOKUP($A1355,Games!$A$2:$A$18,Games!$M$2:$M$18,"Missing game",0)</x:f>
        <x:v>0</x:v>
      </x:c>
      <x:c r="AS1355" t="str">
        <x:f>_xlfn.XLOOKUP($A1355,Games!$A$2:$A$18,Games!$N$2:$N$18,"Missing game",0)</x:f>
        <x:v>dome</x:v>
      </x:c>
      <x:c r="AT1355" t="str">
        <x:f>_xlfn.XLOOKUP($A1355,Games!$A$2:$A$18,Games!$O$2:$O$18,"Missing game",0)</x:f>
        <x:v>sportturf</x:v>
      </x:c>
      <x:c r="AU1355" t="str">
        <x:f>_xlfn.XLOOKUP($A1355,Games!$A$2:$A$18,Games!$P$2:$P$18,"Missing game",0)</x:f>
      </x:c>
      <x:c r="AV1355" t="str">
        <x:f>_xlfn.XLOOKUP($A1355,Games!$A$2:$A$18,Games!$Q$2:$Q$18,"Missing game",0)</x:f>
      </x:c>
      <x:c r="AW1355" t="str">
        <x:f>_xlfn.XLOOKUP($A1355,Games!$A$2:$A$18,Games!$R$2:$R$18,"Missing game",0)</x:f>
        <x:v>U.S. Bank Stadium</x:v>
      </x:c>
    </x:row>
    <x:row r="1356">
      <x:c r="A1356" t="str">
        <x:v>2025_10_BAL_MIN</x:v>
      </x:c>
      <x:c r="B1356" t="n">
        <x:v>132</x:v>
      </x:c>
      <x:c r="C1356" t="n">
        <x:v>1</x:v>
      </x:c>
      <x:c r="D1356" t="str">
        <x:v>13:25</x:v>
      </x:c>
      <x:c r="E1356" t="n">
        <x:v>4</x:v>
      </x:c>
      <x:c r="F1356" t="n">
        <x:v>2</x:v>
      </x:c>
      <x:c r="G1356" t="str">
        <x:v>BAL</x:v>
      </x:c>
      <x:c r="H1356" t="str">
        <x:v>MIN</x:v>
      </x:c>
      <x:c r="I1356" t="str">
        <x:v>BAL</x:v>
      </x:c>
      <x:c r="J1356" t="n">
        <x:v>61</x:v>
      </x:c>
      <x:c r="K1356" t="str">
        <x:v>(13:25) 11-J.Stout punts 52 yards to MIN 9, Center-46-N.Moore. 4-M.Price to MIN 14 for 5 yards (24-M.Starks; 88-C.Kolar).</x:v>
      </x:c>
      <x:c r="L1356" t="str">
        <x:v>punt</x:v>
      </x:c>
      <x:c r="M1356" t="n">
        <x:v>0</x:v>
      </x:c>
      <x:c r="N1356" t="n">
        <x:v>0</x:v>
      </x:c>
      <x:c r="O1356" t="n">
        <x:v>0</x:v>
      </x:c>
      <x:c r="P1356"/>
      <x:c r="Q1356"/>
      <x:c r="R1356"/>
      <x:c r="S1356"/>
      <x:c r="T1356"/>
      <x:c r="U1356"/>
      <x:c r="V1356" t="n">
        <x:v>0</x:v>
      </x:c>
      <x:c r="W1356" t="n">
        <x:v>0</x:v>
      </x:c>
      <x:c r="X1356" t="n">
        <x:v>0</x:v>
      </x:c>
      <x:c r="Y1356" t="n">
        <x:v>0</x:v>
      </x:c>
      <x:c r="Z1356" t="n">
        <x:v>0</x:v>
      </x:c>
      <x:c r="AA1356" t="n">
        <x:v>0</x:v>
      </x:c>
      <x:c r="AB1356"/>
      <x:c r="AC1356" t="n">
        <x:v>0</x:v>
      </x:c>
      <x:c r="AD1356" t="n">
        <x:v>-0.28394509572535753</x:v>
      </x:c>
      <x:c r="AE1356" t="n">
        <x:v>0</x:v>
      </x:c>
      <x:c r="AF1356" t="n">
        <x:v>-0.004173487424850464</x:v>
      </x:c>
      <x:c r="AG1356" t="n">
        <x:f>_xlfn.XLOOKUP($A1356,Games!$A$2:$A$18,Games!$B$2:$B$18,"Missing game",0)</x:f>
        <x:v>2025</x:v>
      </x:c>
      <x:c r="AH1356" t="str">
        <x:f>_xlfn.XLOOKUP($A1356,Games!$A$2:$A$18,Games!$C$2:$C$18,"Missing game",0)</x:f>
        <x:v>REG</x:v>
      </x:c>
      <x:c r="AI1356" t="n">
        <x:f>_xlfn.XLOOKUP($A1356,Games!$A$2:$A$18,Games!$D$2:$D$18,"Missing game",0)</x:f>
        <x:v>10</x:v>
      </x:c>
      <x:c r="AJ1356" s="1" t="n">
        <x:f>_xlfn.XLOOKUP($A1356,Games!$A$2:$A$18,Games!$E$2:$E$18,"Missing game",0)</x:f>
        <x:v>45970</x:v>
      </x:c>
      <x:c r="AK1356" t="str">
        <x:f>_xlfn.XLOOKUP($A1356,Games!$A$2:$A$18,Games!$F$2:$F$18,"Missing game",0)</x:f>
        <x:v>Sunday</x:v>
      </x:c>
      <x:c r="AL1356" t="str">
        <x:f>_xlfn.XLOOKUP($A1356,Games!$A$2:$A$18,Games!$G$2:$G$18,"Missing game",0)</x:f>
        <x:v>BAL</x:v>
      </x:c>
      <x:c r="AM1356" t="n">
        <x:f>_xlfn.XLOOKUP($A1356,Games!$A$2:$A$18,Games!$H$2:$H$18,"Missing game",0)</x:f>
        <x:v>27</x:v>
      </x:c>
      <x:c r="AN1356" t="str">
        <x:f>_xlfn.XLOOKUP($A1356,Games!$A$2:$A$18,Games!$I$2:$I$18,"Missing game",0)</x:f>
        <x:v>MIN</x:v>
      </x:c>
      <x:c r="AO1356" t="n">
        <x:f>_xlfn.XLOOKUP($A1356,Games!$A$2:$A$18,Games!$J$2:$J$18,"Missing game",0)</x:f>
        <x:v>19</x:v>
      </x:c>
      <x:c r="AP1356" t="n">
        <x:f>_xlfn.XLOOKUP($A1356,Games!$A$2:$A$18,Games!$K$2:$K$18,"Missing game",0)</x:f>
        <x:v>-8</x:v>
      </x:c>
      <x:c r="AQ1356" t="n">
        <x:f>_xlfn.XLOOKUP($A1356,Games!$A$2:$A$18,Games!$L$2:$L$18,"Missing game",0)</x:f>
        <x:v>46</x:v>
      </x:c>
      <x:c r="AR1356" t="n">
        <x:f>_xlfn.XLOOKUP($A1356,Games!$A$2:$A$18,Games!$M$2:$M$18,"Missing game",0)</x:f>
        <x:v>0</x:v>
      </x:c>
      <x:c r="AS1356" t="str">
        <x:f>_xlfn.XLOOKUP($A1356,Games!$A$2:$A$18,Games!$N$2:$N$18,"Missing game",0)</x:f>
        <x:v>dome</x:v>
      </x:c>
      <x:c r="AT1356" t="str">
        <x:f>_xlfn.XLOOKUP($A1356,Games!$A$2:$A$18,Games!$O$2:$O$18,"Missing game",0)</x:f>
        <x:v>sportturf</x:v>
      </x:c>
      <x:c r="AU1356" t="str">
        <x:f>_xlfn.XLOOKUP($A1356,Games!$A$2:$A$18,Games!$P$2:$P$18,"Missing game",0)</x:f>
      </x:c>
      <x:c r="AV1356" t="str">
        <x:f>_xlfn.XLOOKUP($A1356,Games!$A$2:$A$18,Games!$Q$2:$Q$18,"Missing game",0)</x:f>
      </x:c>
      <x:c r="AW1356" t="str">
        <x:f>_xlfn.XLOOKUP($A1356,Games!$A$2:$A$18,Games!$R$2:$R$18,"Missing game",0)</x:f>
        <x:v>U.S. Bank Stadium</x:v>
      </x:c>
    </x:row>
    <x:row r="1357">
      <x:c r="A1357" t="str">
        <x:v>2025_10_BAL_MIN</x:v>
      </x:c>
      <x:c r="B1357" t="n">
        <x:v>158</x:v>
      </x:c>
      <x:c r="C1357" t="n">
        <x:v>1</x:v>
      </x:c>
      <x:c r="D1357" t="str">
        <x:v>13:13</x:v>
      </x:c>
      <x:c r="E1357" t="n">
        <x:v>1</x:v>
      </x:c>
      <x:c r="F1357" t="n">
        <x:v>10</x:v>
      </x:c>
      <x:c r="G1357" t="str">
        <x:v>MIN</x:v>
      </x:c>
      <x:c r="H1357" t="str">
        <x:v>BAL</x:v>
      </x:c>
      <x:c r="I1357" t="str">
        <x:v>MIN</x:v>
      </x:c>
      <x:c r="J1357" t="n">
        <x:v>86</x:v>
      </x:c>
      <x:c r="K1357" t="str">
        <x:v>(13:13) 9-J.McCarthy pass incomplete short right to 33-A.Jones (14-K.Hamilton).</x:v>
      </x:c>
      <x:c r="L1357" t="str">
        <x:v>pass</x:v>
      </x:c>
      <x:c r="M1357" t="n">
        <x:v>0</x:v>
      </x:c>
      <x:c r="N1357" t="n">
        <x:v>0</x:v>
      </x:c>
      <x:c r="O1357" t="n">
        <x:v>0</x:v>
      </x:c>
      <x:c r="P1357" t="str">
        <x:v>short</x:v>
      </x:c>
      <x:c r="Q1357" t="str">
        <x:v>right</x:v>
      </x:c>
      <x:c r="R1357" t="n">
        <x:v>-3</x:v>
      </x:c>
      <x:c r="S1357"/>
      <x:c r="T1357"/>
      <x:c r="U1357"/>
      <x:c r="V1357" t="n">
        <x:v>0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0</x:v>
      </x:c>
      <x:c r="AB1357"/>
      <x:c r="AC1357" t="n">
        <x:v>0</x:v>
      </x:c>
      <x:c r="AD1357" t="n">
        <x:v>-0.647518418263644</x:v>
      </x:c>
      <x:c r="AE1357" t="n">
        <x:v>0</x:v>
      </x:c>
      <x:c r="AF1357" t="n">
        <x:v>-0.010115981101989746</x:v>
      </x:c>
      <x:c r="AG1357" t="n">
        <x:f>_xlfn.XLOOKUP($A1357,Games!$A$2:$A$18,Games!$B$2:$B$18,"Missing game",0)</x:f>
        <x:v>2025</x:v>
      </x:c>
      <x:c r="AH1357" t="str">
        <x:f>_xlfn.XLOOKUP($A1357,Games!$A$2:$A$18,Games!$C$2:$C$18,"Missing game",0)</x:f>
        <x:v>REG</x:v>
      </x:c>
      <x:c r="AI1357" t="n">
        <x:f>_xlfn.XLOOKUP($A1357,Games!$A$2:$A$18,Games!$D$2:$D$18,"Missing game",0)</x:f>
        <x:v>10</x:v>
      </x:c>
      <x:c r="AJ1357" s="1" t="n">
        <x:f>_xlfn.XLOOKUP($A1357,Games!$A$2:$A$18,Games!$E$2:$E$18,"Missing game",0)</x:f>
        <x:v>45970</x:v>
      </x:c>
      <x:c r="AK1357" t="str">
        <x:f>_xlfn.XLOOKUP($A1357,Games!$A$2:$A$18,Games!$F$2:$F$18,"Missing game",0)</x:f>
        <x:v>Sunday</x:v>
      </x:c>
      <x:c r="AL1357" t="str">
        <x:f>_xlfn.XLOOKUP($A1357,Games!$A$2:$A$18,Games!$G$2:$G$18,"Missing game",0)</x:f>
        <x:v>BAL</x:v>
      </x:c>
      <x:c r="AM1357" t="n">
        <x:f>_xlfn.XLOOKUP($A1357,Games!$A$2:$A$18,Games!$H$2:$H$18,"Missing game",0)</x:f>
        <x:v>27</x:v>
      </x:c>
      <x:c r="AN1357" t="str">
        <x:f>_xlfn.XLOOKUP($A1357,Games!$A$2:$A$18,Games!$I$2:$I$18,"Missing game",0)</x:f>
        <x:v>MIN</x:v>
      </x:c>
      <x:c r="AO1357" t="n">
        <x:f>_xlfn.XLOOKUP($A1357,Games!$A$2:$A$18,Games!$J$2:$J$18,"Missing game",0)</x:f>
        <x:v>19</x:v>
      </x:c>
      <x:c r="AP1357" t="n">
        <x:f>_xlfn.XLOOKUP($A1357,Games!$A$2:$A$18,Games!$K$2:$K$18,"Missing game",0)</x:f>
        <x:v>-8</x:v>
      </x:c>
      <x:c r="AQ1357" t="n">
        <x:f>_xlfn.XLOOKUP($A1357,Games!$A$2:$A$18,Games!$L$2:$L$18,"Missing game",0)</x:f>
        <x:v>46</x:v>
      </x:c>
      <x:c r="AR1357" t="n">
        <x:f>_xlfn.XLOOKUP($A1357,Games!$A$2:$A$18,Games!$M$2:$M$18,"Missing game",0)</x:f>
        <x:v>0</x:v>
      </x:c>
      <x:c r="AS1357" t="str">
        <x:f>_xlfn.XLOOKUP($A1357,Games!$A$2:$A$18,Games!$N$2:$N$18,"Missing game",0)</x:f>
        <x:v>dome</x:v>
      </x:c>
      <x:c r="AT1357" t="str">
        <x:f>_xlfn.XLOOKUP($A1357,Games!$A$2:$A$18,Games!$O$2:$O$18,"Missing game",0)</x:f>
        <x:v>sportturf</x:v>
      </x:c>
      <x:c r="AU1357" t="str">
        <x:f>_xlfn.XLOOKUP($A1357,Games!$A$2:$A$18,Games!$P$2:$P$18,"Missing game",0)</x:f>
      </x:c>
      <x:c r="AV1357" t="str">
        <x:f>_xlfn.XLOOKUP($A1357,Games!$A$2:$A$18,Games!$Q$2:$Q$18,"Missing game",0)</x:f>
      </x:c>
      <x:c r="AW1357" t="str">
        <x:f>_xlfn.XLOOKUP($A1357,Games!$A$2:$A$18,Games!$R$2:$R$18,"Missing game",0)</x:f>
        <x:v>U.S. Bank Stadium</x:v>
      </x:c>
    </x:row>
    <x:row r="1358">
      <x:c r="A1358" t="str">
        <x:v>2025_10_BAL_MIN</x:v>
      </x:c>
      <x:c r="B1358" t="n">
        <x:v>181</x:v>
      </x:c>
      <x:c r="C1358" t="n">
        <x:v>1</x:v>
      </x:c>
      <x:c r="D1358" t="str">
        <x:v>13:09</x:v>
      </x:c>
      <x:c r="E1358" t="n">
        <x:v>2</x:v>
      </x:c>
      <x:c r="F1358" t="n">
        <x:v>10</x:v>
      </x:c>
      <x:c r="G1358" t="str">
        <x:v>MIN</x:v>
      </x:c>
      <x:c r="H1358" t="str">
        <x:v>BAL</x:v>
      </x:c>
      <x:c r="I1358" t="str">
        <x:v>MIN</x:v>
      </x:c>
      <x:c r="J1358" t="n">
        <x:v>86</x:v>
      </x:c>
      <x:c r="K1358" t="str">
        <x:v>(13:09) (Shotgun) 33-A.Jones up the middle to MIN 18 for 4 yards (98-T.Jones).</x:v>
      </x:c>
      <x:c r="L1358" t="str">
        <x:v>run</x:v>
      </x:c>
      <x:c r="M1358" t="n">
        <x:v>4</x:v>
      </x:c>
      <x:c r="N1358" t="n">
        <x:v>1</x:v>
      </x:c>
      <x:c r="O1358" t="n">
        <x:v>0</x:v>
      </x:c>
      <x:c r="P1358"/>
      <x:c r="Q1358"/>
      <x:c r="R1358"/>
      <x:c r="S1358"/>
      <x:c r="T1358" t="str">
        <x:v>middle</x:v>
      </x:c>
      <x:c r="U1358"/>
      <x:c r="V1358" t="n">
        <x:v>0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0</x:v>
      </x:c>
      <x:c r="AB1358"/>
      <x:c r="AC1358" t="n">
        <x:v>0</x:v>
      </x:c>
      <x:c r="AD1358" t="n">
        <x:v>-0.5028559667989612</x:v>
      </x:c>
      <x:c r="AE1358" t="n">
        <x:v>0</x:v>
      </x:c>
      <x:c r="AF1358" t="n">
        <x:v>-0.009147346019744873</x:v>
      </x:c>
      <x:c r="AG1358" t="n">
        <x:f>_xlfn.XLOOKUP($A1358,Games!$A$2:$A$18,Games!$B$2:$B$18,"Missing game",0)</x:f>
        <x:v>2025</x:v>
      </x:c>
      <x:c r="AH1358" t="str">
        <x:f>_xlfn.XLOOKUP($A1358,Games!$A$2:$A$18,Games!$C$2:$C$18,"Missing game",0)</x:f>
        <x:v>REG</x:v>
      </x:c>
      <x:c r="AI1358" t="n">
        <x:f>_xlfn.XLOOKUP($A1358,Games!$A$2:$A$18,Games!$D$2:$D$18,"Missing game",0)</x:f>
        <x:v>10</x:v>
      </x:c>
      <x:c r="AJ1358" s="1" t="n">
        <x:f>_xlfn.XLOOKUP($A1358,Games!$A$2:$A$18,Games!$E$2:$E$18,"Missing game",0)</x:f>
        <x:v>45970</x:v>
      </x:c>
      <x:c r="AK1358" t="str">
        <x:f>_xlfn.XLOOKUP($A1358,Games!$A$2:$A$18,Games!$F$2:$F$18,"Missing game",0)</x:f>
        <x:v>Sunday</x:v>
      </x:c>
      <x:c r="AL1358" t="str">
        <x:f>_xlfn.XLOOKUP($A1358,Games!$A$2:$A$18,Games!$G$2:$G$18,"Missing game",0)</x:f>
        <x:v>BAL</x:v>
      </x:c>
      <x:c r="AM1358" t="n">
        <x:f>_xlfn.XLOOKUP($A1358,Games!$A$2:$A$18,Games!$H$2:$H$18,"Missing game",0)</x:f>
        <x:v>27</x:v>
      </x:c>
      <x:c r="AN1358" t="str">
        <x:f>_xlfn.XLOOKUP($A1358,Games!$A$2:$A$18,Games!$I$2:$I$18,"Missing game",0)</x:f>
        <x:v>MIN</x:v>
      </x:c>
      <x:c r="AO1358" t="n">
        <x:f>_xlfn.XLOOKUP($A1358,Games!$A$2:$A$18,Games!$J$2:$J$18,"Missing game",0)</x:f>
        <x:v>19</x:v>
      </x:c>
      <x:c r="AP1358" t="n">
        <x:f>_xlfn.XLOOKUP($A1358,Games!$A$2:$A$18,Games!$K$2:$K$18,"Missing game",0)</x:f>
        <x:v>-8</x:v>
      </x:c>
      <x:c r="AQ1358" t="n">
        <x:f>_xlfn.XLOOKUP($A1358,Games!$A$2:$A$18,Games!$L$2:$L$18,"Missing game",0)</x:f>
        <x:v>46</x:v>
      </x:c>
      <x:c r="AR1358" t="n">
        <x:f>_xlfn.XLOOKUP($A1358,Games!$A$2:$A$18,Games!$M$2:$M$18,"Missing game",0)</x:f>
        <x:v>0</x:v>
      </x:c>
      <x:c r="AS1358" t="str">
        <x:f>_xlfn.XLOOKUP($A1358,Games!$A$2:$A$18,Games!$N$2:$N$18,"Missing game",0)</x:f>
        <x:v>dome</x:v>
      </x:c>
      <x:c r="AT1358" t="str">
        <x:f>_xlfn.XLOOKUP($A1358,Games!$A$2:$A$18,Games!$O$2:$O$18,"Missing game",0)</x:f>
        <x:v>sportturf</x:v>
      </x:c>
      <x:c r="AU1358" t="str">
        <x:f>_xlfn.XLOOKUP($A1358,Games!$A$2:$A$18,Games!$P$2:$P$18,"Missing game",0)</x:f>
      </x:c>
      <x:c r="AV1358" t="str">
        <x:f>_xlfn.XLOOKUP($A1358,Games!$A$2:$A$18,Games!$Q$2:$Q$18,"Missing game",0)</x:f>
      </x:c>
      <x:c r="AW1358" t="str">
        <x:f>_xlfn.XLOOKUP($A1358,Games!$A$2:$A$18,Games!$R$2:$R$18,"Missing game",0)</x:f>
        <x:v>U.S. Bank Stadium</x:v>
      </x:c>
    </x:row>
    <x:row r="1359">
      <x:c r="A1359" t="str">
        <x:v>2025_10_BAL_MIN</x:v>
      </x:c>
      <x:c r="B1359" t="n">
        <x:v>203</x:v>
      </x:c>
      <x:c r="C1359" t="n">
        <x:v>1</x:v>
      </x:c>
      <x:c r="D1359" t="str">
        <x:v>12:30</x:v>
      </x:c>
      <x:c r="E1359" t="n">
        <x:v>3</x:v>
      </x:c>
      <x:c r="F1359" t="n">
        <x:v>6</x:v>
      </x:c>
      <x:c r="G1359" t="str">
        <x:v>MIN</x:v>
      </x:c>
      <x:c r="H1359" t="str">
        <x:v>BAL</x:v>
      </x:c>
      <x:c r="I1359" t="str">
        <x:v>MIN</x:v>
      </x:c>
      <x:c r="J1359" t="n">
        <x:v>82</x:v>
      </x:c>
      <x:c r="K1359" t="str">
        <x:v>(12:30) (Shotgun) 9-J.McCarthy pass short right to 18-J.Jefferson pushed ob at MIN 28 for 10 yards (44-M.Humphrey) [14-K.Hamilton].</x:v>
      </x:c>
      <x:c r="L1359" t="str">
        <x:v>pass</x:v>
      </x:c>
      <x:c r="M1359" t="n">
        <x:v>10</x:v>
      </x:c>
      <x:c r="N1359" t="n">
        <x:v>1</x:v>
      </x:c>
      <x:c r="O1359" t="n">
        <x:v>0</x:v>
      </x:c>
      <x:c r="P1359" t="str">
        <x:v>short</x:v>
      </x:c>
      <x:c r="Q1359" t="str">
        <x:v>right</x:v>
      </x:c>
      <x:c r="R1359" t="n">
        <x:v>6</x:v>
      </x:c>
      <x:c r="S1359" t="n">
        <x:v>4</x:v>
      </x:c>
      <x:c r="T1359"/>
      <x:c r="U1359"/>
      <x:c r="V1359" t="n">
        <x:v>1</x:v>
      </x:c>
      <x:c r="W1359" t="n">
        <x:v>1</x:v>
      </x:c>
      <x:c r="X1359" t="n">
        <x:v>0</x:v>
      </x:c>
      <x:c r="Y1359" t="n">
        <x:v>0</x:v>
      </x:c>
      <x:c r="Z1359" t="n">
        <x:v>0</x:v>
      </x:c>
      <x:c r="AA1359" t="n">
        <x:v>0</x:v>
      </x:c>
      <x:c r="AB1359"/>
      <x:c r="AC1359" t="n">
        <x:v>0</x:v>
      </x:c>
      <x:c r="AD1359" t="n">
        <x:v>1.9907098594121635</x:v>
      </x:c>
      <x:c r="AE1359" t="n">
        <x:v>1</x:v>
      </x:c>
      <x:c r="AF1359" t="n">
        <x:v>0.03528761863708496</x:v>
      </x:c>
      <x:c r="AG1359" t="n">
        <x:f>_xlfn.XLOOKUP($A1359,Games!$A$2:$A$18,Games!$B$2:$B$18,"Missing game",0)</x:f>
        <x:v>2025</x:v>
      </x:c>
      <x:c r="AH1359" t="str">
        <x:f>_xlfn.XLOOKUP($A1359,Games!$A$2:$A$18,Games!$C$2:$C$18,"Missing game",0)</x:f>
        <x:v>REG</x:v>
      </x:c>
      <x:c r="AI1359" t="n">
        <x:f>_xlfn.XLOOKUP($A1359,Games!$A$2:$A$18,Games!$D$2:$D$18,"Missing game",0)</x:f>
        <x:v>10</x:v>
      </x:c>
      <x:c r="AJ1359" s="1" t="n">
        <x:f>_xlfn.XLOOKUP($A1359,Games!$A$2:$A$18,Games!$E$2:$E$18,"Missing game",0)</x:f>
        <x:v>45970</x:v>
      </x:c>
      <x:c r="AK1359" t="str">
        <x:f>_xlfn.XLOOKUP($A1359,Games!$A$2:$A$18,Games!$F$2:$F$18,"Missing game",0)</x:f>
        <x:v>Sunday</x:v>
      </x:c>
      <x:c r="AL1359" t="str">
        <x:f>_xlfn.XLOOKUP($A1359,Games!$A$2:$A$18,Games!$G$2:$G$18,"Missing game",0)</x:f>
        <x:v>BAL</x:v>
      </x:c>
      <x:c r="AM1359" t="n">
        <x:f>_xlfn.XLOOKUP($A1359,Games!$A$2:$A$18,Games!$H$2:$H$18,"Missing game",0)</x:f>
        <x:v>27</x:v>
      </x:c>
      <x:c r="AN1359" t="str">
        <x:f>_xlfn.XLOOKUP($A1359,Games!$A$2:$A$18,Games!$I$2:$I$18,"Missing game",0)</x:f>
        <x:v>MIN</x:v>
      </x:c>
      <x:c r="AO1359" t="n">
        <x:f>_xlfn.XLOOKUP($A1359,Games!$A$2:$A$18,Games!$J$2:$J$18,"Missing game",0)</x:f>
        <x:v>19</x:v>
      </x:c>
      <x:c r="AP1359" t="n">
        <x:f>_xlfn.XLOOKUP($A1359,Games!$A$2:$A$18,Games!$K$2:$K$18,"Missing game",0)</x:f>
        <x:v>-8</x:v>
      </x:c>
      <x:c r="AQ1359" t="n">
        <x:f>_xlfn.XLOOKUP($A1359,Games!$A$2:$A$18,Games!$L$2:$L$18,"Missing game",0)</x:f>
        <x:v>46</x:v>
      </x:c>
      <x:c r="AR1359" t="n">
        <x:f>_xlfn.XLOOKUP($A1359,Games!$A$2:$A$18,Games!$M$2:$M$18,"Missing game",0)</x:f>
        <x:v>0</x:v>
      </x:c>
      <x:c r="AS1359" t="str">
        <x:f>_xlfn.XLOOKUP($A1359,Games!$A$2:$A$18,Games!$N$2:$N$18,"Missing game",0)</x:f>
        <x:v>dome</x:v>
      </x:c>
      <x:c r="AT1359" t="str">
        <x:f>_xlfn.XLOOKUP($A1359,Games!$A$2:$A$18,Games!$O$2:$O$18,"Missing game",0)</x:f>
        <x:v>sportturf</x:v>
      </x:c>
      <x:c r="AU1359" t="str">
        <x:f>_xlfn.XLOOKUP($A1359,Games!$A$2:$A$18,Games!$P$2:$P$18,"Missing game",0)</x:f>
      </x:c>
      <x:c r="AV1359" t="str">
        <x:f>_xlfn.XLOOKUP($A1359,Games!$A$2:$A$18,Games!$Q$2:$Q$18,"Missing game",0)</x:f>
      </x:c>
      <x:c r="AW1359" t="str">
        <x:f>_xlfn.XLOOKUP($A1359,Games!$A$2:$A$18,Games!$R$2:$R$18,"Missing game",0)</x:f>
        <x:v>U.S. Bank Stadium</x:v>
      </x:c>
    </x:row>
    <x:row r="1360">
      <x:c r="A1360" t="str">
        <x:v>2025_10_BAL_MIN</x:v>
      </x:c>
      <x:c r="B1360" t="n">
        <x:v>233</x:v>
      </x:c>
      <x:c r="C1360" t="n">
        <x:v>1</x:v>
      </x:c>
      <x:c r="D1360" t="str">
        <x:v>11:56</x:v>
      </x:c>
      <x:c r="E1360" t="n">
        <x:v>1</x:v>
      </x:c>
      <x:c r="F1360" t="n">
        <x:v>10</x:v>
      </x:c>
      <x:c r="G1360" t="str">
        <x:v>MIN</x:v>
      </x:c>
      <x:c r="H1360" t="str">
        <x:v>BAL</x:v>
      </x:c>
      <x:c r="I1360" t="str">
        <x:v>MIN</x:v>
      </x:c>
      <x:c r="J1360" t="n">
        <x:v>72</x:v>
      </x:c>
      <x:c r="K1360" t="str">
        <x:v>(11:56) 33-A.Jones up the middle to MIN 30 for 2 yards (98-T.Jones).</x:v>
      </x:c>
      <x:c r="L1360" t="str">
        <x:v>run</x:v>
      </x:c>
      <x:c r="M1360" t="n">
        <x:v>2</x:v>
      </x:c>
      <x:c r="N1360" t="n">
        <x:v>0</x:v>
      </x:c>
      <x:c r="O1360" t="n">
        <x:v>0</x:v>
      </x:c>
      <x:c r="P1360"/>
      <x:c r="Q1360"/>
      <x:c r="R1360"/>
      <x:c r="S1360"/>
      <x:c r="T1360" t="str">
        <x:v>middle</x:v>
      </x:c>
      <x:c r="U1360"/>
      <x:c r="V1360" t="n">
        <x:v>0</x:v>
      </x:c>
      <x:c r="W1360" t="n">
        <x:v>0</x:v>
      </x:c>
      <x:c r="X1360" t="n">
        <x:v>0</x:v>
      </x:c>
      <x:c r="Y1360" t="n">
        <x:v>0</x:v>
      </x:c>
      <x:c r="Z1360" t="n">
        <x:v>0</x:v>
      </x:c>
      <x:c r="AA1360" t="n">
        <x:v>0</x:v>
      </x:c>
      <x:c r="AB1360"/>
      <x:c r="AC1360" t="n">
        <x:v>0</x:v>
      </x:c>
      <x:c r="AD1360" t="n">
        <x:v>-0.4532489413395524</x:v>
      </x:c>
      <x:c r="AE1360" t="n">
        <x:v>0</x:v>
      </x:c>
      <x:c r="AF1360" t="n">
        <x:v>-0.012654423713684082</x:v>
      </x:c>
      <x:c r="AG1360" t="n">
        <x:f>_xlfn.XLOOKUP($A1360,Games!$A$2:$A$18,Games!$B$2:$B$18,"Missing game",0)</x:f>
        <x:v>2025</x:v>
      </x:c>
      <x:c r="AH1360" t="str">
        <x:f>_xlfn.XLOOKUP($A1360,Games!$A$2:$A$18,Games!$C$2:$C$18,"Missing game",0)</x:f>
        <x:v>REG</x:v>
      </x:c>
      <x:c r="AI1360" t="n">
        <x:f>_xlfn.XLOOKUP($A1360,Games!$A$2:$A$18,Games!$D$2:$D$18,"Missing game",0)</x:f>
        <x:v>10</x:v>
      </x:c>
      <x:c r="AJ1360" s="1" t="n">
        <x:f>_xlfn.XLOOKUP($A1360,Games!$A$2:$A$18,Games!$E$2:$E$18,"Missing game",0)</x:f>
        <x:v>45970</x:v>
      </x:c>
      <x:c r="AK1360" t="str">
        <x:f>_xlfn.XLOOKUP($A1360,Games!$A$2:$A$18,Games!$F$2:$F$18,"Missing game",0)</x:f>
        <x:v>Sunday</x:v>
      </x:c>
      <x:c r="AL1360" t="str">
        <x:f>_xlfn.XLOOKUP($A1360,Games!$A$2:$A$18,Games!$G$2:$G$18,"Missing game",0)</x:f>
        <x:v>BAL</x:v>
      </x:c>
      <x:c r="AM1360" t="n">
        <x:f>_xlfn.XLOOKUP($A1360,Games!$A$2:$A$18,Games!$H$2:$H$18,"Missing game",0)</x:f>
        <x:v>27</x:v>
      </x:c>
      <x:c r="AN1360" t="str">
        <x:f>_xlfn.XLOOKUP($A1360,Games!$A$2:$A$18,Games!$I$2:$I$18,"Missing game",0)</x:f>
        <x:v>MIN</x:v>
      </x:c>
      <x:c r="AO1360" t="n">
        <x:f>_xlfn.XLOOKUP($A1360,Games!$A$2:$A$18,Games!$J$2:$J$18,"Missing game",0)</x:f>
        <x:v>19</x:v>
      </x:c>
      <x:c r="AP1360" t="n">
        <x:f>_xlfn.XLOOKUP($A1360,Games!$A$2:$A$18,Games!$K$2:$K$18,"Missing game",0)</x:f>
        <x:v>-8</x:v>
      </x:c>
      <x:c r="AQ1360" t="n">
        <x:f>_xlfn.XLOOKUP($A1360,Games!$A$2:$A$18,Games!$L$2:$L$18,"Missing game",0)</x:f>
        <x:v>46</x:v>
      </x:c>
      <x:c r="AR1360" t="n">
        <x:f>_xlfn.XLOOKUP($A1360,Games!$A$2:$A$18,Games!$M$2:$M$18,"Missing game",0)</x:f>
        <x:v>0</x:v>
      </x:c>
      <x:c r="AS1360" t="str">
        <x:f>_xlfn.XLOOKUP($A1360,Games!$A$2:$A$18,Games!$N$2:$N$18,"Missing game",0)</x:f>
        <x:v>dome</x:v>
      </x:c>
      <x:c r="AT1360" t="str">
        <x:f>_xlfn.XLOOKUP($A1360,Games!$A$2:$A$18,Games!$O$2:$O$18,"Missing game",0)</x:f>
        <x:v>sportturf</x:v>
      </x:c>
      <x:c r="AU1360" t="str">
        <x:f>_xlfn.XLOOKUP($A1360,Games!$A$2:$A$18,Games!$P$2:$P$18,"Missing game",0)</x:f>
      </x:c>
      <x:c r="AV1360" t="str">
        <x:f>_xlfn.XLOOKUP($A1360,Games!$A$2:$A$18,Games!$Q$2:$Q$18,"Missing game",0)</x:f>
      </x:c>
      <x:c r="AW1360" t="str">
        <x:f>_xlfn.XLOOKUP($A1360,Games!$A$2:$A$18,Games!$R$2:$R$18,"Missing game",0)</x:f>
        <x:v>U.S. Bank Stadium</x:v>
      </x:c>
    </x:row>
    <x:row r="1361">
      <x:c r="A1361" t="str">
        <x:v>2025_10_BAL_MIN</x:v>
      </x:c>
      <x:c r="B1361" t="n">
        <x:v>255</x:v>
      </x:c>
      <x:c r="C1361" t="n">
        <x:v>1</x:v>
      </x:c>
      <x:c r="D1361" t="str">
        <x:v>11:16</x:v>
      </x:c>
      <x:c r="E1361" t="n">
        <x:v>2</x:v>
      </x:c>
      <x:c r="F1361" t="n">
        <x:v>8</x:v>
      </x:c>
      <x:c r="G1361" t="str">
        <x:v>MIN</x:v>
      </x:c>
      <x:c r="H1361" t="str">
        <x:v>BAL</x:v>
      </x:c>
      <x:c r="I1361" t="str">
        <x:v>MIN</x:v>
      </x:c>
      <x:c r="J1361" t="n">
        <x:v>70</x:v>
      </x:c>
      <x:c r="K1361" t="str">
        <x:v>(11:16) (Shotgun) 9-J.McCarthy pass short right to 33-A.Jones ran ob at MIN 34 for 4 yards.</x:v>
      </x:c>
      <x:c r="L1361" t="str">
        <x:v>pass</x:v>
      </x:c>
      <x:c r="M1361" t="n">
        <x:v>4</x:v>
      </x:c>
      <x:c r="N1361" t="n">
        <x:v>1</x:v>
      </x:c>
      <x:c r="O1361" t="n">
        <x:v>0</x:v>
      </x:c>
      <x:c r="P1361" t="str">
        <x:v>short</x:v>
      </x:c>
      <x:c r="Q1361" t="str">
        <x:v>right</x:v>
      </x:c>
      <x:c r="R1361" t="n">
        <x:v>4</x:v>
      </x:c>
      <x:c r="S1361" t="n">
        <x:v>0</x:v>
      </x:c>
      <x:c r="T1361"/>
      <x:c r="U1361"/>
      <x:c r="V1361" t="n">
        <x:v>1</x:v>
      </x:c>
      <x:c r="W1361" t="n">
        <x:v>0</x:v>
      </x:c>
      <x:c r="X1361" t="n">
        <x:v>0</x:v>
      </x:c>
      <x:c r="Y1361" t="n">
        <x:v>0</x:v>
      </x:c>
      <x:c r="Z1361" t="n">
        <x:v>0</x:v>
      </x:c>
      <x:c r="AA1361" t="n">
        <x:v>0</x:v>
      </x:c>
      <x:c r="AB1361"/>
      <x:c r="AC1361" t="n">
        <x:v>0</x:v>
      </x:c>
      <x:c r="AD1361" t="n">
        <x:v>-0.24507165933027864</x:v>
      </x:c>
      <x:c r="AE1361" t="n">
        <x:v>0</x:v>
      </x:c>
      <x:c r="AF1361" t="n">
        <x:v>0.0017448663711547852</x:v>
      </x:c>
      <x:c r="AG1361" t="n">
        <x:f>_xlfn.XLOOKUP($A1361,Games!$A$2:$A$18,Games!$B$2:$B$18,"Missing game",0)</x:f>
        <x:v>2025</x:v>
      </x:c>
      <x:c r="AH1361" t="str">
        <x:f>_xlfn.XLOOKUP($A1361,Games!$A$2:$A$18,Games!$C$2:$C$18,"Missing game",0)</x:f>
        <x:v>REG</x:v>
      </x:c>
      <x:c r="AI1361" t="n">
        <x:f>_xlfn.XLOOKUP($A1361,Games!$A$2:$A$18,Games!$D$2:$D$18,"Missing game",0)</x:f>
        <x:v>10</x:v>
      </x:c>
      <x:c r="AJ1361" s="1" t="n">
        <x:f>_xlfn.XLOOKUP($A1361,Games!$A$2:$A$18,Games!$E$2:$E$18,"Missing game",0)</x:f>
        <x:v>45970</x:v>
      </x:c>
      <x:c r="AK1361" t="str">
        <x:f>_xlfn.XLOOKUP($A1361,Games!$A$2:$A$18,Games!$F$2:$F$18,"Missing game",0)</x:f>
        <x:v>Sunday</x:v>
      </x:c>
      <x:c r="AL1361" t="str">
        <x:f>_xlfn.XLOOKUP($A1361,Games!$A$2:$A$18,Games!$G$2:$G$18,"Missing game",0)</x:f>
        <x:v>BAL</x:v>
      </x:c>
      <x:c r="AM1361" t="n">
        <x:f>_xlfn.XLOOKUP($A1361,Games!$A$2:$A$18,Games!$H$2:$H$18,"Missing game",0)</x:f>
        <x:v>27</x:v>
      </x:c>
      <x:c r="AN1361" t="str">
        <x:f>_xlfn.XLOOKUP($A1361,Games!$A$2:$A$18,Games!$I$2:$I$18,"Missing game",0)</x:f>
        <x:v>MIN</x:v>
      </x:c>
      <x:c r="AO1361" t="n">
        <x:f>_xlfn.XLOOKUP($A1361,Games!$A$2:$A$18,Games!$J$2:$J$18,"Missing game",0)</x:f>
        <x:v>19</x:v>
      </x:c>
      <x:c r="AP1361" t="n">
        <x:f>_xlfn.XLOOKUP($A1361,Games!$A$2:$A$18,Games!$K$2:$K$18,"Missing game",0)</x:f>
        <x:v>-8</x:v>
      </x:c>
      <x:c r="AQ1361" t="n">
        <x:f>_xlfn.XLOOKUP($A1361,Games!$A$2:$A$18,Games!$L$2:$L$18,"Missing game",0)</x:f>
        <x:v>46</x:v>
      </x:c>
      <x:c r="AR1361" t="n">
        <x:f>_xlfn.XLOOKUP($A1361,Games!$A$2:$A$18,Games!$M$2:$M$18,"Missing game",0)</x:f>
        <x:v>0</x:v>
      </x:c>
      <x:c r="AS1361" t="str">
        <x:f>_xlfn.XLOOKUP($A1361,Games!$A$2:$A$18,Games!$N$2:$N$18,"Missing game",0)</x:f>
        <x:v>dome</x:v>
      </x:c>
      <x:c r="AT1361" t="str">
        <x:f>_xlfn.XLOOKUP($A1361,Games!$A$2:$A$18,Games!$O$2:$O$18,"Missing game",0)</x:f>
        <x:v>sportturf</x:v>
      </x:c>
      <x:c r="AU1361" t="str">
        <x:f>_xlfn.XLOOKUP($A1361,Games!$A$2:$A$18,Games!$P$2:$P$18,"Missing game",0)</x:f>
      </x:c>
      <x:c r="AV1361" t="str">
        <x:f>_xlfn.XLOOKUP($A1361,Games!$A$2:$A$18,Games!$Q$2:$Q$18,"Missing game",0)</x:f>
      </x:c>
      <x:c r="AW1361" t="str">
        <x:f>_xlfn.XLOOKUP($A1361,Games!$A$2:$A$18,Games!$R$2:$R$18,"Missing game",0)</x:f>
        <x:v>U.S. Bank Stadium</x:v>
      </x:c>
    </x:row>
    <x:row r="1362">
      <x:c r="A1362" t="str">
        <x:v>2025_10_BAL_MIN</x:v>
      </x:c>
      <x:c r="B1362" t="n">
        <x:v>285</x:v>
      </x:c>
      <x:c r="C1362" t="n">
        <x:v>1</x:v>
      </x:c>
      <x:c r="D1362" t="str">
        <x:v>10:40</x:v>
      </x:c>
      <x:c r="E1362" t="n">
        <x:v>3</x:v>
      </x:c>
      <x:c r="F1362" t="n">
        <x:v>4</x:v>
      </x:c>
      <x:c r="G1362" t="str">
        <x:v>MIN</x:v>
      </x:c>
      <x:c r="H1362" t="str">
        <x:v>BAL</x:v>
      </x:c>
      <x:c r="I1362" t="str">
        <x:v>MIN</x:v>
      </x:c>
      <x:c r="J1362" t="n">
        <x:v>66</x:v>
      </x:c>
      <x:c r="K1362" t="str">
        <x:v>(10:40) (Shotgun) 9-J.McCarthy pass deep left to 1-J.Nailor to BAL 4 for 62 yards (12-A.Gilman).</x:v>
      </x:c>
      <x:c r="L1362" t="str">
        <x:v>pass</x:v>
      </x:c>
      <x:c r="M1362" t="n">
        <x:v>62</x:v>
      </x:c>
      <x:c r="N1362" t="n">
        <x:v>1</x:v>
      </x:c>
      <x:c r="O1362" t="n">
        <x:v>0</x:v>
      </x:c>
      <x:c r="P1362" t="str">
        <x:v>deep</x:v>
      </x:c>
      <x:c r="Q1362" t="str">
        <x:v>left</x:v>
      </x:c>
      <x:c r="R1362" t="n">
        <x:v>25</x:v>
      </x:c>
      <x:c r="S1362" t="n">
        <x:v>37</x:v>
      </x:c>
      <x:c r="T1362"/>
      <x:c r="U1362"/>
      <x:c r="V1362" t="n">
        <x:v>1</x:v>
      </x:c>
      <x:c r="W1362" t="n">
        <x:v>1</x:v>
      </x:c>
      <x:c r="X1362" t="n">
        <x:v>0</x:v>
      </x:c>
      <x:c r="Y1362" t="n">
        <x:v>0</x:v>
      </x:c>
      <x:c r="Z1362" t="n">
        <x:v>0</x:v>
      </x:c>
      <x:c r="AA1362" t="n">
        <x:v>0</x:v>
      </x:c>
      <x:c r="AB1362"/>
      <x:c r="AC1362" t="n">
        <x:v>0</x:v>
      </x:c>
      <x:c r="AD1362" t="n">
        <x:v>5.0069325942895375</x:v>
      </x:c>
      <x:c r="AE1362" t="n">
        <x:v>1</x:v>
      </x:c>
      <x:c r="AF1362" t="n">
        <x:v>0.11675721406936646</x:v>
      </x:c>
      <x:c r="AG1362" t="n">
        <x:f>_xlfn.XLOOKUP($A1362,Games!$A$2:$A$18,Games!$B$2:$B$18,"Missing game",0)</x:f>
        <x:v>2025</x:v>
      </x:c>
      <x:c r="AH1362" t="str">
        <x:f>_xlfn.XLOOKUP($A1362,Games!$A$2:$A$18,Games!$C$2:$C$18,"Missing game",0)</x:f>
        <x:v>REG</x:v>
      </x:c>
      <x:c r="AI1362" t="n">
        <x:f>_xlfn.XLOOKUP($A1362,Games!$A$2:$A$18,Games!$D$2:$D$18,"Missing game",0)</x:f>
        <x:v>10</x:v>
      </x:c>
      <x:c r="AJ1362" s="1" t="n">
        <x:f>_xlfn.XLOOKUP($A1362,Games!$A$2:$A$18,Games!$E$2:$E$18,"Missing game",0)</x:f>
        <x:v>45970</x:v>
      </x:c>
      <x:c r="AK1362" t="str">
        <x:f>_xlfn.XLOOKUP($A1362,Games!$A$2:$A$18,Games!$F$2:$F$18,"Missing game",0)</x:f>
        <x:v>Sunday</x:v>
      </x:c>
      <x:c r="AL1362" t="str">
        <x:f>_xlfn.XLOOKUP($A1362,Games!$A$2:$A$18,Games!$G$2:$G$18,"Missing game",0)</x:f>
        <x:v>BAL</x:v>
      </x:c>
      <x:c r="AM1362" t="n">
        <x:f>_xlfn.XLOOKUP($A1362,Games!$A$2:$A$18,Games!$H$2:$H$18,"Missing game",0)</x:f>
        <x:v>27</x:v>
      </x:c>
      <x:c r="AN1362" t="str">
        <x:f>_xlfn.XLOOKUP($A1362,Games!$A$2:$A$18,Games!$I$2:$I$18,"Missing game",0)</x:f>
        <x:v>MIN</x:v>
      </x:c>
      <x:c r="AO1362" t="n">
        <x:f>_xlfn.XLOOKUP($A1362,Games!$A$2:$A$18,Games!$J$2:$J$18,"Missing game",0)</x:f>
        <x:v>19</x:v>
      </x:c>
      <x:c r="AP1362" t="n">
        <x:f>_xlfn.XLOOKUP($A1362,Games!$A$2:$A$18,Games!$K$2:$K$18,"Missing game",0)</x:f>
        <x:v>-8</x:v>
      </x:c>
      <x:c r="AQ1362" t="n">
        <x:f>_xlfn.XLOOKUP($A1362,Games!$A$2:$A$18,Games!$L$2:$L$18,"Missing game",0)</x:f>
        <x:v>46</x:v>
      </x:c>
      <x:c r="AR1362" t="n">
        <x:f>_xlfn.XLOOKUP($A1362,Games!$A$2:$A$18,Games!$M$2:$M$18,"Missing game",0)</x:f>
        <x:v>0</x:v>
      </x:c>
      <x:c r="AS1362" t="str">
        <x:f>_xlfn.XLOOKUP($A1362,Games!$A$2:$A$18,Games!$N$2:$N$18,"Missing game",0)</x:f>
        <x:v>dome</x:v>
      </x:c>
      <x:c r="AT1362" t="str">
        <x:f>_xlfn.XLOOKUP($A1362,Games!$A$2:$A$18,Games!$O$2:$O$18,"Missing game",0)</x:f>
        <x:v>sportturf</x:v>
      </x:c>
      <x:c r="AU1362" t="str">
        <x:f>_xlfn.XLOOKUP($A1362,Games!$A$2:$A$18,Games!$P$2:$P$18,"Missing game",0)</x:f>
      </x:c>
      <x:c r="AV1362" t="str">
        <x:f>_xlfn.XLOOKUP($A1362,Games!$A$2:$A$18,Games!$Q$2:$Q$18,"Missing game",0)</x:f>
      </x:c>
      <x:c r="AW1362" t="str">
        <x:f>_xlfn.XLOOKUP($A1362,Games!$A$2:$A$18,Games!$R$2:$R$18,"Missing game",0)</x:f>
        <x:v>U.S. Bank Stadium</x:v>
      </x:c>
    </x:row>
    <x:row r="1363">
      <x:c r="A1363" t="str">
        <x:v>2025_10_BAL_MIN</x:v>
      </x:c>
      <x:c r="B1363" t="n">
        <x:v>310</x:v>
      </x:c>
      <x:c r="C1363" t="n">
        <x:v>1</x:v>
      </x:c>
      <x:c r="D1363" t="str">
        <x:v>09:50</x:v>
      </x:c>
      <x:c r="E1363" t="n">
        <x:v>1</x:v>
      </x:c>
      <x:c r="F1363" t="n">
        <x:v>4</x:v>
      </x:c>
      <x:c r="G1363" t="str">
        <x:v>MIN</x:v>
      </x:c>
      <x:c r="H1363" t="str">
        <x:v>BAL</x:v>
      </x:c>
      <x:c r="I1363" t="str">
        <x:v>BAL</x:v>
      </x:c>
      <x:c r="J1363" t="n">
        <x:v>4</x:v>
      </x:c>
      <x:c r="K1363" t="str">
        <x:v>(9:50) 33-A.Jones left tackle for 4 yards, TOUCHDOWN.</x:v>
      </x:c>
      <x:c r="L1363" t="str">
        <x:v>run</x:v>
      </x:c>
      <x:c r="M1363" t="n">
        <x:v>4</x:v>
      </x:c>
      <x:c r="N1363" t="n">
        <x:v>0</x:v>
      </x:c>
      <x:c r="O1363" t="n">
        <x:v>0</x:v>
      </x:c>
      <x:c r="P1363"/>
      <x:c r="Q1363"/>
      <x:c r="R1363"/>
      <x:c r="S1363"/>
      <x:c r="T1363" t="str">
        <x:v>left</x:v>
      </x:c>
      <x:c r="U1363" t="str">
        <x:v>tackle</x:v>
      </x:c>
      <x:c r="V1363" t="n">
        <x:v>0</x:v>
      </x:c>
      <x:c r="W1363" t="n">
        <x:v>1</x:v>
      </x:c>
      <x:c r="X1363" t="n">
        <x:v>0</x:v>
      </x:c>
      <x:c r="Y1363" t="n">
        <x:v>0</x:v>
      </x:c>
      <x:c r="Z1363" t="n">
        <x:v>0</x:v>
      </x:c>
      <x:c r="AA1363" t="n">
        <x:v>0</x:v>
      </x:c>
      <x:c r="AB1363"/>
      <x:c r="AC1363" t="n">
        <x:v>1</x:v>
      </x:c>
      <x:c r="AD1363" t="n">
        <x:v>0.8177533322595991</x:v>
      </x:c>
      <x:c r="AE1363" t="n">
        <x:v>1</x:v>
      </x:c>
      <x:c r="AF1363" t="n">
        <x:v>0.02911159776296257</x:v>
      </x:c>
      <x:c r="AG1363" t="n">
        <x:f>_xlfn.XLOOKUP($A1363,Games!$A$2:$A$18,Games!$B$2:$B$18,"Missing game",0)</x:f>
        <x:v>2025</x:v>
      </x:c>
      <x:c r="AH1363" t="str">
        <x:f>_xlfn.XLOOKUP($A1363,Games!$A$2:$A$18,Games!$C$2:$C$18,"Missing game",0)</x:f>
        <x:v>REG</x:v>
      </x:c>
      <x:c r="AI1363" t="n">
        <x:f>_xlfn.XLOOKUP($A1363,Games!$A$2:$A$18,Games!$D$2:$D$18,"Missing game",0)</x:f>
        <x:v>10</x:v>
      </x:c>
      <x:c r="AJ1363" s="1" t="n">
        <x:f>_xlfn.XLOOKUP($A1363,Games!$A$2:$A$18,Games!$E$2:$E$18,"Missing game",0)</x:f>
        <x:v>45970</x:v>
      </x:c>
      <x:c r="AK1363" t="str">
        <x:f>_xlfn.XLOOKUP($A1363,Games!$A$2:$A$18,Games!$F$2:$F$18,"Missing game",0)</x:f>
        <x:v>Sunday</x:v>
      </x:c>
      <x:c r="AL1363" t="str">
        <x:f>_xlfn.XLOOKUP($A1363,Games!$A$2:$A$18,Games!$G$2:$G$18,"Missing game",0)</x:f>
        <x:v>BAL</x:v>
      </x:c>
      <x:c r="AM1363" t="n">
        <x:f>_xlfn.XLOOKUP($A1363,Games!$A$2:$A$18,Games!$H$2:$H$18,"Missing game",0)</x:f>
        <x:v>27</x:v>
      </x:c>
      <x:c r="AN1363" t="str">
        <x:f>_xlfn.XLOOKUP($A1363,Games!$A$2:$A$18,Games!$I$2:$I$18,"Missing game",0)</x:f>
        <x:v>MIN</x:v>
      </x:c>
      <x:c r="AO1363" t="n">
        <x:f>_xlfn.XLOOKUP($A1363,Games!$A$2:$A$18,Games!$J$2:$J$18,"Missing game",0)</x:f>
        <x:v>19</x:v>
      </x:c>
      <x:c r="AP1363" t="n">
        <x:f>_xlfn.XLOOKUP($A1363,Games!$A$2:$A$18,Games!$K$2:$K$18,"Missing game",0)</x:f>
        <x:v>-8</x:v>
      </x:c>
      <x:c r="AQ1363" t="n">
        <x:f>_xlfn.XLOOKUP($A1363,Games!$A$2:$A$18,Games!$L$2:$L$18,"Missing game",0)</x:f>
        <x:v>46</x:v>
      </x:c>
      <x:c r="AR1363" t="n">
        <x:f>_xlfn.XLOOKUP($A1363,Games!$A$2:$A$18,Games!$M$2:$M$18,"Missing game",0)</x:f>
        <x:v>0</x:v>
      </x:c>
      <x:c r="AS1363" t="str">
        <x:f>_xlfn.XLOOKUP($A1363,Games!$A$2:$A$18,Games!$N$2:$N$18,"Missing game",0)</x:f>
        <x:v>dome</x:v>
      </x:c>
      <x:c r="AT1363" t="str">
        <x:f>_xlfn.XLOOKUP($A1363,Games!$A$2:$A$18,Games!$O$2:$O$18,"Missing game",0)</x:f>
        <x:v>sportturf</x:v>
      </x:c>
      <x:c r="AU1363" t="str">
        <x:f>_xlfn.XLOOKUP($A1363,Games!$A$2:$A$18,Games!$P$2:$P$18,"Missing game",0)</x:f>
      </x:c>
      <x:c r="AV1363" t="str">
        <x:f>_xlfn.XLOOKUP($A1363,Games!$A$2:$A$18,Games!$Q$2:$Q$18,"Missing game",0)</x:f>
      </x:c>
      <x:c r="AW1363" t="str">
        <x:f>_xlfn.XLOOKUP($A1363,Games!$A$2:$A$18,Games!$R$2:$R$18,"Missing game",0)</x:f>
        <x:v>U.S. Bank Stadium</x:v>
      </x:c>
    </x:row>
    <x:row r="1364">
      <x:c r="A1364" t="str">
        <x:v>2025_10_BAL_MIN</x:v>
      </x:c>
      <x:c r="B1364" t="n">
        <x:v>322</x:v>
      </x:c>
      <x:c r="C1364" t="n">
        <x:v>1</x:v>
      </x:c>
      <x:c r="D1364" t="str">
        <x:v>09:50</x:v>
      </x:c>
      <x:c r="E1364"/>
      <x:c r="F1364" t="n">
        <x:v>0</x:v>
      </x:c>
      <x:c r="G1364"/>
      <x:c r="H1364"/>
      <x:c r="I1364"/>
      <x:c r="J1364"/>
      <x:c r="K1364" t="str">
        <x:v>Timeout #1 by MIN at 09:50.</x:v>
      </x:c>
      <x:c r="L1364" t="str">
        <x:v>no_play</x:v>
      </x:c>
      <x:c r="M1364" t="n">
        <x:v>0</x:v>
      </x:c>
      <x:c r="N1364" t="n">
        <x:v>0</x:v>
      </x:c>
      <x:c r="O1364" t="n">
        <x:v>0</x:v>
      </x:c>
      <x:c r="P1364"/>
      <x:c r="Q1364"/>
      <x:c r="R1364"/>
      <x:c r="S1364"/>
      <x:c r="T1364"/>
      <x:c r="U1364"/>
      <x:c r="V1364" t="n">
        <x:v>0</x:v>
      </x:c>
      <x:c r="W1364" t="n">
        <x:v>0</x:v>
      </x:c>
      <x:c r="X1364" t="n">
        <x:v>0</x:v>
      </x:c>
      <x:c r="Y1364" t="n">
        <x:v>0</x:v>
      </x:c>
      <x:c r="Z1364" t="n">
        <x:v>0</x:v>
      </x:c>
      <x:c r="AA1364" t="n">
        <x:v>0</x:v>
      </x:c>
      <x:c r="AB1364"/>
      <x:c r="AC1364" t="n">
        <x:v>0</x:v>
      </x:c>
      <x:c r="AD1364" t="n">
        <x:v>0</x:v>
      </x:c>
      <x:c r="AE1364" t="n">
        <x:v>0</x:v>
      </x:c>
      <x:c r="AF1364" t="n">
        <x:v>0</x:v>
      </x:c>
      <x:c r="AG1364" t="n">
        <x:f>_xlfn.XLOOKUP($A1364,Games!$A$2:$A$18,Games!$B$2:$B$18,"Missing game",0)</x:f>
        <x:v>2025</x:v>
      </x:c>
      <x:c r="AH1364" t="str">
        <x:f>_xlfn.XLOOKUP($A1364,Games!$A$2:$A$18,Games!$C$2:$C$18,"Missing game",0)</x:f>
        <x:v>REG</x:v>
      </x:c>
      <x:c r="AI1364" t="n">
        <x:f>_xlfn.XLOOKUP($A1364,Games!$A$2:$A$18,Games!$D$2:$D$18,"Missing game",0)</x:f>
        <x:v>10</x:v>
      </x:c>
      <x:c r="AJ1364" s="1" t="n">
        <x:f>_xlfn.XLOOKUP($A1364,Games!$A$2:$A$18,Games!$E$2:$E$18,"Missing game",0)</x:f>
        <x:v>45970</x:v>
      </x:c>
      <x:c r="AK1364" t="str">
        <x:f>_xlfn.XLOOKUP($A1364,Games!$A$2:$A$18,Games!$F$2:$F$18,"Missing game",0)</x:f>
        <x:v>Sunday</x:v>
      </x:c>
      <x:c r="AL1364" t="str">
        <x:f>_xlfn.XLOOKUP($A1364,Games!$A$2:$A$18,Games!$G$2:$G$18,"Missing game",0)</x:f>
        <x:v>BAL</x:v>
      </x:c>
      <x:c r="AM1364" t="n">
        <x:f>_xlfn.XLOOKUP($A1364,Games!$A$2:$A$18,Games!$H$2:$H$18,"Missing game",0)</x:f>
        <x:v>27</x:v>
      </x:c>
      <x:c r="AN1364" t="str">
        <x:f>_xlfn.XLOOKUP($A1364,Games!$A$2:$A$18,Games!$I$2:$I$18,"Missing game",0)</x:f>
        <x:v>MIN</x:v>
      </x:c>
      <x:c r="AO1364" t="n">
        <x:f>_xlfn.XLOOKUP($A1364,Games!$A$2:$A$18,Games!$J$2:$J$18,"Missing game",0)</x:f>
        <x:v>19</x:v>
      </x:c>
      <x:c r="AP1364" t="n">
        <x:f>_xlfn.XLOOKUP($A1364,Games!$A$2:$A$18,Games!$K$2:$K$18,"Missing game",0)</x:f>
        <x:v>-8</x:v>
      </x:c>
      <x:c r="AQ1364" t="n">
        <x:f>_xlfn.XLOOKUP($A1364,Games!$A$2:$A$18,Games!$L$2:$L$18,"Missing game",0)</x:f>
        <x:v>46</x:v>
      </x:c>
      <x:c r="AR1364" t="n">
        <x:f>_xlfn.XLOOKUP($A1364,Games!$A$2:$A$18,Games!$M$2:$M$18,"Missing game",0)</x:f>
        <x:v>0</x:v>
      </x:c>
      <x:c r="AS1364" t="str">
        <x:f>_xlfn.XLOOKUP($A1364,Games!$A$2:$A$18,Games!$N$2:$N$18,"Missing game",0)</x:f>
        <x:v>dome</x:v>
      </x:c>
      <x:c r="AT1364" t="str">
        <x:f>_xlfn.XLOOKUP($A1364,Games!$A$2:$A$18,Games!$O$2:$O$18,"Missing game",0)</x:f>
        <x:v>sportturf</x:v>
      </x:c>
      <x:c r="AU1364" t="str">
        <x:f>_xlfn.XLOOKUP($A1364,Games!$A$2:$A$18,Games!$P$2:$P$18,"Missing game",0)</x:f>
      </x:c>
      <x:c r="AV1364" t="str">
        <x:f>_xlfn.XLOOKUP($A1364,Games!$A$2:$A$18,Games!$Q$2:$Q$18,"Missing game",0)</x:f>
      </x:c>
      <x:c r="AW1364" t="str">
        <x:f>_xlfn.XLOOKUP($A1364,Games!$A$2:$A$18,Games!$R$2:$R$18,"Missing game",0)</x:f>
        <x:v>U.S. Bank Stadium</x:v>
      </x:c>
    </x:row>
    <x:row r="1365">
      <x:c r="A1365" t="str">
        <x:v>2025_10_BAL_MIN</x:v>
      </x:c>
      <x:c r="B1365" t="n">
        <x:v>340</x:v>
      </x:c>
      <x:c r="C1365" t="n">
        <x:v>1</x:v>
      </x:c>
      <x:c r="D1365" t="str">
        <x:v>09:46</x:v>
      </x:c>
      <x:c r="E1365"/>
      <x:c r="F1365" t="n">
        <x:v>0</x:v>
      </x:c>
      <x:c r="G1365" t="str">
        <x:v>MIN</x:v>
      </x:c>
      <x:c r="H1365" t="str">
        <x:v>BAL</x:v>
      </x:c>
      <x:c r="I1365" t="str">
        <x:v>BAL</x:v>
      </x:c>
      <x:c r="J1365" t="n">
        <x:v>15</x:v>
      </x:c>
      <x:c r="K1365" t="str">
        <x:v>16-W.Reichard extra point is GOOD, Center-42-A.DePaola, Holder-17-R.Wright.</x:v>
      </x:c>
      <x:c r="L1365" t="str">
        <x:v>extra_point</x:v>
      </x:c>
      <x:c r="M1365" t="n">
        <x:v>0</x:v>
      </x:c>
      <x:c r="N1365" t="n">
        <x:v>0</x:v>
      </x:c>
      <x:c r="O1365" t="n">
        <x:v>0</x:v>
      </x:c>
      <x:c r="P1365"/>
      <x:c r="Q1365"/>
      <x:c r="R1365"/>
      <x:c r="S1365"/>
      <x:c r="T1365"/>
      <x:c r="U1365"/>
      <x:c r="V1365" t="n">
        <x:v>0</x:v>
      </x:c>
      <x:c r="W1365" t="n">
        <x:v>0</x:v>
      </x:c>
      <x:c r="X1365" t="n">
        <x:v>0</x:v>
      </x:c>
      <x:c r="Y1365" t="n">
        <x:v>0</x:v>
      </x:c>
      <x:c r="Z1365" t="n">
        <x:v>0</x:v>
      </x:c>
      <x:c r="AA1365" t="n">
        <x:v>0</x:v>
      </x:c>
      <x:c r="AB1365"/>
      <x:c r="AC1365" t="n">
        <x:v>0</x:v>
      </x:c>
      <x:c r="AD1365" t="n">
        <x:v>0.05117156607063911</x:v>
      </x:c>
      <x:c r="AE1365" t="n">
        <x:v>1</x:v>
      </x:c>
      <x:c r="AF1365" t="n">
        <x:v>0.0011927149430310813</x:v>
      </x:c>
      <x:c r="AG1365" t="n">
        <x:f>_xlfn.XLOOKUP($A1365,Games!$A$2:$A$18,Games!$B$2:$B$18,"Missing game",0)</x:f>
        <x:v>2025</x:v>
      </x:c>
      <x:c r="AH1365" t="str">
        <x:f>_xlfn.XLOOKUP($A1365,Games!$A$2:$A$18,Games!$C$2:$C$18,"Missing game",0)</x:f>
        <x:v>REG</x:v>
      </x:c>
      <x:c r="AI1365" t="n">
        <x:f>_xlfn.XLOOKUP($A1365,Games!$A$2:$A$18,Games!$D$2:$D$18,"Missing game",0)</x:f>
        <x:v>10</x:v>
      </x:c>
      <x:c r="AJ1365" s="1" t="n">
        <x:f>_xlfn.XLOOKUP($A1365,Games!$A$2:$A$18,Games!$E$2:$E$18,"Missing game",0)</x:f>
        <x:v>45970</x:v>
      </x:c>
      <x:c r="AK1365" t="str">
        <x:f>_xlfn.XLOOKUP($A1365,Games!$A$2:$A$18,Games!$F$2:$F$18,"Missing game",0)</x:f>
        <x:v>Sunday</x:v>
      </x:c>
      <x:c r="AL1365" t="str">
        <x:f>_xlfn.XLOOKUP($A1365,Games!$A$2:$A$18,Games!$G$2:$G$18,"Missing game",0)</x:f>
        <x:v>BAL</x:v>
      </x:c>
      <x:c r="AM1365" t="n">
        <x:f>_xlfn.XLOOKUP($A1365,Games!$A$2:$A$18,Games!$H$2:$H$18,"Missing game",0)</x:f>
        <x:v>27</x:v>
      </x:c>
      <x:c r="AN1365" t="str">
        <x:f>_xlfn.XLOOKUP($A1365,Games!$A$2:$A$18,Games!$I$2:$I$18,"Missing game",0)</x:f>
        <x:v>MIN</x:v>
      </x:c>
      <x:c r="AO1365" t="n">
        <x:f>_xlfn.XLOOKUP($A1365,Games!$A$2:$A$18,Games!$J$2:$J$18,"Missing game",0)</x:f>
        <x:v>19</x:v>
      </x:c>
      <x:c r="AP1365" t="n">
        <x:f>_xlfn.XLOOKUP($A1365,Games!$A$2:$A$18,Games!$K$2:$K$18,"Missing game",0)</x:f>
        <x:v>-8</x:v>
      </x:c>
      <x:c r="AQ1365" t="n">
        <x:f>_xlfn.XLOOKUP($A1365,Games!$A$2:$A$18,Games!$L$2:$L$18,"Missing game",0)</x:f>
        <x:v>46</x:v>
      </x:c>
      <x:c r="AR1365" t="n">
        <x:f>_xlfn.XLOOKUP($A1365,Games!$A$2:$A$18,Games!$M$2:$M$18,"Missing game",0)</x:f>
        <x:v>0</x:v>
      </x:c>
      <x:c r="AS1365" t="str">
        <x:f>_xlfn.XLOOKUP($A1365,Games!$A$2:$A$18,Games!$N$2:$N$18,"Missing game",0)</x:f>
        <x:v>dome</x:v>
      </x:c>
      <x:c r="AT1365" t="str">
        <x:f>_xlfn.XLOOKUP($A1365,Games!$A$2:$A$18,Games!$O$2:$O$18,"Missing game",0)</x:f>
        <x:v>sportturf</x:v>
      </x:c>
      <x:c r="AU1365" t="str">
        <x:f>_xlfn.XLOOKUP($A1365,Games!$A$2:$A$18,Games!$P$2:$P$18,"Missing game",0)</x:f>
      </x:c>
      <x:c r="AV1365" t="str">
        <x:f>_xlfn.XLOOKUP($A1365,Games!$A$2:$A$18,Games!$Q$2:$Q$18,"Missing game",0)</x:f>
      </x:c>
      <x:c r="AW1365" t="str">
        <x:f>_xlfn.XLOOKUP($A1365,Games!$A$2:$A$18,Games!$R$2:$R$18,"Missing game",0)</x:f>
        <x:v>U.S. Bank Stadium</x:v>
      </x:c>
    </x:row>
    <x:row r="1366">
      <x:c r="A1366" t="str">
        <x:v>2025_10_BAL_MIN</x:v>
      </x:c>
      <x:c r="B1366" t="n">
        <x:v>355</x:v>
      </x:c>
      <x:c r="C1366" t="n">
        <x:v>1</x:v>
      </x:c>
      <x:c r="D1366" t="str">
        <x:v>09:46</x:v>
      </x:c>
      <x:c r="E1366"/>
      <x:c r="F1366" t="n">
        <x:v>0</x:v>
      </x:c>
      <x:c r="G1366" t="str">
        <x:v>BAL</x:v>
      </x:c>
      <x:c r="H1366" t="str">
        <x:v>MIN</x:v>
      </x:c>
      <x:c r="I1366" t="str">
        <x:v>MIN</x:v>
      </x:c>
      <x:c r="J1366" t="n">
        <x:v>35</x:v>
      </x:c>
      <x:c r="K1366" t="str">
        <x:v>16-W.Reichard kicks 57 yards from MIN 35 to BAL 8. 34-K.Mitchell to BAL 32 for 24 yards (37-T.Thomas).</x:v>
      </x:c>
      <x:c r="L1366" t="str">
        <x:v>kickoff</x:v>
      </x:c>
      <x:c r="M1366" t="n">
        <x:v>0</x:v>
      </x:c>
      <x:c r="N1366" t="n">
        <x:v>0</x:v>
      </x:c>
      <x:c r="O1366" t="n">
        <x:v>0</x:v>
      </x:c>
      <x:c r="P1366"/>
      <x:c r="Q1366"/>
      <x:c r="R1366"/>
      <x:c r="S1366"/>
      <x:c r="T1366"/>
      <x:c r="U1366"/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0</x:v>
      </x:c>
      <x:c r="AA1366" t="n">
        <x:v>0</x:v>
      </x:c>
      <x:c r="AB1366"/>
      <x:c r="AC1366" t="n">
        <x:v>0</x:v>
      </x:c>
      <x:c r="AD1366" t="n">
        <x:v>0.46866762614808977</x:v>
      </x:c>
      <x:c r="AE1366" t="n">
        <x:v>1</x:v>
      </x:c>
      <x:c r="AF1366" t="n">
        <x:v>0.004855737090110779</x:v>
      </x:c>
      <x:c r="AG1366" t="n">
        <x:f>_xlfn.XLOOKUP($A1366,Games!$A$2:$A$18,Games!$B$2:$B$18,"Missing game",0)</x:f>
        <x:v>2025</x:v>
      </x:c>
      <x:c r="AH1366" t="str">
        <x:f>_xlfn.XLOOKUP($A1366,Games!$A$2:$A$18,Games!$C$2:$C$18,"Missing game",0)</x:f>
        <x:v>REG</x:v>
      </x:c>
      <x:c r="AI1366" t="n">
        <x:f>_xlfn.XLOOKUP($A1366,Games!$A$2:$A$18,Games!$D$2:$D$18,"Missing game",0)</x:f>
        <x:v>10</x:v>
      </x:c>
      <x:c r="AJ1366" s="1" t="n">
        <x:f>_xlfn.XLOOKUP($A1366,Games!$A$2:$A$18,Games!$E$2:$E$18,"Missing game",0)</x:f>
        <x:v>45970</x:v>
      </x:c>
      <x:c r="AK1366" t="str">
        <x:f>_xlfn.XLOOKUP($A1366,Games!$A$2:$A$18,Games!$F$2:$F$18,"Missing game",0)</x:f>
        <x:v>Sunday</x:v>
      </x:c>
      <x:c r="AL1366" t="str">
        <x:f>_xlfn.XLOOKUP($A1366,Games!$A$2:$A$18,Games!$G$2:$G$18,"Missing game",0)</x:f>
        <x:v>BAL</x:v>
      </x:c>
      <x:c r="AM1366" t="n">
        <x:f>_xlfn.XLOOKUP($A1366,Games!$A$2:$A$18,Games!$H$2:$H$18,"Missing game",0)</x:f>
        <x:v>27</x:v>
      </x:c>
      <x:c r="AN1366" t="str">
        <x:f>_xlfn.XLOOKUP($A1366,Games!$A$2:$A$18,Games!$I$2:$I$18,"Missing game",0)</x:f>
        <x:v>MIN</x:v>
      </x:c>
      <x:c r="AO1366" t="n">
        <x:f>_xlfn.XLOOKUP($A1366,Games!$A$2:$A$18,Games!$J$2:$J$18,"Missing game",0)</x:f>
        <x:v>19</x:v>
      </x:c>
      <x:c r="AP1366" t="n">
        <x:f>_xlfn.XLOOKUP($A1366,Games!$A$2:$A$18,Games!$K$2:$K$18,"Missing game",0)</x:f>
        <x:v>-8</x:v>
      </x:c>
      <x:c r="AQ1366" t="n">
        <x:f>_xlfn.XLOOKUP($A1366,Games!$A$2:$A$18,Games!$L$2:$L$18,"Missing game",0)</x:f>
        <x:v>46</x:v>
      </x:c>
      <x:c r="AR1366" t="n">
        <x:f>_xlfn.XLOOKUP($A1366,Games!$A$2:$A$18,Games!$M$2:$M$18,"Missing game",0)</x:f>
        <x:v>0</x:v>
      </x:c>
      <x:c r="AS1366" t="str">
        <x:f>_xlfn.XLOOKUP($A1366,Games!$A$2:$A$18,Games!$N$2:$N$18,"Missing game",0)</x:f>
        <x:v>dome</x:v>
      </x:c>
      <x:c r="AT1366" t="str">
        <x:f>_xlfn.XLOOKUP($A1366,Games!$A$2:$A$18,Games!$O$2:$O$18,"Missing game",0)</x:f>
        <x:v>sportturf</x:v>
      </x:c>
      <x:c r="AU1366" t="str">
        <x:f>_xlfn.XLOOKUP($A1366,Games!$A$2:$A$18,Games!$P$2:$P$18,"Missing game",0)</x:f>
      </x:c>
      <x:c r="AV1366" t="str">
        <x:f>_xlfn.XLOOKUP($A1366,Games!$A$2:$A$18,Games!$Q$2:$Q$18,"Missing game",0)</x:f>
      </x:c>
      <x:c r="AW1366" t="str">
        <x:f>_xlfn.XLOOKUP($A1366,Games!$A$2:$A$18,Games!$R$2:$R$18,"Missing game",0)</x:f>
        <x:v>U.S. Bank Stadium</x:v>
      </x:c>
    </x:row>
    <x:row r="1367">
      <x:c r="A1367" t="str">
        <x:v>2025_10_BAL_MIN</x:v>
      </x:c>
      <x:c r="B1367" t="n">
        <x:v>385</x:v>
      </x:c>
      <x:c r="C1367" t="n">
        <x:v>1</x:v>
      </x:c>
      <x:c r="D1367" t="str">
        <x:v>09:42</x:v>
      </x:c>
      <x:c r="E1367" t="n">
        <x:v>1</x:v>
      </x:c>
      <x:c r="F1367" t="n">
        <x:v>10</x:v>
      </x:c>
      <x:c r="G1367" t="str">
        <x:v>BAL</x:v>
      </x:c>
      <x:c r="H1367" t="str">
        <x:v>MIN</x:v>
      </x:c>
      <x:c r="I1367" t="str">
        <x:v>BAL</x:v>
      </x:c>
      <x:c r="J1367" t="n">
        <x:v>68</x:v>
      </x:c>
      <x:c r="K1367" t="str">
        <x:v>(9:42) (Shotgun) 22-D.Henry left guard to BAL 36 for 4 yards (58-J.Greenard).</x:v>
      </x:c>
      <x:c r="L1367" t="str">
        <x:v>run</x:v>
      </x:c>
      <x:c r="M1367" t="n">
        <x:v>4</x:v>
      </x:c>
      <x:c r="N1367" t="n">
        <x:v>1</x:v>
      </x:c>
      <x:c r="O1367" t="n">
        <x:v>0</x:v>
      </x:c>
      <x:c r="P1367"/>
      <x:c r="Q1367"/>
      <x:c r="R1367"/>
      <x:c r="S1367"/>
      <x:c r="T1367" t="str">
        <x:v>left</x:v>
      </x:c>
      <x:c r="U1367" t="str">
        <x:v>guard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0</x:v>
      </x:c>
      <x:c r="AB1367"/>
      <x:c r="AC1367" t="n">
        <x:v>0</x:v>
      </x:c>
      <x:c r="AD1367" t="n">
        <x:v>-0.1276726892683655</x:v>
      </x:c>
      <x:c r="AE1367" t="n">
        <x:v>0</x:v>
      </x:c>
      <x:c r="AF1367" t="n">
        <x:v>0.003980591893196106</x:v>
      </x:c>
      <x:c r="AG1367" t="n">
        <x:f>_xlfn.XLOOKUP($A1367,Games!$A$2:$A$18,Games!$B$2:$B$18,"Missing game",0)</x:f>
        <x:v>2025</x:v>
      </x:c>
      <x:c r="AH1367" t="str">
        <x:f>_xlfn.XLOOKUP($A1367,Games!$A$2:$A$18,Games!$C$2:$C$18,"Missing game",0)</x:f>
        <x:v>REG</x:v>
      </x:c>
      <x:c r="AI1367" t="n">
        <x:f>_xlfn.XLOOKUP($A1367,Games!$A$2:$A$18,Games!$D$2:$D$18,"Missing game",0)</x:f>
        <x:v>10</x:v>
      </x:c>
      <x:c r="AJ1367" s="1" t="n">
        <x:f>_xlfn.XLOOKUP($A1367,Games!$A$2:$A$18,Games!$E$2:$E$18,"Missing game",0)</x:f>
        <x:v>45970</x:v>
      </x:c>
      <x:c r="AK1367" t="str">
        <x:f>_xlfn.XLOOKUP($A1367,Games!$A$2:$A$18,Games!$F$2:$F$18,"Missing game",0)</x:f>
        <x:v>Sunday</x:v>
      </x:c>
      <x:c r="AL1367" t="str">
        <x:f>_xlfn.XLOOKUP($A1367,Games!$A$2:$A$18,Games!$G$2:$G$18,"Missing game",0)</x:f>
        <x:v>BAL</x:v>
      </x:c>
      <x:c r="AM1367" t="n">
        <x:f>_xlfn.XLOOKUP($A1367,Games!$A$2:$A$18,Games!$H$2:$H$18,"Missing game",0)</x:f>
        <x:v>27</x:v>
      </x:c>
      <x:c r="AN1367" t="str">
        <x:f>_xlfn.XLOOKUP($A1367,Games!$A$2:$A$18,Games!$I$2:$I$18,"Missing game",0)</x:f>
        <x:v>MIN</x:v>
      </x:c>
      <x:c r="AO1367" t="n">
        <x:f>_xlfn.XLOOKUP($A1367,Games!$A$2:$A$18,Games!$J$2:$J$18,"Missing game",0)</x:f>
        <x:v>19</x:v>
      </x:c>
      <x:c r="AP1367" t="n">
        <x:f>_xlfn.XLOOKUP($A1367,Games!$A$2:$A$18,Games!$K$2:$K$18,"Missing game",0)</x:f>
        <x:v>-8</x:v>
      </x:c>
      <x:c r="AQ1367" t="n">
        <x:f>_xlfn.XLOOKUP($A1367,Games!$A$2:$A$18,Games!$L$2:$L$18,"Missing game",0)</x:f>
        <x:v>46</x:v>
      </x:c>
      <x:c r="AR1367" t="n">
        <x:f>_xlfn.XLOOKUP($A1367,Games!$A$2:$A$18,Games!$M$2:$M$18,"Missing game",0)</x:f>
        <x:v>0</x:v>
      </x:c>
      <x:c r="AS1367" t="str">
        <x:f>_xlfn.XLOOKUP($A1367,Games!$A$2:$A$18,Games!$N$2:$N$18,"Missing game",0)</x:f>
        <x:v>dome</x:v>
      </x:c>
      <x:c r="AT1367" t="str">
        <x:f>_xlfn.XLOOKUP($A1367,Games!$A$2:$A$18,Games!$O$2:$O$18,"Missing game",0)</x:f>
        <x:v>sportturf</x:v>
      </x:c>
      <x:c r="AU1367" t="str">
        <x:f>_xlfn.XLOOKUP($A1367,Games!$A$2:$A$18,Games!$P$2:$P$18,"Missing game",0)</x:f>
      </x:c>
      <x:c r="AV1367" t="str">
        <x:f>_xlfn.XLOOKUP($A1367,Games!$A$2:$A$18,Games!$Q$2:$Q$18,"Missing game",0)</x:f>
      </x:c>
      <x:c r="AW1367" t="str">
        <x:f>_xlfn.XLOOKUP($A1367,Games!$A$2:$A$18,Games!$R$2:$R$18,"Missing game",0)</x:f>
        <x:v>U.S. Bank Stadium</x:v>
      </x:c>
    </x:row>
    <x:row r="1368">
      <x:c r="A1368" t="str">
        <x:v>2025_10_BAL_MIN</x:v>
      </x:c>
      <x:c r="B1368" t="n">
        <x:v>407</x:v>
      </x:c>
      <x:c r="C1368" t="n">
        <x:v>1</x:v>
      </x:c>
      <x:c r="D1368" t="str">
        <x:v>09:03</x:v>
      </x:c>
      <x:c r="E1368" t="n">
        <x:v>2</x:v>
      </x:c>
      <x:c r="F1368" t="n">
        <x:v>6</x:v>
      </x:c>
      <x:c r="G1368" t="str">
        <x:v>BAL</x:v>
      </x:c>
      <x:c r="H1368" t="str">
        <x:v>MIN</x:v>
      </x:c>
      <x:c r="I1368" t="str">
        <x:v>BAL</x:v>
      </x:c>
      <x:c r="J1368" t="n">
        <x:v>64</x:v>
      </x:c>
      <x:c r="K1368" t="str">
        <x:v>(9:03) (Shotgun) 22-D.Henry up the middle to BAL 38 for 2 yards (61-J.Redmond; 0-I.Pace).</x:v>
      </x:c>
      <x:c r="L1368" t="str">
        <x:v>run</x:v>
      </x:c>
      <x:c r="M1368" t="n">
        <x:v>2</x:v>
      </x:c>
      <x:c r="N1368" t="n">
        <x:v>1</x:v>
      </x:c>
      <x:c r="O1368" t="n">
        <x:v>0</x:v>
      </x:c>
      <x:c r="P1368"/>
      <x:c r="Q1368"/>
      <x:c r="R1368"/>
      <x:c r="S1368"/>
      <x:c r="T1368" t="str">
        <x:v>middle</x:v>
      </x:c>
      <x:c r="U1368"/>
      <x:c r="V1368" t="n">
        <x:v>0</x:v>
      </x:c>
      <x:c r="W1368" t="n">
        <x:v>0</x:v>
      </x:c>
      <x:c r="X1368" t="n">
        <x:v>0</x:v>
      </x:c>
      <x:c r="Y1368" t="n">
        <x:v>0</x:v>
      </x:c>
      <x:c r="Z1368" t="n">
        <x:v>0</x:v>
      </x:c>
      <x:c r="AA1368" t="n">
        <x:v>0</x:v>
      </x:c>
      <x:c r="AB1368"/>
      <x:c r="AC1368" t="n">
        <x:v>0</x:v>
      </x:c>
      <x:c r="AD1368" t="n">
        <x:v>-0.6793745635077357</x:v>
      </x:c>
      <x:c r="AE1368" t="n">
        <x:v>0</x:v>
      </x:c>
      <x:c r="AF1368" t="n">
        <x:v>-0.016652867197990417</x:v>
      </x:c>
      <x:c r="AG1368" t="n">
        <x:f>_xlfn.XLOOKUP($A1368,Games!$A$2:$A$18,Games!$B$2:$B$18,"Missing game",0)</x:f>
        <x:v>2025</x:v>
      </x:c>
      <x:c r="AH1368" t="str">
        <x:f>_xlfn.XLOOKUP($A1368,Games!$A$2:$A$18,Games!$C$2:$C$18,"Missing game",0)</x:f>
        <x:v>REG</x:v>
      </x:c>
      <x:c r="AI1368" t="n">
        <x:f>_xlfn.XLOOKUP($A1368,Games!$A$2:$A$18,Games!$D$2:$D$18,"Missing game",0)</x:f>
        <x:v>10</x:v>
      </x:c>
      <x:c r="AJ1368" s="1" t="n">
        <x:f>_xlfn.XLOOKUP($A1368,Games!$A$2:$A$18,Games!$E$2:$E$18,"Missing game",0)</x:f>
        <x:v>45970</x:v>
      </x:c>
      <x:c r="AK1368" t="str">
        <x:f>_xlfn.XLOOKUP($A1368,Games!$A$2:$A$18,Games!$F$2:$F$18,"Missing game",0)</x:f>
        <x:v>Sunday</x:v>
      </x:c>
      <x:c r="AL1368" t="str">
        <x:f>_xlfn.XLOOKUP($A1368,Games!$A$2:$A$18,Games!$G$2:$G$18,"Missing game",0)</x:f>
        <x:v>BAL</x:v>
      </x:c>
      <x:c r="AM1368" t="n">
        <x:f>_xlfn.XLOOKUP($A1368,Games!$A$2:$A$18,Games!$H$2:$H$18,"Missing game",0)</x:f>
        <x:v>27</x:v>
      </x:c>
      <x:c r="AN1368" t="str">
        <x:f>_xlfn.XLOOKUP($A1368,Games!$A$2:$A$18,Games!$I$2:$I$18,"Missing game",0)</x:f>
        <x:v>MIN</x:v>
      </x:c>
      <x:c r="AO1368" t="n">
        <x:f>_xlfn.XLOOKUP($A1368,Games!$A$2:$A$18,Games!$J$2:$J$18,"Missing game",0)</x:f>
        <x:v>19</x:v>
      </x:c>
      <x:c r="AP1368" t="n">
        <x:f>_xlfn.XLOOKUP($A1368,Games!$A$2:$A$18,Games!$K$2:$K$18,"Missing game",0)</x:f>
        <x:v>-8</x:v>
      </x:c>
      <x:c r="AQ1368" t="n">
        <x:f>_xlfn.XLOOKUP($A1368,Games!$A$2:$A$18,Games!$L$2:$L$18,"Missing game",0)</x:f>
        <x:v>46</x:v>
      </x:c>
      <x:c r="AR1368" t="n">
        <x:f>_xlfn.XLOOKUP($A1368,Games!$A$2:$A$18,Games!$M$2:$M$18,"Missing game",0)</x:f>
        <x:v>0</x:v>
      </x:c>
      <x:c r="AS1368" t="str">
        <x:f>_xlfn.XLOOKUP($A1368,Games!$A$2:$A$18,Games!$N$2:$N$18,"Missing game",0)</x:f>
        <x:v>dome</x:v>
      </x:c>
      <x:c r="AT1368" t="str">
        <x:f>_xlfn.XLOOKUP($A1368,Games!$A$2:$A$18,Games!$O$2:$O$18,"Missing game",0)</x:f>
        <x:v>sportturf</x:v>
      </x:c>
      <x:c r="AU1368" t="str">
        <x:f>_xlfn.XLOOKUP($A1368,Games!$A$2:$A$18,Games!$P$2:$P$18,"Missing game",0)</x:f>
      </x:c>
      <x:c r="AV1368" t="str">
        <x:f>_xlfn.XLOOKUP($A1368,Games!$A$2:$A$18,Games!$Q$2:$Q$18,"Missing game",0)</x:f>
      </x:c>
      <x:c r="AW1368" t="str">
        <x:f>_xlfn.XLOOKUP($A1368,Games!$A$2:$A$18,Games!$R$2:$R$18,"Missing game",0)</x:f>
        <x:v>U.S. Bank Stadium</x:v>
      </x:c>
    </x:row>
    <x:row r="1369">
      <x:c r="A1369" t="str">
        <x:v>2025_10_BAL_MIN</x:v>
      </x:c>
      <x:c r="B1369" t="n">
        <x:v>429</x:v>
      </x:c>
      <x:c r="C1369" t="n">
        <x:v>1</x:v>
      </x:c>
      <x:c r="D1369" t="str">
        <x:v>08:25</x:v>
      </x:c>
      <x:c r="E1369" t="n">
        <x:v>3</x:v>
      </x:c>
      <x:c r="F1369" t="n">
        <x:v>4</x:v>
      </x:c>
      <x:c r="G1369" t="str">
        <x:v>BAL</x:v>
      </x:c>
      <x:c r="H1369" t="str">
        <x:v>MIN</x:v>
      </x:c>
      <x:c r="I1369" t="str">
        <x:v>BAL</x:v>
      </x:c>
      <x:c r="J1369" t="n">
        <x:v>62</x:v>
      </x:c>
      <x:c r="K1369" t="str">
        <x:v>(8:25) (Shotgun) 8-L.Jackson pass short left to 89-M.Andrews to BAL 44 for 6 yards (22-H.Smith).</x:v>
      </x:c>
      <x:c r="L1369" t="str">
        <x:v>pass</x:v>
      </x:c>
      <x:c r="M1369" t="n">
        <x:v>6</x:v>
      </x:c>
      <x:c r="N1369" t="n">
        <x:v>1</x:v>
      </x:c>
      <x:c r="O1369" t="n">
        <x:v>0</x:v>
      </x:c>
      <x:c r="P1369" t="str">
        <x:v>short</x:v>
      </x:c>
      <x:c r="Q1369" t="str">
        <x:v>left</x:v>
      </x:c>
      <x:c r="R1369" t="n">
        <x:v>3</x:v>
      </x:c>
      <x:c r="S1369" t="n">
        <x:v>3</x:v>
      </x:c>
      <x:c r="T1369"/>
      <x:c r="U1369"/>
      <x:c r="V1369" t="n">
        <x:v>1</x:v>
      </x:c>
      <x:c r="W1369" t="n">
        <x:v>1</x:v>
      </x:c>
      <x:c r="X1369" t="n">
        <x:v>0</x:v>
      </x:c>
      <x:c r="Y1369" t="n">
        <x:v>0</x:v>
      </x:c>
      <x:c r="Z1369" t="n">
        <x:v>0</x:v>
      </x:c>
      <x:c r="AA1369" t="n">
        <x:v>0</x:v>
      </x:c>
      <x:c r="AB1369"/>
      <x:c r="AC1369" t="n">
        <x:v>0</x:v>
      </x:c>
      <x:c r="AD1369" t="n">
        <x:v>1.4299830023664981</x:v>
      </x:c>
      <x:c r="AE1369" t="n">
        <x:v>1</x:v>
      </x:c>
      <x:c r="AF1369" t="n">
        <x:v>0.0362539142370224</x:v>
      </x:c>
      <x:c r="AG1369" t="n">
        <x:f>_xlfn.XLOOKUP($A1369,Games!$A$2:$A$18,Games!$B$2:$B$18,"Missing game",0)</x:f>
        <x:v>2025</x:v>
      </x:c>
      <x:c r="AH1369" t="str">
        <x:f>_xlfn.XLOOKUP($A1369,Games!$A$2:$A$18,Games!$C$2:$C$18,"Missing game",0)</x:f>
        <x:v>REG</x:v>
      </x:c>
      <x:c r="AI1369" t="n">
        <x:f>_xlfn.XLOOKUP($A1369,Games!$A$2:$A$18,Games!$D$2:$D$18,"Missing game",0)</x:f>
        <x:v>10</x:v>
      </x:c>
      <x:c r="AJ1369" s="1" t="n">
        <x:f>_xlfn.XLOOKUP($A1369,Games!$A$2:$A$18,Games!$E$2:$E$18,"Missing game",0)</x:f>
        <x:v>45970</x:v>
      </x:c>
      <x:c r="AK1369" t="str">
        <x:f>_xlfn.XLOOKUP($A1369,Games!$A$2:$A$18,Games!$F$2:$F$18,"Missing game",0)</x:f>
        <x:v>Sunday</x:v>
      </x:c>
      <x:c r="AL1369" t="str">
        <x:f>_xlfn.XLOOKUP($A1369,Games!$A$2:$A$18,Games!$G$2:$G$18,"Missing game",0)</x:f>
        <x:v>BAL</x:v>
      </x:c>
      <x:c r="AM1369" t="n">
        <x:f>_xlfn.XLOOKUP($A1369,Games!$A$2:$A$18,Games!$H$2:$H$18,"Missing game",0)</x:f>
        <x:v>27</x:v>
      </x:c>
      <x:c r="AN1369" t="str">
        <x:f>_xlfn.XLOOKUP($A1369,Games!$A$2:$A$18,Games!$I$2:$I$18,"Missing game",0)</x:f>
        <x:v>MIN</x:v>
      </x:c>
      <x:c r="AO1369" t="n">
        <x:f>_xlfn.XLOOKUP($A1369,Games!$A$2:$A$18,Games!$J$2:$J$18,"Missing game",0)</x:f>
        <x:v>19</x:v>
      </x:c>
      <x:c r="AP1369" t="n">
        <x:f>_xlfn.XLOOKUP($A1369,Games!$A$2:$A$18,Games!$K$2:$K$18,"Missing game",0)</x:f>
        <x:v>-8</x:v>
      </x:c>
      <x:c r="AQ1369" t="n">
        <x:f>_xlfn.XLOOKUP($A1369,Games!$A$2:$A$18,Games!$L$2:$L$18,"Missing game",0)</x:f>
        <x:v>46</x:v>
      </x:c>
      <x:c r="AR1369" t="n">
        <x:f>_xlfn.XLOOKUP($A1369,Games!$A$2:$A$18,Games!$M$2:$M$18,"Missing game",0)</x:f>
        <x:v>0</x:v>
      </x:c>
      <x:c r="AS1369" t="str">
        <x:f>_xlfn.XLOOKUP($A1369,Games!$A$2:$A$18,Games!$N$2:$N$18,"Missing game",0)</x:f>
        <x:v>dome</x:v>
      </x:c>
      <x:c r="AT1369" t="str">
        <x:f>_xlfn.XLOOKUP($A1369,Games!$A$2:$A$18,Games!$O$2:$O$18,"Missing game",0)</x:f>
        <x:v>sportturf</x:v>
      </x:c>
      <x:c r="AU1369" t="str">
        <x:f>_xlfn.XLOOKUP($A1369,Games!$A$2:$A$18,Games!$P$2:$P$18,"Missing game",0)</x:f>
      </x:c>
      <x:c r="AV1369" t="str">
        <x:f>_xlfn.XLOOKUP($A1369,Games!$A$2:$A$18,Games!$Q$2:$Q$18,"Missing game",0)</x:f>
      </x:c>
      <x:c r="AW1369" t="str">
        <x:f>_xlfn.XLOOKUP($A1369,Games!$A$2:$A$18,Games!$R$2:$R$18,"Missing game",0)</x:f>
        <x:v>U.S. Bank Stadium</x:v>
      </x:c>
    </x:row>
    <x:row r="1370">
      <x:c r="A1370" t="str">
        <x:v>2025_10_BAL_MIN</x:v>
      </x:c>
      <x:c r="B1370" t="n">
        <x:v>454</x:v>
      </x:c>
      <x:c r="C1370" t="n">
        <x:v>1</x:v>
      </x:c>
      <x:c r="D1370" t="str">
        <x:v>07:48</x:v>
      </x:c>
      <x:c r="E1370" t="n">
        <x:v>1</x:v>
      </x:c>
      <x:c r="F1370" t="n">
        <x:v>10</x:v>
      </x:c>
      <x:c r="G1370" t="str">
        <x:v>BAL</x:v>
      </x:c>
      <x:c r="H1370" t="str">
        <x:v>MIN</x:v>
      </x:c>
      <x:c r="I1370" t="str">
        <x:v>BAL</x:v>
      </x:c>
      <x:c r="J1370" t="n">
        <x:v>56</x:v>
      </x:c>
      <x:c r="K1370" t="str">
        <x:v>(7:48) 8-L.Jackson pass deep right to 4-Z.Flowers to MIN 40 for 16 yards (22-H.Smith) [0-I.Pace].</x:v>
      </x:c>
      <x:c r="L1370" t="str">
        <x:v>pass</x:v>
      </x:c>
      <x:c r="M1370" t="n">
        <x:v>16</x:v>
      </x:c>
      <x:c r="N1370" t="n">
        <x:v>0</x:v>
      </x:c>
      <x:c r="O1370" t="n">
        <x:v>0</x:v>
      </x:c>
      <x:c r="P1370" t="str">
        <x:v>deep</x:v>
      </x:c>
      <x:c r="Q1370" t="str">
        <x:v>right</x:v>
      </x:c>
      <x:c r="R1370" t="n">
        <x:v>16</x:v>
      </x:c>
      <x:c r="S1370" t="n">
        <x:v>0</x:v>
      </x:c>
      <x:c r="T1370"/>
      <x:c r="U1370"/>
      <x:c r="V1370" t="n">
        <x:v>1</x:v>
      </x:c>
      <x:c r="W1370" t="n">
        <x:v>1</x:v>
      </x:c>
      <x:c r="X1370" t="n">
        <x:v>0</x:v>
      </x:c>
      <x:c r="Y1370" t="n">
        <x:v>0</x:v>
      </x:c>
      <x:c r="Z1370" t="n">
        <x:v>0</x:v>
      </x:c>
      <x:c r="AA1370" t="n">
        <x:v>0</x:v>
      </x:c>
      <x:c r="AB1370"/>
      <x:c r="AC1370" t="n">
        <x:v>0</x:v>
      </x:c>
      <x:c r="AD1370" t="n">
        <x:v>1.0295083890669048</x:v>
      </x:c>
      <x:c r="AE1370" t="n">
        <x:v>1</x:v>
      </x:c>
      <x:c r="AF1370" t="n">
        <x:v>0.002927154302597046</x:v>
      </x:c>
      <x:c r="AG1370" t="n">
        <x:f>_xlfn.XLOOKUP($A1370,Games!$A$2:$A$18,Games!$B$2:$B$18,"Missing game",0)</x:f>
        <x:v>2025</x:v>
      </x:c>
      <x:c r="AH1370" t="str">
        <x:f>_xlfn.XLOOKUP($A1370,Games!$A$2:$A$18,Games!$C$2:$C$18,"Missing game",0)</x:f>
        <x:v>REG</x:v>
      </x:c>
      <x:c r="AI1370" t="n">
        <x:f>_xlfn.XLOOKUP($A1370,Games!$A$2:$A$18,Games!$D$2:$D$18,"Missing game",0)</x:f>
        <x:v>10</x:v>
      </x:c>
      <x:c r="AJ1370" s="1" t="n">
        <x:f>_xlfn.XLOOKUP($A1370,Games!$A$2:$A$18,Games!$E$2:$E$18,"Missing game",0)</x:f>
        <x:v>45970</x:v>
      </x:c>
      <x:c r="AK1370" t="str">
        <x:f>_xlfn.XLOOKUP($A1370,Games!$A$2:$A$18,Games!$F$2:$F$18,"Missing game",0)</x:f>
        <x:v>Sunday</x:v>
      </x:c>
      <x:c r="AL1370" t="str">
        <x:f>_xlfn.XLOOKUP($A1370,Games!$A$2:$A$18,Games!$G$2:$G$18,"Missing game",0)</x:f>
        <x:v>BAL</x:v>
      </x:c>
      <x:c r="AM1370" t="n">
        <x:f>_xlfn.XLOOKUP($A1370,Games!$A$2:$A$18,Games!$H$2:$H$18,"Missing game",0)</x:f>
        <x:v>27</x:v>
      </x:c>
      <x:c r="AN1370" t="str">
        <x:f>_xlfn.XLOOKUP($A1370,Games!$A$2:$A$18,Games!$I$2:$I$18,"Missing game",0)</x:f>
        <x:v>MIN</x:v>
      </x:c>
      <x:c r="AO1370" t="n">
        <x:f>_xlfn.XLOOKUP($A1370,Games!$A$2:$A$18,Games!$J$2:$J$18,"Missing game",0)</x:f>
        <x:v>19</x:v>
      </x:c>
      <x:c r="AP1370" t="n">
        <x:f>_xlfn.XLOOKUP($A1370,Games!$A$2:$A$18,Games!$K$2:$K$18,"Missing game",0)</x:f>
        <x:v>-8</x:v>
      </x:c>
      <x:c r="AQ1370" t="n">
        <x:f>_xlfn.XLOOKUP($A1370,Games!$A$2:$A$18,Games!$L$2:$L$18,"Missing game",0)</x:f>
        <x:v>46</x:v>
      </x:c>
      <x:c r="AR1370" t="n">
        <x:f>_xlfn.XLOOKUP($A1370,Games!$A$2:$A$18,Games!$M$2:$M$18,"Missing game",0)</x:f>
        <x:v>0</x:v>
      </x:c>
      <x:c r="AS1370" t="str">
        <x:f>_xlfn.XLOOKUP($A1370,Games!$A$2:$A$18,Games!$N$2:$N$18,"Missing game",0)</x:f>
        <x:v>dome</x:v>
      </x:c>
      <x:c r="AT1370" t="str">
        <x:f>_xlfn.XLOOKUP($A1370,Games!$A$2:$A$18,Games!$O$2:$O$18,"Missing game",0)</x:f>
        <x:v>sportturf</x:v>
      </x:c>
      <x:c r="AU1370" t="str">
        <x:f>_xlfn.XLOOKUP($A1370,Games!$A$2:$A$18,Games!$P$2:$P$18,"Missing game",0)</x:f>
      </x:c>
      <x:c r="AV1370" t="str">
        <x:f>_xlfn.XLOOKUP($A1370,Games!$A$2:$A$18,Games!$Q$2:$Q$18,"Missing game",0)</x:f>
      </x:c>
      <x:c r="AW1370" t="str">
        <x:f>_xlfn.XLOOKUP($A1370,Games!$A$2:$A$18,Games!$R$2:$R$18,"Missing game",0)</x:f>
        <x:v>U.S. Bank Stadium</x:v>
      </x:c>
    </x:row>
    <x:row r="1371">
      <x:c r="A1371" t="str">
        <x:v>2025_10_BAL_MIN</x:v>
      </x:c>
      <x:c r="B1371" t="n">
        <x:v>479</x:v>
      </x:c>
      <x:c r="C1371" t="n">
        <x:v>1</x:v>
      </x:c>
      <x:c r="D1371" t="str">
        <x:v>07:10</x:v>
      </x:c>
      <x:c r="E1371" t="n">
        <x:v>1</x:v>
      </x:c>
      <x:c r="F1371" t="n">
        <x:v>10</x:v>
      </x:c>
      <x:c r="G1371" t="str">
        <x:v>BAL</x:v>
      </x:c>
      <x:c r="H1371" t="str">
        <x:v>MIN</x:v>
      </x:c>
      <x:c r="I1371" t="str">
        <x:v>MIN</x:v>
      </x:c>
      <x:c r="J1371" t="n">
        <x:v>40</x:v>
      </x:c>
      <x:c r="K1371" t="str">
        <x:v>(7:10) (Shotgun) 22-D.Henry left end to MIN 39 for 1 yard (61-J.Redmond; 51-B.Cashman).</x:v>
      </x:c>
      <x:c r="L1371" t="str">
        <x:v>run</x:v>
      </x:c>
      <x:c r="M1371" t="n">
        <x:v>1</x:v>
      </x:c>
      <x:c r="N1371" t="n">
        <x:v>1</x:v>
      </x:c>
      <x:c r="O1371" t="n">
        <x:v>0</x:v>
      </x:c>
      <x:c r="P1371"/>
      <x:c r="Q1371"/>
      <x:c r="R1371"/>
      <x:c r="S1371"/>
      <x:c r="T1371" t="str">
        <x:v>left</x:v>
      </x:c>
      <x:c r="U1371" t="str">
        <x:v>end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0</x:v>
      </x:c>
      <x:c r="AB1371"/>
      <x:c r="AC1371" t="n">
        <x:v>0</x:v>
      </x:c>
      <x:c r="AD1371" t="n">
        <x:v>-0.6365536116063595</x:v>
      </x:c>
      <x:c r="AE1371" t="n">
        <x:v>0</x:v>
      </x:c>
      <x:c r="AF1371" t="n">
        <x:v>-0.013185948133468628</x:v>
      </x:c>
      <x:c r="AG1371" t="n">
        <x:f>_xlfn.XLOOKUP($A1371,Games!$A$2:$A$18,Games!$B$2:$B$18,"Missing game",0)</x:f>
        <x:v>2025</x:v>
      </x:c>
      <x:c r="AH1371" t="str">
        <x:f>_xlfn.XLOOKUP($A1371,Games!$A$2:$A$18,Games!$C$2:$C$18,"Missing game",0)</x:f>
        <x:v>REG</x:v>
      </x:c>
      <x:c r="AI1371" t="n">
        <x:f>_xlfn.XLOOKUP($A1371,Games!$A$2:$A$18,Games!$D$2:$D$18,"Missing game",0)</x:f>
        <x:v>10</x:v>
      </x:c>
      <x:c r="AJ1371" s="1" t="n">
        <x:f>_xlfn.XLOOKUP($A1371,Games!$A$2:$A$18,Games!$E$2:$E$18,"Missing game",0)</x:f>
        <x:v>45970</x:v>
      </x:c>
      <x:c r="AK1371" t="str">
        <x:f>_xlfn.XLOOKUP($A1371,Games!$A$2:$A$18,Games!$F$2:$F$18,"Missing game",0)</x:f>
        <x:v>Sunday</x:v>
      </x:c>
      <x:c r="AL1371" t="str">
        <x:f>_xlfn.XLOOKUP($A1371,Games!$A$2:$A$18,Games!$G$2:$G$18,"Missing game",0)</x:f>
        <x:v>BAL</x:v>
      </x:c>
      <x:c r="AM1371" t="n">
        <x:f>_xlfn.XLOOKUP($A1371,Games!$A$2:$A$18,Games!$H$2:$H$18,"Missing game",0)</x:f>
        <x:v>27</x:v>
      </x:c>
      <x:c r="AN1371" t="str">
        <x:f>_xlfn.XLOOKUP($A1371,Games!$A$2:$A$18,Games!$I$2:$I$18,"Missing game",0)</x:f>
        <x:v>MIN</x:v>
      </x:c>
      <x:c r="AO1371" t="n">
        <x:f>_xlfn.XLOOKUP($A1371,Games!$A$2:$A$18,Games!$J$2:$J$18,"Missing game",0)</x:f>
        <x:v>19</x:v>
      </x:c>
      <x:c r="AP1371" t="n">
        <x:f>_xlfn.XLOOKUP($A1371,Games!$A$2:$A$18,Games!$K$2:$K$18,"Missing game",0)</x:f>
        <x:v>-8</x:v>
      </x:c>
      <x:c r="AQ1371" t="n">
        <x:f>_xlfn.XLOOKUP($A1371,Games!$A$2:$A$18,Games!$L$2:$L$18,"Missing game",0)</x:f>
        <x:v>46</x:v>
      </x:c>
      <x:c r="AR1371" t="n">
        <x:f>_xlfn.XLOOKUP($A1371,Games!$A$2:$A$18,Games!$M$2:$M$18,"Missing game",0)</x:f>
        <x:v>0</x:v>
      </x:c>
      <x:c r="AS1371" t="str">
        <x:f>_xlfn.XLOOKUP($A1371,Games!$A$2:$A$18,Games!$N$2:$N$18,"Missing game",0)</x:f>
        <x:v>dome</x:v>
      </x:c>
      <x:c r="AT1371" t="str">
        <x:f>_xlfn.XLOOKUP($A1371,Games!$A$2:$A$18,Games!$O$2:$O$18,"Missing game",0)</x:f>
        <x:v>sportturf</x:v>
      </x:c>
      <x:c r="AU1371" t="str">
        <x:f>_xlfn.XLOOKUP($A1371,Games!$A$2:$A$18,Games!$P$2:$P$18,"Missing game",0)</x:f>
      </x:c>
      <x:c r="AV1371" t="str">
        <x:f>_xlfn.XLOOKUP($A1371,Games!$A$2:$A$18,Games!$Q$2:$Q$18,"Missing game",0)</x:f>
      </x:c>
      <x:c r="AW1371" t="str">
        <x:f>_xlfn.XLOOKUP($A1371,Games!$A$2:$A$18,Games!$R$2:$R$18,"Missing game",0)</x:f>
        <x:v>U.S. Bank Stadium</x:v>
      </x:c>
    </x:row>
    <x:row r="1372">
      <x:c r="A1372" t="str">
        <x:v>2025_10_BAL_MIN</x:v>
      </x:c>
      <x:c r="B1372" t="n">
        <x:v>501</x:v>
      </x:c>
      <x:c r="C1372" t="n">
        <x:v>1</x:v>
      </x:c>
      <x:c r="D1372" t="str">
        <x:v>06:30</x:v>
      </x:c>
      <x:c r="E1372" t="n">
        <x:v>2</x:v>
      </x:c>
      <x:c r="F1372" t="n">
        <x:v>9</x:v>
      </x:c>
      <x:c r="G1372" t="str">
        <x:v>BAL</x:v>
      </x:c>
      <x:c r="H1372" t="str">
        <x:v>MIN</x:v>
      </x:c>
      <x:c r="I1372" t="str">
        <x:v>MIN</x:v>
      </x:c>
      <x:c r="J1372" t="n">
        <x:v>39</x:v>
      </x:c>
      <x:c r="K1372" t="str">
        <x:v>(6:30) (Shotgun) 8-L.Jackson pass short right to 10-D.Hopkins ran ob at MIN 32 for 7 yards (23-F.Moreau).</x:v>
      </x:c>
      <x:c r="L1372" t="str">
        <x:v>pass</x:v>
      </x:c>
      <x:c r="M1372" t="n">
        <x:v>7</x:v>
      </x:c>
      <x:c r="N1372" t="n">
        <x:v>1</x:v>
      </x:c>
      <x:c r="O1372" t="n">
        <x:v>0</x:v>
      </x:c>
      <x:c r="P1372" t="str">
        <x:v>short</x:v>
      </x:c>
      <x:c r="Q1372" t="str">
        <x:v>right</x:v>
      </x:c>
      <x:c r="R1372" t="n">
        <x:v>7</x:v>
      </x:c>
      <x:c r="S1372" t="n">
        <x:v>0</x:v>
      </x:c>
      <x:c r="T1372"/>
      <x:c r="U1372"/>
      <x:c r="V1372" t="n">
        <x:v>1</x:v>
      </x:c>
      <x:c r="W1372" t="n">
        <x:v>0</x:v>
      </x:c>
      <x:c r="X1372" t="n">
        <x:v>0</x:v>
      </x:c>
      <x:c r="Y1372" t="n">
        <x:v>0</x:v>
      </x:c>
      <x:c r="Z1372" t="n">
        <x:v>0</x:v>
      </x:c>
      <x:c r="AA1372" t="n">
        <x:v>0</x:v>
      </x:c>
      <x:c r="AB1372"/>
      <x:c r="AC1372" t="n">
        <x:v>0</x:v>
      </x:c>
      <x:c r="AD1372" t="n">
        <x:v>0.4611402612645179</x:v>
      </x:c>
      <x:c r="AE1372" t="n">
        <x:v>1</x:v>
      </x:c>
      <x:c r="AF1372" t="n">
        <x:v>0.011790424585342407</x:v>
      </x:c>
      <x:c r="AG1372" t="n">
        <x:f>_xlfn.XLOOKUP($A1372,Games!$A$2:$A$18,Games!$B$2:$B$18,"Missing game",0)</x:f>
        <x:v>2025</x:v>
      </x:c>
      <x:c r="AH1372" t="str">
        <x:f>_xlfn.XLOOKUP($A1372,Games!$A$2:$A$18,Games!$C$2:$C$18,"Missing game",0)</x:f>
        <x:v>REG</x:v>
      </x:c>
      <x:c r="AI1372" t="n">
        <x:f>_xlfn.XLOOKUP($A1372,Games!$A$2:$A$18,Games!$D$2:$D$18,"Missing game",0)</x:f>
        <x:v>10</x:v>
      </x:c>
      <x:c r="AJ1372" s="1" t="n">
        <x:f>_xlfn.XLOOKUP($A1372,Games!$A$2:$A$18,Games!$E$2:$E$18,"Missing game",0)</x:f>
        <x:v>45970</x:v>
      </x:c>
      <x:c r="AK1372" t="str">
        <x:f>_xlfn.XLOOKUP($A1372,Games!$A$2:$A$18,Games!$F$2:$F$18,"Missing game",0)</x:f>
        <x:v>Sunday</x:v>
      </x:c>
      <x:c r="AL1372" t="str">
        <x:f>_xlfn.XLOOKUP($A1372,Games!$A$2:$A$18,Games!$G$2:$G$18,"Missing game",0)</x:f>
        <x:v>BAL</x:v>
      </x:c>
      <x:c r="AM1372" t="n">
        <x:f>_xlfn.XLOOKUP($A1372,Games!$A$2:$A$18,Games!$H$2:$H$18,"Missing game",0)</x:f>
        <x:v>27</x:v>
      </x:c>
      <x:c r="AN1372" t="str">
        <x:f>_xlfn.XLOOKUP($A1372,Games!$A$2:$A$18,Games!$I$2:$I$18,"Missing game",0)</x:f>
        <x:v>MIN</x:v>
      </x:c>
      <x:c r="AO1372" t="n">
        <x:f>_xlfn.XLOOKUP($A1372,Games!$A$2:$A$18,Games!$J$2:$J$18,"Missing game",0)</x:f>
        <x:v>19</x:v>
      </x:c>
      <x:c r="AP1372" t="n">
        <x:f>_xlfn.XLOOKUP($A1372,Games!$A$2:$A$18,Games!$K$2:$K$18,"Missing game",0)</x:f>
        <x:v>-8</x:v>
      </x:c>
      <x:c r="AQ1372" t="n">
        <x:f>_xlfn.XLOOKUP($A1372,Games!$A$2:$A$18,Games!$L$2:$L$18,"Missing game",0)</x:f>
        <x:v>46</x:v>
      </x:c>
      <x:c r="AR1372" t="n">
        <x:f>_xlfn.XLOOKUP($A1372,Games!$A$2:$A$18,Games!$M$2:$M$18,"Missing game",0)</x:f>
        <x:v>0</x:v>
      </x:c>
      <x:c r="AS1372" t="str">
        <x:f>_xlfn.XLOOKUP($A1372,Games!$A$2:$A$18,Games!$N$2:$N$18,"Missing game",0)</x:f>
        <x:v>dome</x:v>
      </x:c>
      <x:c r="AT1372" t="str">
        <x:f>_xlfn.XLOOKUP($A1372,Games!$A$2:$A$18,Games!$O$2:$O$18,"Missing game",0)</x:f>
        <x:v>sportturf</x:v>
      </x:c>
      <x:c r="AU1372" t="str">
        <x:f>_xlfn.XLOOKUP($A1372,Games!$A$2:$A$18,Games!$P$2:$P$18,"Missing game",0)</x:f>
      </x:c>
      <x:c r="AV1372" t="str">
        <x:f>_xlfn.XLOOKUP($A1372,Games!$A$2:$A$18,Games!$Q$2:$Q$18,"Missing game",0)</x:f>
      </x:c>
      <x:c r="AW1372" t="str">
        <x:f>_xlfn.XLOOKUP($A1372,Games!$A$2:$A$18,Games!$R$2:$R$18,"Missing game",0)</x:f>
        <x:v>U.S. Bank Stadium</x:v>
      </x:c>
    </x:row>
    <x:row r="1373">
      <x:c r="A1373" t="str">
        <x:v>2025_10_BAL_MIN</x:v>
      </x:c>
      <x:c r="B1373" t="n">
        <x:v>531</x:v>
      </x:c>
      <x:c r="C1373" t="n">
        <x:v>1</x:v>
      </x:c>
      <x:c r="D1373" t="str">
        <x:v>05:55</x:v>
      </x:c>
      <x:c r="E1373" t="n">
        <x:v>3</x:v>
      </x:c>
      <x:c r="F1373" t="n">
        <x:v>2</x:v>
      </x:c>
      <x:c r="G1373" t="str">
        <x:v>BAL</x:v>
      </x:c>
      <x:c r="H1373" t="str">
        <x:v>MIN</x:v>
      </x:c>
      <x:c r="I1373" t="str">
        <x:v>MIN</x:v>
      </x:c>
      <x:c r="J1373" t="n">
        <x:v>32</x:v>
      </x:c>
      <x:c r="K1373" t="str">
        <x:v>(5:55) (Shotgun) 22-D.Henry up the middle to MIN 29 for 3 yards (43-A.Van Ginkel).</x:v>
      </x:c>
      <x:c r="L1373" t="str">
        <x:v>run</x:v>
      </x:c>
      <x:c r="M1373" t="n">
        <x:v>3</x:v>
      </x:c>
      <x:c r="N1373" t="n">
        <x:v>1</x:v>
      </x:c>
      <x:c r="O1373" t="n">
        <x:v>0</x:v>
      </x:c>
      <x:c r="P1373"/>
      <x:c r="Q1373"/>
      <x:c r="R1373"/>
      <x:c r="S1373"/>
      <x:c r="T1373" t="str">
        <x:v>middle</x:v>
      </x:c>
      <x:c r="U1373"/>
      <x:c r="V1373" t="n">
        <x:v>0</x:v>
      </x:c>
      <x:c r="W1373" t="n">
        <x:v>1</x:v>
      </x:c>
      <x:c r="X1373" t="n">
        <x:v>0</x:v>
      </x:c>
      <x:c r="Y1373" t="n">
        <x:v>0</x:v>
      </x:c>
      <x:c r="Z1373" t="n">
        <x:v>0</x:v>
      </x:c>
      <x:c r="AA1373" t="n">
        <x:v>0</x:v>
      </x:c>
      <x:c r="AB1373"/>
      <x:c r="AC1373" t="n">
        <x:v>0</x:v>
      </x:c>
      <x:c r="AD1373" t="n">
        <x:v>0.866236275061965</x:v>
      </x:c>
      <x:c r="AE1373" t="n">
        <x:v>1</x:v>
      </x:c>
      <x:c r="AF1373" t="n">
        <x:v>0.02961874008178711</x:v>
      </x:c>
      <x:c r="AG1373" t="n">
        <x:f>_xlfn.XLOOKUP($A1373,Games!$A$2:$A$18,Games!$B$2:$B$18,"Missing game",0)</x:f>
        <x:v>2025</x:v>
      </x:c>
      <x:c r="AH1373" t="str">
        <x:f>_xlfn.XLOOKUP($A1373,Games!$A$2:$A$18,Games!$C$2:$C$18,"Missing game",0)</x:f>
        <x:v>REG</x:v>
      </x:c>
      <x:c r="AI1373" t="n">
        <x:f>_xlfn.XLOOKUP($A1373,Games!$A$2:$A$18,Games!$D$2:$D$18,"Missing game",0)</x:f>
        <x:v>10</x:v>
      </x:c>
      <x:c r="AJ1373" s="1" t="n">
        <x:f>_xlfn.XLOOKUP($A1373,Games!$A$2:$A$18,Games!$E$2:$E$18,"Missing game",0)</x:f>
        <x:v>45970</x:v>
      </x:c>
      <x:c r="AK1373" t="str">
        <x:f>_xlfn.XLOOKUP($A1373,Games!$A$2:$A$18,Games!$F$2:$F$18,"Missing game",0)</x:f>
        <x:v>Sunday</x:v>
      </x:c>
      <x:c r="AL1373" t="str">
        <x:f>_xlfn.XLOOKUP($A1373,Games!$A$2:$A$18,Games!$G$2:$G$18,"Missing game",0)</x:f>
        <x:v>BAL</x:v>
      </x:c>
      <x:c r="AM1373" t="n">
        <x:f>_xlfn.XLOOKUP($A1373,Games!$A$2:$A$18,Games!$H$2:$H$18,"Missing game",0)</x:f>
        <x:v>27</x:v>
      </x:c>
      <x:c r="AN1373" t="str">
        <x:f>_xlfn.XLOOKUP($A1373,Games!$A$2:$A$18,Games!$I$2:$I$18,"Missing game",0)</x:f>
        <x:v>MIN</x:v>
      </x:c>
      <x:c r="AO1373" t="n">
        <x:f>_xlfn.XLOOKUP($A1373,Games!$A$2:$A$18,Games!$J$2:$J$18,"Missing game",0)</x:f>
        <x:v>19</x:v>
      </x:c>
      <x:c r="AP1373" t="n">
        <x:f>_xlfn.XLOOKUP($A1373,Games!$A$2:$A$18,Games!$K$2:$K$18,"Missing game",0)</x:f>
        <x:v>-8</x:v>
      </x:c>
      <x:c r="AQ1373" t="n">
        <x:f>_xlfn.XLOOKUP($A1373,Games!$A$2:$A$18,Games!$L$2:$L$18,"Missing game",0)</x:f>
        <x:v>46</x:v>
      </x:c>
      <x:c r="AR1373" t="n">
        <x:f>_xlfn.XLOOKUP($A1373,Games!$A$2:$A$18,Games!$M$2:$M$18,"Missing game",0)</x:f>
        <x:v>0</x:v>
      </x:c>
      <x:c r="AS1373" t="str">
        <x:f>_xlfn.XLOOKUP($A1373,Games!$A$2:$A$18,Games!$N$2:$N$18,"Missing game",0)</x:f>
        <x:v>dome</x:v>
      </x:c>
      <x:c r="AT1373" t="str">
        <x:f>_xlfn.XLOOKUP($A1373,Games!$A$2:$A$18,Games!$O$2:$O$18,"Missing game",0)</x:f>
        <x:v>sportturf</x:v>
      </x:c>
      <x:c r="AU1373" t="str">
        <x:f>_xlfn.XLOOKUP($A1373,Games!$A$2:$A$18,Games!$P$2:$P$18,"Missing game",0)</x:f>
      </x:c>
      <x:c r="AV1373" t="str">
        <x:f>_xlfn.XLOOKUP($A1373,Games!$A$2:$A$18,Games!$Q$2:$Q$18,"Missing game",0)</x:f>
      </x:c>
      <x:c r="AW1373" t="str">
        <x:f>_xlfn.XLOOKUP($A1373,Games!$A$2:$A$18,Games!$R$2:$R$18,"Missing game",0)</x:f>
        <x:v>U.S. Bank Stadium</x:v>
      </x:c>
    </x:row>
    <x:row r="1374">
      <x:c r="A1374" t="str">
        <x:v>2025_10_BAL_MIN</x:v>
      </x:c>
      <x:c r="B1374" t="n">
        <x:v>558</x:v>
      </x:c>
      <x:c r="C1374" t="n">
        <x:v>1</x:v>
      </x:c>
      <x:c r="D1374" t="str">
        <x:v>05:16</x:v>
      </x:c>
      <x:c r="E1374" t="n">
        <x:v>1</x:v>
      </x:c>
      <x:c r="F1374" t="n">
        <x:v>10</x:v>
      </x:c>
      <x:c r="G1374" t="str">
        <x:v>BAL</x:v>
      </x:c>
      <x:c r="H1374" t="str">
        <x:v>MIN</x:v>
      </x:c>
      <x:c r="I1374" t="str">
        <x:v>MIN</x:v>
      </x:c>
      <x:c r="J1374" t="n">
        <x:v>29</x:v>
      </x:c>
      <x:c r="K1374" t="str">
        <x:v>(5:16) (Shotgun) 8-L.Jackson pass short right to 22-D.Henry to MIN 26 for 3 yards (7-B.Murphy).</x:v>
      </x:c>
      <x:c r="L1374" t="str">
        <x:v>pass</x:v>
      </x:c>
      <x:c r="M1374" t="n">
        <x:v>3</x:v>
      </x:c>
      <x:c r="N1374" t="n">
        <x:v>1</x:v>
      </x:c>
      <x:c r="O1374" t="n">
        <x:v>0</x:v>
      </x:c>
      <x:c r="P1374" t="str">
        <x:v>short</x:v>
      </x:c>
      <x:c r="Q1374" t="str">
        <x:v>right</x:v>
      </x:c>
      <x:c r="R1374" t="n">
        <x:v>-1</x:v>
      </x:c>
      <x:c r="S1374" t="n">
        <x:v>4</x:v>
      </x:c>
      <x:c r="T1374"/>
      <x:c r="U1374"/>
      <x:c r="V1374" t="n">
        <x:v>1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0</x:v>
      </x:c>
      <x:c r="AB1374"/>
      <x:c r="AC1374" t="n">
        <x:v>0</x:v>
      </x:c>
      <x:c r="AD1374" t="n">
        <x:v>-0.20918524323496968</x:v>
      </x:c>
      <x:c r="AE1374" t="n">
        <x:v>0</x:v>
      </x:c>
      <x:c r="AF1374" t="n">
        <x:v>-0.0009265244007110596</x:v>
      </x:c>
      <x:c r="AG1374" t="n">
        <x:f>_xlfn.XLOOKUP($A1374,Games!$A$2:$A$18,Games!$B$2:$B$18,"Missing game",0)</x:f>
        <x:v>2025</x:v>
      </x:c>
      <x:c r="AH1374" t="str">
        <x:f>_xlfn.XLOOKUP($A1374,Games!$A$2:$A$18,Games!$C$2:$C$18,"Missing game",0)</x:f>
        <x:v>REG</x:v>
      </x:c>
      <x:c r="AI1374" t="n">
        <x:f>_xlfn.XLOOKUP($A1374,Games!$A$2:$A$18,Games!$D$2:$D$18,"Missing game",0)</x:f>
        <x:v>10</x:v>
      </x:c>
      <x:c r="AJ1374" s="1" t="n">
        <x:f>_xlfn.XLOOKUP($A1374,Games!$A$2:$A$18,Games!$E$2:$E$18,"Missing game",0)</x:f>
        <x:v>45970</x:v>
      </x:c>
      <x:c r="AK1374" t="str">
        <x:f>_xlfn.XLOOKUP($A1374,Games!$A$2:$A$18,Games!$F$2:$F$18,"Missing game",0)</x:f>
        <x:v>Sunday</x:v>
      </x:c>
      <x:c r="AL1374" t="str">
        <x:f>_xlfn.XLOOKUP($A1374,Games!$A$2:$A$18,Games!$G$2:$G$18,"Missing game",0)</x:f>
        <x:v>BAL</x:v>
      </x:c>
      <x:c r="AM1374" t="n">
        <x:f>_xlfn.XLOOKUP($A1374,Games!$A$2:$A$18,Games!$H$2:$H$18,"Missing game",0)</x:f>
        <x:v>27</x:v>
      </x:c>
      <x:c r="AN1374" t="str">
        <x:f>_xlfn.XLOOKUP($A1374,Games!$A$2:$A$18,Games!$I$2:$I$18,"Missing game",0)</x:f>
        <x:v>MIN</x:v>
      </x:c>
      <x:c r="AO1374" t="n">
        <x:f>_xlfn.XLOOKUP($A1374,Games!$A$2:$A$18,Games!$J$2:$J$18,"Missing game",0)</x:f>
        <x:v>19</x:v>
      </x:c>
      <x:c r="AP1374" t="n">
        <x:f>_xlfn.XLOOKUP($A1374,Games!$A$2:$A$18,Games!$K$2:$K$18,"Missing game",0)</x:f>
        <x:v>-8</x:v>
      </x:c>
      <x:c r="AQ1374" t="n">
        <x:f>_xlfn.XLOOKUP($A1374,Games!$A$2:$A$18,Games!$L$2:$L$18,"Missing game",0)</x:f>
        <x:v>46</x:v>
      </x:c>
      <x:c r="AR1374" t="n">
        <x:f>_xlfn.XLOOKUP($A1374,Games!$A$2:$A$18,Games!$M$2:$M$18,"Missing game",0)</x:f>
        <x:v>0</x:v>
      </x:c>
      <x:c r="AS1374" t="str">
        <x:f>_xlfn.XLOOKUP($A1374,Games!$A$2:$A$18,Games!$N$2:$N$18,"Missing game",0)</x:f>
        <x:v>dome</x:v>
      </x:c>
      <x:c r="AT1374" t="str">
        <x:f>_xlfn.XLOOKUP($A1374,Games!$A$2:$A$18,Games!$O$2:$O$18,"Missing game",0)</x:f>
        <x:v>sportturf</x:v>
      </x:c>
      <x:c r="AU1374" t="str">
        <x:f>_xlfn.XLOOKUP($A1374,Games!$A$2:$A$18,Games!$P$2:$P$18,"Missing game",0)</x:f>
      </x:c>
      <x:c r="AV1374" t="str">
        <x:f>_xlfn.XLOOKUP($A1374,Games!$A$2:$A$18,Games!$Q$2:$Q$18,"Missing game",0)</x:f>
      </x:c>
      <x:c r="AW1374" t="str">
        <x:f>_xlfn.XLOOKUP($A1374,Games!$A$2:$A$18,Games!$R$2:$R$18,"Missing game",0)</x:f>
        <x:v>U.S. Bank Stadium</x:v>
      </x:c>
    </x:row>
    <x:row r="1375">
      <x:c r="A1375" t="str">
        <x:v>2025_10_BAL_MIN</x:v>
      </x:c>
      <x:c r="B1375" t="n">
        <x:v>583</x:v>
      </x:c>
      <x:c r="C1375" t="n">
        <x:v>1</x:v>
      </x:c>
      <x:c r="D1375" t="str">
        <x:v>04:38</x:v>
      </x:c>
      <x:c r="E1375" t="n">
        <x:v>2</x:v>
      </x:c>
      <x:c r="F1375" t="n">
        <x:v>7</x:v>
      </x:c>
      <x:c r="G1375" t="str">
        <x:v>BAL</x:v>
      </x:c>
      <x:c r="H1375" t="str">
        <x:v>MIN</x:v>
      </x:c>
      <x:c r="I1375" t="str">
        <x:v>MIN</x:v>
      </x:c>
      <x:c r="J1375" t="n">
        <x:v>26</x:v>
      </x:c>
      <x:c r="K1375" t="str">
        <x:v>(4:38) (Shotgun) 8-L.Jackson pass incomplete deep middle to 89-M.Andrews.</x:v>
      </x:c>
      <x:c r="L1375" t="str">
        <x:v>pass</x:v>
      </x:c>
      <x:c r="M1375" t="n">
        <x:v>0</x:v>
      </x:c>
      <x:c r="N1375" t="n">
        <x:v>1</x:v>
      </x:c>
      <x:c r="O1375" t="n">
        <x:v>0</x:v>
      </x:c>
      <x:c r="P1375" t="str">
        <x:v>deep</x:v>
      </x:c>
      <x:c r="Q1375" t="str">
        <x:v>middle</x:v>
      </x:c>
      <x:c r="R1375" t="n">
        <x:v>19</x:v>
      </x:c>
      <x:c r="S1375"/>
      <x:c r="T1375"/>
      <x:c r="U1375"/>
      <x:c r="V1375" t="n">
        <x:v>0</x:v>
      </x:c>
      <x:c r="W1375" t="n">
        <x:v>0</x:v>
      </x:c>
      <x:c r="X1375" t="n">
        <x:v>0</x:v>
      </x:c>
      <x:c r="Y1375" t="n">
        <x:v>0</x:v>
      </x:c>
      <x:c r="Z1375" t="n">
        <x:v>0</x:v>
      </x:c>
      <x:c r="AA1375" t="n">
        <x:v>0</x:v>
      </x:c>
      <x:c r="AB1375"/>
      <x:c r="AC1375" t="n">
        <x:v>0</x:v>
      </x:c>
      <x:c r="AD1375" t="n">
        <x:v>-0.6747570487204939</x:v>
      </x:c>
      <x:c r="AE1375" t="n">
        <x:v>0</x:v>
      </x:c>
      <x:c r="AF1375" t="n">
        <x:v>-0.01981806755065918</x:v>
      </x:c>
      <x:c r="AG1375" t="n">
        <x:f>_xlfn.XLOOKUP($A1375,Games!$A$2:$A$18,Games!$B$2:$B$18,"Missing game",0)</x:f>
        <x:v>2025</x:v>
      </x:c>
      <x:c r="AH1375" t="str">
        <x:f>_xlfn.XLOOKUP($A1375,Games!$A$2:$A$18,Games!$C$2:$C$18,"Missing game",0)</x:f>
        <x:v>REG</x:v>
      </x:c>
      <x:c r="AI1375" t="n">
        <x:f>_xlfn.XLOOKUP($A1375,Games!$A$2:$A$18,Games!$D$2:$D$18,"Missing game",0)</x:f>
        <x:v>10</x:v>
      </x:c>
      <x:c r="AJ1375" s="1" t="n">
        <x:f>_xlfn.XLOOKUP($A1375,Games!$A$2:$A$18,Games!$E$2:$E$18,"Missing game",0)</x:f>
        <x:v>45970</x:v>
      </x:c>
      <x:c r="AK1375" t="str">
        <x:f>_xlfn.XLOOKUP($A1375,Games!$A$2:$A$18,Games!$F$2:$F$18,"Missing game",0)</x:f>
        <x:v>Sunday</x:v>
      </x:c>
      <x:c r="AL1375" t="str">
        <x:f>_xlfn.XLOOKUP($A1375,Games!$A$2:$A$18,Games!$G$2:$G$18,"Missing game",0)</x:f>
        <x:v>BAL</x:v>
      </x:c>
      <x:c r="AM1375" t="n">
        <x:f>_xlfn.XLOOKUP($A1375,Games!$A$2:$A$18,Games!$H$2:$H$18,"Missing game",0)</x:f>
        <x:v>27</x:v>
      </x:c>
      <x:c r="AN1375" t="str">
        <x:f>_xlfn.XLOOKUP($A1375,Games!$A$2:$A$18,Games!$I$2:$I$18,"Missing game",0)</x:f>
        <x:v>MIN</x:v>
      </x:c>
      <x:c r="AO1375" t="n">
        <x:f>_xlfn.XLOOKUP($A1375,Games!$A$2:$A$18,Games!$J$2:$J$18,"Missing game",0)</x:f>
        <x:v>19</x:v>
      </x:c>
      <x:c r="AP1375" t="n">
        <x:f>_xlfn.XLOOKUP($A1375,Games!$A$2:$A$18,Games!$K$2:$K$18,"Missing game",0)</x:f>
        <x:v>-8</x:v>
      </x:c>
      <x:c r="AQ1375" t="n">
        <x:f>_xlfn.XLOOKUP($A1375,Games!$A$2:$A$18,Games!$L$2:$L$18,"Missing game",0)</x:f>
        <x:v>46</x:v>
      </x:c>
      <x:c r="AR1375" t="n">
        <x:f>_xlfn.XLOOKUP($A1375,Games!$A$2:$A$18,Games!$M$2:$M$18,"Missing game",0)</x:f>
        <x:v>0</x:v>
      </x:c>
      <x:c r="AS1375" t="str">
        <x:f>_xlfn.XLOOKUP($A1375,Games!$A$2:$A$18,Games!$N$2:$N$18,"Missing game",0)</x:f>
        <x:v>dome</x:v>
      </x:c>
      <x:c r="AT1375" t="str">
        <x:f>_xlfn.XLOOKUP($A1375,Games!$A$2:$A$18,Games!$O$2:$O$18,"Missing game",0)</x:f>
        <x:v>sportturf</x:v>
      </x:c>
      <x:c r="AU1375" t="str">
        <x:f>_xlfn.XLOOKUP($A1375,Games!$A$2:$A$18,Games!$P$2:$P$18,"Missing game",0)</x:f>
      </x:c>
      <x:c r="AV1375" t="str">
        <x:f>_xlfn.XLOOKUP($A1375,Games!$A$2:$A$18,Games!$Q$2:$Q$18,"Missing game",0)</x:f>
      </x:c>
      <x:c r="AW1375" t="str">
        <x:f>_xlfn.XLOOKUP($A1375,Games!$A$2:$A$18,Games!$R$2:$R$18,"Missing game",0)</x:f>
        <x:v>U.S. Bank Stadium</x:v>
      </x:c>
    </x:row>
    <x:row r="1376">
      <x:c r="A1376" t="str">
        <x:v>2025_10_BAL_MIN</x:v>
      </x:c>
      <x:c r="B1376" t="n">
        <x:v>606</x:v>
      </x:c>
      <x:c r="C1376" t="n">
        <x:v>1</x:v>
      </x:c>
      <x:c r="D1376" t="str">
        <x:v>04:33</x:v>
      </x:c>
      <x:c r="E1376" t="n">
        <x:v>3</x:v>
      </x:c>
      <x:c r="F1376" t="n">
        <x:v>7</x:v>
      </x:c>
      <x:c r="G1376" t="str">
        <x:v>BAL</x:v>
      </x:c>
      <x:c r="H1376" t="str">
        <x:v>MIN</x:v>
      </x:c>
      <x:c r="I1376" t="str">
        <x:v>MIN</x:v>
      </x:c>
      <x:c r="J1376" t="n">
        <x:v>26</x:v>
      </x:c>
      <x:c r="K1376" t="str">
        <x:v>(4:33) (Shotgun) 8-L.Jackson pass incomplete short middle to 80-I.Likely.</x:v>
      </x:c>
      <x:c r="L1376" t="str">
        <x:v>pass</x:v>
      </x:c>
      <x:c r="M1376" t="n">
        <x:v>0</x:v>
      </x:c>
      <x:c r="N1376" t="n">
        <x:v>1</x:v>
      </x:c>
      <x:c r="O1376" t="n">
        <x:v>0</x:v>
      </x:c>
      <x:c r="P1376" t="str">
        <x:v>short</x:v>
      </x:c>
      <x:c r="Q1376" t="str">
        <x:v>middle</x:v>
      </x:c>
      <x:c r="R1376" t="n">
        <x:v>5</x:v>
      </x:c>
      <x:c r="S1376"/>
      <x:c r="T1376"/>
      <x:c r="U1376"/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0</x:v>
      </x:c>
      <x:c r="AB1376"/>
      <x:c r="AC1376" t="n">
        <x:v>0</x:v>
      </x:c>
      <x:c r="AD1376" t="n">
        <x:v>-1.4848451075840998</x:v>
      </x:c>
      <x:c r="AE1376" t="n">
        <x:v>0</x:v>
      </x:c>
      <x:c r="AF1376" t="n">
        <x:v>-0.036748453974723816</x:v>
      </x:c>
      <x:c r="AG1376" t="n">
        <x:f>_xlfn.XLOOKUP($A1376,Games!$A$2:$A$18,Games!$B$2:$B$18,"Missing game",0)</x:f>
        <x:v>2025</x:v>
      </x:c>
      <x:c r="AH1376" t="str">
        <x:f>_xlfn.XLOOKUP($A1376,Games!$A$2:$A$18,Games!$C$2:$C$18,"Missing game",0)</x:f>
        <x:v>REG</x:v>
      </x:c>
      <x:c r="AI1376" t="n">
        <x:f>_xlfn.XLOOKUP($A1376,Games!$A$2:$A$18,Games!$D$2:$D$18,"Missing game",0)</x:f>
        <x:v>10</x:v>
      </x:c>
      <x:c r="AJ1376" s="1" t="n">
        <x:f>_xlfn.XLOOKUP($A1376,Games!$A$2:$A$18,Games!$E$2:$E$18,"Missing game",0)</x:f>
        <x:v>45970</x:v>
      </x:c>
      <x:c r="AK1376" t="str">
        <x:f>_xlfn.XLOOKUP($A1376,Games!$A$2:$A$18,Games!$F$2:$F$18,"Missing game",0)</x:f>
        <x:v>Sunday</x:v>
      </x:c>
      <x:c r="AL1376" t="str">
        <x:f>_xlfn.XLOOKUP($A1376,Games!$A$2:$A$18,Games!$G$2:$G$18,"Missing game",0)</x:f>
        <x:v>BAL</x:v>
      </x:c>
      <x:c r="AM1376" t="n">
        <x:f>_xlfn.XLOOKUP($A1376,Games!$A$2:$A$18,Games!$H$2:$H$18,"Missing game",0)</x:f>
        <x:v>27</x:v>
      </x:c>
      <x:c r="AN1376" t="str">
        <x:f>_xlfn.XLOOKUP($A1376,Games!$A$2:$A$18,Games!$I$2:$I$18,"Missing game",0)</x:f>
        <x:v>MIN</x:v>
      </x:c>
      <x:c r="AO1376" t="n">
        <x:f>_xlfn.XLOOKUP($A1376,Games!$A$2:$A$18,Games!$J$2:$J$18,"Missing game",0)</x:f>
        <x:v>19</x:v>
      </x:c>
      <x:c r="AP1376" t="n">
        <x:f>_xlfn.XLOOKUP($A1376,Games!$A$2:$A$18,Games!$K$2:$K$18,"Missing game",0)</x:f>
        <x:v>-8</x:v>
      </x:c>
      <x:c r="AQ1376" t="n">
        <x:f>_xlfn.XLOOKUP($A1376,Games!$A$2:$A$18,Games!$L$2:$L$18,"Missing game",0)</x:f>
        <x:v>46</x:v>
      </x:c>
      <x:c r="AR1376" t="n">
        <x:f>_xlfn.XLOOKUP($A1376,Games!$A$2:$A$18,Games!$M$2:$M$18,"Missing game",0)</x:f>
        <x:v>0</x:v>
      </x:c>
      <x:c r="AS1376" t="str">
        <x:f>_xlfn.XLOOKUP($A1376,Games!$A$2:$A$18,Games!$N$2:$N$18,"Missing game",0)</x:f>
        <x:v>dome</x:v>
      </x:c>
      <x:c r="AT1376" t="str">
        <x:f>_xlfn.XLOOKUP($A1376,Games!$A$2:$A$18,Games!$O$2:$O$18,"Missing game",0)</x:f>
        <x:v>sportturf</x:v>
      </x:c>
      <x:c r="AU1376" t="str">
        <x:f>_xlfn.XLOOKUP($A1376,Games!$A$2:$A$18,Games!$P$2:$P$18,"Missing game",0)</x:f>
      </x:c>
      <x:c r="AV1376" t="str">
        <x:f>_xlfn.XLOOKUP($A1376,Games!$A$2:$A$18,Games!$Q$2:$Q$18,"Missing game",0)</x:f>
      </x:c>
      <x:c r="AW1376" t="str">
        <x:f>_xlfn.XLOOKUP($A1376,Games!$A$2:$A$18,Games!$R$2:$R$18,"Missing game",0)</x:f>
        <x:v>U.S. Bank Stadium</x:v>
      </x:c>
    </x:row>
    <x:row r="1377">
      <x:c r="A1377" t="str">
        <x:v>2025_10_BAL_MIN</x:v>
      </x:c>
      <x:c r="B1377" t="n">
        <x:v>629</x:v>
      </x:c>
      <x:c r="C1377" t="n">
        <x:v>1</x:v>
      </x:c>
      <x:c r="D1377" t="str">
        <x:v>04:29</x:v>
      </x:c>
      <x:c r="E1377" t="n">
        <x:v>4</x:v>
      </x:c>
      <x:c r="F1377" t="n">
        <x:v>7</x:v>
      </x:c>
      <x:c r="G1377" t="str">
        <x:v>BAL</x:v>
      </x:c>
      <x:c r="H1377" t="str">
        <x:v>MIN</x:v>
      </x:c>
      <x:c r="I1377" t="str">
        <x:v>MIN</x:v>
      </x:c>
      <x:c r="J1377" t="n">
        <x:v>26</x:v>
      </x:c>
      <x:c r="K1377" t="str">
        <x:v>(4:29) 33-T.Loop 44 yard field goal is GOOD, Center-46-N.Moore, Holder-11-J.Stout.</x:v>
      </x:c>
      <x:c r="L1377" t="str">
        <x:v>field_goal</x:v>
      </x:c>
      <x:c r="M1377" t="n">
        <x:v>0</x:v>
      </x:c>
      <x:c r="N1377" t="n">
        <x:v>0</x:v>
      </x:c>
      <x:c r="O1377" t="n">
        <x:v>0</x:v>
      </x:c>
      <x:c r="P1377"/>
      <x:c r="Q1377"/>
      <x:c r="R1377"/>
      <x:c r="S1377"/>
      <x:c r="T1377"/>
      <x:c r="U1377"/>
      <x:c r="V1377" t="n">
        <x:v>0</x:v>
      </x:c>
      <x:c r="W1377" t="n">
        <x:v>0</x:v>
      </x:c>
      <x:c r="X1377" t="n">
        <x:v>0</x:v>
      </x:c>
      <x:c r="Y1377" t="n">
        <x:v>0</x:v>
      </x:c>
      <x:c r="Z1377" t="n">
        <x:v>0</x:v>
      </x:c>
      <x:c r="AA1377" t="n">
        <x:v>0</x:v>
      </x:c>
      <x:c r="AB1377"/>
      <x:c r="AC1377" t="n">
        <x:v>0</x:v>
      </x:c>
      <x:c r="AD1377" t="n">
        <x:v>1.0785432621369395</x:v>
      </x:c>
      <x:c r="AE1377" t="n">
        <x:v>1</x:v>
      </x:c>
      <x:c r="AF1377" t="n">
        <x:v>0.02566961944103241</x:v>
      </x:c>
      <x:c r="AG1377" t="n">
        <x:f>_xlfn.XLOOKUP($A1377,Games!$A$2:$A$18,Games!$B$2:$B$18,"Missing game",0)</x:f>
        <x:v>2025</x:v>
      </x:c>
      <x:c r="AH1377" t="str">
        <x:f>_xlfn.XLOOKUP($A1377,Games!$A$2:$A$18,Games!$C$2:$C$18,"Missing game",0)</x:f>
        <x:v>REG</x:v>
      </x:c>
      <x:c r="AI1377" t="n">
        <x:f>_xlfn.XLOOKUP($A1377,Games!$A$2:$A$18,Games!$D$2:$D$18,"Missing game",0)</x:f>
        <x:v>10</x:v>
      </x:c>
      <x:c r="AJ1377" s="1" t="n">
        <x:f>_xlfn.XLOOKUP($A1377,Games!$A$2:$A$18,Games!$E$2:$E$18,"Missing game",0)</x:f>
        <x:v>45970</x:v>
      </x:c>
      <x:c r="AK1377" t="str">
        <x:f>_xlfn.XLOOKUP($A1377,Games!$A$2:$A$18,Games!$F$2:$F$18,"Missing game",0)</x:f>
        <x:v>Sunday</x:v>
      </x:c>
      <x:c r="AL1377" t="str">
        <x:f>_xlfn.XLOOKUP($A1377,Games!$A$2:$A$18,Games!$G$2:$G$18,"Missing game",0)</x:f>
        <x:v>BAL</x:v>
      </x:c>
      <x:c r="AM1377" t="n">
        <x:f>_xlfn.XLOOKUP($A1377,Games!$A$2:$A$18,Games!$H$2:$H$18,"Missing game",0)</x:f>
        <x:v>27</x:v>
      </x:c>
      <x:c r="AN1377" t="str">
        <x:f>_xlfn.XLOOKUP($A1377,Games!$A$2:$A$18,Games!$I$2:$I$18,"Missing game",0)</x:f>
        <x:v>MIN</x:v>
      </x:c>
      <x:c r="AO1377" t="n">
        <x:f>_xlfn.XLOOKUP($A1377,Games!$A$2:$A$18,Games!$J$2:$J$18,"Missing game",0)</x:f>
        <x:v>19</x:v>
      </x:c>
      <x:c r="AP1377" t="n">
        <x:f>_xlfn.XLOOKUP($A1377,Games!$A$2:$A$18,Games!$K$2:$K$18,"Missing game",0)</x:f>
        <x:v>-8</x:v>
      </x:c>
      <x:c r="AQ1377" t="n">
        <x:f>_xlfn.XLOOKUP($A1377,Games!$A$2:$A$18,Games!$L$2:$L$18,"Missing game",0)</x:f>
        <x:v>46</x:v>
      </x:c>
      <x:c r="AR1377" t="n">
        <x:f>_xlfn.XLOOKUP($A1377,Games!$A$2:$A$18,Games!$M$2:$M$18,"Missing game",0)</x:f>
        <x:v>0</x:v>
      </x:c>
      <x:c r="AS1377" t="str">
        <x:f>_xlfn.XLOOKUP($A1377,Games!$A$2:$A$18,Games!$N$2:$N$18,"Missing game",0)</x:f>
        <x:v>dome</x:v>
      </x:c>
      <x:c r="AT1377" t="str">
        <x:f>_xlfn.XLOOKUP($A1377,Games!$A$2:$A$18,Games!$O$2:$O$18,"Missing game",0)</x:f>
        <x:v>sportturf</x:v>
      </x:c>
      <x:c r="AU1377" t="str">
        <x:f>_xlfn.XLOOKUP($A1377,Games!$A$2:$A$18,Games!$P$2:$P$18,"Missing game",0)</x:f>
      </x:c>
      <x:c r="AV1377" t="str">
        <x:f>_xlfn.XLOOKUP($A1377,Games!$A$2:$A$18,Games!$Q$2:$Q$18,"Missing game",0)</x:f>
      </x:c>
      <x:c r="AW1377" t="str">
        <x:f>_xlfn.XLOOKUP($A1377,Games!$A$2:$A$18,Games!$R$2:$R$18,"Missing game",0)</x:f>
        <x:v>U.S. Bank Stadium</x:v>
      </x:c>
    </x:row>
    <x:row r="1378">
      <x:c r="A1378" t="str">
        <x:v>2025_10_BAL_MIN</x:v>
      </x:c>
      <x:c r="B1378" t="n">
        <x:v>654</x:v>
      </x:c>
      <x:c r="C1378" t="n">
        <x:v>1</x:v>
      </x:c>
      <x:c r="D1378" t="str">
        <x:v>04:25</x:v>
      </x:c>
      <x:c r="E1378"/>
      <x:c r="F1378" t="n">
        <x:v>0</x:v>
      </x:c>
      <x:c r="G1378" t="str">
        <x:v>MIN</x:v>
      </x:c>
      <x:c r="H1378" t="str">
        <x:v>BAL</x:v>
      </x:c>
      <x:c r="I1378" t="str">
        <x:v>BAL</x:v>
      </x:c>
      <x:c r="J1378" t="n">
        <x:v>35</x:v>
      </x:c>
      <x:c r="K1378" t="str">
        <x:v>33-T.Loop kicks 66 yards from BAL 35 to MIN -1. 4-M.Price to MIN 29 for 30 yards (49-J.Higgins).</x:v>
      </x:c>
      <x:c r="L1378" t="str">
        <x:v>kickoff</x:v>
      </x:c>
      <x:c r="M1378" t="n">
        <x:v>0</x:v>
      </x:c>
      <x:c r="N1378" t="n">
        <x:v>0</x:v>
      </x:c>
      <x:c r="O1378" t="n">
        <x:v>0</x:v>
      </x:c>
      <x:c r="P1378"/>
      <x:c r="Q1378"/>
      <x:c r="R1378"/>
      <x:c r="S1378"/>
      <x:c r="T1378"/>
      <x:c r="U1378"/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0</x:v>
      </x:c>
      <x:c r="AB1378"/>
      <x:c r="AC1378" t="n">
        <x:v>0</x:v>
      </x:c>
      <x:c r="AD1378" t="n">
        <x:v>0.26419461984187365</x:v>
      </x:c>
      <x:c r="AE1378" t="n">
        <x:v>1</x:v>
      </x:c>
      <x:c r="AF1378" t="n">
        <x:v>0.0054416656494140625</x:v>
      </x:c>
      <x:c r="AG1378" t="n">
        <x:f>_xlfn.XLOOKUP($A1378,Games!$A$2:$A$18,Games!$B$2:$B$18,"Missing game",0)</x:f>
        <x:v>2025</x:v>
      </x:c>
      <x:c r="AH1378" t="str">
        <x:f>_xlfn.XLOOKUP($A1378,Games!$A$2:$A$18,Games!$C$2:$C$18,"Missing game",0)</x:f>
        <x:v>REG</x:v>
      </x:c>
      <x:c r="AI1378" t="n">
        <x:f>_xlfn.XLOOKUP($A1378,Games!$A$2:$A$18,Games!$D$2:$D$18,"Missing game",0)</x:f>
        <x:v>10</x:v>
      </x:c>
      <x:c r="AJ1378" s="1" t="n">
        <x:f>_xlfn.XLOOKUP($A1378,Games!$A$2:$A$18,Games!$E$2:$E$18,"Missing game",0)</x:f>
        <x:v>45970</x:v>
      </x:c>
      <x:c r="AK1378" t="str">
        <x:f>_xlfn.XLOOKUP($A1378,Games!$A$2:$A$18,Games!$F$2:$F$18,"Missing game",0)</x:f>
        <x:v>Sunday</x:v>
      </x:c>
      <x:c r="AL1378" t="str">
        <x:f>_xlfn.XLOOKUP($A1378,Games!$A$2:$A$18,Games!$G$2:$G$18,"Missing game",0)</x:f>
        <x:v>BAL</x:v>
      </x:c>
      <x:c r="AM1378" t="n">
        <x:f>_xlfn.XLOOKUP($A1378,Games!$A$2:$A$18,Games!$H$2:$H$18,"Missing game",0)</x:f>
        <x:v>27</x:v>
      </x:c>
      <x:c r="AN1378" t="str">
        <x:f>_xlfn.XLOOKUP($A1378,Games!$A$2:$A$18,Games!$I$2:$I$18,"Missing game",0)</x:f>
        <x:v>MIN</x:v>
      </x:c>
      <x:c r="AO1378" t="n">
        <x:f>_xlfn.XLOOKUP($A1378,Games!$A$2:$A$18,Games!$J$2:$J$18,"Missing game",0)</x:f>
        <x:v>19</x:v>
      </x:c>
      <x:c r="AP1378" t="n">
        <x:f>_xlfn.XLOOKUP($A1378,Games!$A$2:$A$18,Games!$K$2:$K$18,"Missing game",0)</x:f>
        <x:v>-8</x:v>
      </x:c>
      <x:c r="AQ1378" t="n">
        <x:f>_xlfn.XLOOKUP($A1378,Games!$A$2:$A$18,Games!$L$2:$L$18,"Missing game",0)</x:f>
        <x:v>46</x:v>
      </x:c>
      <x:c r="AR1378" t="n">
        <x:f>_xlfn.XLOOKUP($A1378,Games!$A$2:$A$18,Games!$M$2:$M$18,"Missing game",0)</x:f>
        <x:v>0</x:v>
      </x:c>
      <x:c r="AS1378" t="str">
        <x:f>_xlfn.XLOOKUP($A1378,Games!$A$2:$A$18,Games!$N$2:$N$18,"Missing game",0)</x:f>
        <x:v>dome</x:v>
      </x:c>
      <x:c r="AT1378" t="str">
        <x:f>_xlfn.XLOOKUP($A1378,Games!$A$2:$A$18,Games!$O$2:$O$18,"Missing game",0)</x:f>
        <x:v>sportturf</x:v>
      </x:c>
      <x:c r="AU1378" t="str">
        <x:f>_xlfn.XLOOKUP($A1378,Games!$A$2:$A$18,Games!$P$2:$P$18,"Missing game",0)</x:f>
      </x:c>
      <x:c r="AV1378" t="str">
        <x:f>_xlfn.XLOOKUP($A1378,Games!$A$2:$A$18,Games!$Q$2:$Q$18,"Missing game",0)</x:f>
      </x:c>
      <x:c r="AW1378" t="str">
        <x:f>_xlfn.XLOOKUP($A1378,Games!$A$2:$A$18,Games!$R$2:$R$18,"Missing game",0)</x:f>
        <x:v>U.S. Bank Stadium</x:v>
      </x:c>
    </x:row>
    <x:row r="1379">
      <x:c r="A1379" t="str">
        <x:v>2025_10_BAL_MIN</x:v>
      </x:c>
      <x:c r="B1379" t="n">
        <x:v>684</x:v>
      </x:c>
      <x:c r="C1379" t="n">
        <x:v>1</x:v>
      </x:c>
      <x:c r="D1379" t="str">
        <x:v>04:20</x:v>
      </x:c>
      <x:c r="E1379" t="n">
        <x:v>1</x:v>
      </x:c>
      <x:c r="F1379" t="n">
        <x:v>10</x:v>
      </x:c>
      <x:c r="G1379" t="str">
        <x:v>MIN</x:v>
      </x:c>
      <x:c r="H1379" t="str">
        <x:v>BAL</x:v>
      </x:c>
      <x:c r="I1379" t="str">
        <x:v>MIN</x:v>
      </x:c>
      <x:c r="J1379" t="n">
        <x:v>71</x:v>
      </x:c>
      <x:c r="K1379" t="str">
        <x:v>(4:20) 33-A.Jones right tackle to MIN 32 for 3 yards (0-R.Smith; 91-B.Okoye).</x:v>
      </x:c>
      <x:c r="L1379" t="str">
        <x:v>run</x:v>
      </x:c>
      <x:c r="M1379" t="n">
        <x:v>3</x:v>
      </x:c>
      <x:c r="N1379" t="n">
        <x:v>0</x:v>
      </x:c>
      <x:c r="O1379" t="n">
        <x:v>0</x:v>
      </x:c>
      <x:c r="P1379"/>
      <x:c r="Q1379"/>
      <x:c r="R1379"/>
      <x:c r="S1379"/>
      <x:c r="T1379" t="str">
        <x:v>right</x:v>
      </x:c>
      <x:c r="U1379" t="str">
        <x:v>tackle</x:v>
      </x:c>
      <x:c r="V1379" t="n">
        <x:v>0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0</x:v>
      </x:c>
      <x:c r="AB1379"/>
      <x:c r="AC1379" t="n">
        <x:v>0</x:v>
      </x:c>
      <x:c r="AD1379" t="n">
        <x:v>-0.3267933551687747</x:v>
      </x:c>
      <x:c r="AE1379" t="n">
        <x:v>0</x:v>
      </x:c>
      <x:c r="AF1379" t="n">
        <x:v>-0.0018955469131469727</x:v>
      </x:c>
      <x:c r="AG1379" t="n">
        <x:f>_xlfn.XLOOKUP($A1379,Games!$A$2:$A$18,Games!$B$2:$B$18,"Missing game",0)</x:f>
        <x:v>2025</x:v>
      </x:c>
      <x:c r="AH1379" t="str">
        <x:f>_xlfn.XLOOKUP($A1379,Games!$A$2:$A$18,Games!$C$2:$C$18,"Missing game",0)</x:f>
        <x:v>REG</x:v>
      </x:c>
      <x:c r="AI1379" t="n">
        <x:f>_xlfn.XLOOKUP($A1379,Games!$A$2:$A$18,Games!$D$2:$D$18,"Missing game",0)</x:f>
        <x:v>10</x:v>
      </x:c>
      <x:c r="AJ1379" s="1" t="n">
        <x:f>_xlfn.XLOOKUP($A1379,Games!$A$2:$A$18,Games!$E$2:$E$18,"Missing game",0)</x:f>
        <x:v>45970</x:v>
      </x:c>
      <x:c r="AK1379" t="str">
        <x:f>_xlfn.XLOOKUP($A1379,Games!$A$2:$A$18,Games!$F$2:$F$18,"Missing game",0)</x:f>
        <x:v>Sunday</x:v>
      </x:c>
      <x:c r="AL1379" t="str">
        <x:f>_xlfn.XLOOKUP($A1379,Games!$A$2:$A$18,Games!$G$2:$G$18,"Missing game",0)</x:f>
        <x:v>BAL</x:v>
      </x:c>
      <x:c r="AM1379" t="n">
        <x:f>_xlfn.XLOOKUP($A1379,Games!$A$2:$A$18,Games!$H$2:$H$18,"Missing game",0)</x:f>
        <x:v>27</x:v>
      </x:c>
      <x:c r="AN1379" t="str">
        <x:f>_xlfn.XLOOKUP($A1379,Games!$A$2:$A$18,Games!$I$2:$I$18,"Missing game",0)</x:f>
        <x:v>MIN</x:v>
      </x:c>
      <x:c r="AO1379" t="n">
        <x:f>_xlfn.XLOOKUP($A1379,Games!$A$2:$A$18,Games!$J$2:$J$18,"Missing game",0)</x:f>
        <x:v>19</x:v>
      </x:c>
      <x:c r="AP1379" t="n">
        <x:f>_xlfn.XLOOKUP($A1379,Games!$A$2:$A$18,Games!$K$2:$K$18,"Missing game",0)</x:f>
        <x:v>-8</x:v>
      </x:c>
      <x:c r="AQ1379" t="n">
        <x:f>_xlfn.XLOOKUP($A1379,Games!$A$2:$A$18,Games!$L$2:$L$18,"Missing game",0)</x:f>
        <x:v>46</x:v>
      </x:c>
      <x:c r="AR1379" t="n">
        <x:f>_xlfn.XLOOKUP($A1379,Games!$A$2:$A$18,Games!$M$2:$M$18,"Missing game",0)</x:f>
        <x:v>0</x:v>
      </x:c>
      <x:c r="AS1379" t="str">
        <x:f>_xlfn.XLOOKUP($A1379,Games!$A$2:$A$18,Games!$N$2:$N$18,"Missing game",0)</x:f>
        <x:v>dome</x:v>
      </x:c>
      <x:c r="AT1379" t="str">
        <x:f>_xlfn.XLOOKUP($A1379,Games!$A$2:$A$18,Games!$O$2:$O$18,"Missing game",0)</x:f>
        <x:v>sportturf</x:v>
      </x:c>
      <x:c r="AU1379" t="str">
        <x:f>_xlfn.XLOOKUP($A1379,Games!$A$2:$A$18,Games!$P$2:$P$18,"Missing game",0)</x:f>
      </x:c>
      <x:c r="AV1379" t="str">
        <x:f>_xlfn.XLOOKUP($A1379,Games!$A$2:$A$18,Games!$Q$2:$Q$18,"Missing game",0)</x:f>
      </x:c>
      <x:c r="AW1379" t="str">
        <x:f>_xlfn.XLOOKUP($A1379,Games!$A$2:$A$18,Games!$R$2:$R$18,"Missing game",0)</x:f>
        <x:v>U.S. Bank Stadium</x:v>
      </x:c>
    </x:row>
    <x:row r="1380">
      <x:c r="A1380" t="str">
        <x:v>2025_10_BAL_MIN</x:v>
      </x:c>
      <x:c r="B1380" t="n">
        <x:v>706</x:v>
      </x:c>
      <x:c r="C1380" t="n">
        <x:v>1</x:v>
      </x:c>
      <x:c r="D1380" t="str">
        <x:v>03:39</x:v>
      </x:c>
      <x:c r="E1380" t="n">
        <x:v>2</x:v>
      </x:c>
      <x:c r="F1380" t="n">
        <x:v>7</x:v>
      </x:c>
      <x:c r="G1380" t="str">
        <x:v>MIN</x:v>
      </x:c>
      <x:c r="H1380" t="str">
        <x:v>BAL</x:v>
      </x:c>
      <x:c r="I1380" t="str">
        <x:v>MIN</x:v>
      </x:c>
      <x:c r="J1380" t="n">
        <x:v>68</x:v>
      </x:c>
      <x:c r="K1380" t="str">
        <x:v>(3:39) (Shotgun) 33-A.Jones right guard to MIN 27 for -5 yards (45-M.Green).</x:v>
      </x:c>
      <x:c r="L1380" t="str">
        <x:v>run</x:v>
      </x:c>
      <x:c r="M1380" t="n">
        <x:v>-5</x:v>
      </x:c>
      <x:c r="N1380" t="n">
        <x:v>1</x:v>
      </x:c>
      <x:c r="O1380" t="n">
        <x:v>0</x:v>
      </x:c>
      <x:c r="P1380"/>
      <x:c r="Q1380"/>
      <x:c r="R1380"/>
      <x:c r="S1380"/>
      <x:c r="T1380" t="str">
        <x:v>right</x:v>
      </x:c>
      <x:c r="U1380" t="str">
        <x:v>guard</x:v>
      </x:c>
      <x:c r="V1380" t="n">
        <x:v>0</x:v>
      </x:c>
      <x:c r="W1380" t="n">
        <x:v>0</x:v>
      </x:c>
      <x:c r="X1380" t="n">
        <x:v>0</x:v>
      </x:c>
      <x:c r="Y1380" t="n">
        <x:v>0</x:v>
      </x:c>
      <x:c r="Z1380" t="n">
        <x:v>0</x:v>
      </x:c>
      <x:c r="AA1380" t="n">
        <x:v>0</x:v>
      </x:c>
      <x:c r="AB1380"/>
      <x:c r="AC1380" t="n">
        <x:v>0</x:v>
      </x:c>
      <x:c r="AD1380" t="n">
        <x:v>-1.7137697087600827</x:v>
      </x:c>
      <x:c r="AE1380" t="n">
        <x:v>0</x:v>
      </x:c>
      <x:c r="AF1380" t="n">
        <x:v>-0.044107794761657715</x:v>
      </x:c>
      <x:c r="AG1380" t="n">
        <x:f>_xlfn.XLOOKUP($A1380,Games!$A$2:$A$18,Games!$B$2:$B$18,"Missing game",0)</x:f>
        <x:v>2025</x:v>
      </x:c>
      <x:c r="AH1380" t="str">
        <x:f>_xlfn.XLOOKUP($A1380,Games!$A$2:$A$18,Games!$C$2:$C$18,"Missing game",0)</x:f>
        <x:v>REG</x:v>
      </x:c>
      <x:c r="AI1380" t="n">
        <x:f>_xlfn.XLOOKUP($A1380,Games!$A$2:$A$18,Games!$D$2:$D$18,"Missing game",0)</x:f>
        <x:v>10</x:v>
      </x:c>
      <x:c r="AJ1380" s="1" t="n">
        <x:f>_xlfn.XLOOKUP($A1380,Games!$A$2:$A$18,Games!$E$2:$E$18,"Missing game",0)</x:f>
        <x:v>45970</x:v>
      </x:c>
      <x:c r="AK1380" t="str">
        <x:f>_xlfn.XLOOKUP($A1380,Games!$A$2:$A$18,Games!$F$2:$F$18,"Missing game",0)</x:f>
        <x:v>Sunday</x:v>
      </x:c>
      <x:c r="AL1380" t="str">
        <x:f>_xlfn.XLOOKUP($A1380,Games!$A$2:$A$18,Games!$G$2:$G$18,"Missing game",0)</x:f>
        <x:v>BAL</x:v>
      </x:c>
      <x:c r="AM1380" t="n">
        <x:f>_xlfn.XLOOKUP($A1380,Games!$A$2:$A$18,Games!$H$2:$H$18,"Missing game",0)</x:f>
        <x:v>27</x:v>
      </x:c>
      <x:c r="AN1380" t="str">
        <x:f>_xlfn.XLOOKUP($A1380,Games!$A$2:$A$18,Games!$I$2:$I$18,"Missing game",0)</x:f>
        <x:v>MIN</x:v>
      </x:c>
      <x:c r="AO1380" t="n">
        <x:f>_xlfn.XLOOKUP($A1380,Games!$A$2:$A$18,Games!$J$2:$J$18,"Missing game",0)</x:f>
        <x:v>19</x:v>
      </x:c>
      <x:c r="AP1380" t="n">
        <x:f>_xlfn.XLOOKUP($A1380,Games!$A$2:$A$18,Games!$K$2:$K$18,"Missing game",0)</x:f>
        <x:v>-8</x:v>
      </x:c>
      <x:c r="AQ1380" t="n">
        <x:f>_xlfn.XLOOKUP($A1380,Games!$A$2:$A$18,Games!$L$2:$L$18,"Missing game",0)</x:f>
        <x:v>46</x:v>
      </x:c>
      <x:c r="AR1380" t="n">
        <x:f>_xlfn.XLOOKUP($A1380,Games!$A$2:$A$18,Games!$M$2:$M$18,"Missing game",0)</x:f>
        <x:v>0</x:v>
      </x:c>
      <x:c r="AS1380" t="str">
        <x:f>_xlfn.XLOOKUP($A1380,Games!$A$2:$A$18,Games!$N$2:$N$18,"Missing game",0)</x:f>
        <x:v>dome</x:v>
      </x:c>
      <x:c r="AT1380" t="str">
        <x:f>_xlfn.XLOOKUP($A1380,Games!$A$2:$A$18,Games!$O$2:$O$18,"Missing game",0)</x:f>
        <x:v>sportturf</x:v>
      </x:c>
      <x:c r="AU1380" t="str">
        <x:f>_xlfn.XLOOKUP($A1380,Games!$A$2:$A$18,Games!$P$2:$P$18,"Missing game",0)</x:f>
      </x:c>
      <x:c r="AV1380" t="str">
        <x:f>_xlfn.XLOOKUP($A1380,Games!$A$2:$A$18,Games!$Q$2:$Q$18,"Missing game",0)</x:f>
      </x:c>
      <x:c r="AW1380" t="str">
        <x:f>_xlfn.XLOOKUP($A1380,Games!$A$2:$A$18,Games!$R$2:$R$18,"Missing game",0)</x:f>
        <x:v>U.S. Bank Stadium</x:v>
      </x:c>
    </x:row>
    <x:row r="1381">
      <x:c r="A1381" t="str">
        <x:v>2025_10_BAL_MIN</x:v>
      </x:c>
      <x:c r="B1381" t="n">
        <x:v>728</x:v>
      </x:c>
      <x:c r="C1381" t="n">
        <x:v>1</x:v>
      </x:c>
      <x:c r="D1381" t="str">
        <x:v>03:07</x:v>
      </x:c>
      <x:c r="E1381" t="n">
        <x:v>3</x:v>
      </x:c>
      <x:c r="F1381" t="n">
        <x:v>12</x:v>
      </x:c>
      <x:c r="G1381" t="str">
        <x:v>MIN</x:v>
      </x:c>
      <x:c r="H1381" t="str">
        <x:v>BAL</x:v>
      </x:c>
      <x:c r="I1381" t="str">
        <x:v>MIN</x:v>
      </x:c>
      <x:c r="J1381" t="n">
        <x:v>73</x:v>
      </x:c>
      <x:c r="K1381" t="str">
        <x:v>(3:07) (Shotgun) 9-J.McCarthy right end to MIN 37 for 10 yards (14-K.Hamilton; 32-T.Simpson).</x:v>
      </x:c>
      <x:c r="L1381" t="str">
        <x:v>run</x:v>
      </x:c>
      <x:c r="M1381" t="n">
        <x:v>10</x:v>
      </x:c>
      <x:c r="N1381" t="n">
        <x:v>1</x:v>
      </x:c>
      <x:c r="O1381" t="n">
        <x:v>0</x:v>
      </x:c>
      <x:c r="P1381"/>
      <x:c r="Q1381"/>
      <x:c r="R1381"/>
      <x:c r="S1381"/>
      <x:c r="T1381" t="str">
        <x:v>right</x:v>
      </x:c>
      <x:c r="U1381" t="str">
        <x:v>end</x:v>
      </x:c>
      <x:c r="V1381" t="n">
        <x:v>0</x:v>
      </x:c>
      <x:c r="W1381" t="n">
        <x:v>0</x:v>
      </x:c>
      <x:c r="X1381" t="n">
        <x:v>0</x:v>
      </x:c>
      <x:c r="Y1381" t="n">
        <x:v>0</x:v>
      </x:c>
      <x:c r="Z1381" t="n">
        <x:v>0</x:v>
      </x:c>
      <x:c r="AA1381" t="n">
        <x:v>0</x:v>
      </x:c>
      <x:c r="AB1381"/>
      <x:c r="AC1381" t="n">
        <x:v>0</x:v>
      </x:c>
      <x:c r="AD1381" t="n">
        <x:v>-0.10073465574532747</x:v>
      </x:c>
      <x:c r="AE1381" t="n">
        <x:v>0</x:v>
      </x:c>
      <x:c r="AF1381" t="n">
        <x:v>0.022089362144470215</x:v>
      </x:c>
      <x:c r="AG1381" t="n">
        <x:f>_xlfn.XLOOKUP($A1381,Games!$A$2:$A$18,Games!$B$2:$B$18,"Missing game",0)</x:f>
        <x:v>2025</x:v>
      </x:c>
      <x:c r="AH1381" t="str">
        <x:f>_xlfn.XLOOKUP($A1381,Games!$A$2:$A$18,Games!$C$2:$C$18,"Missing game",0)</x:f>
        <x:v>REG</x:v>
      </x:c>
      <x:c r="AI1381" t="n">
        <x:f>_xlfn.XLOOKUP($A1381,Games!$A$2:$A$18,Games!$D$2:$D$18,"Missing game",0)</x:f>
        <x:v>10</x:v>
      </x:c>
      <x:c r="AJ1381" s="1" t="n">
        <x:f>_xlfn.XLOOKUP($A1381,Games!$A$2:$A$18,Games!$E$2:$E$18,"Missing game",0)</x:f>
        <x:v>45970</x:v>
      </x:c>
      <x:c r="AK1381" t="str">
        <x:f>_xlfn.XLOOKUP($A1381,Games!$A$2:$A$18,Games!$F$2:$F$18,"Missing game",0)</x:f>
        <x:v>Sunday</x:v>
      </x:c>
      <x:c r="AL1381" t="str">
        <x:f>_xlfn.XLOOKUP($A1381,Games!$A$2:$A$18,Games!$G$2:$G$18,"Missing game",0)</x:f>
        <x:v>BAL</x:v>
      </x:c>
      <x:c r="AM1381" t="n">
        <x:f>_xlfn.XLOOKUP($A1381,Games!$A$2:$A$18,Games!$H$2:$H$18,"Missing game",0)</x:f>
        <x:v>27</x:v>
      </x:c>
      <x:c r="AN1381" t="str">
        <x:f>_xlfn.XLOOKUP($A1381,Games!$A$2:$A$18,Games!$I$2:$I$18,"Missing game",0)</x:f>
        <x:v>MIN</x:v>
      </x:c>
      <x:c r="AO1381" t="n">
        <x:f>_xlfn.XLOOKUP($A1381,Games!$A$2:$A$18,Games!$J$2:$J$18,"Missing game",0)</x:f>
        <x:v>19</x:v>
      </x:c>
      <x:c r="AP1381" t="n">
        <x:f>_xlfn.XLOOKUP($A1381,Games!$A$2:$A$18,Games!$K$2:$K$18,"Missing game",0)</x:f>
        <x:v>-8</x:v>
      </x:c>
      <x:c r="AQ1381" t="n">
        <x:f>_xlfn.XLOOKUP($A1381,Games!$A$2:$A$18,Games!$L$2:$L$18,"Missing game",0)</x:f>
        <x:v>46</x:v>
      </x:c>
      <x:c r="AR1381" t="n">
        <x:f>_xlfn.XLOOKUP($A1381,Games!$A$2:$A$18,Games!$M$2:$M$18,"Missing game",0)</x:f>
        <x:v>0</x:v>
      </x:c>
      <x:c r="AS1381" t="str">
        <x:f>_xlfn.XLOOKUP($A1381,Games!$A$2:$A$18,Games!$N$2:$N$18,"Missing game",0)</x:f>
        <x:v>dome</x:v>
      </x:c>
      <x:c r="AT1381" t="str">
        <x:f>_xlfn.XLOOKUP($A1381,Games!$A$2:$A$18,Games!$O$2:$O$18,"Missing game",0)</x:f>
        <x:v>sportturf</x:v>
      </x:c>
      <x:c r="AU1381" t="str">
        <x:f>_xlfn.XLOOKUP($A1381,Games!$A$2:$A$18,Games!$P$2:$P$18,"Missing game",0)</x:f>
      </x:c>
      <x:c r="AV1381" t="str">
        <x:f>_xlfn.XLOOKUP($A1381,Games!$A$2:$A$18,Games!$Q$2:$Q$18,"Missing game",0)</x:f>
      </x:c>
      <x:c r="AW1381" t="str">
        <x:f>_xlfn.XLOOKUP($A1381,Games!$A$2:$A$18,Games!$R$2:$R$18,"Missing game",0)</x:f>
        <x:v>U.S. Bank Stadium</x:v>
      </x:c>
    </x:row>
    <x:row r="1382">
      <x:c r="A1382" t="str">
        <x:v>2025_10_BAL_MIN</x:v>
      </x:c>
      <x:c r="B1382" t="n">
        <x:v>753</x:v>
      </x:c>
      <x:c r="C1382" t="n">
        <x:v>1</x:v>
      </x:c>
      <x:c r="D1382" t="str">
        <x:v>02:14</x:v>
      </x:c>
      <x:c r="E1382" t="n">
        <x:v>4</x:v>
      </x:c>
      <x:c r="F1382" t="n">
        <x:v>2</x:v>
      </x:c>
      <x:c r="G1382" t="str">
        <x:v>MIN</x:v>
      </x:c>
      <x:c r="H1382" t="str">
        <x:v>BAL</x:v>
      </x:c>
      <x:c r="I1382" t="str">
        <x:v>MIN</x:v>
      </x:c>
      <x:c r="J1382" t="n">
        <x:v>63</x:v>
      </x:c>
      <x:c r="K1382" t="str">
        <x:v>(2:14) 17-R.Wright punts 48 yards to BAL 15, Center-42-A.DePaola, fair catch by 83-L.Wester.</x:v>
      </x:c>
      <x:c r="L1382" t="str">
        <x:v>punt</x:v>
      </x:c>
      <x:c r="M1382" t="n">
        <x:v>0</x:v>
      </x:c>
      <x:c r="N1382" t="n">
        <x:v>0</x:v>
      </x:c>
      <x:c r="O1382" t="n">
        <x:v>0</x:v>
      </x:c>
      <x:c r="P1382"/>
      <x:c r="Q1382"/>
      <x:c r="R1382"/>
      <x:c r="S1382"/>
      <x:c r="T1382"/>
      <x:c r="U1382"/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0</x:v>
      </x:c>
      <x:c r="AB1382"/>
      <x:c r="AC1382" t="n">
        <x:v>0</x:v>
      </x:c>
      <x:c r="AD1382" t="n">
        <x:v>-0.47518072719685733</x:v>
      </x:c>
      <x:c r="AE1382" t="n">
        <x:v>0</x:v>
      </x:c>
      <x:c r="AF1382" t="n">
        <x:v>-0.008087247610092163</x:v>
      </x:c>
      <x:c r="AG1382" t="n">
        <x:f>_xlfn.XLOOKUP($A1382,Games!$A$2:$A$18,Games!$B$2:$B$18,"Missing game",0)</x:f>
        <x:v>2025</x:v>
      </x:c>
      <x:c r="AH1382" t="str">
        <x:f>_xlfn.XLOOKUP($A1382,Games!$A$2:$A$18,Games!$C$2:$C$18,"Missing game",0)</x:f>
        <x:v>REG</x:v>
      </x:c>
      <x:c r="AI1382" t="n">
        <x:f>_xlfn.XLOOKUP($A1382,Games!$A$2:$A$18,Games!$D$2:$D$18,"Missing game",0)</x:f>
        <x:v>10</x:v>
      </x:c>
      <x:c r="AJ1382" s="1" t="n">
        <x:f>_xlfn.XLOOKUP($A1382,Games!$A$2:$A$18,Games!$E$2:$E$18,"Missing game",0)</x:f>
        <x:v>45970</x:v>
      </x:c>
      <x:c r="AK1382" t="str">
        <x:f>_xlfn.XLOOKUP($A1382,Games!$A$2:$A$18,Games!$F$2:$F$18,"Missing game",0)</x:f>
        <x:v>Sunday</x:v>
      </x:c>
      <x:c r="AL1382" t="str">
        <x:f>_xlfn.XLOOKUP($A1382,Games!$A$2:$A$18,Games!$G$2:$G$18,"Missing game",0)</x:f>
        <x:v>BAL</x:v>
      </x:c>
      <x:c r="AM1382" t="n">
        <x:f>_xlfn.XLOOKUP($A1382,Games!$A$2:$A$18,Games!$H$2:$H$18,"Missing game",0)</x:f>
        <x:v>27</x:v>
      </x:c>
      <x:c r="AN1382" t="str">
        <x:f>_xlfn.XLOOKUP($A1382,Games!$A$2:$A$18,Games!$I$2:$I$18,"Missing game",0)</x:f>
        <x:v>MIN</x:v>
      </x:c>
      <x:c r="AO1382" t="n">
        <x:f>_xlfn.XLOOKUP($A1382,Games!$A$2:$A$18,Games!$J$2:$J$18,"Missing game",0)</x:f>
        <x:v>19</x:v>
      </x:c>
      <x:c r="AP1382" t="n">
        <x:f>_xlfn.XLOOKUP($A1382,Games!$A$2:$A$18,Games!$K$2:$K$18,"Missing game",0)</x:f>
        <x:v>-8</x:v>
      </x:c>
      <x:c r="AQ1382" t="n">
        <x:f>_xlfn.XLOOKUP($A1382,Games!$A$2:$A$18,Games!$L$2:$L$18,"Missing game",0)</x:f>
        <x:v>46</x:v>
      </x:c>
      <x:c r="AR1382" t="n">
        <x:f>_xlfn.XLOOKUP($A1382,Games!$A$2:$A$18,Games!$M$2:$M$18,"Missing game",0)</x:f>
        <x:v>0</x:v>
      </x:c>
      <x:c r="AS1382" t="str">
        <x:f>_xlfn.XLOOKUP($A1382,Games!$A$2:$A$18,Games!$N$2:$N$18,"Missing game",0)</x:f>
        <x:v>dome</x:v>
      </x:c>
      <x:c r="AT1382" t="str">
        <x:f>_xlfn.XLOOKUP($A1382,Games!$A$2:$A$18,Games!$O$2:$O$18,"Missing game",0)</x:f>
        <x:v>sportturf</x:v>
      </x:c>
      <x:c r="AU1382" t="str">
        <x:f>_xlfn.XLOOKUP($A1382,Games!$A$2:$A$18,Games!$P$2:$P$18,"Missing game",0)</x:f>
      </x:c>
      <x:c r="AV1382" t="str">
        <x:f>_xlfn.XLOOKUP($A1382,Games!$A$2:$A$18,Games!$Q$2:$Q$18,"Missing game",0)</x:f>
      </x:c>
      <x:c r="AW1382" t="str">
        <x:f>_xlfn.XLOOKUP($A1382,Games!$A$2:$A$18,Games!$R$2:$R$18,"Missing game",0)</x:f>
        <x:v>U.S. Bank Stadium</x:v>
      </x:c>
    </x:row>
    <x:row r="1383">
      <x:c r="A1383" t="str">
        <x:v>2025_10_BAL_MIN</x:v>
      </x:c>
      <x:c r="B1383" t="n">
        <x:v>773</x:v>
      </x:c>
      <x:c r="C1383" t="n">
        <x:v>1</x:v>
      </x:c>
      <x:c r="D1383" t="str">
        <x:v>02:06</x:v>
      </x:c>
      <x:c r="E1383" t="n">
        <x:v>1</x:v>
      </x:c>
      <x:c r="F1383" t="n">
        <x:v>10</x:v>
      </x:c>
      <x:c r="G1383" t="str">
        <x:v>BAL</x:v>
      </x:c>
      <x:c r="H1383" t="str">
        <x:v>MIN</x:v>
      </x:c>
      <x:c r="I1383" t="str">
        <x:v>BAL</x:v>
      </x:c>
      <x:c r="J1383" t="n">
        <x:v>85</x:v>
      </x:c>
      <x:c r="K1383" t="str">
        <x:v>(2:06) 22-D.Henry right tackle to BAL 19 for 4 yards (61-J.Redmond).</x:v>
      </x:c>
      <x:c r="L1383" t="str">
        <x:v>run</x:v>
      </x:c>
      <x:c r="M1383" t="n">
        <x:v>4</x:v>
      </x:c>
      <x:c r="N1383" t="n">
        <x:v>0</x:v>
      </x:c>
      <x:c r="O1383" t="n">
        <x:v>0</x:v>
      </x:c>
      <x:c r="P1383"/>
      <x:c r="Q1383"/>
      <x:c r="R1383"/>
      <x:c r="S1383"/>
      <x:c r="T1383" t="str">
        <x:v>right</x:v>
      </x:c>
      <x:c r="U1383" t="str">
        <x:v>tackle</x:v>
      </x:c>
      <x:c r="V1383" t="n">
        <x:v>0</x:v>
      </x:c>
      <x:c r="W1383" t="n">
        <x:v>0</x:v>
      </x:c>
      <x:c r="X1383" t="n">
        <x:v>0</x:v>
      </x:c>
      <x:c r="Y1383" t="n">
        <x:v>0</x:v>
      </x:c>
      <x:c r="Z1383" t="n">
        <x:v>0</x:v>
      </x:c>
      <x:c r="AA1383" t="n">
        <x:v>0</x:v>
      </x:c>
      <x:c r="AB1383"/>
      <x:c r="AC1383" t="n">
        <x:v>0</x:v>
      </x:c>
      <x:c r="AD1383" t="n">
        <x:v>-0.2329400754533708</x:v>
      </x:c>
      <x:c r="AE1383" t="n">
        <x:v>0</x:v>
      </x:c>
      <x:c r="AF1383" t="n">
        <x:v>0.00042682886123657227</x:v>
      </x:c>
      <x:c r="AG1383" t="n">
        <x:f>_xlfn.XLOOKUP($A1383,Games!$A$2:$A$18,Games!$B$2:$B$18,"Missing game",0)</x:f>
        <x:v>2025</x:v>
      </x:c>
      <x:c r="AH1383" t="str">
        <x:f>_xlfn.XLOOKUP($A1383,Games!$A$2:$A$18,Games!$C$2:$C$18,"Missing game",0)</x:f>
        <x:v>REG</x:v>
      </x:c>
      <x:c r="AI1383" t="n">
        <x:f>_xlfn.XLOOKUP($A1383,Games!$A$2:$A$18,Games!$D$2:$D$18,"Missing game",0)</x:f>
        <x:v>10</x:v>
      </x:c>
      <x:c r="AJ1383" s="1" t="n">
        <x:f>_xlfn.XLOOKUP($A1383,Games!$A$2:$A$18,Games!$E$2:$E$18,"Missing game",0)</x:f>
        <x:v>45970</x:v>
      </x:c>
      <x:c r="AK1383" t="str">
        <x:f>_xlfn.XLOOKUP($A1383,Games!$A$2:$A$18,Games!$F$2:$F$18,"Missing game",0)</x:f>
        <x:v>Sunday</x:v>
      </x:c>
      <x:c r="AL1383" t="str">
        <x:f>_xlfn.XLOOKUP($A1383,Games!$A$2:$A$18,Games!$G$2:$G$18,"Missing game",0)</x:f>
        <x:v>BAL</x:v>
      </x:c>
      <x:c r="AM1383" t="n">
        <x:f>_xlfn.XLOOKUP($A1383,Games!$A$2:$A$18,Games!$H$2:$H$18,"Missing game",0)</x:f>
        <x:v>27</x:v>
      </x:c>
      <x:c r="AN1383" t="str">
        <x:f>_xlfn.XLOOKUP($A1383,Games!$A$2:$A$18,Games!$I$2:$I$18,"Missing game",0)</x:f>
        <x:v>MIN</x:v>
      </x:c>
      <x:c r="AO1383" t="n">
        <x:f>_xlfn.XLOOKUP($A1383,Games!$A$2:$A$18,Games!$J$2:$J$18,"Missing game",0)</x:f>
        <x:v>19</x:v>
      </x:c>
      <x:c r="AP1383" t="n">
        <x:f>_xlfn.XLOOKUP($A1383,Games!$A$2:$A$18,Games!$K$2:$K$18,"Missing game",0)</x:f>
        <x:v>-8</x:v>
      </x:c>
      <x:c r="AQ1383" t="n">
        <x:f>_xlfn.XLOOKUP($A1383,Games!$A$2:$A$18,Games!$L$2:$L$18,"Missing game",0)</x:f>
        <x:v>46</x:v>
      </x:c>
      <x:c r="AR1383" t="n">
        <x:f>_xlfn.XLOOKUP($A1383,Games!$A$2:$A$18,Games!$M$2:$M$18,"Missing game",0)</x:f>
        <x:v>0</x:v>
      </x:c>
      <x:c r="AS1383" t="str">
        <x:f>_xlfn.XLOOKUP($A1383,Games!$A$2:$A$18,Games!$N$2:$N$18,"Missing game",0)</x:f>
        <x:v>dome</x:v>
      </x:c>
      <x:c r="AT1383" t="str">
        <x:f>_xlfn.XLOOKUP($A1383,Games!$A$2:$A$18,Games!$O$2:$O$18,"Missing game",0)</x:f>
        <x:v>sportturf</x:v>
      </x:c>
      <x:c r="AU1383" t="str">
        <x:f>_xlfn.XLOOKUP($A1383,Games!$A$2:$A$18,Games!$P$2:$P$18,"Missing game",0)</x:f>
      </x:c>
      <x:c r="AV1383" t="str">
        <x:f>_xlfn.XLOOKUP($A1383,Games!$A$2:$A$18,Games!$Q$2:$Q$18,"Missing game",0)</x:f>
      </x:c>
      <x:c r="AW1383" t="str">
        <x:f>_xlfn.XLOOKUP($A1383,Games!$A$2:$A$18,Games!$R$2:$R$18,"Missing game",0)</x:f>
        <x:v>U.S. Bank Stadium</x:v>
      </x:c>
    </x:row>
    <x:row r="1384">
      <x:c r="A1384" t="str">
        <x:v>2025_10_BAL_MIN</x:v>
      </x:c>
      <x:c r="B1384" t="n">
        <x:v>807</x:v>
      </x:c>
      <x:c r="C1384" t="n">
        <x:v>1</x:v>
      </x:c>
      <x:c r="D1384" t="str">
        <x:v>01:25</x:v>
      </x:c>
      <x:c r="E1384" t="n">
        <x:v>2</x:v>
      </x:c>
      <x:c r="F1384" t="n">
        <x:v>6</x:v>
      </x:c>
      <x:c r="G1384" t="str">
        <x:v>BAL</x:v>
      </x:c>
      <x:c r="H1384" t="str">
        <x:v>MIN</x:v>
      </x:c>
      <x:c r="I1384" t="str">
        <x:v>BAL</x:v>
      </x:c>
      <x:c r="J1384" t="n">
        <x:v>81</x:v>
      </x:c>
      <x:c r="K1384" t="str">
        <x:v>(1:25) PENALTY on BAL-72-A.Vorhees, False Start, 5 yards, enforced at BAL 19 - No Play.</x:v>
      </x:c>
      <x:c r="L1384" t="str">
        <x:v>no_play</x:v>
      </x:c>
      <x:c r="M1384" t="n">
        <x:v>0</x:v>
      </x:c>
      <x:c r="N1384" t="n">
        <x:v>0</x:v>
      </x:c>
      <x:c r="O1384" t="n">
        <x:v>0</x:v>
      </x:c>
      <x:c r="P1384"/>
      <x:c r="Q1384"/>
      <x:c r="R1384"/>
      <x:c r="S1384"/>
      <x:c r="T1384"/>
      <x:c r="U1384"/>
      <x:c r="V1384" t="n">
        <x:v>0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1</x:v>
      </x:c>
      <x:c r="AB1384" t="n">
        <x:v>5</x:v>
      </x:c>
      <x:c r="AC1384" t="n">
        <x:v>0</x:v>
      </x:c>
      <x:c r="AD1384" t="n">
        <x:v>-0.8490408798679709</x:v>
      </x:c>
      <x:c r="AE1384" t="n">
        <x:v>0</x:v>
      </x:c>
      <x:c r="AF1384" t="n">
        <x:v>-0.024129658937454224</x:v>
      </x:c>
      <x:c r="AG1384" t="n">
        <x:f>_xlfn.XLOOKUP($A1384,Games!$A$2:$A$18,Games!$B$2:$B$18,"Missing game",0)</x:f>
        <x:v>2025</x:v>
      </x:c>
      <x:c r="AH1384" t="str">
        <x:f>_xlfn.XLOOKUP($A1384,Games!$A$2:$A$18,Games!$C$2:$C$18,"Missing game",0)</x:f>
        <x:v>REG</x:v>
      </x:c>
      <x:c r="AI1384" t="n">
        <x:f>_xlfn.XLOOKUP($A1384,Games!$A$2:$A$18,Games!$D$2:$D$18,"Missing game",0)</x:f>
        <x:v>10</x:v>
      </x:c>
      <x:c r="AJ1384" s="1" t="n">
        <x:f>_xlfn.XLOOKUP($A1384,Games!$A$2:$A$18,Games!$E$2:$E$18,"Missing game",0)</x:f>
        <x:v>45970</x:v>
      </x:c>
      <x:c r="AK1384" t="str">
        <x:f>_xlfn.XLOOKUP($A1384,Games!$A$2:$A$18,Games!$F$2:$F$18,"Missing game",0)</x:f>
        <x:v>Sunday</x:v>
      </x:c>
      <x:c r="AL1384" t="str">
        <x:f>_xlfn.XLOOKUP($A1384,Games!$A$2:$A$18,Games!$G$2:$G$18,"Missing game",0)</x:f>
        <x:v>BAL</x:v>
      </x:c>
      <x:c r="AM1384" t="n">
        <x:f>_xlfn.XLOOKUP($A1384,Games!$A$2:$A$18,Games!$H$2:$H$18,"Missing game",0)</x:f>
        <x:v>27</x:v>
      </x:c>
      <x:c r="AN1384" t="str">
        <x:f>_xlfn.XLOOKUP($A1384,Games!$A$2:$A$18,Games!$I$2:$I$18,"Missing game",0)</x:f>
        <x:v>MIN</x:v>
      </x:c>
      <x:c r="AO1384" t="n">
        <x:f>_xlfn.XLOOKUP($A1384,Games!$A$2:$A$18,Games!$J$2:$J$18,"Missing game",0)</x:f>
        <x:v>19</x:v>
      </x:c>
      <x:c r="AP1384" t="n">
        <x:f>_xlfn.XLOOKUP($A1384,Games!$A$2:$A$18,Games!$K$2:$K$18,"Missing game",0)</x:f>
        <x:v>-8</x:v>
      </x:c>
      <x:c r="AQ1384" t="n">
        <x:f>_xlfn.XLOOKUP($A1384,Games!$A$2:$A$18,Games!$L$2:$L$18,"Missing game",0)</x:f>
        <x:v>46</x:v>
      </x:c>
      <x:c r="AR1384" t="n">
        <x:f>_xlfn.XLOOKUP($A1384,Games!$A$2:$A$18,Games!$M$2:$M$18,"Missing game",0)</x:f>
        <x:v>0</x:v>
      </x:c>
      <x:c r="AS1384" t="str">
        <x:f>_xlfn.XLOOKUP($A1384,Games!$A$2:$A$18,Games!$N$2:$N$18,"Missing game",0)</x:f>
        <x:v>dome</x:v>
      </x:c>
      <x:c r="AT1384" t="str">
        <x:f>_xlfn.XLOOKUP($A1384,Games!$A$2:$A$18,Games!$O$2:$O$18,"Missing game",0)</x:f>
        <x:v>sportturf</x:v>
      </x:c>
      <x:c r="AU1384" t="str">
        <x:f>_xlfn.XLOOKUP($A1384,Games!$A$2:$A$18,Games!$P$2:$P$18,"Missing game",0)</x:f>
      </x:c>
      <x:c r="AV1384" t="str">
        <x:f>_xlfn.XLOOKUP($A1384,Games!$A$2:$A$18,Games!$Q$2:$Q$18,"Missing game",0)</x:f>
      </x:c>
      <x:c r="AW1384" t="str">
        <x:f>_xlfn.XLOOKUP($A1384,Games!$A$2:$A$18,Games!$R$2:$R$18,"Missing game",0)</x:f>
        <x:v>U.S. Bank Stadium</x:v>
      </x:c>
    </x:row>
    <x:row r="1385">
      <x:c r="A1385" t="str">
        <x:v>2025_10_BAL_MIN</x:v>
      </x:c>
      <x:c r="B1385" t="n">
        <x:v>831</x:v>
      </x:c>
      <x:c r="C1385" t="n">
        <x:v>1</x:v>
      </x:c>
      <x:c r="D1385" t="str">
        <x:v>01:10</x:v>
      </x:c>
      <x:c r="E1385" t="n">
        <x:v>2</x:v>
      </x:c>
      <x:c r="F1385" t="n">
        <x:v>11</x:v>
      </x:c>
      <x:c r="G1385" t="str">
        <x:v>BAL</x:v>
      </x:c>
      <x:c r="H1385" t="str">
        <x:v>MIN</x:v>
      </x:c>
      <x:c r="I1385" t="str">
        <x:v>BAL</x:v>
      </x:c>
      <x:c r="J1385" t="n">
        <x:v>86</x:v>
      </x:c>
      <x:c r="K1385" t="str">
        <x:v>(1:10) 8-L.Jackson pass short left to 22-D.Henry to BAL 12 for -2 yards (93-J.Allen).</x:v>
      </x:c>
      <x:c r="L1385" t="str">
        <x:v>pass</x:v>
      </x:c>
      <x:c r="M1385" t="n">
        <x:v>-2</x:v>
      </x:c>
      <x:c r="N1385" t="n">
        <x:v>0</x:v>
      </x:c>
      <x:c r="O1385" t="n">
        <x:v>0</x:v>
      </x:c>
      <x:c r="P1385" t="str">
        <x:v>short</x:v>
      </x:c>
      <x:c r="Q1385" t="str">
        <x:v>left</x:v>
      </x:c>
      <x:c r="R1385" t="n">
        <x:v>-2</x:v>
      </x:c>
      <x:c r="S1385" t="n">
        <x:v>0</x:v>
      </x:c>
      <x:c r="T1385"/>
      <x:c r="U1385"/>
      <x:c r="V1385" t="n">
        <x:v>1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0</x:v>
      </x:c>
      <x:c r="AB1385"/>
      <x:c r="AC1385" t="n">
        <x:v>0</x:v>
      </x:c>
      <x:c r="AD1385" t="n">
        <x:v>-0.9629854043014348</x:v>
      </x:c>
      <x:c r="AE1385" t="n">
        <x:v>0</x:v>
      </x:c>
      <x:c r="AF1385" t="n">
        <x:v>-0.033661291003227234</x:v>
      </x:c>
      <x:c r="AG1385" t="n">
        <x:f>_xlfn.XLOOKUP($A1385,Games!$A$2:$A$18,Games!$B$2:$B$18,"Missing game",0)</x:f>
        <x:v>2025</x:v>
      </x:c>
      <x:c r="AH1385" t="str">
        <x:f>_xlfn.XLOOKUP($A1385,Games!$A$2:$A$18,Games!$C$2:$C$18,"Missing game",0)</x:f>
        <x:v>REG</x:v>
      </x:c>
      <x:c r="AI1385" t="n">
        <x:f>_xlfn.XLOOKUP($A1385,Games!$A$2:$A$18,Games!$D$2:$D$18,"Missing game",0)</x:f>
        <x:v>10</x:v>
      </x:c>
      <x:c r="AJ1385" s="1" t="n">
        <x:f>_xlfn.XLOOKUP($A1385,Games!$A$2:$A$18,Games!$E$2:$E$18,"Missing game",0)</x:f>
        <x:v>45970</x:v>
      </x:c>
      <x:c r="AK1385" t="str">
        <x:f>_xlfn.XLOOKUP($A1385,Games!$A$2:$A$18,Games!$F$2:$F$18,"Missing game",0)</x:f>
        <x:v>Sunday</x:v>
      </x:c>
      <x:c r="AL1385" t="str">
        <x:f>_xlfn.XLOOKUP($A1385,Games!$A$2:$A$18,Games!$G$2:$G$18,"Missing game",0)</x:f>
        <x:v>BAL</x:v>
      </x:c>
      <x:c r="AM1385" t="n">
        <x:f>_xlfn.XLOOKUP($A1385,Games!$A$2:$A$18,Games!$H$2:$H$18,"Missing game",0)</x:f>
        <x:v>27</x:v>
      </x:c>
      <x:c r="AN1385" t="str">
        <x:f>_xlfn.XLOOKUP($A1385,Games!$A$2:$A$18,Games!$I$2:$I$18,"Missing game",0)</x:f>
        <x:v>MIN</x:v>
      </x:c>
      <x:c r="AO1385" t="n">
        <x:f>_xlfn.XLOOKUP($A1385,Games!$A$2:$A$18,Games!$J$2:$J$18,"Missing game",0)</x:f>
        <x:v>19</x:v>
      </x:c>
      <x:c r="AP1385" t="n">
        <x:f>_xlfn.XLOOKUP($A1385,Games!$A$2:$A$18,Games!$K$2:$K$18,"Missing game",0)</x:f>
        <x:v>-8</x:v>
      </x:c>
      <x:c r="AQ1385" t="n">
        <x:f>_xlfn.XLOOKUP($A1385,Games!$A$2:$A$18,Games!$L$2:$L$18,"Missing game",0)</x:f>
        <x:v>46</x:v>
      </x:c>
      <x:c r="AR1385" t="n">
        <x:f>_xlfn.XLOOKUP($A1385,Games!$A$2:$A$18,Games!$M$2:$M$18,"Missing game",0)</x:f>
        <x:v>0</x:v>
      </x:c>
      <x:c r="AS1385" t="str">
        <x:f>_xlfn.XLOOKUP($A1385,Games!$A$2:$A$18,Games!$N$2:$N$18,"Missing game",0)</x:f>
        <x:v>dome</x:v>
      </x:c>
      <x:c r="AT1385" t="str">
        <x:f>_xlfn.XLOOKUP($A1385,Games!$A$2:$A$18,Games!$O$2:$O$18,"Missing game",0)</x:f>
        <x:v>sportturf</x:v>
      </x:c>
      <x:c r="AU1385" t="str">
        <x:f>_xlfn.XLOOKUP($A1385,Games!$A$2:$A$18,Games!$P$2:$P$18,"Missing game",0)</x:f>
      </x:c>
      <x:c r="AV1385" t="str">
        <x:f>_xlfn.XLOOKUP($A1385,Games!$A$2:$A$18,Games!$Q$2:$Q$18,"Missing game",0)</x:f>
      </x:c>
      <x:c r="AW1385" t="str">
        <x:f>_xlfn.XLOOKUP($A1385,Games!$A$2:$A$18,Games!$R$2:$R$18,"Missing game",0)</x:f>
        <x:v>U.S. Bank Stadium</x:v>
      </x:c>
    </x:row>
    <x:row r="1386">
      <x:c r="A1386" t="str">
        <x:v>2025_10_BAL_MIN</x:v>
      </x:c>
      <x:c r="B1386" t="n">
        <x:v>856</x:v>
      </x:c>
      <x:c r="C1386" t="n">
        <x:v>1</x:v>
      </x:c>
      <x:c r="D1386" t="str">
        <x:v>00:25</x:v>
      </x:c>
      <x:c r="E1386" t="n">
        <x:v>3</x:v>
      </x:c>
      <x:c r="F1386" t="n">
        <x:v>13</x:v>
      </x:c>
      <x:c r="G1386" t="str">
        <x:v>BAL</x:v>
      </x:c>
      <x:c r="H1386" t="str">
        <x:v>MIN</x:v>
      </x:c>
      <x:c r="I1386" t="str">
        <x:v>BAL</x:v>
      </x:c>
      <x:c r="J1386" t="n">
        <x:v>88</x:v>
      </x:c>
      <x:c r="K1386" t="str">
        <x:v>(:25) (Shotgun) 8-L.Jackson pass short left to 89-M.Andrews pushed ob at BAL 18 for 6 yards (44-J.Metellus).</x:v>
      </x:c>
      <x:c r="L1386" t="str">
        <x:v>pass</x:v>
      </x:c>
      <x:c r="M1386" t="n">
        <x:v>6</x:v>
      </x:c>
      <x:c r="N1386" t="n">
        <x:v>1</x:v>
      </x:c>
      <x:c r="O1386" t="n">
        <x:v>0</x:v>
      </x:c>
      <x:c r="P1386" t="str">
        <x:v>short</x:v>
      </x:c>
      <x:c r="Q1386" t="str">
        <x:v>left</x:v>
      </x:c>
      <x:c r="R1386" t="n">
        <x:v>5</x:v>
      </x:c>
      <x:c r="S1386" t="n">
        <x:v>1</x:v>
      </x:c>
      <x:c r="T1386"/>
      <x:c r="U1386"/>
      <x:c r="V1386" t="n">
        <x:v>1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0</x:v>
      </x:c>
      <x:c r="AB1386"/>
      <x:c r="AC1386" t="n">
        <x:v>0</x:v>
      </x:c>
      <x:c r="AD1386" t="n">
        <x:v>-0.6307894932106137</x:v>
      </x:c>
      <x:c r="AE1386" t="n">
        <x:v>0</x:v>
      </x:c>
      <x:c r="AF1386" t="n">
        <x:v>-0.00009575486183166504</x:v>
      </x:c>
      <x:c r="AG1386" t="n">
        <x:f>_xlfn.XLOOKUP($A1386,Games!$A$2:$A$18,Games!$B$2:$B$18,"Missing game",0)</x:f>
        <x:v>2025</x:v>
      </x:c>
      <x:c r="AH1386" t="str">
        <x:f>_xlfn.XLOOKUP($A1386,Games!$A$2:$A$18,Games!$C$2:$C$18,"Missing game",0)</x:f>
        <x:v>REG</x:v>
      </x:c>
      <x:c r="AI1386" t="n">
        <x:f>_xlfn.XLOOKUP($A1386,Games!$A$2:$A$18,Games!$D$2:$D$18,"Missing game",0)</x:f>
        <x:v>10</x:v>
      </x:c>
      <x:c r="AJ1386" s="1" t="n">
        <x:f>_xlfn.XLOOKUP($A1386,Games!$A$2:$A$18,Games!$E$2:$E$18,"Missing game",0)</x:f>
        <x:v>45970</x:v>
      </x:c>
      <x:c r="AK1386" t="str">
        <x:f>_xlfn.XLOOKUP($A1386,Games!$A$2:$A$18,Games!$F$2:$F$18,"Missing game",0)</x:f>
        <x:v>Sunday</x:v>
      </x:c>
      <x:c r="AL1386" t="str">
        <x:f>_xlfn.XLOOKUP($A1386,Games!$A$2:$A$18,Games!$G$2:$G$18,"Missing game",0)</x:f>
        <x:v>BAL</x:v>
      </x:c>
      <x:c r="AM1386" t="n">
        <x:f>_xlfn.XLOOKUP($A1386,Games!$A$2:$A$18,Games!$H$2:$H$18,"Missing game",0)</x:f>
        <x:v>27</x:v>
      </x:c>
      <x:c r="AN1386" t="str">
        <x:f>_xlfn.XLOOKUP($A1386,Games!$A$2:$A$18,Games!$I$2:$I$18,"Missing game",0)</x:f>
        <x:v>MIN</x:v>
      </x:c>
      <x:c r="AO1386" t="n">
        <x:f>_xlfn.XLOOKUP($A1386,Games!$A$2:$A$18,Games!$J$2:$J$18,"Missing game",0)</x:f>
        <x:v>19</x:v>
      </x:c>
      <x:c r="AP1386" t="n">
        <x:f>_xlfn.XLOOKUP($A1386,Games!$A$2:$A$18,Games!$K$2:$K$18,"Missing game",0)</x:f>
        <x:v>-8</x:v>
      </x:c>
      <x:c r="AQ1386" t="n">
        <x:f>_xlfn.XLOOKUP($A1386,Games!$A$2:$A$18,Games!$L$2:$L$18,"Missing game",0)</x:f>
        <x:v>46</x:v>
      </x:c>
      <x:c r="AR1386" t="n">
        <x:f>_xlfn.XLOOKUP($A1386,Games!$A$2:$A$18,Games!$M$2:$M$18,"Missing game",0)</x:f>
        <x:v>0</x:v>
      </x:c>
      <x:c r="AS1386" t="str">
        <x:f>_xlfn.XLOOKUP($A1386,Games!$A$2:$A$18,Games!$N$2:$N$18,"Missing game",0)</x:f>
        <x:v>dome</x:v>
      </x:c>
      <x:c r="AT1386" t="str">
        <x:f>_xlfn.XLOOKUP($A1386,Games!$A$2:$A$18,Games!$O$2:$O$18,"Missing game",0)</x:f>
        <x:v>sportturf</x:v>
      </x:c>
      <x:c r="AU1386" t="str">
        <x:f>_xlfn.XLOOKUP($A1386,Games!$A$2:$A$18,Games!$P$2:$P$18,"Missing game",0)</x:f>
      </x:c>
      <x:c r="AV1386" t="str">
        <x:f>_xlfn.XLOOKUP($A1386,Games!$A$2:$A$18,Games!$Q$2:$Q$18,"Missing game",0)</x:f>
      </x:c>
      <x:c r="AW1386" t="str">
        <x:f>_xlfn.XLOOKUP($A1386,Games!$A$2:$A$18,Games!$R$2:$R$18,"Missing game",0)</x:f>
        <x:v>U.S. Bank Stadium</x:v>
      </x:c>
    </x:row>
    <x:row r="1387">
      <x:c r="A1387" t="str">
        <x:v>2025_10_BAL_MIN</x:v>
      </x:c>
      <x:c r="B1387" t="n">
        <x:v>881</x:v>
      </x:c>
      <x:c r="C1387" t="n">
        <x:v>1</x:v>
      </x:c>
      <x:c r="D1387" t="str">
        <x:v>00:00</x:v>
      </x:c>
      <x:c r="E1387"/>
      <x:c r="F1387" t="n">
        <x:v>0</x:v>
      </x:c>
      <x:c r="G1387" t="str">
        <x:v>BAL</x:v>
      </x:c>
      <x:c r="H1387" t="str">
        <x:v>MIN</x:v>
      </x:c>
      <x:c r="I1387"/>
      <x:c r="J1387"/>
      <x:c r="K1387" t="str">
        <x:v>END QUARTER 1</x:v>
      </x:c>
      <x:c r="L1387"/>
      <x:c r="M1387"/>
      <x:c r="N1387" t="n">
        <x:v>0</x:v>
      </x:c>
      <x:c r="O1387" t="n">
        <x:v>0</x:v>
      </x:c>
      <x:c r="P1387"/>
      <x:c r="Q1387"/>
      <x:c r="R1387"/>
      <x:c r="S1387"/>
      <x:c r="T1387"/>
      <x:c r="U1387"/>
      <x:c r="V1387"/>
      <x:c r="W1387"/>
      <x:c r="X1387"/>
      <x:c r="Y1387"/>
      <x:c r="Z1387"/>
      <x:c r="AA1387"/>
      <x:c r="AB1387"/>
      <x:c r="AC1387"/>
      <x:c r="AD1387" t="n">
        <x:v>0</x:v>
      </x:c>
      <x:c r="AE1387" t="n">
        <x:v>0</x:v>
      </x:c>
      <x:c r="AF1387" t="n">
        <x:v>0</x:v>
      </x:c>
      <x:c r="AG1387" t="n">
        <x:f>_xlfn.XLOOKUP($A1387,Games!$A$2:$A$18,Games!$B$2:$B$18,"Missing game",0)</x:f>
        <x:v>2025</x:v>
      </x:c>
      <x:c r="AH1387" t="str">
        <x:f>_xlfn.XLOOKUP($A1387,Games!$A$2:$A$18,Games!$C$2:$C$18,"Missing game",0)</x:f>
        <x:v>REG</x:v>
      </x:c>
      <x:c r="AI1387" t="n">
        <x:f>_xlfn.XLOOKUP($A1387,Games!$A$2:$A$18,Games!$D$2:$D$18,"Missing game",0)</x:f>
        <x:v>10</x:v>
      </x:c>
      <x:c r="AJ1387" s="1" t="n">
        <x:f>_xlfn.XLOOKUP($A1387,Games!$A$2:$A$18,Games!$E$2:$E$18,"Missing game",0)</x:f>
        <x:v>45970</x:v>
      </x:c>
      <x:c r="AK1387" t="str">
        <x:f>_xlfn.XLOOKUP($A1387,Games!$A$2:$A$18,Games!$F$2:$F$18,"Missing game",0)</x:f>
        <x:v>Sunday</x:v>
      </x:c>
      <x:c r="AL1387" t="str">
        <x:f>_xlfn.XLOOKUP($A1387,Games!$A$2:$A$18,Games!$G$2:$G$18,"Missing game",0)</x:f>
        <x:v>BAL</x:v>
      </x:c>
      <x:c r="AM1387" t="n">
        <x:f>_xlfn.XLOOKUP($A1387,Games!$A$2:$A$18,Games!$H$2:$H$18,"Missing game",0)</x:f>
        <x:v>27</x:v>
      </x:c>
      <x:c r="AN1387" t="str">
        <x:f>_xlfn.XLOOKUP($A1387,Games!$A$2:$A$18,Games!$I$2:$I$18,"Missing game",0)</x:f>
        <x:v>MIN</x:v>
      </x:c>
      <x:c r="AO1387" t="n">
        <x:f>_xlfn.XLOOKUP($A1387,Games!$A$2:$A$18,Games!$J$2:$J$18,"Missing game",0)</x:f>
        <x:v>19</x:v>
      </x:c>
      <x:c r="AP1387" t="n">
        <x:f>_xlfn.XLOOKUP($A1387,Games!$A$2:$A$18,Games!$K$2:$K$18,"Missing game",0)</x:f>
        <x:v>-8</x:v>
      </x:c>
      <x:c r="AQ1387" t="n">
        <x:f>_xlfn.XLOOKUP($A1387,Games!$A$2:$A$18,Games!$L$2:$L$18,"Missing game",0)</x:f>
        <x:v>46</x:v>
      </x:c>
      <x:c r="AR1387" t="n">
        <x:f>_xlfn.XLOOKUP($A1387,Games!$A$2:$A$18,Games!$M$2:$M$18,"Missing game",0)</x:f>
        <x:v>0</x:v>
      </x:c>
      <x:c r="AS1387" t="str">
        <x:f>_xlfn.XLOOKUP($A1387,Games!$A$2:$A$18,Games!$N$2:$N$18,"Missing game",0)</x:f>
        <x:v>dome</x:v>
      </x:c>
      <x:c r="AT1387" t="str">
        <x:f>_xlfn.XLOOKUP($A1387,Games!$A$2:$A$18,Games!$O$2:$O$18,"Missing game",0)</x:f>
        <x:v>sportturf</x:v>
      </x:c>
      <x:c r="AU1387" t="str">
        <x:f>_xlfn.XLOOKUP($A1387,Games!$A$2:$A$18,Games!$P$2:$P$18,"Missing game",0)</x:f>
      </x:c>
      <x:c r="AV1387" t="str">
        <x:f>_xlfn.XLOOKUP($A1387,Games!$A$2:$A$18,Games!$Q$2:$Q$18,"Missing game",0)</x:f>
      </x:c>
      <x:c r="AW1387" t="str">
        <x:f>_xlfn.XLOOKUP($A1387,Games!$A$2:$A$18,Games!$R$2:$R$18,"Missing game",0)</x:f>
        <x:v>U.S. Bank Stadium</x:v>
      </x:c>
    </x:row>
    <x:row r="1388">
      <x:c r="A1388" t="str">
        <x:v>2025_10_BAL_MIN</x:v>
      </x:c>
      <x:c r="B1388" t="n">
        <x:v>906</x:v>
      </x:c>
      <x:c r="C1388" t="n">
        <x:v>2</x:v>
      </x:c>
      <x:c r="D1388" t="str">
        <x:v>15:00</x:v>
      </x:c>
      <x:c r="E1388" t="n">
        <x:v>4</x:v>
      </x:c>
      <x:c r="F1388" t="n">
        <x:v>7</x:v>
      </x:c>
      <x:c r="G1388" t="str">
        <x:v>BAL</x:v>
      </x:c>
      <x:c r="H1388" t="str">
        <x:v>MIN</x:v>
      </x:c>
      <x:c r="I1388" t="str">
        <x:v>BAL</x:v>
      </x:c>
      <x:c r="J1388" t="n">
        <x:v>82</x:v>
      </x:c>
      <x:c r="K1388" t="str">
        <x:v>(15:00) 11-J.Stout punts 39 yards to MIN 43, Center-46-N.Moore, out of bounds.</x:v>
      </x:c>
      <x:c r="L1388" t="str">
        <x:v>punt</x:v>
      </x:c>
      <x:c r="M1388" t="n">
        <x:v>0</x:v>
      </x:c>
      <x:c r="N1388" t="n">
        <x:v>0</x:v>
      </x:c>
      <x:c r="O1388" t="n">
        <x:v>0</x:v>
      </x:c>
      <x:c r="P1388"/>
      <x:c r="Q1388"/>
      <x:c r="R1388"/>
      <x:c r="S1388"/>
      <x:c r="T1388"/>
      <x:c r="U1388"/>
      <x:c r="V1388" t="n">
        <x:v>0</x:v>
      </x:c>
      <x:c r="W1388" t="n">
        <x:v>0</x:v>
      </x:c>
      <x:c r="X1388" t="n">
        <x:v>0</x:v>
      </x:c>
      <x:c r="Y1388" t="n">
        <x:v>0</x:v>
      </x:c>
      <x:c r="Z1388" t="n">
        <x:v>0</x:v>
      </x:c>
      <x:c r="AA1388" t="n">
        <x:v>0</x:v>
      </x:c>
      <x:c r="AB1388"/>
      <x:c r="AC1388" t="n">
        <x:v>0</x:v>
      </x:c>
      <x:c r="AD1388" t="n">
        <x:v>-0.542919707717374</x:v>
      </x:c>
      <x:c r="AE1388" t="n">
        <x:v>0</x:v>
      </x:c>
      <x:c r="AF1388" t="n">
        <x:v>0.006954565644264221</x:v>
      </x:c>
      <x:c r="AG1388" t="n">
        <x:f>_xlfn.XLOOKUP($A1388,Games!$A$2:$A$18,Games!$B$2:$B$18,"Missing game",0)</x:f>
        <x:v>2025</x:v>
      </x:c>
      <x:c r="AH1388" t="str">
        <x:f>_xlfn.XLOOKUP($A1388,Games!$A$2:$A$18,Games!$C$2:$C$18,"Missing game",0)</x:f>
        <x:v>REG</x:v>
      </x:c>
      <x:c r="AI1388" t="n">
        <x:f>_xlfn.XLOOKUP($A1388,Games!$A$2:$A$18,Games!$D$2:$D$18,"Missing game",0)</x:f>
        <x:v>10</x:v>
      </x:c>
      <x:c r="AJ1388" s="1" t="n">
        <x:f>_xlfn.XLOOKUP($A1388,Games!$A$2:$A$18,Games!$E$2:$E$18,"Missing game",0)</x:f>
        <x:v>45970</x:v>
      </x:c>
      <x:c r="AK1388" t="str">
        <x:f>_xlfn.XLOOKUP($A1388,Games!$A$2:$A$18,Games!$F$2:$F$18,"Missing game",0)</x:f>
        <x:v>Sunday</x:v>
      </x:c>
      <x:c r="AL1388" t="str">
        <x:f>_xlfn.XLOOKUP($A1388,Games!$A$2:$A$18,Games!$G$2:$G$18,"Missing game",0)</x:f>
        <x:v>BAL</x:v>
      </x:c>
      <x:c r="AM1388" t="n">
        <x:f>_xlfn.XLOOKUP($A1388,Games!$A$2:$A$18,Games!$H$2:$H$18,"Missing game",0)</x:f>
        <x:v>27</x:v>
      </x:c>
      <x:c r="AN1388" t="str">
        <x:f>_xlfn.XLOOKUP($A1388,Games!$A$2:$A$18,Games!$I$2:$I$18,"Missing game",0)</x:f>
        <x:v>MIN</x:v>
      </x:c>
      <x:c r="AO1388" t="n">
        <x:f>_xlfn.XLOOKUP($A1388,Games!$A$2:$A$18,Games!$J$2:$J$18,"Missing game",0)</x:f>
        <x:v>19</x:v>
      </x:c>
      <x:c r="AP1388" t="n">
        <x:f>_xlfn.XLOOKUP($A1388,Games!$A$2:$A$18,Games!$K$2:$K$18,"Missing game",0)</x:f>
        <x:v>-8</x:v>
      </x:c>
      <x:c r="AQ1388" t="n">
        <x:f>_xlfn.XLOOKUP($A1388,Games!$A$2:$A$18,Games!$L$2:$L$18,"Missing game",0)</x:f>
        <x:v>46</x:v>
      </x:c>
      <x:c r="AR1388" t="n">
        <x:f>_xlfn.XLOOKUP($A1388,Games!$A$2:$A$18,Games!$M$2:$M$18,"Missing game",0)</x:f>
        <x:v>0</x:v>
      </x:c>
      <x:c r="AS1388" t="str">
        <x:f>_xlfn.XLOOKUP($A1388,Games!$A$2:$A$18,Games!$N$2:$N$18,"Missing game",0)</x:f>
        <x:v>dome</x:v>
      </x:c>
      <x:c r="AT1388" t="str">
        <x:f>_xlfn.XLOOKUP($A1388,Games!$A$2:$A$18,Games!$O$2:$O$18,"Missing game",0)</x:f>
        <x:v>sportturf</x:v>
      </x:c>
      <x:c r="AU1388" t="str">
        <x:f>_xlfn.XLOOKUP($A1388,Games!$A$2:$A$18,Games!$P$2:$P$18,"Missing game",0)</x:f>
      </x:c>
      <x:c r="AV1388" t="str">
        <x:f>_xlfn.XLOOKUP($A1388,Games!$A$2:$A$18,Games!$Q$2:$Q$18,"Missing game",0)</x:f>
      </x:c>
      <x:c r="AW1388" t="str">
        <x:f>_xlfn.XLOOKUP($A1388,Games!$A$2:$A$18,Games!$R$2:$R$18,"Missing game",0)</x:f>
        <x:v>U.S. Bank Stadium</x:v>
      </x:c>
    </x:row>
    <x:row r="1389">
      <x:c r="A1389" t="str">
        <x:v>2025_10_BAL_MIN</x:v>
      </x:c>
      <x:c r="B1389" t="n">
        <x:v>925</x:v>
      </x:c>
      <x:c r="C1389" t="n">
        <x:v>2</x:v>
      </x:c>
      <x:c r="D1389" t="str">
        <x:v>14:55</x:v>
      </x:c>
      <x:c r="E1389" t="n">
        <x:v>1</x:v>
      </x:c>
      <x:c r="F1389" t="n">
        <x:v>10</x:v>
      </x:c>
      <x:c r="G1389" t="str">
        <x:v>MIN</x:v>
      </x:c>
      <x:c r="H1389" t="str">
        <x:v>BAL</x:v>
      </x:c>
      <x:c r="I1389" t="str">
        <x:v>MIN</x:v>
      </x:c>
      <x:c r="J1389" t="n">
        <x:v>57</x:v>
      </x:c>
      <x:c r="K1389" t="str">
        <x:v>(14:55) 9-J.McCarthy pass incomplete deep right to 3-J.Addison (98-T.Jones).</x:v>
      </x:c>
      <x:c r="L1389" t="str">
        <x:v>pass</x:v>
      </x:c>
      <x:c r="M1389" t="n">
        <x:v>0</x:v>
      </x:c>
      <x:c r="N1389" t="n">
        <x:v>0</x:v>
      </x:c>
      <x:c r="O1389" t="n">
        <x:v>0</x:v>
      </x:c>
      <x:c r="P1389" t="str">
        <x:v>deep</x:v>
      </x:c>
      <x:c r="Q1389" t="str">
        <x:v>right</x:v>
      </x:c>
      <x:c r="R1389" t="n">
        <x:v>24</x:v>
      </x:c>
      <x:c r="S1389"/>
      <x:c r="T1389"/>
      <x:c r="U1389"/>
      <x:c r="V1389" t="n">
        <x:v>0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0</x:v>
      </x:c>
      <x:c r="AB1389"/>
      <x:c r="AC1389" t="n">
        <x:v>0</x:v>
      </x:c>
      <x:c r="AD1389" t="n">
        <x:v>-0.6186534613370895</x:v>
      </x:c>
      <x:c r="AE1389" t="n">
        <x:v>0</x:v>
      </x:c>
      <x:c r="AF1389" t="n">
        <x:v>-0.011893153190612793</x:v>
      </x:c>
      <x:c r="AG1389" t="n">
        <x:f>_xlfn.XLOOKUP($A1389,Games!$A$2:$A$18,Games!$B$2:$B$18,"Missing game",0)</x:f>
        <x:v>2025</x:v>
      </x:c>
      <x:c r="AH1389" t="str">
        <x:f>_xlfn.XLOOKUP($A1389,Games!$A$2:$A$18,Games!$C$2:$C$18,"Missing game",0)</x:f>
        <x:v>REG</x:v>
      </x:c>
      <x:c r="AI1389" t="n">
        <x:f>_xlfn.XLOOKUP($A1389,Games!$A$2:$A$18,Games!$D$2:$D$18,"Missing game",0)</x:f>
        <x:v>10</x:v>
      </x:c>
      <x:c r="AJ1389" s="1" t="n">
        <x:f>_xlfn.XLOOKUP($A1389,Games!$A$2:$A$18,Games!$E$2:$E$18,"Missing game",0)</x:f>
        <x:v>45970</x:v>
      </x:c>
      <x:c r="AK1389" t="str">
        <x:f>_xlfn.XLOOKUP($A1389,Games!$A$2:$A$18,Games!$F$2:$F$18,"Missing game",0)</x:f>
        <x:v>Sunday</x:v>
      </x:c>
      <x:c r="AL1389" t="str">
        <x:f>_xlfn.XLOOKUP($A1389,Games!$A$2:$A$18,Games!$G$2:$G$18,"Missing game",0)</x:f>
        <x:v>BAL</x:v>
      </x:c>
      <x:c r="AM1389" t="n">
        <x:f>_xlfn.XLOOKUP($A1389,Games!$A$2:$A$18,Games!$H$2:$H$18,"Missing game",0)</x:f>
        <x:v>27</x:v>
      </x:c>
      <x:c r="AN1389" t="str">
        <x:f>_xlfn.XLOOKUP($A1389,Games!$A$2:$A$18,Games!$I$2:$I$18,"Missing game",0)</x:f>
        <x:v>MIN</x:v>
      </x:c>
      <x:c r="AO1389" t="n">
        <x:f>_xlfn.XLOOKUP($A1389,Games!$A$2:$A$18,Games!$J$2:$J$18,"Missing game",0)</x:f>
        <x:v>19</x:v>
      </x:c>
      <x:c r="AP1389" t="n">
        <x:f>_xlfn.XLOOKUP($A1389,Games!$A$2:$A$18,Games!$K$2:$K$18,"Missing game",0)</x:f>
        <x:v>-8</x:v>
      </x:c>
      <x:c r="AQ1389" t="n">
        <x:f>_xlfn.XLOOKUP($A1389,Games!$A$2:$A$18,Games!$L$2:$L$18,"Missing game",0)</x:f>
        <x:v>46</x:v>
      </x:c>
      <x:c r="AR1389" t="n">
        <x:f>_xlfn.XLOOKUP($A1389,Games!$A$2:$A$18,Games!$M$2:$M$18,"Missing game",0)</x:f>
        <x:v>0</x:v>
      </x:c>
      <x:c r="AS1389" t="str">
        <x:f>_xlfn.XLOOKUP($A1389,Games!$A$2:$A$18,Games!$N$2:$N$18,"Missing game",0)</x:f>
        <x:v>dome</x:v>
      </x:c>
      <x:c r="AT1389" t="str">
        <x:f>_xlfn.XLOOKUP($A1389,Games!$A$2:$A$18,Games!$O$2:$O$18,"Missing game",0)</x:f>
        <x:v>sportturf</x:v>
      </x:c>
      <x:c r="AU1389" t="str">
        <x:f>_xlfn.XLOOKUP($A1389,Games!$A$2:$A$18,Games!$P$2:$P$18,"Missing game",0)</x:f>
      </x:c>
      <x:c r="AV1389" t="str">
        <x:f>_xlfn.XLOOKUP($A1389,Games!$A$2:$A$18,Games!$Q$2:$Q$18,"Missing game",0)</x:f>
      </x:c>
      <x:c r="AW1389" t="str">
        <x:f>_xlfn.XLOOKUP($A1389,Games!$A$2:$A$18,Games!$R$2:$R$18,"Missing game",0)</x:f>
        <x:v>U.S. Bank Stadium</x:v>
      </x:c>
    </x:row>
    <x:row r="1390">
      <x:c r="A1390" t="str">
        <x:v>2025_10_BAL_MIN</x:v>
      </x:c>
      <x:c r="B1390" t="n">
        <x:v>948</x:v>
      </x:c>
      <x:c r="C1390" t="n">
        <x:v>2</x:v>
      </x:c>
      <x:c r="D1390" t="str">
        <x:v>14:47</x:v>
      </x:c>
      <x:c r="E1390" t="n">
        <x:v>2</x:v>
      </x:c>
      <x:c r="F1390" t="n">
        <x:v>10</x:v>
      </x:c>
      <x:c r="G1390" t="str">
        <x:v>MIN</x:v>
      </x:c>
      <x:c r="H1390" t="str">
        <x:v>BAL</x:v>
      </x:c>
      <x:c r="I1390" t="str">
        <x:v>MIN</x:v>
      </x:c>
      <x:c r="J1390" t="n">
        <x:v>57</x:v>
      </x:c>
      <x:c r="K1390" t="str">
        <x:v>(14:47) (Shotgun) 9-J.McCarthy pass short left to 33-A.Jones pushed ob at MIN 49 for 6 yards (0-R.Smith).</x:v>
      </x:c>
      <x:c r="L1390" t="str">
        <x:v>pass</x:v>
      </x:c>
      <x:c r="M1390" t="n">
        <x:v>6</x:v>
      </x:c>
      <x:c r="N1390" t="n">
        <x:v>1</x:v>
      </x:c>
      <x:c r="O1390" t="n">
        <x:v>0</x:v>
      </x:c>
      <x:c r="P1390" t="str">
        <x:v>short</x:v>
      </x:c>
      <x:c r="Q1390" t="str">
        <x:v>left</x:v>
      </x:c>
      <x:c r="R1390" t="n">
        <x:v>-5</x:v>
      </x:c>
      <x:c r="S1390" t="n">
        <x:v>11</x:v>
      </x:c>
      <x:c r="T1390"/>
      <x:c r="U1390"/>
      <x:c r="V1390" t="n">
        <x:v>1</x:v>
      </x:c>
      <x:c r="W1390" t="n">
        <x:v>0</x:v>
      </x:c>
      <x:c r="X1390" t="n">
        <x:v>0</x:v>
      </x:c>
      <x:c r="Y1390" t="n">
        <x:v>0</x:v>
      </x:c>
      <x:c r="Z1390" t="n">
        <x:v>0</x:v>
      </x:c>
      <x:c r="AA1390" t="n">
        <x:v>0</x:v>
      </x:c>
      <x:c r="AB1390"/>
      <x:c r="AC1390" t="n">
        <x:v>0</x:v>
      </x:c>
      <x:c r="AD1390" t="n">
        <x:v>-0.16524916281923652</x:v>
      </x:c>
      <x:c r="AE1390" t="n">
        <x:v>0</x:v>
      </x:c>
      <x:c r="AF1390" t="n">
        <x:v>-0.0045427680015563965</x:v>
      </x:c>
      <x:c r="AG1390" t="n">
        <x:f>_xlfn.XLOOKUP($A1390,Games!$A$2:$A$18,Games!$B$2:$B$18,"Missing game",0)</x:f>
        <x:v>2025</x:v>
      </x:c>
      <x:c r="AH1390" t="str">
        <x:f>_xlfn.XLOOKUP($A1390,Games!$A$2:$A$18,Games!$C$2:$C$18,"Missing game",0)</x:f>
        <x:v>REG</x:v>
      </x:c>
      <x:c r="AI1390" t="n">
        <x:f>_xlfn.XLOOKUP($A1390,Games!$A$2:$A$18,Games!$D$2:$D$18,"Missing game",0)</x:f>
        <x:v>10</x:v>
      </x:c>
      <x:c r="AJ1390" s="1" t="n">
        <x:f>_xlfn.XLOOKUP($A1390,Games!$A$2:$A$18,Games!$E$2:$E$18,"Missing game",0)</x:f>
        <x:v>45970</x:v>
      </x:c>
      <x:c r="AK1390" t="str">
        <x:f>_xlfn.XLOOKUP($A1390,Games!$A$2:$A$18,Games!$F$2:$F$18,"Missing game",0)</x:f>
        <x:v>Sunday</x:v>
      </x:c>
      <x:c r="AL1390" t="str">
        <x:f>_xlfn.XLOOKUP($A1390,Games!$A$2:$A$18,Games!$G$2:$G$18,"Missing game",0)</x:f>
        <x:v>BAL</x:v>
      </x:c>
      <x:c r="AM1390" t="n">
        <x:f>_xlfn.XLOOKUP($A1390,Games!$A$2:$A$18,Games!$H$2:$H$18,"Missing game",0)</x:f>
        <x:v>27</x:v>
      </x:c>
      <x:c r="AN1390" t="str">
        <x:f>_xlfn.XLOOKUP($A1390,Games!$A$2:$A$18,Games!$I$2:$I$18,"Missing game",0)</x:f>
        <x:v>MIN</x:v>
      </x:c>
      <x:c r="AO1390" t="n">
        <x:f>_xlfn.XLOOKUP($A1390,Games!$A$2:$A$18,Games!$J$2:$J$18,"Missing game",0)</x:f>
        <x:v>19</x:v>
      </x:c>
      <x:c r="AP1390" t="n">
        <x:f>_xlfn.XLOOKUP($A1390,Games!$A$2:$A$18,Games!$K$2:$K$18,"Missing game",0)</x:f>
        <x:v>-8</x:v>
      </x:c>
      <x:c r="AQ1390" t="n">
        <x:f>_xlfn.XLOOKUP($A1390,Games!$A$2:$A$18,Games!$L$2:$L$18,"Missing game",0)</x:f>
        <x:v>46</x:v>
      </x:c>
      <x:c r="AR1390" t="n">
        <x:f>_xlfn.XLOOKUP($A1390,Games!$A$2:$A$18,Games!$M$2:$M$18,"Missing game",0)</x:f>
        <x:v>0</x:v>
      </x:c>
      <x:c r="AS1390" t="str">
        <x:f>_xlfn.XLOOKUP($A1390,Games!$A$2:$A$18,Games!$N$2:$N$18,"Missing game",0)</x:f>
        <x:v>dome</x:v>
      </x:c>
      <x:c r="AT1390" t="str">
        <x:f>_xlfn.XLOOKUP($A1390,Games!$A$2:$A$18,Games!$O$2:$O$18,"Missing game",0)</x:f>
        <x:v>sportturf</x:v>
      </x:c>
      <x:c r="AU1390" t="str">
        <x:f>_xlfn.XLOOKUP($A1390,Games!$A$2:$A$18,Games!$P$2:$P$18,"Missing game",0)</x:f>
      </x:c>
      <x:c r="AV1390" t="str">
        <x:f>_xlfn.XLOOKUP($A1390,Games!$A$2:$A$18,Games!$Q$2:$Q$18,"Missing game",0)</x:f>
      </x:c>
      <x:c r="AW1390" t="str">
        <x:f>_xlfn.XLOOKUP($A1390,Games!$A$2:$A$18,Games!$R$2:$R$18,"Missing game",0)</x:f>
        <x:v>U.S. Bank Stadium</x:v>
      </x:c>
    </x:row>
    <x:row r="1391">
      <x:c r="A1391" t="str">
        <x:v>2025_10_BAL_MIN</x:v>
      </x:c>
      <x:c r="B1391" t="n">
        <x:v>982</x:v>
      </x:c>
      <x:c r="C1391" t="n">
        <x:v>2</x:v>
      </x:c>
      <x:c r="D1391" t="str">
        <x:v>14:03</x:v>
      </x:c>
      <x:c r="E1391" t="n">
        <x:v>3</x:v>
      </x:c>
      <x:c r="F1391" t="n">
        <x:v>4</x:v>
      </x:c>
      <x:c r="G1391" t="str">
        <x:v>MIN</x:v>
      </x:c>
      <x:c r="H1391" t="str">
        <x:v>BAL</x:v>
      </x:c>
      <x:c r="I1391" t="str">
        <x:v>MIN</x:v>
      </x:c>
      <x:c r="J1391" t="n">
        <x:v>51</x:v>
      </x:c>
      <x:c r="K1391" t="str">
        <x:v>(14:03) (Shotgun) 9-J.McCarthy pass deep middle to 1-J.Nailor to BAL 33 for 18 yards (24-M.Starks) [98-T.Jones].</x:v>
      </x:c>
      <x:c r="L1391" t="str">
        <x:v>pass</x:v>
      </x:c>
      <x:c r="M1391" t="n">
        <x:v>18</x:v>
      </x:c>
      <x:c r="N1391" t="n">
        <x:v>1</x:v>
      </x:c>
      <x:c r="O1391" t="n">
        <x:v>0</x:v>
      </x:c>
      <x:c r="P1391" t="str">
        <x:v>deep</x:v>
      </x:c>
      <x:c r="Q1391" t="str">
        <x:v>middle</x:v>
      </x:c>
      <x:c r="R1391" t="n">
        <x:v>16</x:v>
      </x:c>
      <x:c r="S1391" t="n">
        <x:v>2</x:v>
      </x:c>
      <x:c r="T1391"/>
      <x:c r="U1391"/>
      <x:c r="V1391" t="n">
        <x:v>1</x:v>
      </x:c>
      <x:c r="W1391" t="n">
        <x:v>1</x:v>
      </x:c>
      <x:c r="X1391" t="n">
        <x:v>0</x:v>
      </x:c>
      <x:c r="Y1391" t="n">
        <x:v>0</x:v>
      </x:c>
      <x:c r="Z1391" t="n">
        <x:v>0</x:v>
      </x:c>
      <x:c r="AA1391" t="n">
        <x:v>0</x:v>
      </x:c>
      <x:c r="AB1391"/>
      <x:c r="AC1391" t="n">
        <x:v>0</x:v>
      </x:c>
      <x:c r="AD1391" t="n">
        <x:v>2.201297413907014</x:v>
      </x:c>
      <x:c r="AE1391" t="n">
        <x:v>1</x:v>
      </x:c>
      <x:c r="AF1391" t="n">
        <x:v>0.05056852102279663</x:v>
      </x:c>
      <x:c r="AG1391" t="n">
        <x:f>_xlfn.XLOOKUP($A1391,Games!$A$2:$A$18,Games!$B$2:$B$18,"Missing game",0)</x:f>
        <x:v>2025</x:v>
      </x:c>
      <x:c r="AH1391" t="str">
        <x:f>_xlfn.XLOOKUP($A1391,Games!$A$2:$A$18,Games!$C$2:$C$18,"Missing game",0)</x:f>
        <x:v>REG</x:v>
      </x:c>
      <x:c r="AI1391" t="n">
        <x:f>_xlfn.XLOOKUP($A1391,Games!$A$2:$A$18,Games!$D$2:$D$18,"Missing game",0)</x:f>
        <x:v>10</x:v>
      </x:c>
      <x:c r="AJ1391" s="1" t="n">
        <x:f>_xlfn.XLOOKUP($A1391,Games!$A$2:$A$18,Games!$E$2:$E$18,"Missing game",0)</x:f>
        <x:v>45970</x:v>
      </x:c>
      <x:c r="AK1391" t="str">
        <x:f>_xlfn.XLOOKUP($A1391,Games!$A$2:$A$18,Games!$F$2:$F$18,"Missing game",0)</x:f>
        <x:v>Sunday</x:v>
      </x:c>
      <x:c r="AL1391" t="str">
        <x:f>_xlfn.XLOOKUP($A1391,Games!$A$2:$A$18,Games!$G$2:$G$18,"Missing game",0)</x:f>
        <x:v>BAL</x:v>
      </x:c>
      <x:c r="AM1391" t="n">
        <x:f>_xlfn.XLOOKUP($A1391,Games!$A$2:$A$18,Games!$H$2:$H$18,"Missing game",0)</x:f>
        <x:v>27</x:v>
      </x:c>
      <x:c r="AN1391" t="str">
        <x:f>_xlfn.XLOOKUP($A1391,Games!$A$2:$A$18,Games!$I$2:$I$18,"Missing game",0)</x:f>
        <x:v>MIN</x:v>
      </x:c>
      <x:c r="AO1391" t="n">
        <x:f>_xlfn.XLOOKUP($A1391,Games!$A$2:$A$18,Games!$J$2:$J$18,"Missing game",0)</x:f>
        <x:v>19</x:v>
      </x:c>
      <x:c r="AP1391" t="n">
        <x:f>_xlfn.XLOOKUP($A1391,Games!$A$2:$A$18,Games!$K$2:$K$18,"Missing game",0)</x:f>
        <x:v>-8</x:v>
      </x:c>
      <x:c r="AQ1391" t="n">
        <x:f>_xlfn.XLOOKUP($A1391,Games!$A$2:$A$18,Games!$L$2:$L$18,"Missing game",0)</x:f>
        <x:v>46</x:v>
      </x:c>
      <x:c r="AR1391" t="n">
        <x:f>_xlfn.XLOOKUP($A1391,Games!$A$2:$A$18,Games!$M$2:$M$18,"Missing game",0)</x:f>
        <x:v>0</x:v>
      </x:c>
      <x:c r="AS1391" t="str">
        <x:f>_xlfn.XLOOKUP($A1391,Games!$A$2:$A$18,Games!$N$2:$N$18,"Missing game",0)</x:f>
        <x:v>dome</x:v>
      </x:c>
      <x:c r="AT1391" t="str">
        <x:f>_xlfn.XLOOKUP($A1391,Games!$A$2:$A$18,Games!$O$2:$O$18,"Missing game",0)</x:f>
        <x:v>sportturf</x:v>
      </x:c>
      <x:c r="AU1391" t="str">
        <x:f>_xlfn.XLOOKUP($A1391,Games!$A$2:$A$18,Games!$P$2:$P$18,"Missing game",0)</x:f>
      </x:c>
      <x:c r="AV1391" t="str">
        <x:f>_xlfn.XLOOKUP($A1391,Games!$A$2:$A$18,Games!$Q$2:$Q$18,"Missing game",0)</x:f>
      </x:c>
      <x:c r="AW1391" t="str">
        <x:f>_xlfn.XLOOKUP($A1391,Games!$A$2:$A$18,Games!$R$2:$R$18,"Missing game",0)</x:f>
        <x:v>U.S. Bank Stadium</x:v>
      </x:c>
    </x:row>
    <x:row r="1392">
      <x:c r="A1392" t="str">
        <x:v>2025_10_BAL_MIN</x:v>
      </x:c>
      <x:c r="B1392" t="n">
        <x:v>1007</x:v>
      </x:c>
      <x:c r="C1392" t="n">
        <x:v>2</x:v>
      </x:c>
      <x:c r="D1392" t="str">
        <x:v>13:18</x:v>
      </x:c>
      <x:c r="E1392" t="n">
        <x:v>1</x:v>
      </x:c>
      <x:c r="F1392" t="n">
        <x:v>10</x:v>
      </x:c>
      <x:c r="G1392" t="str">
        <x:v>MIN</x:v>
      </x:c>
      <x:c r="H1392" t="str">
        <x:v>BAL</x:v>
      </x:c>
      <x:c r="I1392" t="str">
        <x:v>BAL</x:v>
      </x:c>
      <x:c r="J1392" t="n">
        <x:v>33</x:v>
      </x:c>
      <x:c r="K1392" t="str">
        <x:v>(13:18) 27-J.Mason left end to BAL 34 for -1 yards (91-B.Okoye).</x:v>
      </x:c>
      <x:c r="L1392" t="str">
        <x:v>run</x:v>
      </x:c>
      <x:c r="M1392" t="n">
        <x:v>-1</x:v>
      </x:c>
      <x:c r="N1392" t="n">
        <x:v>0</x:v>
      </x:c>
      <x:c r="O1392" t="n">
        <x:v>0</x:v>
      </x:c>
      <x:c r="P1392"/>
      <x:c r="Q1392"/>
      <x:c r="R1392"/>
      <x:c r="S1392"/>
      <x:c r="T1392" t="str">
        <x:v>left</x:v>
      </x:c>
      <x:c r="U1392" t="str">
        <x:v>end</x:v>
      </x:c>
      <x:c r="V1392" t="n">
        <x:v>0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0</x:v>
      </x:c>
      <x:c r="AB1392"/>
      <x:c r="AC1392" t="n">
        <x:v>0</x:v>
      </x:c>
      <x:c r="AD1392" t="n">
        <x:v>-0.9304280158830807</x:v>
      </x:c>
      <x:c r="AE1392" t="n">
        <x:v>0</x:v>
      </x:c>
      <x:c r="AF1392" t="n">
        <x:v>-0.012506842613220215</x:v>
      </x:c>
      <x:c r="AG1392" t="n">
        <x:f>_xlfn.XLOOKUP($A1392,Games!$A$2:$A$18,Games!$B$2:$B$18,"Missing game",0)</x:f>
        <x:v>2025</x:v>
      </x:c>
      <x:c r="AH1392" t="str">
        <x:f>_xlfn.XLOOKUP($A1392,Games!$A$2:$A$18,Games!$C$2:$C$18,"Missing game",0)</x:f>
        <x:v>REG</x:v>
      </x:c>
      <x:c r="AI1392" t="n">
        <x:f>_xlfn.XLOOKUP($A1392,Games!$A$2:$A$18,Games!$D$2:$D$18,"Missing game",0)</x:f>
        <x:v>10</x:v>
      </x:c>
      <x:c r="AJ1392" s="1" t="n">
        <x:f>_xlfn.XLOOKUP($A1392,Games!$A$2:$A$18,Games!$E$2:$E$18,"Missing game",0)</x:f>
        <x:v>45970</x:v>
      </x:c>
      <x:c r="AK1392" t="str">
        <x:f>_xlfn.XLOOKUP($A1392,Games!$A$2:$A$18,Games!$F$2:$F$18,"Missing game",0)</x:f>
        <x:v>Sunday</x:v>
      </x:c>
      <x:c r="AL1392" t="str">
        <x:f>_xlfn.XLOOKUP($A1392,Games!$A$2:$A$18,Games!$G$2:$G$18,"Missing game",0)</x:f>
        <x:v>BAL</x:v>
      </x:c>
      <x:c r="AM1392" t="n">
        <x:f>_xlfn.XLOOKUP($A1392,Games!$A$2:$A$18,Games!$H$2:$H$18,"Missing game",0)</x:f>
        <x:v>27</x:v>
      </x:c>
      <x:c r="AN1392" t="str">
        <x:f>_xlfn.XLOOKUP($A1392,Games!$A$2:$A$18,Games!$I$2:$I$18,"Missing game",0)</x:f>
        <x:v>MIN</x:v>
      </x:c>
      <x:c r="AO1392" t="n">
        <x:f>_xlfn.XLOOKUP($A1392,Games!$A$2:$A$18,Games!$J$2:$J$18,"Missing game",0)</x:f>
        <x:v>19</x:v>
      </x:c>
      <x:c r="AP1392" t="n">
        <x:f>_xlfn.XLOOKUP($A1392,Games!$A$2:$A$18,Games!$K$2:$K$18,"Missing game",0)</x:f>
        <x:v>-8</x:v>
      </x:c>
      <x:c r="AQ1392" t="n">
        <x:f>_xlfn.XLOOKUP($A1392,Games!$A$2:$A$18,Games!$L$2:$L$18,"Missing game",0)</x:f>
        <x:v>46</x:v>
      </x:c>
      <x:c r="AR1392" t="n">
        <x:f>_xlfn.XLOOKUP($A1392,Games!$A$2:$A$18,Games!$M$2:$M$18,"Missing game",0)</x:f>
        <x:v>0</x:v>
      </x:c>
      <x:c r="AS1392" t="str">
        <x:f>_xlfn.XLOOKUP($A1392,Games!$A$2:$A$18,Games!$N$2:$N$18,"Missing game",0)</x:f>
        <x:v>dome</x:v>
      </x:c>
      <x:c r="AT1392" t="str">
        <x:f>_xlfn.XLOOKUP($A1392,Games!$A$2:$A$18,Games!$O$2:$O$18,"Missing game",0)</x:f>
        <x:v>sportturf</x:v>
      </x:c>
      <x:c r="AU1392" t="str">
        <x:f>_xlfn.XLOOKUP($A1392,Games!$A$2:$A$18,Games!$P$2:$P$18,"Missing game",0)</x:f>
      </x:c>
      <x:c r="AV1392" t="str">
        <x:f>_xlfn.XLOOKUP($A1392,Games!$A$2:$A$18,Games!$Q$2:$Q$18,"Missing game",0)</x:f>
      </x:c>
      <x:c r="AW1392" t="str">
        <x:f>_xlfn.XLOOKUP($A1392,Games!$A$2:$A$18,Games!$R$2:$R$18,"Missing game",0)</x:f>
        <x:v>U.S. Bank Stadium</x:v>
      </x:c>
    </x:row>
    <x:row r="1393">
      <x:c r="A1393" t="str">
        <x:v>2025_10_BAL_MIN</x:v>
      </x:c>
      <x:c r="B1393" t="n">
        <x:v>1029</x:v>
      </x:c>
      <x:c r="C1393" t="n">
        <x:v>2</x:v>
      </x:c>
      <x:c r="D1393" t="str">
        <x:v>12:39</x:v>
      </x:c>
      <x:c r="E1393" t="n">
        <x:v>2</x:v>
      </x:c>
      <x:c r="F1393" t="n">
        <x:v>11</x:v>
      </x:c>
      <x:c r="G1393" t="str">
        <x:v>MIN</x:v>
      </x:c>
      <x:c r="H1393" t="str">
        <x:v>BAL</x:v>
      </x:c>
      <x:c r="I1393" t="str">
        <x:v>BAL</x:v>
      </x:c>
      <x:c r="J1393" t="n">
        <x:v>34</x:v>
      </x:c>
      <x:c r="K1393" t="str">
        <x:v>(12:39) (Shotgun) 9-J.McCarthy scrambles up the middle to BAL 31 for 3 yards (45-M.Green).</x:v>
      </x:c>
      <x:c r="L1393" t="str">
        <x:v>run</x:v>
      </x:c>
      <x:c r="M1393" t="n">
        <x:v>3</x:v>
      </x:c>
      <x:c r="N1393" t="n">
        <x:v>1</x:v>
      </x:c>
      <x:c r="O1393" t="n">
        <x:v>0</x:v>
      </x:c>
      <x:c r="P1393"/>
      <x:c r="Q1393"/>
      <x:c r="R1393"/>
      <x:c r="S1393"/>
      <x:c r="T1393" t="str">
        <x:v>middle</x:v>
      </x:c>
      <x:c r="U1393"/>
      <x:c r="V1393" t="n">
        <x:v>0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0</x:v>
      </x:c>
      <x:c r="AB1393"/>
      <x:c r="AC1393" t="n">
        <x:v>0</x:v>
      </x:c>
      <x:c r="AD1393" t="n">
        <x:v>-0.14048432523850352</x:v>
      </x:c>
      <x:c r="AE1393" t="n">
        <x:v>0</x:v>
      </x:c>
      <x:c r="AF1393" t="n">
        <x:v>-0.023671984672546387</x:v>
      </x:c>
      <x:c r="AG1393" t="n">
        <x:f>_xlfn.XLOOKUP($A1393,Games!$A$2:$A$18,Games!$B$2:$B$18,"Missing game",0)</x:f>
        <x:v>2025</x:v>
      </x:c>
      <x:c r="AH1393" t="str">
        <x:f>_xlfn.XLOOKUP($A1393,Games!$A$2:$A$18,Games!$C$2:$C$18,"Missing game",0)</x:f>
        <x:v>REG</x:v>
      </x:c>
      <x:c r="AI1393" t="n">
        <x:f>_xlfn.XLOOKUP($A1393,Games!$A$2:$A$18,Games!$D$2:$D$18,"Missing game",0)</x:f>
        <x:v>10</x:v>
      </x:c>
      <x:c r="AJ1393" s="1" t="n">
        <x:f>_xlfn.XLOOKUP($A1393,Games!$A$2:$A$18,Games!$E$2:$E$18,"Missing game",0)</x:f>
        <x:v>45970</x:v>
      </x:c>
      <x:c r="AK1393" t="str">
        <x:f>_xlfn.XLOOKUP($A1393,Games!$A$2:$A$18,Games!$F$2:$F$18,"Missing game",0)</x:f>
        <x:v>Sunday</x:v>
      </x:c>
      <x:c r="AL1393" t="str">
        <x:f>_xlfn.XLOOKUP($A1393,Games!$A$2:$A$18,Games!$G$2:$G$18,"Missing game",0)</x:f>
        <x:v>BAL</x:v>
      </x:c>
      <x:c r="AM1393" t="n">
        <x:f>_xlfn.XLOOKUP($A1393,Games!$A$2:$A$18,Games!$H$2:$H$18,"Missing game",0)</x:f>
        <x:v>27</x:v>
      </x:c>
      <x:c r="AN1393" t="str">
        <x:f>_xlfn.XLOOKUP($A1393,Games!$A$2:$A$18,Games!$I$2:$I$18,"Missing game",0)</x:f>
        <x:v>MIN</x:v>
      </x:c>
      <x:c r="AO1393" t="n">
        <x:f>_xlfn.XLOOKUP($A1393,Games!$A$2:$A$18,Games!$J$2:$J$18,"Missing game",0)</x:f>
        <x:v>19</x:v>
      </x:c>
      <x:c r="AP1393" t="n">
        <x:f>_xlfn.XLOOKUP($A1393,Games!$A$2:$A$18,Games!$K$2:$K$18,"Missing game",0)</x:f>
        <x:v>-8</x:v>
      </x:c>
      <x:c r="AQ1393" t="n">
        <x:f>_xlfn.XLOOKUP($A1393,Games!$A$2:$A$18,Games!$L$2:$L$18,"Missing game",0)</x:f>
        <x:v>46</x:v>
      </x:c>
      <x:c r="AR1393" t="n">
        <x:f>_xlfn.XLOOKUP($A1393,Games!$A$2:$A$18,Games!$M$2:$M$18,"Missing game",0)</x:f>
        <x:v>0</x:v>
      </x:c>
      <x:c r="AS1393" t="str">
        <x:f>_xlfn.XLOOKUP($A1393,Games!$A$2:$A$18,Games!$N$2:$N$18,"Missing game",0)</x:f>
        <x:v>dome</x:v>
      </x:c>
      <x:c r="AT1393" t="str">
        <x:f>_xlfn.XLOOKUP($A1393,Games!$A$2:$A$18,Games!$O$2:$O$18,"Missing game",0)</x:f>
        <x:v>sportturf</x:v>
      </x:c>
      <x:c r="AU1393" t="str">
        <x:f>_xlfn.XLOOKUP($A1393,Games!$A$2:$A$18,Games!$P$2:$P$18,"Missing game",0)</x:f>
      </x:c>
      <x:c r="AV1393" t="str">
        <x:f>_xlfn.XLOOKUP($A1393,Games!$A$2:$A$18,Games!$Q$2:$Q$18,"Missing game",0)</x:f>
      </x:c>
      <x:c r="AW1393" t="str">
        <x:f>_xlfn.XLOOKUP($A1393,Games!$A$2:$A$18,Games!$R$2:$R$18,"Missing game",0)</x:f>
        <x:v>U.S. Bank Stadium</x:v>
      </x:c>
    </x:row>
    <x:row r="1394">
      <x:c r="A1394" t="str">
        <x:v>2025_10_BAL_MIN</x:v>
      </x:c>
      <x:c r="B1394" t="n">
        <x:v>1051</x:v>
      </x:c>
      <x:c r="C1394" t="n">
        <x:v>2</x:v>
      </x:c>
      <x:c r="D1394" t="str">
        <x:v>11:55</x:v>
      </x:c>
      <x:c r="E1394" t="n">
        <x:v>3</x:v>
      </x:c>
      <x:c r="F1394" t="n">
        <x:v>8</x:v>
      </x:c>
      <x:c r="G1394" t="str">
        <x:v>MIN</x:v>
      </x:c>
      <x:c r="H1394" t="str">
        <x:v>BAL</x:v>
      </x:c>
      <x:c r="I1394" t="str">
        <x:v>BAL</x:v>
      </x:c>
      <x:c r="J1394" t="n">
        <x:v>31</x:v>
      </x:c>
      <x:c r="K1394" t="str">
        <x:v>(11:55) (Shotgun) PENALTY on MIN-64-B.Brandel, False Start, 5 yards, enforced at BAL 31 - No Play.</x:v>
      </x:c>
      <x:c r="L1394" t="str">
        <x:v>no_play</x:v>
      </x:c>
      <x:c r="M1394" t="n">
        <x:v>0</x:v>
      </x:c>
      <x:c r="N1394" t="n">
        <x:v>1</x:v>
      </x:c>
      <x:c r="O1394" t="n">
        <x:v>0</x:v>
      </x:c>
      <x:c r="P1394"/>
      <x:c r="Q1394"/>
      <x:c r="R1394"/>
      <x:c r="S1394"/>
      <x:c r="T1394"/>
      <x:c r="U1394"/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1</x:v>
      </x:c>
      <x:c r="AB1394" t="n">
        <x:v>5</x:v>
      </x:c>
      <x:c r="AC1394" t="n">
        <x:v>0</x:v>
      </x:c>
      <x:c r="AD1394" t="n">
        <x:v>-0.9978068926138803</x:v>
      </x:c>
      <x:c r="AE1394" t="n">
        <x:v>0</x:v>
      </x:c>
      <x:c r="AF1394" t="n">
        <x:v>-0.0039937496185302734</x:v>
      </x:c>
      <x:c r="AG1394" t="n">
        <x:f>_xlfn.XLOOKUP($A1394,Games!$A$2:$A$18,Games!$B$2:$B$18,"Missing game",0)</x:f>
        <x:v>2025</x:v>
      </x:c>
      <x:c r="AH1394" t="str">
        <x:f>_xlfn.XLOOKUP($A1394,Games!$A$2:$A$18,Games!$C$2:$C$18,"Missing game",0)</x:f>
        <x:v>REG</x:v>
      </x:c>
      <x:c r="AI1394" t="n">
        <x:f>_xlfn.XLOOKUP($A1394,Games!$A$2:$A$18,Games!$D$2:$D$18,"Missing game",0)</x:f>
        <x:v>10</x:v>
      </x:c>
      <x:c r="AJ1394" s="1" t="n">
        <x:f>_xlfn.XLOOKUP($A1394,Games!$A$2:$A$18,Games!$E$2:$E$18,"Missing game",0)</x:f>
        <x:v>45970</x:v>
      </x:c>
      <x:c r="AK1394" t="str">
        <x:f>_xlfn.XLOOKUP($A1394,Games!$A$2:$A$18,Games!$F$2:$F$18,"Missing game",0)</x:f>
        <x:v>Sunday</x:v>
      </x:c>
      <x:c r="AL1394" t="str">
        <x:f>_xlfn.XLOOKUP($A1394,Games!$A$2:$A$18,Games!$G$2:$G$18,"Missing game",0)</x:f>
        <x:v>BAL</x:v>
      </x:c>
      <x:c r="AM1394" t="n">
        <x:f>_xlfn.XLOOKUP($A1394,Games!$A$2:$A$18,Games!$H$2:$H$18,"Missing game",0)</x:f>
        <x:v>27</x:v>
      </x:c>
      <x:c r="AN1394" t="str">
        <x:f>_xlfn.XLOOKUP($A1394,Games!$A$2:$A$18,Games!$I$2:$I$18,"Missing game",0)</x:f>
        <x:v>MIN</x:v>
      </x:c>
      <x:c r="AO1394" t="n">
        <x:f>_xlfn.XLOOKUP($A1394,Games!$A$2:$A$18,Games!$J$2:$J$18,"Missing game",0)</x:f>
        <x:v>19</x:v>
      </x:c>
      <x:c r="AP1394" t="n">
        <x:f>_xlfn.XLOOKUP($A1394,Games!$A$2:$A$18,Games!$K$2:$K$18,"Missing game",0)</x:f>
        <x:v>-8</x:v>
      </x:c>
      <x:c r="AQ1394" t="n">
        <x:f>_xlfn.XLOOKUP($A1394,Games!$A$2:$A$18,Games!$L$2:$L$18,"Missing game",0)</x:f>
        <x:v>46</x:v>
      </x:c>
      <x:c r="AR1394" t="n">
        <x:f>_xlfn.XLOOKUP($A1394,Games!$A$2:$A$18,Games!$M$2:$M$18,"Missing game",0)</x:f>
        <x:v>0</x:v>
      </x:c>
      <x:c r="AS1394" t="str">
        <x:f>_xlfn.XLOOKUP($A1394,Games!$A$2:$A$18,Games!$N$2:$N$18,"Missing game",0)</x:f>
        <x:v>dome</x:v>
      </x:c>
      <x:c r="AT1394" t="str">
        <x:f>_xlfn.XLOOKUP($A1394,Games!$A$2:$A$18,Games!$O$2:$O$18,"Missing game",0)</x:f>
        <x:v>sportturf</x:v>
      </x:c>
      <x:c r="AU1394" t="str">
        <x:f>_xlfn.XLOOKUP($A1394,Games!$A$2:$A$18,Games!$P$2:$P$18,"Missing game",0)</x:f>
      </x:c>
      <x:c r="AV1394" t="str">
        <x:f>_xlfn.XLOOKUP($A1394,Games!$A$2:$A$18,Games!$Q$2:$Q$18,"Missing game",0)</x:f>
      </x:c>
      <x:c r="AW1394" t="str">
        <x:f>_xlfn.XLOOKUP($A1394,Games!$A$2:$A$18,Games!$R$2:$R$18,"Missing game",0)</x:f>
        <x:v>U.S. Bank Stadium</x:v>
      </x:c>
    </x:row>
    <x:row r="1395">
      <x:c r="A1395" t="str">
        <x:v>2025_10_BAL_MIN</x:v>
      </x:c>
      <x:c r="B1395" t="n">
        <x:v>1075</x:v>
      </x:c>
      <x:c r="C1395" t="n">
        <x:v>2</x:v>
      </x:c>
      <x:c r="D1395" t="str">
        <x:v>11:39</x:v>
      </x:c>
      <x:c r="E1395" t="n">
        <x:v>3</x:v>
      </x:c>
      <x:c r="F1395" t="n">
        <x:v>13</x:v>
      </x:c>
      <x:c r="G1395" t="str">
        <x:v>MIN</x:v>
      </x:c>
      <x:c r="H1395" t="str">
        <x:v>BAL</x:v>
      </x:c>
      <x:c r="I1395" t="str">
        <x:v>BAL</x:v>
      </x:c>
      <x:c r="J1395" t="n">
        <x:v>36</x:v>
      </x:c>
      <x:c r="K1395" t="str">
        <x:v>(11:39) (Shotgun) 9-J.McCarthy pass short right to 18-J.Jefferson to BAL 31 for 5 yards (24-M.Starks).</x:v>
      </x:c>
      <x:c r="L1395" t="str">
        <x:v>pass</x:v>
      </x:c>
      <x:c r="M1395" t="n">
        <x:v>5</x:v>
      </x:c>
      <x:c r="N1395" t="n">
        <x:v>1</x:v>
      </x:c>
      <x:c r="O1395" t="n">
        <x:v>0</x:v>
      </x:c>
      <x:c r="P1395" t="str">
        <x:v>short</x:v>
      </x:c>
      <x:c r="Q1395" t="str">
        <x:v>right</x:v>
      </x:c>
      <x:c r="R1395" t="n">
        <x:v>0</x:v>
      </x:c>
      <x:c r="S1395" t="n">
        <x:v>5</x:v>
      </x:c>
      <x:c r="T1395"/>
      <x:c r="U1395"/>
      <x:c r="V1395" t="n">
        <x:v>1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0</x:v>
      </x:c>
      <x:c r="AB1395"/>
      <x:c r="AC1395" t="n">
        <x:v>0</x:v>
      </x:c>
      <x:c r="AD1395" t="n">
        <x:v>-0.15561678553031566</x:v>
      </x:c>
      <x:c r="AE1395" t="n">
        <x:v>0</x:v>
      </x:c>
      <x:c r="AF1395" t="n">
        <x:v>-0.022537410259246826</x:v>
      </x:c>
      <x:c r="AG1395" t="n">
        <x:f>_xlfn.XLOOKUP($A1395,Games!$A$2:$A$18,Games!$B$2:$B$18,"Missing game",0)</x:f>
        <x:v>2025</x:v>
      </x:c>
      <x:c r="AH1395" t="str">
        <x:f>_xlfn.XLOOKUP($A1395,Games!$A$2:$A$18,Games!$C$2:$C$18,"Missing game",0)</x:f>
        <x:v>REG</x:v>
      </x:c>
      <x:c r="AI1395" t="n">
        <x:f>_xlfn.XLOOKUP($A1395,Games!$A$2:$A$18,Games!$D$2:$D$18,"Missing game",0)</x:f>
        <x:v>10</x:v>
      </x:c>
      <x:c r="AJ1395" s="1" t="n">
        <x:f>_xlfn.XLOOKUP($A1395,Games!$A$2:$A$18,Games!$E$2:$E$18,"Missing game",0)</x:f>
        <x:v>45970</x:v>
      </x:c>
      <x:c r="AK1395" t="str">
        <x:f>_xlfn.XLOOKUP($A1395,Games!$A$2:$A$18,Games!$F$2:$F$18,"Missing game",0)</x:f>
        <x:v>Sunday</x:v>
      </x:c>
      <x:c r="AL1395" t="str">
        <x:f>_xlfn.XLOOKUP($A1395,Games!$A$2:$A$18,Games!$G$2:$G$18,"Missing game",0)</x:f>
        <x:v>BAL</x:v>
      </x:c>
      <x:c r="AM1395" t="n">
        <x:f>_xlfn.XLOOKUP($A1395,Games!$A$2:$A$18,Games!$H$2:$H$18,"Missing game",0)</x:f>
        <x:v>27</x:v>
      </x:c>
      <x:c r="AN1395" t="str">
        <x:f>_xlfn.XLOOKUP($A1395,Games!$A$2:$A$18,Games!$I$2:$I$18,"Missing game",0)</x:f>
        <x:v>MIN</x:v>
      </x:c>
      <x:c r="AO1395" t="n">
        <x:f>_xlfn.XLOOKUP($A1395,Games!$A$2:$A$18,Games!$J$2:$J$18,"Missing game",0)</x:f>
        <x:v>19</x:v>
      </x:c>
      <x:c r="AP1395" t="n">
        <x:f>_xlfn.XLOOKUP($A1395,Games!$A$2:$A$18,Games!$K$2:$K$18,"Missing game",0)</x:f>
        <x:v>-8</x:v>
      </x:c>
      <x:c r="AQ1395" t="n">
        <x:f>_xlfn.XLOOKUP($A1395,Games!$A$2:$A$18,Games!$L$2:$L$18,"Missing game",0)</x:f>
        <x:v>46</x:v>
      </x:c>
      <x:c r="AR1395" t="n">
        <x:f>_xlfn.XLOOKUP($A1395,Games!$A$2:$A$18,Games!$M$2:$M$18,"Missing game",0)</x:f>
        <x:v>0</x:v>
      </x:c>
      <x:c r="AS1395" t="str">
        <x:f>_xlfn.XLOOKUP($A1395,Games!$A$2:$A$18,Games!$N$2:$N$18,"Missing game",0)</x:f>
        <x:v>dome</x:v>
      </x:c>
      <x:c r="AT1395" t="str">
        <x:f>_xlfn.XLOOKUP($A1395,Games!$A$2:$A$18,Games!$O$2:$O$18,"Missing game",0)</x:f>
        <x:v>sportturf</x:v>
      </x:c>
      <x:c r="AU1395" t="str">
        <x:f>_xlfn.XLOOKUP($A1395,Games!$A$2:$A$18,Games!$P$2:$P$18,"Missing game",0)</x:f>
      </x:c>
      <x:c r="AV1395" t="str">
        <x:f>_xlfn.XLOOKUP($A1395,Games!$A$2:$A$18,Games!$Q$2:$Q$18,"Missing game",0)</x:f>
      </x:c>
      <x:c r="AW1395" t="str">
        <x:f>_xlfn.XLOOKUP($A1395,Games!$A$2:$A$18,Games!$R$2:$R$18,"Missing game",0)</x:f>
        <x:v>U.S. Bank Stadium</x:v>
      </x:c>
    </x:row>
    <x:row r="1396">
      <x:c r="A1396" t="str">
        <x:v>2025_10_BAL_MIN</x:v>
      </x:c>
      <x:c r="B1396" t="n">
        <x:v>1100</x:v>
      </x:c>
      <x:c r="C1396" t="n">
        <x:v>2</x:v>
      </x:c>
      <x:c r="D1396" t="str">
        <x:v>11:00</x:v>
      </x:c>
      <x:c r="E1396" t="n">
        <x:v>4</x:v>
      </x:c>
      <x:c r="F1396" t="n">
        <x:v>8</x:v>
      </x:c>
      <x:c r="G1396" t="str">
        <x:v>MIN</x:v>
      </x:c>
      <x:c r="H1396" t="str">
        <x:v>BAL</x:v>
      </x:c>
      <x:c r="I1396" t="str">
        <x:v>BAL</x:v>
      </x:c>
      <x:c r="J1396" t="n">
        <x:v>31</x:v>
      </x:c>
      <x:c r="K1396" t="str">
        <x:v>(11:00) 16-W.Reichard 49 yard field goal is GOOD, Center-42-A.DePaola, Holder-17-R.Wright.</x:v>
      </x:c>
      <x:c r="L1396" t="str">
        <x:v>field_goal</x:v>
      </x:c>
      <x:c r="M1396" t="n">
        <x:v>0</x:v>
      </x:c>
      <x:c r="N1396" t="n">
        <x:v>0</x:v>
      </x:c>
      <x:c r="O1396" t="n">
        <x:v>0</x:v>
      </x:c>
      <x:c r="P1396"/>
      <x:c r="Q1396"/>
      <x:c r="R1396"/>
      <x:c r="S1396"/>
      <x:c r="T1396"/>
      <x:c r="U1396"/>
      <x:c r="V1396" t="n">
        <x:v>0</x:v>
      </x:c>
      <x:c r="W1396" t="n">
        <x:v>0</x:v>
      </x:c>
      <x:c r="X1396" t="n">
        <x:v>0</x:v>
      </x:c>
      <x:c r="Y1396" t="n">
        <x:v>0</x:v>
      </x:c>
      <x:c r="Z1396" t="n">
        <x:v>0</x:v>
      </x:c>
      <x:c r="AA1396" t="n">
        <x:v>0</x:v>
      </x:c>
      <x:c r="AB1396"/>
      <x:c r="AC1396" t="n">
        <x:v>0</x:v>
      </x:c>
      <x:c r="AD1396" t="n">
        <x:v>1.3708954079917985</x:v>
      </x:c>
      <x:c r="AE1396" t="n">
        <x:v>1</x:v>
      </x:c>
      <x:c r="AF1396" t="n">
        <x:v>0.03320696949958801</x:v>
      </x:c>
      <x:c r="AG1396" t="n">
        <x:f>_xlfn.XLOOKUP($A1396,Games!$A$2:$A$18,Games!$B$2:$B$18,"Missing game",0)</x:f>
        <x:v>2025</x:v>
      </x:c>
      <x:c r="AH1396" t="str">
        <x:f>_xlfn.XLOOKUP($A1396,Games!$A$2:$A$18,Games!$C$2:$C$18,"Missing game",0)</x:f>
        <x:v>REG</x:v>
      </x:c>
      <x:c r="AI1396" t="n">
        <x:f>_xlfn.XLOOKUP($A1396,Games!$A$2:$A$18,Games!$D$2:$D$18,"Missing game",0)</x:f>
        <x:v>10</x:v>
      </x:c>
      <x:c r="AJ1396" s="1" t="n">
        <x:f>_xlfn.XLOOKUP($A1396,Games!$A$2:$A$18,Games!$E$2:$E$18,"Missing game",0)</x:f>
        <x:v>45970</x:v>
      </x:c>
      <x:c r="AK1396" t="str">
        <x:f>_xlfn.XLOOKUP($A1396,Games!$A$2:$A$18,Games!$F$2:$F$18,"Missing game",0)</x:f>
        <x:v>Sunday</x:v>
      </x:c>
      <x:c r="AL1396" t="str">
        <x:f>_xlfn.XLOOKUP($A1396,Games!$A$2:$A$18,Games!$G$2:$G$18,"Missing game",0)</x:f>
        <x:v>BAL</x:v>
      </x:c>
      <x:c r="AM1396" t="n">
        <x:f>_xlfn.XLOOKUP($A1396,Games!$A$2:$A$18,Games!$H$2:$H$18,"Missing game",0)</x:f>
        <x:v>27</x:v>
      </x:c>
      <x:c r="AN1396" t="str">
        <x:f>_xlfn.XLOOKUP($A1396,Games!$A$2:$A$18,Games!$I$2:$I$18,"Missing game",0)</x:f>
        <x:v>MIN</x:v>
      </x:c>
      <x:c r="AO1396" t="n">
        <x:f>_xlfn.XLOOKUP($A1396,Games!$A$2:$A$18,Games!$J$2:$J$18,"Missing game",0)</x:f>
        <x:v>19</x:v>
      </x:c>
      <x:c r="AP1396" t="n">
        <x:f>_xlfn.XLOOKUP($A1396,Games!$A$2:$A$18,Games!$K$2:$K$18,"Missing game",0)</x:f>
        <x:v>-8</x:v>
      </x:c>
      <x:c r="AQ1396" t="n">
        <x:f>_xlfn.XLOOKUP($A1396,Games!$A$2:$A$18,Games!$L$2:$L$18,"Missing game",0)</x:f>
        <x:v>46</x:v>
      </x:c>
      <x:c r="AR1396" t="n">
        <x:f>_xlfn.XLOOKUP($A1396,Games!$A$2:$A$18,Games!$M$2:$M$18,"Missing game",0)</x:f>
        <x:v>0</x:v>
      </x:c>
      <x:c r="AS1396" t="str">
        <x:f>_xlfn.XLOOKUP($A1396,Games!$A$2:$A$18,Games!$N$2:$N$18,"Missing game",0)</x:f>
        <x:v>dome</x:v>
      </x:c>
      <x:c r="AT1396" t="str">
        <x:f>_xlfn.XLOOKUP($A1396,Games!$A$2:$A$18,Games!$O$2:$O$18,"Missing game",0)</x:f>
        <x:v>sportturf</x:v>
      </x:c>
      <x:c r="AU1396" t="str">
        <x:f>_xlfn.XLOOKUP($A1396,Games!$A$2:$A$18,Games!$P$2:$P$18,"Missing game",0)</x:f>
      </x:c>
      <x:c r="AV1396" t="str">
        <x:f>_xlfn.XLOOKUP($A1396,Games!$A$2:$A$18,Games!$Q$2:$Q$18,"Missing game",0)</x:f>
      </x:c>
      <x:c r="AW1396" t="str">
        <x:f>_xlfn.XLOOKUP($A1396,Games!$A$2:$A$18,Games!$R$2:$R$18,"Missing game",0)</x:f>
        <x:v>U.S. Bank Stadium</x:v>
      </x:c>
    </x:row>
    <x:row r="1397">
      <x:c r="A1397" t="str">
        <x:v>2025_10_BAL_MIN</x:v>
      </x:c>
      <x:c r="B1397" t="n">
        <x:v>1120</x:v>
      </x:c>
      <x:c r="C1397" t="n">
        <x:v>2</x:v>
      </x:c>
      <x:c r="D1397" t="str">
        <x:v>10:56</x:v>
      </x:c>
      <x:c r="E1397"/>
      <x:c r="F1397" t="n">
        <x:v>0</x:v>
      </x:c>
      <x:c r="G1397" t="str">
        <x:v>BAL</x:v>
      </x:c>
      <x:c r="H1397" t="str">
        <x:v>MIN</x:v>
      </x:c>
      <x:c r="I1397" t="str">
        <x:v>MIN</x:v>
      </x:c>
      <x:c r="J1397" t="n">
        <x:v>35</x:v>
      </x:c>
      <x:c r="K1397" t="str">
        <x:v>16-W.Reichard kicks 65 yards from MIN 35 to BAL 0. 83-L.Wester to BAL 30 for 30 yards (0-I.Pace; 30-C.Ham).</x:v>
      </x:c>
      <x:c r="L1397" t="str">
        <x:v>kickoff</x:v>
      </x:c>
      <x:c r="M1397" t="n">
        <x:v>0</x:v>
      </x:c>
      <x:c r="N1397" t="n">
        <x:v>0</x:v>
      </x:c>
      <x:c r="O1397" t="n">
        <x:v>0</x:v>
      </x:c>
      <x:c r="P1397"/>
      <x:c r="Q1397"/>
      <x:c r="R1397"/>
      <x:c r="S1397"/>
      <x:c r="T1397"/>
      <x:c r="U1397"/>
      <x:c r="V1397" t="n">
        <x:v>0</x:v>
      </x:c>
      <x:c r="W1397" t="n">
        <x:v>0</x:v>
      </x:c>
      <x:c r="X1397" t="n">
        <x:v>0</x:v>
      </x:c>
      <x:c r="Y1397" t="n">
        <x:v>0</x:v>
      </x:c>
      <x:c r="Z1397" t="n">
        <x:v>0</x:v>
      </x:c>
      <x:c r="AA1397" t="n">
        <x:v>0</x:v>
      </x:c>
      <x:c r="AB1397"/>
      <x:c r="AC1397" t="n">
        <x:v>0</x:v>
      </x:c>
      <x:c r="AD1397" t="n">
        <x:v>0.23244136688299477</x:v>
      </x:c>
      <x:c r="AE1397" t="n">
        <x:v>1</x:v>
      </x:c>
      <x:c r="AF1397" t="n">
        <x:v>0.000254020094871521</x:v>
      </x:c>
      <x:c r="AG1397" t="n">
        <x:f>_xlfn.XLOOKUP($A1397,Games!$A$2:$A$18,Games!$B$2:$B$18,"Missing game",0)</x:f>
        <x:v>2025</x:v>
      </x:c>
      <x:c r="AH1397" t="str">
        <x:f>_xlfn.XLOOKUP($A1397,Games!$A$2:$A$18,Games!$C$2:$C$18,"Missing game",0)</x:f>
        <x:v>REG</x:v>
      </x:c>
      <x:c r="AI1397" t="n">
        <x:f>_xlfn.XLOOKUP($A1397,Games!$A$2:$A$18,Games!$D$2:$D$18,"Missing game",0)</x:f>
        <x:v>10</x:v>
      </x:c>
      <x:c r="AJ1397" s="1" t="n">
        <x:f>_xlfn.XLOOKUP($A1397,Games!$A$2:$A$18,Games!$E$2:$E$18,"Missing game",0)</x:f>
        <x:v>45970</x:v>
      </x:c>
      <x:c r="AK1397" t="str">
        <x:f>_xlfn.XLOOKUP($A1397,Games!$A$2:$A$18,Games!$F$2:$F$18,"Missing game",0)</x:f>
        <x:v>Sunday</x:v>
      </x:c>
      <x:c r="AL1397" t="str">
        <x:f>_xlfn.XLOOKUP($A1397,Games!$A$2:$A$18,Games!$G$2:$G$18,"Missing game",0)</x:f>
        <x:v>BAL</x:v>
      </x:c>
      <x:c r="AM1397" t="n">
        <x:f>_xlfn.XLOOKUP($A1397,Games!$A$2:$A$18,Games!$H$2:$H$18,"Missing game",0)</x:f>
        <x:v>27</x:v>
      </x:c>
      <x:c r="AN1397" t="str">
        <x:f>_xlfn.XLOOKUP($A1397,Games!$A$2:$A$18,Games!$I$2:$I$18,"Missing game",0)</x:f>
        <x:v>MIN</x:v>
      </x:c>
      <x:c r="AO1397" t="n">
        <x:f>_xlfn.XLOOKUP($A1397,Games!$A$2:$A$18,Games!$J$2:$J$18,"Missing game",0)</x:f>
        <x:v>19</x:v>
      </x:c>
      <x:c r="AP1397" t="n">
        <x:f>_xlfn.XLOOKUP($A1397,Games!$A$2:$A$18,Games!$K$2:$K$18,"Missing game",0)</x:f>
        <x:v>-8</x:v>
      </x:c>
      <x:c r="AQ1397" t="n">
        <x:f>_xlfn.XLOOKUP($A1397,Games!$A$2:$A$18,Games!$L$2:$L$18,"Missing game",0)</x:f>
        <x:v>46</x:v>
      </x:c>
      <x:c r="AR1397" t="n">
        <x:f>_xlfn.XLOOKUP($A1397,Games!$A$2:$A$18,Games!$M$2:$M$18,"Missing game",0)</x:f>
        <x:v>0</x:v>
      </x:c>
      <x:c r="AS1397" t="str">
        <x:f>_xlfn.XLOOKUP($A1397,Games!$A$2:$A$18,Games!$N$2:$N$18,"Missing game",0)</x:f>
        <x:v>dome</x:v>
      </x:c>
      <x:c r="AT1397" t="str">
        <x:f>_xlfn.XLOOKUP($A1397,Games!$A$2:$A$18,Games!$O$2:$O$18,"Missing game",0)</x:f>
        <x:v>sportturf</x:v>
      </x:c>
      <x:c r="AU1397" t="str">
        <x:f>_xlfn.XLOOKUP($A1397,Games!$A$2:$A$18,Games!$P$2:$P$18,"Missing game",0)</x:f>
      </x:c>
      <x:c r="AV1397" t="str">
        <x:f>_xlfn.XLOOKUP($A1397,Games!$A$2:$A$18,Games!$Q$2:$Q$18,"Missing game",0)</x:f>
      </x:c>
      <x:c r="AW1397" t="str">
        <x:f>_xlfn.XLOOKUP($A1397,Games!$A$2:$A$18,Games!$R$2:$R$18,"Missing game",0)</x:f>
        <x:v>U.S. Bank Stadium</x:v>
      </x:c>
    </x:row>
    <x:row r="1398">
      <x:c r="A1398" t="str">
        <x:v>2025_10_BAL_MIN</x:v>
      </x:c>
      <x:c r="B1398" t="n">
        <x:v>1150</x:v>
      </x:c>
      <x:c r="C1398" t="n">
        <x:v>2</x:v>
      </x:c>
      <x:c r="D1398" t="str">
        <x:v>10:51</x:v>
      </x:c>
      <x:c r="E1398" t="n">
        <x:v>1</x:v>
      </x:c>
      <x:c r="F1398" t="n">
        <x:v>10</x:v>
      </x:c>
      <x:c r="G1398" t="str">
        <x:v>BAL</x:v>
      </x:c>
      <x:c r="H1398" t="str">
        <x:v>MIN</x:v>
      </x:c>
      <x:c r="I1398" t="str">
        <x:v>BAL</x:v>
      </x:c>
      <x:c r="J1398" t="n">
        <x:v>70</x:v>
      </x:c>
      <x:c r="K1398" t="str">
        <x:v>(10:51) 8-L.Jackson scrambles up the middle to BAL 32 for 2 yards (61-J.Redmond).</x:v>
      </x:c>
      <x:c r="L1398" t="str">
        <x:v>run</x:v>
      </x:c>
      <x:c r="M1398" t="n">
        <x:v>2</x:v>
      </x:c>
      <x:c r="N1398" t="n">
        <x:v>0</x:v>
      </x:c>
      <x:c r="O1398" t="n">
        <x:v>0</x:v>
      </x:c>
      <x:c r="P1398"/>
      <x:c r="Q1398"/>
      <x:c r="R1398"/>
      <x:c r="S1398"/>
      <x:c r="T1398" t="str">
        <x:v>middle</x:v>
      </x:c>
      <x:c r="U1398"/>
      <x:c r="V1398" t="n">
        <x:v>0</x:v>
      </x:c>
      <x:c r="W1398" t="n">
        <x:v>0</x:v>
      </x:c>
      <x:c r="X1398" t="n">
        <x:v>0</x:v>
      </x:c>
      <x:c r="Y1398" t="n">
        <x:v>0</x:v>
      </x:c>
      <x:c r="Z1398" t="n">
        <x:v>0</x:v>
      </x:c>
      <x:c r="AA1398" t="n">
        <x:v>0</x:v>
      </x:c>
      <x:c r="AB1398"/>
      <x:c r="AC1398" t="n">
        <x:v>0</x:v>
      </x:c>
      <x:c r="AD1398" t="n">
        <x:v>-0.45147657906636596</x:v>
      </x:c>
      <x:c r="AE1398" t="n">
        <x:v>0</x:v>
      </x:c>
      <x:c r="AF1398" t="n">
        <x:v>-0.009714141488075256</x:v>
      </x:c>
      <x:c r="AG1398" t="n">
        <x:f>_xlfn.XLOOKUP($A1398,Games!$A$2:$A$18,Games!$B$2:$B$18,"Missing game",0)</x:f>
        <x:v>2025</x:v>
      </x:c>
      <x:c r="AH1398" t="str">
        <x:f>_xlfn.XLOOKUP($A1398,Games!$A$2:$A$18,Games!$C$2:$C$18,"Missing game",0)</x:f>
        <x:v>REG</x:v>
      </x:c>
      <x:c r="AI1398" t="n">
        <x:f>_xlfn.XLOOKUP($A1398,Games!$A$2:$A$18,Games!$D$2:$D$18,"Missing game",0)</x:f>
        <x:v>10</x:v>
      </x:c>
      <x:c r="AJ1398" s="1" t="n">
        <x:f>_xlfn.XLOOKUP($A1398,Games!$A$2:$A$18,Games!$E$2:$E$18,"Missing game",0)</x:f>
        <x:v>45970</x:v>
      </x:c>
      <x:c r="AK1398" t="str">
        <x:f>_xlfn.XLOOKUP($A1398,Games!$A$2:$A$18,Games!$F$2:$F$18,"Missing game",0)</x:f>
        <x:v>Sunday</x:v>
      </x:c>
      <x:c r="AL1398" t="str">
        <x:f>_xlfn.XLOOKUP($A1398,Games!$A$2:$A$18,Games!$G$2:$G$18,"Missing game",0)</x:f>
        <x:v>BAL</x:v>
      </x:c>
      <x:c r="AM1398" t="n">
        <x:f>_xlfn.XLOOKUP($A1398,Games!$A$2:$A$18,Games!$H$2:$H$18,"Missing game",0)</x:f>
        <x:v>27</x:v>
      </x:c>
      <x:c r="AN1398" t="str">
        <x:f>_xlfn.XLOOKUP($A1398,Games!$A$2:$A$18,Games!$I$2:$I$18,"Missing game",0)</x:f>
        <x:v>MIN</x:v>
      </x:c>
      <x:c r="AO1398" t="n">
        <x:f>_xlfn.XLOOKUP($A1398,Games!$A$2:$A$18,Games!$J$2:$J$18,"Missing game",0)</x:f>
        <x:v>19</x:v>
      </x:c>
      <x:c r="AP1398" t="n">
        <x:f>_xlfn.XLOOKUP($A1398,Games!$A$2:$A$18,Games!$K$2:$K$18,"Missing game",0)</x:f>
        <x:v>-8</x:v>
      </x:c>
      <x:c r="AQ1398" t="n">
        <x:f>_xlfn.XLOOKUP($A1398,Games!$A$2:$A$18,Games!$L$2:$L$18,"Missing game",0)</x:f>
        <x:v>46</x:v>
      </x:c>
      <x:c r="AR1398" t="n">
        <x:f>_xlfn.XLOOKUP($A1398,Games!$A$2:$A$18,Games!$M$2:$M$18,"Missing game",0)</x:f>
        <x:v>0</x:v>
      </x:c>
      <x:c r="AS1398" t="str">
        <x:f>_xlfn.XLOOKUP($A1398,Games!$A$2:$A$18,Games!$N$2:$N$18,"Missing game",0)</x:f>
        <x:v>dome</x:v>
      </x:c>
      <x:c r="AT1398" t="str">
        <x:f>_xlfn.XLOOKUP($A1398,Games!$A$2:$A$18,Games!$O$2:$O$18,"Missing game",0)</x:f>
        <x:v>sportturf</x:v>
      </x:c>
      <x:c r="AU1398" t="str">
        <x:f>_xlfn.XLOOKUP($A1398,Games!$A$2:$A$18,Games!$P$2:$P$18,"Missing game",0)</x:f>
      </x:c>
      <x:c r="AV1398" t="str">
        <x:f>_xlfn.XLOOKUP($A1398,Games!$A$2:$A$18,Games!$Q$2:$Q$18,"Missing game",0)</x:f>
      </x:c>
      <x:c r="AW1398" t="str">
        <x:f>_xlfn.XLOOKUP($A1398,Games!$A$2:$A$18,Games!$R$2:$R$18,"Missing game",0)</x:f>
        <x:v>U.S. Bank Stadium</x:v>
      </x:c>
    </x:row>
    <x:row r="1399">
      <x:c r="A1399" t="str">
        <x:v>2025_10_BAL_MIN</x:v>
      </x:c>
      <x:c r="B1399" t="n">
        <x:v>1172</x:v>
      </x:c>
      <x:c r="C1399" t="n">
        <x:v>2</x:v>
      </x:c>
      <x:c r="D1399" t="str">
        <x:v>10:08</x:v>
      </x:c>
      <x:c r="E1399" t="n">
        <x:v>2</x:v>
      </x:c>
      <x:c r="F1399" t="n">
        <x:v>8</x:v>
      </x:c>
      <x:c r="G1399" t="str">
        <x:v>BAL</x:v>
      </x:c>
      <x:c r="H1399" t="str">
        <x:v>MIN</x:v>
      </x:c>
      <x:c r="I1399" t="str">
        <x:v>BAL</x:v>
      </x:c>
      <x:c r="J1399" t="n">
        <x:v>68</x:v>
      </x:c>
      <x:c r="K1399" t="str">
        <x:v>(10:08) (Shotgun) 22-D.Henry right tackle to BAL 35 for 3 yards (51-B.Cashman).</x:v>
      </x:c>
      <x:c r="L1399" t="str">
        <x:v>run</x:v>
      </x:c>
      <x:c r="M1399" t="n">
        <x:v>3</x:v>
      </x:c>
      <x:c r="N1399" t="n">
        <x:v>1</x:v>
      </x:c>
      <x:c r="O1399" t="n">
        <x:v>0</x:v>
      </x:c>
      <x:c r="P1399"/>
      <x:c r="Q1399"/>
      <x:c r="R1399"/>
      <x:c r="S1399"/>
      <x:c r="T1399" t="str">
        <x:v>right</x:v>
      </x:c>
      <x:c r="U1399" t="str">
        <x:v>tackle</x:v>
      </x:c>
      <x:c r="V1399" t="n">
        <x:v>0</x:v>
      </x:c>
      <x:c r="W1399" t="n">
        <x:v>0</x:v>
      </x:c>
      <x:c r="X1399" t="n">
        <x:v>0</x:v>
      </x:c>
      <x:c r="Y1399" t="n">
        <x:v>0</x:v>
      </x:c>
      <x:c r="Z1399" t="n">
        <x:v>0</x:v>
      </x:c>
      <x:c r="AA1399" t="n">
        <x:v>0</x:v>
      </x:c>
      <x:c r="AB1399"/>
      <x:c r="AC1399" t="n">
        <x:v>0</x:v>
      </x:c>
      <x:c r="AD1399" t="n">
        <x:v>-0.4939617128111422</x:v>
      </x:c>
      <x:c r="AE1399" t="n">
        <x:v>0</x:v>
      </x:c>
      <x:c r="AF1399" t="n">
        <x:v>0.009053677320480347</x:v>
      </x:c>
      <x:c r="AG1399" t="n">
        <x:f>_xlfn.XLOOKUP($A1399,Games!$A$2:$A$18,Games!$B$2:$B$18,"Missing game",0)</x:f>
        <x:v>2025</x:v>
      </x:c>
      <x:c r="AH1399" t="str">
        <x:f>_xlfn.XLOOKUP($A1399,Games!$A$2:$A$18,Games!$C$2:$C$18,"Missing game",0)</x:f>
        <x:v>REG</x:v>
      </x:c>
      <x:c r="AI1399" t="n">
        <x:f>_xlfn.XLOOKUP($A1399,Games!$A$2:$A$18,Games!$D$2:$D$18,"Missing game",0)</x:f>
        <x:v>10</x:v>
      </x:c>
      <x:c r="AJ1399" s="1" t="n">
        <x:f>_xlfn.XLOOKUP($A1399,Games!$A$2:$A$18,Games!$E$2:$E$18,"Missing game",0)</x:f>
        <x:v>45970</x:v>
      </x:c>
      <x:c r="AK1399" t="str">
        <x:f>_xlfn.XLOOKUP($A1399,Games!$A$2:$A$18,Games!$F$2:$F$18,"Missing game",0)</x:f>
        <x:v>Sunday</x:v>
      </x:c>
      <x:c r="AL1399" t="str">
        <x:f>_xlfn.XLOOKUP($A1399,Games!$A$2:$A$18,Games!$G$2:$G$18,"Missing game",0)</x:f>
        <x:v>BAL</x:v>
      </x:c>
      <x:c r="AM1399" t="n">
        <x:f>_xlfn.XLOOKUP($A1399,Games!$A$2:$A$18,Games!$H$2:$H$18,"Missing game",0)</x:f>
        <x:v>27</x:v>
      </x:c>
      <x:c r="AN1399" t="str">
        <x:f>_xlfn.XLOOKUP($A1399,Games!$A$2:$A$18,Games!$I$2:$I$18,"Missing game",0)</x:f>
        <x:v>MIN</x:v>
      </x:c>
      <x:c r="AO1399" t="n">
        <x:f>_xlfn.XLOOKUP($A1399,Games!$A$2:$A$18,Games!$J$2:$J$18,"Missing game",0)</x:f>
        <x:v>19</x:v>
      </x:c>
      <x:c r="AP1399" t="n">
        <x:f>_xlfn.XLOOKUP($A1399,Games!$A$2:$A$18,Games!$K$2:$K$18,"Missing game",0)</x:f>
        <x:v>-8</x:v>
      </x:c>
      <x:c r="AQ1399" t="n">
        <x:f>_xlfn.XLOOKUP($A1399,Games!$A$2:$A$18,Games!$L$2:$L$18,"Missing game",0)</x:f>
        <x:v>46</x:v>
      </x:c>
      <x:c r="AR1399" t="n">
        <x:f>_xlfn.XLOOKUP($A1399,Games!$A$2:$A$18,Games!$M$2:$M$18,"Missing game",0)</x:f>
        <x:v>0</x:v>
      </x:c>
      <x:c r="AS1399" t="str">
        <x:f>_xlfn.XLOOKUP($A1399,Games!$A$2:$A$18,Games!$N$2:$N$18,"Missing game",0)</x:f>
        <x:v>dome</x:v>
      </x:c>
      <x:c r="AT1399" t="str">
        <x:f>_xlfn.XLOOKUP($A1399,Games!$A$2:$A$18,Games!$O$2:$O$18,"Missing game",0)</x:f>
        <x:v>sportturf</x:v>
      </x:c>
      <x:c r="AU1399" t="str">
        <x:f>_xlfn.XLOOKUP($A1399,Games!$A$2:$A$18,Games!$P$2:$P$18,"Missing game",0)</x:f>
      </x:c>
      <x:c r="AV1399" t="str">
        <x:f>_xlfn.XLOOKUP($A1399,Games!$A$2:$A$18,Games!$Q$2:$Q$18,"Missing game",0)</x:f>
      </x:c>
      <x:c r="AW1399" t="str">
        <x:f>_xlfn.XLOOKUP($A1399,Games!$A$2:$A$18,Games!$R$2:$R$18,"Missing game",0)</x:f>
        <x:v>U.S. Bank Stadium</x:v>
      </x:c>
    </x:row>
    <x:row r="1400">
      <x:c r="A1400" t="str">
        <x:v>2025_10_BAL_MIN</x:v>
      </x:c>
      <x:c r="B1400" t="n">
        <x:v>1194</x:v>
      </x:c>
      <x:c r="C1400" t="n">
        <x:v>2</x:v>
      </x:c>
      <x:c r="D1400" t="str">
        <x:v>09:22</x:v>
      </x:c>
      <x:c r="E1400" t="n">
        <x:v>3</x:v>
      </x:c>
      <x:c r="F1400" t="n">
        <x:v>5</x:v>
      </x:c>
      <x:c r="G1400" t="str">
        <x:v>BAL</x:v>
      </x:c>
      <x:c r="H1400" t="str">
        <x:v>MIN</x:v>
      </x:c>
      <x:c r="I1400" t="str">
        <x:v>BAL</x:v>
      </x:c>
      <x:c r="J1400" t="n">
        <x:v>65</x:v>
      </x:c>
      <x:c r="K1400" t="str">
        <x:v>(9:22) (Shotgun) 8-L.Jackson pass incomplete short right to 10-D.Hopkins (43-A.Van Ginkel) [44-J.Metellus].</x:v>
      </x:c>
      <x:c r="L1400" t="str">
        <x:v>pass</x:v>
      </x:c>
      <x:c r="M1400" t="n">
        <x:v>0</x:v>
      </x:c>
      <x:c r="N1400" t="n">
        <x:v>1</x:v>
      </x:c>
      <x:c r="O1400" t="n">
        <x:v>0</x:v>
      </x:c>
      <x:c r="P1400" t="str">
        <x:v>short</x:v>
      </x:c>
      <x:c r="Q1400" t="str">
        <x:v>right</x:v>
      </x:c>
      <x:c r="R1400" t="n">
        <x:v>-4</x:v>
      </x:c>
      <x:c r="S1400"/>
      <x:c r="T1400"/>
      <x:c r="U1400"/>
      <x:c r="V1400" t="n">
        <x:v>0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0</x:v>
      </x:c>
      <x:c r="AB1400"/>
      <x:c r="AC1400" t="n">
        <x:v>0</x:v>
      </x:c>
      <x:c r="AD1400" t="n">
        <x:v>-1.3738895629066974</x:v>
      </x:c>
      <x:c r="AE1400" t="n">
        <x:v>0</x:v>
      </x:c>
      <x:c r="AF1400" t="n">
        <x:v>-0.029085591435432434</x:v>
      </x:c>
      <x:c r="AG1400" t="n">
        <x:f>_xlfn.XLOOKUP($A1400,Games!$A$2:$A$18,Games!$B$2:$B$18,"Missing game",0)</x:f>
        <x:v>2025</x:v>
      </x:c>
      <x:c r="AH1400" t="str">
        <x:f>_xlfn.XLOOKUP($A1400,Games!$A$2:$A$18,Games!$C$2:$C$18,"Missing game",0)</x:f>
        <x:v>REG</x:v>
      </x:c>
      <x:c r="AI1400" t="n">
        <x:f>_xlfn.XLOOKUP($A1400,Games!$A$2:$A$18,Games!$D$2:$D$18,"Missing game",0)</x:f>
        <x:v>10</x:v>
      </x:c>
      <x:c r="AJ1400" s="1" t="n">
        <x:f>_xlfn.XLOOKUP($A1400,Games!$A$2:$A$18,Games!$E$2:$E$18,"Missing game",0)</x:f>
        <x:v>45970</x:v>
      </x:c>
      <x:c r="AK1400" t="str">
        <x:f>_xlfn.XLOOKUP($A1400,Games!$A$2:$A$18,Games!$F$2:$F$18,"Missing game",0)</x:f>
        <x:v>Sunday</x:v>
      </x:c>
      <x:c r="AL1400" t="str">
        <x:f>_xlfn.XLOOKUP($A1400,Games!$A$2:$A$18,Games!$G$2:$G$18,"Missing game",0)</x:f>
        <x:v>BAL</x:v>
      </x:c>
      <x:c r="AM1400" t="n">
        <x:f>_xlfn.XLOOKUP($A1400,Games!$A$2:$A$18,Games!$H$2:$H$18,"Missing game",0)</x:f>
        <x:v>27</x:v>
      </x:c>
      <x:c r="AN1400" t="str">
        <x:f>_xlfn.XLOOKUP($A1400,Games!$A$2:$A$18,Games!$I$2:$I$18,"Missing game",0)</x:f>
        <x:v>MIN</x:v>
      </x:c>
      <x:c r="AO1400" t="n">
        <x:f>_xlfn.XLOOKUP($A1400,Games!$A$2:$A$18,Games!$J$2:$J$18,"Missing game",0)</x:f>
        <x:v>19</x:v>
      </x:c>
      <x:c r="AP1400" t="n">
        <x:f>_xlfn.XLOOKUP($A1400,Games!$A$2:$A$18,Games!$K$2:$K$18,"Missing game",0)</x:f>
        <x:v>-8</x:v>
      </x:c>
      <x:c r="AQ1400" t="n">
        <x:f>_xlfn.XLOOKUP($A1400,Games!$A$2:$A$18,Games!$L$2:$L$18,"Missing game",0)</x:f>
        <x:v>46</x:v>
      </x:c>
      <x:c r="AR1400" t="n">
        <x:f>_xlfn.XLOOKUP($A1400,Games!$A$2:$A$18,Games!$M$2:$M$18,"Missing game",0)</x:f>
        <x:v>0</x:v>
      </x:c>
      <x:c r="AS1400" t="str">
        <x:f>_xlfn.XLOOKUP($A1400,Games!$A$2:$A$18,Games!$N$2:$N$18,"Missing game",0)</x:f>
        <x:v>dome</x:v>
      </x:c>
      <x:c r="AT1400" t="str">
        <x:f>_xlfn.XLOOKUP($A1400,Games!$A$2:$A$18,Games!$O$2:$O$18,"Missing game",0)</x:f>
        <x:v>sportturf</x:v>
      </x:c>
      <x:c r="AU1400" t="str">
        <x:f>_xlfn.XLOOKUP($A1400,Games!$A$2:$A$18,Games!$P$2:$P$18,"Missing game",0)</x:f>
      </x:c>
      <x:c r="AV1400" t="str">
        <x:f>_xlfn.XLOOKUP($A1400,Games!$A$2:$A$18,Games!$Q$2:$Q$18,"Missing game",0)</x:f>
      </x:c>
      <x:c r="AW1400" t="str">
        <x:f>_xlfn.XLOOKUP($A1400,Games!$A$2:$A$18,Games!$R$2:$R$18,"Missing game",0)</x:f>
        <x:v>U.S. Bank Stadium</x:v>
      </x:c>
    </x:row>
    <x:row r="1401">
      <x:c r="A1401" t="str">
        <x:v>2025_10_BAL_MIN</x:v>
      </x:c>
      <x:c r="B1401" t="n">
        <x:v>1217</x:v>
      </x:c>
      <x:c r="C1401" t="n">
        <x:v>2</x:v>
      </x:c>
      <x:c r="D1401" t="str">
        <x:v>09:18</x:v>
      </x:c>
      <x:c r="E1401" t="n">
        <x:v>4</x:v>
      </x:c>
      <x:c r="F1401" t="n">
        <x:v>5</x:v>
      </x:c>
      <x:c r="G1401" t="str">
        <x:v>BAL</x:v>
      </x:c>
      <x:c r="H1401" t="str">
        <x:v>MIN</x:v>
      </x:c>
      <x:c r="I1401" t="str">
        <x:v>BAL</x:v>
      </x:c>
      <x:c r="J1401" t="n">
        <x:v>65</x:v>
      </x:c>
      <x:c r="K1401" t="str">
        <x:v>(9:18) 11-J.Stout punts 49 yards to MIN 16, Center-46-N.Moore. 4-M.Price to MIN 16 for no gain (38-K.Martin).</x:v>
      </x:c>
      <x:c r="L1401" t="str">
        <x:v>punt</x:v>
      </x:c>
      <x:c r="M1401" t="n">
        <x:v>0</x:v>
      </x:c>
      <x:c r="N1401" t="n">
        <x:v>0</x:v>
      </x:c>
      <x:c r="O1401" t="n">
        <x:v>0</x:v>
      </x:c>
      <x:c r="P1401"/>
      <x:c r="Q1401"/>
      <x:c r="R1401"/>
      <x:c r="S1401"/>
      <x:c r="T1401"/>
      <x:c r="U1401"/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0</x:v>
      </x:c>
      <x:c r="AA1401" t="n">
        <x:v>0</x:v>
      </x:c>
      <x:c r="AB1401"/>
      <x:c r="AC1401" t="n">
        <x:v>0</x:v>
      </x:c>
      <x:c r="AD1401" t="n">
        <x:v>-0.2386517769191414</x:v>
      </x:c>
      <x:c r="AE1401" t="n">
        <x:v>0</x:v>
      </x:c>
      <x:c r="AF1401" t="n">
        <x:v>0.006701454520225525</x:v>
      </x:c>
      <x:c r="AG1401" t="n">
        <x:f>_xlfn.XLOOKUP($A1401,Games!$A$2:$A$18,Games!$B$2:$B$18,"Missing game",0)</x:f>
        <x:v>2025</x:v>
      </x:c>
      <x:c r="AH1401" t="str">
        <x:f>_xlfn.XLOOKUP($A1401,Games!$A$2:$A$18,Games!$C$2:$C$18,"Missing game",0)</x:f>
        <x:v>REG</x:v>
      </x:c>
      <x:c r="AI1401" t="n">
        <x:f>_xlfn.XLOOKUP($A1401,Games!$A$2:$A$18,Games!$D$2:$D$18,"Missing game",0)</x:f>
        <x:v>10</x:v>
      </x:c>
      <x:c r="AJ1401" s="1" t="n">
        <x:f>_xlfn.XLOOKUP($A1401,Games!$A$2:$A$18,Games!$E$2:$E$18,"Missing game",0)</x:f>
        <x:v>45970</x:v>
      </x:c>
      <x:c r="AK1401" t="str">
        <x:f>_xlfn.XLOOKUP($A1401,Games!$A$2:$A$18,Games!$F$2:$F$18,"Missing game",0)</x:f>
        <x:v>Sunday</x:v>
      </x:c>
      <x:c r="AL1401" t="str">
        <x:f>_xlfn.XLOOKUP($A1401,Games!$A$2:$A$18,Games!$G$2:$G$18,"Missing game",0)</x:f>
        <x:v>BAL</x:v>
      </x:c>
      <x:c r="AM1401" t="n">
        <x:f>_xlfn.XLOOKUP($A1401,Games!$A$2:$A$18,Games!$H$2:$H$18,"Missing game",0)</x:f>
        <x:v>27</x:v>
      </x:c>
      <x:c r="AN1401" t="str">
        <x:f>_xlfn.XLOOKUP($A1401,Games!$A$2:$A$18,Games!$I$2:$I$18,"Missing game",0)</x:f>
        <x:v>MIN</x:v>
      </x:c>
      <x:c r="AO1401" t="n">
        <x:f>_xlfn.XLOOKUP($A1401,Games!$A$2:$A$18,Games!$J$2:$J$18,"Missing game",0)</x:f>
        <x:v>19</x:v>
      </x:c>
      <x:c r="AP1401" t="n">
        <x:f>_xlfn.XLOOKUP($A1401,Games!$A$2:$A$18,Games!$K$2:$K$18,"Missing game",0)</x:f>
        <x:v>-8</x:v>
      </x:c>
      <x:c r="AQ1401" t="n">
        <x:f>_xlfn.XLOOKUP($A1401,Games!$A$2:$A$18,Games!$L$2:$L$18,"Missing game",0)</x:f>
        <x:v>46</x:v>
      </x:c>
      <x:c r="AR1401" t="n">
        <x:f>_xlfn.XLOOKUP($A1401,Games!$A$2:$A$18,Games!$M$2:$M$18,"Missing game",0)</x:f>
        <x:v>0</x:v>
      </x:c>
      <x:c r="AS1401" t="str">
        <x:f>_xlfn.XLOOKUP($A1401,Games!$A$2:$A$18,Games!$N$2:$N$18,"Missing game",0)</x:f>
        <x:v>dome</x:v>
      </x:c>
      <x:c r="AT1401" t="str">
        <x:f>_xlfn.XLOOKUP($A1401,Games!$A$2:$A$18,Games!$O$2:$O$18,"Missing game",0)</x:f>
        <x:v>sportturf</x:v>
      </x:c>
      <x:c r="AU1401" t="str">
        <x:f>_xlfn.XLOOKUP($A1401,Games!$A$2:$A$18,Games!$P$2:$P$18,"Missing game",0)</x:f>
      </x:c>
      <x:c r="AV1401" t="str">
        <x:f>_xlfn.XLOOKUP($A1401,Games!$A$2:$A$18,Games!$Q$2:$Q$18,"Missing game",0)</x:f>
      </x:c>
      <x:c r="AW1401" t="str">
        <x:f>_xlfn.XLOOKUP($A1401,Games!$A$2:$A$18,Games!$R$2:$R$18,"Missing game",0)</x:f>
        <x:v>U.S. Bank Stadium</x:v>
      </x:c>
    </x:row>
    <x:row r="1402">
      <x:c r="A1402" t="str">
        <x:v>2025_10_BAL_MIN</x:v>
      </x:c>
      <x:c r="B1402" t="n">
        <x:v>1243</x:v>
      </x:c>
      <x:c r="C1402" t="n">
        <x:v>2</x:v>
      </x:c>
      <x:c r="D1402" t="str">
        <x:v>09:10</x:v>
      </x:c>
      <x:c r="E1402" t="n">
        <x:v>1</x:v>
      </x:c>
      <x:c r="F1402" t="n">
        <x:v>10</x:v>
      </x:c>
      <x:c r="G1402" t="str">
        <x:v>MIN</x:v>
      </x:c>
      <x:c r="H1402" t="str">
        <x:v>BAL</x:v>
      </x:c>
      <x:c r="I1402" t="str">
        <x:v>MIN</x:v>
      </x:c>
      <x:c r="J1402" t="n">
        <x:v>84</x:v>
      </x:c>
      <x:c r="K1402" t="str">
        <x:v>(9:10) 33-A.Jones right guard to MIN 22 for 6 yards (90-D.Ojabo; 0-R.Smith).</x:v>
      </x:c>
      <x:c r="L1402" t="str">
        <x:v>run</x:v>
      </x:c>
      <x:c r="M1402" t="n">
        <x:v>6</x:v>
      </x:c>
      <x:c r="N1402" t="n">
        <x:v>0</x:v>
      </x:c>
      <x:c r="O1402" t="n">
        <x:v>0</x:v>
      </x:c>
      <x:c r="P1402"/>
      <x:c r="Q1402"/>
      <x:c r="R1402"/>
      <x:c r="S1402"/>
      <x:c r="T1402" t="str">
        <x:v>right</x:v>
      </x:c>
      <x:c r="U1402" t="str">
        <x:v>guard</x:v>
      </x:c>
      <x:c r="V1402" t="n">
        <x:v>0</x:v>
      </x:c>
      <x:c r="W1402" t="n">
        <x:v>0</x:v>
      </x:c>
      <x:c r="X1402" t="n">
        <x:v>0</x:v>
      </x:c>
      <x:c r="Y1402" t="n">
        <x:v>0</x:v>
      </x:c>
      <x:c r="Z1402" t="n">
        <x:v>0</x:v>
      </x:c>
      <x:c r="AA1402" t="n">
        <x:v>0</x:v>
      </x:c>
      <x:c r="AB1402"/>
      <x:c r="AC1402" t="n">
        <x:v>0</x:v>
      </x:c>
      <x:c r="AD1402" t="n">
        <x:v>0.14489432983100414</x:v>
      </x:c>
      <x:c r="AE1402" t="n">
        <x:v>1</x:v>
      </x:c>
      <x:c r="AF1402" t="n">
        <x:v>0.0015506148338317871</x:v>
      </x:c>
      <x:c r="AG1402" t="n">
        <x:f>_xlfn.XLOOKUP($A1402,Games!$A$2:$A$18,Games!$B$2:$B$18,"Missing game",0)</x:f>
        <x:v>2025</x:v>
      </x:c>
      <x:c r="AH1402" t="str">
        <x:f>_xlfn.XLOOKUP($A1402,Games!$A$2:$A$18,Games!$C$2:$C$18,"Missing game",0)</x:f>
        <x:v>REG</x:v>
      </x:c>
      <x:c r="AI1402" t="n">
        <x:f>_xlfn.XLOOKUP($A1402,Games!$A$2:$A$18,Games!$D$2:$D$18,"Missing game",0)</x:f>
        <x:v>10</x:v>
      </x:c>
      <x:c r="AJ1402" s="1" t="n">
        <x:f>_xlfn.XLOOKUP($A1402,Games!$A$2:$A$18,Games!$E$2:$E$18,"Missing game",0)</x:f>
        <x:v>45970</x:v>
      </x:c>
      <x:c r="AK1402" t="str">
        <x:f>_xlfn.XLOOKUP($A1402,Games!$A$2:$A$18,Games!$F$2:$F$18,"Missing game",0)</x:f>
        <x:v>Sunday</x:v>
      </x:c>
      <x:c r="AL1402" t="str">
        <x:f>_xlfn.XLOOKUP($A1402,Games!$A$2:$A$18,Games!$G$2:$G$18,"Missing game",0)</x:f>
        <x:v>BAL</x:v>
      </x:c>
      <x:c r="AM1402" t="n">
        <x:f>_xlfn.XLOOKUP($A1402,Games!$A$2:$A$18,Games!$H$2:$H$18,"Missing game",0)</x:f>
        <x:v>27</x:v>
      </x:c>
      <x:c r="AN1402" t="str">
        <x:f>_xlfn.XLOOKUP($A1402,Games!$A$2:$A$18,Games!$I$2:$I$18,"Missing game",0)</x:f>
        <x:v>MIN</x:v>
      </x:c>
      <x:c r="AO1402" t="n">
        <x:f>_xlfn.XLOOKUP($A1402,Games!$A$2:$A$18,Games!$J$2:$J$18,"Missing game",0)</x:f>
        <x:v>19</x:v>
      </x:c>
      <x:c r="AP1402" t="n">
        <x:f>_xlfn.XLOOKUP($A1402,Games!$A$2:$A$18,Games!$K$2:$K$18,"Missing game",0)</x:f>
        <x:v>-8</x:v>
      </x:c>
      <x:c r="AQ1402" t="n">
        <x:f>_xlfn.XLOOKUP($A1402,Games!$A$2:$A$18,Games!$L$2:$L$18,"Missing game",0)</x:f>
        <x:v>46</x:v>
      </x:c>
      <x:c r="AR1402" t="n">
        <x:f>_xlfn.XLOOKUP($A1402,Games!$A$2:$A$18,Games!$M$2:$M$18,"Missing game",0)</x:f>
        <x:v>0</x:v>
      </x:c>
      <x:c r="AS1402" t="str">
        <x:f>_xlfn.XLOOKUP($A1402,Games!$A$2:$A$18,Games!$N$2:$N$18,"Missing game",0)</x:f>
        <x:v>dome</x:v>
      </x:c>
      <x:c r="AT1402" t="str">
        <x:f>_xlfn.XLOOKUP($A1402,Games!$A$2:$A$18,Games!$O$2:$O$18,"Missing game",0)</x:f>
        <x:v>sportturf</x:v>
      </x:c>
      <x:c r="AU1402" t="str">
        <x:f>_xlfn.XLOOKUP($A1402,Games!$A$2:$A$18,Games!$P$2:$P$18,"Missing game",0)</x:f>
      </x:c>
      <x:c r="AV1402" t="str">
        <x:f>_xlfn.XLOOKUP($A1402,Games!$A$2:$A$18,Games!$Q$2:$Q$18,"Missing game",0)</x:f>
      </x:c>
      <x:c r="AW1402" t="str">
        <x:f>_xlfn.XLOOKUP($A1402,Games!$A$2:$A$18,Games!$R$2:$R$18,"Missing game",0)</x:f>
        <x:v>U.S. Bank Stadium</x:v>
      </x:c>
    </x:row>
    <x:row r="1403">
      <x:c r="A1403" t="str">
        <x:v>2025_10_BAL_MIN</x:v>
      </x:c>
      <x:c r="B1403" t="n">
        <x:v>1272</x:v>
      </x:c>
      <x:c r="C1403" t="n">
        <x:v>2</x:v>
      </x:c>
      <x:c r="D1403" t="str">
        <x:v>08:43</x:v>
      </x:c>
      <x:c r="E1403" t="n">
        <x:v>2</x:v>
      </x:c>
      <x:c r="F1403" t="n">
        <x:v>4</x:v>
      </x:c>
      <x:c r="G1403" t="str">
        <x:v>MIN</x:v>
      </x:c>
      <x:c r="H1403" t="str">
        <x:v>BAL</x:v>
      </x:c>
      <x:c r="I1403" t="str">
        <x:v>MIN</x:v>
      </x:c>
      <x:c r="J1403" t="n">
        <x:v>78</x:v>
      </x:c>
      <x:c r="K1403" t="str">
        <x:v>(8:43) (No Huddle) 9-J.McCarthy pass short left to 18-J.Jefferson to MIN 33 for 11 yards (2-N.Wiggins).</x:v>
      </x:c>
      <x:c r="L1403" t="str">
        <x:v>pass</x:v>
      </x:c>
      <x:c r="M1403" t="n">
        <x:v>11</x:v>
      </x:c>
      <x:c r="N1403" t="n">
        <x:v>0</x:v>
      </x:c>
      <x:c r="O1403" t="n">
        <x:v>1</x:v>
      </x:c>
      <x:c r="P1403" t="str">
        <x:v>short</x:v>
      </x:c>
      <x:c r="Q1403" t="str">
        <x:v>left</x:v>
      </x:c>
      <x:c r="R1403" t="n">
        <x:v>11</x:v>
      </x:c>
      <x:c r="S1403" t="n">
        <x:v>0</x:v>
      </x:c>
      <x:c r="T1403"/>
      <x:c r="U1403"/>
      <x:c r="V1403" t="n">
        <x:v>1</x:v>
      </x:c>
      <x:c r="W1403" t="n">
        <x:v>1</x:v>
      </x:c>
      <x:c r="X1403" t="n">
        <x:v>0</x:v>
      </x:c>
      <x:c r="Y1403" t="n">
        <x:v>0</x:v>
      </x:c>
      <x:c r="Z1403" t="n">
        <x:v>0</x:v>
      </x:c>
      <x:c r="AA1403" t="n">
        <x:v>0</x:v>
      </x:c>
      <x:c r="AB1403"/>
      <x:c r="AC1403" t="n">
        <x:v>0</x:v>
      </x:c>
      <x:c r="AD1403" t="n">
        <x:v>0.847219628514722</x:v>
      </x:c>
      <x:c r="AE1403" t="n">
        <x:v>1</x:v>
      </x:c>
      <x:c r="AF1403" t="n">
        <x:v>0.03052234649658203</x:v>
      </x:c>
      <x:c r="AG1403" t="n">
        <x:f>_xlfn.XLOOKUP($A1403,Games!$A$2:$A$18,Games!$B$2:$B$18,"Missing game",0)</x:f>
        <x:v>2025</x:v>
      </x:c>
      <x:c r="AH1403" t="str">
        <x:f>_xlfn.XLOOKUP($A1403,Games!$A$2:$A$18,Games!$C$2:$C$18,"Missing game",0)</x:f>
        <x:v>REG</x:v>
      </x:c>
      <x:c r="AI1403" t="n">
        <x:f>_xlfn.XLOOKUP($A1403,Games!$A$2:$A$18,Games!$D$2:$D$18,"Missing game",0)</x:f>
        <x:v>10</x:v>
      </x:c>
      <x:c r="AJ1403" s="1" t="n">
        <x:f>_xlfn.XLOOKUP($A1403,Games!$A$2:$A$18,Games!$E$2:$E$18,"Missing game",0)</x:f>
        <x:v>45970</x:v>
      </x:c>
      <x:c r="AK1403" t="str">
        <x:f>_xlfn.XLOOKUP($A1403,Games!$A$2:$A$18,Games!$F$2:$F$18,"Missing game",0)</x:f>
        <x:v>Sunday</x:v>
      </x:c>
      <x:c r="AL1403" t="str">
        <x:f>_xlfn.XLOOKUP($A1403,Games!$A$2:$A$18,Games!$G$2:$G$18,"Missing game",0)</x:f>
        <x:v>BAL</x:v>
      </x:c>
      <x:c r="AM1403" t="n">
        <x:f>_xlfn.XLOOKUP($A1403,Games!$A$2:$A$18,Games!$H$2:$H$18,"Missing game",0)</x:f>
        <x:v>27</x:v>
      </x:c>
      <x:c r="AN1403" t="str">
        <x:f>_xlfn.XLOOKUP($A1403,Games!$A$2:$A$18,Games!$I$2:$I$18,"Missing game",0)</x:f>
        <x:v>MIN</x:v>
      </x:c>
      <x:c r="AO1403" t="n">
        <x:f>_xlfn.XLOOKUP($A1403,Games!$A$2:$A$18,Games!$J$2:$J$18,"Missing game",0)</x:f>
        <x:v>19</x:v>
      </x:c>
      <x:c r="AP1403" t="n">
        <x:f>_xlfn.XLOOKUP($A1403,Games!$A$2:$A$18,Games!$K$2:$K$18,"Missing game",0)</x:f>
        <x:v>-8</x:v>
      </x:c>
      <x:c r="AQ1403" t="n">
        <x:f>_xlfn.XLOOKUP($A1403,Games!$A$2:$A$18,Games!$L$2:$L$18,"Missing game",0)</x:f>
        <x:v>46</x:v>
      </x:c>
      <x:c r="AR1403" t="n">
        <x:f>_xlfn.XLOOKUP($A1403,Games!$A$2:$A$18,Games!$M$2:$M$18,"Missing game",0)</x:f>
        <x:v>0</x:v>
      </x:c>
      <x:c r="AS1403" t="str">
        <x:f>_xlfn.XLOOKUP($A1403,Games!$A$2:$A$18,Games!$N$2:$N$18,"Missing game",0)</x:f>
        <x:v>dome</x:v>
      </x:c>
      <x:c r="AT1403" t="str">
        <x:f>_xlfn.XLOOKUP($A1403,Games!$A$2:$A$18,Games!$O$2:$O$18,"Missing game",0)</x:f>
        <x:v>sportturf</x:v>
      </x:c>
      <x:c r="AU1403" t="str">
        <x:f>_xlfn.XLOOKUP($A1403,Games!$A$2:$A$18,Games!$P$2:$P$18,"Missing game",0)</x:f>
      </x:c>
      <x:c r="AV1403" t="str">
        <x:f>_xlfn.XLOOKUP($A1403,Games!$A$2:$A$18,Games!$Q$2:$Q$18,"Missing game",0)</x:f>
      </x:c>
      <x:c r="AW1403" t="str">
        <x:f>_xlfn.XLOOKUP($A1403,Games!$A$2:$A$18,Games!$R$2:$R$18,"Missing game",0)</x:f>
        <x:v>U.S. Bank Stadium</x:v>
      </x:c>
    </x:row>
    <x:row r="1404">
      <x:c r="A1404" t="str">
        <x:v>2025_10_BAL_MIN</x:v>
      </x:c>
      <x:c r="B1404" t="n">
        <x:v>1297</x:v>
      </x:c>
      <x:c r="C1404" t="n">
        <x:v>2</x:v>
      </x:c>
      <x:c r="D1404" t="str">
        <x:v>08:03</x:v>
      </x:c>
      <x:c r="E1404" t="n">
        <x:v>1</x:v>
      </x:c>
      <x:c r="F1404" t="n">
        <x:v>10</x:v>
      </x:c>
      <x:c r="G1404" t="str">
        <x:v>MIN</x:v>
      </x:c>
      <x:c r="H1404" t="str">
        <x:v>BAL</x:v>
      </x:c>
      <x:c r="I1404" t="str">
        <x:v>MIN</x:v>
      </x:c>
      <x:c r="J1404" t="n">
        <x:v>67</x:v>
      </x:c>
      <x:c r="K1404" t="str">
        <x:v>(8:03) PENALTY on MIN-75-B.O'Neill, False Start, 5 yards, enforced at MIN 33 - No Play.</x:v>
      </x:c>
      <x:c r="L1404" t="str">
        <x:v>no_play</x:v>
      </x:c>
      <x:c r="M1404" t="n">
        <x:v>0</x:v>
      </x:c>
      <x:c r="N1404" t="n">
        <x:v>0</x:v>
      </x:c>
      <x:c r="O1404" t="n">
        <x:v>0</x:v>
      </x:c>
      <x:c r="P1404"/>
      <x:c r="Q1404"/>
      <x:c r="R1404"/>
      <x:c r="S1404"/>
      <x:c r="T1404"/>
      <x:c r="U1404"/>
      <x:c r="V1404" t="n">
        <x:v>0</x:v>
      </x:c>
      <x:c r="W1404" t="n">
        <x:v>0</x:v>
      </x:c>
      <x:c r="X1404" t="n">
        <x:v>0</x:v>
      </x:c>
      <x:c r="Y1404" t="n">
        <x:v>0</x:v>
      </x:c>
      <x:c r="Z1404" t="n">
        <x:v>0</x:v>
      </x:c>
      <x:c r="AA1404" t="n">
        <x:v>1</x:v>
      </x:c>
      <x:c r="AB1404" t="n">
        <x:v>5</x:v>
      </x:c>
      <x:c r="AC1404" t="n">
        <x:v>0</x:v>
      </x:c>
      <x:c r="AD1404" t="n">
        <x:v>-0.6095551245380193</x:v>
      </x:c>
      <x:c r="AE1404" t="n">
        <x:v>0</x:v>
      </x:c>
      <x:c r="AF1404" t="n">
        <x:v>-0.021883606910705566</x:v>
      </x:c>
      <x:c r="AG1404" t="n">
        <x:f>_xlfn.XLOOKUP($A1404,Games!$A$2:$A$18,Games!$B$2:$B$18,"Missing game",0)</x:f>
        <x:v>2025</x:v>
      </x:c>
      <x:c r="AH1404" t="str">
        <x:f>_xlfn.XLOOKUP($A1404,Games!$A$2:$A$18,Games!$C$2:$C$18,"Missing game",0)</x:f>
        <x:v>REG</x:v>
      </x:c>
      <x:c r="AI1404" t="n">
        <x:f>_xlfn.XLOOKUP($A1404,Games!$A$2:$A$18,Games!$D$2:$D$18,"Missing game",0)</x:f>
        <x:v>10</x:v>
      </x:c>
      <x:c r="AJ1404" s="1" t="n">
        <x:f>_xlfn.XLOOKUP($A1404,Games!$A$2:$A$18,Games!$E$2:$E$18,"Missing game",0)</x:f>
        <x:v>45970</x:v>
      </x:c>
      <x:c r="AK1404" t="str">
        <x:f>_xlfn.XLOOKUP($A1404,Games!$A$2:$A$18,Games!$F$2:$F$18,"Missing game",0)</x:f>
        <x:v>Sunday</x:v>
      </x:c>
      <x:c r="AL1404" t="str">
        <x:f>_xlfn.XLOOKUP($A1404,Games!$A$2:$A$18,Games!$G$2:$G$18,"Missing game",0)</x:f>
        <x:v>BAL</x:v>
      </x:c>
      <x:c r="AM1404" t="n">
        <x:f>_xlfn.XLOOKUP($A1404,Games!$A$2:$A$18,Games!$H$2:$H$18,"Missing game",0)</x:f>
        <x:v>27</x:v>
      </x:c>
      <x:c r="AN1404" t="str">
        <x:f>_xlfn.XLOOKUP($A1404,Games!$A$2:$A$18,Games!$I$2:$I$18,"Missing game",0)</x:f>
        <x:v>MIN</x:v>
      </x:c>
      <x:c r="AO1404" t="n">
        <x:f>_xlfn.XLOOKUP($A1404,Games!$A$2:$A$18,Games!$J$2:$J$18,"Missing game",0)</x:f>
        <x:v>19</x:v>
      </x:c>
      <x:c r="AP1404" t="n">
        <x:f>_xlfn.XLOOKUP($A1404,Games!$A$2:$A$18,Games!$K$2:$K$18,"Missing game",0)</x:f>
        <x:v>-8</x:v>
      </x:c>
      <x:c r="AQ1404" t="n">
        <x:f>_xlfn.XLOOKUP($A1404,Games!$A$2:$A$18,Games!$L$2:$L$18,"Missing game",0)</x:f>
        <x:v>46</x:v>
      </x:c>
      <x:c r="AR1404" t="n">
        <x:f>_xlfn.XLOOKUP($A1404,Games!$A$2:$A$18,Games!$M$2:$M$18,"Missing game",0)</x:f>
        <x:v>0</x:v>
      </x:c>
      <x:c r="AS1404" t="str">
        <x:f>_xlfn.XLOOKUP($A1404,Games!$A$2:$A$18,Games!$N$2:$N$18,"Missing game",0)</x:f>
        <x:v>dome</x:v>
      </x:c>
      <x:c r="AT1404" t="str">
        <x:f>_xlfn.XLOOKUP($A1404,Games!$A$2:$A$18,Games!$O$2:$O$18,"Missing game",0)</x:f>
        <x:v>sportturf</x:v>
      </x:c>
      <x:c r="AU1404" t="str">
        <x:f>_xlfn.XLOOKUP($A1404,Games!$A$2:$A$18,Games!$P$2:$P$18,"Missing game",0)</x:f>
      </x:c>
      <x:c r="AV1404" t="str">
        <x:f>_xlfn.XLOOKUP($A1404,Games!$A$2:$A$18,Games!$Q$2:$Q$18,"Missing game",0)</x:f>
      </x:c>
      <x:c r="AW1404" t="str">
        <x:f>_xlfn.XLOOKUP($A1404,Games!$A$2:$A$18,Games!$R$2:$R$18,"Missing game",0)</x:f>
        <x:v>U.S. Bank Stadium</x:v>
      </x:c>
    </x:row>
    <x:row r="1405">
      <x:c r="A1405" t="str">
        <x:v>2025_10_BAL_MIN</x:v>
      </x:c>
      <x:c r="B1405" t="n">
        <x:v>1321</x:v>
      </x:c>
      <x:c r="C1405" t="n">
        <x:v>2</x:v>
      </x:c>
      <x:c r="D1405" t="str">
        <x:v>07:42</x:v>
      </x:c>
      <x:c r="E1405" t="n">
        <x:v>1</x:v>
      </x:c>
      <x:c r="F1405" t="n">
        <x:v>15</x:v>
      </x:c>
      <x:c r="G1405" t="str">
        <x:v>MIN</x:v>
      </x:c>
      <x:c r="H1405" t="str">
        <x:v>BAL</x:v>
      </x:c>
      <x:c r="I1405" t="str">
        <x:v>MIN</x:v>
      </x:c>
      <x:c r="J1405" t="n">
        <x:v>72</x:v>
      </x:c>
      <x:c r="K1405" t="str">
        <x:v>(7:42) (Shotgun) 9-J.McCarthy pass incomplete short middle to 3-J.Addison (91-B.Okoye) [41-D.Jones].</x:v>
      </x:c>
      <x:c r="L1405" t="str">
        <x:v>pass</x:v>
      </x:c>
      <x:c r="M1405" t="n">
        <x:v>0</x:v>
      </x:c>
      <x:c r="N1405" t="n">
        <x:v>1</x:v>
      </x:c>
      <x:c r="O1405" t="n">
        <x:v>0</x:v>
      </x:c>
      <x:c r="P1405" t="str">
        <x:v>short</x:v>
      </x:c>
      <x:c r="Q1405" t="str">
        <x:v>middle</x:v>
      </x:c>
      <x:c r="R1405" t="n">
        <x:v>-4</x:v>
      </x:c>
      <x:c r="S1405"/>
      <x:c r="T1405"/>
      <x:c r="U1405"/>
      <x:c r="V1405" t="n">
        <x:v>0</x:v>
      </x:c>
      <x:c r="W1405" t="n">
        <x:v>0</x:v>
      </x:c>
      <x:c r="X1405" t="n">
        <x:v>0</x:v>
      </x:c>
      <x:c r="Y1405" t="n">
        <x:v>0</x:v>
      </x:c>
      <x:c r="Z1405" t="n">
        <x:v>0</x:v>
      </x:c>
      <x:c r="AA1405" t="n">
        <x:v>0</x:v>
      </x:c>
      <x:c r="AB1405"/>
      <x:c r="AC1405" t="n">
        <x:v>0</x:v>
      </x:c>
      <x:c r="AD1405" t="n">
        <x:v>-0.6212330679409206</x:v>
      </x:c>
      <x:c r="AE1405" t="n">
        <x:v>0</x:v>
      </x:c>
      <x:c r="AF1405" t="n">
        <x:v>-0.01062321662902832</x:v>
      </x:c>
      <x:c r="AG1405" t="n">
        <x:f>_xlfn.XLOOKUP($A1405,Games!$A$2:$A$18,Games!$B$2:$B$18,"Missing game",0)</x:f>
        <x:v>2025</x:v>
      </x:c>
      <x:c r="AH1405" t="str">
        <x:f>_xlfn.XLOOKUP($A1405,Games!$A$2:$A$18,Games!$C$2:$C$18,"Missing game",0)</x:f>
        <x:v>REG</x:v>
      </x:c>
      <x:c r="AI1405" t="n">
        <x:f>_xlfn.XLOOKUP($A1405,Games!$A$2:$A$18,Games!$D$2:$D$18,"Missing game",0)</x:f>
        <x:v>10</x:v>
      </x:c>
      <x:c r="AJ1405" s="1" t="n">
        <x:f>_xlfn.XLOOKUP($A1405,Games!$A$2:$A$18,Games!$E$2:$E$18,"Missing game",0)</x:f>
        <x:v>45970</x:v>
      </x:c>
      <x:c r="AK1405" t="str">
        <x:f>_xlfn.XLOOKUP($A1405,Games!$A$2:$A$18,Games!$F$2:$F$18,"Missing game",0)</x:f>
        <x:v>Sunday</x:v>
      </x:c>
      <x:c r="AL1405" t="str">
        <x:f>_xlfn.XLOOKUP($A1405,Games!$A$2:$A$18,Games!$G$2:$G$18,"Missing game",0)</x:f>
        <x:v>BAL</x:v>
      </x:c>
      <x:c r="AM1405" t="n">
        <x:f>_xlfn.XLOOKUP($A1405,Games!$A$2:$A$18,Games!$H$2:$H$18,"Missing game",0)</x:f>
        <x:v>27</x:v>
      </x:c>
      <x:c r="AN1405" t="str">
        <x:f>_xlfn.XLOOKUP($A1405,Games!$A$2:$A$18,Games!$I$2:$I$18,"Missing game",0)</x:f>
        <x:v>MIN</x:v>
      </x:c>
      <x:c r="AO1405" t="n">
        <x:f>_xlfn.XLOOKUP($A1405,Games!$A$2:$A$18,Games!$J$2:$J$18,"Missing game",0)</x:f>
        <x:v>19</x:v>
      </x:c>
      <x:c r="AP1405" t="n">
        <x:f>_xlfn.XLOOKUP($A1405,Games!$A$2:$A$18,Games!$K$2:$K$18,"Missing game",0)</x:f>
        <x:v>-8</x:v>
      </x:c>
      <x:c r="AQ1405" t="n">
        <x:f>_xlfn.XLOOKUP($A1405,Games!$A$2:$A$18,Games!$L$2:$L$18,"Missing game",0)</x:f>
        <x:v>46</x:v>
      </x:c>
      <x:c r="AR1405" t="n">
        <x:f>_xlfn.XLOOKUP($A1405,Games!$A$2:$A$18,Games!$M$2:$M$18,"Missing game",0)</x:f>
        <x:v>0</x:v>
      </x:c>
      <x:c r="AS1405" t="str">
        <x:f>_xlfn.XLOOKUP($A1405,Games!$A$2:$A$18,Games!$N$2:$N$18,"Missing game",0)</x:f>
        <x:v>dome</x:v>
      </x:c>
      <x:c r="AT1405" t="str">
        <x:f>_xlfn.XLOOKUP($A1405,Games!$A$2:$A$18,Games!$O$2:$O$18,"Missing game",0)</x:f>
        <x:v>sportturf</x:v>
      </x:c>
      <x:c r="AU1405" t="str">
        <x:f>_xlfn.XLOOKUP($A1405,Games!$A$2:$A$18,Games!$P$2:$P$18,"Missing game",0)</x:f>
      </x:c>
      <x:c r="AV1405" t="str">
        <x:f>_xlfn.XLOOKUP($A1405,Games!$A$2:$A$18,Games!$Q$2:$Q$18,"Missing game",0)</x:f>
      </x:c>
      <x:c r="AW1405" t="str">
        <x:f>_xlfn.XLOOKUP($A1405,Games!$A$2:$A$18,Games!$R$2:$R$18,"Missing game",0)</x:f>
        <x:v>U.S. Bank Stadium</x:v>
      </x:c>
    </x:row>
    <x:row r="1406">
      <x:c r="A1406" t="str">
        <x:v>2025_10_BAL_MIN</x:v>
      </x:c>
      <x:c r="B1406" t="n">
        <x:v>1344</x:v>
      </x:c>
      <x:c r="C1406" t="n">
        <x:v>2</x:v>
      </x:c>
      <x:c r="D1406" t="str">
        <x:v>07:37</x:v>
      </x:c>
      <x:c r="E1406" t="n">
        <x:v>2</x:v>
      </x:c>
      <x:c r="F1406" t="n">
        <x:v>15</x:v>
      </x:c>
      <x:c r="G1406" t="str">
        <x:v>MIN</x:v>
      </x:c>
      <x:c r="H1406" t="str">
        <x:v>BAL</x:v>
      </x:c>
      <x:c r="I1406" t="str">
        <x:v>MIN</x:v>
      </x:c>
      <x:c r="J1406" t="n">
        <x:v>72</x:v>
      </x:c>
      <x:c r="K1406" t="str">
        <x:v>(7:37) (Shotgun) 9-J.McCarthy pass short right to 19-A.Thielen to MIN 37 for 9 yards (53-K.Van Noy) [0-R.Smith].</x:v>
      </x:c>
      <x:c r="L1406" t="str">
        <x:v>pass</x:v>
      </x:c>
      <x:c r="M1406" t="n">
        <x:v>9</x:v>
      </x:c>
      <x:c r="N1406" t="n">
        <x:v>1</x:v>
      </x:c>
      <x:c r="O1406" t="n">
        <x:v>0</x:v>
      </x:c>
      <x:c r="P1406" t="str">
        <x:v>short</x:v>
      </x:c>
      <x:c r="Q1406" t="str">
        <x:v>right</x:v>
      </x:c>
      <x:c r="R1406" t="n">
        <x:v>5</x:v>
      </x:c>
      <x:c r="S1406" t="n">
        <x:v>4</x:v>
      </x:c>
      <x:c r="T1406"/>
      <x:c r="U1406"/>
      <x:c r="V1406" t="n">
        <x:v>1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0</x:v>
      </x:c>
      <x:c r="AB1406"/>
      <x:c r="AC1406" t="n">
        <x:v>0</x:v>
      </x:c>
      <x:c r="AD1406" t="n">
        <x:v>0.26036476413719356</x:v>
      </x:c>
      <x:c r="AE1406" t="n">
        <x:v>1</x:v>
      </x:c>
      <x:c r="AF1406" t="n">
        <x:v>0.016427934169769287</x:v>
      </x:c>
      <x:c r="AG1406" t="n">
        <x:f>_xlfn.XLOOKUP($A1406,Games!$A$2:$A$18,Games!$B$2:$B$18,"Missing game",0)</x:f>
        <x:v>2025</x:v>
      </x:c>
      <x:c r="AH1406" t="str">
        <x:f>_xlfn.XLOOKUP($A1406,Games!$A$2:$A$18,Games!$C$2:$C$18,"Missing game",0)</x:f>
        <x:v>REG</x:v>
      </x:c>
      <x:c r="AI1406" t="n">
        <x:f>_xlfn.XLOOKUP($A1406,Games!$A$2:$A$18,Games!$D$2:$D$18,"Missing game",0)</x:f>
        <x:v>10</x:v>
      </x:c>
      <x:c r="AJ1406" s="1" t="n">
        <x:f>_xlfn.XLOOKUP($A1406,Games!$A$2:$A$18,Games!$E$2:$E$18,"Missing game",0)</x:f>
        <x:v>45970</x:v>
      </x:c>
      <x:c r="AK1406" t="str">
        <x:f>_xlfn.XLOOKUP($A1406,Games!$A$2:$A$18,Games!$F$2:$F$18,"Missing game",0)</x:f>
        <x:v>Sunday</x:v>
      </x:c>
      <x:c r="AL1406" t="str">
        <x:f>_xlfn.XLOOKUP($A1406,Games!$A$2:$A$18,Games!$G$2:$G$18,"Missing game",0)</x:f>
        <x:v>BAL</x:v>
      </x:c>
      <x:c r="AM1406" t="n">
        <x:f>_xlfn.XLOOKUP($A1406,Games!$A$2:$A$18,Games!$H$2:$H$18,"Missing game",0)</x:f>
        <x:v>27</x:v>
      </x:c>
      <x:c r="AN1406" t="str">
        <x:f>_xlfn.XLOOKUP($A1406,Games!$A$2:$A$18,Games!$I$2:$I$18,"Missing game",0)</x:f>
        <x:v>MIN</x:v>
      </x:c>
      <x:c r="AO1406" t="n">
        <x:f>_xlfn.XLOOKUP($A1406,Games!$A$2:$A$18,Games!$J$2:$J$18,"Missing game",0)</x:f>
        <x:v>19</x:v>
      </x:c>
      <x:c r="AP1406" t="n">
        <x:f>_xlfn.XLOOKUP($A1406,Games!$A$2:$A$18,Games!$K$2:$K$18,"Missing game",0)</x:f>
        <x:v>-8</x:v>
      </x:c>
      <x:c r="AQ1406" t="n">
        <x:f>_xlfn.XLOOKUP($A1406,Games!$A$2:$A$18,Games!$L$2:$L$18,"Missing game",0)</x:f>
        <x:v>46</x:v>
      </x:c>
      <x:c r="AR1406" t="n">
        <x:f>_xlfn.XLOOKUP($A1406,Games!$A$2:$A$18,Games!$M$2:$M$18,"Missing game",0)</x:f>
        <x:v>0</x:v>
      </x:c>
      <x:c r="AS1406" t="str">
        <x:f>_xlfn.XLOOKUP($A1406,Games!$A$2:$A$18,Games!$N$2:$N$18,"Missing game",0)</x:f>
        <x:v>dome</x:v>
      </x:c>
      <x:c r="AT1406" t="str">
        <x:f>_xlfn.XLOOKUP($A1406,Games!$A$2:$A$18,Games!$O$2:$O$18,"Missing game",0)</x:f>
        <x:v>sportturf</x:v>
      </x:c>
      <x:c r="AU1406" t="str">
        <x:f>_xlfn.XLOOKUP($A1406,Games!$A$2:$A$18,Games!$P$2:$P$18,"Missing game",0)</x:f>
      </x:c>
      <x:c r="AV1406" t="str">
        <x:f>_xlfn.XLOOKUP($A1406,Games!$A$2:$A$18,Games!$Q$2:$Q$18,"Missing game",0)</x:f>
      </x:c>
      <x:c r="AW1406" t="str">
        <x:f>_xlfn.XLOOKUP($A1406,Games!$A$2:$A$18,Games!$R$2:$R$18,"Missing game",0)</x:f>
        <x:v>U.S. Bank Stadium</x:v>
      </x:c>
    </x:row>
    <x:row r="1407">
      <x:c r="A1407" t="str">
        <x:v>2025_10_BAL_MIN</x:v>
      </x:c>
      <x:c r="B1407" t="n">
        <x:v>1369</x:v>
      </x:c>
      <x:c r="C1407" t="n">
        <x:v>2</x:v>
      </x:c>
      <x:c r="D1407" t="str">
        <x:v>06:54</x:v>
      </x:c>
      <x:c r="E1407" t="n">
        <x:v>3</x:v>
      </x:c>
      <x:c r="F1407" t="n">
        <x:v>6</x:v>
      </x:c>
      <x:c r="G1407" t="str">
        <x:v>MIN</x:v>
      </x:c>
      <x:c r="H1407" t="str">
        <x:v>BAL</x:v>
      </x:c>
      <x:c r="I1407" t="str">
        <x:v>MIN</x:v>
      </x:c>
      <x:c r="J1407" t="n">
        <x:v>63</x:v>
      </x:c>
      <x:c r="K1407" t="str">
        <x:v>(6:54) (Shotgun) 9-J.McCarthy pass deep right intended for 18-J.Jefferson INTERCEPTED by 24-M.Starks at BAL 22. 24-M.Starks to BAL 46 for 24 yards (3-J.Addison). The Replay Official reviewed the runner was not down by contact ruling, and the play was REVERSED. (Shotgun) 9-J.McCarthy pass deep right intended for 18-J.Jefferson INTERCEPTED by 24-M.Starks at BAL 22. 24-M.Starks to BAL 22 for no gain (18-J.Jefferson).</x:v>
      </x:c>
      <x:c r="L1407" t="str">
        <x:v>pass</x:v>
      </x:c>
      <x:c r="M1407" t="n">
        <x:v>0</x:v>
      </x:c>
      <x:c r="N1407" t="n">
        <x:v>1</x:v>
      </x:c>
      <x:c r="O1407" t="n">
        <x:v>0</x:v>
      </x:c>
      <x:c r="P1407" t="str">
        <x:v>deep</x:v>
      </x:c>
      <x:c r="Q1407" t="str">
        <x:v>right</x:v>
      </x:c>
      <x:c r="R1407" t="n">
        <x:v>41</x:v>
      </x:c>
      <x:c r="S1407"/>
      <x:c r="T1407"/>
      <x:c r="U1407"/>
      <x:c r="V1407" t="n">
        <x:v>0</x:v>
      </x:c>
      <x:c r="W1407" t="n">
        <x:v>0</x:v>
      </x:c>
      <x:c r="X1407" t="n">
        <x:v>0</x:v>
      </x:c>
      <x:c r="Y1407" t="n">
        <x:v>1</x:v>
      </x:c>
      <x:c r="Z1407" t="n">
        <x:v>0</x:v>
      </x:c>
      <x:c r="AA1407" t="n">
        <x:v>0</x:v>
      </x:c>
      <x:c r="AB1407"/>
      <x:c r="AC1407" t="n">
        <x:v>0</x:v>
      </x:c>
      <x:c r="AD1407" t="n">
        <x:v>-1.9098040468525141</x:v>
      </x:c>
      <x:c r="AE1407" t="n">
        <x:v>0</x:v>
      </x:c>
      <x:c r="AF1407" t="n">
        <x:v>-0.040902361273765564</x:v>
      </x:c>
      <x:c r="AG1407" t="n">
        <x:f>_xlfn.XLOOKUP($A1407,Games!$A$2:$A$18,Games!$B$2:$B$18,"Missing game",0)</x:f>
        <x:v>2025</x:v>
      </x:c>
      <x:c r="AH1407" t="str">
        <x:f>_xlfn.XLOOKUP($A1407,Games!$A$2:$A$18,Games!$C$2:$C$18,"Missing game",0)</x:f>
        <x:v>REG</x:v>
      </x:c>
      <x:c r="AI1407" t="n">
        <x:f>_xlfn.XLOOKUP($A1407,Games!$A$2:$A$18,Games!$D$2:$D$18,"Missing game",0)</x:f>
        <x:v>10</x:v>
      </x:c>
      <x:c r="AJ1407" s="1" t="n">
        <x:f>_xlfn.XLOOKUP($A1407,Games!$A$2:$A$18,Games!$E$2:$E$18,"Missing game",0)</x:f>
        <x:v>45970</x:v>
      </x:c>
      <x:c r="AK1407" t="str">
        <x:f>_xlfn.XLOOKUP($A1407,Games!$A$2:$A$18,Games!$F$2:$F$18,"Missing game",0)</x:f>
        <x:v>Sunday</x:v>
      </x:c>
      <x:c r="AL1407" t="str">
        <x:f>_xlfn.XLOOKUP($A1407,Games!$A$2:$A$18,Games!$G$2:$G$18,"Missing game",0)</x:f>
        <x:v>BAL</x:v>
      </x:c>
      <x:c r="AM1407" t="n">
        <x:f>_xlfn.XLOOKUP($A1407,Games!$A$2:$A$18,Games!$H$2:$H$18,"Missing game",0)</x:f>
        <x:v>27</x:v>
      </x:c>
      <x:c r="AN1407" t="str">
        <x:f>_xlfn.XLOOKUP($A1407,Games!$A$2:$A$18,Games!$I$2:$I$18,"Missing game",0)</x:f>
        <x:v>MIN</x:v>
      </x:c>
      <x:c r="AO1407" t="n">
        <x:f>_xlfn.XLOOKUP($A1407,Games!$A$2:$A$18,Games!$J$2:$J$18,"Missing game",0)</x:f>
        <x:v>19</x:v>
      </x:c>
      <x:c r="AP1407" t="n">
        <x:f>_xlfn.XLOOKUP($A1407,Games!$A$2:$A$18,Games!$K$2:$K$18,"Missing game",0)</x:f>
        <x:v>-8</x:v>
      </x:c>
      <x:c r="AQ1407" t="n">
        <x:f>_xlfn.XLOOKUP($A1407,Games!$A$2:$A$18,Games!$L$2:$L$18,"Missing game",0)</x:f>
        <x:v>46</x:v>
      </x:c>
      <x:c r="AR1407" t="n">
        <x:f>_xlfn.XLOOKUP($A1407,Games!$A$2:$A$18,Games!$M$2:$M$18,"Missing game",0)</x:f>
        <x:v>0</x:v>
      </x:c>
      <x:c r="AS1407" t="str">
        <x:f>_xlfn.XLOOKUP($A1407,Games!$A$2:$A$18,Games!$N$2:$N$18,"Missing game",0)</x:f>
        <x:v>dome</x:v>
      </x:c>
      <x:c r="AT1407" t="str">
        <x:f>_xlfn.XLOOKUP($A1407,Games!$A$2:$A$18,Games!$O$2:$O$18,"Missing game",0)</x:f>
        <x:v>sportturf</x:v>
      </x:c>
      <x:c r="AU1407" t="str">
        <x:f>_xlfn.XLOOKUP($A1407,Games!$A$2:$A$18,Games!$P$2:$P$18,"Missing game",0)</x:f>
      </x:c>
      <x:c r="AV1407" t="str">
        <x:f>_xlfn.XLOOKUP($A1407,Games!$A$2:$A$18,Games!$Q$2:$Q$18,"Missing game",0)</x:f>
      </x:c>
      <x:c r="AW1407" t="str">
        <x:f>_xlfn.XLOOKUP($A1407,Games!$A$2:$A$18,Games!$R$2:$R$18,"Missing game",0)</x:f>
        <x:v>U.S. Bank Stadium</x:v>
      </x:c>
    </x:row>
    <x:row r="1408">
      <x:c r="A1408" t="str">
        <x:v>2025_10_BAL_MIN</x:v>
      </x:c>
      <x:c r="B1408" t="n">
        <x:v>1396</x:v>
      </x:c>
      <x:c r="C1408" t="n">
        <x:v>2</x:v>
      </x:c>
      <x:c r="D1408" t="str">
        <x:v>06:47</x:v>
      </x:c>
      <x:c r="E1408" t="n">
        <x:v>1</x:v>
      </x:c>
      <x:c r="F1408" t="n">
        <x:v>10</x:v>
      </x:c>
      <x:c r="G1408" t="str">
        <x:v>BAL</x:v>
      </x:c>
      <x:c r="H1408" t="str">
        <x:v>MIN</x:v>
      </x:c>
      <x:c r="I1408" t="str">
        <x:v>BAL</x:v>
      </x:c>
      <x:c r="J1408" t="n">
        <x:v>78</x:v>
      </x:c>
      <x:c r="K1408" t="str">
        <x:v>(6:47) 22-D.Henry right tackle to BAL 25 for 3 yards (58-J.Greenard; 51-B.Cashman).</x:v>
      </x:c>
      <x:c r="L1408" t="str">
        <x:v>run</x:v>
      </x:c>
      <x:c r="M1408" t="n">
        <x:v>3</x:v>
      </x:c>
      <x:c r="N1408" t="n">
        <x:v>0</x:v>
      </x:c>
      <x:c r="O1408" t="n">
        <x:v>0</x:v>
      </x:c>
      <x:c r="P1408"/>
      <x:c r="Q1408"/>
      <x:c r="R1408"/>
      <x:c r="S1408"/>
      <x:c r="T1408" t="str">
        <x:v>right</x:v>
      </x:c>
      <x:c r="U1408" t="str">
        <x:v>tackle</x:v>
      </x:c>
      <x:c r="V1408" t="n">
        <x:v>0</x:v>
      </x:c>
      <x:c r="W1408" t="n">
        <x:v>0</x:v>
      </x:c>
      <x:c r="X1408" t="n">
        <x:v>0</x:v>
      </x:c>
      <x:c r="Y1408" t="n">
        <x:v>0</x:v>
      </x:c>
      <x:c r="Z1408" t="n">
        <x:v>0</x:v>
      </x:c>
      <x:c r="AA1408" t="n">
        <x:v>0</x:v>
      </x:c>
      <x:c r="AB1408"/>
      <x:c r="AC1408" t="n">
        <x:v>0</x:v>
      </x:c>
      <x:c r="AD1408" t="n">
        <x:v>-0.26630189805291593</x:v>
      </x:c>
      <x:c r="AE1408" t="n">
        <x:v>0</x:v>
      </x:c>
      <x:c r="AF1408" t="n">
        <x:v>-0.008587583899497986</x:v>
      </x:c>
      <x:c r="AG1408" t="n">
        <x:f>_xlfn.XLOOKUP($A1408,Games!$A$2:$A$18,Games!$B$2:$B$18,"Missing game",0)</x:f>
        <x:v>2025</x:v>
      </x:c>
      <x:c r="AH1408" t="str">
        <x:f>_xlfn.XLOOKUP($A1408,Games!$A$2:$A$18,Games!$C$2:$C$18,"Missing game",0)</x:f>
        <x:v>REG</x:v>
      </x:c>
      <x:c r="AI1408" t="n">
        <x:f>_xlfn.XLOOKUP($A1408,Games!$A$2:$A$18,Games!$D$2:$D$18,"Missing game",0)</x:f>
        <x:v>10</x:v>
      </x:c>
      <x:c r="AJ1408" s="1" t="n">
        <x:f>_xlfn.XLOOKUP($A1408,Games!$A$2:$A$18,Games!$E$2:$E$18,"Missing game",0)</x:f>
        <x:v>45970</x:v>
      </x:c>
      <x:c r="AK1408" t="str">
        <x:f>_xlfn.XLOOKUP($A1408,Games!$A$2:$A$18,Games!$F$2:$F$18,"Missing game",0)</x:f>
        <x:v>Sunday</x:v>
      </x:c>
      <x:c r="AL1408" t="str">
        <x:f>_xlfn.XLOOKUP($A1408,Games!$A$2:$A$18,Games!$G$2:$G$18,"Missing game",0)</x:f>
        <x:v>BAL</x:v>
      </x:c>
      <x:c r="AM1408" t="n">
        <x:f>_xlfn.XLOOKUP($A1408,Games!$A$2:$A$18,Games!$H$2:$H$18,"Missing game",0)</x:f>
        <x:v>27</x:v>
      </x:c>
      <x:c r="AN1408" t="str">
        <x:f>_xlfn.XLOOKUP($A1408,Games!$A$2:$A$18,Games!$I$2:$I$18,"Missing game",0)</x:f>
        <x:v>MIN</x:v>
      </x:c>
      <x:c r="AO1408" t="n">
        <x:f>_xlfn.XLOOKUP($A1408,Games!$A$2:$A$18,Games!$J$2:$J$18,"Missing game",0)</x:f>
        <x:v>19</x:v>
      </x:c>
      <x:c r="AP1408" t="n">
        <x:f>_xlfn.XLOOKUP($A1408,Games!$A$2:$A$18,Games!$K$2:$K$18,"Missing game",0)</x:f>
        <x:v>-8</x:v>
      </x:c>
      <x:c r="AQ1408" t="n">
        <x:f>_xlfn.XLOOKUP($A1408,Games!$A$2:$A$18,Games!$L$2:$L$18,"Missing game",0)</x:f>
        <x:v>46</x:v>
      </x:c>
      <x:c r="AR1408" t="n">
        <x:f>_xlfn.XLOOKUP($A1408,Games!$A$2:$A$18,Games!$M$2:$M$18,"Missing game",0)</x:f>
        <x:v>0</x:v>
      </x:c>
      <x:c r="AS1408" t="str">
        <x:f>_xlfn.XLOOKUP($A1408,Games!$A$2:$A$18,Games!$N$2:$N$18,"Missing game",0)</x:f>
        <x:v>dome</x:v>
      </x:c>
      <x:c r="AT1408" t="str">
        <x:f>_xlfn.XLOOKUP($A1408,Games!$A$2:$A$18,Games!$O$2:$O$18,"Missing game",0)</x:f>
        <x:v>sportturf</x:v>
      </x:c>
      <x:c r="AU1408" t="str">
        <x:f>_xlfn.XLOOKUP($A1408,Games!$A$2:$A$18,Games!$P$2:$P$18,"Missing game",0)</x:f>
      </x:c>
      <x:c r="AV1408" t="str">
        <x:f>_xlfn.XLOOKUP($A1408,Games!$A$2:$A$18,Games!$Q$2:$Q$18,"Missing game",0)</x:f>
      </x:c>
      <x:c r="AW1408" t="str">
        <x:f>_xlfn.XLOOKUP($A1408,Games!$A$2:$A$18,Games!$R$2:$R$18,"Missing game",0)</x:f>
        <x:v>U.S. Bank Stadium</x:v>
      </x:c>
    </x:row>
    <x:row r="1409">
      <x:c r="A1409" t="str">
        <x:v>2025_10_BAL_MIN</x:v>
      </x:c>
      <x:c r="B1409" t="n">
        <x:v>1425</x:v>
      </x:c>
      <x:c r="C1409" t="n">
        <x:v>2</x:v>
      </x:c>
      <x:c r="D1409" t="str">
        <x:v>06:06</x:v>
      </x:c>
      <x:c r="E1409" t="n">
        <x:v>2</x:v>
      </x:c>
      <x:c r="F1409" t="n">
        <x:v>7</x:v>
      </x:c>
      <x:c r="G1409" t="str">
        <x:v>BAL</x:v>
      </x:c>
      <x:c r="H1409" t="str">
        <x:v>MIN</x:v>
      </x:c>
      <x:c r="I1409" t="str">
        <x:v>BAL</x:v>
      </x:c>
      <x:c r="J1409" t="n">
        <x:v>75</x:v>
      </x:c>
      <x:c r="K1409" t="str">
        <x:v>(6:06) (Shotgun) 8-L.Jackson scrambles up the middle to BAL 33 for 8 yards (55-E.Wilson).</x:v>
      </x:c>
      <x:c r="L1409" t="str">
        <x:v>run</x:v>
      </x:c>
      <x:c r="M1409" t="n">
        <x:v>8</x:v>
      </x:c>
      <x:c r="N1409" t="n">
        <x:v>1</x:v>
      </x:c>
      <x:c r="O1409" t="n">
        <x:v>0</x:v>
      </x:c>
      <x:c r="P1409"/>
      <x:c r="Q1409"/>
      <x:c r="R1409"/>
      <x:c r="S1409"/>
      <x:c r="T1409" t="str">
        <x:v>middle</x:v>
      </x:c>
      <x:c r="U1409"/>
      <x:c r="V1409" t="n">
        <x:v>0</x:v>
      </x:c>
      <x:c r="W1409" t="n">
        <x:v>1</x:v>
      </x:c>
      <x:c r="X1409" t="n">
        <x:v>0</x:v>
      </x:c>
      <x:c r="Y1409" t="n">
        <x:v>0</x:v>
      </x:c>
      <x:c r="Z1409" t="n">
        <x:v>0</x:v>
      </x:c>
      <x:c r="AA1409" t="n">
        <x:v>0</x:v>
      </x:c>
      <x:c r="AB1409"/>
      <x:c r="AC1409" t="n">
        <x:v>0</x:v>
      </x:c>
      <x:c r="AD1409" t="n">
        <x:v>0.9535605183336884</x:v>
      </x:c>
      <x:c r="AE1409" t="n">
        <x:v>1</x:v>
      </x:c>
      <x:c r="AF1409" t="n">
        <x:v>0.005513831973075867</x:v>
      </x:c>
      <x:c r="AG1409" t="n">
        <x:f>_xlfn.XLOOKUP($A1409,Games!$A$2:$A$18,Games!$B$2:$B$18,"Missing game",0)</x:f>
        <x:v>2025</x:v>
      </x:c>
      <x:c r="AH1409" t="str">
        <x:f>_xlfn.XLOOKUP($A1409,Games!$A$2:$A$18,Games!$C$2:$C$18,"Missing game",0)</x:f>
        <x:v>REG</x:v>
      </x:c>
      <x:c r="AI1409" t="n">
        <x:f>_xlfn.XLOOKUP($A1409,Games!$A$2:$A$18,Games!$D$2:$D$18,"Missing game",0)</x:f>
        <x:v>10</x:v>
      </x:c>
      <x:c r="AJ1409" s="1" t="n">
        <x:f>_xlfn.XLOOKUP($A1409,Games!$A$2:$A$18,Games!$E$2:$E$18,"Missing game",0)</x:f>
        <x:v>45970</x:v>
      </x:c>
      <x:c r="AK1409" t="str">
        <x:f>_xlfn.XLOOKUP($A1409,Games!$A$2:$A$18,Games!$F$2:$F$18,"Missing game",0)</x:f>
        <x:v>Sunday</x:v>
      </x:c>
      <x:c r="AL1409" t="str">
        <x:f>_xlfn.XLOOKUP($A1409,Games!$A$2:$A$18,Games!$G$2:$G$18,"Missing game",0)</x:f>
        <x:v>BAL</x:v>
      </x:c>
      <x:c r="AM1409" t="n">
        <x:f>_xlfn.XLOOKUP($A1409,Games!$A$2:$A$18,Games!$H$2:$H$18,"Missing game",0)</x:f>
        <x:v>27</x:v>
      </x:c>
      <x:c r="AN1409" t="str">
        <x:f>_xlfn.XLOOKUP($A1409,Games!$A$2:$A$18,Games!$I$2:$I$18,"Missing game",0)</x:f>
        <x:v>MIN</x:v>
      </x:c>
      <x:c r="AO1409" t="n">
        <x:f>_xlfn.XLOOKUP($A1409,Games!$A$2:$A$18,Games!$J$2:$J$18,"Missing game",0)</x:f>
        <x:v>19</x:v>
      </x:c>
      <x:c r="AP1409" t="n">
        <x:f>_xlfn.XLOOKUP($A1409,Games!$A$2:$A$18,Games!$K$2:$K$18,"Missing game",0)</x:f>
        <x:v>-8</x:v>
      </x:c>
      <x:c r="AQ1409" t="n">
        <x:f>_xlfn.XLOOKUP($A1409,Games!$A$2:$A$18,Games!$L$2:$L$18,"Missing game",0)</x:f>
        <x:v>46</x:v>
      </x:c>
      <x:c r="AR1409" t="n">
        <x:f>_xlfn.XLOOKUP($A1409,Games!$A$2:$A$18,Games!$M$2:$M$18,"Missing game",0)</x:f>
        <x:v>0</x:v>
      </x:c>
      <x:c r="AS1409" t="str">
        <x:f>_xlfn.XLOOKUP($A1409,Games!$A$2:$A$18,Games!$N$2:$N$18,"Missing game",0)</x:f>
        <x:v>dome</x:v>
      </x:c>
      <x:c r="AT1409" t="str">
        <x:f>_xlfn.XLOOKUP($A1409,Games!$A$2:$A$18,Games!$O$2:$O$18,"Missing game",0)</x:f>
        <x:v>sportturf</x:v>
      </x:c>
      <x:c r="AU1409" t="str">
        <x:f>_xlfn.XLOOKUP($A1409,Games!$A$2:$A$18,Games!$P$2:$P$18,"Missing game",0)</x:f>
      </x:c>
      <x:c r="AV1409" t="str">
        <x:f>_xlfn.XLOOKUP($A1409,Games!$A$2:$A$18,Games!$Q$2:$Q$18,"Missing game",0)</x:f>
      </x:c>
      <x:c r="AW1409" t="str">
        <x:f>_xlfn.XLOOKUP($A1409,Games!$A$2:$A$18,Games!$R$2:$R$18,"Missing game",0)</x:f>
        <x:v>U.S. Bank Stadium</x:v>
      </x:c>
    </x:row>
    <x:row r="1410">
      <x:c r="A1410" t="str">
        <x:v>2025_10_BAL_MIN</x:v>
      </x:c>
      <x:c r="B1410" t="n">
        <x:v>1479</x:v>
      </x:c>
      <x:c r="C1410" t="n">
        <x:v>2</x:v>
      </x:c>
      <x:c r="D1410" t="str">
        <x:v>05:23</x:v>
      </x:c>
      <x:c r="E1410" t="n">
        <x:v>1</x:v>
      </x:c>
      <x:c r="F1410" t="n">
        <x:v>10</x:v>
      </x:c>
      <x:c r="G1410" t="str">
        <x:v>BAL</x:v>
      </x:c>
      <x:c r="H1410" t="str">
        <x:v>MIN</x:v>
      </x:c>
      <x:c r="I1410" t="str">
        <x:v>BAL</x:v>
      </x:c>
      <x:c r="J1410" t="n">
        <x:v>67</x:v>
      </x:c>
      <x:c r="K1410" t="str">
        <x:v>(5:23) (Shotgun) 8-L.Jackson sacked at BAL 32 for -1 yards (61-J.Redmond). PENALTY on MIN-7-B.Murphy, Illegal Use of Hands, 5 yards, enforced at BAL 33 - No Play.</x:v>
      </x:c>
      <x:c r="L1410" t="str">
        <x:v>no_play</x:v>
      </x:c>
      <x:c r="M1410" t="n">
        <x:v>0</x:v>
      </x:c>
      <x:c r="N1410" t="n">
        <x:v>1</x:v>
      </x:c>
      <x:c r="O1410" t="n">
        <x:v>0</x:v>
      </x:c>
      <x:c r="P1410"/>
      <x:c r="Q1410"/>
      <x:c r="R1410"/>
      <x:c r="S1410"/>
      <x:c r="T1410"/>
      <x:c r="U1410"/>
      <x:c r="V1410" t="n">
        <x:v>0</x:v>
      </x:c>
      <x:c r="W1410" t="n">
        <x:v>1</x:v>
      </x:c>
      <x:c r="X1410" t="n">
        <x:v>0</x:v>
      </x:c>
      <x:c r="Y1410" t="n">
        <x:v>0</x:v>
      </x:c>
      <x:c r="Z1410" t="n">
        <x:v>0</x:v>
      </x:c>
      <x:c r="AA1410" t="n">
        <x:v>1</x:v>
      </x:c>
      <x:c r="AB1410" t="n">
        <x:v>5</x:v>
      </x:c>
      <x:c r="AC1410" t="n">
        <x:v>0</x:v>
      </x:c>
      <x:c r="AD1410" t="n">
        <x:v>0.2325578099116683</x:v>
      </x:c>
      <x:c r="AE1410" t="n">
        <x:v>1</x:v>
      </x:c>
      <x:c r="AF1410" t="n">
        <x:v>0.011538371443748474</x:v>
      </x:c>
      <x:c r="AG1410" t="n">
        <x:f>_xlfn.XLOOKUP($A1410,Games!$A$2:$A$18,Games!$B$2:$B$18,"Missing game",0)</x:f>
        <x:v>2025</x:v>
      </x:c>
      <x:c r="AH1410" t="str">
        <x:f>_xlfn.XLOOKUP($A1410,Games!$A$2:$A$18,Games!$C$2:$C$18,"Missing game",0)</x:f>
        <x:v>REG</x:v>
      </x:c>
      <x:c r="AI1410" t="n">
        <x:f>_xlfn.XLOOKUP($A1410,Games!$A$2:$A$18,Games!$D$2:$D$18,"Missing game",0)</x:f>
        <x:v>10</x:v>
      </x:c>
      <x:c r="AJ1410" s="1" t="n">
        <x:f>_xlfn.XLOOKUP($A1410,Games!$A$2:$A$18,Games!$E$2:$E$18,"Missing game",0)</x:f>
        <x:v>45970</x:v>
      </x:c>
      <x:c r="AK1410" t="str">
        <x:f>_xlfn.XLOOKUP($A1410,Games!$A$2:$A$18,Games!$F$2:$F$18,"Missing game",0)</x:f>
        <x:v>Sunday</x:v>
      </x:c>
      <x:c r="AL1410" t="str">
        <x:f>_xlfn.XLOOKUP($A1410,Games!$A$2:$A$18,Games!$G$2:$G$18,"Missing game",0)</x:f>
        <x:v>BAL</x:v>
      </x:c>
      <x:c r="AM1410" t="n">
        <x:f>_xlfn.XLOOKUP($A1410,Games!$A$2:$A$18,Games!$H$2:$H$18,"Missing game",0)</x:f>
        <x:v>27</x:v>
      </x:c>
      <x:c r="AN1410" t="str">
        <x:f>_xlfn.XLOOKUP($A1410,Games!$A$2:$A$18,Games!$I$2:$I$18,"Missing game",0)</x:f>
        <x:v>MIN</x:v>
      </x:c>
      <x:c r="AO1410" t="n">
        <x:f>_xlfn.XLOOKUP($A1410,Games!$A$2:$A$18,Games!$J$2:$J$18,"Missing game",0)</x:f>
        <x:v>19</x:v>
      </x:c>
      <x:c r="AP1410" t="n">
        <x:f>_xlfn.XLOOKUP($A1410,Games!$A$2:$A$18,Games!$K$2:$K$18,"Missing game",0)</x:f>
        <x:v>-8</x:v>
      </x:c>
      <x:c r="AQ1410" t="n">
        <x:f>_xlfn.XLOOKUP($A1410,Games!$A$2:$A$18,Games!$L$2:$L$18,"Missing game",0)</x:f>
        <x:v>46</x:v>
      </x:c>
      <x:c r="AR1410" t="n">
        <x:f>_xlfn.XLOOKUP($A1410,Games!$A$2:$A$18,Games!$M$2:$M$18,"Missing game",0)</x:f>
        <x:v>0</x:v>
      </x:c>
      <x:c r="AS1410" t="str">
        <x:f>_xlfn.XLOOKUP($A1410,Games!$A$2:$A$18,Games!$N$2:$N$18,"Missing game",0)</x:f>
        <x:v>dome</x:v>
      </x:c>
      <x:c r="AT1410" t="str">
        <x:f>_xlfn.XLOOKUP($A1410,Games!$A$2:$A$18,Games!$O$2:$O$18,"Missing game",0)</x:f>
        <x:v>sportturf</x:v>
      </x:c>
      <x:c r="AU1410" t="str">
        <x:f>_xlfn.XLOOKUP($A1410,Games!$A$2:$A$18,Games!$P$2:$P$18,"Missing game",0)</x:f>
      </x:c>
      <x:c r="AV1410" t="str">
        <x:f>_xlfn.XLOOKUP($A1410,Games!$A$2:$A$18,Games!$Q$2:$Q$18,"Missing game",0)</x:f>
      </x:c>
      <x:c r="AW1410" t="str">
        <x:f>_xlfn.XLOOKUP($A1410,Games!$A$2:$A$18,Games!$R$2:$R$18,"Missing game",0)</x:f>
        <x:v>U.S. Bank Stadium</x:v>
      </x:c>
    </x:row>
    <x:row r="1411">
      <x:c r="A1411" t="str">
        <x:v>2025_10_BAL_MIN</x:v>
      </x:c>
      <x:c r="B1411" t="n">
        <x:v>1510</x:v>
      </x:c>
      <x:c r="C1411" t="n">
        <x:v>2</x:v>
      </x:c>
      <x:c r="D1411" t="str">
        <x:v>05:01</x:v>
      </x:c>
      <x:c r="E1411" t="n">
        <x:v>1</x:v>
      </x:c>
      <x:c r="F1411" t="n">
        <x:v>10</x:v>
      </x:c>
      <x:c r="G1411" t="str">
        <x:v>BAL</x:v>
      </x:c>
      <x:c r="H1411" t="str">
        <x:v>MIN</x:v>
      </x:c>
      <x:c r="I1411" t="str">
        <x:v>BAL</x:v>
      </x:c>
      <x:c r="J1411" t="n">
        <x:v>62</x:v>
      </x:c>
      <x:c r="K1411" t="str">
        <x:v>(5:01) (Shotgun) 8-L.Jackson pass incomplete short right to 80-I.Likely.</x:v>
      </x:c>
      <x:c r="L1411" t="str">
        <x:v>pass</x:v>
      </x:c>
      <x:c r="M1411" t="n">
        <x:v>0</x:v>
      </x:c>
      <x:c r="N1411" t="n">
        <x:v>1</x:v>
      </x:c>
      <x:c r="O1411" t="n">
        <x:v>0</x:v>
      </x:c>
      <x:c r="P1411" t="str">
        <x:v>short</x:v>
      </x:c>
      <x:c r="Q1411" t="str">
        <x:v>right</x:v>
      </x:c>
      <x:c r="R1411" t="n">
        <x:v>10</x:v>
      </x:c>
      <x:c r="S1411"/>
      <x:c r="T1411"/>
      <x:c r="U1411"/>
      <x:c r="V1411" t="n">
        <x:v>0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0</x:v>
      </x:c>
      <x:c r="AB1411"/>
      <x:c r="AC1411" t="n">
        <x:v>0</x:v>
      </x:c>
      <x:c r="AD1411" t="n">
        <x:v>-0.5092978617176414</x:v>
      </x:c>
      <x:c r="AE1411" t="n">
        <x:v>0</x:v>
      </x:c>
      <x:c r="AF1411" t="n">
        <x:v>-0.014529779553413391</x:v>
      </x:c>
      <x:c r="AG1411" t="n">
        <x:f>_xlfn.XLOOKUP($A1411,Games!$A$2:$A$18,Games!$B$2:$B$18,"Missing game",0)</x:f>
        <x:v>2025</x:v>
      </x:c>
      <x:c r="AH1411" t="str">
        <x:f>_xlfn.XLOOKUP($A1411,Games!$A$2:$A$18,Games!$C$2:$C$18,"Missing game",0)</x:f>
        <x:v>REG</x:v>
      </x:c>
      <x:c r="AI1411" t="n">
        <x:f>_xlfn.XLOOKUP($A1411,Games!$A$2:$A$18,Games!$D$2:$D$18,"Missing game",0)</x:f>
        <x:v>10</x:v>
      </x:c>
      <x:c r="AJ1411" s="1" t="n">
        <x:f>_xlfn.XLOOKUP($A1411,Games!$A$2:$A$18,Games!$E$2:$E$18,"Missing game",0)</x:f>
        <x:v>45970</x:v>
      </x:c>
      <x:c r="AK1411" t="str">
        <x:f>_xlfn.XLOOKUP($A1411,Games!$A$2:$A$18,Games!$F$2:$F$18,"Missing game",0)</x:f>
        <x:v>Sunday</x:v>
      </x:c>
      <x:c r="AL1411" t="str">
        <x:f>_xlfn.XLOOKUP($A1411,Games!$A$2:$A$18,Games!$G$2:$G$18,"Missing game",0)</x:f>
        <x:v>BAL</x:v>
      </x:c>
      <x:c r="AM1411" t="n">
        <x:f>_xlfn.XLOOKUP($A1411,Games!$A$2:$A$18,Games!$H$2:$H$18,"Missing game",0)</x:f>
        <x:v>27</x:v>
      </x:c>
      <x:c r="AN1411" t="str">
        <x:f>_xlfn.XLOOKUP($A1411,Games!$A$2:$A$18,Games!$I$2:$I$18,"Missing game",0)</x:f>
        <x:v>MIN</x:v>
      </x:c>
      <x:c r="AO1411" t="n">
        <x:f>_xlfn.XLOOKUP($A1411,Games!$A$2:$A$18,Games!$J$2:$J$18,"Missing game",0)</x:f>
        <x:v>19</x:v>
      </x:c>
      <x:c r="AP1411" t="n">
        <x:f>_xlfn.XLOOKUP($A1411,Games!$A$2:$A$18,Games!$K$2:$K$18,"Missing game",0)</x:f>
        <x:v>-8</x:v>
      </x:c>
      <x:c r="AQ1411" t="n">
        <x:f>_xlfn.XLOOKUP($A1411,Games!$A$2:$A$18,Games!$L$2:$L$18,"Missing game",0)</x:f>
        <x:v>46</x:v>
      </x:c>
      <x:c r="AR1411" t="n">
        <x:f>_xlfn.XLOOKUP($A1411,Games!$A$2:$A$18,Games!$M$2:$M$18,"Missing game",0)</x:f>
        <x:v>0</x:v>
      </x:c>
      <x:c r="AS1411" t="str">
        <x:f>_xlfn.XLOOKUP($A1411,Games!$A$2:$A$18,Games!$N$2:$N$18,"Missing game",0)</x:f>
        <x:v>dome</x:v>
      </x:c>
      <x:c r="AT1411" t="str">
        <x:f>_xlfn.XLOOKUP($A1411,Games!$A$2:$A$18,Games!$O$2:$O$18,"Missing game",0)</x:f>
        <x:v>sportturf</x:v>
      </x:c>
      <x:c r="AU1411" t="str">
        <x:f>_xlfn.XLOOKUP($A1411,Games!$A$2:$A$18,Games!$P$2:$P$18,"Missing game",0)</x:f>
      </x:c>
      <x:c r="AV1411" t="str">
        <x:f>_xlfn.XLOOKUP($A1411,Games!$A$2:$A$18,Games!$Q$2:$Q$18,"Missing game",0)</x:f>
      </x:c>
      <x:c r="AW1411" t="str">
        <x:f>_xlfn.XLOOKUP($A1411,Games!$A$2:$A$18,Games!$R$2:$R$18,"Missing game",0)</x:f>
        <x:v>U.S. Bank Stadium</x:v>
      </x:c>
    </x:row>
    <x:row r="1412">
      <x:c r="A1412" t="str">
        <x:v>2025_10_BAL_MIN</x:v>
      </x:c>
      <x:c r="B1412" t="n">
        <x:v>1533</x:v>
      </x:c>
      <x:c r="C1412" t="n">
        <x:v>2</x:v>
      </x:c>
      <x:c r="D1412" t="str">
        <x:v>04:58</x:v>
      </x:c>
      <x:c r="E1412" t="n">
        <x:v>2</x:v>
      </x:c>
      <x:c r="F1412" t="n">
        <x:v>10</x:v>
      </x:c>
      <x:c r="G1412" t="str">
        <x:v>BAL</x:v>
      </x:c>
      <x:c r="H1412" t="str">
        <x:v>MIN</x:v>
      </x:c>
      <x:c r="I1412" t="str">
        <x:v>BAL</x:v>
      </x:c>
      <x:c r="J1412" t="n">
        <x:v>62</x:v>
      </x:c>
      <x:c r="K1412" t="str">
        <x:v>(4:58) (Shotgun) 22-D.Henry left end pushed ob at MIN 49 for 13 yards (44-J.Metellus).</x:v>
      </x:c>
      <x:c r="L1412" t="str">
        <x:v>run</x:v>
      </x:c>
      <x:c r="M1412" t="n">
        <x:v>13</x:v>
      </x:c>
      <x:c r="N1412" t="n">
        <x:v>1</x:v>
      </x:c>
      <x:c r="O1412" t="n">
        <x:v>0</x:v>
      </x:c>
      <x:c r="P1412"/>
      <x:c r="Q1412"/>
      <x:c r="R1412"/>
      <x:c r="S1412"/>
      <x:c r="T1412" t="str">
        <x:v>left</x:v>
      </x:c>
      <x:c r="U1412" t="str">
        <x:v>end</x:v>
      </x:c>
      <x:c r="V1412" t="n">
        <x:v>0</x:v>
      </x:c>
      <x:c r="W1412" t="n">
        <x:v>1</x:v>
      </x:c>
      <x:c r="X1412" t="n">
        <x:v>0</x:v>
      </x:c>
      <x:c r="Y1412" t="n">
        <x:v>0</x:v>
      </x:c>
      <x:c r="Z1412" t="n">
        <x:v>0</x:v>
      </x:c>
      <x:c r="AA1412" t="n">
        <x:v>0</x:v>
      </x:c>
      <x:c r="AB1412"/>
      <x:c r="AC1412" t="n">
        <x:v>0</x:v>
      </x:c>
      <x:c r="AD1412" t="n">
        <x:v>1.4109608754515648</x:v>
      </x:c>
      <x:c r="AE1412" t="n">
        <x:v>1</x:v>
      </x:c>
      <x:c r="AF1412" t="n">
        <x:v>0.03892140090465546</x:v>
      </x:c>
      <x:c r="AG1412" t="n">
        <x:f>_xlfn.XLOOKUP($A1412,Games!$A$2:$A$18,Games!$B$2:$B$18,"Missing game",0)</x:f>
        <x:v>2025</x:v>
      </x:c>
      <x:c r="AH1412" t="str">
        <x:f>_xlfn.XLOOKUP($A1412,Games!$A$2:$A$18,Games!$C$2:$C$18,"Missing game",0)</x:f>
        <x:v>REG</x:v>
      </x:c>
      <x:c r="AI1412" t="n">
        <x:f>_xlfn.XLOOKUP($A1412,Games!$A$2:$A$18,Games!$D$2:$D$18,"Missing game",0)</x:f>
        <x:v>10</x:v>
      </x:c>
      <x:c r="AJ1412" s="1" t="n">
        <x:f>_xlfn.XLOOKUP($A1412,Games!$A$2:$A$18,Games!$E$2:$E$18,"Missing game",0)</x:f>
        <x:v>45970</x:v>
      </x:c>
      <x:c r="AK1412" t="str">
        <x:f>_xlfn.XLOOKUP($A1412,Games!$A$2:$A$18,Games!$F$2:$F$18,"Missing game",0)</x:f>
        <x:v>Sunday</x:v>
      </x:c>
      <x:c r="AL1412" t="str">
        <x:f>_xlfn.XLOOKUP($A1412,Games!$A$2:$A$18,Games!$G$2:$G$18,"Missing game",0)</x:f>
        <x:v>BAL</x:v>
      </x:c>
      <x:c r="AM1412" t="n">
        <x:f>_xlfn.XLOOKUP($A1412,Games!$A$2:$A$18,Games!$H$2:$H$18,"Missing game",0)</x:f>
        <x:v>27</x:v>
      </x:c>
      <x:c r="AN1412" t="str">
        <x:f>_xlfn.XLOOKUP($A1412,Games!$A$2:$A$18,Games!$I$2:$I$18,"Missing game",0)</x:f>
        <x:v>MIN</x:v>
      </x:c>
      <x:c r="AO1412" t="n">
        <x:f>_xlfn.XLOOKUP($A1412,Games!$A$2:$A$18,Games!$J$2:$J$18,"Missing game",0)</x:f>
        <x:v>19</x:v>
      </x:c>
      <x:c r="AP1412" t="n">
        <x:f>_xlfn.XLOOKUP($A1412,Games!$A$2:$A$18,Games!$K$2:$K$18,"Missing game",0)</x:f>
        <x:v>-8</x:v>
      </x:c>
      <x:c r="AQ1412" t="n">
        <x:f>_xlfn.XLOOKUP($A1412,Games!$A$2:$A$18,Games!$L$2:$L$18,"Missing game",0)</x:f>
        <x:v>46</x:v>
      </x:c>
      <x:c r="AR1412" t="n">
        <x:f>_xlfn.XLOOKUP($A1412,Games!$A$2:$A$18,Games!$M$2:$M$18,"Missing game",0)</x:f>
        <x:v>0</x:v>
      </x:c>
      <x:c r="AS1412" t="str">
        <x:f>_xlfn.XLOOKUP($A1412,Games!$A$2:$A$18,Games!$N$2:$N$18,"Missing game",0)</x:f>
        <x:v>dome</x:v>
      </x:c>
      <x:c r="AT1412" t="str">
        <x:f>_xlfn.XLOOKUP($A1412,Games!$A$2:$A$18,Games!$O$2:$O$18,"Missing game",0)</x:f>
        <x:v>sportturf</x:v>
      </x:c>
      <x:c r="AU1412" t="str">
        <x:f>_xlfn.XLOOKUP($A1412,Games!$A$2:$A$18,Games!$P$2:$P$18,"Missing game",0)</x:f>
      </x:c>
      <x:c r="AV1412" t="str">
        <x:f>_xlfn.XLOOKUP($A1412,Games!$A$2:$A$18,Games!$Q$2:$Q$18,"Missing game",0)</x:f>
      </x:c>
      <x:c r="AW1412" t="str">
        <x:f>_xlfn.XLOOKUP($A1412,Games!$A$2:$A$18,Games!$R$2:$R$18,"Missing game",0)</x:f>
        <x:v>U.S. Bank Stadium</x:v>
      </x:c>
    </x:row>
    <x:row r="1413">
      <x:c r="A1413" t="str">
        <x:v>2025_10_BAL_MIN</x:v>
      </x:c>
      <x:c r="B1413" t="n">
        <x:v>1565</x:v>
      </x:c>
      <x:c r="C1413" t="n">
        <x:v>2</x:v>
      </x:c>
      <x:c r="D1413" t="str">
        <x:v>04:25</x:v>
      </x:c>
      <x:c r="E1413" t="n">
        <x:v>1</x:v>
      </x:c>
      <x:c r="F1413" t="n">
        <x:v>10</x:v>
      </x:c>
      <x:c r="G1413" t="str">
        <x:v>BAL</x:v>
      </x:c>
      <x:c r="H1413" t="str">
        <x:v>MIN</x:v>
      </x:c>
      <x:c r="I1413" t="str">
        <x:v>MIN</x:v>
      </x:c>
      <x:c r="J1413" t="n">
        <x:v>49</x:v>
      </x:c>
      <x:c r="K1413" t="str">
        <x:v>(4:25) 34-K.Mitchell right end to MIN 40 for 9 yards (22-H.Smith). FUMBLES (22-H.Smith), ball out of bounds at MIN 40.</x:v>
      </x:c>
      <x:c r="L1413" t="str">
        <x:v>run</x:v>
      </x:c>
      <x:c r="M1413" t="n">
        <x:v>9</x:v>
      </x:c>
      <x:c r="N1413" t="n">
        <x:v>0</x:v>
      </x:c>
      <x:c r="O1413" t="n">
        <x:v>0</x:v>
      </x:c>
      <x:c r="P1413"/>
      <x:c r="Q1413"/>
      <x:c r="R1413"/>
      <x:c r="S1413"/>
      <x:c r="T1413" t="str">
        <x:v>right</x:v>
      </x:c>
      <x:c r="U1413" t="str">
        <x:v>end</x:v>
      </x:c>
      <x:c r="V1413" t="n">
        <x:v>0</x:v>
      </x:c>
      <x:c r="W1413" t="n">
        <x:v>0</x:v>
      </x:c>
      <x:c r="X1413" t="n">
        <x:v>0</x:v>
      </x:c>
      <x:c r="Y1413" t="n">
        <x:v>0</x:v>
      </x:c>
      <x:c r="Z1413" t="n">
        <x:v>0</x:v>
      </x:c>
      <x:c r="AA1413" t="n">
        <x:v>0</x:v>
      </x:c>
      <x:c r="AB1413"/>
      <x:c r="AC1413" t="n">
        <x:v>0</x:v>
      </x:c>
      <x:c r="AD1413" t="n">
        <x:v>0.5306490490329452</x:v>
      </x:c>
      <x:c r="AE1413" t="n">
        <x:v>1</x:v>
      </x:c>
      <x:c r="AF1413" t="n">
        <x:v>0.00801318883895874</x:v>
      </x:c>
      <x:c r="AG1413" t="n">
        <x:f>_xlfn.XLOOKUP($A1413,Games!$A$2:$A$18,Games!$B$2:$B$18,"Missing game",0)</x:f>
        <x:v>2025</x:v>
      </x:c>
      <x:c r="AH1413" t="str">
        <x:f>_xlfn.XLOOKUP($A1413,Games!$A$2:$A$18,Games!$C$2:$C$18,"Missing game",0)</x:f>
        <x:v>REG</x:v>
      </x:c>
      <x:c r="AI1413" t="n">
        <x:f>_xlfn.XLOOKUP($A1413,Games!$A$2:$A$18,Games!$D$2:$D$18,"Missing game",0)</x:f>
        <x:v>10</x:v>
      </x:c>
      <x:c r="AJ1413" s="1" t="n">
        <x:f>_xlfn.XLOOKUP($A1413,Games!$A$2:$A$18,Games!$E$2:$E$18,"Missing game",0)</x:f>
        <x:v>45970</x:v>
      </x:c>
      <x:c r="AK1413" t="str">
        <x:f>_xlfn.XLOOKUP($A1413,Games!$A$2:$A$18,Games!$F$2:$F$18,"Missing game",0)</x:f>
        <x:v>Sunday</x:v>
      </x:c>
      <x:c r="AL1413" t="str">
        <x:f>_xlfn.XLOOKUP($A1413,Games!$A$2:$A$18,Games!$G$2:$G$18,"Missing game",0)</x:f>
        <x:v>BAL</x:v>
      </x:c>
      <x:c r="AM1413" t="n">
        <x:f>_xlfn.XLOOKUP($A1413,Games!$A$2:$A$18,Games!$H$2:$H$18,"Missing game",0)</x:f>
        <x:v>27</x:v>
      </x:c>
      <x:c r="AN1413" t="str">
        <x:f>_xlfn.XLOOKUP($A1413,Games!$A$2:$A$18,Games!$I$2:$I$18,"Missing game",0)</x:f>
        <x:v>MIN</x:v>
      </x:c>
      <x:c r="AO1413" t="n">
        <x:f>_xlfn.XLOOKUP($A1413,Games!$A$2:$A$18,Games!$J$2:$J$18,"Missing game",0)</x:f>
        <x:v>19</x:v>
      </x:c>
      <x:c r="AP1413" t="n">
        <x:f>_xlfn.XLOOKUP($A1413,Games!$A$2:$A$18,Games!$K$2:$K$18,"Missing game",0)</x:f>
        <x:v>-8</x:v>
      </x:c>
      <x:c r="AQ1413" t="n">
        <x:f>_xlfn.XLOOKUP($A1413,Games!$A$2:$A$18,Games!$L$2:$L$18,"Missing game",0)</x:f>
        <x:v>46</x:v>
      </x:c>
      <x:c r="AR1413" t="n">
        <x:f>_xlfn.XLOOKUP($A1413,Games!$A$2:$A$18,Games!$M$2:$M$18,"Missing game",0)</x:f>
        <x:v>0</x:v>
      </x:c>
      <x:c r="AS1413" t="str">
        <x:f>_xlfn.XLOOKUP($A1413,Games!$A$2:$A$18,Games!$N$2:$N$18,"Missing game",0)</x:f>
        <x:v>dome</x:v>
      </x:c>
      <x:c r="AT1413" t="str">
        <x:f>_xlfn.XLOOKUP($A1413,Games!$A$2:$A$18,Games!$O$2:$O$18,"Missing game",0)</x:f>
        <x:v>sportturf</x:v>
      </x:c>
      <x:c r="AU1413" t="str">
        <x:f>_xlfn.XLOOKUP($A1413,Games!$A$2:$A$18,Games!$P$2:$P$18,"Missing game",0)</x:f>
      </x:c>
      <x:c r="AV1413" t="str">
        <x:f>_xlfn.XLOOKUP($A1413,Games!$A$2:$A$18,Games!$Q$2:$Q$18,"Missing game",0)</x:f>
      </x:c>
      <x:c r="AW1413" t="str">
        <x:f>_xlfn.XLOOKUP($A1413,Games!$A$2:$A$18,Games!$R$2:$R$18,"Missing game",0)</x:f>
        <x:v>U.S. Bank Stadium</x:v>
      </x:c>
    </x:row>
    <x:row r="1414">
      <x:c r="A1414" t="str">
        <x:v>2025_10_BAL_MIN</x:v>
      </x:c>
      <x:c r="B1414" t="n">
        <x:v>1596</x:v>
      </x:c>
      <x:c r="C1414" t="n">
        <x:v>2</x:v>
      </x:c>
      <x:c r="D1414" t="str">
        <x:v>03:47</x:v>
      </x:c>
      <x:c r="E1414" t="n">
        <x:v>2</x:v>
      </x:c>
      <x:c r="F1414" t="n">
        <x:v>1</x:v>
      </x:c>
      <x:c r="G1414" t="str">
        <x:v>BAL</x:v>
      </x:c>
      <x:c r="H1414" t="str">
        <x:v>MIN</x:v>
      </x:c>
      <x:c r="I1414" t="str">
        <x:v>MIN</x:v>
      </x:c>
      <x:c r="J1414" t="n">
        <x:v>40</x:v>
      </x:c>
      <x:c r="K1414" t="str">
        <x:v>(3:47) 34-K.Mitchell left guard to MIN 18 for 22 yards (22-H.Smith; 2-I.Rodgers).</x:v>
      </x:c>
      <x:c r="L1414" t="str">
        <x:v>run</x:v>
      </x:c>
      <x:c r="M1414" t="n">
        <x:v>22</x:v>
      </x:c>
      <x:c r="N1414" t="n">
        <x:v>0</x:v>
      </x:c>
      <x:c r="O1414" t="n">
        <x:v>0</x:v>
      </x:c>
      <x:c r="P1414"/>
      <x:c r="Q1414"/>
      <x:c r="R1414"/>
      <x:c r="S1414"/>
      <x:c r="T1414" t="str">
        <x:v>left</x:v>
      </x:c>
      <x:c r="U1414" t="str">
        <x:v>guard</x:v>
      </x:c>
      <x:c r="V1414" t="n">
        <x:v>0</x:v>
      </x:c>
      <x:c r="W1414" t="n">
        <x:v>1</x:v>
      </x:c>
      <x:c r="X1414" t="n">
        <x:v>0</x:v>
      </x:c>
      <x:c r="Y1414" t="n">
        <x:v>0</x:v>
      </x:c>
      <x:c r="Z1414" t="n">
        <x:v>0</x:v>
      </x:c>
      <x:c r="AA1414" t="n">
        <x:v>0</x:v>
      </x:c>
      <x:c r="AB1414"/>
      <x:c r="AC1414" t="n">
        <x:v>0</x:v>
      </x:c>
      <x:c r="AD1414" t="n">
        <x:v>1.2900944516295567</x:v>
      </x:c>
      <x:c r="AE1414" t="n">
        <x:v>1</x:v>
      </x:c>
      <x:c r="AF1414" t="n">
        <x:v>0.043110430240631104</x:v>
      </x:c>
      <x:c r="AG1414" t="n">
        <x:f>_xlfn.XLOOKUP($A1414,Games!$A$2:$A$18,Games!$B$2:$B$18,"Missing game",0)</x:f>
        <x:v>2025</x:v>
      </x:c>
      <x:c r="AH1414" t="str">
        <x:f>_xlfn.XLOOKUP($A1414,Games!$A$2:$A$18,Games!$C$2:$C$18,"Missing game",0)</x:f>
        <x:v>REG</x:v>
      </x:c>
      <x:c r="AI1414" t="n">
        <x:f>_xlfn.XLOOKUP($A1414,Games!$A$2:$A$18,Games!$D$2:$D$18,"Missing game",0)</x:f>
        <x:v>10</x:v>
      </x:c>
      <x:c r="AJ1414" s="1" t="n">
        <x:f>_xlfn.XLOOKUP($A1414,Games!$A$2:$A$18,Games!$E$2:$E$18,"Missing game",0)</x:f>
        <x:v>45970</x:v>
      </x:c>
      <x:c r="AK1414" t="str">
        <x:f>_xlfn.XLOOKUP($A1414,Games!$A$2:$A$18,Games!$F$2:$F$18,"Missing game",0)</x:f>
        <x:v>Sunday</x:v>
      </x:c>
      <x:c r="AL1414" t="str">
        <x:f>_xlfn.XLOOKUP($A1414,Games!$A$2:$A$18,Games!$G$2:$G$18,"Missing game",0)</x:f>
        <x:v>BAL</x:v>
      </x:c>
      <x:c r="AM1414" t="n">
        <x:f>_xlfn.XLOOKUP($A1414,Games!$A$2:$A$18,Games!$H$2:$H$18,"Missing game",0)</x:f>
        <x:v>27</x:v>
      </x:c>
      <x:c r="AN1414" t="str">
        <x:f>_xlfn.XLOOKUP($A1414,Games!$A$2:$A$18,Games!$I$2:$I$18,"Missing game",0)</x:f>
        <x:v>MIN</x:v>
      </x:c>
      <x:c r="AO1414" t="n">
        <x:f>_xlfn.XLOOKUP($A1414,Games!$A$2:$A$18,Games!$J$2:$J$18,"Missing game",0)</x:f>
        <x:v>19</x:v>
      </x:c>
      <x:c r="AP1414" t="n">
        <x:f>_xlfn.XLOOKUP($A1414,Games!$A$2:$A$18,Games!$K$2:$K$18,"Missing game",0)</x:f>
        <x:v>-8</x:v>
      </x:c>
      <x:c r="AQ1414" t="n">
        <x:f>_xlfn.XLOOKUP($A1414,Games!$A$2:$A$18,Games!$L$2:$L$18,"Missing game",0)</x:f>
        <x:v>46</x:v>
      </x:c>
      <x:c r="AR1414" t="n">
        <x:f>_xlfn.XLOOKUP($A1414,Games!$A$2:$A$18,Games!$M$2:$M$18,"Missing game",0)</x:f>
        <x:v>0</x:v>
      </x:c>
      <x:c r="AS1414" t="str">
        <x:f>_xlfn.XLOOKUP($A1414,Games!$A$2:$A$18,Games!$N$2:$N$18,"Missing game",0)</x:f>
        <x:v>dome</x:v>
      </x:c>
      <x:c r="AT1414" t="str">
        <x:f>_xlfn.XLOOKUP($A1414,Games!$A$2:$A$18,Games!$O$2:$O$18,"Missing game",0)</x:f>
        <x:v>sportturf</x:v>
      </x:c>
      <x:c r="AU1414" t="str">
        <x:f>_xlfn.XLOOKUP($A1414,Games!$A$2:$A$18,Games!$P$2:$P$18,"Missing game",0)</x:f>
      </x:c>
      <x:c r="AV1414" t="str">
        <x:f>_xlfn.XLOOKUP($A1414,Games!$A$2:$A$18,Games!$Q$2:$Q$18,"Missing game",0)</x:f>
      </x:c>
      <x:c r="AW1414" t="str">
        <x:f>_xlfn.XLOOKUP($A1414,Games!$A$2:$A$18,Games!$R$2:$R$18,"Missing game",0)</x:f>
        <x:v>U.S. Bank Stadium</x:v>
      </x:c>
    </x:row>
    <x:row r="1415">
      <x:c r="A1415" t="str">
        <x:v>2025_10_BAL_MIN</x:v>
      </x:c>
      <x:c r="B1415" t="n">
        <x:v>1618</x:v>
      </x:c>
      <x:c r="C1415" t="n">
        <x:v>2</x:v>
      </x:c>
      <x:c r="D1415" t="str">
        <x:v>03:04</x:v>
      </x:c>
      <x:c r="E1415" t="n">
        <x:v>1</x:v>
      </x:c>
      <x:c r="F1415" t="n">
        <x:v>10</x:v>
      </x:c>
      <x:c r="G1415" t="str">
        <x:v>BAL</x:v>
      </x:c>
      <x:c r="H1415" t="str">
        <x:v>MIN</x:v>
      </x:c>
      <x:c r="I1415" t="str">
        <x:v>MIN</x:v>
      </x:c>
      <x:c r="J1415" t="n">
        <x:v>18</x:v>
      </x:c>
      <x:c r="K1415" t="str">
        <x:v>(3:04) 34-K.Mitchell left end to MIN 20 for -2 yards (55-E.Wilson, 15-D.Turner).</x:v>
      </x:c>
      <x:c r="L1415" t="str">
        <x:v>run</x:v>
      </x:c>
      <x:c r="M1415" t="n">
        <x:v>-2</x:v>
      </x:c>
      <x:c r="N1415" t="n">
        <x:v>0</x:v>
      </x:c>
      <x:c r="O1415" t="n">
        <x:v>0</x:v>
      </x:c>
      <x:c r="P1415"/>
      <x:c r="Q1415"/>
      <x:c r="R1415"/>
      <x:c r="S1415"/>
      <x:c r="T1415" t="str">
        <x:v>left</x:v>
      </x:c>
      <x:c r="U1415" t="str">
        <x:v>end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0</x:v>
      </x:c>
      <x:c r="AA1415" t="n">
        <x:v>0</x:v>
      </x:c>
      <x:c r="AB1415"/>
      <x:c r="AC1415" t="n">
        <x:v>0</x:v>
      </x:c>
      <x:c r="AD1415" t="n">
        <x:v>-1.0732502837781794</x:v>
      </x:c>
      <x:c r="AE1415" t="n">
        <x:v>0</x:v>
      </x:c>
      <x:c r="AF1415" t="n">
        <x:v>-0.026908278465270996</x:v>
      </x:c>
      <x:c r="AG1415" t="n">
        <x:f>_xlfn.XLOOKUP($A1415,Games!$A$2:$A$18,Games!$B$2:$B$18,"Missing game",0)</x:f>
        <x:v>2025</x:v>
      </x:c>
      <x:c r="AH1415" t="str">
        <x:f>_xlfn.XLOOKUP($A1415,Games!$A$2:$A$18,Games!$C$2:$C$18,"Missing game",0)</x:f>
        <x:v>REG</x:v>
      </x:c>
      <x:c r="AI1415" t="n">
        <x:f>_xlfn.XLOOKUP($A1415,Games!$A$2:$A$18,Games!$D$2:$D$18,"Missing game",0)</x:f>
        <x:v>10</x:v>
      </x:c>
      <x:c r="AJ1415" s="1" t="n">
        <x:f>_xlfn.XLOOKUP($A1415,Games!$A$2:$A$18,Games!$E$2:$E$18,"Missing game",0)</x:f>
        <x:v>45970</x:v>
      </x:c>
      <x:c r="AK1415" t="str">
        <x:f>_xlfn.XLOOKUP($A1415,Games!$A$2:$A$18,Games!$F$2:$F$18,"Missing game",0)</x:f>
        <x:v>Sunday</x:v>
      </x:c>
      <x:c r="AL1415" t="str">
        <x:f>_xlfn.XLOOKUP($A1415,Games!$A$2:$A$18,Games!$G$2:$G$18,"Missing game",0)</x:f>
        <x:v>BAL</x:v>
      </x:c>
      <x:c r="AM1415" t="n">
        <x:f>_xlfn.XLOOKUP($A1415,Games!$A$2:$A$18,Games!$H$2:$H$18,"Missing game",0)</x:f>
        <x:v>27</x:v>
      </x:c>
      <x:c r="AN1415" t="str">
        <x:f>_xlfn.XLOOKUP($A1415,Games!$A$2:$A$18,Games!$I$2:$I$18,"Missing game",0)</x:f>
        <x:v>MIN</x:v>
      </x:c>
      <x:c r="AO1415" t="n">
        <x:f>_xlfn.XLOOKUP($A1415,Games!$A$2:$A$18,Games!$J$2:$J$18,"Missing game",0)</x:f>
        <x:v>19</x:v>
      </x:c>
      <x:c r="AP1415" t="n">
        <x:f>_xlfn.XLOOKUP($A1415,Games!$A$2:$A$18,Games!$K$2:$K$18,"Missing game",0)</x:f>
        <x:v>-8</x:v>
      </x:c>
      <x:c r="AQ1415" t="n">
        <x:f>_xlfn.XLOOKUP($A1415,Games!$A$2:$A$18,Games!$L$2:$L$18,"Missing game",0)</x:f>
        <x:v>46</x:v>
      </x:c>
      <x:c r="AR1415" t="n">
        <x:f>_xlfn.XLOOKUP($A1415,Games!$A$2:$A$18,Games!$M$2:$M$18,"Missing game",0)</x:f>
        <x:v>0</x:v>
      </x:c>
      <x:c r="AS1415" t="str">
        <x:f>_xlfn.XLOOKUP($A1415,Games!$A$2:$A$18,Games!$N$2:$N$18,"Missing game",0)</x:f>
        <x:v>dome</x:v>
      </x:c>
      <x:c r="AT1415" t="str">
        <x:f>_xlfn.XLOOKUP($A1415,Games!$A$2:$A$18,Games!$O$2:$O$18,"Missing game",0)</x:f>
        <x:v>sportturf</x:v>
      </x:c>
      <x:c r="AU1415" t="str">
        <x:f>_xlfn.XLOOKUP($A1415,Games!$A$2:$A$18,Games!$P$2:$P$18,"Missing game",0)</x:f>
      </x:c>
      <x:c r="AV1415" t="str">
        <x:f>_xlfn.XLOOKUP($A1415,Games!$A$2:$A$18,Games!$Q$2:$Q$18,"Missing game",0)</x:f>
      </x:c>
      <x:c r="AW1415" t="str">
        <x:f>_xlfn.XLOOKUP($A1415,Games!$A$2:$A$18,Games!$R$2:$R$18,"Missing game",0)</x:f>
        <x:v>U.S. Bank Stadium</x:v>
      </x:c>
    </x:row>
    <x:row r="1416">
      <x:c r="A1416" t="str">
        <x:v>2025_10_BAL_MIN</x:v>
      </x:c>
      <x:c r="B1416" t="n">
        <x:v>1640</x:v>
      </x:c>
      <x:c r="C1416" t="n">
        <x:v>2</x:v>
      </x:c>
      <x:c r="D1416" t="str">
        <x:v>02:24</x:v>
      </x:c>
      <x:c r="E1416" t="n">
        <x:v>2</x:v>
      </x:c>
      <x:c r="F1416" t="n">
        <x:v>12</x:v>
      </x:c>
      <x:c r="G1416" t="str">
        <x:v>BAL</x:v>
      </x:c>
      <x:c r="H1416" t="str">
        <x:v>MIN</x:v>
      </x:c>
      <x:c r="I1416" t="str">
        <x:v>MIN</x:v>
      </x:c>
      <x:c r="J1416" t="n">
        <x:v>20</x:v>
      </x:c>
      <x:c r="K1416" t="str">
        <x:v>(2:24) (Shotgun) 8-L.Jackson pass short left to 4-Z.Flowers to MIN 10 for 10 yards (2-I.Rodgers).</x:v>
      </x:c>
      <x:c r="L1416" t="str">
        <x:v>pass</x:v>
      </x:c>
      <x:c r="M1416" t="n">
        <x:v>10</x:v>
      </x:c>
      <x:c r="N1416" t="n">
        <x:v>1</x:v>
      </x:c>
      <x:c r="O1416" t="n">
        <x:v>0</x:v>
      </x:c>
      <x:c r="P1416" t="str">
        <x:v>short</x:v>
      </x:c>
      <x:c r="Q1416" t="str">
        <x:v>left</x:v>
      </x:c>
      <x:c r="R1416" t="n">
        <x:v>-3</x:v>
      </x:c>
      <x:c r="S1416" t="n">
        <x:v>13</x:v>
      </x:c>
      <x:c r="T1416"/>
      <x:c r="U1416"/>
      <x:c r="V1416" t="n">
        <x:v>1</x:v>
      </x:c>
      <x:c r="W1416" t="n">
        <x:v>0</x:v>
      </x:c>
      <x:c r="X1416" t="n">
        <x:v>0</x:v>
      </x:c>
      <x:c r="Y1416" t="n">
        <x:v>0</x:v>
      </x:c>
      <x:c r="Z1416" t="n">
        <x:v>0</x:v>
      </x:c>
      <x:c r="AA1416" t="n">
        <x:v>0</x:v>
      </x:c>
      <x:c r="AB1416"/>
      <x:c r="AC1416" t="n">
        <x:v>0</x:v>
      </x:c>
      <x:c r="AD1416" t="n">
        <x:v>0.9473443032475188</x:v>
      </x:c>
      <x:c r="AE1416" t="n">
        <x:v>1</x:v>
      </x:c>
      <x:c r="AF1416" t="n">
        <x:v>0.043723493814468384</x:v>
      </x:c>
      <x:c r="AG1416" t="n">
        <x:f>_xlfn.XLOOKUP($A1416,Games!$A$2:$A$18,Games!$B$2:$B$18,"Missing game",0)</x:f>
        <x:v>2025</x:v>
      </x:c>
      <x:c r="AH1416" t="str">
        <x:f>_xlfn.XLOOKUP($A1416,Games!$A$2:$A$18,Games!$C$2:$C$18,"Missing game",0)</x:f>
        <x:v>REG</x:v>
      </x:c>
      <x:c r="AI1416" t="n">
        <x:f>_xlfn.XLOOKUP($A1416,Games!$A$2:$A$18,Games!$D$2:$D$18,"Missing game",0)</x:f>
        <x:v>10</x:v>
      </x:c>
      <x:c r="AJ1416" s="1" t="n">
        <x:f>_xlfn.XLOOKUP($A1416,Games!$A$2:$A$18,Games!$E$2:$E$18,"Missing game",0)</x:f>
        <x:v>45970</x:v>
      </x:c>
      <x:c r="AK1416" t="str">
        <x:f>_xlfn.XLOOKUP($A1416,Games!$A$2:$A$18,Games!$F$2:$F$18,"Missing game",0)</x:f>
        <x:v>Sunday</x:v>
      </x:c>
      <x:c r="AL1416" t="str">
        <x:f>_xlfn.XLOOKUP($A1416,Games!$A$2:$A$18,Games!$G$2:$G$18,"Missing game",0)</x:f>
        <x:v>BAL</x:v>
      </x:c>
      <x:c r="AM1416" t="n">
        <x:f>_xlfn.XLOOKUP($A1416,Games!$A$2:$A$18,Games!$H$2:$H$18,"Missing game",0)</x:f>
        <x:v>27</x:v>
      </x:c>
      <x:c r="AN1416" t="str">
        <x:f>_xlfn.XLOOKUP($A1416,Games!$A$2:$A$18,Games!$I$2:$I$18,"Missing game",0)</x:f>
        <x:v>MIN</x:v>
      </x:c>
      <x:c r="AO1416" t="n">
        <x:f>_xlfn.XLOOKUP($A1416,Games!$A$2:$A$18,Games!$J$2:$J$18,"Missing game",0)</x:f>
        <x:v>19</x:v>
      </x:c>
      <x:c r="AP1416" t="n">
        <x:f>_xlfn.XLOOKUP($A1416,Games!$A$2:$A$18,Games!$K$2:$K$18,"Missing game",0)</x:f>
        <x:v>-8</x:v>
      </x:c>
      <x:c r="AQ1416" t="n">
        <x:f>_xlfn.XLOOKUP($A1416,Games!$A$2:$A$18,Games!$L$2:$L$18,"Missing game",0)</x:f>
        <x:v>46</x:v>
      </x:c>
      <x:c r="AR1416" t="n">
        <x:f>_xlfn.XLOOKUP($A1416,Games!$A$2:$A$18,Games!$M$2:$M$18,"Missing game",0)</x:f>
        <x:v>0</x:v>
      </x:c>
      <x:c r="AS1416" t="str">
        <x:f>_xlfn.XLOOKUP($A1416,Games!$A$2:$A$18,Games!$N$2:$N$18,"Missing game",0)</x:f>
        <x:v>dome</x:v>
      </x:c>
      <x:c r="AT1416" t="str">
        <x:f>_xlfn.XLOOKUP($A1416,Games!$A$2:$A$18,Games!$O$2:$O$18,"Missing game",0)</x:f>
        <x:v>sportturf</x:v>
      </x:c>
      <x:c r="AU1416" t="str">
        <x:f>_xlfn.XLOOKUP($A1416,Games!$A$2:$A$18,Games!$P$2:$P$18,"Missing game",0)</x:f>
      </x:c>
      <x:c r="AV1416" t="str">
        <x:f>_xlfn.XLOOKUP($A1416,Games!$A$2:$A$18,Games!$Q$2:$Q$18,"Missing game",0)</x:f>
      </x:c>
      <x:c r="AW1416" t="str">
        <x:f>_xlfn.XLOOKUP($A1416,Games!$A$2:$A$18,Games!$R$2:$R$18,"Missing game",0)</x:f>
        <x:v>U.S. Bank Stadium</x:v>
      </x:c>
    </x:row>
    <x:row r="1417">
      <x:c r="A1417" t="str">
        <x:v>2025_10_BAL_MIN</x:v>
      </x:c>
      <x:c r="B1417" t="n">
        <x:v>1665</x:v>
      </x:c>
      <x:c r="C1417" t="n">
        <x:v>2</x:v>
      </x:c>
      <x:c r="D1417" t="str">
        <x:v>02:00</x:v>
      </x:c>
      <x:c r="E1417" t="n">
        <x:v>3</x:v>
      </x:c>
      <x:c r="F1417" t="n">
        <x:v>2</x:v>
      </x:c>
      <x:c r="G1417" t="str">
        <x:v>BAL</x:v>
      </x:c>
      <x:c r="H1417" t="str">
        <x:v>MIN</x:v>
      </x:c>
      <x:c r="I1417" t="str">
        <x:v>MIN</x:v>
      </x:c>
      <x:c r="J1417" t="n">
        <x:v>10</x:v>
      </x:c>
      <x:c r="K1417" t="str">
        <x:v>(2:00) 22-D.Henry left tackle to MIN 10 for no gain (55-E.Wilson; 51-B.Cashman).</x:v>
      </x:c>
      <x:c r="L1417" t="str">
        <x:v>run</x:v>
      </x:c>
      <x:c r="M1417" t="n">
        <x:v>0</x:v>
      </x:c>
      <x:c r="N1417" t="n">
        <x:v>0</x:v>
      </x:c>
      <x:c r="O1417" t="n">
        <x:v>0</x:v>
      </x:c>
      <x:c r="P1417"/>
      <x:c r="Q1417"/>
      <x:c r="R1417"/>
      <x:c r="S1417"/>
      <x:c r="T1417" t="str">
        <x:v>left</x:v>
      </x:c>
      <x:c r="U1417" t="str">
        <x:v>tackle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0</x:v>
      </x:c>
      <x:c r="AB1417"/>
      <x:c r="AC1417" t="n">
        <x:v>0</x:v>
      </x:c>
      <x:c r="AD1417" t="n">
        <x:v>-1.7064731711669747</x:v>
      </x:c>
      <x:c r="AE1417" t="n">
        <x:v>0</x:v>
      </x:c>
      <x:c r="AF1417" t="n">
        <x:v>-0.04881146550178528</x:v>
      </x:c>
      <x:c r="AG1417" t="n">
        <x:f>_xlfn.XLOOKUP($A1417,Games!$A$2:$A$18,Games!$B$2:$B$18,"Missing game",0)</x:f>
        <x:v>2025</x:v>
      </x:c>
      <x:c r="AH1417" t="str">
        <x:f>_xlfn.XLOOKUP($A1417,Games!$A$2:$A$18,Games!$C$2:$C$18,"Missing game",0)</x:f>
        <x:v>REG</x:v>
      </x:c>
      <x:c r="AI1417" t="n">
        <x:f>_xlfn.XLOOKUP($A1417,Games!$A$2:$A$18,Games!$D$2:$D$18,"Missing game",0)</x:f>
        <x:v>10</x:v>
      </x:c>
      <x:c r="AJ1417" s="1" t="n">
        <x:f>_xlfn.XLOOKUP($A1417,Games!$A$2:$A$18,Games!$E$2:$E$18,"Missing game",0)</x:f>
        <x:v>45970</x:v>
      </x:c>
      <x:c r="AK1417" t="str">
        <x:f>_xlfn.XLOOKUP($A1417,Games!$A$2:$A$18,Games!$F$2:$F$18,"Missing game",0)</x:f>
        <x:v>Sunday</x:v>
      </x:c>
      <x:c r="AL1417" t="str">
        <x:f>_xlfn.XLOOKUP($A1417,Games!$A$2:$A$18,Games!$G$2:$G$18,"Missing game",0)</x:f>
        <x:v>BAL</x:v>
      </x:c>
      <x:c r="AM1417" t="n">
        <x:f>_xlfn.XLOOKUP($A1417,Games!$A$2:$A$18,Games!$H$2:$H$18,"Missing game",0)</x:f>
        <x:v>27</x:v>
      </x:c>
      <x:c r="AN1417" t="str">
        <x:f>_xlfn.XLOOKUP($A1417,Games!$A$2:$A$18,Games!$I$2:$I$18,"Missing game",0)</x:f>
        <x:v>MIN</x:v>
      </x:c>
      <x:c r="AO1417" t="n">
        <x:f>_xlfn.XLOOKUP($A1417,Games!$A$2:$A$18,Games!$J$2:$J$18,"Missing game",0)</x:f>
        <x:v>19</x:v>
      </x:c>
      <x:c r="AP1417" t="n">
        <x:f>_xlfn.XLOOKUP($A1417,Games!$A$2:$A$18,Games!$K$2:$K$18,"Missing game",0)</x:f>
        <x:v>-8</x:v>
      </x:c>
      <x:c r="AQ1417" t="n">
        <x:f>_xlfn.XLOOKUP($A1417,Games!$A$2:$A$18,Games!$L$2:$L$18,"Missing game",0)</x:f>
        <x:v>46</x:v>
      </x:c>
      <x:c r="AR1417" t="n">
        <x:f>_xlfn.XLOOKUP($A1417,Games!$A$2:$A$18,Games!$M$2:$M$18,"Missing game",0)</x:f>
        <x:v>0</x:v>
      </x:c>
      <x:c r="AS1417" t="str">
        <x:f>_xlfn.XLOOKUP($A1417,Games!$A$2:$A$18,Games!$N$2:$N$18,"Missing game",0)</x:f>
        <x:v>dome</x:v>
      </x:c>
      <x:c r="AT1417" t="str">
        <x:f>_xlfn.XLOOKUP($A1417,Games!$A$2:$A$18,Games!$O$2:$O$18,"Missing game",0)</x:f>
        <x:v>sportturf</x:v>
      </x:c>
      <x:c r="AU1417" t="str">
        <x:f>_xlfn.XLOOKUP($A1417,Games!$A$2:$A$18,Games!$P$2:$P$18,"Missing game",0)</x:f>
      </x:c>
      <x:c r="AV1417" t="str">
        <x:f>_xlfn.XLOOKUP($A1417,Games!$A$2:$A$18,Games!$Q$2:$Q$18,"Missing game",0)</x:f>
      </x:c>
      <x:c r="AW1417" t="str">
        <x:f>_xlfn.XLOOKUP($A1417,Games!$A$2:$A$18,Games!$R$2:$R$18,"Missing game",0)</x:f>
        <x:v>U.S. Bank Stadium</x:v>
      </x:c>
    </x:row>
    <x:row r="1418">
      <x:c r="A1418" t="str">
        <x:v>2025_10_BAL_MIN</x:v>
      </x:c>
      <x:c r="B1418" t="n">
        <x:v>1694</x:v>
      </x:c>
      <x:c r="C1418" t="n">
        <x:v>2</x:v>
      </x:c>
      <x:c r="D1418" t="str">
        <x:v>01:14</x:v>
      </x:c>
      <x:c r="E1418" t="n">
        <x:v>4</x:v>
      </x:c>
      <x:c r="F1418" t="n">
        <x:v>2</x:v>
      </x:c>
      <x:c r="G1418" t="str">
        <x:v>BAL</x:v>
      </x:c>
      <x:c r="H1418" t="str">
        <x:v>MIN</x:v>
      </x:c>
      <x:c r="I1418" t="str">
        <x:v>MIN</x:v>
      </x:c>
      <x:c r="J1418" t="n">
        <x:v>10</x:v>
      </x:c>
      <x:c r="K1418" t="str">
        <x:v>(1:14) 33-T.Loop 28 yard field goal is GOOD, Center-46-N.Moore, Holder-11-J.Stout.</x:v>
      </x:c>
      <x:c r="L1418" t="str">
        <x:v>field_goal</x:v>
      </x:c>
      <x:c r="M1418" t="n">
        <x:v>0</x:v>
      </x:c>
      <x:c r="N1418" t="n">
        <x:v>0</x:v>
      </x:c>
      <x:c r="O1418" t="n">
        <x:v>0</x:v>
      </x:c>
      <x:c r="P1418"/>
      <x:c r="Q1418"/>
      <x:c r="R1418"/>
      <x:c r="S1418"/>
      <x:c r="T1418"/>
      <x:c r="U1418"/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0</x:v>
      </x:c>
      <x:c r="AA1418" t="n">
        <x:v>0</x:v>
      </x:c>
      <x:c r="AB1418"/>
      <x:c r="AC1418" t="n">
        <x:v>0</x:v>
      </x:c>
      <x:c r="AD1418" t="n">
        <x:v>0.07765350087163192</x:v>
      </x:c>
      <x:c r="AE1418" t="n">
        <x:v>1</x:v>
      </x:c>
      <x:c r="AF1418" t="n">
        <x:v>-0.03334534168243408</x:v>
      </x:c>
      <x:c r="AG1418" t="n">
        <x:f>_xlfn.XLOOKUP($A1418,Games!$A$2:$A$18,Games!$B$2:$B$18,"Missing game",0)</x:f>
        <x:v>2025</x:v>
      </x:c>
      <x:c r="AH1418" t="str">
        <x:f>_xlfn.XLOOKUP($A1418,Games!$A$2:$A$18,Games!$C$2:$C$18,"Missing game",0)</x:f>
        <x:v>REG</x:v>
      </x:c>
      <x:c r="AI1418" t="n">
        <x:f>_xlfn.XLOOKUP($A1418,Games!$A$2:$A$18,Games!$D$2:$D$18,"Missing game",0)</x:f>
        <x:v>10</x:v>
      </x:c>
      <x:c r="AJ1418" s="1" t="n">
        <x:f>_xlfn.XLOOKUP($A1418,Games!$A$2:$A$18,Games!$E$2:$E$18,"Missing game",0)</x:f>
        <x:v>45970</x:v>
      </x:c>
      <x:c r="AK1418" t="str">
        <x:f>_xlfn.XLOOKUP($A1418,Games!$A$2:$A$18,Games!$F$2:$F$18,"Missing game",0)</x:f>
        <x:v>Sunday</x:v>
      </x:c>
      <x:c r="AL1418" t="str">
        <x:f>_xlfn.XLOOKUP($A1418,Games!$A$2:$A$18,Games!$G$2:$G$18,"Missing game",0)</x:f>
        <x:v>BAL</x:v>
      </x:c>
      <x:c r="AM1418" t="n">
        <x:f>_xlfn.XLOOKUP($A1418,Games!$A$2:$A$18,Games!$H$2:$H$18,"Missing game",0)</x:f>
        <x:v>27</x:v>
      </x:c>
      <x:c r="AN1418" t="str">
        <x:f>_xlfn.XLOOKUP($A1418,Games!$A$2:$A$18,Games!$I$2:$I$18,"Missing game",0)</x:f>
        <x:v>MIN</x:v>
      </x:c>
      <x:c r="AO1418" t="n">
        <x:f>_xlfn.XLOOKUP($A1418,Games!$A$2:$A$18,Games!$J$2:$J$18,"Missing game",0)</x:f>
        <x:v>19</x:v>
      </x:c>
      <x:c r="AP1418" t="n">
        <x:f>_xlfn.XLOOKUP($A1418,Games!$A$2:$A$18,Games!$K$2:$K$18,"Missing game",0)</x:f>
        <x:v>-8</x:v>
      </x:c>
      <x:c r="AQ1418" t="n">
        <x:f>_xlfn.XLOOKUP($A1418,Games!$A$2:$A$18,Games!$L$2:$L$18,"Missing game",0)</x:f>
        <x:v>46</x:v>
      </x:c>
      <x:c r="AR1418" t="n">
        <x:f>_xlfn.XLOOKUP($A1418,Games!$A$2:$A$18,Games!$M$2:$M$18,"Missing game",0)</x:f>
        <x:v>0</x:v>
      </x:c>
      <x:c r="AS1418" t="str">
        <x:f>_xlfn.XLOOKUP($A1418,Games!$A$2:$A$18,Games!$N$2:$N$18,"Missing game",0)</x:f>
        <x:v>dome</x:v>
      </x:c>
      <x:c r="AT1418" t="str">
        <x:f>_xlfn.XLOOKUP($A1418,Games!$A$2:$A$18,Games!$O$2:$O$18,"Missing game",0)</x:f>
        <x:v>sportturf</x:v>
      </x:c>
      <x:c r="AU1418" t="str">
        <x:f>_xlfn.XLOOKUP($A1418,Games!$A$2:$A$18,Games!$P$2:$P$18,"Missing game",0)</x:f>
      </x:c>
      <x:c r="AV1418" t="str">
        <x:f>_xlfn.XLOOKUP($A1418,Games!$A$2:$A$18,Games!$Q$2:$Q$18,"Missing game",0)</x:f>
      </x:c>
      <x:c r="AW1418" t="str">
        <x:f>_xlfn.XLOOKUP($A1418,Games!$A$2:$A$18,Games!$R$2:$R$18,"Missing game",0)</x:f>
        <x:v>U.S. Bank Stadium</x:v>
      </x:c>
    </x:row>
    <x:row r="1419">
      <x:c r="A1419" t="str">
        <x:v>2025_10_BAL_MIN</x:v>
      </x:c>
      <x:c r="B1419" t="n">
        <x:v>1706</x:v>
      </x:c>
      <x:c r="C1419" t="n">
        <x:v>2</x:v>
      </x:c>
      <x:c r="D1419" t="str">
        <x:v>01:14</x:v>
      </x:c>
      <x:c r="E1419"/>
      <x:c r="F1419" t="n">
        <x:v>0</x:v>
      </x:c>
      <x:c r="G1419"/>
      <x:c r="H1419"/>
      <x:c r="I1419"/>
      <x:c r="J1419"/>
      <x:c r="K1419" t="str">
        <x:v>Timeout #1 by BAL at 01:14.</x:v>
      </x:c>
      <x:c r="L1419" t="str">
        <x:v>no_play</x:v>
      </x:c>
      <x:c r="M1419" t="n">
        <x:v>0</x:v>
      </x:c>
      <x:c r="N1419" t="n">
        <x:v>0</x:v>
      </x:c>
      <x:c r="O1419" t="n">
        <x:v>0</x:v>
      </x:c>
      <x:c r="P1419"/>
      <x:c r="Q1419"/>
      <x:c r="R1419"/>
      <x:c r="S1419"/>
      <x:c r="T1419"/>
      <x:c r="U1419"/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  <x:c r="AB1419"/>
      <x:c r="AC1419" t="n">
        <x:v>0</x:v>
      </x:c>
      <x:c r="AD1419" t="n">
        <x:v>0</x:v>
      </x:c>
      <x:c r="AE1419" t="n">
        <x:v>0</x:v>
      </x:c>
      <x:c r="AF1419" t="n">
        <x:v>0</x:v>
      </x:c>
      <x:c r="AG1419" t="n">
        <x:f>_xlfn.XLOOKUP($A1419,Games!$A$2:$A$18,Games!$B$2:$B$18,"Missing game",0)</x:f>
        <x:v>2025</x:v>
      </x:c>
      <x:c r="AH1419" t="str">
        <x:f>_xlfn.XLOOKUP($A1419,Games!$A$2:$A$18,Games!$C$2:$C$18,"Missing game",0)</x:f>
        <x:v>REG</x:v>
      </x:c>
      <x:c r="AI1419" t="n">
        <x:f>_xlfn.XLOOKUP($A1419,Games!$A$2:$A$18,Games!$D$2:$D$18,"Missing game",0)</x:f>
        <x:v>10</x:v>
      </x:c>
      <x:c r="AJ1419" s="1" t="n">
        <x:f>_xlfn.XLOOKUP($A1419,Games!$A$2:$A$18,Games!$E$2:$E$18,"Missing game",0)</x:f>
        <x:v>45970</x:v>
      </x:c>
      <x:c r="AK1419" t="str">
        <x:f>_xlfn.XLOOKUP($A1419,Games!$A$2:$A$18,Games!$F$2:$F$18,"Missing game",0)</x:f>
        <x:v>Sunday</x:v>
      </x:c>
      <x:c r="AL1419" t="str">
        <x:f>_xlfn.XLOOKUP($A1419,Games!$A$2:$A$18,Games!$G$2:$G$18,"Missing game",0)</x:f>
        <x:v>BAL</x:v>
      </x:c>
      <x:c r="AM1419" t="n">
        <x:f>_xlfn.XLOOKUP($A1419,Games!$A$2:$A$18,Games!$H$2:$H$18,"Missing game",0)</x:f>
        <x:v>27</x:v>
      </x:c>
      <x:c r="AN1419" t="str">
        <x:f>_xlfn.XLOOKUP($A1419,Games!$A$2:$A$18,Games!$I$2:$I$18,"Missing game",0)</x:f>
        <x:v>MIN</x:v>
      </x:c>
      <x:c r="AO1419" t="n">
        <x:f>_xlfn.XLOOKUP($A1419,Games!$A$2:$A$18,Games!$J$2:$J$18,"Missing game",0)</x:f>
        <x:v>19</x:v>
      </x:c>
      <x:c r="AP1419" t="n">
        <x:f>_xlfn.XLOOKUP($A1419,Games!$A$2:$A$18,Games!$K$2:$K$18,"Missing game",0)</x:f>
        <x:v>-8</x:v>
      </x:c>
      <x:c r="AQ1419" t="n">
        <x:f>_xlfn.XLOOKUP($A1419,Games!$A$2:$A$18,Games!$L$2:$L$18,"Missing game",0)</x:f>
        <x:v>46</x:v>
      </x:c>
      <x:c r="AR1419" t="n">
        <x:f>_xlfn.XLOOKUP($A1419,Games!$A$2:$A$18,Games!$M$2:$M$18,"Missing game",0)</x:f>
        <x:v>0</x:v>
      </x:c>
      <x:c r="AS1419" t="str">
        <x:f>_xlfn.XLOOKUP($A1419,Games!$A$2:$A$18,Games!$N$2:$N$18,"Missing game",0)</x:f>
        <x:v>dome</x:v>
      </x:c>
      <x:c r="AT1419" t="str">
        <x:f>_xlfn.XLOOKUP($A1419,Games!$A$2:$A$18,Games!$O$2:$O$18,"Missing game",0)</x:f>
        <x:v>sportturf</x:v>
      </x:c>
      <x:c r="AU1419" t="str">
        <x:f>_xlfn.XLOOKUP($A1419,Games!$A$2:$A$18,Games!$P$2:$P$18,"Missing game",0)</x:f>
      </x:c>
      <x:c r="AV1419" t="str">
        <x:f>_xlfn.XLOOKUP($A1419,Games!$A$2:$A$18,Games!$Q$2:$Q$18,"Missing game",0)</x:f>
      </x:c>
      <x:c r="AW1419" t="str">
        <x:f>_xlfn.XLOOKUP($A1419,Games!$A$2:$A$18,Games!$R$2:$R$18,"Missing game",0)</x:f>
        <x:v>U.S. Bank Stadium</x:v>
      </x:c>
    </x:row>
    <x:row r="1420">
      <x:c r="A1420" t="str">
        <x:v>2025_10_BAL_MIN</x:v>
      </x:c>
      <x:c r="B1420" t="n">
        <x:v>1721</x:v>
      </x:c>
      <x:c r="C1420" t="n">
        <x:v>2</x:v>
      </x:c>
      <x:c r="D1420" t="str">
        <x:v>01:11</x:v>
      </x:c>
      <x:c r="E1420"/>
      <x:c r="F1420" t="n">
        <x:v>0</x:v>
      </x:c>
      <x:c r="G1420" t="str">
        <x:v>MIN</x:v>
      </x:c>
      <x:c r="H1420" t="str">
        <x:v>BAL</x:v>
      </x:c>
      <x:c r="I1420" t="str">
        <x:v>BAL</x:v>
      </x:c>
      <x:c r="J1420" t="n">
        <x:v>35</x:v>
      </x:c>
      <x:c r="K1420" t="str">
        <x:v>33-T.Loop kicks 65 yards from BAL 35 to end zone, Touchback to the MIN 35.</x:v>
      </x:c>
      <x:c r="L1420" t="str">
        <x:v>kickoff</x:v>
      </x:c>
      <x:c r="M1420" t="n">
        <x:v>0</x:v>
      </x:c>
      <x:c r="N1420" t="n">
        <x:v>0</x:v>
      </x:c>
      <x:c r="O1420" t="n">
        <x:v>0</x:v>
      </x:c>
      <x:c r="P1420"/>
      <x:c r="Q1420"/>
      <x:c r="R1420"/>
      <x:c r="S1420"/>
      <x:c r="T1420"/>
      <x:c r="U1420"/>
      <x:c r="V1420" t="n">
        <x:v>0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0</x:v>
      </x:c>
      <x:c r="AB1420"/>
      <x:c r="AC1420" t="n">
        <x:v>0</x:v>
      </x:c>
      <x:c r="AD1420" t="n">
        <x:v>0.2832126667490229</x:v>
      </x:c>
      <x:c r="AE1420" t="n">
        <x:v>1</x:v>
      </x:c>
      <x:c r="AF1420" t="n">
        <x:v>0.017771422863006592</x:v>
      </x:c>
      <x:c r="AG1420" t="n">
        <x:f>_xlfn.XLOOKUP($A1420,Games!$A$2:$A$18,Games!$B$2:$B$18,"Missing game",0)</x:f>
        <x:v>2025</x:v>
      </x:c>
      <x:c r="AH1420" t="str">
        <x:f>_xlfn.XLOOKUP($A1420,Games!$A$2:$A$18,Games!$C$2:$C$18,"Missing game",0)</x:f>
        <x:v>REG</x:v>
      </x:c>
      <x:c r="AI1420" t="n">
        <x:f>_xlfn.XLOOKUP($A1420,Games!$A$2:$A$18,Games!$D$2:$D$18,"Missing game",0)</x:f>
        <x:v>10</x:v>
      </x:c>
      <x:c r="AJ1420" s="1" t="n">
        <x:f>_xlfn.XLOOKUP($A1420,Games!$A$2:$A$18,Games!$E$2:$E$18,"Missing game",0)</x:f>
        <x:v>45970</x:v>
      </x:c>
      <x:c r="AK1420" t="str">
        <x:f>_xlfn.XLOOKUP($A1420,Games!$A$2:$A$18,Games!$F$2:$F$18,"Missing game",0)</x:f>
        <x:v>Sunday</x:v>
      </x:c>
      <x:c r="AL1420" t="str">
        <x:f>_xlfn.XLOOKUP($A1420,Games!$A$2:$A$18,Games!$G$2:$G$18,"Missing game",0)</x:f>
        <x:v>BAL</x:v>
      </x:c>
      <x:c r="AM1420" t="n">
        <x:f>_xlfn.XLOOKUP($A1420,Games!$A$2:$A$18,Games!$H$2:$H$18,"Missing game",0)</x:f>
        <x:v>27</x:v>
      </x:c>
      <x:c r="AN1420" t="str">
        <x:f>_xlfn.XLOOKUP($A1420,Games!$A$2:$A$18,Games!$I$2:$I$18,"Missing game",0)</x:f>
        <x:v>MIN</x:v>
      </x:c>
      <x:c r="AO1420" t="n">
        <x:f>_xlfn.XLOOKUP($A1420,Games!$A$2:$A$18,Games!$J$2:$J$18,"Missing game",0)</x:f>
        <x:v>19</x:v>
      </x:c>
      <x:c r="AP1420" t="n">
        <x:f>_xlfn.XLOOKUP($A1420,Games!$A$2:$A$18,Games!$K$2:$K$18,"Missing game",0)</x:f>
        <x:v>-8</x:v>
      </x:c>
      <x:c r="AQ1420" t="n">
        <x:f>_xlfn.XLOOKUP($A1420,Games!$A$2:$A$18,Games!$L$2:$L$18,"Missing game",0)</x:f>
        <x:v>46</x:v>
      </x:c>
      <x:c r="AR1420" t="n">
        <x:f>_xlfn.XLOOKUP($A1420,Games!$A$2:$A$18,Games!$M$2:$M$18,"Missing game",0)</x:f>
        <x:v>0</x:v>
      </x:c>
      <x:c r="AS1420" t="str">
        <x:f>_xlfn.XLOOKUP($A1420,Games!$A$2:$A$18,Games!$N$2:$N$18,"Missing game",0)</x:f>
        <x:v>dome</x:v>
      </x:c>
      <x:c r="AT1420" t="str">
        <x:f>_xlfn.XLOOKUP($A1420,Games!$A$2:$A$18,Games!$O$2:$O$18,"Missing game",0)</x:f>
        <x:v>sportturf</x:v>
      </x:c>
      <x:c r="AU1420" t="str">
        <x:f>_xlfn.XLOOKUP($A1420,Games!$A$2:$A$18,Games!$P$2:$P$18,"Missing game",0)</x:f>
      </x:c>
      <x:c r="AV1420" t="str">
        <x:f>_xlfn.XLOOKUP($A1420,Games!$A$2:$A$18,Games!$Q$2:$Q$18,"Missing game",0)</x:f>
      </x:c>
      <x:c r="AW1420" t="str">
        <x:f>_xlfn.XLOOKUP($A1420,Games!$A$2:$A$18,Games!$R$2:$R$18,"Missing game",0)</x:f>
        <x:v>U.S. Bank Stadium</x:v>
      </x:c>
    </x:row>
    <x:row r="1421">
      <x:c r="A1421" t="str">
        <x:v>2025_10_BAL_MIN</x:v>
      </x:c>
      <x:c r="B1421" t="n">
        <x:v>1745</x:v>
      </x:c>
      <x:c r="C1421" t="n">
        <x:v>2</x:v>
      </x:c>
      <x:c r="D1421" t="str">
        <x:v>01:11</x:v>
      </x:c>
      <x:c r="E1421" t="n">
        <x:v>1</x:v>
      </x:c>
      <x:c r="F1421" t="n">
        <x:v>10</x:v>
      </x:c>
      <x:c r="G1421" t="str">
        <x:v>MIN</x:v>
      </x:c>
      <x:c r="H1421" t="str">
        <x:v>BAL</x:v>
      </x:c>
      <x:c r="I1421" t="str">
        <x:v>MIN</x:v>
      </x:c>
      <x:c r="J1421" t="n">
        <x:v>65</x:v>
      </x:c>
      <x:c r="K1421" t="str">
        <x:v>(1:11) (Shotgun) 9-J.McCarthy pass short right to 3-J.Addison to MIN 40 for 5 yards (2-N.Wiggins).</x:v>
      </x:c>
      <x:c r="L1421" t="str">
        <x:v>pass</x:v>
      </x:c>
      <x:c r="M1421" t="n">
        <x:v>5</x:v>
      </x:c>
      <x:c r="N1421" t="n">
        <x:v>1</x:v>
      </x:c>
      <x:c r="O1421" t="n">
        <x:v>0</x:v>
      </x:c>
      <x:c r="P1421" t="str">
        <x:v>short</x:v>
      </x:c>
      <x:c r="Q1421" t="str">
        <x:v>right</x:v>
      </x:c>
      <x:c r="R1421" t="n">
        <x:v>5</x:v>
      </x:c>
      <x:c r="S1421" t="n">
        <x:v>0</x:v>
      </x:c>
      <x:c r="T1421"/>
      <x:c r="U1421"/>
      <x:c r="V1421" t="n">
        <x:v>1</x:v>
      </x:c>
      <x:c r="W1421" t="n">
        <x:v>0</x:v>
      </x:c>
      <x:c r="X1421" t="n">
        <x:v>0</x:v>
      </x:c>
      <x:c r="Y1421" t="n">
        <x:v>0</x:v>
      </x:c>
      <x:c r="Z1421" t="n">
        <x:v>0</x:v>
      </x:c>
      <x:c r="AA1421" t="n">
        <x:v>0</x:v>
      </x:c>
      <x:c r="AB1421"/>
      <x:c r="AC1421" t="n">
        <x:v>0</x:v>
      </x:c>
      <x:c r="AD1421" t="n">
        <x:v>0.0648307369556278</x:v>
      </x:c>
      <x:c r="AE1421" t="n">
        <x:v>1</x:v>
      </x:c>
      <x:c r="AF1421" t="n">
        <x:v>0.006451964378356934</x:v>
      </x:c>
      <x:c r="AG1421" t="n">
        <x:f>_xlfn.XLOOKUP($A1421,Games!$A$2:$A$18,Games!$B$2:$B$18,"Missing game",0)</x:f>
        <x:v>2025</x:v>
      </x:c>
      <x:c r="AH1421" t="str">
        <x:f>_xlfn.XLOOKUP($A1421,Games!$A$2:$A$18,Games!$C$2:$C$18,"Missing game",0)</x:f>
        <x:v>REG</x:v>
      </x:c>
      <x:c r="AI1421" t="n">
        <x:f>_xlfn.XLOOKUP($A1421,Games!$A$2:$A$18,Games!$D$2:$D$18,"Missing game",0)</x:f>
        <x:v>10</x:v>
      </x:c>
      <x:c r="AJ1421" s="1" t="n">
        <x:f>_xlfn.XLOOKUP($A1421,Games!$A$2:$A$18,Games!$E$2:$E$18,"Missing game",0)</x:f>
        <x:v>45970</x:v>
      </x:c>
      <x:c r="AK1421" t="str">
        <x:f>_xlfn.XLOOKUP($A1421,Games!$A$2:$A$18,Games!$F$2:$F$18,"Missing game",0)</x:f>
        <x:v>Sunday</x:v>
      </x:c>
      <x:c r="AL1421" t="str">
        <x:f>_xlfn.XLOOKUP($A1421,Games!$A$2:$A$18,Games!$G$2:$G$18,"Missing game",0)</x:f>
        <x:v>BAL</x:v>
      </x:c>
      <x:c r="AM1421" t="n">
        <x:f>_xlfn.XLOOKUP($A1421,Games!$A$2:$A$18,Games!$H$2:$H$18,"Missing game",0)</x:f>
        <x:v>27</x:v>
      </x:c>
      <x:c r="AN1421" t="str">
        <x:f>_xlfn.XLOOKUP($A1421,Games!$A$2:$A$18,Games!$I$2:$I$18,"Missing game",0)</x:f>
        <x:v>MIN</x:v>
      </x:c>
      <x:c r="AO1421" t="n">
        <x:f>_xlfn.XLOOKUP($A1421,Games!$A$2:$A$18,Games!$J$2:$J$18,"Missing game",0)</x:f>
        <x:v>19</x:v>
      </x:c>
      <x:c r="AP1421" t="n">
        <x:f>_xlfn.XLOOKUP($A1421,Games!$A$2:$A$18,Games!$K$2:$K$18,"Missing game",0)</x:f>
        <x:v>-8</x:v>
      </x:c>
      <x:c r="AQ1421" t="n">
        <x:f>_xlfn.XLOOKUP($A1421,Games!$A$2:$A$18,Games!$L$2:$L$18,"Missing game",0)</x:f>
        <x:v>46</x:v>
      </x:c>
      <x:c r="AR1421" t="n">
        <x:f>_xlfn.XLOOKUP($A1421,Games!$A$2:$A$18,Games!$M$2:$M$18,"Missing game",0)</x:f>
        <x:v>0</x:v>
      </x:c>
      <x:c r="AS1421" t="str">
        <x:f>_xlfn.XLOOKUP($A1421,Games!$A$2:$A$18,Games!$N$2:$N$18,"Missing game",0)</x:f>
        <x:v>dome</x:v>
      </x:c>
      <x:c r="AT1421" t="str">
        <x:f>_xlfn.XLOOKUP($A1421,Games!$A$2:$A$18,Games!$O$2:$O$18,"Missing game",0)</x:f>
        <x:v>sportturf</x:v>
      </x:c>
      <x:c r="AU1421" t="str">
        <x:f>_xlfn.XLOOKUP($A1421,Games!$A$2:$A$18,Games!$P$2:$P$18,"Missing game",0)</x:f>
      </x:c>
      <x:c r="AV1421" t="str">
        <x:f>_xlfn.XLOOKUP($A1421,Games!$A$2:$A$18,Games!$Q$2:$Q$18,"Missing game",0)</x:f>
      </x:c>
      <x:c r="AW1421" t="str">
        <x:f>_xlfn.XLOOKUP($A1421,Games!$A$2:$A$18,Games!$R$2:$R$18,"Missing game",0)</x:f>
        <x:v>U.S. Bank Stadium</x:v>
      </x:c>
    </x:row>
    <x:row r="1422">
      <x:c r="A1422" t="str">
        <x:v>2025_10_BAL_MIN</x:v>
      </x:c>
      <x:c r="B1422" t="n">
        <x:v>1770</x:v>
      </x:c>
      <x:c r="C1422" t="n">
        <x:v>2</x:v>
      </x:c>
      <x:c r="D1422" t="str">
        <x:v>00:50</x:v>
      </x:c>
      <x:c r="E1422" t="n">
        <x:v>2</x:v>
      </x:c>
      <x:c r="F1422" t="n">
        <x:v>5</x:v>
      </x:c>
      <x:c r="G1422" t="str">
        <x:v>MIN</x:v>
      </x:c>
      <x:c r="H1422" t="str">
        <x:v>BAL</x:v>
      </x:c>
      <x:c r="I1422" t="str">
        <x:v>MIN</x:v>
      </x:c>
      <x:c r="J1422" t="n">
        <x:v>60</x:v>
      </x:c>
      <x:c r="K1422" t="str">
        <x:v>(:50) (No Huddle, Shotgun) 9-J.McCarthy pass incomplete deep left to 3-J.Addison.</x:v>
      </x:c>
      <x:c r="L1422" t="str">
        <x:v>pass</x:v>
      </x:c>
      <x:c r="M1422" t="n">
        <x:v>0</x:v>
      </x:c>
      <x:c r="N1422" t="n">
        <x:v>1</x:v>
      </x:c>
      <x:c r="O1422" t="n">
        <x:v>1</x:v>
      </x:c>
      <x:c r="P1422" t="str">
        <x:v>deep</x:v>
      </x:c>
      <x:c r="Q1422" t="str">
        <x:v>left</x:v>
      </x:c>
      <x:c r="R1422" t="n">
        <x:v>21</x:v>
      </x:c>
      <x:c r="S1422"/>
      <x:c r="T1422"/>
      <x:c r="U1422"/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0</x:v>
      </x:c>
      <x:c r="AB1422"/>
      <x:c r="AC1422" t="n">
        <x:v>0</x:v>
      </x:c>
      <x:c r="AD1422" t="n">
        <x:v>-0.4955182691337541</x:v>
      </x:c>
      <x:c r="AE1422" t="n">
        <x:v>0</x:v>
      </x:c>
      <x:c r="AF1422" t="n">
        <x:v>-0.018362045288085938</x:v>
      </x:c>
      <x:c r="AG1422" t="n">
        <x:f>_xlfn.XLOOKUP($A1422,Games!$A$2:$A$18,Games!$B$2:$B$18,"Missing game",0)</x:f>
        <x:v>2025</x:v>
      </x:c>
      <x:c r="AH1422" t="str">
        <x:f>_xlfn.XLOOKUP($A1422,Games!$A$2:$A$18,Games!$C$2:$C$18,"Missing game",0)</x:f>
        <x:v>REG</x:v>
      </x:c>
      <x:c r="AI1422" t="n">
        <x:f>_xlfn.XLOOKUP($A1422,Games!$A$2:$A$18,Games!$D$2:$D$18,"Missing game",0)</x:f>
        <x:v>10</x:v>
      </x:c>
      <x:c r="AJ1422" s="1" t="n">
        <x:f>_xlfn.XLOOKUP($A1422,Games!$A$2:$A$18,Games!$E$2:$E$18,"Missing game",0)</x:f>
        <x:v>45970</x:v>
      </x:c>
      <x:c r="AK1422" t="str">
        <x:f>_xlfn.XLOOKUP($A1422,Games!$A$2:$A$18,Games!$F$2:$F$18,"Missing game",0)</x:f>
        <x:v>Sunday</x:v>
      </x:c>
      <x:c r="AL1422" t="str">
        <x:f>_xlfn.XLOOKUP($A1422,Games!$A$2:$A$18,Games!$G$2:$G$18,"Missing game",0)</x:f>
        <x:v>BAL</x:v>
      </x:c>
      <x:c r="AM1422" t="n">
        <x:f>_xlfn.XLOOKUP($A1422,Games!$A$2:$A$18,Games!$H$2:$H$18,"Missing game",0)</x:f>
        <x:v>27</x:v>
      </x:c>
      <x:c r="AN1422" t="str">
        <x:f>_xlfn.XLOOKUP($A1422,Games!$A$2:$A$18,Games!$I$2:$I$18,"Missing game",0)</x:f>
        <x:v>MIN</x:v>
      </x:c>
      <x:c r="AO1422" t="n">
        <x:f>_xlfn.XLOOKUP($A1422,Games!$A$2:$A$18,Games!$J$2:$J$18,"Missing game",0)</x:f>
        <x:v>19</x:v>
      </x:c>
      <x:c r="AP1422" t="n">
        <x:f>_xlfn.XLOOKUP($A1422,Games!$A$2:$A$18,Games!$K$2:$K$18,"Missing game",0)</x:f>
        <x:v>-8</x:v>
      </x:c>
      <x:c r="AQ1422" t="n">
        <x:f>_xlfn.XLOOKUP($A1422,Games!$A$2:$A$18,Games!$L$2:$L$18,"Missing game",0)</x:f>
        <x:v>46</x:v>
      </x:c>
      <x:c r="AR1422" t="n">
        <x:f>_xlfn.XLOOKUP($A1422,Games!$A$2:$A$18,Games!$M$2:$M$18,"Missing game",0)</x:f>
        <x:v>0</x:v>
      </x:c>
      <x:c r="AS1422" t="str">
        <x:f>_xlfn.XLOOKUP($A1422,Games!$A$2:$A$18,Games!$N$2:$N$18,"Missing game",0)</x:f>
        <x:v>dome</x:v>
      </x:c>
      <x:c r="AT1422" t="str">
        <x:f>_xlfn.XLOOKUP($A1422,Games!$A$2:$A$18,Games!$O$2:$O$18,"Missing game",0)</x:f>
        <x:v>sportturf</x:v>
      </x:c>
      <x:c r="AU1422" t="str">
        <x:f>_xlfn.XLOOKUP($A1422,Games!$A$2:$A$18,Games!$P$2:$P$18,"Missing game",0)</x:f>
      </x:c>
      <x:c r="AV1422" t="str">
        <x:f>_xlfn.XLOOKUP($A1422,Games!$A$2:$A$18,Games!$Q$2:$Q$18,"Missing game",0)</x:f>
      </x:c>
      <x:c r="AW1422" t="str">
        <x:f>_xlfn.XLOOKUP($A1422,Games!$A$2:$A$18,Games!$R$2:$R$18,"Missing game",0)</x:f>
        <x:v>U.S. Bank Stadium</x:v>
      </x:c>
    </x:row>
    <x:row r="1423">
      <x:c r="A1423" t="str">
        <x:v>2025_10_BAL_MIN</x:v>
      </x:c>
      <x:c r="B1423" t="n">
        <x:v>1793</x:v>
      </x:c>
      <x:c r="C1423" t="n">
        <x:v>2</x:v>
      </x:c>
      <x:c r="D1423" t="str">
        <x:v>00:46</x:v>
      </x:c>
      <x:c r="E1423" t="n">
        <x:v>3</x:v>
      </x:c>
      <x:c r="F1423" t="n">
        <x:v>5</x:v>
      </x:c>
      <x:c r="G1423" t="str">
        <x:v>MIN</x:v>
      </x:c>
      <x:c r="H1423" t="str">
        <x:v>BAL</x:v>
      </x:c>
      <x:c r="I1423" t="str">
        <x:v>MIN</x:v>
      </x:c>
      <x:c r="J1423" t="n">
        <x:v>60</x:v>
      </x:c>
      <x:c r="K1423" t="str">
        <x:v>(:46) (Shotgun) 9-J.McCarthy pass incomplete short right [58-T.Bryan].</x:v>
      </x:c>
      <x:c r="L1423" t="str">
        <x:v>pass</x:v>
      </x:c>
      <x:c r="M1423" t="n">
        <x:v>0</x:v>
      </x:c>
      <x:c r="N1423" t="n">
        <x:v>1</x:v>
      </x:c>
      <x:c r="O1423" t="n">
        <x:v>0</x:v>
      </x:c>
      <x:c r="P1423" t="str">
        <x:v>short</x:v>
      </x:c>
      <x:c r="Q1423" t="str">
        <x:v>right</x:v>
      </x:c>
      <x:c r="R1423" t="n">
        <x:v>3</x:v>
      </x:c>
      <x:c r="S1423"/>
      <x:c r="T1423"/>
      <x:c r="U1423"/>
      <x:c r="V1423" t="n">
        <x:v>0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0</x:v>
      </x:c>
      <x:c r="AB1423"/>
      <x:c r="AC1423" t="n">
        <x:v>0</x:v>
      </x:c>
      <x:c r="AD1423" t="n">
        <x:v>-0.9581896077143028</x:v>
      </x:c>
      <x:c r="AE1423" t="n">
        <x:v>0</x:v>
      </x:c>
      <x:c r="AF1423" t="n">
        <x:v>-0.024091660976409912</x:v>
      </x:c>
      <x:c r="AG1423" t="n">
        <x:f>_xlfn.XLOOKUP($A1423,Games!$A$2:$A$18,Games!$B$2:$B$18,"Missing game",0)</x:f>
        <x:v>2025</x:v>
      </x:c>
      <x:c r="AH1423" t="str">
        <x:f>_xlfn.XLOOKUP($A1423,Games!$A$2:$A$18,Games!$C$2:$C$18,"Missing game",0)</x:f>
        <x:v>REG</x:v>
      </x:c>
      <x:c r="AI1423" t="n">
        <x:f>_xlfn.XLOOKUP($A1423,Games!$A$2:$A$18,Games!$D$2:$D$18,"Missing game",0)</x:f>
        <x:v>10</x:v>
      </x:c>
      <x:c r="AJ1423" s="1" t="n">
        <x:f>_xlfn.XLOOKUP($A1423,Games!$A$2:$A$18,Games!$E$2:$E$18,"Missing game",0)</x:f>
        <x:v>45970</x:v>
      </x:c>
      <x:c r="AK1423" t="str">
        <x:f>_xlfn.XLOOKUP($A1423,Games!$A$2:$A$18,Games!$F$2:$F$18,"Missing game",0)</x:f>
        <x:v>Sunday</x:v>
      </x:c>
      <x:c r="AL1423" t="str">
        <x:f>_xlfn.XLOOKUP($A1423,Games!$A$2:$A$18,Games!$G$2:$G$18,"Missing game",0)</x:f>
        <x:v>BAL</x:v>
      </x:c>
      <x:c r="AM1423" t="n">
        <x:f>_xlfn.XLOOKUP($A1423,Games!$A$2:$A$18,Games!$H$2:$H$18,"Missing game",0)</x:f>
        <x:v>27</x:v>
      </x:c>
      <x:c r="AN1423" t="str">
        <x:f>_xlfn.XLOOKUP($A1423,Games!$A$2:$A$18,Games!$I$2:$I$18,"Missing game",0)</x:f>
        <x:v>MIN</x:v>
      </x:c>
      <x:c r="AO1423" t="n">
        <x:f>_xlfn.XLOOKUP($A1423,Games!$A$2:$A$18,Games!$J$2:$J$18,"Missing game",0)</x:f>
        <x:v>19</x:v>
      </x:c>
      <x:c r="AP1423" t="n">
        <x:f>_xlfn.XLOOKUP($A1423,Games!$A$2:$A$18,Games!$K$2:$K$18,"Missing game",0)</x:f>
        <x:v>-8</x:v>
      </x:c>
      <x:c r="AQ1423" t="n">
        <x:f>_xlfn.XLOOKUP($A1423,Games!$A$2:$A$18,Games!$L$2:$L$18,"Missing game",0)</x:f>
        <x:v>46</x:v>
      </x:c>
      <x:c r="AR1423" t="n">
        <x:f>_xlfn.XLOOKUP($A1423,Games!$A$2:$A$18,Games!$M$2:$M$18,"Missing game",0)</x:f>
        <x:v>0</x:v>
      </x:c>
      <x:c r="AS1423" t="str">
        <x:f>_xlfn.XLOOKUP($A1423,Games!$A$2:$A$18,Games!$N$2:$N$18,"Missing game",0)</x:f>
        <x:v>dome</x:v>
      </x:c>
      <x:c r="AT1423" t="str">
        <x:f>_xlfn.XLOOKUP($A1423,Games!$A$2:$A$18,Games!$O$2:$O$18,"Missing game",0)</x:f>
        <x:v>sportturf</x:v>
      </x:c>
      <x:c r="AU1423" t="str">
        <x:f>_xlfn.XLOOKUP($A1423,Games!$A$2:$A$18,Games!$P$2:$P$18,"Missing game",0)</x:f>
      </x:c>
      <x:c r="AV1423" t="str">
        <x:f>_xlfn.XLOOKUP($A1423,Games!$A$2:$A$18,Games!$Q$2:$Q$18,"Missing game",0)</x:f>
      </x:c>
      <x:c r="AW1423" t="str">
        <x:f>_xlfn.XLOOKUP($A1423,Games!$A$2:$A$18,Games!$R$2:$R$18,"Missing game",0)</x:f>
        <x:v>U.S. Bank Stadium</x:v>
      </x:c>
    </x:row>
    <x:row r="1424">
      <x:c r="A1424" t="str">
        <x:v>2025_10_BAL_MIN</x:v>
      </x:c>
      <x:c r="B1424" t="n">
        <x:v>1816</x:v>
      </x:c>
      <x:c r="C1424" t="n">
        <x:v>2</x:v>
      </x:c>
      <x:c r="D1424" t="str">
        <x:v>00:40</x:v>
      </x:c>
      <x:c r="E1424" t="n">
        <x:v>4</x:v>
      </x:c>
      <x:c r="F1424" t="n">
        <x:v>5</x:v>
      </x:c>
      <x:c r="G1424" t="str">
        <x:v>MIN</x:v>
      </x:c>
      <x:c r="H1424" t="str">
        <x:v>BAL</x:v>
      </x:c>
      <x:c r="I1424" t="str">
        <x:v>MIN</x:v>
      </x:c>
      <x:c r="J1424" t="n">
        <x:v>60</x:v>
      </x:c>
      <x:c r="K1424" t="str">
        <x:v>(:40) 17-R.Wright punts 54 yards to BAL 6, Center-42-A.DePaola. 83-L.Wester to BAL 25 for 19 yards (96-T.Batty).</x:v>
      </x:c>
      <x:c r="L1424" t="str">
        <x:v>punt</x:v>
      </x:c>
      <x:c r="M1424" t="n">
        <x:v>0</x:v>
      </x:c>
      <x:c r="N1424" t="n">
        <x:v>0</x:v>
      </x:c>
      <x:c r="O1424" t="n">
        <x:v>0</x:v>
      </x:c>
      <x:c r="P1424"/>
      <x:c r="Q1424"/>
      <x:c r="R1424"/>
      <x:c r="S1424"/>
      <x:c r="T1424"/>
      <x:c r="U1424"/>
      <x:c r="V1424" t="n">
        <x:v>0</x:v>
      </x:c>
      <x:c r="W1424" t="n">
        <x:v>0</x:v>
      </x:c>
      <x:c r="X1424" t="n">
        <x:v>0</x:v>
      </x:c>
      <x:c r="Y1424" t="n">
        <x:v>0</x:v>
      </x:c>
      <x:c r="Z1424" t="n">
        <x:v>0</x:v>
      </x:c>
      <x:c r="AA1424" t="n">
        <x:v>0</x:v>
      </x:c>
      <x:c r="AB1424"/>
      <x:c r="AC1424" t="n">
        <x:v>0</x:v>
      </x:c>
      <x:c r="AD1424" t="n">
        <x:v>-0.4889279651688412</x:v>
      </x:c>
      <x:c r="AE1424" t="n">
        <x:v>0</x:v>
      </x:c>
      <x:c r="AF1424" t="n">
        <x:v>-0.024121850728988647</x:v>
      </x:c>
      <x:c r="AG1424" t="n">
        <x:f>_xlfn.XLOOKUP($A1424,Games!$A$2:$A$18,Games!$B$2:$B$18,"Missing game",0)</x:f>
        <x:v>2025</x:v>
      </x:c>
      <x:c r="AH1424" t="str">
        <x:f>_xlfn.XLOOKUP($A1424,Games!$A$2:$A$18,Games!$C$2:$C$18,"Missing game",0)</x:f>
        <x:v>REG</x:v>
      </x:c>
      <x:c r="AI1424" t="n">
        <x:f>_xlfn.XLOOKUP($A1424,Games!$A$2:$A$18,Games!$D$2:$D$18,"Missing game",0)</x:f>
        <x:v>10</x:v>
      </x:c>
      <x:c r="AJ1424" s="1" t="n">
        <x:f>_xlfn.XLOOKUP($A1424,Games!$A$2:$A$18,Games!$E$2:$E$18,"Missing game",0)</x:f>
        <x:v>45970</x:v>
      </x:c>
      <x:c r="AK1424" t="str">
        <x:f>_xlfn.XLOOKUP($A1424,Games!$A$2:$A$18,Games!$F$2:$F$18,"Missing game",0)</x:f>
        <x:v>Sunday</x:v>
      </x:c>
      <x:c r="AL1424" t="str">
        <x:f>_xlfn.XLOOKUP($A1424,Games!$A$2:$A$18,Games!$G$2:$G$18,"Missing game",0)</x:f>
        <x:v>BAL</x:v>
      </x:c>
      <x:c r="AM1424" t="n">
        <x:f>_xlfn.XLOOKUP($A1424,Games!$A$2:$A$18,Games!$H$2:$H$18,"Missing game",0)</x:f>
        <x:v>27</x:v>
      </x:c>
      <x:c r="AN1424" t="str">
        <x:f>_xlfn.XLOOKUP($A1424,Games!$A$2:$A$18,Games!$I$2:$I$18,"Missing game",0)</x:f>
        <x:v>MIN</x:v>
      </x:c>
      <x:c r="AO1424" t="n">
        <x:f>_xlfn.XLOOKUP($A1424,Games!$A$2:$A$18,Games!$J$2:$J$18,"Missing game",0)</x:f>
        <x:v>19</x:v>
      </x:c>
      <x:c r="AP1424" t="n">
        <x:f>_xlfn.XLOOKUP($A1424,Games!$A$2:$A$18,Games!$K$2:$K$18,"Missing game",0)</x:f>
        <x:v>-8</x:v>
      </x:c>
      <x:c r="AQ1424" t="n">
        <x:f>_xlfn.XLOOKUP($A1424,Games!$A$2:$A$18,Games!$L$2:$L$18,"Missing game",0)</x:f>
        <x:v>46</x:v>
      </x:c>
      <x:c r="AR1424" t="n">
        <x:f>_xlfn.XLOOKUP($A1424,Games!$A$2:$A$18,Games!$M$2:$M$18,"Missing game",0)</x:f>
        <x:v>0</x:v>
      </x:c>
      <x:c r="AS1424" t="str">
        <x:f>_xlfn.XLOOKUP($A1424,Games!$A$2:$A$18,Games!$N$2:$N$18,"Missing game",0)</x:f>
        <x:v>dome</x:v>
      </x:c>
      <x:c r="AT1424" t="str">
        <x:f>_xlfn.XLOOKUP($A1424,Games!$A$2:$A$18,Games!$O$2:$O$18,"Missing game",0)</x:f>
        <x:v>sportturf</x:v>
      </x:c>
      <x:c r="AU1424" t="str">
        <x:f>_xlfn.XLOOKUP($A1424,Games!$A$2:$A$18,Games!$P$2:$P$18,"Missing game",0)</x:f>
      </x:c>
      <x:c r="AV1424" t="str">
        <x:f>_xlfn.XLOOKUP($A1424,Games!$A$2:$A$18,Games!$Q$2:$Q$18,"Missing game",0)</x:f>
      </x:c>
      <x:c r="AW1424" t="str">
        <x:f>_xlfn.XLOOKUP($A1424,Games!$A$2:$A$18,Games!$R$2:$R$18,"Missing game",0)</x:f>
        <x:v>U.S. Bank Stadium</x:v>
      </x:c>
    </x:row>
    <x:row r="1425">
      <x:c r="A1425" t="str">
        <x:v>2025_10_BAL_MIN</x:v>
      </x:c>
      <x:c r="B1425" t="n">
        <x:v>1842</x:v>
      </x:c>
      <x:c r="C1425" t="n">
        <x:v>2</x:v>
      </x:c>
      <x:c r="D1425" t="str">
        <x:v>00:30</x:v>
      </x:c>
      <x:c r="E1425" t="n">
        <x:v>1</x:v>
      </x:c>
      <x:c r="F1425" t="n">
        <x:v>10</x:v>
      </x:c>
      <x:c r="G1425" t="str">
        <x:v>BAL</x:v>
      </x:c>
      <x:c r="H1425" t="str">
        <x:v>MIN</x:v>
      </x:c>
      <x:c r="I1425" t="str">
        <x:v>BAL</x:v>
      </x:c>
      <x:c r="J1425" t="n">
        <x:v>75</x:v>
      </x:c>
      <x:c r="K1425" t="str">
        <x:v>(:30) (Shotgun) 8-L.Jackson pass short middle to 43-J.Hill to BAL 37 for 12 yards (51-B.Cashman; 43-A.Van Ginkel).</x:v>
      </x:c>
      <x:c r="L1425" t="str">
        <x:v>pass</x:v>
      </x:c>
      <x:c r="M1425" t="n">
        <x:v>12</x:v>
      </x:c>
      <x:c r="N1425" t="n">
        <x:v>1</x:v>
      </x:c>
      <x:c r="O1425" t="n">
        <x:v>0</x:v>
      </x:c>
      <x:c r="P1425" t="str">
        <x:v>short</x:v>
      </x:c>
      <x:c r="Q1425" t="str">
        <x:v>middle</x:v>
      </x:c>
      <x:c r="R1425" t="n">
        <x:v>4</x:v>
      </x:c>
      <x:c r="S1425" t="n">
        <x:v>8</x:v>
      </x:c>
      <x:c r="T1425"/>
      <x:c r="U1425"/>
      <x:c r="V1425" t="n">
        <x:v>1</x:v>
      </x:c>
      <x:c r="W1425" t="n">
        <x:v>1</x:v>
      </x:c>
      <x:c r="X1425" t="n">
        <x:v>0</x:v>
      </x:c>
      <x:c r="Y1425" t="n">
        <x:v>0</x:v>
      </x:c>
      <x:c r="Z1425" t="n">
        <x:v>0</x:v>
      </x:c>
      <x:c r="AA1425" t="n">
        <x:v>0</x:v>
      </x:c>
      <x:c r="AB1425"/>
      <x:c r="AC1425" t="n">
        <x:v>0</x:v>
      </x:c>
      <x:c r="AD1425" t="n">
        <x:v>0.2958291845279746</x:v>
      </x:c>
      <x:c r="AE1425" t="n">
        <x:v>1</x:v>
      </x:c>
      <x:c r="AF1425" t="n">
        <x:v>-0.002736002206802368</x:v>
      </x:c>
      <x:c r="AG1425" t="n">
        <x:f>_xlfn.XLOOKUP($A1425,Games!$A$2:$A$18,Games!$B$2:$B$18,"Missing game",0)</x:f>
        <x:v>2025</x:v>
      </x:c>
      <x:c r="AH1425" t="str">
        <x:f>_xlfn.XLOOKUP($A1425,Games!$A$2:$A$18,Games!$C$2:$C$18,"Missing game",0)</x:f>
        <x:v>REG</x:v>
      </x:c>
      <x:c r="AI1425" t="n">
        <x:f>_xlfn.XLOOKUP($A1425,Games!$A$2:$A$18,Games!$D$2:$D$18,"Missing game",0)</x:f>
        <x:v>10</x:v>
      </x:c>
      <x:c r="AJ1425" s="1" t="n">
        <x:f>_xlfn.XLOOKUP($A1425,Games!$A$2:$A$18,Games!$E$2:$E$18,"Missing game",0)</x:f>
        <x:v>45970</x:v>
      </x:c>
      <x:c r="AK1425" t="str">
        <x:f>_xlfn.XLOOKUP($A1425,Games!$A$2:$A$18,Games!$F$2:$F$18,"Missing game",0)</x:f>
        <x:v>Sunday</x:v>
      </x:c>
      <x:c r="AL1425" t="str">
        <x:f>_xlfn.XLOOKUP($A1425,Games!$A$2:$A$18,Games!$G$2:$G$18,"Missing game",0)</x:f>
        <x:v>BAL</x:v>
      </x:c>
      <x:c r="AM1425" t="n">
        <x:f>_xlfn.XLOOKUP($A1425,Games!$A$2:$A$18,Games!$H$2:$H$18,"Missing game",0)</x:f>
        <x:v>27</x:v>
      </x:c>
      <x:c r="AN1425" t="str">
        <x:f>_xlfn.XLOOKUP($A1425,Games!$A$2:$A$18,Games!$I$2:$I$18,"Missing game",0)</x:f>
        <x:v>MIN</x:v>
      </x:c>
      <x:c r="AO1425" t="n">
        <x:f>_xlfn.XLOOKUP($A1425,Games!$A$2:$A$18,Games!$J$2:$J$18,"Missing game",0)</x:f>
        <x:v>19</x:v>
      </x:c>
      <x:c r="AP1425" t="n">
        <x:f>_xlfn.XLOOKUP($A1425,Games!$A$2:$A$18,Games!$K$2:$K$18,"Missing game",0)</x:f>
        <x:v>-8</x:v>
      </x:c>
      <x:c r="AQ1425" t="n">
        <x:f>_xlfn.XLOOKUP($A1425,Games!$A$2:$A$18,Games!$L$2:$L$18,"Missing game",0)</x:f>
        <x:v>46</x:v>
      </x:c>
      <x:c r="AR1425" t="n">
        <x:f>_xlfn.XLOOKUP($A1425,Games!$A$2:$A$18,Games!$M$2:$M$18,"Missing game",0)</x:f>
        <x:v>0</x:v>
      </x:c>
      <x:c r="AS1425" t="str">
        <x:f>_xlfn.XLOOKUP($A1425,Games!$A$2:$A$18,Games!$N$2:$N$18,"Missing game",0)</x:f>
        <x:v>dome</x:v>
      </x:c>
      <x:c r="AT1425" t="str">
        <x:f>_xlfn.XLOOKUP($A1425,Games!$A$2:$A$18,Games!$O$2:$O$18,"Missing game",0)</x:f>
        <x:v>sportturf</x:v>
      </x:c>
      <x:c r="AU1425" t="str">
        <x:f>_xlfn.XLOOKUP($A1425,Games!$A$2:$A$18,Games!$P$2:$P$18,"Missing game",0)</x:f>
      </x:c>
      <x:c r="AV1425" t="str">
        <x:f>_xlfn.XLOOKUP($A1425,Games!$A$2:$A$18,Games!$Q$2:$Q$18,"Missing game",0)</x:f>
      </x:c>
      <x:c r="AW1425" t="str">
        <x:f>_xlfn.XLOOKUP($A1425,Games!$A$2:$A$18,Games!$R$2:$R$18,"Missing game",0)</x:f>
        <x:v>U.S. Bank Stadium</x:v>
      </x:c>
    </x:row>
    <x:row r="1426">
      <x:c r="A1426" t="str">
        <x:v>2025_10_BAL_MIN</x:v>
      </x:c>
      <x:c r="B1426" t="n">
        <x:v>1872</x:v>
      </x:c>
      <x:c r="C1426" t="n">
        <x:v>2</x:v>
      </x:c>
      <x:c r="D1426" t="str">
        <x:v>00:24</x:v>
      </x:c>
      <x:c r="E1426" t="n">
        <x:v>1</x:v>
      </x:c>
      <x:c r="F1426" t="n">
        <x:v>10</x:v>
      </x:c>
      <x:c r="G1426" t="str">
        <x:v>BAL</x:v>
      </x:c>
      <x:c r="H1426" t="str">
        <x:v>MIN</x:v>
      </x:c>
      <x:c r="I1426" t="str">
        <x:v>BAL</x:v>
      </x:c>
      <x:c r="J1426" t="n">
        <x:v>63</x:v>
      </x:c>
      <x:c r="K1426" t="str">
        <x:v>(:24) (Shotgun) 8-L.Jackson pass short left to 80-I.Likely pushed ob at BAL 48 for 11 yards (23-F.Moreau).</x:v>
      </x:c>
      <x:c r="L1426" t="str">
        <x:v>pass</x:v>
      </x:c>
      <x:c r="M1426" t="n">
        <x:v>11</x:v>
      </x:c>
      <x:c r="N1426" t="n">
        <x:v>1</x:v>
      </x:c>
      <x:c r="O1426" t="n">
        <x:v>0</x:v>
      </x:c>
      <x:c r="P1426" t="str">
        <x:v>short</x:v>
      </x:c>
      <x:c r="Q1426" t="str">
        <x:v>left</x:v>
      </x:c>
      <x:c r="R1426" t="n">
        <x:v>5</x:v>
      </x:c>
      <x:c r="S1426" t="n">
        <x:v>6</x:v>
      </x:c>
      <x:c r="T1426"/>
      <x:c r="U1426"/>
      <x:c r="V1426" t="n">
        <x:v>1</x:v>
      </x:c>
      <x:c r="W1426" t="n">
        <x:v>1</x:v>
      </x:c>
      <x:c r="X1426" t="n">
        <x:v>0</x:v>
      </x:c>
      <x:c r="Y1426" t="n">
        <x:v>0</x:v>
      </x:c>
      <x:c r="Z1426" t="n">
        <x:v>0</x:v>
      </x:c>
      <x:c r="AA1426" t="n">
        <x:v>0</x:v>
      </x:c>
      <x:c r="AB1426"/>
      <x:c r="AC1426" t="n">
        <x:v>0</x:v>
      </x:c>
      <x:c r="AD1426" t="n">
        <x:v>0.5259018830838613</x:v>
      </x:c>
      <x:c r="AE1426" t="n">
        <x:v>1</x:v>
      </x:c>
      <x:c r="AF1426" t="n">
        <x:v>0.01099511981010437</x:v>
      </x:c>
      <x:c r="AG1426" t="n">
        <x:f>_xlfn.XLOOKUP($A1426,Games!$A$2:$A$18,Games!$B$2:$B$18,"Missing game",0)</x:f>
        <x:v>2025</x:v>
      </x:c>
      <x:c r="AH1426" t="str">
        <x:f>_xlfn.XLOOKUP($A1426,Games!$A$2:$A$18,Games!$C$2:$C$18,"Missing game",0)</x:f>
        <x:v>REG</x:v>
      </x:c>
      <x:c r="AI1426" t="n">
        <x:f>_xlfn.XLOOKUP($A1426,Games!$A$2:$A$18,Games!$D$2:$D$18,"Missing game",0)</x:f>
        <x:v>10</x:v>
      </x:c>
      <x:c r="AJ1426" s="1" t="n">
        <x:f>_xlfn.XLOOKUP($A1426,Games!$A$2:$A$18,Games!$E$2:$E$18,"Missing game",0)</x:f>
        <x:v>45970</x:v>
      </x:c>
      <x:c r="AK1426" t="str">
        <x:f>_xlfn.XLOOKUP($A1426,Games!$A$2:$A$18,Games!$F$2:$F$18,"Missing game",0)</x:f>
        <x:v>Sunday</x:v>
      </x:c>
      <x:c r="AL1426" t="str">
        <x:f>_xlfn.XLOOKUP($A1426,Games!$A$2:$A$18,Games!$G$2:$G$18,"Missing game",0)</x:f>
        <x:v>BAL</x:v>
      </x:c>
      <x:c r="AM1426" t="n">
        <x:f>_xlfn.XLOOKUP($A1426,Games!$A$2:$A$18,Games!$H$2:$H$18,"Missing game",0)</x:f>
        <x:v>27</x:v>
      </x:c>
      <x:c r="AN1426" t="str">
        <x:f>_xlfn.XLOOKUP($A1426,Games!$A$2:$A$18,Games!$I$2:$I$18,"Missing game",0)</x:f>
        <x:v>MIN</x:v>
      </x:c>
      <x:c r="AO1426" t="n">
        <x:f>_xlfn.XLOOKUP($A1426,Games!$A$2:$A$18,Games!$J$2:$J$18,"Missing game",0)</x:f>
        <x:v>19</x:v>
      </x:c>
      <x:c r="AP1426" t="n">
        <x:f>_xlfn.XLOOKUP($A1426,Games!$A$2:$A$18,Games!$K$2:$K$18,"Missing game",0)</x:f>
        <x:v>-8</x:v>
      </x:c>
      <x:c r="AQ1426" t="n">
        <x:f>_xlfn.XLOOKUP($A1426,Games!$A$2:$A$18,Games!$L$2:$L$18,"Missing game",0)</x:f>
        <x:v>46</x:v>
      </x:c>
      <x:c r="AR1426" t="n">
        <x:f>_xlfn.XLOOKUP($A1426,Games!$A$2:$A$18,Games!$M$2:$M$18,"Missing game",0)</x:f>
        <x:v>0</x:v>
      </x:c>
      <x:c r="AS1426" t="str">
        <x:f>_xlfn.XLOOKUP($A1426,Games!$A$2:$A$18,Games!$N$2:$N$18,"Missing game",0)</x:f>
        <x:v>dome</x:v>
      </x:c>
      <x:c r="AT1426" t="str">
        <x:f>_xlfn.XLOOKUP($A1426,Games!$A$2:$A$18,Games!$O$2:$O$18,"Missing game",0)</x:f>
        <x:v>sportturf</x:v>
      </x:c>
      <x:c r="AU1426" t="str">
        <x:f>_xlfn.XLOOKUP($A1426,Games!$A$2:$A$18,Games!$P$2:$P$18,"Missing game",0)</x:f>
      </x:c>
      <x:c r="AV1426" t="str">
        <x:f>_xlfn.XLOOKUP($A1426,Games!$A$2:$A$18,Games!$Q$2:$Q$18,"Missing game",0)</x:f>
      </x:c>
      <x:c r="AW1426" t="str">
        <x:f>_xlfn.XLOOKUP($A1426,Games!$A$2:$A$18,Games!$R$2:$R$18,"Missing game",0)</x:f>
        <x:v>U.S. Bank Stadium</x:v>
      </x:c>
    </x:row>
    <x:row r="1427">
      <x:c r="A1427" t="str">
        <x:v>2025_10_BAL_MIN</x:v>
      </x:c>
      <x:c r="B1427" t="n">
        <x:v>1884</x:v>
      </x:c>
      <x:c r="C1427" t="n">
        <x:v>2</x:v>
      </x:c>
      <x:c r="D1427" t="str">
        <x:v>00:24</x:v>
      </x:c>
      <x:c r="E1427"/>
      <x:c r="F1427" t="n">
        <x:v>0</x:v>
      </x:c>
      <x:c r="G1427"/>
      <x:c r="H1427"/>
      <x:c r="I1427"/>
      <x:c r="J1427"/>
      <x:c r="K1427" t="str">
        <x:v>Timeout #2 by BAL at 00:24.</x:v>
      </x:c>
      <x:c r="L1427" t="str">
        <x:v>no_play</x:v>
      </x:c>
      <x:c r="M1427" t="n">
        <x:v>0</x:v>
      </x:c>
      <x:c r="N1427" t="n">
        <x:v>0</x:v>
      </x:c>
      <x:c r="O1427" t="n">
        <x:v>0</x:v>
      </x:c>
      <x:c r="P1427"/>
      <x:c r="Q1427"/>
      <x:c r="R1427"/>
      <x:c r="S1427"/>
      <x:c r="T1427"/>
      <x:c r="U1427"/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0</x:v>
      </x:c>
      <x:c r="AB1427"/>
      <x:c r="AC1427" t="n">
        <x:v>0</x:v>
      </x:c>
      <x:c r="AD1427" t="n">
        <x:v>0</x:v>
      </x:c>
      <x:c r="AE1427" t="n">
        <x:v>0</x:v>
      </x:c>
      <x:c r="AF1427" t="n">
        <x:v>0</x:v>
      </x:c>
      <x:c r="AG1427" t="n">
        <x:f>_xlfn.XLOOKUP($A1427,Games!$A$2:$A$18,Games!$B$2:$B$18,"Missing game",0)</x:f>
        <x:v>2025</x:v>
      </x:c>
      <x:c r="AH1427" t="str">
        <x:f>_xlfn.XLOOKUP($A1427,Games!$A$2:$A$18,Games!$C$2:$C$18,"Missing game",0)</x:f>
        <x:v>REG</x:v>
      </x:c>
      <x:c r="AI1427" t="n">
        <x:f>_xlfn.XLOOKUP($A1427,Games!$A$2:$A$18,Games!$D$2:$D$18,"Missing game",0)</x:f>
        <x:v>10</x:v>
      </x:c>
      <x:c r="AJ1427" s="1" t="n">
        <x:f>_xlfn.XLOOKUP($A1427,Games!$A$2:$A$18,Games!$E$2:$E$18,"Missing game",0)</x:f>
        <x:v>45970</x:v>
      </x:c>
      <x:c r="AK1427" t="str">
        <x:f>_xlfn.XLOOKUP($A1427,Games!$A$2:$A$18,Games!$F$2:$F$18,"Missing game",0)</x:f>
        <x:v>Sunday</x:v>
      </x:c>
      <x:c r="AL1427" t="str">
        <x:f>_xlfn.XLOOKUP($A1427,Games!$A$2:$A$18,Games!$G$2:$G$18,"Missing game",0)</x:f>
        <x:v>BAL</x:v>
      </x:c>
      <x:c r="AM1427" t="n">
        <x:f>_xlfn.XLOOKUP($A1427,Games!$A$2:$A$18,Games!$H$2:$H$18,"Missing game",0)</x:f>
        <x:v>27</x:v>
      </x:c>
      <x:c r="AN1427" t="str">
        <x:f>_xlfn.XLOOKUP($A1427,Games!$A$2:$A$18,Games!$I$2:$I$18,"Missing game",0)</x:f>
        <x:v>MIN</x:v>
      </x:c>
      <x:c r="AO1427" t="n">
        <x:f>_xlfn.XLOOKUP($A1427,Games!$A$2:$A$18,Games!$J$2:$J$18,"Missing game",0)</x:f>
        <x:v>19</x:v>
      </x:c>
      <x:c r="AP1427" t="n">
        <x:f>_xlfn.XLOOKUP($A1427,Games!$A$2:$A$18,Games!$K$2:$K$18,"Missing game",0)</x:f>
        <x:v>-8</x:v>
      </x:c>
      <x:c r="AQ1427" t="n">
        <x:f>_xlfn.XLOOKUP($A1427,Games!$A$2:$A$18,Games!$L$2:$L$18,"Missing game",0)</x:f>
        <x:v>46</x:v>
      </x:c>
      <x:c r="AR1427" t="n">
        <x:f>_xlfn.XLOOKUP($A1427,Games!$A$2:$A$18,Games!$M$2:$M$18,"Missing game",0)</x:f>
        <x:v>0</x:v>
      </x:c>
      <x:c r="AS1427" t="str">
        <x:f>_xlfn.XLOOKUP($A1427,Games!$A$2:$A$18,Games!$N$2:$N$18,"Missing game",0)</x:f>
        <x:v>dome</x:v>
      </x:c>
      <x:c r="AT1427" t="str">
        <x:f>_xlfn.XLOOKUP($A1427,Games!$A$2:$A$18,Games!$O$2:$O$18,"Missing game",0)</x:f>
        <x:v>sportturf</x:v>
      </x:c>
      <x:c r="AU1427" t="str">
        <x:f>_xlfn.XLOOKUP($A1427,Games!$A$2:$A$18,Games!$P$2:$P$18,"Missing game",0)</x:f>
      </x:c>
      <x:c r="AV1427" t="str">
        <x:f>_xlfn.XLOOKUP($A1427,Games!$A$2:$A$18,Games!$Q$2:$Q$18,"Missing game",0)</x:f>
      </x:c>
      <x:c r="AW1427" t="str">
        <x:f>_xlfn.XLOOKUP($A1427,Games!$A$2:$A$18,Games!$R$2:$R$18,"Missing game",0)</x:f>
        <x:v>U.S. Bank Stadium</x:v>
      </x:c>
    </x:row>
    <x:row r="1428">
      <x:c r="A1428" t="str">
        <x:v>2025_10_BAL_MIN</x:v>
      </x:c>
      <x:c r="B1428" t="n">
        <x:v>1909</x:v>
      </x:c>
      <x:c r="C1428" t="n">
        <x:v>2</x:v>
      </x:c>
      <x:c r="D1428" t="str">
        <x:v>00:19</x:v>
      </x:c>
      <x:c r="E1428" t="n">
        <x:v>1</x:v>
      </x:c>
      <x:c r="F1428" t="n">
        <x:v>10</x:v>
      </x:c>
      <x:c r="G1428" t="str">
        <x:v>BAL</x:v>
      </x:c>
      <x:c r="H1428" t="str">
        <x:v>MIN</x:v>
      </x:c>
      <x:c r="I1428" t="str">
        <x:v>BAL</x:v>
      </x:c>
      <x:c r="J1428" t="n">
        <x:v>52</x:v>
      </x:c>
      <x:c r="K1428" t="str">
        <x:v>(:19) (Shotgun) 8-L.Jackson pass short left to 4-Z.Flowers ran ob at MIN 25 for 27 yards (55-E.Wilson).</x:v>
      </x:c>
      <x:c r="L1428" t="str">
        <x:v>pass</x:v>
      </x:c>
      <x:c r="M1428" t="n">
        <x:v>27</x:v>
      </x:c>
      <x:c r="N1428" t="n">
        <x:v>1</x:v>
      </x:c>
      <x:c r="O1428" t="n">
        <x:v>0</x:v>
      </x:c>
      <x:c r="P1428" t="str">
        <x:v>short</x:v>
      </x:c>
      <x:c r="Q1428" t="str">
        <x:v>left</x:v>
      </x:c>
      <x:c r="R1428" t="n">
        <x:v>15</x:v>
      </x:c>
      <x:c r="S1428" t="n">
        <x:v>12</x:v>
      </x:c>
      <x:c r="T1428"/>
      <x:c r="U1428"/>
      <x:c r="V1428" t="n">
        <x:v>1</x:v>
      </x:c>
      <x:c r="W1428" t="n">
        <x:v>1</x:v>
      </x:c>
      <x:c r="X1428" t="n">
        <x:v>0</x:v>
      </x:c>
      <x:c r="Y1428" t="n">
        <x:v>0</x:v>
      </x:c>
      <x:c r="Z1428" t="n">
        <x:v>0</x:v>
      </x:c>
      <x:c r="AA1428" t="n">
        <x:v>0</x:v>
      </x:c>
      <x:c r="AB1428"/>
      <x:c r="AC1428" t="n">
        <x:v>0</x:v>
      </x:c>
      <x:c r="AD1428" t="n">
        <x:v>1.1416409321827814</x:v>
      </x:c>
      <x:c r="AE1428" t="n">
        <x:v>1</x:v>
      </x:c>
      <x:c r="AF1428" t="n">
        <x:v>0.08525428175926208</x:v>
      </x:c>
      <x:c r="AG1428" t="n">
        <x:f>_xlfn.XLOOKUP($A1428,Games!$A$2:$A$18,Games!$B$2:$B$18,"Missing game",0)</x:f>
        <x:v>2025</x:v>
      </x:c>
      <x:c r="AH1428" t="str">
        <x:f>_xlfn.XLOOKUP($A1428,Games!$A$2:$A$18,Games!$C$2:$C$18,"Missing game",0)</x:f>
        <x:v>REG</x:v>
      </x:c>
      <x:c r="AI1428" t="n">
        <x:f>_xlfn.XLOOKUP($A1428,Games!$A$2:$A$18,Games!$D$2:$D$18,"Missing game",0)</x:f>
        <x:v>10</x:v>
      </x:c>
      <x:c r="AJ1428" s="1" t="n">
        <x:f>_xlfn.XLOOKUP($A1428,Games!$A$2:$A$18,Games!$E$2:$E$18,"Missing game",0)</x:f>
        <x:v>45970</x:v>
      </x:c>
      <x:c r="AK1428" t="str">
        <x:f>_xlfn.XLOOKUP($A1428,Games!$A$2:$A$18,Games!$F$2:$F$18,"Missing game",0)</x:f>
        <x:v>Sunday</x:v>
      </x:c>
      <x:c r="AL1428" t="str">
        <x:f>_xlfn.XLOOKUP($A1428,Games!$A$2:$A$18,Games!$G$2:$G$18,"Missing game",0)</x:f>
        <x:v>BAL</x:v>
      </x:c>
      <x:c r="AM1428" t="n">
        <x:f>_xlfn.XLOOKUP($A1428,Games!$A$2:$A$18,Games!$H$2:$H$18,"Missing game",0)</x:f>
        <x:v>27</x:v>
      </x:c>
      <x:c r="AN1428" t="str">
        <x:f>_xlfn.XLOOKUP($A1428,Games!$A$2:$A$18,Games!$I$2:$I$18,"Missing game",0)</x:f>
        <x:v>MIN</x:v>
      </x:c>
      <x:c r="AO1428" t="n">
        <x:f>_xlfn.XLOOKUP($A1428,Games!$A$2:$A$18,Games!$J$2:$J$18,"Missing game",0)</x:f>
        <x:v>19</x:v>
      </x:c>
      <x:c r="AP1428" t="n">
        <x:f>_xlfn.XLOOKUP($A1428,Games!$A$2:$A$18,Games!$K$2:$K$18,"Missing game",0)</x:f>
        <x:v>-8</x:v>
      </x:c>
      <x:c r="AQ1428" t="n">
        <x:f>_xlfn.XLOOKUP($A1428,Games!$A$2:$A$18,Games!$L$2:$L$18,"Missing game",0)</x:f>
        <x:v>46</x:v>
      </x:c>
      <x:c r="AR1428" t="n">
        <x:f>_xlfn.XLOOKUP($A1428,Games!$A$2:$A$18,Games!$M$2:$M$18,"Missing game",0)</x:f>
        <x:v>0</x:v>
      </x:c>
      <x:c r="AS1428" t="str">
        <x:f>_xlfn.XLOOKUP($A1428,Games!$A$2:$A$18,Games!$N$2:$N$18,"Missing game",0)</x:f>
        <x:v>dome</x:v>
      </x:c>
      <x:c r="AT1428" t="str">
        <x:f>_xlfn.XLOOKUP($A1428,Games!$A$2:$A$18,Games!$O$2:$O$18,"Missing game",0)</x:f>
        <x:v>sportturf</x:v>
      </x:c>
      <x:c r="AU1428" t="str">
        <x:f>_xlfn.XLOOKUP($A1428,Games!$A$2:$A$18,Games!$P$2:$P$18,"Missing game",0)</x:f>
      </x:c>
      <x:c r="AV1428" t="str">
        <x:f>_xlfn.XLOOKUP($A1428,Games!$A$2:$A$18,Games!$Q$2:$Q$18,"Missing game",0)</x:f>
      </x:c>
      <x:c r="AW1428" t="str">
        <x:f>_xlfn.XLOOKUP($A1428,Games!$A$2:$A$18,Games!$R$2:$R$18,"Missing game",0)</x:f>
        <x:v>U.S. Bank Stadium</x:v>
      </x:c>
    </x:row>
    <x:row r="1429">
      <x:c r="A1429" t="str">
        <x:v>2025_10_BAL_MIN</x:v>
      </x:c>
      <x:c r="B1429" t="n">
        <x:v>1939</x:v>
      </x:c>
      <x:c r="C1429" t="n">
        <x:v>2</x:v>
      </x:c>
      <x:c r="D1429" t="str">
        <x:v>00:10</x:v>
      </x:c>
      <x:c r="E1429" t="n">
        <x:v>1</x:v>
      </x:c>
      <x:c r="F1429" t="n">
        <x:v>10</x:v>
      </x:c>
      <x:c r="G1429" t="str">
        <x:v>BAL</x:v>
      </x:c>
      <x:c r="H1429" t="str">
        <x:v>MIN</x:v>
      </x:c>
      <x:c r="I1429" t="str">
        <x:v>MIN</x:v>
      </x:c>
      <x:c r="J1429" t="n">
        <x:v>25</x:v>
      </x:c>
      <x:c r="K1429" t="str">
        <x:v>(:10) (Shotgun) 8-L.Jackson sacked at MIN 35 for -10 yards (15-D.Turner). PENALTY on MIN-15-D.Turner, Roughing the Passer, 13 yards, enforced at MIN 25 - No Play.</x:v>
      </x:c>
      <x:c r="L1429" t="str">
        <x:v>no_play</x:v>
      </x:c>
      <x:c r="M1429" t="n">
        <x:v>0</x:v>
      </x:c>
      <x:c r="N1429" t="n">
        <x:v>1</x:v>
      </x:c>
      <x:c r="O1429" t="n">
        <x:v>0</x:v>
      </x:c>
      <x:c r="P1429"/>
      <x:c r="Q1429"/>
      <x:c r="R1429"/>
      <x:c r="S1429"/>
      <x:c r="T1429"/>
      <x:c r="U1429"/>
      <x:c r="V1429" t="n">
        <x:v>0</x:v>
      </x:c>
      <x:c r="W1429" t="n">
        <x:v>1</x:v>
      </x:c>
      <x:c r="X1429" t="n">
        <x:v>0</x:v>
      </x:c>
      <x:c r="Y1429" t="n">
        <x:v>0</x:v>
      </x:c>
      <x:c r="Z1429" t="n">
        <x:v>0</x:v>
      </x:c>
      <x:c r="AA1429" t="n">
        <x:v>1</x:v>
      </x:c>
      <x:c r="AB1429" t="n">
        <x:v>13</x:v>
      </x:c>
      <x:c r="AC1429" t="n">
        <x:v>0</x:v>
      </x:c>
      <x:c r="AD1429" t="n">
        <x:v>0.4005037274841867</x:v>
      </x:c>
      <x:c r="AE1429" t="n">
        <x:v>1</x:v>
      </x:c>
      <x:c r="AF1429" t="n">
        <x:v>0.02563205361366272</x:v>
      </x:c>
      <x:c r="AG1429" t="n">
        <x:f>_xlfn.XLOOKUP($A1429,Games!$A$2:$A$18,Games!$B$2:$B$18,"Missing game",0)</x:f>
        <x:v>2025</x:v>
      </x:c>
      <x:c r="AH1429" t="str">
        <x:f>_xlfn.XLOOKUP($A1429,Games!$A$2:$A$18,Games!$C$2:$C$18,"Missing game",0)</x:f>
        <x:v>REG</x:v>
      </x:c>
      <x:c r="AI1429" t="n">
        <x:f>_xlfn.XLOOKUP($A1429,Games!$A$2:$A$18,Games!$D$2:$D$18,"Missing game",0)</x:f>
        <x:v>10</x:v>
      </x:c>
      <x:c r="AJ1429" s="1" t="n">
        <x:f>_xlfn.XLOOKUP($A1429,Games!$A$2:$A$18,Games!$E$2:$E$18,"Missing game",0)</x:f>
        <x:v>45970</x:v>
      </x:c>
      <x:c r="AK1429" t="str">
        <x:f>_xlfn.XLOOKUP($A1429,Games!$A$2:$A$18,Games!$F$2:$F$18,"Missing game",0)</x:f>
        <x:v>Sunday</x:v>
      </x:c>
      <x:c r="AL1429" t="str">
        <x:f>_xlfn.XLOOKUP($A1429,Games!$A$2:$A$18,Games!$G$2:$G$18,"Missing game",0)</x:f>
        <x:v>BAL</x:v>
      </x:c>
      <x:c r="AM1429" t="n">
        <x:f>_xlfn.XLOOKUP($A1429,Games!$A$2:$A$18,Games!$H$2:$H$18,"Missing game",0)</x:f>
        <x:v>27</x:v>
      </x:c>
      <x:c r="AN1429" t="str">
        <x:f>_xlfn.XLOOKUP($A1429,Games!$A$2:$A$18,Games!$I$2:$I$18,"Missing game",0)</x:f>
        <x:v>MIN</x:v>
      </x:c>
      <x:c r="AO1429" t="n">
        <x:f>_xlfn.XLOOKUP($A1429,Games!$A$2:$A$18,Games!$J$2:$J$18,"Missing game",0)</x:f>
        <x:v>19</x:v>
      </x:c>
      <x:c r="AP1429" t="n">
        <x:f>_xlfn.XLOOKUP($A1429,Games!$A$2:$A$18,Games!$K$2:$K$18,"Missing game",0)</x:f>
        <x:v>-8</x:v>
      </x:c>
      <x:c r="AQ1429" t="n">
        <x:f>_xlfn.XLOOKUP($A1429,Games!$A$2:$A$18,Games!$L$2:$L$18,"Missing game",0)</x:f>
        <x:v>46</x:v>
      </x:c>
      <x:c r="AR1429" t="n">
        <x:f>_xlfn.XLOOKUP($A1429,Games!$A$2:$A$18,Games!$M$2:$M$18,"Missing game",0)</x:f>
        <x:v>0</x:v>
      </x:c>
      <x:c r="AS1429" t="str">
        <x:f>_xlfn.XLOOKUP($A1429,Games!$A$2:$A$18,Games!$N$2:$N$18,"Missing game",0)</x:f>
        <x:v>dome</x:v>
      </x:c>
      <x:c r="AT1429" t="str">
        <x:f>_xlfn.XLOOKUP($A1429,Games!$A$2:$A$18,Games!$O$2:$O$18,"Missing game",0)</x:f>
        <x:v>sportturf</x:v>
      </x:c>
      <x:c r="AU1429" t="str">
        <x:f>_xlfn.XLOOKUP($A1429,Games!$A$2:$A$18,Games!$P$2:$P$18,"Missing game",0)</x:f>
      </x:c>
      <x:c r="AV1429" t="str">
        <x:f>_xlfn.XLOOKUP($A1429,Games!$A$2:$A$18,Games!$Q$2:$Q$18,"Missing game",0)</x:f>
      </x:c>
      <x:c r="AW1429" t="str">
        <x:f>_xlfn.XLOOKUP($A1429,Games!$A$2:$A$18,Games!$R$2:$R$18,"Missing game",0)</x:f>
        <x:v>U.S. Bank Stadium</x:v>
      </x:c>
    </x:row>
    <x:row r="1430">
      <x:c r="A1430" t="str">
        <x:v>2025_10_BAL_MIN</x:v>
      </x:c>
      <x:c r="B1430" t="n">
        <x:v>1951</x:v>
      </x:c>
      <x:c r="C1430" t="n">
        <x:v>2</x:v>
      </x:c>
      <x:c r="D1430" t="str">
        <x:v>00:10</x:v>
      </x:c>
      <x:c r="E1430"/>
      <x:c r="F1430" t="n">
        <x:v>0</x:v>
      </x:c>
      <x:c r="G1430"/>
      <x:c r="H1430"/>
      <x:c r="I1430"/>
      <x:c r="J1430"/>
      <x:c r="K1430" t="str">
        <x:v>Timeout #2 by MIN at 00:10.</x:v>
      </x:c>
      <x:c r="L1430" t="str">
        <x:v>no_play</x:v>
      </x:c>
      <x:c r="M1430" t="n">
        <x:v>0</x:v>
      </x:c>
      <x:c r="N1430" t="n">
        <x:v>0</x:v>
      </x:c>
      <x:c r="O1430" t="n">
        <x:v>0</x:v>
      </x:c>
      <x:c r="P1430"/>
      <x:c r="Q1430"/>
      <x:c r="R1430"/>
      <x:c r="S1430"/>
      <x:c r="T1430"/>
      <x:c r="U1430"/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0</x:v>
      </x:c>
      <x:c r="AB1430"/>
      <x:c r="AC1430" t="n">
        <x:v>0</x:v>
      </x:c>
      <x:c r="AD1430" t="n">
        <x:v>0</x:v>
      </x:c>
      <x:c r="AE1430" t="n">
        <x:v>0</x:v>
      </x:c>
      <x:c r="AF1430" t="n">
        <x:v>0</x:v>
      </x:c>
      <x:c r="AG1430" t="n">
        <x:f>_xlfn.XLOOKUP($A1430,Games!$A$2:$A$18,Games!$B$2:$B$18,"Missing game",0)</x:f>
        <x:v>2025</x:v>
      </x:c>
      <x:c r="AH1430" t="str">
        <x:f>_xlfn.XLOOKUP($A1430,Games!$A$2:$A$18,Games!$C$2:$C$18,"Missing game",0)</x:f>
        <x:v>REG</x:v>
      </x:c>
      <x:c r="AI1430" t="n">
        <x:f>_xlfn.XLOOKUP($A1430,Games!$A$2:$A$18,Games!$D$2:$D$18,"Missing game",0)</x:f>
        <x:v>10</x:v>
      </x:c>
      <x:c r="AJ1430" s="1" t="n">
        <x:f>_xlfn.XLOOKUP($A1430,Games!$A$2:$A$18,Games!$E$2:$E$18,"Missing game",0)</x:f>
        <x:v>45970</x:v>
      </x:c>
      <x:c r="AK1430" t="str">
        <x:f>_xlfn.XLOOKUP($A1430,Games!$A$2:$A$18,Games!$F$2:$F$18,"Missing game",0)</x:f>
        <x:v>Sunday</x:v>
      </x:c>
      <x:c r="AL1430" t="str">
        <x:f>_xlfn.XLOOKUP($A1430,Games!$A$2:$A$18,Games!$G$2:$G$18,"Missing game",0)</x:f>
        <x:v>BAL</x:v>
      </x:c>
      <x:c r="AM1430" t="n">
        <x:f>_xlfn.XLOOKUP($A1430,Games!$A$2:$A$18,Games!$H$2:$H$18,"Missing game",0)</x:f>
        <x:v>27</x:v>
      </x:c>
      <x:c r="AN1430" t="str">
        <x:f>_xlfn.XLOOKUP($A1430,Games!$A$2:$A$18,Games!$I$2:$I$18,"Missing game",0)</x:f>
        <x:v>MIN</x:v>
      </x:c>
      <x:c r="AO1430" t="n">
        <x:f>_xlfn.XLOOKUP($A1430,Games!$A$2:$A$18,Games!$J$2:$J$18,"Missing game",0)</x:f>
        <x:v>19</x:v>
      </x:c>
      <x:c r="AP1430" t="n">
        <x:f>_xlfn.XLOOKUP($A1430,Games!$A$2:$A$18,Games!$K$2:$K$18,"Missing game",0)</x:f>
        <x:v>-8</x:v>
      </x:c>
      <x:c r="AQ1430" t="n">
        <x:f>_xlfn.XLOOKUP($A1430,Games!$A$2:$A$18,Games!$L$2:$L$18,"Missing game",0)</x:f>
        <x:v>46</x:v>
      </x:c>
      <x:c r="AR1430" t="n">
        <x:f>_xlfn.XLOOKUP($A1430,Games!$A$2:$A$18,Games!$M$2:$M$18,"Missing game",0)</x:f>
        <x:v>0</x:v>
      </x:c>
      <x:c r="AS1430" t="str">
        <x:f>_xlfn.XLOOKUP($A1430,Games!$A$2:$A$18,Games!$N$2:$N$18,"Missing game",0)</x:f>
        <x:v>dome</x:v>
      </x:c>
      <x:c r="AT1430" t="str">
        <x:f>_xlfn.XLOOKUP($A1430,Games!$A$2:$A$18,Games!$O$2:$O$18,"Missing game",0)</x:f>
        <x:v>sportturf</x:v>
      </x:c>
      <x:c r="AU1430" t="str">
        <x:f>_xlfn.XLOOKUP($A1430,Games!$A$2:$A$18,Games!$P$2:$P$18,"Missing game",0)</x:f>
      </x:c>
      <x:c r="AV1430" t="str">
        <x:f>_xlfn.XLOOKUP($A1430,Games!$A$2:$A$18,Games!$Q$2:$Q$18,"Missing game",0)</x:f>
      </x:c>
      <x:c r="AW1430" t="str">
        <x:f>_xlfn.XLOOKUP($A1430,Games!$A$2:$A$18,Games!$R$2:$R$18,"Missing game",0)</x:f>
        <x:v>U.S. Bank Stadium</x:v>
      </x:c>
    </x:row>
    <x:row r="1431">
      <x:c r="A1431" t="str">
        <x:v>2025_10_BAL_MIN</x:v>
      </x:c>
      <x:c r="B1431" t="n">
        <x:v>1977</x:v>
      </x:c>
      <x:c r="C1431" t="n">
        <x:v>2</x:v>
      </x:c>
      <x:c r="D1431" t="str">
        <x:v>00:05</x:v>
      </x:c>
      <x:c r="E1431" t="n">
        <x:v>1</x:v>
      </x:c>
      <x:c r="F1431" t="n">
        <x:v>10</x:v>
      </x:c>
      <x:c r="G1431" t="str">
        <x:v>BAL</x:v>
      </x:c>
      <x:c r="H1431" t="str">
        <x:v>MIN</x:v>
      </x:c>
      <x:c r="I1431" t="str">
        <x:v>MIN</x:v>
      </x:c>
      <x:c r="J1431" t="n">
        <x:v>12</x:v>
      </x:c>
      <x:c r="K1431" t="str">
        <x:v>(:05) 33-T.Loop 30 yard field goal is GOOD, Center-46-N.Moore, Holder-11-J.Stout.</x:v>
      </x:c>
      <x:c r="L1431" t="str">
        <x:v>field_goal</x:v>
      </x:c>
      <x:c r="M1431" t="n">
        <x:v>0</x:v>
      </x:c>
      <x:c r="N1431" t="n">
        <x:v>0</x:v>
      </x:c>
      <x:c r="O1431" t="n">
        <x:v>0</x:v>
      </x:c>
      <x:c r="P1431"/>
      <x:c r="Q1431"/>
      <x:c r="R1431"/>
      <x:c r="S1431"/>
      <x:c r="T1431"/>
      <x:c r="U1431"/>
      <x:c r="V1431" t="n">
        <x:v>0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0</x:v>
      </x:c>
      <x:c r="AB1431"/>
      <x:c r="AC1431" t="n">
        <x:v>0</x:v>
      </x:c>
      <x:c r="AD1431" t="n">
        <x:v>0.08957855439030604</x:v>
      </x:c>
      <x:c r="AE1431" t="n">
        <x:v>1</x:v>
      </x:c>
      <x:c r="AF1431" t="n">
        <x:v>-0.10688909888267517</x:v>
      </x:c>
      <x:c r="AG1431" t="n">
        <x:f>_xlfn.XLOOKUP($A1431,Games!$A$2:$A$18,Games!$B$2:$B$18,"Missing game",0)</x:f>
        <x:v>2025</x:v>
      </x:c>
      <x:c r="AH1431" t="str">
        <x:f>_xlfn.XLOOKUP($A1431,Games!$A$2:$A$18,Games!$C$2:$C$18,"Missing game",0)</x:f>
        <x:v>REG</x:v>
      </x:c>
      <x:c r="AI1431" t="n">
        <x:f>_xlfn.XLOOKUP($A1431,Games!$A$2:$A$18,Games!$D$2:$D$18,"Missing game",0)</x:f>
        <x:v>10</x:v>
      </x:c>
      <x:c r="AJ1431" s="1" t="n">
        <x:f>_xlfn.XLOOKUP($A1431,Games!$A$2:$A$18,Games!$E$2:$E$18,"Missing game",0)</x:f>
        <x:v>45970</x:v>
      </x:c>
      <x:c r="AK1431" t="str">
        <x:f>_xlfn.XLOOKUP($A1431,Games!$A$2:$A$18,Games!$F$2:$F$18,"Missing game",0)</x:f>
        <x:v>Sunday</x:v>
      </x:c>
      <x:c r="AL1431" t="str">
        <x:f>_xlfn.XLOOKUP($A1431,Games!$A$2:$A$18,Games!$G$2:$G$18,"Missing game",0)</x:f>
        <x:v>BAL</x:v>
      </x:c>
      <x:c r="AM1431" t="n">
        <x:f>_xlfn.XLOOKUP($A1431,Games!$A$2:$A$18,Games!$H$2:$H$18,"Missing game",0)</x:f>
        <x:v>27</x:v>
      </x:c>
      <x:c r="AN1431" t="str">
        <x:f>_xlfn.XLOOKUP($A1431,Games!$A$2:$A$18,Games!$I$2:$I$18,"Missing game",0)</x:f>
        <x:v>MIN</x:v>
      </x:c>
      <x:c r="AO1431" t="n">
        <x:f>_xlfn.XLOOKUP($A1431,Games!$A$2:$A$18,Games!$J$2:$J$18,"Missing game",0)</x:f>
        <x:v>19</x:v>
      </x:c>
      <x:c r="AP1431" t="n">
        <x:f>_xlfn.XLOOKUP($A1431,Games!$A$2:$A$18,Games!$K$2:$K$18,"Missing game",0)</x:f>
        <x:v>-8</x:v>
      </x:c>
      <x:c r="AQ1431" t="n">
        <x:f>_xlfn.XLOOKUP($A1431,Games!$A$2:$A$18,Games!$L$2:$L$18,"Missing game",0)</x:f>
        <x:v>46</x:v>
      </x:c>
      <x:c r="AR1431" t="n">
        <x:f>_xlfn.XLOOKUP($A1431,Games!$A$2:$A$18,Games!$M$2:$M$18,"Missing game",0)</x:f>
        <x:v>0</x:v>
      </x:c>
      <x:c r="AS1431" t="str">
        <x:f>_xlfn.XLOOKUP($A1431,Games!$A$2:$A$18,Games!$N$2:$N$18,"Missing game",0)</x:f>
        <x:v>dome</x:v>
      </x:c>
      <x:c r="AT1431" t="str">
        <x:f>_xlfn.XLOOKUP($A1431,Games!$A$2:$A$18,Games!$O$2:$O$18,"Missing game",0)</x:f>
        <x:v>sportturf</x:v>
      </x:c>
      <x:c r="AU1431" t="str">
        <x:f>_xlfn.XLOOKUP($A1431,Games!$A$2:$A$18,Games!$P$2:$P$18,"Missing game",0)</x:f>
      </x:c>
      <x:c r="AV1431" t="str">
        <x:f>_xlfn.XLOOKUP($A1431,Games!$A$2:$A$18,Games!$Q$2:$Q$18,"Missing game",0)</x:f>
      </x:c>
      <x:c r="AW1431" t="str">
        <x:f>_xlfn.XLOOKUP($A1431,Games!$A$2:$A$18,Games!$R$2:$R$18,"Missing game",0)</x:f>
        <x:v>U.S. Bank Stadium</x:v>
      </x:c>
    </x:row>
    <x:row r="1432">
      <x:c r="A1432" t="str">
        <x:v>2025_10_BAL_MIN</x:v>
      </x:c>
      <x:c r="B1432" t="n">
        <x:v>1997</x:v>
      </x:c>
      <x:c r="C1432" t="n">
        <x:v>2</x:v>
      </x:c>
      <x:c r="D1432" t="str">
        <x:v>00:02</x:v>
      </x:c>
      <x:c r="E1432"/>
      <x:c r="F1432" t="n">
        <x:v>0</x:v>
      </x:c>
      <x:c r="G1432" t="str">
        <x:v>MIN</x:v>
      </x:c>
      <x:c r="H1432" t="str">
        <x:v>BAL</x:v>
      </x:c>
      <x:c r="I1432" t="str">
        <x:v>BAL</x:v>
      </x:c>
      <x:c r="J1432" t="n">
        <x:v>35</x:v>
      </x:c>
      <x:c r="K1432" t="str">
        <x:v>33-T.Loop kicks 64 yards from BAL 35 to MIN 1. 4-M.Price to MIN 26 for 25 yards (16-T.Wallace).</x:v>
      </x:c>
      <x:c r="L1432" t="str">
        <x:v>kickoff</x:v>
      </x:c>
      <x:c r="M1432" t="n">
        <x:v>0</x:v>
      </x:c>
      <x:c r="N1432" t="n">
        <x:v>0</x:v>
      </x:c>
      <x:c r="O1432" t="n">
        <x:v>0</x:v>
      </x:c>
      <x:c r="P1432"/>
      <x:c r="Q1432"/>
      <x:c r="R1432"/>
      <x:c r="S1432"/>
      <x:c r="T1432"/>
      <x:c r="U1432"/>
      <x:c r="V1432" t="n">
        <x:v>0</x:v>
      </x:c>
      <x:c r="W1432" t="n">
        <x:v>0</x:v>
      </x:c>
      <x:c r="X1432" t="n">
        <x:v>0</x:v>
      </x:c>
      <x:c r="Y1432" t="n">
        <x:v>0</x:v>
      </x:c>
      <x:c r="Z1432" t="n">
        <x:v>0</x:v>
      </x:c>
      <x:c r="AA1432" t="n">
        <x:v>0</x:v>
      </x:c>
      <x:c r="AB1432"/>
      <x:c r="AC1432" t="n">
        <x:v>0</x:v>
      </x:c>
      <x:c r="AD1432" t="n">
        <x:v>-0.09279370936565101</x:v>
      </x:c>
      <x:c r="AE1432" t="n">
        <x:v>0</x:v>
      </x:c>
      <x:c r="AF1432" t="n">
        <x:v>-0.05979788303375244</x:v>
      </x:c>
      <x:c r="AG1432" t="n">
        <x:f>_xlfn.XLOOKUP($A1432,Games!$A$2:$A$18,Games!$B$2:$B$18,"Missing game",0)</x:f>
        <x:v>2025</x:v>
      </x:c>
      <x:c r="AH1432" t="str">
        <x:f>_xlfn.XLOOKUP($A1432,Games!$A$2:$A$18,Games!$C$2:$C$18,"Missing game",0)</x:f>
        <x:v>REG</x:v>
      </x:c>
      <x:c r="AI1432" t="n">
        <x:f>_xlfn.XLOOKUP($A1432,Games!$A$2:$A$18,Games!$D$2:$D$18,"Missing game",0)</x:f>
        <x:v>10</x:v>
      </x:c>
      <x:c r="AJ1432" s="1" t="n">
        <x:f>_xlfn.XLOOKUP($A1432,Games!$A$2:$A$18,Games!$E$2:$E$18,"Missing game",0)</x:f>
        <x:v>45970</x:v>
      </x:c>
      <x:c r="AK1432" t="str">
        <x:f>_xlfn.XLOOKUP($A1432,Games!$A$2:$A$18,Games!$F$2:$F$18,"Missing game",0)</x:f>
        <x:v>Sunday</x:v>
      </x:c>
      <x:c r="AL1432" t="str">
        <x:f>_xlfn.XLOOKUP($A1432,Games!$A$2:$A$18,Games!$G$2:$G$18,"Missing game",0)</x:f>
        <x:v>BAL</x:v>
      </x:c>
      <x:c r="AM1432" t="n">
        <x:f>_xlfn.XLOOKUP($A1432,Games!$A$2:$A$18,Games!$H$2:$H$18,"Missing game",0)</x:f>
        <x:v>27</x:v>
      </x:c>
      <x:c r="AN1432" t="str">
        <x:f>_xlfn.XLOOKUP($A1432,Games!$A$2:$A$18,Games!$I$2:$I$18,"Missing game",0)</x:f>
        <x:v>MIN</x:v>
      </x:c>
      <x:c r="AO1432" t="n">
        <x:f>_xlfn.XLOOKUP($A1432,Games!$A$2:$A$18,Games!$J$2:$J$18,"Missing game",0)</x:f>
        <x:v>19</x:v>
      </x:c>
      <x:c r="AP1432" t="n">
        <x:f>_xlfn.XLOOKUP($A1432,Games!$A$2:$A$18,Games!$K$2:$K$18,"Missing game",0)</x:f>
        <x:v>-8</x:v>
      </x:c>
      <x:c r="AQ1432" t="n">
        <x:f>_xlfn.XLOOKUP($A1432,Games!$A$2:$A$18,Games!$L$2:$L$18,"Missing game",0)</x:f>
        <x:v>46</x:v>
      </x:c>
      <x:c r="AR1432" t="n">
        <x:f>_xlfn.XLOOKUP($A1432,Games!$A$2:$A$18,Games!$M$2:$M$18,"Missing game",0)</x:f>
        <x:v>0</x:v>
      </x:c>
      <x:c r="AS1432" t="str">
        <x:f>_xlfn.XLOOKUP($A1432,Games!$A$2:$A$18,Games!$N$2:$N$18,"Missing game",0)</x:f>
        <x:v>dome</x:v>
      </x:c>
      <x:c r="AT1432" t="str">
        <x:f>_xlfn.XLOOKUP($A1432,Games!$A$2:$A$18,Games!$O$2:$O$18,"Missing game",0)</x:f>
        <x:v>sportturf</x:v>
      </x:c>
      <x:c r="AU1432" t="str">
        <x:f>_xlfn.XLOOKUP($A1432,Games!$A$2:$A$18,Games!$P$2:$P$18,"Missing game",0)</x:f>
      </x:c>
      <x:c r="AV1432" t="str">
        <x:f>_xlfn.XLOOKUP($A1432,Games!$A$2:$A$18,Games!$Q$2:$Q$18,"Missing game",0)</x:f>
      </x:c>
      <x:c r="AW1432" t="str">
        <x:f>_xlfn.XLOOKUP($A1432,Games!$A$2:$A$18,Games!$R$2:$R$18,"Missing game",0)</x:f>
        <x:v>U.S. Bank Stadium</x:v>
      </x:c>
    </x:row>
    <x:row r="1433">
      <x:c r="A1433" t="str">
        <x:v>2025_10_BAL_MIN</x:v>
      </x:c>
      <x:c r="B1433" t="n">
        <x:v>2020</x:v>
      </x:c>
      <x:c r="C1433" t="n">
        <x:v>2</x:v>
      </x:c>
      <x:c r="D1433" t="str">
        <x:v>00:00</x:v>
      </x:c>
      <x:c r="E1433"/>
      <x:c r="F1433" t="n">
        <x:v>0</x:v>
      </x:c>
      <x:c r="G1433"/>
      <x:c r="H1433"/>
      <x:c r="I1433"/>
      <x:c r="J1433"/>
      <x:c r="K1433" t="str">
        <x:v>END QUARTER 2</x:v>
      </x:c>
      <x:c r="L1433"/>
      <x:c r="M1433"/>
      <x:c r="N1433" t="n">
        <x:v>0</x:v>
      </x:c>
      <x:c r="O1433" t="n">
        <x:v>0</x:v>
      </x:c>
      <x:c r="P1433"/>
      <x:c r="Q1433"/>
      <x:c r="R1433"/>
      <x:c r="S1433"/>
      <x:c r="T1433"/>
      <x:c r="U1433"/>
      <x:c r="V1433"/>
      <x:c r="W1433"/>
      <x:c r="X1433"/>
      <x:c r="Y1433"/>
      <x:c r="Z1433"/>
      <x:c r="AA1433"/>
      <x:c r="AB1433"/>
      <x:c r="AC1433"/>
      <x:c r="AD1433"/>
      <x:c r="AE1433"/>
      <x:c r="AF1433" t="n">
        <x:v>0</x:v>
      </x:c>
      <x:c r="AG1433" t="n">
        <x:f>_xlfn.XLOOKUP($A1433,Games!$A$2:$A$18,Games!$B$2:$B$18,"Missing game",0)</x:f>
        <x:v>2025</x:v>
      </x:c>
      <x:c r="AH1433" t="str">
        <x:f>_xlfn.XLOOKUP($A1433,Games!$A$2:$A$18,Games!$C$2:$C$18,"Missing game",0)</x:f>
        <x:v>REG</x:v>
      </x:c>
      <x:c r="AI1433" t="n">
        <x:f>_xlfn.XLOOKUP($A1433,Games!$A$2:$A$18,Games!$D$2:$D$18,"Missing game",0)</x:f>
        <x:v>10</x:v>
      </x:c>
      <x:c r="AJ1433" s="1" t="n">
        <x:f>_xlfn.XLOOKUP($A1433,Games!$A$2:$A$18,Games!$E$2:$E$18,"Missing game",0)</x:f>
        <x:v>45970</x:v>
      </x:c>
      <x:c r="AK1433" t="str">
        <x:f>_xlfn.XLOOKUP($A1433,Games!$A$2:$A$18,Games!$F$2:$F$18,"Missing game",0)</x:f>
        <x:v>Sunday</x:v>
      </x:c>
      <x:c r="AL1433" t="str">
        <x:f>_xlfn.XLOOKUP($A1433,Games!$A$2:$A$18,Games!$G$2:$G$18,"Missing game",0)</x:f>
        <x:v>BAL</x:v>
      </x:c>
      <x:c r="AM1433" t="n">
        <x:f>_xlfn.XLOOKUP($A1433,Games!$A$2:$A$18,Games!$H$2:$H$18,"Missing game",0)</x:f>
        <x:v>27</x:v>
      </x:c>
      <x:c r="AN1433" t="str">
        <x:f>_xlfn.XLOOKUP($A1433,Games!$A$2:$A$18,Games!$I$2:$I$18,"Missing game",0)</x:f>
        <x:v>MIN</x:v>
      </x:c>
      <x:c r="AO1433" t="n">
        <x:f>_xlfn.XLOOKUP($A1433,Games!$A$2:$A$18,Games!$J$2:$J$18,"Missing game",0)</x:f>
        <x:v>19</x:v>
      </x:c>
      <x:c r="AP1433" t="n">
        <x:f>_xlfn.XLOOKUP($A1433,Games!$A$2:$A$18,Games!$K$2:$K$18,"Missing game",0)</x:f>
        <x:v>-8</x:v>
      </x:c>
      <x:c r="AQ1433" t="n">
        <x:f>_xlfn.XLOOKUP($A1433,Games!$A$2:$A$18,Games!$L$2:$L$18,"Missing game",0)</x:f>
        <x:v>46</x:v>
      </x:c>
      <x:c r="AR1433" t="n">
        <x:f>_xlfn.XLOOKUP($A1433,Games!$A$2:$A$18,Games!$M$2:$M$18,"Missing game",0)</x:f>
        <x:v>0</x:v>
      </x:c>
      <x:c r="AS1433" t="str">
        <x:f>_xlfn.XLOOKUP($A1433,Games!$A$2:$A$18,Games!$N$2:$N$18,"Missing game",0)</x:f>
        <x:v>dome</x:v>
      </x:c>
      <x:c r="AT1433" t="str">
        <x:f>_xlfn.XLOOKUP($A1433,Games!$A$2:$A$18,Games!$O$2:$O$18,"Missing game",0)</x:f>
        <x:v>sportturf</x:v>
      </x:c>
      <x:c r="AU1433" t="str">
        <x:f>_xlfn.XLOOKUP($A1433,Games!$A$2:$A$18,Games!$P$2:$P$18,"Missing game",0)</x:f>
      </x:c>
      <x:c r="AV1433" t="str">
        <x:f>_xlfn.XLOOKUP($A1433,Games!$A$2:$A$18,Games!$Q$2:$Q$18,"Missing game",0)</x:f>
      </x:c>
      <x:c r="AW1433" t="str">
        <x:f>_xlfn.XLOOKUP($A1433,Games!$A$2:$A$18,Games!$R$2:$R$18,"Missing game",0)</x:f>
        <x:v>U.S. Bank Stadium</x:v>
      </x:c>
    </x:row>
    <x:row r="1434">
      <x:c r="A1434" t="str">
        <x:v>2025_10_BAL_MIN</x:v>
      </x:c>
      <x:c r="B1434" t="n">
        <x:v>2041</x:v>
      </x:c>
      <x:c r="C1434" t="n">
        <x:v>3</x:v>
      </x:c>
      <x:c r="D1434" t="str">
        <x:v>15:00</x:v>
      </x:c>
      <x:c r="E1434"/>
      <x:c r="F1434" t="n">
        <x:v>0</x:v>
      </x:c>
      <x:c r="G1434" t="str">
        <x:v>MIN</x:v>
      </x:c>
      <x:c r="H1434" t="str">
        <x:v>BAL</x:v>
      </x:c>
      <x:c r="I1434" t="str">
        <x:v>BAL</x:v>
      </x:c>
      <x:c r="J1434" t="n">
        <x:v>35</x:v>
      </x:c>
      <x:c r="K1434" t="str">
        <x:v>33-T.Loop kicks 63 yards from BAL 35 to MIN 2. 4-M.Price to MIN 24 for 22 yards (40-T.Buchanan).</x:v>
      </x:c>
      <x:c r="L1434" t="str">
        <x:v>kickoff</x:v>
      </x:c>
      <x:c r="M1434" t="n">
        <x:v>0</x:v>
      </x:c>
      <x:c r="N1434" t="n">
        <x:v>0</x:v>
      </x:c>
      <x:c r="O1434" t="n">
        <x:v>0</x:v>
      </x:c>
      <x:c r="P1434"/>
      <x:c r="Q1434"/>
      <x:c r="R1434"/>
      <x:c r="S1434"/>
      <x:c r="T1434"/>
      <x:c r="U1434"/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0</x:v>
      </x:c>
      <x:c r="AB1434"/>
      <x:c r="AC1434" t="n">
        <x:v>0</x:v>
      </x:c>
      <x:c r="AD1434" t="n">
        <x:v>-0.30823750514537096</x:v>
      </x:c>
      <x:c r="AE1434" t="n">
        <x:v>0</x:v>
      </x:c>
      <x:c r="AF1434" t="n">
        <x:v>0</x:v>
      </x:c>
      <x:c r="AG1434" t="n">
        <x:f>_xlfn.XLOOKUP($A1434,Games!$A$2:$A$18,Games!$B$2:$B$18,"Missing game",0)</x:f>
        <x:v>2025</x:v>
      </x:c>
      <x:c r="AH1434" t="str">
        <x:f>_xlfn.XLOOKUP($A1434,Games!$A$2:$A$18,Games!$C$2:$C$18,"Missing game",0)</x:f>
        <x:v>REG</x:v>
      </x:c>
      <x:c r="AI1434" t="n">
        <x:f>_xlfn.XLOOKUP($A1434,Games!$A$2:$A$18,Games!$D$2:$D$18,"Missing game",0)</x:f>
        <x:v>10</x:v>
      </x:c>
      <x:c r="AJ1434" s="1" t="n">
        <x:f>_xlfn.XLOOKUP($A1434,Games!$A$2:$A$18,Games!$E$2:$E$18,"Missing game",0)</x:f>
        <x:v>45970</x:v>
      </x:c>
      <x:c r="AK1434" t="str">
        <x:f>_xlfn.XLOOKUP($A1434,Games!$A$2:$A$18,Games!$F$2:$F$18,"Missing game",0)</x:f>
        <x:v>Sunday</x:v>
      </x:c>
      <x:c r="AL1434" t="str">
        <x:f>_xlfn.XLOOKUP($A1434,Games!$A$2:$A$18,Games!$G$2:$G$18,"Missing game",0)</x:f>
        <x:v>BAL</x:v>
      </x:c>
      <x:c r="AM1434" t="n">
        <x:f>_xlfn.XLOOKUP($A1434,Games!$A$2:$A$18,Games!$H$2:$H$18,"Missing game",0)</x:f>
        <x:v>27</x:v>
      </x:c>
      <x:c r="AN1434" t="str">
        <x:f>_xlfn.XLOOKUP($A1434,Games!$A$2:$A$18,Games!$I$2:$I$18,"Missing game",0)</x:f>
        <x:v>MIN</x:v>
      </x:c>
      <x:c r="AO1434" t="n">
        <x:f>_xlfn.XLOOKUP($A1434,Games!$A$2:$A$18,Games!$J$2:$J$18,"Missing game",0)</x:f>
        <x:v>19</x:v>
      </x:c>
      <x:c r="AP1434" t="n">
        <x:f>_xlfn.XLOOKUP($A1434,Games!$A$2:$A$18,Games!$K$2:$K$18,"Missing game",0)</x:f>
        <x:v>-8</x:v>
      </x:c>
      <x:c r="AQ1434" t="n">
        <x:f>_xlfn.XLOOKUP($A1434,Games!$A$2:$A$18,Games!$L$2:$L$18,"Missing game",0)</x:f>
        <x:v>46</x:v>
      </x:c>
      <x:c r="AR1434" t="n">
        <x:f>_xlfn.XLOOKUP($A1434,Games!$A$2:$A$18,Games!$M$2:$M$18,"Missing game",0)</x:f>
        <x:v>0</x:v>
      </x:c>
      <x:c r="AS1434" t="str">
        <x:f>_xlfn.XLOOKUP($A1434,Games!$A$2:$A$18,Games!$N$2:$N$18,"Missing game",0)</x:f>
        <x:v>dome</x:v>
      </x:c>
      <x:c r="AT1434" t="str">
        <x:f>_xlfn.XLOOKUP($A1434,Games!$A$2:$A$18,Games!$O$2:$O$18,"Missing game",0)</x:f>
        <x:v>sportturf</x:v>
      </x:c>
      <x:c r="AU1434" t="str">
        <x:f>_xlfn.XLOOKUP($A1434,Games!$A$2:$A$18,Games!$P$2:$P$18,"Missing game",0)</x:f>
      </x:c>
      <x:c r="AV1434" t="str">
        <x:f>_xlfn.XLOOKUP($A1434,Games!$A$2:$A$18,Games!$Q$2:$Q$18,"Missing game",0)</x:f>
      </x:c>
      <x:c r="AW1434" t="str">
        <x:f>_xlfn.XLOOKUP($A1434,Games!$A$2:$A$18,Games!$R$2:$R$18,"Missing game",0)</x:f>
        <x:v>U.S. Bank Stadium</x:v>
      </x:c>
    </x:row>
    <x:row r="1435">
      <x:c r="A1435" t="str">
        <x:v>2025_10_BAL_MIN</x:v>
      </x:c>
      <x:c r="B1435" t="n">
        <x:v>2064</x:v>
      </x:c>
      <x:c r="C1435" t="n">
        <x:v>3</x:v>
      </x:c>
      <x:c r="D1435" t="str">
        <x:v>14:55</x:v>
      </x:c>
      <x:c r="E1435" t="n">
        <x:v>1</x:v>
      </x:c>
      <x:c r="F1435" t="n">
        <x:v>10</x:v>
      </x:c>
      <x:c r="G1435" t="str">
        <x:v>MIN</x:v>
      </x:c>
      <x:c r="H1435" t="str">
        <x:v>BAL</x:v>
      </x:c>
      <x:c r="I1435" t="str">
        <x:v>MIN</x:v>
      </x:c>
      <x:c r="J1435" t="n">
        <x:v>76</x:v>
      </x:c>
      <x:c r="K1435" t="str">
        <x:v>(14:55) 33-A.Jones up the middle to MIN 41 for 17 yards (24-M.Starks; 44-M.Humphrey).</x:v>
      </x:c>
      <x:c r="L1435" t="str">
        <x:v>run</x:v>
      </x:c>
      <x:c r="M1435" t="n">
        <x:v>17</x:v>
      </x:c>
      <x:c r="N1435" t="n">
        <x:v>0</x:v>
      </x:c>
      <x:c r="O1435" t="n">
        <x:v>0</x:v>
      </x:c>
      <x:c r="P1435"/>
      <x:c r="Q1435"/>
      <x:c r="R1435"/>
      <x:c r="S1435"/>
      <x:c r="T1435" t="str">
        <x:v>middle</x:v>
      </x:c>
      <x:c r="U1435"/>
      <x:c r="V1435" t="n">
        <x:v>0</x:v>
      </x:c>
      <x:c r="W1435" t="n">
        <x:v>1</x:v>
      </x:c>
      <x:c r="X1435" t="n">
        <x:v>0</x:v>
      </x:c>
      <x:c r="Y1435" t="n">
        <x:v>0</x:v>
      </x:c>
      <x:c r="Z1435" t="n">
        <x:v>0</x:v>
      </x:c>
      <x:c r="AA1435" t="n">
        <x:v>0</x:v>
      </x:c>
      <x:c r="AB1435"/>
      <x:c r="AC1435" t="n">
        <x:v>0</x:v>
      </x:c>
      <x:c r="AD1435" t="n">
        <x:v>1.2031083728652447</x:v>
      </x:c>
      <x:c r="AE1435" t="n">
        <x:v>1</x:v>
      </x:c>
      <x:c r="AF1435" t="n">
        <x:v>0.02478700876235962</x:v>
      </x:c>
      <x:c r="AG1435" t="n">
        <x:f>_xlfn.XLOOKUP($A1435,Games!$A$2:$A$18,Games!$B$2:$B$18,"Missing game",0)</x:f>
        <x:v>2025</x:v>
      </x:c>
      <x:c r="AH1435" t="str">
        <x:f>_xlfn.XLOOKUP($A1435,Games!$A$2:$A$18,Games!$C$2:$C$18,"Missing game",0)</x:f>
        <x:v>REG</x:v>
      </x:c>
      <x:c r="AI1435" t="n">
        <x:f>_xlfn.XLOOKUP($A1435,Games!$A$2:$A$18,Games!$D$2:$D$18,"Missing game",0)</x:f>
        <x:v>10</x:v>
      </x:c>
      <x:c r="AJ1435" s="1" t="n">
        <x:f>_xlfn.XLOOKUP($A1435,Games!$A$2:$A$18,Games!$E$2:$E$18,"Missing game",0)</x:f>
        <x:v>45970</x:v>
      </x:c>
      <x:c r="AK1435" t="str">
        <x:f>_xlfn.XLOOKUP($A1435,Games!$A$2:$A$18,Games!$F$2:$F$18,"Missing game",0)</x:f>
        <x:v>Sunday</x:v>
      </x:c>
      <x:c r="AL1435" t="str">
        <x:f>_xlfn.XLOOKUP($A1435,Games!$A$2:$A$18,Games!$G$2:$G$18,"Missing game",0)</x:f>
        <x:v>BAL</x:v>
      </x:c>
      <x:c r="AM1435" t="n">
        <x:f>_xlfn.XLOOKUP($A1435,Games!$A$2:$A$18,Games!$H$2:$H$18,"Missing game",0)</x:f>
        <x:v>27</x:v>
      </x:c>
      <x:c r="AN1435" t="str">
        <x:f>_xlfn.XLOOKUP($A1435,Games!$A$2:$A$18,Games!$I$2:$I$18,"Missing game",0)</x:f>
        <x:v>MIN</x:v>
      </x:c>
      <x:c r="AO1435" t="n">
        <x:f>_xlfn.XLOOKUP($A1435,Games!$A$2:$A$18,Games!$J$2:$J$18,"Missing game",0)</x:f>
        <x:v>19</x:v>
      </x:c>
      <x:c r="AP1435" t="n">
        <x:f>_xlfn.XLOOKUP($A1435,Games!$A$2:$A$18,Games!$K$2:$K$18,"Missing game",0)</x:f>
        <x:v>-8</x:v>
      </x:c>
      <x:c r="AQ1435" t="n">
        <x:f>_xlfn.XLOOKUP($A1435,Games!$A$2:$A$18,Games!$L$2:$L$18,"Missing game",0)</x:f>
        <x:v>46</x:v>
      </x:c>
      <x:c r="AR1435" t="n">
        <x:f>_xlfn.XLOOKUP($A1435,Games!$A$2:$A$18,Games!$M$2:$M$18,"Missing game",0)</x:f>
        <x:v>0</x:v>
      </x:c>
      <x:c r="AS1435" t="str">
        <x:f>_xlfn.XLOOKUP($A1435,Games!$A$2:$A$18,Games!$N$2:$N$18,"Missing game",0)</x:f>
        <x:v>dome</x:v>
      </x:c>
      <x:c r="AT1435" t="str">
        <x:f>_xlfn.XLOOKUP($A1435,Games!$A$2:$A$18,Games!$O$2:$O$18,"Missing game",0)</x:f>
        <x:v>sportturf</x:v>
      </x:c>
      <x:c r="AU1435" t="str">
        <x:f>_xlfn.XLOOKUP($A1435,Games!$A$2:$A$18,Games!$P$2:$P$18,"Missing game",0)</x:f>
      </x:c>
      <x:c r="AV1435" t="str">
        <x:f>_xlfn.XLOOKUP($A1435,Games!$A$2:$A$18,Games!$Q$2:$Q$18,"Missing game",0)</x:f>
      </x:c>
      <x:c r="AW1435" t="str">
        <x:f>_xlfn.XLOOKUP($A1435,Games!$A$2:$A$18,Games!$R$2:$R$18,"Missing game",0)</x:f>
        <x:v>U.S. Bank Stadium</x:v>
      </x:c>
    </x:row>
    <x:row r="1436">
      <x:c r="A1436" t="str">
        <x:v>2025_10_BAL_MIN</x:v>
      </x:c>
      <x:c r="B1436" t="n">
        <x:v>2086</x:v>
      </x:c>
      <x:c r="C1436" t="n">
        <x:v>3</x:v>
      </x:c>
      <x:c r="D1436" t="str">
        <x:v>14:17</x:v>
      </x:c>
      <x:c r="E1436" t="n">
        <x:v>1</x:v>
      </x:c>
      <x:c r="F1436" t="n">
        <x:v>10</x:v>
      </x:c>
      <x:c r="G1436" t="str">
        <x:v>MIN</x:v>
      </x:c>
      <x:c r="H1436" t="str">
        <x:v>BAL</x:v>
      </x:c>
      <x:c r="I1436" t="str">
        <x:v>MIN</x:v>
      </x:c>
      <x:c r="J1436" t="n">
        <x:v>59</x:v>
      </x:c>
      <x:c r="K1436" t="str">
        <x:v>(14:17) 33-A.Jones left end to MIN 46 for 5 yards (2-N.Wiggins).</x:v>
      </x:c>
      <x:c r="L1436" t="str">
        <x:v>run</x:v>
      </x:c>
      <x:c r="M1436" t="n">
        <x:v>5</x:v>
      </x:c>
      <x:c r="N1436" t="n">
        <x:v>0</x:v>
      </x:c>
      <x:c r="O1436" t="n">
        <x:v>0</x:v>
      </x:c>
      <x:c r="P1436"/>
      <x:c r="Q1436"/>
      <x:c r="R1436"/>
      <x:c r="S1436"/>
      <x:c r="T1436" t="str">
        <x:v>left</x:v>
      </x:c>
      <x:c r="U1436" t="str">
        <x:v>end</x:v>
      </x:c>
      <x:c r="V1436" t="n">
        <x:v>0</x:v>
      </x:c>
      <x:c r="W1436" t="n">
        <x:v>0</x:v>
      </x:c>
      <x:c r="X1436" t="n">
        <x:v>0</x:v>
      </x:c>
      <x:c r="Y1436" t="n">
        <x:v>0</x:v>
      </x:c>
      <x:c r="Z1436" t="n">
        <x:v>0</x:v>
      </x:c>
      <x:c r="AA1436" t="n">
        <x:v>0</x:v>
      </x:c>
      <x:c r="AB1436"/>
      <x:c r="AC1436" t="n">
        <x:v>0</x:v>
      </x:c>
      <x:c r="AD1436" t="n">
        <x:v>0.07047196966595948</x:v>
      </x:c>
      <x:c r="AE1436" t="n">
        <x:v>1</x:v>
      </x:c>
      <x:c r="AF1436" t="n">
        <x:v>-0.0021921396255493164</x:v>
      </x:c>
      <x:c r="AG1436" t="n">
        <x:f>_xlfn.XLOOKUP($A1436,Games!$A$2:$A$18,Games!$B$2:$B$18,"Missing game",0)</x:f>
        <x:v>2025</x:v>
      </x:c>
      <x:c r="AH1436" t="str">
        <x:f>_xlfn.XLOOKUP($A1436,Games!$A$2:$A$18,Games!$C$2:$C$18,"Missing game",0)</x:f>
        <x:v>REG</x:v>
      </x:c>
      <x:c r="AI1436" t="n">
        <x:f>_xlfn.XLOOKUP($A1436,Games!$A$2:$A$18,Games!$D$2:$D$18,"Missing game",0)</x:f>
        <x:v>10</x:v>
      </x:c>
      <x:c r="AJ1436" s="1" t="n">
        <x:f>_xlfn.XLOOKUP($A1436,Games!$A$2:$A$18,Games!$E$2:$E$18,"Missing game",0)</x:f>
        <x:v>45970</x:v>
      </x:c>
      <x:c r="AK1436" t="str">
        <x:f>_xlfn.XLOOKUP($A1436,Games!$A$2:$A$18,Games!$F$2:$F$18,"Missing game",0)</x:f>
        <x:v>Sunday</x:v>
      </x:c>
      <x:c r="AL1436" t="str">
        <x:f>_xlfn.XLOOKUP($A1436,Games!$A$2:$A$18,Games!$G$2:$G$18,"Missing game",0)</x:f>
        <x:v>BAL</x:v>
      </x:c>
      <x:c r="AM1436" t="n">
        <x:f>_xlfn.XLOOKUP($A1436,Games!$A$2:$A$18,Games!$H$2:$H$18,"Missing game",0)</x:f>
        <x:v>27</x:v>
      </x:c>
      <x:c r="AN1436" t="str">
        <x:f>_xlfn.XLOOKUP($A1436,Games!$A$2:$A$18,Games!$I$2:$I$18,"Missing game",0)</x:f>
        <x:v>MIN</x:v>
      </x:c>
      <x:c r="AO1436" t="n">
        <x:f>_xlfn.XLOOKUP($A1436,Games!$A$2:$A$18,Games!$J$2:$J$18,"Missing game",0)</x:f>
        <x:v>19</x:v>
      </x:c>
      <x:c r="AP1436" t="n">
        <x:f>_xlfn.XLOOKUP($A1436,Games!$A$2:$A$18,Games!$K$2:$K$18,"Missing game",0)</x:f>
        <x:v>-8</x:v>
      </x:c>
      <x:c r="AQ1436" t="n">
        <x:f>_xlfn.XLOOKUP($A1436,Games!$A$2:$A$18,Games!$L$2:$L$18,"Missing game",0)</x:f>
        <x:v>46</x:v>
      </x:c>
      <x:c r="AR1436" t="n">
        <x:f>_xlfn.XLOOKUP($A1436,Games!$A$2:$A$18,Games!$M$2:$M$18,"Missing game",0)</x:f>
        <x:v>0</x:v>
      </x:c>
      <x:c r="AS1436" t="str">
        <x:f>_xlfn.XLOOKUP($A1436,Games!$A$2:$A$18,Games!$N$2:$N$18,"Missing game",0)</x:f>
        <x:v>dome</x:v>
      </x:c>
      <x:c r="AT1436" t="str">
        <x:f>_xlfn.XLOOKUP($A1436,Games!$A$2:$A$18,Games!$O$2:$O$18,"Missing game",0)</x:f>
        <x:v>sportturf</x:v>
      </x:c>
      <x:c r="AU1436" t="str">
        <x:f>_xlfn.XLOOKUP($A1436,Games!$A$2:$A$18,Games!$P$2:$P$18,"Missing game",0)</x:f>
      </x:c>
      <x:c r="AV1436" t="str">
        <x:f>_xlfn.XLOOKUP($A1436,Games!$A$2:$A$18,Games!$Q$2:$Q$18,"Missing game",0)</x:f>
      </x:c>
      <x:c r="AW1436" t="str">
        <x:f>_xlfn.XLOOKUP($A1436,Games!$A$2:$A$18,Games!$R$2:$R$18,"Missing game",0)</x:f>
        <x:v>U.S. Bank Stadium</x:v>
      </x:c>
    </x:row>
    <x:row r="1437">
      <x:c r="A1437" t="str">
        <x:v>2025_10_BAL_MIN</x:v>
      </x:c>
      <x:c r="B1437" t="n">
        <x:v>2108</x:v>
      </x:c>
      <x:c r="C1437" t="n">
        <x:v>3</x:v>
      </x:c>
      <x:c r="D1437" t="str">
        <x:v>13:38</x:v>
      </x:c>
      <x:c r="E1437" t="n">
        <x:v>2</x:v>
      </x:c>
      <x:c r="F1437" t="n">
        <x:v>5</x:v>
      </x:c>
      <x:c r="G1437" t="str">
        <x:v>MIN</x:v>
      </x:c>
      <x:c r="H1437" t="str">
        <x:v>BAL</x:v>
      </x:c>
      <x:c r="I1437" t="str">
        <x:v>MIN</x:v>
      </x:c>
      <x:c r="J1437" t="n">
        <x:v>54</x:v>
      </x:c>
      <x:c r="K1437" t="str">
        <x:v>(13:38) 9-J.McCarthy pass short left to 3-J.Addison pushed ob at 50 for 4 yards (40-T.Buchanan).</x:v>
      </x:c>
      <x:c r="L1437" t="str">
        <x:v>pass</x:v>
      </x:c>
      <x:c r="M1437" t="n">
        <x:v>4</x:v>
      </x:c>
      <x:c r="N1437" t="n">
        <x:v>0</x:v>
      </x:c>
      <x:c r="O1437" t="n">
        <x:v>0</x:v>
      </x:c>
      <x:c r="P1437" t="str">
        <x:v>short</x:v>
      </x:c>
      <x:c r="Q1437" t="str">
        <x:v>left</x:v>
      </x:c>
      <x:c r="R1437" t="n">
        <x:v>2</x:v>
      </x:c>
      <x:c r="S1437" t="n">
        <x:v>2</x:v>
      </x:c>
      <x:c r="T1437"/>
      <x:c r="U1437"/>
      <x:c r="V1437" t="n">
        <x:v>1</x:v>
      </x:c>
      <x:c r="W1437" t="n">
        <x:v>0</x:v>
      </x:c>
      <x:c r="X1437" t="n">
        <x:v>0</x:v>
      </x:c>
      <x:c r="Y1437" t="n">
        <x:v>0</x:v>
      </x:c>
      <x:c r="Z1437" t="n">
        <x:v>0</x:v>
      </x:c>
      <x:c r="AA1437" t="n">
        <x:v>0</x:v>
      </x:c>
      <x:c r="AB1437"/>
      <x:c r="AC1437" t="n">
        <x:v>0</x:v>
      </x:c>
      <x:c r="AD1437" t="n">
        <x:v>0.10024557309225202</x:v>
      </x:c>
      <x:c r="AE1437" t="n">
        <x:v>1</x:v>
      </x:c>
      <x:c r="AF1437" t="n">
        <x:v>0.0139121413230896</x:v>
      </x:c>
      <x:c r="AG1437" t="n">
        <x:f>_xlfn.XLOOKUP($A1437,Games!$A$2:$A$18,Games!$B$2:$B$18,"Missing game",0)</x:f>
        <x:v>2025</x:v>
      </x:c>
      <x:c r="AH1437" t="str">
        <x:f>_xlfn.XLOOKUP($A1437,Games!$A$2:$A$18,Games!$C$2:$C$18,"Missing game",0)</x:f>
        <x:v>REG</x:v>
      </x:c>
      <x:c r="AI1437" t="n">
        <x:f>_xlfn.XLOOKUP($A1437,Games!$A$2:$A$18,Games!$D$2:$D$18,"Missing game",0)</x:f>
        <x:v>10</x:v>
      </x:c>
      <x:c r="AJ1437" s="1" t="n">
        <x:f>_xlfn.XLOOKUP($A1437,Games!$A$2:$A$18,Games!$E$2:$E$18,"Missing game",0)</x:f>
        <x:v>45970</x:v>
      </x:c>
      <x:c r="AK1437" t="str">
        <x:f>_xlfn.XLOOKUP($A1437,Games!$A$2:$A$18,Games!$F$2:$F$18,"Missing game",0)</x:f>
        <x:v>Sunday</x:v>
      </x:c>
      <x:c r="AL1437" t="str">
        <x:f>_xlfn.XLOOKUP($A1437,Games!$A$2:$A$18,Games!$G$2:$G$18,"Missing game",0)</x:f>
        <x:v>BAL</x:v>
      </x:c>
      <x:c r="AM1437" t="n">
        <x:f>_xlfn.XLOOKUP($A1437,Games!$A$2:$A$18,Games!$H$2:$H$18,"Missing game",0)</x:f>
        <x:v>27</x:v>
      </x:c>
      <x:c r="AN1437" t="str">
        <x:f>_xlfn.XLOOKUP($A1437,Games!$A$2:$A$18,Games!$I$2:$I$18,"Missing game",0)</x:f>
        <x:v>MIN</x:v>
      </x:c>
      <x:c r="AO1437" t="n">
        <x:f>_xlfn.XLOOKUP($A1437,Games!$A$2:$A$18,Games!$J$2:$J$18,"Missing game",0)</x:f>
        <x:v>19</x:v>
      </x:c>
      <x:c r="AP1437" t="n">
        <x:f>_xlfn.XLOOKUP($A1437,Games!$A$2:$A$18,Games!$K$2:$K$18,"Missing game",0)</x:f>
        <x:v>-8</x:v>
      </x:c>
      <x:c r="AQ1437" t="n">
        <x:f>_xlfn.XLOOKUP($A1437,Games!$A$2:$A$18,Games!$L$2:$L$18,"Missing game",0)</x:f>
        <x:v>46</x:v>
      </x:c>
      <x:c r="AR1437" t="n">
        <x:f>_xlfn.XLOOKUP($A1437,Games!$A$2:$A$18,Games!$M$2:$M$18,"Missing game",0)</x:f>
        <x:v>0</x:v>
      </x:c>
      <x:c r="AS1437" t="str">
        <x:f>_xlfn.XLOOKUP($A1437,Games!$A$2:$A$18,Games!$N$2:$N$18,"Missing game",0)</x:f>
        <x:v>dome</x:v>
      </x:c>
      <x:c r="AT1437" t="str">
        <x:f>_xlfn.XLOOKUP($A1437,Games!$A$2:$A$18,Games!$O$2:$O$18,"Missing game",0)</x:f>
        <x:v>sportturf</x:v>
      </x:c>
      <x:c r="AU1437" t="str">
        <x:f>_xlfn.XLOOKUP($A1437,Games!$A$2:$A$18,Games!$P$2:$P$18,"Missing game",0)</x:f>
      </x:c>
      <x:c r="AV1437" t="str">
        <x:f>_xlfn.XLOOKUP($A1437,Games!$A$2:$A$18,Games!$Q$2:$Q$18,"Missing game",0)</x:f>
      </x:c>
      <x:c r="AW1437" t="str">
        <x:f>_xlfn.XLOOKUP($A1437,Games!$A$2:$A$18,Games!$R$2:$R$18,"Missing game",0)</x:f>
        <x:v>U.S. Bank Stadium</x:v>
      </x:c>
    </x:row>
    <x:row r="1438">
      <x:c r="A1438" t="str">
        <x:v>2025_10_BAL_MIN</x:v>
      </x:c>
      <x:c r="B1438" t="n">
        <x:v>2138</x:v>
      </x:c>
      <x:c r="C1438" t="n">
        <x:v>3</x:v>
      </x:c>
      <x:c r="D1438" t="str">
        <x:v>12:55</x:v>
      </x:c>
      <x:c r="E1438" t="n">
        <x:v>3</x:v>
      </x:c>
      <x:c r="F1438" t="n">
        <x:v>1</x:v>
      </x:c>
      <x:c r="G1438" t="str">
        <x:v>MIN</x:v>
      </x:c>
      <x:c r="H1438" t="str">
        <x:v>BAL</x:v>
      </x:c>
      <x:c r="I1438" t="str">
        <x:v>50</x:v>
      </x:c>
      <x:c r="J1438" t="n">
        <x:v>50</x:v>
      </x:c>
      <x:c r="K1438" t="str">
        <x:v>(12:55) 9-J.McCarthy pass deep middle intended for 18-J.Jefferson INTERCEPTED by 44-M.Humphrey at BAL 2. 44-M.Humphrey ran ob at BAL 29 for 27 yards (74-D.Jackson; 33-A.Jones).</x:v>
      </x:c>
      <x:c r="L1438" t="str">
        <x:v>pass</x:v>
      </x:c>
      <x:c r="M1438" t="n">
        <x:v>0</x:v>
      </x:c>
      <x:c r="N1438" t="n">
        <x:v>0</x:v>
      </x:c>
      <x:c r="O1438" t="n">
        <x:v>0</x:v>
      </x:c>
      <x:c r="P1438" t="str">
        <x:v>deep</x:v>
      </x:c>
      <x:c r="Q1438" t="str">
        <x:v>middle</x:v>
      </x:c>
      <x:c r="R1438" t="n">
        <x:v>48</x:v>
      </x:c>
      <x:c r="S1438"/>
      <x:c r="T1438"/>
      <x:c r="U1438"/>
      <x:c r="V1438" t="n">
        <x:v>0</x:v>
      </x:c>
      <x:c r="W1438" t="n">
        <x:v>0</x:v>
      </x:c>
      <x:c r="X1438" t="n">
        <x:v>0</x:v>
      </x:c>
      <x:c r="Y1438" t="n">
        <x:v>1</x:v>
      </x:c>
      <x:c r="Z1438" t="n">
        <x:v>0</x:v>
      </x:c>
      <x:c r="AA1438" t="n">
        <x:v>0</x:v>
      </x:c>
      <x:c r="AB1438"/>
      <x:c r="AC1438" t="n">
        <x:v>0</x:v>
      </x:c>
      <x:c r="AD1438" t="n">
        <x:v>-4.301973065827042</x:v>
      </x:c>
      <x:c r="AE1438" t="n">
        <x:v>0</x:v>
      </x:c>
      <x:c r="AF1438" t="n">
        <x:v>-0.10852012038230896</x:v>
      </x:c>
      <x:c r="AG1438" t="n">
        <x:f>_xlfn.XLOOKUP($A1438,Games!$A$2:$A$18,Games!$B$2:$B$18,"Missing game",0)</x:f>
        <x:v>2025</x:v>
      </x:c>
      <x:c r="AH1438" t="str">
        <x:f>_xlfn.XLOOKUP($A1438,Games!$A$2:$A$18,Games!$C$2:$C$18,"Missing game",0)</x:f>
        <x:v>REG</x:v>
      </x:c>
      <x:c r="AI1438" t="n">
        <x:f>_xlfn.XLOOKUP($A1438,Games!$A$2:$A$18,Games!$D$2:$D$18,"Missing game",0)</x:f>
        <x:v>10</x:v>
      </x:c>
      <x:c r="AJ1438" s="1" t="n">
        <x:f>_xlfn.XLOOKUP($A1438,Games!$A$2:$A$18,Games!$E$2:$E$18,"Missing game",0)</x:f>
        <x:v>45970</x:v>
      </x:c>
      <x:c r="AK1438" t="str">
        <x:f>_xlfn.XLOOKUP($A1438,Games!$A$2:$A$18,Games!$F$2:$F$18,"Missing game",0)</x:f>
        <x:v>Sunday</x:v>
      </x:c>
      <x:c r="AL1438" t="str">
        <x:f>_xlfn.XLOOKUP($A1438,Games!$A$2:$A$18,Games!$G$2:$G$18,"Missing game",0)</x:f>
        <x:v>BAL</x:v>
      </x:c>
      <x:c r="AM1438" t="n">
        <x:f>_xlfn.XLOOKUP($A1438,Games!$A$2:$A$18,Games!$H$2:$H$18,"Missing game",0)</x:f>
        <x:v>27</x:v>
      </x:c>
      <x:c r="AN1438" t="str">
        <x:f>_xlfn.XLOOKUP($A1438,Games!$A$2:$A$18,Games!$I$2:$I$18,"Missing game",0)</x:f>
        <x:v>MIN</x:v>
      </x:c>
      <x:c r="AO1438" t="n">
        <x:f>_xlfn.XLOOKUP($A1438,Games!$A$2:$A$18,Games!$J$2:$J$18,"Missing game",0)</x:f>
        <x:v>19</x:v>
      </x:c>
      <x:c r="AP1438" t="n">
        <x:f>_xlfn.XLOOKUP($A1438,Games!$A$2:$A$18,Games!$K$2:$K$18,"Missing game",0)</x:f>
        <x:v>-8</x:v>
      </x:c>
      <x:c r="AQ1438" t="n">
        <x:f>_xlfn.XLOOKUP($A1438,Games!$A$2:$A$18,Games!$L$2:$L$18,"Missing game",0)</x:f>
        <x:v>46</x:v>
      </x:c>
      <x:c r="AR1438" t="n">
        <x:f>_xlfn.XLOOKUP($A1438,Games!$A$2:$A$18,Games!$M$2:$M$18,"Missing game",0)</x:f>
        <x:v>0</x:v>
      </x:c>
      <x:c r="AS1438" t="str">
        <x:f>_xlfn.XLOOKUP($A1438,Games!$A$2:$A$18,Games!$N$2:$N$18,"Missing game",0)</x:f>
        <x:v>dome</x:v>
      </x:c>
      <x:c r="AT1438" t="str">
        <x:f>_xlfn.XLOOKUP($A1438,Games!$A$2:$A$18,Games!$O$2:$O$18,"Missing game",0)</x:f>
        <x:v>sportturf</x:v>
      </x:c>
      <x:c r="AU1438" t="str">
        <x:f>_xlfn.XLOOKUP($A1438,Games!$A$2:$A$18,Games!$P$2:$P$18,"Missing game",0)</x:f>
      </x:c>
      <x:c r="AV1438" t="str">
        <x:f>_xlfn.XLOOKUP($A1438,Games!$A$2:$A$18,Games!$Q$2:$Q$18,"Missing game",0)</x:f>
      </x:c>
      <x:c r="AW1438" t="str">
        <x:f>_xlfn.XLOOKUP($A1438,Games!$A$2:$A$18,Games!$R$2:$R$18,"Missing game",0)</x:f>
        <x:v>U.S. Bank Stadium</x:v>
      </x:c>
    </x:row>
    <x:row r="1439">
      <x:c r="A1439" t="str">
        <x:v>2025_10_BAL_MIN</x:v>
      </x:c>
      <x:c r="B1439" t="n">
        <x:v>2170</x:v>
      </x:c>
      <x:c r="C1439" t="n">
        <x:v>3</x:v>
      </x:c>
      <x:c r="D1439" t="str">
        <x:v>12:41</x:v>
      </x:c>
      <x:c r="E1439" t="n">
        <x:v>1</x:v>
      </x:c>
      <x:c r="F1439" t="n">
        <x:v>10</x:v>
      </x:c>
      <x:c r="G1439" t="str">
        <x:v>BAL</x:v>
      </x:c>
      <x:c r="H1439" t="str">
        <x:v>MIN</x:v>
      </x:c>
      <x:c r="I1439" t="str">
        <x:v>BAL</x:v>
      </x:c>
      <x:c r="J1439" t="n">
        <x:v>71</x:v>
      </x:c>
      <x:c r="K1439" t="str">
        <x:v>(12:41) 8-L.Jackson pass incomplete deep right to 80-I.Likely. PENALTY on MIN-22-H.Smith, Defensive Pass Interference, 22 yards, enforced at BAL 29 - No Play.</x:v>
      </x:c>
      <x:c r="L1439" t="str">
        <x:v>no_play</x:v>
      </x:c>
      <x:c r="M1439" t="n">
        <x:v>0</x:v>
      </x:c>
      <x:c r="N1439" t="n">
        <x:v>0</x:v>
      </x:c>
      <x:c r="O1439" t="n">
        <x:v>0</x:v>
      </x:c>
      <x:c r="P1439"/>
      <x:c r="Q1439"/>
      <x:c r="R1439"/>
      <x:c r="S1439"/>
      <x:c r="T1439"/>
      <x:c r="U1439"/>
      <x:c r="V1439" t="n">
        <x:v>0</x:v>
      </x:c>
      <x:c r="W1439" t="n">
        <x:v>1</x:v>
      </x:c>
      <x:c r="X1439" t="n">
        <x:v>0</x:v>
      </x:c>
      <x:c r="Y1439" t="n">
        <x:v>0</x:v>
      </x:c>
      <x:c r="Z1439" t="n">
        <x:v>0</x:v>
      </x:c>
      <x:c r="AA1439" t="n">
        <x:v>1</x:v>
      </x:c>
      <x:c r="AB1439" t="n">
        <x:v>22</x:v>
      </x:c>
      <x:c r="AC1439" t="n">
        <x:v>0</x:v>
      </x:c>
      <x:c r="AD1439" t="n">
        <x:v>1.3821475983131677</x:v>
      </x:c>
      <x:c r="AE1439" t="n">
        <x:v>1</x:v>
      </x:c>
      <x:c r="AF1439" t="n">
        <x:v>0.05067780613899231</x:v>
      </x:c>
      <x:c r="AG1439" t="n">
        <x:f>_xlfn.XLOOKUP($A1439,Games!$A$2:$A$18,Games!$B$2:$B$18,"Missing game",0)</x:f>
        <x:v>2025</x:v>
      </x:c>
      <x:c r="AH1439" t="str">
        <x:f>_xlfn.XLOOKUP($A1439,Games!$A$2:$A$18,Games!$C$2:$C$18,"Missing game",0)</x:f>
        <x:v>REG</x:v>
      </x:c>
      <x:c r="AI1439" t="n">
        <x:f>_xlfn.XLOOKUP($A1439,Games!$A$2:$A$18,Games!$D$2:$D$18,"Missing game",0)</x:f>
        <x:v>10</x:v>
      </x:c>
      <x:c r="AJ1439" s="1" t="n">
        <x:f>_xlfn.XLOOKUP($A1439,Games!$A$2:$A$18,Games!$E$2:$E$18,"Missing game",0)</x:f>
        <x:v>45970</x:v>
      </x:c>
      <x:c r="AK1439" t="str">
        <x:f>_xlfn.XLOOKUP($A1439,Games!$A$2:$A$18,Games!$F$2:$F$18,"Missing game",0)</x:f>
        <x:v>Sunday</x:v>
      </x:c>
      <x:c r="AL1439" t="str">
        <x:f>_xlfn.XLOOKUP($A1439,Games!$A$2:$A$18,Games!$G$2:$G$18,"Missing game",0)</x:f>
        <x:v>BAL</x:v>
      </x:c>
      <x:c r="AM1439" t="n">
        <x:f>_xlfn.XLOOKUP($A1439,Games!$A$2:$A$18,Games!$H$2:$H$18,"Missing game",0)</x:f>
        <x:v>27</x:v>
      </x:c>
      <x:c r="AN1439" t="str">
        <x:f>_xlfn.XLOOKUP($A1439,Games!$A$2:$A$18,Games!$I$2:$I$18,"Missing game",0)</x:f>
        <x:v>MIN</x:v>
      </x:c>
      <x:c r="AO1439" t="n">
        <x:f>_xlfn.XLOOKUP($A1439,Games!$A$2:$A$18,Games!$J$2:$J$18,"Missing game",0)</x:f>
        <x:v>19</x:v>
      </x:c>
      <x:c r="AP1439" t="n">
        <x:f>_xlfn.XLOOKUP($A1439,Games!$A$2:$A$18,Games!$K$2:$K$18,"Missing game",0)</x:f>
        <x:v>-8</x:v>
      </x:c>
      <x:c r="AQ1439" t="n">
        <x:f>_xlfn.XLOOKUP($A1439,Games!$A$2:$A$18,Games!$L$2:$L$18,"Missing game",0)</x:f>
        <x:v>46</x:v>
      </x:c>
      <x:c r="AR1439" t="n">
        <x:f>_xlfn.XLOOKUP($A1439,Games!$A$2:$A$18,Games!$M$2:$M$18,"Missing game",0)</x:f>
        <x:v>0</x:v>
      </x:c>
      <x:c r="AS1439" t="str">
        <x:f>_xlfn.XLOOKUP($A1439,Games!$A$2:$A$18,Games!$N$2:$N$18,"Missing game",0)</x:f>
        <x:v>dome</x:v>
      </x:c>
      <x:c r="AT1439" t="str">
        <x:f>_xlfn.XLOOKUP($A1439,Games!$A$2:$A$18,Games!$O$2:$O$18,"Missing game",0)</x:f>
        <x:v>sportturf</x:v>
      </x:c>
      <x:c r="AU1439" t="str">
        <x:f>_xlfn.XLOOKUP($A1439,Games!$A$2:$A$18,Games!$P$2:$P$18,"Missing game",0)</x:f>
      </x:c>
      <x:c r="AV1439" t="str">
        <x:f>_xlfn.XLOOKUP($A1439,Games!$A$2:$A$18,Games!$Q$2:$Q$18,"Missing game",0)</x:f>
      </x:c>
      <x:c r="AW1439" t="str">
        <x:f>_xlfn.XLOOKUP($A1439,Games!$A$2:$A$18,Games!$R$2:$R$18,"Missing game",0)</x:f>
        <x:v>U.S. Bank Stadium</x:v>
      </x:c>
    </x:row>
    <x:row r="1440">
      <x:c r="A1440" t="str">
        <x:v>2025_10_BAL_MIN</x:v>
      </x:c>
      <x:c r="B1440" t="n">
        <x:v>2211</x:v>
      </x:c>
      <x:c r="C1440" t="n">
        <x:v>3</x:v>
      </x:c>
      <x:c r="D1440" t="str">
        <x:v>12:35</x:v>
      </x:c>
      <x:c r="E1440" t="n">
        <x:v>1</x:v>
      </x:c>
      <x:c r="F1440" t="n">
        <x:v>10</x:v>
      </x:c>
      <x:c r="G1440" t="str">
        <x:v>BAL</x:v>
      </x:c>
      <x:c r="H1440" t="str">
        <x:v>MIN</x:v>
      </x:c>
      <x:c r="I1440" t="str">
        <x:v>MIN</x:v>
      </x:c>
      <x:c r="J1440" t="n">
        <x:v>49</x:v>
      </x:c>
      <x:c r="K1440" t="str">
        <x:v>(12:35) (Shotgun) 8-L.Jackson pass short left to 4-Z.Flowers pushed ob at MIN 27 for 22 yards (2-I.Rodgers).</x:v>
      </x:c>
      <x:c r="L1440" t="str">
        <x:v>pass</x:v>
      </x:c>
      <x:c r="M1440" t="n">
        <x:v>22</x:v>
      </x:c>
      <x:c r="N1440" t="n">
        <x:v>1</x:v>
      </x:c>
      <x:c r="O1440" t="n">
        <x:v>0</x:v>
      </x:c>
      <x:c r="P1440" t="str">
        <x:v>short</x:v>
      </x:c>
      <x:c r="Q1440" t="str">
        <x:v>left</x:v>
      </x:c>
      <x:c r="R1440" t="n">
        <x:v>4</x:v>
      </x:c>
      <x:c r="S1440" t="n">
        <x:v>18</x:v>
      </x:c>
      <x:c r="T1440"/>
      <x:c r="U1440"/>
      <x:c r="V1440" t="n">
        <x:v>1</x:v>
      </x:c>
      <x:c r="W1440" t="n">
        <x:v>1</x:v>
      </x:c>
      <x:c r="X1440" t="n">
        <x:v>0</x:v>
      </x:c>
      <x:c r="Y1440" t="n">
        <x:v>0</x:v>
      </x:c>
      <x:c r="Z1440" t="n">
        <x:v>0</x:v>
      </x:c>
      <x:c r="AA1440" t="n">
        <x:v>0</x:v>
      </x:c>
      <x:c r="AB1440"/>
      <x:c r="AC1440" t="n">
        <x:v>0</x:v>
      </x:c>
      <x:c r="AD1440" t="n">
        <x:v>1.5736593574984</x:v>
      </x:c>
      <x:c r="AE1440" t="n">
        <x:v>1</x:v>
      </x:c>
      <x:c r="AF1440" t="n">
        <x:v>0.0750231146812439</x:v>
      </x:c>
      <x:c r="AG1440" t="n">
        <x:f>_xlfn.XLOOKUP($A1440,Games!$A$2:$A$18,Games!$B$2:$B$18,"Missing game",0)</x:f>
        <x:v>2025</x:v>
      </x:c>
      <x:c r="AH1440" t="str">
        <x:f>_xlfn.XLOOKUP($A1440,Games!$A$2:$A$18,Games!$C$2:$C$18,"Missing game",0)</x:f>
        <x:v>REG</x:v>
      </x:c>
      <x:c r="AI1440" t="n">
        <x:f>_xlfn.XLOOKUP($A1440,Games!$A$2:$A$18,Games!$D$2:$D$18,"Missing game",0)</x:f>
        <x:v>10</x:v>
      </x:c>
      <x:c r="AJ1440" s="1" t="n">
        <x:f>_xlfn.XLOOKUP($A1440,Games!$A$2:$A$18,Games!$E$2:$E$18,"Missing game",0)</x:f>
        <x:v>45970</x:v>
      </x:c>
      <x:c r="AK1440" t="str">
        <x:f>_xlfn.XLOOKUP($A1440,Games!$A$2:$A$18,Games!$F$2:$F$18,"Missing game",0)</x:f>
        <x:v>Sunday</x:v>
      </x:c>
      <x:c r="AL1440" t="str">
        <x:f>_xlfn.XLOOKUP($A1440,Games!$A$2:$A$18,Games!$G$2:$G$18,"Missing game",0)</x:f>
        <x:v>BAL</x:v>
      </x:c>
      <x:c r="AM1440" t="n">
        <x:f>_xlfn.XLOOKUP($A1440,Games!$A$2:$A$18,Games!$H$2:$H$18,"Missing game",0)</x:f>
        <x:v>27</x:v>
      </x:c>
      <x:c r="AN1440" t="str">
        <x:f>_xlfn.XLOOKUP($A1440,Games!$A$2:$A$18,Games!$I$2:$I$18,"Missing game",0)</x:f>
        <x:v>MIN</x:v>
      </x:c>
      <x:c r="AO1440" t="n">
        <x:f>_xlfn.XLOOKUP($A1440,Games!$A$2:$A$18,Games!$J$2:$J$18,"Missing game",0)</x:f>
        <x:v>19</x:v>
      </x:c>
      <x:c r="AP1440" t="n">
        <x:f>_xlfn.XLOOKUP($A1440,Games!$A$2:$A$18,Games!$K$2:$K$18,"Missing game",0)</x:f>
        <x:v>-8</x:v>
      </x:c>
      <x:c r="AQ1440" t="n">
        <x:f>_xlfn.XLOOKUP($A1440,Games!$A$2:$A$18,Games!$L$2:$L$18,"Missing game",0)</x:f>
        <x:v>46</x:v>
      </x:c>
      <x:c r="AR1440" t="n">
        <x:f>_xlfn.XLOOKUP($A1440,Games!$A$2:$A$18,Games!$M$2:$M$18,"Missing game",0)</x:f>
        <x:v>0</x:v>
      </x:c>
      <x:c r="AS1440" t="str">
        <x:f>_xlfn.XLOOKUP($A1440,Games!$A$2:$A$18,Games!$N$2:$N$18,"Missing game",0)</x:f>
        <x:v>dome</x:v>
      </x:c>
      <x:c r="AT1440" t="str">
        <x:f>_xlfn.XLOOKUP($A1440,Games!$A$2:$A$18,Games!$O$2:$O$18,"Missing game",0)</x:f>
        <x:v>sportturf</x:v>
      </x:c>
      <x:c r="AU1440" t="str">
        <x:f>_xlfn.XLOOKUP($A1440,Games!$A$2:$A$18,Games!$P$2:$P$18,"Missing game",0)</x:f>
      </x:c>
      <x:c r="AV1440" t="str">
        <x:f>_xlfn.XLOOKUP($A1440,Games!$A$2:$A$18,Games!$Q$2:$Q$18,"Missing game",0)</x:f>
      </x:c>
      <x:c r="AW1440" t="str">
        <x:f>_xlfn.XLOOKUP($A1440,Games!$A$2:$A$18,Games!$R$2:$R$18,"Missing game",0)</x:f>
        <x:v>U.S. Bank Stadium</x:v>
      </x:c>
    </x:row>
    <x:row r="1441">
      <x:c r="A1441" t="str">
        <x:v>2025_10_BAL_MIN</x:v>
      </x:c>
      <x:c r="B1441" t="n">
        <x:v>2241</x:v>
      </x:c>
      <x:c r="C1441" t="n">
        <x:v>3</x:v>
      </x:c>
      <x:c r="D1441" t="str">
        <x:v>11:54</x:v>
      </x:c>
      <x:c r="E1441" t="n">
        <x:v>1</x:v>
      </x:c>
      <x:c r="F1441" t="n">
        <x:v>10</x:v>
      </x:c>
      <x:c r="G1441" t="str">
        <x:v>BAL</x:v>
      </x:c>
      <x:c r="H1441" t="str">
        <x:v>MIN</x:v>
      </x:c>
      <x:c r="I1441" t="str">
        <x:v>MIN</x:v>
      </x:c>
      <x:c r="J1441" t="n">
        <x:v>27</x:v>
      </x:c>
      <x:c r="K1441" t="str">
        <x:v>(11:54) 8-L.Jackson pass short right to 88-C.Kolar to MIN 4 for 23 yards (22-H.Smith; 43-A.Van Ginkel).</x:v>
      </x:c>
      <x:c r="L1441" t="str">
        <x:v>pass</x:v>
      </x:c>
      <x:c r="M1441" t="n">
        <x:v>23</x:v>
      </x:c>
      <x:c r="N1441" t="n">
        <x:v>0</x:v>
      </x:c>
      <x:c r="O1441" t="n">
        <x:v>0</x:v>
      </x:c>
      <x:c r="P1441" t="str">
        <x:v>short</x:v>
      </x:c>
      <x:c r="Q1441" t="str">
        <x:v>right</x:v>
      </x:c>
      <x:c r="R1441" t="n">
        <x:v>5</x:v>
      </x:c>
      <x:c r="S1441" t="n">
        <x:v>18</x:v>
      </x:c>
      <x:c r="T1441"/>
      <x:c r="U1441"/>
      <x:c r="V1441" t="n">
        <x:v>1</x:v>
      </x:c>
      <x:c r="W1441" t="n">
        <x:v>1</x:v>
      </x:c>
      <x:c r="X1441" t="n">
        <x:v>0</x:v>
      </x:c>
      <x:c r="Y1441" t="n">
        <x:v>0</x:v>
      </x:c>
      <x:c r="Z1441" t="n">
        <x:v>0</x:v>
      </x:c>
      <x:c r="AA1441" t="n">
        <x:v>0</x:v>
      </x:c>
      <x:c r="AB1441"/>
      <x:c r="AC1441" t="n">
        <x:v>0</x:v>
      </x:c>
      <x:c r="AD1441" t="n">
        <x:v>1.6143716156948358</x:v>
      </x:c>
      <x:c r="AE1441" t="n">
        <x:v>1</x:v>
      </x:c>
      <x:c r="AF1441" t="n">
        <x:v>0.05338829755783081</x:v>
      </x:c>
      <x:c r="AG1441" t="n">
        <x:f>_xlfn.XLOOKUP($A1441,Games!$A$2:$A$18,Games!$B$2:$B$18,"Missing game",0)</x:f>
        <x:v>2025</x:v>
      </x:c>
      <x:c r="AH1441" t="str">
        <x:f>_xlfn.XLOOKUP($A1441,Games!$A$2:$A$18,Games!$C$2:$C$18,"Missing game",0)</x:f>
        <x:v>REG</x:v>
      </x:c>
      <x:c r="AI1441" t="n">
        <x:f>_xlfn.XLOOKUP($A1441,Games!$A$2:$A$18,Games!$D$2:$D$18,"Missing game",0)</x:f>
        <x:v>10</x:v>
      </x:c>
      <x:c r="AJ1441" s="1" t="n">
        <x:f>_xlfn.XLOOKUP($A1441,Games!$A$2:$A$18,Games!$E$2:$E$18,"Missing game",0)</x:f>
        <x:v>45970</x:v>
      </x:c>
      <x:c r="AK1441" t="str">
        <x:f>_xlfn.XLOOKUP($A1441,Games!$A$2:$A$18,Games!$F$2:$F$18,"Missing game",0)</x:f>
        <x:v>Sunday</x:v>
      </x:c>
      <x:c r="AL1441" t="str">
        <x:f>_xlfn.XLOOKUP($A1441,Games!$A$2:$A$18,Games!$G$2:$G$18,"Missing game",0)</x:f>
        <x:v>BAL</x:v>
      </x:c>
      <x:c r="AM1441" t="n">
        <x:f>_xlfn.XLOOKUP($A1441,Games!$A$2:$A$18,Games!$H$2:$H$18,"Missing game",0)</x:f>
        <x:v>27</x:v>
      </x:c>
      <x:c r="AN1441" t="str">
        <x:f>_xlfn.XLOOKUP($A1441,Games!$A$2:$A$18,Games!$I$2:$I$18,"Missing game",0)</x:f>
        <x:v>MIN</x:v>
      </x:c>
      <x:c r="AO1441" t="n">
        <x:f>_xlfn.XLOOKUP($A1441,Games!$A$2:$A$18,Games!$J$2:$J$18,"Missing game",0)</x:f>
        <x:v>19</x:v>
      </x:c>
      <x:c r="AP1441" t="n">
        <x:f>_xlfn.XLOOKUP($A1441,Games!$A$2:$A$18,Games!$K$2:$K$18,"Missing game",0)</x:f>
        <x:v>-8</x:v>
      </x:c>
      <x:c r="AQ1441" t="n">
        <x:f>_xlfn.XLOOKUP($A1441,Games!$A$2:$A$18,Games!$L$2:$L$18,"Missing game",0)</x:f>
        <x:v>46</x:v>
      </x:c>
      <x:c r="AR1441" t="n">
        <x:f>_xlfn.XLOOKUP($A1441,Games!$A$2:$A$18,Games!$M$2:$M$18,"Missing game",0)</x:f>
        <x:v>0</x:v>
      </x:c>
      <x:c r="AS1441" t="str">
        <x:f>_xlfn.XLOOKUP($A1441,Games!$A$2:$A$18,Games!$N$2:$N$18,"Missing game",0)</x:f>
        <x:v>dome</x:v>
      </x:c>
      <x:c r="AT1441" t="str">
        <x:f>_xlfn.XLOOKUP($A1441,Games!$A$2:$A$18,Games!$O$2:$O$18,"Missing game",0)</x:f>
        <x:v>sportturf</x:v>
      </x:c>
      <x:c r="AU1441" t="str">
        <x:f>_xlfn.XLOOKUP($A1441,Games!$A$2:$A$18,Games!$P$2:$P$18,"Missing game",0)</x:f>
      </x:c>
      <x:c r="AV1441" t="str">
        <x:f>_xlfn.XLOOKUP($A1441,Games!$A$2:$A$18,Games!$Q$2:$Q$18,"Missing game",0)</x:f>
      </x:c>
      <x:c r="AW1441" t="str">
        <x:f>_xlfn.XLOOKUP($A1441,Games!$A$2:$A$18,Games!$R$2:$R$18,"Missing game",0)</x:f>
        <x:v>U.S. Bank Stadium</x:v>
      </x:c>
    </x:row>
    <x:row r="1442">
      <x:c r="A1442" t="str">
        <x:v>2025_10_BAL_MIN</x:v>
      </x:c>
      <x:c r="B1442" t="n">
        <x:v>2266</x:v>
      </x:c>
      <x:c r="C1442" t="n">
        <x:v>3</x:v>
      </x:c>
      <x:c r="D1442" t="str">
        <x:v>11:12</x:v>
      </x:c>
      <x:c r="E1442" t="n">
        <x:v>1</x:v>
      </x:c>
      <x:c r="F1442" t="n">
        <x:v>4</x:v>
      </x:c>
      <x:c r="G1442" t="str">
        <x:v>BAL</x:v>
      </x:c>
      <x:c r="H1442" t="str">
        <x:v>MIN</x:v>
      </x:c>
      <x:c r="I1442" t="str">
        <x:v>MIN</x:v>
      </x:c>
      <x:c r="J1442" t="n">
        <x:v>4</x:v>
      </x:c>
      <x:c r="K1442" t="str">
        <x:v>(11:12) 22-D.Henry right guard to MIN 4 for no gain (61-J.Redmond).</x:v>
      </x:c>
      <x:c r="L1442" t="str">
        <x:v>run</x:v>
      </x:c>
      <x:c r="M1442" t="n">
        <x:v>0</x:v>
      </x:c>
      <x:c r="N1442" t="n">
        <x:v>0</x:v>
      </x:c>
      <x:c r="O1442" t="n">
        <x:v>0</x:v>
      </x:c>
      <x:c r="P1442"/>
      <x:c r="Q1442"/>
      <x:c r="R1442"/>
      <x:c r="S1442"/>
      <x:c r="T1442" t="str">
        <x:v>right</x:v>
      </x:c>
      <x:c r="U1442" t="str">
        <x:v>guard</x:v>
      </x:c>
      <x:c r="V1442" t="n">
        <x:v>0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0</x:v>
      </x:c>
      <x:c r="AB1442"/>
      <x:c r="AC1442" t="n">
        <x:v>0</x:v>
      </x:c>
      <x:c r="AD1442" t="n">
        <x:v>-0.4030053961323574</x:v>
      </x:c>
      <x:c r="AE1442" t="n">
        <x:v>0</x:v>
      </x:c>
      <x:c r="AF1442" t="n">
        <x:v>-0.008205294609069824</x:v>
      </x:c>
      <x:c r="AG1442" t="n">
        <x:f>_xlfn.XLOOKUP($A1442,Games!$A$2:$A$18,Games!$B$2:$B$18,"Missing game",0)</x:f>
        <x:v>2025</x:v>
      </x:c>
      <x:c r="AH1442" t="str">
        <x:f>_xlfn.XLOOKUP($A1442,Games!$A$2:$A$18,Games!$C$2:$C$18,"Missing game",0)</x:f>
        <x:v>REG</x:v>
      </x:c>
      <x:c r="AI1442" t="n">
        <x:f>_xlfn.XLOOKUP($A1442,Games!$A$2:$A$18,Games!$D$2:$D$18,"Missing game",0)</x:f>
        <x:v>10</x:v>
      </x:c>
      <x:c r="AJ1442" s="1" t="n">
        <x:f>_xlfn.XLOOKUP($A1442,Games!$A$2:$A$18,Games!$E$2:$E$18,"Missing game",0)</x:f>
        <x:v>45970</x:v>
      </x:c>
      <x:c r="AK1442" t="str">
        <x:f>_xlfn.XLOOKUP($A1442,Games!$A$2:$A$18,Games!$F$2:$F$18,"Missing game",0)</x:f>
        <x:v>Sunday</x:v>
      </x:c>
      <x:c r="AL1442" t="str">
        <x:f>_xlfn.XLOOKUP($A1442,Games!$A$2:$A$18,Games!$G$2:$G$18,"Missing game",0)</x:f>
        <x:v>BAL</x:v>
      </x:c>
      <x:c r="AM1442" t="n">
        <x:f>_xlfn.XLOOKUP($A1442,Games!$A$2:$A$18,Games!$H$2:$H$18,"Missing game",0)</x:f>
        <x:v>27</x:v>
      </x:c>
      <x:c r="AN1442" t="str">
        <x:f>_xlfn.XLOOKUP($A1442,Games!$A$2:$A$18,Games!$I$2:$I$18,"Missing game",0)</x:f>
        <x:v>MIN</x:v>
      </x:c>
      <x:c r="AO1442" t="n">
        <x:f>_xlfn.XLOOKUP($A1442,Games!$A$2:$A$18,Games!$J$2:$J$18,"Missing game",0)</x:f>
        <x:v>19</x:v>
      </x:c>
      <x:c r="AP1442" t="n">
        <x:f>_xlfn.XLOOKUP($A1442,Games!$A$2:$A$18,Games!$K$2:$K$18,"Missing game",0)</x:f>
        <x:v>-8</x:v>
      </x:c>
      <x:c r="AQ1442" t="n">
        <x:f>_xlfn.XLOOKUP($A1442,Games!$A$2:$A$18,Games!$L$2:$L$18,"Missing game",0)</x:f>
        <x:v>46</x:v>
      </x:c>
      <x:c r="AR1442" t="n">
        <x:f>_xlfn.XLOOKUP($A1442,Games!$A$2:$A$18,Games!$M$2:$M$18,"Missing game",0)</x:f>
        <x:v>0</x:v>
      </x:c>
      <x:c r="AS1442" t="str">
        <x:f>_xlfn.XLOOKUP($A1442,Games!$A$2:$A$18,Games!$N$2:$N$18,"Missing game",0)</x:f>
        <x:v>dome</x:v>
      </x:c>
      <x:c r="AT1442" t="str">
        <x:f>_xlfn.XLOOKUP($A1442,Games!$A$2:$A$18,Games!$O$2:$O$18,"Missing game",0)</x:f>
        <x:v>sportturf</x:v>
      </x:c>
      <x:c r="AU1442" t="str">
        <x:f>_xlfn.XLOOKUP($A1442,Games!$A$2:$A$18,Games!$P$2:$P$18,"Missing game",0)</x:f>
      </x:c>
      <x:c r="AV1442" t="str">
        <x:f>_xlfn.XLOOKUP($A1442,Games!$A$2:$A$18,Games!$Q$2:$Q$18,"Missing game",0)</x:f>
      </x:c>
      <x:c r="AW1442" t="str">
        <x:f>_xlfn.XLOOKUP($A1442,Games!$A$2:$A$18,Games!$R$2:$R$18,"Missing game",0)</x:f>
        <x:v>U.S. Bank Stadium</x:v>
      </x:c>
    </x:row>
    <x:row r="1443">
      <x:c r="A1443" t="str">
        <x:v>2025_10_BAL_MIN</x:v>
      </x:c>
      <x:c r="B1443" t="n">
        <x:v>2288</x:v>
      </x:c>
      <x:c r="C1443" t="n">
        <x:v>3</x:v>
      </x:c>
      <x:c r="D1443" t="str">
        <x:v>10:38</x:v>
      </x:c>
      <x:c r="E1443" t="n">
        <x:v>2</x:v>
      </x:c>
      <x:c r="F1443" t="n">
        <x:v>4</x:v>
      </x:c>
      <x:c r="G1443" t="str">
        <x:v>BAL</x:v>
      </x:c>
      <x:c r="H1443" t="str">
        <x:v>MIN</x:v>
      </x:c>
      <x:c r="I1443" t="str">
        <x:v>MIN</x:v>
      </x:c>
      <x:c r="J1443" t="n">
        <x:v>4</x:v>
      </x:c>
      <x:c r="K1443" t="str">
        <x:v>(10:38) 8-L.Jackson pass incomplete short right [43-A.Van Ginkel].</x:v>
      </x:c>
      <x:c r="L1443" t="str">
        <x:v>pass</x:v>
      </x:c>
      <x:c r="M1443" t="n">
        <x:v>0</x:v>
      </x:c>
      <x:c r="N1443" t="n">
        <x:v>0</x:v>
      </x:c>
      <x:c r="O1443" t="n">
        <x:v>0</x:v>
      </x:c>
      <x:c r="P1443" t="str">
        <x:v>short</x:v>
      </x:c>
      <x:c r="Q1443" t="str">
        <x:v>right</x:v>
      </x:c>
      <x:c r="R1443" t="n">
        <x:v>4</x:v>
      </x:c>
      <x:c r="S1443"/>
      <x:c r="T1443"/>
      <x:c r="U1443"/>
      <x:c r="V1443" t="n">
        <x:v>0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0</x:v>
      </x:c>
      <x:c r="AB1443"/>
      <x:c r="AC1443" t="n">
        <x:v>0</x:v>
      </x:c>
      <x:c r="AD1443" t="n">
        <x:v>-1.027209504158236</x:v>
      </x:c>
      <x:c r="AE1443" t="n">
        <x:v>0</x:v>
      </x:c>
      <x:c r="AF1443" t="n">
        <x:v>-0.023678481578826904</x:v>
      </x:c>
      <x:c r="AG1443" t="n">
        <x:f>_xlfn.XLOOKUP($A1443,Games!$A$2:$A$18,Games!$B$2:$B$18,"Missing game",0)</x:f>
        <x:v>2025</x:v>
      </x:c>
      <x:c r="AH1443" t="str">
        <x:f>_xlfn.XLOOKUP($A1443,Games!$A$2:$A$18,Games!$C$2:$C$18,"Missing game",0)</x:f>
        <x:v>REG</x:v>
      </x:c>
      <x:c r="AI1443" t="n">
        <x:f>_xlfn.XLOOKUP($A1443,Games!$A$2:$A$18,Games!$D$2:$D$18,"Missing game",0)</x:f>
        <x:v>10</x:v>
      </x:c>
      <x:c r="AJ1443" s="1" t="n">
        <x:f>_xlfn.XLOOKUP($A1443,Games!$A$2:$A$18,Games!$E$2:$E$18,"Missing game",0)</x:f>
        <x:v>45970</x:v>
      </x:c>
      <x:c r="AK1443" t="str">
        <x:f>_xlfn.XLOOKUP($A1443,Games!$A$2:$A$18,Games!$F$2:$F$18,"Missing game",0)</x:f>
        <x:v>Sunday</x:v>
      </x:c>
      <x:c r="AL1443" t="str">
        <x:f>_xlfn.XLOOKUP($A1443,Games!$A$2:$A$18,Games!$G$2:$G$18,"Missing game",0)</x:f>
        <x:v>BAL</x:v>
      </x:c>
      <x:c r="AM1443" t="n">
        <x:f>_xlfn.XLOOKUP($A1443,Games!$A$2:$A$18,Games!$H$2:$H$18,"Missing game",0)</x:f>
        <x:v>27</x:v>
      </x:c>
      <x:c r="AN1443" t="str">
        <x:f>_xlfn.XLOOKUP($A1443,Games!$A$2:$A$18,Games!$I$2:$I$18,"Missing game",0)</x:f>
        <x:v>MIN</x:v>
      </x:c>
      <x:c r="AO1443" t="n">
        <x:f>_xlfn.XLOOKUP($A1443,Games!$A$2:$A$18,Games!$J$2:$J$18,"Missing game",0)</x:f>
        <x:v>19</x:v>
      </x:c>
      <x:c r="AP1443" t="n">
        <x:f>_xlfn.XLOOKUP($A1443,Games!$A$2:$A$18,Games!$K$2:$K$18,"Missing game",0)</x:f>
        <x:v>-8</x:v>
      </x:c>
      <x:c r="AQ1443" t="n">
        <x:f>_xlfn.XLOOKUP($A1443,Games!$A$2:$A$18,Games!$L$2:$L$18,"Missing game",0)</x:f>
        <x:v>46</x:v>
      </x:c>
      <x:c r="AR1443" t="n">
        <x:f>_xlfn.XLOOKUP($A1443,Games!$A$2:$A$18,Games!$M$2:$M$18,"Missing game",0)</x:f>
        <x:v>0</x:v>
      </x:c>
      <x:c r="AS1443" t="str">
        <x:f>_xlfn.XLOOKUP($A1443,Games!$A$2:$A$18,Games!$N$2:$N$18,"Missing game",0)</x:f>
        <x:v>dome</x:v>
      </x:c>
      <x:c r="AT1443" t="str">
        <x:f>_xlfn.XLOOKUP($A1443,Games!$A$2:$A$18,Games!$O$2:$O$18,"Missing game",0)</x:f>
        <x:v>sportturf</x:v>
      </x:c>
      <x:c r="AU1443" t="str">
        <x:f>_xlfn.XLOOKUP($A1443,Games!$A$2:$A$18,Games!$P$2:$P$18,"Missing game",0)</x:f>
      </x:c>
      <x:c r="AV1443" t="str">
        <x:f>_xlfn.XLOOKUP($A1443,Games!$A$2:$A$18,Games!$Q$2:$Q$18,"Missing game",0)</x:f>
      </x:c>
      <x:c r="AW1443" t="str">
        <x:f>_xlfn.XLOOKUP($A1443,Games!$A$2:$A$18,Games!$R$2:$R$18,"Missing game",0)</x:f>
        <x:v>U.S. Bank Stadium</x:v>
      </x:c>
    </x:row>
    <x:row r="1444">
      <x:c r="A1444" t="str">
        <x:v>2025_10_BAL_MIN</x:v>
      </x:c>
      <x:c r="B1444" t="n">
        <x:v>2311</x:v>
      </x:c>
      <x:c r="C1444" t="n">
        <x:v>3</x:v>
      </x:c>
      <x:c r="D1444" t="str">
        <x:v>10:29</x:v>
      </x:c>
      <x:c r="E1444" t="n">
        <x:v>3</x:v>
      </x:c>
      <x:c r="F1444" t="n">
        <x:v>4</x:v>
      </x:c>
      <x:c r="G1444" t="str">
        <x:v>BAL</x:v>
      </x:c>
      <x:c r="H1444" t="str">
        <x:v>MIN</x:v>
      </x:c>
      <x:c r="I1444" t="str">
        <x:v>MIN</x:v>
      </x:c>
      <x:c r="J1444" t="n">
        <x:v>4</x:v>
      </x:c>
      <x:c r="K1444" t="str">
        <x:v>(10:29) (Shotgun) 8-L.Jackson pass incomplete short right to 10-D.Hopkins.</x:v>
      </x:c>
      <x:c r="L1444" t="str">
        <x:v>pass</x:v>
      </x:c>
      <x:c r="M1444" t="n">
        <x:v>0</x:v>
      </x:c>
      <x:c r="N1444" t="n">
        <x:v>1</x:v>
      </x:c>
      <x:c r="O1444" t="n">
        <x:v>0</x:v>
      </x:c>
      <x:c r="P1444" t="str">
        <x:v>short</x:v>
      </x:c>
      <x:c r="Q1444" t="str">
        <x:v>right</x:v>
      </x:c>
      <x:c r="R1444" t="n">
        <x:v>4</x:v>
      </x:c>
      <x:c r="S1444"/>
      <x:c r="T1444"/>
      <x:c r="U1444"/>
      <x:c r="V1444" t="n">
        <x:v>0</x:v>
      </x:c>
      <x:c r="W1444" t="n">
        <x:v>0</x:v>
      </x:c>
      <x:c r="X1444" t="n">
        <x:v>0</x:v>
      </x:c>
      <x:c r="Y1444" t="n">
        <x:v>0</x:v>
      </x:c>
      <x:c r="Z1444" t="n">
        <x:v>0</x:v>
      </x:c>
      <x:c r="AA1444" t="n">
        <x:v>0</x:v>
      </x:c>
      <x:c r="AB1444"/>
      <x:c r="AC1444" t="n">
        <x:v>0</x:v>
      </x:c>
      <x:c r="AD1444" t="n">
        <x:v>-1.5538265634025166</x:v>
      </x:c>
      <x:c r="AE1444" t="n">
        <x:v>0</x:v>
      </x:c>
      <x:c r="AF1444" t="n">
        <x:v>-0.05979716777801514</x:v>
      </x:c>
      <x:c r="AG1444" t="n">
        <x:f>_xlfn.XLOOKUP($A1444,Games!$A$2:$A$18,Games!$B$2:$B$18,"Missing game",0)</x:f>
        <x:v>2025</x:v>
      </x:c>
      <x:c r="AH1444" t="str">
        <x:f>_xlfn.XLOOKUP($A1444,Games!$A$2:$A$18,Games!$C$2:$C$18,"Missing game",0)</x:f>
        <x:v>REG</x:v>
      </x:c>
      <x:c r="AI1444" t="n">
        <x:f>_xlfn.XLOOKUP($A1444,Games!$A$2:$A$18,Games!$D$2:$D$18,"Missing game",0)</x:f>
        <x:v>10</x:v>
      </x:c>
      <x:c r="AJ1444" s="1" t="n">
        <x:f>_xlfn.XLOOKUP($A1444,Games!$A$2:$A$18,Games!$E$2:$E$18,"Missing game",0)</x:f>
        <x:v>45970</x:v>
      </x:c>
      <x:c r="AK1444" t="str">
        <x:f>_xlfn.XLOOKUP($A1444,Games!$A$2:$A$18,Games!$F$2:$F$18,"Missing game",0)</x:f>
        <x:v>Sunday</x:v>
      </x:c>
      <x:c r="AL1444" t="str">
        <x:f>_xlfn.XLOOKUP($A1444,Games!$A$2:$A$18,Games!$G$2:$G$18,"Missing game",0)</x:f>
        <x:v>BAL</x:v>
      </x:c>
      <x:c r="AM1444" t="n">
        <x:f>_xlfn.XLOOKUP($A1444,Games!$A$2:$A$18,Games!$H$2:$H$18,"Missing game",0)</x:f>
        <x:v>27</x:v>
      </x:c>
      <x:c r="AN1444" t="str">
        <x:f>_xlfn.XLOOKUP($A1444,Games!$A$2:$A$18,Games!$I$2:$I$18,"Missing game",0)</x:f>
        <x:v>MIN</x:v>
      </x:c>
      <x:c r="AO1444" t="n">
        <x:f>_xlfn.XLOOKUP($A1444,Games!$A$2:$A$18,Games!$J$2:$J$18,"Missing game",0)</x:f>
        <x:v>19</x:v>
      </x:c>
      <x:c r="AP1444" t="n">
        <x:f>_xlfn.XLOOKUP($A1444,Games!$A$2:$A$18,Games!$K$2:$K$18,"Missing game",0)</x:f>
        <x:v>-8</x:v>
      </x:c>
      <x:c r="AQ1444" t="n">
        <x:f>_xlfn.XLOOKUP($A1444,Games!$A$2:$A$18,Games!$L$2:$L$18,"Missing game",0)</x:f>
        <x:v>46</x:v>
      </x:c>
      <x:c r="AR1444" t="n">
        <x:f>_xlfn.XLOOKUP($A1444,Games!$A$2:$A$18,Games!$M$2:$M$18,"Missing game",0)</x:f>
        <x:v>0</x:v>
      </x:c>
      <x:c r="AS1444" t="str">
        <x:f>_xlfn.XLOOKUP($A1444,Games!$A$2:$A$18,Games!$N$2:$N$18,"Missing game",0)</x:f>
        <x:v>dome</x:v>
      </x:c>
      <x:c r="AT1444" t="str">
        <x:f>_xlfn.XLOOKUP($A1444,Games!$A$2:$A$18,Games!$O$2:$O$18,"Missing game",0)</x:f>
        <x:v>sportturf</x:v>
      </x:c>
      <x:c r="AU1444" t="str">
        <x:f>_xlfn.XLOOKUP($A1444,Games!$A$2:$A$18,Games!$P$2:$P$18,"Missing game",0)</x:f>
      </x:c>
      <x:c r="AV1444" t="str">
        <x:f>_xlfn.XLOOKUP($A1444,Games!$A$2:$A$18,Games!$Q$2:$Q$18,"Missing game",0)</x:f>
      </x:c>
      <x:c r="AW1444" t="str">
        <x:f>_xlfn.XLOOKUP($A1444,Games!$A$2:$A$18,Games!$R$2:$R$18,"Missing game",0)</x:f>
        <x:v>U.S. Bank Stadium</x:v>
      </x:c>
    </x:row>
    <x:row r="1445">
      <x:c r="A1445" t="str">
        <x:v>2025_10_BAL_MIN</x:v>
      </x:c>
      <x:c r="B1445" t="n">
        <x:v>2334</x:v>
      </x:c>
      <x:c r="C1445" t="n">
        <x:v>3</x:v>
      </x:c>
      <x:c r="D1445" t="str">
        <x:v>10:22</x:v>
      </x:c>
      <x:c r="E1445" t="n">
        <x:v>4</x:v>
      </x:c>
      <x:c r="F1445" t="n">
        <x:v>4</x:v>
      </x:c>
      <x:c r="G1445" t="str">
        <x:v>BAL</x:v>
      </x:c>
      <x:c r="H1445" t="str">
        <x:v>MIN</x:v>
      </x:c>
      <x:c r="I1445" t="str">
        <x:v>MIN</x:v>
      </x:c>
      <x:c r="J1445" t="n">
        <x:v>4</x:v>
      </x:c>
      <x:c r="K1445" t="str">
        <x:v>(10:22) 33-T.Loop 22 yard field goal is GOOD, Center-46-N.Moore, Holder-11-J.Stout.</x:v>
      </x:c>
      <x:c r="L1445" t="str">
        <x:v>field_goal</x:v>
      </x:c>
      <x:c r="M1445" t="n">
        <x:v>0</x:v>
      </x:c>
      <x:c r="N1445" t="n">
        <x:v>0</x:v>
      </x:c>
      <x:c r="O1445" t="n">
        <x:v>0</x:v>
      </x:c>
      <x:c r="P1445"/>
      <x:c r="Q1445"/>
      <x:c r="R1445"/>
      <x:c r="S1445"/>
      <x:c r="T1445"/>
      <x:c r="U1445"/>
      <x:c r="V1445" t="n">
        <x:v>0</x:v>
      </x:c>
      <x:c r="W1445" t="n">
        <x:v>0</x:v>
      </x:c>
      <x:c r="X1445" t="n">
        <x:v>0</x:v>
      </x:c>
      <x:c r="Y1445" t="n">
        <x:v>0</x:v>
      </x:c>
      <x:c r="Z1445" t="n">
        <x:v>0</x:v>
      </x:c>
      <x:c r="AA1445" t="n">
        <x:v>0</x:v>
      </x:c>
      <x:c r="AB1445"/>
      <x:c r="AC1445" t="n">
        <x:v>0</x:v>
      </x:c>
      <x:c r="AD1445" t="n">
        <x:v>0.018762220854377176</x:v>
      </x:c>
      <x:c r="AE1445" t="n">
        <x:v>1</x:v>
      </x:c>
      <x:c r="AF1445" t="n">
        <x:v>-0.029646307229995728</x:v>
      </x:c>
      <x:c r="AG1445" t="n">
        <x:f>_xlfn.XLOOKUP($A1445,Games!$A$2:$A$18,Games!$B$2:$B$18,"Missing game",0)</x:f>
        <x:v>2025</x:v>
      </x:c>
      <x:c r="AH1445" t="str">
        <x:f>_xlfn.XLOOKUP($A1445,Games!$A$2:$A$18,Games!$C$2:$C$18,"Missing game",0)</x:f>
        <x:v>REG</x:v>
      </x:c>
      <x:c r="AI1445" t="n">
        <x:f>_xlfn.XLOOKUP($A1445,Games!$A$2:$A$18,Games!$D$2:$D$18,"Missing game",0)</x:f>
        <x:v>10</x:v>
      </x:c>
      <x:c r="AJ1445" s="1" t="n">
        <x:f>_xlfn.XLOOKUP($A1445,Games!$A$2:$A$18,Games!$E$2:$E$18,"Missing game",0)</x:f>
        <x:v>45970</x:v>
      </x:c>
      <x:c r="AK1445" t="str">
        <x:f>_xlfn.XLOOKUP($A1445,Games!$A$2:$A$18,Games!$F$2:$F$18,"Missing game",0)</x:f>
        <x:v>Sunday</x:v>
      </x:c>
      <x:c r="AL1445" t="str">
        <x:f>_xlfn.XLOOKUP($A1445,Games!$A$2:$A$18,Games!$G$2:$G$18,"Missing game",0)</x:f>
        <x:v>BAL</x:v>
      </x:c>
      <x:c r="AM1445" t="n">
        <x:f>_xlfn.XLOOKUP($A1445,Games!$A$2:$A$18,Games!$H$2:$H$18,"Missing game",0)</x:f>
        <x:v>27</x:v>
      </x:c>
      <x:c r="AN1445" t="str">
        <x:f>_xlfn.XLOOKUP($A1445,Games!$A$2:$A$18,Games!$I$2:$I$18,"Missing game",0)</x:f>
        <x:v>MIN</x:v>
      </x:c>
      <x:c r="AO1445" t="n">
        <x:f>_xlfn.XLOOKUP($A1445,Games!$A$2:$A$18,Games!$J$2:$J$18,"Missing game",0)</x:f>
        <x:v>19</x:v>
      </x:c>
      <x:c r="AP1445" t="n">
        <x:f>_xlfn.XLOOKUP($A1445,Games!$A$2:$A$18,Games!$K$2:$K$18,"Missing game",0)</x:f>
        <x:v>-8</x:v>
      </x:c>
      <x:c r="AQ1445" t="n">
        <x:f>_xlfn.XLOOKUP($A1445,Games!$A$2:$A$18,Games!$L$2:$L$18,"Missing game",0)</x:f>
        <x:v>46</x:v>
      </x:c>
      <x:c r="AR1445" t="n">
        <x:f>_xlfn.XLOOKUP($A1445,Games!$A$2:$A$18,Games!$M$2:$M$18,"Missing game",0)</x:f>
        <x:v>0</x:v>
      </x:c>
      <x:c r="AS1445" t="str">
        <x:f>_xlfn.XLOOKUP($A1445,Games!$A$2:$A$18,Games!$N$2:$N$18,"Missing game",0)</x:f>
        <x:v>dome</x:v>
      </x:c>
      <x:c r="AT1445" t="str">
        <x:f>_xlfn.XLOOKUP($A1445,Games!$A$2:$A$18,Games!$O$2:$O$18,"Missing game",0)</x:f>
        <x:v>sportturf</x:v>
      </x:c>
      <x:c r="AU1445" t="str">
        <x:f>_xlfn.XLOOKUP($A1445,Games!$A$2:$A$18,Games!$P$2:$P$18,"Missing game",0)</x:f>
      </x:c>
      <x:c r="AV1445" t="str">
        <x:f>_xlfn.XLOOKUP($A1445,Games!$A$2:$A$18,Games!$Q$2:$Q$18,"Missing game",0)</x:f>
      </x:c>
      <x:c r="AW1445" t="str">
        <x:f>_xlfn.XLOOKUP($A1445,Games!$A$2:$A$18,Games!$R$2:$R$18,"Missing game",0)</x:f>
        <x:v>U.S. Bank Stadium</x:v>
      </x:c>
    </x:row>
    <x:row r="1446">
      <x:c r="A1446" t="str">
        <x:v>2025_10_BAL_MIN</x:v>
      </x:c>
      <x:c r="B1446" t="n">
        <x:v>2354</x:v>
      </x:c>
      <x:c r="C1446" t="n">
        <x:v>3</x:v>
      </x:c>
      <x:c r="D1446" t="str">
        <x:v>10:19</x:v>
      </x:c>
      <x:c r="E1446"/>
      <x:c r="F1446" t="n">
        <x:v>0</x:v>
      </x:c>
      <x:c r="G1446" t="str">
        <x:v>MIN</x:v>
      </x:c>
      <x:c r="H1446" t="str">
        <x:v>BAL</x:v>
      </x:c>
      <x:c r="I1446" t="str">
        <x:v>BAL</x:v>
      </x:c>
      <x:c r="J1446" t="n">
        <x:v>35</x:v>
      </x:c>
      <x:c r="K1446" t="str">
        <x:v>33-T.Loop kicks 65 yards from BAL 35 to MIN 0. 4-M.Price to MIN 23 for 23 yards (39-K.Jackson; 32-T.Simpson). FUMBLES (39-K.Jackson), RECOVERED by BAL-39-K.Jackson at MIN 23.</x:v>
      </x:c>
      <x:c r="L1446" t="str">
        <x:v>kickoff</x:v>
      </x:c>
      <x:c r="M1446" t="n">
        <x:v>0</x:v>
      </x:c>
      <x:c r="N1446" t="n">
        <x:v>0</x:v>
      </x:c>
      <x:c r="O1446" t="n">
        <x:v>0</x:v>
      </x:c>
      <x:c r="P1446"/>
      <x:c r="Q1446"/>
      <x:c r="R1446"/>
      <x:c r="S1446"/>
      <x:c r="T1446"/>
      <x:c r="U1446"/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1</x:v>
      </x:c>
      <x:c r="AA1446" t="n">
        <x:v>0</x:v>
      </x:c>
      <x:c r="AB1446"/>
      <x:c r="AC1446" t="n">
        <x:v>0</x:v>
      </x:c>
      <x:c r="AD1446" t="n">
        <x:v>-6.249609168036841</x:v>
      </x:c>
      <x:c r="AE1446" t="n">
        <x:v>0</x:v>
      </x:c>
      <x:c r="AF1446" t="n">
        <x:v>-0.17864099144935608</x:v>
      </x:c>
      <x:c r="AG1446" t="n">
        <x:f>_xlfn.XLOOKUP($A1446,Games!$A$2:$A$18,Games!$B$2:$B$18,"Missing game",0)</x:f>
        <x:v>2025</x:v>
      </x:c>
      <x:c r="AH1446" t="str">
        <x:f>_xlfn.XLOOKUP($A1446,Games!$A$2:$A$18,Games!$C$2:$C$18,"Missing game",0)</x:f>
        <x:v>REG</x:v>
      </x:c>
      <x:c r="AI1446" t="n">
        <x:f>_xlfn.XLOOKUP($A1446,Games!$A$2:$A$18,Games!$D$2:$D$18,"Missing game",0)</x:f>
        <x:v>10</x:v>
      </x:c>
      <x:c r="AJ1446" s="1" t="n">
        <x:f>_xlfn.XLOOKUP($A1446,Games!$A$2:$A$18,Games!$E$2:$E$18,"Missing game",0)</x:f>
        <x:v>45970</x:v>
      </x:c>
      <x:c r="AK1446" t="str">
        <x:f>_xlfn.XLOOKUP($A1446,Games!$A$2:$A$18,Games!$F$2:$F$18,"Missing game",0)</x:f>
        <x:v>Sunday</x:v>
      </x:c>
      <x:c r="AL1446" t="str">
        <x:f>_xlfn.XLOOKUP($A1446,Games!$A$2:$A$18,Games!$G$2:$G$18,"Missing game",0)</x:f>
        <x:v>BAL</x:v>
      </x:c>
      <x:c r="AM1446" t="n">
        <x:f>_xlfn.XLOOKUP($A1446,Games!$A$2:$A$18,Games!$H$2:$H$18,"Missing game",0)</x:f>
        <x:v>27</x:v>
      </x:c>
      <x:c r="AN1446" t="str">
        <x:f>_xlfn.XLOOKUP($A1446,Games!$A$2:$A$18,Games!$I$2:$I$18,"Missing game",0)</x:f>
        <x:v>MIN</x:v>
      </x:c>
      <x:c r="AO1446" t="n">
        <x:f>_xlfn.XLOOKUP($A1446,Games!$A$2:$A$18,Games!$J$2:$J$18,"Missing game",0)</x:f>
        <x:v>19</x:v>
      </x:c>
      <x:c r="AP1446" t="n">
        <x:f>_xlfn.XLOOKUP($A1446,Games!$A$2:$A$18,Games!$K$2:$K$18,"Missing game",0)</x:f>
        <x:v>-8</x:v>
      </x:c>
      <x:c r="AQ1446" t="n">
        <x:f>_xlfn.XLOOKUP($A1446,Games!$A$2:$A$18,Games!$L$2:$L$18,"Missing game",0)</x:f>
        <x:v>46</x:v>
      </x:c>
      <x:c r="AR1446" t="n">
        <x:f>_xlfn.XLOOKUP($A1446,Games!$A$2:$A$18,Games!$M$2:$M$18,"Missing game",0)</x:f>
        <x:v>0</x:v>
      </x:c>
      <x:c r="AS1446" t="str">
        <x:f>_xlfn.XLOOKUP($A1446,Games!$A$2:$A$18,Games!$N$2:$N$18,"Missing game",0)</x:f>
        <x:v>dome</x:v>
      </x:c>
      <x:c r="AT1446" t="str">
        <x:f>_xlfn.XLOOKUP($A1446,Games!$A$2:$A$18,Games!$O$2:$O$18,"Missing game",0)</x:f>
        <x:v>sportturf</x:v>
      </x:c>
      <x:c r="AU1446" t="str">
        <x:f>_xlfn.XLOOKUP($A1446,Games!$A$2:$A$18,Games!$P$2:$P$18,"Missing game",0)</x:f>
      </x:c>
      <x:c r="AV1446" t="str">
        <x:f>_xlfn.XLOOKUP($A1446,Games!$A$2:$A$18,Games!$Q$2:$Q$18,"Missing game",0)</x:f>
      </x:c>
      <x:c r="AW1446" t="str">
        <x:f>_xlfn.XLOOKUP($A1446,Games!$A$2:$A$18,Games!$R$2:$R$18,"Missing game",0)</x:f>
        <x:v>U.S. Bank Stadium</x:v>
      </x:c>
    </x:row>
    <x:row r="1447">
      <x:c r="A1447" t="str">
        <x:v>2025_10_BAL_MIN</x:v>
      </x:c>
      <x:c r="B1447" t="n">
        <x:v>2400</x:v>
      </x:c>
      <x:c r="C1447" t="n">
        <x:v>3</x:v>
      </x:c>
      <x:c r="D1447" t="str">
        <x:v>10:13</x:v>
      </x:c>
      <x:c r="E1447" t="n">
        <x:v>1</x:v>
      </x:c>
      <x:c r="F1447" t="n">
        <x:v>10</x:v>
      </x:c>
      <x:c r="G1447" t="str">
        <x:v>BAL</x:v>
      </x:c>
      <x:c r="H1447" t="str">
        <x:v>MIN</x:v>
      </x:c>
      <x:c r="I1447" t="str">
        <x:v>MIN</x:v>
      </x:c>
      <x:c r="J1447" t="n">
        <x:v>23</x:v>
      </x:c>
      <x:c r="K1447" t="str">
        <x:v>(10:13) 8-L.Jackson scrambles right tackle to MIN 18 for 5 yards (61-J.Redmond).</x:v>
      </x:c>
      <x:c r="L1447" t="str">
        <x:v>run</x:v>
      </x:c>
      <x:c r="M1447" t="n">
        <x:v>5</x:v>
      </x:c>
      <x:c r="N1447" t="n">
        <x:v>0</x:v>
      </x:c>
      <x:c r="O1447" t="n">
        <x:v>0</x:v>
      </x:c>
      <x:c r="P1447"/>
      <x:c r="Q1447"/>
      <x:c r="R1447"/>
      <x:c r="S1447"/>
      <x:c r="T1447" t="str">
        <x:v>right</x:v>
      </x:c>
      <x:c r="U1447" t="str">
        <x:v>tackle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0</x:v>
      </x:c>
      <x:c r="AB1447"/>
      <x:c r="AC1447" t="n">
        <x:v>0</x:v>
      </x:c>
      <x:c r="AD1447" t="n">
        <x:v>0.14876420458313078</x:v>
      </x:c>
      <x:c r="AE1447" t="n">
        <x:v>1</x:v>
      </x:c>
      <x:c r="AF1447" t="n">
        <x:v>0.014554321765899658</x:v>
      </x:c>
      <x:c r="AG1447" t="n">
        <x:f>_xlfn.XLOOKUP($A1447,Games!$A$2:$A$18,Games!$B$2:$B$18,"Missing game",0)</x:f>
        <x:v>2025</x:v>
      </x:c>
      <x:c r="AH1447" t="str">
        <x:f>_xlfn.XLOOKUP($A1447,Games!$A$2:$A$18,Games!$C$2:$C$18,"Missing game",0)</x:f>
        <x:v>REG</x:v>
      </x:c>
      <x:c r="AI1447" t="n">
        <x:f>_xlfn.XLOOKUP($A1447,Games!$A$2:$A$18,Games!$D$2:$D$18,"Missing game",0)</x:f>
        <x:v>10</x:v>
      </x:c>
      <x:c r="AJ1447" s="1" t="n">
        <x:f>_xlfn.XLOOKUP($A1447,Games!$A$2:$A$18,Games!$E$2:$E$18,"Missing game",0)</x:f>
        <x:v>45970</x:v>
      </x:c>
      <x:c r="AK1447" t="str">
        <x:f>_xlfn.XLOOKUP($A1447,Games!$A$2:$A$18,Games!$F$2:$F$18,"Missing game",0)</x:f>
        <x:v>Sunday</x:v>
      </x:c>
      <x:c r="AL1447" t="str">
        <x:f>_xlfn.XLOOKUP($A1447,Games!$A$2:$A$18,Games!$G$2:$G$18,"Missing game",0)</x:f>
        <x:v>BAL</x:v>
      </x:c>
      <x:c r="AM1447" t="n">
        <x:f>_xlfn.XLOOKUP($A1447,Games!$A$2:$A$18,Games!$H$2:$H$18,"Missing game",0)</x:f>
        <x:v>27</x:v>
      </x:c>
      <x:c r="AN1447" t="str">
        <x:f>_xlfn.XLOOKUP($A1447,Games!$A$2:$A$18,Games!$I$2:$I$18,"Missing game",0)</x:f>
        <x:v>MIN</x:v>
      </x:c>
      <x:c r="AO1447" t="n">
        <x:f>_xlfn.XLOOKUP($A1447,Games!$A$2:$A$18,Games!$J$2:$J$18,"Missing game",0)</x:f>
        <x:v>19</x:v>
      </x:c>
      <x:c r="AP1447" t="n">
        <x:f>_xlfn.XLOOKUP($A1447,Games!$A$2:$A$18,Games!$K$2:$K$18,"Missing game",0)</x:f>
        <x:v>-8</x:v>
      </x:c>
      <x:c r="AQ1447" t="n">
        <x:f>_xlfn.XLOOKUP($A1447,Games!$A$2:$A$18,Games!$L$2:$L$18,"Missing game",0)</x:f>
        <x:v>46</x:v>
      </x:c>
      <x:c r="AR1447" t="n">
        <x:f>_xlfn.XLOOKUP($A1447,Games!$A$2:$A$18,Games!$M$2:$M$18,"Missing game",0)</x:f>
        <x:v>0</x:v>
      </x:c>
      <x:c r="AS1447" t="str">
        <x:f>_xlfn.XLOOKUP($A1447,Games!$A$2:$A$18,Games!$N$2:$N$18,"Missing game",0)</x:f>
        <x:v>dome</x:v>
      </x:c>
      <x:c r="AT1447" t="str">
        <x:f>_xlfn.XLOOKUP($A1447,Games!$A$2:$A$18,Games!$O$2:$O$18,"Missing game",0)</x:f>
        <x:v>sportturf</x:v>
      </x:c>
      <x:c r="AU1447" t="str">
        <x:f>_xlfn.XLOOKUP($A1447,Games!$A$2:$A$18,Games!$P$2:$P$18,"Missing game",0)</x:f>
      </x:c>
      <x:c r="AV1447" t="str">
        <x:f>_xlfn.XLOOKUP($A1447,Games!$A$2:$A$18,Games!$Q$2:$Q$18,"Missing game",0)</x:f>
      </x:c>
      <x:c r="AW1447" t="str">
        <x:f>_xlfn.XLOOKUP($A1447,Games!$A$2:$A$18,Games!$R$2:$R$18,"Missing game",0)</x:f>
        <x:v>U.S. Bank Stadium</x:v>
      </x:c>
    </x:row>
    <x:row r="1448">
      <x:c r="A1448" t="str">
        <x:v>2025_10_BAL_MIN</x:v>
      </x:c>
      <x:c r="B1448" t="n">
        <x:v>2422</x:v>
      </x:c>
      <x:c r="C1448" t="n">
        <x:v>3</x:v>
      </x:c>
      <x:c r="D1448" t="str">
        <x:v>09:29</x:v>
      </x:c>
      <x:c r="E1448" t="n">
        <x:v>2</x:v>
      </x:c>
      <x:c r="F1448" t="n">
        <x:v>5</x:v>
      </x:c>
      <x:c r="G1448" t="str">
        <x:v>BAL</x:v>
      </x:c>
      <x:c r="H1448" t="str">
        <x:v>MIN</x:v>
      </x:c>
      <x:c r="I1448" t="str">
        <x:v>MIN</x:v>
      </x:c>
      <x:c r="J1448" t="n">
        <x:v>18</x:v>
      </x:c>
      <x:c r="K1448" t="str">
        <x:v>(9:29) (Shotgun) 8-L.Jackson right end pushed ob at MIN 14 for 4 yards (7-B.Murphy). MIN-58-J.Greenard was injured during the play.</x:v>
      </x:c>
      <x:c r="L1448" t="str">
        <x:v>run</x:v>
      </x:c>
      <x:c r="M1448" t="n">
        <x:v>4</x:v>
      </x:c>
      <x:c r="N1448" t="n">
        <x:v>1</x:v>
      </x:c>
      <x:c r="O1448" t="n">
        <x:v>0</x:v>
      </x:c>
      <x:c r="P1448"/>
      <x:c r="Q1448"/>
      <x:c r="R1448"/>
      <x:c r="S1448"/>
      <x:c r="T1448" t="str">
        <x:v>right</x:v>
      </x:c>
      <x:c r="U1448" t="str">
        <x:v>end</x:v>
      </x:c>
      <x:c r="V1448" t="n">
        <x:v>0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0</x:v>
      </x:c>
      <x:c r="AB1448"/>
      <x:c r="AC1448" t="n">
        <x:v>0</x:v>
      </x:c>
      <x:c r="AD1448" t="n">
        <x:v>0.07656961842440069</x:v>
      </x:c>
      <x:c r="AE1448" t="n">
        <x:v>1</x:v>
      </x:c>
      <x:c r="AF1448" t="n">
        <x:v>0.012559711933135986</x:v>
      </x:c>
      <x:c r="AG1448" t="n">
        <x:f>_xlfn.XLOOKUP($A1448,Games!$A$2:$A$18,Games!$B$2:$B$18,"Missing game",0)</x:f>
        <x:v>2025</x:v>
      </x:c>
      <x:c r="AH1448" t="str">
        <x:f>_xlfn.XLOOKUP($A1448,Games!$A$2:$A$18,Games!$C$2:$C$18,"Missing game",0)</x:f>
        <x:v>REG</x:v>
      </x:c>
      <x:c r="AI1448" t="n">
        <x:f>_xlfn.XLOOKUP($A1448,Games!$A$2:$A$18,Games!$D$2:$D$18,"Missing game",0)</x:f>
        <x:v>10</x:v>
      </x:c>
      <x:c r="AJ1448" s="1" t="n">
        <x:f>_xlfn.XLOOKUP($A1448,Games!$A$2:$A$18,Games!$E$2:$E$18,"Missing game",0)</x:f>
        <x:v>45970</x:v>
      </x:c>
      <x:c r="AK1448" t="str">
        <x:f>_xlfn.XLOOKUP($A1448,Games!$A$2:$A$18,Games!$F$2:$F$18,"Missing game",0)</x:f>
        <x:v>Sunday</x:v>
      </x:c>
      <x:c r="AL1448" t="str">
        <x:f>_xlfn.XLOOKUP($A1448,Games!$A$2:$A$18,Games!$G$2:$G$18,"Missing game",0)</x:f>
        <x:v>BAL</x:v>
      </x:c>
      <x:c r="AM1448" t="n">
        <x:f>_xlfn.XLOOKUP($A1448,Games!$A$2:$A$18,Games!$H$2:$H$18,"Missing game",0)</x:f>
        <x:v>27</x:v>
      </x:c>
      <x:c r="AN1448" t="str">
        <x:f>_xlfn.XLOOKUP($A1448,Games!$A$2:$A$18,Games!$I$2:$I$18,"Missing game",0)</x:f>
        <x:v>MIN</x:v>
      </x:c>
      <x:c r="AO1448" t="n">
        <x:f>_xlfn.XLOOKUP($A1448,Games!$A$2:$A$18,Games!$J$2:$J$18,"Missing game",0)</x:f>
        <x:v>19</x:v>
      </x:c>
      <x:c r="AP1448" t="n">
        <x:f>_xlfn.XLOOKUP($A1448,Games!$A$2:$A$18,Games!$K$2:$K$18,"Missing game",0)</x:f>
        <x:v>-8</x:v>
      </x:c>
      <x:c r="AQ1448" t="n">
        <x:f>_xlfn.XLOOKUP($A1448,Games!$A$2:$A$18,Games!$L$2:$L$18,"Missing game",0)</x:f>
        <x:v>46</x:v>
      </x:c>
      <x:c r="AR1448" t="n">
        <x:f>_xlfn.XLOOKUP($A1448,Games!$A$2:$A$18,Games!$M$2:$M$18,"Missing game",0)</x:f>
        <x:v>0</x:v>
      </x:c>
      <x:c r="AS1448" t="str">
        <x:f>_xlfn.XLOOKUP($A1448,Games!$A$2:$A$18,Games!$N$2:$N$18,"Missing game",0)</x:f>
        <x:v>dome</x:v>
      </x:c>
      <x:c r="AT1448" t="str">
        <x:f>_xlfn.XLOOKUP($A1448,Games!$A$2:$A$18,Games!$O$2:$O$18,"Missing game",0)</x:f>
        <x:v>sportturf</x:v>
      </x:c>
      <x:c r="AU1448" t="str">
        <x:f>_xlfn.XLOOKUP($A1448,Games!$A$2:$A$18,Games!$P$2:$P$18,"Missing game",0)</x:f>
      </x:c>
      <x:c r="AV1448" t="str">
        <x:f>_xlfn.XLOOKUP($A1448,Games!$A$2:$A$18,Games!$Q$2:$Q$18,"Missing game",0)</x:f>
      </x:c>
      <x:c r="AW1448" t="str">
        <x:f>_xlfn.XLOOKUP($A1448,Games!$A$2:$A$18,Games!$R$2:$R$18,"Missing game",0)</x:f>
        <x:v>U.S. Bank Stadium</x:v>
      </x:c>
    </x:row>
    <x:row r="1449">
      <x:c r="A1449" t="str">
        <x:v>2025_10_BAL_MIN</x:v>
      </x:c>
      <x:c r="B1449" t="n">
        <x:v>2447</x:v>
      </x:c>
      <x:c r="C1449" t="n">
        <x:v>3</x:v>
      </x:c>
      <x:c r="D1449" t="str">
        <x:v>09:10</x:v>
      </x:c>
      <x:c r="E1449" t="n">
        <x:v>3</x:v>
      </x:c>
      <x:c r="F1449" t="n">
        <x:v>1</x:v>
      </x:c>
      <x:c r="G1449" t="str">
        <x:v>BAL</x:v>
      </x:c>
      <x:c r="H1449" t="str">
        <x:v>MIN</x:v>
      </x:c>
      <x:c r="I1449" t="str">
        <x:v>MIN</x:v>
      </x:c>
      <x:c r="J1449" t="n">
        <x:v>14</x:v>
      </x:c>
      <x:c r="K1449" t="str">
        <x:v>(9:10) Direct snap to 89-M.Andrews. 8-L.Jackson right end ran ob at MIN 11 for 3 yards (22-H.Smith).</x:v>
      </x:c>
      <x:c r="L1449" t="str">
        <x:v>run</x:v>
      </x:c>
      <x:c r="M1449" t="n">
        <x:v>3</x:v>
      </x:c>
      <x:c r="N1449" t="n">
        <x:v>0</x:v>
      </x:c>
      <x:c r="O1449" t="n">
        <x:v>0</x:v>
      </x:c>
      <x:c r="P1449"/>
      <x:c r="Q1449"/>
      <x:c r="R1449"/>
      <x:c r="S1449"/>
      <x:c r="T1449" t="str">
        <x:v>right</x:v>
      </x:c>
      <x:c r="U1449" t="str">
        <x:v>end</x:v>
      </x:c>
      <x:c r="V1449" t="n">
        <x:v>0</x:v>
      </x:c>
      <x:c r="W1449" t="n">
        <x:v>1</x:v>
      </x:c>
      <x:c r="X1449" t="n">
        <x:v>0</x:v>
      </x:c>
      <x:c r="Y1449" t="n">
        <x:v>0</x:v>
      </x:c>
      <x:c r="Z1449" t="n">
        <x:v>0</x:v>
      </x:c>
      <x:c r="AA1449" t="n">
        <x:v>0</x:v>
      </x:c>
      <x:c r="AB1449"/>
      <x:c r="AC1449" t="n">
        <x:v>0</x:v>
      </x:c>
      <x:c r="AD1449" t="n">
        <x:v>0.38495464820880443</x:v>
      </x:c>
      <x:c r="AE1449" t="n">
        <x:v>1</x:v>
      </x:c>
      <x:c r="AF1449" t="n">
        <x:v>0.007924139499664307</x:v>
      </x:c>
      <x:c r="AG1449" t="n">
        <x:f>_xlfn.XLOOKUP($A1449,Games!$A$2:$A$18,Games!$B$2:$B$18,"Missing game",0)</x:f>
        <x:v>2025</x:v>
      </x:c>
      <x:c r="AH1449" t="str">
        <x:f>_xlfn.XLOOKUP($A1449,Games!$A$2:$A$18,Games!$C$2:$C$18,"Missing game",0)</x:f>
        <x:v>REG</x:v>
      </x:c>
      <x:c r="AI1449" t="n">
        <x:f>_xlfn.XLOOKUP($A1449,Games!$A$2:$A$18,Games!$D$2:$D$18,"Missing game",0)</x:f>
        <x:v>10</x:v>
      </x:c>
      <x:c r="AJ1449" s="1" t="n">
        <x:f>_xlfn.XLOOKUP($A1449,Games!$A$2:$A$18,Games!$E$2:$E$18,"Missing game",0)</x:f>
        <x:v>45970</x:v>
      </x:c>
      <x:c r="AK1449" t="str">
        <x:f>_xlfn.XLOOKUP($A1449,Games!$A$2:$A$18,Games!$F$2:$F$18,"Missing game",0)</x:f>
        <x:v>Sunday</x:v>
      </x:c>
      <x:c r="AL1449" t="str">
        <x:f>_xlfn.XLOOKUP($A1449,Games!$A$2:$A$18,Games!$G$2:$G$18,"Missing game",0)</x:f>
        <x:v>BAL</x:v>
      </x:c>
      <x:c r="AM1449" t="n">
        <x:f>_xlfn.XLOOKUP($A1449,Games!$A$2:$A$18,Games!$H$2:$H$18,"Missing game",0)</x:f>
        <x:v>27</x:v>
      </x:c>
      <x:c r="AN1449" t="str">
        <x:f>_xlfn.XLOOKUP($A1449,Games!$A$2:$A$18,Games!$I$2:$I$18,"Missing game",0)</x:f>
        <x:v>MIN</x:v>
      </x:c>
      <x:c r="AO1449" t="n">
        <x:f>_xlfn.XLOOKUP($A1449,Games!$A$2:$A$18,Games!$J$2:$J$18,"Missing game",0)</x:f>
        <x:v>19</x:v>
      </x:c>
      <x:c r="AP1449" t="n">
        <x:f>_xlfn.XLOOKUP($A1449,Games!$A$2:$A$18,Games!$K$2:$K$18,"Missing game",0)</x:f>
        <x:v>-8</x:v>
      </x:c>
      <x:c r="AQ1449" t="n">
        <x:f>_xlfn.XLOOKUP($A1449,Games!$A$2:$A$18,Games!$L$2:$L$18,"Missing game",0)</x:f>
        <x:v>46</x:v>
      </x:c>
      <x:c r="AR1449" t="n">
        <x:f>_xlfn.XLOOKUP($A1449,Games!$A$2:$A$18,Games!$M$2:$M$18,"Missing game",0)</x:f>
        <x:v>0</x:v>
      </x:c>
      <x:c r="AS1449" t="str">
        <x:f>_xlfn.XLOOKUP($A1449,Games!$A$2:$A$18,Games!$N$2:$N$18,"Missing game",0)</x:f>
        <x:v>dome</x:v>
      </x:c>
      <x:c r="AT1449" t="str">
        <x:f>_xlfn.XLOOKUP($A1449,Games!$A$2:$A$18,Games!$O$2:$O$18,"Missing game",0)</x:f>
        <x:v>sportturf</x:v>
      </x:c>
      <x:c r="AU1449" t="str">
        <x:f>_xlfn.XLOOKUP($A1449,Games!$A$2:$A$18,Games!$P$2:$P$18,"Missing game",0)</x:f>
      </x:c>
      <x:c r="AV1449" t="str">
        <x:f>_xlfn.XLOOKUP($A1449,Games!$A$2:$A$18,Games!$Q$2:$Q$18,"Missing game",0)</x:f>
      </x:c>
      <x:c r="AW1449" t="str">
        <x:f>_xlfn.XLOOKUP($A1449,Games!$A$2:$A$18,Games!$R$2:$R$18,"Missing game",0)</x:f>
        <x:v>U.S. Bank Stadium</x:v>
      </x:c>
    </x:row>
    <x:row r="1450">
      <x:c r="A1450" t="str">
        <x:v>2025_10_BAL_MIN</x:v>
      </x:c>
      <x:c r="B1450" t="n">
        <x:v>2488</x:v>
      </x:c>
      <x:c r="C1450" t="n">
        <x:v>3</x:v>
      </x:c>
      <x:c r="D1450" t="str">
        <x:v>08:39</x:v>
      </x:c>
      <x:c r="E1450" t="n">
        <x:v>1</x:v>
      </x:c>
      <x:c r="F1450" t="n">
        <x:v>10</x:v>
      </x:c>
      <x:c r="G1450" t="str">
        <x:v>BAL</x:v>
      </x:c>
      <x:c r="H1450" t="str">
        <x:v>MIN</x:v>
      </x:c>
      <x:c r="I1450" t="str">
        <x:v>MIN</x:v>
      </x:c>
      <x:c r="J1450" t="n">
        <x:v>11</x:v>
      </x:c>
      <x:c r="K1450" t="str">
        <x:v>(8:39) (Shotgun) 8-L.Jackson pass incomplete short right to 7-R.Bateman.</x:v>
      </x:c>
      <x:c r="L1450" t="str">
        <x:v>pass</x:v>
      </x:c>
      <x:c r="M1450" t="n">
        <x:v>0</x:v>
      </x:c>
      <x:c r="N1450" t="n">
        <x:v>1</x:v>
      </x:c>
      <x:c r="O1450" t="n">
        <x:v>0</x:v>
      </x:c>
      <x:c r="P1450" t="str">
        <x:v>short</x:v>
      </x:c>
      <x:c r="Q1450" t="str">
        <x:v>right</x:v>
      </x:c>
      <x:c r="R1450" t="n">
        <x:v>11</x:v>
      </x:c>
      <x:c r="S1450"/>
      <x:c r="T1450"/>
      <x:c r="U1450"/>
      <x:c r="V1450" t="n">
        <x:v>0</x:v>
      </x:c>
      <x:c r="W1450" t="n">
        <x:v>0</x:v>
      </x:c>
      <x:c r="X1450" t="n">
        <x:v>0</x:v>
      </x:c>
      <x:c r="Y1450" t="n">
        <x:v>0</x:v>
      </x:c>
      <x:c r="Z1450" t="n">
        <x:v>0</x:v>
      </x:c>
      <x:c r="AA1450" t="n">
        <x:v>0</x:v>
      </x:c>
      <x:c r="AB1450"/>
      <x:c r="AC1450" t="n">
        <x:v>0</x:v>
      </x:c>
      <x:c r="AD1450" t="n">
        <x:v>-0.48508188512641937</x:v>
      </x:c>
      <x:c r="AE1450" t="n">
        <x:v>0</x:v>
      </x:c>
      <x:c r="AF1450" t="n">
        <x:v>-0.012650668621063232</x:v>
      </x:c>
      <x:c r="AG1450" t="n">
        <x:f>_xlfn.XLOOKUP($A1450,Games!$A$2:$A$18,Games!$B$2:$B$18,"Missing game",0)</x:f>
        <x:v>2025</x:v>
      </x:c>
      <x:c r="AH1450" t="str">
        <x:f>_xlfn.XLOOKUP($A1450,Games!$A$2:$A$18,Games!$C$2:$C$18,"Missing game",0)</x:f>
        <x:v>REG</x:v>
      </x:c>
      <x:c r="AI1450" t="n">
        <x:f>_xlfn.XLOOKUP($A1450,Games!$A$2:$A$18,Games!$D$2:$D$18,"Missing game",0)</x:f>
        <x:v>10</x:v>
      </x:c>
      <x:c r="AJ1450" s="1" t="n">
        <x:f>_xlfn.XLOOKUP($A1450,Games!$A$2:$A$18,Games!$E$2:$E$18,"Missing game",0)</x:f>
        <x:v>45970</x:v>
      </x:c>
      <x:c r="AK1450" t="str">
        <x:f>_xlfn.XLOOKUP($A1450,Games!$A$2:$A$18,Games!$F$2:$F$18,"Missing game",0)</x:f>
        <x:v>Sunday</x:v>
      </x:c>
      <x:c r="AL1450" t="str">
        <x:f>_xlfn.XLOOKUP($A1450,Games!$A$2:$A$18,Games!$G$2:$G$18,"Missing game",0)</x:f>
        <x:v>BAL</x:v>
      </x:c>
      <x:c r="AM1450" t="n">
        <x:f>_xlfn.XLOOKUP($A1450,Games!$A$2:$A$18,Games!$H$2:$H$18,"Missing game",0)</x:f>
        <x:v>27</x:v>
      </x:c>
      <x:c r="AN1450" t="str">
        <x:f>_xlfn.XLOOKUP($A1450,Games!$A$2:$A$18,Games!$I$2:$I$18,"Missing game",0)</x:f>
        <x:v>MIN</x:v>
      </x:c>
      <x:c r="AO1450" t="n">
        <x:f>_xlfn.XLOOKUP($A1450,Games!$A$2:$A$18,Games!$J$2:$J$18,"Missing game",0)</x:f>
        <x:v>19</x:v>
      </x:c>
      <x:c r="AP1450" t="n">
        <x:f>_xlfn.XLOOKUP($A1450,Games!$A$2:$A$18,Games!$K$2:$K$18,"Missing game",0)</x:f>
        <x:v>-8</x:v>
      </x:c>
      <x:c r="AQ1450" t="n">
        <x:f>_xlfn.XLOOKUP($A1450,Games!$A$2:$A$18,Games!$L$2:$L$18,"Missing game",0)</x:f>
        <x:v>46</x:v>
      </x:c>
      <x:c r="AR1450" t="n">
        <x:f>_xlfn.XLOOKUP($A1450,Games!$A$2:$A$18,Games!$M$2:$M$18,"Missing game",0)</x:f>
        <x:v>0</x:v>
      </x:c>
      <x:c r="AS1450" t="str">
        <x:f>_xlfn.XLOOKUP($A1450,Games!$A$2:$A$18,Games!$N$2:$N$18,"Missing game",0)</x:f>
        <x:v>dome</x:v>
      </x:c>
      <x:c r="AT1450" t="str">
        <x:f>_xlfn.XLOOKUP($A1450,Games!$A$2:$A$18,Games!$O$2:$O$18,"Missing game",0)</x:f>
        <x:v>sportturf</x:v>
      </x:c>
      <x:c r="AU1450" t="str">
        <x:f>_xlfn.XLOOKUP($A1450,Games!$A$2:$A$18,Games!$P$2:$P$18,"Missing game",0)</x:f>
      </x:c>
      <x:c r="AV1450" t="str">
        <x:f>_xlfn.XLOOKUP($A1450,Games!$A$2:$A$18,Games!$Q$2:$Q$18,"Missing game",0)</x:f>
      </x:c>
      <x:c r="AW1450" t="str">
        <x:f>_xlfn.XLOOKUP($A1450,Games!$A$2:$A$18,Games!$R$2:$R$18,"Missing game",0)</x:f>
        <x:v>U.S. Bank Stadium</x:v>
      </x:c>
    </x:row>
    <x:row r="1451">
      <x:c r="A1451" t="str">
        <x:v>2025_10_BAL_MIN</x:v>
      </x:c>
      <x:c r="B1451" t="n">
        <x:v>2511</x:v>
      </x:c>
      <x:c r="C1451" t="n">
        <x:v>3</x:v>
      </x:c>
      <x:c r="D1451" t="str">
        <x:v>08:35</x:v>
      </x:c>
      <x:c r="E1451" t="n">
        <x:v>2</x:v>
      </x:c>
      <x:c r="F1451" t="n">
        <x:v>10</x:v>
      </x:c>
      <x:c r="G1451" t="str">
        <x:v>BAL</x:v>
      </x:c>
      <x:c r="H1451" t="str">
        <x:v>MIN</x:v>
      </x:c>
      <x:c r="I1451" t="str">
        <x:v>MIN</x:v>
      </x:c>
      <x:c r="J1451" t="n">
        <x:v>11</x:v>
      </x:c>
      <x:c r="K1451" t="str">
        <x:v>(8:35) (Shotgun) 8-L.Jackson pass short right to 7-R.Bateman to MIN 1 for 10 yards (2-I.Rodgers).</x:v>
      </x:c>
      <x:c r="L1451" t="str">
        <x:v>pass</x:v>
      </x:c>
      <x:c r="M1451" t="n">
        <x:v>10</x:v>
      </x:c>
      <x:c r="N1451" t="n">
        <x:v>1</x:v>
      </x:c>
      <x:c r="O1451" t="n">
        <x:v>0</x:v>
      </x:c>
      <x:c r="P1451" t="str">
        <x:v>short</x:v>
      </x:c>
      <x:c r="Q1451" t="str">
        <x:v>right</x:v>
      </x:c>
      <x:c r="R1451" t="n">
        <x:v>4</x:v>
      </x:c>
      <x:c r="S1451" t="n">
        <x:v>6</x:v>
      </x:c>
      <x:c r="T1451"/>
      <x:c r="U1451"/>
      <x:c r="V1451" t="n">
        <x:v>1</x:v>
      </x:c>
      <x:c r="W1451" t="n">
        <x:v>1</x:v>
      </x:c>
      <x:c r="X1451" t="n">
        <x:v>0</x:v>
      </x:c>
      <x:c r="Y1451" t="n">
        <x:v>0</x:v>
      </x:c>
      <x:c r="Z1451" t="n">
        <x:v>0</x:v>
      </x:c>
      <x:c r="AA1451" t="n">
        <x:v>0</x:v>
      </x:c>
      <x:c r="AB1451"/>
      <x:c r="AC1451" t="n">
        <x:v>0</x:v>
      </x:c>
      <x:c r="AD1451" t="n">
        <x:v>1.77742648369167</x:v>
      </x:c>
      <x:c r="AE1451" t="n">
        <x:v>1</x:v>
      </x:c>
      <x:c r="AF1451" t="n">
        <x:v>0.051108479499816895</x:v>
      </x:c>
      <x:c r="AG1451" t="n">
        <x:f>_xlfn.XLOOKUP($A1451,Games!$A$2:$A$18,Games!$B$2:$B$18,"Missing game",0)</x:f>
        <x:v>2025</x:v>
      </x:c>
      <x:c r="AH1451" t="str">
        <x:f>_xlfn.XLOOKUP($A1451,Games!$A$2:$A$18,Games!$C$2:$C$18,"Missing game",0)</x:f>
        <x:v>REG</x:v>
      </x:c>
      <x:c r="AI1451" t="n">
        <x:f>_xlfn.XLOOKUP($A1451,Games!$A$2:$A$18,Games!$D$2:$D$18,"Missing game",0)</x:f>
        <x:v>10</x:v>
      </x:c>
      <x:c r="AJ1451" s="1" t="n">
        <x:f>_xlfn.XLOOKUP($A1451,Games!$A$2:$A$18,Games!$E$2:$E$18,"Missing game",0)</x:f>
        <x:v>45970</x:v>
      </x:c>
      <x:c r="AK1451" t="str">
        <x:f>_xlfn.XLOOKUP($A1451,Games!$A$2:$A$18,Games!$F$2:$F$18,"Missing game",0)</x:f>
        <x:v>Sunday</x:v>
      </x:c>
      <x:c r="AL1451" t="str">
        <x:f>_xlfn.XLOOKUP($A1451,Games!$A$2:$A$18,Games!$G$2:$G$18,"Missing game",0)</x:f>
        <x:v>BAL</x:v>
      </x:c>
      <x:c r="AM1451" t="n">
        <x:f>_xlfn.XLOOKUP($A1451,Games!$A$2:$A$18,Games!$H$2:$H$18,"Missing game",0)</x:f>
        <x:v>27</x:v>
      </x:c>
      <x:c r="AN1451" t="str">
        <x:f>_xlfn.XLOOKUP($A1451,Games!$A$2:$A$18,Games!$I$2:$I$18,"Missing game",0)</x:f>
        <x:v>MIN</x:v>
      </x:c>
      <x:c r="AO1451" t="n">
        <x:f>_xlfn.XLOOKUP($A1451,Games!$A$2:$A$18,Games!$J$2:$J$18,"Missing game",0)</x:f>
        <x:v>19</x:v>
      </x:c>
      <x:c r="AP1451" t="n">
        <x:f>_xlfn.XLOOKUP($A1451,Games!$A$2:$A$18,Games!$K$2:$K$18,"Missing game",0)</x:f>
        <x:v>-8</x:v>
      </x:c>
      <x:c r="AQ1451" t="n">
        <x:f>_xlfn.XLOOKUP($A1451,Games!$A$2:$A$18,Games!$L$2:$L$18,"Missing game",0)</x:f>
        <x:v>46</x:v>
      </x:c>
      <x:c r="AR1451" t="n">
        <x:f>_xlfn.XLOOKUP($A1451,Games!$A$2:$A$18,Games!$M$2:$M$18,"Missing game",0)</x:f>
        <x:v>0</x:v>
      </x:c>
      <x:c r="AS1451" t="str">
        <x:f>_xlfn.XLOOKUP($A1451,Games!$A$2:$A$18,Games!$N$2:$N$18,"Missing game",0)</x:f>
        <x:v>dome</x:v>
      </x:c>
      <x:c r="AT1451" t="str">
        <x:f>_xlfn.XLOOKUP($A1451,Games!$A$2:$A$18,Games!$O$2:$O$18,"Missing game",0)</x:f>
        <x:v>sportturf</x:v>
      </x:c>
      <x:c r="AU1451" t="str">
        <x:f>_xlfn.XLOOKUP($A1451,Games!$A$2:$A$18,Games!$P$2:$P$18,"Missing game",0)</x:f>
      </x:c>
      <x:c r="AV1451" t="str">
        <x:f>_xlfn.XLOOKUP($A1451,Games!$A$2:$A$18,Games!$Q$2:$Q$18,"Missing game",0)</x:f>
      </x:c>
      <x:c r="AW1451" t="str">
        <x:f>_xlfn.XLOOKUP($A1451,Games!$A$2:$A$18,Games!$R$2:$R$18,"Missing game",0)</x:f>
        <x:v>U.S. Bank Stadium</x:v>
      </x:c>
    </x:row>
    <x:row r="1452">
      <x:c r="A1452" t="str">
        <x:v>2025_10_BAL_MIN</x:v>
      </x:c>
      <x:c r="B1452" t="n">
        <x:v>2536</x:v>
      </x:c>
      <x:c r="C1452" t="n">
        <x:v>3</x:v>
      </x:c>
      <x:c r="D1452" t="str">
        <x:v>08:09</x:v>
      </x:c>
      <x:c r="E1452" t="n">
        <x:v>1</x:v>
      </x:c>
      <x:c r="F1452" t="n">
        <x:v>1</x:v>
      </x:c>
      <x:c r="G1452" t="str">
        <x:v>BAL</x:v>
      </x:c>
      <x:c r="H1452" t="str">
        <x:v>MIN</x:v>
      </x:c>
      <x:c r="I1452" t="str">
        <x:v>MIN</x:v>
      </x:c>
      <x:c r="J1452" t="n">
        <x:v>1</x:v>
      </x:c>
      <x:c r="K1452" t="str">
        <x:v>(8:09) (No Huddle, Shotgun) 43-J.Hill up the middle for 1 yard, TOUCHDOWN.</x:v>
      </x:c>
      <x:c r="L1452" t="str">
        <x:v>run</x:v>
      </x:c>
      <x:c r="M1452" t="n">
        <x:v>1</x:v>
      </x:c>
      <x:c r="N1452" t="n">
        <x:v>1</x:v>
      </x:c>
      <x:c r="O1452" t="n">
        <x:v>1</x:v>
      </x:c>
      <x:c r="P1452"/>
      <x:c r="Q1452"/>
      <x:c r="R1452"/>
      <x:c r="S1452"/>
      <x:c r="T1452" t="str">
        <x:v>middle</x:v>
      </x:c>
      <x:c r="U1452"/>
      <x:c r="V1452" t="n">
        <x:v>0</x:v>
      </x:c>
      <x:c r="W1452" t="n">
        <x:v>1</x:v>
      </x:c>
      <x:c r="X1452" t="n">
        <x:v>0</x:v>
      </x:c>
      <x:c r="Y1452" t="n">
        <x:v>0</x:v>
      </x:c>
      <x:c r="Z1452" t="n">
        <x:v>0</x:v>
      </x:c>
      <x:c r="AA1452" t="n">
        <x:v>0</x:v>
      </x:c>
      <x:c r="AB1452"/>
      <x:c r="AC1452" t="n">
        <x:v>1</x:v>
      </x:c>
      <x:c r="AD1452" t="n">
        <x:v>0.5270414341939613</x:v>
      </x:c>
      <x:c r="AE1452" t="n">
        <x:v>1</x:v>
      </x:c>
      <x:c r="AF1452" t="n">
        <x:v>0.02246184788354688</x:v>
      </x:c>
      <x:c r="AG1452" t="n">
        <x:f>_xlfn.XLOOKUP($A1452,Games!$A$2:$A$18,Games!$B$2:$B$18,"Missing game",0)</x:f>
        <x:v>2025</x:v>
      </x:c>
      <x:c r="AH1452" t="str">
        <x:f>_xlfn.XLOOKUP($A1452,Games!$A$2:$A$18,Games!$C$2:$C$18,"Missing game",0)</x:f>
        <x:v>REG</x:v>
      </x:c>
      <x:c r="AI1452" t="n">
        <x:f>_xlfn.XLOOKUP($A1452,Games!$A$2:$A$18,Games!$D$2:$D$18,"Missing game",0)</x:f>
        <x:v>10</x:v>
      </x:c>
      <x:c r="AJ1452" s="1" t="n">
        <x:f>_xlfn.XLOOKUP($A1452,Games!$A$2:$A$18,Games!$E$2:$E$18,"Missing game",0)</x:f>
        <x:v>45970</x:v>
      </x:c>
      <x:c r="AK1452" t="str">
        <x:f>_xlfn.XLOOKUP($A1452,Games!$A$2:$A$18,Games!$F$2:$F$18,"Missing game",0)</x:f>
        <x:v>Sunday</x:v>
      </x:c>
      <x:c r="AL1452" t="str">
        <x:f>_xlfn.XLOOKUP($A1452,Games!$A$2:$A$18,Games!$G$2:$G$18,"Missing game",0)</x:f>
        <x:v>BAL</x:v>
      </x:c>
      <x:c r="AM1452" t="n">
        <x:f>_xlfn.XLOOKUP($A1452,Games!$A$2:$A$18,Games!$H$2:$H$18,"Missing game",0)</x:f>
        <x:v>27</x:v>
      </x:c>
      <x:c r="AN1452" t="str">
        <x:f>_xlfn.XLOOKUP($A1452,Games!$A$2:$A$18,Games!$I$2:$I$18,"Missing game",0)</x:f>
        <x:v>MIN</x:v>
      </x:c>
      <x:c r="AO1452" t="n">
        <x:f>_xlfn.XLOOKUP($A1452,Games!$A$2:$A$18,Games!$J$2:$J$18,"Missing game",0)</x:f>
        <x:v>19</x:v>
      </x:c>
      <x:c r="AP1452" t="n">
        <x:f>_xlfn.XLOOKUP($A1452,Games!$A$2:$A$18,Games!$K$2:$K$18,"Missing game",0)</x:f>
        <x:v>-8</x:v>
      </x:c>
      <x:c r="AQ1452" t="n">
        <x:f>_xlfn.XLOOKUP($A1452,Games!$A$2:$A$18,Games!$L$2:$L$18,"Missing game",0)</x:f>
        <x:v>46</x:v>
      </x:c>
      <x:c r="AR1452" t="n">
        <x:f>_xlfn.XLOOKUP($A1452,Games!$A$2:$A$18,Games!$M$2:$M$18,"Missing game",0)</x:f>
        <x:v>0</x:v>
      </x:c>
      <x:c r="AS1452" t="str">
        <x:f>_xlfn.XLOOKUP($A1452,Games!$A$2:$A$18,Games!$N$2:$N$18,"Missing game",0)</x:f>
        <x:v>dome</x:v>
      </x:c>
      <x:c r="AT1452" t="str">
        <x:f>_xlfn.XLOOKUP($A1452,Games!$A$2:$A$18,Games!$O$2:$O$18,"Missing game",0)</x:f>
        <x:v>sportturf</x:v>
      </x:c>
      <x:c r="AU1452" t="str">
        <x:f>_xlfn.XLOOKUP($A1452,Games!$A$2:$A$18,Games!$P$2:$P$18,"Missing game",0)</x:f>
      </x:c>
      <x:c r="AV1452" t="str">
        <x:f>_xlfn.XLOOKUP($A1452,Games!$A$2:$A$18,Games!$Q$2:$Q$18,"Missing game",0)</x:f>
      </x:c>
      <x:c r="AW1452" t="str">
        <x:f>_xlfn.XLOOKUP($A1452,Games!$A$2:$A$18,Games!$R$2:$R$18,"Missing game",0)</x:f>
        <x:v>U.S. Bank Stadium</x:v>
      </x:c>
    </x:row>
    <x:row r="1453">
      <x:c r="A1453" t="str">
        <x:v>2025_10_BAL_MIN</x:v>
      </x:c>
      <x:c r="B1453" t="n">
        <x:v>2559</x:v>
      </x:c>
      <x:c r="C1453" t="n">
        <x:v>3</x:v>
      </x:c>
      <x:c r="D1453" t="str">
        <x:v>08:02</x:v>
      </x:c>
      <x:c r="E1453"/>
      <x:c r="F1453" t="n">
        <x:v>0</x:v>
      </x:c>
      <x:c r="G1453" t="str">
        <x:v>BAL</x:v>
      </x:c>
      <x:c r="H1453" t="str">
        <x:v>MIN</x:v>
      </x:c>
      <x:c r="I1453" t="str">
        <x:v>MIN</x:v>
      </x:c>
      <x:c r="J1453" t="n">
        <x:v>15</x:v>
      </x:c>
      <x:c r="K1453" t="str">
        <x:v>33-T.Loop extra point is GOOD, Center-46-N.Moore, Holder-11-J.Stout.</x:v>
      </x:c>
      <x:c r="L1453" t="str">
        <x:v>extra_point</x:v>
      </x:c>
      <x:c r="M1453" t="n">
        <x:v>0</x:v>
      </x:c>
      <x:c r="N1453" t="n">
        <x:v>0</x:v>
      </x:c>
      <x:c r="O1453" t="n">
        <x:v>0</x:v>
      </x:c>
      <x:c r="P1453"/>
      <x:c r="Q1453"/>
      <x:c r="R1453"/>
      <x:c r="S1453"/>
      <x:c r="T1453"/>
      <x:c r="U1453"/>
      <x:c r="V1453" t="n">
        <x:v>0</x:v>
      </x:c>
      <x:c r="W1453" t="n">
        <x:v>0</x:v>
      </x:c>
      <x:c r="X1453" t="n">
        <x:v>0</x:v>
      </x:c>
      <x:c r="Y1453" t="n">
        <x:v>0</x:v>
      </x:c>
      <x:c r="Z1453" t="n">
        <x:v>0</x:v>
      </x:c>
      <x:c r="AA1453" t="n">
        <x:v>0</x:v>
      </x:c>
      <x:c r="AB1453"/>
      <x:c r="AC1453" t="n">
        <x:v>0</x:v>
      </x:c>
      <x:c r="AD1453" t="n">
        <x:v>0.05117156607063911</x:v>
      </x:c>
      <x:c r="AE1453" t="n">
        <x:v>1</x:v>
      </x:c>
      <x:c r="AF1453" t="n">
        <x:v>0.0013206139980906917</x:v>
      </x:c>
      <x:c r="AG1453" t="n">
        <x:f>_xlfn.XLOOKUP($A1453,Games!$A$2:$A$18,Games!$B$2:$B$18,"Missing game",0)</x:f>
        <x:v>2025</x:v>
      </x:c>
      <x:c r="AH1453" t="str">
        <x:f>_xlfn.XLOOKUP($A1453,Games!$A$2:$A$18,Games!$C$2:$C$18,"Missing game",0)</x:f>
        <x:v>REG</x:v>
      </x:c>
      <x:c r="AI1453" t="n">
        <x:f>_xlfn.XLOOKUP($A1453,Games!$A$2:$A$18,Games!$D$2:$D$18,"Missing game",0)</x:f>
        <x:v>10</x:v>
      </x:c>
      <x:c r="AJ1453" s="1" t="n">
        <x:f>_xlfn.XLOOKUP($A1453,Games!$A$2:$A$18,Games!$E$2:$E$18,"Missing game",0)</x:f>
        <x:v>45970</x:v>
      </x:c>
      <x:c r="AK1453" t="str">
        <x:f>_xlfn.XLOOKUP($A1453,Games!$A$2:$A$18,Games!$F$2:$F$18,"Missing game",0)</x:f>
        <x:v>Sunday</x:v>
      </x:c>
      <x:c r="AL1453" t="str">
        <x:f>_xlfn.XLOOKUP($A1453,Games!$A$2:$A$18,Games!$G$2:$G$18,"Missing game",0)</x:f>
        <x:v>BAL</x:v>
      </x:c>
      <x:c r="AM1453" t="n">
        <x:f>_xlfn.XLOOKUP($A1453,Games!$A$2:$A$18,Games!$H$2:$H$18,"Missing game",0)</x:f>
        <x:v>27</x:v>
      </x:c>
      <x:c r="AN1453" t="str">
        <x:f>_xlfn.XLOOKUP($A1453,Games!$A$2:$A$18,Games!$I$2:$I$18,"Missing game",0)</x:f>
        <x:v>MIN</x:v>
      </x:c>
      <x:c r="AO1453" t="n">
        <x:f>_xlfn.XLOOKUP($A1453,Games!$A$2:$A$18,Games!$J$2:$J$18,"Missing game",0)</x:f>
        <x:v>19</x:v>
      </x:c>
      <x:c r="AP1453" t="n">
        <x:f>_xlfn.XLOOKUP($A1453,Games!$A$2:$A$18,Games!$K$2:$K$18,"Missing game",0)</x:f>
        <x:v>-8</x:v>
      </x:c>
      <x:c r="AQ1453" t="n">
        <x:f>_xlfn.XLOOKUP($A1453,Games!$A$2:$A$18,Games!$L$2:$L$18,"Missing game",0)</x:f>
        <x:v>46</x:v>
      </x:c>
      <x:c r="AR1453" t="n">
        <x:f>_xlfn.XLOOKUP($A1453,Games!$A$2:$A$18,Games!$M$2:$M$18,"Missing game",0)</x:f>
        <x:v>0</x:v>
      </x:c>
      <x:c r="AS1453" t="str">
        <x:f>_xlfn.XLOOKUP($A1453,Games!$A$2:$A$18,Games!$N$2:$N$18,"Missing game",0)</x:f>
        <x:v>dome</x:v>
      </x:c>
      <x:c r="AT1453" t="str">
        <x:f>_xlfn.XLOOKUP($A1453,Games!$A$2:$A$18,Games!$O$2:$O$18,"Missing game",0)</x:f>
        <x:v>sportturf</x:v>
      </x:c>
      <x:c r="AU1453" t="str">
        <x:f>_xlfn.XLOOKUP($A1453,Games!$A$2:$A$18,Games!$P$2:$P$18,"Missing game",0)</x:f>
      </x:c>
      <x:c r="AV1453" t="str">
        <x:f>_xlfn.XLOOKUP($A1453,Games!$A$2:$A$18,Games!$Q$2:$Q$18,"Missing game",0)</x:f>
      </x:c>
      <x:c r="AW1453" t="str">
        <x:f>_xlfn.XLOOKUP($A1453,Games!$A$2:$A$18,Games!$R$2:$R$18,"Missing game",0)</x:f>
        <x:v>U.S. Bank Stadium</x:v>
      </x:c>
    </x:row>
    <x:row r="1454">
      <x:c r="A1454" t="str">
        <x:v>2025_10_BAL_MIN</x:v>
      </x:c>
      <x:c r="B1454" t="n">
        <x:v>2574</x:v>
      </x:c>
      <x:c r="C1454" t="n">
        <x:v>3</x:v>
      </x:c>
      <x:c r="D1454" t="str">
        <x:v>08:02</x:v>
      </x:c>
      <x:c r="E1454"/>
      <x:c r="F1454" t="n">
        <x:v>0</x:v>
      </x:c>
      <x:c r="G1454" t="str">
        <x:v>MIN</x:v>
      </x:c>
      <x:c r="H1454" t="str">
        <x:v>BAL</x:v>
      </x:c>
      <x:c r="I1454" t="str">
        <x:v>BAL</x:v>
      </x:c>
      <x:c r="J1454" t="n">
        <x:v>35</x:v>
      </x:c>
      <x:c r="K1454" t="str">
        <x:v>33-T.Loop kicks 65 yards from BAL 35 to MIN 0. 4-M.Price to MIN 27 for 27 yards (40-T.Buchanan; 16-T.Wallace). FUMBLES (40-T.Buchanan), touched at MIN 28, recovered by MIN-85-B.Yurosek at MIN 33.</x:v>
      </x:c>
      <x:c r="L1454" t="str">
        <x:v>kickoff</x:v>
      </x:c>
      <x:c r="M1454" t="n">
        <x:v>0</x:v>
      </x:c>
      <x:c r="N1454" t="n">
        <x:v>0</x:v>
      </x:c>
      <x:c r="O1454" t="n">
        <x:v>0</x:v>
      </x:c>
      <x:c r="P1454"/>
      <x:c r="Q1454"/>
      <x:c r="R1454"/>
      <x:c r="S1454"/>
      <x:c r="T1454"/>
      <x:c r="U1454"/>
      <x:c r="V1454" t="n">
        <x:v>0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0</x:v>
      </x:c>
      <x:c r="AB1454"/>
      <x:c r="AC1454" t="n">
        <x:v>0</x:v>
      </x:c>
      <x:c r="AD1454" t="n">
        <x:v>0.4555418877862394</x:v>
      </x:c>
      <x:c r="AE1454" t="n">
        <x:v>1</x:v>
      </x:c>
      <x:c r="AF1454" t="n">
        <x:v>0.011043623089790344</x:v>
      </x:c>
      <x:c r="AG1454" t="n">
        <x:f>_xlfn.XLOOKUP($A1454,Games!$A$2:$A$18,Games!$B$2:$B$18,"Missing game",0)</x:f>
        <x:v>2025</x:v>
      </x:c>
      <x:c r="AH1454" t="str">
        <x:f>_xlfn.XLOOKUP($A1454,Games!$A$2:$A$18,Games!$C$2:$C$18,"Missing game",0)</x:f>
        <x:v>REG</x:v>
      </x:c>
      <x:c r="AI1454" t="n">
        <x:f>_xlfn.XLOOKUP($A1454,Games!$A$2:$A$18,Games!$D$2:$D$18,"Missing game",0)</x:f>
        <x:v>10</x:v>
      </x:c>
      <x:c r="AJ1454" s="1" t="n">
        <x:f>_xlfn.XLOOKUP($A1454,Games!$A$2:$A$18,Games!$E$2:$E$18,"Missing game",0)</x:f>
        <x:v>45970</x:v>
      </x:c>
      <x:c r="AK1454" t="str">
        <x:f>_xlfn.XLOOKUP($A1454,Games!$A$2:$A$18,Games!$F$2:$F$18,"Missing game",0)</x:f>
        <x:v>Sunday</x:v>
      </x:c>
      <x:c r="AL1454" t="str">
        <x:f>_xlfn.XLOOKUP($A1454,Games!$A$2:$A$18,Games!$G$2:$G$18,"Missing game",0)</x:f>
        <x:v>BAL</x:v>
      </x:c>
      <x:c r="AM1454" t="n">
        <x:f>_xlfn.XLOOKUP($A1454,Games!$A$2:$A$18,Games!$H$2:$H$18,"Missing game",0)</x:f>
        <x:v>27</x:v>
      </x:c>
      <x:c r="AN1454" t="str">
        <x:f>_xlfn.XLOOKUP($A1454,Games!$A$2:$A$18,Games!$I$2:$I$18,"Missing game",0)</x:f>
        <x:v>MIN</x:v>
      </x:c>
      <x:c r="AO1454" t="n">
        <x:f>_xlfn.XLOOKUP($A1454,Games!$A$2:$A$18,Games!$J$2:$J$18,"Missing game",0)</x:f>
        <x:v>19</x:v>
      </x:c>
      <x:c r="AP1454" t="n">
        <x:f>_xlfn.XLOOKUP($A1454,Games!$A$2:$A$18,Games!$K$2:$K$18,"Missing game",0)</x:f>
        <x:v>-8</x:v>
      </x:c>
      <x:c r="AQ1454" t="n">
        <x:f>_xlfn.XLOOKUP($A1454,Games!$A$2:$A$18,Games!$L$2:$L$18,"Missing game",0)</x:f>
        <x:v>46</x:v>
      </x:c>
      <x:c r="AR1454" t="n">
        <x:f>_xlfn.XLOOKUP($A1454,Games!$A$2:$A$18,Games!$M$2:$M$18,"Missing game",0)</x:f>
        <x:v>0</x:v>
      </x:c>
      <x:c r="AS1454" t="str">
        <x:f>_xlfn.XLOOKUP($A1454,Games!$A$2:$A$18,Games!$N$2:$N$18,"Missing game",0)</x:f>
        <x:v>dome</x:v>
      </x:c>
      <x:c r="AT1454" t="str">
        <x:f>_xlfn.XLOOKUP($A1454,Games!$A$2:$A$18,Games!$O$2:$O$18,"Missing game",0)</x:f>
        <x:v>sportturf</x:v>
      </x:c>
      <x:c r="AU1454" t="str">
        <x:f>_xlfn.XLOOKUP($A1454,Games!$A$2:$A$18,Games!$P$2:$P$18,"Missing game",0)</x:f>
      </x:c>
      <x:c r="AV1454" t="str">
        <x:f>_xlfn.XLOOKUP($A1454,Games!$A$2:$A$18,Games!$Q$2:$Q$18,"Missing game",0)</x:f>
      </x:c>
      <x:c r="AW1454" t="str">
        <x:f>_xlfn.XLOOKUP($A1454,Games!$A$2:$A$18,Games!$R$2:$R$18,"Missing game",0)</x:f>
        <x:v>U.S. Bank Stadium</x:v>
      </x:c>
    </x:row>
    <x:row r="1455">
      <x:c r="A1455" t="str">
        <x:v>2025_10_BAL_MIN</x:v>
      </x:c>
      <x:c r="B1455" t="n">
        <x:v>2625</x:v>
      </x:c>
      <x:c r="C1455" t="n">
        <x:v>3</x:v>
      </x:c>
      <x:c r="D1455" t="str">
        <x:v>07:50</x:v>
      </x:c>
      <x:c r="E1455" t="n">
        <x:v>1</x:v>
      </x:c>
      <x:c r="F1455" t="n">
        <x:v>10</x:v>
      </x:c>
      <x:c r="G1455" t="str">
        <x:v>MIN</x:v>
      </x:c>
      <x:c r="H1455" t="str">
        <x:v>BAL</x:v>
      </x:c>
      <x:c r="I1455" t="str">
        <x:v>MIN</x:v>
      </x:c>
      <x:c r="J1455" t="n">
        <x:v>67</x:v>
      </x:c>
      <x:c r="K1455" t="str">
        <x:v>(7:50) 27-J.Mason right tackle to MIN 46 for 13 yards (0-R.Smith; 44-M.Humphrey).</x:v>
      </x:c>
      <x:c r="L1455" t="str">
        <x:v>run</x:v>
      </x:c>
      <x:c r="M1455" t="n">
        <x:v>13</x:v>
      </x:c>
      <x:c r="N1455" t="n">
        <x:v>0</x:v>
      </x:c>
      <x:c r="O1455" t="n">
        <x:v>0</x:v>
      </x:c>
      <x:c r="P1455"/>
      <x:c r="Q1455"/>
      <x:c r="R1455"/>
      <x:c r="S1455"/>
      <x:c r="T1455" t="str">
        <x:v>right</x:v>
      </x:c>
      <x:c r="U1455" t="str">
        <x:v>tackle</x:v>
      </x:c>
      <x:c r="V1455" t="n">
        <x:v>0</x:v>
      </x:c>
      <x:c r="W1455" t="n">
        <x:v>1</x:v>
      </x:c>
      <x:c r="X1455" t="n">
        <x:v>0</x:v>
      </x:c>
      <x:c r="Y1455" t="n">
        <x:v>0</x:v>
      </x:c>
      <x:c r="Z1455" t="n">
        <x:v>0</x:v>
      </x:c>
      <x:c r="AA1455" t="n">
        <x:v>0</x:v>
      </x:c>
      <x:c r="AB1455"/>
      <x:c r="AC1455" t="n">
        <x:v>0</x:v>
      </x:c>
      <x:c r="AD1455" t="n">
        <x:v>0.815447696018964</x:v>
      </x:c>
      <x:c r="AE1455" t="n">
        <x:v>1</x:v>
      </x:c>
      <x:c r="AF1455" t="n">
        <x:v>0.023370936512947083</x:v>
      </x:c>
      <x:c r="AG1455" t="n">
        <x:f>_xlfn.XLOOKUP($A1455,Games!$A$2:$A$18,Games!$B$2:$B$18,"Missing game",0)</x:f>
        <x:v>2025</x:v>
      </x:c>
      <x:c r="AH1455" t="str">
        <x:f>_xlfn.XLOOKUP($A1455,Games!$A$2:$A$18,Games!$C$2:$C$18,"Missing game",0)</x:f>
        <x:v>REG</x:v>
      </x:c>
      <x:c r="AI1455" t="n">
        <x:f>_xlfn.XLOOKUP($A1455,Games!$A$2:$A$18,Games!$D$2:$D$18,"Missing game",0)</x:f>
        <x:v>10</x:v>
      </x:c>
      <x:c r="AJ1455" s="1" t="n">
        <x:f>_xlfn.XLOOKUP($A1455,Games!$A$2:$A$18,Games!$E$2:$E$18,"Missing game",0)</x:f>
        <x:v>45970</x:v>
      </x:c>
      <x:c r="AK1455" t="str">
        <x:f>_xlfn.XLOOKUP($A1455,Games!$A$2:$A$18,Games!$F$2:$F$18,"Missing game",0)</x:f>
        <x:v>Sunday</x:v>
      </x:c>
      <x:c r="AL1455" t="str">
        <x:f>_xlfn.XLOOKUP($A1455,Games!$A$2:$A$18,Games!$G$2:$G$18,"Missing game",0)</x:f>
        <x:v>BAL</x:v>
      </x:c>
      <x:c r="AM1455" t="n">
        <x:f>_xlfn.XLOOKUP($A1455,Games!$A$2:$A$18,Games!$H$2:$H$18,"Missing game",0)</x:f>
        <x:v>27</x:v>
      </x:c>
      <x:c r="AN1455" t="str">
        <x:f>_xlfn.XLOOKUP($A1455,Games!$A$2:$A$18,Games!$I$2:$I$18,"Missing game",0)</x:f>
        <x:v>MIN</x:v>
      </x:c>
      <x:c r="AO1455" t="n">
        <x:f>_xlfn.XLOOKUP($A1455,Games!$A$2:$A$18,Games!$J$2:$J$18,"Missing game",0)</x:f>
        <x:v>19</x:v>
      </x:c>
      <x:c r="AP1455" t="n">
        <x:f>_xlfn.XLOOKUP($A1455,Games!$A$2:$A$18,Games!$K$2:$K$18,"Missing game",0)</x:f>
        <x:v>-8</x:v>
      </x:c>
      <x:c r="AQ1455" t="n">
        <x:f>_xlfn.XLOOKUP($A1455,Games!$A$2:$A$18,Games!$L$2:$L$18,"Missing game",0)</x:f>
        <x:v>46</x:v>
      </x:c>
      <x:c r="AR1455" t="n">
        <x:f>_xlfn.XLOOKUP($A1455,Games!$A$2:$A$18,Games!$M$2:$M$18,"Missing game",0)</x:f>
        <x:v>0</x:v>
      </x:c>
      <x:c r="AS1455" t="str">
        <x:f>_xlfn.XLOOKUP($A1455,Games!$A$2:$A$18,Games!$N$2:$N$18,"Missing game",0)</x:f>
        <x:v>dome</x:v>
      </x:c>
      <x:c r="AT1455" t="str">
        <x:f>_xlfn.XLOOKUP($A1455,Games!$A$2:$A$18,Games!$O$2:$O$18,"Missing game",0)</x:f>
        <x:v>sportturf</x:v>
      </x:c>
      <x:c r="AU1455" t="str">
        <x:f>_xlfn.XLOOKUP($A1455,Games!$A$2:$A$18,Games!$P$2:$P$18,"Missing game",0)</x:f>
      </x:c>
      <x:c r="AV1455" t="str">
        <x:f>_xlfn.XLOOKUP($A1455,Games!$A$2:$A$18,Games!$Q$2:$Q$18,"Missing game",0)</x:f>
      </x:c>
      <x:c r="AW1455" t="str">
        <x:f>_xlfn.XLOOKUP($A1455,Games!$A$2:$A$18,Games!$R$2:$R$18,"Missing game",0)</x:f>
        <x:v>U.S. Bank Stadium</x:v>
      </x:c>
    </x:row>
    <x:row r="1456">
      <x:c r="A1456" t="str">
        <x:v>2025_10_BAL_MIN</x:v>
      </x:c>
      <x:c r="B1456" t="n">
        <x:v>2647</x:v>
      </x:c>
      <x:c r="C1456" t="n">
        <x:v>3</x:v>
      </x:c>
      <x:c r="D1456" t="str">
        <x:v>07:17</x:v>
      </x:c>
      <x:c r="E1456" t="n">
        <x:v>1</x:v>
      </x:c>
      <x:c r="F1456" t="n">
        <x:v>10</x:v>
      </x:c>
      <x:c r="G1456" t="str">
        <x:v>MIN</x:v>
      </x:c>
      <x:c r="H1456" t="str">
        <x:v>BAL</x:v>
      </x:c>
      <x:c r="I1456" t="str">
        <x:v>MIN</x:v>
      </x:c>
      <x:c r="J1456" t="n">
        <x:v>54</x:v>
      </x:c>
      <x:c r="K1456" t="str">
        <x:v>(7:17) PENALTY on MIN-85-B.Yurosek, False Start, 5 yards, enforced at MIN 46 - No Play.</x:v>
      </x:c>
      <x:c r="L1456" t="str">
        <x:v>no_play</x:v>
      </x:c>
      <x:c r="M1456" t="n">
        <x:v>0</x:v>
      </x:c>
      <x:c r="N1456" t="n">
        <x:v>0</x:v>
      </x:c>
      <x:c r="O1456" t="n">
        <x:v>0</x:v>
      </x:c>
      <x:c r="P1456"/>
      <x:c r="Q1456"/>
      <x:c r="R1456"/>
      <x:c r="S1456"/>
      <x:c r="T1456"/>
      <x:c r="U1456"/>
      <x:c r="V1456" t="n">
        <x:v>0</x:v>
      </x:c>
      <x:c r="W1456" t="n">
        <x:v>0</x:v>
      </x:c>
      <x:c r="X1456" t="n">
        <x:v>0</x:v>
      </x:c>
      <x:c r="Y1456" t="n">
        <x:v>0</x:v>
      </x:c>
      <x:c r="Z1456" t="n">
        <x:v>0</x:v>
      </x:c>
      <x:c r="AA1456" t="n">
        <x:v>1</x:v>
      </x:c>
      <x:c r="AB1456" t="n">
        <x:v>5</x:v>
      </x:c>
      <x:c r="AC1456" t="n">
        <x:v>0</x:v>
      </x:c>
      <x:c r="AD1456" t="n">
        <x:v>-0.6893278793431818</x:v>
      </x:c>
      <x:c r="AE1456" t="n">
        <x:v>0</x:v>
      </x:c>
      <x:c r="AF1456" t="n">
        <x:v>-0.018252477049827576</x:v>
      </x:c>
      <x:c r="AG1456" t="n">
        <x:f>_xlfn.XLOOKUP($A1456,Games!$A$2:$A$18,Games!$B$2:$B$18,"Missing game",0)</x:f>
        <x:v>2025</x:v>
      </x:c>
      <x:c r="AH1456" t="str">
        <x:f>_xlfn.XLOOKUP($A1456,Games!$A$2:$A$18,Games!$C$2:$C$18,"Missing game",0)</x:f>
        <x:v>REG</x:v>
      </x:c>
      <x:c r="AI1456" t="n">
        <x:f>_xlfn.XLOOKUP($A1456,Games!$A$2:$A$18,Games!$D$2:$D$18,"Missing game",0)</x:f>
        <x:v>10</x:v>
      </x:c>
      <x:c r="AJ1456" s="1" t="n">
        <x:f>_xlfn.XLOOKUP($A1456,Games!$A$2:$A$18,Games!$E$2:$E$18,"Missing game",0)</x:f>
        <x:v>45970</x:v>
      </x:c>
      <x:c r="AK1456" t="str">
        <x:f>_xlfn.XLOOKUP($A1456,Games!$A$2:$A$18,Games!$F$2:$F$18,"Missing game",0)</x:f>
        <x:v>Sunday</x:v>
      </x:c>
      <x:c r="AL1456" t="str">
        <x:f>_xlfn.XLOOKUP($A1456,Games!$A$2:$A$18,Games!$G$2:$G$18,"Missing game",0)</x:f>
        <x:v>BAL</x:v>
      </x:c>
      <x:c r="AM1456" t="n">
        <x:f>_xlfn.XLOOKUP($A1456,Games!$A$2:$A$18,Games!$H$2:$H$18,"Missing game",0)</x:f>
        <x:v>27</x:v>
      </x:c>
      <x:c r="AN1456" t="str">
        <x:f>_xlfn.XLOOKUP($A1456,Games!$A$2:$A$18,Games!$I$2:$I$18,"Missing game",0)</x:f>
        <x:v>MIN</x:v>
      </x:c>
      <x:c r="AO1456" t="n">
        <x:f>_xlfn.XLOOKUP($A1456,Games!$A$2:$A$18,Games!$J$2:$J$18,"Missing game",0)</x:f>
        <x:v>19</x:v>
      </x:c>
      <x:c r="AP1456" t="n">
        <x:f>_xlfn.XLOOKUP($A1456,Games!$A$2:$A$18,Games!$K$2:$K$18,"Missing game",0)</x:f>
        <x:v>-8</x:v>
      </x:c>
      <x:c r="AQ1456" t="n">
        <x:f>_xlfn.XLOOKUP($A1456,Games!$A$2:$A$18,Games!$L$2:$L$18,"Missing game",0)</x:f>
        <x:v>46</x:v>
      </x:c>
      <x:c r="AR1456" t="n">
        <x:f>_xlfn.XLOOKUP($A1456,Games!$A$2:$A$18,Games!$M$2:$M$18,"Missing game",0)</x:f>
        <x:v>0</x:v>
      </x:c>
      <x:c r="AS1456" t="str">
        <x:f>_xlfn.XLOOKUP($A1456,Games!$A$2:$A$18,Games!$N$2:$N$18,"Missing game",0)</x:f>
        <x:v>dome</x:v>
      </x:c>
      <x:c r="AT1456" t="str">
        <x:f>_xlfn.XLOOKUP($A1456,Games!$A$2:$A$18,Games!$O$2:$O$18,"Missing game",0)</x:f>
        <x:v>sportturf</x:v>
      </x:c>
      <x:c r="AU1456" t="str">
        <x:f>_xlfn.XLOOKUP($A1456,Games!$A$2:$A$18,Games!$P$2:$P$18,"Missing game",0)</x:f>
      </x:c>
      <x:c r="AV1456" t="str">
        <x:f>_xlfn.XLOOKUP($A1456,Games!$A$2:$A$18,Games!$Q$2:$Q$18,"Missing game",0)</x:f>
      </x:c>
      <x:c r="AW1456" t="str">
        <x:f>_xlfn.XLOOKUP($A1456,Games!$A$2:$A$18,Games!$R$2:$R$18,"Missing game",0)</x:f>
        <x:v>U.S. Bank Stadium</x:v>
      </x:c>
    </x:row>
    <x:row r="1457">
      <x:c r="A1457" t="str">
        <x:v>2025_10_BAL_MIN</x:v>
      </x:c>
      <x:c r="B1457" t="n">
        <x:v>2671</x:v>
      </x:c>
      <x:c r="C1457" t="n">
        <x:v>3</x:v>
      </x:c>
      <x:c r="D1457" t="str">
        <x:v>06:59</x:v>
      </x:c>
      <x:c r="E1457" t="n">
        <x:v>1</x:v>
      </x:c>
      <x:c r="F1457" t="n">
        <x:v>15</x:v>
      </x:c>
      <x:c r="G1457" t="str">
        <x:v>MIN</x:v>
      </x:c>
      <x:c r="H1457" t="str">
        <x:v>BAL</x:v>
      </x:c>
      <x:c r="I1457" t="str">
        <x:v>MIN</x:v>
      </x:c>
      <x:c r="J1457" t="n">
        <x:v>59</x:v>
      </x:c>
      <x:c r="K1457" t="str">
        <x:v>(6:59) (Shotgun) 9-J.McCarthy pass short middle to 19-A.Thielen to MIN 48 for 7 yards (0-R.Smith).</x:v>
      </x:c>
      <x:c r="L1457" t="str">
        <x:v>pass</x:v>
      </x:c>
      <x:c r="M1457" t="n">
        <x:v>7</x:v>
      </x:c>
      <x:c r="N1457" t="n">
        <x:v>1</x:v>
      </x:c>
      <x:c r="O1457" t="n">
        <x:v>0</x:v>
      </x:c>
      <x:c r="P1457" t="str">
        <x:v>short</x:v>
      </x:c>
      <x:c r="Q1457" t="str">
        <x:v>middle</x:v>
      </x:c>
      <x:c r="R1457" t="n">
        <x:v>4</x:v>
      </x:c>
      <x:c r="S1457" t="n">
        <x:v>3</x:v>
      </x:c>
      <x:c r="T1457"/>
      <x:c r="U1457"/>
      <x:c r="V1457" t="n">
        <x:v>1</x:v>
      </x:c>
      <x:c r="W1457" t="n">
        <x:v>0</x:v>
      </x:c>
      <x:c r="X1457" t="n">
        <x:v>0</x:v>
      </x:c>
      <x:c r="Y1457" t="n">
        <x:v>0</x:v>
      </x:c>
      <x:c r="Z1457" t="n">
        <x:v>0</x:v>
      </x:c>
      <x:c r="AA1457" t="n">
        <x:v>0</x:v>
      </x:c>
      <x:c r="AB1457"/>
      <x:c r="AC1457" t="n">
        <x:v>0</x:v>
      </x:c>
      <x:c r="AD1457" t="n">
        <x:v>0.18773008533753455</x:v>
      </x:c>
      <x:c r="AE1457" t="n">
        <x:v>1</x:v>
      </x:c>
      <x:c r="AF1457" t="n">
        <x:v>-0.001803472638130188</x:v>
      </x:c>
      <x:c r="AG1457" t="n">
        <x:f>_xlfn.XLOOKUP($A1457,Games!$A$2:$A$18,Games!$B$2:$B$18,"Missing game",0)</x:f>
        <x:v>2025</x:v>
      </x:c>
      <x:c r="AH1457" t="str">
        <x:f>_xlfn.XLOOKUP($A1457,Games!$A$2:$A$18,Games!$C$2:$C$18,"Missing game",0)</x:f>
        <x:v>REG</x:v>
      </x:c>
      <x:c r="AI1457" t="n">
        <x:f>_xlfn.XLOOKUP($A1457,Games!$A$2:$A$18,Games!$D$2:$D$18,"Missing game",0)</x:f>
        <x:v>10</x:v>
      </x:c>
      <x:c r="AJ1457" s="1" t="n">
        <x:f>_xlfn.XLOOKUP($A1457,Games!$A$2:$A$18,Games!$E$2:$E$18,"Missing game",0)</x:f>
        <x:v>45970</x:v>
      </x:c>
      <x:c r="AK1457" t="str">
        <x:f>_xlfn.XLOOKUP($A1457,Games!$A$2:$A$18,Games!$F$2:$F$18,"Missing game",0)</x:f>
        <x:v>Sunday</x:v>
      </x:c>
      <x:c r="AL1457" t="str">
        <x:f>_xlfn.XLOOKUP($A1457,Games!$A$2:$A$18,Games!$G$2:$G$18,"Missing game",0)</x:f>
        <x:v>BAL</x:v>
      </x:c>
      <x:c r="AM1457" t="n">
        <x:f>_xlfn.XLOOKUP($A1457,Games!$A$2:$A$18,Games!$H$2:$H$18,"Missing game",0)</x:f>
        <x:v>27</x:v>
      </x:c>
      <x:c r="AN1457" t="str">
        <x:f>_xlfn.XLOOKUP($A1457,Games!$A$2:$A$18,Games!$I$2:$I$18,"Missing game",0)</x:f>
        <x:v>MIN</x:v>
      </x:c>
      <x:c r="AO1457" t="n">
        <x:f>_xlfn.XLOOKUP($A1457,Games!$A$2:$A$18,Games!$J$2:$J$18,"Missing game",0)</x:f>
        <x:v>19</x:v>
      </x:c>
      <x:c r="AP1457" t="n">
        <x:f>_xlfn.XLOOKUP($A1457,Games!$A$2:$A$18,Games!$K$2:$K$18,"Missing game",0)</x:f>
        <x:v>-8</x:v>
      </x:c>
      <x:c r="AQ1457" t="n">
        <x:f>_xlfn.XLOOKUP($A1457,Games!$A$2:$A$18,Games!$L$2:$L$18,"Missing game",0)</x:f>
        <x:v>46</x:v>
      </x:c>
      <x:c r="AR1457" t="n">
        <x:f>_xlfn.XLOOKUP($A1457,Games!$A$2:$A$18,Games!$M$2:$M$18,"Missing game",0)</x:f>
        <x:v>0</x:v>
      </x:c>
      <x:c r="AS1457" t="str">
        <x:f>_xlfn.XLOOKUP($A1457,Games!$A$2:$A$18,Games!$N$2:$N$18,"Missing game",0)</x:f>
        <x:v>dome</x:v>
      </x:c>
      <x:c r="AT1457" t="str">
        <x:f>_xlfn.XLOOKUP($A1457,Games!$A$2:$A$18,Games!$O$2:$O$18,"Missing game",0)</x:f>
        <x:v>sportturf</x:v>
      </x:c>
      <x:c r="AU1457" t="str">
        <x:f>_xlfn.XLOOKUP($A1457,Games!$A$2:$A$18,Games!$P$2:$P$18,"Missing game",0)</x:f>
      </x:c>
      <x:c r="AV1457" t="str">
        <x:f>_xlfn.XLOOKUP($A1457,Games!$A$2:$A$18,Games!$Q$2:$Q$18,"Missing game",0)</x:f>
      </x:c>
      <x:c r="AW1457" t="str">
        <x:f>_xlfn.XLOOKUP($A1457,Games!$A$2:$A$18,Games!$R$2:$R$18,"Missing game",0)</x:f>
        <x:v>U.S. Bank Stadium</x:v>
      </x:c>
    </x:row>
    <x:row r="1458">
      <x:c r="A1458" t="str">
        <x:v>2025_10_BAL_MIN</x:v>
      </x:c>
      <x:c r="B1458" t="n">
        <x:v>2696</x:v>
      </x:c>
      <x:c r="C1458" t="n">
        <x:v>3</x:v>
      </x:c>
      <x:c r="D1458" t="str">
        <x:v>06:35</x:v>
      </x:c>
      <x:c r="E1458" t="n">
        <x:v>2</x:v>
      </x:c>
      <x:c r="F1458" t="n">
        <x:v>8</x:v>
      </x:c>
      <x:c r="G1458" t="str">
        <x:v>MIN</x:v>
      </x:c>
      <x:c r="H1458" t="str">
        <x:v>BAL</x:v>
      </x:c>
      <x:c r="I1458" t="str">
        <x:v>MIN</x:v>
      </x:c>
      <x:c r="J1458" t="n">
        <x:v>52</x:v>
      </x:c>
      <x:c r="K1458" t="str">
        <x:v>(6:35) (No Huddle, Shotgun) 9-J.McCarthy pass short right to 27-J.Mason to BAL 46 for 6 yards (44-M.Humphrey).</x:v>
      </x:c>
      <x:c r="L1458" t="str">
        <x:v>pass</x:v>
      </x:c>
      <x:c r="M1458" t="n">
        <x:v>6</x:v>
      </x:c>
      <x:c r="N1458" t="n">
        <x:v>1</x:v>
      </x:c>
      <x:c r="O1458" t="n">
        <x:v>1</x:v>
      </x:c>
      <x:c r="P1458" t="str">
        <x:v>short</x:v>
      </x:c>
      <x:c r="Q1458" t="str">
        <x:v>right</x:v>
      </x:c>
      <x:c r="R1458" t="n">
        <x:v>-4</x:v>
      </x:c>
      <x:c r="S1458" t="n">
        <x:v>10</x:v>
      </x:c>
      <x:c r="T1458"/>
      <x:c r="U1458"/>
      <x:c r="V1458" t="n">
        <x:v>1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0</x:v>
      </x:c>
      <x:c r="AB1458"/>
      <x:c r="AC1458" t="n">
        <x:v>0</x:v>
      </x:c>
      <x:c r="AD1458" t="n">
        <x:v>0.16857586544938385</x:v>
      </x:c>
      <x:c r="AE1458" t="n">
        <x:v>1</x:v>
      </x:c>
      <x:c r="AF1458" t="n">
        <x:v>0.009204819798469543</x:v>
      </x:c>
      <x:c r="AG1458" t="n">
        <x:f>_xlfn.XLOOKUP($A1458,Games!$A$2:$A$18,Games!$B$2:$B$18,"Missing game",0)</x:f>
        <x:v>2025</x:v>
      </x:c>
      <x:c r="AH1458" t="str">
        <x:f>_xlfn.XLOOKUP($A1458,Games!$A$2:$A$18,Games!$C$2:$C$18,"Missing game",0)</x:f>
        <x:v>REG</x:v>
      </x:c>
      <x:c r="AI1458" t="n">
        <x:f>_xlfn.XLOOKUP($A1458,Games!$A$2:$A$18,Games!$D$2:$D$18,"Missing game",0)</x:f>
        <x:v>10</x:v>
      </x:c>
      <x:c r="AJ1458" s="1" t="n">
        <x:f>_xlfn.XLOOKUP($A1458,Games!$A$2:$A$18,Games!$E$2:$E$18,"Missing game",0)</x:f>
        <x:v>45970</x:v>
      </x:c>
      <x:c r="AK1458" t="str">
        <x:f>_xlfn.XLOOKUP($A1458,Games!$A$2:$A$18,Games!$F$2:$F$18,"Missing game",0)</x:f>
        <x:v>Sunday</x:v>
      </x:c>
      <x:c r="AL1458" t="str">
        <x:f>_xlfn.XLOOKUP($A1458,Games!$A$2:$A$18,Games!$G$2:$G$18,"Missing game",0)</x:f>
        <x:v>BAL</x:v>
      </x:c>
      <x:c r="AM1458" t="n">
        <x:f>_xlfn.XLOOKUP($A1458,Games!$A$2:$A$18,Games!$H$2:$H$18,"Missing game",0)</x:f>
        <x:v>27</x:v>
      </x:c>
      <x:c r="AN1458" t="str">
        <x:f>_xlfn.XLOOKUP($A1458,Games!$A$2:$A$18,Games!$I$2:$I$18,"Missing game",0)</x:f>
        <x:v>MIN</x:v>
      </x:c>
      <x:c r="AO1458" t="n">
        <x:f>_xlfn.XLOOKUP($A1458,Games!$A$2:$A$18,Games!$J$2:$J$18,"Missing game",0)</x:f>
        <x:v>19</x:v>
      </x:c>
      <x:c r="AP1458" t="n">
        <x:f>_xlfn.XLOOKUP($A1458,Games!$A$2:$A$18,Games!$K$2:$K$18,"Missing game",0)</x:f>
        <x:v>-8</x:v>
      </x:c>
      <x:c r="AQ1458" t="n">
        <x:f>_xlfn.XLOOKUP($A1458,Games!$A$2:$A$18,Games!$L$2:$L$18,"Missing game",0)</x:f>
        <x:v>46</x:v>
      </x:c>
      <x:c r="AR1458" t="n">
        <x:f>_xlfn.XLOOKUP($A1458,Games!$A$2:$A$18,Games!$M$2:$M$18,"Missing game",0)</x:f>
        <x:v>0</x:v>
      </x:c>
      <x:c r="AS1458" t="str">
        <x:f>_xlfn.XLOOKUP($A1458,Games!$A$2:$A$18,Games!$N$2:$N$18,"Missing game",0)</x:f>
        <x:v>dome</x:v>
      </x:c>
      <x:c r="AT1458" t="str">
        <x:f>_xlfn.XLOOKUP($A1458,Games!$A$2:$A$18,Games!$O$2:$O$18,"Missing game",0)</x:f>
        <x:v>sportturf</x:v>
      </x:c>
      <x:c r="AU1458" t="str">
        <x:f>_xlfn.XLOOKUP($A1458,Games!$A$2:$A$18,Games!$P$2:$P$18,"Missing game",0)</x:f>
      </x:c>
      <x:c r="AV1458" t="str">
        <x:f>_xlfn.XLOOKUP($A1458,Games!$A$2:$A$18,Games!$Q$2:$Q$18,"Missing game",0)</x:f>
      </x:c>
      <x:c r="AW1458" t="str">
        <x:f>_xlfn.XLOOKUP($A1458,Games!$A$2:$A$18,Games!$R$2:$R$18,"Missing game",0)</x:f>
        <x:v>U.S. Bank Stadium</x:v>
      </x:c>
    </x:row>
    <x:row r="1459">
      <x:c r="A1459" t="str">
        <x:v>2025_10_BAL_MIN</x:v>
      </x:c>
      <x:c r="B1459" t="n">
        <x:v>2721</x:v>
      </x:c>
      <x:c r="C1459" t="n">
        <x:v>3</x:v>
      </x:c>
      <x:c r="D1459" t="str">
        <x:v>05:53</x:v>
      </x:c>
      <x:c r="E1459" t="n">
        <x:v>3</x:v>
      </x:c>
      <x:c r="F1459" t="n">
        <x:v>2</x:v>
      </x:c>
      <x:c r="G1459" t="str">
        <x:v>MIN</x:v>
      </x:c>
      <x:c r="H1459" t="str">
        <x:v>BAL</x:v>
      </x:c>
      <x:c r="I1459" t="str">
        <x:v>BAL</x:v>
      </x:c>
      <x:c r="J1459" t="n">
        <x:v>46</x:v>
      </x:c>
      <x:c r="K1459" t="str">
        <x:v>(5:53) 9-J.McCarthy pass incomplete short left to 19-A.Thielen (14-K.Hamilton).</x:v>
      </x:c>
      <x:c r="L1459" t="str">
        <x:v>pass</x:v>
      </x:c>
      <x:c r="M1459" t="n">
        <x:v>0</x:v>
      </x:c>
      <x:c r="N1459" t="n">
        <x:v>0</x:v>
      </x:c>
      <x:c r="O1459" t="n">
        <x:v>0</x:v>
      </x:c>
      <x:c r="P1459" t="str">
        <x:v>short</x:v>
      </x:c>
      <x:c r="Q1459" t="str">
        <x:v>left</x:v>
      </x:c>
      <x:c r="R1459" t="n">
        <x:v>2</x:v>
      </x:c>
      <x:c r="S1459"/>
      <x:c r="T1459"/>
      <x:c r="U1459"/>
      <x:c r="V1459" t="n">
        <x:v>0</x:v>
      </x:c>
      <x:c r="W1459" t="n">
        <x:v>0</x:v>
      </x:c>
      <x:c r="X1459" t="n">
        <x:v>0</x:v>
      </x:c>
      <x:c r="Y1459" t="n">
        <x:v>0</x:v>
      </x:c>
      <x:c r="Z1459" t="n">
        <x:v>0</x:v>
      </x:c>
      <x:c r="AA1459" t="n">
        <x:v>0</x:v>
      </x:c>
      <x:c r="AB1459"/>
      <x:c r="AC1459" t="n">
        <x:v>0</x:v>
      </x:c>
      <x:c r="AD1459" t="n">
        <x:v>-1.8512206061277539</x:v>
      </x:c>
      <x:c r="AE1459" t="n">
        <x:v>0</x:v>
      </x:c>
      <x:c r="AF1459" t="n">
        <x:v>-0.05350126326084137</x:v>
      </x:c>
      <x:c r="AG1459" t="n">
        <x:f>_xlfn.XLOOKUP($A1459,Games!$A$2:$A$18,Games!$B$2:$B$18,"Missing game",0)</x:f>
        <x:v>2025</x:v>
      </x:c>
      <x:c r="AH1459" t="str">
        <x:f>_xlfn.XLOOKUP($A1459,Games!$A$2:$A$18,Games!$C$2:$C$18,"Missing game",0)</x:f>
        <x:v>REG</x:v>
      </x:c>
      <x:c r="AI1459" t="n">
        <x:f>_xlfn.XLOOKUP($A1459,Games!$A$2:$A$18,Games!$D$2:$D$18,"Missing game",0)</x:f>
        <x:v>10</x:v>
      </x:c>
      <x:c r="AJ1459" s="1" t="n">
        <x:f>_xlfn.XLOOKUP($A1459,Games!$A$2:$A$18,Games!$E$2:$E$18,"Missing game",0)</x:f>
        <x:v>45970</x:v>
      </x:c>
      <x:c r="AK1459" t="str">
        <x:f>_xlfn.XLOOKUP($A1459,Games!$A$2:$A$18,Games!$F$2:$F$18,"Missing game",0)</x:f>
        <x:v>Sunday</x:v>
      </x:c>
      <x:c r="AL1459" t="str">
        <x:f>_xlfn.XLOOKUP($A1459,Games!$A$2:$A$18,Games!$G$2:$G$18,"Missing game",0)</x:f>
        <x:v>BAL</x:v>
      </x:c>
      <x:c r="AM1459" t="n">
        <x:f>_xlfn.XLOOKUP($A1459,Games!$A$2:$A$18,Games!$H$2:$H$18,"Missing game",0)</x:f>
        <x:v>27</x:v>
      </x:c>
      <x:c r="AN1459" t="str">
        <x:f>_xlfn.XLOOKUP($A1459,Games!$A$2:$A$18,Games!$I$2:$I$18,"Missing game",0)</x:f>
        <x:v>MIN</x:v>
      </x:c>
      <x:c r="AO1459" t="n">
        <x:f>_xlfn.XLOOKUP($A1459,Games!$A$2:$A$18,Games!$J$2:$J$18,"Missing game",0)</x:f>
        <x:v>19</x:v>
      </x:c>
      <x:c r="AP1459" t="n">
        <x:f>_xlfn.XLOOKUP($A1459,Games!$A$2:$A$18,Games!$K$2:$K$18,"Missing game",0)</x:f>
        <x:v>-8</x:v>
      </x:c>
      <x:c r="AQ1459" t="n">
        <x:f>_xlfn.XLOOKUP($A1459,Games!$A$2:$A$18,Games!$L$2:$L$18,"Missing game",0)</x:f>
        <x:v>46</x:v>
      </x:c>
      <x:c r="AR1459" t="n">
        <x:f>_xlfn.XLOOKUP($A1459,Games!$A$2:$A$18,Games!$M$2:$M$18,"Missing game",0)</x:f>
        <x:v>0</x:v>
      </x:c>
      <x:c r="AS1459" t="str">
        <x:f>_xlfn.XLOOKUP($A1459,Games!$A$2:$A$18,Games!$N$2:$N$18,"Missing game",0)</x:f>
        <x:v>dome</x:v>
      </x:c>
      <x:c r="AT1459" t="str">
        <x:f>_xlfn.XLOOKUP($A1459,Games!$A$2:$A$18,Games!$O$2:$O$18,"Missing game",0)</x:f>
        <x:v>sportturf</x:v>
      </x:c>
      <x:c r="AU1459" t="str">
        <x:f>_xlfn.XLOOKUP($A1459,Games!$A$2:$A$18,Games!$P$2:$P$18,"Missing game",0)</x:f>
      </x:c>
      <x:c r="AV1459" t="str">
        <x:f>_xlfn.XLOOKUP($A1459,Games!$A$2:$A$18,Games!$Q$2:$Q$18,"Missing game",0)</x:f>
      </x:c>
      <x:c r="AW1459" t="str">
        <x:f>_xlfn.XLOOKUP($A1459,Games!$A$2:$A$18,Games!$R$2:$R$18,"Missing game",0)</x:f>
        <x:v>U.S. Bank Stadium</x:v>
      </x:c>
    </x:row>
    <x:row r="1460">
      <x:c r="A1460" t="str">
        <x:v>2025_10_BAL_MIN</x:v>
      </x:c>
      <x:c r="B1460" t="n">
        <x:v>2744</x:v>
      </x:c>
      <x:c r="C1460" t="n">
        <x:v>3</x:v>
      </x:c>
      <x:c r="D1460" t="str">
        <x:v>05:50</x:v>
      </x:c>
      <x:c r="E1460" t="n">
        <x:v>4</x:v>
      </x:c>
      <x:c r="F1460" t="n">
        <x:v>2</x:v>
      </x:c>
      <x:c r="G1460" t="str">
        <x:v>MIN</x:v>
      </x:c>
      <x:c r="H1460" t="str">
        <x:v>BAL</x:v>
      </x:c>
      <x:c r="I1460" t="str">
        <x:v>BAL</x:v>
      </x:c>
      <x:c r="J1460" t="n">
        <x:v>46</x:v>
      </x:c>
      <x:c r="K1460" t="str">
        <x:v>(5:50) (Shotgun) 9-J.McCarthy pass incomplete short middle to 3-J.Addison (3-C.Awuzie). PENALTY on MIN-19-A.Thielen, Illegal Blindside Block, 15 yards, enforced at BAL 46.</x:v>
      </x:c>
      <x:c r="L1460" t="str">
        <x:v>pass</x:v>
      </x:c>
      <x:c r="M1460" t="n">
        <x:v>0</x:v>
      </x:c>
      <x:c r="N1460" t="n">
        <x:v>1</x:v>
      </x:c>
      <x:c r="O1460" t="n">
        <x:v>0</x:v>
      </x:c>
      <x:c r="P1460" t="str">
        <x:v>short</x:v>
      </x:c>
      <x:c r="Q1460" t="str">
        <x:v>middle</x:v>
      </x:c>
      <x:c r="R1460" t="n">
        <x:v>14</x:v>
      </x:c>
      <x:c r="S1460"/>
      <x:c r="T1460"/>
      <x:c r="U1460"/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1</x:v>
      </x:c>
      <x:c r="AB1460" t="n">
        <x:v>15</x:v>
      </x:c>
      <x:c r="AC1460" t="n">
        <x:v>0</x:v>
      </x:c>
      <x:c r="AD1460" t="n">
        <x:v>-4.257221932522953</x:v>
      </x:c>
      <x:c r="AE1460" t="n">
        <x:v>0</x:v>
      </x:c>
      <x:c r="AF1460" t="n">
        <x:v>-0.06727594137191772</x:v>
      </x:c>
      <x:c r="AG1460" t="n">
        <x:f>_xlfn.XLOOKUP($A1460,Games!$A$2:$A$18,Games!$B$2:$B$18,"Missing game",0)</x:f>
        <x:v>2025</x:v>
      </x:c>
      <x:c r="AH1460" t="str">
        <x:f>_xlfn.XLOOKUP($A1460,Games!$A$2:$A$18,Games!$C$2:$C$18,"Missing game",0)</x:f>
        <x:v>REG</x:v>
      </x:c>
      <x:c r="AI1460" t="n">
        <x:f>_xlfn.XLOOKUP($A1460,Games!$A$2:$A$18,Games!$D$2:$D$18,"Missing game",0)</x:f>
        <x:v>10</x:v>
      </x:c>
      <x:c r="AJ1460" s="1" t="n">
        <x:f>_xlfn.XLOOKUP($A1460,Games!$A$2:$A$18,Games!$E$2:$E$18,"Missing game",0)</x:f>
        <x:v>45970</x:v>
      </x:c>
      <x:c r="AK1460" t="str">
        <x:f>_xlfn.XLOOKUP($A1460,Games!$A$2:$A$18,Games!$F$2:$F$18,"Missing game",0)</x:f>
        <x:v>Sunday</x:v>
      </x:c>
      <x:c r="AL1460" t="str">
        <x:f>_xlfn.XLOOKUP($A1460,Games!$A$2:$A$18,Games!$G$2:$G$18,"Missing game",0)</x:f>
        <x:v>BAL</x:v>
      </x:c>
      <x:c r="AM1460" t="n">
        <x:f>_xlfn.XLOOKUP($A1460,Games!$A$2:$A$18,Games!$H$2:$H$18,"Missing game",0)</x:f>
        <x:v>27</x:v>
      </x:c>
      <x:c r="AN1460" t="str">
        <x:f>_xlfn.XLOOKUP($A1460,Games!$A$2:$A$18,Games!$I$2:$I$18,"Missing game",0)</x:f>
        <x:v>MIN</x:v>
      </x:c>
      <x:c r="AO1460" t="n">
        <x:f>_xlfn.XLOOKUP($A1460,Games!$A$2:$A$18,Games!$J$2:$J$18,"Missing game",0)</x:f>
        <x:v>19</x:v>
      </x:c>
      <x:c r="AP1460" t="n">
        <x:f>_xlfn.XLOOKUP($A1460,Games!$A$2:$A$18,Games!$K$2:$K$18,"Missing game",0)</x:f>
        <x:v>-8</x:v>
      </x:c>
      <x:c r="AQ1460" t="n">
        <x:f>_xlfn.XLOOKUP($A1460,Games!$A$2:$A$18,Games!$L$2:$L$18,"Missing game",0)</x:f>
        <x:v>46</x:v>
      </x:c>
      <x:c r="AR1460" t="n">
        <x:f>_xlfn.XLOOKUP($A1460,Games!$A$2:$A$18,Games!$M$2:$M$18,"Missing game",0)</x:f>
        <x:v>0</x:v>
      </x:c>
      <x:c r="AS1460" t="str">
        <x:f>_xlfn.XLOOKUP($A1460,Games!$A$2:$A$18,Games!$N$2:$N$18,"Missing game",0)</x:f>
        <x:v>dome</x:v>
      </x:c>
      <x:c r="AT1460" t="str">
        <x:f>_xlfn.XLOOKUP($A1460,Games!$A$2:$A$18,Games!$O$2:$O$18,"Missing game",0)</x:f>
        <x:v>sportturf</x:v>
      </x:c>
      <x:c r="AU1460" t="str">
        <x:f>_xlfn.XLOOKUP($A1460,Games!$A$2:$A$18,Games!$P$2:$P$18,"Missing game",0)</x:f>
      </x:c>
      <x:c r="AV1460" t="str">
        <x:f>_xlfn.XLOOKUP($A1460,Games!$A$2:$A$18,Games!$Q$2:$Q$18,"Missing game",0)</x:f>
      </x:c>
      <x:c r="AW1460" t="str">
        <x:f>_xlfn.XLOOKUP($A1460,Games!$A$2:$A$18,Games!$R$2:$R$18,"Missing game",0)</x:f>
        <x:v>U.S. Bank Stadium</x:v>
      </x:c>
    </x:row>
    <x:row r="1461">
      <x:c r="A1461" t="str">
        <x:v>2025_10_BAL_MIN</x:v>
      </x:c>
      <x:c r="B1461" t="n">
        <x:v>2778</x:v>
      </x:c>
      <x:c r="C1461" t="n">
        <x:v>3</x:v>
      </x:c>
      <x:c r="D1461" t="str">
        <x:v>05:44</x:v>
      </x:c>
      <x:c r="E1461" t="n">
        <x:v>1</x:v>
      </x:c>
      <x:c r="F1461" t="n">
        <x:v>10</x:v>
      </x:c>
      <x:c r="G1461" t="str">
        <x:v>BAL</x:v>
      </x:c>
      <x:c r="H1461" t="str">
        <x:v>MIN</x:v>
      </x:c>
      <x:c r="I1461" t="str">
        <x:v>MIN</x:v>
      </x:c>
      <x:c r="J1461" t="n">
        <x:v>38</x:v>
      </x:c>
      <x:c r="K1461" t="str">
        <x:v>(5:44) (Shotgun) 8-L.Jackson pass incomplete short left to 89-M.Andrews (15-D.Turner).</x:v>
      </x:c>
      <x:c r="L1461" t="str">
        <x:v>pass</x:v>
      </x:c>
      <x:c r="M1461" t="n">
        <x:v>0</x:v>
      </x:c>
      <x:c r="N1461" t="n">
        <x:v>1</x:v>
      </x:c>
      <x:c r="O1461" t="n">
        <x:v>0</x:v>
      </x:c>
      <x:c r="P1461" t="str">
        <x:v>short</x:v>
      </x:c>
      <x:c r="Q1461" t="str">
        <x:v>left</x:v>
      </x:c>
      <x:c r="R1461" t="n">
        <x:v>4</x:v>
      </x:c>
      <x:c r="S1461"/>
      <x:c r="T1461"/>
      <x:c r="U1461"/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0</x:v>
      </x:c>
      <x:c r="AB1461"/>
      <x:c r="AC1461" t="n">
        <x:v>0</x:v>
      </x:c>
      <x:c r="AD1461" t="n">
        <x:v>-0.6090510794892907</x:v>
      </x:c>
      <x:c r="AE1461" t="n">
        <x:v>0</x:v>
      </x:c>
      <x:c r="AF1461" t="n">
        <x:v>-0.005374014377593994</x:v>
      </x:c>
      <x:c r="AG1461" t="n">
        <x:f>_xlfn.XLOOKUP($A1461,Games!$A$2:$A$18,Games!$B$2:$B$18,"Missing game",0)</x:f>
        <x:v>2025</x:v>
      </x:c>
      <x:c r="AH1461" t="str">
        <x:f>_xlfn.XLOOKUP($A1461,Games!$A$2:$A$18,Games!$C$2:$C$18,"Missing game",0)</x:f>
        <x:v>REG</x:v>
      </x:c>
      <x:c r="AI1461" t="n">
        <x:f>_xlfn.XLOOKUP($A1461,Games!$A$2:$A$18,Games!$D$2:$D$18,"Missing game",0)</x:f>
        <x:v>10</x:v>
      </x:c>
      <x:c r="AJ1461" s="1" t="n">
        <x:f>_xlfn.XLOOKUP($A1461,Games!$A$2:$A$18,Games!$E$2:$E$18,"Missing game",0)</x:f>
        <x:v>45970</x:v>
      </x:c>
      <x:c r="AK1461" t="str">
        <x:f>_xlfn.XLOOKUP($A1461,Games!$A$2:$A$18,Games!$F$2:$F$18,"Missing game",0)</x:f>
        <x:v>Sunday</x:v>
      </x:c>
      <x:c r="AL1461" t="str">
        <x:f>_xlfn.XLOOKUP($A1461,Games!$A$2:$A$18,Games!$G$2:$G$18,"Missing game",0)</x:f>
        <x:v>BAL</x:v>
      </x:c>
      <x:c r="AM1461" t="n">
        <x:f>_xlfn.XLOOKUP($A1461,Games!$A$2:$A$18,Games!$H$2:$H$18,"Missing game",0)</x:f>
        <x:v>27</x:v>
      </x:c>
      <x:c r="AN1461" t="str">
        <x:f>_xlfn.XLOOKUP($A1461,Games!$A$2:$A$18,Games!$I$2:$I$18,"Missing game",0)</x:f>
        <x:v>MIN</x:v>
      </x:c>
      <x:c r="AO1461" t="n">
        <x:f>_xlfn.XLOOKUP($A1461,Games!$A$2:$A$18,Games!$J$2:$J$18,"Missing game",0)</x:f>
        <x:v>19</x:v>
      </x:c>
      <x:c r="AP1461" t="n">
        <x:f>_xlfn.XLOOKUP($A1461,Games!$A$2:$A$18,Games!$K$2:$K$18,"Missing game",0)</x:f>
        <x:v>-8</x:v>
      </x:c>
      <x:c r="AQ1461" t="n">
        <x:f>_xlfn.XLOOKUP($A1461,Games!$A$2:$A$18,Games!$L$2:$L$18,"Missing game",0)</x:f>
        <x:v>46</x:v>
      </x:c>
      <x:c r="AR1461" t="n">
        <x:f>_xlfn.XLOOKUP($A1461,Games!$A$2:$A$18,Games!$M$2:$M$18,"Missing game",0)</x:f>
        <x:v>0</x:v>
      </x:c>
      <x:c r="AS1461" t="str">
        <x:f>_xlfn.XLOOKUP($A1461,Games!$A$2:$A$18,Games!$N$2:$N$18,"Missing game",0)</x:f>
        <x:v>dome</x:v>
      </x:c>
      <x:c r="AT1461" t="str">
        <x:f>_xlfn.XLOOKUP($A1461,Games!$A$2:$A$18,Games!$O$2:$O$18,"Missing game",0)</x:f>
        <x:v>sportturf</x:v>
      </x:c>
      <x:c r="AU1461" t="str">
        <x:f>_xlfn.XLOOKUP($A1461,Games!$A$2:$A$18,Games!$P$2:$P$18,"Missing game",0)</x:f>
      </x:c>
      <x:c r="AV1461" t="str">
        <x:f>_xlfn.XLOOKUP($A1461,Games!$A$2:$A$18,Games!$Q$2:$Q$18,"Missing game",0)</x:f>
      </x:c>
      <x:c r="AW1461" t="str">
        <x:f>_xlfn.XLOOKUP($A1461,Games!$A$2:$A$18,Games!$R$2:$R$18,"Missing game",0)</x:f>
        <x:v>U.S. Bank Stadium</x:v>
      </x:c>
    </x:row>
    <x:row r="1462">
      <x:c r="A1462" t="str">
        <x:v>2025_10_BAL_MIN</x:v>
      </x:c>
      <x:c r="B1462" t="n">
        <x:v>2802</x:v>
      </x:c>
      <x:c r="C1462" t="n">
        <x:v>3</x:v>
      </x:c>
      <x:c r="D1462" t="str">
        <x:v>05:41</x:v>
      </x:c>
      <x:c r="E1462" t="n">
        <x:v>2</x:v>
      </x:c>
      <x:c r="F1462" t="n">
        <x:v>10</x:v>
      </x:c>
      <x:c r="G1462" t="str">
        <x:v>BAL</x:v>
      </x:c>
      <x:c r="H1462" t="str">
        <x:v>MIN</x:v>
      </x:c>
      <x:c r="I1462" t="str">
        <x:v>MIN</x:v>
      </x:c>
      <x:c r="J1462" t="n">
        <x:v>38</x:v>
      </x:c>
      <x:c r="K1462" t="str">
        <x:v>(5:41) (Shotgun) 22-D.Henry right guard to MIN 38 for no gain (61-J.Redmond).</x:v>
      </x:c>
      <x:c r="L1462" t="str">
        <x:v>run</x:v>
      </x:c>
      <x:c r="M1462" t="n">
        <x:v>0</x:v>
      </x:c>
      <x:c r="N1462" t="n">
        <x:v>1</x:v>
      </x:c>
      <x:c r="O1462" t="n">
        <x:v>0</x:v>
      </x:c>
      <x:c r="P1462"/>
      <x:c r="Q1462"/>
      <x:c r="R1462"/>
      <x:c r="S1462"/>
      <x:c r="T1462" t="str">
        <x:v>right</x:v>
      </x:c>
      <x:c r="U1462" t="str">
        <x:v>guard</x:v>
      </x:c>
      <x:c r="V1462" t="n">
        <x:v>0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0</x:v>
      </x:c>
      <x:c r="AB1462"/>
      <x:c r="AC1462" t="n">
        <x:v>0</x:v>
      </x:c>
      <x:c r="AD1462" t="n">
        <x:v>-0.9164131814613938</x:v>
      </x:c>
      <x:c r="AE1462" t="n">
        <x:v>0</x:v>
      </x:c>
      <x:c r="AF1462" t="n">
        <x:v>-0.02131474018096924</x:v>
      </x:c>
      <x:c r="AG1462" t="n">
        <x:f>_xlfn.XLOOKUP($A1462,Games!$A$2:$A$18,Games!$B$2:$B$18,"Missing game",0)</x:f>
        <x:v>2025</x:v>
      </x:c>
      <x:c r="AH1462" t="str">
        <x:f>_xlfn.XLOOKUP($A1462,Games!$A$2:$A$18,Games!$C$2:$C$18,"Missing game",0)</x:f>
        <x:v>REG</x:v>
      </x:c>
      <x:c r="AI1462" t="n">
        <x:f>_xlfn.XLOOKUP($A1462,Games!$A$2:$A$18,Games!$D$2:$D$18,"Missing game",0)</x:f>
        <x:v>10</x:v>
      </x:c>
      <x:c r="AJ1462" s="1" t="n">
        <x:f>_xlfn.XLOOKUP($A1462,Games!$A$2:$A$18,Games!$E$2:$E$18,"Missing game",0)</x:f>
        <x:v>45970</x:v>
      </x:c>
      <x:c r="AK1462" t="str">
        <x:f>_xlfn.XLOOKUP($A1462,Games!$A$2:$A$18,Games!$F$2:$F$18,"Missing game",0)</x:f>
        <x:v>Sunday</x:v>
      </x:c>
      <x:c r="AL1462" t="str">
        <x:f>_xlfn.XLOOKUP($A1462,Games!$A$2:$A$18,Games!$G$2:$G$18,"Missing game",0)</x:f>
        <x:v>BAL</x:v>
      </x:c>
      <x:c r="AM1462" t="n">
        <x:f>_xlfn.XLOOKUP($A1462,Games!$A$2:$A$18,Games!$H$2:$H$18,"Missing game",0)</x:f>
        <x:v>27</x:v>
      </x:c>
      <x:c r="AN1462" t="str">
        <x:f>_xlfn.XLOOKUP($A1462,Games!$A$2:$A$18,Games!$I$2:$I$18,"Missing game",0)</x:f>
        <x:v>MIN</x:v>
      </x:c>
      <x:c r="AO1462" t="n">
        <x:f>_xlfn.XLOOKUP($A1462,Games!$A$2:$A$18,Games!$J$2:$J$18,"Missing game",0)</x:f>
        <x:v>19</x:v>
      </x:c>
      <x:c r="AP1462" t="n">
        <x:f>_xlfn.XLOOKUP($A1462,Games!$A$2:$A$18,Games!$K$2:$K$18,"Missing game",0)</x:f>
        <x:v>-8</x:v>
      </x:c>
      <x:c r="AQ1462" t="n">
        <x:f>_xlfn.XLOOKUP($A1462,Games!$A$2:$A$18,Games!$L$2:$L$18,"Missing game",0)</x:f>
        <x:v>46</x:v>
      </x:c>
      <x:c r="AR1462" t="n">
        <x:f>_xlfn.XLOOKUP($A1462,Games!$A$2:$A$18,Games!$M$2:$M$18,"Missing game",0)</x:f>
        <x:v>0</x:v>
      </x:c>
      <x:c r="AS1462" t="str">
        <x:f>_xlfn.XLOOKUP($A1462,Games!$A$2:$A$18,Games!$N$2:$N$18,"Missing game",0)</x:f>
        <x:v>dome</x:v>
      </x:c>
      <x:c r="AT1462" t="str">
        <x:f>_xlfn.XLOOKUP($A1462,Games!$A$2:$A$18,Games!$O$2:$O$18,"Missing game",0)</x:f>
        <x:v>sportturf</x:v>
      </x:c>
      <x:c r="AU1462" t="str">
        <x:f>_xlfn.XLOOKUP($A1462,Games!$A$2:$A$18,Games!$P$2:$P$18,"Missing game",0)</x:f>
      </x:c>
      <x:c r="AV1462" t="str">
        <x:f>_xlfn.XLOOKUP($A1462,Games!$A$2:$A$18,Games!$Q$2:$Q$18,"Missing game",0)</x:f>
      </x:c>
      <x:c r="AW1462" t="str">
        <x:f>_xlfn.XLOOKUP($A1462,Games!$A$2:$A$18,Games!$R$2:$R$18,"Missing game",0)</x:f>
        <x:v>U.S. Bank Stadium</x:v>
      </x:c>
    </x:row>
    <x:row r="1463">
      <x:c r="A1463" t="str">
        <x:v>2025_10_BAL_MIN</x:v>
      </x:c>
      <x:c r="B1463" t="n">
        <x:v>2824</x:v>
      </x:c>
      <x:c r="C1463" t="n">
        <x:v>3</x:v>
      </x:c>
      <x:c r="D1463" t="str">
        <x:v>05:03</x:v>
      </x:c>
      <x:c r="E1463" t="n">
        <x:v>3</x:v>
      </x:c>
      <x:c r="F1463" t="n">
        <x:v>10</x:v>
      </x:c>
      <x:c r="G1463" t="str">
        <x:v>BAL</x:v>
      </x:c>
      <x:c r="H1463" t="str">
        <x:v>MIN</x:v>
      </x:c>
      <x:c r="I1463" t="str">
        <x:v>MIN</x:v>
      </x:c>
      <x:c r="J1463" t="n">
        <x:v>38</x:v>
      </x:c>
      <x:c r="K1463" t="str">
        <x:v>(5:03) (Shotgun) 8-L.Jackson pass incomplete short right to 4-Z.Flowers.</x:v>
      </x:c>
      <x:c r="L1463" t="str">
        <x:v>pass</x:v>
      </x:c>
      <x:c r="M1463" t="n">
        <x:v>0</x:v>
      </x:c>
      <x:c r="N1463" t="n">
        <x:v>1</x:v>
      </x:c>
      <x:c r="O1463" t="n">
        <x:v>0</x:v>
      </x:c>
      <x:c r="P1463" t="str">
        <x:v>short</x:v>
      </x:c>
      <x:c r="Q1463" t="str">
        <x:v>right</x:v>
      </x:c>
      <x:c r="R1463" t="n">
        <x:v>-3</x:v>
      </x:c>
      <x:c r="S1463"/>
      <x:c r="T1463"/>
      <x:c r="U1463"/>
      <x:c r="V1463" t="n">
        <x:v>0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0</x:v>
      </x:c>
      <x:c r="AB1463"/>
      <x:c r="AC1463" t="n">
        <x:v>0</x:v>
      </x:c>
      <x:c r="AD1463" t="n">
        <x:v>-1.003548434439395</x:v>
      </x:c>
      <x:c r="AE1463" t="n">
        <x:v>0</x:v>
      </x:c>
      <x:c r="AF1463" t="n">
        <x:v>-0.020197927951812744</x:v>
      </x:c>
      <x:c r="AG1463" t="n">
        <x:f>_xlfn.XLOOKUP($A1463,Games!$A$2:$A$18,Games!$B$2:$B$18,"Missing game",0)</x:f>
        <x:v>2025</x:v>
      </x:c>
      <x:c r="AH1463" t="str">
        <x:f>_xlfn.XLOOKUP($A1463,Games!$A$2:$A$18,Games!$C$2:$C$18,"Missing game",0)</x:f>
        <x:v>REG</x:v>
      </x:c>
      <x:c r="AI1463" t="n">
        <x:f>_xlfn.XLOOKUP($A1463,Games!$A$2:$A$18,Games!$D$2:$D$18,"Missing game",0)</x:f>
        <x:v>10</x:v>
      </x:c>
      <x:c r="AJ1463" s="1" t="n">
        <x:f>_xlfn.XLOOKUP($A1463,Games!$A$2:$A$18,Games!$E$2:$E$18,"Missing game",0)</x:f>
        <x:v>45970</x:v>
      </x:c>
      <x:c r="AK1463" t="str">
        <x:f>_xlfn.XLOOKUP($A1463,Games!$A$2:$A$18,Games!$F$2:$F$18,"Missing game",0)</x:f>
        <x:v>Sunday</x:v>
      </x:c>
      <x:c r="AL1463" t="str">
        <x:f>_xlfn.XLOOKUP($A1463,Games!$A$2:$A$18,Games!$G$2:$G$18,"Missing game",0)</x:f>
        <x:v>BAL</x:v>
      </x:c>
      <x:c r="AM1463" t="n">
        <x:f>_xlfn.XLOOKUP($A1463,Games!$A$2:$A$18,Games!$H$2:$H$18,"Missing game",0)</x:f>
        <x:v>27</x:v>
      </x:c>
      <x:c r="AN1463" t="str">
        <x:f>_xlfn.XLOOKUP($A1463,Games!$A$2:$A$18,Games!$I$2:$I$18,"Missing game",0)</x:f>
        <x:v>MIN</x:v>
      </x:c>
      <x:c r="AO1463" t="n">
        <x:f>_xlfn.XLOOKUP($A1463,Games!$A$2:$A$18,Games!$J$2:$J$18,"Missing game",0)</x:f>
        <x:v>19</x:v>
      </x:c>
      <x:c r="AP1463" t="n">
        <x:f>_xlfn.XLOOKUP($A1463,Games!$A$2:$A$18,Games!$K$2:$K$18,"Missing game",0)</x:f>
        <x:v>-8</x:v>
      </x:c>
      <x:c r="AQ1463" t="n">
        <x:f>_xlfn.XLOOKUP($A1463,Games!$A$2:$A$18,Games!$L$2:$L$18,"Missing game",0)</x:f>
        <x:v>46</x:v>
      </x:c>
      <x:c r="AR1463" t="n">
        <x:f>_xlfn.XLOOKUP($A1463,Games!$A$2:$A$18,Games!$M$2:$M$18,"Missing game",0)</x:f>
        <x:v>0</x:v>
      </x:c>
      <x:c r="AS1463" t="str">
        <x:f>_xlfn.XLOOKUP($A1463,Games!$A$2:$A$18,Games!$N$2:$N$18,"Missing game",0)</x:f>
        <x:v>dome</x:v>
      </x:c>
      <x:c r="AT1463" t="str">
        <x:f>_xlfn.XLOOKUP($A1463,Games!$A$2:$A$18,Games!$O$2:$O$18,"Missing game",0)</x:f>
        <x:v>sportturf</x:v>
      </x:c>
      <x:c r="AU1463" t="str">
        <x:f>_xlfn.XLOOKUP($A1463,Games!$A$2:$A$18,Games!$P$2:$P$18,"Missing game",0)</x:f>
      </x:c>
      <x:c r="AV1463" t="str">
        <x:f>_xlfn.XLOOKUP($A1463,Games!$A$2:$A$18,Games!$Q$2:$Q$18,"Missing game",0)</x:f>
      </x:c>
      <x:c r="AW1463" t="str">
        <x:f>_xlfn.XLOOKUP($A1463,Games!$A$2:$A$18,Games!$R$2:$R$18,"Missing game",0)</x:f>
        <x:v>U.S. Bank Stadium</x:v>
      </x:c>
    </x:row>
    <x:row r="1464">
      <x:c r="A1464" t="str">
        <x:v>2025_10_BAL_MIN</x:v>
      </x:c>
      <x:c r="B1464" t="n">
        <x:v>2847</x:v>
      </x:c>
      <x:c r="C1464" t="n">
        <x:v>3</x:v>
      </x:c>
      <x:c r="D1464" t="str">
        <x:v>05:00</x:v>
      </x:c>
      <x:c r="E1464" t="n">
        <x:v>4</x:v>
      </x:c>
      <x:c r="F1464" t="n">
        <x:v>10</x:v>
      </x:c>
      <x:c r="G1464" t="str">
        <x:v>BAL</x:v>
      </x:c>
      <x:c r="H1464" t="str">
        <x:v>MIN</x:v>
      </x:c>
      <x:c r="I1464" t="str">
        <x:v>MIN</x:v>
      </x:c>
      <x:c r="J1464" t="n">
        <x:v>38</x:v>
      </x:c>
      <x:c r="K1464" t="str">
        <x:v>(5:00) 33-T.Loop 56 yard field goal is No Good, Wide Left, Center-46-N.Moore, Holder-11-J.Stout.</x:v>
      </x:c>
      <x:c r="L1464" t="str">
        <x:v>field_goal</x:v>
      </x:c>
      <x:c r="M1464" t="n">
        <x:v>0</x:v>
      </x:c>
      <x:c r="N1464" t="n">
        <x:v>0</x:v>
      </x:c>
      <x:c r="O1464" t="n">
        <x:v>0</x:v>
      </x:c>
      <x:c r="P1464"/>
      <x:c r="Q1464"/>
      <x:c r="R1464"/>
      <x:c r="S1464"/>
      <x:c r="T1464"/>
      <x:c r="U1464"/>
      <x:c r="V1464" t="n">
        <x:v>0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0</x:v>
      </x:c>
      <x:c r="AB1464"/>
      <x:c r="AC1464" t="n">
        <x:v>0</x:v>
      </x:c>
      <x:c r="AD1464" t="n">
        <x:v>-3.9098170274241824</x:v>
      </x:c>
      <x:c r="AE1464" t="n">
        <x:v>0</x:v>
      </x:c>
      <x:c r="AF1464" t="n">
        <x:v>-0.08685725927352905</x:v>
      </x:c>
      <x:c r="AG1464" t="n">
        <x:f>_xlfn.XLOOKUP($A1464,Games!$A$2:$A$18,Games!$B$2:$B$18,"Missing game",0)</x:f>
        <x:v>2025</x:v>
      </x:c>
      <x:c r="AH1464" t="str">
        <x:f>_xlfn.XLOOKUP($A1464,Games!$A$2:$A$18,Games!$C$2:$C$18,"Missing game",0)</x:f>
        <x:v>REG</x:v>
      </x:c>
      <x:c r="AI1464" t="n">
        <x:f>_xlfn.XLOOKUP($A1464,Games!$A$2:$A$18,Games!$D$2:$D$18,"Missing game",0)</x:f>
        <x:v>10</x:v>
      </x:c>
      <x:c r="AJ1464" s="1" t="n">
        <x:f>_xlfn.XLOOKUP($A1464,Games!$A$2:$A$18,Games!$E$2:$E$18,"Missing game",0)</x:f>
        <x:v>45970</x:v>
      </x:c>
      <x:c r="AK1464" t="str">
        <x:f>_xlfn.XLOOKUP($A1464,Games!$A$2:$A$18,Games!$F$2:$F$18,"Missing game",0)</x:f>
        <x:v>Sunday</x:v>
      </x:c>
      <x:c r="AL1464" t="str">
        <x:f>_xlfn.XLOOKUP($A1464,Games!$A$2:$A$18,Games!$G$2:$G$18,"Missing game",0)</x:f>
        <x:v>BAL</x:v>
      </x:c>
      <x:c r="AM1464" t="n">
        <x:f>_xlfn.XLOOKUP($A1464,Games!$A$2:$A$18,Games!$H$2:$H$18,"Missing game",0)</x:f>
        <x:v>27</x:v>
      </x:c>
      <x:c r="AN1464" t="str">
        <x:f>_xlfn.XLOOKUP($A1464,Games!$A$2:$A$18,Games!$I$2:$I$18,"Missing game",0)</x:f>
        <x:v>MIN</x:v>
      </x:c>
      <x:c r="AO1464" t="n">
        <x:f>_xlfn.XLOOKUP($A1464,Games!$A$2:$A$18,Games!$J$2:$J$18,"Missing game",0)</x:f>
        <x:v>19</x:v>
      </x:c>
      <x:c r="AP1464" t="n">
        <x:f>_xlfn.XLOOKUP($A1464,Games!$A$2:$A$18,Games!$K$2:$K$18,"Missing game",0)</x:f>
        <x:v>-8</x:v>
      </x:c>
      <x:c r="AQ1464" t="n">
        <x:f>_xlfn.XLOOKUP($A1464,Games!$A$2:$A$18,Games!$L$2:$L$18,"Missing game",0)</x:f>
        <x:v>46</x:v>
      </x:c>
      <x:c r="AR1464" t="n">
        <x:f>_xlfn.XLOOKUP($A1464,Games!$A$2:$A$18,Games!$M$2:$M$18,"Missing game",0)</x:f>
        <x:v>0</x:v>
      </x:c>
      <x:c r="AS1464" t="str">
        <x:f>_xlfn.XLOOKUP($A1464,Games!$A$2:$A$18,Games!$N$2:$N$18,"Missing game",0)</x:f>
        <x:v>dome</x:v>
      </x:c>
      <x:c r="AT1464" t="str">
        <x:f>_xlfn.XLOOKUP($A1464,Games!$A$2:$A$18,Games!$O$2:$O$18,"Missing game",0)</x:f>
        <x:v>sportturf</x:v>
      </x:c>
      <x:c r="AU1464" t="str">
        <x:f>_xlfn.XLOOKUP($A1464,Games!$A$2:$A$18,Games!$P$2:$P$18,"Missing game",0)</x:f>
      </x:c>
      <x:c r="AV1464" t="str">
        <x:f>_xlfn.XLOOKUP($A1464,Games!$A$2:$A$18,Games!$Q$2:$Q$18,"Missing game",0)</x:f>
      </x:c>
      <x:c r="AW1464" t="str">
        <x:f>_xlfn.XLOOKUP($A1464,Games!$A$2:$A$18,Games!$R$2:$R$18,"Missing game",0)</x:f>
        <x:v>U.S. Bank Stadium</x:v>
      </x:c>
    </x:row>
    <x:row r="1465">
      <x:c r="A1465" t="str">
        <x:v>2025_10_BAL_MIN</x:v>
      </x:c>
      <x:c r="B1465" t="n">
        <x:v>2868</x:v>
      </x:c>
      <x:c r="C1465" t="n">
        <x:v>3</x:v>
      </x:c>
      <x:c r="D1465" t="str">
        <x:v>04:55</x:v>
      </x:c>
      <x:c r="E1465" t="n">
        <x:v>1</x:v>
      </x:c>
      <x:c r="F1465" t="n">
        <x:v>10</x:v>
      </x:c>
      <x:c r="G1465" t="str">
        <x:v>MIN</x:v>
      </x:c>
      <x:c r="H1465" t="str">
        <x:v>BAL</x:v>
      </x:c>
      <x:c r="I1465" t="str">
        <x:v>MIN</x:v>
      </x:c>
      <x:c r="J1465" t="n">
        <x:v>54</x:v>
      </x:c>
      <x:c r="K1465" t="str">
        <x:v>(4:55) 9-J.McCarthy pass short right to 33-A.Jones to BAL 42 for 12 yards (40-T.Buchanan).</x:v>
      </x:c>
      <x:c r="L1465" t="str">
        <x:v>pass</x:v>
      </x:c>
      <x:c r="M1465" t="n">
        <x:v>12</x:v>
      </x:c>
      <x:c r="N1465" t="n">
        <x:v>0</x:v>
      </x:c>
      <x:c r="O1465" t="n">
        <x:v>0</x:v>
      </x:c>
      <x:c r="P1465" t="str">
        <x:v>short</x:v>
      </x:c>
      <x:c r="Q1465" t="str">
        <x:v>right</x:v>
      </x:c>
      <x:c r="R1465" t="n">
        <x:v>-1</x:v>
      </x:c>
      <x:c r="S1465" t="n">
        <x:v>13</x:v>
      </x:c>
      <x:c r="T1465"/>
      <x:c r="U1465"/>
      <x:c r="V1465" t="n">
        <x:v>1</x:v>
      </x:c>
      <x:c r="W1465" t="n">
        <x:v>1</x:v>
      </x:c>
      <x:c r="X1465" t="n">
        <x:v>0</x:v>
      </x:c>
      <x:c r="Y1465" t="n">
        <x:v>0</x:v>
      </x:c>
      <x:c r="Z1465" t="n">
        <x:v>0</x:v>
      </x:c>
      <x:c r="AA1465" t="n">
        <x:v>0</x:v>
      </x:c>
      <x:c r="AB1465"/>
      <x:c r="AC1465" t="n">
        <x:v>0</x:v>
      </x:c>
      <x:c r="AD1465" t="n">
        <x:v>0.5803428892977536</x:v>
      </x:c>
      <x:c r="AE1465" t="n">
        <x:v>1</x:v>
      </x:c>
      <x:c r="AF1465" t="n">
        <x:v>0.0010366737842559814</x:v>
      </x:c>
      <x:c r="AG1465" t="n">
        <x:f>_xlfn.XLOOKUP($A1465,Games!$A$2:$A$18,Games!$B$2:$B$18,"Missing game",0)</x:f>
        <x:v>2025</x:v>
      </x:c>
      <x:c r="AH1465" t="str">
        <x:f>_xlfn.XLOOKUP($A1465,Games!$A$2:$A$18,Games!$C$2:$C$18,"Missing game",0)</x:f>
        <x:v>REG</x:v>
      </x:c>
      <x:c r="AI1465" t="n">
        <x:f>_xlfn.XLOOKUP($A1465,Games!$A$2:$A$18,Games!$D$2:$D$18,"Missing game",0)</x:f>
        <x:v>10</x:v>
      </x:c>
      <x:c r="AJ1465" s="1" t="n">
        <x:f>_xlfn.XLOOKUP($A1465,Games!$A$2:$A$18,Games!$E$2:$E$18,"Missing game",0)</x:f>
        <x:v>45970</x:v>
      </x:c>
      <x:c r="AK1465" t="str">
        <x:f>_xlfn.XLOOKUP($A1465,Games!$A$2:$A$18,Games!$F$2:$F$18,"Missing game",0)</x:f>
        <x:v>Sunday</x:v>
      </x:c>
      <x:c r="AL1465" t="str">
        <x:f>_xlfn.XLOOKUP($A1465,Games!$A$2:$A$18,Games!$G$2:$G$18,"Missing game",0)</x:f>
        <x:v>BAL</x:v>
      </x:c>
      <x:c r="AM1465" t="n">
        <x:f>_xlfn.XLOOKUP($A1465,Games!$A$2:$A$18,Games!$H$2:$H$18,"Missing game",0)</x:f>
        <x:v>27</x:v>
      </x:c>
      <x:c r="AN1465" t="str">
        <x:f>_xlfn.XLOOKUP($A1465,Games!$A$2:$A$18,Games!$I$2:$I$18,"Missing game",0)</x:f>
        <x:v>MIN</x:v>
      </x:c>
      <x:c r="AO1465" t="n">
        <x:f>_xlfn.XLOOKUP($A1465,Games!$A$2:$A$18,Games!$J$2:$J$18,"Missing game",0)</x:f>
        <x:v>19</x:v>
      </x:c>
      <x:c r="AP1465" t="n">
        <x:f>_xlfn.XLOOKUP($A1465,Games!$A$2:$A$18,Games!$K$2:$K$18,"Missing game",0)</x:f>
        <x:v>-8</x:v>
      </x:c>
      <x:c r="AQ1465" t="n">
        <x:f>_xlfn.XLOOKUP($A1465,Games!$A$2:$A$18,Games!$L$2:$L$18,"Missing game",0)</x:f>
        <x:v>46</x:v>
      </x:c>
      <x:c r="AR1465" t="n">
        <x:f>_xlfn.XLOOKUP($A1465,Games!$A$2:$A$18,Games!$M$2:$M$18,"Missing game",0)</x:f>
        <x:v>0</x:v>
      </x:c>
      <x:c r="AS1465" t="str">
        <x:f>_xlfn.XLOOKUP($A1465,Games!$A$2:$A$18,Games!$N$2:$N$18,"Missing game",0)</x:f>
        <x:v>dome</x:v>
      </x:c>
      <x:c r="AT1465" t="str">
        <x:f>_xlfn.XLOOKUP($A1465,Games!$A$2:$A$18,Games!$O$2:$O$18,"Missing game",0)</x:f>
        <x:v>sportturf</x:v>
      </x:c>
      <x:c r="AU1465" t="str">
        <x:f>_xlfn.XLOOKUP($A1465,Games!$A$2:$A$18,Games!$P$2:$P$18,"Missing game",0)</x:f>
      </x:c>
      <x:c r="AV1465" t="str">
        <x:f>_xlfn.XLOOKUP($A1465,Games!$A$2:$A$18,Games!$Q$2:$Q$18,"Missing game",0)</x:f>
      </x:c>
      <x:c r="AW1465" t="str">
        <x:f>_xlfn.XLOOKUP($A1465,Games!$A$2:$A$18,Games!$R$2:$R$18,"Missing game",0)</x:f>
        <x:v>U.S. Bank Stadium</x:v>
      </x:c>
    </x:row>
    <x:row r="1466">
      <x:c r="A1466" t="str">
        <x:v>2025_10_BAL_MIN</x:v>
      </x:c>
      <x:c r="B1466" t="n">
        <x:v>2900</x:v>
      </x:c>
      <x:c r="C1466" t="n">
        <x:v>3</x:v>
      </x:c>
      <x:c r="D1466" t="str">
        <x:v>04:14</x:v>
      </x:c>
      <x:c r="E1466" t="n">
        <x:v>1</x:v>
      </x:c>
      <x:c r="F1466" t="n">
        <x:v>10</x:v>
      </x:c>
      <x:c r="G1466" t="str">
        <x:v>MIN</x:v>
      </x:c>
      <x:c r="H1466" t="str">
        <x:v>BAL</x:v>
      </x:c>
      <x:c r="I1466" t="str">
        <x:v>BAL</x:v>
      </x:c>
      <x:c r="J1466" t="n">
        <x:v>42</x:v>
      </x:c>
      <x:c r="K1466" t="str">
        <x:v>(4:14) 33-A.Jones right end to BAL 31 for 11 yards (0-R.Smith).</x:v>
      </x:c>
      <x:c r="L1466" t="str">
        <x:v>run</x:v>
      </x:c>
      <x:c r="M1466" t="n">
        <x:v>11</x:v>
      </x:c>
      <x:c r="N1466" t="n">
        <x:v>0</x:v>
      </x:c>
      <x:c r="O1466" t="n">
        <x:v>0</x:v>
      </x:c>
      <x:c r="P1466"/>
      <x:c r="Q1466"/>
      <x:c r="R1466"/>
      <x:c r="S1466"/>
      <x:c r="T1466" t="str">
        <x:v>right</x:v>
      </x:c>
      <x:c r="U1466" t="str">
        <x:v>end</x:v>
      </x:c>
      <x:c r="V1466" t="n">
        <x:v>0</x:v>
      </x:c>
      <x:c r="W1466" t="n">
        <x:v>1</x:v>
      </x:c>
      <x:c r="X1466" t="n">
        <x:v>0</x:v>
      </x:c>
      <x:c r="Y1466" t="n">
        <x:v>0</x:v>
      </x:c>
      <x:c r="Z1466" t="n">
        <x:v>0</x:v>
      </x:c>
      <x:c r="AA1466" t="n">
        <x:v>0</x:v>
      </x:c>
      <x:c r="AB1466"/>
      <x:c r="AC1466" t="n">
        <x:v>0</x:v>
      </x:c>
      <x:c r="AD1466" t="n">
        <x:v>0.7034306765999645</x:v>
      </x:c>
      <x:c r="AE1466" t="n">
        <x:v>1</x:v>
      </x:c>
      <x:c r="AF1466" t="n">
        <x:v>0.02777916193008423</x:v>
      </x:c>
      <x:c r="AG1466" t="n">
        <x:f>_xlfn.XLOOKUP($A1466,Games!$A$2:$A$18,Games!$B$2:$B$18,"Missing game",0)</x:f>
        <x:v>2025</x:v>
      </x:c>
      <x:c r="AH1466" t="str">
        <x:f>_xlfn.XLOOKUP($A1466,Games!$A$2:$A$18,Games!$C$2:$C$18,"Missing game",0)</x:f>
        <x:v>REG</x:v>
      </x:c>
      <x:c r="AI1466" t="n">
        <x:f>_xlfn.XLOOKUP($A1466,Games!$A$2:$A$18,Games!$D$2:$D$18,"Missing game",0)</x:f>
        <x:v>10</x:v>
      </x:c>
      <x:c r="AJ1466" s="1" t="n">
        <x:f>_xlfn.XLOOKUP($A1466,Games!$A$2:$A$18,Games!$E$2:$E$18,"Missing game",0)</x:f>
        <x:v>45970</x:v>
      </x:c>
      <x:c r="AK1466" t="str">
        <x:f>_xlfn.XLOOKUP($A1466,Games!$A$2:$A$18,Games!$F$2:$F$18,"Missing game",0)</x:f>
        <x:v>Sunday</x:v>
      </x:c>
      <x:c r="AL1466" t="str">
        <x:f>_xlfn.XLOOKUP($A1466,Games!$A$2:$A$18,Games!$G$2:$G$18,"Missing game",0)</x:f>
        <x:v>BAL</x:v>
      </x:c>
      <x:c r="AM1466" t="n">
        <x:f>_xlfn.XLOOKUP($A1466,Games!$A$2:$A$18,Games!$H$2:$H$18,"Missing game",0)</x:f>
        <x:v>27</x:v>
      </x:c>
      <x:c r="AN1466" t="str">
        <x:f>_xlfn.XLOOKUP($A1466,Games!$A$2:$A$18,Games!$I$2:$I$18,"Missing game",0)</x:f>
        <x:v>MIN</x:v>
      </x:c>
      <x:c r="AO1466" t="n">
        <x:f>_xlfn.XLOOKUP($A1466,Games!$A$2:$A$18,Games!$J$2:$J$18,"Missing game",0)</x:f>
        <x:v>19</x:v>
      </x:c>
      <x:c r="AP1466" t="n">
        <x:f>_xlfn.XLOOKUP($A1466,Games!$A$2:$A$18,Games!$K$2:$K$18,"Missing game",0)</x:f>
        <x:v>-8</x:v>
      </x:c>
      <x:c r="AQ1466" t="n">
        <x:f>_xlfn.XLOOKUP($A1466,Games!$A$2:$A$18,Games!$L$2:$L$18,"Missing game",0)</x:f>
        <x:v>46</x:v>
      </x:c>
      <x:c r="AR1466" t="n">
        <x:f>_xlfn.XLOOKUP($A1466,Games!$A$2:$A$18,Games!$M$2:$M$18,"Missing game",0)</x:f>
        <x:v>0</x:v>
      </x:c>
      <x:c r="AS1466" t="str">
        <x:f>_xlfn.XLOOKUP($A1466,Games!$A$2:$A$18,Games!$N$2:$N$18,"Missing game",0)</x:f>
        <x:v>dome</x:v>
      </x:c>
      <x:c r="AT1466" t="str">
        <x:f>_xlfn.XLOOKUP($A1466,Games!$A$2:$A$18,Games!$O$2:$O$18,"Missing game",0)</x:f>
        <x:v>sportturf</x:v>
      </x:c>
      <x:c r="AU1466" t="str">
        <x:f>_xlfn.XLOOKUP($A1466,Games!$A$2:$A$18,Games!$P$2:$P$18,"Missing game",0)</x:f>
      </x:c>
      <x:c r="AV1466" t="str">
        <x:f>_xlfn.XLOOKUP($A1466,Games!$A$2:$A$18,Games!$Q$2:$Q$18,"Missing game",0)</x:f>
      </x:c>
      <x:c r="AW1466" t="str">
        <x:f>_xlfn.XLOOKUP($A1466,Games!$A$2:$A$18,Games!$R$2:$R$18,"Missing game",0)</x:f>
        <x:v>U.S. Bank Stadium</x:v>
      </x:c>
    </x:row>
    <x:row r="1467">
      <x:c r="A1467" t="str">
        <x:v>2025_10_BAL_MIN</x:v>
      </x:c>
      <x:c r="B1467" t="n">
        <x:v>2922</x:v>
      </x:c>
      <x:c r="C1467" t="n">
        <x:v>3</x:v>
      </x:c>
      <x:c r="D1467" t="str">
        <x:v>03:34</x:v>
      </x:c>
      <x:c r="E1467" t="n">
        <x:v>1</x:v>
      </x:c>
      <x:c r="F1467" t="n">
        <x:v>10</x:v>
      </x:c>
      <x:c r="G1467" t="str">
        <x:v>MIN</x:v>
      </x:c>
      <x:c r="H1467" t="str">
        <x:v>BAL</x:v>
      </x:c>
      <x:c r="I1467" t="str">
        <x:v>BAL</x:v>
      </x:c>
      <x:c r="J1467" t="n">
        <x:v>31</x:v>
      </x:c>
      <x:c r="K1467" t="str">
        <x:v>(3:34) 9-J.McCarthy pass short left to 18-J.Jefferson pushed ob at BAL 20 for 11 yards (2-N.Wiggins).</x:v>
      </x:c>
      <x:c r="L1467" t="str">
        <x:v>pass</x:v>
      </x:c>
      <x:c r="M1467" t="n">
        <x:v>11</x:v>
      </x:c>
      <x:c r="N1467" t="n">
        <x:v>0</x:v>
      </x:c>
      <x:c r="O1467" t="n">
        <x:v>0</x:v>
      </x:c>
      <x:c r="P1467" t="str">
        <x:v>short</x:v>
      </x:c>
      <x:c r="Q1467" t="str">
        <x:v>left</x:v>
      </x:c>
      <x:c r="R1467" t="n">
        <x:v>0</x:v>
      </x:c>
      <x:c r="S1467" t="n">
        <x:v>11</x:v>
      </x:c>
      <x:c r="T1467"/>
      <x:c r="U1467"/>
      <x:c r="V1467" t="n">
        <x:v>1</x:v>
      </x:c>
      <x:c r="W1467" t="n">
        <x:v>1</x:v>
      </x:c>
      <x:c r="X1467" t="n">
        <x:v>0</x:v>
      </x:c>
      <x:c r="Y1467" t="n">
        <x:v>0</x:v>
      </x:c>
      <x:c r="Z1467" t="n">
        <x:v>0</x:v>
      </x:c>
      <x:c r="AA1467" t="n">
        <x:v>0</x:v>
      </x:c>
      <x:c r="AB1467"/>
      <x:c r="AC1467" t="n">
        <x:v>0</x:v>
      </x:c>
      <x:c r="AD1467" t="n">
        <x:v>0.7213797314325348</x:v>
      </x:c>
      <x:c r="AE1467" t="n">
        <x:v>1</x:v>
      </x:c>
      <x:c r="AF1467" t="n">
        <x:v>0.028738349676132202</x:v>
      </x:c>
      <x:c r="AG1467" t="n">
        <x:f>_xlfn.XLOOKUP($A1467,Games!$A$2:$A$18,Games!$B$2:$B$18,"Missing game",0)</x:f>
        <x:v>2025</x:v>
      </x:c>
      <x:c r="AH1467" t="str">
        <x:f>_xlfn.XLOOKUP($A1467,Games!$A$2:$A$18,Games!$C$2:$C$18,"Missing game",0)</x:f>
        <x:v>REG</x:v>
      </x:c>
      <x:c r="AI1467" t="n">
        <x:f>_xlfn.XLOOKUP($A1467,Games!$A$2:$A$18,Games!$D$2:$D$18,"Missing game",0)</x:f>
        <x:v>10</x:v>
      </x:c>
      <x:c r="AJ1467" s="1" t="n">
        <x:f>_xlfn.XLOOKUP($A1467,Games!$A$2:$A$18,Games!$E$2:$E$18,"Missing game",0)</x:f>
        <x:v>45970</x:v>
      </x:c>
      <x:c r="AK1467" t="str">
        <x:f>_xlfn.XLOOKUP($A1467,Games!$A$2:$A$18,Games!$F$2:$F$18,"Missing game",0)</x:f>
        <x:v>Sunday</x:v>
      </x:c>
      <x:c r="AL1467" t="str">
        <x:f>_xlfn.XLOOKUP($A1467,Games!$A$2:$A$18,Games!$G$2:$G$18,"Missing game",0)</x:f>
        <x:v>BAL</x:v>
      </x:c>
      <x:c r="AM1467" t="n">
        <x:f>_xlfn.XLOOKUP($A1467,Games!$A$2:$A$18,Games!$H$2:$H$18,"Missing game",0)</x:f>
        <x:v>27</x:v>
      </x:c>
      <x:c r="AN1467" t="str">
        <x:f>_xlfn.XLOOKUP($A1467,Games!$A$2:$A$18,Games!$I$2:$I$18,"Missing game",0)</x:f>
        <x:v>MIN</x:v>
      </x:c>
      <x:c r="AO1467" t="n">
        <x:f>_xlfn.XLOOKUP($A1467,Games!$A$2:$A$18,Games!$J$2:$J$18,"Missing game",0)</x:f>
        <x:v>19</x:v>
      </x:c>
      <x:c r="AP1467" t="n">
        <x:f>_xlfn.XLOOKUP($A1467,Games!$A$2:$A$18,Games!$K$2:$K$18,"Missing game",0)</x:f>
        <x:v>-8</x:v>
      </x:c>
      <x:c r="AQ1467" t="n">
        <x:f>_xlfn.XLOOKUP($A1467,Games!$A$2:$A$18,Games!$L$2:$L$18,"Missing game",0)</x:f>
        <x:v>46</x:v>
      </x:c>
      <x:c r="AR1467" t="n">
        <x:f>_xlfn.XLOOKUP($A1467,Games!$A$2:$A$18,Games!$M$2:$M$18,"Missing game",0)</x:f>
        <x:v>0</x:v>
      </x:c>
      <x:c r="AS1467" t="str">
        <x:f>_xlfn.XLOOKUP($A1467,Games!$A$2:$A$18,Games!$N$2:$N$18,"Missing game",0)</x:f>
        <x:v>dome</x:v>
      </x:c>
      <x:c r="AT1467" t="str">
        <x:f>_xlfn.XLOOKUP($A1467,Games!$A$2:$A$18,Games!$O$2:$O$18,"Missing game",0)</x:f>
        <x:v>sportturf</x:v>
      </x:c>
      <x:c r="AU1467" t="str">
        <x:f>_xlfn.XLOOKUP($A1467,Games!$A$2:$A$18,Games!$P$2:$P$18,"Missing game",0)</x:f>
      </x:c>
      <x:c r="AV1467" t="str">
        <x:f>_xlfn.XLOOKUP($A1467,Games!$A$2:$A$18,Games!$Q$2:$Q$18,"Missing game",0)</x:f>
      </x:c>
      <x:c r="AW1467" t="str">
        <x:f>_xlfn.XLOOKUP($A1467,Games!$A$2:$A$18,Games!$R$2:$R$18,"Missing game",0)</x:f>
        <x:v>U.S. Bank Stadium</x:v>
      </x:c>
    </x:row>
    <x:row r="1468">
      <x:c r="A1468" t="str">
        <x:v>2025_10_BAL_MIN</x:v>
      </x:c>
      <x:c r="B1468" t="n">
        <x:v>2952</x:v>
      </x:c>
      <x:c r="C1468" t="n">
        <x:v>3</x:v>
      </x:c>
      <x:c r="D1468" t="str">
        <x:v>02:55</x:v>
      </x:c>
      <x:c r="E1468" t="n">
        <x:v>1</x:v>
      </x:c>
      <x:c r="F1468" t="n">
        <x:v>10</x:v>
      </x:c>
      <x:c r="G1468" t="str">
        <x:v>MIN</x:v>
      </x:c>
      <x:c r="H1468" t="str">
        <x:v>BAL</x:v>
      </x:c>
      <x:c r="I1468" t="str">
        <x:v>BAL</x:v>
      </x:c>
      <x:c r="J1468" t="n">
        <x:v>20</x:v>
      </x:c>
      <x:c r="K1468" t="str">
        <x:v>(2:55) PENALTY on MIN-71-C.Darrisaw, False Start, 5 yards, enforced at BAL 20 - No Play.</x:v>
      </x:c>
      <x:c r="L1468" t="str">
        <x:v>no_play</x:v>
      </x:c>
      <x:c r="M1468" t="n">
        <x:v>0</x:v>
      </x:c>
      <x:c r="N1468" t="n">
        <x:v>0</x:v>
      </x:c>
      <x:c r="O1468" t="n">
        <x:v>0</x:v>
      </x:c>
      <x:c r="P1468"/>
      <x:c r="Q1468"/>
      <x:c r="R1468"/>
      <x:c r="S1468"/>
      <x:c r="T1468"/>
      <x:c r="U1468"/>
      <x:c r="V1468" t="n">
        <x:v>0</x:v>
      </x:c>
      <x:c r="W1468" t="n">
        <x:v>0</x:v>
      </x:c>
      <x:c r="X1468" t="n">
        <x:v>0</x:v>
      </x:c>
      <x:c r="Y1468" t="n">
        <x:v>0</x:v>
      </x:c>
      <x:c r="Z1468" t="n">
        <x:v>0</x:v>
      </x:c>
      <x:c r="AA1468" t="n">
        <x:v>1</x:v>
      </x:c>
      <x:c r="AB1468" t="n">
        <x:v>5</x:v>
      </x:c>
      <x:c r="AC1468" t="n">
        <x:v>0</x:v>
      </x:c>
      <x:c r="AD1468" t="n">
        <x:v>-0.7561500197043642</x:v>
      </x:c>
      <x:c r="AE1468" t="n">
        <x:v>0</x:v>
      </x:c>
      <x:c r="AF1468" t="n">
        <x:v>-0.015908241271972656</x:v>
      </x:c>
      <x:c r="AG1468" t="n">
        <x:f>_xlfn.XLOOKUP($A1468,Games!$A$2:$A$18,Games!$B$2:$B$18,"Missing game",0)</x:f>
        <x:v>2025</x:v>
      </x:c>
      <x:c r="AH1468" t="str">
        <x:f>_xlfn.XLOOKUP($A1468,Games!$A$2:$A$18,Games!$C$2:$C$18,"Missing game",0)</x:f>
        <x:v>REG</x:v>
      </x:c>
      <x:c r="AI1468" t="n">
        <x:f>_xlfn.XLOOKUP($A1468,Games!$A$2:$A$18,Games!$D$2:$D$18,"Missing game",0)</x:f>
        <x:v>10</x:v>
      </x:c>
      <x:c r="AJ1468" s="1" t="n">
        <x:f>_xlfn.XLOOKUP($A1468,Games!$A$2:$A$18,Games!$E$2:$E$18,"Missing game",0)</x:f>
        <x:v>45970</x:v>
      </x:c>
      <x:c r="AK1468" t="str">
        <x:f>_xlfn.XLOOKUP($A1468,Games!$A$2:$A$18,Games!$F$2:$F$18,"Missing game",0)</x:f>
        <x:v>Sunday</x:v>
      </x:c>
      <x:c r="AL1468" t="str">
        <x:f>_xlfn.XLOOKUP($A1468,Games!$A$2:$A$18,Games!$G$2:$G$18,"Missing game",0)</x:f>
        <x:v>BAL</x:v>
      </x:c>
      <x:c r="AM1468" t="n">
        <x:f>_xlfn.XLOOKUP($A1468,Games!$A$2:$A$18,Games!$H$2:$H$18,"Missing game",0)</x:f>
        <x:v>27</x:v>
      </x:c>
      <x:c r="AN1468" t="str">
        <x:f>_xlfn.XLOOKUP($A1468,Games!$A$2:$A$18,Games!$I$2:$I$18,"Missing game",0)</x:f>
        <x:v>MIN</x:v>
      </x:c>
      <x:c r="AO1468" t="n">
        <x:f>_xlfn.XLOOKUP($A1468,Games!$A$2:$A$18,Games!$J$2:$J$18,"Missing game",0)</x:f>
        <x:v>19</x:v>
      </x:c>
      <x:c r="AP1468" t="n">
        <x:f>_xlfn.XLOOKUP($A1468,Games!$A$2:$A$18,Games!$K$2:$K$18,"Missing game",0)</x:f>
        <x:v>-8</x:v>
      </x:c>
      <x:c r="AQ1468" t="n">
        <x:f>_xlfn.XLOOKUP($A1468,Games!$A$2:$A$18,Games!$L$2:$L$18,"Missing game",0)</x:f>
        <x:v>46</x:v>
      </x:c>
      <x:c r="AR1468" t="n">
        <x:f>_xlfn.XLOOKUP($A1468,Games!$A$2:$A$18,Games!$M$2:$M$18,"Missing game",0)</x:f>
        <x:v>0</x:v>
      </x:c>
      <x:c r="AS1468" t="str">
        <x:f>_xlfn.XLOOKUP($A1468,Games!$A$2:$A$18,Games!$N$2:$N$18,"Missing game",0)</x:f>
        <x:v>dome</x:v>
      </x:c>
      <x:c r="AT1468" t="str">
        <x:f>_xlfn.XLOOKUP($A1468,Games!$A$2:$A$18,Games!$O$2:$O$18,"Missing game",0)</x:f>
        <x:v>sportturf</x:v>
      </x:c>
      <x:c r="AU1468" t="str">
        <x:f>_xlfn.XLOOKUP($A1468,Games!$A$2:$A$18,Games!$P$2:$P$18,"Missing game",0)</x:f>
      </x:c>
      <x:c r="AV1468" t="str">
        <x:f>_xlfn.XLOOKUP($A1468,Games!$A$2:$A$18,Games!$Q$2:$Q$18,"Missing game",0)</x:f>
      </x:c>
      <x:c r="AW1468" t="str">
        <x:f>_xlfn.XLOOKUP($A1468,Games!$A$2:$A$18,Games!$R$2:$R$18,"Missing game",0)</x:f>
        <x:v>U.S. Bank Stadium</x:v>
      </x:c>
    </x:row>
    <x:row r="1469">
      <x:c r="A1469" t="str">
        <x:v>2025_10_BAL_MIN</x:v>
      </x:c>
      <x:c r="B1469" t="n">
        <x:v>2976</x:v>
      </x:c>
      <x:c r="C1469" t="n">
        <x:v>3</x:v>
      </x:c>
      <x:c r="D1469" t="str">
        <x:v>02:34</x:v>
      </x:c>
      <x:c r="E1469" t="n">
        <x:v>1</x:v>
      </x:c>
      <x:c r="F1469" t="n">
        <x:v>15</x:v>
      </x:c>
      <x:c r="G1469" t="str">
        <x:v>MIN</x:v>
      </x:c>
      <x:c r="H1469" t="str">
        <x:v>BAL</x:v>
      </x:c>
      <x:c r="I1469" t="str">
        <x:v>BAL</x:v>
      </x:c>
      <x:c r="J1469" t="n">
        <x:v>25</x:v>
      </x:c>
      <x:c r="K1469" t="str">
        <x:v>(2:34) (Shotgun) 9-J.McCarthy pass incomplete short left to 33-A.Jones.</x:v>
      </x:c>
      <x:c r="L1469" t="str">
        <x:v>pass</x:v>
      </x:c>
      <x:c r="M1469" t="n">
        <x:v>0</x:v>
      </x:c>
      <x:c r="N1469" t="n">
        <x:v>1</x:v>
      </x:c>
      <x:c r="O1469" t="n">
        <x:v>0</x:v>
      </x:c>
      <x:c r="P1469" t="str">
        <x:v>short</x:v>
      </x:c>
      <x:c r="Q1469" t="str">
        <x:v>left</x:v>
      </x:c>
      <x:c r="R1469" t="n">
        <x:v>-6</x:v>
      </x:c>
      <x:c r="S1469"/>
      <x:c r="T1469"/>
      <x:c r="U1469"/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0</x:v>
      </x:c>
      <x:c r="AB1469"/>
      <x:c r="AC1469" t="n">
        <x:v>0</x:v>
      </x:c>
      <x:c r="AD1469" t="n">
        <x:v>-0.5285087218508124</x:v>
      </x:c>
      <x:c r="AE1469" t="n">
        <x:v>0</x:v>
      </x:c>
      <x:c r="AF1469" t="n">
        <x:v>-0.01913309097290039</x:v>
      </x:c>
      <x:c r="AG1469" t="n">
        <x:f>_xlfn.XLOOKUP($A1469,Games!$A$2:$A$18,Games!$B$2:$B$18,"Missing game",0)</x:f>
        <x:v>2025</x:v>
      </x:c>
      <x:c r="AH1469" t="str">
        <x:f>_xlfn.XLOOKUP($A1469,Games!$A$2:$A$18,Games!$C$2:$C$18,"Missing game",0)</x:f>
        <x:v>REG</x:v>
      </x:c>
      <x:c r="AI1469" t="n">
        <x:f>_xlfn.XLOOKUP($A1469,Games!$A$2:$A$18,Games!$D$2:$D$18,"Missing game",0)</x:f>
        <x:v>10</x:v>
      </x:c>
      <x:c r="AJ1469" s="1" t="n">
        <x:f>_xlfn.XLOOKUP($A1469,Games!$A$2:$A$18,Games!$E$2:$E$18,"Missing game",0)</x:f>
        <x:v>45970</x:v>
      </x:c>
      <x:c r="AK1469" t="str">
        <x:f>_xlfn.XLOOKUP($A1469,Games!$A$2:$A$18,Games!$F$2:$F$18,"Missing game",0)</x:f>
        <x:v>Sunday</x:v>
      </x:c>
      <x:c r="AL1469" t="str">
        <x:f>_xlfn.XLOOKUP($A1469,Games!$A$2:$A$18,Games!$G$2:$G$18,"Missing game",0)</x:f>
        <x:v>BAL</x:v>
      </x:c>
      <x:c r="AM1469" t="n">
        <x:f>_xlfn.XLOOKUP($A1469,Games!$A$2:$A$18,Games!$H$2:$H$18,"Missing game",0)</x:f>
        <x:v>27</x:v>
      </x:c>
      <x:c r="AN1469" t="str">
        <x:f>_xlfn.XLOOKUP($A1469,Games!$A$2:$A$18,Games!$I$2:$I$18,"Missing game",0)</x:f>
        <x:v>MIN</x:v>
      </x:c>
      <x:c r="AO1469" t="n">
        <x:f>_xlfn.XLOOKUP($A1469,Games!$A$2:$A$18,Games!$J$2:$J$18,"Missing game",0)</x:f>
        <x:v>19</x:v>
      </x:c>
      <x:c r="AP1469" t="n">
        <x:f>_xlfn.XLOOKUP($A1469,Games!$A$2:$A$18,Games!$K$2:$K$18,"Missing game",0)</x:f>
        <x:v>-8</x:v>
      </x:c>
      <x:c r="AQ1469" t="n">
        <x:f>_xlfn.XLOOKUP($A1469,Games!$A$2:$A$18,Games!$L$2:$L$18,"Missing game",0)</x:f>
        <x:v>46</x:v>
      </x:c>
      <x:c r="AR1469" t="n">
        <x:f>_xlfn.XLOOKUP($A1469,Games!$A$2:$A$18,Games!$M$2:$M$18,"Missing game",0)</x:f>
        <x:v>0</x:v>
      </x:c>
      <x:c r="AS1469" t="str">
        <x:f>_xlfn.XLOOKUP($A1469,Games!$A$2:$A$18,Games!$N$2:$N$18,"Missing game",0)</x:f>
        <x:v>dome</x:v>
      </x:c>
      <x:c r="AT1469" t="str">
        <x:f>_xlfn.XLOOKUP($A1469,Games!$A$2:$A$18,Games!$O$2:$O$18,"Missing game",0)</x:f>
        <x:v>sportturf</x:v>
      </x:c>
      <x:c r="AU1469" t="str">
        <x:f>_xlfn.XLOOKUP($A1469,Games!$A$2:$A$18,Games!$P$2:$P$18,"Missing game",0)</x:f>
      </x:c>
      <x:c r="AV1469" t="str">
        <x:f>_xlfn.XLOOKUP($A1469,Games!$A$2:$A$18,Games!$Q$2:$Q$18,"Missing game",0)</x:f>
      </x:c>
      <x:c r="AW1469" t="str">
        <x:f>_xlfn.XLOOKUP($A1469,Games!$A$2:$A$18,Games!$R$2:$R$18,"Missing game",0)</x:f>
        <x:v>U.S. Bank Stadium</x:v>
      </x:c>
    </x:row>
    <x:row r="1470">
      <x:c r="A1470" t="str">
        <x:v>2025_10_BAL_MIN</x:v>
      </x:c>
      <x:c r="B1470" t="n">
        <x:v>3004</x:v>
      </x:c>
      <x:c r="C1470" t="n">
        <x:v>3</x:v>
      </x:c>
      <x:c r="D1470" t="str">
        <x:v>02:31</x:v>
      </x:c>
      <x:c r="E1470" t="n">
        <x:v>2</x:v>
      </x:c>
      <x:c r="F1470" t="n">
        <x:v>15</x:v>
      </x:c>
      <x:c r="G1470" t="str">
        <x:v>MIN</x:v>
      </x:c>
      <x:c r="H1470" t="str">
        <x:v>BAL</x:v>
      </x:c>
      <x:c r="I1470" t="str">
        <x:v>BAL</x:v>
      </x:c>
      <x:c r="J1470" t="n">
        <x:v>25</x:v>
      </x:c>
      <x:c r="K1470" t="str">
        <x:v>(2:31) (Shotgun) 9-J.McCarthy pass incomplete deep middle to 18-J.Jefferson (12-A.Gilman).</x:v>
      </x:c>
      <x:c r="L1470" t="str">
        <x:v>pass</x:v>
      </x:c>
      <x:c r="M1470" t="n">
        <x:v>0</x:v>
      </x:c>
      <x:c r="N1470" t="n">
        <x:v>1</x:v>
      </x:c>
      <x:c r="O1470" t="n">
        <x:v>0</x:v>
      </x:c>
      <x:c r="P1470" t="str">
        <x:v>deep</x:v>
      </x:c>
      <x:c r="Q1470" t="str">
        <x:v>middle</x:v>
      </x:c>
      <x:c r="R1470" t="n">
        <x:v>25</x:v>
      </x:c>
      <x:c r="S1470"/>
      <x:c r="T1470"/>
      <x:c r="U1470"/>
      <x:c r="V1470" t="n">
        <x:v>0</x:v>
      </x:c>
      <x:c r="W1470" t="n">
        <x:v>0</x:v>
      </x:c>
      <x:c r="X1470" t="n">
        <x:v>0</x:v>
      </x:c>
      <x:c r="Y1470" t="n">
        <x:v>0</x:v>
      </x:c>
      <x:c r="Z1470" t="n">
        <x:v>0</x:v>
      </x:c>
      <x:c r="AA1470" t="n">
        <x:v>0</x:v>
      </x:c>
      <x:c r="AB1470"/>
      <x:c r="AC1470" t="n">
        <x:v>0</x:v>
      </x:c>
      <x:c r="AD1470" t="n">
        <x:v>-0.7242125835036859</x:v>
      </x:c>
      <x:c r="AE1470" t="n">
        <x:v>0</x:v>
      </x:c>
      <x:c r="AF1470" t="n">
        <x:v>-0.030466750264167786</x:v>
      </x:c>
      <x:c r="AG1470" t="n">
        <x:f>_xlfn.XLOOKUP($A1470,Games!$A$2:$A$18,Games!$B$2:$B$18,"Missing game",0)</x:f>
        <x:v>2025</x:v>
      </x:c>
      <x:c r="AH1470" t="str">
        <x:f>_xlfn.XLOOKUP($A1470,Games!$A$2:$A$18,Games!$C$2:$C$18,"Missing game",0)</x:f>
        <x:v>REG</x:v>
      </x:c>
      <x:c r="AI1470" t="n">
        <x:f>_xlfn.XLOOKUP($A1470,Games!$A$2:$A$18,Games!$D$2:$D$18,"Missing game",0)</x:f>
        <x:v>10</x:v>
      </x:c>
      <x:c r="AJ1470" s="1" t="n">
        <x:f>_xlfn.XLOOKUP($A1470,Games!$A$2:$A$18,Games!$E$2:$E$18,"Missing game",0)</x:f>
        <x:v>45970</x:v>
      </x:c>
      <x:c r="AK1470" t="str">
        <x:f>_xlfn.XLOOKUP($A1470,Games!$A$2:$A$18,Games!$F$2:$F$18,"Missing game",0)</x:f>
        <x:v>Sunday</x:v>
      </x:c>
      <x:c r="AL1470" t="str">
        <x:f>_xlfn.XLOOKUP($A1470,Games!$A$2:$A$18,Games!$G$2:$G$18,"Missing game",0)</x:f>
        <x:v>BAL</x:v>
      </x:c>
      <x:c r="AM1470" t="n">
        <x:f>_xlfn.XLOOKUP($A1470,Games!$A$2:$A$18,Games!$H$2:$H$18,"Missing game",0)</x:f>
        <x:v>27</x:v>
      </x:c>
      <x:c r="AN1470" t="str">
        <x:f>_xlfn.XLOOKUP($A1470,Games!$A$2:$A$18,Games!$I$2:$I$18,"Missing game",0)</x:f>
        <x:v>MIN</x:v>
      </x:c>
      <x:c r="AO1470" t="n">
        <x:f>_xlfn.XLOOKUP($A1470,Games!$A$2:$A$18,Games!$J$2:$J$18,"Missing game",0)</x:f>
        <x:v>19</x:v>
      </x:c>
      <x:c r="AP1470" t="n">
        <x:f>_xlfn.XLOOKUP($A1470,Games!$A$2:$A$18,Games!$K$2:$K$18,"Missing game",0)</x:f>
        <x:v>-8</x:v>
      </x:c>
      <x:c r="AQ1470" t="n">
        <x:f>_xlfn.XLOOKUP($A1470,Games!$A$2:$A$18,Games!$L$2:$L$18,"Missing game",0)</x:f>
        <x:v>46</x:v>
      </x:c>
      <x:c r="AR1470" t="n">
        <x:f>_xlfn.XLOOKUP($A1470,Games!$A$2:$A$18,Games!$M$2:$M$18,"Missing game",0)</x:f>
        <x:v>0</x:v>
      </x:c>
      <x:c r="AS1470" t="str">
        <x:f>_xlfn.XLOOKUP($A1470,Games!$A$2:$A$18,Games!$N$2:$N$18,"Missing game",0)</x:f>
        <x:v>dome</x:v>
      </x:c>
      <x:c r="AT1470" t="str">
        <x:f>_xlfn.XLOOKUP($A1470,Games!$A$2:$A$18,Games!$O$2:$O$18,"Missing game",0)</x:f>
        <x:v>sportturf</x:v>
      </x:c>
      <x:c r="AU1470" t="str">
        <x:f>_xlfn.XLOOKUP($A1470,Games!$A$2:$A$18,Games!$P$2:$P$18,"Missing game",0)</x:f>
      </x:c>
      <x:c r="AV1470" t="str">
        <x:f>_xlfn.XLOOKUP($A1470,Games!$A$2:$A$18,Games!$Q$2:$Q$18,"Missing game",0)</x:f>
      </x:c>
      <x:c r="AW1470" t="str">
        <x:f>_xlfn.XLOOKUP($A1470,Games!$A$2:$A$18,Games!$R$2:$R$18,"Missing game",0)</x:f>
        <x:v>U.S. Bank Stadium</x:v>
      </x:c>
    </x:row>
    <x:row r="1471">
      <x:c r="A1471" t="str">
        <x:v>2025_10_BAL_MIN</x:v>
      </x:c>
      <x:c r="B1471" t="n">
        <x:v>3027</x:v>
      </x:c>
      <x:c r="C1471" t="n">
        <x:v>3</x:v>
      </x:c>
      <x:c r="D1471" t="str">
        <x:v>02:26</x:v>
      </x:c>
      <x:c r="E1471" t="n">
        <x:v>3</x:v>
      </x:c>
      <x:c r="F1471" t="n">
        <x:v>15</x:v>
      </x:c>
      <x:c r="G1471" t="str">
        <x:v>MIN</x:v>
      </x:c>
      <x:c r="H1471" t="str">
        <x:v>BAL</x:v>
      </x:c>
      <x:c r="I1471" t="str">
        <x:v>BAL</x:v>
      </x:c>
      <x:c r="J1471" t="n">
        <x:v>25</x:v>
      </x:c>
      <x:c r="K1471" t="str">
        <x:v>(2:26) (Shotgun) 9-J.McCarthy pass incomplete deep left to 18-J.Jefferson.</x:v>
      </x:c>
      <x:c r="L1471" t="str">
        <x:v>pass</x:v>
      </x:c>
      <x:c r="M1471" t="n">
        <x:v>0</x:v>
      </x:c>
      <x:c r="N1471" t="n">
        <x:v>1</x:v>
      </x:c>
      <x:c r="O1471" t="n">
        <x:v>0</x:v>
      </x:c>
      <x:c r="P1471" t="str">
        <x:v>deep</x:v>
      </x:c>
      <x:c r="Q1471" t="str">
        <x:v>left</x:v>
      </x:c>
      <x:c r="R1471" t="n">
        <x:v>25</x:v>
      </x:c>
      <x:c r="S1471"/>
      <x:c r="T1471"/>
      <x:c r="U1471"/>
      <x:c r="V1471" t="n">
        <x:v>0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0</x:v>
      </x:c>
      <x:c r="AB1471"/>
      <x:c r="AC1471" t="n">
        <x:v>0</x:v>
      </x:c>
      <x:c r="AD1471" t="n">
        <x:v>-1.0107742588636373</x:v>
      </x:c>
      <x:c r="AE1471" t="n">
        <x:v>0</x:v>
      </x:c>
      <x:c r="AF1471" t="n">
        <x:v>-0.05521091818809509</x:v>
      </x:c>
      <x:c r="AG1471" t="n">
        <x:f>_xlfn.XLOOKUP($A1471,Games!$A$2:$A$18,Games!$B$2:$B$18,"Missing game",0)</x:f>
        <x:v>2025</x:v>
      </x:c>
      <x:c r="AH1471" t="str">
        <x:f>_xlfn.XLOOKUP($A1471,Games!$A$2:$A$18,Games!$C$2:$C$18,"Missing game",0)</x:f>
        <x:v>REG</x:v>
      </x:c>
      <x:c r="AI1471" t="n">
        <x:f>_xlfn.XLOOKUP($A1471,Games!$A$2:$A$18,Games!$D$2:$D$18,"Missing game",0)</x:f>
        <x:v>10</x:v>
      </x:c>
      <x:c r="AJ1471" s="1" t="n">
        <x:f>_xlfn.XLOOKUP($A1471,Games!$A$2:$A$18,Games!$E$2:$E$18,"Missing game",0)</x:f>
        <x:v>45970</x:v>
      </x:c>
      <x:c r="AK1471" t="str">
        <x:f>_xlfn.XLOOKUP($A1471,Games!$A$2:$A$18,Games!$F$2:$F$18,"Missing game",0)</x:f>
        <x:v>Sunday</x:v>
      </x:c>
      <x:c r="AL1471" t="str">
        <x:f>_xlfn.XLOOKUP($A1471,Games!$A$2:$A$18,Games!$G$2:$G$18,"Missing game",0)</x:f>
        <x:v>BAL</x:v>
      </x:c>
      <x:c r="AM1471" t="n">
        <x:f>_xlfn.XLOOKUP($A1471,Games!$A$2:$A$18,Games!$H$2:$H$18,"Missing game",0)</x:f>
        <x:v>27</x:v>
      </x:c>
      <x:c r="AN1471" t="str">
        <x:f>_xlfn.XLOOKUP($A1471,Games!$A$2:$A$18,Games!$I$2:$I$18,"Missing game",0)</x:f>
        <x:v>MIN</x:v>
      </x:c>
      <x:c r="AO1471" t="n">
        <x:f>_xlfn.XLOOKUP($A1471,Games!$A$2:$A$18,Games!$J$2:$J$18,"Missing game",0)</x:f>
        <x:v>19</x:v>
      </x:c>
      <x:c r="AP1471" t="n">
        <x:f>_xlfn.XLOOKUP($A1471,Games!$A$2:$A$18,Games!$K$2:$K$18,"Missing game",0)</x:f>
        <x:v>-8</x:v>
      </x:c>
      <x:c r="AQ1471" t="n">
        <x:f>_xlfn.XLOOKUP($A1471,Games!$A$2:$A$18,Games!$L$2:$L$18,"Missing game",0)</x:f>
        <x:v>46</x:v>
      </x:c>
      <x:c r="AR1471" t="n">
        <x:f>_xlfn.XLOOKUP($A1471,Games!$A$2:$A$18,Games!$M$2:$M$18,"Missing game",0)</x:f>
        <x:v>0</x:v>
      </x:c>
      <x:c r="AS1471" t="str">
        <x:f>_xlfn.XLOOKUP($A1471,Games!$A$2:$A$18,Games!$N$2:$N$18,"Missing game",0)</x:f>
        <x:v>dome</x:v>
      </x:c>
      <x:c r="AT1471" t="str">
        <x:f>_xlfn.XLOOKUP($A1471,Games!$A$2:$A$18,Games!$O$2:$O$18,"Missing game",0)</x:f>
        <x:v>sportturf</x:v>
      </x:c>
      <x:c r="AU1471" t="str">
        <x:f>_xlfn.XLOOKUP($A1471,Games!$A$2:$A$18,Games!$P$2:$P$18,"Missing game",0)</x:f>
      </x:c>
      <x:c r="AV1471" t="str">
        <x:f>_xlfn.XLOOKUP($A1471,Games!$A$2:$A$18,Games!$Q$2:$Q$18,"Missing game",0)</x:f>
      </x:c>
      <x:c r="AW1471" t="str">
        <x:f>_xlfn.XLOOKUP($A1471,Games!$A$2:$A$18,Games!$R$2:$R$18,"Missing game",0)</x:f>
        <x:v>U.S. Bank Stadium</x:v>
      </x:c>
    </x:row>
    <x:row r="1472">
      <x:c r="A1472" t="str">
        <x:v>2025_10_BAL_MIN</x:v>
      </x:c>
      <x:c r="B1472" t="n">
        <x:v>3050</x:v>
      </x:c>
      <x:c r="C1472" t="n">
        <x:v>3</x:v>
      </x:c>
      <x:c r="D1472" t="str">
        <x:v>02:20</x:v>
      </x:c>
      <x:c r="E1472" t="n">
        <x:v>4</x:v>
      </x:c>
      <x:c r="F1472" t="n">
        <x:v>15</x:v>
      </x:c>
      <x:c r="G1472" t="str">
        <x:v>MIN</x:v>
      </x:c>
      <x:c r="H1472" t="str">
        <x:v>BAL</x:v>
      </x:c>
      <x:c r="I1472" t="str">
        <x:v>BAL</x:v>
      </x:c>
      <x:c r="J1472" t="n">
        <x:v>25</x:v>
      </x:c>
      <x:c r="K1472" t="str">
        <x:v>(2:20) 16-W.Reichard 43 yard field goal is GOOD, Center-42-A.DePaola, Holder-17-R.Wright.</x:v>
      </x:c>
      <x:c r="L1472" t="str">
        <x:v>field_goal</x:v>
      </x:c>
      <x:c r="M1472" t="n">
        <x:v>0</x:v>
      </x:c>
      <x:c r="N1472" t="n">
        <x:v>0</x:v>
      </x:c>
      <x:c r="O1472" t="n">
        <x:v>0</x:v>
      </x:c>
      <x:c r="P1472"/>
      <x:c r="Q1472"/>
      <x:c r="R1472"/>
      <x:c r="S1472"/>
      <x:c r="T1472"/>
      <x:c r="U1472"/>
      <x:c r="V1472" t="n">
        <x:v>0</x:v>
      </x:c>
      <x:c r="W1472" t="n">
        <x:v>0</x:v>
      </x:c>
      <x:c r="X1472" t="n">
        <x:v>0</x:v>
      </x:c>
      <x:c r="Y1472" t="n">
        <x:v>0</x:v>
      </x:c>
      <x:c r="Z1472" t="n">
        <x:v>0</x:v>
      </x:c>
      <x:c r="AA1472" t="n">
        <x:v>0</x:v>
      </x:c>
      <x:c r="AB1472"/>
      <x:c r="AC1472" t="n">
        <x:v>0</x:v>
      </x:c>
      <x:c r="AD1472" t="n">
        <x:v>1.051181362932073</x:v>
      </x:c>
      <x:c r="AE1472" t="n">
        <x:v>1</x:v>
      </x:c>
      <x:c r="AF1472" t="n">
        <x:v>0.039850518107414246</x:v>
      </x:c>
      <x:c r="AG1472" t="n">
        <x:f>_xlfn.XLOOKUP($A1472,Games!$A$2:$A$18,Games!$B$2:$B$18,"Missing game",0)</x:f>
        <x:v>2025</x:v>
      </x:c>
      <x:c r="AH1472" t="str">
        <x:f>_xlfn.XLOOKUP($A1472,Games!$A$2:$A$18,Games!$C$2:$C$18,"Missing game",0)</x:f>
        <x:v>REG</x:v>
      </x:c>
      <x:c r="AI1472" t="n">
        <x:f>_xlfn.XLOOKUP($A1472,Games!$A$2:$A$18,Games!$D$2:$D$18,"Missing game",0)</x:f>
        <x:v>10</x:v>
      </x:c>
      <x:c r="AJ1472" s="1" t="n">
        <x:f>_xlfn.XLOOKUP($A1472,Games!$A$2:$A$18,Games!$E$2:$E$18,"Missing game",0)</x:f>
        <x:v>45970</x:v>
      </x:c>
      <x:c r="AK1472" t="str">
        <x:f>_xlfn.XLOOKUP($A1472,Games!$A$2:$A$18,Games!$F$2:$F$18,"Missing game",0)</x:f>
        <x:v>Sunday</x:v>
      </x:c>
      <x:c r="AL1472" t="str">
        <x:f>_xlfn.XLOOKUP($A1472,Games!$A$2:$A$18,Games!$G$2:$G$18,"Missing game",0)</x:f>
        <x:v>BAL</x:v>
      </x:c>
      <x:c r="AM1472" t="n">
        <x:f>_xlfn.XLOOKUP($A1472,Games!$A$2:$A$18,Games!$H$2:$H$18,"Missing game",0)</x:f>
        <x:v>27</x:v>
      </x:c>
      <x:c r="AN1472" t="str">
        <x:f>_xlfn.XLOOKUP($A1472,Games!$A$2:$A$18,Games!$I$2:$I$18,"Missing game",0)</x:f>
        <x:v>MIN</x:v>
      </x:c>
      <x:c r="AO1472" t="n">
        <x:f>_xlfn.XLOOKUP($A1472,Games!$A$2:$A$18,Games!$J$2:$J$18,"Missing game",0)</x:f>
        <x:v>19</x:v>
      </x:c>
      <x:c r="AP1472" t="n">
        <x:f>_xlfn.XLOOKUP($A1472,Games!$A$2:$A$18,Games!$K$2:$K$18,"Missing game",0)</x:f>
        <x:v>-8</x:v>
      </x:c>
      <x:c r="AQ1472" t="n">
        <x:f>_xlfn.XLOOKUP($A1472,Games!$A$2:$A$18,Games!$L$2:$L$18,"Missing game",0)</x:f>
        <x:v>46</x:v>
      </x:c>
      <x:c r="AR1472" t="n">
        <x:f>_xlfn.XLOOKUP($A1472,Games!$A$2:$A$18,Games!$M$2:$M$18,"Missing game",0)</x:f>
        <x:v>0</x:v>
      </x:c>
      <x:c r="AS1472" t="str">
        <x:f>_xlfn.XLOOKUP($A1472,Games!$A$2:$A$18,Games!$N$2:$N$18,"Missing game",0)</x:f>
        <x:v>dome</x:v>
      </x:c>
      <x:c r="AT1472" t="str">
        <x:f>_xlfn.XLOOKUP($A1472,Games!$A$2:$A$18,Games!$O$2:$O$18,"Missing game",0)</x:f>
        <x:v>sportturf</x:v>
      </x:c>
      <x:c r="AU1472" t="str">
        <x:f>_xlfn.XLOOKUP($A1472,Games!$A$2:$A$18,Games!$P$2:$P$18,"Missing game",0)</x:f>
      </x:c>
      <x:c r="AV1472" t="str">
        <x:f>_xlfn.XLOOKUP($A1472,Games!$A$2:$A$18,Games!$Q$2:$Q$18,"Missing game",0)</x:f>
      </x:c>
      <x:c r="AW1472" t="str">
        <x:f>_xlfn.XLOOKUP($A1472,Games!$A$2:$A$18,Games!$R$2:$R$18,"Missing game",0)</x:f>
        <x:v>U.S. Bank Stadium</x:v>
      </x:c>
    </x:row>
    <x:row r="1473">
      <x:c r="A1473" t="str">
        <x:v>2025_10_BAL_MIN</x:v>
      </x:c>
      <x:c r="B1473" t="n">
        <x:v>3070</x:v>
      </x:c>
      <x:c r="C1473" t="n">
        <x:v>3</x:v>
      </x:c>
      <x:c r="D1473" t="str">
        <x:v>02:16</x:v>
      </x:c>
      <x:c r="E1473"/>
      <x:c r="F1473" t="n">
        <x:v>0</x:v>
      </x:c>
      <x:c r="G1473" t="str">
        <x:v>BAL</x:v>
      </x:c>
      <x:c r="H1473" t="str">
        <x:v>MIN</x:v>
      </x:c>
      <x:c r="I1473" t="str">
        <x:v>MIN</x:v>
      </x:c>
      <x:c r="J1473" t="n">
        <x:v>35</x:v>
      </x:c>
      <x:c r="K1473" t="str">
        <x:v>16-W.Reichard kicks 61 yards from MIN 35 to BAL 4. 83-L.Wester to BAL 33 for 29 yards (30-C.Ham).</x:v>
      </x:c>
      <x:c r="L1473" t="str">
        <x:v>kickoff</x:v>
      </x:c>
      <x:c r="M1473" t="n">
        <x:v>0</x:v>
      </x:c>
      <x:c r="N1473" t="n">
        <x:v>0</x:v>
      </x:c>
      <x:c r="O1473" t="n">
        <x:v>0</x:v>
      </x:c>
      <x:c r="P1473"/>
      <x:c r="Q1473"/>
      <x:c r="R1473"/>
      <x:c r="S1473"/>
      <x:c r="T1473"/>
      <x:c r="U1473"/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0</x:v>
      </x:c>
      <x:c r="AB1473"/>
      <x:c r="AC1473" t="n">
        <x:v>0</x:v>
      </x:c>
      <x:c r="AD1473" t="n">
        <x:v>0.4452688447199762</x:v>
      </x:c>
      <x:c r="AE1473" t="n">
        <x:v>1</x:v>
      </x:c>
      <x:c r="AF1473" t="n">
        <x:v>0.016934990882873535</x:v>
      </x:c>
      <x:c r="AG1473" t="n">
        <x:f>_xlfn.XLOOKUP($A1473,Games!$A$2:$A$18,Games!$B$2:$B$18,"Missing game",0)</x:f>
        <x:v>2025</x:v>
      </x:c>
      <x:c r="AH1473" t="str">
        <x:f>_xlfn.XLOOKUP($A1473,Games!$A$2:$A$18,Games!$C$2:$C$18,"Missing game",0)</x:f>
        <x:v>REG</x:v>
      </x:c>
      <x:c r="AI1473" t="n">
        <x:f>_xlfn.XLOOKUP($A1473,Games!$A$2:$A$18,Games!$D$2:$D$18,"Missing game",0)</x:f>
        <x:v>10</x:v>
      </x:c>
      <x:c r="AJ1473" s="1" t="n">
        <x:f>_xlfn.XLOOKUP($A1473,Games!$A$2:$A$18,Games!$E$2:$E$18,"Missing game",0)</x:f>
        <x:v>45970</x:v>
      </x:c>
      <x:c r="AK1473" t="str">
        <x:f>_xlfn.XLOOKUP($A1473,Games!$A$2:$A$18,Games!$F$2:$F$18,"Missing game",0)</x:f>
        <x:v>Sunday</x:v>
      </x:c>
      <x:c r="AL1473" t="str">
        <x:f>_xlfn.XLOOKUP($A1473,Games!$A$2:$A$18,Games!$G$2:$G$18,"Missing game",0)</x:f>
        <x:v>BAL</x:v>
      </x:c>
      <x:c r="AM1473" t="n">
        <x:f>_xlfn.XLOOKUP($A1473,Games!$A$2:$A$18,Games!$H$2:$H$18,"Missing game",0)</x:f>
        <x:v>27</x:v>
      </x:c>
      <x:c r="AN1473" t="str">
        <x:f>_xlfn.XLOOKUP($A1473,Games!$A$2:$A$18,Games!$I$2:$I$18,"Missing game",0)</x:f>
        <x:v>MIN</x:v>
      </x:c>
      <x:c r="AO1473" t="n">
        <x:f>_xlfn.XLOOKUP($A1473,Games!$A$2:$A$18,Games!$J$2:$J$18,"Missing game",0)</x:f>
        <x:v>19</x:v>
      </x:c>
      <x:c r="AP1473" t="n">
        <x:f>_xlfn.XLOOKUP($A1473,Games!$A$2:$A$18,Games!$K$2:$K$18,"Missing game",0)</x:f>
        <x:v>-8</x:v>
      </x:c>
      <x:c r="AQ1473" t="n">
        <x:f>_xlfn.XLOOKUP($A1473,Games!$A$2:$A$18,Games!$L$2:$L$18,"Missing game",0)</x:f>
        <x:v>46</x:v>
      </x:c>
      <x:c r="AR1473" t="n">
        <x:f>_xlfn.XLOOKUP($A1473,Games!$A$2:$A$18,Games!$M$2:$M$18,"Missing game",0)</x:f>
        <x:v>0</x:v>
      </x:c>
      <x:c r="AS1473" t="str">
        <x:f>_xlfn.XLOOKUP($A1473,Games!$A$2:$A$18,Games!$N$2:$N$18,"Missing game",0)</x:f>
        <x:v>dome</x:v>
      </x:c>
      <x:c r="AT1473" t="str">
        <x:f>_xlfn.XLOOKUP($A1473,Games!$A$2:$A$18,Games!$O$2:$O$18,"Missing game",0)</x:f>
        <x:v>sportturf</x:v>
      </x:c>
      <x:c r="AU1473" t="str">
        <x:f>_xlfn.XLOOKUP($A1473,Games!$A$2:$A$18,Games!$P$2:$P$18,"Missing game",0)</x:f>
      </x:c>
      <x:c r="AV1473" t="str">
        <x:f>_xlfn.XLOOKUP($A1473,Games!$A$2:$A$18,Games!$Q$2:$Q$18,"Missing game",0)</x:f>
      </x:c>
      <x:c r="AW1473" t="str">
        <x:f>_xlfn.XLOOKUP($A1473,Games!$A$2:$A$18,Games!$R$2:$R$18,"Missing game",0)</x:f>
        <x:v>U.S. Bank Stadium</x:v>
      </x:c>
    </x:row>
    <x:row r="1474">
      <x:c r="A1474" t="str">
        <x:v>2025_10_BAL_MIN</x:v>
      </x:c>
      <x:c r="B1474" t="n">
        <x:v>3093</x:v>
      </x:c>
      <x:c r="C1474" t="n">
        <x:v>3</x:v>
      </x:c>
      <x:c r="D1474" t="str">
        <x:v>02:10</x:v>
      </x:c>
      <x:c r="E1474" t="n">
        <x:v>1</x:v>
      </x:c>
      <x:c r="F1474" t="n">
        <x:v>10</x:v>
      </x:c>
      <x:c r="G1474" t="str">
        <x:v>BAL</x:v>
      </x:c>
      <x:c r="H1474" t="str">
        <x:v>MIN</x:v>
      </x:c>
      <x:c r="I1474" t="str">
        <x:v>BAL</x:v>
      </x:c>
      <x:c r="J1474" t="n">
        <x:v>67</x:v>
      </x:c>
      <x:c r="K1474" t="str">
        <x:v>(2:10) 8-L.Jackson pass short right to 22-D.Henry to BAL 41 for 8 yards (44-J.Metellus; 51-B.Cashman).</x:v>
      </x:c>
      <x:c r="L1474" t="str">
        <x:v>pass</x:v>
      </x:c>
      <x:c r="M1474" t="n">
        <x:v>8</x:v>
      </x:c>
      <x:c r="N1474" t="n">
        <x:v>0</x:v>
      </x:c>
      <x:c r="O1474" t="n">
        <x:v>0</x:v>
      </x:c>
      <x:c r="P1474" t="str">
        <x:v>short</x:v>
      </x:c>
      <x:c r="Q1474" t="str">
        <x:v>right</x:v>
      </x:c>
      <x:c r="R1474" t="n">
        <x:v>1</x:v>
      </x:c>
      <x:c r="S1474" t="n">
        <x:v>7</x:v>
      </x:c>
      <x:c r="T1474"/>
      <x:c r="U1474"/>
      <x:c r="V1474" t="n">
        <x:v>1</x:v>
      </x:c>
      <x:c r="W1474" t="n">
        <x:v>0</x:v>
      </x:c>
      <x:c r="X1474" t="n">
        <x:v>0</x:v>
      </x:c>
      <x:c r="Y1474" t="n">
        <x:v>0</x:v>
      </x:c>
      <x:c r="Z1474" t="n">
        <x:v>0</x:v>
      </x:c>
      <x:c r="AA1474" t="n">
        <x:v>0</x:v>
      </x:c>
      <x:c r="AB1474"/>
      <x:c r="AC1474" t="n">
        <x:v>0</x:v>
      </x:c>
      <x:c r="AD1474" t="n">
        <x:v>0.4920415123924613</x:v>
      </x:c>
      <x:c r="AE1474" t="n">
        <x:v>1</x:v>
      </x:c>
      <x:c r="AF1474" t="n">
        <x:v>0.027501285076141357</x:v>
      </x:c>
      <x:c r="AG1474" t="n">
        <x:f>_xlfn.XLOOKUP($A1474,Games!$A$2:$A$18,Games!$B$2:$B$18,"Missing game",0)</x:f>
        <x:v>2025</x:v>
      </x:c>
      <x:c r="AH1474" t="str">
        <x:f>_xlfn.XLOOKUP($A1474,Games!$A$2:$A$18,Games!$C$2:$C$18,"Missing game",0)</x:f>
        <x:v>REG</x:v>
      </x:c>
      <x:c r="AI1474" t="n">
        <x:f>_xlfn.XLOOKUP($A1474,Games!$A$2:$A$18,Games!$D$2:$D$18,"Missing game",0)</x:f>
        <x:v>10</x:v>
      </x:c>
      <x:c r="AJ1474" s="1" t="n">
        <x:f>_xlfn.XLOOKUP($A1474,Games!$A$2:$A$18,Games!$E$2:$E$18,"Missing game",0)</x:f>
        <x:v>45970</x:v>
      </x:c>
      <x:c r="AK1474" t="str">
        <x:f>_xlfn.XLOOKUP($A1474,Games!$A$2:$A$18,Games!$F$2:$F$18,"Missing game",0)</x:f>
        <x:v>Sunday</x:v>
      </x:c>
      <x:c r="AL1474" t="str">
        <x:f>_xlfn.XLOOKUP($A1474,Games!$A$2:$A$18,Games!$G$2:$G$18,"Missing game",0)</x:f>
        <x:v>BAL</x:v>
      </x:c>
      <x:c r="AM1474" t="n">
        <x:f>_xlfn.XLOOKUP($A1474,Games!$A$2:$A$18,Games!$H$2:$H$18,"Missing game",0)</x:f>
        <x:v>27</x:v>
      </x:c>
      <x:c r="AN1474" t="str">
        <x:f>_xlfn.XLOOKUP($A1474,Games!$A$2:$A$18,Games!$I$2:$I$18,"Missing game",0)</x:f>
        <x:v>MIN</x:v>
      </x:c>
      <x:c r="AO1474" t="n">
        <x:f>_xlfn.XLOOKUP($A1474,Games!$A$2:$A$18,Games!$J$2:$J$18,"Missing game",0)</x:f>
        <x:v>19</x:v>
      </x:c>
      <x:c r="AP1474" t="n">
        <x:f>_xlfn.XLOOKUP($A1474,Games!$A$2:$A$18,Games!$K$2:$K$18,"Missing game",0)</x:f>
        <x:v>-8</x:v>
      </x:c>
      <x:c r="AQ1474" t="n">
        <x:f>_xlfn.XLOOKUP($A1474,Games!$A$2:$A$18,Games!$L$2:$L$18,"Missing game",0)</x:f>
        <x:v>46</x:v>
      </x:c>
      <x:c r="AR1474" t="n">
        <x:f>_xlfn.XLOOKUP($A1474,Games!$A$2:$A$18,Games!$M$2:$M$18,"Missing game",0)</x:f>
        <x:v>0</x:v>
      </x:c>
      <x:c r="AS1474" t="str">
        <x:f>_xlfn.XLOOKUP($A1474,Games!$A$2:$A$18,Games!$N$2:$N$18,"Missing game",0)</x:f>
        <x:v>dome</x:v>
      </x:c>
      <x:c r="AT1474" t="str">
        <x:f>_xlfn.XLOOKUP($A1474,Games!$A$2:$A$18,Games!$O$2:$O$18,"Missing game",0)</x:f>
        <x:v>sportturf</x:v>
      </x:c>
      <x:c r="AU1474" t="str">
        <x:f>_xlfn.XLOOKUP($A1474,Games!$A$2:$A$18,Games!$P$2:$P$18,"Missing game",0)</x:f>
      </x:c>
      <x:c r="AV1474" t="str">
        <x:f>_xlfn.XLOOKUP($A1474,Games!$A$2:$A$18,Games!$Q$2:$Q$18,"Missing game",0)</x:f>
      </x:c>
      <x:c r="AW1474" t="str">
        <x:f>_xlfn.XLOOKUP($A1474,Games!$A$2:$A$18,Games!$R$2:$R$18,"Missing game",0)</x:f>
        <x:v>U.S. Bank Stadium</x:v>
      </x:c>
    </x:row>
    <x:row r="1475">
      <x:c r="A1475" t="str">
        <x:v>2025_10_BAL_MIN</x:v>
      </x:c>
      <x:c r="B1475" t="n">
        <x:v>3118</x:v>
      </x:c>
      <x:c r="C1475" t="n">
        <x:v>3</x:v>
      </x:c>
      <x:c r="D1475" t="str">
        <x:v>01:29</x:v>
      </x:c>
      <x:c r="E1475" t="n">
        <x:v>2</x:v>
      </x:c>
      <x:c r="F1475" t="n">
        <x:v>2</x:v>
      </x:c>
      <x:c r="G1475" t="str">
        <x:v>BAL</x:v>
      </x:c>
      <x:c r="H1475" t="str">
        <x:v>MIN</x:v>
      </x:c>
      <x:c r="I1475" t="str">
        <x:v>BAL</x:v>
      </x:c>
      <x:c r="J1475" t="n">
        <x:v>59</x:v>
      </x:c>
      <x:c r="K1475" t="str">
        <x:v>(1:29) 22-D.Henry right tackle to MIN 45 for 14 yards (22-H.Smith).</x:v>
      </x:c>
      <x:c r="L1475" t="str">
        <x:v>run</x:v>
      </x:c>
      <x:c r="M1475" t="n">
        <x:v>14</x:v>
      </x:c>
      <x:c r="N1475" t="n">
        <x:v>0</x:v>
      </x:c>
      <x:c r="O1475" t="n">
        <x:v>0</x:v>
      </x:c>
      <x:c r="P1475"/>
      <x:c r="Q1475"/>
      <x:c r="R1475"/>
      <x:c r="S1475"/>
      <x:c r="T1475" t="str">
        <x:v>right</x:v>
      </x:c>
      <x:c r="U1475" t="str">
        <x:v>tackle</x:v>
      </x:c>
      <x:c r="V1475" t="n">
        <x:v>0</x:v>
      </x:c>
      <x:c r="W1475" t="n">
        <x:v>1</x:v>
      </x:c>
      <x:c r="X1475" t="n">
        <x:v>0</x:v>
      </x:c>
      <x:c r="Y1475" t="n">
        <x:v>0</x:v>
      </x:c>
      <x:c r="Z1475" t="n">
        <x:v>0</x:v>
      </x:c>
      <x:c r="AA1475" t="n">
        <x:v>0</x:v>
      </x:c>
      <x:c r="AB1475"/>
      <x:c r="AC1475" t="n">
        <x:v>0</x:v>
      </x:c>
      <x:c r="AD1475" t="n">
        <x:v>0.95642423001118</x:v>
      </x:c>
      <x:c r="AE1475" t="n">
        <x:v>1</x:v>
      </x:c>
      <x:c r="AF1475" t="n">
        <x:v>0.004336714744567871</x:v>
      </x:c>
      <x:c r="AG1475" t="n">
        <x:f>_xlfn.XLOOKUP($A1475,Games!$A$2:$A$18,Games!$B$2:$B$18,"Missing game",0)</x:f>
        <x:v>2025</x:v>
      </x:c>
      <x:c r="AH1475" t="str">
        <x:f>_xlfn.XLOOKUP($A1475,Games!$A$2:$A$18,Games!$C$2:$C$18,"Missing game",0)</x:f>
        <x:v>REG</x:v>
      </x:c>
      <x:c r="AI1475" t="n">
        <x:f>_xlfn.XLOOKUP($A1475,Games!$A$2:$A$18,Games!$D$2:$D$18,"Missing game",0)</x:f>
        <x:v>10</x:v>
      </x:c>
      <x:c r="AJ1475" s="1" t="n">
        <x:f>_xlfn.XLOOKUP($A1475,Games!$A$2:$A$18,Games!$E$2:$E$18,"Missing game",0)</x:f>
        <x:v>45970</x:v>
      </x:c>
      <x:c r="AK1475" t="str">
        <x:f>_xlfn.XLOOKUP($A1475,Games!$A$2:$A$18,Games!$F$2:$F$18,"Missing game",0)</x:f>
        <x:v>Sunday</x:v>
      </x:c>
      <x:c r="AL1475" t="str">
        <x:f>_xlfn.XLOOKUP($A1475,Games!$A$2:$A$18,Games!$G$2:$G$18,"Missing game",0)</x:f>
        <x:v>BAL</x:v>
      </x:c>
      <x:c r="AM1475" t="n">
        <x:f>_xlfn.XLOOKUP($A1475,Games!$A$2:$A$18,Games!$H$2:$H$18,"Missing game",0)</x:f>
        <x:v>27</x:v>
      </x:c>
      <x:c r="AN1475" t="str">
        <x:f>_xlfn.XLOOKUP($A1475,Games!$A$2:$A$18,Games!$I$2:$I$18,"Missing game",0)</x:f>
        <x:v>MIN</x:v>
      </x:c>
      <x:c r="AO1475" t="n">
        <x:f>_xlfn.XLOOKUP($A1475,Games!$A$2:$A$18,Games!$J$2:$J$18,"Missing game",0)</x:f>
        <x:v>19</x:v>
      </x:c>
      <x:c r="AP1475" t="n">
        <x:f>_xlfn.XLOOKUP($A1475,Games!$A$2:$A$18,Games!$K$2:$K$18,"Missing game",0)</x:f>
        <x:v>-8</x:v>
      </x:c>
      <x:c r="AQ1475" t="n">
        <x:f>_xlfn.XLOOKUP($A1475,Games!$A$2:$A$18,Games!$L$2:$L$18,"Missing game",0)</x:f>
        <x:v>46</x:v>
      </x:c>
      <x:c r="AR1475" t="n">
        <x:f>_xlfn.XLOOKUP($A1475,Games!$A$2:$A$18,Games!$M$2:$M$18,"Missing game",0)</x:f>
        <x:v>0</x:v>
      </x:c>
      <x:c r="AS1475" t="str">
        <x:f>_xlfn.XLOOKUP($A1475,Games!$A$2:$A$18,Games!$N$2:$N$18,"Missing game",0)</x:f>
        <x:v>dome</x:v>
      </x:c>
      <x:c r="AT1475" t="str">
        <x:f>_xlfn.XLOOKUP($A1475,Games!$A$2:$A$18,Games!$O$2:$O$18,"Missing game",0)</x:f>
        <x:v>sportturf</x:v>
      </x:c>
      <x:c r="AU1475" t="str">
        <x:f>_xlfn.XLOOKUP($A1475,Games!$A$2:$A$18,Games!$P$2:$P$18,"Missing game",0)</x:f>
      </x:c>
      <x:c r="AV1475" t="str">
        <x:f>_xlfn.XLOOKUP($A1475,Games!$A$2:$A$18,Games!$Q$2:$Q$18,"Missing game",0)</x:f>
      </x:c>
      <x:c r="AW1475" t="str">
        <x:f>_xlfn.XLOOKUP($A1475,Games!$A$2:$A$18,Games!$R$2:$R$18,"Missing game",0)</x:f>
        <x:v>U.S. Bank Stadium</x:v>
      </x:c>
    </x:row>
    <x:row r="1476">
      <x:c r="A1476" t="str">
        <x:v>2025_10_BAL_MIN</x:v>
      </x:c>
      <x:c r="B1476" t="n">
        <x:v>3140</x:v>
      </x:c>
      <x:c r="C1476" t="n">
        <x:v>3</x:v>
      </x:c>
      <x:c r="D1476" t="str">
        <x:v>00:48</x:v>
      </x:c>
      <x:c r="E1476" t="n">
        <x:v>1</x:v>
      </x:c>
      <x:c r="F1476" t="n">
        <x:v>10</x:v>
      </x:c>
      <x:c r="G1476" t="str">
        <x:v>BAL</x:v>
      </x:c>
      <x:c r="H1476" t="str">
        <x:v>MIN</x:v>
      </x:c>
      <x:c r="I1476" t="str">
        <x:v>MIN</x:v>
      </x:c>
      <x:c r="J1476" t="n">
        <x:v>45</x:v>
      </x:c>
      <x:c r="K1476" t="str">
        <x:v>(:48) 8-L.Jackson pass short middle to 10-D.Hopkins to MIN 36 for 9 yards (0-I.Pace; 51-B.Cashman).</x:v>
      </x:c>
      <x:c r="L1476" t="str">
        <x:v>pass</x:v>
      </x:c>
      <x:c r="M1476" t="n">
        <x:v>9</x:v>
      </x:c>
      <x:c r="N1476" t="n">
        <x:v>0</x:v>
      </x:c>
      <x:c r="O1476" t="n">
        <x:v>0</x:v>
      </x:c>
      <x:c r="P1476" t="str">
        <x:v>short</x:v>
      </x:c>
      <x:c r="Q1476" t="str">
        <x:v>middle</x:v>
      </x:c>
      <x:c r="R1476" t="n">
        <x:v>6</x:v>
      </x:c>
      <x:c r="S1476" t="n">
        <x:v>3</x:v>
      </x:c>
      <x:c r="T1476"/>
      <x:c r="U1476"/>
      <x:c r="V1476" t="n">
        <x:v>1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0</x:v>
      </x:c>
      <x:c r="AB1476"/>
      <x:c r="AC1476" t="n">
        <x:v>0</x:v>
      </x:c>
      <x:c r="AD1476" t="n">
        <x:v>0.678211338352412</x:v>
      </x:c>
      <x:c r="AE1476" t="n">
        <x:v>1</x:v>
      </x:c>
      <x:c r="AF1476" t="n">
        <x:v>0.03208732604980469</x:v>
      </x:c>
      <x:c r="AG1476" t="n">
        <x:f>_xlfn.XLOOKUP($A1476,Games!$A$2:$A$18,Games!$B$2:$B$18,"Missing game",0)</x:f>
        <x:v>2025</x:v>
      </x:c>
      <x:c r="AH1476" t="str">
        <x:f>_xlfn.XLOOKUP($A1476,Games!$A$2:$A$18,Games!$C$2:$C$18,"Missing game",0)</x:f>
        <x:v>REG</x:v>
      </x:c>
      <x:c r="AI1476" t="n">
        <x:f>_xlfn.XLOOKUP($A1476,Games!$A$2:$A$18,Games!$D$2:$D$18,"Missing game",0)</x:f>
        <x:v>10</x:v>
      </x:c>
      <x:c r="AJ1476" s="1" t="n">
        <x:f>_xlfn.XLOOKUP($A1476,Games!$A$2:$A$18,Games!$E$2:$E$18,"Missing game",0)</x:f>
        <x:v>45970</x:v>
      </x:c>
      <x:c r="AK1476" t="str">
        <x:f>_xlfn.XLOOKUP($A1476,Games!$A$2:$A$18,Games!$F$2:$F$18,"Missing game",0)</x:f>
        <x:v>Sunday</x:v>
      </x:c>
      <x:c r="AL1476" t="str">
        <x:f>_xlfn.XLOOKUP($A1476,Games!$A$2:$A$18,Games!$G$2:$G$18,"Missing game",0)</x:f>
        <x:v>BAL</x:v>
      </x:c>
      <x:c r="AM1476" t="n">
        <x:f>_xlfn.XLOOKUP($A1476,Games!$A$2:$A$18,Games!$H$2:$H$18,"Missing game",0)</x:f>
        <x:v>27</x:v>
      </x:c>
      <x:c r="AN1476" t="str">
        <x:f>_xlfn.XLOOKUP($A1476,Games!$A$2:$A$18,Games!$I$2:$I$18,"Missing game",0)</x:f>
        <x:v>MIN</x:v>
      </x:c>
      <x:c r="AO1476" t="n">
        <x:f>_xlfn.XLOOKUP($A1476,Games!$A$2:$A$18,Games!$J$2:$J$18,"Missing game",0)</x:f>
        <x:v>19</x:v>
      </x:c>
      <x:c r="AP1476" t="n">
        <x:f>_xlfn.XLOOKUP($A1476,Games!$A$2:$A$18,Games!$K$2:$K$18,"Missing game",0)</x:f>
        <x:v>-8</x:v>
      </x:c>
      <x:c r="AQ1476" t="n">
        <x:f>_xlfn.XLOOKUP($A1476,Games!$A$2:$A$18,Games!$L$2:$L$18,"Missing game",0)</x:f>
        <x:v>46</x:v>
      </x:c>
      <x:c r="AR1476" t="n">
        <x:f>_xlfn.XLOOKUP($A1476,Games!$A$2:$A$18,Games!$M$2:$M$18,"Missing game",0)</x:f>
        <x:v>0</x:v>
      </x:c>
      <x:c r="AS1476" t="str">
        <x:f>_xlfn.XLOOKUP($A1476,Games!$A$2:$A$18,Games!$N$2:$N$18,"Missing game",0)</x:f>
        <x:v>dome</x:v>
      </x:c>
      <x:c r="AT1476" t="str">
        <x:f>_xlfn.XLOOKUP($A1476,Games!$A$2:$A$18,Games!$O$2:$O$18,"Missing game",0)</x:f>
        <x:v>sportturf</x:v>
      </x:c>
      <x:c r="AU1476" t="str">
        <x:f>_xlfn.XLOOKUP($A1476,Games!$A$2:$A$18,Games!$P$2:$P$18,"Missing game",0)</x:f>
      </x:c>
      <x:c r="AV1476" t="str">
        <x:f>_xlfn.XLOOKUP($A1476,Games!$A$2:$A$18,Games!$Q$2:$Q$18,"Missing game",0)</x:f>
      </x:c>
      <x:c r="AW1476" t="str">
        <x:f>_xlfn.XLOOKUP($A1476,Games!$A$2:$A$18,Games!$R$2:$R$18,"Missing game",0)</x:f>
        <x:v>U.S. Bank Stadium</x:v>
      </x:c>
    </x:row>
    <x:row r="1477">
      <x:c r="A1477" t="str">
        <x:v>2025_10_BAL_MIN</x:v>
      </x:c>
      <x:c r="B1477" t="n">
        <x:v>3169</x:v>
      </x:c>
      <x:c r="C1477" t="n">
        <x:v>3</x:v>
      </x:c>
      <x:c r="D1477" t="str">
        <x:v>00:10</x:v>
      </x:c>
      <x:c r="E1477" t="n">
        <x:v>2</x:v>
      </x:c>
      <x:c r="F1477" t="n">
        <x:v>1</x:v>
      </x:c>
      <x:c r="G1477" t="str">
        <x:v>BAL</x:v>
      </x:c>
      <x:c r="H1477" t="str">
        <x:v>MIN</x:v>
      </x:c>
      <x:c r="I1477" t="str">
        <x:v>MIN</x:v>
      </x:c>
      <x:c r="J1477" t="n">
        <x:v>36</x:v>
      </x:c>
      <x:c r="K1477" t="str">
        <x:v>(:10) 22-D.Henry up the middle to MIN 31 for 5 yards (93-J.Allen).</x:v>
      </x:c>
      <x:c r="L1477" t="str">
        <x:v>run</x:v>
      </x:c>
      <x:c r="M1477" t="n">
        <x:v>5</x:v>
      </x:c>
      <x:c r="N1477" t="n">
        <x:v>0</x:v>
      </x:c>
      <x:c r="O1477" t="n">
        <x:v>0</x:v>
      </x:c>
      <x:c r="P1477"/>
      <x:c r="Q1477"/>
      <x:c r="R1477"/>
      <x:c r="S1477"/>
      <x:c r="T1477" t="str">
        <x:v>middle</x:v>
      </x:c>
      <x:c r="U1477"/>
      <x:c r="V1477" t="n">
        <x:v>0</x:v>
      </x:c>
      <x:c r="W1477" t="n">
        <x:v>1</x:v>
      </x:c>
      <x:c r="X1477" t="n">
        <x:v>0</x:v>
      </x:c>
      <x:c r="Y1477" t="n">
        <x:v>0</x:v>
      </x:c>
      <x:c r="Z1477" t="n">
        <x:v>0</x:v>
      </x:c>
      <x:c r="AA1477" t="n">
        <x:v>0</x:v>
      </x:c>
      <x:c r="AB1477"/>
      <x:c r="AC1477" t="n">
        <x:v>0</x:v>
      </x:c>
      <x:c r="AD1477" t="n">
        <x:v>0.2751604648074135</x:v>
      </x:c>
      <x:c r="AE1477" t="n">
        <x:v>1</x:v>
      </x:c>
      <x:c r="AF1477" t="n">
        <x:v>-0.003822147846221924</x:v>
      </x:c>
      <x:c r="AG1477" t="n">
        <x:f>_xlfn.XLOOKUP($A1477,Games!$A$2:$A$18,Games!$B$2:$B$18,"Missing game",0)</x:f>
        <x:v>2025</x:v>
      </x:c>
      <x:c r="AH1477" t="str">
        <x:f>_xlfn.XLOOKUP($A1477,Games!$A$2:$A$18,Games!$C$2:$C$18,"Missing game",0)</x:f>
        <x:v>REG</x:v>
      </x:c>
      <x:c r="AI1477" t="n">
        <x:f>_xlfn.XLOOKUP($A1477,Games!$A$2:$A$18,Games!$D$2:$D$18,"Missing game",0)</x:f>
        <x:v>10</x:v>
      </x:c>
      <x:c r="AJ1477" s="1" t="n">
        <x:f>_xlfn.XLOOKUP($A1477,Games!$A$2:$A$18,Games!$E$2:$E$18,"Missing game",0)</x:f>
        <x:v>45970</x:v>
      </x:c>
      <x:c r="AK1477" t="str">
        <x:f>_xlfn.XLOOKUP($A1477,Games!$A$2:$A$18,Games!$F$2:$F$18,"Missing game",0)</x:f>
        <x:v>Sunday</x:v>
      </x:c>
      <x:c r="AL1477" t="str">
        <x:f>_xlfn.XLOOKUP($A1477,Games!$A$2:$A$18,Games!$G$2:$G$18,"Missing game",0)</x:f>
        <x:v>BAL</x:v>
      </x:c>
      <x:c r="AM1477" t="n">
        <x:f>_xlfn.XLOOKUP($A1477,Games!$A$2:$A$18,Games!$H$2:$H$18,"Missing game",0)</x:f>
        <x:v>27</x:v>
      </x:c>
      <x:c r="AN1477" t="str">
        <x:f>_xlfn.XLOOKUP($A1477,Games!$A$2:$A$18,Games!$I$2:$I$18,"Missing game",0)</x:f>
        <x:v>MIN</x:v>
      </x:c>
      <x:c r="AO1477" t="n">
        <x:f>_xlfn.XLOOKUP($A1477,Games!$A$2:$A$18,Games!$J$2:$J$18,"Missing game",0)</x:f>
        <x:v>19</x:v>
      </x:c>
      <x:c r="AP1477" t="n">
        <x:f>_xlfn.XLOOKUP($A1477,Games!$A$2:$A$18,Games!$K$2:$K$18,"Missing game",0)</x:f>
        <x:v>-8</x:v>
      </x:c>
      <x:c r="AQ1477" t="n">
        <x:f>_xlfn.XLOOKUP($A1477,Games!$A$2:$A$18,Games!$L$2:$L$18,"Missing game",0)</x:f>
        <x:v>46</x:v>
      </x:c>
      <x:c r="AR1477" t="n">
        <x:f>_xlfn.XLOOKUP($A1477,Games!$A$2:$A$18,Games!$M$2:$M$18,"Missing game",0)</x:f>
        <x:v>0</x:v>
      </x:c>
      <x:c r="AS1477" t="str">
        <x:f>_xlfn.XLOOKUP($A1477,Games!$A$2:$A$18,Games!$N$2:$N$18,"Missing game",0)</x:f>
        <x:v>dome</x:v>
      </x:c>
      <x:c r="AT1477" t="str">
        <x:f>_xlfn.XLOOKUP($A1477,Games!$A$2:$A$18,Games!$O$2:$O$18,"Missing game",0)</x:f>
        <x:v>sportturf</x:v>
      </x:c>
      <x:c r="AU1477" t="str">
        <x:f>_xlfn.XLOOKUP($A1477,Games!$A$2:$A$18,Games!$P$2:$P$18,"Missing game",0)</x:f>
      </x:c>
      <x:c r="AV1477" t="str">
        <x:f>_xlfn.XLOOKUP($A1477,Games!$A$2:$A$18,Games!$Q$2:$Q$18,"Missing game",0)</x:f>
      </x:c>
      <x:c r="AW1477" t="str">
        <x:f>_xlfn.XLOOKUP($A1477,Games!$A$2:$A$18,Games!$R$2:$R$18,"Missing game",0)</x:f>
        <x:v>U.S. Bank Stadium</x:v>
      </x:c>
    </x:row>
    <x:row r="1478">
      <x:c r="A1478" t="str">
        <x:v>2025_10_BAL_MIN</x:v>
      </x:c>
      <x:c r="B1478" t="n">
        <x:v>3191</x:v>
      </x:c>
      <x:c r="C1478" t="n">
        <x:v>3</x:v>
      </x:c>
      <x:c r="D1478" t="str">
        <x:v>00:00</x:v>
      </x:c>
      <x:c r="E1478"/>
      <x:c r="F1478" t="n">
        <x:v>0</x:v>
      </x:c>
      <x:c r="G1478" t="str">
        <x:v>BAL</x:v>
      </x:c>
      <x:c r="H1478" t="str">
        <x:v>MIN</x:v>
      </x:c>
      <x:c r="I1478"/>
      <x:c r="J1478"/>
      <x:c r="K1478" t="str">
        <x:v>END QUARTER 3</x:v>
      </x:c>
      <x:c r="L1478"/>
      <x:c r="M1478"/>
      <x:c r="N1478" t="n">
        <x:v>0</x:v>
      </x:c>
      <x:c r="O1478" t="n">
        <x:v>0</x:v>
      </x:c>
      <x:c r="P1478"/>
      <x:c r="Q1478"/>
      <x:c r="R1478"/>
      <x:c r="S1478"/>
      <x:c r="T1478"/>
      <x:c r="U1478"/>
      <x:c r="V1478"/>
      <x:c r="W1478"/>
      <x:c r="X1478"/>
      <x:c r="Y1478"/>
      <x:c r="Z1478"/>
      <x:c r="AA1478"/>
      <x:c r="AB1478"/>
      <x:c r="AC1478"/>
      <x:c r="AD1478" t="n">
        <x:v>0</x:v>
      </x:c>
      <x:c r="AE1478" t="n">
        <x:v>0</x:v>
      </x:c>
      <x:c r="AF1478" t="n">
        <x:v>0</x:v>
      </x:c>
      <x:c r="AG1478" t="n">
        <x:f>_xlfn.XLOOKUP($A1478,Games!$A$2:$A$18,Games!$B$2:$B$18,"Missing game",0)</x:f>
        <x:v>2025</x:v>
      </x:c>
      <x:c r="AH1478" t="str">
        <x:f>_xlfn.XLOOKUP($A1478,Games!$A$2:$A$18,Games!$C$2:$C$18,"Missing game",0)</x:f>
        <x:v>REG</x:v>
      </x:c>
      <x:c r="AI1478" t="n">
        <x:f>_xlfn.XLOOKUP($A1478,Games!$A$2:$A$18,Games!$D$2:$D$18,"Missing game",0)</x:f>
        <x:v>10</x:v>
      </x:c>
      <x:c r="AJ1478" s="1" t="n">
        <x:f>_xlfn.XLOOKUP($A1478,Games!$A$2:$A$18,Games!$E$2:$E$18,"Missing game",0)</x:f>
        <x:v>45970</x:v>
      </x:c>
      <x:c r="AK1478" t="str">
        <x:f>_xlfn.XLOOKUP($A1478,Games!$A$2:$A$18,Games!$F$2:$F$18,"Missing game",0)</x:f>
        <x:v>Sunday</x:v>
      </x:c>
      <x:c r="AL1478" t="str">
        <x:f>_xlfn.XLOOKUP($A1478,Games!$A$2:$A$18,Games!$G$2:$G$18,"Missing game",0)</x:f>
        <x:v>BAL</x:v>
      </x:c>
      <x:c r="AM1478" t="n">
        <x:f>_xlfn.XLOOKUP($A1478,Games!$A$2:$A$18,Games!$H$2:$H$18,"Missing game",0)</x:f>
        <x:v>27</x:v>
      </x:c>
      <x:c r="AN1478" t="str">
        <x:f>_xlfn.XLOOKUP($A1478,Games!$A$2:$A$18,Games!$I$2:$I$18,"Missing game",0)</x:f>
        <x:v>MIN</x:v>
      </x:c>
      <x:c r="AO1478" t="n">
        <x:f>_xlfn.XLOOKUP($A1478,Games!$A$2:$A$18,Games!$J$2:$J$18,"Missing game",0)</x:f>
        <x:v>19</x:v>
      </x:c>
      <x:c r="AP1478" t="n">
        <x:f>_xlfn.XLOOKUP($A1478,Games!$A$2:$A$18,Games!$K$2:$K$18,"Missing game",0)</x:f>
        <x:v>-8</x:v>
      </x:c>
      <x:c r="AQ1478" t="n">
        <x:f>_xlfn.XLOOKUP($A1478,Games!$A$2:$A$18,Games!$L$2:$L$18,"Missing game",0)</x:f>
        <x:v>46</x:v>
      </x:c>
      <x:c r="AR1478" t="n">
        <x:f>_xlfn.XLOOKUP($A1478,Games!$A$2:$A$18,Games!$M$2:$M$18,"Missing game",0)</x:f>
        <x:v>0</x:v>
      </x:c>
      <x:c r="AS1478" t="str">
        <x:f>_xlfn.XLOOKUP($A1478,Games!$A$2:$A$18,Games!$N$2:$N$18,"Missing game",0)</x:f>
        <x:v>dome</x:v>
      </x:c>
      <x:c r="AT1478" t="str">
        <x:f>_xlfn.XLOOKUP($A1478,Games!$A$2:$A$18,Games!$O$2:$O$18,"Missing game",0)</x:f>
        <x:v>sportturf</x:v>
      </x:c>
      <x:c r="AU1478" t="str">
        <x:f>_xlfn.XLOOKUP($A1478,Games!$A$2:$A$18,Games!$P$2:$P$18,"Missing game",0)</x:f>
      </x:c>
      <x:c r="AV1478" t="str">
        <x:f>_xlfn.XLOOKUP($A1478,Games!$A$2:$A$18,Games!$Q$2:$Q$18,"Missing game",0)</x:f>
      </x:c>
      <x:c r="AW1478" t="str">
        <x:f>_xlfn.XLOOKUP($A1478,Games!$A$2:$A$18,Games!$R$2:$R$18,"Missing game",0)</x:f>
        <x:v>U.S. Bank Stadium</x:v>
      </x:c>
    </x:row>
    <x:row r="1479">
      <x:c r="A1479" t="str">
        <x:v>2025_10_BAL_MIN</x:v>
      </x:c>
      <x:c r="B1479" t="n">
        <x:v>3211</x:v>
      </x:c>
      <x:c r="C1479" t="n">
        <x:v>4</x:v>
      </x:c>
      <x:c r="D1479" t="str">
        <x:v>15:00</x:v>
      </x:c>
      <x:c r="E1479" t="n">
        <x:v>1</x:v>
      </x:c>
      <x:c r="F1479" t="n">
        <x:v>10</x:v>
      </x:c>
      <x:c r="G1479" t="str">
        <x:v>BAL</x:v>
      </x:c>
      <x:c r="H1479" t="str">
        <x:v>MIN</x:v>
      </x:c>
      <x:c r="I1479" t="str">
        <x:v>MIN</x:v>
      </x:c>
      <x:c r="J1479" t="n">
        <x:v>31</x:v>
      </x:c>
      <x:c r="K1479" t="str">
        <x:v>(15:00) (Shotgun) 22-D.Henry up the middle to MIN 23 for 8 yards (24-J.Ward; 51-B.Cashman).</x:v>
      </x:c>
      <x:c r="L1479" t="str">
        <x:v>run</x:v>
      </x:c>
      <x:c r="M1479" t="n">
        <x:v>8</x:v>
      </x:c>
      <x:c r="N1479" t="n">
        <x:v>1</x:v>
      </x:c>
      <x:c r="O1479" t="n">
        <x:v>0</x:v>
      </x:c>
      <x:c r="P1479"/>
      <x:c r="Q1479"/>
      <x:c r="R1479"/>
      <x:c r="S1479"/>
      <x:c r="T1479" t="str">
        <x:v>middle</x:v>
      </x:c>
      <x:c r="U1479"/>
      <x:c r="V1479" t="n">
        <x:v>0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0</x:v>
      </x:c>
      <x:c r="AB1479"/>
      <x:c r="AC1479" t="n">
        <x:v>0</x:v>
      </x:c>
      <x:c r="AD1479" t="n">
        <x:v>0.5711846045451239</x:v>
      </x:c>
      <x:c r="AE1479" t="n">
        <x:v>1</x:v>
      </x:c>
      <x:c r="AF1479" t="n">
        <x:v>0.017784059047698975</x:v>
      </x:c>
      <x:c r="AG1479" t="n">
        <x:f>_xlfn.XLOOKUP($A1479,Games!$A$2:$A$18,Games!$B$2:$B$18,"Missing game",0)</x:f>
        <x:v>2025</x:v>
      </x:c>
      <x:c r="AH1479" t="str">
        <x:f>_xlfn.XLOOKUP($A1479,Games!$A$2:$A$18,Games!$C$2:$C$18,"Missing game",0)</x:f>
        <x:v>REG</x:v>
      </x:c>
      <x:c r="AI1479" t="n">
        <x:f>_xlfn.XLOOKUP($A1479,Games!$A$2:$A$18,Games!$D$2:$D$18,"Missing game",0)</x:f>
        <x:v>10</x:v>
      </x:c>
      <x:c r="AJ1479" s="1" t="n">
        <x:f>_xlfn.XLOOKUP($A1479,Games!$A$2:$A$18,Games!$E$2:$E$18,"Missing game",0)</x:f>
        <x:v>45970</x:v>
      </x:c>
      <x:c r="AK1479" t="str">
        <x:f>_xlfn.XLOOKUP($A1479,Games!$A$2:$A$18,Games!$F$2:$F$18,"Missing game",0)</x:f>
        <x:v>Sunday</x:v>
      </x:c>
      <x:c r="AL1479" t="str">
        <x:f>_xlfn.XLOOKUP($A1479,Games!$A$2:$A$18,Games!$G$2:$G$18,"Missing game",0)</x:f>
        <x:v>BAL</x:v>
      </x:c>
      <x:c r="AM1479" t="n">
        <x:f>_xlfn.XLOOKUP($A1479,Games!$A$2:$A$18,Games!$H$2:$H$18,"Missing game",0)</x:f>
        <x:v>27</x:v>
      </x:c>
      <x:c r="AN1479" t="str">
        <x:f>_xlfn.XLOOKUP($A1479,Games!$A$2:$A$18,Games!$I$2:$I$18,"Missing game",0)</x:f>
        <x:v>MIN</x:v>
      </x:c>
      <x:c r="AO1479" t="n">
        <x:f>_xlfn.XLOOKUP($A1479,Games!$A$2:$A$18,Games!$J$2:$J$18,"Missing game",0)</x:f>
        <x:v>19</x:v>
      </x:c>
      <x:c r="AP1479" t="n">
        <x:f>_xlfn.XLOOKUP($A1479,Games!$A$2:$A$18,Games!$K$2:$K$18,"Missing game",0)</x:f>
        <x:v>-8</x:v>
      </x:c>
      <x:c r="AQ1479" t="n">
        <x:f>_xlfn.XLOOKUP($A1479,Games!$A$2:$A$18,Games!$L$2:$L$18,"Missing game",0)</x:f>
        <x:v>46</x:v>
      </x:c>
      <x:c r="AR1479" t="n">
        <x:f>_xlfn.XLOOKUP($A1479,Games!$A$2:$A$18,Games!$M$2:$M$18,"Missing game",0)</x:f>
        <x:v>0</x:v>
      </x:c>
      <x:c r="AS1479" t="str">
        <x:f>_xlfn.XLOOKUP($A1479,Games!$A$2:$A$18,Games!$N$2:$N$18,"Missing game",0)</x:f>
        <x:v>dome</x:v>
      </x:c>
      <x:c r="AT1479" t="str">
        <x:f>_xlfn.XLOOKUP($A1479,Games!$A$2:$A$18,Games!$O$2:$O$18,"Missing game",0)</x:f>
        <x:v>sportturf</x:v>
      </x:c>
      <x:c r="AU1479" t="str">
        <x:f>_xlfn.XLOOKUP($A1479,Games!$A$2:$A$18,Games!$P$2:$P$18,"Missing game",0)</x:f>
      </x:c>
      <x:c r="AV1479" t="str">
        <x:f>_xlfn.XLOOKUP($A1479,Games!$A$2:$A$18,Games!$Q$2:$Q$18,"Missing game",0)</x:f>
      </x:c>
      <x:c r="AW1479" t="str">
        <x:f>_xlfn.XLOOKUP($A1479,Games!$A$2:$A$18,Games!$R$2:$R$18,"Missing game",0)</x:f>
        <x:v>U.S. Bank Stadium</x:v>
      </x:c>
    </x:row>
    <x:row r="1480">
      <x:c r="A1480" t="str">
        <x:v>2025_10_BAL_MIN</x:v>
      </x:c>
      <x:c r="B1480" t="n">
        <x:v>3233</x:v>
      </x:c>
      <x:c r="C1480" t="n">
        <x:v>4</x:v>
      </x:c>
      <x:c r="D1480" t="str">
        <x:v>14:13</x:v>
      </x:c>
      <x:c r="E1480" t="n">
        <x:v>2</x:v>
      </x:c>
      <x:c r="F1480" t="n">
        <x:v>2</x:v>
      </x:c>
      <x:c r="G1480" t="str">
        <x:v>BAL</x:v>
      </x:c>
      <x:c r="H1480" t="str">
        <x:v>MIN</x:v>
      </x:c>
      <x:c r="I1480" t="str">
        <x:v>MIN</x:v>
      </x:c>
      <x:c r="J1480" t="n">
        <x:v>23</x:v>
      </x:c>
      <x:c r="K1480" t="str">
        <x:v>(14:13) 22-D.Henry right end to MIN 22 for 1 yard (51-B.Cashman).</x:v>
      </x:c>
      <x:c r="L1480" t="str">
        <x:v>run</x:v>
      </x:c>
      <x:c r="M1480" t="n">
        <x:v>1</x:v>
      </x:c>
      <x:c r="N1480" t="n">
        <x:v>0</x:v>
      </x:c>
      <x:c r="O1480" t="n">
        <x:v>0</x:v>
      </x:c>
      <x:c r="P1480"/>
      <x:c r="Q1480"/>
      <x:c r="R1480"/>
      <x:c r="S1480"/>
      <x:c r="T1480" t="str">
        <x:v>right</x:v>
      </x:c>
      <x:c r="U1480" t="str">
        <x:v>end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0</x:v>
      </x:c>
      <x:c r="AB1480"/>
      <x:c r="AC1480" t="n">
        <x:v>0</x:v>
      </x:c>
      <x:c r="AD1480" t="n">
        <x:v>-0.36155201168730855</x:v>
      </x:c>
      <x:c r="AE1480" t="n">
        <x:v>0</x:v>
      </x:c>
      <x:c r="AF1480" t="n">
        <x:v>0.005210518836975098</x:v>
      </x:c>
      <x:c r="AG1480" t="n">
        <x:f>_xlfn.XLOOKUP($A1480,Games!$A$2:$A$18,Games!$B$2:$B$18,"Missing game",0)</x:f>
        <x:v>2025</x:v>
      </x:c>
      <x:c r="AH1480" t="str">
        <x:f>_xlfn.XLOOKUP($A1480,Games!$A$2:$A$18,Games!$C$2:$C$18,"Missing game",0)</x:f>
        <x:v>REG</x:v>
      </x:c>
      <x:c r="AI1480" t="n">
        <x:f>_xlfn.XLOOKUP($A1480,Games!$A$2:$A$18,Games!$D$2:$D$18,"Missing game",0)</x:f>
        <x:v>10</x:v>
      </x:c>
      <x:c r="AJ1480" s="1" t="n">
        <x:f>_xlfn.XLOOKUP($A1480,Games!$A$2:$A$18,Games!$E$2:$E$18,"Missing game",0)</x:f>
        <x:v>45970</x:v>
      </x:c>
      <x:c r="AK1480" t="str">
        <x:f>_xlfn.XLOOKUP($A1480,Games!$A$2:$A$18,Games!$F$2:$F$18,"Missing game",0)</x:f>
        <x:v>Sunday</x:v>
      </x:c>
      <x:c r="AL1480" t="str">
        <x:f>_xlfn.XLOOKUP($A1480,Games!$A$2:$A$18,Games!$G$2:$G$18,"Missing game",0)</x:f>
        <x:v>BAL</x:v>
      </x:c>
      <x:c r="AM1480" t="n">
        <x:f>_xlfn.XLOOKUP($A1480,Games!$A$2:$A$18,Games!$H$2:$H$18,"Missing game",0)</x:f>
        <x:v>27</x:v>
      </x:c>
      <x:c r="AN1480" t="str">
        <x:f>_xlfn.XLOOKUP($A1480,Games!$A$2:$A$18,Games!$I$2:$I$18,"Missing game",0)</x:f>
        <x:v>MIN</x:v>
      </x:c>
      <x:c r="AO1480" t="n">
        <x:f>_xlfn.XLOOKUP($A1480,Games!$A$2:$A$18,Games!$J$2:$J$18,"Missing game",0)</x:f>
        <x:v>19</x:v>
      </x:c>
      <x:c r="AP1480" t="n">
        <x:f>_xlfn.XLOOKUP($A1480,Games!$A$2:$A$18,Games!$K$2:$K$18,"Missing game",0)</x:f>
        <x:v>-8</x:v>
      </x:c>
      <x:c r="AQ1480" t="n">
        <x:f>_xlfn.XLOOKUP($A1480,Games!$A$2:$A$18,Games!$L$2:$L$18,"Missing game",0)</x:f>
        <x:v>46</x:v>
      </x:c>
      <x:c r="AR1480" t="n">
        <x:f>_xlfn.XLOOKUP($A1480,Games!$A$2:$A$18,Games!$M$2:$M$18,"Missing game",0)</x:f>
        <x:v>0</x:v>
      </x:c>
      <x:c r="AS1480" t="str">
        <x:f>_xlfn.XLOOKUP($A1480,Games!$A$2:$A$18,Games!$N$2:$N$18,"Missing game",0)</x:f>
        <x:v>dome</x:v>
      </x:c>
      <x:c r="AT1480" t="str">
        <x:f>_xlfn.XLOOKUP($A1480,Games!$A$2:$A$18,Games!$O$2:$O$18,"Missing game",0)</x:f>
        <x:v>sportturf</x:v>
      </x:c>
      <x:c r="AU1480" t="str">
        <x:f>_xlfn.XLOOKUP($A1480,Games!$A$2:$A$18,Games!$P$2:$P$18,"Missing game",0)</x:f>
      </x:c>
      <x:c r="AV1480" t="str">
        <x:f>_xlfn.XLOOKUP($A1480,Games!$A$2:$A$18,Games!$Q$2:$Q$18,"Missing game",0)</x:f>
      </x:c>
      <x:c r="AW1480" t="str">
        <x:f>_xlfn.XLOOKUP($A1480,Games!$A$2:$A$18,Games!$R$2:$R$18,"Missing game",0)</x:f>
        <x:v>U.S. Bank Stadium</x:v>
      </x:c>
    </x:row>
    <x:row r="1481">
      <x:c r="A1481" t="str">
        <x:v>2025_10_BAL_MIN</x:v>
      </x:c>
      <x:c r="B1481" t="n">
        <x:v>3255</x:v>
      </x:c>
      <x:c r="C1481" t="n">
        <x:v>4</x:v>
      </x:c>
      <x:c r="D1481" t="str">
        <x:v>13:32</x:v>
      </x:c>
      <x:c r="E1481" t="n">
        <x:v>3</x:v>
      </x:c>
      <x:c r="F1481" t="n">
        <x:v>1</x:v>
      </x:c>
      <x:c r="G1481" t="str">
        <x:v>BAL</x:v>
      </x:c>
      <x:c r="H1481" t="str">
        <x:v>MIN</x:v>
      </x:c>
      <x:c r="I1481" t="str">
        <x:v>MIN</x:v>
      </x:c>
      <x:c r="J1481" t="n">
        <x:v>22</x:v>
      </x:c>
      <x:c r="K1481" t="str">
        <x:v>(13:32) 22-D.Henry right end to MIN 17 for 5 yards (7-B.Murphy).</x:v>
      </x:c>
      <x:c r="L1481" t="str">
        <x:v>run</x:v>
      </x:c>
      <x:c r="M1481" t="n">
        <x:v>5</x:v>
      </x:c>
      <x:c r="N1481" t="n">
        <x:v>0</x:v>
      </x:c>
      <x:c r="O1481" t="n">
        <x:v>0</x:v>
      </x:c>
      <x:c r="P1481"/>
      <x:c r="Q1481"/>
      <x:c r="R1481"/>
      <x:c r="S1481"/>
      <x:c r="T1481" t="str">
        <x:v>right</x:v>
      </x:c>
      <x:c r="U1481" t="str">
        <x:v>end</x:v>
      </x:c>
      <x:c r="V1481" t="n">
        <x:v>0</x:v>
      </x:c>
      <x:c r="W1481" t="n">
        <x:v>1</x:v>
      </x:c>
      <x:c r="X1481" t="n">
        <x:v>0</x:v>
      </x:c>
      <x:c r="Y1481" t="n">
        <x:v>0</x:v>
      </x:c>
      <x:c r="Z1481" t="n">
        <x:v>0</x:v>
      </x:c>
      <x:c r="AA1481" t="n">
        <x:v>0</x:v>
      </x:c>
      <x:c r="AB1481"/>
      <x:c r="AC1481" t="n">
        <x:v>0</x:v>
      </x:c>
      <x:c r="AD1481" t="n">
        <x:v>0.7432900685817003</x:v>
      </x:c>
      <x:c r="AE1481" t="n">
        <x:v>1</x:v>
      </x:c>
      <x:c r="AF1481" t="n">
        <x:v>0.010775983333587646</x:v>
      </x:c>
      <x:c r="AG1481" t="n">
        <x:f>_xlfn.XLOOKUP($A1481,Games!$A$2:$A$18,Games!$B$2:$B$18,"Missing game",0)</x:f>
        <x:v>2025</x:v>
      </x:c>
      <x:c r="AH1481" t="str">
        <x:f>_xlfn.XLOOKUP($A1481,Games!$A$2:$A$18,Games!$C$2:$C$18,"Missing game",0)</x:f>
        <x:v>REG</x:v>
      </x:c>
      <x:c r="AI1481" t="n">
        <x:f>_xlfn.XLOOKUP($A1481,Games!$A$2:$A$18,Games!$D$2:$D$18,"Missing game",0)</x:f>
        <x:v>10</x:v>
      </x:c>
      <x:c r="AJ1481" s="1" t="n">
        <x:f>_xlfn.XLOOKUP($A1481,Games!$A$2:$A$18,Games!$E$2:$E$18,"Missing game",0)</x:f>
        <x:v>45970</x:v>
      </x:c>
      <x:c r="AK1481" t="str">
        <x:f>_xlfn.XLOOKUP($A1481,Games!$A$2:$A$18,Games!$F$2:$F$18,"Missing game",0)</x:f>
        <x:v>Sunday</x:v>
      </x:c>
      <x:c r="AL1481" t="str">
        <x:f>_xlfn.XLOOKUP($A1481,Games!$A$2:$A$18,Games!$G$2:$G$18,"Missing game",0)</x:f>
        <x:v>BAL</x:v>
      </x:c>
      <x:c r="AM1481" t="n">
        <x:f>_xlfn.XLOOKUP($A1481,Games!$A$2:$A$18,Games!$H$2:$H$18,"Missing game",0)</x:f>
        <x:v>27</x:v>
      </x:c>
      <x:c r="AN1481" t="str">
        <x:f>_xlfn.XLOOKUP($A1481,Games!$A$2:$A$18,Games!$I$2:$I$18,"Missing game",0)</x:f>
        <x:v>MIN</x:v>
      </x:c>
      <x:c r="AO1481" t="n">
        <x:f>_xlfn.XLOOKUP($A1481,Games!$A$2:$A$18,Games!$J$2:$J$18,"Missing game",0)</x:f>
        <x:v>19</x:v>
      </x:c>
      <x:c r="AP1481" t="n">
        <x:f>_xlfn.XLOOKUP($A1481,Games!$A$2:$A$18,Games!$K$2:$K$18,"Missing game",0)</x:f>
        <x:v>-8</x:v>
      </x:c>
      <x:c r="AQ1481" t="n">
        <x:f>_xlfn.XLOOKUP($A1481,Games!$A$2:$A$18,Games!$L$2:$L$18,"Missing game",0)</x:f>
        <x:v>46</x:v>
      </x:c>
      <x:c r="AR1481" t="n">
        <x:f>_xlfn.XLOOKUP($A1481,Games!$A$2:$A$18,Games!$M$2:$M$18,"Missing game",0)</x:f>
        <x:v>0</x:v>
      </x:c>
      <x:c r="AS1481" t="str">
        <x:f>_xlfn.XLOOKUP($A1481,Games!$A$2:$A$18,Games!$N$2:$N$18,"Missing game",0)</x:f>
        <x:v>dome</x:v>
      </x:c>
      <x:c r="AT1481" t="str">
        <x:f>_xlfn.XLOOKUP($A1481,Games!$A$2:$A$18,Games!$O$2:$O$18,"Missing game",0)</x:f>
        <x:v>sportturf</x:v>
      </x:c>
      <x:c r="AU1481" t="str">
        <x:f>_xlfn.XLOOKUP($A1481,Games!$A$2:$A$18,Games!$P$2:$P$18,"Missing game",0)</x:f>
      </x:c>
      <x:c r="AV1481" t="str">
        <x:f>_xlfn.XLOOKUP($A1481,Games!$A$2:$A$18,Games!$Q$2:$Q$18,"Missing game",0)</x:f>
      </x:c>
      <x:c r="AW1481" t="str">
        <x:f>_xlfn.XLOOKUP($A1481,Games!$A$2:$A$18,Games!$R$2:$R$18,"Missing game",0)</x:f>
        <x:v>U.S. Bank Stadium</x:v>
      </x:c>
    </x:row>
    <x:row r="1482">
      <x:c r="A1482" t="str">
        <x:v>2025_10_BAL_MIN</x:v>
      </x:c>
      <x:c r="B1482" t="n">
        <x:v>3277</x:v>
      </x:c>
      <x:c r="C1482" t="n">
        <x:v>4</x:v>
      </x:c>
      <x:c r="D1482" t="str">
        <x:v>12:50</x:v>
      </x:c>
      <x:c r="E1482" t="n">
        <x:v>1</x:v>
      </x:c>
      <x:c r="F1482" t="n">
        <x:v>10</x:v>
      </x:c>
      <x:c r="G1482" t="str">
        <x:v>BAL</x:v>
      </x:c>
      <x:c r="H1482" t="str">
        <x:v>MIN</x:v>
      </x:c>
      <x:c r="I1482" t="str">
        <x:v>MIN</x:v>
      </x:c>
      <x:c r="J1482" t="n">
        <x:v>17</x:v>
      </x:c>
      <x:c r="K1482" t="str">
        <x:v>(12:50) 22-D.Henry right end to MIN 11 for 6 yards (99-E.Williams).</x:v>
      </x:c>
      <x:c r="L1482" t="str">
        <x:v>run</x:v>
      </x:c>
      <x:c r="M1482" t="n">
        <x:v>6</x:v>
      </x:c>
      <x:c r="N1482" t="n">
        <x:v>0</x:v>
      </x:c>
      <x:c r="O1482" t="n">
        <x:v>0</x:v>
      </x:c>
      <x:c r="P1482"/>
      <x:c r="Q1482"/>
      <x:c r="R1482"/>
      <x:c r="S1482"/>
      <x:c r="T1482" t="str">
        <x:v>right</x:v>
      </x:c>
      <x:c r="U1482" t="str">
        <x:v>end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0</x:v>
      </x:c>
      <x:c r="AB1482"/>
      <x:c r="AC1482" t="n">
        <x:v>0</x:v>
      </x:c>
      <x:c r="AD1482" t="n">
        <x:v>0.12477839516941458</x:v>
      </x:c>
      <x:c r="AE1482" t="n">
        <x:v>1</x:v>
      </x:c>
      <x:c r="AF1482" t="n">
        <x:v>0.000023663043975830078</x:v>
      </x:c>
      <x:c r="AG1482" t="n">
        <x:f>_xlfn.XLOOKUP($A1482,Games!$A$2:$A$18,Games!$B$2:$B$18,"Missing game",0)</x:f>
        <x:v>2025</x:v>
      </x:c>
      <x:c r="AH1482" t="str">
        <x:f>_xlfn.XLOOKUP($A1482,Games!$A$2:$A$18,Games!$C$2:$C$18,"Missing game",0)</x:f>
        <x:v>REG</x:v>
      </x:c>
      <x:c r="AI1482" t="n">
        <x:f>_xlfn.XLOOKUP($A1482,Games!$A$2:$A$18,Games!$D$2:$D$18,"Missing game",0)</x:f>
        <x:v>10</x:v>
      </x:c>
      <x:c r="AJ1482" s="1" t="n">
        <x:f>_xlfn.XLOOKUP($A1482,Games!$A$2:$A$18,Games!$E$2:$E$18,"Missing game",0)</x:f>
        <x:v>45970</x:v>
      </x:c>
      <x:c r="AK1482" t="str">
        <x:f>_xlfn.XLOOKUP($A1482,Games!$A$2:$A$18,Games!$F$2:$F$18,"Missing game",0)</x:f>
        <x:v>Sunday</x:v>
      </x:c>
      <x:c r="AL1482" t="str">
        <x:f>_xlfn.XLOOKUP($A1482,Games!$A$2:$A$18,Games!$G$2:$G$18,"Missing game",0)</x:f>
        <x:v>BAL</x:v>
      </x:c>
      <x:c r="AM1482" t="n">
        <x:f>_xlfn.XLOOKUP($A1482,Games!$A$2:$A$18,Games!$H$2:$H$18,"Missing game",0)</x:f>
        <x:v>27</x:v>
      </x:c>
      <x:c r="AN1482" t="str">
        <x:f>_xlfn.XLOOKUP($A1482,Games!$A$2:$A$18,Games!$I$2:$I$18,"Missing game",0)</x:f>
        <x:v>MIN</x:v>
      </x:c>
      <x:c r="AO1482" t="n">
        <x:f>_xlfn.XLOOKUP($A1482,Games!$A$2:$A$18,Games!$J$2:$J$18,"Missing game",0)</x:f>
        <x:v>19</x:v>
      </x:c>
      <x:c r="AP1482" t="n">
        <x:f>_xlfn.XLOOKUP($A1482,Games!$A$2:$A$18,Games!$K$2:$K$18,"Missing game",0)</x:f>
        <x:v>-8</x:v>
      </x:c>
      <x:c r="AQ1482" t="n">
        <x:f>_xlfn.XLOOKUP($A1482,Games!$A$2:$A$18,Games!$L$2:$L$18,"Missing game",0)</x:f>
        <x:v>46</x:v>
      </x:c>
      <x:c r="AR1482" t="n">
        <x:f>_xlfn.XLOOKUP($A1482,Games!$A$2:$A$18,Games!$M$2:$M$18,"Missing game",0)</x:f>
        <x:v>0</x:v>
      </x:c>
      <x:c r="AS1482" t="str">
        <x:f>_xlfn.XLOOKUP($A1482,Games!$A$2:$A$18,Games!$N$2:$N$18,"Missing game",0)</x:f>
        <x:v>dome</x:v>
      </x:c>
      <x:c r="AT1482" t="str">
        <x:f>_xlfn.XLOOKUP($A1482,Games!$A$2:$A$18,Games!$O$2:$O$18,"Missing game",0)</x:f>
        <x:v>sportturf</x:v>
      </x:c>
      <x:c r="AU1482" t="str">
        <x:f>_xlfn.XLOOKUP($A1482,Games!$A$2:$A$18,Games!$P$2:$P$18,"Missing game",0)</x:f>
      </x:c>
      <x:c r="AV1482" t="str">
        <x:f>_xlfn.XLOOKUP($A1482,Games!$A$2:$A$18,Games!$Q$2:$Q$18,"Missing game",0)</x:f>
      </x:c>
      <x:c r="AW1482" t="str">
        <x:f>_xlfn.XLOOKUP($A1482,Games!$A$2:$A$18,Games!$R$2:$R$18,"Missing game",0)</x:f>
        <x:v>U.S. Bank Stadium</x:v>
      </x:c>
    </x:row>
    <x:row r="1483">
      <x:c r="A1483" t="str">
        <x:v>2025_10_BAL_MIN</x:v>
      </x:c>
      <x:c r="B1483" t="n">
        <x:v>3299</x:v>
      </x:c>
      <x:c r="C1483" t="n">
        <x:v>4</x:v>
      </x:c>
      <x:c r="D1483" t="str">
        <x:v>12:13</x:v>
      </x:c>
      <x:c r="E1483" t="n">
        <x:v>2</x:v>
      </x:c>
      <x:c r="F1483" t="n">
        <x:v>4</x:v>
      </x:c>
      <x:c r="G1483" t="str">
        <x:v>BAL</x:v>
      </x:c>
      <x:c r="H1483" t="str">
        <x:v>MIN</x:v>
      </x:c>
      <x:c r="I1483" t="str">
        <x:v>MIN</x:v>
      </x:c>
      <x:c r="J1483" t="n">
        <x:v>11</x:v>
      </x:c>
      <x:c r="K1483" t="str">
        <x:v>(12:13) 34-K.Mitchell right end to MIN 9 for 2 yards (7-B.Murphy).</x:v>
      </x:c>
      <x:c r="L1483" t="str">
        <x:v>run</x:v>
      </x:c>
      <x:c r="M1483" t="n">
        <x:v>2</x:v>
      </x:c>
      <x:c r="N1483" t="n">
        <x:v>0</x:v>
      </x:c>
      <x:c r="O1483" t="n">
        <x:v>0</x:v>
      </x:c>
      <x:c r="P1483"/>
      <x:c r="Q1483"/>
      <x:c r="R1483"/>
      <x:c r="S1483"/>
      <x:c r="T1483" t="str">
        <x:v>right</x:v>
      </x:c>
      <x:c r="U1483" t="str">
        <x:v>end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0</x:v>
      </x:c>
      <x:c r="AB1483"/>
      <x:c r="AC1483" t="n">
        <x:v>0</x:v>
      </x:c>
      <x:c r="AD1483" t="n">
        <x:v>-0.41976662760134786</x:v>
      </x:c>
      <x:c r="AE1483" t="n">
        <x:v>0</x:v>
      </x:c>
      <x:c r="AF1483" t="n">
        <x:v>0.004261195659637451</x:v>
      </x:c>
      <x:c r="AG1483" t="n">
        <x:f>_xlfn.XLOOKUP($A1483,Games!$A$2:$A$18,Games!$B$2:$B$18,"Missing game",0)</x:f>
        <x:v>2025</x:v>
      </x:c>
      <x:c r="AH1483" t="str">
        <x:f>_xlfn.XLOOKUP($A1483,Games!$A$2:$A$18,Games!$C$2:$C$18,"Missing game",0)</x:f>
        <x:v>REG</x:v>
      </x:c>
      <x:c r="AI1483" t="n">
        <x:f>_xlfn.XLOOKUP($A1483,Games!$A$2:$A$18,Games!$D$2:$D$18,"Missing game",0)</x:f>
        <x:v>10</x:v>
      </x:c>
      <x:c r="AJ1483" s="1" t="n">
        <x:f>_xlfn.XLOOKUP($A1483,Games!$A$2:$A$18,Games!$E$2:$E$18,"Missing game",0)</x:f>
        <x:v>45970</x:v>
      </x:c>
      <x:c r="AK1483" t="str">
        <x:f>_xlfn.XLOOKUP($A1483,Games!$A$2:$A$18,Games!$F$2:$F$18,"Missing game",0)</x:f>
        <x:v>Sunday</x:v>
      </x:c>
      <x:c r="AL1483" t="str">
        <x:f>_xlfn.XLOOKUP($A1483,Games!$A$2:$A$18,Games!$G$2:$G$18,"Missing game",0)</x:f>
        <x:v>BAL</x:v>
      </x:c>
      <x:c r="AM1483" t="n">
        <x:f>_xlfn.XLOOKUP($A1483,Games!$A$2:$A$18,Games!$H$2:$H$18,"Missing game",0)</x:f>
        <x:v>27</x:v>
      </x:c>
      <x:c r="AN1483" t="str">
        <x:f>_xlfn.XLOOKUP($A1483,Games!$A$2:$A$18,Games!$I$2:$I$18,"Missing game",0)</x:f>
        <x:v>MIN</x:v>
      </x:c>
      <x:c r="AO1483" t="n">
        <x:f>_xlfn.XLOOKUP($A1483,Games!$A$2:$A$18,Games!$J$2:$J$18,"Missing game",0)</x:f>
        <x:v>19</x:v>
      </x:c>
      <x:c r="AP1483" t="n">
        <x:f>_xlfn.XLOOKUP($A1483,Games!$A$2:$A$18,Games!$K$2:$K$18,"Missing game",0)</x:f>
        <x:v>-8</x:v>
      </x:c>
      <x:c r="AQ1483" t="n">
        <x:f>_xlfn.XLOOKUP($A1483,Games!$A$2:$A$18,Games!$L$2:$L$18,"Missing game",0)</x:f>
        <x:v>46</x:v>
      </x:c>
      <x:c r="AR1483" t="n">
        <x:f>_xlfn.XLOOKUP($A1483,Games!$A$2:$A$18,Games!$M$2:$M$18,"Missing game",0)</x:f>
        <x:v>0</x:v>
      </x:c>
      <x:c r="AS1483" t="str">
        <x:f>_xlfn.XLOOKUP($A1483,Games!$A$2:$A$18,Games!$N$2:$N$18,"Missing game",0)</x:f>
        <x:v>dome</x:v>
      </x:c>
      <x:c r="AT1483" t="str">
        <x:f>_xlfn.XLOOKUP($A1483,Games!$A$2:$A$18,Games!$O$2:$O$18,"Missing game",0)</x:f>
        <x:v>sportturf</x:v>
      </x:c>
      <x:c r="AU1483" t="str">
        <x:f>_xlfn.XLOOKUP($A1483,Games!$A$2:$A$18,Games!$P$2:$P$18,"Missing game",0)</x:f>
      </x:c>
      <x:c r="AV1483" t="str">
        <x:f>_xlfn.XLOOKUP($A1483,Games!$A$2:$A$18,Games!$Q$2:$Q$18,"Missing game",0)</x:f>
      </x:c>
      <x:c r="AW1483" t="str">
        <x:f>_xlfn.XLOOKUP($A1483,Games!$A$2:$A$18,Games!$R$2:$R$18,"Missing game",0)</x:f>
        <x:v>U.S. Bank Stadium</x:v>
      </x:c>
    </x:row>
    <x:row r="1484">
      <x:c r="A1484" t="str">
        <x:v>2025_10_BAL_MIN</x:v>
      </x:c>
      <x:c r="B1484" t="n">
        <x:v>3321</x:v>
      </x:c>
      <x:c r="C1484" t="n">
        <x:v>4</x:v>
      </x:c>
      <x:c r="D1484" t="str">
        <x:v>11:30</x:v>
      </x:c>
      <x:c r="E1484" t="n">
        <x:v>3</x:v>
      </x:c>
      <x:c r="F1484" t="n">
        <x:v>2</x:v>
      </x:c>
      <x:c r="G1484" t="str">
        <x:v>BAL</x:v>
      </x:c>
      <x:c r="H1484" t="str">
        <x:v>MIN</x:v>
      </x:c>
      <x:c r="I1484" t="str">
        <x:v>MIN</x:v>
      </x:c>
      <x:c r="J1484" t="n">
        <x:v>9</x:v>
      </x:c>
      <x:c r="K1484" t="str">
        <x:v>(11:30) (Shotgun) 8-L.Jackson left end to MIN 2 for 7 yards (2-I.Rodgers).</x:v>
      </x:c>
      <x:c r="L1484" t="str">
        <x:v>run</x:v>
      </x:c>
      <x:c r="M1484" t="n">
        <x:v>7</x:v>
      </x:c>
      <x:c r="N1484" t="n">
        <x:v>1</x:v>
      </x:c>
      <x:c r="O1484" t="n">
        <x:v>0</x:v>
      </x:c>
      <x:c r="P1484"/>
      <x:c r="Q1484"/>
      <x:c r="R1484"/>
      <x:c r="S1484"/>
      <x:c r="T1484" t="str">
        <x:v>left</x:v>
      </x:c>
      <x:c r="U1484" t="str">
        <x:v>end</x:v>
      </x:c>
      <x:c r="V1484" t="n">
        <x:v>0</x:v>
      </x:c>
      <x:c r="W1484" t="n">
        <x:v>1</x:v>
      </x:c>
      <x:c r="X1484" t="n">
        <x:v>0</x:v>
      </x:c>
      <x:c r="Y1484" t="n">
        <x:v>0</x:v>
      </x:c>
      <x:c r="Z1484" t="n">
        <x:v>0</x:v>
      </x:c>
      <x:c r="AA1484" t="n">
        <x:v>0</x:v>
      </x:c>
      <x:c r="AB1484"/>
      <x:c r="AC1484" t="n">
        <x:v>0</x:v>
      </x:c>
      <x:c r="AD1484" t="n">
        <x:v>1.6076500857598148</x:v>
      </x:c>
      <x:c r="AE1484" t="n">
        <x:v>1</x:v>
      </x:c>
      <x:c r="AF1484" t="n">
        <x:v>0.013638436794281006</x:v>
      </x:c>
      <x:c r="AG1484" t="n">
        <x:f>_xlfn.XLOOKUP($A1484,Games!$A$2:$A$18,Games!$B$2:$B$18,"Missing game",0)</x:f>
        <x:v>2025</x:v>
      </x:c>
      <x:c r="AH1484" t="str">
        <x:f>_xlfn.XLOOKUP($A1484,Games!$A$2:$A$18,Games!$C$2:$C$18,"Missing game",0)</x:f>
        <x:v>REG</x:v>
      </x:c>
      <x:c r="AI1484" t="n">
        <x:f>_xlfn.XLOOKUP($A1484,Games!$A$2:$A$18,Games!$D$2:$D$18,"Missing game",0)</x:f>
        <x:v>10</x:v>
      </x:c>
      <x:c r="AJ1484" s="1" t="n">
        <x:f>_xlfn.XLOOKUP($A1484,Games!$A$2:$A$18,Games!$E$2:$E$18,"Missing game",0)</x:f>
        <x:v>45970</x:v>
      </x:c>
      <x:c r="AK1484" t="str">
        <x:f>_xlfn.XLOOKUP($A1484,Games!$A$2:$A$18,Games!$F$2:$F$18,"Missing game",0)</x:f>
        <x:v>Sunday</x:v>
      </x:c>
      <x:c r="AL1484" t="str">
        <x:f>_xlfn.XLOOKUP($A1484,Games!$A$2:$A$18,Games!$G$2:$G$18,"Missing game",0)</x:f>
        <x:v>BAL</x:v>
      </x:c>
      <x:c r="AM1484" t="n">
        <x:f>_xlfn.XLOOKUP($A1484,Games!$A$2:$A$18,Games!$H$2:$H$18,"Missing game",0)</x:f>
        <x:v>27</x:v>
      </x:c>
      <x:c r="AN1484" t="str">
        <x:f>_xlfn.XLOOKUP($A1484,Games!$A$2:$A$18,Games!$I$2:$I$18,"Missing game",0)</x:f>
        <x:v>MIN</x:v>
      </x:c>
      <x:c r="AO1484" t="n">
        <x:f>_xlfn.XLOOKUP($A1484,Games!$A$2:$A$18,Games!$J$2:$J$18,"Missing game",0)</x:f>
        <x:v>19</x:v>
      </x:c>
      <x:c r="AP1484" t="n">
        <x:f>_xlfn.XLOOKUP($A1484,Games!$A$2:$A$18,Games!$K$2:$K$18,"Missing game",0)</x:f>
        <x:v>-8</x:v>
      </x:c>
      <x:c r="AQ1484" t="n">
        <x:f>_xlfn.XLOOKUP($A1484,Games!$A$2:$A$18,Games!$L$2:$L$18,"Missing game",0)</x:f>
        <x:v>46</x:v>
      </x:c>
      <x:c r="AR1484" t="n">
        <x:f>_xlfn.XLOOKUP($A1484,Games!$A$2:$A$18,Games!$M$2:$M$18,"Missing game",0)</x:f>
        <x:v>0</x:v>
      </x:c>
      <x:c r="AS1484" t="str">
        <x:f>_xlfn.XLOOKUP($A1484,Games!$A$2:$A$18,Games!$N$2:$N$18,"Missing game",0)</x:f>
        <x:v>dome</x:v>
      </x:c>
      <x:c r="AT1484" t="str">
        <x:f>_xlfn.XLOOKUP($A1484,Games!$A$2:$A$18,Games!$O$2:$O$18,"Missing game",0)</x:f>
        <x:v>sportturf</x:v>
      </x:c>
      <x:c r="AU1484" t="str">
        <x:f>_xlfn.XLOOKUP($A1484,Games!$A$2:$A$18,Games!$P$2:$P$18,"Missing game",0)</x:f>
      </x:c>
      <x:c r="AV1484" t="str">
        <x:f>_xlfn.XLOOKUP($A1484,Games!$A$2:$A$18,Games!$Q$2:$Q$18,"Missing game",0)</x:f>
      </x:c>
      <x:c r="AW1484" t="str">
        <x:f>_xlfn.XLOOKUP($A1484,Games!$A$2:$A$18,Games!$R$2:$R$18,"Missing game",0)</x:f>
        <x:v>U.S. Bank Stadium</x:v>
      </x:c>
    </x:row>
    <x:row r="1485">
      <x:c r="A1485" t="str">
        <x:v>2025_10_BAL_MIN</x:v>
      </x:c>
      <x:c r="B1485" t="n">
        <x:v>3333</x:v>
      </x:c>
      <x:c r="C1485" t="n">
        <x:v>4</x:v>
      </x:c>
      <x:c r="D1485" t="str">
        <x:v>11:30</x:v>
      </x:c>
      <x:c r="E1485"/>
      <x:c r="F1485" t="n">
        <x:v>0</x:v>
      </x:c>
      <x:c r="G1485"/>
      <x:c r="H1485"/>
      <x:c r="I1485"/>
      <x:c r="J1485"/>
      <x:c r="K1485" t="str">
        <x:v>Timeout #1 by BAL at 11:30.</x:v>
      </x:c>
      <x:c r="L1485" t="str">
        <x:v>no_play</x:v>
      </x:c>
      <x:c r="M1485" t="n">
        <x:v>0</x:v>
      </x:c>
      <x:c r="N1485" t="n">
        <x:v>0</x:v>
      </x:c>
      <x:c r="O1485" t="n">
        <x:v>0</x:v>
      </x:c>
      <x:c r="P1485"/>
      <x:c r="Q1485"/>
      <x:c r="R1485"/>
      <x:c r="S1485"/>
      <x:c r="T1485"/>
      <x:c r="U1485"/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0</x:v>
      </x:c>
      <x:c r="AB1485"/>
      <x:c r="AC1485" t="n">
        <x:v>0</x:v>
      </x:c>
      <x:c r="AD1485" t="n">
        <x:v>0</x:v>
      </x:c>
      <x:c r="AE1485" t="n">
        <x:v>0</x:v>
      </x:c>
      <x:c r="AF1485" t="n">
        <x:v>0</x:v>
      </x:c>
      <x:c r="AG1485" t="n">
        <x:f>_xlfn.XLOOKUP($A1485,Games!$A$2:$A$18,Games!$B$2:$B$18,"Missing game",0)</x:f>
        <x:v>2025</x:v>
      </x:c>
      <x:c r="AH1485" t="str">
        <x:f>_xlfn.XLOOKUP($A1485,Games!$A$2:$A$18,Games!$C$2:$C$18,"Missing game",0)</x:f>
        <x:v>REG</x:v>
      </x:c>
      <x:c r="AI1485" t="n">
        <x:f>_xlfn.XLOOKUP($A1485,Games!$A$2:$A$18,Games!$D$2:$D$18,"Missing game",0)</x:f>
        <x:v>10</x:v>
      </x:c>
      <x:c r="AJ1485" s="1" t="n">
        <x:f>_xlfn.XLOOKUP($A1485,Games!$A$2:$A$18,Games!$E$2:$E$18,"Missing game",0)</x:f>
        <x:v>45970</x:v>
      </x:c>
      <x:c r="AK1485" t="str">
        <x:f>_xlfn.XLOOKUP($A1485,Games!$A$2:$A$18,Games!$F$2:$F$18,"Missing game",0)</x:f>
        <x:v>Sunday</x:v>
      </x:c>
      <x:c r="AL1485" t="str">
        <x:f>_xlfn.XLOOKUP($A1485,Games!$A$2:$A$18,Games!$G$2:$G$18,"Missing game",0)</x:f>
        <x:v>BAL</x:v>
      </x:c>
      <x:c r="AM1485" t="n">
        <x:f>_xlfn.XLOOKUP($A1485,Games!$A$2:$A$18,Games!$H$2:$H$18,"Missing game",0)</x:f>
        <x:v>27</x:v>
      </x:c>
      <x:c r="AN1485" t="str">
        <x:f>_xlfn.XLOOKUP($A1485,Games!$A$2:$A$18,Games!$I$2:$I$18,"Missing game",0)</x:f>
        <x:v>MIN</x:v>
      </x:c>
      <x:c r="AO1485" t="n">
        <x:f>_xlfn.XLOOKUP($A1485,Games!$A$2:$A$18,Games!$J$2:$J$18,"Missing game",0)</x:f>
        <x:v>19</x:v>
      </x:c>
      <x:c r="AP1485" t="n">
        <x:f>_xlfn.XLOOKUP($A1485,Games!$A$2:$A$18,Games!$K$2:$K$18,"Missing game",0)</x:f>
        <x:v>-8</x:v>
      </x:c>
      <x:c r="AQ1485" t="n">
        <x:f>_xlfn.XLOOKUP($A1485,Games!$A$2:$A$18,Games!$L$2:$L$18,"Missing game",0)</x:f>
        <x:v>46</x:v>
      </x:c>
      <x:c r="AR1485" t="n">
        <x:f>_xlfn.XLOOKUP($A1485,Games!$A$2:$A$18,Games!$M$2:$M$18,"Missing game",0)</x:f>
        <x:v>0</x:v>
      </x:c>
      <x:c r="AS1485" t="str">
        <x:f>_xlfn.XLOOKUP($A1485,Games!$A$2:$A$18,Games!$N$2:$N$18,"Missing game",0)</x:f>
        <x:v>dome</x:v>
      </x:c>
      <x:c r="AT1485" t="str">
        <x:f>_xlfn.XLOOKUP($A1485,Games!$A$2:$A$18,Games!$O$2:$O$18,"Missing game",0)</x:f>
        <x:v>sportturf</x:v>
      </x:c>
      <x:c r="AU1485" t="str">
        <x:f>_xlfn.XLOOKUP($A1485,Games!$A$2:$A$18,Games!$P$2:$P$18,"Missing game",0)</x:f>
      </x:c>
      <x:c r="AV1485" t="str">
        <x:f>_xlfn.XLOOKUP($A1485,Games!$A$2:$A$18,Games!$Q$2:$Q$18,"Missing game",0)</x:f>
      </x:c>
      <x:c r="AW1485" t="str">
        <x:f>_xlfn.XLOOKUP($A1485,Games!$A$2:$A$18,Games!$R$2:$R$18,"Missing game",0)</x:f>
        <x:v>U.S. Bank Stadium</x:v>
      </x:c>
    </x:row>
    <x:row r="1486">
      <x:c r="A1486" t="str">
        <x:v>2025_10_BAL_MIN</x:v>
      </x:c>
      <x:c r="B1486" t="n">
        <x:v>3350</x:v>
      </x:c>
      <x:c r="C1486" t="n">
        <x:v>4</x:v>
      </x:c>
      <x:c r="D1486" t="str">
        <x:v>10:44</x:v>
      </x:c>
      <x:c r="E1486" t="n">
        <x:v>1</x:v>
      </x:c>
      <x:c r="F1486" t="n">
        <x:v>2</x:v>
      </x:c>
      <x:c r="G1486" t="str">
        <x:v>BAL</x:v>
      </x:c>
      <x:c r="H1486" t="str">
        <x:v>MIN</x:v>
      </x:c>
      <x:c r="I1486" t="str">
        <x:v>MIN</x:v>
      </x:c>
      <x:c r="J1486" t="n">
        <x:v>2</x:v>
      </x:c>
      <x:c r="K1486" t="str">
        <x:v>(10:44) (Shotgun) 8-L.Jackson pass short right to 89-M.Andrews for 2 yards, TOUCHDOWN.</x:v>
      </x:c>
      <x:c r="L1486" t="str">
        <x:v>pass</x:v>
      </x:c>
      <x:c r="M1486" t="n">
        <x:v>2</x:v>
      </x:c>
      <x:c r="N1486" t="n">
        <x:v>1</x:v>
      </x:c>
      <x:c r="O1486" t="n">
        <x:v>0</x:v>
      </x:c>
      <x:c r="P1486" t="str">
        <x:v>short</x:v>
      </x:c>
      <x:c r="Q1486" t="str">
        <x:v>right</x:v>
      </x:c>
      <x:c r="R1486" t="n">
        <x:v>2</x:v>
      </x:c>
      <x:c r="S1486" t="n">
        <x:v>0</x:v>
      </x:c>
      <x:c r="T1486"/>
      <x:c r="U1486"/>
      <x:c r="V1486" t="n">
        <x:v>1</x:v>
      </x:c>
      <x:c r="W1486" t="n">
        <x:v>1</x:v>
      </x:c>
      <x:c r="X1486" t="n">
        <x:v>0</x:v>
      </x:c>
      <x:c r="Y1486" t="n">
        <x:v>0</x:v>
      </x:c>
      <x:c r="Z1486" t="n">
        <x:v>0</x:v>
      </x:c>
      <x:c r="AA1486" t="n">
        <x:v>0</x:v>
      </x:c>
      <x:c r="AB1486"/>
      <x:c r="AC1486" t="n">
        <x:v>1</x:v>
      </x:c>
      <x:c r="AD1486" t="n">
        <x:v>0.7372766896733083</x:v>
      </x:c>
      <x:c r="AE1486" t="n">
        <x:v>1</x:v>
      </x:c>
      <x:c r="AF1486" t="n">
        <x:v>0.03921994976885612</x:v>
      </x:c>
      <x:c r="AG1486" t="n">
        <x:f>_xlfn.XLOOKUP($A1486,Games!$A$2:$A$18,Games!$B$2:$B$18,"Missing game",0)</x:f>
        <x:v>2025</x:v>
      </x:c>
      <x:c r="AH1486" t="str">
        <x:f>_xlfn.XLOOKUP($A1486,Games!$A$2:$A$18,Games!$C$2:$C$18,"Missing game",0)</x:f>
        <x:v>REG</x:v>
      </x:c>
      <x:c r="AI1486" t="n">
        <x:f>_xlfn.XLOOKUP($A1486,Games!$A$2:$A$18,Games!$D$2:$D$18,"Missing game",0)</x:f>
        <x:v>10</x:v>
      </x:c>
      <x:c r="AJ1486" s="1" t="n">
        <x:f>_xlfn.XLOOKUP($A1486,Games!$A$2:$A$18,Games!$E$2:$E$18,"Missing game",0)</x:f>
        <x:v>45970</x:v>
      </x:c>
      <x:c r="AK1486" t="str">
        <x:f>_xlfn.XLOOKUP($A1486,Games!$A$2:$A$18,Games!$F$2:$F$18,"Missing game",0)</x:f>
        <x:v>Sunday</x:v>
      </x:c>
      <x:c r="AL1486" t="str">
        <x:f>_xlfn.XLOOKUP($A1486,Games!$A$2:$A$18,Games!$G$2:$G$18,"Missing game",0)</x:f>
        <x:v>BAL</x:v>
      </x:c>
      <x:c r="AM1486" t="n">
        <x:f>_xlfn.XLOOKUP($A1486,Games!$A$2:$A$18,Games!$H$2:$H$18,"Missing game",0)</x:f>
        <x:v>27</x:v>
      </x:c>
      <x:c r="AN1486" t="str">
        <x:f>_xlfn.XLOOKUP($A1486,Games!$A$2:$A$18,Games!$I$2:$I$18,"Missing game",0)</x:f>
        <x:v>MIN</x:v>
      </x:c>
      <x:c r="AO1486" t="n">
        <x:f>_xlfn.XLOOKUP($A1486,Games!$A$2:$A$18,Games!$J$2:$J$18,"Missing game",0)</x:f>
        <x:v>19</x:v>
      </x:c>
      <x:c r="AP1486" t="n">
        <x:f>_xlfn.XLOOKUP($A1486,Games!$A$2:$A$18,Games!$K$2:$K$18,"Missing game",0)</x:f>
        <x:v>-8</x:v>
      </x:c>
      <x:c r="AQ1486" t="n">
        <x:f>_xlfn.XLOOKUP($A1486,Games!$A$2:$A$18,Games!$L$2:$L$18,"Missing game",0)</x:f>
        <x:v>46</x:v>
      </x:c>
      <x:c r="AR1486" t="n">
        <x:f>_xlfn.XLOOKUP($A1486,Games!$A$2:$A$18,Games!$M$2:$M$18,"Missing game",0)</x:f>
        <x:v>0</x:v>
      </x:c>
      <x:c r="AS1486" t="str">
        <x:f>_xlfn.XLOOKUP($A1486,Games!$A$2:$A$18,Games!$N$2:$N$18,"Missing game",0)</x:f>
        <x:v>dome</x:v>
      </x:c>
      <x:c r="AT1486" t="str">
        <x:f>_xlfn.XLOOKUP($A1486,Games!$A$2:$A$18,Games!$O$2:$O$18,"Missing game",0)</x:f>
        <x:v>sportturf</x:v>
      </x:c>
      <x:c r="AU1486" t="str">
        <x:f>_xlfn.XLOOKUP($A1486,Games!$A$2:$A$18,Games!$P$2:$P$18,"Missing game",0)</x:f>
      </x:c>
      <x:c r="AV1486" t="str">
        <x:f>_xlfn.XLOOKUP($A1486,Games!$A$2:$A$18,Games!$Q$2:$Q$18,"Missing game",0)</x:f>
      </x:c>
      <x:c r="AW1486" t="str">
        <x:f>_xlfn.XLOOKUP($A1486,Games!$A$2:$A$18,Games!$R$2:$R$18,"Missing game",0)</x:f>
        <x:v>U.S. Bank Stadium</x:v>
      </x:c>
    </x:row>
    <x:row r="1487">
      <x:c r="A1487" t="str">
        <x:v>2025_10_BAL_MIN</x:v>
      </x:c>
      <x:c r="B1487" t="n">
        <x:v>3376</x:v>
      </x:c>
      <x:c r="C1487" t="n">
        <x:v>4</x:v>
      </x:c>
      <x:c r="D1487" t="str">
        <x:v>10:40</x:v>
      </x:c>
      <x:c r="E1487"/>
      <x:c r="F1487" t="n">
        <x:v>0</x:v>
      </x:c>
      <x:c r="G1487" t="str">
        <x:v>BAL</x:v>
      </x:c>
      <x:c r="H1487" t="str">
        <x:v>MIN</x:v>
      </x:c>
      <x:c r="I1487" t="str">
        <x:v>MIN</x:v>
      </x:c>
      <x:c r="J1487" t="n">
        <x:v>2</x:v>
      </x:c>
      <x:c r="K1487" t="str">
        <x:v>TWO-POINT CONVERSION ATTEMPT. 8-L.Jackson pass to 7-R.Bateman is complete. ATTEMPT SUCCEEDS.</x:v>
      </x:c>
      <x:c r="L1487" t="str">
        <x:v>pass</x:v>
      </x:c>
      <x:c r="M1487" t="n">
        <x:v>2</x:v>
      </x:c>
      <x:c r="N1487" t="n">
        <x:v>0</x:v>
      </x:c>
      <x:c r="O1487" t="n">
        <x:v>0</x:v>
      </x:c>
      <x:c r="P1487"/>
      <x:c r="Q1487"/>
      <x:c r="R1487"/>
      <x:c r="S1487"/>
      <x:c r="T1487"/>
      <x:c r="U1487"/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0</x:v>
      </x:c>
      <x:c r="AB1487"/>
      <x:c r="AC1487" t="n">
        <x:v>0</x:v>
      </x:c>
      <x:c r="AD1487" t="n">
        <x:v>1.053</x:v>
      </x:c>
      <x:c r="AE1487" t="n">
        <x:v>1</x:v>
      </x:c>
      <x:c r="AF1487" t="n">
        <x:v>0.014237321538850711</x:v>
      </x:c>
      <x:c r="AG1487" t="n">
        <x:f>_xlfn.XLOOKUP($A1487,Games!$A$2:$A$18,Games!$B$2:$B$18,"Missing game",0)</x:f>
        <x:v>2025</x:v>
      </x:c>
      <x:c r="AH1487" t="str">
        <x:f>_xlfn.XLOOKUP($A1487,Games!$A$2:$A$18,Games!$C$2:$C$18,"Missing game",0)</x:f>
        <x:v>REG</x:v>
      </x:c>
      <x:c r="AI1487" t="n">
        <x:f>_xlfn.XLOOKUP($A1487,Games!$A$2:$A$18,Games!$D$2:$D$18,"Missing game",0)</x:f>
        <x:v>10</x:v>
      </x:c>
      <x:c r="AJ1487" s="1" t="n">
        <x:f>_xlfn.XLOOKUP($A1487,Games!$A$2:$A$18,Games!$E$2:$E$18,"Missing game",0)</x:f>
        <x:v>45970</x:v>
      </x:c>
      <x:c r="AK1487" t="str">
        <x:f>_xlfn.XLOOKUP($A1487,Games!$A$2:$A$18,Games!$F$2:$F$18,"Missing game",0)</x:f>
        <x:v>Sunday</x:v>
      </x:c>
      <x:c r="AL1487" t="str">
        <x:f>_xlfn.XLOOKUP($A1487,Games!$A$2:$A$18,Games!$G$2:$G$18,"Missing game",0)</x:f>
        <x:v>BAL</x:v>
      </x:c>
      <x:c r="AM1487" t="n">
        <x:f>_xlfn.XLOOKUP($A1487,Games!$A$2:$A$18,Games!$H$2:$H$18,"Missing game",0)</x:f>
        <x:v>27</x:v>
      </x:c>
      <x:c r="AN1487" t="str">
        <x:f>_xlfn.XLOOKUP($A1487,Games!$A$2:$A$18,Games!$I$2:$I$18,"Missing game",0)</x:f>
        <x:v>MIN</x:v>
      </x:c>
      <x:c r="AO1487" t="n">
        <x:f>_xlfn.XLOOKUP($A1487,Games!$A$2:$A$18,Games!$J$2:$J$18,"Missing game",0)</x:f>
        <x:v>19</x:v>
      </x:c>
      <x:c r="AP1487" t="n">
        <x:f>_xlfn.XLOOKUP($A1487,Games!$A$2:$A$18,Games!$K$2:$K$18,"Missing game",0)</x:f>
        <x:v>-8</x:v>
      </x:c>
      <x:c r="AQ1487" t="n">
        <x:f>_xlfn.XLOOKUP($A1487,Games!$A$2:$A$18,Games!$L$2:$L$18,"Missing game",0)</x:f>
        <x:v>46</x:v>
      </x:c>
      <x:c r="AR1487" t="n">
        <x:f>_xlfn.XLOOKUP($A1487,Games!$A$2:$A$18,Games!$M$2:$M$18,"Missing game",0)</x:f>
        <x:v>0</x:v>
      </x:c>
      <x:c r="AS1487" t="str">
        <x:f>_xlfn.XLOOKUP($A1487,Games!$A$2:$A$18,Games!$N$2:$N$18,"Missing game",0)</x:f>
        <x:v>dome</x:v>
      </x:c>
      <x:c r="AT1487" t="str">
        <x:f>_xlfn.XLOOKUP($A1487,Games!$A$2:$A$18,Games!$O$2:$O$18,"Missing game",0)</x:f>
        <x:v>sportturf</x:v>
      </x:c>
      <x:c r="AU1487" t="str">
        <x:f>_xlfn.XLOOKUP($A1487,Games!$A$2:$A$18,Games!$P$2:$P$18,"Missing game",0)</x:f>
      </x:c>
      <x:c r="AV1487" t="str">
        <x:f>_xlfn.XLOOKUP($A1487,Games!$A$2:$A$18,Games!$Q$2:$Q$18,"Missing game",0)</x:f>
      </x:c>
      <x:c r="AW1487" t="str">
        <x:f>_xlfn.XLOOKUP($A1487,Games!$A$2:$A$18,Games!$R$2:$R$18,"Missing game",0)</x:f>
        <x:v>U.S. Bank Stadium</x:v>
      </x:c>
    </x:row>
    <x:row r="1488">
      <x:c r="A1488" t="str">
        <x:v>2025_10_BAL_MIN</x:v>
      </x:c>
      <x:c r="B1488" t="n">
        <x:v>3389</x:v>
      </x:c>
      <x:c r="C1488" t="n">
        <x:v>4</x:v>
      </x:c>
      <x:c r="D1488" t="str">
        <x:v>10:40</x:v>
      </x:c>
      <x:c r="E1488"/>
      <x:c r="F1488" t="n">
        <x:v>0</x:v>
      </x:c>
      <x:c r="G1488" t="str">
        <x:v>MIN</x:v>
      </x:c>
      <x:c r="H1488" t="str">
        <x:v>BAL</x:v>
      </x:c>
      <x:c r="I1488" t="str">
        <x:v>BAL</x:v>
      </x:c>
      <x:c r="J1488" t="n">
        <x:v>35</x:v>
      </x:c>
      <x:c r="K1488" t="str">
        <x:v>33-T.Loop kicks 62 yards from BAL 35 to MIN 3. 4-M.Price pushed ob at MIN 29 for 26 yards (49-J.Higgins).</x:v>
      </x:c>
      <x:c r="L1488" t="str">
        <x:v>kickoff</x:v>
      </x:c>
      <x:c r="M1488" t="n">
        <x:v>0</x:v>
      </x:c>
      <x:c r="N1488" t="n">
        <x:v>0</x:v>
      </x:c>
      <x:c r="O1488" t="n">
        <x:v>0</x:v>
      </x:c>
      <x:c r="P1488"/>
      <x:c r="Q1488"/>
      <x:c r="R1488"/>
      <x:c r="S1488"/>
      <x:c r="T1488"/>
      <x:c r="U1488"/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0</x:v>
      </x:c>
      <x:c r="AB1488"/>
      <x:c r="AC1488" t="n">
        <x:v>0</x:v>
      </x:c>
      <x:c r="AD1488" t="n">
        <x:v>0.2276572419796139</x:v>
      </x:c>
      <x:c r="AE1488" t="n">
        <x:v>1</x:v>
      </x:c>
      <x:c r="AF1488" t="n">
        <x:v>0.004395153373479843</x:v>
      </x:c>
      <x:c r="AG1488" t="n">
        <x:f>_xlfn.XLOOKUP($A1488,Games!$A$2:$A$18,Games!$B$2:$B$18,"Missing game",0)</x:f>
        <x:v>2025</x:v>
      </x:c>
      <x:c r="AH1488" t="str">
        <x:f>_xlfn.XLOOKUP($A1488,Games!$A$2:$A$18,Games!$C$2:$C$18,"Missing game",0)</x:f>
        <x:v>REG</x:v>
      </x:c>
      <x:c r="AI1488" t="n">
        <x:f>_xlfn.XLOOKUP($A1488,Games!$A$2:$A$18,Games!$D$2:$D$18,"Missing game",0)</x:f>
        <x:v>10</x:v>
      </x:c>
      <x:c r="AJ1488" s="1" t="n">
        <x:f>_xlfn.XLOOKUP($A1488,Games!$A$2:$A$18,Games!$E$2:$E$18,"Missing game",0)</x:f>
        <x:v>45970</x:v>
      </x:c>
      <x:c r="AK1488" t="str">
        <x:f>_xlfn.XLOOKUP($A1488,Games!$A$2:$A$18,Games!$F$2:$F$18,"Missing game",0)</x:f>
        <x:v>Sunday</x:v>
      </x:c>
      <x:c r="AL1488" t="str">
        <x:f>_xlfn.XLOOKUP($A1488,Games!$A$2:$A$18,Games!$G$2:$G$18,"Missing game",0)</x:f>
        <x:v>BAL</x:v>
      </x:c>
      <x:c r="AM1488" t="n">
        <x:f>_xlfn.XLOOKUP($A1488,Games!$A$2:$A$18,Games!$H$2:$H$18,"Missing game",0)</x:f>
        <x:v>27</x:v>
      </x:c>
      <x:c r="AN1488" t="str">
        <x:f>_xlfn.XLOOKUP($A1488,Games!$A$2:$A$18,Games!$I$2:$I$18,"Missing game",0)</x:f>
        <x:v>MIN</x:v>
      </x:c>
      <x:c r="AO1488" t="n">
        <x:f>_xlfn.XLOOKUP($A1488,Games!$A$2:$A$18,Games!$J$2:$J$18,"Missing game",0)</x:f>
        <x:v>19</x:v>
      </x:c>
      <x:c r="AP1488" t="n">
        <x:f>_xlfn.XLOOKUP($A1488,Games!$A$2:$A$18,Games!$K$2:$K$18,"Missing game",0)</x:f>
        <x:v>-8</x:v>
      </x:c>
      <x:c r="AQ1488" t="n">
        <x:f>_xlfn.XLOOKUP($A1488,Games!$A$2:$A$18,Games!$L$2:$L$18,"Missing game",0)</x:f>
        <x:v>46</x:v>
      </x:c>
      <x:c r="AR1488" t="n">
        <x:f>_xlfn.XLOOKUP($A1488,Games!$A$2:$A$18,Games!$M$2:$M$18,"Missing game",0)</x:f>
        <x:v>0</x:v>
      </x:c>
      <x:c r="AS1488" t="str">
        <x:f>_xlfn.XLOOKUP($A1488,Games!$A$2:$A$18,Games!$N$2:$N$18,"Missing game",0)</x:f>
        <x:v>dome</x:v>
      </x:c>
      <x:c r="AT1488" t="str">
        <x:f>_xlfn.XLOOKUP($A1488,Games!$A$2:$A$18,Games!$O$2:$O$18,"Missing game",0)</x:f>
        <x:v>sportturf</x:v>
      </x:c>
      <x:c r="AU1488" t="str">
        <x:f>_xlfn.XLOOKUP($A1488,Games!$A$2:$A$18,Games!$P$2:$P$18,"Missing game",0)</x:f>
      </x:c>
      <x:c r="AV1488" t="str">
        <x:f>_xlfn.XLOOKUP($A1488,Games!$A$2:$A$18,Games!$Q$2:$Q$18,"Missing game",0)</x:f>
      </x:c>
      <x:c r="AW1488" t="str">
        <x:f>_xlfn.XLOOKUP($A1488,Games!$A$2:$A$18,Games!$R$2:$R$18,"Missing game",0)</x:f>
        <x:v>U.S. Bank Stadium</x:v>
      </x:c>
    </x:row>
    <x:row r="1489">
      <x:c r="A1489" t="str">
        <x:v>2025_10_BAL_MIN</x:v>
      </x:c>
      <x:c r="B1489" t="n">
        <x:v>3424</x:v>
      </x:c>
      <x:c r="C1489" t="n">
        <x:v>4</x:v>
      </x:c>
      <x:c r="D1489" t="str">
        <x:v>10:35</x:v>
      </x:c>
      <x:c r="E1489" t="n">
        <x:v>1</x:v>
      </x:c>
      <x:c r="F1489" t="n">
        <x:v>10</x:v>
      </x:c>
      <x:c r="G1489" t="str">
        <x:v>MIN</x:v>
      </x:c>
      <x:c r="H1489" t="str">
        <x:v>BAL</x:v>
      </x:c>
      <x:c r="I1489" t="str">
        <x:v>MIN</x:v>
      </x:c>
      <x:c r="J1489" t="n">
        <x:v>71</x:v>
      </x:c>
      <x:c r="K1489" t="str">
        <x:v>(10:35) 27-J.Mason right tackle to MIN 41 for 12 yards (12-A.Gilman; 2-N.Wiggins).</x:v>
      </x:c>
      <x:c r="L1489" t="str">
        <x:v>run</x:v>
      </x:c>
      <x:c r="M1489" t="n">
        <x:v>12</x:v>
      </x:c>
      <x:c r="N1489" t="n">
        <x:v>0</x:v>
      </x:c>
      <x:c r="O1489" t="n">
        <x:v>0</x:v>
      </x:c>
      <x:c r="P1489"/>
      <x:c r="Q1489"/>
      <x:c r="R1489"/>
      <x:c r="S1489"/>
      <x:c r="T1489" t="str">
        <x:v>right</x:v>
      </x:c>
      <x:c r="U1489" t="str">
        <x:v>tackle</x:v>
      </x:c>
      <x:c r="V1489" t="n">
        <x:v>0</x:v>
      </x:c>
      <x:c r="W1489" t="n">
        <x:v>1</x:v>
      </x:c>
      <x:c r="X1489" t="n">
        <x:v>0</x:v>
      </x:c>
      <x:c r="Y1489" t="n">
        <x:v>0</x:v>
      </x:c>
      <x:c r="Z1489" t="n">
        <x:v>0</x:v>
      </x:c>
      <x:c r="AA1489" t="n">
        <x:v>0</x:v>
      </x:c>
      <x:c r="AB1489"/>
      <x:c r="AC1489" t="n">
        <x:v>0</x:v>
      </x:c>
      <x:c r="AD1489" t="n">
        <x:v>0.5607789899222553</x:v>
      </x:c>
      <x:c r="AE1489" t="n">
        <x:v>1</x:v>
      </x:c>
      <x:c r="AF1489" t="n">
        <x:v>0.0056315138936042786</x:v>
      </x:c>
      <x:c r="AG1489" t="n">
        <x:f>_xlfn.XLOOKUP($A1489,Games!$A$2:$A$18,Games!$B$2:$B$18,"Missing game",0)</x:f>
        <x:v>2025</x:v>
      </x:c>
      <x:c r="AH1489" t="str">
        <x:f>_xlfn.XLOOKUP($A1489,Games!$A$2:$A$18,Games!$C$2:$C$18,"Missing game",0)</x:f>
        <x:v>REG</x:v>
      </x:c>
      <x:c r="AI1489" t="n">
        <x:f>_xlfn.XLOOKUP($A1489,Games!$A$2:$A$18,Games!$D$2:$D$18,"Missing game",0)</x:f>
        <x:v>10</x:v>
      </x:c>
      <x:c r="AJ1489" s="1" t="n">
        <x:f>_xlfn.XLOOKUP($A1489,Games!$A$2:$A$18,Games!$E$2:$E$18,"Missing game",0)</x:f>
        <x:v>45970</x:v>
      </x:c>
      <x:c r="AK1489" t="str">
        <x:f>_xlfn.XLOOKUP($A1489,Games!$A$2:$A$18,Games!$F$2:$F$18,"Missing game",0)</x:f>
        <x:v>Sunday</x:v>
      </x:c>
      <x:c r="AL1489" t="str">
        <x:f>_xlfn.XLOOKUP($A1489,Games!$A$2:$A$18,Games!$G$2:$G$18,"Missing game",0)</x:f>
        <x:v>BAL</x:v>
      </x:c>
      <x:c r="AM1489" t="n">
        <x:f>_xlfn.XLOOKUP($A1489,Games!$A$2:$A$18,Games!$H$2:$H$18,"Missing game",0)</x:f>
        <x:v>27</x:v>
      </x:c>
      <x:c r="AN1489" t="str">
        <x:f>_xlfn.XLOOKUP($A1489,Games!$A$2:$A$18,Games!$I$2:$I$18,"Missing game",0)</x:f>
        <x:v>MIN</x:v>
      </x:c>
      <x:c r="AO1489" t="n">
        <x:f>_xlfn.XLOOKUP($A1489,Games!$A$2:$A$18,Games!$J$2:$J$18,"Missing game",0)</x:f>
        <x:v>19</x:v>
      </x:c>
      <x:c r="AP1489" t="n">
        <x:f>_xlfn.XLOOKUP($A1489,Games!$A$2:$A$18,Games!$K$2:$K$18,"Missing game",0)</x:f>
        <x:v>-8</x:v>
      </x:c>
      <x:c r="AQ1489" t="n">
        <x:f>_xlfn.XLOOKUP($A1489,Games!$A$2:$A$18,Games!$L$2:$L$18,"Missing game",0)</x:f>
        <x:v>46</x:v>
      </x:c>
      <x:c r="AR1489" t="n">
        <x:f>_xlfn.XLOOKUP($A1489,Games!$A$2:$A$18,Games!$M$2:$M$18,"Missing game",0)</x:f>
        <x:v>0</x:v>
      </x:c>
      <x:c r="AS1489" t="str">
        <x:f>_xlfn.XLOOKUP($A1489,Games!$A$2:$A$18,Games!$N$2:$N$18,"Missing game",0)</x:f>
        <x:v>dome</x:v>
      </x:c>
      <x:c r="AT1489" t="str">
        <x:f>_xlfn.XLOOKUP($A1489,Games!$A$2:$A$18,Games!$O$2:$O$18,"Missing game",0)</x:f>
        <x:v>sportturf</x:v>
      </x:c>
      <x:c r="AU1489" t="str">
        <x:f>_xlfn.XLOOKUP($A1489,Games!$A$2:$A$18,Games!$P$2:$P$18,"Missing game",0)</x:f>
      </x:c>
      <x:c r="AV1489" t="str">
        <x:f>_xlfn.XLOOKUP($A1489,Games!$A$2:$A$18,Games!$Q$2:$Q$18,"Missing game",0)</x:f>
      </x:c>
      <x:c r="AW1489" t="str">
        <x:f>_xlfn.XLOOKUP($A1489,Games!$A$2:$A$18,Games!$R$2:$R$18,"Missing game",0)</x:f>
        <x:v>U.S. Bank Stadium</x:v>
      </x:c>
    </x:row>
    <x:row r="1490">
      <x:c r="A1490" t="str">
        <x:v>2025_10_BAL_MIN</x:v>
      </x:c>
      <x:c r="B1490" t="n">
        <x:v>3446</x:v>
      </x:c>
      <x:c r="C1490" t="n">
        <x:v>4</x:v>
      </x:c>
      <x:c r="D1490" t="str">
        <x:v>09:57</x:v>
      </x:c>
      <x:c r="E1490" t="n">
        <x:v>1</x:v>
      </x:c>
      <x:c r="F1490" t="n">
        <x:v>10</x:v>
      </x:c>
      <x:c r="G1490" t="str">
        <x:v>MIN</x:v>
      </x:c>
      <x:c r="H1490" t="str">
        <x:v>BAL</x:v>
      </x:c>
      <x:c r="I1490" t="str">
        <x:v>MIN</x:v>
      </x:c>
      <x:c r="J1490" t="n">
        <x:v>59</x:v>
      </x:c>
      <x:c r="K1490" t="str">
        <x:v>(9:57) PENALTY on MIN-18-J.Jefferson, False Start, 5 yards, enforced at MIN 41 - No Play.</x:v>
      </x:c>
      <x:c r="L1490" t="str">
        <x:v>no_play</x:v>
      </x:c>
      <x:c r="M1490" t="n">
        <x:v>0</x:v>
      </x:c>
      <x:c r="N1490" t="n">
        <x:v>0</x:v>
      </x:c>
      <x:c r="O1490" t="n">
        <x:v>0</x:v>
      </x:c>
      <x:c r="P1490"/>
      <x:c r="Q1490"/>
      <x:c r="R1490"/>
      <x:c r="S1490"/>
      <x:c r="T1490"/>
      <x:c r="U1490"/>
      <x:c r="V1490" t="n">
        <x:v>0</x:v>
      </x:c>
      <x:c r="W1490" t="n">
        <x:v>0</x:v>
      </x:c>
      <x:c r="X1490" t="n">
        <x:v>0</x:v>
      </x:c>
      <x:c r="Y1490" t="n">
        <x:v>0</x:v>
      </x:c>
      <x:c r="Z1490" t="n">
        <x:v>0</x:v>
      </x:c>
      <x:c r="AA1490" t="n">
        <x:v>1</x:v>
      </x:c>
      <x:c r="AB1490" t="n">
        <x:v>5</x:v>
      </x:c>
      <x:c r="AC1490" t="n">
        <x:v>0</x:v>
      </x:c>
      <x:c r="AD1490" t="n">
        <x:v>-0.5006073389668018</x:v>
      </x:c>
      <x:c r="AE1490" t="n">
        <x:v>0</x:v>
      </x:c>
      <x:c r="AF1490" t="n">
        <x:v>-0.002419348806142807</x:v>
      </x:c>
      <x:c r="AG1490" t="n">
        <x:f>_xlfn.XLOOKUP($A1490,Games!$A$2:$A$18,Games!$B$2:$B$18,"Missing game",0)</x:f>
        <x:v>2025</x:v>
      </x:c>
      <x:c r="AH1490" t="str">
        <x:f>_xlfn.XLOOKUP($A1490,Games!$A$2:$A$18,Games!$C$2:$C$18,"Missing game",0)</x:f>
        <x:v>REG</x:v>
      </x:c>
      <x:c r="AI1490" t="n">
        <x:f>_xlfn.XLOOKUP($A1490,Games!$A$2:$A$18,Games!$D$2:$D$18,"Missing game",0)</x:f>
        <x:v>10</x:v>
      </x:c>
      <x:c r="AJ1490" s="1" t="n">
        <x:f>_xlfn.XLOOKUP($A1490,Games!$A$2:$A$18,Games!$E$2:$E$18,"Missing game",0)</x:f>
        <x:v>45970</x:v>
      </x:c>
      <x:c r="AK1490" t="str">
        <x:f>_xlfn.XLOOKUP($A1490,Games!$A$2:$A$18,Games!$F$2:$F$18,"Missing game",0)</x:f>
        <x:v>Sunday</x:v>
      </x:c>
      <x:c r="AL1490" t="str">
        <x:f>_xlfn.XLOOKUP($A1490,Games!$A$2:$A$18,Games!$G$2:$G$18,"Missing game",0)</x:f>
        <x:v>BAL</x:v>
      </x:c>
      <x:c r="AM1490" t="n">
        <x:f>_xlfn.XLOOKUP($A1490,Games!$A$2:$A$18,Games!$H$2:$H$18,"Missing game",0)</x:f>
        <x:v>27</x:v>
      </x:c>
      <x:c r="AN1490" t="str">
        <x:f>_xlfn.XLOOKUP($A1490,Games!$A$2:$A$18,Games!$I$2:$I$18,"Missing game",0)</x:f>
        <x:v>MIN</x:v>
      </x:c>
      <x:c r="AO1490" t="n">
        <x:f>_xlfn.XLOOKUP($A1490,Games!$A$2:$A$18,Games!$J$2:$J$18,"Missing game",0)</x:f>
        <x:v>19</x:v>
      </x:c>
      <x:c r="AP1490" t="n">
        <x:f>_xlfn.XLOOKUP($A1490,Games!$A$2:$A$18,Games!$K$2:$K$18,"Missing game",0)</x:f>
        <x:v>-8</x:v>
      </x:c>
      <x:c r="AQ1490" t="n">
        <x:f>_xlfn.XLOOKUP($A1490,Games!$A$2:$A$18,Games!$L$2:$L$18,"Missing game",0)</x:f>
        <x:v>46</x:v>
      </x:c>
      <x:c r="AR1490" t="n">
        <x:f>_xlfn.XLOOKUP($A1490,Games!$A$2:$A$18,Games!$M$2:$M$18,"Missing game",0)</x:f>
        <x:v>0</x:v>
      </x:c>
      <x:c r="AS1490" t="str">
        <x:f>_xlfn.XLOOKUP($A1490,Games!$A$2:$A$18,Games!$N$2:$N$18,"Missing game",0)</x:f>
        <x:v>dome</x:v>
      </x:c>
      <x:c r="AT1490" t="str">
        <x:f>_xlfn.XLOOKUP($A1490,Games!$A$2:$A$18,Games!$O$2:$O$18,"Missing game",0)</x:f>
        <x:v>sportturf</x:v>
      </x:c>
      <x:c r="AU1490" t="str">
        <x:f>_xlfn.XLOOKUP($A1490,Games!$A$2:$A$18,Games!$P$2:$P$18,"Missing game",0)</x:f>
      </x:c>
      <x:c r="AV1490" t="str">
        <x:f>_xlfn.XLOOKUP($A1490,Games!$A$2:$A$18,Games!$Q$2:$Q$18,"Missing game",0)</x:f>
      </x:c>
      <x:c r="AW1490" t="str">
        <x:f>_xlfn.XLOOKUP($A1490,Games!$A$2:$A$18,Games!$R$2:$R$18,"Missing game",0)</x:f>
        <x:v>U.S. Bank Stadium</x:v>
      </x:c>
    </x:row>
    <x:row r="1491">
      <x:c r="A1491" t="str">
        <x:v>2025_10_BAL_MIN</x:v>
      </x:c>
      <x:c r="B1491" t="n">
        <x:v>3470</x:v>
      </x:c>
      <x:c r="C1491" t="n">
        <x:v>4</x:v>
      </x:c>
      <x:c r="D1491" t="str">
        <x:v>09:57</x:v>
      </x:c>
      <x:c r="E1491" t="n">
        <x:v>1</x:v>
      </x:c>
      <x:c r="F1491" t="n">
        <x:v>15</x:v>
      </x:c>
      <x:c r="G1491" t="str">
        <x:v>MIN</x:v>
      </x:c>
      <x:c r="H1491" t="str">
        <x:v>BAL</x:v>
      </x:c>
      <x:c r="I1491" t="str">
        <x:v>MIN</x:v>
      </x:c>
      <x:c r="J1491" t="n">
        <x:v>64</x:v>
      </x:c>
      <x:c r="K1491" t="str">
        <x:v>(9:57) (Shotgun) 9-J.McCarthy pass incomplete short middle to 87-T.Hockenson. PENALTY on BAL-0-R.Smith, Defensive Pass Interference, 5 yards, enforced at MIN 36 - No Play.</x:v>
      </x:c>
      <x:c r="L1491" t="str">
        <x:v>no_play</x:v>
      </x:c>
      <x:c r="M1491" t="n">
        <x:v>0</x:v>
      </x:c>
      <x:c r="N1491" t="n">
        <x:v>1</x:v>
      </x:c>
      <x:c r="O1491" t="n">
        <x:v>0</x:v>
      </x:c>
      <x:c r="P1491"/>
      <x:c r="Q1491"/>
      <x:c r="R1491"/>
      <x:c r="S1491"/>
      <x:c r="T1491"/>
      <x:c r="U1491"/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1</x:v>
      </x:c>
      <x:c r="AB1491" t="n">
        <x:v>5</x:v>
      </x:c>
      <x:c r="AC1491" t="n">
        <x:v>0</x:v>
      </x:c>
      <x:c r="AD1491" t="n">
        <x:v>0.50162253389135</x:v>
      </x:c>
      <x:c r="AE1491" t="n">
        <x:v>1</x:v>
      </x:c>
      <x:c r="AF1491" t="n">
        <x:v>0.002419348806142807</x:v>
      </x:c>
      <x:c r="AG1491" t="n">
        <x:f>_xlfn.XLOOKUP($A1491,Games!$A$2:$A$18,Games!$B$2:$B$18,"Missing game",0)</x:f>
        <x:v>2025</x:v>
      </x:c>
      <x:c r="AH1491" t="str">
        <x:f>_xlfn.XLOOKUP($A1491,Games!$A$2:$A$18,Games!$C$2:$C$18,"Missing game",0)</x:f>
        <x:v>REG</x:v>
      </x:c>
      <x:c r="AI1491" t="n">
        <x:f>_xlfn.XLOOKUP($A1491,Games!$A$2:$A$18,Games!$D$2:$D$18,"Missing game",0)</x:f>
        <x:v>10</x:v>
      </x:c>
      <x:c r="AJ1491" s="1" t="n">
        <x:f>_xlfn.XLOOKUP($A1491,Games!$A$2:$A$18,Games!$E$2:$E$18,"Missing game",0)</x:f>
        <x:v>45970</x:v>
      </x:c>
      <x:c r="AK1491" t="str">
        <x:f>_xlfn.XLOOKUP($A1491,Games!$A$2:$A$18,Games!$F$2:$F$18,"Missing game",0)</x:f>
        <x:v>Sunday</x:v>
      </x:c>
      <x:c r="AL1491" t="str">
        <x:f>_xlfn.XLOOKUP($A1491,Games!$A$2:$A$18,Games!$G$2:$G$18,"Missing game",0)</x:f>
        <x:v>BAL</x:v>
      </x:c>
      <x:c r="AM1491" t="n">
        <x:f>_xlfn.XLOOKUP($A1491,Games!$A$2:$A$18,Games!$H$2:$H$18,"Missing game",0)</x:f>
        <x:v>27</x:v>
      </x:c>
      <x:c r="AN1491" t="str">
        <x:f>_xlfn.XLOOKUP($A1491,Games!$A$2:$A$18,Games!$I$2:$I$18,"Missing game",0)</x:f>
        <x:v>MIN</x:v>
      </x:c>
      <x:c r="AO1491" t="n">
        <x:f>_xlfn.XLOOKUP($A1491,Games!$A$2:$A$18,Games!$J$2:$J$18,"Missing game",0)</x:f>
        <x:v>19</x:v>
      </x:c>
      <x:c r="AP1491" t="n">
        <x:f>_xlfn.XLOOKUP($A1491,Games!$A$2:$A$18,Games!$K$2:$K$18,"Missing game",0)</x:f>
        <x:v>-8</x:v>
      </x:c>
      <x:c r="AQ1491" t="n">
        <x:f>_xlfn.XLOOKUP($A1491,Games!$A$2:$A$18,Games!$L$2:$L$18,"Missing game",0)</x:f>
        <x:v>46</x:v>
      </x:c>
      <x:c r="AR1491" t="n">
        <x:f>_xlfn.XLOOKUP($A1491,Games!$A$2:$A$18,Games!$M$2:$M$18,"Missing game",0)</x:f>
        <x:v>0</x:v>
      </x:c>
      <x:c r="AS1491" t="str">
        <x:f>_xlfn.XLOOKUP($A1491,Games!$A$2:$A$18,Games!$N$2:$N$18,"Missing game",0)</x:f>
        <x:v>dome</x:v>
      </x:c>
      <x:c r="AT1491" t="str">
        <x:f>_xlfn.XLOOKUP($A1491,Games!$A$2:$A$18,Games!$O$2:$O$18,"Missing game",0)</x:f>
        <x:v>sportturf</x:v>
      </x:c>
      <x:c r="AU1491" t="str">
        <x:f>_xlfn.XLOOKUP($A1491,Games!$A$2:$A$18,Games!$P$2:$P$18,"Missing game",0)</x:f>
      </x:c>
      <x:c r="AV1491" t="str">
        <x:f>_xlfn.XLOOKUP($A1491,Games!$A$2:$A$18,Games!$Q$2:$Q$18,"Missing game",0)</x:f>
      </x:c>
      <x:c r="AW1491" t="str">
        <x:f>_xlfn.XLOOKUP($A1491,Games!$A$2:$A$18,Games!$R$2:$R$18,"Missing game",0)</x:f>
        <x:v>U.S. Bank Stadium</x:v>
      </x:c>
    </x:row>
    <x:row r="1492">
      <x:c r="A1492" t="str">
        <x:v>2025_10_BAL_MIN</x:v>
      </x:c>
      <x:c r="B1492" t="n">
        <x:v>3504</x:v>
      </x:c>
      <x:c r="C1492" t="n">
        <x:v>4</x:v>
      </x:c>
      <x:c r="D1492" t="str">
        <x:v>09:54</x:v>
      </x:c>
      <x:c r="E1492" t="n">
        <x:v>1</x:v>
      </x:c>
      <x:c r="F1492" t="n">
        <x:v>10</x:v>
      </x:c>
      <x:c r="G1492" t="str">
        <x:v>MIN</x:v>
      </x:c>
      <x:c r="H1492" t="str">
        <x:v>BAL</x:v>
      </x:c>
      <x:c r="I1492" t="str">
        <x:v>MIN</x:v>
      </x:c>
      <x:c r="J1492" t="n">
        <x:v>59</x:v>
      </x:c>
      <x:c r="K1492" t="str">
        <x:v>(9:54) 9-J.McCarthy sacked at MIN 38 for -3 yards (98-T.Jones).</x:v>
      </x:c>
      <x:c r="L1492" t="str">
        <x:v>pass</x:v>
      </x:c>
      <x:c r="M1492" t="n">
        <x:v>-3</x:v>
      </x:c>
      <x:c r="N1492" t="n">
        <x:v>0</x:v>
      </x:c>
      <x:c r="O1492" t="n">
        <x:v>0</x:v>
      </x:c>
      <x:c r="P1492"/>
      <x:c r="Q1492"/>
      <x:c r="R1492"/>
      <x:c r="S1492"/>
      <x:c r="T1492"/>
      <x:c r="U1492"/>
      <x:c r="V1492" t="n">
        <x:v>0</x:v>
      </x:c>
      <x:c r="W1492" t="n">
        <x:v>0</x:v>
      </x:c>
      <x:c r="X1492" t="n">
        <x:v>1</x:v>
      </x:c>
      <x:c r="Y1492" t="n">
        <x:v>0</x:v>
      </x:c>
      <x:c r="Z1492" t="n">
        <x:v>0</x:v>
      </x:c>
      <x:c r="AA1492" t="n">
        <x:v>0</x:v>
      </x:c>
      <x:c r="AB1492"/>
      <x:c r="AC1492" t="n">
        <x:v>0</x:v>
      </x:c>
      <x:c r="AD1492" t="n">
        <x:v>-1.0342640136368573</x:v>
      </x:c>
      <x:c r="AE1492" t="n">
        <x:v>0</x:v>
      </x:c>
      <x:c r="AF1492" t="n">
        <x:v>-0.010157275944948196</x:v>
      </x:c>
      <x:c r="AG1492" t="n">
        <x:f>_xlfn.XLOOKUP($A1492,Games!$A$2:$A$18,Games!$B$2:$B$18,"Missing game",0)</x:f>
        <x:v>2025</x:v>
      </x:c>
      <x:c r="AH1492" t="str">
        <x:f>_xlfn.XLOOKUP($A1492,Games!$A$2:$A$18,Games!$C$2:$C$18,"Missing game",0)</x:f>
        <x:v>REG</x:v>
      </x:c>
      <x:c r="AI1492" t="n">
        <x:f>_xlfn.XLOOKUP($A1492,Games!$A$2:$A$18,Games!$D$2:$D$18,"Missing game",0)</x:f>
        <x:v>10</x:v>
      </x:c>
      <x:c r="AJ1492" s="1" t="n">
        <x:f>_xlfn.XLOOKUP($A1492,Games!$A$2:$A$18,Games!$E$2:$E$18,"Missing game",0)</x:f>
        <x:v>45970</x:v>
      </x:c>
      <x:c r="AK1492" t="str">
        <x:f>_xlfn.XLOOKUP($A1492,Games!$A$2:$A$18,Games!$F$2:$F$18,"Missing game",0)</x:f>
        <x:v>Sunday</x:v>
      </x:c>
      <x:c r="AL1492" t="str">
        <x:f>_xlfn.XLOOKUP($A1492,Games!$A$2:$A$18,Games!$G$2:$G$18,"Missing game",0)</x:f>
        <x:v>BAL</x:v>
      </x:c>
      <x:c r="AM1492" t="n">
        <x:f>_xlfn.XLOOKUP($A1492,Games!$A$2:$A$18,Games!$H$2:$H$18,"Missing game",0)</x:f>
        <x:v>27</x:v>
      </x:c>
      <x:c r="AN1492" t="str">
        <x:f>_xlfn.XLOOKUP($A1492,Games!$A$2:$A$18,Games!$I$2:$I$18,"Missing game",0)</x:f>
        <x:v>MIN</x:v>
      </x:c>
      <x:c r="AO1492" t="n">
        <x:f>_xlfn.XLOOKUP($A1492,Games!$A$2:$A$18,Games!$J$2:$J$18,"Missing game",0)</x:f>
        <x:v>19</x:v>
      </x:c>
      <x:c r="AP1492" t="n">
        <x:f>_xlfn.XLOOKUP($A1492,Games!$A$2:$A$18,Games!$K$2:$K$18,"Missing game",0)</x:f>
        <x:v>-8</x:v>
      </x:c>
      <x:c r="AQ1492" t="n">
        <x:f>_xlfn.XLOOKUP($A1492,Games!$A$2:$A$18,Games!$L$2:$L$18,"Missing game",0)</x:f>
        <x:v>46</x:v>
      </x:c>
      <x:c r="AR1492" t="n">
        <x:f>_xlfn.XLOOKUP($A1492,Games!$A$2:$A$18,Games!$M$2:$M$18,"Missing game",0)</x:f>
        <x:v>0</x:v>
      </x:c>
      <x:c r="AS1492" t="str">
        <x:f>_xlfn.XLOOKUP($A1492,Games!$A$2:$A$18,Games!$N$2:$N$18,"Missing game",0)</x:f>
        <x:v>dome</x:v>
      </x:c>
      <x:c r="AT1492" t="str">
        <x:f>_xlfn.XLOOKUP($A1492,Games!$A$2:$A$18,Games!$O$2:$O$18,"Missing game",0)</x:f>
        <x:v>sportturf</x:v>
      </x:c>
      <x:c r="AU1492" t="str">
        <x:f>_xlfn.XLOOKUP($A1492,Games!$A$2:$A$18,Games!$P$2:$P$18,"Missing game",0)</x:f>
      </x:c>
      <x:c r="AV1492" t="str">
        <x:f>_xlfn.XLOOKUP($A1492,Games!$A$2:$A$18,Games!$Q$2:$Q$18,"Missing game",0)</x:f>
      </x:c>
      <x:c r="AW1492" t="str">
        <x:f>_xlfn.XLOOKUP($A1492,Games!$A$2:$A$18,Games!$R$2:$R$18,"Missing game",0)</x:f>
        <x:v>U.S. Bank Stadium</x:v>
      </x:c>
    </x:row>
    <x:row r="1493">
      <x:c r="A1493" t="str">
        <x:v>2025_10_BAL_MIN</x:v>
      </x:c>
      <x:c r="B1493" t="n">
        <x:v>3524</x:v>
      </x:c>
      <x:c r="C1493" t="n">
        <x:v>4</x:v>
      </x:c>
      <x:c r="D1493" t="str">
        <x:v>09:11</x:v>
      </x:c>
      <x:c r="E1493" t="n">
        <x:v>2</x:v>
      </x:c>
      <x:c r="F1493" t="n">
        <x:v>13</x:v>
      </x:c>
      <x:c r="G1493" t="str">
        <x:v>MIN</x:v>
      </x:c>
      <x:c r="H1493" t="str">
        <x:v>BAL</x:v>
      </x:c>
      <x:c r="I1493" t="str">
        <x:v>MIN</x:v>
      </x:c>
      <x:c r="J1493" t="n">
        <x:v>62</x:v>
      </x:c>
      <x:c r="K1493" t="str">
        <x:v>(9:11) (Shotgun) 9-J.McCarthy pass short middle to 87-T.Hockenson to MIN 42 for 4 yards (40-T.Buchanan).</x:v>
      </x:c>
      <x:c r="L1493" t="str">
        <x:v>pass</x:v>
      </x:c>
      <x:c r="M1493" t="n">
        <x:v>4</x:v>
      </x:c>
      <x:c r="N1493" t="n">
        <x:v>1</x:v>
      </x:c>
      <x:c r="O1493" t="n">
        <x:v>0</x:v>
      </x:c>
      <x:c r="P1493" t="str">
        <x:v>short</x:v>
      </x:c>
      <x:c r="Q1493" t="str">
        <x:v>middle</x:v>
      </x:c>
      <x:c r="R1493" t="n">
        <x:v>4</x:v>
      </x:c>
      <x:c r="S1493" t="n">
        <x:v>0</x:v>
      </x:c>
      <x:c r="T1493"/>
      <x:c r="U1493"/>
      <x:c r="V1493" t="n">
        <x:v>1</x:v>
      </x:c>
      <x:c r="W1493" t="n">
        <x:v>0</x:v>
      </x:c>
      <x:c r="X1493" t="n">
        <x:v>0</x:v>
      </x:c>
      <x:c r="Y1493" t="n">
        <x:v>0</x:v>
      </x:c>
      <x:c r="Z1493" t="n">
        <x:v>0</x:v>
      </x:c>
      <x:c r="AA1493" t="n">
        <x:v>0</x:v>
      </x:c>
      <x:c r="AB1493"/>
      <x:c r="AC1493" t="n">
        <x:v>0</x:v>
      </x:c>
      <x:c r="AD1493" t="n">
        <x:v>-0.26599501608870924</x:v>
      </x:c>
      <x:c r="AE1493" t="n">
        <x:v>0</x:v>
      </x:c>
      <x:c r="AF1493" t="n">
        <x:v>0.0002044588327407837</x:v>
      </x:c>
      <x:c r="AG1493" t="n">
        <x:f>_xlfn.XLOOKUP($A1493,Games!$A$2:$A$18,Games!$B$2:$B$18,"Missing game",0)</x:f>
        <x:v>2025</x:v>
      </x:c>
      <x:c r="AH1493" t="str">
        <x:f>_xlfn.XLOOKUP($A1493,Games!$A$2:$A$18,Games!$C$2:$C$18,"Missing game",0)</x:f>
        <x:v>REG</x:v>
      </x:c>
      <x:c r="AI1493" t="n">
        <x:f>_xlfn.XLOOKUP($A1493,Games!$A$2:$A$18,Games!$D$2:$D$18,"Missing game",0)</x:f>
        <x:v>10</x:v>
      </x:c>
      <x:c r="AJ1493" s="1" t="n">
        <x:f>_xlfn.XLOOKUP($A1493,Games!$A$2:$A$18,Games!$E$2:$E$18,"Missing game",0)</x:f>
        <x:v>45970</x:v>
      </x:c>
      <x:c r="AK1493" t="str">
        <x:f>_xlfn.XLOOKUP($A1493,Games!$A$2:$A$18,Games!$F$2:$F$18,"Missing game",0)</x:f>
        <x:v>Sunday</x:v>
      </x:c>
      <x:c r="AL1493" t="str">
        <x:f>_xlfn.XLOOKUP($A1493,Games!$A$2:$A$18,Games!$G$2:$G$18,"Missing game",0)</x:f>
        <x:v>BAL</x:v>
      </x:c>
      <x:c r="AM1493" t="n">
        <x:f>_xlfn.XLOOKUP($A1493,Games!$A$2:$A$18,Games!$H$2:$H$18,"Missing game",0)</x:f>
        <x:v>27</x:v>
      </x:c>
      <x:c r="AN1493" t="str">
        <x:f>_xlfn.XLOOKUP($A1493,Games!$A$2:$A$18,Games!$I$2:$I$18,"Missing game",0)</x:f>
        <x:v>MIN</x:v>
      </x:c>
      <x:c r="AO1493" t="n">
        <x:f>_xlfn.XLOOKUP($A1493,Games!$A$2:$A$18,Games!$J$2:$J$18,"Missing game",0)</x:f>
        <x:v>19</x:v>
      </x:c>
      <x:c r="AP1493" t="n">
        <x:f>_xlfn.XLOOKUP($A1493,Games!$A$2:$A$18,Games!$K$2:$K$18,"Missing game",0)</x:f>
        <x:v>-8</x:v>
      </x:c>
      <x:c r="AQ1493" t="n">
        <x:f>_xlfn.XLOOKUP($A1493,Games!$A$2:$A$18,Games!$L$2:$L$18,"Missing game",0)</x:f>
        <x:v>46</x:v>
      </x:c>
      <x:c r="AR1493" t="n">
        <x:f>_xlfn.XLOOKUP($A1493,Games!$A$2:$A$18,Games!$M$2:$M$18,"Missing game",0)</x:f>
        <x:v>0</x:v>
      </x:c>
      <x:c r="AS1493" t="str">
        <x:f>_xlfn.XLOOKUP($A1493,Games!$A$2:$A$18,Games!$N$2:$N$18,"Missing game",0)</x:f>
        <x:v>dome</x:v>
      </x:c>
      <x:c r="AT1493" t="str">
        <x:f>_xlfn.XLOOKUP($A1493,Games!$A$2:$A$18,Games!$O$2:$O$18,"Missing game",0)</x:f>
        <x:v>sportturf</x:v>
      </x:c>
      <x:c r="AU1493" t="str">
        <x:f>_xlfn.XLOOKUP($A1493,Games!$A$2:$A$18,Games!$P$2:$P$18,"Missing game",0)</x:f>
      </x:c>
      <x:c r="AV1493" t="str">
        <x:f>_xlfn.XLOOKUP($A1493,Games!$A$2:$A$18,Games!$Q$2:$Q$18,"Missing game",0)</x:f>
      </x:c>
      <x:c r="AW1493" t="str">
        <x:f>_xlfn.XLOOKUP($A1493,Games!$A$2:$A$18,Games!$R$2:$R$18,"Missing game",0)</x:f>
        <x:v>U.S. Bank Stadium</x:v>
      </x:c>
    </x:row>
    <x:row r="1494">
      <x:c r="A1494" t="str">
        <x:v>2025_10_BAL_MIN</x:v>
      </x:c>
      <x:c r="B1494" t="n">
        <x:v>3549</x:v>
      </x:c>
      <x:c r="C1494" t="n">
        <x:v>4</x:v>
      </x:c>
      <x:c r="D1494" t="str">
        <x:v>08:43</x:v>
      </x:c>
      <x:c r="E1494" t="n">
        <x:v>3</x:v>
      </x:c>
      <x:c r="F1494" t="n">
        <x:v>9</x:v>
      </x:c>
      <x:c r="G1494" t="str">
        <x:v>MIN</x:v>
      </x:c>
      <x:c r="H1494" t="str">
        <x:v>BAL</x:v>
      </x:c>
      <x:c r="I1494" t="str">
        <x:v>MIN</x:v>
      </x:c>
      <x:c r="J1494" t="n">
        <x:v>58</x:v>
      </x:c>
      <x:c r="K1494" t="str">
        <x:v>(8:43) (No Huddle, Shotgun) 9-J.McCarthy pass incomplete deep left to 18-J.Jefferson. PENALTY on BAL-3-C.Awuzie, Defensive Pass Interference, 38 yards, enforced at MIN 42 - No Play.</x:v>
      </x:c>
      <x:c r="L1494" t="str">
        <x:v>no_play</x:v>
      </x:c>
      <x:c r="M1494" t="n">
        <x:v>0</x:v>
      </x:c>
      <x:c r="N1494" t="n">
        <x:v>1</x:v>
      </x:c>
      <x:c r="O1494" t="n">
        <x:v>1</x:v>
      </x:c>
      <x:c r="P1494"/>
      <x:c r="Q1494"/>
      <x:c r="R1494"/>
      <x:c r="S1494"/>
      <x:c r="T1494"/>
      <x:c r="U1494"/>
      <x:c r="V1494" t="n">
        <x:v>0</x:v>
      </x:c>
      <x:c r="W1494" t="n">
        <x:v>1</x:v>
      </x:c>
      <x:c r="X1494" t="n">
        <x:v>0</x:v>
      </x:c>
      <x:c r="Y1494" t="n">
        <x:v>0</x:v>
      </x:c>
      <x:c r="Z1494" t="n">
        <x:v>0</x:v>
      </x:c>
      <x:c r="AA1494" t="n">
        <x:v>1</x:v>
      </x:c>
      <x:c r="AB1494" t="n">
        <x:v>38</x:v>
      </x:c>
      <x:c r="AC1494" t="n">
        <x:v>0</x:v>
      </x:c>
      <x:c r="AD1494" t="n">
        <x:v>3.4812866707798094</x:v>
      </x:c>
      <x:c r="AE1494" t="n">
        <x:v>1</x:v>
      </x:c>
      <x:c r="AF1494" t="n">
        <x:v>0.03238188102841377</x:v>
      </x:c>
      <x:c r="AG1494" t="n">
        <x:f>_xlfn.XLOOKUP($A1494,Games!$A$2:$A$18,Games!$B$2:$B$18,"Missing game",0)</x:f>
        <x:v>2025</x:v>
      </x:c>
      <x:c r="AH1494" t="str">
        <x:f>_xlfn.XLOOKUP($A1494,Games!$A$2:$A$18,Games!$C$2:$C$18,"Missing game",0)</x:f>
        <x:v>REG</x:v>
      </x:c>
      <x:c r="AI1494" t="n">
        <x:f>_xlfn.XLOOKUP($A1494,Games!$A$2:$A$18,Games!$D$2:$D$18,"Missing game",0)</x:f>
        <x:v>10</x:v>
      </x:c>
      <x:c r="AJ1494" s="1" t="n">
        <x:f>_xlfn.XLOOKUP($A1494,Games!$A$2:$A$18,Games!$E$2:$E$18,"Missing game",0)</x:f>
        <x:v>45970</x:v>
      </x:c>
      <x:c r="AK1494" t="str">
        <x:f>_xlfn.XLOOKUP($A1494,Games!$A$2:$A$18,Games!$F$2:$F$18,"Missing game",0)</x:f>
        <x:v>Sunday</x:v>
      </x:c>
      <x:c r="AL1494" t="str">
        <x:f>_xlfn.XLOOKUP($A1494,Games!$A$2:$A$18,Games!$G$2:$G$18,"Missing game",0)</x:f>
        <x:v>BAL</x:v>
      </x:c>
      <x:c r="AM1494" t="n">
        <x:f>_xlfn.XLOOKUP($A1494,Games!$A$2:$A$18,Games!$H$2:$H$18,"Missing game",0)</x:f>
        <x:v>27</x:v>
      </x:c>
      <x:c r="AN1494" t="str">
        <x:f>_xlfn.XLOOKUP($A1494,Games!$A$2:$A$18,Games!$I$2:$I$18,"Missing game",0)</x:f>
        <x:v>MIN</x:v>
      </x:c>
      <x:c r="AO1494" t="n">
        <x:f>_xlfn.XLOOKUP($A1494,Games!$A$2:$A$18,Games!$J$2:$J$18,"Missing game",0)</x:f>
        <x:v>19</x:v>
      </x:c>
      <x:c r="AP1494" t="n">
        <x:f>_xlfn.XLOOKUP($A1494,Games!$A$2:$A$18,Games!$K$2:$K$18,"Missing game",0)</x:f>
        <x:v>-8</x:v>
      </x:c>
      <x:c r="AQ1494" t="n">
        <x:f>_xlfn.XLOOKUP($A1494,Games!$A$2:$A$18,Games!$L$2:$L$18,"Missing game",0)</x:f>
        <x:v>46</x:v>
      </x:c>
      <x:c r="AR1494" t="n">
        <x:f>_xlfn.XLOOKUP($A1494,Games!$A$2:$A$18,Games!$M$2:$M$18,"Missing game",0)</x:f>
        <x:v>0</x:v>
      </x:c>
      <x:c r="AS1494" t="str">
        <x:f>_xlfn.XLOOKUP($A1494,Games!$A$2:$A$18,Games!$N$2:$N$18,"Missing game",0)</x:f>
        <x:v>dome</x:v>
      </x:c>
      <x:c r="AT1494" t="str">
        <x:f>_xlfn.XLOOKUP($A1494,Games!$A$2:$A$18,Games!$O$2:$O$18,"Missing game",0)</x:f>
        <x:v>sportturf</x:v>
      </x:c>
      <x:c r="AU1494" t="str">
        <x:f>_xlfn.XLOOKUP($A1494,Games!$A$2:$A$18,Games!$P$2:$P$18,"Missing game",0)</x:f>
      </x:c>
      <x:c r="AV1494" t="str">
        <x:f>_xlfn.XLOOKUP($A1494,Games!$A$2:$A$18,Games!$Q$2:$Q$18,"Missing game",0)</x:f>
      </x:c>
      <x:c r="AW1494" t="str">
        <x:f>_xlfn.XLOOKUP($A1494,Games!$A$2:$A$18,Games!$R$2:$R$18,"Missing game",0)</x:f>
        <x:v>U.S. Bank Stadium</x:v>
      </x:c>
    </x:row>
    <x:row r="1495">
      <x:c r="A1495" t="str">
        <x:v>2025_10_BAL_MIN</x:v>
      </x:c>
      <x:c r="B1495" t="n">
        <x:v>3583</x:v>
      </x:c>
      <x:c r="C1495" t="n">
        <x:v>4</x:v>
      </x:c>
      <x:c r="D1495" t="str">
        <x:v>08:37</x:v>
      </x:c>
      <x:c r="E1495" t="n">
        <x:v>1</x:v>
      </x:c>
      <x:c r="F1495" t="n">
        <x:v>10</x:v>
      </x:c>
      <x:c r="G1495" t="str">
        <x:v>MIN</x:v>
      </x:c>
      <x:c r="H1495" t="str">
        <x:v>BAL</x:v>
      </x:c>
      <x:c r="I1495" t="str">
        <x:v>BAL</x:v>
      </x:c>
      <x:c r="J1495" t="n">
        <x:v>20</x:v>
      </x:c>
      <x:c r="K1495" t="str">
        <x:v>(8:37) 27-J.Mason left end to BAL 19 for 1 yard (94-J.Jenkins).</x:v>
      </x:c>
      <x:c r="L1495" t="str">
        <x:v>run</x:v>
      </x:c>
      <x:c r="M1495" t="n">
        <x:v>1</x:v>
      </x:c>
      <x:c r="N1495" t="n">
        <x:v>0</x:v>
      </x:c>
      <x:c r="O1495" t="n">
        <x:v>0</x:v>
      </x:c>
      <x:c r="P1495"/>
      <x:c r="Q1495"/>
      <x:c r="R1495"/>
      <x:c r="S1495"/>
      <x:c r="T1495" t="str">
        <x:v>left</x:v>
      </x:c>
      <x:c r="U1495" t="str">
        <x:v>end</x:v>
      </x:c>
      <x:c r="V1495" t="n">
        <x:v>0</x:v>
      </x:c>
      <x:c r="W1495" t="n">
        <x:v>0</x:v>
      </x:c>
      <x:c r="X1495" t="n">
        <x:v>0</x:v>
      </x:c>
      <x:c r="Y1495" t="n">
        <x:v>0</x:v>
      </x:c>
      <x:c r="Z1495" t="n">
        <x:v>0</x:v>
      </x:c>
      <x:c r="AA1495" t="n">
        <x:v>0</x:v>
      </x:c>
      <x:c r="AB1495"/>
      <x:c r="AC1495" t="n">
        <x:v>0</x:v>
      </x:c>
      <x:c r="AD1495" t="n">
        <x:v>-0.4920078692957759</x:v>
      </x:c>
      <x:c r="AE1495" t="n">
        <x:v>0</x:v>
      </x:c>
      <x:c r="AF1495" t="n">
        <x:v>-0.011015959084033966</x:v>
      </x:c>
      <x:c r="AG1495" t="n">
        <x:f>_xlfn.XLOOKUP($A1495,Games!$A$2:$A$18,Games!$B$2:$B$18,"Missing game",0)</x:f>
        <x:v>2025</x:v>
      </x:c>
      <x:c r="AH1495" t="str">
        <x:f>_xlfn.XLOOKUP($A1495,Games!$A$2:$A$18,Games!$C$2:$C$18,"Missing game",0)</x:f>
        <x:v>REG</x:v>
      </x:c>
      <x:c r="AI1495" t="n">
        <x:f>_xlfn.XLOOKUP($A1495,Games!$A$2:$A$18,Games!$D$2:$D$18,"Missing game",0)</x:f>
        <x:v>10</x:v>
      </x:c>
      <x:c r="AJ1495" s="1" t="n">
        <x:f>_xlfn.XLOOKUP($A1495,Games!$A$2:$A$18,Games!$E$2:$E$18,"Missing game",0)</x:f>
        <x:v>45970</x:v>
      </x:c>
      <x:c r="AK1495" t="str">
        <x:f>_xlfn.XLOOKUP($A1495,Games!$A$2:$A$18,Games!$F$2:$F$18,"Missing game",0)</x:f>
        <x:v>Sunday</x:v>
      </x:c>
      <x:c r="AL1495" t="str">
        <x:f>_xlfn.XLOOKUP($A1495,Games!$A$2:$A$18,Games!$G$2:$G$18,"Missing game",0)</x:f>
        <x:v>BAL</x:v>
      </x:c>
      <x:c r="AM1495" t="n">
        <x:f>_xlfn.XLOOKUP($A1495,Games!$A$2:$A$18,Games!$H$2:$H$18,"Missing game",0)</x:f>
        <x:v>27</x:v>
      </x:c>
      <x:c r="AN1495" t="str">
        <x:f>_xlfn.XLOOKUP($A1495,Games!$A$2:$A$18,Games!$I$2:$I$18,"Missing game",0)</x:f>
        <x:v>MIN</x:v>
      </x:c>
      <x:c r="AO1495" t="n">
        <x:f>_xlfn.XLOOKUP($A1495,Games!$A$2:$A$18,Games!$J$2:$J$18,"Missing game",0)</x:f>
        <x:v>19</x:v>
      </x:c>
      <x:c r="AP1495" t="n">
        <x:f>_xlfn.XLOOKUP($A1495,Games!$A$2:$A$18,Games!$K$2:$K$18,"Missing game",0)</x:f>
        <x:v>-8</x:v>
      </x:c>
      <x:c r="AQ1495" t="n">
        <x:f>_xlfn.XLOOKUP($A1495,Games!$A$2:$A$18,Games!$L$2:$L$18,"Missing game",0)</x:f>
        <x:v>46</x:v>
      </x:c>
      <x:c r="AR1495" t="n">
        <x:f>_xlfn.XLOOKUP($A1495,Games!$A$2:$A$18,Games!$M$2:$M$18,"Missing game",0)</x:f>
        <x:v>0</x:v>
      </x:c>
      <x:c r="AS1495" t="str">
        <x:f>_xlfn.XLOOKUP($A1495,Games!$A$2:$A$18,Games!$N$2:$N$18,"Missing game",0)</x:f>
        <x:v>dome</x:v>
      </x:c>
      <x:c r="AT1495" t="str">
        <x:f>_xlfn.XLOOKUP($A1495,Games!$A$2:$A$18,Games!$O$2:$O$18,"Missing game",0)</x:f>
        <x:v>sportturf</x:v>
      </x:c>
      <x:c r="AU1495" t="str">
        <x:f>_xlfn.XLOOKUP($A1495,Games!$A$2:$A$18,Games!$P$2:$P$18,"Missing game",0)</x:f>
      </x:c>
      <x:c r="AV1495" t="str">
        <x:f>_xlfn.XLOOKUP($A1495,Games!$A$2:$A$18,Games!$Q$2:$Q$18,"Missing game",0)</x:f>
      </x:c>
      <x:c r="AW1495" t="str">
        <x:f>_xlfn.XLOOKUP($A1495,Games!$A$2:$A$18,Games!$R$2:$R$18,"Missing game",0)</x:f>
        <x:v>U.S. Bank Stadium</x:v>
      </x:c>
    </x:row>
    <x:row r="1496">
      <x:c r="A1496" t="str">
        <x:v>2025_10_BAL_MIN</x:v>
      </x:c>
      <x:c r="B1496" t="n">
        <x:v>3605</x:v>
      </x:c>
      <x:c r="C1496" t="n">
        <x:v>4</x:v>
      </x:c>
      <x:c r="D1496" t="str">
        <x:v>08:10</x:v>
      </x:c>
      <x:c r="E1496" t="n">
        <x:v>2</x:v>
      </x:c>
      <x:c r="F1496" t="n">
        <x:v>9</x:v>
      </x:c>
      <x:c r="G1496" t="str">
        <x:v>MIN</x:v>
      </x:c>
      <x:c r="H1496" t="str">
        <x:v>BAL</x:v>
      </x:c>
      <x:c r="I1496" t="str">
        <x:v>BAL</x:v>
      </x:c>
      <x:c r="J1496" t="n">
        <x:v>19</x:v>
      </x:c>
      <x:c r="K1496" t="str">
        <x:v>(8:10) (No Huddle, Shotgun) 9-J.McCarthy pass short left to 1-J.Nailor to BAL 13 for 6 yards (40-T.Buchanan).</x:v>
      </x:c>
      <x:c r="L1496" t="str">
        <x:v>pass</x:v>
      </x:c>
      <x:c r="M1496" t="n">
        <x:v>6</x:v>
      </x:c>
      <x:c r="N1496" t="n">
        <x:v>1</x:v>
      </x:c>
      <x:c r="O1496" t="n">
        <x:v>1</x:v>
      </x:c>
      <x:c r="P1496" t="str">
        <x:v>short</x:v>
      </x:c>
      <x:c r="Q1496" t="str">
        <x:v>left</x:v>
      </x:c>
      <x:c r="R1496" t="n">
        <x:v>5</x:v>
      </x:c>
      <x:c r="S1496" t="n">
        <x:v>1</x:v>
      </x:c>
      <x:c r="T1496"/>
      <x:c r="U1496"/>
      <x:c r="V1496" t="n">
        <x:v>1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0</x:v>
      </x:c>
      <x:c r="AB1496"/>
      <x:c r="AC1496" t="n">
        <x:v>0</x:v>
      </x:c>
      <x:c r="AD1496" t="n">
        <x:v>0.182919378625229</x:v>
      </x:c>
      <x:c r="AE1496" t="n">
        <x:v>1</x:v>
      </x:c>
      <x:c r="AF1496" t="n">
        <x:v>0.0020289644598960876</x:v>
      </x:c>
      <x:c r="AG1496" t="n">
        <x:f>_xlfn.XLOOKUP($A1496,Games!$A$2:$A$18,Games!$B$2:$B$18,"Missing game",0)</x:f>
        <x:v>2025</x:v>
      </x:c>
      <x:c r="AH1496" t="str">
        <x:f>_xlfn.XLOOKUP($A1496,Games!$A$2:$A$18,Games!$C$2:$C$18,"Missing game",0)</x:f>
        <x:v>REG</x:v>
      </x:c>
      <x:c r="AI1496" t="n">
        <x:f>_xlfn.XLOOKUP($A1496,Games!$A$2:$A$18,Games!$D$2:$D$18,"Missing game",0)</x:f>
        <x:v>10</x:v>
      </x:c>
      <x:c r="AJ1496" s="1" t="n">
        <x:f>_xlfn.XLOOKUP($A1496,Games!$A$2:$A$18,Games!$E$2:$E$18,"Missing game",0)</x:f>
        <x:v>45970</x:v>
      </x:c>
      <x:c r="AK1496" t="str">
        <x:f>_xlfn.XLOOKUP($A1496,Games!$A$2:$A$18,Games!$F$2:$F$18,"Missing game",0)</x:f>
        <x:v>Sunday</x:v>
      </x:c>
      <x:c r="AL1496" t="str">
        <x:f>_xlfn.XLOOKUP($A1496,Games!$A$2:$A$18,Games!$G$2:$G$18,"Missing game",0)</x:f>
        <x:v>BAL</x:v>
      </x:c>
      <x:c r="AM1496" t="n">
        <x:f>_xlfn.XLOOKUP($A1496,Games!$A$2:$A$18,Games!$H$2:$H$18,"Missing game",0)</x:f>
        <x:v>27</x:v>
      </x:c>
      <x:c r="AN1496" t="str">
        <x:f>_xlfn.XLOOKUP($A1496,Games!$A$2:$A$18,Games!$I$2:$I$18,"Missing game",0)</x:f>
        <x:v>MIN</x:v>
      </x:c>
      <x:c r="AO1496" t="n">
        <x:f>_xlfn.XLOOKUP($A1496,Games!$A$2:$A$18,Games!$J$2:$J$18,"Missing game",0)</x:f>
        <x:v>19</x:v>
      </x:c>
      <x:c r="AP1496" t="n">
        <x:f>_xlfn.XLOOKUP($A1496,Games!$A$2:$A$18,Games!$K$2:$K$18,"Missing game",0)</x:f>
        <x:v>-8</x:v>
      </x:c>
      <x:c r="AQ1496" t="n">
        <x:f>_xlfn.XLOOKUP($A1496,Games!$A$2:$A$18,Games!$L$2:$L$18,"Missing game",0)</x:f>
        <x:v>46</x:v>
      </x:c>
      <x:c r="AR1496" t="n">
        <x:f>_xlfn.XLOOKUP($A1496,Games!$A$2:$A$18,Games!$M$2:$M$18,"Missing game",0)</x:f>
        <x:v>0</x:v>
      </x:c>
      <x:c r="AS1496" t="str">
        <x:f>_xlfn.XLOOKUP($A1496,Games!$A$2:$A$18,Games!$N$2:$N$18,"Missing game",0)</x:f>
        <x:v>dome</x:v>
      </x:c>
      <x:c r="AT1496" t="str">
        <x:f>_xlfn.XLOOKUP($A1496,Games!$A$2:$A$18,Games!$O$2:$O$18,"Missing game",0)</x:f>
        <x:v>sportturf</x:v>
      </x:c>
      <x:c r="AU1496" t="str">
        <x:f>_xlfn.XLOOKUP($A1496,Games!$A$2:$A$18,Games!$P$2:$P$18,"Missing game",0)</x:f>
      </x:c>
      <x:c r="AV1496" t="str">
        <x:f>_xlfn.XLOOKUP($A1496,Games!$A$2:$A$18,Games!$Q$2:$Q$18,"Missing game",0)</x:f>
      </x:c>
      <x:c r="AW1496" t="str">
        <x:f>_xlfn.XLOOKUP($A1496,Games!$A$2:$A$18,Games!$R$2:$R$18,"Missing game",0)</x:f>
        <x:v>U.S. Bank Stadium</x:v>
      </x:c>
    </x:row>
    <x:row r="1497">
      <x:c r="A1497" t="str">
        <x:v>2025_10_BAL_MIN</x:v>
      </x:c>
      <x:c r="B1497" t="n">
        <x:v>3630</x:v>
      </x:c>
      <x:c r="C1497" t="n">
        <x:v>4</x:v>
      </x:c>
      <x:c r="D1497" t="str">
        <x:v>07:26</x:v>
      </x:c>
      <x:c r="E1497" t="n">
        <x:v>3</x:v>
      </x:c>
      <x:c r="F1497" t="n">
        <x:v>3</x:v>
      </x:c>
      <x:c r="G1497" t="str">
        <x:v>MIN</x:v>
      </x:c>
      <x:c r="H1497" t="str">
        <x:v>BAL</x:v>
      </x:c>
      <x:c r="I1497" t="str">
        <x:v>BAL</x:v>
      </x:c>
      <x:c r="J1497" t="n">
        <x:v>13</x:v>
      </x:c>
      <x:c r="K1497" t="str">
        <x:v>(7:26) (Shotgun) 9-J.McCarthy pass incomplete short middle to 3-J.Addison (94-J.Jenkins).</x:v>
      </x:c>
      <x:c r="L1497" t="str">
        <x:v>pass</x:v>
      </x:c>
      <x:c r="M1497" t="n">
        <x:v>0</x:v>
      </x:c>
      <x:c r="N1497" t="n">
        <x:v>1</x:v>
      </x:c>
      <x:c r="O1497" t="n">
        <x:v>0</x:v>
      </x:c>
      <x:c r="P1497" t="str">
        <x:v>short</x:v>
      </x:c>
      <x:c r="Q1497" t="str">
        <x:v>middle</x:v>
      </x:c>
      <x:c r="R1497" t="n">
        <x:v>1</x:v>
      </x:c>
      <x:c r="S1497"/>
      <x:c r="T1497"/>
      <x:c r="U1497"/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0</x:v>
      </x:c>
      <x:c r="AB1497"/>
      <x:c r="AC1497" t="n">
        <x:v>0</x:v>
      </x:c>
      <x:c r="AD1497" t="n">
        <x:v>-1.4518979940912686</x:v>
      </x:c>
      <x:c r="AE1497" t="n">
        <x:v>0</x:v>
      </x:c>
      <x:c r="AF1497" t="n">
        <x:v>-0.025250118225812912</x:v>
      </x:c>
      <x:c r="AG1497" t="n">
        <x:f>_xlfn.XLOOKUP($A1497,Games!$A$2:$A$18,Games!$B$2:$B$18,"Missing game",0)</x:f>
        <x:v>2025</x:v>
      </x:c>
      <x:c r="AH1497" t="str">
        <x:f>_xlfn.XLOOKUP($A1497,Games!$A$2:$A$18,Games!$C$2:$C$18,"Missing game",0)</x:f>
        <x:v>REG</x:v>
      </x:c>
      <x:c r="AI1497" t="n">
        <x:f>_xlfn.XLOOKUP($A1497,Games!$A$2:$A$18,Games!$D$2:$D$18,"Missing game",0)</x:f>
        <x:v>10</x:v>
      </x:c>
      <x:c r="AJ1497" s="1" t="n">
        <x:f>_xlfn.XLOOKUP($A1497,Games!$A$2:$A$18,Games!$E$2:$E$18,"Missing game",0)</x:f>
        <x:v>45970</x:v>
      </x:c>
      <x:c r="AK1497" t="str">
        <x:f>_xlfn.XLOOKUP($A1497,Games!$A$2:$A$18,Games!$F$2:$F$18,"Missing game",0)</x:f>
        <x:v>Sunday</x:v>
      </x:c>
      <x:c r="AL1497" t="str">
        <x:f>_xlfn.XLOOKUP($A1497,Games!$A$2:$A$18,Games!$G$2:$G$18,"Missing game",0)</x:f>
        <x:v>BAL</x:v>
      </x:c>
      <x:c r="AM1497" t="n">
        <x:f>_xlfn.XLOOKUP($A1497,Games!$A$2:$A$18,Games!$H$2:$H$18,"Missing game",0)</x:f>
        <x:v>27</x:v>
      </x:c>
      <x:c r="AN1497" t="str">
        <x:f>_xlfn.XLOOKUP($A1497,Games!$A$2:$A$18,Games!$I$2:$I$18,"Missing game",0)</x:f>
        <x:v>MIN</x:v>
      </x:c>
      <x:c r="AO1497" t="n">
        <x:f>_xlfn.XLOOKUP($A1497,Games!$A$2:$A$18,Games!$J$2:$J$18,"Missing game",0)</x:f>
        <x:v>19</x:v>
      </x:c>
      <x:c r="AP1497" t="n">
        <x:f>_xlfn.XLOOKUP($A1497,Games!$A$2:$A$18,Games!$K$2:$K$18,"Missing game",0)</x:f>
        <x:v>-8</x:v>
      </x:c>
      <x:c r="AQ1497" t="n">
        <x:f>_xlfn.XLOOKUP($A1497,Games!$A$2:$A$18,Games!$L$2:$L$18,"Missing game",0)</x:f>
        <x:v>46</x:v>
      </x:c>
      <x:c r="AR1497" t="n">
        <x:f>_xlfn.XLOOKUP($A1497,Games!$A$2:$A$18,Games!$M$2:$M$18,"Missing game",0)</x:f>
        <x:v>0</x:v>
      </x:c>
      <x:c r="AS1497" t="str">
        <x:f>_xlfn.XLOOKUP($A1497,Games!$A$2:$A$18,Games!$N$2:$N$18,"Missing game",0)</x:f>
        <x:v>dome</x:v>
      </x:c>
      <x:c r="AT1497" t="str">
        <x:f>_xlfn.XLOOKUP($A1497,Games!$A$2:$A$18,Games!$O$2:$O$18,"Missing game",0)</x:f>
        <x:v>sportturf</x:v>
      </x:c>
      <x:c r="AU1497" t="str">
        <x:f>_xlfn.XLOOKUP($A1497,Games!$A$2:$A$18,Games!$P$2:$P$18,"Missing game",0)</x:f>
      </x:c>
      <x:c r="AV1497" t="str">
        <x:f>_xlfn.XLOOKUP($A1497,Games!$A$2:$A$18,Games!$Q$2:$Q$18,"Missing game",0)</x:f>
      </x:c>
      <x:c r="AW1497" t="str">
        <x:f>_xlfn.XLOOKUP($A1497,Games!$A$2:$A$18,Games!$R$2:$R$18,"Missing game",0)</x:f>
        <x:v>U.S. Bank Stadium</x:v>
      </x:c>
    </x:row>
    <x:row r="1498">
      <x:c r="A1498" t="str">
        <x:v>2025_10_BAL_MIN</x:v>
      </x:c>
      <x:c r="B1498" t="n">
        <x:v>3653</x:v>
      </x:c>
      <x:c r="C1498" t="n">
        <x:v>4</x:v>
      </x:c>
      <x:c r="D1498" t="str">
        <x:v>07:19</x:v>
      </x:c>
      <x:c r="E1498" t="n">
        <x:v>4</x:v>
      </x:c>
      <x:c r="F1498" t="n">
        <x:v>3</x:v>
      </x:c>
      <x:c r="G1498" t="str">
        <x:v>MIN</x:v>
      </x:c>
      <x:c r="H1498" t="str">
        <x:v>BAL</x:v>
      </x:c>
      <x:c r="I1498" t="str">
        <x:v>BAL</x:v>
      </x:c>
      <x:c r="J1498" t="n">
        <x:v>13</x:v>
      </x:c>
      <x:c r="K1498" t="str">
        <x:v>(7:19) (Shotgun) 9-J.McCarthy pass incomplete short right to 18-J.Jefferson (2-N.Wiggins).</x:v>
      </x:c>
      <x:c r="L1498" t="str">
        <x:v>pass</x:v>
      </x:c>
      <x:c r="M1498" t="n">
        <x:v>0</x:v>
      </x:c>
      <x:c r="N1498" t="n">
        <x:v>1</x:v>
      </x:c>
      <x:c r="O1498" t="n">
        <x:v>0</x:v>
      </x:c>
      <x:c r="P1498" t="str">
        <x:v>short</x:v>
      </x:c>
      <x:c r="Q1498" t="str">
        <x:v>right</x:v>
      </x:c>
      <x:c r="R1498" t="n">
        <x:v>13</x:v>
      </x:c>
      <x:c r="S1498"/>
      <x:c r="T1498"/>
      <x:c r="U1498"/>
      <x:c r="V1498" t="n">
        <x:v>0</x:v>
      </x:c>
      <x:c r="W1498" t="n">
        <x:v>0</x:v>
      </x:c>
      <x:c r="X1498" t="n">
        <x:v>0</x:v>
      </x:c>
      <x:c r="Y1498" t="n">
        <x:v>0</x:v>
      </x:c>
      <x:c r="Z1498" t="n">
        <x:v>0</x:v>
      </x:c>
      <x:c r="AA1498" t="n">
        <x:v>0</x:v>
      </x:c>
      <x:c r="AB1498"/>
      <x:c r="AC1498" t="n">
        <x:v>0</x:v>
      </x:c>
      <x:c r="AD1498" t="n">
        <x:v>-3.2988706727628596</x:v>
      </x:c>
      <x:c r="AE1498" t="n">
        <x:v>0</x:v>
      </x:c>
      <x:c r="AF1498" t="n">
        <x:v>-0.03660149499773979</x:v>
      </x:c>
      <x:c r="AG1498" t="n">
        <x:f>_xlfn.XLOOKUP($A1498,Games!$A$2:$A$18,Games!$B$2:$B$18,"Missing game",0)</x:f>
        <x:v>2025</x:v>
      </x:c>
      <x:c r="AH1498" t="str">
        <x:f>_xlfn.XLOOKUP($A1498,Games!$A$2:$A$18,Games!$C$2:$C$18,"Missing game",0)</x:f>
        <x:v>REG</x:v>
      </x:c>
      <x:c r="AI1498" t="n">
        <x:f>_xlfn.XLOOKUP($A1498,Games!$A$2:$A$18,Games!$D$2:$D$18,"Missing game",0)</x:f>
        <x:v>10</x:v>
      </x:c>
      <x:c r="AJ1498" s="1" t="n">
        <x:f>_xlfn.XLOOKUP($A1498,Games!$A$2:$A$18,Games!$E$2:$E$18,"Missing game",0)</x:f>
        <x:v>45970</x:v>
      </x:c>
      <x:c r="AK1498" t="str">
        <x:f>_xlfn.XLOOKUP($A1498,Games!$A$2:$A$18,Games!$F$2:$F$18,"Missing game",0)</x:f>
        <x:v>Sunday</x:v>
      </x:c>
      <x:c r="AL1498" t="str">
        <x:f>_xlfn.XLOOKUP($A1498,Games!$A$2:$A$18,Games!$G$2:$G$18,"Missing game",0)</x:f>
        <x:v>BAL</x:v>
      </x:c>
      <x:c r="AM1498" t="n">
        <x:f>_xlfn.XLOOKUP($A1498,Games!$A$2:$A$18,Games!$H$2:$H$18,"Missing game",0)</x:f>
        <x:v>27</x:v>
      </x:c>
      <x:c r="AN1498" t="str">
        <x:f>_xlfn.XLOOKUP($A1498,Games!$A$2:$A$18,Games!$I$2:$I$18,"Missing game",0)</x:f>
        <x:v>MIN</x:v>
      </x:c>
      <x:c r="AO1498" t="n">
        <x:f>_xlfn.XLOOKUP($A1498,Games!$A$2:$A$18,Games!$J$2:$J$18,"Missing game",0)</x:f>
        <x:v>19</x:v>
      </x:c>
      <x:c r="AP1498" t="n">
        <x:f>_xlfn.XLOOKUP($A1498,Games!$A$2:$A$18,Games!$K$2:$K$18,"Missing game",0)</x:f>
        <x:v>-8</x:v>
      </x:c>
      <x:c r="AQ1498" t="n">
        <x:f>_xlfn.XLOOKUP($A1498,Games!$A$2:$A$18,Games!$L$2:$L$18,"Missing game",0)</x:f>
        <x:v>46</x:v>
      </x:c>
      <x:c r="AR1498" t="n">
        <x:f>_xlfn.XLOOKUP($A1498,Games!$A$2:$A$18,Games!$M$2:$M$18,"Missing game",0)</x:f>
        <x:v>0</x:v>
      </x:c>
      <x:c r="AS1498" t="str">
        <x:f>_xlfn.XLOOKUP($A1498,Games!$A$2:$A$18,Games!$N$2:$N$18,"Missing game",0)</x:f>
        <x:v>dome</x:v>
      </x:c>
      <x:c r="AT1498" t="str">
        <x:f>_xlfn.XLOOKUP($A1498,Games!$A$2:$A$18,Games!$O$2:$O$18,"Missing game",0)</x:f>
        <x:v>sportturf</x:v>
      </x:c>
      <x:c r="AU1498" t="str">
        <x:f>_xlfn.XLOOKUP($A1498,Games!$A$2:$A$18,Games!$P$2:$P$18,"Missing game",0)</x:f>
      </x:c>
      <x:c r="AV1498" t="str">
        <x:f>_xlfn.XLOOKUP($A1498,Games!$A$2:$A$18,Games!$Q$2:$Q$18,"Missing game",0)</x:f>
      </x:c>
      <x:c r="AW1498" t="str">
        <x:f>_xlfn.XLOOKUP($A1498,Games!$A$2:$A$18,Games!$R$2:$R$18,"Missing game",0)</x:f>
        <x:v>U.S. Bank Stadium</x:v>
      </x:c>
    </x:row>
    <x:row r="1499">
      <x:c r="A1499" t="str">
        <x:v>2025_10_BAL_MIN</x:v>
      </x:c>
      <x:c r="B1499" t="n">
        <x:v>3676</x:v>
      </x:c>
      <x:c r="C1499" t="n">
        <x:v>4</x:v>
      </x:c>
      <x:c r="D1499" t="str">
        <x:v>07:15</x:v>
      </x:c>
      <x:c r="E1499" t="n">
        <x:v>1</x:v>
      </x:c>
      <x:c r="F1499" t="n">
        <x:v>10</x:v>
      </x:c>
      <x:c r="G1499" t="str">
        <x:v>BAL</x:v>
      </x:c>
      <x:c r="H1499" t="str">
        <x:v>MIN</x:v>
      </x:c>
      <x:c r="I1499" t="str">
        <x:v>BAL</x:v>
      </x:c>
      <x:c r="J1499" t="n">
        <x:v>86</x:v>
      </x:c>
      <x:c r="K1499" t="str">
        <x:v>(7:15) 22-D.Henry right tackle to BAL 14 for no gain (50-L.Rodriguez; 61-J.Redmond).</x:v>
      </x:c>
      <x:c r="L1499" t="str">
        <x:v>run</x:v>
      </x:c>
      <x:c r="M1499" t="n">
        <x:v>0</x:v>
      </x:c>
      <x:c r="N1499" t="n">
        <x:v>0</x:v>
      </x:c>
      <x:c r="O1499" t="n">
        <x:v>0</x:v>
      </x:c>
      <x:c r="P1499"/>
      <x:c r="Q1499"/>
      <x:c r="R1499"/>
      <x:c r="S1499"/>
      <x:c r="T1499" t="str">
        <x:v>right</x:v>
      </x:c>
      <x:c r="U1499" t="str">
        <x:v>tackle</x:v>
      </x:c>
      <x:c r="V1499" t="n">
        <x:v>0</x:v>
      </x:c>
      <x:c r="W1499" t="n">
        <x:v>0</x:v>
      </x:c>
      <x:c r="X1499" t="n">
        <x:v>0</x:v>
      </x:c>
      <x:c r="Y1499" t="n">
        <x:v>0</x:v>
      </x:c>
      <x:c r="Z1499" t="n">
        <x:v>0</x:v>
      </x:c>
      <x:c r="AA1499" t="n">
        <x:v>0</x:v>
      </x:c>
      <x:c r="AB1499"/>
      <x:c r="AC1499" t="n">
        <x:v>0</x:v>
      </x:c>
      <x:c r="AD1499" t="n">
        <x:v>-0.6742173824459314</x:v>
      </x:c>
      <x:c r="AE1499" t="n">
        <x:v>0</x:v>
      </x:c>
      <x:c r="AF1499" t="n">
        <x:v>-0.0012711286544799805</x:v>
      </x:c>
      <x:c r="AG1499" t="n">
        <x:f>_xlfn.XLOOKUP($A1499,Games!$A$2:$A$18,Games!$B$2:$B$18,"Missing game",0)</x:f>
        <x:v>2025</x:v>
      </x:c>
      <x:c r="AH1499" t="str">
        <x:f>_xlfn.XLOOKUP($A1499,Games!$A$2:$A$18,Games!$C$2:$C$18,"Missing game",0)</x:f>
        <x:v>REG</x:v>
      </x:c>
      <x:c r="AI1499" t="n">
        <x:f>_xlfn.XLOOKUP($A1499,Games!$A$2:$A$18,Games!$D$2:$D$18,"Missing game",0)</x:f>
        <x:v>10</x:v>
      </x:c>
      <x:c r="AJ1499" s="1" t="n">
        <x:f>_xlfn.XLOOKUP($A1499,Games!$A$2:$A$18,Games!$E$2:$E$18,"Missing game",0)</x:f>
        <x:v>45970</x:v>
      </x:c>
      <x:c r="AK1499" t="str">
        <x:f>_xlfn.XLOOKUP($A1499,Games!$A$2:$A$18,Games!$F$2:$F$18,"Missing game",0)</x:f>
        <x:v>Sunday</x:v>
      </x:c>
      <x:c r="AL1499" t="str">
        <x:f>_xlfn.XLOOKUP($A1499,Games!$A$2:$A$18,Games!$G$2:$G$18,"Missing game",0)</x:f>
        <x:v>BAL</x:v>
      </x:c>
      <x:c r="AM1499" t="n">
        <x:f>_xlfn.XLOOKUP($A1499,Games!$A$2:$A$18,Games!$H$2:$H$18,"Missing game",0)</x:f>
        <x:v>27</x:v>
      </x:c>
      <x:c r="AN1499" t="str">
        <x:f>_xlfn.XLOOKUP($A1499,Games!$A$2:$A$18,Games!$I$2:$I$18,"Missing game",0)</x:f>
        <x:v>MIN</x:v>
      </x:c>
      <x:c r="AO1499" t="n">
        <x:f>_xlfn.XLOOKUP($A1499,Games!$A$2:$A$18,Games!$J$2:$J$18,"Missing game",0)</x:f>
        <x:v>19</x:v>
      </x:c>
      <x:c r="AP1499" t="n">
        <x:f>_xlfn.XLOOKUP($A1499,Games!$A$2:$A$18,Games!$K$2:$K$18,"Missing game",0)</x:f>
        <x:v>-8</x:v>
      </x:c>
      <x:c r="AQ1499" t="n">
        <x:f>_xlfn.XLOOKUP($A1499,Games!$A$2:$A$18,Games!$L$2:$L$18,"Missing game",0)</x:f>
        <x:v>46</x:v>
      </x:c>
      <x:c r="AR1499" t="n">
        <x:f>_xlfn.XLOOKUP($A1499,Games!$A$2:$A$18,Games!$M$2:$M$18,"Missing game",0)</x:f>
        <x:v>0</x:v>
      </x:c>
      <x:c r="AS1499" t="str">
        <x:f>_xlfn.XLOOKUP($A1499,Games!$A$2:$A$18,Games!$N$2:$N$18,"Missing game",0)</x:f>
        <x:v>dome</x:v>
      </x:c>
      <x:c r="AT1499" t="str">
        <x:f>_xlfn.XLOOKUP($A1499,Games!$A$2:$A$18,Games!$O$2:$O$18,"Missing game",0)</x:f>
        <x:v>sportturf</x:v>
      </x:c>
      <x:c r="AU1499" t="str">
        <x:f>_xlfn.XLOOKUP($A1499,Games!$A$2:$A$18,Games!$P$2:$P$18,"Missing game",0)</x:f>
      </x:c>
      <x:c r="AV1499" t="str">
        <x:f>_xlfn.XLOOKUP($A1499,Games!$A$2:$A$18,Games!$Q$2:$Q$18,"Missing game",0)</x:f>
      </x:c>
      <x:c r="AW1499" t="str">
        <x:f>_xlfn.XLOOKUP($A1499,Games!$A$2:$A$18,Games!$R$2:$R$18,"Missing game",0)</x:f>
        <x:v>U.S. Bank Stadium</x:v>
      </x:c>
    </x:row>
    <x:row r="1500">
      <x:c r="A1500" t="str">
        <x:v>2025_10_BAL_MIN</x:v>
      </x:c>
      <x:c r="B1500" t="n">
        <x:v>3705</x:v>
      </x:c>
      <x:c r="C1500" t="n">
        <x:v>4</x:v>
      </x:c>
      <x:c r="D1500" t="str">
        <x:v>06:31</x:v>
      </x:c>
      <x:c r="E1500" t="n">
        <x:v>2</x:v>
      </x:c>
      <x:c r="F1500" t="n">
        <x:v>10</x:v>
      </x:c>
      <x:c r="G1500" t="str">
        <x:v>BAL</x:v>
      </x:c>
      <x:c r="H1500" t="str">
        <x:v>MIN</x:v>
      </x:c>
      <x:c r="I1500" t="str">
        <x:v>BAL</x:v>
      </x:c>
      <x:c r="J1500" t="n">
        <x:v>86</x:v>
      </x:c>
      <x:c r="K1500" t="str">
        <x:v>(6:31) (Shotgun) 8-L.Jackson sacked at BAL 7 for -7 yards (93-J.Allen).</x:v>
      </x:c>
      <x:c r="L1500" t="str">
        <x:v>pass</x:v>
      </x:c>
      <x:c r="M1500" t="n">
        <x:v>-7</x:v>
      </x:c>
      <x:c r="N1500" t="n">
        <x:v>1</x:v>
      </x:c>
      <x:c r="O1500" t="n">
        <x:v>0</x:v>
      </x:c>
      <x:c r="P1500"/>
      <x:c r="Q1500"/>
      <x:c r="R1500"/>
      <x:c r="S1500"/>
      <x:c r="T1500"/>
      <x:c r="U1500"/>
      <x:c r="V1500" t="n">
        <x:v>0</x:v>
      </x:c>
      <x:c r="W1500" t="n">
        <x:v>0</x:v>
      </x:c>
      <x:c r="X1500" t="n">
        <x:v>1</x:v>
      </x:c>
      <x:c r="Y1500" t="n">
        <x:v>0</x:v>
      </x:c>
      <x:c r="Z1500" t="n">
        <x:v>0</x:v>
      </x:c>
      <x:c r="AA1500" t="n">
        <x:v>0</x:v>
      </x:c>
      <x:c r="AB1500"/>
      <x:c r="AC1500" t="n">
        <x:v>0</x:v>
      </x:c>
      <x:c r="AD1500" t="n">
        <x:v>-1.6145723620429635</x:v>
      </x:c>
      <x:c r="AE1500" t="n">
        <x:v>0</x:v>
      </x:c>
      <x:c r="AF1500" t="n">
        <x:v>-0.008086442947387695</x:v>
      </x:c>
      <x:c r="AG1500" t="n">
        <x:f>_xlfn.XLOOKUP($A1500,Games!$A$2:$A$18,Games!$B$2:$B$18,"Missing game",0)</x:f>
        <x:v>2025</x:v>
      </x:c>
      <x:c r="AH1500" t="str">
        <x:f>_xlfn.XLOOKUP($A1500,Games!$A$2:$A$18,Games!$C$2:$C$18,"Missing game",0)</x:f>
        <x:v>REG</x:v>
      </x:c>
      <x:c r="AI1500" t="n">
        <x:f>_xlfn.XLOOKUP($A1500,Games!$A$2:$A$18,Games!$D$2:$D$18,"Missing game",0)</x:f>
        <x:v>10</x:v>
      </x:c>
      <x:c r="AJ1500" s="1" t="n">
        <x:f>_xlfn.XLOOKUP($A1500,Games!$A$2:$A$18,Games!$E$2:$E$18,"Missing game",0)</x:f>
        <x:v>45970</x:v>
      </x:c>
      <x:c r="AK1500" t="str">
        <x:f>_xlfn.XLOOKUP($A1500,Games!$A$2:$A$18,Games!$F$2:$F$18,"Missing game",0)</x:f>
        <x:v>Sunday</x:v>
      </x:c>
      <x:c r="AL1500" t="str">
        <x:f>_xlfn.XLOOKUP($A1500,Games!$A$2:$A$18,Games!$G$2:$G$18,"Missing game",0)</x:f>
        <x:v>BAL</x:v>
      </x:c>
      <x:c r="AM1500" t="n">
        <x:f>_xlfn.XLOOKUP($A1500,Games!$A$2:$A$18,Games!$H$2:$H$18,"Missing game",0)</x:f>
        <x:v>27</x:v>
      </x:c>
      <x:c r="AN1500" t="str">
        <x:f>_xlfn.XLOOKUP($A1500,Games!$A$2:$A$18,Games!$I$2:$I$18,"Missing game",0)</x:f>
        <x:v>MIN</x:v>
      </x:c>
      <x:c r="AO1500" t="n">
        <x:f>_xlfn.XLOOKUP($A1500,Games!$A$2:$A$18,Games!$J$2:$J$18,"Missing game",0)</x:f>
        <x:v>19</x:v>
      </x:c>
      <x:c r="AP1500" t="n">
        <x:f>_xlfn.XLOOKUP($A1500,Games!$A$2:$A$18,Games!$K$2:$K$18,"Missing game",0)</x:f>
        <x:v>-8</x:v>
      </x:c>
      <x:c r="AQ1500" t="n">
        <x:f>_xlfn.XLOOKUP($A1500,Games!$A$2:$A$18,Games!$L$2:$L$18,"Missing game",0)</x:f>
        <x:v>46</x:v>
      </x:c>
      <x:c r="AR1500" t="n">
        <x:f>_xlfn.XLOOKUP($A1500,Games!$A$2:$A$18,Games!$M$2:$M$18,"Missing game",0)</x:f>
        <x:v>0</x:v>
      </x:c>
      <x:c r="AS1500" t="str">
        <x:f>_xlfn.XLOOKUP($A1500,Games!$A$2:$A$18,Games!$N$2:$N$18,"Missing game",0)</x:f>
        <x:v>dome</x:v>
      </x:c>
      <x:c r="AT1500" t="str">
        <x:f>_xlfn.XLOOKUP($A1500,Games!$A$2:$A$18,Games!$O$2:$O$18,"Missing game",0)</x:f>
        <x:v>sportturf</x:v>
      </x:c>
      <x:c r="AU1500" t="str">
        <x:f>_xlfn.XLOOKUP($A1500,Games!$A$2:$A$18,Games!$P$2:$P$18,"Missing game",0)</x:f>
      </x:c>
      <x:c r="AV1500" t="str">
        <x:f>_xlfn.XLOOKUP($A1500,Games!$A$2:$A$18,Games!$Q$2:$Q$18,"Missing game",0)</x:f>
      </x:c>
      <x:c r="AW1500" t="str">
        <x:f>_xlfn.XLOOKUP($A1500,Games!$A$2:$A$18,Games!$R$2:$R$18,"Missing game",0)</x:f>
        <x:v>U.S. Bank Stadium</x:v>
      </x:c>
    </x:row>
    <x:row r="1501">
      <x:c r="A1501" t="str">
        <x:v>2025_10_BAL_MIN</x:v>
      </x:c>
      <x:c r="B1501" t="n">
        <x:v>3725</x:v>
      </x:c>
      <x:c r="C1501" t="n">
        <x:v>4</x:v>
      </x:c>
      <x:c r="D1501" t="str">
        <x:v>05:46</x:v>
      </x:c>
      <x:c r="E1501" t="n">
        <x:v>3</x:v>
      </x:c>
      <x:c r="F1501" t="n">
        <x:v>17</x:v>
      </x:c>
      <x:c r="G1501" t="str">
        <x:v>BAL</x:v>
      </x:c>
      <x:c r="H1501" t="str">
        <x:v>MIN</x:v>
      </x:c>
      <x:c r="I1501" t="str">
        <x:v>BAL</x:v>
      </x:c>
      <x:c r="J1501" t="n">
        <x:v>93</x:v>
      </x:c>
      <x:c r="K1501" t="str">
        <x:v>(5:46) (Shotgun) 8-L.Jackson pass incomplete short right to 43-J.Hill.</x:v>
      </x:c>
      <x:c r="L1501" t="str">
        <x:v>pass</x:v>
      </x:c>
      <x:c r="M1501" t="n">
        <x:v>0</x:v>
      </x:c>
      <x:c r="N1501" t="n">
        <x:v>1</x:v>
      </x:c>
      <x:c r="O1501" t="n">
        <x:v>0</x:v>
      </x:c>
      <x:c r="P1501" t="str">
        <x:v>short</x:v>
      </x:c>
      <x:c r="Q1501" t="str">
        <x:v>right</x:v>
      </x:c>
      <x:c r="R1501" t="n">
        <x:v>2</x:v>
      </x:c>
      <x:c r="S1501"/>
      <x:c r="T1501"/>
      <x:c r="U1501"/>
      <x:c r="V1501" t="n">
        <x:v>0</x:v>
      </x:c>
      <x:c r="W1501" t="n">
        <x:v>0</x:v>
      </x:c>
      <x:c r="X1501" t="n">
        <x:v>0</x:v>
      </x:c>
      <x:c r="Y1501" t="n">
        <x:v>0</x:v>
      </x:c>
      <x:c r="Z1501" t="n">
        <x:v>0</x:v>
      </x:c>
      <x:c r="AA1501" t="n">
        <x:v>0</x:v>
      </x:c>
      <x:c r="AB1501"/>
      <x:c r="AC1501" t="n">
        <x:v>0</x:v>
      </x:c>
      <x:c r="AD1501" t="n">
        <x:v>-0.5694301209878176</x:v>
      </x:c>
      <x:c r="AE1501" t="n">
        <x:v>0</x:v>
      </x:c>
      <x:c r="AF1501" t="n">
        <x:v>-0.004358828067779541</x:v>
      </x:c>
      <x:c r="AG1501" t="n">
        <x:f>_xlfn.XLOOKUP($A1501,Games!$A$2:$A$18,Games!$B$2:$B$18,"Missing game",0)</x:f>
        <x:v>2025</x:v>
      </x:c>
      <x:c r="AH1501" t="str">
        <x:f>_xlfn.XLOOKUP($A1501,Games!$A$2:$A$18,Games!$C$2:$C$18,"Missing game",0)</x:f>
        <x:v>REG</x:v>
      </x:c>
      <x:c r="AI1501" t="n">
        <x:f>_xlfn.XLOOKUP($A1501,Games!$A$2:$A$18,Games!$D$2:$D$18,"Missing game",0)</x:f>
        <x:v>10</x:v>
      </x:c>
      <x:c r="AJ1501" s="1" t="n">
        <x:f>_xlfn.XLOOKUP($A1501,Games!$A$2:$A$18,Games!$E$2:$E$18,"Missing game",0)</x:f>
        <x:v>45970</x:v>
      </x:c>
      <x:c r="AK1501" t="str">
        <x:f>_xlfn.XLOOKUP($A1501,Games!$A$2:$A$18,Games!$F$2:$F$18,"Missing game",0)</x:f>
        <x:v>Sunday</x:v>
      </x:c>
      <x:c r="AL1501" t="str">
        <x:f>_xlfn.XLOOKUP($A1501,Games!$A$2:$A$18,Games!$G$2:$G$18,"Missing game",0)</x:f>
        <x:v>BAL</x:v>
      </x:c>
      <x:c r="AM1501" t="n">
        <x:f>_xlfn.XLOOKUP($A1501,Games!$A$2:$A$18,Games!$H$2:$H$18,"Missing game",0)</x:f>
        <x:v>27</x:v>
      </x:c>
      <x:c r="AN1501" t="str">
        <x:f>_xlfn.XLOOKUP($A1501,Games!$A$2:$A$18,Games!$I$2:$I$18,"Missing game",0)</x:f>
        <x:v>MIN</x:v>
      </x:c>
      <x:c r="AO1501" t="n">
        <x:f>_xlfn.XLOOKUP($A1501,Games!$A$2:$A$18,Games!$J$2:$J$18,"Missing game",0)</x:f>
        <x:v>19</x:v>
      </x:c>
      <x:c r="AP1501" t="n">
        <x:f>_xlfn.XLOOKUP($A1501,Games!$A$2:$A$18,Games!$K$2:$K$18,"Missing game",0)</x:f>
        <x:v>-8</x:v>
      </x:c>
      <x:c r="AQ1501" t="n">
        <x:f>_xlfn.XLOOKUP($A1501,Games!$A$2:$A$18,Games!$L$2:$L$18,"Missing game",0)</x:f>
        <x:v>46</x:v>
      </x:c>
      <x:c r="AR1501" t="n">
        <x:f>_xlfn.XLOOKUP($A1501,Games!$A$2:$A$18,Games!$M$2:$M$18,"Missing game",0)</x:f>
        <x:v>0</x:v>
      </x:c>
      <x:c r="AS1501" t="str">
        <x:f>_xlfn.XLOOKUP($A1501,Games!$A$2:$A$18,Games!$N$2:$N$18,"Missing game",0)</x:f>
        <x:v>dome</x:v>
      </x:c>
      <x:c r="AT1501" t="str">
        <x:f>_xlfn.XLOOKUP($A1501,Games!$A$2:$A$18,Games!$O$2:$O$18,"Missing game",0)</x:f>
        <x:v>sportturf</x:v>
      </x:c>
      <x:c r="AU1501" t="str">
        <x:f>_xlfn.XLOOKUP($A1501,Games!$A$2:$A$18,Games!$P$2:$P$18,"Missing game",0)</x:f>
      </x:c>
      <x:c r="AV1501" t="str">
        <x:f>_xlfn.XLOOKUP($A1501,Games!$A$2:$A$18,Games!$Q$2:$Q$18,"Missing game",0)</x:f>
      </x:c>
      <x:c r="AW1501" t="str">
        <x:f>_xlfn.XLOOKUP($A1501,Games!$A$2:$A$18,Games!$R$2:$R$18,"Missing game",0)</x:f>
        <x:v>U.S. Bank Stadium</x:v>
      </x:c>
    </x:row>
    <x:row r="1502">
      <x:c r="A1502" t="str">
        <x:v>2025_10_BAL_MIN</x:v>
      </x:c>
      <x:c r="B1502" t="n">
        <x:v>3748</x:v>
      </x:c>
      <x:c r="C1502" t="n">
        <x:v>4</x:v>
      </x:c>
      <x:c r="D1502" t="str">
        <x:v>05:41</x:v>
      </x:c>
      <x:c r="E1502" t="n">
        <x:v>4</x:v>
      </x:c>
      <x:c r="F1502" t="n">
        <x:v>17</x:v>
      </x:c>
      <x:c r="G1502" t="str">
        <x:v>BAL</x:v>
      </x:c>
      <x:c r="H1502" t="str">
        <x:v>MIN</x:v>
      </x:c>
      <x:c r="I1502" t="str">
        <x:v>BAL</x:v>
      </x:c>
      <x:c r="J1502" t="n">
        <x:v>93</x:v>
      </x:c>
      <x:c r="K1502" t="str">
        <x:v>(5:41) 11-J.Stout punts 58 yards to MIN 35, Center-46-N.Moore, out of bounds.</x:v>
      </x:c>
      <x:c r="L1502" t="str">
        <x:v>punt</x:v>
      </x:c>
      <x:c r="M1502" t="n">
        <x:v>0</x:v>
      </x:c>
      <x:c r="N1502" t="n">
        <x:v>0</x:v>
      </x:c>
      <x:c r="O1502" t="n">
        <x:v>0</x:v>
      </x:c>
      <x:c r="P1502"/>
      <x:c r="Q1502"/>
      <x:c r="R1502"/>
      <x:c r="S1502"/>
      <x:c r="T1502"/>
      <x:c r="U1502"/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0</x:v>
      </x:c>
      <x:c r="AB1502"/>
      <x:c r="AC1502" t="n">
        <x:v>0</x:v>
      </x:c>
      <x:c r="AD1502" t="n">
        <x:v>0.7072551921010017</x:v>
      </x:c>
      <x:c r="AE1502" t="n">
        <x:v>1</x:v>
      </x:c>
      <x:c r="AF1502" t="n">
        <x:v>-0.021624024957418442</x:v>
      </x:c>
      <x:c r="AG1502" t="n">
        <x:f>_xlfn.XLOOKUP($A1502,Games!$A$2:$A$18,Games!$B$2:$B$18,"Missing game",0)</x:f>
        <x:v>2025</x:v>
      </x:c>
      <x:c r="AH1502" t="str">
        <x:f>_xlfn.XLOOKUP($A1502,Games!$A$2:$A$18,Games!$C$2:$C$18,"Missing game",0)</x:f>
        <x:v>REG</x:v>
      </x:c>
      <x:c r="AI1502" t="n">
        <x:f>_xlfn.XLOOKUP($A1502,Games!$A$2:$A$18,Games!$D$2:$D$18,"Missing game",0)</x:f>
        <x:v>10</x:v>
      </x:c>
      <x:c r="AJ1502" s="1" t="n">
        <x:f>_xlfn.XLOOKUP($A1502,Games!$A$2:$A$18,Games!$E$2:$E$18,"Missing game",0)</x:f>
        <x:v>45970</x:v>
      </x:c>
      <x:c r="AK1502" t="str">
        <x:f>_xlfn.XLOOKUP($A1502,Games!$A$2:$A$18,Games!$F$2:$F$18,"Missing game",0)</x:f>
        <x:v>Sunday</x:v>
      </x:c>
      <x:c r="AL1502" t="str">
        <x:f>_xlfn.XLOOKUP($A1502,Games!$A$2:$A$18,Games!$G$2:$G$18,"Missing game",0)</x:f>
        <x:v>BAL</x:v>
      </x:c>
      <x:c r="AM1502" t="n">
        <x:f>_xlfn.XLOOKUP($A1502,Games!$A$2:$A$18,Games!$H$2:$H$18,"Missing game",0)</x:f>
        <x:v>27</x:v>
      </x:c>
      <x:c r="AN1502" t="str">
        <x:f>_xlfn.XLOOKUP($A1502,Games!$A$2:$A$18,Games!$I$2:$I$18,"Missing game",0)</x:f>
        <x:v>MIN</x:v>
      </x:c>
      <x:c r="AO1502" t="n">
        <x:f>_xlfn.XLOOKUP($A1502,Games!$A$2:$A$18,Games!$J$2:$J$18,"Missing game",0)</x:f>
        <x:v>19</x:v>
      </x:c>
      <x:c r="AP1502" t="n">
        <x:f>_xlfn.XLOOKUP($A1502,Games!$A$2:$A$18,Games!$K$2:$K$18,"Missing game",0)</x:f>
        <x:v>-8</x:v>
      </x:c>
      <x:c r="AQ1502" t="n">
        <x:f>_xlfn.XLOOKUP($A1502,Games!$A$2:$A$18,Games!$L$2:$L$18,"Missing game",0)</x:f>
        <x:v>46</x:v>
      </x:c>
      <x:c r="AR1502" t="n">
        <x:f>_xlfn.XLOOKUP($A1502,Games!$A$2:$A$18,Games!$M$2:$M$18,"Missing game",0)</x:f>
        <x:v>0</x:v>
      </x:c>
      <x:c r="AS1502" t="str">
        <x:f>_xlfn.XLOOKUP($A1502,Games!$A$2:$A$18,Games!$N$2:$N$18,"Missing game",0)</x:f>
        <x:v>dome</x:v>
      </x:c>
      <x:c r="AT1502" t="str">
        <x:f>_xlfn.XLOOKUP($A1502,Games!$A$2:$A$18,Games!$O$2:$O$18,"Missing game",0)</x:f>
        <x:v>sportturf</x:v>
      </x:c>
      <x:c r="AU1502" t="str">
        <x:f>_xlfn.XLOOKUP($A1502,Games!$A$2:$A$18,Games!$P$2:$P$18,"Missing game",0)</x:f>
      </x:c>
      <x:c r="AV1502" t="str">
        <x:f>_xlfn.XLOOKUP($A1502,Games!$A$2:$A$18,Games!$Q$2:$Q$18,"Missing game",0)</x:f>
      </x:c>
      <x:c r="AW1502" t="str">
        <x:f>_xlfn.XLOOKUP($A1502,Games!$A$2:$A$18,Games!$R$2:$R$18,"Missing game",0)</x:f>
        <x:v>U.S. Bank Stadium</x:v>
      </x:c>
    </x:row>
    <x:row r="1503">
      <x:c r="A1503" t="str">
        <x:v>2025_10_BAL_MIN</x:v>
      </x:c>
      <x:c r="B1503" t="n">
        <x:v>3767</x:v>
      </x:c>
      <x:c r="C1503" t="n">
        <x:v>4</x:v>
      </x:c>
      <x:c r="D1503" t="str">
        <x:v>05:35</x:v>
      </x:c>
      <x:c r="E1503" t="n">
        <x:v>1</x:v>
      </x:c>
      <x:c r="F1503" t="n">
        <x:v>10</x:v>
      </x:c>
      <x:c r="G1503" t="str">
        <x:v>MIN</x:v>
      </x:c>
      <x:c r="H1503" t="str">
        <x:v>BAL</x:v>
      </x:c>
      <x:c r="I1503" t="str">
        <x:v>MIN</x:v>
      </x:c>
      <x:c r="J1503" t="n">
        <x:v>65</x:v>
      </x:c>
      <x:c r="K1503" t="str">
        <x:v>(5:35) (Shotgun) PENALTY on MIN-9-J.McCarthy, False Start, 5 yards, enforced at MIN 35 - No Play.</x:v>
      </x:c>
      <x:c r="L1503" t="str">
        <x:v>no_play</x:v>
      </x:c>
      <x:c r="M1503" t="n">
        <x:v>0</x:v>
      </x:c>
      <x:c r="N1503" t="n">
        <x:v>1</x:v>
      </x:c>
      <x:c r="O1503" t="n">
        <x:v>0</x:v>
      </x:c>
      <x:c r="P1503"/>
      <x:c r="Q1503"/>
      <x:c r="R1503"/>
      <x:c r="S1503"/>
      <x:c r="T1503"/>
      <x:c r="U1503"/>
      <x:c r="V1503" t="n">
        <x:v>0</x:v>
      </x:c>
      <x:c r="W1503" t="n">
        <x:v>0</x:v>
      </x:c>
      <x:c r="X1503" t="n">
        <x:v>0</x:v>
      </x:c>
      <x:c r="Y1503" t="n">
        <x:v>0</x:v>
      </x:c>
      <x:c r="Z1503" t="n">
        <x:v>0</x:v>
      </x:c>
      <x:c r="AA1503" t="n">
        <x:v>1</x:v>
      </x:c>
      <x:c r="AB1503" t="n">
        <x:v>5</x:v>
      </x:c>
      <x:c r="AC1503" t="n">
        <x:v>0</x:v>
      </x:c>
      <x:c r="AD1503" t="n">
        <x:v>-0.5025140263605863</x:v>
      </x:c>
      <x:c r="AE1503" t="n">
        <x:v>0</x:v>
      </x:c>
      <x:c r="AF1503" t="n">
        <x:v>-0.0009529627859592438</x:v>
      </x:c>
      <x:c r="AG1503" t="n">
        <x:f>_xlfn.XLOOKUP($A1503,Games!$A$2:$A$18,Games!$B$2:$B$18,"Missing game",0)</x:f>
        <x:v>2025</x:v>
      </x:c>
      <x:c r="AH1503" t="str">
        <x:f>_xlfn.XLOOKUP($A1503,Games!$A$2:$A$18,Games!$C$2:$C$18,"Missing game",0)</x:f>
        <x:v>REG</x:v>
      </x:c>
      <x:c r="AI1503" t="n">
        <x:f>_xlfn.XLOOKUP($A1503,Games!$A$2:$A$18,Games!$D$2:$D$18,"Missing game",0)</x:f>
        <x:v>10</x:v>
      </x:c>
      <x:c r="AJ1503" s="1" t="n">
        <x:f>_xlfn.XLOOKUP($A1503,Games!$A$2:$A$18,Games!$E$2:$E$18,"Missing game",0)</x:f>
        <x:v>45970</x:v>
      </x:c>
      <x:c r="AK1503" t="str">
        <x:f>_xlfn.XLOOKUP($A1503,Games!$A$2:$A$18,Games!$F$2:$F$18,"Missing game",0)</x:f>
        <x:v>Sunday</x:v>
      </x:c>
      <x:c r="AL1503" t="str">
        <x:f>_xlfn.XLOOKUP($A1503,Games!$A$2:$A$18,Games!$G$2:$G$18,"Missing game",0)</x:f>
        <x:v>BAL</x:v>
      </x:c>
      <x:c r="AM1503" t="n">
        <x:f>_xlfn.XLOOKUP($A1503,Games!$A$2:$A$18,Games!$H$2:$H$18,"Missing game",0)</x:f>
        <x:v>27</x:v>
      </x:c>
      <x:c r="AN1503" t="str">
        <x:f>_xlfn.XLOOKUP($A1503,Games!$A$2:$A$18,Games!$I$2:$I$18,"Missing game",0)</x:f>
        <x:v>MIN</x:v>
      </x:c>
      <x:c r="AO1503" t="n">
        <x:f>_xlfn.XLOOKUP($A1503,Games!$A$2:$A$18,Games!$J$2:$J$18,"Missing game",0)</x:f>
        <x:v>19</x:v>
      </x:c>
      <x:c r="AP1503" t="n">
        <x:f>_xlfn.XLOOKUP($A1503,Games!$A$2:$A$18,Games!$K$2:$K$18,"Missing game",0)</x:f>
        <x:v>-8</x:v>
      </x:c>
      <x:c r="AQ1503" t="n">
        <x:f>_xlfn.XLOOKUP($A1503,Games!$A$2:$A$18,Games!$L$2:$L$18,"Missing game",0)</x:f>
        <x:v>46</x:v>
      </x:c>
      <x:c r="AR1503" t="n">
        <x:f>_xlfn.XLOOKUP($A1503,Games!$A$2:$A$18,Games!$M$2:$M$18,"Missing game",0)</x:f>
        <x:v>0</x:v>
      </x:c>
      <x:c r="AS1503" t="str">
        <x:f>_xlfn.XLOOKUP($A1503,Games!$A$2:$A$18,Games!$N$2:$N$18,"Missing game",0)</x:f>
        <x:v>dome</x:v>
      </x:c>
      <x:c r="AT1503" t="str">
        <x:f>_xlfn.XLOOKUP($A1503,Games!$A$2:$A$18,Games!$O$2:$O$18,"Missing game",0)</x:f>
        <x:v>sportturf</x:v>
      </x:c>
      <x:c r="AU1503" t="str">
        <x:f>_xlfn.XLOOKUP($A1503,Games!$A$2:$A$18,Games!$P$2:$P$18,"Missing game",0)</x:f>
      </x:c>
      <x:c r="AV1503" t="str">
        <x:f>_xlfn.XLOOKUP($A1503,Games!$A$2:$A$18,Games!$Q$2:$Q$18,"Missing game",0)</x:f>
      </x:c>
      <x:c r="AW1503" t="str">
        <x:f>_xlfn.XLOOKUP($A1503,Games!$A$2:$A$18,Games!$R$2:$R$18,"Missing game",0)</x:f>
        <x:v>U.S. Bank Stadium</x:v>
      </x:c>
    </x:row>
    <x:row r="1504">
      <x:c r="A1504" t="str">
        <x:v>2025_10_BAL_MIN</x:v>
      </x:c>
      <x:c r="B1504" t="n">
        <x:v>3791</x:v>
      </x:c>
      <x:c r="C1504" t="n">
        <x:v>4</x:v>
      </x:c>
      <x:c r="D1504" t="str">
        <x:v>05:35</x:v>
      </x:c>
      <x:c r="E1504" t="n">
        <x:v>1</x:v>
      </x:c>
      <x:c r="F1504" t="n">
        <x:v>15</x:v>
      </x:c>
      <x:c r="G1504" t="str">
        <x:v>MIN</x:v>
      </x:c>
      <x:c r="H1504" t="str">
        <x:v>BAL</x:v>
      </x:c>
      <x:c r="I1504" t="str">
        <x:v>MIN</x:v>
      </x:c>
      <x:c r="J1504" t="n">
        <x:v>70</x:v>
      </x:c>
      <x:c r="K1504" t="str">
        <x:v>(5:35) (Shotgun) 9-J.McCarthy pass short middle to 3-J.Addison to BAL 44 for 26 yards (2-N.Wiggins).</x:v>
      </x:c>
      <x:c r="L1504" t="str">
        <x:v>pass</x:v>
      </x:c>
      <x:c r="M1504" t="n">
        <x:v>26</x:v>
      </x:c>
      <x:c r="N1504" t="n">
        <x:v>1</x:v>
      </x:c>
      <x:c r="O1504" t="n">
        <x:v>0</x:v>
      </x:c>
      <x:c r="P1504" t="str">
        <x:v>short</x:v>
      </x:c>
      <x:c r="Q1504" t="str">
        <x:v>middle</x:v>
      </x:c>
      <x:c r="R1504" t="n">
        <x:v>15</x:v>
      </x:c>
      <x:c r="S1504" t="n">
        <x:v>11</x:v>
      </x:c>
      <x:c r="T1504"/>
      <x:c r="U1504"/>
      <x:c r="V1504" t="n">
        <x:v>1</x:v>
      </x:c>
      <x:c r="W1504" t="n">
        <x:v>1</x:v>
      </x:c>
      <x:c r="X1504" t="n">
        <x:v>0</x:v>
      </x:c>
      <x:c r="Y1504" t="n">
        <x:v>0</x:v>
      </x:c>
      <x:c r="Z1504" t="n">
        <x:v>0</x:v>
      </x:c>
      <x:c r="AA1504" t="n">
        <x:v>0</x:v>
      </x:c>
      <x:c r="AB1504"/>
      <x:c r="AC1504" t="n">
        <x:v>0</x:v>
      </x:c>
      <x:c r="AD1504" t="n">
        <x:v>1.9273382931714877</x:v>
      </x:c>
      <x:c r="AE1504" t="n">
        <x:v>1</x:v>
      </x:c>
      <x:c r="AF1504" t="n">
        <x:v>0.01537393033504486</x:v>
      </x:c>
      <x:c r="AG1504" t="n">
        <x:f>_xlfn.XLOOKUP($A1504,Games!$A$2:$A$18,Games!$B$2:$B$18,"Missing game",0)</x:f>
        <x:v>2025</x:v>
      </x:c>
      <x:c r="AH1504" t="str">
        <x:f>_xlfn.XLOOKUP($A1504,Games!$A$2:$A$18,Games!$C$2:$C$18,"Missing game",0)</x:f>
        <x:v>REG</x:v>
      </x:c>
      <x:c r="AI1504" t="n">
        <x:f>_xlfn.XLOOKUP($A1504,Games!$A$2:$A$18,Games!$D$2:$D$18,"Missing game",0)</x:f>
        <x:v>10</x:v>
      </x:c>
      <x:c r="AJ1504" s="1" t="n">
        <x:f>_xlfn.XLOOKUP($A1504,Games!$A$2:$A$18,Games!$E$2:$E$18,"Missing game",0)</x:f>
        <x:v>45970</x:v>
      </x:c>
      <x:c r="AK1504" t="str">
        <x:f>_xlfn.XLOOKUP($A1504,Games!$A$2:$A$18,Games!$F$2:$F$18,"Missing game",0)</x:f>
        <x:v>Sunday</x:v>
      </x:c>
      <x:c r="AL1504" t="str">
        <x:f>_xlfn.XLOOKUP($A1504,Games!$A$2:$A$18,Games!$G$2:$G$18,"Missing game",0)</x:f>
        <x:v>BAL</x:v>
      </x:c>
      <x:c r="AM1504" t="n">
        <x:f>_xlfn.XLOOKUP($A1504,Games!$A$2:$A$18,Games!$H$2:$H$18,"Missing game",0)</x:f>
        <x:v>27</x:v>
      </x:c>
      <x:c r="AN1504" t="str">
        <x:f>_xlfn.XLOOKUP($A1504,Games!$A$2:$A$18,Games!$I$2:$I$18,"Missing game",0)</x:f>
        <x:v>MIN</x:v>
      </x:c>
      <x:c r="AO1504" t="n">
        <x:f>_xlfn.XLOOKUP($A1504,Games!$A$2:$A$18,Games!$J$2:$J$18,"Missing game",0)</x:f>
        <x:v>19</x:v>
      </x:c>
      <x:c r="AP1504" t="n">
        <x:f>_xlfn.XLOOKUP($A1504,Games!$A$2:$A$18,Games!$K$2:$K$18,"Missing game",0)</x:f>
        <x:v>-8</x:v>
      </x:c>
      <x:c r="AQ1504" t="n">
        <x:f>_xlfn.XLOOKUP($A1504,Games!$A$2:$A$18,Games!$L$2:$L$18,"Missing game",0)</x:f>
        <x:v>46</x:v>
      </x:c>
      <x:c r="AR1504" t="n">
        <x:f>_xlfn.XLOOKUP($A1504,Games!$A$2:$A$18,Games!$M$2:$M$18,"Missing game",0)</x:f>
        <x:v>0</x:v>
      </x:c>
      <x:c r="AS1504" t="str">
        <x:f>_xlfn.XLOOKUP($A1504,Games!$A$2:$A$18,Games!$N$2:$N$18,"Missing game",0)</x:f>
        <x:v>dome</x:v>
      </x:c>
      <x:c r="AT1504" t="str">
        <x:f>_xlfn.XLOOKUP($A1504,Games!$A$2:$A$18,Games!$O$2:$O$18,"Missing game",0)</x:f>
        <x:v>sportturf</x:v>
      </x:c>
      <x:c r="AU1504" t="str">
        <x:f>_xlfn.XLOOKUP($A1504,Games!$A$2:$A$18,Games!$P$2:$P$18,"Missing game",0)</x:f>
      </x:c>
      <x:c r="AV1504" t="str">
        <x:f>_xlfn.XLOOKUP($A1504,Games!$A$2:$A$18,Games!$Q$2:$Q$18,"Missing game",0)</x:f>
      </x:c>
      <x:c r="AW1504" t="str">
        <x:f>_xlfn.XLOOKUP($A1504,Games!$A$2:$A$18,Games!$R$2:$R$18,"Missing game",0)</x:f>
        <x:v>U.S. Bank Stadium</x:v>
      </x:c>
    </x:row>
    <x:row r="1505">
      <x:c r="A1505" t="str">
        <x:v>2025_10_BAL_MIN</x:v>
      </x:c>
      <x:c r="B1505" t="n">
        <x:v>3816</x:v>
      </x:c>
      <x:c r="C1505" t="n">
        <x:v>4</x:v>
      </x:c>
      <x:c r="D1505" t="str">
        <x:v>05:11</x:v>
      </x:c>
      <x:c r="E1505" t="n">
        <x:v>1</x:v>
      </x:c>
      <x:c r="F1505" t="n">
        <x:v>10</x:v>
      </x:c>
      <x:c r="G1505" t="str">
        <x:v>MIN</x:v>
      </x:c>
      <x:c r="H1505" t="str">
        <x:v>BAL</x:v>
      </x:c>
      <x:c r="I1505" t="str">
        <x:v>BAL</x:v>
      </x:c>
      <x:c r="J1505" t="n">
        <x:v>44</x:v>
      </x:c>
      <x:c r="K1505" t="str">
        <x:v>(5:11) (No Huddle, Shotgun) 9-J.McCarthy pass incomplete short left to 33-A.Jones [58-T.Bryan]. PENALTY on BAL-0-R.Smith, Defensive Pass Interference, 9 yards, enforced at BAL 44 - No Play.</x:v>
      </x:c>
      <x:c r="L1505" t="str">
        <x:v>no_play</x:v>
      </x:c>
      <x:c r="M1505" t="n">
        <x:v>0</x:v>
      </x:c>
      <x:c r="N1505" t="n">
        <x:v>1</x:v>
      </x:c>
      <x:c r="O1505" t="n">
        <x:v>1</x:v>
      </x:c>
      <x:c r="P1505"/>
      <x:c r="Q1505"/>
      <x:c r="R1505"/>
      <x:c r="S1505"/>
      <x:c r="T1505"/>
      <x:c r="U1505"/>
      <x:c r="V1505" t="n">
        <x:v>0</x:v>
      </x:c>
      <x:c r="W1505" t="n">
        <x:v>1</x:v>
      </x:c>
      <x:c r="X1505" t="n">
        <x:v>0</x:v>
      </x:c>
      <x:c r="Y1505" t="n">
        <x:v>0</x:v>
      </x:c>
      <x:c r="Z1505" t="n">
        <x:v>0</x:v>
      </x:c>
      <x:c r="AA1505" t="n">
        <x:v>1</x:v>
      </x:c>
      <x:c r="AB1505" t="n">
        <x:v>9</x:v>
      </x:c>
      <x:c r="AC1505" t="n">
        <x:v>0</x:v>
      </x:c>
      <x:c r="AD1505" t="n">
        <x:v>0.49217864719685167</x:v>
      </x:c>
      <x:c r="AE1505" t="n">
        <x:v>1</x:v>
      </x:c>
      <x:c r="AF1505" t="n">
        <x:v>0.0055046528577804565</x:v>
      </x:c>
      <x:c r="AG1505" t="n">
        <x:f>_xlfn.XLOOKUP($A1505,Games!$A$2:$A$18,Games!$B$2:$B$18,"Missing game",0)</x:f>
        <x:v>2025</x:v>
      </x:c>
      <x:c r="AH1505" t="str">
        <x:f>_xlfn.XLOOKUP($A1505,Games!$A$2:$A$18,Games!$C$2:$C$18,"Missing game",0)</x:f>
        <x:v>REG</x:v>
      </x:c>
      <x:c r="AI1505" t="n">
        <x:f>_xlfn.XLOOKUP($A1505,Games!$A$2:$A$18,Games!$D$2:$D$18,"Missing game",0)</x:f>
        <x:v>10</x:v>
      </x:c>
      <x:c r="AJ1505" s="1" t="n">
        <x:f>_xlfn.XLOOKUP($A1505,Games!$A$2:$A$18,Games!$E$2:$E$18,"Missing game",0)</x:f>
        <x:v>45970</x:v>
      </x:c>
      <x:c r="AK1505" t="str">
        <x:f>_xlfn.XLOOKUP($A1505,Games!$A$2:$A$18,Games!$F$2:$F$18,"Missing game",0)</x:f>
        <x:v>Sunday</x:v>
      </x:c>
      <x:c r="AL1505" t="str">
        <x:f>_xlfn.XLOOKUP($A1505,Games!$A$2:$A$18,Games!$G$2:$G$18,"Missing game",0)</x:f>
        <x:v>BAL</x:v>
      </x:c>
      <x:c r="AM1505" t="n">
        <x:f>_xlfn.XLOOKUP($A1505,Games!$A$2:$A$18,Games!$H$2:$H$18,"Missing game",0)</x:f>
        <x:v>27</x:v>
      </x:c>
      <x:c r="AN1505" t="str">
        <x:f>_xlfn.XLOOKUP($A1505,Games!$A$2:$A$18,Games!$I$2:$I$18,"Missing game",0)</x:f>
        <x:v>MIN</x:v>
      </x:c>
      <x:c r="AO1505" t="n">
        <x:f>_xlfn.XLOOKUP($A1505,Games!$A$2:$A$18,Games!$J$2:$J$18,"Missing game",0)</x:f>
        <x:v>19</x:v>
      </x:c>
      <x:c r="AP1505" t="n">
        <x:f>_xlfn.XLOOKUP($A1505,Games!$A$2:$A$18,Games!$K$2:$K$18,"Missing game",0)</x:f>
        <x:v>-8</x:v>
      </x:c>
      <x:c r="AQ1505" t="n">
        <x:f>_xlfn.XLOOKUP($A1505,Games!$A$2:$A$18,Games!$L$2:$L$18,"Missing game",0)</x:f>
        <x:v>46</x:v>
      </x:c>
      <x:c r="AR1505" t="n">
        <x:f>_xlfn.XLOOKUP($A1505,Games!$A$2:$A$18,Games!$M$2:$M$18,"Missing game",0)</x:f>
        <x:v>0</x:v>
      </x:c>
      <x:c r="AS1505" t="str">
        <x:f>_xlfn.XLOOKUP($A1505,Games!$A$2:$A$18,Games!$N$2:$N$18,"Missing game",0)</x:f>
        <x:v>dome</x:v>
      </x:c>
      <x:c r="AT1505" t="str">
        <x:f>_xlfn.XLOOKUP($A1505,Games!$A$2:$A$18,Games!$O$2:$O$18,"Missing game",0)</x:f>
        <x:v>sportturf</x:v>
      </x:c>
      <x:c r="AU1505" t="str">
        <x:f>_xlfn.XLOOKUP($A1505,Games!$A$2:$A$18,Games!$P$2:$P$18,"Missing game",0)</x:f>
      </x:c>
      <x:c r="AV1505" t="str">
        <x:f>_xlfn.XLOOKUP($A1505,Games!$A$2:$A$18,Games!$Q$2:$Q$18,"Missing game",0)</x:f>
      </x:c>
      <x:c r="AW1505" t="str">
        <x:f>_xlfn.XLOOKUP($A1505,Games!$A$2:$A$18,Games!$R$2:$R$18,"Missing game",0)</x:f>
        <x:v>U.S. Bank Stadium</x:v>
      </x:c>
    </x:row>
    <x:row r="1506">
      <x:c r="A1506" t="str">
        <x:v>2025_10_BAL_MIN</x:v>
      </x:c>
      <x:c r="B1506" t="n">
        <x:v>3850</x:v>
      </x:c>
      <x:c r="C1506" t="n">
        <x:v>4</x:v>
      </x:c>
      <x:c r="D1506" t="str">
        <x:v>05:04</x:v>
      </x:c>
      <x:c r="E1506" t="n">
        <x:v>1</x:v>
      </x:c>
      <x:c r="F1506" t="n">
        <x:v>10</x:v>
      </x:c>
      <x:c r="G1506" t="str">
        <x:v>MIN</x:v>
      </x:c>
      <x:c r="H1506" t="str">
        <x:v>BAL</x:v>
      </x:c>
      <x:c r="I1506" t="str">
        <x:v>BAL</x:v>
      </x:c>
      <x:c r="J1506" t="n">
        <x:v>35</x:v>
      </x:c>
      <x:c r="K1506" t="str">
        <x:v>(5:04) (Shotgun) 9-J.McCarthy pass incomplete deep right to 3-J.Addison (53-K.Van Noy).</x:v>
      </x:c>
      <x:c r="L1506" t="str">
        <x:v>pass</x:v>
      </x:c>
      <x:c r="M1506" t="n">
        <x:v>0</x:v>
      </x:c>
      <x:c r="N1506" t="n">
        <x:v>1</x:v>
      </x:c>
      <x:c r="O1506" t="n">
        <x:v>0</x:v>
      </x:c>
      <x:c r="P1506" t="str">
        <x:v>deep</x:v>
      </x:c>
      <x:c r="Q1506" t="str">
        <x:v>right</x:v>
      </x:c>
      <x:c r="R1506" t="n">
        <x:v>25</x:v>
      </x:c>
      <x:c r="S1506"/>
      <x:c r="T1506"/>
      <x:c r="U1506"/>
      <x:c r="V1506" t="n">
        <x:v>0</x:v>
      </x:c>
      <x:c r="W1506" t="n">
        <x:v>0</x:v>
      </x:c>
      <x:c r="X1506" t="n">
        <x:v>0</x:v>
      </x:c>
      <x:c r="Y1506" t="n">
        <x:v>0</x:v>
      </x:c>
      <x:c r="Z1506" t="n">
        <x:v>0</x:v>
      </x:c>
      <x:c r="AA1506" t="n">
        <x:v>0</x:v>
      </x:c>
      <x:c r="AB1506"/>
      <x:c r="AC1506" t="n">
        <x:v>0</x:v>
      </x:c>
      <x:c r="AD1506" t="n">
        <x:v>-0.49434351676609367</x:v>
      </x:c>
      <x:c r="AE1506" t="n">
        <x:v>0</x:v>
      </x:c>
      <x:c r="AF1506" t="n">
        <x:v>-0.0067376308143138885</x:v>
      </x:c>
      <x:c r="AG1506" t="n">
        <x:f>_xlfn.XLOOKUP($A1506,Games!$A$2:$A$18,Games!$B$2:$B$18,"Missing game",0)</x:f>
        <x:v>2025</x:v>
      </x:c>
      <x:c r="AH1506" t="str">
        <x:f>_xlfn.XLOOKUP($A1506,Games!$A$2:$A$18,Games!$C$2:$C$18,"Missing game",0)</x:f>
        <x:v>REG</x:v>
      </x:c>
      <x:c r="AI1506" t="n">
        <x:f>_xlfn.XLOOKUP($A1506,Games!$A$2:$A$18,Games!$D$2:$D$18,"Missing game",0)</x:f>
        <x:v>10</x:v>
      </x:c>
      <x:c r="AJ1506" s="1" t="n">
        <x:f>_xlfn.XLOOKUP($A1506,Games!$A$2:$A$18,Games!$E$2:$E$18,"Missing game",0)</x:f>
        <x:v>45970</x:v>
      </x:c>
      <x:c r="AK1506" t="str">
        <x:f>_xlfn.XLOOKUP($A1506,Games!$A$2:$A$18,Games!$F$2:$F$18,"Missing game",0)</x:f>
        <x:v>Sunday</x:v>
      </x:c>
      <x:c r="AL1506" t="str">
        <x:f>_xlfn.XLOOKUP($A1506,Games!$A$2:$A$18,Games!$G$2:$G$18,"Missing game",0)</x:f>
        <x:v>BAL</x:v>
      </x:c>
      <x:c r="AM1506" t="n">
        <x:f>_xlfn.XLOOKUP($A1506,Games!$A$2:$A$18,Games!$H$2:$H$18,"Missing game",0)</x:f>
        <x:v>27</x:v>
      </x:c>
      <x:c r="AN1506" t="str">
        <x:f>_xlfn.XLOOKUP($A1506,Games!$A$2:$A$18,Games!$I$2:$I$18,"Missing game",0)</x:f>
        <x:v>MIN</x:v>
      </x:c>
      <x:c r="AO1506" t="n">
        <x:f>_xlfn.XLOOKUP($A1506,Games!$A$2:$A$18,Games!$J$2:$J$18,"Missing game",0)</x:f>
        <x:v>19</x:v>
      </x:c>
      <x:c r="AP1506" t="n">
        <x:f>_xlfn.XLOOKUP($A1506,Games!$A$2:$A$18,Games!$K$2:$K$18,"Missing game",0)</x:f>
        <x:v>-8</x:v>
      </x:c>
      <x:c r="AQ1506" t="n">
        <x:f>_xlfn.XLOOKUP($A1506,Games!$A$2:$A$18,Games!$L$2:$L$18,"Missing game",0)</x:f>
        <x:v>46</x:v>
      </x:c>
      <x:c r="AR1506" t="n">
        <x:f>_xlfn.XLOOKUP($A1506,Games!$A$2:$A$18,Games!$M$2:$M$18,"Missing game",0)</x:f>
        <x:v>0</x:v>
      </x:c>
      <x:c r="AS1506" t="str">
        <x:f>_xlfn.XLOOKUP($A1506,Games!$A$2:$A$18,Games!$N$2:$N$18,"Missing game",0)</x:f>
        <x:v>dome</x:v>
      </x:c>
      <x:c r="AT1506" t="str">
        <x:f>_xlfn.XLOOKUP($A1506,Games!$A$2:$A$18,Games!$O$2:$O$18,"Missing game",0)</x:f>
        <x:v>sportturf</x:v>
      </x:c>
      <x:c r="AU1506" t="str">
        <x:f>_xlfn.XLOOKUP($A1506,Games!$A$2:$A$18,Games!$P$2:$P$18,"Missing game",0)</x:f>
      </x:c>
      <x:c r="AV1506" t="str">
        <x:f>_xlfn.XLOOKUP($A1506,Games!$A$2:$A$18,Games!$Q$2:$Q$18,"Missing game",0)</x:f>
      </x:c>
      <x:c r="AW1506" t="str">
        <x:f>_xlfn.XLOOKUP($A1506,Games!$A$2:$A$18,Games!$R$2:$R$18,"Missing game",0)</x:f>
        <x:v>U.S. Bank Stadium</x:v>
      </x:c>
    </x:row>
    <x:row r="1507">
      <x:c r="A1507" t="str">
        <x:v>2025_10_BAL_MIN</x:v>
      </x:c>
      <x:c r="B1507" t="n">
        <x:v>3873</x:v>
      </x:c>
      <x:c r="C1507" t="n">
        <x:v>4</x:v>
      </x:c>
      <x:c r="D1507" t="str">
        <x:v>04:58</x:v>
      </x:c>
      <x:c r="E1507" t="n">
        <x:v>2</x:v>
      </x:c>
      <x:c r="F1507" t="n">
        <x:v>10</x:v>
      </x:c>
      <x:c r="G1507" t="str">
        <x:v>MIN</x:v>
      </x:c>
      <x:c r="H1507" t="str">
        <x:v>BAL</x:v>
      </x:c>
      <x:c r="I1507" t="str">
        <x:v>BAL</x:v>
      </x:c>
      <x:c r="J1507" t="n">
        <x:v>35</x:v>
      </x:c>
      <x:c r="K1507" t="str">
        <x:v>(4:58) (Shotgun) 9-J.McCarthy pass short middle intended for 3-J.Addison INTERCEPTED by 0-R.Smith [45-M.Green] at BAL 21. 0-R.Smith to BAL 21 for no gain (3-J.Addison). The Replay Official reviewed the interception ruling, and the play was REVERSED. (Shotgun) 9-J.McCarthy pass incomplete short middle to 3-J.Addison (0-R.Smith) [45-M.Green].</x:v>
      </x:c>
      <x:c r="L1507" t="str">
        <x:v>pass</x:v>
      </x:c>
      <x:c r="M1507" t="n">
        <x:v>0</x:v>
      </x:c>
      <x:c r="N1507" t="n">
        <x:v>1</x:v>
      </x:c>
      <x:c r="O1507" t="n">
        <x:v>0</x:v>
      </x:c>
      <x:c r="P1507" t="str">
        <x:v>short</x:v>
      </x:c>
      <x:c r="Q1507" t="str">
        <x:v>middle</x:v>
      </x:c>
      <x:c r="R1507" t="n">
        <x:v>14</x:v>
      </x:c>
      <x:c r="S1507"/>
      <x:c r="T1507"/>
      <x:c r="U1507"/>
      <x:c r="V1507" t="n">
        <x:v>0</x:v>
      </x:c>
      <x:c r="W1507" t="n">
        <x:v>0</x:v>
      </x:c>
      <x:c r="X1507" t="n">
        <x:v>0</x:v>
      </x:c>
      <x:c r="Y1507" t="n">
        <x:v>0</x:v>
      </x:c>
      <x:c r="Z1507" t="n">
        <x:v>0</x:v>
      </x:c>
      <x:c r="AA1507" t="n">
        <x:v>0</x:v>
      </x:c>
      <x:c r="AB1507"/>
      <x:c r="AC1507" t="n">
        <x:v>0</x:v>
      </x:c>
      <x:c r="AD1507" t="n">
        <x:v>-0.6793270810157992</x:v>
      </x:c>
      <x:c r="AE1507" t="n">
        <x:v>0</x:v>
      </x:c>
      <x:c r="AF1507" t="n">
        <x:v>-0.013784214854240417</x:v>
      </x:c>
      <x:c r="AG1507" t="n">
        <x:f>_xlfn.XLOOKUP($A1507,Games!$A$2:$A$18,Games!$B$2:$B$18,"Missing game",0)</x:f>
        <x:v>2025</x:v>
      </x:c>
      <x:c r="AH1507" t="str">
        <x:f>_xlfn.XLOOKUP($A1507,Games!$A$2:$A$18,Games!$C$2:$C$18,"Missing game",0)</x:f>
        <x:v>REG</x:v>
      </x:c>
      <x:c r="AI1507" t="n">
        <x:f>_xlfn.XLOOKUP($A1507,Games!$A$2:$A$18,Games!$D$2:$D$18,"Missing game",0)</x:f>
        <x:v>10</x:v>
      </x:c>
      <x:c r="AJ1507" s="1" t="n">
        <x:f>_xlfn.XLOOKUP($A1507,Games!$A$2:$A$18,Games!$E$2:$E$18,"Missing game",0)</x:f>
        <x:v>45970</x:v>
      </x:c>
      <x:c r="AK1507" t="str">
        <x:f>_xlfn.XLOOKUP($A1507,Games!$A$2:$A$18,Games!$F$2:$F$18,"Missing game",0)</x:f>
        <x:v>Sunday</x:v>
      </x:c>
      <x:c r="AL1507" t="str">
        <x:f>_xlfn.XLOOKUP($A1507,Games!$A$2:$A$18,Games!$G$2:$G$18,"Missing game",0)</x:f>
        <x:v>BAL</x:v>
      </x:c>
      <x:c r="AM1507" t="n">
        <x:f>_xlfn.XLOOKUP($A1507,Games!$A$2:$A$18,Games!$H$2:$H$18,"Missing game",0)</x:f>
        <x:v>27</x:v>
      </x:c>
      <x:c r="AN1507" t="str">
        <x:f>_xlfn.XLOOKUP($A1507,Games!$A$2:$A$18,Games!$I$2:$I$18,"Missing game",0)</x:f>
        <x:v>MIN</x:v>
      </x:c>
      <x:c r="AO1507" t="n">
        <x:f>_xlfn.XLOOKUP($A1507,Games!$A$2:$A$18,Games!$J$2:$J$18,"Missing game",0)</x:f>
        <x:v>19</x:v>
      </x:c>
      <x:c r="AP1507" t="n">
        <x:f>_xlfn.XLOOKUP($A1507,Games!$A$2:$A$18,Games!$K$2:$K$18,"Missing game",0)</x:f>
        <x:v>-8</x:v>
      </x:c>
      <x:c r="AQ1507" t="n">
        <x:f>_xlfn.XLOOKUP($A1507,Games!$A$2:$A$18,Games!$L$2:$L$18,"Missing game",0)</x:f>
        <x:v>46</x:v>
      </x:c>
      <x:c r="AR1507" t="n">
        <x:f>_xlfn.XLOOKUP($A1507,Games!$A$2:$A$18,Games!$M$2:$M$18,"Missing game",0)</x:f>
        <x:v>0</x:v>
      </x:c>
      <x:c r="AS1507" t="str">
        <x:f>_xlfn.XLOOKUP($A1507,Games!$A$2:$A$18,Games!$N$2:$N$18,"Missing game",0)</x:f>
        <x:v>dome</x:v>
      </x:c>
      <x:c r="AT1507" t="str">
        <x:f>_xlfn.XLOOKUP($A1507,Games!$A$2:$A$18,Games!$O$2:$O$18,"Missing game",0)</x:f>
        <x:v>sportturf</x:v>
      </x:c>
      <x:c r="AU1507" t="str">
        <x:f>_xlfn.XLOOKUP($A1507,Games!$A$2:$A$18,Games!$P$2:$P$18,"Missing game",0)</x:f>
      </x:c>
      <x:c r="AV1507" t="str">
        <x:f>_xlfn.XLOOKUP($A1507,Games!$A$2:$A$18,Games!$Q$2:$Q$18,"Missing game",0)</x:f>
      </x:c>
      <x:c r="AW1507" t="str">
        <x:f>_xlfn.XLOOKUP($A1507,Games!$A$2:$A$18,Games!$R$2:$R$18,"Missing game",0)</x:f>
        <x:v>U.S. Bank Stadium</x:v>
      </x:c>
    </x:row>
    <x:row r="1508">
      <x:c r="A1508" t="str">
        <x:v>2025_10_BAL_MIN</x:v>
      </x:c>
      <x:c r="B1508" t="n">
        <x:v>3900</x:v>
      </x:c>
      <x:c r="C1508" t="n">
        <x:v>4</x:v>
      </x:c>
      <x:c r="D1508" t="str">
        <x:v>04:54</x:v>
      </x:c>
      <x:c r="E1508" t="n">
        <x:v>3</x:v>
      </x:c>
      <x:c r="F1508" t="n">
        <x:v>10</x:v>
      </x:c>
      <x:c r="G1508" t="str">
        <x:v>MIN</x:v>
      </x:c>
      <x:c r="H1508" t="str">
        <x:v>BAL</x:v>
      </x:c>
      <x:c r="I1508" t="str">
        <x:v>BAL</x:v>
      </x:c>
      <x:c r="J1508" t="n">
        <x:v>35</x:v>
      </x:c>
      <x:c r="K1508" t="str">
        <x:v>(4:54) (Shotgun) 9-J.McCarthy pass incomplete deep right to 18-J.Jefferson.</x:v>
      </x:c>
      <x:c r="L1508" t="str">
        <x:v>pass</x:v>
      </x:c>
      <x:c r="M1508" t="n">
        <x:v>0</x:v>
      </x:c>
      <x:c r="N1508" t="n">
        <x:v>1</x:v>
      </x:c>
      <x:c r="O1508" t="n">
        <x:v>0</x:v>
      </x:c>
      <x:c r="P1508" t="str">
        <x:v>deep</x:v>
      </x:c>
      <x:c r="Q1508" t="str">
        <x:v>right</x:v>
      </x:c>
      <x:c r="R1508" t="n">
        <x:v>16</x:v>
      </x:c>
      <x:c r="S1508"/>
      <x:c r="T1508"/>
      <x:c r="U1508"/>
      <x:c r="V1508" t="n">
        <x:v>0</x:v>
      </x:c>
      <x:c r="W1508" t="n">
        <x:v>0</x:v>
      </x:c>
      <x:c r="X1508" t="n">
        <x:v>0</x:v>
      </x:c>
      <x:c r="Y1508" t="n">
        <x:v>0</x:v>
      </x:c>
      <x:c r="Z1508" t="n">
        <x:v>0</x:v>
      </x:c>
      <x:c r="AA1508" t="n">
        <x:v>0</x:v>
      </x:c>
      <x:c r="AB1508"/>
      <x:c r="AC1508" t="n">
        <x:v>0</x:v>
      </x:c>
      <x:c r="AD1508" t="n">
        <x:v>-1.1515944040729664</x:v>
      </x:c>
      <x:c r="AE1508" t="n">
        <x:v>0</x:v>
      </x:c>
      <x:c r="AF1508" t="n">
        <x:v>-0.015675416216254234</x:v>
      </x:c>
      <x:c r="AG1508" t="n">
        <x:f>_xlfn.XLOOKUP($A1508,Games!$A$2:$A$18,Games!$B$2:$B$18,"Missing game",0)</x:f>
        <x:v>2025</x:v>
      </x:c>
      <x:c r="AH1508" t="str">
        <x:f>_xlfn.XLOOKUP($A1508,Games!$A$2:$A$18,Games!$C$2:$C$18,"Missing game",0)</x:f>
        <x:v>REG</x:v>
      </x:c>
      <x:c r="AI1508" t="n">
        <x:f>_xlfn.XLOOKUP($A1508,Games!$A$2:$A$18,Games!$D$2:$D$18,"Missing game",0)</x:f>
        <x:v>10</x:v>
      </x:c>
      <x:c r="AJ1508" s="1" t="n">
        <x:f>_xlfn.XLOOKUP($A1508,Games!$A$2:$A$18,Games!$E$2:$E$18,"Missing game",0)</x:f>
        <x:v>45970</x:v>
      </x:c>
      <x:c r="AK1508" t="str">
        <x:f>_xlfn.XLOOKUP($A1508,Games!$A$2:$A$18,Games!$F$2:$F$18,"Missing game",0)</x:f>
        <x:v>Sunday</x:v>
      </x:c>
      <x:c r="AL1508" t="str">
        <x:f>_xlfn.XLOOKUP($A1508,Games!$A$2:$A$18,Games!$G$2:$G$18,"Missing game",0)</x:f>
        <x:v>BAL</x:v>
      </x:c>
      <x:c r="AM1508" t="n">
        <x:f>_xlfn.XLOOKUP($A1508,Games!$A$2:$A$18,Games!$H$2:$H$18,"Missing game",0)</x:f>
        <x:v>27</x:v>
      </x:c>
      <x:c r="AN1508" t="str">
        <x:f>_xlfn.XLOOKUP($A1508,Games!$A$2:$A$18,Games!$I$2:$I$18,"Missing game",0)</x:f>
        <x:v>MIN</x:v>
      </x:c>
      <x:c r="AO1508" t="n">
        <x:f>_xlfn.XLOOKUP($A1508,Games!$A$2:$A$18,Games!$J$2:$J$18,"Missing game",0)</x:f>
        <x:v>19</x:v>
      </x:c>
      <x:c r="AP1508" t="n">
        <x:f>_xlfn.XLOOKUP($A1508,Games!$A$2:$A$18,Games!$K$2:$K$18,"Missing game",0)</x:f>
        <x:v>-8</x:v>
      </x:c>
      <x:c r="AQ1508" t="n">
        <x:f>_xlfn.XLOOKUP($A1508,Games!$A$2:$A$18,Games!$L$2:$L$18,"Missing game",0)</x:f>
        <x:v>46</x:v>
      </x:c>
      <x:c r="AR1508" t="n">
        <x:f>_xlfn.XLOOKUP($A1508,Games!$A$2:$A$18,Games!$M$2:$M$18,"Missing game",0)</x:f>
        <x:v>0</x:v>
      </x:c>
      <x:c r="AS1508" t="str">
        <x:f>_xlfn.XLOOKUP($A1508,Games!$A$2:$A$18,Games!$N$2:$N$18,"Missing game",0)</x:f>
        <x:v>dome</x:v>
      </x:c>
      <x:c r="AT1508" t="str">
        <x:f>_xlfn.XLOOKUP($A1508,Games!$A$2:$A$18,Games!$O$2:$O$18,"Missing game",0)</x:f>
        <x:v>sportturf</x:v>
      </x:c>
      <x:c r="AU1508" t="str">
        <x:f>_xlfn.XLOOKUP($A1508,Games!$A$2:$A$18,Games!$P$2:$P$18,"Missing game",0)</x:f>
      </x:c>
      <x:c r="AV1508" t="str">
        <x:f>_xlfn.XLOOKUP($A1508,Games!$A$2:$A$18,Games!$Q$2:$Q$18,"Missing game",0)</x:f>
      </x:c>
      <x:c r="AW1508" t="str">
        <x:f>_xlfn.XLOOKUP($A1508,Games!$A$2:$A$18,Games!$R$2:$R$18,"Missing game",0)</x:f>
        <x:v>U.S. Bank Stadium</x:v>
      </x:c>
    </x:row>
    <x:row r="1509">
      <x:c r="A1509" t="str">
        <x:v>2025_10_BAL_MIN</x:v>
      </x:c>
      <x:c r="B1509" t="n">
        <x:v>3965</x:v>
      </x:c>
      <x:c r="C1509" t="n">
        <x:v>4</x:v>
      </x:c>
      <x:c r="D1509" t="str">
        <x:v>04:49</x:v>
      </x:c>
      <x:c r="E1509" t="n">
        <x:v>4</x:v>
      </x:c>
      <x:c r="F1509" t="n">
        <x:v>10</x:v>
      </x:c>
      <x:c r="G1509" t="str">
        <x:v>MIN</x:v>
      </x:c>
      <x:c r="H1509" t="str">
        <x:v>BAL</x:v>
      </x:c>
      <x:c r="I1509" t="str">
        <x:v>BAL</x:v>
      </x:c>
      <x:c r="J1509" t="n">
        <x:v>35</x:v>
      </x:c>
      <x:c r="K1509" t="str">
        <x:v>(4:49) (Shotgun) 9-J.McCarthy pass deep right to 1-J.Nailor to BAL 7 for 28 yards (2-N.Wiggins) [3-C.Awuzie].</x:v>
      </x:c>
      <x:c r="L1509" t="str">
        <x:v>pass</x:v>
      </x:c>
      <x:c r="M1509" t="n">
        <x:v>28</x:v>
      </x:c>
      <x:c r="N1509" t="n">
        <x:v>1</x:v>
      </x:c>
      <x:c r="O1509" t="n">
        <x:v>0</x:v>
      </x:c>
      <x:c r="P1509" t="str">
        <x:v>deep</x:v>
      </x:c>
      <x:c r="Q1509" t="str">
        <x:v>right</x:v>
      </x:c>
      <x:c r="R1509" t="n">
        <x:v>28</x:v>
      </x:c>
      <x:c r="S1509" t="n">
        <x:v>0</x:v>
      </x:c>
      <x:c r="T1509"/>
      <x:c r="U1509"/>
      <x:c r="V1509" t="n">
        <x:v>1</x:v>
      </x:c>
      <x:c r="W1509" t="n">
        <x:v>1</x:v>
      </x:c>
      <x:c r="X1509" t="n">
        <x:v>0</x:v>
      </x:c>
      <x:c r="Y1509" t="n">
        <x:v>0</x:v>
      </x:c>
      <x:c r="Z1509" t="n">
        <x:v>0</x:v>
      </x:c>
      <x:c r="AA1509" t="n">
        <x:v>0</x:v>
      </x:c>
      <x:c r="AB1509"/>
      <x:c r="AC1509" t="n">
        <x:v>0</x:v>
      </x:c>
      <x:c r="AD1509" t="n">
        <x:v>4.088835368049331</x:v>
      </x:c>
      <x:c r="AE1509" t="n">
        <x:v>1</x:v>
      </x:c>
      <x:c r="AF1509" t="n">
        <x:v>0.04729313589632511</x:v>
      </x:c>
      <x:c r="AG1509" t="n">
        <x:f>_xlfn.XLOOKUP($A1509,Games!$A$2:$A$18,Games!$B$2:$B$18,"Missing game",0)</x:f>
        <x:v>2025</x:v>
      </x:c>
      <x:c r="AH1509" t="str">
        <x:f>_xlfn.XLOOKUP($A1509,Games!$A$2:$A$18,Games!$C$2:$C$18,"Missing game",0)</x:f>
        <x:v>REG</x:v>
      </x:c>
      <x:c r="AI1509" t="n">
        <x:f>_xlfn.XLOOKUP($A1509,Games!$A$2:$A$18,Games!$D$2:$D$18,"Missing game",0)</x:f>
        <x:v>10</x:v>
      </x:c>
      <x:c r="AJ1509" s="1" t="n">
        <x:f>_xlfn.XLOOKUP($A1509,Games!$A$2:$A$18,Games!$E$2:$E$18,"Missing game",0)</x:f>
        <x:v>45970</x:v>
      </x:c>
      <x:c r="AK1509" t="str">
        <x:f>_xlfn.XLOOKUP($A1509,Games!$A$2:$A$18,Games!$F$2:$F$18,"Missing game",0)</x:f>
        <x:v>Sunday</x:v>
      </x:c>
      <x:c r="AL1509" t="str">
        <x:f>_xlfn.XLOOKUP($A1509,Games!$A$2:$A$18,Games!$G$2:$G$18,"Missing game",0)</x:f>
        <x:v>BAL</x:v>
      </x:c>
      <x:c r="AM1509" t="n">
        <x:f>_xlfn.XLOOKUP($A1509,Games!$A$2:$A$18,Games!$H$2:$H$18,"Missing game",0)</x:f>
        <x:v>27</x:v>
      </x:c>
      <x:c r="AN1509" t="str">
        <x:f>_xlfn.XLOOKUP($A1509,Games!$A$2:$A$18,Games!$I$2:$I$18,"Missing game",0)</x:f>
        <x:v>MIN</x:v>
      </x:c>
      <x:c r="AO1509" t="n">
        <x:f>_xlfn.XLOOKUP($A1509,Games!$A$2:$A$18,Games!$J$2:$J$18,"Missing game",0)</x:f>
        <x:v>19</x:v>
      </x:c>
      <x:c r="AP1509" t="n">
        <x:f>_xlfn.XLOOKUP($A1509,Games!$A$2:$A$18,Games!$K$2:$K$18,"Missing game",0)</x:f>
        <x:v>-8</x:v>
      </x:c>
      <x:c r="AQ1509" t="n">
        <x:f>_xlfn.XLOOKUP($A1509,Games!$A$2:$A$18,Games!$L$2:$L$18,"Missing game",0)</x:f>
        <x:v>46</x:v>
      </x:c>
      <x:c r="AR1509" t="n">
        <x:f>_xlfn.XLOOKUP($A1509,Games!$A$2:$A$18,Games!$M$2:$M$18,"Missing game",0)</x:f>
        <x:v>0</x:v>
      </x:c>
      <x:c r="AS1509" t="str">
        <x:f>_xlfn.XLOOKUP($A1509,Games!$A$2:$A$18,Games!$N$2:$N$18,"Missing game",0)</x:f>
        <x:v>dome</x:v>
      </x:c>
      <x:c r="AT1509" t="str">
        <x:f>_xlfn.XLOOKUP($A1509,Games!$A$2:$A$18,Games!$O$2:$O$18,"Missing game",0)</x:f>
        <x:v>sportturf</x:v>
      </x:c>
      <x:c r="AU1509" t="str">
        <x:f>_xlfn.XLOOKUP($A1509,Games!$A$2:$A$18,Games!$P$2:$P$18,"Missing game",0)</x:f>
      </x:c>
      <x:c r="AV1509" t="str">
        <x:f>_xlfn.XLOOKUP($A1509,Games!$A$2:$A$18,Games!$Q$2:$Q$18,"Missing game",0)</x:f>
      </x:c>
      <x:c r="AW1509" t="str">
        <x:f>_xlfn.XLOOKUP($A1509,Games!$A$2:$A$18,Games!$R$2:$R$18,"Missing game",0)</x:f>
        <x:v>U.S. Bank Stadium</x:v>
      </x:c>
    </x:row>
    <x:row r="1510">
      <x:c r="A1510" t="str">
        <x:v>2025_10_BAL_MIN</x:v>
      </x:c>
      <x:c r="B1510" t="n">
        <x:v>3990</x:v>
      </x:c>
      <x:c r="C1510" t="n">
        <x:v>4</x:v>
      </x:c>
      <x:c r="D1510" t="str">
        <x:v>04:16</x:v>
      </x:c>
      <x:c r="E1510" t="n">
        <x:v>1</x:v>
      </x:c>
      <x:c r="F1510" t="n">
        <x:v>7</x:v>
      </x:c>
      <x:c r="G1510" t="str">
        <x:v>MIN</x:v>
      </x:c>
      <x:c r="H1510" t="str">
        <x:v>BAL</x:v>
      </x:c>
      <x:c r="I1510" t="str">
        <x:v>BAL</x:v>
      </x:c>
      <x:c r="J1510" t="n">
        <x:v>7</x:v>
      </x:c>
      <x:c r="K1510" t="str">
        <x:v>(4:16) (No Huddle, Shotgun) 9-J.McCarthy scrambles right tackle to BAL 5 for 2 yards (53-K.Van Noy).</x:v>
      </x:c>
      <x:c r="L1510" t="str">
        <x:v>run</x:v>
      </x:c>
      <x:c r="M1510" t="n">
        <x:v>2</x:v>
      </x:c>
      <x:c r="N1510" t="n">
        <x:v>1</x:v>
      </x:c>
      <x:c r="O1510" t="n">
        <x:v>1</x:v>
      </x:c>
      <x:c r="P1510"/>
      <x:c r="Q1510"/>
      <x:c r="R1510"/>
      <x:c r="S1510"/>
      <x:c r="T1510" t="str">
        <x:v>right</x:v>
      </x:c>
      <x:c r="U1510" t="str">
        <x:v>tackle</x:v>
      </x:c>
      <x:c r="V1510" t="n">
        <x:v>0</x:v>
      </x:c>
      <x:c r="W1510" t="n">
        <x:v>0</x:v>
      </x:c>
      <x:c r="X1510" t="n">
        <x:v>0</x:v>
      </x:c>
      <x:c r="Y1510" t="n">
        <x:v>0</x:v>
      </x:c>
      <x:c r="Z1510" t="n">
        <x:v>0</x:v>
      </x:c>
      <x:c r="AA1510" t="n">
        <x:v>0</x:v>
      </x:c>
      <x:c r="AB1510"/>
      <x:c r="AC1510" t="n">
        <x:v>0</x:v>
      </x:c>
      <x:c r="AD1510" t="n">
        <x:v>-0.11327701527625322</x:v>
      </x:c>
      <x:c r="AE1510" t="n">
        <x:v>0</x:v>
      </x:c>
      <x:c r="AF1510" t="n">
        <x:v>-0.012945391237735748</x:v>
      </x:c>
      <x:c r="AG1510" t="n">
        <x:f>_xlfn.XLOOKUP($A1510,Games!$A$2:$A$18,Games!$B$2:$B$18,"Missing game",0)</x:f>
        <x:v>2025</x:v>
      </x:c>
      <x:c r="AH1510" t="str">
        <x:f>_xlfn.XLOOKUP($A1510,Games!$A$2:$A$18,Games!$C$2:$C$18,"Missing game",0)</x:f>
        <x:v>REG</x:v>
      </x:c>
      <x:c r="AI1510" t="n">
        <x:f>_xlfn.XLOOKUP($A1510,Games!$A$2:$A$18,Games!$D$2:$D$18,"Missing game",0)</x:f>
        <x:v>10</x:v>
      </x:c>
      <x:c r="AJ1510" s="1" t="n">
        <x:f>_xlfn.XLOOKUP($A1510,Games!$A$2:$A$18,Games!$E$2:$E$18,"Missing game",0)</x:f>
        <x:v>45970</x:v>
      </x:c>
      <x:c r="AK1510" t="str">
        <x:f>_xlfn.XLOOKUP($A1510,Games!$A$2:$A$18,Games!$F$2:$F$18,"Missing game",0)</x:f>
        <x:v>Sunday</x:v>
      </x:c>
      <x:c r="AL1510" t="str">
        <x:f>_xlfn.XLOOKUP($A1510,Games!$A$2:$A$18,Games!$G$2:$G$18,"Missing game",0)</x:f>
        <x:v>BAL</x:v>
      </x:c>
      <x:c r="AM1510" t="n">
        <x:f>_xlfn.XLOOKUP($A1510,Games!$A$2:$A$18,Games!$H$2:$H$18,"Missing game",0)</x:f>
        <x:v>27</x:v>
      </x:c>
      <x:c r="AN1510" t="str">
        <x:f>_xlfn.XLOOKUP($A1510,Games!$A$2:$A$18,Games!$I$2:$I$18,"Missing game",0)</x:f>
        <x:v>MIN</x:v>
      </x:c>
      <x:c r="AO1510" t="n">
        <x:f>_xlfn.XLOOKUP($A1510,Games!$A$2:$A$18,Games!$J$2:$J$18,"Missing game",0)</x:f>
        <x:v>19</x:v>
      </x:c>
      <x:c r="AP1510" t="n">
        <x:f>_xlfn.XLOOKUP($A1510,Games!$A$2:$A$18,Games!$K$2:$K$18,"Missing game",0)</x:f>
        <x:v>-8</x:v>
      </x:c>
      <x:c r="AQ1510" t="n">
        <x:f>_xlfn.XLOOKUP($A1510,Games!$A$2:$A$18,Games!$L$2:$L$18,"Missing game",0)</x:f>
        <x:v>46</x:v>
      </x:c>
      <x:c r="AR1510" t="n">
        <x:f>_xlfn.XLOOKUP($A1510,Games!$A$2:$A$18,Games!$M$2:$M$18,"Missing game",0)</x:f>
        <x:v>0</x:v>
      </x:c>
      <x:c r="AS1510" t="str">
        <x:f>_xlfn.XLOOKUP($A1510,Games!$A$2:$A$18,Games!$N$2:$N$18,"Missing game",0)</x:f>
        <x:v>dome</x:v>
      </x:c>
      <x:c r="AT1510" t="str">
        <x:f>_xlfn.XLOOKUP($A1510,Games!$A$2:$A$18,Games!$O$2:$O$18,"Missing game",0)</x:f>
        <x:v>sportturf</x:v>
      </x:c>
      <x:c r="AU1510" t="str">
        <x:f>_xlfn.XLOOKUP($A1510,Games!$A$2:$A$18,Games!$P$2:$P$18,"Missing game",0)</x:f>
      </x:c>
      <x:c r="AV1510" t="str">
        <x:f>_xlfn.XLOOKUP($A1510,Games!$A$2:$A$18,Games!$Q$2:$Q$18,"Missing game",0)</x:f>
      </x:c>
      <x:c r="AW1510" t="str">
        <x:f>_xlfn.XLOOKUP($A1510,Games!$A$2:$A$18,Games!$R$2:$R$18,"Missing game",0)</x:f>
        <x:v>U.S. Bank Stadium</x:v>
      </x:c>
    </x:row>
    <x:row r="1511">
      <x:c r="A1511" t="str">
        <x:v>2025_10_BAL_MIN</x:v>
      </x:c>
      <x:c r="B1511" t="n">
        <x:v>4012</x:v>
      </x:c>
      <x:c r="C1511" t="n">
        <x:v>4</x:v>
      </x:c>
      <x:c r="D1511" t="str">
        <x:v>03:37</x:v>
      </x:c>
      <x:c r="E1511" t="n">
        <x:v>2</x:v>
      </x:c>
      <x:c r="F1511" t="n">
        <x:v>5</x:v>
      </x:c>
      <x:c r="G1511" t="str">
        <x:v>MIN</x:v>
      </x:c>
      <x:c r="H1511" t="str">
        <x:v>BAL</x:v>
      </x:c>
      <x:c r="I1511" t="str">
        <x:v>BAL</x:v>
      </x:c>
      <x:c r="J1511" t="n">
        <x:v>5</x:v>
      </x:c>
      <x:c r="K1511" t="str">
        <x:v>(3:37) (Shotgun) 9-J.McCarthy pass incomplete short left to 18-J.Jefferson.</x:v>
      </x:c>
      <x:c r="L1511" t="str">
        <x:v>pass</x:v>
      </x:c>
      <x:c r="M1511" t="n">
        <x:v>0</x:v>
      </x:c>
      <x:c r="N1511" t="n">
        <x:v>1</x:v>
      </x:c>
      <x:c r="O1511" t="n">
        <x:v>0</x:v>
      </x:c>
      <x:c r="P1511" t="str">
        <x:v>short</x:v>
      </x:c>
      <x:c r="Q1511" t="str">
        <x:v>left</x:v>
      </x:c>
      <x:c r="R1511" t="n">
        <x:v>5</x:v>
      </x:c>
      <x:c r="S1511"/>
      <x:c r="T1511"/>
      <x:c r="U1511"/>
      <x:c r="V1511" t="n">
        <x:v>0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0</x:v>
      </x:c>
      <x:c r="AB1511"/>
      <x:c r="AC1511" t="n">
        <x:v>0</x:v>
      </x:c>
      <x:c r="AD1511" t="n">
        <x:v>-0.9844494489370845</x:v>
      </x:c>
      <x:c r="AE1511" t="n">
        <x:v>0</x:v>
      </x:c>
      <x:c r="AF1511" t="n">
        <x:v>-0.004788137972354889</x:v>
      </x:c>
      <x:c r="AG1511" t="n">
        <x:f>_xlfn.XLOOKUP($A1511,Games!$A$2:$A$18,Games!$B$2:$B$18,"Missing game",0)</x:f>
        <x:v>2025</x:v>
      </x:c>
      <x:c r="AH1511" t="str">
        <x:f>_xlfn.XLOOKUP($A1511,Games!$A$2:$A$18,Games!$C$2:$C$18,"Missing game",0)</x:f>
        <x:v>REG</x:v>
      </x:c>
      <x:c r="AI1511" t="n">
        <x:f>_xlfn.XLOOKUP($A1511,Games!$A$2:$A$18,Games!$D$2:$D$18,"Missing game",0)</x:f>
        <x:v>10</x:v>
      </x:c>
      <x:c r="AJ1511" s="1" t="n">
        <x:f>_xlfn.XLOOKUP($A1511,Games!$A$2:$A$18,Games!$E$2:$E$18,"Missing game",0)</x:f>
        <x:v>45970</x:v>
      </x:c>
      <x:c r="AK1511" t="str">
        <x:f>_xlfn.XLOOKUP($A1511,Games!$A$2:$A$18,Games!$F$2:$F$18,"Missing game",0)</x:f>
        <x:v>Sunday</x:v>
      </x:c>
      <x:c r="AL1511" t="str">
        <x:f>_xlfn.XLOOKUP($A1511,Games!$A$2:$A$18,Games!$G$2:$G$18,"Missing game",0)</x:f>
        <x:v>BAL</x:v>
      </x:c>
      <x:c r="AM1511" t="n">
        <x:f>_xlfn.XLOOKUP($A1511,Games!$A$2:$A$18,Games!$H$2:$H$18,"Missing game",0)</x:f>
        <x:v>27</x:v>
      </x:c>
      <x:c r="AN1511" t="str">
        <x:f>_xlfn.XLOOKUP($A1511,Games!$A$2:$A$18,Games!$I$2:$I$18,"Missing game",0)</x:f>
        <x:v>MIN</x:v>
      </x:c>
      <x:c r="AO1511" t="n">
        <x:f>_xlfn.XLOOKUP($A1511,Games!$A$2:$A$18,Games!$J$2:$J$18,"Missing game",0)</x:f>
        <x:v>19</x:v>
      </x:c>
      <x:c r="AP1511" t="n">
        <x:f>_xlfn.XLOOKUP($A1511,Games!$A$2:$A$18,Games!$K$2:$K$18,"Missing game",0)</x:f>
        <x:v>-8</x:v>
      </x:c>
      <x:c r="AQ1511" t="n">
        <x:f>_xlfn.XLOOKUP($A1511,Games!$A$2:$A$18,Games!$L$2:$L$18,"Missing game",0)</x:f>
        <x:v>46</x:v>
      </x:c>
      <x:c r="AR1511" t="n">
        <x:f>_xlfn.XLOOKUP($A1511,Games!$A$2:$A$18,Games!$M$2:$M$18,"Missing game",0)</x:f>
        <x:v>0</x:v>
      </x:c>
      <x:c r="AS1511" t="str">
        <x:f>_xlfn.XLOOKUP($A1511,Games!$A$2:$A$18,Games!$N$2:$N$18,"Missing game",0)</x:f>
        <x:v>dome</x:v>
      </x:c>
      <x:c r="AT1511" t="str">
        <x:f>_xlfn.XLOOKUP($A1511,Games!$A$2:$A$18,Games!$O$2:$O$18,"Missing game",0)</x:f>
        <x:v>sportturf</x:v>
      </x:c>
      <x:c r="AU1511" t="str">
        <x:f>_xlfn.XLOOKUP($A1511,Games!$A$2:$A$18,Games!$P$2:$P$18,"Missing game",0)</x:f>
      </x:c>
      <x:c r="AV1511" t="str">
        <x:f>_xlfn.XLOOKUP($A1511,Games!$A$2:$A$18,Games!$Q$2:$Q$18,"Missing game",0)</x:f>
      </x:c>
      <x:c r="AW1511" t="str">
        <x:f>_xlfn.XLOOKUP($A1511,Games!$A$2:$A$18,Games!$R$2:$R$18,"Missing game",0)</x:f>
        <x:v>U.S. Bank Stadium</x:v>
      </x:c>
    </x:row>
    <x:row r="1512">
      <x:c r="A1512" t="str">
        <x:v>2025_10_BAL_MIN</x:v>
      </x:c>
      <x:c r="B1512" t="n">
        <x:v>4035</x:v>
      </x:c>
      <x:c r="C1512" t="n">
        <x:v>4</x:v>
      </x:c>
      <x:c r="D1512" t="str">
        <x:v>03:34</x:v>
      </x:c>
      <x:c r="E1512" t="n">
        <x:v>3</x:v>
      </x:c>
      <x:c r="F1512" t="n">
        <x:v>5</x:v>
      </x:c>
      <x:c r="G1512" t="str">
        <x:v>MIN</x:v>
      </x:c>
      <x:c r="H1512" t="str">
        <x:v>BAL</x:v>
      </x:c>
      <x:c r="I1512" t="str">
        <x:v>BAL</x:v>
      </x:c>
      <x:c r="J1512" t="n">
        <x:v>5</x:v>
      </x:c>
      <x:c r="K1512" t="str">
        <x:v>(3:34) (Shotgun) 9-J.McCarthy pass incomplete short left to 3-J.Addison (98-T.Jones) [98-T.Jones].</x:v>
      </x:c>
      <x:c r="L1512" t="str">
        <x:v>pass</x:v>
      </x:c>
      <x:c r="M1512" t="n">
        <x:v>0</x:v>
      </x:c>
      <x:c r="N1512" t="n">
        <x:v>1</x:v>
      </x:c>
      <x:c r="O1512" t="n">
        <x:v>0</x:v>
      </x:c>
      <x:c r="P1512" t="str">
        <x:v>short</x:v>
      </x:c>
      <x:c r="Q1512" t="str">
        <x:v>left</x:v>
      </x:c>
      <x:c r="R1512" t="n">
        <x:v>5</x:v>
      </x:c>
      <x:c r="S1512"/>
      <x:c r="T1512"/>
      <x:c r="U1512"/>
      <x:c r="V1512" t="n">
        <x:v>0</x:v>
      </x:c>
      <x:c r="W1512" t="n">
        <x:v>0</x:v>
      </x:c>
      <x:c r="X1512" t="n">
        <x:v>0</x:v>
      </x:c>
      <x:c r="Y1512" t="n">
        <x:v>0</x:v>
      </x:c>
      <x:c r="Z1512" t="n">
        <x:v>0</x:v>
      </x:c>
      <x:c r="AA1512" t="n">
        <x:v>0</x:v>
      </x:c>
      <x:c r="AB1512"/>
      <x:c r="AC1512" t="n">
        <x:v>0</x:v>
      </x:c>
      <x:c r="AD1512" t="n">
        <x:v>-1.4555096202529967</x:v>
      </x:c>
      <x:c r="AE1512" t="n">
        <x:v>0</x:v>
      </x:c>
      <x:c r="AF1512" t="n">
        <x:v>-0.020629893988370895</x:v>
      </x:c>
      <x:c r="AG1512" t="n">
        <x:f>_xlfn.XLOOKUP($A1512,Games!$A$2:$A$18,Games!$B$2:$B$18,"Missing game",0)</x:f>
        <x:v>2025</x:v>
      </x:c>
      <x:c r="AH1512" t="str">
        <x:f>_xlfn.XLOOKUP($A1512,Games!$A$2:$A$18,Games!$C$2:$C$18,"Missing game",0)</x:f>
        <x:v>REG</x:v>
      </x:c>
      <x:c r="AI1512" t="n">
        <x:f>_xlfn.XLOOKUP($A1512,Games!$A$2:$A$18,Games!$D$2:$D$18,"Missing game",0)</x:f>
        <x:v>10</x:v>
      </x:c>
      <x:c r="AJ1512" s="1" t="n">
        <x:f>_xlfn.XLOOKUP($A1512,Games!$A$2:$A$18,Games!$E$2:$E$18,"Missing game",0)</x:f>
        <x:v>45970</x:v>
      </x:c>
      <x:c r="AK1512" t="str">
        <x:f>_xlfn.XLOOKUP($A1512,Games!$A$2:$A$18,Games!$F$2:$F$18,"Missing game",0)</x:f>
        <x:v>Sunday</x:v>
      </x:c>
      <x:c r="AL1512" t="str">
        <x:f>_xlfn.XLOOKUP($A1512,Games!$A$2:$A$18,Games!$G$2:$G$18,"Missing game",0)</x:f>
        <x:v>BAL</x:v>
      </x:c>
      <x:c r="AM1512" t="n">
        <x:f>_xlfn.XLOOKUP($A1512,Games!$A$2:$A$18,Games!$H$2:$H$18,"Missing game",0)</x:f>
        <x:v>27</x:v>
      </x:c>
      <x:c r="AN1512" t="str">
        <x:f>_xlfn.XLOOKUP($A1512,Games!$A$2:$A$18,Games!$I$2:$I$18,"Missing game",0)</x:f>
        <x:v>MIN</x:v>
      </x:c>
      <x:c r="AO1512" t="n">
        <x:f>_xlfn.XLOOKUP($A1512,Games!$A$2:$A$18,Games!$J$2:$J$18,"Missing game",0)</x:f>
        <x:v>19</x:v>
      </x:c>
      <x:c r="AP1512" t="n">
        <x:f>_xlfn.XLOOKUP($A1512,Games!$A$2:$A$18,Games!$K$2:$K$18,"Missing game",0)</x:f>
        <x:v>-8</x:v>
      </x:c>
      <x:c r="AQ1512" t="n">
        <x:f>_xlfn.XLOOKUP($A1512,Games!$A$2:$A$18,Games!$L$2:$L$18,"Missing game",0)</x:f>
        <x:v>46</x:v>
      </x:c>
      <x:c r="AR1512" t="n">
        <x:f>_xlfn.XLOOKUP($A1512,Games!$A$2:$A$18,Games!$M$2:$M$18,"Missing game",0)</x:f>
        <x:v>0</x:v>
      </x:c>
      <x:c r="AS1512" t="str">
        <x:f>_xlfn.XLOOKUP($A1512,Games!$A$2:$A$18,Games!$N$2:$N$18,"Missing game",0)</x:f>
        <x:v>dome</x:v>
      </x:c>
      <x:c r="AT1512" t="str">
        <x:f>_xlfn.XLOOKUP($A1512,Games!$A$2:$A$18,Games!$O$2:$O$18,"Missing game",0)</x:f>
        <x:v>sportturf</x:v>
      </x:c>
      <x:c r="AU1512" t="str">
        <x:f>_xlfn.XLOOKUP($A1512,Games!$A$2:$A$18,Games!$P$2:$P$18,"Missing game",0)</x:f>
      </x:c>
      <x:c r="AV1512" t="str">
        <x:f>_xlfn.XLOOKUP($A1512,Games!$A$2:$A$18,Games!$Q$2:$Q$18,"Missing game",0)</x:f>
      </x:c>
      <x:c r="AW1512" t="str">
        <x:f>_xlfn.XLOOKUP($A1512,Games!$A$2:$A$18,Games!$R$2:$R$18,"Missing game",0)</x:f>
        <x:v>U.S. Bank Stadium</x:v>
      </x:c>
    </x:row>
    <x:row r="1513">
      <x:c r="A1513" t="str">
        <x:v>2025_10_BAL_MIN</x:v>
      </x:c>
      <x:c r="B1513" t="n">
        <x:v>4058</x:v>
      </x:c>
      <x:c r="C1513" t="n">
        <x:v>4</x:v>
      </x:c>
      <x:c r="D1513" t="str">
        <x:v>03:28</x:v>
      </x:c>
      <x:c r="E1513" t="n">
        <x:v>4</x:v>
      </x:c>
      <x:c r="F1513" t="n">
        <x:v>5</x:v>
      </x:c>
      <x:c r="G1513" t="str">
        <x:v>MIN</x:v>
      </x:c>
      <x:c r="H1513" t="str">
        <x:v>BAL</x:v>
      </x:c>
      <x:c r="I1513" t="str">
        <x:v>BAL</x:v>
      </x:c>
      <x:c r="J1513" t="n">
        <x:v>5</x:v>
      </x:c>
      <x:c r="K1513" t="str">
        <x:v>(3:28) (Shotgun) PENALTY on MIN-75-B.O'Neill, False Start, 5 yards, enforced at BAL 5 - No Play.</x:v>
      </x:c>
      <x:c r="L1513" t="str">
        <x:v>no_play</x:v>
      </x:c>
      <x:c r="M1513" t="n">
        <x:v>0</x:v>
      </x:c>
      <x:c r="N1513" t="n">
        <x:v>1</x:v>
      </x:c>
      <x:c r="O1513" t="n">
        <x:v>0</x:v>
      </x:c>
      <x:c r="P1513"/>
      <x:c r="Q1513"/>
      <x:c r="R1513"/>
      <x:c r="S1513"/>
      <x:c r="T1513"/>
      <x:c r="U1513"/>
      <x:c r="V1513" t="n">
        <x:v>0</x:v>
      </x:c>
      <x:c r="W1513" t="n">
        <x:v>0</x:v>
      </x:c>
      <x:c r="X1513" t="n">
        <x:v>0</x:v>
      </x:c>
      <x:c r="Y1513" t="n">
        <x:v>0</x:v>
      </x:c>
      <x:c r="Z1513" t="n">
        <x:v>0</x:v>
      </x:c>
      <x:c r="AA1513" t="n">
        <x:v>1</x:v>
      </x:c>
      <x:c r="AB1513" t="n">
        <x:v>5</x:v>
      </x:c>
      <x:c r="AC1513" t="n">
        <x:v>0</x:v>
      </x:c>
      <x:c r="AD1513" t="n">
        <x:v>-0.11370026372605935</x:v>
      </x:c>
      <x:c r="AE1513" t="n">
        <x:v>0</x:v>
      </x:c>
      <x:c r="AF1513" t="n">
        <x:v>-0.002927221357822418</x:v>
      </x:c>
      <x:c r="AG1513" t="n">
        <x:f>_xlfn.XLOOKUP($A1513,Games!$A$2:$A$18,Games!$B$2:$B$18,"Missing game",0)</x:f>
        <x:v>2025</x:v>
      </x:c>
      <x:c r="AH1513" t="str">
        <x:f>_xlfn.XLOOKUP($A1513,Games!$A$2:$A$18,Games!$C$2:$C$18,"Missing game",0)</x:f>
        <x:v>REG</x:v>
      </x:c>
      <x:c r="AI1513" t="n">
        <x:f>_xlfn.XLOOKUP($A1513,Games!$A$2:$A$18,Games!$D$2:$D$18,"Missing game",0)</x:f>
        <x:v>10</x:v>
      </x:c>
      <x:c r="AJ1513" s="1" t="n">
        <x:f>_xlfn.XLOOKUP($A1513,Games!$A$2:$A$18,Games!$E$2:$E$18,"Missing game",0)</x:f>
        <x:v>45970</x:v>
      </x:c>
      <x:c r="AK1513" t="str">
        <x:f>_xlfn.XLOOKUP($A1513,Games!$A$2:$A$18,Games!$F$2:$F$18,"Missing game",0)</x:f>
        <x:v>Sunday</x:v>
      </x:c>
      <x:c r="AL1513" t="str">
        <x:f>_xlfn.XLOOKUP($A1513,Games!$A$2:$A$18,Games!$G$2:$G$18,"Missing game",0)</x:f>
        <x:v>BAL</x:v>
      </x:c>
      <x:c r="AM1513" t="n">
        <x:f>_xlfn.XLOOKUP($A1513,Games!$A$2:$A$18,Games!$H$2:$H$18,"Missing game",0)</x:f>
        <x:v>27</x:v>
      </x:c>
      <x:c r="AN1513" t="str">
        <x:f>_xlfn.XLOOKUP($A1513,Games!$A$2:$A$18,Games!$I$2:$I$18,"Missing game",0)</x:f>
        <x:v>MIN</x:v>
      </x:c>
      <x:c r="AO1513" t="n">
        <x:f>_xlfn.XLOOKUP($A1513,Games!$A$2:$A$18,Games!$J$2:$J$18,"Missing game",0)</x:f>
        <x:v>19</x:v>
      </x:c>
      <x:c r="AP1513" t="n">
        <x:f>_xlfn.XLOOKUP($A1513,Games!$A$2:$A$18,Games!$K$2:$K$18,"Missing game",0)</x:f>
        <x:v>-8</x:v>
      </x:c>
      <x:c r="AQ1513" t="n">
        <x:f>_xlfn.XLOOKUP($A1513,Games!$A$2:$A$18,Games!$L$2:$L$18,"Missing game",0)</x:f>
        <x:v>46</x:v>
      </x:c>
      <x:c r="AR1513" t="n">
        <x:f>_xlfn.XLOOKUP($A1513,Games!$A$2:$A$18,Games!$M$2:$M$18,"Missing game",0)</x:f>
        <x:v>0</x:v>
      </x:c>
      <x:c r="AS1513" t="str">
        <x:f>_xlfn.XLOOKUP($A1513,Games!$A$2:$A$18,Games!$N$2:$N$18,"Missing game",0)</x:f>
        <x:v>dome</x:v>
      </x:c>
      <x:c r="AT1513" t="str">
        <x:f>_xlfn.XLOOKUP($A1513,Games!$A$2:$A$18,Games!$O$2:$O$18,"Missing game",0)</x:f>
        <x:v>sportturf</x:v>
      </x:c>
      <x:c r="AU1513" t="str">
        <x:f>_xlfn.XLOOKUP($A1513,Games!$A$2:$A$18,Games!$P$2:$P$18,"Missing game",0)</x:f>
      </x:c>
      <x:c r="AV1513" t="str">
        <x:f>_xlfn.XLOOKUP($A1513,Games!$A$2:$A$18,Games!$Q$2:$Q$18,"Missing game",0)</x:f>
      </x:c>
      <x:c r="AW1513" t="str">
        <x:f>_xlfn.XLOOKUP($A1513,Games!$A$2:$A$18,Games!$R$2:$R$18,"Missing game",0)</x:f>
        <x:v>U.S. Bank Stadium</x:v>
      </x:c>
    </x:row>
    <x:row r="1514">
      <x:c r="A1514" t="str">
        <x:v>2025_10_BAL_MIN</x:v>
      </x:c>
      <x:c r="B1514" t="n">
        <x:v>4082</x:v>
      </x:c>
      <x:c r="C1514" t="n">
        <x:v>4</x:v>
      </x:c>
      <x:c r="D1514" t="str">
        <x:v>03:28</x:v>
      </x:c>
      <x:c r="E1514" t="n">
        <x:v>4</x:v>
      </x:c>
      <x:c r="F1514" t="n">
        <x:v>10</x:v>
      </x:c>
      <x:c r="G1514" t="str">
        <x:v>MIN</x:v>
      </x:c>
      <x:c r="H1514" t="str">
        <x:v>BAL</x:v>
      </x:c>
      <x:c r="I1514" t="str">
        <x:v>BAL</x:v>
      </x:c>
      <x:c r="J1514" t="n">
        <x:v>10</x:v>
      </x:c>
      <x:c r="K1514" t="str">
        <x:v>(3:28) (Shotgun) 9-J.McCarthy pass short right to 1-J.Nailor for 10 yards, TOUCHDOWN.</x:v>
      </x:c>
      <x:c r="L1514" t="str">
        <x:v>pass</x:v>
      </x:c>
      <x:c r="M1514" t="n">
        <x:v>10</x:v>
      </x:c>
      <x:c r="N1514" t="n">
        <x:v>1</x:v>
      </x:c>
      <x:c r="O1514" t="n">
        <x:v>0</x:v>
      </x:c>
      <x:c r="P1514" t="str">
        <x:v>short</x:v>
      </x:c>
      <x:c r="Q1514" t="str">
        <x:v>right</x:v>
      </x:c>
      <x:c r="R1514" t="n">
        <x:v>10</x:v>
      </x:c>
      <x:c r="S1514" t="n">
        <x:v>0</x:v>
      </x:c>
      <x:c r="T1514"/>
      <x:c r="U1514"/>
      <x:c r="V1514" t="n">
        <x:v>1</x:v>
      </x:c>
      <x:c r="W1514" t="n">
        <x:v>1</x:v>
      </x:c>
      <x:c r="X1514" t="n">
        <x:v>0</x:v>
      </x:c>
      <x:c r="Y1514" t="n">
        <x:v>0</x:v>
      </x:c>
      <x:c r="Z1514" t="n">
        <x:v>0</x:v>
      </x:c>
      <x:c r="AA1514" t="n">
        <x:v>0</x:v>
      </x:c>
      <x:c r="AB1514"/>
      <x:c r="AC1514" t="n">
        <x:v>1</x:v>
      </x:c>
      <x:c r="AD1514" t="n">
        <x:v>4.235337919089943</x:v>
      </x:c>
      <x:c r="AE1514" t="n">
        <x:v>1</x:v>
      </x:c>
      <x:c r="AF1514" t="n">
        <x:v>0.046705070823431116</x:v>
      </x:c>
      <x:c r="AG1514" t="n">
        <x:f>_xlfn.XLOOKUP($A1514,Games!$A$2:$A$18,Games!$B$2:$B$18,"Missing game",0)</x:f>
        <x:v>2025</x:v>
      </x:c>
      <x:c r="AH1514" t="str">
        <x:f>_xlfn.XLOOKUP($A1514,Games!$A$2:$A$18,Games!$C$2:$C$18,"Missing game",0)</x:f>
        <x:v>REG</x:v>
      </x:c>
      <x:c r="AI1514" t="n">
        <x:f>_xlfn.XLOOKUP($A1514,Games!$A$2:$A$18,Games!$D$2:$D$18,"Missing game",0)</x:f>
        <x:v>10</x:v>
      </x:c>
      <x:c r="AJ1514" s="1" t="n">
        <x:f>_xlfn.XLOOKUP($A1514,Games!$A$2:$A$18,Games!$E$2:$E$18,"Missing game",0)</x:f>
        <x:v>45970</x:v>
      </x:c>
      <x:c r="AK1514" t="str">
        <x:f>_xlfn.XLOOKUP($A1514,Games!$A$2:$A$18,Games!$F$2:$F$18,"Missing game",0)</x:f>
        <x:v>Sunday</x:v>
      </x:c>
      <x:c r="AL1514" t="str">
        <x:f>_xlfn.XLOOKUP($A1514,Games!$A$2:$A$18,Games!$G$2:$G$18,"Missing game",0)</x:f>
        <x:v>BAL</x:v>
      </x:c>
      <x:c r="AM1514" t="n">
        <x:f>_xlfn.XLOOKUP($A1514,Games!$A$2:$A$18,Games!$H$2:$H$18,"Missing game",0)</x:f>
        <x:v>27</x:v>
      </x:c>
      <x:c r="AN1514" t="str">
        <x:f>_xlfn.XLOOKUP($A1514,Games!$A$2:$A$18,Games!$I$2:$I$18,"Missing game",0)</x:f>
        <x:v>MIN</x:v>
      </x:c>
      <x:c r="AO1514" t="n">
        <x:f>_xlfn.XLOOKUP($A1514,Games!$A$2:$A$18,Games!$J$2:$J$18,"Missing game",0)</x:f>
        <x:v>19</x:v>
      </x:c>
      <x:c r="AP1514" t="n">
        <x:f>_xlfn.XLOOKUP($A1514,Games!$A$2:$A$18,Games!$K$2:$K$18,"Missing game",0)</x:f>
        <x:v>-8</x:v>
      </x:c>
      <x:c r="AQ1514" t="n">
        <x:f>_xlfn.XLOOKUP($A1514,Games!$A$2:$A$18,Games!$L$2:$L$18,"Missing game",0)</x:f>
        <x:v>46</x:v>
      </x:c>
      <x:c r="AR1514" t="n">
        <x:f>_xlfn.XLOOKUP($A1514,Games!$A$2:$A$18,Games!$M$2:$M$18,"Missing game",0)</x:f>
        <x:v>0</x:v>
      </x:c>
      <x:c r="AS1514" t="str">
        <x:f>_xlfn.XLOOKUP($A1514,Games!$A$2:$A$18,Games!$N$2:$N$18,"Missing game",0)</x:f>
        <x:v>dome</x:v>
      </x:c>
      <x:c r="AT1514" t="str">
        <x:f>_xlfn.XLOOKUP($A1514,Games!$A$2:$A$18,Games!$O$2:$O$18,"Missing game",0)</x:f>
        <x:v>sportturf</x:v>
      </x:c>
      <x:c r="AU1514" t="str">
        <x:f>_xlfn.XLOOKUP($A1514,Games!$A$2:$A$18,Games!$P$2:$P$18,"Missing game",0)</x:f>
      </x:c>
      <x:c r="AV1514" t="str">
        <x:f>_xlfn.XLOOKUP($A1514,Games!$A$2:$A$18,Games!$Q$2:$Q$18,"Missing game",0)</x:f>
      </x:c>
      <x:c r="AW1514" t="str">
        <x:f>_xlfn.XLOOKUP($A1514,Games!$A$2:$A$18,Games!$R$2:$R$18,"Missing game",0)</x:f>
        <x:v>U.S. Bank Stadium</x:v>
      </x:c>
    </x:row>
    <x:row r="1515">
      <x:c r="A1515" t="str">
        <x:v>2025_10_BAL_MIN</x:v>
      </x:c>
      <x:c r="B1515" t="n">
        <x:v>4108</x:v>
      </x:c>
      <x:c r="C1515" t="n">
        <x:v>4</x:v>
      </x:c>
      <x:c r="D1515" t="str">
        <x:v>03:23</x:v>
      </x:c>
      <x:c r="E1515"/>
      <x:c r="F1515" t="n">
        <x:v>0</x:v>
      </x:c>
      <x:c r="G1515" t="str">
        <x:v>MIN</x:v>
      </x:c>
      <x:c r="H1515" t="str">
        <x:v>BAL</x:v>
      </x:c>
      <x:c r="I1515" t="str">
        <x:v>BAL</x:v>
      </x:c>
      <x:c r="J1515" t="n">
        <x:v>2</x:v>
      </x:c>
      <x:c r="K1515" t="str">
        <x:v>TWO-POINT CONVERSION ATTEMPT. 9-J.McCarthy pass to 18-J.Jefferson is incomplete. ATTEMPT FAILS.</x:v>
      </x:c>
      <x:c r="L1515" t="str">
        <x:v>pass</x:v>
      </x:c>
      <x:c r="M1515" t="n">
        <x:v>0</x:v>
      </x:c>
      <x:c r="N1515" t="n">
        <x:v>0</x:v>
      </x:c>
      <x:c r="O1515" t="n">
        <x:v>0</x:v>
      </x:c>
      <x:c r="P1515"/>
      <x:c r="Q1515"/>
      <x:c r="R1515"/>
      <x:c r="S1515"/>
      <x:c r="T1515"/>
      <x:c r="U1515"/>
      <x:c r="V1515" t="n">
        <x:v>0</x:v>
      </x:c>
      <x:c r="W1515" t="n">
        <x:v>0</x:v>
      </x:c>
      <x:c r="X1515" t="n">
        <x:v>0</x:v>
      </x:c>
      <x:c r="Y1515" t="n">
        <x:v>0</x:v>
      </x:c>
      <x:c r="Z1515" t="n">
        <x:v>0</x:v>
      </x:c>
      <x:c r="AA1515" t="n">
        <x:v>0</x:v>
      </x:c>
      <x:c r="AB1515"/>
      <x:c r="AC1515" t="n">
        <x:v>0</x:v>
      </x:c>
      <x:c r="AD1515" t="n">
        <x:v>-0.947</x:v>
      </x:c>
      <x:c r="AE1515" t="n">
        <x:v>0</x:v>
      </x:c>
      <x:c r="AF1515" t="n">
        <x:v>-0.034232392847538096</x:v>
      </x:c>
      <x:c r="AG1515" t="n">
        <x:f>_xlfn.XLOOKUP($A1515,Games!$A$2:$A$18,Games!$B$2:$B$18,"Missing game",0)</x:f>
        <x:v>2025</x:v>
      </x:c>
      <x:c r="AH1515" t="str">
        <x:f>_xlfn.XLOOKUP($A1515,Games!$A$2:$A$18,Games!$C$2:$C$18,"Missing game",0)</x:f>
        <x:v>REG</x:v>
      </x:c>
      <x:c r="AI1515" t="n">
        <x:f>_xlfn.XLOOKUP($A1515,Games!$A$2:$A$18,Games!$D$2:$D$18,"Missing game",0)</x:f>
        <x:v>10</x:v>
      </x:c>
      <x:c r="AJ1515" s="1" t="n">
        <x:f>_xlfn.XLOOKUP($A1515,Games!$A$2:$A$18,Games!$E$2:$E$18,"Missing game",0)</x:f>
        <x:v>45970</x:v>
      </x:c>
      <x:c r="AK1515" t="str">
        <x:f>_xlfn.XLOOKUP($A1515,Games!$A$2:$A$18,Games!$F$2:$F$18,"Missing game",0)</x:f>
        <x:v>Sunday</x:v>
      </x:c>
      <x:c r="AL1515" t="str">
        <x:f>_xlfn.XLOOKUP($A1515,Games!$A$2:$A$18,Games!$G$2:$G$18,"Missing game",0)</x:f>
        <x:v>BAL</x:v>
      </x:c>
      <x:c r="AM1515" t="n">
        <x:f>_xlfn.XLOOKUP($A1515,Games!$A$2:$A$18,Games!$H$2:$H$18,"Missing game",0)</x:f>
        <x:v>27</x:v>
      </x:c>
      <x:c r="AN1515" t="str">
        <x:f>_xlfn.XLOOKUP($A1515,Games!$A$2:$A$18,Games!$I$2:$I$18,"Missing game",0)</x:f>
        <x:v>MIN</x:v>
      </x:c>
      <x:c r="AO1515" t="n">
        <x:f>_xlfn.XLOOKUP($A1515,Games!$A$2:$A$18,Games!$J$2:$J$18,"Missing game",0)</x:f>
        <x:v>19</x:v>
      </x:c>
      <x:c r="AP1515" t="n">
        <x:f>_xlfn.XLOOKUP($A1515,Games!$A$2:$A$18,Games!$K$2:$K$18,"Missing game",0)</x:f>
        <x:v>-8</x:v>
      </x:c>
      <x:c r="AQ1515" t="n">
        <x:f>_xlfn.XLOOKUP($A1515,Games!$A$2:$A$18,Games!$L$2:$L$18,"Missing game",0)</x:f>
        <x:v>46</x:v>
      </x:c>
      <x:c r="AR1515" t="n">
        <x:f>_xlfn.XLOOKUP($A1515,Games!$A$2:$A$18,Games!$M$2:$M$18,"Missing game",0)</x:f>
        <x:v>0</x:v>
      </x:c>
      <x:c r="AS1515" t="str">
        <x:f>_xlfn.XLOOKUP($A1515,Games!$A$2:$A$18,Games!$N$2:$N$18,"Missing game",0)</x:f>
        <x:v>dome</x:v>
      </x:c>
      <x:c r="AT1515" t="str">
        <x:f>_xlfn.XLOOKUP($A1515,Games!$A$2:$A$18,Games!$O$2:$O$18,"Missing game",0)</x:f>
        <x:v>sportturf</x:v>
      </x:c>
      <x:c r="AU1515" t="str">
        <x:f>_xlfn.XLOOKUP($A1515,Games!$A$2:$A$18,Games!$P$2:$P$18,"Missing game",0)</x:f>
      </x:c>
      <x:c r="AV1515" t="str">
        <x:f>_xlfn.XLOOKUP($A1515,Games!$A$2:$A$18,Games!$Q$2:$Q$18,"Missing game",0)</x:f>
      </x:c>
      <x:c r="AW1515" t="str">
        <x:f>_xlfn.XLOOKUP($A1515,Games!$A$2:$A$18,Games!$R$2:$R$18,"Missing game",0)</x:f>
        <x:v>U.S. Bank Stadium</x:v>
      </x:c>
    </x:row>
    <x:row r="1516">
      <x:c r="A1516" t="str">
        <x:v>2025_10_BAL_MIN</x:v>
      </x:c>
      <x:c r="B1516" t="n">
        <x:v>4121</x:v>
      </x:c>
      <x:c r="C1516" t="n">
        <x:v>4</x:v>
      </x:c>
      <x:c r="D1516" t="str">
        <x:v>03:23</x:v>
      </x:c>
      <x:c r="E1516"/>
      <x:c r="F1516" t="n">
        <x:v>0</x:v>
      </x:c>
      <x:c r="G1516" t="str">
        <x:v>BAL</x:v>
      </x:c>
      <x:c r="H1516" t="str">
        <x:v>MIN</x:v>
      </x:c>
      <x:c r="I1516" t="str">
        <x:v>MIN</x:v>
      </x:c>
      <x:c r="J1516" t="n">
        <x:v>35</x:v>
      </x:c>
      <x:c r="K1516" t="str">
        <x:v>16-W.Reichard kicks 63 yards from MIN 35 to BAL 2. 83-L.Wester to BAL 22 for 20 yards (55-E.Wilson). FUMBLES (55-E.Wilson), ball out of bounds at BAL 22. PENALTY on BAL, Illegal Formation, 5 yards, enforced at BAL 22.</x:v>
      </x:c>
      <x:c r="L1516" t="str">
        <x:v>kickoff</x:v>
      </x:c>
      <x:c r="M1516" t="n">
        <x:v>0</x:v>
      </x:c>
      <x:c r="N1516" t="n">
        <x:v>0</x:v>
      </x:c>
      <x:c r="O1516" t="n">
        <x:v>0</x:v>
      </x:c>
      <x:c r="P1516"/>
      <x:c r="Q1516"/>
      <x:c r="R1516"/>
      <x:c r="S1516"/>
      <x:c r="T1516"/>
      <x:c r="U1516"/>
      <x:c r="V1516" t="n">
        <x:v>0</x:v>
      </x:c>
      <x:c r="W1516" t="n">
        <x:v>0</x:v>
      </x:c>
      <x:c r="X1516" t="n">
        <x:v>0</x:v>
      </x:c>
      <x:c r="Y1516" t="n">
        <x:v>0</x:v>
      </x:c>
      <x:c r="Z1516" t="n">
        <x:v>0</x:v>
      </x:c>
      <x:c r="AA1516" t="n">
        <x:v>1</x:v>
      </x:c>
      <x:c r="AB1516" t="n">
        <x:v>5</x:v>
      </x:c>
      <x:c r="AC1516" t="n">
        <x:v>0</x:v>
      </x:c>
      <x:c r="AD1516" t="n">
        <x:v>-0.4453781950287521</x:v>
      </x:c>
      <x:c r="AE1516" t="n">
        <x:v>0</x:v>
      </x:c>
      <x:c r="AF1516" t="n">
        <x:v>-0.006236076354980469</x:v>
      </x:c>
      <x:c r="AG1516" t="n">
        <x:f>_xlfn.XLOOKUP($A1516,Games!$A$2:$A$18,Games!$B$2:$B$18,"Missing game",0)</x:f>
        <x:v>2025</x:v>
      </x:c>
      <x:c r="AH1516" t="str">
        <x:f>_xlfn.XLOOKUP($A1516,Games!$A$2:$A$18,Games!$C$2:$C$18,"Missing game",0)</x:f>
        <x:v>REG</x:v>
      </x:c>
      <x:c r="AI1516" t="n">
        <x:f>_xlfn.XLOOKUP($A1516,Games!$A$2:$A$18,Games!$D$2:$D$18,"Missing game",0)</x:f>
        <x:v>10</x:v>
      </x:c>
      <x:c r="AJ1516" s="1" t="n">
        <x:f>_xlfn.XLOOKUP($A1516,Games!$A$2:$A$18,Games!$E$2:$E$18,"Missing game",0)</x:f>
        <x:v>45970</x:v>
      </x:c>
      <x:c r="AK1516" t="str">
        <x:f>_xlfn.XLOOKUP($A1516,Games!$A$2:$A$18,Games!$F$2:$F$18,"Missing game",0)</x:f>
        <x:v>Sunday</x:v>
      </x:c>
      <x:c r="AL1516" t="str">
        <x:f>_xlfn.XLOOKUP($A1516,Games!$A$2:$A$18,Games!$G$2:$G$18,"Missing game",0)</x:f>
        <x:v>BAL</x:v>
      </x:c>
      <x:c r="AM1516" t="n">
        <x:f>_xlfn.XLOOKUP($A1516,Games!$A$2:$A$18,Games!$H$2:$H$18,"Missing game",0)</x:f>
        <x:v>27</x:v>
      </x:c>
      <x:c r="AN1516" t="str">
        <x:f>_xlfn.XLOOKUP($A1516,Games!$A$2:$A$18,Games!$I$2:$I$18,"Missing game",0)</x:f>
        <x:v>MIN</x:v>
      </x:c>
      <x:c r="AO1516" t="n">
        <x:f>_xlfn.XLOOKUP($A1516,Games!$A$2:$A$18,Games!$J$2:$J$18,"Missing game",0)</x:f>
        <x:v>19</x:v>
      </x:c>
      <x:c r="AP1516" t="n">
        <x:f>_xlfn.XLOOKUP($A1516,Games!$A$2:$A$18,Games!$K$2:$K$18,"Missing game",0)</x:f>
        <x:v>-8</x:v>
      </x:c>
      <x:c r="AQ1516" t="n">
        <x:f>_xlfn.XLOOKUP($A1516,Games!$A$2:$A$18,Games!$L$2:$L$18,"Missing game",0)</x:f>
        <x:v>46</x:v>
      </x:c>
      <x:c r="AR1516" t="n">
        <x:f>_xlfn.XLOOKUP($A1516,Games!$A$2:$A$18,Games!$M$2:$M$18,"Missing game",0)</x:f>
        <x:v>0</x:v>
      </x:c>
      <x:c r="AS1516" t="str">
        <x:f>_xlfn.XLOOKUP($A1516,Games!$A$2:$A$18,Games!$N$2:$N$18,"Missing game",0)</x:f>
        <x:v>dome</x:v>
      </x:c>
      <x:c r="AT1516" t="str">
        <x:f>_xlfn.XLOOKUP($A1516,Games!$A$2:$A$18,Games!$O$2:$O$18,"Missing game",0)</x:f>
        <x:v>sportturf</x:v>
      </x:c>
      <x:c r="AU1516" t="str">
        <x:f>_xlfn.XLOOKUP($A1516,Games!$A$2:$A$18,Games!$P$2:$P$18,"Missing game",0)</x:f>
      </x:c>
      <x:c r="AV1516" t="str">
        <x:f>_xlfn.XLOOKUP($A1516,Games!$A$2:$A$18,Games!$Q$2:$Q$18,"Missing game",0)</x:f>
      </x:c>
      <x:c r="AW1516" t="str">
        <x:f>_xlfn.XLOOKUP($A1516,Games!$A$2:$A$18,Games!$R$2:$R$18,"Missing game",0)</x:f>
        <x:v>U.S. Bank Stadium</x:v>
      </x:c>
    </x:row>
    <x:row r="1517">
      <x:c r="A1517" t="str">
        <x:v>2025_10_BAL_MIN</x:v>
      </x:c>
      <x:c r="B1517" t="n">
        <x:v>4160</x:v>
      </x:c>
      <x:c r="C1517" t="n">
        <x:v>4</x:v>
      </x:c>
      <x:c r="D1517" t="str">
        <x:v>03:19</x:v>
      </x:c>
      <x:c r="E1517" t="n">
        <x:v>1</x:v>
      </x:c>
      <x:c r="F1517" t="n">
        <x:v>10</x:v>
      </x:c>
      <x:c r="G1517" t="str">
        <x:v>BAL</x:v>
      </x:c>
      <x:c r="H1517" t="str">
        <x:v>MIN</x:v>
      </x:c>
      <x:c r="I1517" t="str">
        <x:v>BAL</x:v>
      </x:c>
      <x:c r="J1517" t="n">
        <x:v>83</x:v>
      </x:c>
      <x:c r="K1517" t="str">
        <x:v>(3:19) (Shotgun) 8-L.Jackson right end to BAL 23 for 6 yards (43-A.Van Ginkel).</x:v>
      </x:c>
      <x:c r="L1517" t="str">
        <x:v>run</x:v>
      </x:c>
      <x:c r="M1517" t="n">
        <x:v>6</x:v>
      </x:c>
      <x:c r="N1517" t="n">
        <x:v>1</x:v>
      </x:c>
      <x:c r="O1517" t="n">
        <x:v>0</x:v>
      </x:c>
      <x:c r="P1517"/>
      <x:c r="Q1517"/>
      <x:c r="R1517"/>
      <x:c r="S1517"/>
      <x:c r="T1517" t="str">
        <x:v>right</x:v>
      </x:c>
      <x:c r="U1517" t="str">
        <x:v>end</x:v>
      </x:c>
      <x:c r="V1517" t="n">
        <x:v>0</x:v>
      </x:c>
      <x:c r="W1517" t="n">
        <x:v>0</x:v>
      </x:c>
      <x:c r="X1517" t="n">
        <x:v>0</x:v>
      </x:c>
      <x:c r="Y1517" t="n">
        <x:v>0</x:v>
      </x:c>
      <x:c r="Z1517" t="n">
        <x:v>0</x:v>
      </x:c>
      <x:c r="AA1517" t="n">
        <x:v>0</x:v>
      </x:c>
      <x:c r="AB1517"/>
      <x:c r="AC1517" t="n">
        <x:v>0</x:v>
      </x:c>
      <x:c r="AD1517" t="n">
        <x:v>0.35384841565974057</x:v>
      </x:c>
      <x:c r="AE1517" t="n">
        <x:v>1</x:v>
      </x:c>
      <x:c r="AF1517" t="n">
        <x:v>-0.0015162825584411621</x:v>
      </x:c>
      <x:c r="AG1517" t="n">
        <x:f>_xlfn.XLOOKUP($A1517,Games!$A$2:$A$18,Games!$B$2:$B$18,"Missing game",0)</x:f>
        <x:v>2025</x:v>
      </x:c>
      <x:c r="AH1517" t="str">
        <x:f>_xlfn.XLOOKUP($A1517,Games!$A$2:$A$18,Games!$C$2:$C$18,"Missing game",0)</x:f>
        <x:v>REG</x:v>
      </x:c>
      <x:c r="AI1517" t="n">
        <x:f>_xlfn.XLOOKUP($A1517,Games!$A$2:$A$18,Games!$D$2:$D$18,"Missing game",0)</x:f>
        <x:v>10</x:v>
      </x:c>
      <x:c r="AJ1517" s="1" t="n">
        <x:f>_xlfn.XLOOKUP($A1517,Games!$A$2:$A$18,Games!$E$2:$E$18,"Missing game",0)</x:f>
        <x:v>45970</x:v>
      </x:c>
      <x:c r="AK1517" t="str">
        <x:f>_xlfn.XLOOKUP($A1517,Games!$A$2:$A$18,Games!$F$2:$F$18,"Missing game",0)</x:f>
        <x:v>Sunday</x:v>
      </x:c>
      <x:c r="AL1517" t="str">
        <x:f>_xlfn.XLOOKUP($A1517,Games!$A$2:$A$18,Games!$G$2:$G$18,"Missing game",0)</x:f>
        <x:v>BAL</x:v>
      </x:c>
      <x:c r="AM1517" t="n">
        <x:f>_xlfn.XLOOKUP($A1517,Games!$A$2:$A$18,Games!$H$2:$H$18,"Missing game",0)</x:f>
        <x:v>27</x:v>
      </x:c>
      <x:c r="AN1517" t="str">
        <x:f>_xlfn.XLOOKUP($A1517,Games!$A$2:$A$18,Games!$I$2:$I$18,"Missing game",0)</x:f>
        <x:v>MIN</x:v>
      </x:c>
      <x:c r="AO1517" t="n">
        <x:f>_xlfn.XLOOKUP($A1517,Games!$A$2:$A$18,Games!$J$2:$J$18,"Missing game",0)</x:f>
        <x:v>19</x:v>
      </x:c>
      <x:c r="AP1517" t="n">
        <x:f>_xlfn.XLOOKUP($A1517,Games!$A$2:$A$18,Games!$K$2:$K$18,"Missing game",0)</x:f>
        <x:v>-8</x:v>
      </x:c>
      <x:c r="AQ1517" t="n">
        <x:f>_xlfn.XLOOKUP($A1517,Games!$A$2:$A$18,Games!$L$2:$L$18,"Missing game",0)</x:f>
        <x:v>46</x:v>
      </x:c>
      <x:c r="AR1517" t="n">
        <x:f>_xlfn.XLOOKUP($A1517,Games!$A$2:$A$18,Games!$M$2:$M$18,"Missing game",0)</x:f>
        <x:v>0</x:v>
      </x:c>
      <x:c r="AS1517" t="str">
        <x:f>_xlfn.XLOOKUP($A1517,Games!$A$2:$A$18,Games!$N$2:$N$18,"Missing game",0)</x:f>
        <x:v>dome</x:v>
      </x:c>
      <x:c r="AT1517" t="str">
        <x:f>_xlfn.XLOOKUP($A1517,Games!$A$2:$A$18,Games!$O$2:$O$18,"Missing game",0)</x:f>
        <x:v>sportturf</x:v>
      </x:c>
      <x:c r="AU1517" t="str">
        <x:f>_xlfn.XLOOKUP($A1517,Games!$A$2:$A$18,Games!$P$2:$P$18,"Missing game",0)</x:f>
      </x:c>
      <x:c r="AV1517" t="str">
        <x:f>_xlfn.XLOOKUP($A1517,Games!$A$2:$A$18,Games!$Q$2:$Q$18,"Missing game",0)</x:f>
      </x:c>
      <x:c r="AW1517" t="str">
        <x:f>_xlfn.XLOOKUP($A1517,Games!$A$2:$A$18,Games!$R$2:$R$18,"Missing game",0)</x:f>
        <x:v>U.S. Bank Stadium</x:v>
      </x:c>
    </x:row>
    <x:row r="1518">
      <x:c r="A1518" t="str">
        <x:v>2025_10_BAL_MIN</x:v>
      </x:c>
      <x:c r="B1518" t="n">
        <x:v>4182</x:v>
      </x:c>
      <x:c r="C1518" t="n">
        <x:v>4</x:v>
      </x:c>
      <x:c r="D1518" t="str">
        <x:v>03:14</x:v>
      </x:c>
      <x:c r="E1518" t="n">
        <x:v>2</x:v>
      </x:c>
      <x:c r="F1518" t="n">
        <x:v>4</x:v>
      </x:c>
      <x:c r="G1518" t="str">
        <x:v>BAL</x:v>
      </x:c>
      <x:c r="H1518" t="str">
        <x:v>MIN</x:v>
      </x:c>
      <x:c r="I1518" t="str">
        <x:v>BAL</x:v>
      </x:c>
      <x:c r="J1518" t="n">
        <x:v>77</x:v>
      </x:c>
      <x:c r="K1518" t="str">
        <x:v>(3:14) (Shotgun) 22-D.Henry left tackle to BAL 26 for 3 yards (93-J.Allen).</x:v>
      </x:c>
      <x:c r="L1518" t="str">
        <x:v>run</x:v>
      </x:c>
      <x:c r="M1518" t="n">
        <x:v>3</x:v>
      </x:c>
      <x:c r="N1518" t="n">
        <x:v>1</x:v>
      </x:c>
      <x:c r="O1518" t="n">
        <x:v>0</x:v>
      </x:c>
      <x:c r="P1518"/>
      <x:c r="Q1518"/>
      <x:c r="R1518"/>
      <x:c r="S1518"/>
      <x:c r="T1518" t="str">
        <x:v>left</x:v>
      </x:c>
      <x:c r="U1518" t="str">
        <x:v>tackle</x:v>
      </x:c>
      <x:c r="V1518" t="n">
        <x:v>0</x:v>
      </x:c>
      <x:c r="W1518" t="n">
        <x:v>0</x:v>
      </x:c>
      <x:c r="X1518" t="n">
        <x:v>0</x:v>
      </x:c>
      <x:c r="Y1518" t="n">
        <x:v>0</x:v>
      </x:c>
      <x:c r="Z1518" t="n">
        <x:v>0</x:v>
      </x:c>
      <x:c r="AA1518" t="n">
        <x:v>0</x:v>
      </x:c>
      <x:c r="AB1518"/>
      <x:c r="AC1518" t="n">
        <x:v>0</x:v>
      </x:c>
      <x:c r="AD1518" t="n">
        <x:v>-0.2587936136405915</x:v>
      </x:c>
      <x:c r="AE1518" t="n">
        <x:v>0</x:v>
      </x:c>
      <x:c r="AF1518" t="n">
        <x:v>0.010720431804656982</x:v>
      </x:c>
      <x:c r="AG1518" t="n">
        <x:f>_xlfn.XLOOKUP($A1518,Games!$A$2:$A$18,Games!$B$2:$B$18,"Missing game",0)</x:f>
        <x:v>2025</x:v>
      </x:c>
      <x:c r="AH1518" t="str">
        <x:f>_xlfn.XLOOKUP($A1518,Games!$A$2:$A$18,Games!$C$2:$C$18,"Missing game",0)</x:f>
        <x:v>REG</x:v>
      </x:c>
      <x:c r="AI1518" t="n">
        <x:f>_xlfn.XLOOKUP($A1518,Games!$A$2:$A$18,Games!$D$2:$D$18,"Missing game",0)</x:f>
        <x:v>10</x:v>
      </x:c>
      <x:c r="AJ1518" s="1" t="n">
        <x:f>_xlfn.XLOOKUP($A1518,Games!$A$2:$A$18,Games!$E$2:$E$18,"Missing game",0)</x:f>
        <x:v>45970</x:v>
      </x:c>
      <x:c r="AK1518" t="str">
        <x:f>_xlfn.XLOOKUP($A1518,Games!$A$2:$A$18,Games!$F$2:$F$18,"Missing game",0)</x:f>
        <x:v>Sunday</x:v>
      </x:c>
      <x:c r="AL1518" t="str">
        <x:f>_xlfn.XLOOKUP($A1518,Games!$A$2:$A$18,Games!$G$2:$G$18,"Missing game",0)</x:f>
        <x:v>BAL</x:v>
      </x:c>
      <x:c r="AM1518" t="n">
        <x:f>_xlfn.XLOOKUP($A1518,Games!$A$2:$A$18,Games!$H$2:$H$18,"Missing game",0)</x:f>
        <x:v>27</x:v>
      </x:c>
      <x:c r="AN1518" t="str">
        <x:f>_xlfn.XLOOKUP($A1518,Games!$A$2:$A$18,Games!$I$2:$I$18,"Missing game",0)</x:f>
        <x:v>MIN</x:v>
      </x:c>
      <x:c r="AO1518" t="n">
        <x:f>_xlfn.XLOOKUP($A1518,Games!$A$2:$A$18,Games!$J$2:$J$18,"Missing game",0)</x:f>
        <x:v>19</x:v>
      </x:c>
      <x:c r="AP1518" t="n">
        <x:f>_xlfn.XLOOKUP($A1518,Games!$A$2:$A$18,Games!$K$2:$K$18,"Missing game",0)</x:f>
        <x:v>-8</x:v>
      </x:c>
      <x:c r="AQ1518" t="n">
        <x:f>_xlfn.XLOOKUP($A1518,Games!$A$2:$A$18,Games!$L$2:$L$18,"Missing game",0)</x:f>
        <x:v>46</x:v>
      </x:c>
      <x:c r="AR1518" t="n">
        <x:f>_xlfn.XLOOKUP($A1518,Games!$A$2:$A$18,Games!$M$2:$M$18,"Missing game",0)</x:f>
        <x:v>0</x:v>
      </x:c>
      <x:c r="AS1518" t="str">
        <x:f>_xlfn.XLOOKUP($A1518,Games!$A$2:$A$18,Games!$N$2:$N$18,"Missing game",0)</x:f>
        <x:v>dome</x:v>
      </x:c>
      <x:c r="AT1518" t="str">
        <x:f>_xlfn.XLOOKUP($A1518,Games!$A$2:$A$18,Games!$O$2:$O$18,"Missing game",0)</x:f>
        <x:v>sportturf</x:v>
      </x:c>
      <x:c r="AU1518" t="str">
        <x:f>_xlfn.XLOOKUP($A1518,Games!$A$2:$A$18,Games!$P$2:$P$18,"Missing game",0)</x:f>
      </x:c>
      <x:c r="AV1518" t="str">
        <x:f>_xlfn.XLOOKUP($A1518,Games!$A$2:$A$18,Games!$Q$2:$Q$18,"Missing game",0)</x:f>
      </x:c>
      <x:c r="AW1518" t="str">
        <x:f>_xlfn.XLOOKUP($A1518,Games!$A$2:$A$18,Games!$R$2:$R$18,"Missing game",0)</x:f>
        <x:v>U.S. Bank Stadium</x:v>
      </x:c>
    </x:row>
    <x:row r="1519">
      <x:c r="A1519" t="str">
        <x:v>2025_10_BAL_MIN</x:v>
      </x:c>
      <x:c r="B1519" t="n">
        <x:v>4194</x:v>
      </x:c>
      <x:c r="C1519" t="n">
        <x:v>4</x:v>
      </x:c>
      <x:c r="D1519" t="str">
        <x:v>03:14</x:v>
      </x:c>
      <x:c r="E1519"/>
      <x:c r="F1519" t="n">
        <x:v>0</x:v>
      </x:c>
      <x:c r="G1519"/>
      <x:c r="H1519"/>
      <x:c r="I1519"/>
      <x:c r="J1519"/>
      <x:c r="K1519" t="str">
        <x:v>Timeout #1 by MIN at 03:14.</x:v>
      </x:c>
      <x:c r="L1519" t="str">
        <x:v>no_play</x:v>
      </x:c>
      <x:c r="M1519" t="n">
        <x:v>0</x:v>
      </x:c>
      <x:c r="N1519" t="n">
        <x:v>0</x:v>
      </x:c>
      <x:c r="O1519" t="n">
        <x:v>0</x:v>
      </x:c>
      <x:c r="P1519"/>
      <x:c r="Q1519"/>
      <x:c r="R1519"/>
      <x:c r="S1519"/>
      <x:c r="T1519"/>
      <x:c r="U1519"/>
      <x:c r="V1519" t="n">
        <x:v>0</x:v>
      </x:c>
      <x:c r="W1519" t="n">
        <x:v>0</x:v>
      </x:c>
      <x:c r="X1519" t="n">
        <x:v>0</x:v>
      </x:c>
      <x:c r="Y1519" t="n">
        <x:v>0</x:v>
      </x:c>
      <x:c r="Z1519" t="n">
        <x:v>0</x:v>
      </x:c>
      <x:c r="AA1519" t="n">
        <x:v>0</x:v>
      </x:c>
      <x:c r="AB1519"/>
      <x:c r="AC1519" t="n">
        <x:v>0</x:v>
      </x:c>
      <x:c r="AD1519" t="n">
        <x:v>0</x:v>
      </x:c>
      <x:c r="AE1519" t="n">
        <x:v>0</x:v>
      </x:c>
      <x:c r="AF1519" t="n">
        <x:v>0</x:v>
      </x:c>
      <x:c r="AG1519" t="n">
        <x:f>_xlfn.XLOOKUP($A1519,Games!$A$2:$A$18,Games!$B$2:$B$18,"Missing game",0)</x:f>
        <x:v>2025</x:v>
      </x:c>
      <x:c r="AH1519" t="str">
        <x:f>_xlfn.XLOOKUP($A1519,Games!$A$2:$A$18,Games!$C$2:$C$18,"Missing game",0)</x:f>
        <x:v>REG</x:v>
      </x:c>
      <x:c r="AI1519" t="n">
        <x:f>_xlfn.XLOOKUP($A1519,Games!$A$2:$A$18,Games!$D$2:$D$18,"Missing game",0)</x:f>
        <x:v>10</x:v>
      </x:c>
      <x:c r="AJ1519" s="1" t="n">
        <x:f>_xlfn.XLOOKUP($A1519,Games!$A$2:$A$18,Games!$E$2:$E$18,"Missing game",0)</x:f>
        <x:v>45970</x:v>
      </x:c>
      <x:c r="AK1519" t="str">
        <x:f>_xlfn.XLOOKUP($A1519,Games!$A$2:$A$18,Games!$F$2:$F$18,"Missing game",0)</x:f>
        <x:v>Sunday</x:v>
      </x:c>
      <x:c r="AL1519" t="str">
        <x:f>_xlfn.XLOOKUP($A1519,Games!$A$2:$A$18,Games!$G$2:$G$18,"Missing game",0)</x:f>
        <x:v>BAL</x:v>
      </x:c>
      <x:c r="AM1519" t="n">
        <x:f>_xlfn.XLOOKUP($A1519,Games!$A$2:$A$18,Games!$H$2:$H$18,"Missing game",0)</x:f>
        <x:v>27</x:v>
      </x:c>
      <x:c r="AN1519" t="str">
        <x:f>_xlfn.XLOOKUP($A1519,Games!$A$2:$A$18,Games!$I$2:$I$18,"Missing game",0)</x:f>
        <x:v>MIN</x:v>
      </x:c>
      <x:c r="AO1519" t="n">
        <x:f>_xlfn.XLOOKUP($A1519,Games!$A$2:$A$18,Games!$J$2:$J$18,"Missing game",0)</x:f>
        <x:v>19</x:v>
      </x:c>
      <x:c r="AP1519" t="n">
        <x:f>_xlfn.XLOOKUP($A1519,Games!$A$2:$A$18,Games!$K$2:$K$18,"Missing game",0)</x:f>
        <x:v>-8</x:v>
      </x:c>
      <x:c r="AQ1519" t="n">
        <x:f>_xlfn.XLOOKUP($A1519,Games!$A$2:$A$18,Games!$L$2:$L$18,"Missing game",0)</x:f>
        <x:v>46</x:v>
      </x:c>
      <x:c r="AR1519" t="n">
        <x:f>_xlfn.XLOOKUP($A1519,Games!$A$2:$A$18,Games!$M$2:$M$18,"Missing game",0)</x:f>
        <x:v>0</x:v>
      </x:c>
      <x:c r="AS1519" t="str">
        <x:f>_xlfn.XLOOKUP($A1519,Games!$A$2:$A$18,Games!$N$2:$N$18,"Missing game",0)</x:f>
        <x:v>dome</x:v>
      </x:c>
      <x:c r="AT1519" t="str">
        <x:f>_xlfn.XLOOKUP($A1519,Games!$A$2:$A$18,Games!$O$2:$O$18,"Missing game",0)</x:f>
        <x:v>sportturf</x:v>
      </x:c>
      <x:c r="AU1519" t="str">
        <x:f>_xlfn.XLOOKUP($A1519,Games!$A$2:$A$18,Games!$P$2:$P$18,"Missing game",0)</x:f>
      </x:c>
      <x:c r="AV1519" t="str">
        <x:f>_xlfn.XLOOKUP($A1519,Games!$A$2:$A$18,Games!$Q$2:$Q$18,"Missing game",0)</x:f>
      </x:c>
      <x:c r="AW1519" t="str">
        <x:f>_xlfn.XLOOKUP($A1519,Games!$A$2:$A$18,Games!$R$2:$R$18,"Missing game",0)</x:f>
        <x:v>U.S. Bank Stadium</x:v>
      </x:c>
    </x:row>
    <x:row r="1520">
      <x:c r="A1520" t="str">
        <x:v>2025_10_BAL_MIN</x:v>
      </x:c>
      <x:c r="B1520" t="n">
        <x:v>4211</x:v>
      </x:c>
      <x:c r="C1520" t="n">
        <x:v>4</x:v>
      </x:c>
      <x:c r="D1520" t="str">
        <x:v>03:09</x:v>
      </x:c>
      <x:c r="E1520" t="n">
        <x:v>3</x:v>
      </x:c>
      <x:c r="F1520" t="n">
        <x:v>1</x:v>
      </x:c>
      <x:c r="G1520" t="str">
        <x:v>BAL</x:v>
      </x:c>
      <x:c r="H1520" t="str">
        <x:v>MIN</x:v>
      </x:c>
      <x:c r="I1520" t="str">
        <x:v>BAL</x:v>
      </x:c>
      <x:c r="J1520" t="n">
        <x:v>74</x:v>
      </x:c>
      <x:c r="K1520" t="str">
        <x:v>(3:09) 42-P.Ricard up the middle to BAL 29 for 3 yards (97-J.Hargrave).</x:v>
      </x:c>
      <x:c r="L1520" t="str">
        <x:v>run</x:v>
      </x:c>
      <x:c r="M1520" t="n">
        <x:v>3</x:v>
      </x:c>
      <x:c r="N1520" t="n">
        <x:v>0</x:v>
      </x:c>
      <x:c r="O1520" t="n">
        <x:v>0</x:v>
      </x:c>
      <x:c r="P1520"/>
      <x:c r="Q1520"/>
      <x:c r="R1520"/>
      <x:c r="S1520"/>
      <x:c r="T1520" t="str">
        <x:v>middle</x:v>
      </x:c>
      <x:c r="U1520"/>
      <x:c r="V1520" t="n">
        <x:v>0</x:v>
      </x:c>
      <x:c r="W1520" t="n">
        <x:v>1</x:v>
      </x:c>
      <x:c r="X1520" t="n">
        <x:v>0</x:v>
      </x:c>
      <x:c r="Y1520" t="n">
        <x:v>0</x:v>
      </x:c>
      <x:c r="Z1520" t="n">
        <x:v>0</x:v>
      </x:c>
      <x:c r="AA1520" t="n">
        <x:v>0</x:v>
      </x:c>
      <x:c r="AB1520"/>
      <x:c r="AC1520" t="n">
        <x:v>0</x:v>
      </x:c>
      <x:c r="AD1520" t="n">
        <x:v>0.5102673803921789</x:v>
      </x:c>
      <x:c r="AE1520" t="n">
        <x:v>1</x:v>
      </x:c>
      <x:c r="AF1520" t="n">
        <x:v>0.005654692649841309</x:v>
      </x:c>
      <x:c r="AG1520" t="n">
        <x:f>_xlfn.XLOOKUP($A1520,Games!$A$2:$A$18,Games!$B$2:$B$18,"Missing game",0)</x:f>
        <x:v>2025</x:v>
      </x:c>
      <x:c r="AH1520" t="str">
        <x:f>_xlfn.XLOOKUP($A1520,Games!$A$2:$A$18,Games!$C$2:$C$18,"Missing game",0)</x:f>
        <x:v>REG</x:v>
      </x:c>
      <x:c r="AI1520" t="n">
        <x:f>_xlfn.XLOOKUP($A1520,Games!$A$2:$A$18,Games!$D$2:$D$18,"Missing game",0)</x:f>
        <x:v>10</x:v>
      </x:c>
      <x:c r="AJ1520" s="1" t="n">
        <x:f>_xlfn.XLOOKUP($A1520,Games!$A$2:$A$18,Games!$E$2:$E$18,"Missing game",0)</x:f>
        <x:v>45970</x:v>
      </x:c>
      <x:c r="AK1520" t="str">
        <x:f>_xlfn.XLOOKUP($A1520,Games!$A$2:$A$18,Games!$F$2:$F$18,"Missing game",0)</x:f>
        <x:v>Sunday</x:v>
      </x:c>
      <x:c r="AL1520" t="str">
        <x:f>_xlfn.XLOOKUP($A1520,Games!$A$2:$A$18,Games!$G$2:$G$18,"Missing game",0)</x:f>
        <x:v>BAL</x:v>
      </x:c>
      <x:c r="AM1520" t="n">
        <x:f>_xlfn.XLOOKUP($A1520,Games!$A$2:$A$18,Games!$H$2:$H$18,"Missing game",0)</x:f>
        <x:v>27</x:v>
      </x:c>
      <x:c r="AN1520" t="str">
        <x:f>_xlfn.XLOOKUP($A1520,Games!$A$2:$A$18,Games!$I$2:$I$18,"Missing game",0)</x:f>
        <x:v>MIN</x:v>
      </x:c>
      <x:c r="AO1520" t="n">
        <x:f>_xlfn.XLOOKUP($A1520,Games!$A$2:$A$18,Games!$J$2:$J$18,"Missing game",0)</x:f>
        <x:v>19</x:v>
      </x:c>
      <x:c r="AP1520" t="n">
        <x:f>_xlfn.XLOOKUP($A1520,Games!$A$2:$A$18,Games!$K$2:$K$18,"Missing game",0)</x:f>
        <x:v>-8</x:v>
      </x:c>
      <x:c r="AQ1520" t="n">
        <x:f>_xlfn.XLOOKUP($A1520,Games!$A$2:$A$18,Games!$L$2:$L$18,"Missing game",0)</x:f>
        <x:v>46</x:v>
      </x:c>
      <x:c r="AR1520" t="n">
        <x:f>_xlfn.XLOOKUP($A1520,Games!$A$2:$A$18,Games!$M$2:$M$18,"Missing game",0)</x:f>
        <x:v>0</x:v>
      </x:c>
      <x:c r="AS1520" t="str">
        <x:f>_xlfn.XLOOKUP($A1520,Games!$A$2:$A$18,Games!$N$2:$N$18,"Missing game",0)</x:f>
        <x:v>dome</x:v>
      </x:c>
      <x:c r="AT1520" t="str">
        <x:f>_xlfn.XLOOKUP($A1520,Games!$A$2:$A$18,Games!$O$2:$O$18,"Missing game",0)</x:f>
        <x:v>sportturf</x:v>
      </x:c>
      <x:c r="AU1520" t="str">
        <x:f>_xlfn.XLOOKUP($A1520,Games!$A$2:$A$18,Games!$P$2:$P$18,"Missing game",0)</x:f>
      </x:c>
      <x:c r="AV1520" t="str">
        <x:f>_xlfn.XLOOKUP($A1520,Games!$A$2:$A$18,Games!$Q$2:$Q$18,"Missing game",0)</x:f>
      </x:c>
      <x:c r="AW1520" t="str">
        <x:f>_xlfn.XLOOKUP($A1520,Games!$A$2:$A$18,Games!$R$2:$R$18,"Missing game",0)</x:f>
        <x:v>U.S. Bank Stadium</x:v>
      </x:c>
    </x:row>
    <x:row r="1521">
      <x:c r="A1521" t="str">
        <x:v>2025_10_BAL_MIN</x:v>
      </x:c>
      <x:c r="B1521" t="n">
        <x:v>4223</x:v>
      </x:c>
      <x:c r="C1521" t="n">
        <x:v>4</x:v>
      </x:c>
      <x:c r="D1521" t="str">
        <x:v>03:09</x:v>
      </x:c>
      <x:c r="E1521"/>
      <x:c r="F1521" t="n">
        <x:v>0</x:v>
      </x:c>
      <x:c r="G1521"/>
      <x:c r="H1521"/>
      <x:c r="I1521"/>
      <x:c r="J1521"/>
      <x:c r="K1521" t="str">
        <x:v>Timeout #2 by MIN at 03:09.</x:v>
      </x:c>
      <x:c r="L1521" t="str">
        <x:v>no_play</x:v>
      </x:c>
      <x:c r="M1521" t="n">
        <x:v>0</x:v>
      </x:c>
      <x:c r="N1521" t="n">
        <x:v>0</x:v>
      </x:c>
      <x:c r="O1521" t="n">
        <x:v>0</x:v>
      </x:c>
      <x:c r="P1521"/>
      <x:c r="Q1521"/>
      <x:c r="R1521"/>
      <x:c r="S1521"/>
      <x:c r="T1521"/>
      <x:c r="U1521"/>
      <x:c r="V1521" t="n">
        <x:v>0</x:v>
      </x:c>
      <x:c r="W1521" t="n">
        <x:v>0</x:v>
      </x:c>
      <x:c r="X1521" t="n">
        <x:v>0</x:v>
      </x:c>
      <x:c r="Y1521" t="n">
        <x:v>0</x:v>
      </x:c>
      <x:c r="Z1521" t="n">
        <x:v>0</x:v>
      </x:c>
      <x:c r="AA1521" t="n">
        <x:v>0</x:v>
      </x:c>
      <x:c r="AB1521"/>
      <x:c r="AC1521" t="n">
        <x:v>0</x:v>
      </x:c>
      <x:c r="AD1521" t="n">
        <x:v>0</x:v>
      </x:c>
      <x:c r="AE1521" t="n">
        <x:v>0</x:v>
      </x:c>
      <x:c r="AF1521" t="n">
        <x:v>0</x:v>
      </x:c>
      <x:c r="AG1521" t="n">
        <x:f>_xlfn.XLOOKUP($A1521,Games!$A$2:$A$18,Games!$B$2:$B$18,"Missing game",0)</x:f>
        <x:v>2025</x:v>
      </x:c>
      <x:c r="AH1521" t="str">
        <x:f>_xlfn.XLOOKUP($A1521,Games!$A$2:$A$18,Games!$C$2:$C$18,"Missing game",0)</x:f>
        <x:v>REG</x:v>
      </x:c>
      <x:c r="AI1521" t="n">
        <x:f>_xlfn.XLOOKUP($A1521,Games!$A$2:$A$18,Games!$D$2:$D$18,"Missing game",0)</x:f>
        <x:v>10</x:v>
      </x:c>
      <x:c r="AJ1521" s="1" t="n">
        <x:f>_xlfn.XLOOKUP($A1521,Games!$A$2:$A$18,Games!$E$2:$E$18,"Missing game",0)</x:f>
        <x:v>45970</x:v>
      </x:c>
      <x:c r="AK1521" t="str">
        <x:f>_xlfn.XLOOKUP($A1521,Games!$A$2:$A$18,Games!$F$2:$F$18,"Missing game",0)</x:f>
        <x:v>Sunday</x:v>
      </x:c>
      <x:c r="AL1521" t="str">
        <x:f>_xlfn.XLOOKUP($A1521,Games!$A$2:$A$18,Games!$G$2:$G$18,"Missing game",0)</x:f>
        <x:v>BAL</x:v>
      </x:c>
      <x:c r="AM1521" t="n">
        <x:f>_xlfn.XLOOKUP($A1521,Games!$A$2:$A$18,Games!$H$2:$H$18,"Missing game",0)</x:f>
        <x:v>27</x:v>
      </x:c>
      <x:c r="AN1521" t="str">
        <x:f>_xlfn.XLOOKUP($A1521,Games!$A$2:$A$18,Games!$I$2:$I$18,"Missing game",0)</x:f>
        <x:v>MIN</x:v>
      </x:c>
      <x:c r="AO1521" t="n">
        <x:f>_xlfn.XLOOKUP($A1521,Games!$A$2:$A$18,Games!$J$2:$J$18,"Missing game",0)</x:f>
        <x:v>19</x:v>
      </x:c>
      <x:c r="AP1521" t="n">
        <x:f>_xlfn.XLOOKUP($A1521,Games!$A$2:$A$18,Games!$K$2:$K$18,"Missing game",0)</x:f>
        <x:v>-8</x:v>
      </x:c>
      <x:c r="AQ1521" t="n">
        <x:f>_xlfn.XLOOKUP($A1521,Games!$A$2:$A$18,Games!$L$2:$L$18,"Missing game",0)</x:f>
        <x:v>46</x:v>
      </x:c>
      <x:c r="AR1521" t="n">
        <x:f>_xlfn.XLOOKUP($A1521,Games!$A$2:$A$18,Games!$M$2:$M$18,"Missing game",0)</x:f>
        <x:v>0</x:v>
      </x:c>
      <x:c r="AS1521" t="str">
        <x:f>_xlfn.XLOOKUP($A1521,Games!$A$2:$A$18,Games!$N$2:$N$18,"Missing game",0)</x:f>
        <x:v>dome</x:v>
      </x:c>
      <x:c r="AT1521" t="str">
        <x:f>_xlfn.XLOOKUP($A1521,Games!$A$2:$A$18,Games!$O$2:$O$18,"Missing game",0)</x:f>
        <x:v>sportturf</x:v>
      </x:c>
      <x:c r="AU1521" t="str">
        <x:f>_xlfn.XLOOKUP($A1521,Games!$A$2:$A$18,Games!$P$2:$P$18,"Missing game",0)</x:f>
      </x:c>
      <x:c r="AV1521" t="str">
        <x:f>_xlfn.XLOOKUP($A1521,Games!$A$2:$A$18,Games!$Q$2:$Q$18,"Missing game",0)</x:f>
      </x:c>
      <x:c r="AW1521" t="str">
        <x:f>_xlfn.XLOOKUP($A1521,Games!$A$2:$A$18,Games!$R$2:$R$18,"Missing game",0)</x:f>
        <x:v>U.S. Bank Stadium</x:v>
      </x:c>
    </x:row>
    <x:row r="1522">
      <x:c r="A1522" t="str">
        <x:v>2025_10_BAL_MIN</x:v>
      </x:c>
      <x:c r="B1522" t="n">
        <x:v>4240</x:v>
      </x:c>
      <x:c r="C1522" t="n">
        <x:v>4</x:v>
      </x:c>
      <x:c r="D1522" t="str">
        <x:v>03:04</x:v>
      </x:c>
      <x:c r="E1522" t="n">
        <x:v>1</x:v>
      </x:c>
      <x:c r="F1522" t="n">
        <x:v>10</x:v>
      </x:c>
      <x:c r="G1522" t="str">
        <x:v>BAL</x:v>
      </x:c>
      <x:c r="H1522" t="str">
        <x:v>MIN</x:v>
      </x:c>
      <x:c r="I1522" t="str">
        <x:v>BAL</x:v>
      </x:c>
      <x:c r="J1522" t="n">
        <x:v>71</x:v>
      </x:c>
      <x:c r="K1522" t="str">
        <x:v>(3:04) 22-D.Henry left tackle to BAL 29 for no gain (51-B.Cashman).</x:v>
      </x:c>
      <x:c r="L1522" t="str">
        <x:v>run</x:v>
      </x:c>
      <x:c r="M1522" t="n">
        <x:v>0</x:v>
      </x:c>
      <x:c r="N1522" t="n">
        <x:v>0</x:v>
      </x:c>
      <x:c r="O1522" t="n">
        <x:v>0</x:v>
      </x:c>
      <x:c r="P1522"/>
      <x:c r="Q1522"/>
      <x:c r="R1522"/>
      <x:c r="S1522"/>
      <x:c r="T1522" t="str">
        <x:v>left</x:v>
      </x:c>
      <x:c r="U1522" t="str">
        <x:v>tackle</x:v>
      </x:c>
      <x:c r="V1522" t="n">
        <x:v>0</x:v>
      </x:c>
      <x:c r="W1522" t="n">
        <x:v>0</x:v>
      </x:c>
      <x:c r="X1522" t="n">
        <x:v>0</x:v>
      </x:c>
      <x:c r="Y1522" t="n">
        <x:v>0</x:v>
      </x:c>
      <x:c r="Z1522" t="n">
        <x:v>0</x:v>
      </x:c>
      <x:c r="AA1522" t="n">
        <x:v>0</x:v>
      </x:c>
      <x:c r="AB1522"/>
      <x:c r="AC1522" t="n">
        <x:v>0</x:v>
      </x:c>
      <x:c r="AD1522" t="n">
        <x:v>-0.5679130934877321</x:v>
      </x:c>
      <x:c r="AE1522" t="n">
        <x:v>0</x:v>
      </x:c>
      <x:c r="AF1522" t="n">
        <x:v>0.00021034479141235352</x:v>
      </x:c>
      <x:c r="AG1522" t="n">
        <x:f>_xlfn.XLOOKUP($A1522,Games!$A$2:$A$18,Games!$B$2:$B$18,"Missing game",0)</x:f>
        <x:v>2025</x:v>
      </x:c>
      <x:c r="AH1522" t="str">
        <x:f>_xlfn.XLOOKUP($A1522,Games!$A$2:$A$18,Games!$C$2:$C$18,"Missing game",0)</x:f>
        <x:v>REG</x:v>
      </x:c>
      <x:c r="AI1522" t="n">
        <x:f>_xlfn.XLOOKUP($A1522,Games!$A$2:$A$18,Games!$D$2:$D$18,"Missing game",0)</x:f>
        <x:v>10</x:v>
      </x:c>
      <x:c r="AJ1522" s="1" t="n">
        <x:f>_xlfn.XLOOKUP($A1522,Games!$A$2:$A$18,Games!$E$2:$E$18,"Missing game",0)</x:f>
        <x:v>45970</x:v>
      </x:c>
      <x:c r="AK1522" t="str">
        <x:f>_xlfn.XLOOKUP($A1522,Games!$A$2:$A$18,Games!$F$2:$F$18,"Missing game",0)</x:f>
        <x:v>Sunday</x:v>
      </x:c>
      <x:c r="AL1522" t="str">
        <x:f>_xlfn.XLOOKUP($A1522,Games!$A$2:$A$18,Games!$G$2:$G$18,"Missing game",0)</x:f>
        <x:v>BAL</x:v>
      </x:c>
      <x:c r="AM1522" t="n">
        <x:f>_xlfn.XLOOKUP($A1522,Games!$A$2:$A$18,Games!$H$2:$H$18,"Missing game",0)</x:f>
        <x:v>27</x:v>
      </x:c>
      <x:c r="AN1522" t="str">
        <x:f>_xlfn.XLOOKUP($A1522,Games!$A$2:$A$18,Games!$I$2:$I$18,"Missing game",0)</x:f>
        <x:v>MIN</x:v>
      </x:c>
      <x:c r="AO1522" t="n">
        <x:f>_xlfn.XLOOKUP($A1522,Games!$A$2:$A$18,Games!$J$2:$J$18,"Missing game",0)</x:f>
        <x:v>19</x:v>
      </x:c>
      <x:c r="AP1522" t="n">
        <x:f>_xlfn.XLOOKUP($A1522,Games!$A$2:$A$18,Games!$K$2:$K$18,"Missing game",0)</x:f>
        <x:v>-8</x:v>
      </x:c>
      <x:c r="AQ1522" t="n">
        <x:f>_xlfn.XLOOKUP($A1522,Games!$A$2:$A$18,Games!$L$2:$L$18,"Missing game",0)</x:f>
        <x:v>46</x:v>
      </x:c>
      <x:c r="AR1522" t="n">
        <x:f>_xlfn.XLOOKUP($A1522,Games!$A$2:$A$18,Games!$M$2:$M$18,"Missing game",0)</x:f>
        <x:v>0</x:v>
      </x:c>
      <x:c r="AS1522" t="str">
        <x:f>_xlfn.XLOOKUP($A1522,Games!$A$2:$A$18,Games!$N$2:$N$18,"Missing game",0)</x:f>
        <x:v>dome</x:v>
      </x:c>
      <x:c r="AT1522" t="str">
        <x:f>_xlfn.XLOOKUP($A1522,Games!$A$2:$A$18,Games!$O$2:$O$18,"Missing game",0)</x:f>
        <x:v>sportturf</x:v>
      </x:c>
      <x:c r="AU1522" t="str">
        <x:f>_xlfn.XLOOKUP($A1522,Games!$A$2:$A$18,Games!$P$2:$P$18,"Missing game",0)</x:f>
      </x:c>
      <x:c r="AV1522" t="str">
        <x:f>_xlfn.XLOOKUP($A1522,Games!$A$2:$A$18,Games!$Q$2:$Q$18,"Missing game",0)</x:f>
      </x:c>
      <x:c r="AW1522" t="str">
        <x:f>_xlfn.XLOOKUP($A1522,Games!$A$2:$A$18,Games!$R$2:$R$18,"Missing game",0)</x:f>
        <x:v>U.S. Bank Stadium</x:v>
      </x:c>
    </x:row>
    <x:row r="1523">
      <x:c r="A1523" t="str">
        <x:v>2025_10_BAL_MIN</x:v>
      </x:c>
      <x:c r="B1523" t="n">
        <x:v>4252</x:v>
      </x:c>
      <x:c r="C1523" t="n">
        <x:v>4</x:v>
      </x:c>
      <x:c r="D1523" t="str">
        <x:v>03:04</x:v>
      </x:c>
      <x:c r="E1523"/>
      <x:c r="F1523" t="n">
        <x:v>0</x:v>
      </x:c>
      <x:c r="G1523"/>
      <x:c r="H1523"/>
      <x:c r="I1523"/>
      <x:c r="J1523"/>
      <x:c r="K1523" t="str">
        <x:v>Timeout #3 by MIN at 03:04.</x:v>
      </x:c>
      <x:c r="L1523" t="str">
        <x:v>no_play</x:v>
      </x:c>
      <x:c r="M1523" t="n">
        <x:v>0</x:v>
      </x:c>
      <x:c r="N1523" t="n">
        <x:v>0</x:v>
      </x:c>
      <x:c r="O1523" t="n">
        <x:v>0</x:v>
      </x:c>
      <x:c r="P1523"/>
      <x:c r="Q1523"/>
      <x:c r="R1523"/>
      <x:c r="S1523"/>
      <x:c r="T1523"/>
      <x:c r="U1523"/>
      <x:c r="V1523" t="n">
        <x:v>0</x:v>
      </x:c>
      <x:c r="W1523" t="n">
        <x:v>0</x:v>
      </x:c>
      <x:c r="X1523" t="n">
        <x:v>0</x:v>
      </x:c>
      <x:c r="Y1523" t="n">
        <x:v>0</x:v>
      </x:c>
      <x:c r="Z1523" t="n">
        <x:v>0</x:v>
      </x:c>
      <x:c r="AA1523" t="n">
        <x:v>0</x:v>
      </x:c>
      <x:c r="AB1523"/>
      <x:c r="AC1523" t="n">
        <x:v>0</x:v>
      </x:c>
      <x:c r="AD1523" t="n">
        <x:v>0</x:v>
      </x:c>
      <x:c r="AE1523" t="n">
        <x:v>0</x:v>
      </x:c>
      <x:c r="AF1523" t="n">
        <x:v>0</x:v>
      </x:c>
      <x:c r="AG1523" t="n">
        <x:f>_xlfn.XLOOKUP($A1523,Games!$A$2:$A$18,Games!$B$2:$B$18,"Missing game",0)</x:f>
        <x:v>2025</x:v>
      </x:c>
      <x:c r="AH1523" t="str">
        <x:f>_xlfn.XLOOKUP($A1523,Games!$A$2:$A$18,Games!$C$2:$C$18,"Missing game",0)</x:f>
        <x:v>REG</x:v>
      </x:c>
      <x:c r="AI1523" t="n">
        <x:f>_xlfn.XLOOKUP($A1523,Games!$A$2:$A$18,Games!$D$2:$D$18,"Missing game",0)</x:f>
        <x:v>10</x:v>
      </x:c>
      <x:c r="AJ1523" s="1" t="n">
        <x:f>_xlfn.XLOOKUP($A1523,Games!$A$2:$A$18,Games!$E$2:$E$18,"Missing game",0)</x:f>
        <x:v>45970</x:v>
      </x:c>
      <x:c r="AK1523" t="str">
        <x:f>_xlfn.XLOOKUP($A1523,Games!$A$2:$A$18,Games!$F$2:$F$18,"Missing game",0)</x:f>
        <x:v>Sunday</x:v>
      </x:c>
      <x:c r="AL1523" t="str">
        <x:f>_xlfn.XLOOKUP($A1523,Games!$A$2:$A$18,Games!$G$2:$G$18,"Missing game",0)</x:f>
        <x:v>BAL</x:v>
      </x:c>
      <x:c r="AM1523" t="n">
        <x:f>_xlfn.XLOOKUP($A1523,Games!$A$2:$A$18,Games!$H$2:$H$18,"Missing game",0)</x:f>
        <x:v>27</x:v>
      </x:c>
      <x:c r="AN1523" t="str">
        <x:f>_xlfn.XLOOKUP($A1523,Games!$A$2:$A$18,Games!$I$2:$I$18,"Missing game",0)</x:f>
        <x:v>MIN</x:v>
      </x:c>
      <x:c r="AO1523" t="n">
        <x:f>_xlfn.XLOOKUP($A1523,Games!$A$2:$A$18,Games!$J$2:$J$18,"Missing game",0)</x:f>
        <x:v>19</x:v>
      </x:c>
      <x:c r="AP1523" t="n">
        <x:f>_xlfn.XLOOKUP($A1523,Games!$A$2:$A$18,Games!$K$2:$K$18,"Missing game",0)</x:f>
        <x:v>-8</x:v>
      </x:c>
      <x:c r="AQ1523" t="n">
        <x:f>_xlfn.XLOOKUP($A1523,Games!$A$2:$A$18,Games!$L$2:$L$18,"Missing game",0)</x:f>
        <x:v>46</x:v>
      </x:c>
      <x:c r="AR1523" t="n">
        <x:f>_xlfn.XLOOKUP($A1523,Games!$A$2:$A$18,Games!$M$2:$M$18,"Missing game",0)</x:f>
        <x:v>0</x:v>
      </x:c>
      <x:c r="AS1523" t="str">
        <x:f>_xlfn.XLOOKUP($A1523,Games!$A$2:$A$18,Games!$N$2:$N$18,"Missing game",0)</x:f>
        <x:v>dome</x:v>
      </x:c>
      <x:c r="AT1523" t="str">
        <x:f>_xlfn.XLOOKUP($A1523,Games!$A$2:$A$18,Games!$O$2:$O$18,"Missing game",0)</x:f>
        <x:v>sportturf</x:v>
      </x:c>
      <x:c r="AU1523" t="str">
        <x:f>_xlfn.XLOOKUP($A1523,Games!$A$2:$A$18,Games!$P$2:$P$18,"Missing game",0)</x:f>
      </x:c>
      <x:c r="AV1523" t="str">
        <x:f>_xlfn.XLOOKUP($A1523,Games!$A$2:$A$18,Games!$Q$2:$Q$18,"Missing game",0)</x:f>
      </x:c>
      <x:c r="AW1523" t="str">
        <x:f>_xlfn.XLOOKUP($A1523,Games!$A$2:$A$18,Games!$R$2:$R$18,"Missing game",0)</x:f>
        <x:v>U.S. Bank Stadium</x:v>
      </x:c>
    </x:row>
    <x:row r="1524">
      <x:c r="A1524" t="str">
        <x:v>2025_10_BAL_MIN</x:v>
      </x:c>
      <x:c r="B1524" t="n">
        <x:v>4269</x:v>
      </x:c>
      <x:c r="C1524" t="n">
        <x:v>4</x:v>
      </x:c>
      <x:c r="D1524" t="str">
        <x:v>02:23</x:v>
      </x:c>
      <x:c r="E1524" t="n">
        <x:v>2</x:v>
      </x:c>
      <x:c r="F1524" t="n">
        <x:v>10</x:v>
      </x:c>
      <x:c r="G1524" t="str">
        <x:v>BAL</x:v>
      </x:c>
      <x:c r="H1524" t="str">
        <x:v>MIN</x:v>
      </x:c>
      <x:c r="I1524" t="str">
        <x:v>BAL</x:v>
      </x:c>
      <x:c r="J1524" t="n">
        <x:v>71</x:v>
      </x:c>
      <x:c r="K1524" t="str">
        <x:v>(2:23) (Shotgun) 8-L.Jackson FUMBLES (Aborted) at BAL 24, recovered by BAL-4-Z.Flowers at BAL 25. 4-Z.Flowers to BAL 35 for 10 yards (55-E.Wilson).</x:v>
      </x:c>
      <x:c r="L1524" t="str">
        <x:v>run</x:v>
      </x:c>
      <x:c r="M1524" t="n">
        <x:v>6</x:v>
      </x:c>
      <x:c r="N1524" t="n">
        <x:v>1</x:v>
      </x:c>
      <x:c r="O1524" t="n">
        <x:v>0</x:v>
      </x:c>
      <x:c r="P1524"/>
      <x:c r="Q1524"/>
      <x:c r="R1524"/>
      <x:c r="S1524"/>
      <x:c r="T1524"/>
      <x:c r="U1524"/>
      <x:c r="V1524" t="n">
        <x:v>0</x:v>
      </x:c>
      <x:c r="W1524" t="n">
        <x:v>0</x:v>
      </x:c>
      <x:c r="X1524" t="n">
        <x:v>0</x:v>
      </x:c>
      <x:c r="Y1524" t="n">
        <x:v>0</x:v>
      </x:c>
      <x:c r="Z1524" t="n">
        <x:v>0</x:v>
      </x:c>
      <x:c r="AA1524" t="n">
        <x:v>0</x:v>
      </x:c>
      <x:c r="AB1524"/>
      <x:c r="AC1524" t="n">
        <x:v>0</x:v>
      </x:c>
      <x:c r="AD1524" t="n">
        <x:v>-0.27412250242196023</x:v>
      </x:c>
      <x:c r="AE1524" t="n">
        <x:v>0</x:v>
      </x:c>
      <x:c r="AF1524" t="n">
        <x:v>0.011517107486724854</x:v>
      </x:c>
      <x:c r="AG1524" t="n">
        <x:f>_xlfn.XLOOKUP($A1524,Games!$A$2:$A$18,Games!$B$2:$B$18,"Missing game",0)</x:f>
        <x:v>2025</x:v>
      </x:c>
      <x:c r="AH1524" t="str">
        <x:f>_xlfn.XLOOKUP($A1524,Games!$A$2:$A$18,Games!$C$2:$C$18,"Missing game",0)</x:f>
        <x:v>REG</x:v>
      </x:c>
      <x:c r="AI1524" t="n">
        <x:f>_xlfn.XLOOKUP($A1524,Games!$A$2:$A$18,Games!$D$2:$D$18,"Missing game",0)</x:f>
        <x:v>10</x:v>
      </x:c>
      <x:c r="AJ1524" s="1" t="n">
        <x:f>_xlfn.XLOOKUP($A1524,Games!$A$2:$A$18,Games!$E$2:$E$18,"Missing game",0)</x:f>
        <x:v>45970</x:v>
      </x:c>
      <x:c r="AK1524" t="str">
        <x:f>_xlfn.XLOOKUP($A1524,Games!$A$2:$A$18,Games!$F$2:$F$18,"Missing game",0)</x:f>
        <x:v>Sunday</x:v>
      </x:c>
      <x:c r="AL1524" t="str">
        <x:f>_xlfn.XLOOKUP($A1524,Games!$A$2:$A$18,Games!$G$2:$G$18,"Missing game",0)</x:f>
        <x:v>BAL</x:v>
      </x:c>
      <x:c r="AM1524" t="n">
        <x:f>_xlfn.XLOOKUP($A1524,Games!$A$2:$A$18,Games!$H$2:$H$18,"Missing game",0)</x:f>
        <x:v>27</x:v>
      </x:c>
      <x:c r="AN1524" t="str">
        <x:f>_xlfn.XLOOKUP($A1524,Games!$A$2:$A$18,Games!$I$2:$I$18,"Missing game",0)</x:f>
        <x:v>MIN</x:v>
      </x:c>
      <x:c r="AO1524" t="n">
        <x:f>_xlfn.XLOOKUP($A1524,Games!$A$2:$A$18,Games!$J$2:$J$18,"Missing game",0)</x:f>
        <x:v>19</x:v>
      </x:c>
      <x:c r="AP1524" t="n">
        <x:f>_xlfn.XLOOKUP($A1524,Games!$A$2:$A$18,Games!$K$2:$K$18,"Missing game",0)</x:f>
        <x:v>-8</x:v>
      </x:c>
      <x:c r="AQ1524" t="n">
        <x:f>_xlfn.XLOOKUP($A1524,Games!$A$2:$A$18,Games!$L$2:$L$18,"Missing game",0)</x:f>
        <x:v>46</x:v>
      </x:c>
      <x:c r="AR1524" t="n">
        <x:f>_xlfn.XLOOKUP($A1524,Games!$A$2:$A$18,Games!$M$2:$M$18,"Missing game",0)</x:f>
        <x:v>0</x:v>
      </x:c>
      <x:c r="AS1524" t="str">
        <x:f>_xlfn.XLOOKUP($A1524,Games!$A$2:$A$18,Games!$N$2:$N$18,"Missing game",0)</x:f>
        <x:v>dome</x:v>
      </x:c>
      <x:c r="AT1524" t="str">
        <x:f>_xlfn.XLOOKUP($A1524,Games!$A$2:$A$18,Games!$O$2:$O$18,"Missing game",0)</x:f>
        <x:v>sportturf</x:v>
      </x:c>
      <x:c r="AU1524" t="str">
        <x:f>_xlfn.XLOOKUP($A1524,Games!$A$2:$A$18,Games!$P$2:$P$18,"Missing game",0)</x:f>
      </x:c>
      <x:c r="AV1524" t="str">
        <x:f>_xlfn.XLOOKUP($A1524,Games!$A$2:$A$18,Games!$Q$2:$Q$18,"Missing game",0)</x:f>
      </x:c>
      <x:c r="AW1524" t="str">
        <x:f>_xlfn.XLOOKUP($A1524,Games!$A$2:$A$18,Games!$R$2:$R$18,"Missing game",0)</x:f>
        <x:v>U.S. Bank Stadium</x:v>
      </x:c>
    </x:row>
    <x:row r="1525">
      <x:c r="A1525" t="str">
        <x:v>2025_10_BAL_MIN</x:v>
      </x:c>
      <x:c r="B1525" t="n">
        <x:v>4307</x:v>
      </x:c>
      <x:c r="C1525" t="n">
        <x:v>4</x:v>
      </x:c>
      <x:c r="D1525" t="str">
        <x:v>02:00</x:v>
      </x:c>
      <x:c r="E1525" t="n">
        <x:v>3</x:v>
      </x:c>
      <x:c r="F1525" t="n">
        <x:v>4</x:v>
      </x:c>
      <x:c r="G1525" t="str">
        <x:v>BAL</x:v>
      </x:c>
      <x:c r="H1525" t="str">
        <x:v>MIN</x:v>
      </x:c>
      <x:c r="I1525" t="str">
        <x:v>BAL</x:v>
      </x:c>
      <x:c r="J1525" t="n">
        <x:v>65</x:v>
      </x:c>
      <x:c r="K1525" t="str">
        <x:v>(2:00) 8-L.Jackson pass incomplete short right to 88-C.Kolar (43-A.Van Ginkel).</x:v>
      </x:c>
      <x:c r="L1525" t="str">
        <x:v>pass</x:v>
      </x:c>
      <x:c r="M1525" t="n">
        <x:v>0</x:v>
      </x:c>
      <x:c r="N1525" t="n">
        <x:v>0</x:v>
      </x:c>
      <x:c r="O1525" t="n">
        <x:v>0</x:v>
      </x:c>
      <x:c r="P1525" t="str">
        <x:v>short</x:v>
      </x:c>
      <x:c r="Q1525" t="str">
        <x:v>right</x:v>
      </x:c>
      <x:c r="R1525" t="n">
        <x:v>-5</x:v>
      </x:c>
      <x:c r="S1525"/>
      <x:c r="T1525"/>
      <x:c r="U1525"/>
      <x:c r="V1525" t="n">
        <x:v>0</x:v>
      </x:c>
      <x:c r="W1525" t="n">
        <x:v>0</x:v>
      </x:c>
      <x:c r="X1525" t="n">
        <x:v>0</x:v>
      </x:c>
      <x:c r="Y1525" t="n">
        <x:v>0</x:v>
      </x:c>
      <x:c r="Z1525" t="n">
        <x:v>0</x:v>
      </x:c>
      <x:c r="AA1525" t="n">
        <x:v>0</x:v>
      </x:c>
      <x:c r="AB1525"/>
      <x:c r="AC1525" t="n">
        <x:v>0</x:v>
      </x:c>
      <x:c r="AD1525" t="n">
        <x:v>-1.0154163899132982</x:v>
      </x:c>
      <x:c r="AE1525" t="n">
        <x:v>0</x:v>
      </x:c>
      <x:c r="AF1525" t="n">
        <x:v>-0.006904006004333496</x:v>
      </x:c>
      <x:c r="AG1525" t="n">
        <x:f>_xlfn.XLOOKUP($A1525,Games!$A$2:$A$18,Games!$B$2:$B$18,"Missing game",0)</x:f>
        <x:v>2025</x:v>
      </x:c>
      <x:c r="AH1525" t="str">
        <x:f>_xlfn.XLOOKUP($A1525,Games!$A$2:$A$18,Games!$C$2:$C$18,"Missing game",0)</x:f>
        <x:v>REG</x:v>
      </x:c>
      <x:c r="AI1525" t="n">
        <x:f>_xlfn.XLOOKUP($A1525,Games!$A$2:$A$18,Games!$D$2:$D$18,"Missing game",0)</x:f>
        <x:v>10</x:v>
      </x:c>
      <x:c r="AJ1525" s="1" t="n">
        <x:f>_xlfn.XLOOKUP($A1525,Games!$A$2:$A$18,Games!$E$2:$E$18,"Missing game",0)</x:f>
        <x:v>45970</x:v>
      </x:c>
      <x:c r="AK1525" t="str">
        <x:f>_xlfn.XLOOKUP($A1525,Games!$A$2:$A$18,Games!$F$2:$F$18,"Missing game",0)</x:f>
        <x:v>Sunday</x:v>
      </x:c>
      <x:c r="AL1525" t="str">
        <x:f>_xlfn.XLOOKUP($A1525,Games!$A$2:$A$18,Games!$G$2:$G$18,"Missing game",0)</x:f>
        <x:v>BAL</x:v>
      </x:c>
      <x:c r="AM1525" t="n">
        <x:f>_xlfn.XLOOKUP($A1525,Games!$A$2:$A$18,Games!$H$2:$H$18,"Missing game",0)</x:f>
        <x:v>27</x:v>
      </x:c>
      <x:c r="AN1525" t="str">
        <x:f>_xlfn.XLOOKUP($A1525,Games!$A$2:$A$18,Games!$I$2:$I$18,"Missing game",0)</x:f>
        <x:v>MIN</x:v>
      </x:c>
      <x:c r="AO1525" t="n">
        <x:f>_xlfn.XLOOKUP($A1525,Games!$A$2:$A$18,Games!$J$2:$J$18,"Missing game",0)</x:f>
        <x:v>19</x:v>
      </x:c>
      <x:c r="AP1525" t="n">
        <x:f>_xlfn.XLOOKUP($A1525,Games!$A$2:$A$18,Games!$K$2:$K$18,"Missing game",0)</x:f>
        <x:v>-8</x:v>
      </x:c>
      <x:c r="AQ1525" t="n">
        <x:f>_xlfn.XLOOKUP($A1525,Games!$A$2:$A$18,Games!$L$2:$L$18,"Missing game",0)</x:f>
        <x:v>46</x:v>
      </x:c>
      <x:c r="AR1525" t="n">
        <x:f>_xlfn.XLOOKUP($A1525,Games!$A$2:$A$18,Games!$M$2:$M$18,"Missing game",0)</x:f>
        <x:v>0</x:v>
      </x:c>
      <x:c r="AS1525" t="str">
        <x:f>_xlfn.XLOOKUP($A1525,Games!$A$2:$A$18,Games!$N$2:$N$18,"Missing game",0)</x:f>
        <x:v>dome</x:v>
      </x:c>
      <x:c r="AT1525" t="str">
        <x:f>_xlfn.XLOOKUP($A1525,Games!$A$2:$A$18,Games!$O$2:$O$18,"Missing game",0)</x:f>
        <x:v>sportturf</x:v>
      </x:c>
      <x:c r="AU1525" t="str">
        <x:f>_xlfn.XLOOKUP($A1525,Games!$A$2:$A$18,Games!$P$2:$P$18,"Missing game",0)</x:f>
      </x:c>
      <x:c r="AV1525" t="str">
        <x:f>_xlfn.XLOOKUP($A1525,Games!$A$2:$A$18,Games!$Q$2:$Q$18,"Missing game",0)</x:f>
      </x:c>
      <x:c r="AW1525" t="str">
        <x:f>_xlfn.XLOOKUP($A1525,Games!$A$2:$A$18,Games!$R$2:$R$18,"Missing game",0)</x:f>
        <x:v>U.S. Bank Stadium</x:v>
      </x:c>
    </x:row>
    <x:row r="1526">
      <x:c r="A1526" t="str">
        <x:v>2025_10_BAL_MIN</x:v>
      </x:c>
      <x:c r="B1526" t="n">
        <x:v>4343</x:v>
      </x:c>
      <x:c r="C1526" t="n">
        <x:v>4</x:v>
      </x:c>
      <x:c r="D1526" t="str">
        <x:v>01:55</x:v>
      </x:c>
      <x:c r="E1526" t="n">
        <x:v>4</x:v>
      </x:c>
      <x:c r="F1526" t="n">
        <x:v>4</x:v>
      </x:c>
      <x:c r="G1526" t="str">
        <x:v>BAL</x:v>
      </x:c>
      <x:c r="H1526" t="str">
        <x:v>MIN</x:v>
      </x:c>
      <x:c r="I1526" t="str">
        <x:v>BAL</x:v>
      </x:c>
      <x:c r="J1526" t="n">
        <x:v>65</x:v>
      </x:c>
      <x:c r="K1526" t="str">
        <x:v>(1:55) 11-J.Stout punts 50 yards to MIN 15, Center-46-N.Moore. 4-M.Price to MIN 27 for 12 yards (35-J.Hummel). PENALTY on MIN-6-D.McGlothern, Offensive Holding, 7 yards, enforced at MIN 15.</x:v>
      </x:c>
      <x:c r="L1526" t="str">
        <x:v>punt</x:v>
      </x:c>
      <x:c r="M1526" t="n">
        <x:v>0</x:v>
      </x:c>
      <x:c r="N1526" t="n">
        <x:v>0</x:v>
      </x:c>
      <x:c r="O1526" t="n">
        <x:v>0</x:v>
      </x:c>
      <x:c r="P1526"/>
      <x:c r="Q1526"/>
      <x:c r="R1526"/>
      <x:c r="S1526"/>
      <x:c r="T1526"/>
      <x:c r="U1526"/>
      <x:c r="V1526" t="n">
        <x:v>0</x:v>
      </x:c>
      <x:c r="W1526" t="n">
        <x:v>0</x:v>
      </x:c>
      <x:c r="X1526" t="n">
        <x:v>0</x:v>
      </x:c>
      <x:c r="Y1526" t="n">
        <x:v>0</x:v>
      </x:c>
      <x:c r="Z1526" t="n">
        <x:v>0</x:v>
      </x:c>
      <x:c r="AA1526" t="n">
        <x:v>1</x:v>
      </x:c>
      <x:c r="AB1526" t="n">
        <x:v>7</x:v>
      </x:c>
      <x:c r="AC1526" t="n">
        <x:v>0</x:v>
      </x:c>
      <x:c r="AD1526" t="n">
        <x:v>0.12809581845067441</x:v>
      </x:c>
      <x:c r="AE1526" t="n">
        <x:v>1</x:v>
      </x:c>
      <x:c r="AF1526" t="n">
        <x:v>0.0035413894802331924</x:v>
      </x:c>
      <x:c r="AG1526" t="n">
        <x:f>_xlfn.XLOOKUP($A1526,Games!$A$2:$A$18,Games!$B$2:$B$18,"Missing game",0)</x:f>
        <x:v>2025</x:v>
      </x:c>
      <x:c r="AH1526" t="str">
        <x:f>_xlfn.XLOOKUP($A1526,Games!$A$2:$A$18,Games!$C$2:$C$18,"Missing game",0)</x:f>
        <x:v>REG</x:v>
      </x:c>
      <x:c r="AI1526" t="n">
        <x:f>_xlfn.XLOOKUP($A1526,Games!$A$2:$A$18,Games!$D$2:$D$18,"Missing game",0)</x:f>
        <x:v>10</x:v>
      </x:c>
      <x:c r="AJ1526" s="1" t="n">
        <x:f>_xlfn.XLOOKUP($A1526,Games!$A$2:$A$18,Games!$E$2:$E$18,"Missing game",0)</x:f>
        <x:v>45970</x:v>
      </x:c>
      <x:c r="AK1526" t="str">
        <x:f>_xlfn.XLOOKUP($A1526,Games!$A$2:$A$18,Games!$F$2:$F$18,"Missing game",0)</x:f>
        <x:v>Sunday</x:v>
      </x:c>
      <x:c r="AL1526" t="str">
        <x:f>_xlfn.XLOOKUP($A1526,Games!$A$2:$A$18,Games!$G$2:$G$18,"Missing game",0)</x:f>
        <x:v>BAL</x:v>
      </x:c>
      <x:c r="AM1526" t="n">
        <x:f>_xlfn.XLOOKUP($A1526,Games!$A$2:$A$18,Games!$H$2:$H$18,"Missing game",0)</x:f>
        <x:v>27</x:v>
      </x:c>
      <x:c r="AN1526" t="str">
        <x:f>_xlfn.XLOOKUP($A1526,Games!$A$2:$A$18,Games!$I$2:$I$18,"Missing game",0)</x:f>
        <x:v>MIN</x:v>
      </x:c>
      <x:c r="AO1526" t="n">
        <x:f>_xlfn.XLOOKUP($A1526,Games!$A$2:$A$18,Games!$J$2:$J$18,"Missing game",0)</x:f>
        <x:v>19</x:v>
      </x:c>
      <x:c r="AP1526" t="n">
        <x:f>_xlfn.XLOOKUP($A1526,Games!$A$2:$A$18,Games!$K$2:$K$18,"Missing game",0)</x:f>
        <x:v>-8</x:v>
      </x:c>
      <x:c r="AQ1526" t="n">
        <x:f>_xlfn.XLOOKUP($A1526,Games!$A$2:$A$18,Games!$L$2:$L$18,"Missing game",0)</x:f>
        <x:v>46</x:v>
      </x:c>
      <x:c r="AR1526" t="n">
        <x:f>_xlfn.XLOOKUP($A1526,Games!$A$2:$A$18,Games!$M$2:$M$18,"Missing game",0)</x:f>
        <x:v>0</x:v>
      </x:c>
      <x:c r="AS1526" t="str">
        <x:f>_xlfn.XLOOKUP($A1526,Games!$A$2:$A$18,Games!$N$2:$N$18,"Missing game",0)</x:f>
        <x:v>dome</x:v>
      </x:c>
      <x:c r="AT1526" t="str">
        <x:f>_xlfn.XLOOKUP($A1526,Games!$A$2:$A$18,Games!$O$2:$O$18,"Missing game",0)</x:f>
        <x:v>sportturf</x:v>
      </x:c>
      <x:c r="AU1526" t="str">
        <x:f>_xlfn.XLOOKUP($A1526,Games!$A$2:$A$18,Games!$P$2:$P$18,"Missing game",0)</x:f>
      </x:c>
      <x:c r="AV1526" t="str">
        <x:f>_xlfn.XLOOKUP($A1526,Games!$A$2:$A$18,Games!$Q$2:$Q$18,"Missing game",0)</x:f>
      </x:c>
      <x:c r="AW1526" t="str">
        <x:f>_xlfn.XLOOKUP($A1526,Games!$A$2:$A$18,Games!$R$2:$R$18,"Missing game",0)</x:f>
        <x:v>U.S. Bank Stadium</x:v>
      </x:c>
    </x:row>
    <x:row r="1527">
      <x:c r="A1527" t="str">
        <x:v>2025_10_BAL_MIN</x:v>
      </x:c>
      <x:c r="B1527" t="n">
        <x:v>4380</x:v>
      </x:c>
      <x:c r="C1527" t="n">
        <x:v>4</x:v>
      </x:c>
      <x:c r="D1527" t="str">
        <x:v>01:44</x:v>
      </x:c>
      <x:c r="E1527" t="n">
        <x:v>1</x:v>
      </x:c>
      <x:c r="F1527" t="n">
        <x:v>10</x:v>
      </x:c>
      <x:c r="G1527" t="str">
        <x:v>MIN</x:v>
      </x:c>
      <x:c r="H1527" t="str">
        <x:v>BAL</x:v>
      </x:c>
      <x:c r="I1527" t="str">
        <x:v>MIN</x:v>
      </x:c>
      <x:c r="J1527" t="n">
        <x:v>92</x:v>
      </x:c>
      <x:c r="K1527" t="str">
        <x:v>(1:44) (Shotgun) 9-J.McCarthy pass incomplete deep left to 18-J.Jefferson.</x:v>
      </x:c>
      <x:c r="L1527" t="str">
        <x:v>pass</x:v>
      </x:c>
      <x:c r="M1527" t="n">
        <x:v>0</x:v>
      </x:c>
      <x:c r="N1527" t="n">
        <x:v>1</x:v>
      </x:c>
      <x:c r="O1527" t="n">
        <x:v>0</x:v>
      </x:c>
      <x:c r="P1527" t="str">
        <x:v>deep</x:v>
      </x:c>
      <x:c r="Q1527" t="str">
        <x:v>left</x:v>
      </x:c>
      <x:c r="R1527" t="n">
        <x:v>24</x:v>
      </x:c>
      <x:c r="S1527"/>
      <x:c r="T1527"/>
      <x:c r="U1527"/>
      <x:c r="V1527" t="n">
        <x:v>0</x:v>
      </x:c>
      <x:c r="W1527" t="n">
        <x:v>0</x:v>
      </x:c>
      <x:c r="X1527" t="n">
        <x:v>0</x:v>
      </x:c>
      <x:c r="Y1527" t="n">
        <x:v>0</x:v>
      </x:c>
      <x:c r="Z1527" t="n">
        <x:v>0</x:v>
      </x:c>
      <x:c r="AA1527" t="n">
        <x:v>0</x:v>
      </x:c>
      <x:c r="AB1527"/>
      <x:c r="AC1527" t="n">
        <x:v>0</x:v>
      </x:c>
      <x:c r="AD1527" t="n">
        <x:v>-0.1522465159650892</x:v>
      </x:c>
      <x:c r="AE1527" t="n">
        <x:v>0</x:v>
      </x:c>
      <x:c r="AF1527" t="n">
        <x:v>-0.007040578871965408</x:v>
      </x:c>
      <x:c r="AG1527" t="n">
        <x:f>_xlfn.XLOOKUP($A1527,Games!$A$2:$A$18,Games!$B$2:$B$18,"Missing game",0)</x:f>
        <x:v>2025</x:v>
      </x:c>
      <x:c r="AH1527" t="str">
        <x:f>_xlfn.XLOOKUP($A1527,Games!$A$2:$A$18,Games!$C$2:$C$18,"Missing game",0)</x:f>
        <x:v>REG</x:v>
      </x:c>
      <x:c r="AI1527" t="n">
        <x:f>_xlfn.XLOOKUP($A1527,Games!$A$2:$A$18,Games!$D$2:$D$18,"Missing game",0)</x:f>
        <x:v>10</x:v>
      </x:c>
      <x:c r="AJ1527" s="1" t="n">
        <x:f>_xlfn.XLOOKUP($A1527,Games!$A$2:$A$18,Games!$E$2:$E$18,"Missing game",0)</x:f>
        <x:v>45970</x:v>
      </x:c>
      <x:c r="AK1527" t="str">
        <x:f>_xlfn.XLOOKUP($A1527,Games!$A$2:$A$18,Games!$F$2:$F$18,"Missing game",0)</x:f>
        <x:v>Sunday</x:v>
      </x:c>
      <x:c r="AL1527" t="str">
        <x:f>_xlfn.XLOOKUP($A1527,Games!$A$2:$A$18,Games!$G$2:$G$18,"Missing game",0)</x:f>
        <x:v>BAL</x:v>
      </x:c>
      <x:c r="AM1527" t="n">
        <x:f>_xlfn.XLOOKUP($A1527,Games!$A$2:$A$18,Games!$H$2:$H$18,"Missing game",0)</x:f>
        <x:v>27</x:v>
      </x:c>
      <x:c r="AN1527" t="str">
        <x:f>_xlfn.XLOOKUP($A1527,Games!$A$2:$A$18,Games!$I$2:$I$18,"Missing game",0)</x:f>
        <x:v>MIN</x:v>
      </x:c>
      <x:c r="AO1527" t="n">
        <x:f>_xlfn.XLOOKUP($A1527,Games!$A$2:$A$18,Games!$J$2:$J$18,"Missing game",0)</x:f>
        <x:v>19</x:v>
      </x:c>
      <x:c r="AP1527" t="n">
        <x:f>_xlfn.XLOOKUP($A1527,Games!$A$2:$A$18,Games!$K$2:$K$18,"Missing game",0)</x:f>
        <x:v>-8</x:v>
      </x:c>
      <x:c r="AQ1527" t="n">
        <x:f>_xlfn.XLOOKUP($A1527,Games!$A$2:$A$18,Games!$L$2:$L$18,"Missing game",0)</x:f>
        <x:v>46</x:v>
      </x:c>
      <x:c r="AR1527" t="n">
        <x:f>_xlfn.XLOOKUP($A1527,Games!$A$2:$A$18,Games!$M$2:$M$18,"Missing game",0)</x:f>
        <x:v>0</x:v>
      </x:c>
      <x:c r="AS1527" t="str">
        <x:f>_xlfn.XLOOKUP($A1527,Games!$A$2:$A$18,Games!$N$2:$N$18,"Missing game",0)</x:f>
        <x:v>dome</x:v>
      </x:c>
      <x:c r="AT1527" t="str">
        <x:f>_xlfn.XLOOKUP($A1527,Games!$A$2:$A$18,Games!$O$2:$O$18,"Missing game",0)</x:f>
        <x:v>sportturf</x:v>
      </x:c>
      <x:c r="AU1527" t="str">
        <x:f>_xlfn.XLOOKUP($A1527,Games!$A$2:$A$18,Games!$P$2:$P$18,"Missing game",0)</x:f>
      </x:c>
      <x:c r="AV1527" t="str">
        <x:f>_xlfn.XLOOKUP($A1527,Games!$A$2:$A$18,Games!$Q$2:$Q$18,"Missing game",0)</x:f>
      </x:c>
      <x:c r="AW1527" t="str">
        <x:f>_xlfn.XLOOKUP($A1527,Games!$A$2:$A$18,Games!$R$2:$R$18,"Missing game",0)</x:f>
        <x:v>U.S. Bank Stadium</x:v>
      </x:c>
    </x:row>
    <x:row r="1528">
      <x:c r="A1528" t="str">
        <x:v>2025_10_BAL_MIN</x:v>
      </x:c>
      <x:c r="B1528" t="n">
        <x:v>4403</x:v>
      </x:c>
      <x:c r="C1528" t="n">
        <x:v>4</x:v>
      </x:c>
      <x:c r="D1528" t="str">
        <x:v>01:39</x:v>
      </x:c>
      <x:c r="E1528" t="n">
        <x:v>2</x:v>
      </x:c>
      <x:c r="F1528" t="n">
        <x:v>10</x:v>
      </x:c>
      <x:c r="G1528" t="str">
        <x:v>MIN</x:v>
      </x:c>
      <x:c r="H1528" t="str">
        <x:v>BAL</x:v>
      </x:c>
      <x:c r="I1528" t="str">
        <x:v>MIN</x:v>
      </x:c>
      <x:c r="J1528" t="n">
        <x:v>92</x:v>
      </x:c>
      <x:c r="K1528" t="str">
        <x:v>(1:39) (Shotgun) 9-J.McCarthy scrambles right end to MIN 34 for 26 yards (12-A.Gilman).</x:v>
      </x:c>
      <x:c r="L1528" t="str">
        <x:v>run</x:v>
      </x:c>
      <x:c r="M1528" t="n">
        <x:v>26</x:v>
      </x:c>
      <x:c r="N1528" t="n">
        <x:v>1</x:v>
      </x:c>
      <x:c r="O1528" t="n">
        <x:v>0</x:v>
      </x:c>
      <x:c r="P1528"/>
      <x:c r="Q1528"/>
      <x:c r="R1528"/>
      <x:c r="S1528"/>
      <x:c r="T1528" t="str">
        <x:v>right</x:v>
      </x:c>
      <x:c r="U1528" t="str">
        <x:v>end</x:v>
      </x:c>
      <x:c r="V1528" t="n">
        <x:v>0</x:v>
      </x:c>
      <x:c r="W1528" t="n">
        <x:v>1</x:v>
      </x:c>
      <x:c r="X1528" t="n">
        <x:v>0</x:v>
      </x:c>
      <x:c r="Y1528" t="n">
        <x:v>0</x:v>
      </x:c>
      <x:c r="Z1528" t="n">
        <x:v>0</x:v>
      </x:c>
      <x:c r="AA1528" t="n">
        <x:v>0</x:v>
      </x:c>
      <x:c r="AB1528"/>
      <x:c r="AC1528" t="n">
        <x:v>0</x:v>
      </x:c>
      <x:c r="AD1528" t="n">
        <x:v>0.6514749376801774</x:v>
      </x:c>
      <x:c r="AE1528" t="n">
        <x:v>1</x:v>
      </x:c>
      <x:c r="AF1528" t="n">
        <x:v>0.02614491991698742</x:v>
      </x:c>
      <x:c r="AG1528" t="n">
        <x:f>_xlfn.XLOOKUP($A1528,Games!$A$2:$A$18,Games!$B$2:$B$18,"Missing game",0)</x:f>
        <x:v>2025</x:v>
      </x:c>
      <x:c r="AH1528" t="str">
        <x:f>_xlfn.XLOOKUP($A1528,Games!$A$2:$A$18,Games!$C$2:$C$18,"Missing game",0)</x:f>
        <x:v>REG</x:v>
      </x:c>
      <x:c r="AI1528" t="n">
        <x:f>_xlfn.XLOOKUP($A1528,Games!$A$2:$A$18,Games!$D$2:$D$18,"Missing game",0)</x:f>
        <x:v>10</x:v>
      </x:c>
      <x:c r="AJ1528" s="1" t="n">
        <x:f>_xlfn.XLOOKUP($A1528,Games!$A$2:$A$18,Games!$E$2:$E$18,"Missing game",0)</x:f>
        <x:v>45970</x:v>
      </x:c>
      <x:c r="AK1528" t="str">
        <x:f>_xlfn.XLOOKUP($A1528,Games!$A$2:$A$18,Games!$F$2:$F$18,"Missing game",0)</x:f>
        <x:v>Sunday</x:v>
      </x:c>
      <x:c r="AL1528" t="str">
        <x:f>_xlfn.XLOOKUP($A1528,Games!$A$2:$A$18,Games!$G$2:$G$18,"Missing game",0)</x:f>
        <x:v>BAL</x:v>
      </x:c>
      <x:c r="AM1528" t="n">
        <x:f>_xlfn.XLOOKUP($A1528,Games!$A$2:$A$18,Games!$H$2:$H$18,"Missing game",0)</x:f>
        <x:v>27</x:v>
      </x:c>
      <x:c r="AN1528" t="str">
        <x:f>_xlfn.XLOOKUP($A1528,Games!$A$2:$A$18,Games!$I$2:$I$18,"Missing game",0)</x:f>
        <x:v>MIN</x:v>
      </x:c>
      <x:c r="AO1528" t="n">
        <x:f>_xlfn.XLOOKUP($A1528,Games!$A$2:$A$18,Games!$J$2:$J$18,"Missing game",0)</x:f>
        <x:v>19</x:v>
      </x:c>
      <x:c r="AP1528" t="n">
        <x:f>_xlfn.XLOOKUP($A1528,Games!$A$2:$A$18,Games!$K$2:$K$18,"Missing game",0)</x:f>
        <x:v>-8</x:v>
      </x:c>
      <x:c r="AQ1528" t="n">
        <x:f>_xlfn.XLOOKUP($A1528,Games!$A$2:$A$18,Games!$L$2:$L$18,"Missing game",0)</x:f>
        <x:v>46</x:v>
      </x:c>
      <x:c r="AR1528" t="n">
        <x:f>_xlfn.XLOOKUP($A1528,Games!$A$2:$A$18,Games!$M$2:$M$18,"Missing game",0)</x:f>
        <x:v>0</x:v>
      </x:c>
      <x:c r="AS1528" t="str">
        <x:f>_xlfn.XLOOKUP($A1528,Games!$A$2:$A$18,Games!$N$2:$N$18,"Missing game",0)</x:f>
        <x:v>dome</x:v>
      </x:c>
      <x:c r="AT1528" t="str">
        <x:f>_xlfn.XLOOKUP($A1528,Games!$A$2:$A$18,Games!$O$2:$O$18,"Missing game",0)</x:f>
        <x:v>sportturf</x:v>
      </x:c>
      <x:c r="AU1528" t="str">
        <x:f>_xlfn.XLOOKUP($A1528,Games!$A$2:$A$18,Games!$P$2:$P$18,"Missing game",0)</x:f>
      </x:c>
      <x:c r="AV1528" t="str">
        <x:f>_xlfn.XLOOKUP($A1528,Games!$A$2:$A$18,Games!$Q$2:$Q$18,"Missing game",0)</x:f>
      </x:c>
      <x:c r="AW1528" t="str">
        <x:f>_xlfn.XLOOKUP($A1528,Games!$A$2:$A$18,Games!$R$2:$R$18,"Missing game",0)</x:f>
        <x:v>U.S. Bank Stadium</x:v>
      </x:c>
    </x:row>
    <x:row r="1529">
      <x:c r="A1529" t="str">
        <x:v>2025_10_BAL_MIN</x:v>
      </x:c>
      <x:c r="B1529" t="n">
        <x:v>4425</x:v>
      </x:c>
      <x:c r="C1529" t="n">
        <x:v>4</x:v>
      </x:c>
      <x:c r="D1529" t="str">
        <x:v>01:14</x:v>
      </x:c>
      <x:c r="E1529" t="n">
        <x:v>1</x:v>
      </x:c>
      <x:c r="F1529" t="n">
        <x:v>10</x:v>
      </x:c>
      <x:c r="G1529" t="str">
        <x:v>MIN</x:v>
      </x:c>
      <x:c r="H1529" t="str">
        <x:v>BAL</x:v>
      </x:c>
      <x:c r="I1529" t="str">
        <x:v>MIN</x:v>
      </x:c>
      <x:c r="J1529" t="n">
        <x:v>66</x:v>
      </x:c>
      <x:c r="K1529" t="str">
        <x:v>(1:14) (No Huddle, Shotgun) 9-J.McCarthy pass short right to 87-T.Hockenson to MIN 38 for 4 yards (38-K.Martin) [45-M.Green].</x:v>
      </x:c>
      <x:c r="L1529" t="str">
        <x:v>pass</x:v>
      </x:c>
      <x:c r="M1529" t="n">
        <x:v>4</x:v>
      </x:c>
      <x:c r="N1529" t="n">
        <x:v>1</x:v>
      </x:c>
      <x:c r="O1529" t="n">
        <x:v>1</x:v>
      </x:c>
      <x:c r="P1529" t="str">
        <x:v>short</x:v>
      </x:c>
      <x:c r="Q1529" t="str">
        <x:v>right</x:v>
      </x:c>
      <x:c r="R1529" t="n">
        <x:v>4</x:v>
      </x:c>
      <x:c r="S1529" t="n">
        <x:v>0</x:v>
      </x:c>
      <x:c r="T1529"/>
      <x:c r="U1529"/>
      <x:c r="V1529" t="n">
        <x:v>1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0</x:v>
      </x:c>
      <x:c r="AB1529"/>
      <x:c r="AC1529" t="n">
        <x:v>0</x:v>
      </x:c>
      <x:c r="AD1529" t="n">
        <x:v>-0.0614606742747128</x:v>
      </x:c>
      <x:c r="AE1529" t="n">
        <x:v>0</x:v>
      </x:c>
      <x:c r="AF1529" t="n">
        <x:v>-0.005461838096380234</x:v>
      </x:c>
      <x:c r="AG1529" t="n">
        <x:f>_xlfn.XLOOKUP($A1529,Games!$A$2:$A$18,Games!$B$2:$B$18,"Missing game",0)</x:f>
        <x:v>2025</x:v>
      </x:c>
      <x:c r="AH1529" t="str">
        <x:f>_xlfn.XLOOKUP($A1529,Games!$A$2:$A$18,Games!$C$2:$C$18,"Missing game",0)</x:f>
        <x:v>REG</x:v>
      </x:c>
      <x:c r="AI1529" t="n">
        <x:f>_xlfn.XLOOKUP($A1529,Games!$A$2:$A$18,Games!$D$2:$D$18,"Missing game",0)</x:f>
        <x:v>10</x:v>
      </x:c>
      <x:c r="AJ1529" s="1" t="n">
        <x:f>_xlfn.XLOOKUP($A1529,Games!$A$2:$A$18,Games!$E$2:$E$18,"Missing game",0)</x:f>
        <x:v>45970</x:v>
      </x:c>
      <x:c r="AK1529" t="str">
        <x:f>_xlfn.XLOOKUP($A1529,Games!$A$2:$A$18,Games!$F$2:$F$18,"Missing game",0)</x:f>
        <x:v>Sunday</x:v>
      </x:c>
      <x:c r="AL1529" t="str">
        <x:f>_xlfn.XLOOKUP($A1529,Games!$A$2:$A$18,Games!$G$2:$G$18,"Missing game",0)</x:f>
        <x:v>BAL</x:v>
      </x:c>
      <x:c r="AM1529" t="n">
        <x:f>_xlfn.XLOOKUP($A1529,Games!$A$2:$A$18,Games!$H$2:$H$18,"Missing game",0)</x:f>
        <x:v>27</x:v>
      </x:c>
      <x:c r="AN1529" t="str">
        <x:f>_xlfn.XLOOKUP($A1529,Games!$A$2:$A$18,Games!$I$2:$I$18,"Missing game",0)</x:f>
        <x:v>MIN</x:v>
      </x:c>
      <x:c r="AO1529" t="n">
        <x:f>_xlfn.XLOOKUP($A1529,Games!$A$2:$A$18,Games!$J$2:$J$18,"Missing game",0)</x:f>
        <x:v>19</x:v>
      </x:c>
      <x:c r="AP1529" t="n">
        <x:f>_xlfn.XLOOKUP($A1529,Games!$A$2:$A$18,Games!$K$2:$K$18,"Missing game",0)</x:f>
        <x:v>-8</x:v>
      </x:c>
      <x:c r="AQ1529" t="n">
        <x:f>_xlfn.XLOOKUP($A1529,Games!$A$2:$A$18,Games!$L$2:$L$18,"Missing game",0)</x:f>
        <x:v>46</x:v>
      </x:c>
      <x:c r="AR1529" t="n">
        <x:f>_xlfn.XLOOKUP($A1529,Games!$A$2:$A$18,Games!$M$2:$M$18,"Missing game",0)</x:f>
        <x:v>0</x:v>
      </x:c>
      <x:c r="AS1529" t="str">
        <x:f>_xlfn.XLOOKUP($A1529,Games!$A$2:$A$18,Games!$N$2:$N$18,"Missing game",0)</x:f>
        <x:v>dome</x:v>
      </x:c>
      <x:c r="AT1529" t="str">
        <x:f>_xlfn.XLOOKUP($A1529,Games!$A$2:$A$18,Games!$O$2:$O$18,"Missing game",0)</x:f>
        <x:v>sportturf</x:v>
      </x:c>
      <x:c r="AU1529" t="str">
        <x:f>_xlfn.XLOOKUP($A1529,Games!$A$2:$A$18,Games!$P$2:$P$18,"Missing game",0)</x:f>
      </x:c>
      <x:c r="AV1529" t="str">
        <x:f>_xlfn.XLOOKUP($A1529,Games!$A$2:$A$18,Games!$Q$2:$Q$18,"Missing game",0)</x:f>
      </x:c>
      <x:c r="AW1529" t="str">
        <x:f>_xlfn.XLOOKUP($A1529,Games!$A$2:$A$18,Games!$R$2:$R$18,"Missing game",0)</x:f>
        <x:v>U.S. Bank Stadium</x:v>
      </x:c>
    </x:row>
    <x:row r="1530">
      <x:c r="A1530" t="str">
        <x:v>2025_10_BAL_MIN</x:v>
      </x:c>
      <x:c r="B1530" t="n">
        <x:v>4450</x:v>
      </x:c>
      <x:c r="C1530" t="n">
        <x:v>4</x:v>
      </x:c>
      <x:c r="D1530" t="str">
        <x:v>00:52</x:v>
      </x:c>
      <x:c r="E1530" t="n">
        <x:v>2</x:v>
      </x:c>
      <x:c r="F1530" t="n">
        <x:v>6</x:v>
      </x:c>
      <x:c r="G1530" t="str">
        <x:v>MIN</x:v>
      </x:c>
      <x:c r="H1530" t="str">
        <x:v>BAL</x:v>
      </x:c>
      <x:c r="I1530" t="str">
        <x:v>MIN</x:v>
      </x:c>
      <x:c r="J1530" t="n">
        <x:v>62</x:v>
      </x:c>
      <x:c r="K1530" t="str">
        <x:v>(:52) (No Huddle, Shotgun) 9-J.McCarthy pass incomplete deep right to 1-J.Nailor [41-D.Jones].</x:v>
      </x:c>
      <x:c r="L1530" t="str">
        <x:v>pass</x:v>
      </x:c>
      <x:c r="M1530" t="n">
        <x:v>0</x:v>
      </x:c>
      <x:c r="N1530" t="n">
        <x:v>1</x:v>
      </x:c>
      <x:c r="O1530" t="n">
        <x:v>1</x:v>
      </x:c>
      <x:c r="P1530" t="str">
        <x:v>deep</x:v>
      </x:c>
      <x:c r="Q1530" t="str">
        <x:v>right</x:v>
      </x:c>
      <x:c r="R1530" t="n">
        <x:v>19</x:v>
      </x:c>
      <x:c r="S1530"/>
      <x:c r="T1530"/>
      <x:c r="U1530"/>
      <x:c r="V1530" t="n">
        <x:v>0</x:v>
      </x:c>
      <x:c r="W1530" t="n">
        <x:v>0</x:v>
      </x:c>
      <x:c r="X1530" t="n">
        <x:v>0</x:v>
      </x:c>
      <x:c r="Y1530" t="n">
        <x:v>0</x:v>
      </x:c>
      <x:c r="Z1530" t="n">
        <x:v>0</x:v>
      </x:c>
      <x:c r="AA1530" t="n">
        <x:v>0</x:v>
      </x:c>
      <x:c r="AB1530"/>
      <x:c r="AC1530" t="n">
        <x:v>0</x:v>
      </x:c>
      <x:c r="AD1530" t="n">
        <x:v>-0.4460309458663687</x:v>
      </x:c>
      <x:c r="AE1530" t="n">
        <x:v>0</x:v>
      </x:c>
      <x:c r="AF1530" t="n">
        <x:v>-0.0025908425450325012</x:v>
      </x:c>
      <x:c r="AG1530" t="n">
        <x:f>_xlfn.XLOOKUP($A1530,Games!$A$2:$A$18,Games!$B$2:$B$18,"Missing game",0)</x:f>
        <x:v>2025</x:v>
      </x:c>
      <x:c r="AH1530" t="str">
        <x:f>_xlfn.XLOOKUP($A1530,Games!$A$2:$A$18,Games!$C$2:$C$18,"Missing game",0)</x:f>
        <x:v>REG</x:v>
      </x:c>
      <x:c r="AI1530" t="n">
        <x:f>_xlfn.XLOOKUP($A1530,Games!$A$2:$A$18,Games!$D$2:$D$18,"Missing game",0)</x:f>
        <x:v>10</x:v>
      </x:c>
      <x:c r="AJ1530" s="1" t="n">
        <x:f>_xlfn.XLOOKUP($A1530,Games!$A$2:$A$18,Games!$E$2:$E$18,"Missing game",0)</x:f>
        <x:v>45970</x:v>
      </x:c>
      <x:c r="AK1530" t="str">
        <x:f>_xlfn.XLOOKUP($A1530,Games!$A$2:$A$18,Games!$F$2:$F$18,"Missing game",0)</x:f>
        <x:v>Sunday</x:v>
      </x:c>
      <x:c r="AL1530" t="str">
        <x:f>_xlfn.XLOOKUP($A1530,Games!$A$2:$A$18,Games!$G$2:$G$18,"Missing game",0)</x:f>
        <x:v>BAL</x:v>
      </x:c>
      <x:c r="AM1530" t="n">
        <x:f>_xlfn.XLOOKUP($A1530,Games!$A$2:$A$18,Games!$H$2:$H$18,"Missing game",0)</x:f>
        <x:v>27</x:v>
      </x:c>
      <x:c r="AN1530" t="str">
        <x:f>_xlfn.XLOOKUP($A1530,Games!$A$2:$A$18,Games!$I$2:$I$18,"Missing game",0)</x:f>
        <x:v>MIN</x:v>
      </x:c>
      <x:c r="AO1530" t="n">
        <x:f>_xlfn.XLOOKUP($A1530,Games!$A$2:$A$18,Games!$J$2:$J$18,"Missing game",0)</x:f>
        <x:v>19</x:v>
      </x:c>
      <x:c r="AP1530" t="n">
        <x:f>_xlfn.XLOOKUP($A1530,Games!$A$2:$A$18,Games!$K$2:$K$18,"Missing game",0)</x:f>
        <x:v>-8</x:v>
      </x:c>
      <x:c r="AQ1530" t="n">
        <x:f>_xlfn.XLOOKUP($A1530,Games!$A$2:$A$18,Games!$L$2:$L$18,"Missing game",0)</x:f>
        <x:v>46</x:v>
      </x:c>
      <x:c r="AR1530" t="n">
        <x:f>_xlfn.XLOOKUP($A1530,Games!$A$2:$A$18,Games!$M$2:$M$18,"Missing game",0)</x:f>
        <x:v>0</x:v>
      </x:c>
      <x:c r="AS1530" t="str">
        <x:f>_xlfn.XLOOKUP($A1530,Games!$A$2:$A$18,Games!$N$2:$N$18,"Missing game",0)</x:f>
        <x:v>dome</x:v>
      </x:c>
      <x:c r="AT1530" t="str">
        <x:f>_xlfn.XLOOKUP($A1530,Games!$A$2:$A$18,Games!$O$2:$O$18,"Missing game",0)</x:f>
        <x:v>sportturf</x:v>
      </x:c>
      <x:c r="AU1530" t="str">
        <x:f>_xlfn.XLOOKUP($A1530,Games!$A$2:$A$18,Games!$P$2:$P$18,"Missing game",0)</x:f>
      </x:c>
      <x:c r="AV1530" t="str">
        <x:f>_xlfn.XLOOKUP($A1530,Games!$A$2:$A$18,Games!$Q$2:$Q$18,"Missing game",0)</x:f>
      </x:c>
      <x:c r="AW1530" t="str">
        <x:f>_xlfn.XLOOKUP($A1530,Games!$A$2:$A$18,Games!$R$2:$R$18,"Missing game",0)</x:f>
        <x:v>U.S. Bank Stadium</x:v>
      </x:c>
    </x:row>
    <x:row r="1531">
      <x:c r="A1531" t="str">
        <x:v>2025_10_BAL_MIN</x:v>
      </x:c>
      <x:c r="B1531" t="n">
        <x:v>4473</x:v>
      </x:c>
      <x:c r="C1531" t="n">
        <x:v>4</x:v>
      </x:c>
      <x:c r="D1531" t="str">
        <x:v>00:47</x:v>
      </x:c>
      <x:c r="E1531" t="n">
        <x:v>3</x:v>
      </x:c>
      <x:c r="F1531" t="n">
        <x:v>6</x:v>
      </x:c>
      <x:c r="G1531" t="str">
        <x:v>MIN</x:v>
      </x:c>
      <x:c r="H1531" t="str">
        <x:v>BAL</x:v>
      </x:c>
      <x:c r="I1531" t="str">
        <x:v>MIN</x:v>
      </x:c>
      <x:c r="J1531" t="n">
        <x:v>62</x:v>
      </x:c>
      <x:c r="K1531" t="str">
        <x:v>(:47) (Shotgun) PENALTY on MIN-75-B.O'Neill, False Start, 5 yards, enforced at MIN 38 - No Play.</x:v>
      </x:c>
      <x:c r="L1531" t="str">
        <x:v>no_play</x:v>
      </x:c>
      <x:c r="M1531" t="n">
        <x:v>0</x:v>
      </x:c>
      <x:c r="N1531" t="n">
        <x:v>1</x:v>
      </x:c>
      <x:c r="O1531" t="n">
        <x:v>0</x:v>
      </x:c>
      <x:c r="P1531"/>
      <x:c r="Q1531"/>
      <x:c r="R1531"/>
      <x:c r="S1531"/>
      <x:c r="T1531"/>
      <x:c r="U1531"/>
      <x:c r="V1531" t="n">
        <x:v>0</x:v>
      </x:c>
      <x:c r="W1531" t="n">
        <x:v>0</x:v>
      </x:c>
      <x:c r="X1531" t="n">
        <x:v>0</x:v>
      </x:c>
      <x:c r="Y1531" t="n">
        <x:v>0</x:v>
      </x:c>
      <x:c r="Z1531" t="n">
        <x:v>0</x:v>
      </x:c>
      <x:c r="AA1531" t="n">
        <x:v>1</x:v>
      </x:c>
      <x:c r="AB1531" t="n">
        <x:v>5</x:v>
      </x:c>
      <x:c r="AC1531" t="n">
        <x:v>0</x:v>
      </x:c>
      <x:c r="AD1531" t="n">
        <x:v>-0.22076309117255732</x:v>
      </x:c>
      <x:c r="AE1531" t="n">
        <x:v>0</x:v>
      </x:c>
      <x:c r="AF1531" t="n">
        <x:v>-0.009653987362980843</x:v>
      </x:c>
      <x:c r="AG1531" t="n">
        <x:f>_xlfn.XLOOKUP($A1531,Games!$A$2:$A$18,Games!$B$2:$B$18,"Missing game",0)</x:f>
        <x:v>2025</x:v>
      </x:c>
      <x:c r="AH1531" t="str">
        <x:f>_xlfn.XLOOKUP($A1531,Games!$A$2:$A$18,Games!$C$2:$C$18,"Missing game",0)</x:f>
        <x:v>REG</x:v>
      </x:c>
      <x:c r="AI1531" t="n">
        <x:f>_xlfn.XLOOKUP($A1531,Games!$A$2:$A$18,Games!$D$2:$D$18,"Missing game",0)</x:f>
        <x:v>10</x:v>
      </x:c>
      <x:c r="AJ1531" s="1" t="n">
        <x:f>_xlfn.XLOOKUP($A1531,Games!$A$2:$A$18,Games!$E$2:$E$18,"Missing game",0)</x:f>
        <x:v>45970</x:v>
      </x:c>
      <x:c r="AK1531" t="str">
        <x:f>_xlfn.XLOOKUP($A1531,Games!$A$2:$A$18,Games!$F$2:$F$18,"Missing game",0)</x:f>
        <x:v>Sunday</x:v>
      </x:c>
      <x:c r="AL1531" t="str">
        <x:f>_xlfn.XLOOKUP($A1531,Games!$A$2:$A$18,Games!$G$2:$G$18,"Missing game",0)</x:f>
        <x:v>BAL</x:v>
      </x:c>
      <x:c r="AM1531" t="n">
        <x:f>_xlfn.XLOOKUP($A1531,Games!$A$2:$A$18,Games!$H$2:$H$18,"Missing game",0)</x:f>
        <x:v>27</x:v>
      </x:c>
      <x:c r="AN1531" t="str">
        <x:f>_xlfn.XLOOKUP($A1531,Games!$A$2:$A$18,Games!$I$2:$I$18,"Missing game",0)</x:f>
        <x:v>MIN</x:v>
      </x:c>
      <x:c r="AO1531" t="n">
        <x:f>_xlfn.XLOOKUP($A1531,Games!$A$2:$A$18,Games!$J$2:$J$18,"Missing game",0)</x:f>
        <x:v>19</x:v>
      </x:c>
      <x:c r="AP1531" t="n">
        <x:f>_xlfn.XLOOKUP($A1531,Games!$A$2:$A$18,Games!$K$2:$K$18,"Missing game",0)</x:f>
        <x:v>-8</x:v>
      </x:c>
      <x:c r="AQ1531" t="n">
        <x:f>_xlfn.XLOOKUP($A1531,Games!$A$2:$A$18,Games!$L$2:$L$18,"Missing game",0)</x:f>
        <x:v>46</x:v>
      </x:c>
      <x:c r="AR1531" t="n">
        <x:f>_xlfn.XLOOKUP($A1531,Games!$A$2:$A$18,Games!$M$2:$M$18,"Missing game",0)</x:f>
        <x:v>0</x:v>
      </x:c>
      <x:c r="AS1531" t="str">
        <x:f>_xlfn.XLOOKUP($A1531,Games!$A$2:$A$18,Games!$N$2:$N$18,"Missing game",0)</x:f>
        <x:v>dome</x:v>
      </x:c>
      <x:c r="AT1531" t="str">
        <x:f>_xlfn.XLOOKUP($A1531,Games!$A$2:$A$18,Games!$O$2:$O$18,"Missing game",0)</x:f>
        <x:v>sportturf</x:v>
      </x:c>
      <x:c r="AU1531" t="str">
        <x:f>_xlfn.XLOOKUP($A1531,Games!$A$2:$A$18,Games!$P$2:$P$18,"Missing game",0)</x:f>
      </x:c>
      <x:c r="AV1531" t="str">
        <x:f>_xlfn.XLOOKUP($A1531,Games!$A$2:$A$18,Games!$Q$2:$Q$18,"Missing game",0)</x:f>
      </x:c>
      <x:c r="AW1531" t="str">
        <x:f>_xlfn.XLOOKUP($A1531,Games!$A$2:$A$18,Games!$R$2:$R$18,"Missing game",0)</x:f>
        <x:v>U.S. Bank Stadium</x:v>
      </x:c>
    </x:row>
    <x:row r="1532">
      <x:c r="A1532" t="str">
        <x:v>2025_10_BAL_MIN</x:v>
      </x:c>
      <x:c r="B1532" t="n">
        <x:v>4497</x:v>
      </x:c>
      <x:c r="C1532" t="n">
        <x:v>4</x:v>
      </x:c>
      <x:c r="D1532" t="str">
        <x:v>00:47</x:v>
      </x:c>
      <x:c r="E1532" t="n">
        <x:v>3</x:v>
      </x:c>
      <x:c r="F1532" t="n">
        <x:v>11</x:v>
      </x:c>
      <x:c r="G1532" t="str">
        <x:v>MIN</x:v>
      </x:c>
      <x:c r="H1532" t="str">
        <x:v>BAL</x:v>
      </x:c>
      <x:c r="I1532" t="str">
        <x:v>MIN</x:v>
      </x:c>
      <x:c r="J1532" t="n">
        <x:v>67</x:v>
      </x:c>
      <x:c r="K1532" t="str">
        <x:v>(:47) (Shotgun) 9-J.McCarthy scrambles left tackle to MIN 40 for 7 yards (38-K.Martin).</x:v>
      </x:c>
      <x:c r="L1532" t="str">
        <x:v>run</x:v>
      </x:c>
      <x:c r="M1532" t="n">
        <x:v>7</x:v>
      </x:c>
      <x:c r="N1532" t="n">
        <x:v>1</x:v>
      </x:c>
      <x:c r="O1532" t="n">
        <x:v>0</x:v>
      </x:c>
      <x:c r="P1532"/>
      <x:c r="Q1532"/>
      <x:c r="R1532"/>
      <x:c r="S1532"/>
      <x:c r="T1532" t="str">
        <x:v>left</x:v>
      </x:c>
      <x:c r="U1532" t="str">
        <x:v>tackle</x:v>
      </x:c>
      <x:c r="V1532" t="n">
        <x:v>0</x:v>
      </x:c>
      <x:c r="W1532" t="n">
        <x:v>0</x:v>
      </x:c>
      <x:c r="X1532" t="n">
        <x:v>0</x:v>
      </x:c>
      <x:c r="Y1532" t="n">
        <x:v>0</x:v>
      </x:c>
      <x:c r="Z1532" t="n">
        <x:v>0</x:v>
      </x:c>
      <x:c r="AA1532" t="n">
        <x:v>0</x:v>
      </x:c>
      <x:c r="AB1532"/>
      <x:c r="AC1532" t="n">
        <x:v>0</x:v>
      </x:c>
      <x:c r="AD1532" t="n">
        <x:v>-0.2574512811261229</x:v>
      </x:c>
      <x:c r="AE1532" t="n">
        <x:v>0</x:v>
      </x:c>
      <x:c r="AF1532" t="n">
        <x:v>-0.010587228462100029</x:v>
      </x:c>
      <x:c r="AG1532" t="n">
        <x:f>_xlfn.XLOOKUP($A1532,Games!$A$2:$A$18,Games!$B$2:$B$18,"Missing game",0)</x:f>
        <x:v>2025</x:v>
      </x:c>
      <x:c r="AH1532" t="str">
        <x:f>_xlfn.XLOOKUP($A1532,Games!$A$2:$A$18,Games!$C$2:$C$18,"Missing game",0)</x:f>
        <x:v>REG</x:v>
      </x:c>
      <x:c r="AI1532" t="n">
        <x:f>_xlfn.XLOOKUP($A1532,Games!$A$2:$A$18,Games!$D$2:$D$18,"Missing game",0)</x:f>
        <x:v>10</x:v>
      </x:c>
      <x:c r="AJ1532" s="1" t="n">
        <x:f>_xlfn.XLOOKUP($A1532,Games!$A$2:$A$18,Games!$E$2:$E$18,"Missing game",0)</x:f>
        <x:v>45970</x:v>
      </x:c>
      <x:c r="AK1532" t="str">
        <x:f>_xlfn.XLOOKUP($A1532,Games!$A$2:$A$18,Games!$F$2:$F$18,"Missing game",0)</x:f>
        <x:v>Sunday</x:v>
      </x:c>
      <x:c r="AL1532" t="str">
        <x:f>_xlfn.XLOOKUP($A1532,Games!$A$2:$A$18,Games!$G$2:$G$18,"Missing game",0)</x:f>
        <x:v>BAL</x:v>
      </x:c>
      <x:c r="AM1532" t="n">
        <x:f>_xlfn.XLOOKUP($A1532,Games!$A$2:$A$18,Games!$H$2:$H$18,"Missing game",0)</x:f>
        <x:v>27</x:v>
      </x:c>
      <x:c r="AN1532" t="str">
        <x:f>_xlfn.XLOOKUP($A1532,Games!$A$2:$A$18,Games!$I$2:$I$18,"Missing game",0)</x:f>
        <x:v>MIN</x:v>
      </x:c>
      <x:c r="AO1532" t="n">
        <x:f>_xlfn.XLOOKUP($A1532,Games!$A$2:$A$18,Games!$J$2:$J$18,"Missing game",0)</x:f>
        <x:v>19</x:v>
      </x:c>
      <x:c r="AP1532" t="n">
        <x:f>_xlfn.XLOOKUP($A1532,Games!$A$2:$A$18,Games!$K$2:$K$18,"Missing game",0)</x:f>
        <x:v>-8</x:v>
      </x:c>
      <x:c r="AQ1532" t="n">
        <x:f>_xlfn.XLOOKUP($A1532,Games!$A$2:$A$18,Games!$L$2:$L$18,"Missing game",0)</x:f>
        <x:v>46</x:v>
      </x:c>
      <x:c r="AR1532" t="n">
        <x:f>_xlfn.XLOOKUP($A1532,Games!$A$2:$A$18,Games!$M$2:$M$18,"Missing game",0)</x:f>
        <x:v>0</x:v>
      </x:c>
      <x:c r="AS1532" t="str">
        <x:f>_xlfn.XLOOKUP($A1532,Games!$A$2:$A$18,Games!$N$2:$N$18,"Missing game",0)</x:f>
        <x:v>dome</x:v>
      </x:c>
      <x:c r="AT1532" t="str">
        <x:f>_xlfn.XLOOKUP($A1532,Games!$A$2:$A$18,Games!$O$2:$O$18,"Missing game",0)</x:f>
        <x:v>sportturf</x:v>
      </x:c>
      <x:c r="AU1532" t="str">
        <x:f>_xlfn.XLOOKUP($A1532,Games!$A$2:$A$18,Games!$P$2:$P$18,"Missing game",0)</x:f>
      </x:c>
      <x:c r="AV1532" t="str">
        <x:f>_xlfn.XLOOKUP($A1532,Games!$A$2:$A$18,Games!$Q$2:$Q$18,"Missing game",0)</x:f>
      </x:c>
      <x:c r="AW1532" t="str">
        <x:f>_xlfn.XLOOKUP($A1532,Games!$A$2:$A$18,Games!$R$2:$R$18,"Missing game",0)</x:f>
        <x:v>U.S. Bank Stadium</x:v>
      </x:c>
    </x:row>
    <x:row r="1533">
      <x:c r="A1533" t="str">
        <x:v>2025_10_BAL_MIN</x:v>
      </x:c>
      <x:c r="B1533" t="n">
        <x:v>4519</x:v>
      </x:c>
      <x:c r="C1533" t="n">
        <x:v>4</x:v>
      </x:c>
      <x:c r="D1533" t="str">
        <x:v>00:21</x:v>
      </x:c>
      <x:c r="E1533" t="n">
        <x:v>4</x:v>
      </x:c>
      <x:c r="F1533" t="n">
        <x:v>4</x:v>
      </x:c>
      <x:c r="G1533" t="str">
        <x:v>MIN</x:v>
      </x:c>
      <x:c r="H1533" t="str">
        <x:v>BAL</x:v>
      </x:c>
      <x:c r="I1533" t="str">
        <x:v>MIN</x:v>
      </x:c>
      <x:c r="J1533" t="n">
        <x:v>60</x:v>
      </x:c>
      <x:c r="K1533" t="str">
        <x:v>(:21) (Shotgun) 9-J.McCarthy pass incomplete short left to 33-A.Jones [45-M.Green].</x:v>
      </x:c>
      <x:c r="L1533" t="str">
        <x:v>pass</x:v>
      </x:c>
      <x:c r="M1533" t="n">
        <x:v>0</x:v>
      </x:c>
      <x:c r="N1533" t="n">
        <x:v>1</x:v>
      </x:c>
      <x:c r="O1533" t="n">
        <x:v>0</x:v>
      </x:c>
      <x:c r="P1533" t="str">
        <x:v>short</x:v>
      </x:c>
      <x:c r="Q1533" t="str">
        <x:v>left</x:v>
      </x:c>
      <x:c r="R1533" t="n">
        <x:v>12</x:v>
      </x:c>
      <x:c r="S1533"/>
      <x:c r="T1533"/>
      <x:c r="U1533"/>
      <x:c r="V1533" t="n">
        <x:v>0</x:v>
      </x:c>
      <x:c r="W1533" t="n">
        <x:v>0</x:v>
      </x:c>
      <x:c r="X1533" t="n">
        <x:v>0</x:v>
      </x:c>
      <x:c r="Y1533" t="n">
        <x:v>0</x:v>
      </x:c>
      <x:c r="Z1533" t="n">
        <x:v>0</x:v>
      </x:c>
      <x:c r="AA1533" t="n">
        <x:v>0</x:v>
      </x:c>
      <x:c r="AB1533"/>
      <x:c r="AC1533" t="n">
        <x:v>0</x:v>
      </x:c>
      <x:c r="AD1533" t="n">
        <x:v>-1.5424227996263653</x:v>
      </x:c>
      <x:c r="AE1533" t="n">
        <x:v>0</x:v>
      </x:c>
      <x:c r="AF1533" t="n">
        <x:v>-0.015117835253477097</x:v>
      </x:c>
      <x:c r="AG1533" t="n">
        <x:f>_xlfn.XLOOKUP($A1533,Games!$A$2:$A$18,Games!$B$2:$B$18,"Missing game",0)</x:f>
        <x:v>2025</x:v>
      </x:c>
      <x:c r="AH1533" t="str">
        <x:f>_xlfn.XLOOKUP($A1533,Games!$A$2:$A$18,Games!$C$2:$C$18,"Missing game",0)</x:f>
        <x:v>REG</x:v>
      </x:c>
      <x:c r="AI1533" t="n">
        <x:f>_xlfn.XLOOKUP($A1533,Games!$A$2:$A$18,Games!$D$2:$D$18,"Missing game",0)</x:f>
        <x:v>10</x:v>
      </x:c>
      <x:c r="AJ1533" s="1" t="n">
        <x:f>_xlfn.XLOOKUP($A1533,Games!$A$2:$A$18,Games!$E$2:$E$18,"Missing game",0)</x:f>
        <x:v>45970</x:v>
      </x:c>
      <x:c r="AK1533" t="str">
        <x:f>_xlfn.XLOOKUP($A1533,Games!$A$2:$A$18,Games!$F$2:$F$18,"Missing game",0)</x:f>
        <x:v>Sunday</x:v>
      </x:c>
      <x:c r="AL1533" t="str">
        <x:f>_xlfn.XLOOKUP($A1533,Games!$A$2:$A$18,Games!$G$2:$G$18,"Missing game",0)</x:f>
        <x:v>BAL</x:v>
      </x:c>
      <x:c r="AM1533" t="n">
        <x:f>_xlfn.XLOOKUP($A1533,Games!$A$2:$A$18,Games!$H$2:$H$18,"Missing game",0)</x:f>
        <x:v>27</x:v>
      </x:c>
      <x:c r="AN1533" t="str">
        <x:f>_xlfn.XLOOKUP($A1533,Games!$A$2:$A$18,Games!$I$2:$I$18,"Missing game",0)</x:f>
        <x:v>MIN</x:v>
      </x:c>
      <x:c r="AO1533" t="n">
        <x:f>_xlfn.XLOOKUP($A1533,Games!$A$2:$A$18,Games!$J$2:$J$18,"Missing game",0)</x:f>
        <x:v>19</x:v>
      </x:c>
      <x:c r="AP1533" t="n">
        <x:f>_xlfn.XLOOKUP($A1533,Games!$A$2:$A$18,Games!$K$2:$K$18,"Missing game",0)</x:f>
        <x:v>-8</x:v>
      </x:c>
      <x:c r="AQ1533" t="n">
        <x:f>_xlfn.XLOOKUP($A1533,Games!$A$2:$A$18,Games!$L$2:$L$18,"Missing game",0)</x:f>
        <x:v>46</x:v>
      </x:c>
      <x:c r="AR1533" t="n">
        <x:f>_xlfn.XLOOKUP($A1533,Games!$A$2:$A$18,Games!$M$2:$M$18,"Missing game",0)</x:f>
        <x:v>0</x:v>
      </x:c>
      <x:c r="AS1533" t="str">
        <x:f>_xlfn.XLOOKUP($A1533,Games!$A$2:$A$18,Games!$N$2:$N$18,"Missing game",0)</x:f>
        <x:v>dome</x:v>
      </x:c>
      <x:c r="AT1533" t="str">
        <x:f>_xlfn.XLOOKUP($A1533,Games!$A$2:$A$18,Games!$O$2:$O$18,"Missing game",0)</x:f>
        <x:v>sportturf</x:v>
      </x:c>
      <x:c r="AU1533" t="str">
        <x:f>_xlfn.XLOOKUP($A1533,Games!$A$2:$A$18,Games!$P$2:$P$18,"Missing game",0)</x:f>
      </x:c>
      <x:c r="AV1533" t="str">
        <x:f>_xlfn.XLOOKUP($A1533,Games!$A$2:$A$18,Games!$Q$2:$Q$18,"Missing game",0)</x:f>
      </x:c>
      <x:c r="AW1533" t="str">
        <x:f>_xlfn.XLOOKUP($A1533,Games!$A$2:$A$18,Games!$R$2:$R$18,"Missing game",0)</x:f>
        <x:v>U.S. Bank Stadium</x:v>
      </x:c>
    </x:row>
    <x:row r="1534">
      <x:c r="A1534" t="str">
        <x:v>2025_10_BAL_MIN</x:v>
      </x:c>
      <x:c r="B1534" t="n">
        <x:v>4541</x:v>
      </x:c>
      <x:c r="C1534" t="n">
        <x:v>4</x:v>
      </x:c>
      <x:c r="D1534" t="str">
        <x:v>00:21</x:v>
      </x:c>
      <x:c r="E1534"/>
      <x:c r="F1534" t="n">
        <x:v>0</x:v>
      </x:c>
      <x:c r="G1534"/>
      <x:c r="H1534"/>
      <x:c r="I1534"/>
      <x:c r="J1534"/>
      <x:c r="K1534" t="str">
        <x:v>Timeout #2 by BAL at 00:21.</x:v>
      </x:c>
      <x:c r="L1534" t="str">
        <x:v>no_play</x:v>
      </x:c>
      <x:c r="M1534" t="n">
        <x:v>0</x:v>
      </x:c>
      <x:c r="N1534" t="n">
        <x:v>0</x:v>
      </x:c>
      <x:c r="O1534" t="n">
        <x:v>0</x:v>
      </x:c>
      <x:c r="P1534"/>
      <x:c r="Q1534"/>
      <x:c r="R1534"/>
      <x:c r="S1534"/>
      <x:c r="T1534"/>
      <x:c r="U1534"/>
      <x:c r="V1534" t="n">
        <x:v>0</x:v>
      </x:c>
      <x:c r="W1534" t="n">
        <x:v>0</x:v>
      </x:c>
      <x:c r="X1534" t="n">
        <x:v>0</x:v>
      </x:c>
      <x:c r="Y1534" t="n">
        <x:v>0</x:v>
      </x:c>
      <x:c r="Z1534" t="n">
        <x:v>0</x:v>
      </x:c>
      <x:c r="AA1534" t="n">
        <x:v>0</x:v>
      </x:c>
      <x:c r="AB1534"/>
      <x:c r="AC1534" t="n">
        <x:v>0</x:v>
      </x:c>
      <x:c r="AD1534" t="n">
        <x:v>0</x:v>
      </x:c>
      <x:c r="AE1534" t="n">
        <x:v>0</x:v>
      </x:c>
      <x:c r="AF1534" t="n">
        <x:v>0</x:v>
      </x:c>
      <x:c r="AG1534" t="n">
        <x:f>_xlfn.XLOOKUP($A1534,Games!$A$2:$A$18,Games!$B$2:$B$18,"Missing game",0)</x:f>
        <x:v>2025</x:v>
      </x:c>
      <x:c r="AH1534" t="str">
        <x:f>_xlfn.XLOOKUP($A1534,Games!$A$2:$A$18,Games!$C$2:$C$18,"Missing game",0)</x:f>
        <x:v>REG</x:v>
      </x:c>
      <x:c r="AI1534" t="n">
        <x:f>_xlfn.XLOOKUP($A1534,Games!$A$2:$A$18,Games!$D$2:$D$18,"Missing game",0)</x:f>
        <x:v>10</x:v>
      </x:c>
      <x:c r="AJ1534" s="1" t="n">
        <x:f>_xlfn.XLOOKUP($A1534,Games!$A$2:$A$18,Games!$E$2:$E$18,"Missing game",0)</x:f>
        <x:v>45970</x:v>
      </x:c>
      <x:c r="AK1534" t="str">
        <x:f>_xlfn.XLOOKUP($A1534,Games!$A$2:$A$18,Games!$F$2:$F$18,"Missing game",0)</x:f>
        <x:v>Sunday</x:v>
      </x:c>
      <x:c r="AL1534" t="str">
        <x:f>_xlfn.XLOOKUP($A1534,Games!$A$2:$A$18,Games!$G$2:$G$18,"Missing game",0)</x:f>
        <x:v>BAL</x:v>
      </x:c>
      <x:c r="AM1534" t="n">
        <x:f>_xlfn.XLOOKUP($A1534,Games!$A$2:$A$18,Games!$H$2:$H$18,"Missing game",0)</x:f>
        <x:v>27</x:v>
      </x:c>
      <x:c r="AN1534" t="str">
        <x:f>_xlfn.XLOOKUP($A1534,Games!$A$2:$A$18,Games!$I$2:$I$18,"Missing game",0)</x:f>
        <x:v>MIN</x:v>
      </x:c>
      <x:c r="AO1534" t="n">
        <x:f>_xlfn.XLOOKUP($A1534,Games!$A$2:$A$18,Games!$J$2:$J$18,"Missing game",0)</x:f>
        <x:v>19</x:v>
      </x:c>
      <x:c r="AP1534" t="n">
        <x:f>_xlfn.XLOOKUP($A1534,Games!$A$2:$A$18,Games!$K$2:$K$18,"Missing game",0)</x:f>
        <x:v>-8</x:v>
      </x:c>
      <x:c r="AQ1534" t="n">
        <x:f>_xlfn.XLOOKUP($A1534,Games!$A$2:$A$18,Games!$L$2:$L$18,"Missing game",0)</x:f>
        <x:v>46</x:v>
      </x:c>
      <x:c r="AR1534" t="n">
        <x:f>_xlfn.XLOOKUP($A1534,Games!$A$2:$A$18,Games!$M$2:$M$18,"Missing game",0)</x:f>
        <x:v>0</x:v>
      </x:c>
      <x:c r="AS1534" t="str">
        <x:f>_xlfn.XLOOKUP($A1534,Games!$A$2:$A$18,Games!$N$2:$N$18,"Missing game",0)</x:f>
        <x:v>dome</x:v>
      </x:c>
      <x:c r="AT1534" t="str">
        <x:f>_xlfn.XLOOKUP($A1534,Games!$A$2:$A$18,Games!$O$2:$O$18,"Missing game",0)</x:f>
        <x:v>sportturf</x:v>
      </x:c>
      <x:c r="AU1534" t="str">
        <x:f>_xlfn.XLOOKUP($A1534,Games!$A$2:$A$18,Games!$P$2:$P$18,"Missing game",0)</x:f>
      </x:c>
      <x:c r="AV1534" t="str">
        <x:f>_xlfn.XLOOKUP($A1534,Games!$A$2:$A$18,Games!$Q$2:$Q$18,"Missing game",0)</x:f>
      </x:c>
      <x:c r="AW1534" t="str">
        <x:f>_xlfn.XLOOKUP($A1534,Games!$A$2:$A$18,Games!$R$2:$R$18,"Missing game",0)</x:f>
        <x:v>U.S. Bank Stadium</x:v>
      </x:c>
    </x:row>
    <x:row r="1535">
      <x:c r="A1535" t="str">
        <x:v>2025_10_BAL_MIN</x:v>
      </x:c>
      <x:c r="B1535" t="n">
        <x:v>4559</x:v>
      </x:c>
      <x:c r="C1535" t="n">
        <x:v>4</x:v>
      </x:c>
      <x:c r="D1535" t="str">
        <x:v>00:09</x:v>
      </x:c>
      <x:c r="E1535" t="n">
        <x:v>1</x:v>
      </x:c>
      <x:c r="F1535" t="n">
        <x:v>10</x:v>
      </x:c>
      <x:c r="G1535" t="str">
        <x:v>BAL</x:v>
      </x:c>
      <x:c r="H1535" t="str">
        <x:v>MIN</x:v>
      </x:c>
      <x:c r="I1535" t="str">
        <x:v>MIN</x:v>
      </x:c>
      <x:c r="J1535" t="n">
        <x:v>40</x:v>
      </x:c>
      <x:c r="K1535" t="str">
        <x:v>(:09) 8-L.Jackson kneels to MIN 41 for -1 yards.</x:v>
      </x:c>
      <x:c r="L1535" t="str">
        <x:v>qb_kneel</x:v>
      </x:c>
      <x:c r="M1535" t="n">
        <x:v>-1</x:v>
      </x:c>
      <x:c r="N1535" t="n">
        <x:v>0</x:v>
      </x:c>
      <x:c r="O1535" t="n">
        <x:v>0</x:v>
      </x:c>
      <x:c r="P1535"/>
      <x:c r="Q1535"/>
      <x:c r="R1535"/>
      <x:c r="S1535"/>
      <x:c r="T1535"/>
      <x:c r="U1535"/>
      <x:c r="V1535" t="n">
        <x:v>0</x:v>
      </x:c>
      <x:c r="W1535" t="n">
        <x:v>0</x:v>
      </x:c>
      <x:c r="X1535" t="n">
        <x:v>0</x:v>
      </x:c>
      <x:c r="Y1535" t="n">
        <x:v>0</x:v>
      </x:c>
      <x:c r="Z1535" t="n">
        <x:v>0</x:v>
      </x:c>
      <x:c r="AA1535" t="n">
        <x:v>0</x:v>
      </x:c>
      <x:c r="AB1535"/>
      <x:c r="AC1535" t="n">
        <x:v>0</x:v>
      </x:c>
      <x:c r="AD1535" t="n">
        <x:v>-1.4387107911752537</x:v>
      </x:c>
      <x:c r="AE1535" t="n">
        <x:v>0</x:v>
      </x:c>
      <x:c r="AF1535"/>
      <x:c r="AG1535" t="n">
        <x:f>_xlfn.XLOOKUP($A1535,Games!$A$2:$A$18,Games!$B$2:$B$18,"Missing game",0)</x:f>
        <x:v>2025</x:v>
      </x:c>
      <x:c r="AH1535" t="str">
        <x:f>_xlfn.XLOOKUP($A1535,Games!$A$2:$A$18,Games!$C$2:$C$18,"Missing game",0)</x:f>
        <x:v>REG</x:v>
      </x:c>
      <x:c r="AI1535" t="n">
        <x:f>_xlfn.XLOOKUP($A1535,Games!$A$2:$A$18,Games!$D$2:$D$18,"Missing game",0)</x:f>
        <x:v>10</x:v>
      </x:c>
      <x:c r="AJ1535" s="1" t="n">
        <x:f>_xlfn.XLOOKUP($A1535,Games!$A$2:$A$18,Games!$E$2:$E$18,"Missing game",0)</x:f>
        <x:v>45970</x:v>
      </x:c>
      <x:c r="AK1535" t="str">
        <x:f>_xlfn.XLOOKUP($A1535,Games!$A$2:$A$18,Games!$F$2:$F$18,"Missing game",0)</x:f>
        <x:v>Sunday</x:v>
      </x:c>
      <x:c r="AL1535" t="str">
        <x:f>_xlfn.XLOOKUP($A1535,Games!$A$2:$A$18,Games!$G$2:$G$18,"Missing game",0)</x:f>
        <x:v>BAL</x:v>
      </x:c>
      <x:c r="AM1535" t="n">
        <x:f>_xlfn.XLOOKUP($A1535,Games!$A$2:$A$18,Games!$H$2:$H$18,"Missing game",0)</x:f>
        <x:v>27</x:v>
      </x:c>
      <x:c r="AN1535" t="str">
        <x:f>_xlfn.XLOOKUP($A1535,Games!$A$2:$A$18,Games!$I$2:$I$18,"Missing game",0)</x:f>
        <x:v>MIN</x:v>
      </x:c>
      <x:c r="AO1535" t="n">
        <x:f>_xlfn.XLOOKUP($A1535,Games!$A$2:$A$18,Games!$J$2:$J$18,"Missing game",0)</x:f>
        <x:v>19</x:v>
      </x:c>
      <x:c r="AP1535" t="n">
        <x:f>_xlfn.XLOOKUP($A1535,Games!$A$2:$A$18,Games!$K$2:$K$18,"Missing game",0)</x:f>
        <x:v>-8</x:v>
      </x:c>
      <x:c r="AQ1535" t="n">
        <x:f>_xlfn.XLOOKUP($A1535,Games!$A$2:$A$18,Games!$L$2:$L$18,"Missing game",0)</x:f>
        <x:v>46</x:v>
      </x:c>
      <x:c r="AR1535" t="n">
        <x:f>_xlfn.XLOOKUP($A1535,Games!$A$2:$A$18,Games!$M$2:$M$18,"Missing game",0)</x:f>
        <x:v>0</x:v>
      </x:c>
      <x:c r="AS1535" t="str">
        <x:f>_xlfn.XLOOKUP($A1535,Games!$A$2:$A$18,Games!$N$2:$N$18,"Missing game",0)</x:f>
        <x:v>dome</x:v>
      </x:c>
      <x:c r="AT1535" t="str">
        <x:f>_xlfn.XLOOKUP($A1535,Games!$A$2:$A$18,Games!$O$2:$O$18,"Missing game",0)</x:f>
        <x:v>sportturf</x:v>
      </x:c>
      <x:c r="AU1535" t="str">
        <x:f>_xlfn.XLOOKUP($A1535,Games!$A$2:$A$18,Games!$P$2:$P$18,"Missing game",0)</x:f>
      </x:c>
      <x:c r="AV1535" t="str">
        <x:f>_xlfn.XLOOKUP($A1535,Games!$A$2:$A$18,Games!$Q$2:$Q$18,"Missing game",0)</x:f>
      </x:c>
      <x:c r="AW1535" t="str">
        <x:f>_xlfn.XLOOKUP($A1535,Games!$A$2:$A$18,Games!$R$2:$R$18,"Missing game",0)</x:f>
        <x:v>U.S. Bank Stadium</x:v>
      </x:c>
    </x:row>
    <x:row r="1536">
      <x:c r="A1536" t="str">
        <x:v>2025_10_BAL_MIN</x:v>
      </x:c>
      <x:c r="B1536" t="n">
        <x:v>4581</x:v>
      </x:c>
      <x:c r="C1536" t="n">
        <x:v>4</x:v>
      </x:c>
      <x:c r="D1536" t="str">
        <x:v>00:00</x:v>
      </x:c>
      <x:c r="E1536"/>
      <x:c r="F1536" t="n">
        <x:v>0</x:v>
      </x:c>
      <x:c r="G1536" t="str">
        <x:v>BAL</x:v>
      </x:c>
      <x:c r="H1536" t="str">
        <x:v>MIN</x:v>
      </x:c>
      <x:c r="I1536"/>
      <x:c r="J1536"/>
      <x:c r="K1536" t="str">
        <x:v>END GAME</x:v>
      </x:c>
      <x:c r="L1536"/>
      <x:c r="M1536"/>
      <x:c r="N1536" t="n">
        <x:v>0</x:v>
      </x:c>
      <x:c r="O1536" t="n">
        <x:v>0</x:v>
      </x:c>
      <x:c r="P1536"/>
      <x:c r="Q1536"/>
      <x:c r="R1536"/>
      <x:c r="S1536"/>
      <x:c r="T1536"/>
      <x:c r="U1536"/>
      <x:c r="V1536"/>
      <x:c r="W1536"/>
      <x:c r="X1536"/>
      <x:c r="Y1536"/>
      <x:c r="Z1536"/>
      <x:c r="AA1536"/>
      <x:c r="AB1536"/>
      <x:c r="AC1536"/>
      <x:c r="AD1536"/>
      <x:c r="AE1536"/>
      <x:c r="AF1536"/>
      <x:c r="AG1536" t="n">
        <x:f>_xlfn.XLOOKUP($A1536,Games!$A$2:$A$18,Games!$B$2:$B$18,"Missing game",0)</x:f>
        <x:v>2025</x:v>
      </x:c>
      <x:c r="AH1536" t="str">
        <x:f>_xlfn.XLOOKUP($A1536,Games!$A$2:$A$18,Games!$C$2:$C$18,"Missing game",0)</x:f>
        <x:v>REG</x:v>
      </x:c>
      <x:c r="AI1536" t="n">
        <x:f>_xlfn.XLOOKUP($A1536,Games!$A$2:$A$18,Games!$D$2:$D$18,"Missing game",0)</x:f>
        <x:v>10</x:v>
      </x:c>
      <x:c r="AJ1536" s="1" t="n">
        <x:f>_xlfn.XLOOKUP($A1536,Games!$A$2:$A$18,Games!$E$2:$E$18,"Missing game",0)</x:f>
        <x:v>45970</x:v>
      </x:c>
      <x:c r="AK1536" t="str">
        <x:f>_xlfn.XLOOKUP($A1536,Games!$A$2:$A$18,Games!$F$2:$F$18,"Missing game",0)</x:f>
        <x:v>Sunday</x:v>
      </x:c>
      <x:c r="AL1536" t="str">
        <x:f>_xlfn.XLOOKUP($A1536,Games!$A$2:$A$18,Games!$G$2:$G$18,"Missing game",0)</x:f>
        <x:v>BAL</x:v>
      </x:c>
      <x:c r="AM1536" t="n">
        <x:f>_xlfn.XLOOKUP($A1536,Games!$A$2:$A$18,Games!$H$2:$H$18,"Missing game",0)</x:f>
        <x:v>27</x:v>
      </x:c>
      <x:c r="AN1536" t="str">
        <x:f>_xlfn.XLOOKUP($A1536,Games!$A$2:$A$18,Games!$I$2:$I$18,"Missing game",0)</x:f>
        <x:v>MIN</x:v>
      </x:c>
      <x:c r="AO1536" t="n">
        <x:f>_xlfn.XLOOKUP($A1536,Games!$A$2:$A$18,Games!$J$2:$J$18,"Missing game",0)</x:f>
        <x:v>19</x:v>
      </x:c>
      <x:c r="AP1536" t="n">
        <x:f>_xlfn.XLOOKUP($A1536,Games!$A$2:$A$18,Games!$K$2:$K$18,"Missing game",0)</x:f>
        <x:v>-8</x:v>
      </x:c>
      <x:c r="AQ1536" t="n">
        <x:f>_xlfn.XLOOKUP($A1536,Games!$A$2:$A$18,Games!$L$2:$L$18,"Missing game",0)</x:f>
        <x:v>46</x:v>
      </x:c>
      <x:c r="AR1536" t="n">
        <x:f>_xlfn.XLOOKUP($A1536,Games!$A$2:$A$18,Games!$M$2:$M$18,"Missing game",0)</x:f>
        <x:v>0</x:v>
      </x:c>
      <x:c r="AS1536" t="str">
        <x:f>_xlfn.XLOOKUP($A1536,Games!$A$2:$A$18,Games!$N$2:$N$18,"Missing game",0)</x:f>
        <x:v>dome</x:v>
      </x:c>
      <x:c r="AT1536" t="str">
        <x:f>_xlfn.XLOOKUP($A1536,Games!$A$2:$A$18,Games!$O$2:$O$18,"Missing game",0)</x:f>
        <x:v>sportturf</x:v>
      </x:c>
      <x:c r="AU1536" t="str">
        <x:f>_xlfn.XLOOKUP($A1536,Games!$A$2:$A$18,Games!$P$2:$P$18,"Missing game",0)</x:f>
      </x:c>
      <x:c r="AV1536" t="str">
        <x:f>_xlfn.XLOOKUP($A1536,Games!$A$2:$A$18,Games!$Q$2:$Q$18,"Missing game",0)</x:f>
      </x:c>
      <x:c r="AW1536" t="str">
        <x:f>_xlfn.XLOOKUP($A1536,Games!$A$2:$A$18,Games!$R$2:$R$18,"Missing game",0)</x:f>
        <x:v>U.S. Bank Stadium</x:v>
      </x:c>
    </x:row>
    <x:row r="1537">
      <x:c r="A1537" t="str">
        <x:v>2025_11_CHI_MIN</x:v>
      </x:c>
      <x:c r="B1537" t="n">
        <x:v>1</x:v>
      </x:c>
      <x:c r="C1537" t="n">
        <x:v>1</x:v>
      </x:c>
      <x:c r="D1537" t="str">
        <x:v>15:00</x:v>
      </x:c>
      <x:c r="E1537"/>
      <x:c r="F1537" t="n">
        <x:v>0</x:v>
      </x:c>
      <x:c r="G1537"/>
      <x:c r="H1537"/>
      <x:c r="I1537"/>
      <x:c r="J1537"/>
      <x:c r="K1537" t="str">
        <x:v>GAME</x:v>
      </x:c>
      <x:c r="L1537"/>
      <x:c r="M1537"/>
      <x:c r="N1537" t="n">
        <x:v>0</x:v>
      </x:c>
      <x:c r="O1537" t="n">
        <x:v>0</x:v>
      </x:c>
      <x:c r="P1537"/>
      <x:c r="Q1537"/>
      <x:c r="R1537"/>
      <x:c r="S1537"/>
      <x:c r="T1537"/>
      <x:c r="U1537"/>
      <x:c r="V1537"/>
      <x:c r="W1537"/>
      <x:c r="X1537"/>
      <x:c r="Y1537"/>
      <x:c r="Z1537"/>
      <x:c r="AA1537"/>
      <x:c r="AB1537"/>
      <x:c r="AC1537"/>
      <x:c r="AD1537" t="n">
        <x:v>0</x:v>
      </x:c>
      <x:c r="AE1537" t="n">
        <x:v>0</x:v>
      </x:c>
      <x:c r="AF1537" t="n">
        <x:v>0</x:v>
      </x:c>
      <x:c r="AG1537" t="n">
        <x:f>_xlfn.XLOOKUP($A1537,Games!$A$2:$A$18,Games!$B$2:$B$18,"Missing game",0)</x:f>
        <x:v>2025</x:v>
      </x:c>
      <x:c r="AH1537" t="str">
        <x:f>_xlfn.XLOOKUP($A1537,Games!$A$2:$A$18,Games!$C$2:$C$18,"Missing game",0)</x:f>
        <x:v>REG</x:v>
      </x:c>
      <x:c r="AI1537" t="n">
        <x:f>_xlfn.XLOOKUP($A1537,Games!$A$2:$A$18,Games!$D$2:$D$18,"Missing game",0)</x:f>
        <x:v>11</x:v>
      </x:c>
      <x:c r="AJ1537" s="1" t="n">
        <x:f>_xlfn.XLOOKUP($A1537,Games!$A$2:$A$18,Games!$E$2:$E$18,"Missing game",0)</x:f>
        <x:v>45977</x:v>
      </x:c>
      <x:c r="AK1537" t="str">
        <x:f>_xlfn.XLOOKUP($A1537,Games!$A$2:$A$18,Games!$F$2:$F$18,"Missing game",0)</x:f>
        <x:v>Sunday</x:v>
      </x:c>
      <x:c r="AL1537" t="str">
        <x:f>_xlfn.XLOOKUP($A1537,Games!$A$2:$A$18,Games!$G$2:$G$18,"Missing game",0)</x:f>
        <x:v>CHI</x:v>
      </x:c>
      <x:c r="AM1537" t="n">
        <x:f>_xlfn.XLOOKUP($A1537,Games!$A$2:$A$18,Games!$H$2:$H$18,"Missing game",0)</x:f>
        <x:v>19</x:v>
      </x:c>
      <x:c r="AN1537" t="str">
        <x:f>_xlfn.XLOOKUP($A1537,Games!$A$2:$A$18,Games!$I$2:$I$18,"Missing game",0)</x:f>
        <x:v>MIN</x:v>
      </x:c>
      <x:c r="AO1537" t="n">
        <x:f>_xlfn.XLOOKUP($A1537,Games!$A$2:$A$18,Games!$J$2:$J$18,"Missing game",0)</x:f>
        <x:v>17</x:v>
      </x:c>
      <x:c r="AP1537" t="n">
        <x:f>_xlfn.XLOOKUP($A1537,Games!$A$2:$A$18,Games!$K$2:$K$18,"Missing game",0)</x:f>
        <x:v>-2</x:v>
      </x:c>
      <x:c r="AQ1537" t="n">
        <x:f>_xlfn.XLOOKUP($A1537,Games!$A$2:$A$18,Games!$L$2:$L$18,"Missing game",0)</x:f>
        <x:v>36</x:v>
      </x:c>
      <x:c r="AR1537" t="n">
        <x:f>_xlfn.XLOOKUP($A1537,Games!$A$2:$A$18,Games!$M$2:$M$18,"Missing game",0)</x:f>
        <x:v>0</x:v>
      </x:c>
      <x:c r="AS1537" t="str">
        <x:f>_xlfn.XLOOKUP($A1537,Games!$A$2:$A$18,Games!$N$2:$N$18,"Missing game",0)</x:f>
        <x:v>dome</x:v>
      </x:c>
      <x:c r="AT1537" t="str">
        <x:f>_xlfn.XLOOKUP($A1537,Games!$A$2:$A$18,Games!$O$2:$O$18,"Missing game",0)</x:f>
        <x:v>sportturf</x:v>
      </x:c>
      <x:c r="AU1537" t="str">
        <x:f>_xlfn.XLOOKUP($A1537,Games!$A$2:$A$18,Games!$P$2:$P$18,"Missing game",0)</x:f>
      </x:c>
      <x:c r="AV1537" t="str">
        <x:f>_xlfn.XLOOKUP($A1537,Games!$A$2:$A$18,Games!$Q$2:$Q$18,"Missing game",0)</x:f>
      </x:c>
      <x:c r="AW1537" t="str">
        <x:f>_xlfn.XLOOKUP($A1537,Games!$A$2:$A$18,Games!$R$2:$R$18,"Missing game",0)</x:f>
        <x:v>U.S. Bank Stadium</x:v>
      </x:c>
    </x:row>
    <x:row r="1538">
      <x:c r="A1538" t="str">
        <x:v>2025_11_CHI_MIN</x:v>
      </x:c>
      <x:c r="B1538" t="n">
        <x:v>39</x:v>
      </x:c>
      <x:c r="C1538" t="n">
        <x:v>1</x:v>
      </x:c>
      <x:c r="D1538" t="str">
        <x:v>15:00</x:v>
      </x:c>
      <x:c r="E1538"/>
      <x:c r="F1538" t="n">
        <x:v>0</x:v>
      </x:c>
      <x:c r="G1538" t="str">
        <x:v>MIN</x:v>
      </x:c>
      <x:c r="H1538" t="str">
        <x:v>CHI</x:v>
      </x:c>
      <x:c r="I1538" t="str">
        <x:v>CHI</x:v>
      </x:c>
      <x:c r="J1538" t="n">
        <x:v>35</x:v>
      </x:c>
      <x:c r="K1538" t="str">
        <x:v>8-C.Santos kicks 65 yards from CHI 35 to landing zone to end zone, Touchback to the MIN 20.</x:v>
      </x:c>
      <x:c r="L1538" t="str">
        <x:v>kickoff</x:v>
      </x:c>
      <x:c r="M1538" t="n">
        <x:v>0</x:v>
      </x:c>
      <x:c r="N1538" t="n">
        <x:v>0</x:v>
      </x:c>
      <x:c r="O1538" t="n">
        <x:v>0</x:v>
      </x:c>
      <x:c r="P1538"/>
      <x:c r="Q1538"/>
      <x:c r="R1538"/>
      <x:c r="S1538"/>
      <x:c r="T1538"/>
      <x:c r="U1538"/>
      <x:c r="V1538" t="n">
        <x:v>0</x:v>
      </x:c>
      <x:c r="W1538" t="n">
        <x:v>0</x:v>
      </x:c>
      <x:c r="X1538" t="n">
        <x:v>0</x:v>
      </x:c>
      <x:c r="Y1538" t="n">
        <x:v>0</x:v>
      </x:c>
      <x:c r="Z1538" t="n">
        <x:v>0</x:v>
      </x:c>
      <x:c r="AA1538" t="n">
        <x:v>0</x:v>
      </x:c>
      <x:c r="AB1538"/>
      <x:c r="AC1538" t="n">
        <x:v>0</x:v>
      </x:c>
      <x:c r="AD1538" t="n">
        <x:v>-0.42521642288193107</x:v>
      </x:c>
      <x:c r="AE1538" t="n">
        <x:v>0</x:v>
      </x:c>
      <x:c r="AF1538" t="n">
        <x:v>-0.004408478736877441</x:v>
      </x:c>
      <x:c r="AG1538" t="n">
        <x:f>_xlfn.XLOOKUP($A1538,Games!$A$2:$A$18,Games!$B$2:$B$18,"Missing game",0)</x:f>
        <x:v>2025</x:v>
      </x:c>
      <x:c r="AH1538" t="str">
        <x:f>_xlfn.XLOOKUP($A1538,Games!$A$2:$A$18,Games!$C$2:$C$18,"Missing game",0)</x:f>
        <x:v>REG</x:v>
      </x:c>
      <x:c r="AI1538" t="n">
        <x:f>_xlfn.XLOOKUP($A1538,Games!$A$2:$A$18,Games!$D$2:$D$18,"Missing game",0)</x:f>
        <x:v>11</x:v>
      </x:c>
      <x:c r="AJ1538" s="1" t="n">
        <x:f>_xlfn.XLOOKUP($A1538,Games!$A$2:$A$18,Games!$E$2:$E$18,"Missing game",0)</x:f>
        <x:v>45977</x:v>
      </x:c>
      <x:c r="AK1538" t="str">
        <x:f>_xlfn.XLOOKUP($A1538,Games!$A$2:$A$18,Games!$F$2:$F$18,"Missing game",0)</x:f>
        <x:v>Sunday</x:v>
      </x:c>
      <x:c r="AL1538" t="str">
        <x:f>_xlfn.XLOOKUP($A1538,Games!$A$2:$A$18,Games!$G$2:$G$18,"Missing game",0)</x:f>
        <x:v>CHI</x:v>
      </x:c>
      <x:c r="AM1538" t="n">
        <x:f>_xlfn.XLOOKUP($A1538,Games!$A$2:$A$18,Games!$H$2:$H$18,"Missing game",0)</x:f>
        <x:v>19</x:v>
      </x:c>
      <x:c r="AN1538" t="str">
        <x:f>_xlfn.XLOOKUP($A1538,Games!$A$2:$A$18,Games!$I$2:$I$18,"Missing game",0)</x:f>
        <x:v>MIN</x:v>
      </x:c>
      <x:c r="AO1538" t="n">
        <x:f>_xlfn.XLOOKUP($A1538,Games!$A$2:$A$18,Games!$J$2:$J$18,"Missing game",0)</x:f>
        <x:v>17</x:v>
      </x:c>
      <x:c r="AP1538" t="n">
        <x:f>_xlfn.XLOOKUP($A1538,Games!$A$2:$A$18,Games!$K$2:$K$18,"Missing game",0)</x:f>
        <x:v>-2</x:v>
      </x:c>
      <x:c r="AQ1538" t="n">
        <x:f>_xlfn.XLOOKUP($A1538,Games!$A$2:$A$18,Games!$L$2:$L$18,"Missing game",0)</x:f>
        <x:v>36</x:v>
      </x:c>
      <x:c r="AR1538" t="n">
        <x:f>_xlfn.XLOOKUP($A1538,Games!$A$2:$A$18,Games!$M$2:$M$18,"Missing game",0)</x:f>
        <x:v>0</x:v>
      </x:c>
      <x:c r="AS1538" t="str">
        <x:f>_xlfn.XLOOKUP($A1538,Games!$A$2:$A$18,Games!$N$2:$N$18,"Missing game",0)</x:f>
        <x:v>dome</x:v>
      </x:c>
      <x:c r="AT1538" t="str">
        <x:f>_xlfn.XLOOKUP($A1538,Games!$A$2:$A$18,Games!$O$2:$O$18,"Missing game",0)</x:f>
        <x:v>sportturf</x:v>
      </x:c>
      <x:c r="AU1538" t="str">
        <x:f>_xlfn.XLOOKUP($A1538,Games!$A$2:$A$18,Games!$P$2:$P$18,"Missing game",0)</x:f>
      </x:c>
      <x:c r="AV1538" t="str">
        <x:f>_xlfn.XLOOKUP($A1538,Games!$A$2:$A$18,Games!$Q$2:$Q$18,"Missing game",0)</x:f>
      </x:c>
      <x:c r="AW1538" t="str">
        <x:f>_xlfn.XLOOKUP($A1538,Games!$A$2:$A$18,Games!$R$2:$R$18,"Missing game",0)</x:f>
        <x:v>U.S. Bank Stadium</x:v>
      </x:c>
    </x:row>
    <x:row r="1539">
      <x:c r="A1539" t="str">
        <x:v>2025_11_CHI_MIN</x:v>
      </x:c>
      <x:c r="B1539" t="n">
        <x:v>56</x:v>
      </x:c>
      <x:c r="C1539" t="n">
        <x:v>1</x:v>
      </x:c>
      <x:c r="D1539" t="str">
        <x:v>15:00</x:v>
      </x:c>
      <x:c r="E1539" t="n">
        <x:v>1</x:v>
      </x:c>
      <x:c r="F1539" t="n">
        <x:v>10</x:v>
      </x:c>
      <x:c r="G1539" t="str">
        <x:v>MIN</x:v>
      </x:c>
      <x:c r="H1539" t="str">
        <x:v>CHI</x:v>
      </x:c>
      <x:c r="I1539" t="str">
        <x:v>MIN</x:v>
      </x:c>
      <x:c r="J1539" t="n">
        <x:v>80</x:v>
      </x:c>
      <x:c r="K1539" t="str">
        <x:v>(15:00) 33-A.Jones right tackle to MIN 23 for 3 yards (49-T.Edmunds).</x:v>
      </x:c>
      <x:c r="L1539" t="str">
        <x:v>run</x:v>
      </x:c>
      <x:c r="M1539" t="n">
        <x:v>3</x:v>
      </x:c>
      <x:c r="N1539" t="n">
        <x:v>0</x:v>
      </x:c>
      <x:c r="O1539" t="n">
        <x:v>0</x:v>
      </x:c>
      <x:c r="P1539"/>
      <x:c r="Q1539"/>
      <x:c r="R1539"/>
      <x:c r="S1539"/>
      <x:c r="T1539" t="str">
        <x:v>right</x:v>
      </x:c>
      <x:c r="U1539" t="str">
        <x:v>tackle</x:v>
      </x:c>
      <x:c r="V1539" t="n">
        <x:v>0</x:v>
      </x:c>
      <x:c r="W1539" t="n">
        <x:v>0</x:v>
      </x:c>
      <x:c r="X1539" t="n">
        <x:v>0</x:v>
      </x:c>
      <x:c r="Y1539" t="n">
        <x:v>0</x:v>
      </x:c>
      <x:c r="Z1539" t="n">
        <x:v>0</x:v>
      </x:c>
      <x:c r="AA1539" t="n">
        <x:v>0</x:v>
      </x:c>
      <x:c r="AB1539"/>
      <x:c r="AC1539" t="n">
        <x:v>0</x:v>
      </x:c>
      <x:c r="AD1539" t="n">
        <x:v>-0.4518870138563216</x:v>
      </x:c>
      <x:c r="AE1539" t="n">
        <x:v>0</x:v>
      </x:c>
      <x:c r="AF1539" t="n">
        <x:v>-0.008393645286560059</x:v>
      </x:c>
      <x:c r="AG1539" t="n">
        <x:f>_xlfn.XLOOKUP($A1539,Games!$A$2:$A$18,Games!$B$2:$B$18,"Missing game",0)</x:f>
        <x:v>2025</x:v>
      </x:c>
      <x:c r="AH1539" t="str">
        <x:f>_xlfn.XLOOKUP($A1539,Games!$A$2:$A$18,Games!$C$2:$C$18,"Missing game",0)</x:f>
        <x:v>REG</x:v>
      </x:c>
      <x:c r="AI1539" t="n">
        <x:f>_xlfn.XLOOKUP($A1539,Games!$A$2:$A$18,Games!$D$2:$D$18,"Missing game",0)</x:f>
        <x:v>11</x:v>
      </x:c>
      <x:c r="AJ1539" s="1" t="n">
        <x:f>_xlfn.XLOOKUP($A1539,Games!$A$2:$A$18,Games!$E$2:$E$18,"Missing game",0)</x:f>
        <x:v>45977</x:v>
      </x:c>
      <x:c r="AK1539" t="str">
        <x:f>_xlfn.XLOOKUP($A1539,Games!$A$2:$A$18,Games!$F$2:$F$18,"Missing game",0)</x:f>
        <x:v>Sunday</x:v>
      </x:c>
      <x:c r="AL1539" t="str">
        <x:f>_xlfn.XLOOKUP($A1539,Games!$A$2:$A$18,Games!$G$2:$G$18,"Missing game",0)</x:f>
        <x:v>CHI</x:v>
      </x:c>
      <x:c r="AM1539" t="n">
        <x:f>_xlfn.XLOOKUP($A1539,Games!$A$2:$A$18,Games!$H$2:$H$18,"Missing game",0)</x:f>
        <x:v>19</x:v>
      </x:c>
      <x:c r="AN1539" t="str">
        <x:f>_xlfn.XLOOKUP($A1539,Games!$A$2:$A$18,Games!$I$2:$I$18,"Missing game",0)</x:f>
        <x:v>MIN</x:v>
      </x:c>
      <x:c r="AO1539" t="n">
        <x:f>_xlfn.XLOOKUP($A1539,Games!$A$2:$A$18,Games!$J$2:$J$18,"Missing game",0)</x:f>
        <x:v>17</x:v>
      </x:c>
      <x:c r="AP1539" t="n">
        <x:f>_xlfn.XLOOKUP($A1539,Games!$A$2:$A$18,Games!$K$2:$K$18,"Missing game",0)</x:f>
        <x:v>-2</x:v>
      </x:c>
      <x:c r="AQ1539" t="n">
        <x:f>_xlfn.XLOOKUP($A1539,Games!$A$2:$A$18,Games!$L$2:$L$18,"Missing game",0)</x:f>
        <x:v>36</x:v>
      </x:c>
      <x:c r="AR1539" t="n">
        <x:f>_xlfn.XLOOKUP($A1539,Games!$A$2:$A$18,Games!$M$2:$M$18,"Missing game",0)</x:f>
        <x:v>0</x:v>
      </x:c>
      <x:c r="AS1539" t="str">
        <x:f>_xlfn.XLOOKUP($A1539,Games!$A$2:$A$18,Games!$N$2:$N$18,"Missing game",0)</x:f>
        <x:v>dome</x:v>
      </x:c>
      <x:c r="AT1539" t="str">
        <x:f>_xlfn.XLOOKUP($A1539,Games!$A$2:$A$18,Games!$O$2:$O$18,"Missing game",0)</x:f>
        <x:v>sportturf</x:v>
      </x:c>
      <x:c r="AU1539" t="str">
        <x:f>_xlfn.XLOOKUP($A1539,Games!$A$2:$A$18,Games!$P$2:$P$18,"Missing game",0)</x:f>
      </x:c>
      <x:c r="AV1539" t="str">
        <x:f>_xlfn.XLOOKUP($A1539,Games!$A$2:$A$18,Games!$Q$2:$Q$18,"Missing game",0)</x:f>
      </x:c>
      <x:c r="AW1539" t="str">
        <x:f>_xlfn.XLOOKUP($A1539,Games!$A$2:$A$18,Games!$R$2:$R$18,"Missing game",0)</x:f>
        <x:v>U.S. Bank Stadium</x:v>
      </x:c>
    </x:row>
    <x:row r="1540">
      <x:c r="A1540" t="str">
        <x:v>2025_11_CHI_MIN</x:v>
      </x:c>
      <x:c r="B1540" t="n">
        <x:v>78</x:v>
      </x:c>
      <x:c r="C1540" t="n">
        <x:v>1</x:v>
      </x:c>
      <x:c r="D1540" t="str">
        <x:v>14:25</x:v>
      </x:c>
      <x:c r="E1540" t="n">
        <x:v>2</x:v>
      </x:c>
      <x:c r="F1540" t="n">
        <x:v>7</x:v>
      </x:c>
      <x:c r="G1540" t="str">
        <x:v>MIN</x:v>
      </x:c>
      <x:c r="H1540" t="str">
        <x:v>CHI</x:v>
      </x:c>
      <x:c r="I1540" t="str">
        <x:v>MIN</x:v>
      </x:c>
      <x:c r="J1540" t="n">
        <x:v>77</x:v>
      </x:c>
      <x:c r="K1540" t="str">
        <x:v>(14:25) (Shotgun) 33-A.Jones right end to MIN 25 for 2 yards (49-T.Edmunds).</x:v>
      </x:c>
      <x:c r="L1540" t="str">
        <x:v>run</x:v>
      </x:c>
      <x:c r="M1540" t="n">
        <x:v>2</x:v>
      </x:c>
      <x:c r="N1540" t="n">
        <x:v>1</x:v>
      </x:c>
      <x:c r="O1540" t="n">
        <x:v>0</x:v>
      </x:c>
      <x:c r="P1540"/>
      <x:c r="Q1540"/>
      <x:c r="R1540"/>
      <x:c r="S1540"/>
      <x:c r="T1540" t="str">
        <x:v>right</x:v>
      </x:c>
      <x:c r="U1540" t="str">
        <x:v>end</x:v>
      </x:c>
      <x:c r="V1540" t="n">
        <x:v>0</x:v>
      </x:c>
      <x:c r="W1540" t="n">
        <x:v>0</x:v>
      </x:c>
      <x:c r="X1540" t="n">
        <x:v>0</x:v>
      </x:c>
      <x:c r="Y1540" t="n">
        <x:v>0</x:v>
      </x:c>
      <x:c r="Z1540" t="n">
        <x:v>0</x:v>
      </x:c>
      <x:c r="AA1540" t="n">
        <x:v>0</x:v>
      </x:c>
      <x:c r="AB1540"/>
      <x:c r="AC1540" t="n">
        <x:v>0</x:v>
      </x:c>
      <x:c r="AD1540" t="n">
        <x:v>-0.33797103678807616</x:v>
      </x:c>
      <x:c r="AE1540" t="n">
        <x:v>0</x:v>
      </x:c>
      <x:c r="AF1540" t="n">
        <x:v>-0.021177828311920166</x:v>
      </x:c>
      <x:c r="AG1540" t="n">
        <x:f>_xlfn.XLOOKUP($A1540,Games!$A$2:$A$18,Games!$B$2:$B$18,"Missing game",0)</x:f>
        <x:v>2025</x:v>
      </x:c>
      <x:c r="AH1540" t="str">
        <x:f>_xlfn.XLOOKUP($A1540,Games!$A$2:$A$18,Games!$C$2:$C$18,"Missing game",0)</x:f>
        <x:v>REG</x:v>
      </x:c>
      <x:c r="AI1540" t="n">
        <x:f>_xlfn.XLOOKUP($A1540,Games!$A$2:$A$18,Games!$D$2:$D$18,"Missing game",0)</x:f>
        <x:v>11</x:v>
      </x:c>
      <x:c r="AJ1540" s="1" t="n">
        <x:f>_xlfn.XLOOKUP($A1540,Games!$A$2:$A$18,Games!$E$2:$E$18,"Missing game",0)</x:f>
        <x:v>45977</x:v>
      </x:c>
      <x:c r="AK1540" t="str">
        <x:f>_xlfn.XLOOKUP($A1540,Games!$A$2:$A$18,Games!$F$2:$F$18,"Missing game",0)</x:f>
        <x:v>Sunday</x:v>
      </x:c>
      <x:c r="AL1540" t="str">
        <x:f>_xlfn.XLOOKUP($A1540,Games!$A$2:$A$18,Games!$G$2:$G$18,"Missing game",0)</x:f>
        <x:v>CHI</x:v>
      </x:c>
      <x:c r="AM1540" t="n">
        <x:f>_xlfn.XLOOKUP($A1540,Games!$A$2:$A$18,Games!$H$2:$H$18,"Missing game",0)</x:f>
        <x:v>19</x:v>
      </x:c>
      <x:c r="AN1540" t="str">
        <x:f>_xlfn.XLOOKUP($A1540,Games!$A$2:$A$18,Games!$I$2:$I$18,"Missing game",0)</x:f>
        <x:v>MIN</x:v>
      </x:c>
      <x:c r="AO1540" t="n">
        <x:f>_xlfn.XLOOKUP($A1540,Games!$A$2:$A$18,Games!$J$2:$J$18,"Missing game",0)</x:f>
        <x:v>17</x:v>
      </x:c>
      <x:c r="AP1540" t="n">
        <x:f>_xlfn.XLOOKUP($A1540,Games!$A$2:$A$18,Games!$K$2:$K$18,"Missing game",0)</x:f>
        <x:v>-2</x:v>
      </x:c>
      <x:c r="AQ1540" t="n">
        <x:f>_xlfn.XLOOKUP($A1540,Games!$A$2:$A$18,Games!$L$2:$L$18,"Missing game",0)</x:f>
        <x:v>36</x:v>
      </x:c>
      <x:c r="AR1540" t="n">
        <x:f>_xlfn.XLOOKUP($A1540,Games!$A$2:$A$18,Games!$M$2:$M$18,"Missing game",0)</x:f>
        <x:v>0</x:v>
      </x:c>
      <x:c r="AS1540" t="str">
        <x:f>_xlfn.XLOOKUP($A1540,Games!$A$2:$A$18,Games!$N$2:$N$18,"Missing game",0)</x:f>
        <x:v>dome</x:v>
      </x:c>
      <x:c r="AT1540" t="str">
        <x:f>_xlfn.XLOOKUP($A1540,Games!$A$2:$A$18,Games!$O$2:$O$18,"Missing game",0)</x:f>
        <x:v>sportturf</x:v>
      </x:c>
      <x:c r="AU1540" t="str">
        <x:f>_xlfn.XLOOKUP($A1540,Games!$A$2:$A$18,Games!$P$2:$P$18,"Missing game",0)</x:f>
      </x:c>
      <x:c r="AV1540" t="str">
        <x:f>_xlfn.XLOOKUP($A1540,Games!$A$2:$A$18,Games!$Q$2:$Q$18,"Missing game",0)</x:f>
      </x:c>
      <x:c r="AW1540" t="str">
        <x:f>_xlfn.XLOOKUP($A1540,Games!$A$2:$A$18,Games!$R$2:$R$18,"Missing game",0)</x:f>
        <x:v>U.S. Bank Stadium</x:v>
      </x:c>
    </x:row>
    <x:row r="1541">
      <x:c r="A1541" t="str">
        <x:v>2025_11_CHI_MIN</x:v>
      </x:c>
      <x:c r="B1541" t="n">
        <x:v>100</x:v>
      </x:c>
      <x:c r="C1541" t="n">
        <x:v>1</x:v>
      </x:c>
      <x:c r="D1541" t="str">
        <x:v>13:52</x:v>
      </x:c>
      <x:c r="E1541" t="n">
        <x:v>3</x:v>
      </x:c>
      <x:c r="F1541" t="n">
        <x:v>5</x:v>
      </x:c>
      <x:c r="G1541" t="str">
        <x:v>MIN</x:v>
      </x:c>
      <x:c r="H1541" t="str">
        <x:v>CHI</x:v>
      </x:c>
      <x:c r="I1541" t="str">
        <x:v>MIN</x:v>
      </x:c>
      <x:c r="J1541" t="n">
        <x:v>75</x:v>
      </x:c>
      <x:c r="K1541" t="str">
        <x:v>(13:52) (Shotgun) 9-J.McCarthy pass short left to 19-A.Thielen to MIN 31 for 6 yards (26-N.Wright).</x:v>
      </x:c>
      <x:c r="L1541" t="str">
        <x:v>pass</x:v>
      </x:c>
      <x:c r="M1541" t="n">
        <x:v>6</x:v>
      </x:c>
      <x:c r="N1541" t="n">
        <x:v>1</x:v>
      </x:c>
      <x:c r="O1541" t="n">
        <x:v>0</x:v>
      </x:c>
      <x:c r="P1541" t="str">
        <x:v>short</x:v>
      </x:c>
      <x:c r="Q1541" t="str">
        <x:v>left</x:v>
      </x:c>
      <x:c r="R1541" t="n">
        <x:v>5</x:v>
      </x:c>
      <x:c r="S1541" t="n">
        <x:v>1</x:v>
      </x:c>
      <x:c r="T1541"/>
      <x:c r="U1541"/>
      <x:c r="V1541" t="n">
        <x:v>1</x:v>
      </x:c>
      <x:c r="W1541" t="n">
        <x:v>1</x:v>
      </x:c>
      <x:c r="X1541" t="n">
        <x:v>0</x:v>
      </x:c>
      <x:c r="Y1541" t="n">
        <x:v>0</x:v>
      </x:c>
      <x:c r="Z1541" t="n">
        <x:v>0</x:v>
      </x:c>
      <x:c r="AA1541" t="n">
        <x:v>0</x:v>
      </x:c>
      <x:c r="AB1541"/>
      <x:c r="AC1541" t="n">
        <x:v>0</x:v>
      </x:c>
      <x:c r="AD1541" t="n">
        <x:v>1.5843479242175817</x:v>
      </x:c>
      <x:c r="AE1541" t="n">
        <x:v>1</x:v>
      </x:c>
      <x:c r="AF1541" t="n">
        <x:v>0.04020625352859497</x:v>
      </x:c>
      <x:c r="AG1541" t="n">
        <x:f>_xlfn.XLOOKUP($A1541,Games!$A$2:$A$18,Games!$B$2:$B$18,"Missing game",0)</x:f>
        <x:v>2025</x:v>
      </x:c>
      <x:c r="AH1541" t="str">
        <x:f>_xlfn.XLOOKUP($A1541,Games!$A$2:$A$18,Games!$C$2:$C$18,"Missing game",0)</x:f>
        <x:v>REG</x:v>
      </x:c>
      <x:c r="AI1541" t="n">
        <x:f>_xlfn.XLOOKUP($A1541,Games!$A$2:$A$18,Games!$D$2:$D$18,"Missing game",0)</x:f>
        <x:v>11</x:v>
      </x:c>
      <x:c r="AJ1541" s="1" t="n">
        <x:f>_xlfn.XLOOKUP($A1541,Games!$A$2:$A$18,Games!$E$2:$E$18,"Missing game",0)</x:f>
        <x:v>45977</x:v>
      </x:c>
      <x:c r="AK1541" t="str">
        <x:f>_xlfn.XLOOKUP($A1541,Games!$A$2:$A$18,Games!$F$2:$F$18,"Missing game",0)</x:f>
        <x:v>Sunday</x:v>
      </x:c>
      <x:c r="AL1541" t="str">
        <x:f>_xlfn.XLOOKUP($A1541,Games!$A$2:$A$18,Games!$G$2:$G$18,"Missing game",0)</x:f>
        <x:v>CHI</x:v>
      </x:c>
      <x:c r="AM1541" t="n">
        <x:f>_xlfn.XLOOKUP($A1541,Games!$A$2:$A$18,Games!$H$2:$H$18,"Missing game",0)</x:f>
        <x:v>19</x:v>
      </x:c>
      <x:c r="AN1541" t="str">
        <x:f>_xlfn.XLOOKUP($A1541,Games!$A$2:$A$18,Games!$I$2:$I$18,"Missing game",0)</x:f>
        <x:v>MIN</x:v>
      </x:c>
      <x:c r="AO1541" t="n">
        <x:f>_xlfn.XLOOKUP($A1541,Games!$A$2:$A$18,Games!$J$2:$J$18,"Missing game",0)</x:f>
        <x:v>17</x:v>
      </x:c>
      <x:c r="AP1541" t="n">
        <x:f>_xlfn.XLOOKUP($A1541,Games!$A$2:$A$18,Games!$K$2:$K$18,"Missing game",0)</x:f>
        <x:v>-2</x:v>
      </x:c>
      <x:c r="AQ1541" t="n">
        <x:f>_xlfn.XLOOKUP($A1541,Games!$A$2:$A$18,Games!$L$2:$L$18,"Missing game",0)</x:f>
        <x:v>36</x:v>
      </x:c>
      <x:c r="AR1541" t="n">
        <x:f>_xlfn.XLOOKUP($A1541,Games!$A$2:$A$18,Games!$M$2:$M$18,"Missing game",0)</x:f>
        <x:v>0</x:v>
      </x:c>
      <x:c r="AS1541" t="str">
        <x:f>_xlfn.XLOOKUP($A1541,Games!$A$2:$A$18,Games!$N$2:$N$18,"Missing game",0)</x:f>
        <x:v>dome</x:v>
      </x:c>
      <x:c r="AT1541" t="str">
        <x:f>_xlfn.XLOOKUP($A1541,Games!$A$2:$A$18,Games!$O$2:$O$18,"Missing game",0)</x:f>
        <x:v>sportturf</x:v>
      </x:c>
      <x:c r="AU1541" t="str">
        <x:f>_xlfn.XLOOKUP($A1541,Games!$A$2:$A$18,Games!$P$2:$P$18,"Missing game",0)</x:f>
      </x:c>
      <x:c r="AV1541" t="str">
        <x:f>_xlfn.XLOOKUP($A1541,Games!$A$2:$A$18,Games!$Q$2:$Q$18,"Missing game",0)</x:f>
      </x:c>
      <x:c r="AW1541" t="str">
        <x:f>_xlfn.XLOOKUP($A1541,Games!$A$2:$A$18,Games!$R$2:$R$18,"Missing game",0)</x:f>
        <x:v>U.S. Bank Stadium</x:v>
      </x:c>
    </x:row>
    <x:row r="1542">
      <x:c r="A1542" t="str">
        <x:v>2025_11_CHI_MIN</x:v>
      </x:c>
      <x:c r="B1542" t="n">
        <x:v>125</x:v>
      </x:c>
      <x:c r="C1542" t="n">
        <x:v>1</x:v>
      </x:c>
      <x:c r="D1542" t="str">
        <x:v>13:16</x:v>
      </x:c>
      <x:c r="E1542" t="n">
        <x:v>1</x:v>
      </x:c>
      <x:c r="F1542" t="n">
        <x:v>10</x:v>
      </x:c>
      <x:c r="G1542" t="str">
        <x:v>MIN</x:v>
      </x:c>
      <x:c r="H1542" t="str">
        <x:v>CHI</x:v>
      </x:c>
      <x:c r="I1542" t="str">
        <x:v>MIN</x:v>
      </x:c>
      <x:c r="J1542" t="n">
        <x:v>69</x:v>
      </x:c>
      <x:c r="K1542" t="str">
        <x:v>(13:16) 33-A.Jones left end to MIN 32 for 1 yard (44-N.Sewell).</x:v>
      </x:c>
      <x:c r="L1542" t="str">
        <x:v>run</x:v>
      </x:c>
      <x:c r="M1542" t="n">
        <x:v>1</x:v>
      </x:c>
      <x:c r="N1542" t="n">
        <x:v>0</x:v>
      </x:c>
      <x:c r="O1542" t="n">
        <x:v>0</x:v>
      </x:c>
      <x:c r="P1542"/>
      <x:c r="Q1542"/>
      <x:c r="R1542"/>
      <x:c r="S1542"/>
      <x:c r="T1542" t="str">
        <x:v>left</x:v>
      </x:c>
      <x:c r="U1542" t="str">
        <x:v>end</x:v>
      </x:c>
      <x:c r="V1542" t="n">
        <x:v>0</x:v>
      </x:c>
      <x:c r="W1542" t="n">
        <x:v>0</x:v>
      </x:c>
      <x:c r="X1542" t="n">
        <x:v>0</x:v>
      </x:c>
      <x:c r="Y1542" t="n">
        <x:v>0</x:v>
      </x:c>
      <x:c r="Z1542" t="n">
        <x:v>0</x:v>
      </x:c>
      <x:c r="AA1542" t="n">
        <x:v>0</x:v>
      </x:c>
      <x:c r="AB1542"/>
      <x:c r="AC1542" t="n">
        <x:v>0</x:v>
      </x:c>
      <x:c r="AD1542" t="n">
        <x:v>-0.5883551151491702</x:v>
      </x:c>
      <x:c r="AE1542" t="n">
        <x:v>0</x:v>
      </x:c>
      <x:c r="AF1542" t="n">
        <x:v>-0.01204758882522583</x:v>
      </x:c>
      <x:c r="AG1542" t="n">
        <x:f>_xlfn.XLOOKUP($A1542,Games!$A$2:$A$18,Games!$B$2:$B$18,"Missing game",0)</x:f>
        <x:v>2025</x:v>
      </x:c>
      <x:c r="AH1542" t="str">
        <x:f>_xlfn.XLOOKUP($A1542,Games!$A$2:$A$18,Games!$C$2:$C$18,"Missing game",0)</x:f>
        <x:v>REG</x:v>
      </x:c>
      <x:c r="AI1542" t="n">
        <x:f>_xlfn.XLOOKUP($A1542,Games!$A$2:$A$18,Games!$D$2:$D$18,"Missing game",0)</x:f>
        <x:v>11</x:v>
      </x:c>
      <x:c r="AJ1542" s="1" t="n">
        <x:f>_xlfn.XLOOKUP($A1542,Games!$A$2:$A$18,Games!$E$2:$E$18,"Missing game",0)</x:f>
        <x:v>45977</x:v>
      </x:c>
      <x:c r="AK1542" t="str">
        <x:f>_xlfn.XLOOKUP($A1542,Games!$A$2:$A$18,Games!$F$2:$F$18,"Missing game",0)</x:f>
        <x:v>Sunday</x:v>
      </x:c>
      <x:c r="AL1542" t="str">
        <x:f>_xlfn.XLOOKUP($A1542,Games!$A$2:$A$18,Games!$G$2:$G$18,"Missing game",0)</x:f>
        <x:v>CHI</x:v>
      </x:c>
      <x:c r="AM1542" t="n">
        <x:f>_xlfn.XLOOKUP($A1542,Games!$A$2:$A$18,Games!$H$2:$H$18,"Missing game",0)</x:f>
        <x:v>19</x:v>
      </x:c>
      <x:c r="AN1542" t="str">
        <x:f>_xlfn.XLOOKUP($A1542,Games!$A$2:$A$18,Games!$I$2:$I$18,"Missing game",0)</x:f>
        <x:v>MIN</x:v>
      </x:c>
      <x:c r="AO1542" t="n">
        <x:f>_xlfn.XLOOKUP($A1542,Games!$A$2:$A$18,Games!$J$2:$J$18,"Missing game",0)</x:f>
        <x:v>17</x:v>
      </x:c>
      <x:c r="AP1542" t="n">
        <x:f>_xlfn.XLOOKUP($A1542,Games!$A$2:$A$18,Games!$K$2:$K$18,"Missing game",0)</x:f>
        <x:v>-2</x:v>
      </x:c>
      <x:c r="AQ1542" t="n">
        <x:f>_xlfn.XLOOKUP($A1542,Games!$A$2:$A$18,Games!$L$2:$L$18,"Missing game",0)</x:f>
        <x:v>36</x:v>
      </x:c>
      <x:c r="AR1542" t="n">
        <x:f>_xlfn.XLOOKUP($A1542,Games!$A$2:$A$18,Games!$M$2:$M$18,"Missing game",0)</x:f>
        <x:v>0</x:v>
      </x:c>
      <x:c r="AS1542" t="str">
        <x:f>_xlfn.XLOOKUP($A1542,Games!$A$2:$A$18,Games!$N$2:$N$18,"Missing game",0)</x:f>
        <x:v>dome</x:v>
      </x:c>
      <x:c r="AT1542" t="str">
        <x:f>_xlfn.XLOOKUP($A1542,Games!$A$2:$A$18,Games!$O$2:$O$18,"Missing game",0)</x:f>
        <x:v>sportturf</x:v>
      </x:c>
      <x:c r="AU1542" t="str">
        <x:f>_xlfn.XLOOKUP($A1542,Games!$A$2:$A$18,Games!$P$2:$P$18,"Missing game",0)</x:f>
      </x:c>
      <x:c r="AV1542" t="str">
        <x:f>_xlfn.XLOOKUP($A1542,Games!$A$2:$A$18,Games!$Q$2:$Q$18,"Missing game",0)</x:f>
      </x:c>
      <x:c r="AW1542" t="str">
        <x:f>_xlfn.XLOOKUP($A1542,Games!$A$2:$A$18,Games!$R$2:$R$18,"Missing game",0)</x:f>
        <x:v>U.S. Bank Stadium</x:v>
      </x:c>
    </x:row>
    <x:row r="1543">
      <x:c r="A1543" t="str">
        <x:v>2025_11_CHI_MIN</x:v>
      </x:c>
      <x:c r="B1543" t="n">
        <x:v>147</x:v>
      </x:c>
      <x:c r="C1543" t="n">
        <x:v>1</x:v>
      </x:c>
      <x:c r="D1543" t="str">
        <x:v>12:37</x:v>
      </x:c>
      <x:c r="E1543" t="n">
        <x:v>2</x:v>
      </x:c>
      <x:c r="F1543" t="n">
        <x:v>9</x:v>
      </x:c>
      <x:c r="G1543" t="str">
        <x:v>MIN</x:v>
      </x:c>
      <x:c r="H1543" t="str">
        <x:v>CHI</x:v>
      </x:c>
      <x:c r="I1543" t="str">
        <x:v>MIN</x:v>
      </x:c>
      <x:c r="J1543" t="n">
        <x:v>68</x:v>
      </x:c>
      <x:c r="K1543" t="str">
        <x:v>(12:37) (Shotgun) 9-J.McCarthy pass short left to 87-T.Hockenson to MIN 39 for 7 yards (35-C.Gardner-Johnson; 97-A.Billings).</x:v>
      </x:c>
      <x:c r="L1543" t="str">
        <x:v>pass</x:v>
      </x:c>
      <x:c r="M1543" t="n">
        <x:v>7</x:v>
      </x:c>
      <x:c r="N1543" t="n">
        <x:v>1</x:v>
      </x:c>
      <x:c r="O1543" t="n">
        <x:v>0</x:v>
      </x:c>
      <x:c r="P1543" t="str">
        <x:v>short</x:v>
      </x:c>
      <x:c r="Q1543" t="str">
        <x:v>left</x:v>
      </x:c>
      <x:c r="R1543" t="n">
        <x:v>-3</x:v>
      </x:c>
      <x:c r="S1543" t="n">
        <x:v>10</x:v>
      </x:c>
      <x:c r="T1543"/>
      <x:c r="U1543"/>
      <x:c r="V1543" t="n">
        <x:v>1</x:v>
      </x:c>
      <x:c r="W1543" t="n">
        <x:v>0</x:v>
      </x:c>
      <x:c r="X1543" t="n">
        <x:v>0</x:v>
      </x:c>
      <x:c r="Y1543" t="n">
        <x:v>0</x:v>
      </x:c>
      <x:c r="Z1543" t="n">
        <x:v>0</x:v>
      </x:c>
      <x:c r="AA1543" t="n">
        <x:v>0</x:v>
      </x:c>
      <x:c r="AB1543"/>
      <x:c r="AC1543" t="n">
        <x:v>0</x:v>
      </x:c>
      <x:c r="AD1543" t="n">
        <x:v>0.1641188533976674</x:v>
      </x:c>
      <x:c r="AE1543" t="n">
        <x:v>1</x:v>
      </x:c>
      <x:c r="AF1543" t="n">
        <x:v>0.008873581886291504</x:v>
      </x:c>
      <x:c r="AG1543" t="n">
        <x:f>_xlfn.XLOOKUP($A1543,Games!$A$2:$A$18,Games!$B$2:$B$18,"Missing game",0)</x:f>
        <x:v>2025</x:v>
      </x:c>
      <x:c r="AH1543" t="str">
        <x:f>_xlfn.XLOOKUP($A1543,Games!$A$2:$A$18,Games!$C$2:$C$18,"Missing game",0)</x:f>
        <x:v>REG</x:v>
      </x:c>
      <x:c r="AI1543" t="n">
        <x:f>_xlfn.XLOOKUP($A1543,Games!$A$2:$A$18,Games!$D$2:$D$18,"Missing game",0)</x:f>
        <x:v>11</x:v>
      </x:c>
      <x:c r="AJ1543" s="1" t="n">
        <x:f>_xlfn.XLOOKUP($A1543,Games!$A$2:$A$18,Games!$E$2:$E$18,"Missing game",0)</x:f>
        <x:v>45977</x:v>
      </x:c>
      <x:c r="AK1543" t="str">
        <x:f>_xlfn.XLOOKUP($A1543,Games!$A$2:$A$18,Games!$F$2:$F$18,"Missing game",0)</x:f>
        <x:v>Sunday</x:v>
      </x:c>
      <x:c r="AL1543" t="str">
        <x:f>_xlfn.XLOOKUP($A1543,Games!$A$2:$A$18,Games!$G$2:$G$18,"Missing game",0)</x:f>
        <x:v>CHI</x:v>
      </x:c>
      <x:c r="AM1543" t="n">
        <x:f>_xlfn.XLOOKUP($A1543,Games!$A$2:$A$18,Games!$H$2:$H$18,"Missing game",0)</x:f>
        <x:v>19</x:v>
      </x:c>
      <x:c r="AN1543" t="str">
        <x:f>_xlfn.XLOOKUP($A1543,Games!$A$2:$A$18,Games!$I$2:$I$18,"Missing game",0)</x:f>
        <x:v>MIN</x:v>
      </x:c>
      <x:c r="AO1543" t="n">
        <x:f>_xlfn.XLOOKUP($A1543,Games!$A$2:$A$18,Games!$J$2:$J$18,"Missing game",0)</x:f>
        <x:v>17</x:v>
      </x:c>
      <x:c r="AP1543" t="n">
        <x:f>_xlfn.XLOOKUP($A1543,Games!$A$2:$A$18,Games!$K$2:$K$18,"Missing game",0)</x:f>
        <x:v>-2</x:v>
      </x:c>
      <x:c r="AQ1543" t="n">
        <x:f>_xlfn.XLOOKUP($A1543,Games!$A$2:$A$18,Games!$L$2:$L$18,"Missing game",0)</x:f>
        <x:v>36</x:v>
      </x:c>
      <x:c r="AR1543" t="n">
        <x:f>_xlfn.XLOOKUP($A1543,Games!$A$2:$A$18,Games!$M$2:$M$18,"Missing game",0)</x:f>
        <x:v>0</x:v>
      </x:c>
      <x:c r="AS1543" t="str">
        <x:f>_xlfn.XLOOKUP($A1543,Games!$A$2:$A$18,Games!$N$2:$N$18,"Missing game",0)</x:f>
        <x:v>dome</x:v>
      </x:c>
      <x:c r="AT1543" t="str">
        <x:f>_xlfn.XLOOKUP($A1543,Games!$A$2:$A$18,Games!$O$2:$O$18,"Missing game",0)</x:f>
        <x:v>sportturf</x:v>
      </x:c>
      <x:c r="AU1543" t="str">
        <x:f>_xlfn.XLOOKUP($A1543,Games!$A$2:$A$18,Games!$P$2:$P$18,"Missing game",0)</x:f>
      </x:c>
      <x:c r="AV1543" t="str">
        <x:f>_xlfn.XLOOKUP($A1543,Games!$A$2:$A$18,Games!$Q$2:$Q$18,"Missing game",0)</x:f>
      </x:c>
      <x:c r="AW1543" t="str">
        <x:f>_xlfn.XLOOKUP($A1543,Games!$A$2:$A$18,Games!$R$2:$R$18,"Missing game",0)</x:f>
        <x:v>U.S. Bank Stadium</x:v>
      </x:c>
    </x:row>
    <x:row r="1544">
      <x:c r="A1544" t="str">
        <x:v>2025_11_CHI_MIN</x:v>
      </x:c>
      <x:c r="B1544" t="n">
        <x:v>172</x:v>
      </x:c>
      <x:c r="C1544" t="n">
        <x:v>1</x:v>
      </x:c>
      <x:c r="D1544" t="str">
        <x:v>11:50</x:v>
      </x:c>
      <x:c r="E1544" t="n">
        <x:v>3</x:v>
      </x:c>
      <x:c r="F1544" t="n">
        <x:v>2</x:v>
      </x:c>
      <x:c r="G1544" t="str">
        <x:v>MIN</x:v>
      </x:c>
      <x:c r="H1544" t="str">
        <x:v>CHI</x:v>
      </x:c>
      <x:c r="I1544" t="str">
        <x:v>MIN</x:v>
      </x:c>
      <x:c r="J1544" t="n">
        <x:v>61</x:v>
      </x:c>
      <x:c r="K1544" t="str">
        <x:v>(11:50) (Shotgun) 33-A.Jones up the middle to MIN 41 for 2 yards (44-N.Sewell; 49-T.Edmunds).</x:v>
      </x:c>
      <x:c r="L1544" t="str">
        <x:v>run</x:v>
      </x:c>
      <x:c r="M1544" t="n">
        <x:v>2</x:v>
      </x:c>
      <x:c r="N1544" t="n">
        <x:v>1</x:v>
      </x:c>
      <x:c r="O1544" t="n">
        <x:v>0</x:v>
      </x:c>
      <x:c r="P1544"/>
      <x:c r="Q1544"/>
      <x:c r="R1544"/>
      <x:c r="S1544"/>
      <x:c r="T1544" t="str">
        <x:v>middle</x:v>
      </x:c>
      <x:c r="U1544"/>
      <x:c r="V1544" t="n">
        <x:v>0</x:v>
      </x:c>
      <x:c r="W1544" t="n">
        <x:v>1</x:v>
      </x:c>
      <x:c r="X1544" t="n">
        <x:v>0</x:v>
      </x:c>
      <x:c r="Y1544" t="n">
        <x:v>0</x:v>
      </x:c>
      <x:c r="Z1544" t="n">
        <x:v>0</x:v>
      </x:c>
      <x:c r="AA1544" t="n">
        <x:v>0</x:v>
      </x:c>
      <x:c r="AB1544"/>
      <x:c r="AC1544" t="n">
        <x:v>0</x:v>
      </x:c>
      <x:c r="AD1544" t="n">
        <x:v>0.8420483840163797</x:v>
      </x:c>
      <x:c r="AE1544" t="n">
        <x:v>1</x:v>
      </x:c>
      <x:c r="AF1544" t="n">
        <x:v>0.023259282112121582</x:v>
      </x:c>
      <x:c r="AG1544" t="n">
        <x:f>_xlfn.XLOOKUP($A1544,Games!$A$2:$A$18,Games!$B$2:$B$18,"Missing game",0)</x:f>
        <x:v>2025</x:v>
      </x:c>
      <x:c r="AH1544" t="str">
        <x:f>_xlfn.XLOOKUP($A1544,Games!$A$2:$A$18,Games!$C$2:$C$18,"Missing game",0)</x:f>
        <x:v>REG</x:v>
      </x:c>
      <x:c r="AI1544" t="n">
        <x:f>_xlfn.XLOOKUP($A1544,Games!$A$2:$A$18,Games!$D$2:$D$18,"Missing game",0)</x:f>
        <x:v>11</x:v>
      </x:c>
      <x:c r="AJ1544" s="1" t="n">
        <x:f>_xlfn.XLOOKUP($A1544,Games!$A$2:$A$18,Games!$E$2:$E$18,"Missing game",0)</x:f>
        <x:v>45977</x:v>
      </x:c>
      <x:c r="AK1544" t="str">
        <x:f>_xlfn.XLOOKUP($A1544,Games!$A$2:$A$18,Games!$F$2:$F$18,"Missing game",0)</x:f>
        <x:v>Sunday</x:v>
      </x:c>
      <x:c r="AL1544" t="str">
        <x:f>_xlfn.XLOOKUP($A1544,Games!$A$2:$A$18,Games!$G$2:$G$18,"Missing game",0)</x:f>
        <x:v>CHI</x:v>
      </x:c>
      <x:c r="AM1544" t="n">
        <x:f>_xlfn.XLOOKUP($A1544,Games!$A$2:$A$18,Games!$H$2:$H$18,"Missing game",0)</x:f>
        <x:v>19</x:v>
      </x:c>
      <x:c r="AN1544" t="str">
        <x:f>_xlfn.XLOOKUP($A1544,Games!$A$2:$A$18,Games!$I$2:$I$18,"Missing game",0)</x:f>
        <x:v>MIN</x:v>
      </x:c>
      <x:c r="AO1544" t="n">
        <x:f>_xlfn.XLOOKUP($A1544,Games!$A$2:$A$18,Games!$J$2:$J$18,"Missing game",0)</x:f>
        <x:v>17</x:v>
      </x:c>
      <x:c r="AP1544" t="n">
        <x:f>_xlfn.XLOOKUP($A1544,Games!$A$2:$A$18,Games!$K$2:$K$18,"Missing game",0)</x:f>
        <x:v>-2</x:v>
      </x:c>
      <x:c r="AQ1544" t="n">
        <x:f>_xlfn.XLOOKUP($A1544,Games!$A$2:$A$18,Games!$L$2:$L$18,"Missing game",0)</x:f>
        <x:v>36</x:v>
      </x:c>
      <x:c r="AR1544" t="n">
        <x:f>_xlfn.XLOOKUP($A1544,Games!$A$2:$A$18,Games!$M$2:$M$18,"Missing game",0)</x:f>
        <x:v>0</x:v>
      </x:c>
      <x:c r="AS1544" t="str">
        <x:f>_xlfn.XLOOKUP($A1544,Games!$A$2:$A$18,Games!$N$2:$N$18,"Missing game",0)</x:f>
        <x:v>dome</x:v>
      </x:c>
      <x:c r="AT1544" t="str">
        <x:f>_xlfn.XLOOKUP($A1544,Games!$A$2:$A$18,Games!$O$2:$O$18,"Missing game",0)</x:f>
        <x:v>sportturf</x:v>
      </x:c>
      <x:c r="AU1544" t="str">
        <x:f>_xlfn.XLOOKUP($A1544,Games!$A$2:$A$18,Games!$P$2:$P$18,"Missing game",0)</x:f>
      </x:c>
      <x:c r="AV1544" t="str">
        <x:f>_xlfn.XLOOKUP($A1544,Games!$A$2:$A$18,Games!$Q$2:$Q$18,"Missing game",0)</x:f>
      </x:c>
      <x:c r="AW1544" t="str">
        <x:f>_xlfn.XLOOKUP($A1544,Games!$A$2:$A$18,Games!$R$2:$R$18,"Missing game",0)</x:f>
        <x:v>U.S. Bank Stadium</x:v>
      </x:c>
    </x:row>
    <x:row r="1545">
      <x:c r="A1545" t="str">
        <x:v>2025_11_CHI_MIN</x:v>
      </x:c>
      <x:c r="B1545" t="n">
        <x:v>194</x:v>
      </x:c>
      <x:c r="C1545" t="n">
        <x:v>1</x:v>
      </x:c>
      <x:c r="D1545" t="str">
        <x:v>11:14</x:v>
      </x:c>
      <x:c r="E1545" t="n">
        <x:v>1</x:v>
      </x:c>
      <x:c r="F1545" t="n">
        <x:v>10</x:v>
      </x:c>
      <x:c r="G1545" t="str">
        <x:v>MIN</x:v>
      </x:c>
      <x:c r="H1545" t="str">
        <x:v>CHI</x:v>
      </x:c>
      <x:c r="I1545" t="str">
        <x:v>MIN</x:v>
      </x:c>
      <x:c r="J1545" t="n">
        <x:v>59</x:v>
      </x:c>
      <x:c r="K1545" t="str">
        <x:v>(11:14) 9-J.McCarthy pass incomplete deep left to 3-J.Addison.</x:v>
      </x:c>
      <x:c r="L1545" t="str">
        <x:v>pass</x:v>
      </x:c>
      <x:c r="M1545" t="n">
        <x:v>0</x:v>
      </x:c>
      <x:c r="N1545" t="n">
        <x:v>0</x:v>
      </x:c>
      <x:c r="O1545" t="n">
        <x:v>0</x:v>
      </x:c>
      <x:c r="P1545" t="str">
        <x:v>deep</x:v>
      </x:c>
      <x:c r="Q1545" t="str">
        <x:v>left</x:v>
      </x:c>
      <x:c r="R1545" t="n">
        <x:v>31</x:v>
      </x:c>
      <x:c r="S1545"/>
      <x:c r="T1545"/>
      <x:c r="U1545"/>
      <x:c r="V1545" t="n">
        <x:v>0</x:v>
      </x:c>
      <x:c r="W1545" t="n">
        <x:v>0</x:v>
      </x:c>
      <x:c r="X1545" t="n">
        <x:v>0</x:v>
      </x:c>
      <x:c r="Y1545" t="n">
        <x:v>0</x:v>
      </x:c>
      <x:c r="Z1545" t="n">
        <x:v>0</x:v>
      </x:c>
      <x:c r="AA1545" t="n">
        <x:v>0</x:v>
      </x:c>
      <x:c r="AB1545"/>
      <x:c r="AC1545" t="n">
        <x:v>0</x:v>
      </x:c>
      <x:c r="AD1545" t="n">
        <x:v>-0.5343840871937573</x:v>
      </x:c>
      <x:c r="AE1545" t="n">
        <x:v>0</x:v>
      </x:c>
      <x:c r="AF1545" t="n">
        <x:v>-0.01803678274154663</x:v>
      </x:c>
      <x:c r="AG1545" t="n">
        <x:f>_xlfn.XLOOKUP($A1545,Games!$A$2:$A$18,Games!$B$2:$B$18,"Missing game",0)</x:f>
        <x:v>2025</x:v>
      </x:c>
      <x:c r="AH1545" t="str">
        <x:f>_xlfn.XLOOKUP($A1545,Games!$A$2:$A$18,Games!$C$2:$C$18,"Missing game",0)</x:f>
        <x:v>REG</x:v>
      </x:c>
      <x:c r="AI1545" t="n">
        <x:f>_xlfn.XLOOKUP($A1545,Games!$A$2:$A$18,Games!$D$2:$D$18,"Missing game",0)</x:f>
        <x:v>11</x:v>
      </x:c>
      <x:c r="AJ1545" s="1" t="n">
        <x:f>_xlfn.XLOOKUP($A1545,Games!$A$2:$A$18,Games!$E$2:$E$18,"Missing game",0)</x:f>
        <x:v>45977</x:v>
      </x:c>
      <x:c r="AK1545" t="str">
        <x:f>_xlfn.XLOOKUP($A1545,Games!$A$2:$A$18,Games!$F$2:$F$18,"Missing game",0)</x:f>
        <x:v>Sunday</x:v>
      </x:c>
      <x:c r="AL1545" t="str">
        <x:f>_xlfn.XLOOKUP($A1545,Games!$A$2:$A$18,Games!$G$2:$G$18,"Missing game",0)</x:f>
        <x:v>CHI</x:v>
      </x:c>
      <x:c r="AM1545" t="n">
        <x:f>_xlfn.XLOOKUP($A1545,Games!$A$2:$A$18,Games!$H$2:$H$18,"Missing game",0)</x:f>
        <x:v>19</x:v>
      </x:c>
      <x:c r="AN1545" t="str">
        <x:f>_xlfn.XLOOKUP($A1545,Games!$A$2:$A$18,Games!$I$2:$I$18,"Missing game",0)</x:f>
        <x:v>MIN</x:v>
      </x:c>
      <x:c r="AO1545" t="n">
        <x:f>_xlfn.XLOOKUP($A1545,Games!$A$2:$A$18,Games!$J$2:$J$18,"Missing game",0)</x:f>
        <x:v>17</x:v>
      </x:c>
      <x:c r="AP1545" t="n">
        <x:f>_xlfn.XLOOKUP($A1545,Games!$A$2:$A$18,Games!$K$2:$K$18,"Missing game",0)</x:f>
        <x:v>-2</x:v>
      </x:c>
      <x:c r="AQ1545" t="n">
        <x:f>_xlfn.XLOOKUP($A1545,Games!$A$2:$A$18,Games!$L$2:$L$18,"Missing game",0)</x:f>
        <x:v>36</x:v>
      </x:c>
      <x:c r="AR1545" t="n">
        <x:f>_xlfn.XLOOKUP($A1545,Games!$A$2:$A$18,Games!$M$2:$M$18,"Missing game",0)</x:f>
        <x:v>0</x:v>
      </x:c>
      <x:c r="AS1545" t="str">
        <x:f>_xlfn.XLOOKUP($A1545,Games!$A$2:$A$18,Games!$N$2:$N$18,"Missing game",0)</x:f>
        <x:v>dome</x:v>
      </x:c>
      <x:c r="AT1545" t="str">
        <x:f>_xlfn.XLOOKUP($A1545,Games!$A$2:$A$18,Games!$O$2:$O$18,"Missing game",0)</x:f>
        <x:v>sportturf</x:v>
      </x:c>
      <x:c r="AU1545" t="str">
        <x:f>_xlfn.XLOOKUP($A1545,Games!$A$2:$A$18,Games!$P$2:$P$18,"Missing game",0)</x:f>
      </x:c>
      <x:c r="AV1545" t="str">
        <x:f>_xlfn.XLOOKUP($A1545,Games!$A$2:$A$18,Games!$Q$2:$Q$18,"Missing game",0)</x:f>
      </x:c>
      <x:c r="AW1545" t="str">
        <x:f>_xlfn.XLOOKUP($A1545,Games!$A$2:$A$18,Games!$R$2:$R$18,"Missing game",0)</x:f>
        <x:v>U.S. Bank Stadium</x:v>
      </x:c>
    </x:row>
    <x:row r="1546">
      <x:c r="A1546" t="str">
        <x:v>2025_11_CHI_MIN</x:v>
      </x:c>
      <x:c r="B1546" t="n">
        <x:v>217</x:v>
      </x:c>
      <x:c r="C1546" t="n">
        <x:v>1</x:v>
      </x:c>
      <x:c r="D1546" t="str">
        <x:v>11:09</x:v>
      </x:c>
      <x:c r="E1546" t="n">
        <x:v>2</x:v>
      </x:c>
      <x:c r="F1546" t="n">
        <x:v>10</x:v>
      </x:c>
      <x:c r="G1546" t="str">
        <x:v>MIN</x:v>
      </x:c>
      <x:c r="H1546" t="str">
        <x:v>CHI</x:v>
      </x:c>
      <x:c r="I1546" t="str">
        <x:v>MIN</x:v>
      </x:c>
      <x:c r="J1546" t="n">
        <x:v>59</x:v>
      </x:c>
      <x:c r="K1546" t="str">
        <x:v>(11:09) (Shotgun) 33-A.Jones up the middle to MIN 48 for 7 yards (90-D.Robinson).</x:v>
      </x:c>
      <x:c r="L1546" t="str">
        <x:v>run</x:v>
      </x:c>
      <x:c r="M1546" t="n">
        <x:v>7</x:v>
      </x:c>
      <x:c r="N1546" t="n">
        <x:v>1</x:v>
      </x:c>
      <x:c r="O1546" t="n">
        <x:v>0</x:v>
      </x:c>
      <x:c r="P1546"/>
      <x:c r="Q1546"/>
      <x:c r="R1546"/>
      <x:c r="S1546"/>
      <x:c r="T1546" t="str">
        <x:v>middle</x:v>
      </x:c>
      <x:c r="U1546"/>
      <x:c r="V1546" t="n">
        <x:v>0</x:v>
      </x:c>
      <x:c r="W1546" t="n">
        <x:v>0</x:v>
      </x:c>
      <x:c r="X1546" t="n">
        <x:v>0</x:v>
      </x:c>
      <x:c r="Y1546" t="n">
        <x:v>0</x:v>
      </x:c>
      <x:c r="Z1546" t="n">
        <x:v>0</x:v>
      </x:c>
      <x:c r="AA1546" t="n">
        <x:v>0</x:v>
      </x:c>
      <x:c r="AB1546"/>
      <x:c r="AC1546" t="n">
        <x:v>0</x:v>
      </x:c>
      <x:c r="AD1546" t="n">
        <x:v>0.006085969042032957</x:v>
      </x:c>
      <x:c r="AE1546" t="n">
        <x:v>1</x:v>
      </x:c>
      <x:c r="AF1546" t="n">
        <x:v>0.0038651227951049805</x:v>
      </x:c>
      <x:c r="AG1546" t="n">
        <x:f>_xlfn.XLOOKUP($A1546,Games!$A$2:$A$18,Games!$B$2:$B$18,"Missing game",0)</x:f>
        <x:v>2025</x:v>
      </x:c>
      <x:c r="AH1546" t="str">
        <x:f>_xlfn.XLOOKUP($A1546,Games!$A$2:$A$18,Games!$C$2:$C$18,"Missing game",0)</x:f>
        <x:v>REG</x:v>
      </x:c>
      <x:c r="AI1546" t="n">
        <x:f>_xlfn.XLOOKUP($A1546,Games!$A$2:$A$18,Games!$D$2:$D$18,"Missing game",0)</x:f>
        <x:v>11</x:v>
      </x:c>
      <x:c r="AJ1546" s="1" t="n">
        <x:f>_xlfn.XLOOKUP($A1546,Games!$A$2:$A$18,Games!$E$2:$E$18,"Missing game",0)</x:f>
        <x:v>45977</x:v>
      </x:c>
      <x:c r="AK1546" t="str">
        <x:f>_xlfn.XLOOKUP($A1546,Games!$A$2:$A$18,Games!$F$2:$F$18,"Missing game",0)</x:f>
        <x:v>Sunday</x:v>
      </x:c>
      <x:c r="AL1546" t="str">
        <x:f>_xlfn.XLOOKUP($A1546,Games!$A$2:$A$18,Games!$G$2:$G$18,"Missing game",0)</x:f>
        <x:v>CHI</x:v>
      </x:c>
      <x:c r="AM1546" t="n">
        <x:f>_xlfn.XLOOKUP($A1546,Games!$A$2:$A$18,Games!$H$2:$H$18,"Missing game",0)</x:f>
        <x:v>19</x:v>
      </x:c>
      <x:c r="AN1546" t="str">
        <x:f>_xlfn.XLOOKUP($A1546,Games!$A$2:$A$18,Games!$I$2:$I$18,"Missing game",0)</x:f>
        <x:v>MIN</x:v>
      </x:c>
      <x:c r="AO1546" t="n">
        <x:f>_xlfn.XLOOKUP($A1546,Games!$A$2:$A$18,Games!$J$2:$J$18,"Missing game",0)</x:f>
        <x:v>17</x:v>
      </x:c>
      <x:c r="AP1546" t="n">
        <x:f>_xlfn.XLOOKUP($A1546,Games!$A$2:$A$18,Games!$K$2:$K$18,"Missing game",0)</x:f>
        <x:v>-2</x:v>
      </x:c>
      <x:c r="AQ1546" t="n">
        <x:f>_xlfn.XLOOKUP($A1546,Games!$A$2:$A$18,Games!$L$2:$L$18,"Missing game",0)</x:f>
        <x:v>36</x:v>
      </x:c>
      <x:c r="AR1546" t="n">
        <x:f>_xlfn.XLOOKUP($A1546,Games!$A$2:$A$18,Games!$M$2:$M$18,"Missing game",0)</x:f>
        <x:v>0</x:v>
      </x:c>
      <x:c r="AS1546" t="str">
        <x:f>_xlfn.XLOOKUP($A1546,Games!$A$2:$A$18,Games!$N$2:$N$18,"Missing game",0)</x:f>
        <x:v>dome</x:v>
      </x:c>
      <x:c r="AT1546" t="str">
        <x:f>_xlfn.XLOOKUP($A1546,Games!$A$2:$A$18,Games!$O$2:$O$18,"Missing game",0)</x:f>
        <x:v>sportturf</x:v>
      </x:c>
      <x:c r="AU1546" t="str">
        <x:f>_xlfn.XLOOKUP($A1546,Games!$A$2:$A$18,Games!$P$2:$P$18,"Missing game",0)</x:f>
      </x:c>
      <x:c r="AV1546" t="str">
        <x:f>_xlfn.XLOOKUP($A1546,Games!$A$2:$A$18,Games!$Q$2:$Q$18,"Missing game",0)</x:f>
      </x:c>
      <x:c r="AW1546" t="str">
        <x:f>_xlfn.XLOOKUP($A1546,Games!$A$2:$A$18,Games!$R$2:$R$18,"Missing game",0)</x:f>
        <x:v>U.S. Bank Stadium</x:v>
      </x:c>
    </x:row>
    <x:row r="1547">
      <x:c r="A1547" t="str">
        <x:v>2025_11_CHI_MIN</x:v>
      </x:c>
      <x:c r="B1547" t="n">
        <x:v>239</x:v>
      </x:c>
      <x:c r="C1547" t="n">
        <x:v>1</x:v>
      </x:c>
      <x:c r="D1547" t="str">
        <x:v>10:30</x:v>
      </x:c>
      <x:c r="E1547" t="n">
        <x:v>3</x:v>
      </x:c>
      <x:c r="F1547" t="n">
        <x:v>3</x:v>
      </x:c>
      <x:c r="G1547" t="str">
        <x:v>MIN</x:v>
      </x:c>
      <x:c r="H1547" t="str">
        <x:v>CHI</x:v>
      </x:c>
      <x:c r="I1547" t="str">
        <x:v>MIN</x:v>
      </x:c>
      <x:c r="J1547" t="n">
        <x:v>52</x:v>
      </x:c>
      <x:c r="K1547" t="str">
        <x:v>(10:30) (Shotgun) 9-J.McCarthy pass incomplete short left to 18-J.Jefferson [94-A.Booker].</x:v>
      </x:c>
      <x:c r="L1547" t="str">
        <x:v>pass</x:v>
      </x:c>
      <x:c r="M1547" t="n">
        <x:v>0</x:v>
      </x:c>
      <x:c r="N1547" t="n">
        <x:v>1</x:v>
      </x:c>
      <x:c r="O1547" t="n">
        <x:v>0</x:v>
      </x:c>
      <x:c r="P1547" t="str">
        <x:v>short</x:v>
      </x:c>
      <x:c r="Q1547" t="str">
        <x:v>left</x:v>
      </x:c>
      <x:c r="R1547" t="n">
        <x:v>8</x:v>
      </x:c>
      <x:c r="S1547"/>
      <x:c r="T1547"/>
      <x:c r="U1547"/>
      <x:c r="V1547" t="n">
        <x:v>0</x:v>
      </x:c>
      <x:c r="W1547" t="n">
        <x:v>0</x:v>
      </x:c>
      <x:c r="X1547" t="n">
        <x:v>0</x:v>
      </x:c>
      <x:c r="Y1547" t="n">
        <x:v>0</x:v>
      </x:c>
      <x:c r="Z1547" t="n">
        <x:v>0</x:v>
      </x:c>
      <x:c r="AA1547" t="n">
        <x:v>0</x:v>
      </x:c>
      <x:c r="AB1547"/>
      <x:c r="AC1547" t="n">
        <x:v>0</x:v>
      </x:c>
      <x:c r="AD1547" t="n">
        <x:v>-1.8400940673891455</x:v>
      </x:c>
      <x:c r="AE1547" t="n">
        <x:v>0</x:v>
      </x:c>
      <x:c r="AF1547" t="n">
        <x:v>-0.05472850799560547</x:v>
      </x:c>
      <x:c r="AG1547" t="n">
        <x:f>_xlfn.XLOOKUP($A1547,Games!$A$2:$A$18,Games!$B$2:$B$18,"Missing game",0)</x:f>
        <x:v>2025</x:v>
      </x:c>
      <x:c r="AH1547" t="str">
        <x:f>_xlfn.XLOOKUP($A1547,Games!$A$2:$A$18,Games!$C$2:$C$18,"Missing game",0)</x:f>
        <x:v>REG</x:v>
      </x:c>
      <x:c r="AI1547" t="n">
        <x:f>_xlfn.XLOOKUP($A1547,Games!$A$2:$A$18,Games!$D$2:$D$18,"Missing game",0)</x:f>
        <x:v>11</x:v>
      </x:c>
      <x:c r="AJ1547" s="1" t="n">
        <x:f>_xlfn.XLOOKUP($A1547,Games!$A$2:$A$18,Games!$E$2:$E$18,"Missing game",0)</x:f>
        <x:v>45977</x:v>
      </x:c>
      <x:c r="AK1547" t="str">
        <x:f>_xlfn.XLOOKUP($A1547,Games!$A$2:$A$18,Games!$F$2:$F$18,"Missing game",0)</x:f>
        <x:v>Sunday</x:v>
      </x:c>
      <x:c r="AL1547" t="str">
        <x:f>_xlfn.XLOOKUP($A1547,Games!$A$2:$A$18,Games!$G$2:$G$18,"Missing game",0)</x:f>
        <x:v>CHI</x:v>
      </x:c>
      <x:c r="AM1547" t="n">
        <x:f>_xlfn.XLOOKUP($A1547,Games!$A$2:$A$18,Games!$H$2:$H$18,"Missing game",0)</x:f>
        <x:v>19</x:v>
      </x:c>
      <x:c r="AN1547" t="str">
        <x:f>_xlfn.XLOOKUP($A1547,Games!$A$2:$A$18,Games!$I$2:$I$18,"Missing game",0)</x:f>
        <x:v>MIN</x:v>
      </x:c>
      <x:c r="AO1547" t="n">
        <x:f>_xlfn.XLOOKUP($A1547,Games!$A$2:$A$18,Games!$J$2:$J$18,"Missing game",0)</x:f>
        <x:v>17</x:v>
      </x:c>
      <x:c r="AP1547" t="n">
        <x:f>_xlfn.XLOOKUP($A1547,Games!$A$2:$A$18,Games!$K$2:$K$18,"Missing game",0)</x:f>
        <x:v>-2</x:v>
      </x:c>
      <x:c r="AQ1547" t="n">
        <x:f>_xlfn.XLOOKUP($A1547,Games!$A$2:$A$18,Games!$L$2:$L$18,"Missing game",0)</x:f>
        <x:v>36</x:v>
      </x:c>
      <x:c r="AR1547" t="n">
        <x:f>_xlfn.XLOOKUP($A1547,Games!$A$2:$A$18,Games!$M$2:$M$18,"Missing game",0)</x:f>
        <x:v>0</x:v>
      </x:c>
      <x:c r="AS1547" t="str">
        <x:f>_xlfn.XLOOKUP($A1547,Games!$A$2:$A$18,Games!$N$2:$N$18,"Missing game",0)</x:f>
        <x:v>dome</x:v>
      </x:c>
      <x:c r="AT1547" t="str">
        <x:f>_xlfn.XLOOKUP($A1547,Games!$A$2:$A$18,Games!$O$2:$O$18,"Missing game",0)</x:f>
        <x:v>sportturf</x:v>
      </x:c>
      <x:c r="AU1547" t="str">
        <x:f>_xlfn.XLOOKUP($A1547,Games!$A$2:$A$18,Games!$P$2:$P$18,"Missing game",0)</x:f>
      </x:c>
      <x:c r="AV1547" t="str">
        <x:f>_xlfn.XLOOKUP($A1547,Games!$A$2:$A$18,Games!$Q$2:$Q$18,"Missing game",0)</x:f>
      </x:c>
      <x:c r="AW1547" t="str">
        <x:f>_xlfn.XLOOKUP($A1547,Games!$A$2:$A$18,Games!$R$2:$R$18,"Missing game",0)</x:f>
        <x:v>U.S. Bank Stadium</x:v>
      </x:c>
    </x:row>
    <x:row r="1548">
      <x:c r="A1548" t="str">
        <x:v>2025_11_CHI_MIN</x:v>
      </x:c>
      <x:c r="B1548" t="n">
        <x:v>262</x:v>
      </x:c>
      <x:c r="C1548" t="n">
        <x:v>1</x:v>
      </x:c>
      <x:c r="D1548" t="str">
        <x:v>10:26</x:v>
      </x:c>
      <x:c r="E1548" t="n">
        <x:v>4</x:v>
      </x:c>
      <x:c r="F1548" t="n">
        <x:v>3</x:v>
      </x:c>
      <x:c r="G1548" t="str">
        <x:v>MIN</x:v>
      </x:c>
      <x:c r="H1548" t="str">
        <x:v>CHI</x:v>
      </x:c>
      <x:c r="I1548" t="str">
        <x:v>MIN</x:v>
      </x:c>
      <x:c r="J1548" t="n">
        <x:v>52</x:v>
      </x:c>
      <x:c r="K1548" t="str">
        <x:v>(10:26) 17-R.Wright punts 42 yards to CHI 10, Center-42-A.DePaola, fair catch by 12-D.Duvernay.</x:v>
      </x:c>
      <x:c r="L1548" t="str">
        <x:v>punt</x:v>
      </x:c>
      <x:c r="M1548" t="n">
        <x:v>0</x:v>
      </x:c>
      <x:c r="N1548" t="n">
        <x:v>0</x:v>
      </x:c>
      <x:c r="O1548" t="n">
        <x:v>0</x:v>
      </x:c>
      <x:c r="P1548"/>
      <x:c r="Q1548"/>
      <x:c r="R1548"/>
      <x:c r="S1548"/>
      <x:c r="T1548"/>
      <x:c r="U1548"/>
      <x:c r="V1548" t="n">
        <x:v>0</x:v>
      </x:c>
      <x:c r="W1548" t="n">
        <x:v>0</x:v>
      </x:c>
      <x:c r="X1548" t="n">
        <x:v>0</x:v>
      </x:c>
      <x:c r="Y1548" t="n">
        <x:v>0</x:v>
      </x:c>
      <x:c r="Z1548" t="n">
        <x:v>0</x:v>
      </x:c>
      <x:c r="AA1548" t="n">
        <x:v>0</x:v>
      </x:c>
      <x:c r="AB1548"/>
      <x:c r="AC1548" t="n">
        <x:v>0</x:v>
      </x:c>
      <x:c r="AD1548" t="n">
        <x:v>-0.27616353519260883</x:v>
      </x:c>
      <x:c r="AE1548" t="n">
        <x:v>0</x:v>
      </x:c>
      <x:c r="AF1548" t="n">
        <x:v>0.024852752685546875</x:v>
      </x:c>
      <x:c r="AG1548" t="n">
        <x:f>_xlfn.XLOOKUP($A1548,Games!$A$2:$A$18,Games!$B$2:$B$18,"Missing game",0)</x:f>
        <x:v>2025</x:v>
      </x:c>
      <x:c r="AH1548" t="str">
        <x:f>_xlfn.XLOOKUP($A1548,Games!$A$2:$A$18,Games!$C$2:$C$18,"Missing game",0)</x:f>
        <x:v>REG</x:v>
      </x:c>
      <x:c r="AI1548" t="n">
        <x:f>_xlfn.XLOOKUP($A1548,Games!$A$2:$A$18,Games!$D$2:$D$18,"Missing game",0)</x:f>
        <x:v>11</x:v>
      </x:c>
      <x:c r="AJ1548" s="1" t="n">
        <x:f>_xlfn.XLOOKUP($A1548,Games!$A$2:$A$18,Games!$E$2:$E$18,"Missing game",0)</x:f>
        <x:v>45977</x:v>
      </x:c>
      <x:c r="AK1548" t="str">
        <x:f>_xlfn.XLOOKUP($A1548,Games!$A$2:$A$18,Games!$F$2:$F$18,"Missing game",0)</x:f>
        <x:v>Sunday</x:v>
      </x:c>
      <x:c r="AL1548" t="str">
        <x:f>_xlfn.XLOOKUP($A1548,Games!$A$2:$A$18,Games!$G$2:$G$18,"Missing game",0)</x:f>
        <x:v>CHI</x:v>
      </x:c>
      <x:c r="AM1548" t="n">
        <x:f>_xlfn.XLOOKUP($A1548,Games!$A$2:$A$18,Games!$H$2:$H$18,"Missing game",0)</x:f>
        <x:v>19</x:v>
      </x:c>
      <x:c r="AN1548" t="str">
        <x:f>_xlfn.XLOOKUP($A1548,Games!$A$2:$A$18,Games!$I$2:$I$18,"Missing game",0)</x:f>
        <x:v>MIN</x:v>
      </x:c>
      <x:c r="AO1548" t="n">
        <x:f>_xlfn.XLOOKUP($A1548,Games!$A$2:$A$18,Games!$J$2:$J$18,"Missing game",0)</x:f>
        <x:v>17</x:v>
      </x:c>
      <x:c r="AP1548" t="n">
        <x:f>_xlfn.XLOOKUP($A1548,Games!$A$2:$A$18,Games!$K$2:$K$18,"Missing game",0)</x:f>
        <x:v>-2</x:v>
      </x:c>
      <x:c r="AQ1548" t="n">
        <x:f>_xlfn.XLOOKUP($A1548,Games!$A$2:$A$18,Games!$L$2:$L$18,"Missing game",0)</x:f>
        <x:v>36</x:v>
      </x:c>
      <x:c r="AR1548" t="n">
        <x:f>_xlfn.XLOOKUP($A1548,Games!$A$2:$A$18,Games!$M$2:$M$18,"Missing game",0)</x:f>
        <x:v>0</x:v>
      </x:c>
      <x:c r="AS1548" t="str">
        <x:f>_xlfn.XLOOKUP($A1548,Games!$A$2:$A$18,Games!$N$2:$N$18,"Missing game",0)</x:f>
        <x:v>dome</x:v>
      </x:c>
      <x:c r="AT1548" t="str">
        <x:f>_xlfn.XLOOKUP($A1548,Games!$A$2:$A$18,Games!$O$2:$O$18,"Missing game",0)</x:f>
        <x:v>sportturf</x:v>
      </x:c>
      <x:c r="AU1548" t="str">
        <x:f>_xlfn.XLOOKUP($A1548,Games!$A$2:$A$18,Games!$P$2:$P$18,"Missing game",0)</x:f>
      </x:c>
      <x:c r="AV1548" t="str">
        <x:f>_xlfn.XLOOKUP($A1548,Games!$A$2:$A$18,Games!$Q$2:$Q$18,"Missing game",0)</x:f>
      </x:c>
      <x:c r="AW1548" t="str">
        <x:f>_xlfn.XLOOKUP($A1548,Games!$A$2:$A$18,Games!$R$2:$R$18,"Missing game",0)</x:f>
        <x:v>U.S. Bank Stadium</x:v>
      </x:c>
    </x:row>
    <x:row r="1549">
      <x:c r="A1549" t="str">
        <x:v>2025_11_CHI_MIN</x:v>
      </x:c>
      <x:c r="B1549" t="n">
        <x:v>282</x:v>
      </x:c>
      <x:c r="C1549" t="n">
        <x:v>1</x:v>
      </x:c>
      <x:c r="D1549" t="str">
        <x:v>10:20</x:v>
      </x:c>
      <x:c r="E1549" t="n">
        <x:v>1</x:v>
      </x:c>
      <x:c r="F1549" t="n">
        <x:v>10</x:v>
      </x:c>
      <x:c r="G1549" t="str">
        <x:v>CHI</x:v>
      </x:c>
      <x:c r="H1549" t="str">
        <x:v>MIN</x:v>
      </x:c>
      <x:c r="I1549" t="str">
        <x:v>CHI</x:v>
      </x:c>
      <x:c r="J1549" t="n">
        <x:v>90</x:v>
      </x:c>
      <x:c r="K1549" t="str">
        <x:v>(10:20) 4-D.Swift left guard to CHI 11 for 1 yard (7-B.Murphy).</x:v>
      </x:c>
      <x:c r="L1549" t="str">
        <x:v>run</x:v>
      </x:c>
      <x:c r="M1549" t="n">
        <x:v>1</x:v>
      </x:c>
      <x:c r="N1549" t="n">
        <x:v>0</x:v>
      </x:c>
      <x:c r="O1549" t="n">
        <x:v>0</x:v>
      </x:c>
      <x:c r="P1549"/>
      <x:c r="Q1549"/>
      <x:c r="R1549"/>
      <x:c r="S1549"/>
      <x:c r="T1549" t="str">
        <x:v>left</x:v>
      </x:c>
      <x:c r="U1549" t="str">
        <x:v>guard</x:v>
      </x:c>
      <x:c r="V1549" t="n">
        <x:v>0</x:v>
      </x:c>
      <x:c r="W1549" t="n">
        <x:v>0</x:v>
      </x:c>
      <x:c r="X1549" t="n">
        <x:v>0</x:v>
      </x:c>
      <x:c r="Y1549" t="n">
        <x:v>0</x:v>
      </x:c>
      <x:c r="Z1549" t="n">
        <x:v>0</x:v>
      </x:c>
      <x:c r="AA1549" t="n">
        <x:v>0</x:v>
      </x:c>
      <x:c r="AB1549"/>
      <x:c r="AC1549" t="n">
        <x:v>0</x:v>
      </x:c>
      <x:c r="AD1549" t="n">
        <x:v>-0.5029797223396599</x:v>
      </x:c>
      <x:c r="AE1549" t="n">
        <x:v>0</x:v>
      </x:c>
      <x:c r="AF1549" t="n">
        <x:v>-0.010894596576690674</x:v>
      </x:c>
      <x:c r="AG1549" t="n">
        <x:f>_xlfn.XLOOKUP($A1549,Games!$A$2:$A$18,Games!$B$2:$B$18,"Missing game",0)</x:f>
        <x:v>2025</x:v>
      </x:c>
      <x:c r="AH1549" t="str">
        <x:f>_xlfn.XLOOKUP($A1549,Games!$A$2:$A$18,Games!$C$2:$C$18,"Missing game",0)</x:f>
        <x:v>REG</x:v>
      </x:c>
      <x:c r="AI1549" t="n">
        <x:f>_xlfn.XLOOKUP($A1549,Games!$A$2:$A$18,Games!$D$2:$D$18,"Missing game",0)</x:f>
        <x:v>11</x:v>
      </x:c>
      <x:c r="AJ1549" s="1" t="n">
        <x:f>_xlfn.XLOOKUP($A1549,Games!$A$2:$A$18,Games!$E$2:$E$18,"Missing game",0)</x:f>
        <x:v>45977</x:v>
      </x:c>
      <x:c r="AK1549" t="str">
        <x:f>_xlfn.XLOOKUP($A1549,Games!$A$2:$A$18,Games!$F$2:$F$18,"Missing game",0)</x:f>
        <x:v>Sunday</x:v>
      </x:c>
      <x:c r="AL1549" t="str">
        <x:f>_xlfn.XLOOKUP($A1549,Games!$A$2:$A$18,Games!$G$2:$G$18,"Missing game",0)</x:f>
        <x:v>CHI</x:v>
      </x:c>
      <x:c r="AM1549" t="n">
        <x:f>_xlfn.XLOOKUP($A1549,Games!$A$2:$A$18,Games!$H$2:$H$18,"Missing game",0)</x:f>
        <x:v>19</x:v>
      </x:c>
      <x:c r="AN1549" t="str">
        <x:f>_xlfn.XLOOKUP($A1549,Games!$A$2:$A$18,Games!$I$2:$I$18,"Missing game",0)</x:f>
        <x:v>MIN</x:v>
      </x:c>
      <x:c r="AO1549" t="n">
        <x:f>_xlfn.XLOOKUP($A1549,Games!$A$2:$A$18,Games!$J$2:$J$18,"Missing game",0)</x:f>
        <x:v>17</x:v>
      </x:c>
      <x:c r="AP1549" t="n">
        <x:f>_xlfn.XLOOKUP($A1549,Games!$A$2:$A$18,Games!$K$2:$K$18,"Missing game",0)</x:f>
        <x:v>-2</x:v>
      </x:c>
      <x:c r="AQ1549" t="n">
        <x:f>_xlfn.XLOOKUP($A1549,Games!$A$2:$A$18,Games!$L$2:$L$18,"Missing game",0)</x:f>
        <x:v>36</x:v>
      </x:c>
      <x:c r="AR1549" t="n">
        <x:f>_xlfn.XLOOKUP($A1549,Games!$A$2:$A$18,Games!$M$2:$M$18,"Missing game",0)</x:f>
        <x:v>0</x:v>
      </x:c>
      <x:c r="AS1549" t="str">
        <x:f>_xlfn.XLOOKUP($A1549,Games!$A$2:$A$18,Games!$N$2:$N$18,"Missing game",0)</x:f>
        <x:v>dome</x:v>
      </x:c>
      <x:c r="AT1549" t="str">
        <x:f>_xlfn.XLOOKUP($A1549,Games!$A$2:$A$18,Games!$O$2:$O$18,"Missing game",0)</x:f>
        <x:v>sportturf</x:v>
      </x:c>
      <x:c r="AU1549" t="str">
        <x:f>_xlfn.XLOOKUP($A1549,Games!$A$2:$A$18,Games!$P$2:$P$18,"Missing game",0)</x:f>
      </x:c>
      <x:c r="AV1549" t="str">
        <x:f>_xlfn.XLOOKUP($A1549,Games!$A$2:$A$18,Games!$Q$2:$Q$18,"Missing game",0)</x:f>
      </x:c>
      <x:c r="AW1549" t="str">
        <x:f>_xlfn.XLOOKUP($A1549,Games!$A$2:$A$18,Games!$R$2:$R$18,"Missing game",0)</x:f>
        <x:v>U.S. Bank Stadium</x:v>
      </x:c>
    </x:row>
    <x:row r="1550">
      <x:c r="A1550" t="str">
        <x:v>2025_11_CHI_MIN</x:v>
      </x:c>
      <x:c r="B1550" t="n">
        <x:v>311</x:v>
      </x:c>
      <x:c r="C1550" t="n">
        <x:v>1</x:v>
      </x:c>
      <x:c r="D1550" t="str">
        <x:v>09:45</x:v>
      </x:c>
      <x:c r="E1550" t="n">
        <x:v>2</x:v>
      </x:c>
      <x:c r="F1550" t="n">
        <x:v>9</x:v>
      </x:c>
      <x:c r="G1550" t="str">
        <x:v>CHI</x:v>
      </x:c>
      <x:c r="H1550" t="str">
        <x:v>MIN</x:v>
      </x:c>
      <x:c r="I1550" t="str">
        <x:v>CHI</x:v>
      </x:c>
      <x:c r="J1550" t="n">
        <x:v>89</x:v>
      </x:c>
      <x:c r="K1550" t="str">
        <x:v>(9:45) (Shotgun) 18-C.Williams pass incomplete short left. Penalty on CHI-4-D.Swift, Offensive Holding, declined.</x:v>
      </x:c>
      <x:c r="L1550" t="str">
        <x:v>pass</x:v>
      </x:c>
      <x:c r="M1550" t="n">
        <x:v>0</x:v>
      </x:c>
      <x:c r="N1550" t="n">
        <x:v>1</x:v>
      </x:c>
      <x:c r="O1550" t="n">
        <x:v>0</x:v>
      </x:c>
      <x:c r="P1550" t="str">
        <x:v>short</x:v>
      </x:c>
      <x:c r="Q1550" t="str">
        <x:v>left</x:v>
      </x:c>
      <x:c r="R1550" t="n">
        <x:v>14</x:v>
      </x:c>
      <x:c r="S1550"/>
      <x:c r="T1550"/>
      <x:c r="U1550"/>
      <x:c r="V1550" t="n">
        <x:v>0</x:v>
      </x:c>
      <x:c r="W1550" t="n">
        <x:v>0</x:v>
      </x:c>
      <x:c r="X1550" t="n">
        <x:v>0</x:v>
      </x:c>
      <x:c r="Y1550" t="n">
        <x:v>0</x:v>
      </x:c>
      <x:c r="Z1550" t="n">
        <x:v>0</x:v>
      </x:c>
      <x:c r="AA1550" t="n">
        <x:v>0</x:v>
      </x:c>
      <x:c r="AB1550"/>
      <x:c r="AC1550" t="n">
        <x:v>0</x:v>
      </x:c>
      <x:c r="AD1550" t="n">
        <x:v>-0.7190120643936098</x:v>
      </x:c>
      <x:c r="AE1550" t="n">
        <x:v>0</x:v>
      </x:c>
      <x:c r="AF1550" t="n">
        <x:v>-0.02713295817375183</x:v>
      </x:c>
      <x:c r="AG1550" t="n">
        <x:f>_xlfn.XLOOKUP($A1550,Games!$A$2:$A$18,Games!$B$2:$B$18,"Missing game",0)</x:f>
        <x:v>2025</x:v>
      </x:c>
      <x:c r="AH1550" t="str">
        <x:f>_xlfn.XLOOKUP($A1550,Games!$A$2:$A$18,Games!$C$2:$C$18,"Missing game",0)</x:f>
        <x:v>REG</x:v>
      </x:c>
      <x:c r="AI1550" t="n">
        <x:f>_xlfn.XLOOKUP($A1550,Games!$A$2:$A$18,Games!$D$2:$D$18,"Missing game",0)</x:f>
        <x:v>11</x:v>
      </x:c>
      <x:c r="AJ1550" s="1" t="n">
        <x:f>_xlfn.XLOOKUP($A1550,Games!$A$2:$A$18,Games!$E$2:$E$18,"Missing game",0)</x:f>
        <x:v>45977</x:v>
      </x:c>
      <x:c r="AK1550" t="str">
        <x:f>_xlfn.XLOOKUP($A1550,Games!$A$2:$A$18,Games!$F$2:$F$18,"Missing game",0)</x:f>
        <x:v>Sunday</x:v>
      </x:c>
      <x:c r="AL1550" t="str">
        <x:f>_xlfn.XLOOKUP($A1550,Games!$A$2:$A$18,Games!$G$2:$G$18,"Missing game",0)</x:f>
        <x:v>CHI</x:v>
      </x:c>
      <x:c r="AM1550" t="n">
        <x:f>_xlfn.XLOOKUP($A1550,Games!$A$2:$A$18,Games!$H$2:$H$18,"Missing game",0)</x:f>
        <x:v>19</x:v>
      </x:c>
      <x:c r="AN1550" t="str">
        <x:f>_xlfn.XLOOKUP($A1550,Games!$A$2:$A$18,Games!$I$2:$I$18,"Missing game",0)</x:f>
        <x:v>MIN</x:v>
      </x:c>
      <x:c r="AO1550" t="n">
        <x:f>_xlfn.XLOOKUP($A1550,Games!$A$2:$A$18,Games!$J$2:$J$18,"Missing game",0)</x:f>
        <x:v>17</x:v>
      </x:c>
      <x:c r="AP1550" t="n">
        <x:f>_xlfn.XLOOKUP($A1550,Games!$A$2:$A$18,Games!$K$2:$K$18,"Missing game",0)</x:f>
        <x:v>-2</x:v>
      </x:c>
      <x:c r="AQ1550" t="n">
        <x:f>_xlfn.XLOOKUP($A1550,Games!$A$2:$A$18,Games!$L$2:$L$18,"Missing game",0)</x:f>
        <x:v>36</x:v>
      </x:c>
      <x:c r="AR1550" t="n">
        <x:f>_xlfn.XLOOKUP($A1550,Games!$A$2:$A$18,Games!$M$2:$M$18,"Missing game",0)</x:f>
        <x:v>0</x:v>
      </x:c>
      <x:c r="AS1550" t="str">
        <x:f>_xlfn.XLOOKUP($A1550,Games!$A$2:$A$18,Games!$N$2:$N$18,"Missing game",0)</x:f>
        <x:v>dome</x:v>
      </x:c>
      <x:c r="AT1550" t="str">
        <x:f>_xlfn.XLOOKUP($A1550,Games!$A$2:$A$18,Games!$O$2:$O$18,"Missing game",0)</x:f>
        <x:v>sportturf</x:v>
      </x:c>
      <x:c r="AU1550" t="str">
        <x:f>_xlfn.XLOOKUP($A1550,Games!$A$2:$A$18,Games!$P$2:$P$18,"Missing game",0)</x:f>
      </x:c>
      <x:c r="AV1550" t="str">
        <x:f>_xlfn.XLOOKUP($A1550,Games!$A$2:$A$18,Games!$Q$2:$Q$18,"Missing game",0)</x:f>
      </x:c>
      <x:c r="AW1550" t="str">
        <x:f>_xlfn.XLOOKUP($A1550,Games!$A$2:$A$18,Games!$R$2:$R$18,"Missing game",0)</x:f>
        <x:v>U.S. Bank Stadium</x:v>
      </x:c>
    </x:row>
    <x:row r="1551">
      <x:c r="A1551" t="str">
        <x:v>2025_11_CHI_MIN</x:v>
      </x:c>
      <x:c r="B1551" t="n">
        <x:v>345</x:v>
      </x:c>
      <x:c r="C1551" t="n">
        <x:v>1</x:v>
      </x:c>
      <x:c r="D1551" t="str">
        <x:v>09:36</x:v>
      </x:c>
      <x:c r="E1551" t="n">
        <x:v>3</x:v>
      </x:c>
      <x:c r="F1551" t="n">
        <x:v>9</x:v>
      </x:c>
      <x:c r="G1551" t="str">
        <x:v>CHI</x:v>
      </x:c>
      <x:c r="H1551" t="str">
        <x:v>MIN</x:v>
      </x:c>
      <x:c r="I1551" t="str">
        <x:v>CHI</x:v>
      </x:c>
      <x:c r="J1551" t="n">
        <x:v>89</x:v>
      </x:c>
      <x:c r="K1551" t="str">
        <x:v>(9:36) (Shotgun) 18-C.Williams pass incomplete deep right to 15-R.Odunze.</x:v>
      </x:c>
      <x:c r="L1551" t="str">
        <x:v>pass</x:v>
      </x:c>
      <x:c r="M1551" t="n">
        <x:v>0</x:v>
      </x:c>
      <x:c r="N1551" t="n">
        <x:v>1</x:v>
      </x:c>
      <x:c r="O1551" t="n">
        <x:v>0</x:v>
      </x:c>
      <x:c r="P1551" t="str">
        <x:v>deep</x:v>
      </x:c>
      <x:c r="Q1551" t="str">
        <x:v>right</x:v>
      </x:c>
      <x:c r="R1551" t="n">
        <x:v>40</x:v>
      </x:c>
      <x:c r="S1551"/>
      <x:c r="T1551"/>
      <x:c r="U1551"/>
      <x:c r="V1551" t="n">
        <x:v>0</x:v>
      </x:c>
      <x:c r="W1551" t="n">
        <x:v>0</x:v>
      </x:c>
      <x:c r="X1551" t="n">
        <x:v>0</x:v>
      </x:c>
      <x:c r="Y1551" t="n">
        <x:v>0</x:v>
      </x:c>
      <x:c r="Z1551" t="n">
        <x:v>0</x:v>
      </x:c>
      <x:c r="AA1551" t="n">
        <x:v>0</x:v>
      </x:c>
      <x:c r="AB1551"/>
      <x:c r="AC1551" t="n">
        <x:v>0</x:v>
      </x:c>
      <x:c r="AD1551" t="n">
        <x:v>-1.2794062872417271</x:v>
      </x:c>
      <x:c r="AE1551" t="n">
        <x:v>0</x:v>
      </x:c>
      <x:c r="AF1551" t="n">
        <x:v>-0.019801229238510132</x:v>
      </x:c>
      <x:c r="AG1551" t="n">
        <x:f>_xlfn.XLOOKUP($A1551,Games!$A$2:$A$18,Games!$B$2:$B$18,"Missing game",0)</x:f>
        <x:v>2025</x:v>
      </x:c>
      <x:c r="AH1551" t="str">
        <x:f>_xlfn.XLOOKUP($A1551,Games!$A$2:$A$18,Games!$C$2:$C$18,"Missing game",0)</x:f>
        <x:v>REG</x:v>
      </x:c>
      <x:c r="AI1551" t="n">
        <x:f>_xlfn.XLOOKUP($A1551,Games!$A$2:$A$18,Games!$D$2:$D$18,"Missing game",0)</x:f>
        <x:v>11</x:v>
      </x:c>
      <x:c r="AJ1551" s="1" t="n">
        <x:f>_xlfn.XLOOKUP($A1551,Games!$A$2:$A$18,Games!$E$2:$E$18,"Missing game",0)</x:f>
        <x:v>45977</x:v>
      </x:c>
      <x:c r="AK1551" t="str">
        <x:f>_xlfn.XLOOKUP($A1551,Games!$A$2:$A$18,Games!$F$2:$F$18,"Missing game",0)</x:f>
        <x:v>Sunday</x:v>
      </x:c>
      <x:c r="AL1551" t="str">
        <x:f>_xlfn.XLOOKUP($A1551,Games!$A$2:$A$18,Games!$G$2:$G$18,"Missing game",0)</x:f>
        <x:v>CHI</x:v>
      </x:c>
      <x:c r="AM1551" t="n">
        <x:f>_xlfn.XLOOKUP($A1551,Games!$A$2:$A$18,Games!$H$2:$H$18,"Missing game",0)</x:f>
        <x:v>19</x:v>
      </x:c>
      <x:c r="AN1551" t="str">
        <x:f>_xlfn.XLOOKUP($A1551,Games!$A$2:$A$18,Games!$I$2:$I$18,"Missing game",0)</x:f>
        <x:v>MIN</x:v>
      </x:c>
      <x:c r="AO1551" t="n">
        <x:f>_xlfn.XLOOKUP($A1551,Games!$A$2:$A$18,Games!$J$2:$J$18,"Missing game",0)</x:f>
        <x:v>17</x:v>
      </x:c>
      <x:c r="AP1551" t="n">
        <x:f>_xlfn.XLOOKUP($A1551,Games!$A$2:$A$18,Games!$K$2:$K$18,"Missing game",0)</x:f>
        <x:v>-2</x:v>
      </x:c>
      <x:c r="AQ1551" t="n">
        <x:f>_xlfn.XLOOKUP($A1551,Games!$A$2:$A$18,Games!$L$2:$L$18,"Missing game",0)</x:f>
        <x:v>36</x:v>
      </x:c>
      <x:c r="AR1551" t="n">
        <x:f>_xlfn.XLOOKUP($A1551,Games!$A$2:$A$18,Games!$M$2:$M$18,"Missing game",0)</x:f>
        <x:v>0</x:v>
      </x:c>
      <x:c r="AS1551" t="str">
        <x:f>_xlfn.XLOOKUP($A1551,Games!$A$2:$A$18,Games!$N$2:$N$18,"Missing game",0)</x:f>
        <x:v>dome</x:v>
      </x:c>
      <x:c r="AT1551" t="str">
        <x:f>_xlfn.XLOOKUP($A1551,Games!$A$2:$A$18,Games!$O$2:$O$18,"Missing game",0)</x:f>
        <x:v>sportturf</x:v>
      </x:c>
      <x:c r="AU1551" t="str">
        <x:f>_xlfn.XLOOKUP($A1551,Games!$A$2:$A$18,Games!$P$2:$P$18,"Missing game",0)</x:f>
      </x:c>
      <x:c r="AV1551" t="str">
        <x:f>_xlfn.XLOOKUP($A1551,Games!$A$2:$A$18,Games!$Q$2:$Q$18,"Missing game",0)</x:f>
      </x:c>
      <x:c r="AW1551" t="str">
        <x:f>_xlfn.XLOOKUP($A1551,Games!$A$2:$A$18,Games!$R$2:$R$18,"Missing game",0)</x:f>
        <x:v>U.S. Bank Stadium</x:v>
      </x:c>
    </x:row>
    <x:row r="1552">
      <x:c r="A1552" t="str">
        <x:v>2025_11_CHI_MIN</x:v>
      </x:c>
      <x:c r="B1552" t="n">
        <x:v>368</x:v>
      </x:c>
      <x:c r="C1552" t="n">
        <x:v>1</x:v>
      </x:c>
      <x:c r="D1552" t="str">
        <x:v>09:30</x:v>
      </x:c>
      <x:c r="E1552" t="n">
        <x:v>4</x:v>
      </x:c>
      <x:c r="F1552" t="n">
        <x:v>9</x:v>
      </x:c>
      <x:c r="G1552" t="str">
        <x:v>CHI</x:v>
      </x:c>
      <x:c r="H1552" t="str">
        <x:v>MIN</x:v>
      </x:c>
      <x:c r="I1552" t="str">
        <x:v>CHI</x:v>
      </x:c>
      <x:c r="J1552" t="n">
        <x:v>89</x:v>
      </x:c>
      <x:c r="K1552" t="str">
        <x:v>(9:30) 19-T.Taylor punts 53 yards to MIN 36, Center-46-S.Daly, out of bounds.</x:v>
      </x:c>
      <x:c r="L1552" t="str">
        <x:v>punt</x:v>
      </x:c>
      <x:c r="M1552" t="n">
        <x:v>0</x:v>
      </x:c>
      <x:c r="N1552" t="n">
        <x:v>0</x:v>
      </x:c>
      <x:c r="O1552" t="n">
        <x:v>0</x:v>
      </x:c>
      <x:c r="P1552"/>
      <x:c r="Q1552"/>
      <x:c r="R1552"/>
      <x:c r="S1552"/>
      <x:c r="T1552"/>
      <x:c r="U1552"/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0</x:v>
      </x:c>
      <x:c r="AA1552" t="n">
        <x:v>0</x:v>
      </x:c>
      <x:c r="AB1552"/>
      <x:c r="AC1552" t="n">
        <x:v>0</x:v>
      </x:c>
      <x:c r="AD1552" t="n">
        <x:v>0.12211749772541225</x:v>
      </x:c>
      <x:c r="AE1552" t="n">
        <x:v>1</x:v>
      </x:c>
      <x:c r="AF1552" t="n">
        <x:v>0.013781368732452393</x:v>
      </x:c>
      <x:c r="AG1552" t="n">
        <x:f>_xlfn.XLOOKUP($A1552,Games!$A$2:$A$18,Games!$B$2:$B$18,"Missing game",0)</x:f>
        <x:v>2025</x:v>
      </x:c>
      <x:c r="AH1552" t="str">
        <x:f>_xlfn.XLOOKUP($A1552,Games!$A$2:$A$18,Games!$C$2:$C$18,"Missing game",0)</x:f>
        <x:v>REG</x:v>
      </x:c>
      <x:c r="AI1552" t="n">
        <x:f>_xlfn.XLOOKUP($A1552,Games!$A$2:$A$18,Games!$D$2:$D$18,"Missing game",0)</x:f>
        <x:v>11</x:v>
      </x:c>
      <x:c r="AJ1552" s="1" t="n">
        <x:f>_xlfn.XLOOKUP($A1552,Games!$A$2:$A$18,Games!$E$2:$E$18,"Missing game",0)</x:f>
        <x:v>45977</x:v>
      </x:c>
      <x:c r="AK1552" t="str">
        <x:f>_xlfn.XLOOKUP($A1552,Games!$A$2:$A$18,Games!$F$2:$F$18,"Missing game",0)</x:f>
        <x:v>Sunday</x:v>
      </x:c>
      <x:c r="AL1552" t="str">
        <x:f>_xlfn.XLOOKUP($A1552,Games!$A$2:$A$18,Games!$G$2:$G$18,"Missing game",0)</x:f>
        <x:v>CHI</x:v>
      </x:c>
      <x:c r="AM1552" t="n">
        <x:f>_xlfn.XLOOKUP($A1552,Games!$A$2:$A$18,Games!$H$2:$H$18,"Missing game",0)</x:f>
        <x:v>19</x:v>
      </x:c>
      <x:c r="AN1552" t="str">
        <x:f>_xlfn.XLOOKUP($A1552,Games!$A$2:$A$18,Games!$I$2:$I$18,"Missing game",0)</x:f>
        <x:v>MIN</x:v>
      </x:c>
      <x:c r="AO1552" t="n">
        <x:f>_xlfn.XLOOKUP($A1552,Games!$A$2:$A$18,Games!$J$2:$J$18,"Missing game",0)</x:f>
        <x:v>17</x:v>
      </x:c>
      <x:c r="AP1552" t="n">
        <x:f>_xlfn.XLOOKUP($A1552,Games!$A$2:$A$18,Games!$K$2:$K$18,"Missing game",0)</x:f>
        <x:v>-2</x:v>
      </x:c>
      <x:c r="AQ1552" t="n">
        <x:f>_xlfn.XLOOKUP($A1552,Games!$A$2:$A$18,Games!$L$2:$L$18,"Missing game",0)</x:f>
        <x:v>36</x:v>
      </x:c>
      <x:c r="AR1552" t="n">
        <x:f>_xlfn.XLOOKUP($A1552,Games!$A$2:$A$18,Games!$M$2:$M$18,"Missing game",0)</x:f>
        <x:v>0</x:v>
      </x:c>
      <x:c r="AS1552" t="str">
        <x:f>_xlfn.XLOOKUP($A1552,Games!$A$2:$A$18,Games!$N$2:$N$18,"Missing game",0)</x:f>
        <x:v>dome</x:v>
      </x:c>
      <x:c r="AT1552" t="str">
        <x:f>_xlfn.XLOOKUP($A1552,Games!$A$2:$A$18,Games!$O$2:$O$18,"Missing game",0)</x:f>
        <x:v>sportturf</x:v>
      </x:c>
      <x:c r="AU1552" t="str">
        <x:f>_xlfn.XLOOKUP($A1552,Games!$A$2:$A$18,Games!$P$2:$P$18,"Missing game",0)</x:f>
      </x:c>
      <x:c r="AV1552" t="str">
        <x:f>_xlfn.XLOOKUP($A1552,Games!$A$2:$A$18,Games!$Q$2:$Q$18,"Missing game",0)</x:f>
      </x:c>
      <x:c r="AW1552" t="str">
        <x:f>_xlfn.XLOOKUP($A1552,Games!$A$2:$A$18,Games!$R$2:$R$18,"Missing game",0)</x:f>
        <x:v>U.S. Bank Stadium</x:v>
      </x:c>
    </x:row>
    <x:row r="1553">
      <x:c r="A1553" t="str">
        <x:v>2025_11_CHI_MIN</x:v>
      </x:c>
      <x:c r="B1553" t="n">
        <x:v>387</x:v>
      </x:c>
      <x:c r="C1553" t="n">
        <x:v>1</x:v>
      </x:c>
      <x:c r="D1553" t="str">
        <x:v>09:20</x:v>
      </x:c>
      <x:c r="E1553" t="n">
        <x:v>1</x:v>
      </x:c>
      <x:c r="F1553" t="n">
        <x:v>10</x:v>
      </x:c>
      <x:c r="G1553" t="str">
        <x:v>MIN</x:v>
      </x:c>
      <x:c r="H1553" t="str">
        <x:v>CHI</x:v>
      </x:c>
      <x:c r="I1553" t="str">
        <x:v>MIN</x:v>
      </x:c>
      <x:c r="J1553" t="n">
        <x:v>64</x:v>
      </x:c>
      <x:c r="K1553" t="str">
        <x:v>(9:20) 27-J.Mason up the middle to MIN 42 for 6 yards (44-N.Sewell; 35-C.Gardner-Johnson).</x:v>
      </x:c>
      <x:c r="L1553" t="str">
        <x:v>run</x:v>
      </x:c>
      <x:c r="M1553" t="n">
        <x:v>6</x:v>
      </x:c>
      <x:c r="N1553" t="n">
        <x:v>0</x:v>
      </x:c>
      <x:c r="O1553" t="n">
        <x:v>0</x:v>
      </x:c>
      <x:c r="P1553"/>
      <x:c r="Q1553"/>
      <x:c r="R1553"/>
      <x:c r="S1553"/>
      <x:c r="T1553" t="str">
        <x:v>middle</x:v>
      </x:c>
      <x:c r="U1553"/>
      <x:c r="V1553" t="n">
        <x:v>0</x:v>
      </x:c>
      <x:c r="W1553" t="n">
        <x:v>0</x:v>
      </x:c>
      <x:c r="X1553" t="n">
        <x:v>0</x:v>
      </x:c>
      <x:c r="Y1553" t="n">
        <x:v>0</x:v>
      </x:c>
      <x:c r="Z1553" t="n">
        <x:v>0</x:v>
      </x:c>
      <x:c r="AA1553" t="n">
        <x:v>0</x:v>
      </x:c>
      <x:c r="AB1553"/>
      <x:c r="AC1553" t="n">
        <x:v>0</x:v>
      </x:c>
      <x:c r="AD1553" t="n">
        <x:v>0.11445546546019614</x:v>
      </x:c>
      <x:c r="AE1553" t="n">
        <x:v>1</x:v>
      </x:c>
      <x:c r="AF1553" t="n">
        <x:v>-0.00914311408996582</x:v>
      </x:c>
      <x:c r="AG1553" t="n">
        <x:f>_xlfn.XLOOKUP($A1553,Games!$A$2:$A$18,Games!$B$2:$B$18,"Missing game",0)</x:f>
        <x:v>2025</x:v>
      </x:c>
      <x:c r="AH1553" t="str">
        <x:f>_xlfn.XLOOKUP($A1553,Games!$A$2:$A$18,Games!$C$2:$C$18,"Missing game",0)</x:f>
        <x:v>REG</x:v>
      </x:c>
      <x:c r="AI1553" t="n">
        <x:f>_xlfn.XLOOKUP($A1553,Games!$A$2:$A$18,Games!$D$2:$D$18,"Missing game",0)</x:f>
        <x:v>11</x:v>
      </x:c>
      <x:c r="AJ1553" s="1" t="n">
        <x:f>_xlfn.XLOOKUP($A1553,Games!$A$2:$A$18,Games!$E$2:$E$18,"Missing game",0)</x:f>
        <x:v>45977</x:v>
      </x:c>
      <x:c r="AK1553" t="str">
        <x:f>_xlfn.XLOOKUP($A1553,Games!$A$2:$A$18,Games!$F$2:$F$18,"Missing game",0)</x:f>
        <x:v>Sunday</x:v>
      </x:c>
      <x:c r="AL1553" t="str">
        <x:f>_xlfn.XLOOKUP($A1553,Games!$A$2:$A$18,Games!$G$2:$G$18,"Missing game",0)</x:f>
        <x:v>CHI</x:v>
      </x:c>
      <x:c r="AM1553" t="n">
        <x:f>_xlfn.XLOOKUP($A1553,Games!$A$2:$A$18,Games!$H$2:$H$18,"Missing game",0)</x:f>
        <x:v>19</x:v>
      </x:c>
      <x:c r="AN1553" t="str">
        <x:f>_xlfn.XLOOKUP($A1553,Games!$A$2:$A$18,Games!$I$2:$I$18,"Missing game",0)</x:f>
        <x:v>MIN</x:v>
      </x:c>
      <x:c r="AO1553" t="n">
        <x:f>_xlfn.XLOOKUP($A1553,Games!$A$2:$A$18,Games!$J$2:$J$18,"Missing game",0)</x:f>
        <x:v>17</x:v>
      </x:c>
      <x:c r="AP1553" t="n">
        <x:f>_xlfn.XLOOKUP($A1553,Games!$A$2:$A$18,Games!$K$2:$K$18,"Missing game",0)</x:f>
        <x:v>-2</x:v>
      </x:c>
      <x:c r="AQ1553" t="n">
        <x:f>_xlfn.XLOOKUP($A1553,Games!$A$2:$A$18,Games!$L$2:$L$18,"Missing game",0)</x:f>
        <x:v>36</x:v>
      </x:c>
      <x:c r="AR1553" t="n">
        <x:f>_xlfn.XLOOKUP($A1553,Games!$A$2:$A$18,Games!$M$2:$M$18,"Missing game",0)</x:f>
        <x:v>0</x:v>
      </x:c>
      <x:c r="AS1553" t="str">
        <x:f>_xlfn.XLOOKUP($A1553,Games!$A$2:$A$18,Games!$N$2:$N$18,"Missing game",0)</x:f>
        <x:v>dome</x:v>
      </x:c>
      <x:c r="AT1553" t="str">
        <x:f>_xlfn.XLOOKUP($A1553,Games!$A$2:$A$18,Games!$O$2:$O$18,"Missing game",0)</x:f>
        <x:v>sportturf</x:v>
      </x:c>
      <x:c r="AU1553" t="str">
        <x:f>_xlfn.XLOOKUP($A1553,Games!$A$2:$A$18,Games!$P$2:$P$18,"Missing game",0)</x:f>
      </x:c>
      <x:c r="AV1553" t="str">
        <x:f>_xlfn.XLOOKUP($A1553,Games!$A$2:$A$18,Games!$Q$2:$Q$18,"Missing game",0)</x:f>
      </x:c>
      <x:c r="AW1553" t="str">
        <x:f>_xlfn.XLOOKUP($A1553,Games!$A$2:$A$18,Games!$R$2:$R$18,"Missing game",0)</x:f>
        <x:v>U.S. Bank Stadium</x:v>
      </x:c>
    </x:row>
    <x:row r="1554">
      <x:c r="A1554" t="str">
        <x:v>2025_11_CHI_MIN</x:v>
      </x:c>
      <x:c r="B1554" t="n">
        <x:v>416</x:v>
      </x:c>
      <x:c r="C1554" t="n">
        <x:v>1</x:v>
      </x:c>
      <x:c r="D1554" t="str">
        <x:v>08:47</x:v>
      </x:c>
      <x:c r="E1554" t="n">
        <x:v>2</x:v>
      </x:c>
      <x:c r="F1554" t="n">
        <x:v>4</x:v>
      </x:c>
      <x:c r="G1554" t="str">
        <x:v>MIN</x:v>
      </x:c>
      <x:c r="H1554" t="str">
        <x:v>CHI</x:v>
      </x:c>
      <x:c r="I1554" t="str">
        <x:v>MIN</x:v>
      </x:c>
      <x:c r="J1554" t="n">
        <x:v>58</x:v>
      </x:c>
      <x:c r="K1554" t="str">
        <x:v>(8:47) 9-J.McCarthy pass short right to 84-J.Oliver to MIN 39 for -3 yards (35-C.Gardner-Johnson) [98-M.Sweat].</x:v>
      </x:c>
      <x:c r="L1554" t="str">
        <x:v>pass</x:v>
      </x:c>
      <x:c r="M1554" t="n">
        <x:v>-3</x:v>
      </x:c>
      <x:c r="N1554" t="n">
        <x:v>0</x:v>
      </x:c>
      <x:c r="O1554" t="n">
        <x:v>0</x:v>
      </x:c>
      <x:c r="P1554" t="str">
        <x:v>short</x:v>
      </x:c>
      <x:c r="Q1554" t="str">
        <x:v>right</x:v>
      </x:c>
      <x:c r="R1554" t="n">
        <x:v>-3</x:v>
      </x:c>
      <x:c r="S1554" t="n">
        <x:v>0</x:v>
      </x:c>
      <x:c r="T1554"/>
      <x:c r="U1554"/>
      <x:c r="V1554" t="n">
        <x:v>1</x:v>
      </x:c>
      <x:c r="W1554" t="n">
        <x:v>0</x:v>
      </x:c>
      <x:c r="X1554" t="n">
        <x:v>0</x:v>
      </x:c>
      <x:c r="Y1554" t="n">
        <x:v>0</x:v>
      </x:c>
      <x:c r="Z1554" t="n">
        <x:v>0</x:v>
      </x:c>
      <x:c r="AA1554" t="n">
        <x:v>0</x:v>
      </x:c>
      <x:c r="AB1554"/>
      <x:c r="AC1554" t="n">
        <x:v>0</x:v>
      </x:c>
      <x:c r="AD1554" t="n">
        <x:v>-1.2938846154138446</x:v>
      </x:c>
      <x:c r="AE1554" t="n">
        <x:v>0</x:v>
      </x:c>
      <x:c r="AF1554" t="n">
        <x:v>-0.04000133275985718</x:v>
      </x:c>
      <x:c r="AG1554" t="n">
        <x:f>_xlfn.XLOOKUP($A1554,Games!$A$2:$A$18,Games!$B$2:$B$18,"Missing game",0)</x:f>
        <x:v>2025</x:v>
      </x:c>
      <x:c r="AH1554" t="str">
        <x:f>_xlfn.XLOOKUP($A1554,Games!$A$2:$A$18,Games!$C$2:$C$18,"Missing game",0)</x:f>
        <x:v>REG</x:v>
      </x:c>
      <x:c r="AI1554" t="n">
        <x:f>_xlfn.XLOOKUP($A1554,Games!$A$2:$A$18,Games!$D$2:$D$18,"Missing game",0)</x:f>
        <x:v>11</x:v>
      </x:c>
      <x:c r="AJ1554" s="1" t="n">
        <x:f>_xlfn.XLOOKUP($A1554,Games!$A$2:$A$18,Games!$E$2:$E$18,"Missing game",0)</x:f>
        <x:v>45977</x:v>
      </x:c>
      <x:c r="AK1554" t="str">
        <x:f>_xlfn.XLOOKUP($A1554,Games!$A$2:$A$18,Games!$F$2:$F$18,"Missing game",0)</x:f>
        <x:v>Sunday</x:v>
      </x:c>
      <x:c r="AL1554" t="str">
        <x:f>_xlfn.XLOOKUP($A1554,Games!$A$2:$A$18,Games!$G$2:$G$18,"Missing game",0)</x:f>
        <x:v>CHI</x:v>
      </x:c>
      <x:c r="AM1554" t="n">
        <x:f>_xlfn.XLOOKUP($A1554,Games!$A$2:$A$18,Games!$H$2:$H$18,"Missing game",0)</x:f>
        <x:v>19</x:v>
      </x:c>
      <x:c r="AN1554" t="str">
        <x:f>_xlfn.XLOOKUP($A1554,Games!$A$2:$A$18,Games!$I$2:$I$18,"Missing game",0)</x:f>
        <x:v>MIN</x:v>
      </x:c>
      <x:c r="AO1554" t="n">
        <x:f>_xlfn.XLOOKUP($A1554,Games!$A$2:$A$18,Games!$J$2:$J$18,"Missing game",0)</x:f>
        <x:v>17</x:v>
      </x:c>
      <x:c r="AP1554" t="n">
        <x:f>_xlfn.XLOOKUP($A1554,Games!$A$2:$A$18,Games!$K$2:$K$18,"Missing game",0)</x:f>
        <x:v>-2</x:v>
      </x:c>
      <x:c r="AQ1554" t="n">
        <x:f>_xlfn.XLOOKUP($A1554,Games!$A$2:$A$18,Games!$L$2:$L$18,"Missing game",0)</x:f>
        <x:v>36</x:v>
      </x:c>
      <x:c r="AR1554" t="n">
        <x:f>_xlfn.XLOOKUP($A1554,Games!$A$2:$A$18,Games!$M$2:$M$18,"Missing game",0)</x:f>
        <x:v>0</x:v>
      </x:c>
      <x:c r="AS1554" t="str">
        <x:f>_xlfn.XLOOKUP($A1554,Games!$A$2:$A$18,Games!$N$2:$N$18,"Missing game",0)</x:f>
        <x:v>dome</x:v>
      </x:c>
      <x:c r="AT1554" t="str">
        <x:f>_xlfn.XLOOKUP($A1554,Games!$A$2:$A$18,Games!$O$2:$O$18,"Missing game",0)</x:f>
        <x:v>sportturf</x:v>
      </x:c>
      <x:c r="AU1554" t="str">
        <x:f>_xlfn.XLOOKUP($A1554,Games!$A$2:$A$18,Games!$P$2:$P$18,"Missing game",0)</x:f>
      </x:c>
      <x:c r="AV1554" t="str">
        <x:f>_xlfn.XLOOKUP($A1554,Games!$A$2:$A$18,Games!$Q$2:$Q$18,"Missing game",0)</x:f>
      </x:c>
      <x:c r="AW1554" t="str">
        <x:f>_xlfn.XLOOKUP($A1554,Games!$A$2:$A$18,Games!$R$2:$R$18,"Missing game",0)</x:f>
        <x:v>U.S. Bank Stadium</x:v>
      </x:c>
    </x:row>
    <x:row r="1555">
      <x:c r="A1555" t="str">
        <x:v>2025_11_CHI_MIN</x:v>
      </x:c>
      <x:c r="B1555" t="n">
        <x:v>441</x:v>
      </x:c>
      <x:c r="C1555" t="n">
        <x:v>1</x:v>
      </x:c>
      <x:c r="D1555" t="str">
        <x:v>08:06</x:v>
      </x:c>
      <x:c r="E1555" t="n">
        <x:v>3</x:v>
      </x:c>
      <x:c r="F1555" t="n">
        <x:v>7</x:v>
      </x:c>
      <x:c r="G1555" t="str">
        <x:v>MIN</x:v>
      </x:c>
      <x:c r="H1555" t="str">
        <x:v>CHI</x:v>
      </x:c>
      <x:c r="I1555" t="str">
        <x:v>MIN</x:v>
      </x:c>
      <x:c r="J1555" t="n">
        <x:v>61</x:v>
      </x:c>
      <x:c r="K1555" t="str">
        <x:v>(8:06) (Shotgun) 9-J.McCarthy pass incomplete deep middle to 3-J.Addison.</x:v>
      </x:c>
      <x:c r="L1555" t="str">
        <x:v>pass</x:v>
      </x:c>
      <x:c r="M1555" t="n">
        <x:v>0</x:v>
      </x:c>
      <x:c r="N1555" t="n">
        <x:v>1</x:v>
      </x:c>
      <x:c r="O1555" t="n">
        <x:v>0</x:v>
      </x:c>
      <x:c r="P1555" t="str">
        <x:v>deep</x:v>
      </x:c>
      <x:c r="Q1555" t="str">
        <x:v>middle</x:v>
      </x:c>
      <x:c r="R1555" t="n">
        <x:v>29</x:v>
      </x:c>
      <x:c r="S1555"/>
      <x:c r="T1555"/>
      <x:c r="U1555"/>
      <x:c r="V1555" t="n">
        <x:v>0</x:v>
      </x:c>
      <x:c r="W1555" t="n">
        <x:v>0</x:v>
      </x:c>
      <x:c r="X1555" t="n">
        <x:v>0</x:v>
      </x:c>
      <x:c r="Y1555" t="n">
        <x:v>0</x:v>
      </x:c>
      <x:c r="Z1555" t="n">
        <x:v>0</x:v>
      </x:c>
      <x:c r="AA1555" t="n">
        <x:v>0</x:v>
      </x:c>
      <x:c r="AB1555"/>
      <x:c r="AC1555" t="n">
        <x:v>0</x:v>
      </x:c>
      <x:c r="AD1555" t="n">
        <x:v>-1.578944227192551</x:v>
      </x:c>
      <x:c r="AE1555" t="n">
        <x:v>0</x:v>
      </x:c>
      <x:c r="AF1555" t="n">
        <x:v>-0.02611479163169861</x:v>
      </x:c>
      <x:c r="AG1555" t="n">
        <x:f>_xlfn.XLOOKUP($A1555,Games!$A$2:$A$18,Games!$B$2:$B$18,"Missing game",0)</x:f>
        <x:v>2025</x:v>
      </x:c>
      <x:c r="AH1555" t="str">
        <x:f>_xlfn.XLOOKUP($A1555,Games!$A$2:$A$18,Games!$C$2:$C$18,"Missing game",0)</x:f>
        <x:v>REG</x:v>
      </x:c>
      <x:c r="AI1555" t="n">
        <x:f>_xlfn.XLOOKUP($A1555,Games!$A$2:$A$18,Games!$D$2:$D$18,"Missing game",0)</x:f>
        <x:v>11</x:v>
      </x:c>
      <x:c r="AJ1555" s="1" t="n">
        <x:f>_xlfn.XLOOKUP($A1555,Games!$A$2:$A$18,Games!$E$2:$E$18,"Missing game",0)</x:f>
        <x:v>45977</x:v>
      </x:c>
      <x:c r="AK1555" t="str">
        <x:f>_xlfn.XLOOKUP($A1555,Games!$A$2:$A$18,Games!$F$2:$F$18,"Missing game",0)</x:f>
        <x:v>Sunday</x:v>
      </x:c>
      <x:c r="AL1555" t="str">
        <x:f>_xlfn.XLOOKUP($A1555,Games!$A$2:$A$18,Games!$G$2:$G$18,"Missing game",0)</x:f>
        <x:v>CHI</x:v>
      </x:c>
      <x:c r="AM1555" t="n">
        <x:f>_xlfn.XLOOKUP($A1555,Games!$A$2:$A$18,Games!$H$2:$H$18,"Missing game",0)</x:f>
        <x:v>19</x:v>
      </x:c>
      <x:c r="AN1555" t="str">
        <x:f>_xlfn.XLOOKUP($A1555,Games!$A$2:$A$18,Games!$I$2:$I$18,"Missing game",0)</x:f>
        <x:v>MIN</x:v>
      </x:c>
      <x:c r="AO1555" t="n">
        <x:f>_xlfn.XLOOKUP($A1555,Games!$A$2:$A$18,Games!$J$2:$J$18,"Missing game",0)</x:f>
        <x:v>17</x:v>
      </x:c>
      <x:c r="AP1555" t="n">
        <x:f>_xlfn.XLOOKUP($A1555,Games!$A$2:$A$18,Games!$K$2:$K$18,"Missing game",0)</x:f>
        <x:v>-2</x:v>
      </x:c>
      <x:c r="AQ1555" t="n">
        <x:f>_xlfn.XLOOKUP($A1555,Games!$A$2:$A$18,Games!$L$2:$L$18,"Missing game",0)</x:f>
        <x:v>36</x:v>
      </x:c>
      <x:c r="AR1555" t="n">
        <x:f>_xlfn.XLOOKUP($A1555,Games!$A$2:$A$18,Games!$M$2:$M$18,"Missing game",0)</x:f>
        <x:v>0</x:v>
      </x:c>
      <x:c r="AS1555" t="str">
        <x:f>_xlfn.XLOOKUP($A1555,Games!$A$2:$A$18,Games!$N$2:$N$18,"Missing game",0)</x:f>
        <x:v>dome</x:v>
      </x:c>
      <x:c r="AT1555" t="str">
        <x:f>_xlfn.XLOOKUP($A1555,Games!$A$2:$A$18,Games!$O$2:$O$18,"Missing game",0)</x:f>
        <x:v>sportturf</x:v>
      </x:c>
      <x:c r="AU1555" t="str">
        <x:f>_xlfn.XLOOKUP($A1555,Games!$A$2:$A$18,Games!$P$2:$P$18,"Missing game",0)</x:f>
      </x:c>
      <x:c r="AV1555" t="str">
        <x:f>_xlfn.XLOOKUP($A1555,Games!$A$2:$A$18,Games!$Q$2:$Q$18,"Missing game",0)</x:f>
      </x:c>
      <x:c r="AW1555" t="str">
        <x:f>_xlfn.XLOOKUP($A1555,Games!$A$2:$A$18,Games!$R$2:$R$18,"Missing game",0)</x:f>
        <x:v>U.S. Bank Stadium</x:v>
      </x:c>
    </x:row>
    <x:row r="1556">
      <x:c r="A1556" t="str">
        <x:v>2025_11_CHI_MIN</x:v>
      </x:c>
      <x:c r="B1556" t="n">
        <x:v>464</x:v>
      </x:c>
      <x:c r="C1556" t="n">
        <x:v>1</x:v>
      </x:c>
      <x:c r="D1556" t="str">
        <x:v>08:00</x:v>
      </x:c>
      <x:c r="E1556" t="n">
        <x:v>4</x:v>
      </x:c>
      <x:c r="F1556" t="n">
        <x:v>7</x:v>
      </x:c>
      <x:c r="G1556" t="str">
        <x:v>MIN</x:v>
      </x:c>
      <x:c r="H1556" t="str">
        <x:v>CHI</x:v>
      </x:c>
      <x:c r="I1556" t="str">
        <x:v>MIN</x:v>
      </x:c>
      <x:c r="J1556" t="n">
        <x:v>61</x:v>
      </x:c>
      <x:c r="K1556" t="str">
        <x:v>(8:00) 17-R.Wright punts 61 yards to end zone, Center-42-A.DePaola, Touchback.</x:v>
      </x:c>
      <x:c r="L1556" t="str">
        <x:v>punt</x:v>
      </x:c>
      <x:c r="M1556" t="n">
        <x:v>0</x:v>
      </x:c>
      <x:c r="N1556" t="n">
        <x:v>0</x:v>
      </x:c>
      <x:c r="O1556" t="n">
        <x:v>0</x:v>
      </x:c>
      <x:c r="P1556"/>
      <x:c r="Q1556"/>
      <x:c r="R1556"/>
      <x:c r="S1556"/>
      <x:c r="T1556"/>
      <x:c r="U1556"/>
      <x:c r="V1556" t="n">
        <x:v>0</x:v>
      </x:c>
      <x:c r="W1556" t="n">
        <x:v>0</x:v>
      </x:c>
      <x:c r="X1556" t="n">
        <x:v>0</x:v>
      </x:c>
      <x:c r="Y1556" t="n">
        <x:v>0</x:v>
      </x:c>
      <x:c r="Z1556" t="n">
        <x:v>0</x:v>
      </x:c>
      <x:c r="AA1556" t="n">
        <x:v>0</x:v>
      </x:c>
      <x:c r="AB1556"/>
      <x:c r="AC1556" t="n">
        <x:v>0</x:v>
      </x:c>
      <x:c r="AD1556" t="n">
        <x:v>-0.2976826885715127</x:v>
      </x:c>
      <x:c r="AE1556" t="n">
        <x:v>0</x:v>
      </x:c>
      <x:c r="AF1556" t="n">
        <x:v>0.021008044481277466</x:v>
      </x:c>
      <x:c r="AG1556" t="n">
        <x:f>_xlfn.XLOOKUP($A1556,Games!$A$2:$A$18,Games!$B$2:$B$18,"Missing game",0)</x:f>
        <x:v>2025</x:v>
      </x:c>
      <x:c r="AH1556" t="str">
        <x:f>_xlfn.XLOOKUP($A1556,Games!$A$2:$A$18,Games!$C$2:$C$18,"Missing game",0)</x:f>
        <x:v>REG</x:v>
      </x:c>
      <x:c r="AI1556" t="n">
        <x:f>_xlfn.XLOOKUP($A1556,Games!$A$2:$A$18,Games!$D$2:$D$18,"Missing game",0)</x:f>
        <x:v>11</x:v>
      </x:c>
      <x:c r="AJ1556" s="1" t="n">
        <x:f>_xlfn.XLOOKUP($A1556,Games!$A$2:$A$18,Games!$E$2:$E$18,"Missing game",0)</x:f>
        <x:v>45977</x:v>
      </x:c>
      <x:c r="AK1556" t="str">
        <x:f>_xlfn.XLOOKUP($A1556,Games!$A$2:$A$18,Games!$F$2:$F$18,"Missing game",0)</x:f>
        <x:v>Sunday</x:v>
      </x:c>
      <x:c r="AL1556" t="str">
        <x:f>_xlfn.XLOOKUP($A1556,Games!$A$2:$A$18,Games!$G$2:$G$18,"Missing game",0)</x:f>
        <x:v>CHI</x:v>
      </x:c>
      <x:c r="AM1556" t="n">
        <x:f>_xlfn.XLOOKUP($A1556,Games!$A$2:$A$18,Games!$H$2:$H$18,"Missing game",0)</x:f>
        <x:v>19</x:v>
      </x:c>
      <x:c r="AN1556" t="str">
        <x:f>_xlfn.XLOOKUP($A1556,Games!$A$2:$A$18,Games!$I$2:$I$18,"Missing game",0)</x:f>
        <x:v>MIN</x:v>
      </x:c>
      <x:c r="AO1556" t="n">
        <x:f>_xlfn.XLOOKUP($A1556,Games!$A$2:$A$18,Games!$J$2:$J$18,"Missing game",0)</x:f>
        <x:v>17</x:v>
      </x:c>
      <x:c r="AP1556" t="n">
        <x:f>_xlfn.XLOOKUP($A1556,Games!$A$2:$A$18,Games!$K$2:$K$18,"Missing game",0)</x:f>
        <x:v>-2</x:v>
      </x:c>
      <x:c r="AQ1556" t="n">
        <x:f>_xlfn.XLOOKUP($A1556,Games!$A$2:$A$18,Games!$L$2:$L$18,"Missing game",0)</x:f>
        <x:v>36</x:v>
      </x:c>
      <x:c r="AR1556" t="n">
        <x:f>_xlfn.XLOOKUP($A1556,Games!$A$2:$A$18,Games!$M$2:$M$18,"Missing game",0)</x:f>
        <x:v>0</x:v>
      </x:c>
      <x:c r="AS1556" t="str">
        <x:f>_xlfn.XLOOKUP($A1556,Games!$A$2:$A$18,Games!$N$2:$N$18,"Missing game",0)</x:f>
        <x:v>dome</x:v>
      </x:c>
      <x:c r="AT1556" t="str">
        <x:f>_xlfn.XLOOKUP($A1556,Games!$A$2:$A$18,Games!$O$2:$O$18,"Missing game",0)</x:f>
        <x:v>sportturf</x:v>
      </x:c>
      <x:c r="AU1556" t="str">
        <x:f>_xlfn.XLOOKUP($A1556,Games!$A$2:$A$18,Games!$P$2:$P$18,"Missing game",0)</x:f>
      </x:c>
      <x:c r="AV1556" t="str">
        <x:f>_xlfn.XLOOKUP($A1556,Games!$A$2:$A$18,Games!$Q$2:$Q$18,"Missing game",0)</x:f>
      </x:c>
      <x:c r="AW1556" t="str">
        <x:f>_xlfn.XLOOKUP($A1556,Games!$A$2:$A$18,Games!$R$2:$R$18,"Missing game",0)</x:f>
        <x:v>U.S. Bank Stadium</x:v>
      </x:c>
    </x:row>
    <x:row r="1557">
      <x:c r="A1557" t="str">
        <x:v>2025_11_CHI_MIN</x:v>
      </x:c>
      <x:c r="B1557" t="n">
        <x:v>482</x:v>
      </x:c>
      <x:c r="C1557" t="n">
        <x:v>1</x:v>
      </x:c>
      <x:c r="D1557" t="str">
        <x:v>07:51</x:v>
      </x:c>
      <x:c r="E1557" t="n">
        <x:v>1</x:v>
      </x:c>
      <x:c r="F1557" t="n">
        <x:v>10</x:v>
      </x:c>
      <x:c r="G1557" t="str">
        <x:v>CHI</x:v>
      </x:c>
      <x:c r="H1557" t="str">
        <x:v>MIN</x:v>
      </x:c>
      <x:c r="I1557" t="str">
        <x:v>CHI</x:v>
      </x:c>
      <x:c r="J1557" t="n">
        <x:v>80</x:v>
      </x:c>
      <x:c r="K1557" t="str">
        <x:v>(7:51) 25-K.Monangai right guard to CHI 24 for 4 yards (51-B.Cashman; 93-J.Allen).</x:v>
      </x:c>
      <x:c r="L1557" t="str">
        <x:v>run</x:v>
      </x:c>
      <x:c r="M1557" t="n">
        <x:v>4</x:v>
      </x:c>
      <x:c r="N1557" t="n">
        <x:v>0</x:v>
      </x:c>
      <x:c r="O1557" t="n">
        <x:v>0</x:v>
      </x:c>
      <x:c r="P1557"/>
      <x:c r="Q1557"/>
      <x:c r="R1557"/>
      <x:c r="S1557"/>
      <x:c r="T1557" t="str">
        <x:v>right</x:v>
      </x:c>
      <x:c r="U1557" t="str">
        <x:v>guard</x:v>
      </x:c>
      <x:c r="V1557" t="n">
        <x:v>0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0</x:v>
      </x:c>
      <x:c r="AB1557"/>
      <x:c r="AC1557" t="n">
        <x:v>0</x:v>
      </x:c>
      <x:c r="AD1557" t="n">
        <x:v>-0.2760778469964862</x:v>
      </x:c>
      <x:c r="AE1557" t="n">
        <x:v>0</x:v>
      </x:c>
      <x:c r="AF1557" t="n">
        <x:v>0.0035872161388397217</x:v>
      </x:c>
      <x:c r="AG1557" t="n">
        <x:f>_xlfn.XLOOKUP($A1557,Games!$A$2:$A$18,Games!$B$2:$B$18,"Missing game",0)</x:f>
        <x:v>2025</x:v>
      </x:c>
      <x:c r="AH1557" t="str">
        <x:f>_xlfn.XLOOKUP($A1557,Games!$A$2:$A$18,Games!$C$2:$C$18,"Missing game",0)</x:f>
        <x:v>REG</x:v>
      </x:c>
      <x:c r="AI1557" t="n">
        <x:f>_xlfn.XLOOKUP($A1557,Games!$A$2:$A$18,Games!$D$2:$D$18,"Missing game",0)</x:f>
        <x:v>11</x:v>
      </x:c>
      <x:c r="AJ1557" s="1" t="n">
        <x:f>_xlfn.XLOOKUP($A1557,Games!$A$2:$A$18,Games!$E$2:$E$18,"Missing game",0)</x:f>
        <x:v>45977</x:v>
      </x:c>
      <x:c r="AK1557" t="str">
        <x:f>_xlfn.XLOOKUP($A1557,Games!$A$2:$A$18,Games!$F$2:$F$18,"Missing game",0)</x:f>
        <x:v>Sunday</x:v>
      </x:c>
      <x:c r="AL1557" t="str">
        <x:f>_xlfn.XLOOKUP($A1557,Games!$A$2:$A$18,Games!$G$2:$G$18,"Missing game",0)</x:f>
        <x:v>CHI</x:v>
      </x:c>
      <x:c r="AM1557" t="n">
        <x:f>_xlfn.XLOOKUP($A1557,Games!$A$2:$A$18,Games!$H$2:$H$18,"Missing game",0)</x:f>
        <x:v>19</x:v>
      </x:c>
      <x:c r="AN1557" t="str">
        <x:f>_xlfn.XLOOKUP($A1557,Games!$A$2:$A$18,Games!$I$2:$I$18,"Missing game",0)</x:f>
        <x:v>MIN</x:v>
      </x:c>
      <x:c r="AO1557" t="n">
        <x:f>_xlfn.XLOOKUP($A1557,Games!$A$2:$A$18,Games!$J$2:$J$18,"Missing game",0)</x:f>
        <x:v>17</x:v>
      </x:c>
      <x:c r="AP1557" t="n">
        <x:f>_xlfn.XLOOKUP($A1557,Games!$A$2:$A$18,Games!$K$2:$K$18,"Missing game",0)</x:f>
        <x:v>-2</x:v>
      </x:c>
      <x:c r="AQ1557" t="n">
        <x:f>_xlfn.XLOOKUP($A1557,Games!$A$2:$A$18,Games!$L$2:$L$18,"Missing game",0)</x:f>
        <x:v>36</x:v>
      </x:c>
      <x:c r="AR1557" t="n">
        <x:f>_xlfn.XLOOKUP($A1557,Games!$A$2:$A$18,Games!$M$2:$M$18,"Missing game",0)</x:f>
        <x:v>0</x:v>
      </x:c>
      <x:c r="AS1557" t="str">
        <x:f>_xlfn.XLOOKUP($A1557,Games!$A$2:$A$18,Games!$N$2:$N$18,"Missing game",0)</x:f>
        <x:v>dome</x:v>
      </x:c>
      <x:c r="AT1557" t="str">
        <x:f>_xlfn.XLOOKUP($A1557,Games!$A$2:$A$18,Games!$O$2:$O$18,"Missing game",0)</x:f>
        <x:v>sportturf</x:v>
      </x:c>
      <x:c r="AU1557" t="str">
        <x:f>_xlfn.XLOOKUP($A1557,Games!$A$2:$A$18,Games!$P$2:$P$18,"Missing game",0)</x:f>
      </x:c>
      <x:c r="AV1557" t="str">
        <x:f>_xlfn.XLOOKUP($A1557,Games!$A$2:$A$18,Games!$Q$2:$Q$18,"Missing game",0)</x:f>
      </x:c>
      <x:c r="AW1557" t="str">
        <x:f>_xlfn.XLOOKUP($A1557,Games!$A$2:$A$18,Games!$R$2:$R$18,"Missing game",0)</x:f>
        <x:v>U.S. Bank Stadium</x:v>
      </x:c>
    </x:row>
    <x:row r="1558">
      <x:c r="A1558" t="str">
        <x:v>2025_11_CHI_MIN</x:v>
      </x:c>
      <x:c r="B1558" t="n">
        <x:v>511</x:v>
      </x:c>
      <x:c r="C1558" t="n">
        <x:v>1</x:v>
      </x:c>
      <x:c r="D1558" t="str">
        <x:v>07:13</x:v>
      </x:c>
      <x:c r="E1558" t="n">
        <x:v>2</x:v>
      </x:c>
      <x:c r="F1558" t="n">
        <x:v>6</x:v>
      </x:c>
      <x:c r="G1558" t="str">
        <x:v>CHI</x:v>
      </x:c>
      <x:c r="H1558" t="str">
        <x:v>MIN</x:v>
      </x:c>
      <x:c r="I1558" t="str">
        <x:v>CHI</x:v>
      </x:c>
      <x:c r="J1558" t="n">
        <x:v>76</x:v>
      </x:c>
      <x:c r="K1558" t="str">
        <x:v>(7:13) 18-C.Williams pass short right to 10-L.Burden to CHI 21 for -3 yards (15-D.Turner).</x:v>
      </x:c>
      <x:c r="L1558" t="str">
        <x:v>pass</x:v>
      </x:c>
      <x:c r="M1558" t="n">
        <x:v>-3</x:v>
      </x:c>
      <x:c r="N1558" t="n">
        <x:v>0</x:v>
      </x:c>
      <x:c r="O1558" t="n">
        <x:v>0</x:v>
      </x:c>
      <x:c r="P1558" t="str">
        <x:v>short</x:v>
      </x:c>
      <x:c r="Q1558" t="str">
        <x:v>right</x:v>
      </x:c>
      <x:c r="R1558" t="n">
        <x:v>-5</x:v>
      </x:c>
      <x:c r="S1558" t="n">
        <x:v>2</x:v>
      </x:c>
      <x:c r="T1558"/>
      <x:c r="U1558"/>
      <x:c r="V1558" t="n">
        <x:v>1</x:v>
      </x:c>
      <x:c r="W1558" t="n">
        <x:v>0</x:v>
      </x:c>
      <x:c r="X1558" t="n">
        <x:v>0</x:v>
      </x:c>
      <x:c r="Y1558" t="n">
        <x:v>0</x:v>
      </x:c>
      <x:c r="Z1558" t="n">
        <x:v>0</x:v>
      </x:c>
      <x:c r="AA1558" t="n">
        <x:v>0</x:v>
      </x:c>
      <x:c r="AB1558"/>
      <x:c r="AC1558" t="n">
        <x:v>0</x:v>
      </x:c>
      <x:c r="AD1558" t="n">
        <x:v>-1.108418868854642</x:v>
      </x:c>
      <x:c r="AE1558" t="n">
        <x:v>0</x:v>
      </x:c>
      <x:c r="AF1558" t="n">
        <x:v>-0.0344255268573761</x:v>
      </x:c>
      <x:c r="AG1558" t="n">
        <x:f>_xlfn.XLOOKUP($A1558,Games!$A$2:$A$18,Games!$B$2:$B$18,"Missing game",0)</x:f>
        <x:v>2025</x:v>
      </x:c>
      <x:c r="AH1558" t="str">
        <x:f>_xlfn.XLOOKUP($A1558,Games!$A$2:$A$18,Games!$C$2:$C$18,"Missing game",0)</x:f>
        <x:v>REG</x:v>
      </x:c>
      <x:c r="AI1558" t="n">
        <x:f>_xlfn.XLOOKUP($A1558,Games!$A$2:$A$18,Games!$D$2:$D$18,"Missing game",0)</x:f>
        <x:v>11</x:v>
      </x:c>
      <x:c r="AJ1558" s="1" t="n">
        <x:f>_xlfn.XLOOKUP($A1558,Games!$A$2:$A$18,Games!$E$2:$E$18,"Missing game",0)</x:f>
        <x:v>45977</x:v>
      </x:c>
      <x:c r="AK1558" t="str">
        <x:f>_xlfn.XLOOKUP($A1558,Games!$A$2:$A$18,Games!$F$2:$F$18,"Missing game",0)</x:f>
        <x:v>Sunday</x:v>
      </x:c>
      <x:c r="AL1558" t="str">
        <x:f>_xlfn.XLOOKUP($A1558,Games!$A$2:$A$18,Games!$G$2:$G$18,"Missing game",0)</x:f>
        <x:v>CHI</x:v>
      </x:c>
      <x:c r="AM1558" t="n">
        <x:f>_xlfn.XLOOKUP($A1558,Games!$A$2:$A$18,Games!$H$2:$H$18,"Missing game",0)</x:f>
        <x:v>19</x:v>
      </x:c>
      <x:c r="AN1558" t="str">
        <x:f>_xlfn.XLOOKUP($A1558,Games!$A$2:$A$18,Games!$I$2:$I$18,"Missing game",0)</x:f>
        <x:v>MIN</x:v>
      </x:c>
      <x:c r="AO1558" t="n">
        <x:f>_xlfn.XLOOKUP($A1558,Games!$A$2:$A$18,Games!$J$2:$J$18,"Missing game",0)</x:f>
        <x:v>17</x:v>
      </x:c>
      <x:c r="AP1558" t="n">
        <x:f>_xlfn.XLOOKUP($A1558,Games!$A$2:$A$18,Games!$K$2:$K$18,"Missing game",0)</x:f>
        <x:v>-2</x:v>
      </x:c>
      <x:c r="AQ1558" t="n">
        <x:f>_xlfn.XLOOKUP($A1558,Games!$A$2:$A$18,Games!$L$2:$L$18,"Missing game",0)</x:f>
        <x:v>36</x:v>
      </x:c>
      <x:c r="AR1558" t="n">
        <x:f>_xlfn.XLOOKUP($A1558,Games!$A$2:$A$18,Games!$M$2:$M$18,"Missing game",0)</x:f>
        <x:v>0</x:v>
      </x:c>
      <x:c r="AS1558" t="str">
        <x:f>_xlfn.XLOOKUP($A1558,Games!$A$2:$A$18,Games!$N$2:$N$18,"Missing game",0)</x:f>
        <x:v>dome</x:v>
      </x:c>
      <x:c r="AT1558" t="str">
        <x:f>_xlfn.XLOOKUP($A1558,Games!$A$2:$A$18,Games!$O$2:$O$18,"Missing game",0)</x:f>
        <x:v>sportturf</x:v>
      </x:c>
      <x:c r="AU1558" t="str">
        <x:f>_xlfn.XLOOKUP($A1558,Games!$A$2:$A$18,Games!$P$2:$P$18,"Missing game",0)</x:f>
      </x:c>
      <x:c r="AV1558" t="str">
        <x:f>_xlfn.XLOOKUP($A1558,Games!$A$2:$A$18,Games!$Q$2:$Q$18,"Missing game",0)</x:f>
      </x:c>
      <x:c r="AW1558" t="str">
        <x:f>_xlfn.XLOOKUP($A1558,Games!$A$2:$A$18,Games!$R$2:$R$18,"Missing game",0)</x:f>
        <x:v>U.S. Bank Stadium</x:v>
      </x:c>
    </x:row>
    <x:row r="1559">
      <x:c r="A1559" t="str">
        <x:v>2025_11_CHI_MIN</x:v>
      </x:c>
      <x:c r="B1559" t="n">
        <x:v>536</x:v>
      </x:c>
      <x:c r="C1559" t="n">
        <x:v>1</x:v>
      </x:c>
      <x:c r="D1559" t="str">
        <x:v>06:39</x:v>
      </x:c>
      <x:c r="E1559" t="n">
        <x:v>3</x:v>
      </x:c>
      <x:c r="F1559" t="n">
        <x:v>9</x:v>
      </x:c>
      <x:c r="G1559" t="str">
        <x:v>CHI</x:v>
      </x:c>
      <x:c r="H1559" t="str">
        <x:v>MIN</x:v>
      </x:c>
      <x:c r="I1559" t="str">
        <x:v>CHI</x:v>
      </x:c>
      <x:c r="J1559" t="n">
        <x:v>79</x:v>
      </x:c>
      <x:c r="K1559" t="str">
        <x:v>(6:39) (Shotgun) 18-C.Williams pass incomplete deep right to 2-D.Moore.</x:v>
      </x:c>
      <x:c r="L1559" t="str">
        <x:v>pass</x:v>
      </x:c>
      <x:c r="M1559" t="n">
        <x:v>0</x:v>
      </x:c>
      <x:c r="N1559" t="n">
        <x:v>1</x:v>
      </x:c>
      <x:c r="O1559" t="n">
        <x:v>0</x:v>
      </x:c>
      <x:c r="P1559" t="str">
        <x:v>deep</x:v>
      </x:c>
      <x:c r="Q1559" t="str">
        <x:v>right</x:v>
      </x:c>
      <x:c r="R1559" t="n">
        <x:v>37</x:v>
      </x:c>
      <x:c r="S1559"/>
      <x:c r="T1559"/>
      <x:c r="U1559"/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0</x:v>
      </x:c>
      <x:c r="AA1559" t="n">
        <x:v>0</x:v>
      </x:c>
      <x:c r="AB1559"/>
      <x:c r="AC1559" t="n">
        <x:v>0</x:v>
      </x:c>
      <x:c r="AD1559" t="n">
        <x:v>-1.417242743074894</x:v>
      </x:c>
      <x:c r="AE1559" t="n">
        <x:v>0</x:v>
      </x:c>
      <x:c r="AF1559" t="n">
        <x:v>-0.023129194974899292</x:v>
      </x:c>
      <x:c r="AG1559" t="n">
        <x:f>_xlfn.XLOOKUP($A1559,Games!$A$2:$A$18,Games!$B$2:$B$18,"Missing game",0)</x:f>
        <x:v>2025</x:v>
      </x:c>
      <x:c r="AH1559" t="str">
        <x:f>_xlfn.XLOOKUP($A1559,Games!$A$2:$A$18,Games!$C$2:$C$18,"Missing game",0)</x:f>
        <x:v>REG</x:v>
      </x:c>
      <x:c r="AI1559" t="n">
        <x:f>_xlfn.XLOOKUP($A1559,Games!$A$2:$A$18,Games!$D$2:$D$18,"Missing game",0)</x:f>
        <x:v>11</x:v>
      </x:c>
      <x:c r="AJ1559" s="1" t="n">
        <x:f>_xlfn.XLOOKUP($A1559,Games!$A$2:$A$18,Games!$E$2:$E$18,"Missing game",0)</x:f>
        <x:v>45977</x:v>
      </x:c>
      <x:c r="AK1559" t="str">
        <x:f>_xlfn.XLOOKUP($A1559,Games!$A$2:$A$18,Games!$F$2:$F$18,"Missing game",0)</x:f>
        <x:v>Sunday</x:v>
      </x:c>
      <x:c r="AL1559" t="str">
        <x:f>_xlfn.XLOOKUP($A1559,Games!$A$2:$A$18,Games!$G$2:$G$18,"Missing game",0)</x:f>
        <x:v>CHI</x:v>
      </x:c>
      <x:c r="AM1559" t="n">
        <x:f>_xlfn.XLOOKUP($A1559,Games!$A$2:$A$18,Games!$H$2:$H$18,"Missing game",0)</x:f>
        <x:v>19</x:v>
      </x:c>
      <x:c r="AN1559" t="str">
        <x:f>_xlfn.XLOOKUP($A1559,Games!$A$2:$A$18,Games!$I$2:$I$18,"Missing game",0)</x:f>
        <x:v>MIN</x:v>
      </x:c>
      <x:c r="AO1559" t="n">
        <x:f>_xlfn.XLOOKUP($A1559,Games!$A$2:$A$18,Games!$J$2:$J$18,"Missing game",0)</x:f>
        <x:v>17</x:v>
      </x:c>
      <x:c r="AP1559" t="n">
        <x:f>_xlfn.XLOOKUP($A1559,Games!$A$2:$A$18,Games!$K$2:$K$18,"Missing game",0)</x:f>
        <x:v>-2</x:v>
      </x:c>
      <x:c r="AQ1559" t="n">
        <x:f>_xlfn.XLOOKUP($A1559,Games!$A$2:$A$18,Games!$L$2:$L$18,"Missing game",0)</x:f>
        <x:v>36</x:v>
      </x:c>
      <x:c r="AR1559" t="n">
        <x:f>_xlfn.XLOOKUP($A1559,Games!$A$2:$A$18,Games!$M$2:$M$18,"Missing game",0)</x:f>
        <x:v>0</x:v>
      </x:c>
      <x:c r="AS1559" t="str">
        <x:f>_xlfn.XLOOKUP($A1559,Games!$A$2:$A$18,Games!$N$2:$N$18,"Missing game",0)</x:f>
        <x:v>dome</x:v>
      </x:c>
      <x:c r="AT1559" t="str">
        <x:f>_xlfn.XLOOKUP($A1559,Games!$A$2:$A$18,Games!$O$2:$O$18,"Missing game",0)</x:f>
        <x:v>sportturf</x:v>
      </x:c>
      <x:c r="AU1559" t="str">
        <x:f>_xlfn.XLOOKUP($A1559,Games!$A$2:$A$18,Games!$P$2:$P$18,"Missing game",0)</x:f>
      </x:c>
      <x:c r="AV1559" t="str">
        <x:f>_xlfn.XLOOKUP($A1559,Games!$A$2:$A$18,Games!$Q$2:$Q$18,"Missing game",0)</x:f>
      </x:c>
      <x:c r="AW1559" t="str">
        <x:f>_xlfn.XLOOKUP($A1559,Games!$A$2:$A$18,Games!$R$2:$R$18,"Missing game",0)</x:f>
        <x:v>U.S. Bank Stadium</x:v>
      </x:c>
    </x:row>
    <x:row r="1560">
      <x:c r="A1560" t="str">
        <x:v>2025_11_CHI_MIN</x:v>
      </x:c>
      <x:c r="B1560" t="n">
        <x:v>559</x:v>
      </x:c>
      <x:c r="C1560" t="n">
        <x:v>1</x:v>
      </x:c>
      <x:c r="D1560" t="str">
        <x:v>06:34</x:v>
      </x:c>
      <x:c r="E1560" t="n">
        <x:v>4</x:v>
      </x:c>
      <x:c r="F1560" t="n">
        <x:v>9</x:v>
      </x:c>
      <x:c r="G1560" t="str">
        <x:v>CHI</x:v>
      </x:c>
      <x:c r="H1560" t="str">
        <x:v>MIN</x:v>
      </x:c>
      <x:c r="I1560" t="str">
        <x:v>CHI</x:v>
      </x:c>
      <x:c r="J1560" t="n">
        <x:v>79</x:v>
      </x:c>
      <x:c r="K1560" t="str">
        <x:v>(6:34) 19-T.Taylor punts 57 yards to MIN 22, Center-46-S.Daly. 4-M.Price to MIN 40 for 18 yards (92-D.Hardy; 46-S.Daly).</x:v>
      </x:c>
      <x:c r="L1560" t="str">
        <x:v>punt</x:v>
      </x:c>
      <x:c r="M1560" t="n">
        <x:v>0</x:v>
      </x:c>
      <x:c r="N1560" t="n">
        <x:v>0</x:v>
      </x:c>
      <x:c r="O1560" t="n">
        <x:v>0</x:v>
      </x:c>
      <x:c r="P1560"/>
      <x:c r="Q1560"/>
      <x:c r="R1560"/>
      <x:c r="S1560"/>
      <x:c r="T1560"/>
      <x:c r="U1560"/>
      <x:c r="V1560" t="n">
        <x:v>0</x:v>
      </x:c>
      <x:c r="W1560" t="n">
        <x:v>0</x:v>
      </x:c>
      <x:c r="X1560" t="n">
        <x:v>0</x:v>
      </x:c>
      <x:c r="Y1560" t="n">
        <x:v>0</x:v>
      </x:c>
      <x:c r="Z1560" t="n">
        <x:v>0</x:v>
      </x:c>
      <x:c r="AA1560" t="n">
        <x:v>0</x:v>
      </x:c>
      <x:c r="AB1560"/>
      <x:c r="AC1560" t="n">
        <x:v>0</x:v>
      </x:c>
      <x:c r="AD1560" t="n">
        <x:v>-0.3868432901799679</x:v>
      </x:c>
      <x:c r="AE1560" t="n">
        <x:v>0</x:v>
      </x:c>
      <x:c r="AF1560" t="n">
        <x:v>-0.003078967332839966</x:v>
      </x:c>
      <x:c r="AG1560" t="n">
        <x:f>_xlfn.XLOOKUP($A1560,Games!$A$2:$A$18,Games!$B$2:$B$18,"Missing game",0)</x:f>
        <x:v>2025</x:v>
      </x:c>
      <x:c r="AH1560" t="str">
        <x:f>_xlfn.XLOOKUP($A1560,Games!$A$2:$A$18,Games!$C$2:$C$18,"Missing game",0)</x:f>
        <x:v>REG</x:v>
      </x:c>
      <x:c r="AI1560" t="n">
        <x:f>_xlfn.XLOOKUP($A1560,Games!$A$2:$A$18,Games!$D$2:$D$18,"Missing game",0)</x:f>
        <x:v>11</x:v>
      </x:c>
      <x:c r="AJ1560" s="1" t="n">
        <x:f>_xlfn.XLOOKUP($A1560,Games!$A$2:$A$18,Games!$E$2:$E$18,"Missing game",0)</x:f>
        <x:v>45977</x:v>
      </x:c>
      <x:c r="AK1560" t="str">
        <x:f>_xlfn.XLOOKUP($A1560,Games!$A$2:$A$18,Games!$F$2:$F$18,"Missing game",0)</x:f>
        <x:v>Sunday</x:v>
      </x:c>
      <x:c r="AL1560" t="str">
        <x:f>_xlfn.XLOOKUP($A1560,Games!$A$2:$A$18,Games!$G$2:$G$18,"Missing game",0)</x:f>
        <x:v>CHI</x:v>
      </x:c>
      <x:c r="AM1560" t="n">
        <x:f>_xlfn.XLOOKUP($A1560,Games!$A$2:$A$18,Games!$H$2:$H$18,"Missing game",0)</x:f>
        <x:v>19</x:v>
      </x:c>
      <x:c r="AN1560" t="str">
        <x:f>_xlfn.XLOOKUP($A1560,Games!$A$2:$A$18,Games!$I$2:$I$18,"Missing game",0)</x:f>
        <x:v>MIN</x:v>
      </x:c>
      <x:c r="AO1560" t="n">
        <x:f>_xlfn.XLOOKUP($A1560,Games!$A$2:$A$18,Games!$J$2:$J$18,"Missing game",0)</x:f>
        <x:v>17</x:v>
      </x:c>
      <x:c r="AP1560" t="n">
        <x:f>_xlfn.XLOOKUP($A1560,Games!$A$2:$A$18,Games!$K$2:$K$18,"Missing game",0)</x:f>
        <x:v>-2</x:v>
      </x:c>
      <x:c r="AQ1560" t="n">
        <x:f>_xlfn.XLOOKUP($A1560,Games!$A$2:$A$18,Games!$L$2:$L$18,"Missing game",0)</x:f>
        <x:v>36</x:v>
      </x:c>
      <x:c r="AR1560" t="n">
        <x:f>_xlfn.XLOOKUP($A1560,Games!$A$2:$A$18,Games!$M$2:$M$18,"Missing game",0)</x:f>
        <x:v>0</x:v>
      </x:c>
      <x:c r="AS1560" t="str">
        <x:f>_xlfn.XLOOKUP($A1560,Games!$A$2:$A$18,Games!$N$2:$N$18,"Missing game",0)</x:f>
        <x:v>dome</x:v>
      </x:c>
      <x:c r="AT1560" t="str">
        <x:f>_xlfn.XLOOKUP($A1560,Games!$A$2:$A$18,Games!$O$2:$O$18,"Missing game",0)</x:f>
        <x:v>sportturf</x:v>
      </x:c>
      <x:c r="AU1560" t="str">
        <x:f>_xlfn.XLOOKUP($A1560,Games!$A$2:$A$18,Games!$P$2:$P$18,"Missing game",0)</x:f>
      </x:c>
      <x:c r="AV1560" t="str">
        <x:f>_xlfn.XLOOKUP($A1560,Games!$A$2:$A$18,Games!$Q$2:$Q$18,"Missing game",0)</x:f>
      </x:c>
      <x:c r="AW1560" t="str">
        <x:f>_xlfn.XLOOKUP($A1560,Games!$A$2:$A$18,Games!$R$2:$R$18,"Missing game",0)</x:f>
        <x:v>U.S. Bank Stadium</x:v>
      </x:c>
    </x:row>
    <x:row r="1561">
      <x:c r="A1561" t="str">
        <x:v>2025_11_CHI_MIN</x:v>
      </x:c>
      <x:c r="B1561" t="n">
        <x:v>585</x:v>
      </x:c>
      <x:c r="C1561" t="n">
        <x:v>1</x:v>
      </x:c>
      <x:c r="D1561" t="str">
        <x:v>06:23</x:v>
      </x:c>
      <x:c r="E1561" t="n">
        <x:v>1</x:v>
      </x:c>
      <x:c r="F1561" t="n">
        <x:v>10</x:v>
      </x:c>
      <x:c r="G1561" t="str">
        <x:v>MIN</x:v>
      </x:c>
      <x:c r="H1561" t="str">
        <x:v>CHI</x:v>
      </x:c>
      <x:c r="I1561" t="str">
        <x:v>MIN</x:v>
      </x:c>
      <x:c r="J1561" t="n">
        <x:v>60</x:v>
      </x:c>
      <x:c r="K1561" t="str">
        <x:v>(6:23) 33-A.Jones up the middle to MIN 45 for 5 yards (50-G.Jarrett; 44-N.Sewell).</x:v>
      </x:c>
      <x:c r="L1561" t="str">
        <x:v>run</x:v>
      </x:c>
      <x:c r="M1561" t="n">
        <x:v>5</x:v>
      </x:c>
      <x:c r="N1561" t="n">
        <x:v>0</x:v>
      </x:c>
      <x:c r="O1561" t="n">
        <x:v>0</x:v>
      </x:c>
      <x:c r="P1561"/>
      <x:c r="Q1561"/>
      <x:c r="R1561"/>
      <x:c r="S1561"/>
      <x:c r="T1561" t="str">
        <x:v>middle</x:v>
      </x:c>
      <x:c r="U1561"/>
      <x:c r="V1561" t="n">
        <x:v>0</x:v>
      </x:c>
      <x:c r="W1561" t="n">
        <x:v>0</x:v>
      </x:c>
      <x:c r="X1561" t="n">
        <x:v>0</x:v>
      </x:c>
      <x:c r="Y1561" t="n">
        <x:v>0</x:v>
      </x:c>
      <x:c r="Z1561" t="n">
        <x:v>0</x:v>
      </x:c>
      <x:c r="AA1561" t="n">
        <x:v>0</x:v>
      </x:c>
      <x:c r="AB1561"/>
      <x:c r="AC1561" t="n">
        <x:v>0</x:v>
      </x:c>
      <x:c r="AD1561" t="n">
        <x:v>0.03848100500181317</x:v>
      </x:c>
      <x:c r="AE1561" t="n">
        <x:v>1</x:v>
      </x:c>
      <x:c r="AF1561" t="n">
        <x:v>-0.00537264347076416</x:v>
      </x:c>
      <x:c r="AG1561" t="n">
        <x:f>_xlfn.XLOOKUP($A1561,Games!$A$2:$A$18,Games!$B$2:$B$18,"Missing game",0)</x:f>
        <x:v>2025</x:v>
      </x:c>
      <x:c r="AH1561" t="str">
        <x:f>_xlfn.XLOOKUP($A1561,Games!$A$2:$A$18,Games!$C$2:$C$18,"Missing game",0)</x:f>
        <x:v>REG</x:v>
      </x:c>
      <x:c r="AI1561" t="n">
        <x:f>_xlfn.XLOOKUP($A1561,Games!$A$2:$A$18,Games!$D$2:$D$18,"Missing game",0)</x:f>
        <x:v>11</x:v>
      </x:c>
      <x:c r="AJ1561" s="1" t="n">
        <x:f>_xlfn.XLOOKUP($A1561,Games!$A$2:$A$18,Games!$E$2:$E$18,"Missing game",0)</x:f>
        <x:v>45977</x:v>
      </x:c>
      <x:c r="AK1561" t="str">
        <x:f>_xlfn.XLOOKUP($A1561,Games!$A$2:$A$18,Games!$F$2:$F$18,"Missing game",0)</x:f>
        <x:v>Sunday</x:v>
      </x:c>
      <x:c r="AL1561" t="str">
        <x:f>_xlfn.XLOOKUP($A1561,Games!$A$2:$A$18,Games!$G$2:$G$18,"Missing game",0)</x:f>
        <x:v>CHI</x:v>
      </x:c>
      <x:c r="AM1561" t="n">
        <x:f>_xlfn.XLOOKUP($A1561,Games!$A$2:$A$18,Games!$H$2:$H$18,"Missing game",0)</x:f>
        <x:v>19</x:v>
      </x:c>
      <x:c r="AN1561" t="str">
        <x:f>_xlfn.XLOOKUP($A1561,Games!$A$2:$A$18,Games!$I$2:$I$18,"Missing game",0)</x:f>
        <x:v>MIN</x:v>
      </x:c>
      <x:c r="AO1561" t="n">
        <x:f>_xlfn.XLOOKUP($A1561,Games!$A$2:$A$18,Games!$J$2:$J$18,"Missing game",0)</x:f>
        <x:v>17</x:v>
      </x:c>
      <x:c r="AP1561" t="n">
        <x:f>_xlfn.XLOOKUP($A1561,Games!$A$2:$A$18,Games!$K$2:$K$18,"Missing game",0)</x:f>
        <x:v>-2</x:v>
      </x:c>
      <x:c r="AQ1561" t="n">
        <x:f>_xlfn.XLOOKUP($A1561,Games!$A$2:$A$18,Games!$L$2:$L$18,"Missing game",0)</x:f>
        <x:v>36</x:v>
      </x:c>
      <x:c r="AR1561" t="n">
        <x:f>_xlfn.XLOOKUP($A1561,Games!$A$2:$A$18,Games!$M$2:$M$18,"Missing game",0)</x:f>
        <x:v>0</x:v>
      </x:c>
      <x:c r="AS1561" t="str">
        <x:f>_xlfn.XLOOKUP($A1561,Games!$A$2:$A$18,Games!$N$2:$N$18,"Missing game",0)</x:f>
        <x:v>dome</x:v>
      </x:c>
      <x:c r="AT1561" t="str">
        <x:f>_xlfn.XLOOKUP($A1561,Games!$A$2:$A$18,Games!$O$2:$O$18,"Missing game",0)</x:f>
        <x:v>sportturf</x:v>
      </x:c>
      <x:c r="AU1561" t="str">
        <x:f>_xlfn.XLOOKUP($A1561,Games!$A$2:$A$18,Games!$P$2:$P$18,"Missing game",0)</x:f>
      </x:c>
      <x:c r="AV1561" t="str">
        <x:f>_xlfn.XLOOKUP($A1561,Games!$A$2:$A$18,Games!$Q$2:$Q$18,"Missing game",0)</x:f>
      </x:c>
      <x:c r="AW1561" t="str">
        <x:f>_xlfn.XLOOKUP($A1561,Games!$A$2:$A$18,Games!$R$2:$R$18,"Missing game",0)</x:f>
        <x:v>U.S. Bank Stadium</x:v>
      </x:c>
    </x:row>
    <x:row r="1562">
      <x:c r="A1562" t="str">
        <x:v>2025_11_CHI_MIN</x:v>
      </x:c>
      <x:c r="B1562" t="n">
        <x:v>614</x:v>
      </x:c>
      <x:c r="C1562" t="n">
        <x:v>1</x:v>
      </x:c>
      <x:c r="D1562" t="str">
        <x:v>05:47</x:v>
      </x:c>
      <x:c r="E1562" t="n">
        <x:v>2</x:v>
      </x:c>
      <x:c r="F1562" t="n">
        <x:v>5</x:v>
      </x:c>
      <x:c r="G1562" t="str">
        <x:v>MIN</x:v>
      </x:c>
      <x:c r="H1562" t="str">
        <x:v>CHI</x:v>
      </x:c>
      <x:c r="I1562" t="str">
        <x:v>MIN</x:v>
      </x:c>
      <x:c r="J1562" t="n">
        <x:v>55</x:v>
      </x:c>
      <x:c r="K1562" t="str">
        <x:v>(5:47) 9-J.McCarthy pass short right to 18-J.Jefferson to CHI 49 for 6 yards (29-T.Stevenson).</x:v>
      </x:c>
      <x:c r="L1562" t="str">
        <x:v>pass</x:v>
      </x:c>
      <x:c r="M1562" t="n">
        <x:v>6</x:v>
      </x:c>
      <x:c r="N1562" t="n">
        <x:v>0</x:v>
      </x:c>
      <x:c r="O1562" t="n">
        <x:v>0</x:v>
      </x:c>
      <x:c r="P1562" t="str">
        <x:v>short</x:v>
      </x:c>
      <x:c r="Q1562" t="str">
        <x:v>right</x:v>
      </x:c>
      <x:c r="R1562" t="n">
        <x:v>-2</x:v>
      </x:c>
      <x:c r="S1562" t="n">
        <x:v>8</x:v>
      </x:c>
      <x:c r="T1562"/>
      <x:c r="U1562"/>
      <x:c r="V1562" t="n">
        <x:v>1</x:v>
      </x:c>
      <x:c r="W1562" t="n">
        <x:v>1</x:v>
      </x:c>
      <x:c r="X1562" t="n">
        <x:v>0</x:v>
      </x:c>
      <x:c r="Y1562" t="n">
        <x:v>0</x:v>
      </x:c>
      <x:c r="Z1562" t="n">
        <x:v>0</x:v>
      </x:c>
      <x:c r="AA1562" t="n">
        <x:v>0</x:v>
      </x:c>
      <x:c r="AB1562"/>
      <x:c r="AC1562" t="n">
        <x:v>0</x:v>
      </x:c>
      <x:c r="AD1562" t="n">
        <x:v>0.6535685730632395</x:v>
      </x:c>
      <x:c r="AE1562" t="n">
        <x:v>1</x:v>
      </x:c>
      <x:c r="AF1562" t="n">
        <x:v>0.01722431182861328</x:v>
      </x:c>
      <x:c r="AG1562" t="n">
        <x:f>_xlfn.XLOOKUP($A1562,Games!$A$2:$A$18,Games!$B$2:$B$18,"Missing game",0)</x:f>
        <x:v>2025</x:v>
      </x:c>
      <x:c r="AH1562" t="str">
        <x:f>_xlfn.XLOOKUP($A1562,Games!$A$2:$A$18,Games!$C$2:$C$18,"Missing game",0)</x:f>
        <x:v>REG</x:v>
      </x:c>
      <x:c r="AI1562" t="n">
        <x:f>_xlfn.XLOOKUP($A1562,Games!$A$2:$A$18,Games!$D$2:$D$18,"Missing game",0)</x:f>
        <x:v>11</x:v>
      </x:c>
      <x:c r="AJ1562" s="1" t="n">
        <x:f>_xlfn.XLOOKUP($A1562,Games!$A$2:$A$18,Games!$E$2:$E$18,"Missing game",0)</x:f>
        <x:v>45977</x:v>
      </x:c>
      <x:c r="AK1562" t="str">
        <x:f>_xlfn.XLOOKUP($A1562,Games!$A$2:$A$18,Games!$F$2:$F$18,"Missing game",0)</x:f>
        <x:v>Sunday</x:v>
      </x:c>
      <x:c r="AL1562" t="str">
        <x:f>_xlfn.XLOOKUP($A1562,Games!$A$2:$A$18,Games!$G$2:$G$18,"Missing game",0)</x:f>
        <x:v>CHI</x:v>
      </x:c>
      <x:c r="AM1562" t="n">
        <x:f>_xlfn.XLOOKUP($A1562,Games!$A$2:$A$18,Games!$H$2:$H$18,"Missing game",0)</x:f>
        <x:v>19</x:v>
      </x:c>
      <x:c r="AN1562" t="str">
        <x:f>_xlfn.XLOOKUP($A1562,Games!$A$2:$A$18,Games!$I$2:$I$18,"Missing game",0)</x:f>
        <x:v>MIN</x:v>
      </x:c>
      <x:c r="AO1562" t="n">
        <x:f>_xlfn.XLOOKUP($A1562,Games!$A$2:$A$18,Games!$J$2:$J$18,"Missing game",0)</x:f>
        <x:v>17</x:v>
      </x:c>
      <x:c r="AP1562" t="n">
        <x:f>_xlfn.XLOOKUP($A1562,Games!$A$2:$A$18,Games!$K$2:$K$18,"Missing game",0)</x:f>
        <x:v>-2</x:v>
      </x:c>
      <x:c r="AQ1562" t="n">
        <x:f>_xlfn.XLOOKUP($A1562,Games!$A$2:$A$18,Games!$L$2:$L$18,"Missing game",0)</x:f>
        <x:v>36</x:v>
      </x:c>
      <x:c r="AR1562" t="n">
        <x:f>_xlfn.XLOOKUP($A1562,Games!$A$2:$A$18,Games!$M$2:$M$18,"Missing game",0)</x:f>
        <x:v>0</x:v>
      </x:c>
      <x:c r="AS1562" t="str">
        <x:f>_xlfn.XLOOKUP($A1562,Games!$A$2:$A$18,Games!$N$2:$N$18,"Missing game",0)</x:f>
        <x:v>dome</x:v>
      </x:c>
      <x:c r="AT1562" t="str">
        <x:f>_xlfn.XLOOKUP($A1562,Games!$A$2:$A$18,Games!$O$2:$O$18,"Missing game",0)</x:f>
        <x:v>sportturf</x:v>
      </x:c>
      <x:c r="AU1562" t="str">
        <x:f>_xlfn.XLOOKUP($A1562,Games!$A$2:$A$18,Games!$P$2:$P$18,"Missing game",0)</x:f>
      </x:c>
      <x:c r="AV1562" t="str">
        <x:f>_xlfn.XLOOKUP($A1562,Games!$A$2:$A$18,Games!$Q$2:$Q$18,"Missing game",0)</x:f>
      </x:c>
      <x:c r="AW1562" t="str">
        <x:f>_xlfn.XLOOKUP($A1562,Games!$A$2:$A$18,Games!$R$2:$R$18,"Missing game",0)</x:f>
        <x:v>U.S. Bank Stadium</x:v>
      </x:c>
    </x:row>
    <x:row r="1563">
      <x:c r="A1563" t="str">
        <x:v>2025_11_CHI_MIN</x:v>
      </x:c>
      <x:c r="B1563" t="n">
        <x:v>639</x:v>
      </x:c>
      <x:c r="C1563" t="n">
        <x:v>1</x:v>
      </x:c>
      <x:c r="D1563" t="str">
        <x:v>05:10</x:v>
      </x:c>
      <x:c r="E1563" t="n">
        <x:v>1</x:v>
      </x:c>
      <x:c r="F1563" t="n">
        <x:v>10</x:v>
      </x:c>
      <x:c r="G1563" t="str">
        <x:v>MIN</x:v>
      </x:c>
      <x:c r="H1563" t="str">
        <x:v>CHI</x:v>
      </x:c>
      <x:c r="I1563" t="str">
        <x:v>CHI</x:v>
      </x:c>
      <x:c r="J1563" t="n">
        <x:v>49</x:v>
      </x:c>
      <x:c r="K1563" t="str">
        <x:v>(5:10) 9-J.McCarthy pass short middle to 18-J.Jefferson to CHI 31 for 18 yards (29-T.Stevenson; 31-K.Byard).</x:v>
      </x:c>
      <x:c r="L1563" t="str">
        <x:v>pass</x:v>
      </x:c>
      <x:c r="M1563" t="n">
        <x:v>18</x:v>
      </x:c>
      <x:c r="N1563" t="n">
        <x:v>0</x:v>
      </x:c>
      <x:c r="O1563" t="n">
        <x:v>0</x:v>
      </x:c>
      <x:c r="P1563" t="str">
        <x:v>short</x:v>
      </x:c>
      <x:c r="Q1563" t="str">
        <x:v>middle</x:v>
      </x:c>
      <x:c r="R1563" t="n">
        <x:v>14</x:v>
      </x:c>
      <x:c r="S1563" t="n">
        <x:v>4</x:v>
      </x:c>
      <x:c r="T1563"/>
      <x:c r="U1563"/>
      <x:c r="V1563" t="n">
        <x:v>1</x:v>
      </x:c>
      <x:c r="W1563" t="n">
        <x:v>1</x:v>
      </x:c>
      <x:c r="X1563" t="n">
        <x:v>0</x:v>
      </x:c>
      <x:c r="Y1563" t="n">
        <x:v>0</x:v>
      </x:c>
      <x:c r="Z1563" t="n">
        <x:v>0</x:v>
      </x:c>
      <x:c r="AA1563" t="n">
        <x:v>0</x:v>
      </x:c>
      <x:c r="AB1563"/>
      <x:c r="AC1563" t="n">
        <x:v>0</x:v>
      </x:c>
      <x:c r="AD1563" t="n">
        <x:v>1.0641004114877433</x:v>
      </x:c>
      <x:c r="AE1563" t="n">
        <x:v>1</x:v>
      </x:c>
      <x:c r="AF1563" t="n">
        <x:v>0.047808945178985596</x:v>
      </x:c>
      <x:c r="AG1563" t="n">
        <x:f>_xlfn.XLOOKUP($A1563,Games!$A$2:$A$18,Games!$B$2:$B$18,"Missing game",0)</x:f>
        <x:v>2025</x:v>
      </x:c>
      <x:c r="AH1563" t="str">
        <x:f>_xlfn.XLOOKUP($A1563,Games!$A$2:$A$18,Games!$C$2:$C$18,"Missing game",0)</x:f>
        <x:v>REG</x:v>
      </x:c>
      <x:c r="AI1563" t="n">
        <x:f>_xlfn.XLOOKUP($A1563,Games!$A$2:$A$18,Games!$D$2:$D$18,"Missing game",0)</x:f>
        <x:v>11</x:v>
      </x:c>
      <x:c r="AJ1563" s="1" t="n">
        <x:f>_xlfn.XLOOKUP($A1563,Games!$A$2:$A$18,Games!$E$2:$E$18,"Missing game",0)</x:f>
        <x:v>45977</x:v>
      </x:c>
      <x:c r="AK1563" t="str">
        <x:f>_xlfn.XLOOKUP($A1563,Games!$A$2:$A$18,Games!$F$2:$F$18,"Missing game",0)</x:f>
        <x:v>Sunday</x:v>
      </x:c>
      <x:c r="AL1563" t="str">
        <x:f>_xlfn.XLOOKUP($A1563,Games!$A$2:$A$18,Games!$G$2:$G$18,"Missing game",0)</x:f>
        <x:v>CHI</x:v>
      </x:c>
      <x:c r="AM1563" t="n">
        <x:f>_xlfn.XLOOKUP($A1563,Games!$A$2:$A$18,Games!$H$2:$H$18,"Missing game",0)</x:f>
        <x:v>19</x:v>
      </x:c>
      <x:c r="AN1563" t="str">
        <x:f>_xlfn.XLOOKUP($A1563,Games!$A$2:$A$18,Games!$I$2:$I$18,"Missing game",0)</x:f>
        <x:v>MIN</x:v>
      </x:c>
      <x:c r="AO1563" t="n">
        <x:f>_xlfn.XLOOKUP($A1563,Games!$A$2:$A$18,Games!$J$2:$J$18,"Missing game",0)</x:f>
        <x:v>17</x:v>
      </x:c>
      <x:c r="AP1563" t="n">
        <x:f>_xlfn.XLOOKUP($A1563,Games!$A$2:$A$18,Games!$K$2:$K$18,"Missing game",0)</x:f>
        <x:v>-2</x:v>
      </x:c>
      <x:c r="AQ1563" t="n">
        <x:f>_xlfn.XLOOKUP($A1563,Games!$A$2:$A$18,Games!$L$2:$L$18,"Missing game",0)</x:f>
        <x:v>36</x:v>
      </x:c>
      <x:c r="AR1563" t="n">
        <x:f>_xlfn.XLOOKUP($A1563,Games!$A$2:$A$18,Games!$M$2:$M$18,"Missing game",0)</x:f>
        <x:v>0</x:v>
      </x:c>
      <x:c r="AS1563" t="str">
        <x:f>_xlfn.XLOOKUP($A1563,Games!$A$2:$A$18,Games!$N$2:$N$18,"Missing game",0)</x:f>
        <x:v>dome</x:v>
      </x:c>
      <x:c r="AT1563" t="str">
        <x:f>_xlfn.XLOOKUP($A1563,Games!$A$2:$A$18,Games!$O$2:$O$18,"Missing game",0)</x:f>
        <x:v>sportturf</x:v>
      </x:c>
      <x:c r="AU1563" t="str">
        <x:f>_xlfn.XLOOKUP($A1563,Games!$A$2:$A$18,Games!$P$2:$P$18,"Missing game",0)</x:f>
      </x:c>
      <x:c r="AV1563" t="str">
        <x:f>_xlfn.XLOOKUP($A1563,Games!$A$2:$A$18,Games!$Q$2:$Q$18,"Missing game",0)</x:f>
      </x:c>
      <x:c r="AW1563" t="str">
        <x:f>_xlfn.XLOOKUP($A1563,Games!$A$2:$A$18,Games!$R$2:$R$18,"Missing game",0)</x:f>
        <x:v>U.S. Bank Stadium</x:v>
      </x:c>
    </x:row>
    <x:row r="1564">
      <x:c r="A1564" t="str">
        <x:v>2025_11_CHI_MIN</x:v>
      </x:c>
      <x:c r="B1564" t="n">
        <x:v>664</x:v>
      </x:c>
      <x:c r="C1564" t="n">
        <x:v>1</x:v>
      </x:c>
      <x:c r="D1564" t="str">
        <x:v>04:23</x:v>
      </x:c>
      <x:c r="E1564" t="n">
        <x:v>1</x:v>
      </x:c>
      <x:c r="F1564" t="n">
        <x:v>10</x:v>
      </x:c>
      <x:c r="G1564" t="str">
        <x:v>MIN</x:v>
      </x:c>
      <x:c r="H1564" t="str">
        <x:v>CHI</x:v>
      </x:c>
      <x:c r="I1564" t="str">
        <x:v>CHI</x:v>
      </x:c>
      <x:c r="J1564" t="n">
        <x:v>31</x:v>
      </x:c>
      <x:c r="K1564" t="str">
        <x:v>(4:23) 33-A.Jones up the middle to CHI 17 for 14 yards (9-J.Brisker).</x:v>
      </x:c>
      <x:c r="L1564" t="str">
        <x:v>run</x:v>
      </x:c>
      <x:c r="M1564" t="n">
        <x:v>14</x:v>
      </x:c>
      <x:c r="N1564" t="n">
        <x:v>0</x:v>
      </x:c>
      <x:c r="O1564" t="n">
        <x:v>0</x:v>
      </x:c>
      <x:c r="P1564"/>
      <x:c r="Q1564"/>
      <x:c r="R1564"/>
      <x:c r="S1564"/>
      <x:c r="T1564" t="str">
        <x:v>middle</x:v>
      </x:c>
      <x:c r="U1564"/>
      <x:c r="V1564" t="n">
        <x:v>0</x:v>
      </x:c>
      <x:c r="W1564" t="n">
        <x:v>1</x:v>
      </x:c>
      <x:c r="X1564" t="n">
        <x:v>0</x:v>
      </x:c>
      <x:c r="Y1564" t="n">
        <x:v>0</x:v>
      </x:c>
      <x:c r="Z1564" t="n">
        <x:v>0</x:v>
      </x:c>
      <x:c r="AA1564" t="n">
        <x:v>0</x:v>
      </x:c>
      <x:c r="AB1564"/>
      <x:c r="AC1564" t="n">
        <x:v>0</x:v>
      </x:c>
      <x:c r="AD1564" t="n">
        <x:v>0.9550598741043359</x:v>
      </x:c>
      <x:c r="AE1564" t="n">
        <x:v>1</x:v>
      </x:c>
      <x:c r="AF1564" t="n">
        <x:v>0.027264952659606934</x:v>
      </x:c>
      <x:c r="AG1564" t="n">
        <x:f>_xlfn.XLOOKUP($A1564,Games!$A$2:$A$18,Games!$B$2:$B$18,"Missing game",0)</x:f>
        <x:v>2025</x:v>
      </x:c>
      <x:c r="AH1564" t="str">
        <x:f>_xlfn.XLOOKUP($A1564,Games!$A$2:$A$18,Games!$C$2:$C$18,"Missing game",0)</x:f>
        <x:v>REG</x:v>
      </x:c>
      <x:c r="AI1564" t="n">
        <x:f>_xlfn.XLOOKUP($A1564,Games!$A$2:$A$18,Games!$D$2:$D$18,"Missing game",0)</x:f>
        <x:v>11</x:v>
      </x:c>
      <x:c r="AJ1564" s="1" t="n">
        <x:f>_xlfn.XLOOKUP($A1564,Games!$A$2:$A$18,Games!$E$2:$E$18,"Missing game",0)</x:f>
        <x:v>45977</x:v>
      </x:c>
      <x:c r="AK1564" t="str">
        <x:f>_xlfn.XLOOKUP($A1564,Games!$A$2:$A$18,Games!$F$2:$F$18,"Missing game",0)</x:f>
        <x:v>Sunday</x:v>
      </x:c>
      <x:c r="AL1564" t="str">
        <x:f>_xlfn.XLOOKUP($A1564,Games!$A$2:$A$18,Games!$G$2:$G$18,"Missing game",0)</x:f>
        <x:v>CHI</x:v>
      </x:c>
      <x:c r="AM1564" t="n">
        <x:f>_xlfn.XLOOKUP($A1564,Games!$A$2:$A$18,Games!$H$2:$H$18,"Missing game",0)</x:f>
        <x:v>19</x:v>
      </x:c>
      <x:c r="AN1564" t="str">
        <x:f>_xlfn.XLOOKUP($A1564,Games!$A$2:$A$18,Games!$I$2:$I$18,"Missing game",0)</x:f>
        <x:v>MIN</x:v>
      </x:c>
      <x:c r="AO1564" t="n">
        <x:f>_xlfn.XLOOKUP($A1564,Games!$A$2:$A$18,Games!$J$2:$J$18,"Missing game",0)</x:f>
        <x:v>17</x:v>
      </x:c>
      <x:c r="AP1564" t="n">
        <x:f>_xlfn.XLOOKUP($A1564,Games!$A$2:$A$18,Games!$K$2:$K$18,"Missing game",0)</x:f>
        <x:v>-2</x:v>
      </x:c>
      <x:c r="AQ1564" t="n">
        <x:f>_xlfn.XLOOKUP($A1564,Games!$A$2:$A$18,Games!$L$2:$L$18,"Missing game",0)</x:f>
        <x:v>36</x:v>
      </x:c>
      <x:c r="AR1564" t="n">
        <x:f>_xlfn.XLOOKUP($A1564,Games!$A$2:$A$18,Games!$M$2:$M$18,"Missing game",0)</x:f>
        <x:v>0</x:v>
      </x:c>
      <x:c r="AS1564" t="str">
        <x:f>_xlfn.XLOOKUP($A1564,Games!$A$2:$A$18,Games!$N$2:$N$18,"Missing game",0)</x:f>
        <x:v>dome</x:v>
      </x:c>
      <x:c r="AT1564" t="str">
        <x:f>_xlfn.XLOOKUP($A1564,Games!$A$2:$A$18,Games!$O$2:$O$18,"Missing game",0)</x:f>
        <x:v>sportturf</x:v>
      </x:c>
      <x:c r="AU1564" t="str">
        <x:f>_xlfn.XLOOKUP($A1564,Games!$A$2:$A$18,Games!$P$2:$P$18,"Missing game",0)</x:f>
      </x:c>
      <x:c r="AV1564" t="str">
        <x:f>_xlfn.XLOOKUP($A1564,Games!$A$2:$A$18,Games!$Q$2:$Q$18,"Missing game",0)</x:f>
      </x:c>
      <x:c r="AW1564" t="str">
        <x:f>_xlfn.XLOOKUP($A1564,Games!$A$2:$A$18,Games!$R$2:$R$18,"Missing game",0)</x:f>
        <x:v>U.S. Bank Stadium</x:v>
      </x:c>
    </x:row>
    <x:row r="1565">
      <x:c r="A1565" t="str">
        <x:v>2025_11_CHI_MIN</x:v>
      </x:c>
      <x:c r="B1565" t="n">
        <x:v>686</x:v>
      </x:c>
      <x:c r="C1565" t="n">
        <x:v>1</x:v>
      </x:c>
      <x:c r="D1565" t="str">
        <x:v>03:43</x:v>
      </x:c>
      <x:c r="E1565" t="n">
        <x:v>1</x:v>
      </x:c>
      <x:c r="F1565" t="n">
        <x:v>10</x:v>
      </x:c>
      <x:c r="G1565" t="str">
        <x:v>MIN</x:v>
      </x:c>
      <x:c r="H1565" t="str">
        <x:v>CHI</x:v>
      </x:c>
      <x:c r="I1565" t="str">
        <x:v>CHI</x:v>
      </x:c>
      <x:c r="J1565" t="n">
        <x:v>17</x:v>
      </x:c>
      <x:c r="K1565" t="str">
        <x:v>(3:43) 33-A.Jones up the middle to CHI 16 for 1 yard (44-N.Sewell; 94-A.Booker).</x:v>
      </x:c>
      <x:c r="L1565" t="str">
        <x:v>run</x:v>
      </x:c>
      <x:c r="M1565" t="n">
        <x:v>1</x:v>
      </x:c>
      <x:c r="N1565" t="n">
        <x:v>0</x:v>
      </x:c>
      <x:c r="O1565" t="n">
        <x:v>0</x:v>
      </x:c>
      <x:c r="P1565"/>
      <x:c r="Q1565"/>
      <x:c r="R1565"/>
      <x:c r="S1565"/>
      <x:c r="T1565" t="str">
        <x:v>middle</x:v>
      </x:c>
      <x:c r="U1565"/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0</x:v>
      </x:c>
      <x:c r="AB1565"/>
      <x:c r="AC1565" t="n">
        <x:v>0</x:v>
      </x:c>
      <x:c r="AD1565" t="n">
        <x:v>-0.5060496452497318</x:v>
      </x:c>
      <x:c r="AE1565" t="n">
        <x:v>0</x:v>
      </x:c>
      <x:c r="AF1565" t="n">
        <x:v>-0.014056682586669922</x:v>
      </x:c>
      <x:c r="AG1565" t="n">
        <x:f>_xlfn.XLOOKUP($A1565,Games!$A$2:$A$18,Games!$B$2:$B$18,"Missing game",0)</x:f>
        <x:v>2025</x:v>
      </x:c>
      <x:c r="AH1565" t="str">
        <x:f>_xlfn.XLOOKUP($A1565,Games!$A$2:$A$18,Games!$C$2:$C$18,"Missing game",0)</x:f>
        <x:v>REG</x:v>
      </x:c>
      <x:c r="AI1565" t="n">
        <x:f>_xlfn.XLOOKUP($A1565,Games!$A$2:$A$18,Games!$D$2:$D$18,"Missing game",0)</x:f>
        <x:v>11</x:v>
      </x:c>
      <x:c r="AJ1565" s="1" t="n">
        <x:f>_xlfn.XLOOKUP($A1565,Games!$A$2:$A$18,Games!$E$2:$E$18,"Missing game",0)</x:f>
        <x:v>45977</x:v>
      </x:c>
      <x:c r="AK1565" t="str">
        <x:f>_xlfn.XLOOKUP($A1565,Games!$A$2:$A$18,Games!$F$2:$F$18,"Missing game",0)</x:f>
        <x:v>Sunday</x:v>
      </x:c>
      <x:c r="AL1565" t="str">
        <x:f>_xlfn.XLOOKUP($A1565,Games!$A$2:$A$18,Games!$G$2:$G$18,"Missing game",0)</x:f>
        <x:v>CHI</x:v>
      </x:c>
      <x:c r="AM1565" t="n">
        <x:f>_xlfn.XLOOKUP($A1565,Games!$A$2:$A$18,Games!$H$2:$H$18,"Missing game",0)</x:f>
        <x:v>19</x:v>
      </x:c>
      <x:c r="AN1565" t="str">
        <x:f>_xlfn.XLOOKUP($A1565,Games!$A$2:$A$18,Games!$I$2:$I$18,"Missing game",0)</x:f>
        <x:v>MIN</x:v>
      </x:c>
      <x:c r="AO1565" t="n">
        <x:f>_xlfn.XLOOKUP($A1565,Games!$A$2:$A$18,Games!$J$2:$J$18,"Missing game",0)</x:f>
        <x:v>17</x:v>
      </x:c>
      <x:c r="AP1565" t="n">
        <x:f>_xlfn.XLOOKUP($A1565,Games!$A$2:$A$18,Games!$K$2:$K$18,"Missing game",0)</x:f>
        <x:v>-2</x:v>
      </x:c>
      <x:c r="AQ1565" t="n">
        <x:f>_xlfn.XLOOKUP($A1565,Games!$A$2:$A$18,Games!$L$2:$L$18,"Missing game",0)</x:f>
        <x:v>36</x:v>
      </x:c>
      <x:c r="AR1565" t="n">
        <x:f>_xlfn.XLOOKUP($A1565,Games!$A$2:$A$18,Games!$M$2:$M$18,"Missing game",0)</x:f>
        <x:v>0</x:v>
      </x:c>
      <x:c r="AS1565" t="str">
        <x:f>_xlfn.XLOOKUP($A1565,Games!$A$2:$A$18,Games!$N$2:$N$18,"Missing game",0)</x:f>
        <x:v>dome</x:v>
      </x:c>
      <x:c r="AT1565" t="str">
        <x:f>_xlfn.XLOOKUP($A1565,Games!$A$2:$A$18,Games!$O$2:$O$18,"Missing game",0)</x:f>
        <x:v>sportturf</x:v>
      </x:c>
      <x:c r="AU1565" t="str">
        <x:f>_xlfn.XLOOKUP($A1565,Games!$A$2:$A$18,Games!$P$2:$P$18,"Missing game",0)</x:f>
      </x:c>
      <x:c r="AV1565" t="str">
        <x:f>_xlfn.XLOOKUP($A1565,Games!$A$2:$A$18,Games!$Q$2:$Q$18,"Missing game",0)</x:f>
      </x:c>
      <x:c r="AW1565" t="str">
        <x:f>_xlfn.XLOOKUP($A1565,Games!$A$2:$A$18,Games!$R$2:$R$18,"Missing game",0)</x:f>
        <x:v>U.S. Bank Stadium</x:v>
      </x:c>
    </x:row>
    <x:row r="1566">
      <x:c r="A1566" t="str">
        <x:v>2025_11_CHI_MIN</x:v>
      </x:c>
      <x:c r="B1566" t="n">
        <x:v>708</x:v>
      </x:c>
      <x:c r="C1566" t="n">
        <x:v>1</x:v>
      </x:c>
      <x:c r="D1566" t="str">
        <x:v>03:00</x:v>
      </x:c>
      <x:c r="E1566" t="n">
        <x:v>2</x:v>
      </x:c>
      <x:c r="F1566" t="n">
        <x:v>9</x:v>
      </x:c>
      <x:c r="G1566" t="str">
        <x:v>MIN</x:v>
      </x:c>
      <x:c r="H1566" t="str">
        <x:v>CHI</x:v>
      </x:c>
      <x:c r="I1566" t="str">
        <x:v>CHI</x:v>
      </x:c>
      <x:c r="J1566" t="n">
        <x:v>16</x:v>
      </x:c>
      <x:c r="K1566" t="str">
        <x:v>(3:00) (Shotgun) 9-J.McCarthy pass short left to 33-A.Jones to CHI 13 for 3 yards (44-N.Sewell).</x:v>
      </x:c>
      <x:c r="L1566" t="str">
        <x:v>pass</x:v>
      </x:c>
      <x:c r="M1566" t="n">
        <x:v>3</x:v>
      </x:c>
      <x:c r="N1566" t="n">
        <x:v>1</x:v>
      </x:c>
      <x:c r="O1566" t="n">
        <x:v>0</x:v>
      </x:c>
      <x:c r="P1566" t="str">
        <x:v>short</x:v>
      </x:c>
      <x:c r="Q1566" t="str">
        <x:v>left</x:v>
      </x:c>
      <x:c r="R1566" t="n">
        <x:v>3</x:v>
      </x:c>
      <x:c r="S1566" t="n">
        <x:v>0</x:v>
      </x:c>
      <x:c r="T1566"/>
      <x:c r="U1566"/>
      <x:c r="V1566" t="n">
        <x:v>1</x:v>
      </x:c>
      <x:c r="W1566" t="n">
        <x:v>0</x:v>
      </x:c>
      <x:c r="X1566" t="n">
        <x:v>0</x:v>
      </x:c>
      <x:c r="Y1566" t="n">
        <x:v>0</x:v>
      </x:c>
      <x:c r="Z1566" t="n">
        <x:v>0</x:v>
      </x:c>
      <x:c r="AA1566" t="n">
        <x:v>0</x:v>
      </x:c>
      <x:c r="AB1566"/>
      <x:c r="AC1566" t="n">
        <x:v>0</x:v>
      </x:c>
      <x:c r="AD1566" t="n">
        <x:v>-0.4537107201758772</x:v>
      </x:c>
      <x:c r="AE1566" t="n">
        <x:v>0</x:v>
      </x:c>
      <x:c r="AF1566" t="n">
        <x:v>-0.008916020393371582</x:v>
      </x:c>
      <x:c r="AG1566" t="n">
        <x:f>_xlfn.XLOOKUP($A1566,Games!$A$2:$A$18,Games!$B$2:$B$18,"Missing game",0)</x:f>
        <x:v>2025</x:v>
      </x:c>
      <x:c r="AH1566" t="str">
        <x:f>_xlfn.XLOOKUP($A1566,Games!$A$2:$A$18,Games!$C$2:$C$18,"Missing game",0)</x:f>
        <x:v>REG</x:v>
      </x:c>
      <x:c r="AI1566" t="n">
        <x:f>_xlfn.XLOOKUP($A1566,Games!$A$2:$A$18,Games!$D$2:$D$18,"Missing game",0)</x:f>
        <x:v>11</x:v>
      </x:c>
      <x:c r="AJ1566" s="1" t="n">
        <x:f>_xlfn.XLOOKUP($A1566,Games!$A$2:$A$18,Games!$E$2:$E$18,"Missing game",0)</x:f>
        <x:v>45977</x:v>
      </x:c>
      <x:c r="AK1566" t="str">
        <x:f>_xlfn.XLOOKUP($A1566,Games!$A$2:$A$18,Games!$F$2:$F$18,"Missing game",0)</x:f>
        <x:v>Sunday</x:v>
      </x:c>
      <x:c r="AL1566" t="str">
        <x:f>_xlfn.XLOOKUP($A1566,Games!$A$2:$A$18,Games!$G$2:$G$18,"Missing game",0)</x:f>
        <x:v>CHI</x:v>
      </x:c>
      <x:c r="AM1566" t="n">
        <x:f>_xlfn.XLOOKUP($A1566,Games!$A$2:$A$18,Games!$H$2:$H$18,"Missing game",0)</x:f>
        <x:v>19</x:v>
      </x:c>
      <x:c r="AN1566" t="str">
        <x:f>_xlfn.XLOOKUP($A1566,Games!$A$2:$A$18,Games!$I$2:$I$18,"Missing game",0)</x:f>
        <x:v>MIN</x:v>
      </x:c>
      <x:c r="AO1566" t="n">
        <x:f>_xlfn.XLOOKUP($A1566,Games!$A$2:$A$18,Games!$J$2:$J$18,"Missing game",0)</x:f>
        <x:v>17</x:v>
      </x:c>
      <x:c r="AP1566" t="n">
        <x:f>_xlfn.XLOOKUP($A1566,Games!$A$2:$A$18,Games!$K$2:$K$18,"Missing game",0)</x:f>
        <x:v>-2</x:v>
      </x:c>
      <x:c r="AQ1566" t="n">
        <x:f>_xlfn.XLOOKUP($A1566,Games!$A$2:$A$18,Games!$L$2:$L$18,"Missing game",0)</x:f>
        <x:v>36</x:v>
      </x:c>
      <x:c r="AR1566" t="n">
        <x:f>_xlfn.XLOOKUP($A1566,Games!$A$2:$A$18,Games!$M$2:$M$18,"Missing game",0)</x:f>
        <x:v>0</x:v>
      </x:c>
      <x:c r="AS1566" t="str">
        <x:f>_xlfn.XLOOKUP($A1566,Games!$A$2:$A$18,Games!$N$2:$N$18,"Missing game",0)</x:f>
        <x:v>dome</x:v>
      </x:c>
      <x:c r="AT1566" t="str">
        <x:f>_xlfn.XLOOKUP($A1566,Games!$A$2:$A$18,Games!$O$2:$O$18,"Missing game",0)</x:f>
        <x:v>sportturf</x:v>
      </x:c>
      <x:c r="AU1566" t="str">
        <x:f>_xlfn.XLOOKUP($A1566,Games!$A$2:$A$18,Games!$P$2:$P$18,"Missing game",0)</x:f>
      </x:c>
      <x:c r="AV1566" t="str">
        <x:f>_xlfn.XLOOKUP($A1566,Games!$A$2:$A$18,Games!$Q$2:$Q$18,"Missing game",0)</x:f>
      </x:c>
      <x:c r="AW1566" t="str">
        <x:f>_xlfn.XLOOKUP($A1566,Games!$A$2:$A$18,Games!$R$2:$R$18,"Missing game",0)</x:f>
        <x:v>U.S. Bank Stadium</x:v>
      </x:c>
    </x:row>
    <x:row r="1567">
      <x:c r="A1567" t="str">
        <x:v>2025_11_CHI_MIN</x:v>
      </x:c>
      <x:c r="B1567" t="n">
        <x:v>733</x:v>
      </x:c>
      <x:c r="C1567" t="n">
        <x:v>1</x:v>
      </x:c>
      <x:c r="D1567" t="str">
        <x:v>02:18</x:v>
      </x:c>
      <x:c r="E1567" t="n">
        <x:v>3</x:v>
      </x:c>
      <x:c r="F1567" t="n">
        <x:v>6</x:v>
      </x:c>
      <x:c r="G1567" t="str">
        <x:v>MIN</x:v>
      </x:c>
      <x:c r="H1567" t="str">
        <x:v>CHI</x:v>
      </x:c>
      <x:c r="I1567" t="str">
        <x:v>CHI</x:v>
      </x:c>
      <x:c r="J1567" t="n">
        <x:v>13</x:v>
      </x:c>
      <x:c r="K1567" t="str">
        <x:v>(2:18) (Shotgun) 9-J.McCarthy pass incomplete short left to 33-A.Jones.</x:v>
      </x:c>
      <x:c r="L1567" t="str">
        <x:v>pass</x:v>
      </x:c>
      <x:c r="M1567" t="n">
        <x:v>0</x:v>
      </x:c>
      <x:c r="N1567" t="n">
        <x:v>1</x:v>
      </x:c>
      <x:c r="O1567" t="n">
        <x:v>0</x:v>
      </x:c>
      <x:c r="P1567" t="str">
        <x:v>short</x:v>
      </x:c>
      <x:c r="Q1567" t="str">
        <x:v>left</x:v>
      </x:c>
      <x:c r="R1567" t="n">
        <x:v>11</x:v>
      </x:c>
      <x:c r="S1567"/>
      <x:c r="T1567"/>
      <x:c r="U1567"/>
      <x:c r="V1567" t="n">
        <x:v>0</x:v>
      </x:c>
      <x:c r="W1567" t="n">
        <x:v>0</x:v>
      </x:c>
      <x:c r="X1567" t="n">
        <x:v>0</x:v>
      </x:c>
      <x:c r="Y1567" t="n">
        <x:v>0</x:v>
      </x:c>
      <x:c r="Z1567" t="n">
        <x:v>0</x:v>
      </x:c>
      <x:c r="AA1567" t="n">
        <x:v>0</x:v>
      </x:c>
      <x:c r="AB1567"/>
      <x:c r="AC1567" t="n">
        <x:v>0</x:v>
      </x:c>
      <x:c r="AD1567" t="n">
        <x:v>-1.3995722102509944</x:v>
      </x:c>
      <x:c r="AE1567" t="n">
        <x:v>0</x:v>
      </x:c>
      <x:c r="AF1567" t="n">
        <x:v>-0.0499076247215271</x:v>
      </x:c>
      <x:c r="AG1567" t="n">
        <x:f>_xlfn.XLOOKUP($A1567,Games!$A$2:$A$18,Games!$B$2:$B$18,"Missing game",0)</x:f>
        <x:v>2025</x:v>
      </x:c>
      <x:c r="AH1567" t="str">
        <x:f>_xlfn.XLOOKUP($A1567,Games!$A$2:$A$18,Games!$C$2:$C$18,"Missing game",0)</x:f>
        <x:v>REG</x:v>
      </x:c>
      <x:c r="AI1567" t="n">
        <x:f>_xlfn.XLOOKUP($A1567,Games!$A$2:$A$18,Games!$D$2:$D$18,"Missing game",0)</x:f>
        <x:v>11</x:v>
      </x:c>
      <x:c r="AJ1567" s="1" t="n">
        <x:f>_xlfn.XLOOKUP($A1567,Games!$A$2:$A$18,Games!$E$2:$E$18,"Missing game",0)</x:f>
        <x:v>45977</x:v>
      </x:c>
      <x:c r="AK1567" t="str">
        <x:f>_xlfn.XLOOKUP($A1567,Games!$A$2:$A$18,Games!$F$2:$F$18,"Missing game",0)</x:f>
        <x:v>Sunday</x:v>
      </x:c>
      <x:c r="AL1567" t="str">
        <x:f>_xlfn.XLOOKUP($A1567,Games!$A$2:$A$18,Games!$G$2:$G$18,"Missing game",0)</x:f>
        <x:v>CHI</x:v>
      </x:c>
      <x:c r="AM1567" t="n">
        <x:f>_xlfn.XLOOKUP($A1567,Games!$A$2:$A$18,Games!$H$2:$H$18,"Missing game",0)</x:f>
        <x:v>19</x:v>
      </x:c>
      <x:c r="AN1567" t="str">
        <x:f>_xlfn.XLOOKUP($A1567,Games!$A$2:$A$18,Games!$I$2:$I$18,"Missing game",0)</x:f>
        <x:v>MIN</x:v>
      </x:c>
      <x:c r="AO1567" t="n">
        <x:f>_xlfn.XLOOKUP($A1567,Games!$A$2:$A$18,Games!$J$2:$J$18,"Missing game",0)</x:f>
        <x:v>17</x:v>
      </x:c>
      <x:c r="AP1567" t="n">
        <x:f>_xlfn.XLOOKUP($A1567,Games!$A$2:$A$18,Games!$K$2:$K$18,"Missing game",0)</x:f>
        <x:v>-2</x:v>
      </x:c>
      <x:c r="AQ1567" t="n">
        <x:f>_xlfn.XLOOKUP($A1567,Games!$A$2:$A$18,Games!$L$2:$L$18,"Missing game",0)</x:f>
        <x:v>36</x:v>
      </x:c>
      <x:c r="AR1567" t="n">
        <x:f>_xlfn.XLOOKUP($A1567,Games!$A$2:$A$18,Games!$M$2:$M$18,"Missing game",0)</x:f>
        <x:v>0</x:v>
      </x:c>
      <x:c r="AS1567" t="str">
        <x:f>_xlfn.XLOOKUP($A1567,Games!$A$2:$A$18,Games!$N$2:$N$18,"Missing game",0)</x:f>
        <x:v>dome</x:v>
      </x:c>
      <x:c r="AT1567" t="str">
        <x:f>_xlfn.XLOOKUP($A1567,Games!$A$2:$A$18,Games!$O$2:$O$18,"Missing game",0)</x:f>
        <x:v>sportturf</x:v>
      </x:c>
      <x:c r="AU1567" t="str">
        <x:f>_xlfn.XLOOKUP($A1567,Games!$A$2:$A$18,Games!$P$2:$P$18,"Missing game",0)</x:f>
      </x:c>
      <x:c r="AV1567" t="str">
        <x:f>_xlfn.XLOOKUP($A1567,Games!$A$2:$A$18,Games!$Q$2:$Q$18,"Missing game",0)</x:f>
      </x:c>
      <x:c r="AW1567" t="str">
        <x:f>_xlfn.XLOOKUP($A1567,Games!$A$2:$A$18,Games!$R$2:$R$18,"Missing game",0)</x:f>
        <x:v>U.S. Bank Stadium</x:v>
      </x:c>
    </x:row>
    <x:row r="1568">
      <x:c r="A1568" t="str">
        <x:v>2025_11_CHI_MIN</x:v>
      </x:c>
      <x:c r="B1568" t="n">
        <x:v>756</x:v>
      </x:c>
      <x:c r="C1568" t="n">
        <x:v>1</x:v>
      </x:c>
      <x:c r="D1568" t="str">
        <x:v>02:13</x:v>
      </x:c>
      <x:c r="E1568" t="n">
        <x:v>4</x:v>
      </x:c>
      <x:c r="F1568" t="n">
        <x:v>6</x:v>
      </x:c>
      <x:c r="G1568" t="str">
        <x:v>MIN</x:v>
      </x:c>
      <x:c r="H1568" t="str">
        <x:v>CHI</x:v>
      </x:c>
      <x:c r="I1568" t="str">
        <x:v>CHI</x:v>
      </x:c>
      <x:c r="J1568" t="n">
        <x:v>13</x:v>
      </x:c>
      <x:c r="K1568" t="str">
        <x:v>(2:13) 16-W.Reichard 31 yard field goal is GOOD, Center-42-A.DePaola, Holder-17-R.Wright.</x:v>
      </x:c>
      <x:c r="L1568" t="str">
        <x:v>field_goal</x:v>
      </x:c>
      <x:c r="M1568" t="n">
        <x:v>0</x:v>
      </x:c>
      <x:c r="N1568" t="n">
        <x:v>0</x:v>
      </x:c>
      <x:c r="O1568" t="n">
        <x:v>0</x:v>
      </x:c>
      <x:c r="P1568"/>
      <x:c r="Q1568"/>
      <x:c r="R1568"/>
      <x:c r="S1568"/>
      <x:c r="T1568"/>
      <x:c r="U1568"/>
      <x:c r="V1568" t="n">
        <x:v>0</x:v>
      </x:c>
      <x:c r="W1568" t="n">
        <x:v>0</x:v>
      </x:c>
      <x:c r="X1568" t="n">
        <x:v>0</x:v>
      </x:c>
      <x:c r="Y1568" t="n">
        <x:v>0</x:v>
      </x:c>
      <x:c r="Z1568" t="n">
        <x:v>0</x:v>
      </x:c>
      <x:c r="AA1568" t="n">
        <x:v>0</x:v>
      </x:c>
      <x:c r="AB1568"/>
      <x:c r="AC1568" t="n">
        <x:v>0</x:v>
      </x:c>
      <x:c r="AD1568" t="n">
        <x:v>0.15250161614233093</x:v>
      </x:c>
      <x:c r="AE1568" t="n">
        <x:v>1</x:v>
      </x:c>
      <x:c r="AF1568" t="n">
        <x:v>0.0021961331367492676</x:v>
      </x:c>
      <x:c r="AG1568" t="n">
        <x:f>_xlfn.XLOOKUP($A1568,Games!$A$2:$A$18,Games!$B$2:$B$18,"Missing game",0)</x:f>
        <x:v>2025</x:v>
      </x:c>
      <x:c r="AH1568" t="str">
        <x:f>_xlfn.XLOOKUP($A1568,Games!$A$2:$A$18,Games!$C$2:$C$18,"Missing game",0)</x:f>
        <x:v>REG</x:v>
      </x:c>
      <x:c r="AI1568" t="n">
        <x:f>_xlfn.XLOOKUP($A1568,Games!$A$2:$A$18,Games!$D$2:$D$18,"Missing game",0)</x:f>
        <x:v>11</x:v>
      </x:c>
      <x:c r="AJ1568" s="1" t="n">
        <x:f>_xlfn.XLOOKUP($A1568,Games!$A$2:$A$18,Games!$E$2:$E$18,"Missing game",0)</x:f>
        <x:v>45977</x:v>
      </x:c>
      <x:c r="AK1568" t="str">
        <x:f>_xlfn.XLOOKUP($A1568,Games!$A$2:$A$18,Games!$F$2:$F$18,"Missing game",0)</x:f>
        <x:v>Sunday</x:v>
      </x:c>
      <x:c r="AL1568" t="str">
        <x:f>_xlfn.XLOOKUP($A1568,Games!$A$2:$A$18,Games!$G$2:$G$18,"Missing game",0)</x:f>
        <x:v>CHI</x:v>
      </x:c>
      <x:c r="AM1568" t="n">
        <x:f>_xlfn.XLOOKUP($A1568,Games!$A$2:$A$18,Games!$H$2:$H$18,"Missing game",0)</x:f>
        <x:v>19</x:v>
      </x:c>
      <x:c r="AN1568" t="str">
        <x:f>_xlfn.XLOOKUP($A1568,Games!$A$2:$A$18,Games!$I$2:$I$18,"Missing game",0)</x:f>
        <x:v>MIN</x:v>
      </x:c>
      <x:c r="AO1568" t="n">
        <x:f>_xlfn.XLOOKUP($A1568,Games!$A$2:$A$18,Games!$J$2:$J$18,"Missing game",0)</x:f>
        <x:v>17</x:v>
      </x:c>
      <x:c r="AP1568" t="n">
        <x:f>_xlfn.XLOOKUP($A1568,Games!$A$2:$A$18,Games!$K$2:$K$18,"Missing game",0)</x:f>
        <x:v>-2</x:v>
      </x:c>
      <x:c r="AQ1568" t="n">
        <x:f>_xlfn.XLOOKUP($A1568,Games!$A$2:$A$18,Games!$L$2:$L$18,"Missing game",0)</x:f>
        <x:v>36</x:v>
      </x:c>
      <x:c r="AR1568" t="n">
        <x:f>_xlfn.XLOOKUP($A1568,Games!$A$2:$A$18,Games!$M$2:$M$18,"Missing game",0)</x:f>
        <x:v>0</x:v>
      </x:c>
      <x:c r="AS1568" t="str">
        <x:f>_xlfn.XLOOKUP($A1568,Games!$A$2:$A$18,Games!$N$2:$N$18,"Missing game",0)</x:f>
        <x:v>dome</x:v>
      </x:c>
      <x:c r="AT1568" t="str">
        <x:f>_xlfn.XLOOKUP($A1568,Games!$A$2:$A$18,Games!$O$2:$O$18,"Missing game",0)</x:f>
        <x:v>sportturf</x:v>
      </x:c>
      <x:c r="AU1568" t="str">
        <x:f>_xlfn.XLOOKUP($A1568,Games!$A$2:$A$18,Games!$P$2:$P$18,"Missing game",0)</x:f>
      </x:c>
      <x:c r="AV1568" t="str">
        <x:f>_xlfn.XLOOKUP($A1568,Games!$A$2:$A$18,Games!$Q$2:$Q$18,"Missing game",0)</x:f>
      </x:c>
      <x:c r="AW1568" t="str">
        <x:f>_xlfn.XLOOKUP($A1568,Games!$A$2:$A$18,Games!$R$2:$R$18,"Missing game",0)</x:f>
        <x:v>U.S. Bank Stadium</x:v>
      </x:c>
    </x:row>
    <x:row r="1569">
      <x:c r="A1569" t="str">
        <x:v>2025_11_CHI_MIN</x:v>
      </x:c>
      <x:c r="B1569" t="n">
        <x:v>776</x:v>
      </x:c>
      <x:c r="C1569" t="n">
        <x:v>1</x:v>
      </x:c>
      <x:c r="D1569" t="str">
        <x:v>02:10</x:v>
      </x:c>
      <x:c r="E1569"/>
      <x:c r="F1569" t="n">
        <x:v>0</x:v>
      </x:c>
      <x:c r="G1569" t="str">
        <x:v>CHI</x:v>
      </x:c>
      <x:c r="H1569" t="str">
        <x:v>MIN</x:v>
      </x:c>
      <x:c r="I1569" t="str">
        <x:v>MIN</x:v>
      </x:c>
      <x:c r="J1569" t="n">
        <x:v>35</x:v>
      </x:c>
      <x:c r="K1569" t="str">
        <x:v>16-W.Reichard kicks 62 yards from MIN 35 to CHI 3. 23-R.Johnson to CHI 25 for 22 yards (98-B.Richter).</x:v>
      </x:c>
      <x:c r="L1569" t="str">
        <x:v>kickoff</x:v>
      </x:c>
      <x:c r="M1569" t="n">
        <x:v>0</x:v>
      </x:c>
      <x:c r="N1569" t="n">
        <x:v>0</x:v>
      </x:c>
      <x:c r="O1569" t="n">
        <x:v>0</x:v>
      </x:c>
      <x:c r="P1569"/>
      <x:c r="Q1569"/>
      <x:c r="R1569"/>
      <x:c r="S1569"/>
      <x:c r="T1569"/>
      <x:c r="U1569"/>
      <x:c r="V1569" t="n">
        <x:v>0</x:v>
      </x:c>
      <x:c r="W1569" t="n">
        <x:v>0</x:v>
      </x:c>
      <x:c r="X1569" t="n">
        <x:v>0</x:v>
      </x:c>
      <x:c r="Y1569" t="n">
        <x:v>0</x:v>
      </x:c>
      <x:c r="Z1569" t="n">
        <x:v>0</x:v>
      </x:c>
      <x:c r="AA1569" t="n">
        <x:v>0</x:v>
      </x:c>
      <x:c r="AB1569"/>
      <x:c r="AC1569" t="n">
        <x:v>0</x:v>
      </x:c>
      <x:c r="AD1569" t="n">
        <x:v>-0.0004701754078269005</x:v>
      </x:c>
      <x:c r="AE1569" t="n">
        <x:v>0</x:v>
      </x:c>
      <x:c r="AF1569" t="n">
        <x:v>0</x:v>
      </x:c>
      <x:c r="AG1569" t="n">
        <x:f>_xlfn.XLOOKUP($A1569,Games!$A$2:$A$18,Games!$B$2:$B$18,"Missing game",0)</x:f>
        <x:v>2025</x:v>
      </x:c>
      <x:c r="AH1569" t="str">
        <x:f>_xlfn.XLOOKUP($A1569,Games!$A$2:$A$18,Games!$C$2:$C$18,"Missing game",0)</x:f>
        <x:v>REG</x:v>
      </x:c>
      <x:c r="AI1569" t="n">
        <x:f>_xlfn.XLOOKUP($A1569,Games!$A$2:$A$18,Games!$D$2:$D$18,"Missing game",0)</x:f>
        <x:v>11</x:v>
      </x:c>
      <x:c r="AJ1569" s="1" t="n">
        <x:f>_xlfn.XLOOKUP($A1569,Games!$A$2:$A$18,Games!$E$2:$E$18,"Missing game",0)</x:f>
        <x:v>45977</x:v>
      </x:c>
      <x:c r="AK1569" t="str">
        <x:f>_xlfn.XLOOKUP($A1569,Games!$A$2:$A$18,Games!$F$2:$F$18,"Missing game",0)</x:f>
        <x:v>Sunday</x:v>
      </x:c>
      <x:c r="AL1569" t="str">
        <x:f>_xlfn.XLOOKUP($A1569,Games!$A$2:$A$18,Games!$G$2:$G$18,"Missing game",0)</x:f>
        <x:v>CHI</x:v>
      </x:c>
      <x:c r="AM1569" t="n">
        <x:f>_xlfn.XLOOKUP($A1569,Games!$A$2:$A$18,Games!$H$2:$H$18,"Missing game",0)</x:f>
        <x:v>19</x:v>
      </x:c>
      <x:c r="AN1569" t="str">
        <x:f>_xlfn.XLOOKUP($A1569,Games!$A$2:$A$18,Games!$I$2:$I$18,"Missing game",0)</x:f>
        <x:v>MIN</x:v>
      </x:c>
      <x:c r="AO1569" t="n">
        <x:f>_xlfn.XLOOKUP($A1569,Games!$A$2:$A$18,Games!$J$2:$J$18,"Missing game",0)</x:f>
        <x:v>17</x:v>
      </x:c>
      <x:c r="AP1569" t="n">
        <x:f>_xlfn.XLOOKUP($A1569,Games!$A$2:$A$18,Games!$K$2:$K$18,"Missing game",0)</x:f>
        <x:v>-2</x:v>
      </x:c>
      <x:c r="AQ1569" t="n">
        <x:f>_xlfn.XLOOKUP($A1569,Games!$A$2:$A$18,Games!$L$2:$L$18,"Missing game",0)</x:f>
        <x:v>36</x:v>
      </x:c>
      <x:c r="AR1569" t="n">
        <x:f>_xlfn.XLOOKUP($A1569,Games!$A$2:$A$18,Games!$M$2:$M$18,"Missing game",0)</x:f>
        <x:v>0</x:v>
      </x:c>
      <x:c r="AS1569" t="str">
        <x:f>_xlfn.XLOOKUP($A1569,Games!$A$2:$A$18,Games!$N$2:$N$18,"Missing game",0)</x:f>
        <x:v>dome</x:v>
      </x:c>
      <x:c r="AT1569" t="str">
        <x:f>_xlfn.XLOOKUP($A1569,Games!$A$2:$A$18,Games!$O$2:$O$18,"Missing game",0)</x:f>
        <x:v>sportturf</x:v>
      </x:c>
      <x:c r="AU1569" t="str">
        <x:f>_xlfn.XLOOKUP($A1569,Games!$A$2:$A$18,Games!$P$2:$P$18,"Missing game",0)</x:f>
      </x:c>
      <x:c r="AV1569" t="str">
        <x:f>_xlfn.XLOOKUP($A1569,Games!$A$2:$A$18,Games!$Q$2:$Q$18,"Missing game",0)</x:f>
      </x:c>
      <x:c r="AW1569" t="str">
        <x:f>_xlfn.XLOOKUP($A1569,Games!$A$2:$A$18,Games!$R$2:$R$18,"Missing game",0)</x:f>
        <x:v>U.S. Bank Stadium</x:v>
      </x:c>
    </x:row>
    <x:row r="1570">
      <x:c r="A1570" t="str">
        <x:v>2025_11_CHI_MIN</x:v>
      </x:c>
      <x:c r="B1570" t="n">
        <x:v>806</x:v>
      </x:c>
      <x:c r="C1570" t="n">
        <x:v>1</x:v>
      </x:c>
      <x:c r="D1570" t="str">
        <x:v>02:05</x:v>
      </x:c>
      <x:c r="E1570" t="n">
        <x:v>1</x:v>
      </x:c>
      <x:c r="F1570" t="n">
        <x:v>10</x:v>
      </x:c>
      <x:c r="G1570" t="str">
        <x:v>CHI</x:v>
      </x:c>
      <x:c r="H1570" t="str">
        <x:v>MIN</x:v>
      </x:c>
      <x:c r="I1570" t="str">
        <x:v>CHI</x:v>
      </x:c>
      <x:c r="J1570" t="n">
        <x:v>75</x:v>
      </x:c>
      <x:c r="K1570" t="str">
        <x:v>(2:05) 18-C.Williams FUMBLES (Aborted) at CHI 20, touched at CHI 21, recovered by CHI-15-R.Odunze at CHI 10.</x:v>
      </x:c>
      <x:c r="L1570" t="str">
        <x:v>run</x:v>
      </x:c>
      <x:c r="M1570" t="n">
        <x:v>0</x:v>
      </x:c>
      <x:c r="N1570" t="n">
        <x:v>0</x:v>
      </x:c>
      <x:c r="O1570" t="n">
        <x:v>0</x:v>
      </x:c>
      <x:c r="P1570"/>
      <x:c r="Q1570"/>
      <x:c r="R1570"/>
      <x:c r="S1570"/>
      <x:c r="T1570"/>
      <x:c r="U1570"/>
      <x:c r="V1570" t="n">
        <x:v>0</x:v>
      </x:c>
      <x:c r="W1570" t="n">
        <x:v>0</x:v>
      </x:c>
      <x:c r="X1570" t="n">
        <x:v>0</x:v>
      </x:c>
      <x:c r="Y1570" t="n">
        <x:v>0</x:v>
      </x:c>
      <x:c r="Z1570" t="n">
        <x:v>0</x:v>
      </x:c>
      <x:c r="AA1570" t="n">
        <x:v>0</x:v>
      </x:c>
      <x:c r="AB1570"/>
      <x:c r="AC1570" t="n">
        <x:v>0</x:v>
      </x:c>
      <x:c r="AD1570" t="n">
        <x:v>-2.447202121373266</x:v>
      </x:c>
      <x:c r="AE1570" t="n">
        <x:v>0</x:v>
      </x:c>
      <x:c r="AF1570" t="n">
        <x:v>-0.054852575063705444</x:v>
      </x:c>
      <x:c r="AG1570" t="n">
        <x:f>_xlfn.XLOOKUP($A1570,Games!$A$2:$A$18,Games!$B$2:$B$18,"Missing game",0)</x:f>
        <x:v>2025</x:v>
      </x:c>
      <x:c r="AH1570" t="str">
        <x:f>_xlfn.XLOOKUP($A1570,Games!$A$2:$A$18,Games!$C$2:$C$18,"Missing game",0)</x:f>
        <x:v>REG</x:v>
      </x:c>
      <x:c r="AI1570" t="n">
        <x:f>_xlfn.XLOOKUP($A1570,Games!$A$2:$A$18,Games!$D$2:$D$18,"Missing game",0)</x:f>
        <x:v>11</x:v>
      </x:c>
      <x:c r="AJ1570" s="1" t="n">
        <x:f>_xlfn.XLOOKUP($A1570,Games!$A$2:$A$18,Games!$E$2:$E$18,"Missing game",0)</x:f>
        <x:v>45977</x:v>
      </x:c>
      <x:c r="AK1570" t="str">
        <x:f>_xlfn.XLOOKUP($A1570,Games!$A$2:$A$18,Games!$F$2:$F$18,"Missing game",0)</x:f>
        <x:v>Sunday</x:v>
      </x:c>
      <x:c r="AL1570" t="str">
        <x:f>_xlfn.XLOOKUP($A1570,Games!$A$2:$A$18,Games!$G$2:$G$18,"Missing game",0)</x:f>
        <x:v>CHI</x:v>
      </x:c>
      <x:c r="AM1570" t="n">
        <x:f>_xlfn.XLOOKUP($A1570,Games!$A$2:$A$18,Games!$H$2:$H$18,"Missing game",0)</x:f>
        <x:v>19</x:v>
      </x:c>
      <x:c r="AN1570" t="str">
        <x:f>_xlfn.XLOOKUP($A1570,Games!$A$2:$A$18,Games!$I$2:$I$18,"Missing game",0)</x:f>
        <x:v>MIN</x:v>
      </x:c>
      <x:c r="AO1570" t="n">
        <x:f>_xlfn.XLOOKUP($A1570,Games!$A$2:$A$18,Games!$J$2:$J$18,"Missing game",0)</x:f>
        <x:v>17</x:v>
      </x:c>
      <x:c r="AP1570" t="n">
        <x:f>_xlfn.XLOOKUP($A1570,Games!$A$2:$A$18,Games!$K$2:$K$18,"Missing game",0)</x:f>
        <x:v>-2</x:v>
      </x:c>
      <x:c r="AQ1570" t="n">
        <x:f>_xlfn.XLOOKUP($A1570,Games!$A$2:$A$18,Games!$L$2:$L$18,"Missing game",0)</x:f>
        <x:v>36</x:v>
      </x:c>
      <x:c r="AR1570" t="n">
        <x:f>_xlfn.XLOOKUP($A1570,Games!$A$2:$A$18,Games!$M$2:$M$18,"Missing game",0)</x:f>
        <x:v>0</x:v>
      </x:c>
      <x:c r="AS1570" t="str">
        <x:f>_xlfn.XLOOKUP($A1570,Games!$A$2:$A$18,Games!$N$2:$N$18,"Missing game",0)</x:f>
        <x:v>dome</x:v>
      </x:c>
      <x:c r="AT1570" t="str">
        <x:f>_xlfn.XLOOKUP($A1570,Games!$A$2:$A$18,Games!$O$2:$O$18,"Missing game",0)</x:f>
        <x:v>sportturf</x:v>
      </x:c>
      <x:c r="AU1570" t="str">
        <x:f>_xlfn.XLOOKUP($A1570,Games!$A$2:$A$18,Games!$P$2:$P$18,"Missing game",0)</x:f>
      </x:c>
      <x:c r="AV1570" t="str">
        <x:f>_xlfn.XLOOKUP($A1570,Games!$A$2:$A$18,Games!$Q$2:$Q$18,"Missing game",0)</x:f>
      </x:c>
      <x:c r="AW1570" t="str">
        <x:f>_xlfn.XLOOKUP($A1570,Games!$A$2:$A$18,Games!$R$2:$R$18,"Missing game",0)</x:f>
        <x:v>U.S. Bank Stadium</x:v>
      </x:c>
    </x:row>
    <x:row r="1571">
      <x:c r="A1571" t="str">
        <x:v>2025_11_CHI_MIN</x:v>
      </x:c>
      <x:c r="B1571" t="n">
        <x:v>833</x:v>
      </x:c>
      <x:c r="C1571" t="n">
        <x:v>1</x:v>
      </x:c>
      <x:c r="D1571" t="str">
        <x:v>01:23</x:v>
      </x:c>
      <x:c r="E1571" t="n">
        <x:v>2</x:v>
      </x:c>
      <x:c r="F1571" t="n">
        <x:v>25</x:v>
      </x:c>
      <x:c r="G1571" t="str">
        <x:v>CHI</x:v>
      </x:c>
      <x:c r="H1571" t="str">
        <x:v>MIN</x:v>
      </x:c>
      <x:c r="I1571" t="str">
        <x:v>CHI</x:v>
      </x:c>
      <x:c r="J1571" t="n">
        <x:v>90</x:v>
      </x:c>
      <x:c r="K1571" t="str">
        <x:v>(1:23) 18-C.Williams pass deep middle to 15-R.Odunze to CHI 34 for 24 yards (22-H.Smith). CHI-79-T.Benedet was injured during the play.</x:v>
      </x:c>
      <x:c r="L1571" t="str">
        <x:v>pass</x:v>
      </x:c>
      <x:c r="M1571" t="n">
        <x:v>24</x:v>
      </x:c>
      <x:c r="N1571" t="n">
        <x:v>0</x:v>
      </x:c>
      <x:c r="O1571" t="n">
        <x:v>0</x:v>
      </x:c>
      <x:c r="P1571" t="str">
        <x:v>deep</x:v>
      </x:c>
      <x:c r="Q1571" t="str">
        <x:v>middle</x:v>
      </x:c>
      <x:c r="R1571" t="n">
        <x:v>23</x:v>
      </x:c>
      <x:c r="S1571" t="n">
        <x:v>1</x:v>
      </x:c>
      <x:c r="T1571"/>
      <x:c r="U1571"/>
      <x:c r="V1571" t="n">
        <x:v>1</x:v>
      </x:c>
      <x:c r="W1571" t="n">
        <x:v>0</x:v>
      </x:c>
      <x:c r="X1571" t="n">
        <x:v>0</x:v>
      </x:c>
      <x:c r="Y1571" t="n">
        <x:v>0</x:v>
      </x:c>
      <x:c r="Z1571" t="n">
        <x:v>0</x:v>
      </x:c>
      <x:c r="AA1571" t="n">
        <x:v>0</x:v>
      </x:c>
      <x:c r="AB1571"/>
      <x:c r="AC1571" t="n">
        <x:v>0</x:v>
      </x:c>
      <x:c r="AD1571" t="n">
        <x:v>2.612037659622729</x:v>
      </x:c>
      <x:c r="AE1571" t="n">
        <x:v>1</x:v>
      </x:c>
      <x:c r="AF1571" t="n">
        <x:v>0.052364081144332886</x:v>
      </x:c>
      <x:c r="AG1571" t="n">
        <x:f>_xlfn.XLOOKUP($A1571,Games!$A$2:$A$18,Games!$B$2:$B$18,"Missing game",0)</x:f>
        <x:v>2025</x:v>
      </x:c>
      <x:c r="AH1571" t="str">
        <x:f>_xlfn.XLOOKUP($A1571,Games!$A$2:$A$18,Games!$C$2:$C$18,"Missing game",0)</x:f>
        <x:v>REG</x:v>
      </x:c>
      <x:c r="AI1571" t="n">
        <x:f>_xlfn.XLOOKUP($A1571,Games!$A$2:$A$18,Games!$D$2:$D$18,"Missing game",0)</x:f>
        <x:v>11</x:v>
      </x:c>
      <x:c r="AJ1571" s="1" t="n">
        <x:f>_xlfn.XLOOKUP($A1571,Games!$A$2:$A$18,Games!$E$2:$E$18,"Missing game",0)</x:f>
        <x:v>45977</x:v>
      </x:c>
      <x:c r="AK1571" t="str">
        <x:f>_xlfn.XLOOKUP($A1571,Games!$A$2:$A$18,Games!$F$2:$F$18,"Missing game",0)</x:f>
        <x:v>Sunday</x:v>
      </x:c>
      <x:c r="AL1571" t="str">
        <x:f>_xlfn.XLOOKUP($A1571,Games!$A$2:$A$18,Games!$G$2:$G$18,"Missing game",0)</x:f>
        <x:v>CHI</x:v>
      </x:c>
      <x:c r="AM1571" t="n">
        <x:f>_xlfn.XLOOKUP($A1571,Games!$A$2:$A$18,Games!$H$2:$H$18,"Missing game",0)</x:f>
        <x:v>19</x:v>
      </x:c>
      <x:c r="AN1571" t="str">
        <x:f>_xlfn.XLOOKUP($A1571,Games!$A$2:$A$18,Games!$I$2:$I$18,"Missing game",0)</x:f>
        <x:v>MIN</x:v>
      </x:c>
      <x:c r="AO1571" t="n">
        <x:f>_xlfn.XLOOKUP($A1571,Games!$A$2:$A$18,Games!$J$2:$J$18,"Missing game",0)</x:f>
        <x:v>17</x:v>
      </x:c>
      <x:c r="AP1571" t="n">
        <x:f>_xlfn.XLOOKUP($A1571,Games!$A$2:$A$18,Games!$K$2:$K$18,"Missing game",0)</x:f>
        <x:v>-2</x:v>
      </x:c>
      <x:c r="AQ1571" t="n">
        <x:f>_xlfn.XLOOKUP($A1571,Games!$A$2:$A$18,Games!$L$2:$L$18,"Missing game",0)</x:f>
        <x:v>36</x:v>
      </x:c>
      <x:c r="AR1571" t="n">
        <x:f>_xlfn.XLOOKUP($A1571,Games!$A$2:$A$18,Games!$M$2:$M$18,"Missing game",0)</x:f>
        <x:v>0</x:v>
      </x:c>
      <x:c r="AS1571" t="str">
        <x:f>_xlfn.XLOOKUP($A1571,Games!$A$2:$A$18,Games!$N$2:$N$18,"Missing game",0)</x:f>
        <x:v>dome</x:v>
      </x:c>
      <x:c r="AT1571" t="str">
        <x:f>_xlfn.XLOOKUP($A1571,Games!$A$2:$A$18,Games!$O$2:$O$18,"Missing game",0)</x:f>
        <x:v>sportturf</x:v>
      </x:c>
      <x:c r="AU1571" t="str">
        <x:f>_xlfn.XLOOKUP($A1571,Games!$A$2:$A$18,Games!$P$2:$P$18,"Missing game",0)</x:f>
      </x:c>
      <x:c r="AV1571" t="str">
        <x:f>_xlfn.XLOOKUP($A1571,Games!$A$2:$A$18,Games!$Q$2:$Q$18,"Missing game",0)</x:f>
      </x:c>
      <x:c r="AW1571" t="str">
        <x:f>_xlfn.XLOOKUP($A1571,Games!$A$2:$A$18,Games!$R$2:$R$18,"Missing game",0)</x:f>
        <x:v>U.S. Bank Stadium</x:v>
      </x:c>
    </x:row>
    <x:row r="1572">
      <x:c r="A1572" t="str">
        <x:v>2025_11_CHI_MIN</x:v>
      </x:c>
      <x:c r="B1572" t="n">
        <x:v>858</x:v>
      </x:c>
      <x:c r="C1572" t="n">
        <x:v>1</x:v>
      </x:c>
      <x:c r="D1572" t="str">
        <x:v>00:57</x:v>
      </x:c>
      <x:c r="E1572" t="n">
        <x:v>3</x:v>
      </x:c>
      <x:c r="F1572" t="n">
        <x:v>1</x:v>
      </x:c>
      <x:c r="G1572" t="str">
        <x:v>CHI</x:v>
      </x:c>
      <x:c r="H1572" t="str">
        <x:v>MIN</x:v>
      </x:c>
      <x:c r="I1572" t="str">
        <x:v>CHI</x:v>
      </x:c>
      <x:c r="J1572" t="n">
        <x:v>66</x:v>
      </x:c>
      <x:c r="K1572" t="str">
        <x:v>(:57) 4-D.Swift right tackle to CHI 37 for 3 yards (51-B.Cashman).</x:v>
      </x:c>
      <x:c r="L1572" t="str">
        <x:v>run</x:v>
      </x:c>
      <x:c r="M1572" t="n">
        <x:v>3</x:v>
      </x:c>
      <x:c r="N1572" t="n">
        <x:v>0</x:v>
      </x:c>
      <x:c r="O1572" t="n">
        <x:v>0</x:v>
      </x:c>
      <x:c r="P1572"/>
      <x:c r="Q1572"/>
      <x:c r="R1572"/>
      <x:c r="S1572"/>
      <x:c r="T1572" t="str">
        <x:v>right</x:v>
      </x:c>
      <x:c r="U1572" t="str">
        <x:v>tackle</x:v>
      </x:c>
      <x:c r="V1572" t="n">
        <x:v>0</x:v>
      </x:c>
      <x:c r="W1572" t="n">
        <x:v>1</x:v>
      </x:c>
      <x:c r="X1572" t="n">
        <x:v>0</x:v>
      </x:c>
      <x:c r="Y1572" t="n">
        <x:v>0</x:v>
      </x:c>
      <x:c r="Z1572" t="n">
        <x:v>0</x:v>
      </x:c>
      <x:c r="AA1572" t="n">
        <x:v>0</x:v>
      </x:c>
      <x:c r="AB1572"/>
      <x:c r="AC1572" t="n">
        <x:v>0</x:v>
      </x:c>
      <x:c r="AD1572" t="n">
        <x:v>0.5487374877557158</x:v>
      </x:c>
      <x:c r="AE1572" t="n">
        <x:v>1</x:v>
      </x:c>
      <x:c r="AF1572" t="n">
        <x:v>0.030530929565429688</x:v>
      </x:c>
      <x:c r="AG1572" t="n">
        <x:f>_xlfn.XLOOKUP($A1572,Games!$A$2:$A$18,Games!$B$2:$B$18,"Missing game",0)</x:f>
        <x:v>2025</x:v>
      </x:c>
      <x:c r="AH1572" t="str">
        <x:f>_xlfn.XLOOKUP($A1572,Games!$A$2:$A$18,Games!$C$2:$C$18,"Missing game",0)</x:f>
        <x:v>REG</x:v>
      </x:c>
      <x:c r="AI1572" t="n">
        <x:f>_xlfn.XLOOKUP($A1572,Games!$A$2:$A$18,Games!$D$2:$D$18,"Missing game",0)</x:f>
        <x:v>11</x:v>
      </x:c>
      <x:c r="AJ1572" s="1" t="n">
        <x:f>_xlfn.XLOOKUP($A1572,Games!$A$2:$A$18,Games!$E$2:$E$18,"Missing game",0)</x:f>
        <x:v>45977</x:v>
      </x:c>
      <x:c r="AK1572" t="str">
        <x:f>_xlfn.XLOOKUP($A1572,Games!$A$2:$A$18,Games!$F$2:$F$18,"Missing game",0)</x:f>
        <x:v>Sunday</x:v>
      </x:c>
      <x:c r="AL1572" t="str">
        <x:f>_xlfn.XLOOKUP($A1572,Games!$A$2:$A$18,Games!$G$2:$G$18,"Missing game",0)</x:f>
        <x:v>CHI</x:v>
      </x:c>
      <x:c r="AM1572" t="n">
        <x:f>_xlfn.XLOOKUP($A1572,Games!$A$2:$A$18,Games!$H$2:$H$18,"Missing game",0)</x:f>
        <x:v>19</x:v>
      </x:c>
      <x:c r="AN1572" t="str">
        <x:f>_xlfn.XLOOKUP($A1572,Games!$A$2:$A$18,Games!$I$2:$I$18,"Missing game",0)</x:f>
        <x:v>MIN</x:v>
      </x:c>
      <x:c r="AO1572" t="n">
        <x:f>_xlfn.XLOOKUP($A1572,Games!$A$2:$A$18,Games!$J$2:$J$18,"Missing game",0)</x:f>
        <x:v>17</x:v>
      </x:c>
      <x:c r="AP1572" t="n">
        <x:f>_xlfn.XLOOKUP($A1572,Games!$A$2:$A$18,Games!$K$2:$K$18,"Missing game",0)</x:f>
        <x:v>-2</x:v>
      </x:c>
      <x:c r="AQ1572" t="n">
        <x:f>_xlfn.XLOOKUP($A1572,Games!$A$2:$A$18,Games!$L$2:$L$18,"Missing game",0)</x:f>
        <x:v>36</x:v>
      </x:c>
      <x:c r="AR1572" t="n">
        <x:f>_xlfn.XLOOKUP($A1572,Games!$A$2:$A$18,Games!$M$2:$M$18,"Missing game",0)</x:f>
        <x:v>0</x:v>
      </x:c>
      <x:c r="AS1572" t="str">
        <x:f>_xlfn.XLOOKUP($A1572,Games!$A$2:$A$18,Games!$N$2:$N$18,"Missing game",0)</x:f>
        <x:v>dome</x:v>
      </x:c>
      <x:c r="AT1572" t="str">
        <x:f>_xlfn.XLOOKUP($A1572,Games!$A$2:$A$18,Games!$O$2:$O$18,"Missing game",0)</x:f>
        <x:v>sportturf</x:v>
      </x:c>
      <x:c r="AU1572" t="str">
        <x:f>_xlfn.XLOOKUP($A1572,Games!$A$2:$A$18,Games!$P$2:$P$18,"Missing game",0)</x:f>
      </x:c>
      <x:c r="AV1572" t="str">
        <x:f>_xlfn.XLOOKUP($A1572,Games!$A$2:$A$18,Games!$Q$2:$Q$18,"Missing game",0)</x:f>
      </x:c>
      <x:c r="AW1572" t="str">
        <x:f>_xlfn.XLOOKUP($A1572,Games!$A$2:$A$18,Games!$R$2:$R$18,"Missing game",0)</x:f>
        <x:v>U.S. Bank Stadium</x:v>
      </x:c>
    </x:row>
    <x:row r="1573">
      <x:c r="A1573" t="str">
        <x:v>2025_11_CHI_MIN</x:v>
      </x:c>
      <x:c r="B1573" t="n">
        <x:v>890</x:v>
      </x:c>
      <x:c r="C1573" t="n">
        <x:v>1</x:v>
      </x:c>
      <x:c r="D1573" t="str">
        <x:v>00:15</x:v>
      </x:c>
      <x:c r="E1573" t="n">
        <x:v>1</x:v>
      </x:c>
      <x:c r="F1573" t="n">
        <x:v>10</x:v>
      </x:c>
      <x:c r="G1573" t="str">
        <x:v>CHI</x:v>
      </x:c>
      <x:c r="H1573" t="str">
        <x:v>MIN</x:v>
      </x:c>
      <x:c r="I1573" t="str">
        <x:v>CHI</x:v>
      </x:c>
      <x:c r="J1573" t="n">
        <x:v>63</x:v>
      </x:c>
      <x:c r="K1573" t="str">
        <x:v>(:15) 18-C.Williams pass incomplete deep left to 4-D.Swift. ** Injury Update: CHI-79-T.Benedet has returned to the game.</x:v>
      </x:c>
      <x:c r="L1573" t="str">
        <x:v>pass</x:v>
      </x:c>
      <x:c r="M1573" t="n">
        <x:v>0</x:v>
      </x:c>
      <x:c r="N1573" t="n">
        <x:v>0</x:v>
      </x:c>
      <x:c r="O1573" t="n">
        <x:v>0</x:v>
      </x:c>
      <x:c r="P1573" t="str">
        <x:v>deep</x:v>
      </x:c>
      <x:c r="Q1573" t="str">
        <x:v>left</x:v>
      </x:c>
      <x:c r="R1573" t="n">
        <x:v>17</x:v>
      </x:c>
      <x:c r="S1573"/>
      <x:c r="T1573"/>
      <x:c r="U1573"/>
      <x:c r="V1573" t="n">
        <x:v>0</x:v>
      </x:c>
      <x:c r="W1573" t="n">
        <x:v>0</x:v>
      </x:c>
      <x:c r="X1573" t="n">
        <x:v>0</x:v>
      </x:c>
      <x:c r="Y1573" t="n">
        <x:v>0</x:v>
      </x:c>
      <x:c r="Z1573" t="n">
        <x:v>0</x:v>
      </x:c>
      <x:c r="AA1573" t="n">
        <x:v>0</x:v>
      </x:c>
      <x:c r="AB1573"/>
      <x:c r="AC1573" t="n">
        <x:v>0</x:v>
      </x:c>
      <x:c r="AD1573" t="n">
        <x:v>-0.55516048357822</x:v>
      </x:c>
      <x:c r="AE1573" t="n">
        <x:v>0</x:v>
      </x:c>
      <x:c r="AF1573" t="n">
        <x:v>-0.016521573066711426</x:v>
      </x:c>
      <x:c r="AG1573" t="n">
        <x:f>_xlfn.XLOOKUP($A1573,Games!$A$2:$A$18,Games!$B$2:$B$18,"Missing game",0)</x:f>
        <x:v>2025</x:v>
      </x:c>
      <x:c r="AH1573" t="str">
        <x:f>_xlfn.XLOOKUP($A1573,Games!$A$2:$A$18,Games!$C$2:$C$18,"Missing game",0)</x:f>
        <x:v>REG</x:v>
      </x:c>
      <x:c r="AI1573" t="n">
        <x:f>_xlfn.XLOOKUP($A1573,Games!$A$2:$A$18,Games!$D$2:$D$18,"Missing game",0)</x:f>
        <x:v>11</x:v>
      </x:c>
      <x:c r="AJ1573" s="1" t="n">
        <x:f>_xlfn.XLOOKUP($A1573,Games!$A$2:$A$18,Games!$E$2:$E$18,"Missing game",0)</x:f>
        <x:v>45977</x:v>
      </x:c>
      <x:c r="AK1573" t="str">
        <x:f>_xlfn.XLOOKUP($A1573,Games!$A$2:$A$18,Games!$F$2:$F$18,"Missing game",0)</x:f>
        <x:v>Sunday</x:v>
      </x:c>
      <x:c r="AL1573" t="str">
        <x:f>_xlfn.XLOOKUP($A1573,Games!$A$2:$A$18,Games!$G$2:$G$18,"Missing game",0)</x:f>
        <x:v>CHI</x:v>
      </x:c>
      <x:c r="AM1573" t="n">
        <x:f>_xlfn.XLOOKUP($A1573,Games!$A$2:$A$18,Games!$H$2:$H$18,"Missing game",0)</x:f>
        <x:v>19</x:v>
      </x:c>
      <x:c r="AN1573" t="str">
        <x:f>_xlfn.XLOOKUP($A1573,Games!$A$2:$A$18,Games!$I$2:$I$18,"Missing game",0)</x:f>
        <x:v>MIN</x:v>
      </x:c>
      <x:c r="AO1573" t="n">
        <x:f>_xlfn.XLOOKUP($A1573,Games!$A$2:$A$18,Games!$J$2:$J$18,"Missing game",0)</x:f>
        <x:v>17</x:v>
      </x:c>
      <x:c r="AP1573" t="n">
        <x:f>_xlfn.XLOOKUP($A1573,Games!$A$2:$A$18,Games!$K$2:$K$18,"Missing game",0)</x:f>
        <x:v>-2</x:v>
      </x:c>
      <x:c r="AQ1573" t="n">
        <x:f>_xlfn.XLOOKUP($A1573,Games!$A$2:$A$18,Games!$L$2:$L$18,"Missing game",0)</x:f>
        <x:v>36</x:v>
      </x:c>
      <x:c r="AR1573" t="n">
        <x:f>_xlfn.XLOOKUP($A1573,Games!$A$2:$A$18,Games!$M$2:$M$18,"Missing game",0)</x:f>
        <x:v>0</x:v>
      </x:c>
      <x:c r="AS1573" t="str">
        <x:f>_xlfn.XLOOKUP($A1573,Games!$A$2:$A$18,Games!$N$2:$N$18,"Missing game",0)</x:f>
        <x:v>dome</x:v>
      </x:c>
      <x:c r="AT1573" t="str">
        <x:f>_xlfn.XLOOKUP($A1573,Games!$A$2:$A$18,Games!$O$2:$O$18,"Missing game",0)</x:f>
        <x:v>sportturf</x:v>
      </x:c>
      <x:c r="AU1573" t="str">
        <x:f>_xlfn.XLOOKUP($A1573,Games!$A$2:$A$18,Games!$P$2:$P$18,"Missing game",0)</x:f>
      </x:c>
      <x:c r="AV1573" t="str">
        <x:f>_xlfn.XLOOKUP($A1573,Games!$A$2:$A$18,Games!$Q$2:$Q$18,"Missing game",0)</x:f>
      </x:c>
      <x:c r="AW1573" t="str">
        <x:f>_xlfn.XLOOKUP($A1573,Games!$A$2:$A$18,Games!$R$2:$R$18,"Missing game",0)</x:f>
        <x:v>U.S. Bank Stadium</x:v>
      </x:c>
    </x:row>
    <x:row r="1574">
      <x:c r="A1574" t="str">
        <x:v>2025_11_CHI_MIN</x:v>
      </x:c>
      <x:c r="B1574" t="n">
        <x:v>913</x:v>
      </x:c>
      <x:c r="C1574" t="n">
        <x:v>1</x:v>
      </x:c>
      <x:c r="D1574" t="str">
        <x:v>00:08</x:v>
      </x:c>
      <x:c r="E1574" t="n">
        <x:v>2</x:v>
      </x:c>
      <x:c r="F1574" t="n">
        <x:v>10</x:v>
      </x:c>
      <x:c r="G1574" t="str">
        <x:v>CHI</x:v>
      </x:c>
      <x:c r="H1574" t="str">
        <x:v>MIN</x:v>
      </x:c>
      <x:c r="I1574" t="str">
        <x:v>CHI</x:v>
      </x:c>
      <x:c r="J1574" t="n">
        <x:v>63</x:v>
      </x:c>
      <x:c r="K1574" t="str">
        <x:v>(:08) 4-D.Swift left tackle to CHI 43 for 6 yards (93-J.Allen; 43-A.Van Ginkel).</x:v>
      </x:c>
      <x:c r="L1574" t="str">
        <x:v>run</x:v>
      </x:c>
      <x:c r="M1574" t="n">
        <x:v>6</x:v>
      </x:c>
      <x:c r="N1574" t="n">
        <x:v>0</x:v>
      </x:c>
      <x:c r="O1574" t="n">
        <x:v>0</x:v>
      </x:c>
      <x:c r="P1574"/>
      <x:c r="Q1574"/>
      <x:c r="R1574"/>
      <x:c r="S1574"/>
      <x:c r="T1574" t="str">
        <x:v>left</x:v>
      </x:c>
      <x:c r="U1574" t="str">
        <x:v>tackle</x:v>
      </x:c>
      <x:c r="V1574" t="n">
        <x:v>0</x:v>
      </x:c>
      <x:c r="W1574" t="n">
        <x:v>0</x:v>
      </x:c>
      <x:c r="X1574" t="n">
        <x:v>0</x:v>
      </x:c>
      <x:c r="Y1574" t="n">
        <x:v>0</x:v>
      </x:c>
      <x:c r="Z1574" t="n">
        <x:v>0</x:v>
      </x:c>
      <x:c r="AA1574" t="n">
        <x:v>0</x:v>
      </x:c>
      <x:c r="AB1574"/>
      <x:c r="AC1574" t="n">
        <x:v>0</x:v>
      </x:c>
      <x:c r="AD1574" t="n">
        <x:v>-0.10705102770589292</x:v>
      </x:c>
      <x:c r="AE1574" t="n">
        <x:v>0</x:v>
      </x:c>
      <x:c r="AF1574" t="n">
        <x:v>-0.013766378164291382</x:v>
      </x:c>
      <x:c r="AG1574" t="n">
        <x:f>_xlfn.XLOOKUP($A1574,Games!$A$2:$A$18,Games!$B$2:$B$18,"Missing game",0)</x:f>
        <x:v>2025</x:v>
      </x:c>
      <x:c r="AH1574" t="str">
        <x:f>_xlfn.XLOOKUP($A1574,Games!$A$2:$A$18,Games!$C$2:$C$18,"Missing game",0)</x:f>
        <x:v>REG</x:v>
      </x:c>
      <x:c r="AI1574" t="n">
        <x:f>_xlfn.XLOOKUP($A1574,Games!$A$2:$A$18,Games!$D$2:$D$18,"Missing game",0)</x:f>
        <x:v>11</x:v>
      </x:c>
      <x:c r="AJ1574" s="1" t="n">
        <x:f>_xlfn.XLOOKUP($A1574,Games!$A$2:$A$18,Games!$E$2:$E$18,"Missing game",0)</x:f>
        <x:v>45977</x:v>
      </x:c>
      <x:c r="AK1574" t="str">
        <x:f>_xlfn.XLOOKUP($A1574,Games!$A$2:$A$18,Games!$F$2:$F$18,"Missing game",0)</x:f>
        <x:v>Sunday</x:v>
      </x:c>
      <x:c r="AL1574" t="str">
        <x:f>_xlfn.XLOOKUP($A1574,Games!$A$2:$A$18,Games!$G$2:$G$18,"Missing game",0)</x:f>
        <x:v>CHI</x:v>
      </x:c>
      <x:c r="AM1574" t="n">
        <x:f>_xlfn.XLOOKUP($A1574,Games!$A$2:$A$18,Games!$H$2:$H$18,"Missing game",0)</x:f>
        <x:v>19</x:v>
      </x:c>
      <x:c r="AN1574" t="str">
        <x:f>_xlfn.XLOOKUP($A1574,Games!$A$2:$A$18,Games!$I$2:$I$18,"Missing game",0)</x:f>
        <x:v>MIN</x:v>
      </x:c>
      <x:c r="AO1574" t="n">
        <x:f>_xlfn.XLOOKUP($A1574,Games!$A$2:$A$18,Games!$J$2:$J$18,"Missing game",0)</x:f>
        <x:v>17</x:v>
      </x:c>
      <x:c r="AP1574" t="n">
        <x:f>_xlfn.XLOOKUP($A1574,Games!$A$2:$A$18,Games!$K$2:$K$18,"Missing game",0)</x:f>
        <x:v>-2</x:v>
      </x:c>
      <x:c r="AQ1574" t="n">
        <x:f>_xlfn.XLOOKUP($A1574,Games!$A$2:$A$18,Games!$L$2:$L$18,"Missing game",0)</x:f>
        <x:v>36</x:v>
      </x:c>
      <x:c r="AR1574" t="n">
        <x:f>_xlfn.XLOOKUP($A1574,Games!$A$2:$A$18,Games!$M$2:$M$18,"Missing game",0)</x:f>
        <x:v>0</x:v>
      </x:c>
      <x:c r="AS1574" t="str">
        <x:f>_xlfn.XLOOKUP($A1574,Games!$A$2:$A$18,Games!$N$2:$N$18,"Missing game",0)</x:f>
        <x:v>dome</x:v>
      </x:c>
      <x:c r="AT1574" t="str">
        <x:f>_xlfn.XLOOKUP($A1574,Games!$A$2:$A$18,Games!$O$2:$O$18,"Missing game",0)</x:f>
        <x:v>sportturf</x:v>
      </x:c>
      <x:c r="AU1574" t="str">
        <x:f>_xlfn.XLOOKUP($A1574,Games!$A$2:$A$18,Games!$P$2:$P$18,"Missing game",0)</x:f>
      </x:c>
      <x:c r="AV1574" t="str">
        <x:f>_xlfn.XLOOKUP($A1574,Games!$A$2:$A$18,Games!$Q$2:$Q$18,"Missing game",0)</x:f>
      </x:c>
      <x:c r="AW1574" t="str">
        <x:f>_xlfn.XLOOKUP($A1574,Games!$A$2:$A$18,Games!$R$2:$R$18,"Missing game",0)</x:f>
        <x:v>U.S. Bank Stadium</x:v>
      </x:c>
    </x:row>
    <x:row r="1575">
      <x:c r="A1575" t="str">
        <x:v>2025_11_CHI_MIN</x:v>
      </x:c>
      <x:c r="B1575" t="n">
        <x:v>938</x:v>
      </x:c>
      <x:c r="C1575" t="n">
        <x:v>1</x:v>
      </x:c>
      <x:c r="D1575" t="str">
        <x:v>00:00</x:v>
      </x:c>
      <x:c r="E1575"/>
      <x:c r="F1575" t="n">
        <x:v>0</x:v>
      </x:c>
      <x:c r="G1575" t="str">
        <x:v>CHI</x:v>
      </x:c>
      <x:c r="H1575" t="str">
        <x:v>MIN</x:v>
      </x:c>
      <x:c r="I1575"/>
      <x:c r="J1575"/>
      <x:c r="K1575" t="str">
        <x:v>END QUARTER 1</x:v>
      </x:c>
      <x:c r="L1575"/>
      <x:c r="M1575"/>
      <x:c r="N1575" t="n">
        <x:v>0</x:v>
      </x:c>
      <x:c r="O1575" t="n">
        <x:v>0</x:v>
      </x:c>
      <x:c r="P1575"/>
      <x:c r="Q1575"/>
      <x:c r="R1575"/>
      <x:c r="S1575"/>
      <x:c r="T1575"/>
      <x:c r="U1575"/>
      <x:c r="V1575"/>
      <x:c r="W1575"/>
      <x:c r="X1575"/>
      <x:c r="Y1575"/>
      <x:c r="Z1575"/>
      <x:c r="AA1575"/>
      <x:c r="AB1575"/>
      <x:c r="AC1575"/>
      <x:c r="AD1575" t="n">
        <x:v>0</x:v>
      </x:c>
      <x:c r="AE1575" t="n">
        <x:v>0</x:v>
      </x:c>
      <x:c r="AF1575" t="n">
        <x:v>0</x:v>
      </x:c>
      <x:c r="AG1575" t="n">
        <x:f>_xlfn.XLOOKUP($A1575,Games!$A$2:$A$18,Games!$B$2:$B$18,"Missing game",0)</x:f>
        <x:v>2025</x:v>
      </x:c>
      <x:c r="AH1575" t="str">
        <x:f>_xlfn.XLOOKUP($A1575,Games!$A$2:$A$18,Games!$C$2:$C$18,"Missing game",0)</x:f>
        <x:v>REG</x:v>
      </x:c>
      <x:c r="AI1575" t="n">
        <x:f>_xlfn.XLOOKUP($A1575,Games!$A$2:$A$18,Games!$D$2:$D$18,"Missing game",0)</x:f>
        <x:v>11</x:v>
      </x:c>
      <x:c r="AJ1575" s="1" t="n">
        <x:f>_xlfn.XLOOKUP($A1575,Games!$A$2:$A$18,Games!$E$2:$E$18,"Missing game",0)</x:f>
        <x:v>45977</x:v>
      </x:c>
      <x:c r="AK1575" t="str">
        <x:f>_xlfn.XLOOKUP($A1575,Games!$A$2:$A$18,Games!$F$2:$F$18,"Missing game",0)</x:f>
        <x:v>Sunday</x:v>
      </x:c>
      <x:c r="AL1575" t="str">
        <x:f>_xlfn.XLOOKUP($A1575,Games!$A$2:$A$18,Games!$G$2:$G$18,"Missing game",0)</x:f>
        <x:v>CHI</x:v>
      </x:c>
      <x:c r="AM1575" t="n">
        <x:f>_xlfn.XLOOKUP($A1575,Games!$A$2:$A$18,Games!$H$2:$H$18,"Missing game",0)</x:f>
        <x:v>19</x:v>
      </x:c>
      <x:c r="AN1575" t="str">
        <x:f>_xlfn.XLOOKUP($A1575,Games!$A$2:$A$18,Games!$I$2:$I$18,"Missing game",0)</x:f>
        <x:v>MIN</x:v>
      </x:c>
      <x:c r="AO1575" t="n">
        <x:f>_xlfn.XLOOKUP($A1575,Games!$A$2:$A$18,Games!$J$2:$J$18,"Missing game",0)</x:f>
        <x:v>17</x:v>
      </x:c>
      <x:c r="AP1575" t="n">
        <x:f>_xlfn.XLOOKUP($A1575,Games!$A$2:$A$18,Games!$K$2:$K$18,"Missing game",0)</x:f>
        <x:v>-2</x:v>
      </x:c>
      <x:c r="AQ1575" t="n">
        <x:f>_xlfn.XLOOKUP($A1575,Games!$A$2:$A$18,Games!$L$2:$L$18,"Missing game",0)</x:f>
        <x:v>36</x:v>
      </x:c>
      <x:c r="AR1575" t="n">
        <x:f>_xlfn.XLOOKUP($A1575,Games!$A$2:$A$18,Games!$M$2:$M$18,"Missing game",0)</x:f>
        <x:v>0</x:v>
      </x:c>
      <x:c r="AS1575" t="str">
        <x:f>_xlfn.XLOOKUP($A1575,Games!$A$2:$A$18,Games!$N$2:$N$18,"Missing game",0)</x:f>
        <x:v>dome</x:v>
      </x:c>
      <x:c r="AT1575" t="str">
        <x:f>_xlfn.XLOOKUP($A1575,Games!$A$2:$A$18,Games!$O$2:$O$18,"Missing game",0)</x:f>
        <x:v>sportturf</x:v>
      </x:c>
      <x:c r="AU1575" t="str">
        <x:f>_xlfn.XLOOKUP($A1575,Games!$A$2:$A$18,Games!$P$2:$P$18,"Missing game",0)</x:f>
      </x:c>
      <x:c r="AV1575" t="str">
        <x:f>_xlfn.XLOOKUP($A1575,Games!$A$2:$A$18,Games!$Q$2:$Q$18,"Missing game",0)</x:f>
      </x:c>
      <x:c r="AW1575" t="str">
        <x:f>_xlfn.XLOOKUP($A1575,Games!$A$2:$A$18,Games!$R$2:$R$18,"Missing game",0)</x:f>
        <x:v>U.S. Bank Stadium</x:v>
      </x:c>
    </x:row>
    <x:row r="1576">
      <x:c r="A1576" t="str">
        <x:v>2025_11_CHI_MIN</x:v>
      </x:c>
      <x:c r="B1576" t="n">
        <x:v>958</x:v>
      </x:c>
      <x:c r="C1576" t="n">
        <x:v>2</x:v>
      </x:c>
      <x:c r="D1576" t="str">
        <x:v>15:00</x:v>
      </x:c>
      <x:c r="E1576" t="n">
        <x:v>3</x:v>
      </x:c>
      <x:c r="F1576" t="n">
        <x:v>4</x:v>
      </x:c>
      <x:c r="G1576" t="str">
        <x:v>CHI</x:v>
      </x:c>
      <x:c r="H1576" t="str">
        <x:v>MIN</x:v>
      </x:c>
      <x:c r="I1576" t="str">
        <x:v>CHI</x:v>
      </x:c>
      <x:c r="J1576" t="n">
        <x:v>57</x:v>
      </x:c>
      <x:c r="K1576" t="str">
        <x:v>(15:00) (Shotgun) 18-C.Williams pass incomplete short left to 10-L.Burden (23-F.Moreau) [15-D.Turner].</x:v>
      </x:c>
      <x:c r="L1576" t="str">
        <x:v>pass</x:v>
      </x:c>
      <x:c r="M1576" t="n">
        <x:v>0</x:v>
      </x:c>
      <x:c r="N1576" t="n">
        <x:v>1</x:v>
      </x:c>
      <x:c r="O1576" t="n">
        <x:v>0</x:v>
      </x:c>
      <x:c r="P1576" t="str">
        <x:v>short</x:v>
      </x:c>
      <x:c r="Q1576" t="str">
        <x:v>left</x:v>
      </x:c>
      <x:c r="R1576" t="n">
        <x:v>9</x:v>
      </x:c>
      <x:c r="S1576"/>
      <x:c r="T1576"/>
      <x:c r="U1576"/>
      <x:c r="V1576" t="n">
        <x:v>0</x:v>
      </x:c>
      <x:c r="W1576" t="n">
        <x:v>0</x:v>
      </x:c>
      <x:c r="X1576" t="n">
        <x:v>0</x:v>
      </x:c>
      <x:c r="Y1576" t="n">
        <x:v>0</x:v>
      </x:c>
      <x:c r="Z1576" t="n">
        <x:v>0</x:v>
      </x:c>
      <x:c r="AA1576" t="n">
        <x:v>0</x:v>
      </x:c>
      <x:c r="AB1576"/>
      <x:c r="AC1576" t="n">
        <x:v>0</x:v>
      </x:c>
      <x:c r="AD1576" t="n">
        <x:v>-1.6917699626646936</x:v>
      </x:c>
      <x:c r="AE1576" t="n">
        <x:v>0</x:v>
      </x:c>
      <x:c r="AF1576" t="n">
        <x:v>-0.03715109825134277</x:v>
      </x:c>
      <x:c r="AG1576" t="n">
        <x:f>_xlfn.XLOOKUP($A1576,Games!$A$2:$A$18,Games!$B$2:$B$18,"Missing game",0)</x:f>
        <x:v>2025</x:v>
      </x:c>
      <x:c r="AH1576" t="str">
        <x:f>_xlfn.XLOOKUP($A1576,Games!$A$2:$A$18,Games!$C$2:$C$18,"Missing game",0)</x:f>
        <x:v>REG</x:v>
      </x:c>
      <x:c r="AI1576" t="n">
        <x:f>_xlfn.XLOOKUP($A1576,Games!$A$2:$A$18,Games!$D$2:$D$18,"Missing game",0)</x:f>
        <x:v>11</x:v>
      </x:c>
      <x:c r="AJ1576" s="1" t="n">
        <x:f>_xlfn.XLOOKUP($A1576,Games!$A$2:$A$18,Games!$E$2:$E$18,"Missing game",0)</x:f>
        <x:v>45977</x:v>
      </x:c>
      <x:c r="AK1576" t="str">
        <x:f>_xlfn.XLOOKUP($A1576,Games!$A$2:$A$18,Games!$F$2:$F$18,"Missing game",0)</x:f>
        <x:v>Sunday</x:v>
      </x:c>
      <x:c r="AL1576" t="str">
        <x:f>_xlfn.XLOOKUP($A1576,Games!$A$2:$A$18,Games!$G$2:$G$18,"Missing game",0)</x:f>
        <x:v>CHI</x:v>
      </x:c>
      <x:c r="AM1576" t="n">
        <x:f>_xlfn.XLOOKUP($A1576,Games!$A$2:$A$18,Games!$H$2:$H$18,"Missing game",0)</x:f>
        <x:v>19</x:v>
      </x:c>
      <x:c r="AN1576" t="str">
        <x:f>_xlfn.XLOOKUP($A1576,Games!$A$2:$A$18,Games!$I$2:$I$18,"Missing game",0)</x:f>
        <x:v>MIN</x:v>
      </x:c>
      <x:c r="AO1576" t="n">
        <x:f>_xlfn.XLOOKUP($A1576,Games!$A$2:$A$18,Games!$J$2:$J$18,"Missing game",0)</x:f>
        <x:v>17</x:v>
      </x:c>
      <x:c r="AP1576" t="n">
        <x:f>_xlfn.XLOOKUP($A1576,Games!$A$2:$A$18,Games!$K$2:$K$18,"Missing game",0)</x:f>
        <x:v>-2</x:v>
      </x:c>
      <x:c r="AQ1576" t="n">
        <x:f>_xlfn.XLOOKUP($A1576,Games!$A$2:$A$18,Games!$L$2:$L$18,"Missing game",0)</x:f>
        <x:v>36</x:v>
      </x:c>
      <x:c r="AR1576" t="n">
        <x:f>_xlfn.XLOOKUP($A1576,Games!$A$2:$A$18,Games!$M$2:$M$18,"Missing game",0)</x:f>
        <x:v>0</x:v>
      </x:c>
      <x:c r="AS1576" t="str">
        <x:f>_xlfn.XLOOKUP($A1576,Games!$A$2:$A$18,Games!$N$2:$N$18,"Missing game",0)</x:f>
        <x:v>dome</x:v>
      </x:c>
      <x:c r="AT1576" t="str">
        <x:f>_xlfn.XLOOKUP($A1576,Games!$A$2:$A$18,Games!$O$2:$O$18,"Missing game",0)</x:f>
        <x:v>sportturf</x:v>
      </x:c>
      <x:c r="AU1576" t="str">
        <x:f>_xlfn.XLOOKUP($A1576,Games!$A$2:$A$18,Games!$P$2:$P$18,"Missing game",0)</x:f>
      </x:c>
      <x:c r="AV1576" t="str">
        <x:f>_xlfn.XLOOKUP($A1576,Games!$A$2:$A$18,Games!$Q$2:$Q$18,"Missing game",0)</x:f>
      </x:c>
      <x:c r="AW1576" t="str">
        <x:f>_xlfn.XLOOKUP($A1576,Games!$A$2:$A$18,Games!$R$2:$R$18,"Missing game",0)</x:f>
        <x:v>U.S. Bank Stadium</x:v>
      </x:c>
    </x:row>
    <x:row r="1577">
      <x:c r="A1577" t="str">
        <x:v>2025_11_CHI_MIN</x:v>
      </x:c>
      <x:c r="B1577" t="n">
        <x:v>981</x:v>
      </x:c>
      <x:c r="C1577" t="n">
        <x:v>2</x:v>
      </x:c>
      <x:c r="D1577" t="str">
        <x:v>14:56</x:v>
      </x:c>
      <x:c r="E1577" t="n">
        <x:v>4</x:v>
      </x:c>
      <x:c r="F1577" t="n">
        <x:v>4</x:v>
      </x:c>
      <x:c r="G1577" t="str">
        <x:v>CHI</x:v>
      </x:c>
      <x:c r="H1577" t="str">
        <x:v>MIN</x:v>
      </x:c>
      <x:c r="I1577" t="str">
        <x:v>CHI</x:v>
      </x:c>
      <x:c r="J1577" t="n">
        <x:v>57</x:v>
      </x:c>
      <x:c r="K1577" t="str">
        <x:v>(14:56) 19-T.Taylor punts 45 yards to MIN 12, Center-46-S.Daly, fair catch by 4-M.Price. PENALTY on CHI-39-J.Blackwell, Fair Catch Interference, 15 yards, enforced at MIN 12.</x:v>
      </x:c>
      <x:c r="L1577" t="str">
        <x:v>punt</x:v>
      </x:c>
      <x:c r="M1577" t="n">
        <x:v>0</x:v>
      </x:c>
      <x:c r="N1577" t="n">
        <x:v>0</x:v>
      </x:c>
      <x:c r="O1577" t="n">
        <x:v>0</x:v>
      </x:c>
      <x:c r="P1577"/>
      <x:c r="Q1577"/>
      <x:c r="R1577"/>
      <x:c r="S1577"/>
      <x:c r="T1577"/>
      <x:c r="U1577"/>
      <x:c r="V1577" t="n">
        <x:v>0</x:v>
      </x:c>
      <x:c r="W1577" t="n">
        <x:v>0</x:v>
      </x:c>
      <x:c r="X1577" t="n">
        <x:v>0</x:v>
      </x:c>
      <x:c r="Y1577" t="n">
        <x:v>0</x:v>
      </x:c>
      <x:c r="Z1577" t="n">
        <x:v>0</x:v>
      </x:c>
      <x:c r="AA1577" t="n">
        <x:v>1</x:v>
      </x:c>
      <x:c r="AB1577" t="n">
        <x:v>15</x:v>
      </x:c>
      <x:c r="AC1577" t="n">
        <x:v>0</x:v>
      </x:c>
      <x:c r="AD1577" t="n">
        <x:v>-1.0439309407956898</x:v>
      </x:c>
      <x:c r="AE1577" t="n">
        <x:v>0</x:v>
      </x:c>
      <x:c r="AF1577" t="n">
        <x:v>-0.007364839315414429</x:v>
      </x:c>
      <x:c r="AG1577" t="n">
        <x:f>_xlfn.XLOOKUP($A1577,Games!$A$2:$A$18,Games!$B$2:$B$18,"Missing game",0)</x:f>
        <x:v>2025</x:v>
      </x:c>
      <x:c r="AH1577" t="str">
        <x:f>_xlfn.XLOOKUP($A1577,Games!$A$2:$A$18,Games!$C$2:$C$18,"Missing game",0)</x:f>
        <x:v>REG</x:v>
      </x:c>
      <x:c r="AI1577" t="n">
        <x:f>_xlfn.XLOOKUP($A1577,Games!$A$2:$A$18,Games!$D$2:$D$18,"Missing game",0)</x:f>
        <x:v>11</x:v>
      </x:c>
      <x:c r="AJ1577" s="1" t="n">
        <x:f>_xlfn.XLOOKUP($A1577,Games!$A$2:$A$18,Games!$E$2:$E$18,"Missing game",0)</x:f>
        <x:v>45977</x:v>
      </x:c>
      <x:c r="AK1577" t="str">
        <x:f>_xlfn.XLOOKUP($A1577,Games!$A$2:$A$18,Games!$F$2:$F$18,"Missing game",0)</x:f>
        <x:v>Sunday</x:v>
      </x:c>
      <x:c r="AL1577" t="str">
        <x:f>_xlfn.XLOOKUP($A1577,Games!$A$2:$A$18,Games!$G$2:$G$18,"Missing game",0)</x:f>
        <x:v>CHI</x:v>
      </x:c>
      <x:c r="AM1577" t="n">
        <x:f>_xlfn.XLOOKUP($A1577,Games!$A$2:$A$18,Games!$H$2:$H$18,"Missing game",0)</x:f>
        <x:v>19</x:v>
      </x:c>
      <x:c r="AN1577" t="str">
        <x:f>_xlfn.XLOOKUP($A1577,Games!$A$2:$A$18,Games!$I$2:$I$18,"Missing game",0)</x:f>
        <x:v>MIN</x:v>
      </x:c>
      <x:c r="AO1577" t="n">
        <x:f>_xlfn.XLOOKUP($A1577,Games!$A$2:$A$18,Games!$J$2:$J$18,"Missing game",0)</x:f>
        <x:v>17</x:v>
      </x:c>
      <x:c r="AP1577" t="n">
        <x:f>_xlfn.XLOOKUP($A1577,Games!$A$2:$A$18,Games!$K$2:$K$18,"Missing game",0)</x:f>
        <x:v>-2</x:v>
      </x:c>
      <x:c r="AQ1577" t="n">
        <x:f>_xlfn.XLOOKUP($A1577,Games!$A$2:$A$18,Games!$L$2:$L$18,"Missing game",0)</x:f>
        <x:v>36</x:v>
      </x:c>
      <x:c r="AR1577" t="n">
        <x:f>_xlfn.XLOOKUP($A1577,Games!$A$2:$A$18,Games!$M$2:$M$18,"Missing game",0)</x:f>
        <x:v>0</x:v>
      </x:c>
      <x:c r="AS1577" t="str">
        <x:f>_xlfn.XLOOKUP($A1577,Games!$A$2:$A$18,Games!$N$2:$N$18,"Missing game",0)</x:f>
        <x:v>dome</x:v>
      </x:c>
      <x:c r="AT1577" t="str">
        <x:f>_xlfn.XLOOKUP($A1577,Games!$A$2:$A$18,Games!$O$2:$O$18,"Missing game",0)</x:f>
        <x:v>sportturf</x:v>
      </x:c>
      <x:c r="AU1577" t="str">
        <x:f>_xlfn.XLOOKUP($A1577,Games!$A$2:$A$18,Games!$P$2:$P$18,"Missing game",0)</x:f>
      </x:c>
      <x:c r="AV1577" t="str">
        <x:f>_xlfn.XLOOKUP($A1577,Games!$A$2:$A$18,Games!$Q$2:$Q$18,"Missing game",0)</x:f>
      </x:c>
      <x:c r="AW1577" t="str">
        <x:f>_xlfn.XLOOKUP($A1577,Games!$A$2:$A$18,Games!$R$2:$R$18,"Missing game",0)</x:f>
        <x:v>U.S. Bank Stadium</x:v>
      </x:c>
    </x:row>
    <x:row r="1578">
      <x:c r="A1578" t="str">
        <x:v>2025_11_CHI_MIN</x:v>
      </x:c>
      <x:c r="B1578" t="n">
        <x:v>1012</x:v>
      </x:c>
      <x:c r="C1578" t="n">
        <x:v>2</x:v>
      </x:c>
      <x:c r="D1578" t="str">
        <x:v>14:48</x:v>
      </x:c>
      <x:c r="E1578" t="n">
        <x:v>1</x:v>
      </x:c>
      <x:c r="F1578" t="n">
        <x:v>10</x:v>
      </x:c>
      <x:c r="G1578" t="str">
        <x:v>MIN</x:v>
      </x:c>
      <x:c r="H1578" t="str">
        <x:v>CHI</x:v>
      </x:c>
      <x:c r="I1578" t="str">
        <x:v>MIN</x:v>
      </x:c>
      <x:c r="J1578" t="n">
        <x:v>73</x:v>
      </x:c>
      <x:c r="K1578" t="str">
        <x:v>(14:48) (Shotgun) 9-J.McCarthy pass short right to 33-A.Jones pushed ob at MIN 28 for 1 yard (49-T.Edmunds).</x:v>
      </x:c>
      <x:c r="L1578" t="str">
        <x:v>pass</x:v>
      </x:c>
      <x:c r="M1578" t="n">
        <x:v>1</x:v>
      </x:c>
      <x:c r="N1578" t="n">
        <x:v>1</x:v>
      </x:c>
      <x:c r="O1578" t="n">
        <x:v>0</x:v>
      </x:c>
      <x:c r="P1578" t="str">
        <x:v>short</x:v>
      </x:c>
      <x:c r="Q1578" t="str">
        <x:v>right</x:v>
      </x:c>
      <x:c r="R1578" t="n">
        <x:v>-7</x:v>
      </x:c>
      <x:c r="S1578" t="n">
        <x:v>8</x:v>
      </x:c>
      <x:c r="T1578"/>
      <x:c r="U1578"/>
      <x:c r="V1578" t="n">
        <x:v>1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0</x:v>
      </x:c>
      <x:c r="AB1578"/>
      <x:c r="AC1578" t="n">
        <x:v>0</x:v>
      </x:c>
      <x:c r="AD1578" t="n">
        <x:v>-0.6091979765333235</x:v>
      </x:c>
      <x:c r="AE1578" t="n">
        <x:v>0</x:v>
      </x:c>
      <x:c r="AF1578" t="n">
        <x:v>-0.010617375373840332</x:v>
      </x:c>
      <x:c r="AG1578" t="n">
        <x:f>_xlfn.XLOOKUP($A1578,Games!$A$2:$A$18,Games!$B$2:$B$18,"Missing game",0)</x:f>
        <x:v>2025</x:v>
      </x:c>
      <x:c r="AH1578" t="str">
        <x:f>_xlfn.XLOOKUP($A1578,Games!$A$2:$A$18,Games!$C$2:$C$18,"Missing game",0)</x:f>
        <x:v>REG</x:v>
      </x:c>
      <x:c r="AI1578" t="n">
        <x:f>_xlfn.XLOOKUP($A1578,Games!$A$2:$A$18,Games!$D$2:$D$18,"Missing game",0)</x:f>
        <x:v>11</x:v>
      </x:c>
      <x:c r="AJ1578" s="1" t="n">
        <x:f>_xlfn.XLOOKUP($A1578,Games!$A$2:$A$18,Games!$E$2:$E$18,"Missing game",0)</x:f>
        <x:v>45977</x:v>
      </x:c>
      <x:c r="AK1578" t="str">
        <x:f>_xlfn.XLOOKUP($A1578,Games!$A$2:$A$18,Games!$F$2:$F$18,"Missing game",0)</x:f>
        <x:v>Sunday</x:v>
      </x:c>
      <x:c r="AL1578" t="str">
        <x:f>_xlfn.XLOOKUP($A1578,Games!$A$2:$A$18,Games!$G$2:$G$18,"Missing game",0)</x:f>
        <x:v>CHI</x:v>
      </x:c>
      <x:c r="AM1578" t="n">
        <x:f>_xlfn.XLOOKUP($A1578,Games!$A$2:$A$18,Games!$H$2:$H$18,"Missing game",0)</x:f>
        <x:v>19</x:v>
      </x:c>
      <x:c r="AN1578" t="str">
        <x:f>_xlfn.XLOOKUP($A1578,Games!$A$2:$A$18,Games!$I$2:$I$18,"Missing game",0)</x:f>
        <x:v>MIN</x:v>
      </x:c>
      <x:c r="AO1578" t="n">
        <x:f>_xlfn.XLOOKUP($A1578,Games!$A$2:$A$18,Games!$J$2:$J$18,"Missing game",0)</x:f>
        <x:v>17</x:v>
      </x:c>
      <x:c r="AP1578" t="n">
        <x:f>_xlfn.XLOOKUP($A1578,Games!$A$2:$A$18,Games!$K$2:$K$18,"Missing game",0)</x:f>
        <x:v>-2</x:v>
      </x:c>
      <x:c r="AQ1578" t="n">
        <x:f>_xlfn.XLOOKUP($A1578,Games!$A$2:$A$18,Games!$L$2:$L$18,"Missing game",0)</x:f>
        <x:v>36</x:v>
      </x:c>
      <x:c r="AR1578" t="n">
        <x:f>_xlfn.XLOOKUP($A1578,Games!$A$2:$A$18,Games!$M$2:$M$18,"Missing game",0)</x:f>
        <x:v>0</x:v>
      </x:c>
      <x:c r="AS1578" t="str">
        <x:f>_xlfn.XLOOKUP($A1578,Games!$A$2:$A$18,Games!$N$2:$N$18,"Missing game",0)</x:f>
        <x:v>dome</x:v>
      </x:c>
      <x:c r="AT1578" t="str">
        <x:f>_xlfn.XLOOKUP($A1578,Games!$A$2:$A$18,Games!$O$2:$O$18,"Missing game",0)</x:f>
        <x:v>sportturf</x:v>
      </x:c>
      <x:c r="AU1578" t="str">
        <x:f>_xlfn.XLOOKUP($A1578,Games!$A$2:$A$18,Games!$P$2:$P$18,"Missing game",0)</x:f>
      </x:c>
      <x:c r="AV1578" t="str">
        <x:f>_xlfn.XLOOKUP($A1578,Games!$A$2:$A$18,Games!$Q$2:$Q$18,"Missing game",0)</x:f>
      </x:c>
      <x:c r="AW1578" t="str">
        <x:f>_xlfn.XLOOKUP($A1578,Games!$A$2:$A$18,Games!$R$2:$R$18,"Missing game",0)</x:f>
        <x:v>U.S. Bank Stadium</x:v>
      </x:c>
    </x:row>
    <x:row r="1579">
      <x:c r="A1579" t="str">
        <x:v>2025_11_CHI_MIN</x:v>
      </x:c>
      <x:c r="B1579" t="n">
        <x:v>1042</x:v>
      </x:c>
      <x:c r="C1579" t="n">
        <x:v>2</x:v>
      </x:c>
      <x:c r="D1579" t="str">
        <x:v>14:14</x:v>
      </x:c>
      <x:c r="E1579" t="n">
        <x:v>2</x:v>
      </x:c>
      <x:c r="F1579" t="n">
        <x:v>9</x:v>
      </x:c>
      <x:c r="G1579" t="str">
        <x:v>MIN</x:v>
      </x:c>
      <x:c r="H1579" t="str">
        <x:v>CHI</x:v>
      </x:c>
      <x:c r="I1579" t="str">
        <x:v>MIN</x:v>
      </x:c>
      <x:c r="J1579" t="n">
        <x:v>72</x:v>
      </x:c>
      <x:c r="K1579" t="str">
        <x:v>(14:14) (Shotgun) 27-J.Mason right end to MIN 33 for 5 yards (31-K.Byard; 49-T.Edmunds).</x:v>
      </x:c>
      <x:c r="L1579" t="str">
        <x:v>run</x:v>
      </x:c>
      <x:c r="M1579" t="n">
        <x:v>5</x:v>
      </x:c>
      <x:c r="N1579" t="n">
        <x:v>1</x:v>
      </x:c>
      <x:c r="O1579" t="n">
        <x:v>0</x:v>
      </x:c>
      <x:c r="P1579"/>
      <x:c r="Q1579"/>
      <x:c r="R1579"/>
      <x:c r="S1579"/>
      <x:c r="T1579" t="str">
        <x:v>right</x:v>
      </x:c>
      <x:c r="U1579" t="str">
        <x:v>end</x:v>
      </x:c>
      <x:c r="V1579" t="n">
        <x:v>0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0</x:v>
      </x:c>
      <x:c r="AB1579"/>
      <x:c r="AC1579" t="n">
        <x:v>0</x:v>
      </x:c>
      <x:c r="AD1579" t="n">
        <x:v>-0.018405063077807426</x:v>
      </x:c>
      <x:c r="AE1579" t="n">
        <x:v>0</x:v>
      </x:c>
      <x:c r="AF1579" t="n">
        <x:v>0.011069774627685547</x:v>
      </x:c>
      <x:c r="AG1579" t="n">
        <x:f>_xlfn.XLOOKUP($A1579,Games!$A$2:$A$18,Games!$B$2:$B$18,"Missing game",0)</x:f>
        <x:v>2025</x:v>
      </x:c>
      <x:c r="AH1579" t="str">
        <x:f>_xlfn.XLOOKUP($A1579,Games!$A$2:$A$18,Games!$C$2:$C$18,"Missing game",0)</x:f>
        <x:v>REG</x:v>
      </x:c>
      <x:c r="AI1579" t="n">
        <x:f>_xlfn.XLOOKUP($A1579,Games!$A$2:$A$18,Games!$D$2:$D$18,"Missing game",0)</x:f>
        <x:v>11</x:v>
      </x:c>
      <x:c r="AJ1579" s="1" t="n">
        <x:f>_xlfn.XLOOKUP($A1579,Games!$A$2:$A$18,Games!$E$2:$E$18,"Missing game",0)</x:f>
        <x:v>45977</x:v>
      </x:c>
      <x:c r="AK1579" t="str">
        <x:f>_xlfn.XLOOKUP($A1579,Games!$A$2:$A$18,Games!$F$2:$F$18,"Missing game",0)</x:f>
        <x:v>Sunday</x:v>
      </x:c>
      <x:c r="AL1579" t="str">
        <x:f>_xlfn.XLOOKUP($A1579,Games!$A$2:$A$18,Games!$G$2:$G$18,"Missing game",0)</x:f>
        <x:v>CHI</x:v>
      </x:c>
      <x:c r="AM1579" t="n">
        <x:f>_xlfn.XLOOKUP($A1579,Games!$A$2:$A$18,Games!$H$2:$H$18,"Missing game",0)</x:f>
        <x:v>19</x:v>
      </x:c>
      <x:c r="AN1579" t="str">
        <x:f>_xlfn.XLOOKUP($A1579,Games!$A$2:$A$18,Games!$I$2:$I$18,"Missing game",0)</x:f>
        <x:v>MIN</x:v>
      </x:c>
      <x:c r="AO1579" t="n">
        <x:f>_xlfn.XLOOKUP($A1579,Games!$A$2:$A$18,Games!$J$2:$J$18,"Missing game",0)</x:f>
        <x:v>17</x:v>
      </x:c>
      <x:c r="AP1579" t="n">
        <x:f>_xlfn.XLOOKUP($A1579,Games!$A$2:$A$18,Games!$K$2:$K$18,"Missing game",0)</x:f>
        <x:v>-2</x:v>
      </x:c>
      <x:c r="AQ1579" t="n">
        <x:f>_xlfn.XLOOKUP($A1579,Games!$A$2:$A$18,Games!$L$2:$L$18,"Missing game",0)</x:f>
        <x:v>36</x:v>
      </x:c>
      <x:c r="AR1579" t="n">
        <x:f>_xlfn.XLOOKUP($A1579,Games!$A$2:$A$18,Games!$M$2:$M$18,"Missing game",0)</x:f>
        <x:v>0</x:v>
      </x:c>
      <x:c r="AS1579" t="str">
        <x:f>_xlfn.XLOOKUP($A1579,Games!$A$2:$A$18,Games!$N$2:$N$18,"Missing game",0)</x:f>
        <x:v>dome</x:v>
      </x:c>
      <x:c r="AT1579" t="str">
        <x:f>_xlfn.XLOOKUP($A1579,Games!$A$2:$A$18,Games!$O$2:$O$18,"Missing game",0)</x:f>
        <x:v>sportturf</x:v>
      </x:c>
      <x:c r="AU1579" t="str">
        <x:f>_xlfn.XLOOKUP($A1579,Games!$A$2:$A$18,Games!$P$2:$P$18,"Missing game",0)</x:f>
      </x:c>
      <x:c r="AV1579" t="str">
        <x:f>_xlfn.XLOOKUP($A1579,Games!$A$2:$A$18,Games!$Q$2:$Q$18,"Missing game",0)</x:f>
      </x:c>
      <x:c r="AW1579" t="str">
        <x:f>_xlfn.XLOOKUP($A1579,Games!$A$2:$A$18,Games!$R$2:$R$18,"Missing game",0)</x:f>
        <x:v>U.S. Bank Stadium</x:v>
      </x:c>
    </x:row>
    <x:row r="1580">
      <x:c r="A1580" t="str">
        <x:v>2025_11_CHI_MIN</x:v>
      </x:c>
      <x:c r="B1580" t="n">
        <x:v>1064</x:v>
      </x:c>
      <x:c r="C1580" t="n">
        <x:v>2</x:v>
      </x:c>
      <x:c r="D1580" t="str">
        <x:v>13:31</x:v>
      </x:c>
      <x:c r="E1580" t="n">
        <x:v>3</x:v>
      </x:c>
      <x:c r="F1580" t="n">
        <x:v>4</x:v>
      </x:c>
      <x:c r="G1580" t="str">
        <x:v>MIN</x:v>
      </x:c>
      <x:c r="H1580" t="str">
        <x:v>CHI</x:v>
      </x:c>
      <x:c r="I1580" t="str">
        <x:v>MIN</x:v>
      </x:c>
      <x:c r="J1580" t="n">
        <x:v>67</x:v>
      </x:c>
      <x:c r="K1580" t="str">
        <x:v>(13:31) (Shotgun) 9-J.McCarthy pass incomplete short right to 33-A.Jones (49-T.Edmunds).</x:v>
      </x:c>
      <x:c r="L1580" t="str">
        <x:v>pass</x:v>
      </x:c>
      <x:c r="M1580" t="n">
        <x:v>0</x:v>
      </x:c>
      <x:c r="N1580" t="n">
        <x:v>1</x:v>
      </x:c>
      <x:c r="O1580" t="n">
        <x:v>0</x:v>
      </x:c>
      <x:c r="P1580" t="str">
        <x:v>short</x:v>
      </x:c>
      <x:c r="Q1580" t="str">
        <x:v>right</x:v>
      </x:c>
      <x:c r="R1580" t="n">
        <x:v>3</x:v>
      </x:c>
      <x:c r="S1580"/>
      <x:c r="T1580"/>
      <x:c r="U1580"/>
      <x:c r="V1580" t="n">
        <x:v>0</x:v>
      </x:c>
      <x:c r="W1580" t="n">
        <x:v>0</x:v>
      </x:c>
      <x:c r="X1580" t="n">
        <x:v>0</x:v>
      </x:c>
      <x:c r="Y1580" t="n">
        <x:v>0</x:v>
      </x:c>
      <x:c r="Z1580" t="n">
        <x:v>0</x:v>
      </x:c>
      <x:c r="AA1580" t="n">
        <x:v>0</x:v>
      </x:c>
      <x:c r="AB1580"/>
      <x:c r="AC1580" t="n">
        <x:v>0</x:v>
      </x:c>
      <x:c r="AD1580" t="n">
        <x:v>-1.6235530977137387</x:v>
      </x:c>
      <x:c r="AE1580" t="n">
        <x:v>0</x:v>
      </x:c>
      <x:c r="AF1580" t="n">
        <x:v>-0.04064387083053589</x:v>
      </x:c>
      <x:c r="AG1580" t="n">
        <x:f>_xlfn.XLOOKUP($A1580,Games!$A$2:$A$18,Games!$B$2:$B$18,"Missing game",0)</x:f>
        <x:v>2025</x:v>
      </x:c>
      <x:c r="AH1580" t="str">
        <x:f>_xlfn.XLOOKUP($A1580,Games!$A$2:$A$18,Games!$C$2:$C$18,"Missing game",0)</x:f>
        <x:v>REG</x:v>
      </x:c>
      <x:c r="AI1580" t="n">
        <x:f>_xlfn.XLOOKUP($A1580,Games!$A$2:$A$18,Games!$D$2:$D$18,"Missing game",0)</x:f>
        <x:v>11</x:v>
      </x:c>
      <x:c r="AJ1580" s="1" t="n">
        <x:f>_xlfn.XLOOKUP($A1580,Games!$A$2:$A$18,Games!$E$2:$E$18,"Missing game",0)</x:f>
        <x:v>45977</x:v>
      </x:c>
      <x:c r="AK1580" t="str">
        <x:f>_xlfn.XLOOKUP($A1580,Games!$A$2:$A$18,Games!$F$2:$F$18,"Missing game",0)</x:f>
        <x:v>Sunday</x:v>
      </x:c>
      <x:c r="AL1580" t="str">
        <x:f>_xlfn.XLOOKUP($A1580,Games!$A$2:$A$18,Games!$G$2:$G$18,"Missing game",0)</x:f>
        <x:v>CHI</x:v>
      </x:c>
      <x:c r="AM1580" t="n">
        <x:f>_xlfn.XLOOKUP($A1580,Games!$A$2:$A$18,Games!$H$2:$H$18,"Missing game",0)</x:f>
        <x:v>19</x:v>
      </x:c>
      <x:c r="AN1580" t="str">
        <x:f>_xlfn.XLOOKUP($A1580,Games!$A$2:$A$18,Games!$I$2:$I$18,"Missing game",0)</x:f>
        <x:v>MIN</x:v>
      </x:c>
      <x:c r="AO1580" t="n">
        <x:f>_xlfn.XLOOKUP($A1580,Games!$A$2:$A$18,Games!$J$2:$J$18,"Missing game",0)</x:f>
        <x:v>17</x:v>
      </x:c>
      <x:c r="AP1580" t="n">
        <x:f>_xlfn.XLOOKUP($A1580,Games!$A$2:$A$18,Games!$K$2:$K$18,"Missing game",0)</x:f>
        <x:v>-2</x:v>
      </x:c>
      <x:c r="AQ1580" t="n">
        <x:f>_xlfn.XLOOKUP($A1580,Games!$A$2:$A$18,Games!$L$2:$L$18,"Missing game",0)</x:f>
        <x:v>36</x:v>
      </x:c>
      <x:c r="AR1580" t="n">
        <x:f>_xlfn.XLOOKUP($A1580,Games!$A$2:$A$18,Games!$M$2:$M$18,"Missing game",0)</x:f>
        <x:v>0</x:v>
      </x:c>
      <x:c r="AS1580" t="str">
        <x:f>_xlfn.XLOOKUP($A1580,Games!$A$2:$A$18,Games!$N$2:$N$18,"Missing game",0)</x:f>
        <x:v>dome</x:v>
      </x:c>
      <x:c r="AT1580" t="str">
        <x:f>_xlfn.XLOOKUP($A1580,Games!$A$2:$A$18,Games!$O$2:$O$18,"Missing game",0)</x:f>
        <x:v>sportturf</x:v>
      </x:c>
      <x:c r="AU1580" t="str">
        <x:f>_xlfn.XLOOKUP($A1580,Games!$A$2:$A$18,Games!$P$2:$P$18,"Missing game",0)</x:f>
      </x:c>
      <x:c r="AV1580" t="str">
        <x:f>_xlfn.XLOOKUP($A1580,Games!$A$2:$A$18,Games!$Q$2:$Q$18,"Missing game",0)</x:f>
      </x:c>
      <x:c r="AW1580" t="str">
        <x:f>_xlfn.XLOOKUP($A1580,Games!$A$2:$A$18,Games!$R$2:$R$18,"Missing game",0)</x:f>
        <x:v>U.S. Bank Stadium</x:v>
      </x:c>
    </x:row>
    <x:row r="1581">
      <x:c r="A1581" t="str">
        <x:v>2025_11_CHI_MIN</x:v>
      </x:c>
      <x:c r="B1581" t="n">
        <x:v>1087</x:v>
      </x:c>
      <x:c r="C1581" t="n">
        <x:v>2</x:v>
      </x:c>
      <x:c r="D1581" t="str">
        <x:v>13:27</x:v>
      </x:c>
      <x:c r="E1581" t="n">
        <x:v>4</x:v>
      </x:c>
      <x:c r="F1581" t="n">
        <x:v>4</x:v>
      </x:c>
      <x:c r="G1581" t="str">
        <x:v>MIN</x:v>
      </x:c>
      <x:c r="H1581" t="str">
        <x:v>CHI</x:v>
      </x:c>
      <x:c r="I1581" t="str">
        <x:v>MIN</x:v>
      </x:c>
      <x:c r="J1581" t="n">
        <x:v>67</x:v>
      </x:c>
      <x:c r="K1581" t="str">
        <x:v>(13:27) 17-R.Wright punts 41 yards to CHI 26, Center-42-A.DePaola, fair catch by 12-D.Duvernay.</x:v>
      </x:c>
      <x:c r="L1581" t="str">
        <x:v>punt</x:v>
      </x:c>
      <x:c r="M1581" t="n">
        <x:v>0</x:v>
      </x:c>
      <x:c r="N1581" t="n">
        <x:v>0</x:v>
      </x:c>
      <x:c r="O1581" t="n">
        <x:v>0</x:v>
      </x:c>
      <x:c r="P1581"/>
      <x:c r="Q1581"/>
      <x:c r="R1581"/>
      <x:c r="S1581"/>
      <x:c r="T1581"/>
      <x:c r="U1581"/>
      <x:c r="V1581" t="n">
        <x:v>0</x:v>
      </x:c>
      <x:c r="W1581" t="n">
        <x:v>0</x:v>
      </x:c>
      <x:c r="X1581" t="n">
        <x:v>0</x:v>
      </x:c>
      <x:c r="Y1581" t="n">
        <x:v>0</x:v>
      </x:c>
      <x:c r="Z1581" t="n">
        <x:v>0</x:v>
      </x:c>
      <x:c r="AA1581" t="n">
        <x:v>0</x:v>
      </x:c>
      <x:c r="AB1581"/>
      <x:c r="AC1581" t="n">
        <x:v>0</x:v>
      </x:c>
      <x:c r="AD1581" t="n">
        <x:v>-0.5230187736451626</x:v>
      </x:c>
      <x:c r="AE1581" t="n">
        <x:v>0</x:v>
      </x:c>
      <x:c r="AF1581" t="n">
        <x:v>-0.006569981575012207</x:v>
      </x:c>
      <x:c r="AG1581" t="n">
        <x:f>_xlfn.XLOOKUP($A1581,Games!$A$2:$A$18,Games!$B$2:$B$18,"Missing game",0)</x:f>
        <x:v>2025</x:v>
      </x:c>
      <x:c r="AH1581" t="str">
        <x:f>_xlfn.XLOOKUP($A1581,Games!$A$2:$A$18,Games!$C$2:$C$18,"Missing game",0)</x:f>
        <x:v>REG</x:v>
      </x:c>
      <x:c r="AI1581" t="n">
        <x:f>_xlfn.XLOOKUP($A1581,Games!$A$2:$A$18,Games!$D$2:$D$18,"Missing game",0)</x:f>
        <x:v>11</x:v>
      </x:c>
      <x:c r="AJ1581" s="1" t="n">
        <x:f>_xlfn.XLOOKUP($A1581,Games!$A$2:$A$18,Games!$E$2:$E$18,"Missing game",0)</x:f>
        <x:v>45977</x:v>
      </x:c>
      <x:c r="AK1581" t="str">
        <x:f>_xlfn.XLOOKUP($A1581,Games!$A$2:$A$18,Games!$F$2:$F$18,"Missing game",0)</x:f>
        <x:v>Sunday</x:v>
      </x:c>
      <x:c r="AL1581" t="str">
        <x:f>_xlfn.XLOOKUP($A1581,Games!$A$2:$A$18,Games!$G$2:$G$18,"Missing game",0)</x:f>
        <x:v>CHI</x:v>
      </x:c>
      <x:c r="AM1581" t="n">
        <x:f>_xlfn.XLOOKUP($A1581,Games!$A$2:$A$18,Games!$H$2:$H$18,"Missing game",0)</x:f>
        <x:v>19</x:v>
      </x:c>
      <x:c r="AN1581" t="str">
        <x:f>_xlfn.XLOOKUP($A1581,Games!$A$2:$A$18,Games!$I$2:$I$18,"Missing game",0)</x:f>
        <x:v>MIN</x:v>
      </x:c>
      <x:c r="AO1581" t="n">
        <x:f>_xlfn.XLOOKUP($A1581,Games!$A$2:$A$18,Games!$J$2:$J$18,"Missing game",0)</x:f>
        <x:v>17</x:v>
      </x:c>
      <x:c r="AP1581" t="n">
        <x:f>_xlfn.XLOOKUP($A1581,Games!$A$2:$A$18,Games!$K$2:$K$18,"Missing game",0)</x:f>
        <x:v>-2</x:v>
      </x:c>
      <x:c r="AQ1581" t="n">
        <x:f>_xlfn.XLOOKUP($A1581,Games!$A$2:$A$18,Games!$L$2:$L$18,"Missing game",0)</x:f>
        <x:v>36</x:v>
      </x:c>
      <x:c r="AR1581" t="n">
        <x:f>_xlfn.XLOOKUP($A1581,Games!$A$2:$A$18,Games!$M$2:$M$18,"Missing game",0)</x:f>
        <x:v>0</x:v>
      </x:c>
      <x:c r="AS1581" t="str">
        <x:f>_xlfn.XLOOKUP($A1581,Games!$A$2:$A$18,Games!$N$2:$N$18,"Missing game",0)</x:f>
        <x:v>dome</x:v>
      </x:c>
      <x:c r="AT1581" t="str">
        <x:f>_xlfn.XLOOKUP($A1581,Games!$A$2:$A$18,Games!$O$2:$O$18,"Missing game",0)</x:f>
        <x:v>sportturf</x:v>
      </x:c>
      <x:c r="AU1581" t="str">
        <x:f>_xlfn.XLOOKUP($A1581,Games!$A$2:$A$18,Games!$P$2:$P$18,"Missing game",0)</x:f>
      </x:c>
      <x:c r="AV1581" t="str">
        <x:f>_xlfn.XLOOKUP($A1581,Games!$A$2:$A$18,Games!$Q$2:$Q$18,"Missing game",0)</x:f>
      </x:c>
      <x:c r="AW1581" t="str">
        <x:f>_xlfn.XLOOKUP($A1581,Games!$A$2:$A$18,Games!$R$2:$R$18,"Missing game",0)</x:f>
        <x:v>U.S. Bank Stadium</x:v>
      </x:c>
    </x:row>
    <x:row r="1582">
      <x:c r="A1582" t="str">
        <x:v>2025_11_CHI_MIN</x:v>
      </x:c>
      <x:c r="B1582" t="n">
        <x:v>1107</x:v>
      </x:c>
      <x:c r="C1582" t="n">
        <x:v>2</x:v>
      </x:c>
      <x:c r="D1582" t="str">
        <x:v>13:20</x:v>
      </x:c>
      <x:c r="E1582" t="n">
        <x:v>1</x:v>
      </x:c>
      <x:c r="F1582" t="n">
        <x:v>10</x:v>
      </x:c>
      <x:c r="G1582" t="str">
        <x:v>CHI</x:v>
      </x:c>
      <x:c r="H1582" t="str">
        <x:v>MIN</x:v>
      </x:c>
      <x:c r="I1582" t="str">
        <x:v>CHI</x:v>
      </x:c>
      <x:c r="J1582" t="n">
        <x:v>74</x:v>
      </x:c>
      <x:c r="K1582" t="str">
        <x:v>(13:20) 75-O.Trapilo reported in as eligible. 18-C.Williams scrambles right end ran ob at CHI 33 for 7 yards (0-I.Pace; 61-J.Redmond).</x:v>
      </x:c>
      <x:c r="L1582" t="str">
        <x:v>run</x:v>
      </x:c>
      <x:c r="M1582" t="n">
        <x:v>7</x:v>
      </x:c>
      <x:c r="N1582" t="n">
        <x:v>0</x:v>
      </x:c>
      <x:c r="O1582" t="n">
        <x:v>0</x:v>
      </x:c>
      <x:c r="P1582"/>
      <x:c r="Q1582"/>
      <x:c r="R1582"/>
      <x:c r="S1582"/>
      <x:c r="T1582" t="str">
        <x:v>right</x:v>
      </x:c>
      <x:c r="U1582" t="str">
        <x:v>end</x:v>
      </x:c>
      <x:c r="V1582" t="n">
        <x:v>0</x:v>
      </x:c>
      <x:c r="W1582" t="n">
        <x:v>0</x:v>
      </x:c>
      <x:c r="X1582" t="n">
        <x:v>0</x:v>
      </x:c>
      <x:c r="Y1582" t="n">
        <x:v>0</x:v>
      </x:c>
      <x:c r="Z1582" t="n">
        <x:v>0</x:v>
      </x:c>
      <x:c r="AA1582" t="n">
        <x:v>0</x:v>
      </x:c>
      <x:c r="AB1582"/>
      <x:c r="AC1582" t="n">
        <x:v>0</x:v>
      </x:c>
      <x:c r="AD1582" t="n">
        <x:v>0.2920888843946159</x:v>
      </x:c>
      <x:c r="AE1582" t="n">
        <x:v>1</x:v>
      </x:c>
      <x:c r="AF1582" t="n">
        <x:v>0.004969894886016846</x:v>
      </x:c>
      <x:c r="AG1582" t="n">
        <x:f>_xlfn.XLOOKUP($A1582,Games!$A$2:$A$18,Games!$B$2:$B$18,"Missing game",0)</x:f>
        <x:v>2025</x:v>
      </x:c>
      <x:c r="AH1582" t="str">
        <x:f>_xlfn.XLOOKUP($A1582,Games!$A$2:$A$18,Games!$C$2:$C$18,"Missing game",0)</x:f>
        <x:v>REG</x:v>
      </x:c>
      <x:c r="AI1582" t="n">
        <x:f>_xlfn.XLOOKUP($A1582,Games!$A$2:$A$18,Games!$D$2:$D$18,"Missing game",0)</x:f>
        <x:v>11</x:v>
      </x:c>
      <x:c r="AJ1582" s="1" t="n">
        <x:f>_xlfn.XLOOKUP($A1582,Games!$A$2:$A$18,Games!$E$2:$E$18,"Missing game",0)</x:f>
        <x:v>45977</x:v>
      </x:c>
      <x:c r="AK1582" t="str">
        <x:f>_xlfn.XLOOKUP($A1582,Games!$A$2:$A$18,Games!$F$2:$F$18,"Missing game",0)</x:f>
        <x:v>Sunday</x:v>
      </x:c>
      <x:c r="AL1582" t="str">
        <x:f>_xlfn.XLOOKUP($A1582,Games!$A$2:$A$18,Games!$G$2:$G$18,"Missing game",0)</x:f>
        <x:v>CHI</x:v>
      </x:c>
      <x:c r="AM1582" t="n">
        <x:f>_xlfn.XLOOKUP($A1582,Games!$A$2:$A$18,Games!$H$2:$H$18,"Missing game",0)</x:f>
        <x:v>19</x:v>
      </x:c>
      <x:c r="AN1582" t="str">
        <x:f>_xlfn.XLOOKUP($A1582,Games!$A$2:$A$18,Games!$I$2:$I$18,"Missing game",0)</x:f>
        <x:v>MIN</x:v>
      </x:c>
      <x:c r="AO1582" t="n">
        <x:f>_xlfn.XLOOKUP($A1582,Games!$A$2:$A$18,Games!$J$2:$J$18,"Missing game",0)</x:f>
        <x:v>17</x:v>
      </x:c>
      <x:c r="AP1582" t="n">
        <x:f>_xlfn.XLOOKUP($A1582,Games!$A$2:$A$18,Games!$K$2:$K$18,"Missing game",0)</x:f>
        <x:v>-2</x:v>
      </x:c>
      <x:c r="AQ1582" t="n">
        <x:f>_xlfn.XLOOKUP($A1582,Games!$A$2:$A$18,Games!$L$2:$L$18,"Missing game",0)</x:f>
        <x:v>36</x:v>
      </x:c>
      <x:c r="AR1582" t="n">
        <x:f>_xlfn.XLOOKUP($A1582,Games!$A$2:$A$18,Games!$M$2:$M$18,"Missing game",0)</x:f>
        <x:v>0</x:v>
      </x:c>
      <x:c r="AS1582" t="str">
        <x:f>_xlfn.XLOOKUP($A1582,Games!$A$2:$A$18,Games!$N$2:$N$18,"Missing game",0)</x:f>
        <x:v>dome</x:v>
      </x:c>
      <x:c r="AT1582" t="str">
        <x:f>_xlfn.XLOOKUP($A1582,Games!$A$2:$A$18,Games!$O$2:$O$18,"Missing game",0)</x:f>
        <x:v>sportturf</x:v>
      </x:c>
      <x:c r="AU1582" t="str">
        <x:f>_xlfn.XLOOKUP($A1582,Games!$A$2:$A$18,Games!$P$2:$P$18,"Missing game",0)</x:f>
      </x:c>
      <x:c r="AV1582" t="str">
        <x:f>_xlfn.XLOOKUP($A1582,Games!$A$2:$A$18,Games!$Q$2:$Q$18,"Missing game",0)</x:f>
      </x:c>
      <x:c r="AW1582" t="str">
        <x:f>_xlfn.XLOOKUP($A1582,Games!$A$2:$A$18,Games!$R$2:$R$18,"Missing game",0)</x:f>
        <x:v>U.S. Bank Stadium</x:v>
      </x:c>
    </x:row>
    <x:row r="1583">
      <x:c r="A1583" t="str">
        <x:v>2025_11_CHI_MIN</x:v>
      </x:c>
      <x:c r="B1583" t="n">
        <x:v>1143</x:v>
      </x:c>
      <x:c r="C1583" t="n">
        <x:v>2</x:v>
      </x:c>
      <x:c r="D1583" t="str">
        <x:v>12:41</x:v>
      </x:c>
      <x:c r="E1583" t="n">
        <x:v>2</x:v>
      </x:c>
      <x:c r="F1583" t="n">
        <x:v>3</x:v>
      </x:c>
      <x:c r="G1583" t="str">
        <x:v>CHI</x:v>
      </x:c>
      <x:c r="H1583" t="str">
        <x:v>MIN</x:v>
      </x:c>
      <x:c r="I1583" t="str">
        <x:v>CHI</x:v>
      </x:c>
      <x:c r="J1583" t="n">
        <x:v>67</x:v>
      </x:c>
      <x:c r="K1583" t="str">
        <x:v>(12:41) 4-D.Swift up the middle to CHI 41 for 8 yards (51-B.Cashman; 2-I.Rodgers).</x:v>
      </x:c>
      <x:c r="L1583" t="str">
        <x:v>run</x:v>
      </x:c>
      <x:c r="M1583" t="n">
        <x:v>8</x:v>
      </x:c>
      <x:c r="N1583" t="n">
        <x:v>0</x:v>
      </x:c>
      <x:c r="O1583" t="n">
        <x:v>0</x:v>
      </x:c>
      <x:c r="P1583"/>
      <x:c r="Q1583"/>
      <x:c r="R1583"/>
      <x:c r="S1583"/>
      <x:c r="T1583" t="str">
        <x:v>middle</x:v>
      </x:c>
      <x:c r="U1583"/>
      <x:c r="V1583" t="n">
        <x:v>0</x:v>
      </x:c>
      <x:c r="W1583" t="n">
        <x:v>1</x:v>
      </x:c>
      <x:c r="X1583" t="n">
        <x:v>0</x:v>
      </x:c>
      <x:c r="Y1583" t="n">
        <x:v>0</x:v>
      </x:c>
      <x:c r="Z1583" t="n">
        <x:v>0</x:v>
      </x:c>
      <x:c r="AA1583" t="n">
        <x:v>0</x:v>
      </x:c>
      <x:c r="AB1583"/>
      <x:c r="AC1583" t="n">
        <x:v>0</x:v>
      </x:c>
      <x:c r="AD1583" t="n">
        <x:v>0.5631530440878123</x:v>
      </x:c>
      <x:c r="AE1583" t="n">
        <x:v>1</x:v>
      </x:c>
      <x:c r="AF1583" t="n">
        <x:v>0.023072540760040283</x:v>
      </x:c>
      <x:c r="AG1583" t="n">
        <x:f>_xlfn.XLOOKUP($A1583,Games!$A$2:$A$18,Games!$B$2:$B$18,"Missing game",0)</x:f>
        <x:v>2025</x:v>
      </x:c>
      <x:c r="AH1583" t="str">
        <x:f>_xlfn.XLOOKUP($A1583,Games!$A$2:$A$18,Games!$C$2:$C$18,"Missing game",0)</x:f>
        <x:v>REG</x:v>
      </x:c>
      <x:c r="AI1583" t="n">
        <x:f>_xlfn.XLOOKUP($A1583,Games!$A$2:$A$18,Games!$D$2:$D$18,"Missing game",0)</x:f>
        <x:v>11</x:v>
      </x:c>
      <x:c r="AJ1583" s="1" t="n">
        <x:f>_xlfn.XLOOKUP($A1583,Games!$A$2:$A$18,Games!$E$2:$E$18,"Missing game",0)</x:f>
        <x:v>45977</x:v>
      </x:c>
      <x:c r="AK1583" t="str">
        <x:f>_xlfn.XLOOKUP($A1583,Games!$A$2:$A$18,Games!$F$2:$F$18,"Missing game",0)</x:f>
        <x:v>Sunday</x:v>
      </x:c>
      <x:c r="AL1583" t="str">
        <x:f>_xlfn.XLOOKUP($A1583,Games!$A$2:$A$18,Games!$G$2:$G$18,"Missing game",0)</x:f>
        <x:v>CHI</x:v>
      </x:c>
      <x:c r="AM1583" t="n">
        <x:f>_xlfn.XLOOKUP($A1583,Games!$A$2:$A$18,Games!$H$2:$H$18,"Missing game",0)</x:f>
        <x:v>19</x:v>
      </x:c>
      <x:c r="AN1583" t="str">
        <x:f>_xlfn.XLOOKUP($A1583,Games!$A$2:$A$18,Games!$I$2:$I$18,"Missing game",0)</x:f>
        <x:v>MIN</x:v>
      </x:c>
      <x:c r="AO1583" t="n">
        <x:f>_xlfn.XLOOKUP($A1583,Games!$A$2:$A$18,Games!$J$2:$J$18,"Missing game",0)</x:f>
        <x:v>17</x:v>
      </x:c>
      <x:c r="AP1583" t="n">
        <x:f>_xlfn.XLOOKUP($A1583,Games!$A$2:$A$18,Games!$K$2:$K$18,"Missing game",0)</x:f>
        <x:v>-2</x:v>
      </x:c>
      <x:c r="AQ1583" t="n">
        <x:f>_xlfn.XLOOKUP($A1583,Games!$A$2:$A$18,Games!$L$2:$L$18,"Missing game",0)</x:f>
        <x:v>36</x:v>
      </x:c>
      <x:c r="AR1583" t="n">
        <x:f>_xlfn.XLOOKUP($A1583,Games!$A$2:$A$18,Games!$M$2:$M$18,"Missing game",0)</x:f>
        <x:v>0</x:v>
      </x:c>
      <x:c r="AS1583" t="str">
        <x:f>_xlfn.XLOOKUP($A1583,Games!$A$2:$A$18,Games!$N$2:$N$18,"Missing game",0)</x:f>
        <x:v>dome</x:v>
      </x:c>
      <x:c r="AT1583" t="str">
        <x:f>_xlfn.XLOOKUP($A1583,Games!$A$2:$A$18,Games!$O$2:$O$18,"Missing game",0)</x:f>
        <x:v>sportturf</x:v>
      </x:c>
      <x:c r="AU1583" t="str">
        <x:f>_xlfn.XLOOKUP($A1583,Games!$A$2:$A$18,Games!$P$2:$P$18,"Missing game",0)</x:f>
      </x:c>
      <x:c r="AV1583" t="str">
        <x:f>_xlfn.XLOOKUP($A1583,Games!$A$2:$A$18,Games!$Q$2:$Q$18,"Missing game",0)</x:f>
      </x:c>
      <x:c r="AW1583" t="str">
        <x:f>_xlfn.XLOOKUP($A1583,Games!$A$2:$A$18,Games!$R$2:$R$18,"Missing game",0)</x:f>
        <x:v>U.S. Bank Stadium</x:v>
      </x:c>
    </x:row>
    <x:row r="1584">
      <x:c r="A1584" t="str">
        <x:v>2025_11_CHI_MIN</x:v>
      </x:c>
      <x:c r="B1584" t="n">
        <x:v>1165</x:v>
      </x:c>
      <x:c r="C1584" t="n">
        <x:v>2</x:v>
      </x:c>
      <x:c r="D1584" t="str">
        <x:v>12:05</x:v>
      </x:c>
      <x:c r="E1584" t="n">
        <x:v>1</x:v>
      </x:c>
      <x:c r="F1584" t="n">
        <x:v>10</x:v>
      </x:c>
      <x:c r="G1584" t="str">
        <x:v>CHI</x:v>
      </x:c>
      <x:c r="H1584" t="str">
        <x:v>MIN</x:v>
      </x:c>
      <x:c r="I1584" t="str">
        <x:v>CHI</x:v>
      </x:c>
      <x:c r="J1584" t="n">
        <x:v>59</x:v>
      </x:c>
      <x:c r="K1584" t="str">
        <x:v>(12:05) 18-C.Williams pass short right to 10-L.Burden to MIN 45 for 14 yards (51-B.Cashman).</x:v>
      </x:c>
      <x:c r="L1584" t="str">
        <x:v>pass</x:v>
      </x:c>
      <x:c r="M1584" t="n">
        <x:v>14</x:v>
      </x:c>
      <x:c r="N1584" t="n">
        <x:v>0</x:v>
      </x:c>
      <x:c r="O1584" t="n">
        <x:v>0</x:v>
      </x:c>
      <x:c r="P1584" t="str">
        <x:v>short</x:v>
      </x:c>
      <x:c r="Q1584" t="str">
        <x:v>right</x:v>
      </x:c>
      <x:c r="R1584" t="n">
        <x:v>14</x:v>
      </x:c>
      <x:c r="S1584" t="n">
        <x:v>0</x:v>
      </x:c>
      <x:c r="T1584"/>
      <x:c r="U1584"/>
      <x:c r="V1584" t="n">
        <x:v>1</x:v>
      </x:c>
      <x:c r="W1584" t="n">
        <x:v>1</x:v>
      </x:c>
      <x:c r="X1584" t="n">
        <x:v>0</x:v>
      </x:c>
      <x:c r="Y1584" t="n">
        <x:v>0</x:v>
      </x:c>
      <x:c r="Z1584" t="n">
        <x:v>0</x:v>
      </x:c>
      <x:c r="AA1584" t="n">
        <x:v>0</x:v>
      </x:c>
      <x:c r="AB1584"/>
      <x:c r="AC1584" t="n">
        <x:v>0</x:v>
      </x:c>
      <x:c r="AD1584" t="n">
        <x:v>0.9385440137702972</x:v>
      </x:c>
      <x:c r="AE1584" t="n">
        <x:v>1</x:v>
      </x:c>
      <x:c r="AF1584" t="n">
        <x:v>0.0414101779460907</x:v>
      </x:c>
      <x:c r="AG1584" t="n">
        <x:f>_xlfn.XLOOKUP($A1584,Games!$A$2:$A$18,Games!$B$2:$B$18,"Missing game",0)</x:f>
        <x:v>2025</x:v>
      </x:c>
      <x:c r="AH1584" t="str">
        <x:f>_xlfn.XLOOKUP($A1584,Games!$A$2:$A$18,Games!$C$2:$C$18,"Missing game",0)</x:f>
        <x:v>REG</x:v>
      </x:c>
      <x:c r="AI1584" t="n">
        <x:f>_xlfn.XLOOKUP($A1584,Games!$A$2:$A$18,Games!$D$2:$D$18,"Missing game",0)</x:f>
        <x:v>11</x:v>
      </x:c>
      <x:c r="AJ1584" s="1" t="n">
        <x:f>_xlfn.XLOOKUP($A1584,Games!$A$2:$A$18,Games!$E$2:$E$18,"Missing game",0)</x:f>
        <x:v>45977</x:v>
      </x:c>
      <x:c r="AK1584" t="str">
        <x:f>_xlfn.XLOOKUP($A1584,Games!$A$2:$A$18,Games!$F$2:$F$18,"Missing game",0)</x:f>
        <x:v>Sunday</x:v>
      </x:c>
      <x:c r="AL1584" t="str">
        <x:f>_xlfn.XLOOKUP($A1584,Games!$A$2:$A$18,Games!$G$2:$G$18,"Missing game",0)</x:f>
        <x:v>CHI</x:v>
      </x:c>
      <x:c r="AM1584" t="n">
        <x:f>_xlfn.XLOOKUP($A1584,Games!$A$2:$A$18,Games!$H$2:$H$18,"Missing game",0)</x:f>
        <x:v>19</x:v>
      </x:c>
      <x:c r="AN1584" t="str">
        <x:f>_xlfn.XLOOKUP($A1584,Games!$A$2:$A$18,Games!$I$2:$I$18,"Missing game",0)</x:f>
        <x:v>MIN</x:v>
      </x:c>
      <x:c r="AO1584" t="n">
        <x:f>_xlfn.XLOOKUP($A1584,Games!$A$2:$A$18,Games!$J$2:$J$18,"Missing game",0)</x:f>
        <x:v>17</x:v>
      </x:c>
      <x:c r="AP1584" t="n">
        <x:f>_xlfn.XLOOKUP($A1584,Games!$A$2:$A$18,Games!$K$2:$K$18,"Missing game",0)</x:f>
        <x:v>-2</x:v>
      </x:c>
      <x:c r="AQ1584" t="n">
        <x:f>_xlfn.XLOOKUP($A1584,Games!$A$2:$A$18,Games!$L$2:$L$18,"Missing game",0)</x:f>
        <x:v>36</x:v>
      </x:c>
      <x:c r="AR1584" t="n">
        <x:f>_xlfn.XLOOKUP($A1584,Games!$A$2:$A$18,Games!$M$2:$M$18,"Missing game",0)</x:f>
        <x:v>0</x:v>
      </x:c>
      <x:c r="AS1584" t="str">
        <x:f>_xlfn.XLOOKUP($A1584,Games!$A$2:$A$18,Games!$N$2:$N$18,"Missing game",0)</x:f>
        <x:v>dome</x:v>
      </x:c>
      <x:c r="AT1584" t="str">
        <x:f>_xlfn.XLOOKUP($A1584,Games!$A$2:$A$18,Games!$O$2:$O$18,"Missing game",0)</x:f>
        <x:v>sportturf</x:v>
      </x:c>
      <x:c r="AU1584" t="str">
        <x:f>_xlfn.XLOOKUP($A1584,Games!$A$2:$A$18,Games!$P$2:$P$18,"Missing game",0)</x:f>
      </x:c>
      <x:c r="AV1584" t="str">
        <x:f>_xlfn.XLOOKUP($A1584,Games!$A$2:$A$18,Games!$Q$2:$Q$18,"Missing game",0)</x:f>
      </x:c>
      <x:c r="AW1584" t="str">
        <x:f>_xlfn.XLOOKUP($A1584,Games!$A$2:$A$18,Games!$R$2:$R$18,"Missing game",0)</x:f>
        <x:v>U.S. Bank Stadium</x:v>
      </x:c>
    </x:row>
    <x:row r="1585">
      <x:c r="A1585" t="str">
        <x:v>2025_11_CHI_MIN</x:v>
      </x:c>
      <x:c r="B1585" t="n">
        <x:v>1190</x:v>
      </x:c>
      <x:c r="C1585" t="n">
        <x:v>2</x:v>
      </x:c>
      <x:c r="D1585" t="str">
        <x:v>11:23</x:v>
      </x:c>
      <x:c r="E1585" t="n">
        <x:v>1</x:v>
      </x:c>
      <x:c r="F1585" t="n">
        <x:v>10</x:v>
      </x:c>
      <x:c r="G1585" t="str">
        <x:v>CHI</x:v>
      </x:c>
      <x:c r="H1585" t="str">
        <x:v>MIN</x:v>
      </x:c>
      <x:c r="I1585" t="str">
        <x:v>MIN</x:v>
      </x:c>
      <x:c r="J1585" t="n">
        <x:v>45</x:v>
      </x:c>
      <x:c r="K1585" t="str">
        <x:v>(11:23) 4-D.Swift right tackle to MIN 39 for 6 yards (50-L.Rodriguez).</x:v>
      </x:c>
      <x:c r="L1585" t="str">
        <x:v>run</x:v>
      </x:c>
      <x:c r="M1585" t="n">
        <x:v>6</x:v>
      </x:c>
      <x:c r="N1585" t="n">
        <x:v>0</x:v>
      </x:c>
      <x:c r="O1585" t="n">
        <x:v>0</x:v>
      </x:c>
      <x:c r="P1585"/>
      <x:c r="Q1585"/>
      <x:c r="R1585"/>
      <x:c r="S1585"/>
      <x:c r="T1585" t="str">
        <x:v>right</x:v>
      </x:c>
      <x:c r="U1585" t="str">
        <x:v>tackle</x:v>
      </x:c>
      <x:c r="V1585" t="n">
        <x:v>0</x:v>
      </x:c>
      <x:c r="W1585" t="n">
        <x:v>0</x:v>
      </x:c>
      <x:c r="X1585" t="n">
        <x:v>0</x:v>
      </x:c>
      <x:c r="Y1585" t="n">
        <x:v>0</x:v>
      </x:c>
      <x:c r="Z1585" t="n">
        <x:v>0</x:v>
      </x:c>
      <x:c r="AA1585" t="n">
        <x:v>0</x:v>
      </x:c>
      <x:c r="AB1585"/>
      <x:c r="AC1585" t="n">
        <x:v>0</x:v>
      </x:c>
      <x:c r="AD1585" t="n">
        <x:v>0.2275895745260641</x:v>
      </x:c>
      <x:c r="AE1585" t="n">
        <x:v>1</x:v>
      </x:c>
      <x:c r="AF1585" t="n">
        <x:v>0.005816459655761719</x:v>
      </x:c>
      <x:c r="AG1585" t="n">
        <x:f>_xlfn.XLOOKUP($A1585,Games!$A$2:$A$18,Games!$B$2:$B$18,"Missing game",0)</x:f>
        <x:v>2025</x:v>
      </x:c>
      <x:c r="AH1585" t="str">
        <x:f>_xlfn.XLOOKUP($A1585,Games!$A$2:$A$18,Games!$C$2:$C$18,"Missing game",0)</x:f>
        <x:v>REG</x:v>
      </x:c>
      <x:c r="AI1585" t="n">
        <x:f>_xlfn.XLOOKUP($A1585,Games!$A$2:$A$18,Games!$D$2:$D$18,"Missing game",0)</x:f>
        <x:v>11</x:v>
      </x:c>
      <x:c r="AJ1585" s="1" t="n">
        <x:f>_xlfn.XLOOKUP($A1585,Games!$A$2:$A$18,Games!$E$2:$E$18,"Missing game",0)</x:f>
        <x:v>45977</x:v>
      </x:c>
      <x:c r="AK1585" t="str">
        <x:f>_xlfn.XLOOKUP($A1585,Games!$A$2:$A$18,Games!$F$2:$F$18,"Missing game",0)</x:f>
        <x:v>Sunday</x:v>
      </x:c>
      <x:c r="AL1585" t="str">
        <x:f>_xlfn.XLOOKUP($A1585,Games!$A$2:$A$18,Games!$G$2:$G$18,"Missing game",0)</x:f>
        <x:v>CHI</x:v>
      </x:c>
      <x:c r="AM1585" t="n">
        <x:f>_xlfn.XLOOKUP($A1585,Games!$A$2:$A$18,Games!$H$2:$H$18,"Missing game",0)</x:f>
        <x:v>19</x:v>
      </x:c>
      <x:c r="AN1585" t="str">
        <x:f>_xlfn.XLOOKUP($A1585,Games!$A$2:$A$18,Games!$I$2:$I$18,"Missing game",0)</x:f>
        <x:v>MIN</x:v>
      </x:c>
      <x:c r="AO1585" t="n">
        <x:f>_xlfn.XLOOKUP($A1585,Games!$A$2:$A$18,Games!$J$2:$J$18,"Missing game",0)</x:f>
        <x:v>17</x:v>
      </x:c>
      <x:c r="AP1585" t="n">
        <x:f>_xlfn.XLOOKUP($A1585,Games!$A$2:$A$18,Games!$K$2:$K$18,"Missing game",0)</x:f>
        <x:v>-2</x:v>
      </x:c>
      <x:c r="AQ1585" t="n">
        <x:f>_xlfn.XLOOKUP($A1585,Games!$A$2:$A$18,Games!$L$2:$L$18,"Missing game",0)</x:f>
        <x:v>36</x:v>
      </x:c>
      <x:c r="AR1585" t="n">
        <x:f>_xlfn.XLOOKUP($A1585,Games!$A$2:$A$18,Games!$M$2:$M$18,"Missing game",0)</x:f>
        <x:v>0</x:v>
      </x:c>
      <x:c r="AS1585" t="str">
        <x:f>_xlfn.XLOOKUP($A1585,Games!$A$2:$A$18,Games!$N$2:$N$18,"Missing game",0)</x:f>
        <x:v>dome</x:v>
      </x:c>
      <x:c r="AT1585" t="str">
        <x:f>_xlfn.XLOOKUP($A1585,Games!$A$2:$A$18,Games!$O$2:$O$18,"Missing game",0)</x:f>
        <x:v>sportturf</x:v>
      </x:c>
      <x:c r="AU1585" t="str">
        <x:f>_xlfn.XLOOKUP($A1585,Games!$A$2:$A$18,Games!$P$2:$P$18,"Missing game",0)</x:f>
      </x:c>
      <x:c r="AV1585" t="str">
        <x:f>_xlfn.XLOOKUP($A1585,Games!$A$2:$A$18,Games!$Q$2:$Q$18,"Missing game",0)</x:f>
      </x:c>
      <x:c r="AW1585" t="str">
        <x:f>_xlfn.XLOOKUP($A1585,Games!$A$2:$A$18,Games!$R$2:$R$18,"Missing game",0)</x:f>
        <x:v>U.S. Bank Stadium</x:v>
      </x:c>
    </x:row>
    <x:row r="1586">
      <x:c r="A1586" t="str">
        <x:v>2025_11_CHI_MIN</x:v>
      </x:c>
      <x:c r="B1586" t="n">
        <x:v>1212</x:v>
      </x:c>
      <x:c r="C1586" t="n">
        <x:v>2</x:v>
      </x:c>
      <x:c r="D1586" t="str">
        <x:v>10:44</x:v>
      </x:c>
      <x:c r="E1586" t="n">
        <x:v>2</x:v>
      </x:c>
      <x:c r="F1586" t="n">
        <x:v>4</x:v>
      </x:c>
      <x:c r="G1586" t="str">
        <x:v>CHI</x:v>
      </x:c>
      <x:c r="H1586" t="str">
        <x:v>MIN</x:v>
      </x:c>
      <x:c r="I1586" t="str">
        <x:v>MIN</x:v>
      </x:c>
      <x:c r="J1586" t="n">
        <x:v>39</x:v>
      </x:c>
      <x:c r="K1586" t="str">
        <x:v>(10:44) 4-D.Swift right end to MIN 38 for 1 yard (51-B.Cashman; 15-D.Turner).</x:v>
      </x:c>
      <x:c r="L1586" t="str">
        <x:v>run</x:v>
      </x:c>
      <x:c r="M1586" t="n">
        <x:v>1</x:v>
      </x:c>
      <x:c r="N1586" t="n">
        <x:v>0</x:v>
      </x:c>
      <x:c r="O1586" t="n">
        <x:v>0</x:v>
      </x:c>
      <x:c r="P1586"/>
      <x:c r="Q1586"/>
      <x:c r="R1586"/>
      <x:c r="S1586"/>
      <x:c r="T1586" t="str">
        <x:v>right</x:v>
      </x:c>
      <x:c r="U1586" t="str">
        <x:v>end</x:v>
      </x:c>
      <x:c r="V1586" t="n">
        <x:v>0</x:v>
      </x:c>
      <x:c r="W1586" t="n">
        <x:v>0</x:v>
      </x:c>
      <x:c r="X1586" t="n">
        <x:v>0</x:v>
      </x:c>
      <x:c r="Y1586" t="n">
        <x:v>0</x:v>
      </x:c>
      <x:c r="Z1586" t="n">
        <x:v>0</x:v>
      </x:c>
      <x:c r="AA1586" t="n">
        <x:v>0</x:v>
      </x:c>
      <x:c r="AB1586"/>
      <x:c r="AC1586" t="n">
        <x:v>0</x:v>
      </x:c>
      <x:c r="AD1586" t="n">
        <x:v>-0.6095087017165497</x:v>
      </x:c>
      <x:c r="AE1586" t="n">
        <x:v>0</x:v>
      </x:c>
      <x:c r="AF1586" t="n">
        <x:v>0.000032067298889160156</x:v>
      </x:c>
      <x:c r="AG1586" t="n">
        <x:f>_xlfn.XLOOKUP($A1586,Games!$A$2:$A$18,Games!$B$2:$B$18,"Missing game",0)</x:f>
        <x:v>2025</x:v>
      </x:c>
      <x:c r="AH1586" t="str">
        <x:f>_xlfn.XLOOKUP($A1586,Games!$A$2:$A$18,Games!$C$2:$C$18,"Missing game",0)</x:f>
        <x:v>REG</x:v>
      </x:c>
      <x:c r="AI1586" t="n">
        <x:f>_xlfn.XLOOKUP($A1586,Games!$A$2:$A$18,Games!$D$2:$D$18,"Missing game",0)</x:f>
        <x:v>11</x:v>
      </x:c>
      <x:c r="AJ1586" s="1" t="n">
        <x:f>_xlfn.XLOOKUP($A1586,Games!$A$2:$A$18,Games!$E$2:$E$18,"Missing game",0)</x:f>
        <x:v>45977</x:v>
      </x:c>
      <x:c r="AK1586" t="str">
        <x:f>_xlfn.XLOOKUP($A1586,Games!$A$2:$A$18,Games!$F$2:$F$18,"Missing game",0)</x:f>
        <x:v>Sunday</x:v>
      </x:c>
      <x:c r="AL1586" t="str">
        <x:f>_xlfn.XLOOKUP($A1586,Games!$A$2:$A$18,Games!$G$2:$G$18,"Missing game",0)</x:f>
        <x:v>CHI</x:v>
      </x:c>
      <x:c r="AM1586" t="n">
        <x:f>_xlfn.XLOOKUP($A1586,Games!$A$2:$A$18,Games!$H$2:$H$18,"Missing game",0)</x:f>
        <x:v>19</x:v>
      </x:c>
      <x:c r="AN1586" t="str">
        <x:f>_xlfn.XLOOKUP($A1586,Games!$A$2:$A$18,Games!$I$2:$I$18,"Missing game",0)</x:f>
        <x:v>MIN</x:v>
      </x:c>
      <x:c r="AO1586" t="n">
        <x:f>_xlfn.XLOOKUP($A1586,Games!$A$2:$A$18,Games!$J$2:$J$18,"Missing game",0)</x:f>
        <x:v>17</x:v>
      </x:c>
      <x:c r="AP1586" t="n">
        <x:f>_xlfn.XLOOKUP($A1586,Games!$A$2:$A$18,Games!$K$2:$K$18,"Missing game",0)</x:f>
        <x:v>-2</x:v>
      </x:c>
      <x:c r="AQ1586" t="n">
        <x:f>_xlfn.XLOOKUP($A1586,Games!$A$2:$A$18,Games!$L$2:$L$18,"Missing game",0)</x:f>
        <x:v>36</x:v>
      </x:c>
      <x:c r="AR1586" t="n">
        <x:f>_xlfn.XLOOKUP($A1586,Games!$A$2:$A$18,Games!$M$2:$M$18,"Missing game",0)</x:f>
        <x:v>0</x:v>
      </x:c>
      <x:c r="AS1586" t="str">
        <x:f>_xlfn.XLOOKUP($A1586,Games!$A$2:$A$18,Games!$N$2:$N$18,"Missing game",0)</x:f>
        <x:v>dome</x:v>
      </x:c>
      <x:c r="AT1586" t="str">
        <x:f>_xlfn.XLOOKUP($A1586,Games!$A$2:$A$18,Games!$O$2:$O$18,"Missing game",0)</x:f>
        <x:v>sportturf</x:v>
      </x:c>
      <x:c r="AU1586" t="str">
        <x:f>_xlfn.XLOOKUP($A1586,Games!$A$2:$A$18,Games!$P$2:$P$18,"Missing game",0)</x:f>
      </x:c>
      <x:c r="AV1586" t="str">
        <x:f>_xlfn.XLOOKUP($A1586,Games!$A$2:$A$18,Games!$Q$2:$Q$18,"Missing game",0)</x:f>
      </x:c>
      <x:c r="AW1586" t="str">
        <x:f>_xlfn.XLOOKUP($A1586,Games!$A$2:$A$18,Games!$R$2:$R$18,"Missing game",0)</x:f>
        <x:v>U.S. Bank Stadium</x:v>
      </x:c>
    </x:row>
    <x:row r="1587">
      <x:c r="A1587" t="str">
        <x:v>2025_11_CHI_MIN</x:v>
      </x:c>
      <x:c r="B1587" t="n">
        <x:v>1234</x:v>
      </x:c>
      <x:c r="C1587" t="n">
        <x:v>2</x:v>
      </x:c>
      <x:c r="D1587" t="str">
        <x:v>10:06</x:v>
      </x:c>
      <x:c r="E1587" t="n">
        <x:v>3</x:v>
      </x:c>
      <x:c r="F1587" t="n">
        <x:v>3</x:v>
      </x:c>
      <x:c r="G1587" t="str">
        <x:v>CHI</x:v>
      </x:c>
      <x:c r="H1587" t="str">
        <x:v>MIN</x:v>
      </x:c>
      <x:c r="I1587" t="str">
        <x:v>MIN</x:v>
      </x:c>
      <x:c r="J1587" t="n">
        <x:v>38</x:v>
      </x:c>
      <x:c r="K1587" t="str">
        <x:v>(10:06) (Shotgun) 2-D.Moore right end to MIN 35 for 3 yards (23-F.Moreau).</x:v>
      </x:c>
      <x:c r="L1587" t="str">
        <x:v>run</x:v>
      </x:c>
      <x:c r="M1587" t="n">
        <x:v>3</x:v>
      </x:c>
      <x:c r="N1587" t="n">
        <x:v>1</x:v>
      </x:c>
      <x:c r="O1587" t="n">
        <x:v>0</x:v>
      </x:c>
      <x:c r="P1587"/>
      <x:c r="Q1587"/>
      <x:c r="R1587"/>
      <x:c r="S1587"/>
      <x:c r="T1587" t="str">
        <x:v>right</x:v>
      </x:c>
      <x:c r="U1587" t="str">
        <x:v>end</x:v>
      </x:c>
      <x:c r="V1587" t="n">
        <x:v>0</x:v>
      </x:c>
      <x:c r="W1587" t="n">
        <x:v>1</x:v>
      </x:c>
      <x:c r="X1587" t="n">
        <x:v>0</x:v>
      </x:c>
      <x:c r="Y1587" t="n">
        <x:v>0</x:v>
      </x:c>
      <x:c r="Z1587" t="n">
        <x:v>0</x:v>
      </x:c>
      <x:c r="AA1587" t="n">
        <x:v>0</x:v>
      </x:c>
      <x:c r="AB1587"/>
      <x:c r="AC1587" t="n">
        <x:v>0</x:v>
      </x:c>
      <x:c r="AD1587" t="n">
        <x:v>1.0384933082386851</x:v>
      </x:c>
      <x:c r="AE1587" t="n">
        <x:v>1</x:v>
      </x:c>
      <x:c r="AF1587" t="n">
        <x:v>0.03630337119102478</x:v>
      </x:c>
      <x:c r="AG1587" t="n">
        <x:f>_xlfn.XLOOKUP($A1587,Games!$A$2:$A$18,Games!$B$2:$B$18,"Missing game",0)</x:f>
        <x:v>2025</x:v>
      </x:c>
      <x:c r="AH1587" t="str">
        <x:f>_xlfn.XLOOKUP($A1587,Games!$A$2:$A$18,Games!$C$2:$C$18,"Missing game",0)</x:f>
        <x:v>REG</x:v>
      </x:c>
      <x:c r="AI1587" t="n">
        <x:f>_xlfn.XLOOKUP($A1587,Games!$A$2:$A$18,Games!$D$2:$D$18,"Missing game",0)</x:f>
        <x:v>11</x:v>
      </x:c>
      <x:c r="AJ1587" s="1" t="n">
        <x:f>_xlfn.XLOOKUP($A1587,Games!$A$2:$A$18,Games!$E$2:$E$18,"Missing game",0)</x:f>
        <x:v>45977</x:v>
      </x:c>
      <x:c r="AK1587" t="str">
        <x:f>_xlfn.XLOOKUP($A1587,Games!$A$2:$A$18,Games!$F$2:$F$18,"Missing game",0)</x:f>
        <x:v>Sunday</x:v>
      </x:c>
      <x:c r="AL1587" t="str">
        <x:f>_xlfn.XLOOKUP($A1587,Games!$A$2:$A$18,Games!$G$2:$G$18,"Missing game",0)</x:f>
        <x:v>CHI</x:v>
      </x:c>
      <x:c r="AM1587" t="n">
        <x:f>_xlfn.XLOOKUP($A1587,Games!$A$2:$A$18,Games!$H$2:$H$18,"Missing game",0)</x:f>
        <x:v>19</x:v>
      </x:c>
      <x:c r="AN1587" t="str">
        <x:f>_xlfn.XLOOKUP($A1587,Games!$A$2:$A$18,Games!$I$2:$I$18,"Missing game",0)</x:f>
        <x:v>MIN</x:v>
      </x:c>
      <x:c r="AO1587" t="n">
        <x:f>_xlfn.XLOOKUP($A1587,Games!$A$2:$A$18,Games!$J$2:$J$18,"Missing game",0)</x:f>
        <x:v>17</x:v>
      </x:c>
      <x:c r="AP1587" t="n">
        <x:f>_xlfn.XLOOKUP($A1587,Games!$A$2:$A$18,Games!$K$2:$K$18,"Missing game",0)</x:f>
        <x:v>-2</x:v>
      </x:c>
      <x:c r="AQ1587" t="n">
        <x:f>_xlfn.XLOOKUP($A1587,Games!$A$2:$A$18,Games!$L$2:$L$18,"Missing game",0)</x:f>
        <x:v>36</x:v>
      </x:c>
      <x:c r="AR1587" t="n">
        <x:f>_xlfn.XLOOKUP($A1587,Games!$A$2:$A$18,Games!$M$2:$M$18,"Missing game",0)</x:f>
        <x:v>0</x:v>
      </x:c>
      <x:c r="AS1587" t="str">
        <x:f>_xlfn.XLOOKUP($A1587,Games!$A$2:$A$18,Games!$N$2:$N$18,"Missing game",0)</x:f>
        <x:v>dome</x:v>
      </x:c>
      <x:c r="AT1587" t="str">
        <x:f>_xlfn.XLOOKUP($A1587,Games!$A$2:$A$18,Games!$O$2:$O$18,"Missing game",0)</x:f>
        <x:v>sportturf</x:v>
      </x:c>
      <x:c r="AU1587" t="str">
        <x:f>_xlfn.XLOOKUP($A1587,Games!$A$2:$A$18,Games!$P$2:$P$18,"Missing game",0)</x:f>
      </x:c>
      <x:c r="AV1587" t="str">
        <x:f>_xlfn.XLOOKUP($A1587,Games!$A$2:$A$18,Games!$Q$2:$Q$18,"Missing game",0)</x:f>
      </x:c>
      <x:c r="AW1587" t="str">
        <x:f>_xlfn.XLOOKUP($A1587,Games!$A$2:$A$18,Games!$R$2:$R$18,"Missing game",0)</x:f>
        <x:v>U.S. Bank Stadium</x:v>
      </x:c>
    </x:row>
    <x:row r="1588">
      <x:c r="A1588" t="str">
        <x:v>2025_11_CHI_MIN</x:v>
      </x:c>
      <x:c r="B1588" t="n">
        <x:v>1256</x:v>
      </x:c>
      <x:c r="C1588" t="n">
        <x:v>2</x:v>
      </x:c>
      <x:c r="D1588" t="str">
        <x:v>09:23</x:v>
      </x:c>
      <x:c r="E1588" t="n">
        <x:v>1</x:v>
      </x:c>
      <x:c r="F1588" t="n">
        <x:v>10</x:v>
      </x:c>
      <x:c r="G1588" t="str">
        <x:v>CHI</x:v>
      </x:c>
      <x:c r="H1588" t="str">
        <x:v>MIN</x:v>
      </x:c>
      <x:c r="I1588" t="str">
        <x:v>MIN</x:v>
      </x:c>
      <x:c r="J1588" t="n">
        <x:v>35</x:v>
      </x:c>
      <x:c r="K1588" t="str">
        <x:v>(9:23) 18-C.Williams pass short left to 85-C.Kmet to MIN 28 for 7 yards (2-I.Rodgers). MIN-2-I.Rodgers was injured during the play.</x:v>
      </x:c>
      <x:c r="L1588" t="str">
        <x:v>pass</x:v>
      </x:c>
      <x:c r="M1588" t="n">
        <x:v>7</x:v>
      </x:c>
      <x:c r="N1588" t="n">
        <x:v>0</x:v>
      </x:c>
      <x:c r="O1588" t="n">
        <x:v>0</x:v>
      </x:c>
      <x:c r="P1588" t="str">
        <x:v>short</x:v>
      </x:c>
      <x:c r="Q1588" t="str">
        <x:v>left</x:v>
      </x:c>
      <x:c r="R1588" t="n">
        <x:v>2</x:v>
      </x:c>
      <x:c r="S1588" t="n">
        <x:v>5</x:v>
      </x:c>
      <x:c r="T1588"/>
      <x:c r="U1588"/>
      <x:c r="V1588" t="n">
        <x:v>1</x:v>
      </x:c>
      <x:c r="W1588" t="n">
        <x:v>0</x:v>
      </x:c>
      <x:c r="X1588" t="n">
        <x:v>0</x:v>
      </x:c>
      <x:c r="Y1588" t="n">
        <x:v>0</x:v>
      </x:c>
      <x:c r="Z1588" t="n">
        <x:v>0</x:v>
      </x:c>
      <x:c r="AA1588" t="n">
        <x:v>0</x:v>
      </x:c>
      <x:c r="AB1588"/>
      <x:c r="AC1588" t="n">
        <x:v>0</x:v>
      </x:c>
      <x:c r="AD1588" t="n">
        <x:v>0.41683563590049744</x:v>
      </x:c>
      <x:c r="AE1588" t="n">
        <x:v>1</x:v>
      </x:c>
      <x:c r="AF1588" t="n">
        <x:v>0.007820308208465576</x:v>
      </x:c>
      <x:c r="AG1588" t="n">
        <x:f>_xlfn.XLOOKUP($A1588,Games!$A$2:$A$18,Games!$B$2:$B$18,"Missing game",0)</x:f>
        <x:v>2025</x:v>
      </x:c>
      <x:c r="AH1588" t="str">
        <x:f>_xlfn.XLOOKUP($A1588,Games!$A$2:$A$18,Games!$C$2:$C$18,"Missing game",0)</x:f>
        <x:v>REG</x:v>
      </x:c>
      <x:c r="AI1588" t="n">
        <x:f>_xlfn.XLOOKUP($A1588,Games!$A$2:$A$18,Games!$D$2:$D$18,"Missing game",0)</x:f>
        <x:v>11</x:v>
      </x:c>
      <x:c r="AJ1588" s="1" t="n">
        <x:f>_xlfn.XLOOKUP($A1588,Games!$A$2:$A$18,Games!$E$2:$E$18,"Missing game",0)</x:f>
        <x:v>45977</x:v>
      </x:c>
      <x:c r="AK1588" t="str">
        <x:f>_xlfn.XLOOKUP($A1588,Games!$A$2:$A$18,Games!$F$2:$F$18,"Missing game",0)</x:f>
        <x:v>Sunday</x:v>
      </x:c>
      <x:c r="AL1588" t="str">
        <x:f>_xlfn.XLOOKUP($A1588,Games!$A$2:$A$18,Games!$G$2:$G$18,"Missing game",0)</x:f>
        <x:v>CHI</x:v>
      </x:c>
      <x:c r="AM1588" t="n">
        <x:f>_xlfn.XLOOKUP($A1588,Games!$A$2:$A$18,Games!$H$2:$H$18,"Missing game",0)</x:f>
        <x:v>19</x:v>
      </x:c>
      <x:c r="AN1588" t="str">
        <x:f>_xlfn.XLOOKUP($A1588,Games!$A$2:$A$18,Games!$I$2:$I$18,"Missing game",0)</x:f>
        <x:v>MIN</x:v>
      </x:c>
      <x:c r="AO1588" t="n">
        <x:f>_xlfn.XLOOKUP($A1588,Games!$A$2:$A$18,Games!$J$2:$J$18,"Missing game",0)</x:f>
        <x:v>17</x:v>
      </x:c>
      <x:c r="AP1588" t="n">
        <x:f>_xlfn.XLOOKUP($A1588,Games!$A$2:$A$18,Games!$K$2:$K$18,"Missing game",0)</x:f>
        <x:v>-2</x:v>
      </x:c>
      <x:c r="AQ1588" t="n">
        <x:f>_xlfn.XLOOKUP($A1588,Games!$A$2:$A$18,Games!$L$2:$L$18,"Missing game",0)</x:f>
        <x:v>36</x:v>
      </x:c>
      <x:c r="AR1588" t="n">
        <x:f>_xlfn.XLOOKUP($A1588,Games!$A$2:$A$18,Games!$M$2:$M$18,"Missing game",0)</x:f>
        <x:v>0</x:v>
      </x:c>
      <x:c r="AS1588" t="str">
        <x:f>_xlfn.XLOOKUP($A1588,Games!$A$2:$A$18,Games!$N$2:$N$18,"Missing game",0)</x:f>
        <x:v>dome</x:v>
      </x:c>
      <x:c r="AT1588" t="str">
        <x:f>_xlfn.XLOOKUP($A1588,Games!$A$2:$A$18,Games!$O$2:$O$18,"Missing game",0)</x:f>
        <x:v>sportturf</x:v>
      </x:c>
      <x:c r="AU1588" t="str">
        <x:f>_xlfn.XLOOKUP($A1588,Games!$A$2:$A$18,Games!$P$2:$P$18,"Missing game",0)</x:f>
      </x:c>
      <x:c r="AV1588" t="str">
        <x:f>_xlfn.XLOOKUP($A1588,Games!$A$2:$A$18,Games!$Q$2:$Q$18,"Missing game",0)</x:f>
      </x:c>
      <x:c r="AW1588" t="str">
        <x:f>_xlfn.XLOOKUP($A1588,Games!$A$2:$A$18,Games!$R$2:$R$18,"Missing game",0)</x:f>
        <x:v>U.S. Bank Stadium</x:v>
      </x:c>
    </x:row>
    <x:row r="1589">
      <x:c r="A1589" t="str">
        <x:v>2025_11_CHI_MIN</x:v>
      </x:c>
      <x:c r="B1589" t="n">
        <x:v>1284</x:v>
      </x:c>
      <x:c r="C1589" t="n">
        <x:v>2</x:v>
      </x:c>
      <x:c r="D1589" t="str">
        <x:v>08:53</x:v>
      </x:c>
      <x:c r="E1589" t="n">
        <x:v>2</x:v>
      </x:c>
      <x:c r="F1589" t="n">
        <x:v>3</x:v>
      </x:c>
      <x:c r="G1589" t="str">
        <x:v>CHI</x:v>
      </x:c>
      <x:c r="H1589" t="str">
        <x:v>MIN</x:v>
      </x:c>
      <x:c r="I1589" t="str">
        <x:v>MIN</x:v>
      </x:c>
      <x:c r="J1589" t="n">
        <x:v>28</x:v>
      </x:c>
      <x:c r="K1589" t="str">
        <x:v>(8:53) 75-O.Trapilo reported in as eligible. 4-D.Swift right guard to MIN 25 for 3 yards (50-L.Rodriguez; 15-D.Turner).</x:v>
      </x:c>
      <x:c r="L1589" t="str">
        <x:v>run</x:v>
      </x:c>
      <x:c r="M1589" t="n">
        <x:v>3</x:v>
      </x:c>
      <x:c r="N1589" t="n">
        <x:v>0</x:v>
      </x:c>
      <x:c r="O1589" t="n">
        <x:v>0</x:v>
      </x:c>
      <x:c r="P1589"/>
      <x:c r="Q1589"/>
      <x:c r="R1589"/>
      <x:c r="S1589"/>
      <x:c r="T1589" t="str">
        <x:v>right</x:v>
      </x:c>
      <x:c r="U1589" t="str">
        <x:v>guard</x:v>
      </x:c>
      <x:c r="V1589" t="n">
        <x:v>0</x:v>
      </x:c>
      <x:c r="W1589" t="n">
        <x:v>1</x:v>
      </x:c>
      <x:c r="X1589" t="n">
        <x:v>0</x:v>
      </x:c>
      <x:c r="Y1589" t="n">
        <x:v>0</x:v>
      </x:c>
      <x:c r="Z1589" t="n">
        <x:v>0</x:v>
      </x:c>
      <x:c r="AA1589" t="n">
        <x:v>0</x:v>
      </x:c>
      <x:c r="AB1589"/>
      <x:c r="AC1589" t="n">
        <x:v>0</x:v>
      </x:c>
      <x:c r="AD1589" t="n">
        <x:v>0.18642422975972295</x:v>
      </x:c>
      <x:c r="AE1589" t="n">
        <x:v>1</x:v>
      </x:c>
      <x:c r="AF1589" t="n">
        <x:v>0.0214805006980896</x:v>
      </x:c>
      <x:c r="AG1589" t="n">
        <x:f>_xlfn.XLOOKUP($A1589,Games!$A$2:$A$18,Games!$B$2:$B$18,"Missing game",0)</x:f>
        <x:v>2025</x:v>
      </x:c>
      <x:c r="AH1589" t="str">
        <x:f>_xlfn.XLOOKUP($A1589,Games!$A$2:$A$18,Games!$C$2:$C$18,"Missing game",0)</x:f>
        <x:v>REG</x:v>
      </x:c>
      <x:c r="AI1589" t="n">
        <x:f>_xlfn.XLOOKUP($A1589,Games!$A$2:$A$18,Games!$D$2:$D$18,"Missing game",0)</x:f>
        <x:v>11</x:v>
      </x:c>
      <x:c r="AJ1589" s="1" t="n">
        <x:f>_xlfn.XLOOKUP($A1589,Games!$A$2:$A$18,Games!$E$2:$E$18,"Missing game",0)</x:f>
        <x:v>45977</x:v>
      </x:c>
      <x:c r="AK1589" t="str">
        <x:f>_xlfn.XLOOKUP($A1589,Games!$A$2:$A$18,Games!$F$2:$F$18,"Missing game",0)</x:f>
        <x:v>Sunday</x:v>
      </x:c>
      <x:c r="AL1589" t="str">
        <x:f>_xlfn.XLOOKUP($A1589,Games!$A$2:$A$18,Games!$G$2:$G$18,"Missing game",0)</x:f>
        <x:v>CHI</x:v>
      </x:c>
      <x:c r="AM1589" t="n">
        <x:f>_xlfn.XLOOKUP($A1589,Games!$A$2:$A$18,Games!$H$2:$H$18,"Missing game",0)</x:f>
        <x:v>19</x:v>
      </x:c>
      <x:c r="AN1589" t="str">
        <x:f>_xlfn.XLOOKUP($A1589,Games!$A$2:$A$18,Games!$I$2:$I$18,"Missing game",0)</x:f>
        <x:v>MIN</x:v>
      </x:c>
      <x:c r="AO1589" t="n">
        <x:f>_xlfn.XLOOKUP($A1589,Games!$A$2:$A$18,Games!$J$2:$J$18,"Missing game",0)</x:f>
        <x:v>17</x:v>
      </x:c>
      <x:c r="AP1589" t="n">
        <x:f>_xlfn.XLOOKUP($A1589,Games!$A$2:$A$18,Games!$K$2:$K$18,"Missing game",0)</x:f>
        <x:v>-2</x:v>
      </x:c>
      <x:c r="AQ1589" t="n">
        <x:f>_xlfn.XLOOKUP($A1589,Games!$A$2:$A$18,Games!$L$2:$L$18,"Missing game",0)</x:f>
        <x:v>36</x:v>
      </x:c>
      <x:c r="AR1589" t="n">
        <x:f>_xlfn.XLOOKUP($A1589,Games!$A$2:$A$18,Games!$M$2:$M$18,"Missing game",0)</x:f>
        <x:v>0</x:v>
      </x:c>
      <x:c r="AS1589" t="str">
        <x:f>_xlfn.XLOOKUP($A1589,Games!$A$2:$A$18,Games!$N$2:$N$18,"Missing game",0)</x:f>
        <x:v>dome</x:v>
      </x:c>
      <x:c r="AT1589" t="str">
        <x:f>_xlfn.XLOOKUP($A1589,Games!$A$2:$A$18,Games!$O$2:$O$18,"Missing game",0)</x:f>
        <x:v>sportturf</x:v>
      </x:c>
      <x:c r="AU1589" t="str">
        <x:f>_xlfn.XLOOKUP($A1589,Games!$A$2:$A$18,Games!$P$2:$P$18,"Missing game",0)</x:f>
      </x:c>
      <x:c r="AV1589" t="str">
        <x:f>_xlfn.XLOOKUP($A1589,Games!$A$2:$A$18,Games!$Q$2:$Q$18,"Missing game",0)</x:f>
      </x:c>
      <x:c r="AW1589" t="str">
        <x:f>_xlfn.XLOOKUP($A1589,Games!$A$2:$A$18,Games!$R$2:$R$18,"Missing game",0)</x:f>
        <x:v>U.S. Bank Stadium</x:v>
      </x:c>
    </x:row>
    <x:row r="1590">
      <x:c r="A1590" t="str">
        <x:v>2025_11_CHI_MIN</x:v>
      </x:c>
      <x:c r="B1590" t="n">
        <x:v>1313</x:v>
      </x:c>
      <x:c r="C1590" t="n">
        <x:v>2</x:v>
      </x:c>
      <x:c r="D1590" t="str">
        <x:v>08:12</x:v>
      </x:c>
      <x:c r="E1590" t="n">
        <x:v>1</x:v>
      </x:c>
      <x:c r="F1590" t="n">
        <x:v>10</x:v>
      </x:c>
      <x:c r="G1590" t="str">
        <x:v>CHI</x:v>
      </x:c>
      <x:c r="H1590" t="str">
        <x:v>MIN</x:v>
      </x:c>
      <x:c r="I1590" t="str">
        <x:v>MIN</x:v>
      </x:c>
      <x:c r="J1590" t="n">
        <x:v>25</x:v>
      </x:c>
      <x:c r="K1590" t="str">
        <x:v>(8:12) 18-C.Williams pass short right to 84-C.Loveland to MIN 16 for 9 yards (23-F.Moreau; 55-E.Wilson).</x:v>
      </x:c>
      <x:c r="L1590" t="str">
        <x:v>pass</x:v>
      </x:c>
      <x:c r="M1590" t="n">
        <x:v>9</x:v>
      </x:c>
      <x:c r="N1590" t="n">
        <x:v>0</x:v>
      </x:c>
      <x:c r="O1590" t="n">
        <x:v>0</x:v>
      </x:c>
      <x:c r="P1590" t="str">
        <x:v>short</x:v>
      </x:c>
      <x:c r="Q1590" t="str">
        <x:v>right</x:v>
      </x:c>
      <x:c r="R1590" t="n">
        <x:v>1</x:v>
      </x:c>
      <x:c r="S1590" t="n">
        <x:v>8</x:v>
      </x:c>
      <x:c r="T1590"/>
      <x:c r="U1590"/>
      <x:c r="V1590" t="n">
        <x:v>1</x:v>
      </x:c>
      <x:c r="W1590" t="n">
        <x:v>0</x:v>
      </x:c>
      <x:c r="X1590" t="n">
        <x:v>0</x:v>
      </x:c>
      <x:c r="Y1590" t="n">
        <x:v>0</x:v>
      </x:c>
      <x:c r="Z1590" t="n">
        <x:v>0</x:v>
      </x:c>
      <x:c r="AA1590" t="n">
        <x:v>0</x:v>
      </x:c>
      <x:c r="AB1590"/>
      <x:c r="AC1590" t="n">
        <x:v>0</x:v>
      </x:c>
      <x:c r="AD1590" t="n">
        <x:v>0.7748399239499122</x:v>
      </x:c>
      <x:c r="AE1590" t="n">
        <x:v>1</x:v>
      </x:c>
      <x:c r="AF1590" t="n">
        <x:v>0.01119697093963623</x:v>
      </x:c>
      <x:c r="AG1590" t="n">
        <x:f>_xlfn.XLOOKUP($A1590,Games!$A$2:$A$18,Games!$B$2:$B$18,"Missing game",0)</x:f>
        <x:v>2025</x:v>
      </x:c>
      <x:c r="AH1590" t="str">
        <x:f>_xlfn.XLOOKUP($A1590,Games!$A$2:$A$18,Games!$C$2:$C$18,"Missing game",0)</x:f>
        <x:v>REG</x:v>
      </x:c>
      <x:c r="AI1590" t="n">
        <x:f>_xlfn.XLOOKUP($A1590,Games!$A$2:$A$18,Games!$D$2:$D$18,"Missing game",0)</x:f>
        <x:v>11</x:v>
      </x:c>
      <x:c r="AJ1590" s="1" t="n">
        <x:f>_xlfn.XLOOKUP($A1590,Games!$A$2:$A$18,Games!$E$2:$E$18,"Missing game",0)</x:f>
        <x:v>45977</x:v>
      </x:c>
      <x:c r="AK1590" t="str">
        <x:f>_xlfn.XLOOKUP($A1590,Games!$A$2:$A$18,Games!$F$2:$F$18,"Missing game",0)</x:f>
        <x:v>Sunday</x:v>
      </x:c>
      <x:c r="AL1590" t="str">
        <x:f>_xlfn.XLOOKUP($A1590,Games!$A$2:$A$18,Games!$G$2:$G$18,"Missing game",0)</x:f>
        <x:v>CHI</x:v>
      </x:c>
      <x:c r="AM1590" t="n">
        <x:f>_xlfn.XLOOKUP($A1590,Games!$A$2:$A$18,Games!$H$2:$H$18,"Missing game",0)</x:f>
        <x:v>19</x:v>
      </x:c>
      <x:c r="AN1590" t="str">
        <x:f>_xlfn.XLOOKUP($A1590,Games!$A$2:$A$18,Games!$I$2:$I$18,"Missing game",0)</x:f>
        <x:v>MIN</x:v>
      </x:c>
      <x:c r="AO1590" t="n">
        <x:f>_xlfn.XLOOKUP($A1590,Games!$A$2:$A$18,Games!$J$2:$J$18,"Missing game",0)</x:f>
        <x:v>17</x:v>
      </x:c>
      <x:c r="AP1590" t="n">
        <x:f>_xlfn.XLOOKUP($A1590,Games!$A$2:$A$18,Games!$K$2:$K$18,"Missing game",0)</x:f>
        <x:v>-2</x:v>
      </x:c>
      <x:c r="AQ1590" t="n">
        <x:f>_xlfn.XLOOKUP($A1590,Games!$A$2:$A$18,Games!$L$2:$L$18,"Missing game",0)</x:f>
        <x:v>36</x:v>
      </x:c>
      <x:c r="AR1590" t="n">
        <x:f>_xlfn.XLOOKUP($A1590,Games!$A$2:$A$18,Games!$M$2:$M$18,"Missing game",0)</x:f>
        <x:v>0</x:v>
      </x:c>
      <x:c r="AS1590" t="str">
        <x:f>_xlfn.XLOOKUP($A1590,Games!$A$2:$A$18,Games!$N$2:$N$18,"Missing game",0)</x:f>
        <x:v>dome</x:v>
      </x:c>
      <x:c r="AT1590" t="str">
        <x:f>_xlfn.XLOOKUP($A1590,Games!$A$2:$A$18,Games!$O$2:$O$18,"Missing game",0)</x:f>
        <x:v>sportturf</x:v>
      </x:c>
      <x:c r="AU1590" t="str">
        <x:f>_xlfn.XLOOKUP($A1590,Games!$A$2:$A$18,Games!$P$2:$P$18,"Missing game",0)</x:f>
      </x:c>
      <x:c r="AV1590" t="str">
        <x:f>_xlfn.XLOOKUP($A1590,Games!$A$2:$A$18,Games!$Q$2:$Q$18,"Missing game",0)</x:f>
      </x:c>
      <x:c r="AW1590" t="str">
        <x:f>_xlfn.XLOOKUP($A1590,Games!$A$2:$A$18,Games!$R$2:$R$18,"Missing game",0)</x:f>
        <x:v>U.S. Bank Stadium</x:v>
      </x:c>
    </x:row>
    <x:row r="1591">
      <x:c r="A1591" t="str">
        <x:v>2025_11_CHI_MIN</x:v>
      </x:c>
      <x:c r="B1591" t="n">
        <x:v>1338</x:v>
      </x:c>
      <x:c r="C1591" t="n">
        <x:v>2</x:v>
      </x:c>
      <x:c r="D1591" t="str">
        <x:v>07:36</x:v>
      </x:c>
      <x:c r="E1591" t="n">
        <x:v>2</x:v>
      </x:c>
      <x:c r="F1591" t="n">
        <x:v>1</x:v>
      </x:c>
      <x:c r="G1591" t="str">
        <x:v>CHI</x:v>
      </x:c>
      <x:c r="H1591" t="str">
        <x:v>MIN</x:v>
      </x:c>
      <x:c r="I1591" t="str">
        <x:v>MIN</x:v>
      </x:c>
      <x:c r="J1591" t="n">
        <x:v>16</x:v>
      </x:c>
      <x:c r="K1591" t="str">
        <x:v>(7:36) 18-C.Williams pass incomplete deep middle to 15-R.Odunze.</x:v>
      </x:c>
      <x:c r="L1591" t="str">
        <x:v>pass</x:v>
      </x:c>
      <x:c r="M1591" t="n">
        <x:v>0</x:v>
      </x:c>
      <x:c r="N1591" t="n">
        <x:v>0</x:v>
      </x:c>
      <x:c r="O1591" t="n">
        <x:v>0</x:v>
      </x:c>
      <x:c r="P1591" t="str">
        <x:v>deep</x:v>
      </x:c>
      <x:c r="Q1591" t="str">
        <x:v>middle</x:v>
      </x:c>
      <x:c r="R1591" t="n">
        <x:v>16</x:v>
      </x:c>
      <x:c r="S1591"/>
      <x:c r="T1591"/>
      <x:c r="U1591"/>
      <x:c r="V1591" t="n">
        <x:v>0</x:v>
      </x:c>
      <x:c r="W1591" t="n">
        <x:v>0</x:v>
      </x:c>
      <x:c r="X1591" t="n">
        <x:v>0</x:v>
      </x:c>
      <x:c r="Y1591" t="n">
        <x:v>0</x:v>
      </x:c>
      <x:c r="Z1591" t="n">
        <x:v>0</x:v>
      </x:c>
      <x:c r="AA1591" t="n">
        <x:v>0</x:v>
      </x:c>
      <x:c r="AB1591"/>
      <x:c r="AC1591" t="n">
        <x:v>0</x:v>
      </x:c>
      <x:c r="AD1591" t="n">
        <x:v>-0.535562744946219</x:v>
      </x:c>
      <x:c r="AE1591" t="n">
        <x:v>0</x:v>
      </x:c>
      <x:c r="AF1591" t="n">
        <x:v>-0.023407578468322754</x:v>
      </x:c>
      <x:c r="AG1591" t="n">
        <x:f>_xlfn.XLOOKUP($A1591,Games!$A$2:$A$18,Games!$B$2:$B$18,"Missing game",0)</x:f>
        <x:v>2025</x:v>
      </x:c>
      <x:c r="AH1591" t="str">
        <x:f>_xlfn.XLOOKUP($A1591,Games!$A$2:$A$18,Games!$C$2:$C$18,"Missing game",0)</x:f>
        <x:v>REG</x:v>
      </x:c>
      <x:c r="AI1591" t="n">
        <x:f>_xlfn.XLOOKUP($A1591,Games!$A$2:$A$18,Games!$D$2:$D$18,"Missing game",0)</x:f>
        <x:v>11</x:v>
      </x:c>
      <x:c r="AJ1591" s="1" t="n">
        <x:f>_xlfn.XLOOKUP($A1591,Games!$A$2:$A$18,Games!$E$2:$E$18,"Missing game",0)</x:f>
        <x:v>45977</x:v>
      </x:c>
      <x:c r="AK1591" t="str">
        <x:f>_xlfn.XLOOKUP($A1591,Games!$A$2:$A$18,Games!$F$2:$F$18,"Missing game",0)</x:f>
        <x:v>Sunday</x:v>
      </x:c>
      <x:c r="AL1591" t="str">
        <x:f>_xlfn.XLOOKUP($A1591,Games!$A$2:$A$18,Games!$G$2:$G$18,"Missing game",0)</x:f>
        <x:v>CHI</x:v>
      </x:c>
      <x:c r="AM1591" t="n">
        <x:f>_xlfn.XLOOKUP($A1591,Games!$A$2:$A$18,Games!$H$2:$H$18,"Missing game",0)</x:f>
        <x:v>19</x:v>
      </x:c>
      <x:c r="AN1591" t="str">
        <x:f>_xlfn.XLOOKUP($A1591,Games!$A$2:$A$18,Games!$I$2:$I$18,"Missing game",0)</x:f>
        <x:v>MIN</x:v>
      </x:c>
      <x:c r="AO1591" t="n">
        <x:f>_xlfn.XLOOKUP($A1591,Games!$A$2:$A$18,Games!$J$2:$J$18,"Missing game",0)</x:f>
        <x:v>17</x:v>
      </x:c>
      <x:c r="AP1591" t="n">
        <x:f>_xlfn.XLOOKUP($A1591,Games!$A$2:$A$18,Games!$K$2:$K$18,"Missing game",0)</x:f>
        <x:v>-2</x:v>
      </x:c>
      <x:c r="AQ1591" t="n">
        <x:f>_xlfn.XLOOKUP($A1591,Games!$A$2:$A$18,Games!$L$2:$L$18,"Missing game",0)</x:f>
        <x:v>36</x:v>
      </x:c>
      <x:c r="AR1591" t="n">
        <x:f>_xlfn.XLOOKUP($A1591,Games!$A$2:$A$18,Games!$M$2:$M$18,"Missing game",0)</x:f>
        <x:v>0</x:v>
      </x:c>
      <x:c r="AS1591" t="str">
        <x:f>_xlfn.XLOOKUP($A1591,Games!$A$2:$A$18,Games!$N$2:$N$18,"Missing game",0)</x:f>
        <x:v>dome</x:v>
      </x:c>
      <x:c r="AT1591" t="str">
        <x:f>_xlfn.XLOOKUP($A1591,Games!$A$2:$A$18,Games!$O$2:$O$18,"Missing game",0)</x:f>
        <x:v>sportturf</x:v>
      </x:c>
      <x:c r="AU1591" t="str">
        <x:f>_xlfn.XLOOKUP($A1591,Games!$A$2:$A$18,Games!$P$2:$P$18,"Missing game",0)</x:f>
      </x:c>
      <x:c r="AV1591" t="str">
        <x:f>_xlfn.XLOOKUP($A1591,Games!$A$2:$A$18,Games!$Q$2:$Q$18,"Missing game",0)</x:f>
      </x:c>
      <x:c r="AW1591" t="str">
        <x:f>_xlfn.XLOOKUP($A1591,Games!$A$2:$A$18,Games!$R$2:$R$18,"Missing game",0)</x:f>
        <x:v>U.S. Bank Stadium</x:v>
      </x:c>
    </x:row>
    <x:row r="1592">
      <x:c r="A1592" t="str">
        <x:v>2025_11_CHI_MIN</x:v>
      </x:c>
      <x:c r="B1592" t="n">
        <x:v>1361</x:v>
      </x:c>
      <x:c r="C1592" t="n">
        <x:v>2</x:v>
      </x:c>
      <x:c r="D1592" t="str">
        <x:v>07:32</x:v>
      </x:c>
      <x:c r="E1592" t="n">
        <x:v>3</x:v>
      </x:c>
      <x:c r="F1592" t="n">
        <x:v>1</x:v>
      </x:c>
      <x:c r="G1592" t="str">
        <x:v>CHI</x:v>
      </x:c>
      <x:c r="H1592" t="str">
        <x:v>MIN</x:v>
      </x:c>
      <x:c r="I1592" t="str">
        <x:v>MIN</x:v>
      </x:c>
      <x:c r="J1592" t="n">
        <x:v>16</x:v>
      </x:c>
      <x:c r="K1592" t="str">
        <x:v>(7:32) 18-C.Williams up the middle to MIN 13 for 3 yards (51-B.Cashman).</x:v>
      </x:c>
      <x:c r="L1592" t="str">
        <x:v>run</x:v>
      </x:c>
      <x:c r="M1592" t="n">
        <x:v>3</x:v>
      </x:c>
      <x:c r="N1592" t="n">
        <x:v>0</x:v>
      </x:c>
      <x:c r="O1592" t="n">
        <x:v>0</x:v>
      </x:c>
      <x:c r="P1592"/>
      <x:c r="Q1592"/>
      <x:c r="R1592"/>
      <x:c r="S1592"/>
      <x:c r="T1592" t="str">
        <x:v>middle</x:v>
      </x:c>
      <x:c r="U1592"/>
      <x:c r="V1592" t="n">
        <x:v>0</x:v>
      </x:c>
      <x:c r="W1592" t="n">
        <x:v>1</x:v>
      </x:c>
      <x:c r="X1592" t="n">
        <x:v>0</x:v>
      </x:c>
      <x:c r="Y1592" t="n">
        <x:v>0</x:v>
      </x:c>
      <x:c r="Z1592" t="n">
        <x:v>0</x:v>
      </x:c>
      <x:c r="AA1592" t="n">
        <x:v>0</x:v>
      </x:c>
      <x:c r="AB1592"/>
      <x:c r="AC1592" t="n">
        <x:v>0</x:v>
      </x:c>
      <x:c r="AD1592" t="n">
        <x:v>0.5147669126163237</x:v>
      </x:c>
      <x:c r="AE1592" t="n">
        <x:v>1</x:v>
      </x:c>
      <x:c r="AF1592" t="n">
        <x:v>0.018581926822662354</x:v>
      </x:c>
      <x:c r="AG1592" t="n">
        <x:f>_xlfn.XLOOKUP($A1592,Games!$A$2:$A$18,Games!$B$2:$B$18,"Missing game",0)</x:f>
        <x:v>2025</x:v>
      </x:c>
      <x:c r="AH1592" t="str">
        <x:f>_xlfn.XLOOKUP($A1592,Games!$A$2:$A$18,Games!$C$2:$C$18,"Missing game",0)</x:f>
        <x:v>REG</x:v>
      </x:c>
      <x:c r="AI1592" t="n">
        <x:f>_xlfn.XLOOKUP($A1592,Games!$A$2:$A$18,Games!$D$2:$D$18,"Missing game",0)</x:f>
        <x:v>11</x:v>
      </x:c>
      <x:c r="AJ1592" s="1" t="n">
        <x:f>_xlfn.XLOOKUP($A1592,Games!$A$2:$A$18,Games!$E$2:$E$18,"Missing game",0)</x:f>
        <x:v>45977</x:v>
      </x:c>
      <x:c r="AK1592" t="str">
        <x:f>_xlfn.XLOOKUP($A1592,Games!$A$2:$A$18,Games!$F$2:$F$18,"Missing game",0)</x:f>
        <x:v>Sunday</x:v>
      </x:c>
      <x:c r="AL1592" t="str">
        <x:f>_xlfn.XLOOKUP($A1592,Games!$A$2:$A$18,Games!$G$2:$G$18,"Missing game",0)</x:f>
        <x:v>CHI</x:v>
      </x:c>
      <x:c r="AM1592" t="n">
        <x:f>_xlfn.XLOOKUP($A1592,Games!$A$2:$A$18,Games!$H$2:$H$18,"Missing game",0)</x:f>
        <x:v>19</x:v>
      </x:c>
      <x:c r="AN1592" t="str">
        <x:f>_xlfn.XLOOKUP($A1592,Games!$A$2:$A$18,Games!$I$2:$I$18,"Missing game",0)</x:f>
        <x:v>MIN</x:v>
      </x:c>
      <x:c r="AO1592" t="n">
        <x:f>_xlfn.XLOOKUP($A1592,Games!$A$2:$A$18,Games!$J$2:$J$18,"Missing game",0)</x:f>
        <x:v>17</x:v>
      </x:c>
      <x:c r="AP1592" t="n">
        <x:f>_xlfn.XLOOKUP($A1592,Games!$A$2:$A$18,Games!$K$2:$K$18,"Missing game",0)</x:f>
        <x:v>-2</x:v>
      </x:c>
      <x:c r="AQ1592" t="n">
        <x:f>_xlfn.XLOOKUP($A1592,Games!$A$2:$A$18,Games!$L$2:$L$18,"Missing game",0)</x:f>
        <x:v>36</x:v>
      </x:c>
      <x:c r="AR1592" t="n">
        <x:f>_xlfn.XLOOKUP($A1592,Games!$A$2:$A$18,Games!$M$2:$M$18,"Missing game",0)</x:f>
        <x:v>0</x:v>
      </x:c>
      <x:c r="AS1592" t="str">
        <x:f>_xlfn.XLOOKUP($A1592,Games!$A$2:$A$18,Games!$N$2:$N$18,"Missing game",0)</x:f>
        <x:v>dome</x:v>
      </x:c>
      <x:c r="AT1592" t="str">
        <x:f>_xlfn.XLOOKUP($A1592,Games!$A$2:$A$18,Games!$O$2:$O$18,"Missing game",0)</x:f>
        <x:v>sportturf</x:v>
      </x:c>
      <x:c r="AU1592" t="str">
        <x:f>_xlfn.XLOOKUP($A1592,Games!$A$2:$A$18,Games!$P$2:$P$18,"Missing game",0)</x:f>
      </x:c>
      <x:c r="AV1592" t="str">
        <x:f>_xlfn.XLOOKUP($A1592,Games!$A$2:$A$18,Games!$Q$2:$Q$18,"Missing game",0)</x:f>
      </x:c>
      <x:c r="AW1592" t="str">
        <x:f>_xlfn.XLOOKUP($A1592,Games!$A$2:$A$18,Games!$R$2:$R$18,"Missing game",0)</x:f>
        <x:v>U.S. Bank Stadium</x:v>
      </x:c>
    </x:row>
    <x:row r="1593">
      <x:c r="A1593" t="str">
        <x:v>2025_11_CHI_MIN</x:v>
      </x:c>
      <x:c r="B1593" t="n">
        <x:v>1383</x:v>
      </x:c>
      <x:c r="C1593" t="n">
        <x:v>2</x:v>
      </x:c>
      <x:c r="D1593" t="str">
        <x:v>06:56</x:v>
      </x:c>
      <x:c r="E1593" t="n">
        <x:v>1</x:v>
      </x:c>
      <x:c r="F1593" t="n">
        <x:v>10</x:v>
      </x:c>
      <x:c r="G1593" t="str">
        <x:v>CHI</x:v>
      </x:c>
      <x:c r="H1593" t="str">
        <x:v>MIN</x:v>
      </x:c>
      <x:c r="I1593" t="str">
        <x:v>MIN</x:v>
      </x:c>
      <x:c r="J1593" t="n">
        <x:v>13</x:v>
      </x:c>
      <x:c r="K1593" t="str">
        <x:v>(6:56) 4-D.Swift up the middle to MIN 8 for 5 yards (22-H.Smith).</x:v>
      </x:c>
      <x:c r="L1593" t="str">
        <x:v>run</x:v>
      </x:c>
      <x:c r="M1593" t="n">
        <x:v>5</x:v>
      </x:c>
      <x:c r="N1593" t="n">
        <x:v>0</x:v>
      </x:c>
      <x:c r="O1593" t="n">
        <x:v>0</x:v>
      </x:c>
      <x:c r="P1593"/>
      <x:c r="Q1593"/>
      <x:c r="R1593"/>
      <x:c r="S1593"/>
      <x:c r="T1593" t="str">
        <x:v>middle</x:v>
      </x:c>
      <x:c r="U1593"/>
      <x:c r="V1593" t="n">
        <x:v>0</x:v>
      </x:c>
      <x:c r="W1593" t="n">
        <x:v>0</x:v>
      </x:c>
      <x:c r="X1593" t="n">
        <x:v>0</x:v>
      </x:c>
      <x:c r="Y1593" t="n">
        <x:v>0</x:v>
      </x:c>
      <x:c r="Z1593" t="n">
        <x:v>0</x:v>
      </x:c>
      <x:c r="AA1593" t="n">
        <x:v>0</x:v>
      </x:c>
      <x:c r="AB1593"/>
      <x:c r="AC1593" t="n">
        <x:v>0</x:v>
      </x:c>
      <x:c r="AD1593" t="n">
        <x:v>0.06253148359246552</x:v>
      </x:c>
      <x:c r="AE1593" t="n">
        <x:v>1</x:v>
      </x:c>
      <x:c r="AF1593" t="n">
        <x:v>-0.012641608715057373</x:v>
      </x:c>
      <x:c r="AG1593" t="n">
        <x:f>_xlfn.XLOOKUP($A1593,Games!$A$2:$A$18,Games!$B$2:$B$18,"Missing game",0)</x:f>
        <x:v>2025</x:v>
      </x:c>
      <x:c r="AH1593" t="str">
        <x:f>_xlfn.XLOOKUP($A1593,Games!$A$2:$A$18,Games!$C$2:$C$18,"Missing game",0)</x:f>
        <x:v>REG</x:v>
      </x:c>
      <x:c r="AI1593" t="n">
        <x:f>_xlfn.XLOOKUP($A1593,Games!$A$2:$A$18,Games!$D$2:$D$18,"Missing game",0)</x:f>
        <x:v>11</x:v>
      </x:c>
      <x:c r="AJ1593" s="1" t="n">
        <x:f>_xlfn.XLOOKUP($A1593,Games!$A$2:$A$18,Games!$E$2:$E$18,"Missing game",0)</x:f>
        <x:v>45977</x:v>
      </x:c>
      <x:c r="AK1593" t="str">
        <x:f>_xlfn.XLOOKUP($A1593,Games!$A$2:$A$18,Games!$F$2:$F$18,"Missing game",0)</x:f>
        <x:v>Sunday</x:v>
      </x:c>
      <x:c r="AL1593" t="str">
        <x:f>_xlfn.XLOOKUP($A1593,Games!$A$2:$A$18,Games!$G$2:$G$18,"Missing game",0)</x:f>
        <x:v>CHI</x:v>
      </x:c>
      <x:c r="AM1593" t="n">
        <x:f>_xlfn.XLOOKUP($A1593,Games!$A$2:$A$18,Games!$H$2:$H$18,"Missing game",0)</x:f>
        <x:v>19</x:v>
      </x:c>
      <x:c r="AN1593" t="str">
        <x:f>_xlfn.XLOOKUP($A1593,Games!$A$2:$A$18,Games!$I$2:$I$18,"Missing game",0)</x:f>
        <x:v>MIN</x:v>
      </x:c>
      <x:c r="AO1593" t="n">
        <x:f>_xlfn.XLOOKUP($A1593,Games!$A$2:$A$18,Games!$J$2:$J$18,"Missing game",0)</x:f>
        <x:v>17</x:v>
      </x:c>
      <x:c r="AP1593" t="n">
        <x:f>_xlfn.XLOOKUP($A1593,Games!$A$2:$A$18,Games!$K$2:$K$18,"Missing game",0)</x:f>
        <x:v>-2</x:v>
      </x:c>
      <x:c r="AQ1593" t="n">
        <x:f>_xlfn.XLOOKUP($A1593,Games!$A$2:$A$18,Games!$L$2:$L$18,"Missing game",0)</x:f>
        <x:v>36</x:v>
      </x:c>
      <x:c r="AR1593" t="n">
        <x:f>_xlfn.XLOOKUP($A1593,Games!$A$2:$A$18,Games!$M$2:$M$18,"Missing game",0)</x:f>
        <x:v>0</x:v>
      </x:c>
      <x:c r="AS1593" t="str">
        <x:f>_xlfn.XLOOKUP($A1593,Games!$A$2:$A$18,Games!$N$2:$N$18,"Missing game",0)</x:f>
        <x:v>dome</x:v>
      </x:c>
      <x:c r="AT1593" t="str">
        <x:f>_xlfn.XLOOKUP($A1593,Games!$A$2:$A$18,Games!$O$2:$O$18,"Missing game",0)</x:f>
        <x:v>sportturf</x:v>
      </x:c>
      <x:c r="AU1593" t="str">
        <x:f>_xlfn.XLOOKUP($A1593,Games!$A$2:$A$18,Games!$P$2:$P$18,"Missing game",0)</x:f>
      </x:c>
      <x:c r="AV1593" t="str">
        <x:f>_xlfn.XLOOKUP($A1593,Games!$A$2:$A$18,Games!$Q$2:$Q$18,"Missing game",0)</x:f>
      </x:c>
      <x:c r="AW1593" t="str">
        <x:f>_xlfn.XLOOKUP($A1593,Games!$A$2:$A$18,Games!$R$2:$R$18,"Missing game",0)</x:f>
        <x:v>U.S. Bank Stadium</x:v>
      </x:c>
    </x:row>
    <x:row r="1594">
      <x:c r="A1594" t="str">
        <x:v>2025_11_CHI_MIN</x:v>
      </x:c>
      <x:c r="B1594" t="n">
        <x:v>1405</x:v>
      </x:c>
      <x:c r="C1594" t="n">
        <x:v>2</x:v>
      </x:c>
      <x:c r="D1594" t="str">
        <x:v>06:18</x:v>
      </x:c>
      <x:c r="E1594" t="n">
        <x:v>2</x:v>
      </x:c>
      <x:c r="F1594" t="n">
        <x:v>5</x:v>
      </x:c>
      <x:c r="G1594" t="str">
        <x:v>CHI</x:v>
      </x:c>
      <x:c r="H1594" t="str">
        <x:v>MIN</x:v>
      </x:c>
      <x:c r="I1594" t="str">
        <x:v>MIN</x:v>
      </x:c>
      <x:c r="J1594" t="n">
        <x:v>8</x:v>
      </x:c>
      <x:c r="K1594" t="str">
        <x:v>(6:18) 4-D.Swift right guard to MIN 7 for 1 yard (50-L.Rodriguez).</x:v>
      </x:c>
      <x:c r="L1594" t="str">
        <x:v>run</x:v>
      </x:c>
      <x:c r="M1594" t="n">
        <x:v>1</x:v>
      </x:c>
      <x:c r="N1594" t="n">
        <x:v>0</x:v>
      </x:c>
      <x:c r="O1594" t="n">
        <x:v>0</x:v>
      </x:c>
      <x:c r="P1594"/>
      <x:c r="Q1594"/>
      <x:c r="R1594"/>
      <x:c r="S1594"/>
      <x:c r="T1594" t="str">
        <x:v>right</x:v>
      </x:c>
      <x:c r="U1594" t="str">
        <x:v>guard</x:v>
      </x:c>
      <x:c r="V1594" t="n">
        <x:v>0</x:v>
      </x:c>
      <x:c r="W1594" t="n">
        <x:v>0</x:v>
      </x:c>
      <x:c r="X1594" t="n">
        <x:v>0</x:v>
      </x:c>
      <x:c r="Y1594" t="n">
        <x:v>0</x:v>
      </x:c>
      <x:c r="Z1594" t="n">
        <x:v>0</x:v>
      </x:c>
      <x:c r="AA1594" t="n">
        <x:v>0</x:v>
      </x:c>
      <x:c r="AB1594"/>
      <x:c r="AC1594" t="n">
        <x:v>0</x:v>
      </x:c>
      <x:c r="AD1594" t="n">
        <x:v>-0.7269563386798836</x:v>
      </x:c>
      <x:c r="AE1594" t="n">
        <x:v>0</x:v>
      </x:c>
      <x:c r="AF1594" t="n">
        <x:v>-0.016263365745544434</x:v>
      </x:c>
      <x:c r="AG1594" t="n">
        <x:f>_xlfn.XLOOKUP($A1594,Games!$A$2:$A$18,Games!$B$2:$B$18,"Missing game",0)</x:f>
        <x:v>2025</x:v>
      </x:c>
      <x:c r="AH1594" t="str">
        <x:f>_xlfn.XLOOKUP($A1594,Games!$A$2:$A$18,Games!$C$2:$C$18,"Missing game",0)</x:f>
        <x:v>REG</x:v>
      </x:c>
      <x:c r="AI1594" t="n">
        <x:f>_xlfn.XLOOKUP($A1594,Games!$A$2:$A$18,Games!$D$2:$D$18,"Missing game",0)</x:f>
        <x:v>11</x:v>
      </x:c>
      <x:c r="AJ1594" s="1" t="n">
        <x:f>_xlfn.XLOOKUP($A1594,Games!$A$2:$A$18,Games!$E$2:$E$18,"Missing game",0)</x:f>
        <x:v>45977</x:v>
      </x:c>
      <x:c r="AK1594" t="str">
        <x:f>_xlfn.XLOOKUP($A1594,Games!$A$2:$A$18,Games!$F$2:$F$18,"Missing game",0)</x:f>
        <x:v>Sunday</x:v>
      </x:c>
      <x:c r="AL1594" t="str">
        <x:f>_xlfn.XLOOKUP($A1594,Games!$A$2:$A$18,Games!$G$2:$G$18,"Missing game",0)</x:f>
        <x:v>CHI</x:v>
      </x:c>
      <x:c r="AM1594" t="n">
        <x:f>_xlfn.XLOOKUP($A1594,Games!$A$2:$A$18,Games!$H$2:$H$18,"Missing game",0)</x:f>
        <x:v>19</x:v>
      </x:c>
      <x:c r="AN1594" t="str">
        <x:f>_xlfn.XLOOKUP($A1594,Games!$A$2:$A$18,Games!$I$2:$I$18,"Missing game",0)</x:f>
        <x:v>MIN</x:v>
      </x:c>
      <x:c r="AO1594" t="n">
        <x:f>_xlfn.XLOOKUP($A1594,Games!$A$2:$A$18,Games!$J$2:$J$18,"Missing game",0)</x:f>
        <x:v>17</x:v>
      </x:c>
      <x:c r="AP1594" t="n">
        <x:f>_xlfn.XLOOKUP($A1594,Games!$A$2:$A$18,Games!$K$2:$K$18,"Missing game",0)</x:f>
        <x:v>-2</x:v>
      </x:c>
      <x:c r="AQ1594" t="n">
        <x:f>_xlfn.XLOOKUP($A1594,Games!$A$2:$A$18,Games!$L$2:$L$18,"Missing game",0)</x:f>
        <x:v>36</x:v>
      </x:c>
      <x:c r="AR1594" t="n">
        <x:f>_xlfn.XLOOKUP($A1594,Games!$A$2:$A$18,Games!$M$2:$M$18,"Missing game",0)</x:f>
        <x:v>0</x:v>
      </x:c>
      <x:c r="AS1594" t="str">
        <x:f>_xlfn.XLOOKUP($A1594,Games!$A$2:$A$18,Games!$N$2:$N$18,"Missing game",0)</x:f>
        <x:v>dome</x:v>
      </x:c>
      <x:c r="AT1594" t="str">
        <x:f>_xlfn.XLOOKUP($A1594,Games!$A$2:$A$18,Games!$O$2:$O$18,"Missing game",0)</x:f>
        <x:v>sportturf</x:v>
      </x:c>
      <x:c r="AU1594" t="str">
        <x:f>_xlfn.XLOOKUP($A1594,Games!$A$2:$A$18,Games!$P$2:$P$18,"Missing game",0)</x:f>
      </x:c>
      <x:c r="AV1594" t="str">
        <x:f>_xlfn.XLOOKUP($A1594,Games!$A$2:$A$18,Games!$Q$2:$Q$18,"Missing game",0)</x:f>
      </x:c>
      <x:c r="AW1594" t="str">
        <x:f>_xlfn.XLOOKUP($A1594,Games!$A$2:$A$18,Games!$R$2:$R$18,"Missing game",0)</x:f>
        <x:v>U.S. Bank Stadium</x:v>
      </x:c>
    </x:row>
    <x:row r="1595">
      <x:c r="A1595" t="str">
        <x:v>2025_11_CHI_MIN</x:v>
      </x:c>
      <x:c r="B1595" t="n">
        <x:v>1427</x:v>
      </x:c>
      <x:c r="C1595" t="n">
        <x:v>2</x:v>
      </x:c>
      <x:c r="D1595" t="str">
        <x:v>05:36</x:v>
      </x:c>
      <x:c r="E1595" t="n">
        <x:v>3</x:v>
      </x:c>
      <x:c r="F1595" t="n">
        <x:v>4</x:v>
      </x:c>
      <x:c r="G1595" t="str">
        <x:v>CHI</x:v>
      </x:c>
      <x:c r="H1595" t="str">
        <x:v>MIN</x:v>
      </x:c>
      <x:c r="I1595" t="str">
        <x:v>MIN</x:v>
      </x:c>
      <x:c r="J1595" t="n">
        <x:v>7</x:v>
      </x:c>
      <x:c r="K1595" t="str">
        <x:v>(5:36) (Shotgun) 25-K.Monangai up the middle to MIN 1 for 6 yards (44-J.Metellus; 51-B.Cashman).</x:v>
      </x:c>
      <x:c r="L1595" t="str">
        <x:v>run</x:v>
      </x:c>
      <x:c r="M1595" t="n">
        <x:v>6</x:v>
      </x:c>
      <x:c r="N1595" t="n">
        <x:v>1</x:v>
      </x:c>
      <x:c r="O1595" t="n">
        <x:v>0</x:v>
      </x:c>
      <x:c r="P1595"/>
      <x:c r="Q1595"/>
      <x:c r="R1595"/>
      <x:c r="S1595"/>
      <x:c r="T1595" t="str">
        <x:v>middle</x:v>
      </x:c>
      <x:c r="U1595"/>
      <x:c r="V1595" t="n">
        <x:v>0</x:v>
      </x:c>
      <x:c r="W1595" t="n">
        <x:v>1</x:v>
      </x:c>
      <x:c r="X1595" t="n">
        <x:v>0</x:v>
      </x:c>
      <x:c r="Y1595" t="n">
        <x:v>0</x:v>
      </x:c>
      <x:c r="Z1595" t="n">
        <x:v>0</x:v>
      </x:c>
      <x:c r="AA1595" t="n">
        <x:v>0</x:v>
      </x:c>
      <x:c r="AB1595"/>
      <x:c r="AC1595" t="n">
        <x:v>0</x:v>
      </x:c>
      <x:c r="AD1595" t="n">
        <x:v>2.041271899390267</x:v>
      </x:c>
      <x:c r="AE1595" t="n">
        <x:v>1</x:v>
      </x:c>
      <x:c r="AF1595" t="n">
        <x:v>0.06427597999572754</x:v>
      </x:c>
      <x:c r="AG1595" t="n">
        <x:f>_xlfn.XLOOKUP($A1595,Games!$A$2:$A$18,Games!$B$2:$B$18,"Missing game",0)</x:f>
        <x:v>2025</x:v>
      </x:c>
      <x:c r="AH1595" t="str">
        <x:f>_xlfn.XLOOKUP($A1595,Games!$A$2:$A$18,Games!$C$2:$C$18,"Missing game",0)</x:f>
        <x:v>REG</x:v>
      </x:c>
      <x:c r="AI1595" t="n">
        <x:f>_xlfn.XLOOKUP($A1595,Games!$A$2:$A$18,Games!$D$2:$D$18,"Missing game",0)</x:f>
        <x:v>11</x:v>
      </x:c>
      <x:c r="AJ1595" s="1" t="n">
        <x:f>_xlfn.XLOOKUP($A1595,Games!$A$2:$A$18,Games!$E$2:$E$18,"Missing game",0)</x:f>
        <x:v>45977</x:v>
      </x:c>
      <x:c r="AK1595" t="str">
        <x:f>_xlfn.XLOOKUP($A1595,Games!$A$2:$A$18,Games!$F$2:$F$18,"Missing game",0)</x:f>
        <x:v>Sunday</x:v>
      </x:c>
      <x:c r="AL1595" t="str">
        <x:f>_xlfn.XLOOKUP($A1595,Games!$A$2:$A$18,Games!$G$2:$G$18,"Missing game",0)</x:f>
        <x:v>CHI</x:v>
      </x:c>
      <x:c r="AM1595" t="n">
        <x:f>_xlfn.XLOOKUP($A1595,Games!$A$2:$A$18,Games!$H$2:$H$18,"Missing game",0)</x:f>
        <x:v>19</x:v>
      </x:c>
      <x:c r="AN1595" t="str">
        <x:f>_xlfn.XLOOKUP($A1595,Games!$A$2:$A$18,Games!$I$2:$I$18,"Missing game",0)</x:f>
        <x:v>MIN</x:v>
      </x:c>
      <x:c r="AO1595" t="n">
        <x:f>_xlfn.XLOOKUP($A1595,Games!$A$2:$A$18,Games!$J$2:$J$18,"Missing game",0)</x:f>
        <x:v>17</x:v>
      </x:c>
      <x:c r="AP1595" t="n">
        <x:f>_xlfn.XLOOKUP($A1595,Games!$A$2:$A$18,Games!$K$2:$K$18,"Missing game",0)</x:f>
        <x:v>-2</x:v>
      </x:c>
      <x:c r="AQ1595" t="n">
        <x:f>_xlfn.XLOOKUP($A1595,Games!$A$2:$A$18,Games!$L$2:$L$18,"Missing game",0)</x:f>
        <x:v>36</x:v>
      </x:c>
      <x:c r="AR1595" t="n">
        <x:f>_xlfn.XLOOKUP($A1595,Games!$A$2:$A$18,Games!$M$2:$M$18,"Missing game",0)</x:f>
        <x:v>0</x:v>
      </x:c>
      <x:c r="AS1595" t="str">
        <x:f>_xlfn.XLOOKUP($A1595,Games!$A$2:$A$18,Games!$N$2:$N$18,"Missing game",0)</x:f>
        <x:v>dome</x:v>
      </x:c>
      <x:c r="AT1595" t="str">
        <x:f>_xlfn.XLOOKUP($A1595,Games!$A$2:$A$18,Games!$O$2:$O$18,"Missing game",0)</x:f>
        <x:v>sportturf</x:v>
      </x:c>
      <x:c r="AU1595" t="str">
        <x:f>_xlfn.XLOOKUP($A1595,Games!$A$2:$A$18,Games!$P$2:$P$18,"Missing game",0)</x:f>
      </x:c>
      <x:c r="AV1595" t="str">
        <x:f>_xlfn.XLOOKUP($A1595,Games!$A$2:$A$18,Games!$Q$2:$Q$18,"Missing game",0)</x:f>
      </x:c>
      <x:c r="AW1595" t="str">
        <x:f>_xlfn.XLOOKUP($A1595,Games!$A$2:$A$18,Games!$R$2:$R$18,"Missing game",0)</x:f>
        <x:v>U.S. Bank Stadium</x:v>
      </x:c>
    </x:row>
    <x:row r="1596">
      <x:c r="A1596" t="str">
        <x:v>2025_11_CHI_MIN</x:v>
      </x:c>
      <x:c r="B1596" t="n">
        <x:v>1449</x:v>
      </x:c>
      <x:c r="C1596" t="n">
        <x:v>2</x:v>
      </x:c>
      <x:c r="D1596" t="str">
        <x:v>04:57</x:v>
      </x:c>
      <x:c r="E1596" t="n">
        <x:v>1</x:v>
      </x:c>
      <x:c r="F1596" t="n">
        <x:v>1</x:v>
      </x:c>
      <x:c r="G1596" t="str">
        <x:v>CHI</x:v>
      </x:c>
      <x:c r="H1596" t="str">
        <x:v>MIN</x:v>
      </x:c>
      <x:c r="I1596" t="str">
        <x:v>MIN</x:v>
      </x:c>
      <x:c r="J1596" t="n">
        <x:v>1</x:v>
      </x:c>
      <x:c r="K1596" t="str">
        <x:v>(4:57) 25-K.Monangai left guard for 1 yard, TOUCHDOWN.</x:v>
      </x:c>
      <x:c r="L1596" t="str">
        <x:v>run</x:v>
      </x:c>
      <x:c r="M1596" t="n">
        <x:v>1</x:v>
      </x:c>
      <x:c r="N1596" t="n">
        <x:v>0</x:v>
      </x:c>
      <x:c r="O1596" t="n">
        <x:v>0</x:v>
      </x:c>
      <x:c r="P1596"/>
      <x:c r="Q1596"/>
      <x:c r="R1596"/>
      <x:c r="S1596"/>
      <x:c r="T1596" t="str">
        <x:v>left</x:v>
      </x:c>
      <x:c r="U1596" t="str">
        <x:v>guard</x:v>
      </x:c>
      <x:c r="V1596" t="n">
        <x:v>0</x:v>
      </x:c>
      <x:c r="W1596" t="n">
        <x:v>1</x:v>
      </x:c>
      <x:c r="X1596" t="n">
        <x:v>0</x:v>
      </x:c>
      <x:c r="Y1596" t="n">
        <x:v>0</x:v>
      </x:c>
      <x:c r="Z1596" t="n">
        <x:v>0</x:v>
      </x:c>
      <x:c r="AA1596" t="n">
        <x:v>0</x:v>
      </x:c>
      <x:c r="AB1596"/>
      <x:c r="AC1596" t="n">
        <x:v>1</x:v>
      </x:c>
      <x:c r="AD1596" t="n">
        <x:v>0.5777379346254747</x:v>
      </x:c>
      <x:c r="AE1596" t="n">
        <x:v>1</x:v>
      </x:c>
      <x:c r="AF1596" t="n">
        <x:v>0.017908554775164287</x:v>
      </x:c>
      <x:c r="AG1596" t="n">
        <x:f>_xlfn.XLOOKUP($A1596,Games!$A$2:$A$18,Games!$B$2:$B$18,"Missing game",0)</x:f>
        <x:v>2025</x:v>
      </x:c>
      <x:c r="AH1596" t="str">
        <x:f>_xlfn.XLOOKUP($A1596,Games!$A$2:$A$18,Games!$C$2:$C$18,"Missing game",0)</x:f>
        <x:v>REG</x:v>
      </x:c>
      <x:c r="AI1596" t="n">
        <x:f>_xlfn.XLOOKUP($A1596,Games!$A$2:$A$18,Games!$D$2:$D$18,"Missing game",0)</x:f>
        <x:v>11</x:v>
      </x:c>
      <x:c r="AJ1596" s="1" t="n">
        <x:f>_xlfn.XLOOKUP($A1596,Games!$A$2:$A$18,Games!$E$2:$E$18,"Missing game",0)</x:f>
        <x:v>45977</x:v>
      </x:c>
      <x:c r="AK1596" t="str">
        <x:f>_xlfn.XLOOKUP($A1596,Games!$A$2:$A$18,Games!$F$2:$F$18,"Missing game",0)</x:f>
        <x:v>Sunday</x:v>
      </x:c>
      <x:c r="AL1596" t="str">
        <x:f>_xlfn.XLOOKUP($A1596,Games!$A$2:$A$18,Games!$G$2:$G$18,"Missing game",0)</x:f>
        <x:v>CHI</x:v>
      </x:c>
      <x:c r="AM1596" t="n">
        <x:f>_xlfn.XLOOKUP($A1596,Games!$A$2:$A$18,Games!$H$2:$H$18,"Missing game",0)</x:f>
        <x:v>19</x:v>
      </x:c>
      <x:c r="AN1596" t="str">
        <x:f>_xlfn.XLOOKUP($A1596,Games!$A$2:$A$18,Games!$I$2:$I$18,"Missing game",0)</x:f>
        <x:v>MIN</x:v>
      </x:c>
      <x:c r="AO1596" t="n">
        <x:f>_xlfn.XLOOKUP($A1596,Games!$A$2:$A$18,Games!$J$2:$J$18,"Missing game",0)</x:f>
        <x:v>17</x:v>
      </x:c>
      <x:c r="AP1596" t="n">
        <x:f>_xlfn.XLOOKUP($A1596,Games!$A$2:$A$18,Games!$K$2:$K$18,"Missing game",0)</x:f>
        <x:v>-2</x:v>
      </x:c>
      <x:c r="AQ1596" t="n">
        <x:f>_xlfn.XLOOKUP($A1596,Games!$A$2:$A$18,Games!$L$2:$L$18,"Missing game",0)</x:f>
        <x:v>36</x:v>
      </x:c>
      <x:c r="AR1596" t="n">
        <x:f>_xlfn.XLOOKUP($A1596,Games!$A$2:$A$18,Games!$M$2:$M$18,"Missing game",0)</x:f>
        <x:v>0</x:v>
      </x:c>
      <x:c r="AS1596" t="str">
        <x:f>_xlfn.XLOOKUP($A1596,Games!$A$2:$A$18,Games!$N$2:$N$18,"Missing game",0)</x:f>
        <x:v>dome</x:v>
      </x:c>
      <x:c r="AT1596" t="str">
        <x:f>_xlfn.XLOOKUP($A1596,Games!$A$2:$A$18,Games!$O$2:$O$18,"Missing game",0)</x:f>
        <x:v>sportturf</x:v>
      </x:c>
      <x:c r="AU1596" t="str">
        <x:f>_xlfn.XLOOKUP($A1596,Games!$A$2:$A$18,Games!$P$2:$P$18,"Missing game",0)</x:f>
      </x:c>
      <x:c r="AV1596" t="str">
        <x:f>_xlfn.XLOOKUP($A1596,Games!$A$2:$A$18,Games!$Q$2:$Q$18,"Missing game",0)</x:f>
      </x:c>
      <x:c r="AW1596" t="str">
        <x:f>_xlfn.XLOOKUP($A1596,Games!$A$2:$A$18,Games!$R$2:$R$18,"Missing game",0)</x:f>
        <x:v>U.S. Bank Stadium</x:v>
      </x:c>
    </x:row>
    <x:row r="1597">
      <x:c r="A1597" t="str">
        <x:v>2025_11_CHI_MIN</x:v>
      </x:c>
      <x:c r="B1597" t="n">
        <x:v>1472</x:v>
      </x:c>
      <x:c r="C1597" t="n">
        <x:v>2</x:v>
      </x:c>
      <x:c r="D1597" t="str">
        <x:v>04:55</x:v>
      </x:c>
      <x:c r="E1597"/>
      <x:c r="F1597" t="n">
        <x:v>0</x:v>
      </x:c>
      <x:c r="G1597" t="str">
        <x:v>CHI</x:v>
      </x:c>
      <x:c r="H1597" t="str">
        <x:v>MIN</x:v>
      </x:c>
      <x:c r="I1597" t="str">
        <x:v>MIN</x:v>
      </x:c>
      <x:c r="J1597" t="n">
        <x:v>15</x:v>
      </x:c>
      <x:c r="K1597" t="str">
        <x:v>8-C.Santos extra point is GOOD, Center-46-S.Daly, Holder-19-T.Taylor.</x:v>
      </x:c>
      <x:c r="L1597" t="str">
        <x:v>extra_point</x:v>
      </x:c>
      <x:c r="M1597" t="n">
        <x:v>0</x:v>
      </x:c>
      <x:c r="N1597" t="n">
        <x:v>0</x:v>
      </x:c>
      <x:c r="O1597" t="n">
        <x:v>0</x:v>
      </x:c>
      <x:c r="P1597"/>
      <x:c r="Q1597"/>
      <x:c r="R1597"/>
      <x:c r="S1597"/>
      <x:c r="T1597"/>
      <x:c r="U1597"/>
      <x:c r="V1597" t="n">
        <x:v>0</x:v>
      </x:c>
      <x:c r="W1597" t="n">
        <x:v>0</x:v>
      </x:c>
      <x:c r="X1597" t="n">
        <x:v>0</x:v>
      </x:c>
      <x:c r="Y1597" t="n">
        <x:v>0</x:v>
      </x:c>
      <x:c r="Z1597" t="n">
        <x:v>0</x:v>
      </x:c>
      <x:c r="AA1597" t="n">
        <x:v>0</x:v>
      </x:c>
      <x:c r="AB1597"/>
      <x:c r="AC1597" t="n">
        <x:v>0</x:v>
      </x:c>
      <x:c r="AD1597" t="n">
        <x:v>0.05117156607063911</x:v>
      </x:c>
      <x:c r="AE1597" t="n">
        <x:v>1</x:v>
      </x:c>
      <x:c r="AF1597" t="n">
        <x:v>0.0021723692589543653</x:v>
      </x:c>
      <x:c r="AG1597" t="n">
        <x:f>_xlfn.XLOOKUP($A1597,Games!$A$2:$A$18,Games!$B$2:$B$18,"Missing game",0)</x:f>
        <x:v>2025</x:v>
      </x:c>
      <x:c r="AH1597" t="str">
        <x:f>_xlfn.XLOOKUP($A1597,Games!$A$2:$A$18,Games!$C$2:$C$18,"Missing game",0)</x:f>
        <x:v>REG</x:v>
      </x:c>
      <x:c r="AI1597" t="n">
        <x:f>_xlfn.XLOOKUP($A1597,Games!$A$2:$A$18,Games!$D$2:$D$18,"Missing game",0)</x:f>
        <x:v>11</x:v>
      </x:c>
      <x:c r="AJ1597" s="1" t="n">
        <x:f>_xlfn.XLOOKUP($A1597,Games!$A$2:$A$18,Games!$E$2:$E$18,"Missing game",0)</x:f>
        <x:v>45977</x:v>
      </x:c>
      <x:c r="AK1597" t="str">
        <x:f>_xlfn.XLOOKUP($A1597,Games!$A$2:$A$18,Games!$F$2:$F$18,"Missing game",0)</x:f>
        <x:v>Sunday</x:v>
      </x:c>
      <x:c r="AL1597" t="str">
        <x:f>_xlfn.XLOOKUP($A1597,Games!$A$2:$A$18,Games!$G$2:$G$18,"Missing game",0)</x:f>
        <x:v>CHI</x:v>
      </x:c>
      <x:c r="AM1597" t="n">
        <x:f>_xlfn.XLOOKUP($A1597,Games!$A$2:$A$18,Games!$H$2:$H$18,"Missing game",0)</x:f>
        <x:v>19</x:v>
      </x:c>
      <x:c r="AN1597" t="str">
        <x:f>_xlfn.XLOOKUP($A1597,Games!$A$2:$A$18,Games!$I$2:$I$18,"Missing game",0)</x:f>
        <x:v>MIN</x:v>
      </x:c>
      <x:c r="AO1597" t="n">
        <x:f>_xlfn.XLOOKUP($A1597,Games!$A$2:$A$18,Games!$J$2:$J$18,"Missing game",0)</x:f>
        <x:v>17</x:v>
      </x:c>
      <x:c r="AP1597" t="n">
        <x:f>_xlfn.XLOOKUP($A1597,Games!$A$2:$A$18,Games!$K$2:$K$18,"Missing game",0)</x:f>
        <x:v>-2</x:v>
      </x:c>
      <x:c r="AQ1597" t="n">
        <x:f>_xlfn.XLOOKUP($A1597,Games!$A$2:$A$18,Games!$L$2:$L$18,"Missing game",0)</x:f>
        <x:v>36</x:v>
      </x:c>
      <x:c r="AR1597" t="n">
        <x:f>_xlfn.XLOOKUP($A1597,Games!$A$2:$A$18,Games!$M$2:$M$18,"Missing game",0)</x:f>
        <x:v>0</x:v>
      </x:c>
      <x:c r="AS1597" t="str">
        <x:f>_xlfn.XLOOKUP($A1597,Games!$A$2:$A$18,Games!$N$2:$N$18,"Missing game",0)</x:f>
        <x:v>dome</x:v>
      </x:c>
      <x:c r="AT1597" t="str">
        <x:f>_xlfn.XLOOKUP($A1597,Games!$A$2:$A$18,Games!$O$2:$O$18,"Missing game",0)</x:f>
        <x:v>sportturf</x:v>
      </x:c>
      <x:c r="AU1597" t="str">
        <x:f>_xlfn.XLOOKUP($A1597,Games!$A$2:$A$18,Games!$P$2:$P$18,"Missing game",0)</x:f>
      </x:c>
      <x:c r="AV1597" t="str">
        <x:f>_xlfn.XLOOKUP($A1597,Games!$A$2:$A$18,Games!$Q$2:$Q$18,"Missing game",0)</x:f>
      </x:c>
      <x:c r="AW1597" t="str">
        <x:f>_xlfn.XLOOKUP($A1597,Games!$A$2:$A$18,Games!$R$2:$R$18,"Missing game",0)</x:f>
        <x:v>U.S. Bank Stadium</x:v>
      </x:c>
    </x:row>
    <x:row r="1598">
      <x:c r="A1598" t="str">
        <x:v>2025_11_CHI_MIN</x:v>
      </x:c>
      <x:c r="B1598" t="n">
        <x:v>1487</x:v>
      </x:c>
      <x:c r="C1598" t="n">
        <x:v>2</x:v>
      </x:c>
      <x:c r="D1598" t="str">
        <x:v>04:55</x:v>
      </x:c>
      <x:c r="E1598"/>
      <x:c r="F1598" t="n">
        <x:v>0</x:v>
      </x:c>
      <x:c r="G1598" t="str">
        <x:v>MIN</x:v>
      </x:c>
      <x:c r="H1598" t="str">
        <x:v>CHI</x:v>
      </x:c>
      <x:c r="I1598" t="str">
        <x:v>CHI</x:v>
      </x:c>
      <x:c r="J1598" t="n">
        <x:v>35</x:v>
      </x:c>
      <x:c r="K1598" t="str">
        <x:v>8-C.Santos kicks 65 yards from CHI 35 to MIN 0. 4-M.Price to MIN 20 for 20 yards (22-E.Hicks; 39-J.Blackwell).</x:v>
      </x:c>
      <x:c r="L1598" t="str">
        <x:v>kickoff</x:v>
      </x:c>
      <x:c r="M1598" t="n">
        <x:v>0</x:v>
      </x:c>
      <x:c r="N1598" t="n">
        <x:v>0</x:v>
      </x:c>
      <x:c r="O1598" t="n">
        <x:v>0</x:v>
      </x:c>
      <x:c r="P1598"/>
      <x:c r="Q1598"/>
      <x:c r="R1598"/>
      <x:c r="S1598"/>
      <x:c r="T1598"/>
      <x:c r="U1598"/>
      <x:c r="V1598" t="n">
        <x:v>0</x:v>
      </x:c>
      <x:c r="W1598" t="n">
        <x:v>0</x:v>
      </x:c>
      <x:c r="X1598" t="n">
        <x:v>0</x:v>
      </x:c>
      <x:c r="Y1598" t="n">
        <x:v>0</x:v>
      </x:c>
      <x:c r="Z1598" t="n">
        <x:v>0</x:v>
      </x:c>
      <x:c r="AA1598" t="n">
        <x:v>0</x:v>
      </x:c>
      <x:c r="AB1598"/>
      <x:c r="AC1598" t="n">
        <x:v>0</x:v>
      </x:c>
      <x:c r="AD1598" t="n">
        <x:v>-0.2679213755764067</x:v>
      </x:c>
      <x:c r="AE1598" t="n">
        <x:v>0</x:v>
      </x:c>
      <x:c r="AF1598" t="n">
        <x:v>-0.006653875112533569</x:v>
      </x:c>
      <x:c r="AG1598" t="n">
        <x:f>_xlfn.XLOOKUP($A1598,Games!$A$2:$A$18,Games!$B$2:$B$18,"Missing game",0)</x:f>
        <x:v>2025</x:v>
      </x:c>
      <x:c r="AH1598" t="str">
        <x:f>_xlfn.XLOOKUP($A1598,Games!$A$2:$A$18,Games!$C$2:$C$18,"Missing game",0)</x:f>
        <x:v>REG</x:v>
      </x:c>
      <x:c r="AI1598" t="n">
        <x:f>_xlfn.XLOOKUP($A1598,Games!$A$2:$A$18,Games!$D$2:$D$18,"Missing game",0)</x:f>
        <x:v>11</x:v>
      </x:c>
      <x:c r="AJ1598" s="1" t="n">
        <x:f>_xlfn.XLOOKUP($A1598,Games!$A$2:$A$18,Games!$E$2:$E$18,"Missing game",0)</x:f>
        <x:v>45977</x:v>
      </x:c>
      <x:c r="AK1598" t="str">
        <x:f>_xlfn.XLOOKUP($A1598,Games!$A$2:$A$18,Games!$F$2:$F$18,"Missing game",0)</x:f>
        <x:v>Sunday</x:v>
      </x:c>
      <x:c r="AL1598" t="str">
        <x:f>_xlfn.XLOOKUP($A1598,Games!$A$2:$A$18,Games!$G$2:$G$18,"Missing game",0)</x:f>
        <x:v>CHI</x:v>
      </x:c>
      <x:c r="AM1598" t="n">
        <x:f>_xlfn.XLOOKUP($A1598,Games!$A$2:$A$18,Games!$H$2:$H$18,"Missing game",0)</x:f>
        <x:v>19</x:v>
      </x:c>
      <x:c r="AN1598" t="str">
        <x:f>_xlfn.XLOOKUP($A1598,Games!$A$2:$A$18,Games!$I$2:$I$18,"Missing game",0)</x:f>
        <x:v>MIN</x:v>
      </x:c>
      <x:c r="AO1598" t="n">
        <x:f>_xlfn.XLOOKUP($A1598,Games!$A$2:$A$18,Games!$J$2:$J$18,"Missing game",0)</x:f>
        <x:v>17</x:v>
      </x:c>
      <x:c r="AP1598" t="n">
        <x:f>_xlfn.XLOOKUP($A1598,Games!$A$2:$A$18,Games!$K$2:$K$18,"Missing game",0)</x:f>
        <x:v>-2</x:v>
      </x:c>
      <x:c r="AQ1598" t="n">
        <x:f>_xlfn.XLOOKUP($A1598,Games!$A$2:$A$18,Games!$L$2:$L$18,"Missing game",0)</x:f>
        <x:v>36</x:v>
      </x:c>
      <x:c r="AR1598" t="n">
        <x:f>_xlfn.XLOOKUP($A1598,Games!$A$2:$A$18,Games!$M$2:$M$18,"Missing game",0)</x:f>
        <x:v>0</x:v>
      </x:c>
      <x:c r="AS1598" t="str">
        <x:f>_xlfn.XLOOKUP($A1598,Games!$A$2:$A$18,Games!$N$2:$N$18,"Missing game",0)</x:f>
        <x:v>dome</x:v>
      </x:c>
      <x:c r="AT1598" t="str">
        <x:f>_xlfn.XLOOKUP($A1598,Games!$A$2:$A$18,Games!$O$2:$O$18,"Missing game",0)</x:f>
        <x:v>sportturf</x:v>
      </x:c>
      <x:c r="AU1598" t="str">
        <x:f>_xlfn.XLOOKUP($A1598,Games!$A$2:$A$18,Games!$P$2:$P$18,"Missing game",0)</x:f>
      </x:c>
      <x:c r="AV1598" t="str">
        <x:f>_xlfn.XLOOKUP($A1598,Games!$A$2:$A$18,Games!$Q$2:$Q$18,"Missing game",0)</x:f>
      </x:c>
      <x:c r="AW1598" t="str">
        <x:f>_xlfn.XLOOKUP($A1598,Games!$A$2:$A$18,Games!$R$2:$R$18,"Missing game",0)</x:f>
        <x:v>U.S. Bank Stadium</x:v>
      </x:c>
    </x:row>
    <x:row r="1599">
      <x:c r="A1599" t="str">
        <x:v>2025_11_CHI_MIN</x:v>
      </x:c>
      <x:c r="B1599" t="n">
        <x:v>1522</x:v>
      </x:c>
      <x:c r="C1599" t="n">
        <x:v>2</x:v>
      </x:c>
      <x:c r="D1599" t="str">
        <x:v>04:50</x:v>
      </x:c>
      <x:c r="E1599" t="n">
        <x:v>1</x:v>
      </x:c>
      <x:c r="F1599" t="n">
        <x:v>10</x:v>
      </x:c>
      <x:c r="G1599" t="str">
        <x:v>MIN</x:v>
      </x:c>
      <x:c r="H1599" t="str">
        <x:v>CHI</x:v>
      </x:c>
      <x:c r="I1599" t="str">
        <x:v>MIN</x:v>
      </x:c>
      <x:c r="J1599" t="n">
        <x:v>80</x:v>
      </x:c>
      <x:c r="K1599" t="str">
        <x:v>(4:50) 33-A.Jones left tackle to MIN 24 for 4 yards (44-N.Sewell; 31-K.Byard).</x:v>
      </x:c>
      <x:c r="L1599" t="str">
        <x:v>run</x:v>
      </x:c>
      <x:c r="M1599" t="n">
        <x:v>4</x:v>
      </x:c>
      <x:c r="N1599" t="n">
        <x:v>0</x:v>
      </x:c>
      <x:c r="O1599" t="n">
        <x:v>0</x:v>
      </x:c>
      <x:c r="P1599"/>
      <x:c r="Q1599"/>
      <x:c r="R1599"/>
      <x:c r="S1599"/>
      <x:c r="T1599" t="str">
        <x:v>left</x:v>
      </x:c>
      <x:c r="U1599" t="str">
        <x:v>tackle</x:v>
      </x:c>
      <x:c r="V1599" t="n">
        <x:v>0</x:v>
      </x:c>
      <x:c r="W1599" t="n">
        <x:v>0</x:v>
      </x:c>
      <x:c r="X1599" t="n">
        <x:v>0</x:v>
      </x:c>
      <x:c r="Y1599" t="n">
        <x:v>0</x:v>
      </x:c>
      <x:c r="Z1599" t="n">
        <x:v>0</x:v>
      </x:c>
      <x:c r="AA1599" t="n">
        <x:v>0</x:v>
      </x:c>
      <x:c r="AB1599"/>
      <x:c r="AC1599" t="n">
        <x:v>0</x:v>
      </x:c>
      <x:c r="AD1599" t="n">
        <x:v>-0.3076974821742624</x:v>
      </x:c>
      <x:c r="AE1599" t="n">
        <x:v>0</x:v>
      </x:c>
      <x:c r="AF1599" t="n">
        <x:v>-0.005679816007614136</x:v>
      </x:c>
      <x:c r="AG1599" t="n">
        <x:f>_xlfn.XLOOKUP($A1599,Games!$A$2:$A$18,Games!$B$2:$B$18,"Missing game",0)</x:f>
        <x:v>2025</x:v>
      </x:c>
      <x:c r="AH1599" t="str">
        <x:f>_xlfn.XLOOKUP($A1599,Games!$A$2:$A$18,Games!$C$2:$C$18,"Missing game",0)</x:f>
        <x:v>REG</x:v>
      </x:c>
      <x:c r="AI1599" t="n">
        <x:f>_xlfn.XLOOKUP($A1599,Games!$A$2:$A$18,Games!$D$2:$D$18,"Missing game",0)</x:f>
        <x:v>11</x:v>
      </x:c>
      <x:c r="AJ1599" s="1" t="n">
        <x:f>_xlfn.XLOOKUP($A1599,Games!$A$2:$A$18,Games!$E$2:$E$18,"Missing game",0)</x:f>
        <x:v>45977</x:v>
      </x:c>
      <x:c r="AK1599" t="str">
        <x:f>_xlfn.XLOOKUP($A1599,Games!$A$2:$A$18,Games!$F$2:$F$18,"Missing game",0)</x:f>
        <x:v>Sunday</x:v>
      </x:c>
      <x:c r="AL1599" t="str">
        <x:f>_xlfn.XLOOKUP($A1599,Games!$A$2:$A$18,Games!$G$2:$G$18,"Missing game",0)</x:f>
        <x:v>CHI</x:v>
      </x:c>
      <x:c r="AM1599" t="n">
        <x:f>_xlfn.XLOOKUP($A1599,Games!$A$2:$A$18,Games!$H$2:$H$18,"Missing game",0)</x:f>
        <x:v>19</x:v>
      </x:c>
      <x:c r="AN1599" t="str">
        <x:f>_xlfn.XLOOKUP($A1599,Games!$A$2:$A$18,Games!$I$2:$I$18,"Missing game",0)</x:f>
        <x:v>MIN</x:v>
      </x:c>
      <x:c r="AO1599" t="n">
        <x:f>_xlfn.XLOOKUP($A1599,Games!$A$2:$A$18,Games!$J$2:$J$18,"Missing game",0)</x:f>
        <x:v>17</x:v>
      </x:c>
      <x:c r="AP1599" t="n">
        <x:f>_xlfn.XLOOKUP($A1599,Games!$A$2:$A$18,Games!$K$2:$K$18,"Missing game",0)</x:f>
        <x:v>-2</x:v>
      </x:c>
      <x:c r="AQ1599" t="n">
        <x:f>_xlfn.XLOOKUP($A1599,Games!$A$2:$A$18,Games!$L$2:$L$18,"Missing game",0)</x:f>
        <x:v>36</x:v>
      </x:c>
      <x:c r="AR1599" t="n">
        <x:f>_xlfn.XLOOKUP($A1599,Games!$A$2:$A$18,Games!$M$2:$M$18,"Missing game",0)</x:f>
        <x:v>0</x:v>
      </x:c>
      <x:c r="AS1599" t="str">
        <x:f>_xlfn.XLOOKUP($A1599,Games!$A$2:$A$18,Games!$N$2:$N$18,"Missing game",0)</x:f>
        <x:v>dome</x:v>
      </x:c>
      <x:c r="AT1599" t="str">
        <x:f>_xlfn.XLOOKUP($A1599,Games!$A$2:$A$18,Games!$O$2:$O$18,"Missing game",0)</x:f>
        <x:v>sportturf</x:v>
      </x:c>
      <x:c r="AU1599" t="str">
        <x:f>_xlfn.XLOOKUP($A1599,Games!$A$2:$A$18,Games!$P$2:$P$18,"Missing game",0)</x:f>
      </x:c>
      <x:c r="AV1599" t="str">
        <x:f>_xlfn.XLOOKUP($A1599,Games!$A$2:$A$18,Games!$Q$2:$Q$18,"Missing game",0)</x:f>
      </x:c>
      <x:c r="AW1599" t="str">
        <x:f>_xlfn.XLOOKUP($A1599,Games!$A$2:$A$18,Games!$R$2:$R$18,"Missing game",0)</x:f>
        <x:v>U.S. Bank Stadium</x:v>
      </x:c>
    </x:row>
    <x:row r="1600">
      <x:c r="A1600" t="str">
        <x:v>2025_11_CHI_MIN</x:v>
      </x:c>
      <x:c r="B1600" t="n">
        <x:v>1546</x:v>
      </x:c>
      <x:c r="C1600" t="n">
        <x:v>2</x:v>
      </x:c>
      <x:c r="D1600" t="str">
        <x:v>04:11</x:v>
      </x:c>
      <x:c r="E1600" t="n">
        <x:v>2</x:v>
      </x:c>
      <x:c r="F1600" t="n">
        <x:v>6</x:v>
      </x:c>
      <x:c r="G1600" t="str">
        <x:v>MIN</x:v>
      </x:c>
      <x:c r="H1600" t="str">
        <x:v>CHI</x:v>
      </x:c>
      <x:c r="I1600" t="str">
        <x:v>MIN</x:v>
      </x:c>
      <x:c r="J1600" t="n">
        <x:v>76</x:v>
      </x:c>
      <x:c r="K1600" t="str">
        <x:v>(4:11) 9-J.McCarthy pass short left to 33-A.Jones to MIN 31 for 7 yards (44-N.Sewell). CHI-44-N.Sewell was injured during the play.</x:v>
      </x:c>
      <x:c r="L1600" t="str">
        <x:v>pass</x:v>
      </x:c>
      <x:c r="M1600" t="n">
        <x:v>7</x:v>
      </x:c>
      <x:c r="N1600" t="n">
        <x:v>0</x:v>
      </x:c>
      <x:c r="O1600" t="n">
        <x:v>0</x:v>
      </x:c>
      <x:c r="P1600" t="str">
        <x:v>short</x:v>
      </x:c>
      <x:c r="Q1600" t="str">
        <x:v>left</x:v>
      </x:c>
      <x:c r="R1600" t="n">
        <x:v>4</x:v>
      </x:c>
      <x:c r="S1600" t="n">
        <x:v>3</x:v>
      </x:c>
      <x:c r="T1600"/>
      <x:c r="U1600"/>
      <x:c r="V1600" t="n">
        <x:v>1</x:v>
      </x:c>
      <x:c r="W1600" t="n">
        <x:v>1</x:v>
      </x:c>
      <x:c r="X1600" t="n">
        <x:v>0</x:v>
      </x:c>
      <x:c r="Y1600" t="n">
        <x:v>0</x:v>
      </x:c>
      <x:c r="Z1600" t="n">
        <x:v>0</x:v>
      </x:c>
      <x:c r="AA1600" t="n">
        <x:v>0</x:v>
      </x:c>
      <x:c r="AB1600"/>
      <x:c r="AC1600" t="n">
        <x:v>0</x:v>
      </x:c>
      <x:c r="AD1600" t="n">
        <x:v>1.0345794257009402</x:v>
      </x:c>
      <x:c r="AE1600" t="n">
        <x:v>1</x:v>
      </x:c>
      <x:c r="AF1600" t="n">
        <x:v>0.018327325582504272</x:v>
      </x:c>
      <x:c r="AG1600" t="n">
        <x:f>_xlfn.XLOOKUP($A1600,Games!$A$2:$A$18,Games!$B$2:$B$18,"Missing game",0)</x:f>
        <x:v>2025</x:v>
      </x:c>
      <x:c r="AH1600" t="str">
        <x:f>_xlfn.XLOOKUP($A1600,Games!$A$2:$A$18,Games!$C$2:$C$18,"Missing game",0)</x:f>
        <x:v>REG</x:v>
      </x:c>
      <x:c r="AI1600" t="n">
        <x:f>_xlfn.XLOOKUP($A1600,Games!$A$2:$A$18,Games!$D$2:$D$18,"Missing game",0)</x:f>
        <x:v>11</x:v>
      </x:c>
      <x:c r="AJ1600" s="1" t="n">
        <x:f>_xlfn.XLOOKUP($A1600,Games!$A$2:$A$18,Games!$E$2:$E$18,"Missing game",0)</x:f>
        <x:v>45977</x:v>
      </x:c>
      <x:c r="AK1600" t="str">
        <x:f>_xlfn.XLOOKUP($A1600,Games!$A$2:$A$18,Games!$F$2:$F$18,"Missing game",0)</x:f>
        <x:v>Sunday</x:v>
      </x:c>
      <x:c r="AL1600" t="str">
        <x:f>_xlfn.XLOOKUP($A1600,Games!$A$2:$A$18,Games!$G$2:$G$18,"Missing game",0)</x:f>
        <x:v>CHI</x:v>
      </x:c>
      <x:c r="AM1600" t="n">
        <x:f>_xlfn.XLOOKUP($A1600,Games!$A$2:$A$18,Games!$H$2:$H$18,"Missing game",0)</x:f>
        <x:v>19</x:v>
      </x:c>
      <x:c r="AN1600" t="str">
        <x:f>_xlfn.XLOOKUP($A1600,Games!$A$2:$A$18,Games!$I$2:$I$18,"Missing game",0)</x:f>
        <x:v>MIN</x:v>
      </x:c>
      <x:c r="AO1600" t="n">
        <x:f>_xlfn.XLOOKUP($A1600,Games!$A$2:$A$18,Games!$J$2:$J$18,"Missing game",0)</x:f>
        <x:v>17</x:v>
      </x:c>
      <x:c r="AP1600" t="n">
        <x:f>_xlfn.XLOOKUP($A1600,Games!$A$2:$A$18,Games!$K$2:$K$18,"Missing game",0)</x:f>
        <x:v>-2</x:v>
      </x:c>
      <x:c r="AQ1600" t="n">
        <x:f>_xlfn.XLOOKUP($A1600,Games!$A$2:$A$18,Games!$L$2:$L$18,"Missing game",0)</x:f>
        <x:v>36</x:v>
      </x:c>
      <x:c r="AR1600" t="n">
        <x:f>_xlfn.XLOOKUP($A1600,Games!$A$2:$A$18,Games!$M$2:$M$18,"Missing game",0)</x:f>
        <x:v>0</x:v>
      </x:c>
      <x:c r="AS1600" t="str">
        <x:f>_xlfn.XLOOKUP($A1600,Games!$A$2:$A$18,Games!$N$2:$N$18,"Missing game",0)</x:f>
        <x:v>dome</x:v>
      </x:c>
      <x:c r="AT1600" t="str">
        <x:f>_xlfn.XLOOKUP($A1600,Games!$A$2:$A$18,Games!$O$2:$O$18,"Missing game",0)</x:f>
        <x:v>sportturf</x:v>
      </x:c>
      <x:c r="AU1600" t="str">
        <x:f>_xlfn.XLOOKUP($A1600,Games!$A$2:$A$18,Games!$P$2:$P$18,"Missing game",0)</x:f>
      </x:c>
      <x:c r="AV1600" t="str">
        <x:f>_xlfn.XLOOKUP($A1600,Games!$A$2:$A$18,Games!$Q$2:$Q$18,"Missing game",0)</x:f>
      </x:c>
      <x:c r="AW1600" t="str">
        <x:f>_xlfn.XLOOKUP($A1600,Games!$A$2:$A$18,Games!$R$2:$R$18,"Missing game",0)</x:f>
        <x:v>U.S. Bank Stadium</x:v>
      </x:c>
    </x:row>
    <x:row r="1601">
      <x:c r="A1601" t="str">
        <x:v>2025_11_CHI_MIN</x:v>
      </x:c>
      <x:c r="B1601" t="n">
        <x:v>1574</x:v>
      </x:c>
      <x:c r="C1601" t="n">
        <x:v>2</x:v>
      </x:c>
      <x:c r="D1601" t="str">
        <x:v>03:45</x:v>
      </x:c>
      <x:c r="E1601" t="n">
        <x:v>1</x:v>
      </x:c>
      <x:c r="F1601" t="n">
        <x:v>10</x:v>
      </x:c>
      <x:c r="G1601" t="str">
        <x:v>MIN</x:v>
      </x:c>
      <x:c r="H1601" t="str">
        <x:v>CHI</x:v>
      </x:c>
      <x:c r="I1601" t="str">
        <x:v>MIN</x:v>
      </x:c>
      <x:c r="J1601" t="n">
        <x:v>69</x:v>
      </x:c>
      <x:c r="K1601" t="str">
        <x:v>(3:45) (Shotgun) 9-J.McCarthy pass deep right intended for 18-J.Jefferson INTERCEPTED by 31-K.Byard [50-G.Jarrett] at MIN 48. 31-K.Byard ran ob at MIN 25 for 23 yards (74-D.Jackson).</x:v>
      </x:c>
      <x:c r="L1601" t="str">
        <x:v>pass</x:v>
      </x:c>
      <x:c r="M1601" t="n">
        <x:v>0</x:v>
      </x:c>
      <x:c r="N1601" t="n">
        <x:v>1</x:v>
      </x:c>
      <x:c r="O1601" t="n">
        <x:v>0</x:v>
      </x:c>
      <x:c r="P1601" t="str">
        <x:v>deep</x:v>
      </x:c>
      <x:c r="Q1601" t="str">
        <x:v>right</x:v>
      </x:c>
      <x:c r="R1601" t="n">
        <x:v>17</x:v>
      </x:c>
      <x:c r="S1601"/>
      <x:c r="T1601"/>
      <x:c r="U1601"/>
      <x:c r="V1601" t="n">
        <x:v>0</x:v>
      </x:c>
      <x:c r="W1601" t="n">
        <x:v>0</x:v>
      </x:c>
      <x:c r="X1601" t="n">
        <x:v>0</x:v>
      </x:c>
      <x:c r="Y1601" t="n">
        <x:v>1</x:v>
      </x:c>
      <x:c r="Z1601" t="n">
        <x:v>0</x:v>
      </x:c>
      <x:c r="AA1601" t="n">
        <x:v>0</x:v>
      </x:c>
      <x:c r="AB1601"/>
      <x:c r="AC1601" t="n">
        <x:v>0</x:v>
      </x:c>
      <x:c r="AD1601" t="n">
        <x:v>-5.5087193512008525</x:v>
      </x:c>
      <x:c r="AE1601" t="n">
        <x:v>0</x:v>
      </x:c>
      <x:c r="AF1601" t="n">
        <x:v>-0.159300297498703</x:v>
      </x:c>
      <x:c r="AG1601" t="n">
        <x:f>_xlfn.XLOOKUP($A1601,Games!$A$2:$A$18,Games!$B$2:$B$18,"Missing game",0)</x:f>
        <x:v>2025</x:v>
      </x:c>
      <x:c r="AH1601" t="str">
        <x:f>_xlfn.XLOOKUP($A1601,Games!$A$2:$A$18,Games!$C$2:$C$18,"Missing game",0)</x:f>
        <x:v>REG</x:v>
      </x:c>
      <x:c r="AI1601" t="n">
        <x:f>_xlfn.XLOOKUP($A1601,Games!$A$2:$A$18,Games!$D$2:$D$18,"Missing game",0)</x:f>
        <x:v>11</x:v>
      </x:c>
      <x:c r="AJ1601" s="1" t="n">
        <x:f>_xlfn.XLOOKUP($A1601,Games!$A$2:$A$18,Games!$E$2:$E$18,"Missing game",0)</x:f>
        <x:v>45977</x:v>
      </x:c>
      <x:c r="AK1601" t="str">
        <x:f>_xlfn.XLOOKUP($A1601,Games!$A$2:$A$18,Games!$F$2:$F$18,"Missing game",0)</x:f>
        <x:v>Sunday</x:v>
      </x:c>
      <x:c r="AL1601" t="str">
        <x:f>_xlfn.XLOOKUP($A1601,Games!$A$2:$A$18,Games!$G$2:$G$18,"Missing game",0)</x:f>
        <x:v>CHI</x:v>
      </x:c>
      <x:c r="AM1601" t="n">
        <x:f>_xlfn.XLOOKUP($A1601,Games!$A$2:$A$18,Games!$H$2:$H$18,"Missing game",0)</x:f>
        <x:v>19</x:v>
      </x:c>
      <x:c r="AN1601" t="str">
        <x:f>_xlfn.XLOOKUP($A1601,Games!$A$2:$A$18,Games!$I$2:$I$18,"Missing game",0)</x:f>
        <x:v>MIN</x:v>
      </x:c>
      <x:c r="AO1601" t="n">
        <x:f>_xlfn.XLOOKUP($A1601,Games!$A$2:$A$18,Games!$J$2:$J$18,"Missing game",0)</x:f>
        <x:v>17</x:v>
      </x:c>
      <x:c r="AP1601" t="n">
        <x:f>_xlfn.XLOOKUP($A1601,Games!$A$2:$A$18,Games!$K$2:$K$18,"Missing game",0)</x:f>
        <x:v>-2</x:v>
      </x:c>
      <x:c r="AQ1601" t="n">
        <x:f>_xlfn.XLOOKUP($A1601,Games!$A$2:$A$18,Games!$L$2:$L$18,"Missing game",0)</x:f>
        <x:v>36</x:v>
      </x:c>
      <x:c r="AR1601" t="n">
        <x:f>_xlfn.XLOOKUP($A1601,Games!$A$2:$A$18,Games!$M$2:$M$18,"Missing game",0)</x:f>
        <x:v>0</x:v>
      </x:c>
      <x:c r="AS1601" t="str">
        <x:f>_xlfn.XLOOKUP($A1601,Games!$A$2:$A$18,Games!$N$2:$N$18,"Missing game",0)</x:f>
        <x:v>dome</x:v>
      </x:c>
      <x:c r="AT1601" t="str">
        <x:f>_xlfn.XLOOKUP($A1601,Games!$A$2:$A$18,Games!$O$2:$O$18,"Missing game",0)</x:f>
        <x:v>sportturf</x:v>
      </x:c>
      <x:c r="AU1601" t="str">
        <x:f>_xlfn.XLOOKUP($A1601,Games!$A$2:$A$18,Games!$P$2:$P$18,"Missing game",0)</x:f>
      </x:c>
      <x:c r="AV1601" t="str">
        <x:f>_xlfn.XLOOKUP($A1601,Games!$A$2:$A$18,Games!$Q$2:$Q$18,"Missing game",0)</x:f>
      </x:c>
      <x:c r="AW1601" t="str">
        <x:f>_xlfn.XLOOKUP($A1601,Games!$A$2:$A$18,Games!$R$2:$R$18,"Missing game",0)</x:f>
        <x:v>U.S. Bank Stadium</x:v>
      </x:c>
    </x:row>
    <x:row r="1602">
      <x:c r="A1602" t="str">
        <x:v>2025_11_CHI_MIN</x:v>
      </x:c>
      <x:c r="B1602" t="n">
        <x:v>1613</x:v>
      </x:c>
      <x:c r="C1602" t="n">
        <x:v>2</x:v>
      </x:c>
      <x:c r="D1602" t="str">
        <x:v>03:34</x:v>
      </x:c>
      <x:c r="E1602" t="n">
        <x:v>1</x:v>
      </x:c>
      <x:c r="F1602" t="n">
        <x:v>10</x:v>
      </x:c>
      <x:c r="G1602" t="str">
        <x:v>CHI</x:v>
      </x:c>
      <x:c r="H1602" t="str">
        <x:v>MIN</x:v>
      </x:c>
      <x:c r="I1602" t="str">
        <x:v>MIN</x:v>
      </x:c>
      <x:c r="J1602" t="n">
        <x:v>25</x:v>
      </x:c>
      <x:c r="K1602" t="str">
        <x:v>(3:34) 25-K.Monangai left tackle to MIN 27 for -2 yards (24-J.Ward).</x:v>
      </x:c>
      <x:c r="L1602" t="str">
        <x:v>run</x:v>
      </x:c>
      <x:c r="M1602" t="n">
        <x:v>-2</x:v>
      </x:c>
      <x:c r="N1602" t="n">
        <x:v>0</x:v>
      </x:c>
      <x:c r="O1602" t="n">
        <x:v>0</x:v>
      </x:c>
      <x:c r="P1602"/>
      <x:c r="Q1602"/>
      <x:c r="R1602"/>
      <x:c r="S1602"/>
      <x:c r="T1602" t="str">
        <x:v>left</x:v>
      </x:c>
      <x:c r="U1602" t="str">
        <x:v>tackle</x:v>
      </x:c>
      <x:c r="V1602" t="n">
        <x:v>0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0</x:v>
      </x:c>
      <x:c r="AB1602"/>
      <x:c r="AC1602" t="n">
        <x:v>0</x:v>
      </x:c>
      <x:c r="AD1602" t="n">
        <x:v>-0.8852759406436235</x:v>
      </x:c>
      <x:c r="AE1602" t="n">
        <x:v>0</x:v>
      </x:c>
      <x:c r="AF1602" t="n">
        <x:v>-0.027247726917266846</x:v>
      </x:c>
      <x:c r="AG1602" t="n">
        <x:f>_xlfn.XLOOKUP($A1602,Games!$A$2:$A$18,Games!$B$2:$B$18,"Missing game",0)</x:f>
        <x:v>2025</x:v>
      </x:c>
      <x:c r="AH1602" t="str">
        <x:f>_xlfn.XLOOKUP($A1602,Games!$A$2:$A$18,Games!$C$2:$C$18,"Missing game",0)</x:f>
        <x:v>REG</x:v>
      </x:c>
      <x:c r="AI1602" t="n">
        <x:f>_xlfn.XLOOKUP($A1602,Games!$A$2:$A$18,Games!$D$2:$D$18,"Missing game",0)</x:f>
        <x:v>11</x:v>
      </x:c>
      <x:c r="AJ1602" s="1" t="n">
        <x:f>_xlfn.XLOOKUP($A1602,Games!$A$2:$A$18,Games!$E$2:$E$18,"Missing game",0)</x:f>
        <x:v>45977</x:v>
      </x:c>
      <x:c r="AK1602" t="str">
        <x:f>_xlfn.XLOOKUP($A1602,Games!$A$2:$A$18,Games!$F$2:$F$18,"Missing game",0)</x:f>
        <x:v>Sunday</x:v>
      </x:c>
      <x:c r="AL1602" t="str">
        <x:f>_xlfn.XLOOKUP($A1602,Games!$A$2:$A$18,Games!$G$2:$G$18,"Missing game",0)</x:f>
        <x:v>CHI</x:v>
      </x:c>
      <x:c r="AM1602" t="n">
        <x:f>_xlfn.XLOOKUP($A1602,Games!$A$2:$A$18,Games!$H$2:$H$18,"Missing game",0)</x:f>
        <x:v>19</x:v>
      </x:c>
      <x:c r="AN1602" t="str">
        <x:f>_xlfn.XLOOKUP($A1602,Games!$A$2:$A$18,Games!$I$2:$I$18,"Missing game",0)</x:f>
        <x:v>MIN</x:v>
      </x:c>
      <x:c r="AO1602" t="n">
        <x:f>_xlfn.XLOOKUP($A1602,Games!$A$2:$A$18,Games!$J$2:$J$18,"Missing game",0)</x:f>
        <x:v>17</x:v>
      </x:c>
      <x:c r="AP1602" t="n">
        <x:f>_xlfn.XLOOKUP($A1602,Games!$A$2:$A$18,Games!$K$2:$K$18,"Missing game",0)</x:f>
        <x:v>-2</x:v>
      </x:c>
      <x:c r="AQ1602" t="n">
        <x:f>_xlfn.XLOOKUP($A1602,Games!$A$2:$A$18,Games!$L$2:$L$18,"Missing game",0)</x:f>
        <x:v>36</x:v>
      </x:c>
      <x:c r="AR1602" t="n">
        <x:f>_xlfn.XLOOKUP($A1602,Games!$A$2:$A$18,Games!$M$2:$M$18,"Missing game",0)</x:f>
        <x:v>0</x:v>
      </x:c>
      <x:c r="AS1602" t="str">
        <x:f>_xlfn.XLOOKUP($A1602,Games!$A$2:$A$18,Games!$N$2:$N$18,"Missing game",0)</x:f>
        <x:v>dome</x:v>
      </x:c>
      <x:c r="AT1602" t="str">
        <x:f>_xlfn.XLOOKUP($A1602,Games!$A$2:$A$18,Games!$O$2:$O$18,"Missing game",0)</x:f>
        <x:v>sportturf</x:v>
      </x:c>
      <x:c r="AU1602" t="str">
        <x:f>_xlfn.XLOOKUP($A1602,Games!$A$2:$A$18,Games!$P$2:$P$18,"Missing game",0)</x:f>
      </x:c>
      <x:c r="AV1602" t="str">
        <x:f>_xlfn.XLOOKUP($A1602,Games!$A$2:$A$18,Games!$Q$2:$Q$18,"Missing game",0)</x:f>
      </x:c>
      <x:c r="AW1602" t="str">
        <x:f>_xlfn.XLOOKUP($A1602,Games!$A$2:$A$18,Games!$R$2:$R$18,"Missing game",0)</x:f>
        <x:v>U.S. Bank Stadium</x:v>
      </x:c>
    </x:row>
    <x:row r="1603">
      <x:c r="A1603" t="str">
        <x:v>2025_11_CHI_MIN</x:v>
      </x:c>
      <x:c r="B1603" t="n">
        <x:v>1635</x:v>
      </x:c>
      <x:c r="C1603" t="n">
        <x:v>2</x:v>
      </x:c>
      <x:c r="D1603" t="str">
        <x:v>03:00</x:v>
      </x:c>
      <x:c r="E1603" t="n">
        <x:v>2</x:v>
      </x:c>
      <x:c r="F1603" t="n">
        <x:v>12</x:v>
      </x:c>
      <x:c r="G1603" t="str">
        <x:v>CHI</x:v>
      </x:c>
      <x:c r="H1603" t="str">
        <x:v>MIN</x:v>
      </x:c>
      <x:c r="I1603" t="str">
        <x:v>MIN</x:v>
      </x:c>
      <x:c r="J1603" t="n">
        <x:v>27</x:v>
      </x:c>
      <x:c r="K1603" t="str">
        <x:v>(3:00) (Shotgun) 18-C.Williams pass short left to 84-C.Loveland to MIN 20 for 7 yards (7-B.Murphy). ** Injury Update: MIN-2-I.Rodgers has returned to the game.</x:v>
      </x:c>
      <x:c r="L1603" t="str">
        <x:v>pass</x:v>
      </x:c>
      <x:c r="M1603" t="n">
        <x:v>7</x:v>
      </x:c>
      <x:c r="N1603" t="n">
        <x:v>1</x:v>
      </x:c>
      <x:c r="O1603" t="n">
        <x:v>0</x:v>
      </x:c>
      <x:c r="P1603" t="str">
        <x:v>short</x:v>
      </x:c>
      <x:c r="Q1603" t="str">
        <x:v>left</x:v>
      </x:c>
      <x:c r="R1603" t="n">
        <x:v>7</x:v>
      </x:c>
      <x:c r="S1603" t="n">
        <x:v>0</x:v>
      </x:c>
      <x:c r="T1603"/>
      <x:c r="U1603"/>
      <x:c r="V1603" t="n">
        <x:v>1</x:v>
      </x:c>
      <x:c r="W1603" t="n">
        <x:v>0</x:v>
      </x:c>
      <x:c r="X1603" t="n">
        <x:v>0</x:v>
      </x:c>
      <x:c r="Y1603" t="n">
        <x:v>0</x:v>
      </x:c>
      <x:c r="Z1603" t="n">
        <x:v>0</x:v>
      </x:c>
      <x:c r="AA1603" t="n">
        <x:v>0</x:v>
      </x:c>
      <x:c r="AB1603"/>
      <x:c r="AC1603" t="n">
        <x:v>0</x:v>
      </x:c>
      <x:c r="AD1603" t="n">
        <x:v>0.45968747820006683</x:v>
      </x:c>
      <x:c r="AE1603" t="n">
        <x:v>1</x:v>
      </x:c>
      <x:c r="AF1603" t="n">
        <x:v>0.010714113712310791</x:v>
      </x:c>
      <x:c r="AG1603" t="n">
        <x:f>_xlfn.XLOOKUP($A1603,Games!$A$2:$A$18,Games!$B$2:$B$18,"Missing game",0)</x:f>
        <x:v>2025</x:v>
      </x:c>
      <x:c r="AH1603" t="str">
        <x:f>_xlfn.XLOOKUP($A1603,Games!$A$2:$A$18,Games!$C$2:$C$18,"Missing game",0)</x:f>
        <x:v>REG</x:v>
      </x:c>
      <x:c r="AI1603" t="n">
        <x:f>_xlfn.XLOOKUP($A1603,Games!$A$2:$A$18,Games!$D$2:$D$18,"Missing game",0)</x:f>
        <x:v>11</x:v>
      </x:c>
      <x:c r="AJ1603" s="1" t="n">
        <x:f>_xlfn.XLOOKUP($A1603,Games!$A$2:$A$18,Games!$E$2:$E$18,"Missing game",0)</x:f>
        <x:v>45977</x:v>
      </x:c>
      <x:c r="AK1603" t="str">
        <x:f>_xlfn.XLOOKUP($A1603,Games!$A$2:$A$18,Games!$F$2:$F$18,"Missing game",0)</x:f>
        <x:v>Sunday</x:v>
      </x:c>
      <x:c r="AL1603" t="str">
        <x:f>_xlfn.XLOOKUP($A1603,Games!$A$2:$A$18,Games!$G$2:$G$18,"Missing game",0)</x:f>
        <x:v>CHI</x:v>
      </x:c>
      <x:c r="AM1603" t="n">
        <x:f>_xlfn.XLOOKUP($A1603,Games!$A$2:$A$18,Games!$H$2:$H$18,"Missing game",0)</x:f>
        <x:v>19</x:v>
      </x:c>
      <x:c r="AN1603" t="str">
        <x:f>_xlfn.XLOOKUP($A1603,Games!$A$2:$A$18,Games!$I$2:$I$18,"Missing game",0)</x:f>
        <x:v>MIN</x:v>
      </x:c>
      <x:c r="AO1603" t="n">
        <x:f>_xlfn.XLOOKUP($A1603,Games!$A$2:$A$18,Games!$J$2:$J$18,"Missing game",0)</x:f>
        <x:v>17</x:v>
      </x:c>
      <x:c r="AP1603" t="n">
        <x:f>_xlfn.XLOOKUP($A1603,Games!$A$2:$A$18,Games!$K$2:$K$18,"Missing game",0)</x:f>
        <x:v>-2</x:v>
      </x:c>
      <x:c r="AQ1603" t="n">
        <x:f>_xlfn.XLOOKUP($A1603,Games!$A$2:$A$18,Games!$L$2:$L$18,"Missing game",0)</x:f>
        <x:v>36</x:v>
      </x:c>
      <x:c r="AR1603" t="n">
        <x:f>_xlfn.XLOOKUP($A1603,Games!$A$2:$A$18,Games!$M$2:$M$18,"Missing game",0)</x:f>
        <x:v>0</x:v>
      </x:c>
      <x:c r="AS1603" t="str">
        <x:f>_xlfn.XLOOKUP($A1603,Games!$A$2:$A$18,Games!$N$2:$N$18,"Missing game",0)</x:f>
        <x:v>dome</x:v>
      </x:c>
      <x:c r="AT1603" t="str">
        <x:f>_xlfn.XLOOKUP($A1603,Games!$A$2:$A$18,Games!$O$2:$O$18,"Missing game",0)</x:f>
        <x:v>sportturf</x:v>
      </x:c>
      <x:c r="AU1603" t="str">
        <x:f>_xlfn.XLOOKUP($A1603,Games!$A$2:$A$18,Games!$P$2:$P$18,"Missing game",0)</x:f>
      </x:c>
      <x:c r="AV1603" t="str">
        <x:f>_xlfn.XLOOKUP($A1603,Games!$A$2:$A$18,Games!$Q$2:$Q$18,"Missing game",0)</x:f>
      </x:c>
      <x:c r="AW1603" t="str">
        <x:f>_xlfn.XLOOKUP($A1603,Games!$A$2:$A$18,Games!$R$2:$R$18,"Missing game",0)</x:f>
        <x:v>U.S. Bank Stadium</x:v>
      </x:c>
    </x:row>
    <x:row r="1604">
      <x:c r="A1604" t="str">
        <x:v>2025_11_CHI_MIN</x:v>
      </x:c>
      <x:c r="B1604" t="n">
        <x:v>1660</x:v>
      </x:c>
      <x:c r="C1604" t="n">
        <x:v>2</x:v>
      </x:c>
      <x:c r="D1604" t="str">
        <x:v>02:13</x:v>
      </x:c>
      <x:c r="E1604" t="n">
        <x:v>3</x:v>
      </x:c>
      <x:c r="F1604" t="n">
        <x:v>5</x:v>
      </x:c>
      <x:c r="G1604" t="str">
        <x:v>CHI</x:v>
      </x:c>
      <x:c r="H1604" t="str">
        <x:v>MIN</x:v>
      </x:c>
      <x:c r="I1604" t="str">
        <x:v>MIN</x:v>
      </x:c>
      <x:c r="J1604" t="n">
        <x:v>20</x:v>
      </x:c>
      <x:c r="K1604" t="str">
        <x:v>(2:13) (Shotgun) 18-C.Williams pass incomplete deep left [55-E.Wilson].</x:v>
      </x:c>
      <x:c r="L1604" t="str">
        <x:v>pass</x:v>
      </x:c>
      <x:c r="M1604" t="n">
        <x:v>0</x:v>
      </x:c>
      <x:c r="N1604" t="n">
        <x:v>1</x:v>
      </x:c>
      <x:c r="O1604" t="n">
        <x:v>0</x:v>
      </x:c>
      <x:c r="P1604" t="str">
        <x:v>deep</x:v>
      </x:c>
      <x:c r="Q1604" t="str">
        <x:v>left</x:v>
      </x:c>
      <x:c r="R1604" t="n">
        <x:v>17</x:v>
      </x:c>
      <x:c r="S1604"/>
      <x:c r="T1604"/>
      <x:c r="U1604"/>
      <x:c r="V1604" t="n">
        <x:v>0</x:v>
      </x:c>
      <x:c r="W1604" t="n">
        <x:v>0</x:v>
      </x:c>
      <x:c r="X1604" t="n">
        <x:v>0</x:v>
      </x:c>
      <x:c r="Y1604" t="n">
        <x:v>0</x:v>
      </x:c>
      <x:c r="Z1604" t="n">
        <x:v>0</x:v>
      </x:c>
      <x:c r="AA1604" t="n">
        <x:v>0</x:v>
      </x:c>
      <x:c r="AB1604"/>
      <x:c r="AC1604" t="n">
        <x:v>0</x:v>
      </x:c>
      <x:c r="AD1604" t="n">
        <x:v>-1.1156351786192666</x:v>
      </x:c>
      <x:c r="AE1604" t="n">
        <x:v>0</x:v>
      </x:c>
      <x:c r="AF1604" t="n">
        <x:v>-0.03797948360443115</x:v>
      </x:c>
      <x:c r="AG1604" t="n">
        <x:f>_xlfn.XLOOKUP($A1604,Games!$A$2:$A$18,Games!$B$2:$B$18,"Missing game",0)</x:f>
        <x:v>2025</x:v>
      </x:c>
      <x:c r="AH1604" t="str">
        <x:f>_xlfn.XLOOKUP($A1604,Games!$A$2:$A$18,Games!$C$2:$C$18,"Missing game",0)</x:f>
        <x:v>REG</x:v>
      </x:c>
      <x:c r="AI1604" t="n">
        <x:f>_xlfn.XLOOKUP($A1604,Games!$A$2:$A$18,Games!$D$2:$D$18,"Missing game",0)</x:f>
        <x:v>11</x:v>
      </x:c>
      <x:c r="AJ1604" s="1" t="n">
        <x:f>_xlfn.XLOOKUP($A1604,Games!$A$2:$A$18,Games!$E$2:$E$18,"Missing game",0)</x:f>
        <x:v>45977</x:v>
      </x:c>
      <x:c r="AK1604" t="str">
        <x:f>_xlfn.XLOOKUP($A1604,Games!$A$2:$A$18,Games!$F$2:$F$18,"Missing game",0)</x:f>
        <x:v>Sunday</x:v>
      </x:c>
      <x:c r="AL1604" t="str">
        <x:f>_xlfn.XLOOKUP($A1604,Games!$A$2:$A$18,Games!$G$2:$G$18,"Missing game",0)</x:f>
        <x:v>CHI</x:v>
      </x:c>
      <x:c r="AM1604" t="n">
        <x:f>_xlfn.XLOOKUP($A1604,Games!$A$2:$A$18,Games!$H$2:$H$18,"Missing game",0)</x:f>
        <x:v>19</x:v>
      </x:c>
      <x:c r="AN1604" t="str">
        <x:f>_xlfn.XLOOKUP($A1604,Games!$A$2:$A$18,Games!$I$2:$I$18,"Missing game",0)</x:f>
        <x:v>MIN</x:v>
      </x:c>
      <x:c r="AO1604" t="n">
        <x:f>_xlfn.XLOOKUP($A1604,Games!$A$2:$A$18,Games!$J$2:$J$18,"Missing game",0)</x:f>
        <x:v>17</x:v>
      </x:c>
      <x:c r="AP1604" t="n">
        <x:f>_xlfn.XLOOKUP($A1604,Games!$A$2:$A$18,Games!$K$2:$K$18,"Missing game",0)</x:f>
        <x:v>-2</x:v>
      </x:c>
      <x:c r="AQ1604" t="n">
        <x:f>_xlfn.XLOOKUP($A1604,Games!$A$2:$A$18,Games!$L$2:$L$18,"Missing game",0)</x:f>
        <x:v>36</x:v>
      </x:c>
      <x:c r="AR1604" t="n">
        <x:f>_xlfn.XLOOKUP($A1604,Games!$A$2:$A$18,Games!$M$2:$M$18,"Missing game",0)</x:f>
        <x:v>0</x:v>
      </x:c>
      <x:c r="AS1604" t="str">
        <x:f>_xlfn.XLOOKUP($A1604,Games!$A$2:$A$18,Games!$N$2:$N$18,"Missing game",0)</x:f>
        <x:v>dome</x:v>
      </x:c>
      <x:c r="AT1604" t="str">
        <x:f>_xlfn.XLOOKUP($A1604,Games!$A$2:$A$18,Games!$O$2:$O$18,"Missing game",0)</x:f>
        <x:v>sportturf</x:v>
      </x:c>
      <x:c r="AU1604" t="str">
        <x:f>_xlfn.XLOOKUP($A1604,Games!$A$2:$A$18,Games!$P$2:$P$18,"Missing game",0)</x:f>
      </x:c>
      <x:c r="AV1604" t="str">
        <x:f>_xlfn.XLOOKUP($A1604,Games!$A$2:$A$18,Games!$Q$2:$Q$18,"Missing game",0)</x:f>
      </x:c>
      <x:c r="AW1604" t="str">
        <x:f>_xlfn.XLOOKUP($A1604,Games!$A$2:$A$18,Games!$R$2:$R$18,"Missing game",0)</x:f>
        <x:v>U.S. Bank Stadium</x:v>
      </x:c>
    </x:row>
    <x:row r="1605">
      <x:c r="A1605" t="str">
        <x:v>2025_11_CHI_MIN</x:v>
      </x:c>
      <x:c r="B1605" t="n">
        <x:v>1686</x:v>
      </x:c>
      <x:c r="C1605" t="n">
        <x:v>2</x:v>
      </x:c>
      <x:c r="D1605" t="str">
        <x:v>02:04</x:v>
      </x:c>
      <x:c r="E1605" t="n">
        <x:v>4</x:v>
      </x:c>
      <x:c r="F1605" t="n">
        <x:v>5</x:v>
      </x:c>
      <x:c r="G1605" t="str">
        <x:v>CHI</x:v>
      </x:c>
      <x:c r="H1605" t="str">
        <x:v>MIN</x:v>
      </x:c>
      <x:c r="I1605" t="str">
        <x:v>MIN</x:v>
      </x:c>
      <x:c r="J1605" t="n">
        <x:v>20</x:v>
      </x:c>
      <x:c r="K1605" t="str">
        <x:v>(2:04) 8-C.Santos 38 yard field goal is GOOD, Center-46-S.Daly, Holder-19-T.Taylor.</x:v>
      </x:c>
      <x:c r="L1605" t="str">
        <x:v>field_goal</x:v>
      </x:c>
      <x:c r="M1605" t="n">
        <x:v>0</x:v>
      </x:c>
      <x:c r="N1605" t="n">
        <x:v>0</x:v>
      </x:c>
      <x:c r="O1605" t="n">
        <x:v>0</x:v>
      </x:c>
      <x:c r="P1605"/>
      <x:c r="Q1605"/>
      <x:c r="R1605"/>
      <x:c r="S1605"/>
      <x:c r="T1605"/>
      <x:c r="U1605"/>
      <x:c r="V1605" t="n">
        <x:v>0</x:v>
      </x:c>
      <x:c r="W1605" t="n">
        <x:v>0</x:v>
      </x:c>
      <x:c r="X1605" t="n">
        <x:v>0</x:v>
      </x:c>
      <x:c r="Y1605" t="n">
        <x:v>0</x:v>
      </x:c>
      <x:c r="Z1605" t="n">
        <x:v>0</x:v>
      </x:c>
      <x:c r="AA1605" t="n">
        <x:v>0</x:v>
      </x:c>
      <x:c r="AB1605"/>
      <x:c r="AC1605" t="n">
        <x:v>0</x:v>
      </x:c>
      <x:c r="AD1605" t="n">
        <x:v>0.48020550921486427</x:v>
      </x:c>
      <x:c r="AE1605" t="n">
        <x:v>1</x:v>
      </x:c>
      <x:c r="AF1605" t="n">
        <x:v>-0.0030022263526916504</x:v>
      </x:c>
      <x:c r="AG1605" t="n">
        <x:f>_xlfn.XLOOKUP($A1605,Games!$A$2:$A$18,Games!$B$2:$B$18,"Missing game",0)</x:f>
        <x:v>2025</x:v>
      </x:c>
      <x:c r="AH1605" t="str">
        <x:f>_xlfn.XLOOKUP($A1605,Games!$A$2:$A$18,Games!$C$2:$C$18,"Missing game",0)</x:f>
        <x:v>REG</x:v>
      </x:c>
      <x:c r="AI1605" t="n">
        <x:f>_xlfn.XLOOKUP($A1605,Games!$A$2:$A$18,Games!$D$2:$D$18,"Missing game",0)</x:f>
        <x:v>11</x:v>
      </x:c>
      <x:c r="AJ1605" s="1" t="n">
        <x:f>_xlfn.XLOOKUP($A1605,Games!$A$2:$A$18,Games!$E$2:$E$18,"Missing game",0)</x:f>
        <x:v>45977</x:v>
      </x:c>
      <x:c r="AK1605" t="str">
        <x:f>_xlfn.XLOOKUP($A1605,Games!$A$2:$A$18,Games!$F$2:$F$18,"Missing game",0)</x:f>
        <x:v>Sunday</x:v>
      </x:c>
      <x:c r="AL1605" t="str">
        <x:f>_xlfn.XLOOKUP($A1605,Games!$A$2:$A$18,Games!$G$2:$G$18,"Missing game",0)</x:f>
        <x:v>CHI</x:v>
      </x:c>
      <x:c r="AM1605" t="n">
        <x:f>_xlfn.XLOOKUP($A1605,Games!$A$2:$A$18,Games!$H$2:$H$18,"Missing game",0)</x:f>
        <x:v>19</x:v>
      </x:c>
      <x:c r="AN1605" t="str">
        <x:f>_xlfn.XLOOKUP($A1605,Games!$A$2:$A$18,Games!$I$2:$I$18,"Missing game",0)</x:f>
        <x:v>MIN</x:v>
      </x:c>
      <x:c r="AO1605" t="n">
        <x:f>_xlfn.XLOOKUP($A1605,Games!$A$2:$A$18,Games!$J$2:$J$18,"Missing game",0)</x:f>
        <x:v>17</x:v>
      </x:c>
      <x:c r="AP1605" t="n">
        <x:f>_xlfn.XLOOKUP($A1605,Games!$A$2:$A$18,Games!$K$2:$K$18,"Missing game",0)</x:f>
        <x:v>-2</x:v>
      </x:c>
      <x:c r="AQ1605" t="n">
        <x:f>_xlfn.XLOOKUP($A1605,Games!$A$2:$A$18,Games!$L$2:$L$18,"Missing game",0)</x:f>
        <x:v>36</x:v>
      </x:c>
      <x:c r="AR1605" t="n">
        <x:f>_xlfn.XLOOKUP($A1605,Games!$A$2:$A$18,Games!$M$2:$M$18,"Missing game",0)</x:f>
        <x:v>0</x:v>
      </x:c>
      <x:c r="AS1605" t="str">
        <x:f>_xlfn.XLOOKUP($A1605,Games!$A$2:$A$18,Games!$N$2:$N$18,"Missing game",0)</x:f>
        <x:v>dome</x:v>
      </x:c>
      <x:c r="AT1605" t="str">
        <x:f>_xlfn.XLOOKUP($A1605,Games!$A$2:$A$18,Games!$O$2:$O$18,"Missing game",0)</x:f>
        <x:v>sportturf</x:v>
      </x:c>
      <x:c r="AU1605" t="str">
        <x:f>_xlfn.XLOOKUP($A1605,Games!$A$2:$A$18,Games!$P$2:$P$18,"Missing game",0)</x:f>
      </x:c>
      <x:c r="AV1605" t="str">
        <x:f>_xlfn.XLOOKUP($A1605,Games!$A$2:$A$18,Games!$Q$2:$Q$18,"Missing game",0)</x:f>
      </x:c>
      <x:c r="AW1605" t="str">
        <x:f>_xlfn.XLOOKUP($A1605,Games!$A$2:$A$18,Games!$R$2:$R$18,"Missing game",0)</x:f>
        <x:v>U.S. Bank Stadium</x:v>
      </x:c>
    </x:row>
    <x:row r="1606">
      <x:c r="A1606" t="str">
        <x:v>2025_11_CHI_MIN</x:v>
      </x:c>
      <x:c r="B1606" t="n">
        <x:v>1706</x:v>
      </x:c>
      <x:c r="C1606" t="n">
        <x:v>2</x:v>
      </x:c>
      <x:c r="D1606" t="str">
        <x:v>02:00</x:v>
      </x:c>
      <x:c r="E1606"/>
      <x:c r="F1606" t="n">
        <x:v>0</x:v>
      </x:c>
      <x:c r="G1606" t="str">
        <x:v>MIN</x:v>
      </x:c>
      <x:c r="H1606" t="str">
        <x:v>CHI</x:v>
      </x:c>
      <x:c r="I1606" t="str">
        <x:v>CHI</x:v>
      </x:c>
      <x:c r="J1606" t="n">
        <x:v>35</x:v>
      </x:c>
      <x:c r="K1606" t="str">
        <x:v>8-C.Santos kicks 59 yards from CHI 35 to MIN 6. 4-M.Price to MIN 34 for 28 yards (45-A.Ogbongbemiga).</x:v>
      </x:c>
      <x:c r="L1606" t="str">
        <x:v>kickoff</x:v>
      </x:c>
      <x:c r="M1606" t="n">
        <x:v>0</x:v>
      </x:c>
      <x:c r="N1606" t="n">
        <x:v>0</x:v>
      </x:c>
      <x:c r="O1606" t="n">
        <x:v>0</x:v>
      </x:c>
      <x:c r="P1606"/>
      <x:c r="Q1606"/>
      <x:c r="R1606"/>
      <x:c r="S1606"/>
      <x:c r="T1606"/>
      <x:c r="U1606"/>
      <x:c r="V1606" t="n">
        <x:v>0</x:v>
      </x:c>
      <x:c r="W1606" t="n">
        <x:v>0</x:v>
      </x:c>
      <x:c r="X1606" t="n">
        <x:v>0</x:v>
      </x:c>
      <x:c r="Y1606" t="n">
        <x:v>0</x:v>
      </x:c>
      <x:c r="Z1606" t="n">
        <x:v>0</x:v>
      </x:c>
      <x:c r="AA1606" t="n">
        <x:v>0</x:v>
      </x:c>
      <x:c r="AB1606"/>
      <x:c r="AC1606" t="n">
        <x:v>0</x:v>
      </x:c>
      <x:c r="AD1606" t="n">
        <x:v>0.44935995643027127</x:v>
      </x:c>
      <x:c r="AE1606" t="n">
        <x:v>1</x:v>
      </x:c>
      <x:c r="AF1606" t="n">
        <x:v>0.017178744077682495</x:v>
      </x:c>
      <x:c r="AG1606" t="n">
        <x:f>_xlfn.XLOOKUP($A1606,Games!$A$2:$A$18,Games!$B$2:$B$18,"Missing game",0)</x:f>
        <x:v>2025</x:v>
      </x:c>
      <x:c r="AH1606" t="str">
        <x:f>_xlfn.XLOOKUP($A1606,Games!$A$2:$A$18,Games!$C$2:$C$18,"Missing game",0)</x:f>
        <x:v>REG</x:v>
      </x:c>
      <x:c r="AI1606" t="n">
        <x:f>_xlfn.XLOOKUP($A1606,Games!$A$2:$A$18,Games!$D$2:$D$18,"Missing game",0)</x:f>
        <x:v>11</x:v>
      </x:c>
      <x:c r="AJ1606" s="1" t="n">
        <x:f>_xlfn.XLOOKUP($A1606,Games!$A$2:$A$18,Games!$E$2:$E$18,"Missing game",0)</x:f>
        <x:v>45977</x:v>
      </x:c>
      <x:c r="AK1606" t="str">
        <x:f>_xlfn.XLOOKUP($A1606,Games!$A$2:$A$18,Games!$F$2:$F$18,"Missing game",0)</x:f>
        <x:v>Sunday</x:v>
      </x:c>
      <x:c r="AL1606" t="str">
        <x:f>_xlfn.XLOOKUP($A1606,Games!$A$2:$A$18,Games!$G$2:$G$18,"Missing game",0)</x:f>
        <x:v>CHI</x:v>
      </x:c>
      <x:c r="AM1606" t="n">
        <x:f>_xlfn.XLOOKUP($A1606,Games!$A$2:$A$18,Games!$H$2:$H$18,"Missing game",0)</x:f>
        <x:v>19</x:v>
      </x:c>
      <x:c r="AN1606" t="str">
        <x:f>_xlfn.XLOOKUP($A1606,Games!$A$2:$A$18,Games!$I$2:$I$18,"Missing game",0)</x:f>
        <x:v>MIN</x:v>
      </x:c>
      <x:c r="AO1606" t="n">
        <x:f>_xlfn.XLOOKUP($A1606,Games!$A$2:$A$18,Games!$J$2:$J$18,"Missing game",0)</x:f>
        <x:v>17</x:v>
      </x:c>
      <x:c r="AP1606" t="n">
        <x:f>_xlfn.XLOOKUP($A1606,Games!$A$2:$A$18,Games!$K$2:$K$18,"Missing game",0)</x:f>
        <x:v>-2</x:v>
      </x:c>
      <x:c r="AQ1606" t="n">
        <x:f>_xlfn.XLOOKUP($A1606,Games!$A$2:$A$18,Games!$L$2:$L$18,"Missing game",0)</x:f>
        <x:v>36</x:v>
      </x:c>
      <x:c r="AR1606" t="n">
        <x:f>_xlfn.XLOOKUP($A1606,Games!$A$2:$A$18,Games!$M$2:$M$18,"Missing game",0)</x:f>
        <x:v>0</x:v>
      </x:c>
      <x:c r="AS1606" t="str">
        <x:f>_xlfn.XLOOKUP($A1606,Games!$A$2:$A$18,Games!$N$2:$N$18,"Missing game",0)</x:f>
        <x:v>dome</x:v>
      </x:c>
      <x:c r="AT1606" t="str">
        <x:f>_xlfn.XLOOKUP($A1606,Games!$A$2:$A$18,Games!$O$2:$O$18,"Missing game",0)</x:f>
        <x:v>sportturf</x:v>
      </x:c>
      <x:c r="AU1606" t="str">
        <x:f>_xlfn.XLOOKUP($A1606,Games!$A$2:$A$18,Games!$P$2:$P$18,"Missing game",0)</x:f>
      </x:c>
      <x:c r="AV1606" t="str">
        <x:f>_xlfn.XLOOKUP($A1606,Games!$A$2:$A$18,Games!$Q$2:$Q$18,"Missing game",0)</x:f>
      </x:c>
      <x:c r="AW1606" t="str">
        <x:f>_xlfn.XLOOKUP($A1606,Games!$A$2:$A$18,Games!$R$2:$R$18,"Missing game",0)</x:f>
        <x:v>U.S. Bank Stadium</x:v>
      </x:c>
    </x:row>
    <x:row r="1607">
      <x:c r="A1607" t="str">
        <x:v>2025_11_CHI_MIN</x:v>
      </x:c>
      <x:c r="B1607" t="n">
        <x:v>1736</x:v>
      </x:c>
      <x:c r="C1607" t="n">
        <x:v>2</x:v>
      </x:c>
      <x:c r="D1607" t="str">
        <x:v>01:54</x:v>
      </x:c>
      <x:c r="E1607" t="n">
        <x:v>1</x:v>
      </x:c>
      <x:c r="F1607" t="n">
        <x:v>10</x:v>
      </x:c>
      <x:c r="G1607" t="str">
        <x:v>MIN</x:v>
      </x:c>
      <x:c r="H1607" t="str">
        <x:v>CHI</x:v>
      </x:c>
      <x:c r="I1607" t="str">
        <x:v>MIN</x:v>
      </x:c>
      <x:c r="J1607" t="n">
        <x:v>66</x:v>
      </x:c>
      <x:c r="K1607" t="str">
        <x:v>(1:54) (Shotgun) 33-A.Jones up the middle to MIN 38 for 4 yards (94-A.Booker). ** Injury Update: CHI-44-N.Sewell has returned to the game.</x:v>
      </x:c>
      <x:c r="L1607" t="str">
        <x:v>run</x:v>
      </x:c>
      <x:c r="M1607" t="n">
        <x:v>4</x:v>
      </x:c>
      <x:c r="N1607" t="n">
        <x:v>1</x:v>
      </x:c>
      <x:c r="O1607" t="n">
        <x:v>0</x:v>
      </x:c>
      <x:c r="P1607"/>
      <x:c r="Q1607"/>
      <x:c r="R1607"/>
      <x:c r="S1607"/>
      <x:c r="T1607" t="str">
        <x:v>middle</x:v>
      </x:c>
      <x:c r="U1607"/>
      <x:c r="V1607" t="n">
        <x:v>0</x:v>
      </x:c>
      <x:c r="W1607" t="n">
        <x:v>0</x:v>
      </x:c>
      <x:c r="X1607" t="n">
        <x:v>0</x:v>
      </x:c>
      <x:c r="Y1607" t="n">
        <x:v>0</x:v>
      </x:c>
      <x:c r="Z1607" t="n">
        <x:v>0</x:v>
      </x:c>
      <x:c r="AA1607" t="n">
        <x:v>0</x:v>
      </x:c>
      <x:c r="AB1607"/>
      <x:c r="AC1607" t="n">
        <x:v>0</x:v>
      </x:c>
      <x:c r="AD1607" t="n">
        <x:v>-0.24658834899310023</x:v>
      </x:c>
      <x:c r="AE1607" t="n">
        <x:v>0</x:v>
      </x:c>
      <x:c r="AF1607" t="n">
        <x:v>-0.0024694502353668213</x:v>
      </x:c>
      <x:c r="AG1607" t="n">
        <x:f>_xlfn.XLOOKUP($A1607,Games!$A$2:$A$18,Games!$B$2:$B$18,"Missing game",0)</x:f>
        <x:v>2025</x:v>
      </x:c>
      <x:c r="AH1607" t="str">
        <x:f>_xlfn.XLOOKUP($A1607,Games!$A$2:$A$18,Games!$C$2:$C$18,"Missing game",0)</x:f>
        <x:v>REG</x:v>
      </x:c>
      <x:c r="AI1607" t="n">
        <x:f>_xlfn.XLOOKUP($A1607,Games!$A$2:$A$18,Games!$D$2:$D$18,"Missing game",0)</x:f>
        <x:v>11</x:v>
      </x:c>
      <x:c r="AJ1607" s="1" t="n">
        <x:f>_xlfn.XLOOKUP($A1607,Games!$A$2:$A$18,Games!$E$2:$E$18,"Missing game",0)</x:f>
        <x:v>45977</x:v>
      </x:c>
      <x:c r="AK1607" t="str">
        <x:f>_xlfn.XLOOKUP($A1607,Games!$A$2:$A$18,Games!$F$2:$F$18,"Missing game",0)</x:f>
        <x:v>Sunday</x:v>
      </x:c>
      <x:c r="AL1607" t="str">
        <x:f>_xlfn.XLOOKUP($A1607,Games!$A$2:$A$18,Games!$G$2:$G$18,"Missing game",0)</x:f>
        <x:v>CHI</x:v>
      </x:c>
      <x:c r="AM1607" t="n">
        <x:f>_xlfn.XLOOKUP($A1607,Games!$A$2:$A$18,Games!$H$2:$H$18,"Missing game",0)</x:f>
        <x:v>19</x:v>
      </x:c>
      <x:c r="AN1607" t="str">
        <x:f>_xlfn.XLOOKUP($A1607,Games!$A$2:$A$18,Games!$I$2:$I$18,"Missing game",0)</x:f>
        <x:v>MIN</x:v>
      </x:c>
      <x:c r="AO1607" t="n">
        <x:f>_xlfn.XLOOKUP($A1607,Games!$A$2:$A$18,Games!$J$2:$J$18,"Missing game",0)</x:f>
        <x:v>17</x:v>
      </x:c>
      <x:c r="AP1607" t="n">
        <x:f>_xlfn.XLOOKUP($A1607,Games!$A$2:$A$18,Games!$K$2:$K$18,"Missing game",0)</x:f>
        <x:v>-2</x:v>
      </x:c>
      <x:c r="AQ1607" t="n">
        <x:f>_xlfn.XLOOKUP($A1607,Games!$A$2:$A$18,Games!$L$2:$L$18,"Missing game",0)</x:f>
        <x:v>36</x:v>
      </x:c>
      <x:c r="AR1607" t="n">
        <x:f>_xlfn.XLOOKUP($A1607,Games!$A$2:$A$18,Games!$M$2:$M$18,"Missing game",0)</x:f>
        <x:v>0</x:v>
      </x:c>
      <x:c r="AS1607" t="str">
        <x:f>_xlfn.XLOOKUP($A1607,Games!$A$2:$A$18,Games!$N$2:$N$18,"Missing game",0)</x:f>
        <x:v>dome</x:v>
      </x:c>
      <x:c r="AT1607" t="str">
        <x:f>_xlfn.XLOOKUP($A1607,Games!$A$2:$A$18,Games!$O$2:$O$18,"Missing game",0)</x:f>
        <x:v>sportturf</x:v>
      </x:c>
      <x:c r="AU1607" t="str">
        <x:f>_xlfn.XLOOKUP($A1607,Games!$A$2:$A$18,Games!$P$2:$P$18,"Missing game",0)</x:f>
      </x:c>
      <x:c r="AV1607" t="str">
        <x:f>_xlfn.XLOOKUP($A1607,Games!$A$2:$A$18,Games!$Q$2:$Q$18,"Missing game",0)</x:f>
      </x:c>
      <x:c r="AW1607" t="str">
        <x:f>_xlfn.XLOOKUP($A1607,Games!$A$2:$A$18,Games!$R$2:$R$18,"Missing game",0)</x:f>
        <x:v>U.S. Bank Stadium</x:v>
      </x:c>
    </x:row>
    <x:row r="1608">
      <x:c r="A1608" t="str">
        <x:v>2025_11_CHI_MIN</x:v>
      </x:c>
      <x:c r="B1608" t="n">
        <x:v>1758</x:v>
      </x:c>
      <x:c r="C1608" t="n">
        <x:v>2</x:v>
      </x:c>
      <x:c r="D1608" t="str">
        <x:v>01:22</x:v>
      </x:c>
      <x:c r="E1608" t="n">
        <x:v>2</x:v>
      </x:c>
      <x:c r="F1608" t="n">
        <x:v>6</x:v>
      </x:c>
      <x:c r="G1608" t="str">
        <x:v>MIN</x:v>
      </x:c>
      <x:c r="H1608" t="str">
        <x:v>CHI</x:v>
      </x:c>
      <x:c r="I1608" t="str">
        <x:v>MIN</x:v>
      </x:c>
      <x:c r="J1608" t="n">
        <x:v>62</x:v>
      </x:c>
      <x:c r="K1608" t="str">
        <x:v>(1:22) (Shotgun) 9-J.McCarthy pass incomplete deep left to 87-T.Hockenson.</x:v>
      </x:c>
      <x:c r="L1608" t="str">
        <x:v>pass</x:v>
      </x:c>
      <x:c r="M1608" t="n">
        <x:v>0</x:v>
      </x:c>
      <x:c r="N1608" t="n">
        <x:v>1</x:v>
      </x:c>
      <x:c r="O1608" t="n">
        <x:v>0</x:v>
      </x:c>
      <x:c r="P1608" t="str">
        <x:v>deep</x:v>
      </x:c>
      <x:c r="Q1608" t="str">
        <x:v>left</x:v>
      </x:c>
      <x:c r="R1608" t="n">
        <x:v>17</x:v>
      </x:c>
      <x:c r="S1608"/>
      <x:c r="T1608"/>
      <x:c r="U1608"/>
      <x:c r="V1608" t="n">
        <x:v>0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0</x:v>
      </x:c>
      <x:c r="AB1608"/>
      <x:c r="AC1608" t="n">
        <x:v>0</x:v>
      </x:c>
      <x:c r="AD1608" t="n">
        <x:v>-0.34987731487490237</x:v>
      </x:c>
      <x:c r="AE1608" t="n">
        <x:v>0</x:v>
      </x:c>
      <x:c r="AF1608" t="n">
        <x:v>-0.013241082429885864</x:v>
      </x:c>
      <x:c r="AG1608" t="n">
        <x:f>_xlfn.XLOOKUP($A1608,Games!$A$2:$A$18,Games!$B$2:$B$18,"Missing game",0)</x:f>
        <x:v>2025</x:v>
      </x:c>
      <x:c r="AH1608" t="str">
        <x:f>_xlfn.XLOOKUP($A1608,Games!$A$2:$A$18,Games!$C$2:$C$18,"Missing game",0)</x:f>
        <x:v>REG</x:v>
      </x:c>
      <x:c r="AI1608" t="n">
        <x:f>_xlfn.XLOOKUP($A1608,Games!$A$2:$A$18,Games!$D$2:$D$18,"Missing game",0)</x:f>
        <x:v>11</x:v>
      </x:c>
      <x:c r="AJ1608" s="1" t="n">
        <x:f>_xlfn.XLOOKUP($A1608,Games!$A$2:$A$18,Games!$E$2:$E$18,"Missing game",0)</x:f>
        <x:v>45977</x:v>
      </x:c>
      <x:c r="AK1608" t="str">
        <x:f>_xlfn.XLOOKUP($A1608,Games!$A$2:$A$18,Games!$F$2:$F$18,"Missing game",0)</x:f>
        <x:v>Sunday</x:v>
      </x:c>
      <x:c r="AL1608" t="str">
        <x:f>_xlfn.XLOOKUP($A1608,Games!$A$2:$A$18,Games!$G$2:$G$18,"Missing game",0)</x:f>
        <x:v>CHI</x:v>
      </x:c>
      <x:c r="AM1608" t="n">
        <x:f>_xlfn.XLOOKUP($A1608,Games!$A$2:$A$18,Games!$H$2:$H$18,"Missing game",0)</x:f>
        <x:v>19</x:v>
      </x:c>
      <x:c r="AN1608" t="str">
        <x:f>_xlfn.XLOOKUP($A1608,Games!$A$2:$A$18,Games!$I$2:$I$18,"Missing game",0)</x:f>
        <x:v>MIN</x:v>
      </x:c>
      <x:c r="AO1608" t="n">
        <x:f>_xlfn.XLOOKUP($A1608,Games!$A$2:$A$18,Games!$J$2:$J$18,"Missing game",0)</x:f>
        <x:v>17</x:v>
      </x:c>
      <x:c r="AP1608" t="n">
        <x:f>_xlfn.XLOOKUP($A1608,Games!$A$2:$A$18,Games!$K$2:$K$18,"Missing game",0)</x:f>
        <x:v>-2</x:v>
      </x:c>
      <x:c r="AQ1608" t="n">
        <x:f>_xlfn.XLOOKUP($A1608,Games!$A$2:$A$18,Games!$L$2:$L$18,"Missing game",0)</x:f>
        <x:v>36</x:v>
      </x:c>
      <x:c r="AR1608" t="n">
        <x:f>_xlfn.XLOOKUP($A1608,Games!$A$2:$A$18,Games!$M$2:$M$18,"Missing game",0)</x:f>
        <x:v>0</x:v>
      </x:c>
      <x:c r="AS1608" t="str">
        <x:f>_xlfn.XLOOKUP($A1608,Games!$A$2:$A$18,Games!$N$2:$N$18,"Missing game",0)</x:f>
        <x:v>dome</x:v>
      </x:c>
      <x:c r="AT1608" t="str">
        <x:f>_xlfn.XLOOKUP($A1608,Games!$A$2:$A$18,Games!$O$2:$O$18,"Missing game",0)</x:f>
        <x:v>sportturf</x:v>
      </x:c>
      <x:c r="AU1608" t="str">
        <x:f>_xlfn.XLOOKUP($A1608,Games!$A$2:$A$18,Games!$P$2:$P$18,"Missing game",0)</x:f>
      </x:c>
      <x:c r="AV1608" t="str">
        <x:f>_xlfn.XLOOKUP($A1608,Games!$A$2:$A$18,Games!$Q$2:$Q$18,"Missing game",0)</x:f>
      </x:c>
      <x:c r="AW1608" t="str">
        <x:f>_xlfn.XLOOKUP($A1608,Games!$A$2:$A$18,Games!$R$2:$R$18,"Missing game",0)</x:f>
        <x:v>U.S. Bank Stadium</x:v>
      </x:c>
    </x:row>
    <x:row r="1609">
      <x:c r="A1609" t="str">
        <x:v>2025_11_CHI_MIN</x:v>
      </x:c>
      <x:c r="B1609" t="n">
        <x:v>1781</x:v>
      </x:c>
      <x:c r="C1609" t="n">
        <x:v>2</x:v>
      </x:c>
      <x:c r="D1609" t="str">
        <x:v>01:18</x:v>
      </x:c>
      <x:c r="E1609" t="n">
        <x:v>3</x:v>
      </x:c>
      <x:c r="F1609" t="n">
        <x:v>6</x:v>
      </x:c>
      <x:c r="G1609" t="str">
        <x:v>MIN</x:v>
      </x:c>
      <x:c r="H1609" t="str">
        <x:v>CHI</x:v>
      </x:c>
      <x:c r="I1609" t="str">
        <x:v>MIN</x:v>
      </x:c>
      <x:c r="J1609" t="n">
        <x:v>62</x:v>
      </x:c>
      <x:c r="K1609" t="str">
        <x:v>(1:18) (Shotgun) 9-J.McCarthy pass short left to 18-J.Jefferson to CHI 35 for 27 yards (31-K.Byard).</x:v>
      </x:c>
      <x:c r="L1609" t="str">
        <x:v>pass</x:v>
      </x:c>
      <x:c r="M1609" t="n">
        <x:v>27</x:v>
      </x:c>
      <x:c r="N1609" t="n">
        <x:v>1</x:v>
      </x:c>
      <x:c r="O1609" t="n">
        <x:v>0</x:v>
      </x:c>
      <x:c r="P1609" t="str">
        <x:v>short</x:v>
      </x:c>
      <x:c r="Q1609" t="str">
        <x:v>left</x:v>
      </x:c>
      <x:c r="R1609" t="n">
        <x:v>13</x:v>
      </x:c>
      <x:c r="S1609" t="n">
        <x:v>14</x:v>
      </x:c>
      <x:c r="T1609"/>
      <x:c r="U1609"/>
      <x:c r="V1609" t="n">
        <x:v>1</x:v>
      </x:c>
      <x:c r="W1609" t="n">
        <x:v>1</x:v>
      </x:c>
      <x:c r="X1609" t="n">
        <x:v>0</x:v>
      </x:c>
      <x:c r="Y1609" t="n">
        <x:v>0</x:v>
      </x:c>
      <x:c r="Z1609" t="n">
        <x:v>0</x:v>
      </x:c>
      <x:c r="AA1609" t="n">
        <x:v>0</x:v>
      </x:c>
      <x:c r="AB1609"/>
      <x:c r="AC1609" t="n">
        <x:v>0</x:v>
      </x:c>
      <x:c r="AD1609" t="n">
        <x:v>2.21938893845072</x:v>
      </x:c>
      <x:c r="AE1609" t="n">
        <x:v>1</x:v>
      </x:c>
      <x:c r="AF1609" t="n">
        <x:v>0.06303858757019043</x:v>
      </x:c>
      <x:c r="AG1609" t="n">
        <x:f>_xlfn.XLOOKUP($A1609,Games!$A$2:$A$18,Games!$B$2:$B$18,"Missing game",0)</x:f>
        <x:v>2025</x:v>
      </x:c>
      <x:c r="AH1609" t="str">
        <x:f>_xlfn.XLOOKUP($A1609,Games!$A$2:$A$18,Games!$C$2:$C$18,"Missing game",0)</x:f>
        <x:v>REG</x:v>
      </x:c>
      <x:c r="AI1609" t="n">
        <x:f>_xlfn.XLOOKUP($A1609,Games!$A$2:$A$18,Games!$D$2:$D$18,"Missing game",0)</x:f>
        <x:v>11</x:v>
      </x:c>
      <x:c r="AJ1609" s="1" t="n">
        <x:f>_xlfn.XLOOKUP($A1609,Games!$A$2:$A$18,Games!$E$2:$E$18,"Missing game",0)</x:f>
        <x:v>45977</x:v>
      </x:c>
      <x:c r="AK1609" t="str">
        <x:f>_xlfn.XLOOKUP($A1609,Games!$A$2:$A$18,Games!$F$2:$F$18,"Missing game",0)</x:f>
        <x:v>Sunday</x:v>
      </x:c>
      <x:c r="AL1609" t="str">
        <x:f>_xlfn.XLOOKUP($A1609,Games!$A$2:$A$18,Games!$G$2:$G$18,"Missing game",0)</x:f>
        <x:v>CHI</x:v>
      </x:c>
      <x:c r="AM1609" t="n">
        <x:f>_xlfn.XLOOKUP($A1609,Games!$A$2:$A$18,Games!$H$2:$H$18,"Missing game",0)</x:f>
        <x:v>19</x:v>
      </x:c>
      <x:c r="AN1609" t="str">
        <x:f>_xlfn.XLOOKUP($A1609,Games!$A$2:$A$18,Games!$I$2:$I$18,"Missing game",0)</x:f>
        <x:v>MIN</x:v>
      </x:c>
      <x:c r="AO1609" t="n">
        <x:f>_xlfn.XLOOKUP($A1609,Games!$A$2:$A$18,Games!$J$2:$J$18,"Missing game",0)</x:f>
        <x:v>17</x:v>
      </x:c>
      <x:c r="AP1609" t="n">
        <x:f>_xlfn.XLOOKUP($A1609,Games!$A$2:$A$18,Games!$K$2:$K$18,"Missing game",0)</x:f>
        <x:v>-2</x:v>
      </x:c>
      <x:c r="AQ1609" t="n">
        <x:f>_xlfn.XLOOKUP($A1609,Games!$A$2:$A$18,Games!$L$2:$L$18,"Missing game",0)</x:f>
        <x:v>36</x:v>
      </x:c>
      <x:c r="AR1609" t="n">
        <x:f>_xlfn.XLOOKUP($A1609,Games!$A$2:$A$18,Games!$M$2:$M$18,"Missing game",0)</x:f>
        <x:v>0</x:v>
      </x:c>
      <x:c r="AS1609" t="str">
        <x:f>_xlfn.XLOOKUP($A1609,Games!$A$2:$A$18,Games!$N$2:$N$18,"Missing game",0)</x:f>
        <x:v>dome</x:v>
      </x:c>
      <x:c r="AT1609" t="str">
        <x:f>_xlfn.XLOOKUP($A1609,Games!$A$2:$A$18,Games!$O$2:$O$18,"Missing game",0)</x:f>
        <x:v>sportturf</x:v>
      </x:c>
      <x:c r="AU1609" t="str">
        <x:f>_xlfn.XLOOKUP($A1609,Games!$A$2:$A$18,Games!$P$2:$P$18,"Missing game",0)</x:f>
      </x:c>
      <x:c r="AV1609" t="str">
        <x:f>_xlfn.XLOOKUP($A1609,Games!$A$2:$A$18,Games!$Q$2:$Q$18,"Missing game",0)</x:f>
      </x:c>
      <x:c r="AW1609" t="str">
        <x:f>_xlfn.XLOOKUP($A1609,Games!$A$2:$A$18,Games!$R$2:$R$18,"Missing game",0)</x:f>
        <x:v>U.S. Bank Stadium</x:v>
      </x:c>
    </x:row>
    <x:row r="1610">
      <x:c r="A1610" t="str">
        <x:v>2025_11_CHI_MIN</x:v>
      </x:c>
      <x:c r="B1610" t="n">
        <x:v>1806</x:v>
      </x:c>
      <x:c r="C1610" t="n">
        <x:v>2</x:v>
      </x:c>
      <x:c r="D1610" t="str">
        <x:v>00:54</x:v>
      </x:c>
      <x:c r="E1610" t="n">
        <x:v>1</x:v>
      </x:c>
      <x:c r="F1610" t="n">
        <x:v>10</x:v>
      </x:c>
      <x:c r="G1610" t="str">
        <x:v>MIN</x:v>
      </x:c>
      <x:c r="H1610" t="str">
        <x:v>CHI</x:v>
      </x:c>
      <x:c r="I1610" t="str">
        <x:v>CHI</x:v>
      </x:c>
      <x:c r="J1610" t="n">
        <x:v>35</x:v>
      </x:c>
      <x:c r="K1610" t="str">
        <x:v>(:54) (No Huddle, Shotgun) 9-J.McCarthy pass incomplete short right to 19-A.Thielen.</x:v>
      </x:c>
      <x:c r="L1610" t="str">
        <x:v>pass</x:v>
      </x:c>
      <x:c r="M1610" t="n">
        <x:v>0</x:v>
      </x:c>
      <x:c r="N1610" t="n">
        <x:v>1</x:v>
      </x:c>
      <x:c r="O1610" t="n">
        <x:v>1</x:v>
      </x:c>
      <x:c r="P1610" t="str">
        <x:v>short</x:v>
      </x:c>
      <x:c r="Q1610" t="str">
        <x:v>right</x:v>
      </x:c>
      <x:c r="R1610" t="n">
        <x:v>12</x:v>
      </x:c>
      <x:c r="S1610"/>
      <x:c r="T1610"/>
      <x:c r="U1610"/>
      <x:c r="V1610" t="n">
        <x:v>0</x:v>
      </x:c>
      <x:c r="W1610" t="n">
        <x:v>0</x:v>
      </x:c>
      <x:c r="X1610" t="n">
        <x:v>0</x:v>
      </x:c>
      <x:c r="Y1610" t="n">
        <x:v>0</x:v>
      </x:c>
      <x:c r="Z1610" t="n">
        <x:v>0</x:v>
      </x:c>
      <x:c r="AA1610" t="n">
        <x:v>0</x:v>
      </x:c>
      <x:c r="AB1610"/>
      <x:c r="AC1610" t="n">
        <x:v>0</x:v>
      </x:c>
      <x:c r="AD1610" t="n">
        <x:v>-0.35084779566386715</x:v>
      </x:c>
      <x:c r="AE1610" t="n">
        <x:v>0</x:v>
      </x:c>
      <x:c r="AF1610" t="n">
        <x:v>-0.015241622924804688</x:v>
      </x:c>
      <x:c r="AG1610" t="n">
        <x:f>_xlfn.XLOOKUP($A1610,Games!$A$2:$A$18,Games!$B$2:$B$18,"Missing game",0)</x:f>
        <x:v>2025</x:v>
      </x:c>
      <x:c r="AH1610" t="str">
        <x:f>_xlfn.XLOOKUP($A1610,Games!$A$2:$A$18,Games!$C$2:$C$18,"Missing game",0)</x:f>
        <x:v>REG</x:v>
      </x:c>
      <x:c r="AI1610" t="n">
        <x:f>_xlfn.XLOOKUP($A1610,Games!$A$2:$A$18,Games!$D$2:$D$18,"Missing game",0)</x:f>
        <x:v>11</x:v>
      </x:c>
      <x:c r="AJ1610" s="1" t="n">
        <x:f>_xlfn.XLOOKUP($A1610,Games!$A$2:$A$18,Games!$E$2:$E$18,"Missing game",0)</x:f>
        <x:v>45977</x:v>
      </x:c>
      <x:c r="AK1610" t="str">
        <x:f>_xlfn.XLOOKUP($A1610,Games!$A$2:$A$18,Games!$F$2:$F$18,"Missing game",0)</x:f>
        <x:v>Sunday</x:v>
      </x:c>
      <x:c r="AL1610" t="str">
        <x:f>_xlfn.XLOOKUP($A1610,Games!$A$2:$A$18,Games!$G$2:$G$18,"Missing game",0)</x:f>
        <x:v>CHI</x:v>
      </x:c>
      <x:c r="AM1610" t="n">
        <x:f>_xlfn.XLOOKUP($A1610,Games!$A$2:$A$18,Games!$H$2:$H$18,"Missing game",0)</x:f>
        <x:v>19</x:v>
      </x:c>
      <x:c r="AN1610" t="str">
        <x:f>_xlfn.XLOOKUP($A1610,Games!$A$2:$A$18,Games!$I$2:$I$18,"Missing game",0)</x:f>
        <x:v>MIN</x:v>
      </x:c>
      <x:c r="AO1610" t="n">
        <x:f>_xlfn.XLOOKUP($A1610,Games!$A$2:$A$18,Games!$J$2:$J$18,"Missing game",0)</x:f>
        <x:v>17</x:v>
      </x:c>
      <x:c r="AP1610" t="n">
        <x:f>_xlfn.XLOOKUP($A1610,Games!$A$2:$A$18,Games!$K$2:$K$18,"Missing game",0)</x:f>
        <x:v>-2</x:v>
      </x:c>
      <x:c r="AQ1610" t="n">
        <x:f>_xlfn.XLOOKUP($A1610,Games!$A$2:$A$18,Games!$L$2:$L$18,"Missing game",0)</x:f>
        <x:v>36</x:v>
      </x:c>
      <x:c r="AR1610" t="n">
        <x:f>_xlfn.XLOOKUP($A1610,Games!$A$2:$A$18,Games!$M$2:$M$18,"Missing game",0)</x:f>
        <x:v>0</x:v>
      </x:c>
      <x:c r="AS1610" t="str">
        <x:f>_xlfn.XLOOKUP($A1610,Games!$A$2:$A$18,Games!$N$2:$N$18,"Missing game",0)</x:f>
        <x:v>dome</x:v>
      </x:c>
      <x:c r="AT1610" t="str">
        <x:f>_xlfn.XLOOKUP($A1610,Games!$A$2:$A$18,Games!$O$2:$O$18,"Missing game",0)</x:f>
        <x:v>sportturf</x:v>
      </x:c>
      <x:c r="AU1610" t="str">
        <x:f>_xlfn.XLOOKUP($A1610,Games!$A$2:$A$18,Games!$P$2:$P$18,"Missing game",0)</x:f>
      </x:c>
      <x:c r="AV1610" t="str">
        <x:f>_xlfn.XLOOKUP($A1610,Games!$A$2:$A$18,Games!$Q$2:$Q$18,"Missing game",0)</x:f>
      </x:c>
      <x:c r="AW1610" t="str">
        <x:f>_xlfn.XLOOKUP($A1610,Games!$A$2:$A$18,Games!$R$2:$R$18,"Missing game",0)</x:f>
        <x:v>U.S. Bank Stadium</x:v>
      </x:c>
    </x:row>
    <x:row r="1611">
      <x:c r="A1611" t="str">
        <x:v>2025_11_CHI_MIN</x:v>
      </x:c>
      <x:c r="B1611" t="n">
        <x:v>1832</x:v>
      </x:c>
      <x:c r="C1611" t="n">
        <x:v>2</x:v>
      </x:c>
      <x:c r="D1611" t="str">
        <x:v>00:49</x:v>
      </x:c>
      <x:c r="E1611" t="n">
        <x:v>2</x:v>
      </x:c>
      <x:c r="F1611" t="n">
        <x:v>10</x:v>
      </x:c>
      <x:c r="G1611" t="str">
        <x:v>MIN</x:v>
      </x:c>
      <x:c r="H1611" t="str">
        <x:v>CHI</x:v>
      </x:c>
      <x:c r="I1611" t="str">
        <x:v>CHI</x:v>
      </x:c>
      <x:c r="J1611" t="n">
        <x:v>35</x:v>
      </x:c>
      <x:c r="K1611" t="str">
        <x:v>(:49) (Shotgun) 9-J.McCarthy pass incomplete short middle to 33-A.Jones (49-T.Edmunds) [98-M.Sweat]. PENALTY on CHI-44-N.Sewell, Defensive Holding, 5 yards, enforced at CHI 35 - No Play.</x:v>
      </x:c>
      <x:c r="L1611" t="str">
        <x:v>no_play</x:v>
      </x:c>
      <x:c r="M1611" t="n">
        <x:v>0</x:v>
      </x:c>
      <x:c r="N1611" t="n">
        <x:v>1</x:v>
      </x:c>
      <x:c r="O1611" t="n">
        <x:v>0</x:v>
      </x:c>
      <x:c r="P1611"/>
      <x:c r="Q1611"/>
      <x:c r="R1611"/>
      <x:c r="S1611"/>
      <x:c r="T1611"/>
      <x:c r="U1611"/>
      <x:c r="V1611" t="n">
        <x:v>0</x:v>
      </x:c>
      <x:c r="W1611" t="n">
        <x:v>1</x:v>
      </x:c>
      <x:c r="X1611" t="n">
        <x:v>0</x:v>
      </x:c>
      <x:c r="Y1611" t="n">
        <x:v>0</x:v>
      </x:c>
      <x:c r="Z1611" t="n">
        <x:v>0</x:v>
      </x:c>
      <x:c r="AA1611" t="n">
        <x:v>1</x:v>
      </x:c>
      <x:c r="AB1611" t="n">
        <x:v>5</x:v>
      </x:c>
      <x:c r="AC1611" t="n">
        <x:v>0</x:v>
      </x:c>
      <x:c r="AD1611" t="n">
        <x:v>0.7073117910185829</x:v>
      </x:c>
      <x:c r="AE1611" t="n">
        <x:v>1</x:v>
      </x:c>
      <x:c r="AF1611" t="n">
        <x:v>0.030938416719436646</x:v>
      </x:c>
      <x:c r="AG1611" t="n">
        <x:f>_xlfn.XLOOKUP($A1611,Games!$A$2:$A$18,Games!$B$2:$B$18,"Missing game",0)</x:f>
        <x:v>2025</x:v>
      </x:c>
      <x:c r="AH1611" t="str">
        <x:f>_xlfn.XLOOKUP($A1611,Games!$A$2:$A$18,Games!$C$2:$C$18,"Missing game",0)</x:f>
        <x:v>REG</x:v>
      </x:c>
      <x:c r="AI1611" t="n">
        <x:f>_xlfn.XLOOKUP($A1611,Games!$A$2:$A$18,Games!$D$2:$D$18,"Missing game",0)</x:f>
        <x:v>11</x:v>
      </x:c>
      <x:c r="AJ1611" s="1" t="n">
        <x:f>_xlfn.XLOOKUP($A1611,Games!$A$2:$A$18,Games!$E$2:$E$18,"Missing game",0)</x:f>
        <x:v>45977</x:v>
      </x:c>
      <x:c r="AK1611" t="str">
        <x:f>_xlfn.XLOOKUP($A1611,Games!$A$2:$A$18,Games!$F$2:$F$18,"Missing game",0)</x:f>
        <x:v>Sunday</x:v>
      </x:c>
      <x:c r="AL1611" t="str">
        <x:f>_xlfn.XLOOKUP($A1611,Games!$A$2:$A$18,Games!$G$2:$G$18,"Missing game",0)</x:f>
        <x:v>CHI</x:v>
      </x:c>
      <x:c r="AM1611" t="n">
        <x:f>_xlfn.XLOOKUP($A1611,Games!$A$2:$A$18,Games!$H$2:$H$18,"Missing game",0)</x:f>
        <x:v>19</x:v>
      </x:c>
      <x:c r="AN1611" t="str">
        <x:f>_xlfn.XLOOKUP($A1611,Games!$A$2:$A$18,Games!$I$2:$I$18,"Missing game",0)</x:f>
        <x:v>MIN</x:v>
      </x:c>
      <x:c r="AO1611" t="n">
        <x:f>_xlfn.XLOOKUP($A1611,Games!$A$2:$A$18,Games!$J$2:$J$18,"Missing game",0)</x:f>
        <x:v>17</x:v>
      </x:c>
      <x:c r="AP1611" t="n">
        <x:f>_xlfn.XLOOKUP($A1611,Games!$A$2:$A$18,Games!$K$2:$K$18,"Missing game",0)</x:f>
        <x:v>-2</x:v>
      </x:c>
      <x:c r="AQ1611" t="n">
        <x:f>_xlfn.XLOOKUP($A1611,Games!$A$2:$A$18,Games!$L$2:$L$18,"Missing game",0)</x:f>
        <x:v>36</x:v>
      </x:c>
      <x:c r="AR1611" t="n">
        <x:f>_xlfn.XLOOKUP($A1611,Games!$A$2:$A$18,Games!$M$2:$M$18,"Missing game",0)</x:f>
        <x:v>0</x:v>
      </x:c>
      <x:c r="AS1611" t="str">
        <x:f>_xlfn.XLOOKUP($A1611,Games!$A$2:$A$18,Games!$N$2:$N$18,"Missing game",0)</x:f>
        <x:v>dome</x:v>
      </x:c>
      <x:c r="AT1611" t="str">
        <x:f>_xlfn.XLOOKUP($A1611,Games!$A$2:$A$18,Games!$O$2:$O$18,"Missing game",0)</x:f>
        <x:v>sportturf</x:v>
      </x:c>
      <x:c r="AU1611" t="str">
        <x:f>_xlfn.XLOOKUP($A1611,Games!$A$2:$A$18,Games!$P$2:$P$18,"Missing game",0)</x:f>
      </x:c>
      <x:c r="AV1611" t="str">
        <x:f>_xlfn.XLOOKUP($A1611,Games!$A$2:$A$18,Games!$Q$2:$Q$18,"Missing game",0)</x:f>
      </x:c>
      <x:c r="AW1611" t="str">
        <x:f>_xlfn.XLOOKUP($A1611,Games!$A$2:$A$18,Games!$R$2:$R$18,"Missing game",0)</x:f>
        <x:v>U.S. Bank Stadium</x:v>
      </x:c>
    </x:row>
    <x:row r="1612">
      <x:c r="A1612" t="str">
        <x:v>2025_11_CHI_MIN</x:v>
      </x:c>
      <x:c r="B1612" t="n">
        <x:v>1866</x:v>
      </x:c>
      <x:c r="C1612" t="n">
        <x:v>2</x:v>
      </x:c>
      <x:c r="D1612" t="str">
        <x:v>00:42</x:v>
      </x:c>
      <x:c r="E1612" t="n">
        <x:v>1</x:v>
      </x:c>
      <x:c r="F1612" t="n">
        <x:v>10</x:v>
      </x:c>
      <x:c r="G1612" t="str">
        <x:v>MIN</x:v>
      </x:c>
      <x:c r="H1612" t="str">
        <x:v>CHI</x:v>
      </x:c>
      <x:c r="I1612" t="str">
        <x:v>CHI</x:v>
      </x:c>
      <x:c r="J1612" t="n">
        <x:v>30</x:v>
      </x:c>
      <x:c r="K1612" t="str">
        <x:v>(:42) (Shotgun) 9-J.McCarthy pass deep left intended for 3-J.Addison INTERCEPTED by 26-N.Wright at CHI -4. Touchback.</x:v>
      </x:c>
      <x:c r="L1612" t="str">
        <x:v>pass</x:v>
      </x:c>
      <x:c r="M1612" t="n">
        <x:v>0</x:v>
      </x:c>
      <x:c r="N1612" t="n">
        <x:v>1</x:v>
      </x:c>
      <x:c r="O1612" t="n">
        <x:v>0</x:v>
      </x:c>
      <x:c r="P1612" t="str">
        <x:v>deep</x:v>
      </x:c>
      <x:c r="Q1612" t="str">
        <x:v>left</x:v>
      </x:c>
      <x:c r="R1612" t="n">
        <x:v>30</x:v>
      </x:c>
      <x:c r="S1612"/>
      <x:c r="T1612"/>
      <x:c r="U1612"/>
      <x:c r="V1612" t="n">
        <x:v>0</x:v>
      </x:c>
      <x:c r="W1612" t="n">
        <x:v>0</x:v>
      </x:c>
      <x:c r="X1612" t="n">
        <x:v>0</x:v>
      </x:c>
      <x:c r="Y1612" t="n">
        <x:v>1</x:v>
      </x:c>
      <x:c r="Z1612" t="n">
        <x:v>0</x:v>
      </x:c>
      <x:c r="AA1612" t="n">
        <x:v>0</x:v>
      </x:c>
      <x:c r="AB1612"/>
      <x:c r="AC1612" t="n">
        <x:v>0</x:v>
      </x:c>
      <x:c r="AD1612" t="n">
        <x:v>-3.9553803687449545</x:v>
      </x:c>
      <x:c r="AE1612" t="n">
        <x:v>0</x:v>
      </x:c>
      <x:c r="AF1612" t="n">
        <x:v>-0.11559349298477173</x:v>
      </x:c>
      <x:c r="AG1612" t="n">
        <x:f>_xlfn.XLOOKUP($A1612,Games!$A$2:$A$18,Games!$B$2:$B$18,"Missing game",0)</x:f>
        <x:v>2025</x:v>
      </x:c>
      <x:c r="AH1612" t="str">
        <x:f>_xlfn.XLOOKUP($A1612,Games!$A$2:$A$18,Games!$C$2:$C$18,"Missing game",0)</x:f>
        <x:v>REG</x:v>
      </x:c>
      <x:c r="AI1612" t="n">
        <x:f>_xlfn.XLOOKUP($A1612,Games!$A$2:$A$18,Games!$D$2:$D$18,"Missing game",0)</x:f>
        <x:v>11</x:v>
      </x:c>
      <x:c r="AJ1612" s="1" t="n">
        <x:f>_xlfn.XLOOKUP($A1612,Games!$A$2:$A$18,Games!$E$2:$E$18,"Missing game",0)</x:f>
        <x:v>45977</x:v>
      </x:c>
      <x:c r="AK1612" t="str">
        <x:f>_xlfn.XLOOKUP($A1612,Games!$A$2:$A$18,Games!$F$2:$F$18,"Missing game",0)</x:f>
        <x:v>Sunday</x:v>
      </x:c>
      <x:c r="AL1612" t="str">
        <x:f>_xlfn.XLOOKUP($A1612,Games!$A$2:$A$18,Games!$G$2:$G$18,"Missing game",0)</x:f>
        <x:v>CHI</x:v>
      </x:c>
      <x:c r="AM1612" t="n">
        <x:f>_xlfn.XLOOKUP($A1612,Games!$A$2:$A$18,Games!$H$2:$H$18,"Missing game",0)</x:f>
        <x:v>19</x:v>
      </x:c>
      <x:c r="AN1612" t="str">
        <x:f>_xlfn.XLOOKUP($A1612,Games!$A$2:$A$18,Games!$I$2:$I$18,"Missing game",0)</x:f>
        <x:v>MIN</x:v>
      </x:c>
      <x:c r="AO1612" t="n">
        <x:f>_xlfn.XLOOKUP($A1612,Games!$A$2:$A$18,Games!$J$2:$J$18,"Missing game",0)</x:f>
        <x:v>17</x:v>
      </x:c>
      <x:c r="AP1612" t="n">
        <x:f>_xlfn.XLOOKUP($A1612,Games!$A$2:$A$18,Games!$K$2:$K$18,"Missing game",0)</x:f>
        <x:v>-2</x:v>
      </x:c>
      <x:c r="AQ1612" t="n">
        <x:f>_xlfn.XLOOKUP($A1612,Games!$A$2:$A$18,Games!$L$2:$L$18,"Missing game",0)</x:f>
        <x:v>36</x:v>
      </x:c>
      <x:c r="AR1612" t="n">
        <x:f>_xlfn.XLOOKUP($A1612,Games!$A$2:$A$18,Games!$M$2:$M$18,"Missing game",0)</x:f>
        <x:v>0</x:v>
      </x:c>
      <x:c r="AS1612" t="str">
        <x:f>_xlfn.XLOOKUP($A1612,Games!$A$2:$A$18,Games!$N$2:$N$18,"Missing game",0)</x:f>
        <x:v>dome</x:v>
      </x:c>
      <x:c r="AT1612" t="str">
        <x:f>_xlfn.XLOOKUP($A1612,Games!$A$2:$A$18,Games!$O$2:$O$18,"Missing game",0)</x:f>
        <x:v>sportturf</x:v>
      </x:c>
      <x:c r="AU1612" t="str">
        <x:f>_xlfn.XLOOKUP($A1612,Games!$A$2:$A$18,Games!$P$2:$P$18,"Missing game",0)</x:f>
      </x:c>
      <x:c r="AV1612" t="str">
        <x:f>_xlfn.XLOOKUP($A1612,Games!$A$2:$A$18,Games!$Q$2:$Q$18,"Missing game",0)</x:f>
      </x:c>
      <x:c r="AW1612" t="str">
        <x:f>_xlfn.XLOOKUP($A1612,Games!$A$2:$A$18,Games!$R$2:$R$18,"Missing game",0)</x:f>
        <x:v>U.S. Bank Stadium</x:v>
      </x:c>
    </x:row>
    <x:row r="1613">
      <x:c r="A1613" t="str">
        <x:v>2025_11_CHI_MIN</x:v>
      </x:c>
      <x:c r="B1613" t="n">
        <x:v>1894</x:v>
      </x:c>
      <x:c r="C1613" t="n">
        <x:v>2</x:v>
      </x:c>
      <x:c r="D1613" t="str">
        <x:v>00:35</x:v>
      </x:c>
      <x:c r="E1613" t="n">
        <x:v>1</x:v>
      </x:c>
      <x:c r="F1613" t="n">
        <x:v>10</x:v>
      </x:c>
      <x:c r="G1613" t="str">
        <x:v>CHI</x:v>
      </x:c>
      <x:c r="H1613" t="str">
        <x:v>MIN</x:v>
      </x:c>
      <x:c r="I1613" t="str">
        <x:v>CHI</x:v>
      </x:c>
      <x:c r="J1613" t="n">
        <x:v>80</x:v>
      </x:c>
      <x:c r="K1613" t="str">
        <x:v>(:35) (Shotgun) PENALTY on CHI-79-T.Benedet, False Start, 5 yards, enforced at CHI 20 - No Play.</x:v>
      </x:c>
      <x:c r="L1613" t="str">
        <x:v>no_play</x:v>
      </x:c>
      <x:c r="M1613" t="n">
        <x:v>0</x:v>
      </x:c>
      <x:c r="N1613" t="n">
        <x:v>1</x:v>
      </x:c>
      <x:c r="O1613" t="n">
        <x:v>0</x:v>
      </x:c>
      <x:c r="P1613"/>
      <x:c r="Q1613"/>
      <x:c r="R1613"/>
      <x:c r="S1613"/>
      <x:c r="T1613"/>
      <x:c r="U1613"/>
      <x:c r="V1613" t="n">
        <x:v>0</x:v>
      </x:c>
      <x:c r="W1613" t="n">
        <x:v>0</x:v>
      </x:c>
      <x:c r="X1613" t="n">
        <x:v>0</x:v>
      </x:c>
      <x:c r="Y1613" t="n">
        <x:v>0</x:v>
      </x:c>
      <x:c r="Z1613" t="n">
        <x:v>0</x:v>
      </x:c>
      <x:c r="AA1613" t="n">
        <x:v>1</x:v>
      </x:c>
      <x:c r="AB1613" t="n">
        <x:v>5</x:v>
      </x:c>
      <x:c r="AC1613" t="n">
        <x:v>0</x:v>
      </x:c>
      <x:c r="AD1613" t="n">
        <x:v>-0.2677003429271281</x:v>
      </x:c>
      <x:c r="AE1613" t="n">
        <x:v>0</x:v>
      </x:c>
      <x:c r="AF1613" t="n">
        <x:v>-0.03433573246002197</x:v>
      </x:c>
      <x:c r="AG1613" t="n">
        <x:f>_xlfn.XLOOKUP($A1613,Games!$A$2:$A$18,Games!$B$2:$B$18,"Missing game",0)</x:f>
        <x:v>2025</x:v>
      </x:c>
      <x:c r="AH1613" t="str">
        <x:f>_xlfn.XLOOKUP($A1613,Games!$A$2:$A$18,Games!$C$2:$C$18,"Missing game",0)</x:f>
        <x:v>REG</x:v>
      </x:c>
      <x:c r="AI1613" t="n">
        <x:f>_xlfn.XLOOKUP($A1613,Games!$A$2:$A$18,Games!$D$2:$D$18,"Missing game",0)</x:f>
        <x:v>11</x:v>
      </x:c>
      <x:c r="AJ1613" s="1" t="n">
        <x:f>_xlfn.XLOOKUP($A1613,Games!$A$2:$A$18,Games!$E$2:$E$18,"Missing game",0)</x:f>
        <x:v>45977</x:v>
      </x:c>
      <x:c r="AK1613" t="str">
        <x:f>_xlfn.XLOOKUP($A1613,Games!$A$2:$A$18,Games!$F$2:$F$18,"Missing game",0)</x:f>
        <x:v>Sunday</x:v>
      </x:c>
      <x:c r="AL1613" t="str">
        <x:f>_xlfn.XLOOKUP($A1613,Games!$A$2:$A$18,Games!$G$2:$G$18,"Missing game",0)</x:f>
        <x:v>CHI</x:v>
      </x:c>
      <x:c r="AM1613" t="n">
        <x:f>_xlfn.XLOOKUP($A1613,Games!$A$2:$A$18,Games!$H$2:$H$18,"Missing game",0)</x:f>
        <x:v>19</x:v>
      </x:c>
      <x:c r="AN1613" t="str">
        <x:f>_xlfn.XLOOKUP($A1613,Games!$A$2:$A$18,Games!$I$2:$I$18,"Missing game",0)</x:f>
        <x:v>MIN</x:v>
      </x:c>
      <x:c r="AO1613" t="n">
        <x:f>_xlfn.XLOOKUP($A1613,Games!$A$2:$A$18,Games!$J$2:$J$18,"Missing game",0)</x:f>
        <x:v>17</x:v>
      </x:c>
      <x:c r="AP1613" t="n">
        <x:f>_xlfn.XLOOKUP($A1613,Games!$A$2:$A$18,Games!$K$2:$K$18,"Missing game",0)</x:f>
        <x:v>-2</x:v>
      </x:c>
      <x:c r="AQ1613" t="n">
        <x:f>_xlfn.XLOOKUP($A1613,Games!$A$2:$A$18,Games!$L$2:$L$18,"Missing game",0)</x:f>
        <x:v>36</x:v>
      </x:c>
      <x:c r="AR1613" t="n">
        <x:f>_xlfn.XLOOKUP($A1613,Games!$A$2:$A$18,Games!$M$2:$M$18,"Missing game",0)</x:f>
        <x:v>0</x:v>
      </x:c>
      <x:c r="AS1613" t="str">
        <x:f>_xlfn.XLOOKUP($A1613,Games!$A$2:$A$18,Games!$N$2:$N$18,"Missing game",0)</x:f>
        <x:v>dome</x:v>
      </x:c>
      <x:c r="AT1613" t="str">
        <x:f>_xlfn.XLOOKUP($A1613,Games!$A$2:$A$18,Games!$O$2:$O$18,"Missing game",0)</x:f>
        <x:v>sportturf</x:v>
      </x:c>
      <x:c r="AU1613" t="str">
        <x:f>_xlfn.XLOOKUP($A1613,Games!$A$2:$A$18,Games!$P$2:$P$18,"Missing game",0)</x:f>
      </x:c>
      <x:c r="AV1613" t="str">
        <x:f>_xlfn.XLOOKUP($A1613,Games!$A$2:$A$18,Games!$Q$2:$Q$18,"Missing game",0)</x:f>
      </x:c>
      <x:c r="AW1613" t="str">
        <x:f>_xlfn.XLOOKUP($A1613,Games!$A$2:$A$18,Games!$R$2:$R$18,"Missing game",0)</x:f>
        <x:v>U.S. Bank Stadium</x:v>
      </x:c>
    </x:row>
    <x:row r="1614">
      <x:c r="A1614" t="str">
        <x:v>2025_11_CHI_MIN</x:v>
      </x:c>
      <x:c r="B1614" t="n">
        <x:v>1918</x:v>
      </x:c>
      <x:c r="C1614" t="n">
        <x:v>2</x:v>
      </x:c>
      <x:c r="D1614" t="str">
        <x:v>00:35</x:v>
      </x:c>
      <x:c r="E1614" t="n">
        <x:v>1</x:v>
      </x:c>
      <x:c r="F1614" t="n">
        <x:v>15</x:v>
      </x:c>
      <x:c r="G1614" t="str">
        <x:v>CHI</x:v>
      </x:c>
      <x:c r="H1614" t="str">
        <x:v>MIN</x:v>
      </x:c>
      <x:c r="I1614" t="str">
        <x:v>CHI</x:v>
      </x:c>
      <x:c r="J1614" t="n">
        <x:v>85</x:v>
      </x:c>
      <x:c r="K1614" t="str">
        <x:v>(:35) (Shotgun) 18-C.Williams pass incomplete deep left to 15-R.Odunze.</x:v>
      </x:c>
      <x:c r="L1614" t="str">
        <x:v>pass</x:v>
      </x:c>
      <x:c r="M1614" t="n">
        <x:v>0</x:v>
      </x:c>
      <x:c r="N1614" t="n">
        <x:v>1</x:v>
      </x:c>
      <x:c r="O1614" t="n">
        <x:v>0</x:v>
      </x:c>
      <x:c r="P1614" t="str">
        <x:v>deep</x:v>
      </x:c>
      <x:c r="Q1614" t="str">
        <x:v>left</x:v>
      </x:c>
      <x:c r="R1614" t="n">
        <x:v>32</x:v>
      </x:c>
      <x:c r="S1614"/>
      <x:c r="T1614"/>
      <x:c r="U1614"/>
      <x:c r="V1614" t="n">
        <x:v>0</x:v>
      </x:c>
      <x:c r="W1614" t="n">
        <x:v>0</x:v>
      </x:c>
      <x:c r="X1614" t="n">
        <x:v>0</x:v>
      </x:c>
      <x:c r="Y1614" t="n">
        <x:v>0</x:v>
      </x:c>
      <x:c r="Z1614" t="n">
        <x:v>0</x:v>
      </x:c>
      <x:c r="AA1614" t="n">
        <x:v>0</x:v>
      </x:c>
      <x:c r="AB1614"/>
      <x:c r="AC1614" t="n">
        <x:v>0</x:v>
      </x:c>
      <x:c r="AD1614" t="n">
        <x:v>-0.0823506850283593</x:v>
      </x:c>
      <x:c r="AE1614" t="n">
        <x:v>0</x:v>
      </x:c>
      <x:c r="AF1614" t="n">
        <x:v>-0.01104724407196045</x:v>
      </x:c>
      <x:c r="AG1614" t="n">
        <x:f>_xlfn.XLOOKUP($A1614,Games!$A$2:$A$18,Games!$B$2:$B$18,"Missing game",0)</x:f>
        <x:v>2025</x:v>
      </x:c>
      <x:c r="AH1614" t="str">
        <x:f>_xlfn.XLOOKUP($A1614,Games!$A$2:$A$18,Games!$C$2:$C$18,"Missing game",0)</x:f>
        <x:v>REG</x:v>
      </x:c>
      <x:c r="AI1614" t="n">
        <x:f>_xlfn.XLOOKUP($A1614,Games!$A$2:$A$18,Games!$D$2:$D$18,"Missing game",0)</x:f>
        <x:v>11</x:v>
      </x:c>
      <x:c r="AJ1614" s="1" t="n">
        <x:f>_xlfn.XLOOKUP($A1614,Games!$A$2:$A$18,Games!$E$2:$E$18,"Missing game",0)</x:f>
        <x:v>45977</x:v>
      </x:c>
      <x:c r="AK1614" t="str">
        <x:f>_xlfn.XLOOKUP($A1614,Games!$A$2:$A$18,Games!$F$2:$F$18,"Missing game",0)</x:f>
        <x:v>Sunday</x:v>
      </x:c>
      <x:c r="AL1614" t="str">
        <x:f>_xlfn.XLOOKUP($A1614,Games!$A$2:$A$18,Games!$G$2:$G$18,"Missing game",0)</x:f>
        <x:v>CHI</x:v>
      </x:c>
      <x:c r="AM1614" t="n">
        <x:f>_xlfn.XLOOKUP($A1614,Games!$A$2:$A$18,Games!$H$2:$H$18,"Missing game",0)</x:f>
        <x:v>19</x:v>
      </x:c>
      <x:c r="AN1614" t="str">
        <x:f>_xlfn.XLOOKUP($A1614,Games!$A$2:$A$18,Games!$I$2:$I$18,"Missing game",0)</x:f>
        <x:v>MIN</x:v>
      </x:c>
      <x:c r="AO1614" t="n">
        <x:f>_xlfn.XLOOKUP($A1614,Games!$A$2:$A$18,Games!$J$2:$J$18,"Missing game",0)</x:f>
        <x:v>17</x:v>
      </x:c>
      <x:c r="AP1614" t="n">
        <x:f>_xlfn.XLOOKUP($A1614,Games!$A$2:$A$18,Games!$K$2:$K$18,"Missing game",0)</x:f>
        <x:v>-2</x:v>
      </x:c>
      <x:c r="AQ1614" t="n">
        <x:f>_xlfn.XLOOKUP($A1614,Games!$A$2:$A$18,Games!$L$2:$L$18,"Missing game",0)</x:f>
        <x:v>36</x:v>
      </x:c>
      <x:c r="AR1614" t="n">
        <x:f>_xlfn.XLOOKUP($A1614,Games!$A$2:$A$18,Games!$M$2:$M$18,"Missing game",0)</x:f>
        <x:v>0</x:v>
      </x:c>
      <x:c r="AS1614" t="str">
        <x:f>_xlfn.XLOOKUP($A1614,Games!$A$2:$A$18,Games!$N$2:$N$18,"Missing game",0)</x:f>
        <x:v>dome</x:v>
      </x:c>
      <x:c r="AT1614" t="str">
        <x:f>_xlfn.XLOOKUP($A1614,Games!$A$2:$A$18,Games!$O$2:$O$18,"Missing game",0)</x:f>
        <x:v>sportturf</x:v>
      </x:c>
      <x:c r="AU1614" t="str">
        <x:f>_xlfn.XLOOKUP($A1614,Games!$A$2:$A$18,Games!$P$2:$P$18,"Missing game",0)</x:f>
      </x:c>
      <x:c r="AV1614" t="str">
        <x:f>_xlfn.XLOOKUP($A1614,Games!$A$2:$A$18,Games!$Q$2:$Q$18,"Missing game",0)</x:f>
      </x:c>
      <x:c r="AW1614" t="str">
        <x:f>_xlfn.XLOOKUP($A1614,Games!$A$2:$A$18,Games!$R$2:$R$18,"Missing game",0)</x:f>
        <x:v>U.S. Bank Stadium</x:v>
      </x:c>
    </x:row>
    <x:row r="1615">
      <x:c r="A1615" t="str">
        <x:v>2025_11_CHI_MIN</x:v>
      </x:c>
      <x:c r="B1615" t="n">
        <x:v>1946</x:v>
      </x:c>
      <x:c r="C1615" t="n">
        <x:v>2</x:v>
      </x:c>
      <x:c r="D1615" t="str">
        <x:v>00:31</x:v>
      </x:c>
      <x:c r="E1615" t="n">
        <x:v>2</x:v>
      </x:c>
      <x:c r="F1615" t="n">
        <x:v>15</x:v>
      </x:c>
      <x:c r="G1615" t="str">
        <x:v>CHI</x:v>
      </x:c>
      <x:c r="H1615" t="str">
        <x:v>MIN</x:v>
      </x:c>
      <x:c r="I1615" t="str">
        <x:v>CHI</x:v>
      </x:c>
      <x:c r="J1615" t="n">
        <x:v>85</x:v>
      </x:c>
      <x:c r="K1615" t="str">
        <x:v>(:31) (Shotgun) 18-C.Williams pass short right to 85-C.Kmet to CHI 29 for 14 yards (44-J.Metellus).</x:v>
      </x:c>
      <x:c r="L1615" t="str">
        <x:v>pass</x:v>
      </x:c>
      <x:c r="M1615" t="n">
        <x:v>14</x:v>
      </x:c>
      <x:c r="N1615" t="n">
        <x:v>1</x:v>
      </x:c>
      <x:c r="O1615" t="n">
        <x:v>0</x:v>
      </x:c>
      <x:c r="P1615" t="str">
        <x:v>short</x:v>
      </x:c>
      <x:c r="Q1615" t="str">
        <x:v>right</x:v>
      </x:c>
      <x:c r="R1615" t="n">
        <x:v>14</x:v>
      </x:c>
      <x:c r="S1615" t="n">
        <x:v>0</x:v>
      </x:c>
      <x:c r="T1615"/>
      <x:c r="U1615"/>
      <x:c r="V1615" t="n">
        <x:v>1</x:v>
      </x:c>
      <x:c r="W1615" t="n">
        <x:v>0</x:v>
      </x:c>
      <x:c r="X1615" t="n">
        <x:v>0</x:v>
      </x:c>
      <x:c r="Y1615" t="n">
        <x:v>0</x:v>
      </x:c>
      <x:c r="Z1615" t="n">
        <x:v>0</x:v>
      </x:c>
      <x:c r="AA1615" t="n">
        <x:v>0</x:v>
      </x:c>
      <x:c r="AB1615"/>
      <x:c r="AC1615" t="n">
        <x:v>0</x:v>
      </x:c>
      <x:c r="AD1615" t="n">
        <x:v>0.3015932940179482</x:v>
      </x:c>
      <x:c r="AE1615" t="n">
        <x:v>1</x:v>
      </x:c>
      <x:c r="AF1615" t="n">
        <x:v>0.04020273685455322</x:v>
      </x:c>
      <x:c r="AG1615" t="n">
        <x:f>_xlfn.XLOOKUP($A1615,Games!$A$2:$A$18,Games!$B$2:$B$18,"Missing game",0)</x:f>
        <x:v>2025</x:v>
      </x:c>
      <x:c r="AH1615" t="str">
        <x:f>_xlfn.XLOOKUP($A1615,Games!$A$2:$A$18,Games!$C$2:$C$18,"Missing game",0)</x:f>
        <x:v>REG</x:v>
      </x:c>
      <x:c r="AI1615" t="n">
        <x:f>_xlfn.XLOOKUP($A1615,Games!$A$2:$A$18,Games!$D$2:$D$18,"Missing game",0)</x:f>
        <x:v>11</x:v>
      </x:c>
      <x:c r="AJ1615" s="1" t="n">
        <x:f>_xlfn.XLOOKUP($A1615,Games!$A$2:$A$18,Games!$E$2:$E$18,"Missing game",0)</x:f>
        <x:v>45977</x:v>
      </x:c>
      <x:c r="AK1615" t="str">
        <x:f>_xlfn.XLOOKUP($A1615,Games!$A$2:$A$18,Games!$F$2:$F$18,"Missing game",0)</x:f>
        <x:v>Sunday</x:v>
      </x:c>
      <x:c r="AL1615" t="str">
        <x:f>_xlfn.XLOOKUP($A1615,Games!$A$2:$A$18,Games!$G$2:$G$18,"Missing game",0)</x:f>
        <x:v>CHI</x:v>
      </x:c>
      <x:c r="AM1615" t="n">
        <x:f>_xlfn.XLOOKUP($A1615,Games!$A$2:$A$18,Games!$H$2:$H$18,"Missing game",0)</x:f>
        <x:v>19</x:v>
      </x:c>
      <x:c r="AN1615" t="str">
        <x:f>_xlfn.XLOOKUP($A1615,Games!$A$2:$A$18,Games!$I$2:$I$18,"Missing game",0)</x:f>
        <x:v>MIN</x:v>
      </x:c>
      <x:c r="AO1615" t="n">
        <x:f>_xlfn.XLOOKUP($A1615,Games!$A$2:$A$18,Games!$J$2:$J$18,"Missing game",0)</x:f>
        <x:v>17</x:v>
      </x:c>
      <x:c r="AP1615" t="n">
        <x:f>_xlfn.XLOOKUP($A1615,Games!$A$2:$A$18,Games!$K$2:$K$18,"Missing game",0)</x:f>
        <x:v>-2</x:v>
      </x:c>
      <x:c r="AQ1615" t="n">
        <x:f>_xlfn.XLOOKUP($A1615,Games!$A$2:$A$18,Games!$L$2:$L$18,"Missing game",0)</x:f>
        <x:v>36</x:v>
      </x:c>
      <x:c r="AR1615" t="n">
        <x:f>_xlfn.XLOOKUP($A1615,Games!$A$2:$A$18,Games!$M$2:$M$18,"Missing game",0)</x:f>
        <x:v>0</x:v>
      </x:c>
      <x:c r="AS1615" t="str">
        <x:f>_xlfn.XLOOKUP($A1615,Games!$A$2:$A$18,Games!$N$2:$N$18,"Missing game",0)</x:f>
        <x:v>dome</x:v>
      </x:c>
      <x:c r="AT1615" t="str">
        <x:f>_xlfn.XLOOKUP($A1615,Games!$A$2:$A$18,Games!$O$2:$O$18,"Missing game",0)</x:f>
        <x:v>sportturf</x:v>
      </x:c>
      <x:c r="AU1615" t="str">
        <x:f>_xlfn.XLOOKUP($A1615,Games!$A$2:$A$18,Games!$P$2:$P$18,"Missing game",0)</x:f>
      </x:c>
      <x:c r="AV1615" t="str">
        <x:f>_xlfn.XLOOKUP($A1615,Games!$A$2:$A$18,Games!$Q$2:$Q$18,"Missing game",0)</x:f>
      </x:c>
      <x:c r="AW1615" t="str">
        <x:f>_xlfn.XLOOKUP($A1615,Games!$A$2:$A$18,Games!$R$2:$R$18,"Missing game",0)</x:f>
        <x:v>U.S. Bank Stadium</x:v>
      </x:c>
    </x:row>
    <x:row r="1616">
      <x:c r="A1616" t="str">
        <x:v>2025_11_CHI_MIN</x:v>
      </x:c>
      <x:c r="B1616" t="n">
        <x:v>1971</x:v>
      </x:c>
      <x:c r="C1616" t="n">
        <x:v>2</x:v>
      </x:c>
      <x:c r="D1616" t="str">
        <x:v>00:25</x:v>
      </x:c>
      <x:c r="E1616" t="n">
        <x:v>3</x:v>
      </x:c>
      <x:c r="F1616" t="n">
        <x:v>1</x:v>
      </x:c>
      <x:c r="G1616" t="str">
        <x:v>CHI</x:v>
      </x:c>
      <x:c r="H1616" t="str">
        <x:v>MIN</x:v>
      </x:c>
      <x:c r="I1616" t="str">
        <x:v>CHI</x:v>
      </x:c>
      <x:c r="J1616" t="n">
        <x:v>71</x:v>
      </x:c>
      <x:c r="K1616" t="str">
        <x:v>(:25) (Shotgun) 18-C.Williams pass incomplete deep right to 15-R.Odunze.</x:v>
      </x:c>
      <x:c r="L1616" t="str">
        <x:v>pass</x:v>
      </x:c>
      <x:c r="M1616" t="n">
        <x:v>0</x:v>
      </x:c>
      <x:c r="N1616" t="n">
        <x:v>1</x:v>
      </x:c>
      <x:c r="O1616" t="n">
        <x:v>0</x:v>
      </x:c>
      <x:c r="P1616" t="str">
        <x:v>deep</x:v>
      </x:c>
      <x:c r="Q1616" t="str">
        <x:v>right</x:v>
      </x:c>
      <x:c r="R1616" t="n">
        <x:v>27</x:v>
      </x:c>
      <x:c r="S1616"/>
      <x:c r="T1616"/>
      <x:c r="U1616"/>
      <x:c r="V1616" t="n">
        <x:v>0</x:v>
      </x:c>
      <x:c r="W1616" t="n">
        <x:v>0</x:v>
      </x:c>
      <x:c r="X1616" t="n">
        <x:v>0</x:v>
      </x:c>
      <x:c r="Y1616" t="n">
        <x:v>0</x:v>
      </x:c>
      <x:c r="Z1616" t="n">
        <x:v>0</x:v>
      </x:c>
      <x:c r="AA1616" t="n">
        <x:v>0</x:v>
      </x:c>
      <x:c r="AB1616"/>
      <x:c r="AC1616" t="n">
        <x:v>0</x:v>
      </x:c>
      <x:c r="AD1616" t="n">
        <x:v>-0.38430753495777026</x:v>
      </x:c>
      <x:c r="AE1616" t="n">
        <x:v>0</x:v>
      </x:c>
      <x:c r="AF1616" t="n">
        <x:v>-0.027041733264923096</x:v>
      </x:c>
      <x:c r="AG1616" t="n">
        <x:f>_xlfn.XLOOKUP($A1616,Games!$A$2:$A$18,Games!$B$2:$B$18,"Missing game",0)</x:f>
        <x:v>2025</x:v>
      </x:c>
      <x:c r="AH1616" t="str">
        <x:f>_xlfn.XLOOKUP($A1616,Games!$A$2:$A$18,Games!$C$2:$C$18,"Missing game",0)</x:f>
        <x:v>REG</x:v>
      </x:c>
      <x:c r="AI1616" t="n">
        <x:f>_xlfn.XLOOKUP($A1616,Games!$A$2:$A$18,Games!$D$2:$D$18,"Missing game",0)</x:f>
        <x:v>11</x:v>
      </x:c>
      <x:c r="AJ1616" s="1" t="n">
        <x:f>_xlfn.XLOOKUP($A1616,Games!$A$2:$A$18,Games!$E$2:$E$18,"Missing game",0)</x:f>
        <x:v>45977</x:v>
      </x:c>
      <x:c r="AK1616" t="str">
        <x:f>_xlfn.XLOOKUP($A1616,Games!$A$2:$A$18,Games!$F$2:$F$18,"Missing game",0)</x:f>
        <x:v>Sunday</x:v>
      </x:c>
      <x:c r="AL1616" t="str">
        <x:f>_xlfn.XLOOKUP($A1616,Games!$A$2:$A$18,Games!$G$2:$G$18,"Missing game",0)</x:f>
        <x:v>CHI</x:v>
      </x:c>
      <x:c r="AM1616" t="n">
        <x:f>_xlfn.XLOOKUP($A1616,Games!$A$2:$A$18,Games!$H$2:$H$18,"Missing game",0)</x:f>
        <x:v>19</x:v>
      </x:c>
      <x:c r="AN1616" t="str">
        <x:f>_xlfn.XLOOKUP($A1616,Games!$A$2:$A$18,Games!$I$2:$I$18,"Missing game",0)</x:f>
        <x:v>MIN</x:v>
      </x:c>
      <x:c r="AO1616" t="n">
        <x:f>_xlfn.XLOOKUP($A1616,Games!$A$2:$A$18,Games!$J$2:$J$18,"Missing game",0)</x:f>
        <x:v>17</x:v>
      </x:c>
      <x:c r="AP1616" t="n">
        <x:f>_xlfn.XLOOKUP($A1616,Games!$A$2:$A$18,Games!$K$2:$K$18,"Missing game",0)</x:f>
        <x:v>-2</x:v>
      </x:c>
      <x:c r="AQ1616" t="n">
        <x:f>_xlfn.XLOOKUP($A1616,Games!$A$2:$A$18,Games!$L$2:$L$18,"Missing game",0)</x:f>
        <x:v>36</x:v>
      </x:c>
      <x:c r="AR1616" t="n">
        <x:f>_xlfn.XLOOKUP($A1616,Games!$A$2:$A$18,Games!$M$2:$M$18,"Missing game",0)</x:f>
        <x:v>0</x:v>
      </x:c>
      <x:c r="AS1616" t="str">
        <x:f>_xlfn.XLOOKUP($A1616,Games!$A$2:$A$18,Games!$N$2:$N$18,"Missing game",0)</x:f>
        <x:v>dome</x:v>
      </x:c>
      <x:c r="AT1616" t="str">
        <x:f>_xlfn.XLOOKUP($A1616,Games!$A$2:$A$18,Games!$O$2:$O$18,"Missing game",0)</x:f>
        <x:v>sportturf</x:v>
      </x:c>
      <x:c r="AU1616" t="str">
        <x:f>_xlfn.XLOOKUP($A1616,Games!$A$2:$A$18,Games!$P$2:$P$18,"Missing game",0)</x:f>
      </x:c>
      <x:c r="AV1616" t="str">
        <x:f>_xlfn.XLOOKUP($A1616,Games!$A$2:$A$18,Games!$Q$2:$Q$18,"Missing game",0)</x:f>
      </x:c>
      <x:c r="AW1616" t="str">
        <x:f>_xlfn.XLOOKUP($A1616,Games!$A$2:$A$18,Games!$R$2:$R$18,"Missing game",0)</x:f>
        <x:v>U.S. Bank Stadium</x:v>
      </x:c>
    </x:row>
    <x:row r="1617">
      <x:c r="A1617" t="str">
        <x:v>2025_11_CHI_MIN</x:v>
      </x:c>
      <x:c r="B1617" t="n">
        <x:v>1983</x:v>
      </x:c>
      <x:c r="C1617" t="n">
        <x:v>2</x:v>
      </x:c>
      <x:c r="D1617" t="str">
        <x:v>00:25</x:v>
      </x:c>
      <x:c r="E1617"/>
      <x:c r="F1617" t="n">
        <x:v>0</x:v>
      </x:c>
      <x:c r="G1617"/>
      <x:c r="H1617"/>
      <x:c r="I1617"/>
      <x:c r="J1617"/>
      <x:c r="K1617" t="str">
        <x:v>Timeout #1 by CHI at 00:25.</x:v>
      </x:c>
      <x:c r="L1617" t="str">
        <x:v>no_play</x:v>
      </x:c>
      <x:c r="M1617" t="n">
        <x:v>0</x:v>
      </x:c>
      <x:c r="N1617" t="n">
        <x:v>0</x:v>
      </x:c>
      <x:c r="O1617" t="n">
        <x:v>0</x:v>
      </x:c>
      <x:c r="P1617"/>
      <x:c r="Q1617"/>
      <x:c r="R1617"/>
      <x:c r="S1617"/>
      <x:c r="T1617"/>
      <x:c r="U1617"/>
      <x:c r="V1617" t="n">
        <x:v>0</x:v>
      </x:c>
      <x:c r="W1617" t="n">
        <x:v>0</x:v>
      </x:c>
      <x:c r="X1617" t="n">
        <x:v>0</x:v>
      </x:c>
      <x:c r="Y1617" t="n">
        <x:v>0</x:v>
      </x:c>
      <x:c r="Z1617" t="n">
        <x:v>0</x:v>
      </x:c>
      <x:c r="AA1617" t="n">
        <x:v>0</x:v>
      </x:c>
      <x:c r="AB1617"/>
      <x:c r="AC1617" t="n">
        <x:v>0</x:v>
      </x:c>
      <x:c r="AD1617" t="n">
        <x:v>0</x:v>
      </x:c>
      <x:c r="AE1617" t="n">
        <x:v>0</x:v>
      </x:c>
      <x:c r="AF1617" t="n">
        <x:v>0</x:v>
      </x:c>
      <x:c r="AG1617" t="n">
        <x:f>_xlfn.XLOOKUP($A1617,Games!$A$2:$A$18,Games!$B$2:$B$18,"Missing game",0)</x:f>
        <x:v>2025</x:v>
      </x:c>
      <x:c r="AH1617" t="str">
        <x:f>_xlfn.XLOOKUP($A1617,Games!$A$2:$A$18,Games!$C$2:$C$18,"Missing game",0)</x:f>
        <x:v>REG</x:v>
      </x:c>
      <x:c r="AI1617" t="n">
        <x:f>_xlfn.XLOOKUP($A1617,Games!$A$2:$A$18,Games!$D$2:$D$18,"Missing game",0)</x:f>
        <x:v>11</x:v>
      </x:c>
      <x:c r="AJ1617" s="1" t="n">
        <x:f>_xlfn.XLOOKUP($A1617,Games!$A$2:$A$18,Games!$E$2:$E$18,"Missing game",0)</x:f>
        <x:v>45977</x:v>
      </x:c>
      <x:c r="AK1617" t="str">
        <x:f>_xlfn.XLOOKUP($A1617,Games!$A$2:$A$18,Games!$F$2:$F$18,"Missing game",0)</x:f>
        <x:v>Sunday</x:v>
      </x:c>
      <x:c r="AL1617" t="str">
        <x:f>_xlfn.XLOOKUP($A1617,Games!$A$2:$A$18,Games!$G$2:$G$18,"Missing game",0)</x:f>
        <x:v>CHI</x:v>
      </x:c>
      <x:c r="AM1617" t="n">
        <x:f>_xlfn.XLOOKUP($A1617,Games!$A$2:$A$18,Games!$H$2:$H$18,"Missing game",0)</x:f>
        <x:v>19</x:v>
      </x:c>
      <x:c r="AN1617" t="str">
        <x:f>_xlfn.XLOOKUP($A1617,Games!$A$2:$A$18,Games!$I$2:$I$18,"Missing game",0)</x:f>
        <x:v>MIN</x:v>
      </x:c>
      <x:c r="AO1617" t="n">
        <x:f>_xlfn.XLOOKUP($A1617,Games!$A$2:$A$18,Games!$J$2:$J$18,"Missing game",0)</x:f>
        <x:v>17</x:v>
      </x:c>
      <x:c r="AP1617" t="n">
        <x:f>_xlfn.XLOOKUP($A1617,Games!$A$2:$A$18,Games!$K$2:$K$18,"Missing game",0)</x:f>
        <x:v>-2</x:v>
      </x:c>
      <x:c r="AQ1617" t="n">
        <x:f>_xlfn.XLOOKUP($A1617,Games!$A$2:$A$18,Games!$L$2:$L$18,"Missing game",0)</x:f>
        <x:v>36</x:v>
      </x:c>
      <x:c r="AR1617" t="n">
        <x:f>_xlfn.XLOOKUP($A1617,Games!$A$2:$A$18,Games!$M$2:$M$18,"Missing game",0)</x:f>
        <x:v>0</x:v>
      </x:c>
      <x:c r="AS1617" t="str">
        <x:f>_xlfn.XLOOKUP($A1617,Games!$A$2:$A$18,Games!$N$2:$N$18,"Missing game",0)</x:f>
        <x:v>dome</x:v>
      </x:c>
      <x:c r="AT1617" t="str">
        <x:f>_xlfn.XLOOKUP($A1617,Games!$A$2:$A$18,Games!$O$2:$O$18,"Missing game",0)</x:f>
        <x:v>sportturf</x:v>
      </x:c>
      <x:c r="AU1617" t="str">
        <x:f>_xlfn.XLOOKUP($A1617,Games!$A$2:$A$18,Games!$P$2:$P$18,"Missing game",0)</x:f>
      </x:c>
      <x:c r="AV1617" t="str">
        <x:f>_xlfn.XLOOKUP($A1617,Games!$A$2:$A$18,Games!$Q$2:$Q$18,"Missing game",0)</x:f>
      </x:c>
      <x:c r="AW1617" t="str">
        <x:f>_xlfn.XLOOKUP($A1617,Games!$A$2:$A$18,Games!$R$2:$R$18,"Missing game",0)</x:f>
        <x:v>U.S. Bank Stadium</x:v>
      </x:c>
    </x:row>
    <x:row r="1618">
      <x:c r="A1618" t="str">
        <x:v>2025_11_CHI_MIN</x:v>
      </x:c>
      <x:c r="B1618" t="n">
        <x:v>2001</x:v>
      </x:c>
      <x:c r="C1618" t="n">
        <x:v>2</x:v>
      </x:c>
      <x:c r="D1618" t="str">
        <x:v>00:21</x:v>
      </x:c>
      <x:c r="E1618" t="n">
        <x:v>4</x:v>
      </x:c>
      <x:c r="F1618" t="n">
        <x:v>1</x:v>
      </x:c>
      <x:c r="G1618" t="str">
        <x:v>CHI</x:v>
      </x:c>
      <x:c r="H1618" t="str">
        <x:v>MIN</x:v>
      </x:c>
      <x:c r="I1618" t="str">
        <x:v>CHI</x:v>
      </x:c>
      <x:c r="J1618" t="n">
        <x:v>71</x:v>
      </x:c>
      <x:c r="K1618" t="str">
        <x:v>(:21) 19-T.Taylor punts 50 yards to MIN 21, Center-46-S.Daly. 4-M.Price to MIN 39 for 18 yards (48-D.Jackson; 21-T.Homer).</x:v>
      </x:c>
      <x:c r="L1618" t="str">
        <x:v>punt</x:v>
      </x:c>
      <x:c r="M1618" t="n">
        <x:v>0</x:v>
      </x:c>
      <x:c r="N1618" t="n">
        <x:v>0</x:v>
      </x:c>
      <x:c r="O1618" t="n">
        <x:v>0</x:v>
      </x:c>
      <x:c r="P1618"/>
      <x:c r="Q1618"/>
      <x:c r="R1618"/>
      <x:c r="S1618"/>
      <x:c r="T1618"/>
      <x:c r="U1618"/>
      <x:c r="V1618" t="n">
        <x:v>0</x:v>
      </x:c>
      <x:c r="W1618" t="n">
        <x:v>0</x:v>
      </x:c>
      <x:c r="X1618" t="n">
        <x:v>0</x:v>
      </x:c>
      <x:c r="Y1618" t="n">
        <x:v>0</x:v>
      </x:c>
      <x:c r="Z1618" t="n">
        <x:v>0</x:v>
      </x:c>
      <x:c r="AA1618" t="n">
        <x:v>0</x:v>
      </x:c>
      <x:c r="AB1618"/>
      <x:c r="AC1618" t="n">
        <x:v>0</x:v>
      </x:c>
      <x:c r="AD1618" t="n">
        <x:v>-0.45169124816311523</x:v>
      </x:c>
      <x:c r="AE1618" t="n">
        <x:v>0</x:v>
      </x:c>
      <x:c r="AF1618" t="n">
        <x:v>0.012358635663986206</x:v>
      </x:c>
      <x:c r="AG1618" t="n">
        <x:f>_xlfn.XLOOKUP($A1618,Games!$A$2:$A$18,Games!$B$2:$B$18,"Missing game",0)</x:f>
        <x:v>2025</x:v>
      </x:c>
      <x:c r="AH1618" t="str">
        <x:f>_xlfn.XLOOKUP($A1618,Games!$A$2:$A$18,Games!$C$2:$C$18,"Missing game",0)</x:f>
        <x:v>REG</x:v>
      </x:c>
      <x:c r="AI1618" t="n">
        <x:f>_xlfn.XLOOKUP($A1618,Games!$A$2:$A$18,Games!$D$2:$D$18,"Missing game",0)</x:f>
        <x:v>11</x:v>
      </x:c>
      <x:c r="AJ1618" s="1" t="n">
        <x:f>_xlfn.XLOOKUP($A1618,Games!$A$2:$A$18,Games!$E$2:$E$18,"Missing game",0)</x:f>
        <x:v>45977</x:v>
      </x:c>
      <x:c r="AK1618" t="str">
        <x:f>_xlfn.XLOOKUP($A1618,Games!$A$2:$A$18,Games!$F$2:$F$18,"Missing game",0)</x:f>
        <x:v>Sunday</x:v>
      </x:c>
      <x:c r="AL1618" t="str">
        <x:f>_xlfn.XLOOKUP($A1618,Games!$A$2:$A$18,Games!$G$2:$G$18,"Missing game",0)</x:f>
        <x:v>CHI</x:v>
      </x:c>
      <x:c r="AM1618" t="n">
        <x:f>_xlfn.XLOOKUP($A1618,Games!$A$2:$A$18,Games!$H$2:$H$18,"Missing game",0)</x:f>
        <x:v>19</x:v>
      </x:c>
      <x:c r="AN1618" t="str">
        <x:f>_xlfn.XLOOKUP($A1618,Games!$A$2:$A$18,Games!$I$2:$I$18,"Missing game",0)</x:f>
        <x:v>MIN</x:v>
      </x:c>
      <x:c r="AO1618" t="n">
        <x:f>_xlfn.XLOOKUP($A1618,Games!$A$2:$A$18,Games!$J$2:$J$18,"Missing game",0)</x:f>
        <x:v>17</x:v>
      </x:c>
      <x:c r="AP1618" t="n">
        <x:f>_xlfn.XLOOKUP($A1618,Games!$A$2:$A$18,Games!$K$2:$K$18,"Missing game",0)</x:f>
        <x:v>-2</x:v>
      </x:c>
      <x:c r="AQ1618" t="n">
        <x:f>_xlfn.XLOOKUP($A1618,Games!$A$2:$A$18,Games!$L$2:$L$18,"Missing game",0)</x:f>
        <x:v>36</x:v>
      </x:c>
      <x:c r="AR1618" t="n">
        <x:f>_xlfn.XLOOKUP($A1618,Games!$A$2:$A$18,Games!$M$2:$M$18,"Missing game",0)</x:f>
        <x:v>0</x:v>
      </x:c>
      <x:c r="AS1618" t="str">
        <x:f>_xlfn.XLOOKUP($A1618,Games!$A$2:$A$18,Games!$N$2:$N$18,"Missing game",0)</x:f>
        <x:v>dome</x:v>
      </x:c>
      <x:c r="AT1618" t="str">
        <x:f>_xlfn.XLOOKUP($A1618,Games!$A$2:$A$18,Games!$O$2:$O$18,"Missing game",0)</x:f>
        <x:v>sportturf</x:v>
      </x:c>
      <x:c r="AU1618" t="str">
        <x:f>_xlfn.XLOOKUP($A1618,Games!$A$2:$A$18,Games!$P$2:$P$18,"Missing game",0)</x:f>
      </x:c>
      <x:c r="AV1618" t="str">
        <x:f>_xlfn.XLOOKUP($A1618,Games!$A$2:$A$18,Games!$Q$2:$Q$18,"Missing game",0)</x:f>
      </x:c>
      <x:c r="AW1618" t="str">
        <x:f>_xlfn.XLOOKUP($A1618,Games!$A$2:$A$18,Games!$R$2:$R$18,"Missing game",0)</x:f>
        <x:v>U.S. Bank Stadium</x:v>
      </x:c>
    </x:row>
    <x:row r="1619">
      <x:c r="A1619" t="str">
        <x:v>2025_11_CHI_MIN</x:v>
      </x:c>
      <x:c r="B1619" t="n">
        <x:v>2027</x:v>
      </x:c>
      <x:c r="C1619" t="n">
        <x:v>2</x:v>
      </x:c>
      <x:c r="D1619" t="str">
        <x:v>00:10</x:v>
      </x:c>
      <x:c r="E1619" t="n">
        <x:v>1</x:v>
      </x:c>
      <x:c r="F1619" t="n">
        <x:v>10</x:v>
      </x:c>
      <x:c r="G1619" t="str">
        <x:v>MIN</x:v>
      </x:c>
      <x:c r="H1619" t="str">
        <x:v>CHI</x:v>
      </x:c>
      <x:c r="I1619" t="str">
        <x:v>MIN</x:v>
      </x:c>
      <x:c r="J1619" t="n">
        <x:v>61</x:v>
      </x:c>
      <x:c r="K1619" t="str">
        <x:v>(:10) (Shotgun) 9-J.McCarthy pass short right to 18-J.Jefferson to MIN 41 for 2 yards. Lateral to 33-A.Jones to MIN 41 for no gain (29-T.Stevenson). FUMBLES (29-T.Stevenson), and recovers at MIN 41.</x:v>
      </x:c>
      <x:c r="L1619" t="str">
        <x:v>pass</x:v>
      </x:c>
      <x:c r="M1619" t="n">
        <x:v>2</x:v>
      </x:c>
      <x:c r="N1619" t="n">
        <x:v>1</x:v>
      </x:c>
      <x:c r="O1619" t="n">
        <x:v>0</x:v>
      </x:c>
      <x:c r="P1619" t="str">
        <x:v>short</x:v>
      </x:c>
      <x:c r="Q1619" t="str">
        <x:v>right</x:v>
      </x:c>
      <x:c r="R1619" t="n">
        <x:v>3</x:v>
      </x:c>
      <x:c r="S1619" t="n">
        <x:v>-1</x:v>
      </x:c>
      <x:c r="T1619"/>
      <x:c r="U1619"/>
      <x:c r="V1619" t="n">
        <x:v>1</x:v>
      </x:c>
      <x:c r="W1619" t="n">
        <x:v>0</x:v>
      </x:c>
      <x:c r="X1619" t="n">
        <x:v>0</x:v>
      </x:c>
      <x:c r="Y1619" t="n">
        <x:v>0</x:v>
      </x:c>
      <x:c r="Z1619" t="n">
        <x:v>0</x:v>
      </x:c>
      <x:c r="AA1619" t="n">
        <x:v>0</x:v>
      </x:c>
      <x:c r="AB1619"/>
      <x:c r="AC1619" t="n">
        <x:v>0</x:v>
      </x:c>
      <x:c r="AD1619" t="n">
        <x:v>-0.44553782418370247</x:v>
      </x:c>
      <x:c r="AE1619" t="n">
        <x:v>0</x:v>
      </x:c>
      <x:c r="AF1619" t="n">
        <x:v>-0.008921056985855103</x:v>
      </x:c>
      <x:c r="AG1619" t="n">
        <x:f>_xlfn.XLOOKUP($A1619,Games!$A$2:$A$18,Games!$B$2:$B$18,"Missing game",0)</x:f>
        <x:v>2025</x:v>
      </x:c>
      <x:c r="AH1619" t="str">
        <x:f>_xlfn.XLOOKUP($A1619,Games!$A$2:$A$18,Games!$C$2:$C$18,"Missing game",0)</x:f>
        <x:v>REG</x:v>
      </x:c>
      <x:c r="AI1619" t="n">
        <x:f>_xlfn.XLOOKUP($A1619,Games!$A$2:$A$18,Games!$D$2:$D$18,"Missing game",0)</x:f>
        <x:v>11</x:v>
      </x:c>
      <x:c r="AJ1619" s="1" t="n">
        <x:f>_xlfn.XLOOKUP($A1619,Games!$A$2:$A$18,Games!$E$2:$E$18,"Missing game",0)</x:f>
        <x:v>45977</x:v>
      </x:c>
      <x:c r="AK1619" t="str">
        <x:f>_xlfn.XLOOKUP($A1619,Games!$A$2:$A$18,Games!$F$2:$F$18,"Missing game",0)</x:f>
        <x:v>Sunday</x:v>
      </x:c>
      <x:c r="AL1619" t="str">
        <x:f>_xlfn.XLOOKUP($A1619,Games!$A$2:$A$18,Games!$G$2:$G$18,"Missing game",0)</x:f>
        <x:v>CHI</x:v>
      </x:c>
      <x:c r="AM1619" t="n">
        <x:f>_xlfn.XLOOKUP($A1619,Games!$A$2:$A$18,Games!$H$2:$H$18,"Missing game",0)</x:f>
        <x:v>19</x:v>
      </x:c>
      <x:c r="AN1619" t="str">
        <x:f>_xlfn.XLOOKUP($A1619,Games!$A$2:$A$18,Games!$I$2:$I$18,"Missing game",0)</x:f>
        <x:v>MIN</x:v>
      </x:c>
      <x:c r="AO1619" t="n">
        <x:f>_xlfn.XLOOKUP($A1619,Games!$A$2:$A$18,Games!$J$2:$J$18,"Missing game",0)</x:f>
        <x:v>17</x:v>
      </x:c>
      <x:c r="AP1619" t="n">
        <x:f>_xlfn.XLOOKUP($A1619,Games!$A$2:$A$18,Games!$K$2:$K$18,"Missing game",0)</x:f>
        <x:v>-2</x:v>
      </x:c>
      <x:c r="AQ1619" t="n">
        <x:f>_xlfn.XLOOKUP($A1619,Games!$A$2:$A$18,Games!$L$2:$L$18,"Missing game",0)</x:f>
        <x:v>36</x:v>
      </x:c>
      <x:c r="AR1619" t="n">
        <x:f>_xlfn.XLOOKUP($A1619,Games!$A$2:$A$18,Games!$M$2:$M$18,"Missing game",0)</x:f>
        <x:v>0</x:v>
      </x:c>
      <x:c r="AS1619" t="str">
        <x:f>_xlfn.XLOOKUP($A1619,Games!$A$2:$A$18,Games!$N$2:$N$18,"Missing game",0)</x:f>
        <x:v>dome</x:v>
      </x:c>
      <x:c r="AT1619" t="str">
        <x:f>_xlfn.XLOOKUP($A1619,Games!$A$2:$A$18,Games!$O$2:$O$18,"Missing game",0)</x:f>
        <x:v>sportturf</x:v>
      </x:c>
      <x:c r="AU1619" t="str">
        <x:f>_xlfn.XLOOKUP($A1619,Games!$A$2:$A$18,Games!$P$2:$P$18,"Missing game",0)</x:f>
      </x:c>
      <x:c r="AV1619" t="str">
        <x:f>_xlfn.XLOOKUP($A1619,Games!$A$2:$A$18,Games!$Q$2:$Q$18,"Missing game",0)</x:f>
      </x:c>
      <x:c r="AW1619" t="str">
        <x:f>_xlfn.XLOOKUP($A1619,Games!$A$2:$A$18,Games!$R$2:$R$18,"Missing game",0)</x:f>
        <x:v>U.S. Bank Stadium</x:v>
      </x:c>
    </x:row>
    <x:row r="1620">
      <x:c r="A1620" t="str">
        <x:v>2025_11_CHI_MIN</x:v>
      </x:c>
      <x:c r="B1620" t="n">
        <x:v>2073</x:v>
      </x:c>
      <x:c r="C1620" t="n">
        <x:v>2</x:v>
      </x:c>
      <x:c r="D1620" t="str">
        <x:v>00:00</x:v>
      </x:c>
      <x:c r="E1620"/>
      <x:c r="F1620" t="n">
        <x:v>0</x:v>
      </x:c>
      <x:c r="G1620"/>
      <x:c r="H1620"/>
      <x:c r="I1620"/>
      <x:c r="J1620"/>
      <x:c r="K1620" t="str">
        <x:v>END QUARTER 2</x:v>
      </x:c>
      <x:c r="L1620"/>
      <x:c r="M1620"/>
      <x:c r="N1620" t="n">
        <x:v>0</x:v>
      </x:c>
      <x:c r="O1620" t="n">
        <x:v>0</x:v>
      </x:c>
      <x:c r="P1620"/>
      <x:c r="Q1620"/>
      <x:c r="R1620"/>
      <x:c r="S1620"/>
      <x:c r="T1620"/>
      <x:c r="U1620"/>
      <x:c r="V1620"/>
      <x:c r="W1620"/>
      <x:c r="X1620"/>
      <x:c r="Y1620"/>
      <x:c r="Z1620"/>
      <x:c r="AA1620"/>
      <x:c r="AB1620"/>
      <x:c r="AC1620"/>
      <x:c r="AD1620"/>
      <x:c r="AE1620"/>
      <x:c r="AF1620" t="n">
        <x:v>0</x:v>
      </x:c>
      <x:c r="AG1620" t="n">
        <x:f>_xlfn.XLOOKUP($A1620,Games!$A$2:$A$18,Games!$B$2:$B$18,"Missing game",0)</x:f>
        <x:v>2025</x:v>
      </x:c>
      <x:c r="AH1620" t="str">
        <x:f>_xlfn.XLOOKUP($A1620,Games!$A$2:$A$18,Games!$C$2:$C$18,"Missing game",0)</x:f>
        <x:v>REG</x:v>
      </x:c>
      <x:c r="AI1620" t="n">
        <x:f>_xlfn.XLOOKUP($A1620,Games!$A$2:$A$18,Games!$D$2:$D$18,"Missing game",0)</x:f>
        <x:v>11</x:v>
      </x:c>
      <x:c r="AJ1620" s="1" t="n">
        <x:f>_xlfn.XLOOKUP($A1620,Games!$A$2:$A$18,Games!$E$2:$E$18,"Missing game",0)</x:f>
        <x:v>45977</x:v>
      </x:c>
      <x:c r="AK1620" t="str">
        <x:f>_xlfn.XLOOKUP($A1620,Games!$A$2:$A$18,Games!$F$2:$F$18,"Missing game",0)</x:f>
        <x:v>Sunday</x:v>
      </x:c>
      <x:c r="AL1620" t="str">
        <x:f>_xlfn.XLOOKUP($A1620,Games!$A$2:$A$18,Games!$G$2:$G$18,"Missing game",0)</x:f>
        <x:v>CHI</x:v>
      </x:c>
      <x:c r="AM1620" t="n">
        <x:f>_xlfn.XLOOKUP($A1620,Games!$A$2:$A$18,Games!$H$2:$H$18,"Missing game",0)</x:f>
        <x:v>19</x:v>
      </x:c>
      <x:c r="AN1620" t="str">
        <x:f>_xlfn.XLOOKUP($A1620,Games!$A$2:$A$18,Games!$I$2:$I$18,"Missing game",0)</x:f>
        <x:v>MIN</x:v>
      </x:c>
      <x:c r="AO1620" t="n">
        <x:f>_xlfn.XLOOKUP($A1620,Games!$A$2:$A$18,Games!$J$2:$J$18,"Missing game",0)</x:f>
        <x:v>17</x:v>
      </x:c>
      <x:c r="AP1620" t="n">
        <x:f>_xlfn.XLOOKUP($A1620,Games!$A$2:$A$18,Games!$K$2:$K$18,"Missing game",0)</x:f>
        <x:v>-2</x:v>
      </x:c>
      <x:c r="AQ1620" t="n">
        <x:f>_xlfn.XLOOKUP($A1620,Games!$A$2:$A$18,Games!$L$2:$L$18,"Missing game",0)</x:f>
        <x:v>36</x:v>
      </x:c>
      <x:c r="AR1620" t="n">
        <x:f>_xlfn.XLOOKUP($A1620,Games!$A$2:$A$18,Games!$M$2:$M$18,"Missing game",0)</x:f>
        <x:v>0</x:v>
      </x:c>
      <x:c r="AS1620" t="str">
        <x:f>_xlfn.XLOOKUP($A1620,Games!$A$2:$A$18,Games!$N$2:$N$18,"Missing game",0)</x:f>
        <x:v>dome</x:v>
      </x:c>
      <x:c r="AT1620" t="str">
        <x:f>_xlfn.XLOOKUP($A1620,Games!$A$2:$A$18,Games!$O$2:$O$18,"Missing game",0)</x:f>
        <x:v>sportturf</x:v>
      </x:c>
      <x:c r="AU1620" t="str">
        <x:f>_xlfn.XLOOKUP($A1620,Games!$A$2:$A$18,Games!$P$2:$P$18,"Missing game",0)</x:f>
      </x:c>
      <x:c r="AV1620" t="str">
        <x:f>_xlfn.XLOOKUP($A1620,Games!$A$2:$A$18,Games!$Q$2:$Q$18,"Missing game",0)</x:f>
      </x:c>
      <x:c r="AW1620" t="str">
        <x:f>_xlfn.XLOOKUP($A1620,Games!$A$2:$A$18,Games!$R$2:$R$18,"Missing game",0)</x:f>
        <x:v>U.S. Bank Stadium</x:v>
      </x:c>
    </x:row>
    <x:row r="1621">
      <x:c r="A1621" t="str">
        <x:v>2025_11_CHI_MIN</x:v>
      </x:c>
      <x:c r="B1621" t="n">
        <x:v>2093</x:v>
      </x:c>
      <x:c r="C1621" t="n">
        <x:v>3</x:v>
      </x:c>
      <x:c r="D1621" t="str">
        <x:v>15:00</x:v>
      </x:c>
      <x:c r="E1621"/>
      <x:c r="F1621" t="n">
        <x:v>0</x:v>
      </x:c>
      <x:c r="G1621" t="str">
        <x:v>CHI</x:v>
      </x:c>
      <x:c r="H1621" t="str">
        <x:v>MIN</x:v>
      </x:c>
      <x:c r="I1621" t="str">
        <x:v>MIN</x:v>
      </x:c>
      <x:c r="J1621" t="n">
        <x:v>35</x:v>
      </x:c>
      <x:c r="K1621" t="str">
        <x:v>16-W.Reichard kicks 64 yards from MIN 35 to CHI 1. 39-J.Blackwell to CHI 31 for 30 yards (30-C.Ham).</x:v>
      </x:c>
      <x:c r="L1621" t="str">
        <x:v>kickoff</x:v>
      </x:c>
      <x:c r="M1621" t="n">
        <x:v>0</x:v>
      </x:c>
      <x:c r="N1621" t="n">
        <x:v>0</x:v>
      </x:c>
      <x:c r="O1621" t="n">
        <x:v>0</x:v>
      </x:c>
      <x:c r="P1621"/>
      <x:c r="Q1621"/>
      <x:c r="R1621"/>
      <x:c r="S1621"/>
      <x:c r="T1621"/>
      <x:c r="U1621"/>
      <x:c r="V1621" t="n">
        <x:v>0</x:v>
      </x:c>
      <x:c r="W1621" t="n">
        <x:v>0</x:v>
      </x:c>
      <x:c r="X1621" t="n">
        <x:v>0</x:v>
      </x:c>
      <x:c r="Y1621" t="n">
        <x:v>0</x:v>
      </x:c>
      <x:c r="Z1621" t="n">
        <x:v>0</x:v>
      </x:c>
      <x:c r="AA1621" t="n">
        <x:v>0</x:v>
      </x:c>
      <x:c r="AB1621"/>
      <x:c r="AC1621" t="n">
        <x:v>0</x:v>
      </x:c>
      <x:c r="AD1621" t="n">
        <x:v>0.3277302198112011</x:v>
      </x:c>
      <x:c r="AE1621" t="n">
        <x:v>1</x:v>
      </x:c>
      <x:c r="AF1621" t="n">
        <x:v>0.00027054548263549805</x:v>
      </x:c>
      <x:c r="AG1621" t="n">
        <x:f>_xlfn.XLOOKUP($A1621,Games!$A$2:$A$18,Games!$B$2:$B$18,"Missing game",0)</x:f>
        <x:v>2025</x:v>
      </x:c>
      <x:c r="AH1621" t="str">
        <x:f>_xlfn.XLOOKUP($A1621,Games!$A$2:$A$18,Games!$C$2:$C$18,"Missing game",0)</x:f>
        <x:v>REG</x:v>
      </x:c>
      <x:c r="AI1621" t="n">
        <x:f>_xlfn.XLOOKUP($A1621,Games!$A$2:$A$18,Games!$D$2:$D$18,"Missing game",0)</x:f>
        <x:v>11</x:v>
      </x:c>
      <x:c r="AJ1621" s="1" t="n">
        <x:f>_xlfn.XLOOKUP($A1621,Games!$A$2:$A$18,Games!$E$2:$E$18,"Missing game",0)</x:f>
        <x:v>45977</x:v>
      </x:c>
      <x:c r="AK1621" t="str">
        <x:f>_xlfn.XLOOKUP($A1621,Games!$A$2:$A$18,Games!$F$2:$F$18,"Missing game",0)</x:f>
        <x:v>Sunday</x:v>
      </x:c>
      <x:c r="AL1621" t="str">
        <x:f>_xlfn.XLOOKUP($A1621,Games!$A$2:$A$18,Games!$G$2:$G$18,"Missing game",0)</x:f>
        <x:v>CHI</x:v>
      </x:c>
      <x:c r="AM1621" t="n">
        <x:f>_xlfn.XLOOKUP($A1621,Games!$A$2:$A$18,Games!$H$2:$H$18,"Missing game",0)</x:f>
        <x:v>19</x:v>
      </x:c>
      <x:c r="AN1621" t="str">
        <x:f>_xlfn.XLOOKUP($A1621,Games!$A$2:$A$18,Games!$I$2:$I$18,"Missing game",0)</x:f>
        <x:v>MIN</x:v>
      </x:c>
      <x:c r="AO1621" t="n">
        <x:f>_xlfn.XLOOKUP($A1621,Games!$A$2:$A$18,Games!$J$2:$J$18,"Missing game",0)</x:f>
        <x:v>17</x:v>
      </x:c>
      <x:c r="AP1621" t="n">
        <x:f>_xlfn.XLOOKUP($A1621,Games!$A$2:$A$18,Games!$K$2:$K$18,"Missing game",0)</x:f>
        <x:v>-2</x:v>
      </x:c>
      <x:c r="AQ1621" t="n">
        <x:f>_xlfn.XLOOKUP($A1621,Games!$A$2:$A$18,Games!$L$2:$L$18,"Missing game",0)</x:f>
        <x:v>36</x:v>
      </x:c>
      <x:c r="AR1621" t="n">
        <x:f>_xlfn.XLOOKUP($A1621,Games!$A$2:$A$18,Games!$M$2:$M$18,"Missing game",0)</x:f>
        <x:v>0</x:v>
      </x:c>
      <x:c r="AS1621" t="str">
        <x:f>_xlfn.XLOOKUP($A1621,Games!$A$2:$A$18,Games!$N$2:$N$18,"Missing game",0)</x:f>
        <x:v>dome</x:v>
      </x:c>
      <x:c r="AT1621" t="str">
        <x:f>_xlfn.XLOOKUP($A1621,Games!$A$2:$A$18,Games!$O$2:$O$18,"Missing game",0)</x:f>
        <x:v>sportturf</x:v>
      </x:c>
      <x:c r="AU1621" t="str">
        <x:f>_xlfn.XLOOKUP($A1621,Games!$A$2:$A$18,Games!$P$2:$P$18,"Missing game",0)</x:f>
      </x:c>
      <x:c r="AV1621" t="str">
        <x:f>_xlfn.XLOOKUP($A1621,Games!$A$2:$A$18,Games!$Q$2:$Q$18,"Missing game",0)</x:f>
      </x:c>
      <x:c r="AW1621" t="str">
        <x:f>_xlfn.XLOOKUP($A1621,Games!$A$2:$A$18,Games!$R$2:$R$18,"Missing game",0)</x:f>
        <x:v>U.S. Bank Stadium</x:v>
      </x:c>
    </x:row>
    <x:row r="1622">
      <x:c r="A1622" t="str">
        <x:v>2025_11_CHI_MIN</x:v>
      </x:c>
      <x:c r="B1622" t="n">
        <x:v>2116</x:v>
      </x:c>
      <x:c r="C1622" t="n">
        <x:v>3</x:v>
      </x:c>
      <x:c r="D1622" t="str">
        <x:v>14:55</x:v>
      </x:c>
      <x:c r="E1622" t="n">
        <x:v>1</x:v>
      </x:c>
      <x:c r="F1622" t="n">
        <x:v>10</x:v>
      </x:c>
      <x:c r="G1622" t="str">
        <x:v>CHI</x:v>
      </x:c>
      <x:c r="H1622" t="str">
        <x:v>MIN</x:v>
      </x:c>
      <x:c r="I1622" t="str">
        <x:v>CHI</x:v>
      </x:c>
      <x:c r="J1622" t="n">
        <x:v>69</x:v>
      </x:c>
      <x:c r="K1622" t="str">
        <x:v>(14:55) 75-O.Trapilo reported in as eligible. 25-K.Monangai left guard to CHI 30 for -1 yards (7-B.Murphy).</x:v>
      </x:c>
      <x:c r="L1622" t="str">
        <x:v>run</x:v>
      </x:c>
      <x:c r="M1622" t="n">
        <x:v>-1</x:v>
      </x:c>
      <x:c r="N1622" t="n">
        <x:v>0</x:v>
      </x:c>
      <x:c r="O1622" t="n">
        <x:v>0</x:v>
      </x:c>
      <x:c r="P1622"/>
      <x:c r="Q1622"/>
      <x:c r="R1622"/>
      <x:c r="S1622"/>
      <x:c r="T1622" t="str">
        <x:v>left</x:v>
      </x:c>
      <x:c r="U1622" t="str">
        <x:v>guard</x:v>
      </x:c>
      <x:c r="V1622" t="n">
        <x:v>0</x:v>
      </x:c>
      <x:c r="W1622" t="n">
        <x:v>0</x:v>
      </x:c>
      <x:c r="X1622" t="n">
        <x:v>0</x:v>
      </x:c>
      <x:c r="Y1622" t="n">
        <x:v>0</x:v>
      </x:c>
      <x:c r="Z1622" t="n">
        <x:v>0</x:v>
      </x:c>
      <x:c r="AA1622" t="n">
        <x:v>0</x:v>
      </x:c>
      <x:c r="AB1622"/>
      <x:c r="AC1622" t="n">
        <x:v>0</x:v>
      </x:c>
      <x:c r="AD1622" t="n">
        <x:v>-0.8086863500066102</x:v>
      </x:c>
      <x:c r="AE1622" t="n">
        <x:v>0</x:v>
      </x:c>
      <x:c r="AF1622" t="n">
        <x:v>-0.027406692504882812</x:v>
      </x:c>
      <x:c r="AG1622" t="n">
        <x:f>_xlfn.XLOOKUP($A1622,Games!$A$2:$A$18,Games!$B$2:$B$18,"Missing game",0)</x:f>
        <x:v>2025</x:v>
      </x:c>
      <x:c r="AH1622" t="str">
        <x:f>_xlfn.XLOOKUP($A1622,Games!$A$2:$A$18,Games!$C$2:$C$18,"Missing game",0)</x:f>
        <x:v>REG</x:v>
      </x:c>
      <x:c r="AI1622" t="n">
        <x:f>_xlfn.XLOOKUP($A1622,Games!$A$2:$A$18,Games!$D$2:$D$18,"Missing game",0)</x:f>
        <x:v>11</x:v>
      </x:c>
      <x:c r="AJ1622" s="1" t="n">
        <x:f>_xlfn.XLOOKUP($A1622,Games!$A$2:$A$18,Games!$E$2:$E$18,"Missing game",0)</x:f>
        <x:v>45977</x:v>
      </x:c>
      <x:c r="AK1622" t="str">
        <x:f>_xlfn.XLOOKUP($A1622,Games!$A$2:$A$18,Games!$F$2:$F$18,"Missing game",0)</x:f>
        <x:v>Sunday</x:v>
      </x:c>
      <x:c r="AL1622" t="str">
        <x:f>_xlfn.XLOOKUP($A1622,Games!$A$2:$A$18,Games!$G$2:$G$18,"Missing game",0)</x:f>
        <x:v>CHI</x:v>
      </x:c>
      <x:c r="AM1622" t="n">
        <x:f>_xlfn.XLOOKUP($A1622,Games!$A$2:$A$18,Games!$H$2:$H$18,"Missing game",0)</x:f>
        <x:v>19</x:v>
      </x:c>
      <x:c r="AN1622" t="str">
        <x:f>_xlfn.XLOOKUP($A1622,Games!$A$2:$A$18,Games!$I$2:$I$18,"Missing game",0)</x:f>
        <x:v>MIN</x:v>
      </x:c>
      <x:c r="AO1622" t="n">
        <x:f>_xlfn.XLOOKUP($A1622,Games!$A$2:$A$18,Games!$J$2:$J$18,"Missing game",0)</x:f>
        <x:v>17</x:v>
      </x:c>
      <x:c r="AP1622" t="n">
        <x:f>_xlfn.XLOOKUP($A1622,Games!$A$2:$A$18,Games!$K$2:$K$18,"Missing game",0)</x:f>
        <x:v>-2</x:v>
      </x:c>
      <x:c r="AQ1622" t="n">
        <x:f>_xlfn.XLOOKUP($A1622,Games!$A$2:$A$18,Games!$L$2:$L$18,"Missing game",0)</x:f>
        <x:v>36</x:v>
      </x:c>
      <x:c r="AR1622" t="n">
        <x:f>_xlfn.XLOOKUP($A1622,Games!$A$2:$A$18,Games!$M$2:$M$18,"Missing game",0)</x:f>
        <x:v>0</x:v>
      </x:c>
      <x:c r="AS1622" t="str">
        <x:f>_xlfn.XLOOKUP($A1622,Games!$A$2:$A$18,Games!$N$2:$N$18,"Missing game",0)</x:f>
        <x:v>dome</x:v>
      </x:c>
      <x:c r="AT1622" t="str">
        <x:f>_xlfn.XLOOKUP($A1622,Games!$A$2:$A$18,Games!$O$2:$O$18,"Missing game",0)</x:f>
        <x:v>sportturf</x:v>
      </x:c>
      <x:c r="AU1622" t="str">
        <x:f>_xlfn.XLOOKUP($A1622,Games!$A$2:$A$18,Games!$P$2:$P$18,"Missing game",0)</x:f>
      </x:c>
      <x:c r="AV1622" t="str">
        <x:f>_xlfn.XLOOKUP($A1622,Games!$A$2:$A$18,Games!$Q$2:$Q$18,"Missing game",0)</x:f>
      </x:c>
      <x:c r="AW1622" t="str">
        <x:f>_xlfn.XLOOKUP($A1622,Games!$A$2:$A$18,Games!$R$2:$R$18,"Missing game",0)</x:f>
        <x:v>U.S. Bank Stadium</x:v>
      </x:c>
    </x:row>
    <x:row r="1623">
      <x:c r="A1623" t="str">
        <x:v>2025_11_CHI_MIN</x:v>
      </x:c>
      <x:c r="B1623" t="n">
        <x:v>2140</x:v>
      </x:c>
      <x:c r="C1623" t="n">
        <x:v>3</x:v>
      </x:c>
      <x:c r="D1623" t="str">
        <x:v>14:21</x:v>
      </x:c>
      <x:c r="E1623" t="n">
        <x:v>2</x:v>
      </x:c>
      <x:c r="F1623" t="n">
        <x:v>11</x:v>
      </x:c>
      <x:c r="G1623" t="str">
        <x:v>CHI</x:v>
      </x:c>
      <x:c r="H1623" t="str">
        <x:v>MIN</x:v>
      </x:c>
      <x:c r="I1623" t="str">
        <x:v>CHI</x:v>
      </x:c>
      <x:c r="J1623" t="n">
        <x:v>70</x:v>
      </x:c>
      <x:c r="K1623" t="str">
        <x:v>(14:21) (Shotgun) 18-C.Williams pass short left to 15-R.Odunze to CHI 47 for 17 yards (44-J.Metellus; 7-B.Murphy).</x:v>
      </x:c>
      <x:c r="L1623" t="str">
        <x:v>pass</x:v>
      </x:c>
      <x:c r="M1623" t="n">
        <x:v>17</x:v>
      </x:c>
      <x:c r="N1623" t="n">
        <x:v>1</x:v>
      </x:c>
      <x:c r="O1623" t="n">
        <x:v>0</x:v>
      </x:c>
      <x:c r="P1623" t="str">
        <x:v>short</x:v>
      </x:c>
      <x:c r="Q1623" t="str">
        <x:v>left</x:v>
      </x:c>
      <x:c r="R1623" t="n">
        <x:v>6</x:v>
      </x:c>
      <x:c r="S1623" t="n">
        <x:v>11</x:v>
      </x:c>
      <x:c r="T1623"/>
      <x:c r="U1623"/>
      <x:c r="V1623" t="n">
        <x:v>1</x:v>
      </x:c>
      <x:c r="W1623" t="n">
        <x:v>1</x:v>
      </x:c>
      <x:c r="X1623" t="n">
        <x:v>0</x:v>
      </x:c>
      <x:c r="Y1623" t="n">
        <x:v>0</x:v>
      </x:c>
      <x:c r="Z1623" t="n">
        <x:v>0</x:v>
      </x:c>
      <x:c r="AA1623" t="n">
        <x:v>0</x:v>
      </x:c>
      <x:c r="AB1623"/>
      <x:c r="AC1623" t="n">
        <x:v>0</x:v>
      </x:c>
      <x:c r="AD1623" t="n">
        <x:v>1.9669549984391779</x:v>
      </x:c>
      <x:c r="AE1623" t="n">
        <x:v>1</x:v>
      </x:c>
      <x:c r="AF1623" t="n">
        <x:v>0.059718310832977295</x:v>
      </x:c>
      <x:c r="AG1623" t="n">
        <x:f>_xlfn.XLOOKUP($A1623,Games!$A$2:$A$18,Games!$B$2:$B$18,"Missing game",0)</x:f>
        <x:v>2025</x:v>
      </x:c>
      <x:c r="AH1623" t="str">
        <x:f>_xlfn.XLOOKUP($A1623,Games!$A$2:$A$18,Games!$C$2:$C$18,"Missing game",0)</x:f>
        <x:v>REG</x:v>
      </x:c>
      <x:c r="AI1623" t="n">
        <x:f>_xlfn.XLOOKUP($A1623,Games!$A$2:$A$18,Games!$D$2:$D$18,"Missing game",0)</x:f>
        <x:v>11</x:v>
      </x:c>
      <x:c r="AJ1623" s="1" t="n">
        <x:f>_xlfn.XLOOKUP($A1623,Games!$A$2:$A$18,Games!$E$2:$E$18,"Missing game",0)</x:f>
        <x:v>45977</x:v>
      </x:c>
      <x:c r="AK1623" t="str">
        <x:f>_xlfn.XLOOKUP($A1623,Games!$A$2:$A$18,Games!$F$2:$F$18,"Missing game",0)</x:f>
        <x:v>Sunday</x:v>
      </x:c>
      <x:c r="AL1623" t="str">
        <x:f>_xlfn.XLOOKUP($A1623,Games!$A$2:$A$18,Games!$G$2:$G$18,"Missing game",0)</x:f>
        <x:v>CHI</x:v>
      </x:c>
      <x:c r="AM1623" t="n">
        <x:f>_xlfn.XLOOKUP($A1623,Games!$A$2:$A$18,Games!$H$2:$H$18,"Missing game",0)</x:f>
        <x:v>19</x:v>
      </x:c>
      <x:c r="AN1623" t="str">
        <x:f>_xlfn.XLOOKUP($A1623,Games!$A$2:$A$18,Games!$I$2:$I$18,"Missing game",0)</x:f>
        <x:v>MIN</x:v>
      </x:c>
      <x:c r="AO1623" t="n">
        <x:f>_xlfn.XLOOKUP($A1623,Games!$A$2:$A$18,Games!$J$2:$J$18,"Missing game",0)</x:f>
        <x:v>17</x:v>
      </x:c>
      <x:c r="AP1623" t="n">
        <x:f>_xlfn.XLOOKUP($A1623,Games!$A$2:$A$18,Games!$K$2:$K$18,"Missing game",0)</x:f>
        <x:v>-2</x:v>
      </x:c>
      <x:c r="AQ1623" t="n">
        <x:f>_xlfn.XLOOKUP($A1623,Games!$A$2:$A$18,Games!$L$2:$L$18,"Missing game",0)</x:f>
        <x:v>36</x:v>
      </x:c>
      <x:c r="AR1623" t="n">
        <x:f>_xlfn.XLOOKUP($A1623,Games!$A$2:$A$18,Games!$M$2:$M$18,"Missing game",0)</x:f>
        <x:v>0</x:v>
      </x:c>
      <x:c r="AS1623" t="str">
        <x:f>_xlfn.XLOOKUP($A1623,Games!$A$2:$A$18,Games!$N$2:$N$18,"Missing game",0)</x:f>
        <x:v>dome</x:v>
      </x:c>
      <x:c r="AT1623" t="str">
        <x:f>_xlfn.XLOOKUP($A1623,Games!$A$2:$A$18,Games!$O$2:$O$18,"Missing game",0)</x:f>
        <x:v>sportturf</x:v>
      </x:c>
      <x:c r="AU1623" t="str">
        <x:f>_xlfn.XLOOKUP($A1623,Games!$A$2:$A$18,Games!$P$2:$P$18,"Missing game",0)</x:f>
      </x:c>
      <x:c r="AV1623" t="str">
        <x:f>_xlfn.XLOOKUP($A1623,Games!$A$2:$A$18,Games!$Q$2:$Q$18,"Missing game",0)</x:f>
      </x:c>
      <x:c r="AW1623" t="str">
        <x:f>_xlfn.XLOOKUP($A1623,Games!$A$2:$A$18,Games!$R$2:$R$18,"Missing game",0)</x:f>
        <x:v>U.S. Bank Stadium</x:v>
      </x:c>
    </x:row>
    <x:row r="1624">
      <x:c r="A1624" t="str">
        <x:v>2025_11_CHI_MIN</x:v>
      </x:c>
      <x:c r="B1624" t="n">
        <x:v>2165</x:v>
      </x:c>
      <x:c r="C1624" t="n">
        <x:v>3</x:v>
      </x:c>
      <x:c r="D1624" t="str">
        <x:v>13:51</x:v>
      </x:c>
      <x:c r="E1624" t="n">
        <x:v>1</x:v>
      </x:c>
      <x:c r="F1624" t="n">
        <x:v>10</x:v>
      </x:c>
      <x:c r="G1624" t="str">
        <x:v>CHI</x:v>
      </x:c>
      <x:c r="H1624" t="str">
        <x:v>MIN</x:v>
      </x:c>
      <x:c r="I1624" t="str">
        <x:v>CHI</x:v>
      </x:c>
      <x:c r="J1624" t="n">
        <x:v>53</x:v>
      </x:c>
      <x:c r="K1624" t="str">
        <x:v>(13:51) (No Huddle) 18-C.Williams pass short left to 85-C.Kmet to MIN 45 for 8 yards (51-B.Cashman).</x:v>
      </x:c>
      <x:c r="L1624" t="str">
        <x:v>pass</x:v>
      </x:c>
      <x:c r="M1624" t="n">
        <x:v>8</x:v>
      </x:c>
      <x:c r="N1624" t="n">
        <x:v>0</x:v>
      </x:c>
      <x:c r="O1624" t="n">
        <x:v>1</x:v>
      </x:c>
      <x:c r="P1624" t="str">
        <x:v>short</x:v>
      </x:c>
      <x:c r="Q1624" t="str">
        <x:v>left</x:v>
      </x:c>
      <x:c r="R1624" t="n">
        <x:v>3</x:v>
      </x:c>
      <x:c r="S1624" t="n">
        <x:v>5</x:v>
      </x:c>
      <x:c r="T1624"/>
      <x:c r="U1624"/>
      <x:c r="V1624" t="n">
        <x:v>1</x:v>
      </x:c>
      <x:c r="W1624" t="n">
        <x:v>0</x:v>
      </x:c>
      <x:c r="X1624" t="n">
        <x:v>0</x:v>
      </x:c>
      <x:c r="Y1624" t="n">
        <x:v>0</x:v>
      </x:c>
      <x:c r="Z1624" t="n">
        <x:v>0</x:v>
      </x:c>
      <x:c r="AA1624" t="n">
        <x:v>0</x:v>
      </x:c>
      <x:c r="AB1624"/>
      <x:c r="AC1624" t="n">
        <x:v>0</x:v>
      </x:c>
      <x:c r="AD1624" t="n">
        <x:v>0.6090101834852248</x:v>
      </x:c>
      <x:c r="AE1624" t="n">
        <x:v>1</x:v>
      </x:c>
      <x:c r="AF1624" t="n">
        <x:v>0.017173409461975098</x:v>
      </x:c>
      <x:c r="AG1624" t="n">
        <x:f>_xlfn.XLOOKUP($A1624,Games!$A$2:$A$18,Games!$B$2:$B$18,"Missing game",0)</x:f>
        <x:v>2025</x:v>
      </x:c>
      <x:c r="AH1624" t="str">
        <x:f>_xlfn.XLOOKUP($A1624,Games!$A$2:$A$18,Games!$C$2:$C$18,"Missing game",0)</x:f>
        <x:v>REG</x:v>
      </x:c>
      <x:c r="AI1624" t="n">
        <x:f>_xlfn.XLOOKUP($A1624,Games!$A$2:$A$18,Games!$D$2:$D$18,"Missing game",0)</x:f>
        <x:v>11</x:v>
      </x:c>
      <x:c r="AJ1624" s="1" t="n">
        <x:f>_xlfn.XLOOKUP($A1624,Games!$A$2:$A$18,Games!$E$2:$E$18,"Missing game",0)</x:f>
        <x:v>45977</x:v>
      </x:c>
      <x:c r="AK1624" t="str">
        <x:f>_xlfn.XLOOKUP($A1624,Games!$A$2:$A$18,Games!$F$2:$F$18,"Missing game",0)</x:f>
        <x:v>Sunday</x:v>
      </x:c>
      <x:c r="AL1624" t="str">
        <x:f>_xlfn.XLOOKUP($A1624,Games!$A$2:$A$18,Games!$G$2:$G$18,"Missing game",0)</x:f>
        <x:v>CHI</x:v>
      </x:c>
      <x:c r="AM1624" t="n">
        <x:f>_xlfn.XLOOKUP($A1624,Games!$A$2:$A$18,Games!$H$2:$H$18,"Missing game",0)</x:f>
        <x:v>19</x:v>
      </x:c>
      <x:c r="AN1624" t="str">
        <x:f>_xlfn.XLOOKUP($A1624,Games!$A$2:$A$18,Games!$I$2:$I$18,"Missing game",0)</x:f>
        <x:v>MIN</x:v>
      </x:c>
      <x:c r="AO1624" t="n">
        <x:f>_xlfn.XLOOKUP($A1624,Games!$A$2:$A$18,Games!$J$2:$J$18,"Missing game",0)</x:f>
        <x:v>17</x:v>
      </x:c>
      <x:c r="AP1624" t="n">
        <x:f>_xlfn.XLOOKUP($A1624,Games!$A$2:$A$18,Games!$K$2:$K$18,"Missing game",0)</x:f>
        <x:v>-2</x:v>
      </x:c>
      <x:c r="AQ1624" t="n">
        <x:f>_xlfn.XLOOKUP($A1624,Games!$A$2:$A$18,Games!$L$2:$L$18,"Missing game",0)</x:f>
        <x:v>36</x:v>
      </x:c>
      <x:c r="AR1624" t="n">
        <x:f>_xlfn.XLOOKUP($A1624,Games!$A$2:$A$18,Games!$M$2:$M$18,"Missing game",0)</x:f>
        <x:v>0</x:v>
      </x:c>
      <x:c r="AS1624" t="str">
        <x:f>_xlfn.XLOOKUP($A1624,Games!$A$2:$A$18,Games!$N$2:$N$18,"Missing game",0)</x:f>
        <x:v>dome</x:v>
      </x:c>
      <x:c r="AT1624" t="str">
        <x:f>_xlfn.XLOOKUP($A1624,Games!$A$2:$A$18,Games!$O$2:$O$18,"Missing game",0)</x:f>
        <x:v>sportturf</x:v>
      </x:c>
      <x:c r="AU1624" t="str">
        <x:f>_xlfn.XLOOKUP($A1624,Games!$A$2:$A$18,Games!$P$2:$P$18,"Missing game",0)</x:f>
      </x:c>
      <x:c r="AV1624" t="str">
        <x:f>_xlfn.XLOOKUP($A1624,Games!$A$2:$A$18,Games!$Q$2:$Q$18,"Missing game",0)</x:f>
      </x:c>
      <x:c r="AW1624" t="str">
        <x:f>_xlfn.XLOOKUP($A1624,Games!$A$2:$A$18,Games!$R$2:$R$18,"Missing game",0)</x:f>
        <x:v>U.S. Bank Stadium</x:v>
      </x:c>
    </x:row>
    <x:row r="1625">
      <x:c r="A1625" t="str">
        <x:v>2025_11_CHI_MIN</x:v>
      </x:c>
      <x:c r="B1625" t="n">
        <x:v>2190</x:v>
      </x:c>
      <x:c r="C1625" t="n">
        <x:v>3</x:v>
      </x:c>
      <x:c r="D1625" t="str">
        <x:v>13:14</x:v>
      </x:c>
      <x:c r="E1625" t="n">
        <x:v>2</x:v>
      </x:c>
      <x:c r="F1625" t="n">
        <x:v>2</x:v>
      </x:c>
      <x:c r="G1625" t="str">
        <x:v>CHI</x:v>
      </x:c>
      <x:c r="H1625" t="str">
        <x:v>MIN</x:v>
      </x:c>
      <x:c r="I1625" t="str">
        <x:v>MIN</x:v>
      </x:c>
      <x:c r="J1625" t="n">
        <x:v>45</x:v>
      </x:c>
      <x:c r="K1625" t="str">
        <x:v>(13:14) 25-K.Monangai left guard to MIN 46 for -1 yards (2-I.Rodgers).</x:v>
      </x:c>
      <x:c r="L1625" t="str">
        <x:v>run</x:v>
      </x:c>
      <x:c r="M1625" t="n">
        <x:v>-1</x:v>
      </x:c>
      <x:c r="N1625" t="n">
        <x:v>0</x:v>
      </x:c>
      <x:c r="O1625" t="n">
        <x:v>0</x:v>
      </x:c>
      <x:c r="P1625"/>
      <x:c r="Q1625"/>
      <x:c r="R1625"/>
      <x:c r="S1625"/>
      <x:c r="T1625" t="str">
        <x:v>left</x:v>
      </x:c>
      <x:c r="U1625" t="str">
        <x:v>guard</x:v>
      </x:c>
      <x:c r="V1625" t="n">
        <x:v>0</x:v>
      </x:c>
      <x:c r="W1625" t="n">
        <x:v>0</x:v>
      </x:c>
      <x:c r="X1625" t="n">
        <x:v>0</x:v>
      </x:c>
      <x:c r="Y1625" t="n">
        <x:v>0</x:v>
      </x:c>
      <x:c r="Z1625" t="n">
        <x:v>0</x:v>
      </x:c>
      <x:c r="AA1625" t="n">
        <x:v>0</x:v>
      </x:c>
      <x:c r="AB1625"/>
      <x:c r="AC1625" t="n">
        <x:v>0</x:v>
      </x:c>
      <x:c r="AD1625" t="n">
        <x:v>-1.0354057615622878</x:v>
      </x:c>
      <x:c r="AE1625" t="n">
        <x:v>0</x:v>
      </x:c>
      <x:c r="AF1625" t="n">
        <x:v>-0.0351637601852417</x:v>
      </x:c>
      <x:c r="AG1625" t="n">
        <x:f>_xlfn.XLOOKUP($A1625,Games!$A$2:$A$18,Games!$B$2:$B$18,"Missing game",0)</x:f>
        <x:v>2025</x:v>
      </x:c>
      <x:c r="AH1625" t="str">
        <x:f>_xlfn.XLOOKUP($A1625,Games!$A$2:$A$18,Games!$C$2:$C$18,"Missing game",0)</x:f>
        <x:v>REG</x:v>
      </x:c>
      <x:c r="AI1625" t="n">
        <x:f>_xlfn.XLOOKUP($A1625,Games!$A$2:$A$18,Games!$D$2:$D$18,"Missing game",0)</x:f>
        <x:v>11</x:v>
      </x:c>
      <x:c r="AJ1625" s="1" t="n">
        <x:f>_xlfn.XLOOKUP($A1625,Games!$A$2:$A$18,Games!$E$2:$E$18,"Missing game",0)</x:f>
        <x:v>45977</x:v>
      </x:c>
      <x:c r="AK1625" t="str">
        <x:f>_xlfn.XLOOKUP($A1625,Games!$A$2:$A$18,Games!$F$2:$F$18,"Missing game",0)</x:f>
        <x:v>Sunday</x:v>
      </x:c>
      <x:c r="AL1625" t="str">
        <x:f>_xlfn.XLOOKUP($A1625,Games!$A$2:$A$18,Games!$G$2:$G$18,"Missing game",0)</x:f>
        <x:v>CHI</x:v>
      </x:c>
      <x:c r="AM1625" t="n">
        <x:f>_xlfn.XLOOKUP($A1625,Games!$A$2:$A$18,Games!$H$2:$H$18,"Missing game",0)</x:f>
        <x:v>19</x:v>
      </x:c>
      <x:c r="AN1625" t="str">
        <x:f>_xlfn.XLOOKUP($A1625,Games!$A$2:$A$18,Games!$I$2:$I$18,"Missing game",0)</x:f>
        <x:v>MIN</x:v>
      </x:c>
      <x:c r="AO1625" t="n">
        <x:f>_xlfn.XLOOKUP($A1625,Games!$A$2:$A$18,Games!$J$2:$J$18,"Missing game",0)</x:f>
        <x:v>17</x:v>
      </x:c>
      <x:c r="AP1625" t="n">
        <x:f>_xlfn.XLOOKUP($A1625,Games!$A$2:$A$18,Games!$K$2:$K$18,"Missing game",0)</x:f>
        <x:v>-2</x:v>
      </x:c>
      <x:c r="AQ1625" t="n">
        <x:f>_xlfn.XLOOKUP($A1625,Games!$A$2:$A$18,Games!$L$2:$L$18,"Missing game",0)</x:f>
        <x:v>36</x:v>
      </x:c>
      <x:c r="AR1625" t="n">
        <x:f>_xlfn.XLOOKUP($A1625,Games!$A$2:$A$18,Games!$M$2:$M$18,"Missing game",0)</x:f>
        <x:v>0</x:v>
      </x:c>
      <x:c r="AS1625" t="str">
        <x:f>_xlfn.XLOOKUP($A1625,Games!$A$2:$A$18,Games!$N$2:$N$18,"Missing game",0)</x:f>
        <x:v>dome</x:v>
      </x:c>
      <x:c r="AT1625" t="str">
        <x:f>_xlfn.XLOOKUP($A1625,Games!$A$2:$A$18,Games!$O$2:$O$18,"Missing game",0)</x:f>
        <x:v>sportturf</x:v>
      </x:c>
      <x:c r="AU1625" t="str">
        <x:f>_xlfn.XLOOKUP($A1625,Games!$A$2:$A$18,Games!$P$2:$P$18,"Missing game",0)</x:f>
      </x:c>
      <x:c r="AV1625" t="str">
        <x:f>_xlfn.XLOOKUP($A1625,Games!$A$2:$A$18,Games!$Q$2:$Q$18,"Missing game",0)</x:f>
      </x:c>
      <x:c r="AW1625" t="str">
        <x:f>_xlfn.XLOOKUP($A1625,Games!$A$2:$A$18,Games!$R$2:$R$18,"Missing game",0)</x:f>
        <x:v>U.S. Bank Stadium</x:v>
      </x:c>
    </x:row>
    <x:row r="1626">
      <x:c r="A1626" t="str">
        <x:v>2025_11_CHI_MIN</x:v>
      </x:c>
      <x:c r="B1626" t="n">
        <x:v>2212</x:v>
      </x:c>
      <x:c r="C1626" t="n">
        <x:v>3</x:v>
      </x:c>
      <x:c r="D1626" t="str">
        <x:v>12:38</x:v>
      </x:c>
      <x:c r="E1626" t="n">
        <x:v>3</x:v>
      </x:c>
      <x:c r="F1626" t="n">
        <x:v>3</x:v>
      </x:c>
      <x:c r="G1626" t="str">
        <x:v>CHI</x:v>
      </x:c>
      <x:c r="H1626" t="str">
        <x:v>MIN</x:v>
      </x:c>
      <x:c r="I1626" t="str">
        <x:v>MIN</x:v>
      </x:c>
      <x:c r="J1626" t="n">
        <x:v>46</x:v>
      </x:c>
      <x:c r="K1626" t="str">
        <x:v>(12:38) 25-K.Monangai left tackle to MIN 39 for 7 yards (44-J.Metellus; 43-A.Van Ginkel).</x:v>
      </x:c>
      <x:c r="L1626" t="str">
        <x:v>run</x:v>
      </x:c>
      <x:c r="M1626" t="n">
        <x:v>7</x:v>
      </x:c>
      <x:c r="N1626" t="n">
        <x:v>0</x:v>
      </x:c>
      <x:c r="O1626" t="n">
        <x:v>0</x:v>
      </x:c>
      <x:c r="P1626"/>
      <x:c r="Q1626"/>
      <x:c r="R1626"/>
      <x:c r="S1626"/>
      <x:c r="T1626" t="str">
        <x:v>left</x:v>
      </x:c>
      <x:c r="U1626" t="str">
        <x:v>tackle</x:v>
      </x:c>
      <x:c r="V1626" t="n">
        <x:v>0</x:v>
      </x:c>
      <x:c r="W1626" t="n">
        <x:v>1</x:v>
      </x:c>
      <x:c r="X1626" t="n">
        <x:v>0</x:v>
      </x:c>
      <x:c r="Y1626" t="n">
        <x:v>0</x:v>
      </x:c>
      <x:c r="Z1626" t="n">
        <x:v>0</x:v>
      </x:c>
      <x:c r="AA1626" t="n">
        <x:v>0</x:v>
      </x:c>
      <x:c r="AB1626"/>
      <x:c r="AC1626" t="n">
        <x:v>0</x:v>
      </x:c>
      <x:c r="AD1626" t="n">
        <x:v>1.4116154459770769</x:v>
      </x:c>
      <x:c r="AE1626" t="n">
        <x:v>1</x:v>
      </x:c>
      <x:c r="AF1626" t="n">
        <x:v>0.04651498794555664</x:v>
      </x:c>
      <x:c r="AG1626" t="n">
        <x:f>_xlfn.XLOOKUP($A1626,Games!$A$2:$A$18,Games!$B$2:$B$18,"Missing game",0)</x:f>
        <x:v>2025</x:v>
      </x:c>
      <x:c r="AH1626" t="str">
        <x:f>_xlfn.XLOOKUP($A1626,Games!$A$2:$A$18,Games!$C$2:$C$18,"Missing game",0)</x:f>
        <x:v>REG</x:v>
      </x:c>
      <x:c r="AI1626" t="n">
        <x:f>_xlfn.XLOOKUP($A1626,Games!$A$2:$A$18,Games!$D$2:$D$18,"Missing game",0)</x:f>
        <x:v>11</x:v>
      </x:c>
      <x:c r="AJ1626" s="1" t="n">
        <x:f>_xlfn.XLOOKUP($A1626,Games!$A$2:$A$18,Games!$E$2:$E$18,"Missing game",0)</x:f>
        <x:v>45977</x:v>
      </x:c>
      <x:c r="AK1626" t="str">
        <x:f>_xlfn.XLOOKUP($A1626,Games!$A$2:$A$18,Games!$F$2:$F$18,"Missing game",0)</x:f>
        <x:v>Sunday</x:v>
      </x:c>
      <x:c r="AL1626" t="str">
        <x:f>_xlfn.XLOOKUP($A1626,Games!$A$2:$A$18,Games!$G$2:$G$18,"Missing game",0)</x:f>
        <x:v>CHI</x:v>
      </x:c>
      <x:c r="AM1626" t="n">
        <x:f>_xlfn.XLOOKUP($A1626,Games!$A$2:$A$18,Games!$H$2:$H$18,"Missing game",0)</x:f>
        <x:v>19</x:v>
      </x:c>
      <x:c r="AN1626" t="str">
        <x:f>_xlfn.XLOOKUP($A1626,Games!$A$2:$A$18,Games!$I$2:$I$18,"Missing game",0)</x:f>
        <x:v>MIN</x:v>
      </x:c>
      <x:c r="AO1626" t="n">
        <x:f>_xlfn.XLOOKUP($A1626,Games!$A$2:$A$18,Games!$J$2:$J$18,"Missing game",0)</x:f>
        <x:v>17</x:v>
      </x:c>
      <x:c r="AP1626" t="n">
        <x:f>_xlfn.XLOOKUP($A1626,Games!$A$2:$A$18,Games!$K$2:$K$18,"Missing game",0)</x:f>
        <x:v>-2</x:v>
      </x:c>
      <x:c r="AQ1626" t="n">
        <x:f>_xlfn.XLOOKUP($A1626,Games!$A$2:$A$18,Games!$L$2:$L$18,"Missing game",0)</x:f>
        <x:v>36</x:v>
      </x:c>
      <x:c r="AR1626" t="n">
        <x:f>_xlfn.XLOOKUP($A1626,Games!$A$2:$A$18,Games!$M$2:$M$18,"Missing game",0)</x:f>
        <x:v>0</x:v>
      </x:c>
      <x:c r="AS1626" t="str">
        <x:f>_xlfn.XLOOKUP($A1626,Games!$A$2:$A$18,Games!$N$2:$N$18,"Missing game",0)</x:f>
        <x:v>dome</x:v>
      </x:c>
      <x:c r="AT1626" t="str">
        <x:f>_xlfn.XLOOKUP($A1626,Games!$A$2:$A$18,Games!$O$2:$O$18,"Missing game",0)</x:f>
        <x:v>sportturf</x:v>
      </x:c>
      <x:c r="AU1626" t="str">
        <x:f>_xlfn.XLOOKUP($A1626,Games!$A$2:$A$18,Games!$P$2:$P$18,"Missing game",0)</x:f>
      </x:c>
      <x:c r="AV1626" t="str">
        <x:f>_xlfn.XLOOKUP($A1626,Games!$A$2:$A$18,Games!$Q$2:$Q$18,"Missing game",0)</x:f>
      </x:c>
      <x:c r="AW1626" t="str">
        <x:f>_xlfn.XLOOKUP($A1626,Games!$A$2:$A$18,Games!$R$2:$R$18,"Missing game",0)</x:f>
        <x:v>U.S. Bank Stadium</x:v>
      </x:c>
    </x:row>
    <x:row r="1627">
      <x:c r="A1627" t="str">
        <x:v>2025_11_CHI_MIN</x:v>
      </x:c>
      <x:c r="B1627" t="n">
        <x:v>2234</x:v>
      </x:c>
      <x:c r="C1627" t="n">
        <x:v>3</x:v>
      </x:c>
      <x:c r="D1627" t="str">
        <x:v>12:00</x:v>
      </x:c>
      <x:c r="E1627" t="n">
        <x:v>1</x:v>
      </x:c>
      <x:c r="F1627" t="n">
        <x:v>10</x:v>
      </x:c>
      <x:c r="G1627" t="str">
        <x:v>CHI</x:v>
      </x:c>
      <x:c r="H1627" t="str">
        <x:v>MIN</x:v>
      </x:c>
      <x:c r="I1627" t="str">
        <x:v>MIN</x:v>
      </x:c>
      <x:c r="J1627" t="n">
        <x:v>39</x:v>
      </x:c>
      <x:c r="K1627" t="str">
        <x:v>(12:00) 18-C.Williams pass short left to 85-C.Kmet to MIN 34 for 5 yards (55-E.Wilson).</x:v>
      </x:c>
      <x:c r="L1627" t="str">
        <x:v>pass</x:v>
      </x:c>
      <x:c r="M1627" t="n">
        <x:v>5</x:v>
      </x:c>
      <x:c r="N1627" t="n">
        <x:v>0</x:v>
      </x:c>
      <x:c r="O1627" t="n">
        <x:v>0</x:v>
      </x:c>
      <x:c r="P1627" t="str">
        <x:v>short</x:v>
      </x:c>
      <x:c r="Q1627" t="str">
        <x:v>left</x:v>
      </x:c>
      <x:c r="R1627" t="n">
        <x:v>-1</x:v>
      </x:c>
      <x:c r="S1627" t="n">
        <x:v>6</x:v>
      </x:c>
      <x:c r="T1627"/>
      <x:c r="U1627"/>
      <x:c r="V1627" t="n">
        <x:v>1</x:v>
      </x:c>
      <x:c r="W1627" t="n">
        <x:v>0</x:v>
      </x:c>
      <x:c r="X1627" t="n">
        <x:v>0</x:v>
      </x:c>
      <x:c r="Y1627" t="n">
        <x:v>0</x:v>
      </x:c>
      <x:c r="Z1627" t="n">
        <x:v>0</x:v>
      </x:c>
      <x:c r="AA1627" t="n">
        <x:v>0</x:v>
      </x:c>
      <x:c r="AB1627"/>
      <x:c r="AC1627" t="n">
        <x:v>0</x:v>
      </x:c>
      <x:c r="AD1627" t="n">
        <x:v>-0.07801370951347053</x:v>
      </x:c>
      <x:c r="AE1627" t="n">
        <x:v>0</x:v>
      </x:c>
      <x:c r="AF1627" t="n">
        <x:v>-0.0060059428215026855</x:v>
      </x:c>
      <x:c r="AG1627" t="n">
        <x:f>_xlfn.XLOOKUP($A1627,Games!$A$2:$A$18,Games!$B$2:$B$18,"Missing game",0)</x:f>
        <x:v>2025</x:v>
      </x:c>
      <x:c r="AH1627" t="str">
        <x:f>_xlfn.XLOOKUP($A1627,Games!$A$2:$A$18,Games!$C$2:$C$18,"Missing game",0)</x:f>
        <x:v>REG</x:v>
      </x:c>
      <x:c r="AI1627" t="n">
        <x:f>_xlfn.XLOOKUP($A1627,Games!$A$2:$A$18,Games!$D$2:$D$18,"Missing game",0)</x:f>
        <x:v>11</x:v>
      </x:c>
      <x:c r="AJ1627" s="1" t="n">
        <x:f>_xlfn.XLOOKUP($A1627,Games!$A$2:$A$18,Games!$E$2:$E$18,"Missing game",0)</x:f>
        <x:v>45977</x:v>
      </x:c>
      <x:c r="AK1627" t="str">
        <x:f>_xlfn.XLOOKUP($A1627,Games!$A$2:$A$18,Games!$F$2:$F$18,"Missing game",0)</x:f>
        <x:v>Sunday</x:v>
      </x:c>
      <x:c r="AL1627" t="str">
        <x:f>_xlfn.XLOOKUP($A1627,Games!$A$2:$A$18,Games!$G$2:$G$18,"Missing game",0)</x:f>
        <x:v>CHI</x:v>
      </x:c>
      <x:c r="AM1627" t="n">
        <x:f>_xlfn.XLOOKUP($A1627,Games!$A$2:$A$18,Games!$H$2:$H$18,"Missing game",0)</x:f>
        <x:v>19</x:v>
      </x:c>
      <x:c r="AN1627" t="str">
        <x:f>_xlfn.XLOOKUP($A1627,Games!$A$2:$A$18,Games!$I$2:$I$18,"Missing game",0)</x:f>
        <x:v>MIN</x:v>
      </x:c>
      <x:c r="AO1627" t="n">
        <x:f>_xlfn.XLOOKUP($A1627,Games!$A$2:$A$18,Games!$J$2:$J$18,"Missing game",0)</x:f>
        <x:v>17</x:v>
      </x:c>
      <x:c r="AP1627" t="n">
        <x:f>_xlfn.XLOOKUP($A1627,Games!$A$2:$A$18,Games!$K$2:$K$18,"Missing game",0)</x:f>
        <x:v>-2</x:v>
      </x:c>
      <x:c r="AQ1627" t="n">
        <x:f>_xlfn.XLOOKUP($A1627,Games!$A$2:$A$18,Games!$L$2:$L$18,"Missing game",0)</x:f>
        <x:v>36</x:v>
      </x:c>
      <x:c r="AR1627" t="n">
        <x:f>_xlfn.XLOOKUP($A1627,Games!$A$2:$A$18,Games!$M$2:$M$18,"Missing game",0)</x:f>
        <x:v>0</x:v>
      </x:c>
      <x:c r="AS1627" t="str">
        <x:f>_xlfn.XLOOKUP($A1627,Games!$A$2:$A$18,Games!$N$2:$N$18,"Missing game",0)</x:f>
        <x:v>dome</x:v>
      </x:c>
      <x:c r="AT1627" t="str">
        <x:f>_xlfn.XLOOKUP($A1627,Games!$A$2:$A$18,Games!$O$2:$O$18,"Missing game",0)</x:f>
        <x:v>sportturf</x:v>
      </x:c>
      <x:c r="AU1627" t="str">
        <x:f>_xlfn.XLOOKUP($A1627,Games!$A$2:$A$18,Games!$P$2:$P$18,"Missing game",0)</x:f>
      </x:c>
      <x:c r="AV1627" t="str">
        <x:f>_xlfn.XLOOKUP($A1627,Games!$A$2:$A$18,Games!$Q$2:$Q$18,"Missing game",0)</x:f>
      </x:c>
      <x:c r="AW1627" t="str">
        <x:f>_xlfn.XLOOKUP($A1627,Games!$A$2:$A$18,Games!$R$2:$R$18,"Missing game",0)</x:f>
        <x:v>U.S. Bank Stadium</x:v>
      </x:c>
    </x:row>
    <x:row r="1628">
      <x:c r="A1628" t="str">
        <x:v>2025_11_CHI_MIN</x:v>
      </x:c>
      <x:c r="B1628" t="n">
        <x:v>2259</x:v>
      </x:c>
      <x:c r="C1628" t="n">
        <x:v>3</x:v>
      </x:c>
      <x:c r="D1628" t="str">
        <x:v>11:23</x:v>
      </x:c>
      <x:c r="E1628" t="n">
        <x:v>2</x:v>
      </x:c>
      <x:c r="F1628" t="n">
        <x:v>5</x:v>
      </x:c>
      <x:c r="G1628" t="str">
        <x:v>CHI</x:v>
      </x:c>
      <x:c r="H1628" t="str">
        <x:v>MIN</x:v>
      </x:c>
      <x:c r="I1628" t="str">
        <x:v>MIN</x:v>
      </x:c>
      <x:c r="J1628" t="n">
        <x:v>34</x:v>
      </x:c>
      <x:c r="K1628" t="str">
        <x:v>(11:23) (Shotgun) 18-C.Williams pass short middle to 81-D.Smythe to MIN 25 for 9 yards (43-A.Van Ginkel). Minnesota challenged the pass completion ruling, and the play was REVERSED. (Shotgun) 18-C.Williams pass incomplete short middle to 81-D.Smythe.</x:v>
      </x:c>
      <x:c r="L1628" t="str">
        <x:v>pass</x:v>
      </x:c>
      <x:c r="M1628" t="n">
        <x:v>0</x:v>
      </x:c>
      <x:c r="N1628" t="n">
        <x:v>1</x:v>
      </x:c>
      <x:c r="O1628" t="n">
        <x:v>0</x:v>
      </x:c>
      <x:c r="P1628" t="str">
        <x:v>short</x:v>
      </x:c>
      <x:c r="Q1628" t="str">
        <x:v>middle</x:v>
      </x:c>
      <x:c r="R1628" t="n">
        <x:v>9</x:v>
      </x:c>
      <x:c r="S1628"/>
      <x:c r="T1628"/>
      <x:c r="U1628"/>
      <x:c r="V1628" t="n">
        <x:v>0</x:v>
      </x:c>
      <x:c r="W1628" t="n">
        <x:v>0</x:v>
      </x:c>
      <x:c r="X1628" t="n">
        <x:v>0</x:v>
      </x:c>
      <x:c r="Y1628" t="n">
        <x:v>0</x:v>
      </x:c>
      <x:c r="Z1628" t="n">
        <x:v>0</x:v>
      </x:c>
      <x:c r="AA1628" t="n">
        <x:v>0</x:v>
      </x:c>
      <x:c r="AB1628"/>
      <x:c r="AC1628" t="n">
        <x:v>0</x:v>
      </x:c>
      <x:c r="AD1628" t="n">
        <x:v>-0.7579755131155252</x:v>
      </x:c>
      <x:c r="AE1628" t="n">
        <x:v>0</x:v>
      </x:c>
      <x:c r="AF1628" t="n">
        <x:v>-0.0171053409576416</x:v>
      </x:c>
      <x:c r="AG1628" t="n">
        <x:f>_xlfn.XLOOKUP($A1628,Games!$A$2:$A$18,Games!$B$2:$B$18,"Missing game",0)</x:f>
        <x:v>2025</x:v>
      </x:c>
      <x:c r="AH1628" t="str">
        <x:f>_xlfn.XLOOKUP($A1628,Games!$A$2:$A$18,Games!$C$2:$C$18,"Missing game",0)</x:f>
        <x:v>REG</x:v>
      </x:c>
      <x:c r="AI1628" t="n">
        <x:f>_xlfn.XLOOKUP($A1628,Games!$A$2:$A$18,Games!$D$2:$D$18,"Missing game",0)</x:f>
        <x:v>11</x:v>
      </x:c>
      <x:c r="AJ1628" s="1" t="n">
        <x:f>_xlfn.XLOOKUP($A1628,Games!$A$2:$A$18,Games!$E$2:$E$18,"Missing game",0)</x:f>
        <x:v>45977</x:v>
      </x:c>
      <x:c r="AK1628" t="str">
        <x:f>_xlfn.XLOOKUP($A1628,Games!$A$2:$A$18,Games!$F$2:$F$18,"Missing game",0)</x:f>
        <x:v>Sunday</x:v>
      </x:c>
      <x:c r="AL1628" t="str">
        <x:f>_xlfn.XLOOKUP($A1628,Games!$A$2:$A$18,Games!$G$2:$G$18,"Missing game",0)</x:f>
        <x:v>CHI</x:v>
      </x:c>
      <x:c r="AM1628" t="n">
        <x:f>_xlfn.XLOOKUP($A1628,Games!$A$2:$A$18,Games!$H$2:$H$18,"Missing game",0)</x:f>
        <x:v>19</x:v>
      </x:c>
      <x:c r="AN1628" t="str">
        <x:f>_xlfn.XLOOKUP($A1628,Games!$A$2:$A$18,Games!$I$2:$I$18,"Missing game",0)</x:f>
        <x:v>MIN</x:v>
      </x:c>
      <x:c r="AO1628" t="n">
        <x:f>_xlfn.XLOOKUP($A1628,Games!$A$2:$A$18,Games!$J$2:$J$18,"Missing game",0)</x:f>
        <x:v>17</x:v>
      </x:c>
      <x:c r="AP1628" t="n">
        <x:f>_xlfn.XLOOKUP($A1628,Games!$A$2:$A$18,Games!$K$2:$K$18,"Missing game",0)</x:f>
        <x:v>-2</x:v>
      </x:c>
      <x:c r="AQ1628" t="n">
        <x:f>_xlfn.XLOOKUP($A1628,Games!$A$2:$A$18,Games!$L$2:$L$18,"Missing game",0)</x:f>
        <x:v>36</x:v>
      </x:c>
      <x:c r="AR1628" t="n">
        <x:f>_xlfn.XLOOKUP($A1628,Games!$A$2:$A$18,Games!$M$2:$M$18,"Missing game",0)</x:f>
        <x:v>0</x:v>
      </x:c>
      <x:c r="AS1628" t="str">
        <x:f>_xlfn.XLOOKUP($A1628,Games!$A$2:$A$18,Games!$N$2:$N$18,"Missing game",0)</x:f>
        <x:v>dome</x:v>
      </x:c>
      <x:c r="AT1628" t="str">
        <x:f>_xlfn.XLOOKUP($A1628,Games!$A$2:$A$18,Games!$O$2:$O$18,"Missing game",0)</x:f>
        <x:v>sportturf</x:v>
      </x:c>
      <x:c r="AU1628" t="str">
        <x:f>_xlfn.XLOOKUP($A1628,Games!$A$2:$A$18,Games!$P$2:$P$18,"Missing game",0)</x:f>
      </x:c>
      <x:c r="AV1628" t="str">
        <x:f>_xlfn.XLOOKUP($A1628,Games!$A$2:$A$18,Games!$Q$2:$Q$18,"Missing game",0)</x:f>
      </x:c>
      <x:c r="AW1628" t="str">
        <x:f>_xlfn.XLOOKUP($A1628,Games!$A$2:$A$18,Games!$R$2:$R$18,"Missing game",0)</x:f>
        <x:v>U.S. Bank Stadium</x:v>
      </x:c>
    </x:row>
    <x:row r="1629">
      <x:c r="A1629" t="str">
        <x:v>2025_11_CHI_MIN</x:v>
      </x:c>
      <x:c r="B1629" t="n">
        <x:v>2333</x:v>
      </x:c>
      <x:c r="C1629" t="n">
        <x:v>3</x:v>
      </x:c>
      <x:c r="D1629" t="str">
        <x:v>11:20</x:v>
      </x:c>
      <x:c r="E1629" t="n">
        <x:v>3</x:v>
      </x:c>
      <x:c r="F1629" t="n">
        <x:v>5</x:v>
      </x:c>
      <x:c r="G1629" t="str">
        <x:v>CHI</x:v>
      </x:c>
      <x:c r="H1629" t="str">
        <x:v>MIN</x:v>
      </x:c>
      <x:c r="I1629" t="str">
        <x:v>MIN</x:v>
      </x:c>
      <x:c r="J1629" t="n">
        <x:v>34</x:v>
      </x:c>
      <x:c r="K1629" t="str">
        <x:v>(11:20) (Shotgun) 21-T.Homer right end to MIN 36 for -2 yards (43-A.Van Ginkel, 2-I.Rodgers).</x:v>
      </x:c>
      <x:c r="L1629" t="str">
        <x:v>run</x:v>
      </x:c>
      <x:c r="M1629" t="n">
        <x:v>-2</x:v>
      </x:c>
      <x:c r="N1629" t="n">
        <x:v>1</x:v>
      </x:c>
      <x:c r="O1629" t="n">
        <x:v>0</x:v>
      </x:c>
      <x:c r="P1629"/>
      <x:c r="Q1629"/>
      <x:c r="R1629"/>
      <x:c r="S1629"/>
      <x:c r="T1629" t="str">
        <x:v>right</x:v>
      </x:c>
      <x:c r="U1629" t="str">
        <x:v>end</x:v>
      </x:c>
      <x:c r="V1629" t="n">
        <x:v>0</x:v>
      </x:c>
      <x:c r="W1629" t="n">
        <x:v>0</x:v>
      </x:c>
      <x:c r="X1629" t="n">
        <x:v>0</x:v>
      </x:c>
      <x:c r="Y1629" t="n">
        <x:v>0</x:v>
      </x:c>
      <x:c r="Z1629" t="n">
        <x:v>0</x:v>
      </x:c>
      <x:c r="AA1629" t="n">
        <x:v>0</x:v>
      </x:c>
      <x:c r="AB1629"/>
      <x:c r="AC1629" t="n">
        <x:v>0</x:v>
      </x:c>
      <x:c r="AD1629" t="n">
        <x:v>-1.3661332725416906</x:v>
      </x:c>
      <x:c r="AE1629" t="n">
        <x:v>0</x:v>
      </x:c>
      <x:c r="AF1629" t="n">
        <x:v>-0.03126800060272217</x:v>
      </x:c>
      <x:c r="AG1629" t="n">
        <x:f>_xlfn.XLOOKUP($A1629,Games!$A$2:$A$18,Games!$B$2:$B$18,"Missing game",0)</x:f>
        <x:v>2025</x:v>
      </x:c>
      <x:c r="AH1629" t="str">
        <x:f>_xlfn.XLOOKUP($A1629,Games!$A$2:$A$18,Games!$C$2:$C$18,"Missing game",0)</x:f>
        <x:v>REG</x:v>
      </x:c>
      <x:c r="AI1629" t="n">
        <x:f>_xlfn.XLOOKUP($A1629,Games!$A$2:$A$18,Games!$D$2:$D$18,"Missing game",0)</x:f>
        <x:v>11</x:v>
      </x:c>
      <x:c r="AJ1629" s="1" t="n">
        <x:f>_xlfn.XLOOKUP($A1629,Games!$A$2:$A$18,Games!$E$2:$E$18,"Missing game",0)</x:f>
        <x:v>45977</x:v>
      </x:c>
      <x:c r="AK1629" t="str">
        <x:f>_xlfn.XLOOKUP($A1629,Games!$A$2:$A$18,Games!$F$2:$F$18,"Missing game",0)</x:f>
        <x:v>Sunday</x:v>
      </x:c>
      <x:c r="AL1629" t="str">
        <x:f>_xlfn.XLOOKUP($A1629,Games!$A$2:$A$18,Games!$G$2:$G$18,"Missing game",0)</x:f>
        <x:v>CHI</x:v>
      </x:c>
      <x:c r="AM1629" t="n">
        <x:f>_xlfn.XLOOKUP($A1629,Games!$A$2:$A$18,Games!$H$2:$H$18,"Missing game",0)</x:f>
        <x:v>19</x:v>
      </x:c>
      <x:c r="AN1629" t="str">
        <x:f>_xlfn.XLOOKUP($A1629,Games!$A$2:$A$18,Games!$I$2:$I$18,"Missing game",0)</x:f>
        <x:v>MIN</x:v>
      </x:c>
      <x:c r="AO1629" t="n">
        <x:f>_xlfn.XLOOKUP($A1629,Games!$A$2:$A$18,Games!$J$2:$J$18,"Missing game",0)</x:f>
        <x:v>17</x:v>
      </x:c>
      <x:c r="AP1629" t="n">
        <x:f>_xlfn.XLOOKUP($A1629,Games!$A$2:$A$18,Games!$K$2:$K$18,"Missing game",0)</x:f>
        <x:v>-2</x:v>
      </x:c>
      <x:c r="AQ1629" t="n">
        <x:f>_xlfn.XLOOKUP($A1629,Games!$A$2:$A$18,Games!$L$2:$L$18,"Missing game",0)</x:f>
        <x:v>36</x:v>
      </x:c>
      <x:c r="AR1629" t="n">
        <x:f>_xlfn.XLOOKUP($A1629,Games!$A$2:$A$18,Games!$M$2:$M$18,"Missing game",0)</x:f>
        <x:v>0</x:v>
      </x:c>
      <x:c r="AS1629" t="str">
        <x:f>_xlfn.XLOOKUP($A1629,Games!$A$2:$A$18,Games!$N$2:$N$18,"Missing game",0)</x:f>
        <x:v>dome</x:v>
      </x:c>
      <x:c r="AT1629" t="str">
        <x:f>_xlfn.XLOOKUP($A1629,Games!$A$2:$A$18,Games!$O$2:$O$18,"Missing game",0)</x:f>
        <x:v>sportturf</x:v>
      </x:c>
      <x:c r="AU1629" t="str">
        <x:f>_xlfn.XLOOKUP($A1629,Games!$A$2:$A$18,Games!$P$2:$P$18,"Missing game",0)</x:f>
      </x:c>
      <x:c r="AV1629" t="str">
        <x:f>_xlfn.XLOOKUP($A1629,Games!$A$2:$A$18,Games!$Q$2:$Q$18,"Missing game",0)</x:f>
      </x:c>
      <x:c r="AW1629" t="str">
        <x:f>_xlfn.XLOOKUP($A1629,Games!$A$2:$A$18,Games!$R$2:$R$18,"Missing game",0)</x:f>
        <x:v>U.S. Bank Stadium</x:v>
      </x:c>
    </x:row>
    <x:row r="1630">
      <x:c r="A1630" t="str">
        <x:v>2025_11_CHI_MIN</x:v>
      </x:c>
      <x:c r="B1630" t="n">
        <x:v>2362</x:v>
      </x:c>
      <x:c r="C1630" t="n">
        <x:v>3</x:v>
      </x:c>
      <x:c r="D1630" t="str">
        <x:v>10:36</x:v>
      </x:c>
      <x:c r="E1630" t="n">
        <x:v>4</x:v>
      </x:c>
      <x:c r="F1630" t="n">
        <x:v>7</x:v>
      </x:c>
      <x:c r="G1630" t="str">
        <x:v>CHI</x:v>
      </x:c>
      <x:c r="H1630" t="str">
        <x:v>MIN</x:v>
      </x:c>
      <x:c r="I1630" t="str">
        <x:v>MIN</x:v>
      </x:c>
      <x:c r="J1630" t="n">
        <x:v>36</x:v>
      </x:c>
      <x:c r="K1630" t="str">
        <x:v>(10:36) 8-C.Santos 54 yard field goal is GOOD, Center-46-S.Daly, Holder-19-T.Taylor.</x:v>
      </x:c>
      <x:c r="L1630" t="str">
        <x:v>field_goal</x:v>
      </x:c>
      <x:c r="M1630" t="n">
        <x:v>0</x:v>
      </x:c>
      <x:c r="N1630" t="n">
        <x:v>0</x:v>
      </x:c>
      <x:c r="O1630" t="n">
        <x:v>0</x:v>
      </x:c>
      <x:c r="P1630"/>
      <x:c r="Q1630"/>
      <x:c r="R1630"/>
      <x:c r="S1630"/>
      <x:c r="T1630"/>
      <x:c r="U1630"/>
      <x:c r="V1630" t="n">
        <x:v>0</x:v>
      </x:c>
      <x:c r="W1630" t="n">
        <x:v>0</x:v>
      </x:c>
      <x:c r="X1630" t="n">
        <x:v>0</x:v>
      </x:c>
      <x:c r="Y1630" t="n">
        <x:v>0</x:v>
      </x:c>
      <x:c r="Z1630" t="n">
        <x:v>0</x:v>
      </x:c>
      <x:c r="AA1630" t="n">
        <x:v>0</x:v>
      </x:c>
      <x:c r="AB1630"/>
      <x:c r="AC1630" t="n">
        <x:v>0</x:v>
      </x:c>
      <x:c r="AD1630" t="n">
        <x:v>1.722652400737632</x:v>
      </x:c>
      <x:c r="AE1630" t="n">
        <x:v>1</x:v>
      </x:c>
      <x:c r="AF1630" t="n">
        <x:v>0.03538885712623596</x:v>
      </x:c>
      <x:c r="AG1630" t="n">
        <x:f>_xlfn.XLOOKUP($A1630,Games!$A$2:$A$18,Games!$B$2:$B$18,"Missing game",0)</x:f>
        <x:v>2025</x:v>
      </x:c>
      <x:c r="AH1630" t="str">
        <x:f>_xlfn.XLOOKUP($A1630,Games!$A$2:$A$18,Games!$C$2:$C$18,"Missing game",0)</x:f>
        <x:v>REG</x:v>
      </x:c>
      <x:c r="AI1630" t="n">
        <x:f>_xlfn.XLOOKUP($A1630,Games!$A$2:$A$18,Games!$D$2:$D$18,"Missing game",0)</x:f>
        <x:v>11</x:v>
      </x:c>
      <x:c r="AJ1630" s="1" t="n">
        <x:f>_xlfn.XLOOKUP($A1630,Games!$A$2:$A$18,Games!$E$2:$E$18,"Missing game",0)</x:f>
        <x:v>45977</x:v>
      </x:c>
      <x:c r="AK1630" t="str">
        <x:f>_xlfn.XLOOKUP($A1630,Games!$A$2:$A$18,Games!$F$2:$F$18,"Missing game",0)</x:f>
        <x:v>Sunday</x:v>
      </x:c>
      <x:c r="AL1630" t="str">
        <x:f>_xlfn.XLOOKUP($A1630,Games!$A$2:$A$18,Games!$G$2:$G$18,"Missing game",0)</x:f>
        <x:v>CHI</x:v>
      </x:c>
      <x:c r="AM1630" t="n">
        <x:f>_xlfn.XLOOKUP($A1630,Games!$A$2:$A$18,Games!$H$2:$H$18,"Missing game",0)</x:f>
        <x:v>19</x:v>
      </x:c>
      <x:c r="AN1630" t="str">
        <x:f>_xlfn.XLOOKUP($A1630,Games!$A$2:$A$18,Games!$I$2:$I$18,"Missing game",0)</x:f>
        <x:v>MIN</x:v>
      </x:c>
      <x:c r="AO1630" t="n">
        <x:f>_xlfn.XLOOKUP($A1630,Games!$A$2:$A$18,Games!$J$2:$J$18,"Missing game",0)</x:f>
        <x:v>17</x:v>
      </x:c>
      <x:c r="AP1630" t="n">
        <x:f>_xlfn.XLOOKUP($A1630,Games!$A$2:$A$18,Games!$K$2:$K$18,"Missing game",0)</x:f>
        <x:v>-2</x:v>
      </x:c>
      <x:c r="AQ1630" t="n">
        <x:f>_xlfn.XLOOKUP($A1630,Games!$A$2:$A$18,Games!$L$2:$L$18,"Missing game",0)</x:f>
        <x:v>36</x:v>
      </x:c>
      <x:c r="AR1630" t="n">
        <x:f>_xlfn.XLOOKUP($A1630,Games!$A$2:$A$18,Games!$M$2:$M$18,"Missing game",0)</x:f>
        <x:v>0</x:v>
      </x:c>
      <x:c r="AS1630" t="str">
        <x:f>_xlfn.XLOOKUP($A1630,Games!$A$2:$A$18,Games!$N$2:$N$18,"Missing game",0)</x:f>
        <x:v>dome</x:v>
      </x:c>
      <x:c r="AT1630" t="str">
        <x:f>_xlfn.XLOOKUP($A1630,Games!$A$2:$A$18,Games!$O$2:$O$18,"Missing game",0)</x:f>
        <x:v>sportturf</x:v>
      </x:c>
      <x:c r="AU1630" t="str">
        <x:f>_xlfn.XLOOKUP($A1630,Games!$A$2:$A$18,Games!$P$2:$P$18,"Missing game",0)</x:f>
      </x:c>
      <x:c r="AV1630" t="str">
        <x:f>_xlfn.XLOOKUP($A1630,Games!$A$2:$A$18,Games!$Q$2:$Q$18,"Missing game",0)</x:f>
      </x:c>
      <x:c r="AW1630" t="str">
        <x:f>_xlfn.XLOOKUP($A1630,Games!$A$2:$A$18,Games!$R$2:$R$18,"Missing game",0)</x:f>
        <x:v>U.S. Bank Stadium</x:v>
      </x:c>
    </x:row>
    <x:row r="1631">
      <x:c r="A1631" t="str">
        <x:v>2025_11_CHI_MIN</x:v>
      </x:c>
      <x:c r="B1631" t="n">
        <x:v>2382</x:v>
      </x:c>
      <x:c r="C1631" t="n">
        <x:v>3</x:v>
      </x:c>
      <x:c r="D1631" t="str">
        <x:v>10:31</x:v>
      </x:c>
      <x:c r="E1631"/>
      <x:c r="F1631" t="n">
        <x:v>0</x:v>
      </x:c>
      <x:c r="G1631" t="str">
        <x:v>MIN</x:v>
      </x:c>
      <x:c r="H1631" t="str">
        <x:v>CHI</x:v>
      </x:c>
      <x:c r="I1631" t="str">
        <x:v>CHI</x:v>
      </x:c>
      <x:c r="J1631" t="n">
        <x:v>35</x:v>
      </x:c>
      <x:c r="K1631" t="str">
        <x:v>8-C.Santos kicks 61 yards from CHI 35 to MIN 4. 4-M.Price to MIN 40 for 36 yards (36-J.Owens; 23-R.Johnson). PENALTY on MIN-24-J.Ward, Offensive Holding, 10 yards, enforced at MIN 30.</x:v>
      </x:c>
      <x:c r="L1631" t="str">
        <x:v>kickoff</x:v>
      </x:c>
      <x:c r="M1631" t="n">
        <x:v>0</x:v>
      </x:c>
      <x:c r="N1631" t="n">
        <x:v>0</x:v>
      </x:c>
      <x:c r="O1631" t="n">
        <x:v>0</x:v>
      </x:c>
      <x:c r="P1631"/>
      <x:c r="Q1631"/>
      <x:c r="R1631"/>
      <x:c r="S1631"/>
      <x:c r="T1631"/>
      <x:c r="U1631"/>
      <x:c r="V1631" t="n">
        <x:v>0</x:v>
      </x:c>
      <x:c r="W1631" t="n">
        <x:v>0</x:v>
      </x:c>
      <x:c r="X1631" t="n">
        <x:v>0</x:v>
      </x:c>
      <x:c r="Y1631" t="n">
        <x:v>0</x:v>
      </x:c>
      <x:c r="Z1631" t="n">
        <x:v>0</x:v>
      </x:c>
      <x:c r="AA1631" t="n">
        <x:v>1</x:v>
      </x:c>
      <x:c r="AB1631" t="n">
        <x:v>10</x:v>
      </x:c>
      <x:c r="AC1631" t="n">
        <x:v>0</x:v>
      </x:c>
      <x:c r="AD1631" t="n">
        <x:v>-0.418761711101979</x:v>
      </x:c>
      <x:c r="AE1631" t="n">
        <x:v>0</x:v>
      </x:c>
      <x:c r="AF1631" t="n">
        <x:v>-0.003098726272583008</x:v>
      </x:c>
      <x:c r="AG1631" t="n">
        <x:f>_xlfn.XLOOKUP($A1631,Games!$A$2:$A$18,Games!$B$2:$B$18,"Missing game",0)</x:f>
        <x:v>2025</x:v>
      </x:c>
      <x:c r="AH1631" t="str">
        <x:f>_xlfn.XLOOKUP($A1631,Games!$A$2:$A$18,Games!$C$2:$C$18,"Missing game",0)</x:f>
        <x:v>REG</x:v>
      </x:c>
      <x:c r="AI1631" t="n">
        <x:f>_xlfn.XLOOKUP($A1631,Games!$A$2:$A$18,Games!$D$2:$D$18,"Missing game",0)</x:f>
        <x:v>11</x:v>
      </x:c>
      <x:c r="AJ1631" s="1" t="n">
        <x:f>_xlfn.XLOOKUP($A1631,Games!$A$2:$A$18,Games!$E$2:$E$18,"Missing game",0)</x:f>
        <x:v>45977</x:v>
      </x:c>
      <x:c r="AK1631" t="str">
        <x:f>_xlfn.XLOOKUP($A1631,Games!$A$2:$A$18,Games!$F$2:$F$18,"Missing game",0)</x:f>
        <x:v>Sunday</x:v>
      </x:c>
      <x:c r="AL1631" t="str">
        <x:f>_xlfn.XLOOKUP($A1631,Games!$A$2:$A$18,Games!$G$2:$G$18,"Missing game",0)</x:f>
        <x:v>CHI</x:v>
      </x:c>
      <x:c r="AM1631" t="n">
        <x:f>_xlfn.XLOOKUP($A1631,Games!$A$2:$A$18,Games!$H$2:$H$18,"Missing game",0)</x:f>
        <x:v>19</x:v>
      </x:c>
      <x:c r="AN1631" t="str">
        <x:f>_xlfn.XLOOKUP($A1631,Games!$A$2:$A$18,Games!$I$2:$I$18,"Missing game",0)</x:f>
        <x:v>MIN</x:v>
      </x:c>
      <x:c r="AO1631" t="n">
        <x:f>_xlfn.XLOOKUP($A1631,Games!$A$2:$A$18,Games!$J$2:$J$18,"Missing game",0)</x:f>
        <x:v>17</x:v>
      </x:c>
      <x:c r="AP1631" t="n">
        <x:f>_xlfn.XLOOKUP($A1631,Games!$A$2:$A$18,Games!$K$2:$K$18,"Missing game",0)</x:f>
        <x:v>-2</x:v>
      </x:c>
      <x:c r="AQ1631" t="n">
        <x:f>_xlfn.XLOOKUP($A1631,Games!$A$2:$A$18,Games!$L$2:$L$18,"Missing game",0)</x:f>
        <x:v>36</x:v>
      </x:c>
      <x:c r="AR1631" t="n">
        <x:f>_xlfn.XLOOKUP($A1631,Games!$A$2:$A$18,Games!$M$2:$M$18,"Missing game",0)</x:f>
        <x:v>0</x:v>
      </x:c>
      <x:c r="AS1631" t="str">
        <x:f>_xlfn.XLOOKUP($A1631,Games!$A$2:$A$18,Games!$N$2:$N$18,"Missing game",0)</x:f>
        <x:v>dome</x:v>
      </x:c>
      <x:c r="AT1631" t="str">
        <x:f>_xlfn.XLOOKUP($A1631,Games!$A$2:$A$18,Games!$O$2:$O$18,"Missing game",0)</x:f>
        <x:v>sportturf</x:v>
      </x:c>
      <x:c r="AU1631" t="str">
        <x:f>_xlfn.XLOOKUP($A1631,Games!$A$2:$A$18,Games!$P$2:$P$18,"Missing game",0)</x:f>
      </x:c>
      <x:c r="AV1631" t="str">
        <x:f>_xlfn.XLOOKUP($A1631,Games!$A$2:$A$18,Games!$Q$2:$Q$18,"Missing game",0)</x:f>
      </x:c>
      <x:c r="AW1631" t="str">
        <x:f>_xlfn.XLOOKUP($A1631,Games!$A$2:$A$18,Games!$R$2:$R$18,"Missing game",0)</x:f>
        <x:v>U.S. Bank Stadium</x:v>
      </x:c>
    </x:row>
    <x:row r="1632">
      <x:c r="A1632" t="str">
        <x:v>2025_11_CHI_MIN</x:v>
      </x:c>
      <x:c r="B1632" t="n">
        <x:v>2423</x:v>
      </x:c>
      <x:c r="C1632" t="n">
        <x:v>3</x:v>
      </x:c>
      <x:c r="D1632" t="str">
        <x:v>10:25</x:v>
      </x:c>
      <x:c r="E1632" t="n">
        <x:v>1</x:v>
      </x:c>
      <x:c r="F1632" t="n">
        <x:v>10</x:v>
      </x:c>
      <x:c r="G1632" t="str">
        <x:v>MIN</x:v>
      </x:c>
      <x:c r="H1632" t="str">
        <x:v>CHI</x:v>
      </x:c>
      <x:c r="I1632" t="str">
        <x:v>MIN</x:v>
      </x:c>
      <x:c r="J1632" t="n">
        <x:v>80</x:v>
      </x:c>
      <x:c r="K1632" t="str">
        <x:v>(10:25) 33-A.Jones left tackle to MIN 24 for 4 yards (49-T.Edmunds; 98-M.Sweat).</x:v>
      </x:c>
      <x:c r="L1632" t="str">
        <x:v>run</x:v>
      </x:c>
      <x:c r="M1632" t="n">
        <x:v>4</x:v>
      </x:c>
      <x:c r="N1632" t="n">
        <x:v>0</x:v>
      </x:c>
      <x:c r="O1632" t="n">
        <x:v>0</x:v>
      </x:c>
      <x:c r="P1632"/>
      <x:c r="Q1632"/>
      <x:c r="R1632"/>
      <x:c r="S1632"/>
      <x:c r="T1632" t="str">
        <x:v>left</x:v>
      </x:c>
      <x:c r="U1632" t="str">
        <x:v>tackle</x:v>
      </x:c>
      <x:c r="V1632" t="n">
        <x:v>0</x:v>
      </x:c>
      <x:c r="W1632" t="n">
        <x:v>0</x:v>
      </x:c>
      <x:c r="X1632" t="n">
        <x:v>0</x:v>
      </x:c>
      <x:c r="Y1632" t="n">
        <x:v>0</x:v>
      </x:c>
      <x:c r="Z1632" t="n">
        <x:v>0</x:v>
      </x:c>
      <x:c r="AA1632" t="n">
        <x:v>0</x:v>
      </x:c>
      <x:c r="AB1632"/>
      <x:c r="AC1632" t="n">
        <x:v>0</x:v>
      </x:c>
      <x:c r="AD1632" t="n">
        <x:v>-0.3520648358389735</x:v>
      </x:c>
      <x:c r="AE1632" t="n">
        <x:v>0</x:v>
      </x:c>
      <x:c r="AF1632" t="n">
        <x:v>-0.023279041051864624</x:v>
      </x:c>
      <x:c r="AG1632" t="n">
        <x:f>_xlfn.XLOOKUP($A1632,Games!$A$2:$A$18,Games!$B$2:$B$18,"Missing game",0)</x:f>
        <x:v>2025</x:v>
      </x:c>
      <x:c r="AH1632" t="str">
        <x:f>_xlfn.XLOOKUP($A1632,Games!$A$2:$A$18,Games!$C$2:$C$18,"Missing game",0)</x:f>
        <x:v>REG</x:v>
      </x:c>
      <x:c r="AI1632" t="n">
        <x:f>_xlfn.XLOOKUP($A1632,Games!$A$2:$A$18,Games!$D$2:$D$18,"Missing game",0)</x:f>
        <x:v>11</x:v>
      </x:c>
      <x:c r="AJ1632" s="1" t="n">
        <x:f>_xlfn.XLOOKUP($A1632,Games!$A$2:$A$18,Games!$E$2:$E$18,"Missing game",0)</x:f>
        <x:v>45977</x:v>
      </x:c>
      <x:c r="AK1632" t="str">
        <x:f>_xlfn.XLOOKUP($A1632,Games!$A$2:$A$18,Games!$F$2:$F$18,"Missing game",0)</x:f>
        <x:v>Sunday</x:v>
      </x:c>
      <x:c r="AL1632" t="str">
        <x:f>_xlfn.XLOOKUP($A1632,Games!$A$2:$A$18,Games!$G$2:$G$18,"Missing game",0)</x:f>
        <x:v>CHI</x:v>
      </x:c>
      <x:c r="AM1632" t="n">
        <x:f>_xlfn.XLOOKUP($A1632,Games!$A$2:$A$18,Games!$H$2:$H$18,"Missing game",0)</x:f>
        <x:v>19</x:v>
      </x:c>
      <x:c r="AN1632" t="str">
        <x:f>_xlfn.XLOOKUP($A1632,Games!$A$2:$A$18,Games!$I$2:$I$18,"Missing game",0)</x:f>
        <x:v>MIN</x:v>
      </x:c>
      <x:c r="AO1632" t="n">
        <x:f>_xlfn.XLOOKUP($A1632,Games!$A$2:$A$18,Games!$J$2:$J$18,"Missing game",0)</x:f>
        <x:v>17</x:v>
      </x:c>
      <x:c r="AP1632" t="n">
        <x:f>_xlfn.XLOOKUP($A1632,Games!$A$2:$A$18,Games!$K$2:$K$18,"Missing game",0)</x:f>
        <x:v>-2</x:v>
      </x:c>
      <x:c r="AQ1632" t="n">
        <x:f>_xlfn.XLOOKUP($A1632,Games!$A$2:$A$18,Games!$L$2:$L$18,"Missing game",0)</x:f>
        <x:v>36</x:v>
      </x:c>
      <x:c r="AR1632" t="n">
        <x:f>_xlfn.XLOOKUP($A1632,Games!$A$2:$A$18,Games!$M$2:$M$18,"Missing game",0)</x:f>
        <x:v>0</x:v>
      </x:c>
      <x:c r="AS1632" t="str">
        <x:f>_xlfn.XLOOKUP($A1632,Games!$A$2:$A$18,Games!$N$2:$N$18,"Missing game",0)</x:f>
        <x:v>dome</x:v>
      </x:c>
      <x:c r="AT1632" t="str">
        <x:f>_xlfn.XLOOKUP($A1632,Games!$A$2:$A$18,Games!$O$2:$O$18,"Missing game",0)</x:f>
        <x:v>sportturf</x:v>
      </x:c>
      <x:c r="AU1632" t="str">
        <x:f>_xlfn.XLOOKUP($A1632,Games!$A$2:$A$18,Games!$P$2:$P$18,"Missing game",0)</x:f>
      </x:c>
      <x:c r="AV1632" t="str">
        <x:f>_xlfn.XLOOKUP($A1632,Games!$A$2:$A$18,Games!$Q$2:$Q$18,"Missing game",0)</x:f>
      </x:c>
      <x:c r="AW1632" t="str">
        <x:f>_xlfn.XLOOKUP($A1632,Games!$A$2:$A$18,Games!$R$2:$R$18,"Missing game",0)</x:f>
        <x:v>U.S. Bank Stadium</x:v>
      </x:c>
    </x:row>
    <x:row r="1633">
      <x:c r="A1633" t="str">
        <x:v>2025_11_CHI_MIN</x:v>
      </x:c>
      <x:c r="B1633" t="n">
        <x:v>2445</x:v>
      </x:c>
      <x:c r="C1633" t="n">
        <x:v>3</x:v>
      </x:c>
      <x:c r="D1633" t="str">
        <x:v>09:50</x:v>
      </x:c>
      <x:c r="E1633" t="n">
        <x:v>2</x:v>
      </x:c>
      <x:c r="F1633" t="n">
        <x:v>6</x:v>
      </x:c>
      <x:c r="G1633" t="str">
        <x:v>MIN</x:v>
      </x:c>
      <x:c r="H1633" t="str">
        <x:v>CHI</x:v>
      </x:c>
      <x:c r="I1633" t="str">
        <x:v>MIN</x:v>
      </x:c>
      <x:c r="J1633" t="n">
        <x:v>76</x:v>
      </x:c>
      <x:c r="K1633" t="str">
        <x:v>(9:50) 33-A.Jones right guard to MIN 30 for 6 yards (97-A.Billings).</x:v>
      </x:c>
      <x:c r="L1633" t="str">
        <x:v>run</x:v>
      </x:c>
      <x:c r="M1633" t="n">
        <x:v>6</x:v>
      </x:c>
      <x:c r="N1633" t="n">
        <x:v>0</x:v>
      </x:c>
      <x:c r="O1633" t="n">
        <x:v>0</x:v>
      </x:c>
      <x:c r="P1633"/>
      <x:c r="Q1633"/>
      <x:c r="R1633"/>
      <x:c r="S1633"/>
      <x:c r="T1633" t="str">
        <x:v>right</x:v>
      </x:c>
      <x:c r="U1633" t="str">
        <x:v>guard</x:v>
      </x:c>
      <x:c r="V1633" t="n">
        <x:v>0</x:v>
      </x:c>
      <x:c r="W1633" t="n">
        <x:v>1</x:v>
      </x:c>
      <x:c r="X1633" t="n">
        <x:v>0</x:v>
      </x:c>
      <x:c r="Y1633" t="n">
        <x:v>0</x:v>
      </x:c>
      <x:c r="Z1633" t="n">
        <x:v>0</x:v>
      </x:c>
      <x:c r="AA1633" t="n">
        <x:v>0</x:v>
      </x:c>
      <x:c r="AB1633"/>
      <x:c r="AC1633" t="n">
        <x:v>0</x:v>
      </x:c>
      <x:c r="AD1633" t="n">
        <x:v>1.0545997866429389</x:v>
      </x:c>
      <x:c r="AE1633" t="n">
        <x:v>1</x:v>
      </x:c>
      <x:c r="AF1633" t="n">
        <x:v>0.016133278608322144</x:v>
      </x:c>
      <x:c r="AG1633" t="n">
        <x:f>_xlfn.XLOOKUP($A1633,Games!$A$2:$A$18,Games!$B$2:$B$18,"Missing game",0)</x:f>
        <x:v>2025</x:v>
      </x:c>
      <x:c r="AH1633" t="str">
        <x:f>_xlfn.XLOOKUP($A1633,Games!$A$2:$A$18,Games!$C$2:$C$18,"Missing game",0)</x:f>
        <x:v>REG</x:v>
      </x:c>
      <x:c r="AI1633" t="n">
        <x:f>_xlfn.XLOOKUP($A1633,Games!$A$2:$A$18,Games!$D$2:$D$18,"Missing game",0)</x:f>
        <x:v>11</x:v>
      </x:c>
      <x:c r="AJ1633" s="1" t="n">
        <x:f>_xlfn.XLOOKUP($A1633,Games!$A$2:$A$18,Games!$E$2:$E$18,"Missing game",0)</x:f>
        <x:v>45977</x:v>
      </x:c>
      <x:c r="AK1633" t="str">
        <x:f>_xlfn.XLOOKUP($A1633,Games!$A$2:$A$18,Games!$F$2:$F$18,"Missing game",0)</x:f>
        <x:v>Sunday</x:v>
      </x:c>
      <x:c r="AL1633" t="str">
        <x:f>_xlfn.XLOOKUP($A1633,Games!$A$2:$A$18,Games!$G$2:$G$18,"Missing game",0)</x:f>
        <x:v>CHI</x:v>
      </x:c>
      <x:c r="AM1633" t="n">
        <x:f>_xlfn.XLOOKUP($A1633,Games!$A$2:$A$18,Games!$H$2:$H$18,"Missing game",0)</x:f>
        <x:v>19</x:v>
      </x:c>
      <x:c r="AN1633" t="str">
        <x:f>_xlfn.XLOOKUP($A1633,Games!$A$2:$A$18,Games!$I$2:$I$18,"Missing game",0)</x:f>
        <x:v>MIN</x:v>
      </x:c>
      <x:c r="AO1633" t="n">
        <x:f>_xlfn.XLOOKUP($A1633,Games!$A$2:$A$18,Games!$J$2:$J$18,"Missing game",0)</x:f>
        <x:v>17</x:v>
      </x:c>
      <x:c r="AP1633" t="n">
        <x:f>_xlfn.XLOOKUP($A1633,Games!$A$2:$A$18,Games!$K$2:$K$18,"Missing game",0)</x:f>
        <x:v>-2</x:v>
      </x:c>
      <x:c r="AQ1633" t="n">
        <x:f>_xlfn.XLOOKUP($A1633,Games!$A$2:$A$18,Games!$L$2:$L$18,"Missing game",0)</x:f>
        <x:v>36</x:v>
      </x:c>
      <x:c r="AR1633" t="n">
        <x:f>_xlfn.XLOOKUP($A1633,Games!$A$2:$A$18,Games!$M$2:$M$18,"Missing game",0)</x:f>
        <x:v>0</x:v>
      </x:c>
      <x:c r="AS1633" t="str">
        <x:f>_xlfn.XLOOKUP($A1633,Games!$A$2:$A$18,Games!$N$2:$N$18,"Missing game",0)</x:f>
        <x:v>dome</x:v>
      </x:c>
      <x:c r="AT1633" t="str">
        <x:f>_xlfn.XLOOKUP($A1633,Games!$A$2:$A$18,Games!$O$2:$O$18,"Missing game",0)</x:f>
        <x:v>sportturf</x:v>
      </x:c>
      <x:c r="AU1633" t="str">
        <x:f>_xlfn.XLOOKUP($A1633,Games!$A$2:$A$18,Games!$P$2:$P$18,"Missing game",0)</x:f>
      </x:c>
      <x:c r="AV1633" t="str">
        <x:f>_xlfn.XLOOKUP($A1633,Games!$A$2:$A$18,Games!$Q$2:$Q$18,"Missing game",0)</x:f>
      </x:c>
      <x:c r="AW1633" t="str">
        <x:f>_xlfn.XLOOKUP($A1633,Games!$A$2:$A$18,Games!$R$2:$R$18,"Missing game",0)</x:f>
        <x:v>U.S. Bank Stadium</x:v>
      </x:c>
    </x:row>
    <x:row r="1634">
      <x:c r="A1634" t="str">
        <x:v>2025_11_CHI_MIN</x:v>
      </x:c>
      <x:c r="B1634" t="n">
        <x:v>2467</x:v>
      </x:c>
      <x:c r="C1634" t="n">
        <x:v>3</x:v>
      </x:c>
      <x:c r="D1634" t="str">
        <x:v>09:06</x:v>
      </x:c>
      <x:c r="E1634" t="n">
        <x:v>1</x:v>
      </x:c>
      <x:c r="F1634" t="n">
        <x:v>10</x:v>
      </x:c>
      <x:c r="G1634" t="str">
        <x:v>MIN</x:v>
      </x:c>
      <x:c r="H1634" t="str">
        <x:v>CHI</x:v>
      </x:c>
      <x:c r="I1634" t="str">
        <x:v>MIN</x:v>
      </x:c>
      <x:c r="J1634" t="n">
        <x:v>70</x:v>
      </x:c>
      <x:c r="K1634" t="str">
        <x:v>(9:06) 33-A.Jones left guard to MIN 36 for 6 yards (31-K.Byard).</x:v>
      </x:c>
      <x:c r="L1634" t="str">
        <x:v>run</x:v>
      </x:c>
      <x:c r="M1634" t="n">
        <x:v>6</x:v>
      </x:c>
      <x:c r="N1634" t="n">
        <x:v>0</x:v>
      </x:c>
      <x:c r="O1634" t="n">
        <x:v>0</x:v>
      </x:c>
      <x:c r="P1634"/>
      <x:c r="Q1634"/>
      <x:c r="R1634"/>
      <x:c r="S1634"/>
      <x:c r="T1634" t="str">
        <x:v>left</x:v>
      </x:c>
      <x:c r="U1634" t="str">
        <x:v>guard</x:v>
      </x:c>
      <x:c r="V1634" t="n">
        <x:v>0</x:v>
      </x:c>
      <x:c r="W1634" t="n">
        <x:v>0</x:v>
      </x:c>
      <x:c r="X1634" t="n">
        <x:v>0</x:v>
      </x:c>
      <x:c r="Y1634" t="n">
        <x:v>0</x:v>
      </x:c>
      <x:c r="Z1634" t="n">
        <x:v>0</x:v>
      </x:c>
      <x:c r="AA1634" t="n">
        <x:v>0</x:v>
      </x:c>
      <x:c r="AB1634"/>
      <x:c r="AC1634" t="n">
        <x:v>0</x:v>
      </x:c>
      <x:c r="AD1634" t="n">
        <x:v>0.22691689431667328</x:v>
      </x:c>
      <x:c r="AE1634" t="n">
        <x:v>1</x:v>
      </x:c>
      <x:c r="AF1634" t="n">
        <x:v>0.003247499465942383</x:v>
      </x:c>
      <x:c r="AG1634" t="n">
        <x:f>_xlfn.XLOOKUP($A1634,Games!$A$2:$A$18,Games!$B$2:$B$18,"Missing game",0)</x:f>
        <x:v>2025</x:v>
      </x:c>
      <x:c r="AH1634" t="str">
        <x:f>_xlfn.XLOOKUP($A1634,Games!$A$2:$A$18,Games!$C$2:$C$18,"Missing game",0)</x:f>
        <x:v>REG</x:v>
      </x:c>
      <x:c r="AI1634" t="n">
        <x:f>_xlfn.XLOOKUP($A1634,Games!$A$2:$A$18,Games!$D$2:$D$18,"Missing game",0)</x:f>
        <x:v>11</x:v>
      </x:c>
      <x:c r="AJ1634" s="1" t="n">
        <x:f>_xlfn.XLOOKUP($A1634,Games!$A$2:$A$18,Games!$E$2:$E$18,"Missing game",0)</x:f>
        <x:v>45977</x:v>
      </x:c>
      <x:c r="AK1634" t="str">
        <x:f>_xlfn.XLOOKUP($A1634,Games!$A$2:$A$18,Games!$F$2:$F$18,"Missing game",0)</x:f>
        <x:v>Sunday</x:v>
      </x:c>
      <x:c r="AL1634" t="str">
        <x:f>_xlfn.XLOOKUP($A1634,Games!$A$2:$A$18,Games!$G$2:$G$18,"Missing game",0)</x:f>
        <x:v>CHI</x:v>
      </x:c>
      <x:c r="AM1634" t="n">
        <x:f>_xlfn.XLOOKUP($A1634,Games!$A$2:$A$18,Games!$H$2:$H$18,"Missing game",0)</x:f>
        <x:v>19</x:v>
      </x:c>
      <x:c r="AN1634" t="str">
        <x:f>_xlfn.XLOOKUP($A1634,Games!$A$2:$A$18,Games!$I$2:$I$18,"Missing game",0)</x:f>
        <x:v>MIN</x:v>
      </x:c>
      <x:c r="AO1634" t="n">
        <x:f>_xlfn.XLOOKUP($A1634,Games!$A$2:$A$18,Games!$J$2:$J$18,"Missing game",0)</x:f>
        <x:v>17</x:v>
      </x:c>
      <x:c r="AP1634" t="n">
        <x:f>_xlfn.XLOOKUP($A1634,Games!$A$2:$A$18,Games!$K$2:$K$18,"Missing game",0)</x:f>
        <x:v>-2</x:v>
      </x:c>
      <x:c r="AQ1634" t="n">
        <x:f>_xlfn.XLOOKUP($A1634,Games!$A$2:$A$18,Games!$L$2:$L$18,"Missing game",0)</x:f>
        <x:v>36</x:v>
      </x:c>
      <x:c r="AR1634" t="n">
        <x:f>_xlfn.XLOOKUP($A1634,Games!$A$2:$A$18,Games!$M$2:$M$18,"Missing game",0)</x:f>
        <x:v>0</x:v>
      </x:c>
      <x:c r="AS1634" t="str">
        <x:f>_xlfn.XLOOKUP($A1634,Games!$A$2:$A$18,Games!$N$2:$N$18,"Missing game",0)</x:f>
        <x:v>dome</x:v>
      </x:c>
      <x:c r="AT1634" t="str">
        <x:f>_xlfn.XLOOKUP($A1634,Games!$A$2:$A$18,Games!$O$2:$O$18,"Missing game",0)</x:f>
        <x:v>sportturf</x:v>
      </x:c>
      <x:c r="AU1634" t="str">
        <x:f>_xlfn.XLOOKUP($A1634,Games!$A$2:$A$18,Games!$P$2:$P$18,"Missing game",0)</x:f>
      </x:c>
      <x:c r="AV1634" t="str">
        <x:f>_xlfn.XLOOKUP($A1634,Games!$A$2:$A$18,Games!$Q$2:$Q$18,"Missing game",0)</x:f>
      </x:c>
      <x:c r="AW1634" t="str">
        <x:f>_xlfn.XLOOKUP($A1634,Games!$A$2:$A$18,Games!$R$2:$R$18,"Missing game",0)</x:f>
        <x:v>U.S. Bank Stadium</x:v>
      </x:c>
    </x:row>
    <x:row r="1635">
      <x:c r="A1635" t="str">
        <x:v>2025_11_CHI_MIN</x:v>
      </x:c>
      <x:c r="B1635" t="n">
        <x:v>2489</x:v>
      </x:c>
      <x:c r="C1635" t="n">
        <x:v>3</x:v>
      </x:c>
      <x:c r="D1635" t="str">
        <x:v>08:28</x:v>
      </x:c>
      <x:c r="E1635" t="n">
        <x:v>2</x:v>
      </x:c>
      <x:c r="F1635" t="n">
        <x:v>4</x:v>
      </x:c>
      <x:c r="G1635" t="str">
        <x:v>MIN</x:v>
      </x:c>
      <x:c r="H1635" t="str">
        <x:v>CHI</x:v>
      </x:c>
      <x:c r="I1635" t="str">
        <x:v>MIN</x:v>
      </x:c>
      <x:c r="J1635" t="n">
        <x:v>64</x:v>
      </x:c>
      <x:c r="K1635" t="str">
        <x:v>(8:28) 33-A.Jones right end pushed ob at MIN 38 for 2 yards (29-T.Stevenson).</x:v>
      </x:c>
      <x:c r="L1635" t="str">
        <x:v>run</x:v>
      </x:c>
      <x:c r="M1635" t="n">
        <x:v>2</x:v>
      </x:c>
      <x:c r="N1635" t="n">
        <x:v>0</x:v>
      </x:c>
      <x:c r="O1635" t="n">
        <x:v>0</x:v>
      </x:c>
      <x:c r="P1635"/>
      <x:c r="Q1635"/>
      <x:c r="R1635"/>
      <x:c r="S1635"/>
      <x:c r="T1635" t="str">
        <x:v>right</x:v>
      </x:c>
      <x:c r="U1635" t="str">
        <x:v>end</x:v>
      </x:c>
      <x:c r="V1635" t="n">
        <x:v>0</x:v>
      </x:c>
      <x:c r="W1635" t="n">
        <x:v>0</x:v>
      </x:c>
      <x:c r="X1635" t="n">
        <x:v>0</x:v>
      </x:c>
      <x:c r="Y1635" t="n">
        <x:v>0</x:v>
      </x:c>
      <x:c r="Z1635" t="n">
        <x:v>0</x:v>
      </x:c>
      <x:c r="AA1635" t="n">
        <x:v>0</x:v>
      </x:c>
      <x:c r="AB1635"/>
      <x:c r="AC1635" t="n">
        <x:v>0</x:v>
      </x:c>
      <x:c r="AD1635" t="n">
        <x:v>-0.5179058574140072</x:v>
      </x:c>
      <x:c r="AE1635" t="n">
        <x:v>0</x:v>
      </x:c>
      <x:c r="AF1635" t="n">
        <x:v>-0.006043851375579834</x:v>
      </x:c>
      <x:c r="AG1635" t="n">
        <x:f>_xlfn.XLOOKUP($A1635,Games!$A$2:$A$18,Games!$B$2:$B$18,"Missing game",0)</x:f>
        <x:v>2025</x:v>
      </x:c>
      <x:c r="AH1635" t="str">
        <x:f>_xlfn.XLOOKUP($A1635,Games!$A$2:$A$18,Games!$C$2:$C$18,"Missing game",0)</x:f>
        <x:v>REG</x:v>
      </x:c>
      <x:c r="AI1635" t="n">
        <x:f>_xlfn.XLOOKUP($A1635,Games!$A$2:$A$18,Games!$D$2:$D$18,"Missing game",0)</x:f>
        <x:v>11</x:v>
      </x:c>
      <x:c r="AJ1635" s="1" t="n">
        <x:f>_xlfn.XLOOKUP($A1635,Games!$A$2:$A$18,Games!$E$2:$E$18,"Missing game",0)</x:f>
        <x:v>45977</x:v>
      </x:c>
      <x:c r="AK1635" t="str">
        <x:f>_xlfn.XLOOKUP($A1635,Games!$A$2:$A$18,Games!$F$2:$F$18,"Missing game",0)</x:f>
        <x:v>Sunday</x:v>
      </x:c>
      <x:c r="AL1635" t="str">
        <x:f>_xlfn.XLOOKUP($A1635,Games!$A$2:$A$18,Games!$G$2:$G$18,"Missing game",0)</x:f>
        <x:v>CHI</x:v>
      </x:c>
      <x:c r="AM1635" t="n">
        <x:f>_xlfn.XLOOKUP($A1635,Games!$A$2:$A$18,Games!$H$2:$H$18,"Missing game",0)</x:f>
        <x:v>19</x:v>
      </x:c>
      <x:c r="AN1635" t="str">
        <x:f>_xlfn.XLOOKUP($A1635,Games!$A$2:$A$18,Games!$I$2:$I$18,"Missing game",0)</x:f>
        <x:v>MIN</x:v>
      </x:c>
      <x:c r="AO1635" t="n">
        <x:f>_xlfn.XLOOKUP($A1635,Games!$A$2:$A$18,Games!$J$2:$J$18,"Missing game",0)</x:f>
        <x:v>17</x:v>
      </x:c>
      <x:c r="AP1635" t="n">
        <x:f>_xlfn.XLOOKUP($A1635,Games!$A$2:$A$18,Games!$K$2:$K$18,"Missing game",0)</x:f>
        <x:v>-2</x:v>
      </x:c>
      <x:c r="AQ1635" t="n">
        <x:f>_xlfn.XLOOKUP($A1635,Games!$A$2:$A$18,Games!$L$2:$L$18,"Missing game",0)</x:f>
        <x:v>36</x:v>
      </x:c>
      <x:c r="AR1635" t="n">
        <x:f>_xlfn.XLOOKUP($A1635,Games!$A$2:$A$18,Games!$M$2:$M$18,"Missing game",0)</x:f>
        <x:v>0</x:v>
      </x:c>
      <x:c r="AS1635" t="str">
        <x:f>_xlfn.XLOOKUP($A1635,Games!$A$2:$A$18,Games!$N$2:$N$18,"Missing game",0)</x:f>
        <x:v>dome</x:v>
      </x:c>
      <x:c r="AT1635" t="str">
        <x:f>_xlfn.XLOOKUP($A1635,Games!$A$2:$A$18,Games!$O$2:$O$18,"Missing game",0)</x:f>
        <x:v>sportturf</x:v>
      </x:c>
      <x:c r="AU1635" t="str">
        <x:f>_xlfn.XLOOKUP($A1635,Games!$A$2:$A$18,Games!$P$2:$P$18,"Missing game",0)</x:f>
      </x:c>
      <x:c r="AV1635" t="str">
        <x:f>_xlfn.XLOOKUP($A1635,Games!$A$2:$A$18,Games!$Q$2:$Q$18,"Missing game",0)</x:f>
      </x:c>
      <x:c r="AW1635" t="str">
        <x:f>_xlfn.XLOOKUP($A1635,Games!$A$2:$A$18,Games!$R$2:$R$18,"Missing game",0)</x:f>
        <x:v>U.S. Bank Stadium</x:v>
      </x:c>
    </x:row>
    <x:row r="1636">
      <x:c r="A1636" t="str">
        <x:v>2025_11_CHI_MIN</x:v>
      </x:c>
      <x:c r="B1636" t="n">
        <x:v>2521</x:v>
      </x:c>
      <x:c r="C1636" t="n">
        <x:v>3</x:v>
      </x:c>
      <x:c r="D1636" t="str">
        <x:v>07:55</x:v>
      </x:c>
      <x:c r="E1636" t="n">
        <x:v>3</x:v>
      </x:c>
      <x:c r="F1636" t="n">
        <x:v>2</x:v>
      </x:c>
      <x:c r="G1636" t="str">
        <x:v>MIN</x:v>
      </x:c>
      <x:c r="H1636" t="str">
        <x:v>CHI</x:v>
      </x:c>
      <x:c r="I1636" t="str">
        <x:v>MIN</x:v>
      </x:c>
      <x:c r="J1636" t="n">
        <x:v>62</x:v>
      </x:c>
      <x:c r="K1636" t="str">
        <x:v>(7:55) (Shotgun) PENALTY on MIN-71-C.Darrisaw, False Start, 5 yards, enforced at MIN 38 - No Play.</x:v>
      </x:c>
      <x:c r="L1636" t="str">
        <x:v>no_play</x:v>
      </x:c>
      <x:c r="M1636" t="n">
        <x:v>0</x:v>
      </x:c>
      <x:c r="N1636" t="n">
        <x:v>1</x:v>
      </x:c>
      <x:c r="O1636" t="n">
        <x:v>0</x:v>
      </x:c>
      <x:c r="P1636"/>
      <x:c r="Q1636"/>
      <x:c r="R1636"/>
      <x:c r="S1636"/>
      <x:c r="T1636"/>
      <x:c r="U1636"/>
      <x:c r="V1636" t="n">
        <x:v>0</x:v>
      </x:c>
      <x:c r="W1636" t="n">
        <x:v>0</x:v>
      </x:c>
      <x:c r="X1636" t="n">
        <x:v>0</x:v>
      </x:c>
      <x:c r="Y1636" t="n">
        <x:v>0</x:v>
      </x:c>
      <x:c r="Z1636" t="n">
        <x:v>0</x:v>
      </x:c>
      <x:c r="AA1636" t="n">
        <x:v>1</x:v>
      </x:c>
      <x:c r="AB1636" t="n">
        <x:v>5</x:v>
      </x:c>
      <x:c r="AC1636" t="n">
        <x:v>0</x:v>
      </x:c>
      <x:c r="AD1636" t="n">
        <x:v>-0.8170220702886581</x:v>
      </x:c>
      <x:c r="AE1636" t="n">
        <x:v>0</x:v>
      </x:c>
      <x:c r="AF1636" t="n">
        <x:v>-0.022503837943077087</x:v>
      </x:c>
      <x:c r="AG1636" t="n">
        <x:f>_xlfn.XLOOKUP($A1636,Games!$A$2:$A$18,Games!$B$2:$B$18,"Missing game",0)</x:f>
        <x:v>2025</x:v>
      </x:c>
      <x:c r="AH1636" t="str">
        <x:f>_xlfn.XLOOKUP($A1636,Games!$A$2:$A$18,Games!$C$2:$C$18,"Missing game",0)</x:f>
        <x:v>REG</x:v>
      </x:c>
      <x:c r="AI1636" t="n">
        <x:f>_xlfn.XLOOKUP($A1636,Games!$A$2:$A$18,Games!$D$2:$D$18,"Missing game",0)</x:f>
        <x:v>11</x:v>
      </x:c>
      <x:c r="AJ1636" s="1" t="n">
        <x:f>_xlfn.XLOOKUP($A1636,Games!$A$2:$A$18,Games!$E$2:$E$18,"Missing game",0)</x:f>
        <x:v>45977</x:v>
      </x:c>
      <x:c r="AK1636" t="str">
        <x:f>_xlfn.XLOOKUP($A1636,Games!$A$2:$A$18,Games!$F$2:$F$18,"Missing game",0)</x:f>
        <x:v>Sunday</x:v>
      </x:c>
      <x:c r="AL1636" t="str">
        <x:f>_xlfn.XLOOKUP($A1636,Games!$A$2:$A$18,Games!$G$2:$G$18,"Missing game",0)</x:f>
        <x:v>CHI</x:v>
      </x:c>
      <x:c r="AM1636" t="n">
        <x:f>_xlfn.XLOOKUP($A1636,Games!$A$2:$A$18,Games!$H$2:$H$18,"Missing game",0)</x:f>
        <x:v>19</x:v>
      </x:c>
      <x:c r="AN1636" t="str">
        <x:f>_xlfn.XLOOKUP($A1636,Games!$A$2:$A$18,Games!$I$2:$I$18,"Missing game",0)</x:f>
        <x:v>MIN</x:v>
      </x:c>
      <x:c r="AO1636" t="n">
        <x:f>_xlfn.XLOOKUP($A1636,Games!$A$2:$A$18,Games!$J$2:$J$18,"Missing game",0)</x:f>
        <x:v>17</x:v>
      </x:c>
      <x:c r="AP1636" t="n">
        <x:f>_xlfn.XLOOKUP($A1636,Games!$A$2:$A$18,Games!$K$2:$K$18,"Missing game",0)</x:f>
        <x:v>-2</x:v>
      </x:c>
      <x:c r="AQ1636" t="n">
        <x:f>_xlfn.XLOOKUP($A1636,Games!$A$2:$A$18,Games!$L$2:$L$18,"Missing game",0)</x:f>
        <x:v>36</x:v>
      </x:c>
      <x:c r="AR1636" t="n">
        <x:f>_xlfn.XLOOKUP($A1636,Games!$A$2:$A$18,Games!$M$2:$M$18,"Missing game",0)</x:f>
        <x:v>0</x:v>
      </x:c>
      <x:c r="AS1636" t="str">
        <x:f>_xlfn.XLOOKUP($A1636,Games!$A$2:$A$18,Games!$N$2:$N$18,"Missing game",0)</x:f>
        <x:v>dome</x:v>
      </x:c>
      <x:c r="AT1636" t="str">
        <x:f>_xlfn.XLOOKUP($A1636,Games!$A$2:$A$18,Games!$O$2:$O$18,"Missing game",0)</x:f>
        <x:v>sportturf</x:v>
      </x:c>
      <x:c r="AU1636" t="str">
        <x:f>_xlfn.XLOOKUP($A1636,Games!$A$2:$A$18,Games!$P$2:$P$18,"Missing game",0)</x:f>
      </x:c>
      <x:c r="AV1636" t="str">
        <x:f>_xlfn.XLOOKUP($A1636,Games!$A$2:$A$18,Games!$Q$2:$Q$18,"Missing game",0)</x:f>
      </x:c>
      <x:c r="AW1636" t="str">
        <x:f>_xlfn.XLOOKUP($A1636,Games!$A$2:$A$18,Games!$R$2:$R$18,"Missing game",0)</x:f>
        <x:v>U.S. Bank Stadium</x:v>
      </x:c>
    </x:row>
    <x:row r="1637">
      <x:c r="A1637" t="str">
        <x:v>2025_11_CHI_MIN</x:v>
      </x:c>
      <x:c r="B1637" t="n">
        <x:v>2545</x:v>
      </x:c>
      <x:c r="C1637" t="n">
        <x:v>3</x:v>
      </x:c>
      <x:c r="D1637" t="str">
        <x:v>07:32</x:v>
      </x:c>
      <x:c r="E1637" t="n">
        <x:v>3</x:v>
      </x:c>
      <x:c r="F1637" t="n">
        <x:v>7</x:v>
      </x:c>
      <x:c r="G1637" t="str">
        <x:v>MIN</x:v>
      </x:c>
      <x:c r="H1637" t="str">
        <x:v>CHI</x:v>
      </x:c>
      <x:c r="I1637" t="str">
        <x:v>MIN</x:v>
      </x:c>
      <x:c r="J1637" t="n">
        <x:v>67</x:v>
      </x:c>
      <x:c r="K1637" t="str">
        <x:v>(7:32) (Shotgun) 9-J.McCarthy pass incomplete short right to 18-J.Jefferson.</x:v>
      </x:c>
      <x:c r="L1637" t="str">
        <x:v>pass</x:v>
      </x:c>
      <x:c r="M1637" t="n">
        <x:v>0</x:v>
      </x:c>
      <x:c r="N1637" t="n">
        <x:v>1</x:v>
      </x:c>
      <x:c r="O1637" t="n">
        <x:v>0</x:v>
      </x:c>
      <x:c r="P1637" t="str">
        <x:v>short</x:v>
      </x:c>
      <x:c r="Q1637" t="str">
        <x:v>right</x:v>
      </x:c>
      <x:c r="R1637" t="n">
        <x:v>12</x:v>
      </x:c>
      <x:c r="S1637"/>
      <x:c r="T1637"/>
      <x:c r="U1637"/>
      <x:c r="V1637" t="n">
        <x:v>0</x:v>
      </x:c>
      <x:c r="W1637" t="n">
        <x:v>0</x:v>
      </x:c>
      <x:c r="X1637" t="n">
        <x:v>0</x:v>
      </x:c>
      <x:c r="Y1637" t="n">
        <x:v>0</x:v>
      </x:c>
      <x:c r="Z1637" t="n">
        <x:v>0</x:v>
      </x:c>
      <x:c r="AA1637" t="n">
        <x:v>0</x:v>
      </x:c>
      <x:c r="AB1637"/>
      <x:c r="AC1637" t="n">
        <x:v>0</x:v>
      </x:c>
      <x:c r="AD1637" t="n">
        <x:v>-1.531007319688797</x:v>
      </x:c>
      <x:c r="AE1637" t="n">
        <x:v>0</x:v>
      </x:c>
      <x:c r="AF1637" t="n">
        <x:v>-0.02667464315891266</x:v>
      </x:c>
      <x:c r="AG1637" t="n">
        <x:f>_xlfn.XLOOKUP($A1637,Games!$A$2:$A$18,Games!$B$2:$B$18,"Missing game",0)</x:f>
        <x:v>2025</x:v>
      </x:c>
      <x:c r="AH1637" t="str">
        <x:f>_xlfn.XLOOKUP($A1637,Games!$A$2:$A$18,Games!$C$2:$C$18,"Missing game",0)</x:f>
        <x:v>REG</x:v>
      </x:c>
      <x:c r="AI1637" t="n">
        <x:f>_xlfn.XLOOKUP($A1637,Games!$A$2:$A$18,Games!$D$2:$D$18,"Missing game",0)</x:f>
        <x:v>11</x:v>
      </x:c>
      <x:c r="AJ1637" s="1" t="n">
        <x:f>_xlfn.XLOOKUP($A1637,Games!$A$2:$A$18,Games!$E$2:$E$18,"Missing game",0)</x:f>
        <x:v>45977</x:v>
      </x:c>
      <x:c r="AK1637" t="str">
        <x:f>_xlfn.XLOOKUP($A1637,Games!$A$2:$A$18,Games!$F$2:$F$18,"Missing game",0)</x:f>
        <x:v>Sunday</x:v>
      </x:c>
      <x:c r="AL1637" t="str">
        <x:f>_xlfn.XLOOKUP($A1637,Games!$A$2:$A$18,Games!$G$2:$G$18,"Missing game",0)</x:f>
        <x:v>CHI</x:v>
      </x:c>
      <x:c r="AM1637" t="n">
        <x:f>_xlfn.XLOOKUP($A1637,Games!$A$2:$A$18,Games!$H$2:$H$18,"Missing game",0)</x:f>
        <x:v>19</x:v>
      </x:c>
      <x:c r="AN1637" t="str">
        <x:f>_xlfn.XLOOKUP($A1637,Games!$A$2:$A$18,Games!$I$2:$I$18,"Missing game",0)</x:f>
        <x:v>MIN</x:v>
      </x:c>
      <x:c r="AO1637" t="n">
        <x:f>_xlfn.XLOOKUP($A1637,Games!$A$2:$A$18,Games!$J$2:$J$18,"Missing game",0)</x:f>
        <x:v>17</x:v>
      </x:c>
      <x:c r="AP1637" t="n">
        <x:f>_xlfn.XLOOKUP($A1637,Games!$A$2:$A$18,Games!$K$2:$K$18,"Missing game",0)</x:f>
        <x:v>-2</x:v>
      </x:c>
      <x:c r="AQ1637" t="n">
        <x:f>_xlfn.XLOOKUP($A1637,Games!$A$2:$A$18,Games!$L$2:$L$18,"Missing game",0)</x:f>
        <x:v>36</x:v>
      </x:c>
      <x:c r="AR1637" t="n">
        <x:f>_xlfn.XLOOKUP($A1637,Games!$A$2:$A$18,Games!$M$2:$M$18,"Missing game",0)</x:f>
        <x:v>0</x:v>
      </x:c>
      <x:c r="AS1637" t="str">
        <x:f>_xlfn.XLOOKUP($A1637,Games!$A$2:$A$18,Games!$N$2:$N$18,"Missing game",0)</x:f>
        <x:v>dome</x:v>
      </x:c>
      <x:c r="AT1637" t="str">
        <x:f>_xlfn.XLOOKUP($A1637,Games!$A$2:$A$18,Games!$O$2:$O$18,"Missing game",0)</x:f>
        <x:v>sportturf</x:v>
      </x:c>
      <x:c r="AU1637" t="str">
        <x:f>_xlfn.XLOOKUP($A1637,Games!$A$2:$A$18,Games!$P$2:$P$18,"Missing game",0)</x:f>
      </x:c>
      <x:c r="AV1637" t="str">
        <x:f>_xlfn.XLOOKUP($A1637,Games!$A$2:$A$18,Games!$Q$2:$Q$18,"Missing game",0)</x:f>
      </x:c>
      <x:c r="AW1637" t="str">
        <x:f>_xlfn.XLOOKUP($A1637,Games!$A$2:$A$18,Games!$R$2:$R$18,"Missing game",0)</x:f>
        <x:v>U.S. Bank Stadium</x:v>
      </x:c>
    </x:row>
    <x:row r="1638">
      <x:c r="A1638" t="str">
        <x:v>2025_11_CHI_MIN</x:v>
      </x:c>
      <x:c r="B1638" t="n">
        <x:v>2568</x:v>
      </x:c>
      <x:c r="C1638" t="n">
        <x:v>3</x:v>
      </x:c>
      <x:c r="D1638" t="str">
        <x:v>07:28</x:v>
      </x:c>
      <x:c r="E1638" t="n">
        <x:v>4</x:v>
      </x:c>
      <x:c r="F1638" t="n">
        <x:v>7</x:v>
      </x:c>
      <x:c r="G1638" t="str">
        <x:v>MIN</x:v>
      </x:c>
      <x:c r="H1638" t="str">
        <x:v>CHI</x:v>
      </x:c>
      <x:c r="I1638" t="str">
        <x:v>MIN</x:v>
      </x:c>
      <x:c r="J1638" t="n">
        <x:v>67</x:v>
      </x:c>
      <x:c r="K1638" t="str">
        <x:v>(7:28) 17-R.Wright punts 52 yards to CHI 15, Center-42-A.DePaola. 12-D.Duvernay to CHI 20 for 5 yards (13-T.Felton; 37-T.Thomas).</x:v>
      </x:c>
      <x:c r="L1638" t="str">
        <x:v>punt</x:v>
      </x:c>
      <x:c r="M1638" t="n">
        <x:v>0</x:v>
      </x:c>
      <x:c r="N1638" t="n">
        <x:v>0</x:v>
      </x:c>
      <x:c r="O1638" t="n">
        <x:v>0</x:v>
      </x:c>
      <x:c r="P1638"/>
      <x:c r="Q1638"/>
      <x:c r="R1638"/>
      <x:c r="S1638"/>
      <x:c r="T1638"/>
      <x:c r="U1638"/>
      <x:c r="V1638" t="n">
        <x:v>0</x:v>
      </x:c>
      <x:c r="W1638" t="n">
        <x:v>0</x:v>
      </x:c>
      <x:c r="X1638" t="n">
        <x:v>0</x:v>
      </x:c>
      <x:c r="Y1638" t="n">
        <x:v>0</x:v>
      </x:c>
      <x:c r="Z1638" t="n">
        <x:v>0</x:v>
      </x:c>
      <x:c r="AA1638" t="n">
        <x:v>0</x:v>
      </x:c>
      <x:c r="AB1638"/>
      <x:c r="AC1638" t="n">
        <x:v>0</x:v>
      </x:c>
      <x:c r="AD1638" t="n">
        <x:v>-0.03005437832325697</x:v>
      </x:c>
      <x:c r="AE1638" t="n">
        <x:v>0</x:v>
      </x:c>
      <x:c r="AF1638" t="n">
        <x:v>-0.0036912262439727783</x:v>
      </x:c>
      <x:c r="AG1638" t="n">
        <x:f>_xlfn.XLOOKUP($A1638,Games!$A$2:$A$18,Games!$B$2:$B$18,"Missing game",0)</x:f>
        <x:v>2025</x:v>
      </x:c>
      <x:c r="AH1638" t="str">
        <x:f>_xlfn.XLOOKUP($A1638,Games!$A$2:$A$18,Games!$C$2:$C$18,"Missing game",0)</x:f>
        <x:v>REG</x:v>
      </x:c>
      <x:c r="AI1638" t="n">
        <x:f>_xlfn.XLOOKUP($A1638,Games!$A$2:$A$18,Games!$D$2:$D$18,"Missing game",0)</x:f>
        <x:v>11</x:v>
      </x:c>
      <x:c r="AJ1638" s="1" t="n">
        <x:f>_xlfn.XLOOKUP($A1638,Games!$A$2:$A$18,Games!$E$2:$E$18,"Missing game",0)</x:f>
        <x:v>45977</x:v>
      </x:c>
      <x:c r="AK1638" t="str">
        <x:f>_xlfn.XLOOKUP($A1638,Games!$A$2:$A$18,Games!$F$2:$F$18,"Missing game",0)</x:f>
        <x:v>Sunday</x:v>
      </x:c>
      <x:c r="AL1638" t="str">
        <x:f>_xlfn.XLOOKUP($A1638,Games!$A$2:$A$18,Games!$G$2:$G$18,"Missing game",0)</x:f>
        <x:v>CHI</x:v>
      </x:c>
      <x:c r="AM1638" t="n">
        <x:f>_xlfn.XLOOKUP($A1638,Games!$A$2:$A$18,Games!$H$2:$H$18,"Missing game",0)</x:f>
        <x:v>19</x:v>
      </x:c>
      <x:c r="AN1638" t="str">
        <x:f>_xlfn.XLOOKUP($A1638,Games!$A$2:$A$18,Games!$I$2:$I$18,"Missing game",0)</x:f>
        <x:v>MIN</x:v>
      </x:c>
      <x:c r="AO1638" t="n">
        <x:f>_xlfn.XLOOKUP($A1638,Games!$A$2:$A$18,Games!$J$2:$J$18,"Missing game",0)</x:f>
        <x:v>17</x:v>
      </x:c>
      <x:c r="AP1638" t="n">
        <x:f>_xlfn.XLOOKUP($A1638,Games!$A$2:$A$18,Games!$K$2:$K$18,"Missing game",0)</x:f>
        <x:v>-2</x:v>
      </x:c>
      <x:c r="AQ1638" t="n">
        <x:f>_xlfn.XLOOKUP($A1638,Games!$A$2:$A$18,Games!$L$2:$L$18,"Missing game",0)</x:f>
        <x:v>36</x:v>
      </x:c>
      <x:c r="AR1638" t="n">
        <x:f>_xlfn.XLOOKUP($A1638,Games!$A$2:$A$18,Games!$M$2:$M$18,"Missing game",0)</x:f>
        <x:v>0</x:v>
      </x:c>
      <x:c r="AS1638" t="str">
        <x:f>_xlfn.XLOOKUP($A1638,Games!$A$2:$A$18,Games!$N$2:$N$18,"Missing game",0)</x:f>
        <x:v>dome</x:v>
      </x:c>
      <x:c r="AT1638" t="str">
        <x:f>_xlfn.XLOOKUP($A1638,Games!$A$2:$A$18,Games!$O$2:$O$18,"Missing game",0)</x:f>
        <x:v>sportturf</x:v>
      </x:c>
      <x:c r="AU1638" t="str">
        <x:f>_xlfn.XLOOKUP($A1638,Games!$A$2:$A$18,Games!$P$2:$P$18,"Missing game",0)</x:f>
      </x:c>
      <x:c r="AV1638" t="str">
        <x:f>_xlfn.XLOOKUP($A1638,Games!$A$2:$A$18,Games!$Q$2:$Q$18,"Missing game",0)</x:f>
      </x:c>
      <x:c r="AW1638" t="str">
        <x:f>_xlfn.XLOOKUP($A1638,Games!$A$2:$A$18,Games!$R$2:$R$18,"Missing game",0)</x:f>
        <x:v>U.S. Bank Stadium</x:v>
      </x:c>
    </x:row>
    <x:row r="1639">
      <x:c r="A1639" t="str">
        <x:v>2025_11_CHI_MIN</x:v>
      </x:c>
      <x:c r="B1639" t="n">
        <x:v>2594</x:v>
      </x:c>
      <x:c r="C1639" t="n">
        <x:v>3</x:v>
      </x:c>
      <x:c r="D1639" t="str">
        <x:v>07:18</x:v>
      </x:c>
      <x:c r="E1639" t="n">
        <x:v>1</x:v>
      </x:c>
      <x:c r="F1639" t="n">
        <x:v>10</x:v>
      </x:c>
      <x:c r="G1639" t="str">
        <x:v>CHI</x:v>
      </x:c>
      <x:c r="H1639" t="str">
        <x:v>MIN</x:v>
      </x:c>
      <x:c r="I1639" t="str">
        <x:v>CHI</x:v>
      </x:c>
      <x:c r="J1639" t="n">
        <x:v>80</x:v>
      </x:c>
      <x:c r="K1639" t="str">
        <x:v>(7:18) 4-D.Swift right guard to CHI 22 for 2 yards (15-D.Turner; 51-B.Cashman).</x:v>
      </x:c>
      <x:c r="L1639" t="str">
        <x:v>run</x:v>
      </x:c>
      <x:c r="M1639" t="n">
        <x:v>2</x:v>
      </x:c>
      <x:c r="N1639" t="n">
        <x:v>0</x:v>
      </x:c>
      <x:c r="O1639" t="n">
        <x:v>0</x:v>
      </x:c>
      <x:c r="P1639"/>
      <x:c r="Q1639"/>
      <x:c r="R1639"/>
      <x:c r="S1639"/>
      <x:c r="T1639" t="str">
        <x:v>right</x:v>
      </x:c>
      <x:c r="U1639" t="str">
        <x:v>guard</x:v>
      </x:c>
      <x:c r="V1639" t="n">
        <x:v>0</x:v>
      </x:c>
      <x:c r="W1639" t="n">
        <x:v>0</x:v>
      </x:c>
      <x:c r="X1639" t="n">
        <x:v>0</x:v>
      </x:c>
      <x:c r="Y1639" t="n">
        <x:v>0</x:v>
      </x:c>
      <x:c r="Z1639" t="n">
        <x:v>0</x:v>
      </x:c>
      <x:c r="AA1639" t="n">
        <x:v>0</x:v>
      </x:c>
      <x:c r="AB1639"/>
      <x:c r="AC1639" t="n">
        <x:v>0</x:v>
      </x:c>
      <x:c r="AD1639" t="n">
        <x:v>-0.6101579200476408</x:v>
      </x:c>
      <x:c r="AE1639" t="n">
        <x:v>0</x:v>
      </x:c>
      <x:c r="AF1639" t="n">
        <x:v>-0.0048525333404541016</x:v>
      </x:c>
      <x:c r="AG1639" t="n">
        <x:f>_xlfn.XLOOKUP($A1639,Games!$A$2:$A$18,Games!$B$2:$B$18,"Missing game",0)</x:f>
        <x:v>2025</x:v>
      </x:c>
      <x:c r="AH1639" t="str">
        <x:f>_xlfn.XLOOKUP($A1639,Games!$A$2:$A$18,Games!$C$2:$C$18,"Missing game",0)</x:f>
        <x:v>REG</x:v>
      </x:c>
      <x:c r="AI1639" t="n">
        <x:f>_xlfn.XLOOKUP($A1639,Games!$A$2:$A$18,Games!$D$2:$D$18,"Missing game",0)</x:f>
        <x:v>11</x:v>
      </x:c>
      <x:c r="AJ1639" s="1" t="n">
        <x:f>_xlfn.XLOOKUP($A1639,Games!$A$2:$A$18,Games!$E$2:$E$18,"Missing game",0)</x:f>
        <x:v>45977</x:v>
      </x:c>
      <x:c r="AK1639" t="str">
        <x:f>_xlfn.XLOOKUP($A1639,Games!$A$2:$A$18,Games!$F$2:$F$18,"Missing game",0)</x:f>
        <x:v>Sunday</x:v>
      </x:c>
      <x:c r="AL1639" t="str">
        <x:f>_xlfn.XLOOKUP($A1639,Games!$A$2:$A$18,Games!$G$2:$G$18,"Missing game",0)</x:f>
        <x:v>CHI</x:v>
      </x:c>
      <x:c r="AM1639" t="n">
        <x:f>_xlfn.XLOOKUP($A1639,Games!$A$2:$A$18,Games!$H$2:$H$18,"Missing game",0)</x:f>
        <x:v>19</x:v>
      </x:c>
      <x:c r="AN1639" t="str">
        <x:f>_xlfn.XLOOKUP($A1639,Games!$A$2:$A$18,Games!$I$2:$I$18,"Missing game",0)</x:f>
        <x:v>MIN</x:v>
      </x:c>
      <x:c r="AO1639" t="n">
        <x:f>_xlfn.XLOOKUP($A1639,Games!$A$2:$A$18,Games!$J$2:$J$18,"Missing game",0)</x:f>
        <x:v>17</x:v>
      </x:c>
      <x:c r="AP1639" t="n">
        <x:f>_xlfn.XLOOKUP($A1639,Games!$A$2:$A$18,Games!$K$2:$K$18,"Missing game",0)</x:f>
        <x:v>-2</x:v>
      </x:c>
      <x:c r="AQ1639" t="n">
        <x:f>_xlfn.XLOOKUP($A1639,Games!$A$2:$A$18,Games!$L$2:$L$18,"Missing game",0)</x:f>
        <x:v>36</x:v>
      </x:c>
      <x:c r="AR1639" t="n">
        <x:f>_xlfn.XLOOKUP($A1639,Games!$A$2:$A$18,Games!$M$2:$M$18,"Missing game",0)</x:f>
        <x:v>0</x:v>
      </x:c>
      <x:c r="AS1639" t="str">
        <x:f>_xlfn.XLOOKUP($A1639,Games!$A$2:$A$18,Games!$N$2:$N$18,"Missing game",0)</x:f>
        <x:v>dome</x:v>
      </x:c>
      <x:c r="AT1639" t="str">
        <x:f>_xlfn.XLOOKUP($A1639,Games!$A$2:$A$18,Games!$O$2:$O$18,"Missing game",0)</x:f>
        <x:v>sportturf</x:v>
      </x:c>
      <x:c r="AU1639" t="str">
        <x:f>_xlfn.XLOOKUP($A1639,Games!$A$2:$A$18,Games!$P$2:$P$18,"Missing game",0)</x:f>
      </x:c>
      <x:c r="AV1639" t="str">
        <x:f>_xlfn.XLOOKUP($A1639,Games!$A$2:$A$18,Games!$Q$2:$Q$18,"Missing game",0)</x:f>
      </x:c>
      <x:c r="AW1639" t="str">
        <x:f>_xlfn.XLOOKUP($A1639,Games!$A$2:$A$18,Games!$R$2:$R$18,"Missing game",0)</x:f>
        <x:v>U.S. Bank Stadium</x:v>
      </x:c>
    </x:row>
    <x:row r="1640">
      <x:c r="A1640" t="str">
        <x:v>2025_11_CHI_MIN</x:v>
      </x:c>
      <x:c r="B1640" t="n">
        <x:v>2623</x:v>
      </x:c>
      <x:c r="C1640" t="n">
        <x:v>3</x:v>
      </x:c>
      <x:c r="D1640" t="str">
        <x:v>06:42</x:v>
      </x:c>
      <x:c r="E1640" t="n">
        <x:v>2</x:v>
      </x:c>
      <x:c r="F1640" t="n">
        <x:v>8</x:v>
      </x:c>
      <x:c r="G1640" t="str">
        <x:v>CHI</x:v>
      </x:c>
      <x:c r="H1640" t="str">
        <x:v>MIN</x:v>
      </x:c>
      <x:c r="I1640" t="str">
        <x:v>CHI</x:v>
      </x:c>
      <x:c r="J1640" t="n">
        <x:v>78</x:v>
      </x:c>
      <x:c r="K1640" t="str">
        <x:v>(6:42) (Shotgun) 18-C.Williams pass incomplete deep right to 10-L.Burden (26-T.Jackson).</x:v>
      </x:c>
      <x:c r="L1640" t="str">
        <x:v>pass</x:v>
      </x:c>
      <x:c r="M1640" t="n">
        <x:v>0</x:v>
      </x:c>
      <x:c r="N1640" t="n">
        <x:v>1</x:v>
      </x:c>
      <x:c r="O1640" t="n">
        <x:v>0</x:v>
      </x:c>
      <x:c r="P1640" t="str">
        <x:v>deep</x:v>
      </x:c>
      <x:c r="Q1640" t="str">
        <x:v>right</x:v>
      </x:c>
      <x:c r="R1640" t="n">
        <x:v>18</x:v>
      </x:c>
      <x:c r="S1640"/>
      <x:c r="T1640"/>
      <x:c r="U1640"/>
      <x:c r="V1640" t="n">
        <x:v>0</x:v>
      </x:c>
      <x:c r="W1640" t="n">
        <x:v>0</x:v>
      </x:c>
      <x:c r="X1640" t="n">
        <x:v>0</x:v>
      </x:c>
      <x:c r="Y1640" t="n">
        <x:v>0</x:v>
      </x:c>
      <x:c r="Z1640" t="n">
        <x:v>0</x:v>
      </x:c>
      <x:c r="AA1640" t="n">
        <x:v>0</x:v>
      </x:c>
      <x:c r="AB1640"/>
      <x:c r="AC1640" t="n">
        <x:v>0</x:v>
      </x:c>
      <x:c r="AD1640" t="n">
        <x:v>-0.7626421456225216</x:v>
      </x:c>
      <x:c r="AE1640" t="n">
        <x:v>0</x:v>
      </x:c>
      <x:c r="AF1640" t="n">
        <x:v>-0.01554882526397705</x:v>
      </x:c>
      <x:c r="AG1640" t="n">
        <x:f>_xlfn.XLOOKUP($A1640,Games!$A$2:$A$18,Games!$B$2:$B$18,"Missing game",0)</x:f>
        <x:v>2025</x:v>
      </x:c>
      <x:c r="AH1640" t="str">
        <x:f>_xlfn.XLOOKUP($A1640,Games!$A$2:$A$18,Games!$C$2:$C$18,"Missing game",0)</x:f>
        <x:v>REG</x:v>
      </x:c>
      <x:c r="AI1640" t="n">
        <x:f>_xlfn.XLOOKUP($A1640,Games!$A$2:$A$18,Games!$D$2:$D$18,"Missing game",0)</x:f>
        <x:v>11</x:v>
      </x:c>
      <x:c r="AJ1640" s="1" t="n">
        <x:f>_xlfn.XLOOKUP($A1640,Games!$A$2:$A$18,Games!$E$2:$E$18,"Missing game",0)</x:f>
        <x:v>45977</x:v>
      </x:c>
      <x:c r="AK1640" t="str">
        <x:f>_xlfn.XLOOKUP($A1640,Games!$A$2:$A$18,Games!$F$2:$F$18,"Missing game",0)</x:f>
        <x:v>Sunday</x:v>
      </x:c>
      <x:c r="AL1640" t="str">
        <x:f>_xlfn.XLOOKUP($A1640,Games!$A$2:$A$18,Games!$G$2:$G$18,"Missing game",0)</x:f>
        <x:v>CHI</x:v>
      </x:c>
      <x:c r="AM1640" t="n">
        <x:f>_xlfn.XLOOKUP($A1640,Games!$A$2:$A$18,Games!$H$2:$H$18,"Missing game",0)</x:f>
        <x:v>19</x:v>
      </x:c>
      <x:c r="AN1640" t="str">
        <x:f>_xlfn.XLOOKUP($A1640,Games!$A$2:$A$18,Games!$I$2:$I$18,"Missing game",0)</x:f>
        <x:v>MIN</x:v>
      </x:c>
      <x:c r="AO1640" t="n">
        <x:f>_xlfn.XLOOKUP($A1640,Games!$A$2:$A$18,Games!$J$2:$J$18,"Missing game",0)</x:f>
        <x:v>17</x:v>
      </x:c>
      <x:c r="AP1640" t="n">
        <x:f>_xlfn.XLOOKUP($A1640,Games!$A$2:$A$18,Games!$K$2:$K$18,"Missing game",0)</x:f>
        <x:v>-2</x:v>
      </x:c>
      <x:c r="AQ1640" t="n">
        <x:f>_xlfn.XLOOKUP($A1640,Games!$A$2:$A$18,Games!$L$2:$L$18,"Missing game",0)</x:f>
        <x:v>36</x:v>
      </x:c>
      <x:c r="AR1640" t="n">
        <x:f>_xlfn.XLOOKUP($A1640,Games!$A$2:$A$18,Games!$M$2:$M$18,"Missing game",0)</x:f>
        <x:v>0</x:v>
      </x:c>
      <x:c r="AS1640" t="str">
        <x:f>_xlfn.XLOOKUP($A1640,Games!$A$2:$A$18,Games!$N$2:$N$18,"Missing game",0)</x:f>
        <x:v>dome</x:v>
      </x:c>
      <x:c r="AT1640" t="str">
        <x:f>_xlfn.XLOOKUP($A1640,Games!$A$2:$A$18,Games!$O$2:$O$18,"Missing game",0)</x:f>
        <x:v>sportturf</x:v>
      </x:c>
      <x:c r="AU1640" t="str">
        <x:f>_xlfn.XLOOKUP($A1640,Games!$A$2:$A$18,Games!$P$2:$P$18,"Missing game",0)</x:f>
      </x:c>
      <x:c r="AV1640" t="str">
        <x:f>_xlfn.XLOOKUP($A1640,Games!$A$2:$A$18,Games!$Q$2:$Q$18,"Missing game",0)</x:f>
      </x:c>
      <x:c r="AW1640" t="str">
        <x:f>_xlfn.XLOOKUP($A1640,Games!$A$2:$A$18,Games!$R$2:$R$18,"Missing game",0)</x:f>
        <x:v>U.S. Bank Stadium</x:v>
      </x:c>
    </x:row>
    <x:row r="1641">
      <x:c r="A1641" t="str">
        <x:v>2025_11_CHI_MIN</x:v>
      </x:c>
      <x:c r="B1641" t="n">
        <x:v>2669</x:v>
      </x:c>
      <x:c r="C1641" t="n">
        <x:v>3</x:v>
      </x:c>
      <x:c r="D1641" t="str">
        <x:v>06:37</x:v>
      </x:c>
      <x:c r="E1641" t="n">
        <x:v>3</x:v>
      </x:c>
      <x:c r="F1641" t="n">
        <x:v>8</x:v>
      </x:c>
      <x:c r="G1641" t="str">
        <x:v>CHI</x:v>
      </x:c>
      <x:c r="H1641" t="str">
        <x:v>MIN</x:v>
      </x:c>
      <x:c r="I1641" t="str">
        <x:v>CHI</x:v>
      </x:c>
      <x:c r="J1641" t="n">
        <x:v>78</x:v>
      </x:c>
      <x:c r="K1641" t="str">
        <x:v>(6:37) (Shotgun) 18-C.Williams scrambles right end ran ob at CHI 33 for 11 yards (55-E.Wilson). PENALTY on CHI-15-R.Odunze, Illegal Formation, 5 yards, enforced at CHI 22 - No Play.</x:v>
      </x:c>
      <x:c r="L1641" t="str">
        <x:v>no_play</x:v>
      </x:c>
      <x:c r="M1641" t="n">
        <x:v>0</x:v>
      </x:c>
      <x:c r="N1641" t="n">
        <x:v>1</x:v>
      </x:c>
      <x:c r="O1641" t="n">
        <x:v>0</x:v>
      </x:c>
      <x:c r="P1641"/>
      <x:c r="Q1641"/>
      <x:c r="R1641"/>
      <x:c r="S1641"/>
      <x:c r="T1641"/>
      <x:c r="U1641"/>
      <x:c r="V1641" t="n">
        <x:v>0</x:v>
      </x:c>
      <x:c r="W1641" t="n">
        <x:v>0</x:v>
      </x:c>
      <x:c r="X1641" t="n">
        <x:v>0</x:v>
      </x:c>
      <x:c r="Y1641" t="n">
        <x:v>0</x:v>
      </x:c>
      <x:c r="Z1641" t="n">
        <x:v>0</x:v>
      </x:c>
      <x:c r="AA1641" t="n">
        <x:v>1</x:v>
      </x:c>
      <x:c r="AB1641" t="n">
        <x:v>5</x:v>
      </x:c>
      <x:c r="AC1641" t="n">
        <x:v>0</x:v>
      </x:c>
      <x:c r="AD1641" t="n">
        <x:v>-0.6298169996589422</x:v>
      </x:c>
      <x:c r="AE1641" t="n">
        <x:v>0</x:v>
      </x:c>
      <x:c r="AF1641" t="n">
        <x:v>-0.01410377025604248</x:v>
      </x:c>
      <x:c r="AG1641" t="n">
        <x:f>_xlfn.XLOOKUP($A1641,Games!$A$2:$A$18,Games!$B$2:$B$18,"Missing game",0)</x:f>
        <x:v>2025</x:v>
      </x:c>
      <x:c r="AH1641" t="str">
        <x:f>_xlfn.XLOOKUP($A1641,Games!$A$2:$A$18,Games!$C$2:$C$18,"Missing game",0)</x:f>
        <x:v>REG</x:v>
      </x:c>
      <x:c r="AI1641" t="n">
        <x:f>_xlfn.XLOOKUP($A1641,Games!$A$2:$A$18,Games!$D$2:$D$18,"Missing game",0)</x:f>
        <x:v>11</x:v>
      </x:c>
      <x:c r="AJ1641" s="1" t="n">
        <x:f>_xlfn.XLOOKUP($A1641,Games!$A$2:$A$18,Games!$E$2:$E$18,"Missing game",0)</x:f>
        <x:v>45977</x:v>
      </x:c>
      <x:c r="AK1641" t="str">
        <x:f>_xlfn.XLOOKUP($A1641,Games!$A$2:$A$18,Games!$F$2:$F$18,"Missing game",0)</x:f>
        <x:v>Sunday</x:v>
      </x:c>
      <x:c r="AL1641" t="str">
        <x:f>_xlfn.XLOOKUP($A1641,Games!$A$2:$A$18,Games!$G$2:$G$18,"Missing game",0)</x:f>
        <x:v>CHI</x:v>
      </x:c>
      <x:c r="AM1641" t="n">
        <x:f>_xlfn.XLOOKUP($A1641,Games!$A$2:$A$18,Games!$H$2:$H$18,"Missing game",0)</x:f>
        <x:v>19</x:v>
      </x:c>
      <x:c r="AN1641" t="str">
        <x:f>_xlfn.XLOOKUP($A1641,Games!$A$2:$A$18,Games!$I$2:$I$18,"Missing game",0)</x:f>
        <x:v>MIN</x:v>
      </x:c>
      <x:c r="AO1641" t="n">
        <x:f>_xlfn.XLOOKUP($A1641,Games!$A$2:$A$18,Games!$J$2:$J$18,"Missing game",0)</x:f>
        <x:v>17</x:v>
      </x:c>
      <x:c r="AP1641" t="n">
        <x:f>_xlfn.XLOOKUP($A1641,Games!$A$2:$A$18,Games!$K$2:$K$18,"Missing game",0)</x:f>
        <x:v>-2</x:v>
      </x:c>
      <x:c r="AQ1641" t="n">
        <x:f>_xlfn.XLOOKUP($A1641,Games!$A$2:$A$18,Games!$L$2:$L$18,"Missing game",0)</x:f>
        <x:v>36</x:v>
      </x:c>
      <x:c r="AR1641" t="n">
        <x:f>_xlfn.XLOOKUP($A1641,Games!$A$2:$A$18,Games!$M$2:$M$18,"Missing game",0)</x:f>
        <x:v>0</x:v>
      </x:c>
      <x:c r="AS1641" t="str">
        <x:f>_xlfn.XLOOKUP($A1641,Games!$A$2:$A$18,Games!$N$2:$N$18,"Missing game",0)</x:f>
        <x:v>dome</x:v>
      </x:c>
      <x:c r="AT1641" t="str">
        <x:f>_xlfn.XLOOKUP($A1641,Games!$A$2:$A$18,Games!$O$2:$O$18,"Missing game",0)</x:f>
        <x:v>sportturf</x:v>
      </x:c>
      <x:c r="AU1641" t="str">
        <x:f>_xlfn.XLOOKUP($A1641,Games!$A$2:$A$18,Games!$P$2:$P$18,"Missing game",0)</x:f>
      </x:c>
      <x:c r="AV1641" t="str">
        <x:f>_xlfn.XLOOKUP($A1641,Games!$A$2:$A$18,Games!$Q$2:$Q$18,"Missing game",0)</x:f>
      </x:c>
      <x:c r="AW1641" t="str">
        <x:f>_xlfn.XLOOKUP($A1641,Games!$A$2:$A$18,Games!$R$2:$R$18,"Missing game",0)</x:f>
        <x:v>U.S. Bank Stadium</x:v>
      </x:c>
    </x:row>
    <x:row r="1642">
      <x:c r="A1642" t="str">
        <x:v>2025_11_CHI_MIN</x:v>
      </x:c>
      <x:c r="B1642" t="n">
        <x:v>2707</x:v>
      </x:c>
      <x:c r="C1642" t="n">
        <x:v>3</x:v>
      </x:c>
      <x:c r="D1642" t="str">
        <x:v>06:14</x:v>
      </x:c>
      <x:c r="E1642" t="n">
        <x:v>3</x:v>
      </x:c>
      <x:c r="F1642" t="n">
        <x:v>13</x:v>
      </x:c>
      <x:c r="G1642" t="str">
        <x:v>CHI</x:v>
      </x:c>
      <x:c r="H1642" t="str">
        <x:v>MIN</x:v>
      </x:c>
      <x:c r="I1642" t="str">
        <x:v>CHI</x:v>
      </x:c>
      <x:c r="J1642" t="n">
        <x:v>83</x:v>
      </x:c>
      <x:c r="K1642" t="str">
        <x:v>(6:14) (Shotgun) 18-C.Williams pass short left to 10-L.Burden to CHI 33 for 16 yards (51-B.Cashman).</x:v>
      </x:c>
      <x:c r="L1642" t="str">
        <x:v>pass</x:v>
      </x:c>
      <x:c r="M1642" t="n">
        <x:v>16</x:v>
      </x:c>
      <x:c r="N1642" t="n">
        <x:v>1</x:v>
      </x:c>
      <x:c r="O1642" t="n">
        <x:v>0</x:v>
      </x:c>
      <x:c r="P1642" t="str">
        <x:v>short</x:v>
      </x:c>
      <x:c r="Q1642" t="str">
        <x:v>left</x:v>
      </x:c>
      <x:c r="R1642" t="n">
        <x:v>1</x:v>
      </x:c>
      <x:c r="S1642" t="n">
        <x:v>15</x:v>
      </x:c>
      <x:c r="T1642"/>
      <x:c r="U1642"/>
      <x:c r="V1642" t="n">
        <x:v>1</x:v>
      </x:c>
      <x:c r="W1642" t="n">
        <x:v>1</x:v>
      </x:c>
      <x:c r="X1642" t="n">
        <x:v>0</x:v>
      </x:c>
      <x:c r="Y1642" t="n">
        <x:v>0</x:v>
      </x:c>
      <x:c r="Z1642" t="n">
        <x:v>0</x:v>
      </x:c>
      <x:c r="AA1642" t="n">
        <x:v>0</x:v>
      </x:c>
      <x:c r="AB1642"/>
      <x:c r="AC1642" t="n">
        <x:v>0</x:v>
      </x:c>
      <x:c r="AD1642" t="n">
        <x:v>2.853937924839556</x:v>
      </x:c>
      <x:c r="AE1642" t="n">
        <x:v>1</x:v>
      </x:c>
      <x:c r="AF1642" t="n">
        <x:v>0.0563969612121582</x:v>
      </x:c>
      <x:c r="AG1642" t="n">
        <x:f>_xlfn.XLOOKUP($A1642,Games!$A$2:$A$18,Games!$B$2:$B$18,"Missing game",0)</x:f>
        <x:v>2025</x:v>
      </x:c>
      <x:c r="AH1642" t="str">
        <x:f>_xlfn.XLOOKUP($A1642,Games!$A$2:$A$18,Games!$C$2:$C$18,"Missing game",0)</x:f>
        <x:v>REG</x:v>
      </x:c>
      <x:c r="AI1642" t="n">
        <x:f>_xlfn.XLOOKUP($A1642,Games!$A$2:$A$18,Games!$D$2:$D$18,"Missing game",0)</x:f>
        <x:v>11</x:v>
      </x:c>
      <x:c r="AJ1642" s="1" t="n">
        <x:f>_xlfn.XLOOKUP($A1642,Games!$A$2:$A$18,Games!$E$2:$E$18,"Missing game",0)</x:f>
        <x:v>45977</x:v>
      </x:c>
      <x:c r="AK1642" t="str">
        <x:f>_xlfn.XLOOKUP($A1642,Games!$A$2:$A$18,Games!$F$2:$F$18,"Missing game",0)</x:f>
        <x:v>Sunday</x:v>
      </x:c>
      <x:c r="AL1642" t="str">
        <x:f>_xlfn.XLOOKUP($A1642,Games!$A$2:$A$18,Games!$G$2:$G$18,"Missing game",0)</x:f>
        <x:v>CHI</x:v>
      </x:c>
      <x:c r="AM1642" t="n">
        <x:f>_xlfn.XLOOKUP($A1642,Games!$A$2:$A$18,Games!$H$2:$H$18,"Missing game",0)</x:f>
        <x:v>19</x:v>
      </x:c>
      <x:c r="AN1642" t="str">
        <x:f>_xlfn.XLOOKUP($A1642,Games!$A$2:$A$18,Games!$I$2:$I$18,"Missing game",0)</x:f>
        <x:v>MIN</x:v>
      </x:c>
      <x:c r="AO1642" t="n">
        <x:f>_xlfn.XLOOKUP($A1642,Games!$A$2:$A$18,Games!$J$2:$J$18,"Missing game",0)</x:f>
        <x:v>17</x:v>
      </x:c>
      <x:c r="AP1642" t="n">
        <x:f>_xlfn.XLOOKUP($A1642,Games!$A$2:$A$18,Games!$K$2:$K$18,"Missing game",0)</x:f>
        <x:v>-2</x:v>
      </x:c>
      <x:c r="AQ1642" t="n">
        <x:f>_xlfn.XLOOKUP($A1642,Games!$A$2:$A$18,Games!$L$2:$L$18,"Missing game",0)</x:f>
        <x:v>36</x:v>
      </x:c>
      <x:c r="AR1642" t="n">
        <x:f>_xlfn.XLOOKUP($A1642,Games!$A$2:$A$18,Games!$M$2:$M$18,"Missing game",0)</x:f>
        <x:v>0</x:v>
      </x:c>
      <x:c r="AS1642" t="str">
        <x:f>_xlfn.XLOOKUP($A1642,Games!$A$2:$A$18,Games!$N$2:$N$18,"Missing game",0)</x:f>
        <x:v>dome</x:v>
      </x:c>
      <x:c r="AT1642" t="str">
        <x:f>_xlfn.XLOOKUP($A1642,Games!$A$2:$A$18,Games!$O$2:$O$18,"Missing game",0)</x:f>
        <x:v>sportturf</x:v>
      </x:c>
      <x:c r="AU1642" t="str">
        <x:f>_xlfn.XLOOKUP($A1642,Games!$A$2:$A$18,Games!$P$2:$P$18,"Missing game",0)</x:f>
      </x:c>
      <x:c r="AV1642" t="str">
        <x:f>_xlfn.XLOOKUP($A1642,Games!$A$2:$A$18,Games!$Q$2:$Q$18,"Missing game",0)</x:f>
      </x:c>
      <x:c r="AW1642" t="str">
        <x:f>_xlfn.XLOOKUP($A1642,Games!$A$2:$A$18,Games!$R$2:$R$18,"Missing game",0)</x:f>
        <x:v>U.S. Bank Stadium</x:v>
      </x:c>
    </x:row>
    <x:row r="1643">
      <x:c r="A1643" t="str">
        <x:v>2025_11_CHI_MIN</x:v>
      </x:c>
      <x:c r="B1643" t="n">
        <x:v>2732</x:v>
      </x:c>
      <x:c r="C1643" t="n">
        <x:v>3</x:v>
      </x:c>
      <x:c r="D1643" t="str">
        <x:v>05:42</x:v>
      </x:c>
      <x:c r="E1643" t="n">
        <x:v>1</x:v>
      </x:c>
      <x:c r="F1643" t="n">
        <x:v>10</x:v>
      </x:c>
      <x:c r="G1643" t="str">
        <x:v>CHI</x:v>
      </x:c>
      <x:c r="H1643" t="str">
        <x:v>MIN</x:v>
      </x:c>
      <x:c r="I1643" t="str">
        <x:v>CHI</x:v>
      </x:c>
      <x:c r="J1643" t="n">
        <x:v>67</x:v>
      </x:c>
      <x:c r="K1643" t="str">
        <x:v>(5:42) 18-C.Williams scrambles right end ran ob at CHI 49 for 16 yards (55-E.Wilson).</x:v>
      </x:c>
      <x:c r="L1643" t="str">
        <x:v>run</x:v>
      </x:c>
      <x:c r="M1643" t="n">
        <x:v>16</x:v>
      </x:c>
      <x:c r="N1643" t="n">
        <x:v>0</x:v>
      </x:c>
      <x:c r="O1643" t="n">
        <x:v>0</x:v>
      </x:c>
      <x:c r="P1643"/>
      <x:c r="Q1643"/>
      <x:c r="R1643"/>
      <x:c r="S1643"/>
      <x:c r="T1643" t="str">
        <x:v>right</x:v>
      </x:c>
      <x:c r="U1643" t="str">
        <x:v>end</x:v>
      </x:c>
      <x:c r="V1643" t="n">
        <x:v>0</x:v>
      </x:c>
      <x:c r="W1643" t="n">
        <x:v>1</x:v>
      </x:c>
      <x:c r="X1643" t="n">
        <x:v>0</x:v>
      </x:c>
      <x:c r="Y1643" t="n">
        <x:v>0</x:v>
      </x:c>
      <x:c r="Z1643" t="n">
        <x:v>0</x:v>
      </x:c>
      <x:c r="AA1643" t="n">
        <x:v>0</x:v>
      </x:c>
      <x:c r="AB1643"/>
      <x:c r="AC1643" t="n">
        <x:v>0</x:v>
      </x:c>
      <x:c r="AD1643" t="n">
        <x:v>1.0410283298697323</x:v>
      </x:c>
      <x:c r="AE1643" t="n">
        <x:v>1</x:v>
      </x:c>
      <x:c r="AF1643" t="n">
        <x:v>0.006879568099975586</x:v>
      </x:c>
      <x:c r="AG1643" t="n">
        <x:f>_xlfn.XLOOKUP($A1643,Games!$A$2:$A$18,Games!$B$2:$B$18,"Missing game",0)</x:f>
        <x:v>2025</x:v>
      </x:c>
      <x:c r="AH1643" t="str">
        <x:f>_xlfn.XLOOKUP($A1643,Games!$A$2:$A$18,Games!$C$2:$C$18,"Missing game",0)</x:f>
        <x:v>REG</x:v>
      </x:c>
      <x:c r="AI1643" t="n">
        <x:f>_xlfn.XLOOKUP($A1643,Games!$A$2:$A$18,Games!$D$2:$D$18,"Missing game",0)</x:f>
        <x:v>11</x:v>
      </x:c>
      <x:c r="AJ1643" s="1" t="n">
        <x:f>_xlfn.XLOOKUP($A1643,Games!$A$2:$A$18,Games!$E$2:$E$18,"Missing game",0)</x:f>
        <x:v>45977</x:v>
      </x:c>
      <x:c r="AK1643" t="str">
        <x:f>_xlfn.XLOOKUP($A1643,Games!$A$2:$A$18,Games!$F$2:$F$18,"Missing game",0)</x:f>
        <x:v>Sunday</x:v>
      </x:c>
      <x:c r="AL1643" t="str">
        <x:f>_xlfn.XLOOKUP($A1643,Games!$A$2:$A$18,Games!$G$2:$G$18,"Missing game",0)</x:f>
        <x:v>CHI</x:v>
      </x:c>
      <x:c r="AM1643" t="n">
        <x:f>_xlfn.XLOOKUP($A1643,Games!$A$2:$A$18,Games!$H$2:$H$18,"Missing game",0)</x:f>
        <x:v>19</x:v>
      </x:c>
      <x:c r="AN1643" t="str">
        <x:f>_xlfn.XLOOKUP($A1643,Games!$A$2:$A$18,Games!$I$2:$I$18,"Missing game",0)</x:f>
        <x:v>MIN</x:v>
      </x:c>
      <x:c r="AO1643" t="n">
        <x:f>_xlfn.XLOOKUP($A1643,Games!$A$2:$A$18,Games!$J$2:$J$18,"Missing game",0)</x:f>
        <x:v>17</x:v>
      </x:c>
      <x:c r="AP1643" t="n">
        <x:f>_xlfn.XLOOKUP($A1643,Games!$A$2:$A$18,Games!$K$2:$K$18,"Missing game",0)</x:f>
        <x:v>-2</x:v>
      </x:c>
      <x:c r="AQ1643" t="n">
        <x:f>_xlfn.XLOOKUP($A1643,Games!$A$2:$A$18,Games!$L$2:$L$18,"Missing game",0)</x:f>
        <x:v>36</x:v>
      </x:c>
      <x:c r="AR1643" t="n">
        <x:f>_xlfn.XLOOKUP($A1643,Games!$A$2:$A$18,Games!$M$2:$M$18,"Missing game",0)</x:f>
        <x:v>0</x:v>
      </x:c>
      <x:c r="AS1643" t="str">
        <x:f>_xlfn.XLOOKUP($A1643,Games!$A$2:$A$18,Games!$N$2:$N$18,"Missing game",0)</x:f>
        <x:v>dome</x:v>
      </x:c>
      <x:c r="AT1643" t="str">
        <x:f>_xlfn.XLOOKUP($A1643,Games!$A$2:$A$18,Games!$O$2:$O$18,"Missing game",0)</x:f>
        <x:v>sportturf</x:v>
      </x:c>
      <x:c r="AU1643" t="str">
        <x:f>_xlfn.XLOOKUP($A1643,Games!$A$2:$A$18,Games!$P$2:$P$18,"Missing game",0)</x:f>
      </x:c>
      <x:c r="AV1643" t="str">
        <x:f>_xlfn.XLOOKUP($A1643,Games!$A$2:$A$18,Games!$Q$2:$Q$18,"Missing game",0)</x:f>
      </x:c>
      <x:c r="AW1643" t="str">
        <x:f>_xlfn.XLOOKUP($A1643,Games!$A$2:$A$18,Games!$R$2:$R$18,"Missing game",0)</x:f>
        <x:v>U.S. Bank Stadium</x:v>
      </x:c>
    </x:row>
    <x:row r="1644">
      <x:c r="A1644" t="str">
        <x:v>2025_11_CHI_MIN</x:v>
      </x:c>
      <x:c r="B1644" t="n">
        <x:v>2759</x:v>
      </x:c>
      <x:c r="C1644" t="n">
        <x:v>3</x:v>
      </x:c>
      <x:c r="D1644" t="str">
        <x:v>05:01</x:v>
      </x:c>
      <x:c r="E1644" t="n">
        <x:v>1</x:v>
      </x:c>
      <x:c r="F1644" t="n">
        <x:v>10</x:v>
      </x:c>
      <x:c r="G1644" t="str">
        <x:v>CHI</x:v>
      </x:c>
      <x:c r="H1644" t="str">
        <x:v>MIN</x:v>
      </x:c>
      <x:c r="I1644" t="str">
        <x:v>CHI</x:v>
      </x:c>
      <x:c r="J1644" t="n">
        <x:v>51</x:v>
      </x:c>
      <x:c r="K1644" t="str">
        <x:v>(5:01) 18-C.Williams pass deep right to 2-D.Moore to MIN 33 for 18 yards (44-J.Metellus).</x:v>
      </x:c>
      <x:c r="L1644" t="str">
        <x:v>pass</x:v>
      </x:c>
      <x:c r="M1644" t="n">
        <x:v>18</x:v>
      </x:c>
      <x:c r="N1644" t="n">
        <x:v>0</x:v>
      </x:c>
      <x:c r="O1644" t="n">
        <x:v>0</x:v>
      </x:c>
      <x:c r="P1644" t="str">
        <x:v>deep</x:v>
      </x:c>
      <x:c r="Q1644" t="str">
        <x:v>right</x:v>
      </x:c>
      <x:c r="R1644" t="n">
        <x:v>17</x:v>
      </x:c>
      <x:c r="S1644" t="n">
        <x:v>1</x:v>
      </x:c>
      <x:c r="T1644"/>
      <x:c r="U1644"/>
      <x:c r="V1644" t="n">
        <x:v>1</x:v>
      </x:c>
      <x:c r="W1644" t="n">
        <x:v>1</x:v>
      </x:c>
      <x:c r="X1644" t="n">
        <x:v>0</x:v>
      </x:c>
      <x:c r="Y1644" t="n">
        <x:v>0</x:v>
      </x:c>
      <x:c r="Z1644" t="n">
        <x:v>0</x:v>
      </x:c>
      <x:c r="AA1644" t="n">
        <x:v>0</x:v>
      </x:c>
      <x:c r="AB1644"/>
      <x:c r="AC1644" t="n">
        <x:v>0</x:v>
      </x:c>
      <x:c r="AD1644" t="n">
        <x:v>1.224324681214057</x:v>
      </x:c>
      <x:c r="AE1644" t="n">
        <x:v>1</x:v>
      </x:c>
      <x:c r="AF1644" t="n">
        <x:v>0.013524353504180908</x:v>
      </x:c>
      <x:c r="AG1644" t="n">
        <x:f>_xlfn.XLOOKUP($A1644,Games!$A$2:$A$18,Games!$B$2:$B$18,"Missing game",0)</x:f>
        <x:v>2025</x:v>
      </x:c>
      <x:c r="AH1644" t="str">
        <x:f>_xlfn.XLOOKUP($A1644,Games!$A$2:$A$18,Games!$C$2:$C$18,"Missing game",0)</x:f>
        <x:v>REG</x:v>
      </x:c>
      <x:c r="AI1644" t="n">
        <x:f>_xlfn.XLOOKUP($A1644,Games!$A$2:$A$18,Games!$D$2:$D$18,"Missing game",0)</x:f>
        <x:v>11</x:v>
      </x:c>
      <x:c r="AJ1644" s="1" t="n">
        <x:f>_xlfn.XLOOKUP($A1644,Games!$A$2:$A$18,Games!$E$2:$E$18,"Missing game",0)</x:f>
        <x:v>45977</x:v>
      </x:c>
      <x:c r="AK1644" t="str">
        <x:f>_xlfn.XLOOKUP($A1644,Games!$A$2:$A$18,Games!$F$2:$F$18,"Missing game",0)</x:f>
        <x:v>Sunday</x:v>
      </x:c>
      <x:c r="AL1644" t="str">
        <x:f>_xlfn.XLOOKUP($A1644,Games!$A$2:$A$18,Games!$G$2:$G$18,"Missing game",0)</x:f>
        <x:v>CHI</x:v>
      </x:c>
      <x:c r="AM1644" t="n">
        <x:f>_xlfn.XLOOKUP($A1644,Games!$A$2:$A$18,Games!$H$2:$H$18,"Missing game",0)</x:f>
        <x:v>19</x:v>
      </x:c>
      <x:c r="AN1644" t="str">
        <x:f>_xlfn.XLOOKUP($A1644,Games!$A$2:$A$18,Games!$I$2:$I$18,"Missing game",0)</x:f>
        <x:v>MIN</x:v>
      </x:c>
      <x:c r="AO1644" t="n">
        <x:f>_xlfn.XLOOKUP($A1644,Games!$A$2:$A$18,Games!$J$2:$J$18,"Missing game",0)</x:f>
        <x:v>17</x:v>
      </x:c>
      <x:c r="AP1644" t="n">
        <x:f>_xlfn.XLOOKUP($A1644,Games!$A$2:$A$18,Games!$K$2:$K$18,"Missing game",0)</x:f>
        <x:v>-2</x:v>
      </x:c>
      <x:c r="AQ1644" t="n">
        <x:f>_xlfn.XLOOKUP($A1644,Games!$A$2:$A$18,Games!$L$2:$L$18,"Missing game",0)</x:f>
        <x:v>36</x:v>
      </x:c>
      <x:c r="AR1644" t="n">
        <x:f>_xlfn.XLOOKUP($A1644,Games!$A$2:$A$18,Games!$M$2:$M$18,"Missing game",0)</x:f>
        <x:v>0</x:v>
      </x:c>
      <x:c r="AS1644" t="str">
        <x:f>_xlfn.XLOOKUP($A1644,Games!$A$2:$A$18,Games!$N$2:$N$18,"Missing game",0)</x:f>
        <x:v>dome</x:v>
      </x:c>
      <x:c r="AT1644" t="str">
        <x:f>_xlfn.XLOOKUP($A1644,Games!$A$2:$A$18,Games!$O$2:$O$18,"Missing game",0)</x:f>
        <x:v>sportturf</x:v>
      </x:c>
      <x:c r="AU1644" t="str">
        <x:f>_xlfn.XLOOKUP($A1644,Games!$A$2:$A$18,Games!$P$2:$P$18,"Missing game",0)</x:f>
      </x:c>
      <x:c r="AV1644" t="str">
        <x:f>_xlfn.XLOOKUP($A1644,Games!$A$2:$A$18,Games!$Q$2:$Q$18,"Missing game",0)</x:f>
      </x:c>
      <x:c r="AW1644" t="str">
        <x:f>_xlfn.XLOOKUP($A1644,Games!$A$2:$A$18,Games!$R$2:$R$18,"Missing game",0)</x:f>
        <x:v>U.S. Bank Stadium</x:v>
      </x:c>
    </x:row>
    <x:row r="1645">
      <x:c r="A1645" t="str">
        <x:v>2025_11_CHI_MIN</x:v>
      </x:c>
      <x:c r="B1645" t="n">
        <x:v>2784</x:v>
      </x:c>
      <x:c r="C1645" t="n">
        <x:v>3</x:v>
      </x:c>
      <x:c r="D1645" t="str">
        <x:v>04:37</x:v>
      </x:c>
      <x:c r="E1645" t="n">
        <x:v>1</x:v>
      </x:c>
      <x:c r="F1645" t="n">
        <x:v>10</x:v>
      </x:c>
      <x:c r="G1645" t="str">
        <x:v>CHI</x:v>
      </x:c>
      <x:c r="H1645" t="str">
        <x:v>MIN</x:v>
      </x:c>
      <x:c r="I1645" t="str">
        <x:v>MIN</x:v>
      </x:c>
      <x:c r="J1645" t="n">
        <x:v>33</x:v>
      </x:c>
      <x:c r="K1645" t="str">
        <x:v>(4:37) (No Huddle) 18-C.Williams pass short left to 85-C.Kmet to MIN 22 for 11 yards (43-A.Van Ginkel; 51-B.Cashman).</x:v>
      </x:c>
      <x:c r="L1645" t="str">
        <x:v>pass</x:v>
      </x:c>
      <x:c r="M1645" t="n">
        <x:v>11</x:v>
      </x:c>
      <x:c r="N1645" t="n">
        <x:v>0</x:v>
      </x:c>
      <x:c r="O1645" t="n">
        <x:v>1</x:v>
      </x:c>
      <x:c r="P1645" t="str">
        <x:v>short</x:v>
      </x:c>
      <x:c r="Q1645" t="str">
        <x:v>left</x:v>
      </x:c>
      <x:c r="R1645" t="n">
        <x:v>-2</x:v>
      </x:c>
      <x:c r="S1645" t="n">
        <x:v>13</x:v>
      </x:c>
      <x:c r="T1645"/>
      <x:c r="U1645"/>
      <x:c r="V1645" t="n">
        <x:v>1</x:v>
      </x:c>
      <x:c r="W1645" t="n">
        <x:v>1</x:v>
      </x:c>
      <x:c r="X1645" t="n">
        <x:v>0</x:v>
      </x:c>
      <x:c r="Y1645" t="n">
        <x:v>0</x:v>
      </x:c>
      <x:c r="Z1645" t="n">
        <x:v>0</x:v>
      </x:c>
      <x:c r="AA1645" t="n">
        <x:v>0</x:v>
      </x:c>
      <x:c r="AB1645"/>
      <x:c r="AC1645" t="n">
        <x:v>0</x:v>
      </x:c>
      <x:c r="AD1645" t="n">
        <x:v>0.8335854463512078</x:v>
      </x:c>
      <x:c r="AE1645" t="n">
        <x:v>1</x:v>
      </x:c>
      <x:c r="AF1645" t="n">
        <x:v>0.011669754981994629</x:v>
      </x:c>
      <x:c r="AG1645" t="n">
        <x:f>_xlfn.XLOOKUP($A1645,Games!$A$2:$A$18,Games!$B$2:$B$18,"Missing game",0)</x:f>
        <x:v>2025</x:v>
      </x:c>
      <x:c r="AH1645" t="str">
        <x:f>_xlfn.XLOOKUP($A1645,Games!$A$2:$A$18,Games!$C$2:$C$18,"Missing game",0)</x:f>
        <x:v>REG</x:v>
      </x:c>
      <x:c r="AI1645" t="n">
        <x:f>_xlfn.XLOOKUP($A1645,Games!$A$2:$A$18,Games!$D$2:$D$18,"Missing game",0)</x:f>
        <x:v>11</x:v>
      </x:c>
      <x:c r="AJ1645" s="1" t="n">
        <x:f>_xlfn.XLOOKUP($A1645,Games!$A$2:$A$18,Games!$E$2:$E$18,"Missing game",0)</x:f>
        <x:v>45977</x:v>
      </x:c>
      <x:c r="AK1645" t="str">
        <x:f>_xlfn.XLOOKUP($A1645,Games!$A$2:$A$18,Games!$F$2:$F$18,"Missing game",0)</x:f>
        <x:v>Sunday</x:v>
      </x:c>
      <x:c r="AL1645" t="str">
        <x:f>_xlfn.XLOOKUP($A1645,Games!$A$2:$A$18,Games!$G$2:$G$18,"Missing game",0)</x:f>
        <x:v>CHI</x:v>
      </x:c>
      <x:c r="AM1645" t="n">
        <x:f>_xlfn.XLOOKUP($A1645,Games!$A$2:$A$18,Games!$H$2:$H$18,"Missing game",0)</x:f>
        <x:v>19</x:v>
      </x:c>
      <x:c r="AN1645" t="str">
        <x:f>_xlfn.XLOOKUP($A1645,Games!$A$2:$A$18,Games!$I$2:$I$18,"Missing game",0)</x:f>
        <x:v>MIN</x:v>
      </x:c>
      <x:c r="AO1645" t="n">
        <x:f>_xlfn.XLOOKUP($A1645,Games!$A$2:$A$18,Games!$J$2:$J$18,"Missing game",0)</x:f>
        <x:v>17</x:v>
      </x:c>
      <x:c r="AP1645" t="n">
        <x:f>_xlfn.XLOOKUP($A1645,Games!$A$2:$A$18,Games!$K$2:$K$18,"Missing game",0)</x:f>
        <x:v>-2</x:v>
      </x:c>
      <x:c r="AQ1645" t="n">
        <x:f>_xlfn.XLOOKUP($A1645,Games!$A$2:$A$18,Games!$L$2:$L$18,"Missing game",0)</x:f>
        <x:v>36</x:v>
      </x:c>
      <x:c r="AR1645" t="n">
        <x:f>_xlfn.XLOOKUP($A1645,Games!$A$2:$A$18,Games!$M$2:$M$18,"Missing game",0)</x:f>
        <x:v>0</x:v>
      </x:c>
      <x:c r="AS1645" t="str">
        <x:f>_xlfn.XLOOKUP($A1645,Games!$A$2:$A$18,Games!$N$2:$N$18,"Missing game",0)</x:f>
        <x:v>dome</x:v>
      </x:c>
      <x:c r="AT1645" t="str">
        <x:f>_xlfn.XLOOKUP($A1645,Games!$A$2:$A$18,Games!$O$2:$O$18,"Missing game",0)</x:f>
        <x:v>sportturf</x:v>
      </x:c>
      <x:c r="AU1645" t="str">
        <x:f>_xlfn.XLOOKUP($A1645,Games!$A$2:$A$18,Games!$P$2:$P$18,"Missing game",0)</x:f>
      </x:c>
      <x:c r="AV1645" t="str">
        <x:f>_xlfn.XLOOKUP($A1645,Games!$A$2:$A$18,Games!$Q$2:$Q$18,"Missing game",0)</x:f>
      </x:c>
      <x:c r="AW1645" t="str">
        <x:f>_xlfn.XLOOKUP($A1645,Games!$A$2:$A$18,Games!$R$2:$R$18,"Missing game",0)</x:f>
        <x:v>U.S. Bank Stadium</x:v>
      </x:c>
    </x:row>
    <x:row r="1646">
      <x:c r="A1646" t="str">
        <x:v>2025_11_CHI_MIN</x:v>
      </x:c>
      <x:c r="B1646" t="n">
        <x:v>2809</x:v>
      </x:c>
      <x:c r="C1646" t="n">
        <x:v>3</x:v>
      </x:c>
      <x:c r="D1646" t="str">
        <x:v>03:48</x:v>
      </x:c>
      <x:c r="E1646" t="n">
        <x:v>1</x:v>
      </x:c>
      <x:c r="F1646" t="n">
        <x:v>10</x:v>
      </x:c>
      <x:c r="G1646" t="str">
        <x:v>CHI</x:v>
      </x:c>
      <x:c r="H1646" t="str">
        <x:v>MIN</x:v>
      </x:c>
      <x:c r="I1646" t="str">
        <x:v>MIN</x:v>
      </x:c>
      <x:c r="J1646" t="n">
        <x:v>22</x:v>
      </x:c>
      <x:c r="K1646" t="str">
        <x:v>(3:48) 4-D.Swift right end to MIN 18 for 4 yards (44-J.Metellus).</x:v>
      </x:c>
      <x:c r="L1646" t="str">
        <x:v>run</x:v>
      </x:c>
      <x:c r="M1646" t="n">
        <x:v>4</x:v>
      </x:c>
      <x:c r="N1646" t="n">
        <x:v>0</x:v>
      </x:c>
      <x:c r="O1646" t="n">
        <x:v>0</x:v>
      </x:c>
      <x:c r="P1646"/>
      <x:c r="Q1646"/>
      <x:c r="R1646"/>
      <x:c r="S1646"/>
      <x:c r="T1646" t="str">
        <x:v>right</x:v>
      </x:c>
      <x:c r="U1646" t="str">
        <x:v>end</x:v>
      </x:c>
      <x:c r="V1646" t="n">
        <x:v>0</x:v>
      </x:c>
      <x:c r="W1646" t="n">
        <x:v>0</x:v>
      </x:c>
      <x:c r="X1646" t="n">
        <x:v>0</x:v>
      </x:c>
      <x:c r="Y1646" t="n">
        <x:v>0</x:v>
      </x:c>
      <x:c r="Z1646" t="n">
        <x:v>0</x:v>
      </x:c>
      <x:c r="AA1646" t="n">
        <x:v>0</x:v>
      </x:c>
      <x:c r="AB1646"/>
      <x:c r="AC1646" t="n">
        <x:v>0</x:v>
      </x:c>
      <x:c r="AD1646" t="n">
        <x:v>-0.10061996208969504</x:v>
      </x:c>
      <x:c r="AE1646" t="n">
        <x:v>0</x:v>
      </x:c>
      <x:c r="AF1646" t="n">
        <x:v>0.00774073600769043</x:v>
      </x:c>
      <x:c r="AG1646" t="n">
        <x:f>_xlfn.XLOOKUP($A1646,Games!$A$2:$A$18,Games!$B$2:$B$18,"Missing game",0)</x:f>
        <x:v>2025</x:v>
      </x:c>
      <x:c r="AH1646" t="str">
        <x:f>_xlfn.XLOOKUP($A1646,Games!$A$2:$A$18,Games!$C$2:$C$18,"Missing game",0)</x:f>
        <x:v>REG</x:v>
      </x:c>
      <x:c r="AI1646" t="n">
        <x:f>_xlfn.XLOOKUP($A1646,Games!$A$2:$A$18,Games!$D$2:$D$18,"Missing game",0)</x:f>
        <x:v>11</x:v>
      </x:c>
      <x:c r="AJ1646" s="1" t="n">
        <x:f>_xlfn.XLOOKUP($A1646,Games!$A$2:$A$18,Games!$E$2:$E$18,"Missing game",0)</x:f>
        <x:v>45977</x:v>
      </x:c>
      <x:c r="AK1646" t="str">
        <x:f>_xlfn.XLOOKUP($A1646,Games!$A$2:$A$18,Games!$F$2:$F$18,"Missing game",0)</x:f>
        <x:v>Sunday</x:v>
      </x:c>
      <x:c r="AL1646" t="str">
        <x:f>_xlfn.XLOOKUP($A1646,Games!$A$2:$A$18,Games!$G$2:$G$18,"Missing game",0)</x:f>
        <x:v>CHI</x:v>
      </x:c>
      <x:c r="AM1646" t="n">
        <x:f>_xlfn.XLOOKUP($A1646,Games!$A$2:$A$18,Games!$H$2:$H$18,"Missing game",0)</x:f>
        <x:v>19</x:v>
      </x:c>
      <x:c r="AN1646" t="str">
        <x:f>_xlfn.XLOOKUP($A1646,Games!$A$2:$A$18,Games!$I$2:$I$18,"Missing game",0)</x:f>
        <x:v>MIN</x:v>
      </x:c>
      <x:c r="AO1646" t="n">
        <x:f>_xlfn.XLOOKUP($A1646,Games!$A$2:$A$18,Games!$J$2:$J$18,"Missing game",0)</x:f>
        <x:v>17</x:v>
      </x:c>
      <x:c r="AP1646" t="n">
        <x:f>_xlfn.XLOOKUP($A1646,Games!$A$2:$A$18,Games!$K$2:$K$18,"Missing game",0)</x:f>
        <x:v>-2</x:v>
      </x:c>
      <x:c r="AQ1646" t="n">
        <x:f>_xlfn.XLOOKUP($A1646,Games!$A$2:$A$18,Games!$L$2:$L$18,"Missing game",0)</x:f>
        <x:v>36</x:v>
      </x:c>
      <x:c r="AR1646" t="n">
        <x:f>_xlfn.XLOOKUP($A1646,Games!$A$2:$A$18,Games!$M$2:$M$18,"Missing game",0)</x:f>
        <x:v>0</x:v>
      </x:c>
      <x:c r="AS1646" t="str">
        <x:f>_xlfn.XLOOKUP($A1646,Games!$A$2:$A$18,Games!$N$2:$N$18,"Missing game",0)</x:f>
        <x:v>dome</x:v>
      </x:c>
      <x:c r="AT1646" t="str">
        <x:f>_xlfn.XLOOKUP($A1646,Games!$A$2:$A$18,Games!$O$2:$O$18,"Missing game",0)</x:f>
        <x:v>sportturf</x:v>
      </x:c>
      <x:c r="AU1646" t="str">
        <x:f>_xlfn.XLOOKUP($A1646,Games!$A$2:$A$18,Games!$P$2:$P$18,"Missing game",0)</x:f>
      </x:c>
      <x:c r="AV1646" t="str">
        <x:f>_xlfn.XLOOKUP($A1646,Games!$A$2:$A$18,Games!$Q$2:$Q$18,"Missing game",0)</x:f>
      </x:c>
      <x:c r="AW1646" t="str">
        <x:f>_xlfn.XLOOKUP($A1646,Games!$A$2:$A$18,Games!$R$2:$R$18,"Missing game",0)</x:f>
        <x:v>U.S. Bank Stadium</x:v>
      </x:c>
    </x:row>
    <x:row r="1647">
      <x:c r="A1647" t="str">
        <x:v>2025_11_CHI_MIN</x:v>
      </x:c>
      <x:c r="B1647" t="n">
        <x:v>2831</x:v>
      </x:c>
      <x:c r="C1647" t="n">
        <x:v>3</x:v>
      </x:c>
      <x:c r="D1647" t="str">
        <x:v>03:01</x:v>
      </x:c>
      <x:c r="E1647" t="n">
        <x:v>2</x:v>
      </x:c>
      <x:c r="F1647" t="n">
        <x:v>6</x:v>
      </x:c>
      <x:c r="G1647" t="str">
        <x:v>CHI</x:v>
      </x:c>
      <x:c r="H1647" t="str">
        <x:v>MIN</x:v>
      </x:c>
      <x:c r="I1647" t="str">
        <x:v>MIN</x:v>
      </x:c>
      <x:c r="J1647" t="n">
        <x:v>18</x:v>
      </x:c>
      <x:c r="K1647" t="str">
        <x:v>(3:01) 4-D.Swift left guard to MIN 15 for 3 yards (97-J.Hargrave).</x:v>
      </x:c>
      <x:c r="L1647" t="str">
        <x:v>run</x:v>
      </x:c>
      <x:c r="M1647" t="n">
        <x:v>3</x:v>
      </x:c>
      <x:c r="N1647" t="n">
        <x:v>0</x:v>
      </x:c>
      <x:c r="O1647" t="n">
        <x:v>0</x:v>
      </x:c>
      <x:c r="P1647"/>
      <x:c r="Q1647"/>
      <x:c r="R1647"/>
      <x:c r="S1647"/>
      <x:c r="T1647" t="str">
        <x:v>left</x:v>
      </x:c>
      <x:c r="U1647" t="str">
        <x:v>guard</x:v>
      </x:c>
      <x:c r="V1647" t="n">
        <x:v>0</x:v>
      </x:c>
      <x:c r="W1647" t="n">
        <x:v>0</x:v>
      </x:c>
      <x:c r="X1647" t="n">
        <x:v>0</x:v>
      </x:c>
      <x:c r="Y1647" t="n">
        <x:v>0</x:v>
      </x:c>
      <x:c r="Z1647" t="n">
        <x:v>0</x:v>
      </x:c>
      <x:c r="AA1647" t="n">
        <x:v>0</x:v>
      </x:c>
      <x:c r="AB1647"/>
      <x:c r="AC1647" t="n">
        <x:v>0</x:v>
      </x:c>
      <x:c r="AD1647" t="n">
        <x:v>-0.21409626922104508</x:v>
      </x:c>
      <x:c r="AE1647" t="n">
        <x:v>0</x:v>
      </x:c>
      <x:c r="AF1647" t="n">
        <x:v>0.008116066455841064</x:v>
      </x:c>
      <x:c r="AG1647" t="n">
        <x:f>_xlfn.XLOOKUP($A1647,Games!$A$2:$A$18,Games!$B$2:$B$18,"Missing game",0)</x:f>
        <x:v>2025</x:v>
      </x:c>
      <x:c r="AH1647" t="str">
        <x:f>_xlfn.XLOOKUP($A1647,Games!$A$2:$A$18,Games!$C$2:$C$18,"Missing game",0)</x:f>
        <x:v>REG</x:v>
      </x:c>
      <x:c r="AI1647" t="n">
        <x:f>_xlfn.XLOOKUP($A1647,Games!$A$2:$A$18,Games!$D$2:$D$18,"Missing game",0)</x:f>
        <x:v>11</x:v>
      </x:c>
      <x:c r="AJ1647" s="1" t="n">
        <x:f>_xlfn.XLOOKUP($A1647,Games!$A$2:$A$18,Games!$E$2:$E$18,"Missing game",0)</x:f>
        <x:v>45977</x:v>
      </x:c>
      <x:c r="AK1647" t="str">
        <x:f>_xlfn.XLOOKUP($A1647,Games!$A$2:$A$18,Games!$F$2:$F$18,"Missing game",0)</x:f>
        <x:v>Sunday</x:v>
      </x:c>
      <x:c r="AL1647" t="str">
        <x:f>_xlfn.XLOOKUP($A1647,Games!$A$2:$A$18,Games!$G$2:$G$18,"Missing game",0)</x:f>
        <x:v>CHI</x:v>
      </x:c>
      <x:c r="AM1647" t="n">
        <x:f>_xlfn.XLOOKUP($A1647,Games!$A$2:$A$18,Games!$H$2:$H$18,"Missing game",0)</x:f>
        <x:v>19</x:v>
      </x:c>
      <x:c r="AN1647" t="str">
        <x:f>_xlfn.XLOOKUP($A1647,Games!$A$2:$A$18,Games!$I$2:$I$18,"Missing game",0)</x:f>
        <x:v>MIN</x:v>
      </x:c>
      <x:c r="AO1647" t="n">
        <x:f>_xlfn.XLOOKUP($A1647,Games!$A$2:$A$18,Games!$J$2:$J$18,"Missing game",0)</x:f>
        <x:v>17</x:v>
      </x:c>
      <x:c r="AP1647" t="n">
        <x:f>_xlfn.XLOOKUP($A1647,Games!$A$2:$A$18,Games!$K$2:$K$18,"Missing game",0)</x:f>
        <x:v>-2</x:v>
      </x:c>
      <x:c r="AQ1647" t="n">
        <x:f>_xlfn.XLOOKUP($A1647,Games!$A$2:$A$18,Games!$L$2:$L$18,"Missing game",0)</x:f>
        <x:v>36</x:v>
      </x:c>
      <x:c r="AR1647" t="n">
        <x:f>_xlfn.XLOOKUP($A1647,Games!$A$2:$A$18,Games!$M$2:$M$18,"Missing game",0)</x:f>
        <x:v>0</x:v>
      </x:c>
      <x:c r="AS1647" t="str">
        <x:f>_xlfn.XLOOKUP($A1647,Games!$A$2:$A$18,Games!$N$2:$N$18,"Missing game",0)</x:f>
        <x:v>dome</x:v>
      </x:c>
      <x:c r="AT1647" t="str">
        <x:f>_xlfn.XLOOKUP($A1647,Games!$A$2:$A$18,Games!$O$2:$O$18,"Missing game",0)</x:f>
        <x:v>sportturf</x:v>
      </x:c>
      <x:c r="AU1647" t="str">
        <x:f>_xlfn.XLOOKUP($A1647,Games!$A$2:$A$18,Games!$P$2:$P$18,"Missing game",0)</x:f>
      </x:c>
      <x:c r="AV1647" t="str">
        <x:f>_xlfn.XLOOKUP($A1647,Games!$A$2:$A$18,Games!$Q$2:$Q$18,"Missing game",0)</x:f>
      </x:c>
      <x:c r="AW1647" t="str">
        <x:f>_xlfn.XLOOKUP($A1647,Games!$A$2:$A$18,Games!$R$2:$R$18,"Missing game",0)</x:f>
        <x:v>U.S. Bank Stadium</x:v>
      </x:c>
    </x:row>
    <x:row r="1648">
      <x:c r="A1648" t="str">
        <x:v>2025_11_CHI_MIN</x:v>
      </x:c>
      <x:c r="B1648" t="n">
        <x:v>2853</x:v>
      </x:c>
      <x:c r="C1648" t="n">
        <x:v>3</x:v>
      </x:c>
      <x:c r="D1648" t="str">
        <x:v>02:20</x:v>
      </x:c>
      <x:c r="E1648" t="n">
        <x:v>3</x:v>
      </x:c>
      <x:c r="F1648" t="n">
        <x:v>3</x:v>
      </x:c>
      <x:c r="G1648" t="str">
        <x:v>CHI</x:v>
      </x:c>
      <x:c r="H1648" t="str">
        <x:v>MIN</x:v>
      </x:c>
      <x:c r="I1648" t="str">
        <x:v>MIN</x:v>
      </x:c>
      <x:c r="J1648" t="n">
        <x:v>15</x:v>
      </x:c>
      <x:c r="K1648" t="str">
        <x:v>(2:20) (Shotgun) 18-C.Williams pass incomplete short left to 84-C.Loveland.</x:v>
      </x:c>
      <x:c r="L1648" t="str">
        <x:v>pass</x:v>
      </x:c>
      <x:c r="M1648" t="n">
        <x:v>0</x:v>
      </x:c>
      <x:c r="N1648" t="n">
        <x:v>1</x:v>
      </x:c>
      <x:c r="O1648" t="n">
        <x:v>0</x:v>
      </x:c>
      <x:c r="P1648" t="str">
        <x:v>short</x:v>
      </x:c>
      <x:c r="Q1648" t="str">
        <x:v>left</x:v>
      </x:c>
      <x:c r="R1648" t="n">
        <x:v>15</x:v>
      </x:c>
      <x:c r="S1648"/>
      <x:c r="T1648"/>
      <x:c r="U1648"/>
      <x:c r="V1648" t="n">
        <x:v>0</x:v>
      </x:c>
      <x:c r="W1648" t="n">
        <x:v>0</x:v>
      </x:c>
      <x:c r="X1648" t="n">
        <x:v>0</x:v>
      </x:c>
      <x:c r="Y1648" t="n">
        <x:v>0</x:v>
      </x:c>
      <x:c r="Z1648" t="n">
        <x:v>0</x:v>
      </x:c>
      <x:c r="AA1648" t="n">
        <x:v>0</x:v>
      </x:c>
      <x:c r="AB1648"/>
      <x:c r="AC1648" t="n">
        <x:v>0</x:v>
      </x:c>
      <x:c r="AD1648" t="n">
        <x:v>-1.5257314178566146</x:v>
      </x:c>
      <x:c r="AE1648" t="n">
        <x:v>0</x:v>
      </x:c>
      <x:c r="AF1648" t="n">
        <x:v>-0.014149129390716553</x:v>
      </x:c>
      <x:c r="AG1648" t="n">
        <x:f>_xlfn.XLOOKUP($A1648,Games!$A$2:$A$18,Games!$B$2:$B$18,"Missing game",0)</x:f>
        <x:v>2025</x:v>
      </x:c>
      <x:c r="AH1648" t="str">
        <x:f>_xlfn.XLOOKUP($A1648,Games!$A$2:$A$18,Games!$C$2:$C$18,"Missing game",0)</x:f>
        <x:v>REG</x:v>
      </x:c>
      <x:c r="AI1648" t="n">
        <x:f>_xlfn.XLOOKUP($A1648,Games!$A$2:$A$18,Games!$D$2:$D$18,"Missing game",0)</x:f>
        <x:v>11</x:v>
      </x:c>
      <x:c r="AJ1648" s="1" t="n">
        <x:f>_xlfn.XLOOKUP($A1648,Games!$A$2:$A$18,Games!$E$2:$E$18,"Missing game",0)</x:f>
        <x:v>45977</x:v>
      </x:c>
      <x:c r="AK1648" t="str">
        <x:f>_xlfn.XLOOKUP($A1648,Games!$A$2:$A$18,Games!$F$2:$F$18,"Missing game",0)</x:f>
        <x:v>Sunday</x:v>
      </x:c>
      <x:c r="AL1648" t="str">
        <x:f>_xlfn.XLOOKUP($A1648,Games!$A$2:$A$18,Games!$G$2:$G$18,"Missing game",0)</x:f>
        <x:v>CHI</x:v>
      </x:c>
      <x:c r="AM1648" t="n">
        <x:f>_xlfn.XLOOKUP($A1648,Games!$A$2:$A$18,Games!$H$2:$H$18,"Missing game",0)</x:f>
        <x:v>19</x:v>
      </x:c>
      <x:c r="AN1648" t="str">
        <x:f>_xlfn.XLOOKUP($A1648,Games!$A$2:$A$18,Games!$I$2:$I$18,"Missing game",0)</x:f>
        <x:v>MIN</x:v>
      </x:c>
      <x:c r="AO1648" t="n">
        <x:f>_xlfn.XLOOKUP($A1648,Games!$A$2:$A$18,Games!$J$2:$J$18,"Missing game",0)</x:f>
        <x:v>17</x:v>
      </x:c>
      <x:c r="AP1648" t="n">
        <x:f>_xlfn.XLOOKUP($A1648,Games!$A$2:$A$18,Games!$K$2:$K$18,"Missing game",0)</x:f>
        <x:v>-2</x:v>
      </x:c>
      <x:c r="AQ1648" t="n">
        <x:f>_xlfn.XLOOKUP($A1648,Games!$A$2:$A$18,Games!$L$2:$L$18,"Missing game",0)</x:f>
        <x:v>36</x:v>
      </x:c>
      <x:c r="AR1648" t="n">
        <x:f>_xlfn.XLOOKUP($A1648,Games!$A$2:$A$18,Games!$M$2:$M$18,"Missing game",0)</x:f>
        <x:v>0</x:v>
      </x:c>
      <x:c r="AS1648" t="str">
        <x:f>_xlfn.XLOOKUP($A1648,Games!$A$2:$A$18,Games!$N$2:$N$18,"Missing game",0)</x:f>
        <x:v>dome</x:v>
      </x:c>
      <x:c r="AT1648" t="str">
        <x:f>_xlfn.XLOOKUP($A1648,Games!$A$2:$A$18,Games!$O$2:$O$18,"Missing game",0)</x:f>
        <x:v>sportturf</x:v>
      </x:c>
      <x:c r="AU1648" t="str">
        <x:f>_xlfn.XLOOKUP($A1648,Games!$A$2:$A$18,Games!$P$2:$P$18,"Missing game",0)</x:f>
      </x:c>
      <x:c r="AV1648" t="str">
        <x:f>_xlfn.XLOOKUP($A1648,Games!$A$2:$A$18,Games!$Q$2:$Q$18,"Missing game",0)</x:f>
      </x:c>
      <x:c r="AW1648" t="str">
        <x:f>_xlfn.XLOOKUP($A1648,Games!$A$2:$A$18,Games!$R$2:$R$18,"Missing game",0)</x:f>
        <x:v>U.S. Bank Stadium</x:v>
      </x:c>
    </x:row>
    <x:row r="1649">
      <x:c r="A1649" t="str">
        <x:v>2025_11_CHI_MIN</x:v>
      </x:c>
      <x:c r="B1649" t="n">
        <x:v>2876</x:v>
      </x:c>
      <x:c r="C1649" t="n">
        <x:v>3</x:v>
      </x:c>
      <x:c r="D1649" t="str">
        <x:v>02:15</x:v>
      </x:c>
      <x:c r="E1649" t="n">
        <x:v>4</x:v>
      </x:c>
      <x:c r="F1649" t="n">
        <x:v>3</x:v>
      </x:c>
      <x:c r="G1649" t="str">
        <x:v>CHI</x:v>
      </x:c>
      <x:c r="H1649" t="str">
        <x:v>MIN</x:v>
      </x:c>
      <x:c r="I1649" t="str">
        <x:v>MIN</x:v>
      </x:c>
      <x:c r="J1649" t="n">
        <x:v>15</x:v>
      </x:c>
      <x:c r="K1649" t="str">
        <x:v>(2:15) 8-C.Santos 33 yard field goal is GOOD, Center-46-S.Daly, Holder-19-T.Taylor.</x:v>
      </x:c>
      <x:c r="L1649" t="str">
        <x:v>field_goal</x:v>
      </x:c>
      <x:c r="M1649" t="n">
        <x:v>0</x:v>
      </x:c>
      <x:c r="N1649" t="n">
        <x:v>0</x:v>
      </x:c>
      <x:c r="O1649" t="n">
        <x:v>0</x:v>
      </x:c>
      <x:c r="P1649"/>
      <x:c r="Q1649"/>
      <x:c r="R1649"/>
      <x:c r="S1649"/>
      <x:c r="T1649"/>
      <x:c r="U1649"/>
      <x:c r="V1649" t="n">
        <x:v>0</x:v>
      </x:c>
      <x:c r="W1649" t="n">
        <x:v>0</x:v>
      </x:c>
      <x:c r="X1649" t="n">
        <x:v>0</x:v>
      </x:c>
      <x:c r="Y1649" t="n">
        <x:v>0</x:v>
      </x:c>
      <x:c r="Z1649" t="n">
        <x:v>0</x:v>
      </x:c>
      <x:c r="AA1649" t="n">
        <x:v>0</x:v>
      </x:c>
      <x:c r="AB1649"/>
      <x:c r="AC1649" t="n">
        <x:v>0</x:v>
      </x:c>
      <x:c r="AD1649" t="n">
        <x:v>0.1972489641452837</x:v>
      </x:c>
      <x:c r="AE1649" t="n">
        <x:v>1</x:v>
      </x:c>
      <x:c r="AF1649" t="n">
        <x:v>0.01634146273136139</x:v>
      </x:c>
      <x:c r="AG1649" t="n">
        <x:f>_xlfn.XLOOKUP($A1649,Games!$A$2:$A$18,Games!$B$2:$B$18,"Missing game",0)</x:f>
        <x:v>2025</x:v>
      </x:c>
      <x:c r="AH1649" t="str">
        <x:f>_xlfn.XLOOKUP($A1649,Games!$A$2:$A$18,Games!$C$2:$C$18,"Missing game",0)</x:f>
        <x:v>REG</x:v>
      </x:c>
      <x:c r="AI1649" t="n">
        <x:f>_xlfn.XLOOKUP($A1649,Games!$A$2:$A$18,Games!$D$2:$D$18,"Missing game",0)</x:f>
        <x:v>11</x:v>
      </x:c>
      <x:c r="AJ1649" s="1" t="n">
        <x:f>_xlfn.XLOOKUP($A1649,Games!$A$2:$A$18,Games!$E$2:$E$18,"Missing game",0)</x:f>
        <x:v>45977</x:v>
      </x:c>
      <x:c r="AK1649" t="str">
        <x:f>_xlfn.XLOOKUP($A1649,Games!$A$2:$A$18,Games!$F$2:$F$18,"Missing game",0)</x:f>
        <x:v>Sunday</x:v>
      </x:c>
      <x:c r="AL1649" t="str">
        <x:f>_xlfn.XLOOKUP($A1649,Games!$A$2:$A$18,Games!$G$2:$G$18,"Missing game",0)</x:f>
        <x:v>CHI</x:v>
      </x:c>
      <x:c r="AM1649" t="n">
        <x:f>_xlfn.XLOOKUP($A1649,Games!$A$2:$A$18,Games!$H$2:$H$18,"Missing game",0)</x:f>
        <x:v>19</x:v>
      </x:c>
      <x:c r="AN1649" t="str">
        <x:f>_xlfn.XLOOKUP($A1649,Games!$A$2:$A$18,Games!$I$2:$I$18,"Missing game",0)</x:f>
        <x:v>MIN</x:v>
      </x:c>
      <x:c r="AO1649" t="n">
        <x:f>_xlfn.XLOOKUP($A1649,Games!$A$2:$A$18,Games!$J$2:$J$18,"Missing game",0)</x:f>
        <x:v>17</x:v>
      </x:c>
      <x:c r="AP1649" t="n">
        <x:f>_xlfn.XLOOKUP($A1649,Games!$A$2:$A$18,Games!$K$2:$K$18,"Missing game",0)</x:f>
        <x:v>-2</x:v>
      </x:c>
      <x:c r="AQ1649" t="n">
        <x:f>_xlfn.XLOOKUP($A1649,Games!$A$2:$A$18,Games!$L$2:$L$18,"Missing game",0)</x:f>
        <x:v>36</x:v>
      </x:c>
      <x:c r="AR1649" t="n">
        <x:f>_xlfn.XLOOKUP($A1649,Games!$A$2:$A$18,Games!$M$2:$M$18,"Missing game",0)</x:f>
        <x:v>0</x:v>
      </x:c>
      <x:c r="AS1649" t="str">
        <x:f>_xlfn.XLOOKUP($A1649,Games!$A$2:$A$18,Games!$N$2:$N$18,"Missing game",0)</x:f>
        <x:v>dome</x:v>
      </x:c>
      <x:c r="AT1649" t="str">
        <x:f>_xlfn.XLOOKUP($A1649,Games!$A$2:$A$18,Games!$O$2:$O$18,"Missing game",0)</x:f>
        <x:v>sportturf</x:v>
      </x:c>
      <x:c r="AU1649" t="str">
        <x:f>_xlfn.XLOOKUP($A1649,Games!$A$2:$A$18,Games!$P$2:$P$18,"Missing game",0)</x:f>
      </x:c>
      <x:c r="AV1649" t="str">
        <x:f>_xlfn.XLOOKUP($A1649,Games!$A$2:$A$18,Games!$Q$2:$Q$18,"Missing game",0)</x:f>
      </x:c>
      <x:c r="AW1649" t="str">
        <x:f>_xlfn.XLOOKUP($A1649,Games!$A$2:$A$18,Games!$R$2:$R$18,"Missing game",0)</x:f>
        <x:v>U.S. Bank Stadium</x:v>
      </x:c>
    </x:row>
    <x:row r="1650">
      <x:c r="A1650" t="str">
        <x:v>2025_11_CHI_MIN</x:v>
      </x:c>
      <x:c r="B1650" t="n">
        <x:v>2896</x:v>
      </x:c>
      <x:c r="C1650" t="n">
        <x:v>3</x:v>
      </x:c>
      <x:c r="D1650" t="str">
        <x:v>02:11</x:v>
      </x:c>
      <x:c r="E1650"/>
      <x:c r="F1650" t="n">
        <x:v>0</x:v>
      </x:c>
      <x:c r="G1650" t="str">
        <x:v>MIN</x:v>
      </x:c>
      <x:c r="H1650" t="str">
        <x:v>CHI</x:v>
      </x:c>
      <x:c r="I1650" t="str">
        <x:v>CHI</x:v>
      </x:c>
      <x:c r="J1650" t="n">
        <x:v>35</x:v>
      </x:c>
      <x:c r="K1650" t="str">
        <x:v>8-C.Santos kicks 63 yards from CHI 35 to MIN 2. 4-M.Price to MIN 21 for 19 yards (23-R.Johnson).</x:v>
      </x:c>
      <x:c r="L1650" t="str">
        <x:v>kickoff</x:v>
      </x:c>
      <x:c r="M1650" t="n">
        <x:v>0</x:v>
      </x:c>
      <x:c r="N1650" t="n">
        <x:v>0</x:v>
      </x:c>
      <x:c r="O1650" t="n">
        <x:v>0</x:v>
      </x:c>
      <x:c r="P1650"/>
      <x:c r="Q1650"/>
      <x:c r="R1650"/>
      <x:c r="S1650"/>
      <x:c r="T1650"/>
      <x:c r="U1650"/>
      <x:c r="V1650" t="n">
        <x:v>0</x:v>
      </x:c>
      <x:c r="W1650" t="n">
        <x:v>0</x:v>
      </x:c>
      <x:c r="X1650" t="n">
        <x:v>0</x:v>
      </x:c>
      <x:c r="Y1650" t="n">
        <x:v>0</x:v>
      </x:c>
      <x:c r="Z1650" t="n">
        <x:v>0</x:v>
      </x:c>
      <x:c r="AA1650" t="n">
        <x:v>0</x:v>
      </x:c>
      <x:c r="AB1650"/>
      <x:c r="AC1650" t="n">
        <x:v>0</x:v>
      </x:c>
      <x:c r="AD1650" t="n">
        <x:v>-0.40757166035473347</x:v>
      </x:c>
      <x:c r="AE1650" t="n">
        <x:v>0</x:v>
      </x:c>
      <x:c r="AF1650" t="n">
        <x:v>-0.006881721317768097</x:v>
      </x:c>
      <x:c r="AG1650" t="n">
        <x:f>_xlfn.XLOOKUP($A1650,Games!$A$2:$A$18,Games!$B$2:$B$18,"Missing game",0)</x:f>
        <x:v>2025</x:v>
      </x:c>
      <x:c r="AH1650" t="str">
        <x:f>_xlfn.XLOOKUP($A1650,Games!$A$2:$A$18,Games!$C$2:$C$18,"Missing game",0)</x:f>
        <x:v>REG</x:v>
      </x:c>
      <x:c r="AI1650" t="n">
        <x:f>_xlfn.XLOOKUP($A1650,Games!$A$2:$A$18,Games!$D$2:$D$18,"Missing game",0)</x:f>
        <x:v>11</x:v>
      </x:c>
      <x:c r="AJ1650" s="1" t="n">
        <x:f>_xlfn.XLOOKUP($A1650,Games!$A$2:$A$18,Games!$E$2:$E$18,"Missing game",0)</x:f>
        <x:v>45977</x:v>
      </x:c>
      <x:c r="AK1650" t="str">
        <x:f>_xlfn.XLOOKUP($A1650,Games!$A$2:$A$18,Games!$F$2:$F$18,"Missing game",0)</x:f>
        <x:v>Sunday</x:v>
      </x:c>
      <x:c r="AL1650" t="str">
        <x:f>_xlfn.XLOOKUP($A1650,Games!$A$2:$A$18,Games!$G$2:$G$18,"Missing game",0)</x:f>
        <x:v>CHI</x:v>
      </x:c>
      <x:c r="AM1650" t="n">
        <x:f>_xlfn.XLOOKUP($A1650,Games!$A$2:$A$18,Games!$H$2:$H$18,"Missing game",0)</x:f>
        <x:v>19</x:v>
      </x:c>
      <x:c r="AN1650" t="str">
        <x:f>_xlfn.XLOOKUP($A1650,Games!$A$2:$A$18,Games!$I$2:$I$18,"Missing game",0)</x:f>
        <x:v>MIN</x:v>
      </x:c>
      <x:c r="AO1650" t="n">
        <x:f>_xlfn.XLOOKUP($A1650,Games!$A$2:$A$18,Games!$J$2:$J$18,"Missing game",0)</x:f>
        <x:v>17</x:v>
      </x:c>
      <x:c r="AP1650" t="n">
        <x:f>_xlfn.XLOOKUP($A1650,Games!$A$2:$A$18,Games!$K$2:$K$18,"Missing game",0)</x:f>
        <x:v>-2</x:v>
      </x:c>
      <x:c r="AQ1650" t="n">
        <x:f>_xlfn.XLOOKUP($A1650,Games!$A$2:$A$18,Games!$L$2:$L$18,"Missing game",0)</x:f>
        <x:v>36</x:v>
      </x:c>
      <x:c r="AR1650" t="n">
        <x:f>_xlfn.XLOOKUP($A1650,Games!$A$2:$A$18,Games!$M$2:$M$18,"Missing game",0)</x:f>
        <x:v>0</x:v>
      </x:c>
      <x:c r="AS1650" t="str">
        <x:f>_xlfn.XLOOKUP($A1650,Games!$A$2:$A$18,Games!$N$2:$N$18,"Missing game",0)</x:f>
        <x:v>dome</x:v>
      </x:c>
      <x:c r="AT1650" t="str">
        <x:f>_xlfn.XLOOKUP($A1650,Games!$A$2:$A$18,Games!$O$2:$O$18,"Missing game",0)</x:f>
        <x:v>sportturf</x:v>
      </x:c>
      <x:c r="AU1650" t="str">
        <x:f>_xlfn.XLOOKUP($A1650,Games!$A$2:$A$18,Games!$P$2:$P$18,"Missing game",0)</x:f>
      </x:c>
      <x:c r="AV1650" t="str">
        <x:f>_xlfn.XLOOKUP($A1650,Games!$A$2:$A$18,Games!$Q$2:$Q$18,"Missing game",0)</x:f>
      </x:c>
      <x:c r="AW1650" t="str">
        <x:f>_xlfn.XLOOKUP($A1650,Games!$A$2:$A$18,Games!$R$2:$R$18,"Missing game",0)</x:f>
        <x:v>U.S. Bank Stadium</x:v>
      </x:c>
    </x:row>
    <x:row r="1651">
      <x:c r="A1651" t="str">
        <x:v>2025_11_CHI_MIN</x:v>
      </x:c>
      <x:c r="B1651" t="n">
        <x:v>2926</x:v>
      </x:c>
      <x:c r="C1651" t="n">
        <x:v>3</x:v>
      </x:c>
      <x:c r="D1651" t="str">
        <x:v>02:05</x:v>
      </x:c>
      <x:c r="E1651" t="n">
        <x:v>1</x:v>
      </x:c>
      <x:c r="F1651" t="n">
        <x:v>10</x:v>
      </x:c>
      <x:c r="G1651" t="str">
        <x:v>MIN</x:v>
      </x:c>
      <x:c r="H1651" t="str">
        <x:v>CHI</x:v>
      </x:c>
      <x:c r="I1651" t="str">
        <x:v>MIN</x:v>
      </x:c>
      <x:c r="J1651" t="n">
        <x:v>79</x:v>
      </x:c>
      <x:c r="K1651" t="str">
        <x:v>(2:05) 27-J.Mason left guard to MIN 29 for 8 yards (50-G.Jarrett; 44-N.Sewell).</x:v>
      </x:c>
      <x:c r="L1651" t="str">
        <x:v>run</x:v>
      </x:c>
      <x:c r="M1651" t="n">
        <x:v>8</x:v>
      </x:c>
      <x:c r="N1651" t="n">
        <x:v>0</x:v>
      </x:c>
      <x:c r="O1651" t="n">
        <x:v>0</x:v>
      </x:c>
      <x:c r="P1651"/>
      <x:c r="Q1651"/>
      <x:c r="R1651"/>
      <x:c r="S1651"/>
      <x:c r="T1651" t="str">
        <x:v>left</x:v>
      </x:c>
      <x:c r="U1651" t="str">
        <x:v>guard</x:v>
      </x:c>
      <x:c r="V1651" t="n">
        <x:v>0</x:v>
      </x:c>
      <x:c r="W1651" t="n">
        <x:v>0</x:v>
      </x:c>
      <x:c r="X1651" t="n">
        <x:v>0</x:v>
      </x:c>
      <x:c r="Y1651" t="n">
        <x:v>0</x:v>
      </x:c>
      <x:c r="Z1651" t="n">
        <x:v>0</x:v>
      </x:c>
      <x:c r="AA1651" t="n">
        <x:v>0</x:v>
      </x:c>
      <x:c r="AB1651"/>
      <x:c r="AC1651" t="n">
        <x:v>0</x:v>
      </x:c>
      <x:c r="AD1651" t="n">
        <x:v>0.7251696134917438</x:v>
      </x:c>
      <x:c r="AE1651" t="n">
        <x:v>1</x:v>
      </x:c>
      <x:c r="AF1651" t="n">
        <x:v>0.014447428286075592</x:v>
      </x:c>
      <x:c r="AG1651" t="n">
        <x:f>_xlfn.XLOOKUP($A1651,Games!$A$2:$A$18,Games!$B$2:$B$18,"Missing game",0)</x:f>
        <x:v>2025</x:v>
      </x:c>
      <x:c r="AH1651" t="str">
        <x:f>_xlfn.XLOOKUP($A1651,Games!$A$2:$A$18,Games!$C$2:$C$18,"Missing game",0)</x:f>
        <x:v>REG</x:v>
      </x:c>
      <x:c r="AI1651" t="n">
        <x:f>_xlfn.XLOOKUP($A1651,Games!$A$2:$A$18,Games!$D$2:$D$18,"Missing game",0)</x:f>
        <x:v>11</x:v>
      </x:c>
      <x:c r="AJ1651" s="1" t="n">
        <x:f>_xlfn.XLOOKUP($A1651,Games!$A$2:$A$18,Games!$E$2:$E$18,"Missing game",0)</x:f>
        <x:v>45977</x:v>
      </x:c>
      <x:c r="AK1651" t="str">
        <x:f>_xlfn.XLOOKUP($A1651,Games!$A$2:$A$18,Games!$F$2:$F$18,"Missing game",0)</x:f>
        <x:v>Sunday</x:v>
      </x:c>
      <x:c r="AL1651" t="str">
        <x:f>_xlfn.XLOOKUP($A1651,Games!$A$2:$A$18,Games!$G$2:$G$18,"Missing game",0)</x:f>
        <x:v>CHI</x:v>
      </x:c>
      <x:c r="AM1651" t="n">
        <x:f>_xlfn.XLOOKUP($A1651,Games!$A$2:$A$18,Games!$H$2:$H$18,"Missing game",0)</x:f>
        <x:v>19</x:v>
      </x:c>
      <x:c r="AN1651" t="str">
        <x:f>_xlfn.XLOOKUP($A1651,Games!$A$2:$A$18,Games!$I$2:$I$18,"Missing game",0)</x:f>
        <x:v>MIN</x:v>
      </x:c>
      <x:c r="AO1651" t="n">
        <x:f>_xlfn.XLOOKUP($A1651,Games!$A$2:$A$18,Games!$J$2:$J$18,"Missing game",0)</x:f>
        <x:v>17</x:v>
      </x:c>
      <x:c r="AP1651" t="n">
        <x:f>_xlfn.XLOOKUP($A1651,Games!$A$2:$A$18,Games!$K$2:$K$18,"Missing game",0)</x:f>
        <x:v>-2</x:v>
      </x:c>
      <x:c r="AQ1651" t="n">
        <x:f>_xlfn.XLOOKUP($A1651,Games!$A$2:$A$18,Games!$L$2:$L$18,"Missing game",0)</x:f>
        <x:v>36</x:v>
      </x:c>
      <x:c r="AR1651" t="n">
        <x:f>_xlfn.XLOOKUP($A1651,Games!$A$2:$A$18,Games!$M$2:$M$18,"Missing game",0)</x:f>
        <x:v>0</x:v>
      </x:c>
      <x:c r="AS1651" t="str">
        <x:f>_xlfn.XLOOKUP($A1651,Games!$A$2:$A$18,Games!$N$2:$N$18,"Missing game",0)</x:f>
        <x:v>dome</x:v>
      </x:c>
      <x:c r="AT1651" t="str">
        <x:f>_xlfn.XLOOKUP($A1651,Games!$A$2:$A$18,Games!$O$2:$O$18,"Missing game",0)</x:f>
        <x:v>sportturf</x:v>
      </x:c>
      <x:c r="AU1651" t="str">
        <x:f>_xlfn.XLOOKUP($A1651,Games!$A$2:$A$18,Games!$P$2:$P$18,"Missing game",0)</x:f>
      </x:c>
      <x:c r="AV1651" t="str">
        <x:f>_xlfn.XLOOKUP($A1651,Games!$A$2:$A$18,Games!$Q$2:$Q$18,"Missing game",0)</x:f>
      </x:c>
      <x:c r="AW1651" t="str">
        <x:f>_xlfn.XLOOKUP($A1651,Games!$A$2:$A$18,Games!$R$2:$R$18,"Missing game",0)</x:f>
        <x:v>U.S. Bank Stadium</x:v>
      </x:c>
    </x:row>
    <x:row r="1652">
      <x:c r="A1652" t="str">
        <x:v>2025_11_CHI_MIN</x:v>
      </x:c>
      <x:c r="B1652" t="n">
        <x:v>2948</x:v>
      </x:c>
      <x:c r="C1652" t="n">
        <x:v>3</x:v>
      </x:c>
      <x:c r="D1652" t="str">
        <x:v>01:25</x:v>
      </x:c>
      <x:c r="E1652" t="n">
        <x:v>2</x:v>
      </x:c>
      <x:c r="F1652" t="n">
        <x:v>2</x:v>
      </x:c>
      <x:c r="G1652" t="str">
        <x:v>MIN</x:v>
      </x:c>
      <x:c r="H1652" t="str">
        <x:v>CHI</x:v>
      </x:c>
      <x:c r="I1652" t="str">
        <x:v>MIN</x:v>
      </x:c>
      <x:c r="J1652" t="n">
        <x:v>71</x:v>
      </x:c>
      <x:c r="K1652" t="str">
        <x:v>(1:25) 9-J.McCarthy pass incomplete deep right to 3-J.Addison (29-T.Stevenson). CHI-29-T.Stevenson was injured during the play.</x:v>
      </x:c>
      <x:c r="L1652" t="str">
        <x:v>pass</x:v>
      </x:c>
      <x:c r="M1652" t="n">
        <x:v>0</x:v>
      </x:c>
      <x:c r="N1652" t="n">
        <x:v>0</x:v>
      </x:c>
      <x:c r="O1652" t="n">
        <x:v>0</x:v>
      </x:c>
      <x:c r="P1652" t="str">
        <x:v>deep</x:v>
      </x:c>
      <x:c r="Q1652" t="str">
        <x:v>right</x:v>
      </x:c>
      <x:c r="R1652" t="n">
        <x:v>30</x:v>
      </x:c>
      <x:c r="S1652"/>
      <x:c r="T1652"/>
      <x:c r="U1652"/>
      <x:c r="V1652" t="n">
        <x:v>0</x:v>
      </x:c>
      <x:c r="W1652" t="n">
        <x:v>0</x:v>
      </x:c>
      <x:c r="X1652" t="n">
        <x:v>0</x:v>
      </x:c>
      <x:c r="Y1652" t="n">
        <x:v>0</x:v>
      </x:c>
      <x:c r="Z1652" t="n">
        <x:v>0</x:v>
      </x:c>
      <x:c r="AA1652" t="n">
        <x:v>0</x:v>
      </x:c>
      <x:c r="AB1652"/>
      <x:c r="AC1652" t="n">
        <x:v>0</x:v>
      </x:c>
      <x:c r="AD1652" t="n">
        <x:v>-0.7478893422521651</x:v>
      </x:c>
      <x:c r="AE1652" t="n">
        <x:v>0</x:v>
      </x:c>
      <x:c r="AF1652" t="n">
        <x:v>-0.012024462223052979</x:v>
      </x:c>
      <x:c r="AG1652" t="n">
        <x:f>_xlfn.XLOOKUP($A1652,Games!$A$2:$A$18,Games!$B$2:$B$18,"Missing game",0)</x:f>
        <x:v>2025</x:v>
      </x:c>
      <x:c r="AH1652" t="str">
        <x:f>_xlfn.XLOOKUP($A1652,Games!$A$2:$A$18,Games!$C$2:$C$18,"Missing game",0)</x:f>
        <x:v>REG</x:v>
      </x:c>
      <x:c r="AI1652" t="n">
        <x:f>_xlfn.XLOOKUP($A1652,Games!$A$2:$A$18,Games!$D$2:$D$18,"Missing game",0)</x:f>
        <x:v>11</x:v>
      </x:c>
      <x:c r="AJ1652" s="1" t="n">
        <x:f>_xlfn.XLOOKUP($A1652,Games!$A$2:$A$18,Games!$E$2:$E$18,"Missing game",0)</x:f>
        <x:v>45977</x:v>
      </x:c>
      <x:c r="AK1652" t="str">
        <x:f>_xlfn.XLOOKUP($A1652,Games!$A$2:$A$18,Games!$F$2:$F$18,"Missing game",0)</x:f>
        <x:v>Sunday</x:v>
      </x:c>
      <x:c r="AL1652" t="str">
        <x:f>_xlfn.XLOOKUP($A1652,Games!$A$2:$A$18,Games!$G$2:$G$18,"Missing game",0)</x:f>
        <x:v>CHI</x:v>
      </x:c>
      <x:c r="AM1652" t="n">
        <x:f>_xlfn.XLOOKUP($A1652,Games!$A$2:$A$18,Games!$H$2:$H$18,"Missing game",0)</x:f>
        <x:v>19</x:v>
      </x:c>
      <x:c r="AN1652" t="str">
        <x:f>_xlfn.XLOOKUP($A1652,Games!$A$2:$A$18,Games!$I$2:$I$18,"Missing game",0)</x:f>
        <x:v>MIN</x:v>
      </x:c>
      <x:c r="AO1652" t="n">
        <x:f>_xlfn.XLOOKUP($A1652,Games!$A$2:$A$18,Games!$J$2:$J$18,"Missing game",0)</x:f>
        <x:v>17</x:v>
      </x:c>
      <x:c r="AP1652" t="n">
        <x:f>_xlfn.XLOOKUP($A1652,Games!$A$2:$A$18,Games!$K$2:$K$18,"Missing game",0)</x:f>
        <x:v>-2</x:v>
      </x:c>
      <x:c r="AQ1652" t="n">
        <x:f>_xlfn.XLOOKUP($A1652,Games!$A$2:$A$18,Games!$L$2:$L$18,"Missing game",0)</x:f>
        <x:v>36</x:v>
      </x:c>
      <x:c r="AR1652" t="n">
        <x:f>_xlfn.XLOOKUP($A1652,Games!$A$2:$A$18,Games!$M$2:$M$18,"Missing game",0)</x:f>
        <x:v>0</x:v>
      </x:c>
      <x:c r="AS1652" t="str">
        <x:f>_xlfn.XLOOKUP($A1652,Games!$A$2:$A$18,Games!$N$2:$N$18,"Missing game",0)</x:f>
        <x:v>dome</x:v>
      </x:c>
      <x:c r="AT1652" t="str">
        <x:f>_xlfn.XLOOKUP($A1652,Games!$A$2:$A$18,Games!$O$2:$O$18,"Missing game",0)</x:f>
        <x:v>sportturf</x:v>
      </x:c>
      <x:c r="AU1652" t="str">
        <x:f>_xlfn.XLOOKUP($A1652,Games!$A$2:$A$18,Games!$P$2:$P$18,"Missing game",0)</x:f>
      </x:c>
      <x:c r="AV1652" t="str">
        <x:f>_xlfn.XLOOKUP($A1652,Games!$A$2:$A$18,Games!$Q$2:$Q$18,"Missing game",0)</x:f>
      </x:c>
      <x:c r="AW1652" t="str">
        <x:f>_xlfn.XLOOKUP($A1652,Games!$A$2:$A$18,Games!$R$2:$R$18,"Missing game",0)</x:f>
        <x:v>U.S. Bank Stadium</x:v>
      </x:c>
    </x:row>
    <x:row r="1653">
      <x:c r="A1653" t="str">
        <x:v>2025_11_CHI_MIN</x:v>
      </x:c>
      <x:c r="B1653" t="n">
        <x:v>2986</x:v>
      </x:c>
      <x:c r="C1653" t="n">
        <x:v>3</x:v>
      </x:c>
      <x:c r="D1653" t="str">
        <x:v>01:18</x:v>
      </x:c>
      <x:c r="E1653" t="n">
        <x:v>3</x:v>
      </x:c>
      <x:c r="F1653" t="n">
        <x:v>2</x:v>
      </x:c>
      <x:c r="G1653" t="str">
        <x:v>MIN</x:v>
      </x:c>
      <x:c r="H1653" t="str">
        <x:v>CHI</x:v>
      </x:c>
      <x:c r="I1653" t="str">
        <x:v>MIN</x:v>
      </x:c>
      <x:c r="J1653" t="n">
        <x:v>71</x:v>
      </x:c>
      <x:c r="K1653" t="str">
        <x:v>(1:18) (Shotgun) 9-J.McCarthy pass incomplete short left to 18-J.Jefferson.</x:v>
      </x:c>
      <x:c r="L1653" t="str">
        <x:v>pass</x:v>
      </x:c>
      <x:c r="M1653" t="n">
        <x:v>0</x:v>
      </x:c>
      <x:c r="N1653" t="n">
        <x:v>1</x:v>
      </x:c>
      <x:c r="O1653" t="n">
        <x:v>0</x:v>
      </x:c>
      <x:c r="P1653" t="str">
        <x:v>short</x:v>
      </x:c>
      <x:c r="Q1653" t="str">
        <x:v>left</x:v>
      </x:c>
      <x:c r="R1653" t="n">
        <x:v>13</x:v>
      </x:c>
      <x:c r="S1653"/>
      <x:c r="T1653"/>
      <x:c r="U1653"/>
      <x:c r="V1653" t="n">
        <x:v>0</x:v>
      </x:c>
      <x:c r="W1653" t="n">
        <x:v>0</x:v>
      </x:c>
      <x:c r="X1653" t="n">
        <x:v>0</x:v>
      </x:c>
      <x:c r="Y1653" t="n">
        <x:v>0</x:v>
      </x:c>
      <x:c r="Z1653" t="n">
        <x:v>0</x:v>
      </x:c>
      <x:c r="AA1653" t="n">
        <x:v>0</x:v>
      </x:c>
      <x:c r="AB1653"/>
      <x:c r="AC1653" t="n">
        <x:v>0</x:v>
      </x:c>
      <x:c r="AD1653" t="n">
        <x:v>-1.8253793930634856</x:v>
      </x:c>
      <x:c r="AE1653" t="n">
        <x:v>0</x:v>
      </x:c>
      <x:c r="AF1653" t="n">
        <x:v>-0.02368781343102455</x:v>
      </x:c>
      <x:c r="AG1653" t="n">
        <x:f>_xlfn.XLOOKUP($A1653,Games!$A$2:$A$18,Games!$B$2:$B$18,"Missing game",0)</x:f>
        <x:v>2025</x:v>
      </x:c>
      <x:c r="AH1653" t="str">
        <x:f>_xlfn.XLOOKUP($A1653,Games!$A$2:$A$18,Games!$C$2:$C$18,"Missing game",0)</x:f>
        <x:v>REG</x:v>
      </x:c>
      <x:c r="AI1653" t="n">
        <x:f>_xlfn.XLOOKUP($A1653,Games!$A$2:$A$18,Games!$D$2:$D$18,"Missing game",0)</x:f>
        <x:v>11</x:v>
      </x:c>
      <x:c r="AJ1653" s="1" t="n">
        <x:f>_xlfn.XLOOKUP($A1653,Games!$A$2:$A$18,Games!$E$2:$E$18,"Missing game",0)</x:f>
        <x:v>45977</x:v>
      </x:c>
      <x:c r="AK1653" t="str">
        <x:f>_xlfn.XLOOKUP($A1653,Games!$A$2:$A$18,Games!$F$2:$F$18,"Missing game",0)</x:f>
        <x:v>Sunday</x:v>
      </x:c>
      <x:c r="AL1653" t="str">
        <x:f>_xlfn.XLOOKUP($A1653,Games!$A$2:$A$18,Games!$G$2:$G$18,"Missing game",0)</x:f>
        <x:v>CHI</x:v>
      </x:c>
      <x:c r="AM1653" t="n">
        <x:f>_xlfn.XLOOKUP($A1653,Games!$A$2:$A$18,Games!$H$2:$H$18,"Missing game",0)</x:f>
        <x:v>19</x:v>
      </x:c>
      <x:c r="AN1653" t="str">
        <x:f>_xlfn.XLOOKUP($A1653,Games!$A$2:$A$18,Games!$I$2:$I$18,"Missing game",0)</x:f>
        <x:v>MIN</x:v>
      </x:c>
      <x:c r="AO1653" t="n">
        <x:f>_xlfn.XLOOKUP($A1653,Games!$A$2:$A$18,Games!$J$2:$J$18,"Missing game",0)</x:f>
        <x:v>17</x:v>
      </x:c>
      <x:c r="AP1653" t="n">
        <x:f>_xlfn.XLOOKUP($A1653,Games!$A$2:$A$18,Games!$K$2:$K$18,"Missing game",0)</x:f>
        <x:v>-2</x:v>
      </x:c>
      <x:c r="AQ1653" t="n">
        <x:f>_xlfn.XLOOKUP($A1653,Games!$A$2:$A$18,Games!$L$2:$L$18,"Missing game",0)</x:f>
        <x:v>36</x:v>
      </x:c>
      <x:c r="AR1653" t="n">
        <x:f>_xlfn.XLOOKUP($A1653,Games!$A$2:$A$18,Games!$M$2:$M$18,"Missing game",0)</x:f>
        <x:v>0</x:v>
      </x:c>
      <x:c r="AS1653" t="str">
        <x:f>_xlfn.XLOOKUP($A1653,Games!$A$2:$A$18,Games!$N$2:$N$18,"Missing game",0)</x:f>
        <x:v>dome</x:v>
      </x:c>
      <x:c r="AT1653" t="str">
        <x:f>_xlfn.XLOOKUP($A1653,Games!$A$2:$A$18,Games!$O$2:$O$18,"Missing game",0)</x:f>
        <x:v>sportturf</x:v>
      </x:c>
      <x:c r="AU1653" t="str">
        <x:f>_xlfn.XLOOKUP($A1653,Games!$A$2:$A$18,Games!$P$2:$P$18,"Missing game",0)</x:f>
      </x:c>
      <x:c r="AV1653" t="str">
        <x:f>_xlfn.XLOOKUP($A1653,Games!$A$2:$A$18,Games!$Q$2:$Q$18,"Missing game",0)</x:f>
      </x:c>
      <x:c r="AW1653" t="str">
        <x:f>_xlfn.XLOOKUP($A1653,Games!$A$2:$A$18,Games!$R$2:$R$18,"Missing game",0)</x:f>
        <x:v>U.S. Bank Stadium</x:v>
      </x:c>
    </x:row>
    <x:row r="1654">
      <x:c r="A1654" t="str">
        <x:v>2025_11_CHI_MIN</x:v>
      </x:c>
      <x:c r="B1654" t="n">
        <x:v>3017</x:v>
      </x:c>
      <x:c r="C1654" t="n">
        <x:v>3</x:v>
      </x:c>
      <x:c r="D1654" t="str">
        <x:v>01:14</x:v>
      </x:c>
      <x:c r="E1654" t="n">
        <x:v>4</x:v>
      </x:c>
      <x:c r="F1654" t="n">
        <x:v>2</x:v>
      </x:c>
      <x:c r="G1654" t="str">
        <x:v>MIN</x:v>
      </x:c>
      <x:c r="H1654" t="str">
        <x:v>CHI</x:v>
      </x:c>
      <x:c r="I1654" t="str">
        <x:v>MIN</x:v>
      </x:c>
      <x:c r="J1654" t="n">
        <x:v>71</x:v>
      </x:c>
      <x:c r="K1654" t="str">
        <x:v>(1:14) 17-R.Wright punts 56 yards to CHI 15, Center-42-A.DePaola. 12-D.Duvernay pushed ob at CHI 21 for 6 yards (37-T.Thomas).</x:v>
      </x:c>
      <x:c r="L1654" t="str">
        <x:v>punt</x:v>
      </x:c>
      <x:c r="M1654" t="n">
        <x:v>0</x:v>
      </x:c>
      <x:c r="N1654" t="n">
        <x:v>0</x:v>
      </x:c>
      <x:c r="O1654" t="n">
        <x:v>0</x:v>
      </x:c>
      <x:c r="P1654"/>
      <x:c r="Q1654"/>
      <x:c r="R1654"/>
      <x:c r="S1654"/>
      <x:c r="T1654"/>
      <x:c r="U1654"/>
      <x:c r="V1654" t="n">
        <x:v>0</x:v>
      </x:c>
      <x:c r="W1654" t="n">
        <x:v>0</x:v>
      </x:c>
      <x:c r="X1654" t="n">
        <x:v>0</x:v>
      </x:c>
      <x:c r="Y1654" t="n">
        <x:v>0</x:v>
      </x:c>
      <x:c r="Z1654" t="n">
        <x:v>0</x:v>
      </x:c>
      <x:c r="AA1654" t="n">
        <x:v>0</x:v>
      </x:c>
      <x:c r="AB1654"/>
      <x:c r="AC1654" t="n">
        <x:v>0</x:v>
      </x:c>
      <x:c r="AD1654" t="n">
        <x:v>-0.24687919253483415</x:v>
      </x:c>
      <x:c r="AE1654" t="n">
        <x:v>0</x:v>
      </x:c>
      <x:c r="AF1654" t="n">
        <x:v>-0.013701241463422775</x:v>
      </x:c>
      <x:c r="AG1654" t="n">
        <x:f>_xlfn.XLOOKUP($A1654,Games!$A$2:$A$18,Games!$B$2:$B$18,"Missing game",0)</x:f>
        <x:v>2025</x:v>
      </x:c>
      <x:c r="AH1654" t="str">
        <x:f>_xlfn.XLOOKUP($A1654,Games!$A$2:$A$18,Games!$C$2:$C$18,"Missing game",0)</x:f>
        <x:v>REG</x:v>
      </x:c>
      <x:c r="AI1654" t="n">
        <x:f>_xlfn.XLOOKUP($A1654,Games!$A$2:$A$18,Games!$D$2:$D$18,"Missing game",0)</x:f>
        <x:v>11</x:v>
      </x:c>
      <x:c r="AJ1654" s="1" t="n">
        <x:f>_xlfn.XLOOKUP($A1654,Games!$A$2:$A$18,Games!$E$2:$E$18,"Missing game",0)</x:f>
        <x:v>45977</x:v>
      </x:c>
      <x:c r="AK1654" t="str">
        <x:f>_xlfn.XLOOKUP($A1654,Games!$A$2:$A$18,Games!$F$2:$F$18,"Missing game",0)</x:f>
        <x:v>Sunday</x:v>
      </x:c>
      <x:c r="AL1654" t="str">
        <x:f>_xlfn.XLOOKUP($A1654,Games!$A$2:$A$18,Games!$G$2:$G$18,"Missing game",0)</x:f>
        <x:v>CHI</x:v>
      </x:c>
      <x:c r="AM1654" t="n">
        <x:f>_xlfn.XLOOKUP($A1654,Games!$A$2:$A$18,Games!$H$2:$H$18,"Missing game",0)</x:f>
        <x:v>19</x:v>
      </x:c>
      <x:c r="AN1654" t="str">
        <x:f>_xlfn.XLOOKUP($A1654,Games!$A$2:$A$18,Games!$I$2:$I$18,"Missing game",0)</x:f>
        <x:v>MIN</x:v>
      </x:c>
      <x:c r="AO1654" t="n">
        <x:f>_xlfn.XLOOKUP($A1654,Games!$A$2:$A$18,Games!$J$2:$J$18,"Missing game",0)</x:f>
        <x:v>17</x:v>
      </x:c>
      <x:c r="AP1654" t="n">
        <x:f>_xlfn.XLOOKUP($A1654,Games!$A$2:$A$18,Games!$K$2:$K$18,"Missing game",0)</x:f>
        <x:v>-2</x:v>
      </x:c>
      <x:c r="AQ1654" t="n">
        <x:f>_xlfn.XLOOKUP($A1654,Games!$A$2:$A$18,Games!$L$2:$L$18,"Missing game",0)</x:f>
        <x:v>36</x:v>
      </x:c>
      <x:c r="AR1654" t="n">
        <x:f>_xlfn.XLOOKUP($A1654,Games!$A$2:$A$18,Games!$M$2:$M$18,"Missing game",0)</x:f>
        <x:v>0</x:v>
      </x:c>
      <x:c r="AS1654" t="str">
        <x:f>_xlfn.XLOOKUP($A1654,Games!$A$2:$A$18,Games!$N$2:$N$18,"Missing game",0)</x:f>
        <x:v>dome</x:v>
      </x:c>
      <x:c r="AT1654" t="str">
        <x:f>_xlfn.XLOOKUP($A1654,Games!$A$2:$A$18,Games!$O$2:$O$18,"Missing game",0)</x:f>
        <x:v>sportturf</x:v>
      </x:c>
      <x:c r="AU1654" t="str">
        <x:f>_xlfn.XLOOKUP($A1654,Games!$A$2:$A$18,Games!$P$2:$P$18,"Missing game",0)</x:f>
      </x:c>
      <x:c r="AV1654" t="str">
        <x:f>_xlfn.XLOOKUP($A1654,Games!$A$2:$A$18,Games!$Q$2:$Q$18,"Missing game",0)</x:f>
      </x:c>
      <x:c r="AW1654" t="str">
        <x:f>_xlfn.XLOOKUP($A1654,Games!$A$2:$A$18,Games!$R$2:$R$18,"Missing game",0)</x:f>
        <x:v>U.S. Bank Stadium</x:v>
      </x:c>
    </x:row>
    <x:row r="1655">
      <x:c r="A1655" t="str">
        <x:v>2025_11_CHI_MIN</x:v>
      </x:c>
      <x:c r="B1655" t="n">
        <x:v>3043</x:v>
      </x:c>
      <x:c r="C1655" t="n">
        <x:v>3</x:v>
      </x:c>
      <x:c r="D1655" t="str">
        <x:v>01:04</x:v>
      </x:c>
      <x:c r="E1655" t="n">
        <x:v>1</x:v>
      </x:c>
      <x:c r="F1655" t="n">
        <x:v>10</x:v>
      </x:c>
      <x:c r="G1655" t="str">
        <x:v>CHI</x:v>
      </x:c>
      <x:c r="H1655" t="str">
        <x:v>MIN</x:v>
      </x:c>
      <x:c r="I1655" t="str">
        <x:v>CHI</x:v>
      </x:c>
      <x:c r="J1655" t="n">
        <x:v>79</x:v>
      </x:c>
      <x:c r="K1655" t="str">
        <x:v>(1:04) 18-C.Williams pass short middle to 81-D.Smythe to CHI 29 for 8 yards (51-B.Cashman; 55-E.Wilson).</x:v>
      </x:c>
      <x:c r="L1655" t="str">
        <x:v>pass</x:v>
      </x:c>
      <x:c r="M1655" t="n">
        <x:v>8</x:v>
      </x:c>
      <x:c r="N1655" t="n">
        <x:v>0</x:v>
      </x:c>
      <x:c r="O1655" t="n">
        <x:v>0</x:v>
      </x:c>
      <x:c r="P1655" t="str">
        <x:v>short</x:v>
      </x:c>
      <x:c r="Q1655" t="str">
        <x:v>middle</x:v>
      </x:c>
      <x:c r="R1655" t="n">
        <x:v>4</x:v>
      </x:c>
      <x:c r="S1655" t="n">
        <x:v>4</x:v>
      </x:c>
      <x:c r="T1655"/>
      <x:c r="U1655"/>
      <x:c r="V1655" t="n">
        <x:v>1</x:v>
      </x:c>
      <x:c r="W1655" t="n">
        <x:v>0</x:v>
      </x:c>
      <x:c r="X1655" t="n">
        <x:v>0</x:v>
      </x:c>
      <x:c r="Y1655" t="n">
        <x:v>0</x:v>
      </x:c>
      <x:c r="Z1655" t="n">
        <x:v>0</x:v>
      </x:c>
      <x:c r="AA1655" t="n">
        <x:v>0</x:v>
      </x:c>
      <x:c r="AB1655"/>
      <x:c r="AC1655" t="n">
        <x:v>0</x:v>
      </x:c>
      <x:c r="AD1655" t="n">
        <x:v>0.6569991745054722</x:v>
      </x:c>
      <x:c r="AE1655" t="n">
        <x:v>1</x:v>
      </x:c>
      <x:c r="AF1655" t="n">
        <x:v>-0.002586841583251953</x:v>
      </x:c>
      <x:c r="AG1655" t="n">
        <x:f>_xlfn.XLOOKUP($A1655,Games!$A$2:$A$18,Games!$B$2:$B$18,"Missing game",0)</x:f>
        <x:v>2025</x:v>
      </x:c>
      <x:c r="AH1655" t="str">
        <x:f>_xlfn.XLOOKUP($A1655,Games!$A$2:$A$18,Games!$C$2:$C$18,"Missing game",0)</x:f>
        <x:v>REG</x:v>
      </x:c>
      <x:c r="AI1655" t="n">
        <x:f>_xlfn.XLOOKUP($A1655,Games!$A$2:$A$18,Games!$D$2:$D$18,"Missing game",0)</x:f>
        <x:v>11</x:v>
      </x:c>
      <x:c r="AJ1655" s="1" t="n">
        <x:f>_xlfn.XLOOKUP($A1655,Games!$A$2:$A$18,Games!$E$2:$E$18,"Missing game",0)</x:f>
        <x:v>45977</x:v>
      </x:c>
      <x:c r="AK1655" t="str">
        <x:f>_xlfn.XLOOKUP($A1655,Games!$A$2:$A$18,Games!$F$2:$F$18,"Missing game",0)</x:f>
        <x:v>Sunday</x:v>
      </x:c>
      <x:c r="AL1655" t="str">
        <x:f>_xlfn.XLOOKUP($A1655,Games!$A$2:$A$18,Games!$G$2:$G$18,"Missing game",0)</x:f>
        <x:v>CHI</x:v>
      </x:c>
      <x:c r="AM1655" t="n">
        <x:f>_xlfn.XLOOKUP($A1655,Games!$A$2:$A$18,Games!$H$2:$H$18,"Missing game",0)</x:f>
        <x:v>19</x:v>
      </x:c>
      <x:c r="AN1655" t="str">
        <x:f>_xlfn.XLOOKUP($A1655,Games!$A$2:$A$18,Games!$I$2:$I$18,"Missing game",0)</x:f>
        <x:v>MIN</x:v>
      </x:c>
      <x:c r="AO1655" t="n">
        <x:f>_xlfn.XLOOKUP($A1655,Games!$A$2:$A$18,Games!$J$2:$J$18,"Missing game",0)</x:f>
        <x:v>17</x:v>
      </x:c>
      <x:c r="AP1655" t="n">
        <x:f>_xlfn.XLOOKUP($A1655,Games!$A$2:$A$18,Games!$K$2:$K$18,"Missing game",0)</x:f>
        <x:v>-2</x:v>
      </x:c>
      <x:c r="AQ1655" t="n">
        <x:f>_xlfn.XLOOKUP($A1655,Games!$A$2:$A$18,Games!$L$2:$L$18,"Missing game",0)</x:f>
        <x:v>36</x:v>
      </x:c>
      <x:c r="AR1655" t="n">
        <x:f>_xlfn.XLOOKUP($A1655,Games!$A$2:$A$18,Games!$M$2:$M$18,"Missing game",0)</x:f>
        <x:v>0</x:v>
      </x:c>
      <x:c r="AS1655" t="str">
        <x:f>_xlfn.XLOOKUP($A1655,Games!$A$2:$A$18,Games!$N$2:$N$18,"Missing game",0)</x:f>
        <x:v>dome</x:v>
      </x:c>
      <x:c r="AT1655" t="str">
        <x:f>_xlfn.XLOOKUP($A1655,Games!$A$2:$A$18,Games!$O$2:$O$18,"Missing game",0)</x:f>
        <x:v>sportturf</x:v>
      </x:c>
      <x:c r="AU1655" t="str">
        <x:f>_xlfn.XLOOKUP($A1655,Games!$A$2:$A$18,Games!$P$2:$P$18,"Missing game",0)</x:f>
      </x:c>
      <x:c r="AV1655" t="str">
        <x:f>_xlfn.XLOOKUP($A1655,Games!$A$2:$A$18,Games!$Q$2:$Q$18,"Missing game",0)</x:f>
      </x:c>
      <x:c r="AW1655" t="str">
        <x:f>_xlfn.XLOOKUP($A1655,Games!$A$2:$A$18,Games!$R$2:$R$18,"Missing game",0)</x:f>
        <x:v>U.S. Bank Stadium</x:v>
      </x:c>
    </x:row>
    <x:row r="1656">
      <x:c r="A1656" t="str">
        <x:v>2025_11_CHI_MIN</x:v>
      </x:c>
      <x:c r="B1656" t="n">
        <x:v>3073</x:v>
      </x:c>
      <x:c r="C1656" t="n">
        <x:v>3</x:v>
      </x:c>
      <x:c r="D1656" t="str">
        <x:v>00:27</x:v>
      </x:c>
      <x:c r="E1656" t="n">
        <x:v>2</x:v>
      </x:c>
      <x:c r="F1656" t="n">
        <x:v>2</x:v>
      </x:c>
      <x:c r="G1656" t="str">
        <x:v>CHI</x:v>
      </x:c>
      <x:c r="H1656" t="str">
        <x:v>MIN</x:v>
      </x:c>
      <x:c r="I1656" t="str">
        <x:v>CHI</x:v>
      </x:c>
      <x:c r="J1656" t="n">
        <x:v>71</x:v>
      </x:c>
      <x:c r="K1656" t="str">
        <x:v>(:27) 25-K.Monangai left tackle to CHI 32 for 3 yards (51-B.Cashman).</x:v>
      </x:c>
      <x:c r="L1656" t="str">
        <x:v>run</x:v>
      </x:c>
      <x:c r="M1656" t="n">
        <x:v>3</x:v>
      </x:c>
      <x:c r="N1656" t="n">
        <x:v>0</x:v>
      </x:c>
      <x:c r="O1656" t="n">
        <x:v>0</x:v>
      </x:c>
      <x:c r="P1656"/>
      <x:c r="Q1656"/>
      <x:c r="R1656"/>
      <x:c r="S1656"/>
      <x:c r="T1656" t="str">
        <x:v>left</x:v>
      </x:c>
      <x:c r="U1656" t="str">
        <x:v>tackle</x:v>
      </x:c>
      <x:c r="V1656" t="n">
        <x:v>0</x:v>
      </x:c>
      <x:c r="W1656" t="n">
        <x:v>1</x:v>
      </x:c>
      <x:c r="X1656" t="n">
        <x:v>0</x:v>
      </x:c>
      <x:c r="Y1656" t="n">
        <x:v>0</x:v>
      </x:c>
      <x:c r="Z1656" t="n">
        <x:v>0</x:v>
      </x:c>
      <x:c r="AA1656" t="n">
        <x:v>0</x:v>
      </x:c>
      <x:c r="AB1656"/>
      <x:c r="AC1656" t="n">
        <x:v>0</x:v>
      </x:c>
      <x:c r="AD1656" t="n">
        <x:v>0.1304374528117478</x:v>
      </x:c>
      <x:c r="AE1656" t="n">
        <x:v>1</x:v>
      </x:c>
      <x:c r="AF1656" t="n">
        <x:v>0.0025644302368164062</x:v>
      </x:c>
      <x:c r="AG1656" t="n">
        <x:f>_xlfn.XLOOKUP($A1656,Games!$A$2:$A$18,Games!$B$2:$B$18,"Missing game",0)</x:f>
        <x:v>2025</x:v>
      </x:c>
      <x:c r="AH1656" t="str">
        <x:f>_xlfn.XLOOKUP($A1656,Games!$A$2:$A$18,Games!$C$2:$C$18,"Missing game",0)</x:f>
        <x:v>REG</x:v>
      </x:c>
      <x:c r="AI1656" t="n">
        <x:f>_xlfn.XLOOKUP($A1656,Games!$A$2:$A$18,Games!$D$2:$D$18,"Missing game",0)</x:f>
        <x:v>11</x:v>
      </x:c>
      <x:c r="AJ1656" s="1" t="n">
        <x:f>_xlfn.XLOOKUP($A1656,Games!$A$2:$A$18,Games!$E$2:$E$18,"Missing game",0)</x:f>
        <x:v>45977</x:v>
      </x:c>
      <x:c r="AK1656" t="str">
        <x:f>_xlfn.XLOOKUP($A1656,Games!$A$2:$A$18,Games!$F$2:$F$18,"Missing game",0)</x:f>
        <x:v>Sunday</x:v>
      </x:c>
      <x:c r="AL1656" t="str">
        <x:f>_xlfn.XLOOKUP($A1656,Games!$A$2:$A$18,Games!$G$2:$G$18,"Missing game",0)</x:f>
        <x:v>CHI</x:v>
      </x:c>
      <x:c r="AM1656" t="n">
        <x:f>_xlfn.XLOOKUP($A1656,Games!$A$2:$A$18,Games!$H$2:$H$18,"Missing game",0)</x:f>
        <x:v>19</x:v>
      </x:c>
      <x:c r="AN1656" t="str">
        <x:f>_xlfn.XLOOKUP($A1656,Games!$A$2:$A$18,Games!$I$2:$I$18,"Missing game",0)</x:f>
        <x:v>MIN</x:v>
      </x:c>
      <x:c r="AO1656" t="n">
        <x:f>_xlfn.XLOOKUP($A1656,Games!$A$2:$A$18,Games!$J$2:$J$18,"Missing game",0)</x:f>
        <x:v>17</x:v>
      </x:c>
      <x:c r="AP1656" t="n">
        <x:f>_xlfn.XLOOKUP($A1656,Games!$A$2:$A$18,Games!$K$2:$K$18,"Missing game",0)</x:f>
        <x:v>-2</x:v>
      </x:c>
      <x:c r="AQ1656" t="n">
        <x:f>_xlfn.XLOOKUP($A1656,Games!$A$2:$A$18,Games!$L$2:$L$18,"Missing game",0)</x:f>
        <x:v>36</x:v>
      </x:c>
      <x:c r="AR1656" t="n">
        <x:f>_xlfn.XLOOKUP($A1656,Games!$A$2:$A$18,Games!$M$2:$M$18,"Missing game",0)</x:f>
        <x:v>0</x:v>
      </x:c>
      <x:c r="AS1656" t="str">
        <x:f>_xlfn.XLOOKUP($A1656,Games!$A$2:$A$18,Games!$N$2:$N$18,"Missing game",0)</x:f>
        <x:v>dome</x:v>
      </x:c>
      <x:c r="AT1656" t="str">
        <x:f>_xlfn.XLOOKUP($A1656,Games!$A$2:$A$18,Games!$O$2:$O$18,"Missing game",0)</x:f>
        <x:v>sportturf</x:v>
      </x:c>
      <x:c r="AU1656" t="str">
        <x:f>_xlfn.XLOOKUP($A1656,Games!$A$2:$A$18,Games!$P$2:$P$18,"Missing game",0)</x:f>
      </x:c>
      <x:c r="AV1656" t="str">
        <x:f>_xlfn.XLOOKUP($A1656,Games!$A$2:$A$18,Games!$Q$2:$Q$18,"Missing game",0)</x:f>
      </x:c>
      <x:c r="AW1656" t="str">
        <x:f>_xlfn.XLOOKUP($A1656,Games!$A$2:$A$18,Games!$R$2:$R$18,"Missing game",0)</x:f>
        <x:v>U.S. Bank Stadium</x:v>
      </x:c>
    </x:row>
    <x:row r="1657">
      <x:c r="A1657" t="str">
        <x:v>2025_11_CHI_MIN</x:v>
      </x:c>
      <x:c r="B1657" t="n">
        <x:v>3095</x:v>
      </x:c>
      <x:c r="C1657" t="n">
        <x:v>3</x:v>
      </x:c>
      <x:c r="D1657" t="str">
        <x:v>00:00</x:v>
      </x:c>
      <x:c r="E1657"/>
      <x:c r="F1657" t="n">
        <x:v>0</x:v>
      </x:c>
      <x:c r="G1657" t="str">
        <x:v>CHI</x:v>
      </x:c>
      <x:c r="H1657" t="str">
        <x:v>MIN</x:v>
      </x:c>
      <x:c r="I1657"/>
      <x:c r="J1657"/>
      <x:c r="K1657" t="str">
        <x:v>END QUARTER 3</x:v>
      </x:c>
      <x:c r="L1657"/>
      <x:c r="M1657"/>
      <x:c r="N1657" t="n">
        <x:v>0</x:v>
      </x:c>
      <x:c r="O1657" t="n">
        <x:v>0</x:v>
      </x:c>
      <x:c r="P1657"/>
      <x:c r="Q1657"/>
      <x:c r="R1657"/>
      <x:c r="S1657"/>
      <x:c r="T1657"/>
      <x:c r="U1657"/>
      <x:c r="V1657"/>
      <x:c r="W1657"/>
      <x:c r="X1657"/>
      <x:c r="Y1657"/>
      <x:c r="Z1657"/>
      <x:c r="AA1657"/>
      <x:c r="AB1657"/>
      <x:c r="AC1657"/>
      <x:c r="AD1657" t="n">
        <x:v>0</x:v>
      </x:c>
      <x:c r="AE1657" t="n">
        <x:v>0</x:v>
      </x:c>
      <x:c r="AF1657" t="n">
        <x:v>0</x:v>
      </x:c>
      <x:c r="AG1657" t="n">
        <x:f>_xlfn.XLOOKUP($A1657,Games!$A$2:$A$18,Games!$B$2:$B$18,"Missing game",0)</x:f>
        <x:v>2025</x:v>
      </x:c>
      <x:c r="AH1657" t="str">
        <x:f>_xlfn.XLOOKUP($A1657,Games!$A$2:$A$18,Games!$C$2:$C$18,"Missing game",0)</x:f>
        <x:v>REG</x:v>
      </x:c>
      <x:c r="AI1657" t="n">
        <x:f>_xlfn.XLOOKUP($A1657,Games!$A$2:$A$18,Games!$D$2:$D$18,"Missing game",0)</x:f>
        <x:v>11</x:v>
      </x:c>
      <x:c r="AJ1657" s="1" t="n">
        <x:f>_xlfn.XLOOKUP($A1657,Games!$A$2:$A$18,Games!$E$2:$E$18,"Missing game",0)</x:f>
        <x:v>45977</x:v>
      </x:c>
      <x:c r="AK1657" t="str">
        <x:f>_xlfn.XLOOKUP($A1657,Games!$A$2:$A$18,Games!$F$2:$F$18,"Missing game",0)</x:f>
        <x:v>Sunday</x:v>
      </x:c>
      <x:c r="AL1657" t="str">
        <x:f>_xlfn.XLOOKUP($A1657,Games!$A$2:$A$18,Games!$G$2:$G$18,"Missing game",0)</x:f>
        <x:v>CHI</x:v>
      </x:c>
      <x:c r="AM1657" t="n">
        <x:f>_xlfn.XLOOKUP($A1657,Games!$A$2:$A$18,Games!$H$2:$H$18,"Missing game",0)</x:f>
        <x:v>19</x:v>
      </x:c>
      <x:c r="AN1657" t="str">
        <x:f>_xlfn.XLOOKUP($A1657,Games!$A$2:$A$18,Games!$I$2:$I$18,"Missing game",0)</x:f>
        <x:v>MIN</x:v>
      </x:c>
      <x:c r="AO1657" t="n">
        <x:f>_xlfn.XLOOKUP($A1657,Games!$A$2:$A$18,Games!$J$2:$J$18,"Missing game",0)</x:f>
        <x:v>17</x:v>
      </x:c>
      <x:c r="AP1657" t="n">
        <x:f>_xlfn.XLOOKUP($A1657,Games!$A$2:$A$18,Games!$K$2:$K$18,"Missing game",0)</x:f>
        <x:v>-2</x:v>
      </x:c>
      <x:c r="AQ1657" t="n">
        <x:f>_xlfn.XLOOKUP($A1657,Games!$A$2:$A$18,Games!$L$2:$L$18,"Missing game",0)</x:f>
        <x:v>36</x:v>
      </x:c>
      <x:c r="AR1657" t="n">
        <x:f>_xlfn.XLOOKUP($A1657,Games!$A$2:$A$18,Games!$M$2:$M$18,"Missing game",0)</x:f>
        <x:v>0</x:v>
      </x:c>
      <x:c r="AS1657" t="str">
        <x:f>_xlfn.XLOOKUP($A1657,Games!$A$2:$A$18,Games!$N$2:$N$18,"Missing game",0)</x:f>
        <x:v>dome</x:v>
      </x:c>
      <x:c r="AT1657" t="str">
        <x:f>_xlfn.XLOOKUP($A1657,Games!$A$2:$A$18,Games!$O$2:$O$18,"Missing game",0)</x:f>
        <x:v>sportturf</x:v>
      </x:c>
      <x:c r="AU1657" t="str">
        <x:f>_xlfn.XLOOKUP($A1657,Games!$A$2:$A$18,Games!$P$2:$P$18,"Missing game",0)</x:f>
      </x:c>
      <x:c r="AV1657" t="str">
        <x:f>_xlfn.XLOOKUP($A1657,Games!$A$2:$A$18,Games!$Q$2:$Q$18,"Missing game",0)</x:f>
      </x:c>
      <x:c r="AW1657" t="str">
        <x:f>_xlfn.XLOOKUP($A1657,Games!$A$2:$A$18,Games!$R$2:$R$18,"Missing game",0)</x:f>
        <x:v>U.S. Bank Stadium</x:v>
      </x:c>
    </x:row>
    <x:row r="1658">
      <x:c r="A1658" t="str">
        <x:v>2025_11_CHI_MIN</x:v>
      </x:c>
      <x:c r="B1658" t="n">
        <x:v>3115</x:v>
      </x:c>
      <x:c r="C1658" t="n">
        <x:v>4</x:v>
      </x:c>
      <x:c r="D1658" t="str">
        <x:v>15:00</x:v>
      </x:c>
      <x:c r="E1658" t="n">
        <x:v>1</x:v>
      </x:c>
      <x:c r="F1658" t="n">
        <x:v>10</x:v>
      </x:c>
      <x:c r="G1658" t="str">
        <x:v>CHI</x:v>
      </x:c>
      <x:c r="H1658" t="str">
        <x:v>MIN</x:v>
      </x:c>
      <x:c r="I1658" t="str">
        <x:v>CHI</x:v>
      </x:c>
      <x:c r="J1658" t="n">
        <x:v>68</x:v>
      </x:c>
      <x:c r="K1658" t="str">
        <x:v>(15:00) 18-C.Williams sacked at CHI 31 for -1 yards (15-D.Turner).</x:v>
      </x:c>
      <x:c r="L1658" t="str">
        <x:v>pass</x:v>
      </x:c>
      <x:c r="M1658" t="n">
        <x:v>-1</x:v>
      </x:c>
      <x:c r="N1658" t="n">
        <x:v>0</x:v>
      </x:c>
      <x:c r="O1658" t="n">
        <x:v>0</x:v>
      </x:c>
      <x:c r="P1658"/>
      <x:c r="Q1658"/>
      <x:c r="R1658"/>
      <x:c r="S1658"/>
      <x:c r="T1658"/>
      <x:c r="U1658"/>
      <x:c r="V1658" t="n">
        <x:v>0</x:v>
      </x:c>
      <x:c r="W1658" t="n">
        <x:v>0</x:v>
      </x:c>
      <x:c r="X1658" t="n">
        <x:v>1</x:v>
      </x:c>
      <x:c r="Y1658" t="n">
        <x:v>0</x:v>
      </x:c>
      <x:c r="Z1658" t="n">
        <x:v>0</x:v>
      </x:c>
      <x:c r="AA1658" t="n">
        <x:v>0</x:v>
      </x:c>
      <x:c r="AB1658"/>
      <x:c r="AC1658" t="n">
        <x:v>0</x:v>
      </x:c>
      <x:c r="AD1658" t="n">
        <x:v>-0.9362781415693462</x:v>
      </x:c>
      <x:c r="AE1658" t="n">
        <x:v>0</x:v>
      </x:c>
      <x:c r="AF1658" t="n">
        <x:v>-0.010389447212219238</x:v>
      </x:c>
      <x:c r="AG1658" t="n">
        <x:f>_xlfn.XLOOKUP($A1658,Games!$A$2:$A$18,Games!$B$2:$B$18,"Missing game",0)</x:f>
        <x:v>2025</x:v>
      </x:c>
      <x:c r="AH1658" t="str">
        <x:f>_xlfn.XLOOKUP($A1658,Games!$A$2:$A$18,Games!$C$2:$C$18,"Missing game",0)</x:f>
        <x:v>REG</x:v>
      </x:c>
      <x:c r="AI1658" t="n">
        <x:f>_xlfn.XLOOKUP($A1658,Games!$A$2:$A$18,Games!$D$2:$D$18,"Missing game",0)</x:f>
        <x:v>11</x:v>
      </x:c>
      <x:c r="AJ1658" s="1" t="n">
        <x:f>_xlfn.XLOOKUP($A1658,Games!$A$2:$A$18,Games!$E$2:$E$18,"Missing game",0)</x:f>
        <x:v>45977</x:v>
      </x:c>
      <x:c r="AK1658" t="str">
        <x:f>_xlfn.XLOOKUP($A1658,Games!$A$2:$A$18,Games!$F$2:$F$18,"Missing game",0)</x:f>
        <x:v>Sunday</x:v>
      </x:c>
      <x:c r="AL1658" t="str">
        <x:f>_xlfn.XLOOKUP($A1658,Games!$A$2:$A$18,Games!$G$2:$G$18,"Missing game",0)</x:f>
        <x:v>CHI</x:v>
      </x:c>
      <x:c r="AM1658" t="n">
        <x:f>_xlfn.XLOOKUP($A1658,Games!$A$2:$A$18,Games!$H$2:$H$18,"Missing game",0)</x:f>
        <x:v>19</x:v>
      </x:c>
      <x:c r="AN1658" t="str">
        <x:f>_xlfn.XLOOKUP($A1658,Games!$A$2:$A$18,Games!$I$2:$I$18,"Missing game",0)</x:f>
        <x:v>MIN</x:v>
      </x:c>
      <x:c r="AO1658" t="n">
        <x:f>_xlfn.XLOOKUP($A1658,Games!$A$2:$A$18,Games!$J$2:$J$18,"Missing game",0)</x:f>
        <x:v>17</x:v>
      </x:c>
      <x:c r="AP1658" t="n">
        <x:f>_xlfn.XLOOKUP($A1658,Games!$A$2:$A$18,Games!$K$2:$K$18,"Missing game",0)</x:f>
        <x:v>-2</x:v>
      </x:c>
      <x:c r="AQ1658" t="n">
        <x:f>_xlfn.XLOOKUP($A1658,Games!$A$2:$A$18,Games!$L$2:$L$18,"Missing game",0)</x:f>
        <x:v>36</x:v>
      </x:c>
      <x:c r="AR1658" t="n">
        <x:f>_xlfn.XLOOKUP($A1658,Games!$A$2:$A$18,Games!$M$2:$M$18,"Missing game",0)</x:f>
        <x:v>0</x:v>
      </x:c>
      <x:c r="AS1658" t="str">
        <x:f>_xlfn.XLOOKUP($A1658,Games!$A$2:$A$18,Games!$N$2:$N$18,"Missing game",0)</x:f>
        <x:v>dome</x:v>
      </x:c>
      <x:c r="AT1658" t="str">
        <x:f>_xlfn.XLOOKUP($A1658,Games!$A$2:$A$18,Games!$O$2:$O$18,"Missing game",0)</x:f>
        <x:v>sportturf</x:v>
      </x:c>
      <x:c r="AU1658" t="str">
        <x:f>_xlfn.XLOOKUP($A1658,Games!$A$2:$A$18,Games!$P$2:$P$18,"Missing game",0)</x:f>
      </x:c>
      <x:c r="AV1658" t="str">
        <x:f>_xlfn.XLOOKUP($A1658,Games!$A$2:$A$18,Games!$Q$2:$Q$18,"Missing game",0)</x:f>
      </x:c>
      <x:c r="AW1658" t="str">
        <x:f>_xlfn.XLOOKUP($A1658,Games!$A$2:$A$18,Games!$R$2:$R$18,"Missing game",0)</x:f>
        <x:v>U.S. Bank Stadium</x:v>
      </x:c>
    </x:row>
    <x:row r="1659">
      <x:c r="A1659" t="str">
        <x:v>2025_11_CHI_MIN</x:v>
      </x:c>
      <x:c r="B1659" t="n">
        <x:v>3135</x:v>
      </x:c>
      <x:c r="C1659" t="n">
        <x:v>4</x:v>
      </x:c>
      <x:c r="D1659" t="str">
        <x:v>14:20</x:v>
      </x:c>
      <x:c r="E1659" t="n">
        <x:v>2</x:v>
      </x:c>
      <x:c r="F1659" t="n">
        <x:v>11</x:v>
      </x:c>
      <x:c r="G1659" t="str">
        <x:v>CHI</x:v>
      </x:c>
      <x:c r="H1659" t="str">
        <x:v>MIN</x:v>
      </x:c>
      <x:c r="I1659" t="str">
        <x:v>CHI</x:v>
      </x:c>
      <x:c r="J1659" t="n">
        <x:v>69</x:v>
      </x:c>
      <x:c r="K1659" t="str">
        <x:v>(14:20) (Shotgun) 18-C.Williams pass incomplete short right.</x:v>
      </x:c>
      <x:c r="L1659" t="str">
        <x:v>pass</x:v>
      </x:c>
      <x:c r="M1659" t="n">
        <x:v>0</x:v>
      </x:c>
      <x:c r="N1659" t="n">
        <x:v>1</x:v>
      </x:c>
      <x:c r="O1659" t="n">
        <x:v>0</x:v>
      </x:c>
      <x:c r="P1659" t="str">
        <x:v>short</x:v>
      </x:c>
      <x:c r="Q1659" t="str">
        <x:v>right</x:v>
      </x:c>
      <x:c r="R1659" t="n">
        <x:v>9</x:v>
      </x:c>
      <x:c r="S1659"/>
      <x:c r="T1659"/>
      <x:c r="U1659"/>
      <x:c r="V1659" t="n">
        <x:v>0</x:v>
      </x:c>
      <x:c r="W1659" t="n">
        <x:v>0</x:v>
      </x:c>
      <x:c r="X1659" t="n">
        <x:v>0</x:v>
      </x:c>
      <x:c r="Y1659" t="n">
        <x:v>0</x:v>
      </x:c>
      <x:c r="Z1659" t="n">
        <x:v>0</x:v>
      </x:c>
      <x:c r="AA1659" t="n">
        <x:v>0</x:v>
      </x:c>
      <x:c r="AB1659"/>
      <x:c r="AC1659" t="n">
        <x:v>0</x:v>
      </x:c>
      <x:c r="AD1659" t="n">
        <x:v>-0.7945997281931341</x:v>
      </x:c>
      <x:c r="AE1659" t="n">
        <x:v>0</x:v>
      </x:c>
      <x:c r="AF1659" t="n">
        <x:v>0.008968174457550049</x:v>
      </x:c>
      <x:c r="AG1659" t="n">
        <x:f>_xlfn.XLOOKUP($A1659,Games!$A$2:$A$18,Games!$B$2:$B$18,"Missing game",0)</x:f>
        <x:v>2025</x:v>
      </x:c>
      <x:c r="AH1659" t="str">
        <x:f>_xlfn.XLOOKUP($A1659,Games!$A$2:$A$18,Games!$C$2:$C$18,"Missing game",0)</x:f>
        <x:v>REG</x:v>
      </x:c>
      <x:c r="AI1659" t="n">
        <x:f>_xlfn.XLOOKUP($A1659,Games!$A$2:$A$18,Games!$D$2:$D$18,"Missing game",0)</x:f>
        <x:v>11</x:v>
      </x:c>
      <x:c r="AJ1659" s="1" t="n">
        <x:f>_xlfn.XLOOKUP($A1659,Games!$A$2:$A$18,Games!$E$2:$E$18,"Missing game",0)</x:f>
        <x:v>45977</x:v>
      </x:c>
      <x:c r="AK1659" t="str">
        <x:f>_xlfn.XLOOKUP($A1659,Games!$A$2:$A$18,Games!$F$2:$F$18,"Missing game",0)</x:f>
        <x:v>Sunday</x:v>
      </x:c>
      <x:c r="AL1659" t="str">
        <x:f>_xlfn.XLOOKUP($A1659,Games!$A$2:$A$18,Games!$G$2:$G$18,"Missing game",0)</x:f>
        <x:v>CHI</x:v>
      </x:c>
      <x:c r="AM1659" t="n">
        <x:f>_xlfn.XLOOKUP($A1659,Games!$A$2:$A$18,Games!$H$2:$H$18,"Missing game",0)</x:f>
        <x:v>19</x:v>
      </x:c>
      <x:c r="AN1659" t="str">
        <x:f>_xlfn.XLOOKUP($A1659,Games!$A$2:$A$18,Games!$I$2:$I$18,"Missing game",0)</x:f>
        <x:v>MIN</x:v>
      </x:c>
      <x:c r="AO1659" t="n">
        <x:f>_xlfn.XLOOKUP($A1659,Games!$A$2:$A$18,Games!$J$2:$J$18,"Missing game",0)</x:f>
        <x:v>17</x:v>
      </x:c>
      <x:c r="AP1659" t="n">
        <x:f>_xlfn.XLOOKUP($A1659,Games!$A$2:$A$18,Games!$K$2:$K$18,"Missing game",0)</x:f>
        <x:v>-2</x:v>
      </x:c>
      <x:c r="AQ1659" t="n">
        <x:f>_xlfn.XLOOKUP($A1659,Games!$A$2:$A$18,Games!$L$2:$L$18,"Missing game",0)</x:f>
        <x:v>36</x:v>
      </x:c>
      <x:c r="AR1659" t="n">
        <x:f>_xlfn.XLOOKUP($A1659,Games!$A$2:$A$18,Games!$M$2:$M$18,"Missing game",0)</x:f>
        <x:v>0</x:v>
      </x:c>
      <x:c r="AS1659" t="str">
        <x:f>_xlfn.XLOOKUP($A1659,Games!$A$2:$A$18,Games!$N$2:$N$18,"Missing game",0)</x:f>
        <x:v>dome</x:v>
      </x:c>
      <x:c r="AT1659" t="str">
        <x:f>_xlfn.XLOOKUP($A1659,Games!$A$2:$A$18,Games!$O$2:$O$18,"Missing game",0)</x:f>
        <x:v>sportturf</x:v>
      </x:c>
      <x:c r="AU1659" t="str">
        <x:f>_xlfn.XLOOKUP($A1659,Games!$A$2:$A$18,Games!$P$2:$P$18,"Missing game",0)</x:f>
      </x:c>
      <x:c r="AV1659" t="str">
        <x:f>_xlfn.XLOOKUP($A1659,Games!$A$2:$A$18,Games!$Q$2:$Q$18,"Missing game",0)</x:f>
      </x:c>
      <x:c r="AW1659" t="str">
        <x:f>_xlfn.XLOOKUP($A1659,Games!$A$2:$A$18,Games!$R$2:$R$18,"Missing game",0)</x:f>
        <x:v>U.S. Bank Stadium</x:v>
      </x:c>
    </x:row>
    <x:row r="1660">
      <x:c r="A1660" t="str">
        <x:v>2025_11_CHI_MIN</x:v>
      </x:c>
      <x:c r="B1660" t="n">
        <x:v>3158</x:v>
      </x:c>
      <x:c r="C1660" t="n">
        <x:v>4</x:v>
      </x:c>
      <x:c r="D1660" t="str">
        <x:v>14:12</x:v>
      </x:c>
      <x:c r="E1660" t="n">
        <x:v>3</x:v>
      </x:c>
      <x:c r="F1660" t="n">
        <x:v>11</x:v>
      </x:c>
      <x:c r="G1660" t="str">
        <x:v>CHI</x:v>
      </x:c>
      <x:c r="H1660" t="str">
        <x:v>MIN</x:v>
      </x:c>
      <x:c r="I1660" t="str">
        <x:v>CHI</x:v>
      </x:c>
      <x:c r="J1660" t="n">
        <x:v>69</x:v>
      </x:c>
      <x:c r="K1660" t="str">
        <x:v>(14:12) (Shotgun) 18-C.Williams sacked at CHI 19 for -12 yards (43-A.Van Ginkel).</x:v>
      </x:c>
      <x:c r="L1660" t="str">
        <x:v>pass</x:v>
      </x:c>
      <x:c r="M1660" t="n">
        <x:v>-12</x:v>
      </x:c>
      <x:c r="N1660" t="n">
        <x:v>1</x:v>
      </x:c>
      <x:c r="O1660" t="n">
        <x:v>0</x:v>
      </x:c>
      <x:c r="P1660"/>
      <x:c r="Q1660"/>
      <x:c r="R1660"/>
      <x:c r="S1660"/>
      <x:c r="T1660"/>
      <x:c r="U1660"/>
      <x:c r="V1660" t="n">
        <x:v>0</x:v>
      </x:c>
      <x:c r="W1660" t="n">
        <x:v>0</x:v>
      </x:c>
      <x:c r="X1660" t="n">
        <x:v>1</x:v>
      </x:c>
      <x:c r="Y1660" t="n">
        <x:v>0</x:v>
      </x:c>
      <x:c r="Z1660" t="n">
        <x:v>0</x:v>
      </x:c>
      <x:c r="AA1660" t="n">
        <x:v>0</x:v>
      </x:c>
      <x:c r="AB1660"/>
      <x:c r="AC1660" t="n">
        <x:v>0</x:v>
      </x:c>
      <x:c r="AD1660" t="n">
        <x:v>-2.113043926190585</x:v>
      </x:c>
      <x:c r="AE1660" t="n">
        <x:v>0</x:v>
      </x:c>
      <x:c r="AF1660" t="n">
        <x:v>-0.0068239569664001465</x:v>
      </x:c>
      <x:c r="AG1660" t="n">
        <x:f>_xlfn.XLOOKUP($A1660,Games!$A$2:$A$18,Games!$B$2:$B$18,"Missing game",0)</x:f>
        <x:v>2025</x:v>
      </x:c>
      <x:c r="AH1660" t="str">
        <x:f>_xlfn.XLOOKUP($A1660,Games!$A$2:$A$18,Games!$C$2:$C$18,"Missing game",0)</x:f>
        <x:v>REG</x:v>
      </x:c>
      <x:c r="AI1660" t="n">
        <x:f>_xlfn.XLOOKUP($A1660,Games!$A$2:$A$18,Games!$D$2:$D$18,"Missing game",0)</x:f>
        <x:v>11</x:v>
      </x:c>
      <x:c r="AJ1660" s="1" t="n">
        <x:f>_xlfn.XLOOKUP($A1660,Games!$A$2:$A$18,Games!$E$2:$E$18,"Missing game",0)</x:f>
        <x:v>45977</x:v>
      </x:c>
      <x:c r="AK1660" t="str">
        <x:f>_xlfn.XLOOKUP($A1660,Games!$A$2:$A$18,Games!$F$2:$F$18,"Missing game",0)</x:f>
        <x:v>Sunday</x:v>
      </x:c>
      <x:c r="AL1660" t="str">
        <x:f>_xlfn.XLOOKUP($A1660,Games!$A$2:$A$18,Games!$G$2:$G$18,"Missing game",0)</x:f>
        <x:v>CHI</x:v>
      </x:c>
      <x:c r="AM1660" t="n">
        <x:f>_xlfn.XLOOKUP($A1660,Games!$A$2:$A$18,Games!$H$2:$H$18,"Missing game",0)</x:f>
        <x:v>19</x:v>
      </x:c>
      <x:c r="AN1660" t="str">
        <x:f>_xlfn.XLOOKUP($A1660,Games!$A$2:$A$18,Games!$I$2:$I$18,"Missing game",0)</x:f>
        <x:v>MIN</x:v>
      </x:c>
      <x:c r="AO1660" t="n">
        <x:f>_xlfn.XLOOKUP($A1660,Games!$A$2:$A$18,Games!$J$2:$J$18,"Missing game",0)</x:f>
        <x:v>17</x:v>
      </x:c>
      <x:c r="AP1660" t="n">
        <x:f>_xlfn.XLOOKUP($A1660,Games!$A$2:$A$18,Games!$K$2:$K$18,"Missing game",0)</x:f>
        <x:v>-2</x:v>
      </x:c>
      <x:c r="AQ1660" t="n">
        <x:f>_xlfn.XLOOKUP($A1660,Games!$A$2:$A$18,Games!$L$2:$L$18,"Missing game",0)</x:f>
        <x:v>36</x:v>
      </x:c>
      <x:c r="AR1660" t="n">
        <x:f>_xlfn.XLOOKUP($A1660,Games!$A$2:$A$18,Games!$M$2:$M$18,"Missing game",0)</x:f>
        <x:v>0</x:v>
      </x:c>
      <x:c r="AS1660" t="str">
        <x:f>_xlfn.XLOOKUP($A1660,Games!$A$2:$A$18,Games!$N$2:$N$18,"Missing game",0)</x:f>
        <x:v>dome</x:v>
      </x:c>
      <x:c r="AT1660" t="str">
        <x:f>_xlfn.XLOOKUP($A1660,Games!$A$2:$A$18,Games!$O$2:$O$18,"Missing game",0)</x:f>
        <x:v>sportturf</x:v>
      </x:c>
      <x:c r="AU1660" t="str">
        <x:f>_xlfn.XLOOKUP($A1660,Games!$A$2:$A$18,Games!$P$2:$P$18,"Missing game",0)</x:f>
      </x:c>
      <x:c r="AV1660" t="str">
        <x:f>_xlfn.XLOOKUP($A1660,Games!$A$2:$A$18,Games!$Q$2:$Q$18,"Missing game",0)</x:f>
      </x:c>
      <x:c r="AW1660" t="str">
        <x:f>_xlfn.XLOOKUP($A1660,Games!$A$2:$A$18,Games!$R$2:$R$18,"Missing game",0)</x:f>
        <x:v>U.S. Bank Stadium</x:v>
      </x:c>
    </x:row>
    <x:row r="1661">
      <x:c r="A1661" t="str">
        <x:v>2025_11_CHI_MIN</x:v>
      </x:c>
      <x:c r="B1661" t="n">
        <x:v>3178</x:v>
      </x:c>
      <x:c r="C1661" t="n">
        <x:v>4</x:v>
      </x:c>
      <x:c r="D1661" t="str">
        <x:v>13:28</x:v>
      </x:c>
      <x:c r="E1661" t="n">
        <x:v>4</x:v>
      </x:c>
      <x:c r="F1661" t="n">
        <x:v>23</x:v>
      </x:c>
      <x:c r="G1661" t="str">
        <x:v>CHI</x:v>
      </x:c>
      <x:c r="H1661" t="str">
        <x:v>MIN</x:v>
      </x:c>
      <x:c r="I1661" t="str">
        <x:v>CHI</x:v>
      </x:c>
      <x:c r="J1661" t="n">
        <x:v>81</x:v>
      </x:c>
      <x:c r="K1661" t="str">
        <x:v>(13:28) 19-T.Taylor punts 48 yards to MIN 33, Center-46-S.Daly. 4-M.Price to CHI 24 for 43 yards (92-D.Hardy).</x:v>
      </x:c>
      <x:c r="L1661" t="str">
        <x:v>punt</x:v>
      </x:c>
      <x:c r="M1661" t="n">
        <x:v>0</x:v>
      </x:c>
      <x:c r="N1661" t="n">
        <x:v>0</x:v>
      </x:c>
      <x:c r="O1661" t="n">
        <x:v>0</x:v>
      </x:c>
      <x:c r="P1661"/>
      <x:c r="Q1661"/>
      <x:c r="R1661"/>
      <x:c r="S1661"/>
      <x:c r="T1661"/>
      <x:c r="U1661"/>
      <x:c r="V1661" t="n">
        <x:v>0</x:v>
      </x:c>
      <x:c r="W1661" t="n">
        <x:v>0</x:v>
      </x:c>
      <x:c r="X1661" t="n">
        <x:v>0</x:v>
      </x:c>
      <x:c r="Y1661" t="n">
        <x:v>0</x:v>
      </x:c>
      <x:c r="Z1661" t="n">
        <x:v>0</x:v>
      </x:c>
      <x:c r="AA1661" t="n">
        <x:v>0</x:v>
      </x:c>
      <x:c r="AB1661"/>
      <x:c r="AC1661" t="n">
        <x:v>0</x:v>
      </x:c>
      <x:c r="AD1661" t="n">
        <x:v>-2.4337764733936638</x:v>
      </x:c>
      <x:c r="AE1661" t="n">
        <x:v>0</x:v>
      </x:c>
      <x:c r="AF1661" t="n">
        <x:v>-0.08853048086166382</x:v>
      </x:c>
      <x:c r="AG1661" t="n">
        <x:f>_xlfn.XLOOKUP($A1661,Games!$A$2:$A$18,Games!$B$2:$B$18,"Missing game",0)</x:f>
        <x:v>2025</x:v>
      </x:c>
      <x:c r="AH1661" t="str">
        <x:f>_xlfn.XLOOKUP($A1661,Games!$A$2:$A$18,Games!$C$2:$C$18,"Missing game",0)</x:f>
        <x:v>REG</x:v>
      </x:c>
      <x:c r="AI1661" t="n">
        <x:f>_xlfn.XLOOKUP($A1661,Games!$A$2:$A$18,Games!$D$2:$D$18,"Missing game",0)</x:f>
        <x:v>11</x:v>
      </x:c>
      <x:c r="AJ1661" s="1" t="n">
        <x:f>_xlfn.XLOOKUP($A1661,Games!$A$2:$A$18,Games!$E$2:$E$18,"Missing game",0)</x:f>
        <x:v>45977</x:v>
      </x:c>
      <x:c r="AK1661" t="str">
        <x:f>_xlfn.XLOOKUP($A1661,Games!$A$2:$A$18,Games!$F$2:$F$18,"Missing game",0)</x:f>
        <x:v>Sunday</x:v>
      </x:c>
      <x:c r="AL1661" t="str">
        <x:f>_xlfn.XLOOKUP($A1661,Games!$A$2:$A$18,Games!$G$2:$G$18,"Missing game",0)</x:f>
        <x:v>CHI</x:v>
      </x:c>
      <x:c r="AM1661" t="n">
        <x:f>_xlfn.XLOOKUP($A1661,Games!$A$2:$A$18,Games!$H$2:$H$18,"Missing game",0)</x:f>
        <x:v>19</x:v>
      </x:c>
      <x:c r="AN1661" t="str">
        <x:f>_xlfn.XLOOKUP($A1661,Games!$A$2:$A$18,Games!$I$2:$I$18,"Missing game",0)</x:f>
        <x:v>MIN</x:v>
      </x:c>
      <x:c r="AO1661" t="n">
        <x:f>_xlfn.XLOOKUP($A1661,Games!$A$2:$A$18,Games!$J$2:$J$18,"Missing game",0)</x:f>
        <x:v>17</x:v>
      </x:c>
      <x:c r="AP1661" t="n">
        <x:f>_xlfn.XLOOKUP($A1661,Games!$A$2:$A$18,Games!$K$2:$K$18,"Missing game",0)</x:f>
        <x:v>-2</x:v>
      </x:c>
      <x:c r="AQ1661" t="n">
        <x:f>_xlfn.XLOOKUP($A1661,Games!$A$2:$A$18,Games!$L$2:$L$18,"Missing game",0)</x:f>
        <x:v>36</x:v>
      </x:c>
      <x:c r="AR1661" t="n">
        <x:f>_xlfn.XLOOKUP($A1661,Games!$A$2:$A$18,Games!$M$2:$M$18,"Missing game",0)</x:f>
        <x:v>0</x:v>
      </x:c>
      <x:c r="AS1661" t="str">
        <x:f>_xlfn.XLOOKUP($A1661,Games!$A$2:$A$18,Games!$N$2:$N$18,"Missing game",0)</x:f>
        <x:v>dome</x:v>
      </x:c>
      <x:c r="AT1661" t="str">
        <x:f>_xlfn.XLOOKUP($A1661,Games!$A$2:$A$18,Games!$O$2:$O$18,"Missing game",0)</x:f>
        <x:v>sportturf</x:v>
      </x:c>
      <x:c r="AU1661" t="str">
        <x:f>_xlfn.XLOOKUP($A1661,Games!$A$2:$A$18,Games!$P$2:$P$18,"Missing game",0)</x:f>
      </x:c>
      <x:c r="AV1661" t="str">
        <x:f>_xlfn.XLOOKUP($A1661,Games!$A$2:$A$18,Games!$Q$2:$Q$18,"Missing game",0)</x:f>
      </x:c>
      <x:c r="AW1661" t="str">
        <x:f>_xlfn.XLOOKUP($A1661,Games!$A$2:$A$18,Games!$R$2:$R$18,"Missing game",0)</x:f>
        <x:v>U.S. Bank Stadium</x:v>
      </x:c>
    </x:row>
    <x:row r="1662">
      <x:c r="A1662" t="str">
        <x:v>2025_11_CHI_MIN</x:v>
      </x:c>
      <x:c r="B1662" t="n">
        <x:v>3209</x:v>
      </x:c>
      <x:c r="C1662" t="n">
        <x:v>4</x:v>
      </x:c>
      <x:c r="D1662" t="str">
        <x:v>13:14</x:v>
      </x:c>
      <x:c r="E1662" t="n">
        <x:v>1</x:v>
      </x:c>
      <x:c r="F1662" t="n">
        <x:v>10</x:v>
      </x:c>
      <x:c r="G1662" t="str">
        <x:v>MIN</x:v>
      </x:c>
      <x:c r="H1662" t="str">
        <x:v>CHI</x:v>
      </x:c>
      <x:c r="I1662" t="str">
        <x:v>CHI</x:v>
      </x:c>
      <x:c r="J1662" t="n">
        <x:v>24</x:v>
      </x:c>
      <x:c r="K1662" t="str">
        <x:v>(13:14) 27-J.Mason right end to CHI 16 for 8 yards (49-T.Edmunds).</x:v>
      </x:c>
      <x:c r="L1662" t="str">
        <x:v>run</x:v>
      </x:c>
      <x:c r="M1662" t="n">
        <x:v>8</x:v>
      </x:c>
      <x:c r="N1662" t="n">
        <x:v>0</x:v>
      </x:c>
      <x:c r="O1662" t="n">
        <x:v>0</x:v>
      </x:c>
      <x:c r="P1662"/>
      <x:c r="Q1662"/>
      <x:c r="R1662"/>
      <x:c r="S1662"/>
      <x:c r="T1662" t="str">
        <x:v>right</x:v>
      </x:c>
      <x:c r="U1662" t="str">
        <x:v>end</x:v>
      </x:c>
      <x:c r="V1662" t="n">
        <x:v>0</x:v>
      </x:c>
      <x:c r="W1662" t="n">
        <x:v>0</x:v>
      </x:c>
      <x:c r="X1662" t="n">
        <x:v>0</x:v>
      </x:c>
      <x:c r="Y1662" t="n">
        <x:v>0</x:v>
      </x:c>
      <x:c r="Z1662" t="n">
        <x:v>0</x:v>
      </x:c>
      <x:c r="AA1662" t="n">
        <x:v>0</x:v>
      </x:c>
      <x:c r="AB1662"/>
      <x:c r="AC1662" t="n">
        <x:v>0</x:v>
      </x:c>
      <x:c r="AD1662" t="n">
        <x:v>0.4402891859645024</x:v>
      </x:c>
      <x:c r="AE1662" t="n">
        <x:v>1</x:v>
      </x:c>
      <x:c r="AF1662" t="n">
        <x:v>0.012865200638771057</x:v>
      </x:c>
      <x:c r="AG1662" t="n">
        <x:f>_xlfn.XLOOKUP($A1662,Games!$A$2:$A$18,Games!$B$2:$B$18,"Missing game",0)</x:f>
        <x:v>2025</x:v>
      </x:c>
      <x:c r="AH1662" t="str">
        <x:f>_xlfn.XLOOKUP($A1662,Games!$A$2:$A$18,Games!$C$2:$C$18,"Missing game",0)</x:f>
        <x:v>REG</x:v>
      </x:c>
      <x:c r="AI1662" t="n">
        <x:f>_xlfn.XLOOKUP($A1662,Games!$A$2:$A$18,Games!$D$2:$D$18,"Missing game",0)</x:f>
        <x:v>11</x:v>
      </x:c>
      <x:c r="AJ1662" s="1" t="n">
        <x:f>_xlfn.XLOOKUP($A1662,Games!$A$2:$A$18,Games!$E$2:$E$18,"Missing game",0)</x:f>
        <x:v>45977</x:v>
      </x:c>
      <x:c r="AK1662" t="str">
        <x:f>_xlfn.XLOOKUP($A1662,Games!$A$2:$A$18,Games!$F$2:$F$18,"Missing game",0)</x:f>
        <x:v>Sunday</x:v>
      </x:c>
      <x:c r="AL1662" t="str">
        <x:f>_xlfn.XLOOKUP($A1662,Games!$A$2:$A$18,Games!$G$2:$G$18,"Missing game",0)</x:f>
        <x:v>CHI</x:v>
      </x:c>
      <x:c r="AM1662" t="n">
        <x:f>_xlfn.XLOOKUP($A1662,Games!$A$2:$A$18,Games!$H$2:$H$18,"Missing game",0)</x:f>
        <x:v>19</x:v>
      </x:c>
      <x:c r="AN1662" t="str">
        <x:f>_xlfn.XLOOKUP($A1662,Games!$A$2:$A$18,Games!$I$2:$I$18,"Missing game",0)</x:f>
        <x:v>MIN</x:v>
      </x:c>
      <x:c r="AO1662" t="n">
        <x:f>_xlfn.XLOOKUP($A1662,Games!$A$2:$A$18,Games!$J$2:$J$18,"Missing game",0)</x:f>
        <x:v>17</x:v>
      </x:c>
      <x:c r="AP1662" t="n">
        <x:f>_xlfn.XLOOKUP($A1662,Games!$A$2:$A$18,Games!$K$2:$K$18,"Missing game",0)</x:f>
        <x:v>-2</x:v>
      </x:c>
      <x:c r="AQ1662" t="n">
        <x:f>_xlfn.XLOOKUP($A1662,Games!$A$2:$A$18,Games!$L$2:$L$18,"Missing game",0)</x:f>
        <x:v>36</x:v>
      </x:c>
      <x:c r="AR1662" t="n">
        <x:f>_xlfn.XLOOKUP($A1662,Games!$A$2:$A$18,Games!$M$2:$M$18,"Missing game",0)</x:f>
        <x:v>0</x:v>
      </x:c>
      <x:c r="AS1662" t="str">
        <x:f>_xlfn.XLOOKUP($A1662,Games!$A$2:$A$18,Games!$N$2:$N$18,"Missing game",0)</x:f>
        <x:v>dome</x:v>
      </x:c>
      <x:c r="AT1662" t="str">
        <x:f>_xlfn.XLOOKUP($A1662,Games!$A$2:$A$18,Games!$O$2:$O$18,"Missing game",0)</x:f>
        <x:v>sportturf</x:v>
      </x:c>
      <x:c r="AU1662" t="str">
        <x:f>_xlfn.XLOOKUP($A1662,Games!$A$2:$A$18,Games!$P$2:$P$18,"Missing game",0)</x:f>
      </x:c>
      <x:c r="AV1662" t="str">
        <x:f>_xlfn.XLOOKUP($A1662,Games!$A$2:$A$18,Games!$Q$2:$Q$18,"Missing game",0)</x:f>
      </x:c>
      <x:c r="AW1662" t="str">
        <x:f>_xlfn.XLOOKUP($A1662,Games!$A$2:$A$18,Games!$R$2:$R$18,"Missing game",0)</x:f>
        <x:v>U.S. Bank Stadium</x:v>
      </x:c>
    </x:row>
    <x:row r="1663">
      <x:c r="A1663" t="str">
        <x:v>2025_11_CHI_MIN</x:v>
      </x:c>
      <x:c r="B1663" t="n">
        <x:v>3231</x:v>
      </x:c>
      <x:c r="C1663" t="n">
        <x:v>4</x:v>
      </x:c>
      <x:c r="D1663" t="str">
        <x:v>12:38</x:v>
      </x:c>
      <x:c r="E1663" t="n">
        <x:v>2</x:v>
      </x:c>
      <x:c r="F1663" t="n">
        <x:v>2</x:v>
      </x:c>
      <x:c r="G1663" t="str">
        <x:v>MIN</x:v>
      </x:c>
      <x:c r="H1663" t="str">
        <x:v>CHI</x:v>
      </x:c>
      <x:c r="I1663" t="str">
        <x:v>CHI</x:v>
      </x:c>
      <x:c r="J1663" t="n">
        <x:v>16</x:v>
      </x:c>
      <x:c r="K1663" t="str">
        <x:v>(12:38) 27-J.Mason right tackle for 16 yards, TOUCHDOWN.</x:v>
      </x:c>
      <x:c r="L1663" t="str">
        <x:v>run</x:v>
      </x:c>
      <x:c r="M1663" t="n">
        <x:v>16</x:v>
      </x:c>
      <x:c r="N1663" t="n">
        <x:v>0</x:v>
      </x:c>
      <x:c r="O1663" t="n">
        <x:v>0</x:v>
      </x:c>
      <x:c r="P1663"/>
      <x:c r="Q1663"/>
      <x:c r="R1663"/>
      <x:c r="S1663"/>
      <x:c r="T1663" t="str">
        <x:v>right</x:v>
      </x:c>
      <x:c r="U1663" t="str">
        <x:v>tackle</x:v>
      </x:c>
      <x:c r="V1663" t="n">
        <x:v>0</x:v>
      </x:c>
      <x:c r="W1663" t="n">
        <x:v>1</x:v>
      </x:c>
      <x:c r="X1663" t="n">
        <x:v>0</x:v>
      </x:c>
      <x:c r="Y1663" t="n">
        <x:v>0</x:v>
      </x:c>
      <x:c r="Z1663" t="n">
        <x:v>0</x:v>
      </x:c>
      <x:c r="AA1663" t="n">
        <x:v>0</x:v>
      </x:c>
      <x:c r="AB1663"/>
      <x:c r="AC1663" t="n">
        <x:v>1</x:v>
      </x:c>
      <x:c r="AD1663" t="n">
        <x:v>1.903944699675776</x:v>
      </x:c>
      <x:c r="AE1663" t="n">
        <x:v>1</x:v>
      </x:c>
      <x:c r="AF1663" t="n">
        <x:v>0.035751885753977586</x:v>
      </x:c>
      <x:c r="AG1663" t="n">
        <x:f>_xlfn.XLOOKUP($A1663,Games!$A$2:$A$18,Games!$B$2:$B$18,"Missing game",0)</x:f>
        <x:v>2025</x:v>
      </x:c>
      <x:c r="AH1663" t="str">
        <x:f>_xlfn.XLOOKUP($A1663,Games!$A$2:$A$18,Games!$C$2:$C$18,"Missing game",0)</x:f>
        <x:v>REG</x:v>
      </x:c>
      <x:c r="AI1663" t="n">
        <x:f>_xlfn.XLOOKUP($A1663,Games!$A$2:$A$18,Games!$D$2:$D$18,"Missing game",0)</x:f>
        <x:v>11</x:v>
      </x:c>
      <x:c r="AJ1663" s="1" t="n">
        <x:f>_xlfn.XLOOKUP($A1663,Games!$A$2:$A$18,Games!$E$2:$E$18,"Missing game",0)</x:f>
        <x:v>45977</x:v>
      </x:c>
      <x:c r="AK1663" t="str">
        <x:f>_xlfn.XLOOKUP($A1663,Games!$A$2:$A$18,Games!$F$2:$F$18,"Missing game",0)</x:f>
        <x:v>Sunday</x:v>
      </x:c>
      <x:c r="AL1663" t="str">
        <x:f>_xlfn.XLOOKUP($A1663,Games!$A$2:$A$18,Games!$G$2:$G$18,"Missing game",0)</x:f>
        <x:v>CHI</x:v>
      </x:c>
      <x:c r="AM1663" t="n">
        <x:f>_xlfn.XLOOKUP($A1663,Games!$A$2:$A$18,Games!$H$2:$H$18,"Missing game",0)</x:f>
        <x:v>19</x:v>
      </x:c>
      <x:c r="AN1663" t="str">
        <x:f>_xlfn.XLOOKUP($A1663,Games!$A$2:$A$18,Games!$I$2:$I$18,"Missing game",0)</x:f>
        <x:v>MIN</x:v>
      </x:c>
      <x:c r="AO1663" t="n">
        <x:f>_xlfn.XLOOKUP($A1663,Games!$A$2:$A$18,Games!$J$2:$J$18,"Missing game",0)</x:f>
        <x:v>17</x:v>
      </x:c>
      <x:c r="AP1663" t="n">
        <x:f>_xlfn.XLOOKUP($A1663,Games!$A$2:$A$18,Games!$K$2:$K$18,"Missing game",0)</x:f>
        <x:v>-2</x:v>
      </x:c>
      <x:c r="AQ1663" t="n">
        <x:f>_xlfn.XLOOKUP($A1663,Games!$A$2:$A$18,Games!$L$2:$L$18,"Missing game",0)</x:f>
        <x:v>36</x:v>
      </x:c>
      <x:c r="AR1663" t="n">
        <x:f>_xlfn.XLOOKUP($A1663,Games!$A$2:$A$18,Games!$M$2:$M$18,"Missing game",0)</x:f>
        <x:v>0</x:v>
      </x:c>
      <x:c r="AS1663" t="str">
        <x:f>_xlfn.XLOOKUP($A1663,Games!$A$2:$A$18,Games!$N$2:$N$18,"Missing game",0)</x:f>
        <x:v>dome</x:v>
      </x:c>
      <x:c r="AT1663" t="str">
        <x:f>_xlfn.XLOOKUP($A1663,Games!$A$2:$A$18,Games!$O$2:$O$18,"Missing game",0)</x:f>
        <x:v>sportturf</x:v>
      </x:c>
      <x:c r="AU1663" t="str">
        <x:f>_xlfn.XLOOKUP($A1663,Games!$A$2:$A$18,Games!$P$2:$P$18,"Missing game",0)</x:f>
      </x:c>
      <x:c r="AV1663" t="str">
        <x:f>_xlfn.XLOOKUP($A1663,Games!$A$2:$A$18,Games!$Q$2:$Q$18,"Missing game",0)</x:f>
      </x:c>
      <x:c r="AW1663" t="str">
        <x:f>_xlfn.XLOOKUP($A1663,Games!$A$2:$A$18,Games!$R$2:$R$18,"Missing game",0)</x:f>
        <x:v>U.S. Bank Stadium</x:v>
      </x:c>
    </x:row>
    <x:row r="1664">
      <x:c r="A1664" t="str">
        <x:v>2025_11_CHI_MIN</x:v>
      </x:c>
      <x:c r="B1664" t="n">
        <x:v>3254</x:v>
      </x:c>
      <x:c r="C1664" t="n">
        <x:v>4</x:v>
      </x:c>
      <x:c r="D1664" t="str">
        <x:v>12:33</x:v>
      </x:c>
      <x:c r="E1664"/>
      <x:c r="F1664" t="n">
        <x:v>0</x:v>
      </x:c>
      <x:c r="G1664" t="str">
        <x:v>MIN</x:v>
      </x:c>
      <x:c r="H1664" t="str">
        <x:v>CHI</x:v>
      </x:c>
      <x:c r="I1664" t="str">
        <x:v>CHI</x:v>
      </x:c>
      <x:c r="J1664" t="n">
        <x:v>15</x:v>
      </x:c>
      <x:c r="K1664" t="str">
        <x:v>16-W.Reichard extra point is GOOD, Center-42-A.DePaola, Holder-17-R.Wright.</x:v>
      </x:c>
      <x:c r="L1664" t="str">
        <x:v>extra_point</x:v>
      </x:c>
      <x:c r="M1664" t="n">
        <x:v>0</x:v>
      </x:c>
      <x:c r="N1664" t="n">
        <x:v>0</x:v>
      </x:c>
      <x:c r="O1664" t="n">
        <x:v>0</x:v>
      </x:c>
      <x:c r="P1664"/>
      <x:c r="Q1664"/>
      <x:c r="R1664"/>
      <x:c r="S1664"/>
      <x:c r="T1664"/>
      <x:c r="U1664"/>
      <x:c r="V1664" t="n">
        <x:v>0</x:v>
      </x:c>
      <x:c r="W1664" t="n">
        <x:v>0</x:v>
      </x:c>
      <x:c r="X1664" t="n">
        <x:v>0</x:v>
      </x:c>
      <x:c r="Y1664" t="n">
        <x:v>0</x:v>
      </x:c>
      <x:c r="Z1664" t="n">
        <x:v>0</x:v>
      </x:c>
      <x:c r="AA1664" t="n">
        <x:v>0</x:v>
      </x:c>
      <x:c r="AB1664"/>
      <x:c r="AC1664" t="n">
        <x:v>0</x:v>
      </x:c>
      <x:c r="AD1664" t="n">
        <x:v>0.05117156607063911</x:v>
      </x:c>
      <x:c r="AE1664" t="n">
        <x:v>1</x:v>
      </x:c>
      <x:c r="AF1664" t="n">
        <x:v>0.0016500139414188375</x:v>
      </x:c>
      <x:c r="AG1664" t="n">
        <x:f>_xlfn.XLOOKUP($A1664,Games!$A$2:$A$18,Games!$B$2:$B$18,"Missing game",0)</x:f>
        <x:v>2025</x:v>
      </x:c>
      <x:c r="AH1664" t="str">
        <x:f>_xlfn.XLOOKUP($A1664,Games!$A$2:$A$18,Games!$C$2:$C$18,"Missing game",0)</x:f>
        <x:v>REG</x:v>
      </x:c>
      <x:c r="AI1664" t="n">
        <x:f>_xlfn.XLOOKUP($A1664,Games!$A$2:$A$18,Games!$D$2:$D$18,"Missing game",0)</x:f>
        <x:v>11</x:v>
      </x:c>
      <x:c r="AJ1664" s="1" t="n">
        <x:f>_xlfn.XLOOKUP($A1664,Games!$A$2:$A$18,Games!$E$2:$E$18,"Missing game",0)</x:f>
        <x:v>45977</x:v>
      </x:c>
      <x:c r="AK1664" t="str">
        <x:f>_xlfn.XLOOKUP($A1664,Games!$A$2:$A$18,Games!$F$2:$F$18,"Missing game",0)</x:f>
        <x:v>Sunday</x:v>
      </x:c>
      <x:c r="AL1664" t="str">
        <x:f>_xlfn.XLOOKUP($A1664,Games!$A$2:$A$18,Games!$G$2:$G$18,"Missing game",0)</x:f>
        <x:v>CHI</x:v>
      </x:c>
      <x:c r="AM1664" t="n">
        <x:f>_xlfn.XLOOKUP($A1664,Games!$A$2:$A$18,Games!$H$2:$H$18,"Missing game",0)</x:f>
        <x:v>19</x:v>
      </x:c>
      <x:c r="AN1664" t="str">
        <x:f>_xlfn.XLOOKUP($A1664,Games!$A$2:$A$18,Games!$I$2:$I$18,"Missing game",0)</x:f>
        <x:v>MIN</x:v>
      </x:c>
      <x:c r="AO1664" t="n">
        <x:f>_xlfn.XLOOKUP($A1664,Games!$A$2:$A$18,Games!$J$2:$J$18,"Missing game",0)</x:f>
        <x:v>17</x:v>
      </x:c>
      <x:c r="AP1664" t="n">
        <x:f>_xlfn.XLOOKUP($A1664,Games!$A$2:$A$18,Games!$K$2:$K$18,"Missing game",0)</x:f>
        <x:v>-2</x:v>
      </x:c>
      <x:c r="AQ1664" t="n">
        <x:f>_xlfn.XLOOKUP($A1664,Games!$A$2:$A$18,Games!$L$2:$L$18,"Missing game",0)</x:f>
        <x:v>36</x:v>
      </x:c>
      <x:c r="AR1664" t="n">
        <x:f>_xlfn.XLOOKUP($A1664,Games!$A$2:$A$18,Games!$M$2:$M$18,"Missing game",0)</x:f>
        <x:v>0</x:v>
      </x:c>
      <x:c r="AS1664" t="str">
        <x:f>_xlfn.XLOOKUP($A1664,Games!$A$2:$A$18,Games!$N$2:$N$18,"Missing game",0)</x:f>
        <x:v>dome</x:v>
      </x:c>
      <x:c r="AT1664" t="str">
        <x:f>_xlfn.XLOOKUP($A1664,Games!$A$2:$A$18,Games!$O$2:$O$18,"Missing game",0)</x:f>
        <x:v>sportturf</x:v>
      </x:c>
      <x:c r="AU1664" t="str">
        <x:f>_xlfn.XLOOKUP($A1664,Games!$A$2:$A$18,Games!$P$2:$P$18,"Missing game",0)</x:f>
      </x:c>
      <x:c r="AV1664" t="str">
        <x:f>_xlfn.XLOOKUP($A1664,Games!$A$2:$A$18,Games!$Q$2:$Q$18,"Missing game",0)</x:f>
      </x:c>
      <x:c r="AW1664" t="str">
        <x:f>_xlfn.XLOOKUP($A1664,Games!$A$2:$A$18,Games!$R$2:$R$18,"Missing game",0)</x:f>
        <x:v>U.S. Bank Stadium</x:v>
      </x:c>
    </x:row>
    <x:row r="1665">
      <x:c r="A1665" t="str">
        <x:v>2025_11_CHI_MIN</x:v>
      </x:c>
      <x:c r="B1665" t="n">
        <x:v>3269</x:v>
      </x:c>
      <x:c r="C1665" t="n">
        <x:v>4</x:v>
      </x:c>
      <x:c r="D1665" t="str">
        <x:v>12:33</x:v>
      </x:c>
      <x:c r="E1665"/>
      <x:c r="F1665" t="n">
        <x:v>0</x:v>
      </x:c>
      <x:c r="G1665" t="str">
        <x:v>CHI</x:v>
      </x:c>
      <x:c r="H1665" t="str">
        <x:v>MIN</x:v>
      </x:c>
      <x:c r="I1665" t="str">
        <x:v>MIN</x:v>
      </x:c>
      <x:c r="J1665" t="n">
        <x:v>35</x:v>
      </x:c>
      <x:c r="K1665" t="str">
        <x:v>16-W.Reichard kicks 65 yards from MIN 35 to end zone, Touchback to the CHI 35.</x:v>
      </x:c>
      <x:c r="L1665" t="str">
        <x:v>kickoff</x:v>
      </x:c>
      <x:c r="M1665" t="n">
        <x:v>0</x:v>
      </x:c>
      <x:c r="N1665" t="n">
        <x:v>0</x:v>
      </x:c>
      <x:c r="O1665" t="n">
        <x:v>0</x:v>
      </x:c>
      <x:c r="P1665"/>
      <x:c r="Q1665"/>
      <x:c r="R1665"/>
      <x:c r="S1665"/>
      <x:c r="T1665"/>
      <x:c r="U1665"/>
      <x:c r="V1665" t="n">
        <x:v>0</x:v>
      </x:c>
      <x:c r="W1665" t="n">
        <x:v>0</x:v>
      </x:c>
      <x:c r="X1665" t="n">
        <x:v>0</x:v>
      </x:c>
      <x:c r="Y1665" t="n">
        <x:v>0</x:v>
      </x:c>
      <x:c r="Z1665" t="n">
        <x:v>0</x:v>
      </x:c>
      <x:c r="AA1665" t="n">
        <x:v>0</x:v>
      </x:c>
      <x:c r="AB1665"/>
      <x:c r="AC1665" t="n">
        <x:v>0</x:v>
      </x:c>
      <x:c r="AD1665" t="n">
        <x:v>0.4387623816728592</x:v>
      </x:c>
      <x:c r="AE1665" t="n">
        <x:v>1</x:v>
      </x:c>
      <x:c r="AF1665" t="n">
        <x:v>0.014957845211029053</x:v>
      </x:c>
      <x:c r="AG1665" t="n">
        <x:f>_xlfn.XLOOKUP($A1665,Games!$A$2:$A$18,Games!$B$2:$B$18,"Missing game",0)</x:f>
        <x:v>2025</x:v>
      </x:c>
      <x:c r="AH1665" t="str">
        <x:f>_xlfn.XLOOKUP($A1665,Games!$A$2:$A$18,Games!$C$2:$C$18,"Missing game",0)</x:f>
        <x:v>REG</x:v>
      </x:c>
      <x:c r="AI1665" t="n">
        <x:f>_xlfn.XLOOKUP($A1665,Games!$A$2:$A$18,Games!$D$2:$D$18,"Missing game",0)</x:f>
        <x:v>11</x:v>
      </x:c>
      <x:c r="AJ1665" s="1" t="n">
        <x:f>_xlfn.XLOOKUP($A1665,Games!$A$2:$A$18,Games!$E$2:$E$18,"Missing game",0)</x:f>
        <x:v>45977</x:v>
      </x:c>
      <x:c r="AK1665" t="str">
        <x:f>_xlfn.XLOOKUP($A1665,Games!$A$2:$A$18,Games!$F$2:$F$18,"Missing game",0)</x:f>
        <x:v>Sunday</x:v>
      </x:c>
      <x:c r="AL1665" t="str">
        <x:f>_xlfn.XLOOKUP($A1665,Games!$A$2:$A$18,Games!$G$2:$G$18,"Missing game",0)</x:f>
        <x:v>CHI</x:v>
      </x:c>
      <x:c r="AM1665" t="n">
        <x:f>_xlfn.XLOOKUP($A1665,Games!$A$2:$A$18,Games!$H$2:$H$18,"Missing game",0)</x:f>
        <x:v>19</x:v>
      </x:c>
      <x:c r="AN1665" t="str">
        <x:f>_xlfn.XLOOKUP($A1665,Games!$A$2:$A$18,Games!$I$2:$I$18,"Missing game",0)</x:f>
        <x:v>MIN</x:v>
      </x:c>
      <x:c r="AO1665" t="n">
        <x:f>_xlfn.XLOOKUP($A1665,Games!$A$2:$A$18,Games!$J$2:$J$18,"Missing game",0)</x:f>
        <x:v>17</x:v>
      </x:c>
      <x:c r="AP1665" t="n">
        <x:f>_xlfn.XLOOKUP($A1665,Games!$A$2:$A$18,Games!$K$2:$K$18,"Missing game",0)</x:f>
        <x:v>-2</x:v>
      </x:c>
      <x:c r="AQ1665" t="n">
        <x:f>_xlfn.XLOOKUP($A1665,Games!$A$2:$A$18,Games!$L$2:$L$18,"Missing game",0)</x:f>
        <x:v>36</x:v>
      </x:c>
      <x:c r="AR1665" t="n">
        <x:f>_xlfn.XLOOKUP($A1665,Games!$A$2:$A$18,Games!$M$2:$M$18,"Missing game",0)</x:f>
        <x:v>0</x:v>
      </x:c>
      <x:c r="AS1665" t="str">
        <x:f>_xlfn.XLOOKUP($A1665,Games!$A$2:$A$18,Games!$N$2:$N$18,"Missing game",0)</x:f>
        <x:v>dome</x:v>
      </x:c>
      <x:c r="AT1665" t="str">
        <x:f>_xlfn.XLOOKUP($A1665,Games!$A$2:$A$18,Games!$O$2:$O$18,"Missing game",0)</x:f>
        <x:v>sportturf</x:v>
      </x:c>
      <x:c r="AU1665" t="str">
        <x:f>_xlfn.XLOOKUP($A1665,Games!$A$2:$A$18,Games!$P$2:$P$18,"Missing game",0)</x:f>
      </x:c>
      <x:c r="AV1665" t="str">
        <x:f>_xlfn.XLOOKUP($A1665,Games!$A$2:$A$18,Games!$Q$2:$Q$18,"Missing game",0)</x:f>
      </x:c>
      <x:c r="AW1665" t="str">
        <x:f>_xlfn.XLOOKUP($A1665,Games!$A$2:$A$18,Games!$R$2:$R$18,"Missing game",0)</x:f>
        <x:v>U.S. Bank Stadium</x:v>
      </x:c>
    </x:row>
    <x:row r="1666">
      <x:c r="A1666" t="str">
        <x:v>2025_11_CHI_MIN</x:v>
      </x:c>
      <x:c r="B1666" t="n">
        <x:v>3293</x:v>
      </x:c>
      <x:c r="C1666" t="n">
        <x:v>4</x:v>
      </x:c>
      <x:c r="D1666" t="str">
        <x:v>12:33</x:v>
      </x:c>
      <x:c r="E1666" t="n">
        <x:v>1</x:v>
      </x:c>
      <x:c r="F1666" t="n">
        <x:v>10</x:v>
      </x:c>
      <x:c r="G1666" t="str">
        <x:v>CHI</x:v>
      </x:c>
      <x:c r="H1666" t="str">
        <x:v>MIN</x:v>
      </x:c>
      <x:c r="I1666" t="str">
        <x:v>CHI</x:v>
      </x:c>
      <x:c r="J1666" t="n">
        <x:v>65</x:v>
      </x:c>
      <x:c r="K1666" t="str">
        <x:v>(12:33) 4-D.Swift right tackle to CHI 44 for 9 yards (15-D.Turner; 55-E.Wilson).</x:v>
      </x:c>
      <x:c r="L1666" t="str">
        <x:v>run</x:v>
      </x:c>
      <x:c r="M1666" t="n">
        <x:v>9</x:v>
      </x:c>
      <x:c r="N1666" t="n">
        <x:v>0</x:v>
      </x:c>
      <x:c r="O1666" t="n">
        <x:v>0</x:v>
      </x:c>
      <x:c r="P1666"/>
      <x:c r="Q1666"/>
      <x:c r="R1666"/>
      <x:c r="S1666"/>
      <x:c r="T1666" t="str">
        <x:v>right</x:v>
      </x:c>
      <x:c r="U1666" t="str">
        <x:v>tackle</x:v>
      </x:c>
      <x:c r="V1666" t="n">
        <x:v>0</x:v>
      </x:c>
      <x:c r="W1666" t="n">
        <x:v>0</x:v>
      </x:c>
      <x:c r="X1666" t="n">
        <x:v>0</x:v>
      </x:c>
      <x:c r="Y1666" t="n">
        <x:v>0</x:v>
      </x:c>
      <x:c r="Z1666" t="n">
        <x:v>0</x:v>
      </x:c>
      <x:c r="AA1666" t="n">
        <x:v>0</x:v>
      </x:c>
      <x:c r="AB1666"/>
      <x:c r="AC1666" t="n">
        <x:v>0</x:v>
      </x:c>
      <x:c r="AD1666" t="n">
        <x:v>0.8739123472478241</x:v>
      </x:c>
      <x:c r="AE1666" t="n">
        <x:v>1</x:v>
      </x:c>
      <x:c r="AF1666" t="n">
        <x:v>0.03191351890563965</x:v>
      </x:c>
      <x:c r="AG1666" t="n">
        <x:f>_xlfn.XLOOKUP($A1666,Games!$A$2:$A$18,Games!$B$2:$B$18,"Missing game",0)</x:f>
        <x:v>2025</x:v>
      </x:c>
      <x:c r="AH1666" t="str">
        <x:f>_xlfn.XLOOKUP($A1666,Games!$A$2:$A$18,Games!$C$2:$C$18,"Missing game",0)</x:f>
        <x:v>REG</x:v>
      </x:c>
      <x:c r="AI1666" t="n">
        <x:f>_xlfn.XLOOKUP($A1666,Games!$A$2:$A$18,Games!$D$2:$D$18,"Missing game",0)</x:f>
        <x:v>11</x:v>
      </x:c>
      <x:c r="AJ1666" s="1" t="n">
        <x:f>_xlfn.XLOOKUP($A1666,Games!$A$2:$A$18,Games!$E$2:$E$18,"Missing game",0)</x:f>
        <x:v>45977</x:v>
      </x:c>
      <x:c r="AK1666" t="str">
        <x:f>_xlfn.XLOOKUP($A1666,Games!$A$2:$A$18,Games!$F$2:$F$18,"Missing game",0)</x:f>
        <x:v>Sunday</x:v>
      </x:c>
      <x:c r="AL1666" t="str">
        <x:f>_xlfn.XLOOKUP($A1666,Games!$A$2:$A$18,Games!$G$2:$G$18,"Missing game",0)</x:f>
        <x:v>CHI</x:v>
      </x:c>
      <x:c r="AM1666" t="n">
        <x:f>_xlfn.XLOOKUP($A1666,Games!$A$2:$A$18,Games!$H$2:$H$18,"Missing game",0)</x:f>
        <x:v>19</x:v>
      </x:c>
      <x:c r="AN1666" t="str">
        <x:f>_xlfn.XLOOKUP($A1666,Games!$A$2:$A$18,Games!$I$2:$I$18,"Missing game",0)</x:f>
        <x:v>MIN</x:v>
      </x:c>
      <x:c r="AO1666" t="n">
        <x:f>_xlfn.XLOOKUP($A1666,Games!$A$2:$A$18,Games!$J$2:$J$18,"Missing game",0)</x:f>
        <x:v>17</x:v>
      </x:c>
      <x:c r="AP1666" t="n">
        <x:f>_xlfn.XLOOKUP($A1666,Games!$A$2:$A$18,Games!$K$2:$K$18,"Missing game",0)</x:f>
        <x:v>-2</x:v>
      </x:c>
      <x:c r="AQ1666" t="n">
        <x:f>_xlfn.XLOOKUP($A1666,Games!$A$2:$A$18,Games!$L$2:$L$18,"Missing game",0)</x:f>
        <x:v>36</x:v>
      </x:c>
      <x:c r="AR1666" t="n">
        <x:f>_xlfn.XLOOKUP($A1666,Games!$A$2:$A$18,Games!$M$2:$M$18,"Missing game",0)</x:f>
        <x:v>0</x:v>
      </x:c>
      <x:c r="AS1666" t="str">
        <x:f>_xlfn.XLOOKUP($A1666,Games!$A$2:$A$18,Games!$N$2:$N$18,"Missing game",0)</x:f>
        <x:v>dome</x:v>
      </x:c>
      <x:c r="AT1666" t="str">
        <x:f>_xlfn.XLOOKUP($A1666,Games!$A$2:$A$18,Games!$O$2:$O$18,"Missing game",0)</x:f>
        <x:v>sportturf</x:v>
      </x:c>
      <x:c r="AU1666" t="str">
        <x:f>_xlfn.XLOOKUP($A1666,Games!$A$2:$A$18,Games!$P$2:$P$18,"Missing game",0)</x:f>
      </x:c>
      <x:c r="AV1666" t="str">
        <x:f>_xlfn.XLOOKUP($A1666,Games!$A$2:$A$18,Games!$Q$2:$Q$18,"Missing game",0)</x:f>
      </x:c>
      <x:c r="AW1666" t="str">
        <x:f>_xlfn.XLOOKUP($A1666,Games!$A$2:$A$18,Games!$R$2:$R$18,"Missing game",0)</x:f>
        <x:v>U.S. Bank Stadium</x:v>
      </x:c>
    </x:row>
    <x:row r="1667">
      <x:c r="A1667" t="str">
        <x:v>2025_11_CHI_MIN</x:v>
      </x:c>
      <x:c r="B1667" t="n">
        <x:v>3315</x:v>
      </x:c>
      <x:c r="C1667" t="n">
        <x:v>4</x:v>
      </x:c>
      <x:c r="D1667" t="str">
        <x:v>11:53</x:v>
      </x:c>
      <x:c r="E1667" t="n">
        <x:v>2</x:v>
      </x:c>
      <x:c r="F1667" t="n">
        <x:v>1</x:v>
      </x:c>
      <x:c r="G1667" t="str">
        <x:v>CHI</x:v>
      </x:c>
      <x:c r="H1667" t="str">
        <x:v>MIN</x:v>
      </x:c>
      <x:c r="I1667" t="str">
        <x:v>CHI</x:v>
      </x:c>
      <x:c r="J1667" t="n">
        <x:v>56</x:v>
      </x:c>
      <x:c r="K1667" t="str">
        <x:v>(11:53) 75-O.Trapilo reported in as eligible. 4-D.Swift left guard to MIN 45 for 11 yards (44-J.Metellus; 43-A.Van Ginkel).</x:v>
      </x:c>
      <x:c r="L1667" t="str">
        <x:v>run</x:v>
      </x:c>
      <x:c r="M1667" t="n">
        <x:v>11</x:v>
      </x:c>
      <x:c r="N1667" t="n">
        <x:v>0</x:v>
      </x:c>
      <x:c r="O1667" t="n">
        <x:v>0</x:v>
      </x:c>
      <x:c r="P1667"/>
      <x:c r="Q1667"/>
      <x:c r="R1667"/>
      <x:c r="S1667"/>
      <x:c r="T1667" t="str">
        <x:v>left</x:v>
      </x:c>
      <x:c r="U1667" t="str">
        <x:v>guard</x:v>
      </x:c>
      <x:c r="V1667" t="n">
        <x:v>0</x:v>
      </x:c>
      <x:c r="W1667" t="n">
        <x:v>1</x:v>
      </x:c>
      <x:c r="X1667" t="n">
        <x:v>0</x:v>
      </x:c>
      <x:c r="Y1667" t="n">
        <x:v>0</x:v>
      </x:c>
      <x:c r="Z1667" t="n">
        <x:v>0</x:v>
      </x:c>
      <x:c r="AA1667" t="n">
        <x:v>0</x:v>
      </x:c>
      <x:c r="AB1667"/>
      <x:c r="AC1667" t="n">
        <x:v>0</x:v>
      </x:c>
      <x:c r="AD1667" t="n">
        <x:v>0.48657233687117696</x:v>
      </x:c>
      <x:c r="AE1667" t="n">
        <x:v>1</x:v>
      </x:c>
      <x:c r="AF1667" t="n">
        <x:v>0.000031054019927978516</x:v>
      </x:c>
      <x:c r="AG1667" t="n">
        <x:f>_xlfn.XLOOKUP($A1667,Games!$A$2:$A$18,Games!$B$2:$B$18,"Missing game",0)</x:f>
        <x:v>2025</x:v>
      </x:c>
      <x:c r="AH1667" t="str">
        <x:f>_xlfn.XLOOKUP($A1667,Games!$A$2:$A$18,Games!$C$2:$C$18,"Missing game",0)</x:f>
        <x:v>REG</x:v>
      </x:c>
      <x:c r="AI1667" t="n">
        <x:f>_xlfn.XLOOKUP($A1667,Games!$A$2:$A$18,Games!$D$2:$D$18,"Missing game",0)</x:f>
        <x:v>11</x:v>
      </x:c>
      <x:c r="AJ1667" s="1" t="n">
        <x:f>_xlfn.XLOOKUP($A1667,Games!$A$2:$A$18,Games!$E$2:$E$18,"Missing game",0)</x:f>
        <x:v>45977</x:v>
      </x:c>
      <x:c r="AK1667" t="str">
        <x:f>_xlfn.XLOOKUP($A1667,Games!$A$2:$A$18,Games!$F$2:$F$18,"Missing game",0)</x:f>
        <x:v>Sunday</x:v>
      </x:c>
      <x:c r="AL1667" t="str">
        <x:f>_xlfn.XLOOKUP($A1667,Games!$A$2:$A$18,Games!$G$2:$G$18,"Missing game",0)</x:f>
        <x:v>CHI</x:v>
      </x:c>
      <x:c r="AM1667" t="n">
        <x:f>_xlfn.XLOOKUP($A1667,Games!$A$2:$A$18,Games!$H$2:$H$18,"Missing game",0)</x:f>
        <x:v>19</x:v>
      </x:c>
      <x:c r="AN1667" t="str">
        <x:f>_xlfn.XLOOKUP($A1667,Games!$A$2:$A$18,Games!$I$2:$I$18,"Missing game",0)</x:f>
        <x:v>MIN</x:v>
      </x:c>
      <x:c r="AO1667" t="n">
        <x:f>_xlfn.XLOOKUP($A1667,Games!$A$2:$A$18,Games!$J$2:$J$18,"Missing game",0)</x:f>
        <x:v>17</x:v>
      </x:c>
      <x:c r="AP1667" t="n">
        <x:f>_xlfn.XLOOKUP($A1667,Games!$A$2:$A$18,Games!$K$2:$K$18,"Missing game",0)</x:f>
        <x:v>-2</x:v>
      </x:c>
      <x:c r="AQ1667" t="n">
        <x:f>_xlfn.XLOOKUP($A1667,Games!$A$2:$A$18,Games!$L$2:$L$18,"Missing game",0)</x:f>
        <x:v>36</x:v>
      </x:c>
      <x:c r="AR1667" t="n">
        <x:f>_xlfn.XLOOKUP($A1667,Games!$A$2:$A$18,Games!$M$2:$M$18,"Missing game",0)</x:f>
        <x:v>0</x:v>
      </x:c>
      <x:c r="AS1667" t="str">
        <x:f>_xlfn.XLOOKUP($A1667,Games!$A$2:$A$18,Games!$N$2:$N$18,"Missing game",0)</x:f>
        <x:v>dome</x:v>
      </x:c>
      <x:c r="AT1667" t="str">
        <x:f>_xlfn.XLOOKUP($A1667,Games!$A$2:$A$18,Games!$O$2:$O$18,"Missing game",0)</x:f>
        <x:v>sportturf</x:v>
      </x:c>
      <x:c r="AU1667" t="str">
        <x:f>_xlfn.XLOOKUP($A1667,Games!$A$2:$A$18,Games!$P$2:$P$18,"Missing game",0)</x:f>
      </x:c>
      <x:c r="AV1667" t="str">
        <x:f>_xlfn.XLOOKUP($A1667,Games!$A$2:$A$18,Games!$Q$2:$Q$18,"Missing game",0)</x:f>
      </x:c>
      <x:c r="AW1667" t="str">
        <x:f>_xlfn.XLOOKUP($A1667,Games!$A$2:$A$18,Games!$R$2:$R$18,"Missing game",0)</x:f>
        <x:v>U.S. Bank Stadium</x:v>
      </x:c>
    </x:row>
    <x:row r="1668">
      <x:c r="A1668" t="str">
        <x:v>2025_11_CHI_MIN</x:v>
      </x:c>
      <x:c r="B1668" t="n">
        <x:v>3339</x:v>
      </x:c>
      <x:c r="C1668" t="n">
        <x:v>4</x:v>
      </x:c>
      <x:c r="D1668" t="str">
        <x:v>11:10</x:v>
      </x:c>
      <x:c r="E1668" t="n">
        <x:v>1</x:v>
      </x:c>
      <x:c r="F1668" t="n">
        <x:v>10</x:v>
      </x:c>
      <x:c r="G1668" t="str">
        <x:v>CHI</x:v>
      </x:c>
      <x:c r="H1668" t="str">
        <x:v>MIN</x:v>
      </x:c>
      <x:c r="I1668" t="str">
        <x:v>MIN</x:v>
      </x:c>
      <x:c r="J1668" t="n">
        <x:v>45</x:v>
      </x:c>
      <x:c r="K1668" t="str">
        <x:v>(11:10) 4-D.Swift left tackle to MIN 37 for 8 yards (7-B.Murphy).</x:v>
      </x:c>
      <x:c r="L1668" t="str">
        <x:v>run</x:v>
      </x:c>
      <x:c r="M1668" t="n">
        <x:v>8</x:v>
      </x:c>
      <x:c r="N1668" t="n">
        <x:v>0</x:v>
      </x:c>
      <x:c r="O1668" t="n">
        <x:v>0</x:v>
      </x:c>
      <x:c r="P1668"/>
      <x:c r="Q1668"/>
      <x:c r="R1668"/>
      <x:c r="S1668"/>
      <x:c r="T1668" t="str">
        <x:v>left</x:v>
      </x:c>
      <x:c r="U1668" t="str">
        <x:v>tackle</x:v>
      </x:c>
      <x:c r="V1668" t="n">
        <x:v>0</x:v>
      </x:c>
      <x:c r="W1668" t="n">
        <x:v>0</x:v>
      </x:c>
      <x:c r="X1668" t="n">
        <x:v>0</x:v>
      </x:c>
      <x:c r="Y1668" t="n">
        <x:v>0</x:v>
      </x:c>
      <x:c r="Z1668" t="n">
        <x:v>0</x:v>
      </x:c>
      <x:c r="AA1668" t="n">
        <x:v>0</x:v>
      </x:c>
      <x:c r="AB1668"/>
      <x:c r="AC1668" t="n">
        <x:v>0</x:v>
      </x:c>
      <x:c r="AD1668" t="n">
        <x:v>0.5600858216639608</x:v>
      </x:c>
      <x:c r="AE1668" t="n">
        <x:v>1</x:v>
      </x:c>
      <x:c r="AF1668" t="n">
        <x:v>0.016444265842437744</x:v>
      </x:c>
      <x:c r="AG1668" t="n">
        <x:f>_xlfn.XLOOKUP($A1668,Games!$A$2:$A$18,Games!$B$2:$B$18,"Missing game",0)</x:f>
        <x:v>2025</x:v>
      </x:c>
      <x:c r="AH1668" t="str">
        <x:f>_xlfn.XLOOKUP($A1668,Games!$A$2:$A$18,Games!$C$2:$C$18,"Missing game",0)</x:f>
        <x:v>REG</x:v>
      </x:c>
      <x:c r="AI1668" t="n">
        <x:f>_xlfn.XLOOKUP($A1668,Games!$A$2:$A$18,Games!$D$2:$D$18,"Missing game",0)</x:f>
        <x:v>11</x:v>
      </x:c>
      <x:c r="AJ1668" s="1" t="n">
        <x:f>_xlfn.XLOOKUP($A1668,Games!$A$2:$A$18,Games!$E$2:$E$18,"Missing game",0)</x:f>
        <x:v>45977</x:v>
      </x:c>
      <x:c r="AK1668" t="str">
        <x:f>_xlfn.XLOOKUP($A1668,Games!$A$2:$A$18,Games!$F$2:$F$18,"Missing game",0)</x:f>
        <x:v>Sunday</x:v>
      </x:c>
      <x:c r="AL1668" t="str">
        <x:f>_xlfn.XLOOKUP($A1668,Games!$A$2:$A$18,Games!$G$2:$G$18,"Missing game",0)</x:f>
        <x:v>CHI</x:v>
      </x:c>
      <x:c r="AM1668" t="n">
        <x:f>_xlfn.XLOOKUP($A1668,Games!$A$2:$A$18,Games!$H$2:$H$18,"Missing game",0)</x:f>
        <x:v>19</x:v>
      </x:c>
      <x:c r="AN1668" t="str">
        <x:f>_xlfn.XLOOKUP($A1668,Games!$A$2:$A$18,Games!$I$2:$I$18,"Missing game",0)</x:f>
        <x:v>MIN</x:v>
      </x:c>
      <x:c r="AO1668" t="n">
        <x:f>_xlfn.XLOOKUP($A1668,Games!$A$2:$A$18,Games!$J$2:$J$18,"Missing game",0)</x:f>
        <x:v>17</x:v>
      </x:c>
      <x:c r="AP1668" t="n">
        <x:f>_xlfn.XLOOKUP($A1668,Games!$A$2:$A$18,Games!$K$2:$K$18,"Missing game",0)</x:f>
        <x:v>-2</x:v>
      </x:c>
      <x:c r="AQ1668" t="n">
        <x:f>_xlfn.XLOOKUP($A1668,Games!$A$2:$A$18,Games!$L$2:$L$18,"Missing game",0)</x:f>
        <x:v>36</x:v>
      </x:c>
      <x:c r="AR1668" t="n">
        <x:f>_xlfn.XLOOKUP($A1668,Games!$A$2:$A$18,Games!$M$2:$M$18,"Missing game",0)</x:f>
        <x:v>0</x:v>
      </x:c>
      <x:c r="AS1668" t="str">
        <x:f>_xlfn.XLOOKUP($A1668,Games!$A$2:$A$18,Games!$N$2:$N$18,"Missing game",0)</x:f>
        <x:v>dome</x:v>
      </x:c>
      <x:c r="AT1668" t="str">
        <x:f>_xlfn.XLOOKUP($A1668,Games!$A$2:$A$18,Games!$O$2:$O$18,"Missing game",0)</x:f>
        <x:v>sportturf</x:v>
      </x:c>
      <x:c r="AU1668" t="str">
        <x:f>_xlfn.XLOOKUP($A1668,Games!$A$2:$A$18,Games!$P$2:$P$18,"Missing game",0)</x:f>
      </x:c>
      <x:c r="AV1668" t="str">
        <x:f>_xlfn.XLOOKUP($A1668,Games!$A$2:$A$18,Games!$Q$2:$Q$18,"Missing game",0)</x:f>
      </x:c>
      <x:c r="AW1668" t="str">
        <x:f>_xlfn.XLOOKUP($A1668,Games!$A$2:$A$18,Games!$R$2:$R$18,"Missing game",0)</x:f>
        <x:v>U.S. Bank Stadium</x:v>
      </x:c>
    </x:row>
    <x:row r="1669">
      <x:c r="A1669" t="str">
        <x:v>2025_11_CHI_MIN</x:v>
      </x:c>
      <x:c r="B1669" t="n">
        <x:v>3361</x:v>
      </x:c>
      <x:c r="C1669" t="n">
        <x:v>4</x:v>
      </x:c>
      <x:c r="D1669" t="str">
        <x:v>10:26</x:v>
      </x:c>
      <x:c r="E1669" t="n">
        <x:v>2</x:v>
      </x:c>
      <x:c r="F1669" t="n">
        <x:v>2</x:v>
      </x:c>
      <x:c r="G1669" t="str">
        <x:v>CHI</x:v>
      </x:c>
      <x:c r="H1669" t="str">
        <x:v>MIN</x:v>
      </x:c>
      <x:c r="I1669" t="str">
        <x:v>MIN</x:v>
      </x:c>
      <x:c r="J1669" t="n">
        <x:v>37</x:v>
      </x:c>
      <x:c r="K1669" t="str">
        <x:v>(10:26) 4-D.Swift right tackle to MIN 34 for 3 yards (61-J.Redmond; 93-J.Allen).</x:v>
      </x:c>
      <x:c r="L1669" t="str">
        <x:v>run</x:v>
      </x:c>
      <x:c r="M1669" t="n">
        <x:v>3</x:v>
      </x:c>
      <x:c r="N1669" t="n">
        <x:v>0</x:v>
      </x:c>
      <x:c r="O1669" t="n">
        <x:v>0</x:v>
      </x:c>
      <x:c r="P1669"/>
      <x:c r="Q1669"/>
      <x:c r="R1669"/>
      <x:c r="S1669"/>
      <x:c r="T1669" t="str">
        <x:v>right</x:v>
      </x:c>
      <x:c r="U1669" t="str">
        <x:v>tackle</x:v>
      </x:c>
      <x:c r="V1669" t="n">
        <x:v>0</x:v>
      </x:c>
      <x:c r="W1669" t="n">
        <x:v>1</x:v>
      </x:c>
      <x:c r="X1669" t="n">
        <x:v>0</x:v>
      </x:c>
      <x:c r="Y1669" t="n">
        <x:v>0</x:v>
      </x:c>
      <x:c r="Z1669" t="n">
        <x:v>0</x:v>
      </x:c>
      <x:c r="AA1669" t="n">
        <x:v>0</x:v>
      </x:c>
      <x:c r="AB1669"/>
      <x:c r="AC1669" t="n">
        <x:v>0</x:v>
      </x:c>
      <x:c r="AD1669" t="n">
        <x:v>0.09536513953935355</x:v>
      </x:c>
      <x:c r="AE1669" t="n">
        <x:v>1</x:v>
      </x:c>
      <x:c r="AF1669" t="n">
        <x:v>0.011410057544708252</x:v>
      </x:c>
      <x:c r="AG1669" t="n">
        <x:f>_xlfn.XLOOKUP($A1669,Games!$A$2:$A$18,Games!$B$2:$B$18,"Missing game",0)</x:f>
        <x:v>2025</x:v>
      </x:c>
      <x:c r="AH1669" t="str">
        <x:f>_xlfn.XLOOKUP($A1669,Games!$A$2:$A$18,Games!$C$2:$C$18,"Missing game",0)</x:f>
        <x:v>REG</x:v>
      </x:c>
      <x:c r="AI1669" t="n">
        <x:f>_xlfn.XLOOKUP($A1669,Games!$A$2:$A$18,Games!$D$2:$D$18,"Missing game",0)</x:f>
        <x:v>11</x:v>
      </x:c>
      <x:c r="AJ1669" s="1" t="n">
        <x:f>_xlfn.XLOOKUP($A1669,Games!$A$2:$A$18,Games!$E$2:$E$18,"Missing game",0)</x:f>
        <x:v>45977</x:v>
      </x:c>
      <x:c r="AK1669" t="str">
        <x:f>_xlfn.XLOOKUP($A1669,Games!$A$2:$A$18,Games!$F$2:$F$18,"Missing game",0)</x:f>
        <x:v>Sunday</x:v>
      </x:c>
      <x:c r="AL1669" t="str">
        <x:f>_xlfn.XLOOKUP($A1669,Games!$A$2:$A$18,Games!$G$2:$G$18,"Missing game",0)</x:f>
        <x:v>CHI</x:v>
      </x:c>
      <x:c r="AM1669" t="n">
        <x:f>_xlfn.XLOOKUP($A1669,Games!$A$2:$A$18,Games!$H$2:$H$18,"Missing game",0)</x:f>
        <x:v>19</x:v>
      </x:c>
      <x:c r="AN1669" t="str">
        <x:f>_xlfn.XLOOKUP($A1669,Games!$A$2:$A$18,Games!$I$2:$I$18,"Missing game",0)</x:f>
        <x:v>MIN</x:v>
      </x:c>
      <x:c r="AO1669" t="n">
        <x:f>_xlfn.XLOOKUP($A1669,Games!$A$2:$A$18,Games!$J$2:$J$18,"Missing game",0)</x:f>
        <x:v>17</x:v>
      </x:c>
      <x:c r="AP1669" t="n">
        <x:f>_xlfn.XLOOKUP($A1669,Games!$A$2:$A$18,Games!$K$2:$K$18,"Missing game",0)</x:f>
        <x:v>-2</x:v>
      </x:c>
      <x:c r="AQ1669" t="n">
        <x:f>_xlfn.XLOOKUP($A1669,Games!$A$2:$A$18,Games!$L$2:$L$18,"Missing game",0)</x:f>
        <x:v>36</x:v>
      </x:c>
      <x:c r="AR1669" t="n">
        <x:f>_xlfn.XLOOKUP($A1669,Games!$A$2:$A$18,Games!$M$2:$M$18,"Missing game",0)</x:f>
        <x:v>0</x:v>
      </x:c>
      <x:c r="AS1669" t="str">
        <x:f>_xlfn.XLOOKUP($A1669,Games!$A$2:$A$18,Games!$N$2:$N$18,"Missing game",0)</x:f>
        <x:v>dome</x:v>
      </x:c>
      <x:c r="AT1669" t="str">
        <x:f>_xlfn.XLOOKUP($A1669,Games!$A$2:$A$18,Games!$O$2:$O$18,"Missing game",0)</x:f>
        <x:v>sportturf</x:v>
      </x:c>
      <x:c r="AU1669" t="str">
        <x:f>_xlfn.XLOOKUP($A1669,Games!$A$2:$A$18,Games!$P$2:$P$18,"Missing game",0)</x:f>
      </x:c>
      <x:c r="AV1669" t="str">
        <x:f>_xlfn.XLOOKUP($A1669,Games!$A$2:$A$18,Games!$Q$2:$Q$18,"Missing game",0)</x:f>
      </x:c>
      <x:c r="AW1669" t="str">
        <x:f>_xlfn.XLOOKUP($A1669,Games!$A$2:$A$18,Games!$R$2:$R$18,"Missing game",0)</x:f>
        <x:v>U.S. Bank Stadium</x:v>
      </x:c>
    </x:row>
    <x:row r="1670">
      <x:c r="A1670" t="str">
        <x:v>2025_11_CHI_MIN</x:v>
      </x:c>
      <x:c r="B1670" t="n">
        <x:v>3383</x:v>
      </x:c>
      <x:c r="C1670" t="n">
        <x:v>4</x:v>
      </x:c>
      <x:c r="D1670" t="str">
        <x:v>09:46</x:v>
      </x:c>
      <x:c r="E1670" t="n">
        <x:v>1</x:v>
      </x:c>
      <x:c r="F1670" t="n">
        <x:v>10</x:v>
      </x:c>
      <x:c r="G1670" t="str">
        <x:v>CHI</x:v>
      </x:c>
      <x:c r="H1670" t="str">
        <x:v>MIN</x:v>
      </x:c>
      <x:c r="I1670" t="str">
        <x:v>MIN</x:v>
      </x:c>
      <x:c r="J1670" t="n">
        <x:v>34</x:v>
      </x:c>
      <x:c r="K1670" t="str">
        <x:v>(9:46) 18-C.Williams pass incomplete short right to 81-D.Smythe (15-D.Turner).</x:v>
      </x:c>
      <x:c r="L1670" t="str">
        <x:v>pass</x:v>
      </x:c>
      <x:c r="M1670" t="n">
        <x:v>0</x:v>
      </x:c>
      <x:c r="N1670" t="n">
        <x:v>0</x:v>
      </x:c>
      <x:c r="O1670" t="n">
        <x:v>0</x:v>
      </x:c>
      <x:c r="P1670" t="str">
        <x:v>short</x:v>
      </x:c>
      <x:c r="Q1670" t="str">
        <x:v>right</x:v>
      </x:c>
      <x:c r="R1670" t="n">
        <x:v>5</x:v>
      </x:c>
      <x:c r="S1670"/>
      <x:c r="T1670"/>
      <x:c r="U1670"/>
      <x:c r="V1670" t="n">
        <x:v>0</x:v>
      </x:c>
      <x:c r="W1670" t="n">
        <x:v>0</x:v>
      </x:c>
      <x:c r="X1670" t="n">
        <x:v>0</x:v>
      </x:c>
      <x:c r="Y1670" t="n">
        <x:v>0</x:v>
      </x:c>
      <x:c r="Z1670" t="n">
        <x:v>0</x:v>
      </x:c>
      <x:c r="AA1670" t="n">
        <x:v>0</x:v>
      </x:c>
      <x:c r="AB1670"/>
      <x:c r="AC1670" t="n">
        <x:v>0</x:v>
      </x:c>
      <x:c r="AD1670" t="n">
        <x:v>-0.5081732005346566</x:v>
      </x:c>
      <x:c r="AE1670" t="n">
        <x:v>0</x:v>
      </x:c>
      <x:c r="AF1670" t="n">
        <x:v>-0.007149934768676758</x:v>
      </x:c>
      <x:c r="AG1670" t="n">
        <x:f>_xlfn.XLOOKUP($A1670,Games!$A$2:$A$18,Games!$B$2:$B$18,"Missing game",0)</x:f>
        <x:v>2025</x:v>
      </x:c>
      <x:c r="AH1670" t="str">
        <x:f>_xlfn.XLOOKUP($A1670,Games!$A$2:$A$18,Games!$C$2:$C$18,"Missing game",0)</x:f>
        <x:v>REG</x:v>
      </x:c>
      <x:c r="AI1670" t="n">
        <x:f>_xlfn.XLOOKUP($A1670,Games!$A$2:$A$18,Games!$D$2:$D$18,"Missing game",0)</x:f>
        <x:v>11</x:v>
      </x:c>
      <x:c r="AJ1670" s="1" t="n">
        <x:f>_xlfn.XLOOKUP($A1670,Games!$A$2:$A$18,Games!$E$2:$E$18,"Missing game",0)</x:f>
        <x:v>45977</x:v>
      </x:c>
      <x:c r="AK1670" t="str">
        <x:f>_xlfn.XLOOKUP($A1670,Games!$A$2:$A$18,Games!$F$2:$F$18,"Missing game",0)</x:f>
        <x:v>Sunday</x:v>
      </x:c>
      <x:c r="AL1670" t="str">
        <x:f>_xlfn.XLOOKUP($A1670,Games!$A$2:$A$18,Games!$G$2:$G$18,"Missing game",0)</x:f>
        <x:v>CHI</x:v>
      </x:c>
      <x:c r="AM1670" t="n">
        <x:f>_xlfn.XLOOKUP($A1670,Games!$A$2:$A$18,Games!$H$2:$H$18,"Missing game",0)</x:f>
        <x:v>19</x:v>
      </x:c>
      <x:c r="AN1670" t="str">
        <x:f>_xlfn.XLOOKUP($A1670,Games!$A$2:$A$18,Games!$I$2:$I$18,"Missing game",0)</x:f>
        <x:v>MIN</x:v>
      </x:c>
      <x:c r="AO1670" t="n">
        <x:f>_xlfn.XLOOKUP($A1670,Games!$A$2:$A$18,Games!$J$2:$J$18,"Missing game",0)</x:f>
        <x:v>17</x:v>
      </x:c>
      <x:c r="AP1670" t="n">
        <x:f>_xlfn.XLOOKUP($A1670,Games!$A$2:$A$18,Games!$K$2:$K$18,"Missing game",0)</x:f>
        <x:v>-2</x:v>
      </x:c>
      <x:c r="AQ1670" t="n">
        <x:f>_xlfn.XLOOKUP($A1670,Games!$A$2:$A$18,Games!$L$2:$L$18,"Missing game",0)</x:f>
        <x:v>36</x:v>
      </x:c>
      <x:c r="AR1670" t="n">
        <x:f>_xlfn.XLOOKUP($A1670,Games!$A$2:$A$18,Games!$M$2:$M$18,"Missing game",0)</x:f>
        <x:v>0</x:v>
      </x:c>
      <x:c r="AS1670" t="str">
        <x:f>_xlfn.XLOOKUP($A1670,Games!$A$2:$A$18,Games!$N$2:$N$18,"Missing game",0)</x:f>
        <x:v>dome</x:v>
      </x:c>
      <x:c r="AT1670" t="str">
        <x:f>_xlfn.XLOOKUP($A1670,Games!$A$2:$A$18,Games!$O$2:$O$18,"Missing game",0)</x:f>
        <x:v>sportturf</x:v>
      </x:c>
      <x:c r="AU1670" t="str">
        <x:f>_xlfn.XLOOKUP($A1670,Games!$A$2:$A$18,Games!$P$2:$P$18,"Missing game",0)</x:f>
      </x:c>
      <x:c r="AV1670" t="str">
        <x:f>_xlfn.XLOOKUP($A1670,Games!$A$2:$A$18,Games!$Q$2:$Q$18,"Missing game",0)</x:f>
      </x:c>
      <x:c r="AW1670" t="str">
        <x:f>_xlfn.XLOOKUP($A1670,Games!$A$2:$A$18,Games!$R$2:$R$18,"Missing game",0)</x:f>
        <x:v>U.S. Bank Stadium</x:v>
      </x:c>
    </x:row>
    <x:row r="1671">
      <x:c r="A1671" t="str">
        <x:v>2025_11_CHI_MIN</x:v>
      </x:c>
      <x:c r="B1671" t="n">
        <x:v>3406</x:v>
      </x:c>
      <x:c r="C1671" t="n">
        <x:v>4</x:v>
      </x:c>
      <x:c r="D1671" t="str">
        <x:v>09:42</x:v>
      </x:c>
      <x:c r="E1671" t="n">
        <x:v>2</x:v>
      </x:c>
      <x:c r="F1671" t="n">
        <x:v>10</x:v>
      </x:c>
      <x:c r="G1671" t="str">
        <x:v>CHI</x:v>
      </x:c>
      <x:c r="H1671" t="str">
        <x:v>MIN</x:v>
      </x:c>
      <x:c r="I1671" t="str">
        <x:v>MIN</x:v>
      </x:c>
      <x:c r="J1671" t="n">
        <x:v>34</x:v>
      </x:c>
      <x:c r="K1671" t="str">
        <x:v>(9:42) 4-D.Swift left tackle to MIN 27 for 7 yards (97-J.Hargrave; 2-I.Rodgers).</x:v>
      </x:c>
      <x:c r="L1671" t="str">
        <x:v>run</x:v>
      </x:c>
      <x:c r="M1671" t="n">
        <x:v>7</x:v>
      </x:c>
      <x:c r="N1671" t="n">
        <x:v>0</x:v>
      </x:c>
      <x:c r="O1671" t="n">
        <x:v>0</x:v>
      </x:c>
      <x:c r="P1671"/>
      <x:c r="Q1671"/>
      <x:c r="R1671"/>
      <x:c r="S1671"/>
      <x:c r="T1671" t="str">
        <x:v>left</x:v>
      </x:c>
      <x:c r="U1671" t="str">
        <x:v>tackle</x:v>
      </x:c>
      <x:c r="V1671" t="n">
        <x:v>0</x:v>
      </x:c>
      <x:c r="W1671" t="n">
        <x:v>0</x:v>
      </x:c>
      <x:c r="X1671" t="n">
        <x:v>0</x:v>
      </x:c>
      <x:c r="Y1671" t="n">
        <x:v>0</x:v>
      </x:c>
      <x:c r="Z1671" t="n">
        <x:v>0</x:v>
      </x:c>
      <x:c r="AA1671" t="n">
        <x:v>0</x:v>
      </x:c>
      <x:c r="AB1671"/>
      <x:c r="AC1671" t="n">
        <x:v>0</x:v>
      </x:c>
      <x:c r="AD1671" t="n">
        <x:v>0.3488191399956122</x:v>
      </x:c>
      <x:c r="AE1671" t="n">
        <x:v>1</x:v>
      </x:c>
      <x:c r="AF1671" t="n">
        <x:v>0.01855701208114624</x:v>
      </x:c>
      <x:c r="AG1671" t="n">
        <x:f>_xlfn.XLOOKUP($A1671,Games!$A$2:$A$18,Games!$B$2:$B$18,"Missing game",0)</x:f>
        <x:v>2025</x:v>
      </x:c>
      <x:c r="AH1671" t="str">
        <x:f>_xlfn.XLOOKUP($A1671,Games!$A$2:$A$18,Games!$C$2:$C$18,"Missing game",0)</x:f>
        <x:v>REG</x:v>
      </x:c>
      <x:c r="AI1671" t="n">
        <x:f>_xlfn.XLOOKUP($A1671,Games!$A$2:$A$18,Games!$D$2:$D$18,"Missing game",0)</x:f>
        <x:v>11</x:v>
      </x:c>
      <x:c r="AJ1671" s="1" t="n">
        <x:f>_xlfn.XLOOKUP($A1671,Games!$A$2:$A$18,Games!$E$2:$E$18,"Missing game",0)</x:f>
        <x:v>45977</x:v>
      </x:c>
      <x:c r="AK1671" t="str">
        <x:f>_xlfn.XLOOKUP($A1671,Games!$A$2:$A$18,Games!$F$2:$F$18,"Missing game",0)</x:f>
        <x:v>Sunday</x:v>
      </x:c>
      <x:c r="AL1671" t="str">
        <x:f>_xlfn.XLOOKUP($A1671,Games!$A$2:$A$18,Games!$G$2:$G$18,"Missing game",0)</x:f>
        <x:v>CHI</x:v>
      </x:c>
      <x:c r="AM1671" t="n">
        <x:f>_xlfn.XLOOKUP($A1671,Games!$A$2:$A$18,Games!$H$2:$H$18,"Missing game",0)</x:f>
        <x:v>19</x:v>
      </x:c>
      <x:c r="AN1671" t="str">
        <x:f>_xlfn.XLOOKUP($A1671,Games!$A$2:$A$18,Games!$I$2:$I$18,"Missing game",0)</x:f>
        <x:v>MIN</x:v>
      </x:c>
      <x:c r="AO1671" t="n">
        <x:f>_xlfn.XLOOKUP($A1671,Games!$A$2:$A$18,Games!$J$2:$J$18,"Missing game",0)</x:f>
        <x:v>17</x:v>
      </x:c>
      <x:c r="AP1671" t="n">
        <x:f>_xlfn.XLOOKUP($A1671,Games!$A$2:$A$18,Games!$K$2:$K$18,"Missing game",0)</x:f>
        <x:v>-2</x:v>
      </x:c>
      <x:c r="AQ1671" t="n">
        <x:f>_xlfn.XLOOKUP($A1671,Games!$A$2:$A$18,Games!$L$2:$L$18,"Missing game",0)</x:f>
        <x:v>36</x:v>
      </x:c>
      <x:c r="AR1671" t="n">
        <x:f>_xlfn.XLOOKUP($A1671,Games!$A$2:$A$18,Games!$M$2:$M$18,"Missing game",0)</x:f>
        <x:v>0</x:v>
      </x:c>
      <x:c r="AS1671" t="str">
        <x:f>_xlfn.XLOOKUP($A1671,Games!$A$2:$A$18,Games!$N$2:$N$18,"Missing game",0)</x:f>
        <x:v>dome</x:v>
      </x:c>
      <x:c r="AT1671" t="str">
        <x:f>_xlfn.XLOOKUP($A1671,Games!$A$2:$A$18,Games!$O$2:$O$18,"Missing game",0)</x:f>
        <x:v>sportturf</x:v>
      </x:c>
      <x:c r="AU1671" t="str">
        <x:f>_xlfn.XLOOKUP($A1671,Games!$A$2:$A$18,Games!$P$2:$P$18,"Missing game",0)</x:f>
      </x:c>
      <x:c r="AV1671" t="str">
        <x:f>_xlfn.XLOOKUP($A1671,Games!$A$2:$A$18,Games!$Q$2:$Q$18,"Missing game",0)</x:f>
      </x:c>
      <x:c r="AW1671" t="str">
        <x:f>_xlfn.XLOOKUP($A1671,Games!$A$2:$A$18,Games!$R$2:$R$18,"Missing game",0)</x:f>
        <x:v>U.S. Bank Stadium</x:v>
      </x:c>
    </x:row>
    <x:row r="1672">
      <x:c r="A1672" t="str">
        <x:v>2025_11_CHI_MIN</x:v>
      </x:c>
      <x:c r="B1672" t="n">
        <x:v>3428</x:v>
      </x:c>
      <x:c r="C1672" t="n">
        <x:v>4</x:v>
      </x:c>
      <x:c r="D1672" t="str">
        <x:v>08:55</x:v>
      </x:c>
      <x:c r="E1672" t="n">
        <x:v>3</x:v>
      </x:c>
      <x:c r="F1672" t="n">
        <x:v>3</x:v>
      </x:c>
      <x:c r="G1672" t="str">
        <x:v>CHI</x:v>
      </x:c>
      <x:c r="H1672" t="str">
        <x:v>MIN</x:v>
      </x:c>
      <x:c r="I1672" t="str">
        <x:v>MIN</x:v>
      </x:c>
      <x:c r="J1672" t="n">
        <x:v>27</x:v>
      </x:c>
      <x:c r="K1672" t="str">
        <x:v>(8:55) 4-D.Swift right tackle to MIN 27 for no gain (51-B.Cashman; 7-B.Murphy).</x:v>
      </x:c>
      <x:c r="L1672" t="str">
        <x:v>run</x:v>
      </x:c>
      <x:c r="M1672" t="n">
        <x:v>0</x:v>
      </x:c>
      <x:c r="N1672" t="n">
        <x:v>0</x:v>
      </x:c>
      <x:c r="O1672" t="n">
        <x:v>0</x:v>
      </x:c>
      <x:c r="P1672"/>
      <x:c r="Q1672"/>
      <x:c r="R1672"/>
      <x:c r="S1672"/>
      <x:c r="T1672" t="str">
        <x:v>right</x:v>
      </x:c>
      <x:c r="U1672" t="str">
        <x:v>tackle</x:v>
      </x:c>
      <x:c r="V1672" t="n">
        <x:v>0</x:v>
      </x:c>
      <x:c r="W1672" t="n">
        <x:v>0</x:v>
      </x:c>
      <x:c r="X1672" t="n">
        <x:v>0</x:v>
      </x:c>
      <x:c r="Y1672" t="n">
        <x:v>0</x:v>
      </x:c>
      <x:c r="Z1672" t="n">
        <x:v>0</x:v>
      </x:c>
      <x:c r="AA1672" t="n">
        <x:v>0</x:v>
      </x:c>
      <x:c r="AB1672"/>
      <x:c r="AC1672" t="n">
        <x:v>0</x:v>
      </x:c>
      <x:c r="AD1672" t="n">
        <x:v>-1.6350708883986433</x:v>
      </x:c>
      <x:c r="AE1672" t="n">
        <x:v>0</x:v>
      </x:c>
      <x:c r="AF1672" t="n">
        <x:v>-0.020879685878753662</x:v>
      </x:c>
      <x:c r="AG1672" t="n">
        <x:f>_xlfn.XLOOKUP($A1672,Games!$A$2:$A$18,Games!$B$2:$B$18,"Missing game",0)</x:f>
        <x:v>2025</x:v>
      </x:c>
      <x:c r="AH1672" t="str">
        <x:f>_xlfn.XLOOKUP($A1672,Games!$A$2:$A$18,Games!$C$2:$C$18,"Missing game",0)</x:f>
        <x:v>REG</x:v>
      </x:c>
      <x:c r="AI1672" t="n">
        <x:f>_xlfn.XLOOKUP($A1672,Games!$A$2:$A$18,Games!$D$2:$D$18,"Missing game",0)</x:f>
        <x:v>11</x:v>
      </x:c>
      <x:c r="AJ1672" s="1" t="n">
        <x:f>_xlfn.XLOOKUP($A1672,Games!$A$2:$A$18,Games!$E$2:$E$18,"Missing game",0)</x:f>
        <x:v>45977</x:v>
      </x:c>
      <x:c r="AK1672" t="str">
        <x:f>_xlfn.XLOOKUP($A1672,Games!$A$2:$A$18,Games!$F$2:$F$18,"Missing game",0)</x:f>
        <x:v>Sunday</x:v>
      </x:c>
      <x:c r="AL1672" t="str">
        <x:f>_xlfn.XLOOKUP($A1672,Games!$A$2:$A$18,Games!$G$2:$G$18,"Missing game",0)</x:f>
        <x:v>CHI</x:v>
      </x:c>
      <x:c r="AM1672" t="n">
        <x:f>_xlfn.XLOOKUP($A1672,Games!$A$2:$A$18,Games!$H$2:$H$18,"Missing game",0)</x:f>
        <x:v>19</x:v>
      </x:c>
      <x:c r="AN1672" t="str">
        <x:f>_xlfn.XLOOKUP($A1672,Games!$A$2:$A$18,Games!$I$2:$I$18,"Missing game",0)</x:f>
        <x:v>MIN</x:v>
      </x:c>
      <x:c r="AO1672" t="n">
        <x:f>_xlfn.XLOOKUP($A1672,Games!$A$2:$A$18,Games!$J$2:$J$18,"Missing game",0)</x:f>
        <x:v>17</x:v>
      </x:c>
      <x:c r="AP1672" t="n">
        <x:f>_xlfn.XLOOKUP($A1672,Games!$A$2:$A$18,Games!$K$2:$K$18,"Missing game",0)</x:f>
        <x:v>-2</x:v>
      </x:c>
      <x:c r="AQ1672" t="n">
        <x:f>_xlfn.XLOOKUP($A1672,Games!$A$2:$A$18,Games!$L$2:$L$18,"Missing game",0)</x:f>
        <x:v>36</x:v>
      </x:c>
      <x:c r="AR1672" t="n">
        <x:f>_xlfn.XLOOKUP($A1672,Games!$A$2:$A$18,Games!$M$2:$M$18,"Missing game",0)</x:f>
        <x:v>0</x:v>
      </x:c>
      <x:c r="AS1672" t="str">
        <x:f>_xlfn.XLOOKUP($A1672,Games!$A$2:$A$18,Games!$N$2:$N$18,"Missing game",0)</x:f>
        <x:v>dome</x:v>
      </x:c>
      <x:c r="AT1672" t="str">
        <x:f>_xlfn.XLOOKUP($A1672,Games!$A$2:$A$18,Games!$O$2:$O$18,"Missing game",0)</x:f>
        <x:v>sportturf</x:v>
      </x:c>
      <x:c r="AU1672" t="str">
        <x:f>_xlfn.XLOOKUP($A1672,Games!$A$2:$A$18,Games!$P$2:$P$18,"Missing game",0)</x:f>
      </x:c>
      <x:c r="AV1672" t="str">
        <x:f>_xlfn.XLOOKUP($A1672,Games!$A$2:$A$18,Games!$Q$2:$Q$18,"Missing game",0)</x:f>
      </x:c>
      <x:c r="AW1672" t="str">
        <x:f>_xlfn.XLOOKUP($A1672,Games!$A$2:$A$18,Games!$R$2:$R$18,"Missing game",0)</x:f>
        <x:v>U.S. Bank Stadium</x:v>
      </x:c>
    </x:row>
    <x:row r="1673">
      <x:c r="A1673" t="str">
        <x:v>2025_11_CHI_MIN</x:v>
      </x:c>
      <x:c r="B1673" t="n">
        <x:v>3450</x:v>
      </x:c>
      <x:c r="C1673" t="n">
        <x:v>4</x:v>
      </x:c>
      <x:c r="D1673" t="str">
        <x:v>08:13</x:v>
      </x:c>
      <x:c r="E1673" t="n">
        <x:v>4</x:v>
      </x:c>
      <x:c r="F1673" t="n">
        <x:v>3</x:v>
      </x:c>
      <x:c r="G1673" t="str">
        <x:v>CHI</x:v>
      </x:c>
      <x:c r="H1673" t="str">
        <x:v>MIN</x:v>
      </x:c>
      <x:c r="I1673" t="str">
        <x:v>MIN</x:v>
      </x:c>
      <x:c r="J1673" t="n">
        <x:v>27</x:v>
      </x:c>
      <x:c r="K1673" t="str">
        <x:v>(8:13) 8-C.Santos 45 yard field goal is No Good, Wide Left, Center-46-S.Daly, Holder-19-T.Taylor.</x:v>
      </x:c>
      <x:c r="L1673" t="str">
        <x:v>field_goal</x:v>
      </x:c>
      <x:c r="M1673" t="n">
        <x:v>0</x:v>
      </x:c>
      <x:c r="N1673" t="n">
        <x:v>0</x:v>
      </x:c>
      <x:c r="O1673" t="n">
        <x:v>0</x:v>
      </x:c>
      <x:c r="P1673"/>
      <x:c r="Q1673"/>
      <x:c r="R1673"/>
      <x:c r="S1673"/>
      <x:c r="T1673"/>
      <x:c r="U1673"/>
      <x:c r="V1673" t="n">
        <x:v>0</x:v>
      </x:c>
      <x:c r="W1673" t="n">
        <x:v>0</x:v>
      </x:c>
      <x:c r="X1673" t="n">
        <x:v>0</x:v>
      </x:c>
      <x:c r="Y1673" t="n">
        <x:v>0</x:v>
      </x:c>
      <x:c r="Z1673" t="n">
        <x:v>0</x:v>
      </x:c>
      <x:c r="AA1673" t="n">
        <x:v>0</x:v>
      </x:c>
      <x:c r="AB1673"/>
      <x:c r="AC1673" t="n">
        <x:v>0</x:v>
      </x:c>
      <x:c r="AD1673" t="n">
        <x:v>-3.780013208902944</x:v>
      </x:c>
      <x:c r="AE1673" t="n">
        <x:v>0</x:v>
      </x:c>
      <x:c r="AF1673" t="n">
        <x:v>-0.11178264021873474</x:v>
      </x:c>
      <x:c r="AG1673" t="n">
        <x:f>_xlfn.XLOOKUP($A1673,Games!$A$2:$A$18,Games!$B$2:$B$18,"Missing game",0)</x:f>
        <x:v>2025</x:v>
      </x:c>
      <x:c r="AH1673" t="str">
        <x:f>_xlfn.XLOOKUP($A1673,Games!$A$2:$A$18,Games!$C$2:$C$18,"Missing game",0)</x:f>
        <x:v>REG</x:v>
      </x:c>
      <x:c r="AI1673" t="n">
        <x:f>_xlfn.XLOOKUP($A1673,Games!$A$2:$A$18,Games!$D$2:$D$18,"Missing game",0)</x:f>
        <x:v>11</x:v>
      </x:c>
      <x:c r="AJ1673" s="1" t="n">
        <x:f>_xlfn.XLOOKUP($A1673,Games!$A$2:$A$18,Games!$E$2:$E$18,"Missing game",0)</x:f>
        <x:v>45977</x:v>
      </x:c>
      <x:c r="AK1673" t="str">
        <x:f>_xlfn.XLOOKUP($A1673,Games!$A$2:$A$18,Games!$F$2:$F$18,"Missing game",0)</x:f>
        <x:v>Sunday</x:v>
      </x:c>
      <x:c r="AL1673" t="str">
        <x:f>_xlfn.XLOOKUP($A1673,Games!$A$2:$A$18,Games!$G$2:$G$18,"Missing game",0)</x:f>
        <x:v>CHI</x:v>
      </x:c>
      <x:c r="AM1673" t="n">
        <x:f>_xlfn.XLOOKUP($A1673,Games!$A$2:$A$18,Games!$H$2:$H$18,"Missing game",0)</x:f>
        <x:v>19</x:v>
      </x:c>
      <x:c r="AN1673" t="str">
        <x:f>_xlfn.XLOOKUP($A1673,Games!$A$2:$A$18,Games!$I$2:$I$18,"Missing game",0)</x:f>
        <x:v>MIN</x:v>
      </x:c>
      <x:c r="AO1673" t="n">
        <x:f>_xlfn.XLOOKUP($A1673,Games!$A$2:$A$18,Games!$J$2:$J$18,"Missing game",0)</x:f>
        <x:v>17</x:v>
      </x:c>
      <x:c r="AP1673" t="n">
        <x:f>_xlfn.XLOOKUP($A1673,Games!$A$2:$A$18,Games!$K$2:$K$18,"Missing game",0)</x:f>
        <x:v>-2</x:v>
      </x:c>
      <x:c r="AQ1673" t="n">
        <x:f>_xlfn.XLOOKUP($A1673,Games!$A$2:$A$18,Games!$L$2:$L$18,"Missing game",0)</x:f>
        <x:v>36</x:v>
      </x:c>
      <x:c r="AR1673" t="n">
        <x:f>_xlfn.XLOOKUP($A1673,Games!$A$2:$A$18,Games!$M$2:$M$18,"Missing game",0)</x:f>
        <x:v>0</x:v>
      </x:c>
      <x:c r="AS1673" t="str">
        <x:f>_xlfn.XLOOKUP($A1673,Games!$A$2:$A$18,Games!$N$2:$N$18,"Missing game",0)</x:f>
        <x:v>dome</x:v>
      </x:c>
      <x:c r="AT1673" t="str">
        <x:f>_xlfn.XLOOKUP($A1673,Games!$A$2:$A$18,Games!$O$2:$O$18,"Missing game",0)</x:f>
        <x:v>sportturf</x:v>
      </x:c>
      <x:c r="AU1673" t="str">
        <x:f>_xlfn.XLOOKUP($A1673,Games!$A$2:$A$18,Games!$P$2:$P$18,"Missing game",0)</x:f>
      </x:c>
      <x:c r="AV1673" t="str">
        <x:f>_xlfn.XLOOKUP($A1673,Games!$A$2:$A$18,Games!$Q$2:$Q$18,"Missing game",0)</x:f>
      </x:c>
      <x:c r="AW1673" t="str">
        <x:f>_xlfn.XLOOKUP($A1673,Games!$A$2:$A$18,Games!$R$2:$R$18,"Missing game",0)</x:f>
        <x:v>U.S. Bank Stadium</x:v>
      </x:c>
    </x:row>
    <x:row r="1674">
      <x:c r="A1674" t="str">
        <x:v>2025_11_CHI_MIN</x:v>
      </x:c>
      <x:c r="B1674" t="n">
        <x:v>3471</x:v>
      </x:c>
      <x:c r="C1674" t="n">
        <x:v>4</x:v>
      </x:c>
      <x:c r="D1674" t="str">
        <x:v>08:08</x:v>
      </x:c>
      <x:c r="E1674" t="n">
        <x:v>1</x:v>
      </x:c>
      <x:c r="F1674" t="n">
        <x:v>10</x:v>
      </x:c>
      <x:c r="G1674" t="str">
        <x:v>MIN</x:v>
      </x:c>
      <x:c r="H1674" t="str">
        <x:v>CHI</x:v>
      </x:c>
      <x:c r="I1674" t="str">
        <x:v>MIN</x:v>
      </x:c>
      <x:c r="J1674" t="n">
        <x:v>65</x:v>
      </x:c>
      <x:c r="K1674" t="str">
        <x:v>(8:08) 27-J.Mason right end to MIN 37 for 2 yards (98-M.Sweat; 97-A.Billings). ** Injury Update: CHI-29-T.Stevenson has returned to the game.</x:v>
      </x:c>
      <x:c r="L1674" t="str">
        <x:v>run</x:v>
      </x:c>
      <x:c r="M1674" t="n">
        <x:v>2</x:v>
      </x:c>
      <x:c r="N1674" t="n">
        <x:v>0</x:v>
      </x:c>
      <x:c r="O1674" t="n">
        <x:v>0</x:v>
      </x:c>
      <x:c r="P1674"/>
      <x:c r="Q1674"/>
      <x:c r="R1674"/>
      <x:c r="S1674"/>
      <x:c r="T1674" t="str">
        <x:v>right</x:v>
      </x:c>
      <x:c r="U1674" t="str">
        <x:v>end</x:v>
      </x:c>
      <x:c r="V1674" t="n">
        <x:v>0</x:v>
      </x:c>
      <x:c r="W1674" t="n">
        <x:v>0</x:v>
      </x:c>
      <x:c r="X1674" t="n">
        <x:v>0</x:v>
      </x:c>
      <x:c r="Y1674" t="n">
        <x:v>0</x:v>
      </x:c>
      <x:c r="Z1674" t="n">
        <x:v>0</x:v>
      </x:c>
      <x:c r="AA1674" t="n">
        <x:v>0</x:v>
      </x:c>
      <x:c r="AB1674"/>
      <x:c r="AC1674" t="n">
        <x:v>0</x:v>
      </x:c>
      <x:c r="AD1674" t="n">
        <x:v>-0.28200824884697795</x:v>
      </x:c>
      <x:c r="AE1674" t="n">
        <x:v>0</x:v>
      </x:c>
      <x:c r="AF1674" t="n">
        <x:v>-0.01614108681678772</x:v>
      </x:c>
      <x:c r="AG1674" t="n">
        <x:f>_xlfn.XLOOKUP($A1674,Games!$A$2:$A$18,Games!$B$2:$B$18,"Missing game",0)</x:f>
        <x:v>2025</x:v>
      </x:c>
      <x:c r="AH1674" t="str">
        <x:f>_xlfn.XLOOKUP($A1674,Games!$A$2:$A$18,Games!$C$2:$C$18,"Missing game",0)</x:f>
        <x:v>REG</x:v>
      </x:c>
      <x:c r="AI1674" t="n">
        <x:f>_xlfn.XLOOKUP($A1674,Games!$A$2:$A$18,Games!$D$2:$D$18,"Missing game",0)</x:f>
        <x:v>11</x:v>
      </x:c>
      <x:c r="AJ1674" s="1" t="n">
        <x:f>_xlfn.XLOOKUP($A1674,Games!$A$2:$A$18,Games!$E$2:$E$18,"Missing game",0)</x:f>
        <x:v>45977</x:v>
      </x:c>
      <x:c r="AK1674" t="str">
        <x:f>_xlfn.XLOOKUP($A1674,Games!$A$2:$A$18,Games!$F$2:$F$18,"Missing game",0)</x:f>
        <x:v>Sunday</x:v>
      </x:c>
      <x:c r="AL1674" t="str">
        <x:f>_xlfn.XLOOKUP($A1674,Games!$A$2:$A$18,Games!$G$2:$G$18,"Missing game",0)</x:f>
        <x:v>CHI</x:v>
      </x:c>
      <x:c r="AM1674" t="n">
        <x:f>_xlfn.XLOOKUP($A1674,Games!$A$2:$A$18,Games!$H$2:$H$18,"Missing game",0)</x:f>
        <x:v>19</x:v>
      </x:c>
      <x:c r="AN1674" t="str">
        <x:f>_xlfn.XLOOKUP($A1674,Games!$A$2:$A$18,Games!$I$2:$I$18,"Missing game",0)</x:f>
        <x:v>MIN</x:v>
      </x:c>
      <x:c r="AO1674" t="n">
        <x:f>_xlfn.XLOOKUP($A1674,Games!$A$2:$A$18,Games!$J$2:$J$18,"Missing game",0)</x:f>
        <x:v>17</x:v>
      </x:c>
      <x:c r="AP1674" t="n">
        <x:f>_xlfn.XLOOKUP($A1674,Games!$A$2:$A$18,Games!$K$2:$K$18,"Missing game",0)</x:f>
        <x:v>-2</x:v>
      </x:c>
      <x:c r="AQ1674" t="n">
        <x:f>_xlfn.XLOOKUP($A1674,Games!$A$2:$A$18,Games!$L$2:$L$18,"Missing game",0)</x:f>
        <x:v>36</x:v>
      </x:c>
      <x:c r="AR1674" t="n">
        <x:f>_xlfn.XLOOKUP($A1674,Games!$A$2:$A$18,Games!$M$2:$M$18,"Missing game",0)</x:f>
        <x:v>0</x:v>
      </x:c>
      <x:c r="AS1674" t="str">
        <x:f>_xlfn.XLOOKUP($A1674,Games!$A$2:$A$18,Games!$N$2:$N$18,"Missing game",0)</x:f>
        <x:v>dome</x:v>
      </x:c>
      <x:c r="AT1674" t="str">
        <x:f>_xlfn.XLOOKUP($A1674,Games!$A$2:$A$18,Games!$O$2:$O$18,"Missing game",0)</x:f>
        <x:v>sportturf</x:v>
      </x:c>
      <x:c r="AU1674" t="str">
        <x:f>_xlfn.XLOOKUP($A1674,Games!$A$2:$A$18,Games!$P$2:$P$18,"Missing game",0)</x:f>
      </x:c>
      <x:c r="AV1674" t="str">
        <x:f>_xlfn.XLOOKUP($A1674,Games!$A$2:$A$18,Games!$Q$2:$Q$18,"Missing game",0)</x:f>
      </x:c>
      <x:c r="AW1674" t="str">
        <x:f>_xlfn.XLOOKUP($A1674,Games!$A$2:$A$18,Games!$R$2:$R$18,"Missing game",0)</x:f>
        <x:v>U.S. Bank Stadium</x:v>
      </x:c>
    </x:row>
    <x:row r="1675">
      <x:c r="A1675" t="str">
        <x:v>2025_11_CHI_MIN</x:v>
      </x:c>
      <x:c r="B1675" t="n">
        <x:v>3500</x:v>
      </x:c>
      <x:c r="C1675" t="n">
        <x:v>4</x:v>
      </x:c>
      <x:c r="D1675" t="str">
        <x:v>07:32</x:v>
      </x:c>
      <x:c r="E1675" t="n">
        <x:v>2</x:v>
      </x:c>
      <x:c r="F1675" t="n">
        <x:v>8</x:v>
      </x:c>
      <x:c r="G1675" t="str">
        <x:v>MIN</x:v>
      </x:c>
      <x:c r="H1675" t="str">
        <x:v>CHI</x:v>
      </x:c>
      <x:c r="I1675" t="str">
        <x:v>MIN</x:v>
      </x:c>
      <x:c r="J1675" t="n">
        <x:v>63</x:v>
      </x:c>
      <x:c r="K1675" t="str">
        <x:v>(7:32) (Shotgun) 9-J.McCarthy pass incomplete short left to 3-J.Addison.</x:v>
      </x:c>
      <x:c r="L1675" t="str">
        <x:v>pass</x:v>
      </x:c>
      <x:c r="M1675" t="n">
        <x:v>0</x:v>
      </x:c>
      <x:c r="N1675" t="n">
        <x:v>1</x:v>
      </x:c>
      <x:c r="O1675" t="n">
        <x:v>0</x:v>
      </x:c>
      <x:c r="P1675" t="str">
        <x:v>short</x:v>
      </x:c>
      <x:c r="Q1675" t="str">
        <x:v>left</x:v>
      </x:c>
      <x:c r="R1675" t="n">
        <x:v>3</x:v>
      </x:c>
      <x:c r="S1675"/>
      <x:c r="T1675"/>
      <x:c r="U1675"/>
      <x:c r="V1675" t="n">
        <x:v>0</x:v>
      </x:c>
      <x:c r="W1675" t="n">
        <x:v>0</x:v>
      </x:c>
      <x:c r="X1675" t="n">
        <x:v>0</x:v>
      </x:c>
      <x:c r="Y1675" t="n">
        <x:v>0</x:v>
      </x:c>
      <x:c r="Z1675" t="n">
        <x:v>0</x:v>
      </x:c>
      <x:c r="AA1675" t="n">
        <x:v>0</x:v>
      </x:c>
      <x:c r="AB1675"/>
      <x:c r="AC1675" t="n">
        <x:v>0</x:v>
      </x:c>
      <x:c r="AD1675" t="n">
        <x:v>-0.7243251320905983</x:v>
      </x:c>
      <x:c r="AE1675" t="n">
        <x:v>0</x:v>
      </x:c>
      <x:c r="AF1675" t="n">
        <x:v>-0.03249502182006836</x:v>
      </x:c>
      <x:c r="AG1675" t="n">
        <x:f>_xlfn.XLOOKUP($A1675,Games!$A$2:$A$18,Games!$B$2:$B$18,"Missing game",0)</x:f>
        <x:v>2025</x:v>
      </x:c>
      <x:c r="AH1675" t="str">
        <x:f>_xlfn.XLOOKUP($A1675,Games!$A$2:$A$18,Games!$C$2:$C$18,"Missing game",0)</x:f>
        <x:v>REG</x:v>
      </x:c>
      <x:c r="AI1675" t="n">
        <x:f>_xlfn.XLOOKUP($A1675,Games!$A$2:$A$18,Games!$D$2:$D$18,"Missing game",0)</x:f>
        <x:v>11</x:v>
      </x:c>
      <x:c r="AJ1675" s="1" t="n">
        <x:f>_xlfn.XLOOKUP($A1675,Games!$A$2:$A$18,Games!$E$2:$E$18,"Missing game",0)</x:f>
        <x:v>45977</x:v>
      </x:c>
      <x:c r="AK1675" t="str">
        <x:f>_xlfn.XLOOKUP($A1675,Games!$A$2:$A$18,Games!$F$2:$F$18,"Missing game",0)</x:f>
        <x:v>Sunday</x:v>
      </x:c>
      <x:c r="AL1675" t="str">
        <x:f>_xlfn.XLOOKUP($A1675,Games!$A$2:$A$18,Games!$G$2:$G$18,"Missing game",0)</x:f>
        <x:v>CHI</x:v>
      </x:c>
      <x:c r="AM1675" t="n">
        <x:f>_xlfn.XLOOKUP($A1675,Games!$A$2:$A$18,Games!$H$2:$H$18,"Missing game",0)</x:f>
        <x:v>19</x:v>
      </x:c>
      <x:c r="AN1675" t="str">
        <x:f>_xlfn.XLOOKUP($A1675,Games!$A$2:$A$18,Games!$I$2:$I$18,"Missing game",0)</x:f>
        <x:v>MIN</x:v>
      </x:c>
      <x:c r="AO1675" t="n">
        <x:f>_xlfn.XLOOKUP($A1675,Games!$A$2:$A$18,Games!$J$2:$J$18,"Missing game",0)</x:f>
        <x:v>17</x:v>
      </x:c>
      <x:c r="AP1675" t="n">
        <x:f>_xlfn.XLOOKUP($A1675,Games!$A$2:$A$18,Games!$K$2:$K$18,"Missing game",0)</x:f>
        <x:v>-2</x:v>
      </x:c>
      <x:c r="AQ1675" t="n">
        <x:f>_xlfn.XLOOKUP($A1675,Games!$A$2:$A$18,Games!$L$2:$L$18,"Missing game",0)</x:f>
        <x:v>36</x:v>
      </x:c>
      <x:c r="AR1675" t="n">
        <x:f>_xlfn.XLOOKUP($A1675,Games!$A$2:$A$18,Games!$M$2:$M$18,"Missing game",0)</x:f>
        <x:v>0</x:v>
      </x:c>
      <x:c r="AS1675" t="str">
        <x:f>_xlfn.XLOOKUP($A1675,Games!$A$2:$A$18,Games!$N$2:$N$18,"Missing game",0)</x:f>
        <x:v>dome</x:v>
      </x:c>
      <x:c r="AT1675" t="str">
        <x:f>_xlfn.XLOOKUP($A1675,Games!$A$2:$A$18,Games!$O$2:$O$18,"Missing game",0)</x:f>
        <x:v>sportturf</x:v>
      </x:c>
      <x:c r="AU1675" t="str">
        <x:f>_xlfn.XLOOKUP($A1675,Games!$A$2:$A$18,Games!$P$2:$P$18,"Missing game",0)</x:f>
      </x:c>
      <x:c r="AV1675" t="str">
        <x:f>_xlfn.XLOOKUP($A1675,Games!$A$2:$A$18,Games!$Q$2:$Q$18,"Missing game",0)</x:f>
      </x:c>
      <x:c r="AW1675" t="str">
        <x:f>_xlfn.XLOOKUP($A1675,Games!$A$2:$A$18,Games!$R$2:$R$18,"Missing game",0)</x:f>
        <x:v>U.S. Bank Stadium</x:v>
      </x:c>
    </x:row>
    <x:row r="1676">
      <x:c r="A1676" t="str">
        <x:v>2025_11_CHI_MIN</x:v>
      </x:c>
      <x:c r="B1676" t="n">
        <x:v>3523</x:v>
      </x:c>
      <x:c r="C1676" t="n">
        <x:v>4</x:v>
      </x:c>
      <x:c r="D1676" t="str">
        <x:v>07:28</x:v>
      </x:c>
      <x:c r="E1676" t="n">
        <x:v>3</x:v>
      </x:c>
      <x:c r="F1676" t="n">
        <x:v>8</x:v>
      </x:c>
      <x:c r="G1676" t="str">
        <x:v>MIN</x:v>
      </x:c>
      <x:c r="H1676" t="str">
        <x:v>CHI</x:v>
      </x:c>
      <x:c r="I1676" t="str">
        <x:v>MIN</x:v>
      </x:c>
      <x:c r="J1676" t="n">
        <x:v>63</x:v>
      </x:c>
      <x:c r="K1676" t="str">
        <x:v>(7:28) (Shotgun) 9-J.McCarthy pass incomplete short middle to 87-T.Hockenson.</x:v>
      </x:c>
      <x:c r="L1676" t="str">
        <x:v>pass</x:v>
      </x:c>
      <x:c r="M1676" t="n">
        <x:v>0</x:v>
      </x:c>
      <x:c r="N1676" t="n">
        <x:v>1</x:v>
      </x:c>
      <x:c r="O1676" t="n">
        <x:v>0</x:v>
      </x:c>
      <x:c r="P1676" t="str">
        <x:v>short</x:v>
      </x:c>
      <x:c r="Q1676" t="str">
        <x:v>middle</x:v>
      </x:c>
      <x:c r="R1676" t="n">
        <x:v>13</x:v>
      </x:c>
      <x:c r="S1676"/>
      <x:c r="T1676"/>
      <x:c r="U1676"/>
      <x:c r="V1676" t="n">
        <x:v>0</x:v>
      </x:c>
      <x:c r="W1676" t="n">
        <x:v>0</x:v>
      </x:c>
      <x:c r="X1676" t="n">
        <x:v>0</x:v>
      </x:c>
      <x:c r="Y1676" t="n">
        <x:v>0</x:v>
      </x:c>
      <x:c r="Z1676" t="n">
        <x:v>0</x:v>
      </x:c>
      <x:c r="AA1676" t="n">
        <x:v>0</x:v>
      </x:c>
      <x:c r="AB1676"/>
      <x:c r="AC1676" t="n">
        <x:v>0</x:v>
      </x:c>
      <x:c r="AD1676" t="n">
        <x:v>-1.5164380189962685</x:v>
      </x:c>
      <x:c r="AE1676" t="n">
        <x:v>0</x:v>
      </x:c>
      <x:c r="AF1676" t="n">
        <x:v>-0.04284250736236572</x:v>
      </x:c>
      <x:c r="AG1676" t="n">
        <x:f>_xlfn.XLOOKUP($A1676,Games!$A$2:$A$18,Games!$B$2:$B$18,"Missing game",0)</x:f>
        <x:v>2025</x:v>
      </x:c>
      <x:c r="AH1676" t="str">
        <x:f>_xlfn.XLOOKUP($A1676,Games!$A$2:$A$18,Games!$C$2:$C$18,"Missing game",0)</x:f>
        <x:v>REG</x:v>
      </x:c>
      <x:c r="AI1676" t="n">
        <x:f>_xlfn.XLOOKUP($A1676,Games!$A$2:$A$18,Games!$D$2:$D$18,"Missing game",0)</x:f>
        <x:v>11</x:v>
      </x:c>
      <x:c r="AJ1676" s="1" t="n">
        <x:f>_xlfn.XLOOKUP($A1676,Games!$A$2:$A$18,Games!$E$2:$E$18,"Missing game",0)</x:f>
        <x:v>45977</x:v>
      </x:c>
      <x:c r="AK1676" t="str">
        <x:f>_xlfn.XLOOKUP($A1676,Games!$A$2:$A$18,Games!$F$2:$F$18,"Missing game",0)</x:f>
        <x:v>Sunday</x:v>
      </x:c>
      <x:c r="AL1676" t="str">
        <x:f>_xlfn.XLOOKUP($A1676,Games!$A$2:$A$18,Games!$G$2:$G$18,"Missing game",0)</x:f>
        <x:v>CHI</x:v>
      </x:c>
      <x:c r="AM1676" t="n">
        <x:f>_xlfn.XLOOKUP($A1676,Games!$A$2:$A$18,Games!$H$2:$H$18,"Missing game",0)</x:f>
        <x:v>19</x:v>
      </x:c>
      <x:c r="AN1676" t="str">
        <x:f>_xlfn.XLOOKUP($A1676,Games!$A$2:$A$18,Games!$I$2:$I$18,"Missing game",0)</x:f>
        <x:v>MIN</x:v>
      </x:c>
      <x:c r="AO1676" t="n">
        <x:f>_xlfn.XLOOKUP($A1676,Games!$A$2:$A$18,Games!$J$2:$J$18,"Missing game",0)</x:f>
        <x:v>17</x:v>
      </x:c>
      <x:c r="AP1676" t="n">
        <x:f>_xlfn.XLOOKUP($A1676,Games!$A$2:$A$18,Games!$K$2:$K$18,"Missing game",0)</x:f>
        <x:v>-2</x:v>
      </x:c>
      <x:c r="AQ1676" t="n">
        <x:f>_xlfn.XLOOKUP($A1676,Games!$A$2:$A$18,Games!$L$2:$L$18,"Missing game",0)</x:f>
        <x:v>36</x:v>
      </x:c>
      <x:c r="AR1676" t="n">
        <x:f>_xlfn.XLOOKUP($A1676,Games!$A$2:$A$18,Games!$M$2:$M$18,"Missing game",0)</x:f>
        <x:v>0</x:v>
      </x:c>
      <x:c r="AS1676" t="str">
        <x:f>_xlfn.XLOOKUP($A1676,Games!$A$2:$A$18,Games!$N$2:$N$18,"Missing game",0)</x:f>
        <x:v>dome</x:v>
      </x:c>
      <x:c r="AT1676" t="str">
        <x:f>_xlfn.XLOOKUP($A1676,Games!$A$2:$A$18,Games!$O$2:$O$18,"Missing game",0)</x:f>
        <x:v>sportturf</x:v>
      </x:c>
      <x:c r="AU1676" t="str">
        <x:f>_xlfn.XLOOKUP($A1676,Games!$A$2:$A$18,Games!$P$2:$P$18,"Missing game",0)</x:f>
      </x:c>
      <x:c r="AV1676" t="str">
        <x:f>_xlfn.XLOOKUP($A1676,Games!$A$2:$A$18,Games!$Q$2:$Q$18,"Missing game",0)</x:f>
      </x:c>
      <x:c r="AW1676" t="str">
        <x:f>_xlfn.XLOOKUP($A1676,Games!$A$2:$A$18,Games!$R$2:$R$18,"Missing game",0)</x:f>
        <x:v>U.S. Bank Stadium</x:v>
      </x:c>
    </x:row>
    <x:row r="1677">
      <x:c r="A1677" t="str">
        <x:v>2025_11_CHI_MIN</x:v>
      </x:c>
      <x:c r="B1677" t="n">
        <x:v>3546</x:v>
      </x:c>
      <x:c r="C1677" t="n">
        <x:v>4</x:v>
      </x:c>
      <x:c r="D1677" t="str">
        <x:v>07:25</x:v>
      </x:c>
      <x:c r="E1677" t="n">
        <x:v>4</x:v>
      </x:c>
      <x:c r="F1677" t="n">
        <x:v>8</x:v>
      </x:c>
      <x:c r="G1677" t="str">
        <x:v>MIN</x:v>
      </x:c>
      <x:c r="H1677" t="str">
        <x:v>CHI</x:v>
      </x:c>
      <x:c r="I1677" t="str">
        <x:v>MIN</x:v>
      </x:c>
      <x:c r="J1677" t="n">
        <x:v>63</x:v>
      </x:c>
      <x:c r="K1677" t="str">
        <x:v>(7:25) 17-R.Wright punts 45 yards to CHI 18, Center-42-A.DePaola, fair catch by 12-D.Duvernay.</x:v>
      </x:c>
      <x:c r="L1677" t="str">
        <x:v>punt</x:v>
      </x:c>
      <x:c r="M1677" t="n">
        <x:v>0</x:v>
      </x:c>
      <x:c r="N1677" t="n">
        <x:v>0</x:v>
      </x:c>
      <x:c r="O1677" t="n">
        <x:v>0</x:v>
      </x:c>
      <x:c r="P1677"/>
      <x:c r="Q1677"/>
      <x:c r="R1677"/>
      <x:c r="S1677"/>
      <x:c r="T1677"/>
      <x:c r="U1677"/>
      <x:c r="V1677" t="n">
        <x:v>0</x:v>
      </x:c>
      <x:c r="W1677" t="n">
        <x:v>0</x:v>
      </x:c>
      <x:c r="X1677" t="n">
        <x:v>0</x:v>
      </x:c>
      <x:c r="Y1677" t="n">
        <x:v>0</x:v>
      </x:c>
      <x:c r="Z1677" t="n">
        <x:v>0</x:v>
      </x:c>
      <x:c r="AA1677" t="n">
        <x:v>0</x:v>
      </x:c>
      <x:c r="AB1677"/>
      <x:c r="AC1677" t="n">
        <x:v>0</x:v>
      </x:c>
      <x:c r="AD1677" t="n">
        <x:v>-0.16579015599563718</x:v>
      </x:c>
      <x:c r="AE1677" t="n">
        <x:v>0</x:v>
      </x:c>
      <x:c r="AF1677" t="n">
        <x:v>-0.01785123348236084</x:v>
      </x:c>
      <x:c r="AG1677" t="n">
        <x:f>_xlfn.XLOOKUP($A1677,Games!$A$2:$A$18,Games!$B$2:$B$18,"Missing game",0)</x:f>
        <x:v>2025</x:v>
      </x:c>
      <x:c r="AH1677" t="str">
        <x:f>_xlfn.XLOOKUP($A1677,Games!$A$2:$A$18,Games!$C$2:$C$18,"Missing game",0)</x:f>
        <x:v>REG</x:v>
      </x:c>
      <x:c r="AI1677" t="n">
        <x:f>_xlfn.XLOOKUP($A1677,Games!$A$2:$A$18,Games!$D$2:$D$18,"Missing game",0)</x:f>
        <x:v>11</x:v>
      </x:c>
      <x:c r="AJ1677" s="1" t="n">
        <x:f>_xlfn.XLOOKUP($A1677,Games!$A$2:$A$18,Games!$E$2:$E$18,"Missing game",0)</x:f>
        <x:v>45977</x:v>
      </x:c>
      <x:c r="AK1677" t="str">
        <x:f>_xlfn.XLOOKUP($A1677,Games!$A$2:$A$18,Games!$F$2:$F$18,"Missing game",0)</x:f>
        <x:v>Sunday</x:v>
      </x:c>
      <x:c r="AL1677" t="str">
        <x:f>_xlfn.XLOOKUP($A1677,Games!$A$2:$A$18,Games!$G$2:$G$18,"Missing game",0)</x:f>
        <x:v>CHI</x:v>
      </x:c>
      <x:c r="AM1677" t="n">
        <x:f>_xlfn.XLOOKUP($A1677,Games!$A$2:$A$18,Games!$H$2:$H$18,"Missing game",0)</x:f>
        <x:v>19</x:v>
      </x:c>
      <x:c r="AN1677" t="str">
        <x:f>_xlfn.XLOOKUP($A1677,Games!$A$2:$A$18,Games!$I$2:$I$18,"Missing game",0)</x:f>
        <x:v>MIN</x:v>
      </x:c>
      <x:c r="AO1677" t="n">
        <x:f>_xlfn.XLOOKUP($A1677,Games!$A$2:$A$18,Games!$J$2:$J$18,"Missing game",0)</x:f>
        <x:v>17</x:v>
      </x:c>
      <x:c r="AP1677" t="n">
        <x:f>_xlfn.XLOOKUP($A1677,Games!$A$2:$A$18,Games!$K$2:$K$18,"Missing game",0)</x:f>
        <x:v>-2</x:v>
      </x:c>
      <x:c r="AQ1677" t="n">
        <x:f>_xlfn.XLOOKUP($A1677,Games!$A$2:$A$18,Games!$L$2:$L$18,"Missing game",0)</x:f>
        <x:v>36</x:v>
      </x:c>
      <x:c r="AR1677" t="n">
        <x:f>_xlfn.XLOOKUP($A1677,Games!$A$2:$A$18,Games!$M$2:$M$18,"Missing game",0)</x:f>
        <x:v>0</x:v>
      </x:c>
      <x:c r="AS1677" t="str">
        <x:f>_xlfn.XLOOKUP($A1677,Games!$A$2:$A$18,Games!$N$2:$N$18,"Missing game",0)</x:f>
        <x:v>dome</x:v>
      </x:c>
      <x:c r="AT1677" t="str">
        <x:f>_xlfn.XLOOKUP($A1677,Games!$A$2:$A$18,Games!$O$2:$O$18,"Missing game",0)</x:f>
        <x:v>sportturf</x:v>
      </x:c>
      <x:c r="AU1677" t="str">
        <x:f>_xlfn.XLOOKUP($A1677,Games!$A$2:$A$18,Games!$P$2:$P$18,"Missing game",0)</x:f>
      </x:c>
      <x:c r="AV1677" t="str">
        <x:f>_xlfn.XLOOKUP($A1677,Games!$A$2:$A$18,Games!$Q$2:$Q$18,"Missing game",0)</x:f>
      </x:c>
      <x:c r="AW1677" t="str">
        <x:f>_xlfn.XLOOKUP($A1677,Games!$A$2:$A$18,Games!$R$2:$R$18,"Missing game",0)</x:f>
        <x:v>U.S. Bank Stadium</x:v>
      </x:c>
    </x:row>
    <x:row r="1678">
      <x:c r="A1678" t="str">
        <x:v>2025_11_CHI_MIN</x:v>
      </x:c>
      <x:c r="B1678" t="n">
        <x:v>3566</x:v>
      </x:c>
      <x:c r="C1678" t="n">
        <x:v>4</x:v>
      </x:c>
      <x:c r="D1678" t="str">
        <x:v>07:18</x:v>
      </x:c>
      <x:c r="E1678" t="n">
        <x:v>1</x:v>
      </x:c>
      <x:c r="F1678" t="n">
        <x:v>10</x:v>
      </x:c>
      <x:c r="G1678" t="str">
        <x:v>CHI</x:v>
      </x:c>
      <x:c r="H1678" t="str">
        <x:v>MIN</x:v>
      </x:c>
      <x:c r="I1678" t="str">
        <x:v>CHI</x:v>
      </x:c>
      <x:c r="J1678" t="n">
        <x:v>82</x:v>
      </x:c>
      <x:c r="K1678" t="str">
        <x:v>(7:18) 25-K.Monangai right guard to CHI 15 for -3 yards (61-J.Redmond).</x:v>
      </x:c>
      <x:c r="L1678" t="str">
        <x:v>run</x:v>
      </x:c>
      <x:c r="M1678" t="n">
        <x:v>-3</x:v>
      </x:c>
      <x:c r="N1678" t="n">
        <x:v>0</x:v>
      </x:c>
      <x:c r="O1678" t="n">
        <x:v>0</x:v>
      </x:c>
      <x:c r="P1678"/>
      <x:c r="Q1678"/>
      <x:c r="R1678"/>
      <x:c r="S1678"/>
      <x:c r="T1678" t="str">
        <x:v>right</x:v>
      </x:c>
      <x:c r="U1678" t="str">
        <x:v>guard</x:v>
      </x:c>
      <x:c r="V1678" t="n">
        <x:v>0</x:v>
      </x:c>
      <x:c r="W1678" t="n">
        <x:v>0</x:v>
      </x:c>
      <x:c r="X1678" t="n">
        <x:v>0</x:v>
      </x:c>
      <x:c r="Y1678" t="n">
        <x:v>0</x:v>
      </x:c>
      <x:c r="Z1678" t="n">
        <x:v>0</x:v>
      </x:c>
      <x:c r="AA1678" t="n">
        <x:v>0</x:v>
      </x:c>
      <x:c r="AB1678"/>
      <x:c r="AC1678" t="n">
        <x:v>0</x:v>
      </x:c>
      <x:c r="AD1678" t="n">
        <x:v>-1.383788445033133</x:v>
      </x:c>
      <x:c r="AE1678" t="n">
        <x:v>0</x:v>
      </x:c>
      <x:c r="AF1678" t="n">
        <x:v>-0.03384929895401001</x:v>
      </x:c>
      <x:c r="AG1678" t="n">
        <x:f>_xlfn.XLOOKUP($A1678,Games!$A$2:$A$18,Games!$B$2:$B$18,"Missing game",0)</x:f>
        <x:v>2025</x:v>
      </x:c>
      <x:c r="AH1678" t="str">
        <x:f>_xlfn.XLOOKUP($A1678,Games!$A$2:$A$18,Games!$C$2:$C$18,"Missing game",0)</x:f>
        <x:v>REG</x:v>
      </x:c>
      <x:c r="AI1678" t="n">
        <x:f>_xlfn.XLOOKUP($A1678,Games!$A$2:$A$18,Games!$D$2:$D$18,"Missing game",0)</x:f>
        <x:v>11</x:v>
      </x:c>
      <x:c r="AJ1678" s="1" t="n">
        <x:f>_xlfn.XLOOKUP($A1678,Games!$A$2:$A$18,Games!$E$2:$E$18,"Missing game",0)</x:f>
        <x:v>45977</x:v>
      </x:c>
      <x:c r="AK1678" t="str">
        <x:f>_xlfn.XLOOKUP($A1678,Games!$A$2:$A$18,Games!$F$2:$F$18,"Missing game",0)</x:f>
        <x:v>Sunday</x:v>
      </x:c>
      <x:c r="AL1678" t="str">
        <x:f>_xlfn.XLOOKUP($A1678,Games!$A$2:$A$18,Games!$G$2:$G$18,"Missing game",0)</x:f>
        <x:v>CHI</x:v>
      </x:c>
      <x:c r="AM1678" t="n">
        <x:f>_xlfn.XLOOKUP($A1678,Games!$A$2:$A$18,Games!$H$2:$H$18,"Missing game",0)</x:f>
        <x:v>19</x:v>
      </x:c>
      <x:c r="AN1678" t="str">
        <x:f>_xlfn.XLOOKUP($A1678,Games!$A$2:$A$18,Games!$I$2:$I$18,"Missing game",0)</x:f>
        <x:v>MIN</x:v>
      </x:c>
      <x:c r="AO1678" t="n">
        <x:f>_xlfn.XLOOKUP($A1678,Games!$A$2:$A$18,Games!$J$2:$J$18,"Missing game",0)</x:f>
        <x:v>17</x:v>
      </x:c>
      <x:c r="AP1678" t="n">
        <x:f>_xlfn.XLOOKUP($A1678,Games!$A$2:$A$18,Games!$K$2:$K$18,"Missing game",0)</x:f>
        <x:v>-2</x:v>
      </x:c>
      <x:c r="AQ1678" t="n">
        <x:f>_xlfn.XLOOKUP($A1678,Games!$A$2:$A$18,Games!$L$2:$L$18,"Missing game",0)</x:f>
        <x:v>36</x:v>
      </x:c>
      <x:c r="AR1678" t="n">
        <x:f>_xlfn.XLOOKUP($A1678,Games!$A$2:$A$18,Games!$M$2:$M$18,"Missing game",0)</x:f>
        <x:v>0</x:v>
      </x:c>
      <x:c r="AS1678" t="str">
        <x:f>_xlfn.XLOOKUP($A1678,Games!$A$2:$A$18,Games!$N$2:$N$18,"Missing game",0)</x:f>
        <x:v>dome</x:v>
      </x:c>
      <x:c r="AT1678" t="str">
        <x:f>_xlfn.XLOOKUP($A1678,Games!$A$2:$A$18,Games!$O$2:$O$18,"Missing game",0)</x:f>
        <x:v>sportturf</x:v>
      </x:c>
      <x:c r="AU1678" t="str">
        <x:f>_xlfn.XLOOKUP($A1678,Games!$A$2:$A$18,Games!$P$2:$P$18,"Missing game",0)</x:f>
      </x:c>
      <x:c r="AV1678" t="str">
        <x:f>_xlfn.XLOOKUP($A1678,Games!$A$2:$A$18,Games!$Q$2:$Q$18,"Missing game",0)</x:f>
      </x:c>
      <x:c r="AW1678" t="str">
        <x:f>_xlfn.XLOOKUP($A1678,Games!$A$2:$A$18,Games!$R$2:$R$18,"Missing game",0)</x:f>
        <x:v>U.S. Bank Stadium</x:v>
      </x:c>
    </x:row>
    <x:row r="1679">
      <x:c r="A1679" t="str">
        <x:v>2025_11_CHI_MIN</x:v>
      </x:c>
      <x:c r="B1679" t="n">
        <x:v>3591</x:v>
      </x:c>
      <x:c r="C1679" t="n">
        <x:v>4</x:v>
      </x:c>
      <x:c r="D1679" t="str">
        <x:v>06:37</x:v>
      </x:c>
      <x:c r="E1679" t="n">
        <x:v>2</x:v>
      </x:c>
      <x:c r="F1679" t="n">
        <x:v>13</x:v>
      </x:c>
      <x:c r="G1679" t="str">
        <x:v>CHI</x:v>
      </x:c>
      <x:c r="H1679" t="str">
        <x:v>MIN</x:v>
      </x:c>
      <x:c r="I1679" t="str">
        <x:v>CHI</x:v>
      </x:c>
      <x:c r="J1679" t="n">
        <x:v>85</x:v>
      </x:c>
      <x:c r="K1679" t="str">
        <x:v>(6:37) 18-C.Williams pass incomplete deep right to 2-D.Moore.</x:v>
      </x:c>
      <x:c r="L1679" t="str">
        <x:v>pass</x:v>
      </x:c>
      <x:c r="M1679" t="n">
        <x:v>0</x:v>
      </x:c>
      <x:c r="N1679" t="n">
        <x:v>0</x:v>
      </x:c>
      <x:c r="O1679" t="n">
        <x:v>0</x:v>
      </x:c>
      <x:c r="P1679" t="str">
        <x:v>deep</x:v>
      </x:c>
      <x:c r="Q1679" t="str">
        <x:v>right</x:v>
      </x:c>
      <x:c r="R1679" t="n">
        <x:v>18</x:v>
      </x:c>
      <x:c r="S1679"/>
      <x:c r="T1679"/>
      <x:c r="U1679"/>
      <x:c r="V1679" t="n">
        <x:v>0</x:v>
      </x:c>
      <x:c r="W1679" t="n">
        <x:v>0</x:v>
      </x:c>
      <x:c r="X1679" t="n">
        <x:v>0</x:v>
      </x:c>
      <x:c r="Y1679" t="n">
        <x:v>0</x:v>
      </x:c>
      <x:c r="Z1679" t="n">
        <x:v>0</x:v>
      </x:c>
      <x:c r="AA1679" t="n">
        <x:v>0</x:v>
      </x:c>
      <x:c r="AB1679"/>
      <x:c r="AC1679" t="n">
        <x:v>0</x:v>
      </x:c>
      <x:c r="AD1679" t="n">
        <x:v>-0.673747225664556</x:v>
      </x:c>
      <x:c r="AE1679" t="n">
        <x:v>0</x:v>
      </x:c>
      <x:c r="AF1679" t="n">
        <x:v>-0.016086101531982422</x:v>
      </x:c>
      <x:c r="AG1679" t="n">
        <x:f>_xlfn.XLOOKUP($A1679,Games!$A$2:$A$18,Games!$B$2:$B$18,"Missing game",0)</x:f>
        <x:v>2025</x:v>
      </x:c>
      <x:c r="AH1679" t="str">
        <x:f>_xlfn.XLOOKUP($A1679,Games!$A$2:$A$18,Games!$C$2:$C$18,"Missing game",0)</x:f>
        <x:v>REG</x:v>
      </x:c>
      <x:c r="AI1679" t="n">
        <x:f>_xlfn.XLOOKUP($A1679,Games!$A$2:$A$18,Games!$D$2:$D$18,"Missing game",0)</x:f>
        <x:v>11</x:v>
      </x:c>
      <x:c r="AJ1679" s="1" t="n">
        <x:f>_xlfn.XLOOKUP($A1679,Games!$A$2:$A$18,Games!$E$2:$E$18,"Missing game",0)</x:f>
        <x:v>45977</x:v>
      </x:c>
      <x:c r="AK1679" t="str">
        <x:f>_xlfn.XLOOKUP($A1679,Games!$A$2:$A$18,Games!$F$2:$F$18,"Missing game",0)</x:f>
        <x:v>Sunday</x:v>
      </x:c>
      <x:c r="AL1679" t="str">
        <x:f>_xlfn.XLOOKUP($A1679,Games!$A$2:$A$18,Games!$G$2:$G$18,"Missing game",0)</x:f>
        <x:v>CHI</x:v>
      </x:c>
      <x:c r="AM1679" t="n">
        <x:f>_xlfn.XLOOKUP($A1679,Games!$A$2:$A$18,Games!$H$2:$H$18,"Missing game",0)</x:f>
        <x:v>19</x:v>
      </x:c>
      <x:c r="AN1679" t="str">
        <x:f>_xlfn.XLOOKUP($A1679,Games!$A$2:$A$18,Games!$I$2:$I$18,"Missing game",0)</x:f>
        <x:v>MIN</x:v>
      </x:c>
      <x:c r="AO1679" t="n">
        <x:f>_xlfn.XLOOKUP($A1679,Games!$A$2:$A$18,Games!$J$2:$J$18,"Missing game",0)</x:f>
        <x:v>17</x:v>
      </x:c>
      <x:c r="AP1679" t="n">
        <x:f>_xlfn.XLOOKUP($A1679,Games!$A$2:$A$18,Games!$K$2:$K$18,"Missing game",0)</x:f>
        <x:v>-2</x:v>
      </x:c>
      <x:c r="AQ1679" t="n">
        <x:f>_xlfn.XLOOKUP($A1679,Games!$A$2:$A$18,Games!$L$2:$L$18,"Missing game",0)</x:f>
        <x:v>36</x:v>
      </x:c>
      <x:c r="AR1679" t="n">
        <x:f>_xlfn.XLOOKUP($A1679,Games!$A$2:$A$18,Games!$M$2:$M$18,"Missing game",0)</x:f>
        <x:v>0</x:v>
      </x:c>
      <x:c r="AS1679" t="str">
        <x:f>_xlfn.XLOOKUP($A1679,Games!$A$2:$A$18,Games!$N$2:$N$18,"Missing game",0)</x:f>
        <x:v>dome</x:v>
      </x:c>
      <x:c r="AT1679" t="str">
        <x:f>_xlfn.XLOOKUP($A1679,Games!$A$2:$A$18,Games!$O$2:$O$18,"Missing game",0)</x:f>
        <x:v>sportturf</x:v>
      </x:c>
      <x:c r="AU1679" t="str">
        <x:f>_xlfn.XLOOKUP($A1679,Games!$A$2:$A$18,Games!$P$2:$P$18,"Missing game",0)</x:f>
      </x:c>
      <x:c r="AV1679" t="str">
        <x:f>_xlfn.XLOOKUP($A1679,Games!$A$2:$A$18,Games!$Q$2:$Q$18,"Missing game",0)</x:f>
      </x:c>
      <x:c r="AW1679" t="str">
        <x:f>_xlfn.XLOOKUP($A1679,Games!$A$2:$A$18,Games!$R$2:$R$18,"Missing game",0)</x:f>
        <x:v>U.S. Bank Stadium</x:v>
      </x:c>
    </x:row>
    <x:row r="1680">
      <x:c r="A1680" t="str">
        <x:v>2025_11_CHI_MIN</x:v>
      </x:c>
      <x:c r="B1680" t="n">
        <x:v>3614</x:v>
      </x:c>
      <x:c r="C1680" t="n">
        <x:v>4</x:v>
      </x:c>
      <x:c r="D1680" t="str">
        <x:v>06:32</x:v>
      </x:c>
      <x:c r="E1680" t="n">
        <x:v>3</x:v>
      </x:c>
      <x:c r="F1680" t="n">
        <x:v>13</x:v>
      </x:c>
      <x:c r="G1680" t="str">
        <x:v>CHI</x:v>
      </x:c>
      <x:c r="H1680" t="str">
        <x:v>MIN</x:v>
      </x:c>
      <x:c r="I1680" t="str">
        <x:v>CHI</x:v>
      </x:c>
      <x:c r="J1680" t="n">
        <x:v>85</x:v>
      </x:c>
      <x:c r="K1680" t="str">
        <x:v>(6:32) (Shotgun) 18-C.Williams pass short middle to 84-C.Loveland to CHI 39 for 24 yards (26-T.Jackson).</x:v>
      </x:c>
      <x:c r="L1680" t="str">
        <x:v>pass</x:v>
      </x:c>
      <x:c r="M1680" t="n">
        <x:v>24</x:v>
      </x:c>
      <x:c r="N1680" t="n">
        <x:v>1</x:v>
      </x:c>
      <x:c r="O1680" t="n">
        <x:v>0</x:v>
      </x:c>
      <x:c r="P1680" t="str">
        <x:v>short</x:v>
      </x:c>
      <x:c r="Q1680" t="str">
        <x:v>middle</x:v>
      </x:c>
      <x:c r="R1680" t="n">
        <x:v>5</x:v>
      </x:c>
      <x:c r="S1680" t="n">
        <x:v>19</x:v>
      </x:c>
      <x:c r="T1680"/>
      <x:c r="U1680"/>
      <x:c r="V1680" t="n">
        <x:v>1</x:v>
      </x:c>
      <x:c r="W1680" t="n">
        <x:v>1</x:v>
      </x:c>
      <x:c r="X1680" t="n">
        <x:v>0</x:v>
      </x:c>
      <x:c r="Y1680" t="n">
        <x:v>0</x:v>
      </x:c>
      <x:c r="Z1680" t="n">
        <x:v>0</x:v>
      </x:c>
      <x:c r="AA1680" t="n">
        <x:v>0</x:v>
      </x:c>
      <x:c r="AB1680"/>
      <x:c r="AC1680" t="n">
        <x:v>0</x:v>
      </x:c>
      <x:c r="AD1680" t="n">
        <x:v>3.245640176348388</x:v>
      </x:c>
      <x:c r="AE1680" t="n">
        <x:v>1</x:v>
      </x:c>
      <x:c r="AF1680" t="n">
        <x:v>0.07008743286132812</x:v>
      </x:c>
      <x:c r="AG1680" t="n">
        <x:f>_xlfn.XLOOKUP($A1680,Games!$A$2:$A$18,Games!$B$2:$B$18,"Missing game",0)</x:f>
        <x:v>2025</x:v>
      </x:c>
      <x:c r="AH1680" t="str">
        <x:f>_xlfn.XLOOKUP($A1680,Games!$A$2:$A$18,Games!$C$2:$C$18,"Missing game",0)</x:f>
        <x:v>REG</x:v>
      </x:c>
      <x:c r="AI1680" t="n">
        <x:f>_xlfn.XLOOKUP($A1680,Games!$A$2:$A$18,Games!$D$2:$D$18,"Missing game",0)</x:f>
        <x:v>11</x:v>
      </x:c>
      <x:c r="AJ1680" s="1" t="n">
        <x:f>_xlfn.XLOOKUP($A1680,Games!$A$2:$A$18,Games!$E$2:$E$18,"Missing game",0)</x:f>
        <x:v>45977</x:v>
      </x:c>
      <x:c r="AK1680" t="str">
        <x:f>_xlfn.XLOOKUP($A1680,Games!$A$2:$A$18,Games!$F$2:$F$18,"Missing game",0)</x:f>
        <x:v>Sunday</x:v>
      </x:c>
      <x:c r="AL1680" t="str">
        <x:f>_xlfn.XLOOKUP($A1680,Games!$A$2:$A$18,Games!$G$2:$G$18,"Missing game",0)</x:f>
        <x:v>CHI</x:v>
      </x:c>
      <x:c r="AM1680" t="n">
        <x:f>_xlfn.XLOOKUP($A1680,Games!$A$2:$A$18,Games!$H$2:$H$18,"Missing game",0)</x:f>
        <x:v>19</x:v>
      </x:c>
      <x:c r="AN1680" t="str">
        <x:f>_xlfn.XLOOKUP($A1680,Games!$A$2:$A$18,Games!$I$2:$I$18,"Missing game",0)</x:f>
        <x:v>MIN</x:v>
      </x:c>
      <x:c r="AO1680" t="n">
        <x:f>_xlfn.XLOOKUP($A1680,Games!$A$2:$A$18,Games!$J$2:$J$18,"Missing game",0)</x:f>
        <x:v>17</x:v>
      </x:c>
      <x:c r="AP1680" t="n">
        <x:f>_xlfn.XLOOKUP($A1680,Games!$A$2:$A$18,Games!$K$2:$K$18,"Missing game",0)</x:f>
        <x:v>-2</x:v>
      </x:c>
      <x:c r="AQ1680" t="n">
        <x:f>_xlfn.XLOOKUP($A1680,Games!$A$2:$A$18,Games!$L$2:$L$18,"Missing game",0)</x:f>
        <x:v>36</x:v>
      </x:c>
      <x:c r="AR1680" t="n">
        <x:f>_xlfn.XLOOKUP($A1680,Games!$A$2:$A$18,Games!$M$2:$M$18,"Missing game",0)</x:f>
        <x:v>0</x:v>
      </x:c>
      <x:c r="AS1680" t="str">
        <x:f>_xlfn.XLOOKUP($A1680,Games!$A$2:$A$18,Games!$N$2:$N$18,"Missing game",0)</x:f>
        <x:v>dome</x:v>
      </x:c>
      <x:c r="AT1680" t="str">
        <x:f>_xlfn.XLOOKUP($A1680,Games!$A$2:$A$18,Games!$O$2:$O$18,"Missing game",0)</x:f>
        <x:v>sportturf</x:v>
      </x:c>
      <x:c r="AU1680" t="str">
        <x:f>_xlfn.XLOOKUP($A1680,Games!$A$2:$A$18,Games!$P$2:$P$18,"Missing game",0)</x:f>
      </x:c>
      <x:c r="AV1680" t="str">
        <x:f>_xlfn.XLOOKUP($A1680,Games!$A$2:$A$18,Games!$Q$2:$Q$18,"Missing game",0)</x:f>
      </x:c>
      <x:c r="AW1680" t="str">
        <x:f>_xlfn.XLOOKUP($A1680,Games!$A$2:$A$18,Games!$R$2:$R$18,"Missing game",0)</x:f>
        <x:v>U.S. Bank Stadium</x:v>
      </x:c>
    </x:row>
    <x:row r="1681">
      <x:c r="A1681" t="str">
        <x:v>2025_11_CHI_MIN</x:v>
      </x:c>
      <x:c r="B1681" t="n">
        <x:v>3639</x:v>
      </x:c>
      <x:c r="C1681" t="n">
        <x:v>4</x:v>
      </x:c>
      <x:c r="D1681" t="str">
        <x:v>05:49</x:v>
      </x:c>
      <x:c r="E1681" t="n">
        <x:v>1</x:v>
      </x:c>
      <x:c r="F1681" t="n">
        <x:v>10</x:v>
      </x:c>
      <x:c r="G1681" t="str">
        <x:v>CHI</x:v>
      </x:c>
      <x:c r="H1681" t="str">
        <x:v>MIN</x:v>
      </x:c>
      <x:c r="I1681" t="str">
        <x:v>CHI</x:v>
      </x:c>
      <x:c r="J1681" t="n">
        <x:v>61</x:v>
      </x:c>
      <x:c r="K1681" t="str">
        <x:v>(5:49) 25-K.Monangai right tackle to CHI 48 for 9 yards (15-D.Turner; 44-J.Metellus).</x:v>
      </x:c>
      <x:c r="L1681" t="str">
        <x:v>run</x:v>
      </x:c>
      <x:c r="M1681" t="n">
        <x:v>9</x:v>
      </x:c>
      <x:c r="N1681" t="n">
        <x:v>0</x:v>
      </x:c>
      <x:c r="O1681" t="n">
        <x:v>0</x:v>
      </x:c>
      <x:c r="P1681"/>
      <x:c r="Q1681"/>
      <x:c r="R1681"/>
      <x:c r="S1681"/>
      <x:c r="T1681" t="str">
        <x:v>right</x:v>
      </x:c>
      <x:c r="U1681" t="str">
        <x:v>tackle</x:v>
      </x:c>
      <x:c r="V1681" t="n">
        <x:v>0</x:v>
      </x:c>
      <x:c r="W1681" t="n">
        <x:v>0</x:v>
      </x:c>
      <x:c r="X1681" t="n">
        <x:v>0</x:v>
      </x:c>
      <x:c r="Y1681" t="n">
        <x:v>0</x:v>
      </x:c>
      <x:c r="Z1681" t="n">
        <x:v>0</x:v>
      </x:c>
      <x:c r="AA1681" t="n">
        <x:v>0</x:v>
      </x:c>
      <x:c r="AB1681"/>
      <x:c r="AC1681" t="n">
        <x:v>0</x:v>
      </x:c>
      <x:c r="AD1681" t="n">
        <x:v>0.8423986630514264</x:v>
      </x:c>
      <x:c r="AE1681" t="n">
        <x:v>1</x:v>
      </x:c>
      <x:c r="AF1681" t="n">
        <x:v>0.017195284366607666</x:v>
      </x:c>
      <x:c r="AG1681" t="n">
        <x:f>_xlfn.XLOOKUP($A1681,Games!$A$2:$A$18,Games!$B$2:$B$18,"Missing game",0)</x:f>
        <x:v>2025</x:v>
      </x:c>
      <x:c r="AH1681" t="str">
        <x:f>_xlfn.XLOOKUP($A1681,Games!$A$2:$A$18,Games!$C$2:$C$18,"Missing game",0)</x:f>
        <x:v>REG</x:v>
      </x:c>
      <x:c r="AI1681" t="n">
        <x:f>_xlfn.XLOOKUP($A1681,Games!$A$2:$A$18,Games!$D$2:$D$18,"Missing game",0)</x:f>
        <x:v>11</x:v>
      </x:c>
      <x:c r="AJ1681" s="1" t="n">
        <x:f>_xlfn.XLOOKUP($A1681,Games!$A$2:$A$18,Games!$E$2:$E$18,"Missing game",0)</x:f>
        <x:v>45977</x:v>
      </x:c>
      <x:c r="AK1681" t="str">
        <x:f>_xlfn.XLOOKUP($A1681,Games!$A$2:$A$18,Games!$F$2:$F$18,"Missing game",0)</x:f>
        <x:v>Sunday</x:v>
      </x:c>
      <x:c r="AL1681" t="str">
        <x:f>_xlfn.XLOOKUP($A1681,Games!$A$2:$A$18,Games!$G$2:$G$18,"Missing game",0)</x:f>
        <x:v>CHI</x:v>
      </x:c>
      <x:c r="AM1681" t="n">
        <x:f>_xlfn.XLOOKUP($A1681,Games!$A$2:$A$18,Games!$H$2:$H$18,"Missing game",0)</x:f>
        <x:v>19</x:v>
      </x:c>
      <x:c r="AN1681" t="str">
        <x:f>_xlfn.XLOOKUP($A1681,Games!$A$2:$A$18,Games!$I$2:$I$18,"Missing game",0)</x:f>
        <x:v>MIN</x:v>
      </x:c>
      <x:c r="AO1681" t="n">
        <x:f>_xlfn.XLOOKUP($A1681,Games!$A$2:$A$18,Games!$J$2:$J$18,"Missing game",0)</x:f>
        <x:v>17</x:v>
      </x:c>
      <x:c r="AP1681" t="n">
        <x:f>_xlfn.XLOOKUP($A1681,Games!$A$2:$A$18,Games!$K$2:$K$18,"Missing game",0)</x:f>
        <x:v>-2</x:v>
      </x:c>
      <x:c r="AQ1681" t="n">
        <x:f>_xlfn.XLOOKUP($A1681,Games!$A$2:$A$18,Games!$L$2:$L$18,"Missing game",0)</x:f>
        <x:v>36</x:v>
      </x:c>
      <x:c r="AR1681" t="n">
        <x:f>_xlfn.XLOOKUP($A1681,Games!$A$2:$A$18,Games!$M$2:$M$18,"Missing game",0)</x:f>
        <x:v>0</x:v>
      </x:c>
      <x:c r="AS1681" t="str">
        <x:f>_xlfn.XLOOKUP($A1681,Games!$A$2:$A$18,Games!$N$2:$N$18,"Missing game",0)</x:f>
        <x:v>dome</x:v>
      </x:c>
      <x:c r="AT1681" t="str">
        <x:f>_xlfn.XLOOKUP($A1681,Games!$A$2:$A$18,Games!$O$2:$O$18,"Missing game",0)</x:f>
        <x:v>sportturf</x:v>
      </x:c>
      <x:c r="AU1681" t="str">
        <x:f>_xlfn.XLOOKUP($A1681,Games!$A$2:$A$18,Games!$P$2:$P$18,"Missing game",0)</x:f>
      </x:c>
      <x:c r="AV1681" t="str">
        <x:f>_xlfn.XLOOKUP($A1681,Games!$A$2:$A$18,Games!$Q$2:$Q$18,"Missing game",0)</x:f>
      </x:c>
      <x:c r="AW1681" t="str">
        <x:f>_xlfn.XLOOKUP($A1681,Games!$A$2:$A$18,Games!$R$2:$R$18,"Missing game",0)</x:f>
        <x:v>U.S. Bank Stadium</x:v>
      </x:c>
    </x:row>
    <x:row r="1682">
      <x:c r="A1682" t="str">
        <x:v>2025_11_CHI_MIN</x:v>
      </x:c>
      <x:c r="B1682" t="n">
        <x:v>3661</x:v>
      </x:c>
      <x:c r="C1682" t="n">
        <x:v>4</x:v>
      </x:c>
      <x:c r="D1682" t="str">
        <x:v>05:10</x:v>
      </x:c>
      <x:c r="E1682" t="n">
        <x:v>2</x:v>
      </x:c>
      <x:c r="F1682" t="n">
        <x:v>1</x:v>
      </x:c>
      <x:c r="G1682" t="str">
        <x:v>CHI</x:v>
      </x:c>
      <x:c r="H1682" t="str">
        <x:v>MIN</x:v>
      </x:c>
      <x:c r="I1682" t="str">
        <x:v>CHI</x:v>
      </x:c>
      <x:c r="J1682" t="n">
        <x:v>52</x:v>
      </x:c>
      <x:c r="K1682" t="str">
        <x:v>(5:10) 25-K.Monangai up the middle to MIN 48 for 4 yards (51-B.Cashman; 90-T.Ingram-Dawkins).</x:v>
      </x:c>
      <x:c r="L1682" t="str">
        <x:v>run</x:v>
      </x:c>
      <x:c r="M1682" t="n">
        <x:v>4</x:v>
      </x:c>
      <x:c r="N1682" t="n">
        <x:v>0</x:v>
      </x:c>
      <x:c r="O1682" t="n">
        <x:v>0</x:v>
      </x:c>
      <x:c r="P1682"/>
      <x:c r="Q1682"/>
      <x:c r="R1682"/>
      <x:c r="S1682"/>
      <x:c r="T1682" t="str">
        <x:v>middle</x:v>
      </x:c>
      <x:c r="U1682"/>
      <x:c r="V1682" t="n">
        <x:v>0</x:v>
      </x:c>
      <x:c r="W1682" t="n">
        <x:v>1</x:v>
      </x:c>
      <x:c r="X1682" t="n">
        <x:v>0</x:v>
      </x:c>
      <x:c r="Y1682" t="n">
        <x:v>0</x:v>
      </x:c>
      <x:c r="Z1682" t="n">
        <x:v>0</x:v>
      </x:c>
      <x:c r="AA1682" t="n">
        <x:v>0</x:v>
      </x:c>
      <x:c r="AB1682"/>
      <x:c r="AC1682" t="n">
        <x:v>0</x:v>
      </x:c>
      <x:c r="AD1682" t="n">
        <x:v>-0.007354268338531256</x:v>
      </x:c>
      <x:c r="AE1682" t="n">
        <x:v>0</x:v>
      </x:c>
      <x:c r="AF1682" t="n">
        <x:v>0.0010624527931213379</x:v>
      </x:c>
      <x:c r="AG1682" t="n">
        <x:f>_xlfn.XLOOKUP($A1682,Games!$A$2:$A$18,Games!$B$2:$B$18,"Missing game",0)</x:f>
        <x:v>2025</x:v>
      </x:c>
      <x:c r="AH1682" t="str">
        <x:f>_xlfn.XLOOKUP($A1682,Games!$A$2:$A$18,Games!$C$2:$C$18,"Missing game",0)</x:f>
        <x:v>REG</x:v>
      </x:c>
      <x:c r="AI1682" t="n">
        <x:f>_xlfn.XLOOKUP($A1682,Games!$A$2:$A$18,Games!$D$2:$D$18,"Missing game",0)</x:f>
        <x:v>11</x:v>
      </x:c>
      <x:c r="AJ1682" s="1" t="n">
        <x:f>_xlfn.XLOOKUP($A1682,Games!$A$2:$A$18,Games!$E$2:$E$18,"Missing game",0)</x:f>
        <x:v>45977</x:v>
      </x:c>
      <x:c r="AK1682" t="str">
        <x:f>_xlfn.XLOOKUP($A1682,Games!$A$2:$A$18,Games!$F$2:$F$18,"Missing game",0)</x:f>
        <x:v>Sunday</x:v>
      </x:c>
      <x:c r="AL1682" t="str">
        <x:f>_xlfn.XLOOKUP($A1682,Games!$A$2:$A$18,Games!$G$2:$G$18,"Missing game",0)</x:f>
        <x:v>CHI</x:v>
      </x:c>
      <x:c r="AM1682" t="n">
        <x:f>_xlfn.XLOOKUP($A1682,Games!$A$2:$A$18,Games!$H$2:$H$18,"Missing game",0)</x:f>
        <x:v>19</x:v>
      </x:c>
      <x:c r="AN1682" t="str">
        <x:f>_xlfn.XLOOKUP($A1682,Games!$A$2:$A$18,Games!$I$2:$I$18,"Missing game",0)</x:f>
        <x:v>MIN</x:v>
      </x:c>
      <x:c r="AO1682" t="n">
        <x:f>_xlfn.XLOOKUP($A1682,Games!$A$2:$A$18,Games!$J$2:$J$18,"Missing game",0)</x:f>
        <x:v>17</x:v>
      </x:c>
      <x:c r="AP1682" t="n">
        <x:f>_xlfn.XLOOKUP($A1682,Games!$A$2:$A$18,Games!$K$2:$K$18,"Missing game",0)</x:f>
        <x:v>-2</x:v>
      </x:c>
      <x:c r="AQ1682" t="n">
        <x:f>_xlfn.XLOOKUP($A1682,Games!$A$2:$A$18,Games!$L$2:$L$18,"Missing game",0)</x:f>
        <x:v>36</x:v>
      </x:c>
      <x:c r="AR1682" t="n">
        <x:f>_xlfn.XLOOKUP($A1682,Games!$A$2:$A$18,Games!$M$2:$M$18,"Missing game",0)</x:f>
        <x:v>0</x:v>
      </x:c>
      <x:c r="AS1682" t="str">
        <x:f>_xlfn.XLOOKUP($A1682,Games!$A$2:$A$18,Games!$N$2:$N$18,"Missing game",0)</x:f>
        <x:v>dome</x:v>
      </x:c>
      <x:c r="AT1682" t="str">
        <x:f>_xlfn.XLOOKUP($A1682,Games!$A$2:$A$18,Games!$O$2:$O$18,"Missing game",0)</x:f>
        <x:v>sportturf</x:v>
      </x:c>
      <x:c r="AU1682" t="str">
        <x:f>_xlfn.XLOOKUP($A1682,Games!$A$2:$A$18,Games!$P$2:$P$18,"Missing game",0)</x:f>
      </x:c>
      <x:c r="AV1682" t="str">
        <x:f>_xlfn.XLOOKUP($A1682,Games!$A$2:$A$18,Games!$Q$2:$Q$18,"Missing game",0)</x:f>
      </x:c>
      <x:c r="AW1682" t="str">
        <x:f>_xlfn.XLOOKUP($A1682,Games!$A$2:$A$18,Games!$R$2:$R$18,"Missing game",0)</x:f>
        <x:v>U.S. Bank Stadium</x:v>
      </x:c>
    </x:row>
    <x:row r="1683">
      <x:c r="A1683" t="str">
        <x:v>2025_11_CHI_MIN</x:v>
      </x:c>
      <x:c r="B1683" t="n">
        <x:v>3683</x:v>
      </x:c>
      <x:c r="C1683" t="n">
        <x:v>4</x:v>
      </x:c>
      <x:c r="D1683" t="str">
        <x:v>04:27</x:v>
      </x:c>
      <x:c r="E1683" t="n">
        <x:v>1</x:v>
      </x:c>
      <x:c r="F1683" t="n">
        <x:v>10</x:v>
      </x:c>
      <x:c r="G1683" t="str">
        <x:v>CHI</x:v>
      </x:c>
      <x:c r="H1683" t="str">
        <x:v>MIN</x:v>
      </x:c>
      <x:c r="I1683" t="str">
        <x:v>MIN</x:v>
      </x:c>
      <x:c r="J1683" t="n">
        <x:v>48</x:v>
      </x:c>
      <x:c r="K1683" t="str">
        <x:v>(4:27) 25-K.Monangai right tackle to MIN 43 for 5 yards (55-E.Wilson; 61-J.Redmond). PENALTY on CHI-58-D.Wright, Illegal Formation, 5 yards, enforced at MIN 48 - No Play.</x:v>
      </x:c>
      <x:c r="L1683" t="str">
        <x:v>no_play</x:v>
      </x:c>
      <x:c r="M1683" t="n">
        <x:v>0</x:v>
      </x:c>
      <x:c r="N1683" t="n">
        <x:v>0</x:v>
      </x:c>
      <x:c r="O1683" t="n">
        <x:v>0</x:v>
      </x:c>
      <x:c r="P1683"/>
      <x:c r="Q1683"/>
      <x:c r="R1683"/>
      <x:c r="S1683"/>
      <x:c r="T1683"/>
      <x:c r="U1683"/>
      <x:c r="V1683" t="n">
        <x:v>0</x:v>
      </x:c>
      <x:c r="W1683" t="n">
        <x:v>0</x:v>
      </x:c>
      <x:c r="X1683" t="n">
        <x:v>0</x:v>
      </x:c>
      <x:c r="Y1683" t="n">
        <x:v>0</x:v>
      </x:c>
      <x:c r="Z1683" t="n">
        <x:v>0</x:v>
      </x:c>
      <x:c r="AA1683" t="n">
        <x:v>1</x:v>
      </x:c>
      <x:c r="AB1683" t="n">
        <x:v>5</x:v>
      </x:c>
      <x:c r="AC1683" t="n">
        <x:v>0</x:v>
      </x:c>
      <x:c r="AD1683" t="n">
        <x:v>-0.6290854205144569</x:v>
      </x:c>
      <x:c r="AE1683" t="n">
        <x:v>0</x:v>
      </x:c>
      <x:c r="AF1683" t="n">
        <x:v>-0.008516073226928711</x:v>
      </x:c>
      <x:c r="AG1683" t="n">
        <x:f>_xlfn.XLOOKUP($A1683,Games!$A$2:$A$18,Games!$B$2:$B$18,"Missing game",0)</x:f>
        <x:v>2025</x:v>
      </x:c>
      <x:c r="AH1683" t="str">
        <x:f>_xlfn.XLOOKUP($A1683,Games!$A$2:$A$18,Games!$C$2:$C$18,"Missing game",0)</x:f>
        <x:v>REG</x:v>
      </x:c>
      <x:c r="AI1683" t="n">
        <x:f>_xlfn.XLOOKUP($A1683,Games!$A$2:$A$18,Games!$D$2:$D$18,"Missing game",0)</x:f>
        <x:v>11</x:v>
      </x:c>
      <x:c r="AJ1683" s="1" t="n">
        <x:f>_xlfn.XLOOKUP($A1683,Games!$A$2:$A$18,Games!$E$2:$E$18,"Missing game",0)</x:f>
        <x:v>45977</x:v>
      </x:c>
      <x:c r="AK1683" t="str">
        <x:f>_xlfn.XLOOKUP($A1683,Games!$A$2:$A$18,Games!$F$2:$F$18,"Missing game",0)</x:f>
        <x:v>Sunday</x:v>
      </x:c>
      <x:c r="AL1683" t="str">
        <x:f>_xlfn.XLOOKUP($A1683,Games!$A$2:$A$18,Games!$G$2:$G$18,"Missing game",0)</x:f>
        <x:v>CHI</x:v>
      </x:c>
      <x:c r="AM1683" t="n">
        <x:f>_xlfn.XLOOKUP($A1683,Games!$A$2:$A$18,Games!$H$2:$H$18,"Missing game",0)</x:f>
        <x:v>19</x:v>
      </x:c>
      <x:c r="AN1683" t="str">
        <x:f>_xlfn.XLOOKUP($A1683,Games!$A$2:$A$18,Games!$I$2:$I$18,"Missing game",0)</x:f>
        <x:v>MIN</x:v>
      </x:c>
      <x:c r="AO1683" t="n">
        <x:f>_xlfn.XLOOKUP($A1683,Games!$A$2:$A$18,Games!$J$2:$J$18,"Missing game",0)</x:f>
        <x:v>17</x:v>
      </x:c>
      <x:c r="AP1683" t="n">
        <x:f>_xlfn.XLOOKUP($A1683,Games!$A$2:$A$18,Games!$K$2:$K$18,"Missing game",0)</x:f>
        <x:v>-2</x:v>
      </x:c>
      <x:c r="AQ1683" t="n">
        <x:f>_xlfn.XLOOKUP($A1683,Games!$A$2:$A$18,Games!$L$2:$L$18,"Missing game",0)</x:f>
        <x:v>36</x:v>
      </x:c>
      <x:c r="AR1683" t="n">
        <x:f>_xlfn.XLOOKUP($A1683,Games!$A$2:$A$18,Games!$M$2:$M$18,"Missing game",0)</x:f>
        <x:v>0</x:v>
      </x:c>
      <x:c r="AS1683" t="str">
        <x:f>_xlfn.XLOOKUP($A1683,Games!$A$2:$A$18,Games!$N$2:$N$18,"Missing game",0)</x:f>
        <x:v>dome</x:v>
      </x:c>
      <x:c r="AT1683" t="str">
        <x:f>_xlfn.XLOOKUP($A1683,Games!$A$2:$A$18,Games!$O$2:$O$18,"Missing game",0)</x:f>
        <x:v>sportturf</x:v>
      </x:c>
      <x:c r="AU1683" t="str">
        <x:f>_xlfn.XLOOKUP($A1683,Games!$A$2:$A$18,Games!$P$2:$P$18,"Missing game",0)</x:f>
      </x:c>
      <x:c r="AV1683" t="str">
        <x:f>_xlfn.XLOOKUP($A1683,Games!$A$2:$A$18,Games!$Q$2:$Q$18,"Missing game",0)</x:f>
      </x:c>
      <x:c r="AW1683" t="str">
        <x:f>_xlfn.XLOOKUP($A1683,Games!$A$2:$A$18,Games!$R$2:$R$18,"Missing game",0)</x:f>
        <x:v>U.S. Bank Stadium</x:v>
      </x:c>
    </x:row>
    <x:row r="1684">
      <x:c r="A1684" t="str">
        <x:v>2025_11_CHI_MIN</x:v>
      </x:c>
      <x:c r="B1684" t="n">
        <x:v>3716</x:v>
      </x:c>
      <x:c r="C1684" t="n">
        <x:v>4</x:v>
      </x:c>
      <x:c r="D1684" t="str">
        <x:v>04:22</x:v>
      </x:c>
      <x:c r="E1684" t="n">
        <x:v>1</x:v>
      </x:c>
      <x:c r="F1684" t="n">
        <x:v>15</x:v>
      </x:c>
      <x:c r="G1684" t="str">
        <x:v>CHI</x:v>
      </x:c>
      <x:c r="H1684" t="str">
        <x:v>MIN</x:v>
      </x:c>
      <x:c r="I1684" t="str">
        <x:v>CHI</x:v>
      </x:c>
      <x:c r="J1684" t="n">
        <x:v>53</x:v>
      </x:c>
      <x:c r="K1684" t="str">
        <x:v>(4:22) 75-O.Trapilo reported in as eligible. 25-K.Monangai right end to CHI 43 for -4 yards (55-E.Wilson, 43-A.Van Ginkel).</x:v>
      </x:c>
      <x:c r="L1684" t="str">
        <x:v>run</x:v>
      </x:c>
      <x:c r="M1684" t="n">
        <x:v>-4</x:v>
      </x:c>
      <x:c r="N1684" t="n">
        <x:v>0</x:v>
      </x:c>
      <x:c r="O1684" t="n">
        <x:v>0</x:v>
      </x:c>
      <x:c r="P1684"/>
      <x:c r="Q1684"/>
      <x:c r="R1684"/>
      <x:c r="S1684"/>
      <x:c r="T1684" t="str">
        <x:v>right</x:v>
      </x:c>
      <x:c r="U1684" t="str">
        <x:v>end</x:v>
      </x:c>
      <x:c r="V1684" t="n">
        <x:v>0</x:v>
      </x:c>
      <x:c r="W1684" t="n">
        <x:v>0</x:v>
      </x:c>
      <x:c r="X1684" t="n">
        <x:v>0</x:v>
      </x:c>
      <x:c r="Y1684" t="n">
        <x:v>0</x:v>
      </x:c>
      <x:c r="Z1684" t="n">
        <x:v>0</x:v>
      </x:c>
      <x:c r="AA1684" t="n">
        <x:v>0</x:v>
      </x:c>
      <x:c r="AB1684"/>
      <x:c r="AC1684" t="n">
        <x:v>0</x:v>
      </x:c>
      <x:c r="AD1684" t="n">
        <x:v>-0.9971097114030272</x:v>
      </x:c>
      <x:c r="AE1684" t="n">
        <x:v>0</x:v>
      </x:c>
      <x:c r="AF1684" t="n">
        <x:v>-0.01647043228149414</x:v>
      </x:c>
      <x:c r="AG1684" t="n">
        <x:f>_xlfn.XLOOKUP($A1684,Games!$A$2:$A$18,Games!$B$2:$B$18,"Missing game",0)</x:f>
        <x:v>2025</x:v>
      </x:c>
      <x:c r="AH1684" t="str">
        <x:f>_xlfn.XLOOKUP($A1684,Games!$A$2:$A$18,Games!$C$2:$C$18,"Missing game",0)</x:f>
        <x:v>REG</x:v>
      </x:c>
      <x:c r="AI1684" t="n">
        <x:f>_xlfn.XLOOKUP($A1684,Games!$A$2:$A$18,Games!$D$2:$D$18,"Missing game",0)</x:f>
        <x:v>11</x:v>
      </x:c>
      <x:c r="AJ1684" s="1" t="n">
        <x:f>_xlfn.XLOOKUP($A1684,Games!$A$2:$A$18,Games!$E$2:$E$18,"Missing game",0)</x:f>
        <x:v>45977</x:v>
      </x:c>
      <x:c r="AK1684" t="str">
        <x:f>_xlfn.XLOOKUP($A1684,Games!$A$2:$A$18,Games!$F$2:$F$18,"Missing game",0)</x:f>
        <x:v>Sunday</x:v>
      </x:c>
      <x:c r="AL1684" t="str">
        <x:f>_xlfn.XLOOKUP($A1684,Games!$A$2:$A$18,Games!$G$2:$G$18,"Missing game",0)</x:f>
        <x:v>CHI</x:v>
      </x:c>
      <x:c r="AM1684" t="n">
        <x:f>_xlfn.XLOOKUP($A1684,Games!$A$2:$A$18,Games!$H$2:$H$18,"Missing game",0)</x:f>
        <x:v>19</x:v>
      </x:c>
      <x:c r="AN1684" t="str">
        <x:f>_xlfn.XLOOKUP($A1684,Games!$A$2:$A$18,Games!$I$2:$I$18,"Missing game",0)</x:f>
        <x:v>MIN</x:v>
      </x:c>
      <x:c r="AO1684" t="n">
        <x:f>_xlfn.XLOOKUP($A1684,Games!$A$2:$A$18,Games!$J$2:$J$18,"Missing game",0)</x:f>
        <x:v>17</x:v>
      </x:c>
      <x:c r="AP1684" t="n">
        <x:f>_xlfn.XLOOKUP($A1684,Games!$A$2:$A$18,Games!$K$2:$K$18,"Missing game",0)</x:f>
        <x:v>-2</x:v>
      </x:c>
      <x:c r="AQ1684" t="n">
        <x:f>_xlfn.XLOOKUP($A1684,Games!$A$2:$A$18,Games!$L$2:$L$18,"Missing game",0)</x:f>
        <x:v>36</x:v>
      </x:c>
      <x:c r="AR1684" t="n">
        <x:f>_xlfn.XLOOKUP($A1684,Games!$A$2:$A$18,Games!$M$2:$M$18,"Missing game",0)</x:f>
        <x:v>0</x:v>
      </x:c>
      <x:c r="AS1684" t="str">
        <x:f>_xlfn.XLOOKUP($A1684,Games!$A$2:$A$18,Games!$N$2:$N$18,"Missing game",0)</x:f>
        <x:v>dome</x:v>
      </x:c>
      <x:c r="AT1684" t="str">
        <x:f>_xlfn.XLOOKUP($A1684,Games!$A$2:$A$18,Games!$O$2:$O$18,"Missing game",0)</x:f>
        <x:v>sportturf</x:v>
      </x:c>
      <x:c r="AU1684" t="str">
        <x:f>_xlfn.XLOOKUP($A1684,Games!$A$2:$A$18,Games!$P$2:$P$18,"Missing game",0)</x:f>
      </x:c>
      <x:c r="AV1684" t="str">
        <x:f>_xlfn.XLOOKUP($A1684,Games!$A$2:$A$18,Games!$Q$2:$Q$18,"Missing game",0)</x:f>
      </x:c>
      <x:c r="AW1684" t="str">
        <x:f>_xlfn.XLOOKUP($A1684,Games!$A$2:$A$18,Games!$R$2:$R$18,"Missing game",0)</x:f>
        <x:v>U.S. Bank Stadium</x:v>
      </x:c>
    </x:row>
    <x:row r="1685">
      <x:c r="A1685" t="str">
        <x:v>2025_11_CHI_MIN</x:v>
      </x:c>
      <x:c r="B1685" t="n">
        <x:v>3740</x:v>
      </x:c>
      <x:c r="C1685" t="n">
        <x:v>4</x:v>
      </x:c>
      <x:c r="D1685" t="str">
        <x:v>03:41</x:v>
      </x:c>
      <x:c r="E1685" t="n">
        <x:v>2</x:v>
      </x:c>
      <x:c r="F1685" t="n">
        <x:v>19</x:v>
      </x:c>
      <x:c r="G1685" t="str">
        <x:v>CHI</x:v>
      </x:c>
      <x:c r="H1685" t="str">
        <x:v>MIN</x:v>
      </x:c>
      <x:c r="I1685" t="str">
        <x:v>CHI</x:v>
      </x:c>
      <x:c r="J1685" t="n">
        <x:v>57</x:v>
      </x:c>
      <x:c r="K1685" t="str">
        <x:v>(3:41) 18-C.Williams pass incomplete deep right [15-D.Turner].</x:v>
      </x:c>
      <x:c r="L1685" t="str">
        <x:v>pass</x:v>
      </x:c>
      <x:c r="M1685" t="n">
        <x:v>0</x:v>
      </x:c>
      <x:c r="N1685" t="n">
        <x:v>0</x:v>
      </x:c>
      <x:c r="O1685" t="n">
        <x:v>0</x:v>
      </x:c>
      <x:c r="P1685" t="str">
        <x:v>deep</x:v>
      </x:c>
      <x:c r="Q1685" t="str">
        <x:v>right</x:v>
      </x:c>
      <x:c r="R1685" t="n">
        <x:v>17</x:v>
      </x:c>
      <x:c r="S1685"/>
      <x:c r="T1685"/>
      <x:c r="U1685"/>
      <x:c r="V1685" t="n">
        <x:v>0</x:v>
      </x:c>
      <x:c r="W1685" t="n">
        <x:v>0</x:v>
      </x:c>
      <x:c r="X1685" t="n">
        <x:v>0</x:v>
      </x:c>
      <x:c r="Y1685" t="n">
        <x:v>0</x:v>
      </x:c>
      <x:c r="Z1685" t="n">
        <x:v>0</x:v>
      </x:c>
      <x:c r="AA1685" t="n">
        <x:v>0</x:v>
      </x:c>
      <x:c r="AB1685"/>
      <x:c r="AC1685" t="n">
        <x:v>0</x:v>
      </x:c>
      <x:c r="AD1685" t="n">
        <x:v>-0.6860660993261263</x:v>
      </x:c>
      <x:c r="AE1685" t="n">
        <x:v>0</x:v>
      </x:c>
      <x:c r="AF1685" t="n">
        <x:v>-0.019255876541137695</x:v>
      </x:c>
      <x:c r="AG1685" t="n">
        <x:f>_xlfn.XLOOKUP($A1685,Games!$A$2:$A$18,Games!$B$2:$B$18,"Missing game",0)</x:f>
        <x:v>2025</x:v>
      </x:c>
      <x:c r="AH1685" t="str">
        <x:f>_xlfn.XLOOKUP($A1685,Games!$A$2:$A$18,Games!$C$2:$C$18,"Missing game",0)</x:f>
        <x:v>REG</x:v>
      </x:c>
      <x:c r="AI1685" t="n">
        <x:f>_xlfn.XLOOKUP($A1685,Games!$A$2:$A$18,Games!$D$2:$D$18,"Missing game",0)</x:f>
        <x:v>11</x:v>
      </x:c>
      <x:c r="AJ1685" s="1" t="n">
        <x:f>_xlfn.XLOOKUP($A1685,Games!$A$2:$A$18,Games!$E$2:$E$18,"Missing game",0)</x:f>
        <x:v>45977</x:v>
      </x:c>
      <x:c r="AK1685" t="str">
        <x:f>_xlfn.XLOOKUP($A1685,Games!$A$2:$A$18,Games!$F$2:$F$18,"Missing game",0)</x:f>
        <x:v>Sunday</x:v>
      </x:c>
      <x:c r="AL1685" t="str">
        <x:f>_xlfn.XLOOKUP($A1685,Games!$A$2:$A$18,Games!$G$2:$G$18,"Missing game",0)</x:f>
        <x:v>CHI</x:v>
      </x:c>
      <x:c r="AM1685" t="n">
        <x:f>_xlfn.XLOOKUP($A1685,Games!$A$2:$A$18,Games!$H$2:$H$18,"Missing game",0)</x:f>
        <x:v>19</x:v>
      </x:c>
      <x:c r="AN1685" t="str">
        <x:f>_xlfn.XLOOKUP($A1685,Games!$A$2:$A$18,Games!$I$2:$I$18,"Missing game",0)</x:f>
        <x:v>MIN</x:v>
      </x:c>
      <x:c r="AO1685" t="n">
        <x:f>_xlfn.XLOOKUP($A1685,Games!$A$2:$A$18,Games!$J$2:$J$18,"Missing game",0)</x:f>
        <x:v>17</x:v>
      </x:c>
      <x:c r="AP1685" t="n">
        <x:f>_xlfn.XLOOKUP($A1685,Games!$A$2:$A$18,Games!$K$2:$K$18,"Missing game",0)</x:f>
        <x:v>-2</x:v>
      </x:c>
      <x:c r="AQ1685" t="n">
        <x:f>_xlfn.XLOOKUP($A1685,Games!$A$2:$A$18,Games!$L$2:$L$18,"Missing game",0)</x:f>
        <x:v>36</x:v>
      </x:c>
      <x:c r="AR1685" t="n">
        <x:f>_xlfn.XLOOKUP($A1685,Games!$A$2:$A$18,Games!$M$2:$M$18,"Missing game",0)</x:f>
        <x:v>0</x:v>
      </x:c>
      <x:c r="AS1685" t="str">
        <x:f>_xlfn.XLOOKUP($A1685,Games!$A$2:$A$18,Games!$N$2:$N$18,"Missing game",0)</x:f>
        <x:v>dome</x:v>
      </x:c>
      <x:c r="AT1685" t="str">
        <x:f>_xlfn.XLOOKUP($A1685,Games!$A$2:$A$18,Games!$O$2:$O$18,"Missing game",0)</x:f>
        <x:v>sportturf</x:v>
      </x:c>
      <x:c r="AU1685" t="str">
        <x:f>_xlfn.XLOOKUP($A1685,Games!$A$2:$A$18,Games!$P$2:$P$18,"Missing game",0)</x:f>
      </x:c>
      <x:c r="AV1685" t="str">
        <x:f>_xlfn.XLOOKUP($A1685,Games!$A$2:$A$18,Games!$Q$2:$Q$18,"Missing game",0)</x:f>
      </x:c>
      <x:c r="AW1685" t="str">
        <x:f>_xlfn.XLOOKUP($A1685,Games!$A$2:$A$18,Games!$R$2:$R$18,"Missing game",0)</x:f>
        <x:v>U.S. Bank Stadium</x:v>
      </x:c>
    </x:row>
    <x:row r="1686">
      <x:c r="A1686" t="str">
        <x:v>2025_11_CHI_MIN</x:v>
      </x:c>
      <x:c r="B1686" t="n">
        <x:v>3763</x:v>
      </x:c>
      <x:c r="C1686" t="n">
        <x:v>4</x:v>
      </x:c>
      <x:c r="D1686" t="str">
        <x:v>03:29</x:v>
      </x:c>
      <x:c r="E1686" t="n">
        <x:v>3</x:v>
      </x:c>
      <x:c r="F1686" t="n">
        <x:v>19</x:v>
      </x:c>
      <x:c r="G1686" t="str">
        <x:v>CHI</x:v>
      </x:c>
      <x:c r="H1686" t="str">
        <x:v>MIN</x:v>
      </x:c>
      <x:c r="I1686" t="str">
        <x:v>CHI</x:v>
      </x:c>
      <x:c r="J1686" t="n">
        <x:v>57</x:v>
      </x:c>
      <x:c r="K1686" t="str">
        <x:v>(3:29) (Shotgun) 18-C.Williams pass short left to 25-K.Monangai to MIN 43 for 14 yards (43-A.Van Ginkel; 44-J.Metellus). MIN-44-J.Metellus was injured during the play.</x:v>
      </x:c>
      <x:c r="L1686" t="str">
        <x:v>pass</x:v>
      </x:c>
      <x:c r="M1686" t="n">
        <x:v>14</x:v>
      </x:c>
      <x:c r="N1686" t="n">
        <x:v>1</x:v>
      </x:c>
      <x:c r="O1686" t="n">
        <x:v>0</x:v>
      </x:c>
      <x:c r="P1686" t="str">
        <x:v>short</x:v>
      </x:c>
      <x:c r="Q1686" t="str">
        <x:v>left</x:v>
      </x:c>
      <x:c r="R1686" t="n">
        <x:v>-4</x:v>
      </x:c>
      <x:c r="S1686" t="n">
        <x:v>18</x:v>
      </x:c>
      <x:c r="T1686"/>
      <x:c r="U1686"/>
      <x:c r="V1686" t="n">
        <x:v>1</x:v>
      </x:c>
      <x:c r="W1686" t="n">
        <x:v>0</x:v>
      </x:c>
      <x:c r="X1686" t="n">
        <x:v>0</x:v>
      </x:c>
      <x:c r="Y1686" t="n">
        <x:v>0</x:v>
      </x:c>
      <x:c r="Z1686" t="n">
        <x:v>0</x:v>
      </x:c>
      <x:c r="AA1686" t="n">
        <x:v>0</x:v>
      </x:c>
      <x:c r="AB1686"/>
      <x:c r="AC1686" t="n">
        <x:v>0</x:v>
      </x:c>
      <x:c r="AD1686" t="n">
        <x:v>-0.1173247282858938</x:v>
      </x:c>
      <x:c r="AE1686" t="n">
        <x:v>0</x:v>
      </x:c>
      <x:c r="AF1686" t="n">
        <x:v>-0.005717813968658447</x:v>
      </x:c>
      <x:c r="AG1686" t="n">
        <x:f>_xlfn.XLOOKUP($A1686,Games!$A$2:$A$18,Games!$B$2:$B$18,"Missing game",0)</x:f>
        <x:v>2025</x:v>
      </x:c>
      <x:c r="AH1686" t="str">
        <x:f>_xlfn.XLOOKUP($A1686,Games!$A$2:$A$18,Games!$C$2:$C$18,"Missing game",0)</x:f>
        <x:v>REG</x:v>
      </x:c>
      <x:c r="AI1686" t="n">
        <x:f>_xlfn.XLOOKUP($A1686,Games!$A$2:$A$18,Games!$D$2:$D$18,"Missing game",0)</x:f>
        <x:v>11</x:v>
      </x:c>
      <x:c r="AJ1686" s="1" t="n">
        <x:f>_xlfn.XLOOKUP($A1686,Games!$A$2:$A$18,Games!$E$2:$E$18,"Missing game",0)</x:f>
        <x:v>45977</x:v>
      </x:c>
      <x:c r="AK1686" t="str">
        <x:f>_xlfn.XLOOKUP($A1686,Games!$A$2:$A$18,Games!$F$2:$F$18,"Missing game",0)</x:f>
        <x:v>Sunday</x:v>
      </x:c>
      <x:c r="AL1686" t="str">
        <x:f>_xlfn.XLOOKUP($A1686,Games!$A$2:$A$18,Games!$G$2:$G$18,"Missing game",0)</x:f>
        <x:v>CHI</x:v>
      </x:c>
      <x:c r="AM1686" t="n">
        <x:f>_xlfn.XLOOKUP($A1686,Games!$A$2:$A$18,Games!$H$2:$H$18,"Missing game",0)</x:f>
        <x:v>19</x:v>
      </x:c>
      <x:c r="AN1686" t="str">
        <x:f>_xlfn.XLOOKUP($A1686,Games!$A$2:$A$18,Games!$I$2:$I$18,"Missing game",0)</x:f>
        <x:v>MIN</x:v>
      </x:c>
      <x:c r="AO1686" t="n">
        <x:f>_xlfn.XLOOKUP($A1686,Games!$A$2:$A$18,Games!$J$2:$J$18,"Missing game",0)</x:f>
        <x:v>17</x:v>
      </x:c>
      <x:c r="AP1686" t="n">
        <x:f>_xlfn.XLOOKUP($A1686,Games!$A$2:$A$18,Games!$K$2:$K$18,"Missing game",0)</x:f>
        <x:v>-2</x:v>
      </x:c>
      <x:c r="AQ1686" t="n">
        <x:f>_xlfn.XLOOKUP($A1686,Games!$A$2:$A$18,Games!$L$2:$L$18,"Missing game",0)</x:f>
        <x:v>36</x:v>
      </x:c>
      <x:c r="AR1686" t="n">
        <x:f>_xlfn.XLOOKUP($A1686,Games!$A$2:$A$18,Games!$M$2:$M$18,"Missing game",0)</x:f>
        <x:v>0</x:v>
      </x:c>
      <x:c r="AS1686" t="str">
        <x:f>_xlfn.XLOOKUP($A1686,Games!$A$2:$A$18,Games!$N$2:$N$18,"Missing game",0)</x:f>
        <x:v>dome</x:v>
      </x:c>
      <x:c r="AT1686" t="str">
        <x:f>_xlfn.XLOOKUP($A1686,Games!$A$2:$A$18,Games!$O$2:$O$18,"Missing game",0)</x:f>
        <x:v>sportturf</x:v>
      </x:c>
      <x:c r="AU1686" t="str">
        <x:f>_xlfn.XLOOKUP($A1686,Games!$A$2:$A$18,Games!$P$2:$P$18,"Missing game",0)</x:f>
      </x:c>
      <x:c r="AV1686" t="str">
        <x:f>_xlfn.XLOOKUP($A1686,Games!$A$2:$A$18,Games!$Q$2:$Q$18,"Missing game",0)</x:f>
      </x:c>
      <x:c r="AW1686" t="str">
        <x:f>_xlfn.XLOOKUP($A1686,Games!$A$2:$A$18,Games!$R$2:$R$18,"Missing game",0)</x:f>
        <x:v>U.S. Bank Stadium</x:v>
      </x:c>
    </x:row>
    <x:row r="1687">
      <x:c r="A1687" t="str">
        <x:v>2025_11_CHI_MIN</x:v>
      </x:c>
      <x:c r="B1687" t="n">
        <x:v>3791</x:v>
      </x:c>
      <x:c r="C1687" t="n">
        <x:v>4</x:v>
      </x:c>
      <x:c r="D1687" t="str">
        <x:v>03:21</x:v>
      </x:c>
      <x:c r="E1687" t="n">
        <x:v>4</x:v>
      </x:c>
      <x:c r="F1687" t="n">
        <x:v>5</x:v>
      </x:c>
      <x:c r="G1687" t="str">
        <x:v>CHI</x:v>
      </x:c>
      <x:c r="H1687" t="str">
        <x:v>MIN</x:v>
      </x:c>
      <x:c r="I1687" t="str">
        <x:v>MIN</x:v>
      </x:c>
      <x:c r="J1687" t="n">
        <x:v>43</x:v>
      </x:c>
      <x:c r="K1687" t="str">
        <x:v>(3:21) (Run formation) PENALTY on CHI, Delay of Game, 5 yards, enforced at MIN 43 - No Play.</x:v>
      </x:c>
      <x:c r="L1687" t="str">
        <x:v>no_play</x:v>
      </x:c>
      <x:c r="M1687" t="n">
        <x:v>0</x:v>
      </x:c>
      <x:c r="N1687" t="n">
        <x:v>0</x:v>
      </x:c>
      <x:c r="O1687" t="n">
        <x:v>0</x:v>
      </x:c>
      <x:c r="P1687"/>
      <x:c r="Q1687"/>
      <x:c r="R1687"/>
      <x:c r="S1687"/>
      <x:c r="T1687"/>
      <x:c r="U1687"/>
      <x:c r="V1687" t="n">
        <x:v>0</x:v>
      </x:c>
      <x:c r="W1687" t="n">
        <x:v>0</x:v>
      </x:c>
      <x:c r="X1687" t="n">
        <x:v>0</x:v>
      </x:c>
      <x:c r="Y1687" t="n">
        <x:v>0</x:v>
      </x:c>
      <x:c r="Z1687" t="n">
        <x:v>0</x:v>
      </x:c>
      <x:c r="AA1687" t="n">
        <x:v>1</x:v>
      </x:c>
      <x:c r="AB1687" t="n">
        <x:v>5</x:v>
      </x:c>
      <x:c r="AC1687" t="n">
        <x:v>0</x:v>
      </x:c>
      <x:c r="AD1687" t="n">
        <x:v>-0.4793476155027747</x:v>
      </x:c>
      <x:c r="AE1687" t="n">
        <x:v>0</x:v>
      </x:c>
      <x:c r="AF1687" t="n">
        <x:v>-0.011397898197174072</x:v>
      </x:c>
      <x:c r="AG1687" t="n">
        <x:f>_xlfn.XLOOKUP($A1687,Games!$A$2:$A$18,Games!$B$2:$B$18,"Missing game",0)</x:f>
        <x:v>2025</x:v>
      </x:c>
      <x:c r="AH1687" t="str">
        <x:f>_xlfn.XLOOKUP($A1687,Games!$A$2:$A$18,Games!$C$2:$C$18,"Missing game",0)</x:f>
        <x:v>REG</x:v>
      </x:c>
      <x:c r="AI1687" t="n">
        <x:f>_xlfn.XLOOKUP($A1687,Games!$A$2:$A$18,Games!$D$2:$D$18,"Missing game",0)</x:f>
        <x:v>11</x:v>
      </x:c>
      <x:c r="AJ1687" s="1" t="n">
        <x:f>_xlfn.XLOOKUP($A1687,Games!$A$2:$A$18,Games!$E$2:$E$18,"Missing game",0)</x:f>
        <x:v>45977</x:v>
      </x:c>
      <x:c r="AK1687" t="str">
        <x:f>_xlfn.XLOOKUP($A1687,Games!$A$2:$A$18,Games!$F$2:$F$18,"Missing game",0)</x:f>
        <x:v>Sunday</x:v>
      </x:c>
      <x:c r="AL1687" t="str">
        <x:f>_xlfn.XLOOKUP($A1687,Games!$A$2:$A$18,Games!$G$2:$G$18,"Missing game",0)</x:f>
        <x:v>CHI</x:v>
      </x:c>
      <x:c r="AM1687" t="n">
        <x:f>_xlfn.XLOOKUP($A1687,Games!$A$2:$A$18,Games!$H$2:$H$18,"Missing game",0)</x:f>
        <x:v>19</x:v>
      </x:c>
      <x:c r="AN1687" t="str">
        <x:f>_xlfn.XLOOKUP($A1687,Games!$A$2:$A$18,Games!$I$2:$I$18,"Missing game",0)</x:f>
        <x:v>MIN</x:v>
      </x:c>
      <x:c r="AO1687" t="n">
        <x:f>_xlfn.XLOOKUP($A1687,Games!$A$2:$A$18,Games!$J$2:$J$18,"Missing game",0)</x:f>
        <x:v>17</x:v>
      </x:c>
      <x:c r="AP1687" t="n">
        <x:f>_xlfn.XLOOKUP($A1687,Games!$A$2:$A$18,Games!$K$2:$K$18,"Missing game",0)</x:f>
        <x:v>-2</x:v>
      </x:c>
      <x:c r="AQ1687" t="n">
        <x:f>_xlfn.XLOOKUP($A1687,Games!$A$2:$A$18,Games!$L$2:$L$18,"Missing game",0)</x:f>
        <x:v>36</x:v>
      </x:c>
      <x:c r="AR1687" t="n">
        <x:f>_xlfn.XLOOKUP($A1687,Games!$A$2:$A$18,Games!$M$2:$M$18,"Missing game",0)</x:f>
        <x:v>0</x:v>
      </x:c>
      <x:c r="AS1687" t="str">
        <x:f>_xlfn.XLOOKUP($A1687,Games!$A$2:$A$18,Games!$N$2:$N$18,"Missing game",0)</x:f>
        <x:v>dome</x:v>
      </x:c>
      <x:c r="AT1687" t="str">
        <x:f>_xlfn.XLOOKUP($A1687,Games!$A$2:$A$18,Games!$O$2:$O$18,"Missing game",0)</x:f>
        <x:v>sportturf</x:v>
      </x:c>
      <x:c r="AU1687" t="str">
        <x:f>_xlfn.XLOOKUP($A1687,Games!$A$2:$A$18,Games!$P$2:$P$18,"Missing game",0)</x:f>
      </x:c>
      <x:c r="AV1687" t="str">
        <x:f>_xlfn.XLOOKUP($A1687,Games!$A$2:$A$18,Games!$Q$2:$Q$18,"Missing game",0)</x:f>
      </x:c>
      <x:c r="AW1687" t="str">
        <x:f>_xlfn.XLOOKUP($A1687,Games!$A$2:$A$18,Games!$R$2:$R$18,"Missing game",0)</x:f>
        <x:v>U.S. Bank Stadium</x:v>
      </x:c>
    </x:row>
    <x:row r="1688">
      <x:c r="A1688" t="str">
        <x:v>2025_11_CHI_MIN</x:v>
      </x:c>
      <x:c r="B1688" t="n">
        <x:v>3803</x:v>
      </x:c>
      <x:c r="C1688" t="n">
        <x:v>4</x:v>
      </x:c>
      <x:c r="D1688" t="str">
        <x:v>03:21</x:v>
      </x:c>
      <x:c r="E1688"/>
      <x:c r="F1688" t="n">
        <x:v>0</x:v>
      </x:c>
      <x:c r="G1688"/>
      <x:c r="H1688"/>
      <x:c r="I1688"/>
      <x:c r="J1688"/>
      <x:c r="K1688" t="str">
        <x:v>Timeout #1 by MIN at 03:21.</x:v>
      </x:c>
      <x:c r="L1688" t="str">
        <x:v>no_play</x:v>
      </x:c>
      <x:c r="M1688" t="n">
        <x:v>0</x:v>
      </x:c>
      <x:c r="N1688" t="n">
        <x:v>0</x:v>
      </x:c>
      <x:c r="O1688" t="n">
        <x:v>0</x:v>
      </x:c>
      <x:c r="P1688"/>
      <x:c r="Q1688"/>
      <x:c r="R1688"/>
      <x:c r="S1688"/>
      <x:c r="T1688"/>
      <x:c r="U1688"/>
      <x:c r="V1688" t="n">
        <x:v>0</x:v>
      </x:c>
      <x:c r="W1688" t="n">
        <x:v>0</x:v>
      </x:c>
      <x:c r="X1688" t="n">
        <x:v>0</x:v>
      </x:c>
      <x:c r="Y1688" t="n">
        <x:v>0</x:v>
      </x:c>
      <x:c r="Z1688" t="n">
        <x:v>0</x:v>
      </x:c>
      <x:c r="AA1688" t="n">
        <x:v>0</x:v>
      </x:c>
      <x:c r="AB1688"/>
      <x:c r="AC1688" t="n">
        <x:v>0</x:v>
      </x:c>
      <x:c r="AD1688" t="n">
        <x:v>0</x:v>
      </x:c>
      <x:c r="AE1688" t="n">
        <x:v>0</x:v>
      </x:c>
      <x:c r="AF1688" t="n">
        <x:v>0</x:v>
      </x:c>
      <x:c r="AG1688" t="n">
        <x:f>_xlfn.XLOOKUP($A1688,Games!$A$2:$A$18,Games!$B$2:$B$18,"Missing game",0)</x:f>
        <x:v>2025</x:v>
      </x:c>
      <x:c r="AH1688" t="str">
        <x:f>_xlfn.XLOOKUP($A1688,Games!$A$2:$A$18,Games!$C$2:$C$18,"Missing game",0)</x:f>
        <x:v>REG</x:v>
      </x:c>
      <x:c r="AI1688" t="n">
        <x:f>_xlfn.XLOOKUP($A1688,Games!$A$2:$A$18,Games!$D$2:$D$18,"Missing game",0)</x:f>
        <x:v>11</x:v>
      </x:c>
      <x:c r="AJ1688" s="1" t="n">
        <x:f>_xlfn.XLOOKUP($A1688,Games!$A$2:$A$18,Games!$E$2:$E$18,"Missing game",0)</x:f>
        <x:v>45977</x:v>
      </x:c>
      <x:c r="AK1688" t="str">
        <x:f>_xlfn.XLOOKUP($A1688,Games!$A$2:$A$18,Games!$F$2:$F$18,"Missing game",0)</x:f>
        <x:v>Sunday</x:v>
      </x:c>
      <x:c r="AL1688" t="str">
        <x:f>_xlfn.XLOOKUP($A1688,Games!$A$2:$A$18,Games!$G$2:$G$18,"Missing game",0)</x:f>
        <x:v>CHI</x:v>
      </x:c>
      <x:c r="AM1688" t="n">
        <x:f>_xlfn.XLOOKUP($A1688,Games!$A$2:$A$18,Games!$H$2:$H$18,"Missing game",0)</x:f>
        <x:v>19</x:v>
      </x:c>
      <x:c r="AN1688" t="str">
        <x:f>_xlfn.XLOOKUP($A1688,Games!$A$2:$A$18,Games!$I$2:$I$18,"Missing game",0)</x:f>
        <x:v>MIN</x:v>
      </x:c>
      <x:c r="AO1688" t="n">
        <x:f>_xlfn.XLOOKUP($A1688,Games!$A$2:$A$18,Games!$J$2:$J$18,"Missing game",0)</x:f>
        <x:v>17</x:v>
      </x:c>
      <x:c r="AP1688" t="n">
        <x:f>_xlfn.XLOOKUP($A1688,Games!$A$2:$A$18,Games!$K$2:$K$18,"Missing game",0)</x:f>
        <x:v>-2</x:v>
      </x:c>
      <x:c r="AQ1688" t="n">
        <x:f>_xlfn.XLOOKUP($A1688,Games!$A$2:$A$18,Games!$L$2:$L$18,"Missing game",0)</x:f>
        <x:v>36</x:v>
      </x:c>
      <x:c r="AR1688" t="n">
        <x:f>_xlfn.XLOOKUP($A1688,Games!$A$2:$A$18,Games!$M$2:$M$18,"Missing game",0)</x:f>
        <x:v>0</x:v>
      </x:c>
      <x:c r="AS1688" t="str">
        <x:f>_xlfn.XLOOKUP($A1688,Games!$A$2:$A$18,Games!$N$2:$N$18,"Missing game",0)</x:f>
        <x:v>dome</x:v>
      </x:c>
      <x:c r="AT1688" t="str">
        <x:f>_xlfn.XLOOKUP($A1688,Games!$A$2:$A$18,Games!$O$2:$O$18,"Missing game",0)</x:f>
        <x:v>sportturf</x:v>
      </x:c>
      <x:c r="AU1688" t="str">
        <x:f>_xlfn.XLOOKUP($A1688,Games!$A$2:$A$18,Games!$P$2:$P$18,"Missing game",0)</x:f>
      </x:c>
      <x:c r="AV1688" t="str">
        <x:f>_xlfn.XLOOKUP($A1688,Games!$A$2:$A$18,Games!$Q$2:$Q$18,"Missing game",0)</x:f>
      </x:c>
      <x:c r="AW1688" t="str">
        <x:f>_xlfn.XLOOKUP($A1688,Games!$A$2:$A$18,Games!$R$2:$R$18,"Missing game",0)</x:f>
        <x:v>U.S. Bank Stadium</x:v>
      </x:c>
    </x:row>
    <x:row r="1689">
      <x:c r="A1689" t="str">
        <x:v>2025_11_CHI_MIN</x:v>
      </x:c>
      <x:c r="B1689" t="n">
        <x:v>3822</x:v>
      </x:c>
      <x:c r="C1689" t="n">
        <x:v>4</x:v>
      </x:c>
      <x:c r="D1689" t="str">
        <x:v>03:21</x:v>
      </x:c>
      <x:c r="E1689" t="n">
        <x:v>4</x:v>
      </x:c>
      <x:c r="F1689" t="n">
        <x:v>10</x:v>
      </x:c>
      <x:c r="G1689" t="str">
        <x:v>CHI</x:v>
      </x:c>
      <x:c r="H1689" t="str">
        <x:v>MIN</x:v>
      </x:c>
      <x:c r="I1689" t="str">
        <x:v>MIN</x:v>
      </x:c>
      <x:c r="J1689" t="n">
        <x:v>48</x:v>
      </x:c>
      <x:c r="K1689" t="str">
        <x:v>(3:21) 19-T.Taylor punts 33 yards to MIN 15, Center-46-S.Daly, fair catch by 4-M.Price.</x:v>
      </x:c>
      <x:c r="L1689" t="str">
        <x:v>punt</x:v>
      </x:c>
      <x:c r="M1689" t="n">
        <x:v>0</x:v>
      </x:c>
      <x:c r="N1689" t="n">
        <x:v>0</x:v>
      </x:c>
      <x:c r="O1689" t="n">
        <x:v>0</x:v>
      </x:c>
      <x:c r="P1689"/>
      <x:c r="Q1689"/>
      <x:c r="R1689"/>
      <x:c r="S1689"/>
      <x:c r="T1689"/>
      <x:c r="U1689"/>
      <x:c r="V1689" t="n">
        <x:v>0</x:v>
      </x:c>
      <x:c r="W1689" t="n">
        <x:v>0</x:v>
      </x:c>
      <x:c r="X1689" t="n">
        <x:v>0</x:v>
      </x:c>
      <x:c r="Y1689" t="n">
        <x:v>0</x:v>
      </x:c>
      <x:c r="Z1689" t="n">
        <x:v>0</x:v>
      </x:c>
      <x:c r="AA1689" t="n">
        <x:v>0</x:v>
      </x:c>
      <x:c r="AB1689"/>
      <x:c r="AC1689" t="n">
        <x:v>0</x:v>
      </x:c>
      <x:c r="AD1689" t="n">
        <x:v>-0.44540569465607405</x:v>
      </x:c>
      <x:c r="AE1689" t="n">
        <x:v>0</x:v>
      </x:c>
      <x:c r="AF1689" t="n">
        <x:v>-0.016066133975982666</x:v>
      </x:c>
      <x:c r="AG1689" t="n">
        <x:f>_xlfn.XLOOKUP($A1689,Games!$A$2:$A$18,Games!$B$2:$B$18,"Missing game",0)</x:f>
        <x:v>2025</x:v>
      </x:c>
      <x:c r="AH1689" t="str">
        <x:f>_xlfn.XLOOKUP($A1689,Games!$A$2:$A$18,Games!$C$2:$C$18,"Missing game",0)</x:f>
        <x:v>REG</x:v>
      </x:c>
      <x:c r="AI1689" t="n">
        <x:f>_xlfn.XLOOKUP($A1689,Games!$A$2:$A$18,Games!$D$2:$D$18,"Missing game",0)</x:f>
        <x:v>11</x:v>
      </x:c>
      <x:c r="AJ1689" s="1" t="n">
        <x:f>_xlfn.XLOOKUP($A1689,Games!$A$2:$A$18,Games!$E$2:$E$18,"Missing game",0)</x:f>
        <x:v>45977</x:v>
      </x:c>
      <x:c r="AK1689" t="str">
        <x:f>_xlfn.XLOOKUP($A1689,Games!$A$2:$A$18,Games!$F$2:$F$18,"Missing game",0)</x:f>
        <x:v>Sunday</x:v>
      </x:c>
      <x:c r="AL1689" t="str">
        <x:f>_xlfn.XLOOKUP($A1689,Games!$A$2:$A$18,Games!$G$2:$G$18,"Missing game",0)</x:f>
        <x:v>CHI</x:v>
      </x:c>
      <x:c r="AM1689" t="n">
        <x:f>_xlfn.XLOOKUP($A1689,Games!$A$2:$A$18,Games!$H$2:$H$18,"Missing game",0)</x:f>
        <x:v>19</x:v>
      </x:c>
      <x:c r="AN1689" t="str">
        <x:f>_xlfn.XLOOKUP($A1689,Games!$A$2:$A$18,Games!$I$2:$I$18,"Missing game",0)</x:f>
        <x:v>MIN</x:v>
      </x:c>
      <x:c r="AO1689" t="n">
        <x:f>_xlfn.XLOOKUP($A1689,Games!$A$2:$A$18,Games!$J$2:$J$18,"Missing game",0)</x:f>
        <x:v>17</x:v>
      </x:c>
      <x:c r="AP1689" t="n">
        <x:f>_xlfn.XLOOKUP($A1689,Games!$A$2:$A$18,Games!$K$2:$K$18,"Missing game",0)</x:f>
        <x:v>-2</x:v>
      </x:c>
      <x:c r="AQ1689" t="n">
        <x:f>_xlfn.XLOOKUP($A1689,Games!$A$2:$A$18,Games!$L$2:$L$18,"Missing game",0)</x:f>
        <x:v>36</x:v>
      </x:c>
      <x:c r="AR1689" t="n">
        <x:f>_xlfn.XLOOKUP($A1689,Games!$A$2:$A$18,Games!$M$2:$M$18,"Missing game",0)</x:f>
        <x:v>0</x:v>
      </x:c>
      <x:c r="AS1689" t="str">
        <x:f>_xlfn.XLOOKUP($A1689,Games!$A$2:$A$18,Games!$N$2:$N$18,"Missing game",0)</x:f>
        <x:v>dome</x:v>
      </x:c>
      <x:c r="AT1689" t="str">
        <x:f>_xlfn.XLOOKUP($A1689,Games!$A$2:$A$18,Games!$O$2:$O$18,"Missing game",0)</x:f>
        <x:v>sportturf</x:v>
      </x:c>
      <x:c r="AU1689" t="str">
        <x:f>_xlfn.XLOOKUP($A1689,Games!$A$2:$A$18,Games!$P$2:$P$18,"Missing game",0)</x:f>
      </x:c>
      <x:c r="AV1689" t="str">
        <x:f>_xlfn.XLOOKUP($A1689,Games!$A$2:$A$18,Games!$Q$2:$Q$18,"Missing game",0)</x:f>
      </x:c>
      <x:c r="AW1689" t="str">
        <x:f>_xlfn.XLOOKUP($A1689,Games!$A$2:$A$18,Games!$R$2:$R$18,"Missing game",0)</x:f>
        <x:v>U.S. Bank Stadium</x:v>
      </x:c>
    </x:row>
    <x:row r="1690">
      <x:c r="A1690" t="str">
        <x:v>2025_11_CHI_MIN</x:v>
      </x:c>
      <x:c r="B1690" t="n">
        <x:v>3842</x:v>
      </x:c>
      <x:c r="C1690" t="n">
        <x:v>4</x:v>
      </x:c>
      <x:c r="D1690" t="str">
        <x:v>03:14</x:v>
      </x:c>
      <x:c r="E1690" t="n">
        <x:v>1</x:v>
      </x:c>
      <x:c r="F1690" t="n">
        <x:v>10</x:v>
      </x:c>
      <x:c r="G1690" t="str">
        <x:v>MIN</x:v>
      </x:c>
      <x:c r="H1690" t="str">
        <x:v>CHI</x:v>
      </x:c>
      <x:c r="I1690" t="str">
        <x:v>MIN</x:v>
      </x:c>
      <x:c r="J1690" t="n">
        <x:v>85</x:v>
      </x:c>
      <x:c r="K1690" t="str">
        <x:v>(3:14) (Shotgun) 33-A.Jones right guard to MIN 18 for 3 yards (35-C.Gardner-Johnson).</x:v>
      </x:c>
      <x:c r="L1690" t="str">
        <x:v>run</x:v>
      </x:c>
      <x:c r="M1690" t="n">
        <x:v>3</x:v>
      </x:c>
      <x:c r="N1690" t="n">
        <x:v>1</x:v>
      </x:c>
      <x:c r="O1690" t="n">
        <x:v>0</x:v>
      </x:c>
      <x:c r="P1690"/>
      <x:c r="Q1690"/>
      <x:c r="R1690"/>
      <x:c r="S1690"/>
      <x:c r="T1690" t="str">
        <x:v>right</x:v>
      </x:c>
      <x:c r="U1690" t="str">
        <x:v>guard</x:v>
      </x:c>
      <x:c r="V1690" t="n">
        <x:v>0</x:v>
      </x:c>
      <x:c r="W1690" t="n">
        <x:v>0</x:v>
      </x:c>
      <x:c r="X1690" t="n">
        <x:v>0</x:v>
      </x:c>
      <x:c r="Y1690" t="n">
        <x:v>0</x:v>
      </x:c>
      <x:c r="Z1690" t="n">
        <x:v>0</x:v>
      </x:c>
      <x:c r="AA1690" t="n">
        <x:v>0</x:v>
      </x:c>
      <x:c r="AB1690"/>
      <x:c r="AC1690" t="n">
        <x:v>0</x:v>
      </x:c>
      <x:c r="AD1690" t="n">
        <x:v>-0.21434001671150327</x:v>
      </x:c>
      <x:c r="AE1690" t="n">
        <x:v>0</x:v>
      </x:c>
      <x:c r="AF1690" t="n">
        <x:v>-0.012892991304397583</x:v>
      </x:c>
      <x:c r="AG1690" t="n">
        <x:f>_xlfn.XLOOKUP($A1690,Games!$A$2:$A$18,Games!$B$2:$B$18,"Missing game",0)</x:f>
        <x:v>2025</x:v>
      </x:c>
      <x:c r="AH1690" t="str">
        <x:f>_xlfn.XLOOKUP($A1690,Games!$A$2:$A$18,Games!$C$2:$C$18,"Missing game",0)</x:f>
        <x:v>REG</x:v>
      </x:c>
      <x:c r="AI1690" t="n">
        <x:f>_xlfn.XLOOKUP($A1690,Games!$A$2:$A$18,Games!$D$2:$D$18,"Missing game",0)</x:f>
        <x:v>11</x:v>
      </x:c>
      <x:c r="AJ1690" s="1" t="n">
        <x:f>_xlfn.XLOOKUP($A1690,Games!$A$2:$A$18,Games!$E$2:$E$18,"Missing game",0)</x:f>
        <x:v>45977</x:v>
      </x:c>
      <x:c r="AK1690" t="str">
        <x:f>_xlfn.XLOOKUP($A1690,Games!$A$2:$A$18,Games!$F$2:$F$18,"Missing game",0)</x:f>
        <x:v>Sunday</x:v>
      </x:c>
      <x:c r="AL1690" t="str">
        <x:f>_xlfn.XLOOKUP($A1690,Games!$A$2:$A$18,Games!$G$2:$G$18,"Missing game",0)</x:f>
        <x:v>CHI</x:v>
      </x:c>
      <x:c r="AM1690" t="n">
        <x:f>_xlfn.XLOOKUP($A1690,Games!$A$2:$A$18,Games!$H$2:$H$18,"Missing game",0)</x:f>
        <x:v>19</x:v>
      </x:c>
      <x:c r="AN1690" t="str">
        <x:f>_xlfn.XLOOKUP($A1690,Games!$A$2:$A$18,Games!$I$2:$I$18,"Missing game",0)</x:f>
        <x:v>MIN</x:v>
      </x:c>
      <x:c r="AO1690" t="n">
        <x:f>_xlfn.XLOOKUP($A1690,Games!$A$2:$A$18,Games!$J$2:$J$18,"Missing game",0)</x:f>
        <x:v>17</x:v>
      </x:c>
      <x:c r="AP1690" t="n">
        <x:f>_xlfn.XLOOKUP($A1690,Games!$A$2:$A$18,Games!$K$2:$K$18,"Missing game",0)</x:f>
        <x:v>-2</x:v>
      </x:c>
      <x:c r="AQ1690" t="n">
        <x:f>_xlfn.XLOOKUP($A1690,Games!$A$2:$A$18,Games!$L$2:$L$18,"Missing game",0)</x:f>
        <x:v>36</x:v>
      </x:c>
      <x:c r="AR1690" t="n">
        <x:f>_xlfn.XLOOKUP($A1690,Games!$A$2:$A$18,Games!$M$2:$M$18,"Missing game",0)</x:f>
        <x:v>0</x:v>
      </x:c>
      <x:c r="AS1690" t="str">
        <x:f>_xlfn.XLOOKUP($A1690,Games!$A$2:$A$18,Games!$N$2:$N$18,"Missing game",0)</x:f>
        <x:v>dome</x:v>
      </x:c>
      <x:c r="AT1690" t="str">
        <x:f>_xlfn.XLOOKUP($A1690,Games!$A$2:$A$18,Games!$O$2:$O$18,"Missing game",0)</x:f>
        <x:v>sportturf</x:v>
      </x:c>
      <x:c r="AU1690" t="str">
        <x:f>_xlfn.XLOOKUP($A1690,Games!$A$2:$A$18,Games!$P$2:$P$18,"Missing game",0)</x:f>
      </x:c>
      <x:c r="AV1690" t="str">
        <x:f>_xlfn.XLOOKUP($A1690,Games!$A$2:$A$18,Games!$Q$2:$Q$18,"Missing game",0)</x:f>
      </x:c>
      <x:c r="AW1690" t="str">
        <x:f>_xlfn.XLOOKUP($A1690,Games!$A$2:$A$18,Games!$R$2:$R$18,"Missing game",0)</x:f>
        <x:v>U.S. Bank Stadium</x:v>
      </x:c>
    </x:row>
    <x:row r="1691">
      <x:c r="A1691" t="str">
        <x:v>2025_11_CHI_MIN</x:v>
      </x:c>
      <x:c r="B1691" t="n">
        <x:v>3864</x:v>
      </x:c>
      <x:c r="C1691" t="n">
        <x:v>4</x:v>
      </x:c>
      <x:c r="D1691" t="str">
        <x:v>02:54</x:v>
      </x:c>
      <x:c r="E1691" t="n">
        <x:v>2</x:v>
      </x:c>
      <x:c r="F1691" t="n">
        <x:v>7</x:v>
      </x:c>
      <x:c r="G1691" t="str">
        <x:v>MIN</x:v>
      </x:c>
      <x:c r="H1691" t="str">
        <x:v>CHI</x:v>
      </x:c>
      <x:c r="I1691" t="str">
        <x:v>MIN</x:v>
      </x:c>
      <x:c r="J1691" t="n">
        <x:v>82</x:v>
      </x:c>
      <x:c r="K1691" t="str">
        <x:v>(2:54) (No Huddle, Shotgun) 9-J.McCarthy pass short middle to 87-T.Hockenson to MIN 39 for 21 yards (49-T.Edmunds) [35-C.Gardner-Johnson].</x:v>
      </x:c>
      <x:c r="L1691" t="str">
        <x:v>pass</x:v>
      </x:c>
      <x:c r="M1691" t="n">
        <x:v>21</x:v>
      </x:c>
      <x:c r="N1691" t="n">
        <x:v>1</x:v>
      </x:c>
      <x:c r="O1691" t="n">
        <x:v>1</x:v>
      </x:c>
      <x:c r="P1691" t="str">
        <x:v>short</x:v>
      </x:c>
      <x:c r="Q1691" t="str">
        <x:v>middle</x:v>
      </x:c>
      <x:c r="R1691" t="n">
        <x:v>7</x:v>
      </x:c>
      <x:c r="S1691" t="n">
        <x:v>14</x:v>
      </x:c>
      <x:c r="T1691"/>
      <x:c r="U1691"/>
      <x:c r="V1691" t="n">
        <x:v>1</x:v>
      </x:c>
      <x:c r="W1691" t="n">
        <x:v>1</x:v>
      </x:c>
      <x:c r="X1691" t="n">
        <x:v>0</x:v>
      </x:c>
      <x:c r="Y1691" t="n">
        <x:v>0</x:v>
      </x:c>
      <x:c r="Z1691" t="n">
        <x:v>0</x:v>
      </x:c>
      <x:c r="AA1691" t="n">
        <x:v>0</x:v>
      </x:c>
      <x:c r="AB1691"/>
      <x:c r="AC1691" t="n">
        <x:v>0</x:v>
      </x:c>
      <x:c r="AD1691" t="n">
        <x:v>1.5478972727432847</x:v>
      </x:c>
      <x:c r="AE1691" t="n">
        <x:v>1</x:v>
      </x:c>
      <x:c r="AF1691" t="n">
        <x:v>0.04874630272388458</x:v>
      </x:c>
      <x:c r="AG1691" t="n">
        <x:f>_xlfn.XLOOKUP($A1691,Games!$A$2:$A$18,Games!$B$2:$B$18,"Missing game",0)</x:f>
        <x:v>2025</x:v>
      </x:c>
      <x:c r="AH1691" t="str">
        <x:f>_xlfn.XLOOKUP($A1691,Games!$A$2:$A$18,Games!$C$2:$C$18,"Missing game",0)</x:f>
        <x:v>REG</x:v>
      </x:c>
      <x:c r="AI1691" t="n">
        <x:f>_xlfn.XLOOKUP($A1691,Games!$A$2:$A$18,Games!$D$2:$D$18,"Missing game",0)</x:f>
        <x:v>11</x:v>
      </x:c>
      <x:c r="AJ1691" s="1" t="n">
        <x:f>_xlfn.XLOOKUP($A1691,Games!$A$2:$A$18,Games!$E$2:$E$18,"Missing game",0)</x:f>
        <x:v>45977</x:v>
      </x:c>
      <x:c r="AK1691" t="str">
        <x:f>_xlfn.XLOOKUP($A1691,Games!$A$2:$A$18,Games!$F$2:$F$18,"Missing game",0)</x:f>
        <x:v>Sunday</x:v>
      </x:c>
      <x:c r="AL1691" t="str">
        <x:f>_xlfn.XLOOKUP($A1691,Games!$A$2:$A$18,Games!$G$2:$G$18,"Missing game",0)</x:f>
        <x:v>CHI</x:v>
      </x:c>
      <x:c r="AM1691" t="n">
        <x:f>_xlfn.XLOOKUP($A1691,Games!$A$2:$A$18,Games!$H$2:$H$18,"Missing game",0)</x:f>
        <x:v>19</x:v>
      </x:c>
      <x:c r="AN1691" t="str">
        <x:f>_xlfn.XLOOKUP($A1691,Games!$A$2:$A$18,Games!$I$2:$I$18,"Missing game",0)</x:f>
        <x:v>MIN</x:v>
      </x:c>
      <x:c r="AO1691" t="n">
        <x:f>_xlfn.XLOOKUP($A1691,Games!$A$2:$A$18,Games!$J$2:$J$18,"Missing game",0)</x:f>
        <x:v>17</x:v>
      </x:c>
      <x:c r="AP1691" t="n">
        <x:f>_xlfn.XLOOKUP($A1691,Games!$A$2:$A$18,Games!$K$2:$K$18,"Missing game",0)</x:f>
        <x:v>-2</x:v>
      </x:c>
      <x:c r="AQ1691" t="n">
        <x:f>_xlfn.XLOOKUP($A1691,Games!$A$2:$A$18,Games!$L$2:$L$18,"Missing game",0)</x:f>
        <x:v>36</x:v>
      </x:c>
      <x:c r="AR1691" t="n">
        <x:f>_xlfn.XLOOKUP($A1691,Games!$A$2:$A$18,Games!$M$2:$M$18,"Missing game",0)</x:f>
        <x:v>0</x:v>
      </x:c>
      <x:c r="AS1691" t="str">
        <x:f>_xlfn.XLOOKUP($A1691,Games!$A$2:$A$18,Games!$N$2:$N$18,"Missing game",0)</x:f>
        <x:v>dome</x:v>
      </x:c>
      <x:c r="AT1691" t="str">
        <x:f>_xlfn.XLOOKUP($A1691,Games!$A$2:$A$18,Games!$O$2:$O$18,"Missing game",0)</x:f>
        <x:v>sportturf</x:v>
      </x:c>
      <x:c r="AU1691" t="str">
        <x:f>_xlfn.XLOOKUP($A1691,Games!$A$2:$A$18,Games!$P$2:$P$18,"Missing game",0)</x:f>
      </x:c>
      <x:c r="AV1691" t="str">
        <x:f>_xlfn.XLOOKUP($A1691,Games!$A$2:$A$18,Games!$Q$2:$Q$18,"Missing game",0)</x:f>
      </x:c>
      <x:c r="AW1691" t="str">
        <x:f>_xlfn.XLOOKUP($A1691,Games!$A$2:$A$18,Games!$R$2:$R$18,"Missing game",0)</x:f>
        <x:v>U.S. Bank Stadium</x:v>
      </x:c>
    </x:row>
    <x:row r="1692">
      <x:c r="A1692" t="str">
        <x:v>2025_11_CHI_MIN</x:v>
      </x:c>
      <x:c r="B1692" t="n">
        <x:v>3889</x:v>
      </x:c>
      <x:c r="C1692" t="n">
        <x:v>4</x:v>
      </x:c>
      <x:c r="D1692" t="str">
        <x:v>02:28</x:v>
      </x:c>
      <x:c r="E1692" t="n">
        <x:v>1</x:v>
      </x:c>
      <x:c r="F1692" t="n">
        <x:v>10</x:v>
      </x:c>
      <x:c r="G1692" t="str">
        <x:v>MIN</x:v>
      </x:c>
      <x:c r="H1692" t="str">
        <x:v>CHI</x:v>
      </x:c>
      <x:c r="I1692" t="str">
        <x:v>MIN</x:v>
      </x:c>
      <x:c r="J1692" t="n">
        <x:v>61</x:v>
      </x:c>
      <x:c r="K1692" t="str">
        <x:v>(2:28) (No Huddle, Shotgun) 33-A.Jones right tackle to MIN 45 for 6 yards (9-J.Brisker; 49-T.Edmunds).</x:v>
      </x:c>
      <x:c r="L1692" t="str">
        <x:v>run</x:v>
      </x:c>
      <x:c r="M1692" t="n">
        <x:v>6</x:v>
      </x:c>
      <x:c r="N1692" t="n">
        <x:v>1</x:v>
      </x:c>
      <x:c r="O1692" t="n">
        <x:v>1</x:v>
      </x:c>
      <x:c r="P1692"/>
      <x:c r="Q1692"/>
      <x:c r="R1692"/>
      <x:c r="S1692"/>
      <x:c r="T1692" t="str">
        <x:v>right</x:v>
      </x:c>
      <x:c r="U1692" t="str">
        <x:v>tackle</x:v>
      </x:c>
      <x:c r="V1692" t="n">
        <x:v>0</x:v>
      </x:c>
      <x:c r="W1692" t="n">
        <x:v>0</x:v>
      </x:c>
      <x:c r="X1692" t="n">
        <x:v>0</x:v>
      </x:c>
      <x:c r="Y1692" t="n">
        <x:v>0</x:v>
      </x:c>
      <x:c r="Z1692" t="n">
        <x:v>0</x:v>
      </x:c>
      <x:c r="AA1692" t="n">
        <x:v>0</x:v>
      </x:c>
      <x:c r="AB1692"/>
      <x:c r="AC1692" t="n">
        <x:v>0</x:v>
      </x:c>
      <x:c r="AD1692" t="n">
        <x:v>0.18148343253415078</x:v>
      </x:c>
      <x:c r="AE1692" t="n">
        <x:v>1</x:v>
      </x:c>
      <x:c r="AF1692" t="n">
        <x:v>-0.004266276955604553</x:v>
      </x:c>
      <x:c r="AG1692" t="n">
        <x:f>_xlfn.XLOOKUP($A1692,Games!$A$2:$A$18,Games!$B$2:$B$18,"Missing game",0)</x:f>
        <x:v>2025</x:v>
      </x:c>
      <x:c r="AH1692" t="str">
        <x:f>_xlfn.XLOOKUP($A1692,Games!$A$2:$A$18,Games!$C$2:$C$18,"Missing game",0)</x:f>
        <x:v>REG</x:v>
      </x:c>
      <x:c r="AI1692" t="n">
        <x:f>_xlfn.XLOOKUP($A1692,Games!$A$2:$A$18,Games!$D$2:$D$18,"Missing game",0)</x:f>
        <x:v>11</x:v>
      </x:c>
      <x:c r="AJ1692" s="1" t="n">
        <x:f>_xlfn.XLOOKUP($A1692,Games!$A$2:$A$18,Games!$E$2:$E$18,"Missing game",0)</x:f>
        <x:v>45977</x:v>
      </x:c>
      <x:c r="AK1692" t="str">
        <x:f>_xlfn.XLOOKUP($A1692,Games!$A$2:$A$18,Games!$F$2:$F$18,"Missing game",0)</x:f>
        <x:v>Sunday</x:v>
      </x:c>
      <x:c r="AL1692" t="str">
        <x:f>_xlfn.XLOOKUP($A1692,Games!$A$2:$A$18,Games!$G$2:$G$18,"Missing game",0)</x:f>
        <x:v>CHI</x:v>
      </x:c>
      <x:c r="AM1692" t="n">
        <x:f>_xlfn.XLOOKUP($A1692,Games!$A$2:$A$18,Games!$H$2:$H$18,"Missing game",0)</x:f>
        <x:v>19</x:v>
      </x:c>
      <x:c r="AN1692" t="str">
        <x:f>_xlfn.XLOOKUP($A1692,Games!$A$2:$A$18,Games!$I$2:$I$18,"Missing game",0)</x:f>
        <x:v>MIN</x:v>
      </x:c>
      <x:c r="AO1692" t="n">
        <x:f>_xlfn.XLOOKUP($A1692,Games!$A$2:$A$18,Games!$J$2:$J$18,"Missing game",0)</x:f>
        <x:v>17</x:v>
      </x:c>
      <x:c r="AP1692" t="n">
        <x:f>_xlfn.XLOOKUP($A1692,Games!$A$2:$A$18,Games!$K$2:$K$18,"Missing game",0)</x:f>
        <x:v>-2</x:v>
      </x:c>
      <x:c r="AQ1692" t="n">
        <x:f>_xlfn.XLOOKUP($A1692,Games!$A$2:$A$18,Games!$L$2:$L$18,"Missing game",0)</x:f>
        <x:v>36</x:v>
      </x:c>
      <x:c r="AR1692" t="n">
        <x:f>_xlfn.XLOOKUP($A1692,Games!$A$2:$A$18,Games!$M$2:$M$18,"Missing game",0)</x:f>
        <x:v>0</x:v>
      </x:c>
      <x:c r="AS1692" t="str">
        <x:f>_xlfn.XLOOKUP($A1692,Games!$A$2:$A$18,Games!$N$2:$N$18,"Missing game",0)</x:f>
        <x:v>dome</x:v>
      </x:c>
      <x:c r="AT1692" t="str">
        <x:f>_xlfn.XLOOKUP($A1692,Games!$A$2:$A$18,Games!$O$2:$O$18,"Missing game",0)</x:f>
        <x:v>sportturf</x:v>
      </x:c>
      <x:c r="AU1692" t="str">
        <x:f>_xlfn.XLOOKUP($A1692,Games!$A$2:$A$18,Games!$P$2:$P$18,"Missing game",0)</x:f>
      </x:c>
      <x:c r="AV1692" t="str">
        <x:f>_xlfn.XLOOKUP($A1692,Games!$A$2:$A$18,Games!$Q$2:$Q$18,"Missing game",0)</x:f>
      </x:c>
      <x:c r="AW1692" t="str">
        <x:f>_xlfn.XLOOKUP($A1692,Games!$A$2:$A$18,Games!$R$2:$R$18,"Missing game",0)</x:f>
        <x:v>U.S. Bank Stadium</x:v>
      </x:c>
    </x:row>
    <x:row r="1693">
      <x:c r="A1693" t="str">
        <x:v>2025_11_CHI_MIN</x:v>
      </x:c>
      <x:c r="B1693" t="n">
        <x:v>3911</x:v>
      </x:c>
      <x:c r="C1693" t="n">
        <x:v>4</x:v>
      </x:c>
      <x:c r="D1693" t="str">
        <x:v>02:07</x:v>
      </x:c>
      <x:c r="E1693" t="n">
        <x:v>2</x:v>
      </x:c>
      <x:c r="F1693" t="n">
        <x:v>4</x:v>
      </x:c>
      <x:c r="G1693" t="str">
        <x:v>MIN</x:v>
      </x:c>
      <x:c r="H1693" t="str">
        <x:v>CHI</x:v>
      </x:c>
      <x:c r="I1693" t="str">
        <x:v>MIN</x:v>
      </x:c>
      <x:c r="J1693" t="n">
        <x:v>55</x:v>
      </x:c>
      <x:c r="K1693" t="str">
        <x:v>(2:07) (No Huddle, Shotgun) 9-J.McCarthy pass incomplete short right to 87-T.Hockenson.</x:v>
      </x:c>
      <x:c r="L1693" t="str">
        <x:v>pass</x:v>
      </x:c>
      <x:c r="M1693" t="n">
        <x:v>0</x:v>
      </x:c>
      <x:c r="N1693" t="n">
        <x:v>1</x:v>
      </x:c>
      <x:c r="O1693" t="n">
        <x:v>1</x:v>
      </x:c>
      <x:c r="P1693" t="str">
        <x:v>short</x:v>
      </x:c>
      <x:c r="Q1693" t="str">
        <x:v>right</x:v>
      </x:c>
      <x:c r="R1693" t="n">
        <x:v>5</x:v>
      </x:c>
      <x:c r="S1693"/>
      <x:c r="T1693"/>
      <x:c r="U1693"/>
      <x:c r="V1693" t="n">
        <x:v>0</x:v>
      </x:c>
      <x:c r="W1693" t="n">
        <x:v>0</x:v>
      </x:c>
      <x:c r="X1693" t="n">
        <x:v>0</x:v>
      </x:c>
      <x:c r="Y1693" t="n">
        <x:v>0</x:v>
      </x:c>
      <x:c r="Z1693" t="n">
        <x:v>0</x:v>
      </x:c>
      <x:c r="AA1693" t="n">
        <x:v>0</x:v>
      </x:c>
      <x:c r="AB1693"/>
      <x:c r="AC1693" t="n">
        <x:v>0</x:v>
      </x:c>
      <x:c r="AD1693" t="n">
        <x:v>-0.47818475298117846</x:v>
      </x:c>
      <x:c r="AE1693" t="n">
        <x:v>0</x:v>
      </x:c>
      <x:c r="AF1693" t="n">
        <x:v>-0.02453535795211792</x:v>
      </x:c>
      <x:c r="AG1693" t="n">
        <x:f>_xlfn.XLOOKUP($A1693,Games!$A$2:$A$18,Games!$B$2:$B$18,"Missing game",0)</x:f>
        <x:v>2025</x:v>
      </x:c>
      <x:c r="AH1693" t="str">
        <x:f>_xlfn.XLOOKUP($A1693,Games!$A$2:$A$18,Games!$C$2:$C$18,"Missing game",0)</x:f>
        <x:v>REG</x:v>
      </x:c>
      <x:c r="AI1693" t="n">
        <x:f>_xlfn.XLOOKUP($A1693,Games!$A$2:$A$18,Games!$D$2:$D$18,"Missing game",0)</x:f>
        <x:v>11</x:v>
      </x:c>
      <x:c r="AJ1693" s="1" t="n">
        <x:f>_xlfn.XLOOKUP($A1693,Games!$A$2:$A$18,Games!$E$2:$E$18,"Missing game",0)</x:f>
        <x:v>45977</x:v>
      </x:c>
      <x:c r="AK1693" t="str">
        <x:f>_xlfn.XLOOKUP($A1693,Games!$A$2:$A$18,Games!$F$2:$F$18,"Missing game",0)</x:f>
        <x:v>Sunday</x:v>
      </x:c>
      <x:c r="AL1693" t="str">
        <x:f>_xlfn.XLOOKUP($A1693,Games!$A$2:$A$18,Games!$G$2:$G$18,"Missing game",0)</x:f>
        <x:v>CHI</x:v>
      </x:c>
      <x:c r="AM1693" t="n">
        <x:f>_xlfn.XLOOKUP($A1693,Games!$A$2:$A$18,Games!$H$2:$H$18,"Missing game",0)</x:f>
        <x:v>19</x:v>
      </x:c>
      <x:c r="AN1693" t="str">
        <x:f>_xlfn.XLOOKUP($A1693,Games!$A$2:$A$18,Games!$I$2:$I$18,"Missing game",0)</x:f>
        <x:v>MIN</x:v>
      </x:c>
      <x:c r="AO1693" t="n">
        <x:f>_xlfn.XLOOKUP($A1693,Games!$A$2:$A$18,Games!$J$2:$J$18,"Missing game",0)</x:f>
        <x:v>17</x:v>
      </x:c>
      <x:c r="AP1693" t="n">
        <x:f>_xlfn.XLOOKUP($A1693,Games!$A$2:$A$18,Games!$K$2:$K$18,"Missing game",0)</x:f>
        <x:v>-2</x:v>
      </x:c>
      <x:c r="AQ1693" t="n">
        <x:f>_xlfn.XLOOKUP($A1693,Games!$A$2:$A$18,Games!$L$2:$L$18,"Missing game",0)</x:f>
        <x:v>36</x:v>
      </x:c>
      <x:c r="AR1693" t="n">
        <x:f>_xlfn.XLOOKUP($A1693,Games!$A$2:$A$18,Games!$M$2:$M$18,"Missing game",0)</x:f>
        <x:v>0</x:v>
      </x:c>
      <x:c r="AS1693" t="str">
        <x:f>_xlfn.XLOOKUP($A1693,Games!$A$2:$A$18,Games!$N$2:$N$18,"Missing game",0)</x:f>
        <x:v>dome</x:v>
      </x:c>
      <x:c r="AT1693" t="str">
        <x:f>_xlfn.XLOOKUP($A1693,Games!$A$2:$A$18,Games!$O$2:$O$18,"Missing game",0)</x:f>
        <x:v>sportturf</x:v>
      </x:c>
      <x:c r="AU1693" t="str">
        <x:f>_xlfn.XLOOKUP($A1693,Games!$A$2:$A$18,Games!$P$2:$P$18,"Missing game",0)</x:f>
      </x:c>
      <x:c r="AV1693" t="str">
        <x:f>_xlfn.XLOOKUP($A1693,Games!$A$2:$A$18,Games!$Q$2:$Q$18,"Missing game",0)</x:f>
      </x:c>
      <x:c r="AW1693" t="str">
        <x:f>_xlfn.XLOOKUP($A1693,Games!$A$2:$A$18,Games!$R$2:$R$18,"Missing game",0)</x:f>
        <x:v>U.S. Bank Stadium</x:v>
      </x:c>
    </x:row>
    <x:row r="1694">
      <x:c r="A1694" t="str">
        <x:v>2025_11_CHI_MIN</x:v>
      </x:c>
      <x:c r="B1694" t="n">
        <x:v>3934</x:v>
      </x:c>
      <x:c r="C1694" t="n">
        <x:v>4</x:v>
      </x:c>
      <x:c r="D1694" t="str">
        <x:v>02:03</x:v>
      </x:c>
      <x:c r="E1694" t="n">
        <x:v>3</x:v>
      </x:c>
      <x:c r="F1694" t="n">
        <x:v>4</x:v>
      </x:c>
      <x:c r="G1694" t="str">
        <x:v>MIN</x:v>
      </x:c>
      <x:c r="H1694" t="str">
        <x:v>CHI</x:v>
      </x:c>
      <x:c r="I1694" t="str">
        <x:v>MIN</x:v>
      </x:c>
      <x:c r="J1694" t="n">
        <x:v>55</x:v>
      </x:c>
      <x:c r="K1694" t="str">
        <x:v>(2:03) (Shotgun) 9-J.McCarthy pass incomplete short right to 33-A.Jones (98-M.Sweat).</x:v>
      </x:c>
      <x:c r="L1694" t="str">
        <x:v>pass</x:v>
      </x:c>
      <x:c r="M1694" t="n">
        <x:v>0</x:v>
      </x:c>
      <x:c r="N1694" t="n">
        <x:v>1</x:v>
      </x:c>
      <x:c r="O1694" t="n">
        <x:v>0</x:v>
      </x:c>
      <x:c r="P1694" t="str">
        <x:v>short</x:v>
      </x:c>
      <x:c r="Q1694" t="str">
        <x:v>right</x:v>
      </x:c>
      <x:c r="R1694" t="n">
        <x:v>-3</x:v>
      </x:c>
      <x:c r="S1694"/>
      <x:c r="T1694"/>
      <x:c r="U1694"/>
      <x:c r="V1694" t="n">
        <x:v>0</x:v>
      </x:c>
      <x:c r="W1694" t="n">
        <x:v>0</x:v>
      </x:c>
      <x:c r="X1694" t="n">
        <x:v>0</x:v>
      </x:c>
      <x:c r="Y1694" t="n">
        <x:v>0</x:v>
      </x:c>
      <x:c r="Z1694" t="n">
        <x:v>0</x:v>
      </x:c>
      <x:c r="AA1694" t="n">
        <x:v>0</x:v>
      </x:c>
      <x:c r="AB1694"/>
      <x:c r="AC1694" t="n">
        <x:v>0</x:v>
      </x:c>
      <x:c r="AD1694" t="n">
        <x:v>-1.5278540852013975</x:v>
      </x:c>
      <x:c r="AE1694" t="n">
        <x:v>0</x:v>
      </x:c>
      <x:c r="AF1694" t="n">
        <x:v>-0.05233100801706314</x:v>
      </x:c>
      <x:c r="AG1694" t="n">
        <x:f>_xlfn.XLOOKUP($A1694,Games!$A$2:$A$18,Games!$B$2:$B$18,"Missing game",0)</x:f>
        <x:v>2025</x:v>
      </x:c>
      <x:c r="AH1694" t="str">
        <x:f>_xlfn.XLOOKUP($A1694,Games!$A$2:$A$18,Games!$C$2:$C$18,"Missing game",0)</x:f>
        <x:v>REG</x:v>
      </x:c>
      <x:c r="AI1694" t="n">
        <x:f>_xlfn.XLOOKUP($A1694,Games!$A$2:$A$18,Games!$D$2:$D$18,"Missing game",0)</x:f>
        <x:v>11</x:v>
      </x:c>
      <x:c r="AJ1694" s="1" t="n">
        <x:f>_xlfn.XLOOKUP($A1694,Games!$A$2:$A$18,Games!$E$2:$E$18,"Missing game",0)</x:f>
        <x:v>45977</x:v>
      </x:c>
      <x:c r="AK1694" t="str">
        <x:f>_xlfn.XLOOKUP($A1694,Games!$A$2:$A$18,Games!$F$2:$F$18,"Missing game",0)</x:f>
        <x:v>Sunday</x:v>
      </x:c>
      <x:c r="AL1694" t="str">
        <x:f>_xlfn.XLOOKUP($A1694,Games!$A$2:$A$18,Games!$G$2:$G$18,"Missing game",0)</x:f>
        <x:v>CHI</x:v>
      </x:c>
      <x:c r="AM1694" t="n">
        <x:f>_xlfn.XLOOKUP($A1694,Games!$A$2:$A$18,Games!$H$2:$H$18,"Missing game",0)</x:f>
        <x:v>19</x:v>
      </x:c>
      <x:c r="AN1694" t="str">
        <x:f>_xlfn.XLOOKUP($A1694,Games!$A$2:$A$18,Games!$I$2:$I$18,"Missing game",0)</x:f>
        <x:v>MIN</x:v>
      </x:c>
      <x:c r="AO1694" t="n">
        <x:f>_xlfn.XLOOKUP($A1694,Games!$A$2:$A$18,Games!$J$2:$J$18,"Missing game",0)</x:f>
        <x:v>17</x:v>
      </x:c>
      <x:c r="AP1694" t="n">
        <x:f>_xlfn.XLOOKUP($A1694,Games!$A$2:$A$18,Games!$K$2:$K$18,"Missing game",0)</x:f>
        <x:v>-2</x:v>
      </x:c>
      <x:c r="AQ1694" t="n">
        <x:f>_xlfn.XLOOKUP($A1694,Games!$A$2:$A$18,Games!$L$2:$L$18,"Missing game",0)</x:f>
        <x:v>36</x:v>
      </x:c>
      <x:c r="AR1694" t="n">
        <x:f>_xlfn.XLOOKUP($A1694,Games!$A$2:$A$18,Games!$M$2:$M$18,"Missing game",0)</x:f>
        <x:v>0</x:v>
      </x:c>
      <x:c r="AS1694" t="str">
        <x:f>_xlfn.XLOOKUP($A1694,Games!$A$2:$A$18,Games!$N$2:$N$18,"Missing game",0)</x:f>
        <x:v>dome</x:v>
      </x:c>
      <x:c r="AT1694" t="str">
        <x:f>_xlfn.XLOOKUP($A1694,Games!$A$2:$A$18,Games!$O$2:$O$18,"Missing game",0)</x:f>
        <x:v>sportturf</x:v>
      </x:c>
      <x:c r="AU1694" t="str">
        <x:f>_xlfn.XLOOKUP($A1694,Games!$A$2:$A$18,Games!$P$2:$P$18,"Missing game",0)</x:f>
      </x:c>
      <x:c r="AV1694" t="str">
        <x:f>_xlfn.XLOOKUP($A1694,Games!$A$2:$A$18,Games!$Q$2:$Q$18,"Missing game",0)</x:f>
      </x:c>
      <x:c r="AW1694" t="str">
        <x:f>_xlfn.XLOOKUP($A1694,Games!$A$2:$A$18,Games!$R$2:$R$18,"Missing game",0)</x:f>
        <x:v>U.S. Bank Stadium</x:v>
      </x:c>
    </x:row>
    <x:row r="1695">
      <x:c r="A1695" t="str">
        <x:v>2025_11_CHI_MIN</x:v>
      </x:c>
      <x:c r="B1695" t="n">
        <x:v>3957</x:v>
      </x:c>
      <x:c r="C1695" t="n">
        <x:v>4</x:v>
      </x:c>
      <x:c r="D1695" t="str">
        <x:v>01:59</x:v>
      </x:c>
      <x:c r="E1695" t="n">
        <x:v>4</x:v>
      </x:c>
      <x:c r="F1695" t="n">
        <x:v>4</x:v>
      </x:c>
      <x:c r="G1695" t="str">
        <x:v>MIN</x:v>
      </x:c>
      <x:c r="H1695" t="str">
        <x:v>CHI</x:v>
      </x:c>
      <x:c r="I1695" t="str">
        <x:v>MIN</x:v>
      </x:c>
      <x:c r="J1695" t="n">
        <x:v>55</x:v>
      </x:c>
      <x:c r="K1695" t="str">
        <x:v>(1:59) (Shotgun) 9-J.McCarthy pass short right to 3-J.Addison to 50 for 5 yards (24-N.McCloud) [49-T.Edmunds].</x:v>
      </x:c>
      <x:c r="L1695" t="str">
        <x:v>pass</x:v>
      </x:c>
      <x:c r="M1695" t="n">
        <x:v>5</x:v>
      </x:c>
      <x:c r="N1695" t="n">
        <x:v>1</x:v>
      </x:c>
      <x:c r="O1695" t="n">
        <x:v>0</x:v>
      </x:c>
      <x:c r="P1695" t="str">
        <x:v>short</x:v>
      </x:c>
      <x:c r="Q1695" t="str">
        <x:v>right</x:v>
      </x:c>
      <x:c r="R1695" t="n">
        <x:v>5</x:v>
      </x:c>
      <x:c r="S1695" t="n">
        <x:v>0</x:v>
      </x:c>
      <x:c r="T1695"/>
      <x:c r="U1695"/>
      <x:c r="V1695" t="n">
        <x:v>1</x:v>
      </x:c>
      <x:c r="W1695" t="n">
        <x:v>1</x:v>
      </x:c>
      <x:c r="X1695" t="n">
        <x:v>0</x:v>
      </x:c>
      <x:c r="Y1695" t="n">
        <x:v>0</x:v>
      </x:c>
      <x:c r="Z1695" t="n">
        <x:v>0</x:v>
      </x:c>
      <x:c r="AA1695" t="n">
        <x:v>0</x:v>
      </x:c>
      <x:c r="AB1695"/>
      <x:c r="AC1695" t="n">
        <x:v>0</x:v>
      </x:c>
      <x:c r="AD1695" t="n">
        <x:v>2.4932654942385852</x:v>
      </x:c>
      <x:c r="AE1695" t="n">
        <x:v>1</x:v>
      </x:c>
      <x:c r="AF1695" t="n">
        <x:v>0.06754883378744125</x:v>
      </x:c>
      <x:c r="AG1695" t="n">
        <x:f>_xlfn.XLOOKUP($A1695,Games!$A$2:$A$18,Games!$B$2:$B$18,"Missing game",0)</x:f>
        <x:v>2025</x:v>
      </x:c>
      <x:c r="AH1695" t="str">
        <x:f>_xlfn.XLOOKUP($A1695,Games!$A$2:$A$18,Games!$C$2:$C$18,"Missing game",0)</x:f>
        <x:v>REG</x:v>
      </x:c>
      <x:c r="AI1695" t="n">
        <x:f>_xlfn.XLOOKUP($A1695,Games!$A$2:$A$18,Games!$D$2:$D$18,"Missing game",0)</x:f>
        <x:v>11</x:v>
      </x:c>
      <x:c r="AJ1695" s="1" t="n">
        <x:f>_xlfn.XLOOKUP($A1695,Games!$A$2:$A$18,Games!$E$2:$E$18,"Missing game",0)</x:f>
        <x:v>45977</x:v>
      </x:c>
      <x:c r="AK1695" t="str">
        <x:f>_xlfn.XLOOKUP($A1695,Games!$A$2:$A$18,Games!$F$2:$F$18,"Missing game",0)</x:f>
        <x:v>Sunday</x:v>
      </x:c>
      <x:c r="AL1695" t="str">
        <x:f>_xlfn.XLOOKUP($A1695,Games!$A$2:$A$18,Games!$G$2:$G$18,"Missing game",0)</x:f>
        <x:v>CHI</x:v>
      </x:c>
      <x:c r="AM1695" t="n">
        <x:f>_xlfn.XLOOKUP($A1695,Games!$A$2:$A$18,Games!$H$2:$H$18,"Missing game",0)</x:f>
        <x:v>19</x:v>
      </x:c>
      <x:c r="AN1695" t="str">
        <x:f>_xlfn.XLOOKUP($A1695,Games!$A$2:$A$18,Games!$I$2:$I$18,"Missing game",0)</x:f>
        <x:v>MIN</x:v>
      </x:c>
      <x:c r="AO1695" t="n">
        <x:f>_xlfn.XLOOKUP($A1695,Games!$A$2:$A$18,Games!$J$2:$J$18,"Missing game",0)</x:f>
        <x:v>17</x:v>
      </x:c>
      <x:c r="AP1695" t="n">
        <x:f>_xlfn.XLOOKUP($A1695,Games!$A$2:$A$18,Games!$K$2:$K$18,"Missing game",0)</x:f>
        <x:v>-2</x:v>
      </x:c>
      <x:c r="AQ1695" t="n">
        <x:f>_xlfn.XLOOKUP($A1695,Games!$A$2:$A$18,Games!$L$2:$L$18,"Missing game",0)</x:f>
        <x:v>36</x:v>
      </x:c>
      <x:c r="AR1695" t="n">
        <x:f>_xlfn.XLOOKUP($A1695,Games!$A$2:$A$18,Games!$M$2:$M$18,"Missing game",0)</x:f>
        <x:v>0</x:v>
      </x:c>
      <x:c r="AS1695" t="str">
        <x:f>_xlfn.XLOOKUP($A1695,Games!$A$2:$A$18,Games!$N$2:$N$18,"Missing game",0)</x:f>
        <x:v>dome</x:v>
      </x:c>
      <x:c r="AT1695" t="str">
        <x:f>_xlfn.XLOOKUP($A1695,Games!$A$2:$A$18,Games!$O$2:$O$18,"Missing game",0)</x:f>
        <x:v>sportturf</x:v>
      </x:c>
      <x:c r="AU1695" t="str">
        <x:f>_xlfn.XLOOKUP($A1695,Games!$A$2:$A$18,Games!$P$2:$P$18,"Missing game",0)</x:f>
      </x:c>
      <x:c r="AV1695" t="str">
        <x:f>_xlfn.XLOOKUP($A1695,Games!$A$2:$A$18,Games!$Q$2:$Q$18,"Missing game",0)</x:f>
      </x:c>
      <x:c r="AW1695" t="str">
        <x:f>_xlfn.XLOOKUP($A1695,Games!$A$2:$A$18,Games!$R$2:$R$18,"Missing game",0)</x:f>
        <x:v>U.S. Bank Stadium</x:v>
      </x:c>
    </x:row>
    <x:row r="1696">
      <x:c r="A1696" t="str">
        <x:v>2025_11_CHI_MIN</x:v>
      </x:c>
      <x:c r="B1696" t="n">
        <x:v>3989</x:v>
      </x:c>
      <x:c r="C1696" t="n">
        <x:v>4</x:v>
      </x:c>
      <x:c r="D1696" t="str">
        <x:v>01:40</x:v>
      </x:c>
      <x:c r="E1696" t="n">
        <x:v>1</x:v>
      </x:c>
      <x:c r="F1696" t="n">
        <x:v>10</x:v>
      </x:c>
      <x:c r="G1696" t="str">
        <x:v>MIN</x:v>
      </x:c>
      <x:c r="H1696" t="str">
        <x:v>CHI</x:v>
      </x:c>
      <x:c r="I1696" t="str">
        <x:v>50</x:v>
      </x:c>
      <x:c r="J1696" t="n">
        <x:v>50</x:v>
      </x:c>
      <x:c r="K1696" t="str">
        <x:v>(1:40) (No Huddle, Shotgun) 9-J.McCarthy pass short right to 18-J.Jefferson to CHI 42 for 8 yards (44-N.Sewell).</x:v>
      </x:c>
      <x:c r="L1696" t="str">
        <x:v>pass</x:v>
      </x:c>
      <x:c r="M1696" t="n">
        <x:v>8</x:v>
      </x:c>
      <x:c r="N1696" t="n">
        <x:v>1</x:v>
      </x:c>
      <x:c r="O1696" t="n">
        <x:v>1</x:v>
      </x:c>
      <x:c r="P1696" t="str">
        <x:v>short</x:v>
      </x:c>
      <x:c r="Q1696" t="str">
        <x:v>right</x:v>
      </x:c>
      <x:c r="R1696" t="n">
        <x:v>4</x:v>
      </x:c>
      <x:c r="S1696" t="n">
        <x:v>4</x:v>
      </x:c>
      <x:c r="T1696"/>
      <x:c r="U1696"/>
      <x:c r="V1696" t="n">
        <x:v>1</x:v>
      </x:c>
      <x:c r="W1696" t="n">
        <x:v>0</x:v>
      </x:c>
      <x:c r="X1696" t="n">
        <x:v>0</x:v>
      </x:c>
      <x:c r="Y1696" t="n">
        <x:v>0</x:v>
      </x:c>
      <x:c r="Z1696" t="n">
        <x:v>0</x:v>
      </x:c>
      <x:c r="AA1696" t="n">
        <x:v>0</x:v>
      </x:c>
      <x:c r="AB1696"/>
      <x:c r="AC1696" t="n">
        <x:v>0</x:v>
      </x:c>
      <x:c r="AD1696" t="n">
        <x:v>0.39056951948441565</x:v>
      </x:c>
      <x:c r="AE1696" t="n">
        <x:v>1</x:v>
      </x:c>
      <x:c r="AF1696" t="n">
        <x:v>0.055784255266189575</x:v>
      </x:c>
      <x:c r="AG1696" t="n">
        <x:f>_xlfn.XLOOKUP($A1696,Games!$A$2:$A$18,Games!$B$2:$B$18,"Missing game",0)</x:f>
        <x:v>2025</x:v>
      </x:c>
      <x:c r="AH1696" t="str">
        <x:f>_xlfn.XLOOKUP($A1696,Games!$A$2:$A$18,Games!$C$2:$C$18,"Missing game",0)</x:f>
        <x:v>REG</x:v>
      </x:c>
      <x:c r="AI1696" t="n">
        <x:f>_xlfn.XLOOKUP($A1696,Games!$A$2:$A$18,Games!$D$2:$D$18,"Missing game",0)</x:f>
        <x:v>11</x:v>
      </x:c>
      <x:c r="AJ1696" s="1" t="n">
        <x:f>_xlfn.XLOOKUP($A1696,Games!$A$2:$A$18,Games!$E$2:$E$18,"Missing game",0)</x:f>
        <x:v>45977</x:v>
      </x:c>
      <x:c r="AK1696" t="str">
        <x:f>_xlfn.XLOOKUP($A1696,Games!$A$2:$A$18,Games!$F$2:$F$18,"Missing game",0)</x:f>
        <x:v>Sunday</x:v>
      </x:c>
      <x:c r="AL1696" t="str">
        <x:f>_xlfn.XLOOKUP($A1696,Games!$A$2:$A$18,Games!$G$2:$G$18,"Missing game",0)</x:f>
        <x:v>CHI</x:v>
      </x:c>
      <x:c r="AM1696" t="n">
        <x:f>_xlfn.XLOOKUP($A1696,Games!$A$2:$A$18,Games!$H$2:$H$18,"Missing game",0)</x:f>
        <x:v>19</x:v>
      </x:c>
      <x:c r="AN1696" t="str">
        <x:f>_xlfn.XLOOKUP($A1696,Games!$A$2:$A$18,Games!$I$2:$I$18,"Missing game",0)</x:f>
        <x:v>MIN</x:v>
      </x:c>
      <x:c r="AO1696" t="n">
        <x:f>_xlfn.XLOOKUP($A1696,Games!$A$2:$A$18,Games!$J$2:$J$18,"Missing game",0)</x:f>
        <x:v>17</x:v>
      </x:c>
      <x:c r="AP1696" t="n">
        <x:f>_xlfn.XLOOKUP($A1696,Games!$A$2:$A$18,Games!$K$2:$K$18,"Missing game",0)</x:f>
        <x:v>-2</x:v>
      </x:c>
      <x:c r="AQ1696" t="n">
        <x:f>_xlfn.XLOOKUP($A1696,Games!$A$2:$A$18,Games!$L$2:$L$18,"Missing game",0)</x:f>
        <x:v>36</x:v>
      </x:c>
      <x:c r="AR1696" t="n">
        <x:f>_xlfn.XLOOKUP($A1696,Games!$A$2:$A$18,Games!$M$2:$M$18,"Missing game",0)</x:f>
        <x:v>0</x:v>
      </x:c>
      <x:c r="AS1696" t="str">
        <x:f>_xlfn.XLOOKUP($A1696,Games!$A$2:$A$18,Games!$N$2:$N$18,"Missing game",0)</x:f>
        <x:v>dome</x:v>
      </x:c>
      <x:c r="AT1696" t="str">
        <x:f>_xlfn.XLOOKUP($A1696,Games!$A$2:$A$18,Games!$O$2:$O$18,"Missing game",0)</x:f>
        <x:v>sportturf</x:v>
      </x:c>
      <x:c r="AU1696" t="str">
        <x:f>_xlfn.XLOOKUP($A1696,Games!$A$2:$A$18,Games!$P$2:$P$18,"Missing game",0)</x:f>
      </x:c>
      <x:c r="AV1696" t="str">
        <x:f>_xlfn.XLOOKUP($A1696,Games!$A$2:$A$18,Games!$Q$2:$Q$18,"Missing game",0)</x:f>
      </x:c>
      <x:c r="AW1696" t="str">
        <x:f>_xlfn.XLOOKUP($A1696,Games!$A$2:$A$18,Games!$R$2:$R$18,"Missing game",0)</x:f>
        <x:v>U.S. Bank Stadium</x:v>
      </x:c>
    </x:row>
    <x:row r="1697">
      <x:c r="A1697" t="str">
        <x:v>2025_11_CHI_MIN</x:v>
      </x:c>
      <x:c r="B1697" t="n">
        <x:v>4014</x:v>
      </x:c>
      <x:c r="C1697" t="n">
        <x:v>4</x:v>
      </x:c>
      <x:c r="D1697" t="str">
        <x:v>01:22</x:v>
      </x:c>
      <x:c r="E1697" t="n">
        <x:v>2</x:v>
      </x:c>
      <x:c r="F1697" t="n">
        <x:v>2</x:v>
      </x:c>
      <x:c r="G1697" t="str">
        <x:v>MIN</x:v>
      </x:c>
      <x:c r="H1697" t="str">
        <x:v>CHI</x:v>
      </x:c>
      <x:c r="I1697" t="str">
        <x:v>CHI</x:v>
      </x:c>
      <x:c r="J1697" t="n">
        <x:v>42</x:v>
      </x:c>
      <x:c r="K1697" t="str">
        <x:v>(1:22) (No Huddle, Shotgun) 9-J.McCarthy pass short middle to 87-T.Hockenson to CHI 31 for 11 yards (9-J.Brisker).</x:v>
      </x:c>
      <x:c r="L1697" t="str">
        <x:v>pass</x:v>
      </x:c>
      <x:c r="M1697" t="n">
        <x:v>11</x:v>
      </x:c>
      <x:c r="N1697" t="n">
        <x:v>1</x:v>
      </x:c>
      <x:c r="O1697" t="n">
        <x:v>1</x:v>
      </x:c>
      <x:c r="P1697" t="str">
        <x:v>short</x:v>
      </x:c>
      <x:c r="Q1697" t="str">
        <x:v>middle</x:v>
      </x:c>
      <x:c r="R1697" t="n">
        <x:v>5</x:v>
      </x:c>
      <x:c r="S1697" t="n">
        <x:v>6</x:v>
      </x:c>
      <x:c r="T1697"/>
      <x:c r="U1697"/>
      <x:c r="V1697" t="n">
        <x:v>1</x:v>
      </x:c>
      <x:c r="W1697" t="n">
        <x:v>1</x:v>
      </x:c>
      <x:c r="X1697" t="n">
        <x:v>0</x:v>
      </x:c>
      <x:c r="Y1697" t="n">
        <x:v>0</x:v>
      </x:c>
      <x:c r="Z1697" t="n">
        <x:v>0</x:v>
      </x:c>
      <x:c r="AA1697" t="n">
        <x:v>0</x:v>
      </x:c>
      <x:c r="AB1697"/>
      <x:c r="AC1697" t="n">
        <x:v>0</x:v>
      </x:c>
      <x:c r="AD1697" t="n">
        <x:v>0.6069727339199744</x:v>
      </x:c>
      <x:c r="AE1697" t="n">
        <x:v>1</x:v>
      </x:c>
      <x:c r="AF1697" t="n">
        <x:v>0.025081798434257507</x:v>
      </x:c>
      <x:c r="AG1697" t="n">
        <x:f>_xlfn.XLOOKUP($A1697,Games!$A$2:$A$18,Games!$B$2:$B$18,"Missing game",0)</x:f>
        <x:v>2025</x:v>
      </x:c>
      <x:c r="AH1697" t="str">
        <x:f>_xlfn.XLOOKUP($A1697,Games!$A$2:$A$18,Games!$C$2:$C$18,"Missing game",0)</x:f>
        <x:v>REG</x:v>
      </x:c>
      <x:c r="AI1697" t="n">
        <x:f>_xlfn.XLOOKUP($A1697,Games!$A$2:$A$18,Games!$D$2:$D$18,"Missing game",0)</x:f>
        <x:v>11</x:v>
      </x:c>
      <x:c r="AJ1697" s="1" t="n">
        <x:f>_xlfn.XLOOKUP($A1697,Games!$A$2:$A$18,Games!$E$2:$E$18,"Missing game",0)</x:f>
        <x:v>45977</x:v>
      </x:c>
      <x:c r="AK1697" t="str">
        <x:f>_xlfn.XLOOKUP($A1697,Games!$A$2:$A$18,Games!$F$2:$F$18,"Missing game",0)</x:f>
        <x:v>Sunday</x:v>
      </x:c>
      <x:c r="AL1697" t="str">
        <x:f>_xlfn.XLOOKUP($A1697,Games!$A$2:$A$18,Games!$G$2:$G$18,"Missing game",0)</x:f>
        <x:v>CHI</x:v>
      </x:c>
      <x:c r="AM1697" t="n">
        <x:f>_xlfn.XLOOKUP($A1697,Games!$A$2:$A$18,Games!$H$2:$H$18,"Missing game",0)</x:f>
        <x:v>19</x:v>
      </x:c>
      <x:c r="AN1697" t="str">
        <x:f>_xlfn.XLOOKUP($A1697,Games!$A$2:$A$18,Games!$I$2:$I$18,"Missing game",0)</x:f>
        <x:v>MIN</x:v>
      </x:c>
      <x:c r="AO1697" t="n">
        <x:f>_xlfn.XLOOKUP($A1697,Games!$A$2:$A$18,Games!$J$2:$J$18,"Missing game",0)</x:f>
        <x:v>17</x:v>
      </x:c>
      <x:c r="AP1697" t="n">
        <x:f>_xlfn.XLOOKUP($A1697,Games!$A$2:$A$18,Games!$K$2:$K$18,"Missing game",0)</x:f>
        <x:v>-2</x:v>
      </x:c>
      <x:c r="AQ1697" t="n">
        <x:f>_xlfn.XLOOKUP($A1697,Games!$A$2:$A$18,Games!$L$2:$L$18,"Missing game",0)</x:f>
        <x:v>36</x:v>
      </x:c>
      <x:c r="AR1697" t="n">
        <x:f>_xlfn.XLOOKUP($A1697,Games!$A$2:$A$18,Games!$M$2:$M$18,"Missing game",0)</x:f>
        <x:v>0</x:v>
      </x:c>
      <x:c r="AS1697" t="str">
        <x:f>_xlfn.XLOOKUP($A1697,Games!$A$2:$A$18,Games!$N$2:$N$18,"Missing game",0)</x:f>
        <x:v>dome</x:v>
      </x:c>
      <x:c r="AT1697" t="str">
        <x:f>_xlfn.XLOOKUP($A1697,Games!$A$2:$A$18,Games!$O$2:$O$18,"Missing game",0)</x:f>
        <x:v>sportturf</x:v>
      </x:c>
      <x:c r="AU1697" t="str">
        <x:f>_xlfn.XLOOKUP($A1697,Games!$A$2:$A$18,Games!$P$2:$P$18,"Missing game",0)</x:f>
      </x:c>
      <x:c r="AV1697" t="str">
        <x:f>_xlfn.XLOOKUP($A1697,Games!$A$2:$A$18,Games!$Q$2:$Q$18,"Missing game",0)</x:f>
      </x:c>
      <x:c r="AW1697" t="str">
        <x:f>_xlfn.XLOOKUP($A1697,Games!$A$2:$A$18,Games!$R$2:$R$18,"Missing game",0)</x:f>
        <x:v>U.S. Bank Stadium</x:v>
      </x:c>
    </x:row>
    <x:row r="1698">
      <x:c r="A1698" t="str">
        <x:v>2025_11_CHI_MIN</x:v>
      </x:c>
      <x:c r="B1698" t="n">
        <x:v>4039</x:v>
      </x:c>
      <x:c r="C1698" t="n">
        <x:v>4</x:v>
      </x:c>
      <x:c r="D1698" t="str">
        <x:v>01:01</x:v>
      </x:c>
      <x:c r="E1698" t="n">
        <x:v>1</x:v>
      </x:c>
      <x:c r="F1698" t="n">
        <x:v>10</x:v>
      </x:c>
      <x:c r="G1698" t="str">
        <x:v>MIN</x:v>
      </x:c>
      <x:c r="H1698" t="str">
        <x:v>CHI</x:v>
      </x:c>
      <x:c r="I1698" t="str">
        <x:v>CHI</x:v>
      </x:c>
      <x:c r="J1698" t="n">
        <x:v>31</x:v>
      </x:c>
      <x:c r="K1698" t="str">
        <x:v>(1:01) (No Huddle, Shotgun) 9-J.McCarthy pass short right to 1-J.Nailor ran ob at CHI 15 for 16 yards.</x:v>
      </x:c>
      <x:c r="L1698" t="str">
        <x:v>pass</x:v>
      </x:c>
      <x:c r="M1698" t="n">
        <x:v>16</x:v>
      </x:c>
      <x:c r="N1698" t="n">
        <x:v>1</x:v>
      </x:c>
      <x:c r="O1698" t="n">
        <x:v>1</x:v>
      </x:c>
      <x:c r="P1698" t="str">
        <x:v>short</x:v>
      </x:c>
      <x:c r="Q1698" t="str">
        <x:v>right</x:v>
      </x:c>
      <x:c r="R1698" t="n">
        <x:v>15</x:v>
      </x:c>
      <x:c r="S1698" t="n">
        <x:v>1</x:v>
      </x:c>
      <x:c r="T1698"/>
      <x:c r="U1698"/>
      <x:c r="V1698" t="n">
        <x:v>1</x:v>
      </x:c>
      <x:c r="W1698" t="n">
        <x:v>1</x:v>
      </x:c>
      <x:c r="X1698" t="n">
        <x:v>0</x:v>
      </x:c>
      <x:c r="Y1698" t="n">
        <x:v>0</x:v>
      </x:c>
      <x:c r="Z1698" t="n">
        <x:v>0</x:v>
      </x:c>
      <x:c r="AA1698" t="n">
        <x:v>0</x:v>
      </x:c>
      <x:c r="AB1698"/>
      <x:c r="AC1698" t="n">
        <x:v>0</x:v>
      </x:c>
      <x:c r="AD1698" t="n">
        <x:v>1.1789070361410268</x:v>
      </x:c>
      <x:c r="AE1698" t="n">
        <x:v>1</x:v>
      </x:c>
      <x:c r="AF1698" t="n">
        <x:v>0.11111077666282654</x:v>
      </x:c>
      <x:c r="AG1698" t="n">
        <x:f>_xlfn.XLOOKUP($A1698,Games!$A$2:$A$18,Games!$B$2:$B$18,"Missing game",0)</x:f>
        <x:v>2025</x:v>
      </x:c>
      <x:c r="AH1698" t="str">
        <x:f>_xlfn.XLOOKUP($A1698,Games!$A$2:$A$18,Games!$C$2:$C$18,"Missing game",0)</x:f>
        <x:v>REG</x:v>
      </x:c>
      <x:c r="AI1698" t="n">
        <x:f>_xlfn.XLOOKUP($A1698,Games!$A$2:$A$18,Games!$D$2:$D$18,"Missing game",0)</x:f>
        <x:v>11</x:v>
      </x:c>
      <x:c r="AJ1698" s="1" t="n">
        <x:f>_xlfn.XLOOKUP($A1698,Games!$A$2:$A$18,Games!$E$2:$E$18,"Missing game",0)</x:f>
        <x:v>45977</x:v>
      </x:c>
      <x:c r="AK1698" t="str">
        <x:f>_xlfn.XLOOKUP($A1698,Games!$A$2:$A$18,Games!$F$2:$F$18,"Missing game",0)</x:f>
        <x:v>Sunday</x:v>
      </x:c>
      <x:c r="AL1698" t="str">
        <x:f>_xlfn.XLOOKUP($A1698,Games!$A$2:$A$18,Games!$G$2:$G$18,"Missing game",0)</x:f>
        <x:v>CHI</x:v>
      </x:c>
      <x:c r="AM1698" t="n">
        <x:f>_xlfn.XLOOKUP($A1698,Games!$A$2:$A$18,Games!$H$2:$H$18,"Missing game",0)</x:f>
        <x:v>19</x:v>
      </x:c>
      <x:c r="AN1698" t="str">
        <x:f>_xlfn.XLOOKUP($A1698,Games!$A$2:$A$18,Games!$I$2:$I$18,"Missing game",0)</x:f>
        <x:v>MIN</x:v>
      </x:c>
      <x:c r="AO1698" t="n">
        <x:f>_xlfn.XLOOKUP($A1698,Games!$A$2:$A$18,Games!$J$2:$J$18,"Missing game",0)</x:f>
        <x:v>17</x:v>
      </x:c>
      <x:c r="AP1698" t="n">
        <x:f>_xlfn.XLOOKUP($A1698,Games!$A$2:$A$18,Games!$K$2:$K$18,"Missing game",0)</x:f>
        <x:v>-2</x:v>
      </x:c>
      <x:c r="AQ1698" t="n">
        <x:f>_xlfn.XLOOKUP($A1698,Games!$A$2:$A$18,Games!$L$2:$L$18,"Missing game",0)</x:f>
        <x:v>36</x:v>
      </x:c>
      <x:c r="AR1698" t="n">
        <x:f>_xlfn.XLOOKUP($A1698,Games!$A$2:$A$18,Games!$M$2:$M$18,"Missing game",0)</x:f>
        <x:v>0</x:v>
      </x:c>
      <x:c r="AS1698" t="str">
        <x:f>_xlfn.XLOOKUP($A1698,Games!$A$2:$A$18,Games!$N$2:$N$18,"Missing game",0)</x:f>
        <x:v>dome</x:v>
      </x:c>
      <x:c r="AT1698" t="str">
        <x:f>_xlfn.XLOOKUP($A1698,Games!$A$2:$A$18,Games!$O$2:$O$18,"Missing game",0)</x:f>
        <x:v>sportturf</x:v>
      </x:c>
      <x:c r="AU1698" t="str">
        <x:f>_xlfn.XLOOKUP($A1698,Games!$A$2:$A$18,Games!$P$2:$P$18,"Missing game",0)</x:f>
      </x:c>
      <x:c r="AV1698" t="str">
        <x:f>_xlfn.XLOOKUP($A1698,Games!$A$2:$A$18,Games!$Q$2:$Q$18,"Missing game",0)</x:f>
      </x:c>
      <x:c r="AW1698" t="str">
        <x:f>_xlfn.XLOOKUP($A1698,Games!$A$2:$A$18,Games!$R$2:$R$18,"Missing game",0)</x:f>
        <x:v>U.S. Bank Stadium</x:v>
      </x:c>
    </x:row>
    <x:row r="1699">
      <x:c r="A1699" t="str">
        <x:v>2025_11_CHI_MIN</x:v>
      </x:c>
      <x:c r="B1699" t="n">
        <x:v>4069</x:v>
      </x:c>
      <x:c r="C1699" t="n">
        <x:v>4</x:v>
      </x:c>
      <x:c r="D1699" t="str">
        <x:v>00:56</x:v>
      </x:c>
      <x:c r="E1699" t="n">
        <x:v>1</x:v>
      </x:c>
      <x:c r="F1699" t="n">
        <x:v>10</x:v>
      </x:c>
      <x:c r="G1699" t="str">
        <x:v>MIN</x:v>
      </x:c>
      <x:c r="H1699" t="str">
        <x:v>CHI</x:v>
      </x:c>
      <x:c r="I1699" t="str">
        <x:v>CHI</x:v>
      </x:c>
      <x:c r="J1699" t="n">
        <x:v>15</x:v>
      </x:c>
      <x:c r="K1699" t="str">
        <x:v>(:56) (Shotgun) 9-J.McCarthy pass short left to 3-J.Addison for 15 yards, TOUCHDOWN.</x:v>
      </x:c>
      <x:c r="L1699" t="str">
        <x:v>pass</x:v>
      </x:c>
      <x:c r="M1699" t="n">
        <x:v>15</x:v>
      </x:c>
      <x:c r="N1699" t="n">
        <x:v>1</x:v>
      </x:c>
      <x:c r="O1699" t="n">
        <x:v>0</x:v>
      </x:c>
      <x:c r="P1699" t="str">
        <x:v>short</x:v>
      </x:c>
      <x:c r="Q1699" t="str">
        <x:v>left</x:v>
      </x:c>
      <x:c r="R1699" t="n">
        <x:v>15</x:v>
      </x:c>
      <x:c r="S1699" t="n">
        <x:v>0</x:v>
      </x:c>
      <x:c r="T1699"/>
      <x:c r="U1699"/>
      <x:c r="V1699" t="n">
        <x:v>1</x:v>
      </x:c>
      <x:c r="W1699" t="n">
        <x:v>1</x:v>
      </x:c>
      <x:c r="X1699" t="n">
        <x:v>0</x:v>
      </x:c>
      <x:c r="Y1699" t="n">
        <x:v>0</x:v>
      </x:c>
      <x:c r="Z1699" t="n">
        <x:v>0</x:v>
      </x:c>
      <x:c r="AA1699" t="n">
        <x:v>0</x:v>
      </x:c>
      <x:c r="AB1699"/>
      <x:c r="AC1699" t="n">
        <x:v>1</x:v>
      </x:c>
      <x:c r="AD1699" t="n">
        <x:v>2.2951494152657688</x:v>
      </x:c>
      <x:c r="AE1699" t="n">
        <x:v>1</x:v>
      </x:c>
      <x:c r="AF1699" t="n">
        <x:v>0.18489401792580484</x:v>
      </x:c>
      <x:c r="AG1699" t="n">
        <x:f>_xlfn.XLOOKUP($A1699,Games!$A$2:$A$18,Games!$B$2:$B$18,"Missing game",0)</x:f>
        <x:v>2025</x:v>
      </x:c>
      <x:c r="AH1699" t="str">
        <x:f>_xlfn.XLOOKUP($A1699,Games!$A$2:$A$18,Games!$C$2:$C$18,"Missing game",0)</x:f>
        <x:v>REG</x:v>
      </x:c>
      <x:c r="AI1699" t="n">
        <x:f>_xlfn.XLOOKUP($A1699,Games!$A$2:$A$18,Games!$D$2:$D$18,"Missing game",0)</x:f>
        <x:v>11</x:v>
      </x:c>
      <x:c r="AJ1699" s="1" t="n">
        <x:f>_xlfn.XLOOKUP($A1699,Games!$A$2:$A$18,Games!$E$2:$E$18,"Missing game",0)</x:f>
        <x:v>45977</x:v>
      </x:c>
      <x:c r="AK1699" t="str">
        <x:f>_xlfn.XLOOKUP($A1699,Games!$A$2:$A$18,Games!$F$2:$F$18,"Missing game",0)</x:f>
        <x:v>Sunday</x:v>
      </x:c>
      <x:c r="AL1699" t="str">
        <x:f>_xlfn.XLOOKUP($A1699,Games!$A$2:$A$18,Games!$G$2:$G$18,"Missing game",0)</x:f>
        <x:v>CHI</x:v>
      </x:c>
      <x:c r="AM1699" t="n">
        <x:f>_xlfn.XLOOKUP($A1699,Games!$A$2:$A$18,Games!$H$2:$H$18,"Missing game",0)</x:f>
        <x:v>19</x:v>
      </x:c>
      <x:c r="AN1699" t="str">
        <x:f>_xlfn.XLOOKUP($A1699,Games!$A$2:$A$18,Games!$I$2:$I$18,"Missing game",0)</x:f>
        <x:v>MIN</x:v>
      </x:c>
      <x:c r="AO1699" t="n">
        <x:f>_xlfn.XLOOKUP($A1699,Games!$A$2:$A$18,Games!$J$2:$J$18,"Missing game",0)</x:f>
        <x:v>17</x:v>
      </x:c>
      <x:c r="AP1699" t="n">
        <x:f>_xlfn.XLOOKUP($A1699,Games!$A$2:$A$18,Games!$K$2:$K$18,"Missing game",0)</x:f>
        <x:v>-2</x:v>
      </x:c>
      <x:c r="AQ1699" t="n">
        <x:f>_xlfn.XLOOKUP($A1699,Games!$A$2:$A$18,Games!$L$2:$L$18,"Missing game",0)</x:f>
        <x:v>36</x:v>
      </x:c>
      <x:c r="AR1699" t="n">
        <x:f>_xlfn.XLOOKUP($A1699,Games!$A$2:$A$18,Games!$M$2:$M$18,"Missing game",0)</x:f>
        <x:v>0</x:v>
      </x:c>
      <x:c r="AS1699" t="str">
        <x:f>_xlfn.XLOOKUP($A1699,Games!$A$2:$A$18,Games!$N$2:$N$18,"Missing game",0)</x:f>
        <x:v>dome</x:v>
      </x:c>
      <x:c r="AT1699" t="str">
        <x:f>_xlfn.XLOOKUP($A1699,Games!$A$2:$A$18,Games!$O$2:$O$18,"Missing game",0)</x:f>
        <x:v>sportturf</x:v>
      </x:c>
      <x:c r="AU1699" t="str">
        <x:f>_xlfn.XLOOKUP($A1699,Games!$A$2:$A$18,Games!$P$2:$P$18,"Missing game",0)</x:f>
      </x:c>
      <x:c r="AV1699" t="str">
        <x:f>_xlfn.XLOOKUP($A1699,Games!$A$2:$A$18,Games!$Q$2:$Q$18,"Missing game",0)</x:f>
      </x:c>
      <x:c r="AW1699" t="str">
        <x:f>_xlfn.XLOOKUP($A1699,Games!$A$2:$A$18,Games!$R$2:$R$18,"Missing game",0)</x:f>
        <x:v>U.S. Bank Stadium</x:v>
      </x:c>
    </x:row>
    <x:row r="1700">
      <x:c r="A1700" t="str">
        <x:v>2025_11_CHI_MIN</x:v>
      </x:c>
      <x:c r="B1700" t="n">
        <x:v>4095</x:v>
      </x:c>
      <x:c r="C1700" t="n">
        <x:v>4</x:v>
      </x:c>
      <x:c r="D1700" t="str">
        <x:v>00:50</x:v>
      </x:c>
      <x:c r="E1700"/>
      <x:c r="F1700" t="n">
        <x:v>0</x:v>
      </x:c>
      <x:c r="G1700" t="str">
        <x:v>MIN</x:v>
      </x:c>
      <x:c r="H1700" t="str">
        <x:v>CHI</x:v>
      </x:c>
      <x:c r="I1700" t="str">
        <x:v>CHI</x:v>
      </x:c>
      <x:c r="J1700" t="n">
        <x:v>15</x:v>
      </x:c>
      <x:c r="K1700" t="str">
        <x:v>16-W.Reichard extra point is GOOD, Center-42-A.DePaola, Holder-17-R.Wright.</x:v>
      </x:c>
      <x:c r="L1700" t="str">
        <x:v>extra_point</x:v>
      </x:c>
      <x:c r="M1700" t="n">
        <x:v>0</x:v>
      </x:c>
      <x:c r="N1700" t="n">
        <x:v>0</x:v>
      </x:c>
      <x:c r="O1700" t="n">
        <x:v>0</x:v>
      </x:c>
      <x:c r="P1700"/>
      <x:c r="Q1700"/>
      <x:c r="R1700"/>
      <x:c r="S1700"/>
      <x:c r="T1700"/>
      <x:c r="U1700"/>
      <x:c r="V1700" t="n">
        <x:v>0</x:v>
      </x:c>
      <x:c r="W1700" t="n">
        <x:v>0</x:v>
      </x:c>
      <x:c r="X1700" t="n">
        <x:v>0</x:v>
      </x:c>
      <x:c r="Y1700" t="n">
        <x:v>0</x:v>
      </x:c>
      <x:c r="Z1700" t="n">
        <x:v>0</x:v>
      </x:c>
      <x:c r="AA1700" t="n">
        <x:v>0</x:v>
      </x:c>
      <x:c r="AB1700"/>
      <x:c r="AC1700" t="n">
        <x:v>0</x:v>
      </x:c>
      <x:c r="AD1700" t="n">
        <x:v>0.05117156607063911</x:v>
      </x:c>
      <x:c r="AE1700" t="n">
        <x:v>1</x:v>
      </x:c>
      <x:c r="AF1700" t="n">
        <x:v>0.00669387722914816</x:v>
      </x:c>
      <x:c r="AG1700" t="n">
        <x:f>_xlfn.XLOOKUP($A1700,Games!$A$2:$A$18,Games!$B$2:$B$18,"Missing game",0)</x:f>
        <x:v>2025</x:v>
      </x:c>
      <x:c r="AH1700" t="str">
        <x:f>_xlfn.XLOOKUP($A1700,Games!$A$2:$A$18,Games!$C$2:$C$18,"Missing game",0)</x:f>
        <x:v>REG</x:v>
      </x:c>
      <x:c r="AI1700" t="n">
        <x:f>_xlfn.XLOOKUP($A1700,Games!$A$2:$A$18,Games!$D$2:$D$18,"Missing game",0)</x:f>
        <x:v>11</x:v>
      </x:c>
      <x:c r="AJ1700" s="1" t="n">
        <x:f>_xlfn.XLOOKUP($A1700,Games!$A$2:$A$18,Games!$E$2:$E$18,"Missing game",0)</x:f>
        <x:v>45977</x:v>
      </x:c>
      <x:c r="AK1700" t="str">
        <x:f>_xlfn.XLOOKUP($A1700,Games!$A$2:$A$18,Games!$F$2:$F$18,"Missing game",0)</x:f>
        <x:v>Sunday</x:v>
      </x:c>
      <x:c r="AL1700" t="str">
        <x:f>_xlfn.XLOOKUP($A1700,Games!$A$2:$A$18,Games!$G$2:$G$18,"Missing game",0)</x:f>
        <x:v>CHI</x:v>
      </x:c>
      <x:c r="AM1700" t="n">
        <x:f>_xlfn.XLOOKUP($A1700,Games!$A$2:$A$18,Games!$H$2:$H$18,"Missing game",0)</x:f>
        <x:v>19</x:v>
      </x:c>
      <x:c r="AN1700" t="str">
        <x:f>_xlfn.XLOOKUP($A1700,Games!$A$2:$A$18,Games!$I$2:$I$18,"Missing game",0)</x:f>
        <x:v>MIN</x:v>
      </x:c>
      <x:c r="AO1700" t="n">
        <x:f>_xlfn.XLOOKUP($A1700,Games!$A$2:$A$18,Games!$J$2:$J$18,"Missing game",0)</x:f>
        <x:v>17</x:v>
      </x:c>
      <x:c r="AP1700" t="n">
        <x:f>_xlfn.XLOOKUP($A1700,Games!$A$2:$A$18,Games!$K$2:$K$18,"Missing game",0)</x:f>
        <x:v>-2</x:v>
      </x:c>
      <x:c r="AQ1700" t="n">
        <x:f>_xlfn.XLOOKUP($A1700,Games!$A$2:$A$18,Games!$L$2:$L$18,"Missing game",0)</x:f>
        <x:v>36</x:v>
      </x:c>
      <x:c r="AR1700" t="n">
        <x:f>_xlfn.XLOOKUP($A1700,Games!$A$2:$A$18,Games!$M$2:$M$18,"Missing game",0)</x:f>
        <x:v>0</x:v>
      </x:c>
      <x:c r="AS1700" t="str">
        <x:f>_xlfn.XLOOKUP($A1700,Games!$A$2:$A$18,Games!$N$2:$N$18,"Missing game",0)</x:f>
        <x:v>dome</x:v>
      </x:c>
      <x:c r="AT1700" t="str">
        <x:f>_xlfn.XLOOKUP($A1700,Games!$A$2:$A$18,Games!$O$2:$O$18,"Missing game",0)</x:f>
        <x:v>sportturf</x:v>
      </x:c>
      <x:c r="AU1700" t="str">
        <x:f>_xlfn.XLOOKUP($A1700,Games!$A$2:$A$18,Games!$P$2:$P$18,"Missing game",0)</x:f>
      </x:c>
      <x:c r="AV1700" t="str">
        <x:f>_xlfn.XLOOKUP($A1700,Games!$A$2:$A$18,Games!$Q$2:$Q$18,"Missing game",0)</x:f>
      </x:c>
      <x:c r="AW1700" t="str">
        <x:f>_xlfn.XLOOKUP($A1700,Games!$A$2:$A$18,Games!$R$2:$R$18,"Missing game",0)</x:f>
        <x:v>U.S. Bank Stadium</x:v>
      </x:c>
    </x:row>
    <x:row r="1701">
      <x:c r="A1701" t="str">
        <x:v>2025_11_CHI_MIN</x:v>
      </x:c>
      <x:c r="B1701" t="n">
        <x:v>4110</x:v>
      </x:c>
      <x:c r="C1701" t="n">
        <x:v>4</x:v>
      </x:c>
      <x:c r="D1701" t="str">
        <x:v>00:50</x:v>
      </x:c>
      <x:c r="E1701"/>
      <x:c r="F1701" t="n">
        <x:v>0</x:v>
      </x:c>
      <x:c r="G1701" t="str">
        <x:v>CHI</x:v>
      </x:c>
      <x:c r="H1701" t="str">
        <x:v>MIN</x:v>
      </x:c>
      <x:c r="I1701" t="str">
        <x:v>MIN</x:v>
      </x:c>
      <x:c r="J1701" t="n">
        <x:v>35</x:v>
      </x:c>
      <x:c r="K1701" t="str">
        <x:v>16-W.Reichard kicks 61 yards from MIN 35 to CHI 4. 12-D.Duvernay pushed ob at MIN 40 for 56 yards (55-E.Wilson).</x:v>
      </x:c>
      <x:c r="L1701" t="str">
        <x:v>kickoff</x:v>
      </x:c>
      <x:c r="M1701" t="n">
        <x:v>0</x:v>
      </x:c>
      <x:c r="N1701" t="n">
        <x:v>0</x:v>
      </x:c>
      <x:c r="O1701" t="n">
        <x:v>0</x:v>
      </x:c>
      <x:c r="P1701"/>
      <x:c r="Q1701"/>
      <x:c r="R1701"/>
      <x:c r="S1701"/>
      <x:c r="T1701"/>
      <x:c r="U1701"/>
      <x:c r="V1701" t="n">
        <x:v>0</x:v>
      </x:c>
      <x:c r="W1701" t="n">
        <x:v>0</x:v>
      </x:c>
      <x:c r="X1701" t="n">
        <x:v>0</x:v>
      </x:c>
      <x:c r="Y1701" t="n">
        <x:v>0</x:v>
      </x:c>
      <x:c r="Z1701" t="n">
        <x:v>0</x:v>
      </x:c>
      <x:c r="AA1701" t="n">
        <x:v>0</x:v>
      </x:c>
      <x:c r="AB1701"/>
      <x:c r="AC1701" t="n">
        <x:v>0</x:v>
      </x:c>
      <x:c r="AD1701" t="n">
        <x:v>1.9560011068824679</x:v>
      </x:c>
      <x:c r="AE1701" t="n">
        <x:v>1</x:v>
      </x:c>
      <x:c r="AF1701" t="n">
        <x:v>0.17342308163642883</x:v>
      </x:c>
      <x:c r="AG1701" t="n">
        <x:f>_xlfn.XLOOKUP($A1701,Games!$A$2:$A$18,Games!$B$2:$B$18,"Missing game",0)</x:f>
        <x:v>2025</x:v>
      </x:c>
      <x:c r="AH1701" t="str">
        <x:f>_xlfn.XLOOKUP($A1701,Games!$A$2:$A$18,Games!$C$2:$C$18,"Missing game",0)</x:f>
        <x:v>REG</x:v>
      </x:c>
      <x:c r="AI1701" t="n">
        <x:f>_xlfn.XLOOKUP($A1701,Games!$A$2:$A$18,Games!$D$2:$D$18,"Missing game",0)</x:f>
        <x:v>11</x:v>
      </x:c>
      <x:c r="AJ1701" s="1" t="n">
        <x:f>_xlfn.XLOOKUP($A1701,Games!$A$2:$A$18,Games!$E$2:$E$18,"Missing game",0)</x:f>
        <x:v>45977</x:v>
      </x:c>
      <x:c r="AK1701" t="str">
        <x:f>_xlfn.XLOOKUP($A1701,Games!$A$2:$A$18,Games!$F$2:$F$18,"Missing game",0)</x:f>
        <x:v>Sunday</x:v>
      </x:c>
      <x:c r="AL1701" t="str">
        <x:f>_xlfn.XLOOKUP($A1701,Games!$A$2:$A$18,Games!$G$2:$G$18,"Missing game",0)</x:f>
        <x:v>CHI</x:v>
      </x:c>
      <x:c r="AM1701" t="n">
        <x:f>_xlfn.XLOOKUP($A1701,Games!$A$2:$A$18,Games!$H$2:$H$18,"Missing game",0)</x:f>
        <x:v>19</x:v>
      </x:c>
      <x:c r="AN1701" t="str">
        <x:f>_xlfn.XLOOKUP($A1701,Games!$A$2:$A$18,Games!$I$2:$I$18,"Missing game",0)</x:f>
        <x:v>MIN</x:v>
      </x:c>
      <x:c r="AO1701" t="n">
        <x:f>_xlfn.XLOOKUP($A1701,Games!$A$2:$A$18,Games!$J$2:$J$18,"Missing game",0)</x:f>
        <x:v>17</x:v>
      </x:c>
      <x:c r="AP1701" t="n">
        <x:f>_xlfn.XLOOKUP($A1701,Games!$A$2:$A$18,Games!$K$2:$K$18,"Missing game",0)</x:f>
        <x:v>-2</x:v>
      </x:c>
      <x:c r="AQ1701" t="n">
        <x:f>_xlfn.XLOOKUP($A1701,Games!$A$2:$A$18,Games!$L$2:$L$18,"Missing game",0)</x:f>
        <x:v>36</x:v>
      </x:c>
      <x:c r="AR1701" t="n">
        <x:f>_xlfn.XLOOKUP($A1701,Games!$A$2:$A$18,Games!$M$2:$M$18,"Missing game",0)</x:f>
        <x:v>0</x:v>
      </x:c>
      <x:c r="AS1701" t="str">
        <x:f>_xlfn.XLOOKUP($A1701,Games!$A$2:$A$18,Games!$N$2:$N$18,"Missing game",0)</x:f>
        <x:v>dome</x:v>
      </x:c>
      <x:c r="AT1701" t="str">
        <x:f>_xlfn.XLOOKUP($A1701,Games!$A$2:$A$18,Games!$O$2:$O$18,"Missing game",0)</x:f>
        <x:v>sportturf</x:v>
      </x:c>
      <x:c r="AU1701" t="str">
        <x:f>_xlfn.XLOOKUP($A1701,Games!$A$2:$A$18,Games!$P$2:$P$18,"Missing game",0)</x:f>
      </x:c>
      <x:c r="AV1701" t="str">
        <x:f>_xlfn.XLOOKUP($A1701,Games!$A$2:$A$18,Games!$Q$2:$Q$18,"Missing game",0)</x:f>
      </x:c>
      <x:c r="AW1701" t="str">
        <x:f>_xlfn.XLOOKUP($A1701,Games!$A$2:$A$18,Games!$R$2:$R$18,"Missing game",0)</x:f>
        <x:v>U.S. Bank Stadium</x:v>
      </x:c>
    </x:row>
    <x:row r="1702">
      <x:c r="A1702" t="str">
        <x:v>2025_11_CHI_MIN</x:v>
      </x:c>
      <x:c r="B1702" t="n">
        <x:v>4143</x:v>
      </x:c>
      <x:c r="C1702" t="n">
        <x:v>4</x:v>
      </x:c>
      <x:c r="D1702" t="str">
        <x:v>00:42</x:v>
      </x:c>
      <x:c r="E1702" t="n">
        <x:v>1</x:v>
      </x:c>
      <x:c r="F1702" t="n">
        <x:v>10</x:v>
      </x:c>
      <x:c r="G1702" t="str">
        <x:v>CHI</x:v>
      </x:c>
      <x:c r="H1702" t="str">
        <x:v>MIN</x:v>
      </x:c>
      <x:c r="I1702" t="str">
        <x:v>MIN</x:v>
      </x:c>
      <x:c r="J1702" t="n">
        <x:v>40</x:v>
      </x:c>
      <x:c r="K1702" t="str">
        <x:v>(:42) 4-D.Swift left tackle to MIN 36 for 4 yards (90-T.Ingram-Dawkins). ** Injury Update: MIN-44-J.Metellus has returned to the game.</x:v>
      </x:c>
      <x:c r="L1702" t="str">
        <x:v>run</x:v>
      </x:c>
      <x:c r="M1702" t="n">
        <x:v>4</x:v>
      </x:c>
      <x:c r="N1702" t="n">
        <x:v>0</x:v>
      </x:c>
      <x:c r="O1702" t="n">
        <x:v>0</x:v>
      </x:c>
      <x:c r="P1702"/>
      <x:c r="Q1702"/>
      <x:c r="R1702"/>
      <x:c r="S1702"/>
      <x:c r="T1702" t="str">
        <x:v>left</x:v>
      </x:c>
      <x:c r="U1702" t="str">
        <x:v>tackle</x:v>
      </x:c>
      <x:c r="V1702" t="n">
        <x:v>0</x:v>
      </x:c>
      <x:c r="W1702" t="n">
        <x:v>0</x:v>
      </x:c>
      <x:c r="X1702" t="n">
        <x:v>0</x:v>
      </x:c>
      <x:c r="Y1702" t="n">
        <x:v>0</x:v>
      </x:c>
      <x:c r="Z1702" t="n">
        <x:v>0</x:v>
      </x:c>
      <x:c r="AA1702" t="n">
        <x:v>0</x:v>
      </x:c>
      <x:c r="AB1702"/>
      <x:c r="AC1702" t="n">
        <x:v>0</x:v>
      </x:c>
      <x:c r="AD1702" t="n">
        <x:v>-0.2086282634991221</x:v>
      </x:c>
      <x:c r="AE1702" t="n">
        <x:v>0</x:v>
      </x:c>
      <x:c r="AF1702" t="n">
        <x:v>0.008545160293579102</x:v>
      </x:c>
      <x:c r="AG1702" t="n">
        <x:f>_xlfn.XLOOKUP($A1702,Games!$A$2:$A$18,Games!$B$2:$B$18,"Missing game",0)</x:f>
        <x:v>2025</x:v>
      </x:c>
      <x:c r="AH1702" t="str">
        <x:f>_xlfn.XLOOKUP($A1702,Games!$A$2:$A$18,Games!$C$2:$C$18,"Missing game",0)</x:f>
        <x:v>REG</x:v>
      </x:c>
      <x:c r="AI1702" t="n">
        <x:f>_xlfn.XLOOKUP($A1702,Games!$A$2:$A$18,Games!$D$2:$D$18,"Missing game",0)</x:f>
        <x:v>11</x:v>
      </x:c>
      <x:c r="AJ1702" s="1" t="n">
        <x:f>_xlfn.XLOOKUP($A1702,Games!$A$2:$A$18,Games!$E$2:$E$18,"Missing game",0)</x:f>
        <x:v>45977</x:v>
      </x:c>
      <x:c r="AK1702" t="str">
        <x:f>_xlfn.XLOOKUP($A1702,Games!$A$2:$A$18,Games!$F$2:$F$18,"Missing game",0)</x:f>
        <x:v>Sunday</x:v>
      </x:c>
      <x:c r="AL1702" t="str">
        <x:f>_xlfn.XLOOKUP($A1702,Games!$A$2:$A$18,Games!$G$2:$G$18,"Missing game",0)</x:f>
        <x:v>CHI</x:v>
      </x:c>
      <x:c r="AM1702" t="n">
        <x:f>_xlfn.XLOOKUP($A1702,Games!$A$2:$A$18,Games!$H$2:$H$18,"Missing game",0)</x:f>
        <x:v>19</x:v>
      </x:c>
      <x:c r="AN1702" t="str">
        <x:f>_xlfn.XLOOKUP($A1702,Games!$A$2:$A$18,Games!$I$2:$I$18,"Missing game",0)</x:f>
        <x:v>MIN</x:v>
      </x:c>
      <x:c r="AO1702" t="n">
        <x:f>_xlfn.XLOOKUP($A1702,Games!$A$2:$A$18,Games!$J$2:$J$18,"Missing game",0)</x:f>
        <x:v>17</x:v>
      </x:c>
      <x:c r="AP1702" t="n">
        <x:f>_xlfn.XLOOKUP($A1702,Games!$A$2:$A$18,Games!$K$2:$K$18,"Missing game",0)</x:f>
        <x:v>-2</x:v>
      </x:c>
      <x:c r="AQ1702" t="n">
        <x:f>_xlfn.XLOOKUP($A1702,Games!$A$2:$A$18,Games!$L$2:$L$18,"Missing game",0)</x:f>
        <x:v>36</x:v>
      </x:c>
      <x:c r="AR1702" t="n">
        <x:f>_xlfn.XLOOKUP($A1702,Games!$A$2:$A$18,Games!$M$2:$M$18,"Missing game",0)</x:f>
        <x:v>0</x:v>
      </x:c>
      <x:c r="AS1702" t="str">
        <x:f>_xlfn.XLOOKUP($A1702,Games!$A$2:$A$18,Games!$N$2:$N$18,"Missing game",0)</x:f>
        <x:v>dome</x:v>
      </x:c>
      <x:c r="AT1702" t="str">
        <x:f>_xlfn.XLOOKUP($A1702,Games!$A$2:$A$18,Games!$O$2:$O$18,"Missing game",0)</x:f>
        <x:v>sportturf</x:v>
      </x:c>
      <x:c r="AU1702" t="str">
        <x:f>_xlfn.XLOOKUP($A1702,Games!$A$2:$A$18,Games!$P$2:$P$18,"Missing game",0)</x:f>
      </x:c>
      <x:c r="AV1702" t="str">
        <x:f>_xlfn.XLOOKUP($A1702,Games!$A$2:$A$18,Games!$Q$2:$Q$18,"Missing game",0)</x:f>
      </x:c>
      <x:c r="AW1702" t="str">
        <x:f>_xlfn.XLOOKUP($A1702,Games!$A$2:$A$18,Games!$R$2:$R$18,"Missing game",0)</x:f>
        <x:v>U.S. Bank Stadium</x:v>
      </x:c>
    </x:row>
    <x:row r="1703">
      <x:c r="A1703" t="str">
        <x:v>2025_11_CHI_MIN</x:v>
      </x:c>
      <x:c r="B1703" t="n">
        <x:v>4165</x:v>
      </x:c>
      <x:c r="C1703" t="n">
        <x:v>4</x:v>
      </x:c>
      <x:c r="D1703" t="str">
        <x:v>00:37</x:v>
      </x:c>
      <x:c r="E1703" t="n">
        <x:v>2</x:v>
      </x:c>
      <x:c r="F1703" t="n">
        <x:v>6</x:v>
      </x:c>
      <x:c r="G1703" t="str">
        <x:v>CHI</x:v>
      </x:c>
      <x:c r="H1703" t="str">
        <x:v>MIN</x:v>
      </x:c>
      <x:c r="I1703" t="str">
        <x:v>MIN</x:v>
      </x:c>
      <x:c r="J1703" t="n">
        <x:v>36</x:v>
      </x:c>
      <x:c r="K1703" t="str">
        <x:v>(:37) 75-O.Trapilo reported in as eligible. 4-D.Swift right guard to MIN 38 for -2 yards (90-T.Ingram-Dawkins).</x:v>
      </x:c>
      <x:c r="L1703" t="str">
        <x:v>run</x:v>
      </x:c>
      <x:c r="M1703" t="n">
        <x:v>-2</x:v>
      </x:c>
      <x:c r="N1703" t="n">
        <x:v>0</x:v>
      </x:c>
      <x:c r="O1703" t="n">
        <x:v>0</x:v>
      </x:c>
      <x:c r="P1703"/>
      <x:c r="Q1703"/>
      <x:c r="R1703"/>
      <x:c r="S1703"/>
      <x:c r="T1703" t="str">
        <x:v>right</x:v>
      </x:c>
      <x:c r="U1703" t="str">
        <x:v>guard</x:v>
      </x:c>
      <x:c r="V1703" t="n">
        <x:v>0</x:v>
      </x:c>
      <x:c r="W1703" t="n">
        <x:v>0</x:v>
      </x:c>
      <x:c r="X1703" t="n">
        <x:v>0</x:v>
      </x:c>
      <x:c r="Y1703" t="n">
        <x:v>0</x:v>
      </x:c>
      <x:c r="Z1703" t="n">
        <x:v>0</x:v>
      </x:c>
      <x:c r="AA1703" t="n">
        <x:v>0</x:v>
      </x:c>
      <x:c r="AB1703"/>
      <x:c r="AC1703" t="n">
        <x:v>0</x:v>
      </x:c>
      <x:c r="AD1703" t="n">
        <x:v>-1.4336079327622429</x:v>
      </x:c>
      <x:c r="AE1703" t="n">
        <x:v>0</x:v>
      </x:c>
      <x:c r="AF1703" t="n">
        <x:v>-0.09731197357177734</x:v>
      </x:c>
      <x:c r="AG1703" t="n">
        <x:f>_xlfn.XLOOKUP($A1703,Games!$A$2:$A$18,Games!$B$2:$B$18,"Missing game",0)</x:f>
        <x:v>2025</x:v>
      </x:c>
      <x:c r="AH1703" t="str">
        <x:f>_xlfn.XLOOKUP($A1703,Games!$A$2:$A$18,Games!$C$2:$C$18,"Missing game",0)</x:f>
        <x:v>REG</x:v>
      </x:c>
      <x:c r="AI1703" t="n">
        <x:f>_xlfn.XLOOKUP($A1703,Games!$A$2:$A$18,Games!$D$2:$D$18,"Missing game",0)</x:f>
        <x:v>11</x:v>
      </x:c>
      <x:c r="AJ1703" s="1" t="n">
        <x:f>_xlfn.XLOOKUP($A1703,Games!$A$2:$A$18,Games!$E$2:$E$18,"Missing game",0)</x:f>
        <x:v>45977</x:v>
      </x:c>
      <x:c r="AK1703" t="str">
        <x:f>_xlfn.XLOOKUP($A1703,Games!$A$2:$A$18,Games!$F$2:$F$18,"Missing game",0)</x:f>
        <x:v>Sunday</x:v>
      </x:c>
      <x:c r="AL1703" t="str">
        <x:f>_xlfn.XLOOKUP($A1703,Games!$A$2:$A$18,Games!$G$2:$G$18,"Missing game",0)</x:f>
        <x:v>CHI</x:v>
      </x:c>
      <x:c r="AM1703" t="n">
        <x:f>_xlfn.XLOOKUP($A1703,Games!$A$2:$A$18,Games!$H$2:$H$18,"Missing game",0)</x:f>
        <x:v>19</x:v>
      </x:c>
      <x:c r="AN1703" t="str">
        <x:f>_xlfn.XLOOKUP($A1703,Games!$A$2:$A$18,Games!$I$2:$I$18,"Missing game",0)</x:f>
        <x:v>MIN</x:v>
      </x:c>
      <x:c r="AO1703" t="n">
        <x:f>_xlfn.XLOOKUP($A1703,Games!$A$2:$A$18,Games!$J$2:$J$18,"Missing game",0)</x:f>
        <x:v>17</x:v>
      </x:c>
      <x:c r="AP1703" t="n">
        <x:f>_xlfn.XLOOKUP($A1703,Games!$A$2:$A$18,Games!$K$2:$K$18,"Missing game",0)</x:f>
        <x:v>-2</x:v>
      </x:c>
      <x:c r="AQ1703" t="n">
        <x:f>_xlfn.XLOOKUP($A1703,Games!$A$2:$A$18,Games!$L$2:$L$18,"Missing game",0)</x:f>
        <x:v>36</x:v>
      </x:c>
      <x:c r="AR1703" t="n">
        <x:f>_xlfn.XLOOKUP($A1703,Games!$A$2:$A$18,Games!$M$2:$M$18,"Missing game",0)</x:f>
        <x:v>0</x:v>
      </x:c>
      <x:c r="AS1703" t="str">
        <x:f>_xlfn.XLOOKUP($A1703,Games!$A$2:$A$18,Games!$N$2:$N$18,"Missing game",0)</x:f>
        <x:v>dome</x:v>
      </x:c>
      <x:c r="AT1703" t="str">
        <x:f>_xlfn.XLOOKUP($A1703,Games!$A$2:$A$18,Games!$O$2:$O$18,"Missing game",0)</x:f>
        <x:v>sportturf</x:v>
      </x:c>
      <x:c r="AU1703" t="str">
        <x:f>_xlfn.XLOOKUP($A1703,Games!$A$2:$A$18,Games!$P$2:$P$18,"Missing game",0)</x:f>
      </x:c>
      <x:c r="AV1703" t="str">
        <x:f>_xlfn.XLOOKUP($A1703,Games!$A$2:$A$18,Games!$Q$2:$Q$18,"Missing game",0)</x:f>
      </x:c>
      <x:c r="AW1703" t="str">
        <x:f>_xlfn.XLOOKUP($A1703,Games!$A$2:$A$18,Games!$R$2:$R$18,"Missing game",0)</x:f>
        <x:v>U.S. Bank Stadium</x:v>
      </x:c>
    </x:row>
    <x:row r="1704">
      <x:c r="A1704" t="str">
        <x:v>2025_11_CHI_MIN</x:v>
      </x:c>
      <x:c r="B1704" t="n">
        <x:v>4177</x:v>
      </x:c>
      <x:c r="C1704" t="n">
        <x:v>4</x:v>
      </x:c>
      <x:c r="D1704" t="str">
        <x:v>00:37</x:v>
      </x:c>
      <x:c r="E1704"/>
      <x:c r="F1704" t="n">
        <x:v>0</x:v>
      </x:c>
      <x:c r="G1704"/>
      <x:c r="H1704"/>
      <x:c r="I1704"/>
      <x:c r="J1704"/>
      <x:c r="K1704" t="str">
        <x:v>Timeout #2 by MIN at 00:37.</x:v>
      </x:c>
      <x:c r="L1704" t="str">
        <x:v>no_play</x:v>
      </x:c>
      <x:c r="M1704" t="n">
        <x:v>0</x:v>
      </x:c>
      <x:c r="N1704" t="n">
        <x:v>0</x:v>
      </x:c>
      <x:c r="O1704" t="n">
        <x:v>0</x:v>
      </x:c>
      <x:c r="P1704"/>
      <x:c r="Q1704"/>
      <x:c r="R1704"/>
      <x:c r="S1704"/>
      <x:c r="T1704"/>
      <x:c r="U1704"/>
      <x:c r="V1704" t="n">
        <x:v>0</x:v>
      </x:c>
      <x:c r="W1704" t="n">
        <x:v>0</x:v>
      </x:c>
      <x:c r="X1704" t="n">
        <x:v>0</x:v>
      </x:c>
      <x:c r="Y1704" t="n">
        <x:v>0</x:v>
      </x:c>
      <x:c r="Z1704" t="n">
        <x:v>0</x:v>
      </x:c>
      <x:c r="AA1704" t="n">
        <x:v>0</x:v>
      </x:c>
      <x:c r="AB1704"/>
      <x:c r="AC1704" t="n">
        <x:v>0</x:v>
      </x:c>
      <x:c r="AD1704" t="n">
        <x:v>0</x:v>
      </x:c>
      <x:c r="AE1704" t="n">
        <x:v>0</x:v>
      </x:c>
      <x:c r="AF1704" t="n">
        <x:v>0</x:v>
      </x:c>
      <x:c r="AG1704" t="n">
        <x:f>_xlfn.XLOOKUP($A1704,Games!$A$2:$A$18,Games!$B$2:$B$18,"Missing game",0)</x:f>
        <x:v>2025</x:v>
      </x:c>
      <x:c r="AH1704" t="str">
        <x:f>_xlfn.XLOOKUP($A1704,Games!$A$2:$A$18,Games!$C$2:$C$18,"Missing game",0)</x:f>
        <x:v>REG</x:v>
      </x:c>
      <x:c r="AI1704" t="n">
        <x:f>_xlfn.XLOOKUP($A1704,Games!$A$2:$A$18,Games!$D$2:$D$18,"Missing game",0)</x:f>
        <x:v>11</x:v>
      </x:c>
      <x:c r="AJ1704" s="1" t="n">
        <x:f>_xlfn.XLOOKUP($A1704,Games!$A$2:$A$18,Games!$E$2:$E$18,"Missing game",0)</x:f>
        <x:v>45977</x:v>
      </x:c>
      <x:c r="AK1704" t="str">
        <x:f>_xlfn.XLOOKUP($A1704,Games!$A$2:$A$18,Games!$F$2:$F$18,"Missing game",0)</x:f>
        <x:v>Sunday</x:v>
      </x:c>
      <x:c r="AL1704" t="str">
        <x:f>_xlfn.XLOOKUP($A1704,Games!$A$2:$A$18,Games!$G$2:$G$18,"Missing game",0)</x:f>
        <x:v>CHI</x:v>
      </x:c>
      <x:c r="AM1704" t="n">
        <x:f>_xlfn.XLOOKUP($A1704,Games!$A$2:$A$18,Games!$H$2:$H$18,"Missing game",0)</x:f>
        <x:v>19</x:v>
      </x:c>
      <x:c r="AN1704" t="str">
        <x:f>_xlfn.XLOOKUP($A1704,Games!$A$2:$A$18,Games!$I$2:$I$18,"Missing game",0)</x:f>
        <x:v>MIN</x:v>
      </x:c>
      <x:c r="AO1704" t="n">
        <x:f>_xlfn.XLOOKUP($A1704,Games!$A$2:$A$18,Games!$J$2:$J$18,"Missing game",0)</x:f>
        <x:v>17</x:v>
      </x:c>
      <x:c r="AP1704" t="n">
        <x:f>_xlfn.XLOOKUP($A1704,Games!$A$2:$A$18,Games!$K$2:$K$18,"Missing game",0)</x:f>
        <x:v>-2</x:v>
      </x:c>
      <x:c r="AQ1704" t="n">
        <x:f>_xlfn.XLOOKUP($A1704,Games!$A$2:$A$18,Games!$L$2:$L$18,"Missing game",0)</x:f>
        <x:v>36</x:v>
      </x:c>
      <x:c r="AR1704" t="n">
        <x:f>_xlfn.XLOOKUP($A1704,Games!$A$2:$A$18,Games!$M$2:$M$18,"Missing game",0)</x:f>
        <x:v>0</x:v>
      </x:c>
      <x:c r="AS1704" t="str">
        <x:f>_xlfn.XLOOKUP($A1704,Games!$A$2:$A$18,Games!$N$2:$N$18,"Missing game",0)</x:f>
        <x:v>dome</x:v>
      </x:c>
      <x:c r="AT1704" t="str">
        <x:f>_xlfn.XLOOKUP($A1704,Games!$A$2:$A$18,Games!$O$2:$O$18,"Missing game",0)</x:f>
        <x:v>sportturf</x:v>
      </x:c>
      <x:c r="AU1704" t="str">
        <x:f>_xlfn.XLOOKUP($A1704,Games!$A$2:$A$18,Games!$P$2:$P$18,"Missing game",0)</x:f>
      </x:c>
      <x:c r="AV1704" t="str">
        <x:f>_xlfn.XLOOKUP($A1704,Games!$A$2:$A$18,Games!$Q$2:$Q$18,"Missing game",0)</x:f>
      </x:c>
      <x:c r="AW1704" t="str">
        <x:f>_xlfn.XLOOKUP($A1704,Games!$A$2:$A$18,Games!$R$2:$R$18,"Missing game",0)</x:f>
        <x:v>U.S. Bank Stadium</x:v>
      </x:c>
    </x:row>
    <x:row r="1705">
      <x:c r="A1705" t="str">
        <x:v>2025_11_CHI_MIN</x:v>
      </x:c>
      <x:c r="B1705" t="n">
        <x:v>4199</x:v>
      </x:c>
      <x:c r="C1705" t="n">
        <x:v>4</x:v>
      </x:c>
      <x:c r="D1705" t="str">
        <x:v>00:33</x:v>
      </x:c>
      <x:c r="E1705" t="n">
        <x:v>3</x:v>
      </x:c>
      <x:c r="F1705" t="n">
        <x:v>8</x:v>
      </x:c>
      <x:c r="G1705" t="str">
        <x:v>CHI</x:v>
      </x:c>
      <x:c r="H1705" t="str">
        <x:v>MIN</x:v>
      </x:c>
      <x:c r="I1705" t="str">
        <x:v>MIN</x:v>
      </x:c>
      <x:c r="J1705" t="n">
        <x:v>38</x:v>
      </x:c>
      <x:c r="K1705" t="str">
        <x:v>(:33) 4-D.Swift right tackle to MIN 31 for 7 yards (44-J.Metellus).</x:v>
      </x:c>
      <x:c r="L1705" t="str">
        <x:v>run</x:v>
      </x:c>
      <x:c r="M1705" t="n">
        <x:v>7</x:v>
      </x:c>
      <x:c r="N1705" t="n">
        <x:v>0</x:v>
      </x:c>
      <x:c r="O1705" t="n">
        <x:v>0</x:v>
      </x:c>
      <x:c r="P1705"/>
      <x:c r="Q1705"/>
      <x:c r="R1705"/>
      <x:c r="S1705"/>
      <x:c r="T1705" t="str">
        <x:v>right</x:v>
      </x:c>
      <x:c r="U1705" t="str">
        <x:v>tackle</x:v>
      </x:c>
      <x:c r="V1705" t="n">
        <x:v>0</x:v>
      </x:c>
      <x:c r="W1705" t="n">
        <x:v>0</x:v>
      </x:c>
      <x:c r="X1705" t="n">
        <x:v>0</x:v>
      </x:c>
      <x:c r="Y1705" t="n">
        <x:v>0</x:v>
      </x:c>
      <x:c r="Z1705" t="n">
        <x:v>0</x:v>
      </x:c>
      <x:c r="AA1705" t="n">
        <x:v>0</x:v>
      </x:c>
      <x:c r="AB1705"/>
      <x:c r="AC1705" t="n">
        <x:v>0</x:v>
      </x:c>
      <x:c r="AD1705" t="n">
        <x:v>0.9874907937200561</x:v>
      </x:c>
      <x:c r="AE1705" t="n">
        <x:v>1</x:v>
      </x:c>
      <x:c r="AF1705" t="n">
        <x:v>0.051934897899627686</x:v>
      </x:c>
      <x:c r="AG1705" t="n">
        <x:f>_xlfn.XLOOKUP($A1705,Games!$A$2:$A$18,Games!$B$2:$B$18,"Missing game",0)</x:f>
        <x:v>2025</x:v>
      </x:c>
      <x:c r="AH1705" t="str">
        <x:f>_xlfn.XLOOKUP($A1705,Games!$A$2:$A$18,Games!$C$2:$C$18,"Missing game",0)</x:f>
        <x:v>REG</x:v>
      </x:c>
      <x:c r="AI1705" t="n">
        <x:f>_xlfn.XLOOKUP($A1705,Games!$A$2:$A$18,Games!$D$2:$D$18,"Missing game",0)</x:f>
        <x:v>11</x:v>
      </x:c>
      <x:c r="AJ1705" s="1" t="n">
        <x:f>_xlfn.XLOOKUP($A1705,Games!$A$2:$A$18,Games!$E$2:$E$18,"Missing game",0)</x:f>
        <x:v>45977</x:v>
      </x:c>
      <x:c r="AK1705" t="str">
        <x:f>_xlfn.XLOOKUP($A1705,Games!$A$2:$A$18,Games!$F$2:$F$18,"Missing game",0)</x:f>
        <x:v>Sunday</x:v>
      </x:c>
      <x:c r="AL1705" t="str">
        <x:f>_xlfn.XLOOKUP($A1705,Games!$A$2:$A$18,Games!$G$2:$G$18,"Missing game",0)</x:f>
        <x:v>CHI</x:v>
      </x:c>
      <x:c r="AM1705" t="n">
        <x:f>_xlfn.XLOOKUP($A1705,Games!$A$2:$A$18,Games!$H$2:$H$18,"Missing game",0)</x:f>
        <x:v>19</x:v>
      </x:c>
      <x:c r="AN1705" t="str">
        <x:f>_xlfn.XLOOKUP($A1705,Games!$A$2:$A$18,Games!$I$2:$I$18,"Missing game",0)</x:f>
        <x:v>MIN</x:v>
      </x:c>
      <x:c r="AO1705" t="n">
        <x:f>_xlfn.XLOOKUP($A1705,Games!$A$2:$A$18,Games!$J$2:$J$18,"Missing game",0)</x:f>
        <x:v>17</x:v>
      </x:c>
      <x:c r="AP1705" t="n">
        <x:f>_xlfn.XLOOKUP($A1705,Games!$A$2:$A$18,Games!$K$2:$K$18,"Missing game",0)</x:f>
        <x:v>-2</x:v>
      </x:c>
      <x:c r="AQ1705" t="n">
        <x:f>_xlfn.XLOOKUP($A1705,Games!$A$2:$A$18,Games!$L$2:$L$18,"Missing game",0)</x:f>
        <x:v>36</x:v>
      </x:c>
      <x:c r="AR1705" t="n">
        <x:f>_xlfn.XLOOKUP($A1705,Games!$A$2:$A$18,Games!$M$2:$M$18,"Missing game",0)</x:f>
        <x:v>0</x:v>
      </x:c>
      <x:c r="AS1705" t="str">
        <x:f>_xlfn.XLOOKUP($A1705,Games!$A$2:$A$18,Games!$N$2:$N$18,"Missing game",0)</x:f>
        <x:v>dome</x:v>
      </x:c>
      <x:c r="AT1705" t="str">
        <x:f>_xlfn.XLOOKUP($A1705,Games!$A$2:$A$18,Games!$O$2:$O$18,"Missing game",0)</x:f>
        <x:v>sportturf</x:v>
      </x:c>
      <x:c r="AU1705" t="str">
        <x:f>_xlfn.XLOOKUP($A1705,Games!$A$2:$A$18,Games!$P$2:$P$18,"Missing game",0)</x:f>
      </x:c>
      <x:c r="AV1705" t="str">
        <x:f>_xlfn.XLOOKUP($A1705,Games!$A$2:$A$18,Games!$Q$2:$Q$18,"Missing game",0)</x:f>
      </x:c>
      <x:c r="AW1705" t="str">
        <x:f>_xlfn.XLOOKUP($A1705,Games!$A$2:$A$18,Games!$R$2:$R$18,"Missing game",0)</x:f>
        <x:v>U.S. Bank Stadium</x:v>
      </x:c>
    </x:row>
    <x:row r="1706">
      <x:c r="A1706" t="str">
        <x:v>2025_11_CHI_MIN</x:v>
      </x:c>
      <x:c r="B1706" t="n">
        <x:v>4211</x:v>
      </x:c>
      <x:c r="C1706" t="n">
        <x:v>4</x:v>
      </x:c>
      <x:c r="D1706" t="str">
        <x:v>00:33</x:v>
      </x:c>
      <x:c r="E1706"/>
      <x:c r="F1706" t="n">
        <x:v>0</x:v>
      </x:c>
      <x:c r="G1706"/>
      <x:c r="H1706"/>
      <x:c r="I1706"/>
      <x:c r="J1706"/>
      <x:c r="K1706" t="str">
        <x:v>Timeout #3 by MIN at 00:33.</x:v>
      </x:c>
      <x:c r="L1706" t="str">
        <x:v>no_play</x:v>
      </x:c>
      <x:c r="M1706" t="n">
        <x:v>0</x:v>
      </x:c>
      <x:c r="N1706" t="n">
        <x:v>0</x:v>
      </x:c>
      <x:c r="O1706" t="n">
        <x:v>0</x:v>
      </x:c>
      <x:c r="P1706"/>
      <x:c r="Q1706"/>
      <x:c r="R1706"/>
      <x:c r="S1706"/>
      <x:c r="T1706"/>
      <x:c r="U1706"/>
      <x:c r="V1706" t="n">
        <x:v>0</x:v>
      </x:c>
      <x:c r="W1706" t="n">
        <x:v>0</x:v>
      </x:c>
      <x:c r="X1706" t="n">
        <x:v>0</x:v>
      </x:c>
      <x:c r="Y1706" t="n">
        <x:v>0</x:v>
      </x:c>
      <x:c r="Z1706" t="n">
        <x:v>0</x:v>
      </x:c>
      <x:c r="AA1706" t="n">
        <x:v>0</x:v>
      </x:c>
      <x:c r="AB1706"/>
      <x:c r="AC1706" t="n">
        <x:v>0</x:v>
      </x:c>
      <x:c r="AD1706" t="n">
        <x:v>0</x:v>
      </x:c>
      <x:c r="AE1706" t="n">
        <x:v>0</x:v>
      </x:c>
      <x:c r="AF1706" t="n">
        <x:v>0</x:v>
      </x:c>
      <x:c r="AG1706" t="n">
        <x:f>_xlfn.XLOOKUP($A1706,Games!$A$2:$A$18,Games!$B$2:$B$18,"Missing game",0)</x:f>
        <x:v>2025</x:v>
      </x:c>
      <x:c r="AH1706" t="str">
        <x:f>_xlfn.XLOOKUP($A1706,Games!$A$2:$A$18,Games!$C$2:$C$18,"Missing game",0)</x:f>
        <x:v>REG</x:v>
      </x:c>
      <x:c r="AI1706" t="n">
        <x:f>_xlfn.XLOOKUP($A1706,Games!$A$2:$A$18,Games!$D$2:$D$18,"Missing game",0)</x:f>
        <x:v>11</x:v>
      </x:c>
      <x:c r="AJ1706" s="1" t="n">
        <x:f>_xlfn.XLOOKUP($A1706,Games!$A$2:$A$18,Games!$E$2:$E$18,"Missing game",0)</x:f>
        <x:v>45977</x:v>
      </x:c>
      <x:c r="AK1706" t="str">
        <x:f>_xlfn.XLOOKUP($A1706,Games!$A$2:$A$18,Games!$F$2:$F$18,"Missing game",0)</x:f>
        <x:v>Sunday</x:v>
      </x:c>
      <x:c r="AL1706" t="str">
        <x:f>_xlfn.XLOOKUP($A1706,Games!$A$2:$A$18,Games!$G$2:$G$18,"Missing game",0)</x:f>
        <x:v>CHI</x:v>
      </x:c>
      <x:c r="AM1706" t="n">
        <x:f>_xlfn.XLOOKUP($A1706,Games!$A$2:$A$18,Games!$H$2:$H$18,"Missing game",0)</x:f>
        <x:v>19</x:v>
      </x:c>
      <x:c r="AN1706" t="str">
        <x:f>_xlfn.XLOOKUP($A1706,Games!$A$2:$A$18,Games!$I$2:$I$18,"Missing game",0)</x:f>
        <x:v>MIN</x:v>
      </x:c>
      <x:c r="AO1706" t="n">
        <x:f>_xlfn.XLOOKUP($A1706,Games!$A$2:$A$18,Games!$J$2:$J$18,"Missing game",0)</x:f>
        <x:v>17</x:v>
      </x:c>
      <x:c r="AP1706" t="n">
        <x:f>_xlfn.XLOOKUP($A1706,Games!$A$2:$A$18,Games!$K$2:$K$18,"Missing game",0)</x:f>
        <x:v>-2</x:v>
      </x:c>
      <x:c r="AQ1706" t="n">
        <x:f>_xlfn.XLOOKUP($A1706,Games!$A$2:$A$18,Games!$L$2:$L$18,"Missing game",0)</x:f>
        <x:v>36</x:v>
      </x:c>
      <x:c r="AR1706" t="n">
        <x:f>_xlfn.XLOOKUP($A1706,Games!$A$2:$A$18,Games!$M$2:$M$18,"Missing game",0)</x:f>
        <x:v>0</x:v>
      </x:c>
      <x:c r="AS1706" t="str">
        <x:f>_xlfn.XLOOKUP($A1706,Games!$A$2:$A$18,Games!$N$2:$N$18,"Missing game",0)</x:f>
        <x:v>dome</x:v>
      </x:c>
      <x:c r="AT1706" t="str">
        <x:f>_xlfn.XLOOKUP($A1706,Games!$A$2:$A$18,Games!$O$2:$O$18,"Missing game",0)</x:f>
        <x:v>sportturf</x:v>
      </x:c>
      <x:c r="AU1706" t="str">
        <x:f>_xlfn.XLOOKUP($A1706,Games!$A$2:$A$18,Games!$P$2:$P$18,"Missing game",0)</x:f>
      </x:c>
      <x:c r="AV1706" t="str">
        <x:f>_xlfn.XLOOKUP($A1706,Games!$A$2:$A$18,Games!$Q$2:$Q$18,"Missing game",0)</x:f>
      </x:c>
      <x:c r="AW1706" t="str">
        <x:f>_xlfn.XLOOKUP($A1706,Games!$A$2:$A$18,Games!$R$2:$R$18,"Missing game",0)</x:f>
        <x:v>U.S. Bank Stadium</x:v>
      </x:c>
    </x:row>
    <x:row r="1707">
      <x:c r="A1707" t="str">
        <x:v>2025_11_CHI_MIN</x:v>
      </x:c>
      <x:c r="B1707" t="n">
        <x:v>4228</x:v>
      </x:c>
      <x:c r="C1707" t="n">
        <x:v>4</x:v>
      </x:c>
      <x:c r="D1707" t="str">
        <x:v>00:04</x:v>
      </x:c>
      <x:c r="E1707" t="n">
        <x:v>4</x:v>
      </x:c>
      <x:c r="F1707" t="n">
        <x:v>1</x:v>
      </x:c>
      <x:c r="G1707" t="str">
        <x:v>CHI</x:v>
      </x:c>
      <x:c r="H1707" t="str">
        <x:v>MIN</x:v>
      </x:c>
      <x:c r="I1707" t="str">
        <x:v>MIN</x:v>
      </x:c>
      <x:c r="J1707" t="n">
        <x:v>31</x:v>
      </x:c>
      <x:c r="K1707" t="str">
        <x:v>(:04) 8-C.Santos 48 yard field goal is GOOD, Center-46-S.Daly, Holder-19-T.Taylor.</x:v>
      </x:c>
      <x:c r="L1707" t="str">
        <x:v>field_goal</x:v>
      </x:c>
      <x:c r="M1707" t="n">
        <x:v>0</x:v>
      </x:c>
      <x:c r="N1707" t="n">
        <x:v>0</x:v>
      </x:c>
      <x:c r="O1707" t="n">
        <x:v>0</x:v>
      </x:c>
      <x:c r="P1707"/>
      <x:c r="Q1707"/>
      <x:c r="R1707"/>
      <x:c r="S1707"/>
      <x:c r="T1707"/>
      <x:c r="U1707"/>
      <x:c r="V1707" t="n">
        <x:v>0</x:v>
      </x:c>
      <x:c r="W1707" t="n">
        <x:v>0</x:v>
      </x:c>
      <x:c r="X1707" t="n">
        <x:v>0</x:v>
      </x:c>
      <x:c r="Y1707" t="n">
        <x:v>0</x:v>
      </x:c>
      <x:c r="Z1707" t="n">
        <x:v>0</x:v>
      </x:c>
      <x:c r="AA1707" t="n">
        <x:v>0</x:v>
      </x:c>
      <x:c r="AB1707"/>
      <x:c r="AC1707" t="n">
        <x:v>0</x:v>
      </x:c>
      <x:c r="AD1707" t="n">
        <x:v>0.7932173628060326</x:v>
      </x:c>
      <x:c r="AE1707" t="n">
        <x:v>1</x:v>
      </x:c>
      <x:c r="AF1707" t="n">
        <x:v>0.43924450874328613</x:v>
      </x:c>
      <x:c r="AG1707" t="n">
        <x:f>_xlfn.XLOOKUP($A1707,Games!$A$2:$A$18,Games!$B$2:$B$18,"Missing game",0)</x:f>
        <x:v>2025</x:v>
      </x:c>
      <x:c r="AH1707" t="str">
        <x:f>_xlfn.XLOOKUP($A1707,Games!$A$2:$A$18,Games!$C$2:$C$18,"Missing game",0)</x:f>
        <x:v>REG</x:v>
      </x:c>
      <x:c r="AI1707" t="n">
        <x:f>_xlfn.XLOOKUP($A1707,Games!$A$2:$A$18,Games!$D$2:$D$18,"Missing game",0)</x:f>
        <x:v>11</x:v>
      </x:c>
      <x:c r="AJ1707" s="1" t="n">
        <x:f>_xlfn.XLOOKUP($A1707,Games!$A$2:$A$18,Games!$E$2:$E$18,"Missing game",0)</x:f>
        <x:v>45977</x:v>
      </x:c>
      <x:c r="AK1707" t="str">
        <x:f>_xlfn.XLOOKUP($A1707,Games!$A$2:$A$18,Games!$F$2:$F$18,"Missing game",0)</x:f>
        <x:v>Sunday</x:v>
      </x:c>
      <x:c r="AL1707" t="str">
        <x:f>_xlfn.XLOOKUP($A1707,Games!$A$2:$A$18,Games!$G$2:$G$18,"Missing game",0)</x:f>
        <x:v>CHI</x:v>
      </x:c>
      <x:c r="AM1707" t="n">
        <x:f>_xlfn.XLOOKUP($A1707,Games!$A$2:$A$18,Games!$H$2:$H$18,"Missing game",0)</x:f>
        <x:v>19</x:v>
      </x:c>
      <x:c r="AN1707" t="str">
        <x:f>_xlfn.XLOOKUP($A1707,Games!$A$2:$A$18,Games!$I$2:$I$18,"Missing game",0)</x:f>
        <x:v>MIN</x:v>
      </x:c>
      <x:c r="AO1707" t="n">
        <x:f>_xlfn.XLOOKUP($A1707,Games!$A$2:$A$18,Games!$J$2:$J$18,"Missing game",0)</x:f>
        <x:v>17</x:v>
      </x:c>
      <x:c r="AP1707" t="n">
        <x:f>_xlfn.XLOOKUP($A1707,Games!$A$2:$A$18,Games!$K$2:$K$18,"Missing game",0)</x:f>
        <x:v>-2</x:v>
      </x:c>
      <x:c r="AQ1707" t="n">
        <x:f>_xlfn.XLOOKUP($A1707,Games!$A$2:$A$18,Games!$L$2:$L$18,"Missing game",0)</x:f>
        <x:v>36</x:v>
      </x:c>
      <x:c r="AR1707" t="n">
        <x:f>_xlfn.XLOOKUP($A1707,Games!$A$2:$A$18,Games!$M$2:$M$18,"Missing game",0)</x:f>
        <x:v>0</x:v>
      </x:c>
      <x:c r="AS1707" t="str">
        <x:f>_xlfn.XLOOKUP($A1707,Games!$A$2:$A$18,Games!$N$2:$N$18,"Missing game",0)</x:f>
        <x:v>dome</x:v>
      </x:c>
      <x:c r="AT1707" t="str">
        <x:f>_xlfn.XLOOKUP($A1707,Games!$A$2:$A$18,Games!$O$2:$O$18,"Missing game",0)</x:f>
        <x:v>sportturf</x:v>
      </x:c>
      <x:c r="AU1707" t="str">
        <x:f>_xlfn.XLOOKUP($A1707,Games!$A$2:$A$18,Games!$P$2:$P$18,"Missing game",0)</x:f>
      </x:c>
      <x:c r="AV1707" t="str">
        <x:f>_xlfn.XLOOKUP($A1707,Games!$A$2:$A$18,Games!$Q$2:$Q$18,"Missing game",0)</x:f>
      </x:c>
      <x:c r="AW1707" t="str">
        <x:f>_xlfn.XLOOKUP($A1707,Games!$A$2:$A$18,Games!$R$2:$R$18,"Missing game",0)</x:f>
        <x:v>U.S. Bank Stadium</x:v>
      </x:c>
    </x:row>
    <x:row r="1708">
      <x:c r="A1708" t="str">
        <x:v>2025_11_CHI_MIN</x:v>
      </x:c>
      <x:c r="B1708" t="n">
        <x:v>4240</x:v>
      </x:c>
      <x:c r="C1708" t="n">
        <x:v>4</x:v>
      </x:c>
      <x:c r="D1708" t="str">
        <x:v>00:04</x:v>
      </x:c>
      <x:c r="E1708"/>
      <x:c r="F1708" t="n">
        <x:v>0</x:v>
      </x:c>
      <x:c r="G1708"/>
      <x:c r="H1708"/>
      <x:c r="I1708"/>
      <x:c r="J1708"/>
      <x:c r="K1708" t="str">
        <x:v>Timeout #1 by CHI at 00:04.</x:v>
      </x:c>
      <x:c r="L1708" t="str">
        <x:v>no_play</x:v>
      </x:c>
      <x:c r="M1708" t="n">
        <x:v>0</x:v>
      </x:c>
      <x:c r="N1708" t="n">
        <x:v>0</x:v>
      </x:c>
      <x:c r="O1708" t="n">
        <x:v>0</x:v>
      </x:c>
      <x:c r="P1708"/>
      <x:c r="Q1708"/>
      <x:c r="R1708"/>
      <x:c r="S1708"/>
      <x:c r="T1708"/>
      <x:c r="U1708"/>
      <x:c r="V1708" t="n">
        <x:v>0</x:v>
      </x:c>
      <x:c r="W1708" t="n">
        <x:v>0</x:v>
      </x:c>
      <x:c r="X1708" t="n">
        <x:v>0</x:v>
      </x:c>
      <x:c r="Y1708" t="n">
        <x:v>0</x:v>
      </x:c>
      <x:c r="Z1708" t="n">
        <x:v>0</x:v>
      </x:c>
      <x:c r="AA1708" t="n">
        <x:v>0</x:v>
      </x:c>
      <x:c r="AB1708"/>
      <x:c r="AC1708" t="n">
        <x:v>0</x:v>
      </x:c>
      <x:c r="AD1708" t="n">
        <x:v>0</x:v>
      </x:c>
      <x:c r="AE1708" t="n">
        <x:v>0</x:v>
      </x:c>
      <x:c r="AF1708" t="n">
        <x:v>0</x:v>
      </x:c>
      <x:c r="AG1708" t="n">
        <x:f>_xlfn.XLOOKUP($A1708,Games!$A$2:$A$18,Games!$B$2:$B$18,"Missing game",0)</x:f>
        <x:v>2025</x:v>
      </x:c>
      <x:c r="AH1708" t="str">
        <x:f>_xlfn.XLOOKUP($A1708,Games!$A$2:$A$18,Games!$C$2:$C$18,"Missing game",0)</x:f>
        <x:v>REG</x:v>
      </x:c>
      <x:c r="AI1708" t="n">
        <x:f>_xlfn.XLOOKUP($A1708,Games!$A$2:$A$18,Games!$D$2:$D$18,"Missing game",0)</x:f>
        <x:v>11</x:v>
      </x:c>
      <x:c r="AJ1708" s="1" t="n">
        <x:f>_xlfn.XLOOKUP($A1708,Games!$A$2:$A$18,Games!$E$2:$E$18,"Missing game",0)</x:f>
        <x:v>45977</x:v>
      </x:c>
      <x:c r="AK1708" t="str">
        <x:f>_xlfn.XLOOKUP($A1708,Games!$A$2:$A$18,Games!$F$2:$F$18,"Missing game",0)</x:f>
        <x:v>Sunday</x:v>
      </x:c>
      <x:c r="AL1708" t="str">
        <x:f>_xlfn.XLOOKUP($A1708,Games!$A$2:$A$18,Games!$G$2:$G$18,"Missing game",0)</x:f>
        <x:v>CHI</x:v>
      </x:c>
      <x:c r="AM1708" t="n">
        <x:f>_xlfn.XLOOKUP($A1708,Games!$A$2:$A$18,Games!$H$2:$H$18,"Missing game",0)</x:f>
        <x:v>19</x:v>
      </x:c>
      <x:c r="AN1708" t="str">
        <x:f>_xlfn.XLOOKUP($A1708,Games!$A$2:$A$18,Games!$I$2:$I$18,"Missing game",0)</x:f>
        <x:v>MIN</x:v>
      </x:c>
      <x:c r="AO1708" t="n">
        <x:f>_xlfn.XLOOKUP($A1708,Games!$A$2:$A$18,Games!$J$2:$J$18,"Missing game",0)</x:f>
        <x:v>17</x:v>
      </x:c>
      <x:c r="AP1708" t="n">
        <x:f>_xlfn.XLOOKUP($A1708,Games!$A$2:$A$18,Games!$K$2:$K$18,"Missing game",0)</x:f>
        <x:v>-2</x:v>
      </x:c>
      <x:c r="AQ1708" t="n">
        <x:f>_xlfn.XLOOKUP($A1708,Games!$A$2:$A$18,Games!$L$2:$L$18,"Missing game",0)</x:f>
        <x:v>36</x:v>
      </x:c>
      <x:c r="AR1708" t="n">
        <x:f>_xlfn.XLOOKUP($A1708,Games!$A$2:$A$18,Games!$M$2:$M$18,"Missing game",0)</x:f>
        <x:v>0</x:v>
      </x:c>
      <x:c r="AS1708" t="str">
        <x:f>_xlfn.XLOOKUP($A1708,Games!$A$2:$A$18,Games!$N$2:$N$18,"Missing game",0)</x:f>
        <x:v>dome</x:v>
      </x:c>
      <x:c r="AT1708" t="str">
        <x:f>_xlfn.XLOOKUP($A1708,Games!$A$2:$A$18,Games!$O$2:$O$18,"Missing game",0)</x:f>
        <x:v>sportturf</x:v>
      </x:c>
      <x:c r="AU1708" t="str">
        <x:f>_xlfn.XLOOKUP($A1708,Games!$A$2:$A$18,Games!$P$2:$P$18,"Missing game",0)</x:f>
      </x:c>
      <x:c r="AV1708" t="str">
        <x:f>_xlfn.XLOOKUP($A1708,Games!$A$2:$A$18,Games!$Q$2:$Q$18,"Missing game",0)</x:f>
      </x:c>
      <x:c r="AW1708" t="str">
        <x:f>_xlfn.XLOOKUP($A1708,Games!$A$2:$A$18,Games!$R$2:$R$18,"Missing game",0)</x:f>
        <x:v>U.S. Bank Stadium</x:v>
      </x:c>
    </x:row>
    <x:row r="1709">
      <x:c r="A1709" t="str">
        <x:v>2025_11_CHI_MIN</x:v>
      </x:c>
      <x:c r="B1709" t="n">
        <x:v>4255</x:v>
      </x:c>
      <x:c r="C1709" t="n">
        <x:v>4</x:v>
      </x:c>
      <x:c r="D1709" t="str">
        <x:v>00:00</x:v>
      </x:c>
      <x:c r="E1709"/>
      <x:c r="F1709" t="n">
        <x:v>0</x:v>
      </x:c>
      <x:c r="G1709" t="str">
        <x:v>MIN</x:v>
      </x:c>
      <x:c r="H1709" t="str">
        <x:v>CHI</x:v>
      </x:c>
      <x:c r="I1709"/>
      <x:c r="J1709"/>
      <x:c r="K1709" t="str">
        <x:v>END GAME</x:v>
      </x:c>
      <x:c r="L1709"/>
      <x:c r="M1709"/>
      <x:c r="N1709" t="n">
        <x:v>0</x:v>
      </x:c>
      <x:c r="O1709" t="n">
        <x:v>0</x:v>
      </x:c>
      <x:c r="P1709"/>
      <x:c r="Q1709"/>
      <x:c r="R1709"/>
      <x:c r="S1709"/>
      <x:c r="T1709"/>
      <x:c r="U1709"/>
      <x:c r="V1709"/>
      <x:c r="W1709"/>
      <x:c r="X1709"/>
      <x:c r="Y1709"/>
      <x:c r="Z1709"/>
      <x:c r="AA1709"/>
      <x:c r="AB1709"/>
      <x:c r="AC1709"/>
      <x:c r="AD1709"/>
      <x:c r="AE1709"/>
      <x:c r="AF1709"/>
      <x:c r="AG1709" t="n">
        <x:f>_xlfn.XLOOKUP($A1709,Games!$A$2:$A$18,Games!$B$2:$B$18,"Missing game",0)</x:f>
        <x:v>2025</x:v>
      </x:c>
      <x:c r="AH1709" t="str">
        <x:f>_xlfn.XLOOKUP($A1709,Games!$A$2:$A$18,Games!$C$2:$C$18,"Missing game",0)</x:f>
        <x:v>REG</x:v>
      </x:c>
      <x:c r="AI1709" t="n">
        <x:f>_xlfn.XLOOKUP($A1709,Games!$A$2:$A$18,Games!$D$2:$D$18,"Missing game",0)</x:f>
        <x:v>11</x:v>
      </x:c>
      <x:c r="AJ1709" s="1" t="n">
        <x:f>_xlfn.XLOOKUP($A1709,Games!$A$2:$A$18,Games!$E$2:$E$18,"Missing game",0)</x:f>
        <x:v>45977</x:v>
      </x:c>
      <x:c r="AK1709" t="str">
        <x:f>_xlfn.XLOOKUP($A1709,Games!$A$2:$A$18,Games!$F$2:$F$18,"Missing game",0)</x:f>
        <x:v>Sunday</x:v>
      </x:c>
      <x:c r="AL1709" t="str">
        <x:f>_xlfn.XLOOKUP($A1709,Games!$A$2:$A$18,Games!$G$2:$G$18,"Missing game",0)</x:f>
        <x:v>CHI</x:v>
      </x:c>
      <x:c r="AM1709" t="n">
        <x:f>_xlfn.XLOOKUP($A1709,Games!$A$2:$A$18,Games!$H$2:$H$18,"Missing game",0)</x:f>
        <x:v>19</x:v>
      </x:c>
      <x:c r="AN1709" t="str">
        <x:f>_xlfn.XLOOKUP($A1709,Games!$A$2:$A$18,Games!$I$2:$I$18,"Missing game",0)</x:f>
        <x:v>MIN</x:v>
      </x:c>
      <x:c r="AO1709" t="n">
        <x:f>_xlfn.XLOOKUP($A1709,Games!$A$2:$A$18,Games!$J$2:$J$18,"Missing game",0)</x:f>
        <x:v>17</x:v>
      </x:c>
      <x:c r="AP1709" t="n">
        <x:f>_xlfn.XLOOKUP($A1709,Games!$A$2:$A$18,Games!$K$2:$K$18,"Missing game",0)</x:f>
        <x:v>-2</x:v>
      </x:c>
      <x:c r="AQ1709" t="n">
        <x:f>_xlfn.XLOOKUP($A1709,Games!$A$2:$A$18,Games!$L$2:$L$18,"Missing game",0)</x:f>
        <x:v>36</x:v>
      </x:c>
      <x:c r="AR1709" t="n">
        <x:f>_xlfn.XLOOKUP($A1709,Games!$A$2:$A$18,Games!$M$2:$M$18,"Missing game",0)</x:f>
        <x:v>0</x:v>
      </x:c>
      <x:c r="AS1709" t="str">
        <x:f>_xlfn.XLOOKUP($A1709,Games!$A$2:$A$18,Games!$N$2:$N$18,"Missing game",0)</x:f>
        <x:v>dome</x:v>
      </x:c>
      <x:c r="AT1709" t="str">
        <x:f>_xlfn.XLOOKUP($A1709,Games!$A$2:$A$18,Games!$O$2:$O$18,"Missing game",0)</x:f>
        <x:v>sportturf</x:v>
      </x:c>
      <x:c r="AU1709" t="str">
        <x:f>_xlfn.XLOOKUP($A1709,Games!$A$2:$A$18,Games!$P$2:$P$18,"Missing game",0)</x:f>
      </x:c>
      <x:c r="AV1709" t="str">
        <x:f>_xlfn.XLOOKUP($A1709,Games!$A$2:$A$18,Games!$Q$2:$Q$18,"Missing game",0)</x:f>
      </x:c>
      <x:c r="AW1709" t="str">
        <x:f>_xlfn.XLOOKUP($A1709,Games!$A$2:$A$18,Games!$R$2:$R$18,"Missing game",0)</x:f>
        <x:v>U.S. Bank Stadium</x:v>
      </x:c>
    </x:row>
    <x:row r="1710">
      <x:c r="A1710" t="str">
        <x:v>2025_12_MIN_GB</x:v>
      </x:c>
      <x:c r="B1710" t="n">
        <x:v>1</x:v>
      </x:c>
      <x:c r="C1710" t="n">
        <x:v>1</x:v>
      </x:c>
      <x:c r="D1710" t="str">
        <x:v>15:00</x:v>
      </x:c>
      <x:c r="E1710"/>
      <x:c r="F1710" t="n">
        <x:v>0</x:v>
      </x:c>
      <x:c r="G1710"/>
      <x:c r="H1710"/>
      <x:c r="I1710"/>
      <x:c r="J1710"/>
      <x:c r="K1710" t="str">
        <x:v>GAME</x:v>
      </x:c>
      <x:c r="L1710"/>
      <x:c r="M1710"/>
      <x:c r="N1710" t="n">
        <x:v>0</x:v>
      </x:c>
      <x:c r="O1710" t="n">
        <x:v>0</x:v>
      </x:c>
      <x:c r="P1710"/>
      <x:c r="Q1710"/>
      <x:c r="R1710"/>
      <x:c r="S1710"/>
      <x:c r="T1710"/>
      <x:c r="U1710"/>
      <x:c r="V1710"/>
      <x:c r="W1710"/>
      <x:c r="X1710"/>
      <x:c r="Y1710"/>
      <x:c r="Z1710"/>
      <x:c r="AA1710"/>
      <x:c r="AB1710"/>
      <x:c r="AC1710"/>
      <x:c r="AD1710" t="n">
        <x:v>0</x:v>
      </x:c>
      <x:c r="AE1710" t="n">
        <x:v>0</x:v>
      </x:c>
      <x:c r="AF1710" t="n">
        <x:v>0</x:v>
      </x:c>
      <x:c r="AG1710" t="n">
        <x:f>_xlfn.XLOOKUP($A1710,Games!$A$2:$A$18,Games!$B$2:$B$18,"Missing game",0)</x:f>
        <x:v>2025</x:v>
      </x:c>
      <x:c r="AH1710" t="str">
        <x:f>_xlfn.XLOOKUP($A1710,Games!$A$2:$A$18,Games!$C$2:$C$18,"Missing game",0)</x:f>
        <x:v>REG</x:v>
      </x:c>
      <x:c r="AI1710" t="n">
        <x:f>_xlfn.XLOOKUP($A1710,Games!$A$2:$A$18,Games!$D$2:$D$18,"Missing game",0)</x:f>
        <x:v>12</x:v>
      </x:c>
      <x:c r="AJ1710" s="1" t="n">
        <x:f>_xlfn.XLOOKUP($A1710,Games!$A$2:$A$18,Games!$E$2:$E$18,"Missing game",0)</x:f>
        <x:v>45984</x:v>
      </x:c>
      <x:c r="AK1710" t="str">
        <x:f>_xlfn.XLOOKUP($A1710,Games!$A$2:$A$18,Games!$F$2:$F$18,"Missing game",0)</x:f>
        <x:v>Sunday</x:v>
      </x:c>
      <x:c r="AL1710" t="str">
        <x:f>_xlfn.XLOOKUP($A1710,Games!$A$2:$A$18,Games!$G$2:$G$18,"Missing game",0)</x:f>
        <x:v>MIN</x:v>
      </x:c>
      <x:c r="AM1710" t="n">
        <x:f>_xlfn.XLOOKUP($A1710,Games!$A$2:$A$18,Games!$H$2:$H$18,"Missing game",0)</x:f>
        <x:v>6</x:v>
      </x:c>
      <x:c r="AN1710" t="str">
        <x:f>_xlfn.XLOOKUP($A1710,Games!$A$2:$A$18,Games!$I$2:$I$18,"Missing game",0)</x:f>
        <x:v>GB</x:v>
      </x:c>
      <x:c r="AO1710" t="n">
        <x:f>_xlfn.XLOOKUP($A1710,Games!$A$2:$A$18,Games!$J$2:$J$18,"Missing game",0)</x:f>
        <x:v>23</x:v>
      </x:c>
      <x:c r="AP1710" t="n">
        <x:f>_xlfn.XLOOKUP($A1710,Games!$A$2:$A$18,Games!$K$2:$K$18,"Missing game",0)</x:f>
        <x:v>17</x:v>
      </x:c>
      <x:c r="AQ1710" t="n">
        <x:f>_xlfn.XLOOKUP($A1710,Games!$A$2:$A$18,Games!$L$2:$L$18,"Missing game",0)</x:f>
        <x:v>29</x:v>
      </x:c>
      <x:c r="AR1710" t="n">
        <x:f>_xlfn.XLOOKUP($A1710,Games!$A$2:$A$18,Games!$M$2:$M$18,"Missing game",0)</x:f>
        <x:v>0</x:v>
      </x:c>
      <x:c r="AS1710" t="str">
        <x:f>_xlfn.XLOOKUP($A1710,Games!$A$2:$A$18,Games!$N$2:$N$18,"Missing game",0)</x:f>
        <x:v>outdoors</x:v>
      </x:c>
      <x:c r="AT1710" t="str">
        <x:f>_xlfn.XLOOKUP($A1710,Games!$A$2:$A$18,Games!$O$2:$O$18,"Missing game",0)</x:f>
        <x:v>grass</x:v>
      </x:c>
      <x:c r="AU1710" t="n">
        <x:f>_xlfn.XLOOKUP($A1710,Games!$A$2:$A$18,Games!$P$2:$P$18,"Missing game",0)</x:f>
        <x:v>43</x:v>
      </x:c>
      <x:c r="AV1710" t="n">
        <x:f>_xlfn.XLOOKUP($A1710,Games!$A$2:$A$18,Games!$Q$2:$Q$18,"Missing game",0)</x:f>
        <x:v>10</x:v>
      </x:c>
      <x:c r="AW1710" t="str">
        <x:f>_xlfn.XLOOKUP($A1710,Games!$A$2:$A$18,Games!$R$2:$R$18,"Missing game",0)</x:f>
        <x:v>Lambeau Field</x:v>
      </x:c>
    </x:row>
    <x:row r="1711">
      <x:c r="A1711" t="str">
        <x:v>2025_12_MIN_GB</x:v>
      </x:c>
      <x:c r="B1711" t="n">
        <x:v>40</x:v>
      </x:c>
      <x:c r="C1711" t="n">
        <x:v>1</x:v>
      </x:c>
      <x:c r="D1711" t="str">
        <x:v>15:00</x:v>
      </x:c>
      <x:c r="E1711"/>
      <x:c r="F1711" t="n">
        <x:v>0</x:v>
      </x:c>
      <x:c r="G1711" t="str">
        <x:v>MIN</x:v>
      </x:c>
      <x:c r="H1711" t="str">
        <x:v>GB</x:v>
      </x:c>
      <x:c r="I1711" t="str">
        <x:v>GB</x:v>
      </x:c>
      <x:c r="J1711" t="n">
        <x:v>35</x:v>
      </x:c>
      <x:c r="K1711" t="str">
        <x:v>17-B.McManus kicks 65 yards from GB 35 to end zone, Touchback to the MIN 35.</x:v>
      </x:c>
      <x:c r="L1711" t="str">
        <x:v>kickoff</x:v>
      </x:c>
      <x:c r="M1711" t="n">
        <x:v>0</x:v>
      </x:c>
      <x:c r="N1711" t="n">
        <x:v>0</x:v>
      </x:c>
      <x:c r="O1711" t="n">
        <x:v>0</x:v>
      </x:c>
      <x:c r="P1711"/>
      <x:c r="Q1711"/>
      <x:c r="R1711"/>
      <x:c r="S1711"/>
      <x:c r="T1711"/>
      <x:c r="U1711"/>
      <x:c r="V1711" t="n">
        <x:v>0</x:v>
      </x:c>
      <x:c r="W1711" t="n">
        <x:v>0</x:v>
      </x:c>
      <x:c r="X1711" t="n">
        <x:v>0</x:v>
      </x:c>
      <x:c r="Y1711" t="n">
        <x:v>0</x:v>
      </x:c>
      <x:c r="Z1711" t="n">
        <x:v>0</x:v>
      </x:c>
      <x:c r="AA1711" t="n">
        <x:v>0</x:v>
      </x:c>
      <x:c r="AB1711"/>
      <x:c r="AC1711" t="n">
        <x:v>0</x:v>
      </x:c>
      <x:c r="AD1711" t="n">
        <x:v>0.5022245356813073</x:v>
      </x:c>
      <x:c r="AE1711" t="n">
        <x:v>1</x:v>
      </x:c>
      <x:c r="AF1711" t="n">
        <x:v>0.015445202589035034</x:v>
      </x:c>
      <x:c r="AG1711" t="n">
        <x:f>_xlfn.XLOOKUP($A1711,Games!$A$2:$A$18,Games!$B$2:$B$18,"Missing game",0)</x:f>
        <x:v>2025</x:v>
      </x:c>
      <x:c r="AH1711" t="str">
        <x:f>_xlfn.XLOOKUP($A1711,Games!$A$2:$A$18,Games!$C$2:$C$18,"Missing game",0)</x:f>
        <x:v>REG</x:v>
      </x:c>
      <x:c r="AI1711" t="n">
        <x:f>_xlfn.XLOOKUP($A1711,Games!$A$2:$A$18,Games!$D$2:$D$18,"Missing game",0)</x:f>
        <x:v>12</x:v>
      </x:c>
      <x:c r="AJ1711" s="1" t="n">
        <x:f>_xlfn.XLOOKUP($A1711,Games!$A$2:$A$18,Games!$E$2:$E$18,"Missing game",0)</x:f>
        <x:v>45984</x:v>
      </x:c>
      <x:c r="AK1711" t="str">
        <x:f>_xlfn.XLOOKUP($A1711,Games!$A$2:$A$18,Games!$F$2:$F$18,"Missing game",0)</x:f>
        <x:v>Sunday</x:v>
      </x:c>
      <x:c r="AL1711" t="str">
        <x:f>_xlfn.XLOOKUP($A1711,Games!$A$2:$A$18,Games!$G$2:$G$18,"Missing game",0)</x:f>
        <x:v>MIN</x:v>
      </x:c>
      <x:c r="AM1711" t="n">
        <x:f>_xlfn.XLOOKUP($A1711,Games!$A$2:$A$18,Games!$H$2:$H$18,"Missing game",0)</x:f>
        <x:v>6</x:v>
      </x:c>
      <x:c r="AN1711" t="str">
        <x:f>_xlfn.XLOOKUP($A1711,Games!$A$2:$A$18,Games!$I$2:$I$18,"Missing game",0)</x:f>
        <x:v>GB</x:v>
      </x:c>
      <x:c r="AO1711" t="n">
        <x:f>_xlfn.XLOOKUP($A1711,Games!$A$2:$A$18,Games!$J$2:$J$18,"Missing game",0)</x:f>
        <x:v>23</x:v>
      </x:c>
      <x:c r="AP1711" t="n">
        <x:f>_xlfn.XLOOKUP($A1711,Games!$A$2:$A$18,Games!$K$2:$K$18,"Missing game",0)</x:f>
        <x:v>17</x:v>
      </x:c>
      <x:c r="AQ1711" t="n">
        <x:f>_xlfn.XLOOKUP($A1711,Games!$A$2:$A$18,Games!$L$2:$L$18,"Missing game",0)</x:f>
        <x:v>29</x:v>
      </x:c>
      <x:c r="AR1711" t="n">
        <x:f>_xlfn.XLOOKUP($A1711,Games!$A$2:$A$18,Games!$M$2:$M$18,"Missing game",0)</x:f>
        <x:v>0</x:v>
      </x:c>
      <x:c r="AS1711" t="str">
        <x:f>_xlfn.XLOOKUP($A1711,Games!$A$2:$A$18,Games!$N$2:$N$18,"Missing game",0)</x:f>
        <x:v>outdoors</x:v>
      </x:c>
      <x:c r="AT1711" t="str">
        <x:f>_xlfn.XLOOKUP($A1711,Games!$A$2:$A$18,Games!$O$2:$O$18,"Missing game",0)</x:f>
        <x:v>grass</x:v>
      </x:c>
      <x:c r="AU1711" t="n">
        <x:f>_xlfn.XLOOKUP($A1711,Games!$A$2:$A$18,Games!$P$2:$P$18,"Missing game",0)</x:f>
        <x:v>43</x:v>
      </x:c>
      <x:c r="AV1711" t="n">
        <x:f>_xlfn.XLOOKUP($A1711,Games!$A$2:$A$18,Games!$Q$2:$Q$18,"Missing game",0)</x:f>
        <x:v>10</x:v>
      </x:c>
      <x:c r="AW1711" t="str">
        <x:f>_xlfn.XLOOKUP($A1711,Games!$A$2:$A$18,Games!$R$2:$R$18,"Missing game",0)</x:f>
        <x:v>Lambeau Field</x:v>
      </x:c>
    </x:row>
    <x:row r="1712">
      <x:c r="A1712" t="str">
        <x:v>2025_12_MIN_GB</x:v>
      </x:c>
      <x:c r="B1712" t="n">
        <x:v>57</x:v>
      </x:c>
      <x:c r="C1712" t="n">
        <x:v>1</x:v>
      </x:c>
      <x:c r="D1712" t="str">
        <x:v>15:00</x:v>
      </x:c>
      <x:c r="E1712" t="n">
        <x:v>1</x:v>
      </x:c>
      <x:c r="F1712" t="n">
        <x:v>10</x:v>
      </x:c>
      <x:c r="G1712" t="str">
        <x:v>MIN</x:v>
      </x:c>
      <x:c r="H1712" t="str">
        <x:v>GB</x:v>
      </x:c>
      <x:c r="I1712" t="str">
        <x:v>MIN</x:v>
      </x:c>
      <x:c r="J1712" t="n">
        <x:v>65</x:v>
      </x:c>
      <x:c r="K1712" t="str">
        <x:v>(15:00) 33-A.Jones left guard to MIN 38 for 3 yards (96-C.Wooden).</x:v>
      </x:c>
      <x:c r="L1712" t="str">
        <x:v>run</x:v>
      </x:c>
      <x:c r="M1712" t="n">
        <x:v>3</x:v>
      </x:c>
      <x:c r="N1712" t="n">
        <x:v>0</x:v>
      </x:c>
      <x:c r="O1712" t="n">
        <x:v>0</x:v>
      </x:c>
      <x:c r="P1712"/>
      <x:c r="Q1712"/>
      <x:c r="R1712"/>
      <x:c r="S1712"/>
      <x:c r="T1712" t="str">
        <x:v>left</x:v>
      </x:c>
      <x:c r="U1712" t="str">
        <x:v>guard</x:v>
      </x:c>
      <x:c r="V1712" t="n">
        <x:v>0</x:v>
      </x:c>
      <x:c r="W1712" t="n">
        <x:v>0</x:v>
      </x:c>
      <x:c r="X1712" t="n">
        <x:v>0</x:v>
      </x:c>
      <x:c r="Y1712" t="n">
        <x:v>0</x:v>
      </x:c>
      <x:c r="Z1712" t="n">
        <x:v>0</x:v>
      </x:c>
      <x:c r="AA1712" t="n">
        <x:v>0</x:v>
      </x:c>
      <x:c r="AB1712"/>
      <x:c r="AC1712" t="n">
        <x:v>0</x:v>
      </x:c>
      <x:c r="AD1712" t="n">
        <x:v>-0.1273878295905888</x:v>
      </x:c>
      <x:c r="AE1712" t="n">
        <x:v>0</x:v>
      </x:c>
      <x:c r="AF1712" t="n">
        <x:v>-0.007205009460449219</x:v>
      </x:c>
      <x:c r="AG1712" t="n">
        <x:f>_xlfn.XLOOKUP($A1712,Games!$A$2:$A$18,Games!$B$2:$B$18,"Missing game",0)</x:f>
        <x:v>2025</x:v>
      </x:c>
      <x:c r="AH1712" t="str">
        <x:f>_xlfn.XLOOKUP($A1712,Games!$A$2:$A$18,Games!$C$2:$C$18,"Missing game",0)</x:f>
        <x:v>REG</x:v>
      </x:c>
      <x:c r="AI1712" t="n">
        <x:f>_xlfn.XLOOKUP($A1712,Games!$A$2:$A$18,Games!$D$2:$D$18,"Missing game",0)</x:f>
        <x:v>12</x:v>
      </x:c>
      <x:c r="AJ1712" s="1" t="n">
        <x:f>_xlfn.XLOOKUP($A1712,Games!$A$2:$A$18,Games!$E$2:$E$18,"Missing game",0)</x:f>
        <x:v>45984</x:v>
      </x:c>
      <x:c r="AK1712" t="str">
        <x:f>_xlfn.XLOOKUP($A1712,Games!$A$2:$A$18,Games!$F$2:$F$18,"Missing game",0)</x:f>
        <x:v>Sunday</x:v>
      </x:c>
      <x:c r="AL1712" t="str">
        <x:f>_xlfn.XLOOKUP($A1712,Games!$A$2:$A$18,Games!$G$2:$G$18,"Missing game",0)</x:f>
        <x:v>MIN</x:v>
      </x:c>
      <x:c r="AM1712" t="n">
        <x:f>_xlfn.XLOOKUP($A1712,Games!$A$2:$A$18,Games!$H$2:$H$18,"Missing game",0)</x:f>
        <x:v>6</x:v>
      </x:c>
      <x:c r="AN1712" t="str">
        <x:f>_xlfn.XLOOKUP($A1712,Games!$A$2:$A$18,Games!$I$2:$I$18,"Missing game",0)</x:f>
        <x:v>GB</x:v>
      </x:c>
      <x:c r="AO1712" t="n">
        <x:f>_xlfn.XLOOKUP($A1712,Games!$A$2:$A$18,Games!$J$2:$J$18,"Missing game",0)</x:f>
        <x:v>23</x:v>
      </x:c>
      <x:c r="AP1712" t="n">
        <x:f>_xlfn.XLOOKUP($A1712,Games!$A$2:$A$18,Games!$K$2:$K$18,"Missing game",0)</x:f>
        <x:v>17</x:v>
      </x:c>
      <x:c r="AQ1712" t="n">
        <x:f>_xlfn.XLOOKUP($A1712,Games!$A$2:$A$18,Games!$L$2:$L$18,"Missing game",0)</x:f>
        <x:v>29</x:v>
      </x:c>
      <x:c r="AR1712" t="n">
        <x:f>_xlfn.XLOOKUP($A1712,Games!$A$2:$A$18,Games!$M$2:$M$18,"Missing game",0)</x:f>
        <x:v>0</x:v>
      </x:c>
      <x:c r="AS1712" t="str">
        <x:f>_xlfn.XLOOKUP($A1712,Games!$A$2:$A$18,Games!$N$2:$N$18,"Missing game",0)</x:f>
        <x:v>outdoors</x:v>
      </x:c>
      <x:c r="AT1712" t="str">
        <x:f>_xlfn.XLOOKUP($A1712,Games!$A$2:$A$18,Games!$O$2:$O$18,"Missing game",0)</x:f>
        <x:v>grass</x:v>
      </x:c>
      <x:c r="AU1712" t="n">
        <x:f>_xlfn.XLOOKUP($A1712,Games!$A$2:$A$18,Games!$P$2:$P$18,"Missing game",0)</x:f>
        <x:v>43</x:v>
      </x:c>
      <x:c r="AV1712" t="n">
        <x:f>_xlfn.XLOOKUP($A1712,Games!$A$2:$A$18,Games!$Q$2:$Q$18,"Missing game",0)</x:f>
        <x:v>10</x:v>
      </x:c>
      <x:c r="AW1712" t="str">
        <x:f>_xlfn.XLOOKUP($A1712,Games!$A$2:$A$18,Games!$R$2:$R$18,"Missing game",0)</x:f>
        <x:v>Lambeau Field</x:v>
      </x:c>
    </x:row>
    <x:row r="1713">
      <x:c r="A1713" t="str">
        <x:v>2025_12_MIN_GB</x:v>
      </x:c>
      <x:c r="B1713" t="n">
        <x:v>79</x:v>
      </x:c>
      <x:c r="C1713" t="n">
        <x:v>1</x:v>
      </x:c>
      <x:c r="D1713" t="str">
        <x:v>14:22</x:v>
      </x:c>
      <x:c r="E1713" t="n">
        <x:v>2</x:v>
      </x:c>
      <x:c r="F1713" t="n">
        <x:v>7</x:v>
      </x:c>
      <x:c r="G1713" t="str">
        <x:v>MIN</x:v>
      </x:c>
      <x:c r="H1713" t="str">
        <x:v>GB</x:v>
      </x:c>
      <x:c r="I1713" t="str">
        <x:v>MIN</x:v>
      </x:c>
      <x:c r="J1713" t="n">
        <x:v>62</x:v>
      </x:c>
      <x:c r="K1713" t="str">
        <x:v>(14:22) 33-A.Jones up the middle to GB 49 for 13 yards (25-K.Nixon; 29-X.McKinney).</x:v>
      </x:c>
      <x:c r="L1713" t="str">
        <x:v>run</x:v>
      </x:c>
      <x:c r="M1713" t="n">
        <x:v>13</x:v>
      </x:c>
      <x:c r="N1713" t="n">
        <x:v>0</x:v>
      </x:c>
      <x:c r="O1713" t="n">
        <x:v>0</x:v>
      </x:c>
      <x:c r="P1713"/>
      <x:c r="Q1713"/>
      <x:c r="R1713"/>
      <x:c r="S1713"/>
      <x:c r="T1713" t="str">
        <x:v>middle</x:v>
      </x:c>
      <x:c r="U1713"/>
      <x:c r="V1713" t="n">
        <x:v>0</x:v>
      </x:c>
      <x:c r="W1713" t="n">
        <x:v>1</x:v>
      </x:c>
      <x:c r="X1713" t="n">
        <x:v>0</x:v>
      </x:c>
      <x:c r="Y1713" t="n">
        <x:v>0</x:v>
      </x:c>
      <x:c r="Z1713" t="n">
        <x:v>0</x:v>
      </x:c>
      <x:c r="AA1713" t="n">
        <x:v>0</x:v>
      </x:c>
      <x:c r="AB1713"/>
      <x:c r="AC1713" t="n">
        <x:v>0</x:v>
      </x:c>
      <x:c r="AD1713" t="n">
        <x:v>1.4268467605579644</x:v>
      </x:c>
      <x:c r="AE1713" t="n">
        <x:v>1</x:v>
      </x:c>
      <x:c r="AF1713" t="n">
        <x:v>0.038669735193252563</x:v>
      </x:c>
      <x:c r="AG1713" t="n">
        <x:f>_xlfn.XLOOKUP($A1713,Games!$A$2:$A$18,Games!$B$2:$B$18,"Missing game",0)</x:f>
        <x:v>2025</x:v>
      </x:c>
      <x:c r="AH1713" t="str">
        <x:f>_xlfn.XLOOKUP($A1713,Games!$A$2:$A$18,Games!$C$2:$C$18,"Missing game",0)</x:f>
        <x:v>REG</x:v>
      </x:c>
      <x:c r="AI1713" t="n">
        <x:f>_xlfn.XLOOKUP($A1713,Games!$A$2:$A$18,Games!$D$2:$D$18,"Missing game",0)</x:f>
        <x:v>12</x:v>
      </x:c>
      <x:c r="AJ1713" s="1" t="n">
        <x:f>_xlfn.XLOOKUP($A1713,Games!$A$2:$A$18,Games!$E$2:$E$18,"Missing game",0)</x:f>
        <x:v>45984</x:v>
      </x:c>
      <x:c r="AK1713" t="str">
        <x:f>_xlfn.XLOOKUP($A1713,Games!$A$2:$A$18,Games!$F$2:$F$18,"Missing game",0)</x:f>
        <x:v>Sunday</x:v>
      </x:c>
      <x:c r="AL1713" t="str">
        <x:f>_xlfn.XLOOKUP($A1713,Games!$A$2:$A$18,Games!$G$2:$G$18,"Missing game",0)</x:f>
        <x:v>MIN</x:v>
      </x:c>
      <x:c r="AM1713" t="n">
        <x:f>_xlfn.XLOOKUP($A1713,Games!$A$2:$A$18,Games!$H$2:$H$18,"Missing game",0)</x:f>
        <x:v>6</x:v>
      </x:c>
      <x:c r="AN1713" t="str">
        <x:f>_xlfn.XLOOKUP($A1713,Games!$A$2:$A$18,Games!$I$2:$I$18,"Missing game",0)</x:f>
        <x:v>GB</x:v>
      </x:c>
      <x:c r="AO1713" t="n">
        <x:f>_xlfn.XLOOKUP($A1713,Games!$A$2:$A$18,Games!$J$2:$J$18,"Missing game",0)</x:f>
        <x:v>23</x:v>
      </x:c>
      <x:c r="AP1713" t="n">
        <x:f>_xlfn.XLOOKUP($A1713,Games!$A$2:$A$18,Games!$K$2:$K$18,"Missing game",0)</x:f>
        <x:v>17</x:v>
      </x:c>
      <x:c r="AQ1713" t="n">
        <x:f>_xlfn.XLOOKUP($A1713,Games!$A$2:$A$18,Games!$L$2:$L$18,"Missing game",0)</x:f>
        <x:v>29</x:v>
      </x:c>
      <x:c r="AR1713" t="n">
        <x:f>_xlfn.XLOOKUP($A1713,Games!$A$2:$A$18,Games!$M$2:$M$18,"Missing game",0)</x:f>
        <x:v>0</x:v>
      </x:c>
      <x:c r="AS1713" t="str">
        <x:f>_xlfn.XLOOKUP($A1713,Games!$A$2:$A$18,Games!$N$2:$N$18,"Missing game",0)</x:f>
        <x:v>outdoors</x:v>
      </x:c>
      <x:c r="AT1713" t="str">
        <x:f>_xlfn.XLOOKUP($A1713,Games!$A$2:$A$18,Games!$O$2:$O$18,"Missing game",0)</x:f>
        <x:v>grass</x:v>
      </x:c>
      <x:c r="AU1713" t="n">
        <x:f>_xlfn.XLOOKUP($A1713,Games!$A$2:$A$18,Games!$P$2:$P$18,"Missing game",0)</x:f>
        <x:v>43</x:v>
      </x:c>
      <x:c r="AV1713" t="n">
        <x:f>_xlfn.XLOOKUP($A1713,Games!$A$2:$A$18,Games!$Q$2:$Q$18,"Missing game",0)</x:f>
        <x:v>10</x:v>
      </x:c>
      <x:c r="AW1713" t="str">
        <x:f>_xlfn.XLOOKUP($A1713,Games!$A$2:$A$18,Games!$R$2:$R$18,"Missing game",0)</x:f>
        <x:v>Lambeau Field</x:v>
      </x:c>
    </x:row>
    <x:row r="1714">
      <x:c r="A1714" t="str">
        <x:v>2025_12_MIN_GB</x:v>
      </x:c>
      <x:c r="B1714" t="n">
        <x:v>101</x:v>
      </x:c>
      <x:c r="C1714" t="n">
        <x:v>1</x:v>
      </x:c>
      <x:c r="D1714" t="str">
        <x:v>13:42</x:v>
      </x:c>
      <x:c r="E1714" t="n">
        <x:v>1</x:v>
      </x:c>
      <x:c r="F1714" t="n">
        <x:v>10</x:v>
      </x:c>
      <x:c r="G1714" t="str">
        <x:v>MIN</x:v>
      </x:c>
      <x:c r="H1714" t="str">
        <x:v>GB</x:v>
      </x:c>
      <x:c r="I1714" t="str">
        <x:v>GB</x:v>
      </x:c>
      <x:c r="J1714" t="n">
        <x:v>49</x:v>
      </x:c>
      <x:c r="K1714" t="str">
        <x:v>(13:42) 9-J.McCarthy pass short middle to 18-J.Jefferson to GB 34 for 15 yards (25-K.Nixon).</x:v>
      </x:c>
      <x:c r="L1714" t="str">
        <x:v>pass</x:v>
      </x:c>
      <x:c r="M1714" t="n">
        <x:v>15</x:v>
      </x:c>
      <x:c r="N1714" t="n">
        <x:v>0</x:v>
      </x:c>
      <x:c r="O1714" t="n">
        <x:v>0</x:v>
      </x:c>
      <x:c r="P1714" t="str">
        <x:v>short</x:v>
      </x:c>
      <x:c r="Q1714" t="str">
        <x:v>middle</x:v>
      </x:c>
      <x:c r="R1714" t="n">
        <x:v>15</x:v>
      </x:c>
      <x:c r="S1714" t="n">
        <x:v>0</x:v>
      </x:c>
      <x:c r="T1714"/>
      <x:c r="U1714"/>
      <x:c r="V1714" t="n">
        <x:v>1</x:v>
      </x:c>
      <x:c r="W1714" t="n">
        <x:v>1</x:v>
      </x:c>
      <x:c r="X1714" t="n">
        <x:v>0</x:v>
      </x:c>
      <x:c r="Y1714" t="n">
        <x:v>0</x:v>
      </x:c>
      <x:c r="Z1714" t="n">
        <x:v>0</x:v>
      </x:c>
      <x:c r="AA1714" t="n">
        <x:v>0</x:v>
      </x:c>
      <x:c r="AB1714"/>
      <x:c r="AC1714" t="n">
        <x:v>0</x:v>
      </x:c>
      <x:c r="AD1714" t="n">
        <x:v>1.0124425301328301</x:v>
      </x:c>
      <x:c r="AE1714" t="n">
        <x:v>1</x:v>
      </x:c>
      <x:c r="AF1714" t="n">
        <x:v>0.05029389262199402</x:v>
      </x:c>
      <x:c r="AG1714" t="n">
        <x:f>_xlfn.XLOOKUP($A1714,Games!$A$2:$A$18,Games!$B$2:$B$18,"Missing game",0)</x:f>
        <x:v>2025</x:v>
      </x:c>
      <x:c r="AH1714" t="str">
        <x:f>_xlfn.XLOOKUP($A1714,Games!$A$2:$A$18,Games!$C$2:$C$18,"Missing game",0)</x:f>
        <x:v>REG</x:v>
      </x:c>
      <x:c r="AI1714" t="n">
        <x:f>_xlfn.XLOOKUP($A1714,Games!$A$2:$A$18,Games!$D$2:$D$18,"Missing game",0)</x:f>
        <x:v>12</x:v>
      </x:c>
      <x:c r="AJ1714" s="1" t="n">
        <x:f>_xlfn.XLOOKUP($A1714,Games!$A$2:$A$18,Games!$E$2:$E$18,"Missing game",0)</x:f>
        <x:v>45984</x:v>
      </x:c>
      <x:c r="AK1714" t="str">
        <x:f>_xlfn.XLOOKUP($A1714,Games!$A$2:$A$18,Games!$F$2:$F$18,"Missing game",0)</x:f>
        <x:v>Sunday</x:v>
      </x:c>
      <x:c r="AL1714" t="str">
        <x:f>_xlfn.XLOOKUP($A1714,Games!$A$2:$A$18,Games!$G$2:$G$18,"Missing game",0)</x:f>
        <x:v>MIN</x:v>
      </x:c>
      <x:c r="AM1714" t="n">
        <x:f>_xlfn.XLOOKUP($A1714,Games!$A$2:$A$18,Games!$H$2:$H$18,"Missing game",0)</x:f>
        <x:v>6</x:v>
      </x:c>
      <x:c r="AN1714" t="str">
        <x:f>_xlfn.XLOOKUP($A1714,Games!$A$2:$A$18,Games!$I$2:$I$18,"Missing game",0)</x:f>
        <x:v>GB</x:v>
      </x:c>
      <x:c r="AO1714" t="n">
        <x:f>_xlfn.XLOOKUP($A1714,Games!$A$2:$A$18,Games!$J$2:$J$18,"Missing game",0)</x:f>
        <x:v>23</x:v>
      </x:c>
      <x:c r="AP1714" t="n">
        <x:f>_xlfn.XLOOKUP($A1714,Games!$A$2:$A$18,Games!$K$2:$K$18,"Missing game",0)</x:f>
        <x:v>17</x:v>
      </x:c>
      <x:c r="AQ1714" t="n">
        <x:f>_xlfn.XLOOKUP($A1714,Games!$A$2:$A$18,Games!$L$2:$L$18,"Missing game",0)</x:f>
        <x:v>29</x:v>
      </x:c>
      <x:c r="AR1714" t="n">
        <x:f>_xlfn.XLOOKUP($A1714,Games!$A$2:$A$18,Games!$M$2:$M$18,"Missing game",0)</x:f>
        <x:v>0</x:v>
      </x:c>
      <x:c r="AS1714" t="str">
        <x:f>_xlfn.XLOOKUP($A1714,Games!$A$2:$A$18,Games!$N$2:$N$18,"Missing game",0)</x:f>
        <x:v>outdoors</x:v>
      </x:c>
      <x:c r="AT1714" t="str">
        <x:f>_xlfn.XLOOKUP($A1714,Games!$A$2:$A$18,Games!$O$2:$O$18,"Missing game",0)</x:f>
        <x:v>grass</x:v>
      </x:c>
      <x:c r="AU1714" t="n">
        <x:f>_xlfn.XLOOKUP($A1714,Games!$A$2:$A$18,Games!$P$2:$P$18,"Missing game",0)</x:f>
        <x:v>43</x:v>
      </x:c>
      <x:c r="AV1714" t="n">
        <x:f>_xlfn.XLOOKUP($A1714,Games!$A$2:$A$18,Games!$Q$2:$Q$18,"Missing game",0)</x:f>
        <x:v>10</x:v>
      </x:c>
      <x:c r="AW1714" t="str">
        <x:f>_xlfn.XLOOKUP($A1714,Games!$A$2:$A$18,Games!$R$2:$R$18,"Missing game",0)</x:f>
        <x:v>Lambeau Field</x:v>
      </x:c>
    </x:row>
    <x:row r="1715">
      <x:c r="A1715" t="str">
        <x:v>2025_12_MIN_GB</x:v>
      </x:c>
      <x:c r="B1715" t="n">
        <x:v>126</x:v>
      </x:c>
      <x:c r="C1715" t="n">
        <x:v>1</x:v>
      </x:c>
      <x:c r="D1715" t="str">
        <x:v>13:11</x:v>
      </x:c>
      <x:c r="E1715" t="n">
        <x:v>1</x:v>
      </x:c>
      <x:c r="F1715" t="n">
        <x:v>10</x:v>
      </x:c>
      <x:c r="G1715" t="str">
        <x:v>MIN</x:v>
      </x:c>
      <x:c r="H1715" t="str">
        <x:v>GB</x:v>
      </x:c>
      <x:c r="I1715" t="str">
        <x:v>GB</x:v>
      </x:c>
      <x:c r="J1715" t="n">
        <x:v>34</x:v>
      </x:c>
      <x:c r="K1715" t="str">
        <x:v>(13:11) (No Huddle, Shotgun) 9-J.McCarthy pass incomplete short left [1-M.Parsons].</x:v>
      </x:c>
      <x:c r="L1715" t="str">
        <x:v>pass</x:v>
      </x:c>
      <x:c r="M1715" t="n">
        <x:v>0</x:v>
      </x:c>
      <x:c r="N1715" t="n">
        <x:v>1</x:v>
      </x:c>
      <x:c r="O1715" t="n">
        <x:v>1</x:v>
      </x:c>
      <x:c r="P1715" t="str">
        <x:v>short</x:v>
      </x:c>
      <x:c r="Q1715" t="str">
        <x:v>left</x:v>
      </x:c>
      <x:c r="R1715" t="n">
        <x:v>-5</x:v>
      </x:c>
      <x:c r="S1715"/>
      <x:c r="T1715"/>
      <x:c r="U1715"/>
      <x:c r="V1715" t="n">
        <x:v>0</x:v>
      </x:c>
      <x:c r="W1715" t="n">
        <x:v>0</x:v>
      </x:c>
      <x:c r="X1715" t="n">
        <x:v>0</x:v>
      </x:c>
      <x:c r="Y1715" t="n">
        <x:v>0</x:v>
      </x:c>
      <x:c r="Z1715" t="n">
        <x:v>0</x:v>
      </x:c>
      <x:c r="AA1715" t="n">
        <x:v>0</x:v>
      </x:c>
      <x:c r="AB1715"/>
      <x:c r="AC1715" t="n">
        <x:v>0</x:v>
      </x:c>
      <x:c r="AD1715" t="n">
        <x:v>-0.5159667837433517</x:v>
      </x:c>
      <x:c r="AE1715" t="n">
        <x:v>0</x:v>
      </x:c>
      <x:c r="AF1715" t="n">
        <x:v>-0.015525281429290771</x:v>
      </x:c>
      <x:c r="AG1715" t="n">
        <x:f>_xlfn.XLOOKUP($A1715,Games!$A$2:$A$18,Games!$B$2:$B$18,"Missing game",0)</x:f>
        <x:v>2025</x:v>
      </x:c>
      <x:c r="AH1715" t="str">
        <x:f>_xlfn.XLOOKUP($A1715,Games!$A$2:$A$18,Games!$C$2:$C$18,"Missing game",0)</x:f>
        <x:v>REG</x:v>
      </x:c>
      <x:c r="AI1715" t="n">
        <x:f>_xlfn.XLOOKUP($A1715,Games!$A$2:$A$18,Games!$D$2:$D$18,"Missing game",0)</x:f>
        <x:v>12</x:v>
      </x:c>
      <x:c r="AJ1715" s="1" t="n">
        <x:f>_xlfn.XLOOKUP($A1715,Games!$A$2:$A$18,Games!$E$2:$E$18,"Missing game",0)</x:f>
        <x:v>45984</x:v>
      </x:c>
      <x:c r="AK1715" t="str">
        <x:f>_xlfn.XLOOKUP($A1715,Games!$A$2:$A$18,Games!$F$2:$F$18,"Missing game",0)</x:f>
        <x:v>Sunday</x:v>
      </x:c>
      <x:c r="AL1715" t="str">
        <x:f>_xlfn.XLOOKUP($A1715,Games!$A$2:$A$18,Games!$G$2:$G$18,"Missing game",0)</x:f>
        <x:v>MIN</x:v>
      </x:c>
      <x:c r="AM1715" t="n">
        <x:f>_xlfn.XLOOKUP($A1715,Games!$A$2:$A$18,Games!$H$2:$H$18,"Missing game",0)</x:f>
        <x:v>6</x:v>
      </x:c>
      <x:c r="AN1715" t="str">
        <x:f>_xlfn.XLOOKUP($A1715,Games!$A$2:$A$18,Games!$I$2:$I$18,"Missing game",0)</x:f>
        <x:v>GB</x:v>
      </x:c>
      <x:c r="AO1715" t="n">
        <x:f>_xlfn.XLOOKUP($A1715,Games!$A$2:$A$18,Games!$J$2:$J$18,"Missing game",0)</x:f>
        <x:v>23</x:v>
      </x:c>
      <x:c r="AP1715" t="n">
        <x:f>_xlfn.XLOOKUP($A1715,Games!$A$2:$A$18,Games!$K$2:$K$18,"Missing game",0)</x:f>
        <x:v>17</x:v>
      </x:c>
      <x:c r="AQ1715" t="n">
        <x:f>_xlfn.XLOOKUP($A1715,Games!$A$2:$A$18,Games!$L$2:$L$18,"Missing game",0)</x:f>
        <x:v>29</x:v>
      </x:c>
      <x:c r="AR1715" t="n">
        <x:f>_xlfn.XLOOKUP($A1715,Games!$A$2:$A$18,Games!$M$2:$M$18,"Missing game",0)</x:f>
        <x:v>0</x:v>
      </x:c>
      <x:c r="AS1715" t="str">
        <x:f>_xlfn.XLOOKUP($A1715,Games!$A$2:$A$18,Games!$N$2:$N$18,"Missing game",0)</x:f>
        <x:v>outdoors</x:v>
      </x:c>
      <x:c r="AT1715" t="str">
        <x:f>_xlfn.XLOOKUP($A1715,Games!$A$2:$A$18,Games!$O$2:$O$18,"Missing game",0)</x:f>
        <x:v>grass</x:v>
      </x:c>
      <x:c r="AU1715" t="n">
        <x:f>_xlfn.XLOOKUP($A1715,Games!$A$2:$A$18,Games!$P$2:$P$18,"Missing game",0)</x:f>
        <x:v>43</x:v>
      </x:c>
      <x:c r="AV1715" t="n">
        <x:f>_xlfn.XLOOKUP($A1715,Games!$A$2:$A$18,Games!$Q$2:$Q$18,"Missing game",0)</x:f>
        <x:v>10</x:v>
      </x:c>
      <x:c r="AW1715" t="str">
        <x:f>_xlfn.XLOOKUP($A1715,Games!$A$2:$A$18,Games!$R$2:$R$18,"Missing game",0)</x:f>
        <x:v>Lambeau Field</x:v>
      </x:c>
    </x:row>
    <x:row r="1716">
      <x:c r="A1716" t="str">
        <x:v>2025_12_MIN_GB</x:v>
      </x:c>
      <x:c r="B1716" t="n">
        <x:v>149</x:v>
      </x:c>
      <x:c r="C1716" t="n">
        <x:v>1</x:v>
      </x:c>
      <x:c r="D1716" t="str">
        <x:v>13:06</x:v>
      </x:c>
      <x:c r="E1716" t="n">
        <x:v>2</x:v>
      </x:c>
      <x:c r="F1716" t="n">
        <x:v>10</x:v>
      </x:c>
      <x:c r="G1716" t="str">
        <x:v>MIN</x:v>
      </x:c>
      <x:c r="H1716" t="str">
        <x:v>GB</x:v>
      </x:c>
      <x:c r="I1716" t="str">
        <x:v>GB</x:v>
      </x:c>
      <x:c r="J1716" t="n">
        <x:v>34</x:v>
      </x:c>
      <x:c r="K1716" t="str">
        <x:v>(13:06) (Shotgun) 9-J.McCarthy pass incomplete short left to 3-J.Addison (20-J.Bullard).</x:v>
      </x:c>
      <x:c r="L1716" t="str">
        <x:v>pass</x:v>
      </x:c>
      <x:c r="M1716" t="n">
        <x:v>0</x:v>
      </x:c>
      <x:c r="N1716" t="n">
        <x:v>1</x:v>
      </x:c>
      <x:c r="O1716" t="n">
        <x:v>0</x:v>
      </x:c>
      <x:c r="P1716" t="str">
        <x:v>short</x:v>
      </x:c>
      <x:c r="Q1716" t="str">
        <x:v>left</x:v>
      </x:c>
      <x:c r="R1716" t="n">
        <x:v>-1</x:v>
      </x:c>
      <x:c r="S1716"/>
      <x:c r="T1716"/>
      <x:c r="U1716"/>
      <x:c r="V1716" t="n">
        <x:v>0</x:v>
      </x:c>
      <x:c r="W1716" t="n">
        <x:v>0</x:v>
      </x:c>
      <x:c r="X1716" t="n">
        <x:v>0</x:v>
      </x:c>
      <x:c r="Y1716" t="n">
        <x:v>0</x:v>
      </x:c>
      <x:c r="Z1716" t="n">
        <x:v>0</x:v>
      </x:c>
      <x:c r="AA1716" t="n">
        <x:v>0</x:v>
      </x:c>
      <x:c r="AB1716"/>
      <x:c r="AC1716" t="n">
        <x:v>0</x:v>
      </x:c>
      <x:c r="AD1716" t="n">
        <x:v>-0.7406790044624358</x:v>
      </x:c>
      <x:c r="AE1716" t="n">
        <x:v>0</x:v>
      </x:c>
      <x:c r="AF1716" t="n">
        <x:v>-0.032668232917785645</x:v>
      </x:c>
      <x:c r="AG1716" t="n">
        <x:f>_xlfn.XLOOKUP($A1716,Games!$A$2:$A$18,Games!$B$2:$B$18,"Missing game",0)</x:f>
        <x:v>2025</x:v>
      </x:c>
      <x:c r="AH1716" t="str">
        <x:f>_xlfn.XLOOKUP($A1716,Games!$A$2:$A$18,Games!$C$2:$C$18,"Missing game",0)</x:f>
        <x:v>REG</x:v>
      </x:c>
      <x:c r="AI1716" t="n">
        <x:f>_xlfn.XLOOKUP($A1716,Games!$A$2:$A$18,Games!$D$2:$D$18,"Missing game",0)</x:f>
        <x:v>12</x:v>
      </x:c>
      <x:c r="AJ1716" s="1" t="n">
        <x:f>_xlfn.XLOOKUP($A1716,Games!$A$2:$A$18,Games!$E$2:$E$18,"Missing game",0)</x:f>
        <x:v>45984</x:v>
      </x:c>
      <x:c r="AK1716" t="str">
        <x:f>_xlfn.XLOOKUP($A1716,Games!$A$2:$A$18,Games!$F$2:$F$18,"Missing game",0)</x:f>
        <x:v>Sunday</x:v>
      </x:c>
      <x:c r="AL1716" t="str">
        <x:f>_xlfn.XLOOKUP($A1716,Games!$A$2:$A$18,Games!$G$2:$G$18,"Missing game",0)</x:f>
        <x:v>MIN</x:v>
      </x:c>
      <x:c r="AM1716" t="n">
        <x:f>_xlfn.XLOOKUP($A1716,Games!$A$2:$A$18,Games!$H$2:$H$18,"Missing game",0)</x:f>
        <x:v>6</x:v>
      </x:c>
      <x:c r="AN1716" t="str">
        <x:f>_xlfn.XLOOKUP($A1716,Games!$A$2:$A$18,Games!$I$2:$I$18,"Missing game",0)</x:f>
        <x:v>GB</x:v>
      </x:c>
      <x:c r="AO1716" t="n">
        <x:f>_xlfn.XLOOKUP($A1716,Games!$A$2:$A$18,Games!$J$2:$J$18,"Missing game",0)</x:f>
        <x:v>23</x:v>
      </x:c>
      <x:c r="AP1716" t="n">
        <x:f>_xlfn.XLOOKUP($A1716,Games!$A$2:$A$18,Games!$K$2:$K$18,"Missing game",0)</x:f>
        <x:v>17</x:v>
      </x:c>
      <x:c r="AQ1716" t="n">
        <x:f>_xlfn.XLOOKUP($A1716,Games!$A$2:$A$18,Games!$L$2:$L$18,"Missing game",0)</x:f>
        <x:v>29</x:v>
      </x:c>
      <x:c r="AR1716" t="n">
        <x:f>_xlfn.XLOOKUP($A1716,Games!$A$2:$A$18,Games!$M$2:$M$18,"Missing game",0)</x:f>
        <x:v>0</x:v>
      </x:c>
      <x:c r="AS1716" t="str">
        <x:f>_xlfn.XLOOKUP($A1716,Games!$A$2:$A$18,Games!$N$2:$N$18,"Missing game",0)</x:f>
        <x:v>outdoors</x:v>
      </x:c>
      <x:c r="AT1716" t="str">
        <x:f>_xlfn.XLOOKUP($A1716,Games!$A$2:$A$18,Games!$O$2:$O$18,"Missing game",0)</x:f>
        <x:v>grass</x:v>
      </x:c>
      <x:c r="AU1716" t="n">
        <x:f>_xlfn.XLOOKUP($A1716,Games!$A$2:$A$18,Games!$P$2:$P$18,"Missing game",0)</x:f>
        <x:v>43</x:v>
      </x:c>
      <x:c r="AV1716" t="n">
        <x:f>_xlfn.XLOOKUP($A1716,Games!$A$2:$A$18,Games!$Q$2:$Q$18,"Missing game",0)</x:f>
        <x:v>10</x:v>
      </x:c>
      <x:c r="AW1716" t="str">
        <x:f>_xlfn.XLOOKUP($A1716,Games!$A$2:$A$18,Games!$R$2:$R$18,"Missing game",0)</x:f>
        <x:v>Lambeau Field</x:v>
      </x:c>
    </x:row>
    <x:row r="1717">
      <x:c r="A1717" t="str">
        <x:v>2025_12_MIN_GB</x:v>
      </x:c>
      <x:c r="B1717" t="n">
        <x:v>172</x:v>
      </x:c>
      <x:c r="C1717" t="n">
        <x:v>1</x:v>
      </x:c>
      <x:c r="D1717" t="str">
        <x:v>13:02</x:v>
      </x:c>
      <x:c r="E1717" t="n">
        <x:v>3</x:v>
      </x:c>
      <x:c r="F1717" t="n">
        <x:v>10</x:v>
      </x:c>
      <x:c r="G1717" t="str">
        <x:v>MIN</x:v>
      </x:c>
      <x:c r="H1717" t="str">
        <x:v>GB</x:v>
      </x:c>
      <x:c r="I1717" t="str">
        <x:v>GB</x:v>
      </x:c>
      <x:c r="J1717" t="n">
        <x:v>34</x:v>
      </x:c>
      <x:c r="K1717" t="str">
        <x:v>(13:02) (Shotgun) 9-J.McCarthy pass incomplete short middle to 33-A.Jones.</x:v>
      </x:c>
      <x:c r="L1717" t="str">
        <x:v>pass</x:v>
      </x:c>
      <x:c r="M1717" t="n">
        <x:v>0</x:v>
      </x:c>
      <x:c r="N1717" t="n">
        <x:v>1</x:v>
      </x:c>
      <x:c r="O1717" t="n">
        <x:v>0</x:v>
      </x:c>
      <x:c r="P1717" t="str">
        <x:v>short</x:v>
      </x:c>
      <x:c r="Q1717" t="str">
        <x:v>middle</x:v>
      </x:c>
      <x:c r="R1717" t="n">
        <x:v>-2</x:v>
      </x:c>
      <x:c r="S1717"/>
      <x:c r="T1717"/>
      <x:c r="U1717"/>
      <x:c r="V1717" t="n">
        <x:v>0</x:v>
      </x:c>
      <x:c r="W1717" t="n">
        <x:v>0</x:v>
      </x:c>
      <x:c r="X1717" t="n">
        <x:v>0</x:v>
      </x:c>
      <x:c r="Y1717" t="n">
        <x:v>0</x:v>
      </x:c>
      <x:c r="Z1717" t="n">
        <x:v>0</x:v>
      </x:c>
      <x:c r="AA1717" t="n">
        <x:v>0</x:v>
      </x:c>
      <x:c r="AB1717"/>
      <x:c r="AC1717" t="n">
        <x:v>0</x:v>
      </x:c>
      <x:c r="AD1717" t="n">
        <x:v>-1.2540002908628338</x:v>
      </x:c>
      <x:c r="AE1717" t="n">
        <x:v>0</x:v>
      </x:c>
      <x:c r="AF1717" t="n">
        <x:v>-0.043282151222229004</x:v>
      </x:c>
      <x:c r="AG1717" t="n">
        <x:f>_xlfn.XLOOKUP($A1717,Games!$A$2:$A$18,Games!$B$2:$B$18,"Missing game",0)</x:f>
        <x:v>2025</x:v>
      </x:c>
      <x:c r="AH1717" t="str">
        <x:f>_xlfn.XLOOKUP($A1717,Games!$A$2:$A$18,Games!$C$2:$C$18,"Missing game",0)</x:f>
        <x:v>REG</x:v>
      </x:c>
      <x:c r="AI1717" t="n">
        <x:f>_xlfn.XLOOKUP($A1717,Games!$A$2:$A$18,Games!$D$2:$D$18,"Missing game",0)</x:f>
        <x:v>12</x:v>
      </x:c>
      <x:c r="AJ1717" s="1" t="n">
        <x:f>_xlfn.XLOOKUP($A1717,Games!$A$2:$A$18,Games!$E$2:$E$18,"Missing game",0)</x:f>
        <x:v>45984</x:v>
      </x:c>
      <x:c r="AK1717" t="str">
        <x:f>_xlfn.XLOOKUP($A1717,Games!$A$2:$A$18,Games!$F$2:$F$18,"Missing game",0)</x:f>
        <x:v>Sunday</x:v>
      </x:c>
      <x:c r="AL1717" t="str">
        <x:f>_xlfn.XLOOKUP($A1717,Games!$A$2:$A$18,Games!$G$2:$G$18,"Missing game",0)</x:f>
        <x:v>MIN</x:v>
      </x:c>
      <x:c r="AM1717" t="n">
        <x:f>_xlfn.XLOOKUP($A1717,Games!$A$2:$A$18,Games!$H$2:$H$18,"Missing game",0)</x:f>
        <x:v>6</x:v>
      </x:c>
      <x:c r="AN1717" t="str">
        <x:f>_xlfn.XLOOKUP($A1717,Games!$A$2:$A$18,Games!$I$2:$I$18,"Missing game",0)</x:f>
        <x:v>GB</x:v>
      </x:c>
      <x:c r="AO1717" t="n">
        <x:f>_xlfn.XLOOKUP($A1717,Games!$A$2:$A$18,Games!$J$2:$J$18,"Missing game",0)</x:f>
        <x:v>23</x:v>
      </x:c>
      <x:c r="AP1717" t="n">
        <x:f>_xlfn.XLOOKUP($A1717,Games!$A$2:$A$18,Games!$K$2:$K$18,"Missing game",0)</x:f>
        <x:v>17</x:v>
      </x:c>
      <x:c r="AQ1717" t="n">
        <x:f>_xlfn.XLOOKUP($A1717,Games!$A$2:$A$18,Games!$L$2:$L$18,"Missing game",0)</x:f>
        <x:v>29</x:v>
      </x:c>
      <x:c r="AR1717" t="n">
        <x:f>_xlfn.XLOOKUP($A1717,Games!$A$2:$A$18,Games!$M$2:$M$18,"Missing game",0)</x:f>
        <x:v>0</x:v>
      </x:c>
      <x:c r="AS1717" t="str">
        <x:f>_xlfn.XLOOKUP($A1717,Games!$A$2:$A$18,Games!$N$2:$N$18,"Missing game",0)</x:f>
        <x:v>outdoors</x:v>
      </x:c>
      <x:c r="AT1717" t="str">
        <x:f>_xlfn.XLOOKUP($A1717,Games!$A$2:$A$18,Games!$O$2:$O$18,"Missing game",0)</x:f>
        <x:v>grass</x:v>
      </x:c>
      <x:c r="AU1717" t="n">
        <x:f>_xlfn.XLOOKUP($A1717,Games!$A$2:$A$18,Games!$P$2:$P$18,"Missing game",0)</x:f>
        <x:v>43</x:v>
      </x:c>
      <x:c r="AV1717" t="n">
        <x:f>_xlfn.XLOOKUP($A1717,Games!$A$2:$A$18,Games!$Q$2:$Q$18,"Missing game",0)</x:f>
        <x:v>10</x:v>
      </x:c>
      <x:c r="AW1717" t="str">
        <x:f>_xlfn.XLOOKUP($A1717,Games!$A$2:$A$18,Games!$R$2:$R$18,"Missing game",0)</x:f>
        <x:v>Lambeau Field</x:v>
      </x:c>
    </x:row>
    <x:row r="1718">
      <x:c r="A1718" t="str">
        <x:v>2025_12_MIN_GB</x:v>
      </x:c>
      <x:c r="B1718" t="n">
        <x:v>195</x:v>
      </x:c>
      <x:c r="C1718" t="n">
        <x:v>1</x:v>
      </x:c>
      <x:c r="D1718" t="str">
        <x:v>12:58</x:v>
      </x:c>
      <x:c r="E1718" t="n">
        <x:v>4</x:v>
      </x:c>
      <x:c r="F1718" t="n">
        <x:v>10</x:v>
      </x:c>
      <x:c r="G1718" t="str">
        <x:v>MIN</x:v>
      </x:c>
      <x:c r="H1718" t="str">
        <x:v>GB</x:v>
      </x:c>
      <x:c r="I1718" t="str">
        <x:v>GB</x:v>
      </x:c>
      <x:c r="J1718" t="n">
        <x:v>34</x:v>
      </x:c>
      <x:c r="K1718" t="str">
        <x:v>(12:58) 16-W.Reichard 52 yard field goal is GOOD, Center-42-A.DePaola, Holder-17-R.Wright.</x:v>
      </x:c>
      <x:c r="L1718" t="str">
        <x:v>field_goal</x:v>
      </x:c>
      <x:c r="M1718" t="n">
        <x:v>0</x:v>
      </x:c>
      <x:c r="N1718" t="n">
        <x:v>0</x:v>
      </x:c>
      <x:c r="O1718" t="n">
        <x:v>0</x:v>
      </x:c>
      <x:c r="P1718"/>
      <x:c r="Q1718"/>
      <x:c r="R1718"/>
      <x:c r="S1718"/>
      <x:c r="T1718"/>
      <x:c r="U1718"/>
      <x:c r="V1718" t="n">
        <x:v>0</x:v>
      </x:c>
      <x:c r="W1718" t="n">
        <x:v>0</x:v>
      </x:c>
      <x:c r="X1718" t="n">
        <x:v>0</x:v>
      </x:c>
      <x:c r="Y1718" t="n">
        <x:v>0</x:v>
      </x:c>
      <x:c r="Z1718" t="n">
        <x:v>0</x:v>
      </x:c>
      <x:c r="AA1718" t="n">
        <x:v>0</x:v>
      </x:c>
      <x:c r="AB1718"/>
      <x:c r="AC1718" t="n">
        <x:v>0</x:v>
      </x:c>
      <x:c r="AD1718" t="n">
        <x:v>1.926297715499615</x:v>
      </x:c>
      <x:c r="AE1718" t="n">
        <x:v>1</x:v>
      </x:c>
      <x:c r="AF1718" t="n">
        <x:v>0.04484492540359497</x:v>
      </x:c>
      <x:c r="AG1718" t="n">
        <x:f>_xlfn.XLOOKUP($A1718,Games!$A$2:$A$18,Games!$B$2:$B$18,"Missing game",0)</x:f>
        <x:v>2025</x:v>
      </x:c>
      <x:c r="AH1718" t="str">
        <x:f>_xlfn.XLOOKUP($A1718,Games!$A$2:$A$18,Games!$C$2:$C$18,"Missing game",0)</x:f>
        <x:v>REG</x:v>
      </x:c>
      <x:c r="AI1718" t="n">
        <x:f>_xlfn.XLOOKUP($A1718,Games!$A$2:$A$18,Games!$D$2:$D$18,"Missing game",0)</x:f>
        <x:v>12</x:v>
      </x:c>
      <x:c r="AJ1718" s="1" t="n">
        <x:f>_xlfn.XLOOKUP($A1718,Games!$A$2:$A$18,Games!$E$2:$E$18,"Missing game",0)</x:f>
        <x:v>45984</x:v>
      </x:c>
      <x:c r="AK1718" t="str">
        <x:f>_xlfn.XLOOKUP($A1718,Games!$A$2:$A$18,Games!$F$2:$F$18,"Missing game",0)</x:f>
        <x:v>Sunday</x:v>
      </x:c>
      <x:c r="AL1718" t="str">
        <x:f>_xlfn.XLOOKUP($A1718,Games!$A$2:$A$18,Games!$G$2:$G$18,"Missing game",0)</x:f>
        <x:v>MIN</x:v>
      </x:c>
      <x:c r="AM1718" t="n">
        <x:f>_xlfn.XLOOKUP($A1718,Games!$A$2:$A$18,Games!$H$2:$H$18,"Missing game",0)</x:f>
        <x:v>6</x:v>
      </x:c>
      <x:c r="AN1718" t="str">
        <x:f>_xlfn.XLOOKUP($A1718,Games!$A$2:$A$18,Games!$I$2:$I$18,"Missing game",0)</x:f>
        <x:v>GB</x:v>
      </x:c>
      <x:c r="AO1718" t="n">
        <x:f>_xlfn.XLOOKUP($A1718,Games!$A$2:$A$18,Games!$J$2:$J$18,"Missing game",0)</x:f>
        <x:v>23</x:v>
      </x:c>
      <x:c r="AP1718" t="n">
        <x:f>_xlfn.XLOOKUP($A1718,Games!$A$2:$A$18,Games!$K$2:$K$18,"Missing game",0)</x:f>
        <x:v>17</x:v>
      </x:c>
      <x:c r="AQ1718" t="n">
        <x:f>_xlfn.XLOOKUP($A1718,Games!$A$2:$A$18,Games!$L$2:$L$18,"Missing game",0)</x:f>
        <x:v>29</x:v>
      </x:c>
      <x:c r="AR1718" t="n">
        <x:f>_xlfn.XLOOKUP($A1718,Games!$A$2:$A$18,Games!$M$2:$M$18,"Missing game",0)</x:f>
        <x:v>0</x:v>
      </x:c>
      <x:c r="AS1718" t="str">
        <x:f>_xlfn.XLOOKUP($A1718,Games!$A$2:$A$18,Games!$N$2:$N$18,"Missing game",0)</x:f>
        <x:v>outdoors</x:v>
      </x:c>
      <x:c r="AT1718" t="str">
        <x:f>_xlfn.XLOOKUP($A1718,Games!$A$2:$A$18,Games!$O$2:$O$18,"Missing game",0)</x:f>
        <x:v>grass</x:v>
      </x:c>
      <x:c r="AU1718" t="n">
        <x:f>_xlfn.XLOOKUP($A1718,Games!$A$2:$A$18,Games!$P$2:$P$18,"Missing game",0)</x:f>
        <x:v>43</x:v>
      </x:c>
      <x:c r="AV1718" t="n">
        <x:f>_xlfn.XLOOKUP($A1718,Games!$A$2:$A$18,Games!$Q$2:$Q$18,"Missing game",0)</x:f>
        <x:v>10</x:v>
      </x:c>
      <x:c r="AW1718" t="str">
        <x:f>_xlfn.XLOOKUP($A1718,Games!$A$2:$A$18,Games!$R$2:$R$18,"Missing game",0)</x:f>
        <x:v>Lambeau Field</x:v>
      </x:c>
    </x:row>
    <x:row r="1719">
      <x:c r="A1719" t="str">
        <x:v>2025_12_MIN_GB</x:v>
      </x:c>
      <x:c r="B1719" t="n">
        <x:v>215</x:v>
      </x:c>
      <x:c r="C1719" t="n">
        <x:v>1</x:v>
      </x:c>
      <x:c r="D1719" t="str">
        <x:v>12:53</x:v>
      </x:c>
      <x:c r="E1719"/>
      <x:c r="F1719" t="n">
        <x:v>0</x:v>
      </x:c>
      <x:c r="G1719" t="str">
        <x:v>GB</x:v>
      </x:c>
      <x:c r="H1719" t="str">
        <x:v>MIN</x:v>
      </x:c>
      <x:c r="I1719" t="str">
        <x:v>MIN</x:v>
      </x:c>
      <x:c r="J1719" t="n">
        <x:v>35</x:v>
      </x:c>
      <x:c r="K1719" t="str">
        <x:v>16-W.Reichard kicks 60 yards from MIN 35 to GB 5. 83-S.Williams to GB 30 for 25 yards (96-T.Batty).</x:v>
      </x:c>
      <x:c r="L1719" t="str">
        <x:v>kickoff</x:v>
      </x:c>
      <x:c r="M1719" t="n">
        <x:v>0</x:v>
      </x:c>
      <x:c r="N1719" t="n">
        <x:v>0</x:v>
      </x:c>
      <x:c r="O1719" t="n">
        <x:v>0</x:v>
      </x:c>
      <x:c r="P1719"/>
      <x:c r="Q1719"/>
      <x:c r="R1719"/>
      <x:c r="S1719"/>
      <x:c r="T1719"/>
      <x:c r="U1719"/>
      <x:c r="V1719" t="n">
        <x:v>0</x:v>
      </x:c>
      <x:c r="W1719" t="n">
        <x:v>0</x:v>
      </x:c>
      <x:c r="X1719" t="n">
        <x:v>0</x:v>
      </x:c>
      <x:c r="Y1719" t="n">
        <x:v>0</x:v>
      </x:c>
      <x:c r="Z1719" t="n">
        <x:v>0</x:v>
      </x:c>
      <x:c r="AA1719" t="n">
        <x:v>0</x:v>
      </x:c>
      <x:c r="AB1719"/>
      <x:c r="AC1719" t="n">
        <x:v>0</x:v>
      </x:c>
      <x:c r="AD1719" t="n">
        <x:v>0.33051655208691955</x:v>
      </x:c>
      <x:c r="AE1719" t="n">
        <x:v>1</x:v>
      </x:c>
      <x:c r="AF1719" t="n">
        <x:v>0.009234607219696045</x:v>
      </x:c>
      <x:c r="AG1719" t="n">
        <x:f>_xlfn.XLOOKUP($A1719,Games!$A$2:$A$18,Games!$B$2:$B$18,"Missing game",0)</x:f>
        <x:v>2025</x:v>
      </x:c>
      <x:c r="AH1719" t="str">
        <x:f>_xlfn.XLOOKUP($A1719,Games!$A$2:$A$18,Games!$C$2:$C$18,"Missing game",0)</x:f>
        <x:v>REG</x:v>
      </x:c>
      <x:c r="AI1719" t="n">
        <x:f>_xlfn.XLOOKUP($A1719,Games!$A$2:$A$18,Games!$D$2:$D$18,"Missing game",0)</x:f>
        <x:v>12</x:v>
      </x:c>
      <x:c r="AJ1719" s="1" t="n">
        <x:f>_xlfn.XLOOKUP($A1719,Games!$A$2:$A$18,Games!$E$2:$E$18,"Missing game",0)</x:f>
        <x:v>45984</x:v>
      </x:c>
      <x:c r="AK1719" t="str">
        <x:f>_xlfn.XLOOKUP($A1719,Games!$A$2:$A$18,Games!$F$2:$F$18,"Missing game",0)</x:f>
        <x:v>Sunday</x:v>
      </x:c>
      <x:c r="AL1719" t="str">
        <x:f>_xlfn.XLOOKUP($A1719,Games!$A$2:$A$18,Games!$G$2:$G$18,"Missing game",0)</x:f>
        <x:v>MIN</x:v>
      </x:c>
      <x:c r="AM1719" t="n">
        <x:f>_xlfn.XLOOKUP($A1719,Games!$A$2:$A$18,Games!$H$2:$H$18,"Missing game",0)</x:f>
        <x:v>6</x:v>
      </x:c>
      <x:c r="AN1719" t="str">
        <x:f>_xlfn.XLOOKUP($A1719,Games!$A$2:$A$18,Games!$I$2:$I$18,"Missing game",0)</x:f>
        <x:v>GB</x:v>
      </x:c>
      <x:c r="AO1719" t="n">
        <x:f>_xlfn.XLOOKUP($A1719,Games!$A$2:$A$18,Games!$J$2:$J$18,"Missing game",0)</x:f>
        <x:v>23</x:v>
      </x:c>
      <x:c r="AP1719" t="n">
        <x:f>_xlfn.XLOOKUP($A1719,Games!$A$2:$A$18,Games!$K$2:$K$18,"Missing game",0)</x:f>
        <x:v>17</x:v>
      </x:c>
      <x:c r="AQ1719" t="n">
        <x:f>_xlfn.XLOOKUP($A1719,Games!$A$2:$A$18,Games!$L$2:$L$18,"Missing game",0)</x:f>
        <x:v>29</x:v>
      </x:c>
      <x:c r="AR1719" t="n">
        <x:f>_xlfn.XLOOKUP($A1719,Games!$A$2:$A$18,Games!$M$2:$M$18,"Missing game",0)</x:f>
        <x:v>0</x:v>
      </x:c>
      <x:c r="AS1719" t="str">
        <x:f>_xlfn.XLOOKUP($A1719,Games!$A$2:$A$18,Games!$N$2:$N$18,"Missing game",0)</x:f>
        <x:v>outdoors</x:v>
      </x:c>
      <x:c r="AT1719" t="str">
        <x:f>_xlfn.XLOOKUP($A1719,Games!$A$2:$A$18,Games!$O$2:$O$18,"Missing game",0)</x:f>
        <x:v>grass</x:v>
      </x:c>
      <x:c r="AU1719" t="n">
        <x:f>_xlfn.XLOOKUP($A1719,Games!$A$2:$A$18,Games!$P$2:$P$18,"Missing game",0)</x:f>
        <x:v>43</x:v>
      </x:c>
      <x:c r="AV1719" t="n">
        <x:f>_xlfn.XLOOKUP($A1719,Games!$A$2:$A$18,Games!$Q$2:$Q$18,"Missing game",0)</x:f>
        <x:v>10</x:v>
      </x:c>
      <x:c r="AW1719" t="str">
        <x:f>_xlfn.XLOOKUP($A1719,Games!$A$2:$A$18,Games!$R$2:$R$18,"Missing game",0)</x:f>
        <x:v>Lambeau Field</x:v>
      </x:c>
    </x:row>
    <x:row r="1720">
      <x:c r="A1720" t="str">
        <x:v>2025_12_MIN_GB</x:v>
      </x:c>
      <x:c r="B1720" t="n">
        <x:v>245</x:v>
      </x:c>
      <x:c r="C1720" t="n">
        <x:v>1</x:v>
      </x:c>
      <x:c r="D1720" t="str">
        <x:v>12:48</x:v>
      </x:c>
      <x:c r="E1720" t="n">
        <x:v>1</x:v>
      </x:c>
      <x:c r="F1720" t="n">
        <x:v>10</x:v>
      </x:c>
      <x:c r="G1720" t="str">
        <x:v>GB</x:v>
      </x:c>
      <x:c r="H1720" t="str">
        <x:v>MIN</x:v>
      </x:c>
      <x:c r="I1720" t="str">
        <x:v>GB</x:v>
      </x:c>
      <x:c r="J1720" t="n">
        <x:v>70</x:v>
      </x:c>
      <x:c r="K1720" t="str">
        <x:v>(12:48) (Shotgun) 23-E.Wilson right guard to GB 30 for no gain (61-J.Redmond).</x:v>
      </x:c>
      <x:c r="L1720" t="str">
        <x:v>run</x:v>
      </x:c>
      <x:c r="M1720" t="n">
        <x:v>0</x:v>
      </x:c>
      <x:c r="N1720" t="n">
        <x:v>1</x:v>
      </x:c>
      <x:c r="O1720" t="n">
        <x:v>0</x:v>
      </x:c>
      <x:c r="P1720"/>
      <x:c r="Q1720"/>
      <x:c r="R1720"/>
      <x:c r="S1720"/>
      <x:c r="T1720" t="str">
        <x:v>right</x:v>
      </x:c>
      <x:c r="U1720" t="str">
        <x:v>guard</x:v>
      </x:c>
      <x:c r="V1720" t="n">
        <x:v>0</x:v>
      </x:c>
      <x:c r="W1720" t="n">
        <x:v>0</x:v>
      </x:c>
      <x:c r="X1720" t="n">
        <x:v>0</x:v>
      </x:c>
      <x:c r="Y1720" t="n">
        <x:v>0</x:v>
      </x:c>
      <x:c r="Z1720" t="n">
        <x:v>0</x:v>
      </x:c>
      <x:c r="AA1720" t="n">
        <x:v>0</x:v>
      </x:c>
      <x:c r="AB1720"/>
      <x:c r="AC1720" t="n">
        <x:v>0</x:v>
      </x:c>
      <x:c r="AD1720" t="n">
        <x:v>-0.6312442026101053</x:v>
      </x:c>
      <x:c r="AE1720" t="n">
        <x:v>0</x:v>
      </x:c>
      <x:c r="AF1720" t="n">
        <x:v>-0.016850173473358154</x:v>
      </x:c>
      <x:c r="AG1720" t="n">
        <x:f>_xlfn.XLOOKUP($A1720,Games!$A$2:$A$18,Games!$B$2:$B$18,"Missing game",0)</x:f>
        <x:v>2025</x:v>
      </x:c>
      <x:c r="AH1720" t="str">
        <x:f>_xlfn.XLOOKUP($A1720,Games!$A$2:$A$18,Games!$C$2:$C$18,"Missing game",0)</x:f>
        <x:v>REG</x:v>
      </x:c>
      <x:c r="AI1720" t="n">
        <x:f>_xlfn.XLOOKUP($A1720,Games!$A$2:$A$18,Games!$D$2:$D$18,"Missing game",0)</x:f>
        <x:v>12</x:v>
      </x:c>
      <x:c r="AJ1720" s="1" t="n">
        <x:f>_xlfn.XLOOKUP($A1720,Games!$A$2:$A$18,Games!$E$2:$E$18,"Missing game",0)</x:f>
        <x:v>45984</x:v>
      </x:c>
      <x:c r="AK1720" t="str">
        <x:f>_xlfn.XLOOKUP($A1720,Games!$A$2:$A$18,Games!$F$2:$F$18,"Missing game",0)</x:f>
        <x:v>Sunday</x:v>
      </x:c>
      <x:c r="AL1720" t="str">
        <x:f>_xlfn.XLOOKUP($A1720,Games!$A$2:$A$18,Games!$G$2:$G$18,"Missing game",0)</x:f>
        <x:v>MIN</x:v>
      </x:c>
      <x:c r="AM1720" t="n">
        <x:f>_xlfn.XLOOKUP($A1720,Games!$A$2:$A$18,Games!$H$2:$H$18,"Missing game",0)</x:f>
        <x:v>6</x:v>
      </x:c>
      <x:c r="AN1720" t="str">
        <x:f>_xlfn.XLOOKUP($A1720,Games!$A$2:$A$18,Games!$I$2:$I$18,"Missing game",0)</x:f>
        <x:v>GB</x:v>
      </x:c>
      <x:c r="AO1720" t="n">
        <x:f>_xlfn.XLOOKUP($A1720,Games!$A$2:$A$18,Games!$J$2:$J$18,"Missing game",0)</x:f>
        <x:v>23</x:v>
      </x:c>
      <x:c r="AP1720" t="n">
        <x:f>_xlfn.XLOOKUP($A1720,Games!$A$2:$A$18,Games!$K$2:$K$18,"Missing game",0)</x:f>
        <x:v>17</x:v>
      </x:c>
      <x:c r="AQ1720" t="n">
        <x:f>_xlfn.XLOOKUP($A1720,Games!$A$2:$A$18,Games!$L$2:$L$18,"Missing game",0)</x:f>
        <x:v>29</x:v>
      </x:c>
      <x:c r="AR1720" t="n">
        <x:f>_xlfn.XLOOKUP($A1720,Games!$A$2:$A$18,Games!$M$2:$M$18,"Missing game",0)</x:f>
        <x:v>0</x:v>
      </x:c>
      <x:c r="AS1720" t="str">
        <x:f>_xlfn.XLOOKUP($A1720,Games!$A$2:$A$18,Games!$N$2:$N$18,"Missing game",0)</x:f>
        <x:v>outdoors</x:v>
      </x:c>
      <x:c r="AT1720" t="str">
        <x:f>_xlfn.XLOOKUP($A1720,Games!$A$2:$A$18,Games!$O$2:$O$18,"Missing game",0)</x:f>
        <x:v>grass</x:v>
      </x:c>
      <x:c r="AU1720" t="n">
        <x:f>_xlfn.XLOOKUP($A1720,Games!$A$2:$A$18,Games!$P$2:$P$18,"Missing game",0)</x:f>
        <x:v>43</x:v>
      </x:c>
      <x:c r="AV1720" t="n">
        <x:f>_xlfn.XLOOKUP($A1720,Games!$A$2:$A$18,Games!$Q$2:$Q$18,"Missing game",0)</x:f>
        <x:v>10</x:v>
      </x:c>
      <x:c r="AW1720" t="str">
        <x:f>_xlfn.XLOOKUP($A1720,Games!$A$2:$A$18,Games!$R$2:$R$18,"Missing game",0)</x:f>
        <x:v>Lambeau Field</x:v>
      </x:c>
    </x:row>
    <x:row r="1721">
      <x:c r="A1721" t="str">
        <x:v>2025_12_MIN_GB</x:v>
      </x:c>
      <x:c r="B1721" t="n">
        <x:v>267</x:v>
      </x:c>
      <x:c r="C1721" t="n">
        <x:v>1</x:v>
      </x:c>
      <x:c r="D1721" t="str">
        <x:v>12:28</x:v>
      </x:c>
      <x:c r="E1721" t="n">
        <x:v>2</x:v>
      </x:c>
      <x:c r="F1721" t="n">
        <x:v>10</x:v>
      </x:c>
      <x:c r="G1721" t="str">
        <x:v>GB</x:v>
      </x:c>
      <x:c r="H1721" t="str">
        <x:v>MIN</x:v>
      </x:c>
      <x:c r="I1721" t="str">
        <x:v>GB</x:v>
      </x:c>
      <x:c r="J1721" t="n">
        <x:v>70</x:v>
      </x:c>
      <x:c r="K1721" t="str">
        <x:v>(12:28) (No Huddle, Shotgun) 10-J.Love pass short middle to 23-E.Wilson to GB 37 for 7 yards (44-J.Metellus).</x:v>
      </x:c>
      <x:c r="L1721" t="str">
        <x:v>pass</x:v>
      </x:c>
      <x:c r="M1721" t="n">
        <x:v>7</x:v>
      </x:c>
      <x:c r="N1721" t="n">
        <x:v>1</x:v>
      </x:c>
      <x:c r="O1721" t="n">
        <x:v>1</x:v>
      </x:c>
      <x:c r="P1721" t="str">
        <x:v>short</x:v>
      </x:c>
      <x:c r="Q1721" t="str">
        <x:v>middle</x:v>
      </x:c>
      <x:c r="R1721" t="n">
        <x:v>2</x:v>
      </x:c>
      <x:c r="S1721" t="n">
        <x:v>5</x:v>
      </x:c>
      <x:c r="T1721"/>
      <x:c r="U1721"/>
      <x:c r="V1721" t="n">
        <x:v>1</x:v>
      </x:c>
      <x:c r="W1721" t="n">
        <x:v>0</x:v>
      </x:c>
      <x:c r="X1721" t="n">
        <x:v>0</x:v>
      </x:c>
      <x:c r="Y1721" t="n">
        <x:v>0</x:v>
      </x:c>
      <x:c r="Z1721" t="n">
        <x:v>0</x:v>
      </x:c>
      <x:c r="AA1721" t="n">
        <x:v>0</x:v>
      </x:c>
      <x:c r="AB1721"/>
      <x:c r="AC1721" t="n">
        <x:v>0</x:v>
      </x:c>
      <x:c r="AD1721" t="n">
        <x:v>0.09619030077010393</x:v>
      </x:c>
      <x:c r="AE1721" t="n">
        <x:v>1</x:v>
      </x:c>
      <x:c r="AF1721" t="n">
        <x:v>0.013078033924102783</x:v>
      </x:c>
      <x:c r="AG1721" t="n">
        <x:f>_xlfn.XLOOKUP($A1721,Games!$A$2:$A$18,Games!$B$2:$B$18,"Missing game",0)</x:f>
        <x:v>2025</x:v>
      </x:c>
      <x:c r="AH1721" t="str">
        <x:f>_xlfn.XLOOKUP($A1721,Games!$A$2:$A$18,Games!$C$2:$C$18,"Missing game",0)</x:f>
        <x:v>REG</x:v>
      </x:c>
      <x:c r="AI1721" t="n">
        <x:f>_xlfn.XLOOKUP($A1721,Games!$A$2:$A$18,Games!$D$2:$D$18,"Missing game",0)</x:f>
        <x:v>12</x:v>
      </x:c>
      <x:c r="AJ1721" s="1" t="n">
        <x:f>_xlfn.XLOOKUP($A1721,Games!$A$2:$A$18,Games!$E$2:$E$18,"Missing game",0)</x:f>
        <x:v>45984</x:v>
      </x:c>
      <x:c r="AK1721" t="str">
        <x:f>_xlfn.XLOOKUP($A1721,Games!$A$2:$A$18,Games!$F$2:$F$18,"Missing game",0)</x:f>
        <x:v>Sunday</x:v>
      </x:c>
      <x:c r="AL1721" t="str">
        <x:f>_xlfn.XLOOKUP($A1721,Games!$A$2:$A$18,Games!$G$2:$G$18,"Missing game",0)</x:f>
        <x:v>MIN</x:v>
      </x:c>
      <x:c r="AM1721" t="n">
        <x:f>_xlfn.XLOOKUP($A1721,Games!$A$2:$A$18,Games!$H$2:$H$18,"Missing game",0)</x:f>
        <x:v>6</x:v>
      </x:c>
      <x:c r="AN1721" t="str">
        <x:f>_xlfn.XLOOKUP($A1721,Games!$A$2:$A$18,Games!$I$2:$I$18,"Missing game",0)</x:f>
        <x:v>GB</x:v>
      </x:c>
      <x:c r="AO1721" t="n">
        <x:f>_xlfn.XLOOKUP($A1721,Games!$A$2:$A$18,Games!$J$2:$J$18,"Missing game",0)</x:f>
        <x:v>23</x:v>
      </x:c>
      <x:c r="AP1721" t="n">
        <x:f>_xlfn.XLOOKUP($A1721,Games!$A$2:$A$18,Games!$K$2:$K$18,"Missing game",0)</x:f>
        <x:v>17</x:v>
      </x:c>
      <x:c r="AQ1721" t="n">
        <x:f>_xlfn.XLOOKUP($A1721,Games!$A$2:$A$18,Games!$L$2:$L$18,"Missing game",0)</x:f>
        <x:v>29</x:v>
      </x:c>
      <x:c r="AR1721" t="n">
        <x:f>_xlfn.XLOOKUP($A1721,Games!$A$2:$A$18,Games!$M$2:$M$18,"Missing game",0)</x:f>
        <x:v>0</x:v>
      </x:c>
      <x:c r="AS1721" t="str">
        <x:f>_xlfn.XLOOKUP($A1721,Games!$A$2:$A$18,Games!$N$2:$N$18,"Missing game",0)</x:f>
        <x:v>outdoors</x:v>
      </x:c>
      <x:c r="AT1721" t="str">
        <x:f>_xlfn.XLOOKUP($A1721,Games!$A$2:$A$18,Games!$O$2:$O$18,"Missing game",0)</x:f>
        <x:v>grass</x:v>
      </x:c>
      <x:c r="AU1721" t="n">
        <x:f>_xlfn.XLOOKUP($A1721,Games!$A$2:$A$18,Games!$P$2:$P$18,"Missing game",0)</x:f>
        <x:v>43</x:v>
      </x:c>
      <x:c r="AV1721" t="n">
        <x:f>_xlfn.XLOOKUP($A1721,Games!$A$2:$A$18,Games!$Q$2:$Q$18,"Missing game",0)</x:f>
        <x:v>10</x:v>
      </x:c>
      <x:c r="AW1721" t="str">
        <x:f>_xlfn.XLOOKUP($A1721,Games!$A$2:$A$18,Games!$R$2:$R$18,"Missing game",0)</x:f>
        <x:v>Lambeau Field</x:v>
      </x:c>
    </x:row>
    <x:row r="1722">
      <x:c r="A1722" t="str">
        <x:v>2025_12_MIN_GB</x:v>
      </x:c>
      <x:c r="B1722" t="n">
        <x:v>292</x:v>
      </x:c>
      <x:c r="C1722" t="n">
        <x:v>1</x:v>
      </x:c>
      <x:c r="D1722" t="str">
        <x:v>11:48</x:v>
      </x:c>
      <x:c r="E1722" t="n">
        <x:v>3</x:v>
      </x:c>
      <x:c r="F1722" t="n">
        <x:v>3</x:v>
      </x:c>
      <x:c r="G1722" t="str">
        <x:v>GB</x:v>
      </x:c>
      <x:c r="H1722" t="str">
        <x:v>MIN</x:v>
      </x:c>
      <x:c r="I1722" t="str">
        <x:v>GB</x:v>
      </x:c>
      <x:c r="J1722" t="n">
        <x:v>63</x:v>
      </x:c>
      <x:c r="K1722" t="str">
        <x:v>(11:48) (Shotgun) 10-J.Love pass short right to 9-C.Watson ran ob at GB 49 for 12 yards.</x:v>
      </x:c>
      <x:c r="L1722" t="str">
        <x:v>pass</x:v>
      </x:c>
      <x:c r="M1722" t="n">
        <x:v>12</x:v>
      </x:c>
      <x:c r="N1722" t="n">
        <x:v>1</x:v>
      </x:c>
      <x:c r="O1722" t="n">
        <x:v>0</x:v>
      </x:c>
      <x:c r="P1722" t="str">
        <x:v>short</x:v>
      </x:c>
      <x:c r="Q1722" t="str">
        <x:v>right</x:v>
      </x:c>
      <x:c r="R1722" t="n">
        <x:v>12</x:v>
      </x:c>
      <x:c r="S1722" t="n">
        <x:v>0</x:v>
      </x:c>
      <x:c r="T1722"/>
      <x:c r="U1722"/>
      <x:c r="V1722" t="n">
        <x:v>1</x:v>
      </x:c>
      <x:c r="W1722" t="n">
        <x:v>1</x:v>
      </x:c>
      <x:c r="X1722" t="n">
        <x:v>0</x:v>
      </x:c>
      <x:c r="Y1722" t="n">
        <x:v>0</x:v>
      </x:c>
      <x:c r="Z1722" t="n">
        <x:v>0</x:v>
      </x:c>
      <x:c r="AA1722" t="n">
        <x:v>0</x:v>
      </x:c>
      <x:c r="AB1722"/>
      <x:c r="AC1722" t="n">
        <x:v>0</x:v>
      </x:c>
      <x:c r="AD1722" t="n">
        <x:v>1.6723913059104234</x:v>
      </x:c>
      <x:c r="AE1722" t="n">
        <x:v>1</x:v>
      </x:c>
      <x:c r="AF1722" t="n">
        <x:v>0.03611612319946289</x:v>
      </x:c>
      <x:c r="AG1722" t="n">
        <x:f>_xlfn.XLOOKUP($A1722,Games!$A$2:$A$18,Games!$B$2:$B$18,"Missing game",0)</x:f>
        <x:v>2025</x:v>
      </x:c>
      <x:c r="AH1722" t="str">
        <x:f>_xlfn.XLOOKUP($A1722,Games!$A$2:$A$18,Games!$C$2:$C$18,"Missing game",0)</x:f>
        <x:v>REG</x:v>
      </x:c>
      <x:c r="AI1722" t="n">
        <x:f>_xlfn.XLOOKUP($A1722,Games!$A$2:$A$18,Games!$D$2:$D$18,"Missing game",0)</x:f>
        <x:v>12</x:v>
      </x:c>
      <x:c r="AJ1722" s="1" t="n">
        <x:f>_xlfn.XLOOKUP($A1722,Games!$A$2:$A$18,Games!$E$2:$E$18,"Missing game",0)</x:f>
        <x:v>45984</x:v>
      </x:c>
      <x:c r="AK1722" t="str">
        <x:f>_xlfn.XLOOKUP($A1722,Games!$A$2:$A$18,Games!$F$2:$F$18,"Missing game",0)</x:f>
        <x:v>Sunday</x:v>
      </x:c>
      <x:c r="AL1722" t="str">
        <x:f>_xlfn.XLOOKUP($A1722,Games!$A$2:$A$18,Games!$G$2:$G$18,"Missing game",0)</x:f>
        <x:v>MIN</x:v>
      </x:c>
      <x:c r="AM1722" t="n">
        <x:f>_xlfn.XLOOKUP($A1722,Games!$A$2:$A$18,Games!$H$2:$H$18,"Missing game",0)</x:f>
        <x:v>6</x:v>
      </x:c>
      <x:c r="AN1722" t="str">
        <x:f>_xlfn.XLOOKUP($A1722,Games!$A$2:$A$18,Games!$I$2:$I$18,"Missing game",0)</x:f>
        <x:v>GB</x:v>
      </x:c>
      <x:c r="AO1722" t="n">
        <x:f>_xlfn.XLOOKUP($A1722,Games!$A$2:$A$18,Games!$J$2:$J$18,"Missing game",0)</x:f>
        <x:v>23</x:v>
      </x:c>
      <x:c r="AP1722" t="n">
        <x:f>_xlfn.XLOOKUP($A1722,Games!$A$2:$A$18,Games!$K$2:$K$18,"Missing game",0)</x:f>
        <x:v>17</x:v>
      </x:c>
      <x:c r="AQ1722" t="n">
        <x:f>_xlfn.XLOOKUP($A1722,Games!$A$2:$A$18,Games!$L$2:$L$18,"Missing game",0)</x:f>
        <x:v>29</x:v>
      </x:c>
      <x:c r="AR1722" t="n">
        <x:f>_xlfn.XLOOKUP($A1722,Games!$A$2:$A$18,Games!$M$2:$M$18,"Missing game",0)</x:f>
        <x:v>0</x:v>
      </x:c>
      <x:c r="AS1722" t="str">
        <x:f>_xlfn.XLOOKUP($A1722,Games!$A$2:$A$18,Games!$N$2:$N$18,"Missing game",0)</x:f>
        <x:v>outdoors</x:v>
      </x:c>
      <x:c r="AT1722" t="str">
        <x:f>_xlfn.XLOOKUP($A1722,Games!$A$2:$A$18,Games!$O$2:$O$18,"Missing game",0)</x:f>
        <x:v>grass</x:v>
      </x:c>
      <x:c r="AU1722" t="n">
        <x:f>_xlfn.XLOOKUP($A1722,Games!$A$2:$A$18,Games!$P$2:$P$18,"Missing game",0)</x:f>
        <x:v>43</x:v>
      </x:c>
      <x:c r="AV1722" t="n">
        <x:f>_xlfn.XLOOKUP($A1722,Games!$A$2:$A$18,Games!$Q$2:$Q$18,"Missing game",0)</x:f>
        <x:v>10</x:v>
      </x:c>
      <x:c r="AW1722" t="str">
        <x:f>_xlfn.XLOOKUP($A1722,Games!$A$2:$A$18,Games!$R$2:$R$18,"Missing game",0)</x:f>
        <x:v>Lambeau Field</x:v>
      </x:c>
    </x:row>
    <x:row r="1723">
      <x:c r="A1723" t="str">
        <x:v>2025_12_MIN_GB</x:v>
      </x:c>
      <x:c r="B1723" t="n">
        <x:v>322</x:v>
      </x:c>
      <x:c r="C1723" t="n">
        <x:v>1</x:v>
      </x:c>
      <x:c r="D1723" t="str">
        <x:v>11:17</x:v>
      </x:c>
      <x:c r="E1723" t="n">
        <x:v>1</x:v>
      </x:c>
      <x:c r="F1723" t="n">
        <x:v>10</x:v>
      </x:c>
      <x:c r="G1723" t="str">
        <x:v>GB</x:v>
      </x:c>
      <x:c r="H1723" t="str">
        <x:v>MIN</x:v>
      </x:c>
      <x:c r="I1723" t="str">
        <x:v>GB</x:v>
      </x:c>
      <x:c r="J1723" t="n">
        <x:v>51</x:v>
      </x:c>
      <x:c r="K1723" t="str">
        <x:v>(11:17) (Shotgun) 23-E.Wilson left end to MIN 47 for 4 yards (51-B.Cashman; 44-J.Metellus).</x:v>
      </x:c>
      <x:c r="L1723" t="str">
        <x:v>run</x:v>
      </x:c>
      <x:c r="M1723" t="n">
        <x:v>4</x:v>
      </x:c>
      <x:c r="N1723" t="n">
        <x:v>1</x:v>
      </x:c>
      <x:c r="O1723" t="n">
        <x:v>0</x:v>
      </x:c>
      <x:c r="P1723"/>
      <x:c r="Q1723"/>
      <x:c r="R1723"/>
      <x:c r="S1723"/>
      <x:c r="T1723" t="str">
        <x:v>left</x:v>
      </x:c>
      <x:c r="U1723" t="str">
        <x:v>end</x:v>
      </x:c>
      <x:c r="V1723" t="n">
        <x:v>0</x:v>
      </x:c>
      <x:c r="W1723" t="n">
        <x:v>0</x:v>
      </x:c>
      <x:c r="X1723" t="n">
        <x:v>0</x:v>
      </x:c>
      <x:c r="Y1723" t="n">
        <x:v>0</x:v>
      </x:c>
      <x:c r="Z1723" t="n">
        <x:v>0</x:v>
      </x:c>
      <x:c r="AA1723" t="n">
        <x:v>0</x:v>
      </x:c>
      <x:c r="AB1723"/>
      <x:c r="AC1723" t="n">
        <x:v>0</x:v>
      </x:c>
      <x:c r="AD1723" t="n">
        <x:v>-0.20874036266468465</x:v>
      </x:c>
      <x:c r="AE1723" t="n">
        <x:v>0</x:v>
      </x:c>
      <x:c r="AF1723" t="n">
        <x:v>0.00591045618057251</x:v>
      </x:c>
      <x:c r="AG1723" t="n">
        <x:f>_xlfn.XLOOKUP($A1723,Games!$A$2:$A$18,Games!$B$2:$B$18,"Missing game",0)</x:f>
        <x:v>2025</x:v>
      </x:c>
      <x:c r="AH1723" t="str">
        <x:f>_xlfn.XLOOKUP($A1723,Games!$A$2:$A$18,Games!$C$2:$C$18,"Missing game",0)</x:f>
        <x:v>REG</x:v>
      </x:c>
      <x:c r="AI1723" t="n">
        <x:f>_xlfn.XLOOKUP($A1723,Games!$A$2:$A$18,Games!$D$2:$D$18,"Missing game",0)</x:f>
        <x:v>12</x:v>
      </x:c>
      <x:c r="AJ1723" s="1" t="n">
        <x:f>_xlfn.XLOOKUP($A1723,Games!$A$2:$A$18,Games!$E$2:$E$18,"Missing game",0)</x:f>
        <x:v>45984</x:v>
      </x:c>
      <x:c r="AK1723" t="str">
        <x:f>_xlfn.XLOOKUP($A1723,Games!$A$2:$A$18,Games!$F$2:$F$18,"Missing game",0)</x:f>
        <x:v>Sunday</x:v>
      </x:c>
      <x:c r="AL1723" t="str">
        <x:f>_xlfn.XLOOKUP($A1723,Games!$A$2:$A$18,Games!$G$2:$G$18,"Missing game",0)</x:f>
        <x:v>MIN</x:v>
      </x:c>
      <x:c r="AM1723" t="n">
        <x:f>_xlfn.XLOOKUP($A1723,Games!$A$2:$A$18,Games!$H$2:$H$18,"Missing game",0)</x:f>
        <x:v>6</x:v>
      </x:c>
      <x:c r="AN1723" t="str">
        <x:f>_xlfn.XLOOKUP($A1723,Games!$A$2:$A$18,Games!$I$2:$I$18,"Missing game",0)</x:f>
        <x:v>GB</x:v>
      </x:c>
      <x:c r="AO1723" t="n">
        <x:f>_xlfn.XLOOKUP($A1723,Games!$A$2:$A$18,Games!$J$2:$J$18,"Missing game",0)</x:f>
        <x:v>23</x:v>
      </x:c>
      <x:c r="AP1723" t="n">
        <x:f>_xlfn.XLOOKUP($A1723,Games!$A$2:$A$18,Games!$K$2:$K$18,"Missing game",0)</x:f>
        <x:v>17</x:v>
      </x:c>
      <x:c r="AQ1723" t="n">
        <x:f>_xlfn.XLOOKUP($A1723,Games!$A$2:$A$18,Games!$L$2:$L$18,"Missing game",0)</x:f>
        <x:v>29</x:v>
      </x:c>
      <x:c r="AR1723" t="n">
        <x:f>_xlfn.XLOOKUP($A1723,Games!$A$2:$A$18,Games!$M$2:$M$18,"Missing game",0)</x:f>
        <x:v>0</x:v>
      </x:c>
      <x:c r="AS1723" t="str">
        <x:f>_xlfn.XLOOKUP($A1723,Games!$A$2:$A$18,Games!$N$2:$N$18,"Missing game",0)</x:f>
        <x:v>outdoors</x:v>
      </x:c>
      <x:c r="AT1723" t="str">
        <x:f>_xlfn.XLOOKUP($A1723,Games!$A$2:$A$18,Games!$O$2:$O$18,"Missing game",0)</x:f>
        <x:v>grass</x:v>
      </x:c>
      <x:c r="AU1723" t="n">
        <x:f>_xlfn.XLOOKUP($A1723,Games!$A$2:$A$18,Games!$P$2:$P$18,"Missing game",0)</x:f>
        <x:v>43</x:v>
      </x:c>
      <x:c r="AV1723" t="n">
        <x:f>_xlfn.XLOOKUP($A1723,Games!$A$2:$A$18,Games!$Q$2:$Q$18,"Missing game",0)</x:f>
        <x:v>10</x:v>
      </x:c>
      <x:c r="AW1723" t="str">
        <x:f>_xlfn.XLOOKUP($A1723,Games!$A$2:$A$18,Games!$R$2:$R$18,"Missing game",0)</x:f>
        <x:v>Lambeau Field</x:v>
      </x:c>
    </x:row>
    <x:row r="1724">
      <x:c r="A1724" t="str">
        <x:v>2025_12_MIN_GB</x:v>
      </x:c>
      <x:c r="B1724" t="n">
        <x:v>344</x:v>
      </x:c>
      <x:c r="C1724" t="n">
        <x:v>1</x:v>
      </x:c>
      <x:c r="D1724" t="str">
        <x:v>10:52</x:v>
      </x:c>
      <x:c r="E1724" t="n">
        <x:v>2</x:v>
      </x:c>
      <x:c r="F1724" t="n">
        <x:v>6</x:v>
      </x:c>
      <x:c r="G1724" t="str">
        <x:v>GB</x:v>
      </x:c>
      <x:c r="H1724" t="str">
        <x:v>MIN</x:v>
      </x:c>
      <x:c r="I1724" t="str">
        <x:v>MIN</x:v>
      </x:c>
      <x:c r="J1724" t="n">
        <x:v>47</x:v>
      </x:c>
      <x:c r="K1724" t="str">
        <x:v>(10:52) (No Huddle, Shotgun) 10-J.Love pass incomplete deep left to 88-L.Musgrave. PENALTY on MIN-44-J.Metellus, Defensive Pass Interference, 24 yards, enforced at MIN 47 - No Play.</x:v>
      </x:c>
      <x:c r="L1724" t="str">
        <x:v>no_play</x:v>
      </x:c>
      <x:c r="M1724" t="n">
        <x:v>0</x:v>
      </x:c>
      <x:c r="N1724" t="n">
        <x:v>1</x:v>
      </x:c>
      <x:c r="O1724" t="n">
        <x:v>1</x:v>
      </x:c>
      <x:c r="P1724"/>
      <x:c r="Q1724"/>
      <x:c r="R1724"/>
      <x:c r="S1724"/>
      <x:c r="T1724"/>
      <x:c r="U1724"/>
      <x:c r="V1724" t="n">
        <x:v>0</x:v>
      </x:c>
      <x:c r="W1724" t="n">
        <x:v>1</x:v>
      </x:c>
      <x:c r="X1724" t="n">
        <x:v>0</x:v>
      </x:c>
      <x:c r="Y1724" t="n">
        <x:v>0</x:v>
      </x:c>
      <x:c r="Z1724" t="n">
        <x:v>0</x:v>
      </x:c>
      <x:c r="AA1724" t="n">
        <x:v>1</x:v>
      </x:c>
      <x:c r="AB1724" t="n">
        <x:v>24</x:v>
      </x:c>
      <x:c r="AC1724" t="n">
        <x:v>0</x:v>
      </x:c>
      <x:c r="AD1724" t="n">
        <x:v>1.9787500395905226</x:v>
      </x:c>
      <x:c r="AE1724" t="n">
        <x:v>1</x:v>
      </x:c>
      <x:c r="AF1724" t="n">
        <x:v>0.07397198677062988</x:v>
      </x:c>
      <x:c r="AG1724" t="n">
        <x:f>_xlfn.XLOOKUP($A1724,Games!$A$2:$A$18,Games!$B$2:$B$18,"Missing game",0)</x:f>
        <x:v>2025</x:v>
      </x:c>
      <x:c r="AH1724" t="str">
        <x:f>_xlfn.XLOOKUP($A1724,Games!$A$2:$A$18,Games!$C$2:$C$18,"Missing game",0)</x:f>
        <x:v>REG</x:v>
      </x:c>
      <x:c r="AI1724" t="n">
        <x:f>_xlfn.XLOOKUP($A1724,Games!$A$2:$A$18,Games!$D$2:$D$18,"Missing game",0)</x:f>
        <x:v>12</x:v>
      </x:c>
      <x:c r="AJ1724" s="1" t="n">
        <x:f>_xlfn.XLOOKUP($A1724,Games!$A$2:$A$18,Games!$E$2:$E$18,"Missing game",0)</x:f>
        <x:v>45984</x:v>
      </x:c>
      <x:c r="AK1724" t="str">
        <x:f>_xlfn.XLOOKUP($A1724,Games!$A$2:$A$18,Games!$F$2:$F$18,"Missing game",0)</x:f>
        <x:v>Sunday</x:v>
      </x:c>
      <x:c r="AL1724" t="str">
        <x:f>_xlfn.XLOOKUP($A1724,Games!$A$2:$A$18,Games!$G$2:$G$18,"Missing game",0)</x:f>
        <x:v>MIN</x:v>
      </x:c>
      <x:c r="AM1724" t="n">
        <x:f>_xlfn.XLOOKUP($A1724,Games!$A$2:$A$18,Games!$H$2:$H$18,"Missing game",0)</x:f>
        <x:v>6</x:v>
      </x:c>
      <x:c r="AN1724" t="str">
        <x:f>_xlfn.XLOOKUP($A1724,Games!$A$2:$A$18,Games!$I$2:$I$18,"Missing game",0)</x:f>
        <x:v>GB</x:v>
      </x:c>
      <x:c r="AO1724" t="n">
        <x:f>_xlfn.XLOOKUP($A1724,Games!$A$2:$A$18,Games!$J$2:$J$18,"Missing game",0)</x:f>
        <x:v>23</x:v>
      </x:c>
      <x:c r="AP1724" t="n">
        <x:f>_xlfn.XLOOKUP($A1724,Games!$A$2:$A$18,Games!$K$2:$K$18,"Missing game",0)</x:f>
        <x:v>17</x:v>
      </x:c>
      <x:c r="AQ1724" t="n">
        <x:f>_xlfn.XLOOKUP($A1724,Games!$A$2:$A$18,Games!$L$2:$L$18,"Missing game",0)</x:f>
        <x:v>29</x:v>
      </x:c>
      <x:c r="AR1724" t="n">
        <x:f>_xlfn.XLOOKUP($A1724,Games!$A$2:$A$18,Games!$M$2:$M$18,"Missing game",0)</x:f>
        <x:v>0</x:v>
      </x:c>
      <x:c r="AS1724" t="str">
        <x:f>_xlfn.XLOOKUP($A1724,Games!$A$2:$A$18,Games!$N$2:$N$18,"Missing game",0)</x:f>
        <x:v>outdoors</x:v>
      </x:c>
      <x:c r="AT1724" t="str">
        <x:f>_xlfn.XLOOKUP($A1724,Games!$A$2:$A$18,Games!$O$2:$O$18,"Missing game",0)</x:f>
        <x:v>grass</x:v>
      </x:c>
      <x:c r="AU1724" t="n">
        <x:f>_xlfn.XLOOKUP($A1724,Games!$A$2:$A$18,Games!$P$2:$P$18,"Missing game",0)</x:f>
        <x:v>43</x:v>
      </x:c>
      <x:c r="AV1724" t="n">
        <x:f>_xlfn.XLOOKUP($A1724,Games!$A$2:$A$18,Games!$Q$2:$Q$18,"Missing game",0)</x:f>
        <x:v>10</x:v>
      </x:c>
      <x:c r="AW1724" t="str">
        <x:f>_xlfn.XLOOKUP($A1724,Games!$A$2:$A$18,Games!$R$2:$R$18,"Missing game",0)</x:f>
        <x:v>Lambeau Field</x:v>
      </x:c>
    </x:row>
    <x:row r="1725">
      <x:c r="A1725" t="str">
        <x:v>2025_12_MIN_GB</x:v>
      </x:c>
      <x:c r="B1725" t="n">
        <x:v>378</x:v>
      </x:c>
      <x:c r="C1725" t="n">
        <x:v>1</x:v>
      </x:c>
      <x:c r="D1725" t="str">
        <x:v>10:47</x:v>
      </x:c>
      <x:c r="E1725" t="n">
        <x:v>1</x:v>
      </x:c>
      <x:c r="F1725" t="n">
        <x:v>10</x:v>
      </x:c>
      <x:c r="G1725" t="str">
        <x:v>GB</x:v>
      </x:c>
      <x:c r="H1725" t="str">
        <x:v>MIN</x:v>
      </x:c>
      <x:c r="I1725" t="str">
        <x:v>MIN</x:v>
      </x:c>
      <x:c r="J1725" t="n">
        <x:v>23</x:v>
      </x:c>
      <x:c r="K1725" t="str">
        <x:v>(10:47) 70-D.Kinnard reported in as eligible. 23-E.Wilson right tackle to MIN 19 for 4 yards (50-L.Rodriguez).</x:v>
      </x:c>
      <x:c r="L1725" t="str">
        <x:v>run</x:v>
      </x:c>
      <x:c r="M1725" t="n">
        <x:v>4</x:v>
      </x:c>
      <x:c r="N1725" t="n">
        <x:v>0</x:v>
      </x:c>
      <x:c r="O1725" t="n">
        <x:v>0</x:v>
      </x:c>
      <x:c r="P1725"/>
      <x:c r="Q1725"/>
      <x:c r="R1725"/>
      <x:c r="S1725"/>
      <x:c r="T1725" t="str">
        <x:v>right</x:v>
      </x:c>
      <x:c r="U1725" t="str">
        <x:v>tackle</x:v>
      </x:c>
      <x:c r="V1725" t="n">
        <x:v>0</x:v>
      </x:c>
      <x:c r="W1725" t="n">
        <x:v>0</x:v>
      </x:c>
      <x:c r="X1725" t="n">
        <x:v>0</x:v>
      </x:c>
      <x:c r="Y1725" t="n">
        <x:v>0</x:v>
      </x:c>
      <x:c r="Z1725" t="n">
        <x:v>0</x:v>
      </x:c>
      <x:c r="AA1725" t="n">
        <x:v>0</x:v>
      </x:c>
      <x:c r="AB1725"/>
      <x:c r="AC1725" t="n">
        <x:v>0</x:v>
      </x:c>
      <x:c r="AD1725" t="n">
        <x:v>-0.25129991449648514</x:v>
      </x:c>
      <x:c r="AE1725" t="n">
        <x:v>0</x:v>
      </x:c>
      <x:c r="AF1725" t="n">
        <x:v>-0.0045746564865112305</x:v>
      </x:c>
      <x:c r="AG1725" t="n">
        <x:f>_xlfn.XLOOKUP($A1725,Games!$A$2:$A$18,Games!$B$2:$B$18,"Missing game",0)</x:f>
        <x:v>2025</x:v>
      </x:c>
      <x:c r="AH1725" t="str">
        <x:f>_xlfn.XLOOKUP($A1725,Games!$A$2:$A$18,Games!$C$2:$C$18,"Missing game",0)</x:f>
        <x:v>REG</x:v>
      </x:c>
      <x:c r="AI1725" t="n">
        <x:f>_xlfn.XLOOKUP($A1725,Games!$A$2:$A$18,Games!$D$2:$D$18,"Missing game",0)</x:f>
        <x:v>12</x:v>
      </x:c>
      <x:c r="AJ1725" s="1" t="n">
        <x:f>_xlfn.XLOOKUP($A1725,Games!$A$2:$A$18,Games!$E$2:$E$18,"Missing game",0)</x:f>
        <x:v>45984</x:v>
      </x:c>
      <x:c r="AK1725" t="str">
        <x:f>_xlfn.XLOOKUP($A1725,Games!$A$2:$A$18,Games!$F$2:$F$18,"Missing game",0)</x:f>
        <x:v>Sunday</x:v>
      </x:c>
      <x:c r="AL1725" t="str">
        <x:f>_xlfn.XLOOKUP($A1725,Games!$A$2:$A$18,Games!$G$2:$G$18,"Missing game",0)</x:f>
        <x:v>MIN</x:v>
      </x:c>
      <x:c r="AM1725" t="n">
        <x:f>_xlfn.XLOOKUP($A1725,Games!$A$2:$A$18,Games!$H$2:$H$18,"Missing game",0)</x:f>
        <x:v>6</x:v>
      </x:c>
      <x:c r="AN1725" t="str">
        <x:f>_xlfn.XLOOKUP($A1725,Games!$A$2:$A$18,Games!$I$2:$I$18,"Missing game",0)</x:f>
        <x:v>GB</x:v>
      </x:c>
      <x:c r="AO1725" t="n">
        <x:f>_xlfn.XLOOKUP($A1725,Games!$A$2:$A$18,Games!$J$2:$J$18,"Missing game",0)</x:f>
        <x:v>23</x:v>
      </x:c>
      <x:c r="AP1725" t="n">
        <x:f>_xlfn.XLOOKUP($A1725,Games!$A$2:$A$18,Games!$K$2:$K$18,"Missing game",0)</x:f>
        <x:v>17</x:v>
      </x:c>
      <x:c r="AQ1725" t="n">
        <x:f>_xlfn.XLOOKUP($A1725,Games!$A$2:$A$18,Games!$L$2:$L$18,"Missing game",0)</x:f>
        <x:v>29</x:v>
      </x:c>
      <x:c r="AR1725" t="n">
        <x:f>_xlfn.XLOOKUP($A1725,Games!$A$2:$A$18,Games!$M$2:$M$18,"Missing game",0)</x:f>
        <x:v>0</x:v>
      </x:c>
      <x:c r="AS1725" t="str">
        <x:f>_xlfn.XLOOKUP($A1725,Games!$A$2:$A$18,Games!$N$2:$N$18,"Missing game",0)</x:f>
        <x:v>outdoors</x:v>
      </x:c>
      <x:c r="AT1725" t="str">
        <x:f>_xlfn.XLOOKUP($A1725,Games!$A$2:$A$18,Games!$O$2:$O$18,"Missing game",0)</x:f>
        <x:v>grass</x:v>
      </x:c>
      <x:c r="AU1725" t="n">
        <x:f>_xlfn.XLOOKUP($A1725,Games!$A$2:$A$18,Games!$P$2:$P$18,"Missing game",0)</x:f>
        <x:v>43</x:v>
      </x:c>
      <x:c r="AV1725" t="n">
        <x:f>_xlfn.XLOOKUP($A1725,Games!$A$2:$A$18,Games!$Q$2:$Q$18,"Missing game",0)</x:f>
        <x:v>10</x:v>
      </x:c>
      <x:c r="AW1725" t="str">
        <x:f>_xlfn.XLOOKUP($A1725,Games!$A$2:$A$18,Games!$R$2:$R$18,"Missing game",0)</x:f>
        <x:v>Lambeau Field</x:v>
      </x:c>
    </x:row>
    <x:row r="1726">
      <x:c r="A1726" t="str">
        <x:v>2025_12_MIN_GB</x:v>
      </x:c>
      <x:c r="B1726" t="n">
        <x:v>402</x:v>
      </x:c>
      <x:c r="C1726" t="n">
        <x:v>1</x:v>
      </x:c>
      <x:c r="D1726" t="str">
        <x:v>10:05</x:v>
      </x:c>
      <x:c r="E1726" t="n">
        <x:v>2</x:v>
      </x:c>
      <x:c r="F1726" t="n">
        <x:v>6</x:v>
      </x:c>
      <x:c r="G1726" t="str">
        <x:v>GB</x:v>
      </x:c>
      <x:c r="H1726" t="str">
        <x:v>MIN</x:v>
      </x:c>
      <x:c r="I1726" t="str">
        <x:v>MIN</x:v>
      </x:c>
      <x:c r="J1726" t="n">
        <x:v>19</x:v>
      </x:c>
      <x:c r="K1726" t="str">
        <x:v>(10:05) (Shotgun) 10-J.Love pass short left to 13-D.Wicks to MIN 1 for 18 yards (2-I.Rodgers; 44-J.Metellus).</x:v>
      </x:c>
      <x:c r="L1726" t="str">
        <x:v>pass</x:v>
      </x:c>
      <x:c r="M1726" t="n">
        <x:v>18</x:v>
      </x:c>
      <x:c r="N1726" t="n">
        <x:v>1</x:v>
      </x:c>
      <x:c r="O1726" t="n">
        <x:v>0</x:v>
      </x:c>
      <x:c r="P1726" t="str">
        <x:v>short</x:v>
      </x:c>
      <x:c r="Q1726" t="str">
        <x:v>left</x:v>
      </x:c>
      <x:c r="R1726" t="n">
        <x:v>4</x:v>
      </x:c>
      <x:c r="S1726" t="n">
        <x:v>14</x:v>
      </x:c>
      <x:c r="T1726"/>
      <x:c r="U1726"/>
      <x:c r="V1726" t="n">
        <x:v>1</x:v>
      </x:c>
      <x:c r="W1726" t="n">
        <x:v>1</x:v>
      </x:c>
      <x:c r="X1726" t="n">
        <x:v>0</x:v>
      </x:c>
      <x:c r="Y1726" t="n">
        <x:v>0</x:v>
      </x:c>
      <x:c r="Z1726" t="n">
        <x:v>0</x:v>
      </x:c>
      <x:c r="AA1726" t="n">
        <x:v>0</x:v>
      </x:c>
      <x:c r="AB1726"/>
      <x:c r="AC1726" t="n">
        <x:v>0</x:v>
      </x:c>
      <x:c r="AD1726" t="n">
        <x:v>2.00489592392114</x:v>
      </x:c>
      <x:c r="AE1726" t="n">
        <x:v>1</x:v>
      </x:c>
      <x:c r="AF1726" t="n">
        <x:v>0.03465229272842407</x:v>
      </x:c>
      <x:c r="AG1726" t="n">
        <x:f>_xlfn.XLOOKUP($A1726,Games!$A$2:$A$18,Games!$B$2:$B$18,"Missing game",0)</x:f>
        <x:v>2025</x:v>
      </x:c>
      <x:c r="AH1726" t="str">
        <x:f>_xlfn.XLOOKUP($A1726,Games!$A$2:$A$18,Games!$C$2:$C$18,"Missing game",0)</x:f>
        <x:v>REG</x:v>
      </x:c>
      <x:c r="AI1726" t="n">
        <x:f>_xlfn.XLOOKUP($A1726,Games!$A$2:$A$18,Games!$D$2:$D$18,"Missing game",0)</x:f>
        <x:v>12</x:v>
      </x:c>
      <x:c r="AJ1726" s="1" t="n">
        <x:f>_xlfn.XLOOKUP($A1726,Games!$A$2:$A$18,Games!$E$2:$E$18,"Missing game",0)</x:f>
        <x:v>45984</x:v>
      </x:c>
      <x:c r="AK1726" t="str">
        <x:f>_xlfn.XLOOKUP($A1726,Games!$A$2:$A$18,Games!$F$2:$F$18,"Missing game",0)</x:f>
        <x:v>Sunday</x:v>
      </x:c>
      <x:c r="AL1726" t="str">
        <x:f>_xlfn.XLOOKUP($A1726,Games!$A$2:$A$18,Games!$G$2:$G$18,"Missing game",0)</x:f>
        <x:v>MIN</x:v>
      </x:c>
      <x:c r="AM1726" t="n">
        <x:f>_xlfn.XLOOKUP($A1726,Games!$A$2:$A$18,Games!$H$2:$H$18,"Missing game",0)</x:f>
        <x:v>6</x:v>
      </x:c>
      <x:c r="AN1726" t="str">
        <x:f>_xlfn.XLOOKUP($A1726,Games!$A$2:$A$18,Games!$I$2:$I$18,"Missing game",0)</x:f>
        <x:v>GB</x:v>
      </x:c>
      <x:c r="AO1726" t="n">
        <x:f>_xlfn.XLOOKUP($A1726,Games!$A$2:$A$18,Games!$J$2:$J$18,"Missing game",0)</x:f>
        <x:v>23</x:v>
      </x:c>
      <x:c r="AP1726" t="n">
        <x:f>_xlfn.XLOOKUP($A1726,Games!$A$2:$A$18,Games!$K$2:$K$18,"Missing game",0)</x:f>
        <x:v>17</x:v>
      </x:c>
      <x:c r="AQ1726" t="n">
        <x:f>_xlfn.XLOOKUP($A1726,Games!$A$2:$A$18,Games!$L$2:$L$18,"Missing game",0)</x:f>
        <x:v>29</x:v>
      </x:c>
      <x:c r="AR1726" t="n">
        <x:f>_xlfn.XLOOKUP($A1726,Games!$A$2:$A$18,Games!$M$2:$M$18,"Missing game",0)</x:f>
        <x:v>0</x:v>
      </x:c>
      <x:c r="AS1726" t="str">
        <x:f>_xlfn.XLOOKUP($A1726,Games!$A$2:$A$18,Games!$N$2:$N$18,"Missing game",0)</x:f>
        <x:v>outdoors</x:v>
      </x:c>
      <x:c r="AT1726" t="str">
        <x:f>_xlfn.XLOOKUP($A1726,Games!$A$2:$A$18,Games!$O$2:$O$18,"Missing game",0)</x:f>
        <x:v>grass</x:v>
      </x:c>
      <x:c r="AU1726" t="n">
        <x:f>_xlfn.XLOOKUP($A1726,Games!$A$2:$A$18,Games!$P$2:$P$18,"Missing game",0)</x:f>
        <x:v>43</x:v>
      </x:c>
      <x:c r="AV1726" t="n">
        <x:f>_xlfn.XLOOKUP($A1726,Games!$A$2:$A$18,Games!$Q$2:$Q$18,"Missing game",0)</x:f>
        <x:v>10</x:v>
      </x:c>
      <x:c r="AW1726" t="str">
        <x:f>_xlfn.XLOOKUP($A1726,Games!$A$2:$A$18,Games!$R$2:$R$18,"Missing game",0)</x:f>
        <x:v>Lambeau Field</x:v>
      </x:c>
    </x:row>
    <x:row r="1727">
      <x:c r="A1727" t="str">
        <x:v>2025_12_MIN_GB</x:v>
      </x:c>
      <x:c r="B1727" t="n">
        <x:v>427</x:v>
      </x:c>
      <x:c r="C1727" t="n">
        <x:v>1</x:v>
      </x:c>
      <x:c r="D1727" t="str">
        <x:v>09:19</x:v>
      </x:c>
      <x:c r="E1727" t="n">
        <x:v>1</x:v>
      </x:c>
      <x:c r="F1727" t="n">
        <x:v>1</x:v>
      </x:c>
      <x:c r="G1727" t="str">
        <x:v>GB</x:v>
      </x:c>
      <x:c r="H1727" t="str">
        <x:v>MIN</x:v>
      </x:c>
      <x:c r="I1727" t="str">
        <x:v>MIN</x:v>
      </x:c>
      <x:c r="J1727" t="n">
        <x:v>1</x:v>
      </x:c>
      <x:c r="K1727" t="str">
        <x:v>(9:19) 70-D.Kinnard reported in as eligible. 23-E.Wilson up the middle for 1 yard, TOUCHDOWN.</x:v>
      </x:c>
      <x:c r="L1727" t="str">
        <x:v>run</x:v>
      </x:c>
      <x:c r="M1727" t="n">
        <x:v>1</x:v>
      </x:c>
      <x:c r="N1727" t="n">
        <x:v>0</x:v>
      </x:c>
      <x:c r="O1727" t="n">
        <x:v>0</x:v>
      </x:c>
      <x:c r="P1727"/>
      <x:c r="Q1727"/>
      <x:c r="R1727"/>
      <x:c r="S1727"/>
      <x:c r="T1727" t="str">
        <x:v>middle</x:v>
      </x:c>
      <x:c r="U1727"/>
      <x:c r="V1727" t="n">
        <x:v>0</x:v>
      </x:c>
      <x:c r="W1727" t="n">
        <x:v>1</x:v>
      </x:c>
      <x:c r="X1727" t="n">
        <x:v>0</x:v>
      </x:c>
      <x:c r="Y1727" t="n">
        <x:v>0</x:v>
      </x:c>
      <x:c r="Z1727" t="n">
        <x:v>0</x:v>
      </x:c>
      <x:c r="AA1727" t="n">
        <x:v>0</x:v>
      </x:c>
      <x:c r="AB1727"/>
      <x:c r="AC1727" t="n">
        <x:v>1</x:v>
      </x:c>
      <x:c r="AD1727" t="n">
        <x:v>0.4815878481895197</x:v>
      </x:c>
      <x:c r="AE1727" t="n">
        <x:v>1</x:v>
      </x:c>
      <x:c r="AF1727" t="n">
        <x:v>0.01650976626565992</x:v>
      </x:c>
      <x:c r="AG1727" t="n">
        <x:f>_xlfn.XLOOKUP($A1727,Games!$A$2:$A$18,Games!$B$2:$B$18,"Missing game",0)</x:f>
        <x:v>2025</x:v>
      </x:c>
      <x:c r="AH1727" t="str">
        <x:f>_xlfn.XLOOKUP($A1727,Games!$A$2:$A$18,Games!$C$2:$C$18,"Missing game",0)</x:f>
        <x:v>REG</x:v>
      </x:c>
      <x:c r="AI1727" t="n">
        <x:f>_xlfn.XLOOKUP($A1727,Games!$A$2:$A$18,Games!$D$2:$D$18,"Missing game",0)</x:f>
        <x:v>12</x:v>
      </x:c>
      <x:c r="AJ1727" s="1" t="n">
        <x:f>_xlfn.XLOOKUP($A1727,Games!$A$2:$A$18,Games!$E$2:$E$18,"Missing game",0)</x:f>
        <x:v>45984</x:v>
      </x:c>
      <x:c r="AK1727" t="str">
        <x:f>_xlfn.XLOOKUP($A1727,Games!$A$2:$A$18,Games!$F$2:$F$18,"Missing game",0)</x:f>
        <x:v>Sunday</x:v>
      </x:c>
      <x:c r="AL1727" t="str">
        <x:f>_xlfn.XLOOKUP($A1727,Games!$A$2:$A$18,Games!$G$2:$G$18,"Missing game",0)</x:f>
        <x:v>MIN</x:v>
      </x:c>
      <x:c r="AM1727" t="n">
        <x:f>_xlfn.XLOOKUP($A1727,Games!$A$2:$A$18,Games!$H$2:$H$18,"Missing game",0)</x:f>
        <x:v>6</x:v>
      </x:c>
      <x:c r="AN1727" t="str">
        <x:f>_xlfn.XLOOKUP($A1727,Games!$A$2:$A$18,Games!$I$2:$I$18,"Missing game",0)</x:f>
        <x:v>GB</x:v>
      </x:c>
      <x:c r="AO1727" t="n">
        <x:f>_xlfn.XLOOKUP($A1727,Games!$A$2:$A$18,Games!$J$2:$J$18,"Missing game",0)</x:f>
        <x:v>23</x:v>
      </x:c>
      <x:c r="AP1727" t="n">
        <x:f>_xlfn.XLOOKUP($A1727,Games!$A$2:$A$18,Games!$K$2:$K$18,"Missing game",0)</x:f>
        <x:v>17</x:v>
      </x:c>
      <x:c r="AQ1727" t="n">
        <x:f>_xlfn.XLOOKUP($A1727,Games!$A$2:$A$18,Games!$L$2:$L$18,"Missing game",0)</x:f>
        <x:v>29</x:v>
      </x:c>
      <x:c r="AR1727" t="n">
        <x:f>_xlfn.XLOOKUP($A1727,Games!$A$2:$A$18,Games!$M$2:$M$18,"Missing game",0)</x:f>
        <x:v>0</x:v>
      </x:c>
      <x:c r="AS1727" t="str">
        <x:f>_xlfn.XLOOKUP($A1727,Games!$A$2:$A$18,Games!$N$2:$N$18,"Missing game",0)</x:f>
        <x:v>outdoors</x:v>
      </x:c>
      <x:c r="AT1727" t="str">
        <x:f>_xlfn.XLOOKUP($A1727,Games!$A$2:$A$18,Games!$O$2:$O$18,"Missing game",0)</x:f>
        <x:v>grass</x:v>
      </x:c>
      <x:c r="AU1727" t="n">
        <x:f>_xlfn.XLOOKUP($A1727,Games!$A$2:$A$18,Games!$P$2:$P$18,"Missing game",0)</x:f>
        <x:v>43</x:v>
      </x:c>
      <x:c r="AV1727" t="n">
        <x:f>_xlfn.XLOOKUP($A1727,Games!$A$2:$A$18,Games!$Q$2:$Q$18,"Missing game",0)</x:f>
        <x:v>10</x:v>
      </x:c>
      <x:c r="AW1727" t="str">
        <x:f>_xlfn.XLOOKUP($A1727,Games!$A$2:$A$18,Games!$R$2:$R$18,"Missing game",0)</x:f>
        <x:v>Lambeau Field</x:v>
      </x:c>
    </x:row>
    <x:row r="1728">
      <x:c r="A1728" t="str">
        <x:v>2025_12_MIN_GB</x:v>
      </x:c>
      <x:c r="B1728" t="n">
        <x:v>452</x:v>
      </x:c>
      <x:c r="C1728" t="n">
        <x:v>1</x:v>
      </x:c>
      <x:c r="D1728" t="str">
        <x:v>09:15</x:v>
      </x:c>
      <x:c r="E1728"/>
      <x:c r="F1728" t="n">
        <x:v>0</x:v>
      </x:c>
      <x:c r="G1728" t="str">
        <x:v>GB</x:v>
      </x:c>
      <x:c r="H1728" t="str">
        <x:v>MIN</x:v>
      </x:c>
      <x:c r="I1728" t="str">
        <x:v>MIN</x:v>
      </x:c>
      <x:c r="J1728" t="n">
        <x:v>15</x:v>
      </x:c>
      <x:c r="K1728" t="str">
        <x:v>17-B.McManus extra point is GOOD, Center-42-M.Orzech, Holder-19-D.Whelan.</x:v>
      </x:c>
      <x:c r="L1728" t="str">
        <x:v>extra_point</x:v>
      </x:c>
      <x:c r="M1728" t="n">
        <x:v>0</x:v>
      </x:c>
      <x:c r="N1728" t="n">
        <x:v>0</x:v>
      </x:c>
      <x:c r="O1728" t="n">
        <x:v>0</x:v>
      </x:c>
      <x:c r="P1728"/>
      <x:c r="Q1728"/>
      <x:c r="R1728"/>
      <x:c r="S1728"/>
      <x:c r="T1728"/>
      <x:c r="U1728"/>
      <x:c r="V1728" t="n">
        <x:v>0</x:v>
      </x:c>
      <x:c r="W1728" t="n">
        <x:v>0</x:v>
      </x:c>
      <x:c r="X1728" t="n">
        <x:v>0</x:v>
      </x:c>
      <x:c r="Y1728" t="n">
        <x:v>0</x:v>
      </x:c>
      <x:c r="Z1728" t="n">
        <x:v>0</x:v>
      </x:c>
      <x:c r="AA1728" t="n">
        <x:v>0</x:v>
      </x:c>
      <x:c r="AB1728"/>
      <x:c r="AC1728" t="n">
        <x:v>0</x:v>
      </x:c>
      <x:c r="AD1728" t="n">
        <x:v>0.06757300310763314</x:v>
      </x:c>
      <x:c r="AE1728" t="n">
        <x:v>1</x:v>
      </x:c>
      <x:c r="AF1728" t="n">
        <x:v>0.0018805912286943283</x:v>
      </x:c>
      <x:c r="AG1728" t="n">
        <x:f>_xlfn.XLOOKUP($A1728,Games!$A$2:$A$18,Games!$B$2:$B$18,"Missing game",0)</x:f>
        <x:v>2025</x:v>
      </x:c>
      <x:c r="AH1728" t="str">
        <x:f>_xlfn.XLOOKUP($A1728,Games!$A$2:$A$18,Games!$C$2:$C$18,"Missing game",0)</x:f>
        <x:v>REG</x:v>
      </x:c>
      <x:c r="AI1728" t="n">
        <x:f>_xlfn.XLOOKUP($A1728,Games!$A$2:$A$18,Games!$D$2:$D$18,"Missing game",0)</x:f>
        <x:v>12</x:v>
      </x:c>
      <x:c r="AJ1728" s="1" t="n">
        <x:f>_xlfn.XLOOKUP($A1728,Games!$A$2:$A$18,Games!$E$2:$E$18,"Missing game",0)</x:f>
        <x:v>45984</x:v>
      </x:c>
      <x:c r="AK1728" t="str">
        <x:f>_xlfn.XLOOKUP($A1728,Games!$A$2:$A$18,Games!$F$2:$F$18,"Missing game",0)</x:f>
        <x:v>Sunday</x:v>
      </x:c>
      <x:c r="AL1728" t="str">
        <x:f>_xlfn.XLOOKUP($A1728,Games!$A$2:$A$18,Games!$G$2:$G$18,"Missing game",0)</x:f>
        <x:v>MIN</x:v>
      </x:c>
      <x:c r="AM1728" t="n">
        <x:f>_xlfn.XLOOKUP($A1728,Games!$A$2:$A$18,Games!$H$2:$H$18,"Missing game",0)</x:f>
        <x:v>6</x:v>
      </x:c>
      <x:c r="AN1728" t="str">
        <x:f>_xlfn.XLOOKUP($A1728,Games!$A$2:$A$18,Games!$I$2:$I$18,"Missing game",0)</x:f>
        <x:v>GB</x:v>
      </x:c>
      <x:c r="AO1728" t="n">
        <x:f>_xlfn.XLOOKUP($A1728,Games!$A$2:$A$18,Games!$J$2:$J$18,"Missing game",0)</x:f>
        <x:v>23</x:v>
      </x:c>
      <x:c r="AP1728" t="n">
        <x:f>_xlfn.XLOOKUP($A1728,Games!$A$2:$A$18,Games!$K$2:$K$18,"Missing game",0)</x:f>
        <x:v>17</x:v>
      </x:c>
      <x:c r="AQ1728" t="n">
        <x:f>_xlfn.XLOOKUP($A1728,Games!$A$2:$A$18,Games!$L$2:$L$18,"Missing game",0)</x:f>
        <x:v>29</x:v>
      </x:c>
      <x:c r="AR1728" t="n">
        <x:f>_xlfn.XLOOKUP($A1728,Games!$A$2:$A$18,Games!$M$2:$M$18,"Missing game",0)</x:f>
        <x:v>0</x:v>
      </x:c>
      <x:c r="AS1728" t="str">
        <x:f>_xlfn.XLOOKUP($A1728,Games!$A$2:$A$18,Games!$N$2:$N$18,"Missing game",0)</x:f>
        <x:v>outdoors</x:v>
      </x:c>
      <x:c r="AT1728" t="str">
        <x:f>_xlfn.XLOOKUP($A1728,Games!$A$2:$A$18,Games!$O$2:$O$18,"Missing game",0)</x:f>
        <x:v>grass</x:v>
      </x:c>
      <x:c r="AU1728" t="n">
        <x:f>_xlfn.XLOOKUP($A1728,Games!$A$2:$A$18,Games!$P$2:$P$18,"Missing game",0)</x:f>
        <x:v>43</x:v>
      </x:c>
      <x:c r="AV1728" t="n">
        <x:f>_xlfn.XLOOKUP($A1728,Games!$A$2:$A$18,Games!$Q$2:$Q$18,"Missing game",0)</x:f>
        <x:v>10</x:v>
      </x:c>
      <x:c r="AW1728" t="str">
        <x:f>_xlfn.XLOOKUP($A1728,Games!$A$2:$A$18,Games!$R$2:$R$18,"Missing game",0)</x:f>
        <x:v>Lambeau Field</x:v>
      </x:c>
    </x:row>
    <x:row r="1729">
      <x:c r="A1729" t="str">
        <x:v>2025_12_MIN_GB</x:v>
      </x:c>
      <x:c r="B1729" t="n">
        <x:v>467</x:v>
      </x:c>
      <x:c r="C1729" t="n">
        <x:v>1</x:v>
      </x:c>
      <x:c r="D1729" t="str">
        <x:v>09:15</x:v>
      </x:c>
      <x:c r="E1729"/>
      <x:c r="F1729" t="n">
        <x:v>0</x:v>
      </x:c>
      <x:c r="G1729" t="str">
        <x:v>MIN</x:v>
      </x:c>
      <x:c r="H1729" t="str">
        <x:v>GB</x:v>
      </x:c>
      <x:c r="I1729" t="str">
        <x:v>GB</x:v>
      </x:c>
      <x:c r="J1729" t="n">
        <x:v>35</x:v>
      </x:c>
      <x:c r="K1729" t="str">
        <x:v>17-B.McManus kicks 63 yards from GB 35 to MIN 2. 4-M.Price to MIN 28 for 26 yards (59-T.Hopper).</x:v>
      </x:c>
      <x:c r="L1729" t="str">
        <x:v>kickoff</x:v>
      </x:c>
      <x:c r="M1729" t="n">
        <x:v>0</x:v>
      </x:c>
      <x:c r="N1729" t="n">
        <x:v>0</x:v>
      </x:c>
      <x:c r="O1729" t="n">
        <x:v>0</x:v>
      </x:c>
      <x:c r="P1729"/>
      <x:c r="Q1729"/>
      <x:c r="R1729"/>
      <x:c r="S1729"/>
      <x:c r="T1729"/>
      <x:c r="U1729"/>
      <x:c r="V1729" t="n">
        <x:v>0</x:v>
      </x:c>
      <x:c r="W1729" t="n">
        <x:v>0</x:v>
      </x:c>
      <x:c r="X1729" t="n">
        <x:v>0</x:v>
      </x:c>
      <x:c r="Y1729" t="n">
        <x:v>0</x:v>
      </x:c>
      <x:c r="Z1729" t="n">
        <x:v>0</x:v>
      </x:c>
      <x:c r="AA1729" t="n">
        <x:v>0</x:v>
      </x:c>
      <x:c r="AB1729"/>
      <x:c r="AC1729" t="n">
        <x:v>0</x:v>
      </x:c>
      <x:c r="AD1729" t="n">
        <x:v>0.10478824423626065</x:v>
      </x:c>
      <x:c r="AE1729" t="n">
        <x:v>1</x:v>
      </x:c>
      <x:c r="AF1729" t="n">
        <x:v>0.0018233656883239746</x:v>
      </x:c>
      <x:c r="AG1729" t="n">
        <x:f>_xlfn.XLOOKUP($A1729,Games!$A$2:$A$18,Games!$B$2:$B$18,"Missing game",0)</x:f>
        <x:v>2025</x:v>
      </x:c>
      <x:c r="AH1729" t="str">
        <x:f>_xlfn.XLOOKUP($A1729,Games!$A$2:$A$18,Games!$C$2:$C$18,"Missing game",0)</x:f>
        <x:v>REG</x:v>
      </x:c>
      <x:c r="AI1729" t="n">
        <x:f>_xlfn.XLOOKUP($A1729,Games!$A$2:$A$18,Games!$D$2:$D$18,"Missing game",0)</x:f>
        <x:v>12</x:v>
      </x:c>
      <x:c r="AJ1729" s="1" t="n">
        <x:f>_xlfn.XLOOKUP($A1729,Games!$A$2:$A$18,Games!$E$2:$E$18,"Missing game",0)</x:f>
        <x:v>45984</x:v>
      </x:c>
      <x:c r="AK1729" t="str">
        <x:f>_xlfn.XLOOKUP($A1729,Games!$A$2:$A$18,Games!$F$2:$F$18,"Missing game",0)</x:f>
        <x:v>Sunday</x:v>
      </x:c>
      <x:c r="AL1729" t="str">
        <x:f>_xlfn.XLOOKUP($A1729,Games!$A$2:$A$18,Games!$G$2:$G$18,"Missing game",0)</x:f>
        <x:v>MIN</x:v>
      </x:c>
      <x:c r="AM1729" t="n">
        <x:f>_xlfn.XLOOKUP($A1729,Games!$A$2:$A$18,Games!$H$2:$H$18,"Missing game",0)</x:f>
        <x:v>6</x:v>
      </x:c>
      <x:c r="AN1729" t="str">
        <x:f>_xlfn.XLOOKUP($A1729,Games!$A$2:$A$18,Games!$I$2:$I$18,"Missing game",0)</x:f>
        <x:v>GB</x:v>
      </x:c>
      <x:c r="AO1729" t="n">
        <x:f>_xlfn.XLOOKUP($A1729,Games!$A$2:$A$18,Games!$J$2:$J$18,"Missing game",0)</x:f>
        <x:v>23</x:v>
      </x:c>
      <x:c r="AP1729" t="n">
        <x:f>_xlfn.XLOOKUP($A1729,Games!$A$2:$A$18,Games!$K$2:$K$18,"Missing game",0)</x:f>
        <x:v>17</x:v>
      </x:c>
      <x:c r="AQ1729" t="n">
        <x:f>_xlfn.XLOOKUP($A1729,Games!$A$2:$A$18,Games!$L$2:$L$18,"Missing game",0)</x:f>
        <x:v>29</x:v>
      </x:c>
      <x:c r="AR1729" t="n">
        <x:f>_xlfn.XLOOKUP($A1729,Games!$A$2:$A$18,Games!$M$2:$M$18,"Missing game",0)</x:f>
        <x:v>0</x:v>
      </x:c>
      <x:c r="AS1729" t="str">
        <x:f>_xlfn.XLOOKUP($A1729,Games!$A$2:$A$18,Games!$N$2:$N$18,"Missing game",0)</x:f>
        <x:v>outdoors</x:v>
      </x:c>
      <x:c r="AT1729" t="str">
        <x:f>_xlfn.XLOOKUP($A1729,Games!$A$2:$A$18,Games!$O$2:$O$18,"Missing game",0)</x:f>
        <x:v>grass</x:v>
      </x:c>
      <x:c r="AU1729" t="n">
        <x:f>_xlfn.XLOOKUP($A1729,Games!$A$2:$A$18,Games!$P$2:$P$18,"Missing game",0)</x:f>
        <x:v>43</x:v>
      </x:c>
      <x:c r="AV1729" t="n">
        <x:f>_xlfn.XLOOKUP($A1729,Games!$A$2:$A$18,Games!$Q$2:$Q$18,"Missing game",0)</x:f>
        <x:v>10</x:v>
      </x:c>
      <x:c r="AW1729" t="str">
        <x:f>_xlfn.XLOOKUP($A1729,Games!$A$2:$A$18,Games!$R$2:$R$18,"Missing game",0)</x:f>
        <x:v>Lambeau Field</x:v>
      </x:c>
    </x:row>
    <x:row r="1730">
      <x:c r="A1730" t="str">
        <x:v>2025_12_MIN_GB</x:v>
      </x:c>
      <x:c r="B1730" t="n">
        <x:v>497</x:v>
      </x:c>
      <x:c r="C1730" t="n">
        <x:v>1</x:v>
      </x:c>
      <x:c r="D1730" t="str">
        <x:v>09:10</x:v>
      </x:c>
      <x:c r="E1730" t="n">
        <x:v>1</x:v>
      </x:c>
      <x:c r="F1730" t="n">
        <x:v>10</x:v>
      </x:c>
      <x:c r="G1730" t="str">
        <x:v>MIN</x:v>
      </x:c>
      <x:c r="H1730" t="str">
        <x:v>GB</x:v>
      </x:c>
      <x:c r="I1730" t="str">
        <x:v>MIN</x:v>
      </x:c>
      <x:c r="J1730" t="n">
        <x:v>72</x:v>
      </x:c>
      <x:c r="K1730" t="str">
        <x:v>(9:10) 33-A.Jones right tackle to MIN 31 for 3 yards (52-R.Gary; 56-E.Cooper).</x:v>
      </x:c>
      <x:c r="L1730" t="str">
        <x:v>run</x:v>
      </x:c>
      <x:c r="M1730" t="n">
        <x:v>3</x:v>
      </x:c>
      <x:c r="N1730" t="n">
        <x:v>0</x:v>
      </x:c>
      <x:c r="O1730" t="n">
        <x:v>0</x:v>
      </x:c>
      <x:c r="P1730"/>
      <x:c r="Q1730"/>
      <x:c r="R1730"/>
      <x:c r="S1730"/>
      <x:c r="T1730" t="str">
        <x:v>right</x:v>
      </x:c>
      <x:c r="U1730" t="str">
        <x:v>tackle</x:v>
      </x:c>
      <x:c r="V1730" t="n">
        <x:v>0</x:v>
      </x:c>
      <x:c r="W1730" t="n">
        <x:v>0</x:v>
      </x:c>
      <x:c r="X1730" t="n">
        <x:v>0</x:v>
      </x:c>
      <x:c r="Y1730" t="n">
        <x:v>0</x:v>
      </x:c>
      <x:c r="Z1730" t="n">
        <x:v>0</x:v>
      </x:c>
      <x:c r="AA1730" t="n">
        <x:v>0</x:v>
      </x:c>
      <x:c r="AB1730"/>
      <x:c r="AC1730" t="n">
        <x:v>0</x:v>
      </x:c>
      <x:c r="AD1730" t="n">
        <x:v>-0.21450310293585062</x:v>
      </x:c>
      <x:c r="AE1730" t="n">
        <x:v>0</x:v>
      </x:c>
      <x:c r="AF1730" t="n">
        <x:v>-0.013112783432006836</x:v>
      </x:c>
      <x:c r="AG1730" t="n">
        <x:f>_xlfn.XLOOKUP($A1730,Games!$A$2:$A$18,Games!$B$2:$B$18,"Missing game",0)</x:f>
        <x:v>2025</x:v>
      </x:c>
      <x:c r="AH1730" t="str">
        <x:f>_xlfn.XLOOKUP($A1730,Games!$A$2:$A$18,Games!$C$2:$C$18,"Missing game",0)</x:f>
        <x:v>REG</x:v>
      </x:c>
      <x:c r="AI1730" t="n">
        <x:f>_xlfn.XLOOKUP($A1730,Games!$A$2:$A$18,Games!$D$2:$D$18,"Missing game",0)</x:f>
        <x:v>12</x:v>
      </x:c>
      <x:c r="AJ1730" s="1" t="n">
        <x:f>_xlfn.XLOOKUP($A1730,Games!$A$2:$A$18,Games!$E$2:$E$18,"Missing game",0)</x:f>
        <x:v>45984</x:v>
      </x:c>
      <x:c r="AK1730" t="str">
        <x:f>_xlfn.XLOOKUP($A1730,Games!$A$2:$A$18,Games!$F$2:$F$18,"Missing game",0)</x:f>
        <x:v>Sunday</x:v>
      </x:c>
      <x:c r="AL1730" t="str">
        <x:f>_xlfn.XLOOKUP($A1730,Games!$A$2:$A$18,Games!$G$2:$G$18,"Missing game",0)</x:f>
        <x:v>MIN</x:v>
      </x:c>
      <x:c r="AM1730" t="n">
        <x:f>_xlfn.XLOOKUP($A1730,Games!$A$2:$A$18,Games!$H$2:$H$18,"Missing game",0)</x:f>
        <x:v>6</x:v>
      </x:c>
      <x:c r="AN1730" t="str">
        <x:f>_xlfn.XLOOKUP($A1730,Games!$A$2:$A$18,Games!$I$2:$I$18,"Missing game",0)</x:f>
        <x:v>GB</x:v>
      </x:c>
      <x:c r="AO1730" t="n">
        <x:f>_xlfn.XLOOKUP($A1730,Games!$A$2:$A$18,Games!$J$2:$J$18,"Missing game",0)</x:f>
        <x:v>23</x:v>
      </x:c>
      <x:c r="AP1730" t="n">
        <x:f>_xlfn.XLOOKUP($A1730,Games!$A$2:$A$18,Games!$K$2:$K$18,"Missing game",0)</x:f>
        <x:v>17</x:v>
      </x:c>
      <x:c r="AQ1730" t="n">
        <x:f>_xlfn.XLOOKUP($A1730,Games!$A$2:$A$18,Games!$L$2:$L$18,"Missing game",0)</x:f>
        <x:v>29</x:v>
      </x:c>
      <x:c r="AR1730" t="n">
        <x:f>_xlfn.XLOOKUP($A1730,Games!$A$2:$A$18,Games!$M$2:$M$18,"Missing game",0)</x:f>
        <x:v>0</x:v>
      </x:c>
      <x:c r="AS1730" t="str">
        <x:f>_xlfn.XLOOKUP($A1730,Games!$A$2:$A$18,Games!$N$2:$N$18,"Missing game",0)</x:f>
        <x:v>outdoors</x:v>
      </x:c>
      <x:c r="AT1730" t="str">
        <x:f>_xlfn.XLOOKUP($A1730,Games!$A$2:$A$18,Games!$O$2:$O$18,"Missing game",0)</x:f>
        <x:v>grass</x:v>
      </x:c>
      <x:c r="AU1730" t="n">
        <x:f>_xlfn.XLOOKUP($A1730,Games!$A$2:$A$18,Games!$P$2:$P$18,"Missing game",0)</x:f>
        <x:v>43</x:v>
      </x:c>
      <x:c r="AV1730" t="n">
        <x:f>_xlfn.XLOOKUP($A1730,Games!$A$2:$A$18,Games!$Q$2:$Q$18,"Missing game",0)</x:f>
        <x:v>10</x:v>
      </x:c>
      <x:c r="AW1730" t="str">
        <x:f>_xlfn.XLOOKUP($A1730,Games!$A$2:$A$18,Games!$R$2:$R$18,"Missing game",0)</x:f>
        <x:v>Lambeau Field</x:v>
      </x:c>
    </x:row>
    <x:row r="1731">
      <x:c r="A1731" t="str">
        <x:v>2025_12_MIN_GB</x:v>
      </x:c>
      <x:c r="B1731" t="n">
        <x:v>519</x:v>
      </x:c>
      <x:c r="C1731" t="n">
        <x:v>1</x:v>
      </x:c>
      <x:c r="D1731" t="str">
        <x:v>08:28</x:v>
      </x:c>
      <x:c r="E1731" t="n">
        <x:v>2</x:v>
      </x:c>
      <x:c r="F1731" t="n">
        <x:v>7</x:v>
      </x:c>
      <x:c r="G1731" t="str">
        <x:v>MIN</x:v>
      </x:c>
      <x:c r="H1731" t="str">
        <x:v>GB</x:v>
      </x:c>
      <x:c r="I1731" t="str">
        <x:v>MIN</x:v>
      </x:c>
      <x:c r="J1731" t="n">
        <x:v>69</x:v>
      </x:c>
      <x:c r="K1731" t="str">
        <x:v>(8:28) (Shotgun) 9-J.McCarthy pass short middle to 33-A.Jones to MIN 37 for 6 yards (58-I.McDuffie).</x:v>
      </x:c>
      <x:c r="L1731" t="str">
        <x:v>pass</x:v>
      </x:c>
      <x:c r="M1731" t="n">
        <x:v>6</x:v>
      </x:c>
      <x:c r="N1731" t="n">
        <x:v>1</x:v>
      </x:c>
      <x:c r="O1731" t="n">
        <x:v>0</x:v>
      </x:c>
      <x:c r="P1731" t="str">
        <x:v>short</x:v>
      </x:c>
      <x:c r="Q1731" t="str">
        <x:v>middle</x:v>
      </x:c>
      <x:c r="R1731" t="n">
        <x:v>2</x:v>
      </x:c>
      <x:c r="S1731" t="n">
        <x:v>4</x:v>
      </x:c>
      <x:c r="T1731"/>
      <x:c r="U1731"/>
      <x:c r="V1731" t="n">
        <x:v>1</x:v>
      </x:c>
      <x:c r="W1731" t="n">
        <x:v>0</x:v>
      </x:c>
      <x:c r="X1731" t="n">
        <x:v>0</x:v>
      </x:c>
      <x:c r="Y1731" t="n">
        <x:v>0</x:v>
      </x:c>
      <x:c r="Z1731" t="n">
        <x:v>0</x:v>
      </x:c>
      <x:c r="AA1731" t="n">
        <x:v>0</x:v>
      </x:c>
      <x:c r="AB1731"/>
      <x:c r="AC1731" t="n">
        <x:v>0</x:v>
      </x:c>
      <x:c r="AD1731" t="n">
        <x:v>0.591600154992193</x:v>
      </x:c>
      <x:c r="AE1731" t="n">
        <x:v>1</x:v>
      </x:c>
      <x:c r="AF1731" t="n">
        <x:v>0.005285859107971191</x:v>
      </x:c>
      <x:c r="AG1731" t="n">
        <x:f>_xlfn.XLOOKUP($A1731,Games!$A$2:$A$18,Games!$B$2:$B$18,"Missing game",0)</x:f>
        <x:v>2025</x:v>
      </x:c>
      <x:c r="AH1731" t="str">
        <x:f>_xlfn.XLOOKUP($A1731,Games!$A$2:$A$18,Games!$C$2:$C$18,"Missing game",0)</x:f>
        <x:v>REG</x:v>
      </x:c>
      <x:c r="AI1731" t="n">
        <x:f>_xlfn.XLOOKUP($A1731,Games!$A$2:$A$18,Games!$D$2:$D$18,"Missing game",0)</x:f>
        <x:v>12</x:v>
      </x:c>
      <x:c r="AJ1731" s="1" t="n">
        <x:f>_xlfn.XLOOKUP($A1731,Games!$A$2:$A$18,Games!$E$2:$E$18,"Missing game",0)</x:f>
        <x:v>45984</x:v>
      </x:c>
      <x:c r="AK1731" t="str">
        <x:f>_xlfn.XLOOKUP($A1731,Games!$A$2:$A$18,Games!$F$2:$F$18,"Missing game",0)</x:f>
        <x:v>Sunday</x:v>
      </x:c>
      <x:c r="AL1731" t="str">
        <x:f>_xlfn.XLOOKUP($A1731,Games!$A$2:$A$18,Games!$G$2:$G$18,"Missing game",0)</x:f>
        <x:v>MIN</x:v>
      </x:c>
      <x:c r="AM1731" t="n">
        <x:f>_xlfn.XLOOKUP($A1731,Games!$A$2:$A$18,Games!$H$2:$H$18,"Missing game",0)</x:f>
        <x:v>6</x:v>
      </x:c>
      <x:c r="AN1731" t="str">
        <x:f>_xlfn.XLOOKUP($A1731,Games!$A$2:$A$18,Games!$I$2:$I$18,"Missing game",0)</x:f>
        <x:v>GB</x:v>
      </x:c>
      <x:c r="AO1731" t="n">
        <x:f>_xlfn.XLOOKUP($A1731,Games!$A$2:$A$18,Games!$J$2:$J$18,"Missing game",0)</x:f>
        <x:v>23</x:v>
      </x:c>
      <x:c r="AP1731" t="n">
        <x:f>_xlfn.XLOOKUP($A1731,Games!$A$2:$A$18,Games!$K$2:$K$18,"Missing game",0)</x:f>
        <x:v>17</x:v>
      </x:c>
      <x:c r="AQ1731" t="n">
        <x:f>_xlfn.XLOOKUP($A1731,Games!$A$2:$A$18,Games!$L$2:$L$18,"Missing game",0)</x:f>
        <x:v>29</x:v>
      </x:c>
      <x:c r="AR1731" t="n">
        <x:f>_xlfn.XLOOKUP($A1731,Games!$A$2:$A$18,Games!$M$2:$M$18,"Missing game",0)</x:f>
        <x:v>0</x:v>
      </x:c>
      <x:c r="AS1731" t="str">
        <x:f>_xlfn.XLOOKUP($A1731,Games!$A$2:$A$18,Games!$N$2:$N$18,"Missing game",0)</x:f>
        <x:v>outdoors</x:v>
      </x:c>
      <x:c r="AT1731" t="str">
        <x:f>_xlfn.XLOOKUP($A1731,Games!$A$2:$A$18,Games!$O$2:$O$18,"Missing game",0)</x:f>
        <x:v>grass</x:v>
      </x:c>
      <x:c r="AU1731" t="n">
        <x:f>_xlfn.XLOOKUP($A1731,Games!$A$2:$A$18,Games!$P$2:$P$18,"Missing game",0)</x:f>
        <x:v>43</x:v>
      </x:c>
      <x:c r="AV1731" t="n">
        <x:f>_xlfn.XLOOKUP($A1731,Games!$A$2:$A$18,Games!$Q$2:$Q$18,"Missing game",0)</x:f>
        <x:v>10</x:v>
      </x:c>
      <x:c r="AW1731" t="str">
        <x:f>_xlfn.XLOOKUP($A1731,Games!$A$2:$A$18,Games!$R$2:$R$18,"Missing game",0)</x:f>
        <x:v>Lambeau Field</x:v>
      </x:c>
    </x:row>
    <x:row r="1732">
      <x:c r="A1732" t="str">
        <x:v>2025_12_MIN_GB</x:v>
      </x:c>
      <x:c r="B1732" t="n">
        <x:v>544</x:v>
      </x:c>
      <x:c r="C1732" t="n">
        <x:v>1</x:v>
      </x:c>
      <x:c r="D1732" t="str">
        <x:v>07:54</x:v>
      </x:c>
      <x:c r="E1732" t="n">
        <x:v>3</x:v>
      </x:c>
      <x:c r="F1732" t="n">
        <x:v>1</x:v>
      </x:c>
      <x:c r="G1732" t="str">
        <x:v>MIN</x:v>
      </x:c>
      <x:c r="H1732" t="str">
        <x:v>GB</x:v>
      </x:c>
      <x:c r="I1732" t="str">
        <x:v>MIN</x:v>
      </x:c>
      <x:c r="J1732" t="n">
        <x:v>63</x:v>
      </x:c>
      <x:c r="K1732" t="str">
        <x:v>(7:54) 27-J.Mason up the middle to MIN 39 for 2 yards (52-R.Gary; 58-I.McDuffie).</x:v>
      </x:c>
      <x:c r="L1732" t="str">
        <x:v>run</x:v>
      </x:c>
      <x:c r="M1732" t="n">
        <x:v>2</x:v>
      </x:c>
      <x:c r="N1732" t="n">
        <x:v>0</x:v>
      </x:c>
      <x:c r="O1732" t="n">
        <x:v>0</x:v>
      </x:c>
      <x:c r="P1732"/>
      <x:c r="Q1732"/>
      <x:c r="R1732"/>
      <x:c r="S1732"/>
      <x:c r="T1732" t="str">
        <x:v>middle</x:v>
      </x:c>
      <x:c r="U1732"/>
      <x:c r="V1732" t="n">
        <x:v>0</x:v>
      </x:c>
      <x:c r="W1732" t="n">
        <x:v>1</x:v>
      </x:c>
      <x:c r="X1732" t="n">
        <x:v>0</x:v>
      </x:c>
      <x:c r="Y1732" t="n">
        <x:v>0</x:v>
      </x:c>
      <x:c r="Z1732" t="n">
        <x:v>0</x:v>
      </x:c>
      <x:c r="AA1732" t="n">
        <x:v>0</x:v>
      </x:c>
      <x:c r="AB1732"/>
      <x:c r="AC1732" t="n">
        <x:v>0</x:v>
      </x:c>
      <x:c r="AD1732" t="n">
        <x:v>0.4112062209751457</x:v>
      </x:c>
      <x:c r="AE1732" t="n">
        <x:v>1</x:v>
      </x:c>
      <x:c r="AF1732" t="n">
        <x:v>0.02697959542274475</x:v>
      </x:c>
      <x:c r="AG1732" t="n">
        <x:f>_xlfn.XLOOKUP($A1732,Games!$A$2:$A$18,Games!$B$2:$B$18,"Missing game",0)</x:f>
        <x:v>2025</x:v>
      </x:c>
      <x:c r="AH1732" t="str">
        <x:f>_xlfn.XLOOKUP($A1732,Games!$A$2:$A$18,Games!$C$2:$C$18,"Missing game",0)</x:f>
        <x:v>REG</x:v>
      </x:c>
      <x:c r="AI1732" t="n">
        <x:f>_xlfn.XLOOKUP($A1732,Games!$A$2:$A$18,Games!$D$2:$D$18,"Missing game",0)</x:f>
        <x:v>12</x:v>
      </x:c>
      <x:c r="AJ1732" s="1" t="n">
        <x:f>_xlfn.XLOOKUP($A1732,Games!$A$2:$A$18,Games!$E$2:$E$18,"Missing game",0)</x:f>
        <x:v>45984</x:v>
      </x:c>
      <x:c r="AK1732" t="str">
        <x:f>_xlfn.XLOOKUP($A1732,Games!$A$2:$A$18,Games!$F$2:$F$18,"Missing game",0)</x:f>
        <x:v>Sunday</x:v>
      </x:c>
      <x:c r="AL1732" t="str">
        <x:f>_xlfn.XLOOKUP($A1732,Games!$A$2:$A$18,Games!$G$2:$G$18,"Missing game",0)</x:f>
        <x:v>MIN</x:v>
      </x:c>
      <x:c r="AM1732" t="n">
        <x:f>_xlfn.XLOOKUP($A1732,Games!$A$2:$A$18,Games!$H$2:$H$18,"Missing game",0)</x:f>
        <x:v>6</x:v>
      </x:c>
      <x:c r="AN1732" t="str">
        <x:f>_xlfn.XLOOKUP($A1732,Games!$A$2:$A$18,Games!$I$2:$I$18,"Missing game",0)</x:f>
        <x:v>GB</x:v>
      </x:c>
      <x:c r="AO1732" t="n">
        <x:f>_xlfn.XLOOKUP($A1732,Games!$A$2:$A$18,Games!$J$2:$J$18,"Missing game",0)</x:f>
        <x:v>23</x:v>
      </x:c>
      <x:c r="AP1732" t="n">
        <x:f>_xlfn.XLOOKUP($A1732,Games!$A$2:$A$18,Games!$K$2:$K$18,"Missing game",0)</x:f>
        <x:v>17</x:v>
      </x:c>
      <x:c r="AQ1732" t="n">
        <x:f>_xlfn.XLOOKUP($A1732,Games!$A$2:$A$18,Games!$L$2:$L$18,"Missing game",0)</x:f>
        <x:v>29</x:v>
      </x:c>
      <x:c r="AR1732" t="n">
        <x:f>_xlfn.XLOOKUP($A1732,Games!$A$2:$A$18,Games!$M$2:$M$18,"Missing game",0)</x:f>
        <x:v>0</x:v>
      </x:c>
      <x:c r="AS1732" t="str">
        <x:f>_xlfn.XLOOKUP($A1732,Games!$A$2:$A$18,Games!$N$2:$N$18,"Missing game",0)</x:f>
        <x:v>outdoors</x:v>
      </x:c>
      <x:c r="AT1732" t="str">
        <x:f>_xlfn.XLOOKUP($A1732,Games!$A$2:$A$18,Games!$O$2:$O$18,"Missing game",0)</x:f>
        <x:v>grass</x:v>
      </x:c>
      <x:c r="AU1732" t="n">
        <x:f>_xlfn.XLOOKUP($A1732,Games!$A$2:$A$18,Games!$P$2:$P$18,"Missing game",0)</x:f>
        <x:v>43</x:v>
      </x:c>
      <x:c r="AV1732" t="n">
        <x:f>_xlfn.XLOOKUP($A1732,Games!$A$2:$A$18,Games!$Q$2:$Q$18,"Missing game",0)</x:f>
        <x:v>10</x:v>
      </x:c>
      <x:c r="AW1732" t="str">
        <x:f>_xlfn.XLOOKUP($A1732,Games!$A$2:$A$18,Games!$R$2:$R$18,"Missing game",0)</x:f>
        <x:v>Lambeau Field</x:v>
      </x:c>
    </x:row>
    <x:row r="1733">
      <x:c r="A1733" t="str">
        <x:v>2025_12_MIN_GB</x:v>
      </x:c>
      <x:c r="B1733" t="n">
        <x:v>566</x:v>
      </x:c>
      <x:c r="C1733" t="n">
        <x:v>1</x:v>
      </x:c>
      <x:c r="D1733" t="str">
        <x:v>07:13</x:v>
      </x:c>
      <x:c r="E1733" t="n">
        <x:v>1</x:v>
      </x:c>
      <x:c r="F1733" t="n">
        <x:v>10</x:v>
      </x:c>
      <x:c r="G1733" t="str">
        <x:v>MIN</x:v>
      </x:c>
      <x:c r="H1733" t="str">
        <x:v>GB</x:v>
      </x:c>
      <x:c r="I1733" t="str">
        <x:v>MIN</x:v>
      </x:c>
      <x:c r="J1733" t="n">
        <x:v>61</x:v>
      </x:c>
      <x:c r="K1733" t="str">
        <x:v>(7:13) 9-J.McCarthy FUMBLES (Aborted) at MIN 37, and recovers at MIN 36.</x:v>
      </x:c>
      <x:c r="L1733" t="str">
        <x:v>run</x:v>
      </x:c>
      <x:c r="M1733" t="n">
        <x:v>0</x:v>
      </x:c>
      <x:c r="N1733" t="n">
        <x:v>0</x:v>
      </x:c>
      <x:c r="O1733" t="n">
        <x:v>0</x:v>
      </x:c>
      <x:c r="P1733"/>
      <x:c r="Q1733"/>
      <x:c r="R1733"/>
      <x:c r="S1733"/>
      <x:c r="T1733"/>
      <x:c r="U1733"/>
      <x:c r="V1733" t="n">
        <x:v>0</x:v>
      </x:c>
      <x:c r="W1733" t="n">
        <x:v>0</x:v>
      </x:c>
      <x:c r="X1733" t="n">
        <x:v>0</x:v>
      </x:c>
      <x:c r="Y1733" t="n">
        <x:v>0</x:v>
      </x:c>
      <x:c r="Z1733" t="n">
        <x:v>0</x:v>
      </x:c>
      <x:c r="AA1733" t="n">
        <x:v>0</x:v>
      </x:c>
      <x:c r="AB1733"/>
      <x:c r="AC1733" t="n">
        <x:v>0</x:v>
      </x:c>
      <x:c r="AD1733" t="n">
        <x:v>-0.9941062855068594</x:v>
      </x:c>
      <x:c r="AE1733" t="n">
        <x:v>0</x:v>
      </x:c>
      <x:c r="AF1733" t="n">
        <x:v>-0.032468050718307495</x:v>
      </x:c>
      <x:c r="AG1733" t="n">
        <x:f>_xlfn.XLOOKUP($A1733,Games!$A$2:$A$18,Games!$B$2:$B$18,"Missing game",0)</x:f>
        <x:v>2025</x:v>
      </x:c>
      <x:c r="AH1733" t="str">
        <x:f>_xlfn.XLOOKUP($A1733,Games!$A$2:$A$18,Games!$C$2:$C$18,"Missing game",0)</x:f>
        <x:v>REG</x:v>
      </x:c>
      <x:c r="AI1733" t="n">
        <x:f>_xlfn.XLOOKUP($A1733,Games!$A$2:$A$18,Games!$D$2:$D$18,"Missing game",0)</x:f>
        <x:v>12</x:v>
      </x:c>
      <x:c r="AJ1733" s="1" t="n">
        <x:f>_xlfn.XLOOKUP($A1733,Games!$A$2:$A$18,Games!$E$2:$E$18,"Missing game",0)</x:f>
        <x:v>45984</x:v>
      </x:c>
      <x:c r="AK1733" t="str">
        <x:f>_xlfn.XLOOKUP($A1733,Games!$A$2:$A$18,Games!$F$2:$F$18,"Missing game",0)</x:f>
        <x:v>Sunday</x:v>
      </x:c>
      <x:c r="AL1733" t="str">
        <x:f>_xlfn.XLOOKUP($A1733,Games!$A$2:$A$18,Games!$G$2:$G$18,"Missing game",0)</x:f>
        <x:v>MIN</x:v>
      </x:c>
      <x:c r="AM1733" t="n">
        <x:f>_xlfn.XLOOKUP($A1733,Games!$A$2:$A$18,Games!$H$2:$H$18,"Missing game",0)</x:f>
        <x:v>6</x:v>
      </x:c>
      <x:c r="AN1733" t="str">
        <x:f>_xlfn.XLOOKUP($A1733,Games!$A$2:$A$18,Games!$I$2:$I$18,"Missing game",0)</x:f>
        <x:v>GB</x:v>
      </x:c>
      <x:c r="AO1733" t="n">
        <x:f>_xlfn.XLOOKUP($A1733,Games!$A$2:$A$18,Games!$J$2:$J$18,"Missing game",0)</x:f>
        <x:v>23</x:v>
      </x:c>
      <x:c r="AP1733" t="n">
        <x:f>_xlfn.XLOOKUP($A1733,Games!$A$2:$A$18,Games!$K$2:$K$18,"Missing game",0)</x:f>
        <x:v>17</x:v>
      </x:c>
      <x:c r="AQ1733" t="n">
        <x:f>_xlfn.XLOOKUP($A1733,Games!$A$2:$A$18,Games!$L$2:$L$18,"Missing game",0)</x:f>
        <x:v>29</x:v>
      </x:c>
      <x:c r="AR1733" t="n">
        <x:f>_xlfn.XLOOKUP($A1733,Games!$A$2:$A$18,Games!$M$2:$M$18,"Missing game",0)</x:f>
        <x:v>0</x:v>
      </x:c>
      <x:c r="AS1733" t="str">
        <x:f>_xlfn.XLOOKUP($A1733,Games!$A$2:$A$18,Games!$N$2:$N$18,"Missing game",0)</x:f>
        <x:v>outdoors</x:v>
      </x:c>
      <x:c r="AT1733" t="str">
        <x:f>_xlfn.XLOOKUP($A1733,Games!$A$2:$A$18,Games!$O$2:$O$18,"Missing game",0)</x:f>
        <x:v>grass</x:v>
      </x:c>
      <x:c r="AU1733" t="n">
        <x:f>_xlfn.XLOOKUP($A1733,Games!$A$2:$A$18,Games!$P$2:$P$18,"Missing game",0)</x:f>
        <x:v>43</x:v>
      </x:c>
      <x:c r="AV1733" t="n">
        <x:f>_xlfn.XLOOKUP($A1733,Games!$A$2:$A$18,Games!$Q$2:$Q$18,"Missing game",0)</x:f>
        <x:v>10</x:v>
      </x:c>
      <x:c r="AW1733" t="str">
        <x:f>_xlfn.XLOOKUP($A1733,Games!$A$2:$A$18,Games!$R$2:$R$18,"Missing game",0)</x:f>
        <x:v>Lambeau Field</x:v>
      </x:c>
    </x:row>
    <x:row r="1734">
      <x:c r="A1734" t="str">
        <x:v>2025_12_MIN_GB</x:v>
      </x:c>
      <x:c r="B1734" t="n">
        <x:v>593</x:v>
      </x:c>
      <x:c r="C1734" t="n">
        <x:v>1</x:v>
      </x:c>
      <x:c r="D1734" t="str">
        <x:v>06:31</x:v>
      </x:c>
      <x:c r="E1734" t="n">
        <x:v>2</x:v>
      </x:c>
      <x:c r="F1734" t="n">
        <x:v>13</x:v>
      </x:c>
      <x:c r="G1734" t="str">
        <x:v>MIN</x:v>
      </x:c>
      <x:c r="H1734" t="str">
        <x:v>GB</x:v>
      </x:c>
      <x:c r="I1734" t="str">
        <x:v>MIN</x:v>
      </x:c>
      <x:c r="J1734" t="n">
        <x:v>64</x:v>
      </x:c>
      <x:c r="K1734" t="str">
        <x:v>(6:31) (Shotgun) 33-A.Jones up the middle to MIN 40 for 4 yards (33-E.Williams).</x:v>
      </x:c>
      <x:c r="L1734" t="str">
        <x:v>run</x:v>
      </x:c>
      <x:c r="M1734" t="n">
        <x:v>4</x:v>
      </x:c>
      <x:c r="N1734" t="n">
        <x:v>1</x:v>
      </x:c>
      <x:c r="O1734" t="n">
        <x:v>0</x:v>
      </x:c>
      <x:c r="P1734"/>
      <x:c r="Q1734"/>
      <x:c r="R1734"/>
      <x:c r="S1734"/>
      <x:c r="T1734" t="str">
        <x:v>middle</x:v>
      </x:c>
      <x:c r="U1734"/>
      <x:c r="V1734" t="n">
        <x:v>0</x:v>
      </x:c>
      <x:c r="W1734" t="n">
        <x:v>0</x:v>
      </x:c>
      <x:c r="X1734" t="n">
        <x:v>0</x:v>
      </x:c>
      <x:c r="Y1734" t="n">
        <x:v>0</x:v>
      </x:c>
      <x:c r="Z1734" t="n">
        <x:v>0</x:v>
      </x:c>
      <x:c r="AA1734" t="n">
        <x:v>0</x:v>
      </x:c>
      <x:c r="AB1734"/>
      <x:c r="AC1734" t="n">
        <x:v>0</x:v>
      </x:c>
      <x:c r="AD1734" t="n">
        <x:v>-0.3375334208831191</x:v>
      </x:c>
      <x:c r="AE1734" t="n">
        <x:v>0</x:v>
      </x:c>
      <x:c r="AF1734" t="n">
        <x:v>-0.012334942817687988</x:v>
      </x:c>
      <x:c r="AG1734" t="n">
        <x:f>_xlfn.XLOOKUP($A1734,Games!$A$2:$A$18,Games!$B$2:$B$18,"Missing game",0)</x:f>
        <x:v>2025</x:v>
      </x:c>
      <x:c r="AH1734" t="str">
        <x:f>_xlfn.XLOOKUP($A1734,Games!$A$2:$A$18,Games!$C$2:$C$18,"Missing game",0)</x:f>
        <x:v>REG</x:v>
      </x:c>
      <x:c r="AI1734" t="n">
        <x:f>_xlfn.XLOOKUP($A1734,Games!$A$2:$A$18,Games!$D$2:$D$18,"Missing game",0)</x:f>
        <x:v>12</x:v>
      </x:c>
      <x:c r="AJ1734" s="1" t="n">
        <x:f>_xlfn.XLOOKUP($A1734,Games!$A$2:$A$18,Games!$E$2:$E$18,"Missing game",0)</x:f>
        <x:v>45984</x:v>
      </x:c>
      <x:c r="AK1734" t="str">
        <x:f>_xlfn.XLOOKUP($A1734,Games!$A$2:$A$18,Games!$F$2:$F$18,"Missing game",0)</x:f>
        <x:v>Sunday</x:v>
      </x:c>
      <x:c r="AL1734" t="str">
        <x:f>_xlfn.XLOOKUP($A1734,Games!$A$2:$A$18,Games!$G$2:$G$18,"Missing game",0)</x:f>
        <x:v>MIN</x:v>
      </x:c>
      <x:c r="AM1734" t="n">
        <x:f>_xlfn.XLOOKUP($A1734,Games!$A$2:$A$18,Games!$H$2:$H$18,"Missing game",0)</x:f>
        <x:v>6</x:v>
      </x:c>
      <x:c r="AN1734" t="str">
        <x:f>_xlfn.XLOOKUP($A1734,Games!$A$2:$A$18,Games!$I$2:$I$18,"Missing game",0)</x:f>
        <x:v>GB</x:v>
      </x:c>
      <x:c r="AO1734" t="n">
        <x:f>_xlfn.XLOOKUP($A1734,Games!$A$2:$A$18,Games!$J$2:$J$18,"Missing game",0)</x:f>
        <x:v>23</x:v>
      </x:c>
      <x:c r="AP1734" t="n">
        <x:f>_xlfn.XLOOKUP($A1734,Games!$A$2:$A$18,Games!$K$2:$K$18,"Missing game",0)</x:f>
        <x:v>17</x:v>
      </x:c>
      <x:c r="AQ1734" t="n">
        <x:f>_xlfn.XLOOKUP($A1734,Games!$A$2:$A$18,Games!$L$2:$L$18,"Missing game",0)</x:f>
        <x:v>29</x:v>
      </x:c>
      <x:c r="AR1734" t="n">
        <x:f>_xlfn.XLOOKUP($A1734,Games!$A$2:$A$18,Games!$M$2:$M$18,"Missing game",0)</x:f>
        <x:v>0</x:v>
      </x:c>
      <x:c r="AS1734" t="str">
        <x:f>_xlfn.XLOOKUP($A1734,Games!$A$2:$A$18,Games!$N$2:$N$18,"Missing game",0)</x:f>
        <x:v>outdoors</x:v>
      </x:c>
      <x:c r="AT1734" t="str">
        <x:f>_xlfn.XLOOKUP($A1734,Games!$A$2:$A$18,Games!$O$2:$O$18,"Missing game",0)</x:f>
        <x:v>grass</x:v>
      </x:c>
      <x:c r="AU1734" t="n">
        <x:f>_xlfn.XLOOKUP($A1734,Games!$A$2:$A$18,Games!$P$2:$P$18,"Missing game",0)</x:f>
        <x:v>43</x:v>
      </x:c>
      <x:c r="AV1734" t="n">
        <x:f>_xlfn.XLOOKUP($A1734,Games!$A$2:$A$18,Games!$Q$2:$Q$18,"Missing game",0)</x:f>
        <x:v>10</x:v>
      </x:c>
      <x:c r="AW1734" t="str">
        <x:f>_xlfn.XLOOKUP($A1734,Games!$A$2:$A$18,Games!$R$2:$R$18,"Missing game",0)</x:f>
        <x:v>Lambeau Field</x:v>
      </x:c>
    </x:row>
    <x:row r="1735">
      <x:c r="A1735" t="str">
        <x:v>2025_12_MIN_GB</x:v>
      </x:c>
      <x:c r="B1735" t="n">
        <x:v>615</x:v>
      </x:c>
      <x:c r="C1735" t="n">
        <x:v>1</x:v>
      </x:c>
      <x:c r="D1735" t="str">
        <x:v>05:54</x:v>
      </x:c>
      <x:c r="E1735" t="n">
        <x:v>3</x:v>
      </x:c>
      <x:c r="F1735" t="n">
        <x:v>9</x:v>
      </x:c>
      <x:c r="G1735" t="str">
        <x:v>MIN</x:v>
      </x:c>
      <x:c r="H1735" t="str">
        <x:v>GB</x:v>
      </x:c>
      <x:c r="I1735" t="str">
        <x:v>MIN</x:v>
      </x:c>
      <x:c r="J1735" t="n">
        <x:v>60</x:v>
      </x:c>
      <x:c r="K1735" t="str">
        <x:v>(5:54) (Shotgun) 9-J.McCarthy pass short left to 87-T.Hockenson to MIN 45 for 5 yards (58-I.McDuffie).</x:v>
      </x:c>
      <x:c r="L1735" t="str">
        <x:v>pass</x:v>
      </x:c>
      <x:c r="M1735" t="n">
        <x:v>5</x:v>
      </x:c>
      <x:c r="N1735" t="n">
        <x:v>1</x:v>
      </x:c>
      <x:c r="O1735" t="n">
        <x:v>0</x:v>
      </x:c>
      <x:c r="P1735" t="str">
        <x:v>short</x:v>
      </x:c>
      <x:c r="Q1735" t="str">
        <x:v>left</x:v>
      </x:c>
      <x:c r="R1735" t="n">
        <x:v>5</x:v>
      </x:c>
      <x:c r="S1735" t="n">
        <x:v>0</x:v>
      </x:c>
      <x:c r="T1735"/>
      <x:c r="U1735"/>
      <x:c r="V1735" t="n">
        <x:v>1</x:v>
      </x:c>
      <x:c r="W1735" t="n">
        <x:v>0</x:v>
      </x:c>
      <x:c r="X1735" t="n">
        <x:v>0</x:v>
      </x:c>
      <x:c r="Y1735" t="n">
        <x:v>0</x:v>
      </x:c>
      <x:c r="Z1735" t="n">
        <x:v>0</x:v>
      </x:c>
      <x:c r="AA1735" t="n">
        <x:v>0</x:v>
      </x:c>
      <x:c r="AB1735"/>
      <x:c r="AC1735" t="n">
        <x:v>0</x:v>
      </x:c>
      <x:c r="AD1735" t="n">
        <x:v>-0.9499094905331731</x:v>
      </x:c>
      <x:c r="AE1735" t="n">
        <x:v>0</x:v>
      </x:c>
      <x:c r="AF1735" t="n">
        <x:v>-0.022111743688583374</x:v>
      </x:c>
      <x:c r="AG1735" t="n">
        <x:f>_xlfn.XLOOKUP($A1735,Games!$A$2:$A$18,Games!$B$2:$B$18,"Missing game",0)</x:f>
        <x:v>2025</x:v>
      </x:c>
      <x:c r="AH1735" t="str">
        <x:f>_xlfn.XLOOKUP($A1735,Games!$A$2:$A$18,Games!$C$2:$C$18,"Missing game",0)</x:f>
        <x:v>REG</x:v>
      </x:c>
      <x:c r="AI1735" t="n">
        <x:f>_xlfn.XLOOKUP($A1735,Games!$A$2:$A$18,Games!$D$2:$D$18,"Missing game",0)</x:f>
        <x:v>12</x:v>
      </x:c>
      <x:c r="AJ1735" s="1" t="n">
        <x:f>_xlfn.XLOOKUP($A1735,Games!$A$2:$A$18,Games!$E$2:$E$18,"Missing game",0)</x:f>
        <x:v>45984</x:v>
      </x:c>
      <x:c r="AK1735" t="str">
        <x:f>_xlfn.XLOOKUP($A1735,Games!$A$2:$A$18,Games!$F$2:$F$18,"Missing game",0)</x:f>
        <x:v>Sunday</x:v>
      </x:c>
      <x:c r="AL1735" t="str">
        <x:f>_xlfn.XLOOKUP($A1735,Games!$A$2:$A$18,Games!$G$2:$G$18,"Missing game",0)</x:f>
        <x:v>MIN</x:v>
      </x:c>
      <x:c r="AM1735" t="n">
        <x:f>_xlfn.XLOOKUP($A1735,Games!$A$2:$A$18,Games!$H$2:$H$18,"Missing game",0)</x:f>
        <x:v>6</x:v>
      </x:c>
      <x:c r="AN1735" t="str">
        <x:f>_xlfn.XLOOKUP($A1735,Games!$A$2:$A$18,Games!$I$2:$I$18,"Missing game",0)</x:f>
        <x:v>GB</x:v>
      </x:c>
      <x:c r="AO1735" t="n">
        <x:f>_xlfn.XLOOKUP($A1735,Games!$A$2:$A$18,Games!$J$2:$J$18,"Missing game",0)</x:f>
        <x:v>23</x:v>
      </x:c>
      <x:c r="AP1735" t="n">
        <x:f>_xlfn.XLOOKUP($A1735,Games!$A$2:$A$18,Games!$K$2:$K$18,"Missing game",0)</x:f>
        <x:v>17</x:v>
      </x:c>
      <x:c r="AQ1735" t="n">
        <x:f>_xlfn.XLOOKUP($A1735,Games!$A$2:$A$18,Games!$L$2:$L$18,"Missing game",0)</x:f>
        <x:v>29</x:v>
      </x:c>
      <x:c r="AR1735" t="n">
        <x:f>_xlfn.XLOOKUP($A1735,Games!$A$2:$A$18,Games!$M$2:$M$18,"Missing game",0)</x:f>
        <x:v>0</x:v>
      </x:c>
      <x:c r="AS1735" t="str">
        <x:f>_xlfn.XLOOKUP($A1735,Games!$A$2:$A$18,Games!$N$2:$N$18,"Missing game",0)</x:f>
        <x:v>outdoors</x:v>
      </x:c>
      <x:c r="AT1735" t="str">
        <x:f>_xlfn.XLOOKUP($A1735,Games!$A$2:$A$18,Games!$O$2:$O$18,"Missing game",0)</x:f>
        <x:v>grass</x:v>
      </x:c>
      <x:c r="AU1735" t="n">
        <x:f>_xlfn.XLOOKUP($A1735,Games!$A$2:$A$18,Games!$P$2:$P$18,"Missing game",0)</x:f>
        <x:v>43</x:v>
      </x:c>
      <x:c r="AV1735" t="n">
        <x:f>_xlfn.XLOOKUP($A1735,Games!$A$2:$A$18,Games!$Q$2:$Q$18,"Missing game",0)</x:f>
        <x:v>10</x:v>
      </x:c>
      <x:c r="AW1735" t="str">
        <x:f>_xlfn.XLOOKUP($A1735,Games!$A$2:$A$18,Games!$R$2:$R$18,"Missing game",0)</x:f>
        <x:v>Lambeau Field</x:v>
      </x:c>
    </x:row>
    <x:row r="1736">
      <x:c r="A1736" t="str">
        <x:v>2025_12_MIN_GB</x:v>
      </x:c>
      <x:c r="B1736" t="n">
        <x:v>640</x:v>
      </x:c>
      <x:c r="C1736" t="n">
        <x:v>1</x:v>
      </x:c>
      <x:c r="D1736" t="str">
        <x:v>05:12</x:v>
      </x:c>
      <x:c r="E1736" t="n">
        <x:v>4</x:v>
      </x:c>
      <x:c r="F1736" t="n">
        <x:v>4</x:v>
      </x:c>
      <x:c r="G1736" t="str">
        <x:v>MIN</x:v>
      </x:c>
      <x:c r="H1736" t="str">
        <x:v>GB</x:v>
      </x:c>
      <x:c r="I1736" t="str">
        <x:v>MIN</x:v>
      </x:c>
      <x:c r="J1736" t="n">
        <x:v>55</x:v>
      </x:c>
      <x:c r="K1736" t="str">
        <x:v>(5:12) 17-R.Wright punts 53 yards to GB 2, Center-42-A.DePaola, out of bounds.</x:v>
      </x:c>
      <x:c r="L1736" t="str">
        <x:v>punt</x:v>
      </x:c>
      <x:c r="M1736" t="n">
        <x:v>0</x:v>
      </x:c>
      <x:c r="N1736" t="n">
        <x:v>0</x:v>
      </x:c>
      <x:c r="O1736" t="n">
        <x:v>0</x:v>
      </x:c>
      <x:c r="P1736"/>
      <x:c r="Q1736"/>
      <x:c r="R1736"/>
      <x:c r="S1736"/>
      <x:c r="T1736"/>
      <x:c r="U1736"/>
      <x:c r="V1736" t="n">
        <x:v>0</x:v>
      </x:c>
      <x:c r="W1736" t="n">
        <x:v>0</x:v>
      </x:c>
      <x:c r="X1736" t="n">
        <x:v>0</x:v>
      </x:c>
      <x:c r="Y1736" t="n">
        <x:v>0</x:v>
      </x:c>
      <x:c r="Z1736" t="n">
        <x:v>0</x:v>
      </x:c>
      <x:c r="AA1736" t="n">
        <x:v>0</x:v>
      </x:c>
      <x:c r="AB1736"/>
      <x:c r="AC1736" t="n">
        <x:v>0</x:v>
      </x:c>
      <x:c r="AD1736" t="n">
        <x:v>0.45278424373827875</x:v>
      </x:c>
      <x:c r="AE1736" t="n">
        <x:v>1</x:v>
      </x:c>
      <x:c r="AF1736" t="n">
        <x:v>0.026004105806350708</x:v>
      </x:c>
      <x:c r="AG1736" t="n">
        <x:f>_xlfn.XLOOKUP($A1736,Games!$A$2:$A$18,Games!$B$2:$B$18,"Missing game",0)</x:f>
        <x:v>2025</x:v>
      </x:c>
      <x:c r="AH1736" t="str">
        <x:f>_xlfn.XLOOKUP($A1736,Games!$A$2:$A$18,Games!$C$2:$C$18,"Missing game",0)</x:f>
        <x:v>REG</x:v>
      </x:c>
      <x:c r="AI1736" t="n">
        <x:f>_xlfn.XLOOKUP($A1736,Games!$A$2:$A$18,Games!$D$2:$D$18,"Missing game",0)</x:f>
        <x:v>12</x:v>
      </x:c>
      <x:c r="AJ1736" s="1" t="n">
        <x:f>_xlfn.XLOOKUP($A1736,Games!$A$2:$A$18,Games!$E$2:$E$18,"Missing game",0)</x:f>
        <x:v>45984</x:v>
      </x:c>
      <x:c r="AK1736" t="str">
        <x:f>_xlfn.XLOOKUP($A1736,Games!$A$2:$A$18,Games!$F$2:$F$18,"Missing game",0)</x:f>
        <x:v>Sunday</x:v>
      </x:c>
      <x:c r="AL1736" t="str">
        <x:f>_xlfn.XLOOKUP($A1736,Games!$A$2:$A$18,Games!$G$2:$G$18,"Missing game",0)</x:f>
        <x:v>MIN</x:v>
      </x:c>
      <x:c r="AM1736" t="n">
        <x:f>_xlfn.XLOOKUP($A1736,Games!$A$2:$A$18,Games!$H$2:$H$18,"Missing game",0)</x:f>
        <x:v>6</x:v>
      </x:c>
      <x:c r="AN1736" t="str">
        <x:f>_xlfn.XLOOKUP($A1736,Games!$A$2:$A$18,Games!$I$2:$I$18,"Missing game",0)</x:f>
        <x:v>GB</x:v>
      </x:c>
      <x:c r="AO1736" t="n">
        <x:f>_xlfn.XLOOKUP($A1736,Games!$A$2:$A$18,Games!$J$2:$J$18,"Missing game",0)</x:f>
        <x:v>23</x:v>
      </x:c>
      <x:c r="AP1736" t="n">
        <x:f>_xlfn.XLOOKUP($A1736,Games!$A$2:$A$18,Games!$K$2:$K$18,"Missing game",0)</x:f>
        <x:v>17</x:v>
      </x:c>
      <x:c r="AQ1736" t="n">
        <x:f>_xlfn.XLOOKUP($A1736,Games!$A$2:$A$18,Games!$L$2:$L$18,"Missing game",0)</x:f>
        <x:v>29</x:v>
      </x:c>
      <x:c r="AR1736" t="n">
        <x:f>_xlfn.XLOOKUP($A1736,Games!$A$2:$A$18,Games!$M$2:$M$18,"Missing game",0)</x:f>
        <x:v>0</x:v>
      </x:c>
      <x:c r="AS1736" t="str">
        <x:f>_xlfn.XLOOKUP($A1736,Games!$A$2:$A$18,Games!$N$2:$N$18,"Missing game",0)</x:f>
        <x:v>outdoors</x:v>
      </x:c>
      <x:c r="AT1736" t="str">
        <x:f>_xlfn.XLOOKUP($A1736,Games!$A$2:$A$18,Games!$O$2:$O$18,"Missing game",0)</x:f>
        <x:v>grass</x:v>
      </x:c>
      <x:c r="AU1736" t="n">
        <x:f>_xlfn.XLOOKUP($A1736,Games!$A$2:$A$18,Games!$P$2:$P$18,"Missing game",0)</x:f>
        <x:v>43</x:v>
      </x:c>
      <x:c r="AV1736" t="n">
        <x:f>_xlfn.XLOOKUP($A1736,Games!$A$2:$A$18,Games!$Q$2:$Q$18,"Missing game",0)</x:f>
        <x:v>10</x:v>
      </x:c>
      <x:c r="AW1736" t="str">
        <x:f>_xlfn.XLOOKUP($A1736,Games!$A$2:$A$18,Games!$R$2:$R$18,"Missing game",0)</x:f>
        <x:v>Lambeau Field</x:v>
      </x:c>
    </x:row>
    <x:row r="1737">
      <x:c r="A1737" t="str">
        <x:v>2025_12_MIN_GB</x:v>
      </x:c>
      <x:c r="B1737" t="n">
        <x:v>659</x:v>
      </x:c>
      <x:c r="C1737" t="n">
        <x:v>1</x:v>
      </x:c>
      <x:c r="D1737" t="str">
        <x:v>05:04</x:v>
      </x:c>
      <x:c r="E1737" t="n">
        <x:v>1</x:v>
      </x:c>
      <x:c r="F1737" t="n">
        <x:v>10</x:v>
      </x:c>
      <x:c r="G1737" t="str">
        <x:v>GB</x:v>
      </x:c>
      <x:c r="H1737" t="str">
        <x:v>MIN</x:v>
      </x:c>
      <x:c r="I1737" t="str">
        <x:v>GB</x:v>
      </x:c>
      <x:c r="J1737" t="n">
        <x:v>98</x:v>
      </x:c>
      <x:c r="K1737" t="str">
        <x:v>(5:04) (Shotgun) 10-J.Love pass short right to 9-C.Watson pushed ob at GB 11 for 9 yards (26-T.Jackson).</x:v>
      </x:c>
      <x:c r="L1737" t="str">
        <x:v>pass</x:v>
      </x:c>
      <x:c r="M1737" t="n">
        <x:v>9</x:v>
      </x:c>
      <x:c r="N1737" t="n">
        <x:v>1</x:v>
      </x:c>
      <x:c r="O1737" t="n">
        <x:v>0</x:v>
      </x:c>
      <x:c r="P1737" t="str">
        <x:v>short</x:v>
      </x:c>
      <x:c r="Q1737" t="str">
        <x:v>right</x:v>
      </x:c>
      <x:c r="R1737" t="n">
        <x:v>3</x:v>
      </x:c>
      <x:c r="S1737" t="n">
        <x:v>6</x:v>
      </x:c>
      <x:c r="T1737"/>
      <x:c r="U1737"/>
      <x:c r="V1737" t="n">
        <x:v>1</x:v>
      </x:c>
      <x:c r="W1737" t="n">
        <x:v>0</x:v>
      </x:c>
      <x:c r="X1737" t="n">
        <x:v>0</x:v>
      </x:c>
      <x:c r="Y1737" t="n">
        <x:v>0</x:v>
      </x:c>
      <x:c r="Z1737" t="n">
        <x:v>0</x:v>
      </x:c>
      <x:c r="AA1737" t="n">
        <x:v>0</x:v>
      </x:c>
      <x:c r="AB1737"/>
      <x:c r="AC1737" t="n">
        <x:v>0</x:v>
      </x:c>
      <x:c r="AD1737" t="n">
        <x:v>0.5878873739857227</x:v>
      </x:c>
      <x:c r="AE1737" t="n">
        <x:v>1</x:v>
      </x:c>
      <x:c r="AF1737" t="n">
        <x:v>0.024647951126098633</x:v>
      </x:c>
      <x:c r="AG1737" t="n">
        <x:f>_xlfn.XLOOKUP($A1737,Games!$A$2:$A$18,Games!$B$2:$B$18,"Missing game",0)</x:f>
        <x:v>2025</x:v>
      </x:c>
      <x:c r="AH1737" t="str">
        <x:f>_xlfn.XLOOKUP($A1737,Games!$A$2:$A$18,Games!$C$2:$C$18,"Missing game",0)</x:f>
        <x:v>REG</x:v>
      </x:c>
      <x:c r="AI1737" t="n">
        <x:f>_xlfn.XLOOKUP($A1737,Games!$A$2:$A$18,Games!$D$2:$D$18,"Missing game",0)</x:f>
        <x:v>12</x:v>
      </x:c>
      <x:c r="AJ1737" s="1" t="n">
        <x:f>_xlfn.XLOOKUP($A1737,Games!$A$2:$A$18,Games!$E$2:$E$18,"Missing game",0)</x:f>
        <x:v>45984</x:v>
      </x:c>
      <x:c r="AK1737" t="str">
        <x:f>_xlfn.XLOOKUP($A1737,Games!$A$2:$A$18,Games!$F$2:$F$18,"Missing game",0)</x:f>
        <x:v>Sunday</x:v>
      </x:c>
      <x:c r="AL1737" t="str">
        <x:f>_xlfn.XLOOKUP($A1737,Games!$A$2:$A$18,Games!$G$2:$G$18,"Missing game",0)</x:f>
        <x:v>MIN</x:v>
      </x:c>
      <x:c r="AM1737" t="n">
        <x:f>_xlfn.XLOOKUP($A1737,Games!$A$2:$A$18,Games!$H$2:$H$18,"Missing game",0)</x:f>
        <x:v>6</x:v>
      </x:c>
      <x:c r="AN1737" t="str">
        <x:f>_xlfn.XLOOKUP($A1737,Games!$A$2:$A$18,Games!$I$2:$I$18,"Missing game",0)</x:f>
        <x:v>GB</x:v>
      </x:c>
      <x:c r="AO1737" t="n">
        <x:f>_xlfn.XLOOKUP($A1737,Games!$A$2:$A$18,Games!$J$2:$J$18,"Missing game",0)</x:f>
        <x:v>23</x:v>
      </x:c>
      <x:c r="AP1737" t="n">
        <x:f>_xlfn.XLOOKUP($A1737,Games!$A$2:$A$18,Games!$K$2:$K$18,"Missing game",0)</x:f>
        <x:v>17</x:v>
      </x:c>
      <x:c r="AQ1737" t="n">
        <x:f>_xlfn.XLOOKUP($A1737,Games!$A$2:$A$18,Games!$L$2:$L$18,"Missing game",0)</x:f>
        <x:v>29</x:v>
      </x:c>
      <x:c r="AR1737" t="n">
        <x:f>_xlfn.XLOOKUP($A1737,Games!$A$2:$A$18,Games!$M$2:$M$18,"Missing game",0)</x:f>
        <x:v>0</x:v>
      </x:c>
      <x:c r="AS1737" t="str">
        <x:f>_xlfn.XLOOKUP($A1737,Games!$A$2:$A$18,Games!$N$2:$N$18,"Missing game",0)</x:f>
        <x:v>outdoors</x:v>
      </x:c>
      <x:c r="AT1737" t="str">
        <x:f>_xlfn.XLOOKUP($A1737,Games!$A$2:$A$18,Games!$O$2:$O$18,"Missing game",0)</x:f>
        <x:v>grass</x:v>
      </x:c>
      <x:c r="AU1737" t="n">
        <x:f>_xlfn.XLOOKUP($A1737,Games!$A$2:$A$18,Games!$P$2:$P$18,"Missing game",0)</x:f>
        <x:v>43</x:v>
      </x:c>
      <x:c r="AV1737" t="n">
        <x:f>_xlfn.XLOOKUP($A1737,Games!$A$2:$A$18,Games!$Q$2:$Q$18,"Missing game",0)</x:f>
        <x:v>10</x:v>
      </x:c>
      <x:c r="AW1737" t="str">
        <x:f>_xlfn.XLOOKUP($A1737,Games!$A$2:$A$18,Games!$R$2:$R$18,"Missing game",0)</x:f>
        <x:v>Lambeau Field</x:v>
      </x:c>
    </x:row>
    <x:row r="1738">
      <x:c r="A1738" t="str">
        <x:v>2025_12_MIN_GB</x:v>
      </x:c>
      <x:c r="B1738" t="n">
        <x:v>696</x:v>
      </x:c>
      <x:c r="C1738" t="n">
        <x:v>1</x:v>
      </x:c>
      <x:c r="D1738" t="str">
        <x:v>04:27</x:v>
      </x:c>
      <x:c r="E1738" t="n">
        <x:v>2</x:v>
      </x:c>
      <x:c r="F1738" t="n">
        <x:v>1</x:v>
      </x:c>
      <x:c r="G1738" t="str">
        <x:v>GB</x:v>
      </x:c>
      <x:c r="H1738" t="str">
        <x:v>MIN</x:v>
      </x:c>
      <x:c r="I1738" t="str">
        <x:v>GB</x:v>
      </x:c>
      <x:c r="J1738" t="n">
        <x:v>89</x:v>
      </x:c>
      <x:c r="K1738" t="str">
        <x:v>(4:27) 23-E.Wilson left tackle to GB 11 for no gain (55-E.Wilson).</x:v>
      </x:c>
      <x:c r="L1738" t="str">
        <x:v>run</x:v>
      </x:c>
      <x:c r="M1738" t="n">
        <x:v>0</x:v>
      </x:c>
      <x:c r="N1738" t="n">
        <x:v>0</x:v>
      </x:c>
      <x:c r="O1738" t="n">
        <x:v>0</x:v>
      </x:c>
      <x:c r="P1738"/>
      <x:c r="Q1738"/>
      <x:c r="R1738"/>
      <x:c r="S1738"/>
      <x:c r="T1738" t="str">
        <x:v>left</x:v>
      </x:c>
      <x:c r="U1738" t="str">
        <x:v>tackle</x:v>
      </x:c>
      <x:c r="V1738" t="n">
        <x:v>0</x:v>
      </x:c>
      <x:c r="W1738" t="n">
        <x:v>0</x:v>
      </x:c>
      <x:c r="X1738" t="n">
        <x:v>0</x:v>
      </x:c>
      <x:c r="Y1738" t="n">
        <x:v>0</x:v>
      </x:c>
      <x:c r="Z1738" t="n">
        <x:v>0</x:v>
      </x:c>
      <x:c r="AA1738" t="n">
        <x:v>0</x:v>
      </x:c>
      <x:c r="AB1738"/>
      <x:c r="AC1738" t="n">
        <x:v>0</x:v>
      </x:c>
      <x:c r="AD1738" t="n">
        <x:v>-0.6676945250947028</x:v>
      </x:c>
      <x:c r="AE1738" t="n">
        <x:v>0</x:v>
      </x:c>
      <x:c r="AF1738" t="n">
        <x:v>-0.03150457143783569</x:v>
      </x:c>
      <x:c r="AG1738" t="n">
        <x:f>_xlfn.XLOOKUP($A1738,Games!$A$2:$A$18,Games!$B$2:$B$18,"Missing game",0)</x:f>
        <x:v>2025</x:v>
      </x:c>
      <x:c r="AH1738" t="str">
        <x:f>_xlfn.XLOOKUP($A1738,Games!$A$2:$A$18,Games!$C$2:$C$18,"Missing game",0)</x:f>
        <x:v>REG</x:v>
      </x:c>
      <x:c r="AI1738" t="n">
        <x:f>_xlfn.XLOOKUP($A1738,Games!$A$2:$A$18,Games!$D$2:$D$18,"Missing game",0)</x:f>
        <x:v>12</x:v>
      </x:c>
      <x:c r="AJ1738" s="1" t="n">
        <x:f>_xlfn.XLOOKUP($A1738,Games!$A$2:$A$18,Games!$E$2:$E$18,"Missing game",0)</x:f>
        <x:v>45984</x:v>
      </x:c>
      <x:c r="AK1738" t="str">
        <x:f>_xlfn.XLOOKUP($A1738,Games!$A$2:$A$18,Games!$F$2:$F$18,"Missing game",0)</x:f>
        <x:v>Sunday</x:v>
      </x:c>
      <x:c r="AL1738" t="str">
        <x:f>_xlfn.XLOOKUP($A1738,Games!$A$2:$A$18,Games!$G$2:$G$18,"Missing game",0)</x:f>
        <x:v>MIN</x:v>
      </x:c>
      <x:c r="AM1738" t="n">
        <x:f>_xlfn.XLOOKUP($A1738,Games!$A$2:$A$18,Games!$H$2:$H$18,"Missing game",0)</x:f>
        <x:v>6</x:v>
      </x:c>
      <x:c r="AN1738" t="str">
        <x:f>_xlfn.XLOOKUP($A1738,Games!$A$2:$A$18,Games!$I$2:$I$18,"Missing game",0)</x:f>
        <x:v>GB</x:v>
      </x:c>
      <x:c r="AO1738" t="n">
        <x:f>_xlfn.XLOOKUP($A1738,Games!$A$2:$A$18,Games!$J$2:$J$18,"Missing game",0)</x:f>
        <x:v>23</x:v>
      </x:c>
      <x:c r="AP1738" t="n">
        <x:f>_xlfn.XLOOKUP($A1738,Games!$A$2:$A$18,Games!$K$2:$K$18,"Missing game",0)</x:f>
        <x:v>17</x:v>
      </x:c>
      <x:c r="AQ1738" t="n">
        <x:f>_xlfn.XLOOKUP($A1738,Games!$A$2:$A$18,Games!$L$2:$L$18,"Missing game",0)</x:f>
        <x:v>29</x:v>
      </x:c>
      <x:c r="AR1738" t="n">
        <x:f>_xlfn.XLOOKUP($A1738,Games!$A$2:$A$18,Games!$M$2:$M$18,"Missing game",0)</x:f>
        <x:v>0</x:v>
      </x:c>
      <x:c r="AS1738" t="str">
        <x:f>_xlfn.XLOOKUP($A1738,Games!$A$2:$A$18,Games!$N$2:$N$18,"Missing game",0)</x:f>
        <x:v>outdoors</x:v>
      </x:c>
      <x:c r="AT1738" t="str">
        <x:f>_xlfn.XLOOKUP($A1738,Games!$A$2:$A$18,Games!$O$2:$O$18,"Missing game",0)</x:f>
        <x:v>grass</x:v>
      </x:c>
      <x:c r="AU1738" t="n">
        <x:f>_xlfn.XLOOKUP($A1738,Games!$A$2:$A$18,Games!$P$2:$P$18,"Missing game",0)</x:f>
        <x:v>43</x:v>
      </x:c>
      <x:c r="AV1738" t="n">
        <x:f>_xlfn.XLOOKUP($A1738,Games!$A$2:$A$18,Games!$Q$2:$Q$18,"Missing game",0)</x:f>
        <x:v>10</x:v>
      </x:c>
      <x:c r="AW1738" t="str">
        <x:f>_xlfn.XLOOKUP($A1738,Games!$A$2:$A$18,Games!$R$2:$R$18,"Missing game",0)</x:f>
        <x:v>Lambeau Field</x:v>
      </x:c>
    </x:row>
    <x:row r="1739">
      <x:c r="A1739" t="str">
        <x:v>2025_12_MIN_GB</x:v>
      </x:c>
      <x:c r="B1739" t="n">
        <x:v>718</x:v>
      </x:c>
      <x:c r="C1739" t="n">
        <x:v>1</x:v>
      </x:c>
      <x:c r="D1739" t="str">
        <x:v>03:42</x:v>
      </x:c>
      <x:c r="E1739" t="n">
        <x:v>3</x:v>
      </x:c>
      <x:c r="F1739" t="n">
        <x:v>1</x:v>
      </x:c>
      <x:c r="G1739" t="str">
        <x:v>GB</x:v>
      </x:c>
      <x:c r="H1739" t="str">
        <x:v>MIN</x:v>
      </x:c>
      <x:c r="I1739" t="str">
        <x:v>GB</x:v>
      </x:c>
      <x:c r="J1739" t="n">
        <x:v>89</x:v>
      </x:c>
      <x:c r="K1739" t="str">
        <x:v>(3:42) 70-D.Kinnard reported in as eligible. 23-E.Wilson left end to GB 19 for 8 yards (51-B.Cashman; 44-J.Metellus).</x:v>
      </x:c>
      <x:c r="L1739" t="str">
        <x:v>run</x:v>
      </x:c>
      <x:c r="M1739" t="n">
        <x:v>8</x:v>
      </x:c>
      <x:c r="N1739" t="n">
        <x:v>0</x:v>
      </x:c>
      <x:c r="O1739" t="n">
        <x:v>0</x:v>
      </x:c>
      <x:c r="P1739"/>
      <x:c r="Q1739"/>
      <x:c r="R1739"/>
      <x:c r="S1739"/>
      <x:c r="T1739" t="str">
        <x:v>left</x:v>
      </x:c>
      <x:c r="U1739" t="str">
        <x:v>end</x:v>
      </x:c>
      <x:c r="V1739" t="n">
        <x:v>0</x:v>
      </x:c>
      <x:c r="W1739" t="n">
        <x:v>1</x:v>
      </x:c>
      <x:c r="X1739" t="n">
        <x:v>0</x:v>
      </x:c>
      <x:c r="Y1739" t="n">
        <x:v>0</x:v>
      </x:c>
      <x:c r="Z1739" t="n">
        <x:v>0</x:v>
      </x:c>
      <x:c r="AA1739" t="n">
        <x:v>0</x:v>
      </x:c>
      <x:c r="AB1739"/>
      <x:c r="AC1739" t="n">
        <x:v>0</x:v>
      </x:c>
      <x:c r="AD1739" t="n">
        <x:v>0.8317173894029111</x:v>
      </x:c>
      <x:c r="AE1739" t="n">
        <x:v>1</x:v>
      </x:c>
      <x:c r="AF1739" t="n">
        <x:v>0.023452579975128174</x:v>
      </x:c>
      <x:c r="AG1739" t="n">
        <x:f>_xlfn.XLOOKUP($A1739,Games!$A$2:$A$18,Games!$B$2:$B$18,"Missing game",0)</x:f>
        <x:v>2025</x:v>
      </x:c>
      <x:c r="AH1739" t="str">
        <x:f>_xlfn.XLOOKUP($A1739,Games!$A$2:$A$18,Games!$C$2:$C$18,"Missing game",0)</x:f>
        <x:v>REG</x:v>
      </x:c>
      <x:c r="AI1739" t="n">
        <x:f>_xlfn.XLOOKUP($A1739,Games!$A$2:$A$18,Games!$D$2:$D$18,"Missing game",0)</x:f>
        <x:v>12</x:v>
      </x:c>
      <x:c r="AJ1739" s="1" t="n">
        <x:f>_xlfn.XLOOKUP($A1739,Games!$A$2:$A$18,Games!$E$2:$E$18,"Missing game",0)</x:f>
        <x:v>45984</x:v>
      </x:c>
      <x:c r="AK1739" t="str">
        <x:f>_xlfn.XLOOKUP($A1739,Games!$A$2:$A$18,Games!$F$2:$F$18,"Missing game",0)</x:f>
        <x:v>Sunday</x:v>
      </x:c>
      <x:c r="AL1739" t="str">
        <x:f>_xlfn.XLOOKUP($A1739,Games!$A$2:$A$18,Games!$G$2:$G$18,"Missing game",0)</x:f>
        <x:v>MIN</x:v>
      </x:c>
      <x:c r="AM1739" t="n">
        <x:f>_xlfn.XLOOKUP($A1739,Games!$A$2:$A$18,Games!$H$2:$H$18,"Missing game",0)</x:f>
        <x:v>6</x:v>
      </x:c>
      <x:c r="AN1739" t="str">
        <x:f>_xlfn.XLOOKUP($A1739,Games!$A$2:$A$18,Games!$I$2:$I$18,"Missing game",0)</x:f>
        <x:v>GB</x:v>
      </x:c>
      <x:c r="AO1739" t="n">
        <x:f>_xlfn.XLOOKUP($A1739,Games!$A$2:$A$18,Games!$J$2:$J$18,"Missing game",0)</x:f>
        <x:v>23</x:v>
      </x:c>
      <x:c r="AP1739" t="n">
        <x:f>_xlfn.XLOOKUP($A1739,Games!$A$2:$A$18,Games!$K$2:$K$18,"Missing game",0)</x:f>
        <x:v>17</x:v>
      </x:c>
      <x:c r="AQ1739" t="n">
        <x:f>_xlfn.XLOOKUP($A1739,Games!$A$2:$A$18,Games!$L$2:$L$18,"Missing game",0)</x:f>
        <x:v>29</x:v>
      </x:c>
      <x:c r="AR1739" t="n">
        <x:f>_xlfn.XLOOKUP($A1739,Games!$A$2:$A$18,Games!$M$2:$M$18,"Missing game",0)</x:f>
        <x:v>0</x:v>
      </x:c>
      <x:c r="AS1739" t="str">
        <x:f>_xlfn.XLOOKUP($A1739,Games!$A$2:$A$18,Games!$N$2:$N$18,"Missing game",0)</x:f>
        <x:v>outdoors</x:v>
      </x:c>
      <x:c r="AT1739" t="str">
        <x:f>_xlfn.XLOOKUP($A1739,Games!$A$2:$A$18,Games!$O$2:$O$18,"Missing game",0)</x:f>
        <x:v>grass</x:v>
      </x:c>
      <x:c r="AU1739" t="n">
        <x:f>_xlfn.XLOOKUP($A1739,Games!$A$2:$A$18,Games!$P$2:$P$18,"Missing game",0)</x:f>
        <x:v>43</x:v>
      </x:c>
      <x:c r="AV1739" t="n">
        <x:f>_xlfn.XLOOKUP($A1739,Games!$A$2:$A$18,Games!$Q$2:$Q$18,"Missing game",0)</x:f>
        <x:v>10</x:v>
      </x:c>
      <x:c r="AW1739" t="str">
        <x:f>_xlfn.XLOOKUP($A1739,Games!$A$2:$A$18,Games!$R$2:$R$18,"Missing game",0)</x:f>
        <x:v>Lambeau Field</x:v>
      </x:c>
    </x:row>
    <x:row r="1740">
      <x:c r="A1740" t="str">
        <x:v>2025_12_MIN_GB</x:v>
      </x:c>
      <x:c r="B1740" t="n">
        <x:v>742</x:v>
      </x:c>
      <x:c r="C1740" t="n">
        <x:v>1</x:v>
      </x:c>
      <x:c r="D1740" t="str">
        <x:v>02:57</x:v>
      </x:c>
      <x:c r="E1740" t="n">
        <x:v>1</x:v>
      </x:c>
      <x:c r="F1740" t="n">
        <x:v>10</x:v>
      </x:c>
      <x:c r="G1740" t="str">
        <x:v>GB</x:v>
      </x:c>
      <x:c r="H1740" t="str">
        <x:v>MIN</x:v>
      </x:c>
      <x:c r="I1740" t="str">
        <x:v>GB</x:v>
      </x:c>
      <x:c r="J1740" t="n">
        <x:v>81</x:v>
      </x:c>
      <x:c r="K1740" t="str">
        <x:v>(2:57) (Shotgun) 10-J.Love pass incomplete short right to 87-R.Doubs (61-J.Redmond).</x:v>
      </x:c>
      <x:c r="L1740" t="str">
        <x:v>pass</x:v>
      </x:c>
      <x:c r="M1740" t="n">
        <x:v>0</x:v>
      </x:c>
      <x:c r="N1740" t="n">
        <x:v>1</x:v>
      </x:c>
      <x:c r="O1740" t="n">
        <x:v>0</x:v>
      </x:c>
      <x:c r="P1740" t="str">
        <x:v>short</x:v>
      </x:c>
      <x:c r="Q1740" t="str">
        <x:v>right</x:v>
      </x:c>
      <x:c r="R1740" t="n">
        <x:v>-4</x:v>
      </x:c>
      <x:c r="S1740"/>
      <x:c r="T1740"/>
      <x:c r="U1740"/>
      <x:c r="V1740" t="n">
        <x:v>0</x:v>
      </x:c>
      <x:c r="W1740" t="n">
        <x:v>0</x:v>
      </x:c>
      <x:c r="X1740" t="n">
        <x:v>0</x:v>
      </x:c>
      <x:c r="Y1740" t="n">
        <x:v>0</x:v>
      </x:c>
      <x:c r="Z1740" t="n">
        <x:v>0</x:v>
      </x:c>
      <x:c r="AA1740" t="n">
        <x:v>0</x:v>
      </x:c>
      <x:c r="AB1740"/>
      <x:c r="AC1740" t="n">
        <x:v>0</x:v>
      </x:c>
      <x:c r="AD1740" t="n">
        <x:v>-0.5939825647510588</x:v>
      </x:c>
      <x:c r="AE1740" t="n">
        <x:v>0</x:v>
      </x:c>
      <x:c r="AF1740" t="n">
        <x:v>-0.008513569831848145</x:v>
      </x:c>
      <x:c r="AG1740" t="n">
        <x:f>_xlfn.XLOOKUP($A1740,Games!$A$2:$A$18,Games!$B$2:$B$18,"Missing game",0)</x:f>
        <x:v>2025</x:v>
      </x:c>
      <x:c r="AH1740" t="str">
        <x:f>_xlfn.XLOOKUP($A1740,Games!$A$2:$A$18,Games!$C$2:$C$18,"Missing game",0)</x:f>
        <x:v>REG</x:v>
      </x:c>
      <x:c r="AI1740" t="n">
        <x:f>_xlfn.XLOOKUP($A1740,Games!$A$2:$A$18,Games!$D$2:$D$18,"Missing game",0)</x:f>
        <x:v>12</x:v>
      </x:c>
      <x:c r="AJ1740" s="1" t="n">
        <x:f>_xlfn.XLOOKUP($A1740,Games!$A$2:$A$18,Games!$E$2:$E$18,"Missing game",0)</x:f>
        <x:v>45984</x:v>
      </x:c>
      <x:c r="AK1740" t="str">
        <x:f>_xlfn.XLOOKUP($A1740,Games!$A$2:$A$18,Games!$F$2:$F$18,"Missing game",0)</x:f>
        <x:v>Sunday</x:v>
      </x:c>
      <x:c r="AL1740" t="str">
        <x:f>_xlfn.XLOOKUP($A1740,Games!$A$2:$A$18,Games!$G$2:$G$18,"Missing game",0)</x:f>
        <x:v>MIN</x:v>
      </x:c>
      <x:c r="AM1740" t="n">
        <x:f>_xlfn.XLOOKUP($A1740,Games!$A$2:$A$18,Games!$H$2:$H$18,"Missing game",0)</x:f>
        <x:v>6</x:v>
      </x:c>
      <x:c r="AN1740" t="str">
        <x:f>_xlfn.XLOOKUP($A1740,Games!$A$2:$A$18,Games!$I$2:$I$18,"Missing game",0)</x:f>
        <x:v>GB</x:v>
      </x:c>
      <x:c r="AO1740" t="n">
        <x:f>_xlfn.XLOOKUP($A1740,Games!$A$2:$A$18,Games!$J$2:$J$18,"Missing game",0)</x:f>
        <x:v>23</x:v>
      </x:c>
      <x:c r="AP1740" t="n">
        <x:f>_xlfn.XLOOKUP($A1740,Games!$A$2:$A$18,Games!$K$2:$K$18,"Missing game",0)</x:f>
        <x:v>17</x:v>
      </x:c>
      <x:c r="AQ1740" t="n">
        <x:f>_xlfn.XLOOKUP($A1740,Games!$A$2:$A$18,Games!$L$2:$L$18,"Missing game",0)</x:f>
        <x:v>29</x:v>
      </x:c>
      <x:c r="AR1740" t="n">
        <x:f>_xlfn.XLOOKUP($A1740,Games!$A$2:$A$18,Games!$M$2:$M$18,"Missing game",0)</x:f>
        <x:v>0</x:v>
      </x:c>
      <x:c r="AS1740" t="str">
        <x:f>_xlfn.XLOOKUP($A1740,Games!$A$2:$A$18,Games!$N$2:$N$18,"Missing game",0)</x:f>
        <x:v>outdoors</x:v>
      </x:c>
      <x:c r="AT1740" t="str">
        <x:f>_xlfn.XLOOKUP($A1740,Games!$A$2:$A$18,Games!$O$2:$O$18,"Missing game",0)</x:f>
        <x:v>grass</x:v>
      </x:c>
      <x:c r="AU1740" t="n">
        <x:f>_xlfn.XLOOKUP($A1740,Games!$A$2:$A$18,Games!$P$2:$P$18,"Missing game",0)</x:f>
        <x:v>43</x:v>
      </x:c>
      <x:c r="AV1740" t="n">
        <x:f>_xlfn.XLOOKUP($A1740,Games!$A$2:$A$18,Games!$Q$2:$Q$18,"Missing game",0)</x:f>
        <x:v>10</x:v>
      </x:c>
      <x:c r="AW1740" t="str">
        <x:f>_xlfn.XLOOKUP($A1740,Games!$A$2:$A$18,Games!$R$2:$R$18,"Missing game",0)</x:f>
        <x:v>Lambeau Field</x:v>
      </x:c>
    </x:row>
    <x:row r="1741">
      <x:c r="A1741" t="str">
        <x:v>2025_12_MIN_GB</x:v>
      </x:c>
      <x:c r="B1741" t="n">
        <x:v>765</x:v>
      </x:c>
      <x:c r="C1741" t="n">
        <x:v>1</x:v>
      </x:c>
      <x:c r="D1741" t="str">
        <x:v>02:55</x:v>
      </x:c>
      <x:c r="E1741" t="n">
        <x:v>2</x:v>
      </x:c>
      <x:c r="F1741" t="n">
        <x:v>10</x:v>
      </x:c>
      <x:c r="G1741" t="str">
        <x:v>GB</x:v>
      </x:c>
      <x:c r="H1741" t="str">
        <x:v>MIN</x:v>
      </x:c>
      <x:c r="I1741" t="str">
        <x:v>GB</x:v>
      </x:c>
      <x:c r="J1741" t="n">
        <x:v>81</x:v>
      </x:c>
      <x:c r="K1741" t="str">
        <x:v>(2:55) 10-J.Love pass incomplete short right to 88-L.Musgrave (2-I.Rodgers).</x:v>
      </x:c>
      <x:c r="L1741" t="str">
        <x:v>pass</x:v>
      </x:c>
      <x:c r="M1741" t="n">
        <x:v>0</x:v>
      </x:c>
      <x:c r="N1741" t="n">
        <x:v>0</x:v>
      </x:c>
      <x:c r="O1741" t="n">
        <x:v>0</x:v>
      </x:c>
      <x:c r="P1741" t="str">
        <x:v>short</x:v>
      </x:c>
      <x:c r="Q1741" t="str">
        <x:v>right</x:v>
      </x:c>
      <x:c r="R1741" t="n">
        <x:v>5</x:v>
      </x:c>
      <x:c r="S1741"/>
      <x:c r="T1741"/>
      <x:c r="U1741"/>
      <x:c r="V1741" t="n">
        <x:v>0</x:v>
      </x:c>
      <x:c r="W1741" t="n">
        <x:v>0</x:v>
      </x:c>
      <x:c r="X1741" t="n">
        <x:v>0</x:v>
      </x:c>
      <x:c r="Y1741" t="n">
        <x:v>0</x:v>
      </x:c>
      <x:c r="Z1741" t="n">
        <x:v>0</x:v>
      </x:c>
      <x:c r="AA1741" t="n">
        <x:v>0</x:v>
      </x:c>
      <x:c r="AB1741"/>
      <x:c r="AC1741" t="n">
        <x:v>0</x:v>
      </x:c>
      <x:c r="AD1741" t="n">
        <x:v>-0.7796493866480887</x:v>
      </x:c>
      <x:c r="AE1741" t="n">
        <x:v>0</x:v>
      </x:c>
      <x:c r="AF1741" t="n">
        <x:v>-0.019961833953857422</x:v>
      </x:c>
      <x:c r="AG1741" t="n">
        <x:f>_xlfn.XLOOKUP($A1741,Games!$A$2:$A$18,Games!$B$2:$B$18,"Missing game",0)</x:f>
        <x:v>2025</x:v>
      </x:c>
      <x:c r="AH1741" t="str">
        <x:f>_xlfn.XLOOKUP($A1741,Games!$A$2:$A$18,Games!$C$2:$C$18,"Missing game",0)</x:f>
        <x:v>REG</x:v>
      </x:c>
      <x:c r="AI1741" t="n">
        <x:f>_xlfn.XLOOKUP($A1741,Games!$A$2:$A$18,Games!$D$2:$D$18,"Missing game",0)</x:f>
        <x:v>12</x:v>
      </x:c>
      <x:c r="AJ1741" s="1" t="n">
        <x:f>_xlfn.XLOOKUP($A1741,Games!$A$2:$A$18,Games!$E$2:$E$18,"Missing game",0)</x:f>
        <x:v>45984</x:v>
      </x:c>
      <x:c r="AK1741" t="str">
        <x:f>_xlfn.XLOOKUP($A1741,Games!$A$2:$A$18,Games!$F$2:$F$18,"Missing game",0)</x:f>
        <x:v>Sunday</x:v>
      </x:c>
      <x:c r="AL1741" t="str">
        <x:f>_xlfn.XLOOKUP($A1741,Games!$A$2:$A$18,Games!$G$2:$G$18,"Missing game",0)</x:f>
        <x:v>MIN</x:v>
      </x:c>
      <x:c r="AM1741" t="n">
        <x:f>_xlfn.XLOOKUP($A1741,Games!$A$2:$A$18,Games!$H$2:$H$18,"Missing game",0)</x:f>
        <x:v>6</x:v>
      </x:c>
      <x:c r="AN1741" t="str">
        <x:f>_xlfn.XLOOKUP($A1741,Games!$A$2:$A$18,Games!$I$2:$I$18,"Missing game",0)</x:f>
        <x:v>GB</x:v>
      </x:c>
      <x:c r="AO1741" t="n">
        <x:f>_xlfn.XLOOKUP($A1741,Games!$A$2:$A$18,Games!$J$2:$J$18,"Missing game",0)</x:f>
        <x:v>23</x:v>
      </x:c>
      <x:c r="AP1741" t="n">
        <x:f>_xlfn.XLOOKUP($A1741,Games!$A$2:$A$18,Games!$K$2:$K$18,"Missing game",0)</x:f>
        <x:v>17</x:v>
      </x:c>
      <x:c r="AQ1741" t="n">
        <x:f>_xlfn.XLOOKUP($A1741,Games!$A$2:$A$18,Games!$L$2:$L$18,"Missing game",0)</x:f>
        <x:v>29</x:v>
      </x:c>
      <x:c r="AR1741" t="n">
        <x:f>_xlfn.XLOOKUP($A1741,Games!$A$2:$A$18,Games!$M$2:$M$18,"Missing game",0)</x:f>
        <x:v>0</x:v>
      </x:c>
      <x:c r="AS1741" t="str">
        <x:f>_xlfn.XLOOKUP($A1741,Games!$A$2:$A$18,Games!$N$2:$N$18,"Missing game",0)</x:f>
        <x:v>outdoors</x:v>
      </x:c>
      <x:c r="AT1741" t="str">
        <x:f>_xlfn.XLOOKUP($A1741,Games!$A$2:$A$18,Games!$O$2:$O$18,"Missing game",0)</x:f>
        <x:v>grass</x:v>
      </x:c>
      <x:c r="AU1741" t="n">
        <x:f>_xlfn.XLOOKUP($A1741,Games!$A$2:$A$18,Games!$P$2:$P$18,"Missing game",0)</x:f>
        <x:v>43</x:v>
      </x:c>
      <x:c r="AV1741" t="n">
        <x:f>_xlfn.XLOOKUP($A1741,Games!$A$2:$A$18,Games!$Q$2:$Q$18,"Missing game",0)</x:f>
        <x:v>10</x:v>
      </x:c>
      <x:c r="AW1741" t="str">
        <x:f>_xlfn.XLOOKUP($A1741,Games!$A$2:$A$18,Games!$R$2:$R$18,"Missing game",0)</x:f>
        <x:v>Lambeau Field</x:v>
      </x:c>
    </x:row>
    <x:row r="1742">
      <x:c r="A1742" t="str">
        <x:v>2025_12_MIN_GB</x:v>
      </x:c>
      <x:c r="B1742" t="n">
        <x:v>788</x:v>
      </x:c>
      <x:c r="C1742" t="n">
        <x:v>1</x:v>
      </x:c>
      <x:c r="D1742" t="str">
        <x:v>02:49</x:v>
      </x:c>
      <x:c r="E1742" t="n">
        <x:v>3</x:v>
      </x:c>
      <x:c r="F1742" t="n">
        <x:v>10</x:v>
      </x:c>
      <x:c r="G1742" t="str">
        <x:v>GB</x:v>
      </x:c>
      <x:c r="H1742" t="str">
        <x:v>MIN</x:v>
      </x:c>
      <x:c r="I1742" t="str">
        <x:v>GB</x:v>
      </x:c>
      <x:c r="J1742" t="n">
        <x:v>81</x:v>
      </x:c>
      <x:c r="K1742" t="str">
        <x:v>(2:49) (Shotgun) 10-J.Love pass short middle to 13-D.Wicks to GB 33 for 14 yards (51-B.Cashman) [55-E.Wilson].</x:v>
      </x:c>
      <x:c r="L1742" t="str">
        <x:v>pass</x:v>
      </x:c>
      <x:c r="M1742" t="n">
        <x:v>14</x:v>
      </x:c>
      <x:c r="N1742" t="n">
        <x:v>1</x:v>
      </x:c>
      <x:c r="O1742" t="n">
        <x:v>0</x:v>
      </x:c>
      <x:c r="P1742" t="str">
        <x:v>short</x:v>
      </x:c>
      <x:c r="Q1742" t="str">
        <x:v>middle</x:v>
      </x:c>
      <x:c r="R1742" t="n">
        <x:v>12</x:v>
      </x:c>
      <x:c r="S1742" t="n">
        <x:v>2</x:v>
      </x:c>
      <x:c r="T1742"/>
      <x:c r="U1742"/>
      <x:c r="V1742" t="n">
        <x:v>1</x:v>
      </x:c>
      <x:c r="W1742" t="n">
        <x:v>1</x:v>
      </x:c>
      <x:c r="X1742" t="n">
        <x:v>0</x:v>
      </x:c>
      <x:c r="Y1742" t="n">
        <x:v>0</x:v>
      </x:c>
      <x:c r="Z1742" t="n">
        <x:v>0</x:v>
      </x:c>
      <x:c r="AA1742" t="n">
        <x:v>0</x:v>
      </x:c>
      <x:c r="AB1742"/>
      <x:c r="AC1742" t="n">
        <x:v>0</x:v>
      </x:c>
      <x:c r="AD1742" t="n">
        <x:v>2.4340745327062905</x:v>
      </x:c>
      <x:c r="AE1742" t="n">
        <x:v>1</x:v>
      </x:c>
      <x:c r="AF1742" t="n">
        <x:v>0.05641162395477295</x:v>
      </x:c>
      <x:c r="AG1742" t="n">
        <x:f>_xlfn.XLOOKUP($A1742,Games!$A$2:$A$18,Games!$B$2:$B$18,"Missing game",0)</x:f>
        <x:v>2025</x:v>
      </x:c>
      <x:c r="AH1742" t="str">
        <x:f>_xlfn.XLOOKUP($A1742,Games!$A$2:$A$18,Games!$C$2:$C$18,"Missing game",0)</x:f>
        <x:v>REG</x:v>
      </x:c>
      <x:c r="AI1742" t="n">
        <x:f>_xlfn.XLOOKUP($A1742,Games!$A$2:$A$18,Games!$D$2:$D$18,"Missing game",0)</x:f>
        <x:v>12</x:v>
      </x:c>
      <x:c r="AJ1742" s="1" t="n">
        <x:f>_xlfn.XLOOKUP($A1742,Games!$A$2:$A$18,Games!$E$2:$E$18,"Missing game",0)</x:f>
        <x:v>45984</x:v>
      </x:c>
      <x:c r="AK1742" t="str">
        <x:f>_xlfn.XLOOKUP($A1742,Games!$A$2:$A$18,Games!$F$2:$F$18,"Missing game",0)</x:f>
        <x:v>Sunday</x:v>
      </x:c>
      <x:c r="AL1742" t="str">
        <x:f>_xlfn.XLOOKUP($A1742,Games!$A$2:$A$18,Games!$G$2:$G$18,"Missing game",0)</x:f>
        <x:v>MIN</x:v>
      </x:c>
      <x:c r="AM1742" t="n">
        <x:f>_xlfn.XLOOKUP($A1742,Games!$A$2:$A$18,Games!$H$2:$H$18,"Missing game",0)</x:f>
        <x:v>6</x:v>
      </x:c>
      <x:c r="AN1742" t="str">
        <x:f>_xlfn.XLOOKUP($A1742,Games!$A$2:$A$18,Games!$I$2:$I$18,"Missing game",0)</x:f>
        <x:v>GB</x:v>
      </x:c>
      <x:c r="AO1742" t="n">
        <x:f>_xlfn.XLOOKUP($A1742,Games!$A$2:$A$18,Games!$J$2:$J$18,"Missing game",0)</x:f>
        <x:v>23</x:v>
      </x:c>
      <x:c r="AP1742" t="n">
        <x:f>_xlfn.XLOOKUP($A1742,Games!$A$2:$A$18,Games!$K$2:$K$18,"Missing game",0)</x:f>
        <x:v>17</x:v>
      </x:c>
      <x:c r="AQ1742" t="n">
        <x:f>_xlfn.XLOOKUP($A1742,Games!$A$2:$A$18,Games!$L$2:$L$18,"Missing game",0)</x:f>
        <x:v>29</x:v>
      </x:c>
      <x:c r="AR1742" t="n">
        <x:f>_xlfn.XLOOKUP($A1742,Games!$A$2:$A$18,Games!$M$2:$M$18,"Missing game",0)</x:f>
        <x:v>0</x:v>
      </x:c>
      <x:c r="AS1742" t="str">
        <x:f>_xlfn.XLOOKUP($A1742,Games!$A$2:$A$18,Games!$N$2:$N$18,"Missing game",0)</x:f>
        <x:v>outdoors</x:v>
      </x:c>
      <x:c r="AT1742" t="str">
        <x:f>_xlfn.XLOOKUP($A1742,Games!$A$2:$A$18,Games!$O$2:$O$18,"Missing game",0)</x:f>
        <x:v>grass</x:v>
      </x:c>
      <x:c r="AU1742" t="n">
        <x:f>_xlfn.XLOOKUP($A1742,Games!$A$2:$A$18,Games!$P$2:$P$18,"Missing game",0)</x:f>
        <x:v>43</x:v>
      </x:c>
      <x:c r="AV1742" t="n">
        <x:f>_xlfn.XLOOKUP($A1742,Games!$A$2:$A$18,Games!$Q$2:$Q$18,"Missing game",0)</x:f>
        <x:v>10</x:v>
      </x:c>
      <x:c r="AW1742" t="str">
        <x:f>_xlfn.XLOOKUP($A1742,Games!$A$2:$A$18,Games!$R$2:$R$18,"Missing game",0)</x:f>
        <x:v>Lambeau Field</x:v>
      </x:c>
    </x:row>
    <x:row r="1743">
      <x:c r="A1743" t="str">
        <x:v>2025_12_MIN_GB</x:v>
      </x:c>
      <x:c r="B1743" t="n">
        <x:v>813</x:v>
      </x:c>
      <x:c r="C1743" t="n">
        <x:v>1</x:v>
      </x:c>
      <x:c r="D1743" t="str">
        <x:v>02:08</x:v>
      </x:c>
      <x:c r="E1743" t="n">
        <x:v>1</x:v>
      </x:c>
      <x:c r="F1743" t="n">
        <x:v>10</x:v>
      </x:c>
      <x:c r="G1743" t="str">
        <x:v>GB</x:v>
      </x:c>
      <x:c r="H1743" t="str">
        <x:v>MIN</x:v>
      </x:c>
      <x:c r="I1743" t="str">
        <x:v>GB</x:v>
      </x:c>
      <x:c r="J1743" t="n">
        <x:v>67</x:v>
      </x:c>
      <x:c r="K1743" t="str">
        <x:v>(2:08) 10-J.Love pass incomplete deep right to 9-C.Watson.</x:v>
      </x:c>
      <x:c r="L1743" t="str">
        <x:v>pass</x:v>
      </x:c>
      <x:c r="M1743" t="n">
        <x:v>0</x:v>
      </x:c>
      <x:c r="N1743" t="n">
        <x:v>0</x:v>
      </x:c>
      <x:c r="O1743" t="n">
        <x:v>0</x:v>
      </x:c>
      <x:c r="P1743" t="str">
        <x:v>deep</x:v>
      </x:c>
      <x:c r="Q1743" t="str">
        <x:v>right</x:v>
      </x:c>
      <x:c r="R1743" t="n">
        <x:v>27</x:v>
      </x:c>
      <x:c r="S1743"/>
      <x:c r="T1743"/>
      <x:c r="U1743"/>
      <x:c r="V1743" t="n">
        <x:v>0</x:v>
      </x:c>
      <x:c r="W1743" t="n">
        <x:v>0</x:v>
      </x:c>
      <x:c r="X1743" t="n">
        <x:v>0</x:v>
      </x:c>
      <x:c r="Y1743" t="n">
        <x:v>0</x:v>
      </x:c>
      <x:c r="Z1743" t="n">
        <x:v>0</x:v>
      </x:c>
      <x:c r="AA1743" t="n">
        <x:v>0</x:v>
      </x:c>
      <x:c r="AB1743"/>
      <x:c r="AC1743" t="n">
        <x:v>0</x:v>
      </x:c>
      <x:c r="AD1743" t="n">
        <x:v>-0.5393425701186061</x:v>
      </x:c>
      <x:c r="AE1743" t="n">
        <x:v>0</x:v>
      </x:c>
      <x:c r="AF1743" t="n">
        <x:v>-0.011922955513000488</x:v>
      </x:c>
      <x:c r="AG1743" t="n">
        <x:f>_xlfn.XLOOKUP($A1743,Games!$A$2:$A$18,Games!$B$2:$B$18,"Missing game",0)</x:f>
        <x:v>2025</x:v>
      </x:c>
      <x:c r="AH1743" t="str">
        <x:f>_xlfn.XLOOKUP($A1743,Games!$A$2:$A$18,Games!$C$2:$C$18,"Missing game",0)</x:f>
        <x:v>REG</x:v>
      </x:c>
      <x:c r="AI1743" t="n">
        <x:f>_xlfn.XLOOKUP($A1743,Games!$A$2:$A$18,Games!$D$2:$D$18,"Missing game",0)</x:f>
        <x:v>12</x:v>
      </x:c>
      <x:c r="AJ1743" s="1" t="n">
        <x:f>_xlfn.XLOOKUP($A1743,Games!$A$2:$A$18,Games!$E$2:$E$18,"Missing game",0)</x:f>
        <x:v>45984</x:v>
      </x:c>
      <x:c r="AK1743" t="str">
        <x:f>_xlfn.XLOOKUP($A1743,Games!$A$2:$A$18,Games!$F$2:$F$18,"Missing game",0)</x:f>
        <x:v>Sunday</x:v>
      </x:c>
      <x:c r="AL1743" t="str">
        <x:f>_xlfn.XLOOKUP($A1743,Games!$A$2:$A$18,Games!$G$2:$G$18,"Missing game",0)</x:f>
        <x:v>MIN</x:v>
      </x:c>
      <x:c r="AM1743" t="n">
        <x:f>_xlfn.XLOOKUP($A1743,Games!$A$2:$A$18,Games!$H$2:$H$18,"Missing game",0)</x:f>
        <x:v>6</x:v>
      </x:c>
      <x:c r="AN1743" t="str">
        <x:f>_xlfn.XLOOKUP($A1743,Games!$A$2:$A$18,Games!$I$2:$I$18,"Missing game",0)</x:f>
        <x:v>GB</x:v>
      </x:c>
      <x:c r="AO1743" t="n">
        <x:f>_xlfn.XLOOKUP($A1743,Games!$A$2:$A$18,Games!$J$2:$J$18,"Missing game",0)</x:f>
        <x:v>23</x:v>
      </x:c>
      <x:c r="AP1743" t="n">
        <x:f>_xlfn.XLOOKUP($A1743,Games!$A$2:$A$18,Games!$K$2:$K$18,"Missing game",0)</x:f>
        <x:v>17</x:v>
      </x:c>
      <x:c r="AQ1743" t="n">
        <x:f>_xlfn.XLOOKUP($A1743,Games!$A$2:$A$18,Games!$L$2:$L$18,"Missing game",0)</x:f>
        <x:v>29</x:v>
      </x:c>
      <x:c r="AR1743" t="n">
        <x:f>_xlfn.XLOOKUP($A1743,Games!$A$2:$A$18,Games!$M$2:$M$18,"Missing game",0)</x:f>
        <x:v>0</x:v>
      </x:c>
      <x:c r="AS1743" t="str">
        <x:f>_xlfn.XLOOKUP($A1743,Games!$A$2:$A$18,Games!$N$2:$N$18,"Missing game",0)</x:f>
        <x:v>outdoors</x:v>
      </x:c>
      <x:c r="AT1743" t="str">
        <x:f>_xlfn.XLOOKUP($A1743,Games!$A$2:$A$18,Games!$O$2:$O$18,"Missing game",0)</x:f>
        <x:v>grass</x:v>
      </x:c>
      <x:c r="AU1743" t="n">
        <x:f>_xlfn.XLOOKUP($A1743,Games!$A$2:$A$18,Games!$P$2:$P$18,"Missing game",0)</x:f>
        <x:v>43</x:v>
      </x:c>
      <x:c r="AV1743" t="n">
        <x:f>_xlfn.XLOOKUP($A1743,Games!$A$2:$A$18,Games!$Q$2:$Q$18,"Missing game",0)</x:f>
        <x:v>10</x:v>
      </x:c>
      <x:c r="AW1743" t="str">
        <x:f>_xlfn.XLOOKUP($A1743,Games!$A$2:$A$18,Games!$R$2:$R$18,"Missing game",0)</x:f>
        <x:v>Lambeau Field</x:v>
      </x:c>
    </x:row>
    <x:row r="1744">
      <x:c r="A1744" t="str">
        <x:v>2025_12_MIN_GB</x:v>
      </x:c>
      <x:c r="B1744" t="n">
        <x:v>836</x:v>
      </x:c>
      <x:c r="C1744" t="n">
        <x:v>1</x:v>
      </x:c>
      <x:c r="D1744" t="str">
        <x:v>02:03</x:v>
      </x:c>
      <x:c r="E1744" t="n">
        <x:v>2</x:v>
      </x:c>
      <x:c r="F1744" t="n">
        <x:v>10</x:v>
      </x:c>
      <x:c r="G1744" t="str">
        <x:v>GB</x:v>
      </x:c>
      <x:c r="H1744" t="str">
        <x:v>MIN</x:v>
      </x:c>
      <x:c r="I1744" t="str">
        <x:v>GB</x:v>
      </x:c>
      <x:c r="J1744" t="n">
        <x:v>67</x:v>
      </x:c>
      <x:c r="K1744" t="str">
        <x:v>(2:03) PENALTY on GB-86-J.FitzPatrick, False Start, 5 yards, enforced at GB 33 - No Play.</x:v>
      </x:c>
      <x:c r="L1744" t="str">
        <x:v>no_play</x:v>
      </x:c>
      <x:c r="M1744" t="n">
        <x:v>0</x:v>
      </x:c>
      <x:c r="N1744" t="n">
        <x:v>0</x:v>
      </x:c>
      <x:c r="O1744" t="n">
        <x:v>0</x:v>
      </x:c>
      <x:c r="P1744"/>
      <x:c r="Q1744"/>
      <x:c r="R1744"/>
      <x:c r="S1744"/>
      <x:c r="T1744"/>
      <x:c r="U1744"/>
      <x:c r="V1744" t="n">
        <x:v>0</x:v>
      </x:c>
      <x:c r="W1744" t="n">
        <x:v>0</x:v>
      </x:c>
      <x:c r="X1744" t="n">
        <x:v>0</x:v>
      </x:c>
      <x:c r="Y1744" t="n">
        <x:v>0</x:v>
      </x:c>
      <x:c r="Z1744" t="n">
        <x:v>0</x:v>
      </x:c>
      <x:c r="AA1744" t="n">
        <x:v>1</x:v>
      </x:c>
      <x:c r="AB1744" t="n">
        <x:v>5</x:v>
      </x:c>
      <x:c r="AC1744" t="n">
        <x:v>0</x:v>
      </x:c>
      <x:c r="AD1744" t="n">
        <x:v>-0.7621621987782419</x:v>
      </x:c>
      <x:c r="AE1744" t="n">
        <x:v>0</x:v>
      </x:c>
      <x:c r="AF1744" t="n">
        <x:v>-0.014321506023406982</x:v>
      </x:c>
      <x:c r="AG1744" t="n">
        <x:f>_xlfn.XLOOKUP($A1744,Games!$A$2:$A$18,Games!$B$2:$B$18,"Missing game",0)</x:f>
        <x:v>2025</x:v>
      </x:c>
      <x:c r="AH1744" t="str">
        <x:f>_xlfn.XLOOKUP($A1744,Games!$A$2:$A$18,Games!$C$2:$C$18,"Missing game",0)</x:f>
        <x:v>REG</x:v>
      </x:c>
      <x:c r="AI1744" t="n">
        <x:f>_xlfn.XLOOKUP($A1744,Games!$A$2:$A$18,Games!$D$2:$D$18,"Missing game",0)</x:f>
        <x:v>12</x:v>
      </x:c>
      <x:c r="AJ1744" s="1" t="n">
        <x:f>_xlfn.XLOOKUP($A1744,Games!$A$2:$A$18,Games!$E$2:$E$18,"Missing game",0)</x:f>
        <x:v>45984</x:v>
      </x:c>
      <x:c r="AK1744" t="str">
        <x:f>_xlfn.XLOOKUP($A1744,Games!$A$2:$A$18,Games!$F$2:$F$18,"Missing game",0)</x:f>
        <x:v>Sunday</x:v>
      </x:c>
      <x:c r="AL1744" t="str">
        <x:f>_xlfn.XLOOKUP($A1744,Games!$A$2:$A$18,Games!$G$2:$G$18,"Missing game",0)</x:f>
        <x:v>MIN</x:v>
      </x:c>
      <x:c r="AM1744" t="n">
        <x:f>_xlfn.XLOOKUP($A1744,Games!$A$2:$A$18,Games!$H$2:$H$18,"Missing game",0)</x:f>
        <x:v>6</x:v>
      </x:c>
      <x:c r="AN1744" t="str">
        <x:f>_xlfn.XLOOKUP($A1744,Games!$A$2:$A$18,Games!$I$2:$I$18,"Missing game",0)</x:f>
        <x:v>GB</x:v>
      </x:c>
      <x:c r="AO1744" t="n">
        <x:f>_xlfn.XLOOKUP($A1744,Games!$A$2:$A$18,Games!$J$2:$J$18,"Missing game",0)</x:f>
        <x:v>23</x:v>
      </x:c>
      <x:c r="AP1744" t="n">
        <x:f>_xlfn.XLOOKUP($A1744,Games!$A$2:$A$18,Games!$K$2:$K$18,"Missing game",0)</x:f>
        <x:v>17</x:v>
      </x:c>
      <x:c r="AQ1744" t="n">
        <x:f>_xlfn.XLOOKUP($A1744,Games!$A$2:$A$18,Games!$L$2:$L$18,"Missing game",0)</x:f>
        <x:v>29</x:v>
      </x:c>
      <x:c r="AR1744" t="n">
        <x:f>_xlfn.XLOOKUP($A1744,Games!$A$2:$A$18,Games!$M$2:$M$18,"Missing game",0)</x:f>
        <x:v>0</x:v>
      </x:c>
      <x:c r="AS1744" t="str">
        <x:f>_xlfn.XLOOKUP($A1744,Games!$A$2:$A$18,Games!$N$2:$N$18,"Missing game",0)</x:f>
        <x:v>outdoors</x:v>
      </x:c>
      <x:c r="AT1744" t="str">
        <x:f>_xlfn.XLOOKUP($A1744,Games!$A$2:$A$18,Games!$O$2:$O$18,"Missing game",0)</x:f>
        <x:v>grass</x:v>
      </x:c>
      <x:c r="AU1744" t="n">
        <x:f>_xlfn.XLOOKUP($A1744,Games!$A$2:$A$18,Games!$P$2:$P$18,"Missing game",0)</x:f>
        <x:v>43</x:v>
      </x:c>
      <x:c r="AV1744" t="n">
        <x:f>_xlfn.XLOOKUP($A1744,Games!$A$2:$A$18,Games!$Q$2:$Q$18,"Missing game",0)</x:f>
        <x:v>10</x:v>
      </x:c>
      <x:c r="AW1744" t="str">
        <x:f>_xlfn.XLOOKUP($A1744,Games!$A$2:$A$18,Games!$R$2:$R$18,"Missing game",0)</x:f>
        <x:v>Lambeau Field</x:v>
      </x:c>
    </x:row>
    <x:row r="1745">
      <x:c r="A1745" t="str">
        <x:v>2025_12_MIN_GB</x:v>
      </x:c>
      <x:c r="B1745" t="n">
        <x:v>860</x:v>
      </x:c>
      <x:c r="C1745" t="n">
        <x:v>1</x:v>
      </x:c>
      <x:c r="D1745" t="str">
        <x:v>02:03</x:v>
      </x:c>
      <x:c r="E1745" t="n">
        <x:v>2</x:v>
      </x:c>
      <x:c r="F1745" t="n">
        <x:v>15</x:v>
      </x:c>
      <x:c r="G1745" t="str">
        <x:v>GB</x:v>
      </x:c>
      <x:c r="H1745" t="str">
        <x:v>MIN</x:v>
      </x:c>
      <x:c r="I1745" t="str">
        <x:v>GB</x:v>
      </x:c>
      <x:c r="J1745" t="n">
        <x:v>72</x:v>
      </x:c>
      <x:c r="K1745" t="str">
        <x:v>(2:03) (Shotgun) 10-J.Love pass incomplete deep left to 9-C.Watson.</x:v>
      </x:c>
      <x:c r="L1745" t="str">
        <x:v>pass</x:v>
      </x:c>
      <x:c r="M1745" t="n">
        <x:v>0</x:v>
      </x:c>
      <x:c r="N1745" t="n">
        <x:v>1</x:v>
      </x:c>
      <x:c r="O1745" t="n">
        <x:v>0</x:v>
      </x:c>
      <x:c r="P1745" t="str">
        <x:v>deep</x:v>
      </x:c>
      <x:c r="Q1745" t="str">
        <x:v>left</x:v>
      </x:c>
      <x:c r="R1745" t="n">
        <x:v>18</x:v>
      </x:c>
      <x:c r="S1745"/>
      <x:c r="T1745"/>
      <x:c r="U1745"/>
      <x:c r="V1745" t="n">
        <x:v>0</x:v>
      </x:c>
      <x:c r="W1745" t="n">
        <x:v>0</x:v>
      </x:c>
      <x:c r="X1745" t="n">
        <x:v>0</x:v>
      </x:c>
      <x:c r="Y1745" t="n">
        <x:v>0</x:v>
      </x:c>
      <x:c r="Z1745" t="n">
        <x:v>0</x:v>
      </x:c>
      <x:c r="AA1745" t="n">
        <x:v>0</x:v>
      </x:c>
      <x:c r="AB1745"/>
      <x:c r="AC1745" t="n">
        <x:v>0</x:v>
      </x:c>
      <x:c r="AD1745" t="n">
        <x:v>-0.8455595085397363</x:v>
      </x:c>
      <x:c r="AE1745" t="n">
        <x:v>0</x:v>
      </x:c>
      <x:c r="AF1745" t="n">
        <x:v>-0.02591913938522339</x:v>
      </x:c>
      <x:c r="AG1745" t="n">
        <x:f>_xlfn.XLOOKUP($A1745,Games!$A$2:$A$18,Games!$B$2:$B$18,"Missing game",0)</x:f>
        <x:v>2025</x:v>
      </x:c>
      <x:c r="AH1745" t="str">
        <x:f>_xlfn.XLOOKUP($A1745,Games!$A$2:$A$18,Games!$C$2:$C$18,"Missing game",0)</x:f>
        <x:v>REG</x:v>
      </x:c>
      <x:c r="AI1745" t="n">
        <x:f>_xlfn.XLOOKUP($A1745,Games!$A$2:$A$18,Games!$D$2:$D$18,"Missing game",0)</x:f>
        <x:v>12</x:v>
      </x:c>
      <x:c r="AJ1745" s="1" t="n">
        <x:f>_xlfn.XLOOKUP($A1745,Games!$A$2:$A$18,Games!$E$2:$E$18,"Missing game",0)</x:f>
        <x:v>45984</x:v>
      </x:c>
      <x:c r="AK1745" t="str">
        <x:f>_xlfn.XLOOKUP($A1745,Games!$A$2:$A$18,Games!$F$2:$F$18,"Missing game",0)</x:f>
        <x:v>Sunday</x:v>
      </x:c>
      <x:c r="AL1745" t="str">
        <x:f>_xlfn.XLOOKUP($A1745,Games!$A$2:$A$18,Games!$G$2:$G$18,"Missing game",0)</x:f>
        <x:v>MIN</x:v>
      </x:c>
      <x:c r="AM1745" t="n">
        <x:f>_xlfn.XLOOKUP($A1745,Games!$A$2:$A$18,Games!$H$2:$H$18,"Missing game",0)</x:f>
        <x:v>6</x:v>
      </x:c>
      <x:c r="AN1745" t="str">
        <x:f>_xlfn.XLOOKUP($A1745,Games!$A$2:$A$18,Games!$I$2:$I$18,"Missing game",0)</x:f>
        <x:v>GB</x:v>
      </x:c>
      <x:c r="AO1745" t="n">
        <x:f>_xlfn.XLOOKUP($A1745,Games!$A$2:$A$18,Games!$J$2:$J$18,"Missing game",0)</x:f>
        <x:v>23</x:v>
      </x:c>
      <x:c r="AP1745" t="n">
        <x:f>_xlfn.XLOOKUP($A1745,Games!$A$2:$A$18,Games!$K$2:$K$18,"Missing game",0)</x:f>
        <x:v>17</x:v>
      </x:c>
      <x:c r="AQ1745" t="n">
        <x:f>_xlfn.XLOOKUP($A1745,Games!$A$2:$A$18,Games!$L$2:$L$18,"Missing game",0)</x:f>
        <x:v>29</x:v>
      </x:c>
      <x:c r="AR1745" t="n">
        <x:f>_xlfn.XLOOKUP($A1745,Games!$A$2:$A$18,Games!$M$2:$M$18,"Missing game",0)</x:f>
        <x:v>0</x:v>
      </x:c>
      <x:c r="AS1745" t="str">
        <x:f>_xlfn.XLOOKUP($A1745,Games!$A$2:$A$18,Games!$N$2:$N$18,"Missing game",0)</x:f>
        <x:v>outdoors</x:v>
      </x:c>
      <x:c r="AT1745" t="str">
        <x:f>_xlfn.XLOOKUP($A1745,Games!$A$2:$A$18,Games!$O$2:$O$18,"Missing game",0)</x:f>
        <x:v>grass</x:v>
      </x:c>
      <x:c r="AU1745" t="n">
        <x:f>_xlfn.XLOOKUP($A1745,Games!$A$2:$A$18,Games!$P$2:$P$18,"Missing game",0)</x:f>
        <x:v>43</x:v>
      </x:c>
      <x:c r="AV1745" t="n">
        <x:f>_xlfn.XLOOKUP($A1745,Games!$A$2:$A$18,Games!$Q$2:$Q$18,"Missing game",0)</x:f>
        <x:v>10</x:v>
      </x:c>
      <x:c r="AW1745" t="str">
        <x:f>_xlfn.XLOOKUP($A1745,Games!$A$2:$A$18,Games!$R$2:$R$18,"Missing game",0)</x:f>
        <x:v>Lambeau Field</x:v>
      </x:c>
    </x:row>
    <x:row r="1746">
      <x:c r="A1746" t="str">
        <x:v>2025_12_MIN_GB</x:v>
      </x:c>
      <x:c r="B1746" t="n">
        <x:v>883</x:v>
      </x:c>
      <x:c r="C1746" t="n">
        <x:v>1</x:v>
      </x:c>
      <x:c r="D1746" t="str">
        <x:v>01:59</x:v>
      </x:c>
      <x:c r="E1746" t="n">
        <x:v>3</x:v>
      </x:c>
      <x:c r="F1746" t="n">
        <x:v>15</x:v>
      </x:c>
      <x:c r="G1746" t="str">
        <x:v>GB</x:v>
      </x:c>
      <x:c r="H1746" t="str">
        <x:v>MIN</x:v>
      </x:c>
      <x:c r="I1746" t="str">
        <x:v>GB</x:v>
      </x:c>
      <x:c r="J1746" t="n">
        <x:v>72</x:v>
      </x:c>
      <x:c r="K1746" t="str">
        <x:v>(1:59) (Shotgun) 10-J.Love sacked at GB 24 for -4 yards (15-D.Turner).</x:v>
      </x:c>
      <x:c r="L1746" t="str">
        <x:v>pass</x:v>
      </x:c>
      <x:c r="M1746" t="n">
        <x:v>-4</x:v>
      </x:c>
      <x:c r="N1746" t="n">
        <x:v>1</x:v>
      </x:c>
      <x:c r="O1746" t="n">
        <x:v>0</x:v>
      </x:c>
      <x:c r="P1746"/>
      <x:c r="Q1746"/>
      <x:c r="R1746"/>
      <x:c r="S1746"/>
      <x:c r="T1746"/>
      <x:c r="U1746"/>
      <x:c r="V1746" t="n">
        <x:v>0</x:v>
      </x:c>
      <x:c r="W1746" t="n">
        <x:v>0</x:v>
      </x:c>
      <x:c r="X1746" t="n">
        <x:v>1</x:v>
      </x:c>
      <x:c r="Y1746" t="n">
        <x:v>0</x:v>
      </x:c>
      <x:c r="Z1746" t="n">
        <x:v>0</x:v>
      </x:c>
      <x:c r="AA1746" t="n">
        <x:v>0</x:v>
      </x:c>
      <x:c r="AB1746"/>
      <x:c r="AC1746" t="n">
        <x:v>0</x:v>
      </x:c>
      <x:c r="AD1746" t="n">
        <x:v>-1.5053096297197044</x:v>
      </x:c>
      <x:c r="AE1746" t="n">
        <x:v>0</x:v>
      </x:c>
      <x:c r="AF1746" t="n">
        <x:v>-0.03650021553039551</x:v>
      </x:c>
      <x:c r="AG1746" t="n">
        <x:f>_xlfn.XLOOKUP($A1746,Games!$A$2:$A$18,Games!$B$2:$B$18,"Missing game",0)</x:f>
        <x:v>2025</x:v>
      </x:c>
      <x:c r="AH1746" t="str">
        <x:f>_xlfn.XLOOKUP($A1746,Games!$A$2:$A$18,Games!$C$2:$C$18,"Missing game",0)</x:f>
        <x:v>REG</x:v>
      </x:c>
      <x:c r="AI1746" t="n">
        <x:f>_xlfn.XLOOKUP($A1746,Games!$A$2:$A$18,Games!$D$2:$D$18,"Missing game",0)</x:f>
        <x:v>12</x:v>
      </x:c>
      <x:c r="AJ1746" s="1" t="n">
        <x:f>_xlfn.XLOOKUP($A1746,Games!$A$2:$A$18,Games!$E$2:$E$18,"Missing game",0)</x:f>
        <x:v>45984</x:v>
      </x:c>
      <x:c r="AK1746" t="str">
        <x:f>_xlfn.XLOOKUP($A1746,Games!$A$2:$A$18,Games!$F$2:$F$18,"Missing game",0)</x:f>
        <x:v>Sunday</x:v>
      </x:c>
      <x:c r="AL1746" t="str">
        <x:f>_xlfn.XLOOKUP($A1746,Games!$A$2:$A$18,Games!$G$2:$G$18,"Missing game",0)</x:f>
        <x:v>MIN</x:v>
      </x:c>
      <x:c r="AM1746" t="n">
        <x:f>_xlfn.XLOOKUP($A1746,Games!$A$2:$A$18,Games!$H$2:$H$18,"Missing game",0)</x:f>
        <x:v>6</x:v>
      </x:c>
      <x:c r="AN1746" t="str">
        <x:f>_xlfn.XLOOKUP($A1746,Games!$A$2:$A$18,Games!$I$2:$I$18,"Missing game",0)</x:f>
        <x:v>GB</x:v>
      </x:c>
      <x:c r="AO1746" t="n">
        <x:f>_xlfn.XLOOKUP($A1746,Games!$A$2:$A$18,Games!$J$2:$J$18,"Missing game",0)</x:f>
        <x:v>23</x:v>
      </x:c>
      <x:c r="AP1746" t="n">
        <x:f>_xlfn.XLOOKUP($A1746,Games!$A$2:$A$18,Games!$K$2:$K$18,"Missing game",0)</x:f>
        <x:v>17</x:v>
      </x:c>
      <x:c r="AQ1746" t="n">
        <x:f>_xlfn.XLOOKUP($A1746,Games!$A$2:$A$18,Games!$L$2:$L$18,"Missing game",0)</x:f>
        <x:v>29</x:v>
      </x:c>
      <x:c r="AR1746" t="n">
        <x:f>_xlfn.XLOOKUP($A1746,Games!$A$2:$A$18,Games!$M$2:$M$18,"Missing game",0)</x:f>
        <x:v>0</x:v>
      </x:c>
      <x:c r="AS1746" t="str">
        <x:f>_xlfn.XLOOKUP($A1746,Games!$A$2:$A$18,Games!$N$2:$N$18,"Missing game",0)</x:f>
        <x:v>outdoors</x:v>
      </x:c>
      <x:c r="AT1746" t="str">
        <x:f>_xlfn.XLOOKUP($A1746,Games!$A$2:$A$18,Games!$O$2:$O$18,"Missing game",0)</x:f>
        <x:v>grass</x:v>
      </x:c>
      <x:c r="AU1746" t="n">
        <x:f>_xlfn.XLOOKUP($A1746,Games!$A$2:$A$18,Games!$P$2:$P$18,"Missing game",0)</x:f>
        <x:v>43</x:v>
      </x:c>
      <x:c r="AV1746" t="n">
        <x:f>_xlfn.XLOOKUP($A1746,Games!$A$2:$A$18,Games!$Q$2:$Q$18,"Missing game",0)</x:f>
        <x:v>10</x:v>
      </x:c>
      <x:c r="AW1746" t="str">
        <x:f>_xlfn.XLOOKUP($A1746,Games!$A$2:$A$18,Games!$R$2:$R$18,"Missing game",0)</x:f>
        <x:v>Lambeau Field</x:v>
      </x:c>
    </x:row>
    <x:row r="1747">
      <x:c r="A1747" t="str">
        <x:v>2025_12_MIN_GB</x:v>
      </x:c>
      <x:c r="B1747" t="n">
        <x:v>903</x:v>
      </x:c>
      <x:c r="C1747" t="n">
        <x:v>1</x:v>
      </x:c>
      <x:c r="D1747" t="str">
        <x:v>01:16</x:v>
      </x:c>
      <x:c r="E1747" t="n">
        <x:v>4</x:v>
      </x:c>
      <x:c r="F1747" t="n">
        <x:v>19</x:v>
      </x:c>
      <x:c r="G1747" t="str">
        <x:v>GB</x:v>
      </x:c>
      <x:c r="H1747" t="str">
        <x:v>MIN</x:v>
      </x:c>
      <x:c r="I1747" t="str">
        <x:v>GB</x:v>
      </x:c>
      <x:c r="J1747" t="n">
        <x:v>76</x:v>
      </x:c>
      <x:c r="K1747" t="str">
        <x:v>(1:16) 19-D.Whelan punts 63 yards to MIN 13, Center-42-M.Orzech. 4-M.Price to MIN 24 for 11 yards (39-Z.Anderson; 59-T.Hopper).</x:v>
      </x:c>
      <x:c r="L1747" t="str">
        <x:v>punt</x:v>
      </x:c>
      <x:c r="M1747" t="n">
        <x:v>0</x:v>
      </x:c>
      <x:c r="N1747" t="n">
        <x:v>0</x:v>
      </x:c>
      <x:c r="O1747" t="n">
        <x:v>0</x:v>
      </x:c>
      <x:c r="P1747"/>
      <x:c r="Q1747"/>
      <x:c r="R1747"/>
      <x:c r="S1747"/>
      <x:c r="T1747"/>
      <x:c r="U1747"/>
      <x:c r="V1747" t="n">
        <x:v>0</x:v>
      </x:c>
      <x:c r="W1747" t="n">
        <x:v>0</x:v>
      </x:c>
      <x:c r="X1747" t="n">
        <x:v>0</x:v>
      </x:c>
      <x:c r="Y1747" t="n">
        <x:v>0</x:v>
      </x:c>
      <x:c r="Z1747" t="n">
        <x:v>0</x:v>
      </x:c>
      <x:c r="AA1747" t="n">
        <x:v>0</x:v>
      </x:c>
      <x:c r="AB1747"/>
      <x:c r="AC1747" t="n">
        <x:v>0</x:v>
      </x:c>
      <x:c r="AD1747" t="n">
        <x:v>1.0687008197419345</x:v>
      </x:c>
      <x:c r="AE1747" t="n">
        <x:v>1</x:v>
      </x:c>
      <x:c r="AF1747" t="n">
        <x:v>0.022501319646835327</x:v>
      </x:c>
      <x:c r="AG1747" t="n">
        <x:f>_xlfn.XLOOKUP($A1747,Games!$A$2:$A$18,Games!$B$2:$B$18,"Missing game",0)</x:f>
        <x:v>2025</x:v>
      </x:c>
      <x:c r="AH1747" t="str">
        <x:f>_xlfn.XLOOKUP($A1747,Games!$A$2:$A$18,Games!$C$2:$C$18,"Missing game",0)</x:f>
        <x:v>REG</x:v>
      </x:c>
      <x:c r="AI1747" t="n">
        <x:f>_xlfn.XLOOKUP($A1747,Games!$A$2:$A$18,Games!$D$2:$D$18,"Missing game",0)</x:f>
        <x:v>12</x:v>
      </x:c>
      <x:c r="AJ1747" s="1" t="n">
        <x:f>_xlfn.XLOOKUP($A1747,Games!$A$2:$A$18,Games!$E$2:$E$18,"Missing game",0)</x:f>
        <x:v>45984</x:v>
      </x:c>
      <x:c r="AK1747" t="str">
        <x:f>_xlfn.XLOOKUP($A1747,Games!$A$2:$A$18,Games!$F$2:$F$18,"Missing game",0)</x:f>
        <x:v>Sunday</x:v>
      </x:c>
      <x:c r="AL1747" t="str">
        <x:f>_xlfn.XLOOKUP($A1747,Games!$A$2:$A$18,Games!$G$2:$G$18,"Missing game",0)</x:f>
        <x:v>MIN</x:v>
      </x:c>
      <x:c r="AM1747" t="n">
        <x:f>_xlfn.XLOOKUP($A1747,Games!$A$2:$A$18,Games!$H$2:$H$18,"Missing game",0)</x:f>
        <x:v>6</x:v>
      </x:c>
      <x:c r="AN1747" t="str">
        <x:f>_xlfn.XLOOKUP($A1747,Games!$A$2:$A$18,Games!$I$2:$I$18,"Missing game",0)</x:f>
        <x:v>GB</x:v>
      </x:c>
      <x:c r="AO1747" t="n">
        <x:f>_xlfn.XLOOKUP($A1747,Games!$A$2:$A$18,Games!$J$2:$J$18,"Missing game",0)</x:f>
        <x:v>23</x:v>
      </x:c>
      <x:c r="AP1747" t="n">
        <x:f>_xlfn.XLOOKUP($A1747,Games!$A$2:$A$18,Games!$K$2:$K$18,"Missing game",0)</x:f>
        <x:v>17</x:v>
      </x:c>
      <x:c r="AQ1747" t="n">
        <x:f>_xlfn.XLOOKUP($A1747,Games!$A$2:$A$18,Games!$L$2:$L$18,"Missing game",0)</x:f>
        <x:v>29</x:v>
      </x:c>
      <x:c r="AR1747" t="n">
        <x:f>_xlfn.XLOOKUP($A1747,Games!$A$2:$A$18,Games!$M$2:$M$18,"Missing game",0)</x:f>
        <x:v>0</x:v>
      </x:c>
      <x:c r="AS1747" t="str">
        <x:f>_xlfn.XLOOKUP($A1747,Games!$A$2:$A$18,Games!$N$2:$N$18,"Missing game",0)</x:f>
        <x:v>outdoors</x:v>
      </x:c>
      <x:c r="AT1747" t="str">
        <x:f>_xlfn.XLOOKUP($A1747,Games!$A$2:$A$18,Games!$O$2:$O$18,"Missing game",0)</x:f>
        <x:v>grass</x:v>
      </x:c>
      <x:c r="AU1747" t="n">
        <x:f>_xlfn.XLOOKUP($A1747,Games!$A$2:$A$18,Games!$P$2:$P$18,"Missing game",0)</x:f>
        <x:v>43</x:v>
      </x:c>
      <x:c r="AV1747" t="n">
        <x:f>_xlfn.XLOOKUP($A1747,Games!$A$2:$A$18,Games!$Q$2:$Q$18,"Missing game",0)</x:f>
        <x:v>10</x:v>
      </x:c>
      <x:c r="AW1747" t="str">
        <x:f>_xlfn.XLOOKUP($A1747,Games!$A$2:$A$18,Games!$R$2:$R$18,"Missing game",0)</x:f>
        <x:v>Lambeau Field</x:v>
      </x:c>
    </x:row>
    <x:row r="1748">
      <x:c r="A1748" t="str">
        <x:v>2025_12_MIN_GB</x:v>
      </x:c>
      <x:c r="B1748" t="n">
        <x:v>929</x:v>
      </x:c>
      <x:c r="C1748" t="n">
        <x:v>1</x:v>
      </x:c>
      <x:c r="D1748" t="str">
        <x:v>01:03</x:v>
      </x:c>
      <x:c r="E1748" t="n">
        <x:v>1</x:v>
      </x:c>
      <x:c r="F1748" t="n">
        <x:v>10</x:v>
      </x:c>
      <x:c r="G1748" t="str">
        <x:v>MIN</x:v>
      </x:c>
      <x:c r="H1748" t="str">
        <x:v>GB</x:v>
      </x:c>
      <x:c r="I1748" t="str">
        <x:v>MIN</x:v>
      </x:c>
      <x:c r="J1748" t="n">
        <x:v>76</x:v>
      </x:c>
      <x:c r="K1748" t="str">
        <x:v>(1:03) 9-J.McCarthy pass short right to 18-J.Jefferson pushed ob at MIN 31 for 7 yards (25-K.Nixon). GB-25-K.Nixon was injured during the play.</x:v>
      </x:c>
      <x:c r="L1748" t="str">
        <x:v>pass</x:v>
      </x:c>
      <x:c r="M1748" t="n">
        <x:v>7</x:v>
      </x:c>
      <x:c r="N1748" t="n">
        <x:v>0</x:v>
      </x:c>
      <x:c r="O1748" t="n">
        <x:v>0</x:v>
      </x:c>
      <x:c r="P1748" t="str">
        <x:v>short</x:v>
      </x:c>
      <x:c r="Q1748" t="str">
        <x:v>right</x:v>
      </x:c>
      <x:c r="R1748" t="n">
        <x:v>7</x:v>
      </x:c>
      <x:c r="S1748" t="n">
        <x:v>0</x:v>
      </x:c>
      <x:c r="T1748"/>
      <x:c r="U1748"/>
      <x:c r="V1748" t="n">
        <x:v>1</x:v>
      </x:c>
      <x:c r="W1748" t="n">
        <x:v>0</x:v>
      </x:c>
      <x:c r="X1748" t="n">
        <x:v>0</x:v>
      </x:c>
      <x:c r="Y1748" t="n">
        <x:v>0</x:v>
      </x:c>
      <x:c r="Z1748" t="n">
        <x:v>0</x:v>
      </x:c>
      <x:c r="AA1748" t="n">
        <x:v>0</x:v>
      </x:c>
      <x:c r="AB1748"/>
      <x:c r="AC1748" t="n">
        <x:v>0</x:v>
      </x:c>
      <x:c r="AD1748" t="n">
        <x:v>0.48488833755254745</x:v>
      </x:c>
      <x:c r="AE1748" t="n">
        <x:v>1</x:v>
      </x:c>
      <x:c r="AF1748" t="n">
        <x:v>-0.010485470294952393</x:v>
      </x:c>
      <x:c r="AG1748" t="n">
        <x:f>_xlfn.XLOOKUP($A1748,Games!$A$2:$A$18,Games!$B$2:$B$18,"Missing game",0)</x:f>
        <x:v>2025</x:v>
      </x:c>
      <x:c r="AH1748" t="str">
        <x:f>_xlfn.XLOOKUP($A1748,Games!$A$2:$A$18,Games!$C$2:$C$18,"Missing game",0)</x:f>
        <x:v>REG</x:v>
      </x:c>
      <x:c r="AI1748" t="n">
        <x:f>_xlfn.XLOOKUP($A1748,Games!$A$2:$A$18,Games!$D$2:$D$18,"Missing game",0)</x:f>
        <x:v>12</x:v>
      </x:c>
      <x:c r="AJ1748" s="1" t="n">
        <x:f>_xlfn.XLOOKUP($A1748,Games!$A$2:$A$18,Games!$E$2:$E$18,"Missing game",0)</x:f>
        <x:v>45984</x:v>
      </x:c>
      <x:c r="AK1748" t="str">
        <x:f>_xlfn.XLOOKUP($A1748,Games!$A$2:$A$18,Games!$F$2:$F$18,"Missing game",0)</x:f>
        <x:v>Sunday</x:v>
      </x:c>
      <x:c r="AL1748" t="str">
        <x:f>_xlfn.XLOOKUP($A1748,Games!$A$2:$A$18,Games!$G$2:$G$18,"Missing game",0)</x:f>
        <x:v>MIN</x:v>
      </x:c>
      <x:c r="AM1748" t="n">
        <x:f>_xlfn.XLOOKUP($A1748,Games!$A$2:$A$18,Games!$H$2:$H$18,"Missing game",0)</x:f>
        <x:v>6</x:v>
      </x:c>
      <x:c r="AN1748" t="str">
        <x:f>_xlfn.XLOOKUP($A1748,Games!$A$2:$A$18,Games!$I$2:$I$18,"Missing game",0)</x:f>
        <x:v>GB</x:v>
      </x:c>
      <x:c r="AO1748" t="n">
        <x:f>_xlfn.XLOOKUP($A1748,Games!$A$2:$A$18,Games!$J$2:$J$18,"Missing game",0)</x:f>
        <x:v>23</x:v>
      </x:c>
      <x:c r="AP1748" t="n">
        <x:f>_xlfn.XLOOKUP($A1748,Games!$A$2:$A$18,Games!$K$2:$K$18,"Missing game",0)</x:f>
        <x:v>17</x:v>
      </x:c>
      <x:c r="AQ1748" t="n">
        <x:f>_xlfn.XLOOKUP($A1748,Games!$A$2:$A$18,Games!$L$2:$L$18,"Missing game",0)</x:f>
        <x:v>29</x:v>
      </x:c>
      <x:c r="AR1748" t="n">
        <x:f>_xlfn.XLOOKUP($A1748,Games!$A$2:$A$18,Games!$M$2:$M$18,"Missing game",0)</x:f>
        <x:v>0</x:v>
      </x:c>
      <x:c r="AS1748" t="str">
        <x:f>_xlfn.XLOOKUP($A1748,Games!$A$2:$A$18,Games!$N$2:$N$18,"Missing game",0)</x:f>
        <x:v>outdoors</x:v>
      </x:c>
      <x:c r="AT1748" t="str">
        <x:f>_xlfn.XLOOKUP($A1748,Games!$A$2:$A$18,Games!$O$2:$O$18,"Missing game",0)</x:f>
        <x:v>grass</x:v>
      </x:c>
      <x:c r="AU1748" t="n">
        <x:f>_xlfn.XLOOKUP($A1748,Games!$A$2:$A$18,Games!$P$2:$P$18,"Missing game",0)</x:f>
        <x:v>43</x:v>
      </x:c>
      <x:c r="AV1748" t="n">
        <x:f>_xlfn.XLOOKUP($A1748,Games!$A$2:$A$18,Games!$Q$2:$Q$18,"Missing game",0)</x:f>
        <x:v>10</x:v>
      </x:c>
      <x:c r="AW1748" t="str">
        <x:f>_xlfn.XLOOKUP($A1748,Games!$A$2:$A$18,Games!$R$2:$R$18,"Missing game",0)</x:f>
        <x:v>Lambeau Field</x:v>
      </x:c>
    </x:row>
    <x:row r="1749">
      <x:c r="A1749" t="str">
        <x:v>2025_12_MIN_GB</x:v>
      </x:c>
      <x:c r="B1749" t="n">
        <x:v>969</x:v>
      </x:c>
      <x:c r="C1749" t="n">
        <x:v>1</x:v>
      </x:c>
      <x:c r="D1749" t="str">
        <x:v>00:40</x:v>
      </x:c>
      <x:c r="E1749" t="n">
        <x:v>2</x:v>
      </x:c>
      <x:c r="F1749" t="n">
        <x:v>3</x:v>
      </x:c>
      <x:c r="G1749" t="str">
        <x:v>MIN</x:v>
      </x:c>
      <x:c r="H1749" t="str">
        <x:v>GB</x:v>
      </x:c>
      <x:c r="I1749" t="str">
        <x:v>MIN</x:v>
      </x:c>
      <x:c r="J1749" t="n">
        <x:v>69</x:v>
      </x:c>
      <x:c r="K1749" t="str">
        <x:v>(:40) 27-J.Mason left guard to MIN 35 for 4 yards (59-T.Hopper; 29-X.McKinney).</x:v>
      </x:c>
      <x:c r="L1749" t="str">
        <x:v>run</x:v>
      </x:c>
      <x:c r="M1749" t="n">
        <x:v>4</x:v>
      </x:c>
      <x:c r="N1749" t="n">
        <x:v>0</x:v>
      </x:c>
      <x:c r="O1749" t="n">
        <x:v>0</x:v>
      </x:c>
      <x:c r="P1749"/>
      <x:c r="Q1749"/>
      <x:c r="R1749"/>
      <x:c r="S1749"/>
      <x:c r="T1749" t="str">
        <x:v>left</x:v>
      </x:c>
      <x:c r="U1749" t="str">
        <x:v>guard</x:v>
      </x:c>
      <x:c r="V1749" t="n">
        <x:v>0</x:v>
      </x:c>
      <x:c r="W1749" t="n">
        <x:v>1</x:v>
      </x:c>
      <x:c r="X1749" t="n">
        <x:v>0</x:v>
      </x:c>
      <x:c r="Y1749" t="n">
        <x:v>0</x:v>
      </x:c>
      <x:c r="Z1749" t="n">
        <x:v>0</x:v>
      </x:c>
      <x:c r="AA1749" t="n">
        <x:v>0</x:v>
      </x:c>
      <x:c r="AB1749"/>
      <x:c r="AC1749" t="n">
        <x:v>0</x:v>
      </x:c>
      <x:c r="AD1749" t="n">
        <x:v>0.2531814780086279</x:v>
      </x:c>
      <x:c r="AE1749" t="n">
        <x:v>1</x:v>
      </x:c>
      <x:c r="AF1749" t="n">
        <x:v>0.014641433954238892</x:v>
      </x:c>
      <x:c r="AG1749" t="n">
        <x:f>_xlfn.XLOOKUP($A1749,Games!$A$2:$A$18,Games!$B$2:$B$18,"Missing game",0)</x:f>
        <x:v>2025</x:v>
      </x:c>
      <x:c r="AH1749" t="str">
        <x:f>_xlfn.XLOOKUP($A1749,Games!$A$2:$A$18,Games!$C$2:$C$18,"Missing game",0)</x:f>
        <x:v>REG</x:v>
      </x:c>
      <x:c r="AI1749" t="n">
        <x:f>_xlfn.XLOOKUP($A1749,Games!$A$2:$A$18,Games!$D$2:$D$18,"Missing game",0)</x:f>
        <x:v>12</x:v>
      </x:c>
      <x:c r="AJ1749" s="1" t="n">
        <x:f>_xlfn.XLOOKUP($A1749,Games!$A$2:$A$18,Games!$E$2:$E$18,"Missing game",0)</x:f>
        <x:v>45984</x:v>
      </x:c>
      <x:c r="AK1749" t="str">
        <x:f>_xlfn.XLOOKUP($A1749,Games!$A$2:$A$18,Games!$F$2:$F$18,"Missing game",0)</x:f>
        <x:v>Sunday</x:v>
      </x:c>
      <x:c r="AL1749" t="str">
        <x:f>_xlfn.XLOOKUP($A1749,Games!$A$2:$A$18,Games!$G$2:$G$18,"Missing game",0)</x:f>
        <x:v>MIN</x:v>
      </x:c>
      <x:c r="AM1749" t="n">
        <x:f>_xlfn.XLOOKUP($A1749,Games!$A$2:$A$18,Games!$H$2:$H$18,"Missing game",0)</x:f>
        <x:v>6</x:v>
      </x:c>
      <x:c r="AN1749" t="str">
        <x:f>_xlfn.XLOOKUP($A1749,Games!$A$2:$A$18,Games!$I$2:$I$18,"Missing game",0)</x:f>
        <x:v>GB</x:v>
      </x:c>
      <x:c r="AO1749" t="n">
        <x:f>_xlfn.XLOOKUP($A1749,Games!$A$2:$A$18,Games!$J$2:$J$18,"Missing game",0)</x:f>
        <x:v>23</x:v>
      </x:c>
      <x:c r="AP1749" t="n">
        <x:f>_xlfn.XLOOKUP($A1749,Games!$A$2:$A$18,Games!$K$2:$K$18,"Missing game",0)</x:f>
        <x:v>17</x:v>
      </x:c>
      <x:c r="AQ1749" t="n">
        <x:f>_xlfn.XLOOKUP($A1749,Games!$A$2:$A$18,Games!$L$2:$L$18,"Missing game",0)</x:f>
        <x:v>29</x:v>
      </x:c>
      <x:c r="AR1749" t="n">
        <x:f>_xlfn.XLOOKUP($A1749,Games!$A$2:$A$18,Games!$M$2:$M$18,"Missing game",0)</x:f>
        <x:v>0</x:v>
      </x:c>
      <x:c r="AS1749" t="str">
        <x:f>_xlfn.XLOOKUP($A1749,Games!$A$2:$A$18,Games!$N$2:$N$18,"Missing game",0)</x:f>
        <x:v>outdoors</x:v>
      </x:c>
      <x:c r="AT1749" t="str">
        <x:f>_xlfn.XLOOKUP($A1749,Games!$A$2:$A$18,Games!$O$2:$O$18,"Missing game",0)</x:f>
        <x:v>grass</x:v>
      </x:c>
      <x:c r="AU1749" t="n">
        <x:f>_xlfn.XLOOKUP($A1749,Games!$A$2:$A$18,Games!$P$2:$P$18,"Missing game",0)</x:f>
        <x:v>43</x:v>
      </x:c>
      <x:c r="AV1749" t="n">
        <x:f>_xlfn.XLOOKUP($A1749,Games!$A$2:$A$18,Games!$Q$2:$Q$18,"Missing game",0)</x:f>
        <x:v>10</x:v>
      </x:c>
      <x:c r="AW1749" t="str">
        <x:f>_xlfn.XLOOKUP($A1749,Games!$A$2:$A$18,Games!$R$2:$R$18,"Missing game",0)</x:f>
        <x:v>Lambeau Field</x:v>
      </x:c>
    </x:row>
    <x:row r="1750">
      <x:c r="A1750" t="str">
        <x:v>2025_12_MIN_GB</x:v>
      </x:c>
      <x:c r="B1750" t="n">
        <x:v>991</x:v>
      </x:c>
      <x:c r="C1750" t="n">
        <x:v>1</x:v>
      </x:c>
      <x:c r="D1750" t="str">
        <x:v>00:00</x:v>
      </x:c>
      <x:c r="E1750"/>
      <x:c r="F1750" t="n">
        <x:v>0</x:v>
      </x:c>
      <x:c r="G1750" t="str">
        <x:v>MIN</x:v>
      </x:c>
      <x:c r="H1750" t="str">
        <x:v>GB</x:v>
      </x:c>
      <x:c r="I1750"/>
      <x:c r="J1750"/>
      <x:c r="K1750" t="str">
        <x:v>END QUARTER 1</x:v>
      </x:c>
      <x:c r="L1750"/>
      <x:c r="M1750"/>
      <x:c r="N1750" t="n">
        <x:v>0</x:v>
      </x:c>
      <x:c r="O1750" t="n">
        <x:v>0</x:v>
      </x:c>
      <x:c r="P1750"/>
      <x:c r="Q1750"/>
      <x:c r="R1750"/>
      <x:c r="S1750"/>
      <x:c r="T1750"/>
      <x:c r="U1750"/>
      <x:c r="V1750"/>
      <x:c r="W1750"/>
      <x:c r="X1750"/>
      <x:c r="Y1750"/>
      <x:c r="Z1750"/>
      <x:c r="AA1750"/>
      <x:c r="AB1750"/>
      <x:c r="AC1750"/>
      <x:c r="AD1750" t="n">
        <x:v>0</x:v>
      </x:c>
      <x:c r="AE1750" t="n">
        <x:v>0</x:v>
      </x:c>
      <x:c r="AF1750" t="n">
        <x:v>0</x:v>
      </x:c>
      <x:c r="AG1750" t="n">
        <x:f>_xlfn.XLOOKUP($A1750,Games!$A$2:$A$18,Games!$B$2:$B$18,"Missing game",0)</x:f>
        <x:v>2025</x:v>
      </x:c>
      <x:c r="AH1750" t="str">
        <x:f>_xlfn.XLOOKUP($A1750,Games!$A$2:$A$18,Games!$C$2:$C$18,"Missing game",0)</x:f>
        <x:v>REG</x:v>
      </x:c>
      <x:c r="AI1750" t="n">
        <x:f>_xlfn.XLOOKUP($A1750,Games!$A$2:$A$18,Games!$D$2:$D$18,"Missing game",0)</x:f>
        <x:v>12</x:v>
      </x:c>
      <x:c r="AJ1750" s="1" t="n">
        <x:f>_xlfn.XLOOKUP($A1750,Games!$A$2:$A$18,Games!$E$2:$E$18,"Missing game",0)</x:f>
        <x:v>45984</x:v>
      </x:c>
      <x:c r="AK1750" t="str">
        <x:f>_xlfn.XLOOKUP($A1750,Games!$A$2:$A$18,Games!$F$2:$F$18,"Missing game",0)</x:f>
        <x:v>Sunday</x:v>
      </x:c>
      <x:c r="AL1750" t="str">
        <x:f>_xlfn.XLOOKUP($A1750,Games!$A$2:$A$18,Games!$G$2:$G$18,"Missing game",0)</x:f>
        <x:v>MIN</x:v>
      </x:c>
      <x:c r="AM1750" t="n">
        <x:f>_xlfn.XLOOKUP($A1750,Games!$A$2:$A$18,Games!$H$2:$H$18,"Missing game",0)</x:f>
        <x:v>6</x:v>
      </x:c>
      <x:c r="AN1750" t="str">
        <x:f>_xlfn.XLOOKUP($A1750,Games!$A$2:$A$18,Games!$I$2:$I$18,"Missing game",0)</x:f>
        <x:v>GB</x:v>
      </x:c>
      <x:c r="AO1750" t="n">
        <x:f>_xlfn.XLOOKUP($A1750,Games!$A$2:$A$18,Games!$J$2:$J$18,"Missing game",0)</x:f>
        <x:v>23</x:v>
      </x:c>
      <x:c r="AP1750" t="n">
        <x:f>_xlfn.XLOOKUP($A1750,Games!$A$2:$A$18,Games!$K$2:$K$18,"Missing game",0)</x:f>
        <x:v>17</x:v>
      </x:c>
      <x:c r="AQ1750" t="n">
        <x:f>_xlfn.XLOOKUP($A1750,Games!$A$2:$A$18,Games!$L$2:$L$18,"Missing game",0)</x:f>
        <x:v>29</x:v>
      </x:c>
      <x:c r="AR1750" t="n">
        <x:f>_xlfn.XLOOKUP($A1750,Games!$A$2:$A$18,Games!$M$2:$M$18,"Missing game",0)</x:f>
        <x:v>0</x:v>
      </x:c>
      <x:c r="AS1750" t="str">
        <x:f>_xlfn.XLOOKUP($A1750,Games!$A$2:$A$18,Games!$N$2:$N$18,"Missing game",0)</x:f>
        <x:v>outdoors</x:v>
      </x:c>
      <x:c r="AT1750" t="str">
        <x:f>_xlfn.XLOOKUP($A1750,Games!$A$2:$A$18,Games!$O$2:$O$18,"Missing game",0)</x:f>
        <x:v>grass</x:v>
      </x:c>
      <x:c r="AU1750" t="n">
        <x:f>_xlfn.XLOOKUP($A1750,Games!$A$2:$A$18,Games!$P$2:$P$18,"Missing game",0)</x:f>
        <x:v>43</x:v>
      </x:c>
      <x:c r="AV1750" t="n">
        <x:f>_xlfn.XLOOKUP($A1750,Games!$A$2:$A$18,Games!$Q$2:$Q$18,"Missing game",0)</x:f>
        <x:v>10</x:v>
      </x:c>
      <x:c r="AW1750" t="str">
        <x:f>_xlfn.XLOOKUP($A1750,Games!$A$2:$A$18,Games!$R$2:$R$18,"Missing game",0)</x:f>
        <x:v>Lambeau Field</x:v>
      </x:c>
    </x:row>
    <x:row r="1751">
      <x:c r="A1751" t="str">
        <x:v>2025_12_MIN_GB</x:v>
      </x:c>
      <x:c r="B1751" t="n">
        <x:v>1011</x:v>
      </x:c>
      <x:c r="C1751" t="n">
        <x:v>2</x:v>
      </x:c>
      <x:c r="D1751" t="str">
        <x:v>15:00</x:v>
      </x:c>
      <x:c r="E1751" t="n">
        <x:v>1</x:v>
      </x:c>
      <x:c r="F1751" t="n">
        <x:v>10</x:v>
      </x:c>
      <x:c r="G1751" t="str">
        <x:v>MIN</x:v>
      </x:c>
      <x:c r="H1751" t="str">
        <x:v>GB</x:v>
      </x:c>
      <x:c r="I1751" t="str">
        <x:v>MIN</x:v>
      </x:c>
      <x:c r="J1751" t="n">
        <x:v>65</x:v>
      </x:c>
      <x:c r="K1751" t="str">
        <x:v>(15:00) 27-J.Mason right tackle to MIN 40 for 5 yards (36-K.Hadden).</x:v>
      </x:c>
      <x:c r="L1751" t="str">
        <x:v>run</x:v>
      </x:c>
      <x:c r="M1751" t="n">
        <x:v>5</x:v>
      </x:c>
      <x:c r="N1751" t="n">
        <x:v>0</x:v>
      </x:c>
      <x:c r="O1751" t="n">
        <x:v>0</x:v>
      </x:c>
      <x:c r="P1751"/>
      <x:c r="Q1751"/>
      <x:c r="R1751"/>
      <x:c r="S1751"/>
      <x:c r="T1751" t="str">
        <x:v>right</x:v>
      </x:c>
      <x:c r="U1751" t="str">
        <x:v>tackle</x:v>
      </x:c>
      <x:c r="V1751" t="n">
        <x:v>0</x:v>
      </x:c>
      <x:c r="W1751" t="n">
        <x:v>0</x:v>
      </x:c>
      <x:c r="X1751" t="n">
        <x:v>0</x:v>
      </x:c>
      <x:c r="Y1751" t="n">
        <x:v>0</x:v>
      </x:c>
      <x:c r="Z1751" t="n">
        <x:v>0</x:v>
      </x:c>
      <x:c r="AA1751" t="n">
        <x:v>0</x:v>
      </x:c>
      <x:c r="AB1751"/>
      <x:c r="AC1751" t="n">
        <x:v>0</x:v>
      </x:c>
      <x:c r="AD1751" t="n">
        <x:v>0.12301266868598759</x:v>
      </x:c>
      <x:c r="AE1751" t="n">
        <x:v>1</x:v>
      </x:c>
      <x:c r="AF1751" t="n">
        <x:v>0.0009224116802215576</x:v>
      </x:c>
      <x:c r="AG1751" t="n">
        <x:f>_xlfn.XLOOKUP($A1751,Games!$A$2:$A$18,Games!$B$2:$B$18,"Missing game",0)</x:f>
        <x:v>2025</x:v>
      </x:c>
      <x:c r="AH1751" t="str">
        <x:f>_xlfn.XLOOKUP($A1751,Games!$A$2:$A$18,Games!$C$2:$C$18,"Missing game",0)</x:f>
        <x:v>REG</x:v>
      </x:c>
      <x:c r="AI1751" t="n">
        <x:f>_xlfn.XLOOKUP($A1751,Games!$A$2:$A$18,Games!$D$2:$D$18,"Missing game",0)</x:f>
        <x:v>12</x:v>
      </x:c>
      <x:c r="AJ1751" s="1" t="n">
        <x:f>_xlfn.XLOOKUP($A1751,Games!$A$2:$A$18,Games!$E$2:$E$18,"Missing game",0)</x:f>
        <x:v>45984</x:v>
      </x:c>
      <x:c r="AK1751" t="str">
        <x:f>_xlfn.XLOOKUP($A1751,Games!$A$2:$A$18,Games!$F$2:$F$18,"Missing game",0)</x:f>
        <x:v>Sunday</x:v>
      </x:c>
      <x:c r="AL1751" t="str">
        <x:f>_xlfn.XLOOKUP($A1751,Games!$A$2:$A$18,Games!$G$2:$G$18,"Missing game",0)</x:f>
        <x:v>MIN</x:v>
      </x:c>
      <x:c r="AM1751" t="n">
        <x:f>_xlfn.XLOOKUP($A1751,Games!$A$2:$A$18,Games!$H$2:$H$18,"Missing game",0)</x:f>
        <x:v>6</x:v>
      </x:c>
      <x:c r="AN1751" t="str">
        <x:f>_xlfn.XLOOKUP($A1751,Games!$A$2:$A$18,Games!$I$2:$I$18,"Missing game",0)</x:f>
        <x:v>GB</x:v>
      </x:c>
      <x:c r="AO1751" t="n">
        <x:f>_xlfn.XLOOKUP($A1751,Games!$A$2:$A$18,Games!$J$2:$J$18,"Missing game",0)</x:f>
        <x:v>23</x:v>
      </x:c>
      <x:c r="AP1751" t="n">
        <x:f>_xlfn.XLOOKUP($A1751,Games!$A$2:$A$18,Games!$K$2:$K$18,"Missing game",0)</x:f>
        <x:v>17</x:v>
      </x:c>
      <x:c r="AQ1751" t="n">
        <x:f>_xlfn.XLOOKUP($A1751,Games!$A$2:$A$18,Games!$L$2:$L$18,"Missing game",0)</x:f>
        <x:v>29</x:v>
      </x:c>
      <x:c r="AR1751" t="n">
        <x:f>_xlfn.XLOOKUP($A1751,Games!$A$2:$A$18,Games!$M$2:$M$18,"Missing game",0)</x:f>
        <x:v>0</x:v>
      </x:c>
      <x:c r="AS1751" t="str">
        <x:f>_xlfn.XLOOKUP($A1751,Games!$A$2:$A$18,Games!$N$2:$N$18,"Missing game",0)</x:f>
        <x:v>outdoors</x:v>
      </x:c>
      <x:c r="AT1751" t="str">
        <x:f>_xlfn.XLOOKUP($A1751,Games!$A$2:$A$18,Games!$O$2:$O$18,"Missing game",0)</x:f>
        <x:v>grass</x:v>
      </x:c>
      <x:c r="AU1751" t="n">
        <x:f>_xlfn.XLOOKUP($A1751,Games!$A$2:$A$18,Games!$P$2:$P$18,"Missing game",0)</x:f>
        <x:v>43</x:v>
      </x:c>
      <x:c r="AV1751" t="n">
        <x:f>_xlfn.XLOOKUP($A1751,Games!$A$2:$A$18,Games!$Q$2:$Q$18,"Missing game",0)</x:f>
        <x:v>10</x:v>
      </x:c>
      <x:c r="AW1751" t="str">
        <x:f>_xlfn.XLOOKUP($A1751,Games!$A$2:$A$18,Games!$R$2:$R$18,"Missing game",0)</x:f>
        <x:v>Lambeau Field</x:v>
      </x:c>
    </x:row>
    <x:row r="1752">
      <x:c r="A1752" t="str">
        <x:v>2025_12_MIN_GB</x:v>
      </x:c>
      <x:c r="B1752" t="n">
        <x:v>1033</x:v>
      </x:c>
      <x:c r="C1752" t="n">
        <x:v>2</x:v>
      </x:c>
      <x:c r="D1752" t="str">
        <x:v>14:22</x:v>
      </x:c>
      <x:c r="E1752" t="n">
        <x:v>2</x:v>
      </x:c>
      <x:c r="F1752" t="n">
        <x:v>5</x:v>
      </x:c>
      <x:c r="G1752" t="str">
        <x:v>MIN</x:v>
      </x:c>
      <x:c r="H1752" t="str">
        <x:v>GB</x:v>
      </x:c>
      <x:c r="I1752" t="str">
        <x:v>MIN</x:v>
      </x:c>
      <x:c r="J1752" t="n">
        <x:v>60</x:v>
      </x:c>
      <x:c r="K1752" t="str">
        <x:v>(14:22) 27-J.Mason up the middle to GB 38 for 22 yards (59-T.Hopper).</x:v>
      </x:c>
      <x:c r="L1752" t="str">
        <x:v>run</x:v>
      </x:c>
      <x:c r="M1752" t="n">
        <x:v>22</x:v>
      </x:c>
      <x:c r="N1752" t="n">
        <x:v>0</x:v>
      </x:c>
      <x:c r="O1752" t="n">
        <x:v>0</x:v>
      </x:c>
      <x:c r="P1752"/>
      <x:c r="Q1752"/>
      <x:c r="R1752"/>
      <x:c r="S1752"/>
      <x:c r="T1752" t="str">
        <x:v>middle</x:v>
      </x:c>
      <x:c r="U1752"/>
      <x:c r="V1752" t="n">
        <x:v>0</x:v>
      </x:c>
      <x:c r="W1752" t="n">
        <x:v>1</x:v>
      </x:c>
      <x:c r="X1752" t="n">
        <x:v>0</x:v>
      </x:c>
      <x:c r="Y1752" t="n">
        <x:v>0</x:v>
      </x:c>
      <x:c r="Z1752" t="n">
        <x:v>0</x:v>
      </x:c>
      <x:c r="AA1752" t="n">
        <x:v>0</x:v>
      </x:c>
      <x:c r="AB1752"/>
      <x:c r="AC1752" t="n">
        <x:v>0</x:v>
      </x:c>
      <x:c r="AD1752" t="n">
        <x:v>1.7431197986006737</x:v>
      </x:c>
      <x:c r="AE1752" t="n">
        <x:v>1</x:v>
      </x:c>
      <x:c r="AF1752" t="n">
        <x:v>0.07189828157424927</x:v>
      </x:c>
      <x:c r="AG1752" t="n">
        <x:f>_xlfn.XLOOKUP($A1752,Games!$A$2:$A$18,Games!$B$2:$B$18,"Missing game",0)</x:f>
        <x:v>2025</x:v>
      </x:c>
      <x:c r="AH1752" t="str">
        <x:f>_xlfn.XLOOKUP($A1752,Games!$A$2:$A$18,Games!$C$2:$C$18,"Missing game",0)</x:f>
        <x:v>REG</x:v>
      </x:c>
      <x:c r="AI1752" t="n">
        <x:f>_xlfn.XLOOKUP($A1752,Games!$A$2:$A$18,Games!$D$2:$D$18,"Missing game",0)</x:f>
        <x:v>12</x:v>
      </x:c>
      <x:c r="AJ1752" s="1" t="n">
        <x:f>_xlfn.XLOOKUP($A1752,Games!$A$2:$A$18,Games!$E$2:$E$18,"Missing game",0)</x:f>
        <x:v>45984</x:v>
      </x:c>
      <x:c r="AK1752" t="str">
        <x:f>_xlfn.XLOOKUP($A1752,Games!$A$2:$A$18,Games!$F$2:$F$18,"Missing game",0)</x:f>
        <x:v>Sunday</x:v>
      </x:c>
      <x:c r="AL1752" t="str">
        <x:f>_xlfn.XLOOKUP($A1752,Games!$A$2:$A$18,Games!$G$2:$G$18,"Missing game",0)</x:f>
        <x:v>MIN</x:v>
      </x:c>
      <x:c r="AM1752" t="n">
        <x:f>_xlfn.XLOOKUP($A1752,Games!$A$2:$A$18,Games!$H$2:$H$18,"Missing game",0)</x:f>
        <x:v>6</x:v>
      </x:c>
      <x:c r="AN1752" t="str">
        <x:f>_xlfn.XLOOKUP($A1752,Games!$A$2:$A$18,Games!$I$2:$I$18,"Missing game",0)</x:f>
        <x:v>GB</x:v>
      </x:c>
      <x:c r="AO1752" t="n">
        <x:f>_xlfn.XLOOKUP($A1752,Games!$A$2:$A$18,Games!$J$2:$J$18,"Missing game",0)</x:f>
        <x:v>23</x:v>
      </x:c>
      <x:c r="AP1752" t="n">
        <x:f>_xlfn.XLOOKUP($A1752,Games!$A$2:$A$18,Games!$K$2:$K$18,"Missing game",0)</x:f>
        <x:v>17</x:v>
      </x:c>
      <x:c r="AQ1752" t="n">
        <x:f>_xlfn.XLOOKUP($A1752,Games!$A$2:$A$18,Games!$L$2:$L$18,"Missing game",0)</x:f>
        <x:v>29</x:v>
      </x:c>
      <x:c r="AR1752" t="n">
        <x:f>_xlfn.XLOOKUP($A1752,Games!$A$2:$A$18,Games!$M$2:$M$18,"Missing game",0)</x:f>
        <x:v>0</x:v>
      </x:c>
      <x:c r="AS1752" t="str">
        <x:f>_xlfn.XLOOKUP($A1752,Games!$A$2:$A$18,Games!$N$2:$N$18,"Missing game",0)</x:f>
        <x:v>outdoors</x:v>
      </x:c>
      <x:c r="AT1752" t="str">
        <x:f>_xlfn.XLOOKUP($A1752,Games!$A$2:$A$18,Games!$O$2:$O$18,"Missing game",0)</x:f>
        <x:v>grass</x:v>
      </x:c>
      <x:c r="AU1752" t="n">
        <x:f>_xlfn.XLOOKUP($A1752,Games!$A$2:$A$18,Games!$P$2:$P$18,"Missing game",0)</x:f>
        <x:v>43</x:v>
      </x:c>
      <x:c r="AV1752" t="n">
        <x:f>_xlfn.XLOOKUP($A1752,Games!$A$2:$A$18,Games!$Q$2:$Q$18,"Missing game",0)</x:f>
        <x:v>10</x:v>
      </x:c>
      <x:c r="AW1752" t="str">
        <x:f>_xlfn.XLOOKUP($A1752,Games!$A$2:$A$18,Games!$R$2:$R$18,"Missing game",0)</x:f>
        <x:v>Lambeau Field</x:v>
      </x:c>
    </x:row>
    <x:row r="1753">
      <x:c r="A1753" t="str">
        <x:v>2025_12_MIN_GB</x:v>
      </x:c>
      <x:c r="B1753" t="n">
        <x:v>1055</x:v>
      </x:c>
      <x:c r="C1753" t="n">
        <x:v>2</x:v>
      </x:c>
      <x:c r="D1753" t="str">
        <x:v>13:47</x:v>
      </x:c>
      <x:c r="E1753" t="n">
        <x:v>1</x:v>
      </x:c>
      <x:c r="F1753" t="n">
        <x:v>10</x:v>
      </x:c>
      <x:c r="G1753" t="str">
        <x:v>MIN</x:v>
      </x:c>
      <x:c r="H1753" t="str">
        <x:v>GB</x:v>
      </x:c>
      <x:c r="I1753" t="str">
        <x:v>GB</x:v>
      </x:c>
      <x:c r="J1753" t="n">
        <x:v>38</x:v>
      </x:c>
      <x:c r="K1753" t="str">
        <x:v>(13:47) 27-J.Mason up the middle to GB 30 for 8 yards (58-I.McDuffie).</x:v>
      </x:c>
      <x:c r="L1753" t="str">
        <x:v>run</x:v>
      </x:c>
      <x:c r="M1753" t="n">
        <x:v>8</x:v>
      </x:c>
      <x:c r="N1753" t="n">
        <x:v>0</x:v>
      </x:c>
      <x:c r="O1753" t="n">
        <x:v>0</x:v>
      </x:c>
      <x:c r="P1753"/>
      <x:c r="Q1753"/>
      <x:c r="R1753"/>
      <x:c r="S1753"/>
      <x:c r="T1753" t="str">
        <x:v>middle</x:v>
      </x:c>
      <x:c r="U1753"/>
      <x:c r="V1753" t="n">
        <x:v>0</x:v>
      </x:c>
      <x:c r="W1753" t="n">
        <x:v>0</x:v>
      </x:c>
      <x:c r="X1753" t="n">
        <x:v>0</x:v>
      </x:c>
      <x:c r="Y1753" t="n">
        <x:v>0</x:v>
      </x:c>
      <x:c r="Z1753" t="n">
        <x:v>0</x:v>
      </x:c>
      <x:c r="AA1753" t="n">
        <x:v>0</x:v>
      </x:c>
      <x:c r="AB1753"/>
      <x:c r="AC1753" t="n">
        <x:v>0</x:v>
      </x:c>
      <x:c r="AD1753" t="n">
        <x:v>0.539485020795837</x:v>
      </x:c>
      <x:c r="AE1753" t="n">
        <x:v>1</x:v>
      </x:c>
      <x:c r="AF1753" t="n">
        <x:v>0.01403924822807312</x:v>
      </x:c>
      <x:c r="AG1753" t="n">
        <x:f>_xlfn.XLOOKUP($A1753,Games!$A$2:$A$18,Games!$B$2:$B$18,"Missing game",0)</x:f>
        <x:v>2025</x:v>
      </x:c>
      <x:c r="AH1753" t="str">
        <x:f>_xlfn.XLOOKUP($A1753,Games!$A$2:$A$18,Games!$C$2:$C$18,"Missing game",0)</x:f>
        <x:v>REG</x:v>
      </x:c>
      <x:c r="AI1753" t="n">
        <x:f>_xlfn.XLOOKUP($A1753,Games!$A$2:$A$18,Games!$D$2:$D$18,"Missing game",0)</x:f>
        <x:v>12</x:v>
      </x:c>
      <x:c r="AJ1753" s="1" t="n">
        <x:f>_xlfn.XLOOKUP($A1753,Games!$A$2:$A$18,Games!$E$2:$E$18,"Missing game",0)</x:f>
        <x:v>45984</x:v>
      </x:c>
      <x:c r="AK1753" t="str">
        <x:f>_xlfn.XLOOKUP($A1753,Games!$A$2:$A$18,Games!$F$2:$F$18,"Missing game",0)</x:f>
        <x:v>Sunday</x:v>
      </x:c>
      <x:c r="AL1753" t="str">
        <x:f>_xlfn.XLOOKUP($A1753,Games!$A$2:$A$18,Games!$G$2:$G$18,"Missing game",0)</x:f>
        <x:v>MIN</x:v>
      </x:c>
      <x:c r="AM1753" t="n">
        <x:f>_xlfn.XLOOKUP($A1753,Games!$A$2:$A$18,Games!$H$2:$H$18,"Missing game",0)</x:f>
        <x:v>6</x:v>
      </x:c>
      <x:c r="AN1753" t="str">
        <x:f>_xlfn.XLOOKUP($A1753,Games!$A$2:$A$18,Games!$I$2:$I$18,"Missing game",0)</x:f>
        <x:v>GB</x:v>
      </x:c>
      <x:c r="AO1753" t="n">
        <x:f>_xlfn.XLOOKUP($A1753,Games!$A$2:$A$18,Games!$J$2:$J$18,"Missing game",0)</x:f>
        <x:v>23</x:v>
      </x:c>
      <x:c r="AP1753" t="n">
        <x:f>_xlfn.XLOOKUP($A1753,Games!$A$2:$A$18,Games!$K$2:$K$18,"Missing game",0)</x:f>
        <x:v>17</x:v>
      </x:c>
      <x:c r="AQ1753" t="n">
        <x:f>_xlfn.XLOOKUP($A1753,Games!$A$2:$A$18,Games!$L$2:$L$18,"Missing game",0)</x:f>
        <x:v>29</x:v>
      </x:c>
      <x:c r="AR1753" t="n">
        <x:f>_xlfn.XLOOKUP($A1753,Games!$A$2:$A$18,Games!$M$2:$M$18,"Missing game",0)</x:f>
        <x:v>0</x:v>
      </x:c>
      <x:c r="AS1753" t="str">
        <x:f>_xlfn.XLOOKUP($A1753,Games!$A$2:$A$18,Games!$N$2:$N$18,"Missing game",0)</x:f>
        <x:v>outdoors</x:v>
      </x:c>
      <x:c r="AT1753" t="str">
        <x:f>_xlfn.XLOOKUP($A1753,Games!$A$2:$A$18,Games!$O$2:$O$18,"Missing game",0)</x:f>
        <x:v>grass</x:v>
      </x:c>
      <x:c r="AU1753" t="n">
        <x:f>_xlfn.XLOOKUP($A1753,Games!$A$2:$A$18,Games!$P$2:$P$18,"Missing game",0)</x:f>
        <x:v>43</x:v>
      </x:c>
      <x:c r="AV1753" t="n">
        <x:f>_xlfn.XLOOKUP($A1753,Games!$A$2:$A$18,Games!$Q$2:$Q$18,"Missing game",0)</x:f>
        <x:v>10</x:v>
      </x:c>
      <x:c r="AW1753" t="str">
        <x:f>_xlfn.XLOOKUP($A1753,Games!$A$2:$A$18,Games!$R$2:$R$18,"Missing game",0)</x:f>
        <x:v>Lambeau Field</x:v>
      </x:c>
    </x:row>
    <x:row r="1754">
      <x:c r="A1754" t="str">
        <x:v>2025_12_MIN_GB</x:v>
      </x:c>
      <x:c r="B1754" t="n">
        <x:v>1077</x:v>
      </x:c>
      <x:c r="C1754" t="n">
        <x:v>2</x:v>
      </x:c>
      <x:c r="D1754" t="str">
        <x:v>13:11</x:v>
      </x:c>
      <x:c r="E1754" t="n">
        <x:v>2</x:v>
      </x:c>
      <x:c r="F1754" t="n">
        <x:v>2</x:v>
      </x:c>
      <x:c r="G1754" t="str">
        <x:v>MIN</x:v>
      </x:c>
      <x:c r="H1754" t="str">
        <x:v>GB</x:v>
      </x:c>
      <x:c r="I1754" t="str">
        <x:v>GB</x:v>
      </x:c>
      <x:c r="J1754" t="n">
        <x:v>30</x:v>
      </x:c>
      <x:c r="K1754" t="str">
        <x:v>(13:11) 27-J.Mason left tackle to GB 26 for 4 yards (96-C.Wooden).</x:v>
      </x:c>
      <x:c r="L1754" t="str">
        <x:v>run</x:v>
      </x:c>
      <x:c r="M1754" t="n">
        <x:v>4</x:v>
      </x:c>
      <x:c r="N1754" t="n">
        <x:v>0</x:v>
      </x:c>
      <x:c r="O1754" t="n">
        <x:v>0</x:v>
      </x:c>
      <x:c r="P1754"/>
      <x:c r="Q1754"/>
      <x:c r="R1754"/>
      <x:c r="S1754"/>
      <x:c r="T1754" t="str">
        <x:v>left</x:v>
      </x:c>
      <x:c r="U1754" t="str">
        <x:v>tackle</x:v>
      </x:c>
      <x:c r="V1754" t="n">
        <x:v>0</x:v>
      </x:c>
      <x:c r="W1754" t="n">
        <x:v>1</x:v>
      </x:c>
      <x:c r="X1754" t="n">
        <x:v>0</x:v>
      </x:c>
      <x:c r="Y1754" t="n">
        <x:v>0</x:v>
      </x:c>
      <x:c r="Z1754" t="n">
        <x:v>0</x:v>
      </x:c>
      <x:c r="AA1754" t="n">
        <x:v>0</x:v>
      </x:c>
      <x:c r="AB1754"/>
      <x:c r="AC1754" t="n">
        <x:v>0</x:v>
      </x:c>
      <x:c r="AD1754" t="n">
        <x:v>0.32746637403033674</x:v>
      </x:c>
      <x:c r="AE1754" t="n">
        <x:v>1</x:v>
      </x:c>
      <x:c r="AF1754" t="n">
        <x:v>0.019970417022705078</x:v>
      </x:c>
      <x:c r="AG1754" t="n">
        <x:f>_xlfn.XLOOKUP($A1754,Games!$A$2:$A$18,Games!$B$2:$B$18,"Missing game",0)</x:f>
        <x:v>2025</x:v>
      </x:c>
      <x:c r="AH1754" t="str">
        <x:f>_xlfn.XLOOKUP($A1754,Games!$A$2:$A$18,Games!$C$2:$C$18,"Missing game",0)</x:f>
        <x:v>REG</x:v>
      </x:c>
      <x:c r="AI1754" t="n">
        <x:f>_xlfn.XLOOKUP($A1754,Games!$A$2:$A$18,Games!$D$2:$D$18,"Missing game",0)</x:f>
        <x:v>12</x:v>
      </x:c>
      <x:c r="AJ1754" s="1" t="n">
        <x:f>_xlfn.XLOOKUP($A1754,Games!$A$2:$A$18,Games!$E$2:$E$18,"Missing game",0)</x:f>
        <x:v>45984</x:v>
      </x:c>
      <x:c r="AK1754" t="str">
        <x:f>_xlfn.XLOOKUP($A1754,Games!$A$2:$A$18,Games!$F$2:$F$18,"Missing game",0)</x:f>
        <x:v>Sunday</x:v>
      </x:c>
      <x:c r="AL1754" t="str">
        <x:f>_xlfn.XLOOKUP($A1754,Games!$A$2:$A$18,Games!$G$2:$G$18,"Missing game",0)</x:f>
        <x:v>MIN</x:v>
      </x:c>
      <x:c r="AM1754" t="n">
        <x:f>_xlfn.XLOOKUP($A1754,Games!$A$2:$A$18,Games!$H$2:$H$18,"Missing game",0)</x:f>
        <x:v>6</x:v>
      </x:c>
      <x:c r="AN1754" t="str">
        <x:f>_xlfn.XLOOKUP($A1754,Games!$A$2:$A$18,Games!$I$2:$I$18,"Missing game",0)</x:f>
        <x:v>GB</x:v>
      </x:c>
      <x:c r="AO1754" t="n">
        <x:f>_xlfn.XLOOKUP($A1754,Games!$A$2:$A$18,Games!$J$2:$J$18,"Missing game",0)</x:f>
        <x:v>23</x:v>
      </x:c>
      <x:c r="AP1754" t="n">
        <x:f>_xlfn.XLOOKUP($A1754,Games!$A$2:$A$18,Games!$K$2:$K$18,"Missing game",0)</x:f>
        <x:v>17</x:v>
      </x:c>
      <x:c r="AQ1754" t="n">
        <x:f>_xlfn.XLOOKUP($A1754,Games!$A$2:$A$18,Games!$L$2:$L$18,"Missing game",0)</x:f>
        <x:v>29</x:v>
      </x:c>
      <x:c r="AR1754" t="n">
        <x:f>_xlfn.XLOOKUP($A1754,Games!$A$2:$A$18,Games!$M$2:$M$18,"Missing game",0)</x:f>
        <x:v>0</x:v>
      </x:c>
      <x:c r="AS1754" t="str">
        <x:f>_xlfn.XLOOKUP($A1754,Games!$A$2:$A$18,Games!$N$2:$N$18,"Missing game",0)</x:f>
        <x:v>outdoors</x:v>
      </x:c>
      <x:c r="AT1754" t="str">
        <x:f>_xlfn.XLOOKUP($A1754,Games!$A$2:$A$18,Games!$O$2:$O$18,"Missing game",0)</x:f>
        <x:v>grass</x:v>
      </x:c>
      <x:c r="AU1754" t="n">
        <x:f>_xlfn.XLOOKUP($A1754,Games!$A$2:$A$18,Games!$P$2:$P$18,"Missing game",0)</x:f>
        <x:v>43</x:v>
      </x:c>
      <x:c r="AV1754" t="n">
        <x:f>_xlfn.XLOOKUP($A1754,Games!$A$2:$A$18,Games!$Q$2:$Q$18,"Missing game",0)</x:f>
        <x:v>10</x:v>
      </x:c>
      <x:c r="AW1754" t="str">
        <x:f>_xlfn.XLOOKUP($A1754,Games!$A$2:$A$18,Games!$R$2:$R$18,"Missing game",0)</x:f>
        <x:v>Lambeau Field</x:v>
      </x:c>
    </x:row>
    <x:row r="1755">
      <x:c r="A1755" t="str">
        <x:v>2025_12_MIN_GB</x:v>
      </x:c>
      <x:c r="B1755" t="n">
        <x:v>1099</x:v>
      </x:c>
      <x:c r="C1755" t="n">
        <x:v>2</x:v>
      </x:c>
      <x:c r="D1755" t="str">
        <x:v>12:35</x:v>
      </x:c>
      <x:c r="E1755" t="n">
        <x:v>1</x:v>
      </x:c>
      <x:c r="F1755" t="n">
        <x:v>10</x:v>
      </x:c>
      <x:c r="G1755" t="str">
        <x:v>MIN</x:v>
      </x:c>
      <x:c r="H1755" t="str">
        <x:v>GB</x:v>
      </x:c>
      <x:c r="I1755" t="str">
        <x:v>GB</x:v>
      </x:c>
      <x:c r="J1755" t="n">
        <x:v>26</x:v>
      </x:c>
      <x:c r="K1755" t="str">
        <x:v>(12:35) 9-J.McCarthy pass short left to 84-J.Oliver to GB 22 for 4 yards (29-X.McKinney).</x:v>
      </x:c>
      <x:c r="L1755" t="str">
        <x:v>pass</x:v>
      </x:c>
      <x:c r="M1755" t="n">
        <x:v>4</x:v>
      </x:c>
      <x:c r="N1755" t="n">
        <x:v>0</x:v>
      </x:c>
      <x:c r="O1755" t="n">
        <x:v>0</x:v>
      </x:c>
      <x:c r="P1755" t="str">
        <x:v>short</x:v>
      </x:c>
      <x:c r="Q1755" t="str">
        <x:v>left</x:v>
      </x:c>
      <x:c r="R1755" t="n">
        <x:v>2</x:v>
      </x:c>
      <x:c r="S1755" t="n">
        <x:v>2</x:v>
      </x:c>
      <x:c r="T1755"/>
      <x:c r="U1755"/>
      <x:c r="V1755" t="n">
        <x:v>1</x:v>
      </x:c>
      <x:c r="W1755" t="n">
        <x:v>0</x:v>
      </x:c>
      <x:c r="X1755" t="n">
        <x:v>0</x:v>
      </x:c>
      <x:c r="Y1755" t="n">
        <x:v>0</x:v>
      </x:c>
      <x:c r="Z1755" t="n">
        <x:v>0</x:v>
      </x:c>
      <x:c r="AA1755" t="n">
        <x:v>0</x:v>
      </x:c>
      <x:c r="AB1755"/>
      <x:c r="AC1755" t="n">
        <x:v>0</x:v>
      </x:c>
      <x:c r="AD1755" t="n">
        <x:v>-0.11796334246173501</x:v>
      </x:c>
      <x:c r="AE1755" t="n">
        <x:v>0</x:v>
      </x:c>
      <x:c r="AF1755" t="n">
        <x:v>-0.0014357268810272217</x:v>
      </x:c>
      <x:c r="AG1755" t="n">
        <x:f>_xlfn.XLOOKUP($A1755,Games!$A$2:$A$18,Games!$B$2:$B$18,"Missing game",0)</x:f>
        <x:v>2025</x:v>
      </x:c>
      <x:c r="AH1755" t="str">
        <x:f>_xlfn.XLOOKUP($A1755,Games!$A$2:$A$18,Games!$C$2:$C$18,"Missing game",0)</x:f>
        <x:v>REG</x:v>
      </x:c>
      <x:c r="AI1755" t="n">
        <x:f>_xlfn.XLOOKUP($A1755,Games!$A$2:$A$18,Games!$D$2:$D$18,"Missing game",0)</x:f>
        <x:v>12</x:v>
      </x:c>
      <x:c r="AJ1755" s="1" t="n">
        <x:f>_xlfn.XLOOKUP($A1755,Games!$A$2:$A$18,Games!$E$2:$E$18,"Missing game",0)</x:f>
        <x:v>45984</x:v>
      </x:c>
      <x:c r="AK1755" t="str">
        <x:f>_xlfn.XLOOKUP($A1755,Games!$A$2:$A$18,Games!$F$2:$F$18,"Missing game",0)</x:f>
        <x:v>Sunday</x:v>
      </x:c>
      <x:c r="AL1755" t="str">
        <x:f>_xlfn.XLOOKUP($A1755,Games!$A$2:$A$18,Games!$G$2:$G$18,"Missing game",0)</x:f>
        <x:v>MIN</x:v>
      </x:c>
      <x:c r="AM1755" t="n">
        <x:f>_xlfn.XLOOKUP($A1755,Games!$A$2:$A$18,Games!$H$2:$H$18,"Missing game",0)</x:f>
        <x:v>6</x:v>
      </x:c>
      <x:c r="AN1755" t="str">
        <x:f>_xlfn.XLOOKUP($A1755,Games!$A$2:$A$18,Games!$I$2:$I$18,"Missing game",0)</x:f>
        <x:v>GB</x:v>
      </x:c>
      <x:c r="AO1755" t="n">
        <x:f>_xlfn.XLOOKUP($A1755,Games!$A$2:$A$18,Games!$J$2:$J$18,"Missing game",0)</x:f>
        <x:v>23</x:v>
      </x:c>
      <x:c r="AP1755" t="n">
        <x:f>_xlfn.XLOOKUP($A1755,Games!$A$2:$A$18,Games!$K$2:$K$18,"Missing game",0)</x:f>
        <x:v>17</x:v>
      </x:c>
      <x:c r="AQ1755" t="n">
        <x:f>_xlfn.XLOOKUP($A1755,Games!$A$2:$A$18,Games!$L$2:$L$18,"Missing game",0)</x:f>
        <x:v>29</x:v>
      </x:c>
      <x:c r="AR1755" t="n">
        <x:f>_xlfn.XLOOKUP($A1755,Games!$A$2:$A$18,Games!$M$2:$M$18,"Missing game",0)</x:f>
        <x:v>0</x:v>
      </x:c>
      <x:c r="AS1755" t="str">
        <x:f>_xlfn.XLOOKUP($A1755,Games!$A$2:$A$18,Games!$N$2:$N$18,"Missing game",0)</x:f>
        <x:v>outdoors</x:v>
      </x:c>
      <x:c r="AT1755" t="str">
        <x:f>_xlfn.XLOOKUP($A1755,Games!$A$2:$A$18,Games!$O$2:$O$18,"Missing game",0)</x:f>
        <x:v>grass</x:v>
      </x:c>
      <x:c r="AU1755" t="n">
        <x:f>_xlfn.XLOOKUP($A1755,Games!$A$2:$A$18,Games!$P$2:$P$18,"Missing game",0)</x:f>
        <x:v>43</x:v>
      </x:c>
      <x:c r="AV1755" t="n">
        <x:f>_xlfn.XLOOKUP($A1755,Games!$A$2:$A$18,Games!$Q$2:$Q$18,"Missing game",0)</x:f>
        <x:v>10</x:v>
      </x:c>
      <x:c r="AW1755" t="str">
        <x:f>_xlfn.XLOOKUP($A1755,Games!$A$2:$A$18,Games!$R$2:$R$18,"Missing game",0)</x:f>
        <x:v>Lambeau Field</x:v>
      </x:c>
    </x:row>
    <x:row r="1756">
      <x:c r="A1756" t="str">
        <x:v>2025_12_MIN_GB</x:v>
      </x:c>
      <x:c r="B1756" t="n">
        <x:v>1129</x:v>
      </x:c>
      <x:c r="C1756" t="n">
        <x:v>2</x:v>
      </x:c>
      <x:c r="D1756" t="str">
        <x:v>11:55</x:v>
      </x:c>
      <x:c r="E1756" t="n">
        <x:v>2</x:v>
      </x:c>
      <x:c r="F1756" t="n">
        <x:v>6</x:v>
      </x:c>
      <x:c r="G1756" t="str">
        <x:v>MIN</x:v>
      </x:c>
      <x:c r="H1756" t="str">
        <x:v>GB</x:v>
      </x:c>
      <x:c r="I1756" t="str">
        <x:v>GB</x:v>
      </x:c>
      <x:c r="J1756" t="n">
        <x:v>22</x:v>
      </x:c>
      <x:c r="K1756" t="str">
        <x:v>(11:55) 33-A.Jones right tackle to GB 17 for 5 yards (56-E.Cooper).</x:v>
      </x:c>
      <x:c r="L1756" t="str">
        <x:v>run</x:v>
      </x:c>
      <x:c r="M1756" t="n">
        <x:v>5</x:v>
      </x:c>
      <x:c r="N1756" t="n">
        <x:v>0</x:v>
      </x:c>
      <x:c r="O1756" t="n">
        <x:v>0</x:v>
      </x:c>
      <x:c r="P1756"/>
      <x:c r="Q1756"/>
      <x:c r="R1756"/>
      <x:c r="S1756"/>
      <x:c r="T1756" t="str">
        <x:v>right</x:v>
      </x:c>
      <x:c r="U1756" t="str">
        <x:v>tackle</x:v>
      </x:c>
      <x:c r="V1756" t="n">
        <x:v>0</x:v>
      </x:c>
      <x:c r="W1756" t="n">
        <x:v>0</x:v>
      </x:c>
      <x:c r="X1756" t="n">
        <x:v>0</x:v>
      </x:c>
      <x:c r="Y1756" t="n">
        <x:v>0</x:v>
      </x:c>
      <x:c r="Z1756" t="n">
        <x:v>0</x:v>
      </x:c>
      <x:c r="AA1756" t="n">
        <x:v>0</x:v>
      </x:c>
      <x:c r="AB1756"/>
      <x:c r="AC1756" t="n">
        <x:v>0</x:v>
      </x:c>
      <x:c r="AD1756" t="n">
        <x:v>0.33127198269357905</x:v>
      </x:c>
      <x:c r="AE1756" t="n">
        <x:v>1</x:v>
      </x:c>
      <x:c r="AF1756" t="n">
        <x:v>-0.0046332478523254395</x:v>
      </x:c>
      <x:c r="AG1756" t="n">
        <x:f>_xlfn.XLOOKUP($A1756,Games!$A$2:$A$18,Games!$B$2:$B$18,"Missing game",0)</x:f>
        <x:v>2025</x:v>
      </x:c>
      <x:c r="AH1756" t="str">
        <x:f>_xlfn.XLOOKUP($A1756,Games!$A$2:$A$18,Games!$C$2:$C$18,"Missing game",0)</x:f>
        <x:v>REG</x:v>
      </x:c>
      <x:c r="AI1756" t="n">
        <x:f>_xlfn.XLOOKUP($A1756,Games!$A$2:$A$18,Games!$D$2:$D$18,"Missing game",0)</x:f>
        <x:v>12</x:v>
      </x:c>
      <x:c r="AJ1756" s="1" t="n">
        <x:f>_xlfn.XLOOKUP($A1756,Games!$A$2:$A$18,Games!$E$2:$E$18,"Missing game",0)</x:f>
        <x:v>45984</x:v>
      </x:c>
      <x:c r="AK1756" t="str">
        <x:f>_xlfn.XLOOKUP($A1756,Games!$A$2:$A$18,Games!$F$2:$F$18,"Missing game",0)</x:f>
        <x:v>Sunday</x:v>
      </x:c>
      <x:c r="AL1756" t="str">
        <x:f>_xlfn.XLOOKUP($A1756,Games!$A$2:$A$18,Games!$G$2:$G$18,"Missing game",0)</x:f>
        <x:v>MIN</x:v>
      </x:c>
      <x:c r="AM1756" t="n">
        <x:f>_xlfn.XLOOKUP($A1756,Games!$A$2:$A$18,Games!$H$2:$H$18,"Missing game",0)</x:f>
        <x:v>6</x:v>
      </x:c>
      <x:c r="AN1756" t="str">
        <x:f>_xlfn.XLOOKUP($A1756,Games!$A$2:$A$18,Games!$I$2:$I$18,"Missing game",0)</x:f>
        <x:v>GB</x:v>
      </x:c>
      <x:c r="AO1756" t="n">
        <x:f>_xlfn.XLOOKUP($A1756,Games!$A$2:$A$18,Games!$J$2:$J$18,"Missing game",0)</x:f>
        <x:v>23</x:v>
      </x:c>
      <x:c r="AP1756" t="n">
        <x:f>_xlfn.XLOOKUP($A1756,Games!$A$2:$A$18,Games!$K$2:$K$18,"Missing game",0)</x:f>
        <x:v>17</x:v>
      </x:c>
      <x:c r="AQ1756" t="n">
        <x:f>_xlfn.XLOOKUP($A1756,Games!$A$2:$A$18,Games!$L$2:$L$18,"Missing game",0)</x:f>
        <x:v>29</x:v>
      </x:c>
      <x:c r="AR1756" t="n">
        <x:f>_xlfn.XLOOKUP($A1756,Games!$A$2:$A$18,Games!$M$2:$M$18,"Missing game",0)</x:f>
        <x:v>0</x:v>
      </x:c>
      <x:c r="AS1756" t="str">
        <x:f>_xlfn.XLOOKUP($A1756,Games!$A$2:$A$18,Games!$N$2:$N$18,"Missing game",0)</x:f>
        <x:v>outdoors</x:v>
      </x:c>
      <x:c r="AT1756" t="str">
        <x:f>_xlfn.XLOOKUP($A1756,Games!$A$2:$A$18,Games!$O$2:$O$18,"Missing game",0)</x:f>
        <x:v>grass</x:v>
      </x:c>
      <x:c r="AU1756" t="n">
        <x:f>_xlfn.XLOOKUP($A1756,Games!$A$2:$A$18,Games!$P$2:$P$18,"Missing game",0)</x:f>
        <x:v>43</x:v>
      </x:c>
      <x:c r="AV1756" t="n">
        <x:f>_xlfn.XLOOKUP($A1756,Games!$A$2:$A$18,Games!$Q$2:$Q$18,"Missing game",0)</x:f>
        <x:v>10</x:v>
      </x:c>
      <x:c r="AW1756" t="str">
        <x:f>_xlfn.XLOOKUP($A1756,Games!$A$2:$A$18,Games!$R$2:$R$18,"Missing game",0)</x:f>
        <x:v>Lambeau Field</x:v>
      </x:c>
    </x:row>
    <x:row r="1757">
      <x:c r="A1757" t="str">
        <x:v>2025_12_MIN_GB</x:v>
      </x:c>
      <x:c r="B1757" t="n">
        <x:v>1151</x:v>
      </x:c>
      <x:c r="C1757" t="n">
        <x:v>2</x:v>
      </x:c>
      <x:c r="D1757" t="str">
        <x:v>11:10</x:v>
      </x:c>
      <x:c r="E1757" t="n">
        <x:v>3</x:v>
      </x:c>
      <x:c r="F1757" t="n">
        <x:v>1</x:v>
      </x:c>
      <x:c r="G1757" t="str">
        <x:v>MIN</x:v>
      </x:c>
      <x:c r="H1757" t="str">
        <x:v>GB</x:v>
      </x:c>
      <x:c r="I1757" t="str">
        <x:v>GB</x:v>
      </x:c>
      <x:c r="J1757" t="n">
        <x:v>17</x:v>
      </x:c>
      <x:c r="K1757" t="str">
        <x:v>(11:10) Direct snap to 87-T.Hockenson. 87-T.Hockenson up the middle to GB 17 for no gain (58-I.McDuffie).</x:v>
      </x:c>
      <x:c r="L1757" t="str">
        <x:v>run</x:v>
      </x:c>
      <x:c r="M1757" t="n">
        <x:v>0</x:v>
      </x:c>
      <x:c r="N1757" t="n">
        <x:v>0</x:v>
      </x:c>
      <x:c r="O1757" t="n">
        <x:v>0</x:v>
      </x:c>
      <x:c r="P1757"/>
      <x:c r="Q1757"/>
      <x:c r="R1757"/>
      <x:c r="S1757"/>
      <x:c r="T1757" t="str">
        <x:v>middle</x:v>
      </x:c>
      <x:c r="U1757"/>
      <x:c r="V1757" t="n">
        <x:v>0</x:v>
      </x:c>
      <x:c r="W1757" t="n">
        <x:v>0</x:v>
      </x:c>
      <x:c r="X1757" t="n">
        <x:v>0</x:v>
      </x:c>
      <x:c r="Y1757" t="n">
        <x:v>0</x:v>
      </x:c>
      <x:c r="Z1757" t="n">
        <x:v>0</x:v>
      </x:c>
      <x:c r="AA1757" t="n">
        <x:v>0</x:v>
      </x:c>
      <x:c r="AB1757"/>
      <x:c r="AC1757" t="n">
        <x:v>0</x:v>
      </x:c>
      <x:c r="AD1757" t="n">
        <x:v>-1.1067849059472792</x:v>
      </x:c>
      <x:c r="AE1757" t="n">
        <x:v>0</x:v>
      </x:c>
      <x:c r="AF1757" t="n">
        <x:v>-0.03640738129615784</x:v>
      </x:c>
      <x:c r="AG1757" t="n">
        <x:f>_xlfn.XLOOKUP($A1757,Games!$A$2:$A$18,Games!$B$2:$B$18,"Missing game",0)</x:f>
        <x:v>2025</x:v>
      </x:c>
      <x:c r="AH1757" t="str">
        <x:f>_xlfn.XLOOKUP($A1757,Games!$A$2:$A$18,Games!$C$2:$C$18,"Missing game",0)</x:f>
        <x:v>REG</x:v>
      </x:c>
      <x:c r="AI1757" t="n">
        <x:f>_xlfn.XLOOKUP($A1757,Games!$A$2:$A$18,Games!$D$2:$D$18,"Missing game",0)</x:f>
        <x:v>12</x:v>
      </x:c>
      <x:c r="AJ1757" s="1" t="n">
        <x:f>_xlfn.XLOOKUP($A1757,Games!$A$2:$A$18,Games!$E$2:$E$18,"Missing game",0)</x:f>
        <x:v>45984</x:v>
      </x:c>
      <x:c r="AK1757" t="str">
        <x:f>_xlfn.XLOOKUP($A1757,Games!$A$2:$A$18,Games!$F$2:$F$18,"Missing game",0)</x:f>
        <x:v>Sunday</x:v>
      </x:c>
      <x:c r="AL1757" t="str">
        <x:f>_xlfn.XLOOKUP($A1757,Games!$A$2:$A$18,Games!$G$2:$G$18,"Missing game",0)</x:f>
        <x:v>MIN</x:v>
      </x:c>
      <x:c r="AM1757" t="n">
        <x:f>_xlfn.XLOOKUP($A1757,Games!$A$2:$A$18,Games!$H$2:$H$18,"Missing game",0)</x:f>
        <x:v>6</x:v>
      </x:c>
      <x:c r="AN1757" t="str">
        <x:f>_xlfn.XLOOKUP($A1757,Games!$A$2:$A$18,Games!$I$2:$I$18,"Missing game",0)</x:f>
        <x:v>GB</x:v>
      </x:c>
      <x:c r="AO1757" t="n">
        <x:f>_xlfn.XLOOKUP($A1757,Games!$A$2:$A$18,Games!$J$2:$J$18,"Missing game",0)</x:f>
        <x:v>23</x:v>
      </x:c>
      <x:c r="AP1757" t="n">
        <x:f>_xlfn.XLOOKUP($A1757,Games!$A$2:$A$18,Games!$K$2:$K$18,"Missing game",0)</x:f>
        <x:v>17</x:v>
      </x:c>
      <x:c r="AQ1757" t="n">
        <x:f>_xlfn.XLOOKUP($A1757,Games!$A$2:$A$18,Games!$L$2:$L$18,"Missing game",0)</x:f>
        <x:v>29</x:v>
      </x:c>
      <x:c r="AR1757" t="n">
        <x:f>_xlfn.XLOOKUP($A1757,Games!$A$2:$A$18,Games!$M$2:$M$18,"Missing game",0)</x:f>
        <x:v>0</x:v>
      </x:c>
      <x:c r="AS1757" t="str">
        <x:f>_xlfn.XLOOKUP($A1757,Games!$A$2:$A$18,Games!$N$2:$N$18,"Missing game",0)</x:f>
        <x:v>outdoors</x:v>
      </x:c>
      <x:c r="AT1757" t="str">
        <x:f>_xlfn.XLOOKUP($A1757,Games!$A$2:$A$18,Games!$O$2:$O$18,"Missing game",0)</x:f>
        <x:v>grass</x:v>
      </x:c>
      <x:c r="AU1757" t="n">
        <x:f>_xlfn.XLOOKUP($A1757,Games!$A$2:$A$18,Games!$P$2:$P$18,"Missing game",0)</x:f>
        <x:v>43</x:v>
      </x:c>
      <x:c r="AV1757" t="n">
        <x:f>_xlfn.XLOOKUP($A1757,Games!$A$2:$A$18,Games!$Q$2:$Q$18,"Missing game",0)</x:f>
        <x:v>10</x:v>
      </x:c>
      <x:c r="AW1757" t="str">
        <x:f>_xlfn.XLOOKUP($A1757,Games!$A$2:$A$18,Games!$R$2:$R$18,"Missing game",0)</x:f>
        <x:v>Lambeau Field</x:v>
      </x:c>
    </x:row>
    <x:row r="1758">
      <x:c r="A1758" t="str">
        <x:v>2025_12_MIN_GB</x:v>
      </x:c>
      <x:c r="B1758" t="n">
        <x:v>1175</x:v>
      </x:c>
      <x:c r="C1758" t="n">
        <x:v>2</x:v>
      </x:c>
      <x:c r="D1758" t="str">
        <x:v>10:31</x:v>
      </x:c>
      <x:c r="E1758" t="n">
        <x:v>4</x:v>
      </x:c>
      <x:c r="F1758" t="n">
        <x:v>1</x:v>
      </x:c>
      <x:c r="G1758" t="str">
        <x:v>MIN</x:v>
      </x:c>
      <x:c r="H1758" t="str">
        <x:v>GB</x:v>
      </x:c>
      <x:c r="I1758" t="str">
        <x:v>GB</x:v>
      </x:c>
      <x:c r="J1758" t="n">
        <x:v>17</x:v>
      </x:c>
      <x:c r="K1758" t="str">
        <x:v>(10:31) 27-J.Mason up the middle to GB 18 for -1 yards (55-K.Enagbare).</x:v>
      </x:c>
      <x:c r="L1758" t="str">
        <x:v>run</x:v>
      </x:c>
      <x:c r="M1758" t="n">
        <x:v>-1</x:v>
      </x:c>
      <x:c r="N1758" t="n">
        <x:v>0</x:v>
      </x:c>
      <x:c r="O1758" t="n">
        <x:v>0</x:v>
      </x:c>
      <x:c r="P1758"/>
      <x:c r="Q1758"/>
      <x:c r="R1758"/>
      <x:c r="S1758"/>
      <x:c r="T1758" t="str">
        <x:v>middle</x:v>
      </x:c>
      <x:c r="U1758"/>
      <x:c r="V1758" t="n">
        <x:v>0</x:v>
      </x:c>
      <x:c r="W1758" t="n">
        <x:v>0</x:v>
      </x:c>
      <x:c r="X1758" t="n">
        <x:v>0</x:v>
      </x:c>
      <x:c r="Y1758" t="n">
        <x:v>0</x:v>
      </x:c>
      <x:c r="Z1758" t="n">
        <x:v>0</x:v>
      </x:c>
      <x:c r="AA1758" t="n">
        <x:v>0</x:v>
      </x:c>
      <x:c r="AB1758"/>
      <x:c r="AC1758" t="n">
        <x:v>0</x:v>
      </x:c>
      <x:c r="AD1758" t="n">
        <x:v>-3.980721725150943</x:v>
      </x:c>
      <x:c r="AE1758" t="n">
        <x:v>0</x:v>
      </x:c>
      <x:c r="AF1758" t="n">
        <x:v>-0.11662310361862183</x:v>
      </x:c>
      <x:c r="AG1758" t="n">
        <x:f>_xlfn.XLOOKUP($A1758,Games!$A$2:$A$18,Games!$B$2:$B$18,"Missing game",0)</x:f>
        <x:v>2025</x:v>
      </x:c>
      <x:c r="AH1758" t="str">
        <x:f>_xlfn.XLOOKUP($A1758,Games!$A$2:$A$18,Games!$C$2:$C$18,"Missing game",0)</x:f>
        <x:v>REG</x:v>
      </x:c>
      <x:c r="AI1758" t="n">
        <x:f>_xlfn.XLOOKUP($A1758,Games!$A$2:$A$18,Games!$D$2:$D$18,"Missing game",0)</x:f>
        <x:v>12</x:v>
      </x:c>
      <x:c r="AJ1758" s="1" t="n">
        <x:f>_xlfn.XLOOKUP($A1758,Games!$A$2:$A$18,Games!$E$2:$E$18,"Missing game",0)</x:f>
        <x:v>45984</x:v>
      </x:c>
      <x:c r="AK1758" t="str">
        <x:f>_xlfn.XLOOKUP($A1758,Games!$A$2:$A$18,Games!$F$2:$F$18,"Missing game",0)</x:f>
        <x:v>Sunday</x:v>
      </x:c>
      <x:c r="AL1758" t="str">
        <x:f>_xlfn.XLOOKUP($A1758,Games!$A$2:$A$18,Games!$G$2:$G$18,"Missing game",0)</x:f>
        <x:v>MIN</x:v>
      </x:c>
      <x:c r="AM1758" t="n">
        <x:f>_xlfn.XLOOKUP($A1758,Games!$A$2:$A$18,Games!$H$2:$H$18,"Missing game",0)</x:f>
        <x:v>6</x:v>
      </x:c>
      <x:c r="AN1758" t="str">
        <x:f>_xlfn.XLOOKUP($A1758,Games!$A$2:$A$18,Games!$I$2:$I$18,"Missing game",0)</x:f>
        <x:v>GB</x:v>
      </x:c>
      <x:c r="AO1758" t="n">
        <x:f>_xlfn.XLOOKUP($A1758,Games!$A$2:$A$18,Games!$J$2:$J$18,"Missing game",0)</x:f>
        <x:v>23</x:v>
      </x:c>
      <x:c r="AP1758" t="n">
        <x:f>_xlfn.XLOOKUP($A1758,Games!$A$2:$A$18,Games!$K$2:$K$18,"Missing game",0)</x:f>
        <x:v>17</x:v>
      </x:c>
      <x:c r="AQ1758" t="n">
        <x:f>_xlfn.XLOOKUP($A1758,Games!$A$2:$A$18,Games!$L$2:$L$18,"Missing game",0)</x:f>
        <x:v>29</x:v>
      </x:c>
      <x:c r="AR1758" t="n">
        <x:f>_xlfn.XLOOKUP($A1758,Games!$A$2:$A$18,Games!$M$2:$M$18,"Missing game",0)</x:f>
        <x:v>0</x:v>
      </x:c>
      <x:c r="AS1758" t="str">
        <x:f>_xlfn.XLOOKUP($A1758,Games!$A$2:$A$18,Games!$N$2:$N$18,"Missing game",0)</x:f>
        <x:v>outdoors</x:v>
      </x:c>
      <x:c r="AT1758" t="str">
        <x:f>_xlfn.XLOOKUP($A1758,Games!$A$2:$A$18,Games!$O$2:$O$18,"Missing game",0)</x:f>
        <x:v>grass</x:v>
      </x:c>
      <x:c r="AU1758" t="n">
        <x:f>_xlfn.XLOOKUP($A1758,Games!$A$2:$A$18,Games!$P$2:$P$18,"Missing game",0)</x:f>
        <x:v>43</x:v>
      </x:c>
      <x:c r="AV1758" t="n">
        <x:f>_xlfn.XLOOKUP($A1758,Games!$A$2:$A$18,Games!$Q$2:$Q$18,"Missing game",0)</x:f>
        <x:v>10</x:v>
      </x:c>
      <x:c r="AW1758" t="str">
        <x:f>_xlfn.XLOOKUP($A1758,Games!$A$2:$A$18,Games!$R$2:$R$18,"Missing game",0)</x:f>
        <x:v>Lambeau Field</x:v>
      </x:c>
    </x:row>
    <x:row r="1759">
      <x:c r="A1759" t="str">
        <x:v>2025_12_MIN_GB</x:v>
      </x:c>
      <x:c r="B1759" t="n">
        <x:v>1197</x:v>
      </x:c>
      <x:c r="C1759" t="n">
        <x:v>2</x:v>
      </x:c>
      <x:c r="D1759" t="str">
        <x:v>10:26</x:v>
      </x:c>
      <x:c r="E1759" t="n">
        <x:v>1</x:v>
      </x:c>
      <x:c r="F1759" t="n">
        <x:v>10</x:v>
      </x:c>
      <x:c r="G1759" t="str">
        <x:v>GB</x:v>
      </x:c>
      <x:c r="H1759" t="str">
        <x:v>MIN</x:v>
      </x:c>
      <x:c r="I1759" t="str">
        <x:v>GB</x:v>
      </x:c>
      <x:c r="J1759" t="n">
        <x:v>82</x:v>
      </x:c>
      <x:c r="K1759" t="str">
        <x:v>(10:26) 23-E.Wilson up the middle to GB 29 for 11 yards (26-T.Jackson).</x:v>
      </x:c>
      <x:c r="L1759" t="str">
        <x:v>run</x:v>
      </x:c>
      <x:c r="M1759" t="n">
        <x:v>11</x:v>
      </x:c>
      <x:c r="N1759" t="n">
        <x:v>0</x:v>
      </x:c>
      <x:c r="O1759" t="n">
        <x:v>0</x:v>
      </x:c>
      <x:c r="P1759"/>
      <x:c r="Q1759"/>
      <x:c r="R1759"/>
      <x:c r="S1759"/>
      <x:c r="T1759" t="str">
        <x:v>middle</x:v>
      </x:c>
      <x:c r="U1759"/>
      <x:c r="V1759" t="n">
        <x:v>0</x:v>
      </x:c>
      <x:c r="W1759" t="n">
        <x:v>1</x:v>
      </x:c>
      <x:c r="X1759" t="n">
        <x:v>0</x:v>
      </x:c>
      <x:c r="Y1759" t="n">
        <x:v>0</x:v>
      </x:c>
      <x:c r="Z1759" t="n">
        <x:v>0</x:v>
      </x:c>
      <x:c r="AA1759" t="n">
        <x:v>0</x:v>
      </x:c>
      <x:c r="AB1759"/>
      <x:c r="AC1759" t="n">
        <x:v>0</x:v>
      </x:c>
      <x:c r="AD1759" t="n">
        <x:v>0.7292614905163646</x:v>
      </x:c>
      <x:c r="AE1759" t="n">
        <x:v>1</x:v>
      </x:c>
      <x:c r="AF1759" t="n">
        <x:v>0.011975228786468506</x:v>
      </x:c>
      <x:c r="AG1759" t="n">
        <x:f>_xlfn.XLOOKUP($A1759,Games!$A$2:$A$18,Games!$B$2:$B$18,"Missing game",0)</x:f>
        <x:v>2025</x:v>
      </x:c>
      <x:c r="AH1759" t="str">
        <x:f>_xlfn.XLOOKUP($A1759,Games!$A$2:$A$18,Games!$C$2:$C$18,"Missing game",0)</x:f>
        <x:v>REG</x:v>
      </x:c>
      <x:c r="AI1759" t="n">
        <x:f>_xlfn.XLOOKUP($A1759,Games!$A$2:$A$18,Games!$D$2:$D$18,"Missing game",0)</x:f>
        <x:v>12</x:v>
      </x:c>
      <x:c r="AJ1759" s="1" t="n">
        <x:f>_xlfn.XLOOKUP($A1759,Games!$A$2:$A$18,Games!$E$2:$E$18,"Missing game",0)</x:f>
        <x:v>45984</x:v>
      </x:c>
      <x:c r="AK1759" t="str">
        <x:f>_xlfn.XLOOKUP($A1759,Games!$A$2:$A$18,Games!$F$2:$F$18,"Missing game",0)</x:f>
        <x:v>Sunday</x:v>
      </x:c>
      <x:c r="AL1759" t="str">
        <x:f>_xlfn.XLOOKUP($A1759,Games!$A$2:$A$18,Games!$G$2:$G$18,"Missing game",0)</x:f>
        <x:v>MIN</x:v>
      </x:c>
      <x:c r="AM1759" t="n">
        <x:f>_xlfn.XLOOKUP($A1759,Games!$A$2:$A$18,Games!$H$2:$H$18,"Missing game",0)</x:f>
        <x:v>6</x:v>
      </x:c>
      <x:c r="AN1759" t="str">
        <x:f>_xlfn.XLOOKUP($A1759,Games!$A$2:$A$18,Games!$I$2:$I$18,"Missing game",0)</x:f>
        <x:v>GB</x:v>
      </x:c>
      <x:c r="AO1759" t="n">
        <x:f>_xlfn.XLOOKUP($A1759,Games!$A$2:$A$18,Games!$J$2:$J$18,"Missing game",0)</x:f>
        <x:v>23</x:v>
      </x:c>
      <x:c r="AP1759" t="n">
        <x:f>_xlfn.XLOOKUP($A1759,Games!$A$2:$A$18,Games!$K$2:$K$18,"Missing game",0)</x:f>
        <x:v>17</x:v>
      </x:c>
      <x:c r="AQ1759" t="n">
        <x:f>_xlfn.XLOOKUP($A1759,Games!$A$2:$A$18,Games!$L$2:$L$18,"Missing game",0)</x:f>
        <x:v>29</x:v>
      </x:c>
      <x:c r="AR1759" t="n">
        <x:f>_xlfn.XLOOKUP($A1759,Games!$A$2:$A$18,Games!$M$2:$M$18,"Missing game",0)</x:f>
        <x:v>0</x:v>
      </x:c>
      <x:c r="AS1759" t="str">
        <x:f>_xlfn.XLOOKUP($A1759,Games!$A$2:$A$18,Games!$N$2:$N$18,"Missing game",0)</x:f>
        <x:v>outdoors</x:v>
      </x:c>
      <x:c r="AT1759" t="str">
        <x:f>_xlfn.XLOOKUP($A1759,Games!$A$2:$A$18,Games!$O$2:$O$18,"Missing game",0)</x:f>
        <x:v>grass</x:v>
      </x:c>
      <x:c r="AU1759" t="n">
        <x:f>_xlfn.XLOOKUP($A1759,Games!$A$2:$A$18,Games!$P$2:$P$18,"Missing game",0)</x:f>
        <x:v>43</x:v>
      </x:c>
      <x:c r="AV1759" t="n">
        <x:f>_xlfn.XLOOKUP($A1759,Games!$A$2:$A$18,Games!$Q$2:$Q$18,"Missing game",0)</x:f>
        <x:v>10</x:v>
      </x:c>
      <x:c r="AW1759" t="str">
        <x:f>_xlfn.XLOOKUP($A1759,Games!$A$2:$A$18,Games!$R$2:$R$18,"Missing game",0)</x:f>
        <x:v>Lambeau Field</x:v>
      </x:c>
    </x:row>
    <x:row r="1760">
      <x:c r="A1760" t="str">
        <x:v>2025_12_MIN_GB</x:v>
      </x:c>
      <x:c r="B1760" t="n">
        <x:v>1226</x:v>
      </x:c>
      <x:c r="C1760" t="n">
        <x:v>2</x:v>
      </x:c>
      <x:c r="D1760" t="str">
        <x:v>09:40</x:v>
      </x:c>
      <x:c r="E1760" t="n">
        <x:v>1</x:v>
      </x:c>
      <x:c r="F1760" t="n">
        <x:v>10</x:v>
      </x:c>
      <x:c r="G1760" t="str">
        <x:v>GB</x:v>
      </x:c>
      <x:c r="H1760" t="str">
        <x:v>MIN</x:v>
      </x:c>
      <x:c r="I1760" t="str">
        <x:v>GB</x:v>
      </x:c>
      <x:c r="J1760" t="n">
        <x:v>71</x:v>
      </x:c>
      <x:c r="K1760" t="str">
        <x:v>(9:40) (Shotgun) 23-E.Wilson up the middle to GB 36 for 7 yards (44-J.Metellus; 97-J.Hargrave).</x:v>
      </x:c>
      <x:c r="L1760" t="str">
        <x:v>run</x:v>
      </x:c>
      <x:c r="M1760" t="n">
        <x:v>7</x:v>
      </x:c>
      <x:c r="N1760" t="n">
        <x:v>1</x:v>
      </x:c>
      <x:c r="O1760" t="n">
        <x:v>0</x:v>
      </x:c>
      <x:c r="P1760"/>
      <x:c r="Q1760"/>
      <x:c r="R1760"/>
      <x:c r="S1760"/>
      <x:c r="T1760" t="str">
        <x:v>middle</x:v>
      </x:c>
      <x:c r="U1760"/>
      <x:c r="V1760" t="n">
        <x:v>0</x:v>
      </x:c>
      <x:c r="W1760" t="n">
        <x:v>0</x:v>
      </x:c>
      <x:c r="X1760" t="n">
        <x:v>0</x:v>
      </x:c>
      <x:c r="Y1760" t="n">
        <x:v>0</x:v>
      </x:c>
      <x:c r="Z1760" t="n">
        <x:v>0</x:v>
      </x:c>
      <x:c r="AA1760" t="n">
        <x:v>0</x:v>
      </x:c>
      <x:c r="AB1760"/>
      <x:c r="AC1760" t="n">
        <x:v>0</x:v>
      </x:c>
      <x:c r="AD1760" t="n">
        <x:v>0.3275849404744804</x:v>
      </x:c>
      <x:c r="AE1760" t="n">
        <x:v>1</x:v>
      </x:c>
      <x:c r="AF1760" t="n">
        <x:v>0.01911306381225586</x:v>
      </x:c>
      <x:c r="AG1760" t="n">
        <x:f>_xlfn.XLOOKUP($A1760,Games!$A$2:$A$18,Games!$B$2:$B$18,"Missing game",0)</x:f>
        <x:v>2025</x:v>
      </x:c>
      <x:c r="AH1760" t="str">
        <x:f>_xlfn.XLOOKUP($A1760,Games!$A$2:$A$18,Games!$C$2:$C$18,"Missing game",0)</x:f>
        <x:v>REG</x:v>
      </x:c>
      <x:c r="AI1760" t="n">
        <x:f>_xlfn.XLOOKUP($A1760,Games!$A$2:$A$18,Games!$D$2:$D$18,"Missing game",0)</x:f>
        <x:v>12</x:v>
      </x:c>
      <x:c r="AJ1760" s="1" t="n">
        <x:f>_xlfn.XLOOKUP($A1760,Games!$A$2:$A$18,Games!$E$2:$E$18,"Missing game",0)</x:f>
        <x:v>45984</x:v>
      </x:c>
      <x:c r="AK1760" t="str">
        <x:f>_xlfn.XLOOKUP($A1760,Games!$A$2:$A$18,Games!$F$2:$F$18,"Missing game",0)</x:f>
        <x:v>Sunday</x:v>
      </x:c>
      <x:c r="AL1760" t="str">
        <x:f>_xlfn.XLOOKUP($A1760,Games!$A$2:$A$18,Games!$G$2:$G$18,"Missing game",0)</x:f>
        <x:v>MIN</x:v>
      </x:c>
      <x:c r="AM1760" t="n">
        <x:f>_xlfn.XLOOKUP($A1760,Games!$A$2:$A$18,Games!$H$2:$H$18,"Missing game",0)</x:f>
        <x:v>6</x:v>
      </x:c>
      <x:c r="AN1760" t="str">
        <x:f>_xlfn.XLOOKUP($A1760,Games!$A$2:$A$18,Games!$I$2:$I$18,"Missing game",0)</x:f>
        <x:v>GB</x:v>
      </x:c>
      <x:c r="AO1760" t="n">
        <x:f>_xlfn.XLOOKUP($A1760,Games!$A$2:$A$18,Games!$J$2:$J$18,"Missing game",0)</x:f>
        <x:v>23</x:v>
      </x:c>
      <x:c r="AP1760" t="n">
        <x:f>_xlfn.XLOOKUP($A1760,Games!$A$2:$A$18,Games!$K$2:$K$18,"Missing game",0)</x:f>
        <x:v>17</x:v>
      </x:c>
      <x:c r="AQ1760" t="n">
        <x:f>_xlfn.XLOOKUP($A1760,Games!$A$2:$A$18,Games!$L$2:$L$18,"Missing game",0)</x:f>
        <x:v>29</x:v>
      </x:c>
      <x:c r="AR1760" t="n">
        <x:f>_xlfn.XLOOKUP($A1760,Games!$A$2:$A$18,Games!$M$2:$M$18,"Missing game",0)</x:f>
        <x:v>0</x:v>
      </x:c>
      <x:c r="AS1760" t="str">
        <x:f>_xlfn.XLOOKUP($A1760,Games!$A$2:$A$18,Games!$N$2:$N$18,"Missing game",0)</x:f>
        <x:v>outdoors</x:v>
      </x:c>
      <x:c r="AT1760" t="str">
        <x:f>_xlfn.XLOOKUP($A1760,Games!$A$2:$A$18,Games!$O$2:$O$18,"Missing game",0)</x:f>
        <x:v>grass</x:v>
      </x:c>
      <x:c r="AU1760" t="n">
        <x:f>_xlfn.XLOOKUP($A1760,Games!$A$2:$A$18,Games!$P$2:$P$18,"Missing game",0)</x:f>
        <x:v>43</x:v>
      </x:c>
      <x:c r="AV1760" t="n">
        <x:f>_xlfn.XLOOKUP($A1760,Games!$A$2:$A$18,Games!$Q$2:$Q$18,"Missing game",0)</x:f>
        <x:v>10</x:v>
      </x:c>
      <x:c r="AW1760" t="str">
        <x:f>_xlfn.XLOOKUP($A1760,Games!$A$2:$A$18,Games!$R$2:$R$18,"Missing game",0)</x:f>
        <x:v>Lambeau Field</x:v>
      </x:c>
    </x:row>
    <x:row r="1761">
      <x:c r="A1761" t="str">
        <x:v>2025_12_MIN_GB</x:v>
      </x:c>
      <x:c r="B1761" t="n">
        <x:v>1248</x:v>
      </x:c>
      <x:c r="C1761" t="n">
        <x:v>2</x:v>
      </x:c>
      <x:c r="D1761" t="str">
        <x:v>08:55</x:v>
      </x:c>
      <x:c r="E1761" t="n">
        <x:v>2</x:v>
      </x:c>
      <x:c r="F1761" t="n">
        <x:v>3</x:v>
      </x:c>
      <x:c r="G1761" t="str">
        <x:v>GB</x:v>
      </x:c>
      <x:c r="H1761" t="str">
        <x:v>MIN</x:v>
      </x:c>
      <x:c r="I1761" t="str">
        <x:v>GB</x:v>
      </x:c>
      <x:c r="J1761" t="n">
        <x:v>64</x:v>
      </x:c>
      <x:c r="K1761" t="str">
        <x:v>(8:55) 23-E.Wilson right guard to GB 38 for 2 yards (51-B.Cashman; 44-J.Metellus). MIN-44-J.Metellus was injured during the play.</x:v>
      </x:c>
      <x:c r="L1761" t="str">
        <x:v>run</x:v>
      </x:c>
      <x:c r="M1761" t="n">
        <x:v>2</x:v>
      </x:c>
      <x:c r="N1761" t="n">
        <x:v>0</x:v>
      </x:c>
      <x:c r="O1761" t="n">
        <x:v>0</x:v>
      </x:c>
      <x:c r="P1761"/>
      <x:c r="Q1761"/>
      <x:c r="R1761"/>
      <x:c r="S1761"/>
      <x:c r="T1761" t="str">
        <x:v>right</x:v>
      </x:c>
      <x:c r="U1761" t="str">
        <x:v>guard</x:v>
      </x:c>
      <x:c r="V1761" t="n">
        <x:v>0</x:v>
      </x:c>
      <x:c r="W1761" t="n">
        <x:v>0</x:v>
      </x:c>
      <x:c r="X1761" t="n">
        <x:v>0</x:v>
      </x:c>
      <x:c r="Y1761" t="n">
        <x:v>0</x:v>
      </x:c>
      <x:c r="Z1761" t="n">
        <x:v>0</x:v>
      </x:c>
      <x:c r="AA1761" t="n">
        <x:v>0</x:v>
      </x:c>
      <x:c r="AB1761"/>
      <x:c r="AC1761" t="n">
        <x:v>0</x:v>
      </x:c>
      <x:c r="AD1761" t="n">
        <x:v>-0.12945956736803055</x:v>
      </x:c>
      <x:c r="AE1761" t="n">
        <x:v>0</x:v>
      </x:c>
      <x:c r="AF1761" t="n">
        <x:v>-0.020260334014892578</x:v>
      </x:c>
      <x:c r="AG1761" t="n">
        <x:f>_xlfn.XLOOKUP($A1761,Games!$A$2:$A$18,Games!$B$2:$B$18,"Missing game",0)</x:f>
        <x:v>2025</x:v>
      </x:c>
      <x:c r="AH1761" t="str">
        <x:f>_xlfn.XLOOKUP($A1761,Games!$A$2:$A$18,Games!$C$2:$C$18,"Missing game",0)</x:f>
        <x:v>REG</x:v>
      </x:c>
      <x:c r="AI1761" t="n">
        <x:f>_xlfn.XLOOKUP($A1761,Games!$A$2:$A$18,Games!$D$2:$D$18,"Missing game",0)</x:f>
        <x:v>12</x:v>
      </x:c>
      <x:c r="AJ1761" s="1" t="n">
        <x:f>_xlfn.XLOOKUP($A1761,Games!$A$2:$A$18,Games!$E$2:$E$18,"Missing game",0)</x:f>
        <x:v>45984</x:v>
      </x:c>
      <x:c r="AK1761" t="str">
        <x:f>_xlfn.XLOOKUP($A1761,Games!$A$2:$A$18,Games!$F$2:$F$18,"Missing game",0)</x:f>
        <x:v>Sunday</x:v>
      </x:c>
      <x:c r="AL1761" t="str">
        <x:f>_xlfn.XLOOKUP($A1761,Games!$A$2:$A$18,Games!$G$2:$G$18,"Missing game",0)</x:f>
        <x:v>MIN</x:v>
      </x:c>
      <x:c r="AM1761" t="n">
        <x:f>_xlfn.XLOOKUP($A1761,Games!$A$2:$A$18,Games!$H$2:$H$18,"Missing game",0)</x:f>
        <x:v>6</x:v>
      </x:c>
      <x:c r="AN1761" t="str">
        <x:f>_xlfn.XLOOKUP($A1761,Games!$A$2:$A$18,Games!$I$2:$I$18,"Missing game",0)</x:f>
        <x:v>GB</x:v>
      </x:c>
      <x:c r="AO1761" t="n">
        <x:f>_xlfn.XLOOKUP($A1761,Games!$A$2:$A$18,Games!$J$2:$J$18,"Missing game",0)</x:f>
        <x:v>23</x:v>
      </x:c>
      <x:c r="AP1761" t="n">
        <x:f>_xlfn.XLOOKUP($A1761,Games!$A$2:$A$18,Games!$K$2:$K$18,"Missing game",0)</x:f>
        <x:v>17</x:v>
      </x:c>
      <x:c r="AQ1761" t="n">
        <x:f>_xlfn.XLOOKUP($A1761,Games!$A$2:$A$18,Games!$L$2:$L$18,"Missing game",0)</x:f>
        <x:v>29</x:v>
      </x:c>
      <x:c r="AR1761" t="n">
        <x:f>_xlfn.XLOOKUP($A1761,Games!$A$2:$A$18,Games!$M$2:$M$18,"Missing game",0)</x:f>
        <x:v>0</x:v>
      </x:c>
      <x:c r="AS1761" t="str">
        <x:f>_xlfn.XLOOKUP($A1761,Games!$A$2:$A$18,Games!$N$2:$N$18,"Missing game",0)</x:f>
        <x:v>outdoors</x:v>
      </x:c>
      <x:c r="AT1761" t="str">
        <x:f>_xlfn.XLOOKUP($A1761,Games!$A$2:$A$18,Games!$O$2:$O$18,"Missing game",0)</x:f>
        <x:v>grass</x:v>
      </x:c>
      <x:c r="AU1761" t="n">
        <x:f>_xlfn.XLOOKUP($A1761,Games!$A$2:$A$18,Games!$P$2:$P$18,"Missing game",0)</x:f>
        <x:v>43</x:v>
      </x:c>
      <x:c r="AV1761" t="n">
        <x:f>_xlfn.XLOOKUP($A1761,Games!$A$2:$A$18,Games!$Q$2:$Q$18,"Missing game",0)</x:f>
        <x:v>10</x:v>
      </x:c>
      <x:c r="AW1761" t="str">
        <x:f>_xlfn.XLOOKUP($A1761,Games!$A$2:$A$18,Games!$R$2:$R$18,"Missing game",0)</x:f>
        <x:v>Lambeau Field</x:v>
      </x:c>
    </x:row>
    <x:row r="1762">
      <x:c r="A1762" t="str">
        <x:v>2025_12_MIN_GB</x:v>
      </x:c>
      <x:c r="B1762" t="n">
        <x:v>1273</x:v>
      </x:c>
      <x:c r="C1762" t="n">
        <x:v>2</x:v>
      </x:c>
      <x:c r="D1762" t="str">
        <x:v>08:38</x:v>
      </x:c>
      <x:c r="E1762" t="n">
        <x:v>3</x:v>
      </x:c>
      <x:c r="F1762" t="n">
        <x:v>1</x:v>
      </x:c>
      <x:c r="G1762" t="str">
        <x:v>GB</x:v>
      </x:c>
      <x:c r="H1762" t="str">
        <x:v>MIN</x:v>
      </x:c>
      <x:c r="I1762" t="str">
        <x:v>GB</x:v>
      </x:c>
      <x:c r="J1762" t="n">
        <x:v>62</x:v>
      </x:c>
      <x:c r="K1762" t="str">
        <x:v>(8:38) 23-E.Wilson left guard to GB 42 for 4 yards (43-A.Van Ginkel; 26-T.Jackson).</x:v>
      </x:c>
      <x:c r="L1762" t="str">
        <x:v>run</x:v>
      </x:c>
      <x:c r="M1762" t="n">
        <x:v>4</x:v>
      </x:c>
      <x:c r="N1762" t="n">
        <x:v>0</x:v>
      </x:c>
      <x:c r="O1762" t="n">
        <x:v>0</x:v>
      </x:c>
      <x:c r="P1762"/>
      <x:c r="Q1762"/>
      <x:c r="R1762"/>
      <x:c r="S1762"/>
      <x:c r="T1762" t="str">
        <x:v>left</x:v>
      </x:c>
      <x:c r="U1762" t="str">
        <x:v>guard</x:v>
      </x:c>
      <x:c r="V1762" t="n">
        <x:v>0</x:v>
      </x:c>
      <x:c r="W1762" t="n">
        <x:v>1</x:v>
      </x:c>
      <x:c r="X1762" t="n">
        <x:v>0</x:v>
      </x:c>
      <x:c r="Y1762" t="n">
        <x:v>0</x:v>
      </x:c>
      <x:c r="Z1762" t="n">
        <x:v>0</x:v>
      </x:c>
      <x:c r="AA1762" t="n">
        <x:v>0</x:v>
      </x:c>
      <x:c r="AB1762"/>
      <x:c r="AC1762" t="n">
        <x:v>0</x:v>
      </x:c>
      <x:c r="AD1762" t="n">
        <x:v>0.5330650610849261</x:v>
      </x:c>
      <x:c r="AE1762" t="n">
        <x:v>1</x:v>
      </x:c>
      <x:c r="AF1762" t="n">
        <x:v>0.018067538738250732</x:v>
      </x:c>
      <x:c r="AG1762" t="n">
        <x:f>_xlfn.XLOOKUP($A1762,Games!$A$2:$A$18,Games!$B$2:$B$18,"Missing game",0)</x:f>
        <x:v>2025</x:v>
      </x:c>
      <x:c r="AH1762" t="str">
        <x:f>_xlfn.XLOOKUP($A1762,Games!$A$2:$A$18,Games!$C$2:$C$18,"Missing game",0)</x:f>
        <x:v>REG</x:v>
      </x:c>
      <x:c r="AI1762" t="n">
        <x:f>_xlfn.XLOOKUP($A1762,Games!$A$2:$A$18,Games!$D$2:$D$18,"Missing game",0)</x:f>
        <x:v>12</x:v>
      </x:c>
      <x:c r="AJ1762" s="1" t="n">
        <x:f>_xlfn.XLOOKUP($A1762,Games!$A$2:$A$18,Games!$E$2:$E$18,"Missing game",0)</x:f>
        <x:v>45984</x:v>
      </x:c>
      <x:c r="AK1762" t="str">
        <x:f>_xlfn.XLOOKUP($A1762,Games!$A$2:$A$18,Games!$F$2:$F$18,"Missing game",0)</x:f>
        <x:v>Sunday</x:v>
      </x:c>
      <x:c r="AL1762" t="str">
        <x:f>_xlfn.XLOOKUP($A1762,Games!$A$2:$A$18,Games!$G$2:$G$18,"Missing game",0)</x:f>
        <x:v>MIN</x:v>
      </x:c>
      <x:c r="AM1762" t="n">
        <x:f>_xlfn.XLOOKUP($A1762,Games!$A$2:$A$18,Games!$H$2:$H$18,"Missing game",0)</x:f>
        <x:v>6</x:v>
      </x:c>
      <x:c r="AN1762" t="str">
        <x:f>_xlfn.XLOOKUP($A1762,Games!$A$2:$A$18,Games!$I$2:$I$18,"Missing game",0)</x:f>
        <x:v>GB</x:v>
      </x:c>
      <x:c r="AO1762" t="n">
        <x:f>_xlfn.XLOOKUP($A1762,Games!$A$2:$A$18,Games!$J$2:$J$18,"Missing game",0)</x:f>
        <x:v>23</x:v>
      </x:c>
      <x:c r="AP1762" t="n">
        <x:f>_xlfn.XLOOKUP($A1762,Games!$A$2:$A$18,Games!$K$2:$K$18,"Missing game",0)</x:f>
        <x:v>17</x:v>
      </x:c>
      <x:c r="AQ1762" t="n">
        <x:f>_xlfn.XLOOKUP($A1762,Games!$A$2:$A$18,Games!$L$2:$L$18,"Missing game",0)</x:f>
        <x:v>29</x:v>
      </x:c>
      <x:c r="AR1762" t="n">
        <x:f>_xlfn.XLOOKUP($A1762,Games!$A$2:$A$18,Games!$M$2:$M$18,"Missing game",0)</x:f>
        <x:v>0</x:v>
      </x:c>
      <x:c r="AS1762" t="str">
        <x:f>_xlfn.XLOOKUP($A1762,Games!$A$2:$A$18,Games!$N$2:$N$18,"Missing game",0)</x:f>
        <x:v>outdoors</x:v>
      </x:c>
      <x:c r="AT1762" t="str">
        <x:f>_xlfn.XLOOKUP($A1762,Games!$A$2:$A$18,Games!$O$2:$O$18,"Missing game",0)</x:f>
        <x:v>grass</x:v>
      </x:c>
      <x:c r="AU1762" t="n">
        <x:f>_xlfn.XLOOKUP($A1762,Games!$A$2:$A$18,Games!$P$2:$P$18,"Missing game",0)</x:f>
        <x:v>43</x:v>
      </x:c>
      <x:c r="AV1762" t="n">
        <x:f>_xlfn.XLOOKUP($A1762,Games!$A$2:$A$18,Games!$Q$2:$Q$18,"Missing game",0)</x:f>
        <x:v>10</x:v>
      </x:c>
      <x:c r="AW1762" t="str">
        <x:f>_xlfn.XLOOKUP($A1762,Games!$A$2:$A$18,Games!$R$2:$R$18,"Missing game",0)</x:f>
        <x:v>Lambeau Field</x:v>
      </x:c>
    </x:row>
    <x:row r="1763">
      <x:c r="A1763" t="str">
        <x:v>2025_12_MIN_GB</x:v>
      </x:c>
      <x:c r="B1763" t="n">
        <x:v>1302</x:v>
      </x:c>
      <x:c r="C1763" t="n">
        <x:v>2</x:v>
      </x:c>
      <x:c r="D1763" t="str">
        <x:v>08:02</x:v>
      </x:c>
      <x:c r="E1763" t="n">
        <x:v>1</x:v>
      </x:c>
      <x:c r="F1763" t="n">
        <x:v>10</x:v>
      </x:c>
      <x:c r="G1763" t="str">
        <x:v>GB</x:v>
      </x:c>
      <x:c r="H1763" t="str">
        <x:v>MIN</x:v>
      </x:c>
      <x:c r="I1763" t="str">
        <x:v>GB</x:v>
      </x:c>
      <x:c r="J1763" t="n">
        <x:v>58</x:v>
      </x:c>
      <x:c r="K1763" t="str">
        <x:v>(8:02) (Shotgun) 23-E.Wilson left end to GB 46 for 4 yards (51-B.Cashman).</x:v>
      </x:c>
      <x:c r="L1763" t="str">
        <x:v>run</x:v>
      </x:c>
      <x:c r="M1763" t="n">
        <x:v>4</x:v>
      </x:c>
      <x:c r="N1763" t="n">
        <x:v>1</x:v>
      </x:c>
      <x:c r="O1763" t="n">
        <x:v>0</x:v>
      </x:c>
      <x:c r="P1763"/>
      <x:c r="Q1763"/>
      <x:c r="R1763"/>
      <x:c r="S1763"/>
      <x:c r="T1763" t="str">
        <x:v>left</x:v>
      </x:c>
      <x:c r="U1763" t="str">
        <x:v>end</x:v>
      </x:c>
      <x:c r="V1763" t="n">
        <x:v>0</x:v>
      </x:c>
      <x:c r="W1763" t="n">
        <x:v>0</x:v>
      </x:c>
      <x:c r="X1763" t="n">
        <x:v>0</x:v>
      </x:c>
      <x:c r="Y1763" t="n">
        <x:v>0</x:v>
      </x:c>
      <x:c r="Z1763" t="n">
        <x:v>0</x:v>
      </x:c>
      <x:c r="AA1763" t="n">
        <x:v>0</x:v>
      </x:c>
      <x:c r="AB1763"/>
      <x:c r="AC1763" t="n">
        <x:v>0</x:v>
      </x:c>
      <x:c r="AD1763" t="n">
        <x:v>-0.06253176112659276</x:v>
      </x:c>
      <x:c r="AE1763" t="n">
        <x:v>0</x:v>
      </x:c>
      <x:c r="AF1763" t="n">
        <x:v>-0.002063572406768799</x:v>
      </x:c>
      <x:c r="AG1763" t="n">
        <x:f>_xlfn.XLOOKUP($A1763,Games!$A$2:$A$18,Games!$B$2:$B$18,"Missing game",0)</x:f>
        <x:v>2025</x:v>
      </x:c>
      <x:c r="AH1763" t="str">
        <x:f>_xlfn.XLOOKUP($A1763,Games!$A$2:$A$18,Games!$C$2:$C$18,"Missing game",0)</x:f>
        <x:v>REG</x:v>
      </x:c>
      <x:c r="AI1763" t="n">
        <x:f>_xlfn.XLOOKUP($A1763,Games!$A$2:$A$18,Games!$D$2:$D$18,"Missing game",0)</x:f>
        <x:v>12</x:v>
      </x:c>
      <x:c r="AJ1763" s="1" t="n">
        <x:f>_xlfn.XLOOKUP($A1763,Games!$A$2:$A$18,Games!$E$2:$E$18,"Missing game",0)</x:f>
        <x:v>45984</x:v>
      </x:c>
      <x:c r="AK1763" t="str">
        <x:f>_xlfn.XLOOKUP($A1763,Games!$A$2:$A$18,Games!$F$2:$F$18,"Missing game",0)</x:f>
        <x:v>Sunday</x:v>
      </x:c>
      <x:c r="AL1763" t="str">
        <x:f>_xlfn.XLOOKUP($A1763,Games!$A$2:$A$18,Games!$G$2:$G$18,"Missing game",0)</x:f>
        <x:v>MIN</x:v>
      </x:c>
      <x:c r="AM1763" t="n">
        <x:f>_xlfn.XLOOKUP($A1763,Games!$A$2:$A$18,Games!$H$2:$H$18,"Missing game",0)</x:f>
        <x:v>6</x:v>
      </x:c>
      <x:c r="AN1763" t="str">
        <x:f>_xlfn.XLOOKUP($A1763,Games!$A$2:$A$18,Games!$I$2:$I$18,"Missing game",0)</x:f>
        <x:v>GB</x:v>
      </x:c>
      <x:c r="AO1763" t="n">
        <x:f>_xlfn.XLOOKUP($A1763,Games!$A$2:$A$18,Games!$J$2:$J$18,"Missing game",0)</x:f>
        <x:v>23</x:v>
      </x:c>
      <x:c r="AP1763" t="n">
        <x:f>_xlfn.XLOOKUP($A1763,Games!$A$2:$A$18,Games!$K$2:$K$18,"Missing game",0)</x:f>
        <x:v>17</x:v>
      </x:c>
      <x:c r="AQ1763" t="n">
        <x:f>_xlfn.XLOOKUP($A1763,Games!$A$2:$A$18,Games!$L$2:$L$18,"Missing game",0)</x:f>
        <x:v>29</x:v>
      </x:c>
      <x:c r="AR1763" t="n">
        <x:f>_xlfn.XLOOKUP($A1763,Games!$A$2:$A$18,Games!$M$2:$M$18,"Missing game",0)</x:f>
        <x:v>0</x:v>
      </x:c>
      <x:c r="AS1763" t="str">
        <x:f>_xlfn.XLOOKUP($A1763,Games!$A$2:$A$18,Games!$N$2:$N$18,"Missing game",0)</x:f>
        <x:v>outdoors</x:v>
      </x:c>
      <x:c r="AT1763" t="str">
        <x:f>_xlfn.XLOOKUP($A1763,Games!$A$2:$A$18,Games!$O$2:$O$18,"Missing game",0)</x:f>
        <x:v>grass</x:v>
      </x:c>
      <x:c r="AU1763" t="n">
        <x:f>_xlfn.XLOOKUP($A1763,Games!$A$2:$A$18,Games!$P$2:$P$18,"Missing game",0)</x:f>
        <x:v>43</x:v>
      </x:c>
      <x:c r="AV1763" t="n">
        <x:f>_xlfn.XLOOKUP($A1763,Games!$A$2:$A$18,Games!$Q$2:$Q$18,"Missing game",0)</x:f>
        <x:v>10</x:v>
      </x:c>
      <x:c r="AW1763" t="str">
        <x:f>_xlfn.XLOOKUP($A1763,Games!$A$2:$A$18,Games!$R$2:$R$18,"Missing game",0)</x:f>
        <x:v>Lambeau Field</x:v>
      </x:c>
    </x:row>
    <x:row r="1764">
      <x:c r="A1764" t="str">
        <x:v>2025_12_MIN_GB</x:v>
      </x:c>
      <x:c r="B1764" t="n">
        <x:v>1324</x:v>
      </x:c>
      <x:c r="C1764" t="n">
        <x:v>2</x:v>
      </x:c>
      <x:c r="D1764" t="str">
        <x:v>07:24</x:v>
      </x:c>
      <x:c r="E1764" t="n">
        <x:v>2</x:v>
      </x:c>
      <x:c r="F1764" t="n">
        <x:v>6</x:v>
      </x:c>
      <x:c r="G1764" t="str">
        <x:v>GB</x:v>
      </x:c>
      <x:c r="H1764" t="str">
        <x:v>MIN</x:v>
      </x:c>
      <x:c r="I1764" t="str">
        <x:v>GB</x:v>
      </x:c>
      <x:c r="J1764" t="n">
        <x:v>54</x:v>
      </x:c>
      <x:c r="K1764" t="str">
        <x:v>(7:24) 10-J.Love pass short right to 30-C.Brooks pushed ob at MIN 49 for 5 yards (43-A.Van Ginkel).</x:v>
      </x:c>
      <x:c r="L1764" t="str">
        <x:v>pass</x:v>
      </x:c>
      <x:c r="M1764" t="n">
        <x:v>5</x:v>
      </x:c>
      <x:c r="N1764" t="n">
        <x:v>0</x:v>
      </x:c>
      <x:c r="O1764" t="n">
        <x:v>0</x:v>
      </x:c>
      <x:c r="P1764" t="str">
        <x:v>short</x:v>
      </x:c>
      <x:c r="Q1764" t="str">
        <x:v>right</x:v>
      </x:c>
      <x:c r="R1764" t="n">
        <x:v>2</x:v>
      </x:c>
      <x:c r="S1764" t="n">
        <x:v>3</x:v>
      </x:c>
      <x:c r="T1764"/>
      <x:c r="U1764"/>
      <x:c r="V1764" t="n">
        <x:v>1</x:v>
      </x:c>
      <x:c r="W1764" t="n">
        <x:v>0</x:v>
      </x:c>
      <x:c r="X1764" t="n">
        <x:v>0</x:v>
      </x:c>
      <x:c r="Y1764" t="n">
        <x:v>0</x:v>
      </x:c>
      <x:c r="Z1764" t="n">
        <x:v>0</x:v>
      </x:c>
      <x:c r="AA1764" t="n">
        <x:v>0</x:v>
      </x:c>
      <x:c r="AB1764"/>
      <x:c r="AC1764" t="n">
        <x:v>0</x:v>
      </x:c>
      <x:c r="AD1764" t="n">
        <x:v>0.2738671684637666</x:v>
      </x:c>
      <x:c r="AE1764" t="n">
        <x:v>1</x:v>
      </x:c>
      <x:c r="AF1764" t="n">
        <x:v>0.005450785160064697</x:v>
      </x:c>
      <x:c r="AG1764" t="n">
        <x:f>_xlfn.XLOOKUP($A1764,Games!$A$2:$A$18,Games!$B$2:$B$18,"Missing game",0)</x:f>
        <x:v>2025</x:v>
      </x:c>
      <x:c r="AH1764" t="str">
        <x:f>_xlfn.XLOOKUP($A1764,Games!$A$2:$A$18,Games!$C$2:$C$18,"Missing game",0)</x:f>
        <x:v>REG</x:v>
      </x:c>
      <x:c r="AI1764" t="n">
        <x:f>_xlfn.XLOOKUP($A1764,Games!$A$2:$A$18,Games!$D$2:$D$18,"Missing game",0)</x:f>
        <x:v>12</x:v>
      </x:c>
      <x:c r="AJ1764" s="1" t="n">
        <x:f>_xlfn.XLOOKUP($A1764,Games!$A$2:$A$18,Games!$E$2:$E$18,"Missing game",0)</x:f>
        <x:v>45984</x:v>
      </x:c>
      <x:c r="AK1764" t="str">
        <x:f>_xlfn.XLOOKUP($A1764,Games!$A$2:$A$18,Games!$F$2:$F$18,"Missing game",0)</x:f>
        <x:v>Sunday</x:v>
      </x:c>
      <x:c r="AL1764" t="str">
        <x:f>_xlfn.XLOOKUP($A1764,Games!$A$2:$A$18,Games!$G$2:$G$18,"Missing game",0)</x:f>
        <x:v>MIN</x:v>
      </x:c>
      <x:c r="AM1764" t="n">
        <x:f>_xlfn.XLOOKUP($A1764,Games!$A$2:$A$18,Games!$H$2:$H$18,"Missing game",0)</x:f>
        <x:v>6</x:v>
      </x:c>
      <x:c r="AN1764" t="str">
        <x:f>_xlfn.XLOOKUP($A1764,Games!$A$2:$A$18,Games!$I$2:$I$18,"Missing game",0)</x:f>
        <x:v>GB</x:v>
      </x:c>
      <x:c r="AO1764" t="n">
        <x:f>_xlfn.XLOOKUP($A1764,Games!$A$2:$A$18,Games!$J$2:$J$18,"Missing game",0)</x:f>
        <x:v>23</x:v>
      </x:c>
      <x:c r="AP1764" t="n">
        <x:f>_xlfn.XLOOKUP($A1764,Games!$A$2:$A$18,Games!$K$2:$K$18,"Missing game",0)</x:f>
        <x:v>17</x:v>
      </x:c>
      <x:c r="AQ1764" t="n">
        <x:f>_xlfn.XLOOKUP($A1764,Games!$A$2:$A$18,Games!$L$2:$L$18,"Missing game",0)</x:f>
        <x:v>29</x:v>
      </x:c>
      <x:c r="AR1764" t="n">
        <x:f>_xlfn.XLOOKUP($A1764,Games!$A$2:$A$18,Games!$M$2:$M$18,"Missing game",0)</x:f>
        <x:v>0</x:v>
      </x:c>
      <x:c r="AS1764" t="str">
        <x:f>_xlfn.XLOOKUP($A1764,Games!$A$2:$A$18,Games!$N$2:$N$18,"Missing game",0)</x:f>
        <x:v>outdoors</x:v>
      </x:c>
      <x:c r="AT1764" t="str">
        <x:f>_xlfn.XLOOKUP($A1764,Games!$A$2:$A$18,Games!$O$2:$O$18,"Missing game",0)</x:f>
        <x:v>grass</x:v>
      </x:c>
      <x:c r="AU1764" t="n">
        <x:f>_xlfn.XLOOKUP($A1764,Games!$A$2:$A$18,Games!$P$2:$P$18,"Missing game",0)</x:f>
        <x:v>43</x:v>
      </x:c>
      <x:c r="AV1764" t="n">
        <x:f>_xlfn.XLOOKUP($A1764,Games!$A$2:$A$18,Games!$Q$2:$Q$18,"Missing game",0)</x:f>
        <x:v>10</x:v>
      </x:c>
      <x:c r="AW1764" t="str">
        <x:f>_xlfn.XLOOKUP($A1764,Games!$A$2:$A$18,Games!$R$2:$R$18,"Missing game",0)</x:f>
        <x:v>Lambeau Field</x:v>
      </x:c>
    </x:row>
    <x:row r="1765">
      <x:c r="A1765" t="str">
        <x:v>2025_12_MIN_GB</x:v>
      </x:c>
      <x:c r="B1765" t="n">
        <x:v>1354</x:v>
      </x:c>
      <x:c r="C1765" t="n">
        <x:v>2</x:v>
      </x:c>
      <x:c r="D1765" t="str">
        <x:v>06:41</x:v>
      </x:c>
      <x:c r="E1765" t="n">
        <x:v>3</x:v>
      </x:c>
      <x:c r="F1765" t="n">
        <x:v>1</x:v>
      </x:c>
      <x:c r="G1765" t="str">
        <x:v>GB</x:v>
      </x:c>
      <x:c r="H1765" t="str">
        <x:v>MIN</x:v>
      </x:c>
      <x:c r="I1765" t="str">
        <x:v>MIN</x:v>
      </x:c>
      <x:c r="J1765" t="n">
        <x:v>49</x:v>
      </x:c>
      <x:c r="K1765" t="str">
        <x:v>(6:41) 70-D.Kinnard reported in as eligible. 30-C.Brooks up the middle to MIN 47 for 2 yards (51-B.Cashman).</x:v>
      </x:c>
      <x:c r="L1765" t="str">
        <x:v>run</x:v>
      </x:c>
      <x:c r="M1765" t="n">
        <x:v>2</x:v>
      </x:c>
      <x:c r="N1765" t="n">
        <x:v>0</x:v>
      </x:c>
      <x:c r="O1765" t="n">
        <x:v>0</x:v>
      </x:c>
      <x:c r="P1765"/>
      <x:c r="Q1765"/>
      <x:c r="R1765"/>
      <x:c r="S1765"/>
      <x:c r="T1765" t="str">
        <x:v>middle</x:v>
      </x:c>
      <x:c r="U1765"/>
      <x:c r="V1765" t="n">
        <x:v>0</x:v>
      </x:c>
      <x:c r="W1765" t="n">
        <x:v>1</x:v>
      </x:c>
      <x:c r="X1765" t="n">
        <x:v>0</x:v>
      </x:c>
      <x:c r="Y1765" t="n">
        <x:v>0</x:v>
      </x:c>
      <x:c r="Z1765" t="n">
        <x:v>0</x:v>
      </x:c>
      <x:c r="AA1765" t="n">
        <x:v>0</x:v>
      </x:c>
      <x:c r="AB1765"/>
      <x:c r="AC1765" t="n">
        <x:v>0</x:v>
      </x:c>
      <x:c r="AD1765" t="n">
        <x:v>0.22603097010869533</x:v>
      </x:c>
      <x:c r="AE1765" t="n">
        <x:v>1</x:v>
      </x:c>
      <x:c r="AF1765" t="n">
        <x:v>0.013201594352722168</x:v>
      </x:c>
      <x:c r="AG1765" t="n">
        <x:f>_xlfn.XLOOKUP($A1765,Games!$A$2:$A$18,Games!$B$2:$B$18,"Missing game",0)</x:f>
        <x:v>2025</x:v>
      </x:c>
      <x:c r="AH1765" t="str">
        <x:f>_xlfn.XLOOKUP($A1765,Games!$A$2:$A$18,Games!$C$2:$C$18,"Missing game",0)</x:f>
        <x:v>REG</x:v>
      </x:c>
      <x:c r="AI1765" t="n">
        <x:f>_xlfn.XLOOKUP($A1765,Games!$A$2:$A$18,Games!$D$2:$D$18,"Missing game",0)</x:f>
        <x:v>12</x:v>
      </x:c>
      <x:c r="AJ1765" s="1" t="n">
        <x:f>_xlfn.XLOOKUP($A1765,Games!$A$2:$A$18,Games!$E$2:$E$18,"Missing game",0)</x:f>
        <x:v>45984</x:v>
      </x:c>
      <x:c r="AK1765" t="str">
        <x:f>_xlfn.XLOOKUP($A1765,Games!$A$2:$A$18,Games!$F$2:$F$18,"Missing game",0)</x:f>
        <x:v>Sunday</x:v>
      </x:c>
      <x:c r="AL1765" t="str">
        <x:f>_xlfn.XLOOKUP($A1765,Games!$A$2:$A$18,Games!$G$2:$G$18,"Missing game",0)</x:f>
        <x:v>MIN</x:v>
      </x:c>
      <x:c r="AM1765" t="n">
        <x:f>_xlfn.XLOOKUP($A1765,Games!$A$2:$A$18,Games!$H$2:$H$18,"Missing game",0)</x:f>
        <x:v>6</x:v>
      </x:c>
      <x:c r="AN1765" t="str">
        <x:f>_xlfn.XLOOKUP($A1765,Games!$A$2:$A$18,Games!$I$2:$I$18,"Missing game",0)</x:f>
        <x:v>GB</x:v>
      </x:c>
      <x:c r="AO1765" t="n">
        <x:f>_xlfn.XLOOKUP($A1765,Games!$A$2:$A$18,Games!$J$2:$J$18,"Missing game",0)</x:f>
        <x:v>23</x:v>
      </x:c>
      <x:c r="AP1765" t="n">
        <x:f>_xlfn.XLOOKUP($A1765,Games!$A$2:$A$18,Games!$K$2:$K$18,"Missing game",0)</x:f>
        <x:v>17</x:v>
      </x:c>
      <x:c r="AQ1765" t="n">
        <x:f>_xlfn.XLOOKUP($A1765,Games!$A$2:$A$18,Games!$L$2:$L$18,"Missing game",0)</x:f>
        <x:v>29</x:v>
      </x:c>
      <x:c r="AR1765" t="n">
        <x:f>_xlfn.XLOOKUP($A1765,Games!$A$2:$A$18,Games!$M$2:$M$18,"Missing game",0)</x:f>
        <x:v>0</x:v>
      </x:c>
      <x:c r="AS1765" t="str">
        <x:f>_xlfn.XLOOKUP($A1765,Games!$A$2:$A$18,Games!$N$2:$N$18,"Missing game",0)</x:f>
        <x:v>outdoors</x:v>
      </x:c>
      <x:c r="AT1765" t="str">
        <x:f>_xlfn.XLOOKUP($A1765,Games!$A$2:$A$18,Games!$O$2:$O$18,"Missing game",0)</x:f>
        <x:v>grass</x:v>
      </x:c>
      <x:c r="AU1765" t="n">
        <x:f>_xlfn.XLOOKUP($A1765,Games!$A$2:$A$18,Games!$P$2:$P$18,"Missing game",0)</x:f>
        <x:v>43</x:v>
      </x:c>
      <x:c r="AV1765" t="n">
        <x:f>_xlfn.XLOOKUP($A1765,Games!$A$2:$A$18,Games!$Q$2:$Q$18,"Missing game",0)</x:f>
        <x:v>10</x:v>
      </x:c>
      <x:c r="AW1765" t="str">
        <x:f>_xlfn.XLOOKUP($A1765,Games!$A$2:$A$18,Games!$R$2:$R$18,"Missing game",0)</x:f>
        <x:v>Lambeau Field</x:v>
      </x:c>
    </x:row>
    <x:row r="1766">
      <x:c r="A1766" t="str">
        <x:v>2025_12_MIN_GB</x:v>
      </x:c>
      <x:c r="B1766" t="n">
        <x:v>1378</x:v>
      </x:c>
      <x:c r="C1766" t="n">
        <x:v>2</x:v>
      </x:c>
      <x:c r="D1766" t="str">
        <x:v>05:54</x:v>
      </x:c>
      <x:c r="E1766" t="n">
        <x:v>1</x:v>
      </x:c>
      <x:c r="F1766" t="n">
        <x:v>10</x:v>
      </x:c>
      <x:c r="G1766" t="str">
        <x:v>GB</x:v>
      </x:c>
      <x:c r="H1766" t="str">
        <x:v>MIN</x:v>
      </x:c>
      <x:c r="I1766" t="str">
        <x:v>MIN</x:v>
      </x:c>
      <x:c r="J1766" t="n">
        <x:v>47</x:v>
      </x:c>
      <x:c r="K1766" t="str">
        <x:v>(5:54) (Shotgun) 23-E.Wilson right end to MIN 37 for 10 yards (44-J.Metellus). ** Injury Update: MIN-44-J.Metellus has returned to the game.</x:v>
      </x:c>
      <x:c r="L1766" t="str">
        <x:v>run</x:v>
      </x:c>
      <x:c r="M1766" t="n">
        <x:v>10</x:v>
      </x:c>
      <x:c r="N1766" t="n">
        <x:v>1</x:v>
      </x:c>
      <x:c r="O1766" t="n">
        <x:v>0</x:v>
      </x:c>
      <x:c r="P1766"/>
      <x:c r="Q1766"/>
      <x:c r="R1766"/>
      <x:c r="S1766"/>
      <x:c r="T1766" t="str">
        <x:v>right</x:v>
      </x:c>
      <x:c r="U1766" t="str">
        <x:v>end</x:v>
      </x:c>
      <x:c r="V1766" t="n">
        <x:v>0</x:v>
      </x:c>
      <x:c r="W1766" t="n">
        <x:v>1</x:v>
      </x:c>
      <x:c r="X1766" t="n">
        <x:v>0</x:v>
      </x:c>
      <x:c r="Y1766" t="n">
        <x:v>0</x:v>
      </x:c>
      <x:c r="Z1766" t="n">
        <x:v>0</x:v>
      </x:c>
      <x:c r="AA1766" t="n">
        <x:v>0</x:v>
      </x:c>
      <x:c r="AB1766"/>
      <x:c r="AC1766" t="n">
        <x:v>0</x:v>
      </x:c>
      <x:c r="AD1766" t="n">
        <x:v>0.7200763478176668</x:v>
      </x:c>
      <x:c r="AE1766" t="n">
        <x:v>1</x:v>
      </x:c>
      <x:c r="AF1766" t="n">
        <x:v>0.024260878562927246</x:v>
      </x:c>
      <x:c r="AG1766" t="n">
        <x:f>_xlfn.XLOOKUP($A1766,Games!$A$2:$A$18,Games!$B$2:$B$18,"Missing game",0)</x:f>
        <x:v>2025</x:v>
      </x:c>
      <x:c r="AH1766" t="str">
        <x:f>_xlfn.XLOOKUP($A1766,Games!$A$2:$A$18,Games!$C$2:$C$18,"Missing game",0)</x:f>
        <x:v>REG</x:v>
      </x:c>
      <x:c r="AI1766" t="n">
        <x:f>_xlfn.XLOOKUP($A1766,Games!$A$2:$A$18,Games!$D$2:$D$18,"Missing game",0)</x:f>
        <x:v>12</x:v>
      </x:c>
      <x:c r="AJ1766" s="1" t="n">
        <x:f>_xlfn.XLOOKUP($A1766,Games!$A$2:$A$18,Games!$E$2:$E$18,"Missing game",0)</x:f>
        <x:v>45984</x:v>
      </x:c>
      <x:c r="AK1766" t="str">
        <x:f>_xlfn.XLOOKUP($A1766,Games!$A$2:$A$18,Games!$F$2:$F$18,"Missing game",0)</x:f>
        <x:v>Sunday</x:v>
      </x:c>
      <x:c r="AL1766" t="str">
        <x:f>_xlfn.XLOOKUP($A1766,Games!$A$2:$A$18,Games!$G$2:$G$18,"Missing game",0)</x:f>
        <x:v>MIN</x:v>
      </x:c>
      <x:c r="AM1766" t="n">
        <x:f>_xlfn.XLOOKUP($A1766,Games!$A$2:$A$18,Games!$H$2:$H$18,"Missing game",0)</x:f>
        <x:v>6</x:v>
      </x:c>
      <x:c r="AN1766" t="str">
        <x:f>_xlfn.XLOOKUP($A1766,Games!$A$2:$A$18,Games!$I$2:$I$18,"Missing game",0)</x:f>
        <x:v>GB</x:v>
      </x:c>
      <x:c r="AO1766" t="n">
        <x:f>_xlfn.XLOOKUP($A1766,Games!$A$2:$A$18,Games!$J$2:$J$18,"Missing game",0)</x:f>
        <x:v>23</x:v>
      </x:c>
      <x:c r="AP1766" t="n">
        <x:f>_xlfn.XLOOKUP($A1766,Games!$A$2:$A$18,Games!$K$2:$K$18,"Missing game",0)</x:f>
        <x:v>17</x:v>
      </x:c>
      <x:c r="AQ1766" t="n">
        <x:f>_xlfn.XLOOKUP($A1766,Games!$A$2:$A$18,Games!$L$2:$L$18,"Missing game",0)</x:f>
        <x:v>29</x:v>
      </x:c>
      <x:c r="AR1766" t="n">
        <x:f>_xlfn.XLOOKUP($A1766,Games!$A$2:$A$18,Games!$M$2:$M$18,"Missing game",0)</x:f>
        <x:v>0</x:v>
      </x:c>
      <x:c r="AS1766" t="str">
        <x:f>_xlfn.XLOOKUP($A1766,Games!$A$2:$A$18,Games!$N$2:$N$18,"Missing game",0)</x:f>
        <x:v>outdoors</x:v>
      </x:c>
      <x:c r="AT1766" t="str">
        <x:f>_xlfn.XLOOKUP($A1766,Games!$A$2:$A$18,Games!$O$2:$O$18,"Missing game",0)</x:f>
        <x:v>grass</x:v>
      </x:c>
      <x:c r="AU1766" t="n">
        <x:f>_xlfn.XLOOKUP($A1766,Games!$A$2:$A$18,Games!$P$2:$P$18,"Missing game",0)</x:f>
        <x:v>43</x:v>
      </x:c>
      <x:c r="AV1766" t="n">
        <x:f>_xlfn.XLOOKUP($A1766,Games!$A$2:$A$18,Games!$Q$2:$Q$18,"Missing game",0)</x:f>
        <x:v>10</x:v>
      </x:c>
      <x:c r="AW1766" t="str">
        <x:f>_xlfn.XLOOKUP($A1766,Games!$A$2:$A$18,Games!$R$2:$R$18,"Missing game",0)</x:f>
        <x:v>Lambeau Field</x:v>
      </x:c>
    </x:row>
    <x:row r="1767">
      <x:c r="A1767" t="str">
        <x:v>2025_12_MIN_GB</x:v>
      </x:c>
      <x:c r="B1767" t="n">
        <x:v>1390</x:v>
      </x:c>
      <x:c r="C1767" t="n">
        <x:v>2</x:v>
      </x:c>
      <x:c r="D1767" t="str">
        <x:v>05:54</x:v>
      </x:c>
      <x:c r="E1767"/>
      <x:c r="F1767" t="n">
        <x:v>0</x:v>
      </x:c>
      <x:c r="G1767"/>
      <x:c r="H1767"/>
      <x:c r="I1767"/>
      <x:c r="J1767"/>
      <x:c r="K1767" t="str">
        <x:v>Timeout #1 by GB at 05:54.</x:v>
      </x:c>
      <x:c r="L1767" t="str">
        <x:v>no_play</x:v>
      </x:c>
      <x:c r="M1767" t="n">
        <x:v>0</x:v>
      </x:c>
      <x:c r="N1767" t="n">
        <x:v>0</x:v>
      </x:c>
      <x:c r="O1767" t="n">
        <x:v>0</x:v>
      </x:c>
      <x:c r="P1767"/>
      <x:c r="Q1767"/>
      <x:c r="R1767"/>
      <x:c r="S1767"/>
      <x:c r="T1767"/>
      <x:c r="U1767"/>
      <x:c r="V1767" t="n">
        <x:v>0</x:v>
      </x:c>
      <x:c r="W1767" t="n">
        <x:v>0</x:v>
      </x:c>
      <x:c r="X1767" t="n">
        <x:v>0</x:v>
      </x:c>
      <x:c r="Y1767" t="n">
        <x:v>0</x:v>
      </x:c>
      <x:c r="Z1767" t="n">
        <x:v>0</x:v>
      </x:c>
      <x:c r="AA1767" t="n">
        <x:v>0</x:v>
      </x:c>
      <x:c r="AB1767"/>
      <x:c r="AC1767" t="n">
        <x:v>0</x:v>
      </x:c>
      <x:c r="AD1767" t="n">
        <x:v>0</x:v>
      </x:c>
      <x:c r="AE1767" t="n">
        <x:v>0</x:v>
      </x:c>
      <x:c r="AF1767" t="n">
        <x:v>0</x:v>
      </x:c>
      <x:c r="AG1767" t="n">
        <x:f>_xlfn.XLOOKUP($A1767,Games!$A$2:$A$18,Games!$B$2:$B$18,"Missing game",0)</x:f>
        <x:v>2025</x:v>
      </x:c>
      <x:c r="AH1767" t="str">
        <x:f>_xlfn.XLOOKUP($A1767,Games!$A$2:$A$18,Games!$C$2:$C$18,"Missing game",0)</x:f>
        <x:v>REG</x:v>
      </x:c>
      <x:c r="AI1767" t="n">
        <x:f>_xlfn.XLOOKUP($A1767,Games!$A$2:$A$18,Games!$D$2:$D$18,"Missing game",0)</x:f>
        <x:v>12</x:v>
      </x:c>
      <x:c r="AJ1767" s="1" t="n">
        <x:f>_xlfn.XLOOKUP($A1767,Games!$A$2:$A$18,Games!$E$2:$E$18,"Missing game",0)</x:f>
        <x:v>45984</x:v>
      </x:c>
      <x:c r="AK1767" t="str">
        <x:f>_xlfn.XLOOKUP($A1767,Games!$A$2:$A$18,Games!$F$2:$F$18,"Missing game",0)</x:f>
        <x:v>Sunday</x:v>
      </x:c>
      <x:c r="AL1767" t="str">
        <x:f>_xlfn.XLOOKUP($A1767,Games!$A$2:$A$18,Games!$G$2:$G$18,"Missing game",0)</x:f>
        <x:v>MIN</x:v>
      </x:c>
      <x:c r="AM1767" t="n">
        <x:f>_xlfn.XLOOKUP($A1767,Games!$A$2:$A$18,Games!$H$2:$H$18,"Missing game",0)</x:f>
        <x:v>6</x:v>
      </x:c>
      <x:c r="AN1767" t="str">
        <x:f>_xlfn.XLOOKUP($A1767,Games!$A$2:$A$18,Games!$I$2:$I$18,"Missing game",0)</x:f>
        <x:v>GB</x:v>
      </x:c>
      <x:c r="AO1767" t="n">
        <x:f>_xlfn.XLOOKUP($A1767,Games!$A$2:$A$18,Games!$J$2:$J$18,"Missing game",0)</x:f>
        <x:v>23</x:v>
      </x:c>
      <x:c r="AP1767" t="n">
        <x:f>_xlfn.XLOOKUP($A1767,Games!$A$2:$A$18,Games!$K$2:$K$18,"Missing game",0)</x:f>
        <x:v>17</x:v>
      </x:c>
      <x:c r="AQ1767" t="n">
        <x:f>_xlfn.XLOOKUP($A1767,Games!$A$2:$A$18,Games!$L$2:$L$18,"Missing game",0)</x:f>
        <x:v>29</x:v>
      </x:c>
      <x:c r="AR1767" t="n">
        <x:f>_xlfn.XLOOKUP($A1767,Games!$A$2:$A$18,Games!$M$2:$M$18,"Missing game",0)</x:f>
        <x:v>0</x:v>
      </x:c>
      <x:c r="AS1767" t="str">
        <x:f>_xlfn.XLOOKUP($A1767,Games!$A$2:$A$18,Games!$N$2:$N$18,"Missing game",0)</x:f>
        <x:v>outdoors</x:v>
      </x:c>
      <x:c r="AT1767" t="str">
        <x:f>_xlfn.XLOOKUP($A1767,Games!$A$2:$A$18,Games!$O$2:$O$18,"Missing game",0)</x:f>
        <x:v>grass</x:v>
      </x:c>
      <x:c r="AU1767" t="n">
        <x:f>_xlfn.XLOOKUP($A1767,Games!$A$2:$A$18,Games!$P$2:$P$18,"Missing game",0)</x:f>
        <x:v>43</x:v>
      </x:c>
      <x:c r="AV1767" t="n">
        <x:f>_xlfn.XLOOKUP($A1767,Games!$A$2:$A$18,Games!$Q$2:$Q$18,"Missing game",0)</x:f>
        <x:v>10</x:v>
      </x:c>
      <x:c r="AW1767" t="str">
        <x:f>_xlfn.XLOOKUP($A1767,Games!$A$2:$A$18,Games!$R$2:$R$18,"Missing game",0)</x:f>
        <x:v>Lambeau Field</x:v>
      </x:c>
    </x:row>
    <x:row r="1768">
      <x:c r="A1768" t="str">
        <x:v>2025_12_MIN_GB</x:v>
      </x:c>
      <x:c r="B1768" t="n">
        <x:v>1407</x:v>
      </x:c>
      <x:c r="C1768" t="n">
        <x:v>2</x:v>
      </x:c>
      <x:c r="D1768" t="str">
        <x:v>05:07</x:v>
      </x:c>
      <x:c r="E1768" t="n">
        <x:v>1</x:v>
      </x:c>
      <x:c r="F1768" t="n">
        <x:v>10</x:v>
      </x:c>
      <x:c r="G1768" t="str">
        <x:v>GB</x:v>
      </x:c>
      <x:c r="H1768" t="str">
        <x:v>MIN</x:v>
      </x:c>
      <x:c r="I1768" t="str">
        <x:v>MIN</x:v>
      </x:c>
      <x:c r="J1768" t="n">
        <x:v>37</x:v>
      </x:c>
      <x:c r="K1768" t="str">
        <x:v>(5:07) (Shotgun) 23-E.Wilson up the middle to MIN 37 for no gain (7-B.Murphy; 15-D.Turner).</x:v>
      </x:c>
      <x:c r="L1768" t="str">
        <x:v>run</x:v>
      </x:c>
      <x:c r="M1768" t="n">
        <x:v>0</x:v>
      </x:c>
      <x:c r="N1768" t="n">
        <x:v>1</x:v>
      </x:c>
      <x:c r="O1768" t="n">
        <x:v>0</x:v>
      </x:c>
      <x:c r="P1768"/>
      <x:c r="Q1768"/>
      <x:c r="R1768"/>
      <x:c r="S1768"/>
      <x:c r="T1768" t="str">
        <x:v>middle</x:v>
      </x:c>
      <x:c r="U1768"/>
      <x:c r="V1768" t="n">
        <x:v>0</x:v>
      </x:c>
      <x:c r="W1768" t="n">
        <x:v>0</x:v>
      </x:c>
      <x:c r="X1768" t="n">
        <x:v>0</x:v>
      </x:c>
      <x:c r="Y1768" t="n">
        <x:v>0</x:v>
      </x:c>
      <x:c r="Z1768" t="n">
        <x:v>0</x:v>
      </x:c>
      <x:c r="AA1768" t="n">
        <x:v>0</x:v>
      </x:c>
      <x:c r="AB1768"/>
      <x:c r="AC1768" t="n">
        <x:v>0</x:v>
      </x:c>
      <x:c r="AD1768" t="n">
        <x:v>-0.5700896457419731</x:v>
      </x:c>
      <x:c r="AE1768" t="n">
        <x:v>0</x:v>
      </x:c>
      <x:c r="AF1768" t="n">
        <x:v>-0.008313000202178955</x:v>
      </x:c>
      <x:c r="AG1768" t="n">
        <x:f>_xlfn.XLOOKUP($A1768,Games!$A$2:$A$18,Games!$B$2:$B$18,"Missing game",0)</x:f>
        <x:v>2025</x:v>
      </x:c>
      <x:c r="AH1768" t="str">
        <x:f>_xlfn.XLOOKUP($A1768,Games!$A$2:$A$18,Games!$C$2:$C$18,"Missing game",0)</x:f>
        <x:v>REG</x:v>
      </x:c>
      <x:c r="AI1768" t="n">
        <x:f>_xlfn.XLOOKUP($A1768,Games!$A$2:$A$18,Games!$D$2:$D$18,"Missing game",0)</x:f>
        <x:v>12</x:v>
      </x:c>
      <x:c r="AJ1768" s="1" t="n">
        <x:f>_xlfn.XLOOKUP($A1768,Games!$A$2:$A$18,Games!$E$2:$E$18,"Missing game",0)</x:f>
        <x:v>45984</x:v>
      </x:c>
      <x:c r="AK1768" t="str">
        <x:f>_xlfn.XLOOKUP($A1768,Games!$A$2:$A$18,Games!$F$2:$F$18,"Missing game",0)</x:f>
        <x:v>Sunday</x:v>
      </x:c>
      <x:c r="AL1768" t="str">
        <x:f>_xlfn.XLOOKUP($A1768,Games!$A$2:$A$18,Games!$G$2:$G$18,"Missing game",0)</x:f>
        <x:v>MIN</x:v>
      </x:c>
      <x:c r="AM1768" t="n">
        <x:f>_xlfn.XLOOKUP($A1768,Games!$A$2:$A$18,Games!$H$2:$H$18,"Missing game",0)</x:f>
        <x:v>6</x:v>
      </x:c>
      <x:c r="AN1768" t="str">
        <x:f>_xlfn.XLOOKUP($A1768,Games!$A$2:$A$18,Games!$I$2:$I$18,"Missing game",0)</x:f>
        <x:v>GB</x:v>
      </x:c>
      <x:c r="AO1768" t="n">
        <x:f>_xlfn.XLOOKUP($A1768,Games!$A$2:$A$18,Games!$J$2:$J$18,"Missing game",0)</x:f>
        <x:v>23</x:v>
      </x:c>
      <x:c r="AP1768" t="n">
        <x:f>_xlfn.XLOOKUP($A1768,Games!$A$2:$A$18,Games!$K$2:$K$18,"Missing game",0)</x:f>
        <x:v>17</x:v>
      </x:c>
      <x:c r="AQ1768" t="n">
        <x:f>_xlfn.XLOOKUP($A1768,Games!$A$2:$A$18,Games!$L$2:$L$18,"Missing game",0)</x:f>
        <x:v>29</x:v>
      </x:c>
      <x:c r="AR1768" t="n">
        <x:f>_xlfn.XLOOKUP($A1768,Games!$A$2:$A$18,Games!$M$2:$M$18,"Missing game",0)</x:f>
        <x:v>0</x:v>
      </x:c>
      <x:c r="AS1768" t="str">
        <x:f>_xlfn.XLOOKUP($A1768,Games!$A$2:$A$18,Games!$N$2:$N$18,"Missing game",0)</x:f>
        <x:v>outdoors</x:v>
      </x:c>
      <x:c r="AT1768" t="str">
        <x:f>_xlfn.XLOOKUP($A1768,Games!$A$2:$A$18,Games!$O$2:$O$18,"Missing game",0)</x:f>
        <x:v>grass</x:v>
      </x:c>
      <x:c r="AU1768" t="n">
        <x:f>_xlfn.XLOOKUP($A1768,Games!$A$2:$A$18,Games!$P$2:$P$18,"Missing game",0)</x:f>
        <x:v>43</x:v>
      </x:c>
      <x:c r="AV1768" t="n">
        <x:f>_xlfn.XLOOKUP($A1768,Games!$A$2:$A$18,Games!$Q$2:$Q$18,"Missing game",0)</x:f>
        <x:v>10</x:v>
      </x:c>
      <x:c r="AW1768" t="str">
        <x:f>_xlfn.XLOOKUP($A1768,Games!$A$2:$A$18,Games!$R$2:$R$18,"Missing game",0)</x:f>
        <x:v>Lambeau Field</x:v>
      </x:c>
    </x:row>
    <x:row r="1769">
      <x:c r="A1769" t="str">
        <x:v>2025_12_MIN_GB</x:v>
      </x:c>
      <x:c r="B1769" t="n">
        <x:v>1432</x:v>
      </x:c>
      <x:c r="C1769" t="n">
        <x:v>2</x:v>
      </x:c>
      <x:c r="D1769" t="str">
        <x:v>04:28</x:v>
      </x:c>
      <x:c r="E1769" t="n">
        <x:v>2</x:v>
      </x:c>
      <x:c r="F1769" t="n">
        <x:v>10</x:v>
      </x:c>
      <x:c r="G1769" t="str">
        <x:v>GB</x:v>
      </x:c>
      <x:c r="H1769" t="str">
        <x:v>MIN</x:v>
      </x:c>
      <x:c r="I1769" t="str">
        <x:v>MIN</x:v>
      </x:c>
      <x:c r="J1769" t="n">
        <x:v>37</x:v>
      </x:c>
      <x:c r="K1769" t="str">
        <x:v>(4:28) (Shotgun) 10-J.Love pass deep middle to 87-R.Doubs to MIN 19 for 18 yards (26-T.Jackson; 44-J.Metellus) [61-J.Redmond].</x:v>
      </x:c>
      <x:c r="L1769" t="str">
        <x:v>pass</x:v>
      </x:c>
      <x:c r="M1769" t="n">
        <x:v>18</x:v>
      </x:c>
      <x:c r="N1769" t="n">
        <x:v>1</x:v>
      </x:c>
      <x:c r="O1769" t="n">
        <x:v>0</x:v>
      </x:c>
      <x:c r="P1769" t="str">
        <x:v>deep</x:v>
      </x:c>
      <x:c r="Q1769" t="str">
        <x:v>middle</x:v>
      </x:c>
      <x:c r="R1769" t="n">
        <x:v>16</x:v>
      </x:c>
      <x:c r="S1769" t="n">
        <x:v>2</x:v>
      </x:c>
      <x:c r="T1769"/>
      <x:c r="U1769"/>
      <x:c r="V1769" t="n">
        <x:v>1</x:v>
      </x:c>
      <x:c r="W1769" t="n">
        <x:v>1</x:v>
      </x:c>
      <x:c r="X1769" t="n">
        <x:v>0</x:v>
      </x:c>
      <x:c r="Y1769" t="n">
        <x:v>0</x:v>
      </x:c>
      <x:c r="Z1769" t="n">
        <x:v>0</x:v>
      </x:c>
      <x:c r="AA1769" t="n">
        <x:v>0</x:v>
      </x:c>
      <x:c r="AB1769"/>
      <x:c r="AC1769" t="n">
        <x:v>0</x:v>
      </x:c>
      <x:c r="AD1769" t="n">
        <x:v>1.5714098888565786</x:v>
      </x:c>
      <x:c r="AE1769" t="n">
        <x:v>1</x:v>
      </x:c>
      <x:c r="AF1769" t="n">
        <x:v>0.023131191730499268</x:v>
      </x:c>
      <x:c r="AG1769" t="n">
        <x:f>_xlfn.XLOOKUP($A1769,Games!$A$2:$A$18,Games!$B$2:$B$18,"Missing game",0)</x:f>
        <x:v>2025</x:v>
      </x:c>
      <x:c r="AH1769" t="str">
        <x:f>_xlfn.XLOOKUP($A1769,Games!$A$2:$A$18,Games!$C$2:$C$18,"Missing game",0)</x:f>
        <x:v>REG</x:v>
      </x:c>
      <x:c r="AI1769" t="n">
        <x:f>_xlfn.XLOOKUP($A1769,Games!$A$2:$A$18,Games!$D$2:$D$18,"Missing game",0)</x:f>
        <x:v>12</x:v>
      </x:c>
      <x:c r="AJ1769" s="1" t="n">
        <x:f>_xlfn.XLOOKUP($A1769,Games!$A$2:$A$18,Games!$E$2:$E$18,"Missing game",0)</x:f>
        <x:v>45984</x:v>
      </x:c>
      <x:c r="AK1769" t="str">
        <x:f>_xlfn.XLOOKUP($A1769,Games!$A$2:$A$18,Games!$F$2:$F$18,"Missing game",0)</x:f>
        <x:v>Sunday</x:v>
      </x:c>
      <x:c r="AL1769" t="str">
        <x:f>_xlfn.XLOOKUP($A1769,Games!$A$2:$A$18,Games!$G$2:$G$18,"Missing game",0)</x:f>
        <x:v>MIN</x:v>
      </x:c>
      <x:c r="AM1769" t="n">
        <x:f>_xlfn.XLOOKUP($A1769,Games!$A$2:$A$18,Games!$H$2:$H$18,"Missing game",0)</x:f>
        <x:v>6</x:v>
      </x:c>
      <x:c r="AN1769" t="str">
        <x:f>_xlfn.XLOOKUP($A1769,Games!$A$2:$A$18,Games!$I$2:$I$18,"Missing game",0)</x:f>
        <x:v>GB</x:v>
      </x:c>
      <x:c r="AO1769" t="n">
        <x:f>_xlfn.XLOOKUP($A1769,Games!$A$2:$A$18,Games!$J$2:$J$18,"Missing game",0)</x:f>
        <x:v>23</x:v>
      </x:c>
      <x:c r="AP1769" t="n">
        <x:f>_xlfn.XLOOKUP($A1769,Games!$A$2:$A$18,Games!$K$2:$K$18,"Missing game",0)</x:f>
        <x:v>17</x:v>
      </x:c>
      <x:c r="AQ1769" t="n">
        <x:f>_xlfn.XLOOKUP($A1769,Games!$A$2:$A$18,Games!$L$2:$L$18,"Missing game",0)</x:f>
        <x:v>29</x:v>
      </x:c>
      <x:c r="AR1769" t="n">
        <x:f>_xlfn.XLOOKUP($A1769,Games!$A$2:$A$18,Games!$M$2:$M$18,"Missing game",0)</x:f>
        <x:v>0</x:v>
      </x:c>
      <x:c r="AS1769" t="str">
        <x:f>_xlfn.XLOOKUP($A1769,Games!$A$2:$A$18,Games!$N$2:$N$18,"Missing game",0)</x:f>
        <x:v>outdoors</x:v>
      </x:c>
      <x:c r="AT1769" t="str">
        <x:f>_xlfn.XLOOKUP($A1769,Games!$A$2:$A$18,Games!$O$2:$O$18,"Missing game",0)</x:f>
        <x:v>grass</x:v>
      </x:c>
      <x:c r="AU1769" t="n">
        <x:f>_xlfn.XLOOKUP($A1769,Games!$A$2:$A$18,Games!$P$2:$P$18,"Missing game",0)</x:f>
        <x:v>43</x:v>
      </x:c>
      <x:c r="AV1769" t="n">
        <x:f>_xlfn.XLOOKUP($A1769,Games!$A$2:$A$18,Games!$Q$2:$Q$18,"Missing game",0)</x:f>
        <x:v>10</x:v>
      </x:c>
      <x:c r="AW1769" t="str">
        <x:f>_xlfn.XLOOKUP($A1769,Games!$A$2:$A$18,Games!$R$2:$R$18,"Missing game",0)</x:f>
        <x:v>Lambeau Field</x:v>
      </x:c>
    </x:row>
    <x:row r="1770">
      <x:c r="A1770" t="str">
        <x:v>2025_12_MIN_GB</x:v>
      </x:c>
      <x:c r="B1770" t="n">
        <x:v>1457</x:v>
      </x:c>
      <x:c r="C1770" t="n">
        <x:v>2</x:v>
      </x:c>
      <x:c r="D1770" t="str">
        <x:v>03:51</x:v>
      </x:c>
      <x:c r="E1770" t="n">
        <x:v>1</x:v>
      </x:c>
      <x:c r="F1770" t="n">
        <x:v>10</x:v>
      </x:c>
      <x:c r="G1770" t="str">
        <x:v>GB</x:v>
      </x:c>
      <x:c r="H1770" t="str">
        <x:v>MIN</x:v>
      </x:c>
      <x:c r="I1770" t="str">
        <x:v>MIN</x:v>
      </x:c>
      <x:c r="J1770" t="n">
        <x:v>19</x:v>
      </x:c>
      <x:c r="K1770" t="str">
        <x:v>(3:51) (Shotgun) 30-C.Brooks left guard to MIN 19 for no gain (97-J.Hargrave).</x:v>
      </x:c>
      <x:c r="L1770" t="str">
        <x:v>run</x:v>
      </x:c>
      <x:c r="M1770" t="n">
        <x:v>0</x:v>
      </x:c>
      <x:c r="N1770" t="n">
        <x:v>1</x:v>
      </x:c>
      <x:c r="O1770" t="n">
        <x:v>0</x:v>
      </x:c>
      <x:c r="P1770"/>
      <x:c r="Q1770"/>
      <x:c r="R1770"/>
      <x:c r="S1770"/>
      <x:c r="T1770" t="str">
        <x:v>left</x:v>
      </x:c>
      <x:c r="U1770" t="str">
        <x:v>guard</x:v>
      </x:c>
      <x:c r="V1770" t="n">
        <x:v>0</x:v>
      </x:c>
      <x:c r="W1770" t="n">
        <x:v>0</x:v>
      </x:c>
      <x:c r="X1770" t="n">
        <x:v>0</x:v>
      </x:c>
      <x:c r="Y1770" t="n">
        <x:v>0</x:v>
      </x:c>
      <x:c r="Z1770" t="n">
        <x:v>0</x:v>
      </x:c>
      <x:c r="AA1770" t="n">
        <x:v>0</x:v>
      </x:c>
      <x:c r="AB1770"/>
      <x:c r="AC1770" t="n">
        <x:v>0</x:v>
      </x:c>
      <x:c r="AD1770" t="n">
        <x:v>-0.4580321288667619</x:v>
      </x:c>
      <x:c r="AE1770" t="n">
        <x:v>0</x:v>
      </x:c>
      <x:c r="AF1770" t="n">
        <x:v>-0.007838010787963867</x:v>
      </x:c>
      <x:c r="AG1770" t="n">
        <x:f>_xlfn.XLOOKUP($A1770,Games!$A$2:$A$18,Games!$B$2:$B$18,"Missing game",0)</x:f>
        <x:v>2025</x:v>
      </x:c>
      <x:c r="AH1770" t="str">
        <x:f>_xlfn.XLOOKUP($A1770,Games!$A$2:$A$18,Games!$C$2:$C$18,"Missing game",0)</x:f>
        <x:v>REG</x:v>
      </x:c>
      <x:c r="AI1770" t="n">
        <x:f>_xlfn.XLOOKUP($A1770,Games!$A$2:$A$18,Games!$D$2:$D$18,"Missing game",0)</x:f>
        <x:v>12</x:v>
      </x:c>
      <x:c r="AJ1770" s="1" t="n">
        <x:f>_xlfn.XLOOKUP($A1770,Games!$A$2:$A$18,Games!$E$2:$E$18,"Missing game",0)</x:f>
        <x:v>45984</x:v>
      </x:c>
      <x:c r="AK1770" t="str">
        <x:f>_xlfn.XLOOKUP($A1770,Games!$A$2:$A$18,Games!$F$2:$F$18,"Missing game",0)</x:f>
        <x:v>Sunday</x:v>
      </x:c>
      <x:c r="AL1770" t="str">
        <x:f>_xlfn.XLOOKUP($A1770,Games!$A$2:$A$18,Games!$G$2:$G$18,"Missing game",0)</x:f>
        <x:v>MIN</x:v>
      </x:c>
      <x:c r="AM1770" t="n">
        <x:f>_xlfn.XLOOKUP($A1770,Games!$A$2:$A$18,Games!$H$2:$H$18,"Missing game",0)</x:f>
        <x:v>6</x:v>
      </x:c>
      <x:c r="AN1770" t="str">
        <x:f>_xlfn.XLOOKUP($A1770,Games!$A$2:$A$18,Games!$I$2:$I$18,"Missing game",0)</x:f>
        <x:v>GB</x:v>
      </x:c>
      <x:c r="AO1770" t="n">
        <x:f>_xlfn.XLOOKUP($A1770,Games!$A$2:$A$18,Games!$J$2:$J$18,"Missing game",0)</x:f>
        <x:v>23</x:v>
      </x:c>
      <x:c r="AP1770" t="n">
        <x:f>_xlfn.XLOOKUP($A1770,Games!$A$2:$A$18,Games!$K$2:$K$18,"Missing game",0)</x:f>
        <x:v>17</x:v>
      </x:c>
      <x:c r="AQ1770" t="n">
        <x:f>_xlfn.XLOOKUP($A1770,Games!$A$2:$A$18,Games!$L$2:$L$18,"Missing game",0)</x:f>
        <x:v>29</x:v>
      </x:c>
      <x:c r="AR1770" t="n">
        <x:f>_xlfn.XLOOKUP($A1770,Games!$A$2:$A$18,Games!$M$2:$M$18,"Missing game",0)</x:f>
        <x:v>0</x:v>
      </x:c>
      <x:c r="AS1770" t="str">
        <x:f>_xlfn.XLOOKUP($A1770,Games!$A$2:$A$18,Games!$N$2:$N$18,"Missing game",0)</x:f>
        <x:v>outdoors</x:v>
      </x:c>
      <x:c r="AT1770" t="str">
        <x:f>_xlfn.XLOOKUP($A1770,Games!$A$2:$A$18,Games!$O$2:$O$18,"Missing game",0)</x:f>
        <x:v>grass</x:v>
      </x:c>
      <x:c r="AU1770" t="n">
        <x:f>_xlfn.XLOOKUP($A1770,Games!$A$2:$A$18,Games!$P$2:$P$18,"Missing game",0)</x:f>
        <x:v>43</x:v>
      </x:c>
      <x:c r="AV1770" t="n">
        <x:f>_xlfn.XLOOKUP($A1770,Games!$A$2:$A$18,Games!$Q$2:$Q$18,"Missing game",0)</x:f>
        <x:v>10</x:v>
      </x:c>
      <x:c r="AW1770" t="str">
        <x:f>_xlfn.XLOOKUP($A1770,Games!$A$2:$A$18,Games!$R$2:$R$18,"Missing game",0)</x:f>
        <x:v>Lambeau Field</x:v>
      </x:c>
    </x:row>
    <x:row r="1771">
      <x:c r="A1771" t="str">
        <x:v>2025_12_MIN_GB</x:v>
      </x:c>
      <x:c r="B1771" t="n">
        <x:v>1479</x:v>
      </x:c>
      <x:c r="C1771" t="n">
        <x:v>2</x:v>
      </x:c>
      <x:c r="D1771" t="str">
        <x:v>03:15</x:v>
      </x:c>
      <x:c r="E1771" t="n">
        <x:v>2</x:v>
      </x:c>
      <x:c r="F1771" t="n">
        <x:v>10</x:v>
      </x:c>
      <x:c r="G1771" t="str">
        <x:v>GB</x:v>
      </x:c>
      <x:c r="H1771" t="str">
        <x:v>MIN</x:v>
      </x:c>
      <x:c r="I1771" t="str">
        <x:v>MIN</x:v>
      </x:c>
      <x:c r="J1771" t="n">
        <x:v>19</x:v>
      </x:c>
      <x:c r="K1771" t="str">
        <x:v>(3:15) (No Huddle, Shotgun) 10-J.Love pass short right to 87-R.Doubs pushed ob at MIN 14 for 5 yards (2-I.Rodgers).</x:v>
      </x:c>
      <x:c r="L1771" t="str">
        <x:v>pass</x:v>
      </x:c>
      <x:c r="M1771" t="n">
        <x:v>5</x:v>
      </x:c>
      <x:c r="N1771" t="n">
        <x:v>1</x:v>
      </x:c>
      <x:c r="O1771" t="n">
        <x:v>1</x:v>
      </x:c>
      <x:c r="P1771" t="str">
        <x:v>short</x:v>
      </x:c>
      <x:c r="Q1771" t="str">
        <x:v>right</x:v>
      </x:c>
      <x:c r="R1771" t="n">
        <x:v>5</x:v>
      </x:c>
      <x:c r="S1771" t="n">
        <x:v>0</x:v>
      </x:c>
      <x:c r="T1771"/>
      <x:c r="U1771"/>
      <x:c r="V1771" t="n">
        <x:v>1</x:v>
      </x:c>
      <x:c r="W1771" t="n">
        <x:v>0</x:v>
      </x:c>
      <x:c r="X1771" t="n">
        <x:v>0</x:v>
      </x:c>
      <x:c r="Y1771" t="n">
        <x:v>0</x:v>
      </x:c>
      <x:c r="Z1771" t="n">
        <x:v>0</x:v>
      </x:c>
      <x:c r="AA1771" t="n">
        <x:v>0</x:v>
      </x:c>
      <x:c r="AB1771"/>
      <x:c r="AC1771" t="n">
        <x:v>0</x:v>
      </x:c>
      <x:c r="AD1771" t="n">
        <x:v>-0.022513547621201724</x:v>
      </x:c>
      <x:c r="AE1771" t="n">
        <x:v>0</x:v>
      </x:c>
      <x:c r="AF1771" t="n">
        <x:v>-0.0068433284759521484</x:v>
      </x:c>
      <x:c r="AG1771" t="n">
        <x:f>_xlfn.XLOOKUP($A1771,Games!$A$2:$A$18,Games!$B$2:$B$18,"Missing game",0)</x:f>
        <x:v>2025</x:v>
      </x:c>
      <x:c r="AH1771" t="str">
        <x:f>_xlfn.XLOOKUP($A1771,Games!$A$2:$A$18,Games!$C$2:$C$18,"Missing game",0)</x:f>
        <x:v>REG</x:v>
      </x:c>
      <x:c r="AI1771" t="n">
        <x:f>_xlfn.XLOOKUP($A1771,Games!$A$2:$A$18,Games!$D$2:$D$18,"Missing game",0)</x:f>
        <x:v>12</x:v>
      </x:c>
      <x:c r="AJ1771" s="1" t="n">
        <x:f>_xlfn.XLOOKUP($A1771,Games!$A$2:$A$18,Games!$E$2:$E$18,"Missing game",0)</x:f>
        <x:v>45984</x:v>
      </x:c>
      <x:c r="AK1771" t="str">
        <x:f>_xlfn.XLOOKUP($A1771,Games!$A$2:$A$18,Games!$F$2:$F$18,"Missing game",0)</x:f>
        <x:v>Sunday</x:v>
      </x:c>
      <x:c r="AL1771" t="str">
        <x:f>_xlfn.XLOOKUP($A1771,Games!$A$2:$A$18,Games!$G$2:$G$18,"Missing game",0)</x:f>
        <x:v>MIN</x:v>
      </x:c>
      <x:c r="AM1771" t="n">
        <x:f>_xlfn.XLOOKUP($A1771,Games!$A$2:$A$18,Games!$H$2:$H$18,"Missing game",0)</x:f>
        <x:v>6</x:v>
      </x:c>
      <x:c r="AN1771" t="str">
        <x:f>_xlfn.XLOOKUP($A1771,Games!$A$2:$A$18,Games!$I$2:$I$18,"Missing game",0)</x:f>
        <x:v>GB</x:v>
      </x:c>
      <x:c r="AO1771" t="n">
        <x:f>_xlfn.XLOOKUP($A1771,Games!$A$2:$A$18,Games!$J$2:$J$18,"Missing game",0)</x:f>
        <x:v>23</x:v>
      </x:c>
      <x:c r="AP1771" t="n">
        <x:f>_xlfn.XLOOKUP($A1771,Games!$A$2:$A$18,Games!$K$2:$K$18,"Missing game",0)</x:f>
        <x:v>17</x:v>
      </x:c>
      <x:c r="AQ1771" t="n">
        <x:f>_xlfn.XLOOKUP($A1771,Games!$A$2:$A$18,Games!$L$2:$L$18,"Missing game",0)</x:f>
        <x:v>29</x:v>
      </x:c>
      <x:c r="AR1771" t="n">
        <x:f>_xlfn.XLOOKUP($A1771,Games!$A$2:$A$18,Games!$M$2:$M$18,"Missing game",0)</x:f>
        <x:v>0</x:v>
      </x:c>
      <x:c r="AS1771" t="str">
        <x:f>_xlfn.XLOOKUP($A1771,Games!$A$2:$A$18,Games!$N$2:$N$18,"Missing game",0)</x:f>
        <x:v>outdoors</x:v>
      </x:c>
      <x:c r="AT1771" t="str">
        <x:f>_xlfn.XLOOKUP($A1771,Games!$A$2:$A$18,Games!$O$2:$O$18,"Missing game",0)</x:f>
        <x:v>grass</x:v>
      </x:c>
      <x:c r="AU1771" t="n">
        <x:f>_xlfn.XLOOKUP($A1771,Games!$A$2:$A$18,Games!$P$2:$P$18,"Missing game",0)</x:f>
        <x:v>43</x:v>
      </x:c>
      <x:c r="AV1771" t="n">
        <x:f>_xlfn.XLOOKUP($A1771,Games!$A$2:$A$18,Games!$Q$2:$Q$18,"Missing game",0)</x:f>
        <x:v>10</x:v>
      </x:c>
      <x:c r="AW1771" t="str">
        <x:f>_xlfn.XLOOKUP($A1771,Games!$A$2:$A$18,Games!$R$2:$R$18,"Missing game",0)</x:f>
        <x:v>Lambeau Field</x:v>
      </x:c>
    </x:row>
    <x:row r="1772">
      <x:c r="A1772" t="str">
        <x:v>2025_12_MIN_GB</x:v>
      </x:c>
      <x:c r="B1772" t="n">
        <x:v>1509</x:v>
      </x:c>
      <x:c r="C1772" t="n">
        <x:v>2</x:v>
      </x:c>
      <x:c r="D1772" t="str">
        <x:v>02:34</x:v>
      </x:c>
      <x:c r="E1772" t="n">
        <x:v>3</x:v>
      </x:c>
      <x:c r="F1772" t="n">
        <x:v>5</x:v>
      </x:c>
      <x:c r="G1772" t="str">
        <x:v>GB</x:v>
      </x:c>
      <x:c r="H1772" t="str">
        <x:v>MIN</x:v>
      </x:c>
      <x:c r="I1772" t="str">
        <x:v>MIN</x:v>
      </x:c>
      <x:c r="J1772" t="n">
        <x:v>14</x:v>
      </x:c>
      <x:c r="K1772" t="str">
        <x:v>(2:34) (Shotgun) 10-J.Love pass incomplete short right.</x:v>
      </x:c>
      <x:c r="L1772" t="str">
        <x:v>pass</x:v>
      </x:c>
      <x:c r="M1772" t="n">
        <x:v>0</x:v>
      </x:c>
      <x:c r="N1772" t="n">
        <x:v>1</x:v>
      </x:c>
      <x:c r="O1772" t="n">
        <x:v>0</x:v>
      </x:c>
      <x:c r="P1772" t="str">
        <x:v>short</x:v>
      </x:c>
      <x:c r="Q1772" t="str">
        <x:v>right</x:v>
      </x:c>
      <x:c r="R1772" t="n">
        <x:v>14</x:v>
      </x:c>
      <x:c r="S1772"/>
      <x:c r="T1772"/>
      <x:c r="U1772"/>
      <x:c r="V1772" t="n">
        <x:v>0</x:v>
      </x:c>
      <x:c r="W1772" t="n">
        <x:v>0</x:v>
      </x:c>
      <x:c r="X1772" t="n">
        <x:v>0</x:v>
      </x:c>
      <x:c r="Y1772" t="n">
        <x:v>0</x:v>
      </x:c>
      <x:c r="Z1772" t="n">
        <x:v>0</x:v>
      </x:c>
      <x:c r="AA1772" t="n">
        <x:v>0</x:v>
      </x:c>
      <x:c r="AB1772"/>
      <x:c r="AC1772" t="n">
        <x:v>0</x:v>
      </x:c>
      <x:c r="AD1772" t="n">
        <x:v>-1.0695526127642876</x:v>
      </x:c>
      <x:c r="AE1772" t="n">
        <x:v>0</x:v>
      </x:c>
      <x:c r="AF1772" t="n">
        <x:v>-0.028560996055603027</x:v>
      </x:c>
      <x:c r="AG1772" t="n">
        <x:f>_xlfn.XLOOKUP($A1772,Games!$A$2:$A$18,Games!$B$2:$B$18,"Missing game",0)</x:f>
        <x:v>2025</x:v>
      </x:c>
      <x:c r="AH1772" t="str">
        <x:f>_xlfn.XLOOKUP($A1772,Games!$A$2:$A$18,Games!$C$2:$C$18,"Missing game",0)</x:f>
        <x:v>REG</x:v>
      </x:c>
      <x:c r="AI1772" t="n">
        <x:f>_xlfn.XLOOKUP($A1772,Games!$A$2:$A$18,Games!$D$2:$D$18,"Missing game",0)</x:f>
        <x:v>12</x:v>
      </x:c>
      <x:c r="AJ1772" s="1" t="n">
        <x:f>_xlfn.XLOOKUP($A1772,Games!$A$2:$A$18,Games!$E$2:$E$18,"Missing game",0)</x:f>
        <x:v>45984</x:v>
      </x:c>
      <x:c r="AK1772" t="str">
        <x:f>_xlfn.XLOOKUP($A1772,Games!$A$2:$A$18,Games!$F$2:$F$18,"Missing game",0)</x:f>
        <x:v>Sunday</x:v>
      </x:c>
      <x:c r="AL1772" t="str">
        <x:f>_xlfn.XLOOKUP($A1772,Games!$A$2:$A$18,Games!$G$2:$G$18,"Missing game",0)</x:f>
        <x:v>MIN</x:v>
      </x:c>
      <x:c r="AM1772" t="n">
        <x:f>_xlfn.XLOOKUP($A1772,Games!$A$2:$A$18,Games!$H$2:$H$18,"Missing game",0)</x:f>
        <x:v>6</x:v>
      </x:c>
      <x:c r="AN1772" t="str">
        <x:f>_xlfn.XLOOKUP($A1772,Games!$A$2:$A$18,Games!$I$2:$I$18,"Missing game",0)</x:f>
        <x:v>GB</x:v>
      </x:c>
      <x:c r="AO1772" t="n">
        <x:f>_xlfn.XLOOKUP($A1772,Games!$A$2:$A$18,Games!$J$2:$J$18,"Missing game",0)</x:f>
        <x:v>23</x:v>
      </x:c>
      <x:c r="AP1772" t="n">
        <x:f>_xlfn.XLOOKUP($A1772,Games!$A$2:$A$18,Games!$K$2:$K$18,"Missing game",0)</x:f>
        <x:v>17</x:v>
      </x:c>
      <x:c r="AQ1772" t="n">
        <x:f>_xlfn.XLOOKUP($A1772,Games!$A$2:$A$18,Games!$L$2:$L$18,"Missing game",0)</x:f>
        <x:v>29</x:v>
      </x:c>
      <x:c r="AR1772" t="n">
        <x:f>_xlfn.XLOOKUP($A1772,Games!$A$2:$A$18,Games!$M$2:$M$18,"Missing game",0)</x:f>
        <x:v>0</x:v>
      </x:c>
      <x:c r="AS1772" t="str">
        <x:f>_xlfn.XLOOKUP($A1772,Games!$A$2:$A$18,Games!$N$2:$N$18,"Missing game",0)</x:f>
        <x:v>outdoors</x:v>
      </x:c>
      <x:c r="AT1772" t="str">
        <x:f>_xlfn.XLOOKUP($A1772,Games!$A$2:$A$18,Games!$O$2:$O$18,"Missing game",0)</x:f>
        <x:v>grass</x:v>
      </x:c>
      <x:c r="AU1772" t="n">
        <x:f>_xlfn.XLOOKUP($A1772,Games!$A$2:$A$18,Games!$P$2:$P$18,"Missing game",0)</x:f>
        <x:v>43</x:v>
      </x:c>
      <x:c r="AV1772" t="n">
        <x:f>_xlfn.XLOOKUP($A1772,Games!$A$2:$A$18,Games!$Q$2:$Q$18,"Missing game",0)</x:f>
        <x:v>10</x:v>
      </x:c>
      <x:c r="AW1772" t="str">
        <x:f>_xlfn.XLOOKUP($A1772,Games!$A$2:$A$18,Games!$R$2:$R$18,"Missing game",0)</x:f>
        <x:v>Lambeau Field</x:v>
      </x:c>
    </x:row>
    <x:row r="1773">
      <x:c r="A1773" t="str">
        <x:v>2025_12_MIN_GB</x:v>
      </x:c>
      <x:c r="B1773" t="n">
        <x:v>1532</x:v>
      </x:c>
      <x:c r="C1773" t="n">
        <x:v>2</x:v>
      </x:c>
      <x:c r="D1773" t="str">
        <x:v>02:28</x:v>
      </x:c>
      <x:c r="E1773" t="n">
        <x:v>4</x:v>
      </x:c>
      <x:c r="F1773" t="n">
        <x:v>5</x:v>
      </x:c>
      <x:c r="G1773" t="str">
        <x:v>GB</x:v>
      </x:c>
      <x:c r="H1773" t="str">
        <x:v>MIN</x:v>
      </x:c>
      <x:c r="I1773" t="str">
        <x:v>MIN</x:v>
      </x:c>
      <x:c r="J1773" t="n">
        <x:v>14</x:v>
      </x:c>
      <x:c r="K1773" t="str">
        <x:v>(2:28) 17-B.McManus 32 yard field goal is GOOD, Center-42-M.Orzech, Holder-19-D.Whelan.</x:v>
      </x:c>
      <x:c r="L1773" t="str">
        <x:v>field_goal</x:v>
      </x:c>
      <x:c r="M1773" t="n">
        <x:v>0</x:v>
      </x:c>
      <x:c r="N1773" t="n">
        <x:v>0</x:v>
      </x:c>
      <x:c r="O1773" t="n">
        <x:v>0</x:v>
      </x:c>
      <x:c r="P1773"/>
      <x:c r="Q1773"/>
      <x:c r="R1773"/>
      <x:c r="S1773"/>
      <x:c r="T1773"/>
      <x:c r="U1773"/>
      <x:c r="V1773" t="n">
        <x:v>0</x:v>
      </x:c>
      <x:c r="W1773" t="n">
        <x:v>0</x:v>
      </x:c>
      <x:c r="X1773" t="n">
        <x:v>0</x:v>
      </x:c>
      <x:c r="Y1773" t="n">
        <x:v>0</x:v>
      </x:c>
      <x:c r="Z1773" t="n">
        <x:v>0</x:v>
      </x:c>
      <x:c r="AA1773" t="n">
        <x:v>0</x:v>
      </x:c>
      <x:c r="AB1773"/>
      <x:c r="AC1773" t="n">
        <x:v>0</x:v>
      </x:c>
      <x:c r="AD1773" t="n">
        <x:v>0.22397842605690643</x:v>
      </x:c>
      <x:c r="AE1773" t="n">
        <x:v>1</x:v>
      </x:c>
      <x:c r="AF1773" t="n">
        <x:v>-0.005890756845474243</x:v>
      </x:c>
      <x:c r="AG1773" t="n">
        <x:f>_xlfn.XLOOKUP($A1773,Games!$A$2:$A$18,Games!$B$2:$B$18,"Missing game",0)</x:f>
        <x:v>2025</x:v>
      </x:c>
      <x:c r="AH1773" t="str">
        <x:f>_xlfn.XLOOKUP($A1773,Games!$A$2:$A$18,Games!$C$2:$C$18,"Missing game",0)</x:f>
        <x:v>REG</x:v>
      </x:c>
      <x:c r="AI1773" t="n">
        <x:f>_xlfn.XLOOKUP($A1773,Games!$A$2:$A$18,Games!$D$2:$D$18,"Missing game",0)</x:f>
        <x:v>12</x:v>
      </x:c>
      <x:c r="AJ1773" s="1" t="n">
        <x:f>_xlfn.XLOOKUP($A1773,Games!$A$2:$A$18,Games!$E$2:$E$18,"Missing game",0)</x:f>
        <x:v>45984</x:v>
      </x:c>
      <x:c r="AK1773" t="str">
        <x:f>_xlfn.XLOOKUP($A1773,Games!$A$2:$A$18,Games!$F$2:$F$18,"Missing game",0)</x:f>
        <x:v>Sunday</x:v>
      </x:c>
      <x:c r="AL1773" t="str">
        <x:f>_xlfn.XLOOKUP($A1773,Games!$A$2:$A$18,Games!$G$2:$G$18,"Missing game",0)</x:f>
        <x:v>MIN</x:v>
      </x:c>
      <x:c r="AM1773" t="n">
        <x:f>_xlfn.XLOOKUP($A1773,Games!$A$2:$A$18,Games!$H$2:$H$18,"Missing game",0)</x:f>
        <x:v>6</x:v>
      </x:c>
      <x:c r="AN1773" t="str">
        <x:f>_xlfn.XLOOKUP($A1773,Games!$A$2:$A$18,Games!$I$2:$I$18,"Missing game",0)</x:f>
        <x:v>GB</x:v>
      </x:c>
      <x:c r="AO1773" t="n">
        <x:f>_xlfn.XLOOKUP($A1773,Games!$A$2:$A$18,Games!$J$2:$J$18,"Missing game",0)</x:f>
        <x:v>23</x:v>
      </x:c>
      <x:c r="AP1773" t="n">
        <x:f>_xlfn.XLOOKUP($A1773,Games!$A$2:$A$18,Games!$K$2:$K$18,"Missing game",0)</x:f>
        <x:v>17</x:v>
      </x:c>
      <x:c r="AQ1773" t="n">
        <x:f>_xlfn.XLOOKUP($A1773,Games!$A$2:$A$18,Games!$L$2:$L$18,"Missing game",0)</x:f>
        <x:v>29</x:v>
      </x:c>
      <x:c r="AR1773" t="n">
        <x:f>_xlfn.XLOOKUP($A1773,Games!$A$2:$A$18,Games!$M$2:$M$18,"Missing game",0)</x:f>
        <x:v>0</x:v>
      </x:c>
      <x:c r="AS1773" t="str">
        <x:f>_xlfn.XLOOKUP($A1773,Games!$A$2:$A$18,Games!$N$2:$N$18,"Missing game",0)</x:f>
        <x:v>outdoors</x:v>
      </x:c>
      <x:c r="AT1773" t="str">
        <x:f>_xlfn.XLOOKUP($A1773,Games!$A$2:$A$18,Games!$O$2:$O$18,"Missing game",0)</x:f>
        <x:v>grass</x:v>
      </x:c>
      <x:c r="AU1773" t="n">
        <x:f>_xlfn.XLOOKUP($A1773,Games!$A$2:$A$18,Games!$P$2:$P$18,"Missing game",0)</x:f>
        <x:v>43</x:v>
      </x:c>
      <x:c r="AV1773" t="n">
        <x:f>_xlfn.XLOOKUP($A1773,Games!$A$2:$A$18,Games!$Q$2:$Q$18,"Missing game",0)</x:f>
        <x:v>10</x:v>
      </x:c>
      <x:c r="AW1773" t="str">
        <x:f>_xlfn.XLOOKUP($A1773,Games!$A$2:$A$18,Games!$R$2:$R$18,"Missing game",0)</x:f>
        <x:v>Lambeau Field</x:v>
      </x:c>
    </x:row>
    <x:row r="1774">
      <x:c r="A1774" t="str">
        <x:v>2025_12_MIN_GB</x:v>
      </x:c>
      <x:c r="B1774" t="n">
        <x:v>1550</x:v>
      </x:c>
      <x:c r="C1774" t="n">
        <x:v>2</x:v>
      </x:c>
      <x:c r="D1774" t="str">
        <x:v>02:28</x:v>
      </x:c>
      <x:c r="E1774"/>
      <x:c r="F1774" t="n">
        <x:v>0</x:v>
      </x:c>
      <x:c r="G1774"/>
      <x:c r="H1774"/>
      <x:c r="I1774"/>
      <x:c r="J1774"/>
      <x:c r="K1774" t="str">
        <x:v>Timeout #1 by MIN at 02:28.</x:v>
      </x:c>
      <x:c r="L1774" t="str">
        <x:v>no_play</x:v>
      </x:c>
      <x:c r="M1774" t="n">
        <x:v>0</x:v>
      </x:c>
      <x:c r="N1774" t="n">
        <x:v>0</x:v>
      </x:c>
      <x:c r="O1774" t="n">
        <x:v>0</x:v>
      </x:c>
      <x:c r="P1774"/>
      <x:c r="Q1774"/>
      <x:c r="R1774"/>
      <x:c r="S1774"/>
      <x:c r="T1774"/>
      <x:c r="U1774"/>
      <x:c r="V1774" t="n">
        <x:v>0</x:v>
      </x:c>
      <x:c r="W1774" t="n">
        <x:v>0</x:v>
      </x:c>
      <x:c r="X1774" t="n">
        <x:v>0</x:v>
      </x:c>
      <x:c r="Y1774" t="n">
        <x:v>0</x:v>
      </x:c>
      <x:c r="Z1774" t="n">
        <x:v>0</x:v>
      </x:c>
      <x:c r="AA1774" t="n">
        <x:v>0</x:v>
      </x:c>
      <x:c r="AB1774"/>
      <x:c r="AC1774" t="n">
        <x:v>0</x:v>
      </x:c>
      <x:c r="AD1774" t="n">
        <x:v>0</x:v>
      </x:c>
      <x:c r="AE1774" t="n">
        <x:v>0</x:v>
      </x:c>
      <x:c r="AF1774" t="n">
        <x:v>0</x:v>
      </x:c>
      <x:c r="AG1774" t="n">
        <x:f>_xlfn.XLOOKUP($A1774,Games!$A$2:$A$18,Games!$B$2:$B$18,"Missing game",0)</x:f>
        <x:v>2025</x:v>
      </x:c>
      <x:c r="AH1774" t="str">
        <x:f>_xlfn.XLOOKUP($A1774,Games!$A$2:$A$18,Games!$C$2:$C$18,"Missing game",0)</x:f>
        <x:v>REG</x:v>
      </x:c>
      <x:c r="AI1774" t="n">
        <x:f>_xlfn.XLOOKUP($A1774,Games!$A$2:$A$18,Games!$D$2:$D$18,"Missing game",0)</x:f>
        <x:v>12</x:v>
      </x:c>
      <x:c r="AJ1774" s="1" t="n">
        <x:f>_xlfn.XLOOKUP($A1774,Games!$A$2:$A$18,Games!$E$2:$E$18,"Missing game",0)</x:f>
        <x:v>45984</x:v>
      </x:c>
      <x:c r="AK1774" t="str">
        <x:f>_xlfn.XLOOKUP($A1774,Games!$A$2:$A$18,Games!$F$2:$F$18,"Missing game",0)</x:f>
        <x:v>Sunday</x:v>
      </x:c>
      <x:c r="AL1774" t="str">
        <x:f>_xlfn.XLOOKUP($A1774,Games!$A$2:$A$18,Games!$G$2:$G$18,"Missing game",0)</x:f>
        <x:v>MIN</x:v>
      </x:c>
      <x:c r="AM1774" t="n">
        <x:f>_xlfn.XLOOKUP($A1774,Games!$A$2:$A$18,Games!$H$2:$H$18,"Missing game",0)</x:f>
        <x:v>6</x:v>
      </x:c>
      <x:c r="AN1774" t="str">
        <x:f>_xlfn.XLOOKUP($A1774,Games!$A$2:$A$18,Games!$I$2:$I$18,"Missing game",0)</x:f>
        <x:v>GB</x:v>
      </x:c>
      <x:c r="AO1774" t="n">
        <x:f>_xlfn.XLOOKUP($A1774,Games!$A$2:$A$18,Games!$J$2:$J$18,"Missing game",0)</x:f>
        <x:v>23</x:v>
      </x:c>
      <x:c r="AP1774" t="n">
        <x:f>_xlfn.XLOOKUP($A1774,Games!$A$2:$A$18,Games!$K$2:$K$18,"Missing game",0)</x:f>
        <x:v>17</x:v>
      </x:c>
      <x:c r="AQ1774" t="n">
        <x:f>_xlfn.XLOOKUP($A1774,Games!$A$2:$A$18,Games!$L$2:$L$18,"Missing game",0)</x:f>
        <x:v>29</x:v>
      </x:c>
      <x:c r="AR1774" t="n">
        <x:f>_xlfn.XLOOKUP($A1774,Games!$A$2:$A$18,Games!$M$2:$M$18,"Missing game",0)</x:f>
        <x:v>0</x:v>
      </x:c>
      <x:c r="AS1774" t="str">
        <x:f>_xlfn.XLOOKUP($A1774,Games!$A$2:$A$18,Games!$N$2:$N$18,"Missing game",0)</x:f>
        <x:v>outdoors</x:v>
      </x:c>
      <x:c r="AT1774" t="str">
        <x:f>_xlfn.XLOOKUP($A1774,Games!$A$2:$A$18,Games!$O$2:$O$18,"Missing game",0)</x:f>
        <x:v>grass</x:v>
      </x:c>
      <x:c r="AU1774" t="n">
        <x:f>_xlfn.XLOOKUP($A1774,Games!$A$2:$A$18,Games!$P$2:$P$18,"Missing game",0)</x:f>
        <x:v>43</x:v>
      </x:c>
      <x:c r="AV1774" t="n">
        <x:f>_xlfn.XLOOKUP($A1774,Games!$A$2:$A$18,Games!$Q$2:$Q$18,"Missing game",0)</x:f>
        <x:v>10</x:v>
      </x:c>
      <x:c r="AW1774" t="str">
        <x:f>_xlfn.XLOOKUP($A1774,Games!$A$2:$A$18,Games!$R$2:$R$18,"Missing game",0)</x:f>
        <x:v>Lambeau Field</x:v>
      </x:c>
    </x:row>
    <x:row r="1775">
      <x:c r="A1775" t="str">
        <x:v>2025_12_MIN_GB</x:v>
      </x:c>
      <x:c r="B1775" t="n">
        <x:v>1565</x:v>
      </x:c>
      <x:c r="C1775" t="n">
        <x:v>2</x:v>
      </x:c>
      <x:c r="D1775" t="str">
        <x:v>02:25</x:v>
      </x:c>
      <x:c r="E1775"/>
      <x:c r="F1775" t="n">
        <x:v>0</x:v>
      </x:c>
      <x:c r="G1775" t="str">
        <x:v>MIN</x:v>
      </x:c>
      <x:c r="H1775" t="str">
        <x:v>GB</x:v>
      </x:c>
      <x:c r="I1775" t="str">
        <x:v>GB</x:v>
      </x:c>
      <x:c r="J1775" t="n">
        <x:v>35</x:v>
      </x:c>
      <x:c r="K1775" t="str">
        <x:v>17-B.McManus kicks 59 yards from GB 35 to MIN 6. 13-T.Felton to MIN 27 for 21 yards (30-C.Brooks).</x:v>
      </x:c>
      <x:c r="L1775" t="str">
        <x:v>kickoff</x:v>
      </x:c>
      <x:c r="M1775" t="n">
        <x:v>0</x:v>
      </x:c>
      <x:c r="N1775" t="n">
        <x:v>0</x:v>
      </x:c>
      <x:c r="O1775" t="n">
        <x:v>0</x:v>
      </x:c>
      <x:c r="P1775"/>
      <x:c r="Q1775"/>
      <x:c r="R1775"/>
      <x:c r="S1775"/>
      <x:c r="T1775"/>
      <x:c r="U1775"/>
      <x:c r="V1775" t="n">
        <x:v>0</x:v>
      </x:c>
      <x:c r="W1775" t="n">
        <x:v>0</x:v>
      </x:c>
      <x:c r="X1775" t="n">
        <x:v>0</x:v>
      </x:c>
      <x:c r="Y1775" t="n">
        <x:v>0</x:v>
      </x:c>
      <x:c r="Z1775" t="n">
        <x:v>0</x:v>
      </x:c>
      <x:c r="AA1775" t="n">
        <x:v>0</x:v>
      </x:c>
      <x:c r="AB1775"/>
      <x:c r="AC1775" t="n">
        <x:v>0</x:v>
      </x:c>
      <x:c r="AD1775" t="n">
        <x:v>0.0990630779415369</x:v>
      </x:c>
      <x:c r="AE1775" t="n">
        <x:v>1</x:v>
      </x:c>
      <x:c r="AF1775" t="n">
        <x:v>0</x:v>
      </x:c>
      <x:c r="AG1775" t="n">
        <x:f>_xlfn.XLOOKUP($A1775,Games!$A$2:$A$18,Games!$B$2:$B$18,"Missing game",0)</x:f>
        <x:v>2025</x:v>
      </x:c>
      <x:c r="AH1775" t="str">
        <x:f>_xlfn.XLOOKUP($A1775,Games!$A$2:$A$18,Games!$C$2:$C$18,"Missing game",0)</x:f>
        <x:v>REG</x:v>
      </x:c>
      <x:c r="AI1775" t="n">
        <x:f>_xlfn.XLOOKUP($A1775,Games!$A$2:$A$18,Games!$D$2:$D$18,"Missing game",0)</x:f>
        <x:v>12</x:v>
      </x:c>
      <x:c r="AJ1775" s="1" t="n">
        <x:f>_xlfn.XLOOKUP($A1775,Games!$A$2:$A$18,Games!$E$2:$E$18,"Missing game",0)</x:f>
        <x:v>45984</x:v>
      </x:c>
      <x:c r="AK1775" t="str">
        <x:f>_xlfn.XLOOKUP($A1775,Games!$A$2:$A$18,Games!$F$2:$F$18,"Missing game",0)</x:f>
        <x:v>Sunday</x:v>
      </x:c>
      <x:c r="AL1775" t="str">
        <x:f>_xlfn.XLOOKUP($A1775,Games!$A$2:$A$18,Games!$G$2:$G$18,"Missing game",0)</x:f>
        <x:v>MIN</x:v>
      </x:c>
      <x:c r="AM1775" t="n">
        <x:f>_xlfn.XLOOKUP($A1775,Games!$A$2:$A$18,Games!$H$2:$H$18,"Missing game",0)</x:f>
        <x:v>6</x:v>
      </x:c>
      <x:c r="AN1775" t="str">
        <x:f>_xlfn.XLOOKUP($A1775,Games!$A$2:$A$18,Games!$I$2:$I$18,"Missing game",0)</x:f>
        <x:v>GB</x:v>
      </x:c>
      <x:c r="AO1775" t="n">
        <x:f>_xlfn.XLOOKUP($A1775,Games!$A$2:$A$18,Games!$J$2:$J$18,"Missing game",0)</x:f>
        <x:v>23</x:v>
      </x:c>
      <x:c r="AP1775" t="n">
        <x:f>_xlfn.XLOOKUP($A1775,Games!$A$2:$A$18,Games!$K$2:$K$18,"Missing game",0)</x:f>
        <x:v>17</x:v>
      </x:c>
      <x:c r="AQ1775" t="n">
        <x:f>_xlfn.XLOOKUP($A1775,Games!$A$2:$A$18,Games!$L$2:$L$18,"Missing game",0)</x:f>
        <x:v>29</x:v>
      </x:c>
      <x:c r="AR1775" t="n">
        <x:f>_xlfn.XLOOKUP($A1775,Games!$A$2:$A$18,Games!$M$2:$M$18,"Missing game",0)</x:f>
        <x:v>0</x:v>
      </x:c>
      <x:c r="AS1775" t="str">
        <x:f>_xlfn.XLOOKUP($A1775,Games!$A$2:$A$18,Games!$N$2:$N$18,"Missing game",0)</x:f>
        <x:v>outdoors</x:v>
      </x:c>
      <x:c r="AT1775" t="str">
        <x:f>_xlfn.XLOOKUP($A1775,Games!$A$2:$A$18,Games!$O$2:$O$18,"Missing game",0)</x:f>
        <x:v>grass</x:v>
      </x:c>
      <x:c r="AU1775" t="n">
        <x:f>_xlfn.XLOOKUP($A1775,Games!$A$2:$A$18,Games!$P$2:$P$18,"Missing game",0)</x:f>
        <x:v>43</x:v>
      </x:c>
      <x:c r="AV1775" t="n">
        <x:f>_xlfn.XLOOKUP($A1775,Games!$A$2:$A$18,Games!$Q$2:$Q$18,"Missing game",0)</x:f>
        <x:v>10</x:v>
      </x:c>
      <x:c r="AW1775" t="str">
        <x:f>_xlfn.XLOOKUP($A1775,Games!$A$2:$A$18,Games!$R$2:$R$18,"Missing game",0)</x:f>
        <x:v>Lambeau Field</x:v>
      </x:c>
    </x:row>
    <x:row r="1776">
      <x:c r="A1776" t="str">
        <x:v>2025_12_MIN_GB</x:v>
      </x:c>
      <x:c r="B1776" t="n">
        <x:v>1595</x:v>
      </x:c>
      <x:c r="C1776" t="n">
        <x:v>2</x:v>
      </x:c>
      <x:c r="D1776" t="str">
        <x:v>02:20</x:v>
      </x:c>
      <x:c r="E1776" t="n">
        <x:v>1</x:v>
      </x:c>
      <x:c r="F1776" t="n">
        <x:v>10</x:v>
      </x:c>
      <x:c r="G1776" t="str">
        <x:v>MIN</x:v>
      </x:c>
      <x:c r="H1776" t="str">
        <x:v>GB</x:v>
      </x:c>
      <x:c r="I1776" t="str">
        <x:v>MIN</x:v>
      </x:c>
      <x:c r="J1776" t="n">
        <x:v>73</x:v>
      </x:c>
      <x:c r="K1776" t="str">
        <x:v>(2:20) (Shotgun) 33-A.Jones right end to MIN 35 for 8 yards (96-C.Wooden; 36-K.Hadden).</x:v>
      </x:c>
      <x:c r="L1776" t="str">
        <x:v>run</x:v>
      </x:c>
      <x:c r="M1776" t="n">
        <x:v>8</x:v>
      </x:c>
      <x:c r="N1776" t="n">
        <x:v>1</x:v>
      </x:c>
      <x:c r="O1776" t="n">
        <x:v>0</x:v>
      </x:c>
      <x:c r="P1776"/>
      <x:c r="Q1776"/>
      <x:c r="R1776"/>
      <x:c r="S1776"/>
      <x:c r="T1776" t="str">
        <x:v>right</x:v>
      </x:c>
      <x:c r="U1776" t="str">
        <x:v>end</x:v>
      </x:c>
      <x:c r="V1776" t="n">
        <x:v>0</x:v>
      </x:c>
      <x:c r="W1776" t="n">
        <x:v>0</x:v>
      </x:c>
      <x:c r="X1776" t="n">
        <x:v>0</x:v>
      </x:c>
      <x:c r="Y1776" t="n">
        <x:v>0</x:v>
      </x:c>
      <x:c r="Z1776" t="n">
        <x:v>0</x:v>
      </x:c>
      <x:c r="AA1776" t="n">
        <x:v>0</x:v>
      </x:c>
      <x:c r="AB1776"/>
      <x:c r="AC1776" t="n">
        <x:v>0</x:v>
      </x:c>
      <x:c r="AD1776" t="n">
        <x:v>0.2017545608105138</x:v>
      </x:c>
      <x:c r="AE1776" t="n">
        <x:v>1</x:v>
      </x:c>
      <x:c r="AF1776" t="n">
        <x:v>0.014601394534111023</x:v>
      </x:c>
      <x:c r="AG1776" t="n">
        <x:f>_xlfn.XLOOKUP($A1776,Games!$A$2:$A$18,Games!$B$2:$B$18,"Missing game",0)</x:f>
        <x:v>2025</x:v>
      </x:c>
      <x:c r="AH1776" t="str">
        <x:f>_xlfn.XLOOKUP($A1776,Games!$A$2:$A$18,Games!$C$2:$C$18,"Missing game",0)</x:f>
        <x:v>REG</x:v>
      </x:c>
      <x:c r="AI1776" t="n">
        <x:f>_xlfn.XLOOKUP($A1776,Games!$A$2:$A$18,Games!$D$2:$D$18,"Missing game",0)</x:f>
        <x:v>12</x:v>
      </x:c>
      <x:c r="AJ1776" s="1" t="n">
        <x:f>_xlfn.XLOOKUP($A1776,Games!$A$2:$A$18,Games!$E$2:$E$18,"Missing game",0)</x:f>
        <x:v>45984</x:v>
      </x:c>
      <x:c r="AK1776" t="str">
        <x:f>_xlfn.XLOOKUP($A1776,Games!$A$2:$A$18,Games!$F$2:$F$18,"Missing game",0)</x:f>
        <x:v>Sunday</x:v>
      </x:c>
      <x:c r="AL1776" t="str">
        <x:f>_xlfn.XLOOKUP($A1776,Games!$A$2:$A$18,Games!$G$2:$G$18,"Missing game",0)</x:f>
        <x:v>MIN</x:v>
      </x:c>
      <x:c r="AM1776" t="n">
        <x:f>_xlfn.XLOOKUP($A1776,Games!$A$2:$A$18,Games!$H$2:$H$18,"Missing game",0)</x:f>
        <x:v>6</x:v>
      </x:c>
      <x:c r="AN1776" t="str">
        <x:f>_xlfn.XLOOKUP($A1776,Games!$A$2:$A$18,Games!$I$2:$I$18,"Missing game",0)</x:f>
        <x:v>GB</x:v>
      </x:c>
      <x:c r="AO1776" t="n">
        <x:f>_xlfn.XLOOKUP($A1776,Games!$A$2:$A$18,Games!$J$2:$J$18,"Missing game",0)</x:f>
        <x:v>23</x:v>
      </x:c>
      <x:c r="AP1776" t="n">
        <x:f>_xlfn.XLOOKUP($A1776,Games!$A$2:$A$18,Games!$K$2:$K$18,"Missing game",0)</x:f>
        <x:v>17</x:v>
      </x:c>
      <x:c r="AQ1776" t="n">
        <x:f>_xlfn.XLOOKUP($A1776,Games!$A$2:$A$18,Games!$L$2:$L$18,"Missing game",0)</x:f>
        <x:v>29</x:v>
      </x:c>
      <x:c r="AR1776" t="n">
        <x:f>_xlfn.XLOOKUP($A1776,Games!$A$2:$A$18,Games!$M$2:$M$18,"Missing game",0)</x:f>
        <x:v>0</x:v>
      </x:c>
      <x:c r="AS1776" t="str">
        <x:f>_xlfn.XLOOKUP($A1776,Games!$A$2:$A$18,Games!$N$2:$N$18,"Missing game",0)</x:f>
        <x:v>outdoors</x:v>
      </x:c>
      <x:c r="AT1776" t="str">
        <x:f>_xlfn.XLOOKUP($A1776,Games!$A$2:$A$18,Games!$O$2:$O$18,"Missing game",0)</x:f>
        <x:v>grass</x:v>
      </x:c>
      <x:c r="AU1776" t="n">
        <x:f>_xlfn.XLOOKUP($A1776,Games!$A$2:$A$18,Games!$P$2:$P$18,"Missing game",0)</x:f>
        <x:v>43</x:v>
      </x:c>
      <x:c r="AV1776" t="n">
        <x:f>_xlfn.XLOOKUP($A1776,Games!$A$2:$A$18,Games!$Q$2:$Q$18,"Missing game",0)</x:f>
        <x:v>10</x:v>
      </x:c>
      <x:c r="AW1776" t="str">
        <x:f>_xlfn.XLOOKUP($A1776,Games!$A$2:$A$18,Games!$R$2:$R$18,"Missing game",0)</x:f>
        <x:v>Lambeau Field</x:v>
      </x:c>
    </x:row>
    <x:row r="1777">
      <x:c r="A1777" t="str">
        <x:v>2025_12_MIN_GB</x:v>
      </x:c>
      <x:c r="B1777" t="n">
        <x:v>1617</x:v>
      </x:c>
      <x:c r="C1777" t="n">
        <x:v>2</x:v>
      </x:c>
      <x:c r="D1777" t="str">
        <x:v>02:00</x:v>
      </x:c>
      <x:c r="E1777" t="n">
        <x:v>2</x:v>
      </x:c>
      <x:c r="F1777" t="n">
        <x:v>2</x:v>
      </x:c>
      <x:c r="G1777" t="str">
        <x:v>MIN</x:v>
      </x:c>
      <x:c r="H1777" t="str">
        <x:v>GB</x:v>
      </x:c>
      <x:c r="I1777" t="str">
        <x:v>MIN</x:v>
      </x:c>
      <x:c r="J1777" t="n">
        <x:v>65</x:v>
      </x:c>
      <x:c r="K1777" t="str">
        <x:v>(2:00) (Shotgun) 33-A.Jones up the middle to MIN 36 for 1 yard (52-R.Gary).</x:v>
      </x:c>
      <x:c r="L1777" t="str">
        <x:v>run</x:v>
      </x:c>
      <x:c r="M1777" t="n">
        <x:v>1</x:v>
      </x:c>
      <x:c r="N1777" t="n">
        <x:v>1</x:v>
      </x:c>
      <x:c r="O1777" t="n">
        <x:v>0</x:v>
      </x:c>
      <x:c r="P1777"/>
      <x:c r="Q1777"/>
      <x:c r="R1777"/>
      <x:c r="S1777"/>
      <x:c r="T1777" t="str">
        <x:v>middle</x:v>
      </x:c>
      <x:c r="U1777"/>
      <x:c r="V1777" t="n">
        <x:v>0</x:v>
      </x:c>
      <x:c r="W1777" t="n">
        <x:v>0</x:v>
      </x:c>
      <x:c r="X1777" t="n">
        <x:v>0</x:v>
      </x:c>
      <x:c r="Y1777" t="n">
        <x:v>0</x:v>
      </x:c>
      <x:c r="Z1777" t="n">
        <x:v>0</x:v>
      </x:c>
      <x:c r="AA1777" t="n">
        <x:v>0</x:v>
      </x:c>
      <x:c r="AB1777"/>
      <x:c r="AC1777" t="n">
        <x:v>0</x:v>
      </x:c>
      <x:c r="AD1777" t="n">
        <x:v>-0.3243562215939164</x:v>
      </x:c>
      <x:c r="AE1777" t="n">
        <x:v>0</x:v>
      </x:c>
      <x:c r="AF1777" t="n">
        <x:v>-0.003122389316558838</x:v>
      </x:c>
      <x:c r="AG1777" t="n">
        <x:f>_xlfn.XLOOKUP($A1777,Games!$A$2:$A$18,Games!$B$2:$B$18,"Missing game",0)</x:f>
        <x:v>2025</x:v>
      </x:c>
      <x:c r="AH1777" t="str">
        <x:f>_xlfn.XLOOKUP($A1777,Games!$A$2:$A$18,Games!$C$2:$C$18,"Missing game",0)</x:f>
        <x:v>REG</x:v>
      </x:c>
      <x:c r="AI1777" t="n">
        <x:f>_xlfn.XLOOKUP($A1777,Games!$A$2:$A$18,Games!$D$2:$D$18,"Missing game",0)</x:f>
        <x:v>12</x:v>
      </x:c>
      <x:c r="AJ1777" s="1" t="n">
        <x:f>_xlfn.XLOOKUP($A1777,Games!$A$2:$A$18,Games!$E$2:$E$18,"Missing game",0)</x:f>
        <x:v>45984</x:v>
      </x:c>
      <x:c r="AK1777" t="str">
        <x:f>_xlfn.XLOOKUP($A1777,Games!$A$2:$A$18,Games!$F$2:$F$18,"Missing game",0)</x:f>
        <x:v>Sunday</x:v>
      </x:c>
      <x:c r="AL1777" t="str">
        <x:f>_xlfn.XLOOKUP($A1777,Games!$A$2:$A$18,Games!$G$2:$G$18,"Missing game",0)</x:f>
        <x:v>MIN</x:v>
      </x:c>
      <x:c r="AM1777" t="n">
        <x:f>_xlfn.XLOOKUP($A1777,Games!$A$2:$A$18,Games!$H$2:$H$18,"Missing game",0)</x:f>
        <x:v>6</x:v>
      </x:c>
      <x:c r="AN1777" t="str">
        <x:f>_xlfn.XLOOKUP($A1777,Games!$A$2:$A$18,Games!$I$2:$I$18,"Missing game",0)</x:f>
        <x:v>GB</x:v>
      </x:c>
      <x:c r="AO1777" t="n">
        <x:f>_xlfn.XLOOKUP($A1777,Games!$A$2:$A$18,Games!$J$2:$J$18,"Missing game",0)</x:f>
        <x:v>23</x:v>
      </x:c>
      <x:c r="AP1777" t="n">
        <x:f>_xlfn.XLOOKUP($A1777,Games!$A$2:$A$18,Games!$K$2:$K$18,"Missing game",0)</x:f>
        <x:v>17</x:v>
      </x:c>
      <x:c r="AQ1777" t="n">
        <x:f>_xlfn.XLOOKUP($A1777,Games!$A$2:$A$18,Games!$L$2:$L$18,"Missing game",0)</x:f>
        <x:v>29</x:v>
      </x:c>
      <x:c r="AR1777" t="n">
        <x:f>_xlfn.XLOOKUP($A1777,Games!$A$2:$A$18,Games!$M$2:$M$18,"Missing game",0)</x:f>
        <x:v>0</x:v>
      </x:c>
      <x:c r="AS1777" t="str">
        <x:f>_xlfn.XLOOKUP($A1777,Games!$A$2:$A$18,Games!$N$2:$N$18,"Missing game",0)</x:f>
        <x:v>outdoors</x:v>
      </x:c>
      <x:c r="AT1777" t="str">
        <x:f>_xlfn.XLOOKUP($A1777,Games!$A$2:$A$18,Games!$O$2:$O$18,"Missing game",0)</x:f>
        <x:v>grass</x:v>
      </x:c>
      <x:c r="AU1777" t="n">
        <x:f>_xlfn.XLOOKUP($A1777,Games!$A$2:$A$18,Games!$P$2:$P$18,"Missing game",0)</x:f>
        <x:v>43</x:v>
      </x:c>
      <x:c r="AV1777" t="n">
        <x:f>_xlfn.XLOOKUP($A1777,Games!$A$2:$A$18,Games!$Q$2:$Q$18,"Missing game",0)</x:f>
        <x:v>10</x:v>
      </x:c>
      <x:c r="AW1777" t="str">
        <x:f>_xlfn.XLOOKUP($A1777,Games!$A$2:$A$18,Games!$R$2:$R$18,"Missing game",0)</x:f>
        <x:v>Lambeau Field</x:v>
      </x:c>
    </x:row>
    <x:row r="1778">
      <x:c r="A1778" t="str">
        <x:v>2025_12_MIN_GB</x:v>
      </x:c>
      <x:c r="B1778" t="n">
        <x:v>1646</x:v>
      </x:c>
      <x:c r="C1778" t="n">
        <x:v>2</x:v>
      </x:c>
      <x:c r="D1778" t="str">
        <x:v>01:20</x:v>
      </x:c>
      <x:c r="E1778" t="n">
        <x:v>3</x:v>
      </x:c>
      <x:c r="F1778" t="n">
        <x:v>1</x:v>
      </x:c>
      <x:c r="G1778" t="str">
        <x:v>MIN</x:v>
      </x:c>
      <x:c r="H1778" t="str">
        <x:v>GB</x:v>
      </x:c>
      <x:c r="I1778" t="str">
        <x:v>MIN</x:v>
      </x:c>
      <x:c r="J1778" t="n">
        <x:v>64</x:v>
      </x:c>
      <x:c r="K1778" t="str">
        <x:v>(1:20) (Shotgun) 33-A.Jones up the middle to MIN 41 for 5 yards (91-W.Brinson).</x:v>
      </x:c>
      <x:c r="L1778" t="str">
        <x:v>run</x:v>
      </x:c>
      <x:c r="M1778" t="n">
        <x:v>5</x:v>
      </x:c>
      <x:c r="N1778" t="n">
        <x:v>1</x:v>
      </x:c>
      <x:c r="O1778" t="n">
        <x:v>0</x:v>
      </x:c>
      <x:c r="P1778"/>
      <x:c r="Q1778"/>
      <x:c r="R1778"/>
      <x:c r="S1778"/>
      <x:c r="T1778" t="str">
        <x:v>middle</x:v>
      </x:c>
      <x:c r="U1778"/>
      <x:c r="V1778" t="n">
        <x:v>0</x:v>
      </x:c>
      <x:c r="W1778" t="n">
        <x:v>1</x:v>
      </x:c>
      <x:c r="X1778" t="n">
        <x:v>0</x:v>
      </x:c>
      <x:c r="Y1778" t="n">
        <x:v>0</x:v>
      </x:c>
      <x:c r="Z1778" t="n">
        <x:v>0</x:v>
      </x:c>
      <x:c r="AA1778" t="n">
        <x:v>0</x:v>
      </x:c>
      <x:c r="AB1778"/>
      <x:c r="AC1778" t="n">
        <x:v>0</x:v>
      </x:c>
      <x:c r="AD1778" t="n">
        <x:v>0.5840415499405935</x:v>
      </x:c>
      <x:c r="AE1778" t="n">
        <x:v>1</x:v>
      </x:c>
      <x:c r="AF1778" t="n">
        <x:v>0.006419926881790161</x:v>
      </x:c>
      <x:c r="AG1778" t="n">
        <x:f>_xlfn.XLOOKUP($A1778,Games!$A$2:$A$18,Games!$B$2:$B$18,"Missing game",0)</x:f>
        <x:v>2025</x:v>
      </x:c>
      <x:c r="AH1778" t="str">
        <x:f>_xlfn.XLOOKUP($A1778,Games!$A$2:$A$18,Games!$C$2:$C$18,"Missing game",0)</x:f>
        <x:v>REG</x:v>
      </x:c>
      <x:c r="AI1778" t="n">
        <x:f>_xlfn.XLOOKUP($A1778,Games!$A$2:$A$18,Games!$D$2:$D$18,"Missing game",0)</x:f>
        <x:v>12</x:v>
      </x:c>
      <x:c r="AJ1778" s="1" t="n">
        <x:f>_xlfn.XLOOKUP($A1778,Games!$A$2:$A$18,Games!$E$2:$E$18,"Missing game",0)</x:f>
        <x:v>45984</x:v>
      </x:c>
      <x:c r="AK1778" t="str">
        <x:f>_xlfn.XLOOKUP($A1778,Games!$A$2:$A$18,Games!$F$2:$F$18,"Missing game",0)</x:f>
        <x:v>Sunday</x:v>
      </x:c>
      <x:c r="AL1778" t="str">
        <x:f>_xlfn.XLOOKUP($A1778,Games!$A$2:$A$18,Games!$G$2:$G$18,"Missing game",0)</x:f>
        <x:v>MIN</x:v>
      </x:c>
      <x:c r="AM1778" t="n">
        <x:f>_xlfn.XLOOKUP($A1778,Games!$A$2:$A$18,Games!$H$2:$H$18,"Missing game",0)</x:f>
        <x:v>6</x:v>
      </x:c>
      <x:c r="AN1778" t="str">
        <x:f>_xlfn.XLOOKUP($A1778,Games!$A$2:$A$18,Games!$I$2:$I$18,"Missing game",0)</x:f>
        <x:v>GB</x:v>
      </x:c>
      <x:c r="AO1778" t="n">
        <x:f>_xlfn.XLOOKUP($A1778,Games!$A$2:$A$18,Games!$J$2:$J$18,"Missing game",0)</x:f>
        <x:v>23</x:v>
      </x:c>
      <x:c r="AP1778" t="n">
        <x:f>_xlfn.XLOOKUP($A1778,Games!$A$2:$A$18,Games!$K$2:$K$18,"Missing game",0)</x:f>
        <x:v>17</x:v>
      </x:c>
      <x:c r="AQ1778" t="n">
        <x:f>_xlfn.XLOOKUP($A1778,Games!$A$2:$A$18,Games!$L$2:$L$18,"Missing game",0)</x:f>
        <x:v>29</x:v>
      </x:c>
      <x:c r="AR1778" t="n">
        <x:f>_xlfn.XLOOKUP($A1778,Games!$A$2:$A$18,Games!$M$2:$M$18,"Missing game",0)</x:f>
        <x:v>0</x:v>
      </x:c>
      <x:c r="AS1778" t="str">
        <x:f>_xlfn.XLOOKUP($A1778,Games!$A$2:$A$18,Games!$N$2:$N$18,"Missing game",0)</x:f>
        <x:v>outdoors</x:v>
      </x:c>
      <x:c r="AT1778" t="str">
        <x:f>_xlfn.XLOOKUP($A1778,Games!$A$2:$A$18,Games!$O$2:$O$18,"Missing game",0)</x:f>
        <x:v>grass</x:v>
      </x:c>
      <x:c r="AU1778" t="n">
        <x:f>_xlfn.XLOOKUP($A1778,Games!$A$2:$A$18,Games!$P$2:$P$18,"Missing game",0)</x:f>
        <x:v>43</x:v>
      </x:c>
      <x:c r="AV1778" t="n">
        <x:f>_xlfn.XLOOKUP($A1778,Games!$A$2:$A$18,Games!$Q$2:$Q$18,"Missing game",0)</x:f>
        <x:v>10</x:v>
      </x:c>
      <x:c r="AW1778" t="str">
        <x:f>_xlfn.XLOOKUP($A1778,Games!$A$2:$A$18,Games!$R$2:$R$18,"Missing game",0)</x:f>
        <x:v>Lambeau Field</x:v>
      </x:c>
    </x:row>
    <x:row r="1779">
      <x:c r="A1779" t="str">
        <x:v>2025_12_MIN_GB</x:v>
      </x:c>
      <x:c r="B1779" t="n">
        <x:v>1668</x:v>
      </x:c>
      <x:c r="C1779" t="n">
        <x:v>2</x:v>
      </x:c>
      <x:c r="D1779" t="str">
        <x:v>01:00</x:v>
      </x:c>
      <x:c r="E1779" t="n">
        <x:v>1</x:v>
      </x:c>
      <x:c r="F1779" t="n">
        <x:v>10</x:v>
      </x:c>
      <x:c r="G1779" t="str">
        <x:v>MIN</x:v>
      </x:c>
      <x:c r="H1779" t="str">
        <x:v>GB</x:v>
      </x:c>
      <x:c r="I1779" t="str">
        <x:v>MIN</x:v>
      </x:c>
      <x:c r="J1779" t="n">
        <x:v>59</x:v>
      </x:c>
      <x:c r="K1779" t="str">
        <x:v>(1:00) (No Huddle, Shotgun) 9-J.McCarthy pass deep left to 18-J.Jefferson to GB 40 for 19 yards (33-E.Williams).</x:v>
      </x:c>
      <x:c r="L1779" t="str">
        <x:v>pass</x:v>
      </x:c>
      <x:c r="M1779" t="n">
        <x:v>19</x:v>
      </x:c>
      <x:c r="N1779" t="n">
        <x:v>1</x:v>
      </x:c>
      <x:c r="O1779" t="n">
        <x:v>1</x:v>
      </x:c>
      <x:c r="P1779" t="str">
        <x:v>deep</x:v>
      </x:c>
      <x:c r="Q1779" t="str">
        <x:v>left</x:v>
      </x:c>
      <x:c r="R1779" t="n">
        <x:v>19</x:v>
      </x:c>
      <x:c r="S1779" t="n">
        <x:v>0</x:v>
      </x:c>
      <x:c r="T1779"/>
      <x:c r="U1779"/>
      <x:c r="V1779" t="n">
        <x:v>1</x:v>
      </x:c>
      <x:c r="W1779" t="n">
        <x:v>1</x:v>
      </x:c>
      <x:c r="X1779" t="n">
        <x:v>0</x:v>
      </x:c>
      <x:c r="Y1779" t="n">
        <x:v>0</x:v>
      </x:c>
      <x:c r="Z1779" t="n">
        <x:v>0</x:v>
      </x:c>
      <x:c r="AA1779" t="n">
        <x:v>0</x:v>
      </x:c>
      <x:c r="AB1779"/>
      <x:c r="AC1779" t="n">
        <x:v>0</x:v>
      </x:c>
      <x:c r="AD1779" t="n">
        <x:v>0.7624550423352048</x:v>
      </x:c>
      <x:c r="AE1779" t="n">
        <x:v>1</x:v>
      </x:c>
      <x:c r="AF1779" t="n">
        <x:v>0.009755149483680725</x:v>
      </x:c>
      <x:c r="AG1779" t="n">
        <x:f>_xlfn.XLOOKUP($A1779,Games!$A$2:$A$18,Games!$B$2:$B$18,"Missing game",0)</x:f>
        <x:v>2025</x:v>
      </x:c>
      <x:c r="AH1779" t="str">
        <x:f>_xlfn.XLOOKUP($A1779,Games!$A$2:$A$18,Games!$C$2:$C$18,"Missing game",0)</x:f>
        <x:v>REG</x:v>
      </x:c>
      <x:c r="AI1779" t="n">
        <x:f>_xlfn.XLOOKUP($A1779,Games!$A$2:$A$18,Games!$D$2:$D$18,"Missing game",0)</x:f>
        <x:v>12</x:v>
      </x:c>
      <x:c r="AJ1779" s="1" t="n">
        <x:f>_xlfn.XLOOKUP($A1779,Games!$A$2:$A$18,Games!$E$2:$E$18,"Missing game",0)</x:f>
        <x:v>45984</x:v>
      </x:c>
      <x:c r="AK1779" t="str">
        <x:f>_xlfn.XLOOKUP($A1779,Games!$A$2:$A$18,Games!$F$2:$F$18,"Missing game",0)</x:f>
        <x:v>Sunday</x:v>
      </x:c>
      <x:c r="AL1779" t="str">
        <x:f>_xlfn.XLOOKUP($A1779,Games!$A$2:$A$18,Games!$G$2:$G$18,"Missing game",0)</x:f>
        <x:v>MIN</x:v>
      </x:c>
      <x:c r="AM1779" t="n">
        <x:f>_xlfn.XLOOKUP($A1779,Games!$A$2:$A$18,Games!$H$2:$H$18,"Missing game",0)</x:f>
        <x:v>6</x:v>
      </x:c>
      <x:c r="AN1779" t="str">
        <x:f>_xlfn.XLOOKUP($A1779,Games!$A$2:$A$18,Games!$I$2:$I$18,"Missing game",0)</x:f>
        <x:v>GB</x:v>
      </x:c>
      <x:c r="AO1779" t="n">
        <x:f>_xlfn.XLOOKUP($A1779,Games!$A$2:$A$18,Games!$J$2:$J$18,"Missing game",0)</x:f>
        <x:v>23</x:v>
      </x:c>
      <x:c r="AP1779" t="n">
        <x:f>_xlfn.XLOOKUP($A1779,Games!$A$2:$A$18,Games!$K$2:$K$18,"Missing game",0)</x:f>
        <x:v>17</x:v>
      </x:c>
      <x:c r="AQ1779" t="n">
        <x:f>_xlfn.XLOOKUP($A1779,Games!$A$2:$A$18,Games!$L$2:$L$18,"Missing game",0)</x:f>
        <x:v>29</x:v>
      </x:c>
      <x:c r="AR1779" t="n">
        <x:f>_xlfn.XLOOKUP($A1779,Games!$A$2:$A$18,Games!$M$2:$M$18,"Missing game",0)</x:f>
        <x:v>0</x:v>
      </x:c>
      <x:c r="AS1779" t="str">
        <x:f>_xlfn.XLOOKUP($A1779,Games!$A$2:$A$18,Games!$N$2:$N$18,"Missing game",0)</x:f>
        <x:v>outdoors</x:v>
      </x:c>
      <x:c r="AT1779" t="str">
        <x:f>_xlfn.XLOOKUP($A1779,Games!$A$2:$A$18,Games!$O$2:$O$18,"Missing game",0)</x:f>
        <x:v>grass</x:v>
      </x:c>
      <x:c r="AU1779" t="n">
        <x:f>_xlfn.XLOOKUP($A1779,Games!$A$2:$A$18,Games!$P$2:$P$18,"Missing game",0)</x:f>
        <x:v>43</x:v>
      </x:c>
      <x:c r="AV1779" t="n">
        <x:f>_xlfn.XLOOKUP($A1779,Games!$A$2:$A$18,Games!$Q$2:$Q$18,"Missing game",0)</x:f>
        <x:v>10</x:v>
      </x:c>
      <x:c r="AW1779" t="str">
        <x:f>_xlfn.XLOOKUP($A1779,Games!$A$2:$A$18,Games!$R$2:$R$18,"Missing game",0)</x:f>
        <x:v>Lambeau Field</x:v>
      </x:c>
    </x:row>
    <x:row r="1780">
      <x:c r="A1780" t="str">
        <x:v>2025_12_MIN_GB</x:v>
      </x:c>
      <x:c r="B1780" t="n">
        <x:v>1693</x:v>
      </x:c>
      <x:c r="C1780" t="n">
        <x:v>2</x:v>
      </x:c>
      <x:c r="D1780" t="str">
        <x:v>00:33</x:v>
      </x:c>
      <x:c r="E1780" t="n">
        <x:v>1</x:v>
      </x:c>
      <x:c r="F1780" t="n">
        <x:v>10</x:v>
      </x:c>
      <x:c r="G1780" t="str">
        <x:v>MIN</x:v>
      </x:c>
      <x:c r="H1780" t="str">
        <x:v>GB</x:v>
      </x:c>
      <x:c r="I1780" t="str">
        <x:v>GB</x:v>
      </x:c>
      <x:c r="J1780" t="n">
        <x:v>40</x:v>
      </x:c>
      <x:c r="K1780" t="str">
        <x:v>(:33) (No Huddle, Shotgun) 9-J.McCarthy pass incomplete short left to 18-J.Jefferson.</x:v>
      </x:c>
      <x:c r="L1780" t="str">
        <x:v>pass</x:v>
      </x:c>
      <x:c r="M1780" t="n">
        <x:v>0</x:v>
      </x:c>
      <x:c r="N1780" t="n">
        <x:v>1</x:v>
      </x:c>
      <x:c r="O1780" t="n">
        <x:v>1</x:v>
      </x:c>
      <x:c r="P1780" t="str">
        <x:v>short</x:v>
      </x:c>
      <x:c r="Q1780" t="str">
        <x:v>left</x:v>
      </x:c>
      <x:c r="R1780" t="n">
        <x:v>14</x:v>
      </x:c>
      <x:c r="S1780"/>
      <x:c r="T1780"/>
      <x:c r="U1780"/>
      <x:c r="V1780" t="n">
        <x:v>0</x:v>
      </x:c>
      <x:c r="W1780" t="n">
        <x:v>0</x:v>
      </x:c>
      <x:c r="X1780" t="n">
        <x:v>0</x:v>
      </x:c>
      <x:c r="Y1780" t="n">
        <x:v>0</x:v>
      </x:c>
      <x:c r="Z1780" t="n">
        <x:v>0</x:v>
      </x:c>
      <x:c r="AA1780" t="n">
        <x:v>0</x:v>
      </x:c>
      <x:c r="AB1780"/>
      <x:c r="AC1780" t="n">
        <x:v>0</x:v>
      </x:c>
      <x:c r="AD1780" t="n">
        <x:v>-0.13918805390130728</x:v>
      </x:c>
      <x:c r="AE1780" t="n">
        <x:v>0</x:v>
      </x:c>
      <x:c r="AF1780" t="n">
        <x:v>-0.012672126293182373</x:v>
      </x:c>
      <x:c r="AG1780" t="n">
        <x:f>_xlfn.XLOOKUP($A1780,Games!$A$2:$A$18,Games!$B$2:$B$18,"Missing game",0)</x:f>
        <x:v>2025</x:v>
      </x:c>
      <x:c r="AH1780" t="str">
        <x:f>_xlfn.XLOOKUP($A1780,Games!$A$2:$A$18,Games!$C$2:$C$18,"Missing game",0)</x:f>
        <x:v>REG</x:v>
      </x:c>
      <x:c r="AI1780" t="n">
        <x:f>_xlfn.XLOOKUP($A1780,Games!$A$2:$A$18,Games!$D$2:$D$18,"Missing game",0)</x:f>
        <x:v>12</x:v>
      </x:c>
      <x:c r="AJ1780" s="1" t="n">
        <x:f>_xlfn.XLOOKUP($A1780,Games!$A$2:$A$18,Games!$E$2:$E$18,"Missing game",0)</x:f>
        <x:v>45984</x:v>
      </x:c>
      <x:c r="AK1780" t="str">
        <x:f>_xlfn.XLOOKUP($A1780,Games!$A$2:$A$18,Games!$F$2:$F$18,"Missing game",0)</x:f>
        <x:v>Sunday</x:v>
      </x:c>
      <x:c r="AL1780" t="str">
        <x:f>_xlfn.XLOOKUP($A1780,Games!$A$2:$A$18,Games!$G$2:$G$18,"Missing game",0)</x:f>
        <x:v>MIN</x:v>
      </x:c>
      <x:c r="AM1780" t="n">
        <x:f>_xlfn.XLOOKUP($A1780,Games!$A$2:$A$18,Games!$H$2:$H$18,"Missing game",0)</x:f>
        <x:v>6</x:v>
      </x:c>
      <x:c r="AN1780" t="str">
        <x:f>_xlfn.XLOOKUP($A1780,Games!$A$2:$A$18,Games!$I$2:$I$18,"Missing game",0)</x:f>
        <x:v>GB</x:v>
      </x:c>
      <x:c r="AO1780" t="n">
        <x:f>_xlfn.XLOOKUP($A1780,Games!$A$2:$A$18,Games!$J$2:$J$18,"Missing game",0)</x:f>
        <x:v>23</x:v>
      </x:c>
      <x:c r="AP1780" t="n">
        <x:f>_xlfn.XLOOKUP($A1780,Games!$A$2:$A$18,Games!$K$2:$K$18,"Missing game",0)</x:f>
        <x:v>17</x:v>
      </x:c>
      <x:c r="AQ1780" t="n">
        <x:f>_xlfn.XLOOKUP($A1780,Games!$A$2:$A$18,Games!$L$2:$L$18,"Missing game",0)</x:f>
        <x:v>29</x:v>
      </x:c>
      <x:c r="AR1780" t="n">
        <x:f>_xlfn.XLOOKUP($A1780,Games!$A$2:$A$18,Games!$M$2:$M$18,"Missing game",0)</x:f>
        <x:v>0</x:v>
      </x:c>
      <x:c r="AS1780" t="str">
        <x:f>_xlfn.XLOOKUP($A1780,Games!$A$2:$A$18,Games!$N$2:$N$18,"Missing game",0)</x:f>
        <x:v>outdoors</x:v>
      </x:c>
      <x:c r="AT1780" t="str">
        <x:f>_xlfn.XLOOKUP($A1780,Games!$A$2:$A$18,Games!$O$2:$O$18,"Missing game",0)</x:f>
        <x:v>grass</x:v>
      </x:c>
      <x:c r="AU1780" t="n">
        <x:f>_xlfn.XLOOKUP($A1780,Games!$A$2:$A$18,Games!$P$2:$P$18,"Missing game",0)</x:f>
        <x:v>43</x:v>
      </x:c>
      <x:c r="AV1780" t="n">
        <x:f>_xlfn.XLOOKUP($A1780,Games!$A$2:$A$18,Games!$Q$2:$Q$18,"Missing game",0)</x:f>
        <x:v>10</x:v>
      </x:c>
      <x:c r="AW1780" t="str">
        <x:f>_xlfn.XLOOKUP($A1780,Games!$A$2:$A$18,Games!$R$2:$R$18,"Missing game",0)</x:f>
        <x:v>Lambeau Field</x:v>
      </x:c>
    </x:row>
    <x:row r="1781">
      <x:c r="A1781" t="str">
        <x:v>2025_12_MIN_GB</x:v>
      </x:c>
      <x:c r="B1781" t="n">
        <x:v>1716</x:v>
      </x:c>
      <x:c r="C1781" t="n">
        <x:v>2</x:v>
      </x:c>
      <x:c r="D1781" t="str">
        <x:v>00:29</x:v>
      </x:c>
      <x:c r="E1781" t="n">
        <x:v>2</x:v>
      </x:c>
      <x:c r="F1781" t="n">
        <x:v>10</x:v>
      </x:c>
      <x:c r="G1781" t="str">
        <x:v>MIN</x:v>
      </x:c>
      <x:c r="H1781" t="str">
        <x:v>GB</x:v>
      </x:c>
      <x:c r="I1781" t="str">
        <x:v>GB</x:v>
      </x:c>
      <x:c r="J1781" t="n">
        <x:v>40</x:v>
      </x:c>
      <x:c r="K1781" t="str">
        <x:v>(:29) (Shotgun) 9-J.McCarthy sacked at GB 47 for -7 yards (sack split by 58-I.McDuffie and 91-W.Brinson).</x:v>
      </x:c>
      <x:c r="L1781" t="str">
        <x:v>pass</x:v>
      </x:c>
      <x:c r="M1781" t="n">
        <x:v>-7</x:v>
      </x:c>
      <x:c r="N1781" t="n">
        <x:v>1</x:v>
      </x:c>
      <x:c r="O1781" t="n">
        <x:v>0</x:v>
      </x:c>
      <x:c r="P1781"/>
      <x:c r="Q1781"/>
      <x:c r="R1781"/>
      <x:c r="S1781"/>
      <x:c r="T1781"/>
      <x:c r="U1781"/>
      <x:c r="V1781" t="n">
        <x:v>0</x:v>
      </x:c>
      <x:c r="W1781" t="n">
        <x:v>0</x:v>
      </x:c>
      <x:c r="X1781" t="n">
        <x:v>1</x:v>
      </x:c>
      <x:c r="Y1781" t="n">
        <x:v>0</x:v>
      </x:c>
      <x:c r="Z1781" t="n">
        <x:v>0</x:v>
      </x:c>
      <x:c r="AA1781" t="n">
        <x:v>0</x:v>
      </x:c>
      <x:c r="AB1781"/>
      <x:c r="AC1781" t="n">
        <x:v>0</x:v>
      </x:c>
      <x:c r="AD1781" t="n">
        <x:v>-1.0189753861632198</x:v>
      </x:c>
      <x:c r="AE1781" t="n">
        <x:v>0</x:v>
      </x:c>
      <x:c r="AF1781" t="n">
        <x:v>-0.04271920025348663</x:v>
      </x:c>
      <x:c r="AG1781" t="n">
        <x:f>_xlfn.XLOOKUP($A1781,Games!$A$2:$A$18,Games!$B$2:$B$18,"Missing game",0)</x:f>
        <x:v>2025</x:v>
      </x:c>
      <x:c r="AH1781" t="str">
        <x:f>_xlfn.XLOOKUP($A1781,Games!$A$2:$A$18,Games!$C$2:$C$18,"Missing game",0)</x:f>
        <x:v>REG</x:v>
      </x:c>
      <x:c r="AI1781" t="n">
        <x:f>_xlfn.XLOOKUP($A1781,Games!$A$2:$A$18,Games!$D$2:$D$18,"Missing game",0)</x:f>
        <x:v>12</x:v>
      </x:c>
      <x:c r="AJ1781" s="1" t="n">
        <x:f>_xlfn.XLOOKUP($A1781,Games!$A$2:$A$18,Games!$E$2:$E$18,"Missing game",0)</x:f>
        <x:v>45984</x:v>
      </x:c>
      <x:c r="AK1781" t="str">
        <x:f>_xlfn.XLOOKUP($A1781,Games!$A$2:$A$18,Games!$F$2:$F$18,"Missing game",0)</x:f>
        <x:v>Sunday</x:v>
      </x:c>
      <x:c r="AL1781" t="str">
        <x:f>_xlfn.XLOOKUP($A1781,Games!$A$2:$A$18,Games!$G$2:$G$18,"Missing game",0)</x:f>
        <x:v>MIN</x:v>
      </x:c>
      <x:c r="AM1781" t="n">
        <x:f>_xlfn.XLOOKUP($A1781,Games!$A$2:$A$18,Games!$H$2:$H$18,"Missing game",0)</x:f>
        <x:v>6</x:v>
      </x:c>
      <x:c r="AN1781" t="str">
        <x:f>_xlfn.XLOOKUP($A1781,Games!$A$2:$A$18,Games!$I$2:$I$18,"Missing game",0)</x:f>
        <x:v>GB</x:v>
      </x:c>
      <x:c r="AO1781" t="n">
        <x:f>_xlfn.XLOOKUP($A1781,Games!$A$2:$A$18,Games!$J$2:$J$18,"Missing game",0)</x:f>
        <x:v>23</x:v>
      </x:c>
      <x:c r="AP1781" t="n">
        <x:f>_xlfn.XLOOKUP($A1781,Games!$A$2:$A$18,Games!$K$2:$K$18,"Missing game",0)</x:f>
        <x:v>17</x:v>
      </x:c>
      <x:c r="AQ1781" t="n">
        <x:f>_xlfn.XLOOKUP($A1781,Games!$A$2:$A$18,Games!$L$2:$L$18,"Missing game",0)</x:f>
        <x:v>29</x:v>
      </x:c>
      <x:c r="AR1781" t="n">
        <x:f>_xlfn.XLOOKUP($A1781,Games!$A$2:$A$18,Games!$M$2:$M$18,"Missing game",0)</x:f>
        <x:v>0</x:v>
      </x:c>
      <x:c r="AS1781" t="str">
        <x:f>_xlfn.XLOOKUP($A1781,Games!$A$2:$A$18,Games!$N$2:$N$18,"Missing game",0)</x:f>
        <x:v>outdoors</x:v>
      </x:c>
      <x:c r="AT1781" t="str">
        <x:f>_xlfn.XLOOKUP($A1781,Games!$A$2:$A$18,Games!$O$2:$O$18,"Missing game",0)</x:f>
        <x:v>grass</x:v>
      </x:c>
      <x:c r="AU1781" t="n">
        <x:f>_xlfn.XLOOKUP($A1781,Games!$A$2:$A$18,Games!$P$2:$P$18,"Missing game",0)</x:f>
        <x:v>43</x:v>
      </x:c>
      <x:c r="AV1781" t="n">
        <x:f>_xlfn.XLOOKUP($A1781,Games!$A$2:$A$18,Games!$Q$2:$Q$18,"Missing game",0)</x:f>
        <x:v>10</x:v>
      </x:c>
      <x:c r="AW1781" t="str">
        <x:f>_xlfn.XLOOKUP($A1781,Games!$A$2:$A$18,Games!$R$2:$R$18,"Missing game",0)</x:f>
        <x:v>Lambeau Field</x:v>
      </x:c>
    </x:row>
    <x:row r="1782">
      <x:c r="A1782" t="str">
        <x:v>2025_12_MIN_GB</x:v>
      </x:c>
      <x:c r="B1782" t="n">
        <x:v>1736</x:v>
      </x:c>
      <x:c r="C1782" t="n">
        <x:v>2</x:v>
      </x:c>
      <x:c r="D1782" t="str">
        <x:v>00:23</x:v>
      </x:c>
      <x:c r="E1782" t="n">
        <x:v>3</x:v>
      </x:c>
      <x:c r="F1782" t="n">
        <x:v>17</x:v>
      </x:c>
      <x:c r="G1782" t="str">
        <x:v>MIN</x:v>
      </x:c>
      <x:c r="H1782" t="str">
        <x:v>GB</x:v>
      </x:c>
      <x:c r="I1782" t="str">
        <x:v>GB</x:v>
      </x:c>
      <x:c r="J1782" t="n">
        <x:v>47</x:v>
      </x:c>
      <x:c r="K1782" t="str">
        <x:v>(:23) (Shotgun) 9-J.McCarthy pass short right to 33-A.Jones to GB 41 for 6 yards (58-I.McDuffie; 20-J.Bullard).</x:v>
      </x:c>
      <x:c r="L1782" t="str">
        <x:v>pass</x:v>
      </x:c>
      <x:c r="M1782" t="n">
        <x:v>6</x:v>
      </x:c>
      <x:c r="N1782" t="n">
        <x:v>1</x:v>
      </x:c>
      <x:c r="O1782" t="n">
        <x:v>0</x:v>
      </x:c>
      <x:c r="P1782" t="str">
        <x:v>short</x:v>
      </x:c>
      <x:c r="Q1782" t="str">
        <x:v>right</x:v>
      </x:c>
      <x:c r="R1782" t="n">
        <x:v>2</x:v>
      </x:c>
      <x:c r="S1782" t="n">
        <x:v>4</x:v>
      </x:c>
      <x:c r="T1782"/>
      <x:c r="U1782"/>
      <x:c r="V1782" t="n">
        <x:v>1</x:v>
      </x:c>
      <x:c r="W1782" t="n">
        <x:v>0</x:v>
      </x:c>
      <x:c r="X1782" t="n">
        <x:v>0</x:v>
      </x:c>
      <x:c r="Y1782" t="n">
        <x:v>0</x:v>
      </x:c>
      <x:c r="Z1782" t="n">
        <x:v>0</x:v>
      </x:c>
      <x:c r="AA1782" t="n">
        <x:v>0</x:v>
      </x:c>
      <x:c r="AB1782"/>
      <x:c r="AC1782" t="n">
        <x:v>0</x:v>
      </x:c>
      <x:c r="AD1782" t="n">
        <x:v>-0.054867395299717736</x:v>
      </x:c>
      <x:c r="AE1782" t="n">
        <x:v>0</x:v>
      </x:c>
      <x:c r="AF1782" t="n">
        <x:v>-0.02770368754863739</x:v>
      </x:c>
      <x:c r="AG1782" t="n">
        <x:f>_xlfn.XLOOKUP($A1782,Games!$A$2:$A$18,Games!$B$2:$B$18,"Missing game",0)</x:f>
        <x:v>2025</x:v>
      </x:c>
      <x:c r="AH1782" t="str">
        <x:f>_xlfn.XLOOKUP($A1782,Games!$A$2:$A$18,Games!$C$2:$C$18,"Missing game",0)</x:f>
        <x:v>REG</x:v>
      </x:c>
      <x:c r="AI1782" t="n">
        <x:f>_xlfn.XLOOKUP($A1782,Games!$A$2:$A$18,Games!$D$2:$D$18,"Missing game",0)</x:f>
        <x:v>12</x:v>
      </x:c>
      <x:c r="AJ1782" s="1" t="n">
        <x:f>_xlfn.XLOOKUP($A1782,Games!$A$2:$A$18,Games!$E$2:$E$18,"Missing game",0)</x:f>
        <x:v>45984</x:v>
      </x:c>
      <x:c r="AK1782" t="str">
        <x:f>_xlfn.XLOOKUP($A1782,Games!$A$2:$A$18,Games!$F$2:$F$18,"Missing game",0)</x:f>
        <x:v>Sunday</x:v>
      </x:c>
      <x:c r="AL1782" t="str">
        <x:f>_xlfn.XLOOKUP($A1782,Games!$A$2:$A$18,Games!$G$2:$G$18,"Missing game",0)</x:f>
        <x:v>MIN</x:v>
      </x:c>
      <x:c r="AM1782" t="n">
        <x:f>_xlfn.XLOOKUP($A1782,Games!$A$2:$A$18,Games!$H$2:$H$18,"Missing game",0)</x:f>
        <x:v>6</x:v>
      </x:c>
      <x:c r="AN1782" t="str">
        <x:f>_xlfn.XLOOKUP($A1782,Games!$A$2:$A$18,Games!$I$2:$I$18,"Missing game",0)</x:f>
        <x:v>GB</x:v>
      </x:c>
      <x:c r="AO1782" t="n">
        <x:f>_xlfn.XLOOKUP($A1782,Games!$A$2:$A$18,Games!$J$2:$J$18,"Missing game",0)</x:f>
        <x:v>23</x:v>
      </x:c>
      <x:c r="AP1782" t="n">
        <x:f>_xlfn.XLOOKUP($A1782,Games!$A$2:$A$18,Games!$K$2:$K$18,"Missing game",0)</x:f>
        <x:v>17</x:v>
      </x:c>
      <x:c r="AQ1782" t="n">
        <x:f>_xlfn.XLOOKUP($A1782,Games!$A$2:$A$18,Games!$L$2:$L$18,"Missing game",0)</x:f>
        <x:v>29</x:v>
      </x:c>
      <x:c r="AR1782" t="n">
        <x:f>_xlfn.XLOOKUP($A1782,Games!$A$2:$A$18,Games!$M$2:$M$18,"Missing game",0)</x:f>
        <x:v>0</x:v>
      </x:c>
      <x:c r="AS1782" t="str">
        <x:f>_xlfn.XLOOKUP($A1782,Games!$A$2:$A$18,Games!$N$2:$N$18,"Missing game",0)</x:f>
        <x:v>outdoors</x:v>
      </x:c>
      <x:c r="AT1782" t="str">
        <x:f>_xlfn.XLOOKUP($A1782,Games!$A$2:$A$18,Games!$O$2:$O$18,"Missing game",0)</x:f>
        <x:v>grass</x:v>
      </x:c>
      <x:c r="AU1782" t="n">
        <x:f>_xlfn.XLOOKUP($A1782,Games!$A$2:$A$18,Games!$P$2:$P$18,"Missing game",0)</x:f>
        <x:v>43</x:v>
      </x:c>
      <x:c r="AV1782" t="n">
        <x:f>_xlfn.XLOOKUP($A1782,Games!$A$2:$A$18,Games!$Q$2:$Q$18,"Missing game",0)</x:f>
        <x:v>10</x:v>
      </x:c>
      <x:c r="AW1782" t="str">
        <x:f>_xlfn.XLOOKUP($A1782,Games!$A$2:$A$18,Games!$R$2:$R$18,"Missing game",0)</x:f>
        <x:v>Lambeau Field</x:v>
      </x:c>
    </x:row>
    <x:row r="1783">
      <x:c r="A1783" t="str">
        <x:v>2025_12_MIN_GB</x:v>
      </x:c>
      <x:c r="B1783" t="n">
        <x:v>1748</x:v>
      </x:c>
      <x:c r="C1783" t="n">
        <x:v>2</x:v>
      </x:c>
      <x:c r="D1783" t="str">
        <x:v>00:23</x:v>
      </x:c>
      <x:c r="E1783"/>
      <x:c r="F1783" t="n">
        <x:v>0</x:v>
      </x:c>
      <x:c r="G1783"/>
      <x:c r="H1783"/>
      <x:c r="I1783"/>
      <x:c r="J1783"/>
      <x:c r="K1783" t="str">
        <x:v>Timeout #2 by MIN at 00:23.</x:v>
      </x:c>
      <x:c r="L1783" t="str">
        <x:v>no_play</x:v>
      </x:c>
      <x:c r="M1783" t="n">
        <x:v>0</x:v>
      </x:c>
      <x:c r="N1783" t="n">
        <x:v>0</x:v>
      </x:c>
      <x:c r="O1783" t="n">
        <x:v>0</x:v>
      </x:c>
      <x:c r="P1783"/>
      <x:c r="Q1783"/>
      <x:c r="R1783"/>
      <x:c r="S1783"/>
      <x:c r="T1783"/>
      <x:c r="U1783"/>
      <x:c r="V1783" t="n">
        <x:v>0</x:v>
      </x:c>
      <x:c r="W1783" t="n">
        <x:v>0</x:v>
      </x:c>
      <x:c r="X1783" t="n">
        <x:v>0</x:v>
      </x:c>
      <x:c r="Y1783" t="n">
        <x:v>0</x:v>
      </x:c>
      <x:c r="Z1783" t="n">
        <x:v>0</x:v>
      </x:c>
      <x:c r="AA1783" t="n">
        <x:v>0</x:v>
      </x:c>
      <x:c r="AB1783"/>
      <x:c r="AC1783" t="n">
        <x:v>0</x:v>
      </x:c>
      <x:c r="AD1783" t="n">
        <x:v>0</x:v>
      </x:c>
      <x:c r="AE1783" t="n">
        <x:v>0</x:v>
      </x:c>
      <x:c r="AF1783" t="n">
        <x:v>0</x:v>
      </x:c>
      <x:c r="AG1783" t="n">
        <x:f>_xlfn.XLOOKUP($A1783,Games!$A$2:$A$18,Games!$B$2:$B$18,"Missing game",0)</x:f>
        <x:v>2025</x:v>
      </x:c>
      <x:c r="AH1783" t="str">
        <x:f>_xlfn.XLOOKUP($A1783,Games!$A$2:$A$18,Games!$C$2:$C$18,"Missing game",0)</x:f>
        <x:v>REG</x:v>
      </x:c>
      <x:c r="AI1783" t="n">
        <x:f>_xlfn.XLOOKUP($A1783,Games!$A$2:$A$18,Games!$D$2:$D$18,"Missing game",0)</x:f>
        <x:v>12</x:v>
      </x:c>
      <x:c r="AJ1783" s="1" t="n">
        <x:f>_xlfn.XLOOKUP($A1783,Games!$A$2:$A$18,Games!$E$2:$E$18,"Missing game",0)</x:f>
        <x:v>45984</x:v>
      </x:c>
      <x:c r="AK1783" t="str">
        <x:f>_xlfn.XLOOKUP($A1783,Games!$A$2:$A$18,Games!$F$2:$F$18,"Missing game",0)</x:f>
        <x:v>Sunday</x:v>
      </x:c>
      <x:c r="AL1783" t="str">
        <x:f>_xlfn.XLOOKUP($A1783,Games!$A$2:$A$18,Games!$G$2:$G$18,"Missing game",0)</x:f>
        <x:v>MIN</x:v>
      </x:c>
      <x:c r="AM1783" t="n">
        <x:f>_xlfn.XLOOKUP($A1783,Games!$A$2:$A$18,Games!$H$2:$H$18,"Missing game",0)</x:f>
        <x:v>6</x:v>
      </x:c>
      <x:c r="AN1783" t="str">
        <x:f>_xlfn.XLOOKUP($A1783,Games!$A$2:$A$18,Games!$I$2:$I$18,"Missing game",0)</x:f>
        <x:v>GB</x:v>
      </x:c>
      <x:c r="AO1783" t="n">
        <x:f>_xlfn.XLOOKUP($A1783,Games!$A$2:$A$18,Games!$J$2:$J$18,"Missing game",0)</x:f>
        <x:v>23</x:v>
      </x:c>
      <x:c r="AP1783" t="n">
        <x:f>_xlfn.XLOOKUP($A1783,Games!$A$2:$A$18,Games!$K$2:$K$18,"Missing game",0)</x:f>
        <x:v>17</x:v>
      </x:c>
      <x:c r="AQ1783" t="n">
        <x:f>_xlfn.XLOOKUP($A1783,Games!$A$2:$A$18,Games!$L$2:$L$18,"Missing game",0)</x:f>
        <x:v>29</x:v>
      </x:c>
      <x:c r="AR1783" t="n">
        <x:f>_xlfn.XLOOKUP($A1783,Games!$A$2:$A$18,Games!$M$2:$M$18,"Missing game",0)</x:f>
        <x:v>0</x:v>
      </x:c>
      <x:c r="AS1783" t="str">
        <x:f>_xlfn.XLOOKUP($A1783,Games!$A$2:$A$18,Games!$N$2:$N$18,"Missing game",0)</x:f>
        <x:v>outdoors</x:v>
      </x:c>
      <x:c r="AT1783" t="str">
        <x:f>_xlfn.XLOOKUP($A1783,Games!$A$2:$A$18,Games!$O$2:$O$18,"Missing game",0)</x:f>
        <x:v>grass</x:v>
      </x:c>
      <x:c r="AU1783" t="n">
        <x:f>_xlfn.XLOOKUP($A1783,Games!$A$2:$A$18,Games!$P$2:$P$18,"Missing game",0)</x:f>
        <x:v>43</x:v>
      </x:c>
      <x:c r="AV1783" t="n">
        <x:f>_xlfn.XLOOKUP($A1783,Games!$A$2:$A$18,Games!$Q$2:$Q$18,"Missing game",0)</x:f>
        <x:v>10</x:v>
      </x:c>
      <x:c r="AW1783" t="str">
        <x:f>_xlfn.XLOOKUP($A1783,Games!$A$2:$A$18,Games!$R$2:$R$18,"Missing game",0)</x:f>
        <x:v>Lambeau Field</x:v>
      </x:c>
    </x:row>
    <x:row r="1784">
      <x:c r="A1784" t="str">
        <x:v>2025_12_MIN_GB</x:v>
      </x:c>
      <x:c r="B1784" t="n">
        <x:v>1768</x:v>
      </x:c>
      <x:c r="C1784" t="n">
        <x:v>2</x:v>
      </x:c>
      <x:c r="D1784" t="str">
        <x:v>00:15</x:v>
      </x:c>
      <x:c r="E1784" t="n">
        <x:v>4</x:v>
      </x:c>
      <x:c r="F1784" t="n">
        <x:v>11</x:v>
      </x:c>
      <x:c r="G1784" t="str">
        <x:v>MIN</x:v>
      </x:c>
      <x:c r="H1784" t="str">
        <x:v>GB</x:v>
      </x:c>
      <x:c r="I1784" t="str">
        <x:v>GB</x:v>
      </x:c>
      <x:c r="J1784" t="n">
        <x:v>41</x:v>
      </x:c>
      <x:c r="K1784" t="str">
        <x:v>(:15) 16-W.Reichard 59 yard field goal is GOOD, Center-42-A.DePaola, Holder-17-R.Wright.</x:v>
      </x:c>
      <x:c r="L1784" t="str">
        <x:v>field_goal</x:v>
      </x:c>
      <x:c r="M1784" t="n">
        <x:v>0</x:v>
      </x:c>
      <x:c r="N1784" t="n">
        <x:v>0</x:v>
      </x:c>
      <x:c r="O1784" t="n">
        <x:v>0</x:v>
      </x:c>
      <x:c r="P1784"/>
      <x:c r="Q1784"/>
      <x:c r="R1784"/>
      <x:c r="S1784"/>
      <x:c r="T1784"/>
      <x:c r="U1784"/>
      <x:c r="V1784" t="n">
        <x:v>0</x:v>
      </x:c>
      <x:c r="W1784" t="n">
        <x:v>0</x:v>
      </x:c>
      <x:c r="X1784" t="n">
        <x:v>0</x:v>
      </x:c>
      <x:c r="Y1784" t="n">
        <x:v>0</x:v>
      </x:c>
      <x:c r="Z1784" t="n">
        <x:v>0</x:v>
      </x:c>
      <x:c r="AA1784" t="n">
        <x:v>0</x:v>
      </x:c>
      <x:c r="AB1784"/>
      <x:c r="AC1784" t="n">
        <x:v>0</x:v>
      </x:c>
      <x:c r="AD1784" t="n">
        <x:v>2.028295459558487</x:v>
      </x:c>
      <x:c r="AE1784" t="n">
        <x:v>1</x:v>
      </x:c>
      <x:c r="AF1784" t="n">
        <x:v>0.08362960815429688</x:v>
      </x:c>
      <x:c r="AG1784" t="n">
        <x:f>_xlfn.XLOOKUP($A1784,Games!$A$2:$A$18,Games!$B$2:$B$18,"Missing game",0)</x:f>
        <x:v>2025</x:v>
      </x:c>
      <x:c r="AH1784" t="str">
        <x:f>_xlfn.XLOOKUP($A1784,Games!$A$2:$A$18,Games!$C$2:$C$18,"Missing game",0)</x:f>
        <x:v>REG</x:v>
      </x:c>
      <x:c r="AI1784" t="n">
        <x:f>_xlfn.XLOOKUP($A1784,Games!$A$2:$A$18,Games!$D$2:$D$18,"Missing game",0)</x:f>
        <x:v>12</x:v>
      </x:c>
      <x:c r="AJ1784" s="1" t="n">
        <x:f>_xlfn.XLOOKUP($A1784,Games!$A$2:$A$18,Games!$E$2:$E$18,"Missing game",0)</x:f>
        <x:v>45984</x:v>
      </x:c>
      <x:c r="AK1784" t="str">
        <x:f>_xlfn.XLOOKUP($A1784,Games!$A$2:$A$18,Games!$F$2:$F$18,"Missing game",0)</x:f>
        <x:v>Sunday</x:v>
      </x:c>
      <x:c r="AL1784" t="str">
        <x:f>_xlfn.XLOOKUP($A1784,Games!$A$2:$A$18,Games!$G$2:$G$18,"Missing game",0)</x:f>
        <x:v>MIN</x:v>
      </x:c>
      <x:c r="AM1784" t="n">
        <x:f>_xlfn.XLOOKUP($A1784,Games!$A$2:$A$18,Games!$H$2:$H$18,"Missing game",0)</x:f>
        <x:v>6</x:v>
      </x:c>
      <x:c r="AN1784" t="str">
        <x:f>_xlfn.XLOOKUP($A1784,Games!$A$2:$A$18,Games!$I$2:$I$18,"Missing game",0)</x:f>
        <x:v>GB</x:v>
      </x:c>
      <x:c r="AO1784" t="n">
        <x:f>_xlfn.XLOOKUP($A1784,Games!$A$2:$A$18,Games!$J$2:$J$18,"Missing game",0)</x:f>
        <x:v>23</x:v>
      </x:c>
      <x:c r="AP1784" t="n">
        <x:f>_xlfn.XLOOKUP($A1784,Games!$A$2:$A$18,Games!$K$2:$K$18,"Missing game",0)</x:f>
        <x:v>17</x:v>
      </x:c>
      <x:c r="AQ1784" t="n">
        <x:f>_xlfn.XLOOKUP($A1784,Games!$A$2:$A$18,Games!$L$2:$L$18,"Missing game",0)</x:f>
        <x:v>29</x:v>
      </x:c>
      <x:c r="AR1784" t="n">
        <x:f>_xlfn.XLOOKUP($A1784,Games!$A$2:$A$18,Games!$M$2:$M$18,"Missing game",0)</x:f>
        <x:v>0</x:v>
      </x:c>
      <x:c r="AS1784" t="str">
        <x:f>_xlfn.XLOOKUP($A1784,Games!$A$2:$A$18,Games!$N$2:$N$18,"Missing game",0)</x:f>
        <x:v>outdoors</x:v>
      </x:c>
      <x:c r="AT1784" t="str">
        <x:f>_xlfn.XLOOKUP($A1784,Games!$A$2:$A$18,Games!$O$2:$O$18,"Missing game",0)</x:f>
        <x:v>grass</x:v>
      </x:c>
      <x:c r="AU1784" t="n">
        <x:f>_xlfn.XLOOKUP($A1784,Games!$A$2:$A$18,Games!$P$2:$P$18,"Missing game",0)</x:f>
        <x:v>43</x:v>
      </x:c>
      <x:c r="AV1784" t="n">
        <x:f>_xlfn.XLOOKUP($A1784,Games!$A$2:$A$18,Games!$Q$2:$Q$18,"Missing game",0)</x:f>
        <x:v>10</x:v>
      </x:c>
      <x:c r="AW1784" t="str">
        <x:f>_xlfn.XLOOKUP($A1784,Games!$A$2:$A$18,Games!$R$2:$R$18,"Missing game",0)</x:f>
        <x:v>Lambeau Field</x:v>
      </x:c>
    </x:row>
    <x:row r="1785">
      <x:c r="A1785" t="str">
        <x:v>2025_12_MIN_GB</x:v>
      </x:c>
      <x:c r="B1785" t="n">
        <x:v>1780</x:v>
      </x:c>
      <x:c r="C1785" t="n">
        <x:v>2</x:v>
      </x:c>
      <x:c r="D1785" t="str">
        <x:v>00:15</x:v>
      </x:c>
      <x:c r="E1785"/>
      <x:c r="F1785" t="n">
        <x:v>0</x:v>
      </x:c>
      <x:c r="G1785"/>
      <x:c r="H1785"/>
      <x:c r="I1785"/>
      <x:c r="J1785"/>
      <x:c r="K1785" t="str">
        <x:v>Timeout #2 by GB at 00:15.</x:v>
      </x:c>
      <x:c r="L1785" t="str">
        <x:v>no_play</x:v>
      </x:c>
      <x:c r="M1785" t="n">
        <x:v>0</x:v>
      </x:c>
      <x:c r="N1785" t="n">
        <x:v>0</x:v>
      </x:c>
      <x:c r="O1785" t="n">
        <x:v>0</x:v>
      </x:c>
      <x:c r="P1785"/>
      <x:c r="Q1785"/>
      <x:c r="R1785"/>
      <x:c r="S1785"/>
      <x:c r="T1785"/>
      <x:c r="U1785"/>
      <x:c r="V1785" t="n">
        <x:v>0</x:v>
      </x:c>
      <x:c r="W1785" t="n">
        <x:v>0</x:v>
      </x:c>
      <x:c r="X1785" t="n">
        <x:v>0</x:v>
      </x:c>
      <x:c r="Y1785" t="n">
        <x:v>0</x:v>
      </x:c>
      <x:c r="Z1785" t="n">
        <x:v>0</x:v>
      </x:c>
      <x:c r="AA1785" t="n">
        <x:v>0</x:v>
      </x:c>
      <x:c r="AB1785"/>
      <x:c r="AC1785" t="n">
        <x:v>0</x:v>
      </x:c>
      <x:c r="AD1785" t="n">
        <x:v>0</x:v>
      </x:c>
      <x:c r="AE1785" t="n">
        <x:v>0</x:v>
      </x:c>
      <x:c r="AF1785" t="n">
        <x:v>0</x:v>
      </x:c>
      <x:c r="AG1785" t="n">
        <x:f>_xlfn.XLOOKUP($A1785,Games!$A$2:$A$18,Games!$B$2:$B$18,"Missing game",0)</x:f>
        <x:v>2025</x:v>
      </x:c>
      <x:c r="AH1785" t="str">
        <x:f>_xlfn.XLOOKUP($A1785,Games!$A$2:$A$18,Games!$C$2:$C$18,"Missing game",0)</x:f>
        <x:v>REG</x:v>
      </x:c>
      <x:c r="AI1785" t="n">
        <x:f>_xlfn.XLOOKUP($A1785,Games!$A$2:$A$18,Games!$D$2:$D$18,"Missing game",0)</x:f>
        <x:v>12</x:v>
      </x:c>
      <x:c r="AJ1785" s="1" t="n">
        <x:f>_xlfn.XLOOKUP($A1785,Games!$A$2:$A$18,Games!$E$2:$E$18,"Missing game",0)</x:f>
        <x:v>45984</x:v>
      </x:c>
      <x:c r="AK1785" t="str">
        <x:f>_xlfn.XLOOKUP($A1785,Games!$A$2:$A$18,Games!$F$2:$F$18,"Missing game",0)</x:f>
        <x:v>Sunday</x:v>
      </x:c>
      <x:c r="AL1785" t="str">
        <x:f>_xlfn.XLOOKUP($A1785,Games!$A$2:$A$18,Games!$G$2:$G$18,"Missing game",0)</x:f>
        <x:v>MIN</x:v>
      </x:c>
      <x:c r="AM1785" t="n">
        <x:f>_xlfn.XLOOKUP($A1785,Games!$A$2:$A$18,Games!$H$2:$H$18,"Missing game",0)</x:f>
        <x:v>6</x:v>
      </x:c>
      <x:c r="AN1785" t="str">
        <x:f>_xlfn.XLOOKUP($A1785,Games!$A$2:$A$18,Games!$I$2:$I$18,"Missing game",0)</x:f>
        <x:v>GB</x:v>
      </x:c>
      <x:c r="AO1785" t="n">
        <x:f>_xlfn.XLOOKUP($A1785,Games!$A$2:$A$18,Games!$J$2:$J$18,"Missing game",0)</x:f>
        <x:v>23</x:v>
      </x:c>
      <x:c r="AP1785" t="n">
        <x:f>_xlfn.XLOOKUP($A1785,Games!$A$2:$A$18,Games!$K$2:$K$18,"Missing game",0)</x:f>
        <x:v>17</x:v>
      </x:c>
      <x:c r="AQ1785" t="n">
        <x:f>_xlfn.XLOOKUP($A1785,Games!$A$2:$A$18,Games!$L$2:$L$18,"Missing game",0)</x:f>
        <x:v>29</x:v>
      </x:c>
      <x:c r="AR1785" t="n">
        <x:f>_xlfn.XLOOKUP($A1785,Games!$A$2:$A$18,Games!$M$2:$M$18,"Missing game",0)</x:f>
        <x:v>0</x:v>
      </x:c>
      <x:c r="AS1785" t="str">
        <x:f>_xlfn.XLOOKUP($A1785,Games!$A$2:$A$18,Games!$N$2:$N$18,"Missing game",0)</x:f>
        <x:v>outdoors</x:v>
      </x:c>
      <x:c r="AT1785" t="str">
        <x:f>_xlfn.XLOOKUP($A1785,Games!$A$2:$A$18,Games!$O$2:$O$18,"Missing game",0)</x:f>
        <x:v>grass</x:v>
      </x:c>
      <x:c r="AU1785" t="n">
        <x:f>_xlfn.XLOOKUP($A1785,Games!$A$2:$A$18,Games!$P$2:$P$18,"Missing game",0)</x:f>
        <x:v>43</x:v>
      </x:c>
      <x:c r="AV1785" t="n">
        <x:f>_xlfn.XLOOKUP($A1785,Games!$A$2:$A$18,Games!$Q$2:$Q$18,"Missing game",0)</x:f>
        <x:v>10</x:v>
      </x:c>
      <x:c r="AW1785" t="str">
        <x:f>_xlfn.XLOOKUP($A1785,Games!$A$2:$A$18,Games!$R$2:$R$18,"Missing game",0)</x:f>
        <x:v>Lambeau Field</x:v>
      </x:c>
    </x:row>
    <x:row r="1786">
      <x:c r="A1786" t="str">
        <x:v>2025_12_MIN_GB</x:v>
      </x:c>
      <x:c r="B1786" t="n">
        <x:v>1795</x:v>
      </x:c>
      <x:c r="C1786" t="n">
        <x:v>2</x:v>
      </x:c>
      <x:c r="D1786" t="str">
        <x:v>00:10</x:v>
      </x:c>
      <x:c r="E1786"/>
      <x:c r="F1786" t="n">
        <x:v>0</x:v>
      </x:c>
      <x:c r="G1786" t="str">
        <x:v>GB</x:v>
      </x:c>
      <x:c r="H1786" t="str">
        <x:v>MIN</x:v>
      </x:c>
      <x:c r="I1786" t="str">
        <x:v>MIN</x:v>
      </x:c>
      <x:c r="J1786" t="n">
        <x:v>35</x:v>
      </x:c>
      <x:c r="K1786" t="str">
        <x:v>16-W.Reichard kicks 65 yards from MIN 35 to end zone, Touchback to the GB 35.</x:v>
      </x:c>
      <x:c r="L1786" t="str">
        <x:v>kickoff</x:v>
      </x:c>
      <x:c r="M1786" t="n">
        <x:v>0</x:v>
      </x:c>
      <x:c r="N1786" t="n">
        <x:v>0</x:v>
      </x:c>
      <x:c r="O1786" t="n">
        <x:v>0</x:v>
      </x:c>
      <x:c r="P1786"/>
      <x:c r="Q1786"/>
      <x:c r="R1786"/>
      <x:c r="S1786"/>
      <x:c r="T1786"/>
      <x:c r="U1786"/>
      <x:c r="V1786" t="n">
        <x:v>0</x:v>
      </x:c>
      <x:c r="W1786" t="n">
        <x:v>0</x:v>
      </x:c>
      <x:c r="X1786" t="n">
        <x:v>0</x:v>
      </x:c>
      <x:c r="Y1786" t="n">
        <x:v>0</x:v>
      </x:c>
      <x:c r="Z1786" t="n">
        <x:v>0</x:v>
      </x:c>
      <x:c r="AA1786" t="n">
        <x:v>0</x:v>
      </x:c>
      <x:c r="AB1786"/>
      <x:c r="AC1786" t="n">
        <x:v>0</x:v>
      </x:c>
      <x:c r="AD1786" t="n">
        <x:v>-0.05203833835548721</x:v>
      </x:c>
      <x:c r="AE1786" t="n">
        <x:v>0</x:v>
      </x:c>
      <x:c r="AF1786" t="n">
        <x:v>0.017574846744537354</x:v>
      </x:c>
      <x:c r="AG1786" t="n">
        <x:f>_xlfn.XLOOKUP($A1786,Games!$A$2:$A$18,Games!$B$2:$B$18,"Missing game",0)</x:f>
        <x:v>2025</x:v>
      </x:c>
      <x:c r="AH1786" t="str">
        <x:f>_xlfn.XLOOKUP($A1786,Games!$A$2:$A$18,Games!$C$2:$C$18,"Missing game",0)</x:f>
        <x:v>REG</x:v>
      </x:c>
      <x:c r="AI1786" t="n">
        <x:f>_xlfn.XLOOKUP($A1786,Games!$A$2:$A$18,Games!$D$2:$D$18,"Missing game",0)</x:f>
        <x:v>12</x:v>
      </x:c>
      <x:c r="AJ1786" s="1" t="n">
        <x:f>_xlfn.XLOOKUP($A1786,Games!$A$2:$A$18,Games!$E$2:$E$18,"Missing game",0)</x:f>
        <x:v>45984</x:v>
      </x:c>
      <x:c r="AK1786" t="str">
        <x:f>_xlfn.XLOOKUP($A1786,Games!$A$2:$A$18,Games!$F$2:$F$18,"Missing game",0)</x:f>
        <x:v>Sunday</x:v>
      </x:c>
      <x:c r="AL1786" t="str">
        <x:f>_xlfn.XLOOKUP($A1786,Games!$A$2:$A$18,Games!$G$2:$G$18,"Missing game",0)</x:f>
        <x:v>MIN</x:v>
      </x:c>
      <x:c r="AM1786" t="n">
        <x:f>_xlfn.XLOOKUP($A1786,Games!$A$2:$A$18,Games!$H$2:$H$18,"Missing game",0)</x:f>
        <x:v>6</x:v>
      </x:c>
      <x:c r="AN1786" t="str">
        <x:f>_xlfn.XLOOKUP($A1786,Games!$A$2:$A$18,Games!$I$2:$I$18,"Missing game",0)</x:f>
        <x:v>GB</x:v>
      </x:c>
      <x:c r="AO1786" t="n">
        <x:f>_xlfn.XLOOKUP($A1786,Games!$A$2:$A$18,Games!$J$2:$J$18,"Missing game",0)</x:f>
        <x:v>23</x:v>
      </x:c>
      <x:c r="AP1786" t="n">
        <x:f>_xlfn.XLOOKUP($A1786,Games!$A$2:$A$18,Games!$K$2:$K$18,"Missing game",0)</x:f>
        <x:v>17</x:v>
      </x:c>
      <x:c r="AQ1786" t="n">
        <x:f>_xlfn.XLOOKUP($A1786,Games!$A$2:$A$18,Games!$L$2:$L$18,"Missing game",0)</x:f>
        <x:v>29</x:v>
      </x:c>
      <x:c r="AR1786" t="n">
        <x:f>_xlfn.XLOOKUP($A1786,Games!$A$2:$A$18,Games!$M$2:$M$18,"Missing game",0)</x:f>
        <x:v>0</x:v>
      </x:c>
      <x:c r="AS1786" t="str">
        <x:f>_xlfn.XLOOKUP($A1786,Games!$A$2:$A$18,Games!$N$2:$N$18,"Missing game",0)</x:f>
        <x:v>outdoors</x:v>
      </x:c>
      <x:c r="AT1786" t="str">
        <x:f>_xlfn.XLOOKUP($A1786,Games!$A$2:$A$18,Games!$O$2:$O$18,"Missing game",0)</x:f>
        <x:v>grass</x:v>
      </x:c>
      <x:c r="AU1786" t="n">
        <x:f>_xlfn.XLOOKUP($A1786,Games!$A$2:$A$18,Games!$P$2:$P$18,"Missing game",0)</x:f>
        <x:v>43</x:v>
      </x:c>
      <x:c r="AV1786" t="n">
        <x:f>_xlfn.XLOOKUP($A1786,Games!$A$2:$A$18,Games!$Q$2:$Q$18,"Missing game",0)</x:f>
        <x:v>10</x:v>
      </x:c>
      <x:c r="AW1786" t="str">
        <x:f>_xlfn.XLOOKUP($A1786,Games!$A$2:$A$18,Games!$R$2:$R$18,"Missing game",0)</x:f>
        <x:v>Lambeau Field</x:v>
      </x:c>
    </x:row>
    <x:row r="1787">
      <x:c r="A1787" t="str">
        <x:v>2025_12_MIN_GB</x:v>
      </x:c>
      <x:c r="B1787" t="n">
        <x:v>1812</x:v>
      </x:c>
      <x:c r="C1787" t="n">
        <x:v>2</x:v>
      </x:c>
      <x:c r="D1787" t="str">
        <x:v>00:10</x:v>
      </x:c>
      <x:c r="E1787" t="n">
        <x:v>1</x:v>
      </x:c>
      <x:c r="F1787" t="n">
        <x:v>10</x:v>
      </x:c>
      <x:c r="G1787" t="str">
        <x:v>GB</x:v>
      </x:c>
      <x:c r="H1787" t="str">
        <x:v>MIN</x:v>
      </x:c>
      <x:c r="I1787" t="str">
        <x:v>GB</x:v>
      </x:c>
      <x:c r="J1787" t="n">
        <x:v>65</x:v>
      </x:c>
      <x:c r="K1787" t="str">
        <x:v>(:10) 10-J.Love kneels to GB 34 for -1 yards.</x:v>
      </x:c>
      <x:c r="L1787" t="str">
        <x:v>qb_kneel</x:v>
      </x:c>
      <x:c r="M1787" t="n">
        <x:v>-1</x:v>
      </x:c>
      <x:c r="N1787" t="n">
        <x:v>0</x:v>
      </x:c>
      <x:c r="O1787" t="n">
        <x:v>0</x:v>
      </x:c>
      <x:c r="P1787"/>
      <x:c r="Q1787"/>
      <x:c r="R1787"/>
      <x:c r="S1787"/>
      <x:c r="T1787"/>
      <x:c r="U1787"/>
      <x:c r="V1787" t="n">
        <x:v>0</x:v>
      </x:c>
      <x:c r="W1787" t="n">
        <x:v>0</x:v>
      </x:c>
      <x:c r="X1787" t="n">
        <x:v>0</x:v>
      </x:c>
      <x:c r="Y1787" t="n">
        <x:v>0</x:v>
      </x:c>
      <x:c r="Z1787" t="n">
        <x:v>0</x:v>
      </x:c>
      <x:c r="AA1787" t="n">
        <x:v>0</x:v>
      </x:c>
      <x:c r="AB1787"/>
      <x:c r="AC1787" t="n">
        <x:v>0</x:v>
      </x:c>
      <x:c r="AD1787" t="n">
        <x:v>0</x:v>
      </x:c>
      <x:c r="AE1787" t="n">
        <x:v>0</x:v>
      </x:c>
      <x:c r="AF1787"/>
      <x:c r="AG1787" t="n">
        <x:f>_xlfn.XLOOKUP($A1787,Games!$A$2:$A$18,Games!$B$2:$B$18,"Missing game",0)</x:f>
        <x:v>2025</x:v>
      </x:c>
      <x:c r="AH1787" t="str">
        <x:f>_xlfn.XLOOKUP($A1787,Games!$A$2:$A$18,Games!$C$2:$C$18,"Missing game",0)</x:f>
        <x:v>REG</x:v>
      </x:c>
      <x:c r="AI1787" t="n">
        <x:f>_xlfn.XLOOKUP($A1787,Games!$A$2:$A$18,Games!$D$2:$D$18,"Missing game",0)</x:f>
        <x:v>12</x:v>
      </x:c>
      <x:c r="AJ1787" s="1" t="n">
        <x:f>_xlfn.XLOOKUP($A1787,Games!$A$2:$A$18,Games!$E$2:$E$18,"Missing game",0)</x:f>
        <x:v>45984</x:v>
      </x:c>
      <x:c r="AK1787" t="str">
        <x:f>_xlfn.XLOOKUP($A1787,Games!$A$2:$A$18,Games!$F$2:$F$18,"Missing game",0)</x:f>
        <x:v>Sunday</x:v>
      </x:c>
      <x:c r="AL1787" t="str">
        <x:f>_xlfn.XLOOKUP($A1787,Games!$A$2:$A$18,Games!$G$2:$G$18,"Missing game",0)</x:f>
        <x:v>MIN</x:v>
      </x:c>
      <x:c r="AM1787" t="n">
        <x:f>_xlfn.XLOOKUP($A1787,Games!$A$2:$A$18,Games!$H$2:$H$18,"Missing game",0)</x:f>
        <x:v>6</x:v>
      </x:c>
      <x:c r="AN1787" t="str">
        <x:f>_xlfn.XLOOKUP($A1787,Games!$A$2:$A$18,Games!$I$2:$I$18,"Missing game",0)</x:f>
        <x:v>GB</x:v>
      </x:c>
      <x:c r="AO1787" t="n">
        <x:f>_xlfn.XLOOKUP($A1787,Games!$A$2:$A$18,Games!$J$2:$J$18,"Missing game",0)</x:f>
        <x:v>23</x:v>
      </x:c>
      <x:c r="AP1787" t="n">
        <x:f>_xlfn.XLOOKUP($A1787,Games!$A$2:$A$18,Games!$K$2:$K$18,"Missing game",0)</x:f>
        <x:v>17</x:v>
      </x:c>
      <x:c r="AQ1787" t="n">
        <x:f>_xlfn.XLOOKUP($A1787,Games!$A$2:$A$18,Games!$L$2:$L$18,"Missing game",0)</x:f>
        <x:v>29</x:v>
      </x:c>
      <x:c r="AR1787" t="n">
        <x:f>_xlfn.XLOOKUP($A1787,Games!$A$2:$A$18,Games!$M$2:$M$18,"Missing game",0)</x:f>
        <x:v>0</x:v>
      </x:c>
      <x:c r="AS1787" t="str">
        <x:f>_xlfn.XLOOKUP($A1787,Games!$A$2:$A$18,Games!$N$2:$N$18,"Missing game",0)</x:f>
        <x:v>outdoors</x:v>
      </x:c>
      <x:c r="AT1787" t="str">
        <x:f>_xlfn.XLOOKUP($A1787,Games!$A$2:$A$18,Games!$O$2:$O$18,"Missing game",0)</x:f>
        <x:v>grass</x:v>
      </x:c>
      <x:c r="AU1787" t="n">
        <x:f>_xlfn.XLOOKUP($A1787,Games!$A$2:$A$18,Games!$P$2:$P$18,"Missing game",0)</x:f>
        <x:v>43</x:v>
      </x:c>
      <x:c r="AV1787" t="n">
        <x:f>_xlfn.XLOOKUP($A1787,Games!$A$2:$A$18,Games!$Q$2:$Q$18,"Missing game",0)</x:f>
        <x:v>10</x:v>
      </x:c>
      <x:c r="AW1787" t="str">
        <x:f>_xlfn.XLOOKUP($A1787,Games!$A$2:$A$18,Games!$R$2:$R$18,"Missing game",0)</x:f>
        <x:v>Lambeau Field</x:v>
      </x:c>
    </x:row>
    <x:row r="1788">
      <x:c r="A1788" t="str">
        <x:v>2025_12_MIN_GB</x:v>
      </x:c>
      <x:c r="B1788" t="n">
        <x:v>1834</x:v>
      </x:c>
      <x:c r="C1788" t="n">
        <x:v>2</x:v>
      </x:c>
      <x:c r="D1788" t="str">
        <x:v>00:00</x:v>
      </x:c>
      <x:c r="E1788"/>
      <x:c r="F1788" t="n">
        <x:v>0</x:v>
      </x:c>
      <x:c r="G1788"/>
      <x:c r="H1788"/>
      <x:c r="I1788"/>
      <x:c r="J1788"/>
      <x:c r="K1788" t="str">
        <x:v>END QUARTER 2</x:v>
      </x:c>
      <x:c r="L1788"/>
      <x:c r="M1788"/>
      <x:c r="N1788" t="n">
        <x:v>0</x:v>
      </x:c>
      <x:c r="O1788" t="n">
        <x:v>0</x:v>
      </x:c>
      <x:c r="P1788"/>
      <x:c r="Q1788"/>
      <x:c r="R1788"/>
      <x:c r="S1788"/>
      <x:c r="T1788"/>
      <x:c r="U1788"/>
      <x:c r="V1788"/>
      <x:c r="W1788"/>
      <x:c r="X1788"/>
      <x:c r="Y1788"/>
      <x:c r="Z1788"/>
      <x:c r="AA1788"/>
      <x:c r="AB1788"/>
      <x:c r="AC1788"/>
      <x:c r="AD1788"/>
      <x:c r="AE1788"/>
      <x:c r="AF1788" t="n">
        <x:v>0</x:v>
      </x:c>
      <x:c r="AG1788" t="n">
        <x:f>_xlfn.XLOOKUP($A1788,Games!$A$2:$A$18,Games!$B$2:$B$18,"Missing game",0)</x:f>
        <x:v>2025</x:v>
      </x:c>
      <x:c r="AH1788" t="str">
        <x:f>_xlfn.XLOOKUP($A1788,Games!$A$2:$A$18,Games!$C$2:$C$18,"Missing game",0)</x:f>
        <x:v>REG</x:v>
      </x:c>
      <x:c r="AI1788" t="n">
        <x:f>_xlfn.XLOOKUP($A1788,Games!$A$2:$A$18,Games!$D$2:$D$18,"Missing game",0)</x:f>
        <x:v>12</x:v>
      </x:c>
      <x:c r="AJ1788" s="1" t="n">
        <x:f>_xlfn.XLOOKUP($A1788,Games!$A$2:$A$18,Games!$E$2:$E$18,"Missing game",0)</x:f>
        <x:v>45984</x:v>
      </x:c>
      <x:c r="AK1788" t="str">
        <x:f>_xlfn.XLOOKUP($A1788,Games!$A$2:$A$18,Games!$F$2:$F$18,"Missing game",0)</x:f>
        <x:v>Sunday</x:v>
      </x:c>
      <x:c r="AL1788" t="str">
        <x:f>_xlfn.XLOOKUP($A1788,Games!$A$2:$A$18,Games!$G$2:$G$18,"Missing game",0)</x:f>
        <x:v>MIN</x:v>
      </x:c>
      <x:c r="AM1788" t="n">
        <x:f>_xlfn.XLOOKUP($A1788,Games!$A$2:$A$18,Games!$H$2:$H$18,"Missing game",0)</x:f>
        <x:v>6</x:v>
      </x:c>
      <x:c r="AN1788" t="str">
        <x:f>_xlfn.XLOOKUP($A1788,Games!$A$2:$A$18,Games!$I$2:$I$18,"Missing game",0)</x:f>
        <x:v>GB</x:v>
      </x:c>
      <x:c r="AO1788" t="n">
        <x:f>_xlfn.XLOOKUP($A1788,Games!$A$2:$A$18,Games!$J$2:$J$18,"Missing game",0)</x:f>
        <x:v>23</x:v>
      </x:c>
      <x:c r="AP1788" t="n">
        <x:f>_xlfn.XLOOKUP($A1788,Games!$A$2:$A$18,Games!$K$2:$K$18,"Missing game",0)</x:f>
        <x:v>17</x:v>
      </x:c>
      <x:c r="AQ1788" t="n">
        <x:f>_xlfn.XLOOKUP($A1788,Games!$A$2:$A$18,Games!$L$2:$L$18,"Missing game",0)</x:f>
        <x:v>29</x:v>
      </x:c>
      <x:c r="AR1788" t="n">
        <x:f>_xlfn.XLOOKUP($A1788,Games!$A$2:$A$18,Games!$M$2:$M$18,"Missing game",0)</x:f>
        <x:v>0</x:v>
      </x:c>
      <x:c r="AS1788" t="str">
        <x:f>_xlfn.XLOOKUP($A1788,Games!$A$2:$A$18,Games!$N$2:$N$18,"Missing game",0)</x:f>
        <x:v>outdoors</x:v>
      </x:c>
      <x:c r="AT1788" t="str">
        <x:f>_xlfn.XLOOKUP($A1788,Games!$A$2:$A$18,Games!$O$2:$O$18,"Missing game",0)</x:f>
        <x:v>grass</x:v>
      </x:c>
      <x:c r="AU1788" t="n">
        <x:f>_xlfn.XLOOKUP($A1788,Games!$A$2:$A$18,Games!$P$2:$P$18,"Missing game",0)</x:f>
        <x:v>43</x:v>
      </x:c>
      <x:c r="AV1788" t="n">
        <x:f>_xlfn.XLOOKUP($A1788,Games!$A$2:$A$18,Games!$Q$2:$Q$18,"Missing game",0)</x:f>
        <x:v>10</x:v>
      </x:c>
      <x:c r="AW1788" t="str">
        <x:f>_xlfn.XLOOKUP($A1788,Games!$A$2:$A$18,Games!$R$2:$R$18,"Missing game",0)</x:f>
        <x:v>Lambeau Field</x:v>
      </x:c>
    </x:row>
    <x:row r="1789">
      <x:c r="A1789" t="str">
        <x:v>2025_12_MIN_GB</x:v>
      </x:c>
      <x:c r="B1789" t="n">
        <x:v>1854</x:v>
      </x:c>
      <x:c r="C1789" t="n">
        <x:v>3</x:v>
      </x:c>
      <x:c r="D1789" t="str">
        <x:v>15:00</x:v>
      </x:c>
      <x:c r="E1789"/>
      <x:c r="F1789" t="n">
        <x:v>0</x:v>
      </x:c>
      <x:c r="G1789" t="str">
        <x:v>GB</x:v>
      </x:c>
      <x:c r="H1789" t="str">
        <x:v>MIN</x:v>
      </x:c>
      <x:c r="I1789" t="str">
        <x:v>MIN</x:v>
      </x:c>
      <x:c r="J1789" t="n">
        <x:v>35</x:v>
      </x:c>
      <x:c r="K1789" t="str">
        <x:v>16-W.Reichard kicks 58 yards from MIN 35 to GB 7. 83-S.Williams to GB 28 for 21 yards (57-C.Chambliss).</x:v>
      </x:c>
      <x:c r="L1789" t="str">
        <x:v>kickoff</x:v>
      </x:c>
      <x:c r="M1789" t="n">
        <x:v>0</x:v>
      </x:c>
      <x:c r="N1789" t="n">
        <x:v>0</x:v>
      </x:c>
      <x:c r="O1789" t="n">
        <x:v>0</x:v>
      </x:c>
      <x:c r="P1789"/>
      <x:c r="Q1789"/>
      <x:c r="R1789"/>
      <x:c r="S1789"/>
      <x:c r="T1789"/>
      <x:c r="U1789"/>
      <x:c r="V1789" t="n">
        <x:v>0</x:v>
      </x:c>
      <x:c r="W1789" t="n">
        <x:v>0</x:v>
      </x:c>
      <x:c r="X1789" t="n">
        <x:v>0</x:v>
      </x:c>
      <x:c r="Y1789" t="n">
        <x:v>0</x:v>
      </x:c>
      <x:c r="Z1789" t="n">
        <x:v>0</x:v>
      </x:c>
      <x:c r="AA1789" t="n">
        <x:v>0</x:v>
      </x:c>
      <x:c r="AB1789"/>
      <x:c r="AC1789" t="n">
        <x:v>0</x:v>
      </x:c>
      <x:c r="AD1789" t="n">
        <x:v>0.14010167634114623</x:v>
      </x:c>
      <x:c r="AE1789" t="n">
        <x:v>1</x:v>
      </x:c>
      <x:c r="AF1789" t="n">
        <x:v>0.005812227725982666</x:v>
      </x:c>
      <x:c r="AG1789" t="n">
        <x:f>_xlfn.XLOOKUP($A1789,Games!$A$2:$A$18,Games!$B$2:$B$18,"Missing game",0)</x:f>
        <x:v>2025</x:v>
      </x:c>
      <x:c r="AH1789" t="str">
        <x:f>_xlfn.XLOOKUP($A1789,Games!$A$2:$A$18,Games!$C$2:$C$18,"Missing game",0)</x:f>
        <x:v>REG</x:v>
      </x:c>
      <x:c r="AI1789" t="n">
        <x:f>_xlfn.XLOOKUP($A1789,Games!$A$2:$A$18,Games!$D$2:$D$18,"Missing game",0)</x:f>
        <x:v>12</x:v>
      </x:c>
      <x:c r="AJ1789" s="1" t="n">
        <x:f>_xlfn.XLOOKUP($A1789,Games!$A$2:$A$18,Games!$E$2:$E$18,"Missing game",0)</x:f>
        <x:v>45984</x:v>
      </x:c>
      <x:c r="AK1789" t="str">
        <x:f>_xlfn.XLOOKUP($A1789,Games!$A$2:$A$18,Games!$F$2:$F$18,"Missing game",0)</x:f>
        <x:v>Sunday</x:v>
      </x:c>
      <x:c r="AL1789" t="str">
        <x:f>_xlfn.XLOOKUP($A1789,Games!$A$2:$A$18,Games!$G$2:$G$18,"Missing game",0)</x:f>
        <x:v>MIN</x:v>
      </x:c>
      <x:c r="AM1789" t="n">
        <x:f>_xlfn.XLOOKUP($A1789,Games!$A$2:$A$18,Games!$H$2:$H$18,"Missing game",0)</x:f>
        <x:v>6</x:v>
      </x:c>
      <x:c r="AN1789" t="str">
        <x:f>_xlfn.XLOOKUP($A1789,Games!$A$2:$A$18,Games!$I$2:$I$18,"Missing game",0)</x:f>
        <x:v>GB</x:v>
      </x:c>
      <x:c r="AO1789" t="n">
        <x:f>_xlfn.XLOOKUP($A1789,Games!$A$2:$A$18,Games!$J$2:$J$18,"Missing game",0)</x:f>
        <x:v>23</x:v>
      </x:c>
      <x:c r="AP1789" t="n">
        <x:f>_xlfn.XLOOKUP($A1789,Games!$A$2:$A$18,Games!$K$2:$K$18,"Missing game",0)</x:f>
        <x:v>17</x:v>
      </x:c>
      <x:c r="AQ1789" t="n">
        <x:f>_xlfn.XLOOKUP($A1789,Games!$A$2:$A$18,Games!$L$2:$L$18,"Missing game",0)</x:f>
        <x:v>29</x:v>
      </x:c>
      <x:c r="AR1789" t="n">
        <x:f>_xlfn.XLOOKUP($A1789,Games!$A$2:$A$18,Games!$M$2:$M$18,"Missing game",0)</x:f>
        <x:v>0</x:v>
      </x:c>
      <x:c r="AS1789" t="str">
        <x:f>_xlfn.XLOOKUP($A1789,Games!$A$2:$A$18,Games!$N$2:$N$18,"Missing game",0)</x:f>
        <x:v>outdoors</x:v>
      </x:c>
      <x:c r="AT1789" t="str">
        <x:f>_xlfn.XLOOKUP($A1789,Games!$A$2:$A$18,Games!$O$2:$O$18,"Missing game",0)</x:f>
        <x:v>grass</x:v>
      </x:c>
      <x:c r="AU1789" t="n">
        <x:f>_xlfn.XLOOKUP($A1789,Games!$A$2:$A$18,Games!$P$2:$P$18,"Missing game",0)</x:f>
        <x:v>43</x:v>
      </x:c>
      <x:c r="AV1789" t="n">
        <x:f>_xlfn.XLOOKUP($A1789,Games!$A$2:$A$18,Games!$Q$2:$Q$18,"Missing game",0)</x:f>
        <x:v>10</x:v>
      </x:c>
      <x:c r="AW1789" t="str">
        <x:f>_xlfn.XLOOKUP($A1789,Games!$A$2:$A$18,Games!$R$2:$R$18,"Missing game",0)</x:f>
        <x:v>Lambeau Field</x:v>
      </x:c>
    </x:row>
    <x:row r="1790">
      <x:c r="A1790" t="str">
        <x:v>2025_12_MIN_GB</x:v>
      </x:c>
      <x:c r="B1790" t="n">
        <x:v>1882</x:v>
      </x:c>
      <x:c r="C1790" t="n">
        <x:v>3</x:v>
      </x:c>
      <x:c r="D1790" t="str">
        <x:v>14:54</x:v>
      </x:c>
      <x:c r="E1790" t="n">
        <x:v>1</x:v>
      </x:c>
      <x:c r="F1790" t="n">
        <x:v>10</x:v>
      </x:c>
      <x:c r="G1790" t="str">
        <x:v>GB</x:v>
      </x:c>
      <x:c r="H1790" t="str">
        <x:v>MIN</x:v>
      </x:c>
      <x:c r="I1790" t="str">
        <x:v>GB</x:v>
      </x:c>
      <x:c r="J1790" t="n">
        <x:v>72</x:v>
      </x:c>
      <x:c r="K1790" t="str">
        <x:v>(14:54) (Shotgun) 23-E.Wilson up the middle to GB 31 for 3 yards (97-J.Hargrave; 51-B.Cashman).</x:v>
      </x:c>
      <x:c r="L1790" t="str">
        <x:v>run</x:v>
      </x:c>
      <x:c r="M1790" t="n">
        <x:v>3</x:v>
      </x:c>
      <x:c r="N1790" t="n">
        <x:v>1</x:v>
      </x:c>
      <x:c r="O1790" t="n">
        <x:v>0</x:v>
      </x:c>
      <x:c r="P1790"/>
      <x:c r="Q1790"/>
      <x:c r="R1790"/>
      <x:c r="S1790"/>
      <x:c r="T1790" t="str">
        <x:v>middle</x:v>
      </x:c>
      <x:c r="U1790"/>
      <x:c r="V1790" t="n">
        <x:v>0</x:v>
      </x:c>
      <x:c r="W1790" t="n">
        <x:v>0</x:v>
      </x:c>
      <x:c r="X1790" t="n">
        <x:v>0</x:v>
      </x:c>
      <x:c r="Y1790" t="n">
        <x:v>0</x:v>
      </x:c>
      <x:c r="Z1790" t="n">
        <x:v>0</x:v>
      </x:c>
      <x:c r="AA1790" t="n">
        <x:v>0</x:v>
      </x:c>
      <x:c r="AB1790"/>
      <x:c r="AC1790" t="n">
        <x:v>0</x:v>
      </x:c>
      <x:c r="AD1790" t="n">
        <x:v>-0.2225786135531962</x:v>
      </x:c>
      <x:c r="AE1790" t="n">
        <x:v>0</x:v>
      </x:c>
      <x:c r="AF1790" t="n">
        <x:v>-0.012032151222229004</x:v>
      </x:c>
      <x:c r="AG1790" t="n">
        <x:f>_xlfn.XLOOKUP($A1790,Games!$A$2:$A$18,Games!$B$2:$B$18,"Missing game",0)</x:f>
        <x:v>2025</x:v>
      </x:c>
      <x:c r="AH1790" t="str">
        <x:f>_xlfn.XLOOKUP($A1790,Games!$A$2:$A$18,Games!$C$2:$C$18,"Missing game",0)</x:f>
        <x:v>REG</x:v>
      </x:c>
      <x:c r="AI1790" t="n">
        <x:f>_xlfn.XLOOKUP($A1790,Games!$A$2:$A$18,Games!$D$2:$D$18,"Missing game",0)</x:f>
        <x:v>12</x:v>
      </x:c>
      <x:c r="AJ1790" s="1" t="n">
        <x:f>_xlfn.XLOOKUP($A1790,Games!$A$2:$A$18,Games!$E$2:$E$18,"Missing game",0)</x:f>
        <x:v>45984</x:v>
      </x:c>
      <x:c r="AK1790" t="str">
        <x:f>_xlfn.XLOOKUP($A1790,Games!$A$2:$A$18,Games!$F$2:$F$18,"Missing game",0)</x:f>
        <x:v>Sunday</x:v>
      </x:c>
      <x:c r="AL1790" t="str">
        <x:f>_xlfn.XLOOKUP($A1790,Games!$A$2:$A$18,Games!$G$2:$G$18,"Missing game",0)</x:f>
        <x:v>MIN</x:v>
      </x:c>
      <x:c r="AM1790" t="n">
        <x:f>_xlfn.XLOOKUP($A1790,Games!$A$2:$A$18,Games!$H$2:$H$18,"Missing game",0)</x:f>
        <x:v>6</x:v>
      </x:c>
      <x:c r="AN1790" t="str">
        <x:f>_xlfn.XLOOKUP($A1790,Games!$A$2:$A$18,Games!$I$2:$I$18,"Missing game",0)</x:f>
        <x:v>GB</x:v>
      </x:c>
      <x:c r="AO1790" t="n">
        <x:f>_xlfn.XLOOKUP($A1790,Games!$A$2:$A$18,Games!$J$2:$J$18,"Missing game",0)</x:f>
        <x:v>23</x:v>
      </x:c>
      <x:c r="AP1790" t="n">
        <x:f>_xlfn.XLOOKUP($A1790,Games!$A$2:$A$18,Games!$K$2:$K$18,"Missing game",0)</x:f>
        <x:v>17</x:v>
      </x:c>
      <x:c r="AQ1790" t="n">
        <x:f>_xlfn.XLOOKUP($A1790,Games!$A$2:$A$18,Games!$L$2:$L$18,"Missing game",0)</x:f>
        <x:v>29</x:v>
      </x:c>
      <x:c r="AR1790" t="n">
        <x:f>_xlfn.XLOOKUP($A1790,Games!$A$2:$A$18,Games!$M$2:$M$18,"Missing game",0)</x:f>
        <x:v>0</x:v>
      </x:c>
      <x:c r="AS1790" t="str">
        <x:f>_xlfn.XLOOKUP($A1790,Games!$A$2:$A$18,Games!$N$2:$N$18,"Missing game",0)</x:f>
        <x:v>outdoors</x:v>
      </x:c>
      <x:c r="AT1790" t="str">
        <x:f>_xlfn.XLOOKUP($A1790,Games!$A$2:$A$18,Games!$O$2:$O$18,"Missing game",0)</x:f>
        <x:v>grass</x:v>
      </x:c>
      <x:c r="AU1790" t="n">
        <x:f>_xlfn.XLOOKUP($A1790,Games!$A$2:$A$18,Games!$P$2:$P$18,"Missing game",0)</x:f>
        <x:v>43</x:v>
      </x:c>
      <x:c r="AV1790" t="n">
        <x:f>_xlfn.XLOOKUP($A1790,Games!$A$2:$A$18,Games!$Q$2:$Q$18,"Missing game",0)</x:f>
        <x:v>10</x:v>
      </x:c>
      <x:c r="AW1790" t="str">
        <x:f>_xlfn.XLOOKUP($A1790,Games!$A$2:$A$18,Games!$R$2:$R$18,"Missing game",0)</x:f>
        <x:v>Lambeau Field</x:v>
      </x:c>
    </x:row>
    <x:row r="1791">
      <x:c r="A1791" t="str">
        <x:v>2025_12_MIN_GB</x:v>
      </x:c>
      <x:c r="B1791" t="n">
        <x:v>1904</x:v>
      </x:c>
      <x:c r="C1791" t="n">
        <x:v>3</x:v>
      </x:c>
      <x:c r="D1791" t="str">
        <x:v>14:36</x:v>
      </x:c>
      <x:c r="E1791" t="n">
        <x:v>2</x:v>
      </x:c>
      <x:c r="F1791" t="n">
        <x:v>7</x:v>
      </x:c>
      <x:c r="G1791" t="str">
        <x:v>GB</x:v>
      </x:c>
      <x:c r="H1791" t="str">
        <x:v>MIN</x:v>
      </x:c>
      <x:c r="I1791" t="str">
        <x:v>GB</x:v>
      </x:c>
      <x:c r="J1791" t="n">
        <x:v>69</x:v>
      </x:c>
      <x:c r="K1791" t="str">
        <x:v>(14:36) (No Huddle, Shotgun) 10-J.Love pass short left to 23-E.Wilson to GB 42 for 11 yards (51-B.Cashman).</x:v>
      </x:c>
      <x:c r="L1791" t="str">
        <x:v>pass</x:v>
      </x:c>
      <x:c r="M1791" t="n">
        <x:v>11</x:v>
      </x:c>
      <x:c r="N1791" t="n">
        <x:v>1</x:v>
      </x:c>
      <x:c r="O1791" t="n">
        <x:v>1</x:v>
      </x:c>
      <x:c r="P1791" t="str">
        <x:v>short</x:v>
      </x:c>
      <x:c r="Q1791" t="str">
        <x:v>left</x:v>
      </x:c>
      <x:c r="R1791" t="n">
        <x:v>0</x:v>
      </x:c>
      <x:c r="S1791" t="n">
        <x:v>11</x:v>
      </x:c>
      <x:c r="T1791"/>
      <x:c r="U1791"/>
      <x:c r="V1791" t="n">
        <x:v>1</x:v>
      </x:c>
      <x:c r="W1791" t="n">
        <x:v>1</x:v>
      </x:c>
      <x:c r="X1791" t="n">
        <x:v>0</x:v>
      </x:c>
      <x:c r="Y1791" t="n">
        <x:v>0</x:v>
      </x:c>
      <x:c r="Z1791" t="n">
        <x:v>0</x:v>
      </x:c>
      <x:c r="AA1791" t="n">
        <x:v>0</x:v>
      </x:c>
      <x:c r="AB1791"/>
      <x:c r="AC1791" t="n">
        <x:v>0</x:v>
      </x:c>
      <x:c r="AD1791" t="n">
        <x:v>1.1806282775942236</x:v>
      </x:c>
      <x:c r="AE1791" t="n">
        <x:v>1</x:v>
      </x:c>
      <x:c r="AF1791" t="n">
        <x:v>0.03534740209579468</x:v>
      </x:c>
      <x:c r="AG1791" t="n">
        <x:f>_xlfn.XLOOKUP($A1791,Games!$A$2:$A$18,Games!$B$2:$B$18,"Missing game",0)</x:f>
        <x:v>2025</x:v>
      </x:c>
      <x:c r="AH1791" t="str">
        <x:f>_xlfn.XLOOKUP($A1791,Games!$A$2:$A$18,Games!$C$2:$C$18,"Missing game",0)</x:f>
        <x:v>REG</x:v>
      </x:c>
      <x:c r="AI1791" t="n">
        <x:f>_xlfn.XLOOKUP($A1791,Games!$A$2:$A$18,Games!$D$2:$D$18,"Missing game",0)</x:f>
        <x:v>12</x:v>
      </x:c>
      <x:c r="AJ1791" s="1" t="n">
        <x:f>_xlfn.XLOOKUP($A1791,Games!$A$2:$A$18,Games!$E$2:$E$18,"Missing game",0)</x:f>
        <x:v>45984</x:v>
      </x:c>
      <x:c r="AK1791" t="str">
        <x:f>_xlfn.XLOOKUP($A1791,Games!$A$2:$A$18,Games!$F$2:$F$18,"Missing game",0)</x:f>
        <x:v>Sunday</x:v>
      </x:c>
      <x:c r="AL1791" t="str">
        <x:f>_xlfn.XLOOKUP($A1791,Games!$A$2:$A$18,Games!$G$2:$G$18,"Missing game",0)</x:f>
        <x:v>MIN</x:v>
      </x:c>
      <x:c r="AM1791" t="n">
        <x:f>_xlfn.XLOOKUP($A1791,Games!$A$2:$A$18,Games!$H$2:$H$18,"Missing game",0)</x:f>
        <x:v>6</x:v>
      </x:c>
      <x:c r="AN1791" t="str">
        <x:f>_xlfn.XLOOKUP($A1791,Games!$A$2:$A$18,Games!$I$2:$I$18,"Missing game",0)</x:f>
        <x:v>GB</x:v>
      </x:c>
      <x:c r="AO1791" t="n">
        <x:f>_xlfn.XLOOKUP($A1791,Games!$A$2:$A$18,Games!$J$2:$J$18,"Missing game",0)</x:f>
        <x:v>23</x:v>
      </x:c>
      <x:c r="AP1791" t="n">
        <x:f>_xlfn.XLOOKUP($A1791,Games!$A$2:$A$18,Games!$K$2:$K$18,"Missing game",0)</x:f>
        <x:v>17</x:v>
      </x:c>
      <x:c r="AQ1791" t="n">
        <x:f>_xlfn.XLOOKUP($A1791,Games!$A$2:$A$18,Games!$L$2:$L$18,"Missing game",0)</x:f>
        <x:v>29</x:v>
      </x:c>
      <x:c r="AR1791" t="n">
        <x:f>_xlfn.XLOOKUP($A1791,Games!$A$2:$A$18,Games!$M$2:$M$18,"Missing game",0)</x:f>
        <x:v>0</x:v>
      </x:c>
      <x:c r="AS1791" t="str">
        <x:f>_xlfn.XLOOKUP($A1791,Games!$A$2:$A$18,Games!$N$2:$N$18,"Missing game",0)</x:f>
        <x:v>outdoors</x:v>
      </x:c>
      <x:c r="AT1791" t="str">
        <x:f>_xlfn.XLOOKUP($A1791,Games!$A$2:$A$18,Games!$O$2:$O$18,"Missing game",0)</x:f>
        <x:v>grass</x:v>
      </x:c>
      <x:c r="AU1791" t="n">
        <x:f>_xlfn.XLOOKUP($A1791,Games!$A$2:$A$18,Games!$P$2:$P$18,"Missing game",0)</x:f>
        <x:v>43</x:v>
      </x:c>
      <x:c r="AV1791" t="n">
        <x:f>_xlfn.XLOOKUP($A1791,Games!$A$2:$A$18,Games!$Q$2:$Q$18,"Missing game",0)</x:f>
        <x:v>10</x:v>
      </x:c>
      <x:c r="AW1791" t="str">
        <x:f>_xlfn.XLOOKUP($A1791,Games!$A$2:$A$18,Games!$R$2:$R$18,"Missing game",0)</x:f>
        <x:v>Lambeau Field</x:v>
      </x:c>
    </x:row>
    <x:row r="1792">
      <x:c r="A1792" t="str">
        <x:v>2025_12_MIN_GB</x:v>
      </x:c>
      <x:c r="B1792" t="n">
        <x:v>1929</x:v>
      </x:c>
      <x:c r="C1792" t="n">
        <x:v>3</x:v>
      </x:c>
      <x:c r="D1792" t="str">
        <x:v>13:57</x:v>
      </x:c>
      <x:c r="E1792" t="n">
        <x:v>1</x:v>
      </x:c>
      <x:c r="F1792" t="n">
        <x:v>10</x:v>
      </x:c>
      <x:c r="G1792" t="str">
        <x:v>GB</x:v>
      </x:c>
      <x:c r="H1792" t="str">
        <x:v>MIN</x:v>
      </x:c>
      <x:c r="I1792" t="str">
        <x:v>GB</x:v>
      </x:c>
      <x:c r="J1792" t="n">
        <x:v>58</x:v>
      </x:c>
      <x:c r="K1792" t="str">
        <x:v>(13:57) 70-D.Kinnard reported in as eligible. 10-J.Love scrambles right end ran ob at MIN 45 for 13 yards (51-B.Cashman).</x:v>
      </x:c>
      <x:c r="L1792" t="str">
        <x:v>run</x:v>
      </x:c>
      <x:c r="M1792" t="n">
        <x:v>13</x:v>
      </x:c>
      <x:c r="N1792" t="n">
        <x:v>0</x:v>
      </x:c>
      <x:c r="O1792" t="n">
        <x:v>0</x:v>
      </x:c>
      <x:c r="P1792"/>
      <x:c r="Q1792"/>
      <x:c r="R1792"/>
      <x:c r="S1792"/>
      <x:c r="T1792" t="str">
        <x:v>right</x:v>
      </x:c>
      <x:c r="U1792" t="str">
        <x:v>end</x:v>
      </x:c>
      <x:c r="V1792" t="n">
        <x:v>0</x:v>
      </x:c>
      <x:c r="W1792" t="n">
        <x:v>1</x:v>
      </x:c>
      <x:c r="X1792" t="n">
        <x:v>0</x:v>
      </x:c>
      <x:c r="Y1792" t="n">
        <x:v>0</x:v>
      </x:c>
      <x:c r="Z1792" t="n">
        <x:v>0</x:v>
      </x:c>
      <x:c r="AA1792" t="n">
        <x:v>0</x:v>
      </x:c>
      <x:c r="AB1792"/>
      <x:c r="AC1792" t="n">
        <x:v>0</x:v>
      </x:c>
      <x:c r="AD1792" t="n">
        <x:v>0.8066862518899143</x:v>
      </x:c>
      <x:c r="AE1792" t="n">
        <x:v>1</x:v>
      </x:c>
      <x:c r="AF1792" t="n">
        <x:v>0.04295867681503296</x:v>
      </x:c>
      <x:c r="AG1792" t="n">
        <x:f>_xlfn.XLOOKUP($A1792,Games!$A$2:$A$18,Games!$B$2:$B$18,"Missing game",0)</x:f>
        <x:v>2025</x:v>
      </x:c>
      <x:c r="AH1792" t="str">
        <x:f>_xlfn.XLOOKUP($A1792,Games!$A$2:$A$18,Games!$C$2:$C$18,"Missing game",0)</x:f>
        <x:v>REG</x:v>
      </x:c>
      <x:c r="AI1792" t="n">
        <x:f>_xlfn.XLOOKUP($A1792,Games!$A$2:$A$18,Games!$D$2:$D$18,"Missing game",0)</x:f>
        <x:v>12</x:v>
      </x:c>
      <x:c r="AJ1792" s="1" t="n">
        <x:f>_xlfn.XLOOKUP($A1792,Games!$A$2:$A$18,Games!$E$2:$E$18,"Missing game",0)</x:f>
        <x:v>45984</x:v>
      </x:c>
      <x:c r="AK1792" t="str">
        <x:f>_xlfn.XLOOKUP($A1792,Games!$A$2:$A$18,Games!$F$2:$F$18,"Missing game",0)</x:f>
        <x:v>Sunday</x:v>
      </x:c>
      <x:c r="AL1792" t="str">
        <x:f>_xlfn.XLOOKUP($A1792,Games!$A$2:$A$18,Games!$G$2:$G$18,"Missing game",0)</x:f>
        <x:v>MIN</x:v>
      </x:c>
      <x:c r="AM1792" t="n">
        <x:f>_xlfn.XLOOKUP($A1792,Games!$A$2:$A$18,Games!$H$2:$H$18,"Missing game",0)</x:f>
        <x:v>6</x:v>
      </x:c>
      <x:c r="AN1792" t="str">
        <x:f>_xlfn.XLOOKUP($A1792,Games!$A$2:$A$18,Games!$I$2:$I$18,"Missing game",0)</x:f>
        <x:v>GB</x:v>
      </x:c>
      <x:c r="AO1792" t="n">
        <x:f>_xlfn.XLOOKUP($A1792,Games!$A$2:$A$18,Games!$J$2:$J$18,"Missing game",0)</x:f>
        <x:v>23</x:v>
      </x:c>
      <x:c r="AP1792" t="n">
        <x:f>_xlfn.XLOOKUP($A1792,Games!$A$2:$A$18,Games!$K$2:$K$18,"Missing game",0)</x:f>
        <x:v>17</x:v>
      </x:c>
      <x:c r="AQ1792" t="n">
        <x:f>_xlfn.XLOOKUP($A1792,Games!$A$2:$A$18,Games!$L$2:$L$18,"Missing game",0)</x:f>
        <x:v>29</x:v>
      </x:c>
      <x:c r="AR1792" t="n">
        <x:f>_xlfn.XLOOKUP($A1792,Games!$A$2:$A$18,Games!$M$2:$M$18,"Missing game",0)</x:f>
        <x:v>0</x:v>
      </x:c>
      <x:c r="AS1792" t="str">
        <x:f>_xlfn.XLOOKUP($A1792,Games!$A$2:$A$18,Games!$N$2:$N$18,"Missing game",0)</x:f>
        <x:v>outdoors</x:v>
      </x:c>
      <x:c r="AT1792" t="str">
        <x:f>_xlfn.XLOOKUP($A1792,Games!$A$2:$A$18,Games!$O$2:$O$18,"Missing game",0)</x:f>
        <x:v>grass</x:v>
      </x:c>
      <x:c r="AU1792" t="n">
        <x:f>_xlfn.XLOOKUP($A1792,Games!$A$2:$A$18,Games!$P$2:$P$18,"Missing game",0)</x:f>
        <x:v>43</x:v>
      </x:c>
      <x:c r="AV1792" t="n">
        <x:f>_xlfn.XLOOKUP($A1792,Games!$A$2:$A$18,Games!$Q$2:$Q$18,"Missing game",0)</x:f>
        <x:v>10</x:v>
      </x:c>
      <x:c r="AW1792" t="str">
        <x:f>_xlfn.XLOOKUP($A1792,Games!$A$2:$A$18,Games!$R$2:$R$18,"Missing game",0)</x:f>
        <x:v>Lambeau Field</x:v>
      </x:c>
    </x:row>
    <x:row r="1793">
      <x:c r="A1793" t="str">
        <x:v>2025_12_MIN_GB</x:v>
      </x:c>
      <x:c r="B1793" t="n">
        <x:v>1958</x:v>
      </x:c>
      <x:c r="C1793" t="n">
        <x:v>3</x:v>
      </x:c>
      <x:c r="D1793" t="str">
        <x:v>13:18</x:v>
      </x:c>
      <x:c r="E1793" t="n">
        <x:v>1</x:v>
      </x:c>
      <x:c r="F1793" t="n">
        <x:v>10</x:v>
      </x:c>
      <x:c r="G1793" t="str">
        <x:v>GB</x:v>
      </x:c>
      <x:c r="H1793" t="str">
        <x:v>MIN</x:v>
      </x:c>
      <x:c r="I1793" t="str">
        <x:v>MIN</x:v>
      </x:c>
      <x:c r="J1793" t="n">
        <x:v>45</x:v>
      </x:c>
      <x:c r="K1793" t="str">
        <x:v>(13:18) (Shotgun) 23-E.Wilson left guard to MIN 46 for -1 yards (26-T.Jackson, 55-E.Wilson).</x:v>
      </x:c>
      <x:c r="L1793" t="str">
        <x:v>run</x:v>
      </x:c>
      <x:c r="M1793" t="n">
        <x:v>-1</x:v>
      </x:c>
      <x:c r="N1793" t="n">
        <x:v>1</x:v>
      </x:c>
      <x:c r="O1793" t="n">
        <x:v>0</x:v>
      </x:c>
      <x:c r="P1793"/>
      <x:c r="Q1793"/>
      <x:c r="R1793"/>
      <x:c r="S1793"/>
      <x:c r="T1793" t="str">
        <x:v>left</x:v>
      </x:c>
      <x:c r="U1793" t="str">
        <x:v>guard</x:v>
      </x:c>
      <x:c r="V1793" t="n">
        <x:v>0</x:v>
      </x:c>
      <x:c r="W1793" t="n">
        <x:v>0</x:v>
      </x:c>
      <x:c r="X1793" t="n">
        <x:v>0</x:v>
      </x:c>
      <x:c r="Y1793" t="n">
        <x:v>0</x:v>
      </x:c>
      <x:c r="Z1793" t="n">
        <x:v>0</x:v>
      </x:c>
      <x:c r="AA1793" t="n">
        <x:v>0</x:v>
      </x:c>
      <x:c r="AB1793"/>
      <x:c r="AC1793" t="n">
        <x:v>0</x:v>
      </x:c>
      <x:c r="AD1793" t="n">
        <x:v>-0.9226224722806364</x:v>
      </x:c>
      <x:c r="AE1793" t="n">
        <x:v>0</x:v>
      </x:c>
      <x:c r="AF1793" t="n">
        <x:v>-0.034405529499053955</x:v>
      </x:c>
      <x:c r="AG1793" t="n">
        <x:f>_xlfn.XLOOKUP($A1793,Games!$A$2:$A$18,Games!$B$2:$B$18,"Missing game",0)</x:f>
        <x:v>2025</x:v>
      </x:c>
      <x:c r="AH1793" t="str">
        <x:f>_xlfn.XLOOKUP($A1793,Games!$A$2:$A$18,Games!$C$2:$C$18,"Missing game",0)</x:f>
        <x:v>REG</x:v>
      </x:c>
      <x:c r="AI1793" t="n">
        <x:f>_xlfn.XLOOKUP($A1793,Games!$A$2:$A$18,Games!$D$2:$D$18,"Missing game",0)</x:f>
        <x:v>12</x:v>
      </x:c>
      <x:c r="AJ1793" s="1" t="n">
        <x:f>_xlfn.XLOOKUP($A1793,Games!$A$2:$A$18,Games!$E$2:$E$18,"Missing game",0)</x:f>
        <x:v>45984</x:v>
      </x:c>
      <x:c r="AK1793" t="str">
        <x:f>_xlfn.XLOOKUP($A1793,Games!$A$2:$A$18,Games!$F$2:$F$18,"Missing game",0)</x:f>
        <x:v>Sunday</x:v>
      </x:c>
      <x:c r="AL1793" t="str">
        <x:f>_xlfn.XLOOKUP($A1793,Games!$A$2:$A$18,Games!$G$2:$G$18,"Missing game",0)</x:f>
        <x:v>MIN</x:v>
      </x:c>
      <x:c r="AM1793" t="n">
        <x:f>_xlfn.XLOOKUP($A1793,Games!$A$2:$A$18,Games!$H$2:$H$18,"Missing game",0)</x:f>
        <x:v>6</x:v>
      </x:c>
      <x:c r="AN1793" t="str">
        <x:f>_xlfn.XLOOKUP($A1793,Games!$A$2:$A$18,Games!$I$2:$I$18,"Missing game",0)</x:f>
        <x:v>GB</x:v>
      </x:c>
      <x:c r="AO1793" t="n">
        <x:f>_xlfn.XLOOKUP($A1793,Games!$A$2:$A$18,Games!$J$2:$J$18,"Missing game",0)</x:f>
        <x:v>23</x:v>
      </x:c>
      <x:c r="AP1793" t="n">
        <x:f>_xlfn.XLOOKUP($A1793,Games!$A$2:$A$18,Games!$K$2:$K$18,"Missing game",0)</x:f>
        <x:v>17</x:v>
      </x:c>
      <x:c r="AQ1793" t="n">
        <x:f>_xlfn.XLOOKUP($A1793,Games!$A$2:$A$18,Games!$L$2:$L$18,"Missing game",0)</x:f>
        <x:v>29</x:v>
      </x:c>
      <x:c r="AR1793" t="n">
        <x:f>_xlfn.XLOOKUP($A1793,Games!$A$2:$A$18,Games!$M$2:$M$18,"Missing game",0)</x:f>
        <x:v>0</x:v>
      </x:c>
      <x:c r="AS1793" t="str">
        <x:f>_xlfn.XLOOKUP($A1793,Games!$A$2:$A$18,Games!$N$2:$N$18,"Missing game",0)</x:f>
        <x:v>outdoors</x:v>
      </x:c>
      <x:c r="AT1793" t="str">
        <x:f>_xlfn.XLOOKUP($A1793,Games!$A$2:$A$18,Games!$O$2:$O$18,"Missing game",0)</x:f>
        <x:v>grass</x:v>
      </x:c>
      <x:c r="AU1793" t="n">
        <x:f>_xlfn.XLOOKUP($A1793,Games!$A$2:$A$18,Games!$P$2:$P$18,"Missing game",0)</x:f>
        <x:v>43</x:v>
      </x:c>
      <x:c r="AV1793" t="n">
        <x:f>_xlfn.XLOOKUP($A1793,Games!$A$2:$A$18,Games!$Q$2:$Q$18,"Missing game",0)</x:f>
        <x:v>10</x:v>
      </x:c>
      <x:c r="AW1793" t="str">
        <x:f>_xlfn.XLOOKUP($A1793,Games!$A$2:$A$18,Games!$R$2:$R$18,"Missing game",0)</x:f>
        <x:v>Lambeau Field</x:v>
      </x:c>
    </x:row>
    <x:row r="1794">
      <x:c r="A1794" t="str">
        <x:v>2025_12_MIN_GB</x:v>
      </x:c>
      <x:c r="B1794" t="n">
        <x:v>1980</x:v>
      </x:c>
      <x:c r="C1794" t="n">
        <x:v>3</x:v>
      </x:c>
      <x:c r="D1794" t="str">
        <x:v>12:34</x:v>
      </x:c>
      <x:c r="E1794" t="n">
        <x:v>2</x:v>
      </x:c>
      <x:c r="F1794" t="n">
        <x:v>11</x:v>
      </x:c>
      <x:c r="G1794" t="str">
        <x:v>GB</x:v>
      </x:c>
      <x:c r="H1794" t="str">
        <x:v>MIN</x:v>
      </x:c>
      <x:c r="I1794" t="str">
        <x:v>MIN</x:v>
      </x:c>
      <x:c r="J1794" t="n">
        <x:v>46</x:v>
      </x:c>
      <x:c r="K1794" t="str">
        <x:v>(12:34) (Shotgun) 30-C.Brooks right end pushed ob at 50 for -4 yards (43-A.Van Ginkel).</x:v>
      </x:c>
      <x:c r="L1794" t="str">
        <x:v>run</x:v>
      </x:c>
      <x:c r="M1794" t="n">
        <x:v>-4</x:v>
      </x:c>
      <x:c r="N1794" t="n">
        <x:v>1</x:v>
      </x:c>
      <x:c r="O1794" t="n">
        <x:v>0</x:v>
      </x:c>
      <x:c r="P1794"/>
      <x:c r="Q1794"/>
      <x:c r="R1794"/>
      <x:c r="S1794"/>
      <x:c r="T1794" t="str">
        <x:v>right</x:v>
      </x:c>
      <x:c r="U1794" t="str">
        <x:v>end</x:v>
      </x:c>
      <x:c r="V1794" t="n">
        <x:v>0</x:v>
      </x:c>
      <x:c r="W1794" t="n">
        <x:v>0</x:v>
      </x:c>
      <x:c r="X1794" t="n">
        <x:v>0</x:v>
      </x:c>
      <x:c r="Y1794" t="n">
        <x:v>0</x:v>
      </x:c>
      <x:c r="Z1794" t="n">
        <x:v>0</x:v>
      </x:c>
      <x:c r="AA1794" t="n">
        <x:v>0</x:v>
      </x:c>
      <x:c r="AB1794"/>
      <x:c r="AC1794" t="n">
        <x:v>0</x:v>
      </x:c>
      <x:c r="AD1794" t="n">
        <x:v>-1.3065423152875155</x:v>
      </x:c>
      <x:c r="AE1794" t="n">
        <x:v>0</x:v>
      </x:c>
      <x:c r="AF1794" t="n">
        <x:v>-0.02694159746170044</x:v>
      </x:c>
      <x:c r="AG1794" t="n">
        <x:f>_xlfn.XLOOKUP($A1794,Games!$A$2:$A$18,Games!$B$2:$B$18,"Missing game",0)</x:f>
        <x:v>2025</x:v>
      </x:c>
      <x:c r="AH1794" t="str">
        <x:f>_xlfn.XLOOKUP($A1794,Games!$A$2:$A$18,Games!$C$2:$C$18,"Missing game",0)</x:f>
        <x:v>REG</x:v>
      </x:c>
      <x:c r="AI1794" t="n">
        <x:f>_xlfn.XLOOKUP($A1794,Games!$A$2:$A$18,Games!$D$2:$D$18,"Missing game",0)</x:f>
        <x:v>12</x:v>
      </x:c>
      <x:c r="AJ1794" s="1" t="n">
        <x:f>_xlfn.XLOOKUP($A1794,Games!$A$2:$A$18,Games!$E$2:$E$18,"Missing game",0)</x:f>
        <x:v>45984</x:v>
      </x:c>
      <x:c r="AK1794" t="str">
        <x:f>_xlfn.XLOOKUP($A1794,Games!$A$2:$A$18,Games!$F$2:$F$18,"Missing game",0)</x:f>
        <x:v>Sunday</x:v>
      </x:c>
      <x:c r="AL1794" t="str">
        <x:f>_xlfn.XLOOKUP($A1794,Games!$A$2:$A$18,Games!$G$2:$G$18,"Missing game",0)</x:f>
        <x:v>MIN</x:v>
      </x:c>
      <x:c r="AM1794" t="n">
        <x:f>_xlfn.XLOOKUP($A1794,Games!$A$2:$A$18,Games!$H$2:$H$18,"Missing game",0)</x:f>
        <x:v>6</x:v>
      </x:c>
      <x:c r="AN1794" t="str">
        <x:f>_xlfn.XLOOKUP($A1794,Games!$A$2:$A$18,Games!$I$2:$I$18,"Missing game",0)</x:f>
        <x:v>GB</x:v>
      </x:c>
      <x:c r="AO1794" t="n">
        <x:f>_xlfn.XLOOKUP($A1794,Games!$A$2:$A$18,Games!$J$2:$J$18,"Missing game",0)</x:f>
        <x:v>23</x:v>
      </x:c>
      <x:c r="AP1794" t="n">
        <x:f>_xlfn.XLOOKUP($A1794,Games!$A$2:$A$18,Games!$K$2:$K$18,"Missing game",0)</x:f>
        <x:v>17</x:v>
      </x:c>
      <x:c r="AQ1794" t="n">
        <x:f>_xlfn.XLOOKUP($A1794,Games!$A$2:$A$18,Games!$L$2:$L$18,"Missing game",0)</x:f>
        <x:v>29</x:v>
      </x:c>
      <x:c r="AR1794" t="n">
        <x:f>_xlfn.XLOOKUP($A1794,Games!$A$2:$A$18,Games!$M$2:$M$18,"Missing game",0)</x:f>
        <x:v>0</x:v>
      </x:c>
      <x:c r="AS1794" t="str">
        <x:f>_xlfn.XLOOKUP($A1794,Games!$A$2:$A$18,Games!$N$2:$N$18,"Missing game",0)</x:f>
        <x:v>outdoors</x:v>
      </x:c>
      <x:c r="AT1794" t="str">
        <x:f>_xlfn.XLOOKUP($A1794,Games!$A$2:$A$18,Games!$O$2:$O$18,"Missing game",0)</x:f>
        <x:v>grass</x:v>
      </x:c>
      <x:c r="AU1794" t="n">
        <x:f>_xlfn.XLOOKUP($A1794,Games!$A$2:$A$18,Games!$P$2:$P$18,"Missing game",0)</x:f>
        <x:v>43</x:v>
      </x:c>
      <x:c r="AV1794" t="n">
        <x:f>_xlfn.XLOOKUP($A1794,Games!$A$2:$A$18,Games!$Q$2:$Q$18,"Missing game",0)</x:f>
        <x:v>10</x:v>
      </x:c>
      <x:c r="AW1794" t="str">
        <x:f>_xlfn.XLOOKUP($A1794,Games!$A$2:$A$18,Games!$R$2:$R$18,"Missing game",0)</x:f>
        <x:v>Lambeau Field</x:v>
      </x:c>
    </x:row>
    <x:row r="1795">
      <x:c r="A1795" t="str">
        <x:v>2025_12_MIN_GB</x:v>
      </x:c>
      <x:c r="B1795" t="n">
        <x:v>2007</x:v>
      </x:c>
      <x:c r="C1795" t="n">
        <x:v>3</x:v>
      </x:c>
      <x:c r="D1795" t="str">
        <x:v>11:53</x:v>
      </x:c>
      <x:c r="E1795" t="n">
        <x:v>3</x:v>
      </x:c>
      <x:c r="F1795" t="n">
        <x:v>15</x:v>
      </x:c>
      <x:c r="G1795" t="str">
        <x:v>GB</x:v>
      </x:c>
      <x:c r="H1795" t="str">
        <x:v>MIN</x:v>
      </x:c>
      <x:c r="I1795" t="str">
        <x:v>50</x:v>
      </x:c>
      <x:c r="J1795" t="n">
        <x:v>50</x:v>
      </x:c>
      <x:c r="K1795" t="str">
        <x:v>(11:53) (Shotgun) 10-J.Love pass incomplete deep middle to 13-D.Wicks.</x:v>
      </x:c>
      <x:c r="L1795" t="str">
        <x:v>pass</x:v>
      </x:c>
      <x:c r="M1795" t="n">
        <x:v>0</x:v>
      </x:c>
      <x:c r="N1795" t="n">
        <x:v>1</x:v>
      </x:c>
      <x:c r="O1795" t="n">
        <x:v>0</x:v>
      </x:c>
      <x:c r="P1795" t="str">
        <x:v>deep</x:v>
      </x:c>
      <x:c r="Q1795" t="str">
        <x:v>middle</x:v>
      </x:c>
      <x:c r="R1795" t="n">
        <x:v>17</x:v>
      </x:c>
      <x:c r="S1795"/>
      <x:c r="T1795"/>
      <x:c r="U1795"/>
      <x:c r="V1795" t="n">
        <x:v>0</x:v>
      </x:c>
      <x:c r="W1795" t="n">
        <x:v>0</x:v>
      </x:c>
      <x:c r="X1795" t="n">
        <x:v>0</x:v>
      </x:c>
      <x:c r="Y1795" t="n">
        <x:v>0</x:v>
      </x:c>
      <x:c r="Z1795" t="n">
        <x:v>0</x:v>
      </x:c>
      <x:c r="AA1795" t="n">
        <x:v>0</x:v>
      </x:c>
      <x:c r="AB1795"/>
      <x:c r="AC1795" t="n">
        <x:v>0</x:v>
      </x:c>
      <x:c r="AD1795" t="n">
        <x:v>-1.261268932139501</x:v>
      </x:c>
      <x:c r="AE1795" t="n">
        <x:v>0</x:v>
      </x:c>
      <x:c r="AF1795" t="n">
        <x:v>-0.03415179252624512</x:v>
      </x:c>
      <x:c r="AG1795" t="n">
        <x:f>_xlfn.XLOOKUP($A1795,Games!$A$2:$A$18,Games!$B$2:$B$18,"Missing game",0)</x:f>
        <x:v>2025</x:v>
      </x:c>
      <x:c r="AH1795" t="str">
        <x:f>_xlfn.XLOOKUP($A1795,Games!$A$2:$A$18,Games!$C$2:$C$18,"Missing game",0)</x:f>
        <x:v>REG</x:v>
      </x:c>
      <x:c r="AI1795" t="n">
        <x:f>_xlfn.XLOOKUP($A1795,Games!$A$2:$A$18,Games!$D$2:$D$18,"Missing game",0)</x:f>
        <x:v>12</x:v>
      </x:c>
      <x:c r="AJ1795" s="1" t="n">
        <x:f>_xlfn.XLOOKUP($A1795,Games!$A$2:$A$18,Games!$E$2:$E$18,"Missing game",0)</x:f>
        <x:v>45984</x:v>
      </x:c>
      <x:c r="AK1795" t="str">
        <x:f>_xlfn.XLOOKUP($A1795,Games!$A$2:$A$18,Games!$F$2:$F$18,"Missing game",0)</x:f>
        <x:v>Sunday</x:v>
      </x:c>
      <x:c r="AL1795" t="str">
        <x:f>_xlfn.XLOOKUP($A1795,Games!$A$2:$A$18,Games!$G$2:$G$18,"Missing game",0)</x:f>
        <x:v>MIN</x:v>
      </x:c>
      <x:c r="AM1795" t="n">
        <x:f>_xlfn.XLOOKUP($A1795,Games!$A$2:$A$18,Games!$H$2:$H$18,"Missing game",0)</x:f>
        <x:v>6</x:v>
      </x:c>
      <x:c r="AN1795" t="str">
        <x:f>_xlfn.XLOOKUP($A1795,Games!$A$2:$A$18,Games!$I$2:$I$18,"Missing game",0)</x:f>
        <x:v>GB</x:v>
      </x:c>
      <x:c r="AO1795" t="n">
        <x:f>_xlfn.XLOOKUP($A1795,Games!$A$2:$A$18,Games!$J$2:$J$18,"Missing game",0)</x:f>
        <x:v>23</x:v>
      </x:c>
      <x:c r="AP1795" t="n">
        <x:f>_xlfn.XLOOKUP($A1795,Games!$A$2:$A$18,Games!$K$2:$K$18,"Missing game",0)</x:f>
        <x:v>17</x:v>
      </x:c>
      <x:c r="AQ1795" t="n">
        <x:f>_xlfn.XLOOKUP($A1795,Games!$A$2:$A$18,Games!$L$2:$L$18,"Missing game",0)</x:f>
        <x:v>29</x:v>
      </x:c>
      <x:c r="AR1795" t="n">
        <x:f>_xlfn.XLOOKUP($A1795,Games!$A$2:$A$18,Games!$M$2:$M$18,"Missing game",0)</x:f>
        <x:v>0</x:v>
      </x:c>
      <x:c r="AS1795" t="str">
        <x:f>_xlfn.XLOOKUP($A1795,Games!$A$2:$A$18,Games!$N$2:$N$18,"Missing game",0)</x:f>
        <x:v>outdoors</x:v>
      </x:c>
      <x:c r="AT1795" t="str">
        <x:f>_xlfn.XLOOKUP($A1795,Games!$A$2:$A$18,Games!$O$2:$O$18,"Missing game",0)</x:f>
        <x:v>grass</x:v>
      </x:c>
      <x:c r="AU1795" t="n">
        <x:f>_xlfn.XLOOKUP($A1795,Games!$A$2:$A$18,Games!$P$2:$P$18,"Missing game",0)</x:f>
        <x:v>43</x:v>
      </x:c>
      <x:c r="AV1795" t="n">
        <x:f>_xlfn.XLOOKUP($A1795,Games!$A$2:$A$18,Games!$Q$2:$Q$18,"Missing game",0)</x:f>
        <x:v>10</x:v>
      </x:c>
      <x:c r="AW1795" t="str">
        <x:f>_xlfn.XLOOKUP($A1795,Games!$A$2:$A$18,Games!$R$2:$R$18,"Missing game",0)</x:f>
        <x:v>Lambeau Field</x:v>
      </x:c>
    </x:row>
    <x:row r="1796">
      <x:c r="A1796" t="str">
        <x:v>2025_12_MIN_GB</x:v>
      </x:c>
      <x:c r="B1796" t="n">
        <x:v>2030</x:v>
      </x:c>
      <x:c r="C1796" t="n">
        <x:v>3</x:v>
      </x:c>
      <x:c r="D1796" t="str">
        <x:v>11:49</x:v>
      </x:c>
      <x:c r="E1796" t="n">
        <x:v>4</x:v>
      </x:c>
      <x:c r="F1796" t="n">
        <x:v>15</x:v>
      </x:c>
      <x:c r="G1796" t="str">
        <x:v>GB</x:v>
      </x:c>
      <x:c r="H1796" t="str">
        <x:v>MIN</x:v>
      </x:c>
      <x:c r="I1796" t="str">
        <x:v>50</x:v>
      </x:c>
      <x:c r="J1796" t="n">
        <x:v>50</x:v>
      </x:c>
      <x:c r="K1796" t="str">
        <x:v>(11:49) 19-D.Whelan punts 42 yards to MIN 8, Center-42-M.Orzech. 4-M.Price MUFFS catch, RECOVERED by GB-39-Z.Anderson at MIN 5.</x:v>
      </x:c>
      <x:c r="L1796" t="str">
        <x:v>punt</x:v>
      </x:c>
      <x:c r="M1796" t="n">
        <x:v>0</x:v>
      </x:c>
      <x:c r="N1796" t="n">
        <x:v>0</x:v>
      </x:c>
      <x:c r="O1796" t="n">
        <x:v>0</x:v>
      </x:c>
      <x:c r="P1796"/>
      <x:c r="Q1796"/>
      <x:c r="R1796"/>
      <x:c r="S1796"/>
      <x:c r="T1796"/>
      <x:c r="U1796"/>
      <x:c r="V1796" t="n">
        <x:v>0</x:v>
      </x:c>
      <x:c r="W1796" t="n">
        <x:v>0</x:v>
      </x:c>
      <x:c r="X1796" t="n">
        <x:v>0</x:v>
      </x:c>
      <x:c r="Y1796" t="n">
        <x:v>0</x:v>
      </x:c>
      <x:c r="Z1796" t="n">
        <x:v>1</x:v>
      </x:c>
      <x:c r="AA1796" t="n">
        <x:v>0</x:v>
      </x:c>
      <x:c r="AB1796"/>
      <x:c r="AC1796" t="n">
        <x:v>0</x:v>
      </x:c>
      <x:c r="AD1796" t="n">
        <x:v>6.081691198167391</x:v>
      </x:c>
      <x:c r="AE1796" t="n">
        <x:v>1</x:v>
      </x:c>
      <x:c r="AF1796" t="n">
        <x:v>0.14983373880386353</x:v>
      </x:c>
      <x:c r="AG1796" t="n">
        <x:f>_xlfn.XLOOKUP($A1796,Games!$A$2:$A$18,Games!$B$2:$B$18,"Missing game",0)</x:f>
        <x:v>2025</x:v>
      </x:c>
      <x:c r="AH1796" t="str">
        <x:f>_xlfn.XLOOKUP($A1796,Games!$A$2:$A$18,Games!$C$2:$C$18,"Missing game",0)</x:f>
        <x:v>REG</x:v>
      </x:c>
      <x:c r="AI1796" t="n">
        <x:f>_xlfn.XLOOKUP($A1796,Games!$A$2:$A$18,Games!$D$2:$D$18,"Missing game",0)</x:f>
        <x:v>12</x:v>
      </x:c>
      <x:c r="AJ1796" s="1" t="n">
        <x:f>_xlfn.XLOOKUP($A1796,Games!$A$2:$A$18,Games!$E$2:$E$18,"Missing game",0)</x:f>
        <x:v>45984</x:v>
      </x:c>
      <x:c r="AK1796" t="str">
        <x:f>_xlfn.XLOOKUP($A1796,Games!$A$2:$A$18,Games!$F$2:$F$18,"Missing game",0)</x:f>
        <x:v>Sunday</x:v>
      </x:c>
      <x:c r="AL1796" t="str">
        <x:f>_xlfn.XLOOKUP($A1796,Games!$A$2:$A$18,Games!$G$2:$G$18,"Missing game",0)</x:f>
        <x:v>MIN</x:v>
      </x:c>
      <x:c r="AM1796" t="n">
        <x:f>_xlfn.XLOOKUP($A1796,Games!$A$2:$A$18,Games!$H$2:$H$18,"Missing game",0)</x:f>
        <x:v>6</x:v>
      </x:c>
      <x:c r="AN1796" t="str">
        <x:f>_xlfn.XLOOKUP($A1796,Games!$A$2:$A$18,Games!$I$2:$I$18,"Missing game",0)</x:f>
        <x:v>GB</x:v>
      </x:c>
      <x:c r="AO1796" t="n">
        <x:f>_xlfn.XLOOKUP($A1796,Games!$A$2:$A$18,Games!$J$2:$J$18,"Missing game",0)</x:f>
        <x:v>23</x:v>
      </x:c>
      <x:c r="AP1796" t="n">
        <x:f>_xlfn.XLOOKUP($A1796,Games!$A$2:$A$18,Games!$K$2:$K$18,"Missing game",0)</x:f>
        <x:v>17</x:v>
      </x:c>
      <x:c r="AQ1796" t="n">
        <x:f>_xlfn.XLOOKUP($A1796,Games!$A$2:$A$18,Games!$L$2:$L$18,"Missing game",0)</x:f>
        <x:v>29</x:v>
      </x:c>
      <x:c r="AR1796" t="n">
        <x:f>_xlfn.XLOOKUP($A1796,Games!$A$2:$A$18,Games!$M$2:$M$18,"Missing game",0)</x:f>
        <x:v>0</x:v>
      </x:c>
      <x:c r="AS1796" t="str">
        <x:f>_xlfn.XLOOKUP($A1796,Games!$A$2:$A$18,Games!$N$2:$N$18,"Missing game",0)</x:f>
        <x:v>outdoors</x:v>
      </x:c>
      <x:c r="AT1796" t="str">
        <x:f>_xlfn.XLOOKUP($A1796,Games!$A$2:$A$18,Games!$O$2:$O$18,"Missing game",0)</x:f>
        <x:v>grass</x:v>
      </x:c>
      <x:c r="AU1796" t="n">
        <x:f>_xlfn.XLOOKUP($A1796,Games!$A$2:$A$18,Games!$P$2:$P$18,"Missing game",0)</x:f>
        <x:v>43</x:v>
      </x:c>
      <x:c r="AV1796" t="n">
        <x:f>_xlfn.XLOOKUP($A1796,Games!$A$2:$A$18,Games!$Q$2:$Q$18,"Missing game",0)</x:f>
        <x:v>10</x:v>
      </x:c>
      <x:c r="AW1796" t="str">
        <x:f>_xlfn.XLOOKUP($A1796,Games!$A$2:$A$18,Games!$R$2:$R$18,"Missing game",0)</x:f>
        <x:v>Lambeau Field</x:v>
      </x:c>
    </x:row>
    <x:row r="1797">
      <x:c r="A1797" t="str">
        <x:v>2025_12_MIN_GB</x:v>
      </x:c>
      <x:c r="B1797" t="n">
        <x:v>2060</x:v>
      </x:c>
      <x:c r="C1797" t="n">
        <x:v>3</x:v>
      </x:c>
      <x:c r="D1797" t="str">
        <x:v>11:37</x:v>
      </x:c>
      <x:c r="E1797" t="n">
        <x:v>1</x:v>
      </x:c>
      <x:c r="F1797" t="n">
        <x:v>5</x:v>
      </x:c>
      <x:c r="G1797" t="str">
        <x:v>GB</x:v>
      </x:c>
      <x:c r="H1797" t="str">
        <x:v>MIN</x:v>
      </x:c>
      <x:c r="I1797" t="str">
        <x:v>MIN</x:v>
      </x:c>
      <x:c r="J1797" t="n">
        <x:v>5</x:v>
      </x:c>
      <x:c r="K1797" t="str">
        <x:v>(11:37) 23-E.Wilson up the middle to MIN 1 for 4 yards (51-B.Cashman; 44-J.Metellus).</x:v>
      </x:c>
      <x:c r="L1797" t="str">
        <x:v>run</x:v>
      </x:c>
      <x:c r="M1797" t="n">
        <x:v>4</x:v>
      </x:c>
      <x:c r="N1797" t="n">
        <x:v>0</x:v>
      </x:c>
      <x:c r="O1797" t="n">
        <x:v>0</x:v>
      </x:c>
      <x:c r="P1797"/>
      <x:c r="Q1797"/>
      <x:c r="R1797"/>
      <x:c r="S1797"/>
      <x:c r="T1797" t="str">
        <x:v>middle</x:v>
      </x:c>
      <x:c r="U1797"/>
      <x:c r="V1797" t="n">
        <x:v>0</x:v>
      </x:c>
      <x:c r="W1797" t="n">
        <x:v>0</x:v>
      </x:c>
      <x:c r="X1797" t="n">
        <x:v>0</x:v>
      </x:c>
      <x:c r="Y1797" t="n">
        <x:v>0</x:v>
      </x:c>
      <x:c r="Z1797" t="n">
        <x:v>0</x:v>
      </x:c>
      <x:c r="AA1797" t="n">
        <x:v>0</x:v>
      </x:c>
      <x:c r="AB1797"/>
      <x:c r="AC1797" t="n">
        <x:v>0</x:v>
      </x:c>
      <x:c r="AD1797" t="n">
        <x:v>0.34331378038041294</x:v>
      </x:c>
      <x:c r="AE1797" t="n">
        <x:v>1</x:v>
      </x:c>
      <x:c r="AF1797" t="n">
        <x:v>0.013502359390258789</x:v>
      </x:c>
      <x:c r="AG1797" t="n">
        <x:f>_xlfn.XLOOKUP($A1797,Games!$A$2:$A$18,Games!$B$2:$B$18,"Missing game",0)</x:f>
        <x:v>2025</x:v>
      </x:c>
      <x:c r="AH1797" t="str">
        <x:f>_xlfn.XLOOKUP($A1797,Games!$A$2:$A$18,Games!$C$2:$C$18,"Missing game",0)</x:f>
        <x:v>REG</x:v>
      </x:c>
      <x:c r="AI1797" t="n">
        <x:f>_xlfn.XLOOKUP($A1797,Games!$A$2:$A$18,Games!$D$2:$D$18,"Missing game",0)</x:f>
        <x:v>12</x:v>
      </x:c>
      <x:c r="AJ1797" s="1" t="n">
        <x:f>_xlfn.XLOOKUP($A1797,Games!$A$2:$A$18,Games!$E$2:$E$18,"Missing game",0)</x:f>
        <x:v>45984</x:v>
      </x:c>
      <x:c r="AK1797" t="str">
        <x:f>_xlfn.XLOOKUP($A1797,Games!$A$2:$A$18,Games!$F$2:$F$18,"Missing game",0)</x:f>
        <x:v>Sunday</x:v>
      </x:c>
      <x:c r="AL1797" t="str">
        <x:f>_xlfn.XLOOKUP($A1797,Games!$A$2:$A$18,Games!$G$2:$G$18,"Missing game",0)</x:f>
        <x:v>MIN</x:v>
      </x:c>
      <x:c r="AM1797" t="n">
        <x:f>_xlfn.XLOOKUP($A1797,Games!$A$2:$A$18,Games!$H$2:$H$18,"Missing game",0)</x:f>
        <x:v>6</x:v>
      </x:c>
      <x:c r="AN1797" t="str">
        <x:f>_xlfn.XLOOKUP($A1797,Games!$A$2:$A$18,Games!$I$2:$I$18,"Missing game",0)</x:f>
        <x:v>GB</x:v>
      </x:c>
      <x:c r="AO1797" t="n">
        <x:f>_xlfn.XLOOKUP($A1797,Games!$A$2:$A$18,Games!$J$2:$J$18,"Missing game",0)</x:f>
        <x:v>23</x:v>
      </x:c>
      <x:c r="AP1797" t="n">
        <x:f>_xlfn.XLOOKUP($A1797,Games!$A$2:$A$18,Games!$K$2:$K$18,"Missing game",0)</x:f>
        <x:v>17</x:v>
      </x:c>
      <x:c r="AQ1797" t="n">
        <x:f>_xlfn.XLOOKUP($A1797,Games!$A$2:$A$18,Games!$L$2:$L$18,"Missing game",0)</x:f>
        <x:v>29</x:v>
      </x:c>
      <x:c r="AR1797" t="n">
        <x:f>_xlfn.XLOOKUP($A1797,Games!$A$2:$A$18,Games!$M$2:$M$18,"Missing game",0)</x:f>
        <x:v>0</x:v>
      </x:c>
      <x:c r="AS1797" t="str">
        <x:f>_xlfn.XLOOKUP($A1797,Games!$A$2:$A$18,Games!$N$2:$N$18,"Missing game",0)</x:f>
        <x:v>outdoors</x:v>
      </x:c>
      <x:c r="AT1797" t="str">
        <x:f>_xlfn.XLOOKUP($A1797,Games!$A$2:$A$18,Games!$O$2:$O$18,"Missing game",0)</x:f>
        <x:v>grass</x:v>
      </x:c>
      <x:c r="AU1797" t="n">
        <x:f>_xlfn.XLOOKUP($A1797,Games!$A$2:$A$18,Games!$P$2:$P$18,"Missing game",0)</x:f>
        <x:v>43</x:v>
      </x:c>
      <x:c r="AV1797" t="n">
        <x:f>_xlfn.XLOOKUP($A1797,Games!$A$2:$A$18,Games!$Q$2:$Q$18,"Missing game",0)</x:f>
        <x:v>10</x:v>
      </x:c>
      <x:c r="AW1797" t="str">
        <x:f>_xlfn.XLOOKUP($A1797,Games!$A$2:$A$18,Games!$R$2:$R$18,"Missing game",0)</x:f>
        <x:v>Lambeau Field</x:v>
      </x:c>
    </x:row>
    <x:row r="1798">
      <x:c r="A1798" t="str">
        <x:v>2025_12_MIN_GB</x:v>
      </x:c>
      <x:c r="B1798" t="n">
        <x:v>2082</x:v>
      </x:c>
      <x:c r="C1798" t="n">
        <x:v>3</x:v>
      </x:c>
      <x:c r="D1798" t="str">
        <x:v>10:58</x:v>
      </x:c>
      <x:c r="E1798" t="n">
        <x:v>2</x:v>
      </x:c>
      <x:c r="F1798" t="n">
        <x:v>1</x:v>
      </x:c>
      <x:c r="G1798" t="str">
        <x:v>GB</x:v>
      </x:c>
      <x:c r="H1798" t="str">
        <x:v>MIN</x:v>
      </x:c>
      <x:c r="I1798" t="str">
        <x:v>MIN</x:v>
      </x:c>
      <x:c r="J1798" t="n">
        <x:v>1</x:v>
      </x:c>
      <x:c r="K1798" t="str">
        <x:v>(10:58) 23-E.Wilson right guard for 1 yard, TOUCHDOWN.</x:v>
      </x:c>
      <x:c r="L1798" t="str">
        <x:v>run</x:v>
      </x:c>
      <x:c r="M1798" t="n">
        <x:v>1</x:v>
      </x:c>
      <x:c r="N1798" t="n">
        <x:v>0</x:v>
      </x:c>
      <x:c r="O1798" t="n">
        <x:v>0</x:v>
      </x:c>
      <x:c r="P1798"/>
      <x:c r="Q1798"/>
      <x:c r="R1798"/>
      <x:c r="S1798"/>
      <x:c r="T1798" t="str">
        <x:v>right</x:v>
      </x:c>
      <x:c r="U1798" t="str">
        <x:v>guard</x:v>
      </x:c>
      <x:c r="V1798" t="n">
        <x:v>0</x:v>
      </x:c>
      <x:c r="W1798" t="n">
        <x:v>1</x:v>
      </x:c>
      <x:c r="X1798" t="n">
        <x:v>0</x:v>
      </x:c>
      <x:c r="Y1798" t="n">
        <x:v>0</x:v>
      </x:c>
      <x:c r="Z1798" t="n">
        <x:v>0</x:v>
      </x:c>
      <x:c r="AA1798" t="n">
        <x:v>0</x:v>
      </x:c>
      <x:c r="AB1798"/>
      <x:c r="AC1798" t="n">
        <x:v>1</x:v>
      </x:c>
      <x:c r="AD1798" t="n">
        <x:v>0.6864933810429648</x:v>
      </x:c>
      <x:c r="AE1798" t="n">
        <x:v>1</x:v>
      </x:c>
      <x:c r="AF1798" t="n">
        <x:v>0.01751794085149483</x:v>
      </x:c>
      <x:c r="AG1798" t="n">
        <x:f>_xlfn.XLOOKUP($A1798,Games!$A$2:$A$18,Games!$B$2:$B$18,"Missing game",0)</x:f>
        <x:v>2025</x:v>
      </x:c>
      <x:c r="AH1798" t="str">
        <x:f>_xlfn.XLOOKUP($A1798,Games!$A$2:$A$18,Games!$C$2:$C$18,"Missing game",0)</x:f>
        <x:v>REG</x:v>
      </x:c>
      <x:c r="AI1798" t="n">
        <x:f>_xlfn.XLOOKUP($A1798,Games!$A$2:$A$18,Games!$D$2:$D$18,"Missing game",0)</x:f>
        <x:v>12</x:v>
      </x:c>
      <x:c r="AJ1798" s="1" t="n">
        <x:f>_xlfn.XLOOKUP($A1798,Games!$A$2:$A$18,Games!$E$2:$E$18,"Missing game",0)</x:f>
        <x:v>45984</x:v>
      </x:c>
      <x:c r="AK1798" t="str">
        <x:f>_xlfn.XLOOKUP($A1798,Games!$A$2:$A$18,Games!$F$2:$F$18,"Missing game",0)</x:f>
        <x:v>Sunday</x:v>
      </x:c>
      <x:c r="AL1798" t="str">
        <x:f>_xlfn.XLOOKUP($A1798,Games!$A$2:$A$18,Games!$G$2:$G$18,"Missing game",0)</x:f>
        <x:v>MIN</x:v>
      </x:c>
      <x:c r="AM1798" t="n">
        <x:f>_xlfn.XLOOKUP($A1798,Games!$A$2:$A$18,Games!$H$2:$H$18,"Missing game",0)</x:f>
        <x:v>6</x:v>
      </x:c>
      <x:c r="AN1798" t="str">
        <x:f>_xlfn.XLOOKUP($A1798,Games!$A$2:$A$18,Games!$I$2:$I$18,"Missing game",0)</x:f>
        <x:v>GB</x:v>
      </x:c>
      <x:c r="AO1798" t="n">
        <x:f>_xlfn.XLOOKUP($A1798,Games!$A$2:$A$18,Games!$J$2:$J$18,"Missing game",0)</x:f>
        <x:v>23</x:v>
      </x:c>
      <x:c r="AP1798" t="n">
        <x:f>_xlfn.XLOOKUP($A1798,Games!$A$2:$A$18,Games!$K$2:$K$18,"Missing game",0)</x:f>
        <x:v>17</x:v>
      </x:c>
      <x:c r="AQ1798" t="n">
        <x:f>_xlfn.XLOOKUP($A1798,Games!$A$2:$A$18,Games!$L$2:$L$18,"Missing game",0)</x:f>
        <x:v>29</x:v>
      </x:c>
      <x:c r="AR1798" t="n">
        <x:f>_xlfn.XLOOKUP($A1798,Games!$A$2:$A$18,Games!$M$2:$M$18,"Missing game",0)</x:f>
        <x:v>0</x:v>
      </x:c>
      <x:c r="AS1798" t="str">
        <x:f>_xlfn.XLOOKUP($A1798,Games!$A$2:$A$18,Games!$N$2:$N$18,"Missing game",0)</x:f>
        <x:v>outdoors</x:v>
      </x:c>
      <x:c r="AT1798" t="str">
        <x:f>_xlfn.XLOOKUP($A1798,Games!$A$2:$A$18,Games!$O$2:$O$18,"Missing game",0)</x:f>
        <x:v>grass</x:v>
      </x:c>
      <x:c r="AU1798" t="n">
        <x:f>_xlfn.XLOOKUP($A1798,Games!$A$2:$A$18,Games!$P$2:$P$18,"Missing game",0)</x:f>
        <x:v>43</x:v>
      </x:c>
      <x:c r="AV1798" t="n">
        <x:f>_xlfn.XLOOKUP($A1798,Games!$A$2:$A$18,Games!$Q$2:$Q$18,"Missing game",0)</x:f>
        <x:v>10</x:v>
      </x:c>
      <x:c r="AW1798" t="str">
        <x:f>_xlfn.XLOOKUP($A1798,Games!$A$2:$A$18,Games!$R$2:$R$18,"Missing game",0)</x:f>
        <x:v>Lambeau Field</x:v>
      </x:c>
    </x:row>
    <x:row r="1799">
      <x:c r="A1799" t="str">
        <x:v>2025_12_MIN_GB</x:v>
      </x:c>
      <x:c r="B1799" t="n">
        <x:v>2105</x:v>
      </x:c>
      <x:c r="C1799" t="n">
        <x:v>3</x:v>
      </x:c>
      <x:c r="D1799" t="str">
        <x:v>10:53</x:v>
      </x:c>
      <x:c r="E1799"/>
      <x:c r="F1799" t="n">
        <x:v>0</x:v>
      </x:c>
      <x:c r="G1799" t="str">
        <x:v>GB</x:v>
      </x:c>
      <x:c r="H1799" t="str">
        <x:v>MIN</x:v>
      </x:c>
      <x:c r="I1799" t="str">
        <x:v>MIN</x:v>
      </x:c>
      <x:c r="J1799" t="n">
        <x:v>15</x:v>
      </x:c>
      <x:c r="K1799" t="str">
        <x:v>17-B.McManus extra point is GOOD, Center-42-M.Orzech, Holder-19-D.Whelan.</x:v>
      </x:c>
      <x:c r="L1799" t="str">
        <x:v>extra_point</x:v>
      </x:c>
      <x:c r="M1799" t="n">
        <x:v>0</x:v>
      </x:c>
      <x:c r="N1799" t="n">
        <x:v>0</x:v>
      </x:c>
      <x:c r="O1799" t="n">
        <x:v>0</x:v>
      </x:c>
      <x:c r="P1799"/>
      <x:c r="Q1799"/>
      <x:c r="R1799"/>
      <x:c r="S1799"/>
      <x:c r="T1799"/>
      <x:c r="U1799"/>
      <x:c r="V1799" t="n">
        <x:v>0</x:v>
      </x:c>
      <x:c r="W1799" t="n">
        <x:v>0</x:v>
      </x:c>
      <x:c r="X1799" t="n">
        <x:v>0</x:v>
      </x:c>
      <x:c r="Y1799" t="n">
        <x:v>0</x:v>
      </x:c>
      <x:c r="Z1799" t="n">
        <x:v>0</x:v>
      </x:c>
      <x:c r="AA1799" t="n">
        <x:v>0</x:v>
      </x:c>
      <x:c r="AB1799"/>
      <x:c r="AC1799" t="n">
        <x:v>0</x:v>
      </x:c>
      <x:c r="AD1799" t="n">
        <x:v>0.06757300310763314</x:v>
      </x:c>
      <x:c r="AE1799" t="n">
        <x:v>1</x:v>
      </x:c>
      <x:c r="AF1799" t="n">
        <x:v>0.00220005050058647</x:v>
      </x:c>
      <x:c r="AG1799" t="n">
        <x:f>_xlfn.XLOOKUP($A1799,Games!$A$2:$A$18,Games!$B$2:$B$18,"Missing game",0)</x:f>
        <x:v>2025</x:v>
      </x:c>
      <x:c r="AH1799" t="str">
        <x:f>_xlfn.XLOOKUP($A1799,Games!$A$2:$A$18,Games!$C$2:$C$18,"Missing game",0)</x:f>
        <x:v>REG</x:v>
      </x:c>
      <x:c r="AI1799" t="n">
        <x:f>_xlfn.XLOOKUP($A1799,Games!$A$2:$A$18,Games!$D$2:$D$18,"Missing game",0)</x:f>
        <x:v>12</x:v>
      </x:c>
      <x:c r="AJ1799" s="1" t="n">
        <x:f>_xlfn.XLOOKUP($A1799,Games!$A$2:$A$18,Games!$E$2:$E$18,"Missing game",0)</x:f>
        <x:v>45984</x:v>
      </x:c>
      <x:c r="AK1799" t="str">
        <x:f>_xlfn.XLOOKUP($A1799,Games!$A$2:$A$18,Games!$F$2:$F$18,"Missing game",0)</x:f>
        <x:v>Sunday</x:v>
      </x:c>
      <x:c r="AL1799" t="str">
        <x:f>_xlfn.XLOOKUP($A1799,Games!$A$2:$A$18,Games!$G$2:$G$18,"Missing game",0)</x:f>
        <x:v>MIN</x:v>
      </x:c>
      <x:c r="AM1799" t="n">
        <x:f>_xlfn.XLOOKUP($A1799,Games!$A$2:$A$18,Games!$H$2:$H$18,"Missing game",0)</x:f>
        <x:v>6</x:v>
      </x:c>
      <x:c r="AN1799" t="str">
        <x:f>_xlfn.XLOOKUP($A1799,Games!$A$2:$A$18,Games!$I$2:$I$18,"Missing game",0)</x:f>
        <x:v>GB</x:v>
      </x:c>
      <x:c r="AO1799" t="n">
        <x:f>_xlfn.XLOOKUP($A1799,Games!$A$2:$A$18,Games!$J$2:$J$18,"Missing game",0)</x:f>
        <x:v>23</x:v>
      </x:c>
      <x:c r="AP1799" t="n">
        <x:f>_xlfn.XLOOKUP($A1799,Games!$A$2:$A$18,Games!$K$2:$K$18,"Missing game",0)</x:f>
        <x:v>17</x:v>
      </x:c>
      <x:c r="AQ1799" t="n">
        <x:f>_xlfn.XLOOKUP($A1799,Games!$A$2:$A$18,Games!$L$2:$L$18,"Missing game",0)</x:f>
        <x:v>29</x:v>
      </x:c>
      <x:c r="AR1799" t="n">
        <x:f>_xlfn.XLOOKUP($A1799,Games!$A$2:$A$18,Games!$M$2:$M$18,"Missing game",0)</x:f>
        <x:v>0</x:v>
      </x:c>
      <x:c r="AS1799" t="str">
        <x:f>_xlfn.XLOOKUP($A1799,Games!$A$2:$A$18,Games!$N$2:$N$18,"Missing game",0)</x:f>
        <x:v>outdoors</x:v>
      </x:c>
      <x:c r="AT1799" t="str">
        <x:f>_xlfn.XLOOKUP($A1799,Games!$A$2:$A$18,Games!$O$2:$O$18,"Missing game",0)</x:f>
        <x:v>grass</x:v>
      </x:c>
      <x:c r="AU1799" t="n">
        <x:f>_xlfn.XLOOKUP($A1799,Games!$A$2:$A$18,Games!$P$2:$P$18,"Missing game",0)</x:f>
        <x:v>43</x:v>
      </x:c>
      <x:c r="AV1799" t="n">
        <x:f>_xlfn.XLOOKUP($A1799,Games!$A$2:$A$18,Games!$Q$2:$Q$18,"Missing game",0)</x:f>
        <x:v>10</x:v>
      </x:c>
      <x:c r="AW1799" t="str">
        <x:f>_xlfn.XLOOKUP($A1799,Games!$A$2:$A$18,Games!$R$2:$R$18,"Missing game",0)</x:f>
        <x:v>Lambeau Field</x:v>
      </x:c>
    </x:row>
    <x:row r="1800">
      <x:c r="A1800" t="str">
        <x:v>2025_12_MIN_GB</x:v>
      </x:c>
      <x:c r="B1800" t="n">
        <x:v>2120</x:v>
      </x:c>
      <x:c r="C1800" t="n">
        <x:v>3</x:v>
      </x:c>
      <x:c r="D1800" t="str">
        <x:v>10:53</x:v>
      </x:c>
      <x:c r="E1800"/>
      <x:c r="F1800" t="n">
        <x:v>0</x:v>
      </x:c>
      <x:c r="G1800" t="str">
        <x:v>MIN</x:v>
      </x:c>
      <x:c r="H1800" t="str">
        <x:v>GB</x:v>
      </x:c>
      <x:c r="I1800" t="str">
        <x:v>GB</x:v>
      </x:c>
      <x:c r="J1800" t="n">
        <x:v>35</x:v>
      </x:c>
      <x:c r="K1800" t="str">
        <x:v>17-B.McManus kicks 60 yards from GB 35 to MIN 5. 4-M.Price to MIN 34 for 29 yards (39-Z.Anderson).</x:v>
      </x:c>
      <x:c r="L1800" t="str">
        <x:v>kickoff</x:v>
      </x:c>
      <x:c r="M1800" t="n">
        <x:v>0</x:v>
      </x:c>
      <x:c r="N1800" t="n">
        <x:v>0</x:v>
      </x:c>
      <x:c r="O1800" t="n">
        <x:v>0</x:v>
      </x:c>
      <x:c r="P1800"/>
      <x:c r="Q1800"/>
      <x:c r="R1800"/>
      <x:c r="S1800"/>
      <x:c r="T1800"/>
      <x:c r="U1800"/>
      <x:c r="V1800" t="n">
        <x:v>0</x:v>
      </x:c>
      <x:c r="W1800" t="n">
        <x:v>0</x:v>
      </x:c>
      <x:c r="X1800" t="n">
        <x:v>0</x:v>
      </x:c>
      <x:c r="Y1800" t="n">
        <x:v>0</x:v>
      </x:c>
      <x:c r="Z1800" t="n">
        <x:v>0</x:v>
      </x:c>
      <x:c r="AA1800" t="n">
        <x:v>0</x:v>
      </x:c>
      <x:c r="AB1800"/>
      <x:c r="AC1800" t="n">
        <x:v>0</x:v>
      </x:c>
      <x:c r="AD1800" t="n">
        <x:v>0.5394625053741038</x:v>
      </x:c>
      <x:c r="AE1800" t="n">
        <x:v>1</x:v>
      </x:c>
      <x:c r="AF1800" t="n">
        <x:v>0.0029824823141098022</x:v>
      </x:c>
      <x:c r="AG1800" t="n">
        <x:f>_xlfn.XLOOKUP($A1800,Games!$A$2:$A$18,Games!$B$2:$B$18,"Missing game",0)</x:f>
        <x:v>2025</x:v>
      </x:c>
      <x:c r="AH1800" t="str">
        <x:f>_xlfn.XLOOKUP($A1800,Games!$A$2:$A$18,Games!$C$2:$C$18,"Missing game",0)</x:f>
        <x:v>REG</x:v>
      </x:c>
      <x:c r="AI1800" t="n">
        <x:f>_xlfn.XLOOKUP($A1800,Games!$A$2:$A$18,Games!$D$2:$D$18,"Missing game",0)</x:f>
        <x:v>12</x:v>
      </x:c>
      <x:c r="AJ1800" s="1" t="n">
        <x:f>_xlfn.XLOOKUP($A1800,Games!$A$2:$A$18,Games!$E$2:$E$18,"Missing game",0)</x:f>
        <x:v>45984</x:v>
      </x:c>
      <x:c r="AK1800" t="str">
        <x:f>_xlfn.XLOOKUP($A1800,Games!$A$2:$A$18,Games!$F$2:$F$18,"Missing game",0)</x:f>
        <x:v>Sunday</x:v>
      </x:c>
      <x:c r="AL1800" t="str">
        <x:f>_xlfn.XLOOKUP($A1800,Games!$A$2:$A$18,Games!$G$2:$G$18,"Missing game",0)</x:f>
        <x:v>MIN</x:v>
      </x:c>
      <x:c r="AM1800" t="n">
        <x:f>_xlfn.XLOOKUP($A1800,Games!$A$2:$A$18,Games!$H$2:$H$18,"Missing game",0)</x:f>
        <x:v>6</x:v>
      </x:c>
      <x:c r="AN1800" t="str">
        <x:f>_xlfn.XLOOKUP($A1800,Games!$A$2:$A$18,Games!$I$2:$I$18,"Missing game",0)</x:f>
        <x:v>GB</x:v>
      </x:c>
      <x:c r="AO1800" t="n">
        <x:f>_xlfn.XLOOKUP($A1800,Games!$A$2:$A$18,Games!$J$2:$J$18,"Missing game",0)</x:f>
        <x:v>23</x:v>
      </x:c>
      <x:c r="AP1800" t="n">
        <x:f>_xlfn.XLOOKUP($A1800,Games!$A$2:$A$18,Games!$K$2:$K$18,"Missing game",0)</x:f>
        <x:v>17</x:v>
      </x:c>
      <x:c r="AQ1800" t="n">
        <x:f>_xlfn.XLOOKUP($A1800,Games!$A$2:$A$18,Games!$L$2:$L$18,"Missing game",0)</x:f>
        <x:v>29</x:v>
      </x:c>
      <x:c r="AR1800" t="n">
        <x:f>_xlfn.XLOOKUP($A1800,Games!$A$2:$A$18,Games!$M$2:$M$18,"Missing game",0)</x:f>
        <x:v>0</x:v>
      </x:c>
      <x:c r="AS1800" t="str">
        <x:f>_xlfn.XLOOKUP($A1800,Games!$A$2:$A$18,Games!$N$2:$N$18,"Missing game",0)</x:f>
        <x:v>outdoors</x:v>
      </x:c>
      <x:c r="AT1800" t="str">
        <x:f>_xlfn.XLOOKUP($A1800,Games!$A$2:$A$18,Games!$O$2:$O$18,"Missing game",0)</x:f>
        <x:v>grass</x:v>
      </x:c>
      <x:c r="AU1800" t="n">
        <x:f>_xlfn.XLOOKUP($A1800,Games!$A$2:$A$18,Games!$P$2:$P$18,"Missing game",0)</x:f>
        <x:v>43</x:v>
      </x:c>
      <x:c r="AV1800" t="n">
        <x:f>_xlfn.XLOOKUP($A1800,Games!$A$2:$A$18,Games!$Q$2:$Q$18,"Missing game",0)</x:f>
        <x:v>10</x:v>
      </x:c>
      <x:c r="AW1800" t="str">
        <x:f>_xlfn.XLOOKUP($A1800,Games!$A$2:$A$18,Games!$R$2:$R$18,"Missing game",0)</x:f>
        <x:v>Lambeau Field</x:v>
      </x:c>
    </x:row>
    <x:row r="1801">
      <x:c r="A1801" t="str">
        <x:v>2025_12_MIN_GB</x:v>
      </x:c>
      <x:c r="B1801" t="n">
        <x:v>2150</x:v>
      </x:c>
      <x:c r="C1801" t="n">
        <x:v>3</x:v>
      </x:c>
      <x:c r="D1801" t="str">
        <x:v>10:48</x:v>
      </x:c>
      <x:c r="E1801" t="n">
        <x:v>1</x:v>
      </x:c>
      <x:c r="F1801" t="n">
        <x:v>10</x:v>
      </x:c>
      <x:c r="G1801" t="str">
        <x:v>MIN</x:v>
      </x:c>
      <x:c r="H1801" t="str">
        <x:v>GB</x:v>
      </x:c>
      <x:c r="I1801" t="str">
        <x:v>MIN</x:v>
      </x:c>
      <x:c r="J1801" t="n">
        <x:v>66</x:v>
      </x:c>
      <x:c r="K1801" t="str">
        <x:v>(10:48) (Shotgun) 9-J.McCarthy sacked at MIN 27 for -7 yards (1-M.Parsons).</x:v>
      </x:c>
      <x:c r="L1801" t="str">
        <x:v>pass</x:v>
      </x:c>
      <x:c r="M1801" t="n">
        <x:v>-7</x:v>
      </x:c>
      <x:c r="N1801" t="n">
        <x:v>1</x:v>
      </x:c>
      <x:c r="O1801" t="n">
        <x:v>0</x:v>
      </x:c>
      <x:c r="P1801"/>
      <x:c r="Q1801"/>
      <x:c r="R1801"/>
      <x:c r="S1801"/>
      <x:c r="T1801"/>
      <x:c r="U1801"/>
      <x:c r="V1801" t="n">
        <x:v>0</x:v>
      </x:c>
      <x:c r="W1801" t="n">
        <x:v>0</x:v>
      </x:c>
      <x:c r="X1801" t="n">
        <x:v>1</x:v>
      </x:c>
      <x:c r="Y1801" t="n">
        <x:v>0</x:v>
      </x:c>
      <x:c r="Z1801" t="n">
        <x:v>0</x:v>
      </x:c>
      <x:c r="AA1801" t="n">
        <x:v>0</x:v>
      </x:c>
      <x:c r="AB1801"/>
      <x:c r="AC1801" t="n">
        <x:v>0</x:v>
      </x:c>
      <x:c r="AD1801" t="n">
        <x:v>-1.3516980223357677</x:v>
      </x:c>
      <x:c r="AE1801" t="n">
        <x:v>0</x:v>
      </x:c>
      <x:c r="AF1801" t="n">
        <x:v>-0.02095162868499756</x:v>
      </x:c>
      <x:c r="AG1801" t="n">
        <x:f>_xlfn.XLOOKUP($A1801,Games!$A$2:$A$18,Games!$B$2:$B$18,"Missing game",0)</x:f>
        <x:v>2025</x:v>
      </x:c>
      <x:c r="AH1801" t="str">
        <x:f>_xlfn.XLOOKUP($A1801,Games!$A$2:$A$18,Games!$C$2:$C$18,"Missing game",0)</x:f>
        <x:v>REG</x:v>
      </x:c>
      <x:c r="AI1801" t="n">
        <x:f>_xlfn.XLOOKUP($A1801,Games!$A$2:$A$18,Games!$D$2:$D$18,"Missing game",0)</x:f>
        <x:v>12</x:v>
      </x:c>
      <x:c r="AJ1801" s="1" t="n">
        <x:f>_xlfn.XLOOKUP($A1801,Games!$A$2:$A$18,Games!$E$2:$E$18,"Missing game",0)</x:f>
        <x:v>45984</x:v>
      </x:c>
      <x:c r="AK1801" t="str">
        <x:f>_xlfn.XLOOKUP($A1801,Games!$A$2:$A$18,Games!$F$2:$F$18,"Missing game",0)</x:f>
        <x:v>Sunday</x:v>
      </x:c>
      <x:c r="AL1801" t="str">
        <x:f>_xlfn.XLOOKUP($A1801,Games!$A$2:$A$18,Games!$G$2:$G$18,"Missing game",0)</x:f>
        <x:v>MIN</x:v>
      </x:c>
      <x:c r="AM1801" t="n">
        <x:f>_xlfn.XLOOKUP($A1801,Games!$A$2:$A$18,Games!$H$2:$H$18,"Missing game",0)</x:f>
        <x:v>6</x:v>
      </x:c>
      <x:c r="AN1801" t="str">
        <x:f>_xlfn.XLOOKUP($A1801,Games!$A$2:$A$18,Games!$I$2:$I$18,"Missing game",0)</x:f>
        <x:v>GB</x:v>
      </x:c>
      <x:c r="AO1801" t="n">
        <x:f>_xlfn.XLOOKUP($A1801,Games!$A$2:$A$18,Games!$J$2:$J$18,"Missing game",0)</x:f>
        <x:v>23</x:v>
      </x:c>
      <x:c r="AP1801" t="n">
        <x:f>_xlfn.XLOOKUP($A1801,Games!$A$2:$A$18,Games!$K$2:$K$18,"Missing game",0)</x:f>
        <x:v>17</x:v>
      </x:c>
      <x:c r="AQ1801" t="n">
        <x:f>_xlfn.XLOOKUP($A1801,Games!$A$2:$A$18,Games!$L$2:$L$18,"Missing game",0)</x:f>
        <x:v>29</x:v>
      </x:c>
      <x:c r="AR1801" t="n">
        <x:f>_xlfn.XLOOKUP($A1801,Games!$A$2:$A$18,Games!$M$2:$M$18,"Missing game",0)</x:f>
        <x:v>0</x:v>
      </x:c>
      <x:c r="AS1801" t="str">
        <x:f>_xlfn.XLOOKUP($A1801,Games!$A$2:$A$18,Games!$N$2:$N$18,"Missing game",0)</x:f>
        <x:v>outdoors</x:v>
      </x:c>
      <x:c r="AT1801" t="str">
        <x:f>_xlfn.XLOOKUP($A1801,Games!$A$2:$A$18,Games!$O$2:$O$18,"Missing game",0)</x:f>
        <x:v>grass</x:v>
      </x:c>
      <x:c r="AU1801" t="n">
        <x:f>_xlfn.XLOOKUP($A1801,Games!$A$2:$A$18,Games!$P$2:$P$18,"Missing game",0)</x:f>
        <x:v>43</x:v>
      </x:c>
      <x:c r="AV1801" t="n">
        <x:f>_xlfn.XLOOKUP($A1801,Games!$A$2:$A$18,Games!$Q$2:$Q$18,"Missing game",0)</x:f>
        <x:v>10</x:v>
      </x:c>
      <x:c r="AW1801" t="str">
        <x:f>_xlfn.XLOOKUP($A1801,Games!$A$2:$A$18,Games!$R$2:$R$18,"Missing game",0)</x:f>
        <x:v>Lambeau Field</x:v>
      </x:c>
    </x:row>
    <x:row r="1802">
      <x:c r="A1802" t="str">
        <x:v>2025_12_MIN_GB</x:v>
      </x:c>
      <x:c r="B1802" t="n">
        <x:v>2170</x:v>
      </x:c>
      <x:c r="C1802" t="n">
        <x:v>3</x:v>
      </x:c>
      <x:c r="D1802" t="str">
        <x:v>10:08</x:v>
      </x:c>
      <x:c r="E1802" t="n">
        <x:v>2</x:v>
      </x:c>
      <x:c r="F1802" t="n">
        <x:v>17</x:v>
      </x:c>
      <x:c r="G1802" t="str">
        <x:v>MIN</x:v>
      </x:c>
      <x:c r="H1802" t="str">
        <x:v>GB</x:v>
      </x:c>
      <x:c r="I1802" t="str">
        <x:v>MIN</x:v>
      </x:c>
      <x:c r="J1802" t="n">
        <x:v>73</x:v>
      </x:c>
      <x:c r="K1802" t="str">
        <x:v>(10:08) (Shotgun) 9-J.McCarthy pass short left to 87-T.Hockenson to MIN 32 for 5 yards (36-K.Hadden; 56-E.Cooper).</x:v>
      </x:c>
      <x:c r="L1802" t="str">
        <x:v>pass</x:v>
      </x:c>
      <x:c r="M1802" t="n">
        <x:v>5</x:v>
      </x:c>
      <x:c r="N1802" t="n">
        <x:v>1</x:v>
      </x:c>
      <x:c r="O1802" t="n">
        <x:v>0</x:v>
      </x:c>
      <x:c r="P1802" t="str">
        <x:v>short</x:v>
      </x:c>
      <x:c r="Q1802" t="str">
        <x:v>left</x:v>
      </x:c>
      <x:c r="R1802" t="n">
        <x:v>4</x:v>
      </x:c>
      <x:c r="S1802" t="n">
        <x:v>1</x:v>
      </x:c>
      <x:c r="T1802"/>
      <x:c r="U1802"/>
      <x:c r="V1802" t="n">
        <x:v>1</x:v>
      </x:c>
      <x:c r="W1802" t="n">
        <x:v>0</x:v>
      </x:c>
      <x:c r="X1802" t="n">
        <x:v>0</x:v>
      </x:c>
      <x:c r="Y1802" t="n">
        <x:v>0</x:v>
      </x:c>
      <x:c r="Z1802" t="n">
        <x:v>0</x:v>
      </x:c>
      <x:c r="AA1802" t="n">
        <x:v>0</x:v>
      </x:c>
      <x:c r="AB1802"/>
      <x:c r="AC1802" t="n">
        <x:v>0</x:v>
      </x:c>
      <x:c r="AD1802" t="n">
        <x:v>-0.3638085573911667</x:v>
      </x:c>
      <x:c r="AE1802" t="n">
        <x:v>0</x:v>
      </x:c>
      <x:c r="AF1802" t="n">
        <x:v>-0.00574386864900589</x:v>
      </x:c>
      <x:c r="AG1802" t="n">
        <x:f>_xlfn.XLOOKUP($A1802,Games!$A$2:$A$18,Games!$B$2:$B$18,"Missing game",0)</x:f>
        <x:v>2025</x:v>
      </x:c>
      <x:c r="AH1802" t="str">
        <x:f>_xlfn.XLOOKUP($A1802,Games!$A$2:$A$18,Games!$C$2:$C$18,"Missing game",0)</x:f>
        <x:v>REG</x:v>
      </x:c>
      <x:c r="AI1802" t="n">
        <x:f>_xlfn.XLOOKUP($A1802,Games!$A$2:$A$18,Games!$D$2:$D$18,"Missing game",0)</x:f>
        <x:v>12</x:v>
      </x:c>
      <x:c r="AJ1802" s="1" t="n">
        <x:f>_xlfn.XLOOKUP($A1802,Games!$A$2:$A$18,Games!$E$2:$E$18,"Missing game",0)</x:f>
        <x:v>45984</x:v>
      </x:c>
      <x:c r="AK1802" t="str">
        <x:f>_xlfn.XLOOKUP($A1802,Games!$A$2:$A$18,Games!$F$2:$F$18,"Missing game",0)</x:f>
        <x:v>Sunday</x:v>
      </x:c>
      <x:c r="AL1802" t="str">
        <x:f>_xlfn.XLOOKUP($A1802,Games!$A$2:$A$18,Games!$G$2:$G$18,"Missing game",0)</x:f>
        <x:v>MIN</x:v>
      </x:c>
      <x:c r="AM1802" t="n">
        <x:f>_xlfn.XLOOKUP($A1802,Games!$A$2:$A$18,Games!$H$2:$H$18,"Missing game",0)</x:f>
        <x:v>6</x:v>
      </x:c>
      <x:c r="AN1802" t="str">
        <x:f>_xlfn.XLOOKUP($A1802,Games!$A$2:$A$18,Games!$I$2:$I$18,"Missing game",0)</x:f>
        <x:v>GB</x:v>
      </x:c>
      <x:c r="AO1802" t="n">
        <x:f>_xlfn.XLOOKUP($A1802,Games!$A$2:$A$18,Games!$J$2:$J$18,"Missing game",0)</x:f>
        <x:v>23</x:v>
      </x:c>
      <x:c r="AP1802" t="n">
        <x:f>_xlfn.XLOOKUP($A1802,Games!$A$2:$A$18,Games!$K$2:$K$18,"Missing game",0)</x:f>
        <x:v>17</x:v>
      </x:c>
      <x:c r="AQ1802" t="n">
        <x:f>_xlfn.XLOOKUP($A1802,Games!$A$2:$A$18,Games!$L$2:$L$18,"Missing game",0)</x:f>
        <x:v>29</x:v>
      </x:c>
      <x:c r="AR1802" t="n">
        <x:f>_xlfn.XLOOKUP($A1802,Games!$A$2:$A$18,Games!$M$2:$M$18,"Missing game",0)</x:f>
        <x:v>0</x:v>
      </x:c>
      <x:c r="AS1802" t="str">
        <x:f>_xlfn.XLOOKUP($A1802,Games!$A$2:$A$18,Games!$N$2:$N$18,"Missing game",0)</x:f>
        <x:v>outdoors</x:v>
      </x:c>
      <x:c r="AT1802" t="str">
        <x:f>_xlfn.XLOOKUP($A1802,Games!$A$2:$A$18,Games!$O$2:$O$18,"Missing game",0)</x:f>
        <x:v>grass</x:v>
      </x:c>
      <x:c r="AU1802" t="n">
        <x:f>_xlfn.XLOOKUP($A1802,Games!$A$2:$A$18,Games!$P$2:$P$18,"Missing game",0)</x:f>
        <x:v>43</x:v>
      </x:c>
      <x:c r="AV1802" t="n">
        <x:f>_xlfn.XLOOKUP($A1802,Games!$A$2:$A$18,Games!$Q$2:$Q$18,"Missing game",0)</x:f>
        <x:v>10</x:v>
      </x:c>
      <x:c r="AW1802" t="str">
        <x:f>_xlfn.XLOOKUP($A1802,Games!$A$2:$A$18,Games!$R$2:$R$18,"Missing game",0)</x:f>
        <x:v>Lambeau Field</x:v>
      </x:c>
    </x:row>
    <x:row r="1803">
      <x:c r="A1803" t="str">
        <x:v>2025_12_MIN_GB</x:v>
      </x:c>
      <x:c r="B1803" t="n">
        <x:v>2195</x:v>
      </x:c>
      <x:c r="C1803" t="n">
        <x:v>3</x:v>
      </x:c>
      <x:c r="D1803" t="str">
        <x:v>09:38</x:v>
      </x:c>
      <x:c r="E1803" t="n">
        <x:v>3</x:v>
      </x:c>
      <x:c r="F1803" t="n">
        <x:v>12</x:v>
      </x:c>
      <x:c r="G1803" t="str">
        <x:v>MIN</x:v>
      </x:c>
      <x:c r="H1803" t="str">
        <x:v>GB</x:v>
      </x:c>
      <x:c r="I1803" t="str">
        <x:v>MIN</x:v>
      </x:c>
      <x:c r="J1803" t="n">
        <x:v>68</x:v>
      </x:c>
      <x:c r="K1803" t="str">
        <x:v>(9:38) (Shotgun) 9-J.McCarthy pass short right to 87-T.Hockenson to MIN 36 for 4 yards (33-E.Williams) [52-R.Gary].</x:v>
      </x:c>
      <x:c r="L1803" t="str">
        <x:v>pass</x:v>
      </x:c>
      <x:c r="M1803" t="n">
        <x:v>4</x:v>
      </x:c>
      <x:c r="N1803" t="n">
        <x:v>1</x:v>
      </x:c>
      <x:c r="O1803" t="n">
        <x:v>0</x:v>
      </x:c>
      <x:c r="P1803" t="str">
        <x:v>short</x:v>
      </x:c>
      <x:c r="Q1803" t="str">
        <x:v>right</x:v>
      </x:c>
      <x:c r="R1803" t="n">
        <x:v>4</x:v>
      </x:c>
      <x:c r="S1803" t="n">
        <x:v>0</x:v>
      </x:c>
      <x:c r="T1803"/>
      <x:c r="U1803"/>
      <x:c r="V1803" t="n">
        <x:v>1</x:v>
      </x:c>
      <x:c r="W1803" t="n">
        <x:v>0</x:v>
      </x:c>
      <x:c r="X1803" t="n">
        <x:v>0</x:v>
      </x:c>
      <x:c r="Y1803" t="n">
        <x:v>0</x:v>
      </x:c>
      <x:c r="Z1803" t="n">
        <x:v>0</x:v>
      </x:c>
      <x:c r="AA1803" t="n">
        <x:v>0</x:v>
      </x:c>
      <x:c r="AB1803"/>
      <x:c r="AC1803" t="n">
        <x:v>0</x:v>
      </x:c>
      <x:c r="AD1803" t="n">
        <x:v>-0.7688017506152391</x:v>
      </x:c>
      <x:c r="AE1803" t="n">
        <x:v>0</x:v>
      </x:c>
      <x:c r="AF1803" t="n">
        <x:v>-0.01320473849773407</x:v>
      </x:c>
      <x:c r="AG1803" t="n">
        <x:f>_xlfn.XLOOKUP($A1803,Games!$A$2:$A$18,Games!$B$2:$B$18,"Missing game",0)</x:f>
        <x:v>2025</x:v>
      </x:c>
      <x:c r="AH1803" t="str">
        <x:f>_xlfn.XLOOKUP($A1803,Games!$A$2:$A$18,Games!$C$2:$C$18,"Missing game",0)</x:f>
        <x:v>REG</x:v>
      </x:c>
      <x:c r="AI1803" t="n">
        <x:f>_xlfn.XLOOKUP($A1803,Games!$A$2:$A$18,Games!$D$2:$D$18,"Missing game",0)</x:f>
        <x:v>12</x:v>
      </x:c>
      <x:c r="AJ1803" s="1" t="n">
        <x:f>_xlfn.XLOOKUP($A1803,Games!$A$2:$A$18,Games!$E$2:$E$18,"Missing game",0)</x:f>
        <x:v>45984</x:v>
      </x:c>
      <x:c r="AK1803" t="str">
        <x:f>_xlfn.XLOOKUP($A1803,Games!$A$2:$A$18,Games!$F$2:$F$18,"Missing game",0)</x:f>
        <x:v>Sunday</x:v>
      </x:c>
      <x:c r="AL1803" t="str">
        <x:f>_xlfn.XLOOKUP($A1803,Games!$A$2:$A$18,Games!$G$2:$G$18,"Missing game",0)</x:f>
        <x:v>MIN</x:v>
      </x:c>
      <x:c r="AM1803" t="n">
        <x:f>_xlfn.XLOOKUP($A1803,Games!$A$2:$A$18,Games!$H$2:$H$18,"Missing game",0)</x:f>
        <x:v>6</x:v>
      </x:c>
      <x:c r="AN1803" t="str">
        <x:f>_xlfn.XLOOKUP($A1803,Games!$A$2:$A$18,Games!$I$2:$I$18,"Missing game",0)</x:f>
        <x:v>GB</x:v>
      </x:c>
      <x:c r="AO1803" t="n">
        <x:f>_xlfn.XLOOKUP($A1803,Games!$A$2:$A$18,Games!$J$2:$J$18,"Missing game",0)</x:f>
        <x:v>23</x:v>
      </x:c>
      <x:c r="AP1803" t="n">
        <x:f>_xlfn.XLOOKUP($A1803,Games!$A$2:$A$18,Games!$K$2:$K$18,"Missing game",0)</x:f>
        <x:v>17</x:v>
      </x:c>
      <x:c r="AQ1803" t="n">
        <x:f>_xlfn.XLOOKUP($A1803,Games!$A$2:$A$18,Games!$L$2:$L$18,"Missing game",0)</x:f>
        <x:v>29</x:v>
      </x:c>
      <x:c r="AR1803" t="n">
        <x:f>_xlfn.XLOOKUP($A1803,Games!$A$2:$A$18,Games!$M$2:$M$18,"Missing game",0)</x:f>
        <x:v>0</x:v>
      </x:c>
      <x:c r="AS1803" t="str">
        <x:f>_xlfn.XLOOKUP($A1803,Games!$A$2:$A$18,Games!$N$2:$N$18,"Missing game",0)</x:f>
        <x:v>outdoors</x:v>
      </x:c>
      <x:c r="AT1803" t="str">
        <x:f>_xlfn.XLOOKUP($A1803,Games!$A$2:$A$18,Games!$O$2:$O$18,"Missing game",0)</x:f>
        <x:v>grass</x:v>
      </x:c>
      <x:c r="AU1803" t="n">
        <x:f>_xlfn.XLOOKUP($A1803,Games!$A$2:$A$18,Games!$P$2:$P$18,"Missing game",0)</x:f>
        <x:v>43</x:v>
      </x:c>
      <x:c r="AV1803" t="n">
        <x:f>_xlfn.XLOOKUP($A1803,Games!$A$2:$A$18,Games!$Q$2:$Q$18,"Missing game",0)</x:f>
        <x:v>10</x:v>
      </x:c>
      <x:c r="AW1803" t="str">
        <x:f>_xlfn.XLOOKUP($A1803,Games!$A$2:$A$18,Games!$R$2:$R$18,"Missing game",0)</x:f>
        <x:v>Lambeau Field</x:v>
      </x:c>
    </x:row>
    <x:row r="1804">
      <x:c r="A1804" t="str">
        <x:v>2025_12_MIN_GB</x:v>
      </x:c>
      <x:c r="B1804" t="n">
        <x:v>2220</x:v>
      </x:c>
      <x:c r="C1804" t="n">
        <x:v>3</x:v>
      </x:c>
      <x:c r="D1804" t="str">
        <x:v>08:55</x:v>
      </x:c>
      <x:c r="E1804" t="n">
        <x:v>4</x:v>
      </x:c>
      <x:c r="F1804" t="n">
        <x:v>8</x:v>
      </x:c>
      <x:c r="G1804" t="str">
        <x:v>MIN</x:v>
      </x:c>
      <x:c r="H1804" t="str">
        <x:v>GB</x:v>
      </x:c>
      <x:c r="I1804" t="str">
        <x:v>MIN</x:v>
      </x:c>
      <x:c r="J1804" t="n">
        <x:v>64</x:v>
      </x:c>
      <x:c r="K1804" t="str">
        <x:v>(8:55) 17-R.Wright punts 56 yards to GB 8, Center-42-A.DePaola, out of bounds.</x:v>
      </x:c>
      <x:c r="L1804" t="str">
        <x:v>punt</x:v>
      </x:c>
      <x:c r="M1804" t="n">
        <x:v>0</x:v>
      </x:c>
      <x:c r="N1804" t="n">
        <x:v>0</x:v>
      </x:c>
      <x:c r="O1804" t="n">
        <x:v>0</x:v>
      </x:c>
      <x:c r="P1804"/>
      <x:c r="Q1804"/>
      <x:c r="R1804"/>
      <x:c r="S1804"/>
      <x:c r="T1804"/>
      <x:c r="U1804"/>
      <x:c r="V1804" t="n">
        <x:v>0</x:v>
      </x:c>
      <x:c r="W1804" t="n">
        <x:v>0</x:v>
      </x:c>
      <x:c r="X1804" t="n">
        <x:v>0</x:v>
      </x:c>
      <x:c r="Y1804" t="n">
        <x:v>0</x:v>
      </x:c>
      <x:c r="Z1804" t="n">
        <x:v>0</x:v>
      </x:c>
      <x:c r="AA1804" t="n">
        <x:v>0</x:v>
      </x:c>
      <x:c r="AB1804"/>
      <x:c r="AC1804" t="n">
        <x:v>0</x:v>
      </x:c>
      <x:c r="AD1804" t="n">
        <x:v>0.8552259271964431</x:v>
      </x:c>
      <x:c r="AE1804" t="n">
        <x:v>1</x:v>
      </x:c>
      <x:c r="AF1804" t="n">
        <x:v>0.0186847522854805</x:v>
      </x:c>
      <x:c r="AG1804" t="n">
        <x:f>_xlfn.XLOOKUP($A1804,Games!$A$2:$A$18,Games!$B$2:$B$18,"Missing game",0)</x:f>
        <x:v>2025</x:v>
      </x:c>
      <x:c r="AH1804" t="str">
        <x:f>_xlfn.XLOOKUP($A1804,Games!$A$2:$A$18,Games!$C$2:$C$18,"Missing game",0)</x:f>
        <x:v>REG</x:v>
      </x:c>
      <x:c r="AI1804" t="n">
        <x:f>_xlfn.XLOOKUP($A1804,Games!$A$2:$A$18,Games!$D$2:$D$18,"Missing game",0)</x:f>
        <x:v>12</x:v>
      </x:c>
      <x:c r="AJ1804" s="1" t="n">
        <x:f>_xlfn.XLOOKUP($A1804,Games!$A$2:$A$18,Games!$E$2:$E$18,"Missing game",0)</x:f>
        <x:v>45984</x:v>
      </x:c>
      <x:c r="AK1804" t="str">
        <x:f>_xlfn.XLOOKUP($A1804,Games!$A$2:$A$18,Games!$F$2:$F$18,"Missing game",0)</x:f>
        <x:v>Sunday</x:v>
      </x:c>
      <x:c r="AL1804" t="str">
        <x:f>_xlfn.XLOOKUP($A1804,Games!$A$2:$A$18,Games!$G$2:$G$18,"Missing game",0)</x:f>
        <x:v>MIN</x:v>
      </x:c>
      <x:c r="AM1804" t="n">
        <x:f>_xlfn.XLOOKUP($A1804,Games!$A$2:$A$18,Games!$H$2:$H$18,"Missing game",0)</x:f>
        <x:v>6</x:v>
      </x:c>
      <x:c r="AN1804" t="str">
        <x:f>_xlfn.XLOOKUP($A1804,Games!$A$2:$A$18,Games!$I$2:$I$18,"Missing game",0)</x:f>
        <x:v>GB</x:v>
      </x:c>
      <x:c r="AO1804" t="n">
        <x:f>_xlfn.XLOOKUP($A1804,Games!$A$2:$A$18,Games!$J$2:$J$18,"Missing game",0)</x:f>
        <x:v>23</x:v>
      </x:c>
      <x:c r="AP1804" t="n">
        <x:f>_xlfn.XLOOKUP($A1804,Games!$A$2:$A$18,Games!$K$2:$K$18,"Missing game",0)</x:f>
        <x:v>17</x:v>
      </x:c>
      <x:c r="AQ1804" t="n">
        <x:f>_xlfn.XLOOKUP($A1804,Games!$A$2:$A$18,Games!$L$2:$L$18,"Missing game",0)</x:f>
        <x:v>29</x:v>
      </x:c>
      <x:c r="AR1804" t="n">
        <x:f>_xlfn.XLOOKUP($A1804,Games!$A$2:$A$18,Games!$M$2:$M$18,"Missing game",0)</x:f>
        <x:v>0</x:v>
      </x:c>
      <x:c r="AS1804" t="str">
        <x:f>_xlfn.XLOOKUP($A1804,Games!$A$2:$A$18,Games!$N$2:$N$18,"Missing game",0)</x:f>
        <x:v>outdoors</x:v>
      </x:c>
      <x:c r="AT1804" t="str">
        <x:f>_xlfn.XLOOKUP($A1804,Games!$A$2:$A$18,Games!$O$2:$O$18,"Missing game",0)</x:f>
        <x:v>grass</x:v>
      </x:c>
      <x:c r="AU1804" t="n">
        <x:f>_xlfn.XLOOKUP($A1804,Games!$A$2:$A$18,Games!$P$2:$P$18,"Missing game",0)</x:f>
        <x:v>43</x:v>
      </x:c>
      <x:c r="AV1804" t="n">
        <x:f>_xlfn.XLOOKUP($A1804,Games!$A$2:$A$18,Games!$Q$2:$Q$18,"Missing game",0)</x:f>
        <x:v>10</x:v>
      </x:c>
      <x:c r="AW1804" t="str">
        <x:f>_xlfn.XLOOKUP($A1804,Games!$A$2:$A$18,Games!$R$2:$R$18,"Missing game",0)</x:f>
        <x:v>Lambeau Field</x:v>
      </x:c>
    </x:row>
    <x:row r="1805">
      <x:c r="A1805" t="str">
        <x:v>2025_12_MIN_GB</x:v>
      </x:c>
      <x:c r="B1805" t="n">
        <x:v>2239</x:v>
      </x:c>
      <x:c r="C1805" t="n">
        <x:v>3</x:v>
      </x:c>
      <x:c r="D1805" t="str">
        <x:v>08:45</x:v>
      </x:c>
      <x:c r="E1805" t="n">
        <x:v>1</x:v>
      </x:c>
      <x:c r="F1805" t="n">
        <x:v>10</x:v>
      </x:c>
      <x:c r="G1805" t="str">
        <x:v>GB</x:v>
      </x:c>
      <x:c r="H1805" t="str">
        <x:v>MIN</x:v>
      </x:c>
      <x:c r="I1805" t="str">
        <x:v>GB</x:v>
      </x:c>
      <x:c r="J1805" t="n">
        <x:v>92</x:v>
      </x:c>
      <x:c r="K1805" t="str">
        <x:v>(8:45) (Shotgun) 30-C.Brooks right tackle to GB 13 for 5 yards (61-J.Redmond; 97-J.Hargrave).</x:v>
      </x:c>
      <x:c r="L1805" t="str">
        <x:v>run</x:v>
      </x:c>
      <x:c r="M1805" t="n">
        <x:v>5</x:v>
      </x:c>
      <x:c r="N1805" t="n">
        <x:v>1</x:v>
      </x:c>
      <x:c r="O1805" t="n">
        <x:v>0</x:v>
      </x:c>
      <x:c r="P1805"/>
      <x:c r="Q1805"/>
      <x:c r="R1805"/>
      <x:c r="S1805"/>
      <x:c r="T1805" t="str">
        <x:v>right</x:v>
      </x:c>
      <x:c r="U1805" t="str">
        <x:v>tackle</x:v>
      </x:c>
      <x:c r="V1805" t="n">
        <x:v>0</x:v>
      </x:c>
      <x:c r="W1805" t="n">
        <x:v>0</x:v>
      </x:c>
      <x:c r="X1805" t="n">
        <x:v>0</x:v>
      </x:c>
      <x:c r="Y1805" t="n">
        <x:v>0</x:v>
      </x:c>
      <x:c r="Z1805" t="n">
        <x:v>0</x:v>
      </x:c>
      <x:c r="AA1805" t="n">
        <x:v>0</x:v>
      </x:c>
      <x:c r="AB1805"/>
      <x:c r="AC1805" t="n">
        <x:v>0</x:v>
      </x:c>
      <x:c r="AD1805" t="n">
        <x:v>-0.09678482916206121</x:v>
      </x:c>
      <x:c r="AE1805" t="n">
        <x:v>0</x:v>
      </x:c>
      <x:c r="AF1805" t="n">
        <x:v>0.003554999828338623</x:v>
      </x:c>
      <x:c r="AG1805" t="n">
        <x:f>_xlfn.XLOOKUP($A1805,Games!$A$2:$A$18,Games!$B$2:$B$18,"Missing game",0)</x:f>
        <x:v>2025</x:v>
      </x:c>
      <x:c r="AH1805" t="str">
        <x:f>_xlfn.XLOOKUP($A1805,Games!$A$2:$A$18,Games!$C$2:$C$18,"Missing game",0)</x:f>
        <x:v>REG</x:v>
      </x:c>
      <x:c r="AI1805" t="n">
        <x:f>_xlfn.XLOOKUP($A1805,Games!$A$2:$A$18,Games!$D$2:$D$18,"Missing game",0)</x:f>
        <x:v>12</x:v>
      </x:c>
      <x:c r="AJ1805" s="1" t="n">
        <x:f>_xlfn.XLOOKUP($A1805,Games!$A$2:$A$18,Games!$E$2:$E$18,"Missing game",0)</x:f>
        <x:v>45984</x:v>
      </x:c>
      <x:c r="AK1805" t="str">
        <x:f>_xlfn.XLOOKUP($A1805,Games!$A$2:$A$18,Games!$F$2:$F$18,"Missing game",0)</x:f>
        <x:v>Sunday</x:v>
      </x:c>
      <x:c r="AL1805" t="str">
        <x:f>_xlfn.XLOOKUP($A1805,Games!$A$2:$A$18,Games!$G$2:$G$18,"Missing game",0)</x:f>
        <x:v>MIN</x:v>
      </x:c>
      <x:c r="AM1805" t="n">
        <x:f>_xlfn.XLOOKUP($A1805,Games!$A$2:$A$18,Games!$H$2:$H$18,"Missing game",0)</x:f>
        <x:v>6</x:v>
      </x:c>
      <x:c r="AN1805" t="str">
        <x:f>_xlfn.XLOOKUP($A1805,Games!$A$2:$A$18,Games!$I$2:$I$18,"Missing game",0)</x:f>
        <x:v>GB</x:v>
      </x:c>
      <x:c r="AO1805" t="n">
        <x:f>_xlfn.XLOOKUP($A1805,Games!$A$2:$A$18,Games!$J$2:$J$18,"Missing game",0)</x:f>
        <x:v>23</x:v>
      </x:c>
      <x:c r="AP1805" t="n">
        <x:f>_xlfn.XLOOKUP($A1805,Games!$A$2:$A$18,Games!$K$2:$K$18,"Missing game",0)</x:f>
        <x:v>17</x:v>
      </x:c>
      <x:c r="AQ1805" t="n">
        <x:f>_xlfn.XLOOKUP($A1805,Games!$A$2:$A$18,Games!$L$2:$L$18,"Missing game",0)</x:f>
        <x:v>29</x:v>
      </x:c>
      <x:c r="AR1805" t="n">
        <x:f>_xlfn.XLOOKUP($A1805,Games!$A$2:$A$18,Games!$M$2:$M$18,"Missing game",0)</x:f>
        <x:v>0</x:v>
      </x:c>
      <x:c r="AS1805" t="str">
        <x:f>_xlfn.XLOOKUP($A1805,Games!$A$2:$A$18,Games!$N$2:$N$18,"Missing game",0)</x:f>
        <x:v>outdoors</x:v>
      </x:c>
      <x:c r="AT1805" t="str">
        <x:f>_xlfn.XLOOKUP($A1805,Games!$A$2:$A$18,Games!$O$2:$O$18,"Missing game",0)</x:f>
        <x:v>grass</x:v>
      </x:c>
      <x:c r="AU1805" t="n">
        <x:f>_xlfn.XLOOKUP($A1805,Games!$A$2:$A$18,Games!$P$2:$P$18,"Missing game",0)</x:f>
        <x:v>43</x:v>
      </x:c>
      <x:c r="AV1805" t="n">
        <x:f>_xlfn.XLOOKUP($A1805,Games!$A$2:$A$18,Games!$Q$2:$Q$18,"Missing game",0)</x:f>
        <x:v>10</x:v>
      </x:c>
      <x:c r="AW1805" t="str">
        <x:f>_xlfn.XLOOKUP($A1805,Games!$A$2:$A$18,Games!$R$2:$R$18,"Missing game",0)</x:f>
        <x:v>Lambeau Field</x:v>
      </x:c>
    </x:row>
    <x:row r="1806">
      <x:c r="A1806" t="str">
        <x:v>2025_12_MIN_GB</x:v>
      </x:c>
      <x:c r="B1806" t="n">
        <x:v>2268</x:v>
      </x:c>
      <x:c r="C1806" t="n">
        <x:v>3</x:v>
      </x:c>
      <x:c r="D1806" t="str">
        <x:v>08:07</x:v>
      </x:c>
      <x:c r="E1806" t="n">
        <x:v>2</x:v>
      </x:c>
      <x:c r="F1806" t="n">
        <x:v>5</x:v>
      </x:c>
      <x:c r="G1806" t="str">
        <x:v>GB</x:v>
      </x:c>
      <x:c r="H1806" t="str">
        <x:v>MIN</x:v>
      </x:c>
      <x:c r="I1806" t="str">
        <x:v>GB</x:v>
      </x:c>
      <x:c r="J1806" t="n">
        <x:v>87</x:v>
      </x:c>
      <x:c r="K1806" t="str">
        <x:v>(8:07) (Shotgun) 83-S.Williams right end pushed ob at GB 13 for no gain (61-J.Redmond).</x:v>
      </x:c>
      <x:c r="L1806" t="str">
        <x:v>run</x:v>
      </x:c>
      <x:c r="M1806" t="n">
        <x:v>0</x:v>
      </x:c>
      <x:c r="N1806" t="n">
        <x:v>1</x:v>
      </x:c>
      <x:c r="O1806" t="n">
        <x:v>0</x:v>
      </x:c>
      <x:c r="P1806"/>
      <x:c r="Q1806"/>
      <x:c r="R1806"/>
      <x:c r="S1806"/>
      <x:c r="T1806" t="str">
        <x:v>right</x:v>
      </x:c>
      <x:c r="U1806" t="str">
        <x:v>end</x:v>
      </x:c>
      <x:c r="V1806" t="n">
        <x:v>0</x:v>
      </x:c>
      <x:c r="W1806" t="n">
        <x:v>0</x:v>
      </x:c>
      <x:c r="X1806" t="n">
        <x:v>0</x:v>
      </x:c>
      <x:c r="Y1806" t="n">
        <x:v>0</x:v>
      </x:c>
      <x:c r="Z1806" t="n">
        <x:v>0</x:v>
      </x:c>
      <x:c r="AA1806" t="n">
        <x:v>0</x:v>
      </x:c>
      <x:c r="AB1806"/>
      <x:c r="AC1806" t="n">
        <x:v>0</x:v>
      </x:c>
      <x:c r="AD1806" t="n">
        <x:v>-1.1091947234235704</x:v>
      </x:c>
      <x:c r="AE1806" t="n">
        <x:v>0</x:v>
      </x:c>
      <x:c r="AF1806" t="n">
        <x:v>-0.01901388168334961</x:v>
      </x:c>
      <x:c r="AG1806" t="n">
        <x:f>_xlfn.XLOOKUP($A1806,Games!$A$2:$A$18,Games!$B$2:$B$18,"Missing game",0)</x:f>
        <x:v>2025</x:v>
      </x:c>
      <x:c r="AH1806" t="str">
        <x:f>_xlfn.XLOOKUP($A1806,Games!$A$2:$A$18,Games!$C$2:$C$18,"Missing game",0)</x:f>
        <x:v>REG</x:v>
      </x:c>
      <x:c r="AI1806" t="n">
        <x:f>_xlfn.XLOOKUP($A1806,Games!$A$2:$A$18,Games!$D$2:$D$18,"Missing game",0)</x:f>
        <x:v>12</x:v>
      </x:c>
      <x:c r="AJ1806" s="1" t="n">
        <x:f>_xlfn.XLOOKUP($A1806,Games!$A$2:$A$18,Games!$E$2:$E$18,"Missing game",0)</x:f>
        <x:v>45984</x:v>
      </x:c>
      <x:c r="AK1806" t="str">
        <x:f>_xlfn.XLOOKUP($A1806,Games!$A$2:$A$18,Games!$F$2:$F$18,"Missing game",0)</x:f>
        <x:v>Sunday</x:v>
      </x:c>
      <x:c r="AL1806" t="str">
        <x:f>_xlfn.XLOOKUP($A1806,Games!$A$2:$A$18,Games!$G$2:$G$18,"Missing game",0)</x:f>
        <x:v>MIN</x:v>
      </x:c>
      <x:c r="AM1806" t="n">
        <x:f>_xlfn.XLOOKUP($A1806,Games!$A$2:$A$18,Games!$H$2:$H$18,"Missing game",0)</x:f>
        <x:v>6</x:v>
      </x:c>
      <x:c r="AN1806" t="str">
        <x:f>_xlfn.XLOOKUP($A1806,Games!$A$2:$A$18,Games!$I$2:$I$18,"Missing game",0)</x:f>
        <x:v>GB</x:v>
      </x:c>
      <x:c r="AO1806" t="n">
        <x:f>_xlfn.XLOOKUP($A1806,Games!$A$2:$A$18,Games!$J$2:$J$18,"Missing game",0)</x:f>
        <x:v>23</x:v>
      </x:c>
      <x:c r="AP1806" t="n">
        <x:f>_xlfn.XLOOKUP($A1806,Games!$A$2:$A$18,Games!$K$2:$K$18,"Missing game",0)</x:f>
        <x:v>17</x:v>
      </x:c>
      <x:c r="AQ1806" t="n">
        <x:f>_xlfn.XLOOKUP($A1806,Games!$A$2:$A$18,Games!$L$2:$L$18,"Missing game",0)</x:f>
        <x:v>29</x:v>
      </x:c>
      <x:c r="AR1806" t="n">
        <x:f>_xlfn.XLOOKUP($A1806,Games!$A$2:$A$18,Games!$M$2:$M$18,"Missing game",0)</x:f>
        <x:v>0</x:v>
      </x:c>
      <x:c r="AS1806" t="str">
        <x:f>_xlfn.XLOOKUP($A1806,Games!$A$2:$A$18,Games!$N$2:$N$18,"Missing game",0)</x:f>
        <x:v>outdoors</x:v>
      </x:c>
      <x:c r="AT1806" t="str">
        <x:f>_xlfn.XLOOKUP($A1806,Games!$A$2:$A$18,Games!$O$2:$O$18,"Missing game",0)</x:f>
        <x:v>grass</x:v>
      </x:c>
      <x:c r="AU1806" t="n">
        <x:f>_xlfn.XLOOKUP($A1806,Games!$A$2:$A$18,Games!$P$2:$P$18,"Missing game",0)</x:f>
        <x:v>43</x:v>
      </x:c>
      <x:c r="AV1806" t="n">
        <x:f>_xlfn.XLOOKUP($A1806,Games!$A$2:$A$18,Games!$Q$2:$Q$18,"Missing game",0)</x:f>
        <x:v>10</x:v>
      </x:c>
      <x:c r="AW1806" t="str">
        <x:f>_xlfn.XLOOKUP($A1806,Games!$A$2:$A$18,Games!$R$2:$R$18,"Missing game",0)</x:f>
        <x:v>Lambeau Field</x:v>
      </x:c>
    </x:row>
    <x:row r="1807">
      <x:c r="A1807" t="str">
        <x:v>2025_12_MIN_GB</x:v>
      </x:c>
      <x:c r="B1807" t="n">
        <x:v>2295</x:v>
      </x:c>
      <x:c r="C1807" t="n">
        <x:v>3</x:v>
      </x:c>
      <x:c r="D1807" t="str">
        <x:v>07:21</x:v>
      </x:c>
      <x:c r="E1807" t="n">
        <x:v>3</x:v>
      </x:c>
      <x:c r="F1807" t="n">
        <x:v>5</x:v>
      </x:c>
      <x:c r="G1807" t="str">
        <x:v>GB</x:v>
      </x:c>
      <x:c r="H1807" t="str">
        <x:v>MIN</x:v>
      </x:c>
      <x:c r="I1807" t="str">
        <x:v>GB</x:v>
      </x:c>
      <x:c r="J1807" t="n">
        <x:v>87</x:v>
      </x:c>
      <x:c r="K1807" t="str">
        <x:v>(7:21) (Shotgun) 10-J.Love pass short left to 9-C.Watson to GB 19 for 6 yards (2-I.Rodgers).</x:v>
      </x:c>
      <x:c r="L1807" t="str">
        <x:v>pass</x:v>
      </x:c>
      <x:c r="M1807" t="n">
        <x:v>6</x:v>
      </x:c>
      <x:c r="N1807" t="n">
        <x:v>1</x:v>
      </x:c>
      <x:c r="O1807" t="n">
        <x:v>0</x:v>
      </x:c>
      <x:c r="P1807" t="str">
        <x:v>short</x:v>
      </x:c>
      <x:c r="Q1807" t="str">
        <x:v>left</x:v>
      </x:c>
      <x:c r="R1807" t="n">
        <x:v>5</x:v>
      </x:c>
      <x:c r="S1807" t="n">
        <x:v>1</x:v>
      </x:c>
      <x:c r="T1807"/>
      <x:c r="U1807"/>
      <x:c r="V1807" t="n">
        <x:v>1</x:v>
      </x:c>
      <x:c r="W1807" t="n">
        <x:v>1</x:v>
      </x:c>
      <x:c r="X1807" t="n">
        <x:v>0</x:v>
      </x:c>
      <x:c r="Y1807" t="n">
        <x:v>0</x:v>
      </x:c>
      <x:c r="Z1807" t="n">
        <x:v>0</x:v>
      </x:c>
      <x:c r="AA1807" t="n">
        <x:v>0</x:v>
      </x:c>
      <x:c r="AB1807"/>
      <x:c r="AC1807" t="n">
        <x:v>0</x:v>
      </x:c>
      <x:c r="AD1807" t="n">
        <x:v>1.6409668931737542</x:v>
      </x:c>
      <x:c r="AE1807" t="n">
        <x:v>1</x:v>
      </x:c>
      <x:c r="AF1807" t="n">
        <x:v>0.027926146984100342</x:v>
      </x:c>
      <x:c r="AG1807" t="n">
        <x:f>_xlfn.XLOOKUP($A1807,Games!$A$2:$A$18,Games!$B$2:$B$18,"Missing game",0)</x:f>
        <x:v>2025</x:v>
      </x:c>
      <x:c r="AH1807" t="str">
        <x:f>_xlfn.XLOOKUP($A1807,Games!$A$2:$A$18,Games!$C$2:$C$18,"Missing game",0)</x:f>
        <x:v>REG</x:v>
      </x:c>
      <x:c r="AI1807" t="n">
        <x:f>_xlfn.XLOOKUP($A1807,Games!$A$2:$A$18,Games!$D$2:$D$18,"Missing game",0)</x:f>
        <x:v>12</x:v>
      </x:c>
      <x:c r="AJ1807" s="1" t="n">
        <x:f>_xlfn.XLOOKUP($A1807,Games!$A$2:$A$18,Games!$E$2:$E$18,"Missing game",0)</x:f>
        <x:v>45984</x:v>
      </x:c>
      <x:c r="AK1807" t="str">
        <x:f>_xlfn.XLOOKUP($A1807,Games!$A$2:$A$18,Games!$F$2:$F$18,"Missing game",0)</x:f>
        <x:v>Sunday</x:v>
      </x:c>
      <x:c r="AL1807" t="str">
        <x:f>_xlfn.XLOOKUP($A1807,Games!$A$2:$A$18,Games!$G$2:$G$18,"Missing game",0)</x:f>
        <x:v>MIN</x:v>
      </x:c>
      <x:c r="AM1807" t="n">
        <x:f>_xlfn.XLOOKUP($A1807,Games!$A$2:$A$18,Games!$H$2:$H$18,"Missing game",0)</x:f>
        <x:v>6</x:v>
      </x:c>
      <x:c r="AN1807" t="str">
        <x:f>_xlfn.XLOOKUP($A1807,Games!$A$2:$A$18,Games!$I$2:$I$18,"Missing game",0)</x:f>
        <x:v>GB</x:v>
      </x:c>
      <x:c r="AO1807" t="n">
        <x:f>_xlfn.XLOOKUP($A1807,Games!$A$2:$A$18,Games!$J$2:$J$18,"Missing game",0)</x:f>
        <x:v>23</x:v>
      </x:c>
      <x:c r="AP1807" t="n">
        <x:f>_xlfn.XLOOKUP($A1807,Games!$A$2:$A$18,Games!$K$2:$K$18,"Missing game",0)</x:f>
        <x:v>17</x:v>
      </x:c>
      <x:c r="AQ1807" t="n">
        <x:f>_xlfn.XLOOKUP($A1807,Games!$A$2:$A$18,Games!$L$2:$L$18,"Missing game",0)</x:f>
        <x:v>29</x:v>
      </x:c>
      <x:c r="AR1807" t="n">
        <x:f>_xlfn.XLOOKUP($A1807,Games!$A$2:$A$18,Games!$M$2:$M$18,"Missing game",0)</x:f>
        <x:v>0</x:v>
      </x:c>
      <x:c r="AS1807" t="str">
        <x:f>_xlfn.XLOOKUP($A1807,Games!$A$2:$A$18,Games!$N$2:$N$18,"Missing game",0)</x:f>
        <x:v>outdoors</x:v>
      </x:c>
      <x:c r="AT1807" t="str">
        <x:f>_xlfn.XLOOKUP($A1807,Games!$A$2:$A$18,Games!$O$2:$O$18,"Missing game",0)</x:f>
        <x:v>grass</x:v>
      </x:c>
      <x:c r="AU1807" t="n">
        <x:f>_xlfn.XLOOKUP($A1807,Games!$A$2:$A$18,Games!$P$2:$P$18,"Missing game",0)</x:f>
        <x:v>43</x:v>
      </x:c>
      <x:c r="AV1807" t="n">
        <x:f>_xlfn.XLOOKUP($A1807,Games!$A$2:$A$18,Games!$Q$2:$Q$18,"Missing game",0)</x:f>
        <x:v>10</x:v>
      </x:c>
      <x:c r="AW1807" t="str">
        <x:f>_xlfn.XLOOKUP($A1807,Games!$A$2:$A$18,Games!$R$2:$R$18,"Missing game",0)</x:f>
        <x:v>Lambeau Field</x:v>
      </x:c>
    </x:row>
    <x:row r="1808">
      <x:c r="A1808" t="str">
        <x:v>2025_12_MIN_GB</x:v>
      </x:c>
      <x:c r="B1808" t="n">
        <x:v>2307</x:v>
      </x:c>
      <x:c r="C1808" t="n">
        <x:v>3</x:v>
      </x:c>
      <x:c r="D1808" t="str">
        <x:v>07:21</x:v>
      </x:c>
      <x:c r="E1808"/>
      <x:c r="F1808" t="n">
        <x:v>0</x:v>
      </x:c>
      <x:c r="G1808"/>
      <x:c r="H1808"/>
      <x:c r="I1808"/>
      <x:c r="J1808"/>
      <x:c r="K1808" t="str">
        <x:v>Timeout #1 by GB at 07:21.</x:v>
      </x:c>
      <x:c r="L1808" t="str">
        <x:v>no_play</x:v>
      </x:c>
      <x:c r="M1808" t="n">
        <x:v>0</x:v>
      </x:c>
      <x:c r="N1808" t="n">
        <x:v>0</x:v>
      </x:c>
      <x:c r="O1808" t="n">
        <x:v>0</x:v>
      </x:c>
      <x:c r="P1808"/>
      <x:c r="Q1808"/>
      <x:c r="R1808"/>
      <x:c r="S1808"/>
      <x:c r="T1808"/>
      <x:c r="U1808"/>
      <x:c r="V1808" t="n">
        <x:v>0</x:v>
      </x:c>
      <x:c r="W1808" t="n">
        <x:v>0</x:v>
      </x:c>
      <x:c r="X1808" t="n">
        <x:v>0</x:v>
      </x:c>
      <x:c r="Y1808" t="n">
        <x:v>0</x:v>
      </x:c>
      <x:c r="Z1808" t="n">
        <x:v>0</x:v>
      </x:c>
      <x:c r="AA1808" t="n">
        <x:v>0</x:v>
      </x:c>
      <x:c r="AB1808"/>
      <x:c r="AC1808" t="n">
        <x:v>0</x:v>
      </x:c>
      <x:c r="AD1808" t="n">
        <x:v>0</x:v>
      </x:c>
      <x:c r="AE1808" t="n">
        <x:v>0</x:v>
      </x:c>
      <x:c r="AF1808" t="n">
        <x:v>0</x:v>
      </x:c>
      <x:c r="AG1808" t="n">
        <x:f>_xlfn.XLOOKUP($A1808,Games!$A$2:$A$18,Games!$B$2:$B$18,"Missing game",0)</x:f>
        <x:v>2025</x:v>
      </x:c>
      <x:c r="AH1808" t="str">
        <x:f>_xlfn.XLOOKUP($A1808,Games!$A$2:$A$18,Games!$C$2:$C$18,"Missing game",0)</x:f>
        <x:v>REG</x:v>
      </x:c>
      <x:c r="AI1808" t="n">
        <x:f>_xlfn.XLOOKUP($A1808,Games!$A$2:$A$18,Games!$D$2:$D$18,"Missing game",0)</x:f>
        <x:v>12</x:v>
      </x:c>
      <x:c r="AJ1808" s="1" t="n">
        <x:f>_xlfn.XLOOKUP($A1808,Games!$A$2:$A$18,Games!$E$2:$E$18,"Missing game",0)</x:f>
        <x:v>45984</x:v>
      </x:c>
      <x:c r="AK1808" t="str">
        <x:f>_xlfn.XLOOKUP($A1808,Games!$A$2:$A$18,Games!$F$2:$F$18,"Missing game",0)</x:f>
        <x:v>Sunday</x:v>
      </x:c>
      <x:c r="AL1808" t="str">
        <x:f>_xlfn.XLOOKUP($A1808,Games!$A$2:$A$18,Games!$G$2:$G$18,"Missing game",0)</x:f>
        <x:v>MIN</x:v>
      </x:c>
      <x:c r="AM1808" t="n">
        <x:f>_xlfn.XLOOKUP($A1808,Games!$A$2:$A$18,Games!$H$2:$H$18,"Missing game",0)</x:f>
        <x:v>6</x:v>
      </x:c>
      <x:c r="AN1808" t="str">
        <x:f>_xlfn.XLOOKUP($A1808,Games!$A$2:$A$18,Games!$I$2:$I$18,"Missing game",0)</x:f>
        <x:v>GB</x:v>
      </x:c>
      <x:c r="AO1808" t="n">
        <x:f>_xlfn.XLOOKUP($A1808,Games!$A$2:$A$18,Games!$J$2:$J$18,"Missing game",0)</x:f>
        <x:v>23</x:v>
      </x:c>
      <x:c r="AP1808" t="n">
        <x:f>_xlfn.XLOOKUP($A1808,Games!$A$2:$A$18,Games!$K$2:$K$18,"Missing game",0)</x:f>
        <x:v>17</x:v>
      </x:c>
      <x:c r="AQ1808" t="n">
        <x:f>_xlfn.XLOOKUP($A1808,Games!$A$2:$A$18,Games!$L$2:$L$18,"Missing game",0)</x:f>
        <x:v>29</x:v>
      </x:c>
      <x:c r="AR1808" t="n">
        <x:f>_xlfn.XLOOKUP($A1808,Games!$A$2:$A$18,Games!$M$2:$M$18,"Missing game",0)</x:f>
        <x:v>0</x:v>
      </x:c>
      <x:c r="AS1808" t="str">
        <x:f>_xlfn.XLOOKUP($A1808,Games!$A$2:$A$18,Games!$N$2:$N$18,"Missing game",0)</x:f>
        <x:v>outdoors</x:v>
      </x:c>
      <x:c r="AT1808" t="str">
        <x:f>_xlfn.XLOOKUP($A1808,Games!$A$2:$A$18,Games!$O$2:$O$18,"Missing game",0)</x:f>
        <x:v>grass</x:v>
      </x:c>
      <x:c r="AU1808" t="n">
        <x:f>_xlfn.XLOOKUP($A1808,Games!$A$2:$A$18,Games!$P$2:$P$18,"Missing game",0)</x:f>
        <x:v>43</x:v>
      </x:c>
      <x:c r="AV1808" t="n">
        <x:f>_xlfn.XLOOKUP($A1808,Games!$A$2:$A$18,Games!$Q$2:$Q$18,"Missing game",0)</x:f>
        <x:v>10</x:v>
      </x:c>
      <x:c r="AW1808" t="str">
        <x:f>_xlfn.XLOOKUP($A1808,Games!$A$2:$A$18,Games!$R$2:$R$18,"Missing game",0)</x:f>
        <x:v>Lambeau Field</x:v>
      </x:c>
    </x:row>
    <x:row r="1809">
      <x:c r="A1809" t="str">
        <x:v>2025_12_MIN_GB</x:v>
      </x:c>
      <x:c r="B1809" t="n">
        <x:v>2327</x:v>
      </x:c>
      <x:c r="C1809" t="n">
        <x:v>3</x:v>
      </x:c>
      <x:c r="D1809" t="str">
        <x:v>06:51</x:v>
      </x:c>
      <x:c r="E1809" t="n">
        <x:v>1</x:v>
      </x:c>
      <x:c r="F1809" t="n">
        <x:v>10</x:v>
      </x:c>
      <x:c r="G1809" t="str">
        <x:v>GB</x:v>
      </x:c>
      <x:c r="H1809" t="str">
        <x:v>MIN</x:v>
      </x:c>
      <x:c r="I1809" t="str">
        <x:v>GB</x:v>
      </x:c>
      <x:c r="J1809" t="n">
        <x:v>81</x:v>
      </x:c>
      <x:c r="K1809" t="str">
        <x:v>(6:51) (No Huddle, Shotgun) 10-J.Love pass short left to 9-C.Watson to GB 30 for 11 yards (23-F.Moreau).</x:v>
      </x:c>
      <x:c r="L1809" t="str">
        <x:v>pass</x:v>
      </x:c>
      <x:c r="M1809" t="n">
        <x:v>11</x:v>
      </x:c>
      <x:c r="N1809" t="n">
        <x:v>1</x:v>
      </x:c>
      <x:c r="O1809" t="n">
        <x:v>1</x:v>
      </x:c>
      <x:c r="P1809" t="str">
        <x:v>short</x:v>
      </x:c>
      <x:c r="Q1809" t="str">
        <x:v>left</x:v>
      </x:c>
      <x:c r="R1809" t="n">
        <x:v>11</x:v>
      </x:c>
      <x:c r="S1809" t="n">
        <x:v>0</x:v>
      </x:c>
      <x:c r="T1809"/>
      <x:c r="U1809"/>
      <x:c r="V1809" t="n">
        <x:v>1</x:v>
      </x:c>
      <x:c r="W1809" t="n">
        <x:v>1</x:v>
      </x:c>
      <x:c r="X1809" t="n">
        <x:v>0</x:v>
      </x:c>
      <x:c r="Y1809" t="n">
        <x:v>0</x:v>
      </x:c>
      <x:c r="Z1809" t="n">
        <x:v>0</x:v>
      </x:c>
      <x:c r="AA1809" t="n">
        <x:v>0</x:v>
      </x:c>
      <x:c r="AB1809"/>
      <x:c r="AC1809" t="n">
        <x:v>0</x:v>
      </x:c>
      <x:c r="AD1809" t="n">
        <x:v>0.788448047824204</x:v>
      </x:c>
      <x:c r="AE1809" t="n">
        <x:v>1</x:v>
      </x:c>
      <x:c r="AF1809" t="n">
        <x:v>0.005441188812255859</x:v>
      </x:c>
      <x:c r="AG1809" t="n">
        <x:f>_xlfn.XLOOKUP($A1809,Games!$A$2:$A$18,Games!$B$2:$B$18,"Missing game",0)</x:f>
        <x:v>2025</x:v>
      </x:c>
      <x:c r="AH1809" t="str">
        <x:f>_xlfn.XLOOKUP($A1809,Games!$A$2:$A$18,Games!$C$2:$C$18,"Missing game",0)</x:f>
        <x:v>REG</x:v>
      </x:c>
      <x:c r="AI1809" t="n">
        <x:f>_xlfn.XLOOKUP($A1809,Games!$A$2:$A$18,Games!$D$2:$D$18,"Missing game",0)</x:f>
        <x:v>12</x:v>
      </x:c>
      <x:c r="AJ1809" s="1" t="n">
        <x:f>_xlfn.XLOOKUP($A1809,Games!$A$2:$A$18,Games!$E$2:$E$18,"Missing game",0)</x:f>
        <x:v>45984</x:v>
      </x:c>
      <x:c r="AK1809" t="str">
        <x:f>_xlfn.XLOOKUP($A1809,Games!$A$2:$A$18,Games!$F$2:$F$18,"Missing game",0)</x:f>
        <x:v>Sunday</x:v>
      </x:c>
      <x:c r="AL1809" t="str">
        <x:f>_xlfn.XLOOKUP($A1809,Games!$A$2:$A$18,Games!$G$2:$G$18,"Missing game",0)</x:f>
        <x:v>MIN</x:v>
      </x:c>
      <x:c r="AM1809" t="n">
        <x:f>_xlfn.XLOOKUP($A1809,Games!$A$2:$A$18,Games!$H$2:$H$18,"Missing game",0)</x:f>
        <x:v>6</x:v>
      </x:c>
      <x:c r="AN1809" t="str">
        <x:f>_xlfn.XLOOKUP($A1809,Games!$A$2:$A$18,Games!$I$2:$I$18,"Missing game",0)</x:f>
        <x:v>GB</x:v>
      </x:c>
      <x:c r="AO1809" t="n">
        <x:f>_xlfn.XLOOKUP($A1809,Games!$A$2:$A$18,Games!$J$2:$J$18,"Missing game",0)</x:f>
        <x:v>23</x:v>
      </x:c>
      <x:c r="AP1809" t="n">
        <x:f>_xlfn.XLOOKUP($A1809,Games!$A$2:$A$18,Games!$K$2:$K$18,"Missing game",0)</x:f>
        <x:v>17</x:v>
      </x:c>
      <x:c r="AQ1809" t="n">
        <x:f>_xlfn.XLOOKUP($A1809,Games!$A$2:$A$18,Games!$L$2:$L$18,"Missing game",0)</x:f>
        <x:v>29</x:v>
      </x:c>
      <x:c r="AR1809" t="n">
        <x:f>_xlfn.XLOOKUP($A1809,Games!$A$2:$A$18,Games!$M$2:$M$18,"Missing game",0)</x:f>
        <x:v>0</x:v>
      </x:c>
      <x:c r="AS1809" t="str">
        <x:f>_xlfn.XLOOKUP($A1809,Games!$A$2:$A$18,Games!$N$2:$N$18,"Missing game",0)</x:f>
        <x:v>outdoors</x:v>
      </x:c>
      <x:c r="AT1809" t="str">
        <x:f>_xlfn.XLOOKUP($A1809,Games!$A$2:$A$18,Games!$O$2:$O$18,"Missing game",0)</x:f>
        <x:v>grass</x:v>
      </x:c>
      <x:c r="AU1809" t="n">
        <x:f>_xlfn.XLOOKUP($A1809,Games!$A$2:$A$18,Games!$P$2:$P$18,"Missing game",0)</x:f>
        <x:v>43</x:v>
      </x:c>
      <x:c r="AV1809" t="n">
        <x:f>_xlfn.XLOOKUP($A1809,Games!$A$2:$A$18,Games!$Q$2:$Q$18,"Missing game",0)</x:f>
        <x:v>10</x:v>
      </x:c>
      <x:c r="AW1809" t="str">
        <x:f>_xlfn.XLOOKUP($A1809,Games!$A$2:$A$18,Games!$R$2:$R$18,"Missing game",0)</x:f>
        <x:v>Lambeau Field</x:v>
      </x:c>
    </x:row>
    <x:row r="1810">
      <x:c r="A1810" t="str">
        <x:v>2025_12_MIN_GB</x:v>
      </x:c>
      <x:c r="B1810" t="n">
        <x:v>2352</x:v>
      </x:c>
      <x:c r="C1810" t="n">
        <x:v>3</x:v>
      </x:c>
      <x:c r="D1810" t="str">
        <x:v>06:28</x:v>
      </x:c>
      <x:c r="E1810" t="n">
        <x:v>1</x:v>
      </x:c>
      <x:c r="F1810" t="n">
        <x:v>10</x:v>
      </x:c>
      <x:c r="G1810" t="str">
        <x:v>GB</x:v>
      </x:c>
      <x:c r="H1810" t="str">
        <x:v>MIN</x:v>
      </x:c>
      <x:c r="I1810" t="str">
        <x:v>GB</x:v>
      </x:c>
      <x:c r="J1810" t="n">
        <x:v>70</x:v>
      </x:c>
      <x:c r="K1810" t="str">
        <x:v>(6:28) (No Huddle, Shotgun) 10-J.Love left end to GB 33 for 3 yards (61-J.Redmond; 22-H.Smith). MIN-44-J.Metellus was injured during the play.</x:v>
      </x:c>
      <x:c r="L1810" t="str">
        <x:v>run</x:v>
      </x:c>
      <x:c r="M1810" t="n">
        <x:v>3</x:v>
      </x:c>
      <x:c r="N1810" t="n">
        <x:v>1</x:v>
      </x:c>
      <x:c r="O1810" t="n">
        <x:v>1</x:v>
      </x:c>
      <x:c r="P1810"/>
      <x:c r="Q1810"/>
      <x:c r="R1810"/>
      <x:c r="S1810"/>
      <x:c r="T1810" t="str">
        <x:v>left</x:v>
      </x:c>
      <x:c r="U1810" t="str">
        <x:v>end</x:v>
      </x:c>
      <x:c r="V1810" t="n">
        <x:v>0</x:v>
      </x:c>
      <x:c r="W1810" t="n">
        <x:v>0</x:v>
      </x:c>
      <x:c r="X1810" t="n">
        <x:v>0</x:v>
      </x:c>
      <x:c r="Y1810" t="n">
        <x:v>0</x:v>
      </x:c>
      <x:c r="Z1810" t="n">
        <x:v>0</x:v>
      </x:c>
      <x:c r="AA1810" t="n">
        <x:v>0</x:v>
      </x:c>
      <x:c r="AB1810"/>
      <x:c r="AC1810" t="n">
        <x:v>0</x:v>
      </x:c>
      <x:c r="AD1810" t="n">
        <x:v>-0.2732795784249902</x:v>
      </x:c>
      <x:c r="AE1810" t="n">
        <x:v>0</x:v>
      </x:c>
      <x:c r="AF1810" t="n">
        <x:v>-0.00013822317123413086</x:v>
      </x:c>
      <x:c r="AG1810" t="n">
        <x:f>_xlfn.XLOOKUP($A1810,Games!$A$2:$A$18,Games!$B$2:$B$18,"Missing game",0)</x:f>
        <x:v>2025</x:v>
      </x:c>
      <x:c r="AH1810" t="str">
        <x:f>_xlfn.XLOOKUP($A1810,Games!$A$2:$A$18,Games!$C$2:$C$18,"Missing game",0)</x:f>
        <x:v>REG</x:v>
      </x:c>
      <x:c r="AI1810" t="n">
        <x:f>_xlfn.XLOOKUP($A1810,Games!$A$2:$A$18,Games!$D$2:$D$18,"Missing game",0)</x:f>
        <x:v>12</x:v>
      </x:c>
      <x:c r="AJ1810" s="1" t="n">
        <x:f>_xlfn.XLOOKUP($A1810,Games!$A$2:$A$18,Games!$E$2:$E$18,"Missing game",0)</x:f>
        <x:v>45984</x:v>
      </x:c>
      <x:c r="AK1810" t="str">
        <x:f>_xlfn.XLOOKUP($A1810,Games!$A$2:$A$18,Games!$F$2:$F$18,"Missing game",0)</x:f>
        <x:v>Sunday</x:v>
      </x:c>
      <x:c r="AL1810" t="str">
        <x:f>_xlfn.XLOOKUP($A1810,Games!$A$2:$A$18,Games!$G$2:$G$18,"Missing game",0)</x:f>
        <x:v>MIN</x:v>
      </x:c>
      <x:c r="AM1810" t="n">
        <x:f>_xlfn.XLOOKUP($A1810,Games!$A$2:$A$18,Games!$H$2:$H$18,"Missing game",0)</x:f>
        <x:v>6</x:v>
      </x:c>
      <x:c r="AN1810" t="str">
        <x:f>_xlfn.XLOOKUP($A1810,Games!$A$2:$A$18,Games!$I$2:$I$18,"Missing game",0)</x:f>
        <x:v>GB</x:v>
      </x:c>
      <x:c r="AO1810" t="n">
        <x:f>_xlfn.XLOOKUP($A1810,Games!$A$2:$A$18,Games!$J$2:$J$18,"Missing game",0)</x:f>
        <x:v>23</x:v>
      </x:c>
      <x:c r="AP1810" t="n">
        <x:f>_xlfn.XLOOKUP($A1810,Games!$A$2:$A$18,Games!$K$2:$K$18,"Missing game",0)</x:f>
        <x:v>17</x:v>
      </x:c>
      <x:c r="AQ1810" t="n">
        <x:f>_xlfn.XLOOKUP($A1810,Games!$A$2:$A$18,Games!$L$2:$L$18,"Missing game",0)</x:f>
        <x:v>29</x:v>
      </x:c>
      <x:c r="AR1810" t="n">
        <x:f>_xlfn.XLOOKUP($A1810,Games!$A$2:$A$18,Games!$M$2:$M$18,"Missing game",0)</x:f>
        <x:v>0</x:v>
      </x:c>
      <x:c r="AS1810" t="str">
        <x:f>_xlfn.XLOOKUP($A1810,Games!$A$2:$A$18,Games!$N$2:$N$18,"Missing game",0)</x:f>
        <x:v>outdoors</x:v>
      </x:c>
      <x:c r="AT1810" t="str">
        <x:f>_xlfn.XLOOKUP($A1810,Games!$A$2:$A$18,Games!$O$2:$O$18,"Missing game",0)</x:f>
        <x:v>grass</x:v>
      </x:c>
      <x:c r="AU1810" t="n">
        <x:f>_xlfn.XLOOKUP($A1810,Games!$A$2:$A$18,Games!$P$2:$P$18,"Missing game",0)</x:f>
        <x:v>43</x:v>
      </x:c>
      <x:c r="AV1810" t="n">
        <x:f>_xlfn.XLOOKUP($A1810,Games!$A$2:$A$18,Games!$Q$2:$Q$18,"Missing game",0)</x:f>
        <x:v>10</x:v>
      </x:c>
      <x:c r="AW1810" t="str">
        <x:f>_xlfn.XLOOKUP($A1810,Games!$A$2:$A$18,Games!$R$2:$R$18,"Missing game",0)</x:f>
        <x:v>Lambeau Field</x:v>
      </x:c>
    </x:row>
    <x:row r="1811">
      <x:c r="A1811" t="str">
        <x:v>2025_12_MIN_GB</x:v>
      </x:c>
      <x:c r="B1811" t="n">
        <x:v>2374</x:v>
      </x:c>
      <x:c r="C1811" t="n">
        <x:v>3</x:v>
      </x:c>
      <x:c r="D1811" t="str">
        <x:v>05:51</x:v>
      </x:c>
      <x:c r="E1811" t="n">
        <x:v>2</x:v>
      </x:c>
      <x:c r="F1811" t="n">
        <x:v>7</x:v>
      </x:c>
      <x:c r="G1811" t="str">
        <x:v>GB</x:v>
      </x:c>
      <x:c r="H1811" t="str">
        <x:v>MIN</x:v>
      </x:c>
      <x:c r="I1811" t="str">
        <x:v>GB</x:v>
      </x:c>
      <x:c r="J1811" t="n">
        <x:v>67</x:v>
      </x:c>
      <x:c r="K1811" t="str">
        <x:v>(5:51) 23-E.Wilson up the middle to GB 39 for 6 yards (43-A.Van Ginkel).</x:v>
      </x:c>
      <x:c r="L1811" t="str">
        <x:v>run</x:v>
      </x:c>
      <x:c r="M1811" t="n">
        <x:v>6</x:v>
      </x:c>
      <x:c r="N1811" t="n">
        <x:v>0</x:v>
      </x:c>
      <x:c r="O1811" t="n">
        <x:v>0</x:v>
      </x:c>
      <x:c r="P1811"/>
      <x:c r="Q1811"/>
      <x:c r="R1811"/>
      <x:c r="S1811"/>
      <x:c r="T1811" t="str">
        <x:v>middle</x:v>
      </x:c>
      <x:c r="U1811"/>
      <x:c r="V1811" t="n">
        <x:v>0</x:v>
      </x:c>
      <x:c r="W1811" t="n">
        <x:v>0</x:v>
      </x:c>
      <x:c r="X1811" t="n">
        <x:v>0</x:v>
      </x:c>
      <x:c r="Y1811" t="n">
        <x:v>0</x:v>
      </x:c>
      <x:c r="Z1811" t="n">
        <x:v>0</x:v>
      </x:c>
      <x:c r="AA1811" t="n">
        <x:v>0</x:v>
      </x:c>
      <x:c r="AB1811"/>
      <x:c r="AC1811" t="n">
        <x:v>0</x:v>
      </x:c>
      <x:c r="AD1811" t="n">
        <x:v>0.5379856792278588</x:v>
      </x:c>
      <x:c r="AE1811" t="n">
        <x:v>1</x:v>
      </x:c>
      <x:c r="AF1811" t="n">
        <x:v>0.006524205207824707</x:v>
      </x:c>
      <x:c r="AG1811" t="n">
        <x:f>_xlfn.XLOOKUP($A1811,Games!$A$2:$A$18,Games!$B$2:$B$18,"Missing game",0)</x:f>
        <x:v>2025</x:v>
      </x:c>
      <x:c r="AH1811" t="str">
        <x:f>_xlfn.XLOOKUP($A1811,Games!$A$2:$A$18,Games!$C$2:$C$18,"Missing game",0)</x:f>
        <x:v>REG</x:v>
      </x:c>
      <x:c r="AI1811" t="n">
        <x:f>_xlfn.XLOOKUP($A1811,Games!$A$2:$A$18,Games!$D$2:$D$18,"Missing game",0)</x:f>
        <x:v>12</x:v>
      </x:c>
      <x:c r="AJ1811" s="1" t="n">
        <x:f>_xlfn.XLOOKUP($A1811,Games!$A$2:$A$18,Games!$E$2:$E$18,"Missing game",0)</x:f>
        <x:v>45984</x:v>
      </x:c>
      <x:c r="AK1811" t="str">
        <x:f>_xlfn.XLOOKUP($A1811,Games!$A$2:$A$18,Games!$F$2:$F$18,"Missing game",0)</x:f>
        <x:v>Sunday</x:v>
      </x:c>
      <x:c r="AL1811" t="str">
        <x:f>_xlfn.XLOOKUP($A1811,Games!$A$2:$A$18,Games!$G$2:$G$18,"Missing game",0)</x:f>
        <x:v>MIN</x:v>
      </x:c>
      <x:c r="AM1811" t="n">
        <x:f>_xlfn.XLOOKUP($A1811,Games!$A$2:$A$18,Games!$H$2:$H$18,"Missing game",0)</x:f>
        <x:v>6</x:v>
      </x:c>
      <x:c r="AN1811" t="str">
        <x:f>_xlfn.XLOOKUP($A1811,Games!$A$2:$A$18,Games!$I$2:$I$18,"Missing game",0)</x:f>
        <x:v>GB</x:v>
      </x:c>
      <x:c r="AO1811" t="n">
        <x:f>_xlfn.XLOOKUP($A1811,Games!$A$2:$A$18,Games!$J$2:$J$18,"Missing game",0)</x:f>
        <x:v>23</x:v>
      </x:c>
      <x:c r="AP1811" t="n">
        <x:f>_xlfn.XLOOKUP($A1811,Games!$A$2:$A$18,Games!$K$2:$K$18,"Missing game",0)</x:f>
        <x:v>17</x:v>
      </x:c>
      <x:c r="AQ1811" t="n">
        <x:f>_xlfn.XLOOKUP($A1811,Games!$A$2:$A$18,Games!$L$2:$L$18,"Missing game",0)</x:f>
        <x:v>29</x:v>
      </x:c>
      <x:c r="AR1811" t="n">
        <x:f>_xlfn.XLOOKUP($A1811,Games!$A$2:$A$18,Games!$M$2:$M$18,"Missing game",0)</x:f>
        <x:v>0</x:v>
      </x:c>
      <x:c r="AS1811" t="str">
        <x:f>_xlfn.XLOOKUP($A1811,Games!$A$2:$A$18,Games!$N$2:$N$18,"Missing game",0)</x:f>
        <x:v>outdoors</x:v>
      </x:c>
      <x:c r="AT1811" t="str">
        <x:f>_xlfn.XLOOKUP($A1811,Games!$A$2:$A$18,Games!$O$2:$O$18,"Missing game",0)</x:f>
        <x:v>grass</x:v>
      </x:c>
      <x:c r="AU1811" t="n">
        <x:f>_xlfn.XLOOKUP($A1811,Games!$A$2:$A$18,Games!$P$2:$P$18,"Missing game",0)</x:f>
        <x:v>43</x:v>
      </x:c>
      <x:c r="AV1811" t="n">
        <x:f>_xlfn.XLOOKUP($A1811,Games!$A$2:$A$18,Games!$Q$2:$Q$18,"Missing game",0)</x:f>
        <x:v>10</x:v>
      </x:c>
      <x:c r="AW1811" t="str">
        <x:f>_xlfn.XLOOKUP($A1811,Games!$A$2:$A$18,Games!$R$2:$R$18,"Missing game",0)</x:f>
        <x:v>Lambeau Field</x:v>
      </x:c>
    </x:row>
    <x:row r="1812">
      <x:c r="A1812" t="str">
        <x:v>2025_12_MIN_GB</x:v>
      </x:c>
      <x:c r="B1812" t="n">
        <x:v>2399</x:v>
      </x:c>
      <x:c r="C1812" t="n">
        <x:v>3</x:v>
      </x:c>
      <x:c r="D1812" t="str">
        <x:v>05:12</x:v>
      </x:c>
      <x:c r="E1812" t="n">
        <x:v>3</x:v>
      </x:c>
      <x:c r="F1812" t="n">
        <x:v>1</x:v>
      </x:c>
      <x:c r="G1812" t="str">
        <x:v>GB</x:v>
      </x:c>
      <x:c r="H1812" t="str">
        <x:v>MIN</x:v>
      </x:c>
      <x:c r="I1812" t="str">
        <x:v>GB</x:v>
      </x:c>
      <x:c r="J1812" t="n">
        <x:v>61</x:v>
      </x:c>
      <x:c r="K1812" t="str">
        <x:v>(5:12) (Shotgun) 23-E.Wilson up the middle to GB 37 for -2 yards (55-E.Wilson).</x:v>
      </x:c>
      <x:c r="L1812" t="str">
        <x:v>run</x:v>
      </x:c>
      <x:c r="M1812" t="n">
        <x:v>-2</x:v>
      </x:c>
      <x:c r="N1812" t="n">
        <x:v>1</x:v>
      </x:c>
      <x:c r="O1812" t="n">
        <x:v>0</x:v>
      </x:c>
      <x:c r="P1812"/>
      <x:c r="Q1812"/>
      <x:c r="R1812"/>
      <x:c r="S1812"/>
      <x:c r="T1812" t="str">
        <x:v>middle</x:v>
      </x:c>
      <x:c r="U1812"/>
      <x:c r="V1812" t="n">
        <x:v>0</x:v>
      </x:c>
      <x:c r="W1812" t="n">
        <x:v>0</x:v>
      </x:c>
      <x:c r="X1812" t="n">
        <x:v>0</x:v>
      </x:c>
      <x:c r="Y1812" t="n">
        <x:v>0</x:v>
      </x:c>
      <x:c r="Z1812" t="n">
        <x:v>0</x:v>
      </x:c>
      <x:c r="AA1812" t="n">
        <x:v>0</x:v>
      </x:c>
      <x:c r="AB1812"/>
      <x:c r="AC1812" t="n">
        <x:v>0</x:v>
      </x:c>
      <x:c r="AD1812" t="n">
        <x:v>-2.2816652914043516</x:v>
      </x:c>
      <x:c r="AE1812" t="n">
        <x:v>0</x:v>
      </x:c>
      <x:c r="AF1812" t="n">
        <x:v>-0.032765209674835205</x:v>
      </x:c>
      <x:c r="AG1812" t="n">
        <x:f>_xlfn.XLOOKUP($A1812,Games!$A$2:$A$18,Games!$B$2:$B$18,"Missing game",0)</x:f>
        <x:v>2025</x:v>
      </x:c>
      <x:c r="AH1812" t="str">
        <x:f>_xlfn.XLOOKUP($A1812,Games!$A$2:$A$18,Games!$C$2:$C$18,"Missing game",0)</x:f>
        <x:v>REG</x:v>
      </x:c>
      <x:c r="AI1812" t="n">
        <x:f>_xlfn.XLOOKUP($A1812,Games!$A$2:$A$18,Games!$D$2:$D$18,"Missing game",0)</x:f>
        <x:v>12</x:v>
      </x:c>
      <x:c r="AJ1812" s="1" t="n">
        <x:f>_xlfn.XLOOKUP($A1812,Games!$A$2:$A$18,Games!$E$2:$E$18,"Missing game",0)</x:f>
        <x:v>45984</x:v>
      </x:c>
      <x:c r="AK1812" t="str">
        <x:f>_xlfn.XLOOKUP($A1812,Games!$A$2:$A$18,Games!$F$2:$F$18,"Missing game",0)</x:f>
        <x:v>Sunday</x:v>
      </x:c>
      <x:c r="AL1812" t="str">
        <x:f>_xlfn.XLOOKUP($A1812,Games!$A$2:$A$18,Games!$G$2:$G$18,"Missing game",0)</x:f>
        <x:v>MIN</x:v>
      </x:c>
      <x:c r="AM1812" t="n">
        <x:f>_xlfn.XLOOKUP($A1812,Games!$A$2:$A$18,Games!$H$2:$H$18,"Missing game",0)</x:f>
        <x:v>6</x:v>
      </x:c>
      <x:c r="AN1812" t="str">
        <x:f>_xlfn.XLOOKUP($A1812,Games!$A$2:$A$18,Games!$I$2:$I$18,"Missing game",0)</x:f>
        <x:v>GB</x:v>
      </x:c>
      <x:c r="AO1812" t="n">
        <x:f>_xlfn.XLOOKUP($A1812,Games!$A$2:$A$18,Games!$J$2:$J$18,"Missing game",0)</x:f>
        <x:v>23</x:v>
      </x:c>
      <x:c r="AP1812" t="n">
        <x:f>_xlfn.XLOOKUP($A1812,Games!$A$2:$A$18,Games!$K$2:$K$18,"Missing game",0)</x:f>
        <x:v>17</x:v>
      </x:c>
      <x:c r="AQ1812" t="n">
        <x:f>_xlfn.XLOOKUP($A1812,Games!$A$2:$A$18,Games!$L$2:$L$18,"Missing game",0)</x:f>
        <x:v>29</x:v>
      </x:c>
      <x:c r="AR1812" t="n">
        <x:f>_xlfn.XLOOKUP($A1812,Games!$A$2:$A$18,Games!$M$2:$M$18,"Missing game",0)</x:f>
        <x:v>0</x:v>
      </x:c>
      <x:c r="AS1812" t="str">
        <x:f>_xlfn.XLOOKUP($A1812,Games!$A$2:$A$18,Games!$N$2:$N$18,"Missing game",0)</x:f>
        <x:v>outdoors</x:v>
      </x:c>
      <x:c r="AT1812" t="str">
        <x:f>_xlfn.XLOOKUP($A1812,Games!$A$2:$A$18,Games!$O$2:$O$18,"Missing game",0)</x:f>
        <x:v>grass</x:v>
      </x:c>
      <x:c r="AU1812" t="n">
        <x:f>_xlfn.XLOOKUP($A1812,Games!$A$2:$A$18,Games!$P$2:$P$18,"Missing game",0)</x:f>
        <x:v>43</x:v>
      </x:c>
      <x:c r="AV1812" t="n">
        <x:f>_xlfn.XLOOKUP($A1812,Games!$A$2:$A$18,Games!$Q$2:$Q$18,"Missing game",0)</x:f>
        <x:v>10</x:v>
      </x:c>
      <x:c r="AW1812" t="str">
        <x:f>_xlfn.XLOOKUP($A1812,Games!$A$2:$A$18,Games!$R$2:$R$18,"Missing game",0)</x:f>
        <x:v>Lambeau Field</x:v>
      </x:c>
    </x:row>
    <x:row r="1813">
      <x:c r="A1813" t="str">
        <x:v>2025_12_MIN_GB</x:v>
      </x:c>
      <x:c r="B1813" t="n">
        <x:v>2426</x:v>
      </x:c>
      <x:c r="C1813" t="n">
        <x:v>3</x:v>
      </x:c>
      <x:c r="D1813" t="str">
        <x:v>04:29</x:v>
      </x:c>
      <x:c r="E1813" t="n">
        <x:v>4</x:v>
      </x:c>
      <x:c r="F1813" t="n">
        <x:v>3</x:v>
      </x:c>
      <x:c r="G1813" t="str">
        <x:v>GB</x:v>
      </x:c>
      <x:c r="H1813" t="str">
        <x:v>MIN</x:v>
      </x:c>
      <x:c r="I1813" t="str">
        <x:v>GB</x:v>
      </x:c>
      <x:c r="J1813" t="n">
        <x:v>63</x:v>
      </x:c>
      <x:c r="K1813" t="str">
        <x:v>(4:29) 19-D.Whelan punts 50 yards to MIN 13, Center-42-M.Orzech, fair catch by 4-M.Price.</x:v>
      </x:c>
      <x:c r="L1813" t="str">
        <x:v>punt</x:v>
      </x:c>
      <x:c r="M1813" t="n">
        <x:v>0</x:v>
      </x:c>
      <x:c r="N1813" t="n">
        <x:v>0</x:v>
      </x:c>
      <x:c r="O1813" t="n">
        <x:v>0</x:v>
      </x:c>
      <x:c r="P1813"/>
      <x:c r="Q1813"/>
      <x:c r="R1813"/>
      <x:c r="S1813"/>
      <x:c r="T1813"/>
      <x:c r="U1813"/>
      <x:c r="V1813" t="n">
        <x:v>0</x:v>
      </x:c>
      <x:c r="W1813" t="n">
        <x:v>0</x:v>
      </x:c>
      <x:c r="X1813" t="n">
        <x:v>0</x:v>
      </x:c>
      <x:c r="Y1813" t="n">
        <x:v>0</x:v>
      </x:c>
      <x:c r="Z1813" t="n">
        <x:v>0</x:v>
      </x:c>
      <x:c r="AA1813" t="n">
        <x:v>0</x:v>
      </x:c>
      <x:c r="AB1813"/>
      <x:c r="AC1813" t="n">
        <x:v>0</x:v>
      </x:c>
      <x:c r="AD1813" t="n">
        <x:v>0.2120668962597847</x:v>
      </x:c>
      <x:c r="AE1813" t="n">
        <x:v>1</x:v>
      </x:c>
      <x:c r="AF1813" t="n">
        <x:v>0.021294936537742615</x:v>
      </x:c>
      <x:c r="AG1813" t="n">
        <x:f>_xlfn.XLOOKUP($A1813,Games!$A$2:$A$18,Games!$B$2:$B$18,"Missing game",0)</x:f>
        <x:v>2025</x:v>
      </x:c>
      <x:c r="AH1813" t="str">
        <x:f>_xlfn.XLOOKUP($A1813,Games!$A$2:$A$18,Games!$C$2:$C$18,"Missing game",0)</x:f>
        <x:v>REG</x:v>
      </x:c>
      <x:c r="AI1813" t="n">
        <x:f>_xlfn.XLOOKUP($A1813,Games!$A$2:$A$18,Games!$D$2:$D$18,"Missing game",0)</x:f>
        <x:v>12</x:v>
      </x:c>
      <x:c r="AJ1813" s="1" t="n">
        <x:f>_xlfn.XLOOKUP($A1813,Games!$A$2:$A$18,Games!$E$2:$E$18,"Missing game",0)</x:f>
        <x:v>45984</x:v>
      </x:c>
      <x:c r="AK1813" t="str">
        <x:f>_xlfn.XLOOKUP($A1813,Games!$A$2:$A$18,Games!$F$2:$F$18,"Missing game",0)</x:f>
        <x:v>Sunday</x:v>
      </x:c>
      <x:c r="AL1813" t="str">
        <x:f>_xlfn.XLOOKUP($A1813,Games!$A$2:$A$18,Games!$G$2:$G$18,"Missing game",0)</x:f>
        <x:v>MIN</x:v>
      </x:c>
      <x:c r="AM1813" t="n">
        <x:f>_xlfn.XLOOKUP($A1813,Games!$A$2:$A$18,Games!$H$2:$H$18,"Missing game",0)</x:f>
        <x:v>6</x:v>
      </x:c>
      <x:c r="AN1813" t="str">
        <x:f>_xlfn.XLOOKUP($A1813,Games!$A$2:$A$18,Games!$I$2:$I$18,"Missing game",0)</x:f>
        <x:v>GB</x:v>
      </x:c>
      <x:c r="AO1813" t="n">
        <x:f>_xlfn.XLOOKUP($A1813,Games!$A$2:$A$18,Games!$J$2:$J$18,"Missing game",0)</x:f>
        <x:v>23</x:v>
      </x:c>
      <x:c r="AP1813" t="n">
        <x:f>_xlfn.XLOOKUP($A1813,Games!$A$2:$A$18,Games!$K$2:$K$18,"Missing game",0)</x:f>
        <x:v>17</x:v>
      </x:c>
      <x:c r="AQ1813" t="n">
        <x:f>_xlfn.XLOOKUP($A1813,Games!$A$2:$A$18,Games!$L$2:$L$18,"Missing game",0)</x:f>
        <x:v>29</x:v>
      </x:c>
      <x:c r="AR1813" t="n">
        <x:f>_xlfn.XLOOKUP($A1813,Games!$A$2:$A$18,Games!$M$2:$M$18,"Missing game",0)</x:f>
        <x:v>0</x:v>
      </x:c>
      <x:c r="AS1813" t="str">
        <x:f>_xlfn.XLOOKUP($A1813,Games!$A$2:$A$18,Games!$N$2:$N$18,"Missing game",0)</x:f>
        <x:v>outdoors</x:v>
      </x:c>
      <x:c r="AT1813" t="str">
        <x:f>_xlfn.XLOOKUP($A1813,Games!$A$2:$A$18,Games!$O$2:$O$18,"Missing game",0)</x:f>
        <x:v>grass</x:v>
      </x:c>
      <x:c r="AU1813" t="n">
        <x:f>_xlfn.XLOOKUP($A1813,Games!$A$2:$A$18,Games!$P$2:$P$18,"Missing game",0)</x:f>
        <x:v>43</x:v>
      </x:c>
      <x:c r="AV1813" t="n">
        <x:f>_xlfn.XLOOKUP($A1813,Games!$A$2:$A$18,Games!$Q$2:$Q$18,"Missing game",0)</x:f>
        <x:v>10</x:v>
      </x:c>
      <x:c r="AW1813" t="str">
        <x:f>_xlfn.XLOOKUP($A1813,Games!$A$2:$A$18,Games!$R$2:$R$18,"Missing game",0)</x:f>
        <x:v>Lambeau Field</x:v>
      </x:c>
    </x:row>
    <x:row r="1814">
      <x:c r="A1814" t="str">
        <x:v>2025_12_MIN_GB</x:v>
      </x:c>
      <x:c r="B1814" t="n">
        <x:v>2446</x:v>
      </x:c>
      <x:c r="C1814" t="n">
        <x:v>3</x:v>
      </x:c>
      <x:c r="D1814" t="str">
        <x:v>04:21</x:v>
      </x:c>
      <x:c r="E1814" t="n">
        <x:v>1</x:v>
      </x:c>
      <x:c r="F1814" t="n">
        <x:v>10</x:v>
      </x:c>
      <x:c r="G1814" t="str">
        <x:v>MIN</x:v>
      </x:c>
      <x:c r="H1814" t="str">
        <x:v>GB</x:v>
      </x:c>
      <x:c r="I1814" t="str">
        <x:v>MIN</x:v>
      </x:c>
      <x:c r="J1814" t="n">
        <x:v>87</x:v>
      </x:c>
      <x:c r="K1814" t="str">
        <x:v>(4:21) 33-A.Jones right tackle to MIN 12 for -1 yards (33-E.Williams).</x:v>
      </x:c>
      <x:c r="L1814" t="str">
        <x:v>run</x:v>
      </x:c>
      <x:c r="M1814" t="n">
        <x:v>-1</x:v>
      </x:c>
      <x:c r="N1814" t="n">
        <x:v>0</x:v>
      </x:c>
      <x:c r="O1814" t="n">
        <x:v>0</x:v>
      </x:c>
      <x:c r="P1814"/>
      <x:c r="Q1814"/>
      <x:c r="R1814"/>
      <x:c r="S1814"/>
      <x:c r="T1814" t="str">
        <x:v>right</x:v>
      </x:c>
      <x:c r="U1814" t="str">
        <x:v>tackle</x:v>
      </x:c>
      <x:c r="V1814" t="n">
        <x:v>0</x:v>
      </x:c>
      <x:c r="W1814" t="n">
        <x:v>0</x:v>
      </x:c>
      <x:c r="X1814" t="n">
        <x:v>0</x:v>
      </x:c>
      <x:c r="Y1814" t="n">
        <x:v>0</x:v>
      </x:c>
      <x:c r="Z1814" t="n">
        <x:v>0</x:v>
      </x:c>
      <x:c r="AA1814" t="n">
        <x:v>0</x:v>
      </x:c>
      <x:c r="AB1814"/>
      <x:c r="AC1814" t="n">
        <x:v>0</x:v>
      </x:c>
      <x:c r="AD1814" t="n">
        <x:v>-0.8907237118110061</x:v>
      </x:c>
      <x:c r="AE1814" t="n">
        <x:v>0</x:v>
      </x:c>
      <x:c r="AF1814" t="n">
        <x:v>-0.023353345692157745</x:v>
      </x:c>
      <x:c r="AG1814" t="n">
        <x:f>_xlfn.XLOOKUP($A1814,Games!$A$2:$A$18,Games!$B$2:$B$18,"Missing game",0)</x:f>
        <x:v>2025</x:v>
      </x:c>
      <x:c r="AH1814" t="str">
        <x:f>_xlfn.XLOOKUP($A1814,Games!$A$2:$A$18,Games!$C$2:$C$18,"Missing game",0)</x:f>
        <x:v>REG</x:v>
      </x:c>
      <x:c r="AI1814" t="n">
        <x:f>_xlfn.XLOOKUP($A1814,Games!$A$2:$A$18,Games!$D$2:$D$18,"Missing game",0)</x:f>
        <x:v>12</x:v>
      </x:c>
      <x:c r="AJ1814" s="1" t="n">
        <x:f>_xlfn.XLOOKUP($A1814,Games!$A$2:$A$18,Games!$E$2:$E$18,"Missing game",0)</x:f>
        <x:v>45984</x:v>
      </x:c>
      <x:c r="AK1814" t="str">
        <x:f>_xlfn.XLOOKUP($A1814,Games!$A$2:$A$18,Games!$F$2:$F$18,"Missing game",0)</x:f>
        <x:v>Sunday</x:v>
      </x:c>
      <x:c r="AL1814" t="str">
        <x:f>_xlfn.XLOOKUP($A1814,Games!$A$2:$A$18,Games!$G$2:$G$18,"Missing game",0)</x:f>
        <x:v>MIN</x:v>
      </x:c>
      <x:c r="AM1814" t="n">
        <x:f>_xlfn.XLOOKUP($A1814,Games!$A$2:$A$18,Games!$H$2:$H$18,"Missing game",0)</x:f>
        <x:v>6</x:v>
      </x:c>
      <x:c r="AN1814" t="str">
        <x:f>_xlfn.XLOOKUP($A1814,Games!$A$2:$A$18,Games!$I$2:$I$18,"Missing game",0)</x:f>
        <x:v>GB</x:v>
      </x:c>
      <x:c r="AO1814" t="n">
        <x:f>_xlfn.XLOOKUP($A1814,Games!$A$2:$A$18,Games!$J$2:$J$18,"Missing game",0)</x:f>
        <x:v>23</x:v>
      </x:c>
      <x:c r="AP1814" t="n">
        <x:f>_xlfn.XLOOKUP($A1814,Games!$A$2:$A$18,Games!$K$2:$K$18,"Missing game",0)</x:f>
        <x:v>17</x:v>
      </x:c>
      <x:c r="AQ1814" t="n">
        <x:f>_xlfn.XLOOKUP($A1814,Games!$A$2:$A$18,Games!$L$2:$L$18,"Missing game",0)</x:f>
        <x:v>29</x:v>
      </x:c>
      <x:c r="AR1814" t="n">
        <x:f>_xlfn.XLOOKUP($A1814,Games!$A$2:$A$18,Games!$M$2:$M$18,"Missing game",0)</x:f>
        <x:v>0</x:v>
      </x:c>
      <x:c r="AS1814" t="str">
        <x:f>_xlfn.XLOOKUP($A1814,Games!$A$2:$A$18,Games!$N$2:$N$18,"Missing game",0)</x:f>
        <x:v>outdoors</x:v>
      </x:c>
      <x:c r="AT1814" t="str">
        <x:f>_xlfn.XLOOKUP($A1814,Games!$A$2:$A$18,Games!$O$2:$O$18,"Missing game",0)</x:f>
        <x:v>grass</x:v>
      </x:c>
      <x:c r="AU1814" t="n">
        <x:f>_xlfn.XLOOKUP($A1814,Games!$A$2:$A$18,Games!$P$2:$P$18,"Missing game",0)</x:f>
        <x:v>43</x:v>
      </x:c>
      <x:c r="AV1814" t="n">
        <x:f>_xlfn.XLOOKUP($A1814,Games!$A$2:$A$18,Games!$Q$2:$Q$18,"Missing game",0)</x:f>
        <x:v>10</x:v>
      </x:c>
      <x:c r="AW1814" t="str">
        <x:f>_xlfn.XLOOKUP($A1814,Games!$A$2:$A$18,Games!$R$2:$R$18,"Missing game",0)</x:f>
        <x:v>Lambeau Field</x:v>
      </x:c>
    </x:row>
    <x:row r="1815">
      <x:c r="A1815" t="str">
        <x:v>2025_12_MIN_GB</x:v>
      </x:c>
      <x:c r="B1815" t="n">
        <x:v>2475</x:v>
      </x:c>
      <x:c r="C1815" t="n">
        <x:v>3</x:v>
      </x:c>
      <x:c r="D1815" t="str">
        <x:v>03:41</x:v>
      </x:c>
      <x:c r="E1815" t="n">
        <x:v>2</x:v>
      </x:c>
      <x:c r="F1815" t="n">
        <x:v>11</x:v>
      </x:c>
      <x:c r="G1815" t="str">
        <x:v>MIN</x:v>
      </x:c>
      <x:c r="H1815" t="str">
        <x:v>GB</x:v>
      </x:c>
      <x:c r="I1815" t="str">
        <x:v>MIN</x:v>
      </x:c>
      <x:c r="J1815" t="n">
        <x:v>88</x:v>
      </x:c>
      <x:c r="K1815" t="str">
        <x:v>(3:41) (Shotgun) 9-J.McCarthy sacked at MIN 7 for -5 yards (1-M.Parsons).</x:v>
      </x:c>
      <x:c r="L1815" t="str">
        <x:v>pass</x:v>
      </x:c>
      <x:c r="M1815" t="n">
        <x:v>-5</x:v>
      </x:c>
      <x:c r="N1815" t="n">
        <x:v>1</x:v>
      </x:c>
      <x:c r="O1815" t="n">
        <x:v>0</x:v>
      </x:c>
      <x:c r="P1815"/>
      <x:c r="Q1815"/>
      <x:c r="R1815"/>
      <x:c r="S1815"/>
      <x:c r="T1815"/>
      <x:c r="U1815"/>
      <x:c r="V1815" t="n">
        <x:v>0</x:v>
      </x:c>
      <x:c r="W1815" t="n">
        <x:v>0</x:v>
      </x:c>
      <x:c r="X1815" t="n">
        <x:v>1</x:v>
      </x:c>
      <x:c r="Y1815" t="n">
        <x:v>0</x:v>
      </x:c>
      <x:c r="Z1815" t="n">
        <x:v>0</x:v>
      </x:c>
      <x:c r="AA1815" t="n">
        <x:v>0</x:v>
      </x:c>
      <x:c r="AB1815"/>
      <x:c r="AC1815" t="n">
        <x:v>0</x:v>
      </x:c>
      <x:c r="AD1815" t="n">
        <x:v>-1.329527968657203</x:v>
      </x:c>
      <x:c r="AE1815" t="n">
        <x:v>0</x:v>
      </x:c>
      <x:c r="AF1815" t="n">
        <x:v>-0.013132095336914062</x:v>
      </x:c>
      <x:c r="AG1815" t="n">
        <x:f>_xlfn.XLOOKUP($A1815,Games!$A$2:$A$18,Games!$B$2:$B$18,"Missing game",0)</x:f>
        <x:v>2025</x:v>
      </x:c>
      <x:c r="AH1815" t="str">
        <x:f>_xlfn.XLOOKUP($A1815,Games!$A$2:$A$18,Games!$C$2:$C$18,"Missing game",0)</x:f>
        <x:v>REG</x:v>
      </x:c>
      <x:c r="AI1815" t="n">
        <x:f>_xlfn.XLOOKUP($A1815,Games!$A$2:$A$18,Games!$D$2:$D$18,"Missing game",0)</x:f>
        <x:v>12</x:v>
      </x:c>
      <x:c r="AJ1815" s="1" t="n">
        <x:f>_xlfn.XLOOKUP($A1815,Games!$A$2:$A$18,Games!$E$2:$E$18,"Missing game",0)</x:f>
        <x:v>45984</x:v>
      </x:c>
      <x:c r="AK1815" t="str">
        <x:f>_xlfn.XLOOKUP($A1815,Games!$A$2:$A$18,Games!$F$2:$F$18,"Missing game",0)</x:f>
        <x:v>Sunday</x:v>
      </x:c>
      <x:c r="AL1815" t="str">
        <x:f>_xlfn.XLOOKUP($A1815,Games!$A$2:$A$18,Games!$G$2:$G$18,"Missing game",0)</x:f>
        <x:v>MIN</x:v>
      </x:c>
      <x:c r="AM1815" t="n">
        <x:f>_xlfn.XLOOKUP($A1815,Games!$A$2:$A$18,Games!$H$2:$H$18,"Missing game",0)</x:f>
        <x:v>6</x:v>
      </x:c>
      <x:c r="AN1815" t="str">
        <x:f>_xlfn.XLOOKUP($A1815,Games!$A$2:$A$18,Games!$I$2:$I$18,"Missing game",0)</x:f>
        <x:v>GB</x:v>
      </x:c>
      <x:c r="AO1815" t="n">
        <x:f>_xlfn.XLOOKUP($A1815,Games!$A$2:$A$18,Games!$J$2:$J$18,"Missing game",0)</x:f>
        <x:v>23</x:v>
      </x:c>
      <x:c r="AP1815" t="n">
        <x:f>_xlfn.XLOOKUP($A1815,Games!$A$2:$A$18,Games!$K$2:$K$18,"Missing game",0)</x:f>
        <x:v>17</x:v>
      </x:c>
      <x:c r="AQ1815" t="n">
        <x:f>_xlfn.XLOOKUP($A1815,Games!$A$2:$A$18,Games!$L$2:$L$18,"Missing game",0)</x:f>
        <x:v>29</x:v>
      </x:c>
      <x:c r="AR1815" t="n">
        <x:f>_xlfn.XLOOKUP($A1815,Games!$A$2:$A$18,Games!$M$2:$M$18,"Missing game",0)</x:f>
        <x:v>0</x:v>
      </x:c>
      <x:c r="AS1815" t="str">
        <x:f>_xlfn.XLOOKUP($A1815,Games!$A$2:$A$18,Games!$N$2:$N$18,"Missing game",0)</x:f>
        <x:v>outdoors</x:v>
      </x:c>
      <x:c r="AT1815" t="str">
        <x:f>_xlfn.XLOOKUP($A1815,Games!$A$2:$A$18,Games!$O$2:$O$18,"Missing game",0)</x:f>
        <x:v>grass</x:v>
      </x:c>
      <x:c r="AU1815" t="n">
        <x:f>_xlfn.XLOOKUP($A1815,Games!$A$2:$A$18,Games!$P$2:$P$18,"Missing game",0)</x:f>
        <x:v>43</x:v>
      </x:c>
      <x:c r="AV1815" t="n">
        <x:f>_xlfn.XLOOKUP($A1815,Games!$A$2:$A$18,Games!$Q$2:$Q$18,"Missing game",0)</x:f>
        <x:v>10</x:v>
      </x:c>
      <x:c r="AW1815" t="str">
        <x:f>_xlfn.XLOOKUP($A1815,Games!$A$2:$A$18,Games!$R$2:$R$18,"Missing game",0)</x:f>
        <x:v>Lambeau Field</x:v>
      </x:c>
    </x:row>
    <x:row r="1816">
      <x:c r="A1816" t="str">
        <x:v>2025_12_MIN_GB</x:v>
      </x:c>
      <x:c r="B1816" t="n">
        <x:v>2495</x:v>
      </x:c>
      <x:c r="C1816" t="n">
        <x:v>3</x:v>
      </x:c>
      <x:c r="D1816" t="str">
        <x:v>02:58</x:v>
      </x:c>
      <x:c r="E1816" t="n">
        <x:v>3</x:v>
      </x:c>
      <x:c r="F1816" t="n">
        <x:v>16</x:v>
      </x:c>
      <x:c r="G1816" t="str">
        <x:v>MIN</x:v>
      </x:c>
      <x:c r="H1816" t="str">
        <x:v>GB</x:v>
      </x:c>
      <x:c r="I1816" t="str">
        <x:v>MIN</x:v>
      </x:c>
      <x:c r="J1816" t="n">
        <x:v>93</x:v>
      </x:c>
      <x:c r="K1816" t="str">
        <x:v>(2:58) (Shotgun) 9-J.McCarthy sacked at MIN 1 for -6 yards (95-D.Wyatt).</x:v>
      </x:c>
      <x:c r="L1816" t="str">
        <x:v>pass</x:v>
      </x:c>
      <x:c r="M1816" t="n">
        <x:v>-6</x:v>
      </x:c>
      <x:c r="N1816" t="n">
        <x:v>1</x:v>
      </x:c>
      <x:c r="O1816" t="n">
        <x:v>0</x:v>
      </x:c>
      <x:c r="P1816"/>
      <x:c r="Q1816"/>
      <x:c r="R1816"/>
      <x:c r="S1816"/>
      <x:c r="T1816"/>
      <x:c r="U1816"/>
      <x:c r="V1816" t="n">
        <x:v>0</x:v>
      </x:c>
      <x:c r="W1816" t="n">
        <x:v>0</x:v>
      </x:c>
      <x:c r="X1816" t="n">
        <x:v>1</x:v>
      </x:c>
      <x:c r="Y1816" t="n">
        <x:v>0</x:v>
      </x:c>
      <x:c r="Z1816" t="n">
        <x:v>0</x:v>
      </x:c>
      <x:c r="AA1816" t="n">
        <x:v>0</x:v>
      </x:c>
      <x:c r="AB1816"/>
      <x:c r="AC1816" t="n">
        <x:v>0</x:v>
      </x:c>
      <x:c r="AD1816" t="n">
        <x:v>-1.5256650772644207</x:v>
      </x:c>
      <x:c r="AE1816" t="n">
        <x:v>0</x:v>
      </x:c>
      <x:c r="AF1816" t="n">
        <x:v>-0.02253742143511772</x:v>
      </x:c>
      <x:c r="AG1816" t="n">
        <x:f>_xlfn.XLOOKUP($A1816,Games!$A$2:$A$18,Games!$B$2:$B$18,"Missing game",0)</x:f>
        <x:v>2025</x:v>
      </x:c>
      <x:c r="AH1816" t="str">
        <x:f>_xlfn.XLOOKUP($A1816,Games!$A$2:$A$18,Games!$C$2:$C$18,"Missing game",0)</x:f>
        <x:v>REG</x:v>
      </x:c>
      <x:c r="AI1816" t="n">
        <x:f>_xlfn.XLOOKUP($A1816,Games!$A$2:$A$18,Games!$D$2:$D$18,"Missing game",0)</x:f>
        <x:v>12</x:v>
      </x:c>
      <x:c r="AJ1816" s="1" t="n">
        <x:f>_xlfn.XLOOKUP($A1816,Games!$A$2:$A$18,Games!$E$2:$E$18,"Missing game",0)</x:f>
        <x:v>45984</x:v>
      </x:c>
      <x:c r="AK1816" t="str">
        <x:f>_xlfn.XLOOKUP($A1816,Games!$A$2:$A$18,Games!$F$2:$F$18,"Missing game",0)</x:f>
        <x:v>Sunday</x:v>
      </x:c>
      <x:c r="AL1816" t="str">
        <x:f>_xlfn.XLOOKUP($A1816,Games!$A$2:$A$18,Games!$G$2:$G$18,"Missing game",0)</x:f>
        <x:v>MIN</x:v>
      </x:c>
      <x:c r="AM1816" t="n">
        <x:f>_xlfn.XLOOKUP($A1816,Games!$A$2:$A$18,Games!$H$2:$H$18,"Missing game",0)</x:f>
        <x:v>6</x:v>
      </x:c>
      <x:c r="AN1816" t="str">
        <x:f>_xlfn.XLOOKUP($A1816,Games!$A$2:$A$18,Games!$I$2:$I$18,"Missing game",0)</x:f>
        <x:v>GB</x:v>
      </x:c>
      <x:c r="AO1816" t="n">
        <x:f>_xlfn.XLOOKUP($A1816,Games!$A$2:$A$18,Games!$J$2:$J$18,"Missing game",0)</x:f>
        <x:v>23</x:v>
      </x:c>
      <x:c r="AP1816" t="n">
        <x:f>_xlfn.XLOOKUP($A1816,Games!$A$2:$A$18,Games!$K$2:$K$18,"Missing game",0)</x:f>
        <x:v>17</x:v>
      </x:c>
      <x:c r="AQ1816" t="n">
        <x:f>_xlfn.XLOOKUP($A1816,Games!$A$2:$A$18,Games!$L$2:$L$18,"Missing game",0)</x:f>
        <x:v>29</x:v>
      </x:c>
      <x:c r="AR1816" t="n">
        <x:f>_xlfn.XLOOKUP($A1816,Games!$A$2:$A$18,Games!$M$2:$M$18,"Missing game",0)</x:f>
        <x:v>0</x:v>
      </x:c>
      <x:c r="AS1816" t="str">
        <x:f>_xlfn.XLOOKUP($A1816,Games!$A$2:$A$18,Games!$N$2:$N$18,"Missing game",0)</x:f>
        <x:v>outdoors</x:v>
      </x:c>
      <x:c r="AT1816" t="str">
        <x:f>_xlfn.XLOOKUP($A1816,Games!$A$2:$A$18,Games!$O$2:$O$18,"Missing game",0)</x:f>
        <x:v>grass</x:v>
      </x:c>
      <x:c r="AU1816" t="n">
        <x:f>_xlfn.XLOOKUP($A1816,Games!$A$2:$A$18,Games!$P$2:$P$18,"Missing game",0)</x:f>
        <x:v>43</x:v>
      </x:c>
      <x:c r="AV1816" t="n">
        <x:f>_xlfn.XLOOKUP($A1816,Games!$A$2:$A$18,Games!$Q$2:$Q$18,"Missing game",0)</x:f>
        <x:v>10</x:v>
      </x:c>
      <x:c r="AW1816" t="str">
        <x:f>_xlfn.XLOOKUP($A1816,Games!$A$2:$A$18,Games!$R$2:$R$18,"Missing game",0)</x:f>
        <x:v>Lambeau Field</x:v>
      </x:c>
    </x:row>
    <x:row r="1817">
      <x:c r="A1817" t="str">
        <x:v>2025_12_MIN_GB</x:v>
      </x:c>
      <x:c r="B1817" t="n">
        <x:v>2515</x:v>
      </x:c>
      <x:c r="C1817" t="n">
        <x:v>3</x:v>
      </x:c>
      <x:c r="D1817" t="str">
        <x:v>02:17</x:v>
      </x:c>
      <x:c r="E1817" t="n">
        <x:v>4</x:v>
      </x:c>
      <x:c r="F1817" t="n">
        <x:v>22</x:v>
      </x:c>
      <x:c r="G1817" t="str">
        <x:v>MIN</x:v>
      </x:c>
      <x:c r="H1817" t="str">
        <x:v>GB</x:v>
      </x:c>
      <x:c r="I1817" t="str">
        <x:v>MIN</x:v>
      </x:c>
      <x:c r="J1817" t="n">
        <x:v>99</x:v>
      </x:c>
      <x:c r="K1817" t="str">
        <x:v>(2:17) 17-R.Wright punts 59 yards to GB 40, Center-42-A.DePaola. 87-R.Doubs to GB 45 for 5 yards (26-T.Jackson).</x:v>
      </x:c>
      <x:c r="L1817" t="str">
        <x:v>punt</x:v>
      </x:c>
      <x:c r="M1817" t="n">
        <x:v>0</x:v>
      </x:c>
      <x:c r="N1817" t="n">
        <x:v>0</x:v>
      </x:c>
      <x:c r="O1817" t="n">
        <x:v>0</x:v>
      </x:c>
      <x:c r="P1817"/>
      <x:c r="Q1817"/>
      <x:c r="R1817"/>
      <x:c r="S1817"/>
      <x:c r="T1817"/>
      <x:c r="U1817"/>
      <x:c r="V1817" t="n">
        <x:v>0</x:v>
      </x:c>
      <x:c r="W1817" t="n">
        <x:v>0</x:v>
      </x:c>
      <x:c r="X1817" t="n">
        <x:v>0</x:v>
      </x:c>
      <x:c r="Y1817" t="n">
        <x:v>0</x:v>
      </x:c>
      <x:c r="Z1817" t="n">
        <x:v>0</x:v>
      </x:c>
      <x:c r="AA1817" t="n">
        <x:v>0</x:v>
      </x:c>
      <x:c r="AB1817"/>
      <x:c r="AC1817" t="n">
        <x:v>0</x:v>
      </x:c>
      <x:c r="AD1817" t="n">
        <x:v>0.9678393614012748</x:v>
      </x:c>
      <x:c r="AE1817" t="n">
        <x:v>1</x:v>
      </x:c>
      <x:c r="AF1817" t="n">
        <x:v>0.02069658413529396</x:v>
      </x:c>
      <x:c r="AG1817" t="n">
        <x:f>_xlfn.XLOOKUP($A1817,Games!$A$2:$A$18,Games!$B$2:$B$18,"Missing game",0)</x:f>
        <x:v>2025</x:v>
      </x:c>
      <x:c r="AH1817" t="str">
        <x:f>_xlfn.XLOOKUP($A1817,Games!$A$2:$A$18,Games!$C$2:$C$18,"Missing game",0)</x:f>
        <x:v>REG</x:v>
      </x:c>
      <x:c r="AI1817" t="n">
        <x:f>_xlfn.XLOOKUP($A1817,Games!$A$2:$A$18,Games!$D$2:$D$18,"Missing game",0)</x:f>
        <x:v>12</x:v>
      </x:c>
      <x:c r="AJ1817" s="1" t="n">
        <x:f>_xlfn.XLOOKUP($A1817,Games!$A$2:$A$18,Games!$E$2:$E$18,"Missing game",0)</x:f>
        <x:v>45984</x:v>
      </x:c>
      <x:c r="AK1817" t="str">
        <x:f>_xlfn.XLOOKUP($A1817,Games!$A$2:$A$18,Games!$F$2:$F$18,"Missing game",0)</x:f>
        <x:v>Sunday</x:v>
      </x:c>
      <x:c r="AL1817" t="str">
        <x:f>_xlfn.XLOOKUP($A1817,Games!$A$2:$A$18,Games!$G$2:$G$18,"Missing game",0)</x:f>
        <x:v>MIN</x:v>
      </x:c>
      <x:c r="AM1817" t="n">
        <x:f>_xlfn.XLOOKUP($A1817,Games!$A$2:$A$18,Games!$H$2:$H$18,"Missing game",0)</x:f>
        <x:v>6</x:v>
      </x:c>
      <x:c r="AN1817" t="str">
        <x:f>_xlfn.XLOOKUP($A1817,Games!$A$2:$A$18,Games!$I$2:$I$18,"Missing game",0)</x:f>
        <x:v>GB</x:v>
      </x:c>
      <x:c r="AO1817" t="n">
        <x:f>_xlfn.XLOOKUP($A1817,Games!$A$2:$A$18,Games!$J$2:$J$18,"Missing game",0)</x:f>
        <x:v>23</x:v>
      </x:c>
      <x:c r="AP1817" t="n">
        <x:f>_xlfn.XLOOKUP($A1817,Games!$A$2:$A$18,Games!$K$2:$K$18,"Missing game",0)</x:f>
        <x:v>17</x:v>
      </x:c>
      <x:c r="AQ1817" t="n">
        <x:f>_xlfn.XLOOKUP($A1817,Games!$A$2:$A$18,Games!$L$2:$L$18,"Missing game",0)</x:f>
        <x:v>29</x:v>
      </x:c>
      <x:c r="AR1817" t="n">
        <x:f>_xlfn.XLOOKUP($A1817,Games!$A$2:$A$18,Games!$M$2:$M$18,"Missing game",0)</x:f>
        <x:v>0</x:v>
      </x:c>
      <x:c r="AS1817" t="str">
        <x:f>_xlfn.XLOOKUP($A1817,Games!$A$2:$A$18,Games!$N$2:$N$18,"Missing game",0)</x:f>
        <x:v>outdoors</x:v>
      </x:c>
      <x:c r="AT1817" t="str">
        <x:f>_xlfn.XLOOKUP($A1817,Games!$A$2:$A$18,Games!$O$2:$O$18,"Missing game",0)</x:f>
        <x:v>grass</x:v>
      </x:c>
      <x:c r="AU1817" t="n">
        <x:f>_xlfn.XLOOKUP($A1817,Games!$A$2:$A$18,Games!$P$2:$P$18,"Missing game",0)</x:f>
        <x:v>43</x:v>
      </x:c>
      <x:c r="AV1817" t="n">
        <x:f>_xlfn.XLOOKUP($A1817,Games!$A$2:$A$18,Games!$Q$2:$Q$18,"Missing game",0)</x:f>
        <x:v>10</x:v>
      </x:c>
      <x:c r="AW1817" t="str">
        <x:f>_xlfn.XLOOKUP($A1817,Games!$A$2:$A$18,Games!$R$2:$R$18,"Missing game",0)</x:f>
        <x:v>Lambeau Field</x:v>
      </x:c>
    </x:row>
    <x:row r="1818">
      <x:c r="A1818" t="str">
        <x:v>2025_12_MIN_GB</x:v>
      </x:c>
      <x:c r="B1818" t="n">
        <x:v>2541</x:v>
      </x:c>
      <x:c r="C1818" t="n">
        <x:v>3</x:v>
      </x:c>
      <x:c r="D1818" t="str">
        <x:v>02:05</x:v>
      </x:c>
      <x:c r="E1818" t="n">
        <x:v>1</x:v>
      </x:c>
      <x:c r="F1818" t="n">
        <x:v>10</x:v>
      </x:c>
      <x:c r="G1818" t="str">
        <x:v>GB</x:v>
      </x:c>
      <x:c r="H1818" t="str">
        <x:v>MIN</x:v>
      </x:c>
      <x:c r="I1818" t="str">
        <x:v>GB</x:v>
      </x:c>
      <x:c r="J1818" t="n">
        <x:v>55</x:v>
      </x:c>
      <x:c r="K1818" t="str">
        <x:v>(2:05) (Shotgun) 23-E.Wilson left guard to MIN 43 for 12 yards (26-T.Jackson; 44-J.Metellus). ** Injury Update: MIN-44-J.Metellus has returned to the game.</x:v>
      </x:c>
      <x:c r="L1818" t="str">
        <x:v>run</x:v>
      </x:c>
      <x:c r="M1818" t="n">
        <x:v>12</x:v>
      </x:c>
      <x:c r="N1818" t="n">
        <x:v>1</x:v>
      </x:c>
      <x:c r="O1818" t="n">
        <x:v>0</x:v>
      </x:c>
      <x:c r="P1818"/>
      <x:c r="Q1818"/>
      <x:c r="R1818"/>
      <x:c r="S1818"/>
      <x:c r="T1818" t="str">
        <x:v>left</x:v>
      </x:c>
      <x:c r="U1818" t="str">
        <x:v>guard</x:v>
      </x:c>
      <x:c r="V1818" t="n">
        <x:v>0</x:v>
      </x:c>
      <x:c r="W1818" t="n">
        <x:v>1</x:v>
      </x:c>
      <x:c r="X1818" t="n">
        <x:v>0</x:v>
      </x:c>
      <x:c r="Y1818" t="n">
        <x:v>0</x:v>
      </x:c>
      <x:c r="Z1818" t="n">
        <x:v>0</x:v>
      </x:c>
      <x:c r="AA1818" t="n">
        <x:v>0</x:v>
      </x:c>
      <x:c r="AB1818"/>
      <x:c r="AC1818" t="n">
        <x:v>0</x:v>
      </x:c>
      <x:c r="AD1818" t="n">
        <x:v>0.6437872793758288</x:v>
      </x:c>
      <x:c r="AE1818" t="n">
        <x:v>1</x:v>
      </x:c>
      <x:c r="AF1818" t="n">
        <x:v>0.014796972274780273</x:v>
      </x:c>
      <x:c r="AG1818" t="n">
        <x:f>_xlfn.XLOOKUP($A1818,Games!$A$2:$A$18,Games!$B$2:$B$18,"Missing game",0)</x:f>
        <x:v>2025</x:v>
      </x:c>
      <x:c r="AH1818" t="str">
        <x:f>_xlfn.XLOOKUP($A1818,Games!$A$2:$A$18,Games!$C$2:$C$18,"Missing game",0)</x:f>
        <x:v>REG</x:v>
      </x:c>
      <x:c r="AI1818" t="n">
        <x:f>_xlfn.XLOOKUP($A1818,Games!$A$2:$A$18,Games!$D$2:$D$18,"Missing game",0)</x:f>
        <x:v>12</x:v>
      </x:c>
      <x:c r="AJ1818" s="1" t="n">
        <x:f>_xlfn.XLOOKUP($A1818,Games!$A$2:$A$18,Games!$E$2:$E$18,"Missing game",0)</x:f>
        <x:v>45984</x:v>
      </x:c>
      <x:c r="AK1818" t="str">
        <x:f>_xlfn.XLOOKUP($A1818,Games!$A$2:$A$18,Games!$F$2:$F$18,"Missing game",0)</x:f>
        <x:v>Sunday</x:v>
      </x:c>
      <x:c r="AL1818" t="str">
        <x:f>_xlfn.XLOOKUP($A1818,Games!$A$2:$A$18,Games!$G$2:$G$18,"Missing game",0)</x:f>
        <x:v>MIN</x:v>
      </x:c>
      <x:c r="AM1818" t="n">
        <x:f>_xlfn.XLOOKUP($A1818,Games!$A$2:$A$18,Games!$H$2:$H$18,"Missing game",0)</x:f>
        <x:v>6</x:v>
      </x:c>
      <x:c r="AN1818" t="str">
        <x:f>_xlfn.XLOOKUP($A1818,Games!$A$2:$A$18,Games!$I$2:$I$18,"Missing game",0)</x:f>
        <x:v>GB</x:v>
      </x:c>
      <x:c r="AO1818" t="n">
        <x:f>_xlfn.XLOOKUP($A1818,Games!$A$2:$A$18,Games!$J$2:$J$18,"Missing game",0)</x:f>
        <x:v>23</x:v>
      </x:c>
      <x:c r="AP1818" t="n">
        <x:f>_xlfn.XLOOKUP($A1818,Games!$A$2:$A$18,Games!$K$2:$K$18,"Missing game",0)</x:f>
        <x:v>17</x:v>
      </x:c>
      <x:c r="AQ1818" t="n">
        <x:f>_xlfn.XLOOKUP($A1818,Games!$A$2:$A$18,Games!$L$2:$L$18,"Missing game",0)</x:f>
        <x:v>29</x:v>
      </x:c>
      <x:c r="AR1818" t="n">
        <x:f>_xlfn.XLOOKUP($A1818,Games!$A$2:$A$18,Games!$M$2:$M$18,"Missing game",0)</x:f>
        <x:v>0</x:v>
      </x:c>
      <x:c r="AS1818" t="str">
        <x:f>_xlfn.XLOOKUP($A1818,Games!$A$2:$A$18,Games!$N$2:$N$18,"Missing game",0)</x:f>
        <x:v>outdoors</x:v>
      </x:c>
      <x:c r="AT1818" t="str">
        <x:f>_xlfn.XLOOKUP($A1818,Games!$A$2:$A$18,Games!$O$2:$O$18,"Missing game",0)</x:f>
        <x:v>grass</x:v>
      </x:c>
      <x:c r="AU1818" t="n">
        <x:f>_xlfn.XLOOKUP($A1818,Games!$A$2:$A$18,Games!$P$2:$P$18,"Missing game",0)</x:f>
        <x:v>43</x:v>
      </x:c>
      <x:c r="AV1818" t="n">
        <x:f>_xlfn.XLOOKUP($A1818,Games!$A$2:$A$18,Games!$Q$2:$Q$18,"Missing game",0)</x:f>
        <x:v>10</x:v>
      </x:c>
      <x:c r="AW1818" t="str">
        <x:f>_xlfn.XLOOKUP($A1818,Games!$A$2:$A$18,Games!$R$2:$R$18,"Missing game",0)</x:f>
        <x:v>Lambeau Field</x:v>
      </x:c>
    </x:row>
    <x:row r="1819">
      <x:c r="A1819" t="str">
        <x:v>2025_12_MIN_GB</x:v>
      </x:c>
      <x:c r="B1819" t="n">
        <x:v>2570</x:v>
      </x:c>
      <x:c r="C1819" t="n">
        <x:v>3</x:v>
      </x:c>
      <x:c r="D1819" t="str">
        <x:v>01:22</x:v>
      </x:c>
      <x:c r="E1819" t="n">
        <x:v>1</x:v>
      </x:c>
      <x:c r="F1819" t="n">
        <x:v>10</x:v>
      </x:c>
      <x:c r="G1819" t="str">
        <x:v>GB</x:v>
      </x:c>
      <x:c r="H1819" t="str">
        <x:v>MIN</x:v>
      </x:c>
      <x:c r="I1819" t="str">
        <x:v>MIN</x:v>
      </x:c>
      <x:c r="J1819" t="n">
        <x:v>43</x:v>
      </x:c>
      <x:c r="K1819" t="str">
        <x:v>(1:22) (Shotgun) 70-D.Kinnard reported in as eligible. 23-E.Wilson up the middle to MIN 37 for 6 yards (93-J.Allen).</x:v>
      </x:c>
      <x:c r="L1819" t="str">
        <x:v>run</x:v>
      </x:c>
      <x:c r="M1819" t="n">
        <x:v>6</x:v>
      </x:c>
      <x:c r="N1819" t="n">
        <x:v>1</x:v>
      </x:c>
      <x:c r="O1819" t="n">
        <x:v>0</x:v>
      </x:c>
      <x:c r="P1819"/>
      <x:c r="Q1819"/>
      <x:c r="R1819"/>
      <x:c r="S1819"/>
      <x:c r="T1819" t="str">
        <x:v>middle</x:v>
      </x:c>
      <x:c r="U1819"/>
      <x:c r="V1819" t="n">
        <x:v>0</x:v>
      </x:c>
      <x:c r="W1819" t="n">
        <x:v>0</x:v>
      </x:c>
      <x:c r="X1819" t="n">
        <x:v>0</x:v>
      </x:c>
      <x:c r="Y1819" t="n">
        <x:v>0</x:v>
      </x:c>
      <x:c r="Z1819" t="n">
        <x:v>0</x:v>
      </x:c>
      <x:c r="AA1819" t="n">
        <x:v>0</x:v>
      </x:c>
      <x:c r="AB1819"/>
      <x:c r="AC1819" t="n">
        <x:v>0</x:v>
      </x:c>
      <x:c r="AD1819" t="n">
        <x:v>0.2524511170340702</x:v>
      </x:c>
      <x:c r="AE1819" t="n">
        <x:v>1</x:v>
      </x:c>
      <x:c r="AF1819" t="n">
        <x:v>-0.00037348270416259766</x:v>
      </x:c>
      <x:c r="AG1819" t="n">
        <x:f>_xlfn.XLOOKUP($A1819,Games!$A$2:$A$18,Games!$B$2:$B$18,"Missing game",0)</x:f>
        <x:v>2025</x:v>
      </x:c>
      <x:c r="AH1819" t="str">
        <x:f>_xlfn.XLOOKUP($A1819,Games!$A$2:$A$18,Games!$C$2:$C$18,"Missing game",0)</x:f>
        <x:v>REG</x:v>
      </x:c>
      <x:c r="AI1819" t="n">
        <x:f>_xlfn.XLOOKUP($A1819,Games!$A$2:$A$18,Games!$D$2:$D$18,"Missing game",0)</x:f>
        <x:v>12</x:v>
      </x:c>
      <x:c r="AJ1819" s="1" t="n">
        <x:f>_xlfn.XLOOKUP($A1819,Games!$A$2:$A$18,Games!$E$2:$E$18,"Missing game",0)</x:f>
        <x:v>45984</x:v>
      </x:c>
      <x:c r="AK1819" t="str">
        <x:f>_xlfn.XLOOKUP($A1819,Games!$A$2:$A$18,Games!$F$2:$F$18,"Missing game",0)</x:f>
        <x:v>Sunday</x:v>
      </x:c>
      <x:c r="AL1819" t="str">
        <x:f>_xlfn.XLOOKUP($A1819,Games!$A$2:$A$18,Games!$G$2:$G$18,"Missing game",0)</x:f>
        <x:v>MIN</x:v>
      </x:c>
      <x:c r="AM1819" t="n">
        <x:f>_xlfn.XLOOKUP($A1819,Games!$A$2:$A$18,Games!$H$2:$H$18,"Missing game",0)</x:f>
        <x:v>6</x:v>
      </x:c>
      <x:c r="AN1819" t="str">
        <x:f>_xlfn.XLOOKUP($A1819,Games!$A$2:$A$18,Games!$I$2:$I$18,"Missing game",0)</x:f>
        <x:v>GB</x:v>
      </x:c>
      <x:c r="AO1819" t="n">
        <x:f>_xlfn.XLOOKUP($A1819,Games!$A$2:$A$18,Games!$J$2:$J$18,"Missing game",0)</x:f>
        <x:v>23</x:v>
      </x:c>
      <x:c r="AP1819" t="n">
        <x:f>_xlfn.XLOOKUP($A1819,Games!$A$2:$A$18,Games!$K$2:$K$18,"Missing game",0)</x:f>
        <x:v>17</x:v>
      </x:c>
      <x:c r="AQ1819" t="n">
        <x:f>_xlfn.XLOOKUP($A1819,Games!$A$2:$A$18,Games!$L$2:$L$18,"Missing game",0)</x:f>
        <x:v>29</x:v>
      </x:c>
      <x:c r="AR1819" t="n">
        <x:f>_xlfn.XLOOKUP($A1819,Games!$A$2:$A$18,Games!$M$2:$M$18,"Missing game",0)</x:f>
        <x:v>0</x:v>
      </x:c>
      <x:c r="AS1819" t="str">
        <x:f>_xlfn.XLOOKUP($A1819,Games!$A$2:$A$18,Games!$N$2:$N$18,"Missing game",0)</x:f>
        <x:v>outdoors</x:v>
      </x:c>
      <x:c r="AT1819" t="str">
        <x:f>_xlfn.XLOOKUP($A1819,Games!$A$2:$A$18,Games!$O$2:$O$18,"Missing game",0)</x:f>
        <x:v>grass</x:v>
      </x:c>
      <x:c r="AU1819" t="n">
        <x:f>_xlfn.XLOOKUP($A1819,Games!$A$2:$A$18,Games!$P$2:$P$18,"Missing game",0)</x:f>
        <x:v>43</x:v>
      </x:c>
      <x:c r="AV1819" t="n">
        <x:f>_xlfn.XLOOKUP($A1819,Games!$A$2:$A$18,Games!$Q$2:$Q$18,"Missing game",0)</x:f>
        <x:v>10</x:v>
      </x:c>
      <x:c r="AW1819" t="str">
        <x:f>_xlfn.XLOOKUP($A1819,Games!$A$2:$A$18,Games!$R$2:$R$18,"Missing game",0)</x:f>
        <x:v>Lambeau Field</x:v>
      </x:c>
    </x:row>
    <x:row r="1820">
      <x:c r="A1820" t="str">
        <x:v>2025_12_MIN_GB</x:v>
      </x:c>
      <x:c r="B1820" t="n">
        <x:v>2597</x:v>
      </x:c>
      <x:c r="C1820" t="n">
        <x:v>3</x:v>
      </x:c>
      <x:c r="D1820" t="str">
        <x:v>00:37</x:v>
      </x:c>
      <x:c r="E1820" t="n">
        <x:v>2</x:v>
      </x:c>
      <x:c r="F1820" t="n">
        <x:v>4</x:v>
      </x:c>
      <x:c r="G1820" t="str">
        <x:v>GB</x:v>
      </x:c>
      <x:c r="H1820" t="str">
        <x:v>MIN</x:v>
      </x:c>
      <x:c r="I1820" t="str">
        <x:v>MIN</x:v>
      </x:c>
      <x:c r="J1820" t="n">
        <x:v>37</x:v>
      </x:c>
      <x:c r="K1820" t="str">
        <x:v>(:37) (Shotgun) 23-E.Wilson right guard to MIN 29 for 8 yards (44-J.Metellus).</x:v>
      </x:c>
      <x:c r="L1820" t="str">
        <x:v>run</x:v>
      </x:c>
      <x:c r="M1820" t="n">
        <x:v>8</x:v>
      </x:c>
      <x:c r="N1820" t="n">
        <x:v>1</x:v>
      </x:c>
      <x:c r="O1820" t="n">
        <x:v>0</x:v>
      </x:c>
      <x:c r="P1820"/>
      <x:c r="Q1820"/>
      <x:c r="R1820"/>
      <x:c r="S1820"/>
      <x:c r="T1820" t="str">
        <x:v>right</x:v>
      </x:c>
      <x:c r="U1820" t="str">
        <x:v>guard</x:v>
      </x:c>
      <x:c r="V1820" t="n">
        <x:v>0</x:v>
      </x:c>
      <x:c r="W1820" t="n">
        <x:v>1</x:v>
      </x:c>
      <x:c r="X1820" t="n">
        <x:v>0</x:v>
      </x:c>
      <x:c r="Y1820" t="n">
        <x:v>0</x:v>
      </x:c>
      <x:c r="Z1820" t="n">
        <x:v>0</x:v>
      </x:c>
      <x:c r="AA1820" t="n">
        <x:v>0</x:v>
      </x:c>
      <x:c r="AB1820"/>
      <x:c r="AC1820" t="n">
        <x:v>0</x:v>
      </x:c>
      <x:c r="AD1820" t="n">
        <x:v>0.6926446894649416</x:v>
      </x:c>
      <x:c r="AE1820" t="n">
        <x:v>1</x:v>
      </x:c>
      <x:c r="AF1820" t="n">
        <x:v>0.0035826563835144043</x:v>
      </x:c>
      <x:c r="AG1820" t="n">
        <x:f>_xlfn.XLOOKUP($A1820,Games!$A$2:$A$18,Games!$B$2:$B$18,"Missing game",0)</x:f>
        <x:v>2025</x:v>
      </x:c>
      <x:c r="AH1820" t="str">
        <x:f>_xlfn.XLOOKUP($A1820,Games!$A$2:$A$18,Games!$C$2:$C$18,"Missing game",0)</x:f>
        <x:v>REG</x:v>
      </x:c>
      <x:c r="AI1820" t="n">
        <x:f>_xlfn.XLOOKUP($A1820,Games!$A$2:$A$18,Games!$D$2:$D$18,"Missing game",0)</x:f>
        <x:v>12</x:v>
      </x:c>
      <x:c r="AJ1820" s="1" t="n">
        <x:f>_xlfn.XLOOKUP($A1820,Games!$A$2:$A$18,Games!$E$2:$E$18,"Missing game",0)</x:f>
        <x:v>45984</x:v>
      </x:c>
      <x:c r="AK1820" t="str">
        <x:f>_xlfn.XLOOKUP($A1820,Games!$A$2:$A$18,Games!$F$2:$F$18,"Missing game",0)</x:f>
        <x:v>Sunday</x:v>
      </x:c>
      <x:c r="AL1820" t="str">
        <x:f>_xlfn.XLOOKUP($A1820,Games!$A$2:$A$18,Games!$G$2:$G$18,"Missing game",0)</x:f>
        <x:v>MIN</x:v>
      </x:c>
      <x:c r="AM1820" t="n">
        <x:f>_xlfn.XLOOKUP($A1820,Games!$A$2:$A$18,Games!$H$2:$H$18,"Missing game",0)</x:f>
        <x:v>6</x:v>
      </x:c>
      <x:c r="AN1820" t="str">
        <x:f>_xlfn.XLOOKUP($A1820,Games!$A$2:$A$18,Games!$I$2:$I$18,"Missing game",0)</x:f>
        <x:v>GB</x:v>
      </x:c>
      <x:c r="AO1820" t="n">
        <x:f>_xlfn.XLOOKUP($A1820,Games!$A$2:$A$18,Games!$J$2:$J$18,"Missing game",0)</x:f>
        <x:v>23</x:v>
      </x:c>
      <x:c r="AP1820" t="n">
        <x:f>_xlfn.XLOOKUP($A1820,Games!$A$2:$A$18,Games!$K$2:$K$18,"Missing game",0)</x:f>
        <x:v>17</x:v>
      </x:c>
      <x:c r="AQ1820" t="n">
        <x:f>_xlfn.XLOOKUP($A1820,Games!$A$2:$A$18,Games!$L$2:$L$18,"Missing game",0)</x:f>
        <x:v>29</x:v>
      </x:c>
      <x:c r="AR1820" t="n">
        <x:f>_xlfn.XLOOKUP($A1820,Games!$A$2:$A$18,Games!$M$2:$M$18,"Missing game",0)</x:f>
        <x:v>0</x:v>
      </x:c>
      <x:c r="AS1820" t="str">
        <x:f>_xlfn.XLOOKUP($A1820,Games!$A$2:$A$18,Games!$N$2:$N$18,"Missing game",0)</x:f>
        <x:v>outdoors</x:v>
      </x:c>
      <x:c r="AT1820" t="str">
        <x:f>_xlfn.XLOOKUP($A1820,Games!$A$2:$A$18,Games!$O$2:$O$18,"Missing game",0)</x:f>
        <x:v>grass</x:v>
      </x:c>
      <x:c r="AU1820" t="n">
        <x:f>_xlfn.XLOOKUP($A1820,Games!$A$2:$A$18,Games!$P$2:$P$18,"Missing game",0)</x:f>
        <x:v>43</x:v>
      </x:c>
      <x:c r="AV1820" t="n">
        <x:f>_xlfn.XLOOKUP($A1820,Games!$A$2:$A$18,Games!$Q$2:$Q$18,"Missing game",0)</x:f>
        <x:v>10</x:v>
      </x:c>
      <x:c r="AW1820" t="str">
        <x:f>_xlfn.XLOOKUP($A1820,Games!$A$2:$A$18,Games!$R$2:$R$18,"Missing game",0)</x:f>
        <x:v>Lambeau Field</x:v>
      </x:c>
    </x:row>
    <x:row r="1821">
      <x:c r="A1821" t="str">
        <x:v>2025_12_MIN_GB</x:v>
      </x:c>
      <x:c r="B1821" t="n">
        <x:v>2619</x:v>
      </x:c>
      <x:c r="C1821" t="n">
        <x:v>3</x:v>
      </x:c>
      <x:c r="D1821" t="str">
        <x:v>00:00</x:v>
      </x:c>
      <x:c r="E1821"/>
      <x:c r="F1821" t="n">
        <x:v>0</x:v>
      </x:c>
      <x:c r="G1821" t="str">
        <x:v>GB</x:v>
      </x:c>
      <x:c r="H1821" t="str">
        <x:v>MIN</x:v>
      </x:c>
      <x:c r="I1821"/>
      <x:c r="J1821"/>
      <x:c r="K1821" t="str">
        <x:v>END QUARTER 3</x:v>
      </x:c>
      <x:c r="L1821"/>
      <x:c r="M1821"/>
      <x:c r="N1821" t="n">
        <x:v>0</x:v>
      </x:c>
      <x:c r="O1821" t="n">
        <x:v>0</x:v>
      </x:c>
      <x:c r="P1821"/>
      <x:c r="Q1821"/>
      <x:c r="R1821"/>
      <x:c r="S1821"/>
      <x:c r="T1821"/>
      <x:c r="U1821"/>
      <x:c r="V1821"/>
      <x:c r="W1821"/>
      <x:c r="X1821"/>
      <x:c r="Y1821"/>
      <x:c r="Z1821"/>
      <x:c r="AA1821"/>
      <x:c r="AB1821"/>
      <x:c r="AC1821"/>
      <x:c r="AD1821" t="n">
        <x:v>0</x:v>
      </x:c>
      <x:c r="AE1821" t="n">
        <x:v>0</x:v>
      </x:c>
      <x:c r="AF1821" t="n">
        <x:v>0</x:v>
      </x:c>
      <x:c r="AG1821" t="n">
        <x:f>_xlfn.XLOOKUP($A1821,Games!$A$2:$A$18,Games!$B$2:$B$18,"Missing game",0)</x:f>
        <x:v>2025</x:v>
      </x:c>
      <x:c r="AH1821" t="str">
        <x:f>_xlfn.XLOOKUP($A1821,Games!$A$2:$A$18,Games!$C$2:$C$18,"Missing game",0)</x:f>
        <x:v>REG</x:v>
      </x:c>
      <x:c r="AI1821" t="n">
        <x:f>_xlfn.XLOOKUP($A1821,Games!$A$2:$A$18,Games!$D$2:$D$18,"Missing game",0)</x:f>
        <x:v>12</x:v>
      </x:c>
      <x:c r="AJ1821" s="1" t="n">
        <x:f>_xlfn.XLOOKUP($A1821,Games!$A$2:$A$18,Games!$E$2:$E$18,"Missing game",0)</x:f>
        <x:v>45984</x:v>
      </x:c>
      <x:c r="AK1821" t="str">
        <x:f>_xlfn.XLOOKUP($A1821,Games!$A$2:$A$18,Games!$F$2:$F$18,"Missing game",0)</x:f>
        <x:v>Sunday</x:v>
      </x:c>
      <x:c r="AL1821" t="str">
        <x:f>_xlfn.XLOOKUP($A1821,Games!$A$2:$A$18,Games!$G$2:$G$18,"Missing game",0)</x:f>
        <x:v>MIN</x:v>
      </x:c>
      <x:c r="AM1821" t="n">
        <x:f>_xlfn.XLOOKUP($A1821,Games!$A$2:$A$18,Games!$H$2:$H$18,"Missing game",0)</x:f>
        <x:v>6</x:v>
      </x:c>
      <x:c r="AN1821" t="str">
        <x:f>_xlfn.XLOOKUP($A1821,Games!$A$2:$A$18,Games!$I$2:$I$18,"Missing game",0)</x:f>
        <x:v>GB</x:v>
      </x:c>
      <x:c r="AO1821" t="n">
        <x:f>_xlfn.XLOOKUP($A1821,Games!$A$2:$A$18,Games!$J$2:$J$18,"Missing game",0)</x:f>
        <x:v>23</x:v>
      </x:c>
      <x:c r="AP1821" t="n">
        <x:f>_xlfn.XLOOKUP($A1821,Games!$A$2:$A$18,Games!$K$2:$K$18,"Missing game",0)</x:f>
        <x:v>17</x:v>
      </x:c>
      <x:c r="AQ1821" t="n">
        <x:f>_xlfn.XLOOKUP($A1821,Games!$A$2:$A$18,Games!$L$2:$L$18,"Missing game",0)</x:f>
        <x:v>29</x:v>
      </x:c>
      <x:c r="AR1821" t="n">
        <x:f>_xlfn.XLOOKUP($A1821,Games!$A$2:$A$18,Games!$M$2:$M$18,"Missing game",0)</x:f>
        <x:v>0</x:v>
      </x:c>
      <x:c r="AS1821" t="str">
        <x:f>_xlfn.XLOOKUP($A1821,Games!$A$2:$A$18,Games!$N$2:$N$18,"Missing game",0)</x:f>
        <x:v>outdoors</x:v>
      </x:c>
      <x:c r="AT1821" t="str">
        <x:f>_xlfn.XLOOKUP($A1821,Games!$A$2:$A$18,Games!$O$2:$O$18,"Missing game",0)</x:f>
        <x:v>grass</x:v>
      </x:c>
      <x:c r="AU1821" t="n">
        <x:f>_xlfn.XLOOKUP($A1821,Games!$A$2:$A$18,Games!$P$2:$P$18,"Missing game",0)</x:f>
        <x:v>43</x:v>
      </x:c>
      <x:c r="AV1821" t="n">
        <x:f>_xlfn.XLOOKUP($A1821,Games!$A$2:$A$18,Games!$Q$2:$Q$18,"Missing game",0)</x:f>
        <x:v>10</x:v>
      </x:c>
      <x:c r="AW1821" t="str">
        <x:f>_xlfn.XLOOKUP($A1821,Games!$A$2:$A$18,Games!$R$2:$R$18,"Missing game",0)</x:f>
        <x:v>Lambeau Field</x:v>
      </x:c>
    </x:row>
    <x:row r="1822">
      <x:c r="A1822" t="str">
        <x:v>2025_12_MIN_GB</x:v>
      </x:c>
      <x:c r="B1822" t="n">
        <x:v>2639</x:v>
      </x:c>
      <x:c r="C1822" t="n">
        <x:v>4</x:v>
      </x:c>
      <x:c r="D1822" t="str">
        <x:v>15:00</x:v>
      </x:c>
      <x:c r="E1822" t="n">
        <x:v>1</x:v>
      </x:c>
      <x:c r="F1822" t="n">
        <x:v>10</x:v>
      </x:c>
      <x:c r="G1822" t="str">
        <x:v>GB</x:v>
      </x:c>
      <x:c r="H1822" t="str">
        <x:v>MIN</x:v>
      </x:c>
      <x:c r="I1822" t="str">
        <x:v>MIN</x:v>
      </x:c>
      <x:c r="J1822" t="n">
        <x:v>29</x:v>
      </x:c>
      <x:c r="K1822" t="str">
        <x:v>(15:00) (Shotgun) 70-D.Kinnard reported in as eligible. 23-E.Wilson right guard to MIN 18 for 11 yards (51-B.Cashman).</x:v>
      </x:c>
      <x:c r="L1822" t="str">
        <x:v>run</x:v>
      </x:c>
      <x:c r="M1822" t="n">
        <x:v>11</x:v>
      </x:c>
      <x:c r="N1822" t="n">
        <x:v>1</x:v>
      </x:c>
      <x:c r="O1822" t="n">
        <x:v>0</x:v>
      </x:c>
      <x:c r="P1822"/>
      <x:c r="Q1822"/>
      <x:c r="R1822"/>
      <x:c r="S1822"/>
      <x:c r="T1822" t="str">
        <x:v>right</x:v>
      </x:c>
      <x:c r="U1822" t="str">
        <x:v>guard</x:v>
      </x:c>
      <x:c r="V1822" t="n">
        <x:v>0</x:v>
      </x:c>
      <x:c r="W1822" t="n">
        <x:v>1</x:v>
      </x:c>
      <x:c r="X1822" t="n">
        <x:v>0</x:v>
      </x:c>
      <x:c r="Y1822" t="n">
        <x:v>0</x:v>
      </x:c>
      <x:c r="Z1822" t="n">
        <x:v>0</x:v>
      </x:c>
      <x:c r="AA1822" t="n">
        <x:v>0</x:v>
      </x:c>
      <x:c r="AB1822"/>
      <x:c r="AC1822" t="n">
        <x:v>0</x:v>
      </x:c>
      <x:c r="AD1822" t="n">
        <x:v>0.8046032671700232</x:v>
      </x:c>
      <x:c r="AE1822" t="n">
        <x:v>1</x:v>
      </x:c>
      <x:c r="AF1822" t="n">
        <x:v>0.005071699619293213</x:v>
      </x:c>
      <x:c r="AG1822" t="n">
        <x:f>_xlfn.XLOOKUP($A1822,Games!$A$2:$A$18,Games!$B$2:$B$18,"Missing game",0)</x:f>
        <x:v>2025</x:v>
      </x:c>
      <x:c r="AH1822" t="str">
        <x:f>_xlfn.XLOOKUP($A1822,Games!$A$2:$A$18,Games!$C$2:$C$18,"Missing game",0)</x:f>
        <x:v>REG</x:v>
      </x:c>
      <x:c r="AI1822" t="n">
        <x:f>_xlfn.XLOOKUP($A1822,Games!$A$2:$A$18,Games!$D$2:$D$18,"Missing game",0)</x:f>
        <x:v>12</x:v>
      </x:c>
      <x:c r="AJ1822" s="1" t="n">
        <x:f>_xlfn.XLOOKUP($A1822,Games!$A$2:$A$18,Games!$E$2:$E$18,"Missing game",0)</x:f>
        <x:v>45984</x:v>
      </x:c>
      <x:c r="AK1822" t="str">
        <x:f>_xlfn.XLOOKUP($A1822,Games!$A$2:$A$18,Games!$F$2:$F$18,"Missing game",0)</x:f>
        <x:v>Sunday</x:v>
      </x:c>
      <x:c r="AL1822" t="str">
        <x:f>_xlfn.XLOOKUP($A1822,Games!$A$2:$A$18,Games!$G$2:$G$18,"Missing game",0)</x:f>
        <x:v>MIN</x:v>
      </x:c>
      <x:c r="AM1822" t="n">
        <x:f>_xlfn.XLOOKUP($A1822,Games!$A$2:$A$18,Games!$H$2:$H$18,"Missing game",0)</x:f>
        <x:v>6</x:v>
      </x:c>
      <x:c r="AN1822" t="str">
        <x:f>_xlfn.XLOOKUP($A1822,Games!$A$2:$A$18,Games!$I$2:$I$18,"Missing game",0)</x:f>
        <x:v>GB</x:v>
      </x:c>
      <x:c r="AO1822" t="n">
        <x:f>_xlfn.XLOOKUP($A1822,Games!$A$2:$A$18,Games!$J$2:$J$18,"Missing game",0)</x:f>
        <x:v>23</x:v>
      </x:c>
      <x:c r="AP1822" t="n">
        <x:f>_xlfn.XLOOKUP($A1822,Games!$A$2:$A$18,Games!$K$2:$K$18,"Missing game",0)</x:f>
        <x:v>17</x:v>
      </x:c>
      <x:c r="AQ1822" t="n">
        <x:f>_xlfn.XLOOKUP($A1822,Games!$A$2:$A$18,Games!$L$2:$L$18,"Missing game",0)</x:f>
        <x:v>29</x:v>
      </x:c>
      <x:c r="AR1822" t="n">
        <x:f>_xlfn.XLOOKUP($A1822,Games!$A$2:$A$18,Games!$M$2:$M$18,"Missing game",0)</x:f>
        <x:v>0</x:v>
      </x:c>
      <x:c r="AS1822" t="str">
        <x:f>_xlfn.XLOOKUP($A1822,Games!$A$2:$A$18,Games!$N$2:$N$18,"Missing game",0)</x:f>
        <x:v>outdoors</x:v>
      </x:c>
      <x:c r="AT1822" t="str">
        <x:f>_xlfn.XLOOKUP($A1822,Games!$A$2:$A$18,Games!$O$2:$O$18,"Missing game",0)</x:f>
        <x:v>grass</x:v>
      </x:c>
      <x:c r="AU1822" t="n">
        <x:f>_xlfn.XLOOKUP($A1822,Games!$A$2:$A$18,Games!$P$2:$P$18,"Missing game",0)</x:f>
        <x:v>43</x:v>
      </x:c>
      <x:c r="AV1822" t="n">
        <x:f>_xlfn.XLOOKUP($A1822,Games!$A$2:$A$18,Games!$Q$2:$Q$18,"Missing game",0)</x:f>
        <x:v>10</x:v>
      </x:c>
      <x:c r="AW1822" t="str">
        <x:f>_xlfn.XLOOKUP($A1822,Games!$A$2:$A$18,Games!$R$2:$R$18,"Missing game",0)</x:f>
        <x:v>Lambeau Field</x:v>
      </x:c>
    </x:row>
    <x:row r="1823">
      <x:c r="A1823" t="str">
        <x:v>2025_12_MIN_GB</x:v>
      </x:c>
      <x:c r="B1823" t="n">
        <x:v>2663</x:v>
      </x:c>
      <x:c r="C1823" t="n">
        <x:v>4</x:v>
      </x:c>
      <x:c r="D1823" t="str">
        <x:v>14:22</x:v>
      </x:c>
      <x:c r="E1823" t="n">
        <x:v>1</x:v>
      </x:c>
      <x:c r="F1823" t="n">
        <x:v>10</x:v>
      </x:c>
      <x:c r="G1823" t="str">
        <x:v>GB</x:v>
      </x:c>
      <x:c r="H1823" t="str">
        <x:v>MIN</x:v>
      </x:c>
      <x:c r="I1823" t="str">
        <x:v>MIN</x:v>
      </x:c>
      <x:c r="J1823" t="n">
        <x:v>18</x:v>
      </x:c>
      <x:c r="K1823" t="str">
        <x:v>(14:22) (Shotgun) 23-E.Wilson left guard to MIN 15 for 3 yards (93-J.Allen; 97-J.Hargrave).</x:v>
      </x:c>
      <x:c r="L1823" t="str">
        <x:v>run</x:v>
      </x:c>
      <x:c r="M1823" t="n">
        <x:v>3</x:v>
      </x:c>
      <x:c r="N1823" t="n">
        <x:v>1</x:v>
      </x:c>
      <x:c r="O1823" t="n">
        <x:v>0</x:v>
      </x:c>
      <x:c r="P1823"/>
      <x:c r="Q1823"/>
      <x:c r="R1823"/>
      <x:c r="S1823"/>
      <x:c r="T1823" t="str">
        <x:v>left</x:v>
      </x:c>
      <x:c r="U1823" t="str">
        <x:v>guard</x:v>
      </x:c>
      <x:c r="V1823" t="n">
        <x:v>0</x:v>
      </x:c>
      <x:c r="W1823" t="n">
        <x:v>0</x:v>
      </x:c>
      <x:c r="X1823" t="n">
        <x:v>0</x:v>
      </x:c>
      <x:c r="Y1823" t="n">
        <x:v>0</x:v>
      </x:c>
      <x:c r="Z1823" t="n">
        <x:v>0</x:v>
      </x:c>
      <x:c r="AA1823" t="n">
        <x:v>0</x:v>
      </x:c>
      <x:c r="AB1823"/>
      <x:c r="AC1823" t="n">
        <x:v>0</x:v>
      </x:c>
      <x:c r="AD1823" t="n">
        <x:v>-0.2430982628138736</x:v>
      </x:c>
      <x:c r="AE1823" t="n">
        <x:v>0</x:v>
      </x:c>
      <x:c r="AF1823" t="n">
        <x:v>-0.0016908049583435059</x:v>
      </x:c>
      <x:c r="AG1823" t="n">
        <x:f>_xlfn.XLOOKUP($A1823,Games!$A$2:$A$18,Games!$B$2:$B$18,"Missing game",0)</x:f>
        <x:v>2025</x:v>
      </x:c>
      <x:c r="AH1823" t="str">
        <x:f>_xlfn.XLOOKUP($A1823,Games!$A$2:$A$18,Games!$C$2:$C$18,"Missing game",0)</x:f>
        <x:v>REG</x:v>
      </x:c>
      <x:c r="AI1823" t="n">
        <x:f>_xlfn.XLOOKUP($A1823,Games!$A$2:$A$18,Games!$D$2:$D$18,"Missing game",0)</x:f>
        <x:v>12</x:v>
      </x:c>
      <x:c r="AJ1823" s="1" t="n">
        <x:f>_xlfn.XLOOKUP($A1823,Games!$A$2:$A$18,Games!$E$2:$E$18,"Missing game",0)</x:f>
        <x:v>45984</x:v>
      </x:c>
      <x:c r="AK1823" t="str">
        <x:f>_xlfn.XLOOKUP($A1823,Games!$A$2:$A$18,Games!$F$2:$F$18,"Missing game",0)</x:f>
        <x:v>Sunday</x:v>
      </x:c>
      <x:c r="AL1823" t="str">
        <x:f>_xlfn.XLOOKUP($A1823,Games!$A$2:$A$18,Games!$G$2:$G$18,"Missing game",0)</x:f>
        <x:v>MIN</x:v>
      </x:c>
      <x:c r="AM1823" t="n">
        <x:f>_xlfn.XLOOKUP($A1823,Games!$A$2:$A$18,Games!$H$2:$H$18,"Missing game",0)</x:f>
        <x:v>6</x:v>
      </x:c>
      <x:c r="AN1823" t="str">
        <x:f>_xlfn.XLOOKUP($A1823,Games!$A$2:$A$18,Games!$I$2:$I$18,"Missing game",0)</x:f>
        <x:v>GB</x:v>
      </x:c>
      <x:c r="AO1823" t="n">
        <x:f>_xlfn.XLOOKUP($A1823,Games!$A$2:$A$18,Games!$J$2:$J$18,"Missing game",0)</x:f>
        <x:v>23</x:v>
      </x:c>
      <x:c r="AP1823" t="n">
        <x:f>_xlfn.XLOOKUP($A1823,Games!$A$2:$A$18,Games!$K$2:$K$18,"Missing game",0)</x:f>
        <x:v>17</x:v>
      </x:c>
      <x:c r="AQ1823" t="n">
        <x:f>_xlfn.XLOOKUP($A1823,Games!$A$2:$A$18,Games!$L$2:$L$18,"Missing game",0)</x:f>
        <x:v>29</x:v>
      </x:c>
      <x:c r="AR1823" t="n">
        <x:f>_xlfn.XLOOKUP($A1823,Games!$A$2:$A$18,Games!$M$2:$M$18,"Missing game",0)</x:f>
        <x:v>0</x:v>
      </x:c>
      <x:c r="AS1823" t="str">
        <x:f>_xlfn.XLOOKUP($A1823,Games!$A$2:$A$18,Games!$N$2:$N$18,"Missing game",0)</x:f>
        <x:v>outdoors</x:v>
      </x:c>
      <x:c r="AT1823" t="str">
        <x:f>_xlfn.XLOOKUP($A1823,Games!$A$2:$A$18,Games!$O$2:$O$18,"Missing game",0)</x:f>
        <x:v>grass</x:v>
      </x:c>
      <x:c r="AU1823" t="n">
        <x:f>_xlfn.XLOOKUP($A1823,Games!$A$2:$A$18,Games!$P$2:$P$18,"Missing game",0)</x:f>
        <x:v>43</x:v>
      </x:c>
      <x:c r="AV1823" t="n">
        <x:f>_xlfn.XLOOKUP($A1823,Games!$A$2:$A$18,Games!$Q$2:$Q$18,"Missing game",0)</x:f>
        <x:v>10</x:v>
      </x:c>
      <x:c r="AW1823" t="str">
        <x:f>_xlfn.XLOOKUP($A1823,Games!$A$2:$A$18,Games!$R$2:$R$18,"Missing game",0)</x:f>
        <x:v>Lambeau Field</x:v>
      </x:c>
    </x:row>
    <x:row r="1824">
      <x:c r="A1824" t="str">
        <x:v>2025_12_MIN_GB</x:v>
      </x:c>
      <x:c r="B1824" t="n">
        <x:v>2685</x:v>
      </x:c>
      <x:c r="C1824" t="n">
        <x:v>4</x:v>
      </x:c>
      <x:c r="D1824" t="str">
        <x:v>13:42</x:v>
      </x:c>
      <x:c r="E1824" t="n">
        <x:v>2</x:v>
      </x:c>
      <x:c r="F1824" t="n">
        <x:v>7</x:v>
      </x:c>
      <x:c r="G1824" t="str">
        <x:v>GB</x:v>
      </x:c>
      <x:c r="H1824" t="str">
        <x:v>MIN</x:v>
      </x:c>
      <x:c r="I1824" t="str">
        <x:v>MIN</x:v>
      </x:c>
      <x:c r="J1824" t="n">
        <x:v>15</x:v>
      </x:c>
      <x:c r="K1824" t="str">
        <x:v>(13:42) (Shotgun) 30-C.Brooks right guard to MIN 11 for 4 yards (97-J.Hargrave).</x:v>
      </x:c>
      <x:c r="L1824" t="str">
        <x:v>run</x:v>
      </x:c>
      <x:c r="M1824" t="n">
        <x:v>4</x:v>
      </x:c>
      <x:c r="N1824" t="n">
        <x:v>1</x:v>
      </x:c>
      <x:c r="O1824" t="n">
        <x:v>0</x:v>
      </x:c>
      <x:c r="P1824"/>
      <x:c r="Q1824"/>
      <x:c r="R1824"/>
      <x:c r="S1824"/>
      <x:c r="T1824" t="str">
        <x:v>right</x:v>
      </x:c>
      <x:c r="U1824" t="str">
        <x:v>guard</x:v>
      </x:c>
      <x:c r="V1824" t="n">
        <x:v>0</x:v>
      </x:c>
      <x:c r="W1824" t="n">
        <x:v>0</x:v>
      </x:c>
      <x:c r="X1824" t="n">
        <x:v>0</x:v>
      </x:c>
      <x:c r="Y1824" t="n">
        <x:v>0</x:v>
      </x:c>
      <x:c r="Z1824" t="n">
        <x:v>0</x:v>
      </x:c>
      <x:c r="AA1824" t="n">
        <x:v>0</x:v>
      </x:c>
      <x:c r="AB1824"/>
      <x:c r="AC1824" t="n">
        <x:v>0</x:v>
      </x:c>
      <x:c r="AD1824" t="n">
        <x:v>-0.22092274553142488</x:v>
      </x:c>
      <x:c r="AE1824" t="n">
        <x:v>0</x:v>
      </x:c>
      <x:c r="AF1824" t="n">
        <x:v>0.006243348121643066</x:v>
      </x:c>
      <x:c r="AG1824" t="n">
        <x:f>_xlfn.XLOOKUP($A1824,Games!$A$2:$A$18,Games!$B$2:$B$18,"Missing game",0)</x:f>
        <x:v>2025</x:v>
      </x:c>
      <x:c r="AH1824" t="str">
        <x:f>_xlfn.XLOOKUP($A1824,Games!$A$2:$A$18,Games!$C$2:$C$18,"Missing game",0)</x:f>
        <x:v>REG</x:v>
      </x:c>
      <x:c r="AI1824" t="n">
        <x:f>_xlfn.XLOOKUP($A1824,Games!$A$2:$A$18,Games!$D$2:$D$18,"Missing game",0)</x:f>
        <x:v>12</x:v>
      </x:c>
      <x:c r="AJ1824" s="1" t="n">
        <x:f>_xlfn.XLOOKUP($A1824,Games!$A$2:$A$18,Games!$E$2:$E$18,"Missing game",0)</x:f>
        <x:v>45984</x:v>
      </x:c>
      <x:c r="AK1824" t="str">
        <x:f>_xlfn.XLOOKUP($A1824,Games!$A$2:$A$18,Games!$F$2:$F$18,"Missing game",0)</x:f>
        <x:v>Sunday</x:v>
      </x:c>
      <x:c r="AL1824" t="str">
        <x:f>_xlfn.XLOOKUP($A1824,Games!$A$2:$A$18,Games!$G$2:$G$18,"Missing game",0)</x:f>
        <x:v>MIN</x:v>
      </x:c>
      <x:c r="AM1824" t="n">
        <x:f>_xlfn.XLOOKUP($A1824,Games!$A$2:$A$18,Games!$H$2:$H$18,"Missing game",0)</x:f>
        <x:v>6</x:v>
      </x:c>
      <x:c r="AN1824" t="str">
        <x:f>_xlfn.XLOOKUP($A1824,Games!$A$2:$A$18,Games!$I$2:$I$18,"Missing game",0)</x:f>
        <x:v>GB</x:v>
      </x:c>
      <x:c r="AO1824" t="n">
        <x:f>_xlfn.XLOOKUP($A1824,Games!$A$2:$A$18,Games!$J$2:$J$18,"Missing game",0)</x:f>
        <x:v>23</x:v>
      </x:c>
      <x:c r="AP1824" t="n">
        <x:f>_xlfn.XLOOKUP($A1824,Games!$A$2:$A$18,Games!$K$2:$K$18,"Missing game",0)</x:f>
        <x:v>17</x:v>
      </x:c>
      <x:c r="AQ1824" t="n">
        <x:f>_xlfn.XLOOKUP($A1824,Games!$A$2:$A$18,Games!$L$2:$L$18,"Missing game",0)</x:f>
        <x:v>29</x:v>
      </x:c>
      <x:c r="AR1824" t="n">
        <x:f>_xlfn.XLOOKUP($A1824,Games!$A$2:$A$18,Games!$M$2:$M$18,"Missing game",0)</x:f>
        <x:v>0</x:v>
      </x:c>
      <x:c r="AS1824" t="str">
        <x:f>_xlfn.XLOOKUP($A1824,Games!$A$2:$A$18,Games!$N$2:$N$18,"Missing game",0)</x:f>
        <x:v>outdoors</x:v>
      </x:c>
      <x:c r="AT1824" t="str">
        <x:f>_xlfn.XLOOKUP($A1824,Games!$A$2:$A$18,Games!$O$2:$O$18,"Missing game",0)</x:f>
        <x:v>grass</x:v>
      </x:c>
      <x:c r="AU1824" t="n">
        <x:f>_xlfn.XLOOKUP($A1824,Games!$A$2:$A$18,Games!$P$2:$P$18,"Missing game",0)</x:f>
        <x:v>43</x:v>
      </x:c>
      <x:c r="AV1824" t="n">
        <x:f>_xlfn.XLOOKUP($A1824,Games!$A$2:$A$18,Games!$Q$2:$Q$18,"Missing game",0)</x:f>
        <x:v>10</x:v>
      </x:c>
      <x:c r="AW1824" t="str">
        <x:f>_xlfn.XLOOKUP($A1824,Games!$A$2:$A$18,Games!$R$2:$R$18,"Missing game",0)</x:f>
        <x:v>Lambeau Field</x:v>
      </x:c>
    </x:row>
    <x:row r="1825">
      <x:c r="A1825" t="str">
        <x:v>2025_12_MIN_GB</x:v>
      </x:c>
      <x:c r="B1825" t="n">
        <x:v>2707</x:v>
      </x:c>
      <x:c r="C1825" t="n">
        <x:v>4</x:v>
      </x:c>
      <x:c r="D1825" t="str">
        <x:v>13:00</x:v>
      </x:c>
      <x:c r="E1825" t="n">
        <x:v>3</x:v>
      </x:c>
      <x:c r="F1825" t="n">
        <x:v>3</x:v>
      </x:c>
      <x:c r="G1825" t="str">
        <x:v>GB</x:v>
      </x:c>
      <x:c r="H1825" t="str">
        <x:v>MIN</x:v>
      </x:c>
      <x:c r="I1825" t="str">
        <x:v>MIN</x:v>
      </x:c>
      <x:c r="J1825" t="n">
        <x:v>11</x:v>
      </x:c>
      <x:c r="K1825" t="str">
        <x:v>(13:00) (Shotgun) 23-E.Wilson right guard to MIN 12 for -1 yards (61-J.Redmond, 51-B.Cashman).</x:v>
      </x:c>
      <x:c r="L1825" t="str">
        <x:v>run</x:v>
      </x:c>
      <x:c r="M1825" t="n">
        <x:v>-1</x:v>
      </x:c>
      <x:c r="N1825" t="n">
        <x:v>1</x:v>
      </x:c>
      <x:c r="O1825" t="n">
        <x:v>0</x:v>
      </x:c>
      <x:c r="P1825"/>
      <x:c r="Q1825"/>
      <x:c r="R1825"/>
      <x:c r="S1825"/>
      <x:c r="T1825" t="str">
        <x:v>right</x:v>
      </x:c>
      <x:c r="U1825" t="str">
        <x:v>guard</x:v>
      </x:c>
      <x:c r="V1825" t="n">
        <x:v>0</x:v>
      </x:c>
      <x:c r="W1825" t="n">
        <x:v>0</x:v>
      </x:c>
      <x:c r="X1825" t="n">
        <x:v>0</x:v>
      </x:c>
      <x:c r="Y1825" t="n">
        <x:v>0</x:v>
      </x:c>
      <x:c r="Z1825" t="n">
        <x:v>0</x:v>
      </x:c>
      <x:c r="AA1825" t="n">
        <x:v>0</x:v>
      </x:c>
      <x:c r="AB1825"/>
      <x:c r="AC1825" t="n">
        <x:v>0</x:v>
      </x:c>
      <x:c r="AD1825" t="n">
        <x:v>-1.5114688121542947</x:v>
      </x:c>
      <x:c r="AE1825" t="n">
        <x:v>0</x:v>
      </x:c>
      <x:c r="AF1825" t="n">
        <x:v>-0.01822066307067871</x:v>
      </x:c>
      <x:c r="AG1825" t="n">
        <x:f>_xlfn.XLOOKUP($A1825,Games!$A$2:$A$18,Games!$B$2:$B$18,"Missing game",0)</x:f>
        <x:v>2025</x:v>
      </x:c>
      <x:c r="AH1825" t="str">
        <x:f>_xlfn.XLOOKUP($A1825,Games!$A$2:$A$18,Games!$C$2:$C$18,"Missing game",0)</x:f>
        <x:v>REG</x:v>
      </x:c>
      <x:c r="AI1825" t="n">
        <x:f>_xlfn.XLOOKUP($A1825,Games!$A$2:$A$18,Games!$D$2:$D$18,"Missing game",0)</x:f>
        <x:v>12</x:v>
      </x:c>
      <x:c r="AJ1825" s="1" t="n">
        <x:f>_xlfn.XLOOKUP($A1825,Games!$A$2:$A$18,Games!$E$2:$E$18,"Missing game",0)</x:f>
        <x:v>45984</x:v>
      </x:c>
      <x:c r="AK1825" t="str">
        <x:f>_xlfn.XLOOKUP($A1825,Games!$A$2:$A$18,Games!$F$2:$F$18,"Missing game",0)</x:f>
        <x:v>Sunday</x:v>
      </x:c>
      <x:c r="AL1825" t="str">
        <x:f>_xlfn.XLOOKUP($A1825,Games!$A$2:$A$18,Games!$G$2:$G$18,"Missing game",0)</x:f>
        <x:v>MIN</x:v>
      </x:c>
      <x:c r="AM1825" t="n">
        <x:f>_xlfn.XLOOKUP($A1825,Games!$A$2:$A$18,Games!$H$2:$H$18,"Missing game",0)</x:f>
        <x:v>6</x:v>
      </x:c>
      <x:c r="AN1825" t="str">
        <x:f>_xlfn.XLOOKUP($A1825,Games!$A$2:$A$18,Games!$I$2:$I$18,"Missing game",0)</x:f>
        <x:v>GB</x:v>
      </x:c>
      <x:c r="AO1825" t="n">
        <x:f>_xlfn.XLOOKUP($A1825,Games!$A$2:$A$18,Games!$J$2:$J$18,"Missing game",0)</x:f>
        <x:v>23</x:v>
      </x:c>
      <x:c r="AP1825" t="n">
        <x:f>_xlfn.XLOOKUP($A1825,Games!$A$2:$A$18,Games!$K$2:$K$18,"Missing game",0)</x:f>
        <x:v>17</x:v>
      </x:c>
      <x:c r="AQ1825" t="n">
        <x:f>_xlfn.XLOOKUP($A1825,Games!$A$2:$A$18,Games!$L$2:$L$18,"Missing game",0)</x:f>
        <x:v>29</x:v>
      </x:c>
      <x:c r="AR1825" t="n">
        <x:f>_xlfn.XLOOKUP($A1825,Games!$A$2:$A$18,Games!$M$2:$M$18,"Missing game",0)</x:f>
        <x:v>0</x:v>
      </x:c>
      <x:c r="AS1825" t="str">
        <x:f>_xlfn.XLOOKUP($A1825,Games!$A$2:$A$18,Games!$N$2:$N$18,"Missing game",0)</x:f>
        <x:v>outdoors</x:v>
      </x:c>
      <x:c r="AT1825" t="str">
        <x:f>_xlfn.XLOOKUP($A1825,Games!$A$2:$A$18,Games!$O$2:$O$18,"Missing game",0)</x:f>
        <x:v>grass</x:v>
      </x:c>
      <x:c r="AU1825" t="n">
        <x:f>_xlfn.XLOOKUP($A1825,Games!$A$2:$A$18,Games!$P$2:$P$18,"Missing game",0)</x:f>
        <x:v>43</x:v>
      </x:c>
      <x:c r="AV1825" t="n">
        <x:f>_xlfn.XLOOKUP($A1825,Games!$A$2:$A$18,Games!$Q$2:$Q$18,"Missing game",0)</x:f>
        <x:v>10</x:v>
      </x:c>
      <x:c r="AW1825" t="str">
        <x:f>_xlfn.XLOOKUP($A1825,Games!$A$2:$A$18,Games!$R$2:$R$18,"Missing game",0)</x:f>
        <x:v>Lambeau Field</x:v>
      </x:c>
    </x:row>
    <x:row r="1826">
      <x:c r="A1826" t="str">
        <x:v>2025_12_MIN_GB</x:v>
      </x:c>
      <x:c r="B1826" t="n">
        <x:v>2729</x:v>
      </x:c>
      <x:c r="C1826" t="n">
        <x:v>4</x:v>
      </x:c>
      <x:c r="D1826" t="str">
        <x:v>12:17</x:v>
      </x:c>
      <x:c r="E1826" t="n">
        <x:v>4</x:v>
      </x:c>
      <x:c r="F1826" t="n">
        <x:v>4</x:v>
      </x:c>
      <x:c r="G1826" t="str">
        <x:v>GB</x:v>
      </x:c>
      <x:c r="H1826" t="str">
        <x:v>MIN</x:v>
      </x:c>
      <x:c r="I1826" t="str">
        <x:v>MIN</x:v>
      </x:c>
      <x:c r="J1826" t="n">
        <x:v>12</x:v>
      </x:c>
      <x:c r="K1826" t="str">
        <x:v>(12:17) 17-B.McManus 30 yard field goal is GOOD, Center-42-M.Orzech, Holder-19-D.Whelan.</x:v>
      </x:c>
      <x:c r="L1826" t="str">
        <x:v>field_goal</x:v>
      </x:c>
      <x:c r="M1826" t="n">
        <x:v>0</x:v>
      </x:c>
      <x:c r="N1826" t="n">
        <x:v>0</x:v>
      </x:c>
      <x:c r="O1826" t="n">
        <x:v>0</x:v>
      </x:c>
      <x:c r="P1826"/>
      <x:c r="Q1826"/>
      <x:c r="R1826"/>
      <x:c r="S1826"/>
      <x:c r="T1826"/>
      <x:c r="U1826"/>
      <x:c r="V1826" t="n">
        <x:v>0</x:v>
      </x:c>
      <x:c r="W1826" t="n">
        <x:v>0</x:v>
      </x:c>
      <x:c r="X1826" t="n">
        <x:v>0</x:v>
      </x:c>
      <x:c r="Y1826" t="n">
        <x:v>0</x:v>
      </x:c>
      <x:c r="Z1826" t="n">
        <x:v>0</x:v>
      </x:c>
      <x:c r="AA1826" t="n">
        <x:v>0</x:v>
      </x:c>
      <x:c r="AB1826"/>
      <x:c r="AC1826" t="n">
        <x:v>0</x:v>
      </x:c>
      <x:c r="AD1826" t="n">
        <x:v>0.1646535296171585</x:v>
      </x:c>
      <x:c r="AE1826" t="n">
        <x:v>1</x:v>
      </x:c>
      <x:c r="AF1826" t="n">
        <x:v>0.01532011479139328</x:v>
      </x:c>
      <x:c r="AG1826" t="n">
        <x:f>_xlfn.XLOOKUP($A1826,Games!$A$2:$A$18,Games!$B$2:$B$18,"Missing game",0)</x:f>
        <x:v>2025</x:v>
      </x:c>
      <x:c r="AH1826" t="str">
        <x:f>_xlfn.XLOOKUP($A1826,Games!$A$2:$A$18,Games!$C$2:$C$18,"Missing game",0)</x:f>
        <x:v>REG</x:v>
      </x:c>
      <x:c r="AI1826" t="n">
        <x:f>_xlfn.XLOOKUP($A1826,Games!$A$2:$A$18,Games!$D$2:$D$18,"Missing game",0)</x:f>
        <x:v>12</x:v>
      </x:c>
      <x:c r="AJ1826" s="1" t="n">
        <x:f>_xlfn.XLOOKUP($A1826,Games!$A$2:$A$18,Games!$E$2:$E$18,"Missing game",0)</x:f>
        <x:v>45984</x:v>
      </x:c>
      <x:c r="AK1826" t="str">
        <x:f>_xlfn.XLOOKUP($A1826,Games!$A$2:$A$18,Games!$F$2:$F$18,"Missing game",0)</x:f>
        <x:v>Sunday</x:v>
      </x:c>
      <x:c r="AL1826" t="str">
        <x:f>_xlfn.XLOOKUP($A1826,Games!$A$2:$A$18,Games!$G$2:$G$18,"Missing game",0)</x:f>
        <x:v>MIN</x:v>
      </x:c>
      <x:c r="AM1826" t="n">
        <x:f>_xlfn.XLOOKUP($A1826,Games!$A$2:$A$18,Games!$H$2:$H$18,"Missing game",0)</x:f>
        <x:v>6</x:v>
      </x:c>
      <x:c r="AN1826" t="str">
        <x:f>_xlfn.XLOOKUP($A1826,Games!$A$2:$A$18,Games!$I$2:$I$18,"Missing game",0)</x:f>
        <x:v>GB</x:v>
      </x:c>
      <x:c r="AO1826" t="n">
        <x:f>_xlfn.XLOOKUP($A1826,Games!$A$2:$A$18,Games!$J$2:$J$18,"Missing game",0)</x:f>
        <x:v>23</x:v>
      </x:c>
      <x:c r="AP1826" t="n">
        <x:f>_xlfn.XLOOKUP($A1826,Games!$A$2:$A$18,Games!$K$2:$K$18,"Missing game",0)</x:f>
        <x:v>17</x:v>
      </x:c>
      <x:c r="AQ1826" t="n">
        <x:f>_xlfn.XLOOKUP($A1826,Games!$A$2:$A$18,Games!$L$2:$L$18,"Missing game",0)</x:f>
        <x:v>29</x:v>
      </x:c>
      <x:c r="AR1826" t="n">
        <x:f>_xlfn.XLOOKUP($A1826,Games!$A$2:$A$18,Games!$M$2:$M$18,"Missing game",0)</x:f>
        <x:v>0</x:v>
      </x:c>
      <x:c r="AS1826" t="str">
        <x:f>_xlfn.XLOOKUP($A1826,Games!$A$2:$A$18,Games!$N$2:$N$18,"Missing game",0)</x:f>
        <x:v>outdoors</x:v>
      </x:c>
      <x:c r="AT1826" t="str">
        <x:f>_xlfn.XLOOKUP($A1826,Games!$A$2:$A$18,Games!$O$2:$O$18,"Missing game",0)</x:f>
        <x:v>grass</x:v>
      </x:c>
      <x:c r="AU1826" t="n">
        <x:f>_xlfn.XLOOKUP($A1826,Games!$A$2:$A$18,Games!$P$2:$P$18,"Missing game",0)</x:f>
        <x:v>43</x:v>
      </x:c>
      <x:c r="AV1826" t="n">
        <x:f>_xlfn.XLOOKUP($A1826,Games!$A$2:$A$18,Games!$Q$2:$Q$18,"Missing game",0)</x:f>
        <x:v>10</x:v>
      </x:c>
      <x:c r="AW1826" t="str">
        <x:f>_xlfn.XLOOKUP($A1826,Games!$A$2:$A$18,Games!$R$2:$R$18,"Missing game",0)</x:f>
        <x:v>Lambeau Field</x:v>
      </x:c>
    </x:row>
    <x:row r="1827">
      <x:c r="A1827" t="str">
        <x:v>2025_12_MIN_GB</x:v>
      </x:c>
      <x:c r="B1827" t="n">
        <x:v>2749</x:v>
      </x:c>
      <x:c r="C1827" t="n">
        <x:v>4</x:v>
      </x:c>
      <x:c r="D1827" t="str">
        <x:v>12:13</x:v>
      </x:c>
      <x:c r="E1827"/>
      <x:c r="F1827" t="n">
        <x:v>0</x:v>
      </x:c>
      <x:c r="G1827" t="str">
        <x:v>MIN</x:v>
      </x:c>
      <x:c r="H1827" t="str">
        <x:v>GB</x:v>
      </x:c>
      <x:c r="I1827" t="str">
        <x:v>GB</x:v>
      </x:c>
      <x:c r="J1827" t="n">
        <x:v>35</x:v>
      </x:c>
      <x:c r="K1827" t="str">
        <x:v>17-B.McManus kicks 64 yards from GB 35 to MIN 1. 4-M.Price to MIN 19 for 18 yards (27-K.Oladapo).</x:v>
      </x:c>
      <x:c r="L1827" t="str">
        <x:v>kickoff</x:v>
      </x:c>
      <x:c r="M1827" t="n">
        <x:v>0</x:v>
      </x:c>
      <x:c r="N1827" t="n">
        <x:v>0</x:v>
      </x:c>
      <x:c r="O1827" t="n">
        <x:v>0</x:v>
      </x:c>
      <x:c r="P1827"/>
      <x:c r="Q1827"/>
      <x:c r="R1827"/>
      <x:c r="S1827"/>
      <x:c r="T1827"/>
      <x:c r="U1827"/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0</x:v>
      </x:c>
      <x:c r="AB1827"/>
      <x:c r="AC1827" t="n">
        <x:v>0</x:v>
      </x:c>
      <x:c r="AD1827" t="n">
        <x:v>-0.4463081690482795</x:v>
      </x:c>
      <x:c r="AE1827" t="n">
        <x:v>0</x:v>
      </x:c>
      <x:c r="AF1827" t="n">
        <x:v>-0.005088351666927338</x:v>
      </x:c>
      <x:c r="AG1827" t="n">
        <x:f>_xlfn.XLOOKUP($A1827,Games!$A$2:$A$18,Games!$B$2:$B$18,"Missing game",0)</x:f>
        <x:v>2025</x:v>
      </x:c>
      <x:c r="AH1827" t="str">
        <x:f>_xlfn.XLOOKUP($A1827,Games!$A$2:$A$18,Games!$C$2:$C$18,"Missing game",0)</x:f>
        <x:v>REG</x:v>
      </x:c>
      <x:c r="AI1827" t="n">
        <x:f>_xlfn.XLOOKUP($A1827,Games!$A$2:$A$18,Games!$D$2:$D$18,"Missing game",0)</x:f>
        <x:v>12</x:v>
      </x:c>
      <x:c r="AJ1827" s="1" t="n">
        <x:f>_xlfn.XLOOKUP($A1827,Games!$A$2:$A$18,Games!$E$2:$E$18,"Missing game",0)</x:f>
        <x:v>45984</x:v>
      </x:c>
      <x:c r="AK1827" t="str">
        <x:f>_xlfn.XLOOKUP($A1827,Games!$A$2:$A$18,Games!$F$2:$F$18,"Missing game",0)</x:f>
        <x:v>Sunday</x:v>
      </x:c>
      <x:c r="AL1827" t="str">
        <x:f>_xlfn.XLOOKUP($A1827,Games!$A$2:$A$18,Games!$G$2:$G$18,"Missing game",0)</x:f>
        <x:v>MIN</x:v>
      </x:c>
      <x:c r="AM1827" t="n">
        <x:f>_xlfn.XLOOKUP($A1827,Games!$A$2:$A$18,Games!$H$2:$H$18,"Missing game",0)</x:f>
        <x:v>6</x:v>
      </x:c>
      <x:c r="AN1827" t="str">
        <x:f>_xlfn.XLOOKUP($A1827,Games!$A$2:$A$18,Games!$I$2:$I$18,"Missing game",0)</x:f>
        <x:v>GB</x:v>
      </x:c>
      <x:c r="AO1827" t="n">
        <x:f>_xlfn.XLOOKUP($A1827,Games!$A$2:$A$18,Games!$J$2:$J$18,"Missing game",0)</x:f>
        <x:v>23</x:v>
      </x:c>
      <x:c r="AP1827" t="n">
        <x:f>_xlfn.XLOOKUP($A1827,Games!$A$2:$A$18,Games!$K$2:$K$18,"Missing game",0)</x:f>
        <x:v>17</x:v>
      </x:c>
      <x:c r="AQ1827" t="n">
        <x:f>_xlfn.XLOOKUP($A1827,Games!$A$2:$A$18,Games!$L$2:$L$18,"Missing game",0)</x:f>
        <x:v>29</x:v>
      </x:c>
      <x:c r="AR1827" t="n">
        <x:f>_xlfn.XLOOKUP($A1827,Games!$A$2:$A$18,Games!$M$2:$M$18,"Missing game",0)</x:f>
        <x:v>0</x:v>
      </x:c>
      <x:c r="AS1827" t="str">
        <x:f>_xlfn.XLOOKUP($A1827,Games!$A$2:$A$18,Games!$N$2:$N$18,"Missing game",0)</x:f>
        <x:v>outdoors</x:v>
      </x:c>
      <x:c r="AT1827" t="str">
        <x:f>_xlfn.XLOOKUP($A1827,Games!$A$2:$A$18,Games!$O$2:$O$18,"Missing game",0)</x:f>
        <x:v>grass</x:v>
      </x:c>
      <x:c r="AU1827" t="n">
        <x:f>_xlfn.XLOOKUP($A1827,Games!$A$2:$A$18,Games!$P$2:$P$18,"Missing game",0)</x:f>
        <x:v>43</x:v>
      </x:c>
      <x:c r="AV1827" t="n">
        <x:f>_xlfn.XLOOKUP($A1827,Games!$A$2:$A$18,Games!$Q$2:$Q$18,"Missing game",0)</x:f>
        <x:v>10</x:v>
      </x:c>
      <x:c r="AW1827" t="str">
        <x:f>_xlfn.XLOOKUP($A1827,Games!$A$2:$A$18,Games!$R$2:$R$18,"Missing game",0)</x:f>
        <x:v>Lambeau Field</x:v>
      </x:c>
    </x:row>
    <x:row r="1828">
      <x:c r="A1828" t="str">
        <x:v>2025_12_MIN_GB</x:v>
      </x:c>
      <x:c r="B1828" t="n">
        <x:v>2779</x:v>
      </x:c>
      <x:c r="C1828" t="n">
        <x:v>4</x:v>
      </x:c>
      <x:c r="D1828" t="str">
        <x:v>12:06</x:v>
      </x:c>
      <x:c r="E1828" t="n">
        <x:v>1</x:v>
      </x:c>
      <x:c r="F1828" t="n">
        <x:v>10</x:v>
      </x:c>
      <x:c r="G1828" t="str">
        <x:v>MIN</x:v>
      </x:c>
      <x:c r="H1828" t="str">
        <x:v>GB</x:v>
      </x:c>
      <x:c r="I1828" t="str">
        <x:v>MIN</x:v>
      </x:c>
      <x:c r="J1828" t="n">
        <x:v>81</x:v>
      </x:c>
      <x:c r="K1828" t="str">
        <x:v>(12:06) 27-J.Mason right end to MIN 17 for -2 yards (96-C.Wooden).</x:v>
      </x:c>
      <x:c r="L1828" t="str">
        <x:v>run</x:v>
      </x:c>
      <x:c r="M1828" t="n">
        <x:v>-2</x:v>
      </x:c>
      <x:c r="N1828" t="n">
        <x:v>0</x:v>
      </x:c>
      <x:c r="O1828" t="n">
        <x:v>0</x:v>
      </x:c>
      <x:c r="P1828"/>
      <x:c r="Q1828"/>
      <x:c r="R1828"/>
      <x:c r="S1828"/>
      <x:c r="T1828" t="str">
        <x:v>right</x:v>
      </x:c>
      <x:c r="U1828" t="str">
        <x:v>end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0</x:v>
      </x:c>
      <x:c r="AB1828"/>
      <x:c r="AC1828" t="n">
        <x:v>0</x:v>
      </x:c>
      <x:c r="AD1828" t="n">
        <x:v>-0.9683100618422031</x:v>
      </x:c>
      <x:c r="AE1828" t="n">
        <x:v>0</x:v>
      </x:c>
      <x:c r="AF1828" t="n">
        <x:v>-0.011392474174499512</x:v>
      </x:c>
      <x:c r="AG1828" t="n">
        <x:f>_xlfn.XLOOKUP($A1828,Games!$A$2:$A$18,Games!$B$2:$B$18,"Missing game",0)</x:f>
        <x:v>2025</x:v>
      </x:c>
      <x:c r="AH1828" t="str">
        <x:f>_xlfn.XLOOKUP($A1828,Games!$A$2:$A$18,Games!$C$2:$C$18,"Missing game",0)</x:f>
        <x:v>REG</x:v>
      </x:c>
      <x:c r="AI1828" t="n">
        <x:f>_xlfn.XLOOKUP($A1828,Games!$A$2:$A$18,Games!$D$2:$D$18,"Missing game",0)</x:f>
        <x:v>12</x:v>
      </x:c>
      <x:c r="AJ1828" s="1" t="n">
        <x:f>_xlfn.XLOOKUP($A1828,Games!$A$2:$A$18,Games!$E$2:$E$18,"Missing game",0)</x:f>
        <x:v>45984</x:v>
      </x:c>
      <x:c r="AK1828" t="str">
        <x:f>_xlfn.XLOOKUP($A1828,Games!$A$2:$A$18,Games!$F$2:$F$18,"Missing game",0)</x:f>
        <x:v>Sunday</x:v>
      </x:c>
      <x:c r="AL1828" t="str">
        <x:f>_xlfn.XLOOKUP($A1828,Games!$A$2:$A$18,Games!$G$2:$G$18,"Missing game",0)</x:f>
        <x:v>MIN</x:v>
      </x:c>
      <x:c r="AM1828" t="n">
        <x:f>_xlfn.XLOOKUP($A1828,Games!$A$2:$A$18,Games!$H$2:$H$18,"Missing game",0)</x:f>
        <x:v>6</x:v>
      </x:c>
      <x:c r="AN1828" t="str">
        <x:f>_xlfn.XLOOKUP($A1828,Games!$A$2:$A$18,Games!$I$2:$I$18,"Missing game",0)</x:f>
        <x:v>GB</x:v>
      </x:c>
      <x:c r="AO1828" t="n">
        <x:f>_xlfn.XLOOKUP($A1828,Games!$A$2:$A$18,Games!$J$2:$J$18,"Missing game",0)</x:f>
        <x:v>23</x:v>
      </x:c>
      <x:c r="AP1828" t="n">
        <x:f>_xlfn.XLOOKUP($A1828,Games!$A$2:$A$18,Games!$K$2:$K$18,"Missing game",0)</x:f>
        <x:v>17</x:v>
      </x:c>
      <x:c r="AQ1828" t="n">
        <x:f>_xlfn.XLOOKUP($A1828,Games!$A$2:$A$18,Games!$L$2:$L$18,"Missing game",0)</x:f>
        <x:v>29</x:v>
      </x:c>
      <x:c r="AR1828" t="n">
        <x:f>_xlfn.XLOOKUP($A1828,Games!$A$2:$A$18,Games!$M$2:$M$18,"Missing game",0)</x:f>
        <x:v>0</x:v>
      </x:c>
      <x:c r="AS1828" t="str">
        <x:f>_xlfn.XLOOKUP($A1828,Games!$A$2:$A$18,Games!$N$2:$N$18,"Missing game",0)</x:f>
        <x:v>outdoors</x:v>
      </x:c>
      <x:c r="AT1828" t="str">
        <x:f>_xlfn.XLOOKUP($A1828,Games!$A$2:$A$18,Games!$O$2:$O$18,"Missing game",0)</x:f>
        <x:v>grass</x:v>
      </x:c>
      <x:c r="AU1828" t="n">
        <x:f>_xlfn.XLOOKUP($A1828,Games!$A$2:$A$18,Games!$P$2:$P$18,"Missing game",0)</x:f>
        <x:v>43</x:v>
      </x:c>
      <x:c r="AV1828" t="n">
        <x:f>_xlfn.XLOOKUP($A1828,Games!$A$2:$A$18,Games!$Q$2:$Q$18,"Missing game",0)</x:f>
        <x:v>10</x:v>
      </x:c>
      <x:c r="AW1828" t="str">
        <x:f>_xlfn.XLOOKUP($A1828,Games!$A$2:$A$18,Games!$R$2:$R$18,"Missing game",0)</x:f>
        <x:v>Lambeau Field</x:v>
      </x:c>
    </x:row>
    <x:row r="1829">
      <x:c r="A1829" t="str">
        <x:v>2025_12_MIN_GB</x:v>
      </x:c>
      <x:c r="B1829" t="n">
        <x:v>2801</x:v>
      </x:c>
      <x:c r="C1829" t="n">
        <x:v>4</x:v>
      </x:c>
      <x:c r="D1829" t="str">
        <x:v>11:18</x:v>
      </x:c>
      <x:c r="E1829" t="n">
        <x:v>2</x:v>
      </x:c>
      <x:c r="F1829" t="n">
        <x:v>12</x:v>
      </x:c>
      <x:c r="G1829" t="str">
        <x:v>MIN</x:v>
      </x:c>
      <x:c r="H1829" t="str">
        <x:v>GB</x:v>
      </x:c>
      <x:c r="I1829" t="str">
        <x:v>MIN</x:v>
      </x:c>
      <x:c r="J1829" t="n">
        <x:v>83</x:v>
      </x:c>
      <x:c r="K1829" t="str">
        <x:v>(11:18) (Shotgun) PENALTY on MIN-71-C.Darrisaw, False Start, 5 yards, enforced at MIN 17 - No Play.</x:v>
      </x:c>
      <x:c r="L1829" t="str">
        <x:v>no_play</x:v>
      </x:c>
      <x:c r="M1829" t="n">
        <x:v>0</x:v>
      </x:c>
      <x:c r="N1829" t="n">
        <x:v>1</x:v>
      </x:c>
      <x:c r="O1829" t="n">
        <x:v>0</x:v>
      </x:c>
      <x:c r="P1829"/>
      <x:c r="Q1829"/>
      <x:c r="R1829"/>
      <x:c r="S1829"/>
      <x:c r="T1829"/>
      <x:c r="U1829"/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0</x:v>
      </x:c>
      <x:c r="AA1829" t="n">
        <x:v>1</x:v>
      </x:c>
      <x:c r="AB1829" t="n">
        <x:v>5</x:v>
      </x:c>
      <x:c r="AC1829" t="n">
        <x:v>0</x:v>
      </x:c>
      <x:c r="AD1829" t="n">
        <x:v>-0.40211570635437965</x:v>
      </x:c>
      <x:c r="AE1829" t="n">
        <x:v>0</x:v>
      </x:c>
      <x:c r="AF1829" t="n">
        <x:v>-0.006017381325364113</x:v>
      </x:c>
      <x:c r="AG1829" t="n">
        <x:f>_xlfn.XLOOKUP($A1829,Games!$A$2:$A$18,Games!$B$2:$B$18,"Missing game",0)</x:f>
        <x:v>2025</x:v>
      </x:c>
      <x:c r="AH1829" t="str">
        <x:f>_xlfn.XLOOKUP($A1829,Games!$A$2:$A$18,Games!$C$2:$C$18,"Missing game",0)</x:f>
        <x:v>REG</x:v>
      </x:c>
      <x:c r="AI1829" t="n">
        <x:f>_xlfn.XLOOKUP($A1829,Games!$A$2:$A$18,Games!$D$2:$D$18,"Missing game",0)</x:f>
        <x:v>12</x:v>
      </x:c>
      <x:c r="AJ1829" s="1" t="n">
        <x:f>_xlfn.XLOOKUP($A1829,Games!$A$2:$A$18,Games!$E$2:$E$18,"Missing game",0)</x:f>
        <x:v>45984</x:v>
      </x:c>
      <x:c r="AK1829" t="str">
        <x:f>_xlfn.XLOOKUP($A1829,Games!$A$2:$A$18,Games!$F$2:$F$18,"Missing game",0)</x:f>
        <x:v>Sunday</x:v>
      </x:c>
      <x:c r="AL1829" t="str">
        <x:f>_xlfn.XLOOKUP($A1829,Games!$A$2:$A$18,Games!$G$2:$G$18,"Missing game",0)</x:f>
        <x:v>MIN</x:v>
      </x:c>
      <x:c r="AM1829" t="n">
        <x:f>_xlfn.XLOOKUP($A1829,Games!$A$2:$A$18,Games!$H$2:$H$18,"Missing game",0)</x:f>
        <x:v>6</x:v>
      </x:c>
      <x:c r="AN1829" t="str">
        <x:f>_xlfn.XLOOKUP($A1829,Games!$A$2:$A$18,Games!$I$2:$I$18,"Missing game",0)</x:f>
        <x:v>GB</x:v>
      </x:c>
      <x:c r="AO1829" t="n">
        <x:f>_xlfn.XLOOKUP($A1829,Games!$A$2:$A$18,Games!$J$2:$J$18,"Missing game",0)</x:f>
        <x:v>23</x:v>
      </x:c>
      <x:c r="AP1829" t="n">
        <x:f>_xlfn.XLOOKUP($A1829,Games!$A$2:$A$18,Games!$K$2:$K$18,"Missing game",0)</x:f>
        <x:v>17</x:v>
      </x:c>
      <x:c r="AQ1829" t="n">
        <x:f>_xlfn.XLOOKUP($A1829,Games!$A$2:$A$18,Games!$L$2:$L$18,"Missing game",0)</x:f>
        <x:v>29</x:v>
      </x:c>
      <x:c r="AR1829" t="n">
        <x:f>_xlfn.XLOOKUP($A1829,Games!$A$2:$A$18,Games!$M$2:$M$18,"Missing game",0)</x:f>
        <x:v>0</x:v>
      </x:c>
      <x:c r="AS1829" t="str">
        <x:f>_xlfn.XLOOKUP($A1829,Games!$A$2:$A$18,Games!$N$2:$N$18,"Missing game",0)</x:f>
        <x:v>outdoors</x:v>
      </x:c>
      <x:c r="AT1829" t="str">
        <x:f>_xlfn.XLOOKUP($A1829,Games!$A$2:$A$18,Games!$O$2:$O$18,"Missing game",0)</x:f>
        <x:v>grass</x:v>
      </x:c>
      <x:c r="AU1829" t="n">
        <x:f>_xlfn.XLOOKUP($A1829,Games!$A$2:$A$18,Games!$P$2:$P$18,"Missing game",0)</x:f>
        <x:v>43</x:v>
      </x:c>
      <x:c r="AV1829" t="n">
        <x:f>_xlfn.XLOOKUP($A1829,Games!$A$2:$A$18,Games!$Q$2:$Q$18,"Missing game",0)</x:f>
        <x:v>10</x:v>
      </x:c>
      <x:c r="AW1829" t="str">
        <x:f>_xlfn.XLOOKUP($A1829,Games!$A$2:$A$18,Games!$R$2:$R$18,"Missing game",0)</x:f>
        <x:v>Lambeau Field</x:v>
      </x:c>
    </x:row>
    <x:row r="1830">
      <x:c r="A1830" t="str">
        <x:v>2025_12_MIN_GB</x:v>
      </x:c>
      <x:c r="B1830" t="n">
        <x:v>2825</x:v>
      </x:c>
      <x:c r="C1830" t="n">
        <x:v>4</x:v>
      </x:c>
      <x:c r="D1830" t="str">
        <x:v>11:18</x:v>
      </x:c>
      <x:c r="E1830" t="n">
        <x:v>2</x:v>
      </x:c>
      <x:c r="F1830" t="n">
        <x:v>17</x:v>
      </x:c>
      <x:c r="G1830" t="str">
        <x:v>MIN</x:v>
      </x:c>
      <x:c r="H1830" t="str">
        <x:v>GB</x:v>
      </x:c>
      <x:c r="I1830" t="str">
        <x:v>MIN</x:v>
      </x:c>
      <x:c r="J1830" t="n">
        <x:v>88</x:v>
      </x:c>
      <x:c r="K1830" t="str">
        <x:v>(11:18) (Shotgun) 9-J.McCarthy pass incomplete short left to 19-A.Thielen [52-R.Gary].</x:v>
      </x:c>
      <x:c r="L1830" t="str">
        <x:v>pass</x:v>
      </x:c>
      <x:c r="M1830" t="n">
        <x:v>0</x:v>
      </x:c>
      <x:c r="N1830" t="n">
        <x:v>1</x:v>
      </x:c>
      <x:c r="O1830" t="n">
        <x:v>0</x:v>
      </x:c>
      <x:c r="P1830" t="str">
        <x:v>short</x:v>
      </x:c>
      <x:c r="Q1830" t="str">
        <x:v>left</x:v>
      </x:c>
      <x:c r="R1830" t="n">
        <x:v>3</x:v>
      </x:c>
      <x:c r="S1830"/>
      <x:c r="T1830"/>
      <x:c r="U1830"/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/>
      <x:c r="AC1830" t="n">
        <x:v>0</x:v>
      </x:c>
      <x:c r="AD1830" t="n">
        <x:v>-0.6988321135286242</x:v>
      </x:c>
      <x:c r="AE1830" t="n">
        <x:v>0</x:v>
      </x:c>
      <x:c r="AF1830" t="n">
        <x:v>-0.0018589235842227936</x:v>
      </x:c>
      <x:c r="AG1830" t="n">
        <x:f>_xlfn.XLOOKUP($A1830,Games!$A$2:$A$18,Games!$B$2:$B$18,"Missing game",0)</x:f>
        <x:v>2025</x:v>
      </x:c>
      <x:c r="AH1830" t="str">
        <x:f>_xlfn.XLOOKUP($A1830,Games!$A$2:$A$18,Games!$C$2:$C$18,"Missing game",0)</x:f>
        <x:v>REG</x:v>
      </x:c>
      <x:c r="AI1830" t="n">
        <x:f>_xlfn.XLOOKUP($A1830,Games!$A$2:$A$18,Games!$D$2:$D$18,"Missing game",0)</x:f>
        <x:v>12</x:v>
      </x:c>
      <x:c r="AJ1830" s="1" t="n">
        <x:f>_xlfn.XLOOKUP($A1830,Games!$A$2:$A$18,Games!$E$2:$E$18,"Missing game",0)</x:f>
        <x:v>45984</x:v>
      </x:c>
      <x:c r="AK1830" t="str">
        <x:f>_xlfn.XLOOKUP($A1830,Games!$A$2:$A$18,Games!$F$2:$F$18,"Missing game",0)</x:f>
        <x:v>Sunday</x:v>
      </x:c>
      <x:c r="AL1830" t="str">
        <x:f>_xlfn.XLOOKUP($A1830,Games!$A$2:$A$18,Games!$G$2:$G$18,"Missing game",0)</x:f>
        <x:v>MIN</x:v>
      </x:c>
      <x:c r="AM1830" t="n">
        <x:f>_xlfn.XLOOKUP($A1830,Games!$A$2:$A$18,Games!$H$2:$H$18,"Missing game",0)</x:f>
        <x:v>6</x:v>
      </x:c>
      <x:c r="AN1830" t="str">
        <x:f>_xlfn.XLOOKUP($A1830,Games!$A$2:$A$18,Games!$I$2:$I$18,"Missing game",0)</x:f>
        <x:v>GB</x:v>
      </x:c>
      <x:c r="AO1830" t="n">
        <x:f>_xlfn.XLOOKUP($A1830,Games!$A$2:$A$18,Games!$J$2:$J$18,"Missing game",0)</x:f>
        <x:v>23</x:v>
      </x:c>
      <x:c r="AP1830" t="n">
        <x:f>_xlfn.XLOOKUP($A1830,Games!$A$2:$A$18,Games!$K$2:$K$18,"Missing game",0)</x:f>
        <x:v>17</x:v>
      </x:c>
      <x:c r="AQ1830" t="n">
        <x:f>_xlfn.XLOOKUP($A1830,Games!$A$2:$A$18,Games!$L$2:$L$18,"Missing game",0)</x:f>
        <x:v>29</x:v>
      </x:c>
      <x:c r="AR1830" t="n">
        <x:f>_xlfn.XLOOKUP($A1830,Games!$A$2:$A$18,Games!$M$2:$M$18,"Missing game",0)</x:f>
        <x:v>0</x:v>
      </x:c>
      <x:c r="AS1830" t="str">
        <x:f>_xlfn.XLOOKUP($A1830,Games!$A$2:$A$18,Games!$N$2:$N$18,"Missing game",0)</x:f>
        <x:v>outdoors</x:v>
      </x:c>
      <x:c r="AT1830" t="str">
        <x:f>_xlfn.XLOOKUP($A1830,Games!$A$2:$A$18,Games!$O$2:$O$18,"Missing game",0)</x:f>
        <x:v>grass</x:v>
      </x:c>
      <x:c r="AU1830" t="n">
        <x:f>_xlfn.XLOOKUP($A1830,Games!$A$2:$A$18,Games!$P$2:$P$18,"Missing game",0)</x:f>
        <x:v>43</x:v>
      </x:c>
      <x:c r="AV1830" t="n">
        <x:f>_xlfn.XLOOKUP($A1830,Games!$A$2:$A$18,Games!$Q$2:$Q$18,"Missing game",0)</x:f>
        <x:v>10</x:v>
      </x:c>
      <x:c r="AW1830" t="str">
        <x:f>_xlfn.XLOOKUP($A1830,Games!$A$2:$A$18,Games!$R$2:$R$18,"Missing game",0)</x:f>
        <x:v>Lambeau Field</x:v>
      </x:c>
    </x:row>
    <x:row r="1831">
      <x:c r="A1831" t="str">
        <x:v>2025_12_MIN_GB</x:v>
      </x:c>
      <x:c r="B1831" t="n">
        <x:v>2848</x:v>
      </x:c>
      <x:c r="C1831" t="n">
        <x:v>4</x:v>
      </x:c>
      <x:c r="D1831" t="str">
        <x:v>11:14</x:v>
      </x:c>
      <x:c r="E1831" t="n">
        <x:v>3</x:v>
      </x:c>
      <x:c r="F1831" t="n">
        <x:v>17</x:v>
      </x:c>
      <x:c r="G1831" t="str">
        <x:v>MIN</x:v>
      </x:c>
      <x:c r="H1831" t="str">
        <x:v>GB</x:v>
      </x:c>
      <x:c r="I1831" t="str">
        <x:v>MIN</x:v>
      </x:c>
      <x:c r="J1831" t="n">
        <x:v>88</x:v>
      </x:c>
      <x:c r="K1831" t="str">
        <x:v>(11:14) (Shotgun) 9-J.McCarthy sacked at MIN 2 for -10 yards (95-D.Wyatt).</x:v>
      </x:c>
      <x:c r="L1831" t="str">
        <x:v>pass</x:v>
      </x:c>
      <x:c r="M1831" t="n">
        <x:v>-10</x:v>
      </x:c>
      <x:c r="N1831" t="n">
        <x:v>1</x:v>
      </x:c>
      <x:c r="O1831" t="n">
        <x:v>0</x:v>
      </x:c>
      <x:c r="P1831"/>
      <x:c r="Q1831"/>
      <x:c r="R1831"/>
      <x:c r="S1831"/>
      <x:c r="T1831"/>
      <x:c r="U1831"/>
      <x:c r="V1831" t="n">
        <x:v>0</x:v>
      </x:c>
      <x:c r="W1831" t="n">
        <x:v>0</x:v>
      </x:c>
      <x:c r="X1831" t="n">
        <x:v>1</x:v>
      </x:c>
      <x:c r="Y1831" t="n">
        <x:v>0</x:v>
      </x:c>
      <x:c r="Z1831" t="n">
        <x:v>0</x:v>
      </x:c>
      <x:c r="AA1831" t="n">
        <x:v>0</x:v>
      </x:c>
      <x:c r="AB1831"/>
      <x:c r="AC1831" t="n">
        <x:v>0</x:v>
      </x:c>
      <x:c r="AD1831" t="n">
        <x:v>-1.6065404551336542</x:v>
      </x:c>
      <x:c r="AE1831" t="n">
        <x:v>0</x:v>
      </x:c>
      <x:c r="AF1831" t="n">
        <x:v>-0.010451666079461575</x:v>
      </x:c>
      <x:c r="AG1831" t="n">
        <x:f>_xlfn.XLOOKUP($A1831,Games!$A$2:$A$18,Games!$B$2:$B$18,"Missing game",0)</x:f>
        <x:v>2025</x:v>
      </x:c>
      <x:c r="AH1831" t="str">
        <x:f>_xlfn.XLOOKUP($A1831,Games!$A$2:$A$18,Games!$C$2:$C$18,"Missing game",0)</x:f>
        <x:v>REG</x:v>
      </x:c>
      <x:c r="AI1831" t="n">
        <x:f>_xlfn.XLOOKUP($A1831,Games!$A$2:$A$18,Games!$D$2:$D$18,"Missing game",0)</x:f>
        <x:v>12</x:v>
      </x:c>
      <x:c r="AJ1831" s="1" t="n">
        <x:f>_xlfn.XLOOKUP($A1831,Games!$A$2:$A$18,Games!$E$2:$E$18,"Missing game",0)</x:f>
        <x:v>45984</x:v>
      </x:c>
      <x:c r="AK1831" t="str">
        <x:f>_xlfn.XLOOKUP($A1831,Games!$A$2:$A$18,Games!$F$2:$F$18,"Missing game",0)</x:f>
        <x:v>Sunday</x:v>
      </x:c>
      <x:c r="AL1831" t="str">
        <x:f>_xlfn.XLOOKUP($A1831,Games!$A$2:$A$18,Games!$G$2:$G$18,"Missing game",0)</x:f>
        <x:v>MIN</x:v>
      </x:c>
      <x:c r="AM1831" t="n">
        <x:f>_xlfn.XLOOKUP($A1831,Games!$A$2:$A$18,Games!$H$2:$H$18,"Missing game",0)</x:f>
        <x:v>6</x:v>
      </x:c>
      <x:c r="AN1831" t="str">
        <x:f>_xlfn.XLOOKUP($A1831,Games!$A$2:$A$18,Games!$I$2:$I$18,"Missing game",0)</x:f>
        <x:v>GB</x:v>
      </x:c>
      <x:c r="AO1831" t="n">
        <x:f>_xlfn.XLOOKUP($A1831,Games!$A$2:$A$18,Games!$J$2:$J$18,"Missing game",0)</x:f>
        <x:v>23</x:v>
      </x:c>
      <x:c r="AP1831" t="n">
        <x:f>_xlfn.XLOOKUP($A1831,Games!$A$2:$A$18,Games!$K$2:$K$18,"Missing game",0)</x:f>
        <x:v>17</x:v>
      </x:c>
      <x:c r="AQ1831" t="n">
        <x:f>_xlfn.XLOOKUP($A1831,Games!$A$2:$A$18,Games!$L$2:$L$18,"Missing game",0)</x:f>
        <x:v>29</x:v>
      </x:c>
      <x:c r="AR1831" t="n">
        <x:f>_xlfn.XLOOKUP($A1831,Games!$A$2:$A$18,Games!$M$2:$M$18,"Missing game",0)</x:f>
        <x:v>0</x:v>
      </x:c>
      <x:c r="AS1831" t="str">
        <x:f>_xlfn.XLOOKUP($A1831,Games!$A$2:$A$18,Games!$N$2:$N$18,"Missing game",0)</x:f>
        <x:v>outdoors</x:v>
      </x:c>
      <x:c r="AT1831" t="str">
        <x:f>_xlfn.XLOOKUP($A1831,Games!$A$2:$A$18,Games!$O$2:$O$18,"Missing game",0)</x:f>
        <x:v>grass</x:v>
      </x:c>
      <x:c r="AU1831" t="n">
        <x:f>_xlfn.XLOOKUP($A1831,Games!$A$2:$A$18,Games!$P$2:$P$18,"Missing game",0)</x:f>
        <x:v>43</x:v>
      </x:c>
      <x:c r="AV1831" t="n">
        <x:f>_xlfn.XLOOKUP($A1831,Games!$A$2:$A$18,Games!$Q$2:$Q$18,"Missing game",0)</x:f>
        <x:v>10</x:v>
      </x:c>
      <x:c r="AW1831" t="str">
        <x:f>_xlfn.XLOOKUP($A1831,Games!$A$2:$A$18,Games!$R$2:$R$18,"Missing game",0)</x:f>
        <x:v>Lambeau Field</x:v>
      </x:c>
    </x:row>
    <x:row r="1832">
      <x:c r="A1832" t="str">
        <x:v>2025_12_MIN_GB</x:v>
      </x:c>
      <x:c r="B1832" t="n">
        <x:v>2868</x:v>
      </x:c>
      <x:c r="C1832" t="n">
        <x:v>4</x:v>
      </x:c>
      <x:c r="D1832" t="str">
        <x:v>10:29</x:v>
      </x:c>
      <x:c r="E1832" t="n">
        <x:v>4</x:v>
      </x:c>
      <x:c r="F1832" t="n">
        <x:v>27</x:v>
      </x:c>
      <x:c r="G1832" t="str">
        <x:v>MIN</x:v>
      </x:c>
      <x:c r="H1832" t="str">
        <x:v>GB</x:v>
      </x:c>
      <x:c r="I1832" t="str">
        <x:v>MIN</x:v>
      </x:c>
      <x:c r="J1832" t="n">
        <x:v>98</x:v>
      </x:c>
      <x:c r="K1832" t="str">
        <x:v>(10:29) 17-R.Wright punts 54 yards to GB 44, Center-42-A.DePaola. 87-R.Doubs pushed ob at MIN 40 for 16 yards (37-T.Thomas).</x:v>
      </x:c>
      <x:c r="L1832" t="str">
        <x:v>punt</x:v>
      </x:c>
      <x:c r="M1832" t="n">
        <x:v>0</x:v>
      </x:c>
      <x:c r="N1832" t="n">
        <x:v>0</x:v>
      </x:c>
      <x:c r="O1832" t="n">
        <x:v>0</x:v>
      </x:c>
      <x:c r="P1832"/>
      <x:c r="Q1832"/>
      <x:c r="R1832"/>
      <x:c r="S1832"/>
      <x:c r="T1832"/>
      <x:c r="U1832"/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/>
      <x:c r="AC1832" t="n">
        <x:v>0</x:v>
      </x:c>
      <x:c r="AD1832" t="n">
        <x:v>-0.20281860337127</x:v>
      </x:c>
      <x:c r="AE1832" t="n">
        <x:v>0</x:v>
      </x:c>
      <x:c r="AF1832" t="n">
        <x:v>0.007196282036602497</x:v>
      </x:c>
      <x:c r="AG1832" t="n">
        <x:f>_xlfn.XLOOKUP($A1832,Games!$A$2:$A$18,Games!$B$2:$B$18,"Missing game",0)</x:f>
        <x:v>2025</x:v>
      </x:c>
      <x:c r="AH1832" t="str">
        <x:f>_xlfn.XLOOKUP($A1832,Games!$A$2:$A$18,Games!$C$2:$C$18,"Missing game",0)</x:f>
        <x:v>REG</x:v>
      </x:c>
      <x:c r="AI1832" t="n">
        <x:f>_xlfn.XLOOKUP($A1832,Games!$A$2:$A$18,Games!$D$2:$D$18,"Missing game",0)</x:f>
        <x:v>12</x:v>
      </x:c>
      <x:c r="AJ1832" s="1" t="n">
        <x:f>_xlfn.XLOOKUP($A1832,Games!$A$2:$A$18,Games!$E$2:$E$18,"Missing game",0)</x:f>
        <x:v>45984</x:v>
      </x:c>
      <x:c r="AK1832" t="str">
        <x:f>_xlfn.XLOOKUP($A1832,Games!$A$2:$A$18,Games!$F$2:$F$18,"Missing game",0)</x:f>
        <x:v>Sunday</x:v>
      </x:c>
      <x:c r="AL1832" t="str">
        <x:f>_xlfn.XLOOKUP($A1832,Games!$A$2:$A$18,Games!$G$2:$G$18,"Missing game",0)</x:f>
        <x:v>MIN</x:v>
      </x:c>
      <x:c r="AM1832" t="n">
        <x:f>_xlfn.XLOOKUP($A1832,Games!$A$2:$A$18,Games!$H$2:$H$18,"Missing game",0)</x:f>
        <x:v>6</x:v>
      </x:c>
      <x:c r="AN1832" t="str">
        <x:f>_xlfn.XLOOKUP($A1832,Games!$A$2:$A$18,Games!$I$2:$I$18,"Missing game",0)</x:f>
        <x:v>GB</x:v>
      </x:c>
      <x:c r="AO1832" t="n">
        <x:f>_xlfn.XLOOKUP($A1832,Games!$A$2:$A$18,Games!$J$2:$J$18,"Missing game",0)</x:f>
        <x:v>23</x:v>
      </x:c>
      <x:c r="AP1832" t="n">
        <x:f>_xlfn.XLOOKUP($A1832,Games!$A$2:$A$18,Games!$K$2:$K$18,"Missing game",0)</x:f>
        <x:v>17</x:v>
      </x:c>
      <x:c r="AQ1832" t="n">
        <x:f>_xlfn.XLOOKUP($A1832,Games!$A$2:$A$18,Games!$L$2:$L$18,"Missing game",0)</x:f>
        <x:v>29</x:v>
      </x:c>
      <x:c r="AR1832" t="n">
        <x:f>_xlfn.XLOOKUP($A1832,Games!$A$2:$A$18,Games!$M$2:$M$18,"Missing game",0)</x:f>
        <x:v>0</x:v>
      </x:c>
      <x:c r="AS1832" t="str">
        <x:f>_xlfn.XLOOKUP($A1832,Games!$A$2:$A$18,Games!$N$2:$N$18,"Missing game",0)</x:f>
        <x:v>outdoors</x:v>
      </x:c>
      <x:c r="AT1832" t="str">
        <x:f>_xlfn.XLOOKUP($A1832,Games!$A$2:$A$18,Games!$O$2:$O$18,"Missing game",0)</x:f>
        <x:v>grass</x:v>
      </x:c>
      <x:c r="AU1832" t="n">
        <x:f>_xlfn.XLOOKUP($A1832,Games!$A$2:$A$18,Games!$P$2:$P$18,"Missing game",0)</x:f>
        <x:v>43</x:v>
      </x:c>
      <x:c r="AV1832" t="n">
        <x:f>_xlfn.XLOOKUP($A1832,Games!$A$2:$A$18,Games!$Q$2:$Q$18,"Missing game",0)</x:f>
        <x:v>10</x:v>
      </x:c>
      <x:c r="AW1832" t="str">
        <x:f>_xlfn.XLOOKUP($A1832,Games!$A$2:$A$18,Games!$R$2:$R$18,"Missing game",0)</x:f>
        <x:v>Lambeau Field</x:v>
      </x:c>
    </x:row>
    <x:row r="1833">
      <x:c r="A1833" t="str">
        <x:v>2025_12_MIN_GB</x:v>
      </x:c>
      <x:c r="B1833" t="n">
        <x:v>2899</x:v>
      </x:c>
      <x:c r="C1833" t="n">
        <x:v>4</x:v>
      </x:c>
      <x:c r="D1833" t="str">
        <x:v>10:17</x:v>
      </x:c>
      <x:c r="E1833" t="n">
        <x:v>1</x:v>
      </x:c>
      <x:c r="F1833" t="n">
        <x:v>10</x:v>
      </x:c>
      <x:c r="G1833" t="str">
        <x:v>GB</x:v>
      </x:c>
      <x:c r="H1833" t="str">
        <x:v>MIN</x:v>
      </x:c>
      <x:c r="I1833" t="str">
        <x:v>MIN</x:v>
      </x:c>
      <x:c r="J1833" t="n">
        <x:v>40</x:v>
      </x:c>
      <x:c r="K1833" t="str">
        <x:v>(10:17) (Shotgun) 70-D.Kinnard reported in as eligible. 10-J.Love pass short right to 86-J.FitzPatrick pushed ob at MIN 29 for 11 yards (51-B.Cashman; 50-L.Rodriguez).</x:v>
      </x:c>
      <x:c r="L1833" t="str">
        <x:v>pass</x:v>
      </x:c>
      <x:c r="M1833" t="n">
        <x:v>11</x:v>
      </x:c>
      <x:c r="N1833" t="n">
        <x:v>1</x:v>
      </x:c>
      <x:c r="O1833" t="n">
        <x:v>0</x:v>
      </x:c>
      <x:c r="P1833" t="str">
        <x:v>short</x:v>
      </x:c>
      <x:c r="Q1833" t="str">
        <x:v>right</x:v>
      </x:c>
      <x:c r="R1833" t="n">
        <x:v>0</x:v>
      </x:c>
      <x:c r="S1833" t="n">
        <x:v>11</x:v>
      </x:c>
      <x:c r="T1833"/>
      <x:c r="U1833"/>
      <x:c r="V1833" t="n">
        <x:v>1</x:v>
      </x:c>
      <x:c r="W1833" t="n">
        <x:v>1</x:v>
      </x:c>
      <x:c r="X1833" t="n">
        <x:v>0</x:v>
      </x:c>
      <x:c r="Y1833" t="n">
        <x:v>0</x:v>
      </x:c>
      <x:c r="Z1833" t="n">
        <x:v>0</x:v>
      </x:c>
      <x:c r="AA1833" t="n">
        <x:v>0</x:v>
      </x:c>
      <x:c r="AB1833"/>
      <x:c r="AC1833" t="n">
        <x:v>0</x:v>
      </x:c>
      <x:c r="AD1833" t="n">
        <x:v>0.7209800207056105</x:v>
      </x:c>
      <x:c r="AE1833" t="n">
        <x:v>1</x:v>
      </x:c>
      <x:c r="AF1833" t="n">
        <x:v>0.005864977836608887</x:v>
      </x:c>
      <x:c r="AG1833" t="n">
        <x:f>_xlfn.XLOOKUP($A1833,Games!$A$2:$A$18,Games!$B$2:$B$18,"Missing game",0)</x:f>
        <x:v>2025</x:v>
      </x:c>
      <x:c r="AH1833" t="str">
        <x:f>_xlfn.XLOOKUP($A1833,Games!$A$2:$A$18,Games!$C$2:$C$18,"Missing game",0)</x:f>
        <x:v>REG</x:v>
      </x:c>
      <x:c r="AI1833" t="n">
        <x:f>_xlfn.XLOOKUP($A1833,Games!$A$2:$A$18,Games!$D$2:$D$18,"Missing game",0)</x:f>
        <x:v>12</x:v>
      </x:c>
      <x:c r="AJ1833" s="1" t="n">
        <x:f>_xlfn.XLOOKUP($A1833,Games!$A$2:$A$18,Games!$E$2:$E$18,"Missing game",0)</x:f>
        <x:v>45984</x:v>
      </x:c>
      <x:c r="AK1833" t="str">
        <x:f>_xlfn.XLOOKUP($A1833,Games!$A$2:$A$18,Games!$F$2:$F$18,"Missing game",0)</x:f>
        <x:v>Sunday</x:v>
      </x:c>
      <x:c r="AL1833" t="str">
        <x:f>_xlfn.XLOOKUP($A1833,Games!$A$2:$A$18,Games!$G$2:$G$18,"Missing game",0)</x:f>
        <x:v>MIN</x:v>
      </x:c>
      <x:c r="AM1833" t="n">
        <x:f>_xlfn.XLOOKUP($A1833,Games!$A$2:$A$18,Games!$H$2:$H$18,"Missing game",0)</x:f>
        <x:v>6</x:v>
      </x:c>
      <x:c r="AN1833" t="str">
        <x:f>_xlfn.XLOOKUP($A1833,Games!$A$2:$A$18,Games!$I$2:$I$18,"Missing game",0)</x:f>
        <x:v>GB</x:v>
      </x:c>
      <x:c r="AO1833" t="n">
        <x:f>_xlfn.XLOOKUP($A1833,Games!$A$2:$A$18,Games!$J$2:$J$18,"Missing game",0)</x:f>
        <x:v>23</x:v>
      </x:c>
      <x:c r="AP1833" t="n">
        <x:f>_xlfn.XLOOKUP($A1833,Games!$A$2:$A$18,Games!$K$2:$K$18,"Missing game",0)</x:f>
        <x:v>17</x:v>
      </x:c>
      <x:c r="AQ1833" t="n">
        <x:f>_xlfn.XLOOKUP($A1833,Games!$A$2:$A$18,Games!$L$2:$L$18,"Missing game",0)</x:f>
        <x:v>29</x:v>
      </x:c>
      <x:c r="AR1833" t="n">
        <x:f>_xlfn.XLOOKUP($A1833,Games!$A$2:$A$18,Games!$M$2:$M$18,"Missing game",0)</x:f>
        <x:v>0</x:v>
      </x:c>
      <x:c r="AS1833" t="str">
        <x:f>_xlfn.XLOOKUP($A1833,Games!$A$2:$A$18,Games!$N$2:$N$18,"Missing game",0)</x:f>
        <x:v>outdoors</x:v>
      </x:c>
      <x:c r="AT1833" t="str">
        <x:f>_xlfn.XLOOKUP($A1833,Games!$A$2:$A$18,Games!$O$2:$O$18,"Missing game",0)</x:f>
        <x:v>grass</x:v>
      </x:c>
      <x:c r="AU1833" t="n">
        <x:f>_xlfn.XLOOKUP($A1833,Games!$A$2:$A$18,Games!$P$2:$P$18,"Missing game",0)</x:f>
        <x:v>43</x:v>
      </x:c>
      <x:c r="AV1833" t="n">
        <x:f>_xlfn.XLOOKUP($A1833,Games!$A$2:$A$18,Games!$Q$2:$Q$18,"Missing game",0)</x:f>
        <x:v>10</x:v>
      </x:c>
      <x:c r="AW1833" t="str">
        <x:f>_xlfn.XLOOKUP($A1833,Games!$A$2:$A$18,Games!$R$2:$R$18,"Missing game",0)</x:f>
        <x:v>Lambeau Field</x:v>
      </x:c>
    </x:row>
    <x:row r="1834">
      <x:c r="A1834" t="str">
        <x:v>2025_12_MIN_GB</x:v>
      </x:c>
      <x:c r="B1834" t="n">
        <x:v>2943</x:v>
      </x:c>
      <x:c r="C1834" t="n">
        <x:v>4</x:v>
      </x:c>
      <x:c r="D1834" t="str">
        <x:v>09:35</x:v>
      </x:c>
      <x:c r="E1834" t="n">
        <x:v>1</x:v>
      </x:c>
      <x:c r="F1834" t="n">
        <x:v>10</x:v>
      </x:c>
      <x:c r="G1834" t="str">
        <x:v>GB</x:v>
      </x:c>
      <x:c r="H1834" t="str">
        <x:v>MIN</x:v>
      </x:c>
      <x:c r="I1834" t="str">
        <x:v>MIN</x:v>
      </x:c>
      <x:c r="J1834" t="n">
        <x:v>29</x:v>
      </x:c>
      <x:c r="K1834" t="str">
        <x:v>(9:35) PENALTY on GB-86-J.FitzPatrick, False Start, 5 yards, enforced at MIN 29 - No Play.</x:v>
      </x:c>
      <x:c r="L1834" t="str">
        <x:v>no_play</x:v>
      </x:c>
      <x:c r="M1834" t="n">
        <x:v>0</x:v>
      </x:c>
      <x:c r="N1834" t="n">
        <x:v>0</x:v>
      </x:c>
      <x:c r="O1834" t="n">
        <x:v>0</x:v>
      </x:c>
      <x:c r="P1834"/>
      <x:c r="Q1834"/>
      <x:c r="R1834"/>
      <x:c r="S1834"/>
      <x:c r="T1834"/>
      <x:c r="U1834"/>
      <x:c r="V1834" t="n">
        <x:v>0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1</x:v>
      </x:c>
      <x:c r="AB1834" t="n">
        <x:v>5</x:v>
      </x:c>
      <x:c r="AC1834" t="n">
        <x:v>0</x:v>
      </x:c>
      <x:c r="AD1834" t="n">
        <x:v>-0.743350992910564</x:v>
      </x:c>
      <x:c r="AE1834" t="n">
        <x:v>0</x:v>
      </x:c>
      <x:c r="AF1834" t="n">
        <x:v>-0.0011805295944213867</x:v>
      </x:c>
      <x:c r="AG1834" t="n">
        <x:f>_xlfn.XLOOKUP($A1834,Games!$A$2:$A$18,Games!$B$2:$B$18,"Missing game",0)</x:f>
        <x:v>2025</x:v>
      </x:c>
      <x:c r="AH1834" t="str">
        <x:f>_xlfn.XLOOKUP($A1834,Games!$A$2:$A$18,Games!$C$2:$C$18,"Missing game",0)</x:f>
        <x:v>REG</x:v>
      </x:c>
      <x:c r="AI1834" t="n">
        <x:f>_xlfn.XLOOKUP($A1834,Games!$A$2:$A$18,Games!$D$2:$D$18,"Missing game",0)</x:f>
        <x:v>12</x:v>
      </x:c>
      <x:c r="AJ1834" s="1" t="n">
        <x:f>_xlfn.XLOOKUP($A1834,Games!$A$2:$A$18,Games!$E$2:$E$18,"Missing game",0)</x:f>
        <x:v>45984</x:v>
      </x:c>
      <x:c r="AK1834" t="str">
        <x:f>_xlfn.XLOOKUP($A1834,Games!$A$2:$A$18,Games!$F$2:$F$18,"Missing game",0)</x:f>
        <x:v>Sunday</x:v>
      </x:c>
      <x:c r="AL1834" t="str">
        <x:f>_xlfn.XLOOKUP($A1834,Games!$A$2:$A$18,Games!$G$2:$G$18,"Missing game",0)</x:f>
        <x:v>MIN</x:v>
      </x:c>
      <x:c r="AM1834" t="n">
        <x:f>_xlfn.XLOOKUP($A1834,Games!$A$2:$A$18,Games!$H$2:$H$18,"Missing game",0)</x:f>
        <x:v>6</x:v>
      </x:c>
      <x:c r="AN1834" t="str">
        <x:f>_xlfn.XLOOKUP($A1834,Games!$A$2:$A$18,Games!$I$2:$I$18,"Missing game",0)</x:f>
        <x:v>GB</x:v>
      </x:c>
      <x:c r="AO1834" t="n">
        <x:f>_xlfn.XLOOKUP($A1834,Games!$A$2:$A$18,Games!$J$2:$J$18,"Missing game",0)</x:f>
        <x:v>23</x:v>
      </x:c>
      <x:c r="AP1834" t="n">
        <x:f>_xlfn.XLOOKUP($A1834,Games!$A$2:$A$18,Games!$K$2:$K$18,"Missing game",0)</x:f>
        <x:v>17</x:v>
      </x:c>
      <x:c r="AQ1834" t="n">
        <x:f>_xlfn.XLOOKUP($A1834,Games!$A$2:$A$18,Games!$L$2:$L$18,"Missing game",0)</x:f>
        <x:v>29</x:v>
      </x:c>
      <x:c r="AR1834" t="n">
        <x:f>_xlfn.XLOOKUP($A1834,Games!$A$2:$A$18,Games!$M$2:$M$18,"Missing game",0)</x:f>
        <x:v>0</x:v>
      </x:c>
      <x:c r="AS1834" t="str">
        <x:f>_xlfn.XLOOKUP($A1834,Games!$A$2:$A$18,Games!$N$2:$N$18,"Missing game",0)</x:f>
        <x:v>outdoors</x:v>
      </x:c>
      <x:c r="AT1834" t="str">
        <x:f>_xlfn.XLOOKUP($A1834,Games!$A$2:$A$18,Games!$O$2:$O$18,"Missing game",0)</x:f>
        <x:v>grass</x:v>
      </x:c>
      <x:c r="AU1834" t="n">
        <x:f>_xlfn.XLOOKUP($A1834,Games!$A$2:$A$18,Games!$P$2:$P$18,"Missing game",0)</x:f>
        <x:v>43</x:v>
      </x:c>
      <x:c r="AV1834" t="n">
        <x:f>_xlfn.XLOOKUP($A1834,Games!$A$2:$A$18,Games!$Q$2:$Q$18,"Missing game",0)</x:f>
        <x:v>10</x:v>
      </x:c>
      <x:c r="AW1834" t="str">
        <x:f>_xlfn.XLOOKUP($A1834,Games!$A$2:$A$18,Games!$R$2:$R$18,"Missing game",0)</x:f>
        <x:v>Lambeau Field</x:v>
      </x:c>
    </x:row>
    <x:row r="1835">
      <x:c r="A1835" t="str">
        <x:v>2025_12_MIN_GB</x:v>
      </x:c>
      <x:c r="B1835" t="n">
        <x:v>2967</x:v>
      </x:c>
      <x:c r="C1835" t="n">
        <x:v>4</x:v>
      </x:c>
      <x:c r="D1835" t="str">
        <x:v>09:35</x:v>
      </x:c>
      <x:c r="E1835" t="n">
        <x:v>1</x:v>
      </x:c>
      <x:c r="F1835" t="n">
        <x:v>15</x:v>
      </x:c>
      <x:c r="G1835" t="str">
        <x:v>GB</x:v>
      </x:c>
      <x:c r="H1835" t="str">
        <x:v>MIN</x:v>
      </x:c>
      <x:c r="I1835" t="str">
        <x:v>MIN</x:v>
      </x:c>
      <x:c r="J1835" t="n">
        <x:v>34</x:v>
      </x:c>
      <x:c r="K1835" t="str">
        <x:v>(9:35) 10-J.Love pass short right to 81-J.Whyle to MIN 33 for 1 yard (51-B.Cashman).</x:v>
      </x:c>
      <x:c r="L1835" t="str">
        <x:v>pass</x:v>
      </x:c>
      <x:c r="M1835" t="n">
        <x:v>1</x:v>
      </x:c>
      <x:c r="N1835" t="n">
        <x:v>0</x:v>
      </x:c>
      <x:c r="O1835" t="n">
        <x:v>0</x:v>
      </x:c>
      <x:c r="P1835" t="str">
        <x:v>short</x:v>
      </x:c>
      <x:c r="Q1835" t="str">
        <x:v>right</x:v>
      </x:c>
      <x:c r="R1835" t="n">
        <x:v>-3</x:v>
      </x:c>
      <x:c r="S1835" t="n">
        <x:v>4</x:v>
      </x:c>
      <x:c r="T1835"/>
      <x:c r="U1835"/>
      <x:c r="V1835" t="n">
        <x:v>1</x:v>
      </x:c>
      <x:c r="W1835" t="n">
        <x:v>0</x:v>
      </x:c>
      <x:c r="X1835" t="n">
        <x:v>0</x:v>
      </x:c>
      <x:c r="Y1835" t="n">
        <x:v>0</x:v>
      </x:c>
      <x:c r="Z1835" t="n">
        <x:v>0</x:v>
      </x:c>
      <x:c r="AA1835" t="n">
        <x:v>0</x:v>
      </x:c>
      <x:c r="AB1835"/>
      <x:c r="AC1835" t="n">
        <x:v>0</x:v>
      </x:c>
      <x:c r="AD1835" t="n">
        <x:v>-0.2834851089864969</x:v>
      </x:c>
      <x:c r="AE1835" t="n">
        <x:v>0</x:v>
      </x:c>
      <x:c r="AF1835" t="n">
        <x:v>-0.001053929328918457</x:v>
      </x:c>
      <x:c r="AG1835" t="n">
        <x:f>_xlfn.XLOOKUP($A1835,Games!$A$2:$A$18,Games!$B$2:$B$18,"Missing game",0)</x:f>
        <x:v>2025</x:v>
      </x:c>
      <x:c r="AH1835" t="str">
        <x:f>_xlfn.XLOOKUP($A1835,Games!$A$2:$A$18,Games!$C$2:$C$18,"Missing game",0)</x:f>
        <x:v>REG</x:v>
      </x:c>
      <x:c r="AI1835" t="n">
        <x:f>_xlfn.XLOOKUP($A1835,Games!$A$2:$A$18,Games!$D$2:$D$18,"Missing game",0)</x:f>
        <x:v>12</x:v>
      </x:c>
      <x:c r="AJ1835" s="1" t="n">
        <x:f>_xlfn.XLOOKUP($A1835,Games!$A$2:$A$18,Games!$E$2:$E$18,"Missing game",0)</x:f>
        <x:v>45984</x:v>
      </x:c>
      <x:c r="AK1835" t="str">
        <x:f>_xlfn.XLOOKUP($A1835,Games!$A$2:$A$18,Games!$F$2:$F$18,"Missing game",0)</x:f>
        <x:v>Sunday</x:v>
      </x:c>
      <x:c r="AL1835" t="str">
        <x:f>_xlfn.XLOOKUP($A1835,Games!$A$2:$A$18,Games!$G$2:$G$18,"Missing game",0)</x:f>
        <x:v>MIN</x:v>
      </x:c>
      <x:c r="AM1835" t="n">
        <x:f>_xlfn.XLOOKUP($A1835,Games!$A$2:$A$18,Games!$H$2:$H$18,"Missing game",0)</x:f>
        <x:v>6</x:v>
      </x:c>
      <x:c r="AN1835" t="str">
        <x:f>_xlfn.XLOOKUP($A1835,Games!$A$2:$A$18,Games!$I$2:$I$18,"Missing game",0)</x:f>
        <x:v>GB</x:v>
      </x:c>
      <x:c r="AO1835" t="n">
        <x:f>_xlfn.XLOOKUP($A1835,Games!$A$2:$A$18,Games!$J$2:$J$18,"Missing game",0)</x:f>
        <x:v>23</x:v>
      </x:c>
      <x:c r="AP1835" t="n">
        <x:f>_xlfn.XLOOKUP($A1835,Games!$A$2:$A$18,Games!$K$2:$K$18,"Missing game",0)</x:f>
        <x:v>17</x:v>
      </x:c>
      <x:c r="AQ1835" t="n">
        <x:f>_xlfn.XLOOKUP($A1835,Games!$A$2:$A$18,Games!$L$2:$L$18,"Missing game",0)</x:f>
        <x:v>29</x:v>
      </x:c>
      <x:c r="AR1835" t="n">
        <x:f>_xlfn.XLOOKUP($A1835,Games!$A$2:$A$18,Games!$M$2:$M$18,"Missing game",0)</x:f>
        <x:v>0</x:v>
      </x:c>
      <x:c r="AS1835" t="str">
        <x:f>_xlfn.XLOOKUP($A1835,Games!$A$2:$A$18,Games!$N$2:$N$18,"Missing game",0)</x:f>
        <x:v>outdoors</x:v>
      </x:c>
      <x:c r="AT1835" t="str">
        <x:f>_xlfn.XLOOKUP($A1835,Games!$A$2:$A$18,Games!$O$2:$O$18,"Missing game",0)</x:f>
        <x:v>grass</x:v>
      </x:c>
      <x:c r="AU1835" t="n">
        <x:f>_xlfn.XLOOKUP($A1835,Games!$A$2:$A$18,Games!$P$2:$P$18,"Missing game",0)</x:f>
        <x:v>43</x:v>
      </x:c>
      <x:c r="AV1835" t="n">
        <x:f>_xlfn.XLOOKUP($A1835,Games!$A$2:$A$18,Games!$Q$2:$Q$18,"Missing game",0)</x:f>
        <x:v>10</x:v>
      </x:c>
      <x:c r="AW1835" t="str">
        <x:f>_xlfn.XLOOKUP($A1835,Games!$A$2:$A$18,Games!$R$2:$R$18,"Missing game",0)</x:f>
        <x:v>Lambeau Field</x:v>
      </x:c>
    </x:row>
    <x:row r="1836">
      <x:c r="A1836" t="str">
        <x:v>2025_12_MIN_GB</x:v>
      </x:c>
      <x:c r="B1836" t="n">
        <x:v>2992</x:v>
      </x:c>
      <x:c r="C1836" t="n">
        <x:v>4</x:v>
      </x:c>
      <x:c r="D1836" t="str">
        <x:v>08:50</x:v>
      </x:c>
      <x:c r="E1836" t="n">
        <x:v>2</x:v>
      </x:c>
      <x:c r="F1836" t="n">
        <x:v>14</x:v>
      </x:c>
      <x:c r="G1836" t="str">
        <x:v>GB</x:v>
      </x:c>
      <x:c r="H1836" t="str">
        <x:v>MIN</x:v>
      </x:c>
      <x:c r="I1836" t="str">
        <x:v>MIN</x:v>
      </x:c>
      <x:c r="J1836" t="n">
        <x:v>33</x:v>
      </x:c>
      <x:c r="K1836" t="str">
        <x:v>(8:50) (Shotgun) 70-D.Kinnard reported in as eligible. 10-J.Love pass short left to 9-C.Watson ran ob at MIN 22 for 11 yards [50-L.Rodriguez].</x:v>
      </x:c>
      <x:c r="L1836" t="str">
        <x:v>pass</x:v>
      </x:c>
      <x:c r="M1836" t="n">
        <x:v>11</x:v>
      </x:c>
      <x:c r="N1836" t="n">
        <x:v>1</x:v>
      </x:c>
      <x:c r="O1836" t="n">
        <x:v>0</x:v>
      </x:c>
      <x:c r="P1836" t="str">
        <x:v>short</x:v>
      </x:c>
      <x:c r="Q1836" t="str">
        <x:v>left</x:v>
      </x:c>
      <x:c r="R1836" t="n">
        <x:v>11</x:v>
      </x:c>
      <x:c r="S1836" t="n">
        <x:v>0</x:v>
      </x:c>
      <x:c r="T1836"/>
      <x:c r="U1836"/>
      <x:c r="V1836" t="n">
        <x:v>1</x:v>
      </x:c>
      <x:c r="W1836" t="n">
        <x:v>0</x:v>
      </x:c>
      <x:c r="X1836" t="n">
        <x:v>0</x:v>
      </x:c>
      <x:c r="Y1836" t="n">
        <x:v>0</x:v>
      </x:c>
      <x:c r="Z1836" t="n">
        <x:v>0</x:v>
      </x:c>
      <x:c r="AA1836" t="n">
        <x:v>0</x:v>
      </x:c>
      <x:c r="AB1836"/>
      <x:c r="AC1836" t="n">
        <x:v>0</x:v>
      </x:c>
      <x:c r="AD1836" t="n">
        <x:v>0.9681352382176556</x:v>
      </x:c>
      <x:c r="AE1836" t="n">
        <x:v>1</x:v>
      </x:c>
      <x:c r="AF1836" t="n">
        <x:v>0.005011439323425293</x:v>
      </x:c>
      <x:c r="AG1836" t="n">
        <x:f>_xlfn.XLOOKUP($A1836,Games!$A$2:$A$18,Games!$B$2:$B$18,"Missing game",0)</x:f>
        <x:v>2025</x:v>
      </x:c>
      <x:c r="AH1836" t="str">
        <x:f>_xlfn.XLOOKUP($A1836,Games!$A$2:$A$18,Games!$C$2:$C$18,"Missing game",0)</x:f>
        <x:v>REG</x:v>
      </x:c>
      <x:c r="AI1836" t="n">
        <x:f>_xlfn.XLOOKUP($A1836,Games!$A$2:$A$18,Games!$D$2:$D$18,"Missing game",0)</x:f>
        <x:v>12</x:v>
      </x:c>
      <x:c r="AJ1836" s="1" t="n">
        <x:f>_xlfn.XLOOKUP($A1836,Games!$A$2:$A$18,Games!$E$2:$E$18,"Missing game",0)</x:f>
        <x:v>45984</x:v>
      </x:c>
      <x:c r="AK1836" t="str">
        <x:f>_xlfn.XLOOKUP($A1836,Games!$A$2:$A$18,Games!$F$2:$F$18,"Missing game",0)</x:f>
        <x:v>Sunday</x:v>
      </x:c>
      <x:c r="AL1836" t="str">
        <x:f>_xlfn.XLOOKUP($A1836,Games!$A$2:$A$18,Games!$G$2:$G$18,"Missing game",0)</x:f>
        <x:v>MIN</x:v>
      </x:c>
      <x:c r="AM1836" t="n">
        <x:f>_xlfn.XLOOKUP($A1836,Games!$A$2:$A$18,Games!$H$2:$H$18,"Missing game",0)</x:f>
        <x:v>6</x:v>
      </x:c>
      <x:c r="AN1836" t="str">
        <x:f>_xlfn.XLOOKUP($A1836,Games!$A$2:$A$18,Games!$I$2:$I$18,"Missing game",0)</x:f>
        <x:v>GB</x:v>
      </x:c>
      <x:c r="AO1836" t="n">
        <x:f>_xlfn.XLOOKUP($A1836,Games!$A$2:$A$18,Games!$J$2:$J$18,"Missing game",0)</x:f>
        <x:v>23</x:v>
      </x:c>
      <x:c r="AP1836" t="n">
        <x:f>_xlfn.XLOOKUP($A1836,Games!$A$2:$A$18,Games!$K$2:$K$18,"Missing game",0)</x:f>
        <x:v>17</x:v>
      </x:c>
      <x:c r="AQ1836" t="n">
        <x:f>_xlfn.XLOOKUP($A1836,Games!$A$2:$A$18,Games!$L$2:$L$18,"Missing game",0)</x:f>
        <x:v>29</x:v>
      </x:c>
      <x:c r="AR1836" t="n">
        <x:f>_xlfn.XLOOKUP($A1836,Games!$A$2:$A$18,Games!$M$2:$M$18,"Missing game",0)</x:f>
        <x:v>0</x:v>
      </x:c>
      <x:c r="AS1836" t="str">
        <x:f>_xlfn.XLOOKUP($A1836,Games!$A$2:$A$18,Games!$N$2:$N$18,"Missing game",0)</x:f>
        <x:v>outdoors</x:v>
      </x:c>
      <x:c r="AT1836" t="str">
        <x:f>_xlfn.XLOOKUP($A1836,Games!$A$2:$A$18,Games!$O$2:$O$18,"Missing game",0)</x:f>
        <x:v>grass</x:v>
      </x:c>
      <x:c r="AU1836" t="n">
        <x:f>_xlfn.XLOOKUP($A1836,Games!$A$2:$A$18,Games!$P$2:$P$18,"Missing game",0)</x:f>
        <x:v>43</x:v>
      </x:c>
      <x:c r="AV1836" t="n">
        <x:f>_xlfn.XLOOKUP($A1836,Games!$A$2:$A$18,Games!$Q$2:$Q$18,"Missing game",0)</x:f>
        <x:v>10</x:v>
      </x:c>
      <x:c r="AW1836" t="str">
        <x:f>_xlfn.XLOOKUP($A1836,Games!$A$2:$A$18,Games!$R$2:$R$18,"Missing game",0)</x:f>
        <x:v>Lambeau Field</x:v>
      </x:c>
    </x:row>
    <x:row r="1837">
      <x:c r="A1837" t="str">
        <x:v>2025_12_MIN_GB</x:v>
      </x:c>
      <x:c r="B1837" t="n">
        <x:v>3024</x:v>
      </x:c>
      <x:c r="C1837" t="n">
        <x:v>4</x:v>
      </x:c>
      <x:c r="D1837" t="str">
        <x:v>08:21</x:v>
      </x:c>
      <x:c r="E1837" t="n">
        <x:v>3</x:v>
      </x:c>
      <x:c r="F1837" t="n">
        <x:v>3</x:v>
      </x:c>
      <x:c r="G1837" t="str">
        <x:v>GB</x:v>
      </x:c>
      <x:c r="H1837" t="str">
        <x:v>MIN</x:v>
      </x:c>
      <x:c r="I1837" t="str">
        <x:v>MIN</x:v>
      </x:c>
      <x:c r="J1837" t="n">
        <x:v>22</x:v>
      </x:c>
      <x:c r="K1837" t="str">
        <x:v>(8:21) (No Huddle) 23-E.Wilson left tackle to MIN 21 for 1 yard (43-A.Van Ginkel).</x:v>
      </x:c>
      <x:c r="L1837" t="str">
        <x:v>run</x:v>
      </x:c>
      <x:c r="M1837" t="n">
        <x:v>1</x:v>
      </x:c>
      <x:c r="N1837" t="n">
        <x:v>0</x:v>
      </x:c>
      <x:c r="O1837" t="n">
        <x:v>1</x:v>
      </x:c>
      <x:c r="P1837"/>
      <x:c r="Q1837"/>
      <x:c r="R1837"/>
      <x:c r="S1837"/>
      <x:c r="T1837" t="str">
        <x:v>left</x:v>
      </x:c>
      <x:c r="U1837" t="str">
        <x:v>tackle</x:v>
      </x:c>
      <x:c r="V1837" t="n">
        <x:v>0</x:v>
      </x:c>
      <x:c r="W1837" t="n">
        <x:v>0</x:v>
      </x:c>
      <x:c r="X1837" t="n">
        <x:v>0</x:v>
      </x:c>
      <x:c r="Y1837" t="n">
        <x:v>0</x:v>
      </x:c>
      <x:c r="Z1837" t="n">
        <x:v>0</x:v>
      </x:c>
      <x:c r="AA1837" t="n">
        <x:v>0</x:v>
      </x:c>
      <x:c r="AB1837"/>
      <x:c r="AC1837" t="n">
        <x:v>0</x:v>
      </x:c>
      <x:c r="AD1837" t="n">
        <x:v>-1.3539925418142063</x:v>
      </x:c>
      <x:c r="AE1837" t="n">
        <x:v>0</x:v>
      </x:c>
      <x:c r="AF1837" t="n">
        <x:v>-0.0025401711463928223</x:v>
      </x:c>
      <x:c r="AG1837" t="n">
        <x:f>_xlfn.XLOOKUP($A1837,Games!$A$2:$A$18,Games!$B$2:$B$18,"Missing game",0)</x:f>
        <x:v>2025</x:v>
      </x:c>
      <x:c r="AH1837" t="str">
        <x:f>_xlfn.XLOOKUP($A1837,Games!$A$2:$A$18,Games!$C$2:$C$18,"Missing game",0)</x:f>
        <x:v>REG</x:v>
      </x:c>
      <x:c r="AI1837" t="n">
        <x:f>_xlfn.XLOOKUP($A1837,Games!$A$2:$A$18,Games!$D$2:$D$18,"Missing game",0)</x:f>
        <x:v>12</x:v>
      </x:c>
      <x:c r="AJ1837" s="1" t="n">
        <x:f>_xlfn.XLOOKUP($A1837,Games!$A$2:$A$18,Games!$E$2:$E$18,"Missing game",0)</x:f>
        <x:v>45984</x:v>
      </x:c>
      <x:c r="AK1837" t="str">
        <x:f>_xlfn.XLOOKUP($A1837,Games!$A$2:$A$18,Games!$F$2:$F$18,"Missing game",0)</x:f>
        <x:v>Sunday</x:v>
      </x:c>
      <x:c r="AL1837" t="str">
        <x:f>_xlfn.XLOOKUP($A1837,Games!$A$2:$A$18,Games!$G$2:$G$18,"Missing game",0)</x:f>
        <x:v>MIN</x:v>
      </x:c>
      <x:c r="AM1837" t="n">
        <x:f>_xlfn.XLOOKUP($A1837,Games!$A$2:$A$18,Games!$H$2:$H$18,"Missing game",0)</x:f>
        <x:v>6</x:v>
      </x:c>
      <x:c r="AN1837" t="str">
        <x:f>_xlfn.XLOOKUP($A1837,Games!$A$2:$A$18,Games!$I$2:$I$18,"Missing game",0)</x:f>
        <x:v>GB</x:v>
      </x:c>
      <x:c r="AO1837" t="n">
        <x:f>_xlfn.XLOOKUP($A1837,Games!$A$2:$A$18,Games!$J$2:$J$18,"Missing game",0)</x:f>
        <x:v>23</x:v>
      </x:c>
      <x:c r="AP1837" t="n">
        <x:f>_xlfn.XLOOKUP($A1837,Games!$A$2:$A$18,Games!$K$2:$K$18,"Missing game",0)</x:f>
        <x:v>17</x:v>
      </x:c>
      <x:c r="AQ1837" t="n">
        <x:f>_xlfn.XLOOKUP($A1837,Games!$A$2:$A$18,Games!$L$2:$L$18,"Missing game",0)</x:f>
        <x:v>29</x:v>
      </x:c>
      <x:c r="AR1837" t="n">
        <x:f>_xlfn.XLOOKUP($A1837,Games!$A$2:$A$18,Games!$M$2:$M$18,"Missing game",0)</x:f>
        <x:v>0</x:v>
      </x:c>
      <x:c r="AS1837" t="str">
        <x:f>_xlfn.XLOOKUP($A1837,Games!$A$2:$A$18,Games!$N$2:$N$18,"Missing game",0)</x:f>
        <x:v>outdoors</x:v>
      </x:c>
      <x:c r="AT1837" t="str">
        <x:f>_xlfn.XLOOKUP($A1837,Games!$A$2:$A$18,Games!$O$2:$O$18,"Missing game",0)</x:f>
        <x:v>grass</x:v>
      </x:c>
      <x:c r="AU1837" t="n">
        <x:f>_xlfn.XLOOKUP($A1837,Games!$A$2:$A$18,Games!$P$2:$P$18,"Missing game",0)</x:f>
        <x:v>43</x:v>
      </x:c>
      <x:c r="AV1837" t="n">
        <x:f>_xlfn.XLOOKUP($A1837,Games!$A$2:$A$18,Games!$Q$2:$Q$18,"Missing game",0)</x:f>
        <x:v>10</x:v>
      </x:c>
      <x:c r="AW1837" t="str">
        <x:f>_xlfn.XLOOKUP($A1837,Games!$A$2:$A$18,Games!$R$2:$R$18,"Missing game",0)</x:f>
        <x:v>Lambeau Field</x:v>
      </x:c>
    </x:row>
    <x:row r="1838">
      <x:c r="A1838" t="str">
        <x:v>2025_12_MIN_GB</x:v>
      </x:c>
      <x:c r="B1838" t="n">
        <x:v>3046</x:v>
      </x:c>
      <x:c r="C1838" t="n">
        <x:v>4</x:v>
      </x:c>
      <x:c r="D1838" t="str">
        <x:v>07:40</x:v>
      </x:c>
      <x:c r="E1838" t="n">
        <x:v>4</x:v>
      </x:c>
      <x:c r="F1838" t="n">
        <x:v>2</x:v>
      </x:c>
      <x:c r="G1838" t="str">
        <x:v>GB</x:v>
      </x:c>
      <x:c r="H1838" t="str">
        <x:v>MIN</x:v>
      </x:c>
      <x:c r="I1838" t="str">
        <x:v>MIN</x:v>
      </x:c>
      <x:c r="J1838" t="n">
        <x:v>21</x:v>
      </x:c>
      <x:c r="K1838" t="str">
        <x:v>(7:40) 17-B.McManus 40 yard field goal is GOOD, Center-42-M.Orzech, Holder-19-D.Whelan.</x:v>
      </x:c>
      <x:c r="L1838" t="str">
        <x:v>field_goal</x:v>
      </x:c>
      <x:c r="M1838" t="n">
        <x:v>0</x:v>
      </x:c>
      <x:c r="N1838" t="n">
        <x:v>0</x:v>
      </x:c>
      <x:c r="O1838" t="n">
        <x:v>0</x:v>
      </x:c>
      <x:c r="P1838"/>
      <x:c r="Q1838"/>
      <x:c r="R1838"/>
      <x:c r="S1838"/>
      <x:c r="T1838"/>
      <x:c r="U1838"/>
      <x:c r="V1838" t="n">
        <x:v>0</x:v>
      </x:c>
      <x:c r="W1838" t="n">
        <x:v>0</x:v>
      </x:c>
      <x:c r="X1838" t="n">
        <x:v>0</x:v>
      </x:c>
      <x:c r="Y1838" t="n">
        <x:v>0</x:v>
      </x:c>
      <x:c r="Z1838" t="n">
        <x:v>0</x:v>
      </x:c>
      <x:c r="AA1838" t="n">
        <x:v>0</x:v>
      </x:c>
      <x:c r="AB1838"/>
      <x:c r="AC1838" t="n">
        <x:v>0</x:v>
      </x:c>
      <x:c r="AD1838" t="n">
        <x:v>0.5761464752419685</x:v>
      </x:c>
      <x:c r="AE1838" t="n">
        <x:v>1</x:v>
      </x:c>
      <x:c r="AF1838" t="n">
        <x:v>-0.0010587126016616821</x:v>
      </x:c>
      <x:c r="AG1838" t="n">
        <x:f>_xlfn.XLOOKUP($A1838,Games!$A$2:$A$18,Games!$B$2:$B$18,"Missing game",0)</x:f>
        <x:v>2025</x:v>
      </x:c>
      <x:c r="AH1838" t="str">
        <x:f>_xlfn.XLOOKUP($A1838,Games!$A$2:$A$18,Games!$C$2:$C$18,"Missing game",0)</x:f>
        <x:v>REG</x:v>
      </x:c>
      <x:c r="AI1838" t="n">
        <x:f>_xlfn.XLOOKUP($A1838,Games!$A$2:$A$18,Games!$D$2:$D$18,"Missing game",0)</x:f>
        <x:v>12</x:v>
      </x:c>
      <x:c r="AJ1838" s="1" t="n">
        <x:f>_xlfn.XLOOKUP($A1838,Games!$A$2:$A$18,Games!$E$2:$E$18,"Missing game",0)</x:f>
        <x:v>45984</x:v>
      </x:c>
      <x:c r="AK1838" t="str">
        <x:f>_xlfn.XLOOKUP($A1838,Games!$A$2:$A$18,Games!$F$2:$F$18,"Missing game",0)</x:f>
        <x:v>Sunday</x:v>
      </x:c>
      <x:c r="AL1838" t="str">
        <x:f>_xlfn.XLOOKUP($A1838,Games!$A$2:$A$18,Games!$G$2:$G$18,"Missing game",0)</x:f>
        <x:v>MIN</x:v>
      </x:c>
      <x:c r="AM1838" t="n">
        <x:f>_xlfn.XLOOKUP($A1838,Games!$A$2:$A$18,Games!$H$2:$H$18,"Missing game",0)</x:f>
        <x:v>6</x:v>
      </x:c>
      <x:c r="AN1838" t="str">
        <x:f>_xlfn.XLOOKUP($A1838,Games!$A$2:$A$18,Games!$I$2:$I$18,"Missing game",0)</x:f>
        <x:v>GB</x:v>
      </x:c>
      <x:c r="AO1838" t="n">
        <x:f>_xlfn.XLOOKUP($A1838,Games!$A$2:$A$18,Games!$J$2:$J$18,"Missing game",0)</x:f>
        <x:v>23</x:v>
      </x:c>
      <x:c r="AP1838" t="n">
        <x:f>_xlfn.XLOOKUP($A1838,Games!$A$2:$A$18,Games!$K$2:$K$18,"Missing game",0)</x:f>
        <x:v>17</x:v>
      </x:c>
      <x:c r="AQ1838" t="n">
        <x:f>_xlfn.XLOOKUP($A1838,Games!$A$2:$A$18,Games!$L$2:$L$18,"Missing game",0)</x:f>
        <x:v>29</x:v>
      </x:c>
      <x:c r="AR1838" t="n">
        <x:f>_xlfn.XLOOKUP($A1838,Games!$A$2:$A$18,Games!$M$2:$M$18,"Missing game",0)</x:f>
        <x:v>0</x:v>
      </x:c>
      <x:c r="AS1838" t="str">
        <x:f>_xlfn.XLOOKUP($A1838,Games!$A$2:$A$18,Games!$N$2:$N$18,"Missing game",0)</x:f>
        <x:v>outdoors</x:v>
      </x:c>
      <x:c r="AT1838" t="str">
        <x:f>_xlfn.XLOOKUP($A1838,Games!$A$2:$A$18,Games!$O$2:$O$18,"Missing game",0)</x:f>
        <x:v>grass</x:v>
      </x:c>
      <x:c r="AU1838" t="n">
        <x:f>_xlfn.XLOOKUP($A1838,Games!$A$2:$A$18,Games!$P$2:$P$18,"Missing game",0)</x:f>
        <x:v>43</x:v>
      </x:c>
      <x:c r="AV1838" t="n">
        <x:f>_xlfn.XLOOKUP($A1838,Games!$A$2:$A$18,Games!$Q$2:$Q$18,"Missing game",0)</x:f>
        <x:v>10</x:v>
      </x:c>
      <x:c r="AW1838" t="str">
        <x:f>_xlfn.XLOOKUP($A1838,Games!$A$2:$A$18,Games!$R$2:$R$18,"Missing game",0)</x:f>
        <x:v>Lambeau Field</x:v>
      </x:c>
    </x:row>
    <x:row r="1839">
      <x:c r="A1839" t="str">
        <x:v>2025_12_MIN_GB</x:v>
      </x:c>
      <x:c r="B1839" t="n">
        <x:v>3066</x:v>
      </x:c>
      <x:c r="C1839" t="n">
        <x:v>4</x:v>
      </x:c>
      <x:c r="D1839" t="str">
        <x:v>07:36</x:v>
      </x:c>
      <x:c r="E1839"/>
      <x:c r="F1839" t="n">
        <x:v>0</x:v>
      </x:c>
      <x:c r="G1839" t="str">
        <x:v>MIN</x:v>
      </x:c>
      <x:c r="H1839" t="str">
        <x:v>GB</x:v>
      </x:c>
      <x:c r="I1839" t="str">
        <x:v>GB</x:v>
      </x:c>
      <x:c r="J1839" t="n">
        <x:v>35</x:v>
      </x:c>
      <x:c r="K1839" t="str">
        <x:v>17-B.McManus kicks 65 yards from GB 35 to end zone, Touchback to the MIN 35.</x:v>
      </x:c>
      <x:c r="L1839" t="str">
        <x:v>kickoff</x:v>
      </x:c>
      <x:c r="M1839" t="n">
        <x:v>0</x:v>
      </x:c>
      <x:c r="N1839" t="n">
        <x:v>0</x:v>
      </x:c>
      <x:c r="O1839" t="n">
        <x:v>0</x:v>
      </x:c>
      <x:c r="P1839"/>
      <x:c r="Q1839"/>
      <x:c r="R1839"/>
      <x:c r="S1839"/>
      <x:c r="T1839"/>
      <x:c r="U1839"/>
      <x:c r="V1839" t="n">
        <x:v>0</x:v>
      </x:c>
      <x:c r="W1839" t="n">
        <x:v>0</x:v>
      </x:c>
      <x:c r="X1839" t="n">
        <x:v>0</x:v>
      </x:c>
      <x:c r="Y1839" t="n">
        <x:v>0</x:v>
      </x:c>
      <x:c r="Z1839" t="n">
        <x:v>0</x:v>
      </x:c>
      <x:c r="AA1839" t="n">
        <x:v>0</x:v>
      </x:c>
      <x:c r="AB1839"/>
      <x:c r="AC1839" t="n">
        <x:v>0</x:v>
      </x:c>
      <x:c r="AD1839" t="n">
        <x:v>0.4870700624305755</x:v>
      </x:c>
      <x:c r="AE1839" t="n">
        <x:v>1</x:v>
      </x:c>
      <x:c r="AF1839" t="n">
        <x:v>0.0030340589582920074</x:v>
      </x:c>
      <x:c r="AG1839" t="n">
        <x:f>_xlfn.XLOOKUP($A1839,Games!$A$2:$A$18,Games!$B$2:$B$18,"Missing game",0)</x:f>
        <x:v>2025</x:v>
      </x:c>
      <x:c r="AH1839" t="str">
        <x:f>_xlfn.XLOOKUP($A1839,Games!$A$2:$A$18,Games!$C$2:$C$18,"Missing game",0)</x:f>
        <x:v>REG</x:v>
      </x:c>
      <x:c r="AI1839" t="n">
        <x:f>_xlfn.XLOOKUP($A1839,Games!$A$2:$A$18,Games!$D$2:$D$18,"Missing game",0)</x:f>
        <x:v>12</x:v>
      </x:c>
      <x:c r="AJ1839" s="1" t="n">
        <x:f>_xlfn.XLOOKUP($A1839,Games!$A$2:$A$18,Games!$E$2:$E$18,"Missing game",0)</x:f>
        <x:v>45984</x:v>
      </x:c>
      <x:c r="AK1839" t="str">
        <x:f>_xlfn.XLOOKUP($A1839,Games!$A$2:$A$18,Games!$F$2:$F$18,"Missing game",0)</x:f>
        <x:v>Sunday</x:v>
      </x:c>
      <x:c r="AL1839" t="str">
        <x:f>_xlfn.XLOOKUP($A1839,Games!$A$2:$A$18,Games!$G$2:$G$18,"Missing game",0)</x:f>
        <x:v>MIN</x:v>
      </x:c>
      <x:c r="AM1839" t="n">
        <x:f>_xlfn.XLOOKUP($A1839,Games!$A$2:$A$18,Games!$H$2:$H$18,"Missing game",0)</x:f>
        <x:v>6</x:v>
      </x:c>
      <x:c r="AN1839" t="str">
        <x:f>_xlfn.XLOOKUP($A1839,Games!$A$2:$A$18,Games!$I$2:$I$18,"Missing game",0)</x:f>
        <x:v>GB</x:v>
      </x:c>
      <x:c r="AO1839" t="n">
        <x:f>_xlfn.XLOOKUP($A1839,Games!$A$2:$A$18,Games!$J$2:$J$18,"Missing game",0)</x:f>
        <x:v>23</x:v>
      </x:c>
      <x:c r="AP1839" t="n">
        <x:f>_xlfn.XLOOKUP($A1839,Games!$A$2:$A$18,Games!$K$2:$K$18,"Missing game",0)</x:f>
        <x:v>17</x:v>
      </x:c>
      <x:c r="AQ1839" t="n">
        <x:f>_xlfn.XLOOKUP($A1839,Games!$A$2:$A$18,Games!$L$2:$L$18,"Missing game",0)</x:f>
        <x:v>29</x:v>
      </x:c>
      <x:c r="AR1839" t="n">
        <x:f>_xlfn.XLOOKUP($A1839,Games!$A$2:$A$18,Games!$M$2:$M$18,"Missing game",0)</x:f>
        <x:v>0</x:v>
      </x:c>
      <x:c r="AS1839" t="str">
        <x:f>_xlfn.XLOOKUP($A1839,Games!$A$2:$A$18,Games!$N$2:$N$18,"Missing game",0)</x:f>
        <x:v>outdoors</x:v>
      </x:c>
      <x:c r="AT1839" t="str">
        <x:f>_xlfn.XLOOKUP($A1839,Games!$A$2:$A$18,Games!$O$2:$O$18,"Missing game",0)</x:f>
        <x:v>grass</x:v>
      </x:c>
      <x:c r="AU1839" t="n">
        <x:f>_xlfn.XLOOKUP($A1839,Games!$A$2:$A$18,Games!$P$2:$P$18,"Missing game",0)</x:f>
        <x:v>43</x:v>
      </x:c>
      <x:c r="AV1839" t="n">
        <x:f>_xlfn.XLOOKUP($A1839,Games!$A$2:$A$18,Games!$Q$2:$Q$18,"Missing game",0)</x:f>
        <x:v>10</x:v>
      </x:c>
      <x:c r="AW1839" t="str">
        <x:f>_xlfn.XLOOKUP($A1839,Games!$A$2:$A$18,Games!$R$2:$R$18,"Missing game",0)</x:f>
        <x:v>Lambeau Field</x:v>
      </x:c>
    </x:row>
    <x:row r="1840">
      <x:c r="A1840" t="str">
        <x:v>2025_12_MIN_GB</x:v>
      </x:c>
      <x:c r="B1840" t="n">
        <x:v>3095</x:v>
      </x:c>
      <x:c r="C1840" t="n">
        <x:v>4</x:v>
      </x:c>
      <x:c r="D1840" t="str">
        <x:v>07:36</x:v>
      </x:c>
      <x:c r="E1840" t="n">
        <x:v>1</x:v>
      </x:c>
      <x:c r="F1840" t="n">
        <x:v>10</x:v>
      </x:c>
      <x:c r="G1840" t="str">
        <x:v>MIN</x:v>
      </x:c>
      <x:c r="H1840" t="str">
        <x:v>GB</x:v>
      </x:c>
      <x:c r="I1840" t="str">
        <x:v>MIN</x:v>
      </x:c>
      <x:c r="J1840" t="n">
        <x:v>65</x:v>
      </x:c>
      <x:c r="K1840" t="str">
        <x:v>(7:36) 9-J.McCarthy pass short middle intended for 18-J.Jefferson INTERCEPTED by 58-I.McDuffie (52-R.Gary) at MIN 40. 58-I.McDuffie to MIN 40 for no gain (33-A.Jones).</x:v>
      </x:c>
      <x:c r="L1840" t="str">
        <x:v>pass</x:v>
      </x:c>
      <x:c r="M1840" t="n">
        <x:v>0</x:v>
      </x:c>
      <x:c r="N1840" t="n">
        <x:v>0</x:v>
      </x:c>
      <x:c r="O1840" t="n">
        <x:v>0</x:v>
      </x:c>
      <x:c r="P1840" t="str">
        <x:v>short</x:v>
      </x:c>
      <x:c r="Q1840" t="str">
        <x:v>middle</x:v>
      </x:c>
      <x:c r="R1840" t="n">
        <x:v>5</x:v>
      </x:c>
      <x:c r="S1840"/>
      <x:c r="T1840"/>
      <x:c r="U1840"/>
      <x:c r="V1840" t="n">
        <x:v>0</x:v>
      </x:c>
      <x:c r="W1840" t="n">
        <x:v>0</x:v>
      </x:c>
      <x:c r="X1840" t="n">
        <x:v>0</x:v>
      </x:c>
      <x:c r="Y1840" t="n">
        <x:v>1</x:v>
      </x:c>
      <x:c r="Z1840" t="n">
        <x:v>0</x:v>
      </x:c>
      <x:c r="AA1840" t="n">
        <x:v>0</x:v>
      </x:c>
      <x:c r="AB1840"/>
      <x:c r="AC1840" t="n">
        <x:v>0</x:v>
      </x:c>
      <x:c r="AD1840" t="n">
        <x:v>-4.872970271157101</x:v>
      </x:c>
      <x:c r="AE1840" t="n">
        <x:v>0</x:v>
      </x:c>
      <x:c r="AF1840" t="n">
        <x:v>-0.01666678860783577</x:v>
      </x:c>
      <x:c r="AG1840" t="n">
        <x:f>_xlfn.XLOOKUP($A1840,Games!$A$2:$A$18,Games!$B$2:$B$18,"Missing game",0)</x:f>
        <x:v>2025</x:v>
      </x:c>
      <x:c r="AH1840" t="str">
        <x:f>_xlfn.XLOOKUP($A1840,Games!$A$2:$A$18,Games!$C$2:$C$18,"Missing game",0)</x:f>
        <x:v>REG</x:v>
      </x:c>
      <x:c r="AI1840" t="n">
        <x:f>_xlfn.XLOOKUP($A1840,Games!$A$2:$A$18,Games!$D$2:$D$18,"Missing game",0)</x:f>
        <x:v>12</x:v>
      </x:c>
      <x:c r="AJ1840" s="1" t="n">
        <x:f>_xlfn.XLOOKUP($A1840,Games!$A$2:$A$18,Games!$E$2:$E$18,"Missing game",0)</x:f>
        <x:v>45984</x:v>
      </x:c>
      <x:c r="AK1840" t="str">
        <x:f>_xlfn.XLOOKUP($A1840,Games!$A$2:$A$18,Games!$F$2:$F$18,"Missing game",0)</x:f>
        <x:v>Sunday</x:v>
      </x:c>
      <x:c r="AL1840" t="str">
        <x:f>_xlfn.XLOOKUP($A1840,Games!$A$2:$A$18,Games!$G$2:$G$18,"Missing game",0)</x:f>
        <x:v>MIN</x:v>
      </x:c>
      <x:c r="AM1840" t="n">
        <x:f>_xlfn.XLOOKUP($A1840,Games!$A$2:$A$18,Games!$H$2:$H$18,"Missing game",0)</x:f>
        <x:v>6</x:v>
      </x:c>
      <x:c r="AN1840" t="str">
        <x:f>_xlfn.XLOOKUP($A1840,Games!$A$2:$A$18,Games!$I$2:$I$18,"Missing game",0)</x:f>
        <x:v>GB</x:v>
      </x:c>
      <x:c r="AO1840" t="n">
        <x:f>_xlfn.XLOOKUP($A1840,Games!$A$2:$A$18,Games!$J$2:$J$18,"Missing game",0)</x:f>
        <x:v>23</x:v>
      </x:c>
      <x:c r="AP1840" t="n">
        <x:f>_xlfn.XLOOKUP($A1840,Games!$A$2:$A$18,Games!$K$2:$K$18,"Missing game",0)</x:f>
        <x:v>17</x:v>
      </x:c>
      <x:c r="AQ1840" t="n">
        <x:f>_xlfn.XLOOKUP($A1840,Games!$A$2:$A$18,Games!$L$2:$L$18,"Missing game",0)</x:f>
        <x:v>29</x:v>
      </x:c>
      <x:c r="AR1840" t="n">
        <x:f>_xlfn.XLOOKUP($A1840,Games!$A$2:$A$18,Games!$M$2:$M$18,"Missing game",0)</x:f>
        <x:v>0</x:v>
      </x:c>
      <x:c r="AS1840" t="str">
        <x:f>_xlfn.XLOOKUP($A1840,Games!$A$2:$A$18,Games!$N$2:$N$18,"Missing game",0)</x:f>
        <x:v>outdoors</x:v>
      </x:c>
      <x:c r="AT1840" t="str">
        <x:f>_xlfn.XLOOKUP($A1840,Games!$A$2:$A$18,Games!$O$2:$O$18,"Missing game",0)</x:f>
        <x:v>grass</x:v>
      </x:c>
      <x:c r="AU1840" t="n">
        <x:f>_xlfn.XLOOKUP($A1840,Games!$A$2:$A$18,Games!$P$2:$P$18,"Missing game",0)</x:f>
        <x:v>43</x:v>
      </x:c>
      <x:c r="AV1840" t="n">
        <x:f>_xlfn.XLOOKUP($A1840,Games!$A$2:$A$18,Games!$Q$2:$Q$18,"Missing game",0)</x:f>
        <x:v>10</x:v>
      </x:c>
      <x:c r="AW1840" t="str">
        <x:f>_xlfn.XLOOKUP($A1840,Games!$A$2:$A$18,Games!$R$2:$R$18,"Missing game",0)</x:f>
        <x:v>Lambeau Field</x:v>
      </x:c>
    </x:row>
    <x:row r="1841">
      <x:c r="A1841" t="str">
        <x:v>2025_12_MIN_GB</x:v>
      </x:c>
      <x:c r="B1841" t="n">
        <x:v>3122</x:v>
      </x:c>
      <x:c r="C1841" t="n">
        <x:v>4</x:v>
      </x:c>
      <x:c r="D1841" t="str">
        <x:v>07:30</x:v>
      </x:c>
      <x:c r="E1841" t="n">
        <x:v>1</x:v>
      </x:c>
      <x:c r="F1841" t="n">
        <x:v>10</x:v>
      </x:c>
      <x:c r="G1841" t="str">
        <x:v>GB</x:v>
      </x:c>
      <x:c r="H1841" t="str">
        <x:v>MIN</x:v>
      </x:c>
      <x:c r="I1841" t="str">
        <x:v>MIN</x:v>
      </x:c>
      <x:c r="J1841" t="n">
        <x:v>40</x:v>
      </x:c>
      <x:c r="K1841" t="str">
        <x:v>(7:30) (Shotgun) 23-E.Wilson up the middle to MIN 40 for no gain (55-E.Wilson).</x:v>
      </x:c>
      <x:c r="L1841" t="str">
        <x:v>run</x:v>
      </x:c>
      <x:c r="M1841" t="n">
        <x:v>0</x:v>
      </x:c>
      <x:c r="N1841" t="n">
        <x:v>1</x:v>
      </x:c>
      <x:c r="O1841" t="n">
        <x:v>0</x:v>
      </x:c>
      <x:c r="P1841"/>
      <x:c r="Q1841"/>
      <x:c r="R1841"/>
      <x:c r="S1841"/>
      <x:c r="T1841" t="str">
        <x:v>middle</x:v>
      </x:c>
      <x:c r="U1841"/>
      <x:c r="V1841" t="n">
        <x:v>0</x:v>
      </x:c>
      <x:c r="W1841" t="n">
        <x:v>0</x:v>
      </x:c>
      <x:c r="X1841" t="n">
        <x:v>0</x:v>
      </x:c>
      <x:c r="Y1841" t="n">
        <x:v>0</x:v>
      </x:c>
      <x:c r="Z1841" t="n">
        <x:v>0</x:v>
      </x:c>
      <x:c r="AA1841" t="n">
        <x:v>0</x:v>
      </x:c>
      <x:c r="AB1841"/>
      <x:c r="AC1841" t="n">
        <x:v>0</x:v>
      </x:c>
      <x:c r="AD1841" t="n">
        <x:v>-0.449844719725661</x:v>
      </x:c>
      <x:c r="AE1841" t="n">
        <x:v>0</x:v>
      </x:c>
      <x:c r="AF1841" t="n">
        <x:v>0.0024307966232299805</x:v>
      </x:c>
      <x:c r="AG1841" t="n">
        <x:f>_xlfn.XLOOKUP($A1841,Games!$A$2:$A$18,Games!$B$2:$B$18,"Missing game",0)</x:f>
        <x:v>2025</x:v>
      </x:c>
      <x:c r="AH1841" t="str">
        <x:f>_xlfn.XLOOKUP($A1841,Games!$A$2:$A$18,Games!$C$2:$C$18,"Missing game",0)</x:f>
        <x:v>REG</x:v>
      </x:c>
      <x:c r="AI1841" t="n">
        <x:f>_xlfn.XLOOKUP($A1841,Games!$A$2:$A$18,Games!$D$2:$D$18,"Missing game",0)</x:f>
        <x:v>12</x:v>
      </x:c>
      <x:c r="AJ1841" s="1" t="n">
        <x:f>_xlfn.XLOOKUP($A1841,Games!$A$2:$A$18,Games!$E$2:$E$18,"Missing game",0)</x:f>
        <x:v>45984</x:v>
      </x:c>
      <x:c r="AK1841" t="str">
        <x:f>_xlfn.XLOOKUP($A1841,Games!$A$2:$A$18,Games!$F$2:$F$18,"Missing game",0)</x:f>
        <x:v>Sunday</x:v>
      </x:c>
      <x:c r="AL1841" t="str">
        <x:f>_xlfn.XLOOKUP($A1841,Games!$A$2:$A$18,Games!$G$2:$G$18,"Missing game",0)</x:f>
        <x:v>MIN</x:v>
      </x:c>
      <x:c r="AM1841" t="n">
        <x:f>_xlfn.XLOOKUP($A1841,Games!$A$2:$A$18,Games!$H$2:$H$18,"Missing game",0)</x:f>
        <x:v>6</x:v>
      </x:c>
      <x:c r="AN1841" t="str">
        <x:f>_xlfn.XLOOKUP($A1841,Games!$A$2:$A$18,Games!$I$2:$I$18,"Missing game",0)</x:f>
        <x:v>GB</x:v>
      </x:c>
      <x:c r="AO1841" t="n">
        <x:f>_xlfn.XLOOKUP($A1841,Games!$A$2:$A$18,Games!$J$2:$J$18,"Missing game",0)</x:f>
        <x:v>23</x:v>
      </x:c>
      <x:c r="AP1841" t="n">
        <x:f>_xlfn.XLOOKUP($A1841,Games!$A$2:$A$18,Games!$K$2:$K$18,"Missing game",0)</x:f>
        <x:v>17</x:v>
      </x:c>
      <x:c r="AQ1841" t="n">
        <x:f>_xlfn.XLOOKUP($A1841,Games!$A$2:$A$18,Games!$L$2:$L$18,"Missing game",0)</x:f>
        <x:v>29</x:v>
      </x:c>
      <x:c r="AR1841" t="n">
        <x:f>_xlfn.XLOOKUP($A1841,Games!$A$2:$A$18,Games!$M$2:$M$18,"Missing game",0)</x:f>
        <x:v>0</x:v>
      </x:c>
      <x:c r="AS1841" t="str">
        <x:f>_xlfn.XLOOKUP($A1841,Games!$A$2:$A$18,Games!$N$2:$N$18,"Missing game",0)</x:f>
        <x:v>outdoors</x:v>
      </x:c>
      <x:c r="AT1841" t="str">
        <x:f>_xlfn.XLOOKUP($A1841,Games!$A$2:$A$18,Games!$O$2:$O$18,"Missing game",0)</x:f>
        <x:v>grass</x:v>
      </x:c>
      <x:c r="AU1841" t="n">
        <x:f>_xlfn.XLOOKUP($A1841,Games!$A$2:$A$18,Games!$P$2:$P$18,"Missing game",0)</x:f>
        <x:v>43</x:v>
      </x:c>
      <x:c r="AV1841" t="n">
        <x:f>_xlfn.XLOOKUP($A1841,Games!$A$2:$A$18,Games!$Q$2:$Q$18,"Missing game",0)</x:f>
        <x:v>10</x:v>
      </x:c>
      <x:c r="AW1841" t="str">
        <x:f>_xlfn.XLOOKUP($A1841,Games!$A$2:$A$18,Games!$R$2:$R$18,"Missing game",0)</x:f>
        <x:v>Lambeau Field</x:v>
      </x:c>
    </x:row>
    <x:row r="1842">
      <x:c r="A1842" t="str">
        <x:v>2025_12_MIN_GB</x:v>
      </x:c>
      <x:c r="B1842" t="n">
        <x:v>3144</x:v>
      </x:c>
      <x:c r="C1842" t="n">
        <x:v>4</x:v>
      </x:c>
      <x:c r="D1842" t="str">
        <x:v>06:43</x:v>
      </x:c>
      <x:c r="E1842" t="n">
        <x:v>2</x:v>
      </x:c>
      <x:c r="F1842" t="n">
        <x:v>10</x:v>
      </x:c>
      <x:c r="G1842" t="str">
        <x:v>GB</x:v>
      </x:c>
      <x:c r="H1842" t="str">
        <x:v>MIN</x:v>
      </x:c>
      <x:c r="I1842" t="str">
        <x:v>MIN</x:v>
      </x:c>
      <x:c r="J1842" t="n">
        <x:v>40</x:v>
      </x:c>
      <x:c r="K1842" t="str">
        <x:v>(6:43) (Shotgun) 23-E.Wilson up the middle to MIN 39 for 1 yard (44-J.Metellus; 90-T.Ingram-Dawkins).</x:v>
      </x:c>
      <x:c r="L1842" t="str">
        <x:v>run</x:v>
      </x:c>
      <x:c r="M1842" t="n">
        <x:v>1</x:v>
      </x:c>
      <x:c r="N1842" t="n">
        <x:v>1</x:v>
      </x:c>
      <x:c r="O1842" t="n">
        <x:v>0</x:v>
      </x:c>
      <x:c r="P1842"/>
      <x:c r="Q1842"/>
      <x:c r="R1842"/>
      <x:c r="S1842"/>
      <x:c r="T1842" t="str">
        <x:v>middle</x:v>
      </x:c>
      <x:c r="U1842"/>
      <x:c r="V1842" t="n">
        <x:v>0</x:v>
      </x:c>
      <x:c r="W1842" t="n">
        <x:v>0</x:v>
      </x:c>
      <x:c r="X1842" t="n">
        <x:v>0</x:v>
      </x:c>
      <x:c r="Y1842" t="n">
        <x:v>0</x:v>
      </x:c>
      <x:c r="Z1842" t="n">
        <x:v>0</x:v>
      </x:c>
      <x:c r="AA1842" t="n">
        <x:v>0</x:v>
      </x:c>
      <x:c r="AB1842"/>
      <x:c r="AC1842" t="n">
        <x:v>0</x:v>
      </x:c>
      <x:c r="AD1842" t="n">
        <x:v>-0.68613635096699</x:v>
      </x:c>
      <x:c r="AE1842" t="n">
        <x:v>0</x:v>
      </x:c>
      <x:c r="AF1842" t="n">
        <x:v>-0.00022727251052856445</x:v>
      </x:c>
      <x:c r="AG1842" t="n">
        <x:f>_xlfn.XLOOKUP($A1842,Games!$A$2:$A$18,Games!$B$2:$B$18,"Missing game",0)</x:f>
        <x:v>2025</x:v>
      </x:c>
      <x:c r="AH1842" t="str">
        <x:f>_xlfn.XLOOKUP($A1842,Games!$A$2:$A$18,Games!$C$2:$C$18,"Missing game",0)</x:f>
        <x:v>REG</x:v>
      </x:c>
      <x:c r="AI1842" t="n">
        <x:f>_xlfn.XLOOKUP($A1842,Games!$A$2:$A$18,Games!$D$2:$D$18,"Missing game",0)</x:f>
        <x:v>12</x:v>
      </x:c>
      <x:c r="AJ1842" s="1" t="n">
        <x:f>_xlfn.XLOOKUP($A1842,Games!$A$2:$A$18,Games!$E$2:$E$18,"Missing game",0)</x:f>
        <x:v>45984</x:v>
      </x:c>
      <x:c r="AK1842" t="str">
        <x:f>_xlfn.XLOOKUP($A1842,Games!$A$2:$A$18,Games!$F$2:$F$18,"Missing game",0)</x:f>
        <x:v>Sunday</x:v>
      </x:c>
      <x:c r="AL1842" t="str">
        <x:f>_xlfn.XLOOKUP($A1842,Games!$A$2:$A$18,Games!$G$2:$G$18,"Missing game",0)</x:f>
        <x:v>MIN</x:v>
      </x:c>
      <x:c r="AM1842" t="n">
        <x:f>_xlfn.XLOOKUP($A1842,Games!$A$2:$A$18,Games!$H$2:$H$18,"Missing game",0)</x:f>
        <x:v>6</x:v>
      </x:c>
      <x:c r="AN1842" t="str">
        <x:f>_xlfn.XLOOKUP($A1842,Games!$A$2:$A$18,Games!$I$2:$I$18,"Missing game",0)</x:f>
        <x:v>GB</x:v>
      </x:c>
      <x:c r="AO1842" t="n">
        <x:f>_xlfn.XLOOKUP($A1842,Games!$A$2:$A$18,Games!$J$2:$J$18,"Missing game",0)</x:f>
        <x:v>23</x:v>
      </x:c>
      <x:c r="AP1842" t="n">
        <x:f>_xlfn.XLOOKUP($A1842,Games!$A$2:$A$18,Games!$K$2:$K$18,"Missing game",0)</x:f>
        <x:v>17</x:v>
      </x:c>
      <x:c r="AQ1842" t="n">
        <x:f>_xlfn.XLOOKUP($A1842,Games!$A$2:$A$18,Games!$L$2:$L$18,"Missing game",0)</x:f>
        <x:v>29</x:v>
      </x:c>
      <x:c r="AR1842" t="n">
        <x:f>_xlfn.XLOOKUP($A1842,Games!$A$2:$A$18,Games!$M$2:$M$18,"Missing game",0)</x:f>
        <x:v>0</x:v>
      </x:c>
      <x:c r="AS1842" t="str">
        <x:f>_xlfn.XLOOKUP($A1842,Games!$A$2:$A$18,Games!$N$2:$N$18,"Missing game",0)</x:f>
        <x:v>outdoors</x:v>
      </x:c>
      <x:c r="AT1842" t="str">
        <x:f>_xlfn.XLOOKUP($A1842,Games!$A$2:$A$18,Games!$O$2:$O$18,"Missing game",0)</x:f>
        <x:v>grass</x:v>
      </x:c>
      <x:c r="AU1842" t="n">
        <x:f>_xlfn.XLOOKUP($A1842,Games!$A$2:$A$18,Games!$P$2:$P$18,"Missing game",0)</x:f>
        <x:v>43</x:v>
      </x:c>
      <x:c r="AV1842" t="n">
        <x:f>_xlfn.XLOOKUP($A1842,Games!$A$2:$A$18,Games!$Q$2:$Q$18,"Missing game",0)</x:f>
        <x:v>10</x:v>
      </x:c>
      <x:c r="AW1842" t="str">
        <x:f>_xlfn.XLOOKUP($A1842,Games!$A$2:$A$18,Games!$R$2:$R$18,"Missing game",0)</x:f>
        <x:v>Lambeau Field</x:v>
      </x:c>
    </x:row>
    <x:row r="1843">
      <x:c r="A1843" t="str">
        <x:v>2025_12_MIN_GB</x:v>
      </x:c>
      <x:c r="B1843" t="n">
        <x:v>3166</x:v>
      </x:c>
      <x:c r="C1843" t="n">
        <x:v>4</x:v>
      </x:c>
      <x:c r="D1843" t="str">
        <x:v>05:59</x:v>
      </x:c>
      <x:c r="E1843" t="n">
        <x:v>3</x:v>
      </x:c>
      <x:c r="F1843" t="n">
        <x:v>9</x:v>
      </x:c>
      <x:c r="G1843" t="str">
        <x:v>GB</x:v>
      </x:c>
      <x:c r="H1843" t="str">
        <x:v>MIN</x:v>
      </x:c>
      <x:c r="I1843" t="str">
        <x:v>MIN</x:v>
      </x:c>
      <x:c r="J1843" t="n">
        <x:v>39</x:v>
      </x:c>
      <x:c r="K1843" t="str">
        <x:v>(5:59) (Shotgun) 10-J.Love pass incomplete deep right to 13-D.Wicks (43-A.Van Ginkel, 7-B.Murphy) [15-D.Turner].</x:v>
      </x:c>
      <x:c r="L1843" t="str">
        <x:v>pass</x:v>
      </x:c>
      <x:c r="M1843" t="n">
        <x:v>0</x:v>
      </x:c>
      <x:c r="N1843" t="n">
        <x:v>1</x:v>
      </x:c>
      <x:c r="O1843" t="n">
        <x:v>0</x:v>
      </x:c>
      <x:c r="P1843" t="str">
        <x:v>deep</x:v>
      </x:c>
      <x:c r="Q1843" t="str">
        <x:v>right</x:v>
      </x:c>
      <x:c r="R1843" t="n">
        <x:v>19</x:v>
      </x:c>
      <x:c r="S1843"/>
      <x:c r="T1843"/>
      <x:c r="U1843"/>
      <x:c r="V1843" t="n">
        <x:v>0</x:v>
      </x:c>
      <x:c r="W1843" t="n">
        <x:v>0</x:v>
      </x:c>
      <x:c r="X1843" t="n">
        <x:v>0</x:v>
      </x:c>
      <x:c r="Y1843" t="n">
        <x:v>0</x:v>
      </x:c>
      <x:c r="Z1843" t="n">
        <x:v>0</x:v>
      </x:c>
      <x:c r="AA1843" t="n">
        <x:v>0</x:v>
      </x:c>
      <x:c r="AB1843"/>
      <x:c r="AC1843" t="n">
        <x:v>0</x:v>
      </x:c>
      <x:c r="AD1843" t="n">
        <x:v>-1.5484525016508996</x:v>
      </x:c>
      <x:c r="AE1843" t="n">
        <x:v>0</x:v>
      </x:c>
      <x:c r="AF1843" t="n">
        <x:v>-0.0006762146949768066</x:v>
      </x:c>
      <x:c r="AG1843" t="n">
        <x:f>_xlfn.XLOOKUP($A1843,Games!$A$2:$A$18,Games!$B$2:$B$18,"Missing game",0)</x:f>
        <x:v>2025</x:v>
      </x:c>
      <x:c r="AH1843" t="str">
        <x:f>_xlfn.XLOOKUP($A1843,Games!$A$2:$A$18,Games!$C$2:$C$18,"Missing game",0)</x:f>
        <x:v>REG</x:v>
      </x:c>
      <x:c r="AI1843" t="n">
        <x:f>_xlfn.XLOOKUP($A1843,Games!$A$2:$A$18,Games!$D$2:$D$18,"Missing game",0)</x:f>
        <x:v>12</x:v>
      </x:c>
      <x:c r="AJ1843" s="1" t="n">
        <x:f>_xlfn.XLOOKUP($A1843,Games!$A$2:$A$18,Games!$E$2:$E$18,"Missing game",0)</x:f>
        <x:v>45984</x:v>
      </x:c>
      <x:c r="AK1843" t="str">
        <x:f>_xlfn.XLOOKUP($A1843,Games!$A$2:$A$18,Games!$F$2:$F$18,"Missing game",0)</x:f>
        <x:v>Sunday</x:v>
      </x:c>
      <x:c r="AL1843" t="str">
        <x:f>_xlfn.XLOOKUP($A1843,Games!$A$2:$A$18,Games!$G$2:$G$18,"Missing game",0)</x:f>
        <x:v>MIN</x:v>
      </x:c>
      <x:c r="AM1843" t="n">
        <x:f>_xlfn.XLOOKUP($A1843,Games!$A$2:$A$18,Games!$H$2:$H$18,"Missing game",0)</x:f>
        <x:v>6</x:v>
      </x:c>
      <x:c r="AN1843" t="str">
        <x:f>_xlfn.XLOOKUP($A1843,Games!$A$2:$A$18,Games!$I$2:$I$18,"Missing game",0)</x:f>
        <x:v>GB</x:v>
      </x:c>
      <x:c r="AO1843" t="n">
        <x:f>_xlfn.XLOOKUP($A1843,Games!$A$2:$A$18,Games!$J$2:$J$18,"Missing game",0)</x:f>
        <x:v>23</x:v>
      </x:c>
      <x:c r="AP1843" t="n">
        <x:f>_xlfn.XLOOKUP($A1843,Games!$A$2:$A$18,Games!$K$2:$K$18,"Missing game",0)</x:f>
        <x:v>17</x:v>
      </x:c>
      <x:c r="AQ1843" t="n">
        <x:f>_xlfn.XLOOKUP($A1843,Games!$A$2:$A$18,Games!$L$2:$L$18,"Missing game",0)</x:f>
        <x:v>29</x:v>
      </x:c>
      <x:c r="AR1843" t="n">
        <x:f>_xlfn.XLOOKUP($A1843,Games!$A$2:$A$18,Games!$M$2:$M$18,"Missing game",0)</x:f>
        <x:v>0</x:v>
      </x:c>
      <x:c r="AS1843" t="str">
        <x:f>_xlfn.XLOOKUP($A1843,Games!$A$2:$A$18,Games!$N$2:$N$18,"Missing game",0)</x:f>
        <x:v>outdoors</x:v>
      </x:c>
      <x:c r="AT1843" t="str">
        <x:f>_xlfn.XLOOKUP($A1843,Games!$A$2:$A$18,Games!$O$2:$O$18,"Missing game",0)</x:f>
        <x:v>grass</x:v>
      </x:c>
      <x:c r="AU1843" t="n">
        <x:f>_xlfn.XLOOKUP($A1843,Games!$A$2:$A$18,Games!$P$2:$P$18,"Missing game",0)</x:f>
        <x:v>43</x:v>
      </x:c>
      <x:c r="AV1843" t="n">
        <x:f>_xlfn.XLOOKUP($A1843,Games!$A$2:$A$18,Games!$Q$2:$Q$18,"Missing game",0)</x:f>
        <x:v>10</x:v>
      </x:c>
      <x:c r="AW1843" t="str">
        <x:f>_xlfn.XLOOKUP($A1843,Games!$A$2:$A$18,Games!$R$2:$R$18,"Missing game",0)</x:f>
        <x:v>Lambeau Field</x:v>
      </x:c>
    </x:row>
    <x:row r="1844">
      <x:c r="A1844" t="str">
        <x:v>2025_12_MIN_GB</x:v>
      </x:c>
      <x:c r="B1844" t="n">
        <x:v>3178</x:v>
      </x:c>
      <x:c r="C1844" t="n">
        <x:v>4</x:v>
      </x:c>
      <x:c r="D1844" t="str">
        <x:v>05:59</x:v>
      </x:c>
      <x:c r="E1844"/>
      <x:c r="F1844" t="n">
        <x:v>0</x:v>
      </x:c>
      <x:c r="G1844"/>
      <x:c r="H1844"/>
      <x:c r="I1844"/>
      <x:c r="J1844"/>
      <x:c r="K1844" t="str">
        <x:v>Timeout #2 by GB at 05:59.</x:v>
      </x:c>
      <x:c r="L1844" t="str">
        <x:v>no_play</x:v>
      </x:c>
      <x:c r="M1844" t="n">
        <x:v>0</x:v>
      </x:c>
      <x:c r="N1844" t="n">
        <x:v>0</x:v>
      </x:c>
      <x:c r="O1844" t="n">
        <x:v>0</x:v>
      </x:c>
      <x:c r="P1844"/>
      <x:c r="Q1844"/>
      <x:c r="R1844"/>
      <x:c r="S1844"/>
      <x:c r="T1844"/>
      <x:c r="U1844"/>
      <x:c r="V1844" t="n">
        <x:v>0</x:v>
      </x:c>
      <x:c r="W1844" t="n">
        <x:v>0</x:v>
      </x:c>
      <x:c r="X1844" t="n">
        <x:v>0</x:v>
      </x:c>
      <x:c r="Y1844" t="n">
        <x:v>0</x:v>
      </x:c>
      <x:c r="Z1844" t="n">
        <x:v>0</x:v>
      </x:c>
      <x:c r="AA1844" t="n">
        <x:v>0</x:v>
      </x:c>
      <x:c r="AB1844"/>
      <x:c r="AC1844" t="n">
        <x:v>0</x:v>
      </x:c>
      <x:c r="AD1844" t="n">
        <x:v>0</x:v>
      </x:c>
      <x:c r="AE1844" t="n">
        <x:v>0</x:v>
      </x:c>
      <x:c r="AF1844" t="n">
        <x:v>0</x:v>
      </x:c>
      <x:c r="AG1844" t="n">
        <x:f>_xlfn.XLOOKUP($A1844,Games!$A$2:$A$18,Games!$B$2:$B$18,"Missing game",0)</x:f>
        <x:v>2025</x:v>
      </x:c>
      <x:c r="AH1844" t="str">
        <x:f>_xlfn.XLOOKUP($A1844,Games!$A$2:$A$18,Games!$C$2:$C$18,"Missing game",0)</x:f>
        <x:v>REG</x:v>
      </x:c>
      <x:c r="AI1844" t="n">
        <x:f>_xlfn.XLOOKUP($A1844,Games!$A$2:$A$18,Games!$D$2:$D$18,"Missing game",0)</x:f>
        <x:v>12</x:v>
      </x:c>
      <x:c r="AJ1844" s="1" t="n">
        <x:f>_xlfn.XLOOKUP($A1844,Games!$A$2:$A$18,Games!$E$2:$E$18,"Missing game",0)</x:f>
        <x:v>45984</x:v>
      </x:c>
      <x:c r="AK1844" t="str">
        <x:f>_xlfn.XLOOKUP($A1844,Games!$A$2:$A$18,Games!$F$2:$F$18,"Missing game",0)</x:f>
        <x:v>Sunday</x:v>
      </x:c>
      <x:c r="AL1844" t="str">
        <x:f>_xlfn.XLOOKUP($A1844,Games!$A$2:$A$18,Games!$G$2:$G$18,"Missing game",0)</x:f>
        <x:v>MIN</x:v>
      </x:c>
      <x:c r="AM1844" t="n">
        <x:f>_xlfn.XLOOKUP($A1844,Games!$A$2:$A$18,Games!$H$2:$H$18,"Missing game",0)</x:f>
        <x:v>6</x:v>
      </x:c>
      <x:c r="AN1844" t="str">
        <x:f>_xlfn.XLOOKUP($A1844,Games!$A$2:$A$18,Games!$I$2:$I$18,"Missing game",0)</x:f>
        <x:v>GB</x:v>
      </x:c>
      <x:c r="AO1844" t="n">
        <x:f>_xlfn.XLOOKUP($A1844,Games!$A$2:$A$18,Games!$J$2:$J$18,"Missing game",0)</x:f>
        <x:v>23</x:v>
      </x:c>
      <x:c r="AP1844" t="n">
        <x:f>_xlfn.XLOOKUP($A1844,Games!$A$2:$A$18,Games!$K$2:$K$18,"Missing game",0)</x:f>
        <x:v>17</x:v>
      </x:c>
      <x:c r="AQ1844" t="n">
        <x:f>_xlfn.XLOOKUP($A1844,Games!$A$2:$A$18,Games!$L$2:$L$18,"Missing game",0)</x:f>
        <x:v>29</x:v>
      </x:c>
      <x:c r="AR1844" t="n">
        <x:f>_xlfn.XLOOKUP($A1844,Games!$A$2:$A$18,Games!$M$2:$M$18,"Missing game",0)</x:f>
        <x:v>0</x:v>
      </x:c>
      <x:c r="AS1844" t="str">
        <x:f>_xlfn.XLOOKUP($A1844,Games!$A$2:$A$18,Games!$N$2:$N$18,"Missing game",0)</x:f>
        <x:v>outdoors</x:v>
      </x:c>
      <x:c r="AT1844" t="str">
        <x:f>_xlfn.XLOOKUP($A1844,Games!$A$2:$A$18,Games!$O$2:$O$18,"Missing game",0)</x:f>
        <x:v>grass</x:v>
      </x:c>
      <x:c r="AU1844" t="n">
        <x:f>_xlfn.XLOOKUP($A1844,Games!$A$2:$A$18,Games!$P$2:$P$18,"Missing game",0)</x:f>
        <x:v>43</x:v>
      </x:c>
      <x:c r="AV1844" t="n">
        <x:f>_xlfn.XLOOKUP($A1844,Games!$A$2:$A$18,Games!$Q$2:$Q$18,"Missing game",0)</x:f>
        <x:v>10</x:v>
      </x:c>
      <x:c r="AW1844" t="str">
        <x:f>_xlfn.XLOOKUP($A1844,Games!$A$2:$A$18,Games!$R$2:$R$18,"Missing game",0)</x:f>
        <x:v>Lambeau Field</x:v>
      </x:c>
    </x:row>
    <x:row r="1845">
      <x:c r="A1845" t="str">
        <x:v>2025_12_MIN_GB</x:v>
      </x:c>
      <x:c r="B1845" t="n">
        <x:v>3196</x:v>
      </x:c>
      <x:c r="C1845" t="n">
        <x:v>4</x:v>
      </x:c>
      <x:c r="D1845" t="str">
        <x:v>05:53</x:v>
      </x:c>
      <x:c r="E1845" t="n">
        <x:v>4</x:v>
      </x:c>
      <x:c r="F1845" t="n">
        <x:v>9</x:v>
      </x:c>
      <x:c r="G1845" t="str">
        <x:v>GB</x:v>
      </x:c>
      <x:c r="H1845" t="str">
        <x:v>MIN</x:v>
      </x:c>
      <x:c r="I1845" t="str">
        <x:v>MIN</x:v>
      </x:c>
      <x:c r="J1845" t="n">
        <x:v>39</x:v>
      </x:c>
      <x:c r="K1845" t="str">
        <x:v>(5:53) 19-D.Whelan punts 32 yards to MIN 7, Center-42-M.Orzech, out of bounds.</x:v>
      </x:c>
      <x:c r="L1845" t="str">
        <x:v>punt</x:v>
      </x:c>
      <x:c r="M1845" t="n">
        <x:v>0</x:v>
      </x:c>
      <x:c r="N1845" t="n">
        <x:v>0</x:v>
      </x:c>
      <x:c r="O1845" t="n">
        <x:v>0</x:v>
      </x:c>
      <x:c r="P1845"/>
      <x:c r="Q1845"/>
      <x:c r="R1845"/>
      <x:c r="S1845"/>
      <x:c r="T1845"/>
      <x:c r="U1845"/>
      <x:c r="V1845" t="n">
        <x:v>0</x:v>
      </x:c>
      <x:c r="W1845" t="n">
        <x:v>0</x:v>
      </x:c>
      <x:c r="X1845" t="n">
        <x:v>0</x:v>
      </x:c>
      <x:c r="Y1845" t="n">
        <x:v>0</x:v>
      </x:c>
      <x:c r="Z1845" t="n">
        <x:v>0</x:v>
      </x:c>
      <x:c r="AA1845" t="n">
        <x:v>0</x:v>
      </x:c>
      <x:c r="AB1845"/>
      <x:c r="AC1845" t="n">
        <x:v>0</x:v>
      </x:c>
      <x:c r="AD1845" t="n">
        <x:v>-0.38899966899771243</x:v>
      </x:c>
      <x:c r="AE1845" t="n">
        <x:v>0</x:v>
      </x:c>
      <x:c r="AF1845" t="n">
        <x:v>-0.004315804224461317</x:v>
      </x:c>
      <x:c r="AG1845" t="n">
        <x:f>_xlfn.XLOOKUP($A1845,Games!$A$2:$A$18,Games!$B$2:$B$18,"Missing game",0)</x:f>
        <x:v>2025</x:v>
      </x:c>
      <x:c r="AH1845" t="str">
        <x:f>_xlfn.XLOOKUP($A1845,Games!$A$2:$A$18,Games!$C$2:$C$18,"Missing game",0)</x:f>
        <x:v>REG</x:v>
      </x:c>
      <x:c r="AI1845" t="n">
        <x:f>_xlfn.XLOOKUP($A1845,Games!$A$2:$A$18,Games!$D$2:$D$18,"Missing game",0)</x:f>
        <x:v>12</x:v>
      </x:c>
      <x:c r="AJ1845" s="1" t="n">
        <x:f>_xlfn.XLOOKUP($A1845,Games!$A$2:$A$18,Games!$E$2:$E$18,"Missing game",0)</x:f>
        <x:v>45984</x:v>
      </x:c>
      <x:c r="AK1845" t="str">
        <x:f>_xlfn.XLOOKUP($A1845,Games!$A$2:$A$18,Games!$F$2:$F$18,"Missing game",0)</x:f>
        <x:v>Sunday</x:v>
      </x:c>
      <x:c r="AL1845" t="str">
        <x:f>_xlfn.XLOOKUP($A1845,Games!$A$2:$A$18,Games!$G$2:$G$18,"Missing game",0)</x:f>
        <x:v>MIN</x:v>
      </x:c>
      <x:c r="AM1845" t="n">
        <x:f>_xlfn.XLOOKUP($A1845,Games!$A$2:$A$18,Games!$H$2:$H$18,"Missing game",0)</x:f>
        <x:v>6</x:v>
      </x:c>
      <x:c r="AN1845" t="str">
        <x:f>_xlfn.XLOOKUP($A1845,Games!$A$2:$A$18,Games!$I$2:$I$18,"Missing game",0)</x:f>
        <x:v>GB</x:v>
      </x:c>
      <x:c r="AO1845" t="n">
        <x:f>_xlfn.XLOOKUP($A1845,Games!$A$2:$A$18,Games!$J$2:$J$18,"Missing game",0)</x:f>
        <x:v>23</x:v>
      </x:c>
      <x:c r="AP1845" t="n">
        <x:f>_xlfn.XLOOKUP($A1845,Games!$A$2:$A$18,Games!$K$2:$K$18,"Missing game",0)</x:f>
        <x:v>17</x:v>
      </x:c>
      <x:c r="AQ1845" t="n">
        <x:f>_xlfn.XLOOKUP($A1845,Games!$A$2:$A$18,Games!$L$2:$L$18,"Missing game",0)</x:f>
        <x:v>29</x:v>
      </x:c>
      <x:c r="AR1845" t="n">
        <x:f>_xlfn.XLOOKUP($A1845,Games!$A$2:$A$18,Games!$M$2:$M$18,"Missing game",0)</x:f>
        <x:v>0</x:v>
      </x:c>
      <x:c r="AS1845" t="str">
        <x:f>_xlfn.XLOOKUP($A1845,Games!$A$2:$A$18,Games!$N$2:$N$18,"Missing game",0)</x:f>
        <x:v>outdoors</x:v>
      </x:c>
      <x:c r="AT1845" t="str">
        <x:f>_xlfn.XLOOKUP($A1845,Games!$A$2:$A$18,Games!$O$2:$O$18,"Missing game",0)</x:f>
        <x:v>grass</x:v>
      </x:c>
      <x:c r="AU1845" t="n">
        <x:f>_xlfn.XLOOKUP($A1845,Games!$A$2:$A$18,Games!$P$2:$P$18,"Missing game",0)</x:f>
        <x:v>43</x:v>
      </x:c>
      <x:c r="AV1845" t="n">
        <x:f>_xlfn.XLOOKUP($A1845,Games!$A$2:$A$18,Games!$Q$2:$Q$18,"Missing game",0)</x:f>
        <x:v>10</x:v>
      </x:c>
      <x:c r="AW1845" t="str">
        <x:f>_xlfn.XLOOKUP($A1845,Games!$A$2:$A$18,Games!$R$2:$R$18,"Missing game",0)</x:f>
        <x:v>Lambeau Field</x:v>
      </x:c>
    </x:row>
    <x:row r="1846">
      <x:c r="A1846" t="str">
        <x:v>2025_12_MIN_GB</x:v>
      </x:c>
      <x:c r="B1846" t="n">
        <x:v>3215</x:v>
      </x:c>
      <x:c r="C1846" t="n">
        <x:v>4</x:v>
      </x:c>
      <x:c r="D1846" t="str">
        <x:v>05:46</x:v>
      </x:c>
      <x:c r="E1846" t="n">
        <x:v>1</x:v>
      </x:c>
      <x:c r="F1846" t="n">
        <x:v>10</x:v>
      </x:c>
      <x:c r="G1846" t="str">
        <x:v>MIN</x:v>
      </x:c>
      <x:c r="H1846" t="str">
        <x:v>GB</x:v>
      </x:c>
      <x:c r="I1846" t="str">
        <x:v>MIN</x:v>
      </x:c>
      <x:c r="J1846" t="n">
        <x:v>93</x:v>
      </x:c>
      <x:c r="K1846" t="str">
        <x:v>(5:46) 9-J.McCarthy pass short right to 18-J.Jefferson to MIN 14 for 7 yards (95-D.Wyatt).</x:v>
      </x:c>
      <x:c r="L1846" t="str">
        <x:v>pass</x:v>
      </x:c>
      <x:c r="M1846" t="n">
        <x:v>7</x:v>
      </x:c>
      <x:c r="N1846" t="n">
        <x:v>0</x:v>
      </x:c>
      <x:c r="O1846" t="n">
        <x:v>0</x:v>
      </x:c>
      <x:c r="P1846" t="str">
        <x:v>short</x:v>
      </x:c>
      <x:c r="Q1846" t="str">
        <x:v>right</x:v>
      </x:c>
      <x:c r="R1846" t="n">
        <x:v>-2</x:v>
      </x:c>
      <x:c r="S1846" t="n">
        <x:v>9</x:v>
      </x:c>
      <x:c r="T1846"/>
      <x:c r="U1846"/>
      <x:c r="V1846" t="n">
        <x:v>1</x:v>
      </x:c>
      <x:c r="W1846" t="n">
        <x:v>0</x:v>
      </x:c>
      <x:c r="X1846" t="n">
        <x:v>0</x:v>
      </x:c>
      <x:c r="Y1846" t="n">
        <x:v>0</x:v>
      </x:c>
      <x:c r="Z1846" t="n">
        <x:v>0</x:v>
      </x:c>
      <x:c r="AA1846" t="n">
        <x:v>0</x:v>
      </x:c>
      <x:c r="AB1846"/>
      <x:c r="AC1846" t="n">
        <x:v>0</x:v>
      </x:c>
      <x:c r="AD1846" t="n">
        <x:v>0.26834798348136246</x:v>
      </x:c>
      <x:c r="AE1846" t="n">
        <x:v>1</x:v>
      </x:c>
      <x:c r="AF1846" t="n">
        <x:v>-0.0021221358329057693</x:v>
      </x:c>
      <x:c r="AG1846" t="n">
        <x:f>_xlfn.XLOOKUP($A1846,Games!$A$2:$A$18,Games!$B$2:$B$18,"Missing game",0)</x:f>
        <x:v>2025</x:v>
      </x:c>
      <x:c r="AH1846" t="str">
        <x:f>_xlfn.XLOOKUP($A1846,Games!$A$2:$A$18,Games!$C$2:$C$18,"Missing game",0)</x:f>
        <x:v>REG</x:v>
      </x:c>
      <x:c r="AI1846" t="n">
        <x:f>_xlfn.XLOOKUP($A1846,Games!$A$2:$A$18,Games!$D$2:$D$18,"Missing game",0)</x:f>
        <x:v>12</x:v>
      </x:c>
      <x:c r="AJ1846" s="1" t="n">
        <x:f>_xlfn.XLOOKUP($A1846,Games!$A$2:$A$18,Games!$E$2:$E$18,"Missing game",0)</x:f>
        <x:v>45984</x:v>
      </x:c>
      <x:c r="AK1846" t="str">
        <x:f>_xlfn.XLOOKUP($A1846,Games!$A$2:$A$18,Games!$F$2:$F$18,"Missing game",0)</x:f>
        <x:v>Sunday</x:v>
      </x:c>
      <x:c r="AL1846" t="str">
        <x:f>_xlfn.XLOOKUP($A1846,Games!$A$2:$A$18,Games!$G$2:$G$18,"Missing game",0)</x:f>
        <x:v>MIN</x:v>
      </x:c>
      <x:c r="AM1846" t="n">
        <x:f>_xlfn.XLOOKUP($A1846,Games!$A$2:$A$18,Games!$H$2:$H$18,"Missing game",0)</x:f>
        <x:v>6</x:v>
      </x:c>
      <x:c r="AN1846" t="str">
        <x:f>_xlfn.XLOOKUP($A1846,Games!$A$2:$A$18,Games!$I$2:$I$18,"Missing game",0)</x:f>
        <x:v>GB</x:v>
      </x:c>
      <x:c r="AO1846" t="n">
        <x:f>_xlfn.XLOOKUP($A1846,Games!$A$2:$A$18,Games!$J$2:$J$18,"Missing game",0)</x:f>
        <x:v>23</x:v>
      </x:c>
      <x:c r="AP1846" t="n">
        <x:f>_xlfn.XLOOKUP($A1846,Games!$A$2:$A$18,Games!$K$2:$K$18,"Missing game",0)</x:f>
        <x:v>17</x:v>
      </x:c>
      <x:c r="AQ1846" t="n">
        <x:f>_xlfn.XLOOKUP($A1846,Games!$A$2:$A$18,Games!$L$2:$L$18,"Missing game",0)</x:f>
        <x:v>29</x:v>
      </x:c>
      <x:c r="AR1846" t="n">
        <x:f>_xlfn.XLOOKUP($A1846,Games!$A$2:$A$18,Games!$M$2:$M$18,"Missing game",0)</x:f>
        <x:v>0</x:v>
      </x:c>
      <x:c r="AS1846" t="str">
        <x:f>_xlfn.XLOOKUP($A1846,Games!$A$2:$A$18,Games!$N$2:$N$18,"Missing game",0)</x:f>
        <x:v>outdoors</x:v>
      </x:c>
      <x:c r="AT1846" t="str">
        <x:f>_xlfn.XLOOKUP($A1846,Games!$A$2:$A$18,Games!$O$2:$O$18,"Missing game",0)</x:f>
        <x:v>grass</x:v>
      </x:c>
      <x:c r="AU1846" t="n">
        <x:f>_xlfn.XLOOKUP($A1846,Games!$A$2:$A$18,Games!$P$2:$P$18,"Missing game",0)</x:f>
        <x:v>43</x:v>
      </x:c>
      <x:c r="AV1846" t="n">
        <x:f>_xlfn.XLOOKUP($A1846,Games!$A$2:$A$18,Games!$Q$2:$Q$18,"Missing game",0)</x:f>
        <x:v>10</x:v>
      </x:c>
      <x:c r="AW1846" t="str">
        <x:f>_xlfn.XLOOKUP($A1846,Games!$A$2:$A$18,Games!$R$2:$R$18,"Missing game",0)</x:f>
        <x:v>Lambeau Field</x:v>
      </x:c>
    </x:row>
    <x:row r="1847">
      <x:c r="A1847" t="str">
        <x:v>2025_12_MIN_GB</x:v>
      </x:c>
      <x:c r="B1847" t="n">
        <x:v>3240</x:v>
      </x:c>
      <x:c r="C1847" t="n">
        <x:v>4</x:v>
      </x:c>
      <x:c r="D1847" t="str">
        <x:v>05:23</x:v>
      </x:c>
      <x:c r="E1847" t="n">
        <x:v>2</x:v>
      </x:c>
      <x:c r="F1847" t="n">
        <x:v>3</x:v>
      </x:c>
      <x:c r="G1847" t="str">
        <x:v>MIN</x:v>
      </x:c>
      <x:c r="H1847" t="str">
        <x:v>GB</x:v>
      </x:c>
      <x:c r="I1847" t="str">
        <x:v>MIN</x:v>
      </x:c>
      <x:c r="J1847" t="n">
        <x:v>86</x:v>
      </x:c>
      <x:c r="K1847" t="str">
        <x:v>(5:23) (No Huddle, Shotgun) 9-J.McCarthy pass short right to 33-A.Jones pushed ob at MIN 18 for 4 yards (56-E.Cooper).</x:v>
      </x:c>
      <x:c r="L1847" t="str">
        <x:v>pass</x:v>
      </x:c>
      <x:c r="M1847" t="n">
        <x:v>4</x:v>
      </x:c>
      <x:c r="N1847" t="n">
        <x:v>1</x:v>
      </x:c>
      <x:c r="O1847" t="n">
        <x:v>1</x:v>
      </x:c>
      <x:c r="P1847" t="str">
        <x:v>short</x:v>
      </x:c>
      <x:c r="Q1847" t="str">
        <x:v>right</x:v>
      </x:c>
      <x:c r="R1847" t="n">
        <x:v>-5</x:v>
      </x:c>
      <x:c r="S1847" t="n">
        <x:v>9</x:v>
      </x:c>
      <x:c r="T1847"/>
      <x:c r="U1847"/>
      <x:c r="V1847" t="n">
        <x:v>1</x:v>
      </x:c>
      <x:c r="W1847" t="n">
        <x:v>1</x:v>
      </x:c>
      <x:c r="X1847" t="n">
        <x:v>0</x:v>
      </x:c>
      <x:c r="Y1847" t="n">
        <x:v>0</x:v>
      </x:c>
      <x:c r="Z1847" t="n">
        <x:v>0</x:v>
      </x:c>
      <x:c r="AA1847" t="n">
        <x:v>0</x:v>
      </x:c>
      <x:c r="AB1847"/>
      <x:c r="AC1847" t="n">
        <x:v>0</x:v>
      </x:c>
      <x:c r="AD1847" t="n">
        <x:v>0.24764066888019443</x:v>
      </x:c>
      <x:c r="AE1847" t="n">
        <x:v>1</x:v>
      </x:c>
      <x:c r="AF1847" t="n">
        <x:v>0.0001220465637743473</x:v>
      </x:c>
      <x:c r="AG1847" t="n">
        <x:f>_xlfn.XLOOKUP($A1847,Games!$A$2:$A$18,Games!$B$2:$B$18,"Missing game",0)</x:f>
        <x:v>2025</x:v>
      </x:c>
      <x:c r="AH1847" t="str">
        <x:f>_xlfn.XLOOKUP($A1847,Games!$A$2:$A$18,Games!$C$2:$C$18,"Missing game",0)</x:f>
        <x:v>REG</x:v>
      </x:c>
      <x:c r="AI1847" t="n">
        <x:f>_xlfn.XLOOKUP($A1847,Games!$A$2:$A$18,Games!$D$2:$D$18,"Missing game",0)</x:f>
        <x:v>12</x:v>
      </x:c>
      <x:c r="AJ1847" s="1" t="n">
        <x:f>_xlfn.XLOOKUP($A1847,Games!$A$2:$A$18,Games!$E$2:$E$18,"Missing game",0)</x:f>
        <x:v>45984</x:v>
      </x:c>
      <x:c r="AK1847" t="str">
        <x:f>_xlfn.XLOOKUP($A1847,Games!$A$2:$A$18,Games!$F$2:$F$18,"Missing game",0)</x:f>
        <x:v>Sunday</x:v>
      </x:c>
      <x:c r="AL1847" t="str">
        <x:f>_xlfn.XLOOKUP($A1847,Games!$A$2:$A$18,Games!$G$2:$G$18,"Missing game",0)</x:f>
        <x:v>MIN</x:v>
      </x:c>
      <x:c r="AM1847" t="n">
        <x:f>_xlfn.XLOOKUP($A1847,Games!$A$2:$A$18,Games!$H$2:$H$18,"Missing game",0)</x:f>
        <x:v>6</x:v>
      </x:c>
      <x:c r="AN1847" t="str">
        <x:f>_xlfn.XLOOKUP($A1847,Games!$A$2:$A$18,Games!$I$2:$I$18,"Missing game",0)</x:f>
        <x:v>GB</x:v>
      </x:c>
      <x:c r="AO1847" t="n">
        <x:f>_xlfn.XLOOKUP($A1847,Games!$A$2:$A$18,Games!$J$2:$J$18,"Missing game",0)</x:f>
        <x:v>23</x:v>
      </x:c>
      <x:c r="AP1847" t="n">
        <x:f>_xlfn.XLOOKUP($A1847,Games!$A$2:$A$18,Games!$K$2:$K$18,"Missing game",0)</x:f>
        <x:v>17</x:v>
      </x:c>
      <x:c r="AQ1847" t="n">
        <x:f>_xlfn.XLOOKUP($A1847,Games!$A$2:$A$18,Games!$L$2:$L$18,"Missing game",0)</x:f>
        <x:v>29</x:v>
      </x:c>
      <x:c r="AR1847" t="n">
        <x:f>_xlfn.XLOOKUP($A1847,Games!$A$2:$A$18,Games!$M$2:$M$18,"Missing game",0)</x:f>
        <x:v>0</x:v>
      </x:c>
      <x:c r="AS1847" t="str">
        <x:f>_xlfn.XLOOKUP($A1847,Games!$A$2:$A$18,Games!$N$2:$N$18,"Missing game",0)</x:f>
        <x:v>outdoors</x:v>
      </x:c>
      <x:c r="AT1847" t="str">
        <x:f>_xlfn.XLOOKUP($A1847,Games!$A$2:$A$18,Games!$O$2:$O$18,"Missing game",0)</x:f>
        <x:v>grass</x:v>
      </x:c>
      <x:c r="AU1847" t="n">
        <x:f>_xlfn.XLOOKUP($A1847,Games!$A$2:$A$18,Games!$P$2:$P$18,"Missing game",0)</x:f>
        <x:v>43</x:v>
      </x:c>
      <x:c r="AV1847" t="n">
        <x:f>_xlfn.XLOOKUP($A1847,Games!$A$2:$A$18,Games!$Q$2:$Q$18,"Missing game",0)</x:f>
        <x:v>10</x:v>
      </x:c>
      <x:c r="AW1847" t="str">
        <x:f>_xlfn.XLOOKUP($A1847,Games!$A$2:$A$18,Games!$R$2:$R$18,"Missing game",0)</x:f>
        <x:v>Lambeau Field</x:v>
      </x:c>
    </x:row>
    <x:row r="1848">
      <x:c r="A1848" t="str">
        <x:v>2025_12_MIN_GB</x:v>
      </x:c>
      <x:c r="B1848" t="n">
        <x:v>3270</x:v>
      </x:c>
      <x:c r="C1848" t="n">
        <x:v>4</x:v>
      </x:c>
      <x:c r="D1848" t="str">
        <x:v>05:01</x:v>
      </x:c>
      <x:c r="E1848" t="n">
        <x:v>1</x:v>
      </x:c>
      <x:c r="F1848" t="n">
        <x:v>10</x:v>
      </x:c>
      <x:c r="G1848" t="str">
        <x:v>MIN</x:v>
      </x:c>
      <x:c r="H1848" t="str">
        <x:v>GB</x:v>
      </x:c>
      <x:c r="I1848" t="str">
        <x:v>MIN</x:v>
      </x:c>
      <x:c r="J1848" t="n">
        <x:v>82</x:v>
      </x:c>
      <x:c r="K1848" t="str">
        <x:v>(5:01) (No Huddle, Shotgun) 9-J.McCarthy scrambles left end to MIN 28 for 10 yards (58-I.McDuffie; 36-K.Hadden).</x:v>
      </x:c>
      <x:c r="L1848" t="str">
        <x:v>run</x:v>
      </x:c>
      <x:c r="M1848" t="n">
        <x:v>10</x:v>
      </x:c>
      <x:c r="N1848" t="n">
        <x:v>1</x:v>
      </x:c>
      <x:c r="O1848" t="n">
        <x:v>1</x:v>
      </x:c>
      <x:c r="P1848"/>
      <x:c r="Q1848"/>
      <x:c r="R1848"/>
      <x:c r="S1848"/>
      <x:c r="T1848" t="str">
        <x:v>left</x:v>
      </x:c>
      <x:c r="U1848" t="str">
        <x:v>end</x:v>
      </x:c>
      <x:c r="V1848" t="n">
        <x:v>0</x:v>
      </x:c>
      <x:c r="W1848" t="n">
        <x:v>1</x:v>
      </x:c>
      <x:c r="X1848" t="n">
        <x:v>0</x:v>
      </x:c>
      <x:c r="Y1848" t="n">
        <x:v>0</x:v>
      </x:c>
      <x:c r="Z1848" t="n">
        <x:v>0</x:v>
      </x:c>
      <x:c r="AA1848" t="n">
        <x:v>0</x:v>
      </x:c>
      <x:c r="AB1848"/>
      <x:c r="AC1848" t="n">
        <x:v>0</x:v>
      </x:c>
      <x:c r="AD1848" t="n">
        <x:v>0.5741525946650654</x:v>
      </x:c>
      <x:c r="AE1848" t="n">
        <x:v>1</x:v>
      </x:c>
      <x:c r="AF1848" t="n">
        <x:v>-0.0019589667208492756</x:v>
      </x:c>
      <x:c r="AG1848" t="n">
        <x:f>_xlfn.XLOOKUP($A1848,Games!$A$2:$A$18,Games!$B$2:$B$18,"Missing game",0)</x:f>
        <x:v>2025</x:v>
      </x:c>
      <x:c r="AH1848" t="str">
        <x:f>_xlfn.XLOOKUP($A1848,Games!$A$2:$A$18,Games!$C$2:$C$18,"Missing game",0)</x:f>
        <x:v>REG</x:v>
      </x:c>
      <x:c r="AI1848" t="n">
        <x:f>_xlfn.XLOOKUP($A1848,Games!$A$2:$A$18,Games!$D$2:$D$18,"Missing game",0)</x:f>
        <x:v>12</x:v>
      </x:c>
      <x:c r="AJ1848" s="1" t="n">
        <x:f>_xlfn.XLOOKUP($A1848,Games!$A$2:$A$18,Games!$E$2:$E$18,"Missing game",0)</x:f>
        <x:v>45984</x:v>
      </x:c>
      <x:c r="AK1848" t="str">
        <x:f>_xlfn.XLOOKUP($A1848,Games!$A$2:$A$18,Games!$F$2:$F$18,"Missing game",0)</x:f>
        <x:v>Sunday</x:v>
      </x:c>
      <x:c r="AL1848" t="str">
        <x:f>_xlfn.XLOOKUP($A1848,Games!$A$2:$A$18,Games!$G$2:$G$18,"Missing game",0)</x:f>
        <x:v>MIN</x:v>
      </x:c>
      <x:c r="AM1848" t="n">
        <x:f>_xlfn.XLOOKUP($A1848,Games!$A$2:$A$18,Games!$H$2:$H$18,"Missing game",0)</x:f>
        <x:v>6</x:v>
      </x:c>
      <x:c r="AN1848" t="str">
        <x:f>_xlfn.XLOOKUP($A1848,Games!$A$2:$A$18,Games!$I$2:$I$18,"Missing game",0)</x:f>
        <x:v>GB</x:v>
      </x:c>
      <x:c r="AO1848" t="n">
        <x:f>_xlfn.XLOOKUP($A1848,Games!$A$2:$A$18,Games!$J$2:$J$18,"Missing game",0)</x:f>
        <x:v>23</x:v>
      </x:c>
      <x:c r="AP1848" t="n">
        <x:f>_xlfn.XLOOKUP($A1848,Games!$A$2:$A$18,Games!$K$2:$K$18,"Missing game",0)</x:f>
        <x:v>17</x:v>
      </x:c>
      <x:c r="AQ1848" t="n">
        <x:f>_xlfn.XLOOKUP($A1848,Games!$A$2:$A$18,Games!$L$2:$L$18,"Missing game",0)</x:f>
        <x:v>29</x:v>
      </x:c>
      <x:c r="AR1848" t="n">
        <x:f>_xlfn.XLOOKUP($A1848,Games!$A$2:$A$18,Games!$M$2:$M$18,"Missing game",0)</x:f>
        <x:v>0</x:v>
      </x:c>
      <x:c r="AS1848" t="str">
        <x:f>_xlfn.XLOOKUP($A1848,Games!$A$2:$A$18,Games!$N$2:$N$18,"Missing game",0)</x:f>
        <x:v>outdoors</x:v>
      </x:c>
      <x:c r="AT1848" t="str">
        <x:f>_xlfn.XLOOKUP($A1848,Games!$A$2:$A$18,Games!$O$2:$O$18,"Missing game",0)</x:f>
        <x:v>grass</x:v>
      </x:c>
      <x:c r="AU1848" t="n">
        <x:f>_xlfn.XLOOKUP($A1848,Games!$A$2:$A$18,Games!$P$2:$P$18,"Missing game",0)</x:f>
        <x:v>43</x:v>
      </x:c>
      <x:c r="AV1848" t="n">
        <x:f>_xlfn.XLOOKUP($A1848,Games!$A$2:$A$18,Games!$Q$2:$Q$18,"Missing game",0)</x:f>
        <x:v>10</x:v>
      </x:c>
      <x:c r="AW1848" t="str">
        <x:f>_xlfn.XLOOKUP($A1848,Games!$A$2:$A$18,Games!$R$2:$R$18,"Missing game",0)</x:f>
        <x:v>Lambeau Field</x:v>
      </x:c>
    </x:row>
    <x:row r="1849">
      <x:c r="A1849" t="str">
        <x:v>2025_12_MIN_GB</x:v>
      </x:c>
      <x:c r="B1849" t="n">
        <x:v>3292</x:v>
      </x:c>
      <x:c r="C1849" t="n">
        <x:v>4</x:v>
      </x:c>
      <x:c r="D1849" t="str">
        <x:v>04:19</x:v>
      </x:c>
      <x:c r="E1849" t="n">
        <x:v>1</x:v>
      </x:c>
      <x:c r="F1849" t="n">
        <x:v>10</x:v>
      </x:c>
      <x:c r="G1849" t="str">
        <x:v>MIN</x:v>
      </x:c>
      <x:c r="H1849" t="str">
        <x:v>GB</x:v>
      </x:c>
      <x:c r="I1849" t="str">
        <x:v>MIN</x:v>
      </x:c>
      <x:c r="J1849" t="n">
        <x:v>72</x:v>
      </x:c>
      <x:c r="K1849" t="str">
        <x:v>(4:19) (Shotgun) 9-J.McCarthy pass short middle to 87-T.Hockenson to MIN 33 for 5 yards (20-J.Bullard) [55-K.Enagbare].</x:v>
      </x:c>
      <x:c r="L1849" t="str">
        <x:v>pass</x:v>
      </x:c>
      <x:c r="M1849" t="n">
        <x:v>5</x:v>
      </x:c>
      <x:c r="N1849" t="n">
        <x:v>1</x:v>
      </x:c>
      <x:c r="O1849" t="n">
        <x:v>0</x:v>
      </x:c>
      <x:c r="P1849" t="str">
        <x:v>short</x:v>
      </x:c>
      <x:c r="Q1849" t="str">
        <x:v>middle</x:v>
      </x:c>
      <x:c r="R1849" t="n">
        <x:v>3</x:v>
      </x:c>
      <x:c r="S1849" t="n">
        <x:v>2</x:v>
      </x:c>
      <x:c r="T1849"/>
      <x:c r="U1849"/>
      <x:c r="V1849" t="n">
        <x:v>1</x:v>
      </x:c>
      <x:c r="W1849" t="n">
        <x:v>0</x:v>
      </x:c>
      <x:c r="X1849" t="n">
        <x:v>0</x:v>
      </x:c>
      <x:c r="Y1849" t="n">
        <x:v>0</x:v>
      </x:c>
      <x:c r="Z1849" t="n">
        <x:v>0</x:v>
      </x:c>
      <x:c r="AA1849" t="n">
        <x:v>0</x:v>
      </x:c>
      <x:c r="AB1849"/>
      <x:c r="AC1849" t="n">
        <x:v>0</x:v>
      </x:c>
      <x:c r="AD1849" t="n">
        <x:v>-0.06928434257861227</x:v>
      </x:c>
      <x:c r="AE1849" t="n">
        <x:v>0</x:v>
      </x:c>
      <x:c r="AF1849" t="n">
        <x:v>-0.0005901437252759933</x:v>
      </x:c>
      <x:c r="AG1849" t="n">
        <x:f>_xlfn.XLOOKUP($A1849,Games!$A$2:$A$18,Games!$B$2:$B$18,"Missing game",0)</x:f>
        <x:v>2025</x:v>
      </x:c>
      <x:c r="AH1849" t="str">
        <x:f>_xlfn.XLOOKUP($A1849,Games!$A$2:$A$18,Games!$C$2:$C$18,"Missing game",0)</x:f>
        <x:v>REG</x:v>
      </x:c>
      <x:c r="AI1849" t="n">
        <x:f>_xlfn.XLOOKUP($A1849,Games!$A$2:$A$18,Games!$D$2:$D$18,"Missing game",0)</x:f>
        <x:v>12</x:v>
      </x:c>
      <x:c r="AJ1849" s="1" t="n">
        <x:f>_xlfn.XLOOKUP($A1849,Games!$A$2:$A$18,Games!$E$2:$E$18,"Missing game",0)</x:f>
        <x:v>45984</x:v>
      </x:c>
      <x:c r="AK1849" t="str">
        <x:f>_xlfn.XLOOKUP($A1849,Games!$A$2:$A$18,Games!$F$2:$F$18,"Missing game",0)</x:f>
        <x:v>Sunday</x:v>
      </x:c>
      <x:c r="AL1849" t="str">
        <x:f>_xlfn.XLOOKUP($A1849,Games!$A$2:$A$18,Games!$G$2:$G$18,"Missing game",0)</x:f>
        <x:v>MIN</x:v>
      </x:c>
      <x:c r="AM1849" t="n">
        <x:f>_xlfn.XLOOKUP($A1849,Games!$A$2:$A$18,Games!$H$2:$H$18,"Missing game",0)</x:f>
        <x:v>6</x:v>
      </x:c>
      <x:c r="AN1849" t="str">
        <x:f>_xlfn.XLOOKUP($A1849,Games!$A$2:$A$18,Games!$I$2:$I$18,"Missing game",0)</x:f>
        <x:v>GB</x:v>
      </x:c>
      <x:c r="AO1849" t="n">
        <x:f>_xlfn.XLOOKUP($A1849,Games!$A$2:$A$18,Games!$J$2:$J$18,"Missing game",0)</x:f>
        <x:v>23</x:v>
      </x:c>
      <x:c r="AP1849" t="n">
        <x:f>_xlfn.XLOOKUP($A1849,Games!$A$2:$A$18,Games!$K$2:$K$18,"Missing game",0)</x:f>
        <x:v>17</x:v>
      </x:c>
      <x:c r="AQ1849" t="n">
        <x:f>_xlfn.XLOOKUP($A1849,Games!$A$2:$A$18,Games!$L$2:$L$18,"Missing game",0)</x:f>
        <x:v>29</x:v>
      </x:c>
      <x:c r="AR1849" t="n">
        <x:f>_xlfn.XLOOKUP($A1849,Games!$A$2:$A$18,Games!$M$2:$M$18,"Missing game",0)</x:f>
        <x:v>0</x:v>
      </x:c>
      <x:c r="AS1849" t="str">
        <x:f>_xlfn.XLOOKUP($A1849,Games!$A$2:$A$18,Games!$N$2:$N$18,"Missing game",0)</x:f>
        <x:v>outdoors</x:v>
      </x:c>
      <x:c r="AT1849" t="str">
        <x:f>_xlfn.XLOOKUP($A1849,Games!$A$2:$A$18,Games!$O$2:$O$18,"Missing game",0)</x:f>
        <x:v>grass</x:v>
      </x:c>
      <x:c r="AU1849" t="n">
        <x:f>_xlfn.XLOOKUP($A1849,Games!$A$2:$A$18,Games!$P$2:$P$18,"Missing game",0)</x:f>
        <x:v>43</x:v>
      </x:c>
      <x:c r="AV1849" t="n">
        <x:f>_xlfn.XLOOKUP($A1849,Games!$A$2:$A$18,Games!$Q$2:$Q$18,"Missing game",0)</x:f>
        <x:v>10</x:v>
      </x:c>
      <x:c r="AW1849" t="str">
        <x:f>_xlfn.XLOOKUP($A1849,Games!$A$2:$A$18,Games!$R$2:$R$18,"Missing game",0)</x:f>
        <x:v>Lambeau Field</x:v>
      </x:c>
    </x:row>
    <x:row r="1850">
      <x:c r="A1850" t="str">
        <x:v>2025_12_MIN_GB</x:v>
      </x:c>
      <x:c r="B1850" t="n">
        <x:v>3317</x:v>
      </x:c>
      <x:c r="C1850" t="n">
        <x:v>4</x:v>
      </x:c>
      <x:c r="D1850" t="str">
        <x:v>03:43</x:v>
      </x:c>
      <x:c r="E1850" t="n">
        <x:v>2</x:v>
      </x:c>
      <x:c r="F1850" t="n">
        <x:v>5</x:v>
      </x:c>
      <x:c r="G1850" t="str">
        <x:v>MIN</x:v>
      </x:c>
      <x:c r="H1850" t="str">
        <x:v>GB</x:v>
      </x:c>
      <x:c r="I1850" t="str">
        <x:v>MIN</x:v>
      </x:c>
      <x:c r="J1850" t="n">
        <x:v>67</x:v>
      </x:c>
      <x:c r="K1850" t="str">
        <x:v>(3:43) (No Huddle, Shotgun) 9-J.McCarthy pass deep middle intended for 1-J.Nailor INTERCEPTED by 33-E.Williams at GB 37. 33-E.Williams to GB 37 for no gain (1-J.Nailor).</x:v>
      </x:c>
      <x:c r="L1850" t="str">
        <x:v>pass</x:v>
      </x:c>
      <x:c r="M1850" t="n">
        <x:v>0</x:v>
      </x:c>
      <x:c r="N1850" t="n">
        <x:v>1</x:v>
      </x:c>
      <x:c r="O1850" t="n">
        <x:v>1</x:v>
      </x:c>
      <x:c r="P1850" t="str">
        <x:v>deep</x:v>
      </x:c>
      <x:c r="Q1850" t="str">
        <x:v>middle</x:v>
      </x:c>
      <x:c r="R1850" t="n">
        <x:v>30</x:v>
      </x:c>
      <x:c r="S1850"/>
      <x:c r="T1850"/>
      <x:c r="U1850"/>
      <x:c r="V1850" t="n">
        <x:v>0</x:v>
      </x:c>
      <x:c r="W1850" t="n">
        <x:v>0</x:v>
      </x:c>
      <x:c r="X1850" t="n">
        <x:v>0</x:v>
      </x:c>
      <x:c r="Y1850" t="n">
        <x:v>1</x:v>
      </x:c>
      <x:c r="Z1850" t="n">
        <x:v>0</x:v>
      </x:c>
      <x:c r="AA1850" t="n">
        <x:v>0</x:v>
      </x:c>
      <x:c r="AB1850"/>
      <x:c r="AC1850" t="n">
        <x:v>0</x:v>
      </x:c>
      <x:c r="AD1850" t="n">
        <x:v>-2.4525315144564956</x:v>
      </x:c>
      <x:c r="AE1850" t="n">
        <x:v>0</x:v>
      </x:c>
      <x:c r="AF1850" t="n">
        <x:v>-0.001143531408160925</x:v>
      </x:c>
      <x:c r="AG1850" t="n">
        <x:f>_xlfn.XLOOKUP($A1850,Games!$A$2:$A$18,Games!$B$2:$B$18,"Missing game",0)</x:f>
        <x:v>2025</x:v>
      </x:c>
      <x:c r="AH1850" t="str">
        <x:f>_xlfn.XLOOKUP($A1850,Games!$A$2:$A$18,Games!$C$2:$C$18,"Missing game",0)</x:f>
        <x:v>REG</x:v>
      </x:c>
      <x:c r="AI1850" t="n">
        <x:f>_xlfn.XLOOKUP($A1850,Games!$A$2:$A$18,Games!$D$2:$D$18,"Missing game",0)</x:f>
        <x:v>12</x:v>
      </x:c>
      <x:c r="AJ1850" s="1" t="n">
        <x:f>_xlfn.XLOOKUP($A1850,Games!$A$2:$A$18,Games!$E$2:$E$18,"Missing game",0)</x:f>
        <x:v>45984</x:v>
      </x:c>
      <x:c r="AK1850" t="str">
        <x:f>_xlfn.XLOOKUP($A1850,Games!$A$2:$A$18,Games!$F$2:$F$18,"Missing game",0)</x:f>
        <x:v>Sunday</x:v>
      </x:c>
      <x:c r="AL1850" t="str">
        <x:f>_xlfn.XLOOKUP($A1850,Games!$A$2:$A$18,Games!$G$2:$G$18,"Missing game",0)</x:f>
        <x:v>MIN</x:v>
      </x:c>
      <x:c r="AM1850" t="n">
        <x:f>_xlfn.XLOOKUP($A1850,Games!$A$2:$A$18,Games!$H$2:$H$18,"Missing game",0)</x:f>
        <x:v>6</x:v>
      </x:c>
      <x:c r="AN1850" t="str">
        <x:f>_xlfn.XLOOKUP($A1850,Games!$A$2:$A$18,Games!$I$2:$I$18,"Missing game",0)</x:f>
        <x:v>GB</x:v>
      </x:c>
      <x:c r="AO1850" t="n">
        <x:f>_xlfn.XLOOKUP($A1850,Games!$A$2:$A$18,Games!$J$2:$J$18,"Missing game",0)</x:f>
        <x:v>23</x:v>
      </x:c>
      <x:c r="AP1850" t="n">
        <x:f>_xlfn.XLOOKUP($A1850,Games!$A$2:$A$18,Games!$K$2:$K$18,"Missing game",0)</x:f>
        <x:v>17</x:v>
      </x:c>
      <x:c r="AQ1850" t="n">
        <x:f>_xlfn.XLOOKUP($A1850,Games!$A$2:$A$18,Games!$L$2:$L$18,"Missing game",0)</x:f>
        <x:v>29</x:v>
      </x:c>
      <x:c r="AR1850" t="n">
        <x:f>_xlfn.XLOOKUP($A1850,Games!$A$2:$A$18,Games!$M$2:$M$18,"Missing game",0)</x:f>
        <x:v>0</x:v>
      </x:c>
      <x:c r="AS1850" t="str">
        <x:f>_xlfn.XLOOKUP($A1850,Games!$A$2:$A$18,Games!$N$2:$N$18,"Missing game",0)</x:f>
        <x:v>outdoors</x:v>
      </x:c>
      <x:c r="AT1850" t="str">
        <x:f>_xlfn.XLOOKUP($A1850,Games!$A$2:$A$18,Games!$O$2:$O$18,"Missing game",0)</x:f>
        <x:v>grass</x:v>
      </x:c>
      <x:c r="AU1850" t="n">
        <x:f>_xlfn.XLOOKUP($A1850,Games!$A$2:$A$18,Games!$P$2:$P$18,"Missing game",0)</x:f>
        <x:v>43</x:v>
      </x:c>
      <x:c r="AV1850" t="n">
        <x:f>_xlfn.XLOOKUP($A1850,Games!$A$2:$A$18,Games!$Q$2:$Q$18,"Missing game",0)</x:f>
        <x:v>10</x:v>
      </x:c>
      <x:c r="AW1850" t="str">
        <x:f>_xlfn.XLOOKUP($A1850,Games!$A$2:$A$18,Games!$R$2:$R$18,"Missing game",0)</x:f>
        <x:v>Lambeau Field</x:v>
      </x:c>
    </x:row>
    <x:row r="1851">
      <x:c r="A1851" t="str">
        <x:v>2025_12_MIN_GB</x:v>
      </x:c>
      <x:c r="B1851" t="n">
        <x:v>3344</x:v>
      </x:c>
      <x:c r="C1851" t="n">
        <x:v>4</x:v>
      </x:c>
      <x:c r="D1851" t="str">
        <x:v>03:37</x:v>
      </x:c>
      <x:c r="E1851" t="n">
        <x:v>1</x:v>
      </x:c>
      <x:c r="F1851" t="n">
        <x:v>10</x:v>
      </x:c>
      <x:c r="G1851" t="str">
        <x:v>GB</x:v>
      </x:c>
      <x:c r="H1851" t="str">
        <x:v>MIN</x:v>
      </x:c>
      <x:c r="I1851" t="str">
        <x:v>GB</x:v>
      </x:c>
      <x:c r="J1851" t="n">
        <x:v>63</x:v>
      </x:c>
      <x:c r="K1851" t="str">
        <x:v>(3:37) 70-D.Kinnard reported in as eligible. 30-C.Brooks up the middle to GB 39 for 2 yards (61-J.Redmond).</x:v>
      </x:c>
      <x:c r="L1851" t="str">
        <x:v>run</x:v>
      </x:c>
      <x:c r="M1851" t="n">
        <x:v>2</x:v>
      </x:c>
      <x:c r="N1851" t="n">
        <x:v>0</x:v>
      </x:c>
      <x:c r="O1851" t="n">
        <x:v>0</x:v>
      </x:c>
      <x:c r="P1851"/>
      <x:c r="Q1851"/>
      <x:c r="R1851"/>
      <x:c r="S1851"/>
      <x:c r="T1851" t="str">
        <x:v>middle</x:v>
      </x:c>
      <x:c r="U1851"/>
      <x:c r="V1851" t="n">
        <x:v>0</x:v>
      </x:c>
      <x:c r="W1851" t="n">
        <x:v>0</x:v>
      </x:c>
      <x:c r="X1851" t="n">
        <x:v>0</x:v>
      </x:c>
      <x:c r="Y1851" t="n">
        <x:v>0</x:v>
      </x:c>
      <x:c r="Z1851" t="n">
        <x:v>0</x:v>
      </x:c>
      <x:c r="AA1851" t="n">
        <x:v>0</x:v>
      </x:c>
      <x:c r="AB1851"/>
      <x:c r="AC1851" t="n">
        <x:v>0</x:v>
      </x:c>
      <x:c r="AD1851" t="n">
        <x:v>-0.2956303720129654</x:v>
      </x:c>
      <x:c r="AE1851" t="n">
        <x:v>0</x:v>
      </x:c>
      <x:c r="AF1851" t="n">
        <x:v>-0.00026279687881469727</x:v>
      </x:c>
      <x:c r="AG1851" t="n">
        <x:f>_xlfn.XLOOKUP($A1851,Games!$A$2:$A$18,Games!$B$2:$B$18,"Missing game",0)</x:f>
        <x:v>2025</x:v>
      </x:c>
      <x:c r="AH1851" t="str">
        <x:f>_xlfn.XLOOKUP($A1851,Games!$A$2:$A$18,Games!$C$2:$C$18,"Missing game",0)</x:f>
        <x:v>REG</x:v>
      </x:c>
      <x:c r="AI1851" t="n">
        <x:f>_xlfn.XLOOKUP($A1851,Games!$A$2:$A$18,Games!$D$2:$D$18,"Missing game",0)</x:f>
        <x:v>12</x:v>
      </x:c>
      <x:c r="AJ1851" s="1" t="n">
        <x:f>_xlfn.XLOOKUP($A1851,Games!$A$2:$A$18,Games!$E$2:$E$18,"Missing game",0)</x:f>
        <x:v>45984</x:v>
      </x:c>
      <x:c r="AK1851" t="str">
        <x:f>_xlfn.XLOOKUP($A1851,Games!$A$2:$A$18,Games!$F$2:$F$18,"Missing game",0)</x:f>
        <x:v>Sunday</x:v>
      </x:c>
      <x:c r="AL1851" t="str">
        <x:f>_xlfn.XLOOKUP($A1851,Games!$A$2:$A$18,Games!$G$2:$G$18,"Missing game",0)</x:f>
        <x:v>MIN</x:v>
      </x:c>
      <x:c r="AM1851" t="n">
        <x:f>_xlfn.XLOOKUP($A1851,Games!$A$2:$A$18,Games!$H$2:$H$18,"Missing game",0)</x:f>
        <x:v>6</x:v>
      </x:c>
      <x:c r="AN1851" t="str">
        <x:f>_xlfn.XLOOKUP($A1851,Games!$A$2:$A$18,Games!$I$2:$I$18,"Missing game",0)</x:f>
        <x:v>GB</x:v>
      </x:c>
      <x:c r="AO1851" t="n">
        <x:f>_xlfn.XLOOKUP($A1851,Games!$A$2:$A$18,Games!$J$2:$J$18,"Missing game",0)</x:f>
        <x:v>23</x:v>
      </x:c>
      <x:c r="AP1851" t="n">
        <x:f>_xlfn.XLOOKUP($A1851,Games!$A$2:$A$18,Games!$K$2:$K$18,"Missing game",0)</x:f>
        <x:v>17</x:v>
      </x:c>
      <x:c r="AQ1851" t="n">
        <x:f>_xlfn.XLOOKUP($A1851,Games!$A$2:$A$18,Games!$L$2:$L$18,"Missing game",0)</x:f>
        <x:v>29</x:v>
      </x:c>
      <x:c r="AR1851" t="n">
        <x:f>_xlfn.XLOOKUP($A1851,Games!$A$2:$A$18,Games!$M$2:$M$18,"Missing game",0)</x:f>
        <x:v>0</x:v>
      </x:c>
      <x:c r="AS1851" t="str">
        <x:f>_xlfn.XLOOKUP($A1851,Games!$A$2:$A$18,Games!$N$2:$N$18,"Missing game",0)</x:f>
        <x:v>outdoors</x:v>
      </x:c>
      <x:c r="AT1851" t="str">
        <x:f>_xlfn.XLOOKUP($A1851,Games!$A$2:$A$18,Games!$O$2:$O$18,"Missing game",0)</x:f>
        <x:v>grass</x:v>
      </x:c>
      <x:c r="AU1851" t="n">
        <x:f>_xlfn.XLOOKUP($A1851,Games!$A$2:$A$18,Games!$P$2:$P$18,"Missing game",0)</x:f>
        <x:v>43</x:v>
      </x:c>
      <x:c r="AV1851" t="n">
        <x:f>_xlfn.XLOOKUP($A1851,Games!$A$2:$A$18,Games!$Q$2:$Q$18,"Missing game",0)</x:f>
        <x:v>10</x:v>
      </x:c>
      <x:c r="AW1851" t="str">
        <x:f>_xlfn.XLOOKUP($A1851,Games!$A$2:$A$18,Games!$R$2:$R$18,"Missing game",0)</x:f>
        <x:v>Lambeau Field</x:v>
      </x:c>
    </x:row>
    <x:row r="1852">
      <x:c r="A1852" t="str">
        <x:v>2025_12_MIN_GB</x:v>
      </x:c>
      <x:c r="B1852" t="n">
        <x:v>3368</x:v>
      </x:c>
      <x:c r="C1852" t="n">
        <x:v>4</x:v>
      </x:c>
      <x:c r="D1852" t="str">
        <x:v>02:52</x:v>
      </x:c>
      <x:c r="E1852" t="n">
        <x:v>2</x:v>
      </x:c>
      <x:c r="F1852" t="n">
        <x:v>8</x:v>
      </x:c>
      <x:c r="G1852" t="str">
        <x:v>GB</x:v>
      </x:c>
      <x:c r="H1852" t="str">
        <x:v>MIN</x:v>
      </x:c>
      <x:c r="I1852" t="str">
        <x:v>GB</x:v>
      </x:c>
      <x:c r="J1852" t="n">
        <x:v>61</x:v>
      </x:c>
      <x:c r="K1852" t="str">
        <x:v>(2:52) (Shotgun) 30-C.Brooks up the middle to GB 49 for 10 yards (51-B.Cashman).</x:v>
      </x:c>
      <x:c r="L1852" t="str">
        <x:v>run</x:v>
      </x:c>
      <x:c r="M1852" t="n">
        <x:v>10</x:v>
      </x:c>
      <x:c r="N1852" t="n">
        <x:v>1</x:v>
      </x:c>
      <x:c r="O1852" t="n">
        <x:v>0</x:v>
      </x:c>
      <x:c r="P1852"/>
      <x:c r="Q1852"/>
      <x:c r="R1852"/>
      <x:c r="S1852"/>
      <x:c r="T1852" t="str">
        <x:v>middle</x:v>
      </x:c>
      <x:c r="U1852"/>
      <x:c r="V1852" t="n">
        <x:v>0</x:v>
      </x:c>
      <x:c r="W1852" t="n">
        <x:v>1</x:v>
      </x:c>
      <x:c r="X1852" t="n">
        <x:v>0</x:v>
      </x:c>
      <x:c r="Y1852" t="n">
        <x:v>0</x:v>
      </x:c>
      <x:c r="Z1852" t="n">
        <x:v>0</x:v>
      </x:c>
      <x:c r="AA1852" t="n">
        <x:v>0</x:v>
      </x:c>
      <x:c r="AB1852"/>
      <x:c r="AC1852" t="n">
        <x:v>0</x:v>
      </x:c>
      <x:c r="AD1852" t="n">
        <x:v>1.1078289025463164</x:v>
      </x:c>
      <x:c r="AE1852" t="n">
        <x:v>1</x:v>
      </x:c>
      <x:c r="AF1852" t="n">
        <x:v>0.0005397796630859375</x:v>
      </x:c>
      <x:c r="AG1852" t="n">
        <x:f>_xlfn.XLOOKUP($A1852,Games!$A$2:$A$18,Games!$B$2:$B$18,"Missing game",0)</x:f>
        <x:v>2025</x:v>
      </x:c>
      <x:c r="AH1852" t="str">
        <x:f>_xlfn.XLOOKUP($A1852,Games!$A$2:$A$18,Games!$C$2:$C$18,"Missing game",0)</x:f>
        <x:v>REG</x:v>
      </x:c>
      <x:c r="AI1852" t="n">
        <x:f>_xlfn.XLOOKUP($A1852,Games!$A$2:$A$18,Games!$D$2:$D$18,"Missing game",0)</x:f>
        <x:v>12</x:v>
      </x:c>
      <x:c r="AJ1852" s="1" t="n">
        <x:f>_xlfn.XLOOKUP($A1852,Games!$A$2:$A$18,Games!$E$2:$E$18,"Missing game",0)</x:f>
        <x:v>45984</x:v>
      </x:c>
      <x:c r="AK1852" t="str">
        <x:f>_xlfn.XLOOKUP($A1852,Games!$A$2:$A$18,Games!$F$2:$F$18,"Missing game",0)</x:f>
        <x:v>Sunday</x:v>
      </x:c>
      <x:c r="AL1852" t="str">
        <x:f>_xlfn.XLOOKUP($A1852,Games!$A$2:$A$18,Games!$G$2:$G$18,"Missing game",0)</x:f>
        <x:v>MIN</x:v>
      </x:c>
      <x:c r="AM1852" t="n">
        <x:f>_xlfn.XLOOKUP($A1852,Games!$A$2:$A$18,Games!$H$2:$H$18,"Missing game",0)</x:f>
        <x:v>6</x:v>
      </x:c>
      <x:c r="AN1852" t="str">
        <x:f>_xlfn.XLOOKUP($A1852,Games!$A$2:$A$18,Games!$I$2:$I$18,"Missing game",0)</x:f>
        <x:v>GB</x:v>
      </x:c>
      <x:c r="AO1852" t="n">
        <x:f>_xlfn.XLOOKUP($A1852,Games!$A$2:$A$18,Games!$J$2:$J$18,"Missing game",0)</x:f>
        <x:v>23</x:v>
      </x:c>
      <x:c r="AP1852" t="n">
        <x:f>_xlfn.XLOOKUP($A1852,Games!$A$2:$A$18,Games!$K$2:$K$18,"Missing game",0)</x:f>
        <x:v>17</x:v>
      </x:c>
      <x:c r="AQ1852" t="n">
        <x:f>_xlfn.XLOOKUP($A1852,Games!$A$2:$A$18,Games!$L$2:$L$18,"Missing game",0)</x:f>
        <x:v>29</x:v>
      </x:c>
      <x:c r="AR1852" t="n">
        <x:f>_xlfn.XLOOKUP($A1852,Games!$A$2:$A$18,Games!$M$2:$M$18,"Missing game",0)</x:f>
        <x:v>0</x:v>
      </x:c>
      <x:c r="AS1852" t="str">
        <x:f>_xlfn.XLOOKUP($A1852,Games!$A$2:$A$18,Games!$N$2:$N$18,"Missing game",0)</x:f>
        <x:v>outdoors</x:v>
      </x:c>
      <x:c r="AT1852" t="str">
        <x:f>_xlfn.XLOOKUP($A1852,Games!$A$2:$A$18,Games!$O$2:$O$18,"Missing game",0)</x:f>
        <x:v>grass</x:v>
      </x:c>
      <x:c r="AU1852" t="n">
        <x:f>_xlfn.XLOOKUP($A1852,Games!$A$2:$A$18,Games!$P$2:$P$18,"Missing game",0)</x:f>
        <x:v>43</x:v>
      </x:c>
      <x:c r="AV1852" t="n">
        <x:f>_xlfn.XLOOKUP($A1852,Games!$A$2:$A$18,Games!$Q$2:$Q$18,"Missing game",0)</x:f>
        <x:v>10</x:v>
      </x:c>
      <x:c r="AW1852" t="str">
        <x:f>_xlfn.XLOOKUP($A1852,Games!$A$2:$A$18,Games!$R$2:$R$18,"Missing game",0)</x:f>
        <x:v>Lambeau Field</x:v>
      </x:c>
    </x:row>
    <x:row r="1853">
      <x:c r="A1853" t="str">
        <x:v>2025_12_MIN_GB</x:v>
      </x:c>
      <x:c r="B1853" t="n">
        <x:v>3390</x:v>
      </x:c>
      <x:c r="C1853" t="n">
        <x:v>4</x:v>
      </x:c>
      <x:c r="D1853" t="str">
        <x:v>02:06</x:v>
      </x:c>
      <x:c r="E1853" t="n">
        <x:v>1</x:v>
      </x:c>
      <x:c r="F1853" t="n">
        <x:v>10</x:v>
      </x:c>
      <x:c r="G1853" t="str">
        <x:v>GB</x:v>
      </x:c>
      <x:c r="H1853" t="str">
        <x:v>MIN</x:v>
      </x:c>
      <x:c r="I1853" t="str">
        <x:v>GB</x:v>
      </x:c>
      <x:c r="J1853" t="n">
        <x:v>51</x:v>
      </x:c>
      <x:c r="K1853" t="str">
        <x:v>(2:06) 30-C.Brooks up the middle to MIN 49 for 2 yards (51-B.Cashman; 15-D.Turner).</x:v>
      </x:c>
      <x:c r="L1853" t="str">
        <x:v>run</x:v>
      </x:c>
      <x:c r="M1853" t="n">
        <x:v>2</x:v>
      </x:c>
      <x:c r="N1853" t="n">
        <x:v>0</x:v>
      </x:c>
      <x:c r="O1853" t="n">
        <x:v>0</x:v>
      </x:c>
      <x:c r="P1853"/>
      <x:c r="Q1853"/>
      <x:c r="R1853"/>
      <x:c r="S1853"/>
      <x:c r="T1853" t="str">
        <x:v>middle</x:v>
      </x:c>
      <x:c r="U1853"/>
      <x:c r="V1853" t="n">
        <x:v>0</x:v>
      </x:c>
      <x:c r="W1853" t="n">
        <x:v>0</x:v>
      </x:c>
      <x:c r="X1853" t="n">
        <x:v>0</x:v>
      </x:c>
      <x:c r="Y1853" t="n">
        <x:v>0</x:v>
      </x:c>
      <x:c r="Z1853" t="n">
        <x:v>0</x:v>
      </x:c>
      <x:c r="AA1853" t="n">
        <x:v>0</x:v>
      </x:c>
      <x:c r="AB1853"/>
      <x:c r="AC1853" t="n">
        <x:v>0</x:v>
      </x:c>
      <x:c r="AD1853" t="n">
        <x:v>-0.3839893438271247</x:v>
      </x:c>
      <x:c r="AE1853" t="n">
        <x:v>0</x:v>
      </x:c>
      <x:c r="AF1853" t="n">
        <x:v>-0.00009369850158691406</x:v>
      </x:c>
      <x:c r="AG1853" t="n">
        <x:f>_xlfn.XLOOKUP($A1853,Games!$A$2:$A$18,Games!$B$2:$B$18,"Missing game",0)</x:f>
        <x:v>2025</x:v>
      </x:c>
      <x:c r="AH1853" t="str">
        <x:f>_xlfn.XLOOKUP($A1853,Games!$A$2:$A$18,Games!$C$2:$C$18,"Missing game",0)</x:f>
        <x:v>REG</x:v>
      </x:c>
      <x:c r="AI1853" t="n">
        <x:f>_xlfn.XLOOKUP($A1853,Games!$A$2:$A$18,Games!$D$2:$D$18,"Missing game",0)</x:f>
        <x:v>12</x:v>
      </x:c>
      <x:c r="AJ1853" s="1" t="n">
        <x:f>_xlfn.XLOOKUP($A1853,Games!$A$2:$A$18,Games!$E$2:$E$18,"Missing game",0)</x:f>
        <x:v>45984</x:v>
      </x:c>
      <x:c r="AK1853" t="str">
        <x:f>_xlfn.XLOOKUP($A1853,Games!$A$2:$A$18,Games!$F$2:$F$18,"Missing game",0)</x:f>
        <x:v>Sunday</x:v>
      </x:c>
      <x:c r="AL1853" t="str">
        <x:f>_xlfn.XLOOKUP($A1853,Games!$A$2:$A$18,Games!$G$2:$G$18,"Missing game",0)</x:f>
        <x:v>MIN</x:v>
      </x:c>
      <x:c r="AM1853" t="n">
        <x:f>_xlfn.XLOOKUP($A1853,Games!$A$2:$A$18,Games!$H$2:$H$18,"Missing game",0)</x:f>
        <x:v>6</x:v>
      </x:c>
      <x:c r="AN1853" t="str">
        <x:f>_xlfn.XLOOKUP($A1853,Games!$A$2:$A$18,Games!$I$2:$I$18,"Missing game",0)</x:f>
        <x:v>GB</x:v>
      </x:c>
      <x:c r="AO1853" t="n">
        <x:f>_xlfn.XLOOKUP($A1853,Games!$A$2:$A$18,Games!$J$2:$J$18,"Missing game",0)</x:f>
        <x:v>23</x:v>
      </x:c>
      <x:c r="AP1853" t="n">
        <x:f>_xlfn.XLOOKUP($A1853,Games!$A$2:$A$18,Games!$K$2:$K$18,"Missing game",0)</x:f>
        <x:v>17</x:v>
      </x:c>
      <x:c r="AQ1853" t="n">
        <x:f>_xlfn.XLOOKUP($A1853,Games!$A$2:$A$18,Games!$L$2:$L$18,"Missing game",0)</x:f>
        <x:v>29</x:v>
      </x:c>
      <x:c r="AR1853" t="n">
        <x:f>_xlfn.XLOOKUP($A1853,Games!$A$2:$A$18,Games!$M$2:$M$18,"Missing game",0)</x:f>
        <x:v>0</x:v>
      </x:c>
      <x:c r="AS1853" t="str">
        <x:f>_xlfn.XLOOKUP($A1853,Games!$A$2:$A$18,Games!$N$2:$N$18,"Missing game",0)</x:f>
        <x:v>outdoors</x:v>
      </x:c>
      <x:c r="AT1853" t="str">
        <x:f>_xlfn.XLOOKUP($A1853,Games!$A$2:$A$18,Games!$O$2:$O$18,"Missing game",0)</x:f>
        <x:v>grass</x:v>
      </x:c>
      <x:c r="AU1853" t="n">
        <x:f>_xlfn.XLOOKUP($A1853,Games!$A$2:$A$18,Games!$P$2:$P$18,"Missing game",0)</x:f>
        <x:v>43</x:v>
      </x:c>
      <x:c r="AV1853" t="n">
        <x:f>_xlfn.XLOOKUP($A1853,Games!$A$2:$A$18,Games!$Q$2:$Q$18,"Missing game",0)</x:f>
        <x:v>10</x:v>
      </x:c>
      <x:c r="AW1853" t="str">
        <x:f>_xlfn.XLOOKUP($A1853,Games!$A$2:$A$18,Games!$R$2:$R$18,"Missing game",0)</x:f>
        <x:v>Lambeau Field</x:v>
      </x:c>
    </x:row>
    <x:row r="1854">
      <x:c r="A1854" t="str">
        <x:v>2025_12_MIN_GB</x:v>
      </x:c>
      <x:c r="B1854" t="n">
        <x:v>3412</x:v>
      </x:c>
      <x:c r="C1854" t="n">
        <x:v>4</x:v>
      </x:c>
      <x:c r="D1854" t="str">
        <x:v>02:00</x:v>
      </x:c>
      <x:c r="E1854" t="n">
        <x:v>2</x:v>
      </x:c>
      <x:c r="F1854" t="n">
        <x:v>8</x:v>
      </x:c>
      <x:c r="G1854" t="str">
        <x:v>GB</x:v>
      </x:c>
      <x:c r="H1854" t="str">
        <x:v>MIN</x:v>
      </x:c>
      <x:c r="I1854" t="str">
        <x:v>MIN</x:v>
      </x:c>
      <x:c r="J1854" t="n">
        <x:v>49</x:v>
      </x:c>
      <x:c r="K1854" t="str">
        <x:v>(2:00) 70-D.Kinnard reported in as eligible. 2-M.Willis pass short right to 88-L.Musgrave to MIN 42 for 7 yards (0-I.Pace).</x:v>
      </x:c>
      <x:c r="L1854" t="str">
        <x:v>pass</x:v>
      </x:c>
      <x:c r="M1854" t="n">
        <x:v>7</x:v>
      </x:c>
      <x:c r="N1854" t="n">
        <x:v>0</x:v>
      </x:c>
      <x:c r="O1854" t="n">
        <x:v>0</x:v>
      </x:c>
      <x:c r="P1854" t="str">
        <x:v>short</x:v>
      </x:c>
      <x:c r="Q1854" t="str">
        <x:v>right</x:v>
      </x:c>
      <x:c r="R1854" t="n">
        <x:v>1</x:v>
      </x:c>
      <x:c r="S1854" t="n">
        <x:v>6</x:v>
      </x:c>
      <x:c r="T1854"/>
      <x:c r="U1854"/>
      <x:c r="V1854" t="n">
        <x:v>1</x:v>
      </x:c>
      <x:c r="W1854" t="n">
        <x:v>0</x:v>
      </x:c>
      <x:c r="X1854" t="n">
        <x:v>0</x:v>
      </x:c>
      <x:c r="Y1854" t="n">
        <x:v>0</x:v>
      </x:c>
      <x:c r="Z1854" t="n">
        <x:v>0</x:v>
      </x:c>
      <x:c r="AA1854" t="n">
        <x:v>0</x:v>
      </x:c>
      <x:c r="AB1854"/>
      <x:c r="AC1854" t="n">
        <x:v>0</x:v>
      </x:c>
      <x:c r="AD1854" t="n">
        <x:v>0.37004217226058245</x:v>
      </x:c>
      <x:c r="AE1854" t="n">
        <x:v>1</x:v>
      </x:c>
      <x:c r="AF1854" t="n">
        <x:v>0.00023555755615234375</x:v>
      </x:c>
      <x:c r="AG1854" t="n">
        <x:f>_xlfn.XLOOKUP($A1854,Games!$A$2:$A$18,Games!$B$2:$B$18,"Missing game",0)</x:f>
        <x:v>2025</x:v>
      </x:c>
      <x:c r="AH1854" t="str">
        <x:f>_xlfn.XLOOKUP($A1854,Games!$A$2:$A$18,Games!$C$2:$C$18,"Missing game",0)</x:f>
        <x:v>REG</x:v>
      </x:c>
      <x:c r="AI1854" t="n">
        <x:f>_xlfn.XLOOKUP($A1854,Games!$A$2:$A$18,Games!$D$2:$D$18,"Missing game",0)</x:f>
        <x:v>12</x:v>
      </x:c>
      <x:c r="AJ1854" s="1" t="n">
        <x:f>_xlfn.XLOOKUP($A1854,Games!$A$2:$A$18,Games!$E$2:$E$18,"Missing game",0)</x:f>
        <x:v>45984</x:v>
      </x:c>
      <x:c r="AK1854" t="str">
        <x:f>_xlfn.XLOOKUP($A1854,Games!$A$2:$A$18,Games!$F$2:$F$18,"Missing game",0)</x:f>
        <x:v>Sunday</x:v>
      </x:c>
      <x:c r="AL1854" t="str">
        <x:f>_xlfn.XLOOKUP($A1854,Games!$A$2:$A$18,Games!$G$2:$G$18,"Missing game",0)</x:f>
        <x:v>MIN</x:v>
      </x:c>
      <x:c r="AM1854" t="n">
        <x:f>_xlfn.XLOOKUP($A1854,Games!$A$2:$A$18,Games!$H$2:$H$18,"Missing game",0)</x:f>
        <x:v>6</x:v>
      </x:c>
      <x:c r="AN1854" t="str">
        <x:f>_xlfn.XLOOKUP($A1854,Games!$A$2:$A$18,Games!$I$2:$I$18,"Missing game",0)</x:f>
        <x:v>GB</x:v>
      </x:c>
      <x:c r="AO1854" t="n">
        <x:f>_xlfn.XLOOKUP($A1854,Games!$A$2:$A$18,Games!$J$2:$J$18,"Missing game",0)</x:f>
        <x:v>23</x:v>
      </x:c>
      <x:c r="AP1854" t="n">
        <x:f>_xlfn.XLOOKUP($A1854,Games!$A$2:$A$18,Games!$K$2:$K$18,"Missing game",0)</x:f>
        <x:v>17</x:v>
      </x:c>
      <x:c r="AQ1854" t="n">
        <x:f>_xlfn.XLOOKUP($A1854,Games!$A$2:$A$18,Games!$L$2:$L$18,"Missing game",0)</x:f>
        <x:v>29</x:v>
      </x:c>
      <x:c r="AR1854" t="n">
        <x:f>_xlfn.XLOOKUP($A1854,Games!$A$2:$A$18,Games!$M$2:$M$18,"Missing game",0)</x:f>
        <x:v>0</x:v>
      </x:c>
      <x:c r="AS1854" t="str">
        <x:f>_xlfn.XLOOKUP($A1854,Games!$A$2:$A$18,Games!$N$2:$N$18,"Missing game",0)</x:f>
        <x:v>outdoors</x:v>
      </x:c>
      <x:c r="AT1854" t="str">
        <x:f>_xlfn.XLOOKUP($A1854,Games!$A$2:$A$18,Games!$O$2:$O$18,"Missing game",0)</x:f>
        <x:v>grass</x:v>
      </x:c>
      <x:c r="AU1854" t="n">
        <x:f>_xlfn.XLOOKUP($A1854,Games!$A$2:$A$18,Games!$P$2:$P$18,"Missing game",0)</x:f>
        <x:v>43</x:v>
      </x:c>
      <x:c r="AV1854" t="n">
        <x:f>_xlfn.XLOOKUP($A1854,Games!$A$2:$A$18,Games!$Q$2:$Q$18,"Missing game",0)</x:f>
        <x:v>10</x:v>
      </x:c>
      <x:c r="AW1854" t="str">
        <x:f>_xlfn.XLOOKUP($A1854,Games!$A$2:$A$18,Games!$R$2:$R$18,"Missing game",0)</x:f>
        <x:v>Lambeau Field</x:v>
      </x:c>
    </x:row>
    <x:row r="1855">
      <x:c r="A1855" t="str">
        <x:v>2025_12_MIN_GB</x:v>
      </x:c>
      <x:c r="B1855" t="n">
        <x:v>3446</x:v>
      </x:c>
      <x:c r="C1855" t="n">
        <x:v>4</x:v>
      </x:c>
      <x:c r="D1855" t="str">
        <x:v>01:14</x:v>
      </x:c>
      <x:c r="E1855" t="n">
        <x:v>3</x:v>
      </x:c>
      <x:c r="F1855" t="n">
        <x:v>1</x:v>
      </x:c>
      <x:c r="G1855" t="str">
        <x:v>GB</x:v>
      </x:c>
      <x:c r="H1855" t="str">
        <x:v>MIN</x:v>
      </x:c>
      <x:c r="I1855" t="str">
        <x:v>MIN</x:v>
      </x:c>
      <x:c r="J1855" t="n">
        <x:v>42</x:v>
      </x:c>
      <x:c r="K1855" t="str">
        <x:v>(1:14) 2-M.Willis up the middle to MIN 38 for 4 yards (0-I.Pace).</x:v>
      </x:c>
      <x:c r="L1855" t="str">
        <x:v>run</x:v>
      </x:c>
      <x:c r="M1855" t="n">
        <x:v>4</x:v>
      </x:c>
      <x:c r="N1855" t="n">
        <x:v>0</x:v>
      </x:c>
      <x:c r="O1855" t="n">
        <x:v>0</x:v>
      </x:c>
      <x:c r="P1855"/>
      <x:c r="Q1855"/>
      <x:c r="R1855"/>
      <x:c r="S1855"/>
      <x:c r="T1855" t="str">
        <x:v>middle</x:v>
      </x:c>
      <x:c r="U1855"/>
      <x:c r="V1855" t="n">
        <x:v>0</x:v>
      </x:c>
      <x:c r="W1855" t="n">
        <x:v>1</x:v>
      </x:c>
      <x:c r="X1855" t="n">
        <x:v>0</x:v>
      </x:c>
      <x:c r="Y1855" t="n">
        <x:v>0</x:v>
      </x:c>
      <x:c r="Z1855" t="n">
        <x:v>0</x:v>
      </x:c>
      <x:c r="AA1855" t="n">
        <x:v>0</x:v>
      </x:c>
      <x:c r="AB1855"/>
      <x:c r="AC1855" t="n">
        <x:v>0</x:v>
      </x:c>
      <x:c r="AD1855" t="n">
        <x:v>0.2941144322103355</x:v>
      </x:c>
      <x:c r="AE1855" t="n">
        <x:v>1</x:v>
      </x:c>
      <x:c r="AF1855" t="n">
        <x:v>-0.000017404556274414062</x:v>
      </x:c>
      <x:c r="AG1855" t="n">
        <x:f>_xlfn.XLOOKUP($A1855,Games!$A$2:$A$18,Games!$B$2:$B$18,"Missing game",0)</x:f>
        <x:v>2025</x:v>
      </x:c>
      <x:c r="AH1855" t="str">
        <x:f>_xlfn.XLOOKUP($A1855,Games!$A$2:$A$18,Games!$C$2:$C$18,"Missing game",0)</x:f>
        <x:v>REG</x:v>
      </x:c>
      <x:c r="AI1855" t="n">
        <x:f>_xlfn.XLOOKUP($A1855,Games!$A$2:$A$18,Games!$D$2:$D$18,"Missing game",0)</x:f>
        <x:v>12</x:v>
      </x:c>
      <x:c r="AJ1855" s="1" t="n">
        <x:f>_xlfn.XLOOKUP($A1855,Games!$A$2:$A$18,Games!$E$2:$E$18,"Missing game",0)</x:f>
        <x:v>45984</x:v>
      </x:c>
      <x:c r="AK1855" t="str">
        <x:f>_xlfn.XLOOKUP($A1855,Games!$A$2:$A$18,Games!$F$2:$F$18,"Missing game",0)</x:f>
        <x:v>Sunday</x:v>
      </x:c>
      <x:c r="AL1855" t="str">
        <x:f>_xlfn.XLOOKUP($A1855,Games!$A$2:$A$18,Games!$G$2:$G$18,"Missing game",0)</x:f>
        <x:v>MIN</x:v>
      </x:c>
      <x:c r="AM1855" t="n">
        <x:f>_xlfn.XLOOKUP($A1855,Games!$A$2:$A$18,Games!$H$2:$H$18,"Missing game",0)</x:f>
        <x:v>6</x:v>
      </x:c>
      <x:c r="AN1855" t="str">
        <x:f>_xlfn.XLOOKUP($A1855,Games!$A$2:$A$18,Games!$I$2:$I$18,"Missing game",0)</x:f>
        <x:v>GB</x:v>
      </x:c>
      <x:c r="AO1855" t="n">
        <x:f>_xlfn.XLOOKUP($A1855,Games!$A$2:$A$18,Games!$J$2:$J$18,"Missing game",0)</x:f>
        <x:v>23</x:v>
      </x:c>
      <x:c r="AP1855" t="n">
        <x:f>_xlfn.XLOOKUP($A1855,Games!$A$2:$A$18,Games!$K$2:$K$18,"Missing game",0)</x:f>
        <x:v>17</x:v>
      </x:c>
      <x:c r="AQ1855" t="n">
        <x:f>_xlfn.XLOOKUP($A1855,Games!$A$2:$A$18,Games!$L$2:$L$18,"Missing game",0)</x:f>
        <x:v>29</x:v>
      </x:c>
      <x:c r="AR1855" t="n">
        <x:f>_xlfn.XLOOKUP($A1855,Games!$A$2:$A$18,Games!$M$2:$M$18,"Missing game",0)</x:f>
        <x:v>0</x:v>
      </x:c>
      <x:c r="AS1855" t="str">
        <x:f>_xlfn.XLOOKUP($A1855,Games!$A$2:$A$18,Games!$N$2:$N$18,"Missing game",0)</x:f>
        <x:v>outdoors</x:v>
      </x:c>
      <x:c r="AT1855" t="str">
        <x:f>_xlfn.XLOOKUP($A1855,Games!$A$2:$A$18,Games!$O$2:$O$18,"Missing game",0)</x:f>
        <x:v>grass</x:v>
      </x:c>
      <x:c r="AU1855" t="n">
        <x:f>_xlfn.XLOOKUP($A1855,Games!$A$2:$A$18,Games!$P$2:$P$18,"Missing game",0)</x:f>
        <x:v>43</x:v>
      </x:c>
      <x:c r="AV1855" t="n">
        <x:f>_xlfn.XLOOKUP($A1855,Games!$A$2:$A$18,Games!$Q$2:$Q$18,"Missing game",0)</x:f>
        <x:v>10</x:v>
      </x:c>
      <x:c r="AW1855" t="str">
        <x:f>_xlfn.XLOOKUP($A1855,Games!$A$2:$A$18,Games!$R$2:$R$18,"Missing game",0)</x:f>
        <x:v>Lambeau Field</x:v>
      </x:c>
    </x:row>
    <x:row r="1856">
      <x:c r="A1856" t="str">
        <x:v>2025_12_MIN_GB</x:v>
      </x:c>
      <x:c r="B1856" t="n">
        <x:v>3468</x:v>
      </x:c>
      <x:c r="C1856" t="n">
        <x:v>4</x:v>
      </x:c>
      <x:c r="D1856" t="str">
        <x:v>00:35</x:v>
      </x:c>
      <x:c r="E1856" t="n">
        <x:v>1</x:v>
      </x:c>
      <x:c r="F1856" t="n">
        <x:v>10</x:v>
      </x:c>
      <x:c r="G1856" t="str">
        <x:v>GB</x:v>
      </x:c>
      <x:c r="H1856" t="str">
        <x:v>MIN</x:v>
      </x:c>
      <x:c r="I1856" t="str">
        <x:v>MIN</x:v>
      </x:c>
      <x:c r="J1856" t="n">
        <x:v>38</x:v>
      </x:c>
      <x:c r="K1856" t="str">
        <x:v>(:35) 2-M.Willis kneels to MIN 39 for -1 yards.</x:v>
      </x:c>
      <x:c r="L1856" t="str">
        <x:v>qb_kneel</x:v>
      </x:c>
      <x:c r="M1856" t="n">
        <x:v>-1</x:v>
      </x:c>
      <x:c r="N1856" t="n">
        <x:v>0</x:v>
      </x:c>
      <x:c r="O1856" t="n">
        <x:v>0</x:v>
      </x:c>
      <x:c r="P1856"/>
      <x:c r="Q1856"/>
      <x:c r="R1856"/>
      <x:c r="S1856"/>
      <x:c r="T1856"/>
      <x:c r="U1856"/>
      <x:c r="V1856" t="n">
        <x:v>0</x:v>
      </x:c>
      <x:c r="W1856" t="n">
        <x:v>0</x:v>
      </x:c>
      <x:c r="X1856" t="n">
        <x:v>0</x:v>
      </x:c>
      <x:c r="Y1856" t="n">
        <x:v>0</x:v>
      </x:c>
      <x:c r="Z1856" t="n">
        <x:v>0</x:v>
      </x:c>
      <x:c r="AA1856" t="n">
        <x:v>0</x:v>
      </x:c>
      <x:c r="AB1856"/>
      <x:c r="AC1856" t="n">
        <x:v>0</x:v>
      </x:c>
      <x:c r="AD1856" t="n">
        <x:v>-2.5388709257531445</x:v>
      </x:c>
      <x:c r="AE1856" t="n">
        <x:v>0</x:v>
      </x:c>
      <x:c r="AF1856"/>
      <x:c r="AG1856" t="n">
        <x:f>_xlfn.XLOOKUP($A1856,Games!$A$2:$A$18,Games!$B$2:$B$18,"Missing game",0)</x:f>
        <x:v>2025</x:v>
      </x:c>
      <x:c r="AH1856" t="str">
        <x:f>_xlfn.XLOOKUP($A1856,Games!$A$2:$A$18,Games!$C$2:$C$18,"Missing game",0)</x:f>
        <x:v>REG</x:v>
      </x:c>
      <x:c r="AI1856" t="n">
        <x:f>_xlfn.XLOOKUP($A1856,Games!$A$2:$A$18,Games!$D$2:$D$18,"Missing game",0)</x:f>
        <x:v>12</x:v>
      </x:c>
      <x:c r="AJ1856" s="1" t="n">
        <x:f>_xlfn.XLOOKUP($A1856,Games!$A$2:$A$18,Games!$E$2:$E$18,"Missing game",0)</x:f>
        <x:v>45984</x:v>
      </x:c>
      <x:c r="AK1856" t="str">
        <x:f>_xlfn.XLOOKUP($A1856,Games!$A$2:$A$18,Games!$F$2:$F$18,"Missing game",0)</x:f>
        <x:v>Sunday</x:v>
      </x:c>
      <x:c r="AL1856" t="str">
        <x:f>_xlfn.XLOOKUP($A1856,Games!$A$2:$A$18,Games!$G$2:$G$18,"Missing game",0)</x:f>
        <x:v>MIN</x:v>
      </x:c>
      <x:c r="AM1856" t="n">
        <x:f>_xlfn.XLOOKUP($A1856,Games!$A$2:$A$18,Games!$H$2:$H$18,"Missing game",0)</x:f>
        <x:v>6</x:v>
      </x:c>
      <x:c r="AN1856" t="str">
        <x:f>_xlfn.XLOOKUP($A1856,Games!$A$2:$A$18,Games!$I$2:$I$18,"Missing game",0)</x:f>
        <x:v>GB</x:v>
      </x:c>
      <x:c r="AO1856" t="n">
        <x:f>_xlfn.XLOOKUP($A1856,Games!$A$2:$A$18,Games!$J$2:$J$18,"Missing game",0)</x:f>
        <x:v>23</x:v>
      </x:c>
      <x:c r="AP1856" t="n">
        <x:f>_xlfn.XLOOKUP($A1856,Games!$A$2:$A$18,Games!$K$2:$K$18,"Missing game",0)</x:f>
        <x:v>17</x:v>
      </x:c>
      <x:c r="AQ1856" t="n">
        <x:f>_xlfn.XLOOKUP($A1856,Games!$A$2:$A$18,Games!$L$2:$L$18,"Missing game",0)</x:f>
        <x:v>29</x:v>
      </x:c>
      <x:c r="AR1856" t="n">
        <x:f>_xlfn.XLOOKUP($A1856,Games!$A$2:$A$18,Games!$M$2:$M$18,"Missing game",0)</x:f>
        <x:v>0</x:v>
      </x:c>
      <x:c r="AS1856" t="str">
        <x:f>_xlfn.XLOOKUP($A1856,Games!$A$2:$A$18,Games!$N$2:$N$18,"Missing game",0)</x:f>
        <x:v>outdoors</x:v>
      </x:c>
      <x:c r="AT1856" t="str">
        <x:f>_xlfn.XLOOKUP($A1856,Games!$A$2:$A$18,Games!$O$2:$O$18,"Missing game",0)</x:f>
        <x:v>grass</x:v>
      </x:c>
      <x:c r="AU1856" t="n">
        <x:f>_xlfn.XLOOKUP($A1856,Games!$A$2:$A$18,Games!$P$2:$P$18,"Missing game",0)</x:f>
        <x:v>43</x:v>
      </x:c>
      <x:c r="AV1856" t="n">
        <x:f>_xlfn.XLOOKUP($A1856,Games!$A$2:$A$18,Games!$Q$2:$Q$18,"Missing game",0)</x:f>
        <x:v>10</x:v>
      </x:c>
      <x:c r="AW1856" t="str">
        <x:f>_xlfn.XLOOKUP($A1856,Games!$A$2:$A$18,Games!$R$2:$R$18,"Missing game",0)</x:f>
        <x:v>Lambeau Field</x:v>
      </x:c>
    </x:row>
    <x:row r="1857">
      <x:c r="A1857" t="str">
        <x:v>2025_12_MIN_GB</x:v>
      </x:c>
      <x:c r="B1857" t="n">
        <x:v>3490</x:v>
      </x:c>
      <x:c r="C1857" t="n">
        <x:v>4</x:v>
      </x:c>
      <x:c r="D1857" t="str">
        <x:v>00:00</x:v>
      </x:c>
      <x:c r="E1857"/>
      <x:c r="F1857" t="n">
        <x:v>0</x:v>
      </x:c>
      <x:c r="G1857" t="str">
        <x:v>GB</x:v>
      </x:c>
      <x:c r="H1857" t="str">
        <x:v>MIN</x:v>
      </x:c>
      <x:c r="I1857"/>
      <x:c r="J1857"/>
      <x:c r="K1857" t="str">
        <x:v>END GAME</x:v>
      </x:c>
      <x:c r="L1857"/>
      <x:c r="M1857"/>
      <x:c r="N1857" t="n">
        <x:v>0</x:v>
      </x:c>
      <x:c r="O1857" t="n">
        <x:v>0</x:v>
      </x:c>
      <x:c r="P1857"/>
      <x:c r="Q1857"/>
      <x:c r="R1857"/>
      <x:c r="S1857"/>
      <x:c r="T1857"/>
      <x:c r="U1857"/>
      <x:c r="V1857"/>
      <x:c r="W1857"/>
      <x:c r="X1857"/>
      <x:c r="Y1857"/>
      <x:c r="Z1857"/>
      <x:c r="AA1857"/>
      <x:c r="AB1857"/>
      <x:c r="AC1857"/>
      <x:c r="AD1857"/>
      <x:c r="AE1857"/>
      <x:c r="AF1857"/>
      <x:c r="AG1857" t="n">
        <x:f>_xlfn.XLOOKUP($A1857,Games!$A$2:$A$18,Games!$B$2:$B$18,"Missing game",0)</x:f>
        <x:v>2025</x:v>
      </x:c>
      <x:c r="AH1857" t="str">
        <x:f>_xlfn.XLOOKUP($A1857,Games!$A$2:$A$18,Games!$C$2:$C$18,"Missing game",0)</x:f>
        <x:v>REG</x:v>
      </x:c>
      <x:c r="AI1857" t="n">
        <x:f>_xlfn.XLOOKUP($A1857,Games!$A$2:$A$18,Games!$D$2:$D$18,"Missing game",0)</x:f>
        <x:v>12</x:v>
      </x:c>
      <x:c r="AJ1857" s="1" t="n">
        <x:f>_xlfn.XLOOKUP($A1857,Games!$A$2:$A$18,Games!$E$2:$E$18,"Missing game",0)</x:f>
        <x:v>45984</x:v>
      </x:c>
      <x:c r="AK1857" t="str">
        <x:f>_xlfn.XLOOKUP($A1857,Games!$A$2:$A$18,Games!$F$2:$F$18,"Missing game",0)</x:f>
        <x:v>Sunday</x:v>
      </x:c>
      <x:c r="AL1857" t="str">
        <x:f>_xlfn.XLOOKUP($A1857,Games!$A$2:$A$18,Games!$G$2:$G$18,"Missing game",0)</x:f>
        <x:v>MIN</x:v>
      </x:c>
      <x:c r="AM1857" t="n">
        <x:f>_xlfn.XLOOKUP($A1857,Games!$A$2:$A$18,Games!$H$2:$H$18,"Missing game",0)</x:f>
        <x:v>6</x:v>
      </x:c>
      <x:c r="AN1857" t="str">
        <x:f>_xlfn.XLOOKUP($A1857,Games!$A$2:$A$18,Games!$I$2:$I$18,"Missing game",0)</x:f>
        <x:v>GB</x:v>
      </x:c>
      <x:c r="AO1857" t="n">
        <x:f>_xlfn.XLOOKUP($A1857,Games!$A$2:$A$18,Games!$J$2:$J$18,"Missing game",0)</x:f>
        <x:v>23</x:v>
      </x:c>
      <x:c r="AP1857" t="n">
        <x:f>_xlfn.XLOOKUP($A1857,Games!$A$2:$A$18,Games!$K$2:$K$18,"Missing game",0)</x:f>
        <x:v>17</x:v>
      </x:c>
      <x:c r="AQ1857" t="n">
        <x:f>_xlfn.XLOOKUP($A1857,Games!$A$2:$A$18,Games!$L$2:$L$18,"Missing game",0)</x:f>
        <x:v>29</x:v>
      </x:c>
      <x:c r="AR1857" t="n">
        <x:f>_xlfn.XLOOKUP($A1857,Games!$A$2:$A$18,Games!$M$2:$M$18,"Missing game",0)</x:f>
        <x:v>0</x:v>
      </x:c>
      <x:c r="AS1857" t="str">
        <x:f>_xlfn.XLOOKUP($A1857,Games!$A$2:$A$18,Games!$N$2:$N$18,"Missing game",0)</x:f>
        <x:v>outdoors</x:v>
      </x:c>
      <x:c r="AT1857" t="str">
        <x:f>_xlfn.XLOOKUP($A1857,Games!$A$2:$A$18,Games!$O$2:$O$18,"Missing game",0)</x:f>
        <x:v>grass</x:v>
      </x:c>
      <x:c r="AU1857" t="n">
        <x:f>_xlfn.XLOOKUP($A1857,Games!$A$2:$A$18,Games!$P$2:$P$18,"Missing game",0)</x:f>
        <x:v>43</x:v>
      </x:c>
      <x:c r="AV1857" t="n">
        <x:f>_xlfn.XLOOKUP($A1857,Games!$A$2:$A$18,Games!$Q$2:$Q$18,"Missing game",0)</x:f>
        <x:v>10</x:v>
      </x:c>
      <x:c r="AW1857" t="str">
        <x:f>_xlfn.XLOOKUP($A1857,Games!$A$2:$A$18,Games!$R$2:$R$18,"Missing game",0)</x:f>
        <x:v>Lambeau Field</x:v>
      </x:c>
    </x:row>
    <x:row r="1858">
      <x:c r="A1858" t="str">
        <x:v>2025_13_MIN_SEA</x:v>
      </x:c>
      <x:c r="B1858" t="n">
        <x:v>1</x:v>
      </x:c>
      <x:c r="C1858" t="n">
        <x:v>1</x:v>
      </x:c>
      <x:c r="D1858" t="str">
        <x:v>15:00</x:v>
      </x:c>
      <x:c r="E1858"/>
      <x:c r="F1858" t="n">
        <x:v>0</x:v>
      </x:c>
      <x:c r="G1858"/>
      <x:c r="H1858"/>
      <x:c r="I1858"/>
      <x:c r="J1858"/>
      <x:c r="K1858" t="str">
        <x:v>GAME</x:v>
      </x:c>
      <x:c r="L1858"/>
      <x:c r="M1858"/>
      <x:c r="N1858" t="n">
        <x:v>0</x:v>
      </x:c>
      <x:c r="O1858" t="n">
        <x:v>0</x:v>
      </x:c>
      <x:c r="P1858"/>
      <x:c r="Q1858"/>
      <x:c r="R1858"/>
      <x:c r="S1858"/>
      <x:c r="T1858"/>
      <x:c r="U1858"/>
      <x:c r="V1858"/>
      <x:c r="W1858"/>
      <x:c r="X1858"/>
      <x:c r="Y1858"/>
      <x:c r="Z1858"/>
      <x:c r="AA1858"/>
      <x:c r="AB1858"/>
      <x:c r="AC1858"/>
      <x:c r="AD1858" t="n">
        <x:v>0</x:v>
      </x:c>
      <x:c r="AE1858" t="n">
        <x:v>0</x:v>
      </x:c>
      <x:c r="AF1858" t="n">
        <x:v>0</x:v>
      </x:c>
      <x:c r="AG1858" t="n">
        <x:f>_xlfn.XLOOKUP($A1858,Games!$A$2:$A$18,Games!$B$2:$B$18,"Missing game",0)</x:f>
        <x:v>2025</x:v>
      </x:c>
      <x:c r="AH1858" t="str">
        <x:f>_xlfn.XLOOKUP($A1858,Games!$A$2:$A$18,Games!$C$2:$C$18,"Missing game",0)</x:f>
        <x:v>REG</x:v>
      </x:c>
      <x:c r="AI1858" t="n">
        <x:f>_xlfn.XLOOKUP($A1858,Games!$A$2:$A$18,Games!$D$2:$D$18,"Missing game",0)</x:f>
        <x:v>13</x:v>
      </x:c>
      <x:c r="AJ1858" s="1" t="n">
        <x:f>_xlfn.XLOOKUP($A1858,Games!$A$2:$A$18,Games!$E$2:$E$18,"Missing game",0)</x:f>
        <x:v>45991</x:v>
      </x:c>
      <x:c r="AK1858" t="str">
        <x:f>_xlfn.XLOOKUP($A1858,Games!$A$2:$A$18,Games!$F$2:$F$18,"Missing game",0)</x:f>
        <x:v>Sunday</x:v>
      </x:c>
      <x:c r="AL1858" t="str">
        <x:f>_xlfn.XLOOKUP($A1858,Games!$A$2:$A$18,Games!$G$2:$G$18,"Missing game",0)</x:f>
        <x:v>MIN</x:v>
      </x:c>
      <x:c r="AM1858" t="n">
        <x:f>_xlfn.XLOOKUP($A1858,Games!$A$2:$A$18,Games!$H$2:$H$18,"Missing game",0)</x:f>
        <x:v>0</x:v>
      </x:c>
      <x:c r="AN1858" t="str">
        <x:f>_xlfn.XLOOKUP($A1858,Games!$A$2:$A$18,Games!$I$2:$I$18,"Missing game",0)</x:f>
        <x:v>SEA</x:v>
      </x:c>
      <x:c r="AO1858" t="n">
        <x:f>_xlfn.XLOOKUP($A1858,Games!$A$2:$A$18,Games!$J$2:$J$18,"Missing game",0)</x:f>
        <x:v>26</x:v>
      </x:c>
      <x:c r="AP1858" t="n">
        <x:f>_xlfn.XLOOKUP($A1858,Games!$A$2:$A$18,Games!$K$2:$K$18,"Missing game",0)</x:f>
        <x:v>26</x:v>
      </x:c>
      <x:c r="AQ1858" t="n">
        <x:f>_xlfn.XLOOKUP($A1858,Games!$A$2:$A$18,Games!$L$2:$L$18,"Missing game",0)</x:f>
        <x:v>26</x:v>
      </x:c>
      <x:c r="AR1858" t="n">
        <x:f>_xlfn.XLOOKUP($A1858,Games!$A$2:$A$18,Games!$M$2:$M$18,"Missing game",0)</x:f>
        <x:v>0</x:v>
      </x:c>
      <x:c r="AS1858" t="str">
        <x:f>_xlfn.XLOOKUP($A1858,Games!$A$2:$A$18,Games!$N$2:$N$18,"Missing game",0)</x:f>
        <x:v>outdoors</x:v>
      </x:c>
      <x:c r="AT1858" t="str">
        <x:f>_xlfn.XLOOKUP($A1858,Games!$A$2:$A$18,Games!$O$2:$O$18,"Missing game",0)</x:f>
        <x:v>fieldturf</x:v>
      </x:c>
      <x:c r="AU1858" t="n">
        <x:f>_xlfn.XLOOKUP($A1858,Games!$A$2:$A$18,Games!$P$2:$P$18,"Missing game",0)</x:f>
        <x:v>45</x:v>
      </x:c>
      <x:c r="AV1858" t="n">
        <x:f>_xlfn.XLOOKUP($A1858,Games!$A$2:$A$18,Games!$Q$2:$Q$18,"Missing game",0)</x:f>
        <x:v>2</x:v>
      </x:c>
      <x:c r="AW1858" t="str">
        <x:f>_xlfn.XLOOKUP($A1858,Games!$A$2:$A$18,Games!$R$2:$R$18,"Missing game",0)</x:f>
        <x:v>Lumen Field</x:v>
      </x:c>
    </x:row>
    <x:row r="1859">
      <x:c r="A1859" t="str">
        <x:v>2025_13_MIN_SEA</x:v>
      </x:c>
      <x:c r="B1859" t="n">
        <x:v>40</x:v>
      </x:c>
      <x:c r="C1859" t="n">
        <x:v>1</x:v>
      </x:c>
      <x:c r="D1859" t="str">
        <x:v>15:00</x:v>
      </x:c>
      <x:c r="E1859"/>
      <x:c r="F1859" t="n">
        <x:v>0</x:v>
      </x:c>
      <x:c r="G1859" t="str">
        <x:v>MIN</x:v>
      </x:c>
      <x:c r="H1859" t="str">
        <x:v>SEA</x:v>
      </x:c>
      <x:c r="I1859" t="str">
        <x:v>SEA</x:v>
      </x:c>
      <x:c r="J1859" t="n">
        <x:v>35</x:v>
      </x:c>
      <x:c r="K1859" t="str">
        <x:v>5-J.Myers kicks 60 yards from SEA 35 to MIN 5. 4-M.Price to MIN 33 for 28 yards (28-N.Pritchett, 52-P.O'Connell).</x:v>
      </x:c>
      <x:c r="L1859" t="str">
        <x:v>kickoff</x:v>
      </x:c>
      <x:c r="M1859" t="n">
        <x:v>0</x:v>
      </x:c>
      <x:c r="N1859" t="n">
        <x:v>0</x:v>
      </x:c>
      <x:c r="O1859" t="n">
        <x:v>0</x:v>
      </x:c>
      <x:c r="P1859"/>
      <x:c r="Q1859"/>
      <x:c r="R1859"/>
      <x:c r="S1859"/>
      <x:c r="T1859"/>
      <x:c r="U1859"/>
      <x:c r="V1859" t="n">
        <x:v>0</x:v>
      </x:c>
      <x:c r="W1859" t="n">
        <x:v>0</x:v>
      </x:c>
      <x:c r="X1859" t="n">
        <x:v>0</x:v>
      </x:c>
      <x:c r="Y1859" t="n">
        <x:v>0</x:v>
      </x:c>
      <x:c r="Z1859" t="n">
        <x:v>0</x:v>
      </x:c>
      <x:c r="AA1859" t="n">
        <x:v>0</x:v>
      </x:c>
      <x:c r="AB1859"/>
      <x:c r="AC1859" t="n">
        <x:v>0</x:v>
      </x:c>
      <x:c r="AD1859" t="n">
        <x:v>0.5259141596034169</x:v>
      </x:c>
      <x:c r="AE1859" t="n">
        <x:v>1</x:v>
      </x:c>
      <x:c r="AF1859" t="n">
        <x:v>0.006420731544494629</x:v>
      </x:c>
      <x:c r="AG1859" t="n">
        <x:f>_xlfn.XLOOKUP($A1859,Games!$A$2:$A$18,Games!$B$2:$B$18,"Missing game",0)</x:f>
        <x:v>2025</x:v>
      </x:c>
      <x:c r="AH1859" t="str">
        <x:f>_xlfn.XLOOKUP($A1859,Games!$A$2:$A$18,Games!$C$2:$C$18,"Missing game",0)</x:f>
        <x:v>REG</x:v>
      </x:c>
      <x:c r="AI1859" t="n">
        <x:f>_xlfn.XLOOKUP($A1859,Games!$A$2:$A$18,Games!$D$2:$D$18,"Missing game",0)</x:f>
        <x:v>13</x:v>
      </x:c>
      <x:c r="AJ1859" s="1" t="n">
        <x:f>_xlfn.XLOOKUP($A1859,Games!$A$2:$A$18,Games!$E$2:$E$18,"Missing game",0)</x:f>
        <x:v>45991</x:v>
      </x:c>
      <x:c r="AK1859" t="str">
        <x:f>_xlfn.XLOOKUP($A1859,Games!$A$2:$A$18,Games!$F$2:$F$18,"Missing game",0)</x:f>
        <x:v>Sunday</x:v>
      </x:c>
      <x:c r="AL1859" t="str">
        <x:f>_xlfn.XLOOKUP($A1859,Games!$A$2:$A$18,Games!$G$2:$G$18,"Missing game",0)</x:f>
        <x:v>MIN</x:v>
      </x:c>
      <x:c r="AM1859" t="n">
        <x:f>_xlfn.XLOOKUP($A1859,Games!$A$2:$A$18,Games!$H$2:$H$18,"Missing game",0)</x:f>
        <x:v>0</x:v>
      </x:c>
      <x:c r="AN1859" t="str">
        <x:f>_xlfn.XLOOKUP($A1859,Games!$A$2:$A$18,Games!$I$2:$I$18,"Missing game",0)</x:f>
        <x:v>SEA</x:v>
      </x:c>
      <x:c r="AO1859" t="n">
        <x:f>_xlfn.XLOOKUP($A1859,Games!$A$2:$A$18,Games!$J$2:$J$18,"Missing game",0)</x:f>
        <x:v>26</x:v>
      </x:c>
      <x:c r="AP1859" t="n">
        <x:f>_xlfn.XLOOKUP($A1859,Games!$A$2:$A$18,Games!$K$2:$K$18,"Missing game",0)</x:f>
        <x:v>26</x:v>
      </x:c>
      <x:c r="AQ1859" t="n">
        <x:f>_xlfn.XLOOKUP($A1859,Games!$A$2:$A$18,Games!$L$2:$L$18,"Missing game",0)</x:f>
        <x:v>26</x:v>
      </x:c>
      <x:c r="AR1859" t="n">
        <x:f>_xlfn.XLOOKUP($A1859,Games!$A$2:$A$18,Games!$M$2:$M$18,"Missing game",0)</x:f>
        <x:v>0</x:v>
      </x:c>
      <x:c r="AS1859" t="str">
        <x:f>_xlfn.XLOOKUP($A1859,Games!$A$2:$A$18,Games!$N$2:$N$18,"Missing game",0)</x:f>
        <x:v>outdoors</x:v>
      </x:c>
      <x:c r="AT1859" t="str">
        <x:f>_xlfn.XLOOKUP($A1859,Games!$A$2:$A$18,Games!$O$2:$O$18,"Missing game",0)</x:f>
        <x:v>fieldturf</x:v>
      </x:c>
      <x:c r="AU1859" t="n">
        <x:f>_xlfn.XLOOKUP($A1859,Games!$A$2:$A$18,Games!$P$2:$P$18,"Missing game",0)</x:f>
        <x:v>45</x:v>
      </x:c>
      <x:c r="AV1859" t="n">
        <x:f>_xlfn.XLOOKUP($A1859,Games!$A$2:$A$18,Games!$Q$2:$Q$18,"Missing game",0)</x:f>
        <x:v>2</x:v>
      </x:c>
      <x:c r="AW1859" t="str">
        <x:f>_xlfn.XLOOKUP($A1859,Games!$A$2:$A$18,Games!$R$2:$R$18,"Missing game",0)</x:f>
        <x:v>Lumen Field</x:v>
      </x:c>
    </x:row>
    <x:row r="1860">
      <x:c r="A1860" t="str">
        <x:v>2025_13_MIN_SEA</x:v>
      </x:c>
      <x:c r="B1860" t="n">
        <x:v>63</x:v>
      </x:c>
      <x:c r="C1860" t="n">
        <x:v>1</x:v>
      </x:c>
      <x:c r="D1860" t="str">
        <x:v>14:52</x:v>
      </x:c>
      <x:c r="E1860" t="n">
        <x:v>1</x:v>
      </x:c>
      <x:c r="F1860" t="n">
        <x:v>10</x:v>
      </x:c>
      <x:c r="G1860" t="str">
        <x:v>MIN</x:v>
      </x:c>
      <x:c r="H1860" t="str">
        <x:v>SEA</x:v>
      </x:c>
      <x:c r="I1860" t="str">
        <x:v>MIN</x:v>
      </x:c>
      <x:c r="J1860" t="n">
        <x:v>67</x:v>
      </x:c>
      <x:c r="K1860" t="str">
        <x:v>(14:52) (Shotgun) 33-A.Jones up the middle to MIN 37 for 4 yards (13-E.Jones).</x:v>
      </x:c>
      <x:c r="L1860" t="str">
        <x:v>run</x:v>
      </x:c>
      <x:c r="M1860" t="n">
        <x:v>4</x:v>
      </x:c>
      <x:c r="N1860" t="n">
        <x:v>1</x:v>
      </x:c>
      <x:c r="O1860" t="n">
        <x:v>0</x:v>
      </x:c>
      <x:c r="P1860"/>
      <x:c r="Q1860"/>
      <x:c r="R1860"/>
      <x:c r="S1860"/>
      <x:c r="T1860" t="str">
        <x:v>middle</x:v>
      </x:c>
      <x:c r="U1860"/>
      <x:c r="V1860" t="n">
        <x:v>0</x:v>
      </x:c>
      <x:c r="W1860" t="n">
        <x:v>0</x:v>
      </x:c>
      <x:c r="X1860" t="n">
        <x:v>0</x:v>
      </x:c>
      <x:c r="Y1860" t="n">
        <x:v>0</x:v>
      </x:c>
      <x:c r="Z1860" t="n">
        <x:v>0</x:v>
      </x:c>
      <x:c r="AA1860" t="n">
        <x:v>0</x:v>
      </x:c>
      <x:c r="AB1860"/>
      <x:c r="AC1860" t="n">
        <x:v>0</x:v>
      </x:c>
      <x:c r="AD1860" t="n">
        <x:v>-0.04462455655448139</x:v>
      </x:c>
      <x:c r="AE1860" t="n">
        <x:v>0</x:v>
      </x:c>
      <x:c r="AF1860" t="n">
        <x:v>0.002342134714126587</x:v>
      </x:c>
      <x:c r="AG1860" t="n">
        <x:f>_xlfn.XLOOKUP($A1860,Games!$A$2:$A$18,Games!$B$2:$B$18,"Missing game",0)</x:f>
        <x:v>2025</x:v>
      </x:c>
      <x:c r="AH1860" t="str">
        <x:f>_xlfn.XLOOKUP($A1860,Games!$A$2:$A$18,Games!$C$2:$C$18,"Missing game",0)</x:f>
        <x:v>REG</x:v>
      </x:c>
      <x:c r="AI1860" t="n">
        <x:f>_xlfn.XLOOKUP($A1860,Games!$A$2:$A$18,Games!$D$2:$D$18,"Missing game",0)</x:f>
        <x:v>13</x:v>
      </x:c>
      <x:c r="AJ1860" s="1" t="n">
        <x:f>_xlfn.XLOOKUP($A1860,Games!$A$2:$A$18,Games!$E$2:$E$18,"Missing game",0)</x:f>
        <x:v>45991</x:v>
      </x:c>
      <x:c r="AK1860" t="str">
        <x:f>_xlfn.XLOOKUP($A1860,Games!$A$2:$A$18,Games!$F$2:$F$18,"Missing game",0)</x:f>
        <x:v>Sunday</x:v>
      </x:c>
      <x:c r="AL1860" t="str">
        <x:f>_xlfn.XLOOKUP($A1860,Games!$A$2:$A$18,Games!$G$2:$G$18,"Missing game",0)</x:f>
        <x:v>MIN</x:v>
      </x:c>
      <x:c r="AM1860" t="n">
        <x:f>_xlfn.XLOOKUP($A1860,Games!$A$2:$A$18,Games!$H$2:$H$18,"Missing game",0)</x:f>
        <x:v>0</x:v>
      </x:c>
      <x:c r="AN1860" t="str">
        <x:f>_xlfn.XLOOKUP($A1860,Games!$A$2:$A$18,Games!$I$2:$I$18,"Missing game",0)</x:f>
        <x:v>SEA</x:v>
      </x:c>
      <x:c r="AO1860" t="n">
        <x:f>_xlfn.XLOOKUP($A1860,Games!$A$2:$A$18,Games!$J$2:$J$18,"Missing game",0)</x:f>
        <x:v>26</x:v>
      </x:c>
      <x:c r="AP1860" t="n">
        <x:f>_xlfn.XLOOKUP($A1860,Games!$A$2:$A$18,Games!$K$2:$K$18,"Missing game",0)</x:f>
        <x:v>26</x:v>
      </x:c>
      <x:c r="AQ1860" t="n">
        <x:f>_xlfn.XLOOKUP($A1860,Games!$A$2:$A$18,Games!$L$2:$L$18,"Missing game",0)</x:f>
        <x:v>26</x:v>
      </x:c>
      <x:c r="AR1860" t="n">
        <x:f>_xlfn.XLOOKUP($A1860,Games!$A$2:$A$18,Games!$M$2:$M$18,"Missing game",0)</x:f>
        <x:v>0</x:v>
      </x:c>
      <x:c r="AS1860" t="str">
        <x:f>_xlfn.XLOOKUP($A1860,Games!$A$2:$A$18,Games!$N$2:$N$18,"Missing game",0)</x:f>
        <x:v>outdoors</x:v>
      </x:c>
      <x:c r="AT1860" t="str">
        <x:f>_xlfn.XLOOKUP($A1860,Games!$A$2:$A$18,Games!$O$2:$O$18,"Missing game",0)</x:f>
        <x:v>fieldturf</x:v>
      </x:c>
      <x:c r="AU1860" t="n">
        <x:f>_xlfn.XLOOKUP($A1860,Games!$A$2:$A$18,Games!$P$2:$P$18,"Missing game",0)</x:f>
        <x:v>45</x:v>
      </x:c>
      <x:c r="AV1860" t="n">
        <x:f>_xlfn.XLOOKUP($A1860,Games!$A$2:$A$18,Games!$Q$2:$Q$18,"Missing game",0)</x:f>
        <x:v>2</x:v>
      </x:c>
      <x:c r="AW1860" t="str">
        <x:f>_xlfn.XLOOKUP($A1860,Games!$A$2:$A$18,Games!$R$2:$R$18,"Missing game",0)</x:f>
        <x:v>Lumen Field</x:v>
      </x:c>
    </x:row>
    <x:row r="1861">
      <x:c r="A1861" t="str">
        <x:v>2025_13_MIN_SEA</x:v>
      </x:c>
      <x:c r="B1861" t="n">
        <x:v>85</x:v>
      </x:c>
      <x:c r="C1861" t="n">
        <x:v>1</x:v>
      </x:c>
      <x:c r="D1861" t="str">
        <x:v>14:11</x:v>
      </x:c>
      <x:c r="E1861" t="n">
        <x:v>2</x:v>
      </x:c>
      <x:c r="F1861" t="n">
        <x:v>6</x:v>
      </x:c>
      <x:c r="G1861" t="str">
        <x:v>MIN</x:v>
      </x:c>
      <x:c r="H1861" t="str">
        <x:v>SEA</x:v>
      </x:c>
      <x:c r="I1861" t="str">
        <x:v>MIN</x:v>
      </x:c>
      <x:c r="J1861" t="n">
        <x:v>63</x:v>
      </x:c>
      <x:c r="K1861" t="str">
        <x:v>(14:11) (Shotgun) 12-M.Brosmer pass short left to 33-A.Jones pushed ob at MIN 37 for no gain (21-D.Witherspoon).</x:v>
      </x:c>
      <x:c r="L1861" t="str">
        <x:v>pass</x:v>
      </x:c>
      <x:c r="M1861" t="n">
        <x:v>0</x:v>
      </x:c>
      <x:c r="N1861" t="n">
        <x:v>1</x:v>
      </x:c>
      <x:c r="O1861" t="n">
        <x:v>0</x:v>
      </x:c>
      <x:c r="P1861" t="str">
        <x:v>short</x:v>
      </x:c>
      <x:c r="Q1861" t="str">
        <x:v>left</x:v>
      </x:c>
      <x:c r="R1861" t="n">
        <x:v>-6</x:v>
      </x:c>
      <x:c r="S1861" t="n">
        <x:v>6</x:v>
      </x:c>
      <x:c r="T1861"/>
      <x:c r="U1861"/>
      <x:c r="V1861" t="n">
        <x:v>1</x:v>
      </x:c>
      <x:c r="W1861" t="n">
        <x:v>0</x:v>
      </x:c>
      <x:c r="X1861" t="n">
        <x:v>0</x:v>
      </x:c>
      <x:c r="Y1861" t="n">
        <x:v>0</x:v>
      </x:c>
      <x:c r="Z1861" t="n">
        <x:v>0</x:v>
      </x:c>
      <x:c r="AA1861" t="n">
        <x:v>0</x:v>
      </x:c>
      <x:c r="AB1861"/>
      <x:c r="AC1861" t="n">
        <x:v>0</x:v>
      </x:c>
      <x:c r="AD1861" t="n">
        <x:v>-0.855740076629445</x:v>
      </x:c>
      <x:c r="AE1861" t="n">
        <x:v>0</x:v>
      </x:c>
      <x:c r="AF1861" t="n">
        <x:v>-0.023509830236434937</x:v>
      </x:c>
      <x:c r="AG1861" t="n">
        <x:f>_xlfn.XLOOKUP($A1861,Games!$A$2:$A$18,Games!$B$2:$B$18,"Missing game",0)</x:f>
        <x:v>2025</x:v>
      </x:c>
      <x:c r="AH1861" t="str">
        <x:f>_xlfn.XLOOKUP($A1861,Games!$A$2:$A$18,Games!$C$2:$C$18,"Missing game",0)</x:f>
        <x:v>REG</x:v>
      </x:c>
      <x:c r="AI1861" t="n">
        <x:f>_xlfn.XLOOKUP($A1861,Games!$A$2:$A$18,Games!$D$2:$D$18,"Missing game",0)</x:f>
        <x:v>13</x:v>
      </x:c>
      <x:c r="AJ1861" s="1" t="n">
        <x:f>_xlfn.XLOOKUP($A1861,Games!$A$2:$A$18,Games!$E$2:$E$18,"Missing game",0)</x:f>
        <x:v>45991</x:v>
      </x:c>
      <x:c r="AK1861" t="str">
        <x:f>_xlfn.XLOOKUP($A1861,Games!$A$2:$A$18,Games!$F$2:$F$18,"Missing game",0)</x:f>
        <x:v>Sunday</x:v>
      </x:c>
      <x:c r="AL1861" t="str">
        <x:f>_xlfn.XLOOKUP($A1861,Games!$A$2:$A$18,Games!$G$2:$G$18,"Missing game",0)</x:f>
        <x:v>MIN</x:v>
      </x:c>
      <x:c r="AM1861" t="n">
        <x:f>_xlfn.XLOOKUP($A1861,Games!$A$2:$A$18,Games!$H$2:$H$18,"Missing game",0)</x:f>
        <x:v>0</x:v>
      </x:c>
      <x:c r="AN1861" t="str">
        <x:f>_xlfn.XLOOKUP($A1861,Games!$A$2:$A$18,Games!$I$2:$I$18,"Missing game",0)</x:f>
        <x:v>SEA</x:v>
      </x:c>
      <x:c r="AO1861" t="n">
        <x:f>_xlfn.XLOOKUP($A1861,Games!$A$2:$A$18,Games!$J$2:$J$18,"Missing game",0)</x:f>
        <x:v>26</x:v>
      </x:c>
      <x:c r="AP1861" t="n">
        <x:f>_xlfn.XLOOKUP($A1861,Games!$A$2:$A$18,Games!$K$2:$K$18,"Missing game",0)</x:f>
        <x:v>26</x:v>
      </x:c>
      <x:c r="AQ1861" t="n">
        <x:f>_xlfn.XLOOKUP($A1861,Games!$A$2:$A$18,Games!$L$2:$L$18,"Missing game",0)</x:f>
        <x:v>26</x:v>
      </x:c>
      <x:c r="AR1861" t="n">
        <x:f>_xlfn.XLOOKUP($A1861,Games!$A$2:$A$18,Games!$M$2:$M$18,"Missing game",0)</x:f>
        <x:v>0</x:v>
      </x:c>
      <x:c r="AS1861" t="str">
        <x:f>_xlfn.XLOOKUP($A1861,Games!$A$2:$A$18,Games!$N$2:$N$18,"Missing game",0)</x:f>
        <x:v>outdoors</x:v>
      </x:c>
      <x:c r="AT1861" t="str">
        <x:f>_xlfn.XLOOKUP($A1861,Games!$A$2:$A$18,Games!$O$2:$O$18,"Missing game",0)</x:f>
        <x:v>fieldturf</x:v>
      </x:c>
      <x:c r="AU1861" t="n">
        <x:f>_xlfn.XLOOKUP($A1861,Games!$A$2:$A$18,Games!$P$2:$P$18,"Missing game",0)</x:f>
        <x:v>45</x:v>
      </x:c>
      <x:c r="AV1861" t="n">
        <x:f>_xlfn.XLOOKUP($A1861,Games!$A$2:$A$18,Games!$Q$2:$Q$18,"Missing game",0)</x:f>
        <x:v>2</x:v>
      </x:c>
      <x:c r="AW1861" t="str">
        <x:f>_xlfn.XLOOKUP($A1861,Games!$A$2:$A$18,Games!$R$2:$R$18,"Missing game",0)</x:f>
        <x:v>Lumen Field</x:v>
      </x:c>
    </x:row>
    <x:row r="1862">
      <x:c r="A1862" t="str">
        <x:v>2025_13_MIN_SEA</x:v>
      </x:c>
      <x:c r="B1862" t="n">
        <x:v>115</x:v>
      </x:c>
      <x:c r="C1862" t="n">
        <x:v>1</x:v>
      </x:c>
      <x:c r="D1862" t="str">
        <x:v>13:30</x:v>
      </x:c>
      <x:c r="E1862" t="n">
        <x:v>3</x:v>
      </x:c>
      <x:c r="F1862" t="n">
        <x:v>6</x:v>
      </x:c>
      <x:c r="G1862" t="str">
        <x:v>MIN</x:v>
      </x:c>
      <x:c r="H1862" t="str">
        <x:v>SEA</x:v>
      </x:c>
      <x:c r="I1862" t="str">
        <x:v>MIN</x:v>
      </x:c>
      <x:c r="J1862" t="n">
        <x:v>63</x:v>
      </x:c>
      <x:c r="K1862" t="str">
        <x:v>(13:30) (Shotgun) 12-M.Brosmer sacked at MIN 32 for -5 yards (7-U.Nwosu). PENALTY on SEA-29-J.Jobe, Defensive Holding, 5 yards, enforced at MIN 37 - No Play.</x:v>
      </x:c>
      <x:c r="L1862" t="str">
        <x:v>no_play</x:v>
      </x:c>
      <x:c r="M1862" t="n">
        <x:v>0</x:v>
      </x:c>
      <x:c r="N1862" t="n">
        <x:v>1</x:v>
      </x:c>
      <x:c r="O1862" t="n">
        <x:v>0</x:v>
      </x:c>
      <x:c r="P1862"/>
      <x:c r="Q1862"/>
      <x:c r="R1862"/>
      <x:c r="S1862"/>
      <x:c r="T1862"/>
      <x:c r="U1862"/>
      <x:c r="V1862" t="n">
        <x:v>0</x:v>
      </x:c>
      <x:c r="W1862" t="n">
        <x:v>1</x:v>
      </x:c>
      <x:c r="X1862" t="n">
        <x:v>0</x:v>
      </x:c>
      <x:c r="Y1862" t="n">
        <x:v>0</x:v>
      </x:c>
      <x:c r="Z1862" t="n">
        <x:v>0</x:v>
      </x:c>
      <x:c r="AA1862" t="n">
        <x:v>1</x:v>
      </x:c>
      <x:c r="AB1862" t="n">
        <x:v>5</x:v>
      </x:c>
      <x:c r="AC1862" t="n">
        <x:v>0</x:v>
      </x:c>
      <x:c r="AD1862" t="n">
        <x:v>1.5673739626072347</x:v>
      </x:c>
      <x:c r="AE1862" t="n">
        <x:v>1</x:v>
      </x:c>
      <x:c r="AF1862" t="n">
        <x:v>0.03643840551376343</x:v>
      </x:c>
      <x:c r="AG1862" t="n">
        <x:f>_xlfn.XLOOKUP($A1862,Games!$A$2:$A$18,Games!$B$2:$B$18,"Missing game",0)</x:f>
        <x:v>2025</x:v>
      </x:c>
      <x:c r="AH1862" t="str">
        <x:f>_xlfn.XLOOKUP($A1862,Games!$A$2:$A$18,Games!$C$2:$C$18,"Missing game",0)</x:f>
        <x:v>REG</x:v>
      </x:c>
      <x:c r="AI1862" t="n">
        <x:f>_xlfn.XLOOKUP($A1862,Games!$A$2:$A$18,Games!$D$2:$D$18,"Missing game",0)</x:f>
        <x:v>13</x:v>
      </x:c>
      <x:c r="AJ1862" s="1" t="n">
        <x:f>_xlfn.XLOOKUP($A1862,Games!$A$2:$A$18,Games!$E$2:$E$18,"Missing game",0)</x:f>
        <x:v>45991</x:v>
      </x:c>
      <x:c r="AK1862" t="str">
        <x:f>_xlfn.XLOOKUP($A1862,Games!$A$2:$A$18,Games!$F$2:$F$18,"Missing game",0)</x:f>
        <x:v>Sunday</x:v>
      </x:c>
      <x:c r="AL1862" t="str">
        <x:f>_xlfn.XLOOKUP($A1862,Games!$A$2:$A$18,Games!$G$2:$G$18,"Missing game",0)</x:f>
        <x:v>MIN</x:v>
      </x:c>
      <x:c r="AM1862" t="n">
        <x:f>_xlfn.XLOOKUP($A1862,Games!$A$2:$A$18,Games!$H$2:$H$18,"Missing game",0)</x:f>
        <x:v>0</x:v>
      </x:c>
      <x:c r="AN1862" t="str">
        <x:f>_xlfn.XLOOKUP($A1862,Games!$A$2:$A$18,Games!$I$2:$I$18,"Missing game",0)</x:f>
        <x:v>SEA</x:v>
      </x:c>
      <x:c r="AO1862" t="n">
        <x:f>_xlfn.XLOOKUP($A1862,Games!$A$2:$A$18,Games!$J$2:$J$18,"Missing game",0)</x:f>
        <x:v>26</x:v>
      </x:c>
      <x:c r="AP1862" t="n">
        <x:f>_xlfn.XLOOKUP($A1862,Games!$A$2:$A$18,Games!$K$2:$K$18,"Missing game",0)</x:f>
        <x:v>26</x:v>
      </x:c>
      <x:c r="AQ1862" t="n">
        <x:f>_xlfn.XLOOKUP($A1862,Games!$A$2:$A$18,Games!$L$2:$L$18,"Missing game",0)</x:f>
        <x:v>26</x:v>
      </x:c>
      <x:c r="AR1862" t="n">
        <x:f>_xlfn.XLOOKUP($A1862,Games!$A$2:$A$18,Games!$M$2:$M$18,"Missing game",0)</x:f>
        <x:v>0</x:v>
      </x:c>
      <x:c r="AS1862" t="str">
        <x:f>_xlfn.XLOOKUP($A1862,Games!$A$2:$A$18,Games!$N$2:$N$18,"Missing game",0)</x:f>
        <x:v>outdoors</x:v>
      </x:c>
      <x:c r="AT1862" t="str">
        <x:f>_xlfn.XLOOKUP($A1862,Games!$A$2:$A$18,Games!$O$2:$O$18,"Missing game",0)</x:f>
        <x:v>fieldturf</x:v>
      </x:c>
      <x:c r="AU1862" t="n">
        <x:f>_xlfn.XLOOKUP($A1862,Games!$A$2:$A$18,Games!$P$2:$P$18,"Missing game",0)</x:f>
        <x:v>45</x:v>
      </x:c>
      <x:c r="AV1862" t="n">
        <x:f>_xlfn.XLOOKUP($A1862,Games!$A$2:$A$18,Games!$Q$2:$Q$18,"Missing game",0)</x:f>
        <x:v>2</x:v>
      </x:c>
      <x:c r="AW1862" t="str">
        <x:f>_xlfn.XLOOKUP($A1862,Games!$A$2:$A$18,Games!$R$2:$R$18,"Missing game",0)</x:f>
        <x:v>Lumen Field</x:v>
      </x:c>
    </x:row>
    <x:row r="1863">
      <x:c r="A1863" t="str">
        <x:v>2025_13_MIN_SEA</x:v>
      </x:c>
      <x:c r="B1863" t="n">
        <x:v>146</x:v>
      </x:c>
      <x:c r="C1863" t="n">
        <x:v>1</x:v>
      </x:c>
      <x:c r="D1863" t="str">
        <x:v>13:13</x:v>
      </x:c>
      <x:c r="E1863" t="n">
        <x:v>1</x:v>
      </x:c>
      <x:c r="F1863" t="n">
        <x:v>10</x:v>
      </x:c>
      <x:c r="G1863" t="str">
        <x:v>MIN</x:v>
      </x:c>
      <x:c r="H1863" t="str">
        <x:v>SEA</x:v>
      </x:c>
      <x:c r="I1863" t="str">
        <x:v>MIN</x:v>
      </x:c>
      <x:c r="J1863" t="n">
        <x:v>58</x:v>
      </x:c>
      <x:c r="K1863" t="str">
        <x:v>(13:13) 33-A.Jones left guard to MIN 43 for 1 yard (99-L.Williams).</x:v>
      </x:c>
      <x:c r="L1863" t="str">
        <x:v>run</x:v>
      </x:c>
      <x:c r="M1863" t="n">
        <x:v>1</x:v>
      </x:c>
      <x:c r="N1863" t="n">
        <x:v>0</x:v>
      </x:c>
      <x:c r="O1863" t="n">
        <x:v>0</x:v>
      </x:c>
      <x:c r="P1863"/>
      <x:c r="Q1863"/>
      <x:c r="R1863"/>
      <x:c r="S1863"/>
      <x:c r="T1863" t="str">
        <x:v>left</x:v>
      </x:c>
      <x:c r="U1863" t="str">
        <x:v>guard</x:v>
      </x:c>
      <x:c r="V1863" t="n">
        <x:v>0</x:v>
      </x:c>
      <x:c r="W1863" t="n">
        <x:v>0</x:v>
      </x:c>
      <x:c r="X1863" t="n">
        <x:v>0</x:v>
      </x:c>
      <x:c r="Y1863" t="n">
        <x:v>0</x:v>
      </x:c>
      <x:c r="Z1863" t="n">
        <x:v>0</x:v>
      </x:c>
      <x:c r="AA1863" t="n">
        <x:v>0</x:v>
      </x:c>
      <x:c r="AB1863"/>
      <x:c r="AC1863" t="n">
        <x:v>0</x:v>
      </x:c>
      <x:c r="AD1863" t="n">
        <x:v>-0.42788643250241876</x:v>
      </x:c>
      <x:c r="AE1863" t="n">
        <x:v>0</x:v>
      </x:c>
      <x:c r="AF1863" t="n">
        <x:v>-0.01064571738243103</x:v>
      </x:c>
      <x:c r="AG1863" t="n">
        <x:f>_xlfn.XLOOKUP($A1863,Games!$A$2:$A$18,Games!$B$2:$B$18,"Missing game",0)</x:f>
        <x:v>2025</x:v>
      </x:c>
      <x:c r="AH1863" t="str">
        <x:f>_xlfn.XLOOKUP($A1863,Games!$A$2:$A$18,Games!$C$2:$C$18,"Missing game",0)</x:f>
        <x:v>REG</x:v>
      </x:c>
      <x:c r="AI1863" t="n">
        <x:f>_xlfn.XLOOKUP($A1863,Games!$A$2:$A$18,Games!$D$2:$D$18,"Missing game",0)</x:f>
        <x:v>13</x:v>
      </x:c>
      <x:c r="AJ1863" s="1" t="n">
        <x:f>_xlfn.XLOOKUP($A1863,Games!$A$2:$A$18,Games!$E$2:$E$18,"Missing game",0)</x:f>
        <x:v>45991</x:v>
      </x:c>
      <x:c r="AK1863" t="str">
        <x:f>_xlfn.XLOOKUP($A1863,Games!$A$2:$A$18,Games!$F$2:$F$18,"Missing game",0)</x:f>
        <x:v>Sunday</x:v>
      </x:c>
      <x:c r="AL1863" t="str">
        <x:f>_xlfn.XLOOKUP($A1863,Games!$A$2:$A$18,Games!$G$2:$G$18,"Missing game",0)</x:f>
        <x:v>MIN</x:v>
      </x:c>
      <x:c r="AM1863" t="n">
        <x:f>_xlfn.XLOOKUP($A1863,Games!$A$2:$A$18,Games!$H$2:$H$18,"Missing game",0)</x:f>
        <x:v>0</x:v>
      </x:c>
      <x:c r="AN1863" t="str">
        <x:f>_xlfn.XLOOKUP($A1863,Games!$A$2:$A$18,Games!$I$2:$I$18,"Missing game",0)</x:f>
        <x:v>SEA</x:v>
      </x:c>
      <x:c r="AO1863" t="n">
        <x:f>_xlfn.XLOOKUP($A1863,Games!$A$2:$A$18,Games!$J$2:$J$18,"Missing game",0)</x:f>
        <x:v>26</x:v>
      </x:c>
      <x:c r="AP1863" t="n">
        <x:f>_xlfn.XLOOKUP($A1863,Games!$A$2:$A$18,Games!$K$2:$K$18,"Missing game",0)</x:f>
        <x:v>26</x:v>
      </x:c>
      <x:c r="AQ1863" t="n">
        <x:f>_xlfn.XLOOKUP($A1863,Games!$A$2:$A$18,Games!$L$2:$L$18,"Missing game",0)</x:f>
        <x:v>26</x:v>
      </x:c>
      <x:c r="AR1863" t="n">
        <x:f>_xlfn.XLOOKUP($A1863,Games!$A$2:$A$18,Games!$M$2:$M$18,"Missing game",0)</x:f>
        <x:v>0</x:v>
      </x:c>
      <x:c r="AS1863" t="str">
        <x:f>_xlfn.XLOOKUP($A1863,Games!$A$2:$A$18,Games!$N$2:$N$18,"Missing game",0)</x:f>
        <x:v>outdoors</x:v>
      </x:c>
      <x:c r="AT1863" t="str">
        <x:f>_xlfn.XLOOKUP($A1863,Games!$A$2:$A$18,Games!$O$2:$O$18,"Missing game",0)</x:f>
        <x:v>fieldturf</x:v>
      </x:c>
      <x:c r="AU1863" t="n">
        <x:f>_xlfn.XLOOKUP($A1863,Games!$A$2:$A$18,Games!$P$2:$P$18,"Missing game",0)</x:f>
        <x:v>45</x:v>
      </x:c>
      <x:c r="AV1863" t="n">
        <x:f>_xlfn.XLOOKUP($A1863,Games!$A$2:$A$18,Games!$Q$2:$Q$18,"Missing game",0)</x:f>
        <x:v>2</x:v>
      </x:c>
      <x:c r="AW1863" t="str">
        <x:f>_xlfn.XLOOKUP($A1863,Games!$A$2:$A$18,Games!$R$2:$R$18,"Missing game",0)</x:f>
        <x:v>Lumen Field</x:v>
      </x:c>
    </x:row>
    <x:row r="1864">
      <x:c r="A1864" t="str">
        <x:v>2025_13_MIN_SEA</x:v>
      </x:c>
      <x:c r="B1864" t="n">
        <x:v>168</x:v>
      </x:c>
      <x:c r="C1864" t="n">
        <x:v>1</x:v>
      </x:c>
      <x:c r="D1864" t="str">
        <x:v>12:32</x:v>
      </x:c>
      <x:c r="E1864" t="n">
        <x:v>2</x:v>
      </x:c>
      <x:c r="F1864" t="n">
        <x:v>9</x:v>
      </x:c>
      <x:c r="G1864" t="str">
        <x:v>MIN</x:v>
      </x:c>
      <x:c r="H1864" t="str">
        <x:v>SEA</x:v>
      </x:c>
      <x:c r="I1864" t="str">
        <x:v>MIN</x:v>
      </x:c>
      <x:c r="J1864" t="n">
        <x:v>57</x:v>
      </x:c>
      <x:c r="K1864" t="str">
        <x:v>(12:32) (Shotgun) 12-M.Brosmer pass short right to 33-A.Jones pushed ob at MIN 49 for 6 yards (21-D.Witherspoon; 3-N.Emmanwori).</x:v>
      </x:c>
      <x:c r="L1864" t="str">
        <x:v>pass</x:v>
      </x:c>
      <x:c r="M1864" t="n">
        <x:v>6</x:v>
      </x:c>
      <x:c r="N1864" t="n">
        <x:v>1</x:v>
      </x:c>
      <x:c r="O1864" t="n">
        <x:v>0</x:v>
      </x:c>
      <x:c r="P1864" t="str">
        <x:v>short</x:v>
      </x:c>
      <x:c r="Q1864" t="str">
        <x:v>right</x:v>
      </x:c>
      <x:c r="R1864" t="n">
        <x:v>-6</x:v>
      </x:c>
      <x:c r="S1864" t="n">
        <x:v>12</x:v>
      </x:c>
      <x:c r="T1864"/>
      <x:c r="U1864"/>
      <x:c r="V1864" t="n">
        <x:v>1</x:v>
      </x:c>
      <x:c r="W1864" t="n">
        <x:v>0</x:v>
      </x:c>
      <x:c r="X1864" t="n">
        <x:v>0</x:v>
      </x:c>
      <x:c r="Y1864" t="n">
        <x:v>0</x:v>
      </x:c>
      <x:c r="Z1864" t="n">
        <x:v>0</x:v>
      </x:c>
      <x:c r="AA1864" t="n">
        <x:v>0</x:v>
      </x:c>
      <x:c r="AB1864"/>
      <x:c r="AC1864" t="n">
        <x:v>0</x:v>
      </x:c>
      <x:c r="AD1864" t="n">
        <x:v>0.028718730667605996</x:v>
      </x:c>
      <x:c r="AE1864" t="n">
        <x:v>1</x:v>
      </x:c>
      <x:c r="AF1864" t="n">
        <x:v>0.0016282200813293457</x:v>
      </x:c>
      <x:c r="AG1864" t="n">
        <x:f>_xlfn.XLOOKUP($A1864,Games!$A$2:$A$18,Games!$B$2:$B$18,"Missing game",0)</x:f>
        <x:v>2025</x:v>
      </x:c>
      <x:c r="AH1864" t="str">
        <x:f>_xlfn.XLOOKUP($A1864,Games!$A$2:$A$18,Games!$C$2:$C$18,"Missing game",0)</x:f>
        <x:v>REG</x:v>
      </x:c>
      <x:c r="AI1864" t="n">
        <x:f>_xlfn.XLOOKUP($A1864,Games!$A$2:$A$18,Games!$D$2:$D$18,"Missing game",0)</x:f>
        <x:v>13</x:v>
      </x:c>
      <x:c r="AJ1864" s="1" t="n">
        <x:f>_xlfn.XLOOKUP($A1864,Games!$A$2:$A$18,Games!$E$2:$E$18,"Missing game",0)</x:f>
        <x:v>45991</x:v>
      </x:c>
      <x:c r="AK1864" t="str">
        <x:f>_xlfn.XLOOKUP($A1864,Games!$A$2:$A$18,Games!$F$2:$F$18,"Missing game",0)</x:f>
        <x:v>Sunday</x:v>
      </x:c>
      <x:c r="AL1864" t="str">
        <x:f>_xlfn.XLOOKUP($A1864,Games!$A$2:$A$18,Games!$G$2:$G$18,"Missing game",0)</x:f>
        <x:v>MIN</x:v>
      </x:c>
      <x:c r="AM1864" t="n">
        <x:f>_xlfn.XLOOKUP($A1864,Games!$A$2:$A$18,Games!$H$2:$H$18,"Missing game",0)</x:f>
        <x:v>0</x:v>
      </x:c>
      <x:c r="AN1864" t="str">
        <x:f>_xlfn.XLOOKUP($A1864,Games!$A$2:$A$18,Games!$I$2:$I$18,"Missing game",0)</x:f>
        <x:v>SEA</x:v>
      </x:c>
      <x:c r="AO1864" t="n">
        <x:f>_xlfn.XLOOKUP($A1864,Games!$A$2:$A$18,Games!$J$2:$J$18,"Missing game",0)</x:f>
        <x:v>26</x:v>
      </x:c>
      <x:c r="AP1864" t="n">
        <x:f>_xlfn.XLOOKUP($A1864,Games!$A$2:$A$18,Games!$K$2:$K$18,"Missing game",0)</x:f>
        <x:v>26</x:v>
      </x:c>
      <x:c r="AQ1864" t="n">
        <x:f>_xlfn.XLOOKUP($A1864,Games!$A$2:$A$18,Games!$L$2:$L$18,"Missing game",0)</x:f>
        <x:v>26</x:v>
      </x:c>
      <x:c r="AR1864" t="n">
        <x:f>_xlfn.XLOOKUP($A1864,Games!$A$2:$A$18,Games!$M$2:$M$18,"Missing game",0)</x:f>
        <x:v>0</x:v>
      </x:c>
      <x:c r="AS1864" t="str">
        <x:f>_xlfn.XLOOKUP($A1864,Games!$A$2:$A$18,Games!$N$2:$N$18,"Missing game",0)</x:f>
        <x:v>outdoors</x:v>
      </x:c>
      <x:c r="AT1864" t="str">
        <x:f>_xlfn.XLOOKUP($A1864,Games!$A$2:$A$18,Games!$O$2:$O$18,"Missing game",0)</x:f>
        <x:v>fieldturf</x:v>
      </x:c>
      <x:c r="AU1864" t="n">
        <x:f>_xlfn.XLOOKUP($A1864,Games!$A$2:$A$18,Games!$P$2:$P$18,"Missing game",0)</x:f>
        <x:v>45</x:v>
      </x:c>
      <x:c r="AV1864" t="n">
        <x:f>_xlfn.XLOOKUP($A1864,Games!$A$2:$A$18,Games!$Q$2:$Q$18,"Missing game",0)</x:f>
        <x:v>2</x:v>
      </x:c>
      <x:c r="AW1864" t="str">
        <x:f>_xlfn.XLOOKUP($A1864,Games!$A$2:$A$18,Games!$R$2:$R$18,"Missing game",0)</x:f>
        <x:v>Lumen Field</x:v>
      </x:c>
    </x:row>
    <x:row r="1865">
      <x:c r="A1865" t="str">
        <x:v>2025_13_MIN_SEA</x:v>
      </x:c>
      <x:c r="B1865" t="n">
        <x:v>198</x:v>
      </x:c>
      <x:c r="C1865" t="n">
        <x:v>1</x:v>
      </x:c>
      <x:c r="D1865" t="str">
        <x:v>12:00</x:v>
      </x:c>
      <x:c r="E1865" t="n">
        <x:v>3</x:v>
      </x:c>
      <x:c r="F1865" t="n">
        <x:v>3</x:v>
      </x:c>
      <x:c r="G1865" t="str">
        <x:v>MIN</x:v>
      </x:c>
      <x:c r="H1865" t="str">
        <x:v>SEA</x:v>
      </x:c>
      <x:c r="I1865" t="str">
        <x:v>MIN</x:v>
      </x:c>
      <x:c r="J1865" t="n">
        <x:v>51</x:v>
      </x:c>
      <x:c r="K1865" t="str">
        <x:v>(12:00) (Shotgun) 12-M.Brosmer sacked at MIN 40 for -9 yards (99-L.Williams).</x:v>
      </x:c>
      <x:c r="L1865" t="str">
        <x:v>pass</x:v>
      </x:c>
      <x:c r="M1865" t="n">
        <x:v>-9</x:v>
      </x:c>
      <x:c r="N1865" t="n">
        <x:v>1</x:v>
      </x:c>
      <x:c r="O1865" t="n">
        <x:v>0</x:v>
      </x:c>
      <x:c r="P1865"/>
      <x:c r="Q1865"/>
      <x:c r="R1865"/>
      <x:c r="S1865"/>
      <x:c r="T1865"/>
      <x:c r="U1865"/>
      <x:c r="V1865" t="n">
        <x:v>0</x:v>
      </x:c>
      <x:c r="W1865" t="n">
        <x:v>0</x:v>
      </x:c>
      <x:c r="X1865" t="n">
        <x:v>1</x:v>
      </x:c>
      <x:c r="Y1865" t="n">
        <x:v>0</x:v>
      </x:c>
      <x:c r="Z1865" t="n">
        <x:v>0</x:v>
      </x:c>
      <x:c r="AA1865" t="n">
        <x:v>0</x:v>
      </x:c>
      <x:c r="AB1865"/>
      <x:c r="AC1865" t="n">
        <x:v>0</x:v>
      </x:c>
      <x:c r="AD1865" t="n">
        <x:v>-2.622198744909838</x:v>
      </x:c>
      <x:c r="AE1865" t="n">
        <x:v>0</x:v>
      </x:c>
      <x:c r="AF1865" t="n">
        <x:v>-0.07236838340759277</x:v>
      </x:c>
      <x:c r="AG1865" t="n">
        <x:f>_xlfn.XLOOKUP($A1865,Games!$A$2:$A$18,Games!$B$2:$B$18,"Missing game",0)</x:f>
        <x:v>2025</x:v>
      </x:c>
      <x:c r="AH1865" t="str">
        <x:f>_xlfn.XLOOKUP($A1865,Games!$A$2:$A$18,Games!$C$2:$C$18,"Missing game",0)</x:f>
        <x:v>REG</x:v>
      </x:c>
      <x:c r="AI1865" t="n">
        <x:f>_xlfn.XLOOKUP($A1865,Games!$A$2:$A$18,Games!$D$2:$D$18,"Missing game",0)</x:f>
        <x:v>13</x:v>
      </x:c>
      <x:c r="AJ1865" s="1" t="n">
        <x:f>_xlfn.XLOOKUP($A1865,Games!$A$2:$A$18,Games!$E$2:$E$18,"Missing game",0)</x:f>
        <x:v>45991</x:v>
      </x:c>
      <x:c r="AK1865" t="str">
        <x:f>_xlfn.XLOOKUP($A1865,Games!$A$2:$A$18,Games!$F$2:$F$18,"Missing game",0)</x:f>
        <x:v>Sunday</x:v>
      </x:c>
      <x:c r="AL1865" t="str">
        <x:f>_xlfn.XLOOKUP($A1865,Games!$A$2:$A$18,Games!$G$2:$G$18,"Missing game",0)</x:f>
        <x:v>MIN</x:v>
      </x:c>
      <x:c r="AM1865" t="n">
        <x:f>_xlfn.XLOOKUP($A1865,Games!$A$2:$A$18,Games!$H$2:$H$18,"Missing game",0)</x:f>
        <x:v>0</x:v>
      </x:c>
      <x:c r="AN1865" t="str">
        <x:f>_xlfn.XLOOKUP($A1865,Games!$A$2:$A$18,Games!$I$2:$I$18,"Missing game",0)</x:f>
        <x:v>SEA</x:v>
      </x:c>
      <x:c r="AO1865" t="n">
        <x:f>_xlfn.XLOOKUP($A1865,Games!$A$2:$A$18,Games!$J$2:$J$18,"Missing game",0)</x:f>
        <x:v>26</x:v>
      </x:c>
      <x:c r="AP1865" t="n">
        <x:f>_xlfn.XLOOKUP($A1865,Games!$A$2:$A$18,Games!$K$2:$K$18,"Missing game",0)</x:f>
        <x:v>26</x:v>
      </x:c>
      <x:c r="AQ1865" t="n">
        <x:f>_xlfn.XLOOKUP($A1865,Games!$A$2:$A$18,Games!$L$2:$L$18,"Missing game",0)</x:f>
        <x:v>26</x:v>
      </x:c>
      <x:c r="AR1865" t="n">
        <x:f>_xlfn.XLOOKUP($A1865,Games!$A$2:$A$18,Games!$M$2:$M$18,"Missing game",0)</x:f>
        <x:v>0</x:v>
      </x:c>
      <x:c r="AS1865" t="str">
        <x:f>_xlfn.XLOOKUP($A1865,Games!$A$2:$A$18,Games!$N$2:$N$18,"Missing game",0)</x:f>
        <x:v>outdoors</x:v>
      </x:c>
      <x:c r="AT1865" t="str">
        <x:f>_xlfn.XLOOKUP($A1865,Games!$A$2:$A$18,Games!$O$2:$O$18,"Missing game",0)</x:f>
        <x:v>fieldturf</x:v>
      </x:c>
      <x:c r="AU1865" t="n">
        <x:f>_xlfn.XLOOKUP($A1865,Games!$A$2:$A$18,Games!$P$2:$P$18,"Missing game",0)</x:f>
        <x:v>45</x:v>
      </x:c>
      <x:c r="AV1865" t="n">
        <x:f>_xlfn.XLOOKUP($A1865,Games!$A$2:$A$18,Games!$Q$2:$Q$18,"Missing game",0)</x:f>
        <x:v>2</x:v>
      </x:c>
      <x:c r="AW1865" t="str">
        <x:f>_xlfn.XLOOKUP($A1865,Games!$A$2:$A$18,Games!$R$2:$R$18,"Missing game",0)</x:f>
        <x:v>Lumen Field</x:v>
      </x:c>
    </x:row>
    <x:row r="1866">
      <x:c r="A1866" t="str">
        <x:v>2025_13_MIN_SEA</x:v>
      </x:c>
      <x:c r="B1866" t="n">
        <x:v>218</x:v>
      </x:c>
      <x:c r="C1866" t="n">
        <x:v>1</x:v>
      </x:c>
      <x:c r="D1866" t="str">
        <x:v>11:18</x:v>
      </x:c>
      <x:c r="E1866" t="n">
        <x:v>4</x:v>
      </x:c>
      <x:c r="F1866" t="n">
        <x:v>12</x:v>
      </x:c>
      <x:c r="G1866" t="str">
        <x:v>MIN</x:v>
      </x:c>
      <x:c r="H1866" t="str">
        <x:v>SEA</x:v>
      </x:c>
      <x:c r="I1866" t="str">
        <x:v>MIN</x:v>
      </x:c>
      <x:c r="J1866" t="n">
        <x:v>60</x:v>
      </x:c>
      <x:c r="K1866" t="str">
        <x:v>(11:18) 17-R.Wright punts 56 yards to SEA 4, Center-42-A.DePaola, fair catch by 22-R.Shaheed.</x:v>
      </x:c>
      <x:c r="L1866" t="str">
        <x:v>punt</x:v>
      </x:c>
      <x:c r="M1866" t="n">
        <x:v>0</x:v>
      </x:c>
      <x:c r="N1866" t="n">
        <x:v>0</x:v>
      </x:c>
      <x:c r="O1866" t="n">
        <x:v>0</x:v>
      </x:c>
      <x:c r="P1866"/>
      <x:c r="Q1866"/>
      <x:c r="R1866"/>
      <x:c r="S1866"/>
      <x:c r="T1866"/>
      <x:c r="U1866"/>
      <x:c r="V1866" t="n">
        <x:v>0</x:v>
      </x:c>
      <x:c r="W1866" t="n">
        <x:v>0</x:v>
      </x:c>
      <x:c r="X1866" t="n">
        <x:v>0</x:v>
      </x:c>
      <x:c r="Y1866" t="n">
        <x:v>0</x:v>
      </x:c>
      <x:c r="Z1866" t="n">
        <x:v>0</x:v>
      </x:c>
      <x:c r="AA1866" t="n">
        <x:v>0</x:v>
      </x:c>
      <x:c r="AB1866"/>
      <x:c r="AC1866" t="n">
        <x:v>0</x:v>
      </x:c>
      <x:c r="AD1866" t="n">
        <x:v>1.121814333833754</x:v>
      </x:c>
      <x:c r="AE1866" t="n">
        <x:v>1</x:v>
      </x:c>
      <x:c r="AF1866" t="n">
        <x:v>0.0283697247505188</x:v>
      </x:c>
      <x:c r="AG1866" t="n">
        <x:f>_xlfn.XLOOKUP($A1866,Games!$A$2:$A$18,Games!$B$2:$B$18,"Missing game",0)</x:f>
        <x:v>2025</x:v>
      </x:c>
      <x:c r="AH1866" t="str">
        <x:f>_xlfn.XLOOKUP($A1866,Games!$A$2:$A$18,Games!$C$2:$C$18,"Missing game",0)</x:f>
        <x:v>REG</x:v>
      </x:c>
      <x:c r="AI1866" t="n">
        <x:f>_xlfn.XLOOKUP($A1866,Games!$A$2:$A$18,Games!$D$2:$D$18,"Missing game",0)</x:f>
        <x:v>13</x:v>
      </x:c>
      <x:c r="AJ1866" s="1" t="n">
        <x:f>_xlfn.XLOOKUP($A1866,Games!$A$2:$A$18,Games!$E$2:$E$18,"Missing game",0)</x:f>
        <x:v>45991</x:v>
      </x:c>
      <x:c r="AK1866" t="str">
        <x:f>_xlfn.XLOOKUP($A1866,Games!$A$2:$A$18,Games!$F$2:$F$18,"Missing game",0)</x:f>
        <x:v>Sunday</x:v>
      </x:c>
      <x:c r="AL1866" t="str">
        <x:f>_xlfn.XLOOKUP($A1866,Games!$A$2:$A$18,Games!$G$2:$G$18,"Missing game",0)</x:f>
        <x:v>MIN</x:v>
      </x:c>
      <x:c r="AM1866" t="n">
        <x:f>_xlfn.XLOOKUP($A1866,Games!$A$2:$A$18,Games!$H$2:$H$18,"Missing game",0)</x:f>
        <x:v>0</x:v>
      </x:c>
      <x:c r="AN1866" t="str">
        <x:f>_xlfn.XLOOKUP($A1866,Games!$A$2:$A$18,Games!$I$2:$I$18,"Missing game",0)</x:f>
        <x:v>SEA</x:v>
      </x:c>
      <x:c r="AO1866" t="n">
        <x:f>_xlfn.XLOOKUP($A1866,Games!$A$2:$A$18,Games!$J$2:$J$18,"Missing game",0)</x:f>
        <x:v>26</x:v>
      </x:c>
      <x:c r="AP1866" t="n">
        <x:f>_xlfn.XLOOKUP($A1866,Games!$A$2:$A$18,Games!$K$2:$K$18,"Missing game",0)</x:f>
        <x:v>26</x:v>
      </x:c>
      <x:c r="AQ1866" t="n">
        <x:f>_xlfn.XLOOKUP($A1866,Games!$A$2:$A$18,Games!$L$2:$L$18,"Missing game",0)</x:f>
        <x:v>26</x:v>
      </x:c>
      <x:c r="AR1866" t="n">
        <x:f>_xlfn.XLOOKUP($A1866,Games!$A$2:$A$18,Games!$M$2:$M$18,"Missing game",0)</x:f>
        <x:v>0</x:v>
      </x:c>
      <x:c r="AS1866" t="str">
        <x:f>_xlfn.XLOOKUP($A1866,Games!$A$2:$A$18,Games!$N$2:$N$18,"Missing game",0)</x:f>
        <x:v>outdoors</x:v>
      </x:c>
      <x:c r="AT1866" t="str">
        <x:f>_xlfn.XLOOKUP($A1866,Games!$A$2:$A$18,Games!$O$2:$O$18,"Missing game",0)</x:f>
        <x:v>fieldturf</x:v>
      </x:c>
      <x:c r="AU1866" t="n">
        <x:f>_xlfn.XLOOKUP($A1866,Games!$A$2:$A$18,Games!$P$2:$P$18,"Missing game",0)</x:f>
        <x:v>45</x:v>
      </x:c>
      <x:c r="AV1866" t="n">
        <x:f>_xlfn.XLOOKUP($A1866,Games!$A$2:$A$18,Games!$Q$2:$Q$18,"Missing game",0)</x:f>
        <x:v>2</x:v>
      </x:c>
      <x:c r="AW1866" t="str">
        <x:f>_xlfn.XLOOKUP($A1866,Games!$A$2:$A$18,Games!$R$2:$R$18,"Missing game",0)</x:f>
        <x:v>Lumen Field</x:v>
      </x:c>
    </x:row>
    <x:row r="1867">
      <x:c r="A1867" t="str">
        <x:v>2025_13_MIN_SEA</x:v>
      </x:c>
      <x:c r="B1867" t="n">
        <x:v>245</x:v>
      </x:c>
      <x:c r="C1867" t="n">
        <x:v>1</x:v>
      </x:c>
      <x:c r="D1867" t="str">
        <x:v>11:11</x:v>
      </x:c>
      <x:c r="E1867" t="n">
        <x:v>1</x:v>
      </x:c>
      <x:c r="F1867" t="n">
        <x:v>10</x:v>
      </x:c>
      <x:c r="G1867" t="str">
        <x:v>SEA</x:v>
      </x:c>
      <x:c r="H1867" t="str">
        <x:v>MIN</x:v>
      </x:c>
      <x:c r="I1867" t="str">
        <x:v>SEA</x:v>
      </x:c>
      <x:c r="J1867" t="n">
        <x:v>96</x:v>
      </x:c>
      <x:c r="K1867" t="str">
        <x:v>(11:11) (Shotgun) 9-K.Walker right guard to SEA 7 for 3 yards (55-E.Wilson).</x:v>
      </x:c>
      <x:c r="L1867" t="str">
        <x:v>run</x:v>
      </x:c>
      <x:c r="M1867" t="n">
        <x:v>3</x:v>
      </x:c>
      <x:c r="N1867" t="n">
        <x:v>1</x:v>
      </x:c>
      <x:c r="O1867" t="n">
        <x:v>0</x:v>
      </x:c>
      <x:c r="P1867"/>
      <x:c r="Q1867"/>
      <x:c r="R1867"/>
      <x:c r="S1867"/>
      <x:c r="T1867" t="str">
        <x:v>right</x:v>
      </x:c>
      <x:c r="U1867" t="str">
        <x:v>guard</x:v>
      </x:c>
      <x:c r="V1867" t="n">
        <x:v>0</x:v>
      </x:c>
      <x:c r="W1867" t="n">
        <x:v>0</x:v>
      </x:c>
      <x:c r="X1867" t="n">
        <x:v>0</x:v>
      </x:c>
      <x:c r="Y1867" t="n">
        <x:v>0</x:v>
      </x:c>
      <x:c r="Z1867" t="n">
        <x:v>0</x:v>
      </x:c>
      <x:c r="AA1867" t="n">
        <x:v>0</x:v>
      </x:c>
      <x:c r="AB1867"/>
      <x:c r="AC1867" t="n">
        <x:v>0</x:v>
      </x:c>
      <x:c r="AD1867" t="n">
        <x:v>-0.2669263172429055</x:v>
      </x:c>
      <x:c r="AE1867" t="n">
        <x:v>0</x:v>
      </x:c>
      <x:c r="AF1867" t="n">
        <x:v>-0.01241379976272583</x:v>
      </x:c>
      <x:c r="AG1867" t="n">
        <x:f>_xlfn.XLOOKUP($A1867,Games!$A$2:$A$18,Games!$B$2:$B$18,"Missing game",0)</x:f>
        <x:v>2025</x:v>
      </x:c>
      <x:c r="AH1867" t="str">
        <x:f>_xlfn.XLOOKUP($A1867,Games!$A$2:$A$18,Games!$C$2:$C$18,"Missing game",0)</x:f>
        <x:v>REG</x:v>
      </x:c>
      <x:c r="AI1867" t="n">
        <x:f>_xlfn.XLOOKUP($A1867,Games!$A$2:$A$18,Games!$D$2:$D$18,"Missing game",0)</x:f>
        <x:v>13</x:v>
      </x:c>
      <x:c r="AJ1867" s="1" t="n">
        <x:f>_xlfn.XLOOKUP($A1867,Games!$A$2:$A$18,Games!$E$2:$E$18,"Missing game",0)</x:f>
        <x:v>45991</x:v>
      </x:c>
      <x:c r="AK1867" t="str">
        <x:f>_xlfn.XLOOKUP($A1867,Games!$A$2:$A$18,Games!$F$2:$F$18,"Missing game",0)</x:f>
        <x:v>Sunday</x:v>
      </x:c>
      <x:c r="AL1867" t="str">
        <x:f>_xlfn.XLOOKUP($A1867,Games!$A$2:$A$18,Games!$G$2:$G$18,"Missing game",0)</x:f>
        <x:v>MIN</x:v>
      </x:c>
      <x:c r="AM1867" t="n">
        <x:f>_xlfn.XLOOKUP($A1867,Games!$A$2:$A$18,Games!$H$2:$H$18,"Missing game",0)</x:f>
        <x:v>0</x:v>
      </x:c>
      <x:c r="AN1867" t="str">
        <x:f>_xlfn.XLOOKUP($A1867,Games!$A$2:$A$18,Games!$I$2:$I$18,"Missing game",0)</x:f>
        <x:v>SEA</x:v>
      </x:c>
      <x:c r="AO1867" t="n">
        <x:f>_xlfn.XLOOKUP($A1867,Games!$A$2:$A$18,Games!$J$2:$J$18,"Missing game",0)</x:f>
        <x:v>26</x:v>
      </x:c>
      <x:c r="AP1867" t="n">
        <x:f>_xlfn.XLOOKUP($A1867,Games!$A$2:$A$18,Games!$K$2:$K$18,"Missing game",0)</x:f>
        <x:v>26</x:v>
      </x:c>
      <x:c r="AQ1867" t="n">
        <x:f>_xlfn.XLOOKUP($A1867,Games!$A$2:$A$18,Games!$L$2:$L$18,"Missing game",0)</x:f>
        <x:v>26</x:v>
      </x:c>
      <x:c r="AR1867" t="n">
        <x:f>_xlfn.XLOOKUP($A1867,Games!$A$2:$A$18,Games!$M$2:$M$18,"Missing game",0)</x:f>
        <x:v>0</x:v>
      </x:c>
      <x:c r="AS1867" t="str">
        <x:f>_xlfn.XLOOKUP($A1867,Games!$A$2:$A$18,Games!$N$2:$N$18,"Missing game",0)</x:f>
        <x:v>outdoors</x:v>
      </x:c>
      <x:c r="AT1867" t="str">
        <x:f>_xlfn.XLOOKUP($A1867,Games!$A$2:$A$18,Games!$O$2:$O$18,"Missing game",0)</x:f>
        <x:v>fieldturf</x:v>
      </x:c>
      <x:c r="AU1867" t="n">
        <x:f>_xlfn.XLOOKUP($A1867,Games!$A$2:$A$18,Games!$P$2:$P$18,"Missing game",0)</x:f>
        <x:v>45</x:v>
      </x:c>
      <x:c r="AV1867" t="n">
        <x:f>_xlfn.XLOOKUP($A1867,Games!$A$2:$A$18,Games!$Q$2:$Q$18,"Missing game",0)</x:f>
        <x:v>2</x:v>
      </x:c>
      <x:c r="AW1867" t="str">
        <x:f>_xlfn.XLOOKUP($A1867,Games!$A$2:$A$18,Games!$R$2:$R$18,"Missing game",0)</x:f>
        <x:v>Lumen Field</x:v>
      </x:c>
    </x:row>
    <x:row r="1868">
      <x:c r="A1868" t="str">
        <x:v>2025_13_MIN_SEA</x:v>
      </x:c>
      <x:c r="B1868" t="n">
        <x:v>267</x:v>
      </x:c>
      <x:c r="C1868" t="n">
        <x:v>1</x:v>
      </x:c>
      <x:c r="D1868" t="str">
        <x:v>10:49</x:v>
      </x:c>
      <x:c r="E1868" t="n">
        <x:v>2</x:v>
      </x:c>
      <x:c r="F1868" t="n">
        <x:v>7</x:v>
      </x:c>
      <x:c r="G1868" t="str">
        <x:v>SEA</x:v>
      </x:c>
      <x:c r="H1868" t="str">
        <x:v>MIN</x:v>
      </x:c>
      <x:c r="I1868" t="str">
        <x:v>SEA</x:v>
      </x:c>
      <x:c r="J1868" t="n">
        <x:v>93</x:v>
      </x:c>
      <x:c r="K1868" t="str">
        <x:v>(10:49) (No Huddle, Shotgun) 14-S.Darnold pass short left to 9-K.Walker to SEA 21 for 14 yards (51-B.Cashman).</x:v>
      </x:c>
      <x:c r="L1868" t="str">
        <x:v>pass</x:v>
      </x:c>
      <x:c r="M1868" t="n">
        <x:v>14</x:v>
      </x:c>
      <x:c r="N1868" t="n">
        <x:v>1</x:v>
      </x:c>
      <x:c r="O1868" t="n">
        <x:v>1</x:v>
      </x:c>
      <x:c r="P1868" t="str">
        <x:v>short</x:v>
      </x:c>
      <x:c r="Q1868" t="str">
        <x:v>left</x:v>
      </x:c>
      <x:c r="R1868" t="n">
        <x:v>-2</x:v>
      </x:c>
      <x:c r="S1868" t="n">
        <x:v>16</x:v>
      </x:c>
      <x:c r="T1868"/>
      <x:c r="U1868"/>
      <x:c r="V1868" t="n">
        <x:v>1</x:v>
      </x:c>
      <x:c r="W1868" t="n">
        <x:v>1</x:v>
      </x:c>
      <x:c r="X1868" t="n">
        <x:v>0</x:v>
      </x:c>
      <x:c r="Y1868" t="n">
        <x:v>0</x:v>
      </x:c>
      <x:c r="Z1868" t="n">
        <x:v>0</x:v>
      </x:c>
      <x:c r="AA1868" t="n">
        <x:v>0</x:v>
      </x:c>
      <x:c r="AB1868"/>
      <x:c r="AC1868" t="n">
        <x:v>0</x:v>
      </x:c>
      <x:c r="AD1868" t="n">
        <x:v>1.2882875816430897</x:v>
      </x:c>
      <x:c r="AE1868" t="n">
        <x:v>1</x:v>
      </x:c>
      <x:c r="AF1868" t="n">
        <x:v>0.02276855707168579</x:v>
      </x:c>
      <x:c r="AG1868" t="n">
        <x:f>_xlfn.XLOOKUP($A1868,Games!$A$2:$A$18,Games!$B$2:$B$18,"Missing game",0)</x:f>
        <x:v>2025</x:v>
      </x:c>
      <x:c r="AH1868" t="str">
        <x:f>_xlfn.XLOOKUP($A1868,Games!$A$2:$A$18,Games!$C$2:$C$18,"Missing game",0)</x:f>
        <x:v>REG</x:v>
      </x:c>
      <x:c r="AI1868" t="n">
        <x:f>_xlfn.XLOOKUP($A1868,Games!$A$2:$A$18,Games!$D$2:$D$18,"Missing game",0)</x:f>
        <x:v>13</x:v>
      </x:c>
      <x:c r="AJ1868" s="1" t="n">
        <x:f>_xlfn.XLOOKUP($A1868,Games!$A$2:$A$18,Games!$E$2:$E$18,"Missing game",0)</x:f>
        <x:v>45991</x:v>
      </x:c>
      <x:c r="AK1868" t="str">
        <x:f>_xlfn.XLOOKUP($A1868,Games!$A$2:$A$18,Games!$F$2:$F$18,"Missing game",0)</x:f>
        <x:v>Sunday</x:v>
      </x:c>
      <x:c r="AL1868" t="str">
        <x:f>_xlfn.XLOOKUP($A1868,Games!$A$2:$A$18,Games!$G$2:$G$18,"Missing game",0)</x:f>
        <x:v>MIN</x:v>
      </x:c>
      <x:c r="AM1868" t="n">
        <x:f>_xlfn.XLOOKUP($A1868,Games!$A$2:$A$18,Games!$H$2:$H$18,"Missing game",0)</x:f>
        <x:v>0</x:v>
      </x:c>
      <x:c r="AN1868" t="str">
        <x:f>_xlfn.XLOOKUP($A1868,Games!$A$2:$A$18,Games!$I$2:$I$18,"Missing game",0)</x:f>
        <x:v>SEA</x:v>
      </x:c>
      <x:c r="AO1868" t="n">
        <x:f>_xlfn.XLOOKUP($A1868,Games!$A$2:$A$18,Games!$J$2:$J$18,"Missing game",0)</x:f>
        <x:v>26</x:v>
      </x:c>
      <x:c r="AP1868" t="n">
        <x:f>_xlfn.XLOOKUP($A1868,Games!$A$2:$A$18,Games!$K$2:$K$18,"Missing game",0)</x:f>
        <x:v>26</x:v>
      </x:c>
      <x:c r="AQ1868" t="n">
        <x:f>_xlfn.XLOOKUP($A1868,Games!$A$2:$A$18,Games!$L$2:$L$18,"Missing game",0)</x:f>
        <x:v>26</x:v>
      </x:c>
      <x:c r="AR1868" t="n">
        <x:f>_xlfn.XLOOKUP($A1868,Games!$A$2:$A$18,Games!$M$2:$M$18,"Missing game",0)</x:f>
        <x:v>0</x:v>
      </x:c>
      <x:c r="AS1868" t="str">
        <x:f>_xlfn.XLOOKUP($A1868,Games!$A$2:$A$18,Games!$N$2:$N$18,"Missing game",0)</x:f>
        <x:v>outdoors</x:v>
      </x:c>
      <x:c r="AT1868" t="str">
        <x:f>_xlfn.XLOOKUP($A1868,Games!$A$2:$A$18,Games!$O$2:$O$18,"Missing game",0)</x:f>
        <x:v>fieldturf</x:v>
      </x:c>
      <x:c r="AU1868" t="n">
        <x:f>_xlfn.XLOOKUP($A1868,Games!$A$2:$A$18,Games!$P$2:$P$18,"Missing game",0)</x:f>
        <x:v>45</x:v>
      </x:c>
      <x:c r="AV1868" t="n">
        <x:f>_xlfn.XLOOKUP($A1868,Games!$A$2:$A$18,Games!$Q$2:$Q$18,"Missing game",0)</x:f>
        <x:v>2</x:v>
      </x:c>
      <x:c r="AW1868" t="str">
        <x:f>_xlfn.XLOOKUP($A1868,Games!$A$2:$A$18,Games!$R$2:$R$18,"Missing game",0)</x:f>
        <x:v>Lumen Field</x:v>
      </x:c>
    </x:row>
    <x:row r="1869">
      <x:c r="A1869" t="str">
        <x:v>2025_13_MIN_SEA</x:v>
      </x:c>
      <x:c r="B1869" t="n">
        <x:v>292</x:v>
      </x:c>
      <x:c r="C1869" t="n">
        <x:v>1</x:v>
      </x:c>
      <x:c r="D1869" t="str">
        <x:v>10:03</x:v>
      </x:c>
      <x:c r="E1869" t="n">
        <x:v>1</x:v>
      </x:c>
      <x:c r="F1869" t="n">
        <x:v>10</x:v>
      </x:c>
      <x:c r="G1869" t="str">
        <x:v>SEA</x:v>
      </x:c>
      <x:c r="H1869" t="str">
        <x:v>MIN</x:v>
      </x:c>
      <x:c r="I1869" t="str">
        <x:v>SEA</x:v>
      </x:c>
      <x:c r="J1869" t="n">
        <x:v>79</x:v>
      </x:c>
      <x:c r="K1869" t="str">
        <x:v>(10:03) (Shotgun) 9-K.Walker left guard to SEA 26 for 5 yards (93-J.Allen). PENALTY on MIN-43-A.Van Ginkel, Defensive Offside, 5 yards, enforced at SEA 21 - No Play.</x:v>
      </x:c>
      <x:c r="L1869" t="str">
        <x:v>no_play</x:v>
      </x:c>
      <x:c r="M1869" t="n">
        <x:v>0</x:v>
      </x:c>
      <x:c r="N1869" t="n">
        <x:v>1</x:v>
      </x:c>
      <x:c r="O1869" t="n">
        <x:v>0</x:v>
      </x:c>
      <x:c r="P1869"/>
      <x:c r="Q1869"/>
      <x:c r="R1869"/>
      <x:c r="S1869"/>
      <x:c r="T1869"/>
      <x:c r="U1869"/>
      <x:c r="V1869" t="n">
        <x:v>0</x:v>
      </x:c>
      <x:c r="W1869" t="n">
        <x:v>0</x:v>
      </x:c>
      <x:c r="X1869" t="n">
        <x:v>0</x:v>
      </x:c>
      <x:c r="Y1869" t="n">
        <x:v>0</x:v>
      </x:c>
      <x:c r="Z1869" t="n">
        <x:v>0</x:v>
      </x:c>
      <x:c r="AA1869" t="n">
        <x:v>1</x:v>
      </x:c>
      <x:c r="AB1869" t="n">
        <x:v>5</x:v>
      </x:c>
      <x:c r="AC1869" t="n">
        <x:v>0</x:v>
      </x:c>
      <x:c r="AD1869" t="n">
        <x:v>0.7990183951333165</x:v>
      </x:c>
      <x:c r="AE1869" t="n">
        <x:v>1</x:v>
      </x:c>
      <x:c r="AF1869" t="n">
        <x:v>0.01035219430923462</x:v>
      </x:c>
      <x:c r="AG1869" t="n">
        <x:f>_xlfn.XLOOKUP($A1869,Games!$A$2:$A$18,Games!$B$2:$B$18,"Missing game",0)</x:f>
        <x:v>2025</x:v>
      </x:c>
      <x:c r="AH1869" t="str">
        <x:f>_xlfn.XLOOKUP($A1869,Games!$A$2:$A$18,Games!$C$2:$C$18,"Missing game",0)</x:f>
        <x:v>REG</x:v>
      </x:c>
      <x:c r="AI1869" t="n">
        <x:f>_xlfn.XLOOKUP($A1869,Games!$A$2:$A$18,Games!$D$2:$D$18,"Missing game",0)</x:f>
        <x:v>13</x:v>
      </x:c>
      <x:c r="AJ1869" s="1" t="n">
        <x:f>_xlfn.XLOOKUP($A1869,Games!$A$2:$A$18,Games!$E$2:$E$18,"Missing game",0)</x:f>
        <x:v>45991</x:v>
      </x:c>
      <x:c r="AK1869" t="str">
        <x:f>_xlfn.XLOOKUP($A1869,Games!$A$2:$A$18,Games!$F$2:$F$18,"Missing game",0)</x:f>
        <x:v>Sunday</x:v>
      </x:c>
      <x:c r="AL1869" t="str">
        <x:f>_xlfn.XLOOKUP($A1869,Games!$A$2:$A$18,Games!$G$2:$G$18,"Missing game",0)</x:f>
        <x:v>MIN</x:v>
      </x:c>
      <x:c r="AM1869" t="n">
        <x:f>_xlfn.XLOOKUP($A1869,Games!$A$2:$A$18,Games!$H$2:$H$18,"Missing game",0)</x:f>
        <x:v>0</x:v>
      </x:c>
      <x:c r="AN1869" t="str">
        <x:f>_xlfn.XLOOKUP($A1869,Games!$A$2:$A$18,Games!$I$2:$I$18,"Missing game",0)</x:f>
        <x:v>SEA</x:v>
      </x:c>
      <x:c r="AO1869" t="n">
        <x:f>_xlfn.XLOOKUP($A1869,Games!$A$2:$A$18,Games!$J$2:$J$18,"Missing game",0)</x:f>
        <x:v>26</x:v>
      </x:c>
      <x:c r="AP1869" t="n">
        <x:f>_xlfn.XLOOKUP($A1869,Games!$A$2:$A$18,Games!$K$2:$K$18,"Missing game",0)</x:f>
        <x:v>26</x:v>
      </x:c>
      <x:c r="AQ1869" t="n">
        <x:f>_xlfn.XLOOKUP($A1869,Games!$A$2:$A$18,Games!$L$2:$L$18,"Missing game",0)</x:f>
        <x:v>26</x:v>
      </x:c>
      <x:c r="AR1869" t="n">
        <x:f>_xlfn.XLOOKUP($A1869,Games!$A$2:$A$18,Games!$M$2:$M$18,"Missing game",0)</x:f>
        <x:v>0</x:v>
      </x:c>
      <x:c r="AS1869" t="str">
        <x:f>_xlfn.XLOOKUP($A1869,Games!$A$2:$A$18,Games!$N$2:$N$18,"Missing game",0)</x:f>
        <x:v>outdoors</x:v>
      </x:c>
      <x:c r="AT1869" t="str">
        <x:f>_xlfn.XLOOKUP($A1869,Games!$A$2:$A$18,Games!$O$2:$O$18,"Missing game",0)</x:f>
        <x:v>fieldturf</x:v>
      </x:c>
      <x:c r="AU1869" t="n">
        <x:f>_xlfn.XLOOKUP($A1869,Games!$A$2:$A$18,Games!$P$2:$P$18,"Missing game",0)</x:f>
        <x:v>45</x:v>
      </x:c>
      <x:c r="AV1869" t="n">
        <x:f>_xlfn.XLOOKUP($A1869,Games!$A$2:$A$18,Games!$Q$2:$Q$18,"Missing game",0)</x:f>
        <x:v>2</x:v>
      </x:c>
      <x:c r="AW1869" t="str">
        <x:f>_xlfn.XLOOKUP($A1869,Games!$A$2:$A$18,Games!$R$2:$R$18,"Missing game",0)</x:f>
        <x:v>Lumen Field</x:v>
      </x:c>
    </x:row>
    <x:row r="1870">
      <x:c r="A1870" t="str">
        <x:v>2025_13_MIN_SEA</x:v>
      </x:c>
      <x:c r="B1870" t="n">
        <x:v>325</x:v>
      </x:c>
      <x:c r="C1870" t="n">
        <x:v>1</x:v>
      </x:c>
      <x:c r="D1870" t="str">
        <x:v>09:33</x:v>
      </x:c>
      <x:c r="E1870" t="n">
        <x:v>1</x:v>
      </x:c>
      <x:c r="F1870" t="n">
        <x:v>5</x:v>
      </x:c>
      <x:c r="G1870" t="str">
        <x:v>SEA</x:v>
      </x:c>
      <x:c r="H1870" t="str">
        <x:v>MIN</x:v>
      </x:c>
      <x:c r="I1870" t="str">
        <x:v>SEA</x:v>
      </x:c>
      <x:c r="J1870" t="n">
        <x:v>74</x:v>
      </x:c>
      <x:c r="K1870" t="str">
        <x:v>(9:33) 9-K.Walker left end to SEA 30 for 4 yards (7-B.Murphy).</x:v>
      </x:c>
      <x:c r="L1870" t="str">
        <x:v>run</x:v>
      </x:c>
      <x:c r="M1870" t="n">
        <x:v>4</x:v>
      </x:c>
      <x:c r="N1870" t="n">
        <x:v>0</x:v>
      </x:c>
      <x:c r="O1870" t="n">
        <x:v>0</x:v>
      </x:c>
      <x:c r="P1870"/>
      <x:c r="Q1870"/>
      <x:c r="R1870"/>
      <x:c r="S1870"/>
      <x:c r="T1870" t="str">
        <x:v>left</x:v>
      </x:c>
      <x:c r="U1870" t="str">
        <x:v>end</x:v>
      </x:c>
      <x:c r="V1870" t="n">
        <x:v>0</x:v>
      </x:c>
      <x:c r="W1870" t="n">
        <x:v>0</x:v>
      </x:c>
      <x:c r="X1870" t="n">
        <x:v>0</x:v>
      </x:c>
      <x:c r="Y1870" t="n">
        <x:v>0</x:v>
      </x:c>
      <x:c r="Z1870" t="n">
        <x:v>0</x:v>
      </x:c>
      <x:c r="AA1870" t="n">
        <x:v>0</x:v>
      </x:c>
      <x:c r="AB1870"/>
      <x:c r="AC1870" t="n">
        <x:v>0</x:v>
      </x:c>
      <x:c r="AD1870" t="n">
        <x:v>0.26446381118148565</x:v>
      </x:c>
      <x:c r="AE1870" t="n">
        <x:v>1</x:v>
      </x:c>
      <x:c r="AF1870" t="n">
        <x:v>0.014105260372161865</x:v>
      </x:c>
      <x:c r="AG1870" t="n">
        <x:f>_xlfn.XLOOKUP($A1870,Games!$A$2:$A$18,Games!$B$2:$B$18,"Missing game",0)</x:f>
        <x:v>2025</x:v>
      </x:c>
      <x:c r="AH1870" t="str">
        <x:f>_xlfn.XLOOKUP($A1870,Games!$A$2:$A$18,Games!$C$2:$C$18,"Missing game",0)</x:f>
        <x:v>REG</x:v>
      </x:c>
      <x:c r="AI1870" t="n">
        <x:f>_xlfn.XLOOKUP($A1870,Games!$A$2:$A$18,Games!$D$2:$D$18,"Missing game",0)</x:f>
        <x:v>13</x:v>
      </x:c>
      <x:c r="AJ1870" s="1" t="n">
        <x:f>_xlfn.XLOOKUP($A1870,Games!$A$2:$A$18,Games!$E$2:$E$18,"Missing game",0)</x:f>
        <x:v>45991</x:v>
      </x:c>
      <x:c r="AK1870" t="str">
        <x:f>_xlfn.XLOOKUP($A1870,Games!$A$2:$A$18,Games!$F$2:$F$18,"Missing game",0)</x:f>
        <x:v>Sunday</x:v>
      </x:c>
      <x:c r="AL1870" t="str">
        <x:f>_xlfn.XLOOKUP($A1870,Games!$A$2:$A$18,Games!$G$2:$G$18,"Missing game",0)</x:f>
        <x:v>MIN</x:v>
      </x:c>
      <x:c r="AM1870" t="n">
        <x:f>_xlfn.XLOOKUP($A1870,Games!$A$2:$A$18,Games!$H$2:$H$18,"Missing game",0)</x:f>
        <x:v>0</x:v>
      </x:c>
      <x:c r="AN1870" t="str">
        <x:f>_xlfn.XLOOKUP($A1870,Games!$A$2:$A$18,Games!$I$2:$I$18,"Missing game",0)</x:f>
        <x:v>SEA</x:v>
      </x:c>
      <x:c r="AO1870" t="n">
        <x:f>_xlfn.XLOOKUP($A1870,Games!$A$2:$A$18,Games!$J$2:$J$18,"Missing game",0)</x:f>
        <x:v>26</x:v>
      </x:c>
      <x:c r="AP1870" t="n">
        <x:f>_xlfn.XLOOKUP($A1870,Games!$A$2:$A$18,Games!$K$2:$K$18,"Missing game",0)</x:f>
        <x:v>26</x:v>
      </x:c>
      <x:c r="AQ1870" t="n">
        <x:f>_xlfn.XLOOKUP($A1870,Games!$A$2:$A$18,Games!$L$2:$L$18,"Missing game",0)</x:f>
        <x:v>26</x:v>
      </x:c>
      <x:c r="AR1870" t="n">
        <x:f>_xlfn.XLOOKUP($A1870,Games!$A$2:$A$18,Games!$M$2:$M$18,"Missing game",0)</x:f>
        <x:v>0</x:v>
      </x:c>
      <x:c r="AS1870" t="str">
        <x:f>_xlfn.XLOOKUP($A1870,Games!$A$2:$A$18,Games!$N$2:$N$18,"Missing game",0)</x:f>
        <x:v>outdoors</x:v>
      </x:c>
      <x:c r="AT1870" t="str">
        <x:f>_xlfn.XLOOKUP($A1870,Games!$A$2:$A$18,Games!$O$2:$O$18,"Missing game",0)</x:f>
        <x:v>fieldturf</x:v>
      </x:c>
      <x:c r="AU1870" t="n">
        <x:f>_xlfn.XLOOKUP($A1870,Games!$A$2:$A$18,Games!$P$2:$P$18,"Missing game",0)</x:f>
        <x:v>45</x:v>
      </x:c>
      <x:c r="AV1870" t="n">
        <x:f>_xlfn.XLOOKUP($A1870,Games!$A$2:$A$18,Games!$Q$2:$Q$18,"Missing game",0)</x:f>
        <x:v>2</x:v>
      </x:c>
      <x:c r="AW1870" t="str">
        <x:f>_xlfn.XLOOKUP($A1870,Games!$A$2:$A$18,Games!$R$2:$R$18,"Missing game",0)</x:f>
        <x:v>Lumen Field</x:v>
      </x:c>
    </x:row>
    <x:row r="1871">
      <x:c r="A1871" t="str">
        <x:v>2025_13_MIN_SEA</x:v>
      </x:c>
      <x:c r="B1871" t="n">
        <x:v>347</x:v>
      </x:c>
      <x:c r="C1871" t="n">
        <x:v>1</x:v>
      </x:c>
      <x:c r="D1871" t="str">
        <x:v>08:49</x:v>
      </x:c>
      <x:c r="E1871" t="n">
        <x:v>2</x:v>
      </x:c>
      <x:c r="F1871" t="n">
        <x:v>1</x:v>
      </x:c>
      <x:c r="G1871" t="str">
        <x:v>SEA</x:v>
      </x:c>
      <x:c r="H1871" t="str">
        <x:v>MIN</x:v>
      </x:c>
      <x:c r="I1871" t="str">
        <x:v>SEA</x:v>
      </x:c>
      <x:c r="J1871" t="n">
        <x:v>70</x:v>
      </x:c>
      <x:c r="K1871" t="str">
        <x:v>(8:49) 14-S.Darnold pass incomplete deep left [15-D.Turner].</x:v>
      </x:c>
      <x:c r="L1871" t="str">
        <x:v>pass</x:v>
      </x:c>
      <x:c r="M1871" t="n">
        <x:v>0</x:v>
      </x:c>
      <x:c r="N1871" t="n">
        <x:v>0</x:v>
      </x:c>
      <x:c r="O1871" t="n">
        <x:v>0</x:v>
      </x:c>
      <x:c r="P1871" t="str">
        <x:v>deep</x:v>
      </x:c>
      <x:c r="Q1871" t="str">
        <x:v>left</x:v>
      </x:c>
      <x:c r="R1871" t="n">
        <x:v>20</x:v>
      </x:c>
      <x:c r="S1871"/>
      <x:c r="T1871"/>
      <x:c r="U1871"/>
      <x:c r="V1871" t="n">
        <x:v>0</x:v>
      </x:c>
      <x:c r="W1871" t="n">
        <x:v>0</x:v>
      </x:c>
      <x:c r="X1871" t="n">
        <x:v>0</x:v>
      </x:c>
      <x:c r="Y1871" t="n">
        <x:v>0</x:v>
      </x:c>
      <x:c r="Z1871" t="n">
        <x:v>0</x:v>
      </x:c>
      <x:c r="AA1871" t="n">
        <x:v>0</x:v>
      </x:c>
      <x:c r="AB1871"/>
      <x:c r="AC1871" t="n">
        <x:v>0</x:v>
      </x:c>
      <x:c r="AD1871" t="n">
        <x:v>-0.5716791595332325</x:v>
      </x:c>
      <x:c r="AE1871" t="n">
        <x:v>0</x:v>
      </x:c>
      <x:c r="AF1871" t="n">
        <x:v>-0.023260176181793213</x:v>
      </x:c>
      <x:c r="AG1871" t="n">
        <x:f>_xlfn.XLOOKUP($A1871,Games!$A$2:$A$18,Games!$B$2:$B$18,"Missing game",0)</x:f>
        <x:v>2025</x:v>
      </x:c>
      <x:c r="AH1871" t="str">
        <x:f>_xlfn.XLOOKUP($A1871,Games!$A$2:$A$18,Games!$C$2:$C$18,"Missing game",0)</x:f>
        <x:v>REG</x:v>
      </x:c>
      <x:c r="AI1871" t="n">
        <x:f>_xlfn.XLOOKUP($A1871,Games!$A$2:$A$18,Games!$D$2:$D$18,"Missing game",0)</x:f>
        <x:v>13</x:v>
      </x:c>
      <x:c r="AJ1871" s="1" t="n">
        <x:f>_xlfn.XLOOKUP($A1871,Games!$A$2:$A$18,Games!$E$2:$E$18,"Missing game",0)</x:f>
        <x:v>45991</x:v>
      </x:c>
      <x:c r="AK1871" t="str">
        <x:f>_xlfn.XLOOKUP($A1871,Games!$A$2:$A$18,Games!$F$2:$F$18,"Missing game",0)</x:f>
        <x:v>Sunday</x:v>
      </x:c>
      <x:c r="AL1871" t="str">
        <x:f>_xlfn.XLOOKUP($A1871,Games!$A$2:$A$18,Games!$G$2:$G$18,"Missing game",0)</x:f>
        <x:v>MIN</x:v>
      </x:c>
      <x:c r="AM1871" t="n">
        <x:f>_xlfn.XLOOKUP($A1871,Games!$A$2:$A$18,Games!$H$2:$H$18,"Missing game",0)</x:f>
        <x:v>0</x:v>
      </x:c>
      <x:c r="AN1871" t="str">
        <x:f>_xlfn.XLOOKUP($A1871,Games!$A$2:$A$18,Games!$I$2:$I$18,"Missing game",0)</x:f>
        <x:v>SEA</x:v>
      </x:c>
      <x:c r="AO1871" t="n">
        <x:f>_xlfn.XLOOKUP($A1871,Games!$A$2:$A$18,Games!$J$2:$J$18,"Missing game",0)</x:f>
        <x:v>26</x:v>
      </x:c>
      <x:c r="AP1871" t="n">
        <x:f>_xlfn.XLOOKUP($A1871,Games!$A$2:$A$18,Games!$K$2:$K$18,"Missing game",0)</x:f>
        <x:v>26</x:v>
      </x:c>
      <x:c r="AQ1871" t="n">
        <x:f>_xlfn.XLOOKUP($A1871,Games!$A$2:$A$18,Games!$L$2:$L$18,"Missing game",0)</x:f>
        <x:v>26</x:v>
      </x:c>
      <x:c r="AR1871" t="n">
        <x:f>_xlfn.XLOOKUP($A1871,Games!$A$2:$A$18,Games!$M$2:$M$18,"Missing game",0)</x:f>
        <x:v>0</x:v>
      </x:c>
      <x:c r="AS1871" t="str">
        <x:f>_xlfn.XLOOKUP($A1871,Games!$A$2:$A$18,Games!$N$2:$N$18,"Missing game",0)</x:f>
        <x:v>outdoors</x:v>
      </x:c>
      <x:c r="AT1871" t="str">
        <x:f>_xlfn.XLOOKUP($A1871,Games!$A$2:$A$18,Games!$O$2:$O$18,"Missing game",0)</x:f>
        <x:v>fieldturf</x:v>
      </x:c>
      <x:c r="AU1871" t="n">
        <x:f>_xlfn.XLOOKUP($A1871,Games!$A$2:$A$18,Games!$P$2:$P$18,"Missing game",0)</x:f>
        <x:v>45</x:v>
      </x:c>
      <x:c r="AV1871" t="n">
        <x:f>_xlfn.XLOOKUP($A1871,Games!$A$2:$A$18,Games!$Q$2:$Q$18,"Missing game",0)</x:f>
        <x:v>2</x:v>
      </x:c>
      <x:c r="AW1871" t="str">
        <x:f>_xlfn.XLOOKUP($A1871,Games!$A$2:$A$18,Games!$R$2:$R$18,"Missing game",0)</x:f>
        <x:v>Lumen Field</x:v>
      </x:c>
    </x:row>
    <x:row r="1872">
      <x:c r="A1872" t="str">
        <x:v>2025_13_MIN_SEA</x:v>
      </x:c>
      <x:c r="B1872" t="n">
        <x:v>370</x:v>
      </x:c>
      <x:c r="C1872" t="n">
        <x:v>1</x:v>
      </x:c>
      <x:c r="D1872" t="str">
        <x:v>08:41</x:v>
      </x:c>
      <x:c r="E1872" t="n">
        <x:v>3</x:v>
      </x:c>
      <x:c r="F1872" t="n">
        <x:v>1</x:v>
      </x:c>
      <x:c r="G1872" t="str">
        <x:v>SEA</x:v>
      </x:c>
      <x:c r="H1872" t="str">
        <x:v>MIN</x:v>
      </x:c>
      <x:c r="I1872" t="str">
        <x:v>SEA</x:v>
      </x:c>
      <x:c r="J1872" t="n">
        <x:v>70</x:v>
      </x:c>
      <x:c r="K1872" t="str">
        <x:v>(8:41) Direct snap to 88-A.Barner. 88-A.Barner up the middle to SEA 32 for 2 yards (93-J.Allen; 61-J.Redmond).</x:v>
      </x:c>
      <x:c r="L1872" t="str">
        <x:v>run</x:v>
      </x:c>
      <x:c r="M1872" t="n">
        <x:v>2</x:v>
      </x:c>
      <x:c r="N1872" t="n">
        <x:v>0</x:v>
      </x:c>
      <x:c r="O1872" t="n">
        <x:v>0</x:v>
      </x:c>
      <x:c r="P1872"/>
      <x:c r="Q1872"/>
      <x:c r="R1872"/>
      <x:c r="S1872"/>
      <x:c r="T1872" t="str">
        <x:v>middle</x:v>
      </x:c>
      <x:c r="U1872"/>
      <x:c r="V1872" t="n">
        <x:v>0</x:v>
      </x:c>
      <x:c r="W1872" t="n">
        <x:v>1</x:v>
      </x:c>
      <x:c r="X1872" t="n">
        <x:v>0</x:v>
      </x:c>
      <x:c r="Y1872" t="n">
        <x:v>0</x:v>
      </x:c>
      <x:c r="Z1872" t="n">
        <x:v>0</x:v>
      </x:c>
      <x:c r="AA1872" t="n">
        <x:v>0</x:v>
      </x:c>
      <x:c r="AB1872"/>
      <x:c r="AC1872" t="n">
        <x:v>0</x:v>
      </x:c>
      <x:c r="AD1872" t="n">
        <x:v>0.47642250126227736</x:v>
      </x:c>
      <x:c r="AE1872" t="n">
        <x:v>1</x:v>
      </x:c>
      <x:c r="AF1872" t="n">
        <x:v>0.017571449279785156</x:v>
      </x:c>
      <x:c r="AG1872" t="n">
        <x:f>_xlfn.XLOOKUP($A1872,Games!$A$2:$A$18,Games!$B$2:$B$18,"Missing game",0)</x:f>
        <x:v>2025</x:v>
      </x:c>
      <x:c r="AH1872" t="str">
        <x:f>_xlfn.XLOOKUP($A1872,Games!$A$2:$A$18,Games!$C$2:$C$18,"Missing game",0)</x:f>
        <x:v>REG</x:v>
      </x:c>
      <x:c r="AI1872" t="n">
        <x:f>_xlfn.XLOOKUP($A1872,Games!$A$2:$A$18,Games!$D$2:$D$18,"Missing game",0)</x:f>
        <x:v>13</x:v>
      </x:c>
      <x:c r="AJ1872" s="1" t="n">
        <x:f>_xlfn.XLOOKUP($A1872,Games!$A$2:$A$18,Games!$E$2:$E$18,"Missing game",0)</x:f>
        <x:v>45991</x:v>
      </x:c>
      <x:c r="AK1872" t="str">
        <x:f>_xlfn.XLOOKUP($A1872,Games!$A$2:$A$18,Games!$F$2:$F$18,"Missing game",0)</x:f>
        <x:v>Sunday</x:v>
      </x:c>
      <x:c r="AL1872" t="str">
        <x:f>_xlfn.XLOOKUP($A1872,Games!$A$2:$A$18,Games!$G$2:$G$18,"Missing game",0)</x:f>
        <x:v>MIN</x:v>
      </x:c>
      <x:c r="AM1872" t="n">
        <x:f>_xlfn.XLOOKUP($A1872,Games!$A$2:$A$18,Games!$H$2:$H$18,"Missing game",0)</x:f>
        <x:v>0</x:v>
      </x:c>
      <x:c r="AN1872" t="str">
        <x:f>_xlfn.XLOOKUP($A1872,Games!$A$2:$A$18,Games!$I$2:$I$18,"Missing game",0)</x:f>
        <x:v>SEA</x:v>
      </x:c>
      <x:c r="AO1872" t="n">
        <x:f>_xlfn.XLOOKUP($A1872,Games!$A$2:$A$18,Games!$J$2:$J$18,"Missing game",0)</x:f>
        <x:v>26</x:v>
      </x:c>
      <x:c r="AP1872" t="n">
        <x:f>_xlfn.XLOOKUP($A1872,Games!$A$2:$A$18,Games!$K$2:$K$18,"Missing game",0)</x:f>
        <x:v>26</x:v>
      </x:c>
      <x:c r="AQ1872" t="n">
        <x:f>_xlfn.XLOOKUP($A1872,Games!$A$2:$A$18,Games!$L$2:$L$18,"Missing game",0)</x:f>
        <x:v>26</x:v>
      </x:c>
      <x:c r="AR1872" t="n">
        <x:f>_xlfn.XLOOKUP($A1872,Games!$A$2:$A$18,Games!$M$2:$M$18,"Missing game",0)</x:f>
        <x:v>0</x:v>
      </x:c>
      <x:c r="AS1872" t="str">
        <x:f>_xlfn.XLOOKUP($A1872,Games!$A$2:$A$18,Games!$N$2:$N$18,"Missing game",0)</x:f>
        <x:v>outdoors</x:v>
      </x:c>
      <x:c r="AT1872" t="str">
        <x:f>_xlfn.XLOOKUP($A1872,Games!$A$2:$A$18,Games!$O$2:$O$18,"Missing game",0)</x:f>
        <x:v>fieldturf</x:v>
      </x:c>
      <x:c r="AU1872" t="n">
        <x:f>_xlfn.XLOOKUP($A1872,Games!$A$2:$A$18,Games!$P$2:$P$18,"Missing game",0)</x:f>
        <x:v>45</x:v>
      </x:c>
      <x:c r="AV1872" t="n">
        <x:f>_xlfn.XLOOKUP($A1872,Games!$A$2:$A$18,Games!$Q$2:$Q$18,"Missing game",0)</x:f>
        <x:v>2</x:v>
      </x:c>
      <x:c r="AW1872" t="str">
        <x:f>_xlfn.XLOOKUP($A1872,Games!$A$2:$A$18,Games!$R$2:$R$18,"Missing game",0)</x:f>
        <x:v>Lumen Field</x:v>
      </x:c>
    </x:row>
    <x:row r="1873">
      <x:c r="A1873" t="str">
        <x:v>2025_13_MIN_SEA</x:v>
      </x:c>
      <x:c r="B1873" t="n">
        <x:v>394</x:v>
      </x:c>
      <x:c r="C1873" t="n">
        <x:v>1</x:v>
      </x:c>
      <x:c r="D1873" t="str">
        <x:v>07:59</x:v>
      </x:c>
      <x:c r="E1873" t="n">
        <x:v>1</x:v>
      </x:c>
      <x:c r="F1873" t="n">
        <x:v>10</x:v>
      </x:c>
      <x:c r="G1873" t="str">
        <x:v>SEA</x:v>
      </x:c>
      <x:c r="H1873" t="str">
        <x:v>MIN</x:v>
      </x:c>
      <x:c r="I1873" t="str">
        <x:v>SEA</x:v>
      </x:c>
      <x:c r="J1873" t="n">
        <x:v>68</x:v>
      </x:c>
      <x:c r="K1873" t="str">
        <x:v>(7:59) (Shotgun) 14-S.Darnold pass short right to 10-C.Kupp pushed ob at SEA 45 for 13 yards (43-A.Van Ginkel).</x:v>
      </x:c>
      <x:c r="L1873" t="str">
        <x:v>pass</x:v>
      </x:c>
      <x:c r="M1873" t="n">
        <x:v>13</x:v>
      </x:c>
      <x:c r="N1873" t="n">
        <x:v>1</x:v>
      </x:c>
      <x:c r="O1873" t="n">
        <x:v>0</x:v>
      </x:c>
      <x:c r="P1873" t="str">
        <x:v>short</x:v>
      </x:c>
      <x:c r="Q1873" t="str">
        <x:v>right</x:v>
      </x:c>
      <x:c r="R1873" t="n">
        <x:v>2</x:v>
      </x:c>
      <x:c r="S1873" t="n">
        <x:v>11</x:v>
      </x:c>
      <x:c r="T1873"/>
      <x:c r="U1873"/>
      <x:c r="V1873" t="n">
        <x:v>1</x:v>
      </x:c>
      <x:c r="W1873" t="n">
        <x:v>1</x:v>
      </x:c>
      <x:c r="X1873" t="n">
        <x:v>0</x:v>
      </x:c>
      <x:c r="Y1873" t="n">
        <x:v>0</x:v>
      </x:c>
      <x:c r="Z1873" t="n">
        <x:v>0</x:v>
      </x:c>
      <x:c r="AA1873" t="n">
        <x:v>0</x:v>
      </x:c>
      <x:c r="AB1873"/>
      <x:c r="AC1873" t="n">
        <x:v>0</x:v>
      </x:c>
      <x:c r="AD1873" t="n">
        <x:v>0.7700873042922467</x:v>
      </x:c>
      <x:c r="AE1873" t="n">
        <x:v>1</x:v>
      </x:c>
      <x:c r="AF1873" t="n">
        <x:v>0.020156383514404297</x:v>
      </x:c>
      <x:c r="AG1873" t="n">
        <x:f>_xlfn.XLOOKUP($A1873,Games!$A$2:$A$18,Games!$B$2:$B$18,"Missing game",0)</x:f>
        <x:v>2025</x:v>
      </x:c>
      <x:c r="AH1873" t="str">
        <x:f>_xlfn.XLOOKUP($A1873,Games!$A$2:$A$18,Games!$C$2:$C$18,"Missing game",0)</x:f>
        <x:v>REG</x:v>
      </x:c>
      <x:c r="AI1873" t="n">
        <x:f>_xlfn.XLOOKUP($A1873,Games!$A$2:$A$18,Games!$D$2:$D$18,"Missing game",0)</x:f>
        <x:v>13</x:v>
      </x:c>
      <x:c r="AJ1873" s="1" t="n">
        <x:f>_xlfn.XLOOKUP($A1873,Games!$A$2:$A$18,Games!$E$2:$E$18,"Missing game",0)</x:f>
        <x:v>45991</x:v>
      </x:c>
      <x:c r="AK1873" t="str">
        <x:f>_xlfn.XLOOKUP($A1873,Games!$A$2:$A$18,Games!$F$2:$F$18,"Missing game",0)</x:f>
        <x:v>Sunday</x:v>
      </x:c>
      <x:c r="AL1873" t="str">
        <x:f>_xlfn.XLOOKUP($A1873,Games!$A$2:$A$18,Games!$G$2:$G$18,"Missing game",0)</x:f>
        <x:v>MIN</x:v>
      </x:c>
      <x:c r="AM1873" t="n">
        <x:f>_xlfn.XLOOKUP($A1873,Games!$A$2:$A$18,Games!$H$2:$H$18,"Missing game",0)</x:f>
        <x:v>0</x:v>
      </x:c>
      <x:c r="AN1873" t="str">
        <x:f>_xlfn.XLOOKUP($A1873,Games!$A$2:$A$18,Games!$I$2:$I$18,"Missing game",0)</x:f>
        <x:v>SEA</x:v>
      </x:c>
      <x:c r="AO1873" t="n">
        <x:f>_xlfn.XLOOKUP($A1873,Games!$A$2:$A$18,Games!$J$2:$J$18,"Missing game",0)</x:f>
        <x:v>26</x:v>
      </x:c>
      <x:c r="AP1873" t="n">
        <x:f>_xlfn.XLOOKUP($A1873,Games!$A$2:$A$18,Games!$K$2:$K$18,"Missing game",0)</x:f>
        <x:v>26</x:v>
      </x:c>
      <x:c r="AQ1873" t="n">
        <x:f>_xlfn.XLOOKUP($A1873,Games!$A$2:$A$18,Games!$L$2:$L$18,"Missing game",0)</x:f>
        <x:v>26</x:v>
      </x:c>
      <x:c r="AR1873" t="n">
        <x:f>_xlfn.XLOOKUP($A1873,Games!$A$2:$A$18,Games!$M$2:$M$18,"Missing game",0)</x:f>
        <x:v>0</x:v>
      </x:c>
      <x:c r="AS1873" t="str">
        <x:f>_xlfn.XLOOKUP($A1873,Games!$A$2:$A$18,Games!$N$2:$N$18,"Missing game",0)</x:f>
        <x:v>outdoors</x:v>
      </x:c>
      <x:c r="AT1873" t="str">
        <x:f>_xlfn.XLOOKUP($A1873,Games!$A$2:$A$18,Games!$O$2:$O$18,"Missing game",0)</x:f>
        <x:v>fieldturf</x:v>
      </x:c>
      <x:c r="AU1873" t="n">
        <x:f>_xlfn.XLOOKUP($A1873,Games!$A$2:$A$18,Games!$P$2:$P$18,"Missing game",0)</x:f>
        <x:v>45</x:v>
      </x:c>
      <x:c r="AV1873" t="n">
        <x:f>_xlfn.XLOOKUP($A1873,Games!$A$2:$A$18,Games!$Q$2:$Q$18,"Missing game",0)</x:f>
        <x:v>2</x:v>
      </x:c>
      <x:c r="AW1873" t="str">
        <x:f>_xlfn.XLOOKUP($A1873,Games!$A$2:$A$18,Games!$R$2:$R$18,"Missing game",0)</x:f>
        <x:v>Lumen Field</x:v>
      </x:c>
    </x:row>
    <x:row r="1874">
      <x:c r="A1874" t="str">
        <x:v>2025_13_MIN_SEA</x:v>
      </x:c>
      <x:c r="B1874" t="n">
        <x:v>424</x:v>
      </x:c>
      <x:c r="C1874" t="n">
        <x:v>1</x:v>
      </x:c>
      <x:c r="D1874" t="str">
        <x:v>07:32</x:v>
      </x:c>
      <x:c r="E1874" t="n">
        <x:v>1</x:v>
      </x:c>
      <x:c r="F1874" t="n">
        <x:v>10</x:v>
      </x:c>
      <x:c r="G1874" t="str">
        <x:v>SEA</x:v>
      </x:c>
      <x:c r="H1874" t="str">
        <x:v>MIN</x:v>
      </x:c>
      <x:c r="I1874" t="str">
        <x:v>SEA</x:v>
      </x:c>
      <x:c r="J1874" t="n">
        <x:v>55</x:v>
      </x:c>
      <x:c r="K1874" t="str">
        <x:v>(7:32) (No Huddle, Shotgun) 14-S.Darnold pass incomplete short right to 88-A.Barner.</x:v>
      </x:c>
      <x:c r="L1874" t="str">
        <x:v>pass</x:v>
      </x:c>
      <x:c r="M1874" t="n">
        <x:v>0</x:v>
      </x:c>
      <x:c r="N1874" t="n">
        <x:v>1</x:v>
      </x:c>
      <x:c r="O1874" t="n">
        <x:v>1</x:v>
      </x:c>
      <x:c r="P1874" t="str">
        <x:v>short</x:v>
      </x:c>
      <x:c r="Q1874" t="str">
        <x:v>right</x:v>
      </x:c>
      <x:c r="R1874" t="n">
        <x:v>4</x:v>
      </x:c>
      <x:c r="S1874"/>
      <x:c r="T1874"/>
      <x:c r="U1874"/>
      <x:c r="V1874" t="n">
        <x:v>0</x:v>
      </x:c>
      <x:c r="W1874" t="n">
        <x:v>0</x:v>
      </x:c>
      <x:c r="X1874" t="n">
        <x:v>0</x:v>
      </x:c>
      <x:c r="Y1874" t="n">
        <x:v>0</x:v>
      </x:c>
      <x:c r="Z1874" t="n">
        <x:v>0</x:v>
      </x:c>
      <x:c r="AA1874" t="n">
        <x:v>0</x:v>
      </x:c>
      <x:c r="AB1874"/>
      <x:c r="AC1874" t="n">
        <x:v>0</x:v>
      </x:c>
      <x:c r="AD1874" t="n">
        <x:v>-0.49087601341307163</x:v>
      </x:c>
      <x:c r="AE1874" t="n">
        <x:v>0</x:v>
      </x:c>
      <x:c r="AF1874" t="n">
        <x:v>-0.014444589614868164</x:v>
      </x:c>
      <x:c r="AG1874" t="n">
        <x:f>_xlfn.XLOOKUP($A1874,Games!$A$2:$A$18,Games!$B$2:$B$18,"Missing game",0)</x:f>
        <x:v>2025</x:v>
      </x:c>
      <x:c r="AH1874" t="str">
        <x:f>_xlfn.XLOOKUP($A1874,Games!$A$2:$A$18,Games!$C$2:$C$18,"Missing game",0)</x:f>
        <x:v>REG</x:v>
      </x:c>
      <x:c r="AI1874" t="n">
        <x:f>_xlfn.XLOOKUP($A1874,Games!$A$2:$A$18,Games!$D$2:$D$18,"Missing game",0)</x:f>
        <x:v>13</x:v>
      </x:c>
      <x:c r="AJ1874" s="1" t="n">
        <x:f>_xlfn.XLOOKUP($A1874,Games!$A$2:$A$18,Games!$E$2:$E$18,"Missing game",0)</x:f>
        <x:v>45991</x:v>
      </x:c>
      <x:c r="AK1874" t="str">
        <x:f>_xlfn.XLOOKUP($A1874,Games!$A$2:$A$18,Games!$F$2:$F$18,"Missing game",0)</x:f>
        <x:v>Sunday</x:v>
      </x:c>
      <x:c r="AL1874" t="str">
        <x:f>_xlfn.XLOOKUP($A1874,Games!$A$2:$A$18,Games!$G$2:$G$18,"Missing game",0)</x:f>
        <x:v>MIN</x:v>
      </x:c>
      <x:c r="AM1874" t="n">
        <x:f>_xlfn.XLOOKUP($A1874,Games!$A$2:$A$18,Games!$H$2:$H$18,"Missing game",0)</x:f>
        <x:v>0</x:v>
      </x:c>
      <x:c r="AN1874" t="str">
        <x:f>_xlfn.XLOOKUP($A1874,Games!$A$2:$A$18,Games!$I$2:$I$18,"Missing game",0)</x:f>
        <x:v>SEA</x:v>
      </x:c>
      <x:c r="AO1874" t="n">
        <x:f>_xlfn.XLOOKUP($A1874,Games!$A$2:$A$18,Games!$J$2:$J$18,"Missing game",0)</x:f>
        <x:v>26</x:v>
      </x:c>
      <x:c r="AP1874" t="n">
        <x:f>_xlfn.XLOOKUP($A1874,Games!$A$2:$A$18,Games!$K$2:$K$18,"Missing game",0)</x:f>
        <x:v>26</x:v>
      </x:c>
      <x:c r="AQ1874" t="n">
        <x:f>_xlfn.XLOOKUP($A1874,Games!$A$2:$A$18,Games!$L$2:$L$18,"Missing game",0)</x:f>
        <x:v>26</x:v>
      </x:c>
      <x:c r="AR1874" t="n">
        <x:f>_xlfn.XLOOKUP($A1874,Games!$A$2:$A$18,Games!$M$2:$M$18,"Missing game",0)</x:f>
        <x:v>0</x:v>
      </x:c>
      <x:c r="AS1874" t="str">
        <x:f>_xlfn.XLOOKUP($A1874,Games!$A$2:$A$18,Games!$N$2:$N$18,"Missing game",0)</x:f>
        <x:v>outdoors</x:v>
      </x:c>
      <x:c r="AT1874" t="str">
        <x:f>_xlfn.XLOOKUP($A1874,Games!$A$2:$A$18,Games!$O$2:$O$18,"Missing game",0)</x:f>
        <x:v>fieldturf</x:v>
      </x:c>
      <x:c r="AU1874" t="n">
        <x:f>_xlfn.XLOOKUP($A1874,Games!$A$2:$A$18,Games!$P$2:$P$18,"Missing game",0)</x:f>
        <x:v>45</x:v>
      </x:c>
      <x:c r="AV1874" t="n">
        <x:f>_xlfn.XLOOKUP($A1874,Games!$A$2:$A$18,Games!$Q$2:$Q$18,"Missing game",0)</x:f>
        <x:v>2</x:v>
      </x:c>
      <x:c r="AW1874" t="str">
        <x:f>_xlfn.XLOOKUP($A1874,Games!$A$2:$A$18,Games!$R$2:$R$18,"Missing game",0)</x:f>
        <x:v>Lumen Field</x:v>
      </x:c>
    </x:row>
    <x:row r="1875">
      <x:c r="A1875" t="str">
        <x:v>2025_13_MIN_SEA</x:v>
      </x:c>
      <x:c r="B1875" t="n">
        <x:v>447</x:v>
      </x:c>
      <x:c r="C1875" t="n">
        <x:v>1</x:v>
      </x:c>
      <x:c r="D1875" t="str">
        <x:v>07:29</x:v>
      </x:c>
      <x:c r="E1875" t="n">
        <x:v>2</x:v>
      </x:c>
      <x:c r="F1875" t="n">
        <x:v>10</x:v>
      </x:c>
      <x:c r="G1875" t="str">
        <x:v>SEA</x:v>
      </x:c>
      <x:c r="H1875" t="str">
        <x:v>MIN</x:v>
      </x:c>
      <x:c r="I1875" t="str">
        <x:v>SEA</x:v>
      </x:c>
      <x:c r="J1875" t="n">
        <x:v>55</x:v>
      </x:c>
      <x:c r="K1875" t="str">
        <x:v>(7:29) (Shotgun) 9-K.Walker right guard to SEA 44 for -1 yards (55-E.Wilson).</x:v>
      </x:c>
      <x:c r="L1875" t="str">
        <x:v>run</x:v>
      </x:c>
      <x:c r="M1875" t="n">
        <x:v>-1</x:v>
      </x:c>
      <x:c r="N1875" t="n">
        <x:v>1</x:v>
      </x:c>
      <x:c r="O1875" t="n">
        <x:v>0</x:v>
      </x:c>
      <x:c r="P1875"/>
      <x:c r="Q1875"/>
      <x:c r="R1875"/>
      <x:c r="S1875"/>
      <x:c r="T1875" t="str">
        <x:v>right</x:v>
      </x:c>
      <x:c r="U1875" t="str">
        <x:v>guard</x:v>
      </x:c>
      <x:c r="V1875" t="n">
        <x:v>0</x:v>
      </x:c>
      <x:c r="W1875" t="n">
        <x:v>0</x:v>
      </x:c>
      <x:c r="X1875" t="n">
        <x:v>0</x:v>
      </x:c>
      <x:c r="Y1875" t="n">
        <x:v>0</x:v>
      </x:c>
      <x:c r="Z1875" t="n">
        <x:v>0</x:v>
      </x:c>
      <x:c r="AA1875" t="n">
        <x:v>0</x:v>
      </x:c>
      <x:c r="AB1875"/>
      <x:c r="AC1875" t="n">
        <x:v>0</x:v>
      </x:c>
      <x:c r="AD1875" t="n">
        <x:v>-1.1983717440161854</x:v>
      </x:c>
      <x:c r="AE1875" t="n">
        <x:v>0</x:v>
      </x:c>
      <x:c r="AF1875" t="n">
        <x:v>-0.03227794170379639</x:v>
      </x:c>
      <x:c r="AG1875" t="n">
        <x:f>_xlfn.XLOOKUP($A1875,Games!$A$2:$A$18,Games!$B$2:$B$18,"Missing game",0)</x:f>
        <x:v>2025</x:v>
      </x:c>
      <x:c r="AH1875" t="str">
        <x:f>_xlfn.XLOOKUP($A1875,Games!$A$2:$A$18,Games!$C$2:$C$18,"Missing game",0)</x:f>
        <x:v>REG</x:v>
      </x:c>
      <x:c r="AI1875" t="n">
        <x:f>_xlfn.XLOOKUP($A1875,Games!$A$2:$A$18,Games!$D$2:$D$18,"Missing game",0)</x:f>
        <x:v>13</x:v>
      </x:c>
      <x:c r="AJ1875" s="1" t="n">
        <x:f>_xlfn.XLOOKUP($A1875,Games!$A$2:$A$18,Games!$E$2:$E$18,"Missing game",0)</x:f>
        <x:v>45991</x:v>
      </x:c>
      <x:c r="AK1875" t="str">
        <x:f>_xlfn.XLOOKUP($A1875,Games!$A$2:$A$18,Games!$F$2:$F$18,"Missing game",0)</x:f>
        <x:v>Sunday</x:v>
      </x:c>
      <x:c r="AL1875" t="str">
        <x:f>_xlfn.XLOOKUP($A1875,Games!$A$2:$A$18,Games!$G$2:$G$18,"Missing game",0)</x:f>
        <x:v>MIN</x:v>
      </x:c>
      <x:c r="AM1875" t="n">
        <x:f>_xlfn.XLOOKUP($A1875,Games!$A$2:$A$18,Games!$H$2:$H$18,"Missing game",0)</x:f>
        <x:v>0</x:v>
      </x:c>
      <x:c r="AN1875" t="str">
        <x:f>_xlfn.XLOOKUP($A1875,Games!$A$2:$A$18,Games!$I$2:$I$18,"Missing game",0)</x:f>
        <x:v>SEA</x:v>
      </x:c>
      <x:c r="AO1875" t="n">
        <x:f>_xlfn.XLOOKUP($A1875,Games!$A$2:$A$18,Games!$J$2:$J$18,"Missing game",0)</x:f>
        <x:v>26</x:v>
      </x:c>
      <x:c r="AP1875" t="n">
        <x:f>_xlfn.XLOOKUP($A1875,Games!$A$2:$A$18,Games!$K$2:$K$18,"Missing game",0)</x:f>
        <x:v>26</x:v>
      </x:c>
      <x:c r="AQ1875" t="n">
        <x:f>_xlfn.XLOOKUP($A1875,Games!$A$2:$A$18,Games!$L$2:$L$18,"Missing game",0)</x:f>
        <x:v>26</x:v>
      </x:c>
      <x:c r="AR1875" t="n">
        <x:f>_xlfn.XLOOKUP($A1875,Games!$A$2:$A$18,Games!$M$2:$M$18,"Missing game",0)</x:f>
        <x:v>0</x:v>
      </x:c>
      <x:c r="AS1875" t="str">
        <x:f>_xlfn.XLOOKUP($A1875,Games!$A$2:$A$18,Games!$N$2:$N$18,"Missing game",0)</x:f>
        <x:v>outdoors</x:v>
      </x:c>
      <x:c r="AT1875" t="str">
        <x:f>_xlfn.XLOOKUP($A1875,Games!$A$2:$A$18,Games!$O$2:$O$18,"Missing game",0)</x:f>
        <x:v>fieldturf</x:v>
      </x:c>
      <x:c r="AU1875" t="n">
        <x:f>_xlfn.XLOOKUP($A1875,Games!$A$2:$A$18,Games!$P$2:$P$18,"Missing game",0)</x:f>
        <x:v>45</x:v>
      </x:c>
      <x:c r="AV1875" t="n">
        <x:f>_xlfn.XLOOKUP($A1875,Games!$A$2:$A$18,Games!$Q$2:$Q$18,"Missing game",0)</x:f>
        <x:v>2</x:v>
      </x:c>
      <x:c r="AW1875" t="str">
        <x:f>_xlfn.XLOOKUP($A1875,Games!$A$2:$A$18,Games!$R$2:$R$18,"Missing game",0)</x:f>
        <x:v>Lumen Field</x:v>
      </x:c>
    </x:row>
    <x:row r="1876">
      <x:c r="A1876" t="str">
        <x:v>2025_13_MIN_SEA</x:v>
      </x:c>
      <x:c r="B1876" t="n">
        <x:v>469</x:v>
      </x:c>
      <x:c r="C1876" t="n">
        <x:v>1</x:v>
      </x:c>
      <x:c r="D1876" t="str">
        <x:v>06:47</x:v>
      </x:c>
      <x:c r="E1876" t="n">
        <x:v>3</x:v>
      </x:c>
      <x:c r="F1876" t="n">
        <x:v>11</x:v>
      </x:c>
      <x:c r="G1876" t="str">
        <x:v>SEA</x:v>
      </x:c>
      <x:c r="H1876" t="str">
        <x:v>MIN</x:v>
      </x:c>
      <x:c r="I1876" t="str">
        <x:v>SEA</x:v>
      </x:c>
      <x:c r="J1876" t="n">
        <x:v>56</x:v>
      </x:c>
      <x:c r="K1876" t="str">
        <x:v>(6:47) (Shotgun) 14-S.Darnold sacked at SEA 31 for -13 yards (55-E.Wilson).</x:v>
      </x:c>
      <x:c r="L1876" t="str">
        <x:v>pass</x:v>
      </x:c>
      <x:c r="M1876" t="n">
        <x:v>-13</x:v>
      </x:c>
      <x:c r="N1876" t="n">
        <x:v>1</x:v>
      </x:c>
      <x:c r="O1876" t="n">
        <x:v>0</x:v>
      </x:c>
      <x:c r="P1876"/>
      <x:c r="Q1876"/>
      <x:c r="R1876"/>
      <x:c r="S1876"/>
      <x:c r="T1876"/>
      <x:c r="U1876"/>
      <x:c r="V1876" t="n">
        <x:v>0</x:v>
      </x:c>
      <x:c r="W1876" t="n">
        <x:v>0</x:v>
      </x:c>
      <x:c r="X1876" t="n">
        <x:v>1</x:v>
      </x:c>
      <x:c r="Y1876" t="n">
        <x:v>0</x:v>
      </x:c>
      <x:c r="Z1876" t="n">
        <x:v>0</x:v>
      </x:c>
      <x:c r="AA1876" t="n">
        <x:v>0</x:v>
      </x:c>
      <x:c r="AB1876"/>
      <x:c r="AC1876" t="n">
        <x:v>0</x:v>
      </x:c>
      <x:c r="AD1876" t="n">
        <x:v>-1.97189468331635</x:v>
      </x:c>
      <x:c r="AE1876" t="n">
        <x:v>0</x:v>
      </x:c>
      <x:c r="AF1876" t="n">
        <x:v>-0.04537743330001831</x:v>
      </x:c>
      <x:c r="AG1876" t="n">
        <x:f>_xlfn.XLOOKUP($A1876,Games!$A$2:$A$18,Games!$B$2:$B$18,"Missing game",0)</x:f>
        <x:v>2025</x:v>
      </x:c>
      <x:c r="AH1876" t="str">
        <x:f>_xlfn.XLOOKUP($A1876,Games!$A$2:$A$18,Games!$C$2:$C$18,"Missing game",0)</x:f>
        <x:v>REG</x:v>
      </x:c>
      <x:c r="AI1876" t="n">
        <x:f>_xlfn.XLOOKUP($A1876,Games!$A$2:$A$18,Games!$D$2:$D$18,"Missing game",0)</x:f>
        <x:v>13</x:v>
      </x:c>
      <x:c r="AJ1876" s="1" t="n">
        <x:f>_xlfn.XLOOKUP($A1876,Games!$A$2:$A$18,Games!$E$2:$E$18,"Missing game",0)</x:f>
        <x:v>45991</x:v>
      </x:c>
      <x:c r="AK1876" t="str">
        <x:f>_xlfn.XLOOKUP($A1876,Games!$A$2:$A$18,Games!$F$2:$F$18,"Missing game",0)</x:f>
        <x:v>Sunday</x:v>
      </x:c>
      <x:c r="AL1876" t="str">
        <x:f>_xlfn.XLOOKUP($A1876,Games!$A$2:$A$18,Games!$G$2:$G$18,"Missing game",0)</x:f>
        <x:v>MIN</x:v>
      </x:c>
      <x:c r="AM1876" t="n">
        <x:f>_xlfn.XLOOKUP($A1876,Games!$A$2:$A$18,Games!$H$2:$H$18,"Missing game",0)</x:f>
        <x:v>0</x:v>
      </x:c>
      <x:c r="AN1876" t="str">
        <x:f>_xlfn.XLOOKUP($A1876,Games!$A$2:$A$18,Games!$I$2:$I$18,"Missing game",0)</x:f>
        <x:v>SEA</x:v>
      </x:c>
      <x:c r="AO1876" t="n">
        <x:f>_xlfn.XLOOKUP($A1876,Games!$A$2:$A$18,Games!$J$2:$J$18,"Missing game",0)</x:f>
        <x:v>26</x:v>
      </x:c>
      <x:c r="AP1876" t="n">
        <x:f>_xlfn.XLOOKUP($A1876,Games!$A$2:$A$18,Games!$K$2:$K$18,"Missing game",0)</x:f>
        <x:v>26</x:v>
      </x:c>
      <x:c r="AQ1876" t="n">
        <x:f>_xlfn.XLOOKUP($A1876,Games!$A$2:$A$18,Games!$L$2:$L$18,"Missing game",0)</x:f>
        <x:v>26</x:v>
      </x:c>
      <x:c r="AR1876" t="n">
        <x:f>_xlfn.XLOOKUP($A1876,Games!$A$2:$A$18,Games!$M$2:$M$18,"Missing game",0)</x:f>
        <x:v>0</x:v>
      </x:c>
      <x:c r="AS1876" t="str">
        <x:f>_xlfn.XLOOKUP($A1876,Games!$A$2:$A$18,Games!$N$2:$N$18,"Missing game",0)</x:f>
        <x:v>outdoors</x:v>
      </x:c>
      <x:c r="AT1876" t="str">
        <x:f>_xlfn.XLOOKUP($A1876,Games!$A$2:$A$18,Games!$O$2:$O$18,"Missing game",0)</x:f>
        <x:v>fieldturf</x:v>
      </x:c>
      <x:c r="AU1876" t="n">
        <x:f>_xlfn.XLOOKUP($A1876,Games!$A$2:$A$18,Games!$P$2:$P$18,"Missing game",0)</x:f>
        <x:v>45</x:v>
      </x:c>
      <x:c r="AV1876" t="n">
        <x:f>_xlfn.XLOOKUP($A1876,Games!$A$2:$A$18,Games!$Q$2:$Q$18,"Missing game",0)</x:f>
        <x:v>2</x:v>
      </x:c>
      <x:c r="AW1876" t="str">
        <x:f>_xlfn.XLOOKUP($A1876,Games!$A$2:$A$18,Games!$R$2:$R$18,"Missing game",0)</x:f>
        <x:v>Lumen Field</x:v>
      </x:c>
    </x:row>
    <x:row r="1877">
      <x:c r="A1877" t="str">
        <x:v>2025_13_MIN_SEA</x:v>
      </x:c>
      <x:c r="B1877" t="n">
        <x:v>489</x:v>
      </x:c>
      <x:c r="C1877" t="n">
        <x:v>1</x:v>
      </x:c>
      <x:c r="D1877" t="str">
        <x:v>05:58</x:v>
      </x:c>
      <x:c r="E1877" t="n">
        <x:v>4</x:v>
      </x:c>
      <x:c r="F1877" t="n">
        <x:v>24</x:v>
      </x:c>
      <x:c r="G1877" t="str">
        <x:v>SEA</x:v>
      </x:c>
      <x:c r="H1877" t="str">
        <x:v>MIN</x:v>
      </x:c>
      <x:c r="I1877" t="str">
        <x:v>SEA</x:v>
      </x:c>
      <x:c r="J1877" t="n">
        <x:v>69</x:v>
      </x:c>
      <x:c r="K1877" t="str">
        <x:v>(5:58) 4-M.Dickson punts 56 yards to MIN 13, Center-41-C.Stoll, downed by SEA-28-N.Pritchett.</x:v>
      </x:c>
      <x:c r="L1877" t="str">
        <x:v>punt</x:v>
      </x:c>
      <x:c r="M1877" t="n">
        <x:v>0</x:v>
      </x:c>
      <x:c r="N1877" t="n">
        <x:v>0</x:v>
      </x:c>
      <x:c r="O1877" t="n">
        <x:v>0</x:v>
      </x:c>
      <x:c r="P1877"/>
      <x:c r="Q1877"/>
      <x:c r="R1877"/>
      <x:c r="S1877"/>
      <x:c r="T1877"/>
      <x:c r="U1877"/>
      <x:c r="V1877" t="n">
        <x:v>0</x:v>
      </x:c>
      <x:c r="W1877" t="n">
        <x:v>0</x:v>
      </x:c>
      <x:c r="X1877" t="n">
        <x:v>0</x:v>
      </x:c>
      <x:c r="Y1877" t="n">
        <x:v>0</x:v>
      </x:c>
      <x:c r="Z1877" t="n">
        <x:v>0</x:v>
      </x:c>
      <x:c r="AA1877" t="n">
        <x:v>0</x:v>
      </x:c>
      <x:c r="AB1877"/>
      <x:c r="AC1877" t="n">
        <x:v>0</x:v>
      </x:c>
      <x:c r="AD1877" t="n">
        <x:v>0.966483233962208</x:v>
      </x:c>
      <x:c r="AE1877" t="n">
        <x:v>1</x:v>
      </x:c>
      <x:c r="AF1877" t="n">
        <x:v>0.02217733860015869</x:v>
      </x:c>
      <x:c r="AG1877" t="n">
        <x:f>_xlfn.XLOOKUP($A1877,Games!$A$2:$A$18,Games!$B$2:$B$18,"Missing game",0)</x:f>
        <x:v>2025</x:v>
      </x:c>
      <x:c r="AH1877" t="str">
        <x:f>_xlfn.XLOOKUP($A1877,Games!$A$2:$A$18,Games!$C$2:$C$18,"Missing game",0)</x:f>
        <x:v>REG</x:v>
      </x:c>
      <x:c r="AI1877" t="n">
        <x:f>_xlfn.XLOOKUP($A1877,Games!$A$2:$A$18,Games!$D$2:$D$18,"Missing game",0)</x:f>
        <x:v>13</x:v>
      </x:c>
      <x:c r="AJ1877" s="1" t="n">
        <x:f>_xlfn.XLOOKUP($A1877,Games!$A$2:$A$18,Games!$E$2:$E$18,"Missing game",0)</x:f>
        <x:v>45991</x:v>
      </x:c>
      <x:c r="AK1877" t="str">
        <x:f>_xlfn.XLOOKUP($A1877,Games!$A$2:$A$18,Games!$F$2:$F$18,"Missing game",0)</x:f>
        <x:v>Sunday</x:v>
      </x:c>
      <x:c r="AL1877" t="str">
        <x:f>_xlfn.XLOOKUP($A1877,Games!$A$2:$A$18,Games!$G$2:$G$18,"Missing game",0)</x:f>
        <x:v>MIN</x:v>
      </x:c>
      <x:c r="AM1877" t="n">
        <x:f>_xlfn.XLOOKUP($A1877,Games!$A$2:$A$18,Games!$H$2:$H$18,"Missing game",0)</x:f>
        <x:v>0</x:v>
      </x:c>
      <x:c r="AN1877" t="str">
        <x:f>_xlfn.XLOOKUP($A1877,Games!$A$2:$A$18,Games!$I$2:$I$18,"Missing game",0)</x:f>
        <x:v>SEA</x:v>
      </x:c>
      <x:c r="AO1877" t="n">
        <x:f>_xlfn.XLOOKUP($A1877,Games!$A$2:$A$18,Games!$J$2:$J$18,"Missing game",0)</x:f>
        <x:v>26</x:v>
      </x:c>
      <x:c r="AP1877" t="n">
        <x:f>_xlfn.XLOOKUP($A1877,Games!$A$2:$A$18,Games!$K$2:$K$18,"Missing game",0)</x:f>
        <x:v>26</x:v>
      </x:c>
      <x:c r="AQ1877" t="n">
        <x:f>_xlfn.XLOOKUP($A1877,Games!$A$2:$A$18,Games!$L$2:$L$18,"Missing game",0)</x:f>
        <x:v>26</x:v>
      </x:c>
      <x:c r="AR1877" t="n">
        <x:f>_xlfn.XLOOKUP($A1877,Games!$A$2:$A$18,Games!$M$2:$M$18,"Missing game",0)</x:f>
        <x:v>0</x:v>
      </x:c>
      <x:c r="AS1877" t="str">
        <x:f>_xlfn.XLOOKUP($A1877,Games!$A$2:$A$18,Games!$N$2:$N$18,"Missing game",0)</x:f>
        <x:v>outdoors</x:v>
      </x:c>
      <x:c r="AT1877" t="str">
        <x:f>_xlfn.XLOOKUP($A1877,Games!$A$2:$A$18,Games!$O$2:$O$18,"Missing game",0)</x:f>
        <x:v>fieldturf</x:v>
      </x:c>
      <x:c r="AU1877" t="n">
        <x:f>_xlfn.XLOOKUP($A1877,Games!$A$2:$A$18,Games!$P$2:$P$18,"Missing game",0)</x:f>
        <x:v>45</x:v>
      </x:c>
      <x:c r="AV1877" t="n">
        <x:f>_xlfn.XLOOKUP($A1877,Games!$A$2:$A$18,Games!$Q$2:$Q$18,"Missing game",0)</x:f>
        <x:v>2</x:v>
      </x:c>
      <x:c r="AW1877" t="str">
        <x:f>_xlfn.XLOOKUP($A1877,Games!$A$2:$A$18,Games!$R$2:$R$18,"Missing game",0)</x:f>
        <x:v>Lumen Field</x:v>
      </x:c>
    </x:row>
    <x:row r="1878">
      <x:c r="A1878" t="str">
        <x:v>2025_13_MIN_SEA</x:v>
      </x:c>
      <x:c r="B1878" t="n">
        <x:v>516</x:v>
      </x:c>
      <x:c r="C1878" t="n">
        <x:v>1</x:v>
      </x:c>
      <x:c r="D1878" t="str">
        <x:v>05:47</x:v>
      </x:c>
      <x:c r="E1878" t="n">
        <x:v>1</x:v>
      </x:c>
      <x:c r="F1878" t="n">
        <x:v>10</x:v>
      </x:c>
      <x:c r="G1878" t="str">
        <x:v>MIN</x:v>
      </x:c>
      <x:c r="H1878" t="str">
        <x:v>SEA</x:v>
      </x:c>
      <x:c r="I1878" t="str">
        <x:v>MIN</x:v>
      </x:c>
      <x:c r="J1878" t="n">
        <x:v>87</x:v>
      </x:c>
      <x:c r="K1878" t="str">
        <x:v>(5:47) 12-M.Brosmer pass short left to 33-A.Jones pushed ob at MIN 26 for 13 yards (13-E.Jones).</x:v>
      </x:c>
      <x:c r="L1878" t="str">
        <x:v>pass</x:v>
      </x:c>
      <x:c r="M1878" t="n">
        <x:v>13</x:v>
      </x:c>
      <x:c r="N1878" t="n">
        <x:v>0</x:v>
      </x:c>
      <x:c r="O1878" t="n">
        <x:v>0</x:v>
      </x:c>
      <x:c r="P1878" t="str">
        <x:v>short</x:v>
      </x:c>
      <x:c r="Q1878" t="str">
        <x:v>left</x:v>
      </x:c>
      <x:c r="R1878" t="n">
        <x:v>-5</x:v>
      </x:c>
      <x:c r="S1878" t="n">
        <x:v>18</x:v>
      </x:c>
      <x:c r="T1878"/>
      <x:c r="U1878"/>
      <x:c r="V1878" t="n">
        <x:v>1</x:v>
      </x:c>
      <x:c r="W1878" t="n">
        <x:v>1</x:v>
      </x:c>
      <x:c r="X1878" t="n">
        <x:v>0</x:v>
      </x:c>
      <x:c r="Y1878" t="n">
        <x:v>0</x:v>
      </x:c>
      <x:c r="Z1878" t="n">
        <x:v>0</x:v>
      </x:c>
      <x:c r="AA1878" t="n">
        <x:v>0</x:v>
      </x:c>
      <x:c r="AB1878"/>
      <x:c r="AC1878" t="n">
        <x:v>0</x:v>
      </x:c>
      <x:c r="AD1878" t="n">
        <x:v>0.9014936438761652</x:v>
      </x:c>
      <x:c r="AE1878" t="n">
        <x:v>1</x:v>
      </x:c>
      <x:c r="AF1878" t="n">
        <x:v>0.01914966106414795</x:v>
      </x:c>
      <x:c r="AG1878" t="n">
        <x:f>_xlfn.XLOOKUP($A1878,Games!$A$2:$A$18,Games!$B$2:$B$18,"Missing game",0)</x:f>
        <x:v>2025</x:v>
      </x:c>
      <x:c r="AH1878" t="str">
        <x:f>_xlfn.XLOOKUP($A1878,Games!$A$2:$A$18,Games!$C$2:$C$18,"Missing game",0)</x:f>
        <x:v>REG</x:v>
      </x:c>
      <x:c r="AI1878" t="n">
        <x:f>_xlfn.XLOOKUP($A1878,Games!$A$2:$A$18,Games!$D$2:$D$18,"Missing game",0)</x:f>
        <x:v>13</x:v>
      </x:c>
      <x:c r="AJ1878" s="1" t="n">
        <x:f>_xlfn.XLOOKUP($A1878,Games!$A$2:$A$18,Games!$E$2:$E$18,"Missing game",0)</x:f>
        <x:v>45991</x:v>
      </x:c>
      <x:c r="AK1878" t="str">
        <x:f>_xlfn.XLOOKUP($A1878,Games!$A$2:$A$18,Games!$F$2:$F$18,"Missing game",0)</x:f>
        <x:v>Sunday</x:v>
      </x:c>
      <x:c r="AL1878" t="str">
        <x:f>_xlfn.XLOOKUP($A1878,Games!$A$2:$A$18,Games!$G$2:$G$18,"Missing game",0)</x:f>
        <x:v>MIN</x:v>
      </x:c>
      <x:c r="AM1878" t="n">
        <x:f>_xlfn.XLOOKUP($A1878,Games!$A$2:$A$18,Games!$H$2:$H$18,"Missing game",0)</x:f>
        <x:v>0</x:v>
      </x:c>
      <x:c r="AN1878" t="str">
        <x:f>_xlfn.XLOOKUP($A1878,Games!$A$2:$A$18,Games!$I$2:$I$18,"Missing game",0)</x:f>
        <x:v>SEA</x:v>
      </x:c>
      <x:c r="AO1878" t="n">
        <x:f>_xlfn.XLOOKUP($A1878,Games!$A$2:$A$18,Games!$J$2:$J$18,"Missing game",0)</x:f>
        <x:v>26</x:v>
      </x:c>
      <x:c r="AP1878" t="n">
        <x:f>_xlfn.XLOOKUP($A1878,Games!$A$2:$A$18,Games!$K$2:$K$18,"Missing game",0)</x:f>
        <x:v>26</x:v>
      </x:c>
      <x:c r="AQ1878" t="n">
        <x:f>_xlfn.XLOOKUP($A1878,Games!$A$2:$A$18,Games!$L$2:$L$18,"Missing game",0)</x:f>
        <x:v>26</x:v>
      </x:c>
      <x:c r="AR1878" t="n">
        <x:f>_xlfn.XLOOKUP($A1878,Games!$A$2:$A$18,Games!$M$2:$M$18,"Missing game",0)</x:f>
        <x:v>0</x:v>
      </x:c>
      <x:c r="AS1878" t="str">
        <x:f>_xlfn.XLOOKUP($A1878,Games!$A$2:$A$18,Games!$N$2:$N$18,"Missing game",0)</x:f>
        <x:v>outdoors</x:v>
      </x:c>
      <x:c r="AT1878" t="str">
        <x:f>_xlfn.XLOOKUP($A1878,Games!$A$2:$A$18,Games!$O$2:$O$18,"Missing game",0)</x:f>
        <x:v>fieldturf</x:v>
      </x:c>
      <x:c r="AU1878" t="n">
        <x:f>_xlfn.XLOOKUP($A1878,Games!$A$2:$A$18,Games!$P$2:$P$18,"Missing game",0)</x:f>
        <x:v>45</x:v>
      </x:c>
      <x:c r="AV1878" t="n">
        <x:f>_xlfn.XLOOKUP($A1878,Games!$A$2:$A$18,Games!$Q$2:$Q$18,"Missing game",0)</x:f>
        <x:v>2</x:v>
      </x:c>
      <x:c r="AW1878" t="str">
        <x:f>_xlfn.XLOOKUP($A1878,Games!$A$2:$A$18,Games!$R$2:$R$18,"Missing game",0)</x:f>
        <x:v>Lumen Field</x:v>
      </x:c>
    </x:row>
    <x:row r="1879">
      <x:c r="A1879" t="str">
        <x:v>2025_13_MIN_SEA</x:v>
      </x:c>
      <x:c r="B1879" t="n">
        <x:v>546</x:v>
      </x:c>
      <x:c r="C1879" t="n">
        <x:v>1</x:v>
      </x:c>
      <x:c r="D1879" t="str">
        <x:v>05:07</x:v>
      </x:c>
      <x:c r="E1879" t="n">
        <x:v>1</x:v>
      </x:c>
      <x:c r="F1879" t="n">
        <x:v>10</x:v>
      </x:c>
      <x:c r="G1879" t="str">
        <x:v>MIN</x:v>
      </x:c>
      <x:c r="H1879" t="str">
        <x:v>SEA</x:v>
      </x:c>
      <x:c r="I1879" t="str">
        <x:v>MIN</x:v>
      </x:c>
      <x:c r="J1879" t="n">
        <x:v>74</x:v>
      </x:c>
      <x:c r="K1879" t="str">
        <x:v>(5:07) 33-A.Jones left guard to MIN 27 for 1 yard (58-D.Hall; 91-B.Murphy).</x:v>
      </x:c>
      <x:c r="L1879" t="str">
        <x:v>run</x:v>
      </x:c>
      <x:c r="M1879" t="n">
        <x:v>1</x:v>
      </x:c>
      <x:c r="N1879" t="n">
        <x:v>0</x:v>
      </x:c>
      <x:c r="O1879" t="n">
        <x:v>0</x:v>
      </x:c>
      <x:c r="P1879"/>
      <x:c r="Q1879"/>
      <x:c r="R1879"/>
      <x:c r="S1879"/>
      <x:c r="T1879" t="str">
        <x:v>left</x:v>
      </x:c>
      <x:c r="U1879" t="str">
        <x:v>guard</x:v>
      </x:c>
      <x:c r="V1879" t="n">
        <x:v>0</x:v>
      </x:c>
      <x:c r="W1879" t="n">
        <x:v>0</x:v>
      </x:c>
      <x:c r="X1879" t="n">
        <x:v>0</x:v>
      </x:c>
      <x:c r="Y1879" t="n">
        <x:v>0</x:v>
      </x:c>
      <x:c r="Z1879" t="n">
        <x:v>0</x:v>
      </x:c>
      <x:c r="AA1879" t="n">
        <x:v>0</x:v>
      </x:c>
      <x:c r="AB1879"/>
      <x:c r="AC1879" t="n">
        <x:v>0</x:v>
      </x:c>
      <x:c r="AD1879" t="n">
        <x:v>-0.4980585938319564</x:v>
      </x:c>
      <x:c r="AE1879" t="n">
        <x:v>0</x:v>
      </x:c>
      <x:c r="AF1879" t="n">
        <x:v>-0.018000632524490356</x:v>
      </x:c>
      <x:c r="AG1879" t="n">
        <x:f>_xlfn.XLOOKUP($A1879,Games!$A$2:$A$18,Games!$B$2:$B$18,"Missing game",0)</x:f>
        <x:v>2025</x:v>
      </x:c>
      <x:c r="AH1879" t="str">
        <x:f>_xlfn.XLOOKUP($A1879,Games!$A$2:$A$18,Games!$C$2:$C$18,"Missing game",0)</x:f>
        <x:v>REG</x:v>
      </x:c>
      <x:c r="AI1879" t="n">
        <x:f>_xlfn.XLOOKUP($A1879,Games!$A$2:$A$18,Games!$D$2:$D$18,"Missing game",0)</x:f>
        <x:v>13</x:v>
      </x:c>
      <x:c r="AJ1879" s="1" t="n">
        <x:f>_xlfn.XLOOKUP($A1879,Games!$A$2:$A$18,Games!$E$2:$E$18,"Missing game",0)</x:f>
        <x:v>45991</x:v>
      </x:c>
      <x:c r="AK1879" t="str">
        <x:f>_xlfn.XLOOKUP($A1879,Games!$A$2:$A$18,Games!$F$2:$F$18,"Missing game",0)</x:f>
        <x:v>Sunday</x:v>
      </x:c>
      <x:c r="AL1879" t="str">
        <x:f>_xlfn.XLOOKUP($A1879,Games!$A$2:$A$18,Games!$G$2:$G$18,"Missing game",0)</x:f>
        <x:v>MIN</x:v>
      </x:c>
      <x:c r="AM1879" t="n">
        <x:f>_xlfn.XLOOKUP($A1879,Games!$A$2:$A$18,Games!$H$2:$H$18,"Missing game",0)</x:f>
        <x:v>0</x:v>
      </x:c>
      <x:c r="AN1879" t="str">
        <x:f>_xlfn.XLOOKUP($A1879,Games!$A$2:$A$18,Games!$I$2:$I$18,"Missing game",0)</x:f>
        <x:v>SEA</x:v>
      </x:c>
      <x:c r="AO1879" t="n">
        <x:f>_xlfn.XLOOKUP($A1879,Games!$A$2:$A$18,Games!$J$2:$J$18,"Missing game",0)</x:f>
        <x:v>26</x:v>
      </x:c>
      <x:c r="AP1879" t="n">
        <x:f>_xlfn.XLOOKUP($A1879,Games!$A$2:$A$18,Games!$K$2:$K$18,"Missing game",0)</x:f>
        <x:v>26</x:v>
      </x:c>
      <x:c r="AQ1879" t="n">
        <x:f>_xlfn.XLOOKUP($A1879,Games!$A$2:$A$18,Games!$L$2:$L$18,"Missing game",0)</x:f>
        <x:v>26</x:v>
      </x:c>
      <x:c r="AR1879" t="n">
        <x:f>_xlfn.XLOOKUP($A1879,Games!$A$2:$A$18,Games!$M$2:$M$18,"Missing game",0)</x:f>
        <x:v>0</x:v>
      </x:c>
      <x:c r="AS1879" t="str">
        <x:f>_xlfn.XLOOKUP($A1879,Games!$A$2:$A$18,Games!$N$2:$N$18,"Missing game",0)</x:f>
        <x:v>outdoors</x:v>
      </x:c>
      <x:c r="AT1879" t="str">
        <x:f>_xlfn.XLOOKUP($A1879,Games!$A$2:$A$18,Games!$O$2:$O$18,"Missing game",0)</x:f>
        <x:v>fieldturf</x:v>
      </x:c>
      <x:c r="AU1879" t="n">
        <x:f>_xlfn.XLOOKUP($A1879,Games!$A$2:$A$18,Games!$P$2:$P$18,"Missing game",0)</x:f>
        <x:v>45</x:v>
      </x:c>
      <x:c r="AV1879" t="n">
        <x:f>_xlfn.XLOOKUP($A1879,Games!$A$2:$A$18,Games!$Q$2:$Q$18,"Missing game",0)</x:f>
        <x:v>2</x:v>
      </x:c>
      <x:c r="AW1879" t="str">
        <x:f>_xlfn.XLOOKUP($A1879,Games!$A$2:$A$18,Games!$R$2:$R$18,"Missing game",0)</x:f>
        <x:v>Lumen Field</x:v>
      </x:c>
    </x:row>
    <x:row r="1880">
      <x:c r="A1880" t="str">
        <x:v>2025_13_MIN_SEA</x:v>
      </x:c>
      <x:c r="B1880" t="n">
        <x:v>568</x:v>
      </x:c>
      <x:c r="C1880" t="n">
        <x:v>1</x:v>
      </x:c>
      <x:c r="D1880" t="str">
        <x:v>04:26</x:v>
      </x:c>
      <x:c r="E1880" t="n">
        <x:v>2</x:v>
      </x:c>
      <x:c r="F1880" t="n">
        <x:v>9</x:v>
      </x:c>
      <x:c r="G1880" t="str">
        <x:v>MIN</x:v>
      </x:c>
      <x:c r="H1880" t="str">
        <x:v>SEA</x:v>
      </x:c>
      <x:c r="I1880" t="str">
        <x:v>MIN</x:v>
      </x:c>
      <x:c r="J1880" t="n">
        <x:v>73</x:v>
      </x:c>
      <x:c r="K1880" t="str">
        <x:v>(4:26) (Shotgun) 12-M.Brosmer pass incomplete short middle to 3-J.Addison.</x:v>
      </x:c>
      <x:c r="L1880" t="str">
        <x:v>pass</x:v>
      </x:c>
      <x:c r="M1880" t="n">
        <x:v>0</x:v>
      </x:c>
      <x:c r="N1880" t="n">
        <x:v>1</x:v>
      </x:c>
      <x:c r="O1880" t="n">
        <x:v>0</x:v>
      </x:c>
      <x:c r="P1880" t="str">
        <x:v>short</x:v>
      </x:c>
      <x:c r="Q1880" t="str">
        <x:v>middle</x:v>
      </x:c>
      <x:c r="R1880" t="n">
        <x:v>15</x:v>
      </x:c>
      <x:c r="S1880"/>
      <x:c r="T1880"/>
      <x:c r="U1880"/>
      <x:c r="V1880" t="n">
        <x:v>0</x:v>
      </x:c>
      <x:c r="W1880" t="n">
        <x:v>0</x:v>
      </x:c>
      <x:c r="X1880" t="n">
        <x:v>0</x:v>
      </x:c>
      <x:c r="Y1880" t="n">
        <x:v>0</x:v>
      </x:c>
      <x:c r="Z1880" t="n">
        <x:v>0</x:v>
      </x:c>
      <x:c r="AA1880" t="n">
        <x:v>0</x:v>
      </x:c>
      <x:c r="AB1880"/>
      <x:c r="AC1880" t="n">
        <x:v>0</x:v>
      </x:c>
      <x:c r="AD1880" t="n">
        <x:v>-0.7209258293733001</x:v>
      </x:c>
      <x:c r="AE1880" t="n">
        <x:v>0</x:v>
      </x:c>
      <x:c r="AF1880" t="n">
        <x:v>-0.025531351566314697</x:v>
      </x:c>
      <x:c r="AG1880" t="n">
        <x:f>_xlfn.XLOOKUP($A1880,Games!$A$2:$A$18,Games!$B$2:$B$18,"Missing game",0)</x:f>
        <x:v>2025</x:v>
      </x:c>
      <x:c r="AH1880" t="str">
        <x:f>_xlfn.XLOOKUP($A1880,Games!$A$2:$A$18,Games!$C$2:$C$18,"Missing game",0)</x:f>
        <x:v>REG</x:v>
      </x:c>
      <x:c r="AI1880" t="n">
        <x:f>_xlfn.XLOOKUP($A1880,Games!$A$2:$A$18,Games!$D$2:$D$18,"Missing game",0)</x:f>
        <x:v>13</x:v>
      </x:c>
      <x:c r="AJ1880" s="1" t="n">
        <x:f>_xlfn.XLOOKUP($A1880,Games!$A$2:$A$18,Games!$E$2:$E$18,"Missing game",0)</x:f>
        <x:v>45991</x:v>
      </x:c>
      <x:c r="AK1880" t="str">
        <x:f>_xlfn.XLOOKUP($A1880,Games!$A$2:$A$18,Games!$F$2:$F$18,"Missing game",0)</x:f>
        <x:v>Sunday</x:v>
      </x:c>
      <x:c r="AL1880" t="str">
        <x:f>_xlfn.XLOOKUP($A1880,Games!$A$2:$A$18,Games!$G$2:$G$18,"Missing game",0)</x:f>
        <x:v>MIN</x:v>
      </x:c>
      <x:c r="AM1880" t="n">
        <x:f>_xlfn.XLOOKUP($A1880,Games!$A$2:$A$18,Games!$H$2:$H$18,"Missing game",0)</x:f>
        <x:v>0</x:v>
      </x:c>
      <x:c r="AN1880" t="str">
        <x:f>_xlfn.XLOOKUP($A1880,Games!$A$2:$A$18,Games!$I$2:$I$18,"Missing game",0)</x:f>
        <x:v>SEA</x:v>
      </x:c>
      <x:c r="AO1880" t="n">
        <x:f>_xlfn.XLOOKUP($A1880,Games!$A$2:$A$18,Games!$J$2:$J$18,"Missing game",0)</x:f>
        <x:v>26</x:v>
      </x:c>
      <x:c r="AP1880" t="n">
        <x:f>_xlfn.XLOOKUP($A1880,Games!$A$2:$A$18,Games!$K$2:$K$18,"Missing game",0)</x:f>
        <x:v>26</x:v>
      </x:c>
      <x:c r="AQ1880" t="n">
        <x:f>_xlfn.XLOOKUP($A1880,Games!$A$2:$A$18,Games!$L$2:$L$18,"Missing game",0)</x:f>
        <x:v>26</x:v>
      </x:c>
      <x:c r="AR1880" t="n">
        <x:f>_xlfn.XLOOKUP($A1880,Games!$A$2:$A$18,Games!$M$2:$M$18,"Missing game",0)</x:f>
        <x:v>0</x:v>
      </x:c>
      <x:c r="AS1880" t="str">
        <x:f>_xlfn.XLOOKUP($A1880,Games!$A$2:$A$18,Games!$N$2:$N$18,"Missing game",0)</x:f>
        <x:v>outdoors</x:v>
      </x:c>
      <x:c r="AT1880" t="str">
        <x:f>_xlfn.XLOOKUP($A1880,Games!$A$2:$A$18,Games!$O$2:$O$18,"Missing game",0)</x:f>
        <x:v>fieldturf</x:v>
      </x:c>
      <x:c r="AU1880" t="n">
        <x:f>_xlfn.XLOOKUP($A1880,Games!$A$2:$A$18,Games!$P$2:$P$18,"Missing game",0)</x:f>
        <x:v>45</x:v>
      </x:c>
      <x:c r="AV1880" t="n">
        <x:f>_xlfn.XLOOKUP($A1880,Games!$A$2:$A$18,Games!$Q$2:$Q$18,"Missing game",0)</x:f>
        <x:v>2</x:v>
      </x:c>
      <x:c r="AW1880" t="str">
        <x:f>_xlfn.XLOOKUP($A1880,Games!$A$2:$A$18,Games!$R$2:$R$18,"Missing game",0)</x:f>
        <x:v>Lumen Field</x:v>
      </x:c>
    </x:row>
    <x:row r="1881">
      <x:c r="A1881" t="str">
        <x:v>2025_13_MIN_SEA</x:v>
      </x:c>
      <x:c r="B1881" t="n">
        <x:v>591</x:v>
      </x:c>
      <x:c r="C1881" t="n">
        <x:v>1</x:v>
      </x:c>
      <x:c r="D1881" t="str">
        <x:v>04:22</x:v>
      </x:c>
      <x:c r="E1881" t="n">
        <x:v>3</x:v>
      </x:c>
      <x:c r="F1881" t="n">
        <x:v>9</x:v>
      </x:c>
      <x:c r="G1881" t="str">
        <x:v>MIN</x:v>
      </x:c>
      <x:c r="H1881" t="str">
        <x:v>SEA</x:v>
      </x:c>
      <x:c r="I1881" t="str">
        <x:v>MIN</x:v>
      </x:c>
      <x:c r="J1881" t="n">
        <x:v>73</x:v>
      </x:c>
      <x:c r="K1881" t="str">
        <x:v>(4:22) (Shotgun) 12-M.Brosmer pass short right to 3-J.Addison to MIN 34 for 7 yards (21-D.Witherspoon).</x:v>
      </x:c>
      <x:c r="L1881" t="str">
        <x:v>pass</x:v>
      </x:c>
      <x:c r="M1881" t="n">
        <x:v>7</x:v>
      </x:c>
      <x:c r="N1881" t="n">
        <x:v>1</x:v>
      </x:c>
      <x:c r="O1881" t="n">
        <x:v>0</x:v>
      </x:c>
      <x:c r="P1881" t="str">
        <x:v>short</x:v>
      </x:c>
      <x:c r="Q1881" t="str">
        <x:v>right</x:v>
      </x:c>
      <x:c r="R1881" t="n">
        <x:v>4</x:v>
      </x:c>
      <x:c r="S1881" t="n">
        <x:v>3</x:v>
      </x:c>
      <x:c r="T1881"/>
      <x:c r="U1881"/>
      <x:c r="V1881" t="n">
        <x:v>1</x:v>
      </x:c>
      <x:c r="W1881" t="n">
        <x:v>0</x:v>
      </x:c>
      <x:c r="X1881" t="n">
        <x:v>0</x:v>
      </x:c>
      <x:c r="Y1881" t="n">
        <x:v>0</x:v>
      </x:c>
      <x:c r="Z1881" t="n">
        <x:v>0</x:v>
      </x:c>
      <x:c r="AA1881" t="n">
        <x:v>0</x:v>
      </x:c>
      <x:c r="AB1881"/>
      <x:c r="AC1881" t="n">
        <x:v>0</x:v>
      </x:c>
      <x:c r="AD1881" t="n">
        <x:v>-0.5493563581258059</x:v>
      </x:c>
      <x:c r="AE1881" t="n">
        <x:v>0</x:v>
      </x:c>
      <x:c r="AF1881" t="n">
        <x:v>0.006979167461395264</x:v>
      </x:c>
      <x:c r="AG1881" t="n">
        <x:f>_xlfn.XLOOKUP($A1881,Games!$A$2:$A$18,Games!$B$2:$B$18,"Missing game",0)</x:f>
        <x:v>2025</x:v>
      </x:c>
      <x:c r="AH1881" t="str">
        <x:f>_xlfn.XLOOKUP($A1881,Games!$A$2:$A$18,Games!$C$2:$C$18,"Missing game",0)</x:f>
        <x:v>REG</x:v>
      </x:c>
      <x:c r="AI1881" t="n">
        <x:f>_xlfn.XLOOKUP($A1881,Games!$A$2:$A$18,Games!$D$2:$D$18,"Missing game",0)</x:f>
        <x:v>13</x:v>
      </x:c>
      <x:c r="AJ1881" s="1" t="n">
        <x:f>_xlfn.XLOOKUP($A1881,Games!$A$2:$A$18,Games!$E$2:$E$18,"Missing game",0)</x:f>
        <x:v>45991</x:v>
      </x:c>
      <x:c r="AK1881" t="str">
        <x:f>_xlfn.XLOOKUP($A1881,Games!$A$2:$A$18,Games!$F$2:$F$18,"Missing game",0)</x:f>
        <x:v>Sunday</x:v>
      </x:c>
      <x:c r="AL1881" t="str">
        <x:f>_xlfn.XLOOKUP($A1881,Games!$A$2:$A$18,Games!$G$2:$G$18,"Missing game",0)</x:f>
        <x:v>MIN</x:v>
      </x:c>
      <x:c r="AM1881" t="n">
        <x:f>_xlfn.XLOOKUP($A1881,Games!$A$2:$A$18,Games!$H$2:$H$18,"Missing game",0)</x:f>
        <x:v>0</x:v>
      </x:c>
      <x:c r="AN1881" t="str">
        <x:f>_xlfn.XLOOKUP($A1881,Games!$A$2:$A$18,Games!$I$2:$I$18,"Missing game",0)</x:f>
        <x:v>SEA</x:v>
      </x:c>
      <x:c r="AO1881" t="n">
        <x:f>_xlfn.XLOOKUP($A1881,Games!$A$2:$A$18,Games!$J$2:$J$18,"Missing game",0)</x:f>
        <x:v>26</x:v>
      </x:c>
      <x:c r="AP1881" t="n">
        <x:f>_xlfn.XLOOKUP($A1881,Games!$A$2:$A$18,Games!$K$2:$K$18,"Missing game",0)</x:f>
        <x:v>26</x:v>
      </x:c>
      <x:c r="AQ1881" t="n">
        <x:f>_xlfn.XLOOKUP($A1881,Games!$A$2:$A$18,Games!$L$2:$L$18,"Missing game",0)</x:f>
        <x:v>26</x:v>
      </x:c>
      <x:c r="AR1881" t="n">
        <x:f>_xlfn.XLOOKUP($A1881,Games!$A$2:$A$18,Games!$M$2:$M$18,"Missing game",0)</x:f>
        <x:v>0</x:v>
      </x:c>
      <x:c r="AS1881" t="str">
        <x:f>_xlfn.XLOOKUP($A1881,Games!$A$2:$A$18,Games!$N$2:$N$18,"Missing game",0)</x:f>
        <x:v>outdoors</x:v>
      </x:c>
      <x:c r="AT1881" t="str">
        <x:f>_xlfn.XLOOKUP($A1881,Games!$A$2:$A$18,Games!$O$2:$O$18,"Missing game",0)</x:f>
        <x:v>fieldturf</x:v>
      </x:c>
      <x:c r="AU1881" t="n">
        <x:f>_xlfn.XLOOKUP($A1881,Games!$A$2:$A$18,Games!$P$2:$P$18,"Missing game",0)</x:f>
        <x:v>45</x:v>
      </x:c>
      <x:c r="AV1881" t="n">
        <x:f>_xlfn.XLOOKUP($A1881,Games!$A$2:$A$18,Games!$Q$2:$Q$18,"Missing game",0)</x:f>
        <x:v>2</x:v>
      </x:c>
      <x:c r="AW1881" t="str">
        <x:f>_xlfn.XLOOKUP($A1881,Games!$A$2:$A$18,Games!$R$2:$R$18,"Missing game",0)</x:f>
        <x:v>Lumen Field</x:v>
      </x:c>
    </x:row>
    <x:row r="1882">
      <x:c r="A1882" t="str">
        <x:v>2025_13_MIN_SEA</x:v>
      </x:c>
      <x:c r="B1882" t="n">
        <x:v>616</x:v>
      </x:c>
      <x:c r="C1882" t="n">
        <x:v>1</x:v>
      </x:c>
      <x:c r="D1882" t="str">
        <x:v>03:38</x:v>
      </x:c>
      <x:c r="E1882" t="n">
        <x:v>4</x:v>
      </x:c>
      <x:c r="F1882" t="n">
        <x:v>2</x:v>
      </x:c>
      <x:c r="G1882" t="str">
        <x:v>MIN</x:v>
      </x:c>
      <x:c r="H1882" t="str">
        <x:v>SEA</x:v>
      </x:c>
      <x:c r="I1882" t="str">
        <x:v>MIN</x:v>
      </x:c>
      <x:c r="J1882" t="n">
        <x:v>66</x:v>
      </x:c>
      <x:c r="K1882" t="str">
        <x:v>(3:38) 17-R.Wright punts 60 yards to SEA 6, Center-42-A.DePaola. 22-R.Shaheed to SEA 14 for 8 yards (13-T.Felton; 98-B.Richter).</x:v>
      </x:c>
      <x:c r="L1882" t="str">
        <x:v>punt</x:v>
      </x:c>
      <x:c r="M1882" t="n">
        <x:v>0</x:v>
      </x:c>
      <x:c r="N1882" t="n">
        <x:v>0</x:v>
      </x:c>
      <x:c r="O1882" t="n">
        <x:v>0</x:v>
      </x:c>
      <x:c r="P1882"/>
      <x:c r="Q1882"/>
      <x:c r="R1882"/>
      <x:c r="S1882"/>
      <x:c r="T1882"/>
      <x:c r="U1882"/>
      <x:c r="V1882" t="n">
        <x:v>0</x:v>
      </x:c>
      <x:c r="W1882" t="n">
        <x:v>0</x:v>
      </x:c>
      <x:c r="X1882" t="n">
        <x:v>0</x:v>
      </x:c>
      <x:c r="Y1882" t="n">
        <x:v>0</x:v>
      </x:c>
      <x:c r="Z1882" t="n">
        <x:v>0</x:v>
      </x:c>
      <x:c r="AA1882" t="n">
        <x:v>0</x:v>
      </x:c>
      <x:c r="AB1882"/>
      <x:c r="AC1882" t="n">
        <x:v>0</x:v>
      </x:c>
      <x:c r="AD1882" t="n">
        <x:v>0.3611150146462023</x:v>
      </x:c>
      <x:c r="AE1882" t="n">
        <x:v>1</x:v>
      </x:c>
      <x:c r="AF1882" t="n">
        <x:v>-0.005860239267349243</x:v>
      </x:c>
      <x:c r="AG1882" t="n">
        <x:f>_xlfn.XLOOKUP($A1882,Games!$A$2:$A$18,Games!$B$2:$B$18,"Missing game",0)</x:f>
        <x:v>2025</x:v>
      </x:c>
      <x:c r="AH1882" t="str">
        <x:f>_xlfn.XLOOKUP($A1882,Games!$A$2:$A$18,Games!$C$2:$C$18,"Missing game",0)</x:f>
        <x:v>REG</x:v>
      </x:c>
      <x:c r="AI1882" t="n">
        <x:f>_xlfn.XLOOKUP($A1882,Games!$A$2:$A$18,Games!$D$2:$D$18,"Missing game",0)</x:f>
        <x:v>13</x:v>
      </x:c>
      <x:c r="AJ1882" s="1" t="n">
        <x:f>_xlfn.XLOOKUP($A1882,Games!$A$2:$A$18,Games!$E$2:$E$18,"Missing game",0)</x:f>
        <x:v>45991</x:v>
      </x:c>
      <x:c r="AK1882" t="str">
        <x:f>_xlfn.XLOOKUP($A1882,Games!$A$2:$A$18,Games!$F$2:$F$18,"Missing game",0)</x:f>
        <x:v>Sunday</x:v>
      </x:c>
      <x:c r="AL1882" t="str">
        <x:f>_xlfn.XLOOKUP($A1882,Games!$A$2:$A$18,Games!$G$2:$G$18,"Missing game",0)</x:f>
        <x:v>MIN</x:v>
      </x:c>
      <x:c r="AM1882" t="n">
        <x:f>_xlfn.XLOOKUP($A1882,Games!$A$2:$A$18,Games!$H$2:$H$18,"Missing game",0)</x:f>
        <x:v>0</x:v>
      </x:c>
      <x:c r="AN1882" t="str">
        <x:f>_xlfn.XLOOKUP($A1882,Games!$A$2:$A$18,Games!$I$2:$I$18,"Missing game",0)</x:f>
        <x:v>SEA</x:v>
      </x:c>
      <x:c r="AO1882" t="n">
        <x:f>_xlfn.XLOOKUP($A1882,Games!$A$2:$A$18,Games!$J$2:$J$18,"Missing game",0)</x:f>
        <x:v>26</x:v>
      </x:c>
      <x:c r="AP1882" t="n">
        <x:f>_xlfn.XLOOKUP($A1882,Games!$A$2:$A$18,Games!$K$2:$K$18,"Missing game",0)</x:f>
        <x:v>26</x:v>
      </x:c>
      <x:c r="AQ1882" t="n">
        <x:f>_xlfn.XLOOKUP($A1882,Games!$A$2:$A$18,Games!$L$2:$L$18,"Missing game",0)</x:f>
        <x:v>26</x:v>
      </x:c>
      <x:c r="AR1882" t="n">
        <x:f>_xlfn.XLOOKUP($A1882,Games!$A$2:$A$18,Games!$M$2:$M$18,"Missing game",0)</x:f>
        <x:v>0</x:v>
      </x:c>
      <x:c r="AS1882" t="str">
        <x:f>_xlfn.XLOOKUP($A1882,Games!$A$2:$A$18,Games!$N$2:$N$18,"Missing game",0)</x:f>
        <x:v>outdoors</x:v>
      </x:c>
      <x:c r="AT1882" t="str">
        <x:f>_xlfn.XLOOKUP($A1882,Games!$A$2:$A$18,Games!$O$2:$O$18,"Missing game",0)</x:f>
        <x:v>fieldturf</x:v>
      </x:c>
      <x:c r="AU1882" t="n">
        <x:f>_xlfn.XLOOKUP($A1882,Games!$A$2:$A$18,Games!$P$2:$P$18,"Missing game",0)</x:f>
        <x:v>45</x:v>
      </x:c>
      <x:c r="AV1882" t="n">
        <x:f>_xlfn.XLOOKUP($A1882,Games!$A$2:$A$18,Games!$Q$2:$Q$18,"Missing game",0)</x:f>
        <x:v>2</x:v>
      </x:c>
      <x:c r="AW1882" t="str">
        <x:f>_xlfn.XLOOKUP($A1882,Games!$A$2:$A$18,Games!$R$2:$R$18,"Missing game",0)</x:f>
        <x:v>Lumen Field</x:v>
      </x:c>
    </x:row>
    <x:row r="1883">
      <x:c r="A1883" t="str">
        <x:v>2025_13_MIN_SEA</x:v>
      </x:c>
      <x:c r="B1883" t="n">
        <x:v>649</x:v>
      </x:c>
      <x:c r="C1883" t="n">
        <x:v>1</x:v>
      </x:c>
      <x:c r="D1883" t="str">
        <x:v>03:27</x:v>
      </x:c>
      <x:c r="E1883" t="n">
        <x:v>1</x:v>
      </x:c>
      <x:c r="F1883" t="n">
        <x:v>10</x:v>
      </x:c>
      <x:c r="G1883" t="str">
        <x:v>SEA</x:v>
      </x:c>
      <x:c r="H1883" t="str">
        <x:v>MIN</x:v>
      </x:c>
      <x:c r="I1883" t="str">
        <x:v>SEA</x:v>
      </x:c>
      <x:c r="J1883" t="n">
        <x:v>86</x:v>
      </x:c>
      <x:c r="K1883" t="str">
        <x:v>(3:27) 9-K.Walker left tackle pushed ob at SEA 15 for 1 yard (61-J.Redmond).</x:v>
      </x:c>
      <x:c r="L1883" t="str">
        <x:v>run</x:v>
      </x:c>
      <x:c r="M1883" t="n">
        <x:v>1</x:v>
      </x:c>
      <x:c r="N1883" t="n">
        <x:v>0</x:v>
      </x:c>
      <x:c r="O1883" t="n">
        <x:v>0</x:v>
      </x:c>
      <x:c r="P1883"/>
      <x:c r="Q1883"/>
      <x:c r="R1883"/>
      <x:c r="S1883"/>
      <x:c r="T1883" t="str">
        <x:v>left</x:v>
      </x:c>
      <x:c r="U1883" t="str">
        <x:v>tackle</x:v>
      </x:c>
      <x:c r="V1883" t="n">
        <x:v>0</x:v>
      </x:c>
      <x:c r="W1883" t="n">
        <x:v>0</x:v>
      </x:c>
      <x:c r="X1883" t="n">
        <x:v>0</x:v>
      </x:c>
      <x:c r="Y1883" t="n">
        <x:v>0</x:v>
      </x:c>
      <x:c r="Z1883" t="n">
        <x:v>0</x:v>
      </x:c>
      <x:c r="AA1883" t="n">
        <x:v>0</x:v>
      </x:c>
      <x:c r="AB1883"/>
      <x:c r="AC1883" t="n">
        <x:v>0</x:v>
      </x:c>
      <x:c r="AD1883" t="n">
        <x:v>-0.48844103794544935</x:v>
      </x:c>
      <x:c r="AE1883" t="n">
        <x:v>0</x:v>
      </x:c>
      <x:c r="AF1883" t="n">
        <x:v>-0.016275525093078613</x:v>
      </x:c>
      <x:c r="AG1883" t="n">
        <x:f>_xlfn.XLOOKUP($A1883,Games!$A$2:$A$18,Games!$B$2:$B$18,"Missing game",0)</x:f>
        <x:v>2025</x:v>
      </x:c>
      <x:c r="AH1883" t="str">
        <x:f>_xlfn.XLOOKUP($A1883,Games!$A$2:$A$18,Games!$C$2:$C$18,"Missing game",0)</x:f>
        <x:v>REG</x:v>
      </x:c>
      <x:c r="AI1883" t="n">
        <x:f>_xlfn.XLOOKUP($A1883,Games!$A$2:$A$18,Games!$D$2:$D$18,"Missing game",0)</x:f>
        <x:v>13</x:v>
      </x:c>
      <x:c r="AJ1883" s="1" t="n">
        <x:f>_xlfn.XLOOKUP($A1883,Games!$A$2:$A$18,Games!$E$2:$E$18,"Missing game",0)</x:f>
        <x:v>45991</x:v>
      </x:c>
      <x:c r="AK1883" t="str">
        <x:f>_xlfn.XLOOKUP($A1883,Games!$A$2:$A$18,Games!$F$2:$F$18,"Missing game",0)</x:f>
        <x:v>Sunday</x:v>
      </x:c>
      <x:c r="AL1883" t="str">
        <x:f>_xlfn.XLOOKUP($A1883,Games!$A$2:$A$18,Games!$G$2:$G$18,"Missing game",0)</x:f>
        <x:v>MIN</x:v>
      </x:c>
      <x:c r="AM1883" t="n">
        <x:f>_xlfn.XLOOKUP($A1883,Games!$A$2:$A$18,Games!$H$2:$H$18,"Missing game",0)</x:f>
        <x:v>0</x:v>
      </x:c>
      <x:c r="AN1883" t="str">
        <x:f>_xlfn.XLOOKUP($A1883,Games!$A$2:$A$18,Games!$I$2:$I$18,"Missing game",0)</x:f>
        <x:v>SEA</x:v>
      </x:c>
      <x:c r="AO1883" t="n">
        <x:f>_xlfn.XLOOKUP($A1883,Games!$A$2:$A$18,Games!$J$2:$J$18,"Missing game",0)</x:f>
        <x:v>26</x:v>
      </x:c>
      <x:c r="AP1883" t="n">
        <x:f>_xlfn.XLOOKUP($A1883,Games!$A$2:$A$18,Games!$K$2:$K$18,"Missing game",0)</x:f>
        <x:v>26</x:v>
      </x:c>
      <x:c r="AQ1883" t="n">
        <x:f>_xlfn.XLOOKUP($A1883,Games!$A$2:$A$18,Games!$L$2:$L$18,"Missing game",0)</x:f>
        <x:v>26</x:v>
      </x:c>
      <x:c r="AR1883" t="n">
        <x:f>_xlfn.XLOOKUP($A1883,Games!$A$2:$A$18,Games!$M$2:$M$18,"Missing game",0)</x:f>
        <x:v>0</x:v>
      </x:c>
      <x:c r="AS1883" t="str">
        <x:f>_xlfn.XLOOKUP($A1883,Games!$A$2:$A$18,Games!$N$2:$N$18,"Missing game",0)</x:f>
        <x:v>outdoors</x:v>
      </x:c>
      <x:c r="AT1883" t="str">
        <x:f>_xlfn.XLOOKUP($A1883,Games!$A$2:$A$18,Games!$O$2:$O$18,"Missing game",0)</x:f>
        <x:v>fieldturf</x:v>
      </x:c>
      <x:c r="AU1883" t="n">
        <x:f>_xlfn.XLOOKUP($A1883,Games!$A$2:$A$18,Games!$P$2:$P$18,"Missing game",0)</x:f>
        <x:v>45</x:v>
      </x:c>
      <x:c r="AV1883" t="n">
        <x:f>_xlfn.XLOOKUP($A1883,Games!$A$2:$A$18,Games!$Q$2:$Q$18,"Missing game",0)</x:f>
        <x:v>2</x:v>
      </x:c>
      <x:c r="AW1883" t="str">
        <x:f>_xlfn.XLOOKUP($A1883,Games!$A$2:$A$18,Games!$R$2:$R$18,"Missing game",0)</x:f>
        <x:v>Lumen Field</x:v>
      </x:c>
    </x:row>
    <x:row r="1884">
      <x:c r="A1884" t="str">
        <x:v>2025_13_MIN_SEA</x:v>
      </x:c>
      <x:c r="B1884" t="n">
        <x:v>676</x:v>
      </x:c>
      <x:c r="C1884" t="n">
        <x:v>1</x:v>
      </x:c>
      <x:c r="D1884" t="str">
        <x:v>02:45</x:v>
      </x:c>
      <x:c r="E1884" t="n">
        <x:v>2</x:v>
      </x:c>
      <x:c r="F1884" t="n">
        <x:v>9</x:v>
      </x:c>
      <x:c r="G1884" t="str">
        <x:v>SEA</x:v>
      </x:c>
      <x:c r="H1884" t="str">
        <x:v>MIN</x:v>
      </x:c>
      <x:c r="I1884" t="str">
        <x:v>SEA</x:v>
      </x:c>
      <x:c r="J1884" t="n">
        <x:v>85</x:v>
      </x:c>
      <x:c r="K1884" t="str">
        <x:v>(2:45) (Shotgun) 14-S.Darnold pass incomplete short middle to 10-C.Kupp.</x:v>
      </x:c>
      <x:c r="L1884" t="str">
        <x:v>pass</x:v>
      </x:c>
      <x:c r="M1884" t="n">
        <x:v>0</x:v>
      </x:c>
      <x:c r="N1884" t="n">
        <x:v>1</x:v>
      </x:c>
      <x:c r="O1884" t="n">
        <x:v>0</x:v>
      </x:c>
      <x:c r="P1884" t="str">
        <x:v>short</x:v>
      </x:c>
      <x:c r="Q1884" t="str">
        <x:v>middle</x:v>
      </x:c>
      <x:c r="R1884" t="n">
        <x:v>5</x:v>
      </x:c>
      <x:c r="S1884"/>
      <x:c r="T1884"/>
      <x:c r="U1884"/>
      <x:c r="V1884" t="n">
        <x:v>0</x:v>
      </x:c>
      <x:c r="W1884" t="n">
        <x:v>0</x:v>
      </x:c>
      <x:c r="X1884" t="n">
        <x:v>0</x:v>
      </x:c>
      <x:c r="Y1884" t="n">
        <x:v>0</x:v>
      </x:c>
      <x:c r="Z1884" t="n">
        <x:v>0</x:v>
      </x:c>
      <x:c r="AA1884" t="n">
        <x:v>0</x:v>
      </x:c>
      <x:c r="AB1884"/>
      <x:c r="AC1884" t="n">
        <x:v>0</x:v>
      </x:c>
      <x:c r="AD1884" t="n">
        <x:v>-0.7625038223341107</x:v>
      </x:c>
      <x:c r="AE1884" t="n">
        <x:v>0</x:v>
      </x:c>
      <x:c r="AF1884" t="n">
        <x:v>-0.025521278381347656</x:v>
      </x:c>
      <x:c r="AG1884" t="n">
        <x:f>_xlfn.XLOOKUP($A1884,Games!$A$2:$A$18,Games!$B$2:$B$18,"Missing game",0)</x:f>
        <x:v>2025</x:v>
      </x:c>
      <x:c r="AH1884" t="str">
        <x:f>_xlfn.XLOOKUP($A1884,Games!$A$2:$A$18,Games!$C$2:$C$18,"Missing game",0)</x:f>
        <x:v>REG</x:v>
      </x:c>
      <x:c r="AI1884" t="n">
        <x:f>_xlfn.XLOOKUP($A1884,Games!$A$2:$A$18,Games!$D$2:$D$18,"Missing game",0)</x:f>
        <x:v>13</x:v>
      </x:c>
      <x:c r="AJ1884" s="1" t="n">
        <x:f>_xlfn.XLOOKUP($A1884,Games!$A$2:$A$18,Games!$E$2:$E$18,"Missing game",0)</x:f>
        <x:v>45991</x:v>
      </x:c>
      <x:c r="AK1884" t="str">
        <x:f>_xlfn.XLOOKUP($A1884,Games!$A$2:$A$18,Games!$F$2:$F$18,"Missing game",0)</x:f>
        <x:v>Sunday</x:v>
      </x:c>
      <x:c r="AL1884" t="str">
        <x:f>_xlfn.XLOOKUP($A1884,Games!$A$2:$A$18,Games!$G$2:$G$18,"Missing game",0)</x:f>
        <x:v>MIN</x:v>
      </x:c>
      <x:c r="AM1884" t="n">
        <x:f>_xlfn.XLOOKUP($A1884,Games!$A$2:$A$18,Games!$H$2:$H$18,"Missing game",0)</x:f>
        <x:v>0</x:v>
      </x:c>
      <x:c r="AN1884" t="str">
        <x:f>_xlfn.XLOOKUP($A1884,Games!$A$2:$A$18,Games!$I$2:$I$18,"Missing game",0)</x:f>
        <x:v>SEA</x:v>
      </x:c>
      <x:c r="AO1884" t="n">
        <x:f>_xlfn.XLOOKUP($A1884,Games!$A$2:$A$18,Games!$J$2:$J$18,"Missing game",0)</x:f>
        <x:v>26</x:v>
      </x:c>
      <x:c r="AP1884" t="n">
        <x:f>_xlfn.XLOOKUP($A1884,Games!$A$2:$A$18,Games!$K$2:$K$18,"Missing game",0)</x:f>
        <x:v>26</x:v>
      </x:c>
      <x:c r="AQ1884" t="n">
        <x:f>_xlfn.XLOOKUP($A1884,Games!$A$2:$A$18,Games!$L$2:$L$18,"Missing game",0)</x:f>
        <x:v>26</x:v>
      </x:c>
      <x:c r="AR1884" t="n">
        <x:f>_xlfn.XLOOKUP($A1884,Games!$A$2:$A$18,Games!$M$2:$M$18,"Missing game",0)</x:f>
        <x:v>0</x:v>
      </x:c>
      <x:c r="AS1884" t="str">
        <x:f>_xlfn.XLOOKUP($A1884,Games!$A$2:$A$18,Games!$N$2:$N$18,"Missing game",0)</x:f>
        <x:v>outdoors</x:v>
      </x:c>
      <x:c r="AT1884" t="str">
        <x:f>_xlfn.XLOOKUP($A1884,Games!$A$2:$A$18,Games!$O$2:$O$18,"Missing game",0)</x:f>
        <x:v>fieldturf</x:v>
      </x:c>
      <x:c r="AU1884" t="n">
        <x:f>_xlfn.XLOOKUP($A1884,Games!$A$2:$A$18,Games!$P$2:$P$18,"Missing game",0)</x:f>
        <x:v>45</x:v>
      </x:c>
      <x:c r="AV1884" t="n">
        <x:f>_xlfn.XLOOKUP($A1884,Games!$A$2:$A$18,Games!$Q$2:$Q$18,"Missing game",0)</x:f>
        <x:v>2</x:v>
      </x:c>
      <x:c r="AW1884" t="str">
        <x:f>_xlfn.XLOOKUP($A1884,Games!$A$2:$A$18,Games!$R$2:$R$18,"Missing game",0)</x:f>
        <x:v>Lumen Field</x:v>
      </x:c>
    </x:row>
    <x:row r="1885">
      <x:c r="A1885" t="str">
        <x:v>2025_13_MIN_SEA</x:v>
      </x:c>
      <x:c r="B1885" t="n">
        <x:v>699</x:v>
      </x:c>
      <x:c r="C1885" t="n">
        <x:v>1</x:v>
      </x:c>
      <x:c r="D1885" t="str">
        <x:v>02:42</x:v>
      </x:c>
      <x:c r="E1885" t="n">
        <x:v>3</x:v>
      </x:c>
      <x:c r="F1885" t="n">
        <x:v>9</x:v>
      </x:c>
      <x:c r="G1885" t="str">
        <x:v>SEA</x:v>
      </x:c>
      <x:c r="H1885" t="str">
        <x:v>MIN</x:v>
      </x:c>
      <x:c r="I1885" t="str">
        <x:v>SEA</x:v>
      </x:c>
      <x:c r="J1885" t="n">
        <x:v>85</x:v>
      </x:c>
      <x:c r="K1885" t="str">
        <x:v>(2:42) (Shotgun) 14-S.Darnold pass incomplete short left.</x:v>
      </x:c>
      <x:c r="L1885" t="str">
        <x:v>pass</x:v>
      </x:c>
      <x:c r="M1885" t="n">
        <x:v>0</x:v>
      </x:c>
      <x:c r="N1885" t="n">
        <x:v>1</x:v>
      </x:c>
      <x:c r="O1885" t="n">
        <x:v>0</x:v>
      </x:c>
      <x:c r="P1885" t="str">
        <x:v>short</x:v>
      </x:c>
      <x:c r="Q1885" t="str">
        <x:v>left</x:v>
      </x:c>
      <x:c r="R1885" t="n">
        <x:v>10</x:v>
      </x:c>
      <x:c r="S1885"/>
      <x:c r="T1885"/>
      <x:c r="U1885"/>
      <x:c r="V1885" t="n">
        <x:v>0</x:v>
      </x:c>
      <x:c r="W1885" t="n">
        <x:v>0</x:v>
      </x:c>
      <x:c r="X1885" t="n">
        <x:v>0</x:v>
      </x:c>
      <x:c r="Y1885" t="n">
        <x:v>0</x:v>
      </x:c>
      <x:c r="Z1885" t="n">
        <x:v>0</x:v>
      </x:c>
      <x:c r="AA1885" t="n">
        <x:v>0</x:v>
      </x:c>
      <x:c r="AB1885"/>
      <x:c r="AC1885" t="n">
        <x:v>0</x:v>
      </x:c>
      <x:c r="AD1885" t="n">
        <x:v>-1.315715936012566</x:v>
      </x:c>
      <x:c r="AE1885" t="n">
        <x:v>0</x:v>
      </x:c>
      <x:c r="AF1885" t="n">
        <x:v>-0.028165698051452637</x:v>
      </x:c>
      <x:c r="AG1885" t="n">
        <x:f>_xlfn.XLOOKUP($A1885,Games!$A$2:$A$18,Games!$B$2:$B$18,"Missing game",0)</x:f>
        <x:v>2025</x:v>
      </x:c>
      <x:c r="AH1885" t="str">
        <x:f>_xlfn.XLOOKUP($A1885,Games!$A$2:$A$18,Games!$C$2:$C$18,"Missing game",0)</x:f>
        <x:v>REG</x:v>
      </x:c>
      <x:c r="AI1885" t="n">
        <x:f>_xlfn.XLOOKUP($A1885,Games!$A$2:$A$18,Games!$D$2:$D$18,"Missing game",0)</x:f>
        <x:v>13</x:v>
      </x:c>
      <x:c r="AJ1885" s="1" t="n">
        <x:f>_xlfn.XLOOKUP($A1885,Games!$A$2:$A$18,Games!$E$2:$E$18,"Missing game",0)</x:f>
        <x:v>45991</x:v>
      </x:c>
      <x:c r="AK1885" t="str">
        <x:f>_xlfn.XLOOKUP($A1885,Games!$A$2:$A$18,Games!$F$2:$F$18,"Missing game",0)</x:f>
        <x:v>Sunday</x:v>
      </x:c>
      <x:c r="AL1885" t="str">
        <x:f>_xlfn.XLOOKUP($A1885,Games!$A$2:$A$18,Games!$G$2:$G$18,"Missing game",0)</x:f>
        <x:v>MIN</x:v>
      </x:c>
      <x:c r="AM1885" t="n">
        <x:f>_xlfn.XLOOKUP($A1885,Games!$A$2:$A$18,Games!$H$2:$H$18,"Missing game",0)</x:f>
        <x:v>0</x:v>
      </x:c>
      <x:c r="AN1885" t="str">
        <x:f>_xlfn.XLOOKUP($A1885,Games!$A$2:$A$18,Games!$I$2:$I$18,"Missing game",0)</x:f>
        <x:v>SEA</x:v>
      </x:c>
      <x:c r="AO1885" t="n">
        <x:f>_xlfn.XLOOKUP($A1885,Games!$A$2:$A$18,Games!$J$2:$J$18,"Missing game",0)</x:f>
        <x:v>26</x:v>
      </x:c>
      <x:c r="AP1885" t="n">
        <x:f>_xlfn.XLOOKUP($A1885,Games!$A$2:$A$18,Games!$K$2:$K$18,"Missing game",0)</x:f>
        <x:v>26</x:v>
      </x:c>
      <x:c r="AQ1885" t="n">
        <x:f>_xlfn.XLOOKUP($A1885,Games!$A$2:$A$18,Games!$L$2:$L$18,"Missing game",0)</x:f>
        <x:v>26</x:v>
      </x:c>
      <x:c r="AR1885" t="n">
        <x:f>_xlfn.XLOOKUP($A1885,Games!$A$2:$A$18,Games!$M$2:$M$18,"Missing game",0)</x:f>
        <x:v>0</x:v>
      </x:c>
      <x:c r="AS1885" t="str">
        <x:f>_xlfn.XLOOKUP($A1885,Games!$A$2:$A$18,Games!$N$2:$N$18,"Missing game",0)</x:f>
        <x:v>outdoors</x:v>
      </x:c>
      <x:c r="AT1885" t="str">
        <x:f>_xlfn.XLOOKUP($A1885,Games!$A$2:$A$18,Games!$O$2:$O$18,"Missing game",0)</x:f>
        <x:v>fieldturf</x:v>
      </x:c>
      <x:c r="AU1885" t="n">
        <x:f>_xlfn.XLOOKUP($A1885,Games!$A$2:$A$18,Games!$P$2:$P$18,"Missing game",0)</x:f>
        <x:v>45</x:v>
      </x:c>
      <x:c r="AV1885" t="n">
        <x:f>_xlfn.XLOOKUP($A1885,Games!$A$2:$A$18,Games!$Q$2:$Q$18,"Missing game",0)</x:f>
        <x:v>2</x:v>
      </x:c>
      <x:c r="AW1885" t="str">
        <x:f>_xlfn.XLOOKUP($A1885,Games!$A$2:$A$18,Games!$R$2:$R$18,"Missing game",0)</x:f>
        <x:v>Lumen Field</x:v>
      </x:c>
    </x:row>
    <x:row r="1886">
      <x:c r="A1886" t="str">
        <x:v>2025_13_MIN_SEA</x:v>
      </x:c>
      <x:c r="B1886" t="n">
        <x:v>722</x:v>
      </x:c>
      <x:c r="C1886" t="n">
        <x:v>1</x:v>
      </x:c>
      <x:c r="D1886" t="str">
        <x:v>02:36</x:v>
      </x:c>
      <x:c r="E1886" t="n">
        <x:v>4</x:v>
      </x:c>
      <x:c r="F1886" t="n">
        <x:v>9</x:v>
      </x:c>
      <x:c r="G1886" t="str">
        <x:v>SEA</x:v>
      </x:c>
      <x:c r="H1886" t="str">
        <x:v>MIN</x:v>
      </x:c>
      <x:c r="I1886" t="str">
        <x:v>SEA</x:v>
      </x:c>
      <x:c r="J1886" t="n">
        <x:v>85</x:v>
      </x:c>
      <x:c r="K1886" t="str">
        <x:v>(2:36) 4-M.Dickson punts 48 yards to MIN 37, Center-41-C.Stoll, fair catch by 4-M.Price. PENALTY on MIN-98-B.Richter, Offensive Holding, 10 yards, enforced at MIN 37.</x:v>
      </x:c>
      <x:c r="L1886" t="str">
        <x:v>punt</x:v>
      </x:c>
      <x:c r="M1886" t="n">
        <x:v>0</x:v>
      </x:c>
      <x:c r="N1886" t="n">
        <x:v>0</x:v>
      </x:c>
      <x:c r="O1886" t="n">
        <x:v>0</x:v>
      </x:c>
      <x:c r="P1886"/>
      <x:c r="Q1886"/>
      <x:c r="R1886"/>
      <x:c r="S1886"/>
      <x:c r="T1886"/>
      <x:c r="U1886"/>
      <x:c r="V1886" t="n">
        <x:v>0</x:v>
      </x:c>
      <x:c r="W1886" t="n">
        <x:v>0</x:v>
      </x:c>
      <x:c r="X1886" t="n">
        <x:v>0</x:v>
      </x:c>
      <x:c r="Y1886" t="n">
        <x:v>0</x:v>
      </x:c>
      <x:c r="Z1886" t="n">
        <x:v>0</x:v>
      </x:c>
      <x:c r="AA1886" t="n">
        <x:v>1</x:v>
      </x:c>
      <x:c r="AB1886" t="n">
        <x:v>10</x:v>
      </x:c>
      <x:c r="AC1886" t="n">
        <x:v>0</x:v>
      </x:c>
      <x:c r="AD1886" t="n">
        <x:v>1.0656000701710582</x:v>
      </x:c>
      <x:c r="AE1886" t="n">
        <x:v>1</x:v>
      </x:c>
      <x:c r="AF1886" t="n">
        <x:v>0.027549445629119873</x:v>
      </x:c>
      <x:c r="AG1886" t="n">
        <x:f>_xlfn.XLOOKUP($A1886,Games!$A$2:$A$18,Games!$B$2:$B$18,"Missing game",0)</x:f>
        <x:v>2025</x:v>
      </x:c>
      <x:c r="AH1886" t="str">
        <x:f>_xlfn.XLOOKUP($A1886,Games!$A$2:$A$18,Games!$C$2:$C$18,"Missing game",0)</x:f>
        <x:v>REG</x:v>
      </x:c>
      <x:c r="AI1886" t="n">
        <x:f>_xlfn.XLOOKUP($A1886,Games!$A$2:$A$18,Games!$D$2:$D$18,"Missing game",0)</x:f>
        <x:v>13</x:v>
      </x:c>
      <x:c r="AJ1886" s="1" t="n">
        <x:f>_xlfn.XLOOKUP($A1886,Games!$A$2:$A$18,Games!$E$2:$E$18,"Missing game",0)</x:f>
        <x:v>45991</x:v>
      </x:c>
      <x:c r="AK1886" t="str">
        <x:f>_xlfn.XLOOKUP($A1886,Games!$A$2:$A$18,Games!$F$2:$F$18,"Missing game",0)</x:f>
        <x:v>Sunday</x:v>
      </x:c>
      <x:c r="AL1886" t="str">
        <x:f>_xlfn.XLOOKUP($A1886,Games!$A$2:$A$18,Games!$G$2:$G$18,"Missing game",0)</x:f>
        <x:v>MIN</x:v>
      </x:c>
      <x:c r="AM1886" t="n">
        <x:f>_xlfn.XLOOKUP($A1886,Games!$A$2:$A$18,Games!$H$2:$H$18,"Missing game",0)</x:f>
        <x:v>0</x:v>
      </x:c>
      <x:c r="AN1886" t="str">
        <x:f>_xlfn.XLOOKUP($A1886,Games!$A$2:$A$18,Games!$I$2:$I$18,"Missing game",0)</x:f>
        <x:v>SEA</x:v>
      </x:c>
      <x:c r="AO1886" t="n">
        <x:f>_xlfn.XLOOKUP($A1886,Games!$A$2:$A$18,Games!$J$2:$J$18,"Missing game",0)</x:f>
        <x:v>26</x:v>
      </x:c>
      <x:c r="AP1886" t="n">
        <x:f>_xlfn.XLOOKUP($A1886,Games!$A$2:$A$18,Games!$K$2:$K$18,"Missing game",0)</x:f>
        <x:v>26</x:v>
      </x:c>
      <x:c r="AQ1886" t="n">
        <x:f>_xlfn.XLOOKUP($A1886,Games!$A$2:$A$18,Games!$L$2:$L$18,"Missing game",0)</x:f>
        <x:v>26</x:v>
      </x:c>
      <x:c r="AR1886" t="n">
        <x:f>_xlfn.XLOOKUP($A1886,Games!$A$2:$A$18,Games!$M$2:$M$18,"Missing game",0)</x:f>
        <x:v>0</x:v>
      </x:c>
      <x:c r="AS1886" t="str">
        <x:f>_xlfn.XLOOKUP($A1886,Games!$A$2:$A$18,Games!$N$2:$N$18,"Missing game",0)</x:f>
        <x:v>outdoors</x:v>
      </x:c>
      <x:c r="AT1886" t="str">
        <x:f>_xlfn.XLOOKUP($A1886,Games!$A$2:$A$18,Games!$O$2:$O$18,"Missing game",0)</x:f>
        <x:v>fieldturf</x:v>
      </x:c>
      <x:c r="AU1886" t="n">
        <x:f>_xlfn.XLOOKUP($A1886,Games!$A$2:$A$18,Games!$P$2:$P$18,"Missing game",0)</x:f>
        <x:v>45</x:v>
      </x:c>
      <x:c r="AV1886" t="n">
        <x:f>_xlfn.XLOOKUP($A1886,Games!$A$2:$A$18,Games!$Q$2:$Q$18,"Missing game",0)</x:f>
        <x:v>2</x:v>
      </x:c>
      <x:c r="AW1886" t="str">
        <x:f>_xlfn.XLOOKUP($A1886,Games!$A$2:$A$18,Games!$R$2:$R$18,"Missing game",0)</x:f>
        <x:v>Lumen Field</x:v>
      </x:c>
    </x:row>
    <x:row r="1887">
      <x:c r="A1887" t="str">
        <x:v>2025_13_MIN_SEA</x:v>
      </x:c>
      <x:c r="B1887" t="n">
        <x:v>760</x:v>
      </x:c>
      <x:c r="C1887" t="n">
        <x:v>1</x:v>
      </x:c>
      <x:c r="D1887" t="str">
        <x:v>02:28</x:v>
      </x:c>
      <x:c r="E1887" t="n">
        <x:v>1</x:v>
      </x:c>
      <x:c r="F1887" t="n">
        <x:v>10</x:v>
      </x:c>
      <x:c r="G1887" t="str">
        <x:v>MIN</x:v>
      </x:c>
      <x:c r="H1887" t="str">
        <x:v>SEA</x:v>
      </x:c>
      <x:c r="I1887" t="str">
        <x:v>MIN</x:v>
      </x:c>
      <x:c r="J1887" t="n">
        <x:v>73</x:v>
      </x:c>
      <x:c r="K1887" t="str">
        <x:v>(2:28) 12-M.Brosmer pass incomplete deep right to 3-J.Addison.</x:v>
      </x:c>
      <x:c r="L1887" t="str">
        <x:v>pass</x:v>
      </x:c>
      <x:c r="M1887" t="n">
        <x:v>0</x:v>
      </x:c>
      <x:c r="N1887" t="n">
        <x:v>0</x:v>
      </x:c>
      <x:c r="O1887" t="n">
        <x:v>0</x:v>
      </x:c>
      <x:c r="P1887" t="str">
        <x:v>deep</x:v>
      </x:c>
      <x:c r="Q1887" t="str">
        <x:v>right</x:v>
      </x:c>
      <x:c r="R1887" t="n">
        <x:v>21</x:v>
      </x:c>
      <x:c r="S1887"/>
      <x:c r="T1887"/>
      <x:c r="U1887"/>
      <x:c r="V1887" t="n">
        <x:v>0</x:v>
      </x:c>
      <x:c r="W1887" t="n">
        <x:v>0</x:v>
      </x:c>
      <x:c r="X1887" t="n">
        <x:v>0</x:v>
      </x:c>
      <x:c r="Y1887" t="n">
        <x:v>0</x:v>
      </x:c>
      <x:c r="Z1887" t="n">
        <x:v>0</x:v>
      </x:c>
      <x:c r="AA1887" t="n">
        <x:v>0</x:v>
      </x:c>
      <x:c r="AB1887"/>
      <x:c r="AC1887" t="n">
        <x:v>0</x:v>
      </x:c>
      <x:c r="AD1887" t="n">
        <x:v>-0.5633560493588448</x:v>
      </x:c>
      <x:c r="AE1887" t="n">
        <x:v>0</x:v>
      </x:c>
      <x:c r="AF1887" t="n">
        <x:v>-0.018000632524490356</x:v>
      </x:c>
      <x:c r="AG1887" t="n">
        <x:f>_xlfn.XLOOKUP($A1887,Games!$A$2:$A$18,Games!$B$2:$B$18,"Missing game",0)</x:f>
        <x:v>2025</x:v>
      </x:c>
      <x:c r="AH1887" t="str">
        <x:f>_xlfn.XLOOKUP($A1887,Games!$A$2:$A$18,Games!$C$2:$C$18,"Missing game",0)</x:f>
        <x:v>REG</x:v>
      </x:c>
      <x:c r="AI1887" t="n">
        <x:f>_xlfn.XLOOKUP($A1887,Games!$A$2:$A$18,Games!$D$2:$D$18,"Missing game",0)</x:f>
        <x:v>13</x:v>
      </x:c>
      <x:c r="AJ1887" s="1" t="n">
        <x:f>_xlfn.XLOOKUP($A1887,Games!$A$2:$A$18,Games!$E$2:$E$18,"Missing game",0)</x:f>
        <x:v>45991</x:v>
      </x:c>
      <x:c r="AK1887" t="str">
        <x:f>_xlfn.XLOOKUP($A1887,Games!$A$2:$A$18,Games!$F$2:$F$18,"Missing game",0)</x:f>
        <x:v>Sunday</x:v>
      </x:c>
      <x:c r="AL1887" t="str">
        <x:f>_xlfn.XLOOKUP($A1887,Games!$A$2:$A$18,Games!$G$2:$G$18,"Missing game",0)</x:f>
        <x:v>MIN</x:v>
      </x:c>
      <x:c r="AM1887" t="n">
        <x:f>_xlfn.XLOOKUP($A1887,Games!$A$2:$A$18,Games!$H$2:$H$18,"Missing game",0)</x:f>
        <x:v>0</x:v>
      </x:c>
      <x:c r="AN1887" t="str">
        <x:f>_xlfn.XLOOKUP($A1887,Games!$A$2:$A$18,Games!$I$2:$I$18,"Missing game",0)</x:f>
        <x:v>SEA</x:v>
      </x:c>
      <x:c r="AO1887" t="n">
        <x:f>_xlfn.XLOOKUP($A1887,Games!$A$2:$A$18,Games!$J$2:$J$18,"Missing game",0)</x:f>
        <x:v>26</x:v>
      </x:c>
      <x:c r="AP1887" t="n">
        <x:f>_xlfn.XLOOKUP($A1887,Games!$A$2:$A$18,Games!$K$2:$K$18,"Missing game",0)</x:f>
        <x:v>26</x:v>
      </x:c>
      <x:c r="AQ1887" t="n">
        <x:f>_xlfn.XLOOKUP($A1887,Games!$A$2:$A$18,Games!$L$2:$L$18,"Missing game",0)</x:f>
        <x:v>26</x:v>
      </x:c>
      <x:c r="AR1887" t="n">
        <x:f>_xlfn.XLOOKUP($A1887,Games!$A$2:$A$18,Games!$M$2:$M$18,"Missing game",0)</x:f>
        <x:v>0</x:v>
      </x:c>
      <x:c r="AS1887" t="str">
        <x:f>_xlfn.XLOOKUP($A1887,Games!$A$2:$A$18,Games!$N$2:$N$18,"Missing game",0)</x:f>
        <x:v>outdoors</x:v>
      </x:c>
      <x:c r="AT1887" t="str">
        <x:f>_xlfn.XLOOKUP($A1887,Games!$A$2:$A$18,Games!$O$2:$O$18,"Missing game",0)</x:f>
        <x:v>fieldturf</x:v>
      </x:c>
      <x:c r="AU1887" t="n">
        <x:f>_xlfn.XLOOKUP($A1887,Games!$A$2:$A$18,Games!$P$2:$P$18,"Missing game",0)</x:f>
        <x:v>45</x:v>
      </x:c>
      <x:c r="AV1887" t="n">
        <x:f>_xlfn.XLOOKUP($A1887,Games!$A$2:$A$18,Games!$Q$2:$Q$18,"Missing game",0)</x:f>
        <x:v>2</x:v>
      </x:c>
      <x:c r="AW1887" t="str">
        <x:f>_xlfn.XLOOKUP($A1887,Games!$A$2:$A$18,Games!$R$2:$R$18,"Missing game",0)</x:f>
        <x:v>Lumen Field</x:v>
      </x:c>
    </x:row>
    <x:row r="1888">
      <x:c r="A1888" t="str">
        <x:v>2025_13_MIN_SEA</x:v>
      </x:c>
      <x:c r="B1888" t="n">
        <x:v>783</x:v>
      </x:c>
      <x:c r="C1888" t="n">
        <x:v>1</x:v>
      </x:c>
      <x:c r="D1888" t="str">
        <x:v>02:24</x:v>
      </x:c>
      <x:c r="E1888" t="n">
        <x:v>2</x:v>
      </x:c>
      <x:c r="F1888" t="n">
        <x:v>10</x:v>
      </x:c>
      <x:c r="G1888" t="str">
        <x:v>MIN</x:v>
      </x:c>
      <x:c r="H1888" t="str">
        <x:v>SEA</x:v>
      </x:c>
      <x:c r="I1888" t="str">
        <x:v>MIN</x:v>
      </x:c>
      <x:c r="J1888" t="n">
        <x:v>73</x:v>
      </x:c>
      <x:c r="K1888" t="str">
        <x:v>(2:24) (Shotgun) 27-J.Mason right guard to MIN 29 for 2 yards (42-D.Thomas).</x:v>
      </x:c>
      <x:c r="L1888" t="str">
        <x:v>run</x:v>
      </x:c>
      <x:c r="M1888" t="n">
        <x:v>2</x:v>
      </x:c>
      <x:c r="N1888" t="n">
        <x:v>1</x:v>
      </x:c>
      <x:c r="O1888" t="n">
        <x:v>0</x:v>
      </x:c>
      <x:c r="P1888"/>
      <x:c r="Q1888"/>
      <x:c r="R1888"/>
      <x:c r="S1888"/>
      <x:c r="T1888" t="str">
        <x:v>right</x:v>
      </x:c>
      <x:c r="U1888" t="str">
        <x:v>guard</x:v>
      </x:c>
      <x:c r="V1888" t="n">
        <x:v>0</x:v>
      </x:c>
      <x:c r="W1888" t="n">
        <x:v>0</x:v>
      </x:c>
      <x:c r="X1888" t="n">
        <x:v>0</x:v>
      </x:c>
      <x:c r="Y1888" t="n">
        <x:v>0</x:v>
      </x:c>
      <x:c r="Z1888" t="n">
        <x:v>0</x:v>
      </x:c>
      <x:c r="AA1888" t="n">
        <x:v>0</x:v>
      </x:c>
      <x:c r="AB1888"/>
      <x:c r="AC1888" t="n">
        <x:v>0</x:v>
      </x:c>
      <x:c r="AD1888" t="n">
        <x:v>-0.5309051224030554</x:v>
      </x:c>
      <x:c r="AE1888" t="n">
        <x:v>0</x:v>
      </x:c>
      <x:c r="AF1888" t="n">
        <x:v>-0.023503899574279785</x:v>
      </x:c>
      <x:c r="AG1888" t="n">
        <x:f>_xlfn.XLOOKUP($A1888,Games!$A$2:$A$18,Games!$B$2:$B$18,"Missing game",0)</x:f>
        <x:v>2025</x:v>
      </x:c>
      <x:c r="AH1888" t="str">
        <x:f>_xlfn.XLOOKUP($A1888,Games!$A$2:$A$18,Games!$C$2:$C$18,"Missing game",0)</x:f>
        <x:v>REG</x:v>
      </x:c>
      <x:c r="AI1888" t="n">
        <x:f>_xlfn.XLOOKUP($A1888,Games!$A$2:$A$18,Games!$D$2:$D$18,"Missing game",0)</x:f>
        <x:v>13</x:v>
      </x:c>
      <x:c r="AJ1888" s="1" t="n">
        <x:f>_xlfn.XLOOKUP($A1888,Games!$A$2:$A$18,Games!$E$2:$E$18,"Missing game",0)</x:f>
        <x:v>45991</x:v>
      </x:c>
      <x:c r="AK1888" t="str">
        <x:f>_xlfn.XLOOKUP($A1888,Games!$A$2:$A$18,Games!$F$2:$F$18,"Missing game",0)</x:f>
        <x:v>Sunday</x:v>
      </x:c>
      <x:c r="AL1888" t="str">
        <x:f>_xlfn.XLOOKUP($A1888,Games!$A$2:$A$18,Games!$G$2:$G$18,"Missing game",0)</x:f>
        <x:v>MIN</x:v>
      </x:c>
      <x:c r="AM1888" t="n">
        <x:f>_xlfn.XLOOKUP($A1888,Games!$A$2:$A$18,Games!$H$2:$H$18,"Missing game",0)</x:f>
        <x:v>0</x:v>
      </x:c>
      <x:c r="AN1888" t="str">
        <x:f>_xlfn.XLOOKUP($A1888,Games!$A$2:$A$18,Games!$I$2:$I$18,"Missing game",0)</x:f>
        <x:v>SEA</x:v>
      </x:c>
      <x:c r="AO1888" t="n">
        <x:f>_xlfn.XLOOKUP($A1888,Games!$A$2:$A$18,Games!$J$2:$J$18,"Missing game",0)</x:f>
        <x:v>26</x:v>
      </x:c>
      <x:c r="AP1888" t="n">
        <x:f>_xlfn.XLOOKUP($A1888,Games!$A$2:$A$18,Games!$K$2:$K$18,"Missing game",0)</x:f>
        <x:v>26</x:v>
      </x:c>
      <x:c r="AQ1888" t="n">
        <x:f>_xlfn.XLOOKUP($A1888,Games!$A$2:$A$18,Games!$L$2:$L$18,"Missing game",0)</x:f>
        <x:v>26</x:v>
      </x:c>
      <x:c r="AR1888" t="n">
        <x:f>_xlfn.XLOOKUP($A1888,Games!$A$2:$A$18,Games!$M$2:$M$18,"Missing game",0)</x:f>
        <x:v>0</x:v>
      </x:c>
      <x:c r="AS1888" t="str">
        <x:f>_xlfn.XLOOKUP($A1888,Games!$A$2:$A$18,Games!$N$2:$N$18,"Missing game",0)</x:f>
        <x:v>outdoors</x:v>
      </x:c>
      <x:c r="AT1888" t="str">
        <x:f>_xlfn.XLOOKUP($A1888,Games!$A$2:$A$18,Games!$O$2:$O$18,"Missing game",0)</x:f>
        <x:v>fieldturf</x:v>
      </x:c>
      <x:c r="AU1888" t="n">
        <x:f>_xlfn.XLOOKUP($A1888,Games!$A$2:$A$18,Games!$P$2:$P$18,"Missing game",0)</x:f>
        <x:v>45</x:v>
      </x:c>
      <x:c r="AV1888" t="n">
        <x:f>_xlfn.XLOOKUP($A1888,Games!$A$2:$A$18,Games!$Q$2:$Q$18,"Missing game",0)</x:f>
        <x:v>2</x:v>
      </x:c>
      <x:c r="AW1888" t="str">
        <x:f>_xlfn.XLOOKUP($A1888,Games!$A$2:$A$18,Games!$R$2:$R$18,"Missing game",0)</x:f>
        <x:v>Lumen Field</x:v>
      </x:c>
    </x:row>
    <x:row r="1889">
      <x:c r="A1889" t="str">
        <x:v>2025_13_MIN_SEA</x:v>
      </x:c>
      <x:c r="B1889" t="n">
        <x:v>805</x:v>
      </x:c>
      <x:c r="C1889" t="n">
        <x:v>1</x:v>
      </x:c>
      <x:c r="D1889" t="str">
        <x:v>01:40</x:v>
      </x:c>
      <x:c r="E1889" t="n">
        <x:v>3</x:v>
      </x:c>
      <x:c r="F1889" t="n">
        <x:v>8</x:v>
      </x:c>
      <x:c r="G1889" t="str">
        <x:v>MIN</x:v>
      </x:c>
      <x:c r="H1889" t="str">
        <x:v>SEA</x:v>
      </x:c>
      <x:c r="I1889" t="str">
        <x:v>MIN</x:v>
      </x:c>
      <x:c r="J1889" t="n">
        <x:v>71</x:v>
      </x:c>
      <x:c r="K1889" t="str">
        <x:v>(1:40) (Shotgun) 12-M.Brosmer pass incomplete short left to 3-J.Addison.</x:v>
      </x:c>
      <x:c r="L1889" t="str">
        <x:v>pass</x:v>
      </x:c>
      <x:c r="M1889" t="n">
        <x:v>0</x:v>
      </x:c>
      <x:c r="N1889" t="n">
        <x:v>1</x:v>
      </x:c>
      <x:c r="O1889" t="n">
        <x:v>0</x:v>
      </x:c>
      <x:c r="P1889" t="str">
        <x:v>short</x:v>
      </x:c>
      <x:c r="Q1889" t="str">
        <x:v>left</x:v>
      </x:c>
      <x:c r="R1889" t="n">
        <x:v>15</x:v>
      </x:c>
      <x:c r="S1889"/>
      <x:c r="T1889"/>
      <x:c r="U1889"/>
      <x:c r="V1889" t="n">
        <x:v>0</x:v>
      </x:c>
      <x:c r="W1889" t="n">
        <x:v>0</x:v>
      </x:c>
      <x:c r="X1889" t="n">
        <x:v>0</x:v>
      </x:c>
      <x:c r="Y1889" t="n">
        <x:v>0</x:v>
      </x:c>
      <x:c r="Z1889" t="n">
        <x:v>0</x:v>
      </x:c>
      <x:c r="AA1889" t="n">
        <x:v>0</x:v>
      </x:c>
      <x:c r="AB1889"/>
      <x:c r="AC1889" t="n">
        <x:v>0</x:v>
      </x:c>
      <x:c r="AD1889" t="n">
        <x:v>-1.2761883758939803</x:v>
      </x:c>
      <x:c r="AE1889" t="n">
        <x:v>0</x:v>
      </x:c>
      <x:c r="AF1889" t="n">
        <x:v>-0.03687477111816406</x:v>
      </x:c>
      <x:c r="AG1889" t="n">
        <x:f>_xlfn.XLOOKUP($A1889,Games!$A$2:$A$18,Games!$B$2:$B$18,"Missing game",0)</x:f>
        <x:v>2025</x:v>
      </x:c>
      <x:c r="AH1889" t="str">
        <x:f>_xlfn.XLOOKUP($A1889,Games!$A$2:$A$18,Games!$C$2:$C$18,"Missing game",0)</x:f>
        <x:v>REG</x:v>
      </x:c>
      <x:c r="AI1889" t="n">
        <x:f>_xlfn.XLOOKUP($A1889,Games!$A$2:$A$18,Games!$D$2:$D$18,"Missing game",0)</x:f>
        <x:v>13</x:v>
      </x:c>
      <x:c r="AJ1889" s="1" t="n">
        <x:f>_xlfn.XLOOKUP($A1889,Games!$A$2:$A$18,Games!$E$2:$E$18,"Missing game",0)</x:f>
        <x:v>45991</x:v>
      </x:c>
      <x:c r="AK1889" t="str">
        <x:f>_xlfn.XLOOKUP($A1889,Games!$A$2:$A$18,Games!$F$2:$F$18,"Missing game",0)</x:f>
        <x:v>Sunday</x:v>
      </x:c>
      <x:c r="AL1889" t="str">
        <x:f>_xlfn.XLOOKUP($A1889,Games!$A$2:$A$18,Games!$G$2:$G$18,"Missing game",0)</x:f>
        <x:v>MIN</x:v>
      </x:c>
      <x:c r="AM1889" t="n">
        <x:f>_xlfn.XLOOKUP($A1889,Games!$A$2:$A$18,Games!$H$2:$H$18,"Missing game",0)</x:f>
        <x:v>0</x:v>
      </x:c>
      <x:c r="AN1889" t="str">
        <x:f>_xlfn.XLOOKUP($A1889,Games!$A$2:$A$18,Games!$I$2:$I$18,"Missing game",0)</x:f>
        <x:v>SEA</x:v>
      </x:c>
      <x:c r="AO1889" t="n">
        <x:f>_xlfn.XLOOKUP($A1889,Games!$A$2:$A$18,Games!$J$2:$J$18,"Missing game",0)</x:f>
        <x:v>26</x:v>
      </x:c>
      <x:c r="AP1889" t="n">
        <x:f>_xlfn.XLOOKUP($A1889,Games!$A$2:$A$18,Games!$K$2:$K$18,"Missing game",0)</x:f>
        <x:v>26</x:v>
      </x:c>
      <x:c r="AQ1889" t="n">
        <x:f>_xlfn.XLOOKUP($A1889,Games!$A$2:$A$18,Games!$L$2:$L$18,"Missing game",0)</x:f>
        <x:v>26</x:v>
      </x:c>
      <x:c r="AR1889" t="n">
        <x:f>_xlfn.XLOOKUP($A1889,Games!$A$2:$A$18,Games!$M$2:$M$18,"Missing game",0)</x:f>
        <x:v>0</x:v>
      </x:c>
      <x:c r="AS1889" t="str">
        <x:f>_xlfn.XLOOKUP($A1889,Games!$A$2:$A$18,Games!$N$2:$N$18,"Missing game",0)</x:f>
        <x:v>outdoors</x:v>
      </x:c>
      <x:c r="AT1889" t="str">
        <x:f>_xlfn.XLOOKUP($A1889,Games!$A$2:$A$18,Games!$O$2:$O$18,"Missing game",0)</x:f>
        <x:v>fieldturf</x:v>
      </x:c>
      <x:c r="AU1889" t="n">
        <x:f>_xlfn.XLOOKUP($A1889,Games!$A$2:$A$18,Games!$P$2:$P$18,"Missing game",0)</x:f>
        <x:v>45</x:v>
      </x:c>
      <x:c r="AV1889" t="n">
        <x:f>_xlfn.XLOOKUP($A1889,Games!$A$2:$A$18,Games!$Q$2:$Q$18,"Missing game",0)</x:f>
        <x:v>2</x:v>
      </x:c>
      <x:c r="AW1889" t="str">
        <x:f>_xlfn.XLOOKUP($A1889,Games!$A$2:$A$18,Games!$R$2:$R$18,"Missing game",0)</x:f>
        <x:v>Lumen Field</x:v>
      </x:c>
    </x:row>
    <x:row r="1890">
      <x:c r="A1890" t="str">
        <x:v>2025_13_MIN_SEA</x:v>
      </x:c>
      <x:c r="B1890" t="n">
        <x:v>828</x:v>
      </x:c>
      <x:c r="C1890" t="n">
        <x:v>1</x:v>
      </x:c>
      <x:c r="D1890" t="str">
        <x:v>01:36</x:v>
      </x:c>
      <x:c r="E1890" t="n">
        <x:v>4</x:v>
      </x:c>
      <x:c r="F1890" t="n">
        <x:v>8</x:v>
      </x:c>
      <x:c r="G1890" t="str">
        <x:v>MIN</x:v>
      </x:c>
      <x:c r="H1890" t="str">
        <x:v>SEA</x:v>
      </x:c>
      <x:c r="I1890" t="str">
        <x:v>MIN</x:v>
      </x:c>
      <x:c r="J1890" t="n">
        <x:v>71</x:v>
      </x:c>
      <x:c r="K1890" t="str">
        <x:v>(1:36) 17-R.Wright punts 55 yards to SEA 16, Center-42-A.DePaola. 22-R.Shaheed pushed ob at SEA 32 for 16 yards (56-A.Keys).</x:v>
      </x:c>
      <x:c r="L1890" t="str">
        <x:v>punt</x:v>
      </x:c>
      <x:c r="M1890" t="n">
        <x:v>0</x:v>
      </x:c>
      <x:c r="N1890" t="n">
        <x:v>0</x:v>
      </x:c>
      <x:c r="O1890" t="n">
        <x:v>0</x:v>
      </x:c>
      <x:c r="P1890"/>
      <x:c r="Q1890"/>
      <x:c r="R1890"/>
      <x:c r="S1890"/>
      <x:c r="T1890"/>
      <x:c r="U1890"/>
      <x:c r="V1890" t="n">
        <x:v>0</x:v>
      </x:c>
      <x:c r="W1890" t="n">
        <x:v>0</x:v>
      </x:c>
      <x:c r="X1890" t="n">
        <x:v>0</x:v>
      </x:c>
      <x:c r="Y1890" t="n">
        <x:v>0</x:v>
      </x:c>
      <x:c r="Z1890" t="n">
        <x:v>0</x:v>
      </x:c>
      <x:c r="AA1890" t="n">
        <x:v>0</x:v>
      </x:c>
      <x:c r="AB1890"/>
      <x:c r="AC1890" t="n">
        <x:v>0</x:v>
      </x:c>
      <x:c r="AD1890" t="n">
        <x:v>-0.49270720849744976</x:v>
      </x:c>
      <x:c r="AE1890" t="n">
        <x:v>0</x:v>
      </x:c>
      <x:c r="AF1890" t="n">
        <x:v>0.022657424211502075</x:v>
      </x:c>
      <x:c r="AG1890" t="n">
        <x:f>_xlfn.XLOOKUP($A1890,Games!$A$2:$A$18,Games!$B$2:$B$18,"Missing game",0)</x:f>
        <x:v>2025</x:v>
      </x:c>
      <x:c r="AH1890" t="str">
        <x:f>_xlfn.XLOOKUP($A1890,Games!$A$2:$A$18,Games!$C$2:$C$18,"Missing game",0)</x:f>
        <x:v>REG</x:v>
      </x:c>
      <x:c r="AI1890" t="n">
        <x:f>_xlfn.XLOOKUP($A1890,Games!$A$2:$A$18,Games!$D$2:$D$18,"Missing game",0)</x:f>
        <x:v>13</x:v>
      </x:c>
      <x:c r="AJ1890" s="1" t="n">
        <x:f>_xlfn.XLOOKUP($A1890,Games!$A$2:$A$18,Games!$E$2:$E$18,"Missing game",0)</x:f>
        <x:v>45991</x:v>
      </x:c>
      <x:c r="AK1890" t="str">
        <x:f>_xlfn.XLOOKUP($A1890,Games!$A$2:$A$18,Games!$F$2:$F$18,"Missing game",0)</x:f>
        <x:v>Sunday</x:v>
      </x:c>
      <x:c r="AL1890" t="str">
        <x:f>_xlfn.XLOOKUP($A1890,Games!$A$2:$A$18,Games!$G$2:$G$18,"Missing game",0)</x:f>
        <x:v>MIN</x:v>
      </x:c>
      <x:c r="AM1890" t="n">
        <x:f>_xlfn.XLOOKUP($A1890,Games!$A$2:$A$18,Games!$H$2:$H$18,"Missing game",0)</x:f>
        <x:v>0</x:v>
      </x:c>
      <x:c r="AN1890" t="str">
        <x:f>_xlfn.XLOOKUP($A1890,Games!$A$2:$A$18,Games!$I$2:$I$18,"Missing game",0)</x:f>
        <x:v>SEA</x:v>
      </x:c>
      <x:c r="AO1890" t="n">
        <x:f>_xlfn.XLOOKUP($A1890,Games!$A$2:$A$18,Games!$J$2:$J$18,"Missing game",0)</x:f>
        <x:v>26</x:v>
      </x:c>
      <x:c r="AP1890" t="n">
        <x:f>_xlfn.XLOOKUP($A1890,Games!$A$2:$A$18,Games!$K$2:$K$18,"Missing game",0)</x:f>
        <x:v>26</x:v>
      </x:c>
      <x:c r="AQ1890" t="n">
        <x:f>_xlfn.XLOOKUP($A1890,Games!$A$2:$A$18,Games!$L$2:$L$18,"Missing game",0)</x:f>
        <x:v>26</x:v>
      </x:c>
      <x:c r="AR1890" t="n">
        <x:f>_xlfn.XLOOKUP($A1890,Games!$A$2:$A$18,Games!$M$2:$M$18,"Missing game",0)</x:f>
        <x:v>0</x:v>
      </x:c>
      <x:c r="AS1890" t="str">
        <x:f>_xlfn.XLOOKUP($A1890,Games!$A$2:$A$18,Games!$N$2:$N$18,"Missing game",0)</x:f>
        <x:v>outdoors</x:v>
      </x:c>
      <x:c r="AT1890" t="str">
        <x:f>_xlfn.XLOOKUP($A1890,Games!$A$2:$A$18,Games!$O$2:$O$18,"Missing game",0)</x:f>
        <x:v>fieldturf</x:v>
      </x:c>
      <x:c r="AU1890" t="n">
        <x:f>_xlfn.XLOOKUP($A1890,Games!$A$2:$A$18,Games!$P$2:$P$18,"Missing game",0)</x:f>
        <x:v>45</x:v>
      </x:c>
      <x:c r="AV1890" t="n">
        <x:f>_xlfn.XLOOKUP($A1890,Games!$A$2:$A$18,Games!$Q$2:$Q$18,"Missing game",0)</x:f>
        <x:v>2</x:v>
      </x:c>
      <x:c r="AW1890" t="str">
        <x:f>_xlfn.XLOOKUP($A1890,Games!$A$2:$A$18,Games!$R$2:$R$18,"Missing game",0)</x:f>
        <x:v>Lumen Field</x:v>
      </x:c>
    </x:row>
    <x:row r="1891">
      <x:c r="A1891" t="str">
        <x:v>2025_13_MIN_SEA</x:v>
      </x:c>
      <x:c r="B1891" t="n">
        <x:v>859</x:v>
      </x:c>
      <x:c r="C1891" t="n">
        <x:v>1</x:v>
      </x:c>
      <x:c r="D1891" t="str">
        <x:v>01:26</x:v>
      </x:c>
      <x:c r="E1891" t="n">
        <x:v>1</x:v>
      </x:c>
      <x:c r="F1891" t="n">
        <x:v>10</x:v>
      </x:c>
      <x:c r="G1891" t="str">
        <x:v>SEA</x:v>
      </x:c>
      <x:c r="H1891" t="str">
        <x:v>MIN</x:v>
      </x:c>
      <x:c r="I1891" t="str">
        <x:v>SEA</x:v>
      </x:c>
      <x:c r="J1891" t="n">
        <x:v>68</x:v>
      </x:c>
      <x:c r="K1891" t="str">
        <x:v>(1:26) 14-S.Darnold pass incomplete deep right to 18-E.Arroyo (44-J.Metellus).</x:v>
      </x:c>
      <x:c r="L1891" t="str">
        <x:v>pass</x:v>
      </x:c>
      <x:c r="M1891" t="n">
        <x:v>0</x:v>
      </x:c>
      <x:c r="N1891" t="n">
        <x:v>0</x:v>
      </x:c>
      <x:c r="O1891" t="n">
        <x:v>0</x:v>
      </x:c>
      <x:c r="P1891" t="str">
        <x:v>deep</x:v>
      </x:c>
      <x:c r="Q1891" t="str">
        <x:v>right</x:v>
      </x:c>
      <x:c r="R1891" t="n">
        <x:v>31</x:v>
      </x:c>
      <x:c r="S1891"/>
      <x:c r="T1891"/>
      <x:c r="U1891"/>
      <x:c r="V1891" t="n">
        <x:v>0</x:v>
      </x:c>
      <x:c r="W1891" t="n">
        <x:v>0</x:v>
      </x:c>
      <x:c r="X1891" t="n">
        <x:v>0</x:v>
      </x:c>
      <x:c r="Y1891" t="n">
        <x:v>0</x:v>
      </x:c>
      <x:c r="Z1891" t="n">
        <x:v>0</x:v>
      </x:c>
      <x:c r="AA1891" t="n">
        <x:v>0</x:v>
      </x:c>
      <x:c r="AB1891"/>
      <x:c r="AC1891" t="n">
        <x:v>0</x:v>
      </x:c>
      <x:c r="AD1891" t="n">
        <x:v>-0.5341464222874492</x:v>
      </x:c>
      <x:c r="AE1891" t="n">
        <x:v>0</x:v>
      </x:c>
      <x:c r="AF1891" t="n">
        <x:v>-0.014964759349822998</x:v>
      </x:c>
      <x:c r="AG1891" t="n">
        <x:f>_xlfn.XLOOKUP($A1891,Games!$A$2:$A$18,Games!$B$2:$B$18,"Missing game",0)</x:f>
        <x:v>2025</x:v>
      </x:c>
      <x:c r="AH1891" t="str">
        <x:f>_xlfn.XLOOKUP($A1891,Games!$A$2:$A$18,Games!$C$2:$C$18,"Missing game",0)</x:f>
        <x:v>REG</x:v>
      </x:c>
      <x:c r="AI1891" t="n">
        <x:f>_xlfn.XLOOKUP($A1891,Games!$A$2:$A$18,Games!$D$2:$D$18,"Missing game",0)</x:f>
        <x:v>13</x:v>
      </x:c>
      <x:c r="AJ1891" s="1" t="n">
        <x:f>_xlfn.XLOOKUP($A1891,Games!$A$2:$A$18,Games!$E$2:$E$18,"Missing game",0)</x:f>
        <x:v>45991</x:v>
      </x:c>
      <x:c r="AK1891" t="str">
        <x:f>_xlfn.XLOOKUP($A1891,Games!$A$2:$A$18,Games!$F$2:$F$18,"Missing game",0)</x:f>
        <x:v>Sunday</x:v>
      </x:c>
      <x:c r="AL1891" t="str">
        <x:f>_xlfn.XLOOKUP($A1891,Games!$A$2:$A$18,Games!$G$2:$G$18,"Missing game",0)</x:f>
        <x:v>MIN</x:v>
      </x:c>
      <x:c r="AM1891" t="n">
        <x:f>_xlfn.XLOOKUP($A1891,Games!$A$2:$A$18,Games!$H$2:$H$18,"Missing game",0)</x:f>
        <x:v>0</x:v>
      </x:c>
      <x:c r="AN1891" t="str">
        <x:f>_xlfn.XLOOKUP($A1891,Games!$A$2:$A$18,Games!$I$2:$I$18,"Missing game",0)</x:f>
        <x:v>SEA</x:v>
      </x:c>
      <x:c r="AO1891" t="n">
        <x:f>_xlfn.XLOOKUP($A1891,Games!$A$2:$A$18,Games!$J$2:$J$18,"Missing game",0)</x:f>
        <x:v>26</x:v>
      </x:c>
      <x:c r="AP1891" t="n">
        <x:f>_xlfn.XLOOKUP($A1891,Games!$A$2:$A$18,Games!$K$2:$K$18,"Missing game",0)</x:f>
        <x:v>26</x:v>
      </x:c>
      <x:c r="AQ1891" t="n">
        <x:f>_xlfn.XLOOKUP($A1891,Games!$A$2:$A$18,Games!$L$2:$L$18,"Missing game",0)</x:f>
        <x:v>26</x:v>
      </x:c>
      <x:c r="AR1891" t="n">
        <x:f>_xlfn.XLOOKUP($A1891,Games!$A$2:$A$18,Games!$M$2:$M$18,"Missing game",0)</x:f>
        <x:v>0</x:v>
      </x:c>
      <x:c r="AS1891" t="str">
        <x:f>_xlfn.XLOOKUP($A1891,Games!$A$2:$A$18,Games!$N$2:$N$18,"Missing game",0)</x:f>
        <x:v>outdoors</x:v>
      </x:c>
      <x:c r="AT1891" t="str">
        <x:f>_xlfn.XLOOKUP($A1891,Games!$A$2:$A$18,Games!$O$2:$O$18,"Missing game",0)</x:f>
        <x:v>fieldturf</x:v>
      </x:c>
      <x:c r="AU1891" t="n">
        <x:f>_xlfn.XLOOKUP($A1891,Games!$A$2:$A$18,Games!$P$2:$P$18,"Missing game",0)</x:f>
        <x:v>45</x:v>
      </x:c>
      <x:c r="AV1891" t="n">
        <x:f>_xlfn.XLOOKUP($A1891,Games!$A$2:$A$18,Games!$Q$2:$Q$18,"Missing game",0)</x:f>
        <x:v>2</x:v>
      </x:c>
      <x:c r="AW1891" t="str">
        <x:f>_xlfn.XLOOKUP($A1891,Games!$A$2:$A$18,Games!$R$2:$R$18,"Missing game",0)</x:f>
        <x:v>Lumen Field</x:v>
      </x:c>
    </x:row>
    <x:row r="1892">
      <x:c r="A1892" t="str">
        <x:v>2025_13_MIN_SEA</x:v>
      </x:c>
      <x:c r="B1892" t="n">
        <x:v>882</x:v>
      </x:c>
      <x:c r="C1892" t="n">
        <x:v>1</x:v>
      </x:c>
      <x:c r="D1892" t="str">
        <x:v>01:18</x:v>
      </x:c>
      <x:c r="E1892" t="n">
        <x:v>2</x:v>
      </x:c>
      <x:c r="F1892" t="n">
        <x:v>10</x:v>
      </x:c>
      <x:c r="G1892" t="str">
        <x:v>SEA</x:v>
      </x:c>
      <x:c r="H1892" t="str">
        <x:v>MIN</x:v>
      </x:c>
      <x:c r="I1892" t="str">
        <x:v>SEA</x:v>
      </x:c>
      <x:c r="J1892" t="n">
        <x:v>68</x:v>
      </x:c>
      <x:c r="K1892" t="str">
        <x:v>(1:18) (Shotgun) 9-K.Walker left guard to SEA 36 for 4 yards (58-J.Greenard; 51-B.Cashman).</x:v>
      </x:c>
      <x:c r="L1892" t="str">
        <x:v>run</x:v>
      </x:c>
      <x:c r="M1892" t="n">
        <x:v>4</x:v>
      </x:c>
      <x:c r="N1892" t="n">
        <x:v>1</x:v>
      </x:c>
      <x:c r="O1892" t="n">
        <x:v>0</x:v>
      </x:c>
      <x:c r="P1892"/>
      <x:c r="Q1892"/>
      <x:c r="R1892"/>
      <x:c r="S1892"/>
      <x:c r="T1892" t="str">
        <x:v>left</x:v>
      </x:c>
      <x:c r="U1892" t="str">
        <x:v>guard</x:v>
      </x:c>
      <x:c r="V1892" t="n">
        <x:v>0</x:v>
      </x:c>
      <x:c r="W1892" t="n">
        <x:v>0</x:v>
      </x:c>
      <x:c r="X1892" t="n">
        <x:v>0</x:v>
      </x:c>
      <x:c r="Y1892" t="n">
        <x:v>0</x:v>
      </x:c>
      <x:c r="Z1892" t="n">
        <x:v>0</x:v>
      </x:c>
      <x:c r="AA1892" t="n">
        <x:v>0</x:v>
      </x:c>
      <x:c r="AB1892"/>
      <x:c r="AC1892" t="n">
        <x:v>0</x:v>
      </x:c>
      <x:c r="AD1892" t="n">
        <x:v>-0.49044416984543204</x:v>
      </x:c>
      <x:c r="AE1892" t="n">
        <x:v>0</x:v>
      </x:c>
      <x:c r="AF1892" t="n">
        <x:v>-0.006774783134460449</x:v>
      </x:c>
      <x:c r="AG1892" t="n">
        <x:f>_xlfn.XLOOKUP($A1892,Games!$A$2:$A$18,Games!$B$2:$B$18,"Missing game",0)</x:f>
        <x:v>2025</x:v>
      </x:c>
      <x:c r="AH1892" t="str">
        <x:f>_xlfn.XLOOKUP($A1892,Games!$A$2:$A$18,Games!$C$2:$C$18,"Missing game",0)</x:f>
        <x:v>REG</x:v>
      </x:c>
      <x:c r="AI1892" t="n">
        <x:f>_xlfn.XLOOKUP($A1892,Games!$A$2:$A$18,Games!$D$2:$D$18,"Missing game",0)</x:f>
        <x:v>13</x:v>
      </x:c>
      <x:c r="AJ1892" s="1" t="n">
        <x:f>_xlfn.XLOOKUP($A1892,Games!$A$2:$A$18,Games!$E$2:$E$18,"Missing game",0)</x:f>
        <x:v>45991</x:v>
      </x:c>
      <x:c r="AK1892" t="str">
        <x:f>_xlfn.XLOOKUP($A1892,Games!$A$2:$A$18,Games!$F$2:$F$18,"Missing game",0)</x:f>
        <x:v>Sunday</x:v>
      </x:c>
      <x:c r="AL1892" t="str">
        <x:f>_xlfn.XLOOKUP($A1892,Games!$A$2:$A$18,Games!$G$2:$G$18,"Missing game",0)</x:f>
        <x:v>MIN</x:v>
      </x:c>
      <x:c r="AM1892" t="n">
        <x:f>_xlfn.XLOOKUP($A1892,Games!$A$2:$A$18,Games!$H$2:$H$18,"Missing game",0)</x:f>
        <x:v>0</x:v>
      </x:c>
      <x:c r="AN1892" t="str">
        <x:f>_xlfn.XLOOKUP($A1892,Games!$A$2:$A$18,Games!$I$2:$I$18,"Missing game",0)</x:f>
        <x:v>SEA</x:v>
      </x:c>
      <x:c r="AO1892" t="n">
        <x:f>_xlfn.XLOOKUP($A1892,Games!$A$2:$A$18,Games!$J$2:$J$18,"Missing game",0)</x:f>
        <x:v>26</x:v>
      </x:c>
      <x:c r="AP1892" t="n">
        <x:f>_xlfn.XLOOKUP($A1892,Games!$A$2:$A$18,Games!$K$2:$K$18,"Missing game",0)</x:f>
        <x:v>26</x:v>
      </x:c>
      <x:c r="AQ1892" t="n">
        <x:f>_xlfn.XLOOKUP($A1892,Games!$A$2:$A$18,Games!$L$2:$L$18,"Missing game",0)</x:f>
        <x:v>26</x:v>
      </x:c>
      <x:c r="AR1892" t="n">
        <x:f>_xlfn.XLOOKUP($A1892,Games!$A$2:$A$18,Games!$M$2:$M$18,"Missing game",0)</x:f>
        <x:v>0</x:v>
      </x:c>
      <x:c r="AS1892" t="str">
        <x:f>_xlfn.XLOOKUP($A1892,Games!$A$2:$A$18,Games!$N$2:$N$18,"Missing game",0)</x:f>
        <x:v>outdoors</x:v>
      </x:c>
      <x:c r="AT1892" t="str">
        <x:f>_xlfn.XLOOKUP($A1892,Games!$A$2:$A$18,Games!$O$2:$O$18,"Missing game",0)</x:f>
        <x:v>fieldturf</x:v>
      </x:c>
      <x:c r="AU1892" t="n">
        <x:f>_xlfn.XLOOKUP($A1892,Games!$A$2:$A$18,Games!$P$2:$P$18,"Missing game",0)</x:f>
        <x:v>45</x:v>
      </x:c>
      <x:c r="AV1892" t="n">
        <x:f>_xlfn.XLOOKUP($A1892,Games!$A$2:$A$18,Games!$Q$2:$Q$18,"Missing game",0)</x:f>
        <x:v>2</x:v>
      </x:c>
      <x:c r="AW1892" t="str">
        <x:f>_xlfn.XLOOKUP($A1892,Games!$A$2:$A$18,Games!$R$2:$R$18,"Missing game",0)</x:f>
        <x:v>Lumen Field</x:v>
      </x:c>
    </x:row>
    <x:row r="1893">
      <x:c r="A1893" t="str">
        <x:v>2025_13_MIN_SEA</x:v>
      </x:c>
      <x:c r="B1893" t="n">
        <x:v>904</x:v>
      </x:c>
      <x:c r="C1893" t="n">
        <x:v>1</x:v>
      </x:c>
      <x:c r="D1893" t="str">
        <x:v>00:37</x:v>
      </x:c>
      <x:c r="E1893" t="n">
        <x:v>3</x:v>
      </x:c>
      <x:c r="F1893" t="n">
        <x:v>6</x:v>
      </x:c>
      <x:c r="G1893" t="str">
        <x:v>SEA</x:v>
      </x:c>
      <x:c r="H1893" t="str">
        <x:v>MIN</x:v>
      </x:c>
      <x:c r="I1893" t="str">
        <x:v>SEA</x:v>
      </x:c>
      <x:c r="J1893" t="n">
        <x:v>64</x:v>
      </x:c>
      <x:c r="K1893" t="str">
        <x:v>(:37) (Shotgun) 14-S.Darnold pass short middle to 88-A.Barner to SEA 47 for 11 yards (55-E.Wilson).</x:v>
      </x:c>
      <x:c r="L1893" t="str">
        <x:v>pass</x:v>
      </x:c>
      <x:c r="M1893" t="n">
        <x:v>11</x:v>
      </x:c>
      <x:c r="N1893" t="n">
        <x:v>1</x:v>
      </x:c>
      <x:c r="O1893" t="n">
        <x:v>0</x:v>
      </x:c>
      <x:c r="P1893" t="str">
        <x:v>short</x:v>
      </x:c>
      <x:c r="Q1893" t="str">
        <x:v>middle</x:v>
      </x:c>
      <x:c r="R1893" t="n">
        <x:v>11</x:v>
      </x:c>
      <x:c r="S1893" t="n">
        <x:v>0</x:v>
      </x:c>
      <x:c r="T1893"/>
      <x:c r="U1893"/>
      <x:c r="V1893" t="n">
        <x:v>1</x:v>
      </x:c>
      <x:c r="W1893" t="n">
        <x:v>1</x:v>
      </x:c>
      <x:c r="X1893" t="n">
        <x:v>0</x:v>
      </x:c>
      <x:c r="Y1893" t="n">
        <x:v>0</x:v>
      </x:c>
      <x:c r="Z1893" t="n">
        <x:v>0</x:v>
      </x:c>
      <x:c r="AA1893" t="n">
        <x:v>0</x:v>
      </x:c>
      <x:c r="AB1893"/>
      <x:c r="AC1893" t="n">
        <x:v>0</x:v>
      </x:c>
      <x:c r="AD1893" t="n">
        <x:v>1.826498477254063</x:v>
      </x:c>
      <x:c r="AE1893" t="n">
        <x:v>1</x:v>
      </x:c>
      <x:c r="AF1893" t="n">
        <x:v>0.042193710803985596</x:v>
      </x:c>
      <x:c r="AG1893" t="n">
        <x:f>_xlfn.XLOOKUP($A1893,Games!$A$2:$A$18,Games!$B$2:$B$18,"Missing game",0)</x:f>
        <x:v>2025</x:v>
      </x:c>
      <x:c r="AH1893" t="str">
        <x:f>_xlfn.XLOOKUP($A1893,Games!$A$2:$A$18,Games!$C$2:$C$18,"Missing game",0)</x:f>
        <x:v>REG</x:v>
      </x:c>
      <x:c r="AI1893" t="n">
        <x:f>_xlfn.XLOOKUP($A1893,Games!$A$2:$A$18,Games!$D$2:$D$18,"Missing game",0)</x:f>
        <x:v>13</x:v>
      </x:c>
      <x:c r="AJ1893" s="1" t="n">
        <x:f>_xlfn.XLOOKUP($A1893,Games!$A$2:$A$18,Games!$E$2:$E$18,"Missing game",0)</x:f>
        <x:v>45991</x:v>
      </x:c>
      <x:c r="AK1893" t="str">
        <x:f>_xlfn.XLOOKUP($A1893,Games!$A$2:$A$18,Games!$F$2:$F$18,"Missing game",0)</x:f>
        <x:v>Sunday</x:v>
      </x:c>
      <x:c r="AL1893" t="str">
        <x:f>_xlfn.XLOOKUP($A1893,Games!$A$2:$A$18,Games!$G$2:$G$18,"Missing game",0)</x:f>
        <x:v>MIN</x:v>
      </x:c>
      <x:c r="AM1893" t="n">
        <x:f>_xlfn.XLOOKUP($A1893,Games!$A$2:$A$18,Games!$H$2:$H$18,"Missing game",0)</x:f>
        <x:v>0</x:v>
      </x:c>
      <x:c r="AN1893" t="str">
        <x:f>_xlfn.XLOOKUP($A1893,Games!$A$2:$A$18,Games!$I$2:$I$18,"Missing game",0)</x:f>
        <x:v>SEA</x:v>
      </x:c>
      <x:c r="AO1893" t="n">
        <x:f>_xlfn.XLOOKUP($A1893,Games!$A$2:$A$18,Games!$J$2:$J$18,"Missing game",0)</x:f>
        <x:v>26</x:v>
      </x:c>
      <x:c r="AP1893" t="n">
        <x:f>_xlfn.XLOOKUP($A1893,Games!$A$2:$A$18,Games!$K$2:$K$18,"Missing game",0)</x:f>
        <x:v>26</x:v>
      </x:c>
      <x:c r="AQ1893" t="n">
        <x:f>_xlfn.XLOOKUP($A1893,Games!$A$2:$A$18,Games!$L$2:$L$18,"Missing game",0)</x:f>
        <x:v>26</x:v>
      </x:c>
      <x:c r="AR1893" t="n">
        <x:f>_xlfn.XLOOKUP($A1893,Games!$A$2:$A$18,Games!$M$2:$M$18,"Missing game",0)</x:f>
        <x:v>0</x:v>
      </x:c>
      <x:c r="AS1893" t="str">
        <x:f>_xlfn.XLOOKUP($A1893,Games!$A$2:$A$18,Games!$N$2:$N$18,"Missing game",0)</x:f>
        <x:v>outdoors</x:v>
      </x:c>
      <x:c r="AT1893" t="str">
        <x:f>_xlfn.XLOOKUP($A1893,Games!$A$2:$A$18,Games!$O$2:$O$18,"Missing game",0)</x:f>
        <x:v>fieldturf</x:v>
      </x:c>
      <x:c r="AU1893" t="n">
        <x:f>_xlfn.XLOOKUP($A1893,Games!$A$2:$A$18,Games!$P$2:$P$18,"Missing game",0)</x:f>
        <x:v>45</x:v>
      </x:c>
      <x:c r="AV1893" t="n">
        <x:f>_xlfn.XLOOKUP($A1893,Games!$A$2:$A$18,Games!$Q$2:$Q$18,"Missing game",0)</x:f>
        <x:v>2</x:v>
      </x:c>
      <x:c r="AW1893" t="str">
        <x:f>_xlfn.XLOOKUP($A1893,Games!$A$2:$A$18,Games!$R$2:$R$18,"Missing game",0)</x:f>
        <x:v>Lumen Field</x:v>
      </x:c>
    </x:row>
    <x:row r="1894">
      <x:c r="A1894" t="str">
        <x:v>2025_13_MIN_SEA</x:v>
      </x:c>
      <x:c r="B1894" t="n">
        <x:v>929</x:v>
      </x:c>
      <x:c r="C1894" t="n">
        <x:v>1</x:v>
      </x:c>
      <x:c r="D1894" t="str">
        <x:v>00:00</x:v>
      </x:c>
      <x:c r="E1894"/>
      <x:c r="F1894" t="n">
        <x:v>0</x:v>
      </x:c>
      <x:c r="G1894" t="str">
        <x:v>SEA</x:v>
      </x:c>
      <x:c r="H1894" t="str">
        <x:v>MIN</x:v>
      </x:c>
      <x:c r="I1894"/>
      <x:c r="J1894"/>
      <x:c r="K1894" t="str">
        <x:v>END QUARTER 1</x:v>
      </x:c>
      <x:c r="L1894"/>
      <x:c r="M1894"/>
      <x:c r="N1894" t="n">
        <x:v>0</x:v>
      </x:c>
      <x:c r="O1894" t="n">
        <x:v>0</x:v>
      </x:c>
      <x:c r="P1894"/>
      <x:c r="Q1894"/>
      <x:c r="R1894"/>
      <x:c r="S1894"/>
      <x:c r="T1894"/>
      <x:c r="U1894"/>
      <x:c r="V1894"/>
      <x:c r="W1894"/>
      <x:c r="X1894"/>
      <x:c r="Y1894"/>
      <x:c r="Z1894"/>
      <x:c r="AA1894"/>
      <x:c r="AB1894"/>
      <x:c r="AC1894"/>
      <x:c r="AD1894" t="n">
        <x:v>0</x:v>
      </x:c>
      <x:c r="AE1894" t="n">
        <x:v>0</x:v>
      </x:c>
      <x:c r="AF1894" t="n">
        <x:v>0</x:v>
      </x:c>
      <x:c r="AG1894" t="n">
        <x:f>_xlfn.XLOOKUP($A1894,Games!$A$2:$A$18,Games!$B$2:$B$18,"Missing game",0)</x:f>
        <x:v>2025</x:v>
      </x:c>
      <x:c r="AH1894" t="str">
        <x:f>_xlfn.XLOOKUP($A1894,Games!$A$2:$A$18,Games!$C$2:$C$18,"Missing game",0)</x:f>
        <x:v>REG</x:v>
      </x:c>
      <x:c r="AI1894" t="n">
        <x:f>_xlfn.XLOOKUP($A1894,Games!$A$2:$A$18,Games!$D$2:$D$18,"Missing game",0)</x:f>
        <x:v>13</x:v>
      </x:c>
      <x:c r="AJ1894" s="1" t="n">
        <x:f>_xlfn.XLOOKUP($A1894,Games!$A$2:$A$18,Games!$E$2:$E$18,"Missing game",0)</x:f>
        <x:v>45991</x:v>
      </x:c>
      <x:c r="AK1894" t="str">
        <x:f>_xlfn.XLOOKUP($A1894,Games!$A$2:$A$18,Games!$F$2:$F$18,"Missing game",0)</x:f>
        <x:v>Sunday</x:v>
      </x:c>
      <x:c r="AL1894" t="str">
        <x:f>_xlfn.XLOOKUP($A1894,Games!$A$2:$A$18,Games!$G$2:$G$18,"Missing game",0)</x:f>
        <x:v>MIN</x:v>
      </x:c>
      <x:c r="AM1894" t="n">
        <x:f>_xlfn.XLOOKUP($A1894,Games!$A$2:$A$18,Games!$H$2:$H$18,"Missing game",0)</x:f>
        <x:v>0</x:v>
      </x:c>
      <x:c r="AN1894" t="str">
        <x:f>_xlfn.XLOOKUP($A1894,Games!$A$2:$A$18,Games!$I$2:$I$18,"Missing game",0)</x:f>
        <x:v>SEA</x:v>
      </x:c>
      <x:c r="AO1894" t="n">
        <x:f>_xlfn.XLOOKUP($A1894,Games!$A$2:$A$18,Games!$J$2:$J$18,"Missing game",0)</x:f>
        <x:v>26</x:v>
      </x:c>
      <x:c r="AP1894" t="n">
        <x:f>_xlfn.XLOOKUP($A1894,Games!$A$2:$A$18,Games!$K$2:$K$18,"Missing game",0)</x:f>
        <x:v>26</x:v>
      </x:c>
      <x:c r="AQ1894" t="n">
        <x:f>_xlfn.XLOOKUP($A1894,Games!$A$2:$A$18,Games!$L$2:$L$18,"Missing game",0)</x:f>
        <x:v>26</x:v>
      </x:c>
      <x:c r="AR1894" t="n">
        <x:f>_xlfn.XLOOKUP($A1894,Games!$A$2:$A$18,Games!$M$2:$M$18,"Missing game",0)</x:f>
        <x:v>0</x:v>
      </x:c>
      <x:c r="AS1894" t="str">
        <x:f>_xlfn.XLOOKUP($A1894,Games!$A$2:$A$18,Games!$N$2:$N$18,"Missing game",0)</x:f>
        <x:v>outdoors</x:v>
      </x:c>
      <x:c r="AT1894" t="str">
        <x:f>_xlfn.XLOOKUP($A1894,Games!$A$2:$A$18,Games!$O$2:$O$18,"Missing game",0)</x:f>
        <x:v>fieldturf</x:v>
      </x:c>
      <x:c r="AU1894" t="n">
        <x:f>_xlfn.XLOOKUP($A1894,Games!$A$2:$A$18,Games!$P$2:$P$18,"Missing game",0)</x:f>
        <x:v>45</x:v>
      </x:c>
      <x:c r="AV1894" t="n">
        <x:f>_xlfn.XLOOKUP($A1894,Games!$A$2:$A$18,Games!$Q$2:$Q$18,"Missing game",0)</x:f>
        <x:v>2</x:v>
      </x:c>
      <x:c r="AW1894" t="str">
        <x:f>_xlfn.XLOOKUP($A1894,Games!$A$2:$A$18,Games!$R$2:$R$18,"Missing game",0)</x:f>
        <x:v>Lumen Field</x:v>
      </x:c>
    </x:row>
    <x:row r="1895">
      <x:c r="A1895" t="str">
        <x:v>2025_13_MIN_SEA</x:v>
      </x:c>
      <x:c r="B1895" t="n">
        <x:v>949</x:v>
      </x:c>
      <x:c r="C1895" t="n">
        <x:v>2</x:v>
      </x:c>
      <x:c r="D1895" t="str">
        <x:v>15:00</x:v>
      </x:c>
      <x:c r="E1895" t="n">
        <x:v>1</x:v>
      </x:c>
      <x:c r="F1895" t="n">
        <x:v>10</x:v>
      </x:c>
      <x:c r="G1895" t="str">
        <x:v>SEA</x:v>
      </x:c>
      <x:c r="H1895" t="str">
        <x:v>MIN</x:v>
      </x:c>
      <x:c r="I1895" t="str">
        <x:v>SEA</x:v>
      </x:c>
      <x:c r="J1895" t="n">
        <x:v>53</x:v>
      </x:c>
      <x:c r="K1895" t="str">
        <x:v>(15:00) (Shotgun) 14-S.Darnold pass short middle to 10-C.Kupp to MIN 47 for 6 yards (22-H.Smith; 51-B.Cashman).</x:v>
      </x:c>
      <x:c r="L1895" t="str">
        <x:v>pass</x:v>
      </x:c>
      <x:c r="M1895" t="n">
        <x:v>6</x:v>
      </x:c>
      <x:c r="N1895" t="n">
        <x:v>1</x:v>
      </x:c>
      <x:c r="O1895" t="n">
        <x:v>0</x:v>
      </x:c>
      <x:c r="P1895" t="str">
        <x:v>short</x:v>
      </x:c>
      <x:c r="Q1895" t="str">
        <x:v>middle</x:v>
      </x:c>
      <x:c r="R1895" t="n">
        <x:v>4</x:v>
      </x:c>
      <x:c r="S1895" t="n">
        <x:v>2</x:v>
      </x:c>
      <x:c r="T1895"/>
      <x:c r="U1895"/>
      <x:c r="V1895" t="n">
        <x:v>1</x:v>
      </x:c>
      <x:c r="W1895" t="n">
        <x:v>0</x:v>
      </x:c>
      <x:c r="X1895" t="n">
        <x:v>0</x:v>
      </x:c>
      <x:c r="Y1895" t="n">
        <x:v>0</x:v>
      </x:c>
      <x:c r="Z1895" t="n">
        <x:v>0</x:v>
      </x:c>
      <x:c r="AA1895" t="n">
        <x:v>0</x:v>
      </x:c>
      <x:c r="AB1895"/>
      <x:c r="AC1895" t="n">
        <x:v>0</x:v>
      </x:c>
      <x:c r="AD1895" t="n">
        <x:v>0.13470878428779542</x:v>
      </x:c>
      <x:c r="AE1895" t="n">
        <x:v>1</x:v>
      </x:c>
      <x:c r="AF1895" t="n">
        <x:v>-0.002915024757385254</x:v>
      </x:c>
      <x:c r="AG1895" t="n">
        <x:f>_xlfn.XLOOKUP($A1895,Games!$A$2:$A$18,Games!$B$2:$B$18,"Missing game",0)</x:f>
        <x:v>2025</x:v>
      </x:c>
      <x:c r="AH1895" t="str">
        <x:f>_xlfn.XLOOKUP($A1895,Games!$A$2:$A$18,Games!$C$2:$C$18,"Missing game",0)</x:f>
        <x:v>REG</x:v>
      </x:c>
      <x:c r="AI1895" t="n">
        <x:f>_xlfn.XLOOKUP($A1895,Games!$A$2:$A$18,Games!$D$2:$D$18,"Missing game",0)</x:f>
        <x:v>13</x:v>
      </x:c>
      <x:c r="AJ1895" s="1" t="n">
        <x:f>_xlfn.XLOOKUP($A1895,Games!$A$2:$A$18,Games!$E$2:$E$18,"Missing game",0)</x:f>
        <x:v>45991</x:v>
      </x:c>
      <x:c r="AK1895" t="str">
        <x:f>_xlfn.XLOOKUP($A1895,Games!$A$2:$A$18,Games!$F$2:$F$18,"Missing game",0)</x:f>
        <x:v>Sunday</x:v>
      </x:c>
      <x:c r="AL1895" t="str">
        <x:f>_xlfn.XLOOKUP($A1895,Games!$A$2:$A$18,Games!$G$2:$G$18,"Missing game",0)</x:f>
        <x:v>MIN</x:v>
      </x:c>
      <x:c r="AM1895" t="n">
        <x:f>_xlfn.XLOOKUP($A1895,Games!$A$2:$A$18,Games!$H$2:$H$18,"Missing game",0)</x:f>
        <x:v>0</x:v>
      </x:c>
      <x:c r="AN1895" t="str">
        <x:f>_xlfn.XLOOKUP($A1895,Games!$A$2:$A$18,Games!$I$2:$I$18,"Missing game",0)</x:f>
        <x:v>SEA</x:v>
      </x:c>
      <x:c r="AO1895" t="n">
        <x:f>_xlfn.XLOOKUP($A1895,Games!$A$2:$A$18,Games!$J$2:$J$18,"Missing game",0)</x:f>
        <x:v>26</x:v>
      </x:c>
      <x:c r="AP1895" t="n">
        <x:f>_xlfn.XLOOKUP($A1895,Games!$A$2:$A$18,Games!$K$2:$K$18,"Missing game",0)</x:f>
        <x:v>26</x:v>
      </x:c>
      <x:c r="AQ1895" t="n">
        <x:f>_xlfn.XLOOKUP($A1895,Games!$A$2:$A$18,Games!$L$2:$L$18,"Missing game",0)</x:f>
        <x:v>26</x:v>
      </x:c>
      <x:c r="AR1895" t="n">
        <x:f>_xlfn.XLOOKUP($A1895,Games!$A$2:$A$18,Games!$M$2:$M$18,"Missing game",0)</x:f>
        <x:v>0</x:v>
      </x:c>
      <x:c r="AS1895" t="str">
        <x:f>_xlfn.XLOOKUP($A1895,Games!$A$2:$A$18,Games!$N$2:$N$18,"Missing game",0)</x:f>
        <x:v>outdoors</x:v>
      </x:c>
      <x:c r="AT1895" t="str">
        <x:f>_xlfn.XLOOKUP($A1895,Games!$A$2:$A$18,Games!$O$2:$O$18,"Missing game",0)</x:f>
        <x:v>fieldturf</x:v>
      </x:c>
      <x:c r="AU1895" t="n">
        <x:f>_xlfn.XLOOKUP($A1895,Games!$A$2:$A$18,Games!$P$2:$P$18,"Missing game",0)</x:f>
        <x:v>45</x:v>
      </x:c>
      <x:c r="AV1895" t="n">
        <x:f>_xlfn.XLOOKUP($A1895,Games!$A$2:$A$18,Games!$Q$2:$Q$18,"Missing game",0)</x:f>
        <x:v>2</x:v>
      </x:c>
      <x:c r="AW1895" t="str">
        <x:f>_xlfn.XLOOKUP($A1895,Games!$A$2:$A$18,Games!$R$2:$R$18,"Missing game",0)</x:f>
        <x:v>Lumen Field</x:v>
      </x:c>
    </x:row>
    <x:row r="1896">
      <x:c r="A1896" t="str">
        <x:v>2025_13_MIN_SEA</x:v>
      </x:c>
      <x:c r="B1896" t="n">
        <x:v>974</x:v>
      </x:c>
      <x:c r="C1896" t="n">
        <x:v>2</x:v>
      </x:c>
      <x:c r="D1896" t="str">
        <x:v>14:18</x:v>
      </x:c>
      <x:c r="E1896" t="n">
        <x:v>2</x:v>
      </x:c>
      <x:c r="F1896" t="n">
        <x:v>4</x:v>
      </x:c>
      <x:c r="G1896" t="str">
        <x:v>SEA</x:v>
      </x:c>
      <x:c r="H1896" t="str">
        <x:v>MIN</x:v>
      </x:c>
      <x:c r="I1896" t="str">
        <x:v>MIN</x:v>
      </x:c>
      <x:c r="J1896" t="n">
        <x:v>47</x:v>
      </x:c>
      <x:c r="K1896" t="str">
        <x:v>(14:18) (Shotgun) 14-S.Darnold sacked at SEA 45 for -8 yards (15-D.Turner). FUMBLES (15-D.Turner) [15-D.Turner], recovered by SEA-10-C.Kupp at SEA 46.</x:v>
      </x:c>
      <x:c r="L1896" t="str">
        <x:v>pass</x:v>
      </x:c>
      <x:c r="M1896" t="n">
        <x:v>-7</x:v>
      </x:c>
      <x:c r="N1896" t="n">
        <x:v>1</x:v>
      </x:c>
      <x:c r="O1896" t="n">
        <x:v>0</x:v>
      </x:c>
      <x:c r="P1896"/>
      <x:c r="Q1896"/>
      <x:c r="R1896"/>
      <x:c r="S1896"/>
      <x:c r="T1896"/>
      <x:c r="U1896"/>
      <x:c r="V1896" t="n">
        <x:v>0</x:v>
      </x:c>
      <x:c r="W1896" t="n">
        <x:v>0</x:v>
      </x:c>
      <x:c r="X1896" t="n">
        <x:v>1</x:v>
      </x:c>
      <x:c r="Y1896" t="n">
        <x:v>0</x:v>
      </x:c>
      <x:c r="Z1896" t="n">
        <x:v>0</x:v>
      </x:c>
      <x:c r="AA1896" t="n">
        <x:v>0</x:v>
      </x:c>
      <x:c r="AB1896"/>
      <x:c r="AC1896" t="n">
        <x:v>0</x:v>
      </x:c>
      <x:c r="AD1896" t="n">
        <x:v>-1.9091203573625535</x:v>
      </x:c>
      <x:c r="AE1896" t="n">
        <x:v>0</x:v>
      </x:c>
      <x:c r="AF1896" t="n">
        <x:v>-0.04782623052597046</x:v>
      </x:c>
      <x:c r="AG1896" t="n">
        <x:f>_xlfn.XLOOKUP($A1896,Games!$A$2:$A$18,Games!$B$2:$B$18,"Missing game",0)</x:f>
        <x:v>2025</x:v>
      </x:c>
      <x:c r="AH1896" t="str">
        <x:f>_xlfn.XLOOKUP($A1896,Games!$A$2:$A$18,Games!$C$2:$C$18,"Missing game",0)</x:f>
        <x:v>REG</x:v>
      </x:c>
      <x:c r="AI1896" t="n">
        <x:f>_xlfn.XLOOKUP($A1896,Games!$A$2:$A$18,Games!$D$2:$D$18,"Missing game",0)</x:f>
        <x:v>13</x:v>
      </x:c>
      <x:c r="AJ1896" s="1" t="n">
        <x:f>_xlfn.XLOOKUP($A1896,Games!$A$2:$A$18,Games!$E$2:$E$18,"Missing game",0)</x:f>
        <x:v>45991</x:v>
      </x:c>
      <x:c r="AK1896" t="str">
        <x:f>_xlfn.XLOOKUP($A1896,Games!$A$2:$A$18,Games!$F$2:$F$18,"Missing game",0)</x:f>
        <x:v>Sunday</x:v>
      </x:c>
      <x:c r="AL1896" t="str">
        <x:f>_xlfn.XLOOKUP($A1896,Games!$A$2:$A$18,Games!$G$2:$G$18,"Missing game",0)</x:f>
        <x:v>MIN</x:v>
      </x:c>
      <x:c r="AM1896" t="n">
        <x:f>_xlfn.XLOOKUP($A1896,Games!$A$2:$A$18,Games!$H$2:$H$18,"Missing game",0)</x:f>
        <x:v>0</x:v>
      </x:c>
      <x:c r="AN1896" t="str">
        <x:f>_xlfn.XLOOKUP($A1896,Games!$A$2:$A$18,Games!$I$2:$I$18,"Missing game",0)</x:f>
        <x:v>SEA</x:v>
      </x:c>
      <x:c r="AO1896" t="n">
        <x:f>_xlfn.XLOOKUP($A1896,Games!$A$2:$A$18,Games!$J$2:$J$18,"Missing game",0)</x:f>
        <x:v>26</x:v>
      </x:c>
      <x:c r="AP1896" t="n">
        <x:f>_xlfn.XLOOKUP($A1896,Games!$A$2:$A$18,Games!$K$2:$K$18,"Missing game",0)</x:f>
        <x:v>26</x:v>
      </x:c>
      <x:c r="AQ1896" t="n">
        <x:f>_xlfn.XLOOKUP($A1896,Games!$A$2:$A$18,Games!$L$2:$L$18,"Missing game",0)</x:f>
        <x:v>26</x:v>
      </x:c>
      <x:c r="AR1896" t="n">
        <x:f>_xlfn.XLOOKUP($A1896,Games!$A$2:$A$18,Games!$M$2:$M$18,"Missing game",0)</x:f>
        <x:v>0</x:v>
      </x:c>
      <x:c r="AS1896" t="str">
        <x:f>_xlfn.XLOOKUP($A1896,Games!$A$2:$A$18,Games!$N$2:$N$18,"Missing game",0)</x:f>
        <x:v>outdoors</x:v>
      </x:c>
      <x:c r="AT1896" t="str">
        <x:f>_xlfn.XLOOKUP($A1896,Games!$A$2:$A$18,Games!$O$2:$O$18,"Missing game",0)</x:f>
        <x:v>fieldturf</x:v>
      </x:c>
      <x:c r="AU1896" t="n">
        <x:f>_xlfn.XLOOKUP($A1896,Games!$A$2:$A$18,Games!$P$2:$P$18,"Missing game",0)</x:f>
        <x:v>45</x:v>
      </x:c>
      <x:c r="AV1896" t="n">
        <x:f>_xlfn.XLOOKUP($A1896,Games!$A$2:$A$18,Games!$Q$2:$Q$18,"Missing game",0)</x:f>
        <x:v>2</x:v>
      </x:c>
      <x:c r="AW1896" t="str">
        <x:f>_xlfn.XLOOKUP($A1896,Games!$A$2:$A$18,Games!$R$2:$R$18,"Missing game",0)</x:f>
        <x:v>Lumen Field</x:v>
      </x:c>
    </x:row>
    <x:row r="1897">
      <x:c r="A1897" t="str">
        <x:v>2025_13_MIN_SEA</x:v>
      </x:c>
      <x:c r="B1897" t="n">
        <x:v>1004</x:v>
      </x:c>
      <x:c r="C1897" t="n">
        <x:v>2</x:v>
      </x:c>
      <x:c r="D1897" t="str">
        <x:v>13:24</x:v>
      </x:c>
      <x:c r="E1897" t="n">
        <x:v>3</x:v>
      </x:c>
      <x:c r="F1897" t="n">
        <x:v>11</x:v>
      </x:c>
      <x:c r="G1897" t="str">
        <x:v>SEA</x:v>
      </x:c>
      <x:c r="H1897" t="str">
        <x:v>MIN</x:v>
      </x:c>
      <x:c r="I1897" t="str">
        <x:v>SEA</x:v>
      </x:c>
      <x:c r="J1897" t="n">
        <x:v>54</x:v>
      </x:c>
      <x:c r="K1897" t="str">
        <x:v>(13:24) (Shotgun) 14-S.Darnold pass short left to 82-C.White to MIN 33 for 21 yards (44-J.Metellus).</x:v>
      </x:c>
      <x:c r="L1897" t="str">
        <x:v>pass</x:v>
      </x:c>
      <x:c r="M1897" t="n">
        <x:v>21</x:v>
      </x:c>
      <x:c r="N1897" t="n">
        <x:v>1</x:v>
      </x:c>
      <x:c r="O1897" t="n">
        <x:v>0</x:v>
      </x:c>
      <x:c r="P1897" t="str">
        <x:v>short</x:v>
      </x:c>
      <x:c r="Q1897" t="str">
        <x:v>left</x:v>
      </x:c>
      <x:c r="R1897" t="n">
        <x:v>8</x:v>
      </x:c>
      <x:c r="S1897" t="n">
        <x:v>13</x:v>
      </x:c>
      <x:c r="T1897"/>
      <x:c r="U1897"/>
      <x:c r="V1897" t="n">
        <x:v>1</x:v>
      </x:c>
      <x:c r="W1897" t="n">
        <x:v>1</x:v>
      </x:c>
      <x:c r="X1897" t="n">
        <x:v>0</x:v>
      </x:c>
      <x:c r="Y1897" t="n">
        <x:v>0</x:v>
      </x:c>
      <x:c r="Z1897" t="n">
        <x:v>0</x:v>
      </x:c>
      <x:c r="AA1897" t="n">
        <x:v>0</x:v>
      </x:c>
      <x:c r="AB1897"/>
      <x:c r="AC1897" t="n">
        <x:v>0</x:v>
      </x:c>
      <x:c r="AD1897" t="n">
        <x:v>2.870315197738819</x:v>
      </x:c>
      <x:c r="AE1897" t="n">
        <x:v>1</x:v>
      </x:c>
      <x:c r="AF1897" t="n">
        <x:v>0.10315662622451782</x:v>
      </x:c>
      <x:c r="AG1897" t="n">
        <x:f>_xlfn.XLOOKUP($A1897,Games!$A$2:$A$18,Games!$B$2:$B$18,"Missing game",0)</x:f>
        <x:v>2025</x:v>
      </x:c>
      <x:c r="AH1897" t="str">
        <x:f>_xlfn.XLOOKUP($A1897,Games!$A$2:$A$18,Games!$C$2:$C$18,"Missing game",0)</x:f>
        <x:v>REG</x:v>
      </x:c>
      <x:c r="AI1897" t="n">
        <x:f>_xlfn.XLOOKUP($A1897,Games!$A$2:$A$18,Games!$D$2:$D$18,"Missing game",0)</x:f>
        <x:v>13</x:v>
      </x:c>
      <x:c r="AJ1897" s="1" t="n">
        <x:f>_xlfn.XLOOKUP($A1897,Games!$A$2:$A$18,Games!$E$2:$E$18,"Missing game",0)</x:f>
        <x:v>45991</x:v>
      </x:c>
      <x:c r="AK1897" t="str">
        <x:f>_xlfn.XLOOKUP($A1897,Games!$A$2:$A$18,Games!$F$2:$F$18,"Missing game",0)</x:f>
        <x:v>Sunday</x:v>
      </x:c>
      <x:c r="AL1897" t="str">
        <x:f>_xlfn.XLOOKUP($A1897,Games!$A$2:$A$18,Games!$G$2:$G$18,"Missing game",0)</x:f>
        <x:v>MIN</x:v>
      </x:c>
      <x:c r="AM1897" t="n">
        <x:f>_xlfn.XLOOKUP($A1897,Games!$A$2:$A$18,Games!$H$2:$H$18,"Missing game",0)</x:f>
        <x:v>0</x:v>
      </x:c>
      <x:c r="AN1897" t="str">
        <x:f>_xlfn.XLOOKUP($A1897,Games!$A$2:$A$18,Games!$I$2:$I$18,"Missing game",0)</x:f>
        <x:v>SEA</x:v>
      </x:c>
      <x:c r="AO1897" t="n">
        <x:f>_xlfn.XLOOKUP($A1897,Games!$A$2:$A$18,Games!$J$2:$J$18,"Missing game",0)</x:f>
        <x:v>26</x:v>
      </x:c>
      <x:c r="AP1897" t="n">
        <x:f>_xlfn.XLOOKUP($A1897,Games!$A$2:$A$18,Games!$K$2:$K$18,"Missing game",0)</x:f>
        <x:v>26</x:v>
      </x:c>
      <x:c r="AQ1897" t="n">
        <x:f>_xlfn.XLOOKUP($A1897,Games!$A$2:$A$18,Games!$L$2:$L$18,"Missing game",0)</x:f>
        <x:v>26</x:v>
      </x:c>
      <x:c r="AR1897" t="n">
        <x:f>_xlfn.XLOOKUP($A1897,Games!$A$2:$A$18,Games!$M$2:$M$18,"Missing game",0)</x:f>
        <x:v>0</x:v>
      </x:c>
      <x:c r="AS1897" t="str">
        <x:f>_xlfn.XLOOKUP($A1897,Games!$A$2:$A$18,Games!$N$2:$N$18,"Missing game",0)</x:f>
        <x:v>outdoors</x:v>
      </x:c>
      <x:c r="AT1897" t="str">
        <x:f>_xlfn.XLOOKUP($A1897,Games!$A$2:$A$18,Games!$O$2:$O$18,"Missing game",0)</x:f>
        <x:v>fieldturf</x:v>
      </x:c>
      <x:c r="AU1897" t="n">
        <x:f>_xlfn.XLOOKUP($A1897,Games!$A$2:$A$18,Games!$P$2:$P$18,"Missing game",0)</x:f>
        <x:v>45</x:v>
      </x:c>
      <x:c r="AV1897" t="n">
        <x:f>_xlfn.XLOOKUP($A1897,Games!$A$2:$A$18,Games!$Q$2:$Q$18,"Missing game",0)</x:f>
        <x:v>2</x:v>
      </x:c>
      <x:c r="AW1897" t="str">
        <x:f>_xlfn.XLOOKUP($A1897,Games!$A$2:$A$18,Games!$R$2:$R$18,"Missing game",0)</x:f>
        <x:v>Lumen Field</x:v>
      </x:c>
    </x:row>
    <x:row r="1898">
      <x:c r="A1898" t="str">
        <x:v>2025_13_MIN_SEA</x:v>
      </x:c>
      <x:c r="B1898" t="n">
        <x:v>1029</x:v>
      </x:c>
      <x:c r="C1898" t="n">
        <x:v>2</x:v>
      </x:c>
      <x:c r="D1898" t="str">
        <x:v>12:37</x:v>
      </x:c>
      <x:c r="E1898" t="n">
        <x:v>1</x:v>
      </x:c>
      <x:c r="F1898" t="n">
        <x:v>10</x:v>
      </x:c>
      <x:c r="G1898" t="str">
        <x:v>SEA</x:v>
      </x:c>
      <x:c r="H1898" t="str">
        <x:v>MIN</x:v>
      </x:c>
      <x:c r="I1898" t="str">
        <x:v>MIN</x:v>
      </x:c>
      <x:c r="J1898" t="n">
        <x:v>33</x:v>
      </x:c>
      <x:c r="K1898" t="str">
        <x:v>(12:37) 26-Z.Charbonnet right guard to MIN 26 for 7 yards (55-E.Wilson; 44-J.Metellus).</x:v>
      </x:c>
      <x:c r="L1898" t="str">
        <x:v>run</x:v>
      </x:c>
      <x:c r="M1898" t="n">
        <x:v>7</x:v>
      </x:c>
      <x:c r="N1898" t="n">
        <x:v>0</x:v>
      </x:c>
      <x:c r="O1898" t="n">
        <x:v>0</x:v>
      </x:c>
      <x:c r="P1898"/>
      <x:c r="Q1898"/>
      <x:c r="R1898"/>
      <x:c r="S1898"/>
      <x:c r="T1898" t="str">
        <x:v>right</x:v>
      </x:c>
      <x:c r="U1898" t="str">
        <x:v>guard</x:v>
      </x:c>
      <x:c r="V1898" t="n">
        <x:v>0</x:v>
      </x:c>
      <x:c r="W1898" t="n">
        <x:v>0</x:v>
      </x:c>
      <x:c r="X1898" t="n">
        <x:v>0</x:v>
      </x:c>
      <x:c r="Y1898" t="n">
        <x:v>0</x:v>
      </x:c>
      <x:c r="Z1898" t="n">
        <x:v>0</x:v>
      </x:c>
      <x:c r="AA1898" t="n">
        <x:v>0</x:v>
      </x:c>
      <x:c r="AB1898"/>
      <x:c r="AC1898" t="n">
        <x:v>0</x:v>
      </x:c>
      <x:c r="AD1898" t="n">
        <x:v>0.40334490430541337</x:v>
      </x:c>
      <x:c r="AE1898" t="n">
        <x:v>1</x:v>
      </x:c>
      <x:c r="AF1898" t="n">
        <x:v>0.01936858892440796</x:v>
      </x:c>
      <x:c r="AG1898" t="n">
        <x:f>_xlfn.XLOOKUP($A1898,Games!$A$2:$A$18,Games!$B$2:$B$18,"Missing game",0)</x:f>
        <x:v>2025</x:v>
      </x:c>
      <x:c r="AH1898" t="str">
        <x:f>_xlfn.XLOOKUP($A1898,Games!$A$2:$A$18,Games!$C$2:$C$18,"Missing game",0)</x:f>
        <x:v>REG</x:v>
      </x:c>
      <x:c r="AI1898" t="n">
        <x:f>_xlfn.XLOOKUP($A1898,Games!$A$2:$A$18,Games!$D$2:$D$18,"Missing game",0)</x:f>
        <x:v>13</x:v>
      </x:c>
      <x:c r="AJ1898" s="1" t="n">
        <x:f>_xlfn.XLOOKUP($A1898,Games!$A$2:$A$18,Games!$E$2:$E$18,"Missing game",0)</x:f>
        <x:v>45991</x:v>
      </x:c>
      <x:c r="AK1898" t="str">
        <x:f>_xlfn.XLOOKUP($A1898,Games!$A$2:$A$18,Games!$F$2:$F$18,"Missing game",0)</x:f>
        <x:v>Sunday</x:v>
      </x:c>
      <x:c r="AL1898" t="str">
        <x:f>_xlfn.XLOOKUP($A1898,Games!$A$2:$A$18,Games!$G$2:$G$18,"Missing game",0)</x:f>
        <x:v>MIN</x:v>
      </x:c>
      <x:c r="AM1898" t="n">
        <x:f>_xlfn.XLOOKUP($A1898,Games!$A$2:$A$18,Games!$H$2:$H$18,"Missing game",0)</x:f>
        <x:v>0</x:v>
      </x:c>
      <x:c r="AN1898" t="str">
        <x:f>_xlfn.XLOOKUP($A1898,Games!$A$2:$A$18,Games!$I$2:$I$18,"Missing game",0)</x:f>
        <x:v>SEA</x:v>
      </x:c>
      <x:c r="AO1898" t="n">
        <x:f>_xlfn.XLOOKUP($A1898,Games!$A$2:$A$18,Games!$J$2:$J$18,"Missing game",0)</x:f>
        <x:v>26</x:v>
      </x:c>
      <x:c r="AP1898" t="n">
        <x:f>_xlfn.XLOOKUP($A1898,Games!$A$2:$A$18,Games!$K$2:$K$18,"Missing game",0)</x:f>
        <x:v>26</x:v>
      </x:c>
      <x:c r="AQ1898" t="n">
        <x:f>_xlfn.XLOOKUP($A1898,Games!$A$2:$A$18,Games!$L$2:$L$18,"Missing game",0)</x:f>
        <x:v>26</x:v>
      </x:c>
      <x:c r="AR1898" t="n">
        <x:f>_xlfn.XLOOKUP($A1898,Games!$A$2:$A$18,Games!$M$2:$M$18,"Missing game",0)</x:f>
        <x:v>0</x:v>
      </x:c>
      <x:c r="AS1898" t="str">
        <x:f>_xlfn.XLOOKUP($A1898,Games!$A$2:$A$18,Games!$N$2:$N$18,"Missing game",0)</x:f>
        <x:v>outdoors</x:v>
      </x:c>
      <x:c r="AT1898" t="str">
        <x:f>_xlfn.XLOOKUP($A1898,Games!$A$2:$A$18,Games!$O$2:$O$18,"Missing game",0)</x:f>
        <x:v>fieldturf</x:v>
      </x:c>
      <x:c r="AU1898" t="n">
        <x:f>_xlfn.XLOOKUP($A1898,Games!$A$2:$A$18,Games!$P$2:$P$18,"Missing game",0)</x:f>
        <x:v>45</x:v>
      </x:c>
      <x:c r="AV1898" t="n">
        <x:f>_xlfn.XLOOKUP($A1898,Games!$A$2:$A$18,Games!$Q$2:$Q$18,"Missing game",0)</x:f>
        <x:v>2</x:v>
      </x:c>
      <x:c r="AW1898" t="str">
        <x:f>_xlfn.XLOOKUP($A1898,Games!$A$2:$A$18,Games!$R$2:$R$18,"Missing game",0)</x:f>
        <x:v>Lumen Field</x:v>
      </x:c>
    </x:row>
    <x:row r="1899">
      <x:c r="A1899" t="str">
        <x:v>2025_13_MIN_SEA</x:v>
      </x:c>
      <x:c r="B1899" t="n">
        <x:v>1051</x:v>
      </x:c>
      <x:c r="C1899" t="n">
        <x:v>2</x:v>
      </x:c>
      <x:c r="D1899" t="str">
        <x:v>11:55</x:v>
      </x:c>
      <x:c r="E1899" t="n">
        <x:v>2</x:v>
      </x:c>
      <x:c r="F1899" t="n">
        <x:v>3</x:v>
      </x:c>
      <x:c r="G1899" t="str">
        <x:v>SEA</x:v>
      </x:c>
      <x:c r="H1899" t="str">
        <x:v>MIN</x:v>
      </x:c>
      <x:c r="I1899" t="str">
        <x:v>MIN</x:v>
      </x:c>
      <x:c r="J1899" t="n">
        <x:v>26</x:v>
      </x:c>
      <x:c r="K1899" t="str">
        <x:v>(11:55) 26-Z.Charbonnet right end to MIN 20 for 6 yards (7-B.Murphy; 22-H.Smith).</x:v>
      </x:c>
      <x:c r="L1899" t="str">
        <x:v>run</x:v>
      </x:c>
      <x:c r="M1899" t="n">
        <x:v>6</x:v>
      </x:c>
      <x:c r="N1899" t="n">
        <x:v>0</x:v>
      </x:c>
      <x:c r="O1899" t="n">
        <x:v>0</x:v>
      </x:c>
      <x:c r="P1899"/>
      <x:c r="Q1899"/>
      <x:c r="R1899"/>
      <x:c r="S1899"/>
      <x:c r="T1899" t="str">
        <x:v>right</x:v>
      </x:c>
      <x:c r="U1899" t="str">
        <x:v>end</x:v>
      </x:c>
      <x:c r="V1899" t="n">
        <x:v>0</x:v>
      </x:c>
      <x:c r="W1899" t="n">
        <x:v>1</x:v>
      </x:c>
      <x:c r="X1899" t="n">
        <x:v>0</x:v>
      </x:c>
      <x:c r="Y1899" t="n">
        <x:v>0</x:v>
      </x:c>
      <x:c r="Z1899" t="n">
        <x:v>0</x:v>
      </x:c>
      <x:c r="AA1899" t="n">
        <x:v>0</x:v>
      </x:c>
      <x:c r="AB1899"/>
      <x:c r="AC1899" t="n">
        <x:v>0</x:v>
      </x:c>
      <x:c r="AD1899" t="n">
        <x:v>0.4459028953569941</x:v>
      </x:c>
      <x:c r="AE1899" t="n">
        <x:v>1</x:v>
      </x:c>
      <x:c r="AF1899" t="n">
        <x:v>-0.0017123222351074219</x:v>
      </x:c>
      <x:c r="AG1899" t="n">
        <x:f>_xlfn.XLOOKUP($A1899,Games!$A$2:$A$18,Games!$B$2:$B$18,"Missing game",0)</x:f>
        <x:v>2025</x:v>
      </x:c>
      <x:c r="AH1899" t="str">
        <x:f>_xlfn.XLOOKUP($A1899,Games!$A$2:$A$18,Games!$C$2:$C$18,"Missing game",0)</x:f>
        <x:v>REG</x:v>
      </x:c>
      <x:c r="AI1899" t="n">
        <x:f>_xlfn.XLOOKUP($A1899,Games!$A$2:$A$18,Games!$D$2:$D$18,"Missing game",0)</x:f>
        <x:v>13</x:v>
      </x:c>
      <x:c r="AJ1899" s="1" t="n">
        <x:f>_xlfn.XLOOKUP($A1899,Games!$A$2:$A$18,Games!$E$2:$E$18,"Missing game",0)</x:f>
        <x:v>45991</x:v>
      </x:c>
      <x:c r="AK1899" t="str">
        <x:f>_xlfn.XLOOKUP($A1899,Games!$A$2:$A$18,Games!$F$2:$F$18,"Missing game",0)</x:f>
        <x:v>Sunday</x:v>
      </x:c>
      <x:c r="AL1899" t="str">
        <x:f>_xlfn.XLOOKUP($A1899,Games!$A$2:$A$18,Games!$G$2:$G$18,"Missing game",0)</x:f>
        <x:v>MIN</x:v>
      </x:c>
      <x:c r="AM1899" t="n">
        <x:f>_xlfn.XLOOKUP($A1899,Games!$A$2:$A$18,Games!$H$2:$H$18,"Missing game",0)</x:f>
        <x:v>0</x:v>
      </x:c>
      <x:c r="AN1899" t="str">
        <x:f>_xlfn.XLOOKUP($A1899,Games!$A$2:$A$18,Games!$I$2:$I$18,"Missing game",0)</x:f>
        <x:v>SEA</x:v>
      </x:c>
      <x:c r="AO1899" t="n">
        <x:f>_xlfn.XLOOKUP($A1899,Games!$A$2:$A$18,Games!$J$2:$J$18,"Missing game",0)</x:f>
        <x:v>26</x:v>
      </x:c>
      <x:c r="AP1899" t="n">
        <x:f>_xlfn.XLOOKUP($A1899,Games!$A$2:$A$18,Games!$K$2:$K$18,"Missing game",0)</x:f>
        <x:v>26</x:v>
      </x:c>
      <x:c r="AQ1899" t="n">
        <x:f>_xlfn.XLOOKUP($A1899,Games!$A$2:$A$18,Games!$L$2:$L$18,"Missing game",0)</x:f>
        <x:v>26</x:v>
      </x:c>
      <x:c r="AR1899" t="n">
        <x:f>_xlfn.XLOOKUP($A1899,Games!$A$2:$A$18,Games!$M$2:$M$18,"Missing game",0)</x:f>
        <x:v>0</x:v>
      </x:c>
      <x:c r="AS1899" t="str">
        <x:f>_xlfn.XLOOKUP($A1899,Games!$A$2:$A$18,Games!$N$2:$N$18,"Missing game",0)</x:f>
        <x:v>outdoors</x:v>
      </x:c>
      <x:c r="AT1899" t="str">
        <x:f>_xlfn.XLOOKUP($A1899,Games!$A$2:$A$18,Games!$O$2:$O$18,"Missing game",0)</x:f>
        <x:v>fieldturf</x:v>
      </x:c>
      <x:c r="AU1899" t="n">
        <x:f>_xlfn.XLOOKUP($A1899,Games!$A$2:$A$18,Games!$P$2:$P$18,"Missing game",0)</x:f>
        <x:v>45</x:v>
      </x:c>
      <x:c r="AV1899" t="n">
        <x:f>_xlfn.XLOOKUP($A1899,Games!$A$2:$A$18,Games!$Q$2:$Q$18,"Missing game",0)</x:f>
        <x:v>2</x:v>
      </x:c>
      <x:c r="AW1899" t="str">
        <x:f>_xlfn.XLOOKUP($A1899,Games!$A$2:$A$18,Games!$R$2:$R$18,"Missing game",0)</x:f>
        <x:v>Lumen Field</x:v>
      </x:c>
    </x:row>
    <x:row r="1900">
      <x:c r="A1900" t="str">
        <x:v>2025_13_MIN_SEA</x:v>
      </x:c>
      <x:c r="B1900" t="n">
        <x:v>1073</x:v>
      </x:c>
      <x:c r="C1900" t="n">
        <x:v>2</x:v>
      </x:c>
      <x:c r="D1900" t="str">
        <x:v>11:11</x:v>
      </x:c>
      <x:c r="E1900" t="n">
        <x:v>1</x:v>
      </x:c>
      <x:c r="F1900" t="n">
        <x:v>10</x:v>
      </x:c>
      <x:c r="G1900" t="str">
        <x:v>SEA</x:v>
      </x:c>
      <x:c r="H1900" t="str">
        <x:v>MIN</x:v>
      </x:c>
      <x:c r="I1900" t="str">
        <x:v>MIN</x:v>
      </x:c>
      <x:c r="J1900" t="n">
        <x:v>20</x:v>
      </x:c>
      <x:c r="K1900" t="str">
        <x:v>(11:11) 9-K.Walker left guard to MIN 18 for 2 yards (61-J.Redmond).</x:v>
      </x:c>
      <x:c r="L1900" t="str">
        <x:v>run</x:v>
      </x:c>
      <x:c r="M1900" t="n">
        <x:v>2</x:v>
      </x:c>
      <x:c r="N1900" t="n">
        <x:v>0</x:v>
      </x:c>
      <x:c r="O1900" t="n">
        <x:v>0</x:v>
      </x:c>
      <x:c r="P1900"/>
      <x:c r="Q1900"/>
      <x:c r="R1900"/>
      <x:c r="S1900"/>
      <x:c r="T1900" t="str">
        <x:v>left</x:v>
      </x:c>
      <x:c r="U1900" t="str">
        <x:v>guard</x:v>
      </x:c>
      <x:c r="V1900" t="n">
        <x:v>0</x:v>
      </x:c>
      <x:c r="W1900" t="n">
        <x:v>0</x:v>
      </x:c>
      <x:c r="X1900" t="n">
        <x:v>0</x:v>
      </x:c>
      <x:c r="Y1900" t="n">
        <x:v>0</x:v>
      </x:c>
      <x:c r="Z1900" t="n">
        <x:v>0</x:v>
      </x:c>
      <x:c r="AA1900" t="n">
        <x:v>0</x:v>
      </x:c>
      <x:c r="AB1900"/>
      <x:c r="AC1900" t="n">
        <x:v>0</x:v>
      </x:c>
      <x:c r="AD1900" t="n">
        <x:v>-0.30402322916779667</x:v>
      </x:c>
      <x:c r="AE1900" t="n">
        <x:v>0</x:v>
      </x:c>
      <x:c r="AF1900" t="n">
        <x:v>-0.006597280502319336</x:v>
      </x:c>
      <x:c r="AG1900" t="n">
        <x:f>_xlfn.XLOOKUP($A1900,Games!$A$2:$A$18,Games!$B$2:$B$18,"Missing game",0)</x:f>
        <x:v>2025</x:v>
      </x:c>
      <x:c r="AH1900" t="str">
        <x:f>_xlfn.XLOOKUP($A1900,Games!$A$2:$A$18,Games!$C$2:$C$18,"Missing game",0)</x:f>
        <x:v>REG</x:v>
      </x:c>
      <x:c r="AI1900" t="n">
        <x:f>_xlfn.XLOOKUP($A1900,Games!$A$2:$A$18,Games!$D$2:$D$18,"Missing game",0)</x:f>
        <x:v>13</x:v>
      </x:c>
      <x:c r="AJ1900" s="1" t="n">
        <x:f>_xlfn.XLOOKUP($A1900,Games!$A$2:$A$18,Games!$E$2:$E$18,"Missing game",0)</x:f>
        <x:v>45991</x:v>
      </x:c>
      <x:c r="AK1900" t="str">
        <x:f>_xlfn.XLOOKUP($A1900,Games!$A$2:$A$18,Games!$F$2:$F$18,"Missing game",0)</x:f>
        <x:v>Sunday</x:v>
      </x:c>
      <x:c r="AL1900" t="str">
        <x:f>_xlfn.XLOOKUP($A1900,Games!$A$2:$A$18,Games!$G$2:$G$18,"Missing game",0)</x:f>
        <x:v>MIN</x:v>
      </x:c>
      <x:c r="AM1900" t="n">
        <x:f>_xlfn.XLOOKUP($A1900,Games!$A$2:$A$18,Games!$H$2:$H$18,"Missing game",0)</x:f>
        <x:v>0</x:v>
      </x:c>
      <x:c r="AN1900" t="str">
        <x:f>_xlfn.XLOOKUP($A1900,Games!$A$2:$A$18,Games!$I$2:$I$18,"Missing game",0)</x:f>
        <x:v>SEA</x:v>
      </x:c>
      <x:c r="AO1900" t="n">
        <x:f>_xlfn.XLOOKUP($A1900,Games!$A$2:$A$18,Games!$J$2:$J$18,"Missing game",0)</x:f>
        <x:v>26</x:v>
      </x:c>
      <x:c r="AP1900" t="n">
        <x:f>_xlfn.XLOOKUP($A1900,Games!$A$2:$A$18,Games!$K$2:$K$18,"Missing game",0)</x:f>
        <x:v>26</x:v>
      </x:c>
      <x:c r="AQ1900" t="n">
        <x:f>_xlfn.XLOOKUP($A1900,Games!$A$2:$A$18,Games!$L$2:$L$18,"Missing game",0)</x:f>
        <x:v>26</x:v>
      </x:c>
      <x:c r="AR1900" t="n">
        <x:f>_xlfn.XLOOKUP($A1900,Games!$A$2:$A$18,Games!$M$2:$M$18,"Missing game",0)</x:f>
        <x:v>0</x:v>
      </x:c>
      <x:c r="AS1900" t="str">
        <x:f>_xlfn.XLOOKUP($A1900,Games!$A$2:$A$18,Games!$N$2:$N$18,"Missing game",0)</x:f>
        <x:v>outdoors</x:v>
      </x:c>
      <x:c r="AT1900" t="str">
        <x:f>_xlfn.XLOOKUP($A1900,Games!$A$2:$A$18,Games!$O$2:$O$18,"Missing game",0)</x:f>
        <x:v>fieldturf</x:v>
      </x:c>
      <x:c r="AU1900" t="n">
        <x:f>_xlfn.XLOOKUP($A1900,Games!$A$2:$A$18,Games!$P$2:$P$18,"Missing game",0)</x:f>
        <x:v>45</x:v>
      </x:c>
      <x:c r="AV1900" t="n">
        <x:f>_xlfn.XLOOKUP($A1900,Games!$A$2:$A$18,Games!$Q$2:$Q$18,"Missing game",0)</x:f>
        <x:v>2</x:v>
      </x:c>
      <x:c r="AW1900" t="str">
        <x:f>_xlfn.XLOOKUP($A1900,Games!$A$2:$A$18,Games!$R$2:$R$18,"Missing game",0)</x:f>
        <x:v>Lumen Field</x:v>
      </x:c>
    </x:row>
    <x:row r="1901">
      <x:c r="A1901" t="str">
        <x:v>2025_13_MIN_SEA</x:v>
      </x:c>
      <x:c r="B1901" t="n">
        <x:v>1095</x:v>
      </x:c>
      <x:c r="C1901" t="n">
        <x:v>2</x:v>
      </x:c>
      <x:c r="D1901" t="str">
        <x:v>10:29</x:v>
      </x:c>
      <x:c r="E1901" t="n">
        <x:v>2</x:v>
      </x:c>
      <x:c r="F1901" t="n">
        <x:v>8</x:v>
      </x:c>
      <x:c r="G1901" t="str">
        <x:v>SEA</x:v>
      </x:c>
      <x:c r="H1901" t="str">
        <x:v>MIN</x:v>
      </x:c>
      <x:c r="I1901" t="str">
        <x:v>MIN</x:v>
      </x:c>
      <x:c r="J1901" t="n">
        <x:v>18</x:v>
      </x:c>
      <x:c r="K1901" t="str">
        <x:v>(10:29) (Shotgun) 14-S.Darnold pass short right to 10-C.Kupp pushed ob at MIN 13 for 5 yards (2-I.Rodgers).</x:v>
      </x:c>
      <x:c r="L1901" t="str">
        <x:v>pass</x:v>
      </x:c>
      <x:c r="M1901" t="n">
        <x:v>5</x:v>
      </x:c>
      <x:c r="N1901" t="n">
        <x:v>1</x:v>
      </x:c>
      <x:c r="O1901" t="n">
        <x:v>0</x:v>
      </x:c>
      <x:c r="P1901" t="str">
        <x:v>short</x:v>
      </x:c>
      <x:c r="Q1901" t="str">
        <x:v>right</x:v>
      </x:c>
      <x:c r="R1901" t="n">
        <x:v>2</x:v>
      </x:c>
      <x:c r="S1901" t="n">
        <x:v>3</x:v>
      </x:c>
      <x:c r="T1901"/>
      <x:c r="U1901"/>
      <x:c r="V1901" t="n">
        <x:v>1</x:v>
      </x:c>
      <x:c r="W1901" t="n">
        <x:v>0</x:v>
      </x:c>
      <x:c r="X1901" t="n">
        <x:v>0</x:v>
      </x:c>
      <x:c r="Y1901" t="n">
        <x:v>0</x:v>
      </x:c>
      <x:c r="Z1901" t="n">
        <x:v>0</x:v>
      </x:c>
      <x:c r="AA1901" t="n">
        <x:v>0</x:v>
      </x:c>
      <x:c r="AB1901"/>
      <x:c r="AC1901" t="n">
        <x:v>0</x:v>
      </x:c>
      <x:c r="AD1901" t="n">
        <x:v>-0.013911064073909074</x:v>
      </x:c>
      <x:c r="AE1901" t="n">
        <x:v>0</x:v>
      </x:c>
      <x:c r="AF1901" t="n">
        <x:v>0.003091871738433838</x:v>
      </x:c>
      <x:c r="AG1901" t="n">
        <x:f>_xlfn.XLOOKUP($A1901,Games!$A$2:$A$18,Games!$B$2:$B$18,"Missing game",0)</x:f>
        <x:v>2025</x:v>
      </x:c>
      <x:c r="AH1901" t="str">
        <x:f>_xlfn.XLOOKUP($A1901,Games!$A$2:$A$18,Games!$C$2:$C$18,"Missing game",0)</x:f>
        <x:v>REG</x:v>
      </x:c>
      <x:c r="AI1901" t="n">
        <x:f>_xlfn.XLOOKUP($A1901,Games!$A$2:$A$18,Games!$D$2:$D$18,"Missing game",0)</x:f>
        <x:v>13</x:v>
      </x:c>
      <x:c r="AJ1901" s="1" t="n">
        <x:f>_xlfn.XLOOKUP($A1901,Games!$A$2:$A$18,Games!$E$2:$E$18,"Missing game",0)</x:f>
        <x:v>45991</x:v>
      </x:c>
      <x:c r="AK1901" t="str">
        <x:f>_xlfn.XLOOKUP($A1901,Games!$A$2:$A$18,Games!$F$2:$F$18,"Missing game",0)</x:f>
        <x:v>Sunday</x:v>
      </x:c>
      <x:c r="AL1901" t="str">
        <x:f>_xlfn.XLOOKUP($A1901,Games!$A$2:$A$18,Games!$G$2:$G$18,"Missing game",0)</x:f>
        <x:v>MIN</x:v>
      </x:c>
      <x:c r="AM1901" t="n">
        <x:f>_xlfn.XLOOKUP($A1901,Games!$A$2:$A$18,Games!$H$2:$H$18,"Missing game",0)</x:f>
        <x:v>0</x:v>
      </x:c>
      <x:c r="AN1901" t="str">
        <x:f>_xlfn.XLOOKUP($A1901,Games!$A$2:$A$18,Games!$I$2:$I$18,"Missing game",0)</x:f>
        <x:v>SEA</x:v>
      </x:c>
      <x:c r="AO1901" t="n">
        <x:f>_xlfn.XLOOKUP($A1901,Games!$A$2:$A$18,Games!$J$2:$J$18,"Missing game",0)</x:f>
        <x:v>26</x:v>
      </x:c>
      <x:c r="AP1901" t="n">
        <x:f>_xlfn.XLOOKUP($A1901,Games!$A$2:$A$18,Games!$K$2:$K$18,"Missing game",0)</x:f>
        <x:v>26</x:v>
      </x:c>
      <x:c r="AQ1901" t="n">
        <x:f>_xlfn.XLOOKUP($A1901,Games!$A$2:$A$18,Games!$L$2:$L$18,"Missing game",0)</x:f>
        <x:v>26</x:v>
      </x:c>
      <x:c r="AR1901" t="n">
        <x:f>_xlfn.XLOOKUP($A1901,Games!$A$2:$A$18,Games!$M$2:$M$18,"Missing game",0)</x:f>
        <x:v>0</x:v>
      </x:c>
      <x:c r="AS1901" t="str">
        <x:f>_xlfn.XLOOKUP($A1901,Games!$A$2:$A$18,Games!$N$2:$N$18,"Missing game",0)</x:f>
        <x:v>outdoors</x:v>
      </x:c>
      <x:c r="AT1901" t="str">
        <x:f>_xlfn.XLOOKUP($A1901,Games!$A$2:$A$18,Games!$O$2:$O$18,"Missing game",0)</x:f>
        <x:v>fieldturf</x:v>
      </x:c>
      <x:c r="AU1901" t="n">
        <x:f>_xlfn.XLOOKUP($A1901,Games!$A$2:$A$18,Games!$P$2:$P$18,"Missing game",0)</x:f>
        <x:v>45</x:v>
      </x:c>
      <x:c r="AV1901" t="n">
        <x:f>_xlfn.XLOOKUP($A1901,Games!$A$2:$A$18,Games!$Q$2:$Q$18,"Missing game",0)</x:f>
        <x:v>2</x:v>
      </x:c>
      <x:c r="AW1901" t="str">
        <x:f>_xlfn.XLOOKUP($A1901,Games!$A$2:$A$18,Games!$R$2:$R$18,"Missing game",0)</x:f>
        <x:v>Lumen Field</x:v>
      </x:c>
    </x:row>
    <x:row r="1902">
      <x:c r="A1902" t="str">
        <x:v>2025_13_MIN_SEA</x:v>
      </x:c>
      <x:c r="B1902" t="n">
        <x:v>1125</x:v>
      </x:c>
      <x:c r="C1902" t="n">
        <x:v>2</x:v>
      </x:c>
      <x:c r="D1902" t="str">
        <x:v>09:55</x:v>
      </x:c>
      <x:c r="E1902" t="n">
        <x:v>3</x:v>
      </x:c>
      <x:c r="F1902" t="n">
        <x:v>3</x:v>
      </x:c>
      <x:c r="G1902" t="str">
        <x:v>SEA</x:v>
      </x:c>
      <x:c r="H1902" t="str">
        <x:v>MIN</x:v>
      </x:c>
      <x:c r="I1902" t="str">
        <x:v>MIN</x:v>
      </x:c>
      <x:c r="J1902" t="n">
        <x:v>13</x:v>
      </x:c>
      <x:c r="K1902" t="str">
        <x:v>(9:55) (No Huddle, Shotgun) 26-Z.Charbonnet right guard to MIN 8 for 5 yards (93-J.Allen; 23-F.Moreau).</x:v>
      </x:c>
      <x:c r="L1902" t="str">
        <x:v>run</x:v>
      </x:c>
      <x:c r="M1902" t="n">
        <x:v>5</x:v>
      </x:c>
      <x:c r="N1902" t="n">
        <x:v>1</x:v>
      </x:c>
      <x:c r="O1902" t="n">
        <x:v>1</x:v>
      </x:c>
      <x:c r="P1902"/>
      <x:c r="Q1902"/>
      <x:c r="R1902"/>
      <x:c r="S1902"/>
      <x:c r="T1902" t="str">
        <x:v>right</x:v>
      </x:c>
      <x:c r="U1902" t="str">
        <x:v>guard</x:v>
      </x:c>
      <x:c r="V1902" t="n">
        <x:v>0</x:v>
      </x:c>
      <x:c r="W1902" t="n">
        <x:v>1</x:v>
      </x:c>
      <x:c r="X1902" t="n">
        <x:v>0</x:v>
      </x:c>
      <x:c r="Y1902" t="n">
        <x:v>0</x:v>
      </x:c>
      <x:c r="Z1902" t="n">
        <x:v>0</x:v>
      </x:c>
      <x:c r="AA1902" t="n">
        <x:v>0</x:v>
      </x:c>
      <x:c r="AB1902"/>
      <x:c r="AC1902" t="n">
        <x:v>0</x:v>
      </x:c>
      <x:c r="AD1902" t="n">
        <x:v>1.0172562421066687</x:v>
      </x:c>
      <x:c r="AE1902" t="n">
        <x:v>1</x:v>
      </x:c>
      <x:c r="AF1902" t="n">
        <x:v>0.020176351070404053</x:v>
      </x:c>
      <x:c r="AG1902" t="n">
        <x:f>_xlfn.XLOOKUP($A1902,Games!$A$2:$A$18,Games!$B$2:$B$18,"Missing game",0)</x:f>
        <x:v>2025</x:v>
      </x:c>
      <x:c r="AH1902" t="str">
        <x:f>_xlfn.XLOOKUP($A1902,Games!$A$2:$A$18,Games!$C$2:$C$18,"Missing game",0)</x:f>
        <x:v>REG</x:v>
      </x:c>
      <x:c r="AI1902" t="n">
        <x:f>_xlfn.XLOOKUP($A1902,Games!$A$2:$A$18,Games!$D$2:$D$18,"Missing game",0)</x:f>
        <x:v>13</x:v>
      </x:c>
      <x:c r="AJ1902" s="1" t="n">
        <x:f>_xlfn.XLOOKUP($A1902,Games!$A$2:$A$18,Games!$E$2:$E$18,"Missing game",0)</x:f>
        <x:v>45991</x:v>
      </x:c>
      <x:c r="AK1902" t="str">
        <x:f>_xlfn.XLOOKUP($A1902,Games!$A$2:$A$18,Games!$F$2:$F$18,"Missing game",0)</x:f>
        <x:v>Sunday</x:v>
      </x:c>
      <x:c r="AL1902" t="str">
        <x:f>_xlfn.XLOOKUP($A1902,Games!$A$2:$A$18,Games!$G$2:$G$18,"Missing game",0)</x:f>
        <x:v>MIN</x:v>
      </x:c>
      <x:c r="AM1902" t="n">
        <x:f>_xlfn.XLOOKUP($A1902,Games!$A$2:$A$18,Games!$H$2:$H$18,"Missing game",0)</x:f>
        <x:v>0</x:v>
      </x:c>
      <x:c r="AN1902" t="str">
        <x:f>_xlfn.XLOOKUP($A1902,Games!$A$2:$A$18,Games!$I$2:$I$18,"Missing game",0)</x:f>
        <x:v>SEA</x:v>
      </x:c>
      <x:c r="AO1902" t="n">
        <x:f>_xlfn.XLOOKUP($A1902,Games!$A$2:$A$18,Games!$J$2:$J$18,"Missing game",0)</x:f>
        <x:v>26</x:v>
      </x:c>
      <x:c r="AP1902" t="n">
        <x:f>_xlfn.XLOOKUP($A1902,Games!$A$2:$A$18,Games!$K$2:$K$18,"Missing game",0)</x:f>
        <x:v>26</x:v>
      </x:c>
      <x:c r="AQ1902" t="n">
        <x:f>_xlfn.XLOOKUP($A1902,Games!$A$2:$A$18,Games!$L$2:$L$18,"Missing game",0)</x:f>
        <x:v>26</x:v>
      </x:c>
      <x:c r="AR1902" t="n">
        <x:f>_xlfn.XLOOKUP($A1902,Games!$A$2:$A$18,Games!$M$2:$M$18,"Missing game",0)</x:f>
        <x:v>0</x:v>
      </x:c>
      <x:c r="AS1902" t="str">
        <x:f>_xlfn.XLOOKUP($A1902,Games!$A$2:$A$18,Games!$N$2:$N$18,"Missing game",0)</x:f>
        <x:v>outdoors</x:v>
      </x:c>
      <x:c r="AT1902" t="str">
        <x:f>_xlfn.XLOOKUP($A1902,Games!$A$2:$A$18,Games!$O$2:$O$18,"Missing game",0)</x:f>
        <x:v>fieldturf</x:v>
      </x:c>
      <x:c r="AU1902" t="n">
        <x:f>_xlfn.XLOOKUP($A1902,Games!$A$2:$A$18,Games!$P$2:$P$18,"Missing game",0)</x:f>
        <x:v>45</x:v>
      </x:c>
      <x:c r="AV1902" t="n">
        <x:f>_xlfn.XLOOKUP($A1902,Games!$A$2:$A$18,Games!$Q$2:$Q$18,"Missing game",0)</x:f>
        <x:v>2</x:v>
      </x:c>
      <x:c r="AW1902" t="str">
        <x:f>_xlfn.XLOOKUP($A1902,Games!$A$2:$A$18,Games!$R$2:$R$18,"Missing game",0)</x:f>
        <x:v>Lumen Field</x:v>
      </x:c>
    </x:row>
    <x:row r="1903">
      <x:c r="A1903" t="str">
        <x:v>2025_13_MIN_SEA</x:v>
      </x:c>
      <x:c r="B1903" t="n">
        <x:v>1147</x:v>
      </x:c>
      <x:c r="C1903" t="n">
        <x:v>2</x:v>
      </x:c>
      <x:c r="D1903" t="str">
        <x:v>09:14</x:v>
      </x:c>
      <x:c r="E1903" t="n">
        <x:v>1</x:v>
      </x:c>
      <x:c r="F1903" t="n">
        <x:v>8</x:v>
      </x:c>
      <x:c r="G1903" t="str">
        <x:v>SEA</x:v>
      </x:c>
      <x:c r="H1903" t="str">
        <x:v>MIN</x:v>
      </x:c>
      <x:c r="I1903" t="str">
        <x:v>MIN</x:v>
      </x:c>
      <x:c r="J1903" t="n">
        <x:v>8</x:v>
      </x:c>
      <x:c r="K1903" t="str">
        <x:v>(9:14) 74-J.Jones reported in as eligible. 26-Z.Charbonnet left tackle to MIN 8 for no gain (15-D.Turner).</x:v>
      </x:c>
      <x:c r="L1903" t="str">
        <x:v>run</x:v>
      </x:c>
      <x:c r="M1903" t="n">
        <x:v>0</x:v>
      </x:c>
      <x:c r="N1903" t="n">
        <x:v>0</x:v>
      </x:c>
      <x:c r="O1903" t="n">
        <x:v>0</x:v>
      </x:c>
      <x:c r="P1903"/>
      <x:c r="Q1903"/>
      <x:c r="R1903"/>
      <x:c r="S1903"/>
      <x:c r="T1903" t="str">
        <x:v>left</x:v>
      </x:c>
      <x:c r="U1903" t="str">
        <x:v>tackle</x:v>
      </x:c>
      <x:c r="V1903" t="n">
        <x:v>0</x:v>
      </x:c>
      <x:c r="W1903" t="n">
        <x:v>0</x:v>
      </x:c>
      <x:c r="X1903" t="n">
        <x:v>0</x:v>
      </x:c>
      <x:c r="Y1903" t="n">
        <x:v>0</x:v>
      </x:c>
      <x:c r="Z1903" t="n">
        <x:v>0</x:v>
      </x:c>
      <x:c r="AA1903" t="n">
        <x:v>0</x:v>
      </x:c>
      <x:c r="AB1903"/>
      <x:c r="AC1903" t="n">
        <x:v>0</x:v>
      </x:c>
      <x:c r="AD1903" t="n">
        <x:v>-0.5836278473143466</x:v>
      </x:c>
      <x:c r="AE1903" t="n">
        <x:v>0</x:v>
      </x:c>
      <x:c r="AF1903" t="n">
        <x:v>-0.015950500965118408</x:v>
      </x:c>
      <x:c r="AG1903" t="n">
        <x:f>_xlfn.XLOOKUP($A1903,Games!$A$2:$A$18,Games!$B$2:$B$18,"Missing game",0)</x:f>
        <x:v>2025</x:v>
      </x:c>
      <x:c r="AH1903" t="str">
        <x:f>_xlfn.XLOOKUP($A1903,Games!$A$2:$A$18,Games!$C$2:$C$18,"Missing game",0)</x:f>
        <x:v>REG</x:v>
      </x:c>
      <x:c r="AI1903" t="n">
        <x:f>_xlfn.XLOOKUP($A1903,Games!$A$2:$A$18,Games!$D$2:$D$18,"Missing game",0)</x:f>
        <x:v>13</x:v>
      </x:c>
      <x:c r="AJ1903" s="1" t="n">
        <x:f>_xlfn.XLOOKUP($A1903,Games!$A$2:$A$18,Games!$E$2:$E$18,"Missing game",0)</x:f>
        <x:v>45991</x:v>
      </x:c>
      <x:c r="AK1903" t="str">
        <x:f>_xlfn.XLOOKUP($A1903,Games!$A$2:$A$18,Games!$F$2:$F$18,"Missing game",0)</x:f>
        <x:v>Sunday</x:v>
      </x:c>
      <x:c r="AL1903" t="str">
        <x:f>_xlfn.XLOOKUP($A1903,Games!$A$2:$A$18,Games!$G$2:$G$18,"Missing game",0)</x:f>
        <x:v>MIN</x:v>
      </x:c>
      <x:c r="AM1903" t="n">
        <x:f>_xlfn.XLOOKUP($A1903,Games!$A$2:$A$18,Games!$H$2:$H$18,"Missing game",0)</x:f>
        <x:v>0</x:v>
      </x:c>
      <x:c r="AN1903" t="str">
        <x:f>_xlfn.XLOOKUP($A1903,Games!$A$2:$A$18,Games!$I$2:$I$18,"Missing game",0)</x:f>
        <x:v>SEA</x:v>
      </x:c>
      <x:c r="AO1903" t="n">
        <x:f>_xlfn.XLOOKUP($A1903,Games!$A$2:$A$18,Games!$J$2:$J$18,"Missing game",0)</x:f>
        <x:v>26</x:v>
      </x:c>
      <x:c r="AP1903" t="n">
        <x:f>_xlfn.XLOOKUP($A1903,Games!$A$2:$A$18,Games!$K$2:$K$18,"Missing game",0)</x:f>
        <x:v>26</x:v>
      </x:c>
      <x:c r="AQ1903" t="n">
        <x:f>_xlfn.XLOOKUP($A1903,Games!$A$2:$A$18,Games!$L$2:$L$18,"Missing game",0)</x:f>
        <x:v>26</x:v>
      </x:c>
      <x:c r="AR1903" t="n">
        <x:f>_xlfn.XLOOKUP($A1903,Games!$A$2:$A$18,Games!$M$2:$M$18,"Missing game",0)</x:f>
        <x:v>0</x:v>
      </x:c>
      <x:c r="AS1903" t="str">
        <x:f>_xlfn.XLOOKUP($A1903,Games!$A$2:$A$18,Games!$N$2:$N$18,"Missing game",0)</x:f>
        <x:v>outdoors</x:v>
      </x:c>
      <x:c r="AT1903" t="str">
        <x:f>_xlfn.XLOOKUP($A1903,Games!$A$2:$A$18,Games!$O$2:$O$18,"Missing game",0)</x:f>
        <x:v>fieldturf</x:v>
      </x:c>
      <x:c r="AU1903" t="n">
        <x:f>_xlfn.XLOOKUP($A1903,Games!$A$2:$A$18,Games!$P$2:$P$18,"Missing game",0)</x:f>
        <x:v>45</x:v>
      </x:c>
      <x:c r="AV1903" t="n">
        <x:f>_xlfn.XLOOKUP($A1903,Games!$A$2:$A$18,Games!$Q$2:$Q$18,"Missing game",0)</x:f>
        <x:v>2</x:v>
      </x:c>
      <x:c r="AW1903" t="str">
        <x:f>_xlfn.XLOOKUP($A1903,Games!$A$2:$A$18,Games!$R$2:$R$18,"Missing game",0)</x:f>
        <x:v>Lumen Field</x:v>
      </x:c>
    </x:row>
    <x:row r="1904">
      <x:c r="A1904" t="str">
        <x:v>2025_13_MIN_SEA</x:v>
      </x:c>
      <x:c r="B1904" t="n">
        <x:v>1171</x:v>
      </x:c>
      <x:c r="C1904" t="n">
        <x:v>2</x:v>
      </x:c>
      <x:c r="D1904" t="str">
        <x:v>08:34</x:v>
      </x:c>
      <x:c r="E1904" t="n">
        <x:v>2</x:v>
      </x:c>
      <x:c r="F1904" t="n">
        <x:v>8</x:v>
      </x:c>
      <x:c r="G1904" t="str">
        <x:v>SEA</x:v>
      </x:c>
      <x:c r="H1904" t="str">
        <x:v>MIN</x:v>
      </x:c>
      <x:c r="I1904" t="str">
        <x:v>MIN</x:v>
      </x:c>
      <x:c r="J1904" t="n">
        <x:v>8</x:v>
      </x:c>
      <x:c r="K1904" t="str">
        <x:v>(8:34) 26-Z.Charbonnet up the middle to MIN 10 for -2 yards (55-E.Wilson).</x:v>
      </x:c>
      <x:c r="L1904" t="str">
        <x:v>run</x:v>
      </x:c>
      <x:c r="M1904" t="n">
        <x:v>-2</x:v>
      </x:c>
      <x:c r="N1904" t="n">
        <x:v>0</x:v>
      </x:c>
      <x:c r="O1904" t="n">
        <x:v>0</x:v>
      </x:c>
      <x:c r="P1904"/>
      <x:c r="Q1904"/>
      <x:c r="R1904"/>
      <x:c r="S1904"/>
      <x:c r="T1904" t="str">
        <x:v>middle</x:v>
      </x:c>
      <x:c r="U1904"/>
      <x:c r="V1904" t="n">
        <x:v>0</x:v>
      </x:c>
      <x:c r="W1904" t="n">
        <x:v>0</x:v>
      </x:c>
      <x:c r="X1904" t="n">
        <x:v>0</x:v>
      </x:c>
      <x:c r="Y1904" t="n">
        <x:v>0</x:v>
      </x:c>
      <x:c r="Z1904" t="n">
        <x:v>0</x:v>
      </x:c>
      <x:c r="AA1904" t="n">
        <x:v>0</x:v>
      </x:c>
      <x:c r="AB1904"/>
      <x:c r="AC1904" t="n">
        <x:v>0</x:v>
      </x:c>
      <x:c r="AD1904" t="n">
        <x:v>-0.9233325418899767</x:v>
      </x:c>
      <x:c r="AE1904" t="n">
        <x:v>0</x:v>
      </x:c>
      <x:c r="AF1904" t="n">
        <x:v>-0.01998990774154663</x:v>
      </x:c>
      <x:c r="AG1904" t="n">
        <x:f>_xlfn.XLOOKUP($A1904,Games!$A$2:$A$18,Games!$B$2:$B$18,"Missing game",0)</x:f>
        <x:v>2025</x:v>
      </x:c>
      <x:c r="AH1904" t="str">
        <x:f>_xlfn.XLOOKUP($A1904,Games!$A$2:$A$18,Games!$C$2:$C$18,"Missing game",0)</x:f>
        <x:v>REG</x:v>
      </x:c>
      <x:c r="AI1904" t="n">
        <x:f>_xlfn.XLOOKUP($A1904,Games!$A$2:$A$18,Games!$D$2:$D$18,"Missing game",0)</x:f>
        <x:v>13</x:v>
      </x:c>
      <x:c r="AJ1904" s="1" t="n">
        <x:f>_xlfn.XLOOKUP($A1904,Games!$A$2:$A$18,Games!$E$2:$E$18,"Missing game",0)</x:f>
        <x:v>45991</x:v>
      </x:c>
      <x:c r="AK1904" t="str">
        <x:f>_xlfn.XLOOKUP($A1904,Games!$A$2:$A$18,Games!$F$2:$F$18,"Missing game",0)</x:f>
        <x:v>Sunday</x:v>
      </x:c>
      <x:c r="AL1904" t="str">
        <x:f>_xlfn.XLOOKUP($A1904,Games!$A$2:$A$18,Games!$G$2:$G$18,"Missing game",0)</x:f>
        <x:v>MIN</x:v>
      </x:c>
      <x:c r="AM1904" t="n">
        <x:f>_xlfn.XLOOKUP($A1904,Games!$A$2:$A$18,Games!$H$2:$H$18,"Missing game",0)</x:f>
        <x:v>0</x:v>
      </x:c>
      <x:c r="AN1904" t="str">
        <x:f>_xlfn.XLOOKUP($A1904,Games!$A$2:$A$18,Games!$I$2:$I$18,"Missing game",0)</x:f>
        <x:v>SEA</x:v>
      </x:c>
      <x:c r="AO1904" t="n">
        <x:f>_xlfn.XLOOKUP($A1904,Games!$A$2:$A$18,Games!$J$2:$J$18,"Missing game",0)</x:f>
        <x:v>26</x:v>
      </x:c>
      <x:c r="AP1904" t="n">
        <x:f>_xlfn.XLOOKUP($A1904,Games!$A$2:$A$18,Games!$K$2:$K$18,"Missing game",0)</x:f>
        <x:v>26</x:v>
      </x:c>
      <x:c r="AQ1904" t="n">
        <x:f>_xlfn.XLOOKUP($A1904,Games!$A$2:$A$18,Games!$L$2:$L$18,"Missing game",0)</x:f>
        <x:v>26</x:v>
      </x:c>
      <x:c r="AR1904" t="n">
        <x:f>_xlfn.XLOOKUP($A1904,Games!$A$2:$A$18,Games!$M$2:$M$18,"Missing game",0)</x:f>
        <x:v>0</x:v>
      </x:c>
      <x:c r="AS1904" t="str">
        <x:f>_xlfn.XLOOKUP($A1904,Games!$A$2:$A$18,Games!$N$2:$N$18,"Missing game",0)</x:f>
        <x:v>outdoors</x:v>
      </x:c>
      <x:c r="AT1904" t="str">
        <x:f>_xlfn.XLOOKUP($A1904,Games!$A$2:$A$18,Games!$O$2:$O$18,"Missing game",0)</x:f>
        <x:v>fieldturf</x:v>
      </x:c>
      <x:c r="AU1904" t="n">
        <x:f>_xlfn.XLOOKUP($A1904,Games!$A$2:$A$18,Games!$P$2:$P$18,"Missing game",0)</x:f>
        <x:v>45</x:v>
      </x:c>
      <x:c r="AV1904" t="n">
        <x:f>_xlfn.XLOOKUP($A1904,Games!$A$2:$A$18,Games!$Q$2:$Q$18,"Missing game",0)</x:f>
        <x:v>2</x:v>
      </x:c>
      <x:c r="AW1904" t="str">
        <x:f>_xlfn.XLOOKUP($A1904,Games!$A$2:$A$18,Games!$R$2:$R$18,"Missing game",0)</x:f>
        <x:v>Lumen Field</x:v>
      </x:c>
    </x:row>
    <x:row r="1905">
      <x:c r="A1905" t="str">
        <x:v>2025_13_MIN_SEA</x:v>
      </x:c>
      <x:c r="B1905" t="n">
        <x:v>1193</x:v>
      </x:c>
      <x:c r="C1905" t="n">
        <x:v>2</x:v>
      </x:c>
      <x:c r="D1905" t="str">
        <x:v>07:54</x:v>
      </x:c>
      <x:c r="E1905" t="n">
        <x:v>3</x:v>
      </x:c>
      <x:c r="F1905" t="n">
        <x:v>10</x:v>
      </x:c>
      <x:c r="G1905" t="str">
        <x:v>SEA</x:v>
      </x:c>
      <x:c r="H1905" t="str">
        <x:v>MIN</x:v>
      </x:c>
      <x:c r="I1905" t="str">
        <x:v>MIN</x:v>
      </x:c>
      <x:c r="J1905" t="n">
        <x:v>10</x:v>
      </x:c>
      <x:c r="K1905" t="str">
        <x:v>(7:54) (Shotgun) 14-S.Darnold sacked at MIN 15 for -5 yards (43-A.Van Ginkel).</x:v>
      </x:c>
      <x:c r="L1905" t="str">
        <x:v>pass</x:v>
      </x:c>
      <x:c r="M1905" t="n">
        <x:v>-5</x:v>
      </x:c>
      <x:c r="N1905" t="n">
        <x:v>1</x:v>
      </x:c>
      <x:c r="O1905" t="n">
        <x:v>0</x:v>
      </x:c>
      <x:c r="P1905"/>
      <x:c r="Q1905"/>
      <x:c r="R1905"/>
      <x:c r="S1905"/>
      <x:c r="T1905"/>
      <x:c r="U1905"/>
      <x:c r="V1905" t="n">
        <x:v>0</x:v>
      </x:c>
      <x:c r="W1905" t="n">
        <x:v>0</x:v>
      </x:c>
      <x:c r="X1905" t="n">
        <x:v>1</x:v>
      </x:c>
      <x:c r="Y1905" t="n">
        <x:v>0</x:v>
      </x:c>
      <x:c r="Z1905" t="n">
        <x:v>0</x:v>
      </x:c>
      <x:c r="AA1905" t="n">
        <x:v>0</x:v>
      </x:c>
      <x:c r="AB1905"/>
      <x:c r="AC1905" t="n">
        <x:v>0</x:v>
      </x:c>
      <x:c r="AD1905" t="n">
        <x:v>-1.0698100632684042</x:v>
      </x:c>
      <x:c r="AE1905" t="n">
        <x:v>0</x:v>
      </x:c>
      <x:c r="AF1905" t="n">
        <x:v>-0.04299062490463257</x:v>
      </x:c>
      <x:c r="AG1905" t="n">
        <x:f>_xlfn.XLOOKUP($A1905,Games!$A$2:$A$18,Games!$B$2:$B$18,"Missing game",0)</x:f>
        <x:v>2025</x:v>
      </x:c>
      <x:c r="AH1905" t="str">
        <x:f>_xlfn.XLOOKUP($A1905,Games!$A$2:$A$18,Games!$C$2:$C$18,"Missing game",0)</x:f>
        <x:v>REG</x:v>
      </x:c>
      <x:c r="AI1905" t="n">
        <x:f>_xlfn.XLOOKUP($A1905,Games!$A$2:$A$18,Games!$D$2:$D$18,"Missing game",0)</x:f>
        <x:v>13</x:v>
      </x:c>
      <x:c r="AJ1905" s="1" t="n">
        <x:f>_xlfn.XLOOKUP($A1905,Games!$A$2:$A$18,Games!$E$2:$E$18,"Missing game",0)</x:f>
        <x:v>45991</x:v>
      </x:c>
      <x:c r="AK1905" t="str">
        <x:f>_xlfn.XLOOKUP($A1905,Games!$A$2:$A$18,Games!$F$2:$F$18,"Missing game",0)</x:f>
        <x:v>Sunday</x:v>
      </x:c>
      <x:c r="AL1905" t="str">
        <x:f>_xlfn.XLOOKUP($A1905,Games!$A$2:$A$18,Games!$G$2:$G$18,"Missing game",0)</x:f>
        <x:v>MIN</x:v>
      </x:c>
      <x:c r="AM1905" t="n">
        <x:f>_xlfn.XLOOKUP($A1905,Games!$A$2:$A$18,Games!$H$2:$H$18,"Missing game",0)</x:f>
        <x:v>0</x:v>
      </x:c>
      <x:c r="AN1905" t="str">
        <x:f>_xlfn.XLOOKUP($A1905,Games!$A$2:$A$18,Games!$I$2:$I$18,"Missing game",0)</x:f>
        <x:v>SEA</x:v>
      </x:c>
      <x:c r="AO1905" t="n">
        <x:f>_xlfn.XLOOKUP($A1905,Games!$A$2:$A$18,Games!$J$2:$J$18,"Missing game",0)</x:f>
        <x:v>26</x:v>
      </x:c>
      <x:c r="AP1905" t="n">
        <x:f>_xlfn.XLOOKUP($A1905,Games!$A$2:$A$18,Games!$K$2:$K$18,"Missing game",0)</x:f>
        <x:v>26</x:v>
      </x:c>
      <x:c r="AQ1905" t="n">
        <x:f>_xlfn.XLOOKUP($A1905,Games!$A$2:$A$18,Games!$L$2:$L$18,"Missing game",0)</x:f>
        <x:v>26</x:v>
      </x:c>
      <x:c r="AR1905" t="n">
        <x:f>_xlfn.XLOOKUP($A1905,Games!$A$2:$A$18,Games!$M$2:$M$18,"Missing game",0)</x:f>
        <x:v>0</x:v>
      </x:c>
      <x:c r="AS1905" t="str">
        <x:f>_xlfn.XLOOKUP($A1905,Games!$A$2:$A$18,Games!$N$2:$N$18,"Missing game",0)</x:f>
        <x:v>outdoors</x:v>
      </x:c>
      <x:c r="AT1905" t="str">
        <x:f>_xlfn.XLOOKUP($A1905,Games!$A$2:$A$18,Games!$O$2:$O$18,"Missing game",0)</x:f>
        <x:v>fieldturf</x:v>
      </x:c>
      <x:c r="AU1905" t="n">
        <x:f>_xlfn.XLOOKUP($A1905,Games!$A$2:$A$18,Games!$P$2:$P$18,"Missing game",0)</x:f>
        <x:v>45</x:v>
      </x:c>
      <x:c r="AV1905" t="n">
        <x:f>_xlfn.XLOOKUP($A1905,Games!$A$2:$A$18,Games!$Q$2:$Q$18,"Missing game",0)</x:f>
        <x:v>2</x:v>
      </x:c>
      <x:c r="AW1905" t="str">
        <x:f>_xlfn.XLOOKUP($A1905,Games!$A$2:$A$18,Games!$R$2:$R$18,"Missing game",0)</x:f>
        <x:v>Lumen Field</x:v>
      </x:c>
    </x:row>
    <x:row r="1906">
      <x:c r="A1906" t="str">
        <x:v>2025_13_MIN_SEA</x:v>
      </x:c>
      <x:c r="B1906" t="n">
        <x:v>1213</x:v>
      </x:c>
      <x:c r="C1906" t="n">
        <x:v>2</x:v>
      </x:c>
      <x:c r="D1906" t="str">
        <x:v>07:12</x:v>
      </x:c>
      <x:c r="E1906" t="n">
        <x:v>4</x:v>
      </x:c>
      <x:c r="F1906" t="n">
        <x:v>15</x:v>
      </x:c>
      <x:c r="G1906" t="str">
        <x:v>SEA</x:v>
      </x:c>
      <x:c r="H1906" t="str">
        <x:v>MIN</x:v>
      </x:c>
      <x:c r="I1906" t="str">
        <x:v>MIN</x:v>
      </x:c>
      <x:c r="J1906" t="n">
        <x:v>15</x:v>
      </x:c>
      <x:c r="K1906" t="str">
        <x:v>(7:12) 5-J.Myers 33 yard field goal is GOOD, Center-41-C.Stoll, Holder-4-M.Dickson.</x:v>
      </x:c>
      <x:c r="L1906" t="str">
        <x:v>field_goal</x:v>
      </x:c>
      <x:c r="M1906" t="n">
        <x:v>0</x:v>
      </x:c>
      <x:c r="N1906" t="n">
        <x:v>0</x:v>
      </x:c>
      <x:c r="O1906" t="n">
        <x:v>0</x:v>
      </x:c>
      <x:c r="P1906"/>
      <x:c r="Q1906"/>
      <x:c r="R1906"/>
      <x:c r="S1906"/>
      <x:c r="T1906"/>
      <x:c r="U1906"/>
      <x:c r="V1906" t="n">
        <x:v>0</x:v>
      </x:c>
      <x:c r="W1906" t="n">
        <x:v>0</x:v>
      </x:c>
      <x:c r="X1906" t="n">
        <x:v>0</x:v>
      </x:c>
      <x:c r="Y1906" t="n">
        <x:v>0</x:v>
      </x:c>
      <x:c r="Z1906" t="n">
        <x:v>0</x:v>
      </x:c>
      <x:c r="AA1906" t="n">
        <x:v>0</x:v>
      </x:c>
      <x:c r="AB1906"/>
      <x:c r="AC1906" t="n">
        <x:v>0</x:v>
      </x:c>
      <x:c r="AD1906" t="n">
        <x:v>0.2611398742696007</x:v>
      </x:c>
      <x:c r="AE1906" t="n">
        <x:v>1</x:v>
      </x:c>
      <x:c r="AF1906" t="n">
        <x:v>0.013496816158294678</x:v>
      </x:c>
      <x:c r="AG1906" t="n">
        <x:f>_xlfn.XLOOKUP($A1906,Games!$A$2:$A$18,Games!$B$2:$B$18,"Missing game",0)</x:f>
        <x:v>2025</x:v>
      </x:c>
      <x:c r="AH1906" t="str">
        <x:f>_xlfn.XLOOKUP($A1906,Games!$A$2:$A$18,Games!$C$2:$C$18,"Missing game",0)</x:f>
        <x:v>REG</x:v>
      </x:c>
      <x:c r="AI1906" t="n">
        <x:f>_xlfn.XLOOKUP($A1906,Games!$A$2:$A$18,Games!$D$2:$D$18,"Missing game",0)</x:f>
        <x:v>13</x:v>
      </x:c>
      <x:c r="AJ1906" s="1" t="n">
        <x:f>_xlfn.XLOOKUP($A1906,Games!$A$2:$A$18,Games!$E$2:$E$18,"Missing game",0)</x:f>
        <x:v>45991</x:v>
      </x:c>
      <x:c r="AK1906" t="str">
        <x:f>_xlfn.XLOOKUP($A1906,Games!$A$2:$A$18,Games!$F$2:$F$18,"Missing game",0)</x:f>
        <x:v>Sunday</x:v>
      </x:c>
      <x:c r="AL1906" t="str">
        <x:f>_xlfn.XLOOKUP($A1906,Games!$A$2:$A$18,Games!$G$2:$G$18,"Missing game",0)</x:f>
        <x:v>MIN</x:v>
      </x:c>
      <x:c r="AM1906" t="n">
        <x:f>_xlfn.XLOOKUP($A1906,Games!$A$2:$A$18,Games!$H$2:$H$18,"Missing game",0)</x:f>
        <x:v>0</x:v>
      </x:c>
      <x:c r="AN1906" t="str">
        <x:f>_xlfn.XLOOKUP($A1906,Games!$A$2:$A$18,Games!$I$2:$I$18,"Missing game",0)</x:f>
        <x:v>SEA</x:v>
      </x:c>
      <x:c r="AO1906" t="n">
        <x:f>_xlfn.XLOOKUP($A1906,Games!$A$2:$A$18,Games!$J$2:$J$18,"Missing game",0)</x:f>
        <x:v>26</x:v>
      </x:c>
      <x:c r="AP1906" t="n">
        <x:f>_xlfn.XLOOKUP($A1906,Games!$A$2:$A$18,Games!$K$2:$K$18,"Missing game",0)</x:f>
        <x:v>26</x:v>
      </x:c>
      <x:c r="AQ1906" t="n">
        <x:f>_xlfn.XLOOKUP($A1906,Games!$A$2:$A$18,Games!$L$2:$L$18,"Missing game",0)</x:f>
        <x:v>26</x:v>
      </x:c>
      <x:c r="AR1906" t="n">
        <x:f>_xlfn.XLOOKUP($A1906,Games!$A$2:$A$18,Games!$M$2:$M$18,"Missing game",0)</x:f>
        <x:v>0</x:v>
      </x:c>
      <x:c r="AS1906" t="str">
        <x:f>_xlfn.XLOOKUP($A1906,Games!$A$2:$A$18,Games!$N$2:$N$18,"Missing game",0)</x:f>
        <x:v>outdoors</x:v>
      </x:c>
      <x:c r="AT1906" t="str">
        <x:f>_xlfn.XLOOKUP($A1906,Games!$A$2:$A$18,Games!$O$2:$O$18,"Missing game",0)</x:f>
        <x:v>fieldturf</x:v>
      </x:c>
      <x:c r="AU1906" t="n">
        <x:f>_xlfn.XLOOKUP($A1906,Games!$A$2:$A$18,Games!$P$2:$P$18,"Missing game",0)</x:f>
        <x:v>45</x:v>
      </x:c>
      <x:c r="AV1906" t="n">
        <x:f>_xlfn.XLOOKUP($A1906,Games!$A$2:$A$18,Games!$Q$2:$Q$18,"Missing game",0)</x:f>
        <x:v>2</x:v>
      </x:c>
      <x:c r="AW1906" t="str">
        <x:f>_xlfn.XLOOKUP($A1906,Games!$A$2:$A$18,Games!$R$2:$R$18,"Missing game",0)</x:f>
        <x:v>Lumen Field</x:v>
      </x:c>
    </x:row>
    <x:row r="1907">
      <x:c r="A1907" t="str">
        <x:v>2025_13_MIN_SEA</x:v>
      </x:c>
      <x:c r="B1907" t="n">
        <x:v>1240</x:v>
      </x:c>
      <x:c r="C1907" t="n">
        <x:v>2</x:v>
      </x:c>
      <x:c r="D1907" t="str">
        <x:v>07:10</x:v>
      </x:c>
      <x:c r="E1907"/>
      <x:c r="F1907" t="n">
        <x:v>0</x:v>
      </x:c>
      <x:c r="G1907" t="str">
        <x:v>MIN</x:v>
      </x:c>
      <x:c r="H1907" t="str">
        <x:v>SEA</x:v>
      </x:c>
      <x:c r="I1907" t="str">
        <x:v>SEA</x:v>
      </x:c>
      <x:c r="J1907" t="n">
        <x:v>35</x:v>
      </x:c>
      <x:c r="K1907" t="str">
        <x:v>5-J.Myers kicks 63 yards from SEA 35 to MIN 2. 4-M.Price pushed ob at MIN 29 for 27 yards (28-N.Pritchett).</x:v>
      </x:c>
      <x:c r="L1907" t="str">
        <x:v>kickoff</x:v>
      </x:c>
      <x:c r="M1907" t="n">
        <x:v>0</x:v>
      </x:c>
      <x:c r="N1907" t="n">
        <x:v>0</x:v>
      </x:c>
      <x:c r="O1907" t="n">
        <x:v>0</x:v>
      </x:c>
      <x:c r="P1907"/>
      <x:c r="Q1907"/>
      <x:c r="R1907"/>
      <x:c r="S1907"/>
      <x:c r="T1907"/>
      <x:c r="U1907"/>
      <x:c r="V1907" t="n">
        <x:v>0</x:v>
      </x:c>
      <x:c r="W1907" t="n">
        <x:v>0</x:v>
      </x:c>
      <x:c r="X1907" t="n">
        <x:v>0</x:v>
      </x:c>
      <x:c r="Y1907" t="n">
        <x:v>0</x:v>
      </x:c>
      <x:c r="Z1907" t="n">
        <x:v>0</x:v>
      </x:c>
      <x:c r="AA1907" t="n">
        <x:v>0</x:v>
      </x:c>
      <x:c r="AB1907"/>
      <x:c r="AC1907" t="n">
        <x:v>0</x:v>
      </x:c>
      <x:c r="AD1907" t="n">
        <x:v>0.26879041409119964</x:v>
      </x:c>
      <x:c r="AE1907" t="n">
        <x:v>1</x:v>
      </x:c>
      <x:c r="AF1907" t="n">
        <x:v>0.0019107162952423096</x:v>
      </x:c>
      <x:c r="AG1907" t="n">
        <x:f>_xlfn.XLOOKUP($A1907,Games!$A$2:$A$18,Games!$B$2:$B$18,"Missing game",0)</x:f>
        <x:v>2025</x:v>
      </x:c>
      <x:c r="AH1907" t="str">
        <x:f>_xlfn.XLOOKUP($A1907,Games!$A$2:$A$18,Games!$C$2:$C$18,"Missing game",0)</x:f>
        <x:v>REG</x:v>
      </x:c>
      <x:c r="AI1907" t="n">
        <x:f>_xlfn.XLOOKUP($A1907,Games!$A$2:$A$18,Games!$D$2:$D$18,"Missing game",0)</x:f>
        <x:v>13</x:v>
      </x:c>
      <x:c r="AJ1907" s="1" t="n">
        <x:f>_xlfn.XLOOKUP($A1907,Games!$A$2:$A$18,Games!$E$2:$E$18,"Missing game",0)</x:f>
        <x:v>45991</x:v>
      </x:c>
      <x:c r="AK1907" t="str">
        <x:f>_xlfn.XLOOKUP($A1907,Games!$A$2:$A$18,Games!$F$2:$F$18,"Missing game",0)</x:f>
        <x:v>Sunday</x:v>
      </x:c>
      <x:c r="AL1907" t="str">
        <x:f>_xlfn.XLOOKUP($A1907,Games!$A$2:$A$18,Games!$G$2:$G$18,"Missing game",0)</x:f>
        <x:v>MIN</x:v>
      </x:c>
      <x:c r="AM1907" t="n">
        <x:f>_xlfn.XLOOKUP($A1907,Games!$A$2:$A$18,Games!$H$2:$H$18,"Missing game",0)</x:f>
        <x:v>0</x:v>
      </x:c>
      <x:c r="AN1907" t="str">
        <x:f>_xlfn.XLOOKUP($A1907,Games!$A$2:$A$18,Games!$I$2:$I$18,"Missing game",0)</x:f>
        <x:v>SEA</x:v>
      </x:c>
      <x:c r="AO1907" t="n">
        <x:f>_xlfn.XLOOKUP($A1907,Games!$A$2:$A$18,Games!$J$2:$J$18,"Missing game",0)</x:f>
        <x:v>26</x:v>
      </x:c>
      <x:c r="AP1907" t="n">
        <x:f>_xlfn.XLOOKUP($A1907,Games!$A$2:$A$18,Games!$K$2:$K$18,"Missing game",0)</x:f>
        <x:v>26</x:v>
      </x:c>
      <x:c r="AQ1907" t="n">
        <x:f>_xlfn.XLOOKUP($A1907,Games!$A$2:$A$18,Games!$L$2:$L$18,"Missing game",0)</x:f>
        <x:v>26</x:v>
      </x:c>
      <x:c r="AR1907" t="n">
        <x:f>_xlfn.XLOOKUP($A1907,Games!$A$2:$A$18,Games!$M$2:$M$18,"Missing game",0)</x:f>
        <x:v>0</x:v>
      </x:c>
      <x:c r="AS1907" t="str">
        <x:f>_xlfn.XLOOKUP($A1907,Games!$A$2:$A$18,Games!$N$2:$N$18,"Missing game",0)</x:f>
        <x:v>outdoors</x:v>
      </x:c>
      <x:c r="AT1907" t="str">
        <x:f>_xlfn.XLOOKUP($A1907,Games!$A$2:$A$18,Games!$O$2:$O$18,"Missing game",0)</x:f>
        <x:v>fieldturf</x:v>
      </x:c>
      <x:c r="AU1907" t="n">
        <x:f>_xlfn.XLOOKUP($A1907,Games!$A$2:$A$18,Games!$P$2:$P$18,"Missing game",0)</x:f>
        <x:v>45</x:v>
      </x:c>
      <x:c r="AV1907" t="n">
        <x:f>_xlfn.XLOOKUP($A1907,Games!$A$2:$A$18,Games!$Q$2:$Q$18,"Missing game",0)</x:f>
        <x:v>2</x:v>
      </x:c>
      <x:c r="AW1907" t="str">
        <x:f>_xlfn.XLOOKUP($A1907,Games!$A$2:$A$18,Games!$R$2:$R$18,"Missing game",0)</x:f>
        <x:v>Lumen Field</x:v>
      </x:c>
    </x:row>
    <x:row r="1908">
      <x:c r="A1908" t="str">
        <x:v>2025_13_MIN_SEA</x:v>
      </x:c>
      <x:c r="B1908" t="n">
        <x:v>1268</x:v>
      </x:c>
      <x:c r="C1908" t="n">
        <x:v>2</x:v>
      </x:c>
      <x:c r="D1908" t="str">
        <x:v>07:04</x:v>
      </x:c>
      <x:c r="E1908" t="n">
        <x:v>1</x:v>
      </x:c>
      <x:c r="F1908" t="n">
        <x:v>10</x:v>
      </x:c>
      <x:c r="G1908" t="str">
        <x:v>MIN</x:v>
      </x:c>
      <x:c r="H1908" t="str">
        <x:v>SEA</x:v>
      </x:c>
      <x:c r="I1908" t="str">
        <x:v>MIN</x:v>
      </x:c>
      <x:c r="J1908" t="n">
        <x:v>71</x:v>
      </x:c>
      <x:c r="K1908" t="str">
        <x:v>(7:04) 12-M.Brosmer pass short left to 87-T.Hockenson to MIN 42 for 13 yards (21-D.Witherspoon).</x:v>
      </x:c>
      <x:c r="L1908" t="str">
        <x:v>pass</x:v>
      </x:c>
      <x:c r="M1908" t="n">
        <x:v>13</x:v>
      </x:c>
      <x:c r="N1908" t="n">
        <x:v>0</x:v>
      </x:c>
      <x:c r="O1908" t="n">
        <x:v>0</x:v>
      </x:c>
      <x:c r="P1908" t="str">
        <x:v>short</x:v>
      </x:c>
      <x:c r="Q1908" t="str">
        <x:v>left</x:v>
      </x:c>
      <x:c r="R1908" t="n">
        <x:v>-1</x:v>
      </x:c>
      <x:c r="S1908" t="n">
        <x:v>14</x:v>
      </x:c>
      <x:c r="T1908"/>
      <x:c r="U1908"/>
      <x:c r="V1908" t="n">
        <x:v>1</x:v>
      </x:c>
      <x:c r="W1908" t="n">
        <x:v>1</x:v>
      </x:c>
      <x:c r="X1908" t="n">
        <x:v>0</x:v>
      </x:c>
      <x:c r="Y1908" t="n">
        <x:v>0</x:v>
      </x:c>
      <x:c r="Z1908" t="n">
        <x:v>0</x:v>
      </x:c>
      <x:c r="AA1908" t="n">
        <x:v>0</x:v>
      </x:c>
      <x:c r="AB1908"/>
      <x:c r="AC1908" t="n">
        <x:v>0</x:v>
      </x:c>
      <x:c r="AD1908" t="n">
        <x:v>0.7363975732587278</x:v>
      </x:c>
      <x:c r="AE1908" t="n">
        <x:v>1</x:v>
      </x:c>
      <x:c r="AF1908" t="n">
        <x:v>0.018188267946243286</x:v>
      </x:c>
      <x:c r="AG1908" t="n">
        <x:f>_xlfn.XLOOKUP($A1908,Games!$A$2:$A$18,Games!$B$2:$B$18,"Missing game",0)</x:f>
        <x:v>2025</x:v>
      </x:c>
      <x:c r="AH1908" t="str">
        <x:f>_xlfn.XLOOKUP($A1908,Games!$A$2:$A$18,Games!$C$2:$C$18,"Missing game",0)</x:f>
        <x:v>REG</x:v>
      </x:c>
      <x:c r="AI1908" t="n">
        <x:f>_xlfn.XLOOKUP($A1908,Games!$A$2:$A$18,Games!$D$2:$D$18,"Missing game",0)</x:f>
        <x:v>13</x:v>
      </x:c>
      <x:c r="AJ1908" s="1" t="n">
        <x:f>_xlfn.XLOOKUP($A1908,Games!$A$2:$A$18,Games!$E$2:$E$18,"Missing game",0)</x:f>
        <x:v>45991</x:v>
      </x:c>
      <x:c r="AK1908" t="str">
        <x:f>_xlfn.XLOOKUP($A1908,Games!$A$2:$A$18,Games!$F$2:$F$18,"Missing game",0)</x:f>
        <x:v>Sunday</x:v>
      </x:c>
      <x:c r="AL1908" t="str">
        <x:f>_xlfn.XLOOKUP($A1908,Games!$A$2:$A$18,Games!$G$2:$G$18,"Missing game",0)</x:f>
        <x:v>MIN</x:v>
      </x:c>
      <x:c r="AM1908" t="n">
        <x:f>_xlfn.XLOOKUP($A1908,Games!$A$2:$A$18,Games!$H$2:$H$18,"Missing game",0)</x:f>
        <x:v>0</x:v>
      </x:c>
      <x:c r="AN1908" t="str">
        <x:f>_xlfn.XLOOKUP($A1908,Games!$A$2:$A$18,Games!$I$2:$I$18,"Missing game",0)</x:f>
        <x:v>SEA</x:v>
      </x:c>
      <x:c r="AO1908" t="n">
        <x:f>_xlfn.XLOOKUP($A1908,Games!$A$2:$A$18,Games!$J$2:$J$18,"Missing game",0)</x:f>
        <x:v>26</x:v>
      </x:c>
      <x:c r="AP1908" t="n">
        <x:f>_xlfn.XLOOKUP($A1908,Games!$A$2:$A$18,Games!$K$2:$K$18,"Missing game",0)</x:f>
        <x:v>26</x:v>
      </x:c>
      <x:c r="AQ1908" t="n">
        <x:f>_xlfn.XLOOKUP($A1908,Games!$A$2:$A$18,Games!$L$2:$L$18,"Missing game",0)</x:f>
        <x:v>26</x:v>
      </x:c>
      <x:c r="AR1908" t="n">
        <x:f>_xlfn.XLOOKUP($A1908,Games!$A$2:$A$18,Games!$M$2:$M$18,"Missing game",0)</x:f>
        <x:v>0</x:v>
      </x:c>
      <x:c r="AS1908" t="str">
        <x:f>_xlfn.XLOOKUP($A1908,Games!$A$2:$A$18,Games!$N$2:$N$18,"Missing game",0)</x:f>
        <x:v>outdoors</x:v>
      </x:c>
      <x:c r="AT1908" t="str">
        <x:f>_xlfn.XLOOKUP($A1908,Games!$A$2:$A$18,Games!$O$2:$O$18,"Missing game",0)</x:f>
        <x:v>fieldturf</x:v>
      </x:c>
      <x:c r="AU1908" t="n">
        <x:f>_xlfn.XLOOKUP($A1908,Games!$A$2:$A$18,Games!$P$2:$P$18,"Missing game",0)</x:f>
        <x:v>45</x:v>
      </x:c>
      <x:c r="AV1908" t="n">
        <x:f>_xlfn.XLOOKUP($A1908,Games!$A$2:$A$18,Games!$Q$2:$Q$18,"Missing game",0)</x:f>
        <x:v>2</x:v>
      </x:c>
      <x:c r="AW1908" t="str">
        <x:f>_xlfn.XLOOKUP($A1908,Games!$A$2:$A$18,Games!$R$2:$R$18,"Missing game",0)</x:f>
        <x:v>Lumen Field</x:v>
      </x:c>
    </x:row>
    <x:row r="1909">
      <x:c r="A1909" t="str">
        <x:v>2025_13_MIN_SEA</x:v>
      </x:c>
      <x:c r="B1909" t="n">
        <x:v>1303</x:v>
      </x:c>
      <x:c r="C1909" t="n">
        <x:v>2</x:v>
      </x:c>
      <x:c r="D1909" t="str">
        <x:v>06:20</x:v>
      </x:c>
      <x:c r="E1909" t="n">
        <x:v>1</x:v>
      </x:c>
      <x:c r="F1909" t="n">
        <x:v>10</x:v>
      </x:c>
      <x:c r="G1909" t="str">
        <x:v>MIN</x:v>
      </x:c>
      <x:c r="H1909" t="str">
        <x:v>SEA</x:v>
      </x:c>
      <x:c r="I1909" t="str">
        <x:v>MIN</x:v>
      </x:c>
      <x:c r="J1909" t="n">
        <x:v>58</x:v>
      </x:c>
      <x:c r="K1909" t="str">
        <x:v>(6:20) (Shotgun) 12-M.Brosmer pass incomplete short right to 18-J.Jefferson.</x:v>
      </x:c>
      <x:c r="L1909" t="str">
        <x:v>pass</x:v>
      </x:c>
      <x:c r="M1909" t="n">
        <x:v>0</x:v>
      </x:c>
      <x:c r="N1909" t="n">
        <x:v>1</x:v>
      </x:c>
      <x:c r="O1909" t="n">
        <x:v>0</x:v>
      </x:c>
      <x:c r="P1909" t="str">
        <x:v>short</x:v>
      </x:c>
      <x:c r="Q1909" t="str">
        <x:v>right</x:v>
      </x:c>
      <x:c r="R1909" t="n">
        <x:v>8</x:v>
      </x:c>
      <x:c r="S1909"/>
      <x:c r="T1909"/>
      <x:c r="U1909"/>
      <x:c r="V1909" t="n">
        <x:v>0</x:v>
      </x:c>
      <x:c r="W1909" t="n">
        <x:v>0</x:v>
      </x:c>
      <x:c r="X1909" t="n">
        <x:v>0</x:v>
      </x:c>
      <x:c r="Y1909" t="n">
        <x:v>0</x:v>
      </x:c>
      <x:c r="Z1909" t="n">
        <x:v>0</x:v>
      </x:c>
      <x:c r="AA1909" t="n">
        <x:v>0</x:v>
      </x:c>
      <x:c r="AB1909"/>
      <x:c r="AC1909" t="n">
        <x:v>0</x:v>
      </x:c>
      <x:c r="AD1909" t="n">
        <x:v>-0.4677679480519146</x:v>
      </x:c>
      <x:c r="AE1909" t="n">
        <x:v>0</x:v>
      </x:c>
      <x:c r="AF1909" t="n">
        <x:v>-0.017890900373458862</x:v>
      </x:c>
      <x:c r="AG1909" t="n">
        <x:f>_xlfn.XLOOKUP($A1909,Games!$A$2:$A$18,Games!$B$2:$B$18,"Missing game",0)</x:f>
        <x:v>2025</x:v>
      </x:c>
      <x:c r="AH1909" t="str">
        <x:f>_xlfn.XLOOKUP($A1909,Games!$A$2:$A$18,Games!$C$2:$C$18,"Missing game",0)</x:f>
        <x:v>REG</x:v>
      </x:c>
      <x:c r="AI1909" t="n">
        <x:f>_xlfn.XLOOKUP($A1909,Games!$A$2:$A$18,Games!$D$2:$D$18,"Missing game",0)</x:f>
        <x:v>13</x:v>
      </x:c>
      <x:c r="AJ1909" s="1" t="n">
        <x:f>_xlfn.XLOOKUP($A1909,Games!$A$2:$A$18,Games!$E$2:$E$18,"Missing game",0)</x:f>
        <x:v>45991</x:v>
      </x:c>
      <x:c r="AK1909" t="str">
        <x:f>_xlfn.XLOOKUP($A1909,Games!$A$2:$A$18,Games!$F$2:$F$18,"Missing game",0)</x:f>
        <x:v>Sunday</x:v>
      </x:c>
      <x:c r="AL1909" t="str">
        <x:f>_xlfn.XLOOKUP($A1909,Games!$A$2:$A$18,Games!$G$2:$G$18,"Missing game",0)</x:f>
        <x:v>MIN</x:v>
      </x:c>
      <x:c r="AM1909" t="n">
        <x:f>_xlfn.XLOOKUP($A1909,Games!$A$2:$A$18,Games!$H$2:$H$18,"Missing game",0)</x:f>
        <x:v>0</x:v>
      </x:c>
      <x:c r="AN1909" t="str">
        <x:f>_xlfn.XLOOKUP($A1909,Games!$A$2:$A$18,Games!$I$2:$I$18,"Missing game",0)</x:f>
        <x:v>SEA</x:v>
      </x:c>
      <x:c r="AO1909" t="n">
        <x:f>_xlfn.XLOOKUP($A1909,Games!$A$2:$A$18,Games!$J$2:$J$18,"Missing game",0)</x:f>
        <x:v>26</x:v>
      </x:c>
      <x:c r="AP1909" t="n">
        <x:f>_xlfn.XLOOKUP($A1909,Games!$A$2:$A$18,Games!$K$2:$K$18,"Missing game",0)</x:f>
        <x:v>26</x:v>
      </x:c>
      <x:c r="AQ1909" t="n">
        <x:f>_xlfn.XLOOKUP($A1909,Games!$A$2:$A$18,Games!$L$2:$L$18,"Missing game",0)</x:f>
        <x:v>26</x:v>
      </x:c>
      <x:c r="AR1909" t="n">
        <x:f>_xlfn.XLOOKUP($A1909,Games!$A$2:$A$18,Games!$M$2:$M$18,"Missing game",0)</x:f>
        <x:v>0</x:v>
      </x:c>
      <x:c r="AS1909" t="str">
        <x:f>_xlfn.XLOOKUP($A1909,Games!$A$2:$A$18,Games!$N$2:$N$18,"Missing game",0)</x:f>
        <x:v>outdoors</x:v>
      </x:c>
      <x:c r="AT1909" t="str">
        <x:f>_xlfn.XLOOKUP($A1909,Games!$A$2:$A$18,Games!$O$2:$O$18,"Missing game",0)</x:f>
        <x:v>fieldturf</x:v>
      </x:c>
      <x:c r="AU1909" t="n">
        <x:f>_xlfn.XLOOKUP($A1909,Games!$A$2:$A$18,Games!$P$2:$P$18,"Missing game",0)</x:f>
        <x:v>45</x:v>
      </x:c>
      <x:c r="AV1909" t="n">
        <x:f>_xlfn.XLOOKUP($A1909,Games!$A$2:$A$18,Games!$Q$2:$Q$18,"Missing game",0)</x:f>
        <x:v>2</x:v>
      </x:c>
      <x:c r="AW1909" t="str">
        <x:f>_xlfn.XLOOKUP($A1909,Games!$A$2:$A$18,Games!$R$2:$R$18,"Missing game",0)</x:f>
        <x:v>Lumen Field</x:v>
      </x:c>
    </x:row>
    <x:row r="1910">
      <x:c r="A1910" t="str">
        <x:v>2025_13_MIN_SEA</x:v>
      </x:c>
      <x:c r="B1910" t="n">
        <x:v>1326</x:v>
      </x:c>
      <x:c r="C1910" t="n">
        <x:v>2</x:v>
      </x:c>
      <x:c r="D1910" t="str">
        <x:v>06:14</x:v>
      </x:c>
      <x:c r="E1910" t="n">
        <x:v>2</x:v>
      </x:c>
      <x:c r="F1910" t="n">
        <x:v>10</x:v>
      </x:c>
      <x:c r="G1910" t="str">
        <x:v>MIN</x:v>
      </x:c>
      <x:c r="H1910" t="str">
        <x:v>SEA</x:v>
      </x:c>
      <x:c r="I1910" t="str">
        <x:v>MIN</x:v>
      </x:c>
      <x:c r="J1910" t="n">
        <x:v>58</x:v>
      </x:c>
      <x:c r="K1910" t="str">
        <x:v>(6:14) (Shotgun) 12-M.Brosmer pass short middle to 3-J.Addison to MIN 47 for 5 yards (27-T.Woolen).</x:v>
      </x:c>
      <x:c r="L1910" t="str">
        <x:v>pass</x:v>
      </x:c>
      <x:c r="M1910" t="n">
        <x:v>5</x:v>
      </x:c>
      <x:c r="N1910" t="n">
        <x:v>1</x:v>
      </x:c>
      <x:c r="O1910" t="n">
        <x:v>0</x:v>
      </x:c>
      <x:c r="P1910" t="str">
        <x:v>short</x:v>
      </x:c>
      <x:c r="Q1910" t="str">
        <x:v>middle</x:v>
      </x:c>
      <x:c r="R1910" t="n">
        <x:v>5</x:v>
      </x:c>
      <x:c r="S1910" t="n">
        <x:v>0</x:v>
      </x:c>
      <x:c r="T1910"/>
      <x:c r="U1910"/>
      <x:c r="V1910" t="n">
        <x:v>1</x:v>
      </x:c>
      <x:c r="W1910" t="n">
        <x:v>0</x:v>
      </x:c>
      <x:c r="X1910" t="n">
        <x:v>0</x:v>
      </x:c>
      <x:c r="Y1910" t="n">
        <x:v>0</x:v>
      </x:c>
      <x:c r="Z1910" t="n">
        <x:v>0</x:v>
      </x:c>
      <x:c r="AA1910" t="n">
        <x:v>0</x:v>
      </x:c>
      <x:c r="AB1910"/>
      <x:c r="AC1910" t="n">
        <x:v>0</x:v>
      </x:c>
      <x:c r="AD1910" t="n">
        <x:v>-0.21511201513931155</x:v>
      </x:c>
      <x:c r="AE1910" t="n">
        <x:v>0</x:v>
      </x:c>
      <x:c r="AF1910" t="n">
        <x:v>-0.006386369466781616</x:v>
      </x:c>
      <x:c r="AG1910" t="n">
        <x:f>_xlfn.XLOOKUP($A1910,Games!$A$2:$A$18,Games!$B$2:$B$18,"Missing game",0)</x:f>
        <x:v>2025</x:v>
      </x:c>
      <x:c r="AH1910" t="str">
        <x:f>_xlfn.XLOOKUP($A1910,Games!$A$2:$A$18,Games!$C$2:$C$18,"Missing game",0)</x:f>
        <x:v>REG</x:v>
      </x:c>
      <x:c r="AI1910" t="n">
        <x:f>_xlfn.XLOOKUP($A1910,Games!$A$2:$A$18,Games!$D$2:$D$18,"Missing game",0)</x:f>
        <x:v>13</x:v>
      </x:c>
      <x:c r="AJ1910" s="1" t="n">
        <x:f>_xlfn.XLOOKUP($A1910,Games!$A$2:$A$18,Games!$E$2:$E$18,"Missing game",0)</x:f>
        <x:v>45991</x:v>
      </x:c>
      <x:c r="AK1910" t="str">
        <x:f>_xlfn.XLOOKUP($A1910,Games!$A$2:$A$18,Games!$F$2:$F$18,"Missing game",0)</x:f>
        <x:v>Sunday</x:v>
      </x:c>
      <x:c r="AL1910" t="str">
        <x:f>_xlfn.XLOOKUP($A1910,Games!$A$2:$A$18,Games!$G$2:$G$18,"Missing game",0)</x:f>
        <x:v>MIN</x:v>
      </x:c>
      <x:c r="AM1910" t="n">
        <x:f>_xlfn.XLOOKUP($A1910,Games!$A$2:$A$18,Games!$H$2:$H$18,"Missing game",0)</x:f>
        <x:v>0</x:v>
      </x:c>
      <x:c r="AN1910" t="str">
        <x:f>_xlfn.XLOOKUP($A1910,Games!$A$2:$A$18,Games!$I$2:$I$18,"Missing game",0)</x:f>
        <x:v>SEA</x:v>
      </x:c>
      <x:c r="AO1910" t="n">
        <x:f>_xlfn.XLOOKUP($A1910,Games!$A$2:$A$18,Games!$J$2:$J$18,"Missing game",0)</x:f>
        <x:v>26</x:v>
      </x:c>
      <x:c r="AP1910" t="n">
        <x:f>_xlfn.XLOOKUP($A1910,Games!$A$2:$A$18,Games!$K$2:$K$18,"Missing game",0)</x:f>
        <x:v>26</x:v>
      </x:c>
      <x:c r="AQ1910" t="n">
        <x:f>_xlfn.XLOOKUP($A1910,Games!$A$2:$A$18,Games!$L$2:$L$18,"Missing game",0)</x:f>
        <x:v>26</x:v>
      </x:c>
      <x:c r="AR1910" t="n">
        <x:f>_xlfn.XLOOKUP($A1910,Games!$A$2:$A$18,Games!$M$2:$M$18,"Missing game",0)</x:f>
        <x:v>0</x:v>
      </x:c>
      <x:c r="AS1910" t="str">
        <x:f>_xlfn.XLOOKUP($A1910,Games!$A$2:$A$18,Games!$N$2:$N$18,"Missing game",0)</x:f>
        <x:v>outdoors</x:v>
      </x:c>
      <x:c r="AT1910" t="str">
        <x:f>_xlfn.XLOOKUP($A1910,Games!$A$2:$A$18,Games!$O$2:$O$18,"Missing game",0)</x:f>
        <x:v>fieldturf</x:v>
      </x:c>
      <x:c r="AU1910" t="n">
        <x:f>_xlfn.XLOOKUP($A1910,Games!$A$2:$A$18,Games!$P$2:$P$18,"Missing game",0)</x:f>
        <x:v>45</x:v>
      </x:c>
      <x:c r="AV1910" t="n">
        <x:f>_xlfn.XLOOKUP($A1910,Games!$A$2:$A$18,Games!$Q$2:$Q$18,"Missing game",0)</x:f>
        <x:v>2</x:v>
      </x:c>
      <x:c r="AW1910" t="str">
        <x:f>_xlfn.XLOOKUP($A1910,Games!$A$2:$A$18,Games!$R$2:$R$18,"Missing game",0)</x:f>
        <x:v>Lumen Field</x:v>
      </x:c>
    </x:row>
    <x:row r="1911">
      <x:c r="A1911" t="str">
        <x:v>2025_13_MIN_SEA</x:v>
      </x:c>
      <x:c r="B1911" t="n">
        <x:v>1351</x:v>
      </x:c>
      <x:c r="C1911" t="n">
        <x:v>2</x:v>
      </x:c>
      <x:c r="D1911" t="str">
        <x:v>05:40</x:v>
      </x:c>
      <x:c r="E1911" t="n">
        <x:v>3</x:v>
      </x:c>
      <x:c r="F1911" t="n">
        <x:v>5</x:v>
      </x:c>
      <x:c r="G1911" t="str">
        <x:v>MIN</x:v>
      </x:c>
      <x:c r="H1911" t="str">
        <x:v>SEA</x:v>
      </x:c>
      <x:c r="I1911" t="str">
        <x:v>MIN</x:v>
      </x:c>
      <x:c r="J1911" t="n">
        <x:v>53</x:v>
      </x:c>
      <x:c r="K1911" t="str">
        <x:v>(5:40) (Shotgun) 12-M.Brosmer pass incomplete deep right to 18-J.Jefferson (3-N.Emmanwori).</x:v>
      </x:c>
      <x:c r="L1911" t="str">
        <x:v>pass</x:v>
      </x:c>
      <x:c r="M1911" t="n">
        <x:v>0</x:v>
      </x:c>
      <x:c r="N1911" t="n">
        <x:v>1</x:v>
      </x:c>
      <x:c r="O1911" t="n">
        <x:v>0</x:v>
      </x:c>
      <x:c r="P1911" t="str">
        <x:v>deep</x:v>
      </x:c>
      <x:c r="Q1911" t="str">
        <x:v>right</x:v>
      </x:c>
      <x:c r="R1911" t="n">
        <x:v>19</x:v>
      </x:c>
      <x:c r="S1911"/>
      <x:c r="T1911"/>
      <x:c r="U1911"/>
      <x:c r="V1911" t="n">
        <x:v>0</x:v>
      </x:c>
      <x:c r="W1911" t="n">
        <x:v>0</x:v>
      </x:c>
      <x:c r="X1911" t="n">
        <x:v>0</x:v>
      </x:c>
      <x:c r="Y1911" t="n">
        <x:v>0</x:v>
      </x:c>
      <x:c r="Z1911" t="n">
        <x:v>0</x:v>
      </x:c>
      <x:c r="AA1911" t="n">
        <x:v>0</x:v>
      </x:c>
      <x:c r="AB1911"/>
      <x:c r="AC1911" t="n">
        <x:v>0</x:v>
      </x:c>
      <x:c r="AD1911" t="n">
        <x:v>-1.5210049550514668</x:v>
      </x:c>
      <x:c r="AE1911" t="n">
        <x:v>0</x:v>
      </x:c>
      <x:c r="AF1911" t="n">
        <x:v>-0.047153323888778687</x:v>
      </x:c>
      <x:c r="AG1911" t="n">
        <x:f>_xlfn.XLOOKUP($A1911,Games!$A$2:$A$18,Games!$B$2:$B$18,"Missing game",0)</x:f>
        <x:v>2025</x:v>
      </x:c>
      <x:c r="AH1911" t="str">
        <x:f>_xlfn.XLOOKUP($A1911,Games!$A$2:$A$18,Games!$C$2:$C$18,"Missing game",0)</x:f>
        <x:v>REG</x:v>
      </x:c>
      <x:c r="AI1911" t="n">
        <x:f>_xlfn.XLOOKUP($A1911,Games!$A$2:$A$18,Games!$D$2:$D$18,"Missing game",0)</x:f>
        <x:v>13</x:v>
      </x:c>
      <x:c r="AJ1911" s="1" t="n">
        <x:f>_xlfn.XLOOKUP($A1911,Games!$A$2:$A$18,Games!$E$2:$E$18,"Missing game",0)</x:f>
        <x:v>45991</x:v>
      </x:c>
      <x:c r="AK1911" t="str">
        <x:f>_xlfn.XLOOKUP($A1911,Games!$A$2:$A$18,Games!$F$2:$F$18,"Missing game",0)</x:f>
        <x:v>Sunday</x:v>
      </x:c>
      <x:c r="AL1911" t="str">
        <x:f>_xlfn.XLOOKUP($A1911,Games!$A$2:$A$18,Games!$G$2:$G$18,"Missing game",0)</x:f>
        <x:v>MIN</x:v>
      </x:c>
      <x:c r="AM1911" t="n">
        <x:f>_xlfn.XLOOKUP($A1911,Games!$A$2:$A$18,Games!$H$2:$H$18,"Missing game",0)</x:f>
        <x:v>0</x:v>
      </x:c>
      <x:c r="AN1911" t="str">
        <x:f>_xlfn.XLOOKUP($A1911,Games!$A$2:$A$18,Games!$I$2:$I$18,"Missing game",0)</x:f>
        <x:v>SEA</x:v>
      </x:c>
      <x:c r="AO1911" t="n">
        <x:f>_xlfn.XLOOKUP($A1911,Games!$A$2:$A$18,Games!$J$2:$J$18,"Missing game",0)</x:f>
        <x:v>26</x:v>
      </x:c>
      <x:c r="AP1911" t="n">
        <x:f>_xlfn.XLOOKUP($A1911,Games!$A$2:$A$18,Games!$K$2:$K$18,"Missing game",0)</x:f>
        <x:v>26</x:v>
      </x:c>
      <x:c r="AQ1911" t="n">
        <x:f>_xlfn.XLOOKUP($A1911,Games!$A$2:$A$18,Games!$L$2:$L$18,"Missing game",0)</x:f>
        <x:v>26</x:v>
      </x:c>
      <x:c r="AR1911" t="n">
        <x:f>_xlfn.XLOOKUP($A1911,Games!$A$2:$A$18,Games!$M$2:$M$18,"Missing game",0)</x:f>
        <x:v>0</x:v>
      </x:c>
      <x:c r="AS1911" t="str">
        <x:f>_xlfn.XLOOKUP($A1911,Games!$A$2:$A$18,Games!$N$2:$N$18,"Missing game",0)</x:f>
        <x:v>outdoors</x:v>
      </x:c>
      <x:c r="AT1911" t="str">
        <x:f>_xlfn.XLOOKUP($A1911,Games!$A$2:$A$18,Games!$O$2:$O$18,"Missing game",0)</x:f>
        <x:v>fieldturf</x:v>
      </x:c>
      <x:c r="AU1911" t="n">
        <x:f>_xlfn.XLOOKUP($A1911,Games!$A$2:$A$18,Games!$P$2:$P$18,"Missing game",0)</x:f>
        <x:v>45</x:v>
      </x:c>
      <x:c r="AV1911" t="n">
        <x:f>_xlfn.XLOOKUP($A1911,Games!$A$2:$A$18,Games!$Q$2:$Q$18,"Missing game",0)</x:f>
        <x:v>2</x:v>
      </x:c>
      <x:c r="AW1911" t="str">
        <x:f>_xlfn.XLOOKUP($A1911,Games!$A$2:$A$18,Games!$R$2:$R$18,"Missing game",0)</x:f>
        <x:v>Lumen Field</x:v>
      </x:c>
    </x:row>
    <x:row r="1912">
      <x:c r="A1912" t="str">
        <x:v>2025_13_MIN_SEA</x:v>
      </x:c>
      <x:c r="B1912" t="n">
        <x:v>1374</x:v>
      </x:c>
      <x:c r="C1912" t="n">
        <x:v>2</x:v>
      </x:c>
      <x:c r="D1912" t="str">
        <x:v>05:33</x:v>
      </x:c>
      <x:c r="E1912" t="n">
        <x:v>4</x:v>
      </x:c>
      <x:c r="F1912" t="n">
        <x:v>5</x:v>
      </x:c>
      <x:c r="G1912" t="str">
        <x:v>MIN</x:v>
      </x:c>
      <x:c r="H1912" t="str">
        <x:v>SEA</x:v>
      </x:c>
      <x:c r="I1912" t="str">
        <x:v>MIN</x:v>
      </x:c>
      <x:c r="J1912" t="n">
        <x:v>53</x:v>
      </x:c>
      <x:c r="K1912" t="str">
        <x:v>(5:33) 17-R.Wright punts 31 yards to SEA 22, Center-42-A.DePaola, fair catch by 22-R.Shaheed.</x:v>
      </x:c>
      <x:c r="L1912" t="str">
        <x:v>punt</x:v>
      </x:c>
      <x:c r="M1912" t="n">
        <x:v>0</x:v>
      </x:c>
      <x:c r="N1912" t="n">
        <x:v>0</x:v>
      </x:c>
      <x:c r="O1912" t="n">
        <x:v>0</x:v>
      </x:c>
      <x:c r="P1912"/>
      <x:c r="Q1912"/>
      <x:c r="R1912"/>
      <x:c r="S1912"/>
      <x:c r="T1912"/>
      <x:c r="U1912"/>
      <x:c r="V1912" t="n">
        <x:v>0</x:v>
      </x:c>
      <x:c r="W1912" t="n">
        <x:v>0</x:v>
      </x:c>
      <x:c r="X1912" t="n">
        <x:v>0</x:v>
      </x:c>
      <x:c r="Y1912" t="n">
        <x:v>0</x:v>
      </x:c>
      <x:c r="Z1912" t="n">
        <x:v>0</x:v>
      </x:c>
      <x:c r="AA1912" t="n">
        <x:v>0</x:v>
      </x:c>
      <x:c r="AB1912"/>
      <x:c r="AC1912" t="n">
        <x:v>0</x:v>
      </x:c>
      <x:c r="AD1912" t="n">
        <x:v>-0.46948458859696984</x:v>
      </x:c>
      <x:c r="AE1912" t="n">
        <x:v>0</x:v>
      </x:c>
      <x:c r="AF1912" t="n">
        <x:v>-0.024845808744430542</x:v>
      </x:c>
      <x:c r="AG1912" t="n">
        <x:f>_xlfn.XLOOKUP($A1912,Games!$A$2:$A$18,Games!$B$2:$B$18,"Missing game",0)</x:f>
        <x:v>2025</x:v>
      </x:c>
      <x:c r="AH1912" t="str">
        <x:f>_xlfn.XLOOKUP($A1912,Games!$A$2:$A$18,Games!$C$2:$C$18,"Missing game",0)</x:f>
        <x:v>REG</x:v>
      </x:c>
      <x:c r="AI1912" t="n">
        <x:f>_xlfn.XLOOKUP($A1912,Games!$A$2:$A$18,Games!$D$2:$D$18,"Missing game",0)</x:f>
        <x:v>13</x:v>
      </x:c>
      <x:c r="AJ1912" s="1" t="n">
        <x:f>_xlfn.XLOOKUP($A1912,Games!$A$2:$A$18,Games!$E$2:$E$18,"Missing game",0)</x:f>
        <x:v>45991</x:v>
      </x:c>
      <x:c r="AK1912" t="str">
        <x:f>_xlfn.XLOOKUP($A1912,Games!$A$2:$A$18,Games!$F$2:$F$18,"Missing game",0)</x:f>
        <x:v>Sunday</x:v>
      </x:c>
      <x:c r="AL1912" t="str">
        <x:f>_xlfn.XLOOKUP($A1912,Games!$A$2:$A$18,Games!$G$2:$G$18,"Missing game",0)</x:f>
        <x:v>MIN</x:v>
      </x:c>
      <x:c r="AM1912" t="n">
        <x:f>_xlfn.XLOOKUP($A1912,Games!$A$2:$A$18,Games!$H$2:$H$18,"Missing game",0)</x:f>
        <x:v>0</x:v>
      </x:c>
      <x:c r="AN1912" t="str">
        <x:f>_xlfn.XLOOKUP($A1912,Games!$A$2:$A$18,Games!$I$2:$I$18,"Missing game",0)</x:f>
        <x:v>SEA</x:v>
      </x:c>
      <x:c r="AO1912" t="n">
        <x:f>_xlfn.XLOOKUP($A1912,Games!$A$2:$A$18,Games!$J$2:$J$18,"Missing game",0)</x:f>
        <x:v>26</x:v>
      </x:c>
      <x:c r="AP1912" t="n">
        <x:f>_xlfn.XLOOKUP($A1912,Games!$A$2:$A$18,Games!$K$2:$K$18,"Missing game",0)</x:f>
        <x:v>26</x:v>
      </x:c>
      <x:c r="AQ1912" t="n">
        <x:f>_xlfn.XLOOKUP($A1912,Games!$A$2:$A$18,Games!$L$2:$L$18,"Missing game",0)</x:f>
        <x:v>26</x:v>
      </x:c>
      <x:c r="AR1912" t="n">
        <x:f>_xlfn.XLOOKUP($A1912,Games!$A$2:$A$18,Games!$M$2:$M$18,"Missing game",0)</x:f>
        <x:v>0</x:v>
      </x:c>
      <x:c r="AS1912" t="str">
        <x:f>_xlfn.XLOOKUP($A1912,Games!$A$2:$A$18,Games!$N$2:$N$18,"Missing game",0)</x:f>
        <x:v>outdoors</x:v>
      </x:c>
      <x:c r="AT1912" t="str">
        <x:f>_xlfn.XLOOKUP($A1912,Games!$A$2:$A$18,Games!$O$2:$O$18,"Missing game",0)</x:f>
        <x:v>fieldturf</x:v>
      </x:c>
      <x:c r="AU1912" t="n">
        <x:f>_xlfn.XLOOKUP($A1912,Games!$A$2:$A$18,Games!$P$2:$P$18,"Missing game",0)</x:f>
        <x:v>45</x:v>
      </x:c>
      <x:c r="AV1912" t="n">
        <x:f>_xlfn.XLOOKUP($A1912,Games!$A$2:$A$18,Games!$Q$2:$Q$18,"Missing game",0)</x:f>
        <x:v>2</x:v>
      </x:c>
      <x:c r="AW1912" t="str">
        <x:f>_xlfn.XLOOKUP($A1912,Games!$A$2:$A$18,Games!$R$2:$R$18,"Missing game",0)</x:f>
        <x:v>Lumen Field</x:v>
      </x:c>
    </x:row>
    <x:row r="1913">
      <x:c r="A1913" t="str">
        <x:v>2025_13_MIN_SEA</x:v>
      </x:c>
      <x:c r="B1913" t="n">
        <x:v>1401</x:v>
      </x:c>
      <x:c r="C1913" t="n">
        <x:v>2</x:v>
      </x:c>
      <x:c r="D1913" t="str">
        <x:v>05:26</x:v>
      </x:c>
      <x:c r="E1913" t="n">
        <x:v>1</x:v>
      </x:c>
      <x:c r="F1913" t="n">
        <x:v>10</x:v>
      </x:c>
      <x:c r="G1913" t="str">
        <x:v>SEA</x:v>
      </x:c>
      <x:c r="H1913" t="str">
        <x:v>MIN</x:v>
      </x:c>
      <x:c r="I1913" t="str">
        <x:v>SEA</x:v>
      </x:c>
      <x:c r="J1913" t="n">
        <x:v>78</x:v>
      </x:c>
      <x:c r="K1913" t="str">
        <x:v>(5:26) 14-S.Darnold sacked at SEA 15 for -7 yards (15-D.Turner). FUMBLES (15-D.Turner) [15-D.Turner], RECOVERED by MIN-61-J.Redmond at SEA 13.</x:v>
      </x:c>
      <x:c r="L1913" t="str">
        <x:v>pass</x:v>
      </x:c>
      <x:c r="M1913" t="n">
        <x:v>-9</x:v>
      </x:c>
      <x:c r="N1913" t="n">
        <x:v>0</x:v>
      </x:c>
      <x:c r="O1913" t="n">
        <x:v>0</x:v>
      </x:c>
      <x:c r="P1913"/>
      <x:c r="Q1913"/>
      <x:c r="R1913"/>
      <x:c r="S1913"/>
      <x:c r="T1913"/>
      <x:c r="U1913"/>
      <x:c r="V1913" t="n">
        <x:v>0</x:v>
      </x:c>
      <x:c r="W1913" t="n">
        <x:v>0</x:v>
      </x:c>
      <x:c r="X1913" t="n">
        <x:v>1</x:v>
      </x:c>
      <x:c r="Y1913" t="n">
        <x:v>0</x:v>
      </x:c>
      <x:c r="Z1913" t="n">
        <x:v>1</x:v>
      </x:c>
      <x:c r="AA1913" t="n">
        <x:v>0</x:v>
      </x:c>
      <x:c r="AB1913"/>
      <x:c r="AC1913" t="n">
        <x:v>0</x:v>
      </x:c>
      <x:c r="AD1913" t="n">
        <x:v>-5.470405917789321</x:v>
      </x:c>
      <x:c r="AE1913" t="n">
        <x:v>0</x:v>
      </x:c>
      <x:c r="AF1913" t="n">
        <x:v>-0.22158488631248474</x:v>
      </x:c>
      <x:c r="AG1913" t="n">
        <x:f>_xlfn.XLOOKUP($A1913,Games!$A$2:$A$18,Games!$B$2:$B$18,"Missing game",0)</x:f>
        <x:v>2025</x:v>
      </x:c>
      <x:c r="AH1913" t="str">
        <x:f>_xlfn.XLOOKUP($A1913,Games!$A$2:$A$18,Games!$C$2:$C$18,"Missing game",0)</x:f>
        <x:v>REG</x:v>
      </x:c>
      <x:c r="AI1913" t="n">
        <x:f>_xlfn.XLOOKUP($A1913,Games!$A$2:$A$18,Games!$D$2:$D$18,"Missing game",0)</x:f>
        <x:v>13</x:v>
      </x:c>
      <x:c r="AJ1913" s="1" t="n">
        <x:f>_xlfn.XLOOKUP($A1913,Games!$A$2:$A$18,Games!$E$2:$E$18,"Missing game",0)</x:f>
        <x:v>45991</x:v>
      </x:c>
      <x:c r="AK1913" t="str">
        <x:f>_xlfn.XLOOKUP($A1913,Games!$A$2:$A$18,Games!$F$2:$F$18,"Missing game",0)</x:f>
        <x:v>Sunday</x:v>
      </x:c>
      <x:c r="AL1913" t="str">
        <x:f>_xlfn.XLOOKUP($A1913,Games!$A$2:$A$18,Games!$G$2:$G$18,"Missing game",0)</x:f>
        <x:v>MIN</x:v>
      </x:c>
      <x:c r="AM1913" t="n">
        <x:f>_xlfn.XLOOKUP($A1913,Games!$A$2:$A$18,Games!$H$2:$H$18,"Missing game",0)</x:f>
        <x:v>0</x:v>
      </x:c>
      <x:c r="AN1913" t="str">
        <x:f>_xlfn.XLOOKUP($A1913,Games!$A$2:$A$18,Games!$I$2:$I$18,"Missing game",0)</x:f>
        <x:v>SEA</x:v>
      </x:c>
      <x:c r="AO1913" t="n">
        <x:f>_xlfn.XLOOKUP($A1913,Games!$A$2:$A$18,Games!$J$2:$J$18,"Missing game",0)</x:f>
        <x:v>26</x:v>
      </x:c>
      <x:c r="AP1913" t="n">
        <x:f>_xlfn.XLOOKUP($A1913,Games!$A$2:$A$18,Games!$K$2:$K$18,"Missing game",0)</x:f>
        <x:v>26</x:v>
      </x:c>
      <x:c r="AQ1913" t="n">
        <x:f>_xlfn.XLOOKUP($A1913,Games!$A$2:$A$18,Games!$L$2:$L$18,"Missing game",0)</x:f>
        <x:v>26</x:v>
      </x:c>
      <x:c r="AR1913" t="n">
        <x:f>_xlfn.XLOOKUP($A1913,Games!$A$2:$A$18,Games!$M$2:$M$18,"Missing game",0)</x:f>
        <x:v>0</x:v>
      </x:c>
      <x:c r="AS1913" t="str">
        <x:f>_xlfn.XLOOKUP($A1913,Games!$A$2:$A$18,Games!$N$2:$N$18,"Missing game",0)</x:f>
        <x:v>outdoors</x:v>
      </x:c>
      <x:c r="AT1913" t="str">
        <x:f>_xlfn.XLOOKUP($A1913,Games!$A$2:$A$18,Games!$O$2:$O$18,"Missing game",0)</x:f>
        <x:v>fieldturf</x:v>
      </x:c>
      <x:c r="AU1913" t="n">
        <x:f>_xlfn.XLOOKUP($A1913,Games!$A$2:$A$18,Games!$P$2:$P$18,"Missing game",0)</x:f>
        <x:v>45</x:v>
      </x:c>
      <x:c r="AV1913" t="n">
        <x:f>_xlfn.XLOOKUP($A1913,Games!$A$2:$A$18,Games!$Q$2:$Q$18,"Missing game",0)</x:f>
        <x:v>2</x:v>
      </x:c>
      <x:c r="AW1913" t="str">
        <x:f>_xlfn.XLOOKUP($A1913,Games!$A$2:$A$18,Games!$R$2:$R$18,"Missing game",0)</x:f>
        <x:v>Lumen Field</x:v>
      </x:c>
    </x:row>
    <x:row r="1914">
      <x:c r="A1914" t="str">
        <x:v>2025_13_MIN_SEA</x:v>
      </x:c>
      <x:c r="B1914" t="n">
        <x:v>1431</x:v>
      </x:c>
      <x:c r="C1914" t="n">
        <x:v>2</x:v>
      </x:c>
      <x:c r="D1914" t="str">
        <x:v>05:21</x:v>
      </x:c>
      <x:c r="E1914" t="n">
        <x:v>1</x:v>
      </x:c>
      <x:c r="F1914" t="n">
        <x:v>10</x:v>
      </x:c>
      <x:c r="G1914" t="str">
        <x:v>MIN</x:v>
      </x:c>
      <x:c r="H1914" t="str">
        <x:v>SEA</x:v>
      </x:c>
      <x:c r="I1914" t="str">
        <x:v>SEA</x:v>
      </x:c>
      <x:c r="J1914" t="n">
        <x:v>13</x:v>
      </x:c>
      <x:c r="K1914" t="str">
        <x:v>(5:21) 33-A.Jones left guard to SEA 12 for 1 yard (13-E.Jones).</x:v>
      </x:c>
      <x:c r="L1914" t="str">
        <x:v>run</x:v>
      </x:c>
      <x:c r="M1914" t="n">
        <x:v>1</x:v>
      </x:c>
      <x:c r="N1914" t="n">
        <x:v>0</x:v>
      </x:c>
      <x:c r="O1914" t="n">
        <x:v>0</x:v>
      </x:c>
      <x:c r="P1914"/>
      <x:c r="Q1914"/>
      <x:c r="R1914"/>
      <x:c r="S1914"/>
      <x:c r="T1914" t="str">
        <x:v>left</x:v>
      </x:c>
      <x:c r="U1914" t="str">
        <x:v>guard</x:v>
      </x:c>
      <x:c r="V1914" t="n">
        <x:v>0</x:v>
      </x:c>
      <x:c r="W1914" t="n">
        <x:v>0</x:v>
      </x:c>
      <x:c r="X1914" t="n">
        <x:v>0</x:v>
      </x:c>
      <x:c r="Y1914" t="n">
        <x:v>0</x:v>
      </x:c>
      <x:c r="Z1914" t="n">
        <x:v>0</x:v>
      </x:c>
      <x:c r="AA1914" t="n">
        <x:v>0</x:v>
      </x:c>
      <x:c r="AB1914"/>
      <x:c r="AC1914" t="n">
        <x:v>0</x:v>
      </x:c>
      <x:c r="AD1914" t="n">
        <x:v>-0.5068411630927585</x:v>
      </x:c>
      <x:c r="AE1914" t="n">
        <x:v>0</x:v>
      </x:c>
      <x:c r="AF1914" t="n">
        <x:v>-0.010240554809570312</x:v>
      </x:c>
      <x:c r="AG1914" t="n">
        <x:f>_xlfn.XLOOKUP($A1914,Games!$A$2:$A$18,Games!$B$2:$B$18,"Missing game",0)</x:f>
        <x:v>2025</x:v>
      </x:c>
      <x:c r="AH1914" t="str">
        <x:f>_xlfn.XLOOKUP($A1914,Games!$A$2:$A$18,Games!$C$2:$C$18,"Missing game",0)</x:f>
        <x:v>REG</x:v>
      </x:c>
      <x:c r="AI1914" t="n">
        <x:f>_xlfn.XLOOKUP($A1914,Games!$A$2:$A$18,Games!$D$2:$D$18,"Missing game",0)</x:f>
        <x:v>13</x:v>
      </x:c>
      <x:c r="AJ1914" s="1" t="n">
        <x:f>_xlfn.XLOOKUP($A1914,Games!$A$2:$A$18,Games!$E$2:$E$18,"Missing game",0)</x:f>
        <x:v>45991</x:v>
      </x:c>
      <x:c r="AK1914" t="str">
        <x:f>_xlfn.XLOOKUP($A1914,Games!$A$2:$A$18,Games!$F$2:$F$18,"Missing game",0)</x:f>
        <x:v>Sunday</x:v>
      </x:c>
      <x:c r="AL1914" t="str">
        <x:f>_xlfn.XLOOKUP($A1914,Games!$A$2:$A$18,Games!$G$2:$G$18,"Missing game",0)</x:f>
        <x:v>MIN</x:v>
      </x:c>
      <x:c r="AM1914" t="n">
        <x:f>_xlfn.XLOOKUP($A1914,Games!$A$2:$A$18,Games!$H$2:$H$18,"Missing game",0)</x:f>
        <x:v>0</x:v>
      </x:c>
      <x:c r="AN1914" t="str">
        <x:f>_xlfn.XLOOKUP($A1914,Games!$A$2:$A$18,Games!$I$2:$I$18,"Missing game",0)</x:f>
        <x:v>SEA</x:v>
      </x:c>
      <x:c r="AO1914" t="n">
        <x:f>_xlfn.XLOOKUP($A1914,Games!$A$2:$A$18,Games!$J$2:$J$18,"Missing game",0)</x:f>
        <x:v>26</x:v>
      </x:c>
      <x:c r="AP1914" t="n">
        <x:f>_xlfn.XLOOKUP($A1914,Games!$A$2:$A$18,Games!$K$2:$K$18,"Missing game",0)</x:f>
        <x:v>26</x:v>
      </x:c>
      <x:c r="AQ1914" t="n">
        <x:f>_xlfn.XLOOKUP($A1914,Games!$A$2:$A$18,Games!$L$2:$L$18,"Missing game",0)</x:f>
        <x:v>26</x:v>
      </x:c>
      <x:c r="AR1914" t="n">
        <x:f>_xlfn.XLOOKUP($A1914,Games!$A$2:$A$18,Games!$M$2:$M$18,"Missing game",0)</x:f>
        <x:v>0</x:v>
      </x:c>
      <x:c r="AS1914" t="str">
        <x:f>_xlfn.XLOOKUP($A1914,Games!$A$2:$A$18,Games!$N$2:$N$18,"Missing game",0)</x:f>
        <x:v>outdoors</x:v>
      </x:c>
      <x:c r="AT1914" t="str">
        <x:f>_xlfn.XLOOKUP($A1914,Games!$A$2:$A$18,Games!$O$2:$O$18,"Missing game",0)</x:f>
        <x:v>fieldturf</x:v>
      </x:c>
      <x:c r="AU1914" t="n">
        <x:f>_xlfn.XLOOKUP($A1914,Games!$A$2:$A$18,Games!$P$2:$P$18,"Missing game",0)</x:f>
        <x:v>45</x:v>
      </x:c>
      <x:c r="AV1914" t="n">
        <x:f>_xlfn.XLOOKUP($A1914,Games!$A$2:$A$18,Games!$Q$2:$Q$18,"Missing game",0)</x:f>
        <x:v>2</x:v>
      </x:c>
      <x:c r="AW1914" t="str">
        <x:f>_xlfn.XLOOKUP($A1914,Games!$A$2:$A$18,Games!$R$2:$R$18,"Missing game",0)</x:f>
        <x:v>Lumen Field</x:v>
      </x:c>
    </x:row>
    <x:row r="1915">
      <x:c r="A1915" t="str">
        <x:v>2025_13_MIN_SEA</x:v>
      </x:c>
      <x:c r="B1915" t="n">
        <x:v>1453</x:v>
      </x:c>
      <x:c r="C1915" t="n">
        <x:v>2</x:v>
      </x:c>
      <x:c r="D1915" t="str">
        <x:v>04:44</x:v>
      </x:c>
      <x:c r="E1915" t="n">
        <x:v>2</x:v>
      </x:c>
      <x:c r="F1915" t="n">
        <x:v>9</x:v>
      </x:c>
      <x:c r="G1915" t="str">
        <x:v>MIN</x:v>
      </x:c>
      <x:c r="H1915" t="str">
        <x:v>SEA</x:v>
      </x:c>
      <x:c r="I1915" t="str">
        <x:v>SEA</x:v>
      </x:c>
      <x:c r="J1915" t="n">
        <x:v>12</x:v>
      </x:c>
      <x:c r="K1915" t="str">
        <x:v>(4:44) (Shotgun) 12-M.Brosmer pass short right to 87-T.Hockenson to SEA 9 for 3 yards (39-T.Okada).</x:v>
      </x:c>
      <x:c r="L1915" t="str">
        <x:v>pass</x:v>
      </x:c>
      <x:c r="M1915" t="n">
        <x:v>3</x:v>
      </x:c>
      <x:c r="N1915" t="n">
        <x:v>1</x:v>
      </x:c>
      <x:c r="O1915" t="n">
        <x:v>0</x:v>
      </x:c>
      <x:c r="P1915" t="str">
        <x:v>short</x:v>
      </x:c>
      <x:c r="Q1915" t="str">
        <x:v>right</x:v>
      </x:c>
      <x:c r="R1915" t="n">
        <x:v>-6</x:v>
      </x:c>
      <x:c r="S1915" t="n">
        <x:v>9</x:v>
      </x:c>
      <x:c r="T1915"/>
      <x:c r="U1915"/>
      <x:c r="V1915" t="n">
        <x:v>1</x:v>
      </x:c>
      <x:c r="W1915" t="n">
        <x:v>0</x:v>
      </x:c>
      <x:c r="X1915" t="n">
        <x:v>0</x:v>
      </x:c>
      <x:c r="Y1915" t="n">
        <x:v>0</x:v>
      </x:c>
      <x:c r="Z1915" t="n">
        <x:v>0</x:v>
      </x:c>
      <x:c r="AA1915" t="n">
        <x:v>0</x:v>
      </x:c>
      <x:c r="AB1915"/>
      <x:c r="AC1915" t="n">
        <x:v>0</x:v>
      </x:c>
      <x:c r="AD1915" t="n">
        <x:v>-0.5153345474391244</x:v>
      </x:c>
      <x:c r="AE1915" t="n">
        <x:v>0</x:v>
      </x:c>
      <x:c r="AF1915" t="n">
        <x:v>0.002401411533355713</x:v>
      </x:c>
      <x:c r="AG1915" t="n">
        <x:f>_xlfn.XLOOKUP($A1915,Games!$A$2:$A$18,Games!$B$2:$B$18,"Missing game",0)</x:f>
        <x:v>2025</x:v>
      </x:c>
      <x:c r="AH1915" t="str">
        <x:f>_xlfn.XLOOKUP($A1915,Games!$A$2:$A$18,Games!$C$2:$C$18,"Missing game",0)</x:f>
        <x:v>REG</x:v>
      </x:c>
      <x:c r="AI1915" t="n">
        <x:f>_xlfn.XLOOKUP($A1915,Games!$A$2:$A$18,Games!$D$2:$D$18,"Missing game",0)</x:f>
        <x:v>13</x:v>
      </x:c>
      <x:c r="AJ1915" s="1" t="n">
        <x:f>_xlfn.XLOOKUP($A1915,Games!$A$2:$A$18,Games!$E$2:$E$18,"Missing game",0)</x:f>
        <x:v>45991</x:v>
      </x:c>
      <x:c r="AK1915" t="str">
        <x:f>_xlfn.XLOOKUP($A1915,Games!$A$2:$A$18,Games!$F$2:$F$18,"Missing game",0)</x:f>
        <x:v>Sunday</x:v>
      </x:c>
      <x:c r="AL1915" t="str">
        <x:f>_xlfn.XLOOKUP($A1915,Games!$A$2:$A$18,Games!$G$2:$G$18,"Missing game",0)</x:f>
        <x:v>MIN</x:v>
      </x:c>
      <x:c r="AM1915" t="n">
        <x:f>_xlfn.XLOOKUP($A1915,Games!$A$2:$A$18,Games!$H$2:$H$18,"Missing game",0)</x:f>
        <x:v>0</x:v>
      </x:c>
      <x:c r="AN1915" t="str">
        <x:f>_xlfn.XLOOKUP($A1915,Games!$A$2:$A$18,Games!$I$2:$I$18,"Missing game",0)</x:f>
        <x:v>SEA</x:v>
      </x:c>
      <x:c r="AO1915" t="n">
        <x:f>_xlfn.XLOOKUP($A1915,Games!$A$2:$A$18,Games!$J$2:$J$18,"Missing game",0)</x:f>
        <x:v>26</x:v>
      </x:c>
      <x:c r="AP1915" t="n">
        <x:f>_xlfn.XLOOKUP($A1915,Games!$A$2:$A$18,Games!$K$2:$K$18,"Missing game",0)</x:f>
        <x:v>26</x:v>
      </x:c>
      <x:c r="AQ1915" t="n">
        <x:f>_xlfn.XLOOKUP($A1915,Games!$A$2:$A$18,Games!$L$2:$L$18,"Missing game",0)</x:f>
        <x:v>26</x:v>
      </x:c>
      <x:c r="AR1915" t="n">
        <x:f>_xlfn.XLOOKUP($A1915,Games!$A$2:$A$18,Games!$M$2:$M$18,"Missing game",0)</x:f>
        <x:v>0</x:v>
      </x:c>
      <x:c r="AS1915" t="str">
        <x:f>_xlfn.XLOOKUP($A1915,Games!$A$2:$A$18,Games!$N$2:$N$18,"Missing game",0)</x:f>
        <x:v>outdoors</x:v>
      </x:c>
      <x:c r="AT1915" t="str">
        <x:f>_xlfn.XLOOKUP($A1915,Games!$A$2:$A$18,Games!$O$2:$O$18,"Missing game",0)</x:f>
        <x:v>fieldturf</x:v>
      </x:c>
      <x:c r="AU1915" t="n">
        <x:f>_xlfn.XLOOKUP($A1915,Games!$A$2:$A$18,Games!$P$2:$P$18,"Missing game",0)</x:f>
        <x:v>45</x:v>
      </x:c>
      <x:c r="AV1915" t="n">
        <x:f>_xlfn.XLOOKUP($A1915,Games!$A$2:$A$18,Games!$Q$2:$Q$18,"Missing game",0)</x:f>
        <x:v>2</x:v>
      </x:c>
      <x:c r="AW1915" t="str">
        <x:f>_xlfn.XLOOKUP($A1915,Games!$A$2:$A$18,Games!$R$2:$R$18,"Missing game",0)</x:f>
        <x:v>Lumen Field</x:v>
      </x:c>
    </x:row>
    <x:row r="1916">
      <x:c r="A1916" t="str">
        <x:v>2025_13_MIN_SEA</x:v>
      </x:c>
      <x:c r="B1916" t="n">
        <x:v>1478</x:v>
      </x:c>
      <x:c r="C1916" t="n">
        <x:v>2</x:v>
      </x:c>
      <x:c r="D1916" t="str">
        <x:v>03:58</x:v>
      </x:c>
      <x:c r="E1916" t="n">
        <x:v>3</x:v>
      </x:c>
      <x:c r="F1916" t="n">
        <x:v>6</x:v>
      </x:c>
      <x:c r="G1916" t="str">
        <x:v>MIN</x:v>
      </x:c>
      <x:c r="H1916" t="str">
        <x:v>SEA</x:v>
      </x:c>
      <x:c r="I1916" t="str">
        <x:v>SEA</x:v>
      </x:c>
      <x:c r="J1916" t="n">
        <x:v>9</x:v>
      </x:c>
      <x:c r="K1916" t="str">
        <x:v>(3:58) (Shotgun) 12-M.Brosmer pass short left to 3-J.Addison pushed ob at SEA 4 for 5 yards (29-J.Jobe).</x:v>
      </x:c>
      <x:c r="L1916" t="str">
        <x:v>pass</x:v>
      </x:c>
      <x:c r="M1916" t="n">
        <x:v>5</x:v>
      </x:c>
      <x:c r="N1916" t="n">
        <x:v>1</x:v>
      </x:c>
      <x:c r="O1916" t="n">
        <x:v>0</x:v>
      </x:c>
      <x:c r="P1916" t="str">
        <x:v>short</x:v>
      </x:c>
      <x:c r="Q1916" t="str">
        <x:v>left</x:v>
      </x:c>
      <x:c r="R1916" t="n">
        <x:v>5</x:v>
      </x:c>
      <x:c r="S1916" t="n">
        <x:v>0</x:v>
      </x:c>
      <x:c r="T1916"/>
      <x:c r="U1916"/>
      <x:c r="V1916" t="n">
        <x:v>1</x:v>
      </x:c>
      <x:c r="W1916" t="n">
        <x:v>0</x:v>
      </x:c>
      <x:c r="X1916" t="n">
        <x:v>0</x:v>
      </x:c>
      <x:c r="Y1916" t="n">
        <x:v>0</x:v>
      </x:c>
      <x:c r="Z1916" t="n">
        <x:v>0</x:v>
      </x:c>
      <x:c r="AA1916" t="n">
        <x:v>0</x:v>
      </x:c>
      <x:c r="AB1916"/>
      <x:c r="AC1916" t="n">
        <x:v>0</x:v>
      </x:c>
      <x:c r="AD1916" t="n">
        <x:v>-0.15232919162372127</x:v>
      </x:c>
      <x:c r="AE1916" t="n">
        <x:v>0</x:v>
      </x:c>
      <x:c r="AF1916" t="n">
        <x:v>-0.010973155498504639</x:v>
      </x:c>
      <x:c r="AG1916" t="n">
        <x:f>_xlfn.XLOOKUP($A1916,Games!$A$2:$A$18,Games!$B$2:$B$18,"Missing game",0)</x:f>
        <x:v>2025</x:v>
      </x:c>
      <x:c r="AH1916" t="str">
        <x:f>_xlfn.XLOOKUP($A1916,Games!$A$2:$A$18,Games!$C$2:$C$18,"Missing game",0)</x:f>
        <x:v>REG</x:v>
      </x:c>
      <x:c r="AI1916" t="n">
        <x:f>_xlfn.XLOOKUP($A1916,Games!$A$2:$A$18,Games!$D$2:$D$18,"Missing game",0)</x:f>
        <x:v>13</x:v>
      </x:c>
      <x:c r="AJ1916" s="1" t="n">
        <x:f>_xlfn.XLOOKUP($A1916,Games!$A$2:$A$18,Games!$E$2:$E$18,"Missing game",0)</x:f>
        <x:v>45991</x:v>
      </x:c>
      <x:c r="AK1916" t="str">
        <x:f>_xlfn.XLOOKUP($A1916,Games!$A$2:$A$18,Games!$F$2:$F$18,"Missing game",0)</x:f>
        <x:v>Sunday</x:v>
      </x:c>
      <x:c r="AL1916" t="str">
        <x:f>_xlfn.XLOOKUP($A1916,Games!$A$2:$A$18,Games!$G$2:$G$18,"Missing game",0)</x:f>
        <x:v>MIN</x:v>
      </x:c>
      <x:c r="AM1916" t="n">
        <x:f>_xlfn.XLOOKUP($A1916,Games!$A$2:$A$18,Games!$H$2:$H$18,"Missing game",0)</x:f>
        <x:v>0</x:v>
      </x:c>
      <x:c r="AN1916" t="str">
        <x:f>_xlfn.XLOOKUP($A1916,Games!$A$2:$A$18,Games!$I$2:$I$18,"Missing game",0)</x:f>
        <x:v>SEA</x:v>
      </x:c>
      <x:c r="AO1916" t="n">
        <x:f>_xlfn.XLOOKUP($A1916,Games!$A$2:$A$18,Games!$J$2:$J$18,"Missing game",0)</x:f>
        <x:v>26</x:v>
      </x:c>
      <x:c r="AP1916" t="n">
        <x:f>_xlfn.XLOOKUP($A1916,Games!$A$2:$A$18,Games!$K$2:$K$18,"Missing game",0)</x:f>
        <x:v>26</x:v>
      </x:c>
      <x:c r="AQ1916" t="n">
        <x:f>_xlfn.XLOOKUP($A1916,Games!$A$2:$A$18,Games!$L$2:$L$18,"Missing game",0)</x:f>
        <x:v>26</x:v>
      </x:c>
      <x:c r="AR1916" t="n">
        <x:f>_xlfn.XLOOKUP($A1916,Games!$A$2:$A$18,Games!$M$2:$M$18,"Missing game",0)</x:f>
        <x:v>0</x:v>
      </x:c>
      <x:c r="AS1916" t="str">
        <x:f>_xlfn.XLOOKUP($A1916,Games!$A$2:$A$18,Games!$N$2:$N$18,"Missing game",0)</x:f>
        <x:v>outdoors</x:v>
      </x:c>
      <x:c r="AT1916" t="str">
        <x:f>_xlfn.XLOOKUP($A1916,Games!$A$2:$A$18,Games!$O$2:$O$18,"Missing game",0)</x:f>
        <x:v>fieldturf</x:v>
      </x:c>
      <x:c r="AU1916" t="n">
        <x:f>_xlfn.XLOOKUP($A1916,Games!$A$2:$A$18,Games!$P$2:$P$18,"Missing game",0)</x:f>
        <x:v>45</x:v>
      </x:c>
      <x:c r="AV1916" t="n">
        <x:f>_xlfn.XLOOKUP($A1916,Games!$A$2:$A$18,Games!$Q$2:$Q$18,"Missing game",0)</x:f>
        <x:v>2</x:v>
      </x:c>
      <x:c r="AW1916" t="str">
        <x:f>_xlfn.XLOOKUP($A1916,Games!$A$2:$A$18,Games!$R$2:$R$18,"Missing game",0)</x:f>
        <x:v>Lumen Field</x:v>
      </x:c>
    </x:row>
    <x:row r="1917">
      <x:c r="A1917" t="str">
        <x:v>2025_13_MIN_SEA</x:v>
      </x:c>
      <x:c r="B1917" t="n">
        <x:v>1508</x:v>
      </x:c>
      <x:c r="C1917" t="n">
        <x:v>2</x:v>
      </x:c>
      <x:c r="D1917" t="str">
        <x:v>03:14</x:v>
      </x:c>
      <x:c r="E1917" t="n">
        <x:v>4</x:v>
      </x:c>
      <x:c r="F1917" t="n">
        <x:v>1</x:v>
      </x:c>
      <x:c r="G1917" t="str">
        <x:v>MIN</x:v>
      </x:c>
      <x:c r="H1917" t="str">
        <x:v>SEA</x:v>
      </x:c>
      <x:c r="I1917" t="str">
        <x:v>SEA</x:v>
      </x:c>
      <x:c r="J1917" t="n">
        <x:v>4</x:v>
      </x:c>
      <x:c r="K1917" t="str">
        <x:v>(3:14) 12-M.Brosmer pass short right INTERCEPTED by 13-E.Jones [0-D.Lawrence] at SEA 15. 13-E.Jones for 85 yards, TOUCHDOWN.</x:v>
      </x:c>
      <x:c r="L1917" t="str">
        <x:v>pass</x:v>
      </x:c>
      <x:c r="M1917" t="n">
        <x:v>0</x:v>
      </x:c>
      <x:c r="N1917" t="n">
        <x:v>0</x:v>
      </x:c>
      <x:c r="O1917" t="n">
        <x:v>0</x:v>
      </x:c>
      <x:c r="P1917" t="str">
        <x:v>short</x:v>
      </x:c>
      <x:c r="Q1917" t="str">
        <x:v>right</x:v>
      </x:c>
      <x:c r="R1917" t="n">
        <x:v>-11</x:v>
      </x:c>
      <x:c r="S1917"/>
      <x:c r="T1917"/>
      <x:c r="U1917"/>
      <x:c r="V1917" t="n">
        <x:v>0</x:v>
      </x:c>
      <x:c r="W1917" t="n">
        <x:v>0</x:v>
      </x:c>
      <x:c r="X1917" t="n">
        <x:v>0</x:v>
      </x:c>
      <x:c r="Y1917" t="n">
        <x:v>1</x:v>
      </x:c>
      <x:c r="Z1917" t="n">
        <x:v>0</x:v>
      </x:c>
      <x:c r="AA1917" t="n">
        <x:v>0</x:v>
      </x:c>
      <x:c r="AB1917"/>
      <x:c r="AC1917" t="n">
        <x:v>1</x:v>
      </x:c>
      <x:c r="AD1917" t="n">
        <x:v>-10.723745655501261</x:v>
      </x:c>
      <x:c r="AE1917" t="n">
        <x:v>0</x:v>
      </x:c>
      <x:c r="AF1917" t="n">
        <x:v>-0.2917599268982245</x:v>
      </x:c>
      <x:c r="AG1917" t="n">
        <x:f>_xlfn.XLOOKUP($A1917,Games!$A$2:$A$18,Games!$B$2:$B$18,"Missing game",0)</x:f>
        <x:v>2025</x:v>
      </x:c>
      <x:c r="AH1917" t="str">
        <x:f>_xlfn.XLOOKUP($A1917,Games!$A$2:$A$18,Games!$C$2:$C$18,"Missing game",0)</x:f>
        <x:v>REG</x:v>
      </x:c>
      <x:c r="AI1917" t="n">
        <x:f>_xlfn.XLOOKUP($A1917,Games!$A$2:$A$18,Games!$D$2:$D$18,"Missing game",0)</x:f>
        <x:v>13</x:v>
      </x:c>
      <x:c r="AJ1917" s="1" t="n">
        <x:f>_xlfn.XLOOKUP($A1917,Games!$A$2:$A$18,Games!$E$2:$E$18,"Missing game",0)</x:f>
        <x:v>45991</x:v>
      </x:c>
      <x:c r="AK1917" t="str">
        <x:f>_xlfn.XLOOKUP($A1917,Games!$A$2:$A$18,Games!$F$2:$F$18,"Missing game",0)</x:f>
        <x:v>Sunday</x:v>
      </x:c>
      <x:c r="AL1917" t="str">
        <x:f>_xlfn.XLOOKUP($A1917,Games!$A$2:$A$18,Games!$G$2:$G$18,"Missing game",0)</x:f>
        <x:v>MIN</x:v>
      </x:c>
      <x:c r="AM1917" t="n">
        <x:f>_xlfn.XLOOKUP($A1917,Games!$A$2:$A$18,Games!$H$2:$H$18,"Missing game",0)</x:f>
        <x:v>0</x:v>
      </x:c>
      <x:c r="AN1917" t="str">
        <x:f>_xlfn.XLOOKUP($A1917,Games!$A$2:$A$18,Games!$I$2:$I$18,"Missing game",0)</x:f>
        <x:v>SEA</x:v>
      </x:c>
      <x:c r="AO1917" t="n">
        <x:f>_xlfn.XLOOKUP($A1917,Games!$A$2:$A$18,Games!$J$2:$J$18,"Missing game",0)</x:f>
        <x:v>26</x:v>
      </x:c>
      <x:c r="AP1917" t="n">
        <x:f>_xlfn.XLOOKUP($A1917,Games!$A$2:$A$18,Games!$K$2:$K$18,"Missing game",0)</x:f>
        <x:v>26</x:v>
      </x:c>
      <x:c r="AQ1917" t="n">
        <x:f>_xlfn.XLOOKUP($A1917,Games!$A$2:$A$18,Games!$L$2:$L$18,"Missing game",0)</x:f>
        <x:v>26</x:v>
      </x:c>
      <x:c r="AR1917" t="n">
        <x:f>_xlfn.XLOOKUP($A1917,Games!$A$2:$A$18,Games!$M$2:$M$18,"Missing game",0)</x:f>
        <x:v>0</x:v>
      </x:c>
      <x:c r="AS1917" t="str">
        <x:f>_xlfn.XLOOKUP($A1917,Games!$A$2:$A$18,Games!$N$2:$N$18,"Missing game",0)</x:f>
        <x:v>outdoors</x:v>
      </x:c>
      <x:c r="AT1917" t="str">
        <x:f>_xlfn.XLOOKUP($A1917,Games!$A$2:$A$18,Games!$O$2:$O$18,"Missing game",0)</x:f>
        <x:v>fieldturf</x:v>
      </x:c>
      <x:c r="AU1917" t="n">
        <x:f>_xlfn.XLOOKUP($A1917,Games!$A$2:$A$18,Games!$P$2:$P$18,"Missing game",0)</x:f>
        <x:v>45</x:v>
      </x:c>
      <x:c r="AV1917" t="n">
        <x:f>_xlfn.XLOOKUP($A1917,Games!$A$2:$A$18,Games!$Q$2:$Q$18,"Missing game",0)</x:f>
        <x:v>2</x:v>
      </x:c>
      <x:c r="AW1917" t="str">
        <x:f>_xlfn.XLOOKUP($A1917,Games!$A$2:$A$18,Games!$R$2:$R$18,"Missing game",0)</x:f>
        <x:v>Lumen Field</x:v>
      </x:c>
    </x:row>
    <x:row r="1918">
      <x:c r="A1918" t="str">
        <x:v>2025_13_MIN_SEA</x:v>
      </x:c>
      <x:c r="B1918" t="n">
        <x:v>1536</x:v>
      </x:c>
      <x:c r="C1918" t="n">
        <x:v>2</x:v>
      </x:c>
      <x:c r="D1918" t="str">
        <x:v>02:59</x:v>
      </x:c>
      <x:c r="E1918"/>
      <x:c r="F1918" t="n">
        <x:v>0</x:v>
      </x:c>
      <x:c r="G1918" t="str">
        <x:v>SEA</x:v>
      </x:c>
      <x:c r="H1918" t="str">
        <x:v>MIN</x:v>
      </x:c>
      <x:c r="I1918" t="str">
        <x:v>MIN</x:v>
      </x:c>
      <x:c r="J1918" t="n">
        <x:v>15</x:v>
      </x:c>
      <x:c r="K1918" t="str">
        <x:v>5-J.Myers extra point is GOOD, Center-41-C.Stoll, Holder-4-M.Dickson.</x:v>
      </x:c>
      <x:c r="L1918" t="str">
        <x:v>extra_point</x:v>
      </x:c>
      <x:c r="M1918" t="n">
        <x:v>0</x:v>
      </x:c>
      <x:c r="N1918" t="n">
        <x:v>0</x:v>
      </x:c>
      <x:c r="O1918" t="n">
        <x:v>0</x:v>
      </x:c>
      <x:c r="P1918"/>
      <x:c r="Q1918"/>
      <x:c r="R1918"/>
      <x:c r="S1918"/>
      <x:c r="T1918"/>
      <x:c r="U1918"/>
      <x:c r="V1918" t="n">
        <x:v>0</x:v>
      </x:c>
      <x:c r="W1918" t="n">
        <x:v>0</x:v>
      </x:c>
      <x:c r="X1918" t="n">
        <x:v>0</x:v>
      </x:c>
      <x:c r="Y1918" t="n">
        <x:v>0</x:v>
      </x:c>
      <x:c r="Z1918" t="n">
        <x:v>0</x:v>
      </x:c>
      <x:c r="AA1918" t="n">
        <x:v>0</x:v>
      </x:c>
      <x:c r="AB1918"/>
      <x:c r="AC1918" t="n">
        <x:v>0</x:v>
      </x:c>
      <x:c r="AD1918" t="n">
        <x:v>0.06757300310763314</x:v>
      </x:c>
      <x:c r="AE1918" t="n">
        <x:v>1</x:v>
      </x:c>
      <x:c r="AF1918" t="n">
        <x:v>0.0004935077598260396</x:v>
      </x:c>
      <x:c r="AG1918" t="n">
        <x:f>_xlfn.XLOOKUP($A1918,Games!$A$2:$A$18,Games!$B$2:$B$18,"Missing game",0)</x:f>
        <x:v>2025</x:v>
      </x:c>
      <x:c r="AH1918" t="str">
        <x:f>_xlfn.XLOOKUP($A1918,Games!$A$2:$A$18,Games!$C$2:$C$18,"Missing game",0)</x:f>
        <x:v>REG</x:v>
      </x:c>
      <x:c r="AI1918" t="n">
        <x:f>_xlfn.XLOOKUP($A1918,Games!$A$2:$A$18,Games!$D$2:$D$18,"Missing game",0)</x:f>
        <x:v>13</x:v>
      </x:c>
      <x:c r="AJ1918" s="1" t="n">
        <x:f>_xlfn.XLOOKUP($A1918,Games!$A$2:$A$18,Games!$E$2:$E$18,"Missing game",0)</x:f>
        <x:v>45991</x:v>
      </x:c>
      <x:c r="AK1918" t="str">
        <x:f>_xlfn.XLOOKUP($A1918,Games!$A$2:$A$18,Games!$F$2:$F$18,"Missing game",0)</x:f>
        <x:v>Sunday</x:v>
      </x:c>
      <x:c r="AL1918" t="str">
        <x:f>_xlfn.XLOOKUP($A1918,Games!$A$2:$A$18,Games!$G$2:$G$18,"Missing game",0)</x:f>
        <x:v>MIN</x:v>
      </x:c>
      <x:c r="AM1918" t="n">
        <x:f>_xlfn.XLOOKUP($A1918,Games!$A$2:$A$18,Games!$H$2:$H$18,"Missing game",0)</x:f>
        <x:v>0</x:v>
      </x:c>
      <x:c r="AN1918" t="str">
        <x:f>_xlfn.XLOOKUP($A1918,Games!$A$2:$A$18,Games!$I$2:$I$18,"Missing game",0)</x:f>
        <x:v>SEA</x:v>
      </x:c>
      <x:c r="AO1918" t="n">
        <x:f>_xlfn.XLOOKUP($A1918,Games!$A$2:$A$18,Games!$J$2:$J$18,"Missing game",0)</x:f>
        <x:v>26</x:v>
      </x:c>
      <x:c r="AP1918" t="n">
        <x:f>_xlfn.XLOOKUP($A1918,Games!$A$2:$A$18,Games!$K$2:$K$18,"Missing game",0)</x:f>
        <x:v>26</x:v>
      </x:c>
      <x:c r="AQ1918" t="n">
        <x:f>_xlfn.XLOOKUP($A1918,Games!$A$2:$A$18,Games!$L$2:$L$18,"Missing game",0)</x:f>
        <x:v>26</x:v>
      </x:c>
      <x:c r="AR1918" t="n">
        <x:f>_xlfn.XLOOKUP($A1918,Games!$A$2:$A$18,Games!$M$2:$M$18,"Missing game",0)</x:f>
        <x:v>0</x:v>
      </x:c>
      <x:c r="AS1918" t="str">
        <x:f>_xlfn.XLOOKUP($A1918,Games!$A$2:$A$18,Games!$N$2:$N$18,"Missing game",0)</x:f>
        <x:v>outdoors</x:v>
      </x:c>
      <x:c r="AT1918" t="str">
        <x:f>_xlfn.XLOOKUP($A1918,Games!$A$2:$A$18,Games!$O$2:$O$18,"Missing game",0)</x:f>
        <x:v>fieldturf</x:v>
      </x:c>
      <x:c r="AU1918" t="n">
        <x:f>_xlfn.XLOOKUP($A1918,Games!$A$2:$A$18,Games!$P$2:$P$18,"Missing game",0)</x:f>
        <x:v>45</x:v>
      </x:c>
      <x:c r="AV1918" t="n">
        <x:f>_xlfn.XLOOKUP($A1918,Games!$A$2:$A$18,Games!$Q$2:$Q$18,"Missing game",0)</x:f>
        <x:v>2</x:v>
      </x:c>
      <x:c r="AW1918" t="str">
        <x:f>_xlfn.XLOOKUP($A1918,Games!$A$2:$A$18,Games!$R$2:$R$18,"Missing game",0)</x:f>
        <x:v>Lumen Field</x:v>
      </x:c>
    </x:row>
    <x:row r="1919">
      <x:c r="A1919" t="str">
        <x:v>2025_13_MIN_SEA</x:v>
      </x:c>
      <x:c r="B1919" t="n">
        <x:v>1551</x:v>
      </x:c>
      <x:c r="C1919" t="n">
        <x:v>2</x:v>
      </x:c>
      <x:c r="D1919" t="str">
        <x:v>02:59</x:v>
      </x:c>
      <x:c r="E1919"/>
      <x:c r="F1919" t="n">
        <x:v>0</x:v>
      </x:c>
      <x:c r="G1919" t="str">
        <x:v>MIN</x:v>
      </x:c>
      <x:c r="H1919" t="str">
        <x:v>SEA</x:v>
      </x:c>
      <x:c r="I1919" t="str">
        <x:v>SEA</x:v>
      </x:c>
      <x:c r="J1919" t="n">
        <x:v>35</x:v>
      </x:c>
      <x:c r="K1919" t="str">
        <x:v>5-J.Myers kicks 62 yards from SEA 35 to MIN 3. 4-M.Price to MIN 32 for 29 yards (52-P.O'Connell).</x:v>
      </x:c>
      <x:c r="L1919" t="str">
        <x:v>kickoff</x:v>
      </x:c>
      <x:c r="M1919" t="n">
        <x:v>0</x:v>
      </x:c>
      <x:c r="N1919" t="n">
        <x:v>0</x:v>
      </x:c>
      <x:c r="O1919" t="n">
        <x:v>0</x:v>
      </x:c>
      <x:c r="P1919"/>
      <x:c r="Q1919"/>
      <x:c r="R1919"/>
      <x:c r="S1919"/>
      <x:c r="T1919"/>
      <x:c r="U1919"/>
      <x:c r="V1919" t="n">
        <x:v>0</x:v>
      </x:c>
      <x:c r="W1919" t="n">
        <x:v>0</x:v>
      </x:c>
      <x:c r="X1919" t="n">
        <x:v>0</x:v>
      </x:c>
      <x:c r="Y1919" t="n">
        <x:v>0</x:v>
      </x:c>
      <x:c r="Z1919" t="n">
        <x:v>0</x:v>
      </x:c>
      <x:c r="AA1919" t="n">
        <x:v>0</x:v>
      </x:c>
      <x:c r="AB1919"/>
      <x:c r="AC1919" t="n">
        <x:v>0</x:v>
      </x:c>
      <x:c r="AD1919" t="n">
        <x:v>0.5508102473104373</x:v>
      </x:c>
      <x:c r="AE1919" t="n">
        <x:v>1</x:v>
      </x:c>
      <x:c r="AF1919" t="n">
        <x:v>-0.002051115036010742</x:v>
      </x:c>
      <x:c r="AG1919" t="n">
        <x:f>_xlfn.XLOOKUP($A1919,Games!$A$2:$A$18,Games!$B$2:$B$18,"Missing game",0)</x:f>
        <x:v>2025</x:v>
      </x:c>
      <x:c r="AH1919" t="str">
        <x:f>_xlfn.XLOOKUP($A1919,Games!$A$2:$A$18,Games!$C$2:$C$18,"Missing game",0)</x:f>
        <x:v>REG</x:v>
      </x:c>
      <x:c r="AI1919" t="n">
        <x:f>_xlfn.XLOOKUP($A1919,Games!$A$2:$A$18,Games!$D$2:$D$18,"Missing game",0)</x:f>
        <x:v>13</x:v>
      </x:c>
      <x:c r="AJ1919" s="1" t="n">
        <x:f>_xlfn.XLOOKUP($A1919,Games!$A$2:$A$18,Games!$E$2:$E$18,"Missing game",0)</x:f>
        <x:v>45991</x:v>
      </x:c>
      <x:c r="AK1919" t="str">
        <x:f>_xlfn.XLOOKUP($A1919,Games!$A$2:$A$18,Games!$F$2:$F$18,"Missing game",0)</x:f>
        <x:v>Sunday</x:v>
      </x:c>
      <x:c r="AL1919" t="str">
        <x:f>_xlfn.XLOOKUP($A1919,Games!$A$2:$A$18,Games!$G$2:$G$18,"Missing game",0)</x:f>
        <x:v>MIN</x:v>
      </x:c>
      <x:c r="AM1919" t="n">
        <x:f>_xlfn.XLOOKUP($A1919,Games!$A$2:$A$18,Games!$H$2:$H$18,"Missing game",0)</x:f>
        <x:v>0</x:v>
      </x:c>
      <x:c r="AN1919" t="str">
        <x:f>_xlfn.XLOOKUP($A1919,Games!$A$2:$A$18,Games!$I$2:$I$18,"Missing game",0)</x:f>
        <x:v>SEA</x:v>
      </x:c>
      <x:c r="AO1919" t="n">
        <x:f>_xlfn.XLOOKUP($A1919,Games!$A$2:$A$18,Games!$J$2:$J$18,"Missing game",0)</x:f>
        <x:v>26</x:v>
      </x:c>
      <x:c r="AP1919" t="n">
        <x:f>_xlfn.XLOOKUP($A1919,Games!$A$2:$A$18,Games!$K$2:$K$18,"Missing game",0)</x:f>
        <x:v>26</x:v>
      </x:c>
      <x:c r="AQ1919" t="n">
        <x:f>_xlfn.XLOOKUP($A1919,Games!$A$2:$A$18,Games!$L$2:$L$18,"Missing game",0)</x:f>
        <x:v>26</x:v>
      </x:c>
      <x:c r="AR1919" t="n">
        <x:f>_xlfn.XLOOKUP($A1919,Games!$A$2:$A$18,Games!$M$2:$M$18,"Missing game",0)</x:f>
        <x:v>0</x:v>
      </x:c>
      <x:c r="AS1919" t="str">
        <x:f>_xlfn.XLOOKUP($A1919,Games!$A$2:$A$18,Games!$N$2:$N$18,"Missing game",0)</x:f>
        <x:v>outdoors</x:v>
      </x:c>
      <x:c r="AT1919" t="str">
        <x:f>_xlfn.XLOOKUP($A1919,Games!$A$2:$A$18,Games!$O$2:$O$18,"Missing game",0)</x:f>
        <x:v>fieldturf</x:v>
      </x:c>
      <x:c r="AU1919" t="n">
        <x:f>_xlfn.XLOOKUP($A1919,Games!$A$2:$A$18,Games!$P$2:$P$18,"Missing game",0)</x:f>
        <x:v>45</x:v>
      </x:c>
      <x:c r="AV1919" t="n">
        <x:f>_xlfn.XLOOKUP($A1919,Games!$A$2:$A$18,Games!$Q$2:$Q$18,"Missing game",0)</x:f>
        <x:v>2</x:v>
      </x:c>
      <x:c r="AW1919" t="str">
        <x:f>_xlfn.XLOOKUP($A1919,Games!$A$2:$A$18,Games!$R$2:$R$18,"Missing game",0)</x:f>
        <x:v>Lumen Field</x:v>
      </x:c>
    </x:row>
    <x:row r="1920">
      <x:c r="A1920" t="str">
        <x:v>2025_13_MIN_SEA</x:v>
      </x:c>
      <x:c r="B1920" t="n">
        <x:v>1581</x:v>
      </x:c>
      <x:c r="C1920" t="n">
        <x:v>2</x:v>
      </x:c>
      <x:c r="D1920" t="str">
        <x:v>02:52</x:v>
      </x:c>
      <x:c r="E1920" t="n">
        <x:v>1</x:v>
      </x:c>
      <x:c r="F1920" t="n">
        <x:v>10</x:v>
      </x:c>
      <x:c r="G1920" t="str">
        <x:v>MIN</x:v>
      </x:c>
      <x:c r="H1920" t="str">
        <x:v>SEA</x:v>
      </x:c>
      <x:c r="I1920" t="str">
        <x:v>MIN</x:v>
      </x:c>
      <x:c r="J1920" t="n">
        <x:v>68</x:v>
      </x:c>
      <x:c r="K1920" t="str">
        <x:v>(2:52) 27-J.Mason up the middle to MIN 34 for 2 yards (42-D.Thomas; 13-E.Jones).</x:v>
      </x:c>
      <x:c r="L1920" t="str">
        <x:v>run</x:v>
      </x:c>
      <x:c r="M1920" t="n">
        <x:v>2</x:v>
      </x:c>
      <x:c r="N1920" t="n">
        <x:v>0</x:v>
      </x:c>
      <x:c r="O1920" t="n">
        <x:v>0</x:v>
      </x:c>
      <x:c r="P1920"/>
      <x:c r="Q1920"/>
      <x:c r="R1920"/>
      <x:c r="S1920"/>
      <x:c r="T1920" t="str">
        <x:v>middle</x:v>
      </x:c>
      <x:c r="U1920"/>
      <x:c r="V1920" t="n">
        <x:v>0</x:v>
      </x:c>
      <x:c r="W1920" t="n">
        <x:v>0</x:v>
      </x:c>
      <x:c r="X1920" t="n">
        <x:v>0</x:v>
      </x:c>
      <x:c r="Y1920" t="n">
        <x:v>0</x:v>
      </x:c>
      <x:c r="Z1920" t="n">
        <x:v>0</x:v>
      </x:c>
      <x:c r="AA1920" t="n">
        <x:v>0</x:v>
      </x:c>
      <x:c r="AB1920"/>
      <x:c r="AC1920" t="n">
        <x:v>0</x:v>
      </x:c>
      <x:c r="AD1920" t="n">
        <x:v>-0.4558837505755946</x:v>
      </x:c>
      <x:c r="AE1920" t="n">
        <x:v>0</x:v>
      </x:c>
      <x:c r="AF1920" t="n">
        <x:v>-0.011067301034927368</x:v>
      </x:c>
      <x:c r="AG1920" t="n">
        <x:f>_xlfn.XLOOKUP($A1920,Games!$A$2:$A$18,Games!$B$2:$B$18,"Missing game",0)</x:f>
        <x:v>2025</x:v>
      </x:c>
      <x:c r="AH1920" t="str">
        <x:f>_xlfn.XLOOKUP($A1920,Games!$A$2:$A$18,Games!$C$2:$C$18,"Missing game",0)</x:f>
        <x:v>REG</x:v>
      </x:c>
      <x:c r="AI1920" t="n">
        <x:f>_xlfn.XLOOKUP($A1920,Games!$A$2:$A$18,Games!$D$2:$D$18,"Missing game",0)</x:f>
        <x:v>13</x:v>
      </x:c>
      <x:c r="AJ1920" s="1" t="n">
        <x:f>_xlfn.XLOOKUP($A1920,Games!$A$2:$A$18,Games!$E$2:$E$18,"Missing game",0)</x:f>
        <x:v>45991</x:v>
      </x:c>
      <x:c r="AK1920" t="str">
        <x:f>_xlfn.XLOOKUP($A1920,Games!$A$2:$A$18,Games!$F$2:$F$18,"Missing game",0)</x:f>
        <x:v>Sunday</x:v>
      </x:c>
      <x:c r="AL1920" t="str">
        <x:f>_xlfn.XLOOKUP($A1920,Games!$A$2:$A$18,Games!$G$2:$G$18,"Missing game",0)</x:f>
        <x:v>MIN</x:v>
      </x:c>
      <x:c r="AM1920" t="n">
        <x:f>_xlfn.XLOOKUP($A1920,Games!$A$2:$A$18,Games!$H$2:$H$18,"Missing game",0)</x:f>
        <x:v>0</x:v>
      </x:c>
      <x:c r="AN1920" t="str">
        <x:f>_xlfn.XLOOKUP($A1920,Games!$A$2:$A$18,Games!$I$2:$I$18,"Missing game",0)</x:f>
        <x:v>SEA</x:v>
      </x:c>
      <x:c r="AO1920" t="n">
        <x:f>_xlfn.XLOOKUP($A1920,Games!$A$2:$A$18,Games!$J$2:$J$18,"Missing game",0)</x:f>
        <x:v>26</x:v>
      </x:c>
      <x:c r="AP1920" t="n">
        <x:f>_xlfn.XLOOKUP($A1920,Games!$A$2:$A$18,Games!$K$2:$K$18,"Missing game",0)</x:f>
        <x:v>26</x:v>
      </x:c>
      <x:c r="AQ1920" t="n">
        <x:f>_xlfn.XLOOKUP($A1920,Games!$A$2:$A$18,Games!$L$2:$L$18,"Missing game",0)</x:f>
        <x:v>26</x:v>
      </x:c>
      <x:c r="AR1920" t="n">
        <x:f>_xlfn.XLOOKUP($A1920,Games!$A$2:$A$18,Games!$M$2:$M$18,"Missing game",0)</x:f>
        <x:v>0</x:v>
      </x:c>
      <x:c r="AS1920" t="str">
        <x:f>_xlfn.XLOOKUP($A1920,Games!$A$2:$A$18,Games!$N$2:$N$18,"Missing game",0)</x:f>
        <x:v>outdoors</x:v>
      </x:c>
      <x:c r="AT1920" t="str">
        <x:f>_xlfn.XLOOKUP($A1920,Games!$A$2:$A$18,Games!$O$2:$O$18,"Missing game",0)</x:f>
        <x:v>fieldturf</x:v>
      </x:c>
      <x:c r="AU1920" t="n">
        <x:f>_xlfn.XLOOKUP($A1920,Games!$A$2:$A$18,Games!$P$2:$P$18,"Missing game",0)</x:f>
        <x:v>45</x:v>
      </x:c>
      <x:c r="AV1920" t="n">
        <x:f>_xlfn.XLOOKUP($A1920,Games!$A$2:$A$18,Games!$Q$2:$Q$18,"Missing game",0)</x:f>
        <x:v>2</x:v>
      </x:c>
      <x:c r="AW1920" t="str">
        <x:f>_xlfn.XLOOKUP($A1920,Games!$A$2:$A$18,Games!$R$2:$R$18,"Missing game",0)</x:f>
        <x:v>Lumen Field</x:v>
      </x:c>
    </x:row>
    <x:row r="1921">
      <x:c r="A1921" t="str">
        <x:v>2025_13_MIN_SEA</x:v>
      </x:c>
      <x:c r="B1921" t="n">
        <x:v>1603</x:v>
      </x:c>
      <x:c r="C1921" t="n">
        <x:v>2</x:v>
      </x:c>
      <x:c r="D1921" t="str">
        <x:v>02:19</x:v>
      </x:c>
      <x:c r="E1921" t="n">
        <x:v>2</x:v>
      </x:c>
      <x:c r="F1921" t="n">
        <x:v>8</x:v>
      </x:c>
      <x:c r="G1921" t="str">
        <x:v>MIN</x:v>
      </x:c>
      <x:c r="H1921" t="str">
        <x:v>SEA</x:v>
      </x:c>
      <x:c r="I1921" t="str">
        <x:v>MIN</x:v>
      </x:c>
      <x:c r="J1921" t="n">
        <x:v>66</x:v>
      </x:c>
      <x:c r="K1921" t="str">
        <x:v>(2:19) (Shotgun) PENALTY on MIN-78-R.Kelly, False Start, 5 yards, enforced at MIN 34 - No Play.</x:v>
      </x:c>
      <x:c r="L1921" t="str">
        <x:v>no_play</x:v>
      </x:c>
      <x:c r="M1921" t="n">
        <x:v>0</x:v>
      </x:c>
      <x:c r="N1921" t="n">
        <x:v>1</x:v>
      </x:c>
      <x:c r="O1921" t="n">
        <x:v>0</x:v>
      </x:c>
      <x:c r="P1921"/>
      <x:c r="Q1921"/>
      <x:c r="R1921"/>
      <x:c r="S1921"/>
      <x:c r="T1921"/>
      <x:c r="U1921"/>
      <x:c r="V1921" t="n">
        <x:v>0</x:v>
      </x:c>
      <x:c r="W1921" t="n">
        <x:v>0</x:v>
      </x:c>
      <x:c r="X1921" t="n">
        <x:v>0</x:v>
      </x:c>
      <x:c r="Y1921" t="n">
        <x:v>0</x:v>
      </x:c>
      <x:c r="Z1921" t="n">
        <x:v>0</x:v>
      </x:c>
      <x:c r="AA1921" t="n">
        <x:v>1</x:v>
      </x:c>
      <x:c r="AB1921" t="n">
        <x:v>5</x:v>
      </x:c>
      <x:c r="AC1921" t="n">
        <x:v>0</x:v>
      </x:c>
      <x:c r="AD1921" t="n">
        <x:v>-0.39751084498129785</x:v>
      </x:c>
      <x:c r="AE1921" t="n">
        <x:v>0</x:v>
      </x:c>
      <x:c r="AF1921" t="n">
        <x:v>-0.006598532199859619</x:v>
      </x:c>
      <x:c r="AG1921" t="n">
        <x:f>_xlfn.XLOOKUP($A1921,Games!$A$2:$A$18,Games!$B$2:$B$18,"Missing game",0)</x:f>
        <x:v>2025</x:v>
      </x:c>
      <x:c r="AH1921" t="str">
        <x:f>_xlfn.XLOOKUP($A1921,Games!$A$2:$A$18,Games!$C$2:$C$18,"Missing game",0)</x:f>
        <x:v>REG</x:v>
      </x:c>
      <x:c r="AI1921" t="n">
        <x:f>_xlfn.XLOOKUP($A1921,Games!$A$2:$A$18,Games!$D$2:$D$18,"Missing game",0)</x:f>
        <x:v>13</x:v>
      </x:c>
      <x:c r="AJ1921" s="1" t="n">
        <x:f>_xlfn.XLOOKUP($A1921,Games!$A$2:$A$18,Games!$E$2:$E$18,"Missing game",0)</x:f>
        <x:v>45991</x:v>
      </x:c>
      <x:c r="AK1921" t="str">
        <x:f>_xlfn.XLOOKUP($A1921,Games!$A$2:$A$18,Games!$F$2:$F$18,"Missing game",0)</x:f>
        <x:v>Sunday</x:v>
      </x:c>
      <x:c r="AL1921" t="str">
        <x:f>_xlfn.XLOOKUP($A1921,Games!$A$2:$A$18,Games!$G$2:$G$18,"Missing game",0)</x:f>
        <x:v>MIN</x:v>
      </x:c>
      <x:c r="AM1921" t="n">
        <x:f>_xlfn.XLOOKUP($A1921,Games!$A$2:$A$18,Games!$H$2:$H$18,"Missing game",0)</x:f>
        <x:v>0</x:v>
      </x:c>
      <x:c r="AN1921" t="str">
        <x:f>_xlfn.XLOOKUP($A1921,Games!$A$2:$A$18,Games!$I$2:$I$18,"Missing game",0)</x:f>
        <x:v>SEA</x:v>
      </x:c>
      <x:c r="AO1921" t="n">
        <x:f>_xlfn.XLOOKUP($A1921,Games!$A$2:$A$18,Games!$J$2:$J$18,"Missing game",0)</x:f>
        <x:v>26</x:v>
      </x:c>
      <x:c r="AP1921" t="n">
        <x:f>_xlfn.XLOOKUP($A1921,Games!$A$2:$A$18,Games!$K$2:$K$18,"Missing game",0)</x:f>
        <x:v>26</x:v>
      </x:c>
      <x:c r="AQ1921" t="n">
        <x:f>_xlfn.XLOOKUP($A1921,Games!$A$2:$A$18,Games!$L$2:$L$18,"Missing game",0)</x:f>
        <x:v>26</x:v>
      </x:c>
      <x:c r="AR1921" t="n">
        <x:f>_xlfn.XLOOKUP($A1921,Games!$A$2:$A$18,Games!$M$2:$M$18,"Missing game",0)</x:f>
        <x:v>0</x:v>
      </x:c>
      <x:c r="AS1921" t="str">
        <x:f>_xlfn.XLOOKUP($A1921,Games!$A$2:$A$18,Games!$N$2:$N$18,"Missing game",0)</x:f>
        <x:v>outdoors</x:v>
      </x:c>
      <x:c r="AT1921" t="str">
        <x:f>_xlfn.XLOOKUP($A1921,Games!$A$2:$A$18,Games!$O$2:$O$18,"Missing game",0)</x:f>
        <x:v>fieldturf</x:v>
      </x:c>
      <x:c r="AU1921" t="n">
        <x:f>_xlfn.XLOOKUP($A1921,Games!$A$2:$A$18,Games!$P$2:$P$18,"Missing game",0)</x:f>
        <x:v>45</x:v>
      </x:c>
      <x:c r="AV1921" t="n">
        <x:f>_xlfn.XLOOKUP($A1921,Games!$A$2:$A$18,Games!$Q$2:$Q$18,"Missing game",0)</x:f>
        <x:v>2</x:v>
      </x:c>
      <x:c r="AW1921" t="str">
        <x:f>_xlfn.XLOOKUP($A1921,Games!$A$2:$A$18,Games!$R$2:$R$18,"Missing game",0)</x:f>
        <x:v>Lumen Field</x:v>
      </x:c>
    </x:row>
    <x:row r="1922">
      <x:c r="A1922" t="str">
        <x:v>2025_13_MIN_SEA</x:v>
      </x:c>
      <x:c r="B1922" t="n">
        <x:v>1627</x:v>
      </x:c>
      <x:c r="C1922" t="n">
        <x:v>2</x:v>
      </x:c>
      <x:c r="D1922" t="str">
        <x:v>02:11</x:v>
      </x:c>
      <x:c r="E1922" t="n">
        <x:v>2</x:v>
      </x:c>
      <x:c r="F1922" t="n">
        <x:v>13</x:v>
      </x:c>
      <x:c r="G1922" t="str">
        <x:v>MIN</x:v>
      </x:c>
      <x:c r="H1922" t="str">
        <x:v>SEA</x:v>
      </x:c>
      <x:c r="I1922" t="str">
        <x:v>MIN</x:v>
      </x:c>
      <x:c r="J1922" t="n">
        <x:v>71</x:v>
      </x:c>
      <x:c r="K1922" t="str">
        <x:v>(2:11) (Shotgun) 12-M.Brosmer pass short right to 27-J.Mason to MIN 25 for -4 yards (53-B.Mafe). FUMBLES (53-B.Mafe), and recovers at MIN 28. 27-J.Mason to MIN 30 for 2 yards (91-B.Murphy).</x:v>
      </x:c>
      <x:c r="L1922" t="str">
        <x:v>pass</x:v>
      </x:c>
      <x:c r="M1922" t="n">
        <x:v>1</x:v>
      </x:c>
      <x:c r="N1922" t="n">
        <x:v>1</x:v>
      </x:c>
      <x:c r="O1922" t="n">
        <x:v>0</x:v>
      </x:c>
      <x:c r="P1922" t="str">
        <x:v>short</x:v>
      </x:c>
      <x:c r="Q1922" t="str">
        <x:v>right</x:v>
      </x:c>
      <x:c r="R1922" t="n">
        <x:v>-5</x:v>
      </x:c>
      <x:c r="S1922" t="n">
        <x:v>6</x:v>
      </x:c>
      <x:c r="T1922"/>
      <x:c r="U1922"/>
      <x:c r="V1922" t="n">
        <x:v>1</x:v>
      </x:c>
      <x:c r="W1922" t="n">
        <x:v>0</x:v>
      </x:c>
      <x:c r="X1922" t="n">
        <x:v>0</x:v>
      </x:c>
      <x:c r="Y1922" t="n">
        <x:v>0</x:v>
      </x:c>
      <x:c r="Z1922" t="n">
        <x:v>0</x:v>
      </x:c>
      <x:c r="AA1922" t="n">
        <x:v>0</x:v>
      </x:c>
      <x:c r="AB1922"/>
      <x:c r="AC1922" t="n">
        <x:v>0</x:v>
      </x:c>
      <x:c r="AD1922" t="n">
        <x:v>-0.47126115718856454</x:v>
      </x:c>
      <x:c r="AE1922" t="n">
        <x:v>0</x:v>
      </x:c>
      <x:c r="AF1922" t="n">
        <x:v>-0.011699289083480835</x:v>
      </x:c>
      <x:c r="AG1922" t="n">
        <x:f>_xlfn.XLOOKUP($A1922,Games!$A$2:$A$18,Games!$B$2:$B$18,"Missing game",0)</x:f>
        <x:v>2025</x:v>
      </x:c>
      <x:c r="AH1922" t="str">
        <x:f>_xlfn.XLOOKUP($A1922,Games!$A$2:$A$18,Games!$C$2:$C$18,"Missing game",0)</x:f>
        <x:v>REG</x:v>
      </x:c>
      <x:c r="AI1922" t="n">
        <x:f>_xlfn.XLOOKUP($A1922,Games!$A$2:$A$18,Games!$D$2:$D$18,"Missing game",0)</x:f>
        <x:v>13</x:v>
      </x:c>
      <x:c r="AJ1922" s="1" t="n">
        <x:f>_xlfn.XLOOKUP($A1922,Games!$A$2:$A$18,Games!$E$2:$E$18,"Missing game",0)</x:f>
        <x:v>45991</x:v>
      </x:c>
      <x:c r="AK1922" t="str">
        <x:f>_xlfn.XLOOKUP($A1922,Games!$A$2:$A$18,Games!$F$2:$F$18,"Missing game",0)</x:f>
        <x:v>Sunday</x:v>
      </x:c>
      <x:c r="AL1922" t="str">
        <x:f>_xlfn.XLOOKUP($A1922,Games!$A$2:$A$18,Games!$G$2:$G$18,"Missing game",0)</x:f>
        <x:v>MIN</x:v>
      </x:c>
      <x:c r="AM1922" t="n">
        <x:f>_xlfn.XLOOKUP($A1922,Games!$A$2:$A$18,Games!$H$2:$H$18,"Missing game",0)</x:f>
        <x:v>0</x:v>
      </x:c>
      <x:c r="AN1922" t="str">
        <x:f>_xlfn.XLOOKUP($A1922,Games!$A$2:$A$18,Games!$I$2:$I$18,"Missing game",0)</x:f>
        <x:v>SEA</x:v>
      </x:c>
      <x:c r="AO1922" t="n">
        <x:f>_xlfn.XLOOKUP($A1922,Games!$A$2:$A$18,Games!$J$2:$J$18,"Missing game",0)</x:f>
        <x:v>26</x:v>
      </x:c>
      <x:c r="AP1922" t="n">
        <x:f>_xlfn.XLOOKUP($A1922,Games!$A$2:$A$18,Games!$K$2:$K$18,"Missing game",0)</x:f>
        <x:v>26</x:v>
      </x:c>
      <x:c r="AQ1922" t="n">
        <x:f>_xlfn.XLOOKUP($A1922,Games!$A$2:$A$18,Games!$L$2:$L$18,"Missing game",0)</x:f>
        <x:v>26</x:v>
      </x:c>
      <x:c r="AR1922" t="n">
        <x:f>_xlfn.XLOOKUP($A1922,Games!$A$2:$A$18,Games!$M$2:$M$18,"Missing game",0)</x:f>
        <x:v>0</x:v>
      </x:c>
      <x:c r="AS1922" t="str">
        <x:f>_xlfn.XLOOKUP($A1922,Games!$A$2:$A$18,Games!$N$2:$N$18,"Missing game",0)</x:f>
        <x:v>outdoors</x:v>
      </x:c>
      <x:c r="AT1922" t="str">
        <x:f>_xlfn.XLOOKUP($A1922,Games!$A$2:$A$18,Games!$O$2:$O$18,"Missing game",0)</x:f>
        <x:v>fieldturf</x:v>
      </x:c>
      <x:c r="AU1922" t="n">
        <x:f>_xlfn.XLOOKUP($A1922,Games!$A$2:$A$18,Games!$P$2:$P$18,"Missing game",0)</x:f>
        <x:v>45</x:v>
      </x:c>
      <x:c r="AV1922" t="n">
        <x:f>_xlfn.XLOOKUP($A1922,Games!$A$2:$A$18,Games!$Q$2:$Q$18,"Missing game",0)</x:f>
        <x:v>2</x:v>
      </x:c>
      <x:c r="AW1922" t="str">
        <x:f>_xlfn.XLOOKUP($A1922,Games!$A$2:$A$18,Games!$R$2:$R$18,"Missing game",0)</x:f>
        <x:v>Lumen Field</x:v>
      </x:c>
    </x:row>
    <x:row r="1923">
      <x:c r="A1923" t="str">
        <x:v>2025_13_MIN_SEA</x:v>
      </x:c>
      <x:c r="B1923" t="n">
        <x:v>1668</x:v>
      </x:c>
      <x:c r="C1923" t="n">
        <x:v>2</x:v>
      </x:c>
      <x:c r="D1923" t="str">
        <x:v>02:00</x:v>
      </x:c>
      <x:c r="E1923" t="n">
        <x:v>3</x:v>
      </x:c>
      <x:c r="F1923" t="n">
        <x:v>12</x:v>
      </x:c>
      <x:c r="G1923" t="str">
        <x:v>MIN</x:v>
      </x:c>
      <x:c r="H1923" t="str">
        <x:v>SEA</x:v>
      </x:c>
      <x:c r="I1923" t="str">
        <x:v>MIN</x:v>
      </x:c>
      <x:c r="J1923" t="n">
        <x:v>70</x:v>
      </x:c>
      <x:c r="K1923" t="str">
        <x:v>(2:00) (Shotgun) 12-M.Brosmer sacked at MIN 24 for -6 yards (0-D.Lawrence).</x:v>
      </x:c>
      <x:c r="L1923" t="str">
        <x:v>pass</x:v>
      </x:c>
      <x:c r="M1923" t="n">
        <x:v>-6</x:v>
      </x:c>
      <x:c r="N1923" t="n">
        <x:v>1</x:v>
      </x:c>
      <x:c r="O1923" t="n">
        <x:v>0</x:v>
      </x:c>
      <x:c r="P1923"/>
      <x:c r="Q1923"/>
      <x:c r="R1923"/>
      <x:c r="S1923"/>
      <x:c r="T1923"/>
      <x:c r="U1923"/>
      <x:c r="V1923" t="n">
        <x:v>0</x:v>
      </x:c>
      <x:c r="W1923" t="n">
        <x:v>0</x:v>
      </x:c>
      <x:c r="X1923" t="n">
        <x:v>1</x:v>
      </x:c>
      <x:c r="Y1923" t="n">
        <x:v>0</x:v>
      </x:c>
      <x:c r="Z1923" t="n">
        <x:v>0</x:v>
      </x:c>
      <x:c r="AA1923" t="n">
        <x:v>0</x:v>
      </x:c>
      <x:c r="AB1923"/>
      <x:c r="AC1923" t="n">
        <x:v>0</x:v>
      </x:c>
      <x:c r="AD1923" t="n">
        <x:v>-0.7505064876750112</x:v>
      </x:c>
      <x:c r="AE1923" t="n">
        <x:v>0</x:v>
      </x:c>
      <x:c r="AF1923" t="n">
        <x:v>-0.024469494819641113</x:v>
      </x:c>
      <x:c r="AG1923" t="n">
        <x:f>_xlfn.XLOOKUP($A1923,Games!$A$2:$A$18,Games!$B$2:$B$18,"Missing game",0)</x:f>
        <x:v>2025</x:v>
      </x:c>
      <x:c r="AH1923" t="str">
        <x:f>_xlfn.XLOOKUP($A1923,Games!$A$2:$A$18,Games!$C$2:$C$18,"Missing game",0)</x:f>
        <x:v>REG</x:v>
      </x:c>
      <x:c r="AI1923" t="n">
        <x:f>_xlfn.XLOOKUP($A1923,Games!$A$2:$A$18,Games!$D$2:$D$18,"Missing game",0)</x:f>
        <x:v>13</x:v>
      </x:c>
      <x:c r="AJ1923" s="1" t="n">
        <x:f>_xlfn.XLOOKUP($A1923,Games!$A$2:$A$18,Games!$E$2:$E$18,"Missing game",0)</x:f>
        <x:v>45991</x:v>
      </x:c>
      <x:c r="AK1923" t="str">
        <x:f>_xlfn.XLOOKUP($A1923,Games!$A$2:$A$18,Games!$F$2:$F$18,"Missing game",0)</x:f>
        <x:v>Sunday</x:v>
      </x:c>
      <x:c r="AL1923" t="str">
        <x:f>_xlfn.XLOOKUP($A1923,Games!$A$2:$A$18,Games!$G$2:$G$18,"Missing game",0)</x:f>
        <x:v>MIN</x:v>
      </x:c>
      <x:c r="AM1923" t="n">
        <x:f>_xlfn.XLOOKUP($A1923,Games!$A$2:$A$18,Games!$H$2:$H$18,"Missing game",0)</x:f>
        <x:v>0</x:v>
      </x:c>
      <x:c r="AN1923" t="str">
        <x:f>_xlfn.XLOOKUP($A1923,Games!$A$2:$A$18,Games!$I$2:$I$18,"Missing game",0)</x:f>
        <x:v>SEA</x:v>
      </x:c>
      <x:c r="AO1923" t="n">
        <x:f>_xlfn.XLOOKUP($A1923,Games!$A$2:$A$18,Games!$J$2:$J$18,"Missing game",0)</x:f>
        <x:v>26</x:v>
      </x:c>
      <x:c r="AP1923" t="n">
        <x:f>_xlfn.XLOOKUP($A1923,Games!$A$2:$A$18,Games!$K$2:$K$18,"Missing game",0)</x:f>
        <x:v>26</x:v>
      </x:c>
      <x:c r="AQ1923" t="n">
        <x:f>_xlfn.XLOOKUP($A1923,Games!$A$2:$A$18,Games!$L$2:$L$18,"Missing game",0)</x:f>
        <x:v>26</x:v>
      </x:c>
      <x:c r="AR1923" t="n">
        <x:f>_xlfn.XLOOKUP($A1923,Games!$A$2:$A$18,Games!$M$2:$M$18,"Missing game",0)</x:f>
        <x:v>0</x:v>
      </x:c>
      <x:c r="AS1923" t="str">
        <x:f>_xlfn.XLOOKUP($A1923,Games!$A$2:$A$18,Games!$N$2:$N$18,"Missing game",0)</x:f>
        <x:v>outdoors</x:v>
      </x:c>
      <x:c r="AT1923" t="str">
        <x:f>_xlfn.XLOOKUP($A1923,Games!$A$2:$A$18,Games!$O$2:$O$18,"Missing game",0)</x:f>
        <x:v>fieldturf</x:v>
      </x:c>
      <x:c r="AU1923" t="n">
        <x:f>_xlfn.XLOOKUP($A1923,Games!$A$2:$A$18,Games!$P$2:$P$18,"Missing game",0)</x:f>
        <x:v>45</x:v>
      </x:c>
      <x:c r="AV1923" t="n">
        <x:f>_xlfn.XLOOKUP($A1923,Games!$A$2:$A$18,Games!$Q$2:$Q$18,"Missing game",0)</x:f>
        <x:v>2</x:v>
      </x:c>
      <x:c r="AW1923" t="str">
        <x:f>_xlfn.XLOOKUP($A1923,Games!$A$2:$A$18,Games!$R$2:$R$18,"Missing game",0)</x:f>
        <x:v>Lumen Field</x:v>
      </x:c>
    </x:row>
    <x:row r="1924">
      <x:c r="A1924" t="str">
        <x:v>2025_13_MIN_SEA</x:v>
      </x:c>
      <x:c r="B1924" t="n">
        <x:v>1695</x:v>
      </x:c>
      <x:c r="C1924" t="n">
        <x:v>2</x:v>
      </x:c>
      <x:c r="D1924" t="str">
        <x:v>01:12</x:v>
      </x:c>
      <x:c r="E1924" t="n">
        <x:v>4</x:v>
      </x:c>
      <x:c r="F1924" t="n">
        <x:v>18</x:v>
      </x:c>
      <x:c r="G1924" t="str">
        <x:v>MIN</x:v>
      </x:c>
      <x:c r="H1924" t="str">
        <x:v>SEA</x:v>
      </x:c>
      <x:c r="I1924" t="str">
        <x:v>MIN</x:v>
      </x:c>
      <x:c r="J1924" t="n">
        <x:v>76</x:v>
      </x:c>
      <x:c r="K1924" t="str">
        <x:v>(1:12) 17-R.Wright punts 50 yards to SEA 26, Center-42-A.DePaola. 22-R.Shaheed pushed ob at SEA 45 for 19 yards (98-B.Richter).</x:v>
      </x:c>
      <x:c r="L1924" t="str">
        <x:v>punt</x:v>
      </x:c>
      <x:c r="M1924" t="n">
        <x:v>0</x:v>
      </x:c>
      <x:c r="N1924" t="n">
        <x:v>0</x:v>
      </x:c>
      <x:c r="O1924" t="n">
        <x:v>0</x:v>
      </x:c>
      <x:c r="P1924"/>
      <x:c r="Q1924"/>
      <x:c r="R1924"/>
      <x:c r="S1924"/>
      <x:c r="T1924"/>
      <x:c r="U1924"/>
      <x:c r="V1924" t="n">
        <x:v>0</x:v>
      </x:c>
      <x:c r="W1924" t="n">
        <x:v>0</x:v>
      </x:c>
      <x:c r="X1924" t="n">
        <x:v>0</x:v>
      </x:c>
      <x:c r="Y1924" t="n">
        <x:v>0</x:v>
      </x:c>
      <x:c r="Z1924" t="n">
        <x:v>0</x:v>
      </x:c>
      <x:c r="AA1924" t="n">
        <x:v>0</x:v>
      </x:c>
      <x:c r="AB1924"/>
      <x:c r="AC1924" t="n">
        <x:v>0</x:v>
      </x:c>
      <x:c r="AD1924" t="n">
        <x:v>-1.118054197751917</x:v>
      </x:c>
      <x:c r="AE1924" t="n">
        <x:v>0</x:v>
      </x:c>
      <x:c r="AF1924" t="n">
        <x:v>-0.02336367964744568</x:v>
      </x:c>
      <x:c r="AG1924" t="n">
        <x:f>_xlfn.XLOOKUP($A1924,Games!$A$2:$A$18,Games!$B$2:$B$18,"Missing game",0)</x:f>
        <x:v>2025</x:v>
      </x:c>
      <x:c r="AH1924" t="str">
        <x:f>_xlfn.XLOOKUP($A1924,Games!$A$2:$A$18,Games!$C$2:$C$18,"Missing game",0)</x:f>
        <x:v>REG</x:v>
      </x:c>
      <x:c r="AI1924" t="n">
        <x:f>_xlfn.XLOOKUP($A1924,Games!$A$2:$A$18,Games!$D$2:$D$18,"Missing game",0)</x:f>
        <x:v>13</x:v>
      </x:c>
      <x:c r="AJ1924" s="1" t="n">
        <x:f>_xlfn.XLOOKUP($A1924,Games!$A$2:$A$18,Games!$E$2:$E$18,"Missing game",0)</x:f>
        <x:v>45991</x:v>
      </x:c>
      <x:c r="AK1924" t="str">
        <x:f>_xlfn.XLOOKUP($A1924,Games!$A$2:$A$18,Games!$F$2:$F$18,"Missing game",0)</x:f>
        <x:v>Sunday</x:v>
      </x:c>
      <x:c r="AL1924" t="str">
        <x:f>_xlfn.XLOOKUP($A1924,Games!$A$2:$A$18,Games!$G$2:$G$18,"Missing game",0)</x:f>
        <x:v>MIN</x:v>
      </x:c>
      <x:c r="AM1924" t="n">
        <x:f>_xlfn.XLOOKUP($A1924,Games!$A$2:$A$18,Games!$H$2:$H$18,"Missing game",0)</x:f>
        <x:v>0</x:v>
      </x:c>
      <x:c r="AN1924" t="str">
        <x:f>_xlfn.XLOOKUP($A1924,Games!$A$2:$A$18,Games!$I$2:$I$18,"Missing game",0)</x:f>
        <x:v>SEA</x:v>
      </x:c>
      <x:c r="AO1924" t="n">
        <x:f>_xlfn.XLOOKUP($A1924,Games!$A$2:$A$18,Games!$J$2:$J$18,"Missing game",0)</x:f>
        <x:v>26</x:v>
      </x:c>
      <x:c r="AP1924" t="n">
        <x:f>_xlfn.XLOOKUP($A1924,Games!$A$2:$A$18,Games!$K$2:$K$18,"Missing game",0)</x:f>
        <x:v>26</x:v>
      </x:c>
      <x:c r="AQ1924" t="n">
        <x:f>_xlfn.XLOOKUP($A1924,Games!$A$2:$A$18,Games!$L$2:$L$18,"Missing game",0)</x:f>
        <x:v>26</x:v>
      </x:c>
      <x:c r="AR1924" t="n">
        <x:f>_xlfn.XLOOKUP($A1924,Games!$A$2:$A$18,Games!$M$2:$M$18,"Missing game",0)</x:f>
        <x:v>0</x:v>
      </x:c>
      <x:c r="AS1924" t="str">
        <x:f>_xlfn.XLOOKUP($A1924,Games!$A$2:$A$18,Games!$N$2:$N$18,"Missing game",0)</x:f>
        <x:v>outdoors</x:v>
      </x:c>
      <x:c r="AT1924" t="str">
        <x:f>_xlfn.XLOOKUP($A1924,Games!$A$2:$A$18,Games!$O$2:$O$18,"Missing game",0)</x:f>
        <x:v>fieldturf</x:v>
      </x:c>
      <x:c r="AU1924" t="n">
        <x:f>_xlfn.XLOOKUP($A1924,Games!$A$2:$A$18,Games!$P$2:$P$18,"Missing game",0)</x:f>
        <x:v>45</x:v>
      </x:c>
      <x:c r="AV1924" t="n">
        <x:f>_xlfn.XLOOKUP($A1924,Games!$A$2:$A$18,Games!$Q$2:$Q$18,"Missing game",0)</x:f>
        <x:v>2</x:v>
      </x:c>
      <x:c r="AW1924" t="str">
        <x:f>_xlfn.XLOOKUP($A1924,Games!$A$2:$A$18,Games!$R$2:$R$18,"Missing game",0)</x:f>
        <x:v>Lumen Field</x:v>
      </x:c>
    </x:row>
    <x:row r="1925">
      <x:c r="A1925" t="str">
        <x:v>2025_13_MIN_SEA</x:v>
      </x:c>
      <x:c r="B1925" t="n">
        <x:v>1731</x:v>
      </x:c>
      <x:c r="C1925" t="n">
        <x:v>2</x:v>
      </x:c>
      <x:c r="D1925" t="str">
        <x:v>00:58</x:v>
      </x:c>
      <x:c r="E1925" t="n">
        <x:v>1</x:v>
      </x:c>
      <x:c r="F1925" t="n">
        <x:v>10</x:v>
      </x:c>
      <x:c r="G1925" t="str">
        <x:v>SEA</x:v>
      </x:c>
      <x:c r="H1925" t="str">
        <x:v>MIN</x:v>
      </x:c>
      <x:c r="I1925" t="str">
        <x:v>SEA</x:v>
      </x:c>
      <x:c r="J1925" t="n">
        <x:v>55</x:v>
      </x:c>
      <x:c r="K1925" t="str">
        <x:v>(:58) (Shotgun) 26-Z.Charbonnet left guard to MIN 46 for 9 yards (44-J.Metellus; 22-H.Smith).</x:v>
      </x:c>
      <x:c r="L1925" t="str">
        <x:v>run</x:v>
      </x:c>
      <x:c r="M1925" t="n">
        <x:v>9</x:v>
      </x:c>
      <x:c r="N1925" t="n">
        <x:v>1</x:v>
      </x:c>
      <x:c r="O1925" t="n">
        <x:v>0</x:v>
      </x:c>
      <x:c r="P1925"/>
      <x:c r="Q1925"/>
      <x:c r="R1925"/>
      <x:c r="S1925"/>
      <x:c r="T1925" t="str">
        <x:v>left</x:v>
      </x:c>
      <x:c r="U1925" t="str">
        <x:v>guard</x:v>
      </x:c>
      <x:c r="V1925" t="n">
        <x:v>0</x:v>
      </x:c>
      <x:c r="W1925" t="n">
        <x:v>0</x:v>
      </x:c>
      <x:c r="X1925" t="n">
        <x:v>0</x:v>
      </x:c>
      <x:c r="Y1925" t="n">
        <x:v>0</x:v>
      </x:c>
      <x:c r="Z1925" t="n">
        <x:v>0</x:v>
      </x:c>
      <x:c r="AA1925" t="n">
        <x:v>0</x:v>
      </x:c>
      <x:c r="AB1925"/>
      <x:c r="AC1925" t="n">
        <x:v>0</x:v>
      </x:c>
      <x:c r="AD1925" t="n">
        <x:v>0.41763525299029425</x:v>
      </x:c>
      <x:c r="AE1925" t="n">
        <x:v>1</x:v>
      </x:c>
      <x:c r="AF1925" t="n">
        <x:v>0.005967438220977783</x:v>
      </x:c>
      <x:c r="AG1925" t="n">
        <x:f>_xlfn.XLOOKUP($A1925,Games!$A$2:$A$18,Games!$B$2:$B$18,"Missing game",0)</x:f>
        <x:v>2025</x:v>
      </x:c>
      <x:c r="AH1925" t="str">
        <x:f>_xlfn.XLOOKUP($A1925,Games!$A$2:$A$18,Games!$C$2:$C$18,"Missing game",0)</x:f>
        <x:v>REG</x:v>
      </x:c>
      <x:c r="AI1925" t="n">
        <x:f>_xlfn.XLOOKUP($A1925,Games!$A$2:$A$18,Games!$D$2:$D$18,"Missing game",0)</x:f>
        <x:v>13</x:v>
      </x:c>
      <x:c r="AJ1925" s="1" t="n">
        <x:f>_xlfn.XLOOKUP($A1925,Games!$A$2:$A$18,Games!$E$2:$E$18,"Missing game",0)</x:f>
        <x:v>45991</x:v>
      </x:c>
      <x:c r="AK1925" t="str">
        <x:f>_xlfn.XLOOKUP($A1925,Games!$A$2:$A$18,Games!$F$2:$F$18,"Missing game",0)</x:f>
        <x:v>Sunday</x:v>
      </x:c>
      <x:c r="AL1925" t="str">
        <x:f>_xlfn.XLOOKUP($A1925,Games!$A$2:$A$18,Games!$G$2:$G$18,"Missing game",0)</x:f>
        <x:v>MIN</x:v>
      </x:c>
      <x:c r="AM1925" t="n">
        <x:f>_xlfn.XLOOKUP($A1925,Games!$A$2:$A$18,Games!$H$2:$H$18,"Missing game",0)</x:f>
        <x:v>0</x:v>
      </x:c>
      <x:c r="AN1925" t="str">
        <x:f>_xlfn.XLOOKUP($A1925,Games!$A$2:$A$18,Games!$I$2:$I$18,"Missing game",0)</x:f>
        <x:v>SEA</x:v>
      </x:c>
      <x:c r="AO1925" t="n">
        <x:f>_xlfn.XLOOKUP($A1925,Games!$A$2:$A$18,Games!$J$2:$J$18,"Missing game",0)</x:f>
        <x:v>26</x:v>
      </x:c>
      <x:c r="AP1925" t="n">
        <x:f>_xlfn.XLOOKUP($A1925,Games!$A$2:$A$18,Games!$K$2:$K$18,"Missing game",0)</x:f>
        <x:v>26</x:v>
      </x:c>
      <x:c r="AQ1925" t="n">
        <x:f>_xlfn.XLOOKUP($A1925,Games!$A$2:$A$18,Games!$L$2:$L$18,"Missing game",0)</x:f>
        <x:v>26</x:v>
      </x:c>
      <x:c r="AR1925" t="n">
        <x:f>_xlfn.XLOOKUP($A1925,Games!$A$2:$A$18,Games!$M$2:$M$18,"Missing game",0)</x:f>
        <x:v>0</x:v>
      </x:c>
      <x:c r="AS1925" t="str">
        <x:f>_xlfn.XLOOKUP($A1925,Games!$A$2:$A$18,Games!$N$2:$N$18,"Missing game",0)</x:f>
        <x:v>outdoors</x:v>
      </x:c>
      <x:c r="AT1925" t="str">
        <x:f>_xlfn.XLOOKUP($A1925,Games!$A$2:$A$18,Games!$O$2:$O$18,"Missing game",0)</x:f>
        <x:v>fieldturf</x:v>
      </x:c>
      <x:c r="AU1925" t="n">
        <x:f>_xlfn.XLOOKUP($A1925,Games!$A$2:$A$18,Games!$P$2:$P$18,"Missing game",0)</x:f>
        <x:v>45</x:v>
      </x:c>
      <x:c r="AV1925" t="n">
        <x:f>_xlfn.XLOOKUP($A1925,Games!$A$2:$A$18,Games!$Q$2:$Q$18,"Missing game",0)</x:f>
        <x:v>2</x:v>
      </x:c>
      <x:c r="AW1925" t="str">
        <x:f>_xlfn.XLOOKUP($A1925,Games!$A$2:$A$18,Games!$R$2:$R$18,"Missing game",0)</x:f>
        <x:v>Lumen Field</x:v>
      </x:c>
    </x:row>
    <x:row r="1926">
      <x:c r="A1926" t="str">
        <x:v>2025_13_MIN_SEA</x:v>
      </x:c>
      <x:c r="B1926" t="n">
        <x:v>1753</x:v>
      </x:c>
      <x:c r="C1926" t="n">
        <x:v>2</x:v>
      </x:c>
      <x:c r="D1926" t="str">
        <x:v>00:39</x:v>
      </x:c>
      <x:c r="E1926" t="n">
        <x:v>2</x:v>
      </x:c>
      <x:c r="F1926" t="n">
        <x:v>1</x:v>
      </x:c>
      <x:c r="G1926" t="str">
        <x:v>SEA</x:v>
      </x:c>
      <x:c r="H1926" t="str">
        <x:v>MIN</x:v>
      </x:c>
      <x:c r="I1926" t="str">
        <x:v>MIN</x:v>
      </x:c>
      <x:c r="J1926" t="n">
        <x:v>46</x:v>
      </x:c>
      <x:c r="K1926" t="str">
        <x:v>(:39) (No Huddle, Shotgun) 14-S.Darnold pass incomplete short left to 11-J.Smith-Njigba.</x:v>
      </x:c>
      <x:c r="L1926" t="str">
        <x:v>pass</x:v>
      </x:c>
      <x:c r="M1926" t="n">
        <x:v>0</x:v>
      </x:c>
      <x:c r="N1926" t="n">
        <x:v>1</x:v>
      </x:c>
      <x:c r="O1926" t="n">
        <x:v>1</x:v>
      </x:c>
      <x:c r="P1926" t="str">
        <x:v>short</x:v>
      </x:c>
      <x:c r="Q1926" t="str">
        <x:v>left</x:v>
      </x:c>
      <x:c r="R1926" t="n">
        <x:v>12</x:v>
      </x:c>
      <x:c r="S1926"/>
      <x:c r="T1926"/>
      <x:c r="U1926"/>
      <x:c r="V1926" t="n">
        <x:v>0</x:v>
      </x:c>
      <x:c r="W1926" t="n">
        <x:v>0</x:v>
      </x:c>
      <x:c r="X1926" t="n">
        <x:v>0</x:v>
      </x:c>
      <x:c r="Y1926" t="n">
        <x:v>0</x:v>
      </x:c>
      <x:c r="Z1926" t="n">
        <x:v>0</x:v>
      </x:c>
      <x:c r="AA1926" t="n">
        <x:v>0</x:v>
      </x:c>
      <x:c r="AB1926"/>
      <x:c r="AC1926" t="n">
        <x:v>0</x:v>
      </x:c>
      <x:c r="AD1926" t="n">
        <x:v>-0.2333870026632212</x:v>
      </x:c>
      <x:c r="AE1926" t="n">
        <x:v>0</x:v>
      </x:c>
      <x:c r="AF1926" t="n">
        <x:v>-0.015748143196105957</x:v>
      </x:c>
      <x:c r="AG1926" t="n">
        <x:f>_xlfn.XLOOKUP($A1926,Games!$A$2:$A$18,Games!$B$2:$B$18,"Missing game",0)</x:f>
        <x:v>2025</x:v>
      </x:c>
      <x:c r="AH1926" t="str">
        <x:f>_xlfn.XLOOKUP($A1926,Games!$A$2:$A$18,Games!$C$2:$C$18,"Missing game",0)</x:f>
        <x:v>REG</x:v>
      </x:c>
      <x:c r="AI1926" t="n">
        <x:f>_xlfn.XLOOKUP($A1926,Games!$A$2:$A$18,Games!$D$2:$D$18,"Missing game",0)</x:f>
        <x:v>13</x:v>
      </x:c>
      <x:c r="AJ1926" s="1" t="n">
        <x:f>_xlfn.XLOOKUP($A1926,Games!$A$2:$A$18,Games!$E$2:$E$18,"Missing game",0)</x:f>
        <x:v>45991</x:v>
      </x:c>
      <x:c r="AK1926" t="str">
        <x:f>_xlfn.XLOOKUP($A1926,Games!$A$2:$A$18,Games!$F$2:$F$18,"Missing game",0)</x:f>
        <x:v>Sunday</x:v>
      </x:c>
      <x:c r="AL1926" t="str">
        <x:f>_xlfn.XLOOKUP($A1926,Games!$A$2:$A$18,Games!$G$2:$G$18,"Missing game",0)</x:f>
        <x:v>MIN</x:v>
      </x:c>
      <x:c r="AM1926" t="n">
        <x:f>_xlfn.XLOOKUP($A1926,Games!$A$2:$A$18,Games!$H$2:$H$18,"Missing game",0)</x:f>
        <x:v>0</x:v>
      </x:c>
      <x:c r="AN1926" t="str">
        <x:f>_xlfn.XLOOKUP($A1926,Games!$A$2:$A$18,Games!$I$2:$I$18,"Missing game",0)</x:f>
        <x:v>SEA</x:v>
      </x:c>
      <x:c r="AO1926" t="n">
        <x:f>_xlfn.XLOOKUP($A1926,Games!$A$2:$A$18,Games!$J$2:$J$18,"Missing game",0)</x:f>
        <x:v>26</x:v>
      </x:c>
      <x:c r="AP1926" t="n">
        <x:f>_xlfn.XLOOKUP($A1926,Games!$A$2:$A$18,Games!$K$2:$K$18,"Missing game",0)</x:f>
        <x:v>26</x:v>
      </x:c>
      <x:c r="AQ1926" t="n">
        <x:f>_xlfn.XLOOKUP($A1926,Games!$A$2:$A$18,Games!$L$2:$L$18,"Missing game",0)</x:f>
        <x:v>26</x:v>
      </x:c>
      <x:c r="AR1926" t="n">
        <x:f>_xlfn.XLOOKUP($A1926,Games!$A$2:$A$18,Games!$M$2:$M$18,"Missing game",0)</x:f>
        <x:v>0</x:v>
      </x:c>
      <x:c r="AS1926" t="str">
        <x:f>_xlfn.XLOOKUP($A1926,Games!$A$2:$A$18,Games!$N$2:$N$18,"Missing game",0)</x:f>
        <x:v>outdoors</x:v>
      </x:c>
      <x:c r="AT1926" t="str">
        <x:f>_xlfn.XLOOKUP($A1926,Games!$A$2:$A$18,Games!$O$2:$O$18,"Missing game",0)</x:f>
        <x:v>fieldturf</x:v>
      </x:c>
      <x:c r="AU1926" t="n">
        <x:f>_xlfn.XLOOKUP($A1926,Games!$A$2:$A$18,Games!$P$2:$P$18,"Missing game",0)</x:f>
        <x:v>45</x:v>
      </x:c>
      <x:c r="AV1926" t="n">
        <x:f>_xlfn.XLOOKUP($A1926,Games!$A$2:$A$18,Games!$Q$2:$Q$18,"Missing game",0)</x:f>
        <x:v>2</x:v>
      </x:c>
      <x:c r="AW1926" t="str">
        <x:f>_xlfn.XLOOKUP($A1926,Games!$A$2:$A$18,Games!$R$2:$R$18,"Missing game",0)</x:f>
        <x:v>Lumen Field</x:v>
      </x:c>
    </x:row>
    <x:row r="1927">
      <x:c r="A1927" t="str">
        <x:v>2025_13_MIN_SEA</x:v>
      </x:c>
      <x:c r="B1927" t="n">
        <x:v>1776</x:v>
      </x:c>
      <x:c r="C1927" t="n">
        <x:v>2</x:v>
      </x:c>
      <x:c r="D1927" t="str">
        <x:v>00:36</x:v>
      </x:c>
      <x:c r="E1927" t="n">
        <x:v>3</x:v>
      </x:c>
      <x:c r="F1927" t="n">
        <x:v>1</x:v>
      </x:c>
      <x:c r="G1927" t="str">
        <x:v>SEA</x:v>
      </x:c>
      <x:c r="H1927" t="str">
        <x:v>MIN</x:v>
      </x:c>
      <x:c r="I1927" t="str">
        <x:v>MIN</x:v>
      </x:c>
      <x:c r="J1927" t="n">
        <x:v>46</x:v>
      </x:c>
      <x:c r="K1927" t="str">
        <x:v>(:36) (Shotgun) 26-Z.Charbonnet right guard to MIN 45 for 1 yard (51-B.Cashman).</x:v>
      </x:c>
      <x:c r="L1927" t="str">
        <x:v>run</x:v>
      </x:c>
      <x:c r="M1927" t="n">
        <x:v>1</x:v>
      </x:c>
      <x:c r="N1927" t="n">
        <x:v>1</x:v>
      </x:c>
      <x:c r="O1927" t="n">
        <x:v>0</x:v>
      </x:c>
      <x:c r="P1927"/>
      <x:c r="Q1927"/>
      <x:c r="R1927"/>
      <x:c r="S1927"/>
      <x:c r="T1927" t="str">
        <x:v>right</x:v>
      </x:c>
      <x:c r="U1927" t="str">
        <x:v>guard</x:v>
      </x:c>
      <x:c r="V1927" t="n">
        <x:v>0</x:v>
      </x:c>
      <x:c r="W1927" t="n">
        <x:v>1</x:v>
      </x:c>
      <x:c r="X1927" t="n">
        <x:v>0</x:v>
      </x:c>
      <x:c r="Y1927" t="n">
        <x:v>0</x:v>
      </x:c>
      <x:c r="Z1927" t="n">
        <x:v>0</x:v>
      </x:c>
      <x:c r="AA1927" t="n">
        <x:v>0</x:v>
      </x:c>
      <x:c r="AB1927"/>
      <x:c r="AC1927" t="n">
        <x:v>0</x:v>
      </x:c>
      <x:c r="AD1927" t="n">
        <x:v>-0.21655590715818107</x:v>
      </x:c>
      <x:c r="AE1927" t="n">
        <x:v>0</x:v>
      </x:c>
      <x:c r="AF1927" t="n">
        <x:v>0.010211348533630371</x:v>
      </x:c>
      <x:c r="AG1927" t="n">
        <x:f>_xlfn.XLOOKUP($A1927,Games!$A$2:$A$18,Games!$B$2:$B$18,"Missing game",0)</x:f>
        <x:v>2025</x:v>
      </x:c>
      <x:c r="AH1927" t="str">
        <x:f>_xlfn.XLOOKUP($A1927,Games!$A$2:$A$18,Games!$C$2:$C$18,"Missing game",0)</x:f>
        <x:v>REG</x:v>
      </x:c>
      <x:c r="AI1927" t="n">
        <x:f>_xlfn.XLOOKUP($A1927,Games!$A$2:$A$18,Games!$D$2:$D$18,"Missing game",0)</x:f>
        <x:v>13</x:v>
      </x:c>
      <x:c r="AJ1927" s="1" t="n">
        <x:f>_xlfn.XLOOKUP($A1927,Games!$A$2:$A$18,Games!$E$2:$E$18,"Missing game",0)</x:f>
        <x:v>45991</x:v>
      </x:c>
      <x:c r="AK1927" t="str">
        <x:f>_xlfn.XLOOKUP($A1927,Games!$A$2:$A$18,Games!$F$2:$F$18,"Missing game",0)</x:f>
        <x:v>Sunday</x:v>
      </x:c>
      <x:c r="AL1927" t="str">
        <x:f>_xlfn.XLOOKUP($A1927,Games!$A$2:$A$18,Games!$G$2:$G$18,"Missing game",0)</x:f>
        <x:v>MIN</x:v>
      </x:c>
      <x:c r="AM1927" t="n">
        <x:f>_xlfn.XLOOKUP($A1927,Games!$A$2:$A$18,Games!$H$2:$H$18,"Missing game",0)</x:f>
        <x:v>0</x:v>
      </x:c>
      <x:c r="AN1927" t="str">
        <x:f>_xlfn.XLOOKUP($A1927,Games!$A$2:$A$18,Games!$I$2:$I$18,"Missing game",0)</x:f>
        <x:v>SEA</x:v>
      </x:c>
      <x:c r="AO1927" t="n">
        <x:f>_xlfn.XLOOKUP($A1927,Games!$A$2:$A$18,Games!$J$2:$J$18,"Missing game",0)</x:f>
        <x:v>26</x:v>
      </x:c>
      <x:c r="AP1927" t="n">
        <x:f>_xlfn.XLOOKUP($A1927,Games!$A$2:$A$18,Games!$K$2:$K$18,"Missing game",0)</x:f>
        <x:v>26</x:v>
      </x:c>
      <x:c r="AQ1927" t="n">
        <x:f>_xlfn.XLOOKUP($A1927,Games!$A$2:$A$18,Games!$L$2:$L$18,"Missing game",0)</x:f>
        <x:v>26</x:v>
      </x:c>
      <x:c r="AR1927" t="n">
        <x:f>_xlfn.XLOOKUP($A1927,Games!$A$2:$A$18,Games!$M$2:$M$18,"Missing game",0)</x:f>
        <x:v>0</x:v>
      </x:c>
      <x:c r="AS1927" t="str">
        <x:f>_xlfn.XLOOKUP($A1927,Games!$A$2:$A$18,Games!$N$2:$N$18,"Missing game",0)</x:f>
        <x:v>outdoors</x:v>
      </x:c>
      <x:c r="AT1927" t="str">
        <x:f>_xlfn.XLOOKUP($A1927,Games!$A$2:$A$18,Games!$O$2:$O$18,"Missing game",0)</x:f>
        <x:v>fieldturf</x:v>
      </x:c>
      <x:c r="AU1927" t="n">
        <x:f>_xlfn.XLOOKUP($A1927,Games!$A$2:$A$18,Games!$P$2:$P$18,"Missing game",0)</x:f>
        <x:v>45</x:v>
      </x:c>
      <x:c r="AV1927" t="n">
        <x:f>_xlfn.XLOOKUP($A1927,Games!$A$2:$A$18,Games!$Q$2:$Q$18,"Missing game",0)</x:f>
        <x:v>2</x:v>
      </x:c>
      <x:c r="AW1927" t="str">
        <x:f>_xlfn.XLOOKUP($A1927,Games!$A$2:$A$18,Games!$R$2:$R$18,"Missing game",0)</x:f>
        <x:v>Lumen Field</x:v>
      </x:c>
    </x:row>
    <x:row r="1928">
      <x:c r="A1928" t="str">
        <x:v>2025_13_MIN_SEA</x:v>
      </x:c>
      <x:c r="B1928" t="n">
        <x:v>1798</x:v>
      </x:c>
      <x:c r="C1928" t="n">
        <x:v>2</x:v>
      </x:c>
      <x:c r="D1928" t="str">
        <x:v>00:23</x:v>
      </x:c>
      <x:c r="E1928" t="n">
        <x:v>1</x:v>
      </x:c>
      <x:c r="F1928" t="n">
        <x:v>10</x:v>
      </x:c>
      <x:c r="G1928" t="str">
        <x:v>SEA</x:v>
      </x:c>
      <x:c r="H1928" t="str">
        <x:v>MIN</x:v>
      </x:c>
      <x:c r="I1928" t="str">
        <x:v>MIN</x:v>
      </x:c>
      <x:c r="J1928" t="n">
        <x:v>45</x:v>
      </x:c>
      <x:c r="K1928" t="str">
        <x:v>(:23) (Shotgun) 14-S.Darnold pass short right to 22-R.Shaheed pushed ob at MIN 38 for 7 yards (23-F.Moreau).</x:v>
      </x:c>
      <x:c r="L1928" t="str">
        <x:v>pass</x:v>
      </x:c>
      <x:c r="M1928" t="n">
        <x:v>7</x:v>
      </x:c>
      <x:c r="N1928" t="n">
        <x:v>1</x:v>
      </x:c>
      <x:c r="O1928" t="n">
        <x:v>0</x:v>
      </x:c>
      <x:c r="P1928" t="str">
        <x:v>short</x:v>
      </x:c>
      <x:c r="Q1928" t="str">
        <x:v>right</x:v>
      </x:c>
      <x:c r="R1928" t="n">
        <x:v>6</x:v>
      </x:c>
      <x:c r="S1928" t="n">
        <x:v>1</x:v>
      </x:c>
      <x:c r="T1928"/>
      <x:c r="U1928"/>
      <x:c r="V1928" t="n">
        <x:v>1</x:v>
      </x:c>
      <x:c r="W1928" t="n">
        <x:v>0</x:v>
      </x:c>
      <x:c r="X1928" t="n">
        <x:v>0</x:v>
      </x:c>
      <x:c r="Y1928" t="n">
        <x:v>0</x:v>
      </x:c>
      <x:c r="Z1928" t="n">
        <x:v>0</x:v>
      </x:c>
      <x:c r="AA1928" t="n">
        <x:v>0</x:v>
      </x:c>
      <x:c r="AB1928"/>
      <x:c r="AC1928" t="n">
        <x:v>0</x:v>
      </x:c>
      <x:c r="AD1928" t="n">
        <x:v>0.3928831022349186</x:v>
      </x:c>
      <x:c r="AE1928" t="n">
        <x:v>1</x:v>
      </x:c>
      <x:c r="AF1928" t="n">
        <x:v>0.006215155124664307</x:v>
      </x:c>
      <x:c r="AG1928" t="n">
        <x:f>_xlfn.XLOOKUP($A1928,Games!$A$2:$A$18,Games!$B$2:$B$18,"Missing game",0)</x:f>
        <x:v>2025</x:v>
      </x:c>
      <x:c r="AH1928" t="str">
        <x:f>_xlfn.XLOOKUP($A1928,Games!$A$2:$A$18,Games!$C$2:$C$18,"Missing game",0)</x:f>
        <x:v>REG</x:v>
      </x:c>
      <x:c r="AI1928" t="n">
        <x:f>_xlfn.XLOOKUP($A1928,Games!$A$2:$A$18,Games!$D$2:$D$18,"Missing game",0)</x:f>
        <x:v>13</x:v>
      </x:c>
      <x:c r="AJ1928" s="1" t="n">
        <x:f>_xlfn.XLOOKUP($A1928,Games!$A$2:$A$18,Games!$E$2:$E$18,"Missing game",0)</x:f>
        <x:v>45991</x:v>
      </x:c>
      <x:c r="AK1928" t="str">
        <x:f>_xlfn.XLOOKUP($A1928,Games!$A$2:$A$18,Games!$F$2:$F$18,"Missing game",0)</x:f>
        <x:v>Sunday</x:v>
      </x:c>
      <x:c r="AL1928" t="str">
        <x:f>_xlfn.XLOOKUP($A1928,Games!$A$2:$A$18,Games!$G$2:$G$18,"Missing game",0)</x:f>
        <x:v>MIN</x:v>
      </x:c>
      <x:c r="AM1928" t="n">
        <x:f>_xlfn.XLOOKUP($A1928,Games!$A$2:$A$18,Games!$H$2:$H$18,"Missing game",0)</x:f>
        <x:v>0</x:v>
      </x:c>
      <x:c r="AN1928" t="str">
        <x:f>_xlfn.XLOOKUP($A1928,Games!$A$2:$A$18,Games!$I$2:$I$18,"Missing game",0)</x:f>
        <x:v>SEA</x:v>
      </x:c>
      <x:c r="AO1928" t="n">
        <x:f>_xlfn.XLOOKUP($A1928,Games!$A$2:$A$18,Games!$J$2:$J$18,"Missing game",0)</x:f>
        <x:v>26</x:v>
      </x:c>
      <x:c r="AP1928" t="n">
        <x:f>_xlfn.XLOOKUP($A1928,Games!$A$2:$A$18,Games!$K$2:$K$18,"Missing game",0)</x:f>
        <x:v>26</x:v>
      </x:c>
      <x:c r="AQ1928" t="n">
        <x:f>_xlfn.XLOOKUP($A1928,Games!$A$2:$A$18,Games!$L$2:$L$18,"Missing game",0)</x:f>
        <x:v>26</x:v>
      </x:c>
      <x:c r="AR1928" t="n">
        <x:f>_xlfn.XLOOKUP($A1928,Games!$A$2:$A$18,Games!$M$2:$M$18,"Missing game",0)</x:f>
        <x:v>0</x:v>
      </x:c>
      <x:c r="AS1928" t="str">
        <x:f>_xlfn.XLOOKUP($A1928,Games!$A$2:$A$18,Games!$N$2:$N$18,"Missing game",0)</x:f>
        <x:v>outdoors</x:v>
      </x:c>
      <x:c r="AT1928" t="str">
        <x:f>_xlfn.XLOOKUP($A1928,Games!$A$2:$A$18,Games!$O$2:$O$18,"Missing game",0)</x:f>
        <x:v>fieldturf</x:v>
      </x:c>
      <x:c r="AU1928" t="n">
        <x:f>_xlfn.XLOOKUP($A1928,Games!$A$2:$A$18,Games!$P$2:$P$18,"Missing game",0)</x:f>
        <x:v>45</x:v>
      </x:c>
      <x:c r="AV1928" t="n">
        <x:f>_xlfn.XLOOKUP($A1928,Games!$A$2:$A$18,Games!$Q$2:$Q$18,"Missing game",0)</x:f>
        <x:v>2</x:v>
      </x:c>
      <x:c r="AW1928" t="str">
        <x:f>_xlfn.XLOOKUP($A1928,Games!$A$2:$A$18,Games!$R$2:$R$18,"Missing game",0)</x:f>
        <x:v>Lumen Field</x:v>
      </x:c>
    </x:row>
    <x:row r="1929">
      <x:c r="A1929" t="str">
        <x:v>2025_13_MIN_SEA</x:v>
      </x:c>
      <x:c r="B1929" t="n">
        <x:v>1810</x:v>
      </x:c>
      <x:c r="C1929" t="n">
        <x:v>2</x:v>
      </x:c>
      <x:c r="D1929" t="str">
        <x:v>00:23</x:v>
      </x:c>
      <x:c r="E1929"/>
      <x:c r="F1929" t="n">
        <x:v>0</x:v>
      </x:c>
      <x:c r="G1929"/>
      <x:c r="H1929"/>
      <x:c r="I1929"/>
      <x:c r="J1929"/>
      <x:c r="K1929" t="str">
        <x:v>Timeout #1 by SEA at 00:23.</x:v>
      </x:c>
      <x:c r="L1929" t="str">
        <x:v>no_play</x:v>
      </x:c>
      <x:c r="M1929" t="n">
        <x:v>0</x:v>
      </x:c>
      <x:c r="N1929" t="n">
        <x:v>0</x:v>
      </x:c>
      <x:c r="O1929" t="n">
        <x:v>0</x:v>
      </x:c>
      <x:c r="P1929"/>
      <x:c r="Q1929"/>
      <x:c r="R1929"/>
      <x:c r="S1929"/>
      <x:c r="T1929"/>
      <x:c r="U1929"/>
      <x:c r="V1929" t="n">
        <x:v>0</x:v>
      </x:c>
      <x:c r="W1929" t="n">
        <x:v>0</x:v>
      </x:c>
      <x:c r="X1929" t="n">
        <x:v>0</x:v>
      </x:c>
      <x:c r="Y1929" t="n">
        <x:v>0</x:v>
      </x:c>
      <x:c r="Z1929" t="n">
        <x:v>0</x:v>
      </x:c>
      <x:c r="AA1929" t="n">
        <x:v>0</x:v>
      </x:c>
      <x:c r="AB1929"/>
      <x:c r="AC1929" t="n">
        <x:v>0</x:v>
      </x:c>
      <x:c r="AD1929" t="n">
        <x:v>0</x:v>
      </x:c>
      <x:c r="AE1929" t="n">
        <x:v>0</x:v>
      </x:c>
      <x:c r="AF1929" t="n">
        <x:v>0</x:v>
      </x:c>
      <x:c r="AG1929" t="n">
        <x:f>_xlfn.XLOOKUP($A1929,Games!$A$2:$A$18,Games!$B$2:$B$18,"Missing game",0)</x:f>
        <x:v>2025</x:v>
      </x:c>
      <x:c r="AH1929" t="str">
        <x:f>_xlfn.XLOOKUP($A1929,Games!$A$2:$A$18,Games!$C$2:$C$18,"Missing game",0)</x:f>
        <x:v>REG</x:v>
      </x:c>
      <x:c r="AI1929" t="n">
        <x:f>_xlfn.XLOOKUP($A1929,Games!$A$2:$A$18,Games!$D$2:$D$18,"Missing game",0)</x:f>
        <x:v>13</x:v>
      </x:c>
      <x:c r="AJ1929" s="1" t="n">
        <x:f>_xlfn.XLOOKUP($A1929,Games!$A$2:$A$18,Games!$E$2:$E$18,"Missing game",0)</x:f>
        <x:v>45991</x:v>
      </x:c>
      <x:c r="AK1929" t="str">
        <x:f>_xlfn.XLOOKUP($A1929,Games!$A$2:$A$18,Games!$F$2:$F$18,"Missing game",0)</x:f>
        <x:v>Sunday</x:v>
      </x:c>
      <x:c r="AL1929" t="str">
        <x:f>_xlfn.XLOOKUP($A1929,Games!$A$2:$A$18,Games!$G$2:$G$18,"Missing game",0)</x:f>
        <x:v>MIN</x:v>
      </x:c>
      <x:c r="AM1929" t="n">
        <x:f>_xlfn.XLOOKUP($A1929,Games!$A$2:$A$18,Games!$H$2:$H$18,"Missing game",0)</x:f>
        <x:v>0</x:v>
      </x:c>
      <x:c r="AN1929" t="str">
        <x:f>_xlfn.XLOOKUP($A1929,Games!$A$2:$A$18,Games!$I$2:$I$18,"Missing game",0)</x:f>
        <x:v>SEA</x:v>
      </x:c>
      <x:c r="AO1929" t="n">
        <x:f>_xlfn.XLOOKUP($A1929,Games!$A$2:$A$18,Games!$J$2:$J$18,"Missing game",0)</x:f>
        <x:v>26</x:v>
      </x:c>
      <x:c r="AP1929" t="n">
        <x:f>_xlfn.XLOOKUP($A1929,Games!$A$2:$A$18,Games!$K$2:$K$18,"Missing game",0)</x:f>
        <x:v>26</x:v>
      </x:c>
      <x:c r="AQ1929" t="n">
        <x:f>_xlfn.XLOOKUP($A1929,Games!$A$2:$A$18,Games!$L$2:$L$18,"Missing game",0)</x:f>
        <x:v>26</x:v>
      </x:c>
      <x:c r="AR1929" t="n">
        <x:f>_xlfn.XLOOKUP($A1929,Games!$A$2:$A$18,Games!$M$2:$M$18,"Missing game",0)</x:f>
        <x:v>0</x:v>
      </x:c>
      <x:c r="AS1929" t="str">
        <x:f>_xlfn.XLOOKUP($A1929,Games!$A$2:$A$18,Games!$N$2:$N$18,"Missing game",0)</x:f>
        <x:v>outdoors</x:v>
      </x:c>
      <x:c r="AT1929" t="str">
        <x:f>_xlfn.XLOOKUP($A1929,Games!$A$2:$A$18,Games!$O$2:$O$18,"Missing game",0)</x:f>
        <x:v>fieldturf</x:v>
      </x:c>
      <x:c r="AU1929" t="n">
        <x:f>_xlfn.XLOOKUP($A1929,Games!$A$2:$A$18,Games!$P$2:$P$18,"Missing game",0)</x:f>
        <x:v>45</x:v>
      </x:c>
      <x:c r="AV1929" t="n">
        <x:f>_xlfn.XLOOKUP($A1929,Games!$A$2:$A$18,Games!$Q$2:$Q$18,"Missing game",0)</x:f>
        <x:v>2</x:v>
      </x:c>
      <x:c r="AW1929" t="str">
        <x:f>_xlfn.XLOOKUP($A1929,Games!$A$2:$A$18,Games!$R$2:$R$18,"Missing game",0)</x:f>
        <x:v>Lumen Field</x:v>
      </x:c>
    </x:row>
    <x:row r="1930">
      <x:c r="A1930" t="str">
        <x:v>2025_13_MIN_SEA</x:v>
      </x:c>
      <x:c r="B1930" t="n">
        <x:v>1835</x:v>
      </x:c>
      <x:c r="C1930" t="n">
        <x:v>2</x:v>
      </x:c>
      <x:c r="D1930" t="str">
        <x:v>00:19</x:v>
      </x:c>
      <x:c r="E1930" t="n">
        <x:v>2</x:v>
      </x:c>
      <x:c r="F1930" t="n">
        <x:v>3</x:v>
      </x:c>
      <x:c r="G1930" t="str">
        <x:v>SEA</x:v>
      </x:c>
      <x:c r="H1930" t="str">
        <x:v>MIN</x:v>
      </x:c>
      <x:c r="I1930" t="str">
        <x:v>MIN</x:v>
      </x:c>
      <x:c r="J1930" t="n">
        <x:v>38</x:v>
      </x:c>
      <x:c r="K1930" t="str">
        <x:v>(:19) (Shotgun) 14-S.Darnold pass incomplete short right to 22-R.Shaheed (51-B.Cashman).</x:v>
      </x:c>
      <x:c r="L1930" t="str">
        <x:v>pass</x:v>
      </x:c>
      <x:c r="M1930" t="n">
        <x:v>0</x:v>
      </x:c>
      <x:c r="N1930" t="n">
        <x:v>1</x:v>
      </x:c>
      <x:c r="O1930" t="n">
        <x:v>0</x:v>
      </x:c>
      <x:c r="P1930" t="str">
        <x:v>short</x:v>
      </x:c>
      <x:c r="Q1930" t="str">
        <x:v>right</x:v>
      </x:c>
      <x:c r="R1930" t="n">
        <x:v>0</x:v>
      </x:c>
      <x:c r="S1930"/>
      <x:c r="T1930"/>
      <x:c r="U1930"/>
      <x:c r="V1930" t="n">
        <x:v>0</x:v>
      </x:c>
      <x:c r="W1930" t="n">
        <x:v>0</x:v>
      </x:c>
      <x:c r="X1930" t="n">
        <x:v>0</x:v>
      </x:c>
      <x:c r="Y1930" t="n">
        <x:v>0</x:v>
      </x:c>
      <x:c r="Z1930" t="n">
        <x:v>0</x:v>
      </x:c>
      <x:c r="AA1930" t="n">
        <x:v>0</x:v>
      </x:c>
      <x:c r="AB1930"/>
      <x:c r="AC1930" t="n">
        <x:v>0</x:v>
      </x:c>
      <x:c r="AD1930" t="n">
        <x:v>-0.34949736576527357</x:v>
      </x:c>
      <x:c r="AE1930" t="n">
        <x:v>0</x:v>
      </x:c>
      <x:c r="AF1930" t="n">
        <x:v>-0.014184534549713135</x:v>
      </x:c>
      <x:c r="AG1930" t="n">
        <x:f>_xlfn.XLOOKUP($A1930,Games!$A$2:$A$18,Games!$B$2:$B$18,"Missing game",0)</x:f>
        <x:v>2025</x:v>
      </x:c>
      <x:c r="AH1930" t="str">
        <x:f>_xlfn.XLOOKUP($A1930,Games!$A$2:$A$18,Games!$C$2:$C$18,"Missing game",0)</x:f>
        <x:v>REG</x:v>
      </x:c>
      <x:c r="AI1930" t="n">
        <x:f>_xlfn.XLOOKUP($A1930,Games!$A$2:$A$18,Games!$D$2:$D$18,"Missing game",0)</x:f>
        <x:v>13</x:v>
      </x:c>
      <x:c r="AJ1930" s="1" t="n">
        <x:f>_xlfn.XLOOKUP($A1930,Games!$A$2:$A$18,Games!$E$2:$E$18,"Missing game",0)</x:f>
        <x:v>45991</x:v>
      </x:c>
      <x:c r="AK1930" t="str">
        <x:f>_xlfn.XLOOKUP($A1930,Games!$A$2:$A$18,Games!$F$2:$F$18,"Missing game",0)</x:f>
        <x:v>Sunday</x:v>
      </x:c>
      <x:c r="AL1930" t="str">
        <x:f>_xlfn.XLOOKUP($A1930,Games!$A$2:$A$18,Games!$G$2:$G$18,"Missing game",0)</x:f>
        <x:v>MIN</x:v>
      </x:c>
      <x:c r="AM1930" t="n">
        <x:f>_xlfn.XLOOKUP($A1930,Games!$A$2:$A$18,Games!$H$2:$H$18,"Missing game",0)</x:f>
        <x:v>0</x:v>
      </x:c>
      <x:c r="AN1930" t="str">
        <x:f>_xlfn.XLOOKUP($A1930,Games!$A$2:$A$18,Games!$I$2:$I$18,"Missing game",0)</x:f>
        <x:v>SEA</x:v>
      </x:c>
      <x:c r="AO1930" t="n">
        <x:f>_xlfn.XLOOKUP($A1930,Games!$A$2:$A$18,Games!$J$2:$J$18,"Missing game",0)</x:f>
        <x:v>26</x:v>
      </x:c>
      <x:c r="AP1930" t="n">
        <x:f>_xlfn.XLOOKUP($A1930,Games!$A$2:$A$18,Games!$K$2:$K$18,"Missing game",0)</x:f>
        <x:v>26</x:v>
      </x:c>
      <x:c r="AQ1930" t="n">
        <x:f>_xlfn.XLOOKUP($A1930,Games!$A$2:$A$18,Games!$L$2:$L$18,"Missing game",0)</x:f>
        <x:v>26</x:v>
      </x:c>
      <x:c r="AR1930" t="n">
        <x:f>_xlfn.XLOOKUP($A1930,Games!$A$2:$A$18,Games!$M$2:$M$18,"Missing game",0)</x:f>
        <x:v>0</x:v>
      </x:c>
      <x:c r="AS1930" t="str">
        <x:f>_xlfn.XLOOKUP($A1930,Games!$A$2:$A$18,Games!$N$2:$N$18,"Missing game",0)</x:f>
        <x:v>outdoors</x:v>
      </x:c>
      <x:c r="AT1930" t="str">
        <x:f>_xlfn.XLOOKUP($A1930,Games!$A$2:$A$18,Games!$O$2:$O$18,"Missing game",0)</x:f>
        <x:v>fieldturf</x:v>
      </x:c>
      <x:c r="AU1930" t="n">
        <x:f>_xlfn.XLOOKUP($A1930,Games!$A$2:$A$18,Games!$P$2:$P$18,"Missing game",0)</x:f>
        <x:v>45</x:v>
      </x:c>
      <x:c r="AV1930" t="n">
        <x:f>_xlfn.XLOOKUP($A1930,Games!$A$2:$A$18,Games!$Q$2:$Q$18,"Missing game",0)</x:f>
        <x:v>2</x:v>
      </x:c>
      <x:c r="AW1930" t="str">
        <x:f>_xlfn.XLOOKUP($A1930,Games!$A$2:$A$18,Games!$R$2:$R$18,"Missing game",0)</x:f>
        <x:v>Lumen Field</x:v>
      </x:c>
    </x:row>
    <x:row r="1931">
      <x:c r="A1931" t="str">
        <x:v>2025_13_MIN_SEA</x:v>
      </x:c>
      <x:c r="B1931" t="n">
        <x:v>1858</x:v>
      </x:c>
      <x:c r="C1931" t="n">
        <x:v>2</x:v>
      </x:c>
      <x:c r="D1931" t="str">
        <x:v>00:15</x:v>
      </x:c>
      <x:c r="E1931" t="n">
        <x:v>3</x:v>
      </x:c>
      <x:c r="F1931" t="n">
        <x:v>3</x:v>
      </x:c>
      <x:c r="G1931" t="str">
        <x:v>SEA</x:v>
      </x:c>
      <x:c r="H1931" t="str">
        <x:v>MIN</x:v>
      </x:c>
      <x:c r="I1931" t="str">
        <x:v>MIN</x:v>
      </x:c>
      <x:c r="J1931" t="n">
        <x:v>38</x:v>
      </x:c>
      <x:c r="K1931" t="str">
        <x:v>(:15) (Shotgun) 14-S.Darnold pass incomplete short right to 11-J.Smith-Njigba (22-H.Smith).</x:v>
      </x:c>
      <x:c r="L1931" t="str">
        <x:v>pass</x:v>
      </x:c>
      <x:c r="M1931" t="n">
        <x:v>0</x:v>
      </x:c>
      <x:c r="N1931" t="n">
        <x:v>1</x:v>
      </x:c>
      <x:c r="O1931" t="n">
        <x:v>0</x:v>
      </x:c>
      <x:c r="P1931" t="str">
        <x:v>short</x:v>
      </x:c>
      <x:c r="Q1931" t="str">
        <x:v>right</x:v>
      </x:c>
      <x:c r="R1931" t="n">
        <x:v>-5</x:v>
      </x:c>
      <x:c r="S1931"/>
      <x:c r="T1931"/>
      <x:c r="U1931"/>
      <x:c r="V1931" t="n">
        <x:v>0</x:v>
      </x:c>
      <x:c r="W1931" t="n">
        <x:v>0</x:v>
      </x:c>
      <x:c r="X1931" t="n">
        <x:v>0</x:v>
      </x:c>
      <x:c r="Y1931" t="n">
        <x:v>0</x:v>
      </x:c>
      <x:c r="Z1931" t="n">
        <x:v>0</x:v>
      </x:c>
      <x:c r="AA1931" t="n">
        <x:v>0</x:v>
      </x:c>
      <x:c r="AB1931"/>
      <x:c r="AC1931" t="n">
        <x:v>0</x:v>
      </x:c>
      <x:c r="AD1931" t="n">
        <x:v>-0.3878386573881587</x:v>
      </x:c>
      <x:c r="AE1931" t="n">
        <x:v>0</x:v>
      </x:c>
      <x:c r="AF1931" t="n">
        <x:v>-0.01856088638305664</x:v>
      </x:c>
      <x:c r="AG1931" t="n">
        <x:f>_xlfn.XLOOKUP($A1931,Games!$A$2:$A$18,Games!$B$2:$B$18,"Missing game",0)</x:f>
        <x:v>2025</x:v>
      </x:c>
      <x:c r="AH1931" t="str">
        <x:f>_xlfn.XLOOKUP($A1931,Games!$A$2:$A$18,Games!$C$2:$C$18,"Missing game",0)</x:f>
        <x:v>REG</x:v>
      </x:c>
      <x:c r="AI1931" t="n">
        <x:f>_xlfn.XLOOKUP($A1931,Games!$A$2:$A$18,Games!$D$2:$D$18,"Missing game",0)</x:f>
        <x:v>13</x:v>
      </x:c>
      <x:c r="AJ1931" s="1" t="n">
        <x:f>_xlfn.XLOOKUP($A1931,Games!$A$2:$A$18,Games!$E$2:$E$18,"Missing game",0)</x:f>
        <x:v>45991</x:v>
      </x:c>
      <x:c r="AK1931" t="str">
        <x:f>_xlfn.XLOOKUP($A1931,Games!$A$2:$A$18,Games!$F$2:$F$18,"Missing game",0)</x:f>
        <x:v>Sunday</x:v>
      </x:c>
      <x:c r="AL1931" t="str">
        <x:f>_xlfn.XLOOKUP($A1931,Games!$A$2:$A$18,Games!$G$2:$G$18,"Missing game",0)</x:f>
        <x:v>MIN</x:v>
      </x:c>
      <x:c r="AM1931" t="n">
        <x:f>_xlfn.XLOOKUP($A1931,Games!$A$2:$A$18,Games!$H$2:$H$18,"Missing game",0)</x:f>
        <x:v>0</x:v>
      </x:c>
      <x:c r="AN1931" t="str">
        <x:f>_xlfn.XLOOKUP($A1931,Games!$A$2:$A$18,Games!$I$2:$I$18,"Missing game",0)</x:f>
        <x:v>SEA</x:v>
      </x:c>
      <x:c r="AO1931" t="n">
        <x:f>_xlfn.XLOOKUP($A1931,Games!$A$2:$A$18,Games!$J$2:$J$18,"Missing game",0)</x:f>
        <x:v>26</x:v>
      </x:c>
      <x:c r="AP1931" t="n">
        <x:f>_xlfn.XLOOKUP($A1931,Games!$A$2:$A$18,Games!$K$2:$K$18,"Missing game",0)</x:f>
        <x:v>26</x:v>
      </x:c>
      <x:c r="AQ1931" t="n">
        <x:f>_xlfn.XLOOKUP($A1931,Games!$A$2:$A$18,Games!$L$2:$L$18,"Missing game",0)</x:f>
        <x:v>26</x:v>
      </x:c>
      <x:c r="AR1931" t="n">
        <x:f>_xlfn.XLOOKUP($A1931,Games!$A$2:$A$18,Games!$M$2:$M$18,"Missing game",0)</x:f>
        <x:v>0</x:v>
      </x:c>
      <x:c r="AS1931" t="str">
        <x:f>_xlfn.XLOOKUP($A1931,Games!$A$2:$A$18,Games!$N$2:$N$18,"Missing game",0)</x:f>
        <x:v>outdoors</x:v>
      </x:c>
      <x:c r="AT1931" t="str">
        <x:f>_xlfn.XLOOKUP($A1931,Games!$A$2:$A$18,Games!$O$2:$O$18,"Missing game",0)</x:f>
        <x:v>fieldturf</x:v>
      </x:c>
      <x:c r="AU1931" t="n">
        <x:f>_xlfn.XLOOKUP($A1931,Games!$A$2:$A$18,Games!$P$2:$P$18,"Missing game",0)</x:f>
        <x:v>45</x:v>
      </x:c>
      <x:c r="AV1931" t="n">
        <x:f>_xlfn.XLOOKUP($A1931,Games!$A$2:$A$18,Games!$Q$2:$Q$18,"Missing game",0)</x:f>
        <x:v>2</x:v>
      </x:c>
      <x:c r="AW1931" t="str">
        <x:f>_xlfn.XLOOKUP($A1931,Games!$A$2:$A$18,Games!$R$2:$R$18,"Missing game",0)</x:f>
        <x:v>Lumen Field</x:v>
      </x:c>
    </x:row>
    <x:row r="1932">
      <x:c r="A1932" t="str">
        <x:v>2025_13_MIN_SEA</x:v>
      </x:c>
      <x:c r="B1932" t="n">
        <x:v>1881</x:v>
      </x:c>
      <x:c r="C1932" t="n">
        <x:v>2</x:v>
      </x:c>
      <x:c r="D1932" t="str">
        <x:v>00:12</x:v>
      </x:c>
      <x:c r="E1932" t="n">
        <x:v>4</x:v>
      </x:c>
      <x:c r="F1932" t="n">
        <x:v>3</x:v>
      </x:c>
      <x:c r="G1932" t="str">
        <x:v>SEA</x:v>
      </x:c>
      <x:c r="H1932" t="str">
        <x:v>MIN</x:v>
      </x:c>
      <x:c r="I1932" t="str">
        <x:v>MIN</x:v>
      </x:c>
      <x:c r="J1932" t="n">
        <x:v>38</x:v>
      </x:c>
      <x:c r="K1932" t="str">
        <x:v>(:12) 5-J.Myers 56 yard field goal is GOOD, Center-41-C.Stoll, Holder-4-M.Dickson.</x:v>
      </x:c>
      <x:c r="L1932" t="str">
        <x:v>field_goal</x:v>
      </x:c>
      <x:c r="M1932" t="n">
        <x:v>0</x:v>
      </x:c>
      <x:c r="N1932" t="n">
        <x:v>0</x:v>
      </x:c>
      <x:c r="O1932" t="n">
        <x:v>0</x:v>
      </x:c>
      <x:c r="P1932"/>
      <x:c r="Q1932"/>
      <x:c r="R1932"/>
      <x:c r="S1932"/>
      <x:c r="T1932"/>
      <x:c r="U1932"/>
      <x:c r="V1932" t="n">
        <x:v>0</x:v>
      </x:c>
      <x:c r="W1932" t="n">
        <x:v>0</x:v>
      </x:c>
      <x:c r="X1932" t="n">
        <x:v>0</x:v>
      </x:c>
      <x:c r="Y1932" t="n">
        <x:v>0</x:v>
      </x:c>
      <x:c r="Z1932" t="n">
        <x:v>0</x:v>
      </x:c>
      <x:c r="AA1932" t="n">
        <x:v>0</x:v>
      </x:c>
      <x:c r="AB1932"/>
      <x:c r="AC1932" t="n">
        <x:v>0</x:v>
      </x:c>
      <x:c r="AD1932" t="n">
        <x:v>1.6281602893389506</x:v>
      </x:c>
      <x:c r="AE1932" t="n">
        <x:v>1</x:v>
      </x:c>
      <x:c r="AF1932" t="n">
        <x:v>0.025346994400024414</x:v>
      </x:c>
      <x:c r="AG1932" t="n">
        <x:f>_xlfn.XLOOKUP($A1932,Games!$A$2:$A$18,Games!$B$2:$B$18,"Missing game",0)</x:f>
        <x:v>2025</x:v>
      </x:c>
      <x:c r="AH1932" t="str">
        <x:f>_xlfn.XLOOKUP($A1932,Games!$A$2:$A$18,Games!$C$2:$C$18,"Missing game",0)</x:f>
        <x:v>REG</x:v>
      </x:c>
      <x:c r="AI1932" t="n">
        <x:f>_xlfn.XLOOKUP($A1932,Games!$A$2:$A$18,Games!$D$2:$D$18,"Missing game",0)</x:f>
        <x:v>13</x:v>
      </x:c>
      <x:c r="AJ1932" s="1" t="n">
        <x:f>_xlfn.XLOOKUP($A1932,Games!$A$2:$A$18,Games!$E$2:$E$18,"Missing game",0)</x:f>
        <x:v>45991</x:v>
      </x:c>
      <x:c r="AK1932" t="str">
        <x:f>_xlfn.XLOOKUP($A1932,Games!$A$2:$A$18,Games!$F$2:$F$18,"Missing game",0)</x:f>
        <x:v>Sunday</x:v>
      </x:c>
      <x:c r="AL1932" t="str">
        <x:f>_xlfn.XLOOKUP($A1932,Games!$A$2:$A$18,Games!$G$2:$G$18,"Missing game",0)</x:f>
        <x:v>MIN</x:v>
      </x:c>
      <x:c r="AM1932" t="n">
        <x:f>_xlfn.XLOOKUP($A1932,Games!$A$2:$A$18,Games!$H$2:$H$18,"Missing game",0)</x:f>
        <x:v>0</x:v>
      </x:c>
      <x:c r="AN1932" t="str">
        <x:f>_xlfn.XLOOKUP($A1932,Games!$A$2:$A$18,Games!$I$2:$I$18,"Missing game",0)</x:f>
        <x:v>SEA</x:v>
      </x:c>
      <x:c r="AO1932" t="n">
        <x:f>_xlfn.XLOOKUP($A1932,Games!$A$2:$A$18,Games!$J$2:$J$18,"Missing game",0)</x:f>
        <x:v>26</x:v>
      </x:c>
      <x:c r="AP1932" t="n">
        <x:f>_xlfn.XLOOKUP($A1932,Games!$A$2:$A$18,Games!$K$2:$K$18,"Missing game",0)</x:f>
        <x:v>26</x:v>
      </x:c>
      <x:c r="AQ1932" t="n">
        <x:f>_xlfn.XLOOKUP($A1932,Games!$A$2:$A$18,Games!$L$2:$L$18,"Missing game",0)</x:f>
        <x:v>26</x:v>
      </x:c>
      <x:c r="AR1932" t="n">
        <x:f>_xlfn.XLOOKUP($A1932,Games!$A$2:$A$18,Games!$M$2:$M$18,"Missing game",0)</x:f>
        <x:v>0</x:v>
      </x:c>
      <x:c r="AS1932" t="str">
        <x:f>_xlfn.XLOOKUP($A1932,Games!$A$2:$A$18,Games!$N$2:$N$18,"Missing game",0)</x:f>
        <x:v>outdoors</x:v>
      </x:c>
      <x:c r="AT1932" t="str">
        <x:f>_xlfn.XLOOKUP($A1932,Games!$A$2:$A$18,Games!$O$2:$O$18,"Missing game",0)</x:f>
        <x:v>fieldturf</x:v>
      </x:c>
      <x:c r="AU1932" t="n">
        <x:f>_xlfn.XLOOKUP($A1932,Games!$A$2:$A$18,Games!$P$2:$P$18,"Missing game",0)</x:f>
        <x:v>45</x:v>
      </x:c>
      <x:c r="AV1932" t="n">
        <x:f>_xlfn.XLOOKUP($A1932,Games!$A$2:$A$18,Games!$Q$2:$Q$18,"Missing game",0)</x:f>
        <x:v>2</x:v>
      </x:c>
      <x:c r="AW1932" t="str">
        <x:f>_xlfn.XLOOKUP($A1932,Games!$A$2:$A$18,Games!$R$2:$R$18,"Missing game",0)</x:f>
        <x:v>Lumen Field</x:v>
      </x:c>
    </x:row>
    <x:row r="1933">
      <x:c r="A1933" t="str">
        <x:v>2025_13_MIN_SEA</x:v>
      </x:c>
      <x:c r="B1933" t="n">
        <x:v>1901</x:v>
      </x:c>
      <x:c r="C1933" t="n">
        <x:v>2</x:v>
      </x:c>
      <x:c r="D1933" t="str">
        <x:v>00:08</x:v>
      </x:c>
      <x:c r="E1933"/>
      <x:c r="F1933" t="n">
        <x:v>0</x:v>
      </x:c>
      <x:c r="G1933" t="str">
        <x:v>MIN</x:v>
      </x:c>
      <x:c r="H1933" t="str">
        <x:v>SEA</x:v>
      </x:c>
      <x:c r="I1933" t="str">
        <x:v>SEA</x:v>
      </x:c>
      <x:c r="J1933" t="n">
        <x:v>35</x:v>
      </x:c>
      <x:c r="K1933" t="str">
        <x:v>5-J.Myers kicks 63 yards from SEA 35 to MIN 2. 4-M.Price to MIN 31 for 29 yards (89-N.Kallerup).</x:v>
      </x:c>
      <x:c r="L1933" t="str">
        <x:v>kickoff</x:v>
      </x:c>
      <x:c r="M1933" t="n">
        <x:v>0</x:v>
      </x:c>
      <x:c r="N1933" t="n">
        <x:v>0</x:v>
      </x:c>
      <x:c r="O1933" t="n">
        <x:v>0</x:v>
      </x:c>
      <x:c r="P1933"/>
      <x:c r="Q1933"/>
      <x:c r="R1933"/>
      <x:c r="S1933"/>
      <x:c r="T1933"/>
      <x:c r="U1933"/>
      <x:c r="V1933" t="n">
        <x:v>0</x:v>
      </x:c>
      <x:c r="W1933" t="n">
        <x:v>0</x:v>
      </x:c>
      <x:c r="X1933" t="n">
        <x:v>0</x:v>
      </x:c>
      <x:c r="Y1933" t="n">
        <x:v>0</x:v>
      </x:c>
      <x:c r="Z1933" t="n">
        <x:v>0</x:v>
      </x:c>
      <x:c r="AA1933" t="n">
        <x:v>0</x:v>
      </x:c>
      <x:c r="AB1933"/>
      <x:c r="AC1933" t="n">
        <x:v>0</x:v>
      </x:c>
      <x:c r="AD1933" t="n">
        <x:v>-0.06709084493923001</x:v>
      </x:c>
      <x:c r="AE1933" t="n">
        <x:v>0</x:v>
      </x:c>
      <x:c r="AF1933" t="n">
        <x:v>0.0001240372657775879</x:v>
      </x:c>
      <x:c r="AG1933" t="n">
        <x:f>_xlfn.XLOOKUP($A1933,Games!$A$2:$A$18,Games!$B$2:$B$18,"Missing game",0)</x:f>
        <x:v>2025</x:v>
      </x:c>
      <x:c r="AH1933" t="str">
        <x:f>_xlfn.XLOOKUP($A1933,Games!$A$2:$A$18,Games!$C$2:$C$18,"Missing game",0)</x:f>
        <x:v>REG</x:v>
      </x:c>
      <x:c r="AI1933" t="n">
        <x:f>_xlfn.XLOOKUP($A1933,Games!$A$2:$A$18,Games!$D$2:$D$18,"Missing game",0)</x:f>
        <x:v>13</x:v>
      </x:c>
      <x:c r="AJ1933" s="1" t="n">
        <x:f>_xlfn.XLOOKUP($A1933,Games!$A$2:$A$18,Games!$E$2:$E$18,"Missing game",0)</x:f>
        <x:v>45991</x:v>
      </x:c>
      <x:c r="AK1933" t="str">
        <x:f>_xlfn.XLOOKUP($A1933,Games!$A$2:$A$18,Games!$F$2:$F$18,"Missing game",0)</x:f>
        <x:v>Sunday</x:v>
      </x:c>
      <x:c r="AL1933" t="str">
        <x:f>_xlfn.XLOOKUP($A1933,Games!$A$2:$A$18,Games!$G$2:$G$18,"Missing game",0)</x:f>
        <x:v>MIN</x:v>
      </x:c>
      <x:c r="AM1933" t="n">
        <x:f>_xlfn.XLOOKUP($A1933,Games!$A$2:$A$18,Games!$H$2:$H$18,"Missing game",0)</x:f>
        <x:v>0</x:v>
      </x:c>
      <x:c r="AN1933" t="str">
        <x:f>_xlfn.XLOOKUP($A1933,Games!$A$2:$A$18,Games!$I$2:$I$18,"Missing game",0)</x:f>
        <x:v>SEA</x:v>
      </x:c>
      <x:c r="AO1933" t="n">
        <x:f>_xlfn.XLOOKUP($A1933,Games!$A$2:$A$18,Games!$J$2:$J$18,"Missing game",0)</x:f>
        <x:v>26</x:v>
      </x:c>
      <x:c r="AP1933" t="n">
        <x:f>_xlfn.XLOOKUP($A1933,Games!$A$2:$A$18,Games!$K$2:$K$18,"Missing game",0)</x:f>
        <x:v>26</x:v>
      </x:c>
      <x:c r="AQ1933" t="n">
        <x:f>_xlfn.XLOOKUP($A1933,Games!$A$2:$A$18,Games!$L$2:$L$18,"Missing game",0)</x:f>
        <x:v>26</x:v>
      </x:c>
      <x:c r="AR1933" t="n">
        <x:f>_xlfn.XLOOKUP($A1933,Games!$A$2:$A$18,Games!$M$2:$M$18,"Missing game",0)</x:f>
        <x:v>0</x:v>
      </x:c>
      <x:c r="AS1933" t="str">
        <x:f>_xlfn.XLOOKUP($A1933,Games!$A$2:$A$18,Games!$N$2:$N$18,"Missing game",0)</x:f>
        <x:v>outdoors</x:v>
      </x:c>
      <x:c r="AT1933" t="str">
        <x:f>_xlfn.XLOOKUP($A1933,Games!$A$2:$A$18,Games!$O$2:$O$18,"Missing game",0)</x:f>
        <x:v>fieldturf</x:v>
      </x:c>
      <x:c r="AU1933" t="n">
        <x:f>_xlfn.XLOOKUP($A1933,Games!$A$2:$A$18,Games!$P$2:$P$18,"Missing game",0)</x:f>
        <x:v>45</x:v>
      </x:c>
      <x:c r="AV1933" t="n">
        <x:f>_xlfn.XLOOKUP($A1933,Games!$A$2:$A$18,Games!$Q$2:$Q$18,"Missing game",0)</x:f>
        <x:v>2</x:v>
      </x:c>
      <x:c r="AW1933" t="str">
        <x:f>_xlfn.XLOOKUP($A1933,Games!$A$2:$A$18,Games!$R$2:$R$18,"Missing game",0)</x:f>
        <x:v>Lumen Field</x:v>
      </x:c>
    </x:row>
    <x:row r="1934">
      <x:c r="A1934" t="str">
        <x:v>2025_13_MIN_SEA</x:v>
      </x:c>
      <x:c r="B1934" t="n">
        <x:v>1924</x:v>
      </x:c>
      <x:c r="C1934" t="n">
        <x:v>2</x:v>
      </x:c>
      <x:c r="D1934" t="str">
        <x:v>00:03</x:v>
      </x:c>
      <x:c r="E1934" t="n">
        <x:v>1</x:v>
      </x:c>
      <x:c r="F1934" t="n">
        <x:v>10</x:v>
      </x:c>
      <x:c r="G1934" t="str">
        <x:v>MIN</x:v>
      </x:c>
      <x:c r="H1934" t="str">
        <x:v>SEA</x:v>
      </x:c>
      <x:c r="I1934" t="str">
        <x:v>MIN</x:v>
      </x:c>
      <x:c r="J1934" t="n">
        <x:v>69</x:v>
      </x:c>
      <x:c r="K1934" t="str">
        <x:v>(:03) 12-M.Brosmer kneels to MIN 30 for -1 yards.</x:v>
      </x:c>
      <x:c r="L1934" t="str">
        <x:v>qb_kneel</x:v>
      </x:c>
      <x:c r="M1934" t="n">
        <x:v>-1</x:v>
      </x:c>
      <x:c r="N1934" t="n">
        <x:v>0</x:v>
      </x:c>
      <x:c r="O1934" t="n">
        <x:v>0</x:v>
      </x:c>
      <x:c r="P1934"/>
      <x:c r="Q1934"/>
      <x:c r="R1934"/>
      <x:c r="S1934"/>
      <x:c r="T1934"/>
      <x:c r="U1934"/>
      <x:c r="V1934" t="n">
        <x:v>0</x:v>
      </x:c>
      <x:c r="W1934" t="n">
        <x:v>0</x:v>
      </x:c>
      <x:c r="X1934" t="n">
        <x:v>0</x:v>
      </x:c>
      <x:c r="Y1934" t="n">
        <x:v>0</x:v>
      </x:c>
      <x:c r="Z1934" t="n">
        <x:v>0</x:v>
      </x:c>
      <x:c r="AA1934" t="n">
        <x:v>0</x:v>
      </x:c>
      <x:c r="AB1934"/>
      <x:c r="AC1934" t="n">
        <x:v>0</x:v>
      </x:c>
      <x:c r="AD1934" t="n">
        <x:v>0</x:v>
      </x:c>
      <x:c r="AE1934" t="n">
        <x:v>0</x:v>
      </x:c>
      <x:c r="AF1934"/>
      <x:c r="AG1934" t="n">
        <x:f>_xlfn.XLOOKUP($A1934,Games!$A$2:$A$18,Games!$B$2:$B$18,"Missing game",0)</x:f>
        <x:v>2025</x:v>
      </x:c>
      <x:c r="AH1934" t="str">
        <x:f>_xlfn.XLOOKUP($A1934,Games!$A$2:$A$18,Games!$C$2:$C$18,"Missing game",0)</x:f>
        <x:v>REG</x:v>
      </x:c>
      <x:c r="AI1934" t="n">
        <x:f>_xlfn.XLOOKUP($A1934,Games!$A$2:$A$18,Games!$D$2:$D$18,"Missing game",0)</x:f>
        <x:v>13</x:v>
      </x:c>
      <x:c r="AJ1934" s="1" t="n">
        <x:f>_xlfn.XLOOKUP($A1934,Games!$A$2:$A$18,Games!$E$2:$E$18,"Missing game",0)</x:f>
        <x:v>45991</x:v>
      </x:c>
      <x:c r="AK1934" t="str">
        <x:f>_xlfn.XLOOKUP($A1934,Games!$A$2:$A$18,Games!$F$2:$F$18,"Missing game",0)</x:f>
        <x:v>Sunday</x:v>
      </x:c>
      <x:c r="AL1934" t="str">
        <x:f>_xlfn.XLOOKUP($A1934,Games!$A$2:$A$18,Games!$G$2:$G$18,"Missing game",0)</x:f>
        <x:v>MIN</x:v>
      </x:c>
      <x:c r="AM1934" t="n">
        <x:f>_xlfn.XLOOKUP($A1934,Games!$A$2:$A$18,Games!$H$2:$H$18,"Missing game",0)</x:f>
        <x:v>0</x:v>
      </x:c>
      <x:c r="AN1934" t="str">
        <x:f>_xlfn.XLOOKUP($A1934,Games!$A$2:$A$18,Games!$I$2:$I$18,"Missing game",0)</x:f>
        <x:v>SEA</x:v>
      </x:c>
      <x:c r="AO1934" t="n">
        <x:f>_xlfn.XLOOKUP($A1934,Games!$A$2:$A$18,Games!$J$2:$J$18,"Missing game",0)</x:f>
        <x:v>26</x:v>
      </x:c>
      <x:c r="AP1934" t="n">
        <x:f>_xlfn.XLOOKUP($A1934,Games!$A$2:$A$18,Games!$K$2:$K$18,"Missing game",0)</x:f>
        <x:v>26</x:v>
      </x:c>
      <x:c r="AQ1934" t="n">
        <x:f>_xlfn.XLOOKUP($A1934,Games!$A$2:$A$18,Games!$L$2:$L$18,"Missing game",0)</x:f>
        <x:v>26</x:v>
      </x:c>
      <x:c r="AR1934" t="n">
        <x:f>_xlfn.XLOOKUP($A1934,Games!$A$2:$A$18,Games!$M$2:$M$18,"Missing game",0)</x:f>
        <x:v>0</x:v>
      </x:c>
      <x:c r="AS1934" t="str">
        <x:f>_xlfn.XLOOKUP($A1934,Games!$A$2:$A$18,Games!$N$2:$N$18,"Missing game",0)</x:f>
        <x:v>outdoors</x:v>
      </x:c>
      <x:c r="AT1934" t="str">
        <x:f>_xlfn.XLOOKUP($A1934,Games!$A$2:$A$18,Games!$O$2:$O$18,"Missing game",0)</x:f>
        <x:v>fieldturf</x:v>
      </x:c>
      <x:c r="AU1934" t="n">
        <x:f>_xlfn.XLOOKUP($A1934,Games!$A$2:$A$18,Games!$P$2:$P$18,"Missing game",0)</x:f>
        <x:v>45</x:v>
      </x:c>
      <x:c r="AV1934" t="n">
        <x:f>_xlfn.XLOOKUP($A1934,Games!$A$2:$A$18,Games!$Q$2:$Q$18,"Missing game",0)</x:f>
        <x:v>2</x:v>
      </x:c>
      <x:c r="AW1934" t="str">
        <x:f>_xlfn.XLOOKUP($A1934,Games!$A$2:$A$18,Games!$R$2:$R$18,"Missing game",0)</x:f>
        <x:v>Lumen Field</x:v>
      </x:c>
    </x:row>
    <x:row r="1935">
      <x:c r="A1935" t="str">
        <x:v>2025_13_MIN_SEA</x:v>
      </x:c>
      <x:c r="B1935" t="n">
        <x:v>1946</x:v>
      </x:c>
      <x:c r="C1935" t="n">
        <x:v>2</x:v>
      </x:c>
      <x:c r="D1935" t="str">
        <x:v>00:00</x:v>
      </x:c>
      <x:c r="E1935"/>
      <x:c r="F1935" t="n">
        <x:v>0</x:v>
      </x:c>
      <x:c r="G1935"/>
      <x:c r="H1935"/>
      <x:c r="I1935"/>
      <x:c r="J1935"/>
      <x:c r="K1935" t="str">
        <x:v>END QUARTER 2</x:v>
      </x:c>
      <x:c r="L1935"/>
      <x:c r="M1935"/>
      <x:c r="N1935" t="n">
        <x:v>0</x:v>
      </x:c>
      <x:c r="O1935" t="n">
        <x:v>0</x:v>
      </x:c>
      <x:c r="P1935"/>
      <x:c r="Q1935"/>
      <x:c r="R1935"/>
      <x:c r="S1935"/>
      <x:c r="T1935"/>
      <x:c r="U1935"/>
      <x:c r="V1935"/>
      <x:c r="W1935"/>
      <x:c r="X1935"/>
      <x:c r="Y1935"/>
      <x:c r="Z1935"/>
      <x:c r="AA1935"/>
      <x:c r="AB1935"/>
      <x:c r="AC1935"/>
      <x:c r="AD1935"/>
      <x:c r="AE1935"/>
      <x:c r="AF1935" t="n">
        <x:v>0</x:v>
      </x:c>
      <x:c r="AG1935" t="n">
        <x:f>_xlfn.XLOOKUP($A1935,Games!$A$2:$A$18,Games!$B$2:$B$18,"Missing game",0)</x:f>
        <x:v>2025</x:v>
      </x:c>
      <x:c r="AH1935" t="str">
        <x:f>_xlfn.XLOOKUP($A1935,Games!$A$2:$A$18,Games!$C$2:$C$18,"Missing game",0)</x:f>
        <x:v>REG</x:v>
      </x:c>
      <x:c r="AI1935" t="n">
        <x:f>_xlfn.XLOOKUP($A1935,Games!$A$2:$A$18,Games!$D$2:$D$18,"Missing game",0)</x:f>
        <x:v>13</x:v>
      </x:c>
      <x:c r="AJ1935" s="1" t="n">
        <x:f>_xlfn.XLOOKUP($A1935,Games!$A$2:$A$18,Games!$E$2:$E$18,"Missing game",0)</x:f>
        <x:v>45991</x:v>
      </x:c>
      <x:c r="AK1935" t="str">
        <x:f>_xlfn.XLOOKUP($A1935,Games!$A$2:$A$18,Games!$F$2:$F$18,"Missing game",0)</x:f>
        <x:v>Sunday</x:v>
      </x:c>
      <x:c r="AL1935" t="str">
        <x:f>_xlfn.XLOOKUP($A1935,Games!$A$2:$A$18,Games!$G$2:$G$18,"Missing game",0)</x:f>
        <x:v>MIN</x:v>
      </x:c>
      <x:c r="AM1935" t="n">
        <x:f>_xlfn.XLOOKUP($A1935,Games!$A$2:$A$18,Games!$H$2:$H$18,"Missing game",0)</x:f>
        <x:v>0</x:v>
      </x:c>
      <x:c r="AN1935" t="str">
        <x:f>_xlfn.XLOOKUP($A1935,Games!$A$2:$A$18,Games!$I$2:$I$18,"Missing game",0)</x:f>
        <x:v>SEA</x:v>
      </x:c>
      <x:c r="AO1935" t="n">
        <x:f>_xlfn.XLOOKUP($A1935,Games!$A$2:$A$18,Games!$J$2:$J$18,"Missing game",0)</x:f>
        <x:v>26</x:v>
      </x:c>
      <x:c r="AP1935" t="n">
        <x:f>_xlfn.XLOOKUP($A1935,Games!$A$2:$A$18,Games!$K$2:$K$18,"Missing game",0)</x:f>
        <x:v>26</x:v>
      </x:c>
      <x:c r="AQ1935" t="n">
        <x:f>_xlfn.XLOOKUP($A1935,Games!$A$2:$A$18,Games!$L$2:$L$18,"Missing game",0)</x:f>
        <x:v>26</x:v>
      </x:c>
      <x:c r="AR1935" t="n">
        <x:f>_xlfn.XLOOKUP($A1935,Games!$A$2:$A$18,Games!$M$2:$M$18,"Missing game",0)</x:f>
        <x:v>0</x:v>
      </x:c>
      <x:c r="AS1935" t="str">
        <x:f>_xlfn.XLOOKUP($A1935,Games!$A$2:$A$18,Games!$N$2:$N$18,"Missing game",0)</x:f>
        <x:v>outdoors</x:v>
      </x:c>
      <x:c r="AT1935" t="str">
        <x:f>_xlfn.XLOOKUP($A1935,Games!$A$2:$A$18,Games!$O$2:$O$18,"Missing game",0)</x:f>
        <x:v>fieldturf</x:v>
      </x:c>
      <x:c r="AU1935" t="n">
        <x:f>_xlfn.XLOOKUP($A1935,Games!$A$2:$A$18,Games!$P$2:$P$18,"Missing game",0)</x:f>
        <x:v>45</x:v>
      </x:c>
      <x:c r="AV1935" t="n">
        <x:f>_xlfn.XLOOKUP($A1935,Games!$A$2:$A$18,Games!$Q$2:$Q$18,"Missing game",0)</x:f>
        <x:v>2</x:v>
      </x:c>
      <x:c r="AW1935" t="str">
        <x:f>_xlfn.XLOOKUP($A1935,Games!$A$2:$A$18,Games!$R$2:$R$18,"Missing game",0)</x:f>
        <x:v>Lumen Field</x:v>
      </x:c>
    </x:row>
    <x:row r="1936">
      <x:c r="A1936" t="str">
        <x:v>2025_13_MIN_SEA</x:v>
      </x:c>
      <x:c r="B1936" t="n">
        <x:v>1966</x:v>
      </x:c>
      <x:c r="C1936" t="n">
        <x:v>3</x:v>
      </x:c>
      <x:c r="D1936" t="str">
        <x:v>15:00</x:v>
      </x:c>
      <x:c r="E1936"/>
      <x:c r="F1936" t="n">
        <x:v>0</x:v>
      </x:c>
      <x:c r="G1936" t="str">
        <x:v>SEA</x:v>
      </x:c>
      <x:c r="H1936" t="str">
        <x:v>MIN</x:v>
      </x:c>
      <x:c r="I1936" t="str">
        <x:v>MIN</x:v>
      </x:c>
      <x:c r="J1936" t="n">
        <x:v>35</x:v>
      </x:c>
      <x:c r="K1936" t="str">
        <x:v>16-W.Reichard kicks 65 yards from MIN 35 to landing zone to end zone, Touchback to the SEA 20.</x:v>
      </x:c>
      <x:c r="L1936" t="str">
        <x:v>kickoff</x:v>
      </x:c>
      <x:c r="M1936" t="n">
        <x:v>0</x:v>
      </x:c>
      <x:c r="N1936" t="n">
        <x:v>0</x:v>
      </x:c>
      <x:c r="O1936" t="n">
        <x:v>0</x:v>
      </x:c>
      <x:c r="P1936"/>
      <x:c r="Q1936"/>
      <x:c r="R1936"/>
      <x:c r="S1936"/>
      <x:c r="T1936"/>
      <x:c r="U1936"/>
      <x:c r="V1936" t="n">
        <x:v>0</x:v>
      </x:c>
      <x:c r="W1936" t="n">
        <x:v>0</x:v>
      </x:c>
      <x:c r="X1936" t="n">
        <x:v>0</x:v>
      </x:c>
      <x:c r="Y1936" t="n">
        <x:v>0</x:v>
      </x:c>
      <x:c r="Z1936" t="n">
        <x:v>0</x:v>
      </x:c>
      <x:c r="AA1936" t="n">
        <x:v>0</x:v>
      </x:c>
      <x:c r="AB1936"/>
      <x:c r="AC1936" t="n">
        <x:v>0</x:v>
      </x:c>
      <x:c r="AD1936" t="n">
        <x:v>-0.48201956367120147</x:v>
      </x:c>
      <x:c r="AE1936" t="n">
        <x:v>0</x:v>
      </x:c>
      <x:c r="AF1936" t="n">
        <x:v>-0.0017104148864746094</x:v>
      </x:c>
      <x:c r="AG1936" t="n">
        <x:f>_xlfn.XLOOKUP($A1936,Games!$A$2:$A$18,Games!$B$2:$B$18,"Missing game",0)</x:f>
        <x:v>2025</x:v>
      </x:c>
      <x:c r="AH1936" t="str">
        <x:f>_xlfn.XLOOKUP($A1936,Games!$A$2:$A$18,Games!$C$2:$C$18,"Missing game",0)</x:f>
        <x:v>REG</x:v>
      </x:c>
      <x:c r="AI1936" t="n">
        <x:f>_xlfn.XLOOKUP($A1936,Games!$A$2:$A$18,Games!$D$2:$D$18,"Missing game",0)</x:f>
        <x:v>13</x:v>
      </x:c>
      <x:c r="AJ1936" s="1" t="n">
        <x:f>_xlfn.XLOOKUP($A1936,Games!$A$2:$A$18,Games!$E$2:$E$18,"Missing game",0)</x:f>
        <x:v>45991</x:v>
      </x:c>
      <x:c r="AK1936" t="str">
        <x:f>_xlfn.XLOOKUP($A1936,Games!$A$2:$A$18,Games!$F$2:$F$18,"Missing game",0)</x:f>
        <x:v>Sunday</x:v>
      </x:c>
      <x:c r="AL1936" t="str">
        <x:f>_xlfn.XLOOKUP($A1936,Games!$A$2:$A$18,Games!$G$2:$G$18,"Missing game",0)</x:f>
        <x:v>MIN</x:v>
      </x:c>
      <x:c r="AM1936" t="n">
        <x:f>_xlfn.XLOOKUP($A1936,Games!$A$2:$A$18,Games!$H$2:$H$18,"Missing game",0)</x:f>
        <x:v>0</x:v>
      </x:c>
      <x:c r="AN1936" t="str">
        <x:f>_xlfn.XLOOKUP($A1936,Games!$A$2:$A$18,Games!$I$2:$I$18,"Missing game",0)</x:f>
        <x:v>SEA</x:v>
      </x:c>
      <x:c r="AO1936" t="n">
        <x:f>_xlfn.XLOOKUP($A1936,Games!$A$2:$A$18,Games!$J$2:$J$18,"Missing game",0)</x:f>
        <x:v>26</x:v>
      </x:c>
      <x:c r="AP1936" t="n">
        <x:f>_xlfn.XLOOKUP($A1936,Games!$A$2:$A$18,Games!$K$2:$K$18,"Missing game",0)</x:f>
        <x:v>26</x:v>
      </x:c>
      <x:c r="AQ1936" t="n">
        <x:f>_xlfn.XLOOKUP($A1936,Games!$A$2:$A$18,Games!$L$2:$L$18,"Missing game",0)</x:f>
        <x:v>26</x:v>
      </x:c>
      <x:c r="AR1936" t="n">
        <x:f>_xlfn.XLOOKUP($A1936,Games!$A$2:$A$18,Games!$M$2:$M$18,"Missing game",0)</x:f>
        <x:v>0</x:v>
      </x:c>
      <x:c r="AS1936" t="str">
        <x:f>_xlfn.XLOOKUP($A1936,Games!$A$2:$A$18,Games!$N$2:$N$18,"Missing game",0)</x:f>
        <x:v>outdoors</x:v>
      </x:c>
      <x:c r="AT1936" t="str">
        <x:f>_xlfn.XLOOKUP($A1936,Games!$A$2:$A$18,Games!$O$2:$O$18,"Missing game",0)</x:f>
        <x:v>fieldturf</x:v>
      </x:c>
      <x:c r="AU1936" t="n">
        <x:f>_xlfn.XLOOKUP($A1936,Games!$A$2:$A$18,Games!$P$2:$P$18,"Missing game",0)</x:f>
        <x:v>45</x:v>
      </x:c>
      <x:c r="AV1936" t="n">
        <x:f>_xlfn.XLOOKUP($A1936,Games!$A$2:$A$18,Games!$Q$2:$Q$18,"Missing game",0)</x:f>
        <x:v>2</x:v>
      </x:c>
      <x:c r="AW1936" t="str">
        <x:f>_xlfn.XLOOKUP($A1936,Games!$A$2:$A$18,Games!$R$2:$R$18,"Missing game",0)</x:f>
        <x:v>Lumen Field</x:v>
      </x:c>
    </x:row>
    <x:row r="1937">
      <x:c r="A1937" t="str">
        <x:v>2025_13_MIN_SEA</x:v>
      </x:c>
      <x:c r="B1937" t="n">
        <x:v>1983</x:v>
      </x:c>
      <x:c r="C1937" t="n">
        <x:v>3</x:v>
      </x:c>
      <x:c r="D1937" t="str">
        <x:v>15:00</x:v>
      </x:c>
      <x:c r="E1937" t="n">
        <x:v>1</x:v>
      </x:c>
      <x:c r="F1937" t="n">
        <x:v>10</x:v>
      </x:c>
      <x:c r="G1937" t="str">
        <x:v>SEA</x:v>
      </x:c>
      <x:c r="H1937" t="str">
        <x:v>MIN</x:v>
      </x:c>
      <x:c r="I1937" t="str">
        <x:v>SEA</x:v>
      </x:c>
      <x:c r="J1937" t="n">
        <x:v>80</x:v>
      </x:c>
      <x:c r="K1937" t="str">
        <x:v>(15:00) 9-K.Walker left tackle to SEA 44 for 24 yards (22-H.Smith).</x:v>
      </x:c>
      <x:c r="L1937" t="str">
        <x:v>run</x:v>
      </x:c>
      <x:c r="M1937" t="n">
        <x:v>24</x:v>
      </x:c>
      <x:c r="N1937" t="n">
        <x:v>0</x:v>
      </x:c>
      <x:c r="O1937" t="n">
        <x:v>0</x:v>
      </x:c>
      <x:c r="P1937"/>
      <x:c r="Q1937"/>
      <x:c r="R1937"/>
      <x:c r="S1937"/>
      <x:c r="T1937" t="str">
        <x:v>left</x:v>
      </x:c>
      <x:c r="U1937" t="str">
        <x:v>tackle</x:v>
      </x:c>
      <x:c r="V1937" t="n">
        <x:v>0</x:v>
      </x:c>
      <x:c r="W1937" t="n">
        <x:v>1</x:v>
      </x:c>
      <x:c r="X1937" t="n">
        <x:v>0</x:v>
      </x:c>
      <x:c r="Y1937" t="n">
        <x:v>0</x:v>
      </x:c>
      <x:c r="Z1937" t="n">
        <x:v>0</x:v>
      </x:c>
      <x:c r="AA1937" t="n">
        <x:v>0</x:v>
      </x:c>
      <x:c r="AB1937"/>
      <x:c r="AC1937" t="n">
        <x:v>0</x:v>
      </x:c>
      <x:c r="AD1937" t="n">
        <x:v>1.7258977761957794</x:v>
      </x:c>
      <x:c r="AE1937" t="n">
        <x:v>1</x:v>
      </x:c>
      <x:c r="AF1937" t="n">
        <x:v>0.014005303382873535</x:v>
      </x:c>
      <x:c r="AG1937" t="n">
        <x:f>_xlfn.XLOOKUP($A1937,Games!$A$2:$A$18,Games!$B$2:$B$18,"Missing game",0)</x:f>
        <x:v>2025</x:v>
      </x:c>
      <x:c r="AH1937" t="str">
        <x:f>_xlfn.XLOOKUP($A1937,Games!$A$2:$A$18,Games!$C$2:$C$18,"Missing game",0)</x:f>
        <x:v>REG</x:v>
      </x:c>
      <x:c r="AI1937" t="n">
        <x:f>_xlfn.XLOOKUP($A1937,Games!$A$2:$A$18,Games!$D$2:$D$18,"Missing game",0)</x:f>
        <x:v>13</x:v>
      </x:c>
      <x:c r="AJ1937" s="1" t="n">
        <x:f>_xlfn.XLOOKUP($A1937,Games!$A$2:$A$18,Games!$E$2:$E$18,"Missing game",0)</x:f>
        <x:v>45991</x:v>
      </x:c>
      <x:c r="AK1937" t="str">
        <x:f>_xlfn.XLOOKUP($A1937,Games!$A$2:$A$18,Games!$F$2:$F$18,"Missing game",0)</x:f>
        <x:v>Sunday</x:v>
      </x:c>
      <x:c r="AL1937" t="str">
        <x:f>_xlfn.XLOOKUP($A1937,Games!$A$2:$A$18,Games!$G$2:$G$18,"Missing game",0)</x:f>
        <x:v>MIN</x:v>
      </x:c>
      <x:c r="AM1937" t="n">
        <x:f>_xlfn.XLOOKUP($A1937,Games!$A$2:$A$18,Games!$H$2:$H$18,"Missing game",0)</x:f>
        <x:v>0</x:v>
      </x:c>
      <x:c r="AN1937" t="str">
        <x:f>_xlfn.XLOOKUP($A1937,Games!$A$2:$A$18,Games!$I$2:$I$18,"Missing game",0)</x:f>
        <x:v>SEA</x:v>
      </x:c>
      <x:c r="AO1937" t="n">
        <x:f>_xlfn.XLOOKUP($A1937,Games!$A$2:$A$18,Games!$J$2:$J$18,"Missing game",0)</x:f>
        <x:v>26</x:v>
      </x:c>
      <x:c r="AP1937" t="n">
        <x:f>_xlfn.XLOOKUP($A1937,Games!$A$2:$A$18,Games!$K$2:$K$18,"Missing game",0)</x:f>
        <x:v>26</x:v>
      </x:c>
      <x:c r="AQ1937" t="n">
        <x:f>_xlfn.XLOOKUP($A1937,Games!$A$2:$A$18,Games!$L$2:$L$18,"Missing game",0)</x:f>
        <x:v>26</x:v>
      </x:c>
      <x:c r="AR1937" t="n">
        <x:f>_xlfn.XLOOKUP($A1937,Games!$A$2:$A$18,Games!$M$2:$M$18,"Missing game",0)</x:f>
        <x:v>0</x:v>
      </x:c>
      <x:c r="AS1937" t="str">
        <x:f>_xlfn.XLOOKUP($A1937,Games!$A$2:$A$18,Games!$N$2:$N$18,"Missing game",0)</x:f>
        <x:v>outdoors</x:v>
      </x:c>
      <x:c r="AT1937" t="str">
        <x:f>_xlfn.XLOOKUP($A1937,Games!$A$2:$A$18,Games!$O$2:$O$18,"Missing game",0)</x:f>
        <x:v>fieldturf</x:v>
      </x:c>
      <x:c r="AU1937" t="n">
        <x:f>_xlfn.XLOOKUP($A1937,Games!$A$2:$A$18,Games!$P$2:$P$18,"Missing game",0)</x:f>
        <x:v>45</x:v>
      </x:c>
      <x:c r="AV1937" t="n">
        <x:f>_xlfn.XLOOKUP($A1937,Games!$A$2:$A$18,Games!$Q$2:$Q$18,"Missing game",0)</x:f>
        <x:v>2</x:v>
      </x:c>
      <x:c r="AW1937" t="str">
        <x:f>_xlfn.XLOOKUP($A1937,Games!$A$2:$A$18,Games!$R$2:$R$18,"Missing game",0)</x:f>
        <x:v>Lumen Field</x:v>
      </x:c>
    </x:row>
    <x:row r="1938">
      <x:c r="A1938" t="str">
        <x:v>2025_13_MIN_SEA</x:v>
      </x:c>
      <x:c r="B1938" t="n">
        <x:v>2005</x:v>
      </x:c>
      <x:c r="C1938" t="n">
        <x:v>3</x:v>
      </x:c>
      <x:c r="D1938" t="str">
        <x:v>14:18</x:v>
      </x:c>
      <x:c r="E1938" t="n">
        <x:v>1</x:v>
      </x:c>
      <x:c r="F1938" t="n">
        <x:v>10</x:v>
      </x:c>
      <x:c r="G1938" t="str">
        <x:v>SEA</x:v>
      </x:c>
      <x:c r="H1938" t="str">
        <x:v>MIN</x:v>
      </x:c>
      <x:c r="I1938" t="str">
        <x:v>SEA</x:v>
      </x:c>
      <x:c r="J1938" t="n">
        <x:v>56</x:v>
      </x:c>
      <x:c r="K1938" t="str">
        <x:v>(14:18) 9-K.Walker right end to SEA 46 for 2 yards (51-B.Cashman).</x:v>
      </x:c>
      <x:c r="L1938" t="str">
        <x:v>run</x:v>
      </x:c>
      <x:c r="M1938" t="n">
        <x:v>2</x:v>
      </x:c>
      <x:c r="N1938" t="n">
        <x:v>0</x:v>
      </x:c>
      <x:c r="O1938" t="n">
        <x:v>0</x:v>
      </x:c>
      <x:c r="P1938"/>
      <x:c r="Q1938"/>
      <x:c r="R1938"/>
      <x:c r="S1938"/>
      <x:c r="T1938" t="str">
        <x:v>right</x:v>
      </x:c>
      <x:c r="U1938" t="str">
        <x:v>end</x:v>
      </x:c>
      <x:c r="V1938" t="n">
        <x:v>0</x:v>
      </x:c>
      <x:c r="W1938" t="n">
        <x:v>0</x:v>
      </x:c>
      <x:c r="X1938" t="n">
        <x:v>0</x:v>
      </x:c>
      <x:c r="Y1938" t="n">
        <x:v>0</x:v>
      </x:c>
      <x:c r="Z1938" t="n">
        <x:v>0</x:v>
      </x:c>
      <x:c r="AA1938" t="n">
        <x:v>0</x:v>
      </x:c>
      <x:c r="AB1938"/>
      <x:c r="AC1938" t="n">
        <x:v>0</x:v>
      </x:c>
      <x:c r="AD1938" t="n">
        <x:v>-0.3976880004629493</x:v>
      </x:c>
      <x:c r="AE1938" t="n">
        <x:v>0</x:v>
      </x:c>
      <x:c r="AF1938" t="n">
        <x:v>-0.0015355944633483887</x:v>
      </x:c>
      <x:c r="AG1938" t="n">
        <x:f>_xlfn.XLOOKUP($A1938,Games!$A$2:$A$18,Games!$B$2:$B$18,"Missing game",0)</x:f>
        <x:v>2025</x:v>
      </x:c>
      <x:c r="AH1938" t="str">
        <x:f>_xlfn.XLOOKUP($A1938,Games!$A$2:$A$18,Games!$C$2:$C$18,"Missing game",0)</x:f>
        <x:v>REG</x:v>
      </x:c>
      <x:c r="AI1938" t="n">
        <x:f>_xlfn.XLOOKUP($A1938,Games!$A$2:$A$18,Games!$D$2:$D$18,"Missing game",0)</x:f>
        <x:v>13</x:v>
      </x:c>
      <x:c r="AJ1938" s="1" t="n">
        <x:f>_xlfn.XLOOKUP($A1938,Games!$A$2:$A$18,Games!$E$2:$E$18,"Missing game",0)</x:f>
        <x:v>45991</x:v>
      </x:c>
      <x:c r="AK1938" t="str">
        <x:f>_xlfn.XLOOKUP($A1938,Games!$A$2:$A$18,Games!$F$2:$F$18,"Missing game",0)</x:f>
        <x:v>Sunday</x:v>
      </x:c>
      <x:c r="AL1938" t="str">
        <x:f>_xlfn.XLOOKUP($A1938,Games!$A$2:$A$18,Games!$G$2:$G$18,"Missing game",0)</x:f>
        <x:v>MIN</x:v>
      </x:c>
      <x:c r="AM1938" t="n">
        <x:f>_xlfn.XLOOKUP($A1938,Games!$A$2:$A$18,Games!$H$2:$H$18,"Missing game",0)</x:f>
        <x:v>0</x:v>
      </x:c>
      <x:c r="AN1938" t="str">
        <x:f>_xlfn.XLOOKUP($A1938,Games!$A$2:$A$18,Games!$I$2:$I$18,"Missing game",0)</x:f>
        <x:v>SEA</x:v>
      </x:c>
      <x:c r="AO1938" t="n">
        <x:f>_xlfn.XLOOKUP($A1938,Games!$A$2:$A$18,Games!$J$2:$J$18,"Missing game",0)</x:f>
        <x:v>26</x:v>
      </x:c>
      <x:c r="AP1938" t="n">
        <x:f>_xlfn.XLOOKUP($A1938,Games!$A$2:$A$18,Games!$K$2:$K$18,"Missing game",0)</x:f>
        <x:v>26</x:v>
      </x:c>
      <x:c r="AQ1938" t="n">
        <x:f>_xlfn.XLOOKUP($A1938,Games!$A$2:$A$18,Games!$L$2:$L$18,"Missing game",0)</x:f>
        <x:v>26</x:v>
      </x:c>
      <x:c r="AR1938" t="n">
        <x:f>_xlfn.XLOOKUP($A1938,Games!$A$2:$A$18,Games!$M$2:$M$18,"Missing game",0)</x:f>
        <x:v>0</x:v>
      </x:c>
      <x:c r="AS1938" t="str">
        <x:f>_xlfn.XLOOKUP($A1938,Games!$A$2:$A$18,Games!$N$2:$N$18,"Missing game",0)</x:f>
        <x:v>outdoors</x:v>
      </x:c>
      <x:c r="AT1938" t="str">
        <x:f>_xlfn.XLOOKUP($A1938,Games!$A$2:$A$18,Games!$O$2:$O$18,"Missing game",0)</x:f>
        <x:v>fieldturf</x:v>
      </x:c>
      <x:c r="AU1938" t="n">
        <x:f>_xlfn.XLOOKUP($A1938,Games!$A$2:$A$18,Games!$P$2:$P$18,"Missing game",0)</x:f>
        <x:v>45</x:v>
      </x:c>
      <x:c r="AV1938" t="n">
        <x:f>_xlfn.XLOOKUP($A1938,Games!$A$2:$A$18,Games!$Q$2:$Q$18,"Missing game",0)</x:f>
        <x:v>2</x:v>
      </x:c>
      <x:c r="AW1938" t="str">
        <x:f>_xlfn.XLOOKUP($A1938,Games!$A$2:$A$18,Games!$R$2:$R$18,"Missing game",0)</x:f>
        <x:v>Lumen Field</x:v>
      </x:c>
    </x:row>
    <x:row r="1939">
      <x:c r="A1939" t="str">
        <x:v>2025_13_MIN_SEA</x:v>
      </x:c>
      <x:c r="B1939" t="n">
        <x:v>2027</x:v>
      </x:c>
      <x:c r="C1939" t="n">
        <x:v>3</x:v>
      </x:c>
      <x:c r="D1939" t="str">
        <x:v>13:33</x:v>
      </x:c>
      <x:c r="E1939" t="n">
        <x:v>2</x:v>
      </x:c>
      <x:c r="F1939" t="n">
        <x:v>8</x:v>
      </x:c>
      <x:c r="G1939" t="str">
        <x:v>SEA</x:v>
      </x:c>
      <x:c r="H1939" t="str">
        <x:v>MIN</x:v>
      </x:c>
      <x:c r="I1939" t="str">
        <x:v>SEA</x:v>
      </x:c>
      <x:c r="J1939" t="n">
        <x:v>54</x:v>
      </x:c>
      <x:c r="K1939" t="str">
        <x:v>(13:33) (Shotgun) 14-S.Darnold pass short left to 9-K.Walker to SEA 46 for no gain (2-I.Rodgers; 43-A.Van Ginkel).</x:v>
      </x:c>
      <x:c r="L1939" t="str">
        <x:v>pass</x:v>
      </x:c>
      <x:c r="M1939" t="n">
        <x:v>0</x:v>
      </x:c>
      <x:c r="N1939" t="n">
        <x:v>1</x:v>
      </x:c>
      <x:c r="O1939" t="n">
        <x:v>0</x:v>
      </x:c>
      <x:c r="P1939" t="str">
        <x:v>short</x:v>
      </x:c>
      <x:c r="Q1939" t="str">
        <x:v>left</x:v>
      </x:c>
      <x:c r="R1939" t="n">
        <x:v>-6</x:v>
      </x:c>
      <x:c r="S1939" t="n">
        <x:v>6</x:v>
      </x:c>
      <x:c r="T1939"/>
      <x:c r="U1939"/>
      <x:c r="V1939" t="n">
        <x:v>1</x:v>
      </x:c>
      <x:c r="W1939" t="n">
        <x:v>0</x:v>
      </x:c>
      <x:c r="X1939" t="n">
        <x:v>0</x:v>
      </x:c>
      <x:c r="Y1939" t="n">
        <x:v>0</x:v>
      </x:c>
      <x:c r="Z1939" t="n">
        <x:v>0</x:v>
      </x:c>
      <x:c r="AA1939" t="n">
        <x:v>0</x:v>
      </x:c>
      <x:c r="AB1939"/>
      <x:c r="AC1939" t="n">
        <x:v>0</x:v>
      </x:c>
      <x:c r="AD1939" t="n">
        <x:v>-0.8390543176792562</x:v>
      </x:c>
      <x:c r="AE1939" t="n">
        <x:v>0</x:v>
      </x:c>
      <x:c r="AF1939" t="n">
        <x:v>-0.010729193687438965</x:v>
      </x:c>
      <x:c r="AG1939" t="n">
        <x:f>_xlfn.XLOOKUP($A1939,Games!$A$2:$A$18,Games!$B$2:$B$18,"Missing game",0)</x:f>
        <x:v>2025</x:v>
      </x:c>
      <x:c r="AH1939" t="str">
        <x:f>_xlfn.XLOOKUP($A1939,Games!$A$2:$A$18,Games!$C$2:$C$18,"Missing game",0)</x:f>
        <x:v>REG</x:v>
      </x:c>
      <x:c r="AI1939" t="n">
        <x:f>_xlfn.XLOOKUP($A1939,Games!$A$2:$A$18,Games!$D$2:$D$18,"Missing game",0)</x:f>
        <x:v>13</x:v>
      </x:c>
      <x:c r="AJ1939" s="1" t="n">
        <x:f>_xlfn.XLOOKUP($A1939,Games!$A$2:$A$18,Games!$E$2:$E$18,"Missing game",0)</x:f>
        <x:v>45991</x:v>
      </x:c>
      <x:c r="AK1939" t="str">
        <x:f>_xlfn.XLOOKUP($A1939,Games!$A$2:$A$18,Games!$F$2:$F$18,"Missing game",0)</x:f>
        <x:v>Sunday</x:v>
      </x:c>
      <x:c r="AL1939" t="str">
        <x:f>_xlfn.XLOOKUP($A1939,Games!$A$2:$A$18,Games!$G$2:$G$18,"Missing game",0)</x:f>
        <x:v>MIN</x:v>
      </x:c>
      <x:c r="AM1939" t="n">
        <x:f>_xlfn.XLOOKUP($A1939,Games!$A$2:$A$18,Games!$H$2:$H$18,"Missing game",0)</x:f>
        <x:v>0</x:v>
      </x:c>
      <x:c r="AN1939" t="str">
        <x:f>_xlfn.XLOOKUP($A1939,Games!$A$2:$A$18,Games!$I$2:$I$18,"Missing game",0)</x:f>
        <x:v>SEA</x:v>
      </x:c>
      <x:c r="AO1939" t="n">
        <x:f>_xlfn.XLOOKUP($A1939,Games!$A$2:$A$18,Games!$J$2:$J$18,"Missing game",0)</x:f>
        <x:v>26</x:v>
      </x:c>
      <x:c r="AP1939" t="n">
        <x:f>_xlfn.XLOOKUP($A1939,Games!$A$2:$A$18,Games!$K$2:$K$18,"Missing game",0)</x:f>
        <x:v>26</x:v>
      </x:c>
      <x:c r="AQ1939" t="n">
        <x:f>_xlfn.XLOOKUP($A1939,Games!$A$2:$A$18,Games!$L$2:$L$18,"Missing game",0)</x:f>
        <x:v>26</x:v>
      </x:c>
      <x:c r="AR1939" t="n">
        <x:f>_xlfn.XLOOKUP($A1939,Games!$A$2:$A$18,Games!$M$2:$M$18,"Missing game",0)</x:f>
        <x:v>0</x:v>
      </x:c>
      <x:c r="AS1939" t="str">
        <x:f>_xlfn.XLOOKUP($A1939,Games!$A$2:$A$18,Games!$N$2:$N$18,"Missing game",0)</x:f>
        <x:v>outdoors</x:v>
      </x:c>
      <x:c r="AT1939" t="str">
        <x:f>_xlfn.XLOOKUP($A1939,Games!$A$2:$A$18,Games!$O$2:$O$18,"Missing game",0)</x:f>
        <x:v>fieldturf</x:v>
      </x:c>
      <x:c r="AU1939" t="n">
        <x:f>_xlfn.XLOOKUP($A1939,Games!$A$2:$A$18,Games!$P$2:$P$18,"Missing game",0)</x:f>
        <x:v>45</x:v>
      </x:c>
      <x:c r="AV1939" t="n">
        <x:f>_xlfn.XLOOKUP($A1939,Games!$A$2:$A$18,Games!$Q$2:$Q$18,"Missing game",0)</x:f>
        <x:v>2</x:v>
      </x:c>
      <x:c r="AW1939" t="str">
        <x:f>_xlfn.XLOOKUP($A1939,Games!$A$2:$A$18,Games!$R$2:$R$18,"Missing game",0)</x:f>
        <x:v>Lumen Field</x:v>
      </x:c>
    </x:row>
    <x:row r="1940">
      <x:c r="A1940" t="str">
        <x:v>2025_13_MIN_SEA</x:v>
      </x:c>
      <x:c r="B1940" t="n">
        <x:v>2052</x:v>
      </x:c>
      <x:c r="C1940" t="n">
        <x:v>3</x:v>
      </x:c>
      <x:c r="D1940" t="str">
        <x:v>12:49</x:v>
      </x:c>
      <x:c r="E1940" t="n">
        <x:v>3</x:v>
      </x:c>
      <x:c r="F1940" t="n">
        <x:v>8</x:v>
      </x:c>
      <x:c r="G1940" t="str">
        <x:v>SEA</x:v>
      </x:c>
      <x:c r="H1940" t="str">
        <x:v>MIN</x:v>
      </x:c>
      <x:c r="I1940" t="str">
        <x:v>SEA</x:v>
      </x:c>
      <x:c r="J1940" t="n">
        <x:v>54</x:v>
      </x:c>
      <x:c r="K1940" t="str">
        <x:v>(12:49) (Shotgun) 14-S.Darnold pass incomplete deep right to 11-J.Smith-Njigba. PENALTY on MIN-93-J.Allen, Defensive Offside, 5 yards, enforced at SEA 46 - No Play.</x:v>
      </x:c>
      <x:c r="L1940" t="str">
        <x:v>no_play</x:v>
      </x:c>
      <x:c r="M1940" t="n">
        <x:v>0</x:v>
      </x:c>
      <x:c r="N1940" t="n">
        <x:v>1</x:v>
      </x:c>
      <x:c r="O1940" t="n">
        <x:v>0</x:v>
      </x:c>
      <x:c r="P1940"/>
      <x:c r="Q1940"/>
      <x:c r="R1940"/>
      <x:c r="S1940"/>
      <x:c r="T1940"/>
      <x:c r="U1940"/>
      <x:c r="V1940" t="n">
        <x:v>0</x:v>
      </x:c>
      <x:c r="W1940" t="n">
        <x:v>0</x:v>
      </x:c>
      <x:c r="X1940" t="n">
        <x:v>0</x:v>
      </x:c>
      <x:c r="Y1940" t="n">
        <x:v>0</x:v>
      </x:c>
      <x:c r="Z1940" t="n">
        <x:v>0</x:v>
      </x:c>
      <x:c r="AA1940" t="n">
        <x:v>1</x:v>
      </x:c>
      <x:c r="AB1940" t="n">
        <x:v>5</x:v>
      </x:c>
      <x:c r="AC1940" t="n">
        <x:v>0</x:v>
      </x:c>
      <x:c r="AD1940" t="n">
        <x:v>0.7531315695960075</x:v>
      </x:c>
      <x:c r="AE1940" t="n">
        <x:v>1</x:v>
      </x:c>
      <x:c r="AF1940" t="n">
        <x:v>0.01095491647720337</x:v>
      </x:c>
      <x:c r="AG1940" t="n">
        <x:f>_xlfn.XLOOKUP($A1940,Games!$A$2:$A$18,Games!$B$2:$B$18,"Missing game",0)</x:f>
        <x:v>2025</x:v>
      </x:c>
      <x:c r="AH1940" t="str">
        <x:f>_xlfn.XLOOKUP($A1940,Games!$A$2:$A$18,Games!$C$2:$C$18,"Missing game",0)</x:f>
        <x:v>REG</x:v>
      </x:c>
      <x:c r="AI1940" t="n">
        <x:f>_xlfn.XLOOKUP($A1940,Games!$A$2:$A$18,Games!$D$2:$D$18,"Missing game",0)</x:f>
        <x:v>13</x:v>
      </x:c>
      <x:c r="AJ1940" s="1" t="n">
        <x:f>_xlfn.XLOOKUP($A1940,Games!$A$2:$A$18,Games!$E$2:$E$18,"Missing game",0)</x:f>
        <x:v>45991</x:v>
      </x:c>
      <x:c r="AK1940" t="str">
        <x:f>_xlfn.XLOOKUP($A1940,Games!$A$2:$A$18,Games!$F$2:$F$18,"Missing game",0)</x:f>
        <x:v>Sunday</x:v>
      </x:c>
      <x:c r="AL1940" t="str">
        <x:f>_xlfn.XLOOKUP($A1940,Games!$A$2:$A$18,Games!$G$2:$G$18,"Missing game",0)</x:f>
        <x:v>MIN</x:v>
      </x:c>
      <x:c r="AM1940" t="n">
        <x:f>_xlfn.XLOOKUP($A1940,Games!$A$2:$A$18,Games!$H$2:$H$18,"Missing game",0)</x:f>
        <x:v>0</x:v>
      </x:c>
      <x:c r="AN1940" t="str">
        <x:f>_xlfn.XLOOKUP($A1940,Games!$A$2:$A$18,Games!$I$2:$I$18,"Missing game",0)</x:f>
        <x:v>SEA</x:v>
      </x:c>
      <x:c r="AO1940" t="n">
        <x:f>_xlfn.XLOOKUP($A1940,Games!$A$2:$A$18,Games!$J$2:$J$18,"Missing game",0)</x:f>
        <x:v>26</x:v>
      </x:c>
      <x:c r="AP1940" t="n">
        <x:f>_xlfn.XLOOKUP($A1940,Games!$A$2:$A$18,Games!$K$2:$K$18,"Missing game",0)</x:f>
        <x:v>26</x:v>
      </x:c>
      <x:c r="AQ1940" t="n">
        <x:f>_xlfn.XLOOKUP($A1940,Games!$A$2:$A$18,Games!$L$2:$L$18,"Missing game",0)</x:f>
        <x:v>26</x:v>
      </x:c>
      <x:c r="AR1940" t="n">
        <x:f>_xlfn.XLOOKUP($A1940,Games!$A$2:$A$18,Games!$M$2:$M$18,"Missing game",0)</x:f>
        <x:v>0</x:v>
      </x:c>
      <x:c r="AS1940" t="str">
        <x:f>_xlfn.XLOOKUP($A1940,Games!$A$2:$A$18,Games!$N$2:$N$18,"Missing game",0)</x:f>
        <x:v>outdoors</x:v>
      </x:c>
      <x:c r="AT1940" t="str">
        <x:f>_xlfn.XLOOKUP($A1940,Games!$A$2:$A$18,Games!$O$2:$O$18,"Missing game",0)</x:f>
        <x:v>fieldturf</x:v>
      </x:c>
      <x:c r="AU1940" t="n">
        <x:f>_xlfn.XLOOKUP($A1940,Games!$A$2:$A$18,Games!$P$2:$P$18,"Missing game",0)</x:f>
        <x:v>45</x:v>
      </x:c>
      <x:c r="AV1940" t="n">
        <x:f>_xlfn.XLOOKUP($A1940,Games!$A$2:$A$18,Games!$Q$2:$Q$18,"Missing game",0)</x:f>
        <x:v>2</x:v>
      </x:c>
      <x:c r="AW1940" t="str">
        <x:f>_xlfn.XLOOKUP($A1940,Games!$A$2:$A$18,Games!$R$2:$R$18,"Missing game",0)</x:f>
        <x:v>Lumen Field</x:v>
      </x:c>
    </x:row>
    <x:row r="1941">
      <x:c r="A1941" t="str">
        <x:v>2025_13_MIN_SEA</x:v>
      </x:c>
      <x:c r="B1941" t="n">
        <x:v>2086</x:v>
      </x:c>
      <x:c r="C1941" t="n">
        <x:v>3</x:v>
      </x:c>
      <x:c r="D1941" t="str">
        <x:v>12:44</x:v>
      </x:c>
      <x:c r="E1941" t="n">
        <x:v>3</x:v>
      </x:c>
      <x:c r="F1941" t="n">
        <x:v>3</x:v>
      </x:c>
      <x:c r="G1941" t="str">
        <x:v>SEA</x:v>
      </x:c>
      <x:c r="H1941" t="str">
        <x:v>MIN</x:v>
      </x:c>
      <x:c r="I1941" t="str">
        <x:v>MIN</x:v>
      </x:c>
      <x:c r="J1941" t="n">
        <x:v>49</x:v>
      </x:c>
      <x:c r="K1941" t="str">
        <x:v>(12:44) (Shotgun) 14-S.Darnold pass short left to 9-K.Walker to MIN 45 for 4 yards (44-J.Metellus).</x:v>
      </x:c>
      <x:c r="L1941" t="str">
        <x:v>pass</x:v>
      </x:c>
      <x:c r="M1941" t="n">
        <x:v>4</x:v>
      </x:c>
      <x:c r="N1941" t="n">
        <x:v>1</x:v>
      </x:c>
      <x:c r="O1941" t="n">
        <x:v>0</x:v>
      </x:c>
      <x:c r="P1941" t="str">
        <x:v>short</x:v>
      </x:c>
      <x:c r="Q1941" t="str">
        <x:v>left</x:v>
      </x:c>
      <x:c r="R1941" t="n">
        <x:v>-1</x:v>
      </x:c>
      <x:c r="S1941" t="n">
        <x:v>5</x:v>
      </x:c>
      <x:c r="T1941"/>
      <x:c r="U1941"/>
      <x:c r="V1941" t="n">
        <x:v>1</x:v>
      </x:c>
      <x:c r="W1941" t="n">
        <x:v>1</x:v>
      </x:c>
      <x:c r="X1941" t="n">
        <x:v>0</x:v>
      </x:c>
      <x:c r="Y1941" t="n">
        <x:v>0</x:v>
      </x:c>
      <x:c r="Z1941" t="n">
        <x:v>0</x:v>
      </x:c>
      <x:c r="AA1941" t="n">
        <x:v>0</x:v>
      </x:c>
      <x:c r="AB1941"/>
      <x:c r="AC1941" t="n">
        <x:v>0</x:v>
      </x:c>
      <x:c r="AD1941" t="n">
        <x:v>1.095683119026944</x:v>
      </x:c>
      <x:c r="AE1941" t="n">
        <x:v>1</x:v>
      </x:c>
      <x:c r="AF1941" t="n">
        <x:v>0.004727065563201904</x:v>
      </x:c>
      <x:c r="AG1941" t="n">
        <x:f>_xlfn.XLOOKUP($A1941,Games!$A$2:$A$18,Games!$B$2:$B$18,"Missing game",0)</x:f>
        <x:v>2025</x:v>
      </x:c>
      <x:c r="AH1941" t="str">
        <x:f>_xlfn.XLOOKUP($A1941,Games!$A$2:$A$18,Games!$C$2:$C$18,"Missing game",0)</x:f>
        <x:v>REG</x:v>
      </x:c>
      <x:c r="AI1941" t="n">
        <x:f>_xlfn.XLOOKUP($A1941,Games!$A$2:$A$18,Games!$D$2:$D$18,"Missing game",0)</x:f>
        <x:v>13</x:v>
      </x:c>
      <x:c r="AJ1941" s="1" t="n">
        <x:f>_xlfn.XLOOKUP($A1941,Games!$A$2:$A$18,Games!$E$2:$E$18,"Missing game",0)</x:f>
        <x:v>45991</x:v>
      </x:c>
      <x:c r="AK1941" t="str">
        <x:f>_xlfn.XLOOKUP($A1941,Games!$A$2:$A$18,Games!$F$2:$F$18,"Missing game",0)</x:f>
        <x:v>Sunday</x:v>
      </x:c>
      <x:c r="AL1941" t="str">
        <x:f>_xlfn.XLOOKUP($A1941,Games!$A$2:$A$18,Games!$G$2:$G$18,"Missing game",0)</x:f>
        <x:v>MIN</x:v>
      </x:c>
      <x:c r="AM1941" t="n">
        <x:f>_xlfn.XLOOKUP($A1941,Games!$A$2:$A$18,Games!$H$2:$H$18,"Missing game",0)</x:f>
        <x:v>0</x:v>
      </x:c>
      <x:c r="AN1941" t="str">
        <x:f>_xlfn.XLOOKUP($A1941,Games!$A$2:$A$18,Games!$I$2:$I$18,"Missing game",0)</x:f>
        <x:v>SEA</x:v>
      </x:c>
      <x:c r="AO1941" t="n">
        <x:f>_xlfn.XLOOKUP($A1941,Games!$A$2:$A$18,Games!$J$2:$J$18,"Missing game",0)</x:f>
        <x:v>26</x:v>
      </x:c>
      <x:c r="AP1941" t="n">
        <x:f>_xlfn.XLOOKUP($A1941,Games!$A$2:$A$18,Games!$K$2:$K$18,"Missing game",0)</x:f>
        <x:v>26</x:v>
      </x:c>
      <x:c r="AQ1941" t="n">
        <x:f>_xlfn.XLOOKUP($A1941,Games!$A$2:$A$18,Games!$L$2:$L$18,"Missing game",0)</x:f>
        <x:v>26</x:v>
      </x:c>
      <x:c r="AR1941" t="n">
        <x:f>_xlfn.XLOOKUP($A1941,Games!$A$2:$A$18,Games!$M$2:$M$18,"Missing game",0)</x:f>
        <x:v>0</x:v>
      </x:c>
      <x:c r="AS1941" t="str">
        <x:f>_xlfn.XLOOKUP($A1941,Games!$A$2:$A$18,Games!$N$2:$N$18,"Missing game",0)</x:f>
        <x:v>outdoors</x:v>
      </x:c>
      <x:c r="AT1941" t="str">
        <x:f>_xlfn.XLOOKUP($A1941,Games!$A$2:$A$18,Games!$O$2:$O$18,"Missing game",0)</x:f>
        <x:v>fieldturf</x:v>
      </x:c>
      <x:c r="AU1941" t="n">
        <x:f>_xlfn.XLOOKUP($A1941,Games!$A$2:$A$18,Games!$P$2:$P$18,"Missing game",0)</x:f>
        <x:v>45</x:v>
      </x:c>
      <x:c r="AV1941" t="n">
        <x:f>_xlfn.XLOOKUP($A1941,Games!$A$2:$A$18,Games!$Q$2:$Q$18,"Missing game",0)</x:f>
        <x:v>2</x:v>
      </x:c>
      <x:c r="AW1941" t="str">
        <x:f>_xlfn.XLOOKUP($A1941,Games!$A$2:$A$18,Games!$R$2:$R$18,"Missing game",0)</x:f>
        <x:v>Lumen Field</x:v>
      </x:c>
    </x:row>
    <x:row r="1942">
      <x:c r="A1942" t="str">
        <x:v>2025_13_MIN_SEA</x:v>
      </x:c>
      <x:c r="B1942" t="n">
        <x:v>2111</x:v>
      </x:c>
      <x:c r="C1942" t="n">
        <x:v>3</x:v>
      </x:c>
      <x:c r="D1942" t="str">
        <x:v>12:04</x:v>
      </x:c>
      <x:c r="E1942" t="n">
        <x:v>1</x:v>
      </x:c>
      <x:c r="F1942" t="n">
        <x:v>10</x:v>
      </x:c>
      <x:c r="G1942" t="str">
        <x:v>SEA</x:v>
      </x:c>
      <x:c r="H1942" t="str">
        <x:v>MIN</x:v>
      </x:c>
      <x:c r="I1942" t="str">
        <x:v>MIN</x:v>
      </x:c>
      <x:c r="J1942" t="n">
        <x:v>45</x:v>
      </x:c>
      <x:c r="K1942" t="str">
        <x:v>(12:04) 9-K.Walker right end pushed ob at MIN 41 for 4 yards (2-I.Rodgers).</x:v>
      </x:c>
      <x:c r="L1942" t="str">
        <x:v>run</x:v>
      </x:c>
      <x:c r="M1942" t="n">
        <x:v>4</x:v>
      </x:c>
      <x:c r="N1942" t="n">
        <x:v>0</x:v>
      </x:c>
      <x:c r="O1942" t="n">
        <x:v>0</x:v>
      </x:c>
      <x:c r="P1942"/>
      <x:c r="Q1942"/>
      <x:c r="R1942"/>
      <x:c r="S1942"/>
      <x:c r="T1942" t="str">
        <x:v>right</x:v>
      </x:c>
      <x:c r="U1942" t="str">
        <x:v>end</x:v>
      </x:c>
      <x:c r="V1942" t="n">
        <x:v>0</x:v>
      </x:c>
      <x:c r="W1942" t="n">
        <x:v>0</x:v>
      </x:c>
      <x:c r="X1942" t="n">
        <x:v>0</x:v>
      </x:c>
      <x:c r="Y1942" t="n">
        <x:v>0</x:v>
      </x:c>
      <x:c r="Z1942" t="n">
        <x:v>0</x:v>
      </x:c>
      <x:c r="AA1942" t="n">
        <x:v>0</x:v>
      </x:c>
      <x:c r="AB1942"/>
      <x:c r="AC1942" t="n">
        <x:v>0</x:v>
      </x:c>
      <x:c r="AD1942" t="n">
        <x:v>-0.17954968567937613</x:v>
      </x:c>
      <x:c r="AE1942" t="n">
        <x:v>0</x:v>
      </x:c>
      <x:c r="AF1942" t="n">
        <x:v>0.004526853561401367</x:v>
      </x:c>
      <x:c r="AG1942" t="n">
        <x:f>_xlfn.XLOOKUP($A1942,Games!$A$2:$A$18,Games!$B$2:$B$18,"Missing game",0)</x:f>
        <x:v>2025</x:v>
      </x:c>
      <x:c r="AH1942" t="str">
        <x:f>_xlfn.XLOOKUP($A1942,Games!$A$2:$A$18,Games!$C$2:$C$18,"Missing game",0)</x:f>
        <x:v>REG</x:v>
      </x:c>
      <x:c r="AI1942" t="n">
        <x:f>_xlfn.XLOOKUP($A1942,Games!$A$2:$A$18,Games!$D$2:$D$18,"Missing game",0)</x:f>
        <x:v>13</x:v>
      </x:c>
      <x:c r="AJ1942" s="1" t="n">
        <x:f>_xlfn.XLOOKUP($A1942,Games!$A$2:$A$18,Games!$E$2:$E$18,"Missing game",0)</x:f>
        <x:v>45991</x:v>
      </x:c>
      <x:c r="AK1942" t="str">
        <x:f>_xlfn.XLOOKUP($A1942,Games!$A$2:$A$18,Games!$F$2:$F$18,"Missing game",0)</x:f>
        <x:v>Sunday</x:v>
      </x:c>
      <x:c r="AL1942" t="str">
        <x:f>_xlfn.XLOOKUP($A1942,Games!$A$2:$A$18,Games!$G$2:$G$18,"Missing game",0)</x:f>
        <x:v>MIN</x:v>
      </x:c>
      <x:c r="AM1942" t="n">
        <x:f>_xlfn.XLOOKUP($A1942,Games!$A$2:$A$18,Games!$H$2:$H$18,"Missing game",0)</x:f>
        <x:v>0</x:v>
      </x:c>
      <x:c r="AN1942" t="str">
        <x:f>_xlfn.XLOOKUP($A1942,Games!$A$2:$A$18,Games!$I$2:$I$18,"Missing game",0)</x:f>
        <x:v>SEA</x:v>
      </x:c>
      <x:c r="AO1942" t="n">
        <x:f>_xlfn.XLOOKUP($A1942,Games!$A$2:$A$18,Games!$J$2:$J$18,"Missing game",0)</x:f>
        <x:v>26</x:v>
      </x:c>
      <x:c r="AP1942" t="n">
        <x:f>_xlfn.XLOOKUP($A1942,Games!$A$2:$A$18,Games!$K$2:$K$18,"Missing game",0)</x:f>
        <x:v>26</x:v>
      </x:c>
      <x:c r="AQ1942" t="n">
        <x:f>_xlfn.XLOOKUP($A1942,Games!$A$2:$A$18,Games!$L$2:$L$18,"Missing game",0)</x:f>
        <x:v>26</x:v>
      </x:c>
      <x:c r="AR1942" t="n">
        <x:f>_xlfn.XLOOKUP($A1942,Games!$A$2:$A$18,Games!$M$2:$M$18,"Missing game",0)</x:f>
        <x:v>0</x:v>
      </x:c>
      <x:c r="AS1942" t="str">
        <x:f>_xlfn.XLOOKUP($A1942,Games!$A$2:$A$18,Games!$N$2:$N$18,"Missing game",0)</x:f>
        <x:v>outdoors</x:v>
      </x:c>
      <x:c r="AT1942" t="str">
        <x:f>_xlfn.XLOOKUP($A1942,Games!$A$2:$A$18,Games!$O$2:$O$18,"Missing game",0)</x:f>
        <x:v>fieldturf</x:v>
      </x:c>
      <x:c r="AU1942" t="n">
        <x:f>_xlfn.XLOOKUP($A1942,Games!$A$2:$A$18,Games!$P$2:$P$18,"Missing game",0)</x:f>
        <x:v>45</x:v>
      </x:c>
      <x:c r="AV1942" t="n">
        <x:f>_xlfn.XLOOKUP($A1942,Games!$A$2:$A$18,Games!$Q$2:$Q$18,"Missing game",0)</x:f>
        <x:v>2</x:v>
      </x:c>
      <x:c r="AW1942" t="str">
        <x:f>_xlfn.XLOOKUP($A1942,Games!$A$2:$A$18,Games!$R$2:$R$18,"Missing game",0)</x:f>
        <x:v>Lumen Field</x:v>
      </x:c>
    </x:row>
    <x:row r="1943">
      <x:c r="A1943" t="str">
        <x:v>2025_13_MIN_SEA</x:v>
      </x:c>
      <x:c r="B1943" t="n">
        <x:v>2133</x:v>
      </x:c>
      <x:c r="C1943" t="n">
        <x:v>3</x:v>
      </x:c>
      <x:c r="D1943" t="str">
        <x:v>11:26</x:v>
      </x:c>
      <x:c r="E1943" t="n">
        <x:v>2</x:v>
      </x:c>
      <x:c r="F1943" t="n">
        <x:v>6</x:v>
      </x:c>
      <x:c r="G1943" t="str">
        <x:v>SEA</x:v>
      </x:c>
      <x:c r="H1943" t="str">
        <x:v>MIN</x:v>
      </x:c>
      <x:c r="I1943" t="str">
        <x:v>MIN</x:v>
      </x:c>
      <x:c r="J1943" t="n">
        <x:v>41</x:v>
      </x:c>
      <x:c r="K1943" t="str">
        <x:v>(11:26) (Shotgun) 14-S.Darnold pass incomplete short right to 9-K.Walker (15-D.Turner).</x:v>
      </x:c>
      <x:c r="L1943" t="str">
        <x:v>pass</x:v>
      </x:c>
      <x:c r="M1943" t="n">
        <x:v>0</x:v>
      </x:c>
      <x:c r="N1943" t="n">
        <x:v>1</x:v>
      </x:c>
      <x:c r="O1943" t="n">
        <x:v>0</x:v>
      </x:c>
      <x:c r="P1943" t="str">
        <x:v>short</x:v>
      </x:c>
      <x:c r="Q1943" t="str">
        <x:v>right</x:v>
      </x:c>
      <x:c r="R1943" t="n">
        <x:v>-3</x:v>
      </x:c>
      <x:c r="S1943"/>
      <x:c r="T1943"/>
      <x:c r="U1943"/>
      <x:c r="V1943" t="n">
        <x:v>0</x:v>
      </x:c>
      <x:c r="W1943" t="n">
        <x:v>0</x:v>
      </x:c>
      <x:c r="X1943" t="n">
        <x:v>0</x:v>
      </x:c>
      <x:c r="Y1943" t="n">
        <x:v>0</x:v>
      </x:c>
      <x:c r="Z1943" t="n">
        <x:v>0</x:v>
      </x:c>
      <x:c r="AA1943" t="n">
        <x:v>0</x:v>
      </x:c>
      <x:c r="AB1943"/>
      <x:c r="AC1943" t="n">
        <x:v>0</x:v>
      </x:c>
      <x:c r="AD1943" t="n">
        <x:v>-0.8411410099361092</x:v>
      </x:c>
      <x:c r="AE1943" t="n">
        <x:v>0</x:v>
      </x:c>
      <x:c r="AF1943" t="n">
        <x:v>-0.007193922996520996</x:v>
      </x:c>
      <x:c r="AG1943" t="n">
        <x:f>_xlfn.XLOOKUP($A1943,Games!$A$2:$A$18,Games!$B$2:$B$18,"Missing game",0)</x:f>
        <x:v>2025</x:v>
      </x:c>
      <x:c r="AH1943" t="str">
        <x:f>_xlfn.XLOOKUP($A1943,Games!$A$2:$A$18,Games!$C$2:$C$18,"Missing game",0)</x:f>
        <x:v>REG</x:v>
      </x:c>
      <x:c r="AI1943" t="n">
        <x:f>_xlfn.XLOOKUP($A1943,Games!$A$2:$A$18,Games!$D$2:$D$18,"Missing game",0)</x:f>
        <x:v>13</x:v>
      </x:c>
      <x:c r="AJ1943" s="1" t="n">
        <x:f>_xlfn.XLOOKUP($A1943,Games!$A$2:$A$18,Games!$E$2:$E$18,"Missing game",0)</x:f>
        <x:v>45991</x:v>
      </x:c>
      <x:c r="AK1943" t="str">
        <x:f>_xlfn.XLOOKUP($A1943,Games!$A$2:$A$18,Games!$F$2:$F$18,"Missing game",0)</x:f>
        <x:v>Sunday</x:v>
      </x:c>
      <x:c r="AL1943" t="str">
        <x:f>_xlfn.XLOOKUP($A1943,Games!$A$2:$A$18,Games!$G$2:$G$18,"Missing game",0)</x:f>
        <x:v>MIN</x:v>
      </x:c>
      <x:c r="AM1943" t="n">
        <x:f>_xlfn.XLOOKUP($A1943,Games!$A$2:$A$18,Games!$H$2:$H$18,"Missing game",0)</x:f>
        <x:v>0</x:v>
      </x:c>
      <x:c r="AN1943" t="str">
        <x:f>_xlfn.XLOOKUP($A1943,Games!$A$2:$A$18,Games!$I$2:$I$18,"Missing game",0)</x:f>
        <x:v>SEA</x:v>
      </x:c>
      <x:c r="AO1943" t="n">
        <x:f>_xlfn.XLOOKUP($A1943,Games!$A$2:$A$18,Games!$J$2:$J$18,"Missing game",0)</x:f>
        <x:v>26</x:v>
      </x:c>
      <x:c r="AP1943" t="n">
        <x:f>_xlfn.XLOOKUP($A1943,Games!$A$2:$A$18,Games!$K$2:$K$18,"Missing game",0)</x:f>
        <x:v>26</x:v>
      </x:c>
      <x:c r="AQ1943" t="n">
        <x:f>_xlfn.XLOOKUP($A1943,Games!$A$2:$A$18,Games!$L$2:$L$18,"Missing game",0)</x:f>
        <x:v>26</x:v>
      </x:c>
      <x:c r="AR1943" t="n">
        <x:f>_xlfn.XLOOKUP($A1943,Games!$A$2:$A$18,Games!$M$2:$M$18,"Missing game",0)</x:f>
        <x:v>0</x:v>
      </x:c>
      <x:c r="AS1943" t="str">
        <x:f>_xlfn.XLOOKUP($A1943,Games!$A$2:$A$18,Games!$N$2:$N$18,"Missing game",0)</x:f>
        <x:v>outdoors</x:v>
      </x:c>
      <x:c r="AT1943" t="str">
        <x:f>_xlfn.XLOOKUP($A1943,Games!$A$2:$A$18,Games!$O$2:$O$18,"Missing game",0)</x:f>
        <x:v>fieldturf</x:v>
      </x:c>
      <x:c r="AU1943" t="n">
        <x:f>_xlfn.XLOOKUP($A1943,Games!$A$2:$A$18,Games!$P$2:$P$18,"Missing game",0)</x:f>
        <x:v>45</x:v>
      </x:c>
      <x:c r="AV1943" t="n">
        <x:f>_xlfn.XLOOKUP($A1943,Games!$A$2:$A$18,Games!$Q$2:$Q$18,"Missing game",0)</x:f>
        <x:v>2</x:v>
      </x:c>
      <x:c r="AW1943" t="str">
        <x:f>_xlfn.XLOOKUP($A1943,Games!$A$2:$A$18,Games!$R$2:$R$18,"Missing game",0)</x:f>
        <x:v>Lumen Field</x:v>
      </x:c>
    </x:row>
    <x:row r="1944">
      <x:c r="A1944" t="str">
        <x:v>2025_13_MIN_SEA</x:v>
      </x:c>
      <x:c r="B1944" t="n">
        <x:v>2156</x:v>
      </x:c>
      <x:c r="C1944" t="n">
        <x:v>3</x:v>
      </x:c>
      <x:c r="D1944" t="str">
        <x:v>11:23</x:v>
      </x:c>
      <x:c r="E1944" t="n">
        <x:v>3</x:v>
      </x:c>
      <x:c r="F1944" t="n">
        <x:v>6</x:v>
      </x:c>
      <x:c r="G1944" t="str">
        <x:v>SEA</x:v>
      </x:c>
      <x:c r="H1944" t="str">
        <x:v>MIN</x:v>
      </x:c>
      <x:c r="I1944" t="str">
        <x:v>MIN</x:v>
      </x:c>
      <x:c r="J1944" t="n">
        <x:v>41</x:v>
      </x:c>
      <x:c r="K1944" t="str">
        <x:v>(11:23) (Shotgun) PENALTY on MIN-58-J.Greenard, Neutral Zone Infraction, 5 yards, enforced at MIN 41 - No Play.</x:v>
      </x:c>
      <x:c r="L1944" t="str">
        <x:v>no_play</x:v>
      </x:c>
      <x:c r="M1944" t="n">
        <x:v>0</x:v>
      </x:c>
      <x:c r="N1944" t="n">
        <x:v>1</x:v>
      </x:c>
      <x:c r="O1944" t="n">
        <x:v>0</x:v>
      </x:c>
      <x:c r="P1944"/>
      <x:c r="Q1944"/>
      <x:c r="R1944"/>
      <x:c r="S1944"/>
      <x:c r="T1944"/>
      <x:c r="U1944"/>
      <x:c r="V1944" t="n">
        <x:v>0</x:v>
      </x:c>
      <x:c r="W1944" t="n">
        <x:v>0</x:v>
      </x:c>
      <x:c r="X1944" t="n">
        <x:v>0</x:v>
      </x:c>
      <x:c r="Y1944" t="n">
        <x:v>0</x:v>
      </x:c>
      <x:c r="Z1944" t="n">
        <x:v>0</x:v>
      </x:c>
      <x:c r="AA1944" t="n">
        <x:v>1</x:v>
      </x:c>
      <x:c r="AB1944" t="n">
        <x:v>5</x:v>
      </x:c>
      <x:c r="AC1944" t="n">
        <x:v>0</x:v>
      </x:c>
      <x:c r="AD1944" t="n">
        <x:v>1.0772707385476679</x:v>
      </x:c>
      <x:c r="AE1944" t="n">
        <x:v>1</x:v>
      </x:c>
      <x:c r="AF1944" t="n">
        <x:v>0.008726418018341064</x:v>
      </x:c>
      <x:c r="AG1944" t="n">
        <x:f>_xlfn.XLOOKUP($A1944,Games!$A$2:$A$18,Games!$B$2:$B$18,"Missing game",0)</x:f>
        <x:v>2025</x:v>
      </x:c>
      <x:c r="AH1944" t="str">
        <x:f>_xlfn.XLOOKUP($A1944,Games!$A$2:$A$18,Games!$C$2:$C$18,"Missing game",0)</x:f>
        <x:v>REG</x:v>
      </x:c>
      <x:c r="AI1944" t="n">
        <x:f>_xlfn.XLOOKUP($A1944,Games!$A$2:$A$18,Games!$D$2:$D$18,"Missing game",0)</x:f>
        <x:v>13</x:v>
      </x:c>
      <x:c r="AJ1944" s="1" t="n">
        <x:f>_xlfn.XLOOKUP($A1944,Games!$A$2:$A$18,Games!$E$2:$E$18,"Missing game",0)</x:f>
        <x:v>45991</x:v>
      </x:c>
      <x:c r="AK1944" t="str">
        <x:f>_xlfn.XLOOKUP($A1944,Games!$A$2:$A$18,Games!$F$2:$F$18,"Missing game",0)</x:f>
        <x:v>Sunday</x:v>
      </x:c>
      <x:c r="AL1944" t="str">
        <x:f>_xlfn.XLOOKUP($A1944,Games!$A$2:$A$18,Games!$G$2:$G$18,"Missing game",0)</x:f>
        <x:v>MIN</x:v>
      </x:c>
      <x:c r="AM1944" t="n">
        <x:f>_xlfn.XLOOKUP($A1944,Games!$A$2:$A$18,Games!$H$2:$H$18,"Missing game",0)</x:f>
        <x:v>0</x:v>
      </x:c>
      <x:c r="AN1944" t="str">
        <x:f>_xlfn.XLOOKUP($A1944,Games!$A$2:$A$18,Games!$I$2:$I$18,"Missing game",0)</x:f>
        <x:v>SEA</x:v>
      </x:c>
      <x:c r="AO1944" t="n">
        <x:f>_xlfn.XLOOKUP($A1944,Games!$A$2:$A$18,Games!$J$2:$J$18,"Missing game",0)</x:f>
        <x:v>26</x:v>
      </x:c>
      <x:c r="AP1944" t="n">
        <x:f>_xlfn.XLOOKUP($A1944,Games!$A$2:$A$18,Games!$K$2:$K$18,"Missing game",0)</x:f>
        <x:v>26</x:v>
      </x:c>
      <x:c r="AQ1944" t="n">
        <x:f>_xlfn.XLOOKUP($A1944,Games!$A$2:$A$18,Games!$L$2:$L$18,"Missing game",0)</x:f>
        <x:v>26</x:v>
      </x:c>
      <x:c r="AR1944" t="n">
        <x:f>_xlfn.XLOOKUP($A1944,Games!$A$2:$A$18,Games!$M$2:$M$18,"Missing game",0)</x:f>
        <x:v>0</x:v>
      </x:c>
      <x:c r="AS1944" t="str">
        <x:f>_xlfn.XLOOKUP($A1944,Games!$A$2:$A$18,Games!$N$2:$N$18,"Missing game",0)</x:f>
        <x:v>outdoors</x:v>
      </x:c>
      <x:c r="AT1944" t="str">
        <x:f>_xlfn.XLOOKUP($A1944,Games!$A$2:$A$18,Games!$O$2:$O$18,"Missing game",0)</x:f>
        <x:v>fieldturf</x:v>
      </x:c>
      <x:c r="AU1944" t="n">
        <x:f>_xlfn.XLOOKUP($A1944,Games!$A$2:$A$18,Games!$P$2:$P$18,"Missing game",0)</x:f>
        <x:v>45</x:v>
      </x:c>
      <x:c r="AV1944" t="n">
        <x:f>_xlfn.XLOOKUP($A1944,Games!$A$2:$A$18,Games!$Q$2:$Q$18,"Missing game",0)</x:f>
        <x:v>2</x:v>
      </x:c>
      <x:c r="AW1944" t="str">
        <x:f>_xlfn.XLOOKUP($A1944,Games!$A$2:$A$18,Games!$R$2:$R$18,"Missing game",0)</x:f>
        <x:v>Lumen Field</x:v>
      </x:c>
    </x:row>
    <x:row r="1945">
      <x:c r="A1945" t="str">
        <x:v>2025_13_MIN_SEA</x:v>
      </x:c>
      <x:c r="B1945" t="n">
        <x:v>2180</x:v>
      </x:c>
      <x:c r="C1945" t="n">
        <x:v>3</x:v>
      </x:c>
      <x:c r="D1945" t="str">
        <x:v>11:23</x:v>
      </x:c>
      <x:c r="E1945" t="n">
        <x:v>3</x:v>
      </x:c>
      <x:c r="F1945" t="n">
        <x:v>1</x:v>
      </x:c>
      <x:c r="G1945" t="str">
        <x:v>SEA</x:v>
      </x:c>
      <x:c r="H1945" t="str">
        <x:v>MIN</x:v>
      </x:c>
      <x:c r="I1945" t="str">
        <x:v>MIN</x:v>
      </x:c>
      <x:c r="J1945" t="n">
        <x:v>36</x:v>
      </x:c>
      <x:c r="K1945" t="str">
        <x:v>(11:23) 14-S.Darnold pass incomplete short right to 18-E.Arroyo (44-J.Metellus).</x:v>
      </x:c>
      <x:c r="L1945" t="str">
        <x:v>pass</x:v>
      </x:c>
      <x:c r="M1945" t="n">
        <x:v>0</x:v>
      </x:c>
      <x:c r="N1945" t="n">
        <x:v>0</x:v>
      </x:c>
      <x:c r="O1945" t="n">
        <x:v>0</x:v>
      </x:c>
      <x:c r="P1945" t="str">
        <x:v>short</x:v>
      </x:c>
      <x:c r="Q1945" t="str">
        <x:v>right</x:v>
      </x:c>
      <x:c r="R1945" t="n">
        <x:v>0</x:v>
      </x:c>
      <x:c r="S1945"/>
      <x:c r="T1945"/>
      <x:c r="U1945"/>
      <x:c r="V1945" t="n">
        <x:v>0</x:v>
      </x:c>
      <x:c r="W1945" t="n">
        <x:v>0</x:v>
      </x:c>
      <x:c r="X1945" t="n">
        <x:v>0</x:v>
      </x:c>
      <x:c r="Y1945" t="n">
        <x:v>0</x:v>
      </x:c>
      <x:c r="Z1945" t="n">
        <x:v>0</x:v>
      </x:c>
      <x:c r="AA1945" t="n">
        <x:v>0</x:v>
      </x:c>
      <x:c r="AB1945"/>
      <x:c r="AC1945" t="n">
        <x:v>0</x:v>
      </x:c>
      <x:c r="AD1945" t="n">
        <x:v>-2.8738449022503105</x:v>
      </x:c>
      <x:c r="AE1945" t="n">
        <x:v>0</x:v>
      </x:c>
      <x:c r="AF1945" t="n">
        <x:v>-0.01528620719909668</x:v>
      </x:c>
      <x:c r="AG1945" t="n">
        <x:f>_xlfn.XLOOKUP($A1945,Games!$A$2:$A$18,Games!$B$2:$B$18,"Missing game",0)</x:f>
        <x:v>2025</x:v>
      </x:c>
      <x:c r="AH1945" t="str">
        <x:f>_xlfn.XLOOKUP($A1945,Games!$A$2:$A$18,Games!$C$2:$C$18,"Missing game",0)</x:f>
        <x:v>REG</x:v>
      </x:c>
      <x:c r="AI1945" t="n">
        <x:f>_xlfn.XLOOKUP($A1945,Games!$A$2:$A$18,Games!$D$2:$D$18,"Missing game",0)</x:f>
        <x:v>13</x:v>
      </x:c>
      <x:c r="AJ1945" s="1" t="n">
        <x:f>_xlfn.XLOOKUP($A1945,Games!$A$2:$A$18,Games!$E$2:$E$18,"Missing game",0)</x:f>
        <x:v>45991</x:v>
      </x:c>
      <x:c r="AK1945" t="str">
        <x:f>_xlfn.XLOOKUP($A1945,Games!$A$2:$A$18,Games!$F$2:$F$18,"Missing game",0)</x:f>
        <x:v>Sunday</x:v>
      </x:c>
      <x:c r="AL1945" t="str">
        <x:f>_xlfn.XLOOKUP($A1945,Games!$A$2:$A$18,Games!$G$2:$G$18,"Missing game",0)</x:f>
        <x:v>MIN</x:v>
      </x:c>
      <x:c r="AM1945" t="n">
        <x:f>_xlfn.XLOOKUP($A1945,Games!$A$2:$A$18,Games!$H$2:$H$18,"Missing game",0)</x:f>
        <x:v>0</x:v>
      </x:c>
      <x:c r="AN1945" t="str">
        <x:f>_xlfn.XLOOKUP($A1945,Games!$A$2:$A$18,Games!$I$2:$I$18,"Missing game",0)</x:f>
        <x:v>SEA</x:v>
      </x:c>
      <x:c r="AO1945" t="n">
        <x:f>_xlfn.XLOOKUP($A1945,Games!$A$2:$A$18,Games!$J$2:$J$18,"Missing game",0)</x:f>
        <x:v>26</x:v>
      </x:c>
      <x:c r="AP1945" t="n">
        <x:f>_xlfn.XLOOKUP($A1945,Games!$A$2:$A$18,Games!$K$2:$K$18,"Missing game",0)</x:f>
        <x:v>26</x:v>
      </x:c>
      <x:c r="AQ1945" t="n">
        <x:f>_xlfn.XLOOKUP($A1945,Games!$A$2:$A$18,Games!$L$2:$L$18,"Missing game",0)</x:f>
        <x:v>26</x:v>
      </x:c>
      <x:c r="AR1945" t="n">
        <x:f>_xlfn.XLOOKUP($A1945,Games!$A$2:$A$18,Games!$M$2:$M$18,"Missing game",0)</x:f>
        <x:v>0</x:v>
      </x:c>
      <x:c r="AS1945" t="str">
        <x:f>_xlfn.XLOOKUP($A1945,Games!$A$2:$A$18,Games!$N$2:$N$18,"Missing game",0)</x:f>
        <x:v>outdoors</x:v>
      </x:c>
      <x:c r="AT1945" t="str">
        <x:f>_xlfn.XLOOKUP($A1945,Games!$A$2:$A$18,Games!$O$2:$O$18,"Missing game",0)</x:f>
        <x:v>fieldturf</x:v>
      </x:c>
      <x:c r="AU1945" t="n">
        <x:f>_xlfn.XLOOKUP($A1945,Games!$A$2:$A$18,Games!$P$2:$P$18,"Missing game",0)</x:f>
        <x:v>45</x:v>
      </x:c>
      <x:c r="AV1945" t="n">
        <x:f>_xlfn.XLOOKUP($A1945,Games!$A$2:$A$18,Games!$Q$2:$Q$18,"Missing game",0)</x:f>
        <x:v>2</x:v>
      </x:c>
      <x:c r="AW1945" t="str">
        <x:f>_xlfn.XLOOKUP($A1945,Games!$A$2:$A$18,Games!$R$2:$R$18,"Missing game",0)</x:f>
        <x:v>Lumen Field</x:v>
      </x:c>
    </x:row>
    <x:row r="1946">
      <x:c r="A1946" t="str">
        <x:v>2025_13_MIN_SEA</x:v>
      </x:c>
      <x:c r="B1946" t="n">
        <x:v>2208</x:v>
      </x:c>
      <x:c r="C1946" t="n">
        <x:v>3</x:v>
      </x:c>
      <x:c r="D1946" t="str">
        <x:v>11:19</x:v>
      </x:c>
      <x:c r="E1946" t="n">
        <x:v>4</x:v>
      </x:c>
      <x:c r="F1946" t="n">
        <x:v>1</x:v>
      </x:c>
      <x:c r="G1946" t="str">
        <x:v>SEA</x:v>
      </x:c>
      <x:c r="H1946" t="str">
        <x:v>MIN</x:v>
      </x:c>
      <x:c r="I1946" t="str">
        <x:v>MIN</x:v>
      </x:c>
      <x:c r="J1946" t="n">
        <x:v>36</x:v>
      </x:c>
      <x:c r="K1946" t="str">
        <x:v>(11:19) 5-J.Myers 54 yard field goal is GOOD, Center-41-C.Stoll, Holder-4-M.Dickson.</x:v>
      </x:c>
      <x:c r="L1946" t="str">
        <x:v>field_goal</x:v>
      </x:c>
      <x:c r="M1946" t="n">
        <x:v>0</x:v>
      </x:c>
      <x:c r="N1946" t="n">
        <x:v>0</x:v>
      </x:c>
      <x:c r="O1946" t="n">
        <x:v>0</x:v>
      </x:c>
      <x:c r="P1946"/>
      <x:c r="Q1946"/>
      <x:c r="R1946"/>
      <x:c r="S1946"/>
      <x:c r="T1946"/>
      <x:c r="U1946"/>
      <x:c r="V1946" t="n">
        <x:v>0</x:v>
      </x:c>
      <x:c r="W1946" t="n">
        <x:v>0</x:v>
      </x:c>
      <x:c r="X1946" t="n">
        <x:v>0</x:v>
      </x:c>
      <x:c r="Y1946" t="n">
        <x:v>0</x:v>
      </x:c>
      <x:c r="Z1946" t="n">
        <x:v>0</x:v>
      </x:c>
      <x:c r="AA1946" t="n">
        <x:v>0</x:v>
      </x:c>
      <x:c r="AB1946"/>
      <x:c r="AC1946" t="n">
        <x:v>0</x:v>
      </x:c>
      <x:c r="AD1946" t="n">
        <x:v>2.487216508468008</x:v>
      </x:c>
      <x:c r="AE1946" t="n">
        <x:v>1</x:v>
      </x:c>
      <x:c r="AF1946" t="n">
        <x:v>0.001826256513595581</x:v>
      </x:c>
      <x:c r="AG1946" t="n">
        <x:f>_xlfn.XLOOKUP($A1946,Games!$A$2:$A$18,Games!$B$2:$B$18,"Missing game",0)</x:f>
        <x:v>2025</x:v>
      </x:c>
      <x:c r="AH1946" t="str">
        <x:f>_xlfn.XLOOKUP($A1946,Games!$A$2:$A$18,Games!$C$2:$C$18,"Missing game",0)</x:f>
        <x:v>REG</x:v>
      </x:c>
      <x:c r="AI1946" t="n">
        <x:f>_xlfn.XLOOKUP($A1946,Games!$A$2:$A$18,Games!$D$2:$D$18,"Missing game",0)</x:f>
        <x:v>13</x:v>
      </x:c>
      <x:c r="AJ1946" s="1" t="n">
        <x:f>_xlfn.XLOOKUP($A1946,Games!$A$2:$A$18,Games!$E$2:$E$18,"Missing game",0)</x:f>
        <x:v>45991</x:v>
      </x:c>
      <x:c r="AK1946" t="str">
        <x:f>_xlfn.XLOOKUP($A1946,Games!$A$2:$A$18,Games!$F$2:$F$18,"Missing game",0)</x:f>
        <x:v>Sunday</x:v>
      </x:c>
      <x:c r="AL1946" t="str">
        <x:f>_xlfn.XLOOKUP($A1946,Games!$A$2:$A$18,Games!$G$2:$G$18,"Missing game",0)</x:f>
        <x:v>MIN</x:v>
      </x:c>
      <x:c r="AM1946" t="n">
        <x:f>_xlfn.XLOOKUP($A1946,Games!$A$2:$A$18,Games!$H$2:$H$18,"Missing game",0)</x:f>
        <x:v>0</x:v>
      </x:c>
      <x:c r="AN1946" t="str">
        <x:f>_xlfn.XLOOKUP($A1946,Games!$A$2:$A$18,Games!$I$2:$I$18,"Missing game",0)</x:f>
        <x:v>SEA</x:v>
      </x:c>
      <x:c r="AO1946" t="n">
        <x:f>_xlfn.XLOOKUP($A1946,Games!$A$2:$A$18,Games!$J$2:$J$18,"Missing game",0)</x:f>
        <x:v>26</x:v>
      </x:c>
      <x:c r="AP1946" t="n">
        <x:f>_xlfn.XLOOKUP($A1946,Games!$A$2:$A$18,Games!$K$2:$K$18,"Missing game",0)</x:f>
        <x:v>26</x:v>
      </x:c>
      <x:c r="AQ1946" t="n">
        <x:f>_xlfn.XLOOKUP($A1946,Games!$A$2:$A$18,Games!$L$2:$L$18,"Missing game",0)</x:f>
        <x:v>26</x:v>
      </x:c>
      <x:c r="AR1946" t="n">
        <x:f>_xlfn.XLOOKUP($A1946,Games!$A$2:$A$18,Games!$M$2:$M$18,"Missing game",0)</x:f>
        <x:v>0</x:v>
      </x:c>
      <x:c r="AS1946" t="str">
        <x:f>_xlfn.XLOOKUP($A1946,Games!$A$2:$A$18,Games!$N$2:$N$18,"Missing game",0)</x:f>
        <x:v>outdoors</x:v>
      </x:c>
      <x:c r="AT1946" t="str">
        <x:f>_xlfn.XLOOKUP($A1946,Games!$A$2:$A$18,Games!$O$2:$O$18,"Missing game",0)</x:f>
        <x:v>fieldturf</x:v>
      </x:c>
      <x:c r="AU1946" t="n">
        <x:f>_xlfn.XLOOKUP($A1946,Games!$A$2:$A$18,Games!$P$2:$P$18,"Missing game",0)</x:f>
        <x:v>45</x:v>
      </x:c>
      <x:c r="AV1946" t="n">
        <x:f>_xlfn.XLOOKUP($A1946,Games!$A$2:$A$18,Games!$Q$2:$Q$18,"Missing game",0)</x:f>
        <x:v>2</x:v>
      </x:c>
      <x:c r="AW1946" t="str">
        <x:f>_xlfn.XLOOKUP($A1946,Games!$A$2:$A$18,Games!$R$2:$R$18,"Missing game",0)</x:f>
        <x:v>Lumen Field</x:v>
      </x:c>
    </x:row>
    <x:row r="1947">
      <x:c r="A1947" t="str">
        <x:v>2025_13_MIN_SEA</x:v>
      </x:c>
      <x:c r="B1947" t="n">
        <x:v>2228</x:v>
      </x:c>
      <x:c r="C1947" t="n">
        <x:v>3</x:v>
      </x:c>
      <x:c r="D1947" t="str">
        <x:v>11:14</x:v>
      </x:c>
      <x:c r="E1947"/>
      <x:c r="F1947" t="n">
        <x:v>0</x:v>
      </x:c>
      <x:c r="G1947" t="str">
        <x:v>MIN</x:v>
      </x:c>
      <x:c r="H1947" t="str">
        <x:v>SEA</x:v>
      </x:c>
      <x:c r="I1947" t="str">
        <x:v>SEA</x:v>
      </x:c>
      <x:c r="J1947" t="n">
        <x:v>35</x:v>
      </x:c>
      <x:c r="K1947" t="str">
        <x:v>5-J.Myers kicks 61 yards from SEA 35 to MIN 4. 4-M.Price to MIN 32 for 28 yards (48-T.Knight).</x:v>
      </x:c>
      <x:c r="L1947" t="str">
        <x:v>kickoff</x:v>
      </x:c>
      <x:c r="M1947" t="n">
        <x:v>0</x:v>
      </x:c>
      <x:c r="N1947" t="n">
        <x:v>0</x:v>
      </x:c>
      <x:c r="O1947" t="n">
        <x:v>0</x:v>
      </x:c>
      <x:c r="P1947"/>
      <x:c r="Q1947"/>
      <x:c r="R1947"/>
      <x:c r="S1947"/>
      <x:c r="T1947"/>
      <x:c r="U1947"/>
      <x:c r="V1947" t="n">
        <x:v>0</x:v>
      </x:c>
      <x:c r="W1947" t="n">
        <x:v>0</x:v>
      </x:c>
      <x:c r="X1947" t="n">
        <x:v>0</x:v>
      </x:c>
      <x:c r="Y1947" t="n">
        <x:v>0</x:v>
      </x:c>
      <x:c r="Z1947" t="n">
        <x:v>0</x:v>
      </x:c>
      <x:c r="AA1947" t="n">
        <x:v>0</x:v>
      </x:c>
      <x:c r="AB1947"/>
      <x:c r="AC1947" t="n">
        <x:v>0</x:v>
      </x:c>
      <x:c r="AD1947" t="n">
        <x:v>0.4896299550309777</x:v>
      </x:c>
      <x:c r="AE1947" t="n">
        <x:v>1</x:v>
      </x:c>
      <x:c r="AF1947" t="n">
        <x:v>0.011101581156253815</x:v>
      </x:c>
      <x:c r="AG1947" t="n">
        <x:f>_xlfn.XLOOKUP($A1947,Games!$A$2:$A$18,Games!$B$2:$B$18,"Missing game",0)</x:f>
        <x:v>2025</x:v>
      </x:c>
      <x:c r="AH1947" t="str">
        <x:f>_xlfn.XLOOKUP($A1947,Games!$A$2:$A$18,Games!$C$2:$C$18,"Missing game",0)</x:f>
        <x:v>REG</x:v>
      </x:c>
      <x:c r="AI1947" t="n">
        <x:f>_xlfn.XLOOKUP($A1947,Games!$A$2:$A$18,Games!$D$2:$D$18,"Missing game",0)</x:f>
        <x:v>13</x:v>
      </x:c>
      <x:c r="AJ1947" s="1" t="n">
        <x:f>_xlfn.XLOOKUP($A1947,Games!$A$2:$A$18,Games!$E$2:$E$18,"Missing game",0)</x:f>
        <x:v>45991</x:v>
      </x:c>
      <x:c r="AK1947" t="str">
        <x:f>_xlfn.XLOOKUP($A1947,Games!$A$2:$A$18,Games!$F$2:$F$18,"Missing game",0)</x:f>
        <x:v>Sunday</x:v>
      </x:c>
      <x:c r="AL1947" t="str">
        <x:f>_xlfn.XLOOKUP($A1947,Games!$A$2:$A$18,Games!$G$2:$G$18,"Missing game",0)</x:f>
        <x:v>MIN</x:v>
      </x:c>
      <x:c r="AM1947" t="n">
        <x:f>_xlfn.XLOOKUP($A1947,Games!$A$2:$A$18,Games!$H$2:$H$18,"Missing game",0)</x:f>
        <x:v>0</x:v>
      </x:c>
      <x:c r="AN1947" t="str">
        <x:f>_xlfn.XLOOKUP($A1947,Games!$A$2:$A$18,Games!$I$2:$I$18,"Missing game",0)</x:f>
        <x:v>SEA</x:v>
      </x:c>
      <x:c r="AO1947" t="n">
        <x:f>_xlfn.XLOOKUP($A1947,Games!$A$2:$A$18,Games!$J$2:$J$18,"Missing game",0)</x:f>
        <x:v>26</x:v>
      </x:c>
      <x:c r="AP1947" t="n">
        <x:f>_xlfn.XLOOKUP($A1947,Games!$A$2:$A$18,Games!$K$2:$K$18,"Missing game",0)</x:f>
        <x:v>26</x:v>
      </x:c>
      <x:c r="AQ1947" t="n">
        <x:f>_xlfn.XLOOKUP($A1947,Games!$A$2:$A$18,Games!$L$2:$L$18,"Missing game",0)</x:f>
        <x:v>26</x:v>
      </x:c>
      <x:c r="AR1947" t="n">
        <x:f>_xlfn.XLOOKUP($A1947,Games!$A$2:$A$18,Games!$M$2:$M$18,"Missing game",0)</x:f>
        <x:v>0</x:v>
      </x:c>
      <x:c r="AS1947" t="str">
        <x:f>_xlfn.XLOOKUP($A1947,Games!$A$2:$A$18,Games!$N$2:$N$18,"Missing game",0)</x:f>
        <x:v>outdoors</x:v>
      </x:c>
      <x:c r="AT1947" t="str">
        <x:f>_xlfn.XLOOKUP($A1947,Games!$A$2:$A$18,Games!$O$2:$O$18,"Missing game",0)</x:f>
        <x:v>fieldturf</x:v>
      </x:c>
      <x:c r="AU1947" t="n">
        <x:f>_xlfn.XLOOKUP($A1947,Games!$A$2:$A$18,Games!$P$2:$P$18,"Missing game",0)</x:f>
        <x:v>45</x:v>
      </x:c>
      <x:c r="AV1947" t="n">
        <x:f>_xlfn.XLOOKUP($A1947,Games!$A$2:$A$18,Games!$Q$2:$Q$18,"Missing game",0)</x:f>
        <x:v>2</x:v>
      </x:c>
      <x:c r="AW1947" t="str">
        <x:f>_xlfn.XLOOKUP($A1947,Games!$A$2:$A$18,Games!$R$2:$R$18,"Missing game",0)</x:f>
        <x:v>Lumen Field</x:v>
      </x:c>
    </x:row>
    <x:row r="1948">
      <x:c r="A1948" t="str">
        <x:v>2025_13_MIN_SEA</x:v>
      </x:c>
      <x:c r="B1948" t="n">
        <x:v>2258</x:v>
      </x:c>
      <x:c r="C1948" t="n">
        <x:v>3</x:v>
      </x:c>
      <x:c r="D1948" t="str">
        <x:v>11:08</x:v>
      </x:c>
      <x:c r="E1948" t="n">
        <x:v>1</x:v>
      </x:c>
      <x:c r="F1948" t="n">
        <x:v>10</x:v>
      </x:c>
      <x:c r="G1948" t="str">
        <x:v>MIN</x:v>
      </x:c>
      <x:c r="H1948" t="str">
        <x:v>SEA</x:v>
      </x:c>
      <x:c r="I1948" t="str">
        <x:v>MIN</x:v>
      </x:c>
      <x:c r="J1948" t="n">
        <x:v>68</x:v>
      </x:c>
      <x:c r="K1948" t="str">
        <x:v>(11:08) 33-A.Jones right end to MIN 32 for no gain (13-E.Jones).</x:v>
      </x:c>
      <x:c r="L1948" t="str">
        <x:v>run</x:v>
      </x:c>
      <x:c r="M1948" t="n">
        <x:v>0</x:v>
      </x:c>
      <x:c r="N1948" t="n">
        <x:v>0</x:v>
      </x:c>
      <x:c r="O1948" t="n">
        <x:v>0</x:v>
      </x:c>
      <x:c r="P1948"/>
      <x:c r="Q1948"/>
      <x:c r="R1948"/>
      <x:c r="S1948"/>
      <x:c r="T1948" t="str">
        <x:v>right</x:v>
      </x:c>
      <x:c r="U1948" t="str">
        <x:v>end</x:v>
      </x:c>
      <x:c r="V1948" t="n">
        <x:v>0</x:v>
      </x:c>
      <x:c r="W1948" t="n">
        <x:v>0</x:v>
      </x:c>
      <x:c r="X1948" t="n">
        <x:v>0</x:v>
      </x:c>
      <x:c r="Y1948" t="n">
        <x:v>0</x:v>
      </x:c>
      <x:c r="Z1948" t="n">
        <x:v>0</x:v>
      </x:c>
      <x:c r="AA1948" t="n">
        <x:v>0</x:v>
      </x:c>
      <x:c r="AB1948"/>
      <x:c r="AC1948" t="n">
        <x:v>0</x:v>
      </x:c>
      <x:c r="AD1948" t="n">
        <x:v>-0.5540017019957304</x:v>
      </x:c>
      <x:c r="AE1948" t="n">
        <x:v>0</x:v>
      </x:c>
      <x:c r="AF1948" t="n">
        <x:v>-0.009743042290210724</x:v>
      </x:c>
      <x:c r="AG1948" t="n">
        <x:f>_xlfn.XLOOKUP($A1948,Games!$A$2:$A$18,Games!$B$2:$B$18,"Missing game",0)</x:f>
        <x:v>2025</x:v>
      </x:c>
      <x:c r="AH1948" t="str">
        <x:f>_xlfn.XLOOKUP($A1948,Games!$A$2:$A$18,Games!$C$2:$C$18,"Missing game",0)</x:f>
        <x:v>REG</x:v>
      </x:c>
      <x:c r="AI1948" t="n">
        <x:f>_xlfn.XLOOKUP($A1948,Games!$A$2:$A$18,Games!$D$2:$D$18,"Missing game",0)</x:f>
        <x:v>13</x:v>
      </x:c>
      <x:c r="AJ1948" s="1" t="n">
        <x:f>_xlfn.XLOOKUP($A1948,Games!$A$2:$A$18,Games!$E$2:$E$18,"Missing game",0)</x:f>
        <x:v>45991</x:v>
      </x:c>
      <x:c r="AK1948" t="str">
        <x:f>_xlfn.XLOOKUP($A1948,Games!$A$2:$A$18,Games!$F$2:$F$18,"Missing game",0)</x:f>
        <x:v>Sunday</x:v>
      </x:c>
      <x:c r="AL1948" t="str">
        <x:f>_xlfn.XLOOKUP($A1948,Games!$A$2:$A$18,Games!$G$2:$G$18,"Missing game",0)</x:f>
        <x:v>MIN</x:v>
      </x:c>
      <x:c r="AM1948" t="n">
        <x:f>_xlfn.XLOOKUP($A1948,Games!$A$2:$A$18,Games!$H$2:$H$18,"Missing game",0)</x:f>
        <x:v>0</x:v>
      </x:c>
      <x:c r="AN1948" t="str">
        <x:f>_xlfn.XLOOKUP($A1948,Games!$A$2:$A$18,Games!$I$2:$I$18,"Missing game",0)</x:f>
        <x:v>SEA</x:v>
      </x:c>
      <x:c r="AO1948" t="n">
        <x:f>_xlfn.XLOOKUP($A1948,Games!$A$2:$A$18,Games!$J$2:$J$18,"Missing game",0)</x:f>
        <x:v>26</x:v>
      </x:c>
      <x:c r="AP1948" t="n">
        <x:f>_xlfn.XLOOKUP($A1948,Games!$A$2:$A$18,Games!$K$2:$K$18,"Missing game",0)</x:f>
        <x:v>26</x:v>
      </x:c>
      <x:c r="AQ1948" t="n">
        <x:f>_xlfn.XLOOKUP($A1948,Games!$A$2:$A$18,Games!$L$2:$L$18,"Missing game",0)</x:f>
        <x:v>26</x:v>
      </x:c>
      <x:c r="AR1948" t="n">
        <x:f>_xlfn.XLOOKUP($A1948,Games!$A$2:$A$18,Games!$M$2:$M$18,"Missing game",0)</x:f>
        <x:v>0</x:v>
      </x:c>
      <x:c r="AS1948" t="str">
        <x:f>_xlfn.XLOOKUP($A1948,Games!$A$2:$A$18,Games!$N$2:$N$18,"Missing game",0)</x:f>
        <x:v>outdoors</x:v>
      </x:c>
      <x:c r="AT1948" t="str">
        <x:f>_xlfn.XLOOKUP($A1948,Games!$A$2:$A$18,Games!$O$2:$O$18,"Missing game",0)</x:f>
        <x:v>fieldturf</x:v>
      </x:c>
      <x:c r="AU1948" t="n">
        <x:f>_xlfn.XLOOKUP($A1948,Games!$A$2:$A$18,Games!$P$2:$P$18,"Missing game",0)</x:f>
        <x:v>45</x:v>
      </x:c>
      <x:c r="AV1948" t="n">
        <x:f>_xlfn.XLOOKUP($A1948,Games!$A$2:$A$18,Games!$Q$2:$Q$18,"Missing game",0)</x:f>
        <x:v>2</x:v>
      </x:c>
      <x:c r="AW1948" t="str">
        <x:f>_xlfn.XLOOKUP($A1948,Games!$A$2:$A$18,Games!$R$2:$R$18,"Missing game",0)</x:f>
        <x:v>Lumen Field</x:v>
      </x:c>
    </x:row>
    <x:row r="1949">
      <x:c r="A1949" t="str">
        <x:v>2025_13_MIN_SEA</x:v>
      </x:c>
      <x:c r="B1949" t="n">
        <x:v>2280</x:v>
      </x:c>
      <x:c r="C1949" t="n">
        <x:v>3</x:v>
      </x:c>
      <x:c r="D1949" t="str">
        <x:v>10:23</x:v>
      </x:c>
      <x:c r="E1949" t="n">
        <x:v>2</x:v>
      </x:c>
      <x:c r="F1949" t="n">
        <x:v>10</x:v>
      </x:c>
      <x:c r="G1949" t="str">
        <x:v>MIN</x:v>
      </x:c>
      <x:c r="H1949" t="str">
        <x:v>SEA</x:v>
      </x:c>
      <x:c r="I1949" t="str">
        <x:v>MIN</x:v>
      </x:c>
      <x:c r="J1949" t="n">
        <x:v>68</x:v>
      </x:c>
      <x:c r="K1949" t="str">
        <x:v>(10:23) (Shotgun) 12-M.Brosmer pass deep right to 87-T.Hockenson to SEA 39 for 29 yards (3-N.Emmanwori).</x:v>
      </x:c>
      <x:c r="L1949" t="str">
        <x:v>pass</x:v>
      </x:c>
      <x:c r="M1949" t="n">
        <x:v>29</x:v>
      </x:c>
      <x:c r="N1949" t="n">
        <x:v>1</x:v>
      </x:c>
      <x:c r="O1949" t="n">
        <x:v>0</x:v>
      </x:c>
      <x:c r="P1949" t="str">
        <x:v>deep</x:v>
      </x:c>
      <x:c r="Q1949" t="str">
        <x:v>right</x:v>
      </x:c>
      <x:c r="R1949" t="n">
        <x:v>22</x:v>
      </x:c>
      <x:c r="S1949" t="n">
        <x:v>7</x:v>
      </x:c>
      <x:c r="T1949"/>
      <x:c r="U1949"/>
      <x:c r="V1949" t="n">
        <x:v>1</x:v>
      </x:c>
      <x:c r="W1949" t="n">
        <x:v>1</x:v>
      </x:c>
      <x:c r="X1949" t="n">
        <x:v>0</x:v>
      </x:c>
      <x:c r="Y1949" t="n">
        <x:v>0</x:v>
      </x:c>
      <x:c r="Z1949" t="n">
        <x:v>0</x:v>
      </x:c>
      <x:c r="AA1949" t="n">
        <x:v>0</x:v>
      </x:c>
      <x:c r="AB1949"/>
      <x:c r="AC1949" t="n">
        <x:v>0</x:v>
      </x:c>
      <x:c r="AD1949" t="n">
        <x:v>2.484433111269027</x:v>
      </x:c>
      <x:c r="AE1949" t="n">
        <x:v>1</x:v>
      </x:c>
      <x:c r="AF1949" t="n">
        <x:v>0.013022877275943756</x:v>
      </x:c>
      <x:c r="AG1949" t="n">
        <x:f>_xlfn.XLOOKUP($A1949,Games!$A$2:$A$18,Games!$B$2:$B$18,"Missing game",0)</x:f>
        <x:v>2025</x:v>
      </x:c>
      <x:c r="AH1949" t="str">
        <x:f>_xlfn.XLOOKUP($A1949,Games!$A$2:$A$18,Games!$C$2:$C$18,"Missing game",0)</x:f>
        <x:v>REG</x:v>
      </x:c>
      <x:c r="AI1949" t="n">
        <x:f>_xlfn.XLOOKUP($A1949,Games!$A$2:$A$18,Games!$D$2:$D$18,"Missing game",0)</x:f>
        <x:v>13</x:v>
      </x:c>
      <x:c r="AJ1949" s="1" t="n">
        <x:f>_xlfn.XLOOKUP($A1949,Games!$A$2:$A$18,Games!$E$2:$E$18,"Missing game",0)</x:f>
        <x:v>45991</x:v>
      </x:c>
      <x:c r="AK1949" t="str">
        <x:f>_xlfn.XLOOKUP($A1949,Games!$A$2:$A$18,Games!$F$2:$F$18,"Missing game",0)</x:f>
        <x:v>Sunday</x:v>
      </x:c>
      <x:c r="AL1949" t="str">
        <x:f>_xlfn.XLOOKUP($A1949,Games!$A$2:$A$18,Games!$G$2:$G$18,"Missing game",0)</x:f>
        <x:v>MIN</x:v>
      </x:c>
      <x:c r="AM1949" t="n">
        <x:f>_xlfn.XLOOKUP($A1949,Games!$A$2:$A$18,Games!$H$2:$H$18,"Missing game",0)</x:f>
        <x:v>0</x:v>
      </x:c>
      <x:c r="AN1949" t="str">
        <x:f>_xlfn.XLOOKUP($A1949,Games!$A$2:$A$18,Games!$I$2:$I$18,"Missing game",0)</x:f>
        <x:v>SEA</x:v>
      </x:c>
      <x:c r="AO1949" t="n">
        <x:f>_xlfn.XLOOKUP($A1949,Games!$A$2:$A$18,Games!$J$2:$J$18,"Missing game",0)</x:f>
        <x:v>26</x:v>
      </x:c>
      <x:c r="AP1949" t="n">
        <x:f>_xlfn.XLOOKUP($A1949,Games!$A$2:$A$18,Games!$K$2:$K$18,"Missing game",0)</x:f>
        <x:v>26</x:v>
      </x:c>
      <x:c r="AQ1949" t="n">
        <x:f>_xlfn.XLOOKUP($A1949,Games!$A$2:$A$18,Games!$L$2:$L$18,"Missing game",0)</x:f>
        <x:v>26</x:v>
      </x:c>
      <x:c r="AR1949" t="n">
        <x:f>_xlfn.XLOOKUP($A1949,Games!$A$2:$A$18,Games!$M$2:$M$18,"Missing game",0)</x:f>
        <x:v>0</x:v>
      </x:c>
      <x:c r="AS1949" t="str">
        <x:f>_xlfn.XLOOKUP($A1949,Games!$A$2:$A$18,Games!$N$2:$N$18,"Missing game",0)</x:f>
        <x:v>outdoors</x:v>
      </x:c>
      <x:c r="AT1949" t="str">
        <x:f>_xlfn.XLOOKUP($A1949,Games!$A$2:$A$18,Games!$O$2:$O$18,"Missing game",0)</x:f>
        <x:v>fieldturf</x:v>
      </x:c>
      <x:c r="AU1949" t="n">
        <x:f>_xlfn.XLOOKUP($A1949,Games!$A$2:$A$18,Games!$P$2:$P$18,"Missing game",0)</x:f>
        <x:v>45</x:v>
      </x:c>
      <x:c r="AV1949" t="n">
        <x:f>_xlfn.XLOOKUP($A1949,Games!$A$2:$A$18,Games!$Q$2:$Q$18,"Missing game",0)</x:f>
        <x:v>2</x:v>
      </x:c>
      <x:c r="AW1949" t="str">
        <x:f>_xlfn.XLOOKUP($A1949,Games!$A$2:$A$18,Games!$R$2:$R$18,"Missing game",0)</x:f>
        <x:v>Lumen Field</x:v>
      </x:c>
    </x:row>
    <x:row r="1950">
      <x:c r="A1950" t="str">
        <x:v>2025_13_MIN_SEA</x:v>
      </x:c>
      <x:c r="B1950" t="n">
        <x:v>2305</x:v>
      </x:c>
      <x:c r="C1950" t="n">
        <x:v>3</x:v>
      </x:c>
      <x:c r="D1950" t="str">
        <x:v>09:38</x:v>
      </x:c>
      <x:c r="E1950" t="n">
        <x:v>1</x:v>
      </x:c>
      <x:c r="F1950" t="n">
        <x:v>10</x:v>
      </x:c>
      <x:c r="G1950" t="str">
        <x:v>MIN</x:v>
      </x:c>
      <x:c r="H1950" t="str">
        <x:v>SEA</x:v>
      </x:c>
      <x:c r="I1950" t="str">
        <x:v>SEA</x:v>
      </x:c>
      <x:c r="J1950" t="n">
        <x:v>39</x:v>
      </x:c>
      <x:c r="K1950" t="str">
        <x:v>(9:38) 33-A.Jones up the middle to SEA 43 for -4 yards (42-D.Thomas).</x:v>
      </x:c>
      <x:c r="L1950" t="str">
        <x:v>run</x:v>
      </x:c>
      <x:c r="M1950" t="n">
        <x:v>-4</x:v>
      </x:c>
      <x:c r="N1950" t="n">
        <x:v>0</x:v>
      </x:c>
      <x:c r="O1950" t="n">
        <x:v>0</x:v>
      </x:c>
      <x:c r="P1950"/>
      <x:c r="Q1950"/>
      <x:c r="R1950"/>
      <x:c r="S1950"/>
      <x:c r="T1950" t="str">
        <x:v>middle</x:v>
      </x:c>
      <x:c r="U1950"/>
      <x:c r="V1950" t="n">
        <x:v>0</x:v>
      </x:c>
      <x:c r="W1950" t="n">
        <x:v>0</x:v>
      </x:c>
      <x:c r="X1950" t="n">
        <x:v>0</x:v>
      </x:c>
      <x:c r="Y1950" t="n">
        <x:v>0</x:v>
      </x:c>
      <x:c r="Z1950" t="n">
        <x:v>0</x:v>
      </x:c>
      <x:c r="AA1950" t="n">
        <x:v>0</x:v>
      </x:c>
      <x:c r="AB1950"/>
      <x:c r="AC1950" t="n">
        <x:v>0</x:v>
      </x:c>
      <x:c r="AD1950" t="n">
        <x:v>-1.3379504727199674</x:v>
      </x:c>
      <x:c r="AE1950" t="n">
        <x:v>0</x:v>
      </x:c>
      <x:c r="AF1950" t="n">
        <x:v>-0.012104958295822144</x:v>
      </x:c>
      <x:c r="AG1950" t="n">
        <x:f>_xlfn.XLOOKUP($A1950,Games!$A$2:$A$18,Games!$B$2:$B$18,"Missing game",0)</x:f>
        <x:v>2025</x:v>
      </x:c>
      <x:c r="AH1950" t="str">
        <x:f>_xlfn.XLOOKUP($A1950,Games!$A$2:$A$18,Games!$C$2:$C$18,"Missing game",0)</x:f>
        <x:v>REG</x:v>
      </x:c>
      <x:c r="AI1950" t="n">
        <x:f>_xlfn.XLOOKUP($A1950,Games!$A$2:$A$18,Games!$D$2:$D$18,"Missing game",0)</x:f>
        <x:v>13</x:v>
      </x:c>
      <x:c r="AJ1950" s="1" t="n">
        <x:f>_xlfn.XLOOKUP($A1950,Games!$A$2:$A$18,Games!$E$2:$E$18,"Missing game",0)</x:f>
        <x:v>45991</x:v>
      </x:c>
      <x:c r="AK1950" t="str">
        <x:f>_xlfn.XLOOKUP($A1950,Games!$A$2:$A$18,Games!$F$2:$F$18,"Missing game",0)</x:f>
        <x:v>Sunday</x:v>
      </x:c>
      <x:c r="AL1950" t="str">
        <x:f>_xlfn.XLOOKUP($A1950,Games!$A$2:$A$18,Games!$G$2:$G$18,"Missing game",0)</x:f>
        <x:v>MIN</x:v>
      </x:c>
      <x:c r="AM1950" t="n">
        <x:f>_xlfn.XLOOKUP($A1950,Games!$A$2:$A$18,Games!$H$2:$H$18,"Missing game",0)</x:f>
        <x:v>0</x:v>
      </x:c>
      <x:c r="AN1950" t="str">
        <x:f>_xlfn.XLOOKUP($A1950,Games!$A$2:$A$18,Games!$I$2:$I$18,"Missing game",0)</x:f>
        <x:v>SEA</x:v>
      </x:c>
      <x:c r="AO1950" t="n">
        <x:f>_xlfn.XLOOKUP($A1950,Games!$A$2:$A$18,Games!$J$2:$J$18,"Missing game",0)</x:f>
        <x:v>26</x:v>
      </x:c>
      <x:c r="AP1950" t="n">
        <x:f>_xlfn.XLOOKUP($A1950,Games!$A$2:$A$18,Games!$K$2:$K$18,"Missing game",0)</x:f>
        <x:v>26</x:v>
      </x:c>
      <x:c r="AQ1950" t="n">
        <x:f>_xlfn.XLOOKUP($A1950,Games!$A$2:$A$18,Games!$L$2:$L$18,"Missing game",0)</x:f>
        <x:v>26</x:v>
      </x:c>
      <x:c r="AR1950" t="n">
        <x:f>_xlfn.XLOOKUP($A1950,Games!$A$2:$A$18,Games!$M$2:$M$18,"Missing game",0)</x:f>
        <x:v>0</x:v>
      </x:c>
      <x:c r="AS1950" t="str">
        <x:f>_xlfn.XLOOKUP($A1950,Games!$A$2:$A$18,Games!$N$2:$N$18,"Missing game",0)</x:f>
        <x:v>outdoors</x:v>
      </x:c>
      <x:c r="AT1950" t="str">
        <x:f>_xlfn.XLOOKUP($A1950,Games!$A$2:$A$18,Games!$O$2:$O$18,"Missing game",0)</x:f>
        <x:v>fieldturf</x:v>
      </x:c>
      <x:c r="AU1950" t="n">
        <x:f>_xlfn.XLOOKUP($A1950,Games!$A$2:$A$18,Games!$P$2:$P$18,"Missing game",0)</x:f>
        <x:v>45</x:v>
      </x:c>
      <x:c r="AV1950" t="n">
        <x:f>_xlfn.XLOOKUP($A1950,Games!$A$2:$A$18,Games!$Q$2:$Q$18,"Missing game",0)</x:f>
        <x:v>2</x:v>
      </x:c>
      <x:c r="AW1950" t="str">
        <x:f>_xlfn.XLOOKUP($A1950,Games!$A$2:$A$18,Games!$R$2:$R$18,"Missing game",0)</x:f>
        <x:v>Lumen Field</x:v>
      </x:c>
    </x:row>
    <x:row r="1951">
      <x:c r="A1951" t="str">
        <x:v>2025_13_MIN_SEA</x:v>
      </x:c>
      <x:c r="B1951" t="n">
        <x:v>2327</x:v>
      </x:c>
      <x:c r="C1951" t="n">
        <x:v>3</x:v>
      </x:c>
      <x:c r="D1951" t="str">
        <x:v>08:56</x:v>
      </x:c>
      <x:c r="E1951" t="n">
        <x:v>2</x:v>
      </x:c>
      <x:c r="F1951" t="n">
        <x:v>14</x:v>
      </x:c>
      <x:c r="G1951" t="str">
        <x:v>MIN</x:v>
      </x:c>
      <x:c r="H1951" t="str">
        <x:v>SEA</x:v>
      </x:c>
      <x:c r="I1951" t="str">
        <x:v>SEA</x:v>
      </x:c>
      <x:c r="J1951" t="n">
        <x:v>43</x:v>
      </x:c>
      <x:c r="K1951" t="str">
        <x:v>(8:56) (Shotgun) 12-M.Brosmer pass incomplete short right to 18-J.Jefferson.</x:v>
      </x:c>
      <x:c r="L1951" t="str">
        <x:v>pass</x:v>
      </x:c>
      <x:c r="M1951" t="n">
        <x:v>0</x:v>
      </x:c>
      <x:c r="N1951" t="n">
        <x:v>1</x:v>
      </x:c>
      <x:c r="O1951" t="n">
        <x:v>0</x:v>
      </x:c>
      <x:c r="P1951" t="str">
        <x:v>short</x:v>
      </x:c>
      <x:c r="Q1951" t="str">
        <x:v>right</x:v>
      </x:c>
      <x:c r="R1951" t="n">
        <x:v>12</x:v>
      </x:c>
      <x:c r="S1951"/>
      <x:c r="T1951"/>
      <x:c r="U1951"/>
      <x:c r="V1951" t="n">
        <x:v>0</x:v>
      </x:c>
      <x:c r="W1951" t="n">
        <x:v>0</x:v>
      </x:c>
      <x:c r="X1951" t="n">
        <x:v>0</x:v>
      </x:c>
      <x:c r="Y1951" t="n">
        <x:v>0</x:v>
      </x:c>
      <x:c r="Z1951" t="n">
        <x:v>0</x:v>
      </x:c>
      <x:c r="AA1951" t="n">
        <x:v>0</x:v>
      </x:c>
      <x:c r="AB1951"/>
      <x:c r="AC1951" t="n">
        <x:v>0</x:v>
      </x:c>
      <x:c r="AD1951" t="n">
        <x:v>-0.9801070941612124</x:v>
      </x:c>
      <x:c r="AE1951" t="n">
        <x:v>0</x:v>
      </x:c>
      <x:c r="AF1951" t="n">
        <x:v>-0.007161937654018402</x:v>
      </x:c>
      <x:c r="AG1951" t="n">
        <x:f>_xlfn.XLOOKUP($A1951,Games!$A$2:$A$18,Games!$B$2:$B$18,"Missing game",0)</x:f>
        <x:v>2025</x:v>
      </x:c>
      <x:c r="AH1951" t="str">
        <x:f>_xlfn.XLOOKUP($A1951,Games!$A$2:$A$18,Games!$C$2:$C$18,"Missing game",0)</x:f>
        <x:v>REG</x:v>
      </x:c>
      <x:c r="AI1951" t="n">
        <x:f>_xlfn.XLOOKUP($A1951,Games!$A$2:$A$18,Games!$D$2:$D$18,"Missing game",0)</x:f>
        <x:v>13</x:v>
      </x:c>
      <x:c r="AJ1951" s="1" t="n">
        <x:f>_xlfn.XLOOKUP($A1951,Games!$A$2:$A$18,Games!$E$2:$E$18,"Missing game",0)</x:f>
        <x:v>45991</x:v>
      </x:c>
      <x:c r="AK1951" t="str">
        <x:f>_xlfn.XLOOKUP($A1951,Games!$A$2:$A$18,Games!$F$2:$F$18,"Missing game",0)</x:f>
        <x:v>Sunday</x:v>
      </x:c>
      <x:c r="AL1951" t="str">
        <x:f>_xlfn.XLOOKUP($A1951,Games!$A$2:$A$18,Games!$G$2:$G$18,"Missing game",0)</x:f>
        <x:v>MIN</x:v>
      </x:c>
      <x:c r="AM1951" t="n">
        <x:f>_xlfn.XLOOKUP($A1951,Games!$A$2:$A$18,Games!$H$2:$H$18,"Missing game",0)</x:f>
        <x:v>0</x:v>
      </x:c>
      <x:c r="AN1951" t="str">
        <x:f>_xlfn.XLOOKUP($A1951,Games!$A$2:$A$18,Games!$I$2:$I$18,"Missing game",0)</x:f>
        <x:v>SEA</x:v>
      </x:c>
      <x:c r="AO1951" t="n">
        <x:f>_xlfn.XLOOKUP($A1951,Games!$A$2:$A$18,Games!$J$2:$J$18,"Missing game",0)</x:f>
        <x:v>26</x:v>
      </x:c>
      <x:c r="AP1951" t="n">
        <x:f>_xlfn.XLOOKUP($A1951,Games!$A$2:$A$18,Games!$K$2:$K$18,"Missing game",0)</x:f>
        <x:v>26</x:v>
      </x:c>
      <x:c r="AQ1951" t="n">
        <x:f>_xlfn.XLOOKUP($A1951,Games!$A$2:$A$18,Games!$L$2:$L$18,"Missing game",0)</x:f>
        <x:v>26</x:v>
      </x:c>
      <x:c r="AR1951" t="n">
        <x:f>_xlfn.XLOOKUP($A1951,Games!$A$2:$A$18,Games!$M$2:$M$18,"Missing game",0)</x:f>
        <x:v>0</x:v>
      </x:c>
      <x:c r="AS1951" t="str">
        <x:f>_xlfn.XLOOKUP($A1951,Games!$A$2:$A$18,Games!$N$2:$N$18,"Missing game",0)</x:f>
        <x:v>outdoors</x:v>
      </x:c>
      <x:c r="AT1951" t="str">
        <x:f>_xlfn.XLOOKUP($A1951,Games!$A$2:$A$18,Games!$O$2:$O$18,"Missing game",0)</x:f>
        <x:v>fieldturf</x:v>
      </x:c>
      <x:c r="AU1951" t="n">
        <x:f>_xlfn.XLOOKUP($A1951,Games!$A$2:$A$18,Games!$P$2:$P$18,"Missing game",0)</x:f>
        <x:v>45</x:v>
      </x:c>
      <x:c r="AV1951" t="n">
        <x:f>_xlfn.XLOOKUP($A1951,Games!$A$2:$A$18,Games!$Q$2:$Q$18,"Missing game",0)</x:f>
        <x:v>2</x:v>
      </x:c>
      <x:c r="AW1951" t="str">
        <x:f>_xlfn.XLOOKUP($A1951,Games!$A$2:$A$18,Games!$R$2:$R$18,"Missing game",0)</x:f>
        <x:v>Lumen Field</x:v>
      </x:c>
    </x:row>
    <x:row r="1952">
      <x:c r="A1952" t="str">
        <x:v>2025_13_MIN_SEA</x:v>
      </x:c>
      <x:c r="B1952" t="n">
        <x:v>2350</x:v>
      </x:c>
      <x:c r="C1952" t="n">
        <x:v>3</x:v>
      </x:c>
      <x:c r="D1952" t="str">
        <x:v>08:52</x:v>
      </x:c>
      <x:c r="E1952" t="n">
        <x:v>3</x:v>
      </x:c>
      <x:c r="F1952" t="n">
        <x:v>14</x:v>
      </x:c>
      <x:c r="G1952" t="str">
        <x:v>MIN</x:v>
      </x:c>
      <x:c r="H1952" t="str">
        <x:v>SEA</x:v>
      </x:c>
      <x:c r="I1952" t="str">
        <x:v>SEA</x:v>
      </x:c>
      <x:c r="J1952" t="n">
        <x:v>43</x:v>
      </x:c>
      <x:c r="K1952" t="str">
        <x:v>(8:52) (Shotgun) 12-M.Brosmer pass short right to 33-A.Jones to SEA 40 for 3 yards (0-D.Lawrence). FUMBLES (0-D.Lawrence), RECOVERED by SEA-39-T.Okada at SEA 37.</x:v>
      </x:c>
      <x:c r="L1952" t="str">
        <x:v>pass</x:v>
      </x:c>
      <x:c r="M1952" t="n">
        <x:v>3</x:v>
      </x:c>
      <x:c r="N1952" t="n">
        <x:v>1</x:v>
      </x:c>
      <x:c r="O1952" t="n">
        <x:v>0</x:v>
      </x:c>
      <x:c r="P1952" t="str">
        <x:v>short</x:v>
      </x:c>
      <x:c r="Q1952" t="str">
        <x:v>right</x:v>
      </x:c>
      <x:c r="R1952" t="n">
        <x:v>-7</x:v>
      </x:c>
      <x:c r="S1952" t="n">
        <x:v>10</x:v>
      </x:c>
      <x:c r="T1952"/>
      <x:c r="U1952"/>
      <x:c r="V1952" t="n">
        <x:v>1</x:v>
      </x:c>
      <x:c r="W1952" t="n">
        <x:v>0</x:v>
      </x:c>
      <x:c r="X1952" t="n">
        <x:v>0</x:v>
      </x:c>
      <x:c r="Y1952" t="n">
        <x:v>0</x:v>
      </x:c>
      <x:c r="Z1952" t="n">
        <x:v>1</x:v>
      </x:c>
      <x:c r="AA1952" t="n">
        <x:v>0</x:v>
      </x:c>
      <x:c r="AB1952"/>
      <x:c r="AC1952" t="n">
        <x:v>0</x:v>
      </x:c>
      <x:c r="AD1952" t="n">
        <x:v>-3.1853072005324066</x:v>
      </x:c>
      <x:c r="AE1952" t="n">
        <x:v>0</x:v>
      </x:c>
      <x:c r="AF1952" t="n">
        <x:v>-0.014710530638694763</x:v>
      </x:c>
      <x:c r="AG1952" t="n">
        <x:f>_xlfn.XLOOKUP($A1952,Games!$A$2:$A$18,Games!$B$2:$B$18,"Missing game",0)</x:f>
        <x:v>2025</x:v>
      </x:c>
      <x:c r="AH1952" t="str">
        <x:f>_xlfn.XLOOKUP($A1952,Games!$A$2:$A$18,Games!$C$2:$C$18,"Missing game",0)</x:f>
        <x:v>REG</x:v>
      </x:c>
      <x:c r="AI1952" t="n">
        <x:f>_xlfn.XLOOKUP($A1952,Games!$A$2:$A$18,Games!$D$2:$D$18,"Missing game",0)</x:f>
        <x:v>13</x:v>
      </x:c>
      <x:c r="AJ1952" s="1" t="n">
        <x:f>_xlfn.XLOOKUP($A1952,Games!$A$2:$A$18,Games!$E$2:$E$18,"Missing game",0)</x:f>
        <x:v>45991</x:v>
      </x:c>
      <x:c r="AK1952" t="str">
        <x:f>_xlfn.XLOOKUP($A1952,Games!$A$2:$A$18,Games!$F$2:$F$18,"Missing game",0)</x:f>
        <x:v>Sunday</x:v>
      </x:c>
      <x:c r="AL1952" t="str">
        <x:f>_xlfn.XLOOKUP($A1952,Games!$A$2:$A$18,Games!$G$2:$G$18,"Missing game",0)</x:f>
        <x:v>MIN</x:v>
      </x:c>
      <x:c r="AM1952" t="n">
        <x:f>_xlfn.XLOOKUP($A1952,Games!$A$2:$A$18,Games!$H$2:$H$18,"Missing game",0)</x:f>
        <x:v>0</x:v>
      </x:c>
      <x:c r="AN1952" t="str">
        <x:f>_xlfn.XLOOKUP($A1952,Games!$A$2:$A$18,Games!$I$2:$I$18,"Missing game",0)</x:f>
        <x:v>SEA</x:v>
      </x:c>
      <x:c r="AO1952" t="n">
        <x:f>_xlfn.XLOOKUP($A1952,Games!$A$2:$A$18,Games!$J$2:$J$18,"Missing game",0)</x:f>
        <x:v>26</x:v>
      </x:c>
      <x:c r="AP1952" t="n">
        <x:f>_xlfn.XLOOKUP($A1952,Games!$A$2:$A$18,Games!$K$2:$K$18,"Missing game",0)</x:f>
        <x:v>26</x:v>
      </x:c>
      <x:c r="AQ1952" t="n">
        <x:f>_xlfn.XLOOKUP($A1952,Games!$A$2:$A$18,Games!$L$2:$L$18,"Missing game",0)</x:f>
        <x:v>26</x:v>
      </x:c>
      <x:c r="AR1952" t="n">
        <x:f>_xlfn.XLOOKUP($A1952,Games!$A$2:$A$18,Games!$M$2:$M$18,"Missing game",0)</x:f>
        <x:v>0</x:v>
      </x:c>
      <x:c r="AS1952" t="str">
        <x:f>_xlfn.XLOOKUP($A1952,Games!$A$2:$A$18,Games!$N$2:$N$18,"Missing game",0)</x:f>
        <x:v>outdoors</x:v>
      </x:c>
      <x:c r="AT1952" t="str">
        <x:f>_xlfn.XLOOKUP($A1952,Games!$A$2:$A$18,Games!$O$2:$O$18,"Missing game",0)</x:f>
        <x:v>fieldturf</x:v>
      </x:c>
      <x:c r="AU1952" t="n">
        <x:f>_xlfn.XLOOKUP($A1952,Games!$A$2:$A$18,Games!$P$2:$P$18,"Missing game",0)</x:f>
        <x:v>45</x:v>
      </x:c>
      <x:c r="AV1952" t="n">
        <x:f>_xlfn.XLOOKUP($A1952,Games!$A$2:$A$18,Games!$Q$2:$Q$18,"Missing game",0)</x:f>
        <x:v>2</x:v>
      </x:c>
      <x:c r="AW1952" t="str">
        <x:f>_xlfn.XLOOKUP($A1952,Games!$A$2:$A$18,Games!$R$2:$R$18,"Missing game",0)</x:f>
        <x:v>Lumen Field</x:v>
      </x:c>
    </x:row>
    <x:row r="1953">
      <x:c r="A1953" t="str">
        <x:v>2025_13_MIN_SEA</x:v>
      </x:c>
      <x:c r="B1953" t="n">
        <x:v>2398</x:v>
      </x:c>
      <x:c r="C1953" t="n">
        <x:v>3</x:v>
      </x:c>
      <x:c r="D1953" t="str">
        <x:v>08:41</x:v>
      </x:c>
      <x:c r="E1953" t="n">
        <x:v>1</x:v>
      </x:c>
      <x:c r="F1953" t="n">
        <x:v>10</x:v>
      </x:c>
      <x:c r="G1953" t="str">
        <x:v>SEA</x:v>
      </x:c>
      <x:c r="H1953" t="str">
        <x:v>MIN</x:v>
      </x:c>
      <x:c r="I1953" t="str">
        <x:v>SEA</x:v>
      </x:c>
      <x:c r="J1953" t="n">
        <x:v>63</x:v>
      </x:c>
      <x:c r="K1953" t="str">
        <x:v>(8:41) 9-K.Walker left guard pushed ob at SEA 43 for 6 yards (22-H.Smith). PENALTY on SEA-10-C.Kupp, Illegal Shift, 5 yards, enforced at SEA 37 - No Play.</x:v>
      </x:c>
      <x:c r="L1953" t="str">
        <x:v>no_play</x:v>
      </x:c>
      <x:c r="M1953" t="n">
        <x:v>0</x:v>
      </x:c>
      <x:c r="N1953" t="n">
        <x:v>0</x:v>
      </x:c>
      <x:c r="O1953" t="n">
        <x:v>0</x:v>
      </x:c>
      <x:c r="P1953"/>
      <x:c r="Q1953"/>
      <x:c r="R1953"/>
      <x:c r="S1953"/>
      <x:c r="T1953"/>
      <x:c r="U1953"/>
      <x:c r="V1953" t="n">
        <x:v>0</x:v>
      </x:c>
      <x:c r="W1953" t="n">
        <x:v>0</x:v>
      </x:c>
      <x:c r="X1953" t="n">
        <x:v>0</x:v>
      </x:c>
      <x:c r="Y1953" t="n">
        <x:v>0</x:v>
      </x:c>
      <x:c r="Z1953" t="n">
        <x:v>0</x:v>
      </x:c>
      <x:c r="AA1953" t="n">
        <x:v>1</x:v>
      </x:c>
      <x:c r="AB1953" t="n">
        <x:v>5</x:v>
      </x:c>
      <x:c r="AC1953" t="n">
        <x:v>0</x:v>
      </x:c>
      <x:c r="AD1953" t="n">
        <x:v>-0.5595509866252542</x:v>
      </x:c>
      <x:c r="AE1953" t="n">
        <x:v>0</x:v>
      </x:c>
      <x:c r="AF1953" t="n">
        <x:v>-0.008775174617767334</x:v>
      </x:c>
      <x:c r="AG1953" t="n">
        <x:f>_xlfn.XLOOKUP($A1953,Games!$A$2:$A$18,Games!$B$2:$B$18,"Missing game",0)</x:f>
        <x:v>2025</x:v>
      </x:c>
      <x:c r="AH1953" t="str">
        <x:f>_xlfn.XLOOKUP($A1953,Games!$A$2:$A$18,Games!$C$2:$C$18,"Missing game",0)</x:f>
        <x:v>REG</x:v>
      </x:c>
      <x:c r="AI1953" t="n">
        <x:f>_xlfn.XLOOKUP($A1953,Games!$A$2:$A$18,Games!$D$2:$D$18,"Missing game",0)</x:f>
        <x:v>13</x:v>
      </x:c>
      <x:c r="AJ1953" s="1" t="n">
        <x:f>_xlfn.XLOOKUP($A1953,Games!$A$2:$A$18,Games!$E$2:$E$18,"Missing game",0)</x:f>
        <x:v>45991</x:v>
      </x:c>
      <x:c r="AK1953" t="str">
        <x:f>_xlfn.XLOOKUP($A1953,Games!$A$2:$A$18,Games!$F$2:$F$18,"Missing game",0)</x:f>
        <x:v>Sunday</x:v>
      </x:c>
      <x:c r="AL1953" t="str">
        <x:f>_xlfn.XLOOKUP($A1953,Games!$A$2:$A$18,Games!$G$2:$G$18,"Missing game",0)</x:f>
        <x:v>MIN</x:v>
      </x:c>
      <x:c r="AM1953" t="n">
        <x:f>_xlfn.XLOOKUP($A1953,Games!$A$2:$A$18,Games!$H$2:$H$18,"Missing game",0)</x:f>
        <x:v>0</x:v>
      </x:c>
      <x:c r="AN1953" t="str">
        <x:f>_xlfn.XLOOKUP($A1953,Games!$A$2:$A$18,Games!$I$2:$I$18,"Missing game",0)</x:f>
        <x:v>SEA</x:v>
      </x:c>
      <x:c r="AO1953" t="n">
        <x:f>_xlfn.XLOOKUP($A1953,Games!$A$2:$A$18,Games!$J$2:$J$18,"Missing game",0)</x:f>
        <x:v>26</x:v>
      </x:c>
      <x:c r="AP1953" t="n">
        <x:f>_xlfn.XLOOKUP($A1953,Games!$A$2:$A$18,Games!$K$2:$K$18,"Missing game",0)</x:f>
        <x:v>26</x:v>
      </x:c>
      <x:c r="AQ1953" t="n">
        <x:f>_xlfn.XLOOKUP($A1953,Games!$A$2:$A$18,Games!$L$2:$L$18,"Missing game",0)</x:f>
        <x:v>26</x:v>
      </x:c>
      <x:c r="AR1953" t="n">
        <x:f>_xlfn.XLOOKUP($A1953,Games!$A$2:$A$18,Games!$M$2:$M$18,"Missing game",0)</x:f>
        <x:v>0</x:v>
      </x:c>
      <x:c r="AS1953" t="str">
        <x:f>_xlfn.XLOOKUP($A1953,Games!$A$2:$A$18,Games!$N$2:$N$18,"Missing game",0)</x:f>
        <x:v>outdoors</x:v>
      </x:c>
      <x:c r="AT1953" t="str">
        <x:f>_xlfn.XLOOKUP($A1953,Games!$A$2:$A$18,Games!$O$2:$O$18,"Missing game",0)</x:f>
        <x:v>fieldturf</x:v>
      </x:c>
      <x:c r="AU1953" t="n">
        <x:f>_xlfn.XLOOKUP($A1953,Games!$A$2:$A$18,Games!$P$2:$P$18,"Missing game",0)</x:f>
        <x:v>45</x:v>
      </x:c>
      <x:c r="AV1953" t="n">
        <x:f>_xlfn.XLOOKUP($A1953,Games!$A$2:$A$18,Games!$Q$2:$Q$18,"Missing game",0)</x:f>
        <x:v>2</x:v>
      </x:c>
      <x:c r="AW1953" t="str">
        <x:f>_xlfn.XLOOKUP($A1953,Games!$A$2:$A$18,Games!$R$2:$R$18,"Missing game",0)</x:f>
        <x:v>Lumen Field</x:v>
      </x:c>
    </x:row>
    <x:row r="1954">
      <x:c r="A1954" t="str">
        <x:v>2025_13_MIN_SEA</x:v>
      </x:c>
      <x:c r="B1954" t="n">
        <x:v>2436</x:v>
      </x:c>
      <x:c r="C1954" t="n">
        <x:v>3</x:v>
      </x:c>
      <x:c r="D1954" t="str">
        <x:v>08:12</x:v>
      </x:c>
      <x:c r="E1954" t="n">
        <x:v>1</x:v>
      </x:c>
      <x:c r="F1954" t="n">
        <x:v>15</x:v>
      </x:c>
      <x:c r="G1954" t="str">
        <x:v>SEA</x:v>
      </x:c>
      <x:c r="H1954" t="str">
        <x:v>MIN</x:v>
      </x:c>
      <x:c r="I1954" t="str">
        <x:v>SEA</x:v>
      </x:c>
      <x:c r="J1954" t="n">
        <x:v>68</x:v>
      </x:c>
      <x:c r="K1954" t="str">
        <x:v>(8:12) (Shotgun) 14-S.Darnold pass short right to 88-A.Barner to SEA 45 for 13 yards (51-B.Cashman).</x:v>
      </x:c>
      <x:c r="L1954" t="str">
        <x:v>pass</x:v>
      </x:c>
      <x:c r="M1954" t="n">
        <x:v>13</x:v>
      </x:c>
      <x:c r="N1954" t="n">
        <x:v>1</x:v>
      </x:c>
      <x:c r="O1954" t="n">
        <x:v>0</x:v>
      </x:c>
      <x:c r="P1954" t="str">
        <x:v>short</x:v>
      </x:c>
      <x:c r="Q1954" t="str">
        <x:v>right</x:v>
      </x:c>
      <x:c r="R1954" t="n">
        <x:v>-4</x:v>
      </x:c>
      <x:c r="S1954" t="n">
        <x:v>17</x:v>
      </x:c>
      <x:c r="T1954"/>
      <x:c r="U1954"/>
      <x:c r="V1954" t="n">
        <x:v>1</x:v>
      </x:c>
      <x:c r="W1954" t="n">
        <x:v>0</x:v>
      </x:c>
      <x:c r="X1954" t="n">
        <x:v>0</x:v>
      </x:c>
      <x:c r="Y1954" t="n">
        <x:v>0</x:v>
      </x:c>
      <x:c r="Z1954" t="n">
        <x:v>0</x:v>
      </x:c>
      <x:c r="AA1954" t="n">
        <x:v>0</x:v>
      </x:c>
      <x:c r="AB1954"/>
      <x:c r="AC1954" t="n">
        <x:v>0</x:v>
      </x:c>
      <x:c r="AD1954" t="n">
        <x:v>1.1149748959578574</x:v>
      </x:c>
      <x:c r="AE1954" t="n">
        <x:v>1</x:v>
      </x:c>
      <x:c r="AF1954" t="n">
        <x:v>0.018511533737182617</x:v>
      </x:c>
      <x:c r="AG1954" t="n">
        <x:f>_xlfn.XLOOKUP($A1954,Games!$A$2:$A$18,Games!$B$2:$B$18,"Missing game",0)</x:f>
        <x:v>2025</x:v>
      </x:c>
      <x:c r="AH1954" t="str">
        <x:f>_xlfn.XLOOKUP($A1954,Games!$A$2:$A$18,Games!$C$2:$C$18,"Missing game",0)</x:f>
        <x:v>REG</x:v>
      </x:c>
      <x:c r="AI1954" t="n">
        <x:f>_xlfn.XLOOKUP($A1954,Games!$A$2:$A$18,Games!$D$2:$D$18,"Missing game",0)</x:f>
        <x:v>13</x:v>
      </x:c>
      <x:c r="AJ1954" s="1" t="n">
        <x:f>_xlfn.XLOOKUP($A1954,Games!$A$2:$A$18,Games!$E$2:$E$18,"Missing game",0)</x:f>
        <x:v>45991</x:v>
      </x:c>
      <x:c r="AK1954" t="str">
        <x:f>_xlfn.XLOOKUP($A1954,Games!$A$2:$A$18,Games!$F$2:$F$18,"Missing game",0)</x:f>
        <x:v>Sunday</x:v>
      </x:c>
      <x:c r="AL1954" t="str">
        <x:f>_xlfn.XLOOKUP($A1954,Games!$A$2:$A$18,Games!$G$2:$G$18,"Missing game",0)</x:f>
        <x:v>MIN</x:v>
      </x:c>
      <x:c r="AM1954" t="n">
        <x:f>_xlfn.XLOOKUP($A1954,Games!$A$2:$A$18,Games!$H$2:$H$18,"Missing game",0)</x:f>
        <x:v>0</x:v>
      </x:c>
      <x:c r="AN1954" t="str">
        <x:f>_xlfn.XLOOKUP($A1954,Games!$A$2:$A$18,Games!$I$2:$I$18,"Missing game",0)</x:f>
        <x:v>SEA</x:v>
      </x:c>
      <x:c r="AO1954" t="n">
        <x:f>_xlfn.XLOOKUP($A1954,Games!$A$2:$A$18,Games!$J$2:$J$18,"Missing game",0)</x:f>
        <x:v>26</x:v>
      </x:c>
      <x:c r="AP1954" t="n">
        <x:f>_xlfn.XLOOKUP($A1954,Games!$A$2:$A$18,Games!$K$2:$K$18,"Missing game",0)</x:f>
        <x:v>26</x:v>
      </x:c>
      <x:c r="AQ1954" t="n">
        <x:f>_xlfn.XLOOKUP($A1954,Games!$A$2:$A$18,Games!$L$2:$L$18,"Missing game",0)</x:f>
        <x:v>26</x:v>
      </x:c>
      <x:c r="AR1954" t="n">
        <x:f>_xlfn.XLOOKUP($A1954,Games!$A$2:$A$18,Games!$M$2:$M$18,"Missing game",0)</x:f>
        <x:v>0</x:v>
      </x:c>
      <x:c r="AS1954" t="str">
        <x:f>_xlfn.XLOOKUP($A1954,Games!$A$2:$A$18,Games!$N$2:$N$18,"Missing game",0)</x:f>
        <x:v>outdoors</x:v>
      </x:c>
      <x:c r="AT1954" t="str">
        <x:f>_xlfn.XLOOKUP($A1954,Games!$A$2:$A$18,Games!$O$2:$O$18,"Missing game",0)</x:f>
        <x:v>fieldturf</x:v>
      </x:c>
      <x:c r="AU1954" t="n">
        <x:f>_xlfn.XLOOKUP($A1954,Games!$A$2:$A$18,Games!$P$2:$P$18,"Missing game",0)</x:f>
        <x:v>45</x:v>
      </x:c>
      <x:c r="AV1954" t="n">
        <x:f>_xlfn.XLOOKUP($A1954,Games!$A$2:$A$18,Games!$Q$2:$Q$18,"Missing game",0)</x:f>
        <x:v>2</x:v>
      </x:c>
      <x:c r="AW1954" t="str">
        <x:f>_xlfn.XLOOKUP($A1954,Games!$A$2:$A$18,Games!$R$2:$R$18,"Missing game",0)</x:f>
        <x:v>Lumen Field</x:v>
      </x:c>
    </x:row>
    <x:row r="1955">
      <x:c r="A1955" t="str">
        <x:v>2025_13_MIN_SEA</x:v>
      </x:c>
      <x:c r="B1955" t="n">
        <x:v>2461</x:v>
      </x:c>
      <x:c r="C1955" t="n">
        <x:v>3</x:v>
      </x:c>
      <x:c r="D1955" t="str">
        <x:v>07:29</x:v>
      </x:c>
      <x:c r="E1955" t="n">
        <x:v>2</x:v>
      </x:c>
      <x:c r="F1955" t="n">
        <x:v>2</x:v>
      </x:c>
      <x:c r="G1955" t="str">
        <x:v>SEA</x:v>
      </x:c>
      <x:c r="H1955" t="str">
        <x:v>MIN</x:v>
      </x:c>
      <x:c r="I1955" t="str">
        <x:v>SEA</x:v>
      </x:c>
      <x:c r="J1955" t="n">
        <x:v>55</x:v>
      </x:c>
      <x:c r="K1955" t="str">
        <x:v>(7:29) 9-K.Walker up the middle to SEA 49 for 4 yards (51-B.Cashman).</x:v>
      </x:c>
      <x:c r="L1955" t="str">
        <x:v>run</x:v>
      </x:c>
      <x:c r="M1955" t="n">
        <x:v>4</x:v>
      </x:c>
      <x:c r="N1955" t="n">
        <x:v>0</x:v>
      </x:c>
      <x:c r="O1955" t="n">
        <x:v>0</x:v>
      </x:c>
      <x:c r="P1955"/>
      <x:c r="Q1955"/>
      <x:c r="R1955"/>
      <x:c r="S1955"/>
      <x:c r="T1955" t="str">
        <x:v>middle</x:v>
      </x:c>
      <x:c r="U1955"/>
      <x:c r="V1955" t="n">
        <x:v>0</x:v>
      </x:c>
      <x:c r="W1955" t="n">
        <x:v>1</x:v>
      </x:c>
      <x:c r="X1955" t="n">
        <x:v>0</x:v>
      </x:c>
      <x:c r="Y1955" t="n">
        <x:v>0</x:v>
      </x:c>
      <x:c r="Z1955" t="n">
        <x:v>0</x:v>
      </x:c>
      <x:c r="AA1955" t="n">
        <x:v>0</x:v>
      </x:c>
      <x:c r="AB1955"/>
      <x:c r="AC1955" t="n">
        <x:v>0</x:v>
      </x:c>
      <x:c r="AD1955" t="n">
        <x:v>0.1930692121386528</x:v>
      </x:c>
      <x:c r="AE1955" t="n">
        <x:v>1</x:v>
      </x:c>
      <x:c r="AF1955" t="n">
        <x:v>0.00032788515090942383</x:v>
      </x:c>
      <x:c r="AG1955" t="n">
        <x:f>_xlfn.XLOOKUP($A1955,Games!$A$2:$A$18,Games!$B$2:$B$18,"Missing game",0)</x:f>
        <x:v>2025</x:v>
      </x:c>
      <x:c r="AH1955" t="str">
        <x:f>_xlfn.XLOOKUP($A1955,Games!$A$2:$A$18,Games!$C$2:$C$18,"Missing game",0)</x:f>
        <x:v>REG</x:v>
      </x:c>
      <x:c r="AI1955" t="n">
        <x:f>_xlfn.XLOOKUP($A1955,Games!$A$2:$A$18,Games!$D$2:$D$18,"Missing game",0)</x:f>
        <x:v>13</x:v>
      </x:c>
      <x:c r="AJ1955" s="1" t="n">
        <x:f>_xlfn.XLOOKUP($A1955,Games!$A$2:$A$18,Games!$E$2:$E$18,"Missing game",0)</x:f>
        <x:v>45991</x:v>
      </x:c>
      <x:c r="AK1955" t="str">
        <x:f>_xlfn.XLOOKUP($A1955,Games!$A$2:$A$18,Games!$F$2:$F$18,"Missing game",0)</x:f>
        <x:v>Sunday</x:v>
      </x:c>
      <x:c r="AL1955" t="str">
        <x:f>_xlfn.XLOOKUP($A1955,Games!$A$2:$A$18,Games!$G$2:$G$18,"Missing game",0)</x:f>
        <x:v>MIN</x:v>
      </x:c>
      <x:c r="AM1955" t="n">
        <x:f>_xlfn.XLOOKUP($A1955,Games!$A$2:$A$18,Games!$H$2:$H$18,"Missing game",0)</x:f>
        <x:v>0</x:v>
      </x:c>
      <x:c r="AN1955" t="str">
        <x:f>_xlfn.XLOOKUP($A1955,Games!$A$2:$A$18,Games!$I$2:$I$18,"Missing game",0)</x:f>
        <x:v>SEA</x:v>
      </x:c>
      <x:c r="AO1955" t="n">
        <x:f>_xlfn.XLOOKUP($A1955,Games!$A$2:$A$18,Games!$J$2:$J$18,"Missing game",0)</x:f>
        <x:v>26</x:v>
      </x:c>
      <x:c r="AP1955" t="n">
        <x:f>_xlfn.XLOOKUP($A1955,Games!$A$2:$A$18,Games!$K$2:$K$18,"Missing game",0)</x:f>
        <x:v>26</x:v>
      </x:c>
      <x:c r="AQ1955" t="n">
        <x:f>_xlfn.XLOOKUP($A1955,Games!$A$2:$A$18,Games!$L$2:$L$18,"Missing game",0)</x:f>
        <x:v>26</x:v>
      </x:c>
      <x:c r="AR1955" t="n">
        <x:f>_xlfn.XLOOKUP($A1955,Games!$A$2:$A$18,Games!$M$2:$M$18,"Missing game",0)</x:f>
        <x:v>0</x:v>
      </x:c>
      <x:c r="AS1955" t="str">
        <x:f>_xlfn.XLOOKUP($A1955,Games!$A$2:$A$18,Games!$N$2:$N$18,"Missing game",0)</x:f>
        <x:v>outdoors</x:v>
      </x:c>
      <x:c r="AT1955" t="str">
        <x:f>_xlfn.XLOOKUP($A1955,Games!$A$2:$A$18,Games!$O$2:$O$18,"Missing game",0)</x:f>
        <x:v>fieldturf</x:v>
      </x:c>
      <x:c r="AU1955" t="n">
        <x:f>_xlfn.XLOOKUP($A1955,Games!$A$2:$A$18,Games!$P$2:$P$18,"Missing game",0)</x:f>
        <x:v>45</x:v>
      </x:c>
      <x:c r="AV1955" t="n">
        <x:f>_xlfn.XLOOKUP($A1955,Games!$A$2:$A$18,Games!$Q$2:$Q$18,"Missing game",0)</x:f>
        <x:v>2</x:v>
      </x:c>
      <x:c r="AW1955" t="str">
        <x:f>_xlfn.XLOOKUP($A1955,Games!$A$2:$A$18,Games!$R$2:$R$18,"Missing game",0)</x:f>
        <x:v>Lumen Field</x:v>
      </x:c>
    </x:row>
    <x:row r="1956">
      <x:c r="A1956" t="str">
        <x:v>2025_13_MIN_SEA</x:v>
      </x:c>
      <x:c r="B1956" t="n">
        <x:v>2483</x:v>
      </x:c>
      <x:c r="C1956" t="n">
        <x:v>3</x:v>
      </x:c>
      <x:c r="D1956" t="str">
        <x:v>07:01</x:v>
      </x:c>
      <x:c r="E1956" t="n">
        <x:v>1</x:v>
      </x:c>
      <x:c r="F1956" t="n">
        <x:v>10</x:v>
      </x:c>
      <x:c r="G1956" t="str">
        <x:v>SEA</x:v>
      </x:c>
      <x:c r="H1956" t="str">
        <x:v>MIN</x:v>
      </x:c>
      <x:c r="I1956" t="str">
        <x:v>SEA</x:v>
      </x:c>
      <x:c r="J1956" t="n">
        <x:v>51</x:v>
      </x:c>
      <x:c r="K1956" t="str">
        <x:v>(7:01) (No Huddle) 14-S.Darnold pass short right to 88-A.Barner to MIN 42 for 9 yards (2-I.Rodgers).</x:v>
      </x:c>
      <x:c r="L1956" t="str">
        <x:v>pass</x:v>
      </x:c>
      <x:c r="M1956" t="n">
        <x:v>9</x:v>
      </x:c>
      <x:c r="N1956" t="n">
        <x:v>0</x:v>
      </x:c>
      <x:c r="O1956" t="n">
        <x:v>1</x:v>
      </x:c>
      <x:c r="P1956" t="str">
        <x:v>short</x:v>
      </x:c>
      <x:c r="Q1956" t="str">
        <x:v>right</x:v>
      </x:c>
      <x:c r="R1956" t="n">
        <x:v>-2</x:v>
      </x:c>
      <x:c r="S1956" t="n">
        <x:v>11</x:v>
      </x:c>
      <x:c r="T1956"/>
      <x:c r="U1956"/>
      <x:c r="V1956" t="n">
        <x:v>1</x:v>
      </x:c>
      <x:c r="W1956" t="n">
        <x:v>0</x:v>
      </x:c>
      <x:c r="X1956" t="n">
        <x:v>0</x:v>
      </x:c>
      <x:c r="Y1956" t="n">
        <x:v>0</x:v>
      </x:c>
      <x:c r="Z1956" t="n">
        <x:v>0</x:v>
      </x:c>
      <x:c r="AA1956" t="n">
        <x:v>0</x:v>
      </x:c>
      <x:c r="AB1956"/>
      <x:c r="AC1956" t="n">
        <x:v>0</x:v>
      </x:c>
      <x:c r="AD1956" t="n">
        <x:v>0.640996134839952</x:v>
      </x:c>
      <x:c r="AE1956" t="n">
        <x:v>1</x:v>
      </x:c>
      <x:c r="AF1956" t="n">
        <x:v>0.004191219806671143</x:v>
      </x:c>
      <x:c r="AG1956" t="n">
        <x:f>_xlfn.XLOOKUP($A1956,Games!$A$2:$A$18,Games!$B$2:$B$18,"Missing game",0)</x:f>
        <x:v>2025</x:v>
      </x:c>
      <x:c r="AH1956" t="str">
        <x:f>_xlfn.XLOOKUP($A1956,Games!$A$2:$A$18,Games!$C$2:$C$18,"Missing game",0)</x:f>
        <x:v>REG</x:v>
      </x:c>
      <x:c r="AI1956" t="n">
        <x:f>_xlfn.XLOOKUP($A1956,Games!$A$2:$A$18,Games!$D$2:$D$18,"Missing game",0)</x:f>
        <x:v>13</x:v>
      </x:c>
      <x:c r="AJ1956" s="1" t="n">
        <x:f>_xlfn.XLOOKUP($A1956,Games!$A$2:$A$18,Games!$E$2:$E$18,"Missing game",0)</x:f>
        <x:v>45991</x:v>
      </x:c>
      <x:c r="AK1956" t="str">
        <x:f>_xlfn.XLOOKUP($A1956,Games!$A$2:$A$18,Games!$F$2:$F$18,"Missing game",0)</x:f>
        <x:v>Sunday</x:v>
      </x:c>
      <x:c r="AL1956" t="str">
        <x:f>_xlfn.XLOOKUP($A1956,Games!$A$2:$A$18,Games!$G$2:$G$18,"Missing game",0)</x:f>
        <x:v>MIN</x:v>
      </x:c>
      <x:c r="AM1956" t="n">
        <x:f>_xlfn.XLOOKUP($A1956,Games!$A$2:$A$18,Games!$H$2:$H$18,"Missing game",0)</x:f>
        <x:v>0</x:v>
      </x:c>
      <x:c r="AN1956" t="str">
        <x:f>_xlfn.XLOOKUP($A1956,Games!$A$2:$A$18,Games!$I$2:$I$18,"Missing game",0)</x:f>
        <x:v>SEA</x:v>
      </x:c>
      <x:c r="AO1956" t="n">
        <x:f>_xlfn.XLOOKUP($A1956,Games!$A$2:$A$18,Games!$J$2:$J$18,"Missing game",0)</x:f>
        <x:v>26</x:v>
      </x:c>
      <x:c r="AP1956" t="n">
        <x:f>_xlfn.XLOOKUP($A1956,Games!$A$2:$A$18,Games!$K$2:$K$18,"Missing game",0)</x:f>
        <x:v>26</x:v>
      </x:c>
      <x:c r="AQ1956" t="n">
        <x:f>_xlfn.XLOOKUP($A1956,Games!$A$2:$A$18,Games!$L$2:$L$18,"Missing game",0)</x:f>
        <x:v>26</x:v>
      </x:c>
      <x:c r="AR1956" t="n">
        <x:f>_xlfn.XLOOKUP($A1956,Games!$A$2:$A$18,Games!$M$2:$M$18,"Missing game",0)</x:f>
        <x:v>0</x:v>
      </x:c>
      <x:c r="AS1956" t="str">
        <x:f>_xlfn.XLOOKUP($A1956,Games!$A$2:$A$18,Games!$N$2:$N$18,"Missing game",0)</x:f>
        <x:v>outdoors</x:v>
      </x:c>
      <x:c r="AT1956" t="str">
        <x:f>_xlfn.XLOOKUP($A1956,Games!$A$2:$A$18,Games!$O$2:$O$18,"Missing game",0)</x:f>
        <x:v>fieldturf</x:v>
      </x:c>
      <x:c r="AU1956" t="n">
        <x:f>_xlfn.XLOOKUP($A1956,Games!$A$2:$A$18,Games!$P$2:$P$18,"Missing game",0)</x:f>
        <x:v>45</x:v>
      </x:c>
      <x:c r="AV1956" t="n">
        <x:f>_xlfn.XLOOKUP($A1956,Games!$A$2:$A$18,Games!$Q$2:$Q$18,"Missing game",0)</x:f>
        <x:v>2</x:v>
      </x:c>
      <x:c r="AW1956" t="str">
        <x:f>_xlfn.XLOOKUP($A1956,Games!$A$2:$A$18,Games!$R$2:$R$18,"Missing game",0)</x:f>
        <x:v>Lumen Field</x:v>
      </x:c>
    </x:row>
    <x:row r="1957">
      <x:c r="A1957" t="str">
        <x:v>2025_13_MIN_SEA</x:v>
      </x:c>
      <x:c r="B1957" t="n">
        <x:v>2508</x:v>
      </x:c>
      <x:c r="C1957" t="n">
        <x:v>3</x:v>
      </x:c>
      <x:c r="D1957" t="str">
        <x:v>06:28</x:v>
      </x:c>
      <x:c r="E1957" t="n">
        <x:v>2</x:v>
      </x:c>
      <x:c r="F1957" t="n">
        <x:v>1</x:v>
      </x:c>
      <x:c r="G1957" t="str">
        <x:v>SEA</x:v>
      </x:c>
      <x:c r="H1957" t="str">
        <x:v>MIN</x:v>
      </x:c>
      <x:c r="I1957" t="str">
        <x:v>MIN</x:v>
      </x:c>
      <x:c r="J1957" t="n">
        <x:v>42</x:v>
      </x:c>
      <x:c r="K1957" t="str">
        <x:v>(6:28) (No Huddle) 9-K.Walker right guard to MIN 38 for 4 yards (55-E.Wilson).</x:v>
      </x:c>
      <x:c r="L1957" t="str">
        <x:v>run</x:v>
      </x:c>
      <x:c r="M1957" t="n">
        <x:v>4</x:v>
      </x:c>
      <x:c r="N1957" t="n">
        <x:v>0</x:v>
      </x:c>
      <x:c r="O1957" t="n">
        <x:v>1</x:v>
      </x:c>
      <x:c r="P1957"/>
      <x:c r="Q1957"/>
      <x:c r="R1957"/>
      <x:c r="S1957"/>
      <x:c r="T1957" t="str">
        <x:v>right</x:v>
      </x:c>
      <x:c r="U1957" t="str">
        <x:v>guard</x:v>
      </x:c>
      <x:c r="V1957" t="n">
        <x:v>0</x:v>
      </x:c>
      <x:c r="W1957" t="n">
        <x:v>1</x:v>
      </x:c>
      <x:c r="X1957" t="n">
        <x:v>0</x:v>
      </x:c>
      <x:c r="Y1957" t="n">
        <x:v>0</x:v>
      </x:c>
      <x:c r="Z1957" t="n">
        <x:v>0</x:v>
      </x:c>
      <x:c r="AA1957" t="n">
        <x:v>0</x:v>
      </x:c>
      <x:c r="AB1957"/>
      <x:c r="AC1957" t="n">
        <x:v>0</x:v>
      </x:c>
      <x:c r="AD1957" t="n">
        <x:v>0.11308518378064036</x:v>
      </x:c>
      <x:c r="AE1957" t="n">
        <x:v>1</x:v>
      </x:c>
      <x:c r="AF1957" t="n">
        <x:v>0.001587212085723877</x:v>
      </x:c>
      <x:c r="AG1957" t="n">
        <x:f>_xlfn.XLOOKUP($A1957,Games!$A$2:$A$18,Games!$B$2:$B$18,"Missing game",0)</x:f>
        <x:v>2025</x:v>
      </x:c>
      <x:c r="AH1957" t="str">
        <x:f>_xlfn.XLOOKUP($A1957,Games!$A$2:$A$18,Games!$C$2:$C$18,"Missing game",0)</x:f>
        <x:v>REG</x:v>
      </x:c>
      <x:c r="AI1957" t="n">
        <x:f>_xlfn.XLOOKUP($A1957,Games!$A$2:$A$18,Games!$D$2:$D$18,"Missing game",0)</x:f>
        <x:v>13</x:v>
      </x:c>
      <x:c r="AJ1957" s="1" t="n">
        <x:f>_xlfn.XLOOKUP($A1957,Games!$A$2:$A$18,Games!$E$2:$E$18,"Missing game",0)</x:f>
        <x:v>45991</x:v>
      </x:c>
      <x:c r="AK1957" t="str">
        <x:f>_xlfn.XLOOKUP($A1957,Games!$A$2:$A$18,Games!$F$2:$F$18,"Missing game",0)</x:f>
        <x:v>Sunday</x:v>
      </x:c>
      <x:c r="AL1957" t="str">
        <x:f>_xlfn.XLOOKUP($A1957,Games!$A$2:$A$18,Games!$G$2:$G$18,"Missing game",0)</x:f>
        <x:v>MIN</x:v>
      </x:c>
      <x:c r="AM1957" t="n">
        <x:f>_xlfn.XLOOKUP($A1957,Games!$A$2:$A$18,Games!$H$2:$H$18,"Missing game",0)</x:f>
        <x:v>0</x:v>
      </x:c>
      <x:c r="AN1957" t="str">
        <x:f>_xlfn.XLOOKUP($A1957,Games!$A$2:$A$18,Games!$I$2:$I$18,"Missing game",0)</x:f>
        <x:v>SEA</x:v>
      </x:c>
      <x:c r="AO1957" t="n">
        <x:f>_xlfn.XLOOKUP($A1957,Games!$A$2:$A$18,Games!$J$2:$J$18,"Missing game",0)</x:f>
        <x:v>26</x:v>
      </x:c>
      <x:c r="AP1957" t="n">
        <x:f>_xlfn.XLOOKUP($A1957,Games!$A$2:$A$18,Games!$K$2:$K$18,"Missing game",0)</x:f>
        <x:v>26</x:v>
      </x:c>
      <x:c r="AQ1957" t="n">
        <x:f>_xlfn.XLOOKUP($A1957,Games!$A$2:$A$18,Games!$L$2:$L$18,"Missing game",0)</x:f>
        <x:v>26</x:v>
      </x:c>
      <x:c r="AR1957" t="n">
        <x:f>_xlfn.XLOOKUP($A1957,Games!$A$2:$A$18,Games!$M$2:$M$18,"Missing game",0)</x:f>
        <x:v>0</x:v>
      </x:c>
      <x:c r="AS1957" t="str">
        <x:f>_xlfn.XLOOKUP($A1957,Games!$A$2:$A$18,Games!$N$2:$N$18,"Missing game",0)</x:f>
        <x:v>outdoors</x:v>
      </x:c>
      <x:c r="AT1957" t="str">
        <x:f>_xlfn.XLOOKUP($A1957,Games!$A$2:$A$18,Games!$O$2:$O$18,"Missing game",0)</x:f>
        <x:v>fieldturf</x:v>
      </x:c>
      <x:c r="AU1957" t="n">
        <x:f>_xlfn.XLOOKUP($A1957,Games!$A$2:$A$18,Games!$P$2:$P$18,"Missing game",0)</x:f>
        <x:v>45</x:v>
      </x:c>
      <x:c r="AV1957" t="n">
        <x:f>_xlfn.XLOOKUP($A1957,Games!$A$2:$A$18,Games!$Q$2:$Q$18,"Missing game",0)</x:f>
        <x:v>2</x:v>
      </x:c>
      <x:c r="AW1957" t="str">
        <x:f>_xlfn.XLOOKUP($A1957,Games!$A$2:$A$18,Games!$R$2:$R$18,"Missing game",0)</x:f>
        <x:v>Lumen Field</x:v>
      </x:c>
    </x:row>
    <x:row r="1958">
      <x:c r="A1958" t="str">
        <x:v>2025_13_MIN_SEA</x:v>
      </x:c>
      <x:c r="B1958" t="n">
        <x:v>2530</x:v>
      </x:c>
      <x:c r="C1958" t="n">
        <x:v>3</x:v>
      </x:c>
      <x:c r="D1958" t="str">
        <x:v>05:51</x:v>
      </x:c>
      <x:c r="E1958" t="n">
        <x:v>1</x:v>
      </x:c>
      <x:c r="F1958" t="n">
        <x:v>10</x:v>
      </x:c>
      <x:c r="G1958" t="str">
        <x:v>SEA</x:v>
      </x:c>
      <x:c r="H1958" t="str">
        <x:v>MIN</x:v>
      </x:c>
      <x:c r="I1958" t="str">
        <x:v>MIN</x:v>
      </x:c>
      <x:c r="J1958" t="n">
        <x:v>38</x:v>
      </x:c>
      <x:c r="K1958" t="str">
        <x:v>(5:51) 14-S.Darnold pass incomplete deep right to 11-J.Smith-Njigba. PENALTY on MIN-7-B.Murphy, Illegal Contact, 5 yards, enforced at MIN 38 - No Play.</x:v>
      </x:c>
      <x:c r="L1958" t="str">
        <x:v>no_play</x:v>
      </x:c>
      <x:c r="M1958" t="n">
        <x:v>0</x:v>
      </x:c>
      <x:c r="N1958" t="n">
        <x:v>0</x:v>
      </x:c>
      <x:c r="O1958" t="n">
        <x:v>0</x:v>
      </x:c>
      <x:c r="P1958"/>
      <x:c r="Q1958"/>
      <x:c r="R1958"/>
      <x:c r="S1958"/>
      <x:c r="T1958"/>
      <x:c r="U1958"/>
      <x:c r="V1958" t="n">
        <x:v>0</x:v>
      </x:c>
      <x:c r="W1958" t="n">
        <x:v>1</x:v>
      </x:c>
      <x:c r="X1958" t="n">
        <x:v>0</x:v>
      </x:c>
      <x:c r="Y1958" t="n">
        <x:v>0</x:v>
      </x:c>
      <x:c r="Z1958" t="n">
        <x:v>0</x:v>
      </x:c>
      <x:c r="AA1958" t="n">
        <x:v>1</x:v>
      </x:c>
      <x:c r="AB1958" t="n">
        <x:v>5</x:v>
      </x:c>
      <x:c r="AC1958" t="n">
        <x:v>0</x:v>
      </x:c>
      <x:c r="AD1958" t="n">
        <x:v>0.25839679315686226</x:v>
      </x:c>
      <x:c r="AE1958" t="n">
        <x:v>1</x:v>
      </x:c>
      <x:c r="AF1958" t="n">
        <x:v>0.001437366008758545</x:v>
      </x:c>
      <x:c r="AG1958" t="n">
        <x:f>_xlfn.XLOOKUP($A1958,Games!$A$2:$A$18,Games!$B$2:$B$18,"Missing game",0)</x:f>
        <x:v>2025</x:v>
      </x:c>
      <x:c r="AH1958" t="str">
        <x:f>_xlfn.XLOOKUP($A1958,Games!$A$2:$A$18,Games!$C$2:$C$18,"Missing game",0)</x:f>
        <x:v>REG</x:v>
      </x:c>
      <x:c r="AI1958" t="n">
        <x:f>_xlfn.XLOOKUP($A1958,Games!$A$2:$A$18,Games!$D$2:$D$18,"Missing game",0)</x:f>
        <x:v>13</x:v>
      </x:c>
      <x:c r="AJ1958" s="1" t="n">
        <x:f>_xlfn.XLOOKUP($A1958,Games!$A$2:$A$18,Games!$E$2:$E$18,"Missing game",0)</x:f>
        <x:v>45991</x:v>
      </x:c>
      <x:c r="AK1958" t="str">
        <x:f>_xlfn.XLOOKUP($A1958,Games!$A$2:$A$18,Games!$F$2:$F$18,"Missing game",0)</x:f>
        <x:v>Sunday</x:v>
      </x:c>
      <x:c r="AL1958" t="str">
        <x:f>_xlfn.XLOOKUP($A1958,Games!$A$2:$A$18,Games!$G$2:$G$18,"Missing game",0)</x:f>
        <x:v>MIN</x:v>
      </x:c>
      <x:c r="AM1958" t="n">
        <x:f>_xlfn.XLOOKUP($A1958,Games!$A$2:$A$18,Games!$H$2:$H$18,"Missing game",0)</x:f>
        <x:v>0</x:v>
      </x:c>
      <x:c r="AN1958" t="str">
        <x:f>_xlfn.XLOOKUP($A1958,Games!$A$2:$A$18,Games!$I$2:$I$18,"Missing game",0)</x:f>
        <x:v>SEA</x:v>
      </x:c>
      <x:c r="AO1958" t="n">
        <x:f>_xlfn.XLOOKUP($A1958,Games!$A$2:$A$18,Games!$J$2:$J$18,"Missing game",0)</x:f>
        <x:v>26</x:v>
      </x:c>
      <x:c r="AP1958" t="n">
        <x:f>_xlfn.XLOOKUP($A1958,Games!$A$2:$A$18,Games!$K$2:$K$18,"Missing game",0)</x:f>
        <x:v>26</x:v>
      </x:c>
      <x:c r="AQ1958" t="n">
        <x:f>_xlfn.XLOOKUP($A1958,Games!$A$2:$A$18,Games!$L$2:$L$18,"Missing game",0)</x:f>
        <x:v>26</x:v>
      </x:c>
      <x:c r="AR1958" t="n">
        <x:f>_xlfn.XLOOKUP($A1958,Games!$A$2:$A$18,Games!$M$2:$M$18,"Missing game",0)</x:f>
        <x:v>0</x:v>
      </x:c>
      <x:c r="AS1958" t="str">
        <x:f>_xlfn.XLOOKUP($A1958,Games!$A$2:$A$18,Games!$N$2:$N$18,"Missing game",0)</x:f>
        <x:v>outdoors</x:v>
      </x:c>
      <x:c r="AT1958" t="str">
        <x:f>_xlfn.XLOOKUP($A1958,Games!$A$2:$A$18,Games!$O$2:$O$18,"Missing game",0)</x:f>
        <x:v>fieldturf</x:v>
      </x:c>
      <x:c r="AU1958" t="n">
        <x:f>_xlfn.XLOOKUP($A1958,Games!$A$2:$A$18,Games!$P$2:$P$18,"Missing game",0)</x:f>
        <x:v>45</x:v>
      </x:c>
      <x:c r="AV1958" t="n">
        <x:f>_xlfn.XLOOKUP($A1958,Games!$A$2:$A$18,Games!$Q$2:$Q$18,"Missing game",0)</x:f>
        <x:v>2</x:v>
      </x:c>
      <x:c r="AW1958" t="str">
        <x:f>_xlfn.XLOOKUP($A1958,Games!$A$2:$A$18,Games!$R$2:$R$18,"Missing game",0)</x:f>
        <x:v>Lumen Field</x:v>
      </x:c>
    </x:row>
    <x:row r="1959">
      <x:c r="A1959" t="str">
        <x:v>2025_13_MIN_SEA</x:v>
      </x:c>
      <x:c r="B1959" t="n">
        <x:v>2564</x:v>
      </x:c>
      <x:c r="C1959" t="n">
        <x:v>3</x:v>
      </x:c>
      <x:c r="D1959" t="str">
        <x:v>05:47</x:v>
      </x:c>
      <x:c r="E1959" t="n">
        <x:v>1</x:v>
      </x:c>
      <x:c r="F1959" t="n">
        <x:v>10</x:v>
      </x:c>
      <x:c r="G1959" t="str">
        <x:v>SEA</x:v>
      </x:c>
      <x:c r="H1959" t="str">
        <x:v>MIN</x:v>
      </x:c>
      <x:c r="I1959" t="str">
        <x:v>MIN</x:v>
      </x:c>
      <x:c r="J1959" t="n">
        <x:v>33</x:v>
      </x:c>
      <x:c r="K1959" t="str">
        <x:v>(5:47) 9-K.Walker right guard to MIN 27 for 6 yards (15-D.Turner; 51-B.Cashman). PENALTY on MIN-90-T.Ingram-Dawkins, Defensive Offside, 5 yards, enforced at MIN 33 - No Play.</x:v>
      </x:c>
      <x:c r="L1959" t="str">
        <x:v>no_play</x:v>
      </x:c>
      <x:c r="M1959" t="n">
        <x:v>0</x:v>
      </x:c>
      <x:c r="N1959" t="n">
        <x:v>0</x:v>
      </x:c>
      <x:c r="O1959" t="n">
        <x:v>0</x:v>
      </x:c>
      <x:c r="P1959"/>
      <x:c r="Q1959"/>
      <x:c r="R1959"/>
      <x:c r="S1959"/>
      <x:c r="T1959"/>
      <x:c r="U1959"/>
      <x:c r="V1959" t="n">
        <x:v>0</x:v>
      </x:c>
      <x:c r="W1959" t="n">
        <x:v>0</x:v>
      </x:c>
      <x:c r="X1959" t="n">
        <x:v>0</x:v>
      </x:c>
      <x:c r="Y1959" t="n">
        <x:v>0</x:v>
      </x:c>
      <x:c r="Z1959" t="n">
        <x:v>0</x:v>
      </x:c>
      <x:c r="AA1959" t="n">
        <x:v>1</x:v>
      </x:c>
      <x:c r="AB1959" t="n">
        <x:v>5</x:v>
      </x:c>
      <x:c r="AC1959" t="n">
        <x:v>0</x:v>
      </x:c>
      <x:c r="AD1959" t="n">
        <x:v>0.5458373344736174</x:v>
      </x:c>
      <x:c r="AE1959" t="n">
        <x:v>1</x:v>
      </x:c>
      <x:c r="AF1959" t="n">
        <x:v>0.00027000904083251953</x:v>
      </x:c>
      <x:c r="AG1959" t="n">
        <x:f>_xlfn.XLOOKUP($A1959,Games!$A$2:$A$18,Games!$B$2:$B$18,"Missing game",0)</x:f>
        <x:v>2025</x:v>
      </x:c>
      <x:c r="AH1959" t="str">
        <x:f>_xlfn.XLOOKUP($A1959,Games!$A$2:$A$18,Games!$C$2:$C$18,"Missing game",0)</x:f>
        <x:v>REG</x:v>
      </x:c>
      <x:c r="AI1959" t="n">
        <x:f>_xlfn.XLOOKUP($A1959,Games!$A$2:$A$18,Games!$D$2:$D$18,"Missing game",0)</x:f>
        <x:v>13</x:v>
      </x:c>
      <x:c r="AJ1959" s="1" t="n">
        <x:f>_xlfn.XLOOKUP($A1959,Games!$A$2:$A$18,Games!$E$2:$E$18,"Missing game",0)</x:f>
        <x:v>45991</x:v>
      </x:c>
      <x:c r="AK1959" t="str">
        <x:f>_xlfn.XLOOKUP($A1959,Games!$A$2:$A$18,Games!$F$2:$F$18,"Missing game",0)</x:f>
        <x:v>Sunday</x:v>
      </x:c>
      <x:c r="AL1959" t="str">
        <x:f>_xlfn.XLOOKUP($A1959,Games!$A$2:$A$18,Games!$G$2:$G$18,"Missing game",0)</x:f>
        <x:v>MIN</x:v>
      </x:c>
      <x:c r="AM1959" t="n">
        <x:f>_xlfn.XLOOKUP($A1959,Games!$A$2:$A$18,Games!$H$2:$H$18,"Missing game",0)</x:f>
        <x:v>0</x:v>
      </x:c>
      <x:c r="AN1959" t="str">
        <x:f>_xlfn.XLOOKUP($A1959,Games!$A$2:$A$18,Games!$I$2:$I$18,"Missing game",0)</x:f>
        <x:v>SEA</x:v>
      </x:c>
      <x:c r="AO1959" t="n">
        <x:f>_xlfn.XLOOKUP($A1959,Games!$A$2:$A$18,Games!$J$2:$J$18,"Missing game",0)</x:f>
        <x:v>26</x:v>
      </x:c>
      <x:c r="AP1959" t="n">
        <x:f>_xlfn.XLOOKUP($A1959,Games!$A$2:$A$18,Games!$K$2:$K$18,"Missing game",0)</x:f>
        <x:v>26</x:v>
      </x:c>
      <x:c r="AQ1959" t="n">
        <x:f>_xlfn.XLOOKUP($A1959,Games!$A$2:$A$18,Games!$L$2:$L$18,"Missing game",0)</x:f>
        <x:v>26</x:v>
      </x:c>
      <x:c r="AR1959" t="n">
        <x:f>_xlfn.XLOOKUP($A1959,Games!$A$2:$A$18,Games!$M$2:$M$18,"Missing game",0)</x:f>
        <x:v>0</x:v>
      </x:c>
      <x:c r="AS1959" t="str">
        <x:f>_xlfn.XLOOKUP($A1959,Games!$A$2:$A$18,Games!$N$2:$N$18,"Missing game",0)</x:f>
        <x:v>outdoors</x:v>
      </x:c>
      <x:c r="AT1959" t="str">
        <x:f>_xlfn.XLOOKUP($A1959,Games!$A$2:$A$18,Games!$O$2:$O$18,"Missing game",0)</x:f>
        <x:v>fieldturf</x:v>
      </x:c>
      <x:c r="AU1959" t="n">
        <x:f>_xlfn.XLOOKUP($A1959,Games!$A$2:$A$18,Games!$P$2:$P$18,"Missing game",0)</x:f>
        <x:v>45</x:v>
      </x:c>
      <x:c r="AV1959" t="n">
        <x:f>_xlfn.XLOOKUP($A1959,Games!$A$2:$A$18,Games!$Q$2:$Q$18,"Missing game",0)</x:f>
        <x:v>2</x:v>
      </x:c>
      <x:c r="AW1959" t="str">
        <x:f>_xlfn.XLOOKUP($A1959,Games!$A$2:$A$18,Games!$R$2:$R$18,"Missing game",0)</x:f>
        <x:v>Lumen Field</x:v>
      </x:c>
    </x:row>
    <x:row r="1960">
      <x:c r="A1960" t="str">
        <x:v>2025_13_MIN_SEA</x:v>
      </x:c>
      <x:c r="B1960" t="n">
        <x:v>2597</x:v>
      </x:c>
      <x:c r="C1960" t="n">
        <x:v>3</x:v>
      </x:c>
      <x:c r="D1960" t="str">
        <x:v>05:26</x:v>
      </x:c>
      <x:c r="E1960" t="n">
        <x:v>1</x:v>
      </x:c>
      <x:c r="F1960" t="n">
        <x:v>5</x:v>
      </x:c>
      <x:c r="G1960" t="str">
        <x:v>SEA</x:v>
      </x:c>
      <x:c r="H1960" t="str">
        <x:v>MIN</x:v>
      </x:c>
      <x:c r="I1960" t="str">
        <x:v>MIN</x:v>
      </x:c>
      <x:c r="J1960" t="n">
        <x:v>28</x:v>
      </x:c>
      <x:c r="K1960" t="str">
        <x:v>(5:26) (Shotgun) 14-S.Darnold pass short left to 11-J.Smith-Njigba pushed ob at MIN 22 for 6 yards (2-I.Rodgers).</x:v>
      </x:c>
      <x:c r="L1960" t="str">
        <x:v>pass</x:v>
      </x:c>
      <x:c r="M1960" t="n">
        <x:v>6</x:v>
      </x:c>
      <x:c r="N1960" t="n">
        <x:v>1</x:v>
      </x:c>
      <x:c r="O1960" t="n">
        <x:v>0</x:v>
      </x:c>
      <x:c r="P1960" t="str">
        <x:v>short</x:v>
      </x:c>
      <x:c r="Q1960" t="str">
        <x:v>left</x:v>
      </x:c>
      <x:c r="R1960" t="n">
        <x:v>2</x:v>
      </x:c>
      <x:c r="S1960" t="n">
        <x:v>4</x:v>
      </x:c>
      <x:c r="T1960"/>
      <x:c r="U1960"/>
      <x:c r="V1960" t="n">
        <x:v>1</x:v>
      </x:c>
      <x:c r="W1960" t="n">
        <x:v>1</x:v>
      </x:c>
      <x:c r="X1960" t="n">
        <x:v>0</x:v>
      </x:c>
      <x:c r="Y1960" t="n">
        <x:v>0</x:v>
      </x:c>
      <x:c r="Z1960" t="n">
        <x:v>0</x:v>
      </x:c>
      <x:c r="AA1960" t="n">
        <x:v>0</x:v>
      </x:c>
      <x:c r="AB1960"/>
      <x:c r="AC1960" t="n">
        <x:v>0</x:v>
      </x:c>
      <x:c r="AD1960" t="n">
        <x:v>0.26867498632054776</x:v>
      </x:c>
      <x:c r="AE1960" t="n">
        <x:v>1</x:v>
      </x:c>
      <x:c r="AF1960" t="n">
        <x:v>0.002517879009246826</x:v>
      </x:c>
      <x:c r="AG1960" t="n">
        <x:f>_xlfn.XLOOKUP($A1960,Games!$A$2:$A$18,Games!$B$2:$B$18,"Missing game",0)</x:f>
        <x:v>2025</x:v>
      </x:c>
      <x:c r="AH1960" t="str">
        <x:f>_xlfn.XLOOKUP($A1960,Games!$A$2:$A$18,Games!$C$2:$C$18,"Missing game",0)</x:f>
        <x:v>REG</x:v>
      </x:c>
      <x:c r="AI1960" t="n">
        <x:f>_xlfn.XLOOKUP($A1960,Games!$A$2:$A$18,Games!$D$2:$D$18,"Missing game",0)</x:f>
        <x:v>13</x:v>
      </x:c>
      <x:c r="AJ1960" s="1" t="n">
        <x:f>_xlfn.XLOOKUP($A1960,Games!$A$2:$A$18,Games!$E$2:$E$18,"Missing game",0)</x:f>
        <x:v>45991</x:v>
      </x:c>
      <x:c r="AK1960" t="str">
        <x:f>_xlfn.XLOOKUP($A1960,Games!$A$2:$A$18,Games!$F$2:$F$18,"Missing game",0)</x:f>
        <x:v>Sunday</x:v>
      </x:c>
      <x:c r="AL1960" t="str">
        <x:f>_xlfn.XLOOKUP($A1960,Games!$A$2:$A$18,Games!$G$2:$G$18,"Missing game",0)</x:f>
        <x:v>MIN</x:v>
      </x:c>
      <x:c r="AM1960" t="n">
        <x:f>_xlfn.XLOOKUP($A1960,Games!$A$2:$A$18,Games!$H$2:$H$18,"Missing game",0)</x:f>
        <x:v>0</x:v>
      </x:c>
      <x:c r="AN1960" t="str">
        <x:f>_xlfn.XLOOKUP($A1960,Games!$A$2:$A$18,Games!$I$2:$I$18,"Missing game",0)</x:f>
        <x:v>SEA</x:v>
      </x:c>
      <x:c r="AO1960" t="n">
        <x:f>_xlfn.XLOOKUP($A1960,Games!$A$2:$A$18,Games!$J$2:$J$18,"Missing game",0)</x:f>
        <x:v>26</x:v>
      </x:c>
      <x:c r="AP1960" t="n">
        <x:f>_xlfn.XLOOKUP($A1960,Games!$A$2:$A$18,Games!$K$2:$K$18,"Missing game",0)</x:f>
        <x:v>26</x:v>
      </x:c>
      <x:c r="AQ1960" t="n">
        <x:f>_xlfn.XLOOKUP($A1960,Games!$A$2:$A$18,Games!$L$2:$L$18,"Missing game",0)</x:f>
        <x:v>26</x:v>
      </x:c>
      <x:c r="AR1960" t="n">
        <x:f>_xlfn.XLOOKUP($A1960,Games!$A$2:$A$18,Games!$M$2:$M$18,"Missing game",0)</x:f>
        <x:v>0</x:v>
      </x:c>
      <x:c r="AS1960" t="str">
        <x:f>_xlfn.XLOOKUP($A1960,Games!$A$2:$A$18,Games!$N$2:$N$18,"Missing game",0)</x:f>
        <x:v>outdoors</x:v>
      </x:c>
      <x:c r="AT1960" t="str">
        <x:f>_xlfn.XLOOKUP($A1960,Games!$A$2:$A$18,Games!$O$2:$O$18,"Missing game",0)</x:f>
        <x:v>fieldturf</x:v>
      </x:c>
      <x:c r="AU1960" t="n">
        <x:f>_xlfn.XLOOKUP($A1960,Games!$A$2:$A$18,Games!$P$2:$P$18,"Missing game",0)</x:f>
        <x:v>45</x:v>
      </x:c>
      <x:c r="AV1960" t="n">
        <x:f>_xlfn.XLOOKUP($A1960,Games!$A$2:$A$18,Games!$Q$2:$Q$18,"Missing game",0)</x:f>
        <x:v>2</x:v>
      </x:c>
      <x:c r="AW1960" t="str">
        <x:f>_xlfn.XLOOKUP($A1960,Games!$A$2:$A$18,Games!$R$2:$R$18,"Missing game",0)</x:f>
        <x:v>Lumen Field</x:v>
      </x:c>
    </x:row>
    <x:row r="1961">
      <x:c r="A1961" t="str">
        <x:v>2025_13_MIN_SEA</x:v>
      </x:c>
      <x:c r="B1961" t="n">
        <x:v>2627</x:v>
      </x:c>
      <x:c r="C1961" t="n">
        <x:v>3</x:v>
      </x:c>
      <x:c r="D1961" t="str">
        <x:v>04:44</x:v>
      </x:c>
      <x:c r="E1961" t="n">
        <x:v>1</x:v>
      </x:c>
      <x:c r="F1961" t="n">
        <x:v>10</x:v>
      </x:c>
      <x:c r="G1961" t="str">
        <x:v>SEA</x:v>
      </x:c>
      <x:c r="H1961" t="str">
        <x:v>MIN</x:v>
      </x:c>
      <x:c r="I1961" t="str">
        <x:v>MIN</x:v>
      </x:c>
      <x:c r="J1961" t="n">
        <x:v>22</x:v>
      </x:c>
      <x:c r="K1961" t="str">
        <x:v>(4:44) 26-Z.Charbonnet right tackle to MIN 22 for no gain (43-A.Van Ginkel; 93-J.Allen).</x:v>
      </x:c>
      <x:c r="L1961" t="str">
        <x:v>run</x:v>
      </x:c>
      <x:c r="M1961" t="n">
        <x:v>0</x:v>
      </x:c>
      <x:c r="N1961" t="n">
        <x:v>0</x:v>
      </x:c>
      <x:c r="O1961" t="n">
        <x:v>0</x:v>
      </x:c>
      <x:c r="P1961"/>
      <x:c r="Q1961"/>
      <x:c r="R1961"/>
      <x:c r="S1961"/>
      <x:c r="T1961" t="str">
        <x:v>right</x:v>
      </x:c>
      <x:c r="U1961" t="str">
        <x:v>tackle</x:v>
      </x:c>
      <x:c r="V1961" t="n">
        <x:v>0</x:v>
      </x:c>
      <x:c r="W1961" t="n">
        <x:v>0</x:v>
      </x:c>
      <x:c r="X1961" t="n">
        <x:v>0</x:v>
      </x:c>
      <x:c r="Y1961" t="n">
        <x:v>0</x:v>
      </x:c>
      <x:c r="Z1961" t="n">
        <x:v>0</x:v>
      </x:c>
      <x:c r="AA1961" t="n">
        <x:v>0</x:v>
      </x:c>
      <x:c r="AB1961"/>
      <x:c r="AC1961" t="n">
        <x:v>0</x:v>
      </x:c>
      <x:c r="AD1961" t="n">
        <x:v>-0.4624798216391355</x:v>
      </x:c>
      <x:c r="AE1961" t="n">
        <x:v>0</x:v>
      </x:c>
      <x:c r="AF1961" t="n">
        <x:v>-0.0033710598945617676</x:v>
      </x:c>
      <x:c r="AG1961" t="n">
        <x:f>_xlfn.XLOOKUP($A1961,Games!$A$2:$A$18,Games!$B$2:$B$18,"Missing game",0)</x:f>
        <x:v>2025</x:v>
      </x:c>
      <x:c r="AH1961" t="str">
        <x:f>_xlfn.XLOOKUP($A1961,Games!$A$2:$A$18,Games!$C$2:$C$18,"Missing game",0)</x:f>
        <x:v>REG</x:v>
      </x:c>
      <x:c r="AI1961" t="n">
        <x:f>_xlfn.XLOOKUP($A1961,Games!$A$2:$A$18,Games!$D$2:$D$18,"Missing game",0)</x:f>
        <x:v>13</x:v>
      </x:c>
      <x:c r="AJ1961" s="1" t="n">
        <x:f>_xlfn.XLOOKUP($A1961,Games!$A$2:$A$18,Games!$E$2:$E$18,"Missing game",0)</x:f>
        <x:v>45991</x:v>
      </x:c>
      <x:c r="AK1961" t="str">
        <x:f>_xlfn.XLOOKUP($A1961,Games!$A$2:$A$18,Games!$F$2:$F$18,"Missing game",0)</x:f>
        <x:v>Sunday</x:v>
      </x:c>
      <x:c r="AL1961" t="str">
        <x:f>_xlfn.XLOOKUP($A1961,Games!$A$2:$A$18,Games!$G$2:$G$18,"Missing game",0)</x:f>
        <x:v>MIN</x:v>
      </x:c>
      <x:c r="AM1961" t="n">
        <x:f>_xlfn.XLOOKUP($A1961,Games!$A$2:$A$18,Games!$H$2:$H$18,"Missing game",0)</x:f>
        <x:v>0</x:v>
      </x:c>
      <x:c r="AN1961" t="str">
        <x:f>_xlfn.XLOOKUP($A1961,Games!$A$2:$A$18,Games!$I$2:$I$18,"Missing game",0)</x:f>
        <x:v>SEA</x:v>
      </x:c>
      <x:c r="AO1961" t="n">
        <x:f>_xlfn.XLOOKUP($A1961,Games!$A$2:$A$18,Games!$J$2:$J$18,"Missing game",0)</x:f>
        <x:v>26</x:v>
      </x:c>
      <x:c r="AP1961" t="n">
        <x:f>_xlfn.XLOOKUP($A1961,Games!$A$2:$A$18,Games!$K$2:$K$18,"Missing game",0)</x:f>
        <x:v>26</x:v>
      </x:c>
      <x:c r="AQ1961" t="n">
        <x:f>_xlfn.XLOOKUP($A1961,Games!$A$2:$A$18,Games!$L$2:$L$18,"Missing game",0)</x:f>
        <x:v>26</x:v>
      </x:c>
      <x:c r="AR1961" t="n">
        <x:f>_xlfn.XLOOKUP($A1961,Games!$A$2:$A$18,Games!$M$2:$M$18,"Missing game",0)</x:f>
        <x:v>0</x:v>
      </x:c>
      <x:c r="AS1961" t="str">
        <x:f>_xlfn.XLOOKUP($A1961,Games!$A$2:$A$18,Games!$N$2:$N$18,"Missing game",0)</x:f>
        <x:v>outdoors</x:v>
      </x:c>
      <x:c r="AT1961" t="str">
        <x:f>_xlfn.XLOOKUP($A1961,Games!$A$2:$A$18,Games!$O$2:$O$18,"Missing game",0)</x:f>
        <x:v>fieldturf</x:v>
      </x:c>
      <x:c r="AU1961" t="n">
        <x:f>_xlfn.XLOOKUP($A1961,Games!$A$2:$A$18,Games!$P$2:$P$18,"Missing game",0)</x:f>
        <x:v>45</x:v>
      </x:c>
      <x:c r="AV1961" t="n">
        <x:f>_xlfn.XLOOKUP($A1961,Games!$A$2:$A$18,Games!$Q$2:$Q$18,"Missing game",0)</x:f>
        <x:v>2</x:v>
      </x:c>
      <x:c r="AW1961" t="str">
        <x:f>_xlfn.XLOOKUP($A1961,Games!$A$2:$A$18,Games!$R$2:$R$18,"Missing game",0)</x:f>
        <x:v>Lumen Field</x:v>
      </x:c>
    </x:row>
    <x:row r="1962">
      <x:c r="A1962" t="str">
        <x:v>2025_13_MIN_SEA</x:v>
      </x:c>
      <x:c r="B1962" t="n">
        <x:v>2649</x:v>
      </x:c>
      <x:c r="C1962" t="n">
        <x:v>3</x:v>
      </x:c>
      <x:c r="D1962" t="str">
        <x:v>04:03</x:v>
      </x:c>
      <x:c r="E1962" t="n">
        <x:v>2</x:v>
      </x:c>
      <x:c r="F1962" t="n">
        <x:v>10</x:v>
      </x:c>
      <x:c r="G1962" t="str">
        <x:v>SEA</x:v>
      </x:c>
      <x:c r="H1962" t="str">
        <x:v>MIN</x:v>
      </x:c>
      <x:c r="I1962" t="str">
        <x:v>MIN</x:v>
      </x:c>
      <x:c r="J1962" t="n">
        <x:v>22</x:v>
      </x:c>
      <x:c r="K1962" t="str">
        <x:v>(4:03) 9-K.Walker left guard to MIN 21 for 1 yard (55-E.Wilson; 93-J.Allen).</x:v>
      </x:c>
      <x:c r="L1962" t="str">
        <x:v>run</x:v>
      </x:c>
      <x:c r="M1962" t="n">
        <x:v>1</x:v>
      </x:c>
      <x:c r="N1962" t="n">
        <x:v>0</x:v>
      </x:c>
      <x:c r="O1962" t="n">
        <x:v>0</x:v>
      </x:c>
      <x:c r="P1962"/>
      <x:c r="Q1962"/>
      <x:c r="R1962"/>
      <x:c r="S1962"/>
      <x:c r="T1962" t="str">
        <x:v>left</x:v>
      </x:c>
      <x:c r="U1962" t="str">
        <x:v>guard</x:v>
      </x:c>
      <x:c r="V1962" t="n">
        <x:v>0</x:v>
      </x:c>
      <x:c r="W1962" t="n">
        <x:v>0</x:v>
      </x:c>
      <x:c r="X1962" t="n">
        <x:v>0</x:v>
      </x:c>
      <x:c r="Y1962" t="n">
        <x:v>0</x:v>
      </x:c>
      <x:c r="Z1962" t="n">
        <x:v>0</x:v>
      </x:c>
      <x:c r="AA1962" t="n">
        <x:v>0</x:v>
      </x:c>
      <x:c r="AB1962"/>
      <x:c r="AC1962" t="n">
        <x:v>0</x:v>
      </x:c>
      <x:c r="AD1962" t="n">
        <x:v>-0.6817737898090854</x:v>
      </x:c>
      <x:c r="AE1962" t="n">
        <x:v>0</x:v>
      </x:c>
      <x:c r="AF1962" t="n">
        <x:v>-0.004164338111877441</x:v>
      </x:c>
      <x:c r="AG1962" t="n">
        <x:f>_xlfn.XLOOKUP($A1962,Games!$A$2:$A$18,Games!$B$2:$B$18,"Missing game",0)</x:f>
        <x:v>2025</x:v>
      </x:c>
      <x:c r="AH1962" t="str">
        <x:f>_xlfn.XLOOKUP($A1962,Games!$A$2:$A$18,Games!$C$2:$C$18,"Missing game",0)</x:f>
        <x:v>REG</x:v>
      </x:c>
      <x:c r="AI1962" t="n">
        <x:f>_xlfn.XLOOKUP($A1962,Games!$A$2:$A$18,Games!$D$2:$D$18,"Missing game",0)</x:f>
        <x:v>13</x:v>
      </x:c>
      <x:c r="AJ1962" s="1" t="n">
        <x:f>_xlfn.XLOOKUP($A1962,Games!$A$2:$A$18,Games!$E$2:$E$18,"Missing game",0)</x:f>
        <x:v>45991</x:v>
      </x:c>
      <x:c r="AK1962" t="str">
        <x:f>_xlfn.XLOOKUP($A1962,Games!$A$2:$A$18,Games!$F$2:$F$18,"Missing game",0)</x:f>
        <x:v>Sunday</x:v>
      </x:c>
      <x:c r="AL1962" t="str">
        <x:f>_xlfn.XLOOKUP($A1962,Games!$A$2:$A$18,Games!$G$2:$G$18,"Missing game",0)</x:f>
        <x:v>MIN</x:v>
      </x:c>
      <x:c r="AM1962" t="n">
        <x:f>_xlfn.XLOOKUP($A1962,Games!$A$2:$A$18,Games!$H$2:$H$18,"Missing game",0)</x:f>
        <x:v>0</x:v>
      </x:c>
      <x:c r="AN1962" t="str">
        <x:f>_xlfn.XLOOKUP($A1962,Games!$A$2:$A$18,Games!$I$2:$I$18,"Missing game",0)</x:f>
        <x:v>SEA</x:v>
      </x:c>
      <x:c r="AO1962" t="n">
        <x:f>_xlfn.XLOOKUP($A1962,Games!$A$2:$A$18,Games!$J$2:$J$18,"Missing game",0)</x:f>
        <x:v>26</x:v>
      </x:c>
      <x:c r="AP1962" t="n">
        <x:f>_xlfn.XLOOKUP($A1962,Games!$A$2:$A$18,Games!$K$2:$K$18,"Missing game",0)</x:f>
        <x:v>26</x:v>
      </x:c>
      <x:c r="AQ1962" t="n">
        <x:f>_xlfn.XLOOKUP($A1962,Games!$A$2:$A$18,Games!$L$2:$L$18,"Missing game",0)</x:f>
        <x:v>26</x:v>
      </x:c>
      <x:c r="AR1962" t="n">
        <x:f>_xlfn.XLOOKUP($A1962,Games!$A$2:$A$18,Games!$M$2:$M$18,"Missing game",0)</x:f>
        <x:v>0</x:v>
      </x:c>
      <x:c r="AS1962" t="str">
        <x:f>_xlfn.XLOOKUP($A1962,Games!$A$2:$A$18,Games!$N$2:$N$18,"Missing game",0)</x:f>
        <x:v>outdoors</x:v>
      </x:c>
      <x:c r="AT1962" t="str">
        <x:f>_xlfn.XLOOKUP($A1962,Games!$A$2:$A$18,Games!$O$2:$O$18,"Missing game",0)</x:f>
        <x:v>fieldturf</x:v>
      </x:c>
      <x:c r="AU1962" t="n">
        <x:f>_xlfn.XLOOKUP($A1962,Games!$A$2:$A$18,Games!$P$2:$P$18,"Missing game",0)</x:f>
        <x:v>45</x:v>
      </x:c>
      <x:c r="AV1962" t="n">
        <x:f>_xlfn.XLOOKUP($A1962,Games!$A$2:$A$18,Games!$Q$2:$Q$18,"Missing game",0)</x:f>
        <x:v>2</x:v>
      </x:c>
      <x:c r="AW1962" t="str">
        <x:f>_xlfn.XLOOKUP($A1962,Games!$A$2:$A$18,Games!$R$2:$R$18,"Missing game",0)</x:f>
        <x:v>Lumen Field</x:v>
      </x:c>
    </x:row>
    <x:row r="1963">
      <x:c r="A1963" t="str">
        <x:v>2025_13_MIN_SEA</x:v>
      </x:c>
      <x:c r="B1963" t="n">
        <x:v>2671</x:v>
      </x:c>
      <x:c r="C1963" t="n">
        <x:v>3</x:v>
      </x:c>
      <x:c r="D1963" t="str">
        <x:v>03:22</x:v>
      </x:c>
      <x:c r="E1963" t="n">
        <x:v>3</x:v>
      </x:c>
      <x:c r="F1963" t="n">
        <x:v>9</x:v>
      </x:c>
      <x:c r="G1963" t="str">
        <x:v>SEA</x:v>
      </x:c>
      <x:c r="H1963" t="str">
        <x:v>MIN</x:v>
      </x:c>
      <x:c r="I1963" t="str">
        <x:v>MIN</x:v>
      </x:c>
      <x:c r="J1963" t="n">
        <x:v>21</x:v>
      </x:c>
      <x:c r="K1963" t="str">
        <x:v>(3:22) (Shotgun) 14-S.Darnold pass incomplete short left to 22-R.Shaheed (23-F.Moreau).</x:v>
      </x:c>
      <x:c r="L1963" t="str">
        <x:v>pass</x:v>
      </x:c>
      <x:c r="M1963" t="n">
        <x:v>0</x:v>
      </x:c>
      <x:c r="N1963" t="n">
        <x:v>1</x:v>
      </x:c>
      <x:c r="O1963" t="n">
        <x:v>0</x:v>
      </x:c>
      <x:c r="P1963" t="str">
        <x:v>short</x:v>
      </x:c>
      <x:c r="Q1963" t="str">
        <x:v>left</x:v>
      </x:c>
      <x:c r="R1963" t="n">
        <x:v>5</x:v>
      </x:c>
      <x:c r="S1963"/>
      <x:c r="T1963"/>
      <x:c r="U1963"/>
      <x:c r="V1963" t="n">
        <x:v>0</x:v>
      </x:c>
      <x:c r="W1963" t="n">
        <x:v>0</x:v>
      </x:c>
      <x:c r="X1963" t="n">
        <x:v>0</x:v>
      </x:c>
      <x:c r="Y1963" t="n">
        <x:v>0</x:v>
      </x:c>
      <x:c r="Z1963" t="n">
        <x:v>0</x:v>
      </x:c>
      <x:c r="AA1963" t="n">
        <x:v>0</x:v>
      </x:c>
      <x:c r="AB1963"/>
      <x:c r="AC1963" t="n">
        <x:v>0</x:v>
      </x:c>
      <x:c r="AD1963" t="n">
        <x:v>-1.2748750673141775</x:v>
      </x:c>
      <x:c r="AE1963" t="n">
        <x:v>0</x:v>
      </x:c>
      <x:c r="AF1963" t="n">
        <x:v>-0.0035361647605895996</x:v>
      </x:c>
      <x:c r="AG1963" t="n">
        <x:f>_xlfn.XLOOKUP($A1963,Games!$A$2:$A$18,Games!$B$2:$B$18,"Missing game",0)</x:f>
        <x:v>2025</x:v>
      </x:c>
      <x:c r="AH1963" t="str">
        <x:f>_xlfn.XLOOKUP($A1963,Games!$A$2:$A$18,Games!$C$2:$C$18,"Missing game",0)</x:f>
        <x:v>REG</x:v>
      </x:c>
      <x:c r="AI1963" t="n">
        <x:f>_xlfn.XLOOKUP($A1963,Games!$A$2:$A$18,Games!$D$2:$D$18,"Missing game",0)</x:f>
        <x:v>13</x:v>
      </x:c>
      <x:c r="AJ1963" s="1" t="n">
        <x:f>_xlfn.XLOOKUP($A1963,Games!$A$2:$A$18,Games!$E$2:$E$18,"Missing game",0)</x:f>
        <x:v>45991</x:v>
      </x:c>
      <x:c r="AK1963" t="str">
        <x:f>_xlfn.XLOOKUP($A1963,Games!$A$2:$A$18,Games!$F$2:$F$18,"Missing game",0)</x:f>
        <x:v>Sunday</x:v>
      </x:c>
      <x:c r="AL1963" t="str">
        <x:f>_xlfn.XLOOKUP($A1963,Games!$A$2:$A$18,Games!$G$2:$G$18,"Missing game",0)</x:f>
        <x:v>MIN</x:v>
      </x:c>
      <x:c r="AM1963" t="n">
        <x:f>_xlfn.XLOOKUP($A1963,Games!$A$2:$A$18,Games!$H$2:$H$18,"Missing game",0)</x:f>
        <x:v>0</x:v>
      </x:c>
      <x:c r="AN1963" t="str">
        <x:f>_xlfn.XLOOKUP($A1963,Games!$A$2:$A$18,Games!$I$2:$I$18,"Missing game",0)</x:f>
        <x:v>SEA</x:v>
      </x:c>
      <x:c r="AO1963" t="n">
        <x:f>_xlfn.XLOOKUP($A1963,Games!$A$2:$A$18,Games!$J$2:$J$18,"Missing game",0)</x:f>
        <x:v>26</x:v>
      </x:c>
      <x:c r="AP1963" t="n">
        <x:f>_xlfn.XLOOKUP($A1963,Games!$A$2:$A$18,Games!$K$2:$K$18,"Missing game",0)</x:f>
        <x:v>26</x:v>
      </x:c>
      <x:c r="AQ1963" t="n">
        <x:f>_xlfn.XLOOKUP($A1963,Games!$A$2:$A$18,Games!$L$2:$L$18,"Missing game",0)</x:f>
        <x:v>26</x:v>
      </x:c>
      <x:c r="AR1963" t="n">
        <x:f>_xlfn.XLOOKUP($A1963,Games!$A$2:$A$18,Games!$M$2:$M$18,"Missing game",0)</x:f>
        <x:v>0</x:v>
      </x:c>
      <x:c r="AS1963" t="str">
        <x:f>_xlfn.XLOOKUP($A1963,Games!$A$2:$A$18,Games!$N$2:$N$18,"Missing game",0)</x:f>
        <x:v>outdoors</x:v>
      </x:c>
      <x:c r="AT1963" t="str">
        <x:f>_xlfn.XLOOKUP($A1963,Games!$A$2:$A$18,Games!$O$2:$O$18,"Missing game",0)</x:f>
        <x:v>fieldturf</x:v>
      </x:c>
      <x:c r="AU1963" t="n">
        <x:f>_xlfn.XLOOKUP($A1963,Games!$A$2:$A$18,Games!$P$2:$P$18,"Missing game",0)</x:f>
        <x:v>45</x:v>
      </x:c>
      <x:c r="AV1963" t="n">
        <x:f>_xlfn.XLOOKUP($A1963,Games!$A$2:$A$18,Games!$Q$2:$Q$18,"Missing game",0)</x:f>
        <x:v>2</x:v>
      </x:c>
      <x:c r="AW1963" t="str">
        <x:f>_xlfn.XLOOKUP($A1963,Games!$A$2:$A$18,Games!$R$2:$R$18,"Missing game",0)</x:f>
        <x:v>Lumen Field</x:v>
      </x:c>
    </x:row>
    <x:row r="1964">
      <x:c r="A1964" t="str">
        <x:v>2025_13_MIN_SEA</x:v>
      </x:c>
      <x:c r="B1964" t="n">
        <x:v>2696</x:v>
      </x:c>
      <x:c r="C1964" t="n">
        <x:v>3</x:v>
      </x:c>
      <x:c r="D1964" t="str">
        <x:v>03:19</x:v>
      </x:c>
      <x:c r="E1964" t="n">
        <x:v>4</x:v>
      </x:c>
      <x:c r="F1964" t="n">
        <x:v>9</x:v>
      </x:c>
      <x:c r="G1964" t="str">
        <x:v>SEA</x:v>
      </x:c>
      <x:c r="H1964" t="str">
        <x:v>MIN</x:v>
      </x:c>
      <x:c r="I1964" t="str">
        <x:v>MIN</x:v>
      </x:c>
      <x:c r="J1964" t="n">
        <x:v>21</x:v>
      </x:c>
      <x:c r="K1964" t="str">
        <x:v>(3:19) 5-J.Myers 40 yard field goal is GOOD, Center-41-C.Stoll, Holder-4-M.Dickson.</x:v>
      </x:c>
      <x:c r="L1964" t="str">
        <x:v>field_goal</x:v>
      </x:c>
      <x:c r="M1964" t="n">
        <x:v>0</x:v>
      </x:c>
      <x:c r="N1964" t="n">
        <x:v>0</x:v>
      </x:c>
      <x:c r="O1964" t="n">
        <x:v>0</x:v>
      </x:c>
      <x:c r="P1964"/>
      <x:c r="Q1964"/>
      <x:c r="R1964"/>
      <x:c r="S1964"/>
      <x:c r="T1964"/>
      <x:c r="U1964"/>
      <x:c r="V1964" t="n">
        <x:v>0</x:v>
      </x:c>
      <x:c r="W1964" t="n">
        <x:v>0</x:v>
      </x:c>
      <x:c r="X1964" t="n">
        <x:v>0</x:v>
      </x:c>
      <x:c r="Y1964" t="n">
        <x:v>0</x:v>
      </x:c>
      <x:c r="Z1964" t="n">
        <x:v>0</x:v>
      </x:c>
      <x:c r="AA1964" t="n">
        <x:v>0</x:v>
      </x:c>
      <x:c r="AB1964"/>
      <x:c r="AC1964" t="n">
        <x:v>0</x:v>
      </x:c>
      <x:c r="AD1964" t="n">
        <x:v>0.6377611337462885</x:v>
      </x:c>
      <x:c r="AE1964" t="n">
        <x:v>1</x:v>
      </x:c>
      <x:c r="AF1964" t="n">
        <x:v>0.010764794424176216</x:v>
      </x:c>
      <x:c r="AG1964" t="n">
        <x:f>_xlfn.XLOOKUP($A1964,Games!$A$2:$A$18,Games!$B$2:$B$18,"Missing game",0)</x:f>
        <x:v>2025</x:v>
      </x:c>
      <x:c r="AH1964" t="str">
        <x:f>_xlfn.XLOOKUP($A1964,Games!$A$2:$A$18,Games!$C$2:$C$18,"Missing game",0)</x:f>
        <x:v>REG</x:v>
      </x:c>
      <x:c r="AI1964" t="n">
        <x:f>_xlfn.XLOOKUP($A1964,Games!$A$2:$A$18,Games!$D$2:$D$18,"Missing game",0)</x:f>
        <x:v>13</x:v>
      </x:c>
      <x:c r="AJ1964" s="1" t="n">
        <x:f>_xlfn.XLOOKUP($A1964,Games!$A$2:$A$18,Games!$E$2:$E$18,"Missing game",0)</x:f>
        <x:v>45991</x:v>
      </x:c>
      <x:c r="AK1964" t="str">
        <x:f>_xlfn.XLOOKUP($A1964,Games!$A$2:$A$18,Games!$F$2:$F$18,"Missing game",0)</x:f>
        <x:v>Sunday</x:v>
      </x:c>
      <x:c r="AL1964" t="str">
        <x:f>_xlfn.XLOOKUP($A1964,Games!$A$2:$A$18,Games!$G$2:$G$18,"Missing game",0)</x:f>
        <x:v>MIN</x:v>
      </x:c>
      <x:c r="AM1964" t="n">
        <x:f>_xlfn.XLOOKUP($A1964,Games!$A$2:$A$18,Games!$H$2:$H$18,"Missing game",0)</x:f>
        <x:v>0</x:v>
      </x:c>
      <x:c r="AN1964" t="str">
        <x:f>_xlfn.XLOOKUP($A1964,Games!$A$2:$A$18,Games!$I$2:$I$18,"Missing game",0)</x:f>
        <x:v>SEA</x:v>
      </x:c>
      <x:c r="AO1964" t="n">
        <x:f>_xlfn.XLOOKUP($A1964,Games!$A$2:$A$18,Games!$J$2:$J$18,"Missing game",0)</x:f>
        <x:v>26</x:v>
      </x:c>
      <x:c r="AP1964" t="n">
        <x:f>_xlfn.XLOOKUP($A1964,Games!$A$2:$A$18,Games!$K$2:$K$18,"Missing game",0)</x:f>
        <x:v>26</x:v>
      </x:c>
      <x:c r="AQ1964" t="n">
        <x:f>_xlfn.XLOOKUP($A1964,Games!$A$2:$A$18,Games!$L$2:$L$18,"Missing game",0)</x:f>
        <x:v>26</x:v>
      </x:c>
      <x:c r="AR1964" t="n">
        <x:f>_xlfn.XLOOKUP($A1964,Games!$A$2:$A$18,Games!$M$2:$M$18,"Missing game",0)</x:f>
        <x:v>0</x:v>
      </x:c>
      <x:c r="AS1964" t="str">
        <x:f>_xlfn.XLOOKUP($A1964,Games!$A$2:$A$18,Games!$N$2:$N$18,"Missing game",0)</x:f>
        <x:v>outdoors</x:v>
      </x:c>
      <x:c r="AT1964" t="str">
        <x:f>_xlfn.XLOOKUP($A1964,Games!$A$2:$A$18,Games!$O$2:$O$18,"Missing game",0)</x:f>
        <x:v>fieldturf</x:v>
      </x:c>
      <x:c r="AU1964" t="n">
        <x:f>_xlfn.XLOOKUP($A1964,Games!$A$2:$A$18,Games!$P$2:$P$18,"Missing game",0)</x:f>
        <x:v>45</x:v>
      </x:c>
      <x:c r="AV1964" t="n">
        <x:f>_xlfn.XLOOKUP($A1964,Games!$A$2:$A$18,Games!$Q$2:$Q$18,"Missing game",0)</x:f>
        <x:v>2</x:v>
      </x:c>
      <x:c r="AW1964" t="str">
        <x:f>_xlfn.XLOOKUP($A1964,Games!$A$2:$A$18,Games!$R$2:$R$18,"Missing game",0)</x:f>
        <x:v>Lumen Field</x:v>
      </x:c>
    </x:row>
    <x:row r="1965">
      <x:c r="A1965" t="str">
        <x:v>2025_13_MIN_SEA</x:v>
      </x:c>
      <x:c r="B1965" t="n">
        <x:v>2727</x:v>
      </x:c>
      <x:c r="C1965" t="n">
        <x:v>3</x:v>
      </x:c>
      <x:c r="D1965" t="str">
        <x:v>03:16</x:v>
      </x:c>
      <x:c r="E1965"/>
      <x:c r="F1965" t="n">
        <x:v>0</x:v>
      </x:c>
      <x:c r="G1965" t="str">
        <x:v>MIN</x:v>
      </x:c>
      <x:c r="H1965" t="str">
        <x:v>SEA</x:v>
      </x:c>
      <x:c r="I1965" t="str">
        <x:v>SEA</x:v>
      </x:c>
      <x:c r="J1965" t="n">
        <x:v>35</x:v>
      </x:c>
      <x:c r="K1965" t="str">
        <x:v>5-J.Myers kicks 60 yards from SEA 35 to MIN 5. 4-M.Price to MIN 33 for 28 yards (8-C.Bryant; 52-P.O'Connell).</x:v>
      </x:c>
      <x:c r="L1965" t="str">
        <x:v>kickoff</x:v>
      </x:c>
      <x:c r="M1965" t="n">
        <x:v>0</x:v>
      </x:c>
      <x:c r="N1965" t="n">
        <x:v>0</x:v>
      </x:c>
      <x:c r="O1965" t="n">
        <x:v>0</x:v>
      </x:c>
      <x:c r="P1965"/>
      <x:c r="Q1965"/>
      <x:c r="R1965"/>
      <x:c r="S1965"/>
      <x:c r="T1965"/>
      <x:c r="U1965"/>
      <x:c r="V1965" t="n">
        <x:v>0</x:v>
      </x:c>
      <x:c r="W1965" t="n">
        <x:v>0</x:v>
      </x:c>
      <x:c r="X1965" t="n">
        <x:v>0</x:v>
      </x:c>
      <x:c r="Y1965" t="n">
        <x:v>0</x:v>
      </x:c>
      <x:c r="Z1965" t="n">
        <x:v>0</x:v>
      </x:c>
      <x:c r="AA1965" t="n">
        <x:v>0</x:v>
      </x:c>
      <x:c r="AB1965"/>
      <x:c r="AC1965" t="n">
        <x:v>0</x:v>
      </x:c>
      <x:c r="AD1965" t="n">
        <x:v>0.4977471334859729</x:v>
      </x:c>
      <x:c r="AE1965" t="n">
        <x:v>1</x:v>
      </x:c>
      <x:c r="AF1965" t="n">
        <x:v>0.004897678270936012</x:v>
      </x:c>
      <x:c r="AG1965" t="n">
        <x:f>_xlfn.XLOOKUP($A1965,Games!$A$2:$A$18,Games!$B$2:$B$18,"Missing game",0)</x:f>
        <x:v>2025</x:v>
      </x:c>
      <x:c r="AH1965" t="str">
        <x:f>_xlfn.XLOOKUP($A1965,Games!$A$2:$A$18,Games!$C$2:$C$18,"Missing game",0)</x:f>
        <x:v>REG</x:v>
      </x:c>
      <x:c r="AI1965" t="n">
        <x:f>_xlfn.XLOOKUP($A1965,Games!$A$2:$A$18,Games!$D$2:$D$18,"Missing game",0)</x:f>
        <x:v>13</x:v>
      </x:c>
      <x:c r="AJ1965" s="1" t="n">
        <x:f>_xlfn.XLOOKUP($A1965,Games!$A$2:$A$18,Games!$E$2:$E$18,"Missing game",0)</x:f>
        <x:v>45991</x:v>
      </x:c>
      <x:c r="AK1965" t="str">
        <x:f>_xlfn.XLOOKUP($A1965,Games!$A$2:$A$18,Games!$F$2:$F$18,"Missing game",0)</x:f>
        <x:v>Sunday</x:v>
      </x:c>
      <x:c r="AL1965" t="str">
        <x:f>_xlfn.XLOOKUP($A1965,Games!$A$2:$A$18,Games!$G$2:$G$18,"Missing game",0)</x:f>
        <x:v>MIN</x:v>
      </x:c>
      <x:c r="AM1965" t="n">
        <x:f>_xlfn.XLOOKUP($A1965,Games!$A$2:$A$18,Games!$H$2:$H$18,"Missing game",0)</x:f>
        <x:v>0</x:v>
      </x:c>
      <x:c r="AN1965" t="str">
        <x:f>_xlfn.XLOOKUP($A1965,Games!$A$2:$A$18,Games!$I$2:$I$18,"Missing game",0)</x:f>
        <x:v>SEA</x:v>
      </x:c>
      <x:c r="AO1965" t="n">
        <x:f>_xlfn.XLOOKUP($A1965,Games!$A$2:$A$18,Games!$J$2:$J$18,"Missing game",0)</x:f>
        <x:v>26</x:v>
      </x:c>
      <x:c r="AP1965" t="n">
        <x:f>_xlfn.XLOOKUP($A1965,Games!$A$2:$A$18,Games!$K$2:$K$18,"Missing game",0)</x:f>
        <x:v>26</x:v>
      </x:c>
      <x:c r="AQ1965" t="n">
        <x:f>_xlfn.XLOOKUP($A1965,Games!$A$2:$A$18,Games!$L$2:$L$18,"Missing game",0)</x:f>
        <x:v>26</x:v>
      </x:c>
      <x:c r="AR1965" t="n">
        <x:f>_xlfn.XLOOKUP($A1965,Games!$A$2:$A$18,Games!$M$2:$M$18,"Missing game",0)</x:f>
        <x:v>0</x:v>
      </x:c>
      <x:c r="AS1965" t="str">
        <x:f>_xlfn.XLOOKUP($A1965,Games!$A$2:$A$18,Games!$N$2:$N$18,"Missing game",0)</x:f>
        <x:v>outdoors</x:v>
      </x:c>
      <x:c r="AT1965" t="str">
        <x:f>_xlfn.XLOOKUP($A1965,Games!$A$2:$A$18,Games!$O$2:$O$18,"Missing game",0)</x:f>
        <x:v>fieldturf</x:v>
      </x:c>
      <x:c r="AU1965" t="n">
        <x:f>_xlfn.XLOOKUP($A1965,Games!$A$2:$A$18,Games!$P$2:$P$18,"Missing game",0)</x:f>
        <x:v>45</x:v>
      </x:c>
      <x:c r="AV1965" t="n">
        <x:f>_xlfn.XLOOKUP($A1965,Games!$A$2:$A$18,Games!$Q$2:$Q$18,"Missing game",0)</x:f>
        <x:v>2</x:v>
      </x:c>
      <x:c r="AW1965" t="str">
        <x:f>_xlfn.XLOOKUP($A1965,Games!$A$2:$A$18,Games!$R$2:$R$18,"Missing game",0)</x:f>
        <x:v>Lumen Field</x:v>
      </x:c>
    </x:row>
    <x:row r="1966">
      <x:c r="A1966" t="str">
        <x:v>2025_13_MIN_SEA</x:v>
      </x:c>
      <x:c r="B1966" t="n">
        <x:v>2762</x:v>
      </x:c>
      <x:c r="C1966" t="n">
        <x:v>3</x:v>
      </x:c>
      <x:c r="D1966" t="str">
        <x:v>03:08</x:v>
      </x:c>
      <x:c r="E1966" t="n">
        <x:v>1</x:v>
      </x:c>
      <x:c r="F1966" t="n">
        <x:v>10</x:v>
      </x:c>
      <x:c r="G1966" t="str">
        <x:v>MIN</x:v>
      </x:c>
      <x:c r="H1966" t="str">
        <x:v>SEA</x:v>
      </x:c>
      <x:c r="I1966" t="str">
        <x:v>MIN</x:v>
      </x:c>
      <x:c r="J1966" t="n">
        <x:v>67</x:v>
      </x:c>
      <x:c r="K1966" t="str">
        <x:v>(3:08) 27-J.Mason up the middle to MIN 37 for 4 yards (53-B.Mafe; 13-E.Jones).</x:v>
      </x:c>
      <x:c r="L1966" t="str">
        <x:v>run</x:v>
      </x:c>
      <x:c r="M1966" t="n">
        <x:v>4</x:v>
      </x:c>
      <x:c r="N1966" t="n">
        <x:v>0</x:v>
      </x:c>
      <x:c r="O1966" t="n">
        <x:v>0</x:v>
      </x:c>
      <x:c r="P1966"/>
      <x:c r="Q1966"/>
      <x:c r="R1966"/>
      <x:c r="S1966"/>
      <x:c r="T1966" t="str">
        <x:v>middle</x:v>
      </x:c>
      <x:c r="U1966"/>
      <x:c r="V1966" t="n">
        <x:v>0</x:v>
      </x:c>
      <x:c r="W1966" t="n">
        <x:v>0</x:v>
      </x:c>
      <x:c r="X1966" t="n">
        <x:v>0</x:v>
      </x:c>
      <x:c r="Y1966" t="n">
        <x:v>0</x:v>
      </x:c>
      <x:c r="Z1966" t="n">
        <x:v>0</x:v>
      </x:c>
      <x:c r="AA1966" t="n">
        <x:v>0</x:v>
      </x:c>
      <x:c r="AB1966"/>
      <x:c r="AC1966" t="n">
        <x:v>0</x:v>
      </x:c>
      <x:c r="AD1966" t="n">
        <x:v>-0.06406368687748909</x:v>
      </x:c>
      <x:c r="AE1966" t="n">
        <x:v>0</x:v>
      </x:c>
      <x:c r="AF1966" t="n">
        <x:v>-0.003212280571460724</x:v>
      </x:c>
      <x:c r="AG1966" t="n">
        <x:f>_xlfn.XLOOKUP($A1966,Games!$A$2:$A$18,Games!$B$2:$B$18,"Missing game",0)</x:f>
        <x:v>2025</x:v>
      </x:c>
      <x:c r="AH1966" t="str">
        <x:f>_xlfn.XLOOKUP($A1966,Games!$A$2:$A$18,Games!$C$2:$C$18,"Missing game",0)</x:f>
        <x:v>REG</x:v>
      </x:c>
      <x:c r="AI1966" t="n">
        <x:f>_xlfn.XLOOKUP($A1966,Games!$A$2:$A$18,Games!$D$2:$D$18,"Missing game",0)</x:f>
        <x:v>13</x:v>
      </x:c>
      <x:c r="AJ1966" s="1" t="n">
        <x:f>_xlfn.XLOOKUP($A1966,Games!$A$2:$A$18,Games!$E$2:$E$18,"Missing game",0)</x:f>
        <x:v>45991</x:v>
      </x:c>
      <x:c r="AK1966" t="str">
        <x:f>_xlfn.XLOOKUP($A1966,Games!$A$2:$A$18,Games!$F$2:$F$18,"Missing game",0)</x:f>
        <x:v>Sunday</x:v>
      </x:c>
      <x:c r="AL1966" t="str">
        <x:f>_xlfn.XLOOKUP($A1966,Games!$A$2:$A$18,Games!$G$2:$G$18,"Missing game",0)</x:f>
        <x:v>MIN</x:v>
      </x:c>
      <x:c r="AM1966" t="n">
        <x:f>_xlfn.XLOOKUP($A1966,Games!$A$2:$A$18,Games!$H$2:$H$18,"Missing game",0)</x:f>
        <x:v>0</x:v>
      </x:c>
      <x:c r="AN1966" t="str">
        <x:f>_xlfn.XLOOKUP($A1966,Games!$A$2:$A$18,Games!$I$2:$I$18,"Missing game",0)</x:f>
        <x:v>SEA</x:v>
      </x:c>
      <x:c r="AO1966" t="n">
        <x:f>_xlfn.XLOOKUP($A1966,Games!$A$2:$A$18,Games!$J$2:$J$18,"Missing game",0)</x:f>
        <x:v>26</x:v>
      </x:c>
      <x:c r="AP1966" t="n">
        <x:f>_xlfn.XLOOKUP($A1966,Games!$A$2:$A$18,Games!$K$2:$K$18,"Missing game",0)</x:f>
        <x:v>26</x:v>
      </x:c>
      <x:c r="AQ1966" t="n">
        <x:f>_xlfn.XLOOKUP($A1966,Games!$A$2:$A$18,Games!$L$2:$L$18,"Missing game",0)</x:f>
        <x:v>26</x:v>
      </x:c>
      <x:c r="AR1966" t="n">
        <x:f>_xlfn.XLOOKUP($A1966,Games!$A$2:$A$18,Games!$M$2:$M$18,"Missing game",0)</x:f>
        <x:v>0</x:v>
      </x:c>
      <x:c r="AS1966" t="str">
        <x:f>_xlfn.XLOOKUP($A1966,Games!$A$2:$A$18,Games!$N$2:$N$18,"Missing game",0)</x:f>
        <x:v>outdoors</x:v>
      </x:c>
      <x:c r="AT1966" t="str">
        <x:f>_xlfn.XLOOKUP($A1966,Games!$A$2:$A$18,Games!$O$2:$O$18,"Missing game",0)</x:f>
        <x:v>fieldturf</x:v>
      </x:c>
      <x:c r="AU1966" t="n">
        <x:f>_xlfn.XLOOKUP($A1966,Games!$A$2:$A$18,Games!$P$2:$P$18,"Missing game",0)</x:f>
        <x:v>45</x:v>
      </x:c>
      <x:c r="AV1966" t="n">
        <x:f>_xlfn.XLOOKUP($A1966,Games!$A$2:$A$18,Games!$Q$2:$Q$18,"Missing game",0)</x:f>
        <x:v>2</x:v>
      </x:c>
      <x:c r="AW1966" t="str">
        <x:f>_xlfn.XLOOKUP($A1966,Games!$A$2:$A$18,Games!$R$2:$R$18,"Missing game",0)</x:f>
        <x:v>Lumen Field</x:v>
      </x:c>
    </x:row>
    <x:row r="1967">
      <x:c r="A1967" t="str">
        <x:v>2025_13_MIN_SEA</x:v>
      </x:c>
      <x:c r="B1967" t="n">
        <x:v>2784</x:v>
      </x:c>
      <x:c r="C1967" t="n">
        <x:v>3</x:v>
      </x:c>
      <x:c r="D1967" t="str">
        <x:v>02:48</x:v>
      </x:c>
      <x:c r="E1967" t="n">
        <x:v>2</x:v>
      </x:c>
      <x:c r="F1967" t="n">
        <x:v>6</x:v>
      </x:c>
      <x:c r="G1967" t="str">
        <x:v>MIN</x:v>
      </x:c>
      <x:c r="H1967" t="str">
        <x:v>SEA</x:v>
      </x:c>
      <x:c r="I1967" t="str">
        <x:v>MIN</x:v>
      </x:c>
      <x:c r="J1967" t="n">
        <x:v>63</x:v>
      </x:c>
      <x:c r="K1967" t="str">
        <x:v>(2:48) (No Huddle) 12-M.Brosmer pass short middle to 87-T.Hockenson to MIN 38 for 1 yard (13-E.Jones).</x:v>
      </x:c>
      <x:c r="L1967" t="str">
        <x:v>pass</x:v>
      </x:c>
      <x:c r="M1967" t="n">
        <x:v>1</x:v>
      </x:c>
      <x:c r="N1967" t="n">
        <x:v>0</x:v>
      </x:c>
      <x:c r="O1967" t="n">
        <x:v>1</x:v>
      </x:c>
      <x:c r="P1967" t="str">
        <x:v>short</x:v>
      </x:c>
      <x:c r="Q1967" t="str">
        <x:v>middle</x:v>
      </x:c>
      <x:c r="R1967" t="n">
        <x:v>1</x:v>
      </x:c>
      <x:c r="S1967" t="n">
        <x:v>0</x:v>
      </x:c>
      <x:c r="T1967"/>
      <x:c r="U1967"/>
      <x:c r="V1967" t="n">
        <x:v>1</x:v>
      </x:c>
      <x:c r="W1967" t="n">
        <x:v>0</x:v>
      </x:c>
      <x:c r="X1967" t="n">
        <x:v>0</x:v>
      </x:c>
      <x:c r="Y1967" t="n">
        <x:v>0</x:v>
      </x:c>
      <x:c r="Z1967" t="n">
        <x:v>0</x:v>
      </x:c>
      <x:c r="AA1967" t="n">
        <x:v>0</x:v>
      </x:c>
      <x:c r="AB1967"/>
      <x:c r="AC1967" t="n">
        <x:v>0</x:v>
      </x:c>
      <x:c r="AD1967" t="n">
        <x:v>-0.7403223146684468</x:v>
      </x:c>
      <x:c r="AE1967" t="n">
        <x:v>0</x:v>
      </x:c>
      <x:c r="AF1967" t="n">
        <x:v>-0.00527535192668438</x:v>
      </x:c>
      <x:c r="AG1967" t="n">
        <x:f>_xlfn.XLOOKUP($A1967,Games!$A$2:$A$18,Games!$B$2:$B$18,"Missing game",0)</x:f>
        <x:v>2025</x:v>
      </x:c>
      <x:c r="AH1967" t="str">
        <x:f>_xlfn.XLOOKUP($A1967,Games!$A$2:$A$18,Games!$C$2:$C$18,"Missing game",0)</x:f>
        <x:v>REG</x:v>
      </x:c>
      <x:c r="AI1967" t="n">
        <x:f>_xlfn.XLOOKUP($A1967,Games!$A$2:$A$18,Games!$D$2:$D$18,"Missing game",0)</x:f>
        <x:v>13</x:v>
      </x:c>
      <x:c r="AJ1967" s="1" t="n">
        <x:f>_xlfn.XLOOKUP($A1967,Games!$A$2:$A$18,Games!$E$2:$E$18,"Missing game",0)</x:f>
        <x:v>45991</x:v>
      </x:c>
      <x:c r="AK1967" t="str">
        <x:f>_xlfn.XLOOKUP($A1967,Games!$A$2:$A$18,Games!$F$2:$F$18,"Missing game",0)</x:f>
        <x:v>Sunday</x:v>
      </x:c>
      <x:c r="AL1967" t="str">
        <x:f>_xlfn.XLOOKUP($A1967,Games!$A$2:$A$18,Games!$G$2:$G$18,"Missing game",0)</x:f>
        <x:v>MIN</x:v>
      </x:c>
      <x:c r="AM1967" t="n">
        <x:f>_xlfn.XLOOKUP($A1967,Games!$A$2:$A$18,Games!$H$2:$H$18,"Missing game",0)</x:f>
        <x:v>0</x:v>
      </x:c>
      <x:c r="AN1967" t="str">
        <x:f>_xlfn.XLOOKUP($A1967,Games!$A$2:$A$18,Games!$I$2:$I$18,"Missing game",0)</x:f>
        <x:v>SEA</x:v>
      </x:c>
      <x:c r="AO1967" t="n">
        <x:f>_xlfn.XLOOKUP($A1967,Games!$A$2:$A$18,Games!$J$2:$J$18,"Missing game",0)</x:f>
        <x:v>26</x:v>
      </x:c>
      <x:c r="AP1967" t="n">
        <x:f>_xlfn.XLOOKUP($A1967,Games!$A$2:$A$18,Games!$K$2:$K$18,"Missing game",0)</x:f>
        <x:v>26</x:v>
      </x:c>
      <x:c r="AQ1967" t="n">
        <x:f>_xlfn.XLOOKUP($A1967,Games!$A$2:$A$18,Games!$L$2:$L$18,"Missing game",0)</x:f>
        <x:v>26</x:v>
      </x:c>
      <x:c r="AR1967" t="n">
        <x:f>_xlfn.XLOOKUP($A1967,Games!$A$2:$A$18,Games!$M$2:$M$18,"Missing game",0)</x:f>
        <x:v>0</x:v>
      </x:c>
      <x:c r="AS1967" t="str">
        <x:f>_xlfn.XLOOKUP($A1967,Games!$A$2:$A$18,Games!$N$2:$N$18,"Missing game",0)</x:f>
        <x:v>outdoors</x:v>
      </x:c>
      <x:c r="AT1967" t="str">
        <x:f>_xlfn.XLOOKUP($A1967,Games!$A$2:$A$18,Games!$O$2:$O$18,"Missing game",0)</x:f>
        <x:v>fieldturf</x:v>
      </x:c>
      <x:c r="AU1967" t="n">
        <x:f>_xlfn.XLOOKUP($A1967,Games!$A$2:$A$18,Games!$P$2:$P$18,"Missing game",0)</x:f>
        <x:v>45</x:v>
      </x:c>
      <x:c r="AV1967" t="n">
        <x:f>_xlfn.XLOOKUP($A1967,Games!$A$2:$A$18,Games!$Q$2:$Q$18,"Missing game",0)</x:f>
        <x:v>2</x:v>
      </x:c>
      <x:c r="AW1967" t="str">
        <x:f>_xlfn.XLOOKUP($A1967,Games!$A$2:$A$18,Games!$R$2:$R$18,"Missing game",0)</x:f>
        <x:v>Lumen Field</x:v>
      </x:c>
    </x:row>
    <x:row r="1968">
      <x:c r="A1968" t="str">
        <x:v>2025_13_MIN_SEA</x:v>
      </x:c>
      <x:c r="B1968" t="n">
        <x:v>2809</x:v>
      </x:c>
      <x:c r="C1968" t="n">
        <x:v>3</x:v>
      </x:c>
      <x:c r="D1968" t="str">
        <x:v>02:07</x:v>
      </x:c>
      <x:c r="E1968" t="n">
        <x:v>3</x:v>
      </x:c>
      <x:c r="F1968" t="n">
        <x:v>5</x:v>
      </x:c>
      <x:c r="G1968" t="str">
        <x:v>MIN</x:v>
      </x:c>
      <x:c r="H1968" t="str">
        <x:v>SEA</x:v>
      </x:c>
      <x:c r="I1968" t="str">
        <x:v>MIN</x:v>
      </x:c>
      <x:c r="J1968" t="n">
        <x:v>62</x:v>
      </x:c>
      <x:c r="K1968" t="str">
        <x:v>(2:07) (Shotgun) 12-M.Brosmer pass short right to 87-T.Hockenson to MIN 44 for 6 yards (13-E.Jones).</x:v>
      </x:c>
      <x:c r="L1968" t="str">
        <x:v>pass</x:v>
      </x:c>
      <x:c r="M1968" t="n">
        <x:v>6</x:v>
      </x:c>
      <x:c r="N1968" t="n">
        <x:v>1</x:v>
      </x:c>
      <x:c r="O1968" t="n">
        <x:v>0</x:v>
      </x:c>
      <x:c r="P1968" t="str">
        <x:v>short</x:v>
      </x:c>
      <x:c r="Q1968" t="str">
        <x:v>right</x:v>
      </x:c>
      <x:c r="R1968" t="n">
        <x:v>6</x:v>
      </x:c>
      <x:c r="S1968" t="n">
        <x:v>0</x:v>
      </x:c>
      <x:c r="T1968"/>
      <x:c r="U1968"/>
      <x:c r="V1968" t="n">
        <x:v>1</x:v>
      </x:c>
      <x:c r="W1968" t="n">
        <x:v>1</x:v>
      </x:c>
      <x:c r="X1968" t="n">
        <x:v>0</x:v>
      </x:c>
      <x:c r="Y1968" t="n">
        <x:v>0</x:v>
      </x:c>
      <x:c r="Z1968" t="n">
        <x:v>0</x:v>
      </x:c>
      <x:c r="AA1968" t="n">
        <x:v>0</x:v>
      </x:c>
      <x:c r="AB1968"/>
      <x:c r="AC1968" t="n">
        <x:v>0</x:v>
      </x:c>
      <x:c r="AD1968" t="n">
        <x:v>1.5357222857419401</x:v>
      </x:c>
      <x:c r="AE1968" t="n">
        <x:v>1</x:v>
      </x:c>
      <x:c r="AF1968" t="n">
        <x:v>0.002365054562687874</x:v>
      </x:c>
      <x:c r="AG1968" t="n">
        <x:f>_xlfn.XLOOKUP($A1968,Games!$A$2:$A$18,Games!$B$2:$B$18,"Missing game",0)</x:f>
        <x:v>2025</x:v>
      </x:c>
      <x:c r="AH1968" t="str">
        <x:f>_xlfn.XLOOKUP($A1968,Games!$A$2:$A$18,Games!$C$2:$C$18,"Missing game",0)</x:f>
        <x:v>REG</x:v>
      </x:c>
      <x:c r="AI1968" t="n">
        <x:f>_xlfn.XLOOKUP($A1968,Games!$A$2:$A$18,Games!$D$2:$D$18,"Missing game",0)</x:f>
        <x:v>13</x:v>
      </x:c>
      <x:c r="AJ1968" s="1" t="n">
        <x:f>_xlfn.XLOOKUP($A1968,Games!$A$2:$A$18,Games!$E$2:$E$18,"Missing game",0)</x:f>
        <x:v>45991</x:v>
      </x:c>
      <x:c r="AK1968" t="str">
        <x:f>_xlfn.XLOOKUP($A1968,Games!$A$2:$A$18,Games!$F$2:$F$18,"Missing game",0)</x:f>
        <x:v>Sunday</x:v>
      </x:c>
      <x:c r="AL1968" t="str">
        <x:f>_xlfn.XLOOKUP($A1968,Games!$A$2:$A$18,Games!$G$2:$G$18,"Missing game",0)</x:f>
        <x:v>MIN</x:v>
      </x:c>
      <x:c r="AM1968" t="n">
        <x:f>_xlfn.XLOOKUP($A1968,Games!$A$2:$A$18,Games!$H$2:$H$18,"Missing game",0)</x:f>
        <x:v>0</x:v>
      </x:c>
      <x:c r="AN1968" t="str">
        <x:f>_xlfn.XLOOKUP($A1968,Games!$A$2:$A$18,Games!$I$2:$I$18,"Missing game",0)</x:f>
        <x:v>SEA</x:v>
      </x:c>
      <x:c r="AO1968" t="n">
        <x:f>_xlfn.XLOOKUP($A1968,Games!$A$2:$A$18,Games!$J$2:$J$18,"Missing game",0)</x:f>
        <x:v>26</x:v>
      </x:c>
      <x:c r="AP1968" t="n">
        <x:f>_xlfn.XLOOKUP($A1968,Games!$A$2:$A$18,Games!$K$2:$K$18,"Missing game",0)</x:f>
        <x:v>26</x:v>
      </x:c>
      <x:c r="AQ1968" t="n">
        <x:f>_xlfn.XLOOKUP($A1968,Games!$A$2:$A$18,Games!$L$2:$L$18,"Missing game",0)</x:f>
        <x:v>26</x:v>
      </x:c>
      <x:c r="AR1968" t="n">
        <x:f>_xlfn.XLOOKUP($A1968,Games!$A$2:$A$18,Games!$M$2:$M$18,"Missing game",0)</x:f>
        <x:v>0</x:v>
      </x:c>
      <x:c r="AS1968" t="str">
        <x:f>_xlfn.XLOOKUP($A1968,Games!$A$2:$A$18,Games!$N$2:$N$18,"Missing game",0)</x:f>
        <x:v>outdoors</x:v>
      </x:c>
      <x:c r="AT1968" t="str">
        <x:f>_xlfn.XLOOKUP($A1968,Games!$A$2:$A$18,Games!$O$2:$O$18,"Missing game",0)</x:f>
        <x:v>fieldturf</x:v>
      </x:c>
      <x:c r="AU1968" t="n">
        <x:f>_xlfn.XLOOKUP($A1968,Games!$A$2:$A$18,Games!$P$2:$P$18,"Missing game",0)</x:f>
        <x:v>45</x:v>
      </x:c>
      <x:c r="AV1968" t="n">
        <x:f>_xlfn.XLOOKUP($A1968,Games!$A$2:$A$18,Games!$Q$2:$Q$18,"Missing game",0)</x:f>
        <x:v>2</x:v>
      </x:c>
      <x:c r="AW1968" t="str">
        <x:f>_xlfn.XLOOKUP($A1968,Games!$A$2:$A$18,Games!$R$2:$R$18,"Missing game",0)</x:f>
        <x:v>Lumen Field</x:v>
      </x:c>
    </x:row>
    <x:row r="1969">
      <x:c r="A1969" t="str">
        <x:v>2025_13_MIN_SEA</x:v>
      </x:c>
      <x:c r="B1969" t="n">
        <x:v>2834</x:v>
      </x:c>
      <x:c r="C1969" t="n">
        <x:v>3</x:v>
      </x:c>
      <x:c r="D1969" t="str">
        <x:v>01:28</x:v>
      </x:c>
      <x:c r="E1969" t="n">
        <x:v>1</x:v>
      </x:c>
      <x:c r="F1969" t="n">
        <x:v>10</x:v>
      </x:c>
      <x:c r="G1969" t="str">
        <x:v>MIN</x:v>
      </x:c>
      <x:c r="H1969" t="str">
        <x:v>SEA</x:v>
      </x:c>
      <x:c r="I1969" t="str">
        <x:v>MIN</x:v>
      </x:c>
      <x:c r="J1969" t="n">
        <x:v>56</x:v>
      </x:c>
      <x:c r="K1969" t="str">
        <x:v>(1:28) (Shotgun) 12-M.Brosmer pass short left to 18-J.Jefferson to MIN 40 for -4 yards (3-N.Emmanwori) [42-D.Thomas]. PENALTY on SEA-3-N.Emmanwori, Unnecessary Roughness, 15 yards, enforced at MIN 40.</x:v>
      </x:c>
      <x:c r="L1969" t="str">
        <x:v>pass</x:v>
      </x:c>
      <x:c r="M1969" t="n">
        <x:v>-4</x:v>
      </x:c>
      <x:c r="N1969" t="n">
        <x:v>1</x:v>
      </x:c>
      <x:c r="O1969" t="n">
        <x:v>0</x:v>
      </x:c>
      <x:c r="P1969" t="str">
        <x:v>short</x:v>
      </x:c>
      <x:c r="Q1969" t="str">
        <x:v>left</x:v>
      </x:c>
      <x:c r="R1969" t="n">
        <x:v>-4</x:v>
      </x:c>
      <x:c r="S1969" t="n">
        <x:v>0</x:v>
      </x:c>
      <x:c r="T1969"/>
      <x:c r="U1969"/>
      <x:c r="V1969" t="n">
        <x:v>1</x:v>
      </x:c>
      <x:c r="W1969" t="n">
        <x:v>1</x:v>
      </x:c>
      <x:c r="X1969" t="n">
        <x:v>0</x:v>
      </x:c>
      <x:c r="Y1969" t="n">
        <x:v>0</x:v>
      </x:c>
      <x:c r="Z1969" t="n">
        <x:v>0</x:v>
      </x:c>
      <x:c r="AA1969" t="n">
        <x:v>1</x:v>
      </x:c>
      <x:c r="AB1969" t="n">
        <x:v>15</x:v>
      </x:c>
      <x:c r="AC1969" t="n">
        <x:v>0</x:v>
      </x:c>
      <x:c r="AD1969" t="n">
        <x:v>0.7716814882587641</x:v>
      </x:c>
      <x:c r="AE1969" t="n">
        <x:v>1</x:v>
      </x:c>
      <x:c r="AF1969" t="n">
        <x:v>-0.0007993839681148529</x:v>
      </x:c>
      <x:c r="AG1969" t="n">
        <x:f>_xlfn.XLOOKUP($A1969,Games!$A$2:$A$18,Games!$B$2:$B$18,"Missing game",0)</x:f>
        <x:v>2025</x:v>
      </x:c>
      <x:c r="AH1969" t="str">
        <x:f>_xlfn.XLOOKUP($A1969,Games!$A$2:$A$18,Games!$C$2:$C$18,"Missing game",0)</x:f>
        <x:v>REG</x:v>
      </x:c>
      <x:c r="AI1969" t="n">
        <x:f>_xlfn.XLOOKUP($A1969,Games!$A$2:$A$18,Games!$D$2:$D$18,"Missing game",0)</x:f>
        <x:v>13</x:v>
      </x:c>
      <x:c r="AJ1969" s="1" t="n">
        <x:f>_xlfn.XLOOKUP($A1969,Games!$A$2:$A$18,Games!$E$2:$E$18,"Missing game",0)</x:f>
        <x:v>45991</x:v>
      </x:c>
      <x:c r="AK1969" t="str">
        <x:f>_xlfn.XLOOKUP($A1969,Games!$A$2:$A$18,Games!$F$2:$F$18,"Missing game",0)</x:f>
        <x:v>Sunday</x:v>
      </x:c>
      <x:c r="AL1969" t="str">
        <x:f>_xlfn.XLOOKUP($A1969,Games!$A$2:$A$18,Games!$G$2:$G$18,"Missing game",0)</x:f>
        <x:v>MIN</x:v>
      </x:c>
      <x:c r="AM1969" t="n">
        <x:f>_xlfn.XLOOKUP($A1969,Games!$A$2:$A$18,Games!$H$2:$H$18,"Missing game",0)</x:f>
        <x:v>0</x:v>
      </x:c>
      <x:c r="AN1969" t="str">
        <x:f>_xlfn.XLOOKUP($A1969,Games!$A$2:$A$18,Games!$I$2:$I$18,"Missing game",0)</x:f>
        <x:v>SEA</x:v>
      </x:c>
      <x:c r="AO1969" t="n">
        <x:f>_xlfn.XLOOKUP($A1969,Games!$A$2:$A$18,Games!$J$2:$J$18,"Missing game",0)</x:f>
        <x:v>26</x:v>
      </x:c>
      <x:c r="AP1969" t="n">
        <x:f>_xlfn.XLOOKUP($A1969,Games!$A$2:$A$18,Games!$K$2:$K$18,"Missing game",0)</x:f>
        <x:v>26</x:v>
      </x:c>
      <x:c r="AQ1969" t="n">
        <x:f>_xlfn.XLOOKUP($A1969,Games!$A$2:$A$18,Games!$L$2:$L$18,"Missing game",0)</x:f>
        <x:v>26</x:v>
      </x:c>
      <x:c r="AR1969" t="n">
        <x:f>_xlfn.XLOOKUP($A1969,Games!$A$2:$A$18,Games!$M$2:$M$18,"Missing game",0)</x:f>
        <x:v>0</x:v>
      </x:c>
      <x:c r="AS1969" t="str">
        <x:f>_xlfn.XLOOKUP($A1969,Games!$A$2:$A$18,Games!$N$2:$N$18,"Missing game",0)</x:f>
        <x:v>outdoors</x:v>
      </x:c>
      <x:c r="AT1969" t="str">
        <x:f>_xlfn.XLOOKUP($A1969,Games!$A$2:$A$18,Games!$O$2:$O$18,"Missing game",0)</x:f>
        <x:v>fieldturf</x:v>
      </x:c>
      <x:c r="AU1969" t="n">
        <x:f>_xlfn.XLOOKUP($A1969,Games!$A$2:$A$18,Games!$P$2:$P$18,"Missing game",0)</x:f>
        <x:v>45</x:v>
      </x:c>
      <x:c r="AV1969" t="n">
        <x:f>_xlfn.XLOOKUP($A1969,Games!$A$2:$A$18,Games!$Q$2:$Q$18,"Missing game",0)</x:f>
        <x:v>2</x:v>
      </x:c>
      <x:c r="AW1969" t="str">
        <x:f>_xlfn.XLOOKUP($A1969,Games!$A$2:$A$18,Games!$R$2:$R$18,"Missing game",0)</x:f>
        <x:v>Lumen Field</x:v>
      </x:c>
    </x:row>
    <x:row r="1970">
      <x:c r="A1970" t="str">
        <x:v>2025_13_MIN_SEA</x:v>
      </x:c>
      <x:c r="B1970" t="n">
        <x:v>2870</x:v>
      </x:c>
      <x:c r="C1970" t="n">
        <x:v>3</x:v>
      </x:c>
      <x:c r="D1970" t="str">
        <x:v>01:09</x:v>
      </x:c>
      <x:c r="E1970" t="n">
        <x:v>1</x:v>
      </x:c>
      <x:c r="F1970" t="n">
        <x:v>10</x:v>
      </x:c>
      <x:c r="G1970" t="str">
        <x:v>MIN</x:v>
      </x:c>
      <x:c r="H1970" t="str">
        <x:v>SEA</x:v>
      </x:c>
      <x:c r="I1970" t="str">
        <x:v>SEA</x:v>
      </x:c>
      <x:c r="J1970" t="n">
        <x:v>45</x:v>
      </x:c>
      <x:c r="K1970" t="str">
        <x:v>(1:09) 12-M.Brosmer pass deep right intended for 1-J.Nailor INTERCEPTED by 8-C.Bryant at SEA 21. 8-C.Bryant to SEA 21 for no gain (1-J.Nailor).</x:v>
      </x:c>
      <x:c r="L1970" t="str">
        <x:v>pass</x:v>
      </x:c>
      <x:c r="M1970" t="n">
        <x:v>0</x:v>
      </x:c>
      <x:c r="N1970" t="n">
        <x:v>0</x:v>
      </x:c>
      <x:c r="O1970" t="n">
        <x:v>0</x:v>
      </x:c>
      <x:c r="P1970" t="str">
        <x:v>deep</x:v>
      </x:c>
      <x:c r="Q1970" t="str">
        <x:v>right</x:v>
      </x:c>
      <x:c r="R1970" t="n">
        <x:v>24</x:v>
      </x:c>
      <x:c r="S1970"/>
      <x:c r="T1970"/>
      <x:c r="U1970"/>
      <x:c r="V1970" t="n">
        <x:v>0</x:v>
      </x:c>
      <x:c r="W1970" t="n">
        <x:v>0</x:v>
      </x:c>
      <x:c r="X1970" t="n">
        <x:v>0</x:v>
      </x:c>
      <x:c r="Y1970" t="n">
        <x:v>1</x:v>
      </x:c>
      <x:c r="Z1970" t="n">
        <x:v>0</x:v>
      </x:c>
      <x:c r="AA1970" t="n">
        <x:v>0</x:v>
      </x:c>
      <x:c r="AB1970"/>
      <x:c r="AC1970" t="n">
        <x:v>0</x:v>
      </x:c>
      <x:c r="AD1970" t="n">
        <x:v>-3.7170739443972707</x:v>
      </x:c>
      <x:c r="AE1970" t="n">
        <x:v>0</x:v>
      </x:c>
      <x:c r="AF1970" t="n">
        <x:v>-0.01707541197538376</x:v>
      </x:c>
      <x:c r="AG1970" t="n">
        <x:f>_xlfn.XLOOKUP($A1970,Games!$A$2:$A$18,Games!$B$2:$B$18,"Missing game",0)</x:f>
        <x:v>2025</x:v>
      </x:c>
      <x:c r="AH1970" t="str">
        <x:f>_xlfn.XLOOKUP($A1970,Games!$A$2:$A$18,Games!$C$2:$C$18,"Missing game",0)</x:f>
        <x:v>REG</x:v>
      </x:c>
      <x:c r="AI1970" t="n">
        <x:f>_xlfn.XLOOKUP($A1970,Games!$A$2:$A$18,Games!$D$2:$D$18,"Missing game",0)</x:f>
        <x:v>13</x:v>
      </x:c>
      <x:c r="AJ1970" s="1" t="n">
        <x:f>_xlfn.XLOOKUP($A1970,Games!$A$2:$A$18,Games!$E$2:$E$18,"Missing game",0)</x:f>
        <x:v>45991</x:v>
      </x:c>
      <x:c r="AK1970" t="str">
        <x:f>_xlfn.XLOOKUP($A1970,Games!$A$2:$A$18,Games!$F$2:$F$18,"Missing game",0)</x:f>
        <x:v>Sunday</x:v>
      </x:c>
      <x:c r="AL1970" t="str">
        <x:f>_xlfn.XLOOKUP($A1970,Games!$A$2:$A$18,Games!$G$2:$G$18,"Missing game",0)</x:f>
        <x:v>MIN</x:v>
      </x:c>
      <x:c r="AM1970" t="n">
        <x:f>_xlfn.XLOOKUP($A1970,Games!$A$2:$A$18,Games!$H$2:$H$18,"Missing game",0)</x:f>
        <x:v>0</x:v>
      </x:c>
      <x:c r="AN1970" t="str">
        <x:f>_xlfn.XLOOKUP($A1970,Games!$A$2:$A$18,Games!$I$2:$I$18,"Missing game",0)</x:f>
        <x:v>SEA</x:v>
      </x:c>
      <x:c r="AO1970" t="n">
        <x:f>_xlfn.XLOOKUP($A1970,Games!$A$2:$A$18,Games!$J$2:$J$18,"Missing game",0)</x:f>
        <x:v>26</x:v>
      </x:c>
      <x:c r="AP1970" t="n">
        <x:f>_xlfn.XLOOKUP($A1970,Games!$A$2:$A$18,Games!$K$2:$K$18,"Missing game",0)</x:f>
        <x:v>26</x:v>
      </x:c>
      <x:c r="AQ1970" t="n">
        <x:f>_xlfn.XLOOKUP($A1970,Games!$A$2:$A$18,Games!$L$2:$L$18,"Missing game",0)</x:f>
        <x:v>26</x:v>
      </x:c>
      <x:c r="AR1970" t="n">
        <x:f>_xlfn.XLOOKUP($A1970,Games!$A$2:$A$18,Games!$M$2:$M$18,"Missing game",0)</x:f>
        <x:v>0</x:v>
      </x:c>
      <x:c r="AS1970" t="str">
        <x:f>_xlfn.XLOOKUP($A1970,Games!$A$2:$A$18,Games!$N$2:$N$18,"Missing game",0)</x:f>
        <x:v>outdoors</x:v>
      </x:c>
      <x:c r="AT1970" t="str">
        <x:f>_xlfn.XLOOKUP($A1970,Games!$A$2:$A$18,Games!$O$2:$O$18,"Missing game",0)</x:f>
        <x:v>fieldturf</x:v>
      </x:c>
      <x:c r="AU1970" t="n">
        <x:f>_xlfn.XLOOKUP($A1970,Games!$A$2:$A$18,Games!$P$2:$P$18,"Missing game",0)</x:f>
        <x:v>45</x:v>
      </x:c>
      <x:c r="AV1970" t="n">
        <x:f>_xlfn.XLOOKUP($A1970,Games!$A$2:$A$18,Games!$Q$2:$Q$18,"Missing game",0)</x:f>
        <x:v>2</x:v>
      </x:c>
      <x:c r="AW1970" t="str">
        <x:f>_xlfn.XLOOKUP($A1970,Games!$A$2:$A$18,Games!$R$2:$R$18,"Missing game",0)</x:f>
        <x:v>Lumen Field</x:v>
      </x:c>
    </x:row>
    <x:row r="1971">
      <x:c r="A1971" t="str">
        <x:v>2025_13_MIN_SEA</x:v>
      </x:c>
      <x:c r="B1971" t="n">
        <x:v>2904</x:v>
      </x:c>
      <x:c r="C1971" t="n">
        <x:v>3</x:v>
      </x:c>
      <x:c r="D1971" t="str">
        <x:v>01:02</x:v>
      </x:c>
      <x:c r="E1971" t="n">
        <x:v>1</x:v>
      </x:c>
      <x:c r="F1971" t="n">
        <x:v>10</x:v>
      </x:c>
      <x:c r="G1971" t="str">
        <x:v>SEA</x:v>
      </x:c>
      <x:c r="H1971" t="str">
        <x:v>MIN</x:v>
      </x:c>
      <x:c r="I1971" t="str">
        <x:v>SEA</x:v>
      </x:c>
      <x:c r="J1971" t="n">
        <x:v>79</x:v>
      </x:c>
      <x:c r="K1971" t="str">
        <x:v>(1:02) 9-K.Walker right end pushed ob at SEA 25 for 4 yards (55-E.Wilson).</x:v>
      </x:c>
      <x:c r="L1971" t="str">
        <x:v>run</x:v>
      </x:c>
      <x:c r="M1971" t="n">
        <x:v>4</x:v>
      </x:c>
      <x:c r="N1971" t="n">
        <x:v>0</x:v>
      </x:c>
      <x:c r="O1971" t="n">
        <x:v>0</x:v>
      </x:c>
      <x:c r="P1971"/>
      <x:c r="Q1971"/>
      <x:c r="R1971"/>
      <x:c r="S1971"/>
      <x:c r="T1971" t="str">
        <x:v>right</x:v>
      </x:c>
      <x:c r="U1971" t="str">
        <x:v>end</x:v>
      </x:c>
      <x:c r="V1971" t="n">
        <x:v>0</x:v>
      </x:c>
      <x:c r="W1971" t="n">
        <x:v>0</x:v>
      </x:c>
      <x:c r="X1971" t="n">
        <x:v>0</x:v>
      </x:c>
      <x:c r="Y1971" t="n">
        <x:v>0</x:v>
      </x:c>
      <x:c r="Z1971" t="n">
        <x:v>0</x:v>
      </x:c>
      <x:c r="AA1971" t="n">
        <x:v>0</x:v>
      </x:c>
      <x:c r="AB1971"/>
      <x:c r="AC1971" t="n">
        <x:v>0</x:v>
      </x:c>
      <x:c r="AD1971" t="n">
        <x:v>-0.024854708462953568</x:v>
      </x:c>
      <x:c r="AE1971" t="n">
        <x:v>0</x:v>
      </x:c>
      <x:c r="AF1971" t="n">
        <x:v>-0.0011084675788879395</x:v>
      </x:c>
      <x:c r="AG1971" t="n">
        <x:f>_xlfn.XLOOKUP($A1971,Games!$A$2:$A$18,Games!$B$2:$B$18,"Missing game",0)</x:f>
        <x:v>2025</x:v>
      </x:c>
      <x:c r="AH1971" t="str">
        <x:f>_xlfn.XLOOKUP($A1971,Games!$A$2:$A$18,Games!$C$2:$C$18,"Missing game",0)</x:f>
        <x:v>REG</x:v>
      </x:c>
      <x:c r="AI1971" t="n">
        <x:f>_xlfn.XLOOKUP($A1971,Games!$A$2:$A$18,Games!$D$2:$D$18,"Missing game",0)</x:f>
        <x:v>13</x:v>
      </x:c>
      <x:c r="AJ1971" s="1" t="n">
        <x:f>_xlfn.XLOOKUP($A1971,Games!$A$2:$A$18,Games!$E$2:$E$18,"Missing game",0)</x:f>
        <x:v>45991</x:v>
      </x:c>
      <x:c r="AK1971" t="str">
        <x:f>_xlfn.XLOOKUP($A1971,Games!$A$2:$A$18,Games!$F$2:$F$18,"Missing game",0)</x:f>
        <x:v>Sunday</x:v>
      </x:c>
      <x:c r="AL1971" t="str">
        <x:f>_xlfn.XLOOKUP($A1971,Games!$A$2:$A$18,Games!$G$2:$G$18,"Missing game",0)</x:f>
        <x:v>MIN</x:v>
      </x:c>
      <x:c r="AM1971" t="n">
        <x:f>_xlfn.XLOOKUP($A1971,Games!$A$2:$A$18,Games!$H$2:$H$18,"Missing game",0)</x:f>
        <x:v>0</x:v>
      </x:c>
      <x:c r="AN1971" t="str">
        <x:f>_xlfn.XLOOKUP($A1971,Games!$A$2:$A$18,Games!$I$2:$I$18,"Missing game",0)</x:f>
        <x:v>SEA</x:v>
      </x:c>
      <x:c r="AO1971" t="n">
        <x:f>_xlfn.XLOOKUP($A1971,Games!$A$2:$A$18,Games!$J$2:$J$18,"Missing game",0)</x:f>
        <x:v>26</x:v>
      </x:c>
      <x:c r="AP1971" t="n">
        <x:f>_xlfn.XLOOKUP($A1971,Games!$A$2:$A$18,Games!$K$2:$K$18,"Missing game",0)</x:f>
        <x:v>26</x:v>
      </x:c>
      <x:c r="AQ1971" t="n">
        <x:f>_xlfn.XLOOKUP($A1971,Games!$A$2:$A$18,Games!$L$2:$L$18,"Missing game",0)</x:f>
        <x:v>26</x:v>
      </x:c>
      <x:c r="AR1971" t="n">
        <x:f>_xlfn.XLOOKUP($A1971,Games!$A$2:$A$18,Games!$M$2:$M$18,"Missing game",0)</x:f>
        <x:v>0</x:v>
      </x:c>
      <x:c r="AS1971" t="str">
        <x:f>_xlfn.XLOOKUP($A1971,Games!$A$2:$A$18,Games!$N$2:$N$18,"Missing game",0)</x:f>
        <x:v>outdoors</x:v>
      </x:c>
      <x:c r="AT1971" t="str">
        <x:f>_xlfn.XLOOKUP($A1971,Games!$A$2:$A$18,Games!$O$2:$O$18,"Missing game",0)</x:f>
        <x:v>fieldturf</x:v>
      </x:c>
      <x:c r="AU1971" t="n">
        <x:f>_xlfn.XLOOKUP($A1971,Games!$A$2:$A$18,Games!$P$2:$P$18,"Missing game",0)</x:f>
        <x:v>45</x:v>
      </x:c>
      <x:c r="AV1971" t="n">
        <x:f>_xlfn.XLOOKUP($A1971,Games!$A$2:$A$18,Games!$Q$2:$Q$18,"Missing game",0)</x:f>
        <x:v>2</x:v>
      </x:c>
      <x:c r="AW1971" t="str">
        <x:f>_xlfn.XLOOKUP($A1971,Games!$A$2:$A$18,Games!$R$2:$R$18,"Missing game",0)</x:f>
        <x:v>Lumen Field</x:v>
      </x:c>
    </x:row>
    <x:row r="1972">
      <x:c r="A1972" t="str">
        <x:v>2025_13_MIN_SEA</x:v>
      </x:c>
      <x:c r="B1972" t="n">
        <x:v>2931</x:v>
      </x:c>
      <x:c r="C1972" t="n">
        <x:v>3</x:v>
      </x:c>
      <x:c r="D1972" t="str">
        <x:v>00:25</x:v>
      </x:c>
      <x:c r="E1972" t="n">
        <x:v>2</x:v>
      </x:c>
      <x:c r="F1972" t="n">
        <x:v>6</x:v>
      </x:c>
      <x:c r="G1972" t="str">
        <x:v>SEA</x:v>
      </x:c>
      <x:c r="H1972" t="str">
        <x:v>MIN</x:v>
      </x:c>
      <x:c r="I1972" t="str">
        <x:v>SEA</x:v>
      </x:c>
      <x:c r="J1972" t="n">
        <x:v>75</x:v>
      </x:c>
      <x:c r="K1972" t="str">
        <x:v>(:25) 14-S.Darnold pass short left to 11-J.Smith-Njigba to SEA 42 for 17 yards (43-A.Van Ginkel).</x:v>
      </x:c>
      <x:c r="L1972" t="str">
        <x:v>pass</x:v>
      </x:c>
      <x:c r="M1972" t="n">
        <x:v>17</x:v>
      </x:c>
      <x:c r="N1972" t="n">
        <x:v>0</x:v>
      </x:c>
      <x:c r="O1972" t="n">
        <x:v>0</x:v>
      </x:c>
      <x:c r="P1972" t="str">
        <x:v>short</x:v>
      </x:c>
      <x:c r="Q1972" t="str">
        <x:v>left</x:v>
      </x:c>
      <x:c r="R1972" t="n">
        <x:v>-2</x:v>
      </x:c>
      <x:c r="S1972" t="n">
        <x:v>19</x:v>
      </x:c>
      <x:c r="T1972"/>
      <x:c r="U1972"/>
      <x:c r="V1972" t="n">
        <x:v>1</x:v>
      </x:c>
      <x:c r="W1972" t="n">
        <x:v>1</x:v>
      </x:c>
      <x:c r="X1972" t="n">
        <x:v>0</x:v>
      </x:c>
      <x:c r="Y1972" t="n">
        <x:v>0</x:v>
      </x:c>
      <x:c r="Z1972" t="n">
        <x:v>0</x:v>
      </x:c>
      <x:c r="AA1972" t="n">
        <x:v>0</x:v>
      </x:c>
      <x:c r="AB1972"/>
      <x:c r="AC1972" t="n">
        <x:v>0</x:v>
      </x:c>
      <x:c r="AD1972" t="n">
        <x:v>1.46557855210267</x:v>
      </x:c>
      <x:c r="AE1972" t="n">
        <x:v>1</x:v>
      </x:c>
      <x:c r="AF1972" t="n">
        <x:v>0.0025358200073242188</x:v>
      </x:c>
      <x:c r="AG1972" t="n">
        <x:f>_xlfn.XLOOKUP($A1972,Games!$A$2:$A$18,Games!$B$2:$B$18,"Missing game",0)</x:f>
        <x:v>2025</x:v>
      </x:c>
      <x:c r="AH1972" t="str">
        <x:f>_xlfn.XLOOKUP($A1972,Games!$A$2:$A$18,Games!$C$2:$C$18,"Missing game",0)</x:f>
        <x:v>REG</x:v>
      </x:c>
      <x:c r="AI1972" t="n">
        <x:f>_xlfn.XLOOKUP($A1972,Games!$A$2:$A$18,Games!$D$2:$D$18,"Missing game",0)</x:f>
        <x:v>13</x:v>
      </x:c>
      <x:c r="AJ1972" s="1" t="n">
        <x:f>_xlfn.XLOOKUP($A1972,Games!$A$2:$A$18,Games!$E$2:$E$18,"Missing game",0)</x:f>
        <x:v>45991</x:v>
      </x:c>
      <x:c r="AK1972" t="str">
        <x:f>_xlfn.XLOOKUP($A1972,Games!$A$2:$A$18,Games!$F$2:$F$18,"Missing game",0)</x:f>
        <x:v>Sunday</x:v>
      </x:c>
      <x:c r="AL1972" t="str">
        <x:f>_xlfn.XLOOKUP($A1972,Games!$A$2:$A$18,Games!$G$2:$G$18,"Missing game",0)</x:f>
        <x:v>MIN</x:v>
      </x:c>
      <x:c r="AM1972" t="n">
        <x:f>_xlfn.XLOOKUP($A1972,Games!$A$2:$A$18,Games!$H$2:$H$18,"Missing game",0)</x:f>
        <x:v>0</x:v>
      </x:c>
      <x:c r="AN1972" t="str">
        <x:f>_xlfn.XLOOKUP($A1972,Games!$A$2:$A$18,Games!$I$2:$I$18,"Missing game",0)</x:f>
        <x:v>SEA</x:v>
      </x:c>
      <x:c r="AO1972" t="n">
        <x:f>_xlfn.XLOOKUP($A1972,Games!$A$2:$A$18,Games!$J$2:$J$18,"Missing game",0)</x:f>
        <x:v>26</x:v>
      </x:c>
      <x:c r="AP1972" t="n">
        <x:f>_xlfn.XLOOKUP($A1972,Games!$A$2:$A$18,Games!$K$2:$K$18,"Missing game",0)</x:f>
        <x:v>26</x:v>
      </x:c>
      <x:c r="AQ1972" t="n">
        <x:f>_xlfn.XLOOKUP($A1972,Games!$A$2:$A$18,Games!$L$2:$L$18,"Missing game",0)</x:f>
        <x:v>26</x:v>
      </x:c>
      <x:c r="AR1972" t="n">
        <x:f>_xlfn.XLOOKUP($A1972,Games!$A$2:$A$18,Games!$M$2:$M$18,"Missing game",0)</x:f>
        <x:v>0</x:v>
      </x:c>
      <x:c r="AS1972" t="str">
        <x:f>_xlfn.XLOOKUP($A1972,Games!$A$2:$A$18,Games!$N$2:$N$18,"Missing game",0)</x:f>
        <x:v>outdoors</x:v>
      </x:c>
      <x:c r="AT1972" t="str">
        <x:f>_xlfn.XLOOKUP($A1972,Games!$A$2:$A$18,Games!$O$2:$O$18,"Missing game",0)</x:f>
        <x:v>fieldturf</x:v>
      </x:c>
      <x:c r="AU1972" t="n">
        <x:f>_xlfn.XLOOKUP($A1972,Games!$A$2:$A$18,Games!$P$2:$P$18,"Missing game",0)</x:f>
        <x:v>45</x:v>
      </x:c>
      <x:c r="AV1972" t="n">
        <x:f>_xlfn.XLOOKUP($A1972,Games!$A$2:$A$18,Games!$Q$2:$Q$18,"Missing game",0)</x:f>
        <x:v>2</x:v>
      </x:c>
      <x:c r="AW1972" t="str">
        <x:f>_xlfn.XLOOKUP($A1972,Games!$A$2:$A$18,Games!$R$2:$R$18,"Missing game",0)</x:f>
        <x:v>Lumen Field</x:v>
      </x:c>
    </x:row>
    <x:row r="1973">
      <x:c r="A1973" t="str">
        <x:v>2025_13_MIN_SEA</x:v>
      </x:c>
      <x:c r="B1973" t="n">
        <x:v>2956</x:v>
      </x:c>
      <x:c r="C1973" t="n">
        <x:v>3</x:v>
      </x:c>
      <x:c r="D1973" t="str">
        <x:v>00:00</x:v>
      </x:c>
      <x:c r="E1973"/>
      <x:c r="F1973" t="n">
        <x:v>0</x:v>
      </x:c>
      <x:c r="G1973" t="str">
        <x:v>SEA</x:v>
      </x:c>
      <x:c r="H1973" t="str">
        <x:v>MIN</x:v>
      </x:c>
      <x:c r="I1973"/>
      <x:c r="J1973"/>
      <x:c r="K1973" t="str">
        <x:v>END QUARTER 3</x:v>
      </x:c>
      <x:c r="L1973"/>
      <x:c r="M1973"/>
      <x:c r="N1973" t="n">
        <x:v>0</x:v>
      </x:c>
      <x:c r="O1973" t="n">
        <x:v>0</x:v>
      </x:c>
      <x:c r="P1973"/>
      <x:c r="Q1973"/>
      <x:c r="R1973"/>
      <x:c r="S1973"/>
      <x:c r="T1973"/>
      <x:c r="U1973"/>
      <x:c r="V1973"/>
      <x:c r="W1973"/>
      <x:c r="X1973"/>
      <x:c r="Y1973"/>
      <x:c r="Z1973"/>
      <x:c r="AA1973"/>
      <x:c r="AB1973"/>
      <x:c r="AC1973"/>
      <x:c r="AD1973" t="n">
        <x:v>0</x:v>
      </x:c>
      <x:c r="AE1973" t="n">
        <x:v>0</x:v>
      </x:c>
      <x:c r="AF1973" t="n">
        <x:v>0</x:v>
      </x:c>
      <x:c r="AG1973" t="n">
        <x:f>_xlfn.XLOOKUP($A1973,Games!$A$2:$A$18,Games!$B$2:$B$18,"Missing game",0)</x:f>
        <x:v>2025</x:v>
      </x:c>
      <x:c r="AH1973" t="str">
        <x:f>_xlfn.XLOOKUP($A1973,Games!$A$2:$A$18,Games!$C$2:$C$18,"Missing game",0)</x:f>
        <x:v>REG</x:v>
      </x:c>
      <x:c r="AI1973" t="n">
        <x:f>_xlfn.XLOOKUP($A1973,Games!$A$2:$A$18,Games!$D$2:$D$18,"Missing game",0)</x:f>
        <x:v>13</x:v>
      </x:c>
      <x:c r="AJ1973" s="1" t="n">
        <x:f>_xlfn.XLOOKUP($A1973,Games!$A$2:$A$18,Games!$E$2:$E$18,"Missing game",0)</x:f>
        <x:v>45991</x:v>
      </x:c>
      <x:c r="AK1973" t="str">
        <x:f>_xlfn.XLOOKUP($A1973,Games!$A$2:$A$18,Games!$F$2:$F$18,"Missing game",0)</x:f>
        <x:v>Sunday</x:v>
      </x:c>
      <x:c r="AL1973" t="str">
        <x:f>_xlfn.XLOOKUP($A1973,Games!$A$2:$A$18,Games!$G$2:$G$18,"Missing game",0)</x:f>
        <x:v>MIN</x:v>
      </x:c>
      <x:c r="AM1973" t="n">
        <x:f>_xlfn.XLOOKUP($A1973,Games!$A$2:$A$18,Games!$H$2:$H$18,"Missing game",0)</x:f>
        <x:v>0</x:v>
      </x:c>
      <x:c r="AN1973" t="str">
        <x:f>_xlfn.XLOOKUP($A1973,Games!$A$2:$A$18,Games!$I$2:$I$18,"Missing game",0)</x:f>
        <x:v>SEA</x:v>
      </x:c>
      <x:c r="AO1973" t="n">
        <x:f>_xlfn.XLOOKUP($A1973,Games!$A$2:$A$18,Games!$J$2:$J$18,"Missing game",0)</x:f>
        <x:v>26</x:v>
      </x:c>
      <x:c r="AP1973" t="n">
        <x:f>_xlfn.XLOOKUP($A1973,Games!$A$2:$A$18,Games!$K$2:$K$18,"Missing game",0)</x:f>
        <x:v>26</x:v>
      </x:c>
      <x:c r="AQ1973" t="n">
        <x:f>_xlfn.XLOOKUP($A1973,Games!$A$2:$A$18,Games!$L$2:$L$18,"Missing game",0)</x:f>
        <x:v>26</x:v>
      </x:c>
      <x:c r="AR1973" t="n">
        <x:f>_xlfn.XLOOKUP($A1973,Games!$A$2:$A$18,Games!$M$2:$M$18,"Missing game",0)</x:f>
        <x:v>0</x:v>
      </x:c>
      <x:c r="AS1973" t="str">
        <x:f>_xlfn.XLOOKUP($A1973,Games!$A$2:$A$18,Games!$N$2:$N$18,"Missing game",0)</x:f>
        <x:v>outdoors</x:v>
      </x:c>
      <x:c r="AT1973" t="str">
        <x:f>_xlfn.XLOOKUP($A1973,Games!$A$2:$A$18,Games!$O$2:$O$18,"Missing game",0)</x:f>
        <x:v>fieldturf</x:v>
      </x:c>
      <x:c r="AU1973" t="n">
        <x:f>_xlfn.XLOOKUP($A1973,Games!$A$2:$A$18,Games!$P$2:$P$18,"Missing game",0)</x:f>
        <x:v>45</x:v>
      </x:c>
      <x:c r="AV1973" t="n">
        <x:f>_xlfn.XLOOKUP($A1973,Games!$A$2:$A$18,Games!$Q$2:$Q$18,"Missing game",0)</x:f>
        <x:v>2</x:v>
      </x:c>
      <x:c r="AW1973" t="str">
        <x:f>_xlfn.XLOOKUP($A1973,Games!$A$2:$A$18,Games!$R$2:$R$18,"Missing game",0)</x:f>
        <x:v>Lumen Field</x:v>
      </x:c>
    </x:row>
    <x:row r="1974">
      <x:c r="A1974" t="str">
        <x:v>2025_13_MIN_SEA</x:v>
      </x:c>
      <x:c r="B1974" t="n">
        <x:v>2976</x:v>
      </x:c>
      <x:c r="C1974" t="n">
        <x:v>4</x:v>
      </x:c>
      <x:c r="D1974" t="str">
        <x:v>15:00</x:v>
      </x:c>
      <x:c r="E1974" t="n">
        <x:v>1</x:v>
      </x:c>
      <x:c r="F1974" t="n">
        <x:v>10</x:v>
      </x:c>
      <x:c r="G1974" t="str">
        <x:v>SEA</x:v>
      </x:c>
      <x:c r="H1974" t="str">
        <x:v>MIN</x:v>
      </x:c>
      <x:c r="I1974" t="str">
        <x:v>SEA</x:v>
      </x:c>
      <x:c r="J1974" t="n">
        <x:v>58</x:v>
      </x:c>
      <x:c r="K1974" t="str">
        <x:v>(15:00) 26-Z.Charbonnet left end pushed ob at SEA 38 for -4 yards (55-E.Wilson).</x:v>
      </x:c>
      <x:c r="L1974" t="str">
        <x:v>run</x:v>
      </x:c>
      <x:c r="M1974" t="n">
        <x:v>-4</x:v>
      </x:c>
      <x:c r="N1974" t="n">
        <x:v>0</x:v>
      </x:c>
      <x:c r="O1974" t="n">
        <x:v>0</x:v>
      </x:c>
      <x:c r="P1974"/>
      <x:c r="Q1974"/>
      <x:c r="R1974"/>
      <x:c r="S1974"/>
      <x:c r="T1974" t="str">
        <x:v>left</x:v>
      </x:c>
      <x:c r="U1974" t="str">
        <x:v>end</x:v>
      </x:c>
      <x:c r="V1974" t="n">
        <x:v>0</x:v>
      </x:c>
      <x:c r="W1974" t="n">
        <x:v>0</x:v>
      </x:c>
      <x:c r="X1974" t="n">
        <x:v>0</x:v>
      </x:c>
      <x:c r="Y1974" t="n">
        <x:v>0</x:v>
      </x:c>
      <x:c r="Z1974" t="n">
        <x:v>0</x:v>
      </x:c>
      <x:c r="AA1974" t="n">
        <x:v>0</x:v>
      </x:c>
      <x:c r="AB1974"/>
      <x:c r="AC1974" t="n">
        <x:v>0</x:v>
      </x:c>
      <x:c r="AD1974" t="n">
        <x:v>-1.1284799922723323</x:v>
      </x:c>
      <x:c r="AE1974" t="n">
        <x:v>0</x:v>
      </x:c>
      <x:c r="AF1974" t="n">
        <x:v>-0.001341402530670166</x:v>
      </x:c>
      <x:c r="AG1974" t="n">
        <x:f>_xlfn.XLOOKUP($A1974,Games!$A$2:$A$18,Games!$B$2:$B$18,"Missing game",0)</x:f>
        <x:v>2025</x:v>
      </x:c>
      <x:c r="AH1974" t="str">
        <x:f>_xlfn.XLOOKUP($A1974,Games!$A$2:$A$18,Games!$C$2:$C$18,"Missing game",0)</x:f>
        <x:v>REG</x:v>
      </x:c>
      <x:c r="AI1974" t="n">
        <x:f>_xlfn.XLOOKUP($A1974,Games!$A$2:$A$18,Games!$D$2:$D$18,"Missing game",0)</x:f>
        <x:v>13</x:v>
      </x:c>
      <x:c r="AJ1974" s="1" t="n">
        <x:f>_xlfn.XLOOKUP($A1974,Games!$A$2:$A$18,Games!$E$2:$E$18,"Missing game",0)</x:f>
        <x:v>45991</x:v>
      </x:c>
      <x:c r="AK1974" t="str">
        <x:f>_xlfn.XLOOKUP($A1974,Games!$A$2:$A$18,Games!$F$2:$F$18,"Missing game",0)</x:f>
        <x:v>Sunday</x:v>
      </x:c>
      <x:c r="AL1974" t="str">
        <x:f>_xlfn.XLOOKUP($A1974,Games!$A$2:$A$18,Games!$G$2:$G$18,"Missing game",0)</x:f>
        <x:v>MIN</x:v>
      </x:c>
      <x:c r="AM1974" t="n">
        <x:f>_xlfn.XLOOKUP($A1974,Games!$A$2:$A$18,Games!$H$2:$H$18,"Missing game",0)</x:f>
        <x:v>0</x:v>
      </x:c>
      <x:c r="AN1974" t="str">
        <x:f>_xlfn.XLOOKUP($A1974,Games!$A$2:$A$18,Games!$I$2:$I$18,"Missing game",0)</x:f>
        <x:v>SEA</x:v>
      </x:c>
      <x:c r="AO1974" t="n">
        <x:f>_xlfn.XLOOKUP($A1974,Games!$A$2:$A$18,Games!$J$2:$J$18,"Missing game",0)</x:f>
        <x:v>26</x:v>
      </x:c>
      <x:c r="AP1974" t="n">
        <x:f>_xlfn.XLOOKUP($A1974,Games!$A$2:$A$18,Games!$K$2:$K$18,"Missing game",0)</x:f>
        <x:v>26</x:v>
      </x:c>
      <x:c r="AQ1974" t="n">
        <x:f>_xlfn.XLOOKUP($A1974,Games!$A$2:$A$18,Games!$L$2:$L$18,"Missing game",0)</x:f>
        <x:v>26</x:v>
      </x:c>
      <x:c r="AR1974" t="n">
        <x:f>_xlfn.XLOOKUP($A1974,Games!$A$2:$A$18,Games!$M$2:$M$18,"Missing game",0)</x:f>
        <x:v>0</x:v>
      </x:c>
      <x:c r="AS1974" t="str">
        <x:f>_xlfn.XLOOKUP($A1974,Games!$A$2:$A$18,Games!$N$2:$N$18,"Missing game",0)</x:f>
        <x:v>outdoors</x:v>
      </x:c>
      <x:c r="AT1974" t="str">
        <x:f>_xlfn.XLOOKUP($A1974,Games!$A$2:$A$18,Games!$O$2:$O$18,"Missing game",0)</x:f>
        <x:v>fieldturf</x:v>
      </x:c>
      <x:c r="AU1974" t="n">
        <x:f>_xlfn.XLOOKUP($A1974,Games!$A$2:$A$18,Games!$P$2:$P$18,"Missing game",0)</x:f>
        <x:v>45</x:v>
      </x:c>
      <x:c r="AV1974" t="n">
        <x:f>_xlfn.XLOOKUP($A1974,Games!$A$2:$A$18,Games!$Q$2:$Q$18,"Missing game",0)</x:f>
        <x:v>2</x:v>
      </x:c>
      <x:c r="AW1974" t="str">
        <x:f>_xlfn.XLOOKUP($A1974,Games!$A$2:$A$18,Games!$R$2:$R$18,"Missing game",0)</x:f>
        <x:v>Lumen Field</x:v>
      </x:c>
    </x:row>
    <x:row r="1975">
      <x:c r="A1975" t="str">
        <x:v>2025_13_MIN_SEA</x:v>
      </x:c>
      <x:c r="B1975" t="n">
        <x:v>3008</x:v>
      </x:c>
      <x:c r="C1975" t="n">
        <x:v>4</x:v>
      </x:c>
      <x:c r="D1975" t="str">
        <x:v>14:18</x:v>
      </x:c>
      <x:c r="E1975" t="n">
        <x:v>2</x:v>
      </x:c>
      <x:c r="F1975" t="n">
        <x:v>14</x:v>
      </x:c>
      <x:c r="G1975" t="str">
        <x:v>SEA</x:v>
      </x:c>
      <x:c r="H1975" t="str">
        <x:v>MIN</x:v>
      </x:c>
      <x:c r="I1975" t="str">
        <x:v>SEA</x:v>
      </x:c>
      <x:c r="J1975" t="n">
        <x:v>62</x:v>
      </x:c>
      <x:c r="K1975" t="str">
        <x:v>(14:18) (Shotgun) 14-S.Darnold pass incomplete short right.</x:v>
      </x:c>
      <x:c r="L1975" t="str">
        <x:v>pass</x:v>
      </x:c>
      <x:c r="M1975" t="n">
        <x:v>0</x:v>
      </x:c>
      <x:c r="N1975" t="n">
        <x:v>1</x:v>
      </x:c>
      <x:c r="O1975" t="n">
        <x:v>0</x:v>
      </x:c>
      <x:c r="P1975" t="str">
        <x:v>short</x:v>
      </x:c>
      <x:c r="Q1975" t="str">
        <x:v>right</x:v>
      </x:c>
      <x:c r="R1975" t="n">
        <x:v>-4</x:v>
      </x:c>
      <x:c r="S1975"/>
      <x:c r="T1975"/>
      <x:c r="U1975"/>
      <x:c r="V1975" t="n">
        <x:v>0</x:v>
      </x:c>
      <x:c r="W1975" t="n">
        <x:v>0</x:v>
      </x:c>
      <x:c r="X1975" t="n">
        <x:v>0</x:v>
      </x:c>
      <x:c r="Y1975" t="n">
        <x:v>0</x:v>
      </x:c>
      <x:c r="Z1975" t="n">
        <x:v>0</x:v>
      </x:c>
      <x:c r="AA1975" t="n">
        <x:v>0</x:v>
      </x:c>
      <x:c r="AB1975"/>
      <x:c r="AC1975" t="n">
        <x:v>0</x:v>
      </x:c>
      <x:c r="AD1975" t="n">
        <x:v>-0.9088594885542989</x:v>
      </x:c>
      <x:c r="AE1975" t="n">
        <x:v>0</x:v>
      </x:c>
      <x:c r="AF1975" t="n">
        <x:v>-0.0008099079132080078</x:v>
      </x:c>
      <x:c r="AG1975" t="n">
        <x:f>_xlfn.XLOOKUP($A1975,Games!$A$2:$A$18,Games!$B$2:$B$18,"Missing game",0)</x:f>
        <x:v>2025</x:v>
      </x:c>
      <x:c r="AH1975" t="str">
        <x:f>_xlfn.XLOOKUP($A1975,Games!$A$2:$A$18,Games!$C$2:$C$18,"Missing game",0)</x:f>
        <x:v>REG</x:v>
      </x:c>
      <x:c r="AI1975" t="n">
        <x:f>_xlfn.XLOOKUP($A1975,Games!$A$2:$A$18,Games!$D$2:$D$18,"Missing game",0)</x:f>
        <x:v>13</x:v>
      </x:c>
      <x:c r="AJ1975" s="1" t="n">
        <x:f>_xlfn.XLOOKUP($A1975,Games!$A$2:$A$18,Games!$E$2:$E$18,"Missing game",0)</x:f>
        <x:v>45991</x:v>
      </x:c>
      <x:c r="AK1975" t="str">
        <x:f>_xlfn.XLOOKUP($A1975,Games!$A$2:$A$18,Games!$F$2:$F$18,"Missing game",0)</x:f>
        <x:v>Sunday</x:v>
      </x:c>
      <x:c r="AL1975" t="str">
        <x:f>_xlfn.XLOOKUP($A1975,Games!$A$2:$A$18,Games!$G$2:$G$18,"Missing game",0)</x:f>
        <x:v>MIN</x:v>
      </x:c>
      <x:c r="AM1975" t="n">
        <x:f>_xlfn.XLOOKUP($A1975,Games!$A$2:$A$18,Games!$H$2:$H$18,"Missing game",0)</x:f>
        <x:v>0</x:v>
      </x:c>
      <x:c r="AN1975" t="str">
        <x:f>_xlfn.XLOOKUP($A1975,Games!$A$2:$A$18,Games!$I$2:$I$18,"Missing game",0)</x:f>
        <x:v>SEA</x:v>
      </x:c>
      <x:c r="AO1975" t="n">
        <x:f>_xlfn.XLOOKUP($A1975,Games!$A$2:$A$18,Games!$J$2:$J$18,"Missing game",0)</x:f>
        <x:v>26</x:v>
      </x:c>
      <x:c r="AP1975" t="n">
        <x:f>_xlfn.XLOOKUP($A1975,Games!$A$2:$A$18,Games!$K$2:$K$18,"Missing game",0)</x:f>
        <x:v>26</x:v>
      </x:c>
      <x:c r="AQ1975" t="n">
        <x:f>_xlfn.XLOOKUP($A1975,Games!$A$2:$A$18,Games!$L$2:$L$18,"Missing game",0)</x:f>
        <x:v>26</x:v>
      </x:c>
      <x:c r="AR1975" t="n">
        <x:f>_xlfn.XLOOKUP($A1975,Games!$A$2:$A$18,Games!$M$2:$M$18,"Missing game",0)</x:f>
        <x:v>0</x:v>
      </x:c>
      <x:c r="AS1975" t="str">
        <x:f>_xlfn.XLOOKUP($A1975,Games!$A$2:$A$18,Games!$N$2:$N$18,"Missing game",0)</x:f>
        <x:v>outdoors</x:v>
      </x:c>
      <x:c r="AT1975" t="str">
        <x:f>_xlfn.XLOOKUP($A1975,Games!$A$2:$A$18,Games!$O$2:$O$18,"Missing game",0)</x:f>
        <x:v>fieldturf</x:v>
      </x:c>
      <x:c r="AU1975" t="n">
        <x:f>_xlfn.XLOOKUP($A1975,Games!$A$2:$A$18,Games!$P$2:$P$18,"Missing game",0)</x:f>
        <x:v>45</x:v>
      </x:c>
      <x:c r="AV1975" t="n">
        <x:f>_xlfn.XLOOKUP($A1975,Games!$A$2:$A$18,Games!$Q$2:$Q$18,"Missing game",0)</x:f>
        <x:v>2</x:v>
      </x:c>
      <x:c r="AW1975" t="str">
        <x:f>_xlfn.XLOOKUP($A1975,Games!$A$2:$A$18,Games!$R$2:$R$18,"Missing game",0)</x:f>
        <x:v>Lumen Field</x:v>
      </x:c>
    </x:row>
    <x:row r="1976">
      <x:c r="A1976" t="str">
        <x:v>2025_13_MIN_SEA</x:v>
      </x:c>
      <x:c r="B1976" t="n">
        <x:v>3031</x:v>
      </x:c>
      <x:c r="C1976" t="n">
        <x:v>4</x:v>
      </x:c>
      <x:c r="D1976" t="str">
        <x:v>14:15</x:v>
      </x:c>
      <x:c r="E1976" t="n">
        <x:v>3</x:v>
      </x:c>
      <x:c r="F1976" t="n">
        <x:v>14</x:v>
      </x:c>
      <x:c r="G1976" t="str">
        <x:v>SEA</x:v>
      </x:c>
      <x:c r="H1976" t="str">
        <x:v>MIN</x:v>
      </x:c>
      <x:c r="I1976" t="str">
        <x:v>SEA</x:v>
      </x:c>
      <x:c r="J1976" t="n">
        <x:v>62</x:v>
      </x:c>
      <x:c r="K1976" t="str">
        <x:v>(14:15) (Shotgun) 22-R.Shaheed left end pushed ob at SEA 47 for 9 yards (22-H.Smith).</x:v>
      </x:c>
      <x:c r="L1976" t="str">
        <x:v>run</x:v>
      </x:c>
      <x:c r="M1976" t="n">
        <x:v>9</x:v>
      </x:c>
      <x:c r="N1976" t="n">
        <x:v>1</x:v>
      </x:c>
      <x:c r="O1976" t="n">
        <x:v>0</x:v>
      </x:c>
      <x:c r="P1976"/>
      <x:c r="Q1976"/>
      <x:c r="R1976"/>
      <x:c r="S1976"/>
      <x:c r="T1976" t="str">
        <x:v>left</x:v>
      </x:c>
      <x:c r="U1976" t="str">
        <x:v>end</x:v>
      </x:c>
      <x:c r="V1976" t="n">
        <x:v>0</x:v>
      </x:c>
      <x:c r="W1976" t="n">
        <x:v>0</x:v>
      </x:c>
      <x:c r="X1976" t="n">
        <x:v>0</x:v>
      </x:c>
      <x:c r="Y1976" t="n">
        <x:v>0</x:v>
      </x:c>
      <x:c r="Z1976" t="n">
        <x:v>0</x:v>
      </x:c>
      <x:c r="AA1976" t="n">
        <x:v>0</x:v>
      </x:c>
      <x:c r="AB1976"/>
      <x:c r="AC1976" t="n">
        <x:v>0</x:v>
      </x:c>
      <x:c r="AD1976" t="n">
        <x:v>-0.3828169722110033</x:v>
      </x:c>
      <x:c r="AE1976" t="n">
        <x:v>0</x:v>
      </x:c>
      <x:c r="AF1976" t="n">
        <x:v>-0.004357635974884033</x:v>
      </x:c>
      <x:c r="AG1976" t="n">
        <x:f>_xlfn.XLOOKUP($A1976,Games!$A$2:$A$18,Games!$B$2:$B$18,"Missing game",0)</x:f>
        <x:v>2025</x:v>
      </x:c>
      <x:c r="AH1976" t="str">
        <x:f>_xlfn.XLOOKUP($A1976,Games!$A$2:$A$18,Games!$C$2:$C$18,"Missing game",0)</x:f>
        <x:v>REG</x:v>
      </x:c>
      <x:c r="AI1976" t="n">
        <x:f>_xlfn.XLOOKUP($A1976,Games!$A$2:$A$18,Games!$D$2:$D$18,"Missing game",0)</x:f>
        <x:v>13</x:v>
      </x:c>
      <x:c r="AJ1976" s="1" t="n">
        <x:f>_xlfn.XLOOKUP($A1976,Games!$A$2:$A$18,Games!$E$2:$E$18,"Missing game",0)</x:f>
        <x:v>45991</x:v>
      </x:c>
      <x:c r="AK1976" t="str">
        <x:f>_xlfn.XLOOKUP($A1976,Games!$A$2:$A$18,Games!$F$2:$F$18,"Missing game",0)</x:f>
        <x:v>Sunday</x:v>
      </x:c>
      <x:c r="AL1976" t="str">
        <x:f>_xlfn.XLOOKUP($A1976,Games!$A$2:$A$18,Games!$G$2:$G$18,"Missing game",0)</x:f>
        <x:v>MIN</x:v>
      </x:c>
      <x:c r="AM1976" t="n">
        <x:f>_xlfn.XLOOKUP($A1976,Games!$A$2:$A$18,Games!$H$2:$H$18,"Missing game",0)</x:f>
        <x:v>0</x:v>
      </x:c>
      <x:c r="AN1976" t="str">
        <x:f>_xlfn.XLOOKUP($A1976,Games!$A$2:$A$18,Games!$I$2:$I$18,"Missing game",0)</x:f>
        <x:v>SEA</x:v>
      </x:c>
      <x:c r="AO1976" t="n">
        <x:f>_xlfn.XLOOKUP($A1976,Games!$A$2:$A$18,Games!$J$2:$J$18,"Missing game",0)</x:f>
        <x:v>26</x:v>
      </x:c>
      <x:c r="AP1976" t="n">
        <x:f>_xlfn.XLOOKUP($A1976,Games!$A$2:$A$18,Games!$K$2:$K$18,"Missing game",0)</x:f>
        <x:v>26</x:v>
      </x:c>
      <x:c r="AQ1976" t="n">
        <x:f>_xlfn.XLOOKUP($A1976,Games!$A$2:$A$18,Games!$L$2:$L$18,"Missing game",0)</x:f>
        <x:v>26</x:v>
      </x:c>
      <x:c r="AR1976" t="n">
        <x:f>_xlfn.XLOOKUP($A1976,Games!$A$2:$A$18,Games!$M$2:$M$18,"Missing game",0)</x:f>
        <x:v>0</x:v>
      </x:c>
      <x:c r="AS1976" t="str">
        <x:f>_xlfn.XLOOKUP($A1976,Games!$A$2:$A$18,Games!$N$2:$N$18,"Missing game",0)</x:f>
        <x:v>outdoors</x:v>
      </x:c>
      <x:c r="AT1976" t="str">
        <x:f>_xlfn.XLOOKUP($A1976,Games!$A$2:$A$18,Games!$O$2:$O$18,"Missing game",0)</x:f>
        <x:v>fieldturf</x:v>
      </x:c>
      <x:c r="AU1976" t="n">
        <x:f>_xlfn.XLOOKUP($A1976,Games!$A$2:$A$18,Games!$P$2:$P$18,"Missing game",0)</x:f>
        <x:v>45</x:v>
      </x:c>
      <x:c r="AV1976" t="n">
        <x:f>_xlfn.XLOOKUP($A1976,Games!$A$2:$A$18,Games!$Q$2:$Q$18,"Missing game",0)</x:f>
        <x:v>2</x:v>
      </x:c>
      <x:c r="AW1976" t="str">
        <x:f>_xlfn.XLOOKUP($A1976,Games!$A$2:$A$18,Games!$R$2:$R$18,"Missing game",0)</x:f>
        <x:v>Lumen Field</x:v>
      </x:c>
    </x:row>
    <x:row r="1977">
      <x:c r="A1977" t="str">
        <x:v>2025_13_MIN_SEA</x:v>
      </x:c>
      <x:c r="B1977" t="n">
        <x:v>3058</x:v>
      </x:c>
      <x:c r="C1977" t="n">
        <x:v>4</x:v>
      </x:c>
      <x:c r="D1977" t="str">
        <x:v>13:34</x:v>
      </x:c>
      <x:c r="E1977" t="n">
        <x:v>4</x:v>
      </x:c>
      <x:c r="F1977" t="n">
        <x:v>5</x:v>
      </x:c>
      <x:c r="G1977" t="str">
        <x:v>SEA</x:v>
      </x:c>
      <x:c r="H1977" t="str">
        <x:v>MIN</x:v>
      </x:c>
      <x:c r="I1977" t="str">
        <x:v>SEA</x:v>
      </x:c>
      <x:c r="J1977" t="n">
        <x:v>53</x:v>
      </x:c>
      <x:c r="K1977" t="str">
        <x:v>(13:34) 4-M.Dickson punts 53 yards to end zone, Center-41-C.Stoll, Touchback.</x:v>
      </x:c>
      <x:c r="L1977" t="str">
        <x:v>punt</x:v>
      </x:c>
      <x:c r="M1977" t="n">
        <x:v>0</x:v>
      </x:c>
      <x:c r="N1977" t="n">
        <x:v>0</x:v>
      </x:c>
      <x:c r="O1977" t="n">
        <x:v>0</x:v>
      </x:c>
      <x:c r="P1977"/>
      <x:c r="Q1977"/>
      <x:c r="R1977"/>
      <x:c r="S1977"/>
      <x:c r="T1977"/>
      <x:c r="U1977"/>
      <x:c r="V1977" t="n">
        <x:v>0</x:v>
      </x:c>
      <x:c r="W1977" t="n">
        <x:v>0</x:v>
      </x:c>
      <x:c r="X1977" t="n">
        <x:v>0</x:v>
      </x:c>
      <x:c r="Y1977" t="n">
        <x:v>0</x:v>
      </x:c>
      <x:c r="Z1977" t="n">
        <x:v>0</x:v>
      </x:c>
      <x:c r="AA1977" t="n">
        <x:v>0</x:v>
      </x:c>
      <x:c r="AB1977"/>
      <x:c r="AC1977" t="n">
        <x:v>0</x:v>
      </x:c>
      <x:c r="AD1977" t="n">
        <x:v>-0.4290368128567934</x:v>
      </x:c>
      <x:c r="AE1977" t="n">
        <x:v>0</x:v>
      </x:c>
      <x:c r="AF1977" t="n">
        <x:v>-0.0023293830454349518</x:v>
      </x:c>
      <x:c r="AG1977" t="n">
        <x:f>_xlfn.XLOOKUP($A1977,Games!$A$2:$A$18,Games!$B$2:$B$18,"Missing game",0)</x:f>
        <x:v>2025</x:v>
      </x:c>
      <x:c r="AH1977" t="str">
        <x:f>_xlfn.XLOOKUP($A1977,Games!$A$2:$A$18,Games!$C$2:$C$18,"Missing game",0)</x:f>
        <x:v>REG</x:v>
      </x:c>
      <x:c r="AI1977" t="n">
        <x:f>_xlfn.XLOOKUP($A1977,Games!$A$2:$A$18,Games!$D$2:$D$18,"Missing game",0)</x:f>
        <x:v>13</x:v>
      </x:c>
      <x:c r="AJ1977" s="1" t="n">
        <x:f>_xlfn.XLOOKUP($A1977,Games!$A$2:$A$18,Games!$E$2:$E$18,"Missing game",0)</x:f>
        <x:v>45991</x:v>
      </x:c>
      <x:c r="AK1977" t="str">
        <x:f>_xlfn.XLOOKUP($A1977,Games!$A$2:$A$18,Games!$F$2:$F$18,"Missing game",0)</x:f>
        <x:v>Sunday</x:v>
      </x:c>
      <x:c r="AL1977" t="str">
        <x:f>_xlfn.XLOOKUP($A1977,Games!$A$2:$A$18,Games!$G$2:$G$18,"Missing game",0)</x:f>
        <x:v>MIN</x:v>
      </x:c>
      <x:c r="AM1977" t="n">
        <x:f>_xlfn.XLOOKUP($A1977,Games!$A$2:$A$18,Games!$H$2:$H$18,"Missing game",0)</x:f>
        <x:v>0</x:v>
      </x:c>
      <x:c r="AN1977" t="str">
        <x:f>_xlfn.XLOOKUP($A1977,Games!$A$2:$A$18,Games!$I$2:$I$18,"Missing game",0)</x:f>
        <x:v>SEA</x:v>
      </x:c>
      <x:c r="AO1977" t="n">
        <x:f>_xlfn.XLOOKUP($A1977,Games!$A$2:$A$18,Games!$J$2:$J$18,"Missing game",0)</x:f>
        <x:v>26</x:v>
      </x:c>
      <x:c r="AP1977" t="n">
        <x:f>_xlfn.XLOOKUP($A1977,Games!$A$2:$A$18,Games!$K$2:$K$18,"Missing game",0)</x:f>
        <x:v>26</x:v>
      </x:c>
      <x:c r="AQ1977" t="n">
        <x:f>_xlfn.XLOOKUP($A1977,Games!$A$2:$A$18,Games!$L$2:$L$18,"Missing game",0)</x:f>
        <x:v>26</x:v>
      </x:c>
      <x:c r="AR1977" t="n">
        <x:f>_xlfn.XLOOKUP($A1977,Games!$A$2:$A$18,Games!$M$2:$M$18,"Missing game",0)</x:f>
        <x:v>0</x:v>
      </x:c>
      <x:c r="AS1977" t="str">
        <x:f>_xlfn.XLOOKUP($A1977,Games!$A$2:$A$18,Games!$N$2:$N$18,"Missing game",0)</x:f>
        <x:v>outdoors</x:v>
      </x:c>
      <x:c r="AT1977" t="str">
        <x:f>_xlfn.XLOOKUP($A1977,Games!$A$2:$A$18,Games!$O$2:$O$18,"Missing game",0)</x:f>
        <x:v>fieldturf</x:v>
      </x:c>
      <x:c r="AU1977" t="n">
        <x:f>_xlfn.XLOOKUP($A1977,Games!$A$2:$A$18,Games!$P$2:$P$18,"Missing game",0)</x:f>
        <x:v>45</x:v>
      </x:c>
      <x:c r="AV1977" t="n">
        <x:f>_xlfn.XLOOKUP($A1977,Games!$A$2:$A$18,Games!$Q$2:$Q$18,"Missing game",0)</x:f>
        <x:v>2</x:v>
      </x:c>
      <x:c r="AW1977" t="str">
        <x:f>_xlfn.XLOOKUP($A1977,Games!$A$2:$A$18,Games!$R$2:$R$18,"Missing game",0)</x:f>
        <x:v>Lumen Field</x:v>
      </x:c>
    </x:row>
    <x:row r="1978">
      <x:c r="A1978" t="str">
        <x:v>2025_13_MIN_SEA</x:v>
      </x:c>
      <x:c r="B1978" t="n">
        <x:v>3083</x:v>
      </x:c>
      <x:c r="C1978" t="n">
        <x:v>4</x:v>
      </x:c>
      <x:c r="D1978" t="str">
        <x:v>13:26</x:v>
      </x:c>
      <x:c r="E1978" t="n">
        <x:v>1</x:v>
      </x:c>
      <x:c r="F1978" t="n">
        <x:v>10</x:v>
      </x:c>
      <x:c r="G1978" t="str">
        <x:v>MIN</x:v>
      </x:c>
      <x:c r="H1978" t="str">
        <x:v>SEA</x:v>
      </x:c>
      <x:c r="I1978" t="str">
        <x:v>MIN</x:v>
      </x:c>
      <x:c r="J1978" t="n">
        <x:v>80</x:v>
      </x:c>
      <x:c r="K1978" t="str">
        <x:v>(13:26) (Shotgun) 12-M.Brosmer pass short left to 36-Z.Scott to MIN 24 for 4 yards (13-E.Jones; 21-D.Witherspoon).</x:v>
      </x:c>
      <x:c r="L1978" t="str">
        <x:v>pass</x:v>
      </x:c>
      <x:c r="M1978" t="n">
        <x:v>4</x:v>
      </x:c>
      <x:c r="N1978" t="n">
        <x:v>1</x:v>
      </x:c>
      <x:c r="O1978" t="n">
        <x:v>0</x:v>
      </x:c>
      <x:c r="P1978" t="str">
        <x:v>short</x:v>
      </x:c>
      <x:c r="Q1978" t="str">
        <x:v>left</x:v>
      </x:c>
      <x:c r="R1978" t="n">
        <x:v>-2</x:v>
      </x:c>
      <x:c r="S1978" t="n">
        <x:v>6</x:v>
      </x:c>
      <x:c r="T1978"/>
      <x:c r="U1978"/>
      <x:c r="V1978" t="n">
        <x:v>1</x:v>
      </x:c>
      <x:c r="W1978" t="n">
        <x:v>0</x:v>
      </x:c>
      <x:c r="X1978" t="n">
        <x:v>0</x:v>
      </x:c>
      <x:c r="Y1978" t="n">
        <x:v>0</x:v>
      </x:c>
      <x:c r="Z1978" t="n">
        <x:v>0</x:v>
      </x:c>
      <x:c r="AA1978" t="n">
        <x:v>0</x:v>
      </x:c>
      <x:c r="AB1978"/>
      <x:c r="AC1978" t="n">
        <x:v>0</x:v>
      </x:c>
      <x:c r="AD1978" t="n">
        <x:v>-0.16699096141383052</x:v>
      </x:c>
      <x:c r="AE1978" t="n">
        <x:v>0</x:v>
      </x:c>
      <x:c r="AF1978" t="n">
        <x:v>-0.001591208390891552</x:v>
      </x:c>
      <x:c r="AG1978" t="n">
        <x:f>_xlfn.XLOOKUP($A1978,Games!$A$2:$A$18,Games!$B$2:$B$18,"Missing game",0)</x:f>
        <x:v>2025</x:v>
      </x:c>
      <x:c r="AH1978" t="str">
        <x:f>_xlfn.XLOOKUP($A1978,Games!$A$2:$A$18,Games!$C$2:$C$18,"Missing game",0)</x:f>
        <x:v>REG</x:v>
      </x:c>
      <x:c r="AI1978" t="n">
        <x:f>_xlfn.XLOOKUP($A1978,Games!$A$2:$A$18,Games!$D$2:$D$18,"Missing game",0)</x:f>
        <x:v>13</x:v>
      </x:c>
      <x:c r="AJ1978" s="1" t="n">
        <x:f>_xlfn.XLOOKUP($A1978,Games!$A$2:$A$18,Games!$E$2:$E$18,"Missing game",0)</x:f>
        <x:v>45991</x:v>
      </x:c>
      <x:c r="AK1978" t="str">
        <x:f>_xlfn.XLOOKUP($A1978,Games!$A$2:$A$18,Games!$F$2:$F$18,"Missing game",0)</x:f>
        <x:v>Sunday</x:v>
      </x:c>
      <x:c r="AL1978" t="str">
        <x:f>_xlfn.XLOOKUP($A1978,Games!$A$2:$A$18,Games!$G$2:$G$18,"Missing game",0)</x:f>
        <x:v>MIN</x:v>
      </x:c>
      <x:c r="AM1978" t="n">
        <x:f>_xlfn.XLOOKUP($A1978,Games!$A$2:$A$18,Games!$H$2:$H$18,"Missing game",0)</x:f>
        <x:v>0</x:v>
      </x:c>
      <x:c r="AN1978" t="str">
        <x:f>_xlfn.XLOOKUP($A1978,Games!$A$2:$A$18,Games!$I$2:$I$18,"Missing game",0)</x:f>
        <x:v>SEA</x:v>
      </x:c>
      <x:c r="AO1978" t="n">
        <x:f>_xlfn.XLOOKUP($A1978,Games!$A$2:$A$18,Games!$J$2:$J$18,"Missing game",0)</x:f>
        <x:v>26</x:v>
      </x:c>
      <x:c r="AP1978" t="n">
        <x:f>_xlfn.XLOOKUP($A1978,Games!$A$2:$A$18,Games!$K$2:$K$18,"Missing game",0)</x:f>
        <x:v>26</x:v>
      </x:c>
      <x:c r="AQ1978" t="n">
        <x:f>_xlfn.XLOOKUP($A1978,Games!$A$2:$A$18,Games!$L$2:$L$18,"Missing game",0)</x:f>
        <x:v>26</x:v>
      </x:c>
      <x:c r="AR1978" t="n">
        <x:f>_xlfn.XLOOKUP($A1978,Games!$A$2:$A$18,Games!$M$2:$M$18,"Missing game",0)</x:f>
        <x:v>0</x:v>
      </x:c>
      <x:c r="AS1978" t="str">
        <x:f>_xlfn.XLOOKUP($A1978,Games!$A$2:$A$18,Games!$N$2:$N$18,"Missing game",0)</x:f>
        <x:v>outdoors</x:v>
      </x:c>
      <x:c r="AT1978" t="str">
        <x:f>_xlfn.XLOOKUP($A1978,Games!$A$2:$A$18,Games!$O$2:$O$18,"Missing game",0)</x:f>
        <x:v>fieldturf</x:v>
      </x:c>
      <x:c r="AU1978" t="n">
        <x:f>_xlfn.XLOOKUP($A1978,Games!$A$2:$A$18,Games!$P$2:$P$18,"Missing game",0)</x:f>
        <x:v>45</x:v>
      </x:c>
      <x:c r="AV1978" t="n">
        <x:f>_xlfn.XLOOKUP($A1978,Games!$A$2:$A$18,Games!$Q$2:$Q$18,"Missing game",0)</x:f>
        <x:v>2</x:v>
      </x:c>
      <x:c r="AW1978" t="str">
        <x:f>_xlfn.XLOOKUP($A1978,Games!$A$2:$A$18,Games!$R$2:$R$18,"Missing game",0)</x:f>
        <x:v>Lumen Field</x:v>
      </x:c>
    </x:row>
    <x:row r="1979">
      <x:c r="A1979" t="str">
        <x:v>2025_13_MIN_SEA</x:v>
      </x:c>
      <x:c r="B1979" t="n">
        <x:v>3113</x:v>
      </x:c>
      <x:c r="C1979" t="n">
        <x:v>4</x:v>
      </x:c>
      <x:c r="D1979" t="str">
        <x:v>13:02</x:v>
      </x:c>
      <x:c r="E1979" t="n">
        <x:v>2</x:v>
      </x:c>
      <x:c r="F1979" t="n">
        <x:v>6</x:v>
      </x:c>
      <x:c r="G1979" t="str">
        <x:v>MIN</x:v>
      </x:c>
      <x:c r="H1979" t="str">
        <x:v>SEA</x:v>
      </x:c>
      <x:c r="I1979" t="str">
        <x:v>MIN</x:v>
      </x:c>
      <x:c r="J1979" t="n">
        <x:v>76</x:v>
      </x:c>
      <x:c r="K1979" t="str">
        <x:v>(13:02) (No Huddle, Shotgun) 12-M.Brosmer pass short middle intended for 18-J.Jefferson INTERCEPTED by 13-E.Jones (29-J.Jobe) at MIN 38. 13-E.Jones to MIN 32 for 6 yards (76-W.Fries; 18-J.Jefferson).</x:v>
      </x:c>
      <x:c r="L1979" t="str">
        <x:v>pass</x:v>
      </x:c>
      <x:c r="M1979" t="n">
        <x:v>0</x:v>
      </x:c>
      <x:c r="N1979" t="n">
        <x:v>1</x:v>
      </x:c>
      <x:c r="O1979" t="n">
        <x:v>1</x:v>
      </x:c>
      <x:c r="P1979" t="str">
        <x:v>short</x:v>
      </x:c>
      <x:c r="Q1979" t="str">
        <x:v>middle</x:v>
      </x:c>
      <x:c r="R1979" t="n">
        <x:v>14</x:v>
      </x:c>
      <x:c r="S1979"/>
      <x:c r="T1979"/>
      <x:c r="U1979"/>
      <x:c r="V1979" t="n">
        <x:v>0</x:v>
      </x:c>
      <x:c r="W1979" t="n">
        <x:v>0</x:v>
      </x:c>
      <x:c r="X1979" t="n">
        <x:v>0</x:v>
      </x:c>
      <x:c r="Y1979" t="n">
        <x:v>1</x:v>
      </x:c>
      <x:c r="Z1979" t="n">
        <x:v>0</x:v>
      </x:c>
      <x:c r="AA1979" t="n">
        <x:v>0</x:v>
      </x:c>
      <x:c r="AB1979"/>
      <x:c r="AC1979" t="n">
        <x:v>0</x:v>
      </x:c>
      <x:c r="AD1979" t="n">
        <x:v>-4.254766617203131</x:v>
      </x:c>
      <x:c r="AE1979" t="n">
        <x:v>0</x:v>
      </x:c>
      <x:c r="AF1979" t="n">
        <x:v>-0.011521370150148869</x:v>
      </x:c>
      <x:c r="AG1979" t="n">
        <x:f>_xlfn.XLOOKUP($A1979,Games!$A$2:$A$18,Games!$B$2:$B$18,"Missing game",0)</x:f>
        <x:v>2025</x:v>
      </x:c>
      <x:c r="AH1979" t="str">
        <x:f>_xlfn.XLOOKUP($A1979,Games!$A$2:$A$18,Games!$C$2:$C$18,"Missing game",0)</x:f>
        <x:v>REG</x:v>
      </x:c>
      <x:c r="AI1979" t="n">
        <x:f>_xlfn.XLOOKUP($A1979,Games!$A$2:$A$18,Games!$D$2:$D$18,"Missing game",0)</x:f>
        <x:v>13</x:v>
      </x:c>
      <x:c r="AJ1979" s="1" t="n">
        <x:f>_xlfn.XLOOKUP($A1979,Games!$A$2:$A$18,Games!$E$2:$E$18,"Missing game",0)</x:f>
        <x:v>45991</x:v>
      </x:c>
      <x:c r="AK1979" t="str">
        <x:f>_xlfn.XLOOKUP($A1979,Games!$A$2:$A$18,Games!$F$2:$F$18,"Missing game",0)</x:f>
        <x:v>Sunday</x:v>
      </x:c>
      <x:c r="AL1979" t="str">
        <x:f>_xlfn.XLOOKUP($A1979,Games!$A$2:$A$18,Games!$G$2:$G$18,"Missing game",0)</x:f>
        <x:v>MIN</x:v>
      </x:c>
      <x:c r="AM1979" t="n">
        <x:f>_xlfn.XLOOKUP($A1979,Games!$A$2:$A$18,Games!$H$2:$H$18,"Missing game",0)</x:f>
        <x:v>0</x:v>
      </x:c>
      <x:c r="AN1979" t="str">
        <x:f>_xlfn.XLOOKUP($A1979,Games!$A$2:$A$18,Games!$I$2:$I$18,"Missing game",0)</x:f>
        <x:v>SEA</x:v>
      </x:c>
      <x:c r="AO1979" t="n">
        <x:f>_xlfn.XLOOKUP($A1979,Games!$A$2:$A$18,Games!$J$2:$J$18,"Missing game",0)</x:f>
        <x:v>26</x:v>
      </x:c>
      <x:c r="AP1979" t="n">
        <x:f>_xlfn.XLOOKUP($A1979,Games!$A$2:$A$18,Games!$K$2:$K$18,"Missing game",0)</x:f>
        <x:v>26</x:v>
      </x:c>
      <x:c r="AQ1979" t="n">
        <x:f>_xlfn.XLOOKUP($A1979,Games!$A$2:$A$18,Games!$L$2:$L$18,"Missing game",0)</x:f>
        <x:v>26</x:v>
      </x:c>
      <x:c r="AR1979" t="n">
        <x:f>_xlfn.XLOOKUP($A1979,Games!$A$2:$A$18,Games!$M$2:$M$18,"Missing game",0)</x:f>
        <x:v>0</x:v>
      </x:c>
      <x:c r="AS1979" t="str">
        <x:f>_xlfn.XLOOKUP($A1979,Games!$A$2:$A$18,Games!$N$2:$N$18,"Missing game",0)</x:f>
        <x:v>outdoors</x:v>
      </x:c>
      <x:c r="AT1979" t="str">
        <x:f>_xlfn.XLOOKUP($A1979,Games!$A$2:$A$18,Games!$O$2:$O$18,"Missing game",0)</x:f>
        <x:v>fieldturf</x:v>
      </x:c>
      <x:c r="AU1979" t="n">
        <x:f>_xlfn.XLOOKUP($A1979,Games!$A$2:$A$18,Games!$P$2:$P$18,"Missing game",0)</x:f>
        <x:v>45</x:v>
      </x:c>
      <x:c r="AV1979" t="n">
        <x:f>_xlfn.XLOOKUP($A1979,Games!$A$2:$A$18,Games!$Q$2:$Q$18,"Missing game",0)</x:f>
        <x:v>2</x:v>
      </x:c>
      <x:c r="AW1979" t="str">
        <x:f>_xlfn.XLOOKUP($A1979,Games!$A$2:$A$18,Games!$R$2:$R$18,"Missing game",0)</x:f>
        <x:v>Lumen Field</x:v>
      </x:c>
    </x:row>
    <x:row r="1980">
      <x:c r="A1980" t="str">
        <x:v>2025_13_MIN_SEA</x:v>
      </x:c>
      <x:c r="B1980" t="n">
        <x:v>3147</x:v>
      </x:c>
      <x:c r="C1980" t="n">
        <x:v>4</x:v>
      </x:c>
      <x:c r="D1980" t="str">
        <x:v>12:52</x:v>
      </x:c>
      <x:c r="E1980" t="n">
        <x:v>1</x:v>
      </x:c>
      <x:c r="F1980" t="n">
        <x:v>10</x:v>
      </x:c>
      <x:c r="G1980" t="str">
        <x:v>SEA</x:v>
      </x:c>
      <x:c r="H1980" t="str">
        <x:v>MIN</x:v>
      </x:c>
      <x:c r="I1980" t="str">
        <x:v>MIN</x:v>
      </x:c>
      <x:c r="J1980" t="n">
        <x:v>32</x:v>
      </x:c>
      <x:c r="K1980" t="str">
        <x:v>(12:52) (Shotgun) 26-Z.Charbonnet left end to MIN 24 for 8 yards (15-D.Turner).</x:v>
      </x:c>
      <x:c r="L1980" t="str">
        <x:v>run</x:v>
      </x:c>
      <x:c r="M1980" t="n">
        <x:v>8</x:v>
      </x:c>
      <x:c r="N1980" t="n">
        <x:v>1</x:v>
      </x:c>
      <x:c r="O1980" t="n">
        <x:v>0</x:v>
      </x:c>
      <x:c r="P1980"/>
      <x:c r="Q1980"/>
      <x:c r="R1980"/>
      <x:c r="S1980"/>
      <x:c r="T1980" t="str">
        <x:v>left</x:v>
      </x:c>
      <x:c r="U1980" t="str">
        <x:v>end</x:v>
      </x:c>
      <x:c r="V1980" t="n">
        <x:v>0</x:v>
      </x:c>
      <x:c r="W1980" t="n">
        <x:v>0</x:v>
      </x:c>
      <x:c r="X1980" t="n">
        <x:v>0</x:v>
      </x:c>
      <x:c r="Y1980" t="n">
        <x:v>0</x:v>
      </x:c>
      <x:c r="Z1980" t="n">
        <x:v>0</x:v>
      </x:c>
      <x:c r="AA1980" t="n">
        <x:v>0</x:v>
      </x:c>
      <x:c r="AB1980"/>
      <x:c r="AC1980" t="n">
        <x:v>0</x:v>
      </x:c>
      <x:c r="AD1980" t="n">
        <x:v>0.6769954595947638</x:v>
      </x:c>
      <x:c r="AE1980" t="n">
        <x:v>1</x:v>
      </x:c>
      <x:c r="AF1980" t="n">
        <x:v>0.000009119510650634766</x:v>
      </x:c>
      <x:c r="AG1980" t="n">
        <x:f>_xlfn.XLOOKUP($A1980,Games!$A$2:$A$18,Games!$B$2:$B$18,"Missing game",0)</x:f>
        <x:v>2025</x:v>
      </x:c>
      <x:c r="AH1980" t="str">
        <x:f>_xlfn.XLOOKUP($A1980,Games!$A$2:$A$18,Games!$C$2:$C$18,"Missing game",0)</x:f>
        <x:v>REG</x:v>
      </x:c>
      <x:c r="AI1980" t="n">
        <x:f>_xlfn.XLOOKUP($A1980,Games!$A$2:$A$18,Games!$D$2:$D$18,"Missing game",0)</x:f>
        <x:v>13</x:v>
      </x:c>
      <x:c r="AJ1980" s="1" t="n">
        <x:f>_xlfn.XLOOKUP($A1980,Games!$A$2:$A$18,Games!$E$2:$E$18,"Missing game",0)</x:f>
        <x:v>45991</x:v>
      </x:c>
      <x:c r="AK1980" t="str">
        <x:f>_xlfn.XLOOKUP($A1980,Games!$A$2:$A$18,Games!$F$2:$F$18,"Missing game",0)</x:f>
        <x:v>Sunday</x:v>
      </x:c>
      <x:c r="AL1980" t="str">
        <x:f>_xlfn.XLOOKUP($A1980,Games!$A$2:$A$18,Games!$G$2:$G$18,"Missing game",0)</x:f>
        <x:v>MIN</x:v>
      </x:c>
      <x:c r="AM1980" t="n">
        <x:f>_xlfn.XLOOKUP($A1980,Games!$A$2:$A$18,Games!$H$2:$H$18,"Missing game",0)</x:f>
        <x:v>0</x:v>
      </x:c>
      <x:c r="AN1980" t="str">
        <x:f>_xlfn.XLOOKUP($A1980,Games!$A$2:$A$18,Games!$I$2:$I$18,"Missing game",0)</x:f>
        <x:v>SEA</x:v>
      </x:c>
      <x:c r="AO1980" t="n">
        <x:f>_xlfn.XLOOKUP($A1980,Games!$A$2:$A$18,Games!$J$2:$J$18,"Missing game",0)</x:f>
        <x:v>26</x:v>
      </x:c>
      <x:c r="AP1980" t="n">
        <x:f>_xlfn.XLOOKUP($A1980,Games!$A$2:$A$18,Games!$K$2:$K$18,"Missing game",0)</x:f>
        <x:v>26</x:v>
      </x:c>
      <x:c r="AQ1980" t="n">
        <x:f>_xlfn.XLOOKUP($A1980,Games!$A$2:$A$18,Games!$L$2:$L$18,"Missing game",0)</x:f>
        <x:v>26</x:v>
      </x:c>
      <x:c r="AR1980" t="n">
        <x:f>_xlfn.XLOOKUP($A1980,Games!$A$2:$A$18,Games!$M$2:$M$18,"Missing game",0)</x:f>
        <x:v>0</x:v>
      </x:c>
      <x:c r="AS1980" t="str">
        <x:f>_xlfn.XLOOKUP($A1980,Games!$A$2:$A$18,Games!$N$2:$N$18,"Missing game",0)</x:f>
        <x:v>outdoors</x:v>
      </x:c>
      <x:c r="AT1980" t="str">
        <x:f>_xlfn.XLOOKUP($A1980,Games!$A$2:$A$18,Games!$O$2:$O$18,"Missing game",0)</x:f>
        <x:v>fieldturf</x:v>
      </x:c>
      <x:c r="AU1980" t="n">
        <x:f>_xlfn.XLOOKUP($A1980,Games!$A$2:$A$18,Games!$P$2:$P$18,"Missing game",0)</x:f>
        <x:v>45</x:v>
      </x:c>
      <x:c r="AV1980" t="n">
        <x:f>_xlfn.XLOOKUP($A1980,Games!$A$2:$A$18,Games!$Q$2:$Q$18,"Missing game",0)</x:f>
        <x:v>2</x:v>
      </x:c>
      <x:c r="AW1980" t="str">
        <x:f>_xlfn.XLOOKUP($A1980,Games!$A$2:$A$18,Games!$R$2:$R$18,"Missing game",0)</x:f>
        <x:v>Lumen Field</x:v>
      </x:c>
    </x:row>
    <x:row r="1981">
      <x:c r="A1981" t="str">
        <x:v>2025_13_MIN_SEA</x:v>
      </x:c>
      <x:c r="B1981" t="n">
        <x:v>3169</x:v>
      </x:c>
      <x:c r="C1981" t="n">
        <x:v>4</x:v>
      </x:c>
      <x:c r="D1981" t="str">
        <x:v>12:06</x:v>
      </x:c>
      <x:c r="E1981" t="n">
        <x:v>2</x:v>
      </x:c>
      <x:c r="F1981" t="n">
        <x:v>2</x:v>
      </x:c>
      <x:c r="G1981" t="str">
        <x:v>SEA</x:v>
      </x:c>
      <x:c r="H1981" t="str">
        <x:v>MIN</x:v>
      </x:c>
      <x:c r="I1981" t="str">
        <x:v>MIN</x:v>
      </x:c>
      <x:c r="J1981" t="n">
        <x:v>24</x:v>
      </x:c>
      <x:c r="K1981" t="str">
        <x:v>(12:06) 26-Z.Charbonnet up the middle to MIN 23 for 1 yard (7-B.Murphy; 55-E.Wilson).</x:v>
      </x:c>
      <x:c r="L1981" t="str">
        <x:v>run</x:v>
      </x:c>
      <x:c r="M1981" t="n">
        <x:v>1</x:v>
      </x:c>
      <x:c r="N1981" t="n">
        <x:v>0</x:v>
      </x:c>
      <x:c r="O1981" t="n">
        <x:v>0</x:v>
      </x:c>
      <x:c r="P1981"/>
      <x:c r="Q1981"/>
      <x:c r="R1981"/>
      <x:c r="S1981"/>
      <x:c r="T1981" t="str">
        <x:v>middle</x:v>
      </x:c>
      <x:c r="U1981"/>
      <x:c r="V1981" t="n">
        <x:v>0</x:v>
      </x:c>
      <x:c r="W1981" t="n">
        <x:v>0</x:v>
      </x:c>
      <x:c r="X1981" t="n">
        <x:v>0</x:v>
      </x:c>
      <x:c r="Y1981" t="n">
        <x:v>0</x:v>
      </x:c>
      <x:c r="Z1981" t="n">
        <x:v>0</x:v>
      </x:c>
      <x:c r="AA1981" t="n">
        <x:v>0</x:v>
      </x:c>
      <x:c r="AB1981"/>
      <x:c r="AC1981" t="n">
        <x:v>0</x:v>
      </x:c>
      <x:c r="AD1981" t="n">
        <x:v>-0.380627972423099</x:v>
      </x:c>
      <x:c r="AE1981" t="n">
        <x:v>0</x:v>
      </x:c>
      <x:c r="AF1981" t="n">
        <x:v>0.001903235912322998</x:v>
      </x:c>
      <x:c r="AG1981" t="n">
        <x:f>_xlfn.XLOOKUP($A1981,Games!$A$2:$A$18,Games!$B$2:$B$18,"Missing game",0)</x:f>
        <x:v>2025</x:v>
      </x:c>
      <x:c r="AH1981" t="str">
        <x:f>_xlfn.XLOOKUP($A1981,Games!$A$2:$A$18,Games!$C$2:$C$18,"Missing game",0)</x:f>
        <x:v>REG</x:v>
      </x:c>
      <x:c r="AI1981" t="n">
        <x:f>_xlfn.XLOOKUP($A1981,Games!$A$2:$A$18,Games!$D$2:$D$18,"Missing game",0)</x:f>
        <x:v>13</x:v>
      </x:c>
      <x:c r="AJ1981" s="1" t="n">
        <x:f>_xlfn.XLOOKUP($A1981,Games!$A$2:$A$18,Games!$E$2:$E$18,"Missing game",0)</x:f>
        <x:v>45991</x:v>
      </x:c>
      <x:c r="AK1981" t="str">
        <x:f>_xlfn.XLOOKUP($A1981,Games!$A$2:$A$18,Games!$F$2:$F$18,"Missing game",0)</x:f>
        <x:v>Sunday</x:v>
      </x:c>
      <x:c r="AL1981" t="str">
        <x:f>_xlfn.XLOOKUP($A1981,Games!$A$2:$A$18,Games!$G$2:$G$18,"Missing game",0)</x:f>
        <x:v>MIN</x:v>
      </x:c>
      <x:c r="AM1981" t="n">
        <x:f>_xlfn.XLOOKUP($A1981,Games!$A$2:$A$18,Games!$H$2:$H$18,"Missing game",0)</x:f>
        <x:v>0</x:v>
      </x:c>
      <x:c r="AN1981" t="str">
        <x:f>_xlfn.XLOOKUP($A1981,Games!$A$2:$A$18,Games!$I$2:$I$18,"Missing game",0)</x:f>
        <x:v>SEA</x:v>
      </x:c>
      <x:c r="AO1981" t="n">
        <x:f>_xlfn.XLOOKUP($A1981,Games!$A$2:$A$18,Games!$J$2:$J$18,"Missing game",0)</x:f>
        <x:v>26</x:v>
      </x:c>
      <x:c r="AP1981" t="n">
        <x:f>_xlfn.XLOOKUP($A1981,Games!$A$2:$A$18,Games!$K$2:$K$18,"Missing game",0)</x:f>
        <x:v>26</x:v>
      </x:c>
      <x:c r="AQ1981" t="n">
        <x:f>_xlfn.XLOOKUP($A1981,Games!$A$2:$A$18,Games!$L$2:$L$18,"Missing game",0)</x:f>
        <x:v>26</x:v>
      </x:c>
      <x:c r="AR1981" t="n">
        <x:f>_xlfn.XLOOKUP($A1981,Games!$A$2:$A$18,Games!$M$2:$M$18,"Missing game",0)</x:f>
        <x:v>0</x:v>
      </x:c>
      <x:c r="AS1981" t="str">
        <x:f>_xlfn.XLOOKUP($A1981,Games!$A$2:$A$18,Games!$N$2:$N$18,"Missing game",0)</x:f>
        <x:v>outdoors</x:v>
      </x:c>
      <x:c r="AT1981" t="str">
        <x:f>_xlfn.XLOOKUP($A1981,Games!$A$2:$A$18,Games!$O$2:$O$18,"Missing game",0)</x:f>
        <x:v>fieldturf</x:v>
      </x:c>
      <x:c r="AU1981" t="n">
        <x:f>_xlfn.XLOOKUP($A1981,Games!$A$2:$A$18,Games!$P$2:$P$18,"Missing game",0)</x:f>
        <x:v>45</x:v>
      </x:c>
      <x:c r="AV1981" t="n">
        <x:f>_xlfn.XLOOKUP($A1981,Games!$A$2:$A$18,Games!$Q$2:$Q$18,"Missing game",0)</x:f>
        <x:v>2</x:v>
      </x:c>
      <x:c r="AW1981" t="str">
        <x:f>_xlfn.XLOOKUP($A1981,Games!$A$2:$A$18,Games!$R$2:$R$18,"Missing game",0)</x:f>
        <x:v>Lumen Field</x:v>
      </x:c>
    </x:row>
    <x:row r="1982">
      <x:c r="A1982" t="str">
        <x:v>2025_13_MIN_SEA</x:v>
      </x:c>
      <x:c r="B1982" t="n">
        <x:v>3191</x:v>
      </x:c>
      <x:c r="C1982" t="n">
        <x:v>4</x:v>
      </x:c>
      <x:c r="D1982" t="str">
        <x:v>11:26</x:v>
      </x:c>
      <x:c r="E1982" t="n">
        <x:v>3</x:v>
      </x:c>
      <x:c r="F1982" t="n">
        <x:v>1</x:v>
      </x:c>
      <x:c r="G1982" t="str">
        <x:v>SEA</x:v>
      </x:c>
      <x:c r="H1982" t="str">
        <x:v>MIN</x:v>
      </x:c>
      <x:c r="I1982" t="str">
        <x:v>MIN</x:v>
      </x:c>
      <x:c r="J1982" t="n">
        <x:v>23</x:v>
      </x:c>
      <x:c r="K1982" t="str">
        <x:v>(11:26) 26-Z.Charbonnet up the middle to MIN 23 for no gain (90-T.Ingram-Dawkins; 51-B.Cashman).</x:v>
      </x:c>
      <x:c r="L1982" t="str">
        <x:v>run</x:v>
      </x:c>
      <x:c r="M1982" t="n">
        <x:v>0</x:v>
      </x:c>
      <x:c r="N1982" t="n">
        <x:v>0</x:v>
      </x:c>
      <x:c r="O1982" t="n">
        <x:v>0</x:v>
      </x:c>
      <x:c r="P1982"/>
      <x:c r="Q1982"/>
      <x:c r="R1982"/>
      <x:c r="S1982"/>
      <x:c r="T1982" t="str">
        <x:v>middle</x:v>
      </x:c>
      <x:c r="U1982"/>
      <x:c r="V1982" t="n">
        <x:v>0</x:v>
      </x:c>
      <x:c r="W1982" t="n">
        <x:v>0</x:v>
      </x:c>
      <x:c r="X1982" t="n">
        <x:v>0</x:v>
      </x:c>
      <x:c r="Y1982" t="n">
        <x:v>0</x:v>
      </x:c>
      <x:c r="Z1982" t="n">
        <x:v>0</x:v>
      </x:c>
      <x:c r="AA1982" t="n">
        <x:v>0</x:v>
      </x:c>
      <x:c r="AB1982"/>
      <x:c r="AC1982" t="n">
        <x:v>0</x:v>
      </x:c>
      <x:c r="AD1982" t="n">
        <x:v>-1.131365425302647</x:v>
      </x:c>
      <x:c r="AE1982" t="n">
        <x:v>0</x:v>
      </x:c>
      <x:c r="AF1982" t="n">
        <x:v>-0.0011518001556396484</x:v>
      </x:c>
      <x:c r="AG1982" t="n">
        <x:f>_xlfn.XLOOKUP($A1982,Games!$A$2:$A$18,Games!$B$2:$B$18,"Missing game",0)</x:f>
        <x:v>2025</x:v>
      </x:c>
      <x:c r="AH1982" t="str">
        <x:f>_xlfn.XLOOKUP($A1982,Games!$A$2:$A$18,Games!$C$2:$C$18,"Missing game",0)</x:f>
        <x:v>REG</x:v>
      </x:c>
      <x:c r="AI1982" t="n">
        <x:f>_xlfn.XLOOKUP($A1982,Games!$A$2:$A$18,Games!$D$2:$D$18,"Missing game",0)</x:f>
        <x:v>13</x:v>
      </x:c>
      <x:c r="AJ1982" s="1" t="n">
        <x:f>_xlfn.XLOOKUP($A1982,Games!$A$2:$A$18,Games!$E$2:$E$18,"Missing game",0)</x:f>
        <x:v>45991</x:v>
      </x:c>
      <x:c r="AK1982" t="str">
        <x:f>_xlfn.XLOOKUP($A1982,Games!$A$2:$A$18,Games!$F$2:$F$18,"Missing game",0)</x:f>
        <x:v>Sunday</x:v>
      </x:c>
      <x:c r="AL1982" t="str">
        <x:f>_xlfn.XLOOKUP($A1982,Games!$A$2:$A$18,Games!$G$2:$G$18,"Missing game",0)</x:f>
        <x:v>MIN</x:v>
      </x:c>
      <x:c r="AM1982" t="n">
        <x:f>_xlfn.XLOOKUP($A1982,Games!$A$2:$A$18,Games!$H$2:$H$18,"Missing game",0)</x:f>
        <x:v>0</x:v>
      </x:c>
      <x:c r="AN1982" t="str">
        <x:f>_xlfn.XLOOKUP($A1982,Games!$A$2:$A$18,Games!$I$2:$I$18,"Missing game",0)</x:f>
        <x:v>SEA</x:v>
      </x:c>
      <x:c r="AO1982" t="n">
        <x:f>_xlfn.XLOOKUP($A1982,Games!$A$2:$A$18,Games!$J$2:$J$18,"Missing game",0)</x:f>
        <x:v>26</x:v>
      </x:c>
      <x:c r="AP1982" t="n">
        <x:f>_xlfn.XLOOKUP($A1982,Games!$A$2:$A$18,Games!$K$2:$K$18,"Missing game",0)</x:f>
        <x:v>26</x:v>
      </x:c>
      <x:c r="AQ1982" t="n">
        <x:f>_xlfn.XLOOKUP($A1982,Games!$A$2:$A$18,Games!$L$2:$L$18,"Missing game",0)</x:f>
        <x:v>26</x:v>
      </x:c>
      <x:c r="AR1982" t="n">
        <x:f>_xlfn.XLOOKUP($A1982,Games!$A$2:$A$18,Games!$M$2:$M$18,"Missing game",0)</x:f>
        <x:v>0</x:v>
      </x:c>
      <x:c r="AS1982" t="str">
        <x:f>_xlfn.XLOOKUP($A1982,Games!$A$2:$A$18,Games!$N$2:$N$18,"Missing game",0)</x:f>
        <x:v>outdoors</x:v>
      </x:c>
      <x:c r="AT1982" t="str">
        <x:f>_xlfn.XLOOKUP($A1982,Games!$A$2:$A$18,Games!$O$2:$O$18,"Missing game",0)</x:f>
        <x:v>fieldturf</x:v>
      </x:c>
      <x:c r="AU1982" t="n">
        <x:f>_xlfn.XLOOKUP($A1982,Games!$A$2:$A$18,Games!$P$2:$P$18,"Missing game",0)</x:f>
        <x:v>45</x:v>
      </x:c>
      <x:c r="AV1982" t="n">
        <x:f>_xlfn.XLOOKUP($A1982,Games!$A$2:$A$18,Games!$Q$2:$Q$18,"Missing game",0)</x:f>
        <x:v>2</x:v>
      </x:c>
      <x:c r="AW1982" t="str">
        <x:f>_xlfn.XLOOKUP($A1982,Games!$A$2:$A$18,Games!$R$2:$R$18,"Missing game",0)</x:f>
        <x:v>Lumen Field</x:v>
      </x:c>
    </x:row>
    <x:row r="1983">
      <x:c r="A1983" t="str">
        <x:v>2025_13_MIN_SEA</x:v>
      </x:c>
      <x:c r="B1983" t="n">
        <x:v>3213</x:v>
      </x:c>
      <x:c r="C1983" t="n">
        <x:v>4</x:v>
      </x:c>
      <x:c r="D1983" t="str">
        <x:v>10:40</x:v>
      </x:c>
      <x:c r="E1983" t="n">
        <x:v>4</x:v>
      </x:c>
      <x:c r="F1983" t="n">
        <x:v>1</x:v>
      </x:c>
      <x:c r="G1983" t="str">
        <x:v>SEA</x:v>
      </x:c>
      <x:c r="H1983" t="str">
        <x:v>MIN</x:v>
      </x:c>
      <x:c r="I1983" t="str">
        <x:v>MIN</x:v>
      </x:c>
      <x:c r="J1983" t="n">
        <x:v>23</x:v>
      </x:c>
      <x:c r="K1983" t="str">
        <x:v>(10:40) (Shotgun) 14-S.Darnold pass short left to 88-A.Barner to MIN 21 for 2 yards (7-B.Murphy).</x:v>
      </x:c>
      <x:c r="L1983" t="str">
        <x:v>pass</x:v>
      </x:c>
      <x:c r="M1983" t="n">
        <x:v>2</x:v>
      </x:c>
      <x:c r="N1983" t="n">
        <x:v>1</x:v>
      </x:c>
      <x:c r="O1983" t="n">
        <x:v>0</x:v>
      </x:c>
      <x:c r="P1983" t="str">
        <x:v>short</x:v>
      </x:c>
      <x:c r="Q1983" t="str">
        <x:v>left</x:v>
      </x:c>
      <x:c r="R1983" t="n">
        <x:v>0</x:v>
      </x:c>
      <x:c r="S1983" t="n">
        <x:v>2</x:v>
      </x:c>
      <x:c r="T1983"/>
      <x:c r="U1983"/>
      <x:c r="V1983" t="n">
        <x:v>1</x:v>
      </x:c>
      <x:c r="W1983" t="n">
        <x:v>1</x:v>
      </x:c>
      <x:c r="X1983" t="n">
        <x:v>0</x:v>
      </x:c>
      <x:c r="Y1983" t="n">
        <x:v>0</x:v>
      </x:c>
      <x:c r="Z1983" t="n">
        <x:v>0</x:v>
      </x:c>
      <x:c r="AA1983" t="n">
        <x:v>0</x:v>
      </x:c>
      <x:c r="AB1983"/>
      <x:c r="AC1983" t="n">
        <x:v>0</x:v>
      </x:c>
      <x:c r="AD1983" t="n">
        <x:v>1.4348968036356382</x:v>
      </x:c>
      <x:c r="AE1983" t="n">
        <x:v>1</x:v>
      </x:c>
      <x:c r="AF1983" t="n">
        <x:v>0.0011879801750183105</x:v>
      </x:c>
      <x:c r="AG1983" t="n">
        <x:f>_xlfn.XLOOKUP($A1983,Games!$A$2:$A$18,Games!$B$2:$B$18,"Missing game",0)</x:f>
        <x:v>2025</x:v>
      </x:c>
      <x:c r="AH1983" t="str">
        <x:f>_xlfn.XLOOKUP($A1983,Games!$A$2:$A$18,Games!$C$2:$C$18,"Missing game",0)</x:f>
        <x:v>REG</x:v>
      </x:c>
      <x:c r="AI1983" t="n">
        <x:f>_xlfn.XLOOKUP($A1983,Games!$A$2:$A$18,Games!$D$2:$D$18,"Missing game",0)</x:f>
        <x:v>13</x:v>
      </x:c>
      <x:c r="AJ1983" s="1" t="n">
        <x:f>_xlfn.XLOOKUP($A1983,Games!$A$2:$A$18,Games!$E$2:$E$18,"Missing game",0)</x:f>
        <x:v>45991</x:v>
      </x:c>
      <x:c r="AK1983" t="str">
        <x:f>_xlfn.XLOOKUP($A1983,Games!$A$2:$A$18,Games!$F$2:$F$18,"Missing game",0)</x:f>
        <x:v>Sunday</x:v>
      </x:c>
      <x:c r="AL1983" t="str">
        <x:f>_xlfn.XLOOKUP($A1983,Games!$A$2:$A$18,Games!$G$2:$G$18,"Missing game",0)</x:f>
        <x:v>MIN</x:v>
      </x:c>
      <x:c r="AM1983" t="n">
        <x:f>_xlfn.XLOOKUP($A1983,Games!$A$2:$A$18,Games!$H$2:$H$18,"Missing game",0)</x:f>
        <x:v>0</x:v>
      </x:c>
      <x:c r="AN1983" t="str">
        <x:f>_xlfn.XLOOKUP($A1983,Games!$A$2:$A$18,Games!$I$2:$I$18,"Missing game",0)</x:f>
        <x:v>SEA</x:v>
      </x:c>
      <x:c r="AO1983" t="n">
        <x:f>_xlfn.XLOOKUP($A1983,Games!$A$2:$A$18,Games!$J$2:$J$18,"Missing game",0)</x:f>
        <x:v>26</x:v>
      </x:c>
      <x:c r="AP1983" t="n">
        <x:f>_xlfn.XLOOKUP($A1983,Games!$A$2:$A$18,Games!$K$2:$K$18,"Missing game",0)</x:f>
        <x:v>26</x:v>
      </x:c>
      <x:c r="AQ1983" t="n">
        <x:f>_xlfn.XLOOKUP($A1983,Games!$A$2:$A$18,Games!$L$2:$L$18,"Missing game",0)</x:f>
        <x:v>26</x:v>
      </x:c>
      <x:c r="AR1983" t="n">
        <x:f>_xlfn.XLOOKUP($A1983,Games!$A$2:$A$18,Games!$M$2:$M$18,"Missing game",0)</x:f>
        <x:v>0</x:v>
      </x:c>
      <x:c r="AS1983" t="str">
        <x:f>_xlfn.XLOOKUP($A1983,Games!$A$2:$A$18,Games!$N$2:$N$18,"Missing game",0)</x:f>
        <x:v>outdoors</x:v>
      </x:c>
      <x:c r="AT1983" t="str">
        <x:f>_xlfn.XLOOKUP($A1983,Games!$A$2:$A$18,Games!$O$2:$O$18,"Missing game",0)</x:f>
        <x:v>fieldturf</x:v>
      </x:c>
      <x:c r="AU1983" t="n">
        <x:f>_xlfn.XLOOKUP($A1983,Games!$A$2:$A$18,Games!$P$2:$P$18,"Missing game",0)</x:f>
        <x:v>45</x:v>
      </x:c>
      <x:c r="AV1983" t="n">
        <x:f>_xlfn.XLOOKUP($A1983,Games!$A$2:$A$18,Games!$Q$2:$Q$18,"Missing game",0)</x:f>
        <x:v>2</x:v>
      </x:c>
      <x:c r="AW1983" t="str">
        <x:f>_xlfn.XLOOKUP($A1983,Games!$A$2:$A$18,Games!$R$2:$R$18,"Missing game",0)</x:f>
        <x:v>Lumen Field</x:v>
      </x:c>
    </x:row>
    <x:row r="1984">
      <x:c r="A1984" t="str">
        <x:v>2025_13_MIN_SEA</x:v>
      </x:c>
      <x:c r="B1984" t="n">
        <x:v>3225</x:v>
      </x:c>
      <x:c r="C1984" t="n">
        <x:v>4</x:v>
      </x:c>
      <x:c r="D1984" t="str">
        <x:v>10:40</x:v>
      </x:c>
      <x:c r="E1984"/>
      <x:c r="F1984" t="n">
        <x:v>0</x:v>
      </x:c>
      <x:c r="G1984"/>
      <x:c r="H1984"/>
      <x:c r="I1984"/>
      <x:c r="J1984"/>
      <x:c r="K1984" t="str">
        <x:v>Timeout #1 by SEA at 10:40.</x:v>
      </x:c>
      <x:c r="L1984" t="str">
        <x:v>no_play</x:v>
      </x:c>
      <x:c r="M1984" t="n">
        <x:v>0</x:v>
      </x:c>
      <x:c r="N1984" t="n">
        <x:v>0</x:v>
      </x:c>
      <x:c r="O1984" t="n">
        <x:v>0</x:v>
      </x:c>
      <x:c r="P1984"/>
      <x:c r="Q1984"/>
      <x:c r="R1984"/>
      <x:c r="S1984"/>
      <x:c r="T1984"/>
      <x:c r="U1984"/>
      <x:c r="V1984" t="n">
        <x:v>0</x:v>
      </x:c>
      <x:c r="W1984" t="n">
        <x:v>0</x:v>
      </x:c>
      <x:c r="X1984" t="n">
        <x:v>0</x:v>
      </x:c>
      <x:c r="Y1984" t="n">
        <x:v>0</x:v>
      </x:c>
      <x:c r="Z1984" t="n">
        <x:v>0</x:v>
      </x:c>
      <x:c r="AA1984" t="n">
        <x:v>0</x:v>
      </x:c>
      <x:c r="AB1984"/>
      <x:c r="AC1984" t="n">
        <x:v>0</x:v>
      </x:c>
      <x:c r="AD1984" t="n">
        <x:v>0</x:v>
      </x:c>
      <x:c r="AE1984" t="n">
        <x:v>0</x:v>
      </x:c>
      <x:c r="AF1984" t="n">
        <x:v>0</x:v>
      </x:c>
      <x:c r="AG1984" t="n">
        <x:f>_xlfn.XLOOKUP($A1984,Games!$A$2:$A$18,Games!$B$2:$B$18,"Missing game",0)</x:f>
        <x:v>2025</x:v>
      </x:c>
      <x:c r="AH1984" t="str">
        <x:f>_xlfn.XLOOKUP($A1984,Games!$A$2:$A$18,Games!$C$2:$C$18,"Missing game",0)</x:f>
        <x:v>REG</x:v>
      </x:c>
      <x:c r="AI1984" t="n">
        <x:f>_xlfn.XLOOKUP($A1984,Games!$A$2:$A$18,Games!$D$2:$D$18,"Missing game",0)</x:f>
        <x:v>13</x:v>
      </x:c>
      <x:c r="AJ1984" s="1" t="n">
        <x:f>_xlfn.XLOOKUP($A1984,Games!$A$2:$A$18,Games!$E$2:$E$18,"Missing game",0)</x:f>
        <x:v>45991</x:v>
      </x:c>
      <x:c r="AK1984" t="str">
        <x:f>_xlfn.XLOOKUP($A1984,Games!$A$2:$A$18,Games!$F$2:$F$18,"Missing game",0)</x:f>
        <x:v>Sunday</x:v>
      </x:c>
      <x:c r="AL1984" t="str">
        <x:f>_xlfn.XLOOKUP($A1984,Games!$A$2:$A$18,Games!$G$2:$G$18,"Missing game",0)</x:f>
        <x:v>MIN</x:v>
      </x:c>
      <x:c r="AM1984" t="n">
        <x:f>_xlfn.XLOOKUP($A1984,Games!$A$2:$A$18,Games!$H$2:$H$18,"Missing game",0)</x:f>
        <x:v>0</x:v>
      </x:c>
      <x:c r="AN1984" t="str">
        <x:f>_xlfn.XLOOKUP($A1984,Games!$A$2:$A$18,Games!$I$2:$I$18,"Missing game",0)</x:f>
        <x:v>SEA</x:v>
      </x:c>
      <x:c r="AO1984" t="n">
        <x:f>_xlfn.XLOOKUP($A1984,Games!$A$2:$A$18,Games!$J$2:$J$18,"Missing game",0)</x:f>
        <x:v>26</x:v>
      </x:c>
      <x:c r="AP1984" t="n">
        <x:f>_xlfn.XLOOKUP($A1984,Games!$A$2:$A$18,Games!$K$2:$K$18,"Missing game",0)</x:f>
        <x:v>26</x:v>
      </x:c>
      <x:c r="AQ1984" t="n">
        <x:f>_xlfn.XLOOKUP($A1984,Games!$A$2:$A$18,Games!$L$2:$L$18,"Missing game",0)</x:f>
        <x:v>26</x:v>
      </x:c>
      <x:c r="AR1984" t="n">
        <x:f>_xlfn.XLOOKUP($A1984,Games!$A$2:$A$18,Games!$M$2:$M$18,"Missing game",0)</x:f>
        <x:v>0</x:v>
      </x:c>
      <x:c r="AS1984" t="str">
        <x:f>_xlfn.XLOOKUP($A1984,Games!$A$2:$A$18,Games!$N$2:$N$18,"Missing game",0)</x:f>
        <x:v>outdoors</x:v>
      </x:c>
      <x:c r="AT1984" t="str">
        <x:f>_xlfn.XLOOKUP($A1984,Games!$A$2:$A$18,Games!$O$2:$O$18,"Missing game",0)</x:f>
        <x:v>fieldturf</x:v>
      </x:c>
      <x:c r="AU1984" t="n">
        <x:f>_xlfn.XLOOKUP($A1984,Games!$A$2:$A$18,Games!$P$2:$P$18,"Missing game",0)</x:f>
        <x:v>45</x:v>
      </x:c>
      <x:c r="AV1984" t="n">
        <x:f>_xlfn.XLOOKUP($A1984,Games!$A$2:$A$18,Games!$Q$2:$Q$18,"Missing game",0)</x:f>
        <x:v>2</x:v>
      </x:c>
      <x:c r="AW1984" t="str">
        <x:f>_xlfn.XLOOKUP($A1984,Games!$A$2:$A$18,Games!$R$2:$R$18,"Missing game",0)</x:f>
        <x:v>Lumen Field</x:v>
      </x:c>
    </x:row>
    <x:row r="1985">
      <x:c r="A1985" t="str">
        <x:v>2025_13_MIN_SEA</x:v>
      </x:c>
      <x:c r="B1985" t="n">
        <x:v>3245</x:v>
      </x:c>
      <x:c r="C1985" t="n">
        <x:v>4</x:v>
      </x:c>
      <x:c r="D1985" t="str">
        <x:v>09:59</x:v>
      </x:c>
      <x:c r="E1985" t="n">
        <x:v>1</x:v>
      </x:c>
      <x:c r="F1985" t="n">
        <x:v>10</x:v>
      </x:c>
      <x:c r="G1985" t="str">
        <x:v>SEA</x:v>
      </x:c>
      <x:c r="H1985" t="str">
        <x:v>MIN</x:v>
      </x:c>
      <x:c r="I1985" t="str">
        <x:v>MIN</x:v>
      </x:c>
      <x:c r="J1985" t="n">
        <x:v>21</x:v>
      </x:c>
      <x:c r="K1985" t="str">
        <x:v>(9:59) 26-Z.Charbonnet left end pushed ob at MIN 17 for 4 yards (93-J.Allen; 7-B.Murphy).</x:v>
      </x:c>
      <x:c r="L1985" t="str">
        <x:v>run</x:v>
      </x:c>
      <x:c r="M1985" t="n">
        <x:v>4</x:v>
      </x:c>
      <x:c r="N1985" t="n">
        <x:v>0</x:v>
      </x:c>
      <x:c r="O1985" t="n">
        <x:v>0</x:v>
      </x:c>
      <x:c r="P1985"/>
      <x:c r="Q1985"/>
      <x:c r="R1985"/>
      <x:c r="S1985"/>
      <x:c r="T1985" t="str">
        <x:v>left</x:v>
      </x:c>
      <x:c r="U1985" t="str">
        <x:v>end</x:v>
      </x:c>
      <x:c r="V1985" t="n">
        <x:v>0</x:v>
      </x:c>
      <x:c r="W1985" t="n">
        <x:v>0</x:v>
      </x:c>
      <x:c r="X1985" t="n">
        <x:v>0</x:v>
      </x:c>
      <x:c r="Y1985" t="n">
        <x:v>0</x:v>
      </x:c>
      <x:c r="Z1985" t="n">
        <x:v>0</x:v>
      </x:c>
      <x:c r="AA1985" t="n">
        <x:v>0</x:v>
      </x:c>
      <x:c r="AB1985"/>
      <x:c r="AC1985" t="n">
        <x:v>0</x:v>
      </x:c>
      <x:c r="AD1985" t="n">
        <x:v>-0.10752667859196663</x:v>
      </x:c>
      <x:c r="AE1985" t="n">
        <x:v>0</x:v>
      </x:c>
      <x:c r="AF1985" t="n">
        <x:v>-0.0002865791320800781</x:v>
      </x:c>
      <x:c r="AG1985" t="n">
        <x:f>_xlfn.XLOOKUP($A1985,Games!$A$2:$A$18,Games!$B$2:$B$18,"Missing game",0)</x:f>
        <x:v>2025</x:v>
      </x:c>
      <x:c r="AH1985" t="str">
        <x:f>_xlfn.XLOOKUP($A1985,Games!$A$2:$A$18,Games!$C$2:$C$18,"Missing game",0)</x:f>
        <x:v>REG</x:v>
      </x:c>
      <x:c r="AI1985" t="n">
        <x:f>_xlfn.XLOOKUP($A1985,Games!$A$2:$A$18,Games!$D$2:$D$18,"Missing game",0)</x:f>
        <x:v>13</x:v>
      </x:c>
      <x:c r="AJ1985" s="1" t="n">
        <x:f>_xlfn.XLOOKUP($A1985,Games!$A$2:$A$18,Games!$E$2:$E$18,"Missing game",0)</x:f>
        <x:v>45991</x:v>
      </x:c>
      <x:c r="AK1985" t="str">
        <x:f>_xlfn.XLOOKUP($A1985,Games!$A$2:$A$18,Games!$F$2:$F$18,"Missing game",0)</x:f>
        <x:v>Sunday</x:v>
      </x:c>
      <x:c r="AL1985" t="str">
        <x:f>_xlfn.XLOOKUP($A1985,Games!$A$2:$A$18,Games!$G$2:$G$18,"Missing game",0)</x:f>
        <x:v>MIN</x:v>
      </x:c>
      <x:c r="AM1985" t="n">
        <x:f>_xlfn.XLOOKUP($A1985,Games!$A$2:$A$18,Games!$H$2:$H$18,"Missing game",0)</x:f>
        <x:v>0</x:v>
      </x:c>
      <x:c r="AN1985" t="str">
        <x:f>_xlfn.XLOOKUP($A1985,Games!$A$2:$A$18,Games!$I$2:$I$18,"Missing game",0)</x:f>
        <x:v>SEA</x:v>
      </x:c>
      <x:c r="AO1985" t="n">
        <x:f>_xlfn.XLOOKUP($A1985,Games!$A$2:$A$18,Games!$J$2:$J$18,"Missing game",0)</x:f>
        <x:v>26</x:v>
      </x:c>
      <x:c r="AP1985" t="n">
        <x:f>_xlfn.XLOOKUP($A1985,Games!$A$2:$A$18,Games!$K$2:$K$18,"Missing game",0)</x:f>
        <x:v>26</x:v>
      </x:c>
      <x:c r="AQ1985" t="n">
        <x:f>_xlfn.XLOOKUP($A1985,Games!$A$2:$A$18,Games!$L$2:$L$18,"Missing game",0)</x:f>
        <x:v>26</x:v>
      </x:c>
      <x:c r="AR1985" t="n">
        <x:f>_xlfn.XLOOKUP($A1985,Games!$A$2:$A$18,Games!$M$2:$M$18,"Missing game",0)</x:f>
        <x:v>0</x:v>
      </x:c>
      <x:c r="AS1985" t="str">
        <x:f>_xlfn.XLOOKUP($A1985,Games!$A$2:$A$18,Games!$N$2:$N$18,"Missing game",0)</x:f>
        <x:v>outdoors</x:v>
      </x:c>
      <x:c r="AT1985" t="str">
        <x:f>_xlfn.XLOOKUP($A1985,Games!$A$2:$A$18,Games!$O$2:$O$18,"Missing game",0)</x:f>
        <x:v>fieldturf</x:v>
      </x:c>
      <x:c r="AU1985" t="n">
        <x:f>_xlfn.XLOOKUP($A1985,Games!$A$2:$A$18,Games!$P$2:$P$18,"Missing game",0)</x:f>
        <x:v>45</x:v>
      </x:c>
      <x:c r="AV1985" t="n">
        <x:f>_xlfn.XLOOKUP($A1985,Games!$A$2:$A$18,Games!$Q$2:$Q$18,"Missing game",0)</x:f>
        <x:v>2</x:v>
      </x:c>
      <x:c r="AW1985" t="str">
        <x:f>_xlfn.XLOOKUP($A1985,Games!$A$2:$A$18,Games!$R$2:$R$18,"Missing game",0)</x:f>
        <x:v>Lumen Field</x:v>
      </x:c>
    </x:row>
    <x:row r="1986">
      <x:c r="A1986" t="str">
        <x:v>2025_13_MIN_SEA</x:v>
      </x:c>
      <x:c r="B1986" t="n">
        <x:v>3272</x:v>
      </x:c>
      <x:c r="C1986" t="n">
        <x:v>4</x:v>
      </x:c>
      <x:c r="D1986" t="str">
        <x:v>09:17</x:v>
      </x:c>
      <x:c r="E1986" t="n">
        <x:v>2</x:v>
      </x:c>
      <x:c r="F1986" t="n">
        <x:v>6</x:v>
      </x:c>
      <x:c r="G1986" t="str">
        <x:v>SEA</x:v>
      </x:c>
      <x:c r="H1986" t="str">
        <x:v>MIN</x:v>
      </x:c>
      <x:c r="I1986" t="str">
        <x:v>MIN</x:v>
      </x:c>
      <x:c r="J1986" t="n">
        <x:v>17</x:v>
      </x:c>
      <x:c r="K1986" t="str">
        <x:v>(9:17) 26-Z.Charbonnet left tackle for 17 yards, TOUCHDOWN.</x:v>
      </x:c>
      <x:c r="L1986" t="str">
        <x:v>run</x:v>
      </x:c>
      <x:c r="M1986" t="n">
        <x:v>17</x:v>
      </x:c>
      <x:c r="N1986" t="n">
        <x:v>0</x:v>
      </x:c>
      <x:c r="O1986" t="n">
        <x:v>0</x:v>
      </x:c>
      <x:c r="P1986"/>
      <x:c r="Q1986"/>
      <x:c r="R1986"/>
      <x:c r="S1986"/>
      <x:c r="T1986" t="str">
        <x:v>left</x:v>
      </x:c>
      <x:c r="U1986" t="str">
        <x:v>tackle</x:v>
      </x:c>
      <x:c r="V1986" t="n">
        <x:v>0</x:v>
      </x:c>
      <x:c r="W1986" t="n">
        <x:v>1</x:v>
      </x:c>
      <x:c r="X1986" t="n">
        <x:v>0</x:v>
      </x:c>
      <x:c r="Y1986" t="n">
        <x:v>0</x:v>
      </x:c>
      <x:c r="Z1986" t="n">
        <x:v>0</x:v>
      </x:c>
      <x:c r="AA1986" t="n">
        <x:v>0</x:v>
      </x:c>
      <x:c r="AB1986"/>
      <x:c r="AC1986" t="n">
        <x:v>1</x:v>
      </x:c>
      <x:c r="AD1986" t="n">
        <x:v>2.643003787554335</x:v>
      </x:c>
      <x:c r="AE1986" t="n">
        <x:v>1</x:v>
      </x:c>
      <x:c r="AF1986" t="n">
        <x:v>0.0018613478941832406</x:v>
      </x:c>
      <x:c r="AG1986" t="n">
        <x:f>_xlfn.XLOOKUP($A1986,Games!$A$2:$A$18,Games!$B$2:$B$18,"Missing game",0)</x:f>
        <x:v>2025</x:v>
      </x:c>
      <x:c r="AH1986" t="str">
        <x:f>_xlfn.XLOOKUP($A1986,Games!$A$2:$A$18,Games!$C$2:$C$18,"Missing game",0)</x:f>
        <x:v>REG</x:v>
      </x:c>
      <x:c r="AI1986" t="n">
        <x:f>_xlfn.XLOOKUP($A1986,Games!$A$2:$A$18,Games!$D$2:$D$18,"Missing game",0)</x:f>
        <x:v>13</x:v>
      </x:c>
      <x:c r="AJ1986" s="1" t="n">
        <x:f>_xlfn.XLOOKUP($A1986,Games!$A$2:$A$18,Games!$E$2:$E$18,"Missing game",0)</x:f>
        <x:v>45991</x:v>
      </x:c>
      <x:c r="AK1986" t="str">
        <x:f>_xlfn.XLOOKUP($A1986,Games!$A$2:$A$18,Games!$F$2:$F$18,"Missing game",0)</x:f>
        <x:v>Sunday</x:v>
      </x:c>
      <x:c r="AL1986" t="str">
        <x:f>_xlfn.XLOOKUP($A1986,Games!$A$2:$A$18,Games!$G$2:$G$18,"Missing game",0)</x:f>
        <x:v>MIN</x:v>
      </x:c>
      <x:c r="AM1986" t="n">
        <x:f>_xlfn.XLOOKUP($A1986,Games!$A$2:$A$18,Games!$H$2:$H$18,"Missing game",0)</x:f>
        <x:v>0</x:v>
      </x:c>
      <x:c r="AN1986" t="str">
        <x:f>_xlfn.XLOOKUP($A1986,Games!$A$2:$A$18,Games!$I$2:$I$18,"Missing game",0)</x:f>
        <x:v>SEA</x:v>
      </x:c>
      <x:c r="AO1986" t="n">
        <x:f>_xlfn.XLOOKUP($A1986,Games!$A$2:$A$18,Games!$J$2:$J$18,"Missing game",0)</x:f>
        <x:v>26</x:v>
      </x:c>
      <x:c r="AP1986" t="n">
        <x:f>_xlfn.XLOOKUP($A1986,Games!$A$2:$A$18,Games!$K$2:$K$18,"Missing game",0)</x:f>
        <x:v>26</x:v>
      </x:c>
      <x:c r="AQ1986" t="n">
        <x:f>_xlfn.XLOOKUP($A1986,Games!$A$2:$A$18,Games!$L$2:$L$18,"Missing game",0)</x:f>
        <x:v>26</x:v>
      </x:c>
      <x:c r="AR1986" t="n">
        <x:f>_xlfn.XLOOKUP($A1986,Games!$A$2:$A$18,Games!$M$2:$M$18,"Missing game",0)</x:f>
        <x:v>0</x:v>
      </x:c>
      <x:c r="AS1986" t="str">
        <x:f>_xlfn.XLOOKUP($A1986,Games!$A$2:$A$18,Games!$N$2:$N$18,"Missing game",0)</x:f>
        <x:v>outdoors</x:v>
      </x:c>
      <x:c r="AT1986" t="str">
        <x:f>_xlfn.XLOOKUP($A1986,Games!$A$2:$A$18,Games!$O$2:$O$18,"Missing game",0)</x:f>
        <x:v>fieldturf</x:v>
      </x:c>
      <x:c r="AU1986" t="n">
        <x:f>_xlfn.XLOOKUP($A1986,Games!$A$2:$A$18,Games!$P$2:$P$18,"Missing game",0)</x:f>
        <x:v>45</x:v>
      </x:c>
      <x:c r="AV1986" t="n">
        <x:f>_xlfn.XLOOKUP($A1986,Games!$A$2:$A$18,Games!$Q$2:$Q$18,"Missing game",0)</x:f>
        <x:v>2</x:v>
      </x:c>
      <x:c r="AW1986" t="str">
        <x:f>_xlfn.XLOOKUP($A1986,Games!$A$2:$A$18,Games!$R$2:$R$18,"Missing game",0)</x:f>
        <x:v>Lumen Field</x:v>
      </x:c>
    </x:row>
    <x:row r="1987">
      <x:c r="A1987" t="str">
        <x:v>2025_13_MIN_SEA</x:v>
      </x:c>
      <x:c r="B1987" t="n">
        <x:v>3295</x:v>
      </x:c>
      <x:c r="C1987" t="n">
        <x:v>4</x:v>
      </x:c>
      <x:c r="D1987" t="str">
        <x:v>09:11</x:v>
      </x:c>
      <x:c r="E1987"/>
      <x:c r="F1987" t="n">
        <x:v>0</x:v>
      </x:c>
      <x:c r="G1987" t="str">
        <x:v>SEA</x:v>
      </x:c>
      <x:c r="H1987" t="str">
        <x:v>MIN</x:v>
      </x:c>
      <x:c r="I1987" t="str">
        <x:v>MIN</x:v>
      </x:c>
      <x:c r="J1987" t="n">
        <x:v>15</x:v>
      </x:c>
      <x:c r="K1987" t="str">
        <x:v>5-J.Myers extra point is GOOD, Center-41-C.Stoll, Holder-4-M.Dickson. PENALTY on MIN-24-J.Ward, Unnecessary Roughness, 15 yards, enforced between downs.</x:v>
      </x:c>
      <x:c r="L1987" t="str">
        <x:v>extra_point</x:v>
      </x:c>
      <x:c r="M1987" t="n">
        <x:v>0</x:v>
      </x:c>
      <x:c r="N1987" t="n">
        <x:v>0</x:v>
      </x:c>
      <x:c r="O1987" t="n">
        <x:v>0</x:v>
      </x:c>
      <x:c r="P1987"/>
      <x:c r="Q1987"/>
      <x:c r="R1987"/>
      <x:c r="S1987"/>
      <x:c r="T1987"/>
      <x:c r="U1987"/>
      <x:c r="V1987" t="n">
        <x:v>0</x:v>
      </x:c>
      <x:c r="W1987" t="n">
        <x:v>0</x:v>
      </x:c>
      <x:c r="X1987" t="n">
        <x:v>0</x:v>
      </x:c>
      <x:c r="Y1987" t="n">
        <x:v>0</x:v>
      </x:c>
      <x:c r="Z1987" t="n">
        <x:v>0</x:v>
      </x:c>
      <x:c r="AA1987" t="n">
        <x:v>1</x:v>
      </x:c>
      <x:c r="AB1987" t="n">
        <x:v>15</x:v>
      </x:c>
      <x:c r="AC1987" t="n">
        <x:v>0</x:v>
      </x:c>
      <x:c r="AD1987" t="n">
        <x:v>0.06757300310763314</x:v>
      </x:c>
      <x:c r="AE1987" t="n">
        <x:v>1</x:v>
      </x:c>
      <x:c r="AF1987" t="n">
        <x:v>0.0000264767177297065</x:v>
      </x:c>
      <x:c r="AG1987" t="n">
        <x:f>_xlfn.XLOOKUP($A1987,Games!$A$2:$A$18,Games!$B$2:$B$18,"Missing game",0)</x:f>
        <x:v>2025</x:v>
      </x:c>
      <x:c r="AH1987" t="str">
        <x:f>_xlfn.XLOOKUP($A1987,Games!$A$2:$A$18,Games!$C$2:$C$18,"Missing game",0)</x:f>
        <x:v>REG</x:v>
      </x:c>
      <x:c r="AI1987" t="n">
        <x:f>_xlfn.XLOOKUP($A1987,Games!$A$2:$A$18,Games!$D$2:$D$18,"Missing game",0)</x:f>
        <x:v>13</x:v>
      </x:c>
      <x:c r="AJ1987" s="1" t="n">
        <x:f>_xlfn.XLOOKUP($A1987,Games!$A$2:$A$18,Games!$E$2:$E$18,"Missing game",0)</x:f>
        <x:v>45991</x:v>
      </x:c>
      <x:c r="AK1987" t="str">
        <x:f>_xlfn.XLOOKUP($A1987,Games!$A$2:$A$18,Games!$F$2:$F$18,"Missing game",0)</x:f>
        <x:v>Sunday</x:v>
      </x:c>
      <x:c r="AL1987" t="str">
        <x:f>_xlfn.XLOOKUP($A1987,Games!$A$2:$A$18,Games!$G$2:$G$18,"Missing game",0)</x:f>
        <x:v>MIN</x:v>
      </x:c>
      <x:c r="AM1987" t="n">
        <x:f>_xlfn.XLOOKUP($A1987,Games!$A$2:$A$18,Games!$H$2:$H$18,"Missing game",0)</x:f>
        <x:v>0</x:v>
      </x:c>
      <x:c r="AN1987" t="str">
        <x:f>_xlfn.XLOOKUP($A1987,Games!$A$2:$A$18,Games!$I$2:$I$18,"Missing game",0)</x:f>
        <x:v>SEA</x:v>
      </x:c>
      <x:c r="AO1987" t="n">
        <x:f>_xlfn.XLOOKUP($A1987,Games!$A$2:$A$18,Games!$J$2:$J$18,"Missing game",0)</x:f>
        <x:v>26</x:v>
      </x:c>
      <x:c r="AP1987" t="n">
        <x:f>_xlfn.XLOOKUP($A1987,Games!$A$2:$A$18,Games!$K$2:$K$18,"Missing game",0)</x:f>
        <x:v>26</x:v>
      </x:c>
      <x:c r="AQ1987" t="n">
        <x:f>_xlfn.XLOOKUP($A1987,Games!$A$2:$A$18,Games!$L$2:$L$18,"Missing game",0)</x:f>
        <x:v>26</x:v>
      </x:c>
      <x:c r="AR1987" t="n">
        <x:f>_xlfn.XLOOKUP($A1987,Games!$A$2:$A$18,Games!$M$2:$M$18,"Missing game",0)</x:f>
        <x:v>0</x:v>
      </x:c>
      <x:c r="AS1987" t="str">
        <x:f>_xlfn.XLOOKUP($A1987,Games!$A$2:$A$18,Games!$N$2:$N$18,"Missing game",0)</x:f>
        <x:v>outdoors</x:v>
      </x:c>
      <x:c r="AT1987" t="str">
        <x:f>_xlfn.XLOOKUP($A1987,Games!$A$2:$A$18,Games!$O$2:$O$18,"Missing game",0)</x:f>
        <x:v>fieldturf</x:v>
      </x:c>
      <x:c r="AU1987" t="n">
        <x:f>_xlfn.XLOOKUP($A1987,Games!$A$2:$A$18,Games!$P$2:$P$18,"Missing game",0)</x:f>
        <x:v>45</x:v>
      </x:c>
      <x:c r="AV1987" t="n">
        <x:f>_xlfn.XLOOKUP($A1987,Games!$A$2:$A$18,Games!$Q$2:$Q$18,"Missing game",0)</x:f>
        <x:v>2</x:v>
      </x:c>
      <x:c r="AW1987" t="str">
        <x:f>_xlfn.XLOOKUP($A1987,Games!$A$2:$A$18,Games!$R$2:$R$18,"Missing game",0)</x:f>
        <x:v>Lumen Field</x:v>
      </x:c>
    </x:row>
    <x:row r="1988">
      <x:c r="A1988" t="str">
        <x:v>2025_13_MIN_SEA</x:v>
      </x:c>
      <x:c r="B1988" t="n">
        <x:v>3310</x:v>
      </x:c>
      <x:c r="C1988" t="n">
        <x:v>4</x:v>
      </x:c>
      <x:c r="D1988" t="str">
        <x:v>09:11</x:v>
      </x:c>
      <x:c r="E1988"/>
      <x:c r="F1988" t="n">
        <x:v>0</x:v>
      </x:c>
      <x:c r="G1988" t="str">
        <x:v>MIN</x:v>
      </x:c>
      <x:c r="H1988" t="str">
        <x:v>SEA</x:v>
      </x:c>
      <x:c r="I1988" t="str">
        <x:v>50</x:v>
      </x:c>
      <x:c r="J1988" t="n">
        <x:v>50</x:v>
      </x:c>
      <x:c r="K1988" t="str">
        <x:v>5-J.Myers kicks 25 yards from 50 to MIN 25, short of landing zone. PENALTY on SEA-5-J.Myers, Kickoff Short of Landing Zone, placed at MIN 25.</x:v>
      </x:c>
      <x:c r="L1988" t="str">
        <x:v>kickoff</x:v>
      </x:c>
      <x:c r="M1988" t="n">
        <x:v>0</x:v>
      </x:c>
      <x:c r="N1988" t="n">
        <x:v>0</x:v>
      </x:c>
      <x:c r="O1988" t="n">
        <x:v>0</x:v>
      </x:c>
      <x:c r="P1988"/>
      <x:c r="Q1988"/>
      <x:c r="R1988"/>
      <x:c r="S1988"/>
      <x:c r="T1988"/>
      <x:c r="U1988"/>
      <x:c r="V1988" t="n">
        <x:v>0</x:v>
      </x:c>
      <x:c r="W1988" t="n">
        <x:v>0</x:v>
      </x:c>
      <x:c r="X1988" t="n">
        <x:v>0</x:v>
      </x:c>
      <x:c r="Y1988" t="n">
        <x:v>0</x:v>
      </x:c>
      <x:c r="Z1988" t="n">
        <x:v>0</x:v>
      </x:c>
      <x:c r="AA1988" t="n">
        <x:v>1</x:v>
      </x:c>
      <x:c r="AB1988" t="n">
        <x:v>0</x:v>
      </x:c>
      <x:c r="AC1988" t="n">
        <x:v>0</x:v>
      </x:c>
      <x:c r="AD1988" t="n">
        <x:v>0</x:v>
      </x:c>
      <x:c r="AE1988" t="n">
        <x:v>0</x:v>
      </x:c>
      <x:c r="AF1988" t="n">
        <x:v>0</x:v>
      </x:c>
      <x:c r="AG1988" t="n">
        <x:f>_xlfn.XLOOKUP($A1988,Games!$A$2:$A$18,Games!$B$2:$B$18,"Missing game",0)</x:f>
        <x:v>2025</x:v>
      </x:c>
      <x:c r="AH1988" t="str">
        <x:f>_xlfn.XLOOKUP($A1988,Games!$A$2:$A$18,Games!$C$2:$C$18,"Missing game",0)</x:f>
        <x:v>REG</x:v>
      </x:c>
      <x:c r="AI1988" t="n">
        <x:f>_xlfn.XLOOKUP($A1988,Games!$A$2:$A$18,Games!$D$2:$D$18,"Missing game",0)</x:f>
        <x:v>13</x:v>
      </x:c>
      <x:c r="AJ1988" s="1" t="n">
        <x:f>_xlfn.XLOOKUP($A1988,Games!$A$2:$A$18,Games!$E$2:$E$18,"Missing game",0)</x:f>
        <x:v>45991</x:v>
      </x:c>
      <x:c r="AK1988" t="str">
        <x:f>_xlfn.XLOOKUP($A1988,Games!$A$2:$A$18,Games!$F$2:$F$18,"Missing game",0)</x:f>
        <x:v>Sunday</x:v>
      </x:c>
      <x:c r="AL1988" t="str">
        <x:f>_xlfn.XLOOKUP($A1988,Games!$A$2:$A$18,Games!$G$2:$G$18,"Missing game",0)</x:f>
        <x:v>MIN</x:v>
      </x:c>
      <x:c r="AM1988" t="n">
        <x:f>_xlfn.XLOOKUP($A1988,Games!$A$2:$A$18,Games!$H$2:$H$18,"Missing game",0)</x:f>
        <x:v>0</x:v>
      </x:c>
      <x:c r="AN1988" t="str">
        <x:f>_xlfn.XLOOKUP($A1988,Games!$A$2:$A$18,Games!$I$2:$I$18,"Missing game",0)</x:f>
        <x:v>SEA</x:v>
      </x:c>
      <x:c r="AO1988" t="n">
        <x:f>_xlfn.XLOOKUP($A1988,Games!$A$2:$A$18,Games!$J$2:$J$18,"Missing game",0)</x:f>
        <x:v>26</x:v>
      </x:c>
      <x:c r="AP1988" t="n">
        <x:f>_xlfn.XLOOKUP($A1988,Games!$A$2:$A$18,Games!$K$2:$K$18,"Missing game",0)</x:f>
        <x:v>26</x:v>
      </x:c>
      <x:c r="AQ1988" t="n">
        <x:f>_xlfn.XLOOKUP($A1988,Games!$A$2:$A$18,Games!$L$2:$L$18,"Missing game",0)</x:f>
        <x:v>26</x:v>
      </x:c>
      <x:c r="AR1988" t="n">
        <x:f>_xlfn.XLOOKUP($A1988,Games!$A$2:$A$18,Games!$M$2:$M$18,"Missing game",0)</x:f>
        <x:v>0</x:v>
      </x:c>
      <x:c r="AS1988" t="str">
        <x:f>_xlfn.XLOOKUP($A1988,Games!$A$2:$A$18,Games!$N$2:$N$18,"Missing game",0)</x:f>
        <x:v>outdoors</x:v>
      </x:c>
      <x:c r="AT1988" t="str">
        <x:f>_xlfn.XLOOKUP($A1988,Games!$A$2:$A$18,Games!$O$2:$O$18,"Missing game",0)</x:f>
        <x:v>fieldturf</x:v>
      </x:c>
      <x:c r="AU1988" t="n">
        <x:f>_xlfn.XLOOKUP($A1988,Games!$A$2:$A$18,Games!$P$2:$P$18,"Missing game",0)</x:f>
        <x:v>45</x:v>
      </x:c>
      <x:c r="AV1988" t="n">
        <x:f>_xlfn.XLOOKUP($A1988,Games!$A$2:$A$18,Games!$Q$2:$Q$18,"Missing game",0)</x:f>
        <x:v>2</x:v>
      </x:c>
      <x:c r="AW1988" t="str">
        <x:f>_xlfn.XLOOKUP($A1988,Games!$A$2:$A$18,Games!$R$2:$R$18,"Missing game",0)</x:f>
        <x:v>Lumen Field</x:v>
      </x:c>
    </x:row>
    <x:row r="1989">
      <x:c r="A1989" t="str">
        <x:v>2025_13_MIN_SEA</x:v>
      </x:c>
      <x:c r="B1989" t="n">
        <x:v>3360</x:v>
      </x:c>
      <x:c r="C1989" t="n">
        <x:v>4</x:v>
      </x:c>
      <x:c r="D1989" t="str">
        <x:v>09:11</x:v>
      </x:c>
      <x:c r="E1989" t="n">
        <x:v>1</x:v>
      </x:c>
      <x:c r="F1989" t="n">
        <x:v>10</x:v>
      </x:c>
      <x:c r="G1989" t="str">
        <x:v>MIN</x:v>
      </x:c>
      <x:c r="H1989" t="str">
        <x:v>SEA</x:v>
      </x:c>
      <x:c r="I1989" t="str">
        <x:v>MIN</x:v>
      </x:c>
      <x:c r="J1989" t="n">
        <x:v>75</x:v>
      </x:c>
      <x:c r="K1989" t="str">
        <x:v>(9:11) (Shotgun) 27-J.Mason up the middle to MIN 36 for 11 yards (39-T.Okada). MIN-27-J.Mason was injured during the play.</x:v>
      </x:c>
      <x:c r="L1989" t="str">
        <x:v>run</x:v>
      </x:c>
      <x:c r="M1989" t="n">
        <x:v>11</x:v>
      </x:c>
      <x:c r="N1989" t="n">
        <x:v>1</x:v>
      </x:c>
      <x:c r="O1989" t="n">
        <x:v>0</x:v>
      </x:c>
      <x:c r="P1989"/>
      <x:c r="Q1989"/>
      <x:c r="R1989"/>
      <x:c r="S1989"/>
      <x:c r="T1989" t="str">
        <x:v>middle</x:v>
      </x:c>
      <x:c r="U1989"/>
      <x:c r="V1989" t="n">
        <x:v>0</x:v>
      </x:c>
      <x:c r="W1989" t="n">
        <x:v>1</x:v>
      </x:c>
      <x:c r="X1989" t="n">
        <x:v>0</x:v>
      </x:c>
      <x:c r="Y1989" t="n">
        <x:v>0</x:v>
      </x:c>
      <x:c r="Z1989" t="n">
        <x:v>0</x:v>
      </x:c>
      <x:c r="AA1989" t="n">
        <x:v>0</x:v>
      </x:c>
      <x:c r="AB1989"/>
      <x:c r="AC1989" t="n">
        <x:v>0</x:v>
      </x:c>
      <x:c r="AD1989" t="n">
        <x:v>0.6627506997901946</x:v>
      </x:c>
      <x:c r="AE1989" t="n">
        <x:v>1</x:v>
      </x:c>
      <x:c r="AF1989" t="n">
        <x:v>-0.000007429793186020106</x:v>
      </x:c>
      <x:c r="AG1989" t="n">
        <x:f>_xlfn.XLOOKUP($A1989,Games!$A$2:$A$18,Games!$B$2:$B$18,"Missing game",0)</x:f>
        <x:v>2025</x:v>
      </x:c>
      <x:c r="AH1989" t="str">
        <x:f>_xlfn.XLOOKUP($A1989,Games!$A$2:$A$18,Games!$C$2:$C$18,"Missing game",0)</x:f>
        <x:v>REG</x:v>
      </x:c>
      <x:c r="AI1989" t="n">
        <x:f>_xlfn.XLOOKUP($A1989,Games!$A$2:$A$18,Games!$D$2:$D$18,"Missing game",0)</x:f>
        <x:v>13</x:v>
      </x:c>
      <x:c r="AJ1989" s="1" t="n">
        <x:f>_xlfn.XLOOKUP($A1989,Games!$A$2:$A$18,Games!$E$2:$E$18,"Missing game",0)</x:f>
        <x:v>45991</x:v>
      </x:c>
      <x:c r="AK1989" t="str">
        <x:f>_xlfn.XLOOKUP($A1989,Games!$A$2:$A$18,Games!$F$2:$F$18,"Missing game",0)</x:f>
        <x:v>Sunday</x:v>
      </x:c>
      <x:c r="AL1989" t="str">
        <x:f>_xlfn.XLOOKUP($A1989,Games!$A$2:$A$18,Games!$G$2:$G$18,"Missing game",0)</x:f>
        <x:v>MIN</x:v>
      </x:c>
      <x:c r="AM1989" t="n">
        <x:f>_xlfn.XLOOKUP($A1989,Games!$A$2:$A$18,Games!$H$2:$H$18,"Missing game",0)</x:f>
        <x:v>0</x:v>
      </x:c>
      <x:c r="AN1989" t="str">
        <x:f>_xlfn.XLOOKUP($A1989,Games!$A$2:$A$18,Games!$I$2:$I$18,"Missing game",0)</x:f>
        <x:v>SEA</x:v>
      </x:c>
      <x:c r="AO1989" t="n">
        <x:f>_xlfn.XLOOKUP($A1989,Games!$A$2:$A$18,Games!$J$2:$J$18,"Missing game",0)</x:f>
        <x:v>26</x:v>
      </x:c>
      <x:c r="AP1989" t="n">
        <x:f>_xlfn.XLOOKUP($A1989,Games!$A$2:$A$18,Games!$K$2:$K$18,"Missing game",0)</x:f>
        <x:v>26</x:v>
      </x:c>
      <x:c r="AQ1989" t="n">
        <x:f>_xlfn.XLOOKUP($A1989,Games!$A$2:$A$18,Games!$L$2:$L$18,"Missing game",0)</x:f>
        <x:v>26</x:v>
      </x:c>
      <x:c r="AR1989" t="n">
        <x:f>_xlfn.XLOOKUP($A1989,Games!$A$2:$A$18,Games!$M$2:$M$18,"Missing game",0)</x:f>
        <x:v>0</x:v>
      </x:c>
      <x:c r="AS1989" t="str">
        <x:f>_xlfn.XLOOKUP($A1989,Games!$A$2:$A$18,Games!$N$2:$N$18,"Missing game",0)</x:f>
        <x:v>outdoors</x:v>
      </x:c>
      <x:c r="AT1989" t="str">
        <x:f>_xlfn.XLOOKUP($A1989,Games!$A$2:$A$18,Games!$O$2:$O$18,"Missing game",0)</x:f>
        <x:v>fieldturf</x:v>
      </x:c>
      <x:c r="AU1989" t="n">
        <x:f>_xlfn.XLOOKUP($A1989,Games!$A$2:$A$18,Games!$P$2:$P$18,"Missing game",0)</x:f>
        <x:v>45</x:v>
      </x:c>
      <x:c r="AV1989" t="n">
        <x:f>_xlfn.XLOOKUP($A1989,Games!$A$2:$A$18,Games!$Q$2:$Q$18,"Missing game",0)</x:f>
        <x:v>2</x:v>
      </x:c>
      <x:c r="AW1989" t="str">
        <x:f>_xlfn.XLOOKUP($A1989,Games!$A$2:$A$18,Games!$R$2:$R$18,"Missing game",0)</x:f>
        <x:v>Lumen Field</x:v>
      </x:c>
    </x:row>
    <x:row r="1990">
      <x:c r="A1990" t="str">
        <x:v>2025_13_MIN_SEA</x:v>
      </x:c>
      <x:c r="B1990" t="n">
        <x:v>3385</x:v>
      </x:c>
      <x:c r="C1990" t="n">
        <x:v>4</x:v>
      </x:c>
      <x:c r="D1990" t="str">
        <x:v>08:33</x:v>
      </x:c>
      <x:c r="E1990" t="n">
        <x:v>1</x:v>
      </x:c>
      <x:c r="F1990" t="n">
        <x:v>10</x:v>
      </x:c>
      <x:c r="G1990" t="str">
        <x:v>MIN</x:v>
      </x:c>
      <x:c r="H1990" t="str">
        <x:v>SEA</x:v>
      </x:c>
      <x:c r="I1990" t="str">
        <x:v>MIN</x:v>
      </x:c>
      <x:c r="J1990" t="n">
        <x:v>64</x:v>
      </x:c>
      <x:c r="K1990" t="str">
        <x:v>(8:33) (Shotgun) 12-M.Brosmer pass short left to 3-J.Addison pushed ob at MIN 47 for 11 yards (21-D.Witherspoon).</x:v>
      </x:c>
      <x:c r="L1990" t="str">
        <x:v>pass</x:v>
      </x:c>
      <x:c r="M1990" t="n">
        <x:v>11</x:v>
      </x:c>
      <x:c r="N1990" t="n">
        <x:v>1</x:v>
      </x:c>
      <x:c r="O1990" t="n">
        <x:v>0</x:v>
      </x:c>
      <x:c r="P1990" t="str">
        <x:v>short</x:v>
      </x:c>
      <x:c r="Q1990" t="str">
        <x:v>left</x:v>
      </x:c>
      <x:c r="R1990" t="n">
        <x:v>8</x:v>
      </x:c>
      <x:c r="S1990" t="n">
        <x:v>3</x:v>
      </x:c>
      <x:c r="T1990"/>
      <x:c r="U1990"/>
      <x:c r="V1990" t="n">
        <x:v>1</x:v>
      </x:c>
      <x:c r="W1990" t="n">
        <x:v>1</x:v>
      </x:c>
      <x:c r="X1990" t="n">
        <x:v>0</x:v>
      </x:c>
      <x:c r="Y1990" t="n">
        <x:v>0</x:v>
      </x:c>
      <x:c r="Z1990" t="n">
        <x:v>0</x:v>
      </x:c>
      <x:c r="AA1990" t="n">
        <x:v>0</x:v>
      </x:c>
      <x:c r="AB1990"/>
      <x:c r="AC1990" t="n">
        <x:v>0</x:v>
      </x:c>
      <x:c r="AD1990" t="n">
        <x:v>0.6548379010055214</x:v>
      </x:c>
      <x:c r="AE1990" t="n">
        <x:v>1</x:v>
      </x:c>
      <x:c r="AF1990" t="n">
        <x:v>0.000002545464667491615</x:v>
      </x:c>
      <x:c r="AG1990" t="n">
        <x:f>_xlfn.XLOOKUP($A1990,Games!$A$2:$A$18,Games!$B$2:$B$18,"Missing game",0)</x:f>
        <x:v>2025</x:v>
      </x:c>
      <x:c r="AH1990" t="str">
        <x:f>_xlfn.XLOOKUP($A1990,Games!$A$2:$A$18,Games!$C$2:$C$18,"Missing game",0)</x:f>
        <x:v>REG</x:v>
      </x:c>
      <x:c r="AI1990" t="n">
        <x:f>_xlfn.XLOOKUP($A1990,Games!$A$2:$A$18,Games!$D$2:$D$18,"Missing game",0)</x:f>
        <x:v>13</x:v>
      </x:c>
      <x:c r="AJ1990" s="1" t="n">
        <x:f>_xlfn.XLOOKUP($A1990,Games!$A$2:$A$18,Games!$E$2:$E$18,"Missing game",0)</x:f>
        <x:v>45991</x:v>
      </x:c>
      <x:c r="AK1990" t="str">
        <x:f>_xlfn.XLOOKUP($A1990,Games!$A$2:$A$18,Games!$F$2:$F$18,"Missing game",0)</x:f>
        <x:v>Sunday</x:v>
      </x:c>
      <x:c r="AL1990" t="str">
        <x:f>_xlfn.XLOOKUP($A1990,Games!$A$2:$A$18,Games!$G$2:$G$18,"Missing game",0)</x:f>
        <x:v>MIN</x:v>
      </x:c>
      <x:c r="AM1990" t="n">
        <x:f>_xlfn.XLOOKUP($A1990,Games!$A$2:$A$18,Games!$H$2:$H$18,"Missing game",0)</x:f>
        <x:v>0</x:v>
      </x:c>
      <x:c r="AN1990" t="str">
        <x:f>_xlfn.XLOOKUP($A1990,Games!$A$2:$A$18,Games!$I$2:$I$18,"Missing game",0)</x:f>
        <x:v>SEA</x:v>
      </x:c>
      <x:c r="AO1990" t="n">
        <x:f>_xlfn.XLOOKUP($A1990,Games!$A$2:$A$18,Games!$J$2:$J$18,"Missing game",0)</x:f>
        <x:v>26</x:v>
      </x:c>
      <x:c r="AP1990" t="n">
        <x:f>_xlfn.XLOOKUP($A1990,Games!$A$2:$A$18,Games!$K$2:$K$18,"Missing game",0)</x:f>
        <x:v>26</x:v>
      </x:c>
      <x:c r="AQ1990" t="n">
        <x:f>_xlfn.XLOOKUP($A1990,Games!$A$2:$A$18,Games!$L$2:$L$18,"Missing game",0)</x:f>
        <x:v>26</x:v>
      </x:c>
      <x:c r="AR1990" t="n">
        <x:f>_xlfn.XLOOKUP($A1990,Games!$A$2:$A$18,Games!$M$2:$M$18,"Missing game",0)</x:f>
        <x:v>0</x:v>
      </x:c>
      <x:c r="AS1990" t="str">
        <x:f>_xlfn.XLOOKUP($A1990,Games!$A$2:$A$18,Games!$N$2:$N$18,"Missing game",0)</x:f>
        <x:v>outdoors</x:v>
      </x:c>
      <x:c r="AT1990" t="str">
        <x:f>_xlfn.XLOOKUP($A1990,Games!$A$2:$A$18,Games!$O$2:$O$18,"Missing game",0)</x:f>
        <x:v>fieldturf</x:v>
      </x:c>
      <x:c r="AU1990" t="n">
        <x:f>_xlfn.XLOOKUP($A1990,Games!$A$2:$A$18,Games!$P$2:$P$18,"Missing game",0)</x:f>
        <x:v>45</x:v>
      </x:c>
      <x:c r="AV1990" t="n">
        <x:f>_xlfn.XLOOKUP($A1990,Games!$A$2:$A$18,Games!$Q$2:$Q$18,"Missing game",0)</x:f>
        <x:v>2</x:v>
      </x:c>
      <x:c r="AW1990" t="str">
        <x:f>_xlfn.XLOOKUP($A1990,Games!$A$2:$A$18,Games!$R$2:$R$18,"Missing game",0)</x:f>
        <x:v>Lumen Field</x:v>
      </x:c>
    </x:row>
    <x:row r="1991">
      <x:c r="A1991" t="str">
        <x:v>2025_13_MIN_SEA</x:v>
      </x:c>
      <x:c r="B1991" t="n">
        <x:v>3415</x:v>
      </x:c>
      <x:c r="C1991" t="n">
        <x:v>4</x:v>
      </x:c>
      <x:c r="D1991" t="str">
        <x:v>08:02</x:v>
      </x:c>
      <x:c r="E1991" t="n">
        <x:v>1</x:v>
      </x:c>
      <x:c r="F1991" t="n">
        <x:v>10</x:v>
      </x:c>
      <x:c r="G1991" t="str">
        <x:v>MIN</x:v>
      </x:c>
      <x:c r="H1991" t="str">
        <x:v>SEA</x:v>
      </x:c>
      <x:c r="I1991" t="str">
        <x:v>MIN</x:v>
      </x:c>
      <x:c r="J1991" t="n">
        <x:v>53</x:v>
      </x:c>
      <x:c r="K1991" t="str">
        <x:v>(8:02) (Shotgun) 36-Z.Scott left guard to SEA 49 for 4 yards (13-E.Jones).</x:v>
      </x:c>
      <x:c r="L1991" t="str">
        <x:v>run</x:v>
      </x:c>
      <x:c r="M1991" t="n">
        <x:v>4</x:v>
      </x:c>
      <x:c r="N1991" t="n">
        <x:v>1</x:v>
      </x:c>
      <x:c r="O1991" t="n">
        <x:v>0</x:v>
      </x:c>
      <x:c r="P1991"/>
      <x:c r="Q1991"/>
      <x:c r="R1991"/>
      <x:c r="S1991"/>
      <x:c r="T1991" t="str">
        <x:v>left</x:v>
      </x:c>
      <x:c r="U1991" t="str">
        <x:v>guard</x:v>
      </x:c>
      <x:c r="V1991" t="n">
        <x:v>0</x:v>
      </x:c>
      <x:c r="W1991" t="n">
        <x:v>0</x:v>
      </x:c>
      <x:c r="X1991" t="n">
        <x:v>0</x:v>
      </x:c>
      <x:c r="Y1991" t="n">
        <x:v>0</x:v>
      </x:c>
      <x:c r="Z1991" t="n">
        <x:v>0</x:v>
      </x:c>
      <x:c r="AA1991" t="n">
        <x:v>0</x:v>
      </x:c>
      <x:c r="AB1991"/>
      <x:c r="AC1991" t="n">
        <x:v>0</x:v>
      </x:c>
      <x:c r="AD1991" t="n">
        <x:v>-0.06268903310410678</x:v>
      </x:c>
      <x:c r="AE1991" t="n">
        <x:v>0</x:v>
      </x:c>
      <x:c r="AF1991" t="n">
        <x:v>0.000017641250451561064</x:v>
      </x:c>
      <x:c r="AG1991" t="n">
        <x:f>_xlfn.XLOOKUP($A1991,Games!$A$2:$A$18,Games!$B$2:$B$18,"Missing game",0)</x:f>
        <x:v>2025</x:v>
      </x:c>
      <x:c r="AH1991" t="str">
        <x:f>_xlfn.XLOOKUP($A1991,Games!$A$2:$A$18,Games!$C$2:$C$18,"Missing game",0)</x:f>
        <x:v>REG</x:v>
      </x:c>
      <x:c r="AI1991" t="n">
        <x:f>_xlfn.XLOOKUP($A1991,Games!$A$2:$A$18,Games!$D$2:$D$18,"Missing game",0)</x:f>
        <x:v>13</x:v>
      </x:c>
      <x:c r="AJ1991" s="1" t="n">
        <x:f>_xlfn.XLOOKUP($A1991,Games!$A$2:$A$18,Games!$E$2:$E$18,"Missing game",0)</x:f>
        <x:v>45991</x:v>
      </x:c>
      <x:c r="AK1991" t="str">
        <x:f>_xlfn.XLOOKUP($A1991,Games!$A$2:$A$18,Games!$F$2:$F$18,"Missing game",0)</x:f>
        <x:v>Sunday</x:v>
      </x:c>
      <x:c r="AL1991" t="str">
        <x:f>_xlfn.XLOOKUP($A1991,Games!$A$2:$A$18,Games!$G$2:$G$18,"Missing game",0)</x:f>
        <x:v>MIN</x:v>
      </x:c>
      <x:c r="AM1991" t="n">
        <x:f>_xlfn.XLOOKUP($A1991,Games!$A$2:$A$18,Games!$H$2:$H$18,"Missing game",0)</x:f>
        <x:v>0</x:v>
      </x:c>
      <x:c r="AN1991" t="str">
        <x:f>_xlfn.XLOOKUP($A1991,Games!$A$2:$A$18,Games!$I$2:$I$18,"Missing game",0)</x:f>
        <x:v>SEA</x:v>
      </x:c>
      <x:c r="AO1991" t="n">
        <x:f>_xlfn.XLOOKUP($A1991,Games!$A$2:$A$18,Games!$J$2:$J$18,"Missing game",0)</x:f>
        <x:v>26</x:v>
      </x:c>
      <x:c r="AP1991" t="n">
        <x:f>_xlfn.XLOOKUP($A1991,Games!$A$2:$A$18,Games!$K$2:$K$18,"Missing game",0)</x:f>
        <x:v>26</x:v>
      </x:c>
      <x:c r="AQ1991" t="n">
        <x:f>_xlfn.XLOOKUP($A1991,Games!$A$2:$A$18,Games!$L$2:$L$18,"Missing game",0)</x:f>
        <x:v>26</x:v>
      </x:c>
      <x:c r="AR1991" t="n">
        <x:f>_xlfn.XLOOKUP($A1991,Games!$A$2:$A$18,Games!$M$2:$M$18,"Missing game",0)</x:f>
        <x:v>0</x:v>
      </x:c>
      <x:c r="AS1991" t="str">
        <x:f>_xlfn.XLOOKUP($A1991,Games!$A$2:$A$18,Games!$N$2:$N$18,"Missing game",0)</x:f>
        <x:v>outdoors</x:v>
      </x:c>
      <x:c r="AT1991" t="str">
        <x:f>_xlfn.XLOOKUP($A1991,Games!$A$2:$A$18,Games!$O$2:$O$18,"Missing game",0)</x:f>
        <x:v>fieldturf</x:v>
      </x:c>
      <x:c r="AU1991" t="n">
        <x:f>_xlfn.XLOOKUP($A1991,Games!$A$2:$A$18,Games!$P$2:$P$18,"Missing game",0)</x:f>
        <x:v>45</x:v>
      </x:c>
      <x:c r="AV1991" t="n">
        <x:f>_xlfn.XLOOKUP($A1991,Games!$A$2:$A$18,Games!$Q$2:$Q$18,"Missing game",0)</x:f>
        <x:v>2</x:v>
      </x:c>
      <x:c r="AW1991" t="str">
        <x:f>_xlfn.XLOOKUP($A1991,Games!$A$2:$A$18,Games!$R$2:$R$18,"Missing game",0)</x:f>
        <x:v>Lumen Field</x:v>
      </x:c>
    </x:row>
    <x:row r="1992">
      <x:c r="A1992" t="str">
        <x:v>2025_13_MIN_SEA</x:v>
      </x:c>
      <x:c r="B1992" t="n">
        <x:v>3437</x:v>
      </x:c>
      <x:c r="C1992" t="n">
        <x:v>4</x:v>
      </x:c>
      <x:c r="D1992" t="str">
        <x:v>07:24</x:v>
      </x:c>
      <x:c r="E1992" t="n">
        <x:v>2</x:v>
      </x:c>
      <x:c r="F1992" t="n">
        <x:v>6</x:v>
      </x:c>
      <x:c r="G1992" t="str">
        <x:v>MIN</x:v>
      </x:c>
      <x:c r="H1992" t="str">
        <x:v>SEA</x:v>
      </x:c>
      <x:c r="I1992" t="str">
        <x:v>SEA</x:v>
      </x:c>
      <x:c r="J1992" t="n">
        <x:v>49</x:v>
      </x:c>
      <x:c r="K1992" t="str">
        <x:v>(7:24) (Shotgun) 12-M.Brosmer pass incomplete short right to 3-J.Addison.</x:v>
      </x:c>
      <x:c r="L1992" t="str">
        <x:v>pass</x:v>
      </x:c>
      <x:c r="M1992" t="n">
        <x:v>0</x:v>
      </x:c>
      <x:c r="N1992" t="n">
        <x:v>1</x:v>
      </x:c>
      <x:c r="O1992" t="n">
        <x:v>0</x:v>
      </x:c>
      <x:c r="P1992" t="str">
        <x:v>short</x:v>
      </x:c>
      <x:c r="Q1992" t="str">
        <x:v>right</x:v>
      </x:c>
      <x:c r="R1992" t="n">
        <x:v>6</x:v>
      </x:c>
      <x:c r="S1992"/>
      <x:c r="T1992"/>
      <x:c r="U1992"/>
      <x:c r="V1992" t="n">
        <x:v>0</x:v>
      </x:c>
      <x:c r="W1992" t="n">
        <x:v>0</x:v>
      </x:c>
      <x:c r="X1992" t="n">
        <x:v>0</x:v>
      </x:c>
      <x:c r="Y1992" t="n">
        <x:v>0</x:v>
      </x:c>
      <x:c r="Z1992" t="n">
        <x:v>0</x:v>
      </x:c>
      <x:c r="AA1992" t="n">
        <x:v>0</x:v>
      </x:c>
      <x:c r="AB1992"/>
      <x:c r="AC1992" t="n">
        <x:v>0</x:v>
      </x:c>
      <x:c r="AD1992" t="n">
        <x:v>-0.725212728139013</x:v>
      </x:c>
      <x:c r="AE1992" t="n">
        <x:v>0</x:v>
      </x:c>
      <x:c r="AF1992" t="n">
        <x:v>-0.000003723340341821313</x:v>
      </x:c>
      <x:c r="AG1992" t="n">
        <x:f>_xlfn.XLOOKUP($A1992,Games!$A$2:$A$18,Games!$B$2:$B$18,"Missing game",0)</x:f>
        <x:v>2025</x:v>
      </x:c>
      <x:c r="AH1992" t="str">
        <x:f>_xlfn.XLOOKUP($A1992,Games!$A$2:$A$18,Games!$C$2:$C$18,"Missing game",0)</x:f>
        <x:v>REG</x:v>
      </x:c>
      <x:c r="AI1992" t="n">
        <x:f>_xlfn.XLOOKUP($A1992,Games!$A$2:$A$18,Games!$D$2:$D$18,"Missing game",0)</x:f>
        <x:v>13</x:v>
      </x:c>
      <x:c r="AJ1992" s="1" t="n">
        <x:f>_xlfn.XLOOKUP($A1992,Games!$A$2:$A$18,Games!$E$2:$E$18,"Missing game",0)</x:f>
        <x:v>45991</x:v>
      </x:c>
      <x:c r="AK1992" t="str">
        <x:f>_xlfn.XLOOKUP($A1992,Games!$A$2:$A$18,Games!$F$2:$F$18,"Missing game",0)</x:f>
        <x:v>Sunday</x:v>
      </x:c>
      <x:c r="AL1992" t="str">
        <x:f>_xlfn.XLOOKUP($A1992,Games!$A$2:$A$18,Games!$G$2:$G$18,"Missing game",0)</x:f>
        <x:v>MIN</x:v>
      </x:c>
      <x:c r="AM1992" t="n">
        <x:f>_xlfn.XLOOKUP($A1992,Games!$A$2:$A$18,Games!$H$2:$H$18,"Missing game",0)</x:f>
        <x:v>0</x:v>
      </x:c>
      <x:c r="AN1992" t="str">
        <x:f>_xlfn.XLOOKUP($A1992,Games!$A$2:$A$18,Games!$I$2:$I$18,"Missing game",0)</x:f>
        <x:v>SEA</x:v>
      </x:c>
      <x:c r="AO1992" t="n">
        <x:f>_xlfn.XLOOKUP($A1992,Games!$A$2:$A$18,Games!$J$2:$J$18,"Missing game",0)</x:f>
        <x:v>26</x:v>
      </x:c>
      <x:c r="AP1992" t="n">
        <x:f>_xlfn.XLOOKUP($A1992,Games!$A$2:$A$18,Games!$K$2:$K$18,"Missing game",0)</x:f>
        <x:v>26</x:v>
      </x:c>
      <x:c r="AQ1992" t="n">
        <x:f>_xlfn.XLOOKUP($A1992,Games!$A$2:$A$18,Games!$L$2:$L$18,"Missing game",0)</x:f>
        <x:v>26</x:v>
      </x:c>
      <x:c r="AR1992" t="n">
        <x:f>_xlfn.XLOOKUP($A1992,Games!$A$2:$A$18,Games!$M$2:$M$18,"Missing game",0)</x:f>
        <x:v>0</x:v>
      </x:c>
      <x:c r="AS1992" t="str">
        <x:f>_xlfn.XLOOKUP($A1992,Games!$A$2:$A$18,Games!$N$2:$N$18,"Missing game",0)</x:f>
        <x:v>outdoors</x:v>
      </x:c>
      <x:c r="AT1992" t="str">
        <x:f>_xlfn.XLOOKUP($A1992,Games!$A$2:$A$18,Games!$O$2:$O$18,"Missing game",0)</x:f>
        <x:v>fieldturf</x:v>
      </x:c>
      <x:c r="AU1992" t="n">
        <x:f>_xlfn.XLOOKUP($A1992,Games!$A$2:$A$18,Games!$P$2:$P$18,"Missing game",0)</x:f>
        <x:v>45</x:v>
      </x:c>
      <x:c r="AV1992" t="n">
        <x:f>_xlfn.XLOOKUP($A1992,Games!$A$2:$A$18,Games!$Q$2:$Q$18,"Missing game",0)</x:f>
        <x:v>2</x:v>
      </x:c>
      <x:c r="AW1992" t="str">
        <x:f>_xlfn.XLOOKUP($A1992,Games!$A$2:$A$18,Games!$R$2:$R$18,"Missing game",0)</x:f>
        <x:v>Lumen Field</x:v>
      </x:c>
    </x:row>
    <x:row r="1993">
      <x:c r="A1993" t="str">
        <x:v>2025_13_MIN_SEA</x:v>
      </x:c>
      <x:c r="B1993" t="n">
        <x:v>3460</x:v>
      </x:c>
      <x:c r="C1993" t="n">
        <x:v>4</x:v>
      </x:c>
      <x:c r="D1993" t="str">
        <x:v>07:21</x:v>
      </x:c>
      <x:c r="E1993" t="n">
        <x:v>3</x:v>
      </x:c>
      <x:c r="F1993" t="n">
        <x:v>6</x:v>
      </x:c>
      <x:c r="G1993" t="str">
        <x:v>MIN</x:v>
      </x:c>
      <x:c r="H1993" t="str">
        <x:v>SEA</x:v>
      </x:c>
      <x:c r="I1993" t="str">
        <x:v>SEA</x:v>
      </x:c>
      <x:c r="J1993" t="n">
        <x:v>49</x:v>
      </x:c>
      <x:c r="K1993" t="str">
        <x:v>(7:21) (Shotgun) 12-M.Brosmer pass short right to 3-J.Addison to SEA 41 for 8 yards (27-T.Woolen).</x:v>
      </x:c>
      <x:c r="L1993" t="str">
        <x:v>pass</x:v>
      </x:c>
      <x:c r="M1993" t="n">
        <x:v>8</x:v>
      </x:c>
      <x:c r="N1993" t="n">
        <x:v>1</x:v>
      </x:c>
      <x:c r="O1993" t="n">
        <x:v>0</x:v>
      </x:c>
      <x:c r="P1993" t="str">
        <x:v>short</x:v>
      </x:c>
      <x:c r="Q1993" t="str">
        <x:v>right</x:v>
      </x:c>
      <x:c r="R1993" t="n">
        <x:v>8</x:v>
      </x:c>
      <x:c r="S1993" t="n">
        <x:v>0</x:v>
      </x:c>
      <x:c r="T1993"/>
      <x:c r="U1993"/>
      <x:c r="V1993" t="n">
        <x:v>1</x:v>
      </x:c>
      <x:c r="W1993" t="n">
        <x:v>1</x:v>
      </x:c>
      <x:c r="X1993" t="n">
        <x:v>0</x:v>
      </x:c>
      <x:c r="Y1993" t="n">
        <x:v>0</x:v>
      </x:c>
      <x:c r="Z1993" t="n">
        <x:v>0</x:v>
      </x:c>
      <x:c r="AA1993" t="n">
        <x:v>0</x:v>
      </x:c>
      <x:c r="AB1993"/>
      <x:c r="AC1993" t="n">
        <x:v>0</x:v>
      </x:c>
      <x:c r="AD1993" t="n">
        <x:v>1.5744631245033816</x:v>
      </x:c>
      <x:c r="AE1993" t="n">
        <x:v>1</x:v>
      </x:c>
      <x:c r="AF1993" t="n">
        <x:v>0.0000030306619009934366</x:v>
      </x:c>
      <x:c r="AG1993" t="n">
        <x:f>_xlfn.XLOOKUP($A1993,Games!$A$2:$A$18,Games!$B$2:$B$18,"Missing game",0)</x:f>
        <x:v>2025</x:v>
      </x:c>
      <x:c r="AH1993" t="str">
        <x:f>_xlfn.XLOOKUP($A1993,Games!$A$2:$A$18,Games!$C$2:$C$18,"Missing game",0)</x:f>
        <x:v>REG</x:v>
      </x:c>
      <x:c r="AI1993" t="n">
        <x:f>_xlfn.XLOOKUP($A1993,Games!$A$2:$A$18,Games!$D$2:$D$18,"Missing game",0)</x:f>
        <x:v>13</x:v>
      </x:c>
      <x:c r="AJ1993" s="1" t="n">
        <x:f>_xlfn.XLOOKUP($A1993,Games!$A$2:$A$18,Games!$E$2:$E$18,"Missing game",0)</x:f>
        <x:v>45991</x:v>
      </x:c>
      <x:c r="AK1993" t="str">
        <x:f>_xlfn.XLOOKUP($A1993,Games!$A$2:$A$18,Games!$F$2:$F$18,"Missing game",0)</x:f>
        <x:v>Sunday</x:v>
      </x:c>
      <x:c r="AL1993" t="str">
        <x:f>_xlfn.XLOOKUP($A1993,Games!$A$2:$A$18,Games!$G$2:$G$18,"Missing game",0)</x:f>
        <x:v>MIN</x:v>
      </x:c>
      <x:c r="AM1993" t="n">
        <x:f>_xlfn.XLOOKUP($A1993,Games!$A$2:$A$18,Games!$H$2:$H$18,"Missing game",0)</x:f>
        <x:v>0</x:v>
      </x:c>
      <x:c r="AN1993" t="str">
        <x:f>_xlfn.XLOOKUP($A1993,Games!$A$2:$A$18,Games!$I$2:$I$18,"Missing game",0)</x:f>
        <x:v>SEA</x:v>
      </x:c>
      <x:c r="AO1993" t="n">
        <x:f>_xlfn.XLOOKUP($A1993,Games!$A$2:$A$18,Games!$J$2:$J$18,"Missing game",0)</x:f>
        <x:v>26</x:v>
      </x:c>
      <x:c r="AP1993" t="n">
        <x:f>_xlfn.XLOOKUP($A1993,Games!$A$2:$A$18,Games!$K$2:$K$18,"Missing game",0)</x:f>
        <x:v>26</x:v>
      </x:c>
      <x:c r="AQ1993" t="n">
        <x:f>_xlfn.XLOOKUP($A1993,Games!$A$2:$A$18,Games!$L$2:$L$18,"Missing game",0)</x:f>
        <x:v>26</x:v>
      </x:c>
      <x:c r="AR1993" t="n">
        <x:f>_xlfn.XLOOKUP($A1993,Games!$A$2:$A$18,Games!$M$2:$M$18,"Missing game",0)</x:f>
        <x:v>0</x:v>
      </x:c>
      <x:c r="AS1993" t="str">
        <x:f>_xlfn.XLOOKUP($A1993,Games!$A$2:$A$18,Games!$N$2:$N$18,"Missing game",0)</x:f>
        <x:v>outdoors</x:v>
      </x:c>
      <x:c r="AT1993" t="str">
        <x:f>_xlfn.XLOOKUP($A1993,Games!$A$2:$A$18,Games!$O$2:$O$18,"Missing game",0)</x:f>
        <x:v>fieldturf</x:v>
      </x:c>
      <x:c r="AU1993" t="n">
        <x:f>_xlfn.XLOOKUP($A1993,Games!$A$2:$A$18,Games!$P$2:$P$18,"Missing game",0)</x:f>
        <x:v>45</x:v>
      </x:c>
      <x:c r="AV1993" t="n">
        <x:f>_xlfn.XLOOKUP($A1993,Games!$A$2:$A$18,Games!$Q$2:$Q$18,"Missing game",0)</x:f>
        <x:v>2</x:v>
      </x:c>
      <x:c r="AW1993" t="str">
        <x:f>_xlfn.XLOOKUP($A1993,Games!$A$2:$A$18,Games!$R$2:$R$18,"Missing game",0)</x:f>
        <x:v>Lumen Field</x:v>
      </x:c>
    </x:row>
    <x:row r="1994">
      <x:c r="A1994" t="str">
        <x:v>2025_13_MIN_SEA</x:v>
      </x:c>
      <x:c r="B1994" t="n">
        <x:v>3485</x:v>
      </x:c>
      <x:c r="C1994" t="n">
        <x:v>4</x:v>
      </x:c>
      <x:c r="D1994" t="str">
        <x:v>06:47</x:v>
      </x:c>
      <x:c r="E1994" t="n">
        <x:v>1</x:v>
      </x:c>
      <x:c r="F1994" t="n">
        <x:v>10</x:v>
      </x:c>
      <x:c r="G1994" t="str">
        <x:v>MIN</x:v>
      </x:c>
      <x:c r="H1994" t="str">
        <x:v>SEA</x:v>
      </x:c>
      <x:c r="I1994" t="str">
        <x:v>SEA</x:v>
      </x:c>
      <x:c r="J1994" t="n">
        <x:v>41</x:v>
      </x:c>
      <x:c r="K1994" t="str">
        <x:v>(6:47) (No Huddle, Shotgun) 27-J.Mason up the middle to SEA 17 for 24 yards (21-D.Witherspoon; 29-J.Jobe). ** Injury Update: MIN-27-J.Mason has returned to the game. SEA-29-J.Jobe was injured during the play. PENALTY on MIN-64-B.Brandel, Unnecessary Roughness, 15 yards, enforced between downs.</x:v>
      </x:c>
      <x:c r="L1994" t="str">
        <x:v>run</x:v>
      </x:c>
      <x:c r="M1994" t="n">
        <x:v>24</x:v>
      </x:c>
      <x:c r="N1994" t="n">
        <x:v>1</x:v>
      </x:c>
      <x:c r="O1994" t="n">
        <x:v>1</x:v>
      </x:c>
      <x:c r="P1994"/>
      <x:c r="Q1994"/>
      <x:c r="R1994"/>
      <x:c r="S1994"/>
      <x:c r="T1994" t="str">
        <x:v>middle</x:v>
      </x:c>
      <x:c r="U1994"/>
      <x:c r="V1994" t="n">
        <x:v>0</x:v>
      </x:c>
      <x:c r="W1994" t="n">
        <x:v>1</x:v>
      </x:c>
      <x:c r="X1994" t="n">
        <x:v>0</x:v>
      </x:c>
      <x:c r="Y1994" t="n">
        <x:v>0</x:v>
      </x:c>
      <x:c r="Z1994" t="n">
        <x:v>0</x:v>
      </x:c>
      <x:c r="AA1994" t="n">
        <x:v>1</x:v>
      </x:c>
      <x:c r="AB1994" t="n">
        <x:v>15</x:v>
      </x:c>
      <x:c r="AC1994" t="n">
        <x:v>0</x:v>
      </x:c>
      <x:c r="AD1994" t="n">
        <x:v>0.4906139717786573</x:v>
      </x:c>
      <x:c r="AE1994" t="n">
        <x:v>1</x:v>
      </x:c>
      <x:c r="AF1994" t="n">
        <x:v>0.000004192748747300357</x:v>
      </x:c>
      <x:c r="AG1994" t="n">
        <x:f>_xlfn.XLOOKUP($A1994,Games!$A$2:$A$18,Games!$B$2:$B$18,"Missing game",0)</x:f>
        <x:v>2025</x:v>
      </x:c>
      <x:c r="AH1994" t="str">
        <x:f>_xlfn.XLOOKUP($A1994,Games!$A$2:$A$18,Games!$C$2:$C$18,"Missing game",0)</x:f>
        <x:v>REG</x:v>
      </x:c>
      <x:c r="AI1994" t="n">
        <x:f>_xlfn.XLOOKUP($A1994,Games!$A$2:$A$18,Games!$D$2:$D$18,"Missing game",0)</x:f>
        <x:v>13</x:v>
      </x:c>
      <x:c r="AJ1994" s="1" t="n">
        <x:f>_xlfn.XLOOKUP($A1994,Games!$A$2:$A$18,Games!$E$2:$E$18,"Missing game",0)</x:f>
        <x:v>45991</x:v>
      </x:c>
      <x:c r="AK1994" t="str">
        <x:f>_xlfn.XLOOKUP($A1994,Games!$A$2:$A$18,Games!$F$2:$F$18,"Missing game",0)</x:f>
        <x:v>Sunday</x:v>
      </x:c>
      <x:c r="AL1994" t="str">
        <x:f>_xlfn.XLOOKUP($A1994,Games!$A$2:$A$18,Games!$G$2:$G$18,"Missing game",0)</x:f>
        <x:v>MIN</x:v>
      </x:c>
      <x:c r="AM1994" t="n">
        <x:f>_xlfn.XLOOKUP($A1994,Games!$A$2:$A$18,Games!$H$2:$H$18,"Missing game",0)</x:f>
        <x:v>0</x:v>
      </x:c>
      <x:c r="AN1994" t="str">
        <x:f>_xlfn.XLOOKUP($A1994,Games!$A$2:$A$18,Games!$I$2:$I$18,"Missing game",0)</x:f>
        <x:v>SEA</x:v>
      </x:c>
      <x:c r="AO1994" t="n">
        <x:f>_xlfn.XLOOKUP($A1994,Games!$A$2:$A$18,Games!$J$2:$J$18,"Missing game",0)</x:f>
        <x:v>26</x:v>
      </x:c>
      <x:c r="AP1994" t="n">
        <x:f>_xlfn.XLOOKUP($A1994,Games!$A$2:$A$18,Games!$K$2:$K$18,"Missing game",0)</x:f>
        <x:v>26</x:v>
      </x:c>
      <x:c r="AQ1994" t="n">
        <x:f>_xlfn.XLOOKUP($A1994,Games!$A$2:$A$18,Games!$L$2:$L$18,"Missing game",0)</x:f>
        <x:v>26</x:v>
      </x:c>
      <x:c r="AR1994" t="n">
        <x:f>_xlfn.XLOOKUP($A1994,Games!$A$2:$A$18,Games!$M$2:$M$18,"Missing game",0)</x:f>
        <x:v>0</x:v>
      </x:c>
      <x:c r="AS1994" t="str">
        <x:f>_xlfn.XLOOKUP($A1994,Games!$A$2:$A$18,Games!$N$2:$N$18,"Missing game",0)</x:f>
        <x:v>outdoors</x:v>
      </x:c>
      <x:c r="AT1994" t="str">
        <x:f>_xlfn.XLOOKUP($A1994,Games!$A$2:$A$18,Games!$O$2:$O$18,"Missing game",0)</x:f>
        <x:v>fieldturf</x:v>
      </x:c>
      <x:c r="AU1994" t="n">
        <x:f>_xlfn.XLOOKUP($A1994,Games!$A$2:$A$18,Games!$P$2:$P$18,"Missing game",0)</x:f>
        <x:v>45</x:v>
      </x:c>
      <x:c r="AV1994" t="n">
        <x:f>_xlfn.XLOOKUP($A1994,Games!$A$2:$A$18,Games!$Q$2:$Q$18,"Missing game",0)</x:f>
        <x:v>2</x:v>
      </x:c>
      <x:c r="AW1994" t="str">
        <x:f>_xlfn.XLOOKUP($A1994,Games!$A$2:$A$18,Games!$R$2:$R$18,"Missing game",0)</x:f>
        <x:v>Lumen Field</x:v>
      </x:c>
    </x:row>
    <x:row r="1995">
      <x:c r="A1995" t="str">
        <x:v>2025_13_MIN_SEA</x:v>
      </x:c>
      <x:c r="B1995" t="n">
        <x:v>3518</x:v>
      </x:c>
      <x:c r="C1995" t="n">
        <x:v>4</x:v>
      </x:c>
      <x:c r="D1995" t="str">
        <x:v>06:26</x:v>
      </x:c>
      <x:c r="E1995" t="n">
        <x:v>1</x:v>
      </x:c>
      <x:c r="F1995" t="n">
        <x:v>10</x:v>
      </x:c>
      <x:c r="G1995" t="str">
        <x:v>MIN</x:v>
      </x:c>
      <x:c r="H1995" t="str">
        <x:v>SEA</x:v>
      </x:c>
      <x:c r="I1995" t="str">
        <x:v>SEA</x:v>
      </x:c>
      <x:c r="J1995" t="n">
        <x:v>32</x:v>
      </x:c>
      <x:c r="K1995" t="str">
        <x:v>(6:26) 27-J.Mason right guard to SEA 28 for 4 yards (13-E.Jones; 8-C.Bryant).</x:v>
      </x:c>
      <x:c r="L1995" t="str">
        <x:v>run</x:v>
      </x:c>
      <x:c r="M1995" t="n">
        <x:v>4</x:v>
      </x:c>
      <x:c r="N1995" t="n">
        <x:v>0</x:v>
      </x:c>
      <x:c r="O1995" t="n">
        <x:v>0</x:v>
      </x:c>
      <x:c r="P1995"/>
      <x:c r="Q1995"/>
      <x:c r="R1995"/>
      <x:c r="S1995"/>
      <x:c r="T1995" t="str">
        <x:v>right</x:v>
      </x:c>
      <x:c r="U1995" t="str">
        <x:v>guard</x:v>
      </x:c>
      <x:c r="V1995" t="n">
        <x:v>0</x:v>
      </x:c>
      <x:c r="W1995" t="n">
        <x:v>0</x:v>
      </x:c>
      <x:c r="X1995" t="n">
        <x:v>0</x:v>
      </x:c>
      <x:c r="Y1995" t="n">
        <x:v>0</x:v>
      </x:c>
      <x:c r="Z1995" t="n">
        <x:v>0</x:v>
      </x:c>
      <x:c r="AA1995" t="n">
        <x:v>0</x:v>
      </x:c>
      <x:c r="AB1995"/>
      <x:c r="AC1995" t="n">
        <x:v>0</x:v>
      </x:c>
      <x:c r="AD1995" t="n">
        <x:v>-0.09054376248968765</x:v>
      </x:c>
      <x:c r="AE1995" t="n">
        <x:v>0</x:v>
      </x:c>
      <x:c r="AF1995" t="n">
        <x:v>0.000021624269720632583</x:v>
      </x:c>
      <x:c r="AG1995" t="n">
        <x:f>_xlfn.XLOOKUP($A1995,Games!$A$2:$A$18,Games!$B$2:$B$18,"Missing game",0)</x:f>
        <x:v>2025</x:v>
      </x:c>
      <x:c r="AH1995" t="str">
        <x:f>_xlfn.XLOOKUP($A1995,Games!$A$2:$A$18,Games!$C$2:$C$18,"Missing game",0)</x:f>
        <x:v>REG</x:v>
      </x:c>
      <x:c r="AI1995" t="n">
        <x:f>_xlfn.XLOOKUP($A1995,Games!$A$2:$A$18,Games!$D$2:$D$18,"Missing game",0)</x:f>
        <x:v>13</x:v>
      </x:c>
      <x:c r="AJ1995" s="1" t="n">
        <x:f>_xlfn.XLOOKUP($A1995,Games!$A$2:$A$18,Games!$E$2:$E$18,"Missing game",0)</x:f>
        <x:v>45991</x:v>
      </x:c>
      <x:c r="AK1995" t="str">
        <x:f>_xlfn.XLOOKUP($A1995,Games!$A$2:$A$18,Games!$F$2:$F$18,"Missing game",0)</x:f>
        <x:v>Sunday</x:v>
      </x:c>
      <x:c r="AL1995" t="str">
        <x:f>_xlfn.XLOOKUP($A1995,Games!$A$2:$A$18,Games!$G$2:$G$18,"Missing game",0)</x:f>
        <x:v>MIN</x:v>
      </x:c>
      <x:c r="AM1995" t="n">
        <x:f>_xlfn.XLOOKUP($A1995,Games!$A$2:$A$18,Games!$H$2:$H$18,"Missing game",0)</x:f>
        <x:v>0</x:v>
      </x:c>
      <x:c r="AN1995" t="str">
        <x:f>_xlfn.XLOOKUP($A1995,Games!$A$2:$A$18,Games!$I$2:$I$18,"Missing game",0)</x:f>
        <x:v>SEA</x:v>
      </x:c>
      <x:c r="AO1995" t="n">
        <x:f>_xlfn.XLOOKUP($A1995,Games!$A$2:$A$18,Games!$J$2:$J$18,"Missing game",0)</x:f>
        <x:v>26</x:v>
      </x:c>
      <x:c r="AP1995" t="n">
        <x:f>_xlfn.XLOOKUP($A1995,Games!$A$2:$A$18,Games!$K$2:$K$18,"Missing game",0)</x:f>
        <x:v>26</x:v>
      </x:c>
      <x:c r="AQ1995" t="n">
        <x:f>_xlfn.XLOOKUP($A1995,Games!$A$2:$A$18,Games!$L$2:$L$18,"Missing game",0)</x:f>
        <x:v>26</x:v>
      </x:c>
      <x:c r="AR1995" t="n">
        <x:f>_xlfn.XLOOKUP($A1995,Games!$A$2:$A$18,Games!$M$2:$M$18,"Missing game",0)</x:f>
        <x:v>0</x:v>
      </x:c>
      <x:c r="AS1995" t="str">
        <x:f>_xlfn.XLOOKUP($A1995,Games!$A$2:$A$18,Games!$N$2:$N$18,"Missing game",0)</x:f>
        <x:v>outdoors</x:v>
      </x:c>
      <x:c r="AT1995" t="str">
        <x:f>_xlfn.XLOOKUP($A1995,Games!$A$2:$A$18,Games!$O$2:$O$18,"Missing game",0)</x:f>
        <x:v>fieldturf</x:v>
      </x:c>
      <x:c r="AU1995" t="n">
        <x:f>_xlfn.XLOOKUP($A1995,Games!$A$2:$A$18,Games!$P$2:$P$18,"Missing game",0)</x:f>
        <x:v>45</x:v>
      </x:c>
      <x:c r="AV1995" t="n">
        <x:f>_xlfn.XLOOKUP($A1995,Games!$A$2:$A$18,Games!$Q$2:$Q$18,"Missing game",0)</x:f>
        <x:v>2</x:v>
      </x:c>
      <x:c r="AW1995" t="str">
        <x:f>_xlfn.XLOOKUP($A1995,Games!$A$2:$A$18,Games!$R$2:$R$18,"Missing game",0)</x:f>
        <x:v>Lumen Field</x:v>
      </x:c>
    </x:row>
    <x:row r="1996">
      <x:c r="A1996" t="str">
        <x:v>2025_13_MIN_SEA</x:v>
      </x:c>
      <x:c r="B1996" t="n">
        <x:v>3546</x:v>
      </x:c>
      <x:c r="C1996" t="n">
        <x:v>4</x:v>
      </x:c>
      <x:c r="D1996" t="str">
        <x:v>05:48</x:v>
      </x:c>
      <x:c r="E1996" t="n">
        <x:v>2</x:v>
      </x:c>
      <x:c r="F1996" t="n">
        <x:v>6</x:v>
      </x:c>
      <x:c r="G1996" t="str">
        <x:v>MIN</x:v>
      </x:c>
      <x:c r="H1996" t="str">
        <x:v>SEA</x:v>
      </x:c>
      <x:c r="I1996" t="str">
        <x:v>SEA</x:v>
      </x:c>
      <x:c r="J1996" t="n">
        <x:v>28</x:v>
      </x:c>
      <x:c r="K1996" t="str">
        <x:v>(5:48) (Shotgun) 12-M.Brosmer pass deep left intended for 3-J.Addison INTERCEPTED by 27-T.Woolen at SEA 5. 27-T.Woolen to SEA 35 for 30 yards (1-J.Nailor). FUMBLES (1-J.Nailor), touched at SEA 38, RECOVERED by MIN-1-J.Nailor at SEA 37.</x:v>
      </x:c>
      <x:c r="L1996" t="str">
        <x:v>pass</x:v>
      </x:c>
      <x:c r="M1996" t="n">
        <x:v>0</x:v>
      </x:c>
      <x:c r="N1996" t="n">
        <x:v>1</x:v>
      </x:c>
      <x:c r="O1996" t="n">
        <x:v>0</x:v>
      </x:c>
      <x:c r="P1996" t="str">
        <x:v>deep</x:v>
      </x:c>
      <x:c r="Q1996" t="str">
        <x:v>left</x:v>
      </x:c>
      <x:c r="R1996" t="n">
        <x:v>23</x:v>
      </x:c>
      <x:c r="S1996"/>
      <x:c r="T1996"/>
      <x:c r="U1996"/>
      <x:c r="V1996" t="n">
        <x:v>0</x:v>
      </x:c>
      <x:c r="W1996" t="n">
        <x:v>0</x:v>
      </x:c>
      <x:c r="X1996" t="n">
        <x:v>0</x:v>
      </x:c>
      <x:c r="Y1996" t="n">
        <x:v>1</x:v>
      </x:c>
      <x:c r="Z1996" t="n">
        <x:v>1</x:v>
      </x:c>
      <x:c r="AA1996" t="n">
        <x:v>0</x:v>
      </x:c>
      <x:c r="AB1996"/>
      <x:c r="AC1996" t="n">
        <x:v>0</x:v>
      </x:c>
      <x:c r="AD1996" t="n">
        <x:v>-0.13798687676899135</x:v>
      </x:c>
      <x:c r="AE1996" t="n">
        <x:v>0</x:v>
      </x:c>
      <x:c r="AF1996" t="n">
        <x:v>-0.000021624269720632583</x:v>
      </x:c>
      <x:c r="AG1996" t="n">
        <x:f>_xlfn.XLOOKUP($A1996,Games!$A$2:$A$18,Games!$B$2:$B$18,"Missing game",0)</x:f>
        <x:v>2025</x:v>
      </x:c>
      <x:c r="AH1996" t="str">
        <x:f>_xlfn.XLOOKUP($A1996,Games!$A$2:$A$18,Games!$C$2:$C$18,"Missing game",0)</x:f>
        <x:v>REG</x:v>
      </x:c>
      <x:c r="AI1996" t="n">
        <x:f>_xlfn.XLOOKUP($A1996,Games!$A$2:$A$18,Games!$D$2:$D$18,"Missing game",0)</x:f>
        <x:v>13</x:v>
      </x:c>
      <x:c r="AJ1996" s="1" t="n">
        <x:f>_xlfn.XLOOKUP($A1996,Games!$A$2:$A$18,Games!$E$2:$E$18,"Missing game",0)</x:f>
        <x:v>45991</x:v>
      </x:c>
      <x:c r="AK1996" t="str">
        <x:f>_xlfn.XLOOKUP($A1996,Games!$A$2:$A$18,Games!$F$2:$F$18,"Missing game",0)</x:f>
        <x:v>Sunday</x:v>
      </x:c>
      <x:c r="AL1996" t="str">
        <x:f>_xlfn.XLOOKUP($A1996,Games!$A$2:$A$18,Games!$G$2:$G$18,"Missing game",0)</x:f>
        <x:v>MIN</x:v>
      </x:c>
      <x:c r="AM1996" t="n">
        <x:f>_xlfn.XLOOKUP($A1996,Games!$A$2:$A$18,Games!$H$2:$H$18,"Missing game",0)</x:f>
        <x:v>0</x:v>
      </x:c>
      <x:c r="AN1996" t="str">
        <x:f>_xlfn.XLOOKUP($A1996,Games!$A$2:$A$18,Games!$I$2:$I$18,"Missing game",0)</x:f>
        <x:v>SEA</x:v>
      </x:c>
      <x:c r="AO1996" t="n">
        <x:f>_xlfn.XLOOKUP($A1996,Games!$A$2:$A$18,Games!$J$2:$J$18,"Missing game",0)</x:f>
        <x:v>26</x:v>
      </x:c>
      <x:c r="AP1996" t="n">
        <x:f>_xlfn.XLOOKUP($A1996,Games!$A$2:$A$18,Games!$K$2:$K$18,"Missing game",0)</x:f>
        <x:v>26</x:v>
      </x:c>
      <x:c r="AQ1996" t="n">
        <x:f>_xlfn.XLOOKUP($A1996,Games!$A$2:$A$18,Games!$L$2:$L$18,"Missing game",0)</x:f>
        <x:v>26</x:v>
      </x:c>
      <x:c r="AR1996" t="n">
        <x:f>_xlfn.XLOOKUP($A1996,Games!$A$2:$A$18,Games!$M$2:$M$18,"Missing game",0)</x:f>
        <x:v>0</x:v>
      </x:c>
      <x:c r="AS1996" t="str">
        <x:f>_xlfn.XLOOKUP($A1996,Games!$A$2:$A$18,Games!$N$2:$N$18,"Missing game",0)</x:f>
        <x:v>outdoors</x:v>
      </x:c>
      <x:c r="AT1996" t="str">
        <x:f>_xlfn.XLOOKUP($A1996,Games!$A$2:$A$18,Games!$O$2:$O$18,"Missing game",0)</x:f>
        <x:v>fieldturf</x:v>
      </x:c>
      <x:c r="AU1996" t="n">
        <x:f>_xlfn.XLOOKUP($A1996,Games!$A$2:$A$18,Games!$P$2:$P$18,"Missing game",0)</x:f>
        <x:v>45</x:v>
      </x:c>
      <x:c r="AV1996" t="n">
        <x:f>_xlfn.XLOOKUP($A1996,Games!$A$2:$A$18,Games!$Q$2:$Q$18,"Missing game",0)</x:f>
        <x:v>2</x:v>
      </x:c>
      <x:c r="AW1996" t="str">
        <x:f>_xlfn.XLOOKUP($A1996,Games!$A$2:$A$18,Games!$R$2:$R$18,"Missing game",0)</x:f>
        <x:v>Lumen Field</x:v>
      </x:c>
    </x:row>
    <x:row r="1997">
      <x:c r="A1997" t="str">
        <x:v>2025_13_MIN_SEA</x:v>
      </x:c>
      <x:c r="B1997" t="n">
        <x:v>3589</x:v>
      </x:c>
      <x:c r="C1997" t="n">
        <x:v>4</x:v>
      </x:c>
      <x:c r="D1997" t="str">
        <x:v>05:33</x:v>
      </x:c>
      <x:c r="E1997" t="n">
        <x:v>1</x:v>
      </x:c>
      <x:c r="F1997" t="n">
        <x:v>10</x:v>
      </x:c>
      <x:c r="G1997" t="str">
        <x:v>MIN</x:v>
      </x:c>
      <x:c r="H1997" t="str">
        <x:v>SEA</x:v>
      </x:c>
      <x:c r="I1997" t="str">
        <x:v>SEA</x:v>
      </x:c>
      <x:c r="J1997" t="n">
        <x:v>37</x:v>
      </x:c>
      <x:c r="K1997" t="str">
        <x:v>(5:33) (Shotgun) 36-Z.Scott right end pushed ob at SEA 30 for 7 yards (13-E.Jones). PENALTY on MIN-75-B.O'Neill, Offensive Holding, 10 yards, enforced at SEA 37 - No Play.</x:v>
      </x:c>
      <x:c r="L1997" t="str">
        <x:v>no_play</x:v>
      </x:c>
      <x:c r="M1997" t="n">
        <x:v>0</x:v>
      </x:c>
      <x:c r="N1997" t="n">
        <x:v>1</x:v>
      </x:c>
      <x:c r="O1997" t="n">
        <x:v>0</x:v>
      </x:c>
      <x:c r="P1997"/>
      <x:c r="Q1997"/>
      <x:c r="R1997"/>
      <x:c r="S1997"/>
      <x:c r="T1997"/>
      <x:c r="U1997"/>
      <x:c r="V1997" t="n">
        <x:v>0</x:v>
      </x:c>
      <x:c r="W1997" t="n">
        <x:v>0</x:v>
      </x:c>
      <x:c r="X1997" t="n">
        <x:v>0</x:v>
      </x:c>
      <x:c r="Y1997" t="n">
        <x:v>0</x:v>
      </x:c>
      <x:c r="Z1997" t="n">
        <x:v>0</x:v>
      </x:c>
      <x:c r="AA1997" t="n">
        <x:v>1</x:v>
      </x:c>
      <x:c r="AB1997" t="n">
        <x:v>10</x:v>
      </x:c>
      <x:c r="AC1997" t="n">
        <x:v>0</x:v>
      </x:c>
      <x:c r="AD1997" t="n">
        <x:v>-1.0086525386432186</x:v>
      </x:c>
      <x:c r="AE1997" t="n">
        <x:v>0</x:v>
      </x:c>
      <x:c r="AF1997" t="n">
        <x:v>-0.000007095433829817921</x:v>
      </x:c>
      <x:c r="AG1997" t="n">
        <x:f>_xlfn.XLOOKUP($A1997,Games!$A$2:$A$18,Games!$B$2:$B$18,"Missing game",0)</x:f>
        <x:v>2025</x:v>
      </x:c>
      <x:c r="AH1997" t="str">
        <x:f>_xlfn.XLOOKUP($A1997,Games!$A$2:$A$18,Games!$C$2:$C$18,"Missing game",0)</x:f>
        <x:v>REG</x:v>
      </x:c>
      <x:c r="AI1997" t="n">
        <x:f>_xlfn.XLOOKUP($A1997,Games!$A$2:$A$18,Games!$D$2:$D$18,"Missing game",0)</x:f>
        <x:v>13</x:v>
      </x:c>
      <x:c r="AJ1997" s="1" t="n">
        <x:f>_xlfn.XLOOKUP($A1997,Games!$A$2:$A$18,Games!$E$2:$E$18,"Missing game",0)</x:f>
        <x:v>45991</x:v>
      </x:c>
      <x:c r="AK1997" t="str">
        <x:f>_xlfn.XLOOKUP($A1997,Games!$A$2:$A$18,Games!$F$2:$F$18,"Missing game",0)</x:f>
        <x:v>Sunday</x:v>
      </x:c>
      <x:c r="AL1997" t="str">
        <x:f>_xlfn.XLOOKUP($A1997,Games!$A$2:$A$18,Games!$G$2:$G$18,"Missing game",0)</x:f>
        <x:v>MIN</x:v>
      </x:c>
      <x:c r="AM1997" t="n">
        <x:f>_xlfn.XLOOKUP($A1997,Games!$A$2:$A$18,Games!$H$2:$H$18,"Missing game",0)</x:f>
        <x:v>0</x:v>
      </x:c>
      <x:c r="AN1997" t="str">
        <x:f>_xlfn.XLOOKUP($A1997,Games!$A$2:$A$18,Games!$I$2:$I$18,"Missing game",0)</x:f>
        <x:v>SEA</x:v>
      </x:c>
      <x:c r="AO1997" t="n">
        <x:f>_xlfn.XLOOKUP($A1997,Games!$A$2:$A$18,Games!$J$2:$J$18,"Missing game",0)</x:f>
        <x:v>26</x:v>
      </x:c>
      <x:c r="AP1997" t="n">
        <x:f>_xlfn.XLOOKUP($A1997,Games!$A$2:$A$18,Games!$K$2:$K$18,"Missing game",0)</x:f>
        <x:v>26</x:v>
      </x:c>
      <x:c r="AQ1997" t="n">
        <x:f>_xlfn.XLOOKUP($A1997,Games!$A$2:$A$18,Games!$L$2:$L$18,"Missing game",0)</x:f>
        <x:v>26</x:v>
      </x:c>
      <x:c r="AR1997" t="n">
        <x:f>_xlfn.XLOOKUP($A1997,Games!$A$2:$A$18,Games!$M$2:$M$18,"Missing game",0)</x:f>
        <x:v>0</x:v>
      </x:c>
      <x:c r="AS1997" t="str">
        <x:f>_xlfn.XLOOKUP($A1997,Games!$A$2:$A$18,Games!$N$2:$N$18,"Missing game",0)</x:f>
        <x:v>outdoors</x:v>
      </x:c>
      <x:c r="AT1997" t="str">
        <x:f>_xlfn.XLOOKUP($A1997,Games!$A$2:$A$18,Games!$O$2:$O$18,"Missing game",0)</x:f>
        <x:v>fieldturf</x:v>
      </x:c>
      <x:c r="AU1997" t="n">
        <x:f>_xlfn.XLOOKUP($A1997,Games!$A$2:$A$18,Games!$P$2:$P$18,"Missing game",0)</x:f>
        <x:v>45</x:v>
      </x:c>
      <x:c r="AV1997" t="n">
        <x:f>_xlfn.XLOOKUP($A1997,Games!$A$2:$A$18,Games!$Q$2:$Q$18,"Missing game",0)</x:f>
        <x:v>2</x:v>
      </x:c>
      <x:c r="AW1997" t="str">
        <x:f>_xlfn.XLOOKUP($A1997,Games!$A$2:$A$18,Games!$R$2:$R$18,"Missing game",0)</x:f>
        <x:v>Lumen Field</x:v>
      </x:c>
    </x:row>
    <x:row r="1998">
      <x:c r="A1998" t="str">
        <x:v>2025_13_MIN_SEA</x:v>
      </x:c>
      <x:c r="B1998" t="n">
        <x:v>3627</x:v>
      </x:c>
      <x:c r="C1998" t="n">
        <x:v>4</x:v>
      </x:c>
      <x:c r="D1998" t="str">
        <x:v>05:12</x:v>
      </x:c>
      <x:c r="E1998" t="n">
        <x:v>1</x:v>
      </x:c>
      <x:c r="F1998" t="n">
        <x:v>20</x:v>
      </x:c>
      <x:c r="G1998" t="str">
        <x:v>MIN</x:v>
      </x:c>
      <x:c r="H1998" t="str">
        <x:v>SEA</x:v>
      </x:c>
      <x:c r="I1998" t="str">
        <x:v>SEA</x:v>
      </x:c>
      <x:c r="J1998" t="n">
        <x:v>47</x:v>
      </x:c>
      <x:c r="K1998" t="str">
        <x:v>(5:12) (Shotgun) 12-M.Brosmer pass short middle to 87-T.Hockenson to SEA 40 for 7 yards (42-D.Thomas; 13-E.Jones). SEA-13-E.Jones was injured during the play.</x:v>
      </x:c>
      <x:c r="L1998" t="str">
        <x:v>pass</x:v>
      </x:c>
      <x:c r="M1998" t="n">
        <x:v>7</x:v>
      </x:c>
      <x:c r="N1998" t="n">
        <x:v>1</x:v>
      </x:c>
      <x:c r="O1998" t="n">
        <x:v>0</x:v>
      </x:c>
      <x:c r="P1998" t="str">
        <x:v>short</x:v>
      </x:c>
      <x:c r="Q1998" t="str">
        <x:v>middle</x:v>
      </x:c>
      <x:c r="R1998" t="n">
        <x:v>5</x:v>
      </x:c>
      <x:c r="S1998" t="n">
        <x:v>2</x:v>
      </x:c>
      <x:c r="T1998"/>
      <x:c r="U1998"/>
      <x:c r="V1998" t="n">
        <x:v>1</x:v>
      </x:c>
      <x:c r="W1998" t="n">
        <x:v>0</x:v>
      </x:c>
      <x:c r="X1998" t="n">
        <x:v>0</x:v>
      </x:c>
      <x:c r="Y1998" t="n">
        <x:v>0</x:v>
      </x:c>
      <x:c r="Z1998" t="n">
        <x:v>0</x:v>
      </x:c>
      <x:c r="AA1998" t="n">
        <x:v>0</x:v>
      </x:c>
      <x:c r="AB1998"/>
      <x:c r="AC1998" t="n">
        <x:v>0</x:v>
      </x:c>
      <x:c r="AD1998" t="n">
        <x:v>-0.11058047250844538</x:v>
      </x:c>
      <x:c r="AE1998" t="n">
        <x:v>0</x:v>
      </x:c>
      <x:c r="AF1998" t="n">
        <x:v>0.000017836653569247574</x:v>
      </x:c>
      <x:c r="AG1998" t="n">
        <x:f>_xlfn.XLOOKUP($A1998,Games!$A$2:$A$18,Games!$B$2:$B$18,"Missing game",0)</x:f>
        <x:v>2025</x:v>
      </x:c>
      <x:c r="AH1998" t="str">
        <x:f>_xlfn.XLOOKUP($A1998,Games!$A$2:$A$18,Games!$C$2:$C$18,"Missing game",0)</x:f>
        <x:v>REG</x:v>
      </x:c>
      <x:c r="AI1998" t="n">
        <x:f>_xlfn.XLOOKUP($A1998,Games!$A$2:$A$18,Games!$D$2:$D$18,"Missing game",0)</x:f>
        <x:v>13</x:v>
      </x:c>
      <x:c r="AJ1998" s="1" t="n">
        <x:f>_xlfn.XLOOKUP($A1998,Games!$A$2:$A$18,Games!$E$2:$E$18,"Missing game",0)</x:f>
        <x:v>45991</x:v>
      </x:c>
      <x:c r="AK1998" t="str">
        <x:f>_xlfn.XLOOKUP($A1998,Games!$A$2:$A$18,Games!$F$2:$F$18,"Missing game",0)</x:f>
        <x:v>Sunday</x:v>
      </x:c>
      <x:c r="AL1998" t="str">
        <x:f>_xlfn.XLOOKUP($A1998,Games!$A$2:$A$18,Games!$G$2:$G$18,"Missing game",0)</x:f>
        <x:v>MIN</x:v>
      </x:c>
      <x:c r="AM1998" t="n">
        <x:f>_xlfn.XLOOKUP($A1998,Games!$A$2:$A$18,Games!$H$2:$H$18,"Missing game",0)</x:f>
        <x:v>0</x:v>
      </x:c>
      <x:c r="AN1998" t="str">
        <x:f>_xlfn.XLOOKUP($A1998,Games!$A$2:$A$18,Games!$I$2:$I$18,"Missing game",0)</x:f>
        <x:v>SEA</x:v>
      </x:c>
      <x:c r="AO1998" t="n">
        <x:f>_xlfn.XLOOKUP($A1998,Games!$A$2:$A$18,Games!$J$2:$J$18,"Missing game",0)</x:f>
        <x:v>26</x:v>
      </x:c>
      <x:c r="AP1998" t="n">
        <x:f>_xlfn.XLOOKUP($A1998,Games!$A$2:$A$18,Games!$K$2:$K$18,"Missing game",0)</x:f>
        <x:v>26</x:v>
      </x:c>
      <x:c r="AQ1998" t="n">
        <x:f>_xlfn.XLOOKUP($A1998,Games!$A$2:$A$18,Games!$L$2:$L$18,"Missing game",0)</x:f>
        <x:v>26</x:v>
      </x:c>
      <x:c r="AR1998" t="n">
        <x:f>_xlfn.XLOOKUP($A1998,Games!$A$2:$A$18,Games!$M$2:$M$18,"Missing game",0)</x:f>
        <x:v>0</x:v>
      </x:c>
      <x:c r="AS1998" t="str">
        <x:f>_xlfn.XLOOKUP($A1998,Games!$A$2:$A$18,Games!$N$2:$N$18,"Missing game",0)</x:f>
        <x:v>outdoors</x:v>
      </x:c>
      <x:c r="AT1998" t="str">
        <x:f>_xlfn.XLOOKUP($A1998,Games!$A$2:$A$18,Games!$O$2:$O$18,"Missing game",0)</x:f>
        <x:v>fieldturf</x:v>
      </x:c>
      <x:c r="AU1998" t="n">
        <x:f>_xlfn.XLOOKUP($A1998,Games!$A$2:$A$18,Games!$P$2:$P$18,"Missing game",0)</x:f>
        <x:v>45</x:v>
      </x:c>
      <x:c r="AV1998" t="n">
        <x:f>_xlfn.XLOOKUP($A1998,Games!$A$2:$A$18,Games!$Q$2:$Q$18,"Missing game",0)</x:f>
        <x:v>2</x:v>
      </x:c>
      <x:c r="AW1998" t="str">
        <x:f>_xlfn.XLOOKUP($A1998,Games!$A$2:$A$18,Games!$R$2:$R$18,"Missing game",0)</x:f>
        <x:v>Lumen Field</x:v>
      </x:c>
    </x:row>
    <x:row r="1999">
      <x:c r="A1999" t="str">
        <x:v>2025_13_MIN_SEA</x:v>
      </x:c>
      <x:c r="B1999" t="n">
        <x:v>3655</x:v>
      </x:c>
      <x:c r="C1999" t="n">
        <x:v>4</x:v>
      </x:c>
      <x:c r="D1999" t="str">
        <x:v>04:42</x:v>
      </x:c>
      <x:c r="E1999" t="n">
        <x:v>2</x:v>
      </x:c>
      <x:c r="F1999" t="n">
        <x:v>13</x:v>
      </x:c>
      <x:c r="G1999" t="str">
        <x:v>MIN</x:v>
      </x:c>
      <x:c r="H1999" t="str">
        <x:v>SEA</x:v>
      </x:c>
      <x:c r="I1999" t="str">
        <x:v>SEA</x:v>
      </x:c>
      <x:c r="J1999" t="n">
        <x:v>40</x:v>
      </x:c>
      <x:c r="K1999" t="str">
        <x:v>(4:42) (Shotgun) 12-M.Brosmer sacked at SEA 48 for -8 yards (91-B.Murphy).</x:v>
      </x:c>
      <x:c r="L1999" t="str">
        <x:v>pass</x:v>
      </x:c>
      <x:c r="M1999" t="n">
        <x:v>-8</x:v>
      </x:c>
      <x:c r="N1999" t="n">
        <x:v>1</x:v>
      </x:c>
      <x:c r="O1999" t="n">
        <x:v>0</x:v>
      </x:c>
      <x:c r="P1999"/>
      <x:c r="Q1999"/>
      <x:c r="R1999"/>
      <x:c r="S1999"/>
      <x:c r="T1999"/>
      <x:c r="U1999"/>
      <x:c r="V1999" t="n">
        <x:v>0</x:v>
      </x:c>
      <x:c r="W1999" t="n">
        <x:v>0</x:v>
      </x:c>
      <x:c r="X1999" t="n">
        <x:v>1</x:v>
      </x:c>
      <x:c r="Y1999" t="n">
        <x:v>0</x:v>
      </x:c>
      <x:c r="Z1999" t="n">
        <x:v>0</x:v>
      </x:c>
      <x:c r="AA1999" t="n">
        <x:v>0</x:v>
      </x:c>
      <x:c r="AB1999"/>
      <x:c r="AC1999" t="n">
        <x:v>0</x:v>
      </x:c>
      <x:c r="AD1999" t="n">
        <x:v>-1.3422310777241364</x:v>
      </x:c>
      <x:c r="AE1999" t="n">
        <x:v>0</x:v>
      </x:c>
      <x:c r="AF1999" t="n">
        <x:v>-0.000036727018596138805</x:v>
      </x:c>
      <x:c r="AG1999" t="n">
        <x:f>_xlfn.XLOOKUP($A1999,Games!$A$2:$A$18,Games!$B$2:$B$18,"Missing game",0)</x:f>
        <x:v>2025</x:v>
      </x:c>
      <x:c r="AH1999" t="str">
        <x:f>_xlfn.XLOOKUP($A1999,Games!$A$2:$A$18,Games!$C$2:$C$18,"Missing game",0)</x:f>
        <x:v>REG</x:v>
      </x:c>
      <x:c r="AI1999" t="n">
        <x:f>_xlfn.XLOOKUP($A1999,Games!$A$2:$A$18,Games!$D$2:$D$18,"Missing game",0)</x:f>
        <x:v>13</x:v>
      </x:c>
      <x:c r="AJ1999" s="1" t="n">
        <x:f>_xlfn.XLOOKUP($A1999,Games!$A$2:$A$18,Games!$E$2:$E$18,"Missing game",0)</x:f>
        <x:v>45991</x:v>
      </x:c>
      <x:c r="AK1999" t="str">
        <x:f>_xlfn.XLOOKUP($A1999,Games!$A$2:$A$18,Games!$F$2:$F$18,"Missing game",0)</x:f>
        <x:v>Sunday</x:v>
      </x:c>
      <x:c r="AL1999" t="str">
        <x:f>_xlfn.XLOOKUP($A1999,Games!$A$2:$A$18,Games!$G$2:$G$18,"Missing game",0)</x:f>
        <x:v>MIN</x:v>
      </x:c>
      <x:c r="AM1999" t="n">
        <x:f>_xlfn.XLOOKUP($A1999,Games!$A$2:$A$18,Games!$H$2:$H$18,"Missing game",0)</x:f>
        <x:v>0</x:v>
      </x:c>
      <x:c r="AN1999" t="str">
        <x:f>_xlfn.XLOOKUP($A1999,Games!$A$2:$A$18,Games!$I$2:$I$18,"Missing game",0)</x:f>
        <x:v>SEA</x:v>
      </x:c>
      <x:c r="AO1999" t="n">
        <x:f>_xlfn.XLOOKUP($A1999,Games!$A$2:$A$18,Games!$J$2:$J$18,"Missing game",0)</x:f>
        <x:v>26</x:v>
      </x:c>
      <x:c r="AP1999" t="n">
        <x:f>_xlfn.XLOOKUP($A1999,Games!$A$2:$A$18,Games!$K$2:$K$18,"Missing game",0)</x:f>
        <x:v>26</x:v>
      </x:c>
      <x:c r="AQ1999" t="n">
        <x:f>_xlfn.XLOOKUP($A1999,Games!$A$2:$A$18,Games!$L$2:$L$18,"Missing game",0)</x:f>
        <x:v>26</x:v>
      </x:c>
      <x:c r="AR1999" t="n">
        <x:f>_xlfn.XLOOKUP($A1999,Games!$A$2:$A$18,Games!$M$2:$M$18,"Missing game",0)</x:f>
        <x:v>0</x:v>
      </x:c>
      <x:c r="AS1999" t="str">
        <x:f>_xlfn.XLOOKUP($A1999,Games!$A$2:$A$18,Games!$N$2:$N$18,"Missing game",0)</x:f>
        <x:v>outdoors</x:v>
      </x:c>
      <x:c r="AT1999" t="str">
        <x:f>_xlfn.XLOOKUP($A1999,Games!$A$2:$A$18,Games!$O$2:$O$18,"Missing game",0)</x:f>
        <x:v>fieldturf</x:v>
      </x:c>
      <x:c r="AU1999" t="n">
        <x:f>_xlfn.XLOOKUP($A1999,Games!$A$2:$A$18,Games!$P$2:$P$18,"Missing game",0)</x:f>
        <x:v>45</x:v>
      </x:c>
      <x:c r="AV1999" t="n">
        <x:f>_xlfn.XLOOKUP($A1999,Games!$A$2:$A$18,Games!$Q$2:$Q$18,"Missing game",0)</x:f>
        <x:v>2</x:v>
      </x:c>
      <x:c r="AW1999" t="str">
        <x:f>_xlfn.XLOOKUP($A1999,Games!$A$2:$A$18,Games!$R$2:$R$18,"Missing game",0)</x:f>
        <x:v>Lumen Field</x:v>
      </x:c>
    </x:row>
    <x:row r="2000">
      <x:c r="A2000" t="str">
        <x:v>2025_13_MIN_SEA</x:v>
      </x:c>
      <x:c r="B2000" t="n">
        <x:v>3675</x:v>
      </x:c>
      <x:c r="C2000" t="n">
        <x:v>4</x:v>
      </x:c>
      <x:c r="D2000" t="str">
        <x:v>03:57</x:v>
      </x:c>
      <x:c r="E2000" t="n">
        <x:v>3</x:v>
      </x:c>
      <x:c r="F2000" t="n">
        <x:v>21</x:v>
      </x:c>
      <x:c r="G2000" t="str">
        <x:v>MIN</x:v>
      </x:c>
      <x:c r="H2000" t="str">
        <x:v>SEA</x:v>
      </x:c>
      <x:c r="I2000" t="str">
        <x:v>SEA</x:v>
      </x:c>
      <x:c r="J2000" t="n">
        <x:v>48</x:v>
      </x:c>
      <x:c r="K2000" t="str">
        <x:v>(3:57) (Shotgun) 12-M.Brosmer pass short left to 18-J.Jefferson to SEA 40 for 8 yards (3-N.Emmanwori).</x:v>
      </x:c>
      <x:c r="L2000" t="str">
        <x:v>pass</x:v>
      </x:c>
      <x:c r="M2000" t="n">
        <x:v>8</x:v>
      </x:c>
      <x:c r="N2000" t="n">
        <x:v>1</x:v>
      </x:c>
      <x:c r="O2000" t="n">
        <x:v>0</x:v>
      </x:c>
      <x:c r="P2000" t="str">
        <x:v>short</x:v>
      </x:c>
      <x:c r="Q2000" t="str">
        <x:v>left</x:v>
      </x:c>
      <x:c r="R2000" t="n">
        <x:v>-1</x:v>
      </x:c>
      <x:c r="S2000" t="n">
        <x:v>9</x:v>
      </x:c>
      <x:c r="T2000"/>
      <x:c r="U2000"/>
      <x:c r="V2000" t="n">
        <x:v>1</x:v>
      </x:c>
      <x:c r="W2000" t="n">
        <x:v>0</x:v>
      </x:c>
      <x:c r="X2000" t="n">
        <x:v>0</x:v>
      </x:c>
      <x:c r="Y2000" t="n">
        <x:v>0</x:v>
      </x:c>
      <x:c r="Z2000" t="n">
        <x:v>0</x:v>
      </x:c>
      <x:c r="AA2000" t="n">
        <x:v>0</x:v>
      </x:c>
      <x:c r="AB2000"/>
      <x:c r="AC2000" t="n">
        <x:v>0</x:v>
      </x:c>
      <x:c r="AD2000" t="n">
        <x:v>-0.8641106166178361</x:v>
      </x:c>
      <x:c r="AE2000" t="n">
        <x:v>0</x:v>
      </x:c>
      <x:c r="AF2000" t="n">
        <x:v>0.000016426813090220094</x:v>
      </x:c>
      <x:c r="AG2000" t="n">
        <x:f>_xlfn.XLOOKUP($A2000,Games!$A$2:$A$18,Games!$B$2:$B$18,"Missing game",0)</x:f>
        <x:v>2025</x:v>
      </x:c>
      <x:c r="AH2000" t="str">
        <x:f>_xlfn.XLOOKUP($A2000,Games!$A$2:$A$18,Games!$C$2:$C$18,"Missing game",0)</x:f>
        <x:v>REG</x:v>
      </x:c>
      <x:c r="AI2000" t="n">
        <x:f>_xlfn.XLOOKUP($A2000,Games!$A$2:$A$18,Games!$D$2:$D$18,"Missing game",0)</x:f>
        <x:v>13</x:v>
      </x:c>
      <x:c r="AJ2000" s="1" t="n">
        <x:f>_xlfn.XLOOKUP($A2000,Games!$A$2:$A$18,Games!$E$2:$E$18,"Missing game",0)</x:f>
        <x:v>45991</x:v>
      </x:c>
      <x:c r="AK2000" t="str">
        <x:f>_xlfn.XLOOKUP($A2000,Games!$A$2:$A$18,Games!$F$2:$F$18,"Missing game",0)</x:f>
        <x:v>Sunday</x:v>
      </x:c>
      <x:c r="AL2000" t="str">
        <x:f>_xlfn.XLOOKUP($A2000,Games!$A$2:$A$18,Games!$G$2:$G$18,"Missing game",0)</x:f>
        <x:v>MIN</x:v>
      </x:c>
      <x:c r="AM2000" t="n">
        <x:f>_xlfn.XLOOKUP($A2000,Games!$A$2:$A$18,Games!$H$2:$H$18,"Missing game",0)</x:f>
        <x:v>0</x:v>
      </x:c>
      <x:c r="AN2000" t="str">
        <x:f>_xlfn.XLOOKUP($A2000,Games!$A$2:$A$18,Games!$I$2:$I$18,"Missing game",0)</x:f>
        <x:v>SEA</x:v>
      </x:c>
      <x:c r="AO2000" t="n">
        <x:f>_xlfn.XLOOKUP($A2000,Games!$A$2:$A$18,Games!$J$2:$J$18,"Missing game",0)</x:f>
        <x:v>26</x:v>
      </x:c>
      <x:c r="AP2000" t="n">
        <x:f>_xlfn.XLOOKUP($A2000,Games!$A$2:$A$18,Games!$K$2:$K$18,"Missing game",0)</x:f>
        <x:v>26</x:v>
      </x:c>
      <x:c r="AQ2000" t="n">
        <x:f>_xlfn.XLOOKUP($A2000,Games!$A$2:$A$18,Games!$L$2:$L$18,"Missing game",0)</x:f>
        <x:v>26</x:v>
      </x:c>
      <x:c r="AR2000" t="n">
        <x:f>_xlfn.XLOOKUP($A2000,Games!$A$2:$A$18,Games!$M$2:$M$18,"Missing game",0)</x:f>
        <x:v>0</x:v>
      </x:c>
      <x:c r="AS2000" t="str">
        <x:f>_xlfn.XLOOKUP($A2000,Games!$A$2:$A$18,Games!$N$2:$N$18,"Missing game",0)</x:f>
        <x:v>outdoors</x:v>
      </x:c>
      <x:c r="AT2000" t="str">
        <x:f>_xlfn.XLOOKUP($A2000,Games!$A$2:$A$18,Games!$O$2:$O$18,"Missing game",0)</x:f>
        <x:v>fieldturf</x:v>
      </x:c>
      <x:c r="AU2000" t="n">
        <x:f>_xlfn.XLOOKUP($A2000,Games!$A$2:$A$18,Games!$P$2:$P$18,"Missing game",0)</x:f>
        <x:v>45</x:v>
      </x:c>
      <x:c r="AV2000" t="n">
        <x:f>_xlfn.XLOOKUP($A2000,Games!$A$2:$A$18,Games!$Q$2:$Q$18,"Missing game",0)</x:f>
        <x:v>2</x:v>
      </x:c>
      <x:c r="AW2000" t="str">
        <x:f>_xlfn.XLOOKUP($A2000,Games!$A$2:$A$18,Games!$R$2:$R$18,"Missing game",0)</x:f>
        <x:v>Lumen Field</x:v>
      </x:c>
    </x:row>
    <x:row r="2001">
      <x:c r="A2001" t="str">
        <x:v>2025_13_MIN_SEA</x:v>
      </x:c>
      <x:c r="B2001" t="n">
        <x:v>3705</x:v>
      </x:c>
      <x:c r="C2001" t="n">
        <x:v>4</x:v>
      </x:c>
      <x:c r="D2001" t="str">
        <x:v>03:15</x:v>
      </x:c>
      <x:c r="E2001" t="n">
        <x:v>4</x:v>
      </x:c>
      <x:c r="F2001" t="n">
        <x:v>13</x:v>
      </x:c>
      <x:c r="G2001" t="str">
        <x:v>MIN</x:v>
      </x:c>
      <x:c r="H2001" t="str">
        <x:v>SEA</x:v>
      </x:c>
      <x:c r="I2001" t="str">
        <x:v>SEA</x:v>
      </x:c>
      <x:c r="J2001" t="n">
        <x:v>40</x:v>
      </x:c>
      <x:c r="K2001" t="str">
        <x:v>(3:15) (Shotgun) 12-M.Brosmer sacked at SEA 47 for -7 yards (sack split by 42-D.Thomas and 7-U.Nwosu).</x:v>
      </x:c>
      <x:c r="L2001" t="str">
        <x:v>pass</x:v>
      </x:c>
      <x:c r="M2001" t="n">
        <x:v>-7</x:v>
      </x:c>
      <x:c r="N2001" t="n">
        <x:v>1</x:v>
      </x:c>
      <x:c r="O2001" t="n">
        <x:v>0</x:v>
      </x:c>
      <x:c r="P2001"/>
      <x:c r="Q2001"/>
      <x:c r="R2001"/>
      <x:c r="S2001"/>
      <x:c r="T2001"/>
      <x:c r="U2001"/>
      <x:c r="V2001" t="n">
        <x:v>0</x:v>
      </x:c>
      <x:c r="W2001" t="n">
        <x:v>0</x:v>
      </x:c>
      <x:c r="X2001" t="n">
        <x:v>1</x:v>
      </x:c>
      <x:c r="Y2001" t="n">
        <x:v>0</x:v>
      </x:c>
      <x:c r="Z2001" t="n">
        <x:v>0</x:v>
      </x:c>
      <x:c r="AA2001" t="n">
        <x:v>0</x:v>
      </x:c>
      <x:c r="AB2001"/>
      <x:c r="AC2001" t="n">
        <x:v>0</x:v>
      </x:c>
      <x:c r="AD2001" t="n">
        <x:v>-2.218707611958962</x:v>
      </x:c>
      <x:c r="AE2001" t="n">
        <x:v>0</x:v>
      </x:c>
      <x:c r="AF2001" t="n">
        <x:v>0.000016991340089589357</x:v>
      </x:c>
      <x:c r="AG2001" t="n">
        <x:f>_xlfn.XLOOKUP($A2001,Games!$A$2:$A$18,Games!$B$2:$B$18,"Missing game",0)</x:f>
        <x:v>2025</x:v>
      </x:c>
      <x:c r="AH2001" t="str">
        <x:f>_xlfn.XLOOKUP($A2001,Games!$A$2:$A$18,Games!$C$2:$C$18,"Missing game",0)</x:f>
        <x:v>REG</x:v>
      </x:c>
      <x:c r="AI2001" t="n">
        <x:f>_xlfn.XLOOKUP($A2001,Games!$A$2:$A$18,Games!$D$2:$D$18,"Missing game",0)</x:f>
        <x:v>13</x:v>
      </x:c>
      <x:c r="AJ2001" s="1" t="n">
        <x:f>_xlfn.XLOOKUP($A2001,Games!$A$2:$A$18,Games!$E$2:$E$18,"Missing game",0)</x:f>
        <x:v>45991</x:v>
      </x:c>
      <x:c r="AK2001" t="str">
        <x:f>_xlfn.XLOOKUP($A2001,Games!$A$2:$A$18,Games!$F$2:$F$18,"Missing game",0)</x:f>
        <x:v>Sunday</x:v>
      </x:c>
      <x:c r="AL2001" t="str">
        <x:f>_xlfn.XLOOKUP($A2001,Games!$A$2:$A$18,Games!$G$2:$G$18,"Missing game",0)</x:f>
        <x:v>MIN</x:v>
      </x:c>
      <x:c r="AM2001" t="n">
        <x:f>_xlfn.XLOOKUP($A2001,Games!$A$2:$A$18,Games!$H$2:$H$18,"Missing game",0)</x:f>
        <x:v>0</x:v>
      </x:c>
      <x:c r="AN2001" t="str">
        <x:f>_xlfn.XLOOKUP($A2001,Games!$A$2:$A$18,Games!$I$2:$I$18,"Missing game",0)</x:f>
        <x:v>SEA</x:v>
      </x:c>
      <x:c r="AO2001" t="n">
        <x:f>_xlfn.XLOOKUP($A2001,Games!$A$2:$A$18,Games!$J$2:$J$18,"Missing game",0)</x:f>
        <x:v>26</x:v>
      </x:c>
      <x:c r="AP2001" t="n">
        <x:f>_xlfn.XLOOKUP($A2001,Games!$A$2:$A$18,Games!$K$2:$K$18,"Missing game",0)</x:f>
        <x:v>26</x:v>
      </x:c>
      <x:c r="AQ2001" t="n">
        <x:f>_xlfn.XLOOKUP($A2001,Games!$A$2:$A$18,Games!$L$2:$L$18,"Missing game",0)</x:f>
        <x:v>26</x:v>
      </x:c>
      <x:c r="AR2001" t="n">
        <x:f>_xlfn.XLOOKUP($A2001,Games!$A$2:$A$18,Games!$M$2:$M$18,"Missing game",0)</x:f>
        <x:v>0</x:v>
      </x:c>
      <x:c r="AS2001" t="str">
        <x:f>_xlfn.XLOOKUP($A2001,Games!$A$2:$A$18,Games!$N$2:$N$18,"Missing game",0)</x:f>
        <x:v>outdoors</x:v>
      </x:c>
      <x:c r="AT2001" t="str">
        <x:f>_xlfn.XLOOKUP($A2001,Games!$A$2:$A$18,Games!$O$2:$O$18,"Missing game",0)</x:f>
        <x:v>fieldturf</x:v>
      </x:c>
      <x:c r="AU2001" t="n">
        <x:f>_xlfn.XLOOKUP($A2001,Games!$A$2:$A$18,Games!$P$2:$P$18,"Missing game",0)</x:f>
        <x:v>45</x:v>
      </x:c>
      <x:c r="AV2001" t="n">
        <x:f>_xlfn.XLOOKUP($A2001,Games!$A$2:$A$18,Games!$Q$2:$Q$18,"Missing game",0)</x:f>
        <x:v>2</x:v>
      </x:c>
      <x:c r="AW2001" t="str">
        <x:f>_xlfn.XLOOKUP($A2001,Games!$A$2:$A$18,Games!$R$2:$R$18,"Missing game",0)</x:f>
        <x:v>Lumen Field</x:v>
      </x:c>
    </x:row>
    <x:row r="2002">
      <x:c r="A2002" t="str">
        <x:v>2025_13_MIN_SEA</x:v>
      </x:c>
      <x:c r="B2002" t="n">
        <x:v>3725</x:v>
      </x:c>
      <x:c r="C2002" t="n">
        <x:v>4</x:v>
      </x:c>
      <x:c r="D2002" t="str">
        <x:v>03:10</x:v>
      </x:c>
      <x:c r="E2002" t="n">
        <x:v>1</x:v>
      </x:c>
      <x:c r="F2002" t="n">
        <x:v>10</x:v>
      </x:c>
      <x:c r="G2002" t="str">
        <x:v>SEA</x:v>
      </x:c>
      <x:c r="H2002" t="str">
        <x:v>MIN</x:v>
      </x:c>
      <x:c r="I2002" t="str">
        <x:v>SEA</x:v>
      </x:c>
      <x:c r="J2002" t="n">
        <x:v>53</x:v>
      </x:c>
      <x:c r="K2002" t="str">
        <x:v>(3:10) 33-M.Gaskin left tackle to 50 for 3 yards (51-B.Cashman; 15-D.Turner).</x:v>
      </x:c>
      <x:c r="L2002" t="str">
        <x:v>run</x:v>
      </x:c>
      <x:c r="M2002" t="n">
        <x:v>3</x:v>
      </x:c>
      <x:c r="N2002" t="n">
        <x:v>0</x:v>
      </x:c>
      <x:c r="O2002" t="n">
        <x:v>0</x:v>
      </x:c>
      <x:c r="P2002"/>
      <x:c r="Q2002"/>
      <x:c r="R2002"/>
      <x:c r="S2002"/>
      <x:c r="T2002" t="str">
        <x:v>left</x:v>
      </x:c>
      <x:c r="U2002" t="str">
        <x:v>tackle</x:v>
      </x:c>
      <x:c r="V2002" t="n">
        <x:v>0</x:v>
      </x:c>
      <x:c r="W2002" t="n">
        <x:v>0</x:v>
      </x:c>
      <x:c r="X2002" t="n">
        <x:v>0</x:v>
      </x:c>
      <x:c r="Y2002" t="n">
        <x:v>0</x:v>
      </x:c>
      <x:c r="Z2002" t="n">
        <x:v>0</x:v>
      </x:c>
      <x:c r="AA2002" t="n">
        <x:v>0</x:v>
      </x:c>
      <x:c r="AB2002"/>
      <x:c r="AC2002" t="n">
        <x:v>0</x:v>
      </x:c>
      <x:c r="AD2002" t="n">
        <x:v>-0.19900217931717634</x:v>
      </x:c>
      <x:c r="AE2002" t="n">
        <x:v>0</x:v>
      </x:c>
      <x:c r="AF2002" t="n">
        <x:v>0.000003814697265625</x:v>
      </x:c>
      <x:c r="AG2002" t="n">
        <x:f>_xlfn.XLOOKUP($A2002,Games!$A$2:$A$18,Games!$B$2:$B$18,"Missing game",0)</x:f>
        <x:v>2025</x:v>
      </x:c>
      <x:c r="AH2002" t="str">
        <x:f>_xlfn.XLOOKUP($A2002,Games!$A$2:$A$18,Games!$C$2:$C$18,"Missing game",0)</x:f>
        <x:v>REG</x:v>
      </x:c>
      <x:c r="AI2002" t="n">
        <x:f>_xlfn.XLOOKUP($A2002,Games!$A$2:$A$18,Games!$D$2:$D$18,"Missing game",0)</x:f>
        <x:v>13</x:v>
      </x:c>
      <x:c r="AJ2002" s="1" t="n">
        <x:f>_xlfn.XLOOKUP($A2002,Games!$A$2:$A$18,Games!$E$2:$E$18,"Missing game",0)</x:f>
        <x:v>45991</x:v>
      </x:c>
      <x:c r="AK2002" t="str">
        <x:f>_xlfn.XLOOKUP($A2002,Games!$A$2:$A$18,Games!$F$2:$F$18,"Missing game",0)</x:f>
        <x:v>Sunday</x:v>
      </x:c>
      <x:c r="AL2002" t="str">
        <x:f>_xlfn.XLOOKUP($A2002,Games!$A$2:$A$18,Games!$G$2:$G$18,"Missing game",0)</x:f>
        <x:v>MIN</x:v>
      </x:c>
      <x:c r="AM2002" t="n">
        <x:f>_xlfn.XLOOKUP($A2002,Games!$A$2:$A$18,Games!$H$2:$H$18,"Missing game",0)</x:f>
        <x:v>0</x:v>
      </x:c>
      <x:c r="AN2002" t="str">
        <x:f>_xlfn.XLOOKUP($A2002,Games!$A$2:$A$18,Games!$I$2:$I$18,"Missing game",0)</x:f>
        <x:v>SEA</x:v>
      </x:c>
      <x:c r="AO2002" t="n">
        <x:f>_xlfn.XLOOKUP($A2002,Games!$A$2:$A$18,Games!$J$2:$J$18,"Missing game",0)</x:f>
        <x:v>26</x:v>
      </x:c>
      <x:c r="AP2002" t="n">
        <x:f>_xlfn.XLOOKUP($A2002,Games!$A$2:$A$18,Games!$K$2:$K$18,"Missing game",0)</x:f>
        <x:v>26</x:v>
      </x:c>
      <x:c r="AQ2002" t="n">
        <x:f>_xlfn.XLOOKUP($A2002,Games!$A$2:$A$18,Games!$L$2:$L$18,"Missing game",0)</x:f>
        <x:v>26</x:v>
      </x:c>
      <x:c r="AR2002" t="n">
        <x:f>_xlfn.XLOOKUP($A2002,Games!$A$2:$A$18,Games!$M$2:$M$18,"Missing game",0)</x:f>
        <x:v>0</x:v>
      </x:c>
      <x:c r="AS2002" t="str">
        <x:f>_xlfn.XLOOKUP($A2002,Games!$A$2:$A$18,Games!$N$2:$N$18,"Missing game",0)</x:f>
        <x:v>outdoors</x:v>
      </x:c>
      <x:c r="AT2002" t="str">
        <x:f>_xlfn.XLOOKUP($A2002,Games!$A$2:$A$18,Games!$O$2:$O$18,"Missing game",0)</x:f>
        <x:v>fieldturf</x:v>
      </x:c>
      <x:c r="AU2002" t="n">
        <x:f>_xlfn.XLOOKUP($A2002,Games!$A$2:$A$18,Games!$P$2:$P$18,"Missing game",0)</x:f>
        <x:v>45</x:v>
      </x:c>
      <x:c r="AV2002" t="n">
        <x:f>_xlfn.XLOOKUP($A2002,Games!$A$2:$A$18,Games!$Q$2:$Q$18,"Missing game",0)</x:f>
        <x:v>2</x:v>
      </x:c>
      <x:c r="AW2002" t="str">
        <x:f>_xlfn.XLOOKUP($A2002,Games!$A$2:$A$18,Games!$R$2:$R$18,"Missing game",0)</x:f>
        <x:v>Lumen Field</x:v>
      </x:c>
    </x:row>
    <x:row r="2003">
      <x:c r="A2003" t="str">
        <x:v>2025_13_MIN_SEA</x:v>
      </x:c>
      <x:c r="B2003" t="n">
        <x:v>3751</x:v>
      </x:c>
      <x:c r="C2003" t="n">
        <x:v>4</x:v>
      </x:c>
      <x:c r="D2003" t="str">
        <x:v>02:28</x:v>
      </x:c>
      <x:c r="E2003" t="n">
        <x:v>2</x:v>
      </x:c>
      <x:c r="F2003" t="n">
        <x:v>7</x:v>
      </x:c>
      <x:c r="G2003" t="str">
        <x:v>SEA</x:v>
      </x:c>
      <x:c r="H2003" t="str">
        <x:v>MIN</x:v>
      </x:c>
      <x:c r="I2003" t="str">
        <x:v>50</x:v>
      </x:c>
      <x:c r="J2003" t="n">
        <x:v>50</x:v>
      </x:c>
      <x:c r="K2003" t="str">
        <x:v>(2:28) 33-M.Gaskin up the middle to 50 for no gain (93-J.Allen).</x:v>
      </x:c>
      <x:c r="L2003" t="str">
        <x:v>run</x:v>
      </x:c>
      <x:c r="M2003" t="n">
        <x:v>0</x:v>
      </x:c>
      <x:c r="N2003" t="n">
        <x:v>0</x:v>
      </x:c>
      <x:c r="O2003" t="n">
        <x:v>0</x:v>
      </x:c>
      <x:c r="P2003"/>
      <x:c r="Q2003"/>
      <x:c r="R2003"/>
      <x:c r="S2003"/>
      <x:c r="T2003" t="str">
        <x:v>middle</x:v>
      </x:c>
      <x:c r="U2003"/>
      <x:c r="V2003" t="n">
        <x:v>0</x:v>
      </x:c>
      <x:c r="W2003" t="n">
        <x:v>0</x:v>
      </x:c>
      <x:c r="X2003" t="n">
        <x:v>0</x:v>
      </x:c>
      <x:c r="Y2003" t="n">
        <x:v>0</x:v>
      </x:c>
      <x:c r="Z2003" t="n">
        <x:v>0</x:v>
      </x:c>
      <x:c r="AA2003" t="n">
        <x:v>0</x:v>
      </x:c>
      <x:c r="AB2003"/>
      <x:c r="AC2003" t="n">
        <x:v>0</x:v>
      </x:c>
      <x:c r="AD2003" t="n">
        <x:v>-0.38784044777275994</x:v>
      </x:c>
      <x:c r="AE2003" t="n">
        <x:v>0</x:v>
      </x:c>
      <x:c r="AF2003" t="n">
        <x:v>0.0000045299530029296875</x:v>
      </x:c>
      <x:c r="AG2003" t="n">
        <x:f>_xlfn.XLOOKUP($A2003,Games!$A$2:$A$18,Games!$B$2:$B$18,"Missing game",0)</x:f>
        <x:v>2025</x:v>
      </x:c>
      <x:c r="AH2003" t="str">
        <x:f>_xlfn.XLOOKUP($A2003,Games!$A$2:$A$18,Games!$C$2:$C$18,"Missing game",0)</x:f>
        <x:v>REG</x:v>
      </x:c>
      <x:c r="AI2003" t="n">
        <x:f>_xlfn.XLOOKUP($A2003,Games!$A$2:$A$18,Games!$D$2:$D$18,"Missing game",0)</x:f>
        <x:v>13</x:v>
      </x:c>
      <x:c r="AJ2003" s="1" t="n">
        <x:f>_xlfn.XLOOKUP($A2003,Games!$A$2:$A$18,Games!$E$2:$E$18,"Missing game",0)</x:f>
        <x:v>45991</x:v>
      </x:c>
      <x:c r="AK2003" t="str">
        <x:f>_xlfn.XLOOKUP($A2003,Games!$A$2:$A$18,Games!$F$2:$F$18,"Missing game",0)</x:f>
        <x:v>Sunday</x:v>
      </x:c>
      <x:c r="AL2003" t="str">
        <x:f>_xlfn.XLOOKUP($A2003,Games!$A$2:$A$18,Games!$G$2:$G$18,"Missing game",0)</x:f>
        <x:v>MIN</x:v>
      </x:c>
      <x:c r="AM2003" t="n">
        <x:f>_xlfn.XLOOKUP($A2003,Games!$A$2:$A$18,Games!$H$2:$H$18,"Missing game",0)</x:f>
        <x:v>0</x:v>
      </x:c>
      <x:c r="AN2003" t="str">
        <x:f>_xlfn.XLOOKUP($A2003,Games!$A$2:$A$18,Games!$I$2:$I$18,"Missing game",0)</x:f>
        <x:v>SEA</x:v>
      </x:c>
      <x:c r="AO2003" t="n">
        <x:f>_xlfn.XLOOKUP($A2003,Games!$A$2:$A$18,Games!$J$2:$J$18,"Missing game",0)</x:f>
        <x:v>26</x:v>
      </x:c>
      <x:c r="AP2003" t="n">
        <x:f>_xlfn.XLOOKUP($A2003,Games!$A$2:$A$18,Games!$K$2:$K$18,"Missing game",0)</x:f>
        <x:v>26</x:v>
      </x:c>
      <x:c r="AQ2003" t="n">
        <x:f>_xlfn.XLOOKUP($A2003,Games!$A$2:$A$18,Games!$L$2:$L$18,"Missing game",0)</x:f>
        <x:v>26</x:v>
      </x:c>
      <x:c r="AR2003" t="n">
        <x:f>_xlfn.XLOOKUP($A2003,Games!$A$2:$A$18,Games!$M$2:$M$18,"Missing game",0)</x:f>
        <x:v>0</x:v>
      </x:c>
      <x:c r="AS2003" t="str">
        <x:f>_xlfn.XLOOKUP($A2003,Games!$A$2:$A$18,Games!$N$2:$N$18,"Missing game",0)</x:f>
        <x:v>outdoors</x:v>
      </x:c>
      <x:c r="AT2003" t="str">
        <x:f>_xlfn.XLOOKUP($A2003,Games!$A$2:$A$18,Games!$O$2:$O$18,"Missing game",0)</x:f>
        <x:v>fieldturf</x:v>
      </x:c>
      <x:c r="AU2003" t="n">
        <x:f>_xlfn.XLOOKUP($A2003,Games!$A$2:$A$18,Games!$P$2:$P$18,"Missing game",0)</x:f>
        <x:v>45</x:v>
      </x:c>
      <x:c r="AV2003" t="n">
        <x:f>_xlfn.XLOOKUP($A2003,Games!$A$2:$A$18,Games!$Q$2:$Q$18,"Missing game",0)</x:f>
        <x:v>2</x:v>
      </x:c>
      <x:c r="AW2003" t="str">
        <x:f>_xlfn.XLOOKUP($A2003,Games!$A$2:$A$18,Games!$R$2:$R$18,"Missing game",0)</x:f>
        <x:v>Lumen Field</x:v>
      </x:c>
    </x:row>
    <x:row r="2004">
      <x:c r="A2004" t="str">
        <x:v>2025_13_MIN_SEA</x:v>
      </x:c>
      <x:c r="B2004" t="n">
        <x:v>3773</x:v>
      </x:c>
      <x:c r="C2004" t="n">
        <x:v>4</x:v>
      </x:c>
      <x:c r="D2004" t="str">
        <x:v>02:00</x:v>
      </x:c>
      <x:c r="E2004" t="n">
        <x:v>3</x:v>
      </x:c>
      <x:c r="F2004" t="n">
        <x:v>7</x:v>
      </x:c>
      <x:c r="G2004" t="str">
        <x:v>SEA</x:v>
      </x:c>
      <x:c r="H2004" t="str">
        <x:v>MIN</x:v>
      </x:c>
      <x:c r="I2004" t="str">
        <x:v>50</x:v>
      </x:c>
      <x:c r="J2004" t="n">
        <x:v>50</x:v>
      </x:c>
      <x:c r="K2004" t="str">
        <x:v>(2:00) 33-M.Gaskin right end to MIN 47 for 3 yards (50-L.Rodriguez).</x:v>
      </x:c>
      <x:c r="L2004" t="str">
        <x:v>run</x:v>
      </x:c>
      <x:c r="M2004" t="n">
        <x:v>3</x:v>
      </x:c>
      <x:c r="N2004" t="n">
        <x:v>0</x:v>
      </x:c>
      <x:c r="O2004" t="n">
        <x:v>0</x:v>
      </x:c>
      <x:c r="P2004"/>
      <x:c r="Q2004"/>
      <x:c r="R2004"/>
      <x:c r="S2004"/>
      <x:c r="T2004" t="str">
        <x:v>right</x:v>
      </x:c>
      <x:c r="U2004" t="str">
        <x:v>end</x:v>
      </x:c>
      <x:c r="V2004" t="n">
        <x:v>0</x:v>
      </x:c>
      <x:c r="W2004" t="n">
        <x:v>0</x:v>
      </x:c>
      <x:c r="X2004" t="n">
        <x:v>0</x:v>
      </x:c>
      <x:c r="Y2004" t="n">
        <x:v>0</x:v>
      </x:c>
      <x:c r="Z2004" t="n">
        <x:v>0</x:v>
      </x:c>
      <x:c r="AA2004" t="n">
        <x:v>0</x:v>
      </x:c>
      <x:c r="AB2004"/>
      <x:c r="AC2004" t="n">
        <x:v>0</x:v>
      </x:c>
      <x:c r="AD2004" t="n">
        <x:v>-0.9552478304831311</x:v>
      </x:c>
      <x:c r="AE2004" t="n">
        <x:v>0</x:v>
      </x:c>
      <x:c r="AF2004" t="n">
        <x:v>0.000022172927856445312</x:v>
      </x:c>
      <x:c r="AG2004" t="n">
        <x:f>_xlfn.XLOOKUP($A2004,Games!$A$2:$A$18,Games!$B$2:$B$18,"Missing game",0)</x:f>
        <x:v>2025</x:v>
      </x:c>
      <x:c r="AH2004" t="str">
        <x:f>_xlfn.XLOOKUP($A2004,Games!$A$2:$A$18,Games!$C$2:$C$18,"Missing game",0)</x:f>
        <x:v>REG</x:v>
      </x:c>
      <x:c r="AI2004" t="n">
        <x:f>_xlfn.XLOOKUP($A2004,Games!$A$2:$A$18,Games!$D$2:$D$18,"Missing game",0)</x:f>
        <x:v>13</x:v>
      </x:c>
      <x:c r="AJ2004" s="1" t="n">
        <x:f>_xlfn.XLOOKUP($A2004,Games!$A$2:$A$18,Games!$E$2:$E$18,"Missing game",0)</x:f>
        <x:v>45991</x:v>
      </x:c>
      <x:c r="AK2004" t="str">
        <x:f>_xlfn.XLOOKUP($A2004,Games!$A$2:$A$18,Games!$F$2:$F$18,"Missing game",0)</x:f>
        <x:v>Sunday</x:v>
      </x:c>
      <x:c r="AL2004" t="str">
        <x:f>_xlfn.XLOOKUP($A2004,Games!$A$2:$A$18,Games!$G$2:$G$18,"Missing game",0)</x:f>
        <x:v>MIN</x:v>
      </x:c>
      <x:c r="AM2004" t="n">
        <x:f>_xlfn.XLOOKUP($A2004,Games!$A$2:$A$18,Games!$H$2:$H$18,"Missing game",0)</x:f>
        <x:v>0</x:v>
      </x:c>
      <x:c r="AN2004" t="str">
        <x:f>_xlfn.XLOOKUP($A2004,Games!$A$2:$A$18,Games!$I$2:$I$18,"Missing game",0)</x:f>
        <x:v>SEA</x:v>
      </x:c>
      <x:c r="AO2004" t="n">
        <x:f>_xlfn.XLOOKUP($A2004,Games!$A$2:$A$18,Games!$J$2:$J$18,"Missing game",0)</x:f>
        <x:v>26</x:v>
      </x:c>
      <x:c r="AP2004" t="n">
        <x:f>_xlfn.XLOOKUP($A2004,Games!$A$2:$A$18,Games!$K$2:$K$18,"Missing game",0)</x:f>
        <x:v>26</x:v>
      </x:c>
      <x:c r="AQ2004" t="n">
        <x:f>_xlfn.XLOOKUP($A2004,Games!$A$2:$A$18,Games!$L$2:$L$18,"Missing game",0)</x:f>
        <x:v>26</x:v>
      </x:c>
      <x:c r="AR2004" t="n">
        <x:f>_xlfn.XLOOKUP($A2004,Games!$A$2:$A$18,Games!$M$2:$M$18,"Missing game",0)</x:f>
        <x:v>0</x:v>
      </x:c>
      <x:c r="AS2004" t="str">
        <x:f>_xlfn.XLOOKUP($A2004,Games!$A$2:$A$18,Games!$N$2:$N$18,"Missing game",0)</x:f>
        <x:v>outdoors</x:v>
      </x:c>
      <x:c r="AT2004" t="str">
        <x:f>_xlfn.XLOOKUP($A2004,Games!$A$2:$A$18,Games!$O$2:$O$18,"Missing game",0)</x:f>
        <x:v>fieldturf</x:v>
      </x:c>
      <x:c r="AU2004" t="n">
        <x:f>_xlfn.XLOOKUP($A2004,Games!$A$2:$A$18,Games!$P$2:$P$18,"Missing game",0)</x:f>
        <x:v>45</x:v>
      </x:c>
      <x:c r="AV2004" t="n">
        <x:f>_xlfn.XLOOKUP($A2004,Games!$A$2:$A$18,Games!$Q$2:$Q$18,"Missing game",0)</x:f>
        <x:v>2</x:v>
      </x:c>
      <x:c r="AW2004" t="str">
        <x:f>_xlfn.XLOOKUP($A2004,Games!$A$2:$A$18,Games!$R$2:$R$18,"Missing game",0)</x:f>
        <x:v>Lumen Field</x:v>
      </x:c>
    </x:row>
    <x:row r="2005">
      <x:c r="A2005" t="str">
        <x:v>2025_13_MIN_SEA</x:v>
      </x:c>
      <x:c r="B2005" t="n">
        <x:v>3802</x:v>
      </x:c>
      <x:c r="C2005" t="n">
        <x:v>4</x:v>
      </x:c>
      <x:c r="D2005" t="str">
        <x:v>01:00</x:v>
      </x:c>
      <x:c r="E2005" t="n">
        <x:v>4</x:v>
      </x:c>
      <x:c r="F2005" t="n">
        <x:v>4</x:v>
      </x:c>
      <x:c r="G2005" t="str">
        <x:v>SEA</x:v>
      </x:c>
      <x:c r="H2005" t="str">
        <x:v>MIN</x:v>
      </x:c>
      <x:c r="I2005" t="str">
        <x:v>MIN</x:v>
      </x:c>
      <x:c r="J2005" t="n">
        <x:v>47</x:v>
      </x:c>
      <x:c r="K2005" t="str">
        <x:v>(1:00) 4-M.Dickson punts 45 yards to MIN 2, impetus ends at MIN 1, Center-41-C.Stoll, downed by SEA-32-V.Jones.</x:v>
      </x:c>
      <x:c r="L2005" t="str">
        <x:v>punt</x:v>
      </x:c>
      <x:c r="M2005" t="n">
        <x:v>0</x:v>
      </x:c>
      <x:c r="N2005" t="n">
        <x:v>0</x:v>
      </x:c>
      <x:c r="O2005" t="n">
        <x:v>0</x:v>
      </x:c>
      <x:c r="P2005"/>
      <x:c r="Q2005"/>
      <x:c r="R2005"/>
      <x:c r="S2005"/>
      <x:c r="T2005"/>
      <x:c r="U2005"/>
      <x:c r="V2005" t="n">
        <x:v>0</x:v>
      </x:c>
      <x:c r="W2005" t="n">
        <x:v>0</x:v>
      </x:c>
      <x:c r="X2005" t="n">
        <x:v>0</x:v>
      </x:c>
      <x:c r="Y2005" t="n">
        <x:v>0</x:v>
      </x:c>
      <x:c r="Z2005" t="n">
        <x:v>0</x:v>
      </x:c>
      <x:c r="AA2005" t="n">
        <x:v>0</x:v>
      </x:c>
      <x:c r="AB2005"/>
      <x:c r="AC2005" t="n">
        <x:v>0</x:v>
      </x:c>
      <x:c r="AD2005" t="n">
        <x:v>-0.2998183726449497</x:v>
      </x:c>
      <x:c r="AE2005" t="n">
        <x:v>0</x:v>
      </x:c>
      <x:c r="AF2005" t="n">
        <x:v>0.000027428370231064036</x:v>
      </x:c>
      <x:c r="AG2005" t="n">
        <x:f>_xlfn.XLOOKUP($A2005,Games!$A$2:$A$18,Games!$B$2:$B$18,"Missing game",0)</x:f>
        <x:v>2025</x:v>
      </x:c>
      <x:c r="AH2005" t="str">
        <x:f>_xlfn.XLOOKUP($A2005,Games!$A$2:$A$18,Games!$C$2:$C$18,"Missing game",0)</x:f>
        <x:v>REG</x:v>
      </x:c>
      <x:c r="AI2005" t="n">
        <x:f>_xlfn.XLOOKUP($A2005,Games!$A$2:$A$18,Games!$D$2:$D$18,"Missing game",0)</x:f>
        <x:v>13</x:v>
      </x:c>
      <x:c r="AJ2005" s="1" t="n">
        <x:f>_xlfn.XLOOKUP($A2005,Games!$A$2:$A$18,Games!$E$2:$E$18,"Missing game",0)</x:f>
        <x:v>45991</x:v>
      </x:c>
      <x:c r="AK2005" t="str">
        <x:f>_xlfn.XLOOKUP($A2005,Games!$A$2:$A$18,Games!$F$2:$F$18,"Missing game",0)</x:f>
        <x:v>Sunday</x:v>
      </x:c>
      <x:c r="AL2005" t="str">
        <x:f>_xlfn.XLOOKUP($A2005,Games!$A$2:$A$18,Games!$G$2:$G$18,"Missing game",0)</x:f>
        <x:v>MIN</x:v>
      </x:c>
      <x:c r="AM2005" t="n">
        <x:f>_xlfn.XLOOKUP($A2005,Games!$A$2:$A$18,Games!$H$2:$H$18,"Missing game",0)</x:f>
        <x:v>0</x:v>
      </x:c>
      <x:c r="AN2005" t="str">
        <x:f>_xlfn.XLOOKUP($A2005,Games!$A$2:$A$18,Games!$I$2:$I$18,"Missing game",0)</x:f>
        <x:v>SEA</x:v>
      </x:c>
      <x:c r="AO2005" t="n">
        <x:f>_xlfn.XLOOKUP($A2005,Games!$A$2:$A$18,Games!$J$2:$J$18,"Missing game",0)</x:f>
        <x:v>26</x:v>
      </x:c>
      <x:c r="AP2005" t="n">
        <x:f>_xlfn.XLOOKUP($A2005,Games!$A$2:$A$18,Games!$K$2:$K$18,"Missing game",0)</x:f>
        <x:v>26</x:v>
      </x:c>
      <x:c r="AQ2005" t="n">
        <x:f>_xlfn.XLOOKUP($A2005,Games!$A$2:$A$18,Games!$L$2:$L$18,"Missing game",0)</x:f>
        <x:v>26</x:v>
      </x:c>
      <x:c r="AR2005" t="n">
        <x:f>_xlfn.XLOOKUP($A2005,Games!$A$2:$A$18,Games!$M$2:$M$18,"Missing game",0)</x:f>
        <x:v>0</x:v>
      </x:c>
      <x:c r="AS2005" t="str">
        <x:f>_xlfn.XLOOKUP($A2005,Games!$A$2:$A$18,Games!$N$2:$N$18,"Missing game",0)</x:f>
        <x:v>outdoors</x:v>
      </x:c>
      <x:c r="AT2005" t="str">
        <x:f>_xlfn.XLOOKUP($A2005,Games!$A$2:$A$18,Games!$O$2:$O$18,"Missing game",0)</x:f>
        <x:v>fieldturf</x:v>
      </x:c>
      <x:c r="AU2005" t="n">
        <x:f>_xlfn.XLOOKUP($A2005,Games!$A$2:$A$18,Games!$P$2:$P$18,"Missing game",0)</x:f>
        <x:v>45</x:v>
      </x:c>
      <x:c r="AV2005" t="n">
        <x:f>_xlfn.XLOOKUP($A2005,Games!$A$2:$A$18,Games!$Q$2:$Q$18,"Missing game",0)</x:f>
        <x:v>2</x:v>
      </x:c>
      <x:c r="AW2005" t="str">
        <x:f>_xlfn.XLOOKUP($A2005,Games!$A$2:$A$18,Games!$R$2:$R$18,"Missing game",0)</x:f>
        <x:v>Lumen Field</x:v>
      </x:c>
    </x:row>
    <x:row r="2006">
      <x:c r="A2006" t="str">
        <x:v>2025_13_MIN_SEA</x:v>
      </x:c>
      <x:c r="B2006" t="n">
        <x:v>3827</x:v>
      </x:c>
      <x:c r="C2006" t="n">
        <x:v>4</x:v>
      </x:c>
      <x:c r="D2006" t="str">
        <x:v>00:51</x:v>
      </x:c>
      <x:c r="E2006" t="n">
        <x:v>1</x:v>
      </x:c>
      <x:c r="F2006" t="n">
        <x:v>10</x:v>
      </x:c>
      <x:c r="G2006" t="str">
        <x:v>MIN</x:v>
      </x:c>
      <x:c r="H2006" t="str">
        <x:v>SEA</x:v>
      </x:c>
      <x:c r="I2006" t="str">
        <x:v>MIN</x:v>
      </x:c>
      <x:c r="J2006" t="n">
        <x:v>98</x:v>
      </x:c>
      <x:c r="K2006" t="str">
        <x:v>(:51) 36-Z.Scott up the middle to MIN 11 for 9 yards (8-C.Bryant, 23-D.Bell).</x:v>
      </x:c>
      <x:c r="L2006" t="str">
        <x:v>run</x:v>
      </x:c>
      <x:c r="M2006" t="n">
        <x:v>9</x:v>
      </x:c>
      <x:c r="N2006" t="n">
        <x:v>0</x:v>
      </x:c>
      <x:c r="O2006" t="n">
        <x:v>0</x:v>
      </x:c>
      <x:c r="P2006"/>
      <x:c r="Q2006"/>
      <x:c r="R2006"/>
      <x:c r="S2006"/>
      <x:c r="T2006" t="str">
        <x:v>middle</x:v>
      </x:c>
      <x:c r="U2006"/>
      <x:c r="V2006" t="n">
        <x:v>0</x:v>
      </x:c>
      <x:c r="W2006" t="n">
        <x:v>0</x:v>
      </x:c>
      <x:c r="X2006" t="n">
        <x:v>0</x:v>
      </x:c>
      <x:c r="Y2006" t="n">
        <x:v>0</x:v>
      </x:c>
      <x:c r="Z2006" t="n">
        <x:v>0</x:v>
      </x:c>
      <x:c r="AA2006" t="n">
        <x:v>0</x:v>
      </x:c>
      <x:c r="AB2006"/>
      <x:c r="AC2006" t="n">
        <x:v>0</x:v>
      </x:c>
      <x:c r="AD2006" t="n">
        <x:v>0.17639135936042294</x:v>
      </x:c>
      <x:c r="AE2006" t="n">
        <x:v>1</x:v>
      </x:c>
      <x:c r="AF2006" t="n">
        <x:v>0.00007732726589892991</x:v>
      </x:c>
      <x:c r="AG2006" t="n">
        <x:f>_xlfn.XLOOKUP($A2006,Games!$A$2:$A$18,Games!$B$2:$B$18,"Missing game",0)</x:f>
        <x:v>2025</x:v>
      </x:c>
      <x:c r="AH2006" t="str">
        <x:f>_xlfn.XLOOKUP($A2006,Games!$A$2:$A$18,Games!$C$2:$C$18,"Missing game",0)</x:f>
        <x:v>REG</x:v>
      </x:c>
      <x:c r="AI2006" t="n">
        <x:f>_xlfn.XLOOKUP($A2006,Games!$A$2:$A$18,Games!$D$2:$D$18,"Missing game",0)</x:f>
        <x:v>13</x:v>
      </x:c>
      <x:c r="AJ2006" s="1" t="n">
        <x:f>_xlfn.XLOOKUP($A2006,Games!$A$2:$A$18,Games!$E$2:$E$18,"Missing game",0)</x:f>
        <x:v>45991</x:v>
      </x:c>
      <x:c r="AK2006" t="str">
        <x:f>_xlfn.XLOOKUP($A2006,Games!$A$2:$A$18,Games!$F$2:$F$18,"Missing game",0)</x:f>
        <x:v>Sunday</x:v>
      </x:c>
      <x:c r="AL2006" t="str">
        <x:f>_xlfn.XLOOKUP($A2006,Games!$A$2:$A$18,Games!$G$2:$G$18,"Missing game",0)</x:f>
        <x:v>MIN</x:v>
      </x:c>
      <x:c r="AM2006" t="n">
        <x:f>_xlfn.XLOOKUP($A2006,Games!$A$2:$A$18,Games!$H$2:$H$18,"Missing game",0)</x:f>
        <x:v>0</x:v>
      </x:c>
      <x:c r="AN2006" t="str">
        <x:f>_xlfn.XLOOKUP($A2006,Games!$A$2:$A$18,Games!$I$2:$I$18,"Missing game",0)</x:f>
        <x:v>SEA</x:v>
      </x:c>
      <x:c r="AO2006" t="n">
        <x:f>_xlfn.XLOOKUP($A2006,Games!$A$2:$A$18,Games!$J$2:$J$18,"Missing game",0)</x:f>
        <x:v>26</x:v>
      </x:c>
      <x:c r="AP2006" t="n">
        <x:f>_xlfn.XLOOKUP($A2006,Games!$A$2:$A$18,Games!$K$2:$K$18,"Missing game",0)</x:f>
        <x:v>26</x:v>
      </x:c>
      <x:c r="AQ2006" t="n">
        <x:f>_xlfn.XLOOKUP($A2006,Games!$A$2:$A$18,Games!$L$2:$L$18,"Missing game",0)</x:f>
        <x:v>26</x:v>
      </x:c>
      <x:c r="AR2006" t="n">
        <x:f>_xlfn.XLOOKUP($A2006,Games!$A$2:$A$18,Games!$M$2:$M$18,"Missing game",0)</x:f>
        <x:v>0</x:v>
      </x:c>
      <x:c r="AS2006" t="str">
        <x:f>_xlfn.XLOOKUP($A2006,Games!$A$2:$A$18,Games!$N$2:$N$18,"Missing game",0)</x:f>
        <x:v>outdoors</x:v>
      </x:c>
      <x:c r="AT2006" t="str">
        <x:f>_xlfn.XLOOKUP($A2006,Games!$A$2:$A$18,Games!$O$2:$O$18,"Missing game",0)</x:f>
        <x:v>fieldturf</x:v>
      </x:c>
      <x:c r="AU2006" t="n">
        <x:f>_xlfn.XLOOKUP($A2006,Games!$A$2:$A$18,Games!$P$2:$P$18,"Missing game",0)</x:f>
        <x:v>45</x:v>
      </x:c>
      <x:c r="AV2006" t="n">
        <x:f>_xlfn.XLOOKUP($A2006,Games!$A$2:$A$18,Games!$Q$2:$Q$18,"Missing game",0)</x:f>
        <x:v>2</x:v>
      </x:c>
      <x:c r="AW2006" t="str">
        <x:f>_xlfn.XLOOKUP($A2006,Games!$A$2:$A$18,Games!$R$2:$R$18,"Missing game",0)</x:f>
        <x:v>Lumen Field</x:v>
      </x:c>
    </x:row>
    <x:row r="2007">
      <x:c r="A2007" t="str">
        <x:v>2025_13_MIN_SEA</x:v>
      </x:c>
      <x:c r="B2007" t="n">
        <x:v>3849</x:v>
      </x:c>
      <x:c r="C2007" t="n">
        <x:v>4</x:v>
      </x:c>
      <x:c r="D2007" t="str">
        <x:v>00:19</x:v>
      </x:c>
      <x:c r="E2007" t="n">
        <x:v>2</x:v>
      </x:c>
      <x:c r="F2007" t="n">
        <x:v>1</x:v>
      </x:c>
      <x:c r="G2007" t="str">
        <x:v>MIN</x:v>
      </x:c>
      <x:c r="H2007" t="str">
        <x:v>SEA</x:v>
      </x:c>
      <x:c r="I2007" t="str">
        <x:v>MIN</x:v>
      </x:c>
      <x:c r="J2007" t="n">
        <x:v>89</x:v>
      </x:c>
      <x:c r="K2007" t="str">
        <x:v>(:19) 36-Z.Scott up the middle to MIN 15 for 4 yards (92-Q.Bohanna; 95-B.Pili).</x:v>
      </x:c>
      <x:c r="L2007" t="str">
        <x:v>run</x:v>
      </x:c>
      <x:c r="M2007" t="n">
        <x:v>4</x:v>
      </x:c>
      <x:c r="N2007" t="n">
        <x:v>0</x:v>
      </x:c>
      <x:c r="O2007" t="n">
        <x:v>0</x:v>
      </x:c>
      <x:c r="P2007"/>
      <x:c r="Q2007"/>
      <x:c r="R2007"/>
      <x:c r="S2007"/>
      <x:c r="T2007" t="str">
        <x:v>middle</x:v>
      </x:c>
      <x:c r="U2007"/>
      <x:c r="V2007" t="n">
        <x:v>0</x:v>
      </x:c>
      <x:c r="W2007" t="n">
        <x:v>1</x:v>
      </x:c>
      <x:c r="X2007" t="n">
        <x:v>0</x:v>
      </x:c>
      <x:c r="Y2007" t="n">
        <x:v>0</x:v>
      </x:c>
      <x:c r="Z2007" t="n">
        <x:v>0</x:v>
      </x:c>
      <x:c r="AA2007" t="n">
        <x:v>0</x:v>
      </x:c>
      <x:c r="AB2007"/>
      <x:c r="AC2007" t="n">
        <x:v>0</x:v>
      </x:c>
      <x:c r="AD2007" t="n">
        <x:v>-0.027967320987954736</x:v>
      </x:c>
      <x:c r="AE2007" t="n">
        <x:v>0</x:v>
      </x:c>
      <x:c r="AF2007" t="n">
        <x:v>-0.000122854980872944</x:v>
      </x:c>
      <x:c r="AG2007" t="n">
        <x:f>_xlfn.XLOOKUP($A2007,Games!$A$2:$A$18,Games!$B$2:$B$18,"Missing game",0)</x:f>
        <x:v>2025</x:v>
      </x:c>
      <x:c r="AH2007" t="str">
        <x:f>_xlfn.XLOOKUP($A2007,Games!$A$2:$A$18,Games!$C$2:$C$18,"Missing game",0)</x:f>
        <x:v>REG</x:v>
      </x:c>
      <x:c r="AI2007" t="n">
        <x:f>_xlfn.XLOOKUP($A2007,Games!$A$2:$A$18,Games!$D$2:$D$18,"Missing game",0)</x:f>
        <x:v>13</x:v>
      </x:c>
      <x:c r="AJ2007" s="1" t="n">
        <x:f>_xlfn.XLOOKUP($A2007,Games!$A$2:$A$18,Games!$E$2:$E$18,"Missing game",0)</x:f>
        <x:v>45991</x:v>
      </x:c>
      <x:c r="AK2007" t="str">
        <x:f>_xlfn.XLOOKUP($A2007,Games!$A$2:$A$18,Games!$F$2:$F$18,"Missing game",0)</x:f>
        <x:v>Sunday</x:v>
      </x:c>
      <x:c r="AL2007" t="str">
        <x:f>_xlfn.XLOOKUP($A2007,Games!$A$2:$A$18,Games!$G$2:$G$18,"Missing game",0)</x:f>
        <x:v>MIN</x:v>
      </x:c>
      <x:c r="AM2007" t="n">
        <x:f>_xlfn.XLOOKUP($A2007,Games!$A$2:$A$18,Games!$H$2:$H$18,"Missing game",0)</x:f>
        <x:v>0</x:v>
      </x:c>
      <x:c r="AN2007" t="str">
        <x:f>_xlfn.XLOOKUP($A2007,Games!$A$2:$A$18,Games!$I$2:$I$18,"Missing game",0)</x:f>
        <x:v>SEA</x:v>
      </x:c>
      <x:c r="AO2007" t="n">
        <x:f>_xlfn.XLOOKUP($A2007,Games!$A$2:$A$18,Games!$J$2:$J$18,"Missing game",0)</x:f>
        <x:v>26</x:v>
      </x:c>
      <x:c r="AP2007" t="n">
        <x:f>_xlfn.XLOOKUP($A2007,Games!$A$2:$A$18,Games!$K$2:$K$18,"Missing game",0)</x:f>
        <x:v>26</x:v>
      </x:c>
      <x:c r="AQ2007" t="n">
        <x:f>_xlfn.XLOOKUP($A2007,Games!$A$2:$A$18,Games!$L$2:$L$18,"Missing game",0)</x:f>
        <x:v>26</x:v>
      </x:c>
      <x:c r="AR2007" t="n">
        <x:f>_xlfn.XLOOKUP($A2007,Games!$A$2:$A$18,Games!$M$2:$M$18,"Missing game",0)</x:f>
        <x:v>0</x:v>
      </x:c>
      <x:c r="AS2007" t="str">
        <x:f>_xlfn.XLOOKUP($A2007,Games!$A$2:$A$18,Games!$N$2:$N$18,"Missing game",0)</x:f>
        <x:v>outdoors</x:v>
      </x:c>
      <x:c r="AT2007" t="str">
        <x:f>_xlfn.XLOOKUP($A2007,Games!$A$2:$A$18,Games!$O$2:$O$18,"Missing game",0)</x:f>
        <x:v>fieldturf</x:v>
      </x:c>
      <x:c r="AU2007" t="n">
        <x:f>_xlfn.XLOOKUP($A2007,Games!$A$2:$A$18,Games!$P$2:$P$18,"Missing game",0)</x:f>
        <x:v>45</x:v>
      </x:c>
      <x:c r="AV2007" t="n">
        <x:f>_xlfn.XLOOKUP($A2007,Games!$A$2:$A$18,Games!$Q$2:$Q$18,"Missing game",0)</x:f>
        <x:v>2</x:v>
      </x:c>
      <x:c r="AW2007" t="str">
        <x:f>_xlfn.XLOOKUP($A2007,Games!$A$2:$A$18,Games!$R$2:$R$18,"Missing game",0)</x:f>
        <x:v>Lumen Field</x:v>
      </x:c>
    </x:row>
    <x:row r="2008">
      <x:c r="A2008" t="str">
        <x:v>2025_13_MIN_SEA</x:v>
      </x:c>
      <x:c r="B2008" t="n">
        <x:v>3871</x:v>
      </x:c>
      <x:c r="C2008" t="n">
        <x:v>4</x:v>
      </x:c>
      <x:c r="D2008" t="str">
        <x:v>00:00</x:v>
      </x:c>
      <x:c r="E2008"/>
      <x:c r="F2008" t="n">
        <x:v>0</x:v>
      </x:c>
      <x:c r="G2008" t="str">
        <x:v>MIN</x:v>
      </x:c>
      <x:c r="H2008" t="str">
        <x:v>SEA</x:v>
      </x:c>
      <x:c r="I2008"/>
      <x:c r="J2008"/>
      <x:c r="K2008" t="str">
        <x:v>END GAME</x:v>
      </x:c>
      <x:c r="L2008"/>
      <x:c r="M2008"/>
      <x:c r="N2008" t="n">
        <x:v>0</x:v>
      </x:c>
      <x:c r="O2008" t="n">
        <x:v>0</x:v>
      </x:c>
      <x:c r="P2008"/>
      <x:c r="Q2008"/>
      <x:c r="R2008"/>
      <x:c r="S2008"/>
      <x:c r="T2008"/>
      <x:c r="U2008"/>
      <x:c r="V2008"/>
      <x:c r="W2008"/>
      <x:c r="X2008"/>
      <x:c r="Y2008"/>
      <x:c r="Z2008"/>
      <x:c r="AA2008"/>
      <x:c r="AB2008"/>
      <x:c r="AC2008"/>
      <x:c r="AD2008"/>
      <x:c r="AE2008"/>
      <x:c r="AF2008"/>
      <x:c r="AG2008" t="n">
        <x:f>_xlfn.XLOOKUP($A2008,Games!$A$2:$A$18,Games!$B$2:$B$18,"Missing game",0)</x:f>
        <x:v>2025</x:v>
      </x:c>
      <x:c r="AH2008" t="str">
        <x:f>_xlfn.XLOOKUP($A2008,Games!$A$2:$A$18,Games!$C$2:$C$18,"Missing game",0)</x:f>
        <x:v>REG</x:v>
      </x:c>
      <x:c r="AI2008" t="n">
        <x:f>_xlfn.XLOOKUP($A2008,Games!$A$2:$A$18,Games!$D$2:$D$18,"Missing game",0)</x:f>
        <x:v>13</x:v>
      </x:c>
      <x:c r="AJ2008" s="1" t="n">
        <x:f>_xlfn.XLOOKUP($A2008,Games!$A$2:$A$18,Games!$E$2:$E$18,"Missing game",0)</x:f>
        <x:v>45991</x:v>
      </x:c>
      <x:c r="AK2008" t="str">
        <x:f>_xlfn.XLOOKUP($A2008,Games!$A$2:$A$18,Games!$F$2:$F$18,"Missing game",0)</x:f>
        <x:v>Sunday</x:v>
      </x:c>
      <x:c r="AL2008" t="str">
        <x:f>_xlfn.XLOOKUP($A2008,Games!$A$2:$A$18,Games!$G$2:$G$18,"Missing game",0)</x:f>
        <x:v>MIN</x:v>
      </x:c>
      <x:c r="AM2008" t="n">
        <x:f>_xlfn.XLOOKUP($A2008,Games!$A$2:$A$18,Games!$H$2:$H$18,"Missing game",0)</x:f>
        <x:v>0</x:v>
      </x:c>
      <x:c r="AN2008" t="str">
        <x:f>_xlfn.XLOOKUP($A2008,Games!$A$2:$A$18,Games!$I$2:$I$18,"Missing game",0)</x:f>
        <x:v>SEA</x:v>
      </x:c>
      <x:c r="AO2008" t="n">
        <x:f>_xlfn.XLOOKUP($A2008,Games!$A$2:$A$18,Games!$J$2:$J$18,"Missing game",0)</x:f>
        <x:v>26</x:v>
      </x:c>
      <x:c r="AP2008" t="n">
        <x:f>_xlfn.XLOOKUP($A2008,Games!$A$2:$A$18,Games!$K$2:$K$18,"Missing game",0)</x:f>
        <x:v>26</x:v>
      </x:c>
      <x:c r="AQ2008" t="n">
        <x:f>_xlfn.XLOOKUP($A2008,Games!$A$2:$A$18,Games!$L$2:$L$18,"Missing game",0)</x:f>
        <x:v>26</x:v>
      </x:c>
      <x:c r="AR2008" t="n">
        <x:f>_xlfn.XLOOKUP($A2008,Games!$A$2:$A$18,Games!$M$2:$M$18,"Missing game",0)</x:f>
        <x:v>0</x:v>
      </x:c>
      <x:c r="AS2008" t="str">
        <x:f>_xlfn.XLOOKUP($A2008,Games!$A$2:$A$18,Games!$N$2:$N$18,"Missing game",0)</x:f>
        <x:v>outdoors</x:v>
      </x:c>
      <x:c r="AT2008" t="str">
        <x:f>_xlfn.XLOOKUP($A2008,Games!$A$2:$A$18,Games!$O$2:$O$18,"Missing game",0)</x:f>
        <x:v>fieldturf</x:v>
      </x:c>
      <x:c r="AU2008" t="n">
        <x:f>_xlfn.XLOOKUP($A2008,Games!$A$2:$A$18,Games!$P$2:$P$18,"Missing game",0)</x:f>
        <x:v>45</x:v>
      </x:c>
      <x:c r="AV2008" t="n">
        <x:f>_xlfn.XLOOKUP($A2008,Games!$A$2:$A$18,Games!$Q$2:$Q$18,"Missing game",0)</x:f>
        <x:v>2</x:v>
      </x:c>
      <x:c r="AW2008" t="str">
        <x:f>_xlfn.XLOOKUP($A2008,Games!$A$2:$A$18,Games!$R$2:$R$18,"Missing game",0)</x:f>
        <x:v>Lumen Field</x:v>
      </x:c>
    </x:row>
    <x:row r="2009">
      <x:c r="A2009" t="str">
        <x:v>2025_14_WAS_MIN</x:v>
      </x:c>
      <x:c r="B2009" t="n">
        <x:v>1</x:v>
      </x:c>
      <x:c r="C2009" t="n">
        <x:v>1</x:v>
      </x:c>
      <x:c r="D2009" t="str">
        <x:v>15:00</x:v>
      </x:c>
      <x:c r="E2009"/>
      <x:c r="F2009" t="n">
        <x:v>0</x:v>
      </x:c>
      <x:c r="G2009"/>
      <x:c r="H2009"/>
      <x:c r="I2009"/>
      <x:c r="J2009"/>
      <x:c r="K2009" t="str">
        <x:v>GAME</x:v>
      </x:c>
      <x:c r="L2009"/>
      <x:c r="M2009"/>
      <x:c r="N2009" t="n">
        <x:v>0</x:v>
      </x:c>
      <x:c r="O2009" t="n">
        <x:v>0</x:v>
      </x:c>
      <x:c r="P2009"/>
      <x:c r="Q2009"/>
      <x:c r="R2009"/>
      <x:c r="S2009"/>
      <x:c r="T2009"/>
      <x:c r="U2009"/>
      <x:c r="V2009"/>
      <x:c r="W2009"/>
      <x:c r="X2009"/>
      <x:c r="Y2009"/>
      <x:c r="Z2009"/>
      <x:c r="AA2009"/>
      <x:c r="AB2009"/>
      <x:c r="AC2009"/>
      <x:c r="AD2009" t="n">
        <x:v>0</x:v>
      </x:c>
      <x:c r="AE2009" t="n">
        <x:v>0</x:v>
      </x:c>
      <x:c r="AF2009" t="n">
        <x:v>0</x:v>
      </x:c>
      <x:c r="AG2009" t="n">
        <x:f>_xlfn.XLOOKUP($A2009,Games!$A$2:$A$18,Games!$B$2:$B$18,"Missing game",0)</x:f>
        <x:v>2025</x:v>
      </x:c>
      <x:c r="AH2009" t="str">
        <x:f>_xlfn.XLOOKUP($A2009,Games!$A$2:$A$18,Games!$C$2:$C$18,"Missing game",0)</x:f>
        <x:v>REG</x:v>
      </x:c>
      <x:c r="AI2009" t="n">
        <x:f>_xlfn.XLOOKUP($A2009,Games!$A$2:$A$18,Games!$D$2:$D$18,"Missing game",0)</x:f>
        <x:v>14</x:v>
      </x:c>
      <x:c r="AJ2009" s="1" t="n">
        <x:f>_xlfn.XLOOKUP($A2009,Games!$A$2:$A$18,Games!$E$2:$E$18,"Missing game",0)</x:f>
        <x:v>45998</x:v>
      </x:c>
      <x:c r="AK2009" t="str">
        <x:f>_xlfn.XLOOKUP($A2009,Games!$A$2:$A$18,Games!$F$2:$F$18,"Missing game",0)</x:f>
        <x:v>Sunday</x:v>
      </x:c>
      <x:c r="AL2009" t="str">
        <x:f>_xlfn.XLOOKUP($A2009,Games!$A$2:$A$18,Games!$G$2:$G$18,"Missing game",0)</x:f>
        <x:v>WAS</x:v>
      </x:c>
      <x:c r="AM2009" t="n">
        <x:f>_xlfn.XLOOKUP($A2009,Games!$A$2:$A$18,Games!$H$2:$H$18,"Missing game",0)</x:f>
        <x:v>0</x:v>
      </x:c>
      <x:c r="AN2009" t="str">
        <x:f>_xlfn.XLOOKUP($A2009,Games!$A$2:$A$18,Games!$I$2:$I$18,"Missing game",0)</x:f>
        <x:v>MIN</x:v>
      </x:c>
      <x:c r="AO2009" t="n">
        <x:f>_xlfn.XLOOKUP($A2009,Games!$A$2:$A$18,Games!$J$2:$J$18,"Missing game",0)</x:f>
        <x:v>31</x:v>
      </x:c>
      <x:c r="AP2009" t="n">
        <x:f>_xlfn.XLOOKUP($A2009,Games!$A$2:$A$18,Games!$K$2:$K$18,"Missing game",0)</x:f>
        <x:v>31</x:v>
      </x:c>
      <x:c r="AQ2009" t="n">
        <x:f>_xlfn.XLOOKUP($A2009,Games!$A$2:$A$18,Games!$L$2:$L$18,"Missing game",0)</x:f>
        <x:v>31</x:v>
      </x:c>
      <x:c r="AR2009" t="n">
        <x:f>_xlfn.XLOOKUP($A2009,Games!$A$2:$A$18,Games!$M$2:$M$18,"Missing game",0)</x:f>
        <x:v>0</x:v>
      </x:c>
      <x:c r="AS2009" t="str">
        <x:f>_xlfn.XLOOKUP($A2009,Games!$A$2:$A$18,Games!$N$2:$N$18,"Missing game",0)</x:f>
        <x:v>dome</x:v>
      </x:c>
      <x:c r="AT2009" t="str">
        <x:f>_xlfn.XLOOKUP($A2009,Games!$A$2:$A$18,Games!$O$2:$O$18,"Missing game",0)</x:f>
        <x:v>sportturf</x:v>
      </x:c>
      <x:c r="AU2009" t="str">
        <x:f>_xlfn.XLOOKUP($A2009,Games!$A$2:$A$18,Games!$P$2:$P$18,"Missing game",0)</x:f>
      </x:c>
      <x:c r="AV2009" t="str">
        <x:f>_xlfn.XLOOKUP($A2009,Games!$A$2:$A$18,Games!$Q$2:$Q$18,"Missing game",0)</x:f>
      </x:c>
      <x:c r="AW2009" t="str">
        <x:f>_xlfn.XLOOKUP($A2009,Games!$A$2:$A$18,Games!$R$2:$R$18,"Missing game",0)</x:f>
        <x:v>U.S. Bank Stadium</x:v>
      </x:c>
    </x:row>
    <x:row r="2010">
      <x:c r="A2010" t="str">
        <x:v>2025_14_WAS_MIN</x:v>
      </x:c>
      <x:c r="B2010" t="n">
        <x:v>39</x:v>
      </x:c>
      <x:c r="C2010" t="n">
        <x:v>1</x:v>
      </x:c>
      <x:c r="D2010" t="str">
        <x:v>15:00</x:v>
      </x:c>
      <x:c r="E2010"/>
      <x:c r="F2010" t="n">
        <x:v>0</x:v>
      </x:c>
      <x:c r="G2010" t="str">
        <x:v>MIN</x:v>
      </x:c>
      <x:c r="H2010" t="str">
        <x:v>WAS</x:v>
      </x:c>
      <x:c r="I2010" t="str">
        <x:v>WAS</x:v>
      </x:c>
      <x:c r="J2010" t="n">
        <x:v>35</x:v>
      </x:c>
      <x:c r="K2010" t="str">
        <x:v>16-J.Moody kicks 61 yards from WAS 35 to MIN 4. 4-M.Price to MIN 39 for 35 yards (0-M.Sainristil).</x:v>
      </x:c>
      <x:c r="L2010" t="str">
        <x:v>kickoff</x:v>
      </x:c>
      <x:c r="M2010" t="n">
        <x:v>0</x:v>
      </x:c>
      <x:c r="N2010" t="n">
        <x:v>0</x:v>
      </x:c>
      <x:c r="O2010" t="n">
        <x:v>0</x:v>
      </x:c>
      <x:c r="P2010"/>
      <x:c r="Q2010"/>
      <x:c r="R2010"/>
      <x:c r="S2010"/>
      <x:c r="T2010"/>
      <x:c r="U2010"/>
      <x:c r="V2010" t="n">
        <x:v>0</x:v>
      </x:c>
      <x:c r="W2010" t="n">
        <x:v>0</x:v>
      </x:c>
      <x:c r="X2010" t="n">
        <x:v>0</x:v>
      </x:c>
      <x:c r="Y2010" t="n">
        <x:v>0</x:v>
      </x:c>
      <x:c r="Z2010" t="n">
        <x:v>0</x:v>
      </x:c>
      <x:c r="AA2010" t="n">
        <x:v>0</x:v>
      </x:c>
      <x:c r="AB2010"/>
      <x:c r="AC2010" t="n">
        <x:v>0</x:v>
      </x:c>
      <x:c r="AD2010" t="n">
        <x:v>0.800426225643605</x:v>
      </x:c>
      <x:c r="AE2010" t="n">
        <x:v>1</x:v>
      </x:c>
      <x:c r="AF2010" t="n">
        <x:v>0.02631157636642456</x:v>
      </x:c>
      <x:c r="AG2010" t="n">
        <x:f>_xlfn.XLOOKUP($A2010,Games!$A$2:$A$18,Games!$B$2:$B$18,"Missing game",0)</x:f>
        <x:v>2025</x:v>
      </x:c>
      <x:c r="AH2010" t="str">
        <x:f>_xlfn.XLOOKUP($A2010,Games!$A$2:$A$18,Games!$C$2:$C$18,"Missing game",0)</x:f>
        <x:v>REG</x:v>
      </x:c>
      <x:c r="AI2010" t="n">
        <x:f>_xlfn.XLOOKUP($A2010,Games!$A$2:$A$18,Games!$D$2:$D$18,"Missing game",0)</x:f>
        <x:v>14</x:v>
      </x:c>
      <x:c r="AJ2010" s="1" t="n">
        <x:f>_xlfn.XLOOKUP($A2010,Games!$A$2:$A$18,Games!$E$2:$E$18,"Missing game",0)</x:f>
        <x:v>45998</x:v>
      </x:c>
      <x:c r="AK2010" t="str">
        <x:f>_xlfn.XLOOKUP($A2010,Games!$A$2:$A$18,Games!$F$2:$F$18,"Missing game",0)</x:f>
        <x:v>Sunday</x:v>
      </x:c>
      <x:c r="AL2010" t="str">
        <x:f>_xlfn.XLOOKUP($A2010,Games!$A$2:$A$18,Games!$G$2:$G$18,"Missing game",0)</x:f>
        <x:v>WAS</x:v>
      </x:c>
      <x:c r="AM2010" t="n">
        <x:f>_xlfn.XLOOKUP($A2010,Games!$A$2:$A$18,Games!$H$2:$H$18,"Missing game",0)</x:f>
        <x:v>0</x:v>
      </x:c>
      <x:c r="AN2010" t="str">
        <x:f>_xlfn.XLOOKUP($A2010,Games!$A$2:$A$18,Games!$I$2:$I$18,"Missing game",0)</x:f>
        <x:v>MIN</x:v>
      </x:c>
      <x:c r="AO2010" t="n">
        <x:f>_xlfn.XLOOKUP($A2010,Games!$A$2:$A$18,Games!$J$2:$J$18,"Missing game",0)</x:f>
        <x:v>31</x:v>
      </x:c>
      <x:c r="AP2010" t="n">
        <x:f>_xlfn.XLOOKUP($A2010,Games!$A$2:$A$18,Games!$K$2:$K$18,"Missing game",0)</x:f>
        <x:v>31</x:v>
      </x:c>
      <x:c r="AQ2010" t="n">
        <x:f>_xlfn.XLOOKUP($A2010,Games!$A$2:$A$18,Games!$L$2:$L$18,"Missing game",0)</x:f>
        <x:v>31</x:v>
      </x:c>
      <x:c r="AR2010" t="n">
        <x:f>_xlfn.XLOOKUP($A2010,Games!$A$2:$A$18,Games!$M$2:$M$18,"Missing game",0)</x:f>
        <x:v>0</x:v>
      </x:c>
      <x:c r="AS2010" t="str">
        <x:f>_xlfn.XLOOKUP($A2010,Games!$A$2:$A$18,Games!$N$2:$N$18,"Missing game",0)</x:f>
        <x:v>dome</x:v>
      </x:c>
      <x:c r="AT2010" t="str">
        <x:f>_xlfn.XLOOKUP($A2010,Games!$A$2:$A$18,Games!$O$2:$O$18,"Missing game",0)</x:f>
        <x:v>sportturf</x:v>
      </x:c>
      <x:c r="AU2010" t="str">
        <x:f>_xlfn.XLOOKUP($A2010,Games!$A$2:$A$18,Games!$P$2:$P$18,"Missing game",0)</x:f>
      </x:c>
      <x:c r="AV2010" t="str">
        <x:f>_xlfn.XLOOKUP($A2010,Games!$A$2:$A$18,Games!$Q$2:$Q$18,"Missing game",0)</x:f>
      </x:c>
      <x:c r="AW2010" t="str">
        <x:f>_xlfn.XLOOKUP($A2010,Games!$A$2:$A$18,Games!$R$2:$R$18,"Missing game",0)</x:f>
        <x:v>U.S. Bank Stadium</x:v>
      </x:c>
    </x:row>
    <x:row r="2011">
      <x:c r="A2011" t="str">
        <x:v>2025_14_WAS_MIN</x:v>
      </x:c>
      <x:c r="B2011" t="n">
        <x:v>62</x:v>
      </x:c>
      <x:c r="C2011" t="n">
        <x:v>1</x:v>
      </x:c>
      <x:c r="D2011" t="str">
        <x:v>14:54</x:v>
      </x:c>
      <x:c r="E2011" t="n">
        <x:v>1</x:v>
      </x:c>
      <x:c r="F2011" t="n">
        <x:v>10</x:v>
      </x:c>
      <x:c r="G2011" t="str">
        <x:v>MIN</x:v>
      </x:c>
      <x:c r="H2011" t="str">
        <x:v>WAS</x:v>
      </x:c>
      <x:c r="I2011" t="str">
        <x:v>MIN</x:v>
      </x:c>
      <x:c r="J2011" t="n">
        <x:v>61</x:v>
      </x:c>
      <x:c r="K2011" t="str">
        <x:v>(14:54) 33-A.Jones right tackle to MIN 42 for 3 yards (55-J.Martin; 54-B.Wagner).</x:v>
      </x:c>
      <x:c r="L2011" t="str">
        <x:v>run</x:v>
      </x:c>
      <x:c r="M2011" t="n">
        <x:v>3</x:v>
      </x:c>
      <x:c r="N2011" t="n">
        <x:v>0</x:v>
      </x:c>
      <x:c r="O2011" t="n">
        <x:v>0</x:v>
      </x:c>
      <x:c r="P2011"/>
      <x:c r="Q2011"/>
      <x:c r="R2011"/>
      <x:c r="S2011"/>
      <x:c r="T2011" t="str">
        <x:v>right</x:v>
      </x:c>
      <x:c r="U2011" t="str">
        <x:v>tackle</x:v>
      </x:c>
      <x:c r="V2011" t="n">
        <x:v>0</x:v>
      </x:c>
      <x:c r="W2011" t="n">
        <x:v>0</x:v>
      </x:c>
      <x:c r="X2011" t="n">
        <x:v>0</x:v>
      </x:c>
      <x:c r="Y2011" t="n">
        <x:v>0</x:v>
      </x:c>
      <x:c r="Z2011" t="n">
        <x:v>0</x:v>
      </x:c>
      <x:c r="AA2011" t="n">
        <x:v>0</x:v>
      </x:c>
      <x:c r="AB2011"/>
      <x:c r="AC2011" t="n">
        <x:v>0</x:v>
      </x:c>
      <x:c r="AD2011" t="n">
        <x:v>-0.30671707494184375</x:v>
      </x:c>
      <x:c r="AE2011" t="n">
        <x:v>0</x:v>
      </x:c>
      <x:c r="AF2011" t="n">
        <x:v>-0.013361155986785889</x:v>
      </x:c>
      <x:c r="AG2011" t="n">
        <x:f>_xlfn.XLOOKUP($A2011,Games!$A$2:$A$18,Games!$B$2:$B$18,"Missing game",0)</x:f>
        <x:v>2025</x:v>
      </x:c>
      <x:c r="AH2011" t="str">
        <x:f>_xlfn.XLOOKUP($A2011,Games!$A$2:$A$18,Games!$C$2:$C$18,"Missing game",0)</x:f>
        <x:v>REG</x:v>
      </x:c>
      <x:c r="AI2011" t="n">
        <x:f>_xlfn.XLOOKUP($A2011,Games!$A$2:$A$18,Games!$D$2:$D$18,"Missing game",0)</x:f>
        <x:v>14</x:v>
      </x:c>
      <x:c r="AJ2011" s="1" t="n">
        <x:f>_xlfn.XLOOKUP($A2011,Games!$A$2:$A$18,Games!$E$2:$E$18,"Missing game",0)</x:f>
        <x:v>45998</x:v>
      </x:c>
      <x:c r="AK2011" t="str">
        <x:f>_xlfn.XLOOKUP($A2011,Games!$A$2:$A$18,Games!$F$2:$F$18,"Missing game",0)</x:f>
        <x:v>Sunday</x:v>
      </x:c>
      <x:c r="AL2011" t="str">
        <x:f>_xlfn.XLOOKUP($A2011,Games!$A$2:$A$18,Games!$G$2:$G$18,"Missing game",0)</x:f>
        <x:v>WAS</x:v>
      </x:c>
      <x:c r="AM2011" t="n">
        <x:f>_xlfn.XLOOKUP($A2011,Games!$A$2:$A$18,Games!$H$2:$H$18,"Missing game",0)</x:f>
        <x:v>0</x:v>
      </x:c>
      <x:c r="AN2011" t="str">
        <x:f>_xlfn.XLOOKUP($A2011,Games!$A$2:$A$18,Games!$I$2:$I$18,"Missing game",0)</x:f>
        <x:v>MIN</x:v>
      </x:c>
      <x:c r="AO2011" t="n">
        <x:f>_xlfn.XLOOKUP($A2011,Games!$A$2:$A$18,Games!$J$2:$J$18,"Missing game",0)</x:f>
        <x:v>31</x:v>
      </x:c>
      <x:c r="AP2011" t="n">
        <x:f>_xlfn.XLOOKUP($A2011,Games!$A$2:$A$18,Games!$K$2:$K$18,"Missing game",0)</x:f>
        <x:v>31</x:v>
      </x:c>
      <x:c r="AQ2011" t="n">
        <x:f>_xlfn.XLOOKUP($A2011,Games!$A$2:$A$18,Games!$L$2:$L$18,"Missing game",0)</x:f>
        <x:v>31</x:v>
      </x:c>
      <x:c r="AR2011" t="n">
        <x:f>_xlfn.XLOOKUP($A2011,Games!$A$2:$A$18,Games!$M$2:$M$18,"Missing game",0)</x:f>
        <x:v>0</x:v>
      </x:c>
      <x:c r="AS2011" t="str">
        <x:f>_xlfn.XLOOKUP($A2011,Games!$A$2:$A$18,Games!$N$2:$N$18,"Missing game",0)</x:f>
        <x:v>dome</x:v>
      </x:c>
      <x:c r="AT2011" t="str">
        <x:f>_xlfn.XLOOKUP($A2011,Games!$A$2:$A$18,Games!$O$2:$O$18,"Missing game",0)</x:f>
        <x:v>sportturf</x:v>
      </x:c>
      <x:c r="AU2011" t="str">
        <x:f>_xlfn.XLOOKUP($A2011,Games!$A$2:$A$18,Games!$P$2:$P$18,"Missing game",0)</x:f>
      </x:c>
      <x:c r="AV2011" t="str">
        <x:f>_xlfn.XLOOKUP($A2011,Games!$A$2:$A$18,Games!$Q$2:$Q$18,"Missing game",0)</x:f>
      </x:c>
      <x:c r="AW2011" t="str">
        <x:f>_xlfn.XLOOKUP($A2011,Games!$A$2:$A$18,Games!$R$2:$R$18,"Missing game",0)</x:f>
        <x:v>U.S. Bank Stadium</x:v>
      </x:c>
    </x:row>
    <x:row r="2012">
      <x:c r="A2012" t="str">
        <x:v>2025_14_WAS_MIN</x:v>
      </x:c>
      <x:c r="B2012" t="n">
        <x:v>84</x:v>
      </x:c>
      <x:c r="C2012" t="n">
        <x:v>1</x:v>
      </x:c>
      <x:c r="D2012" t="str">
        <x:v>14:16</x:v>
      </x:c>
      <x:c r="E2012" t="n">
        <x:v>2</x:v>
      </x:c>
      <x:c r="F2012" t="n">
        <x:v>7</x:v>
      </x:c>
      <x:c r="G2012" t="str">
        <x:v>MIN</x:v>
      </x:c>
      <x:c r="H2012" t="str">
        <x:v>WAS</x:v>
      </x:c>
      <x:c r="I2012" t="str">
        <x:v>MIN</x:v>
      </x:c>
      <x:c r="J2012" t="n">
        <x:v>58</x:v>
      </x:c>
      <x:c r="K2012" t="str">
        <x:v>(14:16) (Shotgun) 9-J.McCarthy pass short right to 89-B.Sims to WAS 49 for 9 yards (4-F.Luvu).</x:v>
      </x:c>
      <x:c r="L2012" t="str">
        <x:v>pass</x:v>
      </x:c>
      <x:c r="M2012" t="n">
        <x:v>9</x:v>
      </x:c>
      <x:c r="N2012" t="n">
        <x:v>1</x:v>
      </x:c>
      <x:c r="O2012" t="n">
        <x:v>0</x:v>
      </x:c>
      <x:c r="P2012" t="str">
        <x:v>short</x:v>
      </x:c>
      <x:c r="Q2012" t="str">
        <x:v>right</x:v>
      </x:c>
      <x:c r="R2012" t="n">
        <x:v>4</x:v>
      </x:c>
      <x:c r="S2012" t="n">
        <x:v>5</x:v>
      </x:c>
      <x:c r="T2012"/>
      <x:c r="U2012"/>
      <x:c r="V2012" t="n">
        <x:v>1</x:v>
      </x:c>
      <x:c r="W2012" t="n">
        <x:v>1</x:v>
      </x:c>
      <x:c r="X2012" t="n">
        <x:v>0</x:v>
      </x:c>
      <x:c r="Y2012" t="n">
        <x:v>0</x:v>
      </x:c>
      <x:c r="Z2012" t="n">
        <x:v>0</x:v>
      </x:c>
      <x:c r="AA2012" t="n">
        <x:v>0</x:v>
      </x:c>
      <x:c r="AB2012"/>
      <x:c r="AC2012" t="n">
        <x:v>0</x:v>
      </x:c>
      <x:c r="AD2012" t="n">
        <x:v>0.9894812162965536</x:v>
      </x:c>
      <x:c r="AE2012" t="n">
        <x:v>1</x:v>
      </x:c>
      <x:c r="AF2012" t="n">
        <x:v>0.025234460830688477</x:v>
      </x:c>
      <x:c r="AG2012" t="n">
        <x:f>_xlfn.XLOOKUP($A2012,Games!$A$2:$A$18,Games!$B$2:$B$18,"Missing game",0)</x:f>
        <x:v>2025</x:v>
      </x:c>
      <x:c r="AH2012" t="str">
        <x:f>_xlfn.XLOOKUP($A2012,Games!$A$2:$A$18,Games!$C$2:$C$18,"Missing game",0)</x:f>
        <x:v>REG</x:v>
      </x:c>
      <x:c r="AI2012" t="n">
        <x:f>_xlfn.XLOOKUP($A2012,Games!$A$2:$A$18,Games!$D$2:$D$18,"Missing game",0)</x:f>
        <x:v>14</x:v>
      </x:c>
      <x:c r="AJ2012" s="1" t="n">
        <x:f>_xlfn.XLOOKUP($A2012,Games!$A$2:$A$18,Games!$E$2:$E$18,"Missing game",0)</x:f>
        <x:v>45998</x:v>
      </x:c>
      <x:c r="AK2012" t="str">
        <x:f>_xlfn.XLOOKUP($A2012,Games!$A$2:$A$18,Games!$F$2:$F$18,"Missing game",0)</x:f>
        <x:v>Sunday</x:v>
      </x:c>
      <x:c r="AL2012" t="str">
        <x:f>_xlfn.XLOOKUP($A2012,Games!$A$2:$A$18,Games!$G$2:$G$18,"Missing game",0)</x:f>
        <x:v>WAS</x:v>
      </x:c>
      <x:c r="AM2012" t="n">
        <x:f>_xlfn.XLOOKUP($A2012,Games!$A$2:$A$18,Games!$H$2:$H$18,"Missing game",0)</x:f>
        <x:v>0</x:v>
      </x:c>
      <x:c r="AN2012" t="str">
        <x:f>_xlfn.XLOOKUP($A2012,Games!$A$2:$A$18,Games!$I$2:$I$18,"Missing game",0)</x:f>
        <x:v>MIN</x:v>
      </x:c>
      <x:c r="AO2012" t="n">
        <x:f>_xlfn.XLOOKUP($A2012,Games!$A$2:$A$18,Games!$J$2:$J$18,"Missing game",0)</x:f>
        <x:v>31</x:v>
      </x:c>
      <x:c r="AP2012" t="n">
        <x:f>_xlfn.XLOOKUP($A2012,Games!$A$2:$A$18,Games!$K$2:$K$18,"Missing game",0)</x:f>
        <x:v>31</x:v>
      </x:c>
      <x:c r="AQ2012" t="n">
        <x:f>_xlfn.XLOOKUP($A2012,Games!$A$2:$A$18,Games!$L$2:$L$18,"Missing game",0)</x:f>
        <x:v>31</x:v>
      </x:c>
      <x:c r="AR2012" t="n">
        <x:f>_xlfn.XLOOKUP($A2012,Games!$A$2:$A$18,Games!$M$2:$M$18,"Missing game",0)</x:f>
        <x:v>0</x:v>
      </x:c>
      <x:c r="AS2012" t="str">
        <x:f>_xlfn.XLOOKUP($A2012,Games!$A$2:$A$18,Games!$N$2:$N$18,"Missing game",0)</x:f>
        <x:v>dome</x:v>
      </x:c>
      <x:c r="AT2012" t="str">
        <x:f>_xlfn.XLOOKUP($A2012,Games!$A$2:$A$18,Games!$O$2:$O$18,"Missing game",0)</x:f>
        <x:v>sportturf</x:v>
      </x:c>
      <x:c r="AU2012" t="str">
        <x:f>_xlfn.XLOOKUP($A2012,Games!$A$2:$A$18,Games!$P$2:$P$18,"Missing game",0)</x:f>
      </x:c>
      <x:c r="AV2012" t="str">
        <x:f>_xlfn.XLOOKUP($A2012,Games!$A$2:$A$18,Games!$Q$2:$Q$18,"Missing game",0)</x:f>
      </x:c>
      <x:c r="AW2012" t="str">
        <x:f>_xlfn.XLOOKUP($A2012,Games!$A$2:$A$18,Games!$R$2:$R$18,"Missing game",0)</x:f>
        <x:v>U.S. Bank Stadium</x:v>
      </x:c>
    </x:row>
    <x:row r="2013">
      <x:c r="A2013" t="str">
        <x:v>2025_14_WAS_MIN</x:v>
      </x:c>
      <x:c r="B2013" t="n">
        <x:v>109</x:v>
      </x:c>
      <x:c r="C2013" t="n">
        <x:v>1</x:v>
      </x:c>
      <x:c r="D2013" t="str">
        <x:v>13:39</x:v>
      </x:c>
      <x:c r="E2013" t="n">
        <x:v>1</x:v>
      </x:c>
      <x:c r="F2013" t="n">
        <x:v>10</x:v>
      </x:c>
      <x:c r="G2013" t="str">
        <x:v>MIN</x:v>
      </x:c>
      <x:c r="H2013" t="str">
        <x:v>WAS</x:v>
      </x:c>
      <x:c r="I2013" t="str">
        <x:v>WAS</x:v>
      </x:c>
      <x:c r="J2013" t="n">
        <x:v>49</x:v>
      </x:c>
      <x:c r="K2013" t="str">
        <x:v>(13:39) 33-A.Jones up the middle to WAS 42 for 7 yards (54-B.Wagner; 20-Q.Martin).</x:v>
      </x:c>
      <x:c r="L2013" t="str">
        <x:v>run</x:v>
      </x:c>
      <x:c r="M2013" t="n">
        <x:v>7</x:v>
      </x:c>
      <x:c r="N2013" t="n">
        <x:v>0</x:v>
      </x:c>
      <x:c r="O2013" t="n">
        <x:v>0</x:v>
      </x:c>
      <x:c r="P2013"/>
      <x:c r="Q2013"/>
      <x:c r="R2013"/>
      <x:c r="S2013"/>
      <x:c r="T2013" t="str">
        <x:v>middle</x:v>
      </x:c>
      <x:c r="U2013"/>
      <x:c r="V2013" t="n">
        <x:v>0</x:v>
      </x:c>
      <x:c r="W2013" t="n">
        <x:v>0</x:v>
      </x:c>
      <x:c r="X2013" t="n">
        <x:v>0</x:v>
      </x:c>
      <x:c r="Y2013" t="n">
        <x:v>0</x:v>
      </x:c>
      <x:c r="Z2013" t="n">
        <x:v>0</x:v>
      </x:c>
      <x:c r="AA2013" t="n">
        <x:v>0</x:v>
      </x:c>
      <x:c r="AB2013"/>
      <x:c r="AC2013" t="n">
        <x:v>0</x:v>
      </x:c>
      <x:c r="AD2013" t="n">
        <x:v>0.2722408508416265</x:v>
      </x:c>
      <x:c r="AE2013" t="n">
        <x:v>1</x:v>
      </x:c>
      <x:c r="AF2013" t="n">
        <x:v>0.00329434871673584</x:v>
      </x:c>
      <x:c r="AG2013" t="n">
        <x:f>_xlfn.XLOOKUP($A2013,Games!$A$2:$A$18,Games!$B$2:$B$18,"Missing game",0)</x:f>
        <x:v>2025</x:v>
      </x:c>
      <x:c r="AH2013" t="str">
        <x:f>_xlfn.XLOOKUP($A2013,Games!$A$2:$A$18,Games!$C$2:$C$18,"Missing game",0)</x:f>
        <x:v>REG</x:v>
      </x:c>
      <x:c r="AI2013" t="n">
        <x:f>_xlfn.XLOOKUP($A2013,Games!$A$2:$A$18,Games!$D$2:$D$18,"Missing game",0)</x:f>
        <x:v>14</x:v>
      </x:c>
      <x:c r="AJ2013" s="1" t="n">
        <x:f>_xlfn.XLOOKUP($A2013,Games!$A$2:$A$18,Games!$E$2:$E$18,"Missing game",0)</x:f>
        <x:v>45998</x:v>
      </x:c>
      <x:c r="AK2013" t="str">
        <x:f>_xlfn.XLOOKUP($A2013,Games!$A$2:$A$18,Games!$F$2:$F$18,"Missing game",0)</x:f>
        <x:v>Sunday</x:v>
      </x:c>
      <x:c r="AL2013" t="str">
        <x:f>_xlfn.XLOOKUP($A2013,Games!$A$2:$A$18,Games!$G$2:$G$18,"Missing game",0)</x:f>
        <x:v>WAS</x:v>
      </x:c>
      <x:c r="AM2013" t="n">
        <x:f>_xlfn.XLOOKUP($A2013,Games!$A$2:$A$18,Games!$H$2:$H$18,"Missing game",0)</x:f>
        <x:v>0</x:v>
      </x:c>
      <x:c r="AN2013" t="str">
        <x:f>_xlfn.XLOOKUP($A2013,Games!$A$2:$A$18,Games!$I$2:$I$18,"Missing game",0)</x:f>
        <x:v>MIN</x:v>
      </x:c>
      <x:c r="AO2013" t="n">
        <x:f>_xlfn.XLOOKUP($A2013,Games!$A$2:$A$18,Games!$J$2:$J$18,"Missing game",0)</x:f>
        <x:v>31</x:v>
      </x:c>
      <x:c r="AP2013" t="n">
        <x:f>_xlfn.XLOOKUP($A2013,Games!$A$2:$A$18,Games!$K$2:$K$18,"Missing game",0)</x:f>
        <x:v>31</x:v>
      </x:c>
      <x:c r="AQ2013" t="n">
        <x:f>_xlfn.XLOOKUP($A2013,Games!$A$2:$A$18,Games!$L$2:$L$18,"Missing game",0)</x:f>
        <x:v>31</x:v>
      </x:c>
      <x:c r="AR2013" t="n">
        <x:f>_xlfn.XLOOKUP($A2013,Games!$A$2:$A$18,Games!$M$2:$M$18,"Missing game",0)</x:f>
        <x:v>0</x:v>
      </x:c>
      <x:c r="AS2013" t="str">
        <x:f>_xlfn.XLOOKUP($A2013,Games!$A$2:$A$18,Games!$N$2:$N$18,"Missing game",0)</x:f>
        <x:v>dome</x:v>
      </x:c>
      <x:c r="AT2013" t="str">
        <x:f>_xlfn.XLOOKUP($A2013,Games!$A$2:$A$18,Games!$O$2:$O$18,"Missing game",0)</x:f>
        <x:v>sportturf</x:v>
      </x:c>
      <x:c r="AU2013" t="str">
        <x:f>_xlfn.XLOOKUP($A2013,Games!$A$2:$A$18,Games!$P$2:$P$18,"Missing game",0)</x:f>
      </x:c>
      <x:c r="AV2013" t="str">
        <x:f>_xlfn.XLOOKUP($A2013,Games!$A$2:$A$18,Games!$Q$2:$Q$18,"Missing game",0)</x:f>
      </x:c>
      <x:c r="AW2013" t="str">
        <x:f>_xlfn.XLOOKUP($A2013,Games!$A$2:$A$18,Games!$R$2:$R$18,"Missing game",0)</x:f>
        <x:v>U.S. Bank Stadium</x:v>
      </x:c>
    </x:row>
    <x:row r="2014">
      <x:c r="A2014" t="str">
        <x:v>2025_14_WAS_MIN</x:v>
      </x:c>
      <x:c r="B2014" t="n">
        <x:v>131</x:v>
      </x:c>
      <x:c r="C2014" t="n">
        <x:v>1</x:v>
      </x:c>
      <x:c r="D2014" t="str">
        <x:v>13:02</x:v>
      </x:c>
      <x:c r="E2014" t="n">
        <x:v>2</x:v>
      </x:c>
      <x:c r="F2014" t="n">
        <x:v>3</x:v>
      </x:c>
      <x:c r="G2014" t="str">
        <x:v>MIN</x:v>
      </x:c>
      <x:c r="H2014" t="str">
        <x:v>WAS</x:v>
      </x:c>
      <x:c r="I2014" t="str">
        <x:v>WAS</x:v>
      </x:c>
      <x:c r="J2014" t="n">
        <x:v>42</x:v>
      </x:c>
      <x:c r="K2014" t="str">
        <x:v>(13:02) (Shotgun) 9-J.McCarthy pass short left to 87-T.Hockenson pushed ob at WAS 32 for 10 yards (6-N.Igbinoghene).</x:v>
      </x:c>
      <x:c r="L2014" t="str">
        <x:v>pass</x:v>
      </x:c>
      <x:c r="M2014" t="n">
        <x:v>10</x:v>
      </x:c>
      <x:c r="N2014" t="n">
        <x:v>1</x:v>
      </x:c>
      <x:c r="O2014" t="n">
        <x:v>0</x:v>
      </x:c>
      <x:c r="P2014" t="str">
        <x:v>short</x:v>
      </x:c>
      <x:c r="Q2014" t="str">
        <x:v>left</x:v>
      </x:c>
      <x:c r="R2014" t="n">
        <x:v>5</x:v>
      </x:c>
      <x:c r="S2014" t="n">
        <x:v>5</x:v>
      </x:c>
      <x:c r="T2014"/>
      <x:c r="U2014"/>
      <x:c r="V2014" t="n">
        <x:v>1</x:v>
      </x:c>
      <x:c r="W2014" t="n">
        <x:v>1</x:v>
      </x:c>
      <x:c r="X2014" t="n">
        <x:v>0</x:v>
      </x:c>
      <x:c r="Y2014" t="n">
        <x:v>0</x:v>
      </x:c>
      <x:c r="Z2014" t="n">
        <x:v>0</x:v>
      </x:c>
      <x:c r="AA2014" t="n">
        <x:v>0</x:v>
      </x:c>
      <x:c r="AB2014"/>
      <x:c r="AC2014" t="n">
        <x:v>0</x:v>
      </x:c>
      <x:c r="AD2014" t="n">
        <x:v>0.7241264764452353</x:v>
      </x:c>
      <x:c r="AE2014" t="n">
        <x:v>1</x:v>
      </x:c>
      <x:c r="AF2014" t="n">
        <x:v>0.04463469982147217</x:v>
      </x:c>
      <x:c r="AG2014" t="n">
        <x:f>_xlfn.XLOOKUP($A2014,Games!$A$2:$A$18,Games!$B$2:$B$18,"Missing game",0)</x:f>
        <x:v>2025</x:v>
      </x:c>
      <x:c r="AH2014" t="str">
        <x:f>_xlfn.XLOOKUP($A2014,Games!$A$2:$A$18,Games!$C$2:$C$18,"Missing game",0)</x:f>
        <x:v>REG</x:v>
      </x:c>
      <x:c r="AI2014" t="n">
        <x:f>_xlfn.XLOOKUP($A2014,Games!$A$2:$A$18,Games!$D$2:$D$18,"Missing game",0)</x:f>
        <x:v>14</x:v>
      </x:c>
      <x:c r="AJ2014" s="1" t="n">
        <x:f>_xlfn.XLOOKUP($A2014,Games!$A$2:$A$18,Games!$E$2:$E$18,"Missing game",0)</x:f>
        <x:v>45998</x:v>
      </x:c>
      <x:c r="AK2014" t="str">
        <x:f>_xlfn.XLOOKUP($A2014,Games!$A$2:$A$18,Games!$F$2:$F$18,"Missing game",0)</x:f>
        <x:v>Sunday</x:v>
      </x:c>
      <x:c r="AL2014" t="str">
        <x:f>_xlfn.XLOOKUP($A2014,Games!$A$2:$A$18,Games!$G$2:$G$18,"Missing game",0)</x:f>
        <x:v>WAS</x:v>
      </x:c>
      <x:c r="AM2014" t="n">
        <x:f>_xlfn.XLOOKUP($A2014,Games!$A$2:$A$18,Games!$H$2:$H$18,"Missing game",0)</x:f>
        <x:v>0</x:v>
      </x:c>
      <x:c r="AN2014" t="str">
        <x:f>_xlfn.XLOOKUP($A2014,Games!$A$2:$A$18,Games!$I$2:$I$18,"Missing game",0)</x:f>
        <x:v>MIN</x:v>
      </x:c>
      <x:c r="AO2014" t="n">
        <x:f>_xlfn.XLOOKUP($A2014,Games!$A$2:$A$18,Games!$J$2:$J$18,"Missing game",0)</x:f>
        <x:v>31</x:v>
      </x:c>
      <x:c r="AP2014" t="n">
        <x:f>_xlfn.XLOOKUP($A2014,Games!$A$2:$A$18,Games!$K$2:$K$18,"Missing game",0)</x:f>
        <x:v>31</x:v>
      </x:c>
      <x:c r="AQ2014" t="n">
        <x:f>_xlfn.XLOOKUP($A2014,Games!$A$2:$A$18,Games!$L$2:$L$18,"Missing game",0)</x:f>
        <x:v>31</x:v>
      </x:c>
      <x:c r="AR2014" t="n">
        <x:f>_xlfn.XLOOKUP($A2014,Games!$A$2:$A$18,Games!$M$2:$M$18,"Missing game",0)</x:f>
        <x:v>0</x:v>
      </x:c>
      <x:c r="AS2014" t="str">
        <x:f>_xlfn.XLOOKUP($A2014,Games!$A$2:$A$18,Games!$N$2:$N$18,"Missing game",0)</x:f>
        <x:v>dome</x:v>
      </x:c>
      <x:c r="AT2014" t="str">
        <x:f>_xlfn.XLOOKUP($A2014,Games!$A$2:$A$18,Games!$O$2:$O$18,"Missing game",0)</x:f>
        <x:v>sportturf</x:v>
      </x:c>
      <x:c r="AU2014" t="str">
        <x:f>_xlfn.XLOOKUP($A2014,Games!$A$2:$A$18,Games!$P$2:$P$18,"Missing game",0)</x:f>
      </x:c>
      <x:c r="AV2014" t="str">
        <x:f>_xlfn.XLOOKUP($A2014,Games!$A$2:$A$18,Games!$Q$2:$Q$18,"Missing game",0)</x:f>
      </x:c>
      <x:c r="AW2014" t="str">
        <x:f>_xlfn.XLOOKUP($A2014,Games!$A$2:$A$18,Games!$R$2:$R$18,"Missing game",0)</x:f>
        <x:v>U.S. Bank Stadium</x:v>
      </x:c>
    </x:row>
    <x:row r="2015">
      <x:c r="A2015" t="str">
        <x:v>2025_14_WAS_MIN</x:v>
      </x:c>
      <x:c r="B2015" t="n">
        <x:v>161</x:v>
      </x:c>
      <x:c r="C2015" t="n">
        <x:v>1</x:v>
      </x:c>
      <x:c r="D2015" t="str">
        <x:v>12:28</x:v>
      </x:c>
      <x:c r="E2015" t="n">
        <x:v>1</x:v>
      </x:c>
      <x:c r="F2015" t="n">
        <x:v>10</x:v>
      </x:c>
      <x:c r="G2015" t="str">
        <x:v>MIN</x:v>
      </x:c>
      <x:c r="H2015" t="str">
        <x:v>WAS</x:v>
      </x:c>
      <x:c r="I2015" t="str">
        <x:v>WAS</x:v>
      </x:c>
      <x:c r="J2015" t="n">
        <x:v>32</x:v>
      </x:c>
      <x:c r="K2015" t="str">
        <x:v>(12:28) (Shotgun) 9-J.McCarthy pass short middle to 1-J.Nailor to WAS 23 for 9 yards (0-M.Sainristil; 54-B.Wagner).</x:v>
      </x:c>
      <x:c r="L2015" t="str">
        <x:v>pass</x:v>
      </x:c>
      <x:c r="M2015" t="n">
        <x:v>9</x:v>
      </x:c>
      <x:c r="N2015" t="n">
        <x:v>1</x:v>
      </x:c>
      <x:c r="O2015" t="n">
        <x:v>0</x:v>
      </x:c>
      <x:c r="P2015" t="str">
        <x:v>short</x:v>
      </x:c>
      <x:c r="Q2015" t="str">
        <x:v>middle</x:v>
      </x:c>
      <x:c r="R2015" t="n">
        <x:v>-3</x:v>
      </x:c>
      <x:c r="S2015" t="n">
        <x:v>12</x:v>
      </x:c>
      <x:c r="T2015"/>
      <x:c r="U2015"/>
      <x:c r="V2015" t="n">
        <x:v>1</x:v>
      </x:c>
      <x:c r="W2015" t="n">
        <x:v>0</x:v>
      </x:c>
      <x:c r="X2015" t="n">
        <x:v>0</x:v>
      </x:c>
      <x:c r="Y2015" t="n">
        <x:v>0</x:v>
      </x:c>
      <x:c r="Z2015" t="n">
        <x:v>0</x:v>
      </x:c>
      <x:c r="AA2015" t="n">
        <x:v>0</x:v>
      </x:c>
      <x:c r="AB2015"/>
      <x:c r="AC2015" t="n">
        <x:v>0</x:v>
      </x:c>
      <x:c r="AD2015" t="n">
        <x:v>0.8055728113977239</x:v>
      </x:c>
      <x:c r="AE2015" t="n">
        <x:v>1</x:v>
      </x:c>
      <x:c r="AF2015" t="n">
        <x:v>0.03787732124328613</x:v>
      </x:c>
      <x:c r="AG2015" t="n">
        <x:f>_xlfn.XLOOKUP($A2015,Games!$A$2:$A$18,Games!$B$2:$B$18,"Missing game",0)</x:f>
        <x:v>2025</x:v>
      </x:c>
      <x:c r="AH2015" t="str">
        <x:f>_xlfn.XLOOKUP($A2015,Games!$A$2:$A$18,Games!$C$2:$C$18,"Missing game",0)</x:f>
        <x:v>REG</x:v>
      </x:c>
      <x:c r="AI2015" t="n">
        <x:f>_xlfn.XLOOKUP($A2015,Games!$A$2:$A$18,Games!$D$2:$D$18,"Missing game",0)</x:f>
        <x:v>14</x:v>
      </x:c>
      <x:c r="AJ2015" s="1" t="n">
        <x:f>_xlfn.XLOOKUP($A2015,Games!$A$2:$A$18,Games!$E$2:$E$18,"Missing game",0)</x:f>
        <x:v>45998</x:v>
      </x:c>
      <x:c r="AK2015" t="str">
        <x:f>_xlfn.XLOOKUP($A2015,Games!$A$2:$A$18,Games!$F$2:$F$18,"Missing game",0)</x:f>
        <x:v>Sunday</x:v>
      </x:c>
      <x:c r="AL2015" t="str">
        <x:f>_xlfn.XLOOKUP($A2015,Games!$A$2:$A$18,Games!$G$2:$G$18,"Missing game",0)</x:f>
        <x:v>WAS</x:v>
      </x:c>
      <x:c r="AM2015" t="n">
        <x:f>_xlfn.XLOOKUP($A2015,Games!$A$2:$A$18,Games!$H$2:$H$18,"Missing game",0)</x:f>
        <x:v>0</x:v>
      </x:c>
      <x:c r="AN2015" t="str">
        <x:f>_xlfn.XLOOKUP($A2015,Games!$A$2:$A$18,Games!$I$2:$I$18,"Missing game",0)</x:f>
        <x:v>MIN</x:v>
      </x:c>
      <x:c r="AO2015" t="n">
        <x:f>_xlfn.XLOOKUP($A2015,Games!$A$2:$A$18,Games!$J$2:$J$18,"Missing game",0)</x:f>
        <x:v>31</x:v>
      </x:c>
      <x:c r="AP2015" t="n">
        <x:f>_xlfn.XLOOKUP($A2015,Games!$A$2:$A$18,Games!$K$2:$K$18,"Missing game",0)</x:f>
        <x:v>31</x:v>
      </x:c>
      <x:c r="AQ2015" t="n">
        <x:f>_xlfn.XLOOKUP($A2015,Games!$A$2:$A$18,Games!$L$2:$L$18,"Missing game",0)</x:f>
        <x:v>31</x:v>
      </x:c>
      <x:c r="AR2015" t="n">
        <x:f>_xlfn.XLOOKUP($A2015,Games!$A$2:$A$18,Games!$M$2:$M$18,"Missing game",0)</x:f>
        <x:v>0</x:v>
      </x:c>
      <x:c r="AS2015" t="str">
        <x:f>_xlfn.XLOOKUP($A2015,Games!$A$2:$A$18,Games!$N$2:$N$18,"Missing game",0)</x:f>
        <x:v>dome</x:v>
      </x:c>
      <x:c r="AT2015" t="str">
        <x:f>_xlfn.XLOOKUP($A2015,Games!$A$2:$A$18,Games!$O$2:$O$18,"Missing game",0)</x:f>
        <x:v>sportturf</x:v>
      </x:c>
      <x:c r="AU2015" t="str">
        <x:f>_xlfn.XLOOKUP($A2015,Games!$A$2:$A$18,Games!$P$2:$P$18,"Missing game",0)</x:f>
      </x:c>
      <x:c r="AV2015" t="str">
        <x:f>_xlfn.XLOOKUP($A2015,Games!$A$2:$A$18,Games!$Q$2:$Q$18,"Missing game",0)</x:f>
      </x:c>
      <x:c r="AW2015" t="str">
        <x:f>_xlfn.XLOOKUP($A2015,Games!$A$2:$A$18,Games!$R$2:$R$18,"Missing game",0)</x:f>
        <x:v>U.S. Bank Stadium</x:v>
      </x:c>
    </x:row>
    <x:row r="2016">
      <x:c r="A2016" t="str">
        <x:v>2025_14_WAS_MIN</x:v>
      </x:c>
      <x:c r="B2016" t="n">
        <x:v>186</x:v>
      </x:c>
      <x:c r="C2016" t="n">
        <x:v>1</x:v>
      </x:c>
      <x:c r="D2016" t="str">
        <x:v>11:46</x:v>
      </x:c>
      <x:c r="E2016" t="n">
        <x:v>2</x:v>
      </x:c>
      <x:c r="F2016" t="n">
        <x:v>1</x:v>
      </x:c>
      <x:c r="G2016" t="str">
        <x:v>MIN</x:v>
      </x:c>
      <x:c r="H2016" t="str">
        <x:v>WAS</x:v>
      </x:c>
      <x:c r="I2016" t="str">
        <x:v>WAS</x:v>
      </x:c>
      <x:c r="J2016" t="n">
        <x:v>23</x:v>
      </x:c>
      <x:c r="K2016" t="str">
        <x:v>(11:46) 33-A.Jones left guard to WAS 18 for 5 yards (20-Q.Martin).</x:v>
      </x:c>
      <x:c r="L2016" t="str">
        <x:v>run</x:v>
      </x:c>
      <x:c r="M2016" t="n">
        <x:v>5</x:v>
      </x:c>
      <x:c r="N2016" t="n">
        <x:v>0</x:v>
      </x:c>
      <x:c r="O2016" t="n">
        <x:v>0</x:v>
      </x:c>
      <x:c r="P2016"/>
      <x:c r="Q2016"/>
      <x:c r="R2016"/>
      <x:c r="S2016"/>
      <x:c r="T2016" t="str">
        <x:v>left</x:v>
      </x:c>
      <x:c r="U2016" t="str">
        <x:v>guard</x:v>
      </x:c>
      <x:c r="V2016" t="n">
        <x:v>0</x:v>
      </x:c>
      <x:c r="W2016" t="n">
        <x:v>1</x:v>
      </x:c>
      <x:c r="X2016" t="n">
        <x:v>0</x:v>
      </x:c>
      <x:c r="Y2016" t="n">
        <x:v>0</x:v>
      </x:c>
      <x:c r="Z2016" t="n">
        <x:v>0</x:v>
      </x:c>
      <x:c r="AA2016" t="n">
        <x:v>0</x:v>
      </x:c>
      <x:c r="AB2016"/>
      <x:c r="AC2016" t="n">
        <x:v>0</x:v>
      </x:c>
      <x:c r="AD2016" t="n">
        <x:v>0.08514448255300522</x:v>
      </x:c>
      <x:c r="AE2016" t="n">
        <x:v>1</x:v>
      </x:c>
      <x:c r="AF2016" t="n">
        <x:v>-0.010520339012145996</x:v>
      </x:c>
      <x:c r="AG2016" t="n">
        <x:f>_xlfn.XLOOKUP($A2016,Games!$A$2:$A$18,Games!$B$2:$B$18,"Missing game",0)</x:f>
        <x:v>2025</x:v>
      </x:c>
      <x:c r="AH2016" t="str">
        <x:f>_xlfn.XLOOKUP($A2016,Games!$A$2:$A$18,Games!$C$2:$C$18,"Missing game",0)</x:f>
        <x:v>REG</x:v>
      </x:c>
      <x:c r="AI2016" t="n">
        <x:f>_xlfn.XLOOKUP($A2016,Games!$A$2:$A$18,Games!$D$2:$D$18,"Missing game",0)</x:f>
        <x:v>14</x:v>
      </x:c>
      <x:c r="AJ2016" s="1" t="n">
        <x:f>_xlfn.XLOOKUP($A2016,Games!$A$2:$A$18,Games!$E$2:$E$18,"Missing game",0)</x:f>
        <x:v>45998</x:v>
      </x:c>
      <x:c r="AK2016" t="str">
        <x:f>_xlfn.XLOOKUP($A2016,Games!$A$2:$A$18,Games!$F$2:$F$18,"Missing game",0)</x:f>
        <x:v>Sunday</x:v>
      </x:c>
      <x:c r="AL2016" t="str">
        <x:f>_xlfn.XLOOKUP($A2016,Games!$A$2:$A$18,Games!$G$2:$G$18,"Missing game",0)</x:f>
        <x:v>WAS</x:v>
      </x:c>
      <x:c r="AM2016" t="n">
        <x:f>_xlfn.XLOOKUP($A2016,Games!$A$2:$A$18,Games!$H$2:$H$18,"Missing game",0)</x:f>
        <x:v>0</x:v>
      </x:c>
      <x:c r="AN2016" t="str">
        <x:f>_xlfn.XLOOKUP($A2016,Games!$A$2:$A$18,Games!$I$2:$I$18,"Missing game",0)</x:f>
        <x:v>MIN</x:v>
      </x:c>
      <x:c r="AO2016" t="n">
        <x:f>_xlfn.XLOOKUP($A2016,Games!$A$2:$A$18,Games!$J$2:$J$18,"Missing game",0)</x:f>
        <x:v>31</x:v>
      </x:c>
      <x:c r="AP2016" t="n">
        <x:f>_xlfn.XLOOKUP($A2016,Games!$A$2:$A$18,Games!$K$2:$K$18,"Missing game",0)</x:f>
        <x:v>31</x:v>
      </x:c>
      <x:c r="AQ2016" t="n">
        <x:f>_xlfn.XLOOKUP($A2016,Games!$A$2:$A$18,Games!$L$2:$L$18,"Missing game",0)</x:f>
        <x:v>31</x:v>
      </x:c>
      <x:c r="AR2016" t="n">
        <x:f>_xlfn.XLOOKUP($A2016,Games!$A$2:$A$18,Games!$M$2:$M$18,"Missing game",0)</x:f>
        <x:v>0</x:v>
      </x:c>
      <x:c r="AS2016" t="str">
        <x:f>_xlfn.XLOOKUP($A2016,Games!$A$2:$A$18,Games!$N$2:$N$18,"Missing game",0)</x:f>
        <x:v>dome</x:v>
      </x:c>
      <x:c r="AT2016" t="str">
        <x:f>_xlfn.XLOOKUP($A2016,Games!$A$2:$A$18,Games!$O$2:$O$18,"Missing game",0)</x:f>
        <x:v>sportturf</x:v>
      </x:c>
      <x:c r="AU2016" t="str">
        <x:f>_xlfn.XLOOKUP($A2016,Games!$A$2:$A$18,Games!$P$2:$P$18,"Missing game",0)</x:f>
      </x:c>
      <x:c r="AV2016" t="str">
        <x:f>_xlfn.XLOOKUP($A2016,Games!$A$2:$A$18,Games!$Q$2:$Q$18,"Missing game",0)</x:f>
      </x:c>
      <x:c r="AW2016" t="str">
        <x:f>_xlfn.XLOOKUP($A2016,Games!$A$2:$A$18,Games!$R$2:$R$18,"Missing game",0)</x:f>
        <x:v>U.S. Bank Stadium</x:v>
      </x:c>
    </x:row>
    <x:row r="2017">
      <x:c r="A2017" t="str">
        <x:v>2025_14_WAS_MIN</x:v>
      </x:c>
      <x:c r="B2017" t="n">
        <x:v>208</x:v>
      </x:c>
      <x:c r="C2017" t="n">
        <x:v>1</x:v>
      </x:c>
      <x:c r="D2017" t="str">
        <x:v>11:07</x:v>
      </x:c>
      <x:c r="E2017" t="n">
        <x:v>1</x:v>
      </x:c>
      <x:c r="F2017" t="n">
        <x:v>10</x:v>
      </x:c>
      <x:c r="G2017" t="str">
        <x:v>MIN</x:v>
      </x:c>
      <x:c r="H2017" t="str">
        <x:v>WAS</x:v>
      </x:c>
      <x:c r="I2017" t="str">
        <x:v>WAS</x:v>
      </x:c>
      <x:c r="J2017" t="n">
        <x:v>18</x:v>
      </x:c>
      <x:c r="K2017" t="str">
        <x:v>(11:07) (Shotgun) 9-J.McCarthy pass deep left to 84-J.Oliver for 18 yards, TOUCHDOWN.</x:v>
      </x:c>
      <x:c r="L2017" t="str">
        <x:v>pass</x:v>
      </x:c>
      <x:c r="M2017" t="n">
        <x:v>18</x:v>
      </x:c>
      <x:c r="N2017" t="n">
        <x:v>1</x:v>
      </x:c>
      <x:c r="O2017" t="n">
        <x:v>0</x:v>
      </x:c>
      <x:c r="P2017" t="str">
        <x:v>deep</x:v>
      </x:c>
      <x:c r="Q2017" t="str">
        <x:v>left</x:v>
      </x:c>
      <x:c r="R2017" t="n">
        <x:v>16</x:v>
      </x:c>
      <x:c r="S2017" t="n">
        <x:v>2</x:v>
      </x:c>
      <x:c r="T2017"/>
      <x:c r="U2017"/>
      <x:c r="V2017" t="n">
        <x:v>1</x:v>
      </x:c>
      <x:c r="W2017" t="n">
        <x:v>1</x:v>
      </x:c>
      <x:c r="X2017" t="n">
        <x:v>0</x:v>
      </x:c>
      <x:c r="Y2017" t="n">
        <x:v>0</x:v>
      </x:c>
      <x:c r="Z2017" t="n">
        <x:v>0</x:v>
      </x:c>
      <x:c r="AA2017" t="n">
        <x:v>0</x:v>
      </x:c>
      <x:c r="AB2017"/>
      <x:c r="AC2017" t="n">
        <x:v>1</x:v>
      </x:c>
      <x:c r="AD2017" t="n">
        <x:v>1.7884410277474672</x:v>
      </x:c>
      <x:c r="AE2017" t="n">
        <x:v>1</x:v>
      </x:c>
      <x:c r="AF2017" t="n">
        <x:v>0.03821496486137488</x:v>
      </x:c>
      <x:c r="AG2017" t="n">
        <x:f>_xlfn.XLOOKUP($A2017,Games!$A$2:$A$18,Games!$B$2:$B$18,"Missing game",0)</x:f>
        <x:v>2025</x:v>
      </x:c>
      <x:c r="AH2017" t="str">
        <x:f>_xlfn.XLOOKUP($A2017,Games!$A$2:$A$18,Games!$C$2:$C$18,"Missing game",0)</x:f>
        <x:v>REG</x:v>
      </x:c>
      <x:c r="AI2017" t="n">
        <x:f>_xlfn.XLOOKUP($A2017,Games!$A$2:$A$18,Games!$D$2:$D$18,"Missing game",0)</x:f>
        <x:v>14</x:v>
      </x:c>
      <x:c r="AJ2017" s="1" t="n">
        <x:f>_xlfn.XLOOKUP($A2017,Games!$A$2:$A$18,Games!$E$2:$E$18,"Missing game",0)</x:f>
        <x:v>45998</x:v>
      </x:c>
      <x:c r="AK2017" t="str">
        <x:f>_xlfn.XLOOKUP($A2017,Games!$A$2:$A$18,Games!$F$2:$F$18,"Missing game",0)</x:f>
        <x:v>Sunday</x:v>
      </x:c>
      <x:c r="AL2017" t="str">
        <x:f>_xlfn.XLOOKUP($A2017,Games!$A$2:$A$18,Games!$G$2:$G$18,"Missing game",0)</x:f>
        <x:v>WAS</x:v>
      </x:c>
      <x:c r="AM2017" t="n">
        <x:f>_xlfn.XLOOKUP($A2017,Games!$A$2:$A$18,Games!$H$2:$H$18,"Missing game",0)</x:f>
        <x:v>0</x:v>
      </x:c>
      <x:c r="AN2017" t="str">
        <x:f>_xlfn.XLOOKUP($A2017,Games!$A$2:$A$18,Games!$I$2:$I$18,"Missing game",0)</x:f>
        <x:v>MIN</x:v>
      </x:c>
      <x:c r="AO2017" t="n">
        <x:f>_xlfn.XLOOKUP($A2017,Games!$A$2:$A$18,Games!$J$2:$J$18,"Missing game",0)</x:f>
        <x:v>31</x:v>
      </x:c>
      <x:c r="AP2017" t="n">
        <x:f>_xlfn.XLOOKUP($A2017,Games!$A$2:$A$18,Games!$K$2:$K$18,"Missing game",0)</x:f>
        <x:v>31</x:v>
      </x:c>
      <x:c r="AQ2017" t="n">
        <x:f>_xlfn.XLOOKUP($A2017,Games!$A$2:$A$18,Games!$L$2:$L$18,"Missing game",0)</x:f>
        <x:v>31</x:v>
      </x:c>
      <x:c r="AR2017" t="n">
        <x:f>_xlfn.XLOOKUP($A2017,Games!$A$2:$A$18,Games!$M$2:$M$18,"Missing game",0)</x:f>
        <x:v>0</x:v>
      </x:c>
      <x:c r="AS2017" t="str">
        <x:f>_xlfn.XLOOKUP($A2017,Games!$A$2:$A$18,Games!$N$2:$N$18,"Missing game",0)</x:f>
        <x:v>dome</x:v>
      </x:c>
      <x:c r="AT2017" t="str">
        <x:f>_xlfn.XLOOKUP($A2017,Games!$A$2:$A$18,Games!$O$2:$O$18,"Missing game",0)</x:f>
        <x:v>sportturf</x:v>
      </x:c>
      <x:c r="AU2017" t="str">
        <x:f>_xlfn.XLOOKUP($A2017,Games!$A$2:$A$18,Games!$P$2:$P$18,"Missing game",0)</x:f>
      </x:c>
      <x:c r="AV2017" t="str">
        <x:f>_xlfn.XLOOKUP($A2017,Games!$A$2:$A$18,Games!$Q$2:$Q$18,"Missing game",0)</x:f>
      </x:c>
      <x:c r="AW2017" t="str">
        <x:f>_xlfn.XLOOKUP($A2017,Games!$A$2:$A$18,Games!$R$2:$R$18,"Missing game",0)</x:f>
        <x:v>U.S. Bank Stadium</x:v>
      </x:c>
    </x:row>
    <x:row r="2018">
      <x:c r="A2018" t="str">
        <x:v>2025_14_WAS_MIN</x:v>
      </x:c>
      <x:c r="B2018" t="n">
        <x:v>234</x:v>
      </x:c>
      <x:c r="C2018" t="n">
        <x:v>1</x:v>
      </x:c>
      <x:c r="D2018" t="str">
        <x:v>11:03</x:v>
      </x:c>
      <x:c r="E2018"/>
      <x:c r="F2018" t="n">
        <x:v>0</x:v>
      </x:c>
      <x:c r="G2018" t="str">
        <x:v>MIN</x:v>
      </x:c>
      <x:c r="H2018" t="str">
        <x:v>WAS</x:v>
      </x:c>
      <x:c r="I2018" t="str">
        <x:v>WAS</x:v>
      </x:c>
      <x:c r="J2018" t="n">
        <x:v>15</x:v>
      </x:c>
      <x:c r="K2018" t="str">
        <x:v>16-W.Reichard extra point is GOOD, Center-42-A.DePaola, Holder-17-R.Wright.</x:v>
      </x:c>
      <x:c r="L2018" t="str">
        <x:v>extra_point</x:v>
      </x:c>
      <x:c r="M2018" t="n">
        <x:v>0</x:v>
      </x:c>
      <x:c r="N2018" t="n">
        <x:v>0</x:v>
      </x:c>
      <x:c r="O2018" t="n">
        <x:v>0</x:v>
      </x:c>
      <x:c r="P2018"/>
      <x:c r="Q2018"/>
      <x:c r="R2018"/>
      <x:c r="S2018"/>
      <x:c r="T2018"/>
      <x:c r="U2018"/>
      <x:c r="V2018" t="n">
        <x:v>0</x:v>
      </x:c>
      <x:c r="W2018" t="n">
        <x:v>0</x:v>
      </x:c>
      <x:c r="X2018" t="n">
        <x:v>0</x:v>
      </x:c>
      <x:c r="Y2018" t="n">
        <x:v>0</x:v>
      </x:c>
      <x:c r="Z2018" t="n">
        <x:v>0</x:v>
      </x:c>
      <x:c r="AA2018" t="n">
        <x:v>0</x:v>
      </x:c>
      <x:c r="AB2018"/>
      <x:c r="AC2018" t="n">
        <x:v>0</x:v>
      </x:c>
      <x:c r="AD2018" t="n">
        <x:v>0.05117156607063911</x:v>
      </x:c>
      <x:c r="AE2018" t="n">
        <x:v>1</x:v>
      </x:c>
      <x:c r="AF2018" t="n">
        <x:v>0.0013477969222249753</x:v>
      </x:c>
      <x:c r="AG2018" t="n">
        <x:f>_xlfn.XLOOKUP($A2018,Games!$A$2:$A$18,Games!$B$2:$B$18,"Missing game",0)</x:f>
        <x:v>2025</x:v>
      </x:c>
      <x:c r="AH2018" t="str">
        <x:f>_xlfn.XLOOKUP($A2018,Games!$A$2:$A$18,Games!$C$2:$C$18,"Missing game",0)</x:f>
        <x:v>REG</x:v>
      </x:c>
      <x:c r="AI2018" t="n">
        <x:f>_xlfn.XLOOKUP($A2018,Games!$A$2:$A$18,Games!$D$2:$D$18,"Missing game",0)</x:f>
        <x:v>14</x:v>
      </x:c>
      <x:c r="AJ2018" s="1" t="n">
        <x:f>_xlfn.XLOOKUP($A2018,Games!$A$2:$A$18,Games!$E$2:$E$18,"Missing game",0)</x:f>
        <x:v>45998</x:v>
      </x:c>
      <x:c r="AK2018" t="str">
        <x:f>_xlfn.XLOOKUP($A2018,Games!$A$2:$A$18,Games!$F$2:$F$18,"Missing game",0)</x:f>
        <x:v>Sunday</x:v>
      </x:c>
      <x:c r="AL2018" t="str">
        <x:f>_xlfn.XLOOKUP($A2018,Games!$A$2:$A$18,Games!$G$2:$G$18,"Missing game",0)</x:f>
        <x:v>WAS</x:v>
      </x:c>
      <x:c r="AM2018" t="n">
        <x:f>_xlfn.XLOOKUP($A2018,Games!$A$2:$A$18,Games!$H$2:$H$18,"Missing game",0)</x:f>
        <x:v>0</x:v>
      </x:c>
      <x:c r="AN2018" t="str">
        <x:f>_xlfn.XLOOKUP($A2018,Games!$A$2:$A$18,Games!$I$2:$I$18,"Missing game",0)</x:f>
        <x:v>MIN</x:v>
      </x:c>
      <x:c r="AO2018" t="n">
        <x:f>_xlfn.XLOOKUP($A2018,Games!$A$2:$A$18,Games!$J$2:$J$18,"Missing game",0)</x:f>
        <x:v>31</x:v>
      </x:c>
      <x:c r="AP2018" t="n">
        <x:f>_xlfn.XLOOKUP($A2018,Games!$A$2:$A$18,Games!$K$2:$K$18,"Missing game",0)</x:f>
        <x:v>31</x:v>
      </x:c>
      <x:c r="AQ2018" t="n">
        <x:f>_xlfn.XLOOKUP($A2018,Games!$A$2:$A$18,Games!$L$2:$L$18,"Missing game",0)</x:f>
        <x:v>31</x:v>
      </x:c>
      <x:c r="AR2018" t="n">
        <x:f>_xlfn.XLOOKUP($A2018,Games!$A$2:$A$18,Games!$M$2:$M$18,"Missing game",0)</x:f>
        <x:v>0</x:v>
      </x:c>
      <x:c r="AS2018" t="str">
        <x:f>_xlfn.XLOOKUP($A2018,Games!$A$2:$A$18,Games!$N$2:$N$18,"Missing game",0)</x:f>
        <x:v>dome</x:v>
      </x:c>
      <x:c r="AT2018" t="str">
        <x:f>_xlfn.XLOOKUP($A2018,Games!$A$2:$A$18,Games!$O$2:$O$18,"Missing game",0)</x:f>
        <x:v>sportturf</x:v>
      </x:c>
      <x:c r="AU2018" t="str">
        <x:f>_xlfn.XLOOKUP($A2018,Games!$A$2:$A$18,Games!$P$2:$P$18,"Missing game",0)</x:f>
      </x:c>
      <x:c r="AV2018" t="str">
        <x:f>_xlfn.XLOOKUP($A2018,Games!$A$2:$A$18,Games!$Q$2:$Q$18,"Missing game",0)</x:f>
      </x:c>
      <x:c r="AW2018" t="str">
        <x:f>_xlfn.XLOOKUP($A2018,Games!$A$2:$A$18,Games!$R$2:$R$18,"Missing game",0)</x:f>
        <x:v>U.S. Bank Stadium</x:v>
      </x:c>
    </x:row>
    <x:row r="2019">
      <x:c r="A2019" t="str">
        <x:v>2025_14_WAS_MIN</x:v>
      </x:c>
      <x:c r="B2019" t="n">
        <x:v>249</x:v>
      </x:c>
      <x:c r="C2019" t="n">
        <x:v>1</x:v>
      </x:c>
      <x:c r="D2019" t="str">
        <x:v>11:03</x:v>
      </x:c>
      <x:c r="E2019"/>
      <x:c r="F2019" t="n">
        <x:v>0</x:v>
      </x:c>
      <x:c r="G2019" t="str">
        <x:v>WAS</x:v>
      </x:c>
      <x:c r="H2019" t="str">
        <x:v>MIN</x:v>
      </x:c>
      <x:c r="I2019" t="str">
        <x:v>MIN</x:v>
      </x:c>
      <x:c r="J2019" t="n">
        <x:v>35</x:v>
      </x:c>
      <x:c r="K2019" t="str">
        <x:v>16-W.Reichard kicks 64 yards from MIN 35 to WAS 1. 1-D.Samuel to WAS 41 for 40 yards (56-A.Keys; 36-Z.Scott). PENALTY on WAS-35-P.Butler, Offensive Holding, 10 yards, enforced at WAS 25.</x:v>
      </x:c>
      <x:c r="L2019" t="str">
        <x:v>kickoff</x:v>
      </x:c>
      <x:c r="M2019" t="n">
        <x:v>0</x:v>
      </x:c>
      <x:c r="N2019" t="n">
        <x:v>0</x:v>
      </x:c>
      <x:c r="O2019" t="n">
        <x:v>0</x:v>
      </x:c>
      <x:c r="P2019"/>
      <x:c r="Q2019"/>
      <x:c r="R2019"/>
      <x:c r="S2019"/>
      <x:c r="T2019"/>
      <x:c r="U2019"/>
      <x:c r="V2019" t="n">
        <x:v>0</x:v>
      </x:c>
      <x:c r="W2019" t="n">
        <x:v>0</x:v>
      </x:c>
      <x:c r="X2019" t="n">
        <x:v>0</x:v>
      </x:c>
      <x:c r="Y2019" t="n">
        <x:v>0</x:v>
      </x:c>
      <x:c r="Z2019" t="n">
        <x:v>0</x:v>
      </x:c>
      <x:c r="AA2019" t="n">
        <x:v>1</x:v>
      </x:c>
      <x:c r="AB2019" t="n">
        <x:v>10</x:v>
      </x:c>
      <x:c r="AC2019" t="n">
        <x:v>0</x:v>
      </x:c>
      <x:c r="AD2019" t="n">
        <x:v>-0.7431268589571118</x:v>
      </x:c>
      <x:c r="AE2019" t="n">
        <x:v>0</x:v>
      </x:c>
      <x:c r="AF2019" t="n">
        <x:v>-0.014047890901565552</x:v>
      </x:c>
      <x:c r="AG2019" t="n">
        <x:f>_xlfn.XLOOKUP($A2019,Games!$A$2:$A$18,Games!$B$2:$B$18,"Missing game",0)</x:f>
        <x:v>2025</x:v>
      </x:c>
      <x:c r="AH2019" t="str">
        <x:f>_xlfn.XLOOKUP($A2019,Games!$A$2:$A$18,Games!$C$2:$C$18,"Missing game",0)</x:f>
        <x:v>REG</x:v>
      </x:c>
      <x:c r="AI2019" t="n">
        <x:f>_xlfn.XLOOKUP($A2019,Games!$A$2:$A$18,Games!$D$2:$D$18,"Missing game",0)</x:f>
        <x:v>14</x:v>
      </x:c>
      <x:c r="AJ2019" s="1" t="n">
        <x:f>_xlfn.XLOOKUP($A2019,Games!$A$2:$A$18,Games!$E$2:$E$18,"Missing game",0)</x:f>
        <x:v>45998</x:v>
      </x:c>
      <x:c r="AK2019" t="str">
        <x:f>_xlfn.XLOOKUP($A2019,Games!$A$2:$A$18,Games!$F$2:$F$18,"Missing game",0)</x:f>
        <x:v>Sunday</x:v>
      </x:c>
      <x:c r="AL2019" t="str">
        <x:f>_xlfn.XLOOKUP($A2019,Games!$A$2:$A$18,Games!$G$2:$G$18,"Missing game",0)</x:f>
        <x:v>WAS</x:v>
      </x:c>
      <x:c r="AM2019" t="n">
        <x:f>_xlfn.XLOOKUP($A2019,Games!$A$2:$A$18,Games!$H$2:$H$18,"Missing game",0)</x:f>
        <x:v>0</x:v>
      </x:c>
      <x:c r="AN2019" t="str">
        <x:f>_xlfn.XLOOKUP($A2019,Games!$A$2:$A$18,Games!$I$2:$I$18,"Missing game",0)</x:f>
        <x:v>MIN</x:v>
      </x:c>
      <x:c r="AO2019" t="n">
        <x:f>_xlfn.XLOOKUP($A2019,Games!$A$2:$A$18,Games!$J$2:$J$18,"Missing game",0)</x:f>
        <x:v>31</x:v>
      </x:c>
      <x:c r="AP2019" t="n">
        <x:f>_xlfn.XLOOKUP($A2019,Games!$A$2:$A$18,Games!$K$2:$K$18,"Missing game",0)</x:f>
        <x:v>31</x:v>
      </x:c>
      <x:c r="AQ2019" t="n">
        <x:f>_xlfn.XLOOKUP($A2019,Games!$A$2:$A$18,Games!$L$2:$L$18,"Missing game",0)</x:f>
        <x:v>31</x:v>
      </x:c>
      <x:c r="AR2019" t="n">
        <x:f>_xlfn.XLOOKUP($A2019,Games!$A$2:$A$18,Games!$M$2:$M$18,"Missing game",0)</x:f>
        <x:v>0</x:v>
      </x:c>
      <x:c r="AS2019" t="str">
        <x:f>_xlfn.XLOOKUP($A2019,Games!$A$2:$A$18,Games!$N$2:$N$18,"Missing game",0)</x:f>
        <x:v>dome</x:v>
      </x:c>
      <x:c r="AT2019" t="str">
        <x:f>_xlfn.XLOOKUP($A2019,Games!$A$2:$A$18,Games!$O$2:$O$18,"Missing game",0)</x:f>
        <x:v>sportturf</x:v>
      </x:c>
      <x:c r="AU2019" t="str">
        <x:f>_xlfn.XLOOKUP($A2019,Games!$A$2:$A$18,Games!$P$2:$P$18,"Missing game",0)</x:f>
      </x:c>
      <x:c r="AV2019" t="str">
        <x:f>_xlfn.XLOOKUP($A2019,Games!$A$2:$A$18,Games!$Q$2:$Q$18,"Missing game",0)</x:f>
      </x:c>
      <x:c r="AW2019" t="str">
        <x:f>_xlfn.XLOOKUP($A2019,Games!$A$2:$A$18,Games!$R$2:$R$18,"Missing game",0)</x:f>
        <x:v>U.S. Bank Stadium</x:v>
      </x:c>
    </x:row>
    <x:row r="2020">
      <x:c r="A2020" t="str">
        <x:v>2025_14_WAS_MIN</x:v>
      </x:c>
      <x:c r="B2020" t="n">
        <x:v>290</x:v>
      </x:c>
      <x:c r="C2020" t="n">
        <x:v>1</x:v>
      </x:c>
      <x:c r="D2020" t="str">
        <x:v>10:52</x:v>
      </x:c>
      <x:c r="E2020" t="n">
        <x:v>1</x:v>
      </x:c>
      <x:c r="F2020" t="n">
        <x:v>10</x:v>
      </x:c>
      <x:c r="G2020" t="str">
        <x:v>WAS</x:v>
      </x:c>
      <x:c r="H2020" t="str">
        <x:v>MIN</x:v>
      </x:c>
      <x:c r="I2020" t="str">
        <x:v>WAS</x:v>
      </x:c>
      <x:c r="J2020" t="n">
        <x:v>85</x:v>
      </x:c>
      <x:c r="K2020" t="str">
        <x:v>(10:52) (Shotgun) 36-C.Rodriguez left tackle to WAS 19 for 4 yards (55-E.Wilson; 43-A.Van Ginkel).</x:v>
      </x:c>
      <x:c r="L2020" t="str">
        <x:v>run</x:v>
      </x:c>
      <x:c r="M2020" t="n">
        <x:v>4</x:v>
      </x:c>
      <x:c r="N2020" t="n">
        <x:v>1</x:v>
      </x:c>
      <x:c r="O2020" t="n">
        <x:v>0</x:v>
      </x:c>
      <x:c r="P2020"/>
      <x:c r="Q2020"/>
      <x:c r="R2020"/>
      <x:c r="S2020"/>
      <x:c r="T2020" t="str">
        <x:v>left</x:v>
      </x:c>
      <x:c r="U2020" t="str">
        <x:v>tackle</x:v>
      </x:c>
      <x:c r="V2020" t="n">
        <x:v>0</x:v>
      </x:c>
      <x:c r="W2020" t="n">
        <x:v>0</x:v>
      </x:c>
      <x:c r="X2020" t="n">
        <x:v>0</x:v>
      </x:c>
      <x:c r="Y2020" t="n">
        <x:v>0</x:v>
      </x:c>
      <x:c r="Z2020" t="n">
        <x:v>0</x:v>
      </x:c>
      <x:c r="AA2020" t="n">
        <x:v>0</x:v>
      </x:c>
      <x:c r="AB2020"/>
      <x:c r="AC2020" t="n">
        <x:v>0</x:v>
      </x:c>
      <x:c r="AD2020" t="n">
        <x:v>-0.18775079865008593</x:v>
      </x:c>
      <x:c r="AE2020" t="n">
        <x:v>0</x:v>
      </x:c>
      <x:c r="AF2020" t="n">
        <x:v>0.00022083520889282227</x:v>
      </x:c>
      <x:c r="AG2020" t="n">
        <x:f>_xlfn.XLOOKUP($A2020,Games!$A$2:$A$18,Games!$B$2:$B$18,"Missing game",0)</x:f>
        <x:v>2025</x:v>
      </x:c>
      <x:c r="AH2020" t="str">
        <x:f>_xlfn.XLOOKUP($A2020,Games!$A$2:$A$18,Games!$C$2:$C$18,"Missing game",0)</x:f>
        <x:v>REG</x:v>
      </x:c>
      <x:c r="AI2020" t="n">
        <x:f>_xlfn.XLOOKUP($A2020,Games!$A$2:$A$18,Games!$D$2:$D$18,"Missing game",0)</x:f>
        <x:v>14</x:v>
      </x:c>
      <x:c r="AJ2020" s="1" t="n">
        <x:f>_xlfn.XLOOKUP($A2020,Games!$A$2:$A$18,Games!$E$2:$E$18,"Missing game",0)</x:f>
        <x:v>45998</x:v>
      </x:c>
      <x:c r="AK2020" t="str">
        <x:f>_xlfn.XLOOKUP($A2020,Games!$A$2:$A$18,Games!$F$2:$F$18,"Missing game",0)</x:f>
        <x:v>Sunday</x:v>
      </x:c>
      <x:c r="AL2020" t="str">
        <x:f>_xlfn.XLOOKUP($A2020,Games!$A$2:$A$18,Games!$G$2:$G$18,"Missing game",0)</x:f>
        <x:v>WAS</x:v>
      </x:c>
      <x:c r="AM2020" t="n">
        <x:f>_xlfn.XLOOKUP($A2020,Games!$A$2:$A$18,Games!$H$2:$H$18,"Missing game",0)</x:f>
        <x:v>0</x:v>
      </x:c>
      <x:c r="AN2020" t="str">
        <x:f>_xlfn.XLOOKUP($A2020,Games!$A$2:$A$18,Games!$I$2:$I$18,"Missing game",0)</x:f>
        <x:v>MIN</x:v>
      </x:c>
      <x:c r="AO2020" t="n">
        <x:f>_xlfn.XLOOKUP($A2020,Games!$A$2:$A$18,Games!$J$2:$J$18,"Missing game",0)</x:f>
        <x:v>31</x:v>
      </x:c>
      <x:c r="AP2020" t="n">
        <x:f>_xlfn.XLOOKUP($A2020,Games!$A$2:$A$18,Games!$K$2:$K$18,"Missing game",0)</x:f>
        <x:v>31</x:v>
      </x:c>
      <x:c r="AQ2020" t="n">
        <x:f>_xlfn.XLOOKUP($A2020,Games!$A$2:$A$18,Games!$L$2:$L$18,"Missing game",0)</x:f>
        <x:v>31</x:v>
      </x:c>
      <x:c r="AR2020" t="n">
        <x:f>_xlfn.XLOOKUP($A2020,Games!$A$2:$A$18,Games!$M$2:$M$18,"Missing game",0)</x:f>
        <x:v>0</x:v>
      </x:c>
      <x:c r="AS2020" t="str">
        <x:f>_xlfn.XLOOKUP($A2020,Games!$A$2:$A$18,Games!$N$2:$N$18,"Missing game",0)</x:f>
        <x:v>dome</x:v>
      </x:c>
      <x:c r="AT2020" t="str">
        <x:f>_xlfn.XLOOKUP($A2020,Games!$A$2:$A$18,Games!$O$2:$O$18,"Missing game",0)</x:f>
        <x:v>sportturf</x:v>
      </x:c>
      <x:c r="AU2020" t="str">
        <x:f>_xlfn.XLOOKUP($A2020,Games!$A$2:$A$18,Games!$P$2:$P$18,"Missing game",0)</x:f>
      </x:c>
      <x:c r="AV2020" t="str">
        <x:f>_xlfn.XLOOKUP($A2020,Games!$A$2:$A$18,Games!$Q$2:$Q$18,"Missing game",0)</x:f>
      </x:c>
      <x:c r="AW2020" t="str">
        <x:f>_xlfn.XLOOKUP($A2020,Games!$A$2:$A$18,Games!$R$2:$R$18,"Missing game",0)</x:f>
        <x:v>U.S. Bank Stadium</x:v>
      </x:c>
    </x:row>
    <x:row r="2021">
      <x:c r="A2021" t="str">
        <x:v>2025_14_WAS_MIN</x:v>
      </x:c>
      <x:c r="B2021" t="n">
        <x:v>312</x:v>
      </x:c>
      <x:c r="C2021" t="n">
        <x:v>1</x:v>
      </x:c>
      <x:c r="D2021" t="str">
        <x:v>10:18</x:v>
      </x:c>
      <x:c r="E2021" t="n">
        <x:v>2</x:v>
      </x:c>
      <x:c r="F2021" t="n">
        <x:v>6</x:v>
      </x:c>
      <x:c r="G2021" t="str">
        <x:v>WAS</x:v>
      </x:c>
      <x:c r="H2021" t="str">
        <x:v>MIN</x:v>
      </x:c>
      <x:c r="I2021" t="str">
        <x:v>WAS</x:v>
      </x:c>
      <x:c r="J2021" t="n">
        <x:v>81</x:v>
      </x:c>
      <x:c r="K2021" t="str">
        <x:v>(10:18) (No Huddle, Shotgun) 5-J.Daniels pass deep left to 17-T.McLaurin to WAS 47 for 28 yards (24-J.Ward) [93-J.Allen].</x:v>
      </x:c>
      <x:c r="L2021" t="str">
        <x:v>pass</x:v>
      </x:c>
      <x:c r="M2021" t="n">
        <x:v>28</x:v>
      </x:c>
      <x:c r="N2021" t="n">
        <x:v>1</x:v>
      </x:c>
      <x:c r="O2021" t="n">
        <x:v>1</x:v>
      </x:c>
      <x:c r="P2021" t="str">
        <x:v>deep</x:v>
      </x:c>
      <x:c r="Q2021" t="str">
        <x:v>left</x:v>
      </x:c>
      <x:c r="R2021" t="n">
        <x:v>20</x:v>
      </x:c>
      <x:c r="S2021" t="n">
        <x:v>8</x:v>
      </x:c>
      <x:c r="T2021"/>
      <x:c r="U2021"/>
      <x:c r="V2021" t="n">
        <x:v>1</x:v>
      </x:c>
      <x:c r="W2021" t="n">
        <x:v>1</x:v>
      </x:c>
      <x:c r="X2021" t="n">
        <x:v>0</x:v>
      </x:c>
      <x:c r="Y2021" t="n">
        <x:v>0</x:v>
      </x:c>
      <x:c r="Z2021" t="n">
        <x:v>0</x:v>
      </x:c>
      <x:c r="AA2021" t="n">
        <x:v>0</x:v>
      </x:c>
      <x:c r="AB2021"/>
      <x:c r="AC2021" t="n">
        <x:v>0</x:v>
      </x:c>
      <x:c r="AD2021" t="n">
        <x:v>2.3458899564575404</x:v>
      </x:c>
      <x:c r="AE2021" t="n">
        <x:v>1</x:v>
      </x:c>
      <x:c r="AF2021" t="n">
        <x:v>0.05039268732070923</x:v>
      </x:c>
      <x:c r="AG2021" t="n">
        <x:f>_xlfn.XLOOKUP($A2021,Games!$A$2:$A$18,Games!$B$2:$B$18,"Missing game",0)</x:f>
        <x:v>2025</x:v>
      </x:c>
      <x:c r="AH2021" t="str">
        <x:f>_xlfn.XLOOKUP($A2021,Games!$A$2:$A$18,Games!$C$2:$C$18,"Missing game",0)</x:f>
        <x:v>REG</x:v>
      </x:c>
      <x:c r="AI2021" t="n">
        <x:f>_xlfn.XLOOKUP($A2021,Games!$A$2:$A$18,Games!$D$2:$D$18,"Missing game",0)</x:f>
        <x:v>14</x:v>
      </x:c>
      <x:c r="AJ2021" s="1" t="n">
        <x:f>_xlfn.XLOOKUP($A2021,Games!$A$2:$A$18,Games!$E$2:$E$18,"Missing game",0)</x:f>
        <x:v>45998</x:v>
      </x:c>
      <x:c r="AK2021" t="str">
        <x:f>_xlfn.XLOOKUP($A2021,Games!$A$2:$A$18,Games!$F$2:$F$18,"Missing game",0)</x:f>
        <x:v>Sunday</x:v>
      </x:c>
      <x:c r="AL2021" t="str">
        <x:f>_xlfn.XLOOKUP($A2021,Games!$A$2:$A$18,Games!$G$2:$G$18,"Missing game",0)</x:f>
        <x:v>WAS</x:v>
      </x:c>
      <x:c r="AM2021" t="n">
        <x:f>_xlfn.XLOOKUP($A2021,Games!$A$2:$A$18,Games!$H$2:$H$18,"Missing game",0)</x:f>
        <x:v>0</x:v>
      </x:c>
      <x:c r="AN2021" t="str">
        <x:f>_xlfn.XLOOKUP($A2021,Games!$A$2:$A$18,Games!$I$2:$I$18,"Missing game",0)</x:f>
        <x:v>MIN</x:v>
      </x:c>
      <x:c r="AO2021" t="n">
        <x:f>_xlfn.XLOOKUP($A2021,Games!$A$2:$A$18,Games!$J$2:$J$18,"Missing game",0)</x:f>
        <x:v>31</x:v>
      </x:c>
      <x:c r="AP2021" t="n">
        <x:f>_xlfn.XLOOKUP($A2021,Games!$A$2:$A$18,Games!$K$2:$K$18,"Missing game",0)</x:f>
        <x:v>31</x:v>
      </x:c>
      <x:c r="AQ2021" t="n">
        <x:f>_xlfn.XLOOKUP($A2021,Games!$A$2:$A$18,Games!$L$2:$L$18,"Missing game",0)</x:f>
        <x:v>31</x:v>
      </x:c>
      <x:c r="AR2021" t="n">
        <x:f>_xlfn.XLOOKUP($A2021,Games!$A$2:$A$18,Games!$M$2:$M$18,"Missing game",0)</x:f>
        <x:v>0</x:v>
      </x:c>
      <x:c r="AS2021" t="str">
        <x:f>_xlfn.XLOOKUP($A2021,Games!$A$2:$A$18,Games!$N$2:$N$18,"Missing game",0)</x:f>
        <x:v>dome</x:v>
      </x:c>
      <x:c r="AT2021" t="str">
        <x:f>_xlfn.XLOOKUP($A2021,Games!$A$2:$A$18,Games!$O$2:$O$18,"Missing game",0)</x:f>
        <x:v>sportturf</x:v>
      </x:c>
      <x:c r="AU2021" t="str">
        <x:f>_xlfn.XLOOKUP($A2021,Games!$A$2:$A$18,Games!$P$2:$P$18,"Missing game",0)</x:f>
      </x:c>
      <x:c r="AV2021" t="str">
        <x:f>_xlfn.XLOOKUP($A2021,Games!$A$2:$A$18,Games!$Q$2:$Q$18,"Missing game",0)</x:f>
      </x:c>
      <x:c r="AW2021" t="str">
        <x:f>_xlfn.XLOOKUP($A2021,Games!$A$2:$A$18,Games!$R$2:$R$18,"Missing game",0)</x:f>
        <x:v>U.S. Bank Stadium</x:v>
      </x:c>
    </x:row>
    <x:row r="2022">
      <x:c r="A2022" t="str">
        <x:v>2025_14_WAS_MIN</x:v>
      </x:c>
      <x:c r="B2022" t="n">
        <x:v>337</x:v>
      </x:c>
      <x:c r="C2022" t="n">
        <x:v>1</x:v>
      </x:c>
      <x:c r="D2022" t="str">
        <x:v>09:46</x:v>
      </x:c>
      <x:c r="E2022" t="n">
        <x:v>1</x:v>
      </x:c>
      <x:c r="F2022" t="n">
        <x:v>10</x:v>
      </x:c>
      <x:c r="G2022" t="str">
        <x:v>WAS</x:v>
      </x:c>
      <x:c r="H2022" t="str">
        <x:v>MIN</x:v>
      </x:c>
      <x:c r="I2022" t="str">
        <x:v>WAS</x:v>
      </x:c>
      <x:c r="J2022" t="n">
        <x:v>53</x:v>
      </x:c>
      <x:c r="K2022" t="str">
        <x:v>(9:46) (No Huddle, Shotgun) 5-J.Daniels pass short right to 1-D.Samuel to WAS 49 for 2 yards (43-A.Van Ginkel).</x:v>
      </x:c>
      <x:c r="L2022" t="str">
        <x:v>pass</x:v>
      </x:c>
      <x:c r="M2022" t="n">
        <x:v>2</x:v>
      </x:c>
      <x:c r="N2022" t="n">
        <x:v>1</x:v>
      </x:c>
      <x:c r="O2022" t="n">
        <x:v>1</x:v>
      </x:c>
      <x:c r="P2022" t="str">
        <x:v>short</x:v>
      </x:c>
      <x:c r="Q2022" t="str">
        <x:v>right</x:v>
      </x:c>
      <x:c r="R2022" t="n">
        <x:v>-4</x:v>
      </x:c>
      <x:c r="S2022" t="n">
        <x:v>6</x:v>
      </x:c>
      <x:c r="T2022"/>
      <x:c r="U2022"/>
      <x:c r="V2022" t="n">
        <x:v>1</x:v>
      </x:c>
      <x:c r="W2022" t="n">
        <x:v>0</x:v>
      </x:c>
      <x:c r="X2022" t="n">
        <x:v>0</x:v>
      </x:c>
      <x:c r="Y2022" t="n">
        <x:v>0</x:v>
      </x:c>
      <x:c r="Z2022" t="n">
        <x:v>0</x:v>
      </x:c>
      <x:c r="AA2022" t="n">
        <x:v>0</x:v>
      </x:c>
      <x:c r="AB2022"/>
      <x:c r="AC2022" t="n">
        <x:v>0</x:v>
      </x:c>
      <x:c r="AD2022" t="n">
        <x:v>-0.48769047833047807</x:v>
      </x:c>
      <x:c r="AE2022" t="n">
        <x:v>0</x:v>
      </x:c>
      <x:c r="AF2022" t="n">
        <x:v>-0.014914870262145996</x:v>
      </x:c>
      <x:c r="AG2022" t="n">
        <x:f>_xlfn.XLOOKUP($A2022,Games!$A$2:$A$18,Games!$B$2:$B$18,"Missing game",0)</x:f>
        <x:v>2025</x:v>
      </x:c>
      <x:c r="AH2022" t="str">
        <x:f>_xlfn.XLOOKUP($A2022,Games!$A$2:$A$18,Games!$C$2:$C$18,"Missing game",0)</x:f>
        <x:v>REG</x:v>
      </x:c>
      <x:c r="AI2022" t="n">
        <x:f>_xlfn.XLOOKUP($A2022,Games!$A$2:$A$18,Games!$D$2:$D$18,"Missing game",0)</x:f>
        <x:v>14</x:v>
      </x:c>
      <x:c r="AJ2022" s="1" t="n">
        <x:f>_xlfn.XLOOKUP($A2022,Games!$A$2:$A$18,Games!$E$2:$E$18,"Missing game",0)</x:f>
        <x:v>45998</x:v>
      </x:c>
      <x:c r="AK2022" t="str">
        <x:f>_xlfn.XLOOKUP($A2022,Games!$A$2:$A$18,Games!$F$2:$F$18,"Missing game",0)</x:f>
        <x:v>Sunday</x:v>
      </x:c>
      <x:c r="AL2022" t="str">
        <x:f>_xlfn.XLOOKUP($A2022,Games!$A$2:$A$18,Games!$G$2:$G$18,"Missing game",0)</x:f>
        <x:v>WAS</x:v>
      </x:c>
      <x:c r="AM2022" t="n">
        <x:f>_xlfn.XLOOKUP($A2022,Games!$A$2:$A$18,Games!$H$2:$H$18,"Missing game",0)</x:f>
        <x:v>0</x:v>
      </x:c>
      <x:c r="AN2022" t="str">
        <x:f>_xlfn.XLOOKUP($A2022,Games!$A$2:$A$18,Games!$I$2:$I$18,"Missing game",0)</x:f>
        <x:v>MIN</x:v>
      </x:c>
      <x:c r="AO2022" t="n">
        <x:f>_xlfn.XLOOKUP($A2022,Games!$A$2:$A$18,Games!$J$2:$J$18,"Missing game",0)</x:f>
        <x:v>31</x:v>
      </x:c>
      <x:c r="AP2022" t="n">
        <x:f>_xlfn.XLOOKUP($A2022,Games!$A$2:$A$18,Games!$K$2:$K$18,"Missing game",0)</x:f>
        <x:v>31</x:v>
      </x:c>
      <x:c r="AQ2022" t="n">
        <x:f>_xlfn.XLOOKUP($A2022,Games!$A$2:$A$18,Games!$L$2:$L$18,"Missing game",0)</x:f>
        <x:v>31</x:v>
      </x:c>
      <x:c r="AR2022" t="n">
        <x:f>_xlfn.XLOOKUP($A2022,Games!$A$2:$A$18,Games!$M$2:$M$18,"Missing game",0)</x:f>
        <x:v>0</x:v>
      </x:c>
      <x:c r="AS2022" t="str">
        <x:f>_xlfn.XLOOKUP($A2022,Games!$A$2:$A$18,Games!$N$2:$N$18,"Missing game",0)</x:f>
        <x:v>dome</x:v>
      </x:c>
      <x:c r="AT2022" t="str">
        <x:f>_xlfn.XLOOKUP($A2022,Games!$A$2:$A$18,Games!$O$2:$O$18,"Missing game",0)</x:f>
        <x:v>sportturf</x:v>
      </x:c>
      <x:c r="AU2022" t="str">
        <x:f>_xlfn.XLOOKUP($A2022,Games!$A$2:$A$18,Games!$P$2:$P$18,"Missing game",0)</x:f>
      </x:c>
      <x:c r="AV2022" t="str">
        <x:f>_xlfn.XLOOKUP($A2022,Games!$A$2:$A$18,Games!$Q$2:$Q$18,"Missing game",0)</x:f>
      </x:c>
      <x:c r="AW2022" t="str">
        <x:f>_xlfn.XLOOKUP($A2022,Games!$A$2:$A$18,Games!$R$2:$R$18,"Missing game",0)</x:f>
        <x:v>U.S. Bank Stadium</x:v>
      </x:c>
    </x:row>
    <x:row r="2023">
      <x:c r="A2023" t="str">
        <x:v>2025_14_WAS_MIN</x:v>
      </x:c>
      <x:c r="B2023" t="n">
        <x:v>362</x:v>
      </x:c>
      <x:c r="C2023" t="n">
        <x:v>1</x:v>
      </x:c>
      <x:c r="D2023" t="str">
        <x:v>09:06</x:v>
      </x:c>
      <x:c r="E2023" t="n">
        <x:v>2</x:v>
      </x:c>
      <x:c r="F2023" t="n">
        <x:v>8</x:v>
      </x:c>
      <x:c r="G2023" t="str">
        <x:v>WAS</x:v>
      </x:c>
      <x:c r="H2023" t="str">
        <x:v>MIN</x:v>
      </x:c>
      <x:c r="I2023" t="str">
        <x:v>WAS</x:v>
      </x:c>
      <x:c r="J2023" t="n">
        <x:v>51</x:v>
      </x:c>
      <x:c r="K2023" t="str">
        <x:v>(9:06) (No Huddle) 36-C.Rodriguez right tackle to MIN 41 for 10 yards (44-J.Metellus; 51-B.Cashman).</x:v>
      </x:c>
      <x:c r="L2023" t="str">
        <x:v>run</x:v>
      </x:c>
      <x:c r="M2023" t="n">
        <x:v>10</x:v>
      </x:c>
      <x:c r="N2023" t="n">
        <x:v>0</x:v>
      </x:c>
      <x:c r="O2023" t="n">
        <x:v>1</x:v>
      </x:c>
      <x:c r="P2023"/>
      <x:c r="Q2023"/>
      <x:c r="R2023"/>
      <x:c r="S2023"/>
      <x:c r="T2023" t="str">
        <x:v>right</x:v>
      </x:c>
      <x:c r="U2023" t="str">
        <x:v>tackle</x:v>
      </x:c>
      <x:c r="V2023" t="n">
        <x:v>0</x:v>
      </x:c>
      <x:c r="W2023" t="n">
        <x:v>1</x:v>
      </x:c>
      <x:c r="X2023" t="n">
        <x:v>0</x:v>
      </x:c>
      <x:c r="Y2023" t="n">
        <x:v>0</x:v>
      </x:c>
      <x:c r="Z2023" t="n">
        <x:v>0</x:v>
      </x:c>
      <x:c r="AA2023" t="n">
        <x:v>0</x:v>
      </x:c>
      <x:c r="AB2023"/>
      <x:c r="AC2023" t="n">
        <x:v>0</x:v>
      </x:c>
      <x:c r="AD2023" t="n">
        <x:v>1.3352636634372175</x:v>
      </x:c>
      <x:c r="AE2023" t="n">
        <x:v>1</x:v>
      </x:c>
      <x:c r="AF2023" t="n">
        <x:v>0.011033684015274048</x:v>
      </x:c>
      <x:c r="AG2023" t="n">
        <x:f>_xlfn.XLOOKUP($A2023,Games!$A$2:$A$18,Games!$B$2:$B$18,"Missing game",0)</x:f>
        <x:v>2025</x:v>
      </x:c>
      <x:c r="AH2023" t="str">
        <x:f>_xlfn.XLOOKUP($A2023,Games!$A$2:$A$18,Games!$C$2:$C$18,"Missing game",0)</x:f>
        <x:v>REG</x:v>
      </x:c>
      <x:c r="AI2023" t="n">
        <x:f>_xlfn.XLOOKUP($A2023,Games!$A$2:$A$18,Games!$D$2:$D$18,"Missing game",0)</x:f>
        <x:v>14</x:v>
      </x:c>
      <x:c r="AJ2023" s="1" t="n">
        <x:f>_xlfn.XLOOKUP($A2023,Games!$A$2:$A$18,Games!$E$2:$E$18,"Missing game",0)</x:f>
        <x:v>45998</x:v>
      </x:c>
      <x:c r="AK2023" t="str">
        <x:f>_xlfn.XLOOKUP($A2023,Games!$A$2:$A$18,Games!$F$2:$F$18,"Missing game",0)</x:f>
        <x:v>Sunday</x:v>
      </x:c>
      <x:c r="AL2023" t="str">
        <x:f>_xlfn.XLOOKUP($A2023,Games!$A$2:$A$18,Games!$G$2:$G$18,"Missing game",0)</x:f>
        <x:v>WAS</x:v>
      </x:c>
      <x:c r="AM2023" t="n">
        <x:f>_xlfn.XLOOKUP($A2023,Games!$A$2:$A$18,Games!$H$2:$H$18,"Missing game",0)</x:f>
        <x:v>0</x:v>
      </x:c>
      <x:c r="AN2023" t="str">
        <x:f>_xlfn.XLOOKUP($A2023,Games!$A$2:$A$18,Games!$I$2:$I$18,"Missing game",0)</x:f>
        <x:v>MIN</x:v>
      </x:c>
      <x:c r="AO2023" t="n">
        <x:f>_xlfn.XLOOKUP($A2023,Games!$A$2:$A$18,Games!$J$2:$J$18,"Missing game",0)</x:f>
        <x:v>31</x:v>
      </x:c>
      <x:c r="AP2023" t="n">
        <x:f>_xlfn.XLOOKUP($A2023,Games!$A$2:$A$18,Games!$K$2:$K$18,"Missing game",0)</x:f>
        <x:v>31</x:v>
      </x:c>
      <x:c r="AQ2023" t="n">
        <x:f>_xlfn.XLOOKUP($A2023,Games!$A$2:$A$18,Games!$L$2:$L$18,"Missing game",0)</x:f>
        <x:v>31</x:v>
      </x:c>
      <x:c r="AR2023" t="n">
        <x:f>_xlfn.XLOOKUP($A2023,Games!$A$2:$A$18,Games!$M$2:$M$18,"Missing game",0)</x:f>
        <x:v>0</x:v>
      </x:c>
      <x:c r="AS2023" t="str">
        <x:f>_xlfn.XLOOKUP($A2023,Games!$A$2:$A$18,Games!$N$2:$N$18,"Missing game",0)</x:f>
        <x:v>dome</x:v>
      </x:c>
      <x:c r="AT2023" t="str">
        <x:f>_xlfn.XLOOKUP($A2023,Games!$A$2:$A$18,Games!$O$2:$O$18,"Missing game",0)</x:f>
        <x:v>sportturf</x:v>
      </x:c>
      <x:c r="AU2023" t="str">
        <x:f>_xlfn.XLOOKUP($A2023,Games!$A$2:$A$18,Games!$P$2:$P$18,"Missing game",0)</x:f>
      </x:c>
      <x:c r="AV2023" t="str">
        <x:f>_xlfn.XLOOKUP($A2023,Games!$A$2:$A$18,Games!$Q$2:$Q$18,"Missing game",0)</x:f>
      </x:c>
      <x:c r="AW2023" t="str">
        <x:f>_xlfn.XLOOKUP($A2023,Games!$A$2:$A$18,Games!$R$2:$R$18,"Missing game",0)</x:f>
        <x:v>U.S. Bank Stadium</x:v>
      </x:c>
    </x:row>
    <x:row r="2024">
      <x:c r="A2024" t="str">
        <x:v>2025_14_WAS_MIN</x:v>
      </x:c>
      <x:c r="B2024" t="n">
        <x:v>384</x:v>
      </x:c>
      <x:c r="C2024" t="n">
        <x:v>1</x:v>
      </x:c>
      <x:c r="D2024" t="str">
        <x:v>08:30</x:v>
      </x:c>
      <x:c r="E2024" t="n">
        <x:v>1</x:v>
      </x:c>
      <x:c r="F2024" t="n">
        <x:v>10</x:v>
      </x:c>
      <x:c r="G2024" t="str">
        <x:v>WAS</x:v>
      </x:c>
      <x:c r="H2024" t="str">
        <x:v>MIN</x:v>
      </x:c>
      <x:c r="I2024" t="str">
        <x:v>MIN</x:v>
      </x:c>
      <x:c r="J2024" t="n">
        <x:v>41</x:v>
      </x:c>
      <x:c r="K2024" t="str">
        <x:v>(8:30) (No Huddle, Shotgun) 5-J.Daniels pass incomplete short left to 80-C.Yankoff.</x:v>
      </x:c>
      <x:c r="L2024" t="str">
        <x:v>pass</x:v>
      </x:c>
      <x:c r="M2024" t="n">
        <x:v>0</x:v>
      </x:c>
      <x:c r="N2024" t="n">
        <x:v>1</x:v>
      </x:c>
      <x:c r="O2024" t="n">
        <x:v>1</x:v>
      </x:c>
      <x:c r="P2024" t="str">
        <x:v>short</x:v>
      </x:c>
      <x:c r="Q2024" t="str">
        <x:v>left</x:v>
      </x:c>
      <x:c r="R2024" t="n">
        <x:v>4</x:v>
      </x:c>
      <x:c r="S2024"/>
      <x:c r="T2024"/>
      <x:c r="U2024"/>
      <x:c r="V2024" t="n">
        <x:v>0</x:v>
      </x:c>
      <x:c r="W2024" t="n">
        <x:v>0</x:v>
      </x:c>
      <x:c r="X2024" t="n">
        <x:v>0</x:v>
      </x:c>
      <x:c r="Y2024" t="n">
        <x:v>0</x:v>
      </x:c>
      <x:c r="Z2024" t="n">
        <x:v>0</x:v>
      </x:c>
      <x:c r="AA2024" t="n">
        <x:v>0</x:v>
      </x:c>
      <x:c r="AB2024"/>
      <x:c r="AC2024" t="n">
        <x:v>0</x:v>
      </x:c>
      <x:c r="AD2024" t="n">
        <x:v>-0.5695773700717837</x:v>
      </x:c>
      <x:c r="AE2024" t="n">
        <x:v>0</x:v>
      </x:c>
      <x:c r="AF2024" t="n">
        <x:v>-0.0148257315158844</x:v>
      </x:c>
      <x:c r="AG2024" t="n">
        <x:f>_xlfn.XLOOKUP($A2024,Games!$A$2:$A$18,Games!$B$2:$B$18,"Missing game",0)</x:f>
        <x:v>2025</x:v>
      </x:c>
      <x:c r="AH2024" t="str">
        <x:f>_xlfn.XLOOKUP($A2024,Games!$A$2:$A$18,Games!$C$2:$C$18,"Missing game",0)</x:f>
        <x:v>REG</x:v>
      </x:c>
      <x:c r="AI2024" t="n">
        <x:f>_xlfn.XLOOKUP($A2024,Games!$A$2:$A$18,Games!$D$2:$D$18,"Missing game",0)</x:f>
        <x:v>14</x:v>
      </x:c>
      <x:c r="AJ2024" s="1" t="n">
        <x:f>_xlfn.XLOOKUP($A2024,Games!$A$2:$A$18,Games!$E$2:$E$18,"Missing game",0)</x:f>
        <x:v>45998</x:v>
      </x:c>
      <x:c r="AK2024" t="str">
        <x:f>_xlfn.XLOOKUP($A2024,Games!$A$2:$A$18,Games!$F$2:$F$18,"Missing game",0)</x:f>
        <x:v>Sunday</x:v>
      </x:c>
      <x:c r="AL2024" t="str">
        <x:f>_xlfn.XLOOKUP($A2024,Games!$A$2:$A$18,Games!$G$2:$G$18,"Missing game",0)</x:f>
        <x:v>WAS</x:v>
      </x:c>
      <x:c r="AM2024" t="n">
        <x:f>_xlfn.XLOOKUP($A2024,Games!$A$2:$A$18,Games!$H$2:$H$18,"Missing game",0)</x:f>
        <x:v>0</x:v>
      </x:c>
      <x:c r="AN2024" t="str">
        <x:f>_xlfn.XLOOKUP($A2024,Games!$A$2:$A$18,Games!$I$2:$I$18,"Missing game",0)</x:f>
        <x:v>MIN</x:v>
      </x:c>
      <x:c r="AO2024" t="n">
        <x:f>_xlfn.XLOOKUP($A2024,Games!$A$2:$A$18,Games!$J$2:$J$18,"Missing game",0)</x:f>
        <x:v>31</x:v>
      </x:c>
      <x:c r="AP2024" t="n">
        <x:f>_xlfn.XLOOKUP($A2024,Games!$A$2:$A$18,Games!$K$2:$K$18,"Missing game",0)</x:f>
        <x:v>31</x:v>
      </x:c>
      <x:c r="AQ2024" t="n">
        <x:f>_xlfn.XLOOKUP($A2024,Games!$A$2:$A$18,Games!$L$2:$L$18,"Missing game",0)</x:f>
        <x:v>31</x:v>
      </x:c>
      <x:c r="AR2024" t="n">
        <x:f>_xlfn.XLOOKUP($A2024,Games!$A$2:$A$18,Games!$M$2:$M$18,"Missing game",0)</x:f>
        <x:v>0</x:v>
      </x:c>
      <x:c r="AS2024" t="str">
        <x:f>_xlfn.XLOOKUP($A2024,Games!$A$2:$A$18,Games!$N$2:$N$18,"Missing game",0)</x:f>
        <x:v>dome</x:v>
      </x:c>
      <x:c r="AT2024" t="str">
        <x:f>_xlfn.XLOOKUP($A2024,Games!$A$2:$A$18,Games!$O$2:$O$18,"Missing game",0)</x:f>
        <x:v>sportturf</x:v>
      </x:c>
      <x:c r="AU2024" t="str">
        <x:f>_xlfn.XLOOKUP($A2024,Games!$A$2:$A$18,Games!$P$2:$P$18,"Missing game",0)</x:f>
      </x:c>
      <x:c r="AV2024" t="str">
        <x:f>_xlfn.XLOOKUP($A2024,Games!$A$2:$A$18,Games!$Q$2:$Q$18,"Missing game",0)</x:f>
      </x:c>
      <x:c r="AW2024" t="str">
        <x:f>_xlfn.XLOOKUP($A2024,Games!$A$2:$A$18,Games!$R$2:$R$18,"Missing game",0)</x:f>
        <x:v>U.S. Bank Stadium</x:v>
      </x:c>
    </x:row>
    <x:row r="2025">
      <x:c r="A2025" t="str">
        <x:v>2025_14_WAS_MIN</x:v>
      </x:c>
      <x:c r="B2025" t="n">
        <x:v>407</x:v>
      </x:c>
      <x:c r="C2025" t="n">
        <x:v>1</x:v>
      </x:c>
      <x:c r="D2025" t="str">
        <x:v>08:27</x:v>
      </x:c>
      <x:c r="E2025" t="n">
        <x:v>2</x:v>
      </x:c>
      <x:c r="F2025" t="n">
        <x:v>10</x:v>
      </x:c>
      <x:c r="G2025" t="str">
        <x:v>WAS</x:v>
      </x:c>
      <x:c r="H2025" t="str">
        <x:v>MIN</x:v>
      </x:c>
      <x:c r="I2025" t="str">
        <x:v>MIN</x:v>
      </x:c>
      <x:c r="J2025" t="n">
        <x:v>41</x:v>
      </x:c>
      <x:c r="K2025" t="str">
        <x:v>(8:27) (No Huddle, Shotgun) 5-J.Daniels pass short left to 82-B.Sinnott to MIN 33 for 8 yards (7-B.Murphy; 51-B.Cashman).</x:v>
      </x:c>
      <x:c r="L2025" t="str">
        <x:v>pass</x:v>
      </x:c>
      <x:c r="M2025" t="n">
        <x:v>8</x:v>
      </x:c>
      <x:c r="N2025" t="n">
        <x:v>1</x:v>
      </x:c>
      <x:c r="O2025" t="n">
        <x:v>1</x:v>
      </x:c>
      <x:c r="P2025" t="str">
        <x:v>short</x:v>
      </x:c>
      <x:c r="Q2025" t="str">
        <x:v>left</x:v>
      </x:c>
      <x:c r="R2025" t="n">
        <x:v>0</x:v>
      </x:c>
      <x:c r="S2025" t="n">
        <x:v>8</x:v>
      </x:c>
      <x:c r="T2025"/>
      <x:c r="U2025"/>
      <x:c r="V2025" t="n">
        <x:v>1</x:v>
      </x:c>
      <x:c r="W2025" t="n">
        <x:v>0</x:v>
      </x:c>
      <x:c r="X2025" t="n">
        <x:v>0</x:v>
      </x:c>
      <x:c r="Y2025" t="n">
        <x:v>0</x:v>
      </x:c>
      <x:c r="Z2025" t="n">
        <x:v>0</x:v>
      </x:c>
      <x:c r="AA2025" t="n">
        <x:v>0</x:v>
      </x:c>
      <x:c r="AB2025"/>
      <x:c r="AC2025" t="n">
        <x:v>0</x:v>
      </x:c>
      <x:c r="AD2025" t="n">
        <x:v>0.41820616368204355</x:v>
      </x:c>
      <x:c r="AE2025" t="n">
        <x:v>1</x:v>
      </x:c>
      <x:c r="AF2025" t="n">
        <x:v>0.017305761575698853</x:v>
      </x:c>
      <x:c r="AG2025" t="n">
        <x:f>_xlfn.XLOOKUP($A2025,Games!$A$2:$A$18,Games!$B$2:$B$18,"Missing game",0)</x:f>
        <x:v>2025</x:v>
      </x:c>
      <x:c r="AH2025" t="str">
        <x:f>_xlfn.XLOOKUP($A2025,Games!$A$2:$A$18,Games!$C$2:$C$18,"Missing game",0)</x:f>
        <x:v>REG</x:v>
      </x:c>
      <x:c r="AI2025" t="n">
        <x:f>_xlfn.XLOOKUP($A2025,Games!$A$2:$A$18,Games!$D$2:$D$18,"Missing game",0)</x:f>
        <x:v>14</x:v>
      </x:c>
      <x:c r="AJ2025" s="1" t="n">
        <x:f>_xlfn.XLOOKUP($A2025,Games!$A$2:$A$18,Games!$E$2:$E$18,"Missing game",0)</x:f>
        <x:v>45998</x:v>
      </x:c>
      <x:c r="AK2025" t="str">
        <x:f>_xlfn.XLOOKUP($A2025,Games!$A$2:$A$18,Games!$F$2:$F$18,"Missing game",0)</x:f>
        <x:v>Sunday</x:v>
      </x:c>
      <x:c r="AL2025" t="str">
        <x:f>_xlfn.XLOOKUP($A2025,Games!$A$2:$A$18,Games!$G$2:$G$18,"Missing game",0)</x:f>
        <x:v>WAS</x:v>
      </x:c>
      <x:c r="AM2025" t="n">
        <x:f>_xlfn.XLOOKUP($A2025,Games!$A$2:$A$18,Games!$H$2:$H$18,"Missing game",0)</x:f>
        <x:v>0</x:v>
      </x:c>
      <x:c r="AN2025" t="str">
        <x:f>_xlfn.XLOOKUP($A2025,Games!$A$2:$A$18,Games!$I$2:$I$18,"Missing game",0)</x:f>
        <x:v>MIN</x:v>
      </x:c>
      <x:c r="AO2025" t="n">
        <x:f>_xlfn.XLOOKUP($A2025,Games!$A$2:$A$18,Games!$J$2:$J$18,"Missing game",0)</x:f>
        <x:v>31</x:v>
      </x:c>
      <x:c r="AP2025" t="n">
        <x:f>_xlfn.XLOOKUP($A2025,Games!$A$2:$A$18,Games!$K$2:$K$18,"Missing game",0)</x:f>
        <x:v>31</x:v>
      </x:c>
      <x:c r="AQ2025" t="n">
        <x:f>_xlfn.XLOOKUP($A2025,Games!$A$2:$A$18,Games!$L$2:$L$18,"Missing game",0)</x:f>
        <x:v>31</x:v>
      </x:c>
      <x:c r="AR2025" t="n">
        <x:f>_xlfn.XLOOKUP($A2025,Games!$A$2:$A$18,Games!$M$2:$M$18,"Missing game",0)</x:f>
        <x:v>0</x:v>
      </x:c>
      <x:c r="AS2025" t="str">
        <x:f>_xlfn.XLOOKUP($A2025,Games!$A$2:$A$18,Games!$N$2:$N$18,"Missing game",0)</x:f>
        <x:v>dome</x:v>
      </x:c>
      <x:c r="AT2025" t="str">
        <x:f>_xlfn.XLOOKUP($A2025,Games!$A$2:$A$18,Games!$O$2:$O$18,"Missing game",0)</x:f>
        <x:v>sportturf</x:v>
      </x:c>
      <x:c r="AU2025" t="str">
        <x:f>_xlfn.XLOOKUP($A2025,Games!$A$2:$A$18,Games!$P$2:$P$18,"Missing game",0)</x:f>
      </x:c>
      <x:c r="AV2025" t="str">
        <x:f>_xlfn.XLOOKUP($A2025,Games!$A$2:$A$18,Games!$Q$2:$Q$18,"Missing game",0)</x:f>
      </x:c>
      <x:c r="AW2025" t="str">
        <x:f>_xlfn.XLOOKUP($A2025,Games!$A$2:$A$18,Games!$R$2:$R$18,"Missing game",0)</x:f>
        <x:v>U.S. Bank Stadium</x:v>
      </x:c>
    </x:row>
    <x:row r="2026">
      <x:c r="A2026" t="str">
        <x:v>2025_14_WAS_MIN</x:v>
      </x:c>
      <x:c r="B2026" t="n">
        <x:v>432</x:v>
      </x:c>
      <x:c r="C2026" t="n">
        <x:v>1</x:v>
      </x:c>
      <x:c r="D2026" t="str">
        <x:v>07:46</x:v>
      </x:c>
      <x:c r="E2026" t="n">
        <x:v>3</x:v>
      </x:c>
      <x:c r="F2026" t="n">
        <x:v>2</x:v>
      </x:c>
      <x:c r="G2026" t="str">
        <x:v>WAS</x:v>
      </x:c>
      <x:c r="H2026" t="str">
        <x:v>MIN</x:v>
      </x:c>
      <x:c r="I2026" t="str">
        <x:v>MIN</x:v>
      </x:c>
      <x:c r="J2026" t="n">
        <x:v>33</x:v>
      </x:c>
      <x:c r="K2026" t="str">
        <x:v>(7:46) (No Huddle, Shotgun) 5-J.Daniels scrambles right end to MIN 31 for 2 yards (51-B.Cashman).</x:v>
      </x:c>
      <x:c r="L2026" t="str">
        <x:v>run</x:v>
      </x:c>
      <x:c r="M2026" t="n">
        <x:v>2</x:v>
      </x:c>
      <x:c r="N2026" t="n">
        <x:v>1</x:v>
      </x:c>
      <x:c r="O2026" t="n">
        <x:v>1</x:v>
      </x:c>
      <x:c r="P2026"/>
      <x:c r="Q2026"/>
      <x:c r="R2026"/>
      <x:c r="S2026"/>
      <x:c r="T2026" t="str">
        <x:v>right</x:v>
      </x:c>
      <x:c r="U2026" t="str">
        <x:v>end</x:v>
      </x:c>
      <x:c r="V2026" t="n">
        <x:v>0</x:v>
      </x:c>
      <x:c r="W2026" t="n">
        <x:v>1</x:v>
      </x:c>
      <x:c r="X2026" t="n">
        <x:v>0</x:v>
      </x:c>
      <x:c r="Y2026" t="n">
        <x:v>0</x:v>
      </x:c>
      <x:c r="Z2026" t="n">
        <x:v>0</x:v>
      </x:c>
      <x:c r="AA2026" t="n">
        <x:v>0</x:v>
      </x:c>
      <x:c r="AB2026"/>
      <x:c r="AC2026" t="n">
        <x:v>0</x:v>
      </x:c>
      <x:c r="AD2026" t="n">
        <x:v>0.828678349382244</x:v>
      </x:c>
      <x:c r="AE2026" t="n">
        <x:v>1</x:v>
      </x:c>
      <x:c r="AF2026" t="n">
        <x:v>0.03664755821228027</x:v>
      </x:c>
      <x:c r="AG2026" t="n">
        <x:f>_xlfn.XLOOKUP($A2026,Games!$A$2:$A$18,Games!$B$2:$B$18,"Missing game",0)</x:f>
        <x:v>2025</x:v>
      </x:c>
      <x:c r="AH2026" t="str">
        <x:f>_xlfn.XLOOKUP($A2026,Games!$A$2:$A$18,Games!$C$2:$C$18,"Missing game",0)</x:f>
        <x:v>REG</x:v>
      </x:c>
      <x:c r="AI2026" t="n">
        <x:f>_xlfn.XLOOKUP($A2026,Games!$A$2:$A$18,Games!$D$2:$D$18,"Missing game",0)</x:f>
        <x:v>14</x:v>
      </x:c>
      <x:c r="AJ2026" s="1" t="n">
        <x:f>_xlfn.XLOOKUP($A2026,Games!$A$2:$A$18,Games!$E$2:$E$18,"Missing game",0)</x:f>
        <x:v>45998</x:v>
      </x:c>
      <x:c r="AK2026" t="str">
        <x:f>_xlfn.XLOOKUP($A2026,Games!$A$2:$A$18,Games!$F$2:$F$18,"Missing game",0)</x:f>
        <x:v>Sunday</x:v>
      </x:c>
      <x:c r="AL2026" t="str">
        <x:f>_xlfn.XLOOKUP($A2026,Games!$A$2:$A$18,Games!$G$2:$G$18,"Missing game",0)</x:f>
        <x:v>WAS</x:v>
      </x:c>
      <x:c r="AM2026" t="n">
        <x:f>_xlfn.XLOOKUP($A2026,Games!$A$2:$A$18,Games!$H$2:$H$18,"Missing game",0)</x:f>
        <x:v>0</x:v>
      </x:c>
      <x:c r="AN2026" t="str">
        <x:f>_xlfn.XLOOKUP($A2026,Games!$A$2:$A$18,Games!$I$2:$I$18,"Missing game",0)</x:f>
        <x:v>MIN</x:v>
      </x:c>
      <x:c r="AO2026" t="n">
        <x:f>_xlfn.XLOOKUP($A2026,Games!$A$2:$A$18,Games!$J$2:$J$18,"Missing game",0)</x:f>
        <x:v>31</x:v>
      </x:c>
      <x:c r="AP2026" t="n">
        <x:f>_xlfn.XLOOKUP($A2026,Games!$A$2:$A$18,Games!$K$2:$K$18,"Missing game",0)</x:f>
        <x:v>31</x:v>
      </x:c>
      <x:c r="AQ2026" t="n">
        <x:f>_xlfn.XLOOKUP($A2026,Games!$A$2:$A$18,Games!$L$2:$L$18,"Missing game",0)</x:f>
        <x:v>31</x:v>
      </x:c>
      <x:c r="AR2026" t="n">
        <x:f>_xlfn.XLOOKUP($A2026,Games!$A$2:$A$18,Games!$M$2:$M$18,"Missing game",0)</x:f>
        <x:v>0</x:v>
      </x:c>
      <x:c r="AS2026" t="str">
        <x:f>_xlfn.XLOOKUP($A2026,Games!$A$2:$A$18,Games!$N$2:$N$18,"Missing game",0)</x:f>
        <x:v>dome</x:v>
      </x:c>
      <x:c r="AT2026" t="str">
        <x:f>_xlfn.XLOOKUP($A2026,Games!$A$2:$A$18,Games!$O$2:$O$18,"Missing game",0)</x:f>
        <x:v>sportturf</x:v>
      </x:c>
      <x:c r="AU2026" t="str">
        <x:f>_xlfn.XLOOKUP($A2026,Games!$A$2:$A$18,Games!$P$2:$P$18,"Missing game",0)</x:f>
      </x:c>
      <x:c r="AV2026" t="str">
        <x:f>_xlfn.XLOOKUP($A2026,Games!$A$2:$A$18,Games!$Q$2:$Q$18,"Missing game",0)</x:f>
      </x:c>
      <x:c r="AW2026" t="str">
        <x:f>_xlfn.XLOOKUP($A2026,Games!$A$2:$A$18,Games!$R$2:$R$18,"Missing game",0)</x:f>
        <x:v>U.S. Bank Stadium</x:v>
      </x:c>
    </x:row>
    <x:row r="2027">
      <x:c r="A2027" t="str">
        <x:v>2025_14_WAS_MIN</x:v>
      </x:c>
      <x:c r="B2027" t="n">
        <x:v>454</x:v>
      </x:c>
      <x:c r="C2027" t="n">
        <x:v>1</x:v>
      </x:c>
      <x:c r="D2027" t="str">
        <x:v>07:05</x:v>
      </x:c>
      <x:c r="E2027" t="n">
        <x:v>1</x:v>
      </x:c>
      <x:c r="F2027" t="n">
        <x:v>10</x:v>
      </x:c>
      <x:c r="G2027" t="str">
        <x:v>WAS</x:v>
      </x:c>
      <x:c r="H2027" t="str">
        <x:v>MIN</x:v>
      </x:c>
      <x:c r="I2027" t="str">
        <x:v>MIN</x:v>
      </x:c>
      <x:c r="J2027" t="n">
        <x:v>31</x:v>
      </x:c>
      <x:c r="K2027" t="str">
        <x:v>(7:05) (No Huddle, Shotgun) 26-J.McNichols right guard to MIN 23 for 8 yards (44-J.Metellus; 22-H.Smith). PENALTY on WAS-87-J.Bates, Offensive Holding, 10 yards, enforced at MIN 31 - No Play.</x:v>
      </x:c>
      <x:c r="L2027" t="str">
        <x:v>no_play</x:v>
      </x:c>
      <x:c r="M2027" t="n">
        <x:v>0</x:v>
      </x:c>
      <x:c r="N2027" t="n">
        <x:v>1</x:v>
      </x:c>
      <x:c r="O2027" t="n">
        <x:v>1</x:v>
      </x:c>
      <x:c r="P2027"/>
      <x:c r="Q2027"/>
      <x:c r="R2027"/>
      <x:c r="S2027"/>
      <x:c r="T2027"/>
      <x:c r="U2027"/>
      <x:c r="V2027" t="n">
        <x:v>0</x:v>
      </x:c>
      <x:c r="W2027" t="n">
        <x:v>0</x:v>
      </x:c>
      <x:c r="X2027" t="n">
        <x:v>0</x:v>
      </x:c>
      <x:c r="Y2027" t="n">
        <x:v>0</x:v>
      </x:c>
      <x:c r="Z2027" t="n">
        <x:v>0</x:v>
      </x:c>
      <x:c r="AA2027" t="n">
        <x:v>1</x:v>
      </x:c>
      <x:c r="AB2027" t="n">
        <x:v>10</x:v>
      </x:c>
      <x:c r="AC2027" t="n">
        <x:v>0</x:v>
      </x:c>
      <x:c r="AD2027" t="n">
        <x:v>-1.1090257643954828</x:v>
      </x:c>
      <x:c r="AE2027" t="n">
        <x:v>0</x:v>
      </x:c>
      <x:c r="AF2027" t="n">
        <x:v>-0.040178775787353516</x:v>
      </x:c>
      <x:c r="AG2027" t="n">
        <x:f>_xlfn.XLOOKUP($A2027,Games!$A$2:$A$18,Games!$B$2:$B$18,"Missing game",0)</x:f>
        <x:v>2025</x:v>
      </x:c>
      <x:c r="AH2027" t="str">
        <x:f>_xlfn.XLOOKUP($A2027,Games!$A$2:$A$18,Games!$C$2:$C$18,"Missing game",0)</x:f>
        <x:v>REG</x:v>
      </x:c>
      <x:c r="AI2027" t="n">
        <x:f>_xlfn.XLOOKUP($A2027,Games!$A$2:$A$18,Games!$D$2:$D$18,"Missing game",0)</x:f>
        <x:v>14</x:v>
      </x:c>
      <x:c r="AJ2027" s="1" t="n">
        <x:f>_xlfn.XLOOKUP($A2027,Games!$A$2:$A$18,Games!$E$2:$E$18,"Missing game",0)</x:f>
        <x:v>45998</x:v>
      </x:c>
      <x:c r="AK2027" t="str">
        <x:f>_xlfn.XLOOKUP($A2027,Games!$A$2:$A$18,Games!$F$2:$F$18,"Missing game",0)</x:f>
        <x:v>Sunday</x:v>
      </x:c>
      <x:c r="AL2027" t="str">
        <x:f>_xlfn.XLOOKUP($A2027,Games!$A$2:$A$18,Games!$G$2:$G$18,"Missing game",0)</x:f>
        <x:v>WAS</x:v>
      </x:c>
      <x:c r="AM2027" t="n">
        <x:f>_xlfn.XLOOKUP($A2027,Games!$A$2:$A$18,Games!$H$2:$H$18,"Missing game",0)</x:f>
        <x:v>0</x:v>
      </x:c>
      <x:c r="AN2027" t="str">
        <x:f>_xlfn.XLOOKUP($A2027,Games!$A$2:$A$18,Games!$I$2:$I$18,"Missing game",0)</x:f>
        <x:v>MIN</x:v>
      </x:c>
      <x:c r="AO2027" t="n">
        <x:f>_xlfn.XLOOKUP($A2027,Games!$A$2:$A$18,Games!$J$2:$J$18,"Missing game",0)</x:f>
        <x:v>31</x:v>
      </x:c>
      <x:c r="AP2027" t="n">
        <x:f>_xlfn.XLOOKUP($A2027,Games!$A$2:$A$18,Games!$K$2:$K$18,"Missing game",0)</x:f>
        <x:v>31</x:v>
      </x:c>
      <x:c r="AQ2027" t="n">
        <x:f>_xlfn.XLOOKUP($A2027,Games!$A$2:$A$18,Games!$L$2:$L$18,"Missing game",0)</x:f>
        <x:v>31</x:v>
      </x:c>
      <x:c r="AR2027" t="n">
        <x:f>_xlfn.XLOOKUP($A2027,Games!$A$2:$A$18,Games!$M$2:$M$18,"Missing game",0)</x:f>
        <x:v>0</x:v>
      </x:c>
      <x:c r="AS2027" t="str">
        <x:f>_xlfn.XLOOKUP($A2027,Games!$A$2:$A$18,Games!$N$2:$N$18,"Missing game",0)</x:f>
        <x:v>dome</x:v>
      </x:c>
      <x:c r="AT2027" t="str">
        <x:f>_xlfn.XLOOKUP($A2027,Games!$A$2:$A$18,Games!$O$2:$O$18,"Missing game",0)</x:f>
        <x:v>sportturf</x:v>
      </x:c>
      <x:c r="AU2027" t="str">
        <x:f>_xlfn.XLOOKUP($A2027,Games!$A$2:$A$18,Games!$P$2:$P$18,"Missing game",0)</x:f>
      </x:c>
      <x:c r="AV2027" t="str">
        <x:f>_xlfn.XLOOKUP($A2027,Games!$A$2:$A$18,Games!$Q$2:$Q$18,"Missing game",0)</x:f>
      </x:c>
      <x:c r="AW2027" t="str">
        <x:f>_xlfn.XLOOKUP($A2027,Games!$A$2:$A$18,Games!$R$2:$R$18,"Missing game",0)</x:f>
        <x:v>U.S. Bank Stadium</x:v>
      </x:c>
    </x:row>
    <x:row r="2028">
      <x:c r="A2028" t="str">
        <x:v>2025_14_WAS_MIN</x:v>
      </x:c>
      <x:c r="B2028" t="n">
        <x:v>487</x:v>
      </x:c>
      <x:c r="C2028" t="n">
        <x:v>1</x:v>
      </x:c>
      <x:c r="D2028" t="str">
        <x:v>06:47</x:v>
      </x:c>
      <x:c r="E2028" t="n">
        <x:v>1</x:v>
      </x:c>
      <x:c r="F2028" t="n">
        <x:v>20</x:v>
      </x:c>
      <x:c r="G2028" t="str">
        <x:v>WAS</x:v>
      </x:c>
      <x:c r="H2028" t="str">
        <x:v>MIN</x:v>
      </x:c>
      <x:c r="I2028" t="str">
        <x:v>MIN</x:v>
      </x:c>
      <x:c r="J2028" t="n">
        <x:v>41</x:v>
      </x:c>
      <x:c r="K2028" t="str">
        <x:v>(6:47) (No Huddle, Shotgun) 5-J.Daniels pass short right to 26-J.McNichols to MIN 39 for 2 yards (51-B.Cashman; 61-J.Redmond).</x:v>
      </x:c>
      <x:c r="L2028" t="str">
        <x:v>pass</x:v>
      </x:c>
      <x:c r="M2028" t="n">
        <x:v>2</x:v>
      </x:c>
      <x:c r="N2028" t="n">
        <x:v>1</x:v>
      </x:c>
      <x:c r="O2028" t="n">
        <x:v>1</x:v>
      </x:c>
      <x:c r="P2028" t="str">
        <x:v>short</x:v>
      </x:c>
      <x:c r="Q2028" t="str">
        <x:v>right</x:v>
      </x:c>
      <x:c r="R2028" t="n">
        <x:v>-6</x:v>
      </x:c>
      <x:c r="S2028" t="n">
        <x:v>8</x:v>
      </x:c>
      <x:c r="T2028"/>
      <x:c r="U2028"/>
      <x:c r="V2028" t="n">
        <x:v>1</x:v>
      </x:c>
      <x:c r="W2028" t="n">
        <x:v>0</x:v>
      </x:c>
      <x:c r="X2028" t="n">
        <x:v>0</x:v>
      </x:c>
      <x:c r="Y2028" t="n">
        <x:v>0</x:v>
      </x:c>
      <x:c r="Z2028" t="n">
        <x:v>0</x:v>
      </x:c>
      <x:c r="AA2028" t="n">
        <x:v>0</x:v>
      </x:c>
      <x:c r="AB2028"/>
      <x:c r="AC2028" t="n">
        <x:v>0</x:v>
      </x:c>
      <x:c r="AD2028" t="n">
        <x:v>-0.6553568535018712</x:v>
      </x:c>
      <x:c r="AE2028" t="n">
        <x:v>0</x:v>
      </x:c>
      <x:c r="AF2028" t="n">
        <x:v>-0.012389451265335083</x:v>
      </x:c>
      <x:c r="AG2028" t="n">
        <x:f>_xlfn.XLOOKUP($A2028,Games!$A$2:$A$18,Games!$B$2:$B$18,"Missing game",0)</x:f>
        <x:v>2025</x:v>
      </x:c>
      <x:c r="AH2028" t="str">
        <x:f>_xlfn.XLOOKUP($A2028,Games!$A$2:$A$18,Games!$C$2:$C$18,"Missing game",0)</x:f>
        <x:v>REG</x:v>
      </x:c>
      <x:c r="AI2028" t="n">
        <x:f>_xlfn.XLOOKUP($A2028,Games!$A$2:$A$18,Games!$D$2:$D$18,"Missing game",0)</x:f>
        <x:v>14</x:v>
      </x:c>
      <x:c r="AJ2028" s="1" t="n">
        <x:f>_xlfn.XLOOKUP($A2028,Games!$A$2:$A$18,Games!$E$2:$E$18,"Missing game",0)</x:f>
        <x:v>45998</x:v>
      </x:c>
      <x:c r="AK2028" t="str">
        <x:f>_xlfn.XLOOKUP($A2028,Games!$A$2:$A$18,Games!$F$2:$F$18,"Missing game",0)</x:f>
        <x:v>Sunday</x:v>
      </x:c>
      <x:c r="AL2028" t="str">
        <x:f>_xlfn.XLOOKUP($A2028,Games!$A$2:$A$18,Games!$G$2:$G$18,"Missing game",0)</x:f>
        <x:v>WAS</x:v>
      </x:c>
      <x:c r="AM2028" t="n">
        <x:f>_xlfn.XLOOKUP($A2028,Games!$A$2:$A$18,Games!$H$2:$H$18,"Missing game",0)</x:f>
        <x:v>0</x:v>
      </x:c>
      <x:c r="AN2028" t="str">
        <x:f>_xlfn.XLOOKUP($A2028,Games!$A$2:$A$18,Games!$I$2:$I$18,"Missing game",0)</x:f>
        <x:v>MIN</x:v>
      </x:c>
      <x:c r="AO2028" t="n">
        <x:f>_xlfn.XLOOKUP($A2028,Games!$A$2:$A$18,Games!$J$2:$J$18,"Missing game",0)</x:f>
        <x:v>31</x:v>
      </x:c>
      <x:c r="AP2028" t="n">
        <x:f>_xlfn.XLOOKUP($A2028,Games!$A$2:$A$18,Games!$K$2:$K$18,"Missing game",0)</x:f>
        <x:v>31</x:v>
      </x:c>
      <x:c r="AQ2028" t="n">
        <x:f>_xlfn.XLOOKUP($A2028,Games!$A$2:$A$18,Games!$L$2:$L$18,"Missing game",0)</x:f>
        <x:v>31</x:v>
      </x:c>
      <x:c r="AR2028" t="n">
        <x:f>_xlfn.XLOOKUP($A2028,Games!$A$2:$A$18,Games!$M$2:$M$18,"Missing game",0)</x:f>
        <x:v>0</x:v>
      </x:c>
      <x:c r="AS2028" t="str">
        <x:f>_xlfn.XLOOKUP($A2028,Games!$A$2:$A$18,Games!$N$2:$N$18,"Missing game",0)</x:f>
        <x:v>dome</x:v>
      </x:c>
      <x:c r="AT2028" t="str">
        <x:f>_xlfn.XLOOKUP($A2028,Games!$A$2:$A$18,Games!$O$2:$O$18,"Missing game",0)</x:f>
        <x:v>sportturf</x:v>
      </x:c>
      <x:c r="AU2028" t="str">
        <x:f>_xlfn.XLOOKUP($A2028,Games!$A$2:$A$18,Games!$P$2:$P$18,"Missing game",0)</x:f>
      </x:c>
      <x:c r="AV2028" t="str">
        <x:f>_xlfn.XLOOKUP($A2028,Games!$A$2:$A$18,Games!$Q$2:$Q$18,"Missing game",0)</x:f>
      </x:c>
      <x:c r="AW2028" t="str">
        <x:f>_xlfn.XLOOKUP($A2028,Games!$A$2:$A$18,Games!$R$2:$R$18,"Missing game",0)</x:f>
        <x:v>U.S. Bank Stadium</x:v>
      </x:c>
    </x:row>
    <x:row r="2029">
      <x:c r="A2029" t="str">
        <x:v>2025_14_WAS_MIN</x:v>
      </x:c>
      <x:c r="B2029" t="n">
        <x:v>512</x:v>
      </x:c>
      <x:c r="C2029" t="n">
        <x:v>1</x:v>
      </x:c>
      <x:c r="D2029" t="str">
        <x:v>06:03</x:v>
      </x:c>
      <x:c r="E2029" t="n">
        <x:v>2</x:v>
      </x:c>
      <x:c r="F2029" t="n">
        <x:v>18</x:v>
      </x:c>
      <x:c r="G2029" t="str">
        <x:v>WAS</x:v>
      </x:c>
      <x:c r="H2029" t="str">
        <x:v>MIN</x:v>
      </x:c>
      <x:c r="I2029" t="str">
        <x:v>MIN</x:v>
      </x:c>
      <x:c r="J2029" t="n">
        <x:v>39</x:v>
      </x:c>
      <x:c r="K2029" t="str">
        <x:v>(6:03) (No Huddle, Shotgun) 5-J.Daniels scrambles up the middle to MIN 34 for 5 yards (22-H.Smith).</x:v>
      </x:c>
      <x:c r="L2029" t="str">
        <x:v>run</x:v>
      </x:c>
      <x:c r="M2029" t="n">
        <x:v>5</x:v>
      </x:c>
      <x:c r="N2029" t="n">
        <x:v>1</x:v>
      </x:c>
      <x:c r="O2029" t="n">
        <x:v>1</x:v>
      </x:c>
      <x:c r="P2029"/>
      <x:c r="Q2029"/>
      <x:c r="R2029"/>
      <x:c r="S2029"/>
      <x:c r="T2029" t="str">
        <x:v>middle</x:v>
      </x:c>
      <x:c r="U2029"/>
      <x:c r="V2029" t="n">
        <x:v>0</x:v>
      </x:c>
      <x:c r="W2029" t="n">
        <x:v>0</x:v>
      </x:c>
      <x:c r="X2029" t="n">
        <x:v>0</x:v>
      </x:c>
      <x:c r="Y2029" t="n">
        <x:v>0</x:v>
      </x:c>
      <x:c r="Z2029" t="n">
        <x:v>0</x:v>
      </x:c>
      <x:c r="AA2029" t="n">
        <x:v>0</x:v>
      </x:c>
      <x:c r="AB2029"/>
      <x:c r="AC2029" t="n">
        <x:v>0</x:v>
      </x:c>
      <x:c r="AD2029" t="n">
        <x:v>-0.37216259096749127</x:v>
      </x:c>
      <x:c r="AE2029" t="n">
        <x:v>0</x:v>
      </x:c>
      <x:c r="AF2029" t="n">
        <x:v>-0.006596684455871582</x:v>
      </x:c>
      <x:c r="AG2029" t="n">
        <x:f>_xlfn.XLOOKUP($A2029,Games!$A$2:$A$18,Games!$B$2:$B$18,"Missing game",0)</x:f>
        <x:v>2025</x:v>
      </x:c>
      <x:c r="AH2029" t="str">
        <x:f>_xlfn.XLOOKUP($A2029,Games!$A$2:$A$18,Games!$C$2:$C$18,"Missing game",0)</x:f>
        <x:v>REG</x:v>
      </x:c>
      <x:c r="AI2029" t="n">
        <x:f>_xlfn.XLOOKUP($A2029,Games!$A$2:$A$18,Games!$D$2:$D$18,"Missing game",0)</x:f>
        <x:v>14</x:v>
      </x:c>
      <x:c r="AJ2029" s="1" t="n">
        <x:f>_xlfn.XLOOKUP($A2029,Games!$A$2:$A$18,Games!$E$2:$E$18,"Missing game",0)</x:f>
        <x:v>45998</x:v>
      </x:c>
      <x:c r="AK2029" t="str">
        <x:f>_xlfn.XLOOKUP($A2029,Games!$A$2:$A$18,Games!$F$2:$F$18,"Missing game",0)</x:f>
        <x:v>Sunday</x:v>
      </x:c>
      <x:c r="AL2029" t="str">
        <x:f>_xlfn.XLOOKUP($A2029,Games!$A$2:$A$18,Games!$G$2:$G$18,"Missing game",0)</x:f>
        <x:v>WAS</x:v>
      </x:c>
      <x:c r="AM2029" t="n">
        <x:f>_xlfn.XLOOKUP($A2029,Games!$A$2:$A$18,Games!$H$2:$H$18,"Missing game",0)</x:f>
        <x:v>0</x:v>
      </x:c>
      <x:c r="AN2029" t="str">
        <x:f>_xlfn.XLOOKUP($A2029,Games!$A$2:$A$18,Games!$I$2:$I$18,"Missing game",0)</x:f>
        <x:v>MIN</x:v>
      </x:c>
      <x:c r="AO2029" t="n">
        <x:f>_xlfn.XLOOKUP($A2029,Games!$A$2:$A$18,Games!$J$2:$J$18,"Missing game",0)</x:f>
        <x:v>31</x:v>
      </x:c>
      <x:c r="AP2029" t="n">
        <x:f>_xlfn.XLOOKUP($A2029,Games!$A$2:$A$18,Games!$K$2:$K$18,"Missing game",0)</x:f>
        <x:v>31</x:v>
      </x:c>
      <x:c r="AQ2029" t="n">
        <x:f>_xlfn.XLOOKUP($A2029,Games!$A$2:$A$18,Games!$L$2:$L$18,"Missing game",0)</x:f>
        <x:v>31</x:v>
      </x:c>
      <x:c r="AR2029" t="n">
        <x:f>_xlfn.XLOOKUP($A2029,Games!$A$2:$A$18,Games!$M$2:$M$18,"Missing game",0)</x:f>
        <x:v>0</x:v>
      </x:c>
      <x:c r="AS2029" t="str">
        <x:f>_xlfn.XLOOKUP($A2029,Games!$A$2:$A$18,Games!$N$2:$N$18,"Missing game",0)</x:f>
        <x:v>dome</x:v>
      </x:c>
      <x:c r="AT2029" t="str">
        <x:f>_xlfn.XLOOKUP($A2029,Games!$A$2:$A$18,Games!$O$2:$O$18,"Missing game",0)</x:f>
        <x:v>sportturf</x:v>
      </x:c>
      <x:c r="AU2029" t="str">
        <x:f>_xlfn.XLOOKUP($A2029,Games!$A$2:$A$18,Games!$P$2:$P$18,"Missing game",0)</x:f>
      </x:c>
      <x:c r="AV2029" t="str">
        <x:f>_xlfn.XLOOKUP($A2029,Games!$A$2:$A$18,Games!$Q$2:$Q$18,"Missing game",0)</x:f>
      </x:c>
      <x:c r="AW2029" t="str">
        <x:f>_xlfn.XLOOKUP($A2029,Games!$A$2:$A$18,Games!$R$2:$R$18,"Missing game",0)</x:f>
        <x:v>U.S. Bank Stadium</x:v>
      </x:c>
    </x:row>
    <x:row r="2030">
      <x:c r="A2030" t="str">
        <x:v>2025_14_WAS_MIN</x:v>
      </x:c>
      <x:c r="B2030" t="n">
        <x:v>534</x:v>
      </x:c>
      <x:c r="C2030" t="n">
        <x:v>1</x:v>
      </x:c>
      <x:c r="D2030" t="str">
        <x:v>05:15</x:v>
      </x:c>
      <x:c r="E2030" t="n">
        <x:v>3</x:v>
      </x:c>
      <x:c r="F2030" t="n">
        <x:v>13</x:v>
      </x:c>
      <x:c r="G2030" t="str">
        <x:v>WAS</x:v>
      </x:c>
      <x:c r="H2030" t="str">
        <x:v>MIN</x:v>
      </x:c>
      <x:c r="I2030" t="str">
        <x:v>MIN</x:v>
      </x:c>
      <x:c r="J2030" t="n">
        <x:v>34</x:v>
      </x:c>
      <x:c r="K2030" t="str">
        <x:v>(5:15) (No Huddle, Shotgun) 5-J.Daniels pass short left to 1-D.Samuel to MIN 19 for 15 yards (2-I.Rodgers; 43-A.Van Ginkel).</x:v>
      </x:c>
      <x:c r="L2030" t="str">
        <x:v>pass</x:v>
      </x:c>
      <x:c r="M2030" t="n">
        <x:v>15</x:v>
      </x:c>
      <x:c r="N2030" t="n">
        <x:v>1</x:v>
      </x:c>
      <x:c r="O2030" t="n">
        <x:v>1</x:v>
      </x:c>
      <x:c r="P2030" t="str">
        <x:v>short</x:v>
      </x:c>
      <x:c r="Q2030" t="str">
        <x:v>left</x:v>
      </x:c>
      <x:c r="R2030" t="n">
        <x:v>-1</x:v>
      </x:c>
      <x:c r="S2030" t="n">
        <x:v>16</x:v>
      </x:c>
      <x:c r="T2030"/>
      <x:c r="U2030"/>
      <x:c r="V2030" t="n">
        <x:v>1</x:v>
      </x:c>
      <x:c r="W2030" t="n">
        <x:v>1</x:v>
      </x:c>
      <x:c r="X2030" t="n">
        <x:v>0</x:v>
      </x:c>
      <x:c r="Y2030" t="n">
        <x:v>0</x:v>
      </x:c>
      <x:c r="Z2030" t="n">
        <x:v>0</x:v>
      </x:c>
      <x:c r="AA2030" t="n">
        <x:v>0</x:v>
      </x:c>
      <x:c r="AB2030"/>
      <x:c r="AC2030" t="n">
        <x:v>0</x:v>
      </x:c>
      <x:c r="AD2030" t="n">
        <x:v>2.8780832359334454</x:v>
      </x:c>
      <x:c r="AE2030" t="n">
        <x:v>1</x:v>
      </x:c>
      <x:c r="AF2030" t="n">
        <x:v>0.07773581147193909</x:v>
      </x:c>
      <x:c r="AG2030" t="n">
        <x:f>_xlfn.XLOOKUP($A2030,Games!$A$2:$A$18,Games!$B$2:$B$18,"Missing game",0)</x:f>
        <x:v>2025</x:v>
      </x:c>
      <x:c r="AH2030" t="str">
        <x:f>_xlfn.XLOOKUP($A2030,Games!$A$2:$A$18,Games!$C$2:$C$18,"Missing game",0)</x:f>
        <x:v>REG</x:v>
      </x:c>
      <x:c r="AI2030" t="n">
        <x:f>_xlfn.XLOOKUP($A2030,Games!$A$2:$A$18,Games!$D$2:$D$18,"Missing game",0)</x:f>
        <x:v>14</x:v>
      </x:c>
      <x:c r="AJ2030" s="1" t="n">
        <x:f>_xlfn.XLOOKUP($A2030,Games!$A$2:$A$18,Games!$E$2:$E$18,"Missing game",0)</x:f>
        <x:v>45998</x:v>
      </x:c>
      <x:c r="AK2030" t="str">
        <x:f>_xlfn.XLOOKUP($A2030,Games!$A$2:$A$18,Games!$F$2:$F$18,"Missing game",0)</x:f>
        <x:v>Sunday</x:v>
      </x:c>
      <x:c r="AL2030" t="str">
        <x:f>_xlfn.XLOOKUP($A2030,Games!$A$2:$A$18,Games!$G$2:$G$18,"Missing game",0)</x:f>
        <x:v>WAS</x:v>
      </x:c>
      <x:c r="AM2030" t="n">
        <x:f>_xlfn.XLOOKUP($A2030,Games!$A$2:$A$18,Games!$H$2:$H$18,"Missing game",0)</x:f>
        <x:v>0</x:v>
      </x:c>
      <x:c r="AN2030" t="str">
        <x:f>_xlfn.XLOOKUP($A2030,Games!$A$2:$A$18,Games!$I$2:$I$18,"Missing game",0)</x:f>
        <x:v>MIN</x:v>
      </x:c>
      <x:c r="AO2030" t="n">
        <x:f>_xlfn.XLOOKUP($A2030,Games!$A$2:$A$18,Games!$J$2:$J$18,"Missing game",0)</x:f>
        <x:v>31</x:v>
      </x:c>
      <x:c r="AP2030" t="n">
        <x:f>_xlfn.XLOOKUP($A2030,Games!$A$2:$A$18,Games!$K$2:$K$18,"Missing game",0)</x:f>
        <x:v>31</x:v>
      </x:c>
      <x:c r="AQ2030" t="n">
        <x:f>_xlfn.XLOOKUP($A2030,Games!$A$2:$A$18,Games!$L$2:$L$18,"Missing game",0)</x:f>
        <x:v>31</x:v>
      </x:c>
      <x:c r="AR2030" t="n">
        <x:f>_xlfn.XLOOKUP($A2030,Games!$A$2:$A$18,Games!$M$2:$M$18,"Missing game",0)</x:f>
        <x:v>0</x:v>
      </x:c>
      <x:c r="AS2030" t="str">
        <x:f>_xlfn.XLOOKUP($A2030,Games!$A$2:$A$18,Games!$N$2:$N$18,"Missing game",0)</x:f>
        <x:v>dome</x:v>
      </x:c>
      <x:c r="AT2030" t="str">
        <x:f>_xlfn.XLOOKUP($A2030,Games!$A$2:$A$18,Games!$O$2:$O$18,"Missing game",0)</x:f>
        <x:v>sportturf</x:v>
      </x:c>
      <x:c r="AU2030" t="str">
        <x:f>_xlfn.XLOOKUP($A2030,Games!$A$2:$A$18,Games!$P$2:$P$18,"Missing game",0)</x:f>
      </x:c>
      <x:c r="AV2030" t="str">
        <x:f>_xlfn.XLOOKUP($A2030,Games!$A$2:$A$18,Games!$Q$2:$Q$18,"Missing game",0)</x:f>
      </x:c>
      <x:c r="AW2030" t="str">
        <x:f>_xlfn.XLOOKUP($A2030,Games!$A$2:$A$18,Games!$R$2:$R$18,"Missing game",0)</x:f>
        <x:v>U.S. Bank Stadium</x:v>
      </x:c>
    </x:row>
    <x:row r="2031">
      <x:c r="A2031" t="str">
        <x:v>2025_14_WAS_MIN</x:v>
      </x:c>
      <x:c r="B2031" t="n">
        <x:v>559</x:v>
      </x:c>
      <x:c r="C2031" t="n">
        <x:v>1</x:v>
      </x:c>
      <x:c r="D2031" t="str">
        <x:v>04:28</x:v>
      </x:c>
      <x:c r="E2031" t="n">
        <x:v>1</x:v>
      </x:c>
      <x:c r="F2031" t="n">
        <x:v>10</x:v>
      </x:c>
      <x:c r="G2031" t="str">
        <x:v>WAS</x:v>
      </x:c>
      <x:c r="H2031" t="str">
        <x:v>MIN</x:v>
      </x:c>
      <x:c r="I2031" t="str">
        <x:v>MIN</x:v>
      </x:c>
      <x:c r="J2031" t="n">
        <x:v>19</x:v>
      </x:c>
      <x:c r="K2031" t="str">
        <x:v>(4:28) (No Huddle) 36-C.Rodriguez right tackle to MIN 4 for 15 yards (15-D.Turner; 22-H.Smith).</x:v>
      </x:c>
      <x:c r="L2031" t="str">
        <x:v>run</x:v>
      </x:c>
      <x:c r="M2031" t="n">
        <x:v>15</x:v>
      </x:c>
      <x:c r="N2031" t="n">
        <x:v>0</x:v>
      </x:c>
      <x:c r="O2031" t="n">
        <x:v>1</x:v>
      </x:c>
      <x:c r="P2031"/>
      <x:c r="Q2031"/>
      <x:c r="R2031"/>
      <x:c r="S2031"/>
      <x:c r="T2031" t="str">
        <x:v>right</x:v>
      </x:c>
      <x:c r="U2031" t="str">
        <x:v>tackle</x:v>
      </x:c>
      <x:c r="V2031" t="n">
        <x:v>0</x:v>
      </x:c>
      <x:c r="W2031" t="n">
        <x:v>1</x:v>
      </x:c>
      <x:c r="X2031" t="n">
        <x:v>0</x:v>
      </x:c>
      <x:c r="Y2031" t="n">
        <x:v>0</x:v>
      </x:c>
      <x:c r="Z2031" t="n">
        <x:v>0</x:v>
      </x:c>
      <x:c r="AA2031" t="n">
        <x:v>0</x:v>
      </x:c>
      <x:c r="AB2031"/>
      <x:c r="AC2031" t="n">
        <x:v>0</x:v>
      </x:c>
      <x:c r="AD2031" t="n">
        <x:v>1.2523708122898825</x:v>
      </x:c>
      <x:c r="AE2031" t="n">
        <x:v>1</x:v>
      </x:c>
      <x:c r="AF2031" t="n">
        <x:v>0.009401470422744751</x:v>
      </x:c>
      <x:c r="AG2031" t="n">
        <x:f>_xlfn.XLOOKUP($A2031,Games!$A$2:$A$18,Games!$B$2:$B$18,"Missing game",0)</x:f>
        <x:v>2025</x:v>
      </x:c>
      <x:c r="AH2031" t="str">
        <x:f>_xlfn.XLOOKUP($A2031,Games!$A$2:$A$18,Games!$C$2:$C$18,"Missing game",0)</x:f>
        <x:v>REG</x:v>
      </x:c>
      <x:c r="AI2031" t="n">
        <x:f>_xlfn.XLOOKUP($A2031,Games!$A$2:$A$18,Games!$D$2:$D$18,"Missing game",0)</x:f>
        <x:v>14</x:v>
      </x:c>
      <x:c r="AJ2031" s="1" t="n">
        <x:f>_xlfn.XLOOKUP($A2031,Games!$A$2:$A$18,Games!$E$2:$E$18,"Missing game",0)</x:f>
        <x:v>45998</x:v>
      </x:c>
      <x:c r="AK2031" t="str">
        <x:f>_xlfn.XLOOKUP($A2031,Games!$A$2:$A$18,Games!$F$2:$F$18,"Missing game",0)</x:f>
        <x:v>Sunday</x:v>
      </x:c>
      <x:c r="AL2031" t="str">
        <x:f>_xlfn.XLOOKUP($A2031,Games!$A$2:$A$18,Games!$G$2:$G$18,"Missing game",0)</x:f>
        <x:v>WAS</x:v>
      </x:c>
      <x:c r="AM2031" t="n">
        <x:f>_xlfn.XLOOKUP($A2031,Games!$A$2:$A$18,Games!$H$2:$H$18,"Missing game",0)</x:f>
        <x:v>0</x:v>
      </x:c>
      <x:c r="AN2031" t="str">
        <x:f>_xlfn.XLOOKUP($A2031,Games!$A$2:$A$18,Games!$I$2:$I$18,"Missing game",0)</x:f>
        <x:v>MIN</x:v>
      </x:c>
      <x:c r="AO2031" t="n">
        <x:f>_xlfn.XLOOKUP($A2031,Games!$A$2:$A$18,Games!$J$2:$J$18,"Missing game",0)</x:f>
        <x:v>31</x:v>
      </x:c>
      <x:c r="AP2031" t="n">
        <x:f>_xlfn.XLOOKUP($A2031,Games!$A$2:$A$18,Games!$K$2:$K$18,"Missing game",0)</x:f>
        <x:v>31</x:v>
      </x:c>
      <x:c r="AQ2031" t="n">
        <x:f>_xlfn.XLOOKUP($A2031,Games!$A$2:$A$18,Games!$L$2:$L$18,"Missing game",0)</x:f>
        <x:v>31</x:v>
      </x:c>
      <x:c r="AR2031" t="n">
        <x:f>_xlfn.XLOOKUP($A2031,Games!$A$2:$A$18,Games!$M$2:$M$18,"Missing game",0)</x:f>
        <x:v>0</x:v>
      </x:c>
      <x:c r="AS2031" t="str">
        <x:f>_xlfn.XLOOKUP($A2031,Games!$A$2:$A$18,Games!$N$2:$N$18,"Missing game",0)</x:f>
        <x:v>dome</x:v>
      </x:c>
      <x:c r="AT2031" t="str">
        <x:f>_xlfn.XLOOKUP($A2031,Games!$A$2:$A$18,Games!$O$2:$O$18,"Missing game",0)</x:f>
        <x:v>sportturf</x:v>
      </x:c>
      <x:c r="AU2031" t="str">
        <x:f>_xlfn.XLOOKUP($A2031,Games!$A$2:$A$18,Games!$P$2:$P$18,"Missing game",0)</x:f>
      </x:c>
      <x:c r="AV2031" t="str">
        <x:f>_xlfn.XLOOKUP($A2031,Games!$A$2:$A$18,Games!$Q$2:$Q$18,"Missing game",0)</x:f>
      </x:c>
      <x:c r="AW2031" t="str">
        <x:f>_xlfn.XLOOKUP($A2031,Games!$A$2:$A$18,Games!$R$2:$R$18,"Missing game",0)</x:f>
        <x:v>U.S. Bank Stadium</x:v>
      </x:c>
    </x:row>
    <x:row r="2032">
      <x:c r="A2032" t="str">
        <x:v>2025_14_WAS_MIN</x:v>
      </x:c>
      <x:c r="B2032" t="n">
        <x:v>581</x:v>
      </x:c>
      <x:c r="C2032" t="n">
        <x:v>1</x:v>
      </x:c>
      <x:c r="D2032" t="str">
        <x:v>03:42</x:v>
      </x:c>
      <x:c r="E2032" t="n">
        <x:v>1</x:v>
      </x:c>
      <x:c r="F2032" t="n">
        <x:v>4</x:v>
      </x:c>
      <x:c r="G2032" t="str">
        <x:v>WAS</x:v>
      </x:c>
      <x:c r="H2032" t="str">
        <x:v>MIN</x:v>
      </x:c>
      <x:c r="I2032" t="str">
        <x:v>MIN</x:v>
      </x:c>
      <x:c r="J2032" t="n">
        <x:v>4</x:v>
      </x:c>
      <x:c r="K2032" t="str">
        <x:v>(3:42) (No Huddle, Shotgun) 36-C.Rodriguez left guard to MIN 2 for 2 yards (51-B.Cashman; 55-E.Wilson).</x:v>
      </x:c>
      <x:c r="L2032" t="str">
        <x:v>run</x:v>
      </x:c>
      <x:c r="M2032" t="n">
        <x:v>2</x:v>
      </x:c>
      <x:c r="N2032" t="n">
        <x:v>1</x:v>
      </x:c>
      <x:c r="O2032" t="n">
        <x:v>1</x:v>
      </x:c>
      <x:c r="P2032"/>
      <x:c r="Q2032"/>
      <x:c r="R2032"/>
      <x:c r="S2032"/>
      <x:c r="T2032" t="str">
        <x:v>left</x:v>
      </x:c>
      <x:c r="U2032" t="str">
        <x:v>guard</x:v>
      </x:c>
      <x:c r="V2032" t="n">
        <x:v>0</x:v>
      </x:c>
      <x:c r="W2032" t="n">
        <x:v>0</x:v>
      </x:c>
      <x:c r="X2032" t="n">
        <x:v>0</x:v>
      </x:c>
      <x:c r="Y2032" t="n">
        <x:v>0</x:v>
      </x:c>
      <x:c r="Z2032" t="n">
        <x:v>0</x:v>
      </x:c>
      <x:c r="AA2032" t="n">
        <x:v>0</x:v>
      </x:c>
      <x:c r="AB2032"/>
      <x:c r="AC2032" t="n">
        <x:v>0</x:v>
      </x:c>
      <x:c r="AD2032" t="n">
        <x:v>-0.061589973338413984</x:v>
      </x:c>
      <x:c r="AE2032" t="n">
        <x:v>0</x:v>
      </x:c>
      <x:c r="AF2032" t="n">
        <x:v>-0.00017344951629638672</x:v>
      </x:c>
      <x:c r="AG2032" t="n">
        <x:f>_xlfn.XLOOKUP($A2032,Games!$A$2:$A$18,Games!$B$2:$B$18,"Missing game",0)</x:f>
        <x:v>2025</x:v>
      </x:c>
      <x:c r="AH2032" t="str">
        <x:f>_xlfn.XLOOKUP($A2032,Games!$A$2:$A$18,Games!$C$2:$C$18,"Missing game",0)</x:f>
        <x:v>REG</x:v>
      </x:c>
      <x:c r="AI2032" t="n">
        <x:f>_xlfn.XLOOKUP($A2032,Games!$A$2:$A$18,Games!$D$2:$D$18,"Missing game",0)</x:f>
        <x:v>14</x:v>
      </x:c>
      <x:c r="AJ2032" s="1" t="n">
        <x:f>_xlfn.XLOOKUP($A2032,Games!$A$2:$A$18,Games!$E$2:$E$18,"Missing game",0)</x:f>
        <x:v>45998</x:v>
      </x:c>
      <x:c r="AK2032" t="str">
        <x:f>_xlfn.XLOOKUP($A2032,Games!$A$2:$A$18,Games!$F$2:$F$18,"Missing game",0)</x:f>
        <x:v>Sunday</x:v>
      </x:c>
      <x:c r="AL2032" t="str">
        <x:f>_xlfn.XLOOKUP($A2032,Games!$A$2:$A$18,Games!$G$2:$G$18,"Missing game",0)</x:f>
        <x:v>WAS</x:v>
      </x:c>
      <x:c r="AM2032" t="n">
        <x:f>_xlfn.XLOOKUP($A2032,Games!$A$2:$A$18,Games!$H$2:$H$18,"Missing game",0)</x:f>
        <x:v>0</x:v>
      </x:c>
      <x:c r="AN2032" t="str">
        <x:f>_xlfn.XLOOKUP($A2032,Games!$A$2:$A$18,Games!$I$2:$I$18,"Missing game",0)</x:f>
        <x:v>MIN</x:v>
      </x:c>
      <x:c r="AO2032" t="n">
        <x:f>_xlfn.XLOOKUP($A2032,Games!$A$2:$A$18,Games!$J$2:$J$18,"Missing game",0)</x:f>
        <x:v>31</x:v>
      </x:c>
      <x:c r="AP2032" t="n">
        <x:f>_xlfn.XLOOKUP($A2032,Games!$A$2:$A$18,Games!$K$2:$K$18,"Missing game",0)</x:f>
        <x:v>31</x:v>
      </x:c>
      <x:c r="AQ2032" t="n">
        <x:f>_xlfn.XLOOKUP($A2032,Games!$A$2:$A$18,Games!$L$2:$L$18,"Missing game",0)</x:f>
        <x:v>31</x:v>
      </x:c>
      <x:c r="AR2032" t="n">
        <x:f>_xlfn.XLOOKUP($A2032,Games!$A$2:$A$18,Games!$M$2:$M$18,"Missing game",0)</x:f>
        <x:v>0</x:v>
      </x:c>
      <x:c r="AS2032" t="str">
        <x:f>_xlfn.XLOOKUP($A2032,Games!$A$2:$A$18,Games!$N$2:$N$18,"Missing game",0)</x:f>
        <x:v>dome</x:v>
      </x:c>
      <x:c r="AT2032" t="str">
        <x:f>_xlfn.XLOOKUP($A2032,Games!$A$2:$A$18,Games!$O$2:$O$18,"Missing game",0)</x:f>
        <x:v>sportturf</x:v>
      </x:c>
      <x:c r="AU2032" t="str">
        <x:f>_xlfn.XLOOKUP($A2032,Games!$A$2:$A$18,Games!$P$2:$P$18,"Missing game",0)</x:f>
      </x:c>
      <x:c r="AV2032" t="str">
        <x:f>_xlfn.XLOOKUP($A2032,Games!$A$2:$A$18,Games!$Q$2:$Q$18,"Missing game",0)</x:f>
      </x:c>
      <x:c r="AW2032" t="str">
        <x:f>_xlfn.XLOOKUP($A2032,Games!$A$2:$A$18,Games!$R$2:$R$18,"Missing game",0)</x:f>
        <x:v>U.S. Bank Stadium</x:v>
      </x:c>
    </x:row>
    <x:row r="2033">
      <x:c r="A2033" t="str">
        <x:v>2025_14_WAS_MIN</x:v>
      </x:c>
      <x:c r="B2033" t="n">
        <x:v>603</x:v>
      </x:c>
      <x:c r="C2033" t="n">
        <x:v>1</x:v>
      </x:c>
      <x:c r="D2033" t="str">
        <x:v>02:59</x:v>
      </x:c>
      <x:c r="E2033" t="n">
        <x:v>2</x:v>
      </x:c>
      <x:c r="F2033" t="n">
        <x:v>2</x:v>
      </x:c>
      <x:c r="G2033" t="str">
        <x:v>WAS</x:v>
      </x:c>
      <x:c r="H2033" t="str">
        <x:v>MIN</x:v>
      </x:c>
      <x:c r="I2033" t="str">
        <x:v>MIN</x:v>
      </x:c>
      <x:c r="J2033" t="n">
        <x:v>2</x:v>
      </x:c>
      <x:c r="K2033" t="str">
        <x:v>(2:59) (No Huddle) 74-B.Coleman reported in as eligible. 5-J.Daniels pass incomplete short left.</x:v>
      </x:c>
      <x:c r="L2033" t="str">
        <x:v>pass</x:v>
      </x:c>
      <x:c r="M2033" t="n">
        <x:v>0</x:v>
      </x:c>
      <x:c r="N2033" t="n">
        <x:v>0</x:v>
      </x:c>
      <x:c r="O2033" t="n">
        <x:v>1</x:v>
      </x:c>
      <x:c r="P2033" t="str">
        <x:v>short</x:v>
      </x:c>
      <x:c r="Q2033" t="str">
        <x:v>left</x:v>
      </x:c>
      <x:c r="R2033" t="n">
        <x:v>2</x:v>
      </x:c>
      <x:c r="S2033"/>
      <x:c r="T2033"/>
      <x:c r="U2033"/>
      <x:c r="V2033" t="n">
        <x:v>0</x:v>
      </x:c>
      <x:c r="W2033" t="n">
        <x:v>0</x:v>
      </x:c>
      <x:c r="X2033" t="n">
        <x:v>0</x:v>
      </x:c>
      <x:c r="Y2033" t="n">
        <x:v>0</x:v>
      </x:c>
      <x:c r="Z2033" t="n">
        <x:v>0</x:v>
      </x:c>
      <x:c r="AA2033" t="n">
        <x:v>0</x:v>
      </x:c>
      <x:c r="AB2033"/>
      <x:c r="AC2033" t="n">
        <x:v>0</x:v>
      </x:c>
      <x:c r="AD2033" t="n">
        <x:v>-0.8357427919982001</x:v>
      </x:c>
      <x:c r="AE2033" t="n">
        <x:v>0</x:v>
      </x:c>
      <x:c r="AF2033" t="n">
        <x:v>-0.028291642665863037</x:v>
      </x:c>
      <x:c r="AG2033" t="n">
        <x:f>_xlfn.XLOOKUP($A2033,Games!$A$2:$A$18,Games!$B$2:$B$18,"Missing game",0)</x:f>
        <x:v>2025</x:v>
      </x:c>
      <x:c r="AH2033" t="str">
        <x:f>_xlfn.XLOOKUP($A2033,Games!$A$2:$A$18,Games!$C$2:$C$18,"Missing game",0)</x:f>
        <x:v>REG</x:v>
      </x:c>
      <x:c r="AI2033" t="n">
        <x:f>_xlfn.XLOOKUP($A2033,Games!$A$2:$A$18,Games!$D$2:$D$18,"Missing game",0)</x:f>
        <x:v>14</x:v>
      </x:c>
      <x:c r="AJ2033" s="1" t="n">
        <x:f>_xlfn.XLOOKUP($A2033,Games!$A$2:$A$18,Games!$E$2:$E$18,"Missing game",0)</x:f>
        <x:v>45998</x:v>
      </x:c>
      <x:c r="AK2033" t="str">
        <x:f>_xlfn.XLOOKUP($A2033,Games!$A$2:$A$18,Games!$F$2:$F$18,"Missing game",0)</x:f>
        <x:v>Sunday</x:v>
      </x:c>
      <x:c r="AL2033" t="str">
        <x:f>_xlfn.XLOOKUP($A2033,Games!$A$2:$A$18,Games!$G$2:$G$18,"Missing game",0)</x:f>
        <x:v>WAS</x:v>
      </x:c>
      <x:c r="AM2033" t="n">
        <x:f>_xlfn.XLOOKUP($A2033,Games!$A$2:$A$18,Games!$H$2:$H$18,"Missing game",0)</x:f>
        <x:v>0</x:v>
      </x:c>
      <x:c r="AN2033" t="str">
        <x:f>_xlfn.XLOOKUP($A2033,Games!$A$2:$A$18,Games!$I$2:$I$18,"Missing game",0)</x:f>
        <x:v>MIN</x:v>
      </x:c>
      <x:c r="AO2033" t="n">
        <x:f>_xlfn.XLOOKUP($A2033,Games!$A$2:$A$18,Games!$J$2:$J$18,"Missing game",0)</x:f>
        <x:v>31</x:v>
      </x:c>
      <x:c r="AP2033" t="n">
        <x:f>_xlfn.XLOOKUP($A2033,Games!$A$2:$A$18,Games!$K$2:$K$18,"Missing game",0)</x:f>
        <x:v>31</x:v>
      </x:c>
      <x:c r="AQ2033" t="n">
        <x:f>_xlfn.XLOOKUP($A2033,Games!$A$2:$A$18,Games!$L$2:$L$18,"Missing game",0)</x:f>
        <x:v>31</x:v>
      </x:c>
      <x:c r="AR2033" t="n">
        <x:f>_xlfn.XLOOKUP($A2033,Games!$A$2:$A$18,Games!$M$2:$M$18,"Missing game",0)</x:f>
        <x:v>0</x:v>
      </x:c>
      <x:c r="AS2033" t="str">
        <x:f>_xlfn.XLOOKUP($A2033,Games!$A$2:$A$18,Games!$N$2:$N$18,"Missing game",0)</x:f>
        <x:v>dome</x:v>
      </x:c>
      <x:c r="AT2033" t="str">
        <x:f>_xlfn.XLOOKUP($A2033,Games!$A$2:$A$18,Games!$O$2:$O$18,"Missing game",0)</x:f>
        <x:v>sportturf</x:v>
      </x:c>
      <x:c r="AU2033" t="str">
        <x:f>_xlfn.XLOOKUP($A2033,Games!$A$2:$A$18,Games!$P$2:$P$18,"Missing game",0)</x:f>
      </x:c>
      <x:c r="AV2033" t="str">
        <x:f>_xlfn.XLOOKUP($A2033,Games!$A$2:$A$18,Games!$Q$2:$Q$18,"Missing game",0)</x:f>
      </x:c>
      <x:c r="AW2033" t="str">
        <x:f>_xlfn.XLOOKUP($A2033,Games!$A$2:$A$18,Games!$R$2:$R$18,"Missing game",0)</x:f>
        <x:v>U.S. Bank Stadium</x:v>
      </x:c>
    </x:row>
    <x:row r="2034">
      <x:c r="A2034" t="str">
        <x:v>2025_14_WAS_MIN</x:v>
      </x:c>
      <x:c r="B2034" t="n">
        <x:v>628</x:v>
      </x:c>
      <x:c r="C2034" t="n">
        <x:v>1</x:v>
      </x:c>
      <x:c r="D2034" t="str">
        <x:v>02:53</x:v>
      </x:c>
      <x:c r="E2034" t="n">
        <x:v>3</x:v>
      </x:c>
      <x:c r="F2034" t="n">
        <x:v>2</x:v>
      </x:c>
      <x:c r="G2034" t="str">
        <x:v>WAS</x:v>
      </x:c>
      <x:c r="H2034" t="str">
        <x:v>MIN</x:v>
      </x:c>
      <x:c r="I2034" t="str">
        <x:v>MIN</x:v>
      </x:c>
      <x:c r="J2034" t="n">
        <x:v>2</x:v>
      </x:c>
      <x:c r="K2034" t="str">
        <x:v>(2:53) (No Huddle, Shotgun) 5-J.Daniels pass incomplete short right [93-J.Allen].</x:v>
      </x:c>
      <x:c r="L2034" t="str">
        <x:v>pass</x:v>
      </x:c>
      <x:c r="M2034" t="n">
        <x:v>0</x:v>
      </x:c>
      <x:c r="N2034" t="n">
        <x:v>1</x:v>
      </x:c>
      <x:c r="O2034" t="n">
        <x:v>1</x:v>
      </x:c>
      <x:c r="P2034" t="str">
        <x:v>short</x:v>
      </x:c>
      <x:c r="Q2034" t="str">
        <x:v>right</x:v>
      </x:c>
      <x:c r="R2034" t="n">
        <x:v>2</x:v>
      </x:c>
      <x:c r="S2034"/>
      <x:c r="T2034"/>
      <x:c r="U2034"/>
      <x:c r="V2034" t="n">
        <x:v>0</x:v>
      </x:c>
      <x:c r="W2034" t="n">
        <x:v>0</x:v>
      </x:c>
      <x:c r="X2034" t="n">
        <x:v>0</x:v>
      </x:c>
      <x:c r="Y2034" t="n">
        <x:v>0</x:v>
      </x:c>
      <x:c r="Z2034" t="n">
        <x:v>0</x:v>
      </x:c>
      <x:c r="AA2034" t="n">
        <x:v>0</x:v>
      </x:c>
      <x:c r="AB2034"/>
      <x:c r="AC2034" t="n">
        <x:v>0</x:v>
      </x:c>
      <x:c r="AD2034" t="n">
        <x:v>-1.9013188200769946</x:v>
      </x:c>
      <x:c r="AE2034" t="n">
        <x:v>0</x:v>
      </x:c>
      <x:c r="AF2034" t="n">
        <x:v>-0.040359288454055786</x:v>
      </x:c>
      <x:c r="AG2034" t="n">
        <x:f>_xlfn.XLOOKUP($A2034,Games!$A$2:$A$18,Games!$B$2:$B$18,"Missing game",0)</x:f>
        <x:v>2025</x:v>
      </x:c>
      <x:c r="AH2034" t="str">
        <x:f>_xlfn.XLOOKUP($A2034,Games!$A$2:$A$18,Games!$C$2:$C$18,"Missing game",0)</x:f>
        <x:v>REG</x:v>
      </x:c>
      <x:c r="AI2034" t="n">
        <x:f>_xlfn.XLOOKUP($A2034,Games!$A$2:$A$18,Games!$D$2:$D$18,"Missing game",0)</x:f>
        <x:v>14</x:v>
      </x:c>
      <x:c r="AJ2034" s="1" t="n">
        <x:f>_xlfn.XLOOKUP($A2034,Games!$A$2:$A$18,Games!$E$2:$E$18,"Missing game",0)</x:f>
        <x:v>45998</x:v>
      </x:c>
      <x:c r="AK2034" t="str">
        <x:f>_xlfn.XLOOKUP($A2034,Games!$A$2:$A$18,Games!$F$2:$F$18,"Missing game",0)</x:f>
        <x:v>Sunday</x:v>
      </x:c>
      <x:c r="AL2034" t="str">
        <x:f>_xlfn.XLOOKUP($A2034,Games!$A$2:$A$18,Games!$G$2:$G$18,"Missing game",0)</x:f>
        <x:v>WAS</x:v>
      </x:c>
      <x:c r="AM2034" t="n">
        <x:f>_xlfn.XLOOKUP($A2034,Games!$A$2:$A$18,Games!$H$2:$H$18,"Missing game",0)</x:f>
        <x:v>0</x:v>
      </x:c>
      <x:c r="AN2034" t="str">
        <x:f>_xlfn.XLOOKUP($A2034,Games!$A$2:$A$18,Games!$I$2:$I$18,"Missing game",0)</x:f>
        <x:v>MIN</x:v>
      </x:c>
      <x:c r="AO2034" t="n">
        <x:f>_xlfn.XLOOKUP($A2034,Games!$A$2:$A$18,Games!$J$2:$J$18,"Missing game",0)</x:f>
        <x:v>31</x:v>
      </x:c>
      <x:c r="AP2034" t="n">
        <x:f>_xlfn.XLOOKUP($A2034,Games!$A$2:$A$18,Games!$K$2:$K$18,"Missing game",0)</x:f>
        <x:v>31</x:v>
      </x:c>
      <x:c r="AQ2034" t="n">
        <x:f>_xlfn.XLOOKUP($A2034,Games!$A$2:$A$18,Games!$L$2:$L$18,"Missing game",0)</x:f>
        <x:v>31</x:v>
      </x:c>
      <x:c r="AR2034" t="n">
        <x:f>_xlfn.XLOOKUP($A2034,Games!$A$2:$A$18,Games!$M$2:$M$18,"Missing game",0)</x:f>
        <x:v>0</x:v>
      </x:c>
      <x:c r="AS2034" t="str">
        <x:f>_xlfn.XLOOKUP($A2034,Games!$A$2:$A$18,Games!$N$2:$N$18,"Missing game",0)</x:f>
        <x:v>dome</x:v>
      </x:c>
      <x:c r="AT2034" t="str">
        <x:f>_xlfn.XLOOKUP($A2034,Games!$A$2:$A$18,Games!$O$2:$O$18,"Missing game",0)</x:f>
        <x:v>sportturf</x:v>
      </x:c>
      <x:c r="AU2034" t="str">
        <x:f>_xlfn.XLOOKUP($A2034,Games!$A$2:$A$18,Games!$P$2:$P$18,"Missing game",0)</x:f>
      </x:c>
      <x:c r="AV2034" t="str">
        <x:f>_xlfn.XLOOKUP($A2034,Games!$A$2:$A$18,Games!$Q$2:$Q$18,"Missing game",0)</x:f>
      </x:c>
      <x:c r="AW2034" t="str">
        <x:f>_xlfn.XLOOKUP($A2034,Games!$A$2:$A$18,Games!$R$2:$R$18,"Missing game",0)</x:f>
        <x:v>U.S. Bank Stadium</x:v>
      </x:c>
    </x:row>
    <x:row r="2035">
      <x:c r="A2035" t="str">
        <x:v>2025_14_WAS_MIN</x:v>
      </x:c>
      <x:c r="B2035" t="n">
        <x:v>651</x:v>
      </x:c>
      <x:c r="C2035" t="n">
        <x:v>1</x:v>
      </x:c>
      <x:c r="D2035" t="str">
        <x:v>02:46</x:v>
      </x:c>
      <x:c r="E2035" t="n">
        <x:v>4</x:v>
      </x:c>
      <x:c r="F2035" t="n">
        <x:v>2</x:v>
      </x:c>
      <x:c r="G2035" t="str">
        <x:v>WAS</x:v>
      </x:c>
      <x:c r="H2035" t="str">
        <x:v>MIN</x:v>
      </x:c>
      <x:c r="I2035" t="str">
        <x:v>MIN</x:v>
      </x:c>
      <x:c r="J2035" t="n">
        <x:v>2</x:v>
      </x:c>
      <x:c r="K2035" t="str">
        <x:v>(2:46) (Shotgun) 5-J.Daniels pass incomplete short middle to 1-D.Samuel.</x:v>
      </x:c>
      <x:c r="L2035" t="str">
        <x:v>pass</x:v>
      </x:c>
      <x:c r="M2035" t="n">
        <x:v>0</x:v>
      </x:c>
      <x:c r="N2035" t="n">
        <x:v>1</x:v>
      </x:c>
      <x:c r="O2035" t="n">
        <x:v>0</x:v>
      </x:c>
      <x:c r="P2035" t="str">
        <x:v>short</x:v>
      </x:c>
      <x:c r="Q2035" t="str">
        <x:v>middle</x:v>
      </x:c>
      <x:c r="R2035" t="n">
        <x:v>2</x:v>
      </x:c>
      <x:c r="S2035"/>
      <x:c r="T2035"/>
      <x:c r="U2035"/>
      <x:c r="V2035" t="n">
        <x:v>0</x:v>
      </x:c>
      <x:c r="W2035" t="n">
        <x:v>0</x:v>
      </x:c>
      <x:c r="X2035" t="n">
        <x:v>0</x:v>
      </x:c>
      <x:c r="Y2035" t="n">
        <x:v>0</x:v>
      </x:c>
      <x:c r="Z2035" t="n">
        <x:v>0</x:v>
      </x:c>
      <x:c r="AA2035" t="n">
        <x:v>0</x:v>
      </x:c>
      <x:c r="AB2035"/>
      <x:c r="AC2035" t="n">
        <x:v>0</x:v>
      </x:c>
      <x:c r="AD2035" t="n">
        <x:v>-3.4634900036035106</x:v>
      </x:c>
      <x:c r="AE2035" t="n">
        <x:v>0</x:v>
      </x:c>
      <x:c r="AF2035" t="n">
        <x:v>-0.056598961353302</x:v>
      </x:c>
      <x:c r="AG2035" t="n">
        <x:f>_xlfn.XLOOKUP($A2035,Games!$A$2:$A$18,Games!$B$2:$B$18,"Missing game",0)</x:f>
        <x:v>2025</x:v>
      </x:c>
      <x:c r="AH2035" t="str">
        <x:f>_xlfn.XLOOKUP($A2035,Games!$A$2:$A$18,Games!$C$2:$C$18,"Missing game",0)</x:f>
        <x:v>REG</x:v>
      </x:c>
      <x:c r="AI2035" t="n">
        <x:f>_xlfn.XLOOKUP($A2035,Games!$A$2:$A$18,Games!$D$2:$D$18,"Missing game",0)</x:f>
        <x:v>14</x:v>
      </x:c>
      <x:c r="AJ2035" s="1" t="n">
        <x:f>_xlfn.XLOOKUP($A2035,Games!$A$2:$A$18,Games!$E$2:$E$18,"Missing game",0)</x:f>
        <x:v>45998</x:v>
      </x:c>
      <x:c r="AK2035" t="str">
        <x:f>_xlfn.XLOOKUP($A2035,Games!$A$2:$A$18,Games!$F$2:$F$18,"Missing game",0)</x:f>
        <x:v>Sunday</x:v>
      </x:c>
      <x:c r="AL2035" t="str">
        <x:f>_xlfn.XLOOKUP($A2035,Games!$A$2:$A$18,Games!$G$2:$G$18,"Missing game",0)</x:f>
        <x:v>WAS</x:v>
      </x:c>
      <x:c r="AM2035" t="n">
        <x:f>_xlfn.XLOOKUP($A2035,Games!$A$2:$A$18,Games!$H$2:$H$18,"Missing game",0)</x:f>
        <x:v>0</x:v>
      </x:c>
      <x:c r="AN2035" t="str">
        <x:f>_xlfn.XLOOKUP($A2035,Games!$A$2:$A$18,Games!$I$2:$I$18,"Missing game",0)</x:f>
        <x:v>MIN</x:v>
      </x:c>
      <x:c r="AO2035" t="n">
        <x:f>_xlfn.XLOOKUP($A2035,Games!$A$2:$A$18,Games!$J$2:$J$18,"Missing game",0)</x:f>
        <x:v>31</x:v>
      </x:c>
      <x:c r="AP2035" t="n">
        <x:f>_xlfn.XLOOKUP($A2035,Games!$A$2:$A$18,Games!$K$2:$K$18,"Missing game",0)</x:f>
        <x:v>31</x:v>
      </x:c>
      <x:c r="AQ2035" t="n">
        <x:f>_xlfn.XLOOKUP($A2035,Games!$A$2:$A$18,Games!$L$2:$L$18,"Missing game",0)</x:f>
        <x:v>31</x:v>
      </x:c>
      <x:c r="AR2035" t="n">
        <x:f>_xlfn.XLOOKUP($A2035,Games!$A$2:$A$18,Games!$M$2:$M$18,"Missing game",0)</x:f>
        <x:v>0</x:v>
      </x:c>
      <x:c r="AS2035" t="str">
        <x:f>_xlfn.XLOOKUP($A2035,Games!$A$2:$A$18,Games!$N$2:$N$18,"Missing game",0)</x:f>
        <x:v>dome</x:v>
      </x:c>
      <x:c r="AT2035" t="str">
        <x:f>_xlfn.XLOOKUP($A2035,Games!$A$2:$A$18,Games!$O$2:$O$18,"Missing game",0)</x:f>
        <x:v>sportturf</x:v>
      </x:c>
      <x:c r="AU2035" t="str">
        <x:f>_xlfn.XLOOKUP($A2035,Games!$A$2:$A$18,Games!$P$2:$P$18,"Missing game",0)</x:f>
      </x:c>
      <x:c r="AV2035" t="str">
        <x:f>_xlfn.XLOOKUP($A2035,Games!$A$2:$A$18,Games!$Q$2:$Q$18,"Missing game",0)</x:f>
      </x:c>
      <x:c r="AW2035" t="str">
        <x:f>_xlfn.XLOOKUP($A2035,Games!$A$2:$A$18,Games!$R$2:$R$18,"Missing game",0)</x:f>
        <x:v>U.S. Bank Stadium</x:v>
      </x:c>
    </x:row>
    <x:row r="2036">
      <x:c r="A2036" t="str">
        <x:v>2025_14_WAS_MIN</x:v>
      </x:c>
      <x:c r="B2036" t="n">
        <x:v>674</x:v>
      </x:c>
      <x:c r="C2036" t="n">
        <x:v>1</x:v>
      </x:c>
      <x:c r="D2036" t="str">
        <x:v>02:42</x:v>
      </x:c>
      <x:c r="E2036" t="n">
        <x:v>1</x:v>
      </x:c>
      <x:c r="F2036" t="n">
        <x:v>10</x:v>
      </x:c>
      <x:c r="G2036" t="str">
        <x:v>MIN</x:v>
      </x:c>
      <x:c r="H2036" t="str">
        <x:v>WAS</x:v>
      </x:c>
      <x:c r="I2036" t="str">
        <x:v>MIN</x:v>
      </x:c>
      <x:c r="J2036" t="n">
        <x:v>98</x:v>
      </x:c>
      <x:c r="K2036" t="str">
        <x:v>(2:42) 27-J.Mason up the middle to MIN 6 for 4 yards (54-B.Wagner; 24-V.Miller).</x:v>
      </x:c>
      <x:c r="L2036" t="str">
        <x:v>run</x:v>
      </x:c>
      <x:c r="M2036" t="n">
        <x:v>4</x:v>
      </x:c>
      <x:c r="N2036" t="n">
        <x:v>0</x:v>
      </x:c>
      <x:c r="O2036" t="n">
        <x:v>0</x:v>
      </x:c>
      <x:c r="P2036"/>
      <x:c r="Q2036"/>
      <x:c r="R2036"/>
      <x:c r="S2036"/>
      <x:c r="T2036" t="str">
        <x:v>middle</x:v>
      </x:c>
      <x:c r="U2036"/>
      <x:c r="V2036" t="n">
        <x:v>0</x:v>
      </x:c>
      <x:c r="W2036" t="n">
        <x:v>0</x:v>
      </x:c>
      <x:c r="X2036" t="n">
        <x:v>0</x:v>
      </x:c>
      <x:c r="Y2036" t="n">
        <x:v>0</x:v>
      </x:c>
      <x:c r="Z2036" t="n">
        <x:v>0</x:v>
      </x:c>
      <x:c r="AA2036" t="n">
        <x:v>0</x:v>
      </x:c>
      <x:c r="AB2036"/>
      <x:c r="AC2036" t="n">
        <x:v>0</x:v>
      </x:c>
      <x:c r="AD2036" t="n">
        <x:v>-0.25183419953100383</x:v>
      </x:c>
      <x:c r="AE2036" t="n">
        <x:v>0</x:v>
      </x:c>
      <x:c r="AF2036" t="n">
        <x:v>-0.024343132972717285</x:v>
      </x:c>
      <x:c r="AG2036" t="n">
        <x:f>_xlfn.XLOOKUP($A2036,Games!$A$2:$A$18,Games!$B$2:$B$18,"Missing game",0)</x:f>
        <x:v>2025</x:v>
      </x:c>
      <x:c r="AH2036" t="str">
        <x:f>_xlfn.XLOOKUP($A2036,Games!$A$2:$A$18,Games!$C$2:$C$18,"Missing game",0)</x:f>
        <x:v>REG</x:v>
      </x:c>
      <x:c r="AI2036" t="n">
        <x:f>_xlfn.XLOOKUP($A2036,Games!$A$2:$A$18,Games!$D$2:$D$18,"Missing game",0)</x:f>
        <x:v>14</x:v>
      </x:c>
      <x:c r="AJ2036" s="1" t="n">
        <x:f>_xlfn.XLOOKUP($A2036,Games!$A$2:$A$18,Games!$E$2:$E$18,"Missing game",0)</x:f>
        <x:v>45998</x:v>
      </x:c>
      <x:c r="AK2036" t="str">
        <x:f>_xlfn.XLOOKUP($A2036,Games!$A$2:$A$18,Games!$F$2:$F$18,"Missing game",0)</x:f>
        <x:v>Sunday</x:v>
      </x:c>
      <x:c r="AL2036" t="str">
        <x:f>_xlfn.XLOOKUP($A2036,Games!$A$2:$A$18,Games!$G$2:$G$18,"Missing game",0)</x:f>
        <x:v>WAS</x:v>
      </x:c>
      <x:c r="AM2036" t="n">
        <x:f>_xlfn.XLOOKUP($A2036,Games!$A$2:$A$18,Games!$H$2:$H$18,"Missing game",0)</x:f>
        <x:v>0</x:v>
      </x:c>
      <x:c r="AN2036" t="str">
        <x:f>_xlfn.XLOOKUP($A2036,Games!$A$2:$A$18,Games!$I$2:$I$18,"Missing game",0)</x:f>
        <x:v>MIN</x:v>
      </x:c>
      <x:c r="AO2036" t="n">
        <x:f>_xlfn.XLOOKUP($A2036,Games!$A$2:$A$18,Games!$J$2:$J$18,"Missing game",0)</x:f>
        <x:v>31</x:v>
      </x:c>
      <x:c r="AP2036" t="n">
        <x:f>_xlfn.XLOOKUP($A2036,Games!$A$2:$A$18,Games!$K$2:$K$18,"Missing game",0)</x:f>
        <x:v>31</x:v>
      </x:c>
      <x:c r="AQ2036" t="n">
        <x:f>_xlfn.XLOOKUP($A2036,Games!$A$2:$A$18,Games!$L$2:$L$18,"Missing game",0)</x:f>
        <x:v>31</x:v>
      </x:c>
      <x:c r="AR2036" t="n">
        <x:f>_xlfn.XLOOKUP($A2036,Games!$A$2:$A$18,Games!$M$2:$M$18,"Missing game",0)</x:f>
        <x:v>0</x:v>
      </x:c>
      <x:c r="AS2036" t="str">
        <x:f>_xlfn.XLOOKUP($A2036,Games!$A$2:$A$18,Games!$N$2:$N$18,"Missing game",0)</x:f>
        <x:v>dome</x:v>
      </x:c>
      <x:c r="AT2036" t="str">
        <x:f>_xlfn.XLOOKUP($A2036,Games!$A$2:$A$18,Games!$O$2:$O$18,"Missing game",0)</x:f>
        <x:v>sportturf</x:v>
      </x:c>
      <x:c r="AU2036" t="str">
        <x:f>_xlfn.XLOOKUP($A2036,Games!$A$2:$A$18,Games!$P$2:$P$18,"Missing game",0)</x:f>
      </x:c>
      <x:c r="AV2036" t="str">
        <x:f>_xlfn.XLOOKUP($A2036,Games!$A$2:$A$18,Games!$Q$2:$Q$18,"Missing game",0)</x:f>
      </x:c>
      <x:c r="AW2036" t="str">
        <x:f>_xlfn.XLOOKUP($A2036,Games!$A$2:$A$18,Games!$R$2:$R$18,"Missing game",0)</x:f>
        <x:v>U.S. Bank Stadium</x:v>
      </x:c>
    </x:row>
    <x:row r="2037">
      <x:c r="A2037" t="str">
        <x:v>2025_14_WAS_MIN</x:v>
      </x:c>
      <x:c r="B2037" t="n">
        <x:v>703</x:v>
      </x:c>
      <x:c r="C2037" t="n">
        <x:v>1</x:v>
      </x:c>
      <x:c r="D2037" t="str">
        <x:v>02:04</x:v>
      </x:c>
      <x:c r="E2037" t="n">
        <x:v>2</x:v>
      </x:c>
      <x:c r="F2037" t="n">
        <x:v>6</x:v>
      </x:c>
      <x:c r="G2037" t="str">
        <x:v>MIN</x:v>
      </x:c>
      <x:c r="H2037" t="str">
        <x:v>WAS</x:v>
      </x:c>
      <x:c r="I2037" t="str">
        <x:v>MIN</x:v>
      </x:c>
      <x:c r="J2037" t="n">
        <x:v>94</x:v>
      </x:c>
      <x:c r="K2037" t="str">
        <x:v>(2:04) 27-J.Mason left guard to MIN 6 for no gain (54-B.Wagner).</x:v>
      </x:c>
      <x:c r="L2037" t="str">
        <x:v>run</x:v>
      </x:c>
      <x:c r="M2037" t="n">
        <x:v>0</x:v>
      </x:c>
      <x:c r="N2037" t="n">
        <x:v>0</x:v>
      </x:c>
      <x:c r="O2037" t="n">
        <x:v>0</x:v>
      </x:c>
      <x:c r="P2037"/>
      <x:c r="Q2037"/>
      <x:c r="R2037"/>
      <x:c r="S2037"/>
      <x:c r="T2037" t="str">
        <x:v>left</x:v>
      </x:c>
      <x:c r="U2037" t="str">
        <x:v>guard</x:v>
      </x:c>
      <x:c r="V2037" t="n">
        <x:v>0</x:v>
      </x:c>
      <x:c r="W2037" t="n">
        <x:v>0</x:v>
      </x:c>
      <x:c r="X2037" t="n">
        <x:v>0</x:v>
      </x:c>
      <x:c r="Y2037" t="n">
        <x:v>0</x:v>
      </x:c>
      <x:c r="Z2037" t="n">
        <x:v>0</x:v>
      </x:c>
      <x:c r="AA2037" t="n">
        <x:v>0</x:v>
      </x:c>
      <x:c r="AB2037"/>
      <x:c r="AC2037" t="n">
        <x:v>0</x:v>
      </x:c>
      <x:c r="AD2037" t="n">
        <x:v>-0.7681777789257467</x:v>
      </x:c>
      <x:c r="AE2037" t="n">
        <x:v>0</x:v>
      </x:c>
      <x:c r="AF2037" t="n">
        <x:v>-0.028949856758117676</x:v>
      </x:c>
      <x:c r="AG2037" t="n">
        <x:f>_xlfn.XLOOKUP($A2037,Games!$A$2:$A$18,Games!$B$2:$B$18,"Missing game",0)</x:f>
        <x:v>2025</x:v>
      </x:c>
      <x:c r="AH2037" t="str">
        <x:f>_xlfn.XLOOKUP($A2037,Games!$A$2:$A$18,Games!$C$2:$C$18,"Missing game",0)</x:f>
        <x:v>REG</x:v>
      </x:c>
      <x:c r="AI2037" t="n">
        <x:f>_xlfn.XLOOKUP($A2037,Games!$A$2:$A$18,Games!$D$2:$D$18,"Missing game",0)</x:f>
        <x:v>14</x:v>
      </x:c>
      <x:c r="AJ2037" s="1" t="n">
        <x:f>_xlfn.XLOOKUP($A2037,Games!$A$2:$A$18,Games!$E$2:$E$18,"Missing game",0)</x:f>
        <x:v>45998</x:v>
      </x:c>
      <x:c r="AK2037" t="str">
        <x:f>_xlfn.XLOOKUP($A2037,Games!$A$2:$A$18,Games!$F$2:$F$18,"Missing game",0)</x:f>
        <x:v>Sunday</x:v>
      </x:c>
      <x:c r="AL2037" t="str">
        <x:f>_xlfn.XLOOKUP($A2037,Games!$A$2:$A$18,Games!$G$2:$G$18,"Missing game",0)</x:f>
        <x:v>WAS</x:v>
      </x:c>
      <x:c r="AM2037" t="n">
        <x:f>_xlfn.XLOOKUP($A2037,Games!$A$2:$A$18,Games!$H$2:$H$18,"Missing game",0)</x:f>
        <x:v>0</x:v>
      </x:c>
      <x:c r="AN2037" t="str">
        <x:f>_xlfn.XLOOKUP($A2037,Games!$A$2:$A$18,Games!$I$2:$I$18,"Missing game",0)</x:f>
        <x:v>MIN</x:v>
      </x:c>
      <x:c r="AO2037" t="n">
        <x:f>_xlfn.XLOOKUP($A2037,Games!$A$2:$A$18,Games!$J$2:$J$18,"Missing game",0)</x:f>
        <x:v>31</x:v>
      </x:c>
      <x:c r="AP2037" t="n">
        <x:f>_xlfn.XLOOKUP($A2037,Games!$A$2:$A$18,Games!$K$2:$K$18,"Missing game",0)</x:f>
        <x:v>31</x:v>
      </x:c>
      <x:c r="AQ2037" t="n">
        <x:f>_xlfn.XLOOKUP($A2037,Games!$A$2:$A$18,Games!$L$2:$L$18,"Missing game",0)</x:f>
        <x:v>31</x:v>
      </x:c>
      <x:c r="AR2037" t="n">
        <x:f>_xlfn.XLOOKUP($A2037,Games!$A$2:$A$18,Games!$M$2:$M$18,"Missing game",0)</x:f>
        <x:v>0</x:v>
      </x:c>
      <x:c r="AS2037" t="str">
        <x:f>_xlfn.XLOOKUP($A2037,Games!$A$2:$A$18,Games!$N$2:$N$18,"Missing game",0)</x:f>
        <x:v>dome</x:v>
      </x:c>
      <x:c r="AT2037" t="str">
        <x:f>_xlfn.XLOOKUP($A2037,Games!$A$2:$A$18,Games!$O$2:$O$18,"Missing game",0)</x:f>
        <x:v>sportturf</x:v>
      </x:c>
      <x:c r="AU2037" t="str">
        <x:f>_xlfn.XLOOKUP($A2037,Games!$A$2:$A$18,Games!$P$2:$P$18,"Missing game",0)</x:f>
      </x:c>
      <x:c r="AV2037" t="str">
        <x:f>_xlfn.XLOOKUP($A2037,Games!$A$2:$A$18,Games!$Q$2:$Q$18,"Missing game",0)</x:f>
      </x:c>
      <x:c r="AW2037" t="str">
        <x:f>_xlfn.XLOOKUP($A2037,Games!$A$2:$A$18,Games!$R$2:$R$18,"Missing game",0)</x:f>
        <x:v>U.S. Bank Stadium</x:v>
      </x:c>
    </x:row>
    <x:row r="2038">
      <x:c r="A2038" t="str">
        <x:v>2025_14_WAS_MIN</x:v>
      </x:c>
      <x:c r="B2038" t="n">
        <x:v>725</x:v>
      </x:c>
      <x:c r="C2038" t="n">
        <x:v>1</x:v>
      </x:c>
      <x:c r="D2038" t="str">
        <x:v>01:24</x:v>
      </x:c>
      <x:c r="E2038" t="n">
        <x:v>3</x:v>
      </x:c>
      <x:c r="F2038" t="n">
        <x:v>6</x:v>
      </x:c>
      <x:c r="G2038" t="str">
        <x:v>MIN</x:v>
      </x:c>
      <x:c r="H2038" t="str">
        <x:v>WAS</x:v>
      </x:c>
      <x:c r="I2038" t="str">
        <x:v>MIN</x:v>
      </x:c>
      <x:c r="J2038" t="n">
        <x:v>94</x:v>
      </x:c>
      <x:c r="K2038" t="str">
        <x:v>(1:24) (Shotgun) 9-J.McCarthy scrambles up the middle to MIN 13 for 7 yards (4-F.Luvu).</x:v>
      </x:c>
      <x:c r="L2038" t="str">
        <x:v>run</x:v>
      </x:c>
      <x:c r="M2038" t="n">
        <x:v>7</x:v>
      </x:c>
      <x:c r="N2038" t="n">
        <x:v>1</x:v>
      </x:c>
      <x:c r="O2038" t="n">
        <x:v>0</x:v>
      </x:c>
      <x:c r="P2038"/>
      <x:c r="Q2038"/>
      <x:c r="R2038"/>
      <x:c r="S2038"/>
      <x:c r="T2038" t="str">
        <x:v>middle</x:v>
      </x:c>
      <x:c r="U2038"/>
      <x:c r="V2038" t="n">
        <x:v>0</x:v>
      </x:c>
      <x:c r="W2038" t="n">
        <x:v>1</x:v>
      </x:c>
      <x:c r="X2038" t="n">
        <x:v>0</x:v>
      </x:c>
      <x:c r="Y2038" t="n">
        <x:v>0</x:v>
      </x:c>
      <x:c r="Z2038" t="n">
        <x:v>0</x:v>
      </x:c>
      <x:c r="AA2038" t="n">
        <x:v>0</x:v>
      </x:c>
      <x:c r="AB2038"/>
      <x:c r="AC2038" t="n">
        <x:v>0</x:v>
      </x:c>
      <x:c r="AD2038" t="n">
        <x:v>1.4904527780599892</x:v>
      </x:c>
      <x:c r="AE2038" t="n">
        <x:v>1</x:v>
      </x:c>
      <x:c r="AF2038" t="n">
        <x:v>0.05671584606170654</x:v>
      </x:c>
      <x:c r="AG2038" t="n">
        <x:f>_xlfn.XLOOKUP($A2038,Games!$A$2:$A$18,Games!$B$2:$B$18,"Missing game",0)</x:f>
        <x:v>2025</x:v>
      </x:c>
      <x:c r="AH2038" t="str">
        <x:f>_xlfn.XLOOKUP($A2038,Games!$A$2:$A$18,Games!$C$2:$C$18,"Missing game",0)</x:f>
        <x:v>REG</x:v>
      </x:c>
      <x:c r="AI2038" t="n">
        <x:f>_xlfn.XLOOKUP($A2038,Games!$A$2:$A$18,Games!$D$2:$D$18,"Missing game",0)</x:f>
        <x:v>14</x:v>
      </x:c>
      <x:c r="AJ2038" s="1" t="n">
        <x:f>_xlfn.XLOOKUP($A2038,Games!$A$2:$A$18,Games!$E$2:$E$18,"Missing game",0)</x:f>
        <x:v>45998</x:v>
      </x:c>
      <x:c r="AK2038" t="str">
        <x:f>_xlfn.XLOOKUP($A2038,Games!$A$2:$A$18,Games!$F$2:$F$18,"Missing game",0)</x:f>
        <x:v>Sunday</x:v>
      </x:c>
      <x:c r="AL2038" t="str">
        <x:f>_xlfn.XLOOKUP($A2038,Games!$A$2:$A$18,Games!$G$2:$G$18,"Missing game",0)</x:f>
        <x:v>WAS</x:v>
      </x:c>
      <x:c r="AM2038" t="n">
        <x:f>_xlfn.XLOOKUP($A2038,Games!$A$2:$A$18,Games!$H$2:$H$18,"Missing game",0)</x:f>
        <x:v>0</x:v>
      </x:c>
      <x:c r="AN2038" t="str">
        <x:f>_xlfn.XLOOKUP($A2038,Games!$A$2:$A$18,Games!$I$2:$I$18,"Missing game",0)</x:f>
        <x:v>MIN</x:v>
      </x:c>
      <x:c r="AO2038" t="n">
        <x:f>_xlfn.XLOOKUP($A2038,Games!$A$2:$A$18,Games!$J$2:$J$18,"Missing game",0)</x:f>
        <x:v>31</x:v>
      </x:c>
      <x:c r="AP2038" t="n">
        <x:f>_xlfn.XLOOKUP($A2038,Games!$A$2:$A$18,Games!$K$2:$K$18,"Missing game",0)</x:f>
        <x:v>31</x:v>
      </x:c>
      <x:c r="AQ2038" t="n">
        <x:f>_xlfn.XLOOKUP($A2038,Games!$A$2:$A$18,Games!$L$2:$L$18,"Missing game",0)</x:f>
        <x:v>31</x:v>
      </x:c>
      <x:c r="AR2038" t="n">
        <x:f>_xlfn.XLOOKUP($A2038,Games!$A$2:$A$18,Games!$M$2:$M$18,"Missing game",0)</x:f>
        <x:v>0</x:v>
      </x:c>
      <x:c r="AS2038" t="str">
        <x:f>_xlfn.XLOOKUP($A2038,Games!$A$2:$A$18,Games!$N$2:$N$18,"Missing game",0)</x:f>
        <x:v>dome</x:v>
      </x:c>
      <x:c r="AT2038" t="str">
        <x:f>_xlfn.XLOOKUP($A2038,Games!$A$2:$A$18,Games!$O$2:$O$18,"Missing game",0)</x:f>
        <x:v>sportturf</x:v>
      </x:c>
      <x:c r="AU2038" t="str">
        <x:f>_xlfn.XLOOKUP($A2038,Games!$A$2:$A$18,Games!$P$2:$P$18,"Missing game",0)</x:f>
      </x:c>
      <x:c r="AV2038" t="str">
        <x:f>_xlfn.XLOOKUP($A2038,Games!$A$2:$A$18,Games!$Q$2:$Q$18,"Missing game",0)</x:f>
      </x:c>
      <x:c r="AW2038" t="str">
        <x:f>_xlfn.XLOOKUP($A2038,Games!$A$2:$A$18,Games!$R$2:$R$18,"Missing game",0)</x:f>
        <x:v>U.S. Bank Stadium</x:v>
      </x:c>
    </x:row>
    <x:row r="2039">
      <x:c r="A2039" t="str">
        <x:v>2025_14_WAS_MIN</x:v>
      </x:c>
      <x:c r="B2039" t="n">
        <x:v>747</x:v>
      </x:c>
      <x:c r="C2039" t="n">
        <x:v>1</x:v>
      </x:c>
      <x:c r="D2039" t="str">
        <x:v>00:36</x:v>
      </x:c>
      <x:c r="E2039" t="n">
        <x:v>1</x:v>
      </x:c>
      <x:c r="F2039" t="n">
        <x:v>10</x:v>
      </x:c>
      <x:c r="G2039" t="str">
        <x:v>MIN</x:v>
      </x:c>
      <x:c r="H2039" t="str">
        <x:v>WAS</x:v>
      </x:c>
      <x:c r="I2039" t="str">
        <x:v>MIN</x:v>
      </x:c>
      <x:c r="J2039" t="n">
        <x:v>87</x:v>
      </x:c>
      <x:c r="K2039" t="str">
        <x:v>(:36) 27-J.Mason left end to MIN 15 for 2 yards (54-B.Wagner; 99-J.Kinlaw).</x:v>
      </x:c>
      <x:c r="L2039" t="str">
        <x:v>run</x:v>
      </x:c>
      <x:c r="M2039" t="n">
        <x:v>2</x:v>
      </x:c>
      <x:c r="N2039" t="n">
        <x:v>0</x:v>
      </x:c>
      <x:c r="O2039" t="n">
        <x:v>0</x:v>
      </x:c>
      <x:c r="P2039"/>
      <x:c r="Q2039"/>
      <x:c r="R2039"/>
      <x:c r="S2039"/>
      <x:c r="T2039" t="str">
        <x:v>left</x:v>
      </x:c>
      <x:c r="U2039" t="str">
        <x:v>end</x:v>
      </x:c>
      <x:c r="V2039" t="n">
        <x:v>0</x:v>
      </x:c>
      <x:c r="W2039" t="n">
        <x:v>0</x:v>
      </x:c>
      <x:c r="X2039" t="n">
        <x:v>0</x:v>
      </x:c>
      <x:c r="Y2039" t="n">
        <x:v>0</x:v>
      </x:c>
      <x:c r="Z2039" t="n">
        <x:v>0</x:v>
      </x:c>
      <x:c r="AA2039" t="n">
        <x:v>0</x:v>
      </x:c>
      <x:c r="AB2039"/>
      <x:c r="AC2039" t="n">
        <x:v>0</x:v>
      </x:c>
      <x:c r="AD2039" t="n">
        <x:v>-0.5428874348290265</x:v>
      </x:c>
      <x:c r="AE2039" t="n">
        <x:v>0</x:v>
      </x:c>
      <x:c r="AF2039" t="n">
        <x:v>-0.010554492473602295</x:v>
      </x:c>
      <x:c r="AG2039" t="n">
        <x:f>_xlfn.XLOOKUP($A2039,Games!$A$2:$A$18,Games!$B$2:$B$18,"Missing game",0)</x:f>
        <x:v>2025</x:v>
      </x:c>
      <x:c r="AH2039" t="str">
        <x:f>_xlfn.XLOOKUP($A2039,Games!$A$2:$A$18,Games!$C$2:$C$18,"Missing game",0)</x:f>
        <x:v>REG</x:v>
      </x:c>
      <x:c r="AI2039" t="n">
        <x:f>_xlfn.XLOOKUP($A2039,Games!$A$2:$A$18,Games!$D$2:$D$18,"Missing game",0)</x:f>
        <x:v>14</x:v>
      </x:c>
      <x:c r="AJ2039" s="1" t="n">
        <x:f>_xlfn.XLOOKUP($A2039,Games!$A$2:$A$18,Games!$E$2:$E$18,"Missing game",0)</x:f>
        <x:v>45998</x:v>
      </x:c>
      <x:c r="AK2039" t="str">
        <x:f>_xlfn.XLOOKUP($A2039,Games!$A$2:$A$18,Games!$F$2:$F$18,"Missing game",0)</x:f>
        <x:v>Sunday</x:v>
      </x:c>
      <x:c r="AL2039" t="str">
        <x:f>_xlfn.XLOOKUP($A2039,Games!$A$2:$A$18,Games!$G$2:$G$18,"Missing game",0)</x:f>
        <x:v>WAS</x:v>
      </x:c>
      <x:c r="AM2039" t="n">
        <x:f>_xlfn.XLOOKUP($A2039,Games!$A$2:$A$18,Games!$H$2:$H$18,"Missing game",0)</x:f>
        <x:v>0</x:v>
      </x:c>
      <x:c r="AN2039" t="str">
        <x:f>_xlfn.XLOOKUP($A2039,Games!$A$2:$A$18,Games!$I$2:$I$18,"Missing game",0)</x:f>
        <x:v>MIN</x:v>
      </x:c>
      <x:c r="AO2039" t="n">
        <x:f>_xlfn.XLOOKUP($A2039,Games!$A$2:$A$18,Games!$J$2:$J$18,"Missing game",0)</x:f>
        <x:v>31</x:v>
      </x:c>
      <x:c r="AP2039" t="n">
        <x:f>_xlfn.XLOOKUP($A2039,Games!$A$2:$A$18,Games!$K$2:$K$18,"Missing game",0)</x:f>
        <x:v>31</x:v>
      </x:c>
      <x:c r="AQ2039" t="n">
        <x:f>_xlfn.XLOOKUP($A2039,Games!$A$2:$A$18,Games!$L$2:$L$18,"Missing game",0)</x:f>
        <x:v>31</x:v>
      </x:c>
      <x:c r="AR2039" t="n">
        <x:f>_xlfn.XLOOKUP($A2039,Games!$A$2:$A$18,Games!$M$2:$M$18,"Missing game",0)</x:f>
        <x:v>0</x:v>
      </x:c>
      <x:c r="AS2039" t="str">
        <x:f>_xlfn.XLOOKUP($A2039,Games!$A$2:$A$18,Games!$N$2:$N$18,"Missing game",0)</x:f>
        <x:v>dome</x:v>
      </x:c>
      <x:c r="AT2039" t="str">
        <x:f>_xlfn.XLOOKUP($A2039,Games!$A$2:$A$18,Games!$O$2:$O$18,"Missing game",0)</x:f>
        <x:v>sportturf</x:v>
      </x:c>
      <x:c r="AU2039" t="str">
        <x:f>_xlfn.XLOOKUP($A2039,Games!$A$2:$A$18,Games!$P$2:$P$18,"Missing game",0)</x:f>
      </x:c>
      <x:c r="AV2039" t="str">
        <x:f>_xlfn.XLOOKUP($A2039,Games!$A$2:$A$18,Games!$Q$2:$Q$18,"Missing game",0)</x:f>
      </x:c>
      <x:c r="AW2039" t="str">
        <x:f>_xlfn.XLOOKUP($A2039,Games!$A$2:$A$18,Games!$R$2:$R$18,"Missing game",0)</x:f>
        <x:v>U.S. Bank Stadium</x:v>
      </x:c>
    </x:row>
    <x:row r="2040">
      <x:c r="A2040" t="str">
        <x:v>2025_14_WAS_MIN</x:v>
      </x:c>
      <x:c r="B2040" t="n">
        <x:v>769</x:v>
      </x:c>
      <x:c r="C2040" t="n">
        <x:v>1</x:v>
      </x:c>
      <x:c r="D2040" t="str">
        <x:v>00:00</x:v>
      </x:c>
      <x:c r="E2040"/>
      <x:c r="F2040" t="n">
        <x:v>0</x:v>
      </x:c>
      <x:c r="G2040" t="str">
        <x:v>MIN</x:v>
      </x:c>
      <x:c r="H2040" t="str">
        <x:v>WAS</x:v>
      </x:c>
      <x:c r="I2040"/>
      <x:c r="J2040"/>
      <x:c r="K2040" t="str">
        <x:v>END QUARTER 1</x:v>
      </x:c>
      <x:c r="L2040"/>
      <x:c r="M2040"/>
      <x:c r="N2040" t="n">
        <x:v>0</x:v>
      </x:c>
      <x:c r="O2040" t="n">
        <x:v>0</x:v>
      </x:c>
      <x:c r="P2040"/>
      <x:c r="Q2040"/>
      <x:c r="R2040"/>
      <x:c r="S2040"/>
      <x:c r="T2040"/>
      <x:c r="U2040"/>
      <x:c r="V2040"/>
      <x:c r="W2040"/>
      <x:c r="X2040"/>
      <x:c r="Y2040"/>
      <x:c r="Z2040"/>
      <x:c r="AA2040"/>
      <x:c r="AB2040"/>
      <x:c r="AC2040"/>
      <x:c r="AD2040" t="n">
        <x:v>0</x:v>
      </x:c>
      <x:c r="AE2040" t="n">
        <x:v>0</x:v>
      </x:c>
      <x:c r="AF2040" t="n">
        <x:v>0</x:v>
      </x:c>
      <x:c r="AG2040" t="n">
        <x:f>_xlfn.XLOOKUP($A2040,Games!$A$2:$A$18,Games!$B$2:$B$18,"Missing game",0)</x:f>
        <x:v>2025</x:v>
      </x:c>
      <x:c r="AH2040" t="str">
        <x:f>_xlfn.XLOOKUP($A2040,Games!$A$2:$A$18,Games!$C$2:$C$18,"Missing game",0)</x:f>
        <x:v>REG</x:v>
      </x:c>
      <x:c r="AI2040" t="n">
        <x:f>_xlfn.XLOOKUP($A2040,Games!$A$2:$A$18,Games!$D$2:$D$18,"Missing game",0)</x:f>
        <x:v>14</x:v>
      </x:c>
      <x:c r="AJ2040" s="1" t="n">
        <x:f>_xlfn.XLOOKUP($A2040,Games!$A$2:$A$18,Games!$E$2:$E$18,"Missing game",0)</x:f>
        <x:v>45998</x:v>
      </x:c>
      <x:c r="AK2040" t="str">
        <x:f>_xlfn.XLOOKUP($A2040,Games!$A$2:$A$18,Games!$F$2:$F$18,"Missing game",0)</x:f>
        <x:v>Sunday</x:v>
      </x:c>
      <x:c r="AL2040" t="str">
        <x:f>_xlfn.XLOOKUP($A2040,Games!$A$2:$A$18,Games!$G$2:$G$18,"Missing game",0)</x:f>
        <x:v>WAS</x:v>
      </x:c>
      <x:c r="AM2040" t="n">
        <x:f>_xlfn.XLOOKUP($A2040,Games!$A$2:$A$18,Games!$H$2:$H$18,"Missing game",0)</x:f>
        <x:v>0</x:v>
      </x:c>
      <x:c r="AN2040" t="str">
        <x:f>_xlfn.XLOOKUP($A2040,Games!$A$2:$A$18,Games!$I$2:$I$18,"Missing game",0)</x:f>
        <x:v>MIN</x:v>
      </x:c>
      <x:c r="AO2040" t="n">
        <x:f>_xlfn.XLOOKUP($A2040,Games!$A$2:$A$18,Games!$J$2:$J$18,"Missing game",0)</x:f>
        <x:v>31</x:v>
      </x:c>
      <x:c r="AP2040" t="n">
        <x:f>_xlfn.XLOOKUP($A2040,Games!$A$2:$A$18,Games!$K$2:$K$18,"Missing game",0)</x:f>
        <x:v>31</x:v>
      </x:c>
      <x:c r="AQ2040" t="n">
        <x:f>_xlfn.XLOOKUP($A2040,Games!$A$2:$A$18,Games!$L$2:$L$18,"Missing game",0)</x:f>
        <x:v>31</x:v>
      </x:c>
      <x:c r="AR2040" t="n">
        <x:f>_xlfn.XLOOKUP($A2040,Games!$A$2:$A$18,Games!$M$2:$M$18,"Missing game",0)</x:f>
        <x:v>0</x:v>
      </x:c>
      <x:c r="AS2040" t="str">
        <x:f>_xlfn.XLOOKUP($A2040,Games!$A$2:$A$18,Games!$N$2:$N$18,"Missing game",0)</x:f>
        <x:v>dome</x:v>
      </x:c>
      <x:c r="AT2040" t="str">
        <x:f>_xlfn.XLOOKUP($A2040,Games!$A$2:$A$18,Games!$O$2:$O$18,"Missing game",0)</x:f>
        <x:v>sportturf</x:v>
      </x:c>
      <x:c r="AU2040" t="str">
        <x:f>_xlfn.XLOOKUP($A2040,Games!$A$2:$A$18,Games!$P$2:$P$18,"Missing game",0)</x:f>
      </x:c>
      <x:c r="AV2040" t="str">
        <x:f>_xlfn.XLOOKUP($A2040,Games!$A$2:$A$18,Games!$Q$2:$Q$18,"Missing game",0)</x:f>
      </x:c>
      <x:c r="AW2040" t="str">
        <x:f>_xlfn.XLOOKUP($A2040,Games!$A$2:$A$18,Games!$R$2:$R$18,"Missing game",0)</x:f>
        <x:v>U.S. Bank Stadium</x:v>
      </x:c>
    </x:row>
    <x:row r="2041">
      <x:c r="A2041" t="str">
        <x:v>2025_14_WAS_MIN</x:v>
      </x:c>
      <x:c r="B2041" t="n">
        <x:v>789</x:v>
      </x:c>
      <x:c r="C2041" t="n">
        <x:v>2</x:v>
      </x:c>
      <x:c r="D2041" t="str">
        <x:v>15:00</x:v>
      </x:c>
      <x:c r="E2041" t="n">
        <x:v>2</x:v>
      </x:c>
      <x:c r="F2041" t="n">
        <x:v>8</x:v>
      </x:c>
      <x:c r="G2041" t="str">
        <x:v>MIN</x:v>
      </x:c>
      <x:c r="H2041" t="str">
        <x:v>WAS</x:v>
      </x:c>
      <x:c r="I2041" t="str">
        <x:v>MIN</x:v>
      </x:c>
      <x:c r="J2041" t="n">
        <x:v>85</x:v>
      </x:c>
      <x:c r="K2041" t="str">
        <x:v>(15:00) (Shotgun) 9-J.McCarthy pass short middle to 1-J.Nailor to MIN 24 for 9 yards (54-B.Wagner; 58-J.Magee).</x:v>
      </x:c>
      <x:c r="L2041" t="str">
        <x:v>pass</x:v>
      </x:c>
      <x:c r="M2041" t="n">
        <x:v>9</x:v>
      </x:c>
      <x:c r="N2041" t="n">
        <x:v>1</x:v>
      </x:c>
      <x:c r="O2041" t="n">
        <x:v>0</x:v>
      </x:c>
      <x:c r="P2041" t="str">
        <x:v>short</x:v>
      </x:c>
      <x:c r="Q2041" t="str">
        <x:v>middle</x:v>
      </x:c>
      <x:c r="R2041" t="n">
        <x:v>7</x:v>
      </x:c>
      <x:c r="S2041" t="n">
        <x:v>2</x:v>
      </x:c>
      <x:c r="T2041"/>
      <x:c r="U2041"/>
      <x:c r="V2041" t="n">
        <x:v>1</x:v>
      </x:c>
      <x:c r="W2041" t="n">
        <x:v>1</x:v>
      </x:c>
      <x:c r="X2041" t="n">
        <x:v>0</x:v>
      </x:c>
      <x:c r="Y2041" t="n">
        <x:v>0</x:v>
      </x:c>
      <x:c r="Z2041" t="n">
        <x:v>0</x:v>
      </x:c>
      <x:c r="AA2041" t="n">
        <x:v>0</x:v>
      </x:c>
      <x:c r="AB2041"/>
      <x:c r="AC2041" t="n">
        <x:v>0</x:v>
      </x:c>
      <x:c r="AD2041" t="n">
        <x:v>0.997320372145623</x:v>
      </x:c>
      <x:c r="AE2041" t="n">
        <x:v>1</x:v>
      </x:c>
      <x:c r="AF2041" t="n">
        <x:v>0.022662878036499023</x:v>
      </x:c>
      <x:c r="AG2041" t="n">
        <x:f>_xlfn.XLOOKUP($A2041,Games!$A$2:$A$18,Games!$B$2:$B$18,"Missing game",0)</x:f>
        <x:v>2025</x:v>
      </x:c>
      <x:c r="AH2041" t="str">
        <x:f>_xlfn.XLOOKUP($A2041,Games!$A$2:$A$18,Games!$C$2:$C$18,"Missing game",0)</x:f>
        <x:v>REG</x:v>
      </x:c>
      <x:c r="AI2041" t="n">
        <x:f>_xlfn.XLOOKUP($A2041,Games!$A$2:$A$18,Games!$D$2:$D$18,"Missing game",0)</x:f>
        <x:v>14</x:v>
      </x:c>
      <x:c r="AJ2041" s="1" t="n">
        <x:f>_xlfn.XLOOKUP($A2041,Games!$A$2:$A$18,Games!$E$2:$E$18,"Missing game",0)</x:f>
        <x:v>45998</x:v>
      </x:c>
      <x:c r="AK2041" t="str">
        <x:f>_xlfn.XLOOKUP($A2041,Games!$A$2:$A$18,Games!$F$2:$F$18,"Missing game",0)</x:f>
        <x:v>Sunday</x:v>
      </x:c>
      <x:c r="AL2041" t="str">
        <x:f>_xlfn.XLOOKUP($A2041,Games!$A$2:$A$18,Games!$G$2:$G$18,"Missing game",0)</x:f>
        <x:v>WAS</x:v>
      </x:c>
      <x:c r="AM2041" t="n">
        <x:f>_xlfn.XLOOKUP($A2041,Games!$A$2:$A$18,Games!$H$2:$H$18,"Missing game",0)</x:f>
        <x:v>0</x:v>
      </x:c>
      <x:c r="AN2041" t="str">
        <x:f>_xlfn.XLOOKUP($A2041,Games!$A$2:$A$18,Games!$I$2:$I$18,"Missing game",0)</x:f>
        <x:v>MIN</x:v>
      </x:c>
      <x:c r="AO2041" t="n">
        <x:f>_xlfn.XLOOKUP($A2041,Games!$A$2:$A$18,Games!$J$2:$J$18,"Missing game",0)</x:f>
        <x:v>31</x:v>
      </x:c>
      <x:c r="AP2041" t="n">
        <x:f>_xlfn.XLOOKUP($A2041,Games!$A$2:$A$18,Games!$K$2:$K$18,"Missing game",0)</x:f>
        <x:v>31</x:v>
      </x:c>
      <x:c r="AQ2041" t="n">
        <x:f>_xlfn.XLOOKUP($A2041,Games!$A$2:$A$18,Games!$L$2:$L$18,"Missing game",0)</x:f>
        <x:v>31</x:v>
      </x:c>
      <x:c r="AR2041" t="n">
        <x:f>_xlfn.XLOOKUP($A2041,Games!$A$2:$A$18,Games!$M$2:$M$18,"Missing game",0)</x:f>
        <x:v>0</x:v>
      </x:c>
      <x:c r="AS2041" t="str">
        <x:f>_xlfn.XLOOKUP($A2041,Games!$A$2:$A$18,Games!$N$2:$N$18,"Missing game",0)</x:f>
        <x:v>dome</x:v>
      </x:c>
      <x:c r="AT2041" t="str">
        <x:f>_xlfn.XLOOKUP($A2041,Games!$A$2:$A$18,Games!$O$2:$O$18,"Missing game",0)</x:f>
        <x:v>sportturf</x:v>
      </x:c>
      <x:c r="AU2041" t="str">
        <x:f>_xlfn.XLOOKUP($A2041,Games!$A$2:$A$18,Games!$P$2:$P$18,"Missing game",0)</x:f>
      </x:c>
      <x:c r="AV2041" t="str">
        <x:f>_xlfn.XLOOKUP($A2041,Games!$A$2:$A$18,Games!$Q$2:$Q$18,"Missing game",0)</x:f>
      </x:c>
      <x:c r="AW2041" t="str">
        <x:f>_xlfn.XLOOKUP($A2041,Games!$A$2:$A$18,Games!$R$2:$R$18,"Missing game",0)</x:f>
        <x:v>U.S. Bank Stadium</x:v>
      </x:c>
    </x:row>
    <x:row r="2042">
      <x:c r="A2042" t="str">
        <x:v>2025_14_WAS_MIN</x:v>
      </x:c>
      <x:c r="B2042" t="n">
        <x:v>814</x:v>
      </x:c>
      <x:c r="C2042" t="n">
        <x:v>2</x:v>
      </x:c>
      <x:c r="D2042" t="str">
        <x:v>14:19</x:v>
      </x:c>
      <x:c r="E2042" t="n">
        <x:v>1</x:v>
      </x:c>
      <x:c r="F2042" t="n">
        <x:v>10</x:v>
      </x:c>
      <x:c r="G2042" t="str">
        <x:v>MIN</x:v>
      </x:c>
      <x:c r="H2042" t="str">
        <x:v>WAS</x:v>
      </x:c>
      <x:c r="I2042" t="str">
        <x:v>MIN</x:v>
      </x:c>
      <x:c r="J2042" t="n">
        <x:v>76</x:v>
      </x:c>
      <x:c r="K2042" t="str">
        <x:v>(14:19) 9-J.McCarthy pass incomplete deep right to 3-J.Addison [52-P.Smith].</x:v>
      </x:c>
      <x:c r="L2042" t="str">
        <x:v>pass</x:v>
      </x:c>
      <x:c r="M2042" t="n">
        <x:v>0</x:v>
      </x:c>
      <x:c r="N2042" t="n">
        <x:v>0</x:v>
      </x:c>
      <x:c r="O2042" t="n">
        <x:v>0</x:v>
      </x:c>
      <x:c r="P2042" t="str">
        <x:v>deep</x:v>
      </x:c>
      <x:c r="Q2042" t="str">
        <x:v>right</x:v>
      </x:c>
      <x:c r="R2042" t="n">
        <x:v>16</x:v>
      </x:c>
      <x:c r="S2042"/>
      <x:c r="T2042"/>
      <x:c r="U2042"/>
      <x:c r="V2042" t="n">
        <x:v>0</x:v>
      </x:c>
      <x:c r="W2042" t="n">
        <x:v>0</x:v>
      </x:c>
      <x:c r="X2042" t="n">
        <x:v>0</x:v>
      </x:c>
      <x:c r="Y2042" t="n">
        <x:v>0</x:v>
      </x:c>
      <x:c r="Z2042" t="n">
        <x:v>0</x:v>
      </x:c>
      <x:c r="AA2042" t="n">
        <x:v>0</x:v>
      </x:c>
      <x:c r="AB2042"/>
      <x:c r="AC2042" t="n">
        <x:v>0</x:v>
      </x:c>
      <x:c r="AD2042" t="n">
        <x:v>-0.5918116918765008</x:v>
      </x:c>
      <x:c r="AE2042" t="n">
        <x:v>0</x:v>
      </x:c>
      <x:c r="AF2042" t="n">
        <x:v>-0.014340877532958984</x:v>
      </x:c>
      <x:c r="AG2042" t="n">
        <x:f>_xlfn.XLOOKUP($A2042,Games!$A$2:$A$18,Games!$B$2:$B$18,"Missing game",0)</x:f>
        <x:v>2025</x:v>
      </x:c>
      <x:c r="AH2042" t="str">
        <x:f>_xlfn.XLOOKUP($A2042,Games!$A$2:$A$18,Games!$C$2:$C$18,"Missing game",0)</x:f>
        <x:v>REG</x:v>
      </x:c>
      <x:c r="AI2042" t="n">
        <x:f>_xlfn.XLOOKUP($A2042,Games!$A$2:$A$18,Games!$D$2:$D$18,"Missing game",0)</x:f>
        <x:v>14</x:v>
      </x:c>
      <x:c r="AJ2042" s="1" t="n">
        <x:f>_xlfn.XLOOKUP($A2042,Games!$A$2:$A$18,Games!$E$2:$E$18,"Missing game",0)</x:f>
        <x:v>45998</x:v>
      </x:c>
      <x:c r="AK2042" t="str">
        <x:f>_xlfn.XLOOKUP($A2042,Games!$A$2:$A$18,Games!$F$2:$F$18,"Missing game",0)</x:f>
        <x:v>Sunday</x:v>
      </x:c>
      <x:c r="AL2042" t="str">
        <x:f>_xlfn.XLOOKUP($A2042,Games!$A$2:$A$18,Games!$G$2:$G$18,"Missing game",0)</x:f>
        <x:v>WAS</x:v>
      </x:c>
      <x:c r="AM2042" t="n">
        <x:f>_xlfn.XLOOKUP($A2042,Games!$A$2:$A$18,Games!$H$2:$H$18,"Missing game",0)</x:f>
        <x:v>0</x:v>
      </x:c>
      <x:c r="AN2042" t="str">
        <x:f>_xlfn.XLOOKUP($A2042,Games!$A$2:$A$18,Games!$I$2:$I$18,"Missing game",0)</x:f>
        <x:v>MIN</x:v>
      </x:c>
      <x:c r="AO2042" t="n">
        <x:f>_xlfn.XLOOKUP($A2042,Games!$A$2:$A$18,Games!$J$2:$J$18,"Missing game",0)</x:f>
        <x:v>31</x:v>
      </x:c>
      <x:c r="AP2042" t="n">
        <x:f>_xlfn.XLOOKUP($A2042,Games!$A$2:$A$18,Games!$K$2:$K$18,"Missing game",0)</x:f>
        <x:v>31</x:v>
      </x:c>
      <x:c r="AQ2042" t="n">
        <x:f>_xlfn.XLOOKUP($A2042,Games!$A$2:$A$18,Games!$L$2:$L$18,"Missing game",0)</x:f>
        <x:v>31</x:v>
      </x:c>
      <x:c r="AR2042" t="n">
        <x:f>_xlfn.XLOOKUP($A2042,Games!$A$2:$A$18,Games!$M$2:$M$18,"Missing game",0)</x:f>
        <x:v>0</x:v>
      </x:c>
      <x:c r="AS2042" t="str">
        <x:f>_xlfn.XLOOKUP($A2042,Games!$A$2:$A$18,Games!$N$2:$N$18,"Missing game",0)</x:f>
        <x:v>dome</x:v>
      </x:c>
      <x:c r="AT2042" t="str">
        <x:f>_xlfn.XLOOKUP($A2042,Games!$A$2:$A$18,Games!$O$2:$O$18,"Missing game",0)</x:f>
        <x:v>sportturf</x:v>
      </x:c>
      <x:c r="AU2042" t="str">
        <x:f>_xlfn.XLOOKUP($A2042,Games!$A$2:$A$18,Games!$P$2:$P$18,"Missing game",0)</x:f>
      </x:c>
      <x:c r="AV2042" t="str">
        <x:f>_xlfn.XLOOKUP($A2042,Games!$A$2:$A$18,Games!$Q$2:$Q$18,"Missing game",0)</x:f>
      </x:c>
      <x:c r="AW2042" t="str">
        <x:f>_xlfn.XLOOKUP($A2042,Games!$A$2:$A$18,Games!$R$2:$R$18,"Missing game",0)</x:f>
        <x:v>U.S. Bank Stadium</x:v>
      </x:c>
    </x:row>
    <x:row r="2043">
      <x:c r="A2043" t="str">
        <x:v>2025_14_WAS_MIN</x:v>
      </x:c>
      <x:c r="B2043" t="n">
        <x:v>837</x:v>
      </x:c>
      <x:c r="C2043" t="n">
        <x:v>2</x:v>
      </x:c>
      <x:c r="D2043" t="str">
        <x:v>14:15</x:v>
      </x:c>
      <x:c r="E2043" t="n">
        <x:v>2</x:v>
      </x:c>
      <x:c r="F2043" t="n">
        <x:v>10</x:v>
      </x:c>
      <x:c r="G2043" t="str">
        <x:v>MIN</x:v>
      </x:c>
      <x:c r="H2043" t="str">
        <x:v>WAS</x:v>
      </x:c>
      <x:c r="I2043" t="str">
        <x:v>MIN</x:v>
      </x:c>
      <x:c r="J2043" t="n">
        <x:v>76</x:v>
      </x:c>
      <x:c r="K2043" t="str">
        <x:v>(14:15) (Shotgun) 27-J.Mason right guard to MIN 36 for 12 yards (54-B.Wagner).</x:v>
      </x:c>
      <x:c r="L2043" t="str">
        <x:v>run</x:v>
      </x:c>
      <x:c r="M2043" t="n">
        <x:v>12</x:v>
      </x:c>
      <x:c r="N2043" t="n">
        <x:v>1</x:v>
      </x:c>
      <x:c r="O2043" t="n">
        <x:v>0</x:v>
      </x:c>
      <x:c r="P2043"/>
      <x:c r="Q2043"/>
      <x:c r="R2043"/>
      <x:c r="S2043"/>
      <x:c r="T2043" t="str">
        <x:v>right</x:v>
      </x:c>
      <x:c r="U2043" t="str">
        <x:v>guard</x:v>
      </x:c>
      <x:c r="V2043" t="n">
        <x:v>0</x:v>
      </x:c>
      <x:c r="W2043" t="n">
        <x:v>1</x:v>
      </x:c>
      <x:c r="X2043" t="n">
        <x:v>0</x:v>
      </x:c>
      <x:c r="Y2043" t="n">
        <x:v>0</x:v>
      </x:c>
      <x:c r="Z2043" t="n">
        <x:v>0</x:v>
      </x:c>
      <x:c r="AA2043" t="n">
        <x:v>0</x:v>
      </x:c>
      <x:c r="AB2043"/>
      <x:c r="AC2043" t="n">
        <x:v>0</x:v>
      </x:c>
      <x:c r="AD2043" t="n">
        <x:v>1.5424842888023704</x:v>
      </x:c>
      <x:c r="AE2043" t="n">
        <x:v>1</x:v>
      </x:c>
      <x:c r="AF2043" t="n">
        <x:v>0.04192572832107544</x:v>
      </x:c>
      <x:c r="AG2043" t="n">
        <x:f>_xlfn.XLOOKUP($A2043,Games!$A$2:$A$18,Games!$B$2:$B$18,"Missing game",0)</x:f>
        <x:v>2025</x:v>
      </x:c>
      <x:c r="AH2043" t="str">
        <x:f>_xlfn.XLOOKUP($A2043,Games!$A$2:$A$18,Games!$C$2:$C$18,"Missing game",0)</x:f>
        <x:v>REG</x:v>
      </x:c>
      <x:c r="AI2043" t="n">
        <x:f>_xlfn.XLOOKUP($A2043,Games!$A$2:$A$18,Games!$D$2:$D$18,"Missing game",0)</x:f>
        <x:v>14</x:v>
      </x:c>
      <x:c r="AJ2043" s="1" t="n">
        <x:f>_xlfn.XLOOKUP($A2043,Games!$A$2:$A$18,Games!$E$2:$E$18,"Missing game",0)</x:f>
        <x:v>45998</x:v>
      </x:c>
      <x:c r="AK2043" t="str">
        <x:f>_xlfn.XLOOKUP($A2043,Games!$A$2:$A$18,Games!$F$2:$F$18,"Missing game",0)</x:f>
        <x:v>Sunday</x:v>
      </x:c>
      <x:c r="AL2043" t="str">
        <x:f>_xlfn.XLOOKUP($A2043,Games!$A$2:$A$18,Games!$G$2:$G$18,"Missing game",0)</x:f>
        <x:v>WAS</x:v>
      </x:c>
      <x:c r="AM2043" t="n">
        <x:f>_xlfn.XLOOKUP($A2043,Games!$A$2:$A$18,Games!$H$2:$H$18,"Missing game",0)</x:f>
        <x:v>0</x:v>
      </x:c>
      <x:c r="AN2043" t="str">
        <x:f>_xlfn.XLOOKUP($A2043,Games!$A$2:$A$18,Games!$I$2:$I$18,"Missing game",0)</x:f>
        <x:v>MIN</x:v>
      </x:c>
      <x:c r="AO2043" t="n">
        <x:f>_xlfn.XLOOKUP($A2043,Games!$A$2:$A$18,Games!$J$2:$J$18,"Missing game",0)</x:f>
        <x:v>31</x:v>
      </x:c>
      <x:c r="AP2043" t="n">
        <x:f>_xlfn.XLOOKUP($A2043,Games!$A$2:$A$18,Games!$K$2:$K$18,"Missing game",0)</x:f>
        <x:v>31</x:v>
      </x:c>
      <x:c r="AQ2043" t="n">
        <x:f>_xlfn.XLOOKUP($A2043,Games!$A$2:$A$18,Games!$L$2:$L$18,"Missing game",0)</x:f>
        <x:v>31</x:v>
      </x:c>
      <x:c r="AR2043" t="n">
        <x:f>_xlfn.XLOOKUP($A2043,Games!$A$2:$A$18,Games!$M$2:$M$18,"Missing game",0)</x:f>
        <x:v>0</x:v>
      </x:c>
      <x:c r="AS2043" t="str">
        <x:f>_xlfn.XLOOKUP($A2043,Games!$A$2:$A$18,Games!$N$2:$N$18,"Missing game",0)</x:f>
        <x:v>dome</x:v>
      </x:c>
      <x:c r="AT2043" t="str">
        <x:f>_xlfn.XLOOKUP($A2043,Games!$A$2:$A$18,Games!$O$2:$O$18,"Missing game",0)</x:f>
        <x:v>sportturf</x:v>
      </x:c>
      <x:c r="AU2043" t="str">
        <x:f>_xlfn.XLOOKUP($A2043,Games!$A$2:$A$18,Games!$P$2:$P$18,"Missing game",0)</x:f>
      </x:c>
      <x:c r="AV2043" t="str">
        <x:f>_xlfn.XLOOKUP($A2043,Games!$A$2:$A$18,Games!$Q$2:$Q$18,"Missing game",0)</x:f>
      </x:c>
      <x:c r="AW2043" t="str">
        <x:f>_xlfn.XLOOKUP($A2043,Games!$A$2:$A$18,Games!$R$2:$R$18,"Missing game",0)</x:f>
        <x:v>U.S. Bank Stadium</x:v>
      </x:c>
    </x:row>
    <x:row r="2044">
      <x:c r="A2044" t="str">
        <x:v>2025_14_WAS_MIN</x:v>
      </x:c>
      <x:c r="B2044" t="n">
        <x:v>859</x:v>
      </x:c>
      <x:c r="C2044" t="n">
        <x:v>2</x:v>
      </x:c>
      <x:c r="D2044" t="str">
        <x:v>13:36</x:v>
      </x:c>
      <x:c r="E2044" t="n">
        <x:v>1</x:v>
      </x:c>
      <x:c r="F2044" t="n">
        <x:v>10</x:v>
      </x:c>
      <x:c r="G2044" t="str">
        <x:v>MIN</x:v>
      </x:c>
      <x:c r="H2044" t="str">
        <x:v>WAS</x:v>
      </x:c>
      <x:c r="I2044" t="str">
        <x:v>MIN</x:v>
      </x:c>
      <x:c r="J2044" t="n">
        <x:v>64</x:v>
      </x:c>
      <x:c r="K2044" t="str">
        <x:v>(13:36) (Shotgun) 27-J.Mason up the middle to MIN 40 for 4 yards (54-B.Wagner).</x:v>
      </x:c>
      <x:c r="L2044" t="str">
        <x:v>run</x:v>
      </x:c>
      <x:c r="M2044" t="n">
        <x:v>4</x:v>
      </x:c>
      <x:c r="N2044" t="n">
        <x:v>1</x:v>
      </x:c>
      <x:c r="O2044" t="n">
        <x:v>0</x:v>
      </x:c>
      <x:c r="P2044"/>
      <x:c r="Q2044"/>
      <x:c r="R2044"/>
      <x:c r="S2044"/>
      <x:c r="T2044" t="str">
        <x:v>middle</x:v>
      </x:c>
      <x:c r="U2044"/>
      <x:c r="V2044" t="n">
        <x:v>0</x:v>
      </x:c>
      <x:c r="W2044" t="n">
        <x:v>0</x:v>
      </x:c>
      <x:c r="X2044" t="n">
        <x:v>0</x:v>
      </x:c>
      <x:c r="Y2044" t="n">
        <x:v>0</x:v>
      </x:c>
      <x:c r="Z2044" t="n">
        <x:v>0</x:v>
      </x:c>
      <x:c r="AA2044" t="n">
        <x:v>0</x:v>
      </x:c>
      <x:c r="AB2044"/>
      <x:c r="AC2044" t="n">
        <x:v>0</x:v>
      </x:c>
      <x:c r="AD2044" t="n">
        <x:v>-0.2501392688136548</x:v>
      </x:c>
      <x:c r="AE2044" t="n">
        <x:v>0</x:v>
      </x:c>
      <x:c r="AF2044" t="n">
        <x:v>-0.0030916929244995117</x:v>
      </x:c>
      <x:c r="AG2044" t="n">
        <x:f>_xlfn.XLOOKUP($A2044,Games!$A$2:$A$18,Games!$B$2:$B$18,"Missing game",0)</x:f>
        <x:v>2025</x:v>
      </x:c>
      <x:c r="AH2044" t="str">
        <x:f>_xlfn.XLOOKUP($A2044,Games!$A$2:$A$18,Games!$C$2:$C$18,"Missing game",0)</x:f>
        <x:v>REG</x:v>
      </x:c>
      <x:c r="AI2044" t="n">
        <x:f>_xlfn.XLOOKUP($A2044,Games!$A$2:$A$18,Games!$D$2:$D$18,"Missing game",0)</x:f>
        <x:v>14</x:v>
      </x:c>
      <x:c r="AJ2044" s="1" t="n">
        <x:f>_xlfn.XLOOKUP($A2044,Games!$A$2:$A$18,Games!$E$2:$E$18,"Missing game",0)</x:f>
        <x:v>45998</x:v>
      </x:c>
      <x:c r="AK2044" t="str">
        <x:f>_xlfn.XLOOKUP($A2044,Games!$A$2:$A$18,Games!$F$2:$F$18,"Missing game",0)</x:f>
        <x:v>Sunday</x:v>
      </x:c>
      <x:c r="AL2044" t="str">
        <x:f>_xlfn.XLOOKUP($A2044,Games!$A$2:$A$18,Games!$G$2:$G$18,"Missing game",0)</x:f>
        <x:v>WAS</x:v>
      </x:c>
      <x:c r="AM2044" t="n">
        <x:f>_xlfn.XLOOKUP($A2044,Games!$A$2:$A$18,Games!$H$2:$H$18,"Missing game",0)</x:f>
        <x:v>0</x:v>
      </x:c>
      <x:c r="AN2044" t="str">
        <x:f>_xlfn.XLOOKUP($A2044,Games!$A$2:$A$18,Games!$I$2:$I$18,"Missing game",0)</x:f>
        <x:v>MIN</x:v>
      </x:c>
      <x:c r="AO2044" t="n">
        <x:f>_xlfn.XLOOKUP($A2044,Games!$A$2:$A$18,Games!$J$2:$J$18,"Missing game",0)</x:f>
        <x:v>31</x:v>
      </x:c>
      <x:c r="AP2044" t="n">
        <x:f>_xlfn.XLOOKUP($A2044,Games!$A$2:$A$18,Games!$K$2:$K$18,"Missing game",0)</x:f>
        <x:v>31</x:v>
      </x:c>
      <x:c r="AQ2044" t="n">
        <x:f>_xlfn.XLOOKUP($A2044,Games!$A$2:$A$18,Games!$L$2:$L$18,"Missing game",0)</x:f>
        <x:v>31</x:v>
      </x:c>
      <x:c r="AR2044" t="n">
        <x:f>_xlfn.XLOOKUP($A2044,Games!$A$2:$A$18,Games!$M$2:$M$18,"Missing game",0)</x:f>
        <x:v>0</x:v>
      </x:c>
      <x:c r="AS2044" t="str">
        <x:f>_xlfn.XLOOKUP($A2044,Games!$A$2:$A$18,Games!$N$2:$N$18,"Missing game",0)</x:f>
        <x:v>dome</x:v>
      </x:c>
      <x:c r="AT2044" t="str">
        <x:f>_xlfn.XLOOKUP($A2044,Games!$A$2:$A$18,Games!$O$2:$O$18,"Missing game",0)</x:f>
        <x:v>sportturf</x:v>
      </x:c>
      <x:c r="AU2044" t="str">
        <x:f>_xlfn.XLOOKUP($A2044,Games!$A$2:$A$18,Games!$P$2:$P$18,"Missing game",0)</x:f>
      </x:c>
      <x:c r="AV2044" t="str">
        <x:f>_xlfn.XLOOKUP($A2044,Games!$A$2:$A$18,Games!$Q$2:$Q$18,"Missing game",0)</x:f>
      </x:c>
      <x:c r="AW2044" t="str">
        <x:f>_xlfn.XLOOKUP($A2044,Games!$A$2:$A$18,Games!$R$2:$R$18,"Missing game",0)</x:f>
        <x:v>U.S. Bank Stadium</x:v>
      </x:c>
    </x:row>
    <x:row r="2045">
      <x:c r="A2045" t="str">
        <x:v>2025_14_WAS_MIN</x:v>
      </x:c>
      <x:c r="B2045" t="n">
        <x:v>881</x:v>
      </x:c>
      <x:c r="C2045" t="n">
        <x:v>2</x:v>
      </x:c>
      <x:c r="D2045" t="str">
        <x:v>12:56</x:v>
      </x:c>
      <x:c r="E2045" t="n">
        <x:v>2</x:v>
      </x:c>
      <x:c r="F2045" t="n">
        <x:v>6</x:v>
      </x:c>
      <x:c r="G2045" t="str">
        <x:v>MIN</x:v>
      </x:c>
      <x:c r="H2045" t="str">
        <x:v>WAS</x:v>
      </x:c>
      <x:c r="I2045" t="str">
        <x:v>MIN</x:v>
      </x:c>
      <x:c r="J2045" t="n">
        <x:v>60</x:v>
      </x:c>
      <x:c r="K2045" t="str">
        <x:v>(12:56) (Shotgun) 9-J.McCarthy sacked ob at MIN 37 for -3 yards (3-W.Harris).</x:v>
      </x:c>
      <x:c r="L2045" t="str">
        <x:v>pass</x:v>
      </x:c>
      <x:c r="M2045" t="n">
        <x:v>-3</x:v>
      </x:c>
      <x:c r="N2045" t="n">
        <x:v>1</x:v>
      </x:c>
      <x:c r="O2045" t="n">
        <x:v>0</x:v>
      </x:c>
      <x:c r="P2045"/>
      <x:c r="Q2045"/>
      <x:c r="R2045"/>
      <x:c r="S2045"/>
      <x:c r="T2045"/>
      <x:c r="U2045"/>
      <x:c r="V2045" t="n">
        <x:v>0</x:v>
      </x:c>
      <x:c r="W2045" t="n">
        <x:v>0</x:v>
      </x:c>
      <x:c r="X2045" t="n">
        <x:v>1</x:v>
      </x:c>
      <x:c r="Y2045" t="n">
        <x:v>0</x:v>
      </x:c>
      <x:c r="Z2045" t="n">
        <x:v>0</x:v>
      </x:c>
      <x:c r="AA2045" t="n">
        <x:v>0</x:v>
      </x:c>
      <x:c r="AB2045"/>
      <x:c r="AC2045" t="n">
        <x:v>0</x:v>
      </x:c>
      <x:c r="AD2045" t="n">
        <x:v>-1.122133660595864</x:v>
      </x:c>
      <x:c r="AE2045" t="n">
        <x:v>0</x:v>
      </x:c>
      <x:c r="AF2045" t="n">
        <x:v>-0.02974224090576172</x:v>
      </x:c>
      <x:c r="AG2045" t="n">
        <x:f>_xlfn.XLOOKUP($A2045,Games!$A$2:$A$18,Games!$B$2:$B$18,"Missing game",0)</x:f>
        <x:v>2025</x:v>
      </x:c>
      <x:c r="AH2045" t="str">
        <x:f>_xlfn.XLOOKUP($A2045,Games!$A$2:$A$18,Games!$C$2:$C$18,"Missing game",0)</x:f>
        <x:v>REG</x:v>
      </x:c>
      <x:c r="AI2045" t="n">
        <x:f>_xlfn.XLOOKUP($A2045,Games!$A$2:$A$18,Games!$D$2:$D$18,"Missing game",0)</x:f>
        <x:v>14</x:v>
      </x:c>
      <x:c r="AJ2045" s="1" t="n">
        <x:f>_xlfn.XLOOKUP($A2045,Games!$A$2:$A$18,Games!$E$2:$E$18,"Missing game",0)</x:f>
        <x:v>45998</x:v>
      </x:c>
      <x:c r="AK2045" t="str">
        <x:f>_xlfn.XLOOKUP($A2045,Games!$A$2:$A$18,Games!$F$2:$F$18,"Missing game",0)</x:f>
        <x:v>Sunday</x:v>
      </x:c>
      <x:c r="AL2045" t="str">
        <x:f>_xlfn.XLOOKUP($A2045,Games!$A$2:$A$18,Games!$G$2:$G$18,"Missing game",0)</x:f>
        <x:v>WAS</x:v>
      </x:c>
      <x:c r="AM2045" t="n">
        <x:f>_xlfn.XLOOKUP($A2045,Games!$A$2:$A$18,Games!$H$2:$H$18,"Missing game",0)</x:f>
        <x:v>0</x:v>
      </x:c>
      <x:c r="AN2045" t="str">
        <x:f>_xlfn.XLOOKUP($A2045,Games!$A$2:$A$18,Games!$I$2:$I$18,"Missing game",0)</x:f>
        <x:v>MIN</x:v>
      </x:c>
      <x:c r="AO2045" t="n">
        <x:f>_xlfn.XLOOKUP($A2045,Games!$A$2:$A$18,Games!$J$2:$J$18,"Missing game",0)</x:f>
        <x:v>31</x:v>
      </x:c>
      <x:c r="AP2045" t="n">
        <x:f>_xlfn.XLOOKUP($A2045,Games!$A$2:$A$18,Games!$K$2:$K$18,"Missing game",0)</x:f>
        <x:v>31</x:v>
      </x:c>
      <x:c r="AQ2045" t="n">
        <x:f>_xlfn.XLOOKUP($A2045,Games!$A$2:$A$18,Games!$L$2:$L$18,"Missing game",0)</x:f>
        <x:v>31</x:v>
      </x:c>
      <x:c r="AR2045" t="n">
        <x:f>_xlfn.XLOOKUP($A2045,Games!$A$2:$A$18,Games!$M$2:$M$18,"Missing game",0)</x:f>
        <x:v>0</x:v>
      </x:c>
      <x:c r="AS2045" t="str">
        <x:f>_xlfn.XLOOKUP($A2045,Games!$A$2:$A$18,Games!$N$2:$N$18,"Missing game",0)</x:f>
        <x:v>dome</x:v>
      </x:c>
      <x:c r="AT2045" t="str">
        <x:f>_xlfn.XLOOKUP($A2045,Games!$A$2:$A$18,Games!$O$2:$O$18,"Missing game",0)</x:f>
        <x:v>sportturf</x:v>
      </x:c>
      <x:c r="AU2045" t="str">
        <x:f>_xlfn.XLOOKUP($A2045,Games!$A$2:$A$18,Games!$P$2:$P$18,"Missing game",0)</x:f>
      </x:c>
      <x:c r="AV2045" t="str">
        <x:f>_xlfn.XLOOKUP($A2045,Games!$A$2:$A$18,Games!$Q$2:$Q$18,"Missing game",0)</x:f>
      </x:c>
      <x:c r="AW2045" t="str">
        <x:f>_xlfn.XLOOKUP($A2045,Games!$A$2:$A$18,Games!$R$2:$R$18,"Missing game",0)</x:f>
        <x:v>U.S. Bank Stadium</x:v>
      </x:c>
    </x:row>
    <x:row r="2046">
      <x:c r="A2046" t="str">
        <x:v>2025_14_WAS_MIN</x:v>
      </x:c>
      <x:c r="B2046" t="n">
        <x:v>901</x:v>
      </x:c>
      <x:c r="C2046" t="n">
        <x:v>2</x:v>
      </x:c>
      <x:c r="D2046" t="str">
        <x:v>12:16</x:v>
      </x:c>
      <x:c r="E2046" t="n">
        <x:v>3</x:v>
      </x:c>
      <x:c r="F2046" t="n">
        <x:v>9</x:v>
      </x:c>
      <x:c r="G2046" t="str">
        <x:v>MIN</x:v>
      </x:c>
      <x:c r="H2046" t="str">
        <x:v>WAS</x:v>
      </x:c>
      <x:c r="I2046" t="str">
        <x:v>MIN</x:v>
      </x:c>
      <x:c r="J2046" t="n">
        <x:v>63</x:v>
      </x:c>
      <x:c r="K2046" t="str">
        <x:v>(12:16) (Shotgun) 9-J.McCarthy pass short left to 1-J.Nailor ran ob at MIN 49 for 12 yards (0-M.Sainristil).</x:v>
      </x:c>
      <x:c r="L2046" t="str">
        <x:v>pass</x:v>
      </x:c>
      <x:c r="M2046" t="n">
        <x:v>12</x:v>
      </x:c>
      <x:c r="N2046" t="n">
        <x:v>1</x:v>
      </x:c>
      <x:c r="O2046" t="n">
        <x:v>0</x:v>
      </x:c>
      <x:c r="P2046" t="str">
        <x:v>short</x:v>
      </x:c>
      <x:c r="Q2046" t="str">
        <x:v>left</x:v>
      </x:c>
      <x:c r="R2046" t="n">
        <x:v>11</x:v>
      </x:c>
      <x:c r="S2046" t="n">
        <x:v>1</x:v>
      </x:c>
      <x:c r="T2046"/>
      <x:c r="U2046"/>
      <x:c r="V2046" t="n">
        <x:v>1</x:v>
      </x:c>
      <x:c r="W2046" t="n">
        <x:v>1</x:v>
      </x:c>
      <x:c r="X2046" t="n">
        <x:v>0</x:v>
      </x:c>
      <x:c r="Y2046" t="n">
        <x:v>0</x:v>
      </x:c>
      <x:c r="Z2046" t="n">
        <x:v>0</x:v>
      </x:c>
      <x:c r="AA2046" t="n">
        <x:v>0</x:v>
      </x:c>
      <x:c r="AB2046"/>
      <x:c r="AC2046" t="n">
        <x:v>0</x:v>
      </x:c>
      <x:c r="AD2046" t="n">
        <x:v>2.0968569528777152</x:v>
      </x:c>
      <x:c r="AE2046" t="n">
        <x:v>1</x:v>
      </x:c>
      <x:c r="AF2046" t="n">
        <x:v>0.044265925884246826</x:v>
      </x:c>
      <x:c r="AG2046" t="n">
        <x:f>_xlfn.XLOOKUP($A2046,Games!$A$2:$A$18,Games!$B$2:$B$18,"Missing game",0)</x:f>
        <x:v>2025</x:v>
      </x:c>
      <x:c r="AH2046" t="str">
        <x:f>_xlfn.XLOOKUP($A2046,Games!$A$2:$A$18,Games!$C$2:$C$18,"Missing game",0)</x:f>
        <x:v>REG</x:v>
      </x:c>
      <x:c r="AI2046" t="n">
        <x:f>_xlfn.XLOOKUP($A2046,Games!$A$2:$A$18,Games!$D$2:$D$18,"Missing game",0)</x:f>
        <x:v>14</x:v>
      </x:c>
      <x:c r="AJ2046" s="1" t="n">
        <x:f>_xlfn.XLOOKUP($A2046,Games!$A$2:$A$18,Games!$E$2:$E$18,"Missing game",0)</x:f>
        <x:v>45998</x:v>
      </x:c>
      <x:c r="AK2046" t="str">
        <x:f>_xlfn.XLOOKUP($A2046,Games!$A$2:$A$18,Games!$F$2:$F$18,"Missing game",0)</x:f>
        <x:v>Sunday</x:v>
      </x:c>
      <x:c r="AL2046" t="str">
        <x:f>_xlfn.XLOOKUP($A2046,Games!$A$2:$A$18,Games!$G$2:$G$18,"Missing game",0)</x:f>
        <x:v>WAS</x:v>
      </x:c>
      <x:c r="AM2046" t="n">
        <x:f>_xlfn.XLOOKUP($A2046,Games!$A$2:$A$18,Games!$H$2:$H$18,"Missing game",0)</x:f>
        <x:v>0</x:v>
      </x:c>
      <x:c r="AN2046" t="str">
        <x:f>_xlfn.XLOOKUP($A2046,Games!$A$2:$A$18,Games!$I$2:$I$18,"Missing game",0)</x:f>
        <x:v>MIN</x:v>
      </x:c>
      <x:c r="AO2046" t="n">
        <x:f>_xlfn.XLOOKUP($A2046,Games!$A$2:$A$18,Games!$J$2:$J$18,"Missing game",0)</x:f>
        <x:v>31</x:v>
      </x:c>
      <x:c r="AP2046" t="n">
        <x:f>_xlfn.XLOOKUP($A2046,Games!$A$2:$A$18,Games!$K$2:$K$18,"Missing game",0)</x:f>
        <x:v>31</x:v>
      </x:c>
      <x:c r="AQ2046" t="n">
        <x:f>_xlfn.XLOOKUP($A2046,Games!$A$2:$A$18,Games!$L$2:$L$18,"Missing game",0)</x:f>
        <x:v>31</x:v>
      </x:c>
      <x:c r="AR2046" t="n">
        <x:f>_xlfn.XLOOKUP($A2046,Games!$A$2:$A$18,Games!$M$2:$M$18,"Missing game",0)</x:f>
        <x:v>0</x:v>
      </x:c>
      <x:c r="AS2046" t="str">
        <x:f>_xlfn.XLOOKUP($A2046,Games!$A$2:$A$18,Games!$N$2:$N$18,"Missing game",0)</x:f>
        <x:v>dome</x:v>
      </x:c>
      <x:c r="AT2046" t="str">
        <x:f>_xlfn.XLOOKUP($A2046,Games!$A$2:$A$18,Games!$O$2:$O$18,"Missing game",0)</x:f>
        <x:v>sportturf</x:v>
      </x:c>
      <x:c r="AU2046" t="str">
        <x:f>_xlfn.XLOOKUP($A2046,Games!$A$2:$A$18,Games!$P$2:$P$18,"Missing game",0)</x:f>
      </x:c>
      <x:c r="AV2046" t="str">
        <x:f>_xlfn.XLOOKUP($A2046,Games!$A$2:$A$18,Games!$Q$2:$Q$18,"Missing game",0)</x:f>
      </x:c>
      <x:c r="AW2046" t="str">
        <x:f>_xlfn.XLOOKUP($A2046,Games!$A$2:$A$18,Games!$R$2:$R$18,"Missing game",0)</x:f>
        <x:v>U.S. Bank Stadium</x:v>
      </x:c>
    </x:row>
    <x:row r="2047">
      <x:c r="A2047" t="str">
        <x:v>2025_14_WAS_MIN</x:v>
      </x:c>
      <x:c r="B2047" t="n">
        <x:v>931</x:v>
      </x:c>
      <x:c r="C2047" t="n">
        <x:v>2</x:v>
      </x:c>
      <x:c r="D2047" t="str">
        <x:v>11:38</x:v>
      </x:c>
      <x:c r="E2047" t="n">
        <x:v>1</x:v>
      </x:c>
      <x:c r="F2047" t="n">
        <x:v>10</x:v>
      </x:c>
      <x:c r="G2047" t="str">
        <x:v>MIN</x:v>
      </x:c>
      <x:c r="H2047" t="str">
        <x:v>WAS</x:v>
      </x:c>
      <x:c r="I2047" t="str">
        <x:v>MIN</x:v>
      </x:c>
      <x:c r="J2047" t="n">
        <x:v>51</x:v>
      </x:c>
      <x:c r="K2047" t="str">
        <x:v>(11:38) 33-A.Jones right end to WAS 49 for 2 yards (55-J.Martin; 58-J.Magee).</x:v>
      </x:c>
      <x:c r="L2047" t="str">
        <x:v>run</x:v>
      </x:c>
      <x:c r="M2047" t="n">
        <x:v>2</x:v>
      </x:c>
      <x:c r="N2047" t="n">
        <x:v>0</x:v>
      </x:c>
      <x:c r="O2047" t="n">
        <x:v>0</x:v>
      </x:c>
      <x:c r="P2047"/>
      <x:c r="Q2047"/>
      <x:c r="R2047"/>
      <x:c r="S2047"/>
      <x:c r="T2047" t="str">
        <x:v>right</x:v>
      </x:c>
      <x:c r="U2047" t="str">
        <x:v>end</x:v>
      </x:c>
      <x:c r="V2047" t="n">
        <x:v>0</x:v>
      </x:c>
      <x:c r="W2047" t="n">
        <x:v>0</x:v>
      </x:c>
      <x:c r="X2047" t="n">
        <x:v>0</x:v>
      </x:c>
      <x:c r="Y2047" t="n">
        <x:v>0</x:v>
      </x:c>
      <x:c r="Z2047" t="n">
        <x:v>0</x:v>
      </x:c>
      <x:c r="AA2047" t="n">
        <x:v>0</x:v>
      </x:c>
      <x:c r="AB2047"/>
      <x:c r="AC2047" t="n">
        <x:v>0</x:v>
      </x:c>
      <x:c r="AD2047" t="n">
        <x:v>-0.46588710183277726</x:v>
      </x:c>
      <x:c r="AE2047" t="n">
        <x:v>0</x:v>
      </x:c>
      <x:c r="AF2047" t="n">
        <x:v>-0.013814568519592285</x:v>
      </x:c>
      <x:c r="AG2047" t="n">
        <x:f>_xlfn.XLOOKUP($A2047,Games!$A$2:$A$18,Games!$B$2:$B$18,"Missing game",0)</x:f>
        <x:v>2025</x:v>
      </x:c>
      <x:c r="AH2047" t="str">
        <x:f>_xlfn.XLOOKUP($A2047,Games!$A$2:$A$18,Games!$C$2:$C$18,"Missing game",0)</x:f>
        <x:v>REG</x:v>
      </x:c>
      <x:c r="AI2047" t="n">
        <x:f>_xlfn.XLOOKUP($A2047,Games!$A$2:$A$18,Games!$D$2:$D$18,"Missing game",0)</x:f>
        <x:v>14</x:v>
      </x:c>
      <x:c r="AJ2047" s="1" t="n">
        <x:f>_xlfn.XLOOKUP($A2047,Games!$A$2:$A$18,Games!$E$2:$E$18,"Missing game",0)</x:f>
        <x:v>45998</x:v>
      </x:c>
      <x:c r="AK2047" t="str">
        <x:f>_xlfn.XLOOKUP($A2047,Games!$A$2:$A$18,Games!$F$2:$F$18,"Missing game",0)</x:f>
        <x:v>Sunday</x:v>
      </x:c>
      <x:c r="AL2047" t="str">
        <x:f>_xlfn.XLOOKUP($A2047,Games!$A$2:$A$18,Games!$G$2:$G$18,"Missing game",0)</x:f>
        <x:v>WAS</x:v>
      </x:c>
      <x:c r="AM2047" t="n">
        <x:f>_xlfn.XLOOKUP($A2047,Games!$A$2:$A$18,Games!$H$2:$H$18,"Missing game",0)</x:f>
        <x:v>0</x:v>
      </x:c>
      <x:c r="AN2047" t="str">
        <x:f>_xlfn.XLOOKUP($A2047,Games!$A$2:$A$18,Games!$I$2:$I$18,"Missing game",0)</x:f>
        <x:v>MIN</x:v>
      </x:c>
      <x:c r="AO2047" t="n">
        <x:f>_xlfn.XLOOKUP($A2047,Games!$A$2:$A$18,Games!$J$2:$J$18,"Missing game",0)</x:f>
        <x:v>31</x:v>
      </x:c>
      <x:c r="AP2047" t="n">
        <x:f>_xlfn.XLOOKUP($A2047,Games!$A$2:$A$18,Games!$K$2:$K$18,"Missing game",0)</x:f>
        <x:v>31</x:v>
      </x:c>
      <x:c r="AQ2047" t="n">
        <x:f>_xlfn.XLOOKUP($A2047,Games!$A$2:$A$18,Games!$L$2:$L$18,"Missing game",0)</x:f>
        <x:v>31</x:v>
      </x:c>
      <x:c r="AR2047" t="n">
        <x:f>_xlfn.XLOOKUP($A2047,Games!$A$2:$A$18,Games!$M$2:$M$18,"Missing game",0)</x:f>
        <x:v>0</x:v>
      </x:c>
      <x:c r="AS2047" t="str">
        <x:f>_xlfn.XLOOKUP($A2047,Games!$A$2:$A$18,Games!$N$2:$N$18,"Missing game",0)</x:f>
        <x:v>dome</x:v>
      </x:c>
      <x:c r="AT2047" t="str">
        <x:f>_xlfn.XLOOKUP($A2047,Games!$A$2:$A$18,Games!$O$2:$O$18,"Missing game",0)</x:f>
        <x:v>sportturf</x:v>
      </x:c>
      <x:c r="AU2047" t="str">
        <x:f>_xlfn.XLOOKUP($A2047,Games!$A$2:$A$18,Games!$P$2:$P$18,"Missing game",0)</x:f>
      </x:c>
      <x:c r="AV2047" t="str">
        <x:f>_xlfn.XLOOKUP($A2047,Games!$A$2:$A$18,Games!$Q$2:$Q$18,"Missing game",0)</x:f>
      </x:c>
      <x:c r="AW2047" t="str">
        <x:f>_xlfn.XLOOKUP($A2047,Games!$A$2:$A$18,Games!$R$2:$R$18,"Missing game",0)</x:f>
        <x:v>U.S. Bank Stadium</x:v>
      </x:c>
    </x:row>
    <x:row r="2048">
      <x:c r="A2048" t="str">
        <x:v>2025_14_WAS_MIN</x:v>
      </x:c>
      <x:c r="B2048" t="n">
        <x:v>953</x:v>
      </x:c>
      <x:c r="C2048" t="n">
        <x:v>2</x:v>
      </x:c>
      <x:c r="D2048" t="str">
        <x:v>10:54</x:v>
      </x:c>
      <x:c r="E2048" t="n">
        <x:v>2</x:v>
      </x:c>
      <x:c r="F2048" t="n">
        <x:v>8</x:v>
      </x:c>
      <x:c r="G2048" t="str">
        <x:v>MIN</x:v>
      </x:c>
      <x:c r="H2048" t="str">
        <x:v>WAS</x:v>
      </x:c>
      <x:c r="I2048" t="str">
        <x:v>WAS</x:v>
      </x:c>
      <x:c r="J2048" t="n">
        <x:v>49</x:v>
      </x:c>
      <x:c r="K2048" t="str">
        <x:v>(10:54) (Shotgun) 9-J.McCarthy sacked at WAS 49 for 0 yards (94-D.Payne).</x:v>
      </x:c>
      <x:c r="L2048" t="str">
        <x:v>pass</x:v>
      </x:c>
      <x:c r="M2048" t="n">
        <x:v>0</x:v>
      </x:c>
      <x:c r="N2048" t="n">
        <x:v>1</x:v>
      </x:c>
      <x:c r="O2048" t="n">
        <x:v>0</x:v>
      </x:c>
      <x:c r="P2048"/>
      <x:c r="Q2048"/>
      <x:c r="R2048"/>
      <x:c r="S2048"/>
      <x:c r="T2048"/>
      <x:c r="U2048"/>
      <x:c r="V2048" t="n">
        <x:v>0</x:v>
      </x:c>
      <x:c r="W2048" t="n">
        <x:v>0</x:v>
      </x:c>
      <x:c r="X2048" t="n">
        <x:v>1</x:v>
      </x:c>
      <x:c r="Y2048" t="n">
        <x:v>0</x:v>
      </x:c>
      <x:c r="Z2048" t="n">
        <x:v>0</x:v>
      </x:c>
      <x:c r="AA2048" t="n">
        <x:v>0</x:v>
      </x:c>
      <x:c r="AB2048"/>
      <x:c r="AC2048" t="n">
        <x:v>0</x:v>
      </x:c>
      <x:c r="AD2048" t="n">
        <x:v>-0.8841176128480583</x:v>
      </x:c>
      <x:c r="AE2048" t="n">
        <x:v>0</x:v>
      </x:c>
      <x:c r="AF2048" t="n">
        <x:v>-0.024876892566680908</x:v>
      </x:c>
      <x:c r="AG2048" t="n">
        <x:f>_xlfn.XLOOKUP($A2048,Games!$A$2:$A$18,Games!$B$2:$B$18,"Missing game",0)</x:f>
        <x:v>2025</x:v>
      </x:c>
      <x:c r="AH2048" t="str">
        <x:f>_xlfn.XLOOKUP($A2048,Games!$A$2:$A$18,Games!$C$2:$C$18,"Missing game",0)</x:f>
        <x:v>REG</x:v>
      </x:c>
      <x:c r="AI2048" t="n">
        <x:f>_xlfn.XLOOKUP($A2048,Games!$A$2:$A$18,Games!$D$2:$D$18,"Missing game",0)</x:f>
        <x:v>14</x:v>
      </x:c>
      <x:c r="AJ2048" s="1" t="n">
        <x:f>_xlfn.XLOOKUP($A2048,Games!$A$2:$A$18,Games!$E$2:$E$18,"Missing game",0)</x:f>
        <x:v>45998</x:v>
      </x:c>
      <x:c r="AK2048" t="str">
        <x:f>_xlfn.XLOOKUP($A2048,Games!$A$2:$A$18,Games!$F$2:$F$18,"Missing game",0)</x:f>
        <x:v>Sunday</x:v>
      </x:c>
      <x:c r="AL2048" t="str">
        <x:f>_xlfn.XLOOKUP($A2048,Games!$A$2:$A$18,Games!$G$2:$G$18,"Missing game",0)</x:f>
        <x:v>WAS</x:v>
      </x:c>
      <x:c r="AM2048" t="n">
        <x:f>_xlfn.XLOOKUP($A2048,Games!$A$2:$A$18,Games!$H$2:$H$18,"Missing game",0)</x:f>
        <x:v>0</x:v>
      </x:c>
      <x:c r="AN2048" t="str">
        <x:f>_xlfn.XLOOKUP($A2048,Games!$A$2:$A$18,Games!$I$2:$I$18,"Missing game",0)</x:f>
        <x:v>MIN</x:v>
      </x:c>
      <x:c r="AO2048" t="n">
        <x:f>_xlfn.XLOOKUP($A2048,Games!$A$2:$A$18,Games!$J$2:$J$18,"Missing game",0)</x:f>
        <x:v>31</x:v>
      </x:c>
      <x:c r="AP2048" t="n">
        <x:f>_xlfn.XLOOKUP($A2048,Games!$A$2:$A$18,Games!$K$2:$K$18,"Missing game",0)</x:f>
        <x:v>31</x:v>
      </x:c>
      <x:c r="AQ2048" t="n">
        <x:f>_xlfn.XLOOKUP($A2048,Games!$A$2:$A$18,Games!$L$2:$L$18,"Missing game",0)</x:f>
        <x:v>31</x:v>
      </x:c>
      <x:c r="AR2048" t="n">
        <x:f>_xlfn.XLOOKUP($A2048,Games!$A$2:$A$18,Games!$M$2:$M$18,"Missing game",0)</x:f>
        <x:v>0</x:v>
      </x:c>
      <x:c r="AS2048" t="str">
        <x:f>_xlfn.XLOOKUP($A2048,Games!$A$2:$A$18,Games!$N$2:$N$18,"Missing game",0)</x:f>
        <x:v>dome</x:v>
      </x:c>
      <x:c r="AT2048" t="str">
        <x:f>_xlfn.XLOOKUP($A2048,Games!$A$2:$A$18,Games!$O$2:$O$18,"Missing game",0)</x:f>
        <x:v>sportturf</x:v>
      </x:c>
      <x:c r="AU2048" t="str">
        <x:f>_xlfn.XLOOKUP($A2048,Games!$A$2:$A$18,Games!$P$2:$P$18,"Missing game",0)</x:f>
      </x:c>
      <x:c r="AV2048" t="str">
        <x:f>_xlfn.XLOOKUP($A2048,Games!$A$2:$A$18,Games!$Q$2:$Q$18,"Missing game",0)</x:f>
      </x:c>
      <x:c r="AW2048" t="str">
        <x:f>_xlfn.XLOOKUP($A2048,Games!$A$2:$A$18,Games!$R$2:$R$18,"Missing game",0)</x:f>
        <x:v>U.S. Bank Stadium</x:v>
      </x:c>
    </x:row>
    <x:row r="2049">
      <x:c r="A2049" t="str">
        <x:v>2025_14_WAS_MIN</x:v>
      </x:c>
      <x:c r="B2049" t="n">
        <x:v>982</x:v>
      </x:c>
      <x:c r="C2049" t="n">
        <x:v>2</x:v>
      </x:c>
      <x:c r="D2049" t="str">
        <x:v>09:59</x:v>
      </x:c>
      <x:c r="E2049" t="n">
        <x:v>3</x:v>
      </x:c>
      <x:c r="F2049" t="n">
        <x:v>8</x:v>
      </x:c>
      <x:c r="G2049" t="str">
        <x:v>MIN</x:v>
      </x:c>
      <x:c r="H2049" t="str">
        <x:v>WAS</x:v>
      </x:c>
      <x:c r="I2049" t="str">
        <x:v>WAS</x:v>
      </x:c>
      <x:c r="J2049" t="n">
        <x:v>49</x:v>
      </x:c>
      <x:c r="K2049" t="str">
        <x:v>(9:59) (Shotgun) 9-J.McCarthy pass deep left to 3-J.Addison to WAS 28 for 21 yards (20-Q.Martin).</x:v>
      </x:c>
      <x:c r="L2049" t="str">
        <x:v>pass</x:v>
      </x:c>
      <x:c r="M2049" t="n">
        <x:v>21</x:v>
      </x:c>
      <x:c r="N2049" t="n">
        <x:v>1</x:v>
      </x:c>
      <x:c r="O2049" t="n">
        <x:v>0</x:v>
      </x:c>
      <x:c r="P2049" t="str">
        <x:v>deep</x:v>
      </x:c>
      <x:c r="Q2049" t="str">
        <x:v>left</x:v>
      </x:c>
      <x:c r="R2049" t="n">
        <x:v>21</x:v>
      </x:c>
      <x:c r="S2049" t="n">
        <x:v>0</x:v>
      </x:c>
      <x:c r="T2049"/>
      <x:c r="U2049"/>
      <x:c r="V2049" t="n">
        <x:v>1</x:v>
      </x:c>
      <x:c r="W2049" t="n">
        <x:v>1</x:v>
      </x:c>
      <x:c r="X2049" t="n">
        <x:v>0</x:v>
      </x:c>
      <x:c r="Y2049" t="n">
        <x:v>0</x:v>
      </x:c>
      <x:c r="Z2049" t="n">
        <x:v>0</x:v>
      </x:c>
      <x:c r="AA2049" t="n">
        <x:v>0</x:v>
      </x:c>
      <x:c r="AB2049"/>
      <x:c r="AC2049" t="n">
        <x:v>0</x:v>
      </x:c>
      <x:c r="AD2049" t="n">
        <x:v>2.69706091680564</x:v>
      </x:c>
      <x:c r="AE2049" t="n">
        <x:v>1</x:v>
      </x:c>
      <x:c r="AF2049" t="n">
        <x:v>0.06717348098754883</x:v>
      </x:c>
      <x:c r="AG2049" t="n">
        <x:f>_xlfn.XLOOKUP($A2049,Games!$A$2:$A$18,Games!$B$2:$B$18,"Missing game",0)</x:f>
        <x:v>2025</x:v>
      </x:c>
      <x:c r="AH2049" t="str">
        <x:f>_xlfn.XLOOKUP($A2049,Games!$A$2:$A$18,Games!$C$2:$C$18,"Missing game",0)</x:f>
        <x:v>REG</x:v>
      </x:c>
      <x:c r="AI2049" t="n">
        <x:f>_xlfn.XLOOKUP($A2049,Games!$A$2:$A$18,Games!$D$2:$D$18,"Missing game",0)</x:f>
        <x:v>14</x:v>
      </x:c>
      <x:c r="AJ2049" s="1" t="n">
        <x:f>_xlfn.XLOOKUP($A2049,Games!$A$2:$A$18,Games!$E$2:$E$18,"Missing game",0)</x:f>
        <x:v>45998</x:v>
      </x:c>
      <x:c r="AK2049" t="str">
        <x:f>_xlfn.XLOOKUP($A2049,Games!$A$2:$A$18,Games!$F$2:$F$18,"Missing game",0)</x:f>
        <x:v>Sunday</x:v>
      </x:c>
      <x:c r="AL2049" t="str">
        <x:f>_xlfn.XLOOKUP($A2049,Games!$A$2:$A$18,Games!$G$2:$G$18,"Missing game",0)</x:f>
        <x:v>WAS</x:v>
      </x:c>
      <x:c r="AM2049" t="n">
        <x:f>_xlfn.XLOOKUP($A2049,Games!$A$2:$A$18,Games!$H$2:$H$18,"Missing game",0)</x:f>
        <x:v>0</x:v>
      </x:c>
      <x:c r="AN2049" t="str">
        <x:f>_xlfn.XLOOKUP($A2049,Games!$A$2:$A$18,Games!$I$2:$I$18,"Missing game",0)</x:f>
        <x:v>MIN</x:v>
      </x:c>
      <x:c r="AO2049" t="n">
        <x:f>_xlfn.XLOOKUP($A2049,Games!$A$2:$A$18,Games!$J$2:$J$18,"Missing game",0)</x:f>
        <x:v>31</x:v>
      </x:c>
      <x:c r="AP2049" t="n">
        <x:f>_xlfn.XLOOKUP($A2049,Games!$A$2:$A$18,Games!$K$2:$K$18,"Missing game",0)</x:f>
        <x:v>31</x:v>
      </x:c>
      <x:c r="AQ2049" t="n">
        <x:f>_xlfn.XLOOKUP($A2049,Games!$A$2:$A$18,Games!$L$2:$L$18,"Missing game",0)</x:f>
        <x:v>31</x:v>
      </x:c>
      <x:c r="AR2049" t="n">
        <x:f>_xlfn.XLOOKUP($A2049,Games!$A$2:$A$18,Games!$M$2:$M$18,"Missing game",0)</x:f>
        <x:v>0</x:v>
      </x:c>
      <x:c r="AS2049" t="str">
        <x:f>_xlfn.XLOOKUP($A2049,Games!$A$2:$A$18,Games!$N$2:$N$18,"Missing game",0)</x:f>
        <x:v>dome</x:v>
      </x:c>
      <x:c r="AT2049" t="str">
        <x:f>_xlfn.XLOOKUP($A2049,Games!$A$2:$A$18,Games!$O$2:$O$18,"Missing game",0)</x:f>
        <x:v>sportturf</x:v>
      </x:c>
      <x:c r="AU2049" t="str">
        <x:f>_xlfn.XLOOKUP($A2049,Games!$A$2:$A$18,Games!$P$2:$P$18,"Missing game",0)</x:f>
      </x:c>
      <x:c r="AV2049" t="str">
        <x:f>_xlfn.XLOOKUP($A2049,Games!$A$2:$A$18,Games!$Q$2:$Q$18,"Missing game",0)</x:f>
      </x:c>
      <x:c r="AW2049" t="str">
        <x:f>_xlfn.XLOOKUP($A2049,Games!$A$2:$A$18,Games!$R$2:$R$18,"Missing game",0)</x:f>
        <x:v>U.S. Bank Stadium</x:v>
      </x:c>
    </x:row>
    <x:row r="2050">
      <x:c r="A2050" t="str">
        <x:v>2025_14_WAS_MIN</x:v>
      </x:c>
      <x:c r="B2050" t="n">
        <x:v>1007</x:v>
      </x:c>
      <x:c r="C2050" t="n">
        <x:v>2</x:v>
      </x:c>
      <x:c r="D2050" t="str">
        <x:v>09:14</x:v>
      </x:c>
      <x:c r="E2050" t="n">
        <x:v>1</x:v>
      </x:c>
      <x:c r="F2050" t="n">
        <x:v>10</x:v>
      </x:c>
      <x:c r="G2050" t="str">
        <x:v>MIN</x:v>
      </x:c>
      <x:c r="H2050" t="str">
        <x:v>WAS</x:v>
      </x:c>
      <x:c r="I2050" t="str">
        <x:v>WAS</x:v>
      </x:c>
      <x:c r="J2050" t="n">
        <x:v>28</x:v>
      </x:c>
      <x:c r="K2050" t="str">
        <x:v>(9:14) (Shotgun) 9-J.McCarthy pass short left to 18-J.Jefferson to WAS 30 for -2 yards (0-M.Sainristil, 50-D.Walker).</x:v>
      </x:c>
      <x:c r="L2050" t="str">
        <x:v>pass</x:v>
      </x:c>
      <x:c r="M2050" t="n">
        <x:v>-2</x:v>
      </x:c>
      <x:c r="N2050" t="n">
        <x:v>1</x:v>
      </x:c>
      <x:c r="O2050" t="n">
        <x:v>0</x:v>
      </x:c>
      <x:c r="P2050" t="str">
        <x:v>short</x:v>
      </x:c>
      <x:c r="Q2050" t="str">
        <x:v>left</x:v>
      </x:c>
      <x:c r="R2050" t="n">
        <x:v>-2</x:v>
      </x:c>
      <x:c r="S2050" t="n">
        <x:v>0</x:v>
      </x:c>
      <x:c r="T2050"/>
      <x:c r="U2050"/>
      <x:c r="V2050" t="n">
        <x:v>1</x:v>
      </x:c>
      <x:c r="W2050" t="n">
        <x:v>0</x:v>
      </x:c>
      <x:c r="X2050" t="n">
        <x:v>0</x:v>
      </x:c>
      <x:c r="Y2050" t="n">
        <x:v>0</x:v>
      </x:c>
      <x:c r="Z2050" t="n">
        <x:v>0</x:v>
      </x:c>
      <x:c r="AA2050" t="n">
        <x:v>0</x:v>
      </x:c>
      <x:c r="AB2050"/>
      <x:c r="AC2050" t="n">
        <x:v>0</x:v>
      </x:c>
      <x:c r="AD2050" t="n">
        <x:v>-0.9298116761492565</x:v>
      </x:c>
      <x:c r="AE2050" t="n">
        <x:v>0</x:v>
      </x:c>
      <x:c r="AF2050" t="n">
        <x:v>-0.017463266849517822</x:v>
      </x:c>
      <x:c r="AG2050" t="n">
        <x:f>_xlfn.XLOOKUP($A2050,Games!$A$2:$A$18,Games!$B$2:$B$18,"Missing game",0)</x:f>
        <x:v>2025</x:v>
      </x:c>
      <x:c r="AH2050" t="str">
        <x:f>_xlfn.XLOOKUP($A2050,Games!$A$2:$A$18,Games!$C$2:$C$18,"Missing game",0)</x:f>
        <x:v>REG</x:v>
      </x:c>
      <x:c r="AI2050" t="n">
        <x:f>_xlfn.XLOOKUP($A2050,Games!$A$2:$A$18,Games!$D$2:$D$18,"Missing game",0)</x:f>
        <x:v>14</x:v>
      </x:c>
      <x:c r="AJ2050" s="1" t="n">
        <x:f>_xlfn.XLOOKUP($A2050,Games!$A$2:$A$18,Games!$E$2:$E$18,"Missing game",0)</x:f>
        <x:v>45998</x:v>
      </x:c>
      <x:c r="AK2050" t="str">
        <x:f>_xlfn.XLOOKUP($A2050,Games!$A$2:$A$18,Games!$F$2:$F$18,"Missing game",0)</x:f>
        <x:v>Sunday</x:v>
      </x:c>
      <x:c r="AL2050" t="str">
        <x:f>_xlfn.XLOOKUP($A2050,Games!$A$2:$A$18,Games!$G$2:$G$18,"Missing game",0)</x:f>
        <x:v>WAS</x:v>
      </x:c>
      <x:c r="AM2050" t="n">
        <x:f>_xlfn.XLOOKUP($A2050,Games!$A$2:$A$18,Games!$H$2:$H$18,"Missing game",0)</x:f>
        <x:v>0</x:v>
      </x:c>
      <x:c r="AN2050" t="str">
        <x:f>_xlfn.XLOOKUP($A2050,Games!$A$2:$A$18,Games!$I$2:$I$18,"Missing game",0)</x:f>
        <x:v>MIN</x:v>
      </x:c>
      <x:c r="AO2050" t="n">
        <x:f>_xlfn.XLOOKUP($A2050,Games!$A$2:$A$18,Games!$J$2:$J$18,"Missing game",0)</x:f>
        <x:v>31</x:v>
      </x:c>
      <x:c r="AP2050" t="n">
        <x:f>_xlfn.XLOOKUP($A2050,Games!$A$2:$A$18,Games!$K$2:$K$18,"Missing game",0)</x:f>
        <x:v>31</x:v>
      </x:c>
      <x:c r="AQ2050" t="n">
        <x:f>_xlfn.XLOOKUP($A2050,Games!$A$2:$A$18,Games!$L$2:$L$18,"Missing game",0)</x:f>
        <x:v>31</x:v>
      </x:c>
      <x:c r="AR2050" t="n">
        <x:f>_xlfn.XLOOKUP($A2050,Games!$A$2:$A$18,Games!$M$2:$M$18,"Missing game",0)</x:f>
        <x:v>0</x:v>
      </x:c>
      <x:c r="AS2050" t="str">
        <x:f>_xlfn.XLOOKUP($A2050,Games!$A$2:$A$18,Games!$N$2:$N$18,"Missing game",0)</x:f>
        <x:v>dome</x:v>
      </x:c>
      <x:c r="AT2050" t="str">
        <x:f>_xlfn.XLOOKUP($A2050,Games!$A$2:$A$18,Games!$O$2:$O$18,"Missing game",0)</x:f>
        <x:v>sportturf</x:v>
      </x:c>
      <x:c r="AU2050" t="str">
        <x:f>_xlfn.XLOOKUP($A2050,Games!$A$2:$A$18,Games!$P$2:$P$18,"Missing game",0)</x:f>
      </x:c>
      <x:c r="AV2050" t="str">
        <x:f>_xlfn.XLOOKUP($A2050,Games!$A$2:$A$18,Games!$Q$2:$Q$18,"Missing game",0)</x:f>
      </x:c>
      <x:c r="AW2050" t="str">
        <x:f>_xlfn.XLOOKUP($A2050,Games!$A$2:$A$18,Games!$R$2:$R$18,"Missing game",0)</x:f>
        <x:v>U.S. Bank Stadium</x:v>
      </x:c>
    </x:row>
    <x:row r="2051">
      <x:c r="A2051" t="str">
        <x:v>2025_14_WAS_MIN</x:v>
      </x:c>
      <x:c r="B2051" t="n">
        <x:v>1032</x:v>
      </x:c>
      <x:c r="C2051" t="n">
        <x:v>2</x:v>
      </x:c>
      <x:c r="D2051" t="str">
        <x:v>08:36</x:v>
      </x:c>
      <x:c r="E2051" t="n">
        <x:v>2</x:v>
      </x:c>
      <x:c r="F2051" t="n">
        <x:v>12</x:v>
      </x:c>
      <x:c r="G2051" t="str">
        <x:v>MIN</x:v>
      </x:c>
      <x:c r="H2051" t="str">
        <x:v>WAS</x:v>
      </x:c>
      <x:c r="I2051" t="str">
        <x:v>WAS</x:v>
      </x:c>
      <x:c r="J2051" t="n">
        <x:v>30</x:v>
      </x:c>
      <x:c r="K2051" t="str">
        <x:v>(8:36) 33-A.Jones right end to WAS 30 for no gain (20-Q.Martin).</x:v>
      </x:c>
      <x:c r="L2051" t="str">
        <x:v>run</x:v>
      </x:c>
      <x:c r="M2051" t="n">
        <x:v>0</x:v>
      </x:c>
      <x:c r="N2051" t="n">
        <x:v>0</x:v>
      </x:c>
      <x:c r="O2051" t="n">
        <x:v>0</x:v>
      </x:c>
      <x:c r="P2051"/>
      <x:c r="Q2051"/>
      <x:c r="R2051"/>
      <x:c r="S2051"/>
      <x:c r="T2051" t="str">
        <x:v>right</x:v>
      </x:c>
      <x:c r="U2051" t="str">
        <x:v>end</x:v>
      </x:c>
      <x:c r="V2051" t="n">
        <x:v>0</x:v>
      </x:c>
      <x:c r="W2051" t="n">
        <x:v>0</x:v>
      </x:c>
      <x:c r="X2051" t="n">
        <x:v>0</x:v>
      </x:c>
      <x:c r="Y2051" t="n">
        <x:v>0</x:v>
      </x:c>
      <x:c r="Z2051" t="n">
        <x:v>0</x:v>
      </x:c>
      <x:c r="AA2051" t="n">
        <x:v>0</x:v>
      </x:c>
      <x:c r="AB2051"/>
      <x:c r="AC2051" t="n">
        <x:v>0</x:v>
      </x:c>
      <x:c r="AD2051" t="n">
        <x:v>-0.7340874285437167</x:v>
      </x:c>
      <x:c r="AE2051" t="n">
        <x:v>0</x:v>
      </x:c>
      <x:c r="AF2051" t="n">
        <x:v>-0.01752251386642456</x:v>
      </x:c>
      <x:c r="AG2051" t="n">
        <x:f>_xlfn.XLOOKUP($A2051,Games!$A$2:$A$18,Games!$B$2:$B$18,"Missing game",0)</x:f>
        <x:v>2025</x:v>
      </x:c>
      <x:c r="AH2051" t="str">
        <x:f>_xlfn.XLOOKUP($A2051,Games!$A$2:$A$18,Games!$C$2:$C$18,"Missing game",0)</x:f>
        <x:v>REG</x:v>
      </x:c>
      <x:c r="AI2051" t="n">
        <x:f>_xlfn.XLOOKUP($A2051,Games!$A$2:$A$18,Games!$D$2:$D$18,"Missing game",0)</x:f>
        <x:v>14</x:v>
      </x:c>
      <x:c r="AJ2051" s="1" t="n">
        <x:f>_xlfn.XLOOKUP($A2051,Games!$A$2:$A$18,Games!$E$2:$E$18,"Missing game",0)</x:f>
        <x:v>45998</x:v>
      </x:c>
      <x:c r="AK2051" t="str">
        <x:f>_xlfn.XLOOKUP($A2051,Games!$A$2:$A$18,Games!$F$2:$F$18,"Missing game",0)</x:f>
        <x:v>Sunday</x:v>
      </x:c>
      <x:c r="AL2051" t="str">
        <x:f>_xlfn.XLOOKUP($A2051,Games!$A$2:$A$18,Games!$G$2:$G$18,"Missing game",0)</x:f>
        <x:v>WAS</x:v>
      </x:c>
      <x:c r="AM2051" t="n">
        <x:f>_xlfn.XLOOKUP($A2051,Games!$A$2:$A$18,Games!$H$2:$H$18,"Missing game",0)</x:f>
        <x:v>0</x:v>
      </x:c>
      <x:c r="AN2051" t="str">
        <x:f>_xlfn.XLOOKUP($A2051,Games!$A$2:$A$18,Games!$I$2:$I$18,"Missing game",0)</x:f>
        <x:v>MIN</x:v>
      </x:c>
      <x:c r="AO2051" t="n">
        <x:f>_xlfn.XLOOKUP($A2051,Games!$A$2:$A$18,Games!$J$2:$J$18,"Missing game",0)</x:f>
        <x:v>31</x:v>
      </x:c>
      <x:c r="AP2051" t="n">
        <x:f>_xlfn.XLOOKUP($A2051,Games!$A$2:$A$18,Games!$K$2:$K$18,"Missing game",0)</x:f>
        <x:v>31</x:v>
      </x:c>
      <x:c r="AQ2051" t="n">
        <x:f>_xlfn.XLOOKUP($A2051,Games!$A$2:$A$18,Games!$L$2:$L$18,"Missing game",0)</x:f>
        <x:v>31</x:v>
      </x:c>
      <x:c r="AR2051" t="n">
        <x:f>_xlfn.XLOOKUP($A2051,Games!$A$2:$A$18,Games!$M$2:$M$18,"Missing game",0)</x:f>
        <x:v>0</x:v>
      </x:c>
      <x:c r="AS2051" t="str">
        <x:f>_xlfn.XLOOKUP($A2051,Games!$A$2:$A$18,Games!$N$2:$N$18,"Missing game",0)</x:f>
        <x:v>dome</x:v>
      </x:c>
      <x:c r="AT2051" t="str">
        <x:f>_xlfn.XLOOKUP($A2051,Games!$A$2:$A$18,Games!$O$2:$O$18,"Missing game",0)</x:f>
        <x:v>sportturf</x:v>
      </x:c>
      <x:c r="AU2051" t="str">
        <x:f>_xlfn.XLOOKUP($A2051,Games!$A$2:$A$18,Games!$P$2:$P$18,"Missing game",0)</x:f>
      </x:c>
      <x:c r="AV2051" t="str">
        <x:f>_xlfn.XLOOKUP($A2051,Games!$A$2:$A$18,Games!$Q$2:$Q$18,"Missing game",0)</x:f>
      </x:c>
      <x:c r="AW2051" t="str">
        <x:f>_xlfn.XLOOKUP($A2051,Games!$A$2:$A$18,Games!$R$2:$R$18,"Missing game",0)</x:f>
        <x:v>U.S. Bank Stadium</x:v>
      </x:c>
    </x:row>
    <x:row r="2052">
      <x:c r="A2052" t="str">
        <x:v>2025_14_WAS_MIN</x:v>
      </x:c>
      <x:c r="B2052" t="n">
        <x:v>1054</x:v>
      </x:c>
      <x:c r="C2052" t="n">
        <x:v>2</x:v>
      </x:c>
      <x:c r="D2052" t="str">
        <x:v>07:50</x:v>
      </x:c>
      <x:c r="E2052" t="n">
        <x:v>3</x:v>
      </x:c>
      <x:c r="F2052" t="n">
        <x:v>12</x:v>
      </x:c>
      <x:c r="G2052" t="str">
        <x:v>MIN</x:v>
      </x:c>
      <x:c r="H2052" t="str">
        <x:v>WAS</x:v>
      </x:c>
      <x:c r="I2052" t="str">
        <x:v>WAS</x:v>
      </x:c>
      <x:c r="J2052" t="n">
        <x:v>30</x:v>
      </x:c>
      <x:c r="K2052" t="str">
        <x:v>(7:50) (Shotgun) 9-J.McCarthy pass short middle to 18-J.Jefferson to WAS 17 for 13 yards (54-B.Wagner; 20-Q.Martin).</x:v>
      </x:c>
      <x:c r="L2052" t="str">
        <x:v>pass</x:v>
      </x:c>
      <x:c r="M2052" t="n">
        <x:v>13</x:v>
      </x:c>
      <x:c r="N2052" t="n">
        <x:v>1</x:v>
      </x:c>
      <x:c r="O2052" t="n">
        <x:v>0</x:v>
      </x:c>
      <x:c r="P2052" t="str">
        <x:v>short</x:v>
      </x:c>
      <x:c r="Q2052" t="str">
        <x:v>middle</x:v>
      </x:c>
      <x:c r="R2052" t="n">
        <x:v>1</x:v>
      </x:c>
      <x:c r="S2052" t="n">
        <x:v>12</x:v>
      </x:c>
      <x:c r="T2052"/>
      <x:c r="U2052"/>
      <x:c r="V2052" t="n">
        <x:v>1</x:v>
      </x:c>
      <x:c r="W2052" t="n">
        <x:v>1</x:v>
      </x:c>
      <x:c r="X2052" t="n">
        <x:v>0</x:v>
      </x:c>
      <x:c r="Y2052" t="n">
        <x:v>0</x:v>
      </x:c>
      <x:c r="Z2052" t="n">
        <x:v>0</x:v>
      </x:c>
      <x:c r="AA2052" t="n">
        <x:v>0</x:v>
      </x:c>
      <x:c r="AB2052"/>
      <x:c r="AC2052" t="n">
        <x:v>0</x:v>
      </x:c>
      <x:c r="AD2052" t="n">
        <x:v>2.3341363503132015</x:v>
      </x:c>
      <x:c r="AE2052" t="n">
        <x:v>1</x:v>
      </x:c>
      <x:c r="AF2052" t="n">
        <x:v>0.06417912244796753</x:v>
      </x:c>
      <x:c r="AG2052" t="n">
        <x:f>_xlfn.XLOOKUP($A2052,Games!$A$2:$A$18,Games!$B$2:$B$18,"Missing game",0)</x:f>
        <x:v>2025</x:v>
      </x:c>
      <x:c r="AH2052" t="str">
        <x:f>_xlfn.XLOOKUP($A2052,Games!$A$2:$A$18,Games!$C$2:$C$18,"Missing game",0)</x:f>
        <x:v>REG</x:v>
      </x:c>
      <x:c r="AI2052" t="n">
        <x:f>_xlfn.XLOOKUP($A2052,Games!$A$2:$A$18,Games!$D$2:$D$18,"Missing game",0)</x:f>
        <x:v>14</x:v>
      </x:c>
      <x:c r="AJ2052" s="1" t="n">
        <x:f>_xlfn.XLOOKUP($A2052,Games!$A$2:$A$18,Games!$E$2:$E$18,"Missing game",0)</x:f>
        <x:v>45998</x:v>
      </x:c>
      <x:c r="AK2052" t="str">
        <x:f>_xlfn.XLOOKUP($A2052,Games!$A$2:$A$18,Games!$F$2:$F$18,"Missing game",0)</x:f>
        <x:v>Sunday</x:v>
      </x:c>
      <x:c r="AL2052" t="str">
        <x:f>_xlfn.XLOOKUP($A2052,Games!$A$2:$A$18,Games!$G$2:$G$18,"Missing game",0)</x:f>
        <x:v>WAS</x:v>
      </x:c>
      <x:c r="AM2052" t="n">
        <x:f>_xlfn.XLOOKUP($A2052,Games!$A$2:$A$18,Games!$H$2:$H$18,"Missing game",0)</x:f>
        <x:v>0</x:v>
      </x:c>
      <x:c r="AN2052" t="str">
        <x:f>_xlfn.XLOOKUP($A2052,Games!$A$2:$A$18,Games!$I$2:$I$18,"Missing game",0)</x:f>
        <x:v>MIN</x:v>
      </x:c>
      <x:c r="AO2052" t="n">
        <x:f>_xlfn.XLOOKUP($A2052,Games!$A$2:$A$18,Games!$J$2:$J$18,"Missing game",0)</x:f>
        <x:v>31</x:v>
      </x:c>
      <x:c r="AP2052" t="n">
        <x:f>_xlfn.XLOOKUP($A2052,Games!$A$2:$A$18,Games!$K$2:$K$18,"Missing game",0)</x:f>
        <x:v>31</x:v>
      </x:c>
      <x:c r="AQ2052" t="n">
        <x:f>_xlfn.XLOOKUP($A2052,Games!$A$2:$A$18,Games!$L$2:$L$18,"Missing game",0)</x:f>
        <x:v>31</x:v>
      </x:c>
      <x:c r="AR2052" t="n">
        <x:f>_xlfn.XLOOKUP($A2052,Games!$A$2:$A$18,Games!$M$2:$M$18,"Missing game",0)</x:f>
        <x:v>0</x:v>
      </x:c>
      <x:c r="AS2052" t="str">
        <x:f>_xlfn.XLOOKUP($A2052,Games!$A$2:$A$18,Games!$N$2:$N$18,"Missing game",0)</x:f>
        <x:v>dome</x:v>
      </x:c>
      <x:c r="AT2052" t="str">
        <x:f>_xlfn.XLOOKUP($A2052,Games!$A$2:$A$18,Games!$O$2:$O$18,"Missing game",0)</x:f>
        <x:v>sportturf</x:v>
      </x:c>
      <x:c r="AU2052" t="str">
        <x:f>_xlfn.XLOOKUP($A2052,Games!$A$2:$A$18,Games!$P$2:$P$18,"Missing game",0)</x:f>
      </x:c>
      <x:c r="AV2052" t="str">
        <x:f>_xlfn.XLOOKUP($A2052,Games!$A$2:$A$18,Games!$Q$2:$Q$18,"Missing game",0)</x:f>
      </x:c>
      <x:c r="AW2052" t="str">
        <x:f>_xlfn.XLOOKUP($A2052,Games!$A$2:$A$18,Games!$R$2:$R$18,"Missing game",0)</x:f>
        <x:v>U.S. Bank Stadium</x:v>
      </x:c>
    </x:row>
    <x:row r="2053">
      <x:c r="A2053" t="str">
        <x:v>2025_14_WAS_MIN</x:v>
      </x:c>
      <x:c r="B2053" t="n">
        <x:v>1079</x:v>
      </x:c>
      <x:c r="C2053" t="n">
        <x:v>2</x:v>
      </x:c>
      <x:c r="D2053" t="str">
        <x:v>07:08</x:v>
      </x:c>
      <x:c r="E2053" t="n">
        <x:v>1</x:v>
      </x:c>
      <x:c r="F2053" t="n">
        <x:v>10</x:v>
      </x:c>
      <x:c r="G2053" t="str">
        <x:v>MIN</x:v>
      </x:c>
      <x:c r="H2053" t="str">
        <x:v>WAS</x:v>
      </x:c>
      <x:c r="I2053" t="str">
        <x:v>WAS</x:v>
      </x:c>
      <x:c r="J2053" t="n">
        <x:v>17</x:v>
      </x:c>
      <x:c r="K2053" t="str">
        <x:v>(7:08) 27-J.Mason up the middle to WAS 12 for 5 yards (54-B.Wagner).</x:v>
      </x:c>
      <x:c r="L2053" t="str">
        <x:v>run</x:v>
      </x:c>
      <x:c r="M2053" t="n">
        <x:v>5</x:v>
      </x:c>
      <x:c r="N2053" t="n">
        <x:v>0</x:v>
      </x:c>
      <x:c r="O2053" t="n">
        <x:v>0</x:v>
      </x:c>
      <x:c r="P2053"/>
      <x:c r="Q2053"/>
      <x:c r="R2053"/>
      <x:c r="S2053"/>
      <x:c r="T2053" t="str">
        <x:v>middle</x:v>
      </x:c>
      <x:c r="U2053"/>
      <x:c r="V2053" t="n">
        <x:v>0</x:v>
      </x:c>
      <x:c r="W2053" t="n">
        <x:v>0</x:v>
      </x:c>
      <x:c r="X2053" t="n">
        <x:v>0</x:v>
      </x:c>
      <x:c r="Y2053" t="n">
        <x:v>0</x:v>
      </x:c>
      <x:c r="Z2053" t="n">
        <x:v>0</x:v>
      </x:c>
      <x:c r="AA2053" t="n">
        <x:v>0</x:v>
      </x:c>
      <x:c r="AB2053"/>
      <x:c r="AC2053" t="n">
        <x:v>0</x:v>
      </x:c>
      <x:c r="AD2053" t="n">
        <x:v>0.043658668524585664</x:v>
      </x:c>
      <x:c r="AE2053" t="n">
        <x:v>1</x:v>
      </x:c>
      <x:c r="AF2053" t="n">
        <x:v>-0.0033653974533081055</x:v>
      </x:c>
      <x:c r="AG2053" t="n">
        <x:f>_xlfn.XLOOKUP($A2053,Games!$A$2:$A$18,Games!$B$2:$B$18,"Missing game",0)</x:f>
        <x:v>2025</x:v>
      </x:c>
      <x:c r="AH2053" t="str">
        <x:f>_xlfn.XLOOKUP($A2053,Games!$A$2:$A$18,Games!$C$2:$C$18,"Missing game",0)</x:f>
        <x:v>REG</x:v>
      </x:c>
      <x:c r="AI2053" t="n">
        <x:f>_xlfn.XLOOKUP($A2053,Games!$A$2:$A$18,Games!$D$2:$D$18,"Missing game",0)</x:f>
        <x:v>14</x:v>
      </x:c>
      <x:c r="AJ2053" s="1" t="n">
        <x:f>_xlfn.XLOOKUP($A2053,Games!$A$2:$A$18,Games!$E$2:$E$18,"Missing game",0)</x:f>
        <x:v>45998</x:v>
      </x:c>
      <x:c r="AK2053" t="str">
        <x:f>_xlfn.XLOOKUP($A2053,Games!$A$2:$A$18,Games!$F$2:$F$18,"Missing game",0)</x:f>
        <x:v>Sunday</x:v>
      </x:c>
      <x:c r="AL2053" t="str">
        <x:f>_xlfn.XLOOKUP($A2053,Games!$A$2:$A$18,Games!$G$2:$G$18,"Missing game",0)</x:f>
        <x:v>WAS</x:v>
      </x:c>
      <x:c r="AM2053" t="n">
        <x:f>_xlfn.XLOOKUP($A2053,Games!$A$2:$A$18,Games!$H$2:$H$18,"Missing game",0)</x:f>
        <x:v>0</x:v>
      </x:c>
      <x:c r="AN2053" t="str">
        <x:f>_xlfn.XLOOKUP($A2053,Games!$A$2:$A$18,Games!$I$2:$I$18,"Missing game",0)</x:f>
        <x:v>MIN</x:v>
      </x:c>
      <x:c r="AO2053" t="n">
        <x:f>_xlfn.XLOOKUP($A2053,Games!$A$2:$A$18,Games!$J$2:$J$18,"Missing game",0)</x:f>
        <x:v>31</x:v>
      </x:c>
      <x:c r="AP2053" t="n">
        <x:f>_xlfn.XLOOKUP($A2053,Games!$A$2:$A$18,Games!$K$2:$K$18,"Missing game",0)</x:f>
        <x:v>31</x:v>
      </x:c>
      <x:c r="AQ2053" t="n">
        <x:f>_xlfn.XLOOKUP($A2053,Games!$A$2:$A$18,Games!$L$2:$L$18,"Missing game",0)</x:f>
        <x:v>31</x:v>
      </x:c>
      <x:c r="AR2053" t="n">
        <x:f>_xlfn.XLOOKUP($A2053,Games!$A$2:$A$18,Games!$M$2:$M$18,"Missing game",0)</x:f>
        <x:v>0</x:v>
      </x:c>
      <x:c r="AS2053" t="str">
        <x:f>_xlfn.XLOOKUP($A2053,Games!$A$2:$A$18,Games!$N$2:$N$18,"Missing game",0)</x:f>
        <x:v>dome</x:v>
      </x:c>
      <x:c r="AT2053" t="str">
        <x:f>_xlfn.XLOOKUP($A2053,Games!$A$2:$A$18,Games!$O$2:$O$18,"Missing game",0)</x:f>
        <x:v>sportturf</x:v>
      </x:c>
      <x:c r="AU2053" t="str">
        <x:f>_xlfn.XLOOKUP($A2053,Games!$A$2:$A$18,Games!$P$2:$P$18,"Missing game",0)</x:f>
      </x:c>
      <x:c r="AV2053" t="str">
        <x:f>_xlfn.XLOOKUP($A2053,Games!$A$2:$A$18,Games!$Q$2:$Q$18,"Missing game",0)</x:f>
      </x:c>
      <x:c r="AW2053" t="str">
        <x:f>_xlfn.XLOOKUP($A2053,Games!$A$2:$A$18,Games!$R$2:$R$18,"Missing game",0)</x:f>
        <x:v>U.S. Bank Stadium</x:v>
      </x:c>
    </x:row>
    <x:row r="2054">
      <x:c r="A2054" t="str">
        <x:v>2025_14_WAS_MIN</x:v>
      </x:c>
      <x:c r="B2054" t="n">
        <x:v>1101</x:v>
      </x:c>
      <x:c r="C2054" t="n">
        <x:v>2</x:v>
      </x:c>
      <x:c r="D2054" t="str">
        <x:v>06:29</x:v>
      </x:c>
      <x:c r="E2054" t="n">
        <x:v>2</x:v>
      </x:c>
      <x:c r="F2054" t="n">
        <x:v>5</x:v>
      </x:c>
      <x:c r="G2054" t="str">
        <x:v>MIN</x:v>
      </x:c>
      <x:c r="H2054" t="str">
        <x:v>WAS</x:v>
      </x:c>
      <x:c r="I2054" t="str">
        <x:v>WAS</x:v>
      </x:c>
      <x:c r="J2054" t="n">
        <x:v>12</x:v>
      </x:c>
      <x:c r="K2054" t="str">
        <x:v>(6:29) 27-J.Mason right tackle to WAS 8 for 4 yards (55-J.Martin).</x:v>
      </x:c>
      <x:c r="L2054" t="str">
        <x:v>run</x:v>
      </x:c>
      <x:c r="M2054" t="n">
        <x:v>4</x:v>
      </x:c>
      <x:c r="N2054" t="n">
        <x:v>0</x:v>
      </x:c>
      <x:c r="O2054" t="n">
        <x:v>0</x:v>
      </x:c>
      <x:c r="P2054"/>
      <x:c r="Q2054"/>
      <x:c r="R2054"/>
      <x:c r="S2054"/>
      <x:c r="T2054" t="str">
        <x:v>right</x:v>
      </x:c>
      <x:c r="U2054" t="str">
        <x:v>tackle</x:v>
      </x:c>
      <x:c r="V2054" t="n">
        <x:v>0</x:v>
      </x:c>
      <x:c r="W2054" t="n">
        <x:v>0</x:v>
      </x:c>
      <x:c r="X2054" t="n">
        <x:v>0</x:v>
      </x:c>
      <x:c r="Y2054" t="n">
        <x:v>0</x:v>
      </x:c>
      <x:c r="Z2054" t="n">
        <x:v>0</x:v>
      </x:c>
      <x:c r="AA2054" t="n">
        <x:v>0</x:v>
      </x:c>
      <x:c r="AB2054"/>
      <x:c r="AC2054" t="n">
        <x:v>0</x:v>
      </x:c>
      <x:c r="AD2054" t="n">
        <x:v>0.20020950911566615</x:v>
      </x:c>
      <x:c r="AE2054" t="n">
        <x:v>1</x:v>
      </x:c>
      <x:c r="AF2054" t="n">
        <x:v>0.01986902952194214</x:v>
      </x:c>
      <x:c r="AG2054" t="n">
        <x:f>_xlfn.XLOOKUP($A2054,Games!$A$2:$A$18,Games!$B$2:$B$18,"Missing game",0)</x:f>
        <x:v>2025</x:v>
      </x:c>
      <x:c r="AH2054" t="str">
        <x:f>_xlfn.XLOOKUP($A2054,Games!$A$2:$A$18,Games!$C$2:$C$18,"Missing game",0)</x:f>
        <x:v>REG</x:v>
      </x:c>
      <x:c r="AI2054" t="n">
        <x:f>_xlfn.XLOOKUP($A2054,Games!$A$2:$A$18,Games!$D$2:$D$18,"Missing game",0)</x:f>
        <x:v>14</x:v>
      </x:c>
      <x:c r="AJ2054" s="1" t="n">
        <x:f>_xlfn.XLOOKUP($A2054,Games!$A$2:$A$18,Games!$E$2:$E$18,"Missing game",0)</x:f>
        <x:v>45998</x:v>
      </x:c>
      <x:c r="AK2054" t="str">
        <x:f>_xlfn.XLOOKUP($A2054,Games!$A$2:$A$18,Games!$F$2:$F$18,"Missing game",0)</x:f>
        <x:v>Sunday</x:v>
      </x:c>
      <x:c r="AL2054" t="str">
        <x:f>_xlfn.XLOOKUP($A2054,Games!$A$2:$A$18,Games!$G$2:$G$18,"Missing game",0)</x:f>
        <x:v>WAS</x:v>
      </x:c>
      <x:c r="AM2054" t="n">
        <x:f>_xlfn.XLOOKUP($A2054,Games!$A$2:$A$18,Games!$H$2:$H$18,"Missing game",0)</x:f>
        <x:v>0</x:v>
      </x:c>
      <x:c r="AN2054" t="str">
        <x:f>_xlfn.XLOOKUP($A2054,Games!$A$2:$A$18,Games!$I$2:$I$18,"Missing game",0)</x:f>
        <x:v>MIN</x:v>
      </x:c>
      <x:c r="AO2054" t="n">
        <x:f>_xlfn.XLOOKUP($A2054,Games!$A$2:$A$18,Games!$J$2:$J$18,"Missing game",0)</x:f>
        <x:v>31</x:v>
      </x:c>
      <x:c r="AP2054" t="n">
        <x:f>_xlfn.XLOOKUP($A2054,Games!$A$2:$A$18,Games!$K$2:$K$18,"Missing game",0)</x:f>
        <x:v>31</x:v>
      </x:c>
      <x:c r="AQ2054" t="n">
        <x:f>_xlfn.XLOOKUP($A2054,Games!$A$2:$A$18,Games!$L$2:$L$18,"Missing game",0)</x:f>
        <x:v>31</x:v>
      </x:c>
      <x:c r="AR2054" t="n">
        <x:f>_xlfn.XLOOKUP($A2054,Games!$A$2:$A$18,Games!$M$2:$M$18,"Missing game",0)</x:f>
        <x:v>0</x:v>
      </x:c>
      <x:c r="AS2054" t="str">
        <x:f>_xlfn.XLOOKUP($A2054,Games!$A$2:$A$18,Games!$N$2:$N$18,"Missing game",0)</x:f>
        <x:v>dome</x:v>
      </x:c>
      <x:c r="AT2054" t="str">
        <x:f>_xlfn.XLOOKUP($A2054,Games!$A$2:$A$18,Games!$O$2:$O$18,"Missing game",0)</x:f>
        <x:v>sportturf</x:v>
      </x:c>
      <x:c r="AU2054" t="str">
        <x:f>_xlfn.XLOOKUP($A2054,Games!$A$2:$A$18,Games!$P$2:$P$18,"Missing game",0)</x:f>
      </x:c>
      <x:c r="AV2054" t="str">
        <x:f>_xlfn.XLOOKUP($A2054,Games!$A$2:$A$18,Games!$Q$2:$Q$18,"Missing game",0)</x:f>
      </x:c>
      <x:c r="AW2054" t="str">
        <x:f>_xlfn.XLOOKUP($A2054,Games!$A$2:$A$18,Games!$R$2:$R$18,"Missing game",0)</x:f>
        <x:v>U.S. Bank Stadium</x:v>
      </x:c>
    </x:row>
    <x:row r="2055">
      <x:c r="A2055" t="str">
        <x:v>2025_14_WAS_MIN</x:v>
      </x:c>
      <x:c r="B2055" t="n">
        <x:v>1123</x:v>
      </x:c>
      <x:c r="C2055" t="n">
        <x:v>2</x:v>
      </x:c>
      <x:c r="D2055" t="str">
        <x:v>05:45</x:v>
      </x:c>
      <x:c r="E2055" t="n">
        <x:v>3</x:v>
      </x:c>
      <x:c r="F2055" t="n">
        <x:v>1</x:v>
      </x:c>
      <x:c r="G2055" t="str">
        <x:v>MIN</x:v>
      </x:c>
      <x:c r="H2055" t="str">
        <x:v>WAS</x:v>
      </x:c>
      <x:c r="I2055" t="str">
        <x:v>WAS</x:v>
      </x:c>
      <x:c r="J2055" t="n">
        <x:v>8</x:v>
      </x:c>
      <x:c r="K2055" t="str">
        <x:v>(5:45) 27-J.Mason left end for 8 yards, TOUCHDOWN.</x:v>
      </x:c>
      <x:c r="L2055" t="str">
        <x:v>run</x:v>
      </x:c>
      <x:c r="M2055" t="n">
        <x:v>8</x:v>
      </x:c>
      <x:c r="N2055" t="n">
        <x:v>0</x:v>
      </x:c>
      <x:c r="O2055" t="n">
        <x:v>0</x:v>
      </x:c>
      <x:c r="P2055"/>
      <x:c r="Q2055"/>
      <x:c r="R2055"/>
      <x:c r="S2055"/>
      <x:c r="T2055" t="str">
        <x:v>left</x:v>
      </x:c>
      <x:c r="U2055" t="str">
        <x:v>end</x:v>
      </x:c>
      <x:c r="V2055" t="n">
        <x:v>0</x:v>
      </x:c>
      <x:c r="W2055" t="n">
        <x:v>1</x:v>
      </x:c>
      <x:c r="X2055" t="n">
        <x:v>0</x:v>
      </x:c>
      <x:c r="Y2055" t="n">
        <x:v>0</x:v>
      </x:c>
      <x:c r="Z2055" t="n">
        <x:v>0</x:v>
      </x:c>
      <x:c r="AA2055" t="n">
        <x:v>0</x:v>
      </x:c>
      <x:c r="AB2055"/>
      <x:c r="AC2055" t="n">
        <x:v>1</x:v>
      </x:c>
      <x:c r="AD2055" t="n">
        <x:v>1.8799564379733056</x:v>
      </x:c>
      <x:c r="AE2055" t="n">
        <x:v>1</x:v>
      </x:c>
      <x:c r="AF2055" t="n">
        <x:v>0.006918847091404334</x:v>
      </x:c>
      <x:c r="AG2055" t="n">
        <x:f>_xlfn.XLOOKUP($A2055,Games!$A$2:$A$18,Games!$B$2:$B$18,"Missing game",0)</x:f>
        <x:v>2025</x:v>
      </x:c>
      <x:c r="AH2055" t="str">
        <x:f>_xlfn.XLOOKUP($A2055,Games!$A$2:$A$18,Games!$C$2:$C$18,"Missing game",0)</x:f>
        <x:v>REG</x:v>
      </x:c>
      <x:c r="AI2055" t="n">
        <x:f>_xlfn.XLOOKUP($A2055,Games!$A$2:$A$18,Games!$D$2:$D$18,"Missing game",0)</x:f>
        <x:v>14</x:v>
      </x:c>
      <x:c r="AJ2055" s="1" t="n">
        <x:f>_xlfn.XLOOKUP($A2055,Games!$A$2:$A$18,Games!$E$2:$E$18,"Missing game",0)</x:f>
        <x:v>45998</x:v>
      </x:c>
      <x:c r="AK2055" t="str">
        <x:f>_xlfn.XLOOKUP($A2055,Games!$A$2:$A$18,Games!$F$2:$F$18,"Missing game",0)</x:f>
        <x:v>Sunday</x:v>
      </x:c>
      <x:c r="AL2055" t="str">
        <x:f>_xlfn.XLOOKUP($A2055,Games!$A$2:$A$18,Games!$G$2:$G$18,"Missing game",0)</x:f>
        <x:v>WAS</x:v>
      </x:c>
      <x:c r="AM2055" t="n">
        <x:f>_xlfn.XLOOKUP($A2055,Games!$A$2:$A$18,Games!$H$2:$H$18,"Missing game",0)</x:f>
        <x:v>0</x:v>
      </x:c>
      <x:c r="AN2055" t="str">
        <x:f>_xlfn.XLOOKUP($A2055,Games!$A$2:$A$18,Games!$I$2:$I$18,"Missing game",0)</x:f>
        <x:v>MIN</x:v>
      </x:c>
      <x:c r="AO2055" t="n">
        <x:f>_xlfn.XLOOKUP($A2055,Games!$A$2:$A$18,Games!$J$2:$J$18,"Missing game",0)</x:f>
        <x:v>31</x:v>
      </x:c>
      <x:c r="AP2055" t="n">
        <x:f>_xlfn.XLOOKUP($A2055,Games!$A$2:$A$18,Games!$K$2:$K$18,"Missing game",0)</x:f>
        <x:v>31</x:v>
      </x:c>
      <x:c r="AQ2055" t="n">
        <x:f>_xlfn.XLOOKUP($A2055,Games!$A$2:$A$18,Games!$L$2:$L$18,"Missing game",0)</x:f>
        <x:v>31</x:v>
      </x:c>
      <x:c r="AR2055" t="n">
        <x:f>_xlfn.XLOOKUP($A2055,Games!$A$2:$A$18,Games!$M$2:$M$18,"Missing game",0)</x:f>
        <x:v>0</x:v>
      </x:c>
      <x:c r="AS2055" t="str">
        <x:f>_xlfn.XLOOKUP($A2055,Games!$A$2:$A$18,Games!$N$2:$N$18,"Missing game",0)</x:f>
        <x:v>dome</x:v>
      </x:c>
      <x:c r="AT2055" t="str">
        <x:f>_xlfn.XLOOKUP($A2055,Games!$A$2:$A$18,Games!$O$2:$O$18,"Missing game",0)</x:f>
        <x:v>sportturf</x:v>
      </x:c>
      <x:c r="AU2055" t="str">
        <x:f>_xlfn.XLOOKUP($A2055,Games!$A$2:$A$18,Games!$P$2:$P$18,"Missing game",0)</x:f>
      </x:c>
      <x:c r="AV2055" t="str">
        <x:f>_xlfn.XLOOKUP($A2055,Games!$A$2:$A$18,Games!$Q$2:$Q$18,"Missing game",0)</x:f>
      </x:c>
      <x:c r="AW2055" t="str">
        <x:f>_xlfn.XLOOKUP($A2055,Games!$A$2:$A$18,Games!$R$2:$R$18,"Missing game",0)</x:f>
        <x:v>U.S. Bank Stadium</x:v>
      </x:c>
    </x:row>
    <x:row r="2056">
      <x:c r="A2056" t="str">
        <x:v>2025_14_WAS_MIN</x:v>
      </x:c>
      <x:c r="B2056" t="n">
        <x:v>1146</x:v>
      </x:c>
      <x:c r="C2056" t="n">
        <x:v>2</x:v>
      </x:c>
      <x:c r="D2056" t="str">
        <x:v>05:41</x:v>
      </x:c>
      <x:c r="E2056"/>
      <x:c r="F2056" t="n">
        <x:v>0</x:v>
      </x:c>
      <x:c r="G2056" t="str">
        <x:v>MIN</x:v>
      </x:c>
      <x:c r="H2056" t="str">
        <x:v>WAS</x:v>
      </x:c>
      <x:c r="I2056" t="str">
        <x:v>WAS</x:v>
      </x:c>
      <x:c r="J2056" t="n">
        <x:v>15</x:v>
      </x:c>
      <x:c r="K2056" t="str">
        <x:v>16-W.Reichard extra point is GOOD, Center-42-A.DePaola, Holder-17-R.Wright.</x:v>
      </x:c>
      <x:c r="L2056" t="str">
        <x:v>extra_point</x:v>
      </x:c>
      <x:c r="M2056" t="n">
        <x:v>0</x:v>
      </x:c>
      <x:c r="N2056" t="n">
        <x:v>0</x:v>
      </x:c>
      <x:c r="O2056" t="n">
        <x:v>0</x:v>
      </x:c>
      <x:c r="P2056"/>
      <x:c r="Q2056"/>
      <x:c r="R2056"/>
      <x:c r="S2056"/>
      <x:c r="T2056"/>
      <x:c r="U2056"/>
      <x:c r="V2056" t="n">
        <x:v>0</x:v>
      </x:c>
      <x:c r="W2056" t="n">
        <x:v>0</x:v>
      </x:c>
      <x:c r="X2056" t="n">
        <x:v>0</x:v>
      </x:c>
      <x:c r="Y2056" t="n">
        <x:v>0</x:v>
      </x:c>
      <x:c r="Z2056" t="n">
        <x:v>0</x:v>
      </x:c>
      <x:c r="AA2056" t="n">
        <x:v>0</x:v>
      </x:c>
      <x:c r="AB2056"/>
      <x:c r="AC2056" t="n">
        <x:v>0</x:v>
      </x:c>
      <x:c r="AD2056" t="n">
        <x:v>0.05117156607063911</x:v>
      </x:c>
      <x:c r="AE2056" t="n">
        <x:v>1</x:v>
      </x:c>
      <x:c r="AF2056" t="n">
        <x:v>0.00024522887924538495</x:v>
      </x:c>
      <x:c r="AG2056" t="n">
        <x:f>_xlfn.XLOOKUP($A2056,Games!$A$2:$A$18,Games!$B$2:$B$18,"Missing game",0)</x:f>
        <x:v>2025</x:v>
      </x:c>
      <x:c r="AH2056" t="str">
        <x:f>_xlfn.XLOOKUP($A2056,Games!$A$2:$A$18,Games!$C$2:$C$18,"Missing game",0)</x:f>
        <x:v>REG</x:v>
      </x:c>
      <x:c r="AI2056" t="n">
        <x:f>_xlfn.XLOOKUP($A2056,Games!$A$2:$A$18,Games!$D$2:$D$18,"Missing game",0)</x:f>
        <x:v>14</x:v>
      </x:c>
      <x:c r="AJ2056" s="1" t="n">
        <x:f>_xlfn.XLOOKUP($A2056,Games!$A$2:$A$18,Games!$E$2:$E$18,"Missing game",0)</x:f>
        <x:v>45998</x:v>
      </x:c>
      <x:c r="AK2056" t="str">
        <x:f>_xlfn.XLOOKUP($A2056,Games!$A$2:$A$18,Games!$F$2:$F$18,"Missing game",0)</x:f>
        <x:v>Sunday</x:v>
      </x:c>
      <x:c r="AL2056" t="str">
        <x:f>_xlfn.XLOOKUP($A2056,Games!$A$2:$A$18,Games!$G$2:$G$18,"Missing game",0)</x:f>
        <x:v>WAS</x:v>
      </x:c>
      <x:c r="AM2056" t="n">
        <x:f>_xlfn.XLOOKUP($A2056,Games!$A$2:$A$18,Games!$H$2:$H$18,"Missing game",0)</x:f>
        <x:v>0</x:v>
      </x:c>
      <x:c r="AN2056" t="str">
        <x:f>_xlfn.XLOOKUP($A2056,Games!$A$2:$A$18,Games!$I$2:$I$18,"Missing game",0)</x:f>
        <x:v>MIN</x:v>
      </x:c>
      <x:c r="AO2056" t="n">
        <x:f>_xlfn.XLOOKUP($A2056,Games!$A$2:$A$18,Games!$J$2:$J$18,"Missing game",0)</x:f>
        <x:v>31</x:v>
      </x:c>
      <x:c r="AP2056" t="n">
        <x:f>_xlfn.XLOOKUP($A2056,Games!$A$2:$A$18,Games!$K$2:$K$18,"Missing game",0)</x:f>
        <x:v>31</x:v>
      </x:c>
      <x:c r="AQ2056" t="n">
        <x:f>_xlfn.XLOOKUP($A2056,Games!$A$2:$A$18,Games!$L$2:$L$18,"Missing game",0)</x:f>
        <x:v>31</x:v>
      </x:c>
      <x:c r="AR2056" t="n">
        <x:f>_xlfn.XLOOKUP($A2056,Games!$A$2:$A$18,Games!$M$2:$M$18,"Missing game",0)</x:f>
        <x:v>0</x:v>
      </x:c>
      <x:c r="AS2056" t="str">
        <x:f>_xlfn.XLOOKUP($A2056,Games!$A$2:$A$18,Games!$N$2:$N$18,"Missing game",0)</x:f>
        <x:v>dome</x:v>
      </x:c>
      <x:c r="AT2056" t="str">
        <x:f>_xlfn.XLOOKUP($A2056,Games!$A$2:$A$18,Games!$O$2:$O$18,"Missing game",0)</x:f>
        <x:v>sportturf</x:v>
      </x:c>
      <x:c r="AU2056" t="str">
        <x:f>_xlfn.XLOOKUP($A2056,Games!$A$2:$A$18,Games!$P$2:$P$18,"Missing game",0)</x:f>
      </x:c>
      <x:c r="AV2056" t="str">
        <x:f>_xlfn.XLOOKUP($A2056,Games!$A$2:$A$18,Games!$Q$2:$Q$18,"Missing game",0)</x:f>
      </x:c>
      <x:c r="AW2056" t="str">
        <x:f>_xlfn.XLOOKUP($A2056,Games!$A$2:$A$18,Games!$R$2:$R$18,"Missing game",0)</x:f>
        <x:v>U.S. Bank Stadium</x:v>
      </x:c>
    </x:row>
    <x:row r="2057">
      <x:c r="A2057" t="str">
        <x:v>2025_14_WAS_MIN</x:v>
      </x:c>
      <x:c r="B2057" t="n">
        <x:v>1161</x:v>
      </x:c>
      <x:c r="C2057" t="n">
        <x:v>2</x:v>
      </x:c>
      <x:c r="D2057" t="str">
        <x:v>05:41</x:v>
      </x:c>
      <x:c r="E2057"/>
      <x:c r="F2057" t="n">
        <x:v>0</x:v>
      </x:c>
      <x:c r="G2057" t="str">
        <x:v>WAS</x:v>
      </x:c>
      <x:c r="H2057" t="str">
        <x:v>MIN</x:v>
      </x:c>
      <x:c r="I2057" t="str">
        <x:v>MIN</x:v>
      </x:c>
      <x:c r="J2057" t="n">
        <x:v>35</x:v>
      </x:c>
      <x:c r="K2057" t="str">
        <x:v>16-W.Reichard kicks 60 yards from MIN 35 to WAS 5. 1-D.Samuel to WAS 24 for 19 yards (98-B.Richter).</x:v>
      </x:c>
      <x:c r="L2057" t="str">
        <x:v>kickoff</x:v>
      </x:c>
      <x:c r="M2057" t="n">
        <x:v>0</x:v>
      </x:c>
      <x:c r="N2057" t="n">
        <x:v>0</x:v>
      </x:c>
      <x:c r="O2057" t="n">
        <x:v>0</x:v>
      </x:c>
      <x:c r="P2057"/>
      <x:c r="Q2057"/>
      <x:c r="R2057"/>
      <x:c r="S2057"/>
      <x:c r="T2057"/>
      <x:c r="U2057"/>
      <x:c r="V2057" t="n">
        <x:v>0</x:v>
      </x:c>
      <x:c r="W2057" t="n">
        <x:v>0</x:v>
      </x:c>
      <x:c r="X2057" t="n">
        <x:v>0</x:v>
      </x:c>
      <x:c r="Y2057" t="n">
        <x:v>0</x:v>
      </x:c>
      <x:c r="Z2057" t="n">
        <x:v>0</x:v>
      </x:c>
      <x:c r="AA2057" t="n">
        <x:v>0</x:v>
      </x:c>
      <x:c r="AB2057"/>
      <x:c r="AC2057" t="n">
        <x:v>0</x:v>
      </x:c>
      <x:c r="AD2057" t="n">
        <x:v>-0.1418823031708598</x:v>
      </x:c>
      <x:c r="AE2057" t="n">
        <x:v>0</x:v>
      </x:c>
      <x:c r="AF2057" t="n">
        <x:v>0</x:v>
      </x:c>
      <x:c r="AG2057" t="n">
        <x:f>_xlfn.XLOOKUP($A2057,Games!$A$2:$A$18,Games!$B$2:$B$18,"Missing game",0)</x:f>
        <x:v>2025</x:v>
      </x:c>
      <x:c r="AH2057" t="str">
        <x:f>_xlfn.XLOOKUP($A2057,Games!$A$2:$A$18,Games!$C$2:$C$18,"Missing game",0)</x:f>
        <x:v>REG</x:v>
      </x:c>
      <x:c r="AI2057" t="n">
        <x:f>_xlfn.XLOOKUP($A2057,Games!$A$2:$A$18,Games!$D$2:$D$18,"Missing game",0)</x:f>
        <x:v>14</x:v>
      </x:c>
      <x:c r="AJ2057" s="1" t="n">
        <x:f>_xlfn.XLOOKUP($A2057,Games!$A$2:$A$18,Games!$E$2:$E$18,"Missing game",0)</x:f>
        <x:v>45998</x:v>
      </x:c>
      <x:c r="AK2057" t="str">
        <x:f>_xlfn.XLOOKUP($A2057,Games!$A$2:$A$18,Games!$F$2:$F$18,"Missing game",0)</x:f>
        <x:v>Sunday</x:v>
      </x:c>
      <x:c r="AL2057" t="str">
        <x:f>_xlfn.XLOOKUP($A2057,Games!$A$2:$A$18,Games!$G$2:$G$18,"Missing game",0)</x:f>
        <x:v>WAS</x:v>
      </x:c>
      <x:c r="AM2057" t="n">
        <x:f>_xlfn.XLOOKUP($A2057,Games!$A$2:$A$18,Games!$H$2:$H$18,"Missing game",0)</x:f>
        <x:v>0</x:v>
      </x:c>
      <x:c r="AN2057" t="str">
        <x:f>_xlfn.XLOOKUP($A2057,Games!$A$2:$A$18,Games!$I$2:$I$18,"Missing game",0)</x:f>
        <x:v>MIN</x:v>
      </x:c>
      <x:c r="AO2057" t="n">
        <x:f>_xlfn.XLOOKUP($A2057,Games!$A$2:$A$18,Games!$J$2:$J$18,"Missing game",0)</x:f>
        <x:v>31</x:v>
      </x:c>
      <x:c r="AP2057" t="n">
        <x:f>_xlfn.XLOOKUP($A2057,Games!$A$2:$A$18,Games!$K$2:$K$18,"Missing game",0)</x:f>
        <x:v>31</x:v>
      </x:c>
      <x:c r="AQ2057" t="n">
        <x:f>_xlfn.XLOOKUP($A2057,Games!$A$2:$A$18,Games!$L$2:$L$18,"Missing game",0)</x:f>
        <x:v>31</x:v>
      </x:c>
      <x:c r="AR2057" t="n">
        <x:f>_xlfn.XLOOKUP($A2057,Games!$A$2:$A$18,Games!$M$2:$M$18,"Missing game",0)</x:f>
        <x:v>0</x:v>
      </x:c>
      <x:c r="AS2057" t="str">
        <x:f>_xlfn.XLOOKUP($A2057,Games!$A$2:$A$18,Games!$N$2:$N$18,"Missing game",0)</x:f>
        <x:v>dome</x:v>
      </x:c>
      <x:c r="AT2057" t="str">
        <x:f>_xlfn.XLOOKUP($A2057,Games!$A$2:$A$18,Games!$O$2:$O$18,"Missing game",0)</x:f>
        <x:v>sportturf</x:v>
      </x:c>
      <x:c r="AU2057" t="str">
        <x:f>_xlfn.XLOOKUP($A2057,Games!$A$2:$A$18,Games!$P$2:$P$18,"Missing game",0)</x:f>
      </x:c>
      <x:c r="AV2057" t="str">
        <x:f>_xlfn.XLOOKUP($A2057,Games!$A$2:$A$18,Games!$Q$2:$Q$18,"Missing game",0)</x:f>
      </x:c>
      <x:c r="AW2057" t="str">
        <x:f>_xlfn.XLOOKUP($A2057,Games!$A$2:$A$18,Games!$R$2:$R$18,"Missing game",0)</x:f>
        <x:v>U.S. Bank Stadium</x:v>
      </x:c>
    </x:row>
    <x:row r="2058">
      <x:c r="A2058" t="str">
        <x:v>2025_14_WAS_MIN</x:v>
      </x:c>
      <x:c r="B2058" t="n">
        <x:v>1191</x:v>
      </x:c>
      <x:c r="C2058" t="n">
        <x:v>2</x:v>
      </x:c>
      <x:c r="D2058" t="str">
        <x:v>05:37</x:v>
      </x:c>
      <x:c r="E2058" t="n">
        <x:v>1</x:v>
      </x:c>
      <x:c r="F2058" t="n">
        <x:v>10</x:v>
      </x:c>
      <x:c r="G2058" t="str">
        <x:v>WAS</x:v>
      </x:c>
      <x:c r="H2058" t="str">
        <x:v>MIN</x:v>
      </x:c>
      <x:c r="I2058" t="str">
        <x:v>WAS</x:v>
      </x:c>
      <x:c r="J2058" t="n">
        <x:v>76</x:v>
      </x:c>
      <x:c r="K2058" t="str">
        <x:v>(5:37) (Shotgun) 5-J.Daniels pass incomplete short left to 17-T.McLaurin (43-A.Van Ginkel).</x:v>
      </x:c>
      <x:c r="L2058" t="str">
        <x:v>pass</x:v>
      </x:c>
      <x:c r="M2058" t="n">
        <x:v>0</x:v>
      </x:c>
      <x:c r="N2058" t="n">
        <x:v>1</x:v>
      </x:c>
      <x:c r="O2058" t="n">
        <x:v>0</x:v>
      </x:c>
      <x:c r="P2058" t="str">
        <x:v>short</x:v>
      </x:c>
      <x:c r="Q2058" t="str">
        <x:v>left</x:v>
      </x:c>
      <x:c r="R2058" t="n">
        <x:v>11</x:v>
      </x:c>
      <x:c r="S2058"/>
      <x:c r="T2058"/>
      <x:c r="U2058"/>
      <x:c r="V2058" t="n">
        <x:v>0</x:v>
      </x:c>
      <x:c r="W2058" t="n">
        <x:v>0</x:v>
      </x:c>
      <x:c r="X2058" t="n">
        <x:v>0</x:v>
      </x:c>
      <x:c r="Y2058" t="n">
        <x:v>0</x:v>
      </x:c>
      <x:c r="Z2058" t="n">
        <x:v>0</x:v>
      </x:c>
      <x:c r="AA2058" t="n">
        <x:v>0</x:v>
      </x:c>
      <x:c r="AB2058"/>
      <x:c r="AC2058" t="n">
        <x:v>0</x:v>
      </x:c>
      <x:c r="AD2058" t="n">
        <x:v>-0.5483100130222738</x:v>
      </x:c>
      <x:c r="AE2058" t="n">
        <x:v>0</x:v>
      </x:c>
      <x:c r="AF2058" t="n">
        <x:v>-0.007889971137046814</x:v>
      </x:c>
      <x:c r="AG2058" t="n">
        <x:f>_xlfn.XLOOKUP($A2058,Games!$A$2:$A$18,Games!$B$2:$B$18,"Missing game",0)</x:f>
        <x:v>2025</x:v>
      </x:c>
      <x:c r="AH2058" t="str">
        <x:f>_xlfn.XLOOKUP($A2058,Games!$A$2:$A$18,Games!$C$2:$C$18,"Missing game",0)</x:f>
        <x:v>REG</x:v>
      </x:c>
      <x:c r="AI2058" t="n">
        <x:f>_xlfn.XLOOKUP($A2058,Games!$A$2:$A$18,Games!$D$2:$D$18,"Missing game",0)</x:f>
        <x:v>14</x:v>
      </x:c>
      <x:c r="AJ2058" s="1" t="n">
        <x:f>_xlfn.XLOOKUP($A2058,Games!$A$2:$A$18,Games!$E$2:$E$18,"Missing game",0)</x:f>
        <x:v>45998</x:v>
      </x:c>
      <x:c r="AK2058" t="str">
        <x:f>_xlfn.XLOOKUP($A2058,Games!$A$2:$A$18,Games!$F$2:$F$18,"Missing game",0)</x:f>
        <x:v>Sunday</x:v>
      </x:c>
      <x:c r="AL2058" t="str">
        <x:f>_xlfn.XLOOKUP($A2058,Games!$A$2:$A$18,Games!$G$2:$G$18,"Missing game",0)</x:f>
        <x:v>WAS</x:v>
      </x:c>
      <x:c r="AM2058" t="n">
        <x:f>_xlfn.XLOOKUP($A2058,Games!$A$2:$A$18,Games!$H$2:$H$18,"Missing game",0)</x:f>
        <x:v>0</x:v>
      </x:c>
      <x:c r="AN2058" t="str">
        <x:f>_xlfn.XLOOKUP($A2058,Games!$A$2:$A$18,Games!$I$2:$I$18,"Missing game",0)</x:f>
        <x:v>MIN</x:v>
      </x:c>
      <x:c r="AO2058" t="n">
        <x:f>_xlfn.XLOOKUP($A2058,Games!$A$2:$A$18,Games!$J$2:$J$18,"Missing game",0)</x:f>
        <x:v>31</x:v>
      </x:c>
      <x:c r="AP2058" t="n">
        <x:f>_xlfn.XLOOKUP($A2058,Games!$A$2:$A$18,Games!$K$2:$K$18,"Missing game",0)</x:f>
        <x:v>31</x:v>
      </x:c>
      <x:c r="AQ2058" t="n">
        <x:f>_xlfn.XLOOKUP($A2058,Games!$A$2:$A$18,Games!$L$2:$L$18,"Missing game",0)</x:f>
        <x:v>31</x:v>
      </x:c>
      <x:c r="AR2058" t="n">
        <x:f>_xlfn.XLOOKUP($A2058,Games!$A$2:$A$18,Games!$M$2:$M$18,"Missing game",0)</x:f>
        <x:v>0</x:v>
      </x:c>
      <x:c r="AS2058" t="str">
        <x:f>_xlfn.XLOOKUP($A2058,Games!$A$2:$A$18,Games!$N$2:$N$18,"Missing game",0)</x:f>
        <x:v>dome</x:v>
      </x:c>
      <x:c r="AT2058" t="str">
        <x:f>_xlfn.XLOOKUP($A2058,Games!$A$2:$A$18,Games!$O$2:$O$18,"Missing game",0)</x:f>
        <x:v>sportturf</x:v>
      </x:c>
      <x:c r="AU2058" t="str">
        <x:f>_xlfn.XLOOKUP($A2058,Games!$A$2:$A$18,Games!$P$2:$P$18,"Missing game",0)</x:f>
      </x:c>
      <x:c r="AV2058" t="str">
        <x:f>_xlfn.XLOOKUP($A2058,Games!$A$2:$A$18,Games!$Q$2:$Q$18,"Missing game",0)</x:f>
      </x:c>
      <x:c r="AW2058" t="str">
        <x:f>_xlfn.XLOOKUP($A2058,Games!$A$2:$A$18,Games!$R$2:$R$18,"Missing game",0)</x:f>
        <x:v>U.S. Bank Stadium</x:v>
      </x:c>
    </x:row>
    <x:row r="2059">
      <x:c r="A2059" t="str">
        <x:v>2025_14_WAS_MIN</x:v>
      </x:c>
      <x:c r="B2059" t="n">
        <x:v>1214</x:v>
      </x:c>
      <x:c r="C2059" t="n">
        <x:v>2</x:v>
      </x:c>
      <x:c r="D2059" t="str">
        <x:v>05:33</x:v>
      </x:c>
      <x:c r="E2059" t="n">
        <x:v>2</x:v>
      </x:c>
      <x:c r="F2059" t="n">
        <x:v>10</x:v>
      </x:c>
      <x:c r="G2059" t="str">
        <x:v>WAS</x:v>
      </x:c>
      <x:c r="H2059" t="str">
        <x:v>MIN</x:v>
      </x:c>
      <x:c r="I2059" t="str">
        <x:v>WAS</x:v>
      </x:c>
      <x:c r="J2059" t="n">
        <x:v>76</x:v>
      </x:c>
      <x:c r="K2059" t="str">
        <x:v>(5:33) (No Huddle, Shotgun) 36-C.Rodriguez up the middle to WAS 29 for 5 yards (58-J.Greenard; 97-J.Hargrave).</x:v>
      </x:c>
      <x:c r="L2059" t="str">
        <x:v>run</x:v>
      </x:c>
      <x:c r="M2059" t="n">
        <x:v>5</x:v>
      </x:c>
      <x:c r="N2059" t="n">
        <x:v>1</x:v>
      </x:c>
      <x:c r="O2059" t="n">
        <x:v>1</x:v>
      </x:c>
      <x:c r="P2059"/>
      <x:c r="Q2059"/>
      <x:c r="R2059"/>
      <x:c r="S2059"/>
      <x:c r="T2059" t="str">
        <x:v>middle</x:v>
      </x:c>
      <x:c r="U2059"/>
      <x:c r="V2059" t="n">
        <x:v>0</x:v>
      </x:c>
      <x:c r="W2059" t="n">
        <x:v>0</x:v>
      </x:c>
      <x:c r="X2059" t="n">
        <x:v>0</x:v>
      </x:c>
      <x:c r="Y2059" t="n">
        <x:v>0</x:v>
      </x:c>
      <x:c r="Z2059" t="n">
        <x:v>0</x:v>
      </x:c>
      <x:c r="AA2059" t="n">
        <x:v>0</x:v>
      </x:c>
      <x:c r="AB2059"/>
      <x:c r="AC2059" t="n">
        <x:v>0</x:v>
      </x:c>
      <x:c r="AD2059" t="n">
        <x:v>-0.02910116408020258</x:v>
      </x:c>
      <x:c r="AE2059" t="n">
        <x:v>0</x:v>
      </x:c>
      <x:c r="AF2059" t="n">
        <x:v>-0.008189491927623749</x:v>
      </x:c>
      <x:c r="AG2059" t="n">
        <x:f>_xlfn.XLOOKUP($A2059,Games!$A$2:$A$18,Games!$B$2:$B$18,"Missing game",0)</x:f>
        <x:v>2025</x:v>
      </x:c>
      <x:c r="AH2059" t="str">
        <x:f>_xlfn.XLOOKUP($A2059,Games!$A$2:$A$18,Games!$C$2:$C$18,"Missing game",0)</x:f>
        <x:v>REG</x:v>
      </x:c>
      <x:c r="AI2059" t="n">
        <x:f>_xlfn.XLOOKUP($A2059,Games!$A$2:$A$18,Games!$D$2:$D$18,"Missing game",0)</x:f>
        <x:v>14</x:v>
      </x:c>
      <x:c r="AJ2059" s="1" t="n">
        <x:f>_xlfn.XLOOKUP($A2059,Games!$A$2:$A$18,Games!$E$2:$E$18,"Missing game",0)</x:f>
        <x:v>45998</x:v>
      </x:c>
      <x:c r="AK2059" t="str">
        <x:f>_xlfn.XLOOKUP($A2059,Games!$A$2:$A$18,Games!$F$2:$F$18,"Missing game",0)</x:f>
        <x:v>Sunday</x:v>
      </x:c>
      <x:c r="AL2059" t="str">
        <x:f>_xlfn.XLOOKUP($A2059,Games!$A$2:$A$18,Games!$G$2:$G$18,"Missing game",0)</x:f>
        <x:v>WAS</x:v>
      </x:c>
      <x:c r="AM2059" t="n">
        <x:f>_xlfn.XLOOKUP($A2059,Games!$A$2:$A$18,Games!$H$2:$H$18,"Missing game",0)</x:f>
        <x:v>0</x:v>
      </x:c>
      <x:c r="AN2059" t="str">
        <x:f>_xlfn.XLOOKUP($A2059,Games!$A$2:$A$18,Games!$I$2:$I$18,"Missing game",0)</x:f>
        <x:v>MIN</x:v>
      </x:c>
      <x:c r="AO2059" t="n">
        <x:f>_xlfn.XLOOKUP($A2059,Games!$A$2:$A$18,Games!$J$2:$J$18,"Missing game",0)</x:f>
        <x:v>31</x:v>
      </x:c>
      <x:c r="AP2059" t="n">
        <x:f>_xlfn.XLOOKUP($A2059,Games!$A$2:$A$18,Games!$K$2:$K$18,"Missing game",0)</x:f>
        <x:v>31</x:v>
      </x:c>
      <x:c r="AQ2059" t="n">
        <x:f>_xlfn.XLOOKUP($A2059,Games!$A$2:$A$18,Games!$L$2:$L$18,"Missing game",0)</x:f>
        <x:v>31</x:v>
      </x:c>
      <x:c r="AR2059" t="n">
        <x:f>_xlfn.XLOOKUP($A2059,Games!$A$2:$A$18,Games!$M$2:$M$18,"Missing game",0)</x:f>
        <x:v>0</x:v>
      </x:c>
      <x:c r="AS2059" t="str">
        <x:f>_xlfn.XLOOKUP($A2059,Games!$A$2:$A$18,Games!$N$2:$N$18,"Missing game",0)</x:f>
        <x:v>dome</x:v>
      </x:c>
      <x:c r="AT2059" t="str">
        <x:f>_xlfn.XLOOKUP($A2059,Games!$A$2:$A$18,Games!$O$2:$O$18,"Missing game",0)</x:f>
        <x:v>sportturf</x:v>
      </x:c>
      <x:c r="AU2059" t="str">
        <x:f>_xlfn.XLOOKUP($A2059,Games!$A$2:$A$18,Games!$P$2:$P$18,"Missing game",0)</x:f>
      </x:c>
      <x:c r="AV2059" t="str">
        <x:f>_xlfn.XLOOKUP($A2059,Games!$A$2:$A$18,Games!$Q$2:$Q$18,"Missing game",0)</x:f>
      </x:c>
      <x:c r="AW2059" t="str">
        <x:f>_xlfn.XLOOKUP($A2059,Games!$A$2:$A$18,Games!$R$2:$R$18,"Missing game",0)</x:f>
        <x:v>U.S. Bank Stadium</x:v>
      </x:c>
    </x:row>
    <x:row r="2060">
      <x:c r="A2060" t="str">
        <x:v>2025_14_WAS_MIN</x:v>
      </x:c>
      <x:c r="B2060" t="n">
        <x:v>1236</x:v>
      </x:c>
      <x:c r="C2060" t="n">
        <x:v>2</x:v>
      </x:c>
      <x:c r="D2060" t="str">
        <x:v>04:57</x:v>
      </x:c>
      <x:c r="E2060" t="n">
        <x:v>3</x:v>
      </x:c>
      <x:c r="F2060" t="n">
        <x:v>5</x:v>
      </x:c>
      <x:c r="G2060" t="str">
        <x:v>WAS</x:v>
      </x:c>
      <x:c r="H2060" t="str">
        <x:v>MIN</x:v>
      </x:c>
      <x:c r="I2060" t="str">
        <x:v>WAS</x:v>
      </x:c>
      <x:c r="J2060" t="n">
        <x:v>71</x:v>
      </x:c>
      <x:c r="K2060" t="str">
        <x:v>(4:57) (No Huddle, Shotgun) 5-J.Daniels scrambles right end pushed ob at WAS 33 for 4 yards (22-H.Smith).</x:v>
      </x:c>
      <x:c r="L2060" t="str">
        <x:v>run</x:v>
      </x:c>
      <x:c r="M2060" t="n">
        <x:v>4</x:v>
      </x:c>
      <x:c r="N2060" t="n">
        <x:v>1</x:v>
      </x:c>
      <x:c r="O2060" t="n">
        <x:v>1</x:v>
      </x:c>
      <x:c r="P2060"/>
      <x:c r="Q2060"/>
      <x:c r="R2060"/>
      <x:c r="S2060"/>
      <x:c r="T2060" t="str">
        <x:v>right</x:v>
      </x:c>
      <x:c r="U2060" t="str">
        <x:v>end</x:v>
      </x:c>
      <x:c r="V2060" t="n">
        <x:v>0</x:v>
      </x:c>
      <x:c r="W2060" t="n">
        <x:v>0</x:v>
      </x:c>
      <x:c r="X2060" t="n">
        <x:v>0</x:v>
      </x:c>
      <x:c r="Y2060" t="n">
        <x:v>0</x:v>
      </x:c>
      <x:c r="Z2060" t="n">
        <x:v>0</x:v>
      </x:c>
      <x:c r="AA2060" t="n">
        <x:v>0</x:v>
      </x:c>
      <x:c r="AB2060"/>
      <x:c r="AC2060" t="n">
        <x:v>0</x:v>
      </x:c>
      <x:c r="AD2060" t="n">
        <x:v>-0.6938090750481933</x:v>
      </x:c>
      <x:c r="AE2060" t="n">
        <x:v>0</x:v>
      </x:c>
      <x:c r="AF2060" t="n">
        <x:v>-0.007068894803524017</x:v>
      </x:c>
      <x:c r="AG2060" t="n">
        <x:f>_xlfn.XLOOKUP($A2060,Games!$A$2:$A$18,Games!$B$2:$B$18,"Missing game",0)</x:f>
        <x:v>2025</x:v>
      </x:c>
      <x:c r="AH2060" t="str">
        <x:f>_xlfn.XLOOKUP($A2060,Games!$A$2:$A$18,Games!$C$2:$C$18,"Missing game",0)</x:f>
        <x:v>REG</x:v>
      </x:c>
      <x:c r="AI2060" t="n">
        <x:f>_xlfn.XLOOKUP($A2060,Games!$A$2:$A$18,Games!$D$2:$D$18,"Missing game",0)</x:f>
        <x:v>14</x:v>
      </x:c>
      <x:c r="AJ2060" s="1" t="n">
        <x:f>_xlfn.XLOOKUP($A2060,Games!$A$2:$A$18,Games!$E$2:$E$18,"Missing game",0)</x:f>
        <x:v>45998</x:v>
      </x:c>
      <x:c r="AK2060" t="str">
        <x:f>_xlfn.XLOOKUP($A2060,Games!$A$2:$A$18,Games!$F$2:$F$18,"Missing game",0)</x:f>
        <x:v>Sunday</x:v>
      </x:c>
      <x:c r="AL2060" t="str">
        <x:f>_xlfn.XLOOKUP($A2060,Games!$A$2:$A$18,Games!$G$2:$G$18,"Missing game",0)</x:f>
        <x:v>WAS</x:v>
      </x:c>
      <x:c r="AM2060" t="n">
        <x:f>_xlfn.XLOOKUP($A2060,Games!$A$2:$A$18,Games!$H$2:$H$18,"Missing game",0)</x:f>
        <x:v>0</x:v>
      </x:c>
      <x:c r="AN2060" t="str">
        <x:f>_xlfn.XLOOKUP($A2060,Games!$A$2:$A$18,Games!$I$2:$I$18,"Missing game",0)</x:f>
        <x:v>MIN</x:v>
      </x:c>
      <x:c r="AO2060" t="n">
        <x:f>_xlfn.XLOOKUP($A2060,Games!$A$2:$A$18,Games!$J$2:$J$18,"Missing game",0)</x:f>
        <x:v>31</x:v>
      </x:c>
      <x:c r="AP2060" t="n">
        <x:f>_xlfn.XLOOKUP($A2060,Games!$A$2:$A$18,Games!$K$2:$K$18,"Missing game",0)</x:f>
        <x:v>31</x:v>
      </x:c>
      <x:c r="AQ2060" t="n">
        <x:f>_xlfn.XLOOKUP($A2060,Games!$A$2:$A$18,Games!$L$2:$L$18,"Missing game",0)</x:f>
        <x:v>31</x:v>
      </x:c>
      <x:c r="AR2060" t="n">
        <x:f>_xlfn.XLOOKUP($A2060,Games!$A$2:$A$18,Games!$M$2:$M$18,"Missing game",0)</x:f>
        <x:v>0</x:v>
      </x:c>
      <x:c r="AS2060" t="str">
        <x:f>_xlfn.XLOOKUP($A2060,Games!$A$2:$A$18,Games!$N$2:$N$18,"Missing game",0)</x:f>
        <x:v>dome</x:v>
      </x:c>
      <x:c r="AT2060" t="str">
        <x:f>_xlfn.XLOOKUP($A2060,Games!$A$2:$A$18,Games!$O$2:$O$18,"Missing game",0)</x:f>
        <x:v>sportturf</x:v>
      </x:c>
      <x:c r="AU2060" t="str">
        <x:f>_xlfn.XLOOKUP($A2060,Games!$A$2:$A$18,Games!$P$2:$P$18,"Missing game",0)</x:f>
      </x:c>
      <x:c r="AV2060" t="str">
        <x:f>_xlfn.XLOOKUP($A2060,Games!$A$2:$A$18,Games!$Q$2:$Q$18,"Missing game",0)</x:f>
      </x:c>
      <x:c r="AW2060" t="str">
        <x:f>_xlfn.XLOOKUP($A2060,Games!$A$2:$A$18,Games!$R$2:$R$18,"Missing game",0)</x:f>
        <x:v>U.S. Bank Stadium</x:v>
      </x:c>
    </x:row>
    <x:row r="2061">
      <x:c r="A2061" t="str">
        <x:v>2025_14_WAS_MIN</x:v>
      </x:c>
      <x:c r="B2061" t="n">
        <x:v>1263</x:v>
      </x:c>
      <x:c r="C2061" t="n">
        <x:v>2</x:v>
      </x:c>
      <x:c r="D2061" t="str">
        <x:v>04:25</x:v>
      </x:c>
      <x:c r="E2061" t="n">
        <x:v>4</x:v>
      </x:c>
      <x:c r="F2061" t="n">
        <x:v>1</x:v>
      </x:c>
      <x:c r="G2061" t="str">
        <x:v>WAS</x:v>
      </x:c>
      <x:c r="H2061" t="str">
        <x:v>MIN</x:v>
      </x:c>
      <x:c r="I2061" t="str">
        <x:v>WAS</x:v>
      </x:c>
      <x:c r="J2061" t="n">
        <x:v>67</x:v>
      </x:c>
      <x:c r="K2061" t="str">
        <x:v>(4:25) 10-T.Way punts 46 yards to MIN 21, Center-69-T.Ott, fair catch by 4-M.Price.</x:v>
      </x:c>
      <x:c r="L2061" t="str">
        <x:v>punt</x:v>
      </x:c>
      <x:c r="M2061" t="n">
        <x:v>0</x:v>
      </x:c>
      <x:c r="N2061" t="n">
        <x:v>0</x:v>
      </x:c>
      <x:c r="O2061" t="n">
        <x:v>0</x:v>
      </x:c>
      <x:c r="P2061"/>
      <x:c r="Q2061"/>
      <x:c r="R2061"/>
      <x:c r="S2061"/>
      <x:c r="T2061"/>
      <x:c r="U2061"/>
      <x:c r="V2061" t="n">
        <x:v>0</x:v>
      </x:c>
      <x:c r="W2061" t="n">
        <x:v>0</x:v>
      </x:c>
      <x:c r="X2061" t="n">
        <x:v>0</x:v>
      </x:c>
      <x:c r="Y2061" t="n">
        <x:v>0</x:v>
      </x:c>
      <x:c r="Z2061" t="n">
        <x:v>0</x:v>
      </x:c>
      <x:c r="AA2061" t="n">
        <x:v>0</x:v>
      </x:c>
      <x:c r="AB2061"/>
      <x:c r="AC2061" t="n">
        <x:v>0</x:v>
      </x:c>
      <x:c r="AD2061" t="n">
        <x:v>-0.40180005435831845</x:v>
      </x:c>
      <x:c r="AE2061" t="n">
        <x:v>0</x:v>
      </x:c>
      <x:c r="AF2061" t="n">
        <x:v>-0.012669846415519714</x:v>
      </x:c>
      <x:c r="AG2061" t="n">
        <x:f>_xlfn.XLOOKUP($A2061,Games!$A$2:$A$18,Games!$B$2:$B$18,"Missing game",0)</x:f>
        <x:v>2025</x:v>
      </x:c>
      <x:c r="AH2061" t="str">
        <x:f>_xlfn.XLOOKUP($A2061,Games!$A$2:$A$18,Games!$C$2:$C$18,"Missing game",0)</x:f>
        <x:v>REG</x:v>
      </x:c>
      <x:c r="AI2061" t="n">
        <x:f>_xlfn.XLOOKUP($A2061,Games!$A$2:$A$18,Games!$D$2:$D$18,"Missing game",0)</x:f>
        <x:v>14</x:v>
      </x:c>
      <x:c r="AJ2061" s="1" t="n">
        <x:f>_xlfn.XLOOKUP($A2061,Games!$A$2:$A$18,Games!$E$2:$E$18,"Missing game",0)</x:f>
        <x:v>45998</x:v>
      </x:c>
      <x:c r="AK2061" t="str">
        <x:f>_xlfn.XLOOKUP($A2061,Games!$A$2:$A$18,Games!$F$2:$F$18,"Missing game",0)</x:f>
        <x:v>Sunday</x:v>
      </x:c>
      <x:c r="AL2061" t="str">
        <x:f>_xlfn.XLOOKUP($A2061,Games!$A$2:$A$18,Games!$G$2:$G$18,"Missing game",0)</x:f>
        <x:v>WAS</x:v>
      </x:c>
      <x:c r="AM2061" t="n">
        <x:f>_xlfn.XLOOKUP($A2061,Games!$A$2:$A$18,Games!$H$2:$H$18,"Missing game",0)</x:f>
        <x:v>0</x:v>
      </x:c>
      <x:c r="AN2061" t="str">
        <x:f>_xlfn.XLOOKUP($A2061,Games!$A$2:$A$18,Games!$I$2:$I$18,"Missing game",0)</x:f>
        <x:v>MIN</x:v>
      </x:c>
      <x:c r="AO2061" t="n">
        <x:f>_xlfn.XLOOKUP($A2061,Games!$A$2:$A$18,Games!$J$2:$J$18,"Missing game",0)</x:f>
        <x:v>31</x:v>
      </x:c>
      <x:c r="AP2061" t="n">
        <x:f>_xlfn.XLOOKUP($A2061,Games!$A$2:$A$18,Games!$K$2:$K$18,"Missing game",0)</x:f>
        <x:v>31</x:v>
      </x:c>
      <x:c r="AQ2061" t="n">
        <x:f>_xlfn.XLOOKUP($A2061,Games!$A$2:$A$18,Games!$L$2:$L$18,"Missing game",0)</x:f>
        <x:v>31</x:v>
      </x:c>
      <x:c r="AR2061" t="n">
        <x:f>_xlfn.XLOOKUP($A2061,Games!$A$2:$A$18,Games!$M$2:$M$18,"Missing game",0)</x:f>
        <x:v>0</x:v>
      </x:c>
      <x:c r="AS2061" t="str">
        <x:f>_xlfn.XLOOKUP($A2061,Games!$A$2:$A$18,Games!$N$2:$N$18,"Missing game",0)</x:f>
        <x:v>dome</x:v>
      </x:c>
      <x:c r="AT2061" t="str">
        <x:f>_xlfn.XLOOKUP($A2061,Games!$A$2:$A$18,Games!$O$2:$O$18,"Missing game",0)</x:f>
        <x:v>sportturf</x:v>
      </x:c>
      <x:c r="AU2061" t="str">
        <x:f>_xlfn.XLOOKUP($A2061,Games!$A$2:$A$18,Games!$P$2:$P$18,"Missing game",0)</x:f>
      </x:c>
      <x:c r="AV2061" t="str">
        <x:f>_xlfn.XLOOKUP($A2061,Games!$A$2:$A$18,Games!$Q$2:$Q$18,"Missing game",0)</x:f>
      </x:c>
      <x:c r="AW2061" t="str">
        <x:f>_xlfn.XLOOKUP($A2061,Games!$A$2:$A$18,Games!$R$2:$R$18,"Missing game",0)</x:f>
        <x:v>U.S. Bank Stadium</x:v>
      </x:c>
    </x:row>
    <x:row r="2062">
      <x:c r="A2062" t="str">
        <x:v>2025_14_WAS_MIN</x:v>
      </x:c>
      <x:c r="B2062" t="n">
        <x:v>1292</x:v>
      </x:c>
      <x:c r="C2062" t="n">
        <x:v>2</x:v>
      </x:c>
      <x:c r="D2062" t="str">
        <x:v>04:18</x:v>
      </x:c>
      <x:c r="E2062" t="n">
        <x:v>1</x:v>
      </x:c>
      <x:c r="F2062" t="n">
        <x:v>10</x:v>
      </x:c>
      <x:c r="G2062" t="str">
        <x:v>MIN</x:v>
      </x:c>
      <x:c r="H2062" t="str">
        <x:v>WAS</x:v>
      </x:c>
      <x:c r="I2062" t="str">
        <x:v>MIN</x:v>
      </x:c>
      <x:c r="J2062" t="n">
        <x:v>79</x:v>
      </x:c>
      <x:c r="K2062" t="str">
        <x:v>(4:18) 33-A.Jones right guard to MIN 26 for 5 yards (97-E.Goldman; 52-P.Smith).</x:v>
      </x:c>
      <x:c r="L2062" t="str">
        <x:v>run</x:v>
      </x:c>
      <x:c r="M2062" t="n">
        <x:v>5</x:v>
      </x:c>
      <x:c r="N2062" t="n">
        <x:v>0</x:v>
      </x:c>
      <x:c r="O2062" t="n">
        <x:v>0</x:v>
      </x:c>
      <x:c r="P2062"/>
      <x:c r="Q2062"/>
      <x:c r="R2062"/>
      <x:c r="S2062"/>
      <x:c r="T2062" t="str">
        <x:v>right</x:v>
      </x:c>
      <x:c r="U2062" t="str">
        <x:v>guard</x:v>
      </x:c>
      <x:c r="V2062" t="n">
        <x:v>0</x:v>
      </x:c>
      <x:c r="W2062" t="n">
        <x:v>0</x:v>
      </x:c>
      <x:c r="X2062" t="n">
        <x:v>0</x:v>
      </x:c>
      <x:c r="Y2062" t="n">
        <x:v>0</x:v>
      </x:c>
      <x:c r="Z2062" t="n">
        <x:v>0</x:v>
      </x:c>
      <x:c r="AA2062" t="n">
        <x:v>0</x:v>
      </x:c>
      <x:c r="AB2062"/>
      <x:c r="AC2062" t="n">
        <x:v>0</x:v>
      </x:c>
      <x:c r="AD2062" t="n">
        <x:v>-0.08388921990990639</x:v>
      </x:c>
      <x:c r="AE2062" t="n">
        <x:v>0</x:v>
      </x:c>
      <x:c r="AF2062" t="n">
        <x:v>0.0009461045265197754</x:v>
      </x:c>
      <x:c r="AG2062" t="n">
        <x:f>_xlfn.XLOOKUP($A2062,Games!$A$2:$A$18,Games!$B$2:$B$18,"Missing game",0)</x:f>
        <x:v>2025</x:v>
      </x:c>
      <x:c r="AH2062" t="str">
        <x:f>_xlfn.XLOOKUP($A2062,Games!$A$2:$A$18,Games!$C$2:$C$18,"Missing game",0)</x:f>
        <x:v>REG</x:v>
      </x:c>
      <x:c r="AI2062" t="n">
        <x:f>_xlfn.XLOOKUP($A2062,Games!$A$2:$A$18,Games!$D$2:$D$18,"Missing game",0)</x:f>
        <x:v>14</x:v>
      </x:c>
      <x:c r="AJ2062" s="1" t="n">
        <x:f>_xlfn.XLOOKUP($A2062,Games!$A$2:$A$18,Games!$E$2:$E$18,"Missing game",0)</x:f>
        <x:v>45998</x:v>
      </x:c>
      <x:c r="AK2062" t="str">
        <x:f>_xlfn.XLOOKUP($A2062,Games!$A$2:$A$18,Games!$F$2:$F$18,"Missing game",0)</x:f>
        <x:v>Sunday</x:v>
      </x:c>
      <x:c r="AL2062" t="str">
        <x:f>_xlfn.XLOOKUP($A2062,Games!$A$2:$A$18,Games!$G$2:$G$18,"Missing game",0)</x:f>
        <x:v>WAS</x:v>
      </x:c>
      <x:c r="AM2062" t="n">
        <x:f>_xlfn.XLOOKUP($A2062,Games!$A$2:$A$18,Games!$H$2:$H$18,"Missing game",0)</x:f>
        <x:v>0</x:v>
      </x:c>
      <x:c r="AN2062" t="str">
        <x:f>_xlfn.XLOOKUP($A2062,Games!$A$2:$A$18,Games!$I$2:$I$18,"Missing game",0)</x:f>
        <x:v>MIN</x:v>
      </x:c>
      <x:c r="AO2062" t="n">
        <x:f>_xlfn.XLOOKUP($A2062,Games!$A$2:$A$18,Games!$J$2:$J$18,"Missing game",0)</x:f>
        <x:v>31</x:v>
      </x:c>
      <x:c r="AP2062" t="n">
        <x:f>_xlfn.XLOOKUP($A2062,Games!$A$2:$A$18,Games!$K$2:$K$18,"Missing game",0)</x:f>
        <x:v>31</x:v>
      </x:c>
      <x:c r="AQ2062" t="n">
        <x:f>_xlfn.XLOOKUP($A2062,Games!$A$2:$A$18,Games!$L$2:$L$18,"Missing game",0)</x:f>
        <x:v>31</x:v>
      </x:c>
      <x:c r="AR2062" t="n">
        <x:f>_xlfn.XLOOKUP($A2062,Games!$A$2:$A$18,Games!$M$2:$M$18,"Missing game",0)</x:f>
        <x:v>0</x:v>
      </x:c>
      <x:c r="AS2062" t="str">
        <x:f>_xlfn.XLOOKUP($A2062,Games!$A$2:$A$18,Games!$N$2:$N$18,"Missing game",0)</x:f>
        <x:v>dome</x:v>
      </x:c>
      <x:c r="AT2062" t="str">
        <x:f>_xlfn.XLOOKUP($A2062,Games!$A$2:$A$18,Games!$O$2:$O$18,"Missing game",0)</x:f>
        <x:v>sportturf</x:v>
      </x:c>
      <x:c r="AU2062" t="str">
        <x:f>_xlfn.XLOOKUP($A2062,Games!$A$2:$A$18,Games!$P$2:$P$18,"Missing game",0)</x:f>
      </x:c>
      <x:c r="AV2062" t="str">
        <x:f>_xlfn.XLOOKUP($A2062,Games!$A$2:$A$18,Games!$Q$2:$Q$18,"Missing game",0)</x:f>
      </x:c>
      <x:c r="AW2062" t="str">
        <x:f>_xlfn.XLOOKUP($A2062,Games!$A$2:$A$18,Games!$R$2:$R$18,"Missing game",0)</x:f>
        <x:v>U.S. Bank Stadium</x:v>
      </x:c>
    </x:row>
    <x:row r="2063">
      <x:c r="A2063" t="str">
        <x:v>2025_14_WAS_MIN</x:v>
      </x:c>
      <x:c r="B2063" t="n">
        <x:v>1321</x:v>
      </x:c>
      <x:c r="C2063" t="n">
        <x:v>2</x:v>
      </x:c>
      <x:c r="D2063" t="str">
        <x:v>03:41</x:v>
      </x:c>
      <x:c r="E2063" t="n">
        <x:v>2</x:v>
      </x:c>
      <x:c r="F2063" t="n">
        <x:v>5</x:v>
      </x:c>
      <x:c r="G2063" t="str">
        <x:v>MIN</x:v>
      </x:c>
      <x:c r="H2063" t="str">
        <x:v>WAS</x:v>
      </x:c>
      <x:c r="I2063" t="str">
        <x:v>MIN</x:v>
      </x:c>
      <x:c r="J2063" t="n">
        <x:v>74</x:v>
      </x:c>
      <x:c r="K2063" t="str">
        <x:v>(3:41) 33-A.Jones right tackle to MIN 30 for 4 yards (31-J.Jones; 39-J.Reaves).</x:v>
      </x:c>
      <x:c r="L2063" t="str">
        <x:v>run</x:v>
      </x:c>
      <x:c r="M2063" t="n">
        <x:v>4</x:v>
      </x:c>
      <x:c r="N2063" t="n">
        <x:v>0</x:v>
      </x:c>
      <x:c r="O2063" t="n">
        <x:v>0</x:v>
      </x:c>
      <x:c r="P2063"/>
      <x:c r="Q2063"/>
      <x:c r="R2063"/>
      <x:c r="S2063"/>
      <x:c r="T2063" t="str">
        <x:v>right</x:v>
      </x:c>
      <x:c r="U2063" t="str">
        <x:v>tackle</x:v>
      </x:c>
      <x:c r="V2063" t="n">
        <x:v>0</x:v>
      </x:c>
      <x:c r="W2063" t="n">
        <x:v>0</x:v>
      </x:c>
      <x:c r="X2063" t="n">
        <x:v>0</x:v>
      </x:c>
      <x:c r="Y2063" t="n">
        <x:v>0</x:v>
      </x:c>
      <x:c r="Z2063" t="n">
        <x:v>0</x:v>
      </x:c>
      <x:c r="AA2063" t="n">
        <x:v>0</x:v>
      </x:c>
      <x:c r="AB2063"/>
      <x:c r="AC2063" t="n">
        <x:v>0</x:v>
      </x:c>
      <x:c r="AD2063" t="n">
        <x:v>0.38978870841674507</x:v>
      </x:c>
      <x:c r="AE2063" t="n">
        <x:v>1</x:v>
      </x:c>
      <x:c r="AF2063" t="n">
        <x:v>0.000818789005279541</x:v>
      </x:c>
      <x:c r="AG2063" t="n">
        <x:f>_xlfn.XLOOKUP($A2063,Games!$A$2:$A$18,Games!$B$2:$B$18,"Missing game",0)</x:f>
        <x:v>2025</x:v>
      </x:c>
      <x:c r="AH2063" t="str">
        <x:f>_xlfn.XLOOKUP($A2063,Games!$A$2:$A$18,Games!$C$2:$C$18,"Missing game",0)</x:f>
        <x:v>REG</x:v>
      </x:c>
      <x:c r="AI2063" t="n">
        <x:f>_xlfn.XLOOKUP($A2063,Games!$A$2:$A$18,Games!$D$2:$D$18,"Missing game",0)</x:f>
        <x:v>14</x:v>
      </x:c>
      <x:c r="AJ2063" s="1" t="n">
        <x:f>_xlfn.XLOOKUP($A2063,Games!$A$2:$A$18,Games!$E$2:$E$18,"Missing game",0)</x:f>
        <x:v>45998</x:v>
      </x:c>
      <x:c r="AK2063" t="str">
        <x:f>_xlfn.XLOOKUP($A2063,Games!$A$2:$A$18,Games!$F$2:$F$18,"Missing game",0)</x:f>
        <x:v>Sunday</x:v>
      </x:c>
      <x:c r="AL2063" t="str">
        <x:f>_xlfn.XLOOKUP($A2063,Games!$A$2:$A$18,Games!$G$2:$G$18,"Missing game",0)</x:f>
        <x:v>WAS</x:v>
      </x:c>
      <x:c r="AM2063" t="n">
        <x:f>_xlfn.XLOOKUP($A2063,Games!$A$2:$A$18,Games!$H$2:$H$18,"Missing game",0)</x:f>
        <x:v>0</x:v>
      </x:c>
      <x:c r="AN2063" t="str">
        <x:f>_xlfn.XLOOKUP($A2063,Games!$A$2:$A$18,Games!$I$2:$I$18,"Missing game",0)</x:f>
        <x:v>MIN</x:v>
      </x:c>
      <x:c r="AO2063" t="n">
        <x:f>_xlfn.XLOOKUP($A2063,Games!$A$2:$A$18,Games!$J$2:$J$18,"Missing game",0)</x:f>
        <x:v>31</x:v>
      </x:c>
      <x:c r="AP2063" t="n">
        <x:f>_xlfn.XLOOKUP($A2063,Games!$A$2:$A$18,Games!$K$2:$K$18,"Missing game",0)</x:f>
        <x:v>31</x:v>
      </x:c>
      <x:c r="AQ2063" t="n">
        <x:f>_xlfn.XLOOKUP($A2063,Games!$A$2:$A$18,Games!$L$2:$L$18,"Missing game",0)</x:f>
        <x:v>31</x:v>
      </x:c>
      <x:c r="AR2063" t="n">
        <x:f>_xlfn.XLOOKUP($A2063,Games!$A$2:$A$18,Games!$M$2:$M$18,"Missing game",0)</x:f>
        <x:v>0</x:v>
      </x:c>
      <x:c r="AS2063" t="str">
        <x:f>_xlfn.XLOOKUP($A2063,Games!$A$2:$A$18,Games!$N$2:$N$18,"Missing game",0)</x:f>
        <x:v>dome</x:v>
      </x:c>
      <x:c r="AT2063" t="str">
        <x:f>_xlfn.XLOOKUP($A2063,Games!$A$2:$A$18,Games!$O$2:$O$18,"Missing game",0)</x:f>
        <x:v>sportturf</x:v>
      </x:c>
      <x:c r="AU2063" t="str">
        <x:f>_xlfn.XLOOKUP($A2063,Games!$A$2:$A$18,Games!$P$2:$P$18,"Missing game",0)</x:f>
      </x:c>
      <x:c r="AV2063" t="str">
        <x:f>_xlfn.XLOOKUP($A2063,Games!$A$2:$A$18,Games!$Q$2:$Q$18,"Missing game",0)</x:f>
      </x:c>
      <x:c r="AW2063" t="str">
        <x:f>_xlfn.XLOOKUP($A2063,Games!$A$2:$A$18,Games!$R$2:$R$18,"Missing game",0)</x:f>
        <x:v>U.S. Bank Stadium</x:v>
      </x:c>
    </x:row>
    <x:row r="2064">
      <x:c r="A2064" t="str">
        <x:v>2025_14_WAS_MIN</x:v>
      </x:c>
      <x:c r="B2064" t="n">
        <x:v>1343</x:v>
      </x:c>
      <x:c r="C2064" t="n">
        <x:v>2</x:v>
      </x:c>
      <x:c r="D2064" t="str">
        <x:v>02:56</x:v>
      </x:c>
      <x:c r="E2064" t="n">
        <x:v>3</x:v>
      </x:c>
      <x:c r="F2064" t="n">
        <x:v>1</x:v>
      </x:c>
      <x:c r="G2064" t="str">
        <x:v>MIN</x:v>
      </x:c>
      <x:c r="H2064" t="str">
        <x:v>WAS</x:v>
      </x:c>
      <x:c r="I2064" t="str">
        <x:v>MIN</x:v>
      </x:c>
      <x:c r="J2064" t="n">
        <x:v>70</x:v>
      </x:c>
      <x:c r="K2064" t="str">
        <x:v>(2:56) (Shotgun) 33-A.Jones right guard to MIN 34 for 4 yards (52-P.Smith; 54-B.Wagner).</x:v>
      </x:c>
      <x:c r="L2064" t="str">
        <x:v>run</x:v>
      </x:c>
      <x:c r="M2064" t="n">
        <x:v>4</x:v>
      </x:c>
      <x:c r="N2064" t="n">
        <x:v>1</x:v>
      </x:c>
      <x:c r="O2064" t="n">
        <x:v>0</x:v>
      </x:c>
      <x:c r="P2064"/>
      <x:c r="Q2064"/>
      <x:c r="R2064"/>
      <x:c r="S2064"/>
      <x:c r="T2064" t="str">
        <x:v>right</x:v>
      </x:c>
      <x:c r="U2064" t="str">
        <x:v>guard</x:v>
      </x:c>
      <x:c r="V2064" t="n">
        <x:v>0</x:v>
      </x:c>
      <x:c r="W2064" t="n">
        <x:v>1</x:v>
      </x:c>
      <x:c r="X2064" t="n">
        <x:v>0</x:v>
      </x:c>
      <x:c r="Y2064" t="n">
        <x:v>0</x:v>
      </x:c>
      <x:c r="Z2064" t="n">
        <x:v>0</x:v>
      </x:c>
      <x:c r="AA2064" t="n">
        <x:v>0</x:v>
      </x:c>
      <x:c r="AB2064"/>
      <x:c r="AC2064" t="n">
        <x:v>0</x:v>
      </x:c>
      <x:c r="AD2064" t="n">
        <x:v>0.7120441116858274</x:v>
      </x:c>
      <x:c r="AE2064" t="n">
        <x:v>1</x:v>
      </x:c>
      <x:c r="AF2064" t="n">
        <x:v>0.011776268482208252</x:v>
      </x:c>
      <x:c r="AG2064" t="n">
        <x:f>_xlfn.XLOOKUP($A2064,Games!$A$2:$A$18,Games!$B$2:$B$18,"Missing game",0)</x:f>
        <x:v>2025</x:v>
      </x:c>
      <x:c r="AH2064" t="str">
        <x:f>_xlfn.XLOOKUP($A2064,Games!$A$2:$A$18,Games!$C$2:$C$18,"Missing game",0)</x:f>
        <x:v>REG</x:v>
      </x:c>
      <x:c r="AI2064" t="n">
        <x:f>_xlfn.XLOOKUP($A2064,Games!$A$2:$A$18,Games!$D$2:$D$18,"Missing game",0)</x:f>
        <x:v>14</x:v>
      </x:c>
      <x:c r="AJ2064" s="1" t="n">
        <x:f>_xlfn.XLOOKUP($A2064,Games!$A$2:$A$18,Games!$E$2:$E$18,"Missing game",0)</x:f>
        <x:v>45998</x:v>
      </x:c>
      <x:c r="AK2064" t="str">
        <x:f>_xlfn.XLOOKUP($A2064,Games!$A$2:$A$18,Games!$F$2:$F$18,"Missing game",0)</x:f>
        <x:v>Sunday</x:v>
      </x:c>
      <x:c r="AL2064" t="str">
        <x:f>_xlfn.XLOOKUP($A2064,Games!$A$2:$A$18,Games!$G$2:$G$18,"Missing game",0)</x:f>
        <x:v>WAS</x:v>
      </x:c>
      <x:c r="AM2064" t="n">
        <x:f>_xlfn.XLOOKUP($A2064,Games!$A$2:$A$18,Games!$H$2:$H$18,"Missing game",0)</x:f>
        <x:v>0</x:v>
      </x:c>
      <x:c r="AN2064" t="str">
        <x:f>_xlfn.XLOOKUP($A2064,Games!$A$2:$A$18,Games!$I$2:$I$18,"Missing game",0)</x:f>
        <x:v>MIN</x:v>
      </x:c>
      <x:c r="AO2064" t="n">
        <x:f>_xlfn.XLOOKUP($A2064,Games!$A$2:$A$18,Games!$J$2:$J$18,"Missing game",0)</x:f>
        <x:v>31</x:v>
      </x:c>
      <x:c r="AP2064" t="n">
        <x:f>_xlfn.XLOOKUP($A2064,Games!$A$2:$A$18,Games!$K$2:$K$18,"Missing game",0)</x:f>
        <x:v>31</x:v>
      </x:c>
      <x:c r="AQ2064" t="n">
        <x:f>_xlfn.XLOOKUP($A2064,Games!$A$2:$A$18,Games!$L$2:$L$18,"Missing game",0)</x:f>
        <x:v>31</x:v>
      </x:c>
      <x:c r="AR2064" t="n">
        <x:f>_xlfn.XLOOKUP($A2064,Games!$A$2:$A$18,Games!$M$2:$M$18,"Missing game",0)</x:f>
        <x:v>0</x:v>
      </x:c>
      <x:c r="AS2064" t="str">
        <x:f>_xlfn.XLOOKUP($A2064,Games!$A$2:$A$18,Games!$N$2:$N$18,"Missing game",0)</x:f>
        <x:v>dome</x:v>
      </x:c>
      <x:c r="AT2064" t="str">
        <x:f>_xlfn.XLOOKUP($A2064,Games!$A$2:$A$18,Games!$O$2:$O$18,"Missing game",0)</x:f>
        <x:v>sportturf</x:v>
      </x:c>
      <x:c r="AU2064" t="str">
        <x:f>_xlfn.XLOOKUP($A2064,Games!$A$2:$A$18,Games!$P$2:$P$18,"Missing game",0)</x:f>
      </x:c>
      <x:c r="AV2064" t="str">
        <x:f>_xlfn.XLOOKUP($A2064,Games!$A$2:$A$18,Games!$Q$2:$Q$18,"Missing game",0)</x:f>
      </x:c>
      <x:c r="AW2064" t="str">
        <x:f>_xlfn.XLOOKUP($A2064,Games!$A$2:$A$18,Games!$R$2:$R$18,"Missing game",0)</x:f>
        <x:v>U.S. Bank Stadium</x:v>
      </x:c>
    </x:row>
    <x:row r="2065">
      <x:c r="A2065" t="str">
        <x:v>2025_14_WAS_MIN</x:v>
      </x:c>
      <x:c r="B2065" t="n">
        <x:v>1365</x:v>
      </x:c>
      <x:c r="C2065" t="n">
        <x:v>2</x:v>
      </x:c>
      <x:c r="D2065" t="str">
        <x:v>02:20</x:v>
      </x:c>
      <x:c r="E2065" t="n">
        <x:v>1</x:v>
      </x:c>
      <x:c r="F2065" t="n">
        <x:v>10</x:v>
      </x:c>
      <x:c r="G2065" t="str">
        <x:v>MIN</x:v>
      </x:c>
      <x:c r="H2065" t="str">
        <x:v>WAS</x:v>
      </x:c>
      <x:c r="I2065" t="str">
        <x:v>MIN</x:v>
      </x:c>
      <x:c r="J2065" t="n">
        <x:v>66</x:v>
      </x:c>
      <x:c r="K2065" t="str">
        <x:v>(2:20) (Shotgun) 33-A.Jones up the middle to MIN 38 for 4 yards (24-V.Miller).</x:v>
      </x:c>
      <x:c r="L2065" t="str">
        <x:v>run</x:v>
      </x:c>
      <x:c r="M2065" t="n">
        <x:v>4</x:v>
      </x:c>
      <x:c r="N2065" t="n">
        <x:v>1</x:v>
      </x:c>
      <x:c r="O2065" t="n">
        <x:v>0</x:v>
      </x:c>
      <x:c r="P2065"/>
      <x:c r="Q2065"/>
      <x:c r="R2065"/>
      <x:c r="S2065"/>
      <x:c r="T2065" t="str">
        <x:v>middle</x:v>
      </x:c>
      <x:c r="U2065"/>
      <x:c r="V2065" t="n">
        <x:v>0</x:v>
      </x:c>
      <x:c r="W2065" t="n">
        <x:v>0</x:v>
      </x:c>
      <x:c r="X2065" t="n">
        <x:v>0</x:v>
      </x:c>
      <x:c r="Y2065" t="n">
        <x:v>0</x:v>
      </x:c>
      <x:c r="Z2065" t="n">
        <x:v>0</x:v>
      </x:c>
      <x:c r="AA2065" t="n">
        <x:v>0</x:v>
      </x:c>
      <x:c r="AB2065"/>
      <x:c r="AC2065" t="n">
        <x:v>0</x:v>
      </x:c>
      <x:c r="AD2065" t="n">
        <x:v>-0.38064143958035856</x:v>
      </x:c>
      <x:c r="AE2065" t="n">
        <x:v>0</x:v>
      </x:c>
      <x:c r="AF2065" t="n">
        <x:v>0.0057888031005859375</x:v>
      </x:c>
      <x:c r="AG2065" t="n">
        <x:f>_xlfn.XLOOKUP($A2065,Games!$A$2:$A$18,Games!$B$2:$B$18,"Missing game",0)</x:f>
        <x:v>2025</x:v>
      </x:c>
      <x:c r="AH2065" t="str">
        <x:f>_xlfn.XLOOKUP($A2065,Games!$A$2:$A$18,Games!$C$2:$C$18,"Missing game",0)</x:f>
        <x:v>REG</x:v>
      </x:c>
      <x:c r="AI2065" t="n">
        <x:f>_xlfn.XLOOKUP($A2065,Games!$A$2:$A$18,Games!$D$2:$D$18,"Missing game",0)</x:f>
        <x:v>14</x:v>
      </x:c>
      <x:c r="AJ2065" s="1" t="n">
        <x:f>_xlfn.XLOOKUP($A2065,Games!$A$2:$A$18,Games!$E$2:$E$18,"Missing game",0)</x:f>
        <x:v>45998</x:v>
      </x:c>
      <x:c r="AK2065" t="str">
        <x:f>_xlfn.XLOOKUP($A2065,Games!$A$2:$A$18,Games!$F$2:$F$18,"Missing game",0)</x:f>
        <x:v>Sunday</x:v>
      </x:c>
      <x:c r="AL2065" t="str">
        <x:f>_xlfn.XLOOKUP($A2065,Games!$A$2:$A$18,Games!$G$2:$G$18,"Missing game",0)</x:f>
        <x:v>WAS</x:v>
      </x:c>
      <x:c r="AM2065" t="n">
        <x:f>_xlfn.XLOOKUP($A2065,Games!$A$2:$A$18,Games!$H$2:$H$18,"Missing game",0)</x:f>
        <x:v>0</x:v>
      </x:c>
      <x:c r="AN2065" t="str">
        <x:f>_xlfn.XLOOKUP($A2065,Games!$A$2:$A$18,Games!$I$2:$I$18,"Missing game",0)</x:f>
        <x:v>MIN</x:v>
      </x:c>
      <x:c r="AO2065" t="n">
        <x:f>_xlfn.XLOOKUP($A2065,Games!$A$2:$A$18,Games!$J$2:$J$18,"Missing game",0)</x:f>
        <x:v>31</x:v>
      </x:c>
      <x:c r="AP2065" t="n">
        <x:f>_xlfn.XLOOKUP($A2065,Games!$A$2:$A$18,Games!$K$2:$K$18,"Missing game",0)</x:f>
        <x:v>31</x:v>
      </x:c>
      <x:c r="AQ2065" t="n">
        <x:f>_xlfn.XLOOKUP($A2065,Games!$A$2:$A$18,Games!$L$2:$L$18,"Missing game",0)</x:f>
        <x:v>31</x:v>
      </x:c>
      <x:c r="AR2065" t="n">
        <x:f>_xlfn.XLOOKUP($A2065,Games!$A$2:$A$18,Games!$M$2:$M$18,"Missing game",0)</x:f>
        <x:v>0</x:v>
      </x:c>
      <x:c r="AS2065" t="str">
        <x:f>_xlfn.XLOOKUP($A2065,Games!$A$2:$A$18,Games!$N$2:$N$18,"Missing game",0)</x:f>
        <x:v>dome</x:v>
      </x:c>
      <x:c r="AT2065" t="str">
        <x:f>_xlfn.XLOOKUP($A2065,Games!$A$2:$A$18,Games!$O$2:$O$18,"Missing game",0)</x:f>
        <x:v>sportturf</x:v>
      </x:c>
      <x:c r="AU2065" t="str">
        <x:f>_xlfn.XLOOKUP($A2065,Games!$A$2:$A$18,Games!$P$2:$P$18,"Missing game",0)</x:f>
      </x:c>
      <x:c r="AV2065" t="str">
        <x:f>_xlfn.XLOOKUP($A2065,Games!$A$2:$A$18,Games!$Q$2:$Q$18,"Missing game",0)</x:f>
      </x:c>
      <x:c r="AW2065" t="str">
        <x:f>_xlfn.XLOOKUP($A2065,Games!$A$2:$A$18,Games!$R$2:$R$18,"Missing game",0)</x:f>
        <x:v>U.S. Bank Stadium</x:v>
      </x:c>
    </x:row>
    <x:row r="2066">
      <x:c r="A2066" t="str">
        <x:v>2025_14_WAS_MIN</x:v>
      </x:c>
      <x:c r="B2066" t="n">
        <x:v>1387</x:v>
      </x:c>
      <x:c r="C2066" t="n">
        <x:v>2</x:v>
      </x:c>
      <x:c r="D2066" t="str">
        <x:v>02:00</x:v>
      </x:c>
      <x:c r="E2066" t="n">
        <x:v>2</x:v>
      </x:c>
      <x:c r="F2066" t="n">
        <x:v>6</x:v>
      </x:c>
      <x:c r="G2066" t="str">
        <x:v>MIN</x:v>
      </x:c>
      <x:c r="H2066" t="str">
        <x:v>WAS</x:v>
      </x:c>
      <x:c r="I2066" t="str">
        <x:v>MIN</x:v>
      </x:c>
      <x:c r="J2066" t="n">
        <x:v>62</x:v>
      </x:c>
      <x:c r="K2066" t="str">
        <x:v>(2:00) (Shotgun) PENALTY on MIN-71-C.Darrisaw, False Start, 5 yards, enforced at MIN 38 - No Play.</x:v>
      </x:c>
      <x:c r="L2066" t="str">
        <x:v>no_play</x:v>
      </x:c>
      <x:c r="M2066" t="n">
        <x:v>0</x:v>
      </x:c>
      <x:c r="N2066" t="n">
        <x:v>1</x:v>
      </x:c>
      <x:c r="O2066" t="n">
        <x:v>0</x:v>
      </x:c>
      <x:c r="P2066"/>
      <x:c r="Q2066"/>
      <x:c r="R2066"/>
      <x:c r="S2066"/>
      <x:c r="T2066"/>
      <x:c r="U2066"/>
      <x:c r="V2066" t="n">
        <x:v>0</x:v>
      </x:c>
      <x:c r="W2066" t="n">
        <x:v>0</x:v>
      </x:c>
      <x:c r="X2066" t="n">
        <x:v>0</x:v>
      </x:c>
      <x:c r="Y2066" t="n">
        <x:v>0</x:v>
      </x:c>
      <x:c r="Z2066" t="n">
        <x:v>0</x:v>
      </x:c>
      <x:c r="AA2066" t="n">
        <x:v>1</x:v>
      </x:c>
      <x:c r="AB2066" t="n">
        <x:v>5</x:v>
      </x:c>
      <x:c r="AC2066" t="n">
        <x:v>0</x:v>
      </x:c>
      <x:c r="AD2066" t="n">
        <x:v>-0.28223350492771715</x:v>
      </x:c>
      <x:c r="AE2066" t="n">
        <x:v>0</x:v>
      </x:c>
      <x:c r="AF2066" t="n">
        <x:v>-0.01706761121749878</x:v>
      </x:c>
      <x:c r="AG2066" t="n">
        <x:f>_xlfn.XLOOKUP($A2066,Games!$A$2:$A$18,Games!$B$2:$B$18,"Missing game",0)</x:f>
        <x:v>2025</x:v>
      </x:c>
      <x:c r="AH2066" t="str">
        <x:f>_xlfn.XLOOKUP($A2066,Games!$A$2:$A$18,Games!$C$2:$C$18,"Missing game",0)</x:f>
        <x:v>REG</x:v>
      </x:c>
      <x:c r="AI2066" t="n">
        <x:f>_xlfn.XLOOKUP($A2066,Games!$A$2:$A$18,Games!$D$2:$D$18,"Missing game",0)</x:f>
        <x:v>14</x:v>
      </x:c>
      <x:c r="AJ2066" s="1" t="n">
        <x:f>_xlfn.XLOOKUP($A2066,Games!$A$2:$A$18,Games!$E$2:$E$18,"Missing game",0)</x:f>
        <x:v>45998</x:v>
      </x:c>
      <x:c r="AK2066" t="str">
        <x:f>_xlfn.XLOOKUP($A2066,Games!$A$2:$A$18,Games!$F$2:$F$18,"Missing game",0)</x:f>
        <x:v>Sunday</x:v>
      </x:c>
      <x:c r="AL2066" t="str">
        <x:f>_xlfn.XLOOKUP($A2066,Games!$A$2:$A$18,Games!$G$2:$G$18,"Missing game",0)</x:f>
        <x:v>WAS</x:v>
      </x:c>
      <x:c r="AM2066" t="n">
        <x:f>_xlfn.XLOOKUP($A2066,Games!$A$2:$A$18,Games!$H$2:$H$18,"Missing game",0)</x:f>
        <x:v>0</x:v>
      </x:c>
      <x:c r="AN2066" t="str">
        <x:f>_xlfn.XLOOKUP($A2066,Games!$A$2:$A$18,Games!$I$2:$I$18,"Missing game",0)</x:f>
        <x:v>MIN</x:v>
      </x:c>
      <x:c r="AO2066" t="n">
        <x:f>_xlfn.XLOOKUP($A2066,Games!$A$2:$A$18,Games!$J$2:$J$18,"Missing game",0)</x:f>
        <x:v>31</x:v>
      </x:c>
      <x:c r="AP2066" t="n">
        <x:f>_xlfn.XLOOKUP($A2066,Games!$A$2:$A$18,Games!$K$2:$K$18,"Missing game",0)</x:f>
        <x:v>31</x:v>
      </x:c>
      <x:c r="AQ2066" t="n">
        <x:f>_xlfn.XLOOKUP($A2066,Games!$A$2:$A$18,Games!$L$2:$L$18,"Missing game",0)</x:f>
        <x:v>31</x:v>
      </x:c>
      <x:c r="AR2066" t="n">
        <x:f>_xlfn.XLOOKUP($A2066,Games!$A$2:$A$18,Games!$M$2:$M$18,"Missing game",0)</x:f>
        <x:v>0</x:v>
      </x:c>
      <x:c r="AS2066" t="str">
        <x:f>_xlfn.XLOOKUP($A2066,Games!$A$2:$A$18,Games!$N$2:$N$18,"Missing game",0)</x:f>
        <x:v>dome</x:v>
      </x:c>
      <x:c r="AT2066" t="str">
        <x:f>_xlfn.XLOOKUP($A2066,Games!$A$2:$A$18,Games!$O$2:$O$18,"Missing game",0)</x:f>
        <x:v>sportturf</x:v>
      </x:c>
      <x:c r="AU2066" t="str">
        <x:f>_xlfn.XLOOKUP($A2066,Games!$A$2:$A$18,Games!$P$2:$P$18,"Missing game",0)</x:f>
      </x:c>
      <x:c r="AV2066" t="str">
        <x:f>_xlfn.XLOOKUP($A2066,Games!$A$2:$A$18,Games!$Q$2:$Q$18,"Missing game",0)</x:f>
      </x:c>
      <x:c r="AW2066" t="str">
        <x:f>_xlfn.XLOOKUP($A2066,Games!$A$2:$A$18,Games!$R$2:$R$18,"Missing game",0)</x:f>
        <x:v>U.S. Bank Stadium</x:v>
      </x:c>
    </x:row>
    <x:row r="2067">
      <x:c r="A2067" t="str">
        <x:v>2025_14_WAS_MIN</x:v>
      </x:c>
      <x:c r="B2067" t="n">
        <x:v>1418</x:v>
      </x:c>
      <x:c r="C2067" t="n">
        <x:v>2</x:v>
      </x:c>
      <x:c r="D2067" t="str">
        <x:v>02:00</x:v>
      </x:c>
      <x:c r="E2067" t="n">
        <x:v>2</x:v>
      </x:c>
      <x:c r="F2067" t="n">
        <x:v>11</x:v>
      </x:c>
      <x:c r="G2067" t="str">
        <x:v>MIN</x:v>
      </x:c>
      <x:c r="H2067" t="str">
        <x:v>WAS</x:v>
      </x:c>
      <x:c r="I2067" t="str">
        <x:v>MIN</x:v>
      </x:c>
      <x:c r="J2067" t="n">
        <x:v>67</x:v>
      </x:c>
      <x:c r="K2067" t="str">
        <x:v>(2:00) (Shotgun) 9-J.McCarthy pass incomplete short left to 33-A.Jones (4-F.Luvu).</x:v>
      </x:c>
      <x:c r="L2067" t="str">
        <x:v>pass</x:v>
      </x:c>
      <x:c r="M2067" t="n">
        <x:v>0</x:v>
      </x:c>
      <x:c r="N2067" t="n">
        <x:v>1</x:v>
      </x:c>
      <x:c r="O2067" t="n">
        <x:v>0</x:v>
      </x:c>
      <x:c r="P2067" t="str">
        <x:v>short</x:v>
      </x:c>
      <x:c r="Q2067" t="str">
        <x:v>left</x:v>
      </x:c>
      <x:c r="R2067" t="n">
        <x:v>-7</x:v>
      </x:c>
      <x:c r="S2067"/>
      <x:c r="T2067"/>
      <x:c r="U2067"/>
      <x:c r="V2067" t="n">
        <x:v>0</x:v>
      </x:c>
      <x:c r="W2067" t="n">
        <x:v>0</x:v>
      </x:c>
      <x:c r="X2067" t="n">
        <x:v>0</x:v>
      </x:c>
      <x:c r="Y2067" t="n">
        <x:v>0</x:v>
      </x:c>
      <x:c r="Z2067" t="n">
        <x:v>0</x:v>
      </x:c>
      <x:c r="AA2067" t="n">
        <x:v>0</x:v>
      </x:c>
      <x:c r="AB2067"/>
      <x:c r="AC2067" t="n">
        <x:v>0</x:v>
      </x:c>
      <x:c r="AD2067" t="n">
        <x:v>-0.543326186016202</x:v>
      </x:c>
      <x:c r="AE2067" t="n">
        <x:v>0</x:v>
      </x:c>
      <x:c r="AF2067" t="n">
        <x:v>-0.010173201560974121</x:v>
      </x:c>
      <x:c r="AG2067" t="n">
        <x:f>_xlfn.XLOOKUP($A2067,Games!$A$2:$A$18,Games!$B$2:$B$18,"Missing game",0)</x:f>
        <x:v>2025</x:v>
      </x:c>
      <x:c r="AH2067" t="str">
        <x:f>_xlfn.XLOOKUP($A2067,Games!$A$2:$A$18,Games!$C$2:$C$18,"Missing game",0)</x:f>
        <x:v>REG</x:v>
      </x:c>
      <x:c r="AI2067" t="n">
        <x:f>_xlfn.XLOOKUP($A2067,Games!$A$2:$A$18,Games!$D$2:$D$18,"Missing game",0)</x:f>
        <x:v>14</x:v>
      </x:c>
      <x:c r="AJ2067" s="1" t="n">
        <x:f>_xlfn.XLOOKUP($A2067,Games!$A$2:$A$18,Games!$E$2:$E$18,"Missing game",0)</x:f>
        <x:v>45998</x:v>
      </x:c>
      <x:c r="AK2067" t="str">
        <x:f>_xlfn.XLOOKUP($A2067,Games!$A$2:$A$18,Games!$F$2:$F$18,"Missing game",0)</x:f>
        <x:v>Sunday</x:v>
      </x:c>
      <x:c r="AL2067" t="str">
        <x:f>_xlfn.XLOOKUP($A2067,Games!$A$2:$A$18,Games!$G$2:$G$18,"Missing game",0)</x:f>
        <x:v>WAS</x:v>
      </x:c>
      <x:c r="AM2067" t="n">
        <x:f>_xlfn.XLOOKUP($A2067,Games!$A$2:$A$18,Games!$H$2:$H$18,"Missing game",0)</x:f>
        <x:v>0</x:v>
      </x:c>
      <x:c r="AN2067" t="str">
        <x:f>_xlfn.XLOOKUP($A2067,Games!$A$2:$A$18,Games!$I$2:$I$18,"Missing game",0)</x:f>
        <x:v>MIN</x:v>
      </x:c>
      <x:c r="AO2067" t="n">
        <x:f>_xlfn.XLOOKUP($A2067,Games!$A$2:$A$18,Games!$J$2:$J$18,"Missing game",0)</x:f>
        <x:v>31</x:v>
      </x:c>
      <x:c r="AP2067" t="n">
        <x:f>_xlfn.XLOOKUP($A2067,Games!$A$2:$A$18,Games!$K$2:$K$18,"Missing game",0)</x:f>
        <x:v>31</x:v>
      </x:c>
      <x:c r="AQ2067" t="n">
        <x:f>_xlfn.XLOOKUP($A2067,Games!$A$2:$A$18,Games!$L$2:$L$18,"Missing game",0)</x:f>
        <x:v>31</x:v>
      </x:c>
      <x:c r="AR2067" t="n">
        <x:f>_xlfn.XLOOKUP($A2067,Games!$A$2:$A$18,Games!$M$2:$M$18,"Missing game",0)</x:f>
        <x:v>0</x:v>
      </x:c>
      <x:c r="AS2067" t="str">
        <x:f>_xlfn.XLOOKUP($A2067,Games!$A$2:$A$18,Games!$N$2:$N$18,"Missing game",0)</x:f>
        <x:v>dome</x:v>
      </x:c>
      <x:c r="AT2067" t="str">
        <x:f>_xlfn.XLOOKUP($A2067,Games!$A$2:$A$18,Games!$O$2:$O$18,"Missing game",0)</x:f>
        <x:v>sportturf</x:v>
      </x:c>
      <x:c r="AU2067" t="str">
        <x:f>_xlfn.XLOOKUP($A2067,Games!$A$2:$A$18,Games!$P$2:$P$18,"Missing game",0)</x:f>
      </x:c>
      <x:c r="AV2067" t="str">
        <x:f>_xlfn.XLOOKUP($A2067,Games!$A$2:$A$18,Games!$Q$2:$Q$18,"Missing game",0)</x:f>
      </x:c>
      <x:c r="AW2067" t="str">
        <x:f>_xlfn.XLOOKUP($A2067,Games!$A$2:$A$18,Games!$R$2:$R$18,"Missing game",0)</x:f>
        <x:v>U.S. Bank Stadium</x:v>
      </x:c>
    </x:row>
    <x:row r="2068">
      <x:c r="A2068" t="str">
        <x:v>2025_14_WAS_MIN</x:v>
      </x:c>
      <x:c r="B2068" t="n">
        <x:v>1441</x:v>
      </x:c>
      <x:c r="C2068" t="n">
        <x:v>2</x:v>
      </x:c>
      <x:c r="D2068" t="str">
        <x:v>01:57</x:v>
      </x:c>
      <x:c r="E2068" t="n">
        <x:v>3</x:v>
      </x:c>
      <x:c r="F2068" t="n">
        <x:v>11</x:v>
      </x:c>
      <x:c r="G2068" t="str">
        <x:v>MIN</x:v>
      </x:c>
      <x:c r="H2068" t="str">
        <x:v>WAS</x:v>
      </x:c>
      <x:c r="I2068" t="str">
        <x:v>MIN</x:v>
      </x:c>
      <x:c r="J2068" t="n">
        <x:v>67</x:v>
      </x:c>
      <x:c r="K2068" t="str">
        <x:v>(1:57) (Shotgun) 9-J.McCarthy sacked at MIN 24 for -9 yards (24-V.Miller).</x:v>
      </x:c>
      <x:c r="L2068" t="str">
        <x:v>pass</x:v>
      </x:c>
      <x:c r="M2068" t="n">
        <x:v>-9</x:v>
      </x:c>
      <x:c r="N2068" t="n">
        <x:v>1</x:v>
      </x:c>
      <x:c r="O2068" t="n">
        <x:v>0</x:v>
      </x:c>
      <x:c r="P2068"/>
      <x:c r="Q2068"/>
      <x:c r="R2068"/>
      <x:c r="S2068"/>
      <x:c r="T2068"/>
      <x:c r="U2068"/>
      <x:c r="V2068" t="n">
        <x:v>0</x:v>
      </x:c>
      <x:c r="W2068" t="n">
        <x:v>0</x:v>
      </x:c>
      <x:c r="X2068" t="n">
        <x:v>1</x:v>
      </x:c>
      <x:c r="Y2068" t="n">
        <x:v>0</x:v>
      </x:c>
      <x:c r="Z2068" t="n">
        <x:v>0</x:v>
      </x:c>
      <x:c r="AA2068" t="n">
        <x:v>0</x:v>
      </x:c>
      <x:c r="AB2068"/>
      <x:c r="AC2068" t="n">
        <x:v>0</x:v>
      </x:c>
      <x:c r="AD2068" t="n">
        <x:v>-1.7410981026478112</x:v>
      </x:c>
      <x:c r="AE2068" t="n">
        <x:v>0</x:v>
      </x:c>
      <x:c r="AF2068" t="n">
        <x:v>-0.02337116003036499</x:v>
      </x:c>
      <x:c r="AG2068" t="n">
        <x:f>_xlfn.XLOOKUP($A2068,Games!$A$2:$A$18,Games!$B$2:$B$18,"Missing game",0)</x:f>
        <x:v>2025</x:v>
      </x:c>
      <x:c r="AH2068" t="str">
        <x:f>_xlfn.XLOOKUP($A2068,Games!$A$2:$A$18,Games!$C$2:$C$18,"Missing game",0)</x:f>
        <x:v>REG</x:v>
      </x:c>
      <x:c r="AI2068" t="n">
        <x:f>_xlfn.XLOOKUP($A2068,Games!$A$2:$A$18,Games!$D$2:$D$18,"Missing game",0)</x:f>
        <x:v>14</x:v>
      </x:c>
      <x:c r="AJ2068" s="1" t="n">
        <x:f>_xlfn.XLOOKUP($A2068,Games!$A$2:$A$18,Games!$E$2:$E$18,"Missing game",0)</x:f>
        <x:v>45998</x:v>
      </x:c>
      <x:c r="AK2068" t="str">
        <x:f>_xlfn.XLOOKUP($A2068,Games!$A$2:$A$18,Games!$F$2:$F$18,"Missing game",0)</x:f>
        <x:v>Sunday</x:v>
      </x:c>
      <x:c r="AL2068" t="str">
        <x:f>_xlfn.XLOOKUP($A2068,Games!$A$2:$A$18,Games!$G$2:$G$18,"Missing game",0)</x:f>
        <x:v>WAS</x:v>
      </x:c>
      <x:c r="AM2068" t="n">
        <x:f>_xlfn.XLOOKUP($A2068,Games!$A$2:$A$18,Games!$H$2:$H$18,"Missing game",0)</x:f>
        <x:v>0</x:v>
      </x:c>
      <x:c r="AN2068" t="str">
        <x:f>_xlfn.XLOOKUP($A2068,Games!$A$2:$A$18,Games!$I$2:$I$18,"Missing game",0)</x:f>
        <x:v>MIN</x:v>
      </x:c>
      <x:c r="AO2068" t="n">
        <x:f>_xlfn.XLOOKUP($A2068,Games!$A$2:$A$18,Games!$J$2:$J$18,"Missing game",0)</x:f>
        <x:v>31</x:v>
      </x:c>
      <x:c r="AP2068" t="n">
        <x:f>_xlfn.XLOOKUP($A2068,Games!$A$2:$A$18,Games!$K$2:$K$18,"Missing game",0)</x:f>
        <x:v>31</x:v>
      </x:c>
      <x:c r="AQ2068" t="n">
        <x:f>_xlfn.XLOOKUP($A2068,Games!$A$2:$A$18,Games!$L$2:$L$18,"Missing game",0)</x:f>
        <x:v>31</x:v>
      </x:c>
      <x:c r="AR2068" t="n">
        <x:f>_xlfn.XLOOKUP($A2068,Games!$A$2:$A$18,Games!$M$2:$M$18,"Missing game",0)</x:f>
        <x:v>0</x:v>
      </x:c>
      <x:c r="AS2068" t="str">
        <x:f>_xlfn.XLOOKUP($A2068,Games!$A$2:$A$18,Games!$N$2:$N$18,"Missing game",0)</x:f>
        <x:v>dome</x:v>
      </x:c>
      <x:c r="AT2068" t="str">
        <x:f>_xlfn.XLOOKUP($A2068,Games!$A$2:$A$18,Games!$O$2:$O$18,"Missing game",0)</x:f>
        <x:v>sportturf</x:v>
      </x:c>
      <x:c r="AU2068" t="str">
        <x:f>_xlfn.XLOOKUP($A2068,Games!$A$2:$A$18,Games!$P$2:$P$18,"Missing game",0)</x:f>
      </x:c>
      <x:c r="AV2068" t="str">
        <x:f>_xlfn.XLOOKUP($A2068,Games!$A$2:$A$18,Games!$Q$2:$Q$18,"Missing game",0)</x:f>
      </x:c>
      <x:c r="AW2068" t="str">
        <x:f>_xlfn.XLOOKUP($A2068,Games!$A$2:$A$18,Games!$R$2:$R$18,"Missing game",0)</x:f>
        <x:v>U.S. Bank Stadium</x:v>
      </x:c>
    </x:row>
    <x:row r="2069">
      <x:c r="A2069" t="str">
        <x:v>2025_14_WAS_MIN</x:v>
      </x:c>
      <x:c r="B2069" t="n">
        <x:v>1461</x:v>
      </x:c>
      <x:c r="C2069" t="n">
        <x:v>2</x:v>
      </x:c>
      <x:c r="D2069" t="str">
        <x:v>01:51</x:v>
      </x:c>
      <x:c r="E2069" t="n">
        <x:v>4</x:v>
      </x:c>
      <x:c r="F2069" t="n">
        <x:v>20</x:v>
      </x:c>
      <x:c r="G2069" t="str">
        <x:v>MIN</x:v>
      </x:c>
      <x:c r="H2069" t="str">
        <x:v>WAS</x:v>
      </x:c>
      <x:c r="I2069" t="str">
        <x:v>MIN</x:v>
      </x:c>
      <x:c r="J2069" t="n">
        <x:v>76</x:v>
      </x:c>
      <x:c r="K2069" t="str">
        <x:v>(1:51) 17-R.Wright punts 43 yards to WAS 33, Center-42-A.DePaola, fair catch by 83-J.Lane.</x:v>
      </x:c>
      <x:c r="L2069" t="str">
        <x:v>punt</x:v>
      </x:c>
      <x:c r="M2069" t="n">
        <x:v>0</x:v>
      </x:c>
      <x:c r="N2069" t="n">
        <x:v>0</x:v>
      </x:c>
      <x:c r="O2069" t="n">
        <x:v>0</x:v>
      </x:c>
      <x:c r="P2069"/>
      <x:c r="Q2069"/>
      <x:c r="R2069"/>
      <x:c r="S2069"/>
      <x:c r="T2069"/>
      <x:c r="U2069"/>
      <x:c r="V2069" t="n">
        <x:v>0</x:v>
      </x:c>
      <x:c r="W2069" t="n">
        <x:v>0</x:v>
      </x:c>
      <x:c r="X2069" t="n">
        <x:v>0</x:v>
      </x:c>
      <x:c r="Y2069" t="n">
        <x:v>0</x:v>
      </x:c>
      <x:c r="Z2069" t="n">
        <x:v>0</x:v>
      </x:c>
      <x:c r="AA2069" t="n">
        <x:v>0</x:v>
      </x:c>
      <x:c r="AB2069"/>
      <x:c r="AC2069" t="n">
        <x:v>0</x:v>
      </x:c>
      <x:c r="AD2069" t="n">
        <x:v>-0.2875593891367316</x:v>
      </x:c>
      <x:c r="AE2069" t="n">
        <x:v>0</x:v>
      </x:c>
      <x:c r="AF2069" t="n">
        <x:v>0.009765438735485077</x:v>
      </x:c>
      <x:c r="AG2069" t="n">
        <x:f>_xlfn.XLOOKUP($A2069,Games!$A$2:$A$18,Games!$B$2:$B$18,"Missing game",0)</x:f>
        <x:v>2025</x:v>
      </x:c>
      <x:c r="AH2069" t="str">
        <x:f>_xlfn.XLOOKUP($A2069,Games!$A$2:$A$18,Games!$C$2:$C$18,"Missing game",0)</x:f>
        <x:v>REG</x:v>
      </x:c>
      <x:c r="AI2069" t="n">
        <x:f>_xlfn.XLOOKUP($A2069,Games!$A$2:$A$18,Games!$D$2:$D$18,"Missing game",0)</x:f>
        <x:v>14</x:v>
      </x:c>
      <x:c r="AJ2069" s="1" t="n">
        <x:f>_xlfn.XLOOKUP($A2069,Games!$A$2:$A$18,Games!$E$2:$E$18,"Missing game",0)</x:f>
        <x:v>45998</x:v>
      </x:c>
      <x:c r="AK2069" t="str">
        <x:f>_xlfn.XLOOKUP($A2069,Games!$A$2:$A$18,Games!$F$2:$F$18,"Missing game",0)</x:f>
        <x:v>Sunday</x:v>
      </x:c>
      <x:c r="AL2069" t="str">
        <x:f>_xlfn.XLOOKUP($A2069,Games!$A$2:$A$18,Games!$G$2:$G$18,"Missing game",0)</x:f>
        <x:v>WAS</x:v>
      </x:c>
      <x:c r="AM2069" t="n">
        <x:f>_xlfn.XLOOKUP($A2069,Games!$A$2:$A$18,Games!$H$2:$H$18,"Missing game",0)</x:f>
        <x:v>0</x:v>
      </x:c>
      <x:c r="AN2069" t="str">
        <x:f>_xlfn.XLOOKUP($A2069,Games!$A$2:$A$18,Games!$I$2:$I$18,"Missing game",0)</x:f>
        <x:v>MIN</x:v>
      </x:c>
      <x:c r="AO2069" t="n">
        <x:f>_xlfn.XLOOKUP($A2069,Games!$A$2:$A$18,Games!$J$2:$J$18,"Missing game",0)</x:f>
        <x:v>31</x:v>
      </x:c>
      <x:c r="AP2069" t="n">
        <x:f>_xlfn.XLOOKUP($A2069,Games!$A$2:$A$18,Games!$K$2:$K$18,"Missing game",0)</x:f>
        <x:v>31</x:v>
      </x:c>
      <x:c r="AQ2069" t="n">
        <x:f>_xlfn.XLOOKUP($A2069,Games!$A$2:$A$18,Games!$L$2:$L$18,"Missing game",0)</x:f>
        <x:v>31</x:v>
      </x:c>
      <x:c r="AR2069" t="n">
        <x:f>_xlfn.XLOOKUP($A2069,Games!$A$2:$A$18,Games!$M$2:$M$18,"Missing game",0)</x:f>
        <x:v>0</x:v>
      </x:c>
      <x:c r="AS2069" t="str">
        <x:f>_xlfn.XLOOKUP($A2069,Games!$A$2:$A$18,Games!$N$2:$N$18,"Missing game",0)</x:f>
        <x:v>dome</x:v>
      </x:c>
      <x:c r="AT2069" t="str">
        <x:f>_xlfn.XLOOKUP($A2069,Games!$A$2:$A$18,Games!$O$2:$O$18,"Missing game",0)</x:f>
        <x:v>sportturf</x:v>
      </x:c>
      <x:c r="AU2069" t="str">
        <x:f>_xlfn.XLOOKUP($A2069,Games!$A$2:$A$18,Games!$P$2:$P$18,"Missing game",0)</x:f>
      </x:c>
      <x:c r="AV2069" t="str">
        <x:f>_xlfn.XLOOKUP($A2069,Games!$A$2:$A$18,Games!$Q$2:$Q$18,"Missing game",0)</x:f>
      </x:c>
      <x:c r="AW2069" t="str">
        <x:f>_xlfn.XLOOKUP($A2069,Games!$A$2:$A$18,Games!$R$2:$R$18,"Missing game",0)</x:f>
        <x:v>U.S. Bank Stadium</x:v>
      </x:c>
    </x:row>
    <x:row r="2070">
      <x:c r="A2070" t="str">
        <x:v>2025_14_WAS_MIN</x:v>
      </x:c>
      <x:c r="B2070" t="n">
        <x:v>1473</x:v>
      </x:c>
      <x:c r="C2070" t="n">
        <x:v>2</x:v>
      </x:c>
      <x:c r="D2070" t="str">
        <x:v>01:51</x:v>
      </x:c>
      <x:c r="E2070"/>
      <x:c r="F2070" t="n">
        <x:v>0</x:v>
      </x:c>
      <x:c r="G2070"/>
      <x:c r="H2070"/>
      <x:c r="I2070"/>
      <x:c r="J2070"/>
      <x:c r="K2070" t="str">
        <x:v>Timeout #1 by WAS at 01:51.</x:v>
      </x:c>
      <x:c r="L2070" t="str">
        <x:v>no_play</x:v>
      </x:c>
      <x:c r="M2070" t="n">
        <x:v>0</x:v>
      </x:c>
      <x:c r="N2070" t="n">
        <x:v>0</x:v>
      </x:c>
      <x:c r="O2070" t="n">
        <x:v>0</x:v>
      </x:c>
      <x:c r="P2070"/>
      <x:c r="Q2070"/>
      <x:c r="R2070"/>
      <x:c r="S2070"/>
      <x:c r="T2070"/>
      <x:c r="U2070"/>
      <x:c r="V2070" t="n">
        <x:v>0</x:v>
      </x:c>
      <x:c r="W2070" t="n">
        <x:v>0</x:v>
      </x:c>
      <x:c r="X2070" t="n">
        <x:v>0</x:v>
      </x:c>
      <x:c r="Y2070" t="n">
        <x:v>0</x:v>
      </x:c>
      <x:c r="Z2070" t="n">
        <x:v>0</x:v>
      </x:c>
      <x:c r="AA2070" t="n">
        <x:v>0</x:v>
      </x:c>
      <x:c r="AB2070"/>
      <x:c r="AC2070" t="n">
        <x:v>0</x:v>
      </x:c>
      <x:c r="AD2070" t="n">
        <x:v>0</x:v>
      </x:c>
      <x:c r="AE2070" t="n">
        <x:v>0</x:v>
      </x:c>
      <x:c r="AF2070" t="n">
        <x:v>0</x:v>
      </x:c>
      <x:c r="AG2070" t="n">
        <x:f>_xlfn.XLOOKUP($A2070,Games!$A$2:$A$18,Games!$B$2:$B$18,"Missing game",0)</x:f>
        <x:v>2025</x:v>
      </x:c>
      <x:c r="AH2070" t="str">
        <x:f>_xlfn.XLOOKUP($A2070,Games!$A$2:$A$18,Games!$C$2:$C$18,"Missing game",0)</x:f>
        <x:v>REG</x:v>
      </x:c>
      <x:c r="AI2070" t="n">
        <x:f>_xlfn.XLOOKUP($A2070,Games!$A$2:$A$18,Games!$D$2:$D$18,"Missing game",0)</x:f>
        <x:v>14</x:v>
      </x:c>
      <x:c r="AJ2070" s="1" t="n">
        <x:f>_xlfn.XLOOKUP($A2070,Games!$A$2:$A$18,Games!$E$2:$E$18,"Missing game",0)</x:f>
        <x:v>45998</x:v>
      </x:c>
      <x:c r="AK2070" t="str">
        <x:f>_xlfn.XLOOKUP($A2070,Games!$A$2:$A$18,Games!$F$2:$F$18,"Missing game",0)</x:f>
        <x:v>Sunday</x:v>
      </x:c>
      <x:c r="AL2070" t="str">
        <x:f>_xlfn.XLOOKUP($A2070,Games!$A$2:$A$18,Games!$G$2:$G$18,"Missing game",0)</x:f>
        <x:v>WAS</x:v>
      </x:c>
      <x:c r="AM2070" t="n">
        <x:f>_xlfn.XLOOKUP($A2070,Games!$A$2:$A$18,Games!$H$2:$H$18,"Missing game",0)</x:f>
        <x:v>0</x:v>
      </x:c>
      <x:c r="AN2070" t="str">
        <x:f>_xlfn.XLOOKUP($A2070,Games!$A$2:$A$18,Games!$I$2:$I$18,"Missing game",0)</x:f>
        <x:v>MIN</x:v>
      </x:c>
      <x:c r="AO2070" t="n">
        <x:f>_xlfn.XLOOKUP($A2070,Games!$A$2:$A$18,Games!$J$2:$J$18,"Missing game",0)</x:f>
        <x:v>31</x:v>
      </x:c>
      <x:c r="AP2070" t="n">
        <x:f>_xlfn.XLOOKUP($A2070,Games!$A$2:$A$18,Games!$K$2:$K$18,"Missing game",0)</x:f>
        <x:v>31</x:v>
      </x:c>
      <x:c r="AQ2070" t="n">
        <x:f>_xlfn.XLOOKUP($A2070,Games!$A$2:$A$18,Games!$L$2:$L$18,"Missing game",0)</x:f>
        <x:v>31</x:v>
      </x:c>
      <x:c r="AR2070" t="n">
        <x:f>_xlfn.XLOOKUP($A2070,Games!$A$2:$A$18,Games!$M$2:$M$18,"Missing game",0)</x:f>
        <x:v>0</x:v>
      </x:c>
      <x:c r="AS2070" t="str">
        <x:f>_xlfn.XLOOKUP($A2070,Games!$A$2:$A$18,Games!$N$2:$N$18,"Missing game",0)</x:f>
        <x:v>dome</x:v>
      </x:c>
      <x:c r="AT2070" t="str">
        <x:f>_xlfn.XLOOKUP($A2070,Games!$A$2:$A$18,Games!$O$2:$O$18,"Missing game",0)</x:f>
        <x:v>sportturf</x:v>
      </x:c>
      <x:c r="AU2070" t="str">
        <x:f>_xlfn.XLOOKUP($A2070,Games!$A$2:$A$18,Games!$P$2:$P$18,"Missing game",0)</x:f>
      </x:c>
      <x:c r="AV2070" t="str">
        <x:f>_xlfn.XLOOKUP($A2070,Games!$A$2:$A$18,Games!$Q$2:$Q$18,"Missing game",0)</x:f>
      </x:c>
      <x:c r="AW2070" t="str">
        <x:f>_xlfn.XLOOKUP($A2070,Games!$A$2:$A$18,Games!$R$2:$R$18,"Missing game",0)</x:f>
        <x:v>U.S. Bank Stadium</x:v>
      </x:c>
    </x:row>
    <x:row r="2071">
      <x:c r="A2071" t="str">
        <x:v>2025_14_WAS_MIN</x:v>
      </x:c>
      <x:c r="B2071" t="n">
        <x:v>1488</x:v>
      </x:c>
      <x:c r="C2071" t="n">
        <x:v>2</x:v>
      </x:c>
      <x:c r="D2071" t="str">
        <x:v>01:45</x:v>
      </x:c>
      <x:c r="E2071" t="n">
        <x:v>1</x:v>
      </x:c>
      <x:c r="F2071" t="n">
        <x:v>10</x:v>
      </x:c>
      <x:c r="G2071" t="str">
        <x:v>WAS</x:v>
      </x:c>
      <x:c r="H2071" t="str">
        <x:v>MIN</x:v>
      </x:c>
      <x:c r="I2071" t="str">
        <x:v>WAS</x:v>
      </x:c>
      <x:c r="J2071" t="n">
        <x:v>67</x:v>
      </x:c>
      <x:c r="K2071" t="str">
        <x:v>(1:45) (Shotgun) 5-J.Daniels pass short left to 17-T.McLaurin pushed ob at WAS 39 for 6 yards (23-F.Moreau).</x:v>
      </x:c>
      <x:c r="L2071" t="str">
        <x:v>pass</x:v>
      </x:c>
      <x:c r="M2071" t="n">
        <x:v>6</x:v>
      </x:c>
      <x:c r="N2071" t="n">
        <x:v>1</x:v>
      </x:c>
      <x:c r="O2071" t="n">
        <x:v>0</x:v>
      </x:c>
      <x:c r="P2071" t="str">
        <x:v>short</x:v>
      </x:c>
      <x:c r="Q2071" t="str">
        <x:v>left</x:v>
      </x:c>
      <x:c r="R2071" t="n">
        <x:v>6</x:v>
      </x:c>
      <x:c r="S2071" t="n">
        <x:v>0</x:v>
      </x:c>
      <x:c r="T2071"/>
      <x:c r="U2071"/>
      <x:c r="V2071" t="n">
        <x:v>1</x:v>
      </x:c>
      <x:c r="W2071" t="n">
        <x:v>0</x:v>
      </x:c>
      <x:c r="X2071" t="n">
        <x:v>0</x:v>
      </x:c>
      <x:c r="Y2071" t="n">
        <x:v>0</x:v>
      </x:c>
      <x:c r="Z2071" t="n">
        <x:v>0</x:v>
      </x:c>
      <x:c r="AA2071" t="n">
        <x:v>0</x:v>
      </x:c>
      <x:c r="AB2071"/>
      <x:c r="AC2071" t="n">
        <x:v>0</x:v>
      </x:c>
      <x:c r="AD2071" t="n">
        <x:v>0.07596856215968728</x:v>
      </x:c>
      <x:c r="AE2071" t="n">
        <x:v>1</x:v>
      </x:c>
      <x:c r="AF2071" t="n">
        <x:v>0.0002210959792137146</x:v>
      </x:c>
      <x:c r="AG2071" t="n">
        <x:f>_xlfn.XLOOKUP($A2071,Games!$A$2:$A$18,Games!$B$2:$B$18,"Missing game",0)</x:f>
        <x:v>2025</x:v>
      </x:c>
      <x:c r="AH2071" t="str">
        <x:f>_xlfn.XLOOKUP($A2071,Games!$A$2:$A$18,Games!$C$2:$C$18,"Missing game",0)</x:f>
        <x:v>REG</x:v>
      </x:c>
      <x:c r="AI2071" t="n">
        <x:f>_xlfn.XLOOKUP($A2071,Games!$A$2:$A$18,Games!$D$2:$D$18,"Missing game",0)</x:f>
        <x:v>14</x:v>
      </x:c>
      <x:c r="AJ2071" s="1" t="n">
        <x:f>_xlfn.XLOOKUP($A2071,Games!$A$2:$A$18,Games!$E$2:$E$18,"Missing game",0)</x:f>
        <x:v>45998</x:v>
      </x:c>
      <x:c r="AK2071" t="str">
        <x:f>_xlfn.XLOOKUP($A2071,Games!$A$2:$A$18,Games!$F$2:$F$18,"Missing game",0)</x:f>
        <x:v>Sunday</x:v>
      </x:c>
      <x:c r="AL2071" t="str">
        <x:f>_xlfn.XLOOKUP($A2071,Games!$A$2:$A$18,Games!$G$2:$G$18,"Missing game",0)</x:f>
        <x:v>WAS</x:v>
      </x:c>
      <x:c r="AM2071" t="n">
        <x:f>_xlfn.XLOOKUP($A2071,Games!$A$2:$A$18,Games!$H$2:$H$18,"Missing game",0)</x:f>
        <x:v>0</x:v>
      </x:c>
      <x:c r="AN2071" t="str">
        <x:f>_xlfn.XLOOKUP($A2071,Games!$A$2:$A$18,Games!$I$2:$I$18,"Missing game",0)</x:f>
        <x:v>MIN</x:v>
      </x:c>
      <x:c r="AO2071" t="n">
        <x:f>_xlfn.XLOOKUP($A2071,Games!$A$2:$A$18,Games!$J$2:$J$18,"Missing game",0)</x:f>
        <x:v>31</x:v>
      </x:c>
      <x:c r="AP2071" t="n">
        <x:f>_xlfn.XLOOKUP($A2071,Games!$A$2:$A$18,Games!$K$2:$K$18,"Missing game",0)</x:f>
        <x:v>31</x:v>
      </x:c>
      <x:c r="AQ2071" t="n">
        <x:f>_xlfn.XLOOKUP($A2071,Games!$A$2:$A$18,Games!$L$2:$L$18,"Missing game",0)</x:f>
        <x:v>31</x:v>
      </x:c>
      <x:c r="AR2071" t="n">
        <x:f>_xlfn.XLOOKUP($A2071,Games!$A$2:$A$18,Games!$M$2:$M$18,"Missing game",0)</x:f>
        <x:v>0</x:v>
      </x:c>
      <x:c r="AS2071" t="str">
        <x:f>_xlfn.XLOOKUP($A2071,Games!$A$2:$A$18,Games!$N$2:$N$18,"Missing game",0)</x:f>
        <x:v>dome</x:v>
      </x:c>
      <x:c r="AT2071" t="str">
        <x:f>_xlfn.XLOOKUP($A2071,Games!$A$2:$A$18,Games!$O$2:$O$18,"Missing game",0)</x:f>
        <x:v>sportturf</x:v>
      </x:c>
      <x:c r="AU2071" t="str">
        <x:f>_xlfn.XLOOKUP($A2071,Games!$A$2:$A$18,Games!$P$2:$P$18,"Missing game",0)</x:f>
      </x:c>
      <x:c r="AV2071" t="str">
        <x:f>_xlfn.XLOOKUP($A2071,Games!$A$2:$A$18,Games!$Q$2:$Q$18,"Missing game",0)</x:f>
      </x:c>
      <x:c r="AW2071" t="str">
        <x:f>_xlfn.XLOOKUP($A2071,Games!$A$2:$A$18,Games!$R$2:$R$18,"Missing game",0)</x:f>
        <x:v>U.S. Bank Stadium</x:v>
      </x:c>
    </x:row>
    <x:row r="2072">
      <x:c r="A2072" t="str">
        <x:v>2025_14_WAS_MIN</x:v>
      </x:c>
      <x:c r="B2072" t="n">
        <x:v>1530</x:v>
      </x:c>
      <x:c r="C2072" t="n">
        <x:v>2</x:v>
      </x:c>
      <x:c r="D2072" t="str">
        <x:v>01:42</x:v>
      </x:c>
      <x:c r="E2072" t="n">
        <x:v>2</x:v>
      </x:c>
      <x:c r="F2072" t="n">
        <x:v>4</x:v>
      </x:c>
      <x:c r="G2072" t="str">
        <x:v>WAS</x:v>
      </x:c>
      <x:c r="H2072" t="str">
        <x:v>MIN</x:v>
      </x:c>
      <x:c r="I2072" t="str">
        <x:v>WAS</x:v>
      </x:c>
      <x:c r="J2072" t="n">
        <x:v>61</x:v>
      </x:c>
      <x:c r="K2072" t="str">
        <x:v>(1:42) (No Huddle, Shotgun) 5-J.Daniels pass incomplete short left.</x:v>
      </x:c>
      <x:c r="L2072" t="str">
        <x:v>pass</x:v>
      </x:c>
      <x:c r="M2072" t="n">
        <x:v>0</x:v>
      </x:c>
      <x:c r="N2072" t="n">
        <x:v>1</x:v>
      </x:c>
      <x:c r="O2072" t="n">
        <x:v>1</x:v>
      </x:c>
      <x:c r="P2072" t="str">
        <x:v>short</x:v>
      </x:c>
      <x:c r="Q2072" t="str">
        <x:v>left</x:v>
      </x:c>
      <x:c r="R2072" t="n">
        <x:v>3</x:v>
      </x:c>
      <x:c r="S2072"/>
      <x:c r="T2072"/>
      <x:c r="U2072"/>
      <x:c r="V2072" t="n">
        <x:v>0</x:v>
      </x:c>
      <x:c r="W2072" t="n">
        <x:v>0</x:v>
      </x:c>
      <x:c r="X2072" t="n">
        <x:v>0</x:v>
      </x:c>
      <x:c r="Y2072" t="n">
        <x:v>0</x:v>
      </x:c>
      <x:c r="Z2072" t="n">
        <x:v>0</x:v>
      </x:c>
      <x:c r="AA2072" t="n">
        <x:v>0</x:v>
      </x:c>
      <x:c r="AB2072"/>
      <x:c r="AC2072" t="n">
        <x:v>0</x:v>
      </x:c>
      <x:c r="AD2072" t="n">
        <x:v>-0.4813260614173487</x:v>
      </x:c>
      <x:c r="AE2072" t="n">
        <x:v>0</x:v>
      </x:c>
      <x:c r="AF2072" t="n">
        <x:v>-0.010681472718715668</x:v>
      </x:c>
      <x:c r="AG2072" t="n">
        <x:f>_xlfn.XLOOKUP($A2072,Games!$A$2:$A$18,Games!$B$2:$B$18,"Missing game",0)</x:f>
        <x:v>2025</x:v>
      </x:c>
      <x:c r="AH2072" t="str">
        <x:f>_xlfn.XLOOKUP($A2072,Games!$A$2:$A$18,Games!$C$2:$C$18,"Missing game",0)</x:f>
        <x:v>REG</x:v>
      </x:c>
      <x:c r="AI2072" t="n">
        <x:f>_xlfn.XLOOKUP($A2072,Games!$A$2:$A$18,Games!$D$2:$D$18,"Missing game",0)</x:f>
        <x:v>14</x:v>
      </x:c>
      <x:c r="AJ2072" s="1" t="n">
        <x:f>_xlfn.XLOOKUP($A2072,Games!$A$2:$A$18,Games!$E$2:$E$18,"Missing game",0)</x:f>
        <x:v>45998</x:v>
      </x:c>
      <x:c r="AK2072" t="str">
        <x:f>_xlfn.XLOOKUP($A2072,Games!$A$2:$A$18,Games!$F$2:$F$18,"Missing game",0)</x:f>
        <x:v>Sunday</x:v>
      </x:c>
      <x:c r="AL2072" t="str">
        <x:f>_xlfn.XLOOKUP($A2072,Games!$A$2:$A$18,Games!$G$2:$G$18,"Missing game",0)</x:f>
        <x:v>WAS</x:v>
      </x:c>
      <x:c r="AM2072" t="n">
        <x:f>_xlfn.XLOOKUP($A2072,Games!$A$2:$A$18,Games!$H$2:$H$18,"Missing game",0)</x:f>
        <x:v>0</x:v>
      </x:c>
      <x:c r="AN2072" t="str">
        <x:f>_xlfn.XLOOKUP($A2072,Games!$A$2:$A$18,Games!$I$2:$I$18,"Missing game",0)</x:f>
        <x:v>MIN</x:v>
      </x:c>
      <x:c r="AO2072" t="n">
        <x:f>_xlfn.XLOOKUP($A2072,Games!$A$2:$A$18,Games!$J$2:$J$18,"Missing game",0)</x:f>
        <x:v>31</x:v>
      </x:c>
      <x:c r="AP2072" t="n">
        <x:f>_xlfn.XLOOKUP($A2072,Games!$A$2:$A$18,Games!$K$2:$K$18,"Missing game",0)</x:f>
        <x:v>31</x:v>
      </x:c>
      <x:c r="AQ2072" t="n">
        <x:f>_xlfn.XLOOKUP($A2072,Games!$A$2:$A$18,Games!$L$2:$L$18,"Missing game",0)</x:f>
        <x:v>31</x:v>
      </x:c>
      <x:c r="AR2072" t="n">
        <x:f>_xlfn.XLOOKUP($A2072,Games!$A$2:$A$18,Games!$M$2:$M$18,"Missing game",0)</x:f>
        <x:v>0</x:v>
      </x:c>
      <x:c r="AS2072" t="str">
        <x:f>_xlfn.XLOOKUP($A2072,Games!$A$2:$A$18,Games!$N$2:$N$18,"Missing game",0)</x:f>
        <x:v>dome</x:v>
      </x:c>
      <x:c r="AT2072" t="str">
        <x:f>_xlfn.XLOOKUP($A2072,Games!$A$2:$A$18,Games!$O$2:$O$18,"Missing game",0)</x:f>
        <x:v>sportturf</x:v>
      </x:c>
      <x:c r="AU2072" t="str">
        <x:f>_xlfn.XLOOKUP($A2072,Games!$A$2:$A$18,Games!$P$2:$P$18,"Missing game",0)</x:f>
      </x:c>
      <x:c r="AV2072" t="str">
        <x:f>_xlfn.XLOOKUP($A2072,Games!$A$2:$A$18,Games!$Q$2:$Q$18,"Missing game",0)</x:f>
      </x:c>
      <x:c r="AW2072" t="str">
        <x:f>_xlfn.XLOOKUP($A2072,Games!$A$2:$A$18,Games!$R$2:$R$18,"Missing game",0)</x:f>
        <x:v>U.S. Bank Stadium</x:v>
      </x:c>
    </x:row>
    <x:row r="2073">
      <x:c r="A2073" t="str">
        <x:v>2025_14_WAS_MIN</x:v>
      </x:c>
      <x:c r="B2073" t="n">
        <x:v>1553</x:v>
      </x:c>
      <x:c r="C2073" t="n">
        <x:v>2</x:v>
      </x:c>
      <x:c r="D2073" t="str">
        <x:v>01:40</x:v>
      </x:c>
      <x:c r="E2073" t="n">
        <x:v>3</x:v>
      </x:c>
      <x:c r="F2073" t="n">
        <x:v>4</x:v>
      </x:c>
      <x:c r="G2073" t="str">
        <x:v>WAS</x:v>
      </x:c>
      <x:c r="H2073" t="str">
        <x:v>MIN</x:v>
      </x:c>
      <x:c r="I2073" t="str">
        <x:v>WAS</x:v>
      </x:c>
      <x:c r="J2073" t="n">
        <x:v>61</x:v>
      </x:c>
      <x:c r="K2073" t="str">
        <x:v>(1:40) (Shotgun) 5-J.Daniels pass short left to 17-T.McLaurin to WAS 46 for 7 yards (23-F.Moreau).</x:v>
      </x:c>
      <x:c r="L2073" t="str">
        <x:v>pass</x:v>
      </x:c>
      <x:c r="M2073" t="n">
        <x:v>7</x:v>
      </x:c>
      <x:c r="N2073" t="n">
        <x:v>1</x:v>
      </x:c>
      <x:c r="O2073" t="n">
        <x:v>0</x:v>
      </x:c>
      <x:c r="P2073" t="str">
        <x:v>short</x:v>
      </x:c>
      <x:c r="Q2073" t="str">
        <x:v>left</x:v>
      </x:c>
      <x:c r="R2073" t="n">
        <x:v>7</x:v>
      </x:c>
      <x:c r="S2073" t="n">
        <x:v>0</x:v>
      </x:c>
      <x:c r="T2073"/>
      <x:c r="U2073"/>
      <x:c r="V2073" t="n">
        <x:v>1</x:v>
      </x:c>
      <x:c r="W2073" t="n">
        <x:v>1</x:v>
      </x:c>
      <x:c r="X2073" t="n">
        <x:v>0</x:v>
      </x:c>
      <x:c r="Y2073" t="n">
        <x:v>0</x:v>
      </x:c>
      <x:c r="Z2073" t="n">
        <x:v>0</x:v>
      </x:c>
      <x:c r="AA2073" t="n">
        <x:v>0</x:v>
      </x:c>
      <x:c r="AB2073"/>
      <x:c r="AC2073" t="n">
        <x:v>0</x:v>
      </x:c>
      <x:c r="AD2073" t="n">
        <x:v>0.9906567826983519</x:v>
      </x:c>
      <x:c r="AE2073" t="n">
        <x:v>1</x:v>
      </x:c>
      <x:c r="AF2073" t="n">
        <x:v>0.02812429517507553</x:v>
      </x:c>
      <x:c r="AG2073" t="n">
        <x:f>_xlfn.XLOOKUP($A2073,Games!$A$2:$A$18,Games!$B$2:$B$18,"Missing game",0)</x:f>
        <x:v>2025</x:v>
      </x:c>
      <x:c r="AH2073" t="str">
        <x:f>_xlfn.XLOOKUP($A2073,Games!$A$2:$A$18,Games!$C$2:$C$18,"Missing game",0)</x:f>
        <x:v>REG</x:v>
      </x:c>
      <x:c r="AI2073" t="n">
        <x:f>_xlfn.XLOOKUP($A2073,Games!$A$2:$A$18,Games!$D$2:$D$18,"Missing game",0)</x:f>
        <x:v>14</x:v>
      </x:c>
      <x:c r="AJ2073" s="1" t="n">
        <x:f>_xlfn.XLOOKUP($A2073,Games!$A$2:$A$18,Games!$E$2:$E$18,"Missing game",0)</x:f>
        <x:v>45998</x:v>
      </x:c>
      <x:c r="AK2073" t="str">
        <x:f>_xlfn.XLOOKUP($A2073,Games!$A$2:$A$18,Games!$F$2:$F$18,"Missing game",0)</x:f>
        <x:v>Sunday</x:v>
      </x:c>
      <x:c r="AL2073" t="str">
        <x:f>_xlfn.XLOOKUP($A2073,Games!$A$2:$A$18,Games!$G$2:$G$18,"Missing game",0)</x:f>
        <x:v>WAS</x:v>
      </x:c>
      <x:c r="AM2073" t="n">
        <x:f>_xlfn.XLOOKUP($A2073,Games!$A$2:$A$18,Games!$H$2:$H$18,"Missing game",0)</x:f>
        <x:v>0</x:v>
      </x:c>
      <x:c r="AN2073" t="str">
        <x:f>_xlfn.XLOOKUP($A2073,Games!$A$2:$A$18,Games!$I$2:$I$18,"Missing game",0)</x:f>
        <x:v>MIN</x:v>
      </x:c>
      <x:c r="AO2073" t="n">
        <x:f>_xlfn.XLOOKUP($A2073,Games!$A$2:$A$18,Games!$J$2:$J$18,"Missing game",0)</x:f>
        <x:v>31</x:v>
      </x:c>
      <x:c r="AP2073" t="n">
        <x:f>_xlfn.XLOOKUP($A2073,Games!$A$2:$A$18,Games!$K$2:$K$18,"Missing game",0)</x:f>
        <x:v>31</x:v>
      </x:c>
      <x:c r="AQ2073" t="n">
        <x:f>_xlfn.XLOOKUP($A2073,Games!$A$2:$A$18,Games!$L$2:$L$18,"Missing game",0)</x:f>
        <x:v>31</x:v>
      </x:c>
      <x:c r="AR2073" t="n">
        <x:f>_xlfn.XLOOKUP($A2073,Games!$A$2:$A$18,Games!$M$2:$M$18,"Missing game",0)</x:f>
        <x:v>0</x:v>
      </x:c>
      <x:c r="AS2073" t="str">
        <x:f>_xlfn.XLOOKUP($A2073,Games!$A$2:$A$18,Games!$N$2:$N$18,"Missing game",0)</x:f>
        <x:v>dome</x:v>
      </x:c>
      <x:c r="AT2073" t="str">
        <x:f>_xlfn.XLOOKUP($A2073,Games!$A$2:$A$18,Games!$O$2:$O$18,"Missing game",0)</x:f>
        <x:v>sportturf</x:v>
      </x:c>
      <x:c r="AU2073" t="str">
        <x:f>_xlfn.XLOOKUP($A2073,Games!$A$2:$A$18,Games!$P$2:$P$18,"Missing game",0)</x:f>
      </x:c>
      <x:c r="AV2073" t="str">
        <x:f>_xlfn.XLOOKUP($A2073,Games!$A$2:$A$18,Games!$Q$2:$Q$18,"Missing game",0)</x:f>
      </x:c>
      <x:c r="AW2073" t="str">
        <x:f>_xlfn.XLOOKUP($A2073,Games!$A$2:$A$18,Games!$R$2:$R$18,"Missing game",0)</x:f>
        <x:v>U.S. Bank Stadium</x:v>
      </x:c>
    </x:row>
    <x:row r="2074">
      <x:c r="A2074" t="str">
        <x:v>2025_14_WAS_MIN</x:v>
      </x:c>
      <x:c r="B2074" t="n">
        <x:v>1578</x:v>
      </x:c>
      <x:c r="C2074" t="n">
        <x:v>2</x:v>
      </x:c>
      <x:c r="D2074" t="str">
        <x:v>01:22</x:v>
      </x:c>
      <x:c r="E2074" t="n">
        <x:v>1</x:v>
      </x:c>
      <x:c r="F2074" t="n">
        <x:v>10</x:v>
      </x:c>
      <x:c r="G2074" t="str">
        <x:v>WAS</x:v>
      </x:c>
      <x:c r="H2074" t="str">
        <x:v>MIN</x:v>
      </x:c>
      <x:c r="I2074" t="str">
        <x:v>WAS</x:v>
      </x:c>
      <x:c r="J2074" t="n">
        <x:v>54</x:v>
      </x:c>
      <x:c r="K2074" t="str">
        <x:v>(1:22) (No Huddle, Shotgun) 5-J.Daniels pass incomplete short left to 17-T.McLaurin.</x:v>
      </x:c>
      <x:c r="L2074" t="str">
        <x:v>pass</x:v>
      </x:c>
      <x:c r="M2074" t="n">
        <x:v>0</x:v>
      </x:c>
      <x:c r="N2074" t="n">
        <x:v>1</x:v>
      </x:c>
      <x:c r="O2074" t="n">
        <x:v>1</x:v>
      </x:c>
      <x:c r="P2074" t="str">
        <x:v>short</x:v>
      </x:c>
      <x:c r="Q2074" t="str">
        <x:v>left</x:v>
      </x:c>
      <x:c r="R2074" t="n">
        <x:v>10</x:v>
      </x:c>
      <x:c r="S2074"/>
      <x:c r="T2074"/>
      <x:c r="U2074"/>
      <x:c r="V2074" t="n">
        <x:v>0</x:v>
      </x:c>
      <x:c r="W2074" t="n">
        <x:v>0</x:v>
      </x:c>
      <x:c r="X2074" t="n">
        <x:v>0</x:v>
      </x:c>
      <x:c r="Y2074" t="n">
        <x:v>0</x:v>
      </x:c>
      <x:c r="Z2074" t="n">
        <x:v>0</x:v>
      </x:c>
      <x:c r="AA2074" t="n">
        <x:v>0</x:v>
      </x:c>
      <x:c r="AB2074"/>
      <x:c r="AC2074" t="n">
        <x:v>0</x:v>
      </x:c>
      <x:c r="AD2074" t="n">
        <x:v>-0.3484237488009967</x:v>
      </x:c>
      <x:c r="AE2074" t="n">
        <x:v>0</x:v>
      </x:c>
      <x:c r="AF2074" t="n">
        <x:v>-0.011729851365089417</x:v>
      </x:c>
      <x:c r="AG2074" t="n">
        <x:f>_xlfn.XLOOKUP($A2074,Games!$A$2:$A$18,Games!$B$2:$B$18,"Missing game",0)</x:f>
        <x:v>2025</x:v>
      </x:c>
      <x:c r="AH2074" t="str">
        <x:f>_xlfn.XLOOKUP($A2074,Games!$A$2:$A$18,Games!$C$2:$C$18,"Missing game",0)</x:f>
        <x:v>REG</x:v>
      </x:c>
      <x:c r="AI2074" t="n">
        <x:f>_xlfn.XLOOKUP($A2074,Games!$A$2:$A$18,Games!$D$2:$D$18,"Missing game",0)</x:f>
        <x:v>14</x:v>
      </x:c>
      <x:c r="AJ2074" s="1" t="n">
        <x:f>_xlfn.XLOOKUP($A2074,Games!$A$2:$A$18,Games!$E$2:$E$18,"Missing game",0)</x:f>
        <x:v>45998</x:v>
      </x:c>
      <x:c r="AK2074" t="str">
        <x:f>_xlfn.XLOOKUP($A2074,Games!$A$2:$A$18,Games!$F$2:$F$18,"Missing game",0)</x:f>
        <x:v>Sunday</x:v>
      </x:c>
      <x:c r="AL2074" t="str">
        <x:f>_xlfn.XLOOKUP($A2074,Games!$A$2:$A$18,Games!$G$2:$G$18,"Missing game",0)</x:f>
        <x:v>WAS</x:v>
      </x:c>
      <x:c r="AM2074" t="n">
        <x:f>_xlfn.XLOOKUP($A2074,Games!$A$2:$A$18,Games!$H$2:$H$18,"Missing game",0)</x:f>
        <x:v>0</x:v>
      </x:c>
      <x:c r="AN2074" t="str">
        <x:f>_xlfn.XLOOKUP($A2074,Games!$A$2:$A$18,Games!$I$2:$I$18,"Missing game",0)</x:f>
        <x:v>MIN</x:v>
      </x:c>
      <x:c r="AO2074" t="n">
        <x:f>_xlfn.XLOOKUP($A2074,Games!$A$2:$A$18,Games!$J$2:$J$18,"Missing game",0)</x:f>
        <x:v>31</x:v>
      </x:c>
      <x:c r="AP2074" t="n">
        <x:f>_xlfn.XLOOKUP($A2074,Games!$A$2:$A$18,Games!$K$2:$K$18,"Missing game",0)</x:f>
        <x:v>31</x:v>
      </x:c>
      <x:c r="AQ2074" t="n">
        <x:f>_xlfn.XLOOKUP($A2074,Games!$A$2:$A$18,Games!$L$2:$L$18,"Missing game",0)</x:f>
        <x:v>31</x:v>
      </x:c>
      <x:c r="AR2074" t="n">
        <x:f>_xlfn.XLOOKUP($A2074,Games!$A$2:$A$18,Games!$M$2:$M$18,"Missing game",0)</x:f>
        <x:v>0</x:v>
      </x:c>
      <x:c r="AS2074" t="str">
        <x:f>_xlfn.XLOOKUP($A2074,Games!$A$2:$A$18,Games!$N$2:$N$18,"Missing game",0)</x:f>
        <x:v>dome</x:v>
      </x:c>
      <x:c r="AT2074" t="str">
        <x:f>_xlfn.XLOOKUP($A2074,Games!$A$2:$A$18,Games!$O$2:$O$18,"Missing game",0)</x:f>
        <x:v>sportturf</x:v>
      </x:c>
      <x:c r="AU2074" t="str">
        <x:f>_xlfn.XLOOKUP($A2074,Games!$A$2:$A$18,Games!$P$2:$P$18,"Missing game",0)</x:f>
      </x:c>
      <x:c r="AV2074" t="str">
        <x:f>_xlfn.XLOOKUP($A2074,Games!$A$2:$A$18,Games!$Q$2:$Q$18,"Missing game",0)</x:f>
      </x:c>
      <x:c r="AW2074" t="str">
        <x:f>_xlfn.XLOOKUP($A2074,Games!$A$2:$A$18,Games!$R$2:$R$18,"Missing game",0)</x:f>
        <x:v>U.S. Bank Stadium</x:v>
      </x:c>
    </x:row>
    <x:row r="2075">
      <x:c r="A2075" t="str">
        <x:v>2025_14_WAS_MIN</x:v>
      </x:c>
      <x:c r="B2075" t="n">
        <x:v>1601</x:v>
      </x:c>
      <x:c r="C2075" t="n">
        <x:v>2</x:v>
      </x:c>
      <x:c r="D2075" t="str">
        <x:v>01:19</x:v>
      </x:c>
      <x:c r="E2075" t="n">
        <x:v>2</x:v>
      </x:c>
      <x:c r="F2075" t="n">
        <x:v>10</x:v>
      </x:c>
      <x:c r="G2075" t="str">
        <x:v>WAS</x:v>
      </x:c>
      <x:c r="H2075" t="str">
        <x:v>MIN</x:v>
      </x:c>
      <x:c r="I2075" t="str">
        <x:v>WAS</x:v>
      </x:c>
      <x:c r="J2075" t="n">
        <x:v>54</x:v>
      </x:c>
      <x:c r="K2075" t="str">
        <x:v>(1:19) (No Huddle, Shotgun) 5-J.Daniels pass short right to 1-D.Samuel to WAS 45 for -1 yards (7-B.Murphy).</x:v>
      </x:c>
      <x:c r="L2075" t="str">
        <x:v>pass</x:v>
      </x:c>
      <x:c r="M2075" t="n">
        <x:v>-1</x:v>
      </x:c>
      <x:c r="N2075" t="n">
        <x:v>1</x:v>
      </x:c>
      <x:c r="O2075" t="n">
        <x:v>1</x:v>
      </x:c>
      <x:c r="P2075" t="str">
        <x:v>short</x:v>
      </x:c>
      <x:c r="Q2075" t="str">
        <x:v>right</x:v>
      </x:c>
      <x:c r="R2075" t="n">
        <x:v>-2</x:v>
      </x:c>
      <x:c r="S2075" t="n">
        <x:v>1</x:v>
      </x:c>
      <x:c r="T2075"/>
      <x:c r="U2075"/>
      <x:c r="V2075" t="n">
        <x:v>1</x:v>
      </x:c>
      <x:c r="W2075" t="n">
        <x:v>0</x:v>
      </x:c>
      <x:c r="X2075" t="n">
        <x:v>0</x:v>
      </x:c>
      <x:c r="Y2075" t="n">
        <x:v>0</x:v>
      </x:c>
      <x:c r="Z2075" t="n">
        <x:v>0</x:v>
      </x:c>
      <x:c r="AA2075" t="n">
        <x:v>0</x:v>
      </x:c>
      <x:c r="AB2075"/>
      <x:c r="AC2075" t="n">
        <x:v>0</x:v>
      </x:c>
      <x:c r="AD2075" t="n">
        <x:v>-0.6430943793384358</x:v>
      </x:c>
      <x:c r="AE2075" t="n">
        <x:v>0</x:v>
      </x:c>
      <x:c r="AF2075" t="n">
        <x:v>-0.020276784896850586</x:v>
      </x:c>
      <x:c r="AG2075" t="n">
        <x:f>_xlfn.XLOOKUP($A2075,Games!$A$2:$A$18,Games!$B$2:$B$18,"Missing game",0)</x:f>
        <x:v>2025</x:v>
      </x:c>
      <x:c r="AH2075" t="str">
        <x:f>_xlfn.XLOOKUP($A2075,Games!$A$2:$A$18,Games!$C$2:$C$18,"Missing game",0)</x:f>
        <x:v>REG</x:v>
      </x:c>
      <x:c r="AI2075" t="n">
        <x:f>_xlfn.XLOOKUP($A2075,Games!$A$2:$A$18,Games!$D$2:$D$18,"Missing game",0)</x:f>
        <x:v>14</x:v>
      </x:c>
      <x:c r="AJ2075" s="1" t="n">
        <x:f>_xlfn.XLOOKUP($A2075,Games!$A$2:$A$18,Games!$E$2:$E$18,"Missing game",0)</x:f>
        <x:v>45998</x:v>
      </x:c>
      <x:c r="AK2075" t="str">
        <x:f>_xlfn.XLOOKUP($A2075,Games!$A$2:$A$18,Games!$F$2:$F$18,"Missing game",0)</x:f>
        <x:v>Sunday</x:v>
      </x:c>
      <x:c r="AL2075" t="str">
        <x:f>_xlfn.XLOOKUP($A2075,Games!$A$2:$A$18,Games!$G$2:$G$18,"Missing game",0)</x:f>
        <x:v>WAS</x:v>
      </x:c>
      <x:c r="AM2075" t="n">
        <x:f>_xlfn.XLOOKUP($A2075,Games!$A$2:$A$18,Games!$H$2:$H$18,"Missing game",0)</x:f>
        <x:v>0</x:v>
      </x:c>
      <x:c r="AN2075" t="str">
        <x:f>_xlfn.XLOOKUP($A2075,Games!$A$2:$A$18,Games!$I$2:$I$18,"Missing game",0)</x:f>
        <x:v>MIN</x:v>
      </x:c>
      <x:c r="AO2075" t="n">
        <x:f>_xlfn.XLOOKUP($A2075,Games!$A$2:$A$18,Games!$J$2:$J$18,"Missing game",0)</x:f>
        <x:v>31</x:v>
      </x:c>
      <x:c r="AP2075" t="n">
        <x:f>_xlfn.XLOOKUP($A2075,Games!$A$2:$A$18,Games!$K$2:$K$18,"Missing game",0)</x:f>
        <x:v>31</x:v>
      </x:c>
      <x:c r="AQ2075" t="n">
        <x:f>_xlfn.XLOOKUP($A2075,Games!$A$2:$A$18,Games!$L$2:$L$18,"Missing game",0)</x:f>
        <x:v>31</x:v>
      </x:c>
      <x:c r="AR2075" t="n">
        <x:f>_xlfn.XLOOKUP($A2075,Games!$A$2:$A$18,Games!$M$2:$M$18,"Missing game",0)</x:f>
        <x:v>0</x:v>
      </x:c>
      <x:c r="AS2075" t="str">
        <x:f>_xlfn.XLOOKUP($A2075,Games!$A$2:$A$18,Games!$N$2:$N$18,"Missing game",0)</x:f>
        <x:v>dome</x:v>
      </x:c>
      <x:c r="AT2075" t="str">
        <x:f>_xlfn.XLOOKUP($A2075,Games!$A$2:$A$18,Games!$O$2:$O$18,"Missing game",0)</x:f>
        <x:v>sportturf</x:v>
      </x:c>
      <x:c r="AU2075" t="str">
        <x:f>_xlfn.XLOOKUP($A2075,Games!$A$2:$A$18,Games!$P$2:$P$18,"Missing game",0)</x:f>
      </x:c>
      <x:c r="AV2075" t="str">
        <x:f>_xlfn.XLOOKUP($A2075,Games!$A$2:$A$18,Games!$Q$2:$Q$18,"Missing game",0)</x:f>
      </x:c>
      <x:c r="AW2075" t="str">
        <x:f>_xlfn.XLOOKUP($A2075,Games!$A$2:$A$18,Games!$R$2:$R$18,"Missing game",0)</x:f>
        <x:v>U.S. Bank Stadium</x:v>
      </x:c>
    </x:row>
    <x:row r="2076">
      <x:c r="A2076" t="str">
        <x:v>2025_14_WAS_MIN</x:v>
      </x:c>
      <x:c r="B2076" t="n">
        <x:v>1626</x:v>
      </x:c>
      <x:c r="C2076" t="n">
        <x:v>2</x:v>
      </x:c>
      <x:c r="D2076" t="str">
        <x:v>00:35</x:v>
      </x:c>
      <x:c r="E2076" t="n">
        <x:v>3</x:v>
      </x:c>
      <x:c r="F2076" t="n">
        <x:v>11</x:v>
      </x:c>
      <x:c r="G2076" t="str">
        <x:v>WAS</x:v>
      </x:c>
      <x:c r="H2076" t="str">
        <x:v>MIN</x:v>
      </x:c>
      <x:c r="I2076" t="str">
        <x:v>WAS</x:v>
      </x:c>
      <x:c r="J2076" t="n">
        <x:v>55</x:v>
      </x:c>
      <x:c r="K2076" t="str">
        <x:v>(:35) (No Huddle, Shotgun) 5-J.Daniels pass incomplete short right.</x:v>
      </x:c>
      <x:c r="L2076" t="str">
        <x:v>pass</x:v>
      </x:c>
      <x:c r="M2076" t="n">
        <x:v>0</x:v>
      </x:c>
      <x:c r="N2076" t="n">
        <x:v>1</x:v>
      </x:c>
      <x:c r="O2076" t="n">
        <x:v>1</x:v>
      </x:c>
      <x:c r="P2076" t="str">
        <x:v>short</x:v>
      </x:c>
      <x:c r="Q2076" t="str">
        <x:v>right</x:v>
      </x:c>
      <x:c r="R2076" t="n">
        <x:v>15</x:v>
      </x:c>
      <x:c r="S2076"/>
      <x:c r="T2076"/>
      <x:c r="U2076"/>
      <x:c r="V2076" t="n">
        <x:v>0</x:v>
      </x:c>
      <x:c r="W2076" t="n">
        <x:v>0</x:v>
      </x:c>
      <x:c r="X2076" t="n">
        <x:v>0</x:v>
      </x:c>
      <x:c r="Y2076" t="n">
        <x:v>0</x:v>
      </x:c>
      <x:c r="Z2076" t="n">
        <x:v>0</x:v>
      </x:c>
      <x:c r="AA2076" t="n">
        <x:v>0</x:v>
      </x:c>
      <x:c r="AB2076"/>
      <x:c r="AC2076" t="n">
        <x:v>0</x:v>
      </x:c>
      <x:c r="AD2076" t="n">
        <x:v>-0.8287301936652511</x:v>
      </x:c>
      <x:c r="AE2076" t="n">
        <x:v>0</x:v>
      </x:c>
      <x:c r="AF2076" t="n">
        <x:v>-0.009126216173171997</x:v>
      </x:c>
      <x:c r="AG2076" t="n">
        <x:f>_xlfn.XLOOKUP($A2076,Games!$A$2:$A$18,Games!$B$2:$B$18,"Missing game",0)</x:f>
        <x:v>2025</x:v>
      </x:c>
      <x:c r="AH2076" t="str">
        <x:f>_xlfn.XLOOKUP($A2076,Games!$A$2:$A$18,Games!$C$2:$C$18,"Missing game",0)</x:f>
        <x:v>REG</x:v>
      </x:c>
      <x:c r="AI2076" t="n">
        <x:f>_xlfn.XLOOKUP($A2076,Games!$A$2:$A$18,Games!$D$2:$D$18,"Missing game",0)</x:f>
        <x:v>14</x:v>
      </x:c>
      <x:c r="AJ2076" s="1" t="n">
        <x:f>_xlfn.XLOOKUP($A2076,Games!$A$2:$A$18,Games!$E$2:$E$18,"Missing game",0)</x:f>
        <x:v>45998</x:v>
      </x:c>
      <x:c r="AK2076" t="str">
        <x:f>_xlfn.XLOOKUP($A2076,Games!$A$2:$A$18,Games!$F$2:$F$18,"Missing game",0)</x:f>
        <x:v>Sunday</x:v>
      </x:c>
      <x:c r="AL2076" t="str">
        <x:f>_xlfn.XLOOKUP($A2076,Games!$A$2:$A$18,Games!$G$2:$G$18,"Missing game",0)</x:f>
        <x:v>WAS</x:v>
      </x:c>
      <x:c r="AM2076" t="n">
        <x:f>_xlfn.XLOOKUP($A2076,Games!$A$2:$A$18,Games!$H$2:$H$18,"Missing game",0)</x:f>
        <x:v>0</x:v>
      </x:c>
      <x:c r="AN2076" t="str">
        <x:f>_xlfn.XLOOKUP($A2076,Games!$A$2:$A$18,Games!$I$2:$I$18,"Missing game",0)</x:f>
        <x:v>MIN</x:v>
      </x:c>
      <x:c r="AO2076" t="n">
        <x:f>_xlfn.XLOOKUP($A2076,Games!$A$2:$A$18,Games!$J$2:$J$18,"Missing game",0)</x:f>
        <x:v>31</x:v>
      </x:c>
      <x:c r="AP2076" t="n">
        <x:f>_xlfn.XLOOKUP($A2076,Games!$A$2:$A$18,Games!$K$2:$K$18,"Missing game",0)</x:f>
        <x:v>31</x:v>
      </x:c>
      <x:c r="AQ2076" t="n">
        <x:f>_xlfn.XLOOKUP($A2076,Games!$A$2:$A$18,Games!$L$2:$L$18,"Missing game",0)</x:f>
        <x:v>31</x:v>
      </x:c>
      <x:c r="AR2076" t="n">
        <x:f>_xlfn.XLOOKUP($A2076,Games!$A$2:$A$18,Games!$M$2:$M$18,"Missing game",0)</x:f>
        <x:v>0</x:v>
      </x:c>
      <x:c r="AS2076" t="str">
        <x:f>_xlfn.XLOOKUP($A2076,Games!$A$2:$A$18,Games!$N$2:$N$18,"Missing game",0)</x:f>
        <x:v>dome</x:v>
      </x:c>
      <x:c r="AT2076" t="str">
        <x:f>_xlfn.XLOOKUP($A2076,Games!$A$2:$A$18,Games!$O$2:$O$18,"Missing game",0)</x:f>
        <x:v>sportturf</x:v>
      </x:c>
      <x:c r="AU2076" t="str">
        <x:f>_xlfn.XLOOKUP($A2076,Games!$A$2:$A$18,Games!$P$2:$P$18,"Missing game",0)</x:f>
      </x:c>
      <x:c r="AV2076" t="str">
        <x:f>_xlfn.XLOOKUP($A2076,Games!$A$2:$A$18,Games!$Q$2:$Q$18,"Missing game",0)</x:f>
      </x:c>
      <x:c r="AW2076" t="str">
        <x:f>_xlfn.XLOOKUP($A2076,Games!$A$2:$A$18,Games!$R$2:$R$18,"Missing game",0)</x:f>
        <x:v>U.S. Bank Stadium</x:v>
      </x:c>
    </x:row>
    <x:row r="2077">
      <x:c r="A2077" t="str">
        <x:v>2025_14_WAS_MIN</x:v>
      </x:c>
      <x:c r="B2077" t="n">
        <x:v>1649</x:v>
      </x:c>
      <x:c r="C2077" t="n">
        <x:v>2</x:v>
      </x:c>
      <x:c r="D2077" t="str">
        <x:v>00:27</x:v>
      </x:c>
      <x:c r="E2077" t="n">
        <x:v>4</x:v>
      </x:c>
      <x:c r="F2077" t="n">
        <x:v>11</x:v>
      </x:c>
      <x:c r="G2077" t="str">
        <x:v>WAS</x:v>
      </x:c>
      <x:c r="H2077" t="str">
        <x:v>MIN</x:v>
      </x:c>
      <x:c r="I2077" t="str">
        <x:v>WAS</x:v>
      </x:c>
      <x:c r="J2077" t="n">
        <x:v>55</x:v>
      </x:c>
      <x:c r="K2077" t="str">
        <x:v>(:27) 10-T.Way punts 49 yards to MIN 6, Center-69-T.Ott. 4-M.Price to MIN 14 for 8 yards (56-K.Medrano).</x:v>
      </x:c>
      <x:c r="L2077" t="str">
        <x:v>punt</x:v>
      </x:c>
      <x:c r="M2077" t="n">
        <x:v>0</x:v>
      </x:c>
      <x:c r="N2077" t="n">
        <x:v>0</x:v>
      </x:c>
      <x:c r="O2077" t="n">
        <x:v>0</x:v>
      </x:c>
      <x:c r="P2077"/>
      <x:c r="Q2077"/>
      <x:c r="R2077"/>
      <x:c r="S2077"/>
      <x:c r="T2077"/>
      <x:c r="U2077"/>
      <x:c r="V2077" t="n">
        <x:v>0</x:v>
      </x:c>
      <x:c r="W2077" t="n">
        <x:v>0</x:v>
      </x:c>
      <x:c r="X2077" t="n">
        <x:v>0</x:v>
      </x:c>
      <x:c r="Y2077" t="n">
        <x:v>0</x:v>
      </x:c>
      <x:c r="Z2077" t="n">
        <x:v>0</x:v>
      </x:c>
      <x:c r="AA2077" t="n">
        <x:v>0</x:v>
      </x:c>
      <x:c r="AB2077"/>
      <x:c r="AC2077" t="n">
        <x:v>0</x:v>
      </x:c>
      <x:c r="AD2077" t="n">
        <x:v>-0.2167103490792215</x:v>
      </x:c>
      <x:c r="AE2077" t="n">
        <x:v>0</x:v>
      </x:c>
      <x:c r="AF2077" t="n">
        <x:v>-0.0015944093465805054</x:v>
      </x:c>
      <x:c r="AG2077" t="n">
        <x:f>_xlfn.XLOOKUP($A2077,Games!$A$2:$A$18,Games!$B$2:$B$18,"Missing game",0)</x:f>
        <x:v>2025</x:v>
      </x:c>
      <x:c r="AH2077" t="str">
        <x:f>_xlfn.XLOOKUP($A2077,Games!$A$2:$A$18,Games!$C$2:$C$18,"Missing game",0)</x:f>
        <x:v>REG</x:v>
      </x:c>
      <x:c r="AI2077" t="n">
        <x:f>_xlfn.XLOOKUP($A2077,Games!$A$2:$A$18,Games!$D$2:$D$18,"Missing game",0)</x:f>
        <x:v>14</x:v>
      </x:c>
      <x:c r="AJ2077" s="1" t="n">
        <x:f>_xlfn.XLOOKUP($A2077,Games!$A$2:$A$18,Games!$E$2:$E$18,"Missing game",0)</x:f>
        <x:v>45998</x:v>
      </x:c>
      <x:c r="AK2077" t="str">
        <x:f>_xlfn.XLOOKUP($A2077,Games!$A$2:$A$18,Games!$F$2:$F$18,"Missing game",0)</x:f>
        <x:v>Sunday</x:v>
      </x:c>
      <x:c r="AL2077" t="str">
        <x:f>_xlfn.XLOOKUP($A2077,Games!$A$2:$A$18,Games!$G$2:$G$18,"Missing game",0)</x:f>
        <x:v>WAS</x:v>
      </x:c>
      <x:c r="AM2077" t="n">
        <x:f>_xlfn.XLOOKUP($A2077,Games!$A$2:$A$18,Games!$H$2:$H$18,"Missing game",0)</x:f>
        <x:v>0</x:v>
      </x:c>
      <x:c r="AN2077" t="str">
        <x:f>_xlfn.XLOOKUP($A2077,Games!$A$2:$A$18,Games!$I$2:$I$18,"Missing game",0)</x:f>
        <x:v>MIN</x:v>
      </x:c>
      <x:c r="AO2077" t="n">
        <x:f>_xlfn.XLOOKUP($A2077,Games!$A$2:$A$18,Games!$J$2:$J$18,"Missing game",0)</x:f>
        <x:v>31</x:v>
      </x:c>
      <x:c r="AP2077" t="n">
        <x:f>_xlfn.XLOOKUP($A2077,Games!$A$2:$A$18,Games!$K$2:$K$18,"Missing game",0)</x:f>
        <x:v>31</x:v>
      </x:c>
      <x:c r="AQ2077" t="n">
        <x:f>_xlfn.XLOOKUP($A2077,Games!$A$2:$A$18,Games!$L$2:$L$18,"Missing game",0)</x:f>
        <x:v>31</x:v>
      </x:c>
      <x:c r="AR2077" t="n">
        <x:f>_xlfn.XLOOKUP($A2077,Games!$A$2:$A$18,Games!$M$2:$M$18,"Missing game",0)</x:f>
        <x:v>0</x:v>
      </x:c>
      <x:c r="AS2077" t="str">
        <x:f>_xlfn.XLOOKUP($A2077,Games!$A$2:$A$18,Games!$N$2:$N$18,"Missing game",0)</x:f>
        <x:v>dome</x:v>
      </x:c>
      <x:c r="AT2077" t="str">
        <x:f>_xlfn.XLOOKUP($A2077,Games!$A$2:$A$18,Games!$O$2:$O$18,"Missing game",0)</x:f>
        <x:v>sportturf</x:v>
      </x:c>
      <x:c r="AU2077" t="str">
        <x:f>_xlfn.XLOOKUP($A2077,Games!$A$2:$A$18,Games!$P$2:$P$18,"Missing game",0)</x:f>
      </x:c>
      <x:c r="AV2077" t="str">
        <x:f>_xlfn.XLOOKUP($A2077,Games!$A$2:$A$18,Games!$Q$2:$Q$18,"Missing game",0)</x:f>
      </x:c>
      <x:c r="AW2077" t="str">
        <x:f>_xlfn.XLOOKUP($A2077,Games!$A$2:$A$18,Games!$R$2:$R$18,"Missing game",0)</x:f>
        <x:v>U.S. Bank Stadium</x:v>
      </x:c>
    </x:row>
    <x:row r="2078">
      <x:c r="A2078" t="str">
        <x:v>2025_14_WAS_MIN</x:v>
      </x:c>
      <x:c r="B2078" t="n">
        <x:v>1675</x:v>
      </x:c>
      <x:c r="C2078" t="n">
        <x:v>2</x:v>
      </x:c>
      <x:c r="D2078" t="str">
        <x:v>00:17</x:v>
      </x:c>
      <x:c r="E2078" t="n">
        <x:v>1</x:v>
      </x:c>
      <x:c r="F2078" t="n">
        <x:v>10</x:v>
      </x:c>
      <x:c r="G2078" t="str">
        <x:v>MIN</x:v>
      </x:c>
      <x:c r="H2078" t="str">
        <x:v>WAS</x:v>
      </x:c>
      <x:c r="I2078" t="str">
        <x:v>MIN</x:v>
      </x:c>
      <x:c r="J2078" t="n">
        <x:v>86</x:v>
      </x:c>
      <x:c r="K2078" t="str">
        <x:v>(:17) 9-J.McCarthy kneels to MIN 13 for -1 yards.</x:v>
      </x:c>
      <x:c r="L2078" t="str">
        <x:v>qb_kneel</x:v>
      </x:c>
      <x:c r="M2078" t="n">
        <x:v>-1</x:v>
      </x:c>
      <x:c r="N2078" t="n">
        <x:v>0</x:v>
      </x:c>
      <x:c r="O2078" t="n">
        <x:v>0</x:v>
      </x:c>
      <x:c r="P2078"/>
      <x:c r="Q2078"/>
      <x:c r="R2078"/>
      <x:c r="S2078"/>
      <x:c r="T2078"/>
      <x:c r="U2078"/>
      <x:c r="V2078" t="n">
        <x:v>0</x:v>
      </x:c>
      <x:c r="W2078" t="n">
        <x:v>0</x:v>
      </x:c>
      <x:c r="X2078" t="n">
        <x:v>0</x:v>
      </x:c>
      <x:c r="Y2078" t="n">
        <x:v>0</x:v>
      </x:c>
      <x:c r="Z2078" t="n">
        <x:v>0</x:v>
      </x:c>
      <x:c r="AA2078" t="n">
        <x:v>0</x:v>
      </x:c>
      <x:c r="AB2078"/>
      <x:c r="AC2078" t="n">
        <x:v>0</x:v>
      </x:c>
      <x:c r="AD2078" t="n">
        <x:v>0</x:v>
      </x:c>
      <x:c r="AE2078" t="n">
        <x:v>0</x:v>
      </x:c>
      <x:c r="AF2078"/>
      <x:c r="AG2078" t="n">
        <x:f>_xlfn.XLOOKUP($A2078,Games!$A$2:$A$18,Games!$B$2:$B$18,"Missing game",0)</x:f>
        <x:v>2025</x:v>
      </x:c>
      <x:c r="AH2078" t="str">
        <x:f>_xlfn.XLOOKUP($A2078,Games!$A$2:$A$18,Games!$C$2:$C$18,"Missing game",0)</x:f>
        <x:v>REG</x:v>
      </x:c>
      <x:c r="AI2078" t="n">
        <x:f>_xlfn.XLOOKUP($A2078,Games!$A$2:$A$18,Games!$D$2:$D$18,"Missing game",0)</x:f>
        <x:v>14</x:v>
      </x:c>
      <x:c r="AJ2078" s="1" t="n">
        <x:f>_xlfn.XLOOKUP($A2078,Games!$A$2:$A$18,Games!$E$2:$E$18,"Missing game",0)</x:f>
        <x:v>45998</x:v>
      </x:c>
      <x:c r="AK2078" t="str">
        <x:f>_xlfn.XLOOKUP($A2078,Games!$A$2:$A$18,Games!$F$2:$F$18,"Missing game",0)</x:f>
        <x:v>Sunday</x:v>
      </x:c>
      <x:c r="AL2078" t="str">
        <x:f>_xlfn.XLOOKUP($A2078,Games!$A$2:$A$18,Games!$G$2:$G$18,"Missing game",0)</x:f>
        <x:v>WAS</x:v>
      </x:c>
      <x:c r="AM2078" t="n">
        <x:f>_xlfn.XLOOKUP($A2078,Games!$A$2:$A$18,Games!$H$2:$H$18,"Missing game",0)</x:f>
        <x:v>0</x:v>
      </x:c>
      <x:c r="AN2078" t="str">
        <x:f>_xlfn.XLOOKUP($A2078,Games!$A$2:$A$18,Games!$I$2:$I$18,"Missing game",0)</x:f>
        <x:v>MIN</x:v>
      </x:c>
      <x:c r="AO2078" t="n">
        <x:f>_xlfn.XLOOKUP($A2078,Games!$A$2:$A$18,Games!$J$2:$J$18,"Missing game",0)</x:f>
        <x:v>31</x:v>
      </x:c>
      <x:c r="AP2078" t="n">
        <x:f>_xlfn.XLOOKUP($A2078,Games!$A$2:$A$18,Games!$K$2:$K$18,"Missing game",0)</x:f>
        <x:v>31</x:v>
      </x:c>
      <x:c r="AQ2078" t="n">
        <x:f>_xlfn.XLOOKUP($A2078,Games!$A$2:$A$18,Games!$L$2:$L$18,"Missing game",0)</x:f>
        <x:v>31</x:v>
      </x:c>
      <x:c r="AR2078" t="n">
        <x:f>_xlfn.XLOOKUP($A2078,Games!$A$2:$A$18,Games!$M$2:$M$18,"Missing game",0)</x:f>
        <x:v>0</x:v>
      </x:c>
      <x:c r="AS2078" t="str">
        <x:f>_xlfn.XLOOKUP($A2078,Games!$A$2:$A$18,Games!$N$2:$N$18,"Missing game",0)</x:f>
        <x:v>dome</x:v>
      </x:c>
      <x:c r="AT2078" t="str">
        <x:f>_xlfn.XLOOKUP($A2078,Games!$A$2:$A$18,Games!$O$2:$O$18,"Missing game",0)</x:f>
        <x:v>sportturf</x:v>
      </x:c>
      <x:c r="AU2078" t="str">
        <x:f>_xlfn.XLOOKUP($A2078,Games!$A$2:$A$18,Games!$P$2:$P$18,"Missing game",0)</x:f>
      </x:c>
      <x:c r="AV2078" t="str">
        <x:f>_xlfn.XLOOKUP($A2078,Games!$A$2:$A$18,Games!$Q$2:$Q$18,"Missing game",0)</x:f>
      </x:c>
      <x:c r="AW2078" t="str">
        <x:f>_xlfn.XLOOKUP($A2078,Games!$A$2:$A$18,Games!$R$2:$R$18,"Missing game",0)</x:f>
        <x:v>U.S. Bank Stadium</x:v>
      </x:c>
    </x:row>
    <x:row r="2079">
      <x:c r="A2079" t="str">
        <x:v>2025_14_WAS_MIN</x:v>
      </x:c>
      <x:c r="B2079" t="n">
        <x:v>1704</x:v>
      </x:c>
      <x:c r="C2079" t="n">
        <x:v>2</x:v>
      </x:c>
      <x:c r="D2079" t="str">
        <x:v>00:00</x:v>
      </x:c>
      <x:c r="E2079"/>
      <x:c r="F2079" t="n">
        <x:v>0</x:v>
      </x:c>
      <x:c r="G2079"/>
      <x:c r="H2079"/>
      <x:c r="I2079"/>
      <x:c r="J2079"/>
      <x:c r="K2079" t="str">
        <x:v>END QUARTER 2</x:v>
      </x:c>
      <x:c r="L2079"/>
      <x:c r="M2079"/>
      <x:c r="N2079" t="n">
        <x:v>0</x:v>
      </x:c>
      <x:c r="O2079" t="n">
        <x:v>0</x:v>
      </x:c>
      <x:c r="P2079"/>
      <x:c r="Q2079"/>
      <x:c r="R2079"/>
      <x:c r="S2079"/>
      <x:c r="T2079"/>
      <x:c r="U2079"/>
      <x:c r="V2079"/>
      <x:c r="W2079"/>
      <x:c r="X2079"/>
      <x:c r="Y2079"/>
      <x:c r="Z2079"/>
      <x:c r="AA2079"/>
      <x:c r="AB2079"/>
      <x:c r="AC2079"/>
      <x:c r="AD2079"/>
      <x:c r="AE2079"/>
      <x:c r="AF2079" t="n">
        <x:v>0</x:v>
      </x:c>
      <x:c r="AG2079" t="n">
        <x:f>_xlfn.XLOOKUP($A2079,Games!$A$2:$A$18,Games!$B$2:$B$18,"Missing game",0)</x:f>
        <x:v>2025</x:v>
      </x:c>
      <x:c r="AH2079" t="str">
        <x:f>_xlfn.XLOOKUP($A2079,Games!$A$2:$A$18,Games!$C$2:$C$18,"Missing game",0)</x:f>
        <x:v>REG</x:v>
      </x:c>
      <x:c r="AI2079" t="n">
        <x:f>_xlfn.XLOOKUP($A2079,Games!$A$2:$A$18,Games!$D$2:$D$18,"Missing game",0)</x:f>
        <x:v>14</x:v>
      </x:c>
      <x:c r="AJ2079" s="1" t="n">
        <x:f>_xlfn.XLOOKUP($A2079,Games!$A$2:$A$18,Games!$E$2:$E$18,"Missing game",0)</x:f>
        <x:v>45998</x:v>
      </x:c>
      <x:c r="AK2079" t="str">
        <x:f>_xlfn.XLOOKUP($A2079,Games!$A$2:$A$18,Games!$F$2:$F$18,"Missing game",0)</x:f>
        <x:v>Sunday</x:v>
      </x:c>
      <x:c r="AL2079" t="str">
        <x:f>_xlfn.XLOOKUP($A2079,Games!$A$2:$A$18,Games!$G$2:$G$18,"Missing game",0)</x:f>
        <x:v>WAS</x:v>
      </x:c>
      <x:c r="AM2079" t="n">
        <x:f>_xlfn.XLOOKUP($A2079,Games!$A$2:$A$18,Games!$H$2:$H$18,"Missing game",0)</x:f>
        <x:v>0</x:v>
      </x:c>
      <x:c r="AN2079" t="str">
        <x:f>_xlfn.XLOOKUP($A2079,Games!$A$2:$A$18,Games!$I$2:$I$18,"Missing game",0)</x:f>
        <x:v>MIN</x:v>
      </x:c>
      <x:c r="AO2079" t="n">
        <x:f>_xlfn.XLOOKUP($A2079,Games!$A$2:$A$18,Games!$J$2:$J$18,"Missing game",0)</x:f>
        <x:v>31</x:v>
      </x:c>
      <x:c r="AP2079" t="n">
        <x:f>_xlfn.XLOOKUP($A2079,Games!$A$2:$A$18,Games!$K$2:$K$18,"Missing game",0)</x:f>
        <x:v>31</x:v>
      </x:c>
      <x:c r="AQ2079" t="n">
        <x:f>_xlfn.XLOOKUP($A2079,Games!$A$2:$A$18,Games!$L$2:$L$18,"Missing game",0)</x:f>
        <x:v>31</x:v>
      </x:c>
      <x:c r="AR2079" t="n">
        <x:f>_xlfn.XLOOKUP($A2079,Games!$A$2:$A$18,Games!$M$2:$M$18,"Missing game",0)</x:f>
        <x:v>0</x:v>
      </x:c>
      <x:c r="AS2079" t="str">
        <x:f>_xlfn.XLOOKUP($A2079,Games!$A$2:$A$18,Games!$N$2:$N$18,"Missing game",0)</x:f>
        <x:v>dome</x:v>
      </x:c>
      <x:c r="AT2079" t="str">
        <x:f>_xlfn.XLOOKUP($A2079,Games!$A$2:$A$18,Games!$O$2:$O$18,"Missing game",0)</x:f>
        <x:v>sportturf</x:v>
      </x:c>
      <x:c r="AU2079" t="str">
        <x:f>_xlfn.XLOOKUP($A2079,Games!$A$2:$A$18,Games!$P$2:$P$18,"Missing game",0)</x:f>
      </x:c>
      <x:c r="AV2079" t="str">
        <x:f>_xlfn.XLOOKUP($A2079,Games!$A$2:$A$18,Games!$Q$2:$Q$18,"Missing game",0)</x:f>
      </x:c>
      <x:c r="AW2079" t="str">
        <x:f>_xlfn.XLOOKUP($A2079,Games!$A$2:$A$18,Games!$R$2:$R$18,"Missing game",0)</x:f>
        <x:v>U.S. Bank Stadium</x:v>
      </x:c>
    </x:row>
    <x:row r="2080">
      <x:c r="A2080" t="str">
        <x:v>2025_14_WAS_MIN</x:v>
      </x:c>
      <x:c r="B2080" t="n">
        <x:v>1724</x:v>
      </x:c>
      <x:c r="C2080" t="n">
        <x:v>3</x:v>
      </x:c>
      <x:c r="D2080" t="str">
        <x:v>15:00</x:v>
      </x:c>
      <x:c r="E2080"/>
      <x:c r="F2080" t="n">
        <x:v>0</x:v>
      </x:c>
      <x:c r="G2080" t="str">
        <x:v>WAS</x:v>
      </x:c>
      <x:c r="H2080" t="str">
        <x:v>MIN</x:v>
      </x:c>
      <x:c r="I2080" t="str">
        <x:v>MIN</x:v>
      </x:c>
      <x:c r="J2080" t="n">
        <x:v>35</x:v>
      </x:c>
      <x:c r="K2080" t="str">
        <x:v>16-W.Reichard kicks 61 yards from MIN 35 to WAS 4. 1-D.Samuel to WAS 23 for 19 yards (24-J.Ward).</x:v>
      </x:c>
      <x:c r="L2080" t="str">
        <x:v>kickoff</x:v>
      </x:c>
      <x:c r="M2080" t="n">
        <x:v>0</x:v>
      </x:c>
      <x:c r="N2080" t="n">
        <x:v>0</x:v>
      </x:c>
      <x:c r="O2080" t="n">
        <x:v>0</x:v>
      </x:c>
      <x:c r="P2080"/>
      <x:c r="Q2080"/>
      <x:c r="R2080"/>
      <x:c r="S2080"/>
      <x:c r="T2080"/>
      <x:c r="U2080"/>
      <x:c r="V2080" t="n">
        <x:v>0</x:v>
      </x:c>
      <x:c r="W2080" t="n">
        <x:v>0</x:v>
      </x:c>
      <x:c r="X2080" t="n">
        <x:v>0</x:v>
      </x:c>
      <x:c r="Y2080" t="n">
        <x:v>0</x:v>
      </x:c>
      <x:c r="Z2080" t="n">
        <x:v>0</x:v>
      </x:c>
      <x:c r="AA2080" t="n">
        <x:v>0</x:v>
      </x:c>
      <x:c r="AB2080"/>
      <x:c r="AC2080" t="n">
        <x:v>0</x:v>
      </x:c>
      <x:c r="AD2080" t="n">
        <x:v>-0.2876602434553206</x:v>
      </x:c>
      <x:c r="AE2080" t="n">
        <x:v>0</x:v>
      </x:c>
      <x:c r="AF2080" t="n">
        <x:v>-0.0009779110550880432</x:v>
      </x:c>
      <x:c r="AG2080" t="n">
        <x:f>_xlfn.XLOOKUP($A2080,Games!$A$2:$A$18,Games!$B$2:$B$18,"Missing game",0)</x:f>
        <x:v>2025</x:v>
      </x:c>
      <x:c r="AH2080" t="str">
        <x:f>_xlfn.XLOOKUP($A2080,Games!$A$2:$A$18,Games!$C$2:$C$18,"Missing game",0)</x:f>
        <x:v>REG</x:v>
      </x:c>
      <x:c r="AI2080" t="n">
        <x:f>_xlfn.XLOOKUP($A2080,Games!$A$2:$A$18,Games!$D$2:$D$18,"Missing game",0)</x:f>
        <x:v>14</x:v>
      </x:c>
      <x:c r="AJ2080" s="1" t="n">
        <x:f>_xlfn.XLOOKUP($A2080,Games!$A$2:$A$18,Games!$E$2:$E$18,"Missing game",0)</x:f>
        <x:v>45998</x:v>
      </x:c>
      <x:c r="AK2080" t="str">
        <x:f>_xlfn.XLOOKUP($A2080,Games!$A$2:$A$18,Games!$F$2:$F$18,"Missing game",0)</x:f>
        <x:v>Sunday</x:v>
      </x:c>
      <x:c r="AL2080" t="str">
        <x:f>_xlfn.XLOOKUP($A2080,Games!$A$2:$A$18,Games!$G$2:$G$18,"Missing game",0)</x:f>
        <x:v>WAS</x:v>
      </x:c>
      <x:c r="AM2080" t="n">
        <x:f>_xlfn.XLOOKUP($A2080,Games!$A$2:$A$18,Games!$H$2:$H$18,"Missing game",0)</x:f>
        <x:v>0</x:v>
      </x:c>
      <x:c r="AN2080" t="str">
        <x:f>_xlfn.XLOOKUP($A2080,Games!$A$2:$A$18,Games!$I$2:$I$18,"Missing game",0)</x:f>
        <x:v>MIN</x:v>
      </x:c>
      <x:c r="AO2080" t="n">
        <x:f>_xlfn.XLOOKUP($A2080,Games!$A$2:$A$18,Games!$J$2:$J$18,"Missing game",0)</x:f>
        <x:v>31</x:v>
      </x:c>
      <x:c r="AP2080" t="n">
        <x:f>_xlfn.XLOOKUP($A2080,Games!$A$2:$A$18,Games!$K$2:$K$18,"Missing game",0)</x:f>
        <x:v>31</x:v>
      </x:c>
      <x:c r="AQ2080" t="n">
        <x:f>_xlfn.XLOOKUP($A2080,Games!$A$2:$A$18,Games!$L$2:$L$18,"Missing game",0)</x:f>
        <x:v>31</x:v>
      </x:c>
      <x:c r="AR2080" t="n">
        <x:f>_xlfn.XLOOKUP($A2080,Games!$A$2:$A$18,Games!$M$2:$M$18,"Missing game",0)</x:f>
        <x:v>0</x:v>
      </x:c>
      <x:c r="AS2080" t="str">
        <x:f>_xlfn.XLOOKUP($A2080,Games!$A$2:$A$18,Games!$N$2:$N$18,"Missing game",0)</x:f>
        <x:v>dome</x:v>
      </x:c>
      <x:c r="AT2080" t="str">
        <x:f>_xlfn.XLOOKUP($A2080,Games!$A$2:$A$18,Games!$O$2:$O$18,"Missing game",0)</x:f>
        <x:v>sportturf</x:v>
      </x:c>
      <x:c r="AU2080" t="str">
        <x:f>_xlfn.XLOOKUP($A2080,Games!$A$2:$A$18,Games!$P$2:$P$18,"Missing game",0)</x:f>
      </x:c>
      <x:c r="AV2080" t="str">
        <x:f>_xlfn.XLOOKUP($A2080,Games!$A$2:$A$18,Games!$Q$2:$Q$18,"Missing game",0)</x:f>
      </x:c>
      <x:c r="AW2080" t="str">
        <x:f>_xlfn.XLOOKUP($A2080,Games!$A$2:$A$18,Games!$R$2:$R$18,"Missing game",0)</x:f>
        <x:v>U.S. Bank Stadium</x:v>
      </x:c>
    </x:row>
    <x:row r="2081">
      <x:c r="A2081" t="str">
        <x:v>2025_14_WAS_MIN</x:v>
      </x:c>
      <x:c r="B2081" t="n">
        <x:v>1747</x:v>
      </x:c>
      <x:c r="C2081" t="n">
        <x:v>3</x:v>
      </x:c>
      <x:c r="D2081" t="str">
        <x:v>14:56</x:v>
      </x:c>
      <x:c r="E2081" t="n">
        <x:v>1</x:v>
      </x:c>
      <x:c r="F2081" t="n">
        <x:v>10</x:v>
      </x:c>
      <x:c r="G2081" t="str">
        <x:v>WAS</x:v>
      </x:c>
      <x:c r="H2081" t="str">
        <x:v>MIN</x:v>
      </x:c>
      <x:c r="I2081" t="str">
        <x:v>WAS</x:v>
      </x:c>
      <x:c r="J2081" t="n">
        <x:v>77</x:v>
      </x:c>
      <x:c r="K2081" t="str">
        <x:v>(14:56) 36-C.Rodriguez right guard to WAS 27 for 4 yards (51-B.Cashman).</x:v>
      </x:c>
      <x:c r="L2081" t="str">
        <x:v>run</x:v>
      </x:c>
      <x:c r="M2081" t="n">
        <x:v>4</x:v>
      </x:c>
      <x:c r="N2081" t="n">
        <x:v>0</x:v>
      </x:c>
      <x:c r="O2081" t="n">
        <x:v>0</x:v>
      </x:c>
      <x:c r="P2081"/>
      <x:c r="Q2081"/>
      <x:c r="R2081"/>
      <x:c r="S2081"/>
      <x:c r="T2081" t="str">
        <x:v>right</x:v>
      </x:c>
      <x:c r="U2081" t="str">
        <x:v>guard</x:v>
      </x:c>
      <x:c r="V2081" t="n">
        <x:v>0</x:v>
      </x:c>
      <x:c r="W2081" t="n">
        <x:v>0</x:v>
      </x:c>
      <x:c r="X2081" t="n">
        <x:v>0</x:v>
      </x:c>
      <x:c r="Y2081" t="n">
        <x:v>0</x:v>
      </x:c>
      <x:c r="Z2081" t="n">
        <x:v>0</x:v>
      </x:c>
      <x:c r="AA2081" t="n">
        <x:v>0</x:v>
      </x:c>
      <x:c r="AB2081"/>
      <x:c r="AC2081" t="n">
        <x:v>0</x:v>
      </x:c>
      <x:c r="AD2081" t="n">
        <x:v>0.027547525241971016</x:v>
      </x:c>
      <x:c r="AE2081" t="n">
        <x:v>1</x:v>
      </x:c>
      <x:c r="AF2081" t="n">
        <x:v>-0.011314980685710907</x:v>
      </x:c>
      <x:c r="AG2081" t="n">
        <x:f>_xlfn.XLOOKUP($A2081,Games!$A$2:$A$18,Games!$B$2:$B$18,"Missing game",0)</x:f>
        <x:v>2025</x:v>
      </x:c>
      <x:c r="AH2081" t="str">
        <x:f>_xlfn.XLOOKUP($A2081,Games!$A$2:$A$18,Games!$C$2:$C$18,"Missing game",0)</x:f>
        <x:v>REG</x:v>
      </x:c>
      <x:c r="AI2081" t="n">
        <x:f>_xlfn.XLOOKUP($A2081,Games!$A$2:$A$18,Games!$D$2:$D$18,"Missing game",0)</x:f>
        <x:v>14</x:v>
      </x:c>
      <x:c r="AJ2081" s="1" t="n">
        <x:f>_xlfn.XLOOKUP($A2081,Games!$A$2:$A$18,Games!$E$2:$E$18,"Missing game",0)</x:f>
        <x:v>45998</x:v>
      </x:c>
      <x:c r="AK2081" t="str">
        <x:f>_xlfn.XLOOKUP($A2081,Games!$A$2:$A$18,Games!$F$2:$F$18,"Missing game",0)</x:f>
        <x:v>Sunday</x:v>
      </x:c>
      <x:c r="AL2081" t="str">
        <x:f>_xlfn.XLOOKUP($A2081,Games!$A$2:$A$18,Games!$G$2:$G$18,"Missing game",0)</x:f>
        <x:v>WAS</x:v>
      </x:c>
      <x:c r="AM2081" t="n">
        <x:f>_xlfn.XLOOKUP($A2081,Games!$A$2:$A$18,Games!$H$2:$H$18,"Missing game",0)</x:f>
        <x:v>0</x:v>
      </x:c>
      <x:c r="AN2081" t="str">
        <x:f>_xlfn.XLOOKUP($A2081,Games!$A$2:$A$18,Games!$I$2:$I$18,"Missing game",0)</x:f>
        <x:v>MIN</x:v>
      </x:c>
      <x:c r="AO2081" t="n">
        <x:f>_xlfn.XLOOKUP($A2081,Games!$A$2:$A$18,Games!$J$2:$J$18,"Missing game",0)</x:f>
        <x:v>31</x:v>
      </x:c>
      <x:c r="AP2081" t="n">
        <x:f>_xlfn.XLOOKUP($A2081,Games!$A$2:$A$18,Games!$K$2:$K$18,"Missing game",0)</x:f>
        <x:v>31</x:v>
      </x:c>
      <x:c r="AQ2081" t="n">
        <x:f>_xlfn.XLOOKUP($A2081,Games!$A$2:$A$18,Games!$L$2:$L$18,"Missing game",0)</x:f>
        <x:v>31</x:v>
      </x:c>
      <x:c r="AR2081" t="n">
        <x:f>_xlfn.XLOOKUP($A2081,Games!$A$2:$A$18,Games!$M$2:$M$18,"Missing game",0)</x:f>
        <x:v>0</x:v>
      </x:c>
      <x:c r="AS2081" t="str">
        <x:f>_xlfn.XLOOKUP($A2081,Games!$A$2:$A$18,Games!$N$2:$N$18,"Missing game",0)</x:f>
        <x:v>dome</x:v>
      </x:c>
      <x:c r="AT2081" t="str">
        <x:f>_xlfn.XLOOKUP($A2081,Games!$A$2:$A$18,Games!$O$2:$O$18,"Missing game",0)</x:f>
        <x:v>sportturf</x:v>
      </x:c>
      <x:c r="AU2081" t="str">
        <x:f>_xlfn.XLOOKUP($A2081,Games!$A$2:$A$18,Games!$P$2:$P$18,"Missing game",0)</x:f>
      </x:c>
      <x:c r="AV2081" t="str">
        <x:f>_xlfn.XLOOKUP($A2081,Games!$A$2:$A$18,Games!$Q$2:$Q$18,"Missing game",0)</x:f>
      </x:c>
      <x:c r="AW2081" t="str">
        <x:f>_xlfn.XLOOKUP($A2081,Games!$A$2:$A$18,Games!$R$2:$R$18,"Missing game",0)</x:f>
        <x:v>U.S. Bank Stadium</x:v>
      </x:c>
    </x:row>
    <x:row r="2082">
      <x:c r="A2082" t="str">
        <x:v>2025_14_WAS_MIN</x:v>
      </x:c>
      <x:c r="B2082" t="n">
        <x:v>1769</x:v>
      </x:c>
      <x:c r="C2082" t="n">
        <x:v>3</x:v>
      </x:c>
      <x:c r="D2082" t="str">
        <x:v>14:17</x:v>
      </x:c>
      <x:c r="E2082" t="n">
        <x:v>2</x:v>
      </x:c>
      <x:c r="F2082" t="n">
        <x:v>6</x:v>
      </x:c>
      <x:c r="G2082" t="str">
        <x:v>WAS</x:v>
      </x:c>
      <x:c r="H2082" t="str">
        <x:v>MIN</x:v>
      </x:c>
      <x:c r="I2082" t="str">
        <x:v>WAS</x:v>
      </x:c>
      <x:c r="J2082" t="n">
        <x:v>73</x:v>
      </x:c>
      <x:c r="K2082" t="str">
        <x:v>(14:17) (No Huddle, Shotgun) 5-J.Daniels sacked ob at WAS 26 for -1 yards (61-J.Redmond).</x:v>
      </x:c>
      <x:c r="L2082" t="str">
        <x:v>pass</x:v>
      </x:c>
      <x:c r="M2082" t="n">
        <x:v>-1</x:v>
      </x:c>
      <x:c r="N2082" t="n">
        <x:v>1</x:v>
      </x:c>
      <x:c r="O2082" t="n">
        <x:v>1</x:v>
      </x:c>
      <x:c r="P2082"/>
      <x:c r="Q2082"/>
      <x:c r="R2082"/>
      <x:c r="S2082"/>
      <x:c r="T2082"/>
      <x:c r="U2082"/>
      <x:c r="V2082" t="n">
        <x:v>0</x:v>
      </x:c>
      <x:c r="W2082" t="n">
        <x:v>0</x:v>
      </x:c>
      <x:c r="X2082" t="n">
        <x:v>1</x:v>
      </x:c>
      <x:c r="Y2082" t="n">
        <x:v>0</x:v>
      </x:c>
      <x:c r="Z2082" t="n">
        <x:v>0</x:v>
      </x:c>
      <x:c r="AA2082" t="n">
        <x:v>0</x:v>
      </x:c>
      <x:c r="AB2082"/>
      <x:c r="AC2082" t="n">
        <x:v>0</x:v>
      </x:c>
      <x:c r="AD2082" t="n">
        <x:v>-0.9313953663222492</x:v>
      </x:c>
      <x:c r="AE2082" t="n">
        <x:v>0</x:v>
      </x:c>
      <x:c r="AF2082" t="n">
        <x:v>-0.007214486598968506</x:v>
      </x:c>
      <x:c r="AG2082" t="n">
        <x:f>_xlfn.XLOOKUP($A2082,Games!$A$2:$A$18,Games!$B$2:$B$18,"Missing game",0)</x:f>
        <x:v>2025</x:v>
      </x:c>
      <x:c r="AH2082" t="str">
        <x:f>_xlfn.XLOOKUP($A2082,Games!$A$2:$A$18,Games!$C$2:$C$18,"Missing game",0)</x:f>
        <x:v>REG</x:v>
      </x:c>
      <x:c r="AI2082" t="n">
        <x:f>_xlfn.XLOOKUP($A2082,Games!$A$2:$A$18,Games!$D$2:$D$18,"Missing game",0)</x:f>
        <x:v>14</x:v>
      </x:c>
      <x:c r="AJ2082" s="1" t="n">
        <x:f>_xlfn.XLOOKUP($A2082,Games!$A$2:$A$18,Games!$E$2:$E$18,"Missing game",0)</x:f>
        <x:v>45998</x:v>
      </x:c>
      <x:c r="AK2082" t="str">
        <x:f>_xlfn.XLOOKUP($A2082,Games!$A$2:$A$18,Games!$F$2:$F$18,"Missing game",0)</x:f>
        <x:v>Sunday</x:v>
      </x:c>
      <x:c r="AL2082" t="str">
        <x:f>_xlfn.XLOOKUP($A2082,Games!$A$2:$A$18,Games!$G$2:$G$18,"Missing game",0)</x:f>
        <x:v>WAS</x:v>
      </x:c>
      <x:c r="AM2082" t="n">
        <x:f>_xlfn.XLOOKUP($A2082,Games!$A$2:$A$18,Games!$H$2:$H$18,"Missing game",0)</x:f>
        <x:v>0</x:v>
      </x:c>
      <x:c r="AN2082" t="str">
        <x:f>_xlfn.XLOOKUP($A2082,Games!$A$2:$A$18,Games!$I$2:$I$18,"Missing game",0)</x:f>
        <x:v>MIN</x:v>
      </x:c>
      <x:c r="AO2082" t="n">
        <x:f>_xlfn.XLOOKUP($A2082,Games!$A$2:$A$18,Games!$J$2:$J$18,"Missing game",0)</x:f>
        <x:v>31</x:v>
      </x:c>
      <x:c r="AP2082" t="n">
        <x:f>_xlfn.XLOOKUP($A2082,Games!$A$2:$A$18,Games!$K$2:$K$18,"Missing game",0)</x:f>
        <x:v>31</x:v>
      </x:c>
      <x:c r="AQ2082" t="n">
        <x:f>_xlfn.XLOOKUP($A2082,Games!$A$2:$A$18,Games!$L$2:$L$18,"Missing game",0)</x:f>
        <x:v>31</x:v>
      </x:c>
      <x:c r="AR2082" t="n">
        <x:f>_xlfn.XLOOKUP($A2082,Games!$A$2:$A$18,Games!$M$2:$M$18,"Missing game",0)</x:f>
        <x:v>0</x:v>
      </x:c>
      <x:c r="AS2082" t="str">
        <x:f>_xlfn.XLOOKUP($A2082,Games!$A$2:$A$18,Games!$N$2:$N$18,"Missing game",0)</x:f>
        <x:v>dome</x:v>
      </x:c>
      <x:c r="AT2082" t="str">
        <x:f>_xlfn.XLOOKUP($A2082,Games!$A$2:$A$18,Games!$O$2:$O$18,"Missing game",0)</x:f>
        <x:v>sportturf</x:v>
      </x:c>
      <x:c r="AU2082" t="str">
        <x:f>_xlfn.XLOOKUP($A2082,Games!$A$2:$A$18,Games!$P$2:$P$18,"Missing game",0)</x:f>
      </x:c>
      <x:c r="AV2082" t="str">
        <x:f>_xlfn.XLOOKUP($A2082,Games!$A$2:$A$18,Games!$Q$2:$Q$18,"Missing game",0)</x:f>
      </x:c>
      <x:c r="AW2082" t="str">
        <x:f>_xlfn.XLOOKUP($A2082,Games!$A$2:$A$18,Games!$R$2:$R$18,"Missing game",0)</x:f>
        <x:v>U.S. Bank Stadium</x:v>
      </x:c>
    </x:row>
    <x:row r="2083">
      <x:c r="A2083" t="str">
        <x:v>2025_14_WAS_MIN</x:v>
      </x:c>
      <x:c r="B2083" t="n">
        <x:v>1803</x:v>
      </x:c>
      <x:c r="C2083" t="n">
        <x:v>3</x:v>
      </x:c>
      <x:c r="D2083" t="str">
        <x:v>13:31</x:v>
      </x:c>
      <x:c r="E2083" t="n">
        <x:v>3</x:v>
      </x:c>
      <x:c r="F2083" t="n">
        <x:v>7</x:v>
      </x:c>
      <x:c r="G2083" t="str">
        <x:v>WAS</x:v>
      </x:c>
      <x:c r="H2083" t="str">
        <x:v>MIN</x:v>
      </x:c>
      <x:c r="I2083" t="str">
        <x:v>WAS</x:v>
      </x:c>
      <x:c r="J2083" t="n">
        <x:v>74</x:v>
      </x:c>
      <x:c r="K2083" t="str">
        <x:v>(13:31) (No Huddle, Shotgun) 5-J.Daniels pass incomplete deep right to 85-N.Brown. PENALTY on MIN-23-F.Moreau, Defensive Pass Interference, 14 yards, enforced at WAS 26 - No Play.</x:v>
      </x:c>
      <x:c r="L2083" t="str">
        <x:v>no_play</x:v>
      </x:c>
      <x:c r="M2083" t="n">
        <x:v>0</x:v>
      </x:c>
      <x:c r="N2083" t="n">
        <x:v>1</x:v>
      </x:c>
      <x:c r="O2083" t="n">
        <x:v>1</x:v>
      </x:c>
      <x:c r="P2083"/>
      <x:c r="Q2083"/>
      <x:c r="R2083"/>
      <x:c r="S2083"/>
      <x:c r="T2083"/>
      <x:c r="U2083"/>
      <x:c r="V2083" t="n">
        <x:v>0</x:v>
      </x:c>
      <x:c r="W2083" t="n">
        <x:v>1</x:v>
      </x:c>
      <x:c r="X2083" t="n">
        <x:v>0</x:v>
      </x:c>
      <x:c r="Y2083" t="n">
        <x:v>0</x:v>
      </x:c>
      <x:c r="Z2083" t="n">
        <x:v>0</x:v>
      </x:c>
      <x:c r="AA2083" t="n">
        <x:v>1</x:v>
      </x:c>
      <x:c r="AB2083" t="n">
        <x:v>14</x:v>
      </x:c>
      <x:c r="AC2083" t="n">
        <x:v>0</x:v>
      </x:c>
      <x:c r="AD2083" t="n">
        <x:v>2.1540948490146548</x:v>
      </x:c>
      <x:c r="AE2083" t="n">
        <x:v>1</x:v>
      </x:c>
      <x:c r="AF2083" t="n">
        <x:v>0.022458016872406006</x:v>
      </x:c>
      <x:c r="AG2083" t="n">
        <x:f>_xlfn.XLOOKUP($A2083,Games!$A$2:$A$18,Games!$B$2:$B$18,"Missing game",0)</x:f>
        <x:v>2025</x:v>
      </x:c>
      <x:c r="AH2083" t="str">
        <x:f>_xlfn.XLOOKUP($A2083,Games!$A$2:$A$18,Games!$C$2:$C$18,"Missing game",0)</x:f>
        <x:v>REG</x:v>
      </x:c>
      <x:c r="AI2083" t="n">
        <x:f>_xlfn.XLOOKUP($A2083,Games!$A$2:$A$18,Games!$D$2:$D$18,"Missing game",0)</x:f>
        <x:v>14</x:v>
      </x:c>
      <x:c r="AJ2083" s="1" t="n">
        <x:f>_xlfn.XLOOKUP($A2083,Games!$A$2:$A$18,Games!$E$2:$E$18,"Missing game",0)</x:f>
        <x:v>45998</x:v>
      </x:c>
      <x:c r="AK2083" t="str">
        <x:f>_xlfn.XLOOKUP($A2083,Games!$A$2:$A$18,Games!$F$2:$F$18,"Missing game",0)</x:f>
        <x:v>Sunday</x:v>
      </x:c>
      <x:c r="AL2083" t="str">
        <x:f>_xlfn.XLOOKUP($A2083,Games!$A$2:$A$18,Games!$G$2:$G$18,"Missing game",0)</x:f>
        <x:v>WAS</x:v>
      </x:c>
      <x:c r="AM2083" t="n">
        <x:f>_xlfn.XLOOKUP($A2083,Games!$A$2:$A$18,Games!$H$2:$H$18,"Missing game",0)</x:f>
        <x:v>0</x:v>
      </x:c>
      <x:c r="AN2083" t="str">
        <x:f>_xlfn.XLOOKUP($A2083,Games!$A$2:$A$18,Games!$I$2:$I$18,"Missing game",0)</x:f>
        <x:v>MIN</x:v>
      </x:c>
      <x:c r="AO2083" t="n">
        <x:f>_xlfn.XLOOKUP($A2083,Games!$A$2:$A$18,Games!$J$2:$J$18,"Missing game",0)</x:f>
        <x:v>31</x:v>
      </x:c>
      <x:c r="AP2083" t="n">
        <x:f>_xlfn.XLOOKUP($A2083,Games!$A$2:$A$18,Games!$K$2:$K$18,"Missing game",0)</x:f>
        <x:v>31</x:v>
      </x:c>
      <x:c r="AQ2083" t="n">
        <x:f>_xlfn.XLOOKUP($A2083,Games!$A$2:$A$18,Games!$L$2:$L$18,"Missing game",0)</x:f>
        <x:v>31</x:v>
      </x:c>
      <x:c r="AR2083" t="n">
        <x:f>_xlfn.XLOOKUP($A2083,Games!$A$2:$A$18,Games!$M$2:$M$18,"Missing game",0)</x:f>
        <x:v>0</x:v>
      </x:c>
      <x:c r="AS2083" t="str">
        <x:f>_xlfn.XLOOKUP($A2083,Games!$A$2:$A$18,Games!$N$2:$N$18,"Missing game",0)</x:f>
        <x:v>dome</x:v>
      </x:c>
      <x:c r="AT2083" t="str">
        <x:f>_xlfn.XLOOKUP($A2083,Games!$A$2:$A$18,Games!$O$2:$O$18,"Missing game",0)</x:f>
        <x:v>sportturf</x:v>
      </x:c>
      <x:c r="AU2083" t="str">
        <x:f>_xlfn.XLOOKUP($A2083,Games!$A$2:$A$18,Games!$P$2:$P$18,"Missing game",0)</x:f>
      </x:c>
      <x:c r="AV2083" t="str">
        <x:f>_xlfn.XLOOKUP($A2083,Games!$A$2:$A$18,Games!$Q$2:$Q$18,"Missing game",0)</x:f>
      </x:c>
      <x:c r="AW2083" t="str">
        <x:f>_xlfn.XLOOKUP($A2083,Games!$A$2:$A$18,Games!$R$2:$R$18,"Missing game",0)</x:f>
        <x:v>U.S. Bank Stadium</x:v>
      </x:c>
    </x:row>
    <x:row r="2084">
      <x:c r="A2084" t="str">
        <x:v>2025_14_WAS_MIN</x:v>
      </x:c>
      <x:c r="B2084" t="n">
        <x:v>1837</x:v>
      </x:c>
      <x:c r="C2084" t="n">
        <x:v>3</x:v>
      </x:c>
      <x:c r="D2084" t="str">
        <x:v>13:27</x:v>
      </x:c>
      <x:c r="E2084" t="n">
        <x:v>1</x:v>
      </x:c>
      <x:c r="F2084" t="n">
        <x:v>10</x:v>
      </x:c>
      <x:c r="G2084" t="str">
        <x:v>WAS</x:v>
      </x:c>
      <x:c r="H2084" t="str">
        <x:v>MIN</x:v>
      </x:c>
      <x:c r="I2084" t="str">
        <x:v>WAS</x:v>
      </x:c>
      <x:c r="J2084" t="n">
        <x:v>60</x:v>
      </x:c>
      <x:c r="K2084" t="str">
        <x:v>(13:27) 36-C.Rodriguez up the middle to WAS 44 for 4 yards (61-J.Redmond).</x:v>
      </x:c>
      <x:c r="L2084" t="str">
        <x:v>run</x:v>
      </x:c>
      <x:c r="M2084" t="n">
        <x:v>4</x:v>
      </x:c>
      <x:c r="N2084" t="n">
        <x:v>0</x:v>
      </x:c>
      <x:c r="O2084" t="n">
        <x:v>0</x:v>
      </x:c>
      <x:c r="P2084"/>
      <x:c r="Q2084"/>
      <x:c r="R2084"/>
      <x:c r="S2084"/>
      <x:c r="T2084" t="str">
        <x:v>middle</x:v>
      </x:c>
      <x:c r="U2084"/>
      <x:c r="V2084" t="n">
        <x:v>0</x:v>
      </x:c>
      <x:c r="W2084" t="n">
        <x:v>0</x:v>
      </x:c>
      <x:c r="X2084" t="n">
        <x:v>0</x:v>
      </x:c>
      <x:c r="Y2084" t="n">
        <x:v>0</x:v>
      </x:c>
      <x:c r="Z2084" t="n">
        <x:v>0</x:v>
      </x:c>
      <x:c r="AA2084" t="n">
        <x:v>0</x:v>
      </x:c>
      <x:c r="AB2084"/>
      <x:c r="AC2084" t="n">
        <x:v>0</x:v>
      </x:c>
      <x:c r="AD2084" t="n">
        <x:v>-0.04923910018987954</x:v>
      </x:c>
      <x:c r="AE2084" t="n">
        <x:v>0</x:v>
      </x:c>
      <x:c r="AF2084" t="n">
        <x:v>0.0014874786138534546</x:v>
      </x:c>
      <x:c r="AG2084" t="n">
        <x:f>_xlfn.XLOOKUP($A2084,Games!$A$2:$A$18,Games!$B$2:$B$18,"Missing game",0)</x:f>
        <x:v>2025</x:v>
      </x:c>
      <x:c r="AH2084" t="str">
        <x:f>_xlfn.XLOOKUP($A2084,Games!$A$2:$A$18,Games!$C$2:$C$18,"Missing game",0)</x:f>
        <x:v>REG</x:v>
      </x:c>
      <x:c r="AI2084" t="n">
        <x:f>_xlfn.XLOOKUP($A2084,Games!$A$2:$A$18,Games!$D$2:$D$18,"Missing game",0)</x:f>
        <x:v>14</x:v>
      </x:c>
      <x:c r="AJ2084" s="1" t="n">
        <x:f>_xlfn.XLOOKUP($A2084,Games!$A$2:$A$18,Games!$E$2:$E$18,"Missing game",0)</x:f>
        <x:v>45998</x:v>
      </x:c>
      <x:c r="AK2084" t="str">
        <x:f>_xlfn.XLOOKUP($A2084,Games!$A$2:$A$18,Games!$F$2:$F$18,"Missing game",0)</x:f>
        <x:v>Sunday</x:v>
      </x:c>
      <x:c r="AL2084" t="str">
        <x:f>_xlfn.XLOOKUP($A2084,Games!$A$2:$A$18,Games!$G$2:$G$18,"Missing game",0)</x:f>
        <x:v>WAS</x:v>
      </x:c>
      <x:c r="AM2084" t="n">
        <x:f>_xlfn.XLOOKUP($A2084,Games!$A$2:$A$18,Games!$H$2:$H$18,"Missing game",0)</x:f>
        <x:v>0</x:v>
      </x:c>
      <x:c r="AN2084" t="str">
        <x:f>_xlfn.XLOOKUP($A2084,Games!$A$2:$A$18,Games!$I$2:$I$18,"Missing game",0)</x:f>
        <x:v>MIN</x:v>
      </x:c>
      <x:c r="AO2084" t="n">
        <x:f>_xlfn.XLOOKUP($A2084,Games!$A$2:$A$18,Games!$J$2:$J$18,"Missing game",0)</x:f>
        <x:v>31</x:v>
      </x:c>
      <x:c r="AP2084" t="n">
        <x:f>_xlfn.XLOOKUP($A2084,Games!$A$2:$A$18,Games!$K$2:$K$18,"Missing game",0)</x:f>
        <x:v>31</x:v>
      </x:c>
      <x:c r="AQ2084" t="n">
        <x:f>_xlfn.XLOOKUP($A2084,Games!$A$2:$A$18,Games!$L$2:$L$18,"Missing game",0)</x:f>
        <x:v>31</x:v>
      </x:c>
      <x:c r="AR2084" t="n">
        <x:f>_xlfn.XLOOKUP($A2084,Games!$A$2:$A$18,Games!$M$2:$M$18,"Missing game",0)</x:f>
        <x:v>0</x:v>
      </x:c>
      <x:c r="AS2084" t="str">
        <x:f>_xlfn.XLOOKUP($A2084,Games!$A$2:$A$18,Games!$N$2:$N$18,"Missing game",0)</x:f>
        <x:v>dome</x:v>
      </x:c>
      <x:c r="AT2084" t="str">
        <x:f>_xlfn.XLOOKUP($A2084,Games!$A$2:$A$18,Games!$O$2:$O$18,"Missing game",0)</x:f>
        <x:v>sportturf</x:v>
      </x:c>
      <x:c r="AU2084" t="str">
        <x:f>_xlfn.XLOOKUP($A2084,Games!$A$2:$A$18,Games!$P$2:$P$18,"Missing game",0)</x:f>
      </x:c>
      <x:c r="AV2084" t="str">
        <x:f>_xlfn.XLOOKUP($A2084,Games!$A$2:$A$18,Games!$Q$2:$Q$18,"Missing game",0)</x:f>
      </x:c>
      <x:c r="AW2084" t="str">
        <x:f>_xlfn.XLOOKUP($A2084,Games!$A$2:$A$18,Games!$R$2:$R$18,"Missing game",0)</x:f>
        <x:v>U.S. Bank Stadium</x:v>
      </x:c>
    </x:row>
    <x:row r="2085">
      <x:c r="A2085" t="str">
        <x:v>2025_14_WAS_MIN</x:v>
      </x:c>
      <x:c r="B2085" t="n">
        <x:v>1859</x:v>
      </x:c>
      <x:c r="C2085" t="n">
        <x:v>3</x:v>
      </x:c>
      <x:c r="D2085" t="str">
        <x:v>12:46</x:v>
      </x:c>
      <x:c r="E2085" t="n">
        <x:v>2</x:v>
      </x:c>
      <x:c r="F2085" t="n">
        <x:v>6</x:v>
      </x:c>
      <x:c r="G2085" t="str">
        <x:v>WAS</x:v>
      </x:c>
      <x:c r="H2085" t="str">
        <x:v>MIN</x:v>
      </x:c>
      <x:c r="I2085" t="str">
        <x:v>WAS</x:v>
      </x:c>
      <x:c r="J2085" t="n">
        <x:v>56</x:v>
      </x:c>
      <x:c r="K2085" t="str">
        <x:v>(12:46) (No Huddle, Shotgun) 36-C.Rodriguez right end to WAS 49 for 5 yards (51-B.Cashman; 97-J.Hargrave).</x:v>
      </x:c>
      <x:c r="L2085" t="str">
        <x:v>run</x:v>
      </x:c>
      <x:c r="M2085" t="n">
        <x:v>5</x:v>
      </x:c>
      <x:c r="N2085" t="n">
        <x:v>1</x:v>
      </x:c>
      <x:c r="O2085" t="n">
        <x:v>1</x:v>
      </x:c>
      <x:c r="P2085"/>
      <x:c r="Q2085"/>
      <x:c r="R2085"/>
      <x:c r="S2085"/>
      <x:c r="T2085" t="str">
        <x:v>right</x:v>
      </x:c>
      <x:c r="U2085" t="str">
        <x:v>end</x:v>
      </x:c>
      <x:c r="V2085" t="n">
        <x:v>0</x:v>
      </x:c>
      <x:c r="W2085" t="n">
        <x:v>0</x:v>
      </x:c>
      <x:c r="X2085" t="n">
        <x:v>0</x:v>
      </x:c>
      <x:c r="Y2085" t="n">
        <x:v>0</x:v>
      </x:c>
      <x:c r="Z2085" t="n">
        <x:v>0</x:v>
      </x:c>
      <x:c r="AA2085" t="n">
        <x:v>0</x:v>
      </x:c>
      <x:c r="AB2085"/>
      <x:c r="AC2085" t="n">
        <x:v>0</x:v>
      </x:c>
      <x:c r="AD2085" t="n">
        <x:v>0.2743886501993984</x:v>
      </x:c>
      <x:c r="AE2085" t="n">
        <x:v>1</x:v>
      </x:c>
      <x:c r="AF2085" t="n">
        <x:v>-0.0012773573398590088</x:v>
      </x:c>
      <x:c r="AG2085" t="n">
        <x:f>_xlfn.XLOOKUP($A2085,Games!$A$2:$A$18,Games!$B$2:$B$18,"Missing game",0)</x:f>
        <x:v>2025</x:v>
      </x:c>
      <x:c r="AH2085" t="str">
        <x:f>_xlfn.XLOOKUP($A2085,Games!$A$2:$A$18,Games!$C$2:$C$18,"Missing game",0)</x:f>
        <x:v>REG</x:v>
      </x:c>
      <x:c r="AI2085" t="n">
        <x:f>_xlfn.XLOOKUP($A2085,Games!$A$2:$A$18,Games!$D$2:$D$18,"Missing game",0)</x:f>
        <x:v>14</x:v>
      </x:c>
      <x:c r="AJ2085" s="1" t="n">
        <x:f>_xlfn.XLOOKUP($A2085,Games!$A$2:$A$18,Games!$E$2:$E$18,"Missing game",0)</x:f>
        <x:v>45998</x:v>
      </x:c>
      <x:c r="AK2085" t="str">
        <x:f>_xlfn.XLOOKUP($A2085,Games!$A$2:$A$18,Games!$F$2:$F$18,"Missing game",0)</x:f>
        <x:v>Sunday</x:v>
      </x:c>
      <x:c r="AL2085" t="str">
        <x:f>_xlfn.XLOOKUP($A2085,Games!$A$2:$A$18,Games!$G$2:$G$18,"Missing game",0)</x:f>
        <x:v>WAS</x:v>
      </x:c>
      <x:c r="AM2085" t="n">
        <x:f>_xlfn.XLOOKUP($A2085,Games!$A$2:$A$18,Games!$H$2:$H$18,"Missing game",0)</x:f>
        <x:v>0</x:v>
      </x:c>
      <x:c r="AN2085" t="str">
        <x:f>_xlfn.XLOOKUP($A2085,Games!$A$2:$A$18,Games!$I$2:$I$18,"Missing game",0)</x:f>
        <x:v>MIN</x:v>
      </x:c>
      <x:c r="AO2085" t="n">
        <x:f>_xlfn.XLOOKUP($A2085,Games!$A$2:$A$18,Games!$J$2:$J$18,"Missing game",0)</x:f>
        <x:v>31</x:v>
      </x:c>
      <x:c r="AP2085" t="n">
        <x:f>_xlfn.XLOOKUP($A2085,Games!$A$2:$A$18,Games!$K$2:$K$18,"Missing game",0)</x:f>
        <x:v>31</x:v>
      </x:c>
      <x:c r="AQ2085" t="n">
        <x:f>_xlfn.XLOOKUP($A2085,Games!$A$2:$A$18,Games!$L$2:$L$18,"Missing game",0)</x:f>
        <x:v>31</x:v>
      </x:c>
      <x:c r="AR2085" t="n">
        <x:f>_xlfn.XLOOKUP($A2085,Games!$A$2:$A$18,Games!$M$2:$M$18,"Missing game",0)</x:f>
        <x:v>0</x:v>
      </x:c>
      <x:c r="AS2085" t="str">
        <x:f>_xlfn.XLOOKUP($A2085,Games!$A$2:$A$18,Games!$N$2:$N$18,"Missing game",0)</x:f>
        <x:v>dome</x:v>
      </x:c>
      <x:c r="AT2085" t="str">
        <x:f>_xlfn.XLOOKUP($A2085,Games!$A$2:$A$18,Games!$O$2:$O$18,"Missing game",0)</x:f>
        <x:v>sportturf</x:v>
      </x:c>
      <x:c r="AU2085" t="str">
        <x:f>_xlfn.XLOOKUP($A2085,Games!$A$2:$A$18,Games!$P$2:$P$18,"Missing game",0)</x:f>
      </x:c>
      <x:c r="AV2085" t="str">
        <x:f>_xlfn.XLOOKUP($A2085,Games!$A$2:$A$18,Games!$Q$2:$Q$18,"Missing game",0)</x:f>
      </x:c>
      <x:c r="AW2085" t="str">
        <x:f>_xlfn.XLOOKUP($A2085,Games!$A$2:$A$18,Games!$R$2:$R$18,"Missing game",0)</x:f>
        <x:v>U.S. Bank Stadium</x:v>
      </x:c>
    </x:row>
    <x:row r="2086">
      <x:c r="A2086" t="str">
        <x:v>2025_14_WAS_MIN</x:v>
      </x:c>
      <x:c r="B2086" t="n">
        <x:v>1881</x:v>
      </x:c>
      <x:c r="C2086" t="n">
        <x:v>3</x:v>
      </x:c>
      <x:c r="D2086" t="str">
        <x:v>12:05</x:v>
      </x:c>
      <x:c r="E2086" t="n">
        <x:v>3</x:v>
      </x:c>
      <x:c r="F2086" t="n">
        <x:v>1</x:v>
      </x:c>
      <x:c r="G2086" t="str">
        <x:v>WAS</x:v>
      </x:c>
      <x:c r="H2086" t="str">
        <x:v>MIN</x:v>
      </x:c>
      <x:c r="I2086" t="str">
        <x:v>WAS</x:v>
      </x:c>
      <x:c r="J2086" t="n">
        <x:v>51</x:v>
      </x:c>
      <x:c r="K2086" t="str">
        <x:v>(12:05) (No Huddle, Shotgun) 5-J.Daniels sacked at WAS 44 for -5 yards (55-E.Wilson). FUMBLES (55-E.Wilson) [55-E.Wilson], RECOVERED by MIN-90-T.Ingram-Dawkins at WAS 46. 90-T.Ingram-Dawkins to WAS 26 for 20 yards (72-J.Conerly). PENALTY on MIN, Defensive Too Many Men on Field, 5 yards, enforced at WAS 49 - No Play.</x:v>
      </x:c>
      <x:c r="L2086" t="str">
        <x:v>no_play</x:v>
      </x:c>
      <x:c r="M2086" t="n">
        <x:v>0</x:v>
      </x:c>
      <x:c r="N2086" t="n">
        <x:v>1</x:v>
      </x:c>
      <x:c r="O2086" t="n">
        <x:v>1</x:v>
      </x:c>
      <x:c r="P2086"/>
      <x:c r="Q2086"/>
      <x:c r="R2086"/>
      <x:c r="S2086"/>
      <x:c r="T2086"/>
      <x:c r="U2086"/>
      <x:c r="V2086" t="n">
        <x:v>0</x:v>
      </x:c>
      <x:c r="W2086" t="n">
        <x:v>1</x:v>
      </x:c>
      <x:c r="X2086" t="n">
        <x:v>0</x:v>
      </x:c>
      <x:c r="Y2086" t="n">
        <x:v>0</x:v>
      </x:c>
      <x:c r="Z2086" t="n">
        <x:v>0</x:v>
      </x:c>
      <x:c r="AA2086" t="n">
        <x:v>1</x:v>
      </x:c>
      <x:c r="AB2086" t="n">
        <x:v>5</x:v>
      </x:c>
      <x:c r="AC2086" t="n">
        <x:v>0</x:v>
      </x:c>
      <x:c r="AD2086" t="n">
        <x:v>0.7844380713067949</x:v>
      </x:c>
      <x:c r="AE2086" t="n">
        <x:v>1</x:v>
      </x:c>
      <x:c r="AF2086" t="n">
        <x:v>0.007907040417194366</x:v>
      </x:c>
      <x:c r="AG2086" t="n">
        <x:f>_xlfn.XLOOKUP($A2086,Games!$A$2:$A$18,Games!$B$2:$B$18,"Missing game",0)</x:f>
        <x:v>2025</x:v>
      </x:c>
      <x:c r="AH2086" t="str">
        <x:f>_xlfn.XLOOKUP($A2086,Games!$A$2:$A$18,Games!$C$2:$C$18,"Missing game",0)</x:f>
        <x:v>REG</x:v>
      </x:c>
      <x:c r="AI2086" t="n">
        <x:f>_xlfn.XLOOKUP($A2086,Games!$A$2:$A$18,Games!$D$2:$D$18,"Missing game",0)</x:f>
        <x:v>14</x:v>
      </x:c>
      <x:c r="AJ2086" s="1" t="n">
        <x:f>_xlfn.XLOOKUP($A2086,Games!$A$2:$A$18,Games!$E$2:$E$18,"Missing game",0)</x:f>
        <x:v>45998</x:v>
      </x:c>
      <x:c r="AK2086" t="str">
        <x:f>_xlfn.XLOOKUP($A2086,Games!$A$2:$A$18,Games!$F$2:$F$18,"Missing game",0)</x:f>
        <x:v>Sunday</x:v>
      </x:c>
      <x:c r="AL2086" t="str">
        <x:f>_xlfn.XLOOKUP($A2086,Games!$A$2:$A$18,Games!$G$2:$G$18,"Missing game",0)</x:f>
        <x:v>WAS</x:v>
      </x:c>
      <x:c r="AM2086" t="n">
        <x:f>_xlfn.XLOOKUP($A2086,Games!$A$2:$A$18,Games!$H$2:$H$18,"Missing game",0)</x:f>
        <x:v>0</x:v>
      </x:c>
      <x:c r="AN2086" t="str">
        <x:f>_xlfn.XLOOKUP($A2086,Games!$A$2:$A$18,Games!$I$2:$I$18,"Missing game",0)</x:f>
        <x:v>MIN</x:v>
      </x:c>
      <x:c r="AO2086" t="n">
        <x:f>_xlfn.XLOOKUP($A2086,Games!$A$2:$A$18,Games!$J$2:$J$18,"Missing game",0)</x:f>
        <x:v>31</x:v>
      </x:c>
      <x:c r="AP2086" t="n">
        <x:f>_xlfn.XLOOKUP($A2086,Games!$A$2:$A$18,Games!$K$2:$K$18,"Missing game",0)</x:f>
        <x:v>31</x:v>
      </x:c>
      <x:c r="AQ2086" t="n">
        <x:f>_xlfn.XLOOKUP($A2086,Games!$A$2:$A$18,Games!$L$2:$L$18,"Missing game",0)</x:f>
        <x:v>31</x:v>
      </x:c>
      <x:c r="AR2086" t="n">
        <x:f>_xlfn.XLOOKUP($A2086,Games!$A$2:$A$18,Games!$M$2:$M$18,"Missing game",0)</x:f>
        <x:v>0</x:v>
      </x:c>
      <x:c r="AS2086" t="str">
        <x:f>_xlfn.XLOOKUP($A2086,Games!$A$2:$A$18,Games!$N$2:$N$18,"Missing game",0)</x:f>
        <x:v>dome</x:v>
      </x:c>
      <x:c r="AT2086" t="str">
        <x:f>_xlfn.XLOOKUP($A2086,Games!$A$2:$A$18,Games!$O$2:$O$18,"Missing game",0)</x:f>
        <x:v>sportturf</x:v>
      </x:c>
      <x:c r="AU2086" t="str">
        <x:f>_xlfn.XLOOKUP($A2086,Games!$A$2:$A$18,Games!$P$2:$P$18,"Missing game",0)</x:f>
      </x:c>
      <x:c r="AV2086" t="str">
        <x:f>_xlfn.XLOOKUP($A2086,Games!$A$2:$A$18,Games!$Q$2:$Q$18,"Missing game",0)</x:f>
      </x:c>
      <x:c r="AW2086" t="str">
        <x:f>_xlfn.XLOOKUP($A2086,Games!$A$2:$A$18,Games!$R$2:$R$18,"Missing game",0)</x:f>
        <x:v>U.S. Bank Stadium</x:v>
      </x:c>
    </x:row>
    <x:row r="2087">
      <x:c r="A2087" t="str">
        <x:v>2025_14_WAS_MIN</x:v>
      </x:c>
      <x:c r="B2087" t="n">
        <x:v>1923</x:v>
      </x:c>
      <x:c r="C2087" t="n">
        <x:v>3</x:v>
      </x:c>
      <x:c r="D2087" t="str">
        <x:v>11:52</x:v>
      </x:c>
      <x:c r="E2087" t="n">
        <x:v>1</x:v>
      </x:c>
      <x:c r="F2087" t="n">
        <x:v>10</x:v>
      </x:c>
      <x:c r="G2087" t="str">
        <x:v>WAS</x:v>
      </x:c>
      <x:c r="H2087" t="str">
        <x:v>MIN</x:v>
      </x:c>
      <x:c r="I2087" t="str">
        <x:v>MIN</x:v>
      </x:c>
      <x:c r="J2087" t="n">
        <x:v>46</x:v>
      </x:c>
      <x:c r="K2087" t="str">
        <x:v>(11:52) (No Huddle) 36-C.Rodriguez left tackle to MIN 42 for 4 yards (0-I.Pace; 93-J.Allen).</x:v>
      </x:c>
      <x:c r="L2087" t="str">
        <x:v>run</x:v>
      </x:c>
      <x:c r="M2087" t="n">
        <x:v>4</x:v>
      </x:c>
      <x:c r="N2087" t="n">
        <x:v>0</x:v>
      </x:c>
      <x:c r="O2087" t="n">
        <x:v>1</x:v>
      </x:c>
      <x:c r="P2087"/>
      <x:c r="Q2087"/>
      <x:c r="R2087"/>
      <x:c r="S2087"/>
      <x:c r="T2087" t="str">
        <x:v>left</x:v>
      </x:c>
      <x:c r="U2087" t="str">
        <x:v>tackle</x:v>
      </x:c>
      <x:c r="V2087" t="n">
        <x:v>0</x:v>
      </x:c>
      <x:c r="W2087" t="n">
        <x:v>0</x:v>
      </x:c>
      <x:c r="X2087" t="n">
        <x:v>0</x:v>
      </x:c>
      <x:c r="Y2087" t="n">
        <x:v>0</x:v>
      </x:c>
      <x:c r="Z2087" t="n">
        <x:v>0</x:v>
      </x:c>
      <x:c r="AA2087" t="n">
        <x:v>0</x:v>
      </x:c>
      <x:c r="AB2087"/>
      <x:c r="AC2087" t="n">
        <x:v>0</x:v>
      </x:c>
      <x:c r="AD2087" t="n">
        <x:v>-0.23094077804125845</x:v>
      </x:c>
      <x:c r="AE2087" t="n">
        <x:v>0</x:v>
      </x:c>
      <x:c r="AF2087" t="n">
        <x:v>-0.006629683077335358</x:v>
      </x:c>
      <x:c r="AG2087" t="n">
        <x:f>_xlfn.XLOOKUP($A2087,Games!$A$2:$A$18,Games!$B$2:$B$18,"Missing game",0)</x:f>
        <x:v>2025</x:v>
      </x:c>
      <x:c r="AH2087" t="str">
        <x:f>_xlfn.XLOOKUP($A2087,Games!$A$2:$A$18,Games!$C$2:$C$18,"Missing game",0)</x:f>
        <x:v>REG</x:v>
      </x:c>
      <x:c r="AI2087" t="n">
        <x:f>_xlfn.XLOOKUP($A2087,Games!$A$2:$A$18,Games!$D$2:$D$18,"Missing game",0)</x:f>
        <x:v>14</x:v>
      </x:c>
      <x:c r="AJ2087" s="1" t="n">
        <x:f>_xlfn.XLOOKUP($A2087,Games!$A$2:$A$18,Games!$E$2:$E$18,"Missing game",0)</x:f>
        <x:v>45998</x:v>
      </x:c>
      <x:c r="AK2087" t="str">
        <x:f>_xlfn.XLOOKUP($A2087,Games!$A$2:$A$18,Games!$F$2:$F$18,"Missing game",0)</x:f>
        <x:v>Sunday</x:v>
      </x:c>
      <x:c r="AL2087" t="str">
        <x:f>_xlfn.XLOOKUP($A2087,Games!$A$2:$A$18,Games!$G$2:$G$18,"Missing game",0)</x:f>
        <x:v>WAS</x:v>
      </x:c>
      <x:c r="AM2087" t="n">
        <x:f>_xlfn.XLOOKUP($A2087,Games!$A$2:$A$18,Games!$H$2:$H$18,"Missing game",0)</x:f>
        <x:v>0</x:v>
      </x:c>
      <x:c r="AN2087" t="str">
        <x:f>_xlfn.XLOOKUP($A2087,Games!$A$2:$A$18,Games!$I$2:$I$18,"Missing game",0)</x:f>
        <x:v>MIN</x:v>
      </x:c>
      <x:c r="AO2087" t="n">
        <x:f>_xlfn.XLOOKUP($A2087,Games!$A$2:$A$18,Games!$J$2:$J$18,"Missing game",0)</x:f>
        <x:v>31</x:v>
      </x:c>
      <x:c r="AP2087" t="n">
        <x:f>_xlfn.XLOOKUP($A2087,Games!$A$2:$A$18,Games!$K$2:$K$18,"Missing game",0)</x:f>
        <x:v>31</x:v>
      </x:c>
      <x:c r="AQ2087" t="n">
        <x:f>_xlfn.XLOOKUP($A2087,Games!$A$2:$A$18,Games!$L$2:$L$18,"Missing game",0)</x:f>
        <x:v>31</x:v>
      </x:c>
      <x:c r="AR2087" t="n">
        <x:f>_xlfn.XLOOKUP($A2087,Games!$A$2:$A$18,Games!$M$2:$M$18,"Missing game",0)</x:f>
        <x:v>0</x:v>
      </x:c>
      <x:c r="AS2087" t="str">
        <x:f>_xlfn.XLOOKUP($A2087,Games!$A$2:$A$18,Games!$N$2:$N$18,"Missing game",0)</x:f>
        <x:v>dome</x:v>
      </x:c>
      <x:c r="AT2087" t="str">
        <x:f>_xlfn.XLOOKUP($A2087,Games!$A$2:$A$18,Games!$O$2:$O$18,"Missing game",0)</x:f>
        <x:v>sportturf</x:v>
      </x:c>
      <x:c r="AU2087" t="str">
        <x:f>_xlfn.XLOOKUP($A2087,Games!$A$2:$A$18,Games!$P$2:$P$18,"Missing game",0)</x:f>
      </x:c>
      <x:c r="AV2087" t="str">
        <x:f>_xlfn.XLOOKUP($A2087,Games!$A$2:$A$18,Games!$Q$2:$Q$18,"Missing game",0)</x:f>
      </x:c>
      <x:c r="AW2087" t="str">
        <x:f>_xlfn.XLOOKUP($A2087,Games!$A$2:$A$18,Games!$R$2:$R$18,"Missing game",0)</x:f>
        <x:v>U.S. Bank Stadium</x:v>
      </x:c>
    </x:row>
    <x:row r="2088">
      <x:c r="A2088" t="str">
        <x:v>2025_14_WAS_MIN</x:v>
      </x:c>
      <x:c r="B2088" t="n">
        <x:v>1945</x:v>
      </x:c>
      <x:c r="C2088" t="n">
        <x:v>3</x:v>
      </x:c>
      <x:c r="D2088" t="str">
        <x:v>11:15</x:v>
      </x:c>
      <x:c r="E2088" t="n">
        <x:v>2</x:v>
      </x:c>
      <x:c r="F2088" t="n">
        <x:v>6</x:v>
      </x:c>
      <x:c r="G2088" t="str">
        <x:v>WAS</x:v>
      </x:c>
      <x:c r="H2088" t="str">
        <x:v>MIN</x:v>
      </x:c>
      <x:c r="I2088" t="str">
        <x:v>MIN</x:v>
      </x:c>
      <x:c r="J2088" t="n">
        <x:v>42</x:v>
      </x:c>
      <x:c r="K2088" t="str">
        <x:v>(11:15) (No Huddle, Shotgun) 5-J.Daniels pass incomplete short left to 1-D.Samuel.</x:v>
      </x:c>
      <x:c r="L2088" t="str">
        <x:v>pass</x:v>
      </x:c>
      <x:c r="M2088" t="n">
        <x:v>0</x:v>
      </x:c>
      <x:c r="N2088" t="n">
        <x:v>1</x:v>
      </x:c>
      <x:c r="O2088" t="n">
        <x:v>1</x:v>
      </x:c>
      <x:c r="P2088" t="str">
        <x:v>short</x:v>
      </x:c>
      <x:c r="Q2088" t="str">
        <x:v>left</x:v>
      </x:c>
      <x:c r="R2088" t="n">
        <x:v>-6</x:v>
      </x:c>
      <x:c r="S2088"/>
      <x:c r="T2088"/>
      <x:c r="U2088"/>
      <x:c r="V2088" t="n">
        <x:v>0</x:v>
      </x:c>
      <x:c r="W2088" t="n">
        <x:v>0</x:v>
      </x:c>
      <x:c r="X2088" t="n">
        <x:v>0</x:v>
      </x:c>
      <x:c r="Y2088" t="n">
        <x:v>0</x:v>
      </x:c>
      <x:c r="Z2088" t="n">
        <x:v>0</x:v>
      </x:c>
      <x:c r="AA2088" t="n">
        <x:v>0</x:v>
      </x:c>
      <x:c r="AB2088"/>
      <x:c r="AC2088" t="n">
        <x:v>0</x:v>
      </x:c>
      <x:c r="AD2088" t="n">
        <x:v>-0.904015188338235</x:v>
      </x:c>
      <x:c r="AE2088" t="n">
        <x:v>0</x:v>
      </x:c>
      <x:c r="AF2088" t="n">
        <x:v>-0.00566527247428894</x:v>
      </x:c>
      <x:c r="AG2088" t="n">
        <x:f>_xlfn.XLOOKUP($A2088,Games!$A$2:$A$18,Games!$B$2:$B$18,"Missing game",0)</x:f>
        <x:v>2025</x:v>
      </x:c>
      <x:c r="AH2088" t="str">
        <x:f>_xlfn.XLOOKUP($A2088,Games!$A$2:$A$18,Games!$C$2:$C$18,"Missing game",0)</x:f>
        <x:v>REG</x:v>
      </x:c>
      <x:c r="AI2088" t="n">
        <x:f>_xlfn.XLOOKUP($A2088,Games!$A$2:$A$18,Games!$D$2:$D$18,"Missing game",0)</x:f>
        <x:v>14</x:v>
      </x:c>
      <x:c r="AJ2088" s="1" t="n">
        <x:f>_xlfn.XLOOKUP($A2088,Games!$A$2:$A$18,Games!$E$2:$E$18,"Missing game",0)</x:f>
        <x:v>45998</x:v>
      </x:c>
      <x:c r="AK2088" t="str">
        <x:f>_xlfn.XLOOKUP($A2088,Games!$A$2:$A$18,Games!$F$2:$F$18,"Missing game",0)</x:f>
        <x:v>Sunday</x:v>
      </x:c>
      <x:c r="AL2088" t="str">
        <x:f>_xlfn.XLOOKUP($A2088,Games!$A$2:$A$18,Games!$G$2:$G$18,"Missing game",0)</x:f>
        <x:v>WAS</x:v>
      </x:c>
      <x:c r="AM2088" t="n">
        <x:f>_xlfn.XLOOKUP($A2088,Games!$A$2:$A$18,Games!$H$2:$H$18,"Missing game",0)</x:f>
        <x:v>0</x:v>
      </x:c>
      <x:c r="AN2088" t="str">
        <x:f>_xlfn.XLOOKUP($A2088,Games!$A$2:$A$18,Games!$I$2:$I$18,"Missing game",0)</x:f>
        <x:v>MIN</x:v>
      </x:c>
      <x:c r="AO2088" t="n">
        <x:f>_xlfn.XLOOKUP($A2088,Games!$A$2:$A$18,Games!$J$2:$J$18,"Missing game",0)</x:f>
        <x:v>31</x:v>
      </x:c>
      <x:c r="AP2088" t="n">
        <x:f>_xlfn.XLOOKUP($A2088,Games!$A$2:$A$18,Games!$K$2:$K$18,"Missing game",0)</x:f>
        <x:v>31</x:v>
      </x:c>
      <x:c r="AQ2088" t="n">
        <x:f>_xlfn.XLOOKUP($A2088,Games!$A$2:$A$18,Games!$L$2:$L$18,"Missing game",0)</x:f>
        <x:v>31</x:v>
      </x:c>
      <x:c r="AR2088" t="n">
        <x:f>_xlfn.XLOOKUP($A2088,Games!$A$2:$A$18,Games!$M$2:$M$18,"Missing game",0)</x:f>
        <x:v>0</x:v>
      </x:c>
      <x:c r="AS2088" t="str">
        <x:f>_xlfn.XLOOKUP($A2088,Games!$A$2:$A$18,Games!$N$2:$N$18,"Missing game",0)</x:f>
        <x:v>dome</x:v>
      </x:c>
      <x:c r="AT2088" t="str">
        <x:f>_xlfn.XLOOKUP($A2088,Games!$A$2:$A$18,Games!$O$2:$O$18,"Missing game",0)</x:f>
        <x:v>sportturf</x:v>
      </x:c>
      <x:c r="AU2088" t="str">
        <x:f>_xlfn.XLOOKUP($A2088,Games!$A$2:$A$18,Games!$P$2:$P$18,"Missing game",0)</x:f>
      </x:c>
      <x:c r="AV2088" t="str">
        <x:f>_xlfn.XLOOKUP($A2088,Games!$A$2:$A$18,Games!$Q$2:$Q$18,"Missing game",0)</x:f>
      </x:c>
      <x:c r="AW2088" t="str">
        <x:f>_xlfn.XLOOKUP($A2088,Games!$A$2:$A$18,Games!$R$2:$R$18,"Missing game",0)</x:f>
        <x:v>U.S. Bank Stadium</x:v>
      </x:c>
    </x:row>
    <x:row r="2089">
      <x:c r="A2089" t="str">
        <x:v>2025_14_WAS_MIN</x:v>
      </x:c>
      <x:c r="B2089" t="n">
        <x:v>1968</x:v>
      </x:c>
      <x:c r="C2089" t="n">
        <x:v>3</x:v>
      </x:c>
      <x:c r="D2089" t="str">
        <x:v>11:13</x:v>
      </x:c>
      <x:c r="E2089" t="n">
        <x:v>3</x:v>
      </x:c>
      <x:c r="F2089" t="n">
        <x:v>6</x:v>
      </x:c>
      <x:c r="G2089" t="str">
        <x:v>WAS</x:v>
      </x:c>
      <x:c r="H2089" t="str">
        <x:v>MIN</x:v>
      </x:c>
      <x:c r="I2089" t="str">
        <x:v>MIN</x:v>
      </x:c>
      <x:c r="J2089" t="n">
        <x:v>42</x:v>
      </x:c>
      <x:c r="K2089" t="str">
        <x:v>(11:13) (Shotgun) 5-J.Daniels scrambles right end to MIN 37 for 5 yards (7-B.Murphy; 58-J.Greenard).</x:v>
      </x:c>
      <x:c r="L2089" t="str">
        <x:v>run</x:v>
      </x:c>
      <x:c r="M2089" t="n">
        <x:v>5</x:v>
      </x:c>
      <x:c r="N2089" t="n">
        <x:v>1</x:v>
      </x:c>
      <x:c r="O2089" t="n">
        <x:v>0</x:v>
      </x:c>
      <x:c r="P2089"/>
      <x:c r="Q2089"/>
      <x:c r="R2089"/>
      <x:c r="S2089"/>
      <x:c r="T2089" t="str">
        <x:v>right</x:v>
      </x:c>
      <x:c r="U2089" t="str">
        <x:v>end</x:v>
      </x:c>
      <x:c r="V2089" t="n">
        <x:v>0</x:v>
      </x:c>
      <x:c r="W2089" t="n">
        <x:v>0</x:v>
      </x:c>
      <x:c r="X2089" t="n">
        <x:v>0</x:v>
      </x:c>
      <x:c r="Y2089" t="n">
        <x:v>0</x:v>
      </x:c>
      <x:c r="Z2089" t="n">
        <x:v>0</x:v>
      </x:c>
      <x:c r="AA2089" t="n">
        <x:v>0</x:v>
      </x:c>
      <x:c r="AB2089"/>
      <x:c r="AC2089" t="n">
        <x:v>0</x:v>
      </x:c>
      <x:c r="AD2089" t="n">
        <x:v>-0.41534797498025</x:v>
      </x:c>
      <x:c r="AE2089" t="n">
        <x:v>0</x:v>
      </x:c>
      <x:c r="AF2089" t="n">
        <x:v>-0.010741665959358215</x:v>
      </x:c>
      <x:c r="AG2089" t="n">
        <x:f>_xlfn.XLOOKUP($A2089,Games!$A$2:$A$18,Games!$B$2:$B$18,"Missing game",0)</x:f>
        <x:v>2025</x:v>
      </x:c>
      <x:c r="AH2089" t="str">
        <x:f>_xlfn.XLOOKUP($A2089,Games!$A$2:$A$18,Games!$C$2:$C$18,"Missing game",0)</x:f>
        <x:v>REG</x:v>
      </x:c>
      <x:c r="AI2089" t="n">
        <x:f>_xlfn.XLOOKUP($A2089,Games!$A$2:$A$18,Games!$D$2:$D$18,"Missing game",0)</x:f>
        <x:v>14</x:v>
      </x:c>
      <x:c r="AJ2089" s="1" t="n">
        <x:f>_xlfn.XLOOKUP($A2089,Games!$A$2:$A$18,Games!$E$2:$E$18,"Missing game",0)</x:f>
        <x:v>45998</x:v>
      </x:c>
      <x:c r="AK2089" t="str">
        <x:f>_xlfn.XLOOKUP($A2089,Games!$A$2:$A$18,Games!$F$2:$F$18,"Missing game",0)</x:f>
        <x:v>Sunday</x:v>
      </x:c>
      <x:c r="AL2089" t="str">
        <x:f>_xlfn.XLOOKUP($A2089,Games!$A$2:$A$18,Games!$G$2:$G$18,"Missing game",0)</x:f>
        <x:v>WAS</x:v>
      </x:c>
      <x:c r="AM2089" t="n">
        <x:f>_xlfn.XLOOKUP($A2089,Games!$A$2:$A$18,Games!$H$2:$H$18,"Missing game",0)</x:f>
        <x:v>0</x:v>
      </x:c>
      <x:c r="AN2089" t="str">
        <x:f>_xlfn.XLOOKUP($A2089,Games!$A$2:$A$18,Games!$I$2:$I$18,"Missing game",0)</x:f>
        <x:v>MIN</x:v>
      </x:c>
      <x:c r="AO2089" t="n">
        <x:f>_xlfn.XLOOKUP($A2089,Games!$A$2:$A$18,Games!$J$2:$J$18,"Missing game",0)</x:f>
        <x:v>31</x:v>
      </x:c>
      <x:c r="AP2089" t="n">
        <x:f>_xlfn.XLOOKUP($A2089,Games!$A$2:$A$18,Games!$K$2:$K$18,"Missing game",0)</x:f>
        <x:v>31</x:v>
      </x:c>
      <x:c r="AQ2089" t="n">
        <x:f>_xlfn.XLOOKUP($A2089,Games!$A$2:$A$18,Games!$L$2:$L$18,"Missing game",0)</x:f>
        <x:v>31</x:v>
      </x:c>
      <x:c r="AR2089" t="n">
        <x:f>_xlfn.XLOOKUP($A2089,Games!$A$2:$A$18,Games!$M$2:$M$18,"Missing game",0)</x:f>
        <x:v>0</x:v>
      </x:c>
      <x:c r="AS2089" t="str">
        <x:f>_xlfn.XLOOKUP($A2089,Games!$A$2:$A$18,Games!$N$2:$N$18,"Missing game",0)</x:f>
        <x:v>dome</x:v>
      </x:c>
      <x:c r="AT2089" t="str">
        <x:f>_xlfn.XLOOKUP($A2089,Games!$A$2:$A$18,Games!$O$2:$O$18,"Missing game",0)</x:f>
        <x:v>sportturf</x:v>
      </x:c>
      <x:c r="AU2089" t="str">
        <x:f>_xlfn.XLOOKUP($A2089,Games!$A$2:$A$18,Games!$P$2:$P$18,"Missing game",0)</x:f>
      </x:c>
      <x:c r="AV2089" t="str">
        <x:f>_xlfn.XLOOKUP($A2089,Games!$A$2:$A$18,Games!$Q$2:$Q$18,"Missing game",0)</x:f>
      </x:c>
      <x:c r="AW2089" t="str">
        <x:f>_xlfn.XLOOKUP($A2089,Games!$A$2:$A$18,Games!$R$2:$R$18,"Missing game",0)</x:f>
        <x:v>U.S. Bank Stadium</x:v>
      </x:c>
    </x:row>
    <x:row r="2090">
      <x:c r="A2090" t="str">
        <x:v>2025_14_WAS_MIN</x:v>
      </x:c>
      <x:c r="B2090" t="n">
        <x:v>1990</x:v>
      </x:c>
      <x:c r="C2090" t="n">
        <x:v>3</x:v>
      </x:c>
      <x:c r="D2090" t="str">
        <x:v>10:26</x:v>
      </x:c>
      <x:c r="E2090" t="n">
        <x:v>4</x:v>
      </x:c>
      <x:c r="F2090" t="n">
        <x:v>1</x:v>
      </x:c>
      <x:c r="G2090" t="str">
        <x:v>WAS</x:v>
      </x:c>
      <x:c r="H2090" t="str">
        <x:v>MIN</x:v>
      </x:c>
      <x:c r="I2090" t="str">
        <x:v>MIN</x:v>
      </x:c>
      <x:c r="J2090" t="n">
        <x:v>37</x:v>
      </x:c>
      <x:c r="K2090" t="str">
        <x:v>(10:26) (No Huddle) 5-J.Daniels pass short left to 86-Z.Ertz to MIN 26 for 11 yards (2-I.Rodgers; 51-B.Cashman).</x:v>
      </x:c>
      <x:c r="L2090" t="str">
        <x:v>pass</x:v>
      </x:c>
      <x:c r="M2090" t="n">
        <x:v>11</x:v>
      </x:c>
      <x:c r="N2090" t="n">
        <x:v>0</x:v>
      </x:c>
      <x:c r="O2090" t="n">
        <x:v>1</x:v>
      </x:c>
      <x:c r="P2090" t="str">
        <x:v>short</x:v>
      </x:c>
      <x:c r="Q2090" t="str">
        <x:v>left</x:v>
      </x:c>
      <x:c r="R2090" t="n">
        <x:v>5</x:v>
      </x:c>
      <x:c r="S2090" t="n">
        <x:v>6</x:v>
      </x:c>
      <x:c r="T2090"/>
      <x:c r="U2090"/>
      <x:c r="V2090" t="n">
        <x:v>1</x:v>
      </x:c>
      <x:c r="W2090" t="n">
        <x:v>1</x:v>
      </x:c>
      <x:c r="X2090" t="n">
        <x:v>0</x:v>
      </x:c>
      <x:c r="Y2090" t="n">
        <x:v>0</x:v>
      </x:c>
      <x:c r="Z2090" t="n">
        <x:v>0</x:v>
      </x:c>
      <x:c r="AA2090" t="n">
        <x:v>0</x:v>
      </x:c>
      <x:c r="AB2090"/>
      <x:c r="AC2090" t="n">
        <x:v>0</x:v>
      </x:c>
      <x:c r="AD2090" t="n">
        <x:v>2.963163719046861</x:v>
      </x:c>
      <x:c r="AE2090" t="n">
        <x:v>1</x:v>
      </x:c>
      <x:c r="AF2090" t="n">
        <x:v>0.05257047712802887</x:v>
      </x:c>
      <x:c r="AG2090" t="n">
        <x:f>_xlfn.XLOOKUP($A2090,Games!$A$2:$A$18,Games!$B$2:$B$18,"Missing game",0)</x:f>
        <x:v>2025</x:v>
      </x:c>
      <x:c r="AH2090" t="str">
        <x:f>_xlfn.XLOOKUP($A2090,Games!$A$2:$A$18,Games!$C$2:$C$18,"Missing game",0)</x:f>
        <x:v>REG</x:v>
      </x:c>
      <x:c r="AI2090" t="n">
        <x:f>_xlfn.XLOOKUP($A2090,Games!$A$2:$A$18,Games!$D$2:$D$18,"Missing game",0)</x:f>
        <x:v>14</x:v>
      </x:c>
      <x:c r="AJ2090" s="1" t="n">
        <x:f>_xlfn.XLOOKUP($A2090,Games!$A$2:$A$18,Games!$E$2:$E$18,"Missing game",0)</x:f>
        <x:v>45998</x:v>
      </x:c>
      <x:c r="AK2090" t="str">
        <x:f>_xlfn.XLOOKUP($A2090,Games!$A$2:$A$18,Games!$F$2:$F$18,"Missing game",0)</x:f>
        <x:v>Sunday</x:v>
      </x:c>
      <x:c r="AL2090" t="str">
        <x:f>_xlfn.XLOOKUP($A2090,Games!$A$2:$A$18,Games!$G$2:$G$18,"Missing game",0)</x:f>
        <x:v>WAS</x:v>
      </x:c>
      <x:c r="AM2090" t="n">
        <x:f>_xlfn.XLOOKUP($A2090,Games!$A$2:$A$18,Games!$H$2:$H$18,"Missing game",0)</x:f>
        <x:v>0</x:v>
      </x:c>
      <x:c r="AN2090" t="str">
        <x:f>_xlfn.XLOOKUP($A2090,Games!$A$2:$A$18,Games!$I$2:$I$18,"Missing game",0)</x:f>
        <x:v>MIN</x:v>
      </x:c>
      <x:c r="AO2090" t="n">
        <x:f>_xlfn.XLOOKUP($A2090,Games!$A$2:$A$18,Games!$J$2:$J$18,"Missing game",0)</x:f>
        <x:v>31</x:v>
      </x:c>
      <x:c r="AP2090" t="n">
        <x:f>_xlfn.XLOOKUP($A2090,Games!$A$2:$A$18,Games!$K$2:$K$18,"Missing game",0)</x:f>
        <x:v>31</x:v>
      </x:c>
      <x:c r="AQ2090" t="n">
        <x:f>_xlfn.XLOOKUP($A2090,Games!$A$2:$A$18,Games!$L$2:$L$18,"Missing game",0)</x:f>
        <x:v>31</x:v>
      </x:c>
      <x:c r="AR2090" t="n">
        <x:f>_xlfn.XLOOKUP($A2090,Games!$A$2:$A$18,Games!$M$2:$M$18,"Missing game",0)</x:f>
        <x:v>0</x:v>
      </x:c>
      <x:c r="AS2090" t="str">
        <x:f>_xlfn.XLOOKUP($A2090,Games!$A$2:$A$18,Games!$N$2:$N$18,"Missing game",0)</x:f>
        <x:v>dome</x:v>
      </x:c>
      <x:c r="AT2090" t="str">
        <x:f>_xlfn.XLOOKUP($A2090,Games!$A$2:$A$18,Games!$O$2:$O$18,"Missing game",0)</x:f>
        <x:v>sportturf</x:v>
      </x:c>
      <x:c r="AU2090" t="str">
        <x:f>_xlfn.XLOOKUP($A2090,Games!$A$2:$A$18,Games!$P$2:$P$18,"Missing game",0)</x:f>
      </x:c>
      <x:c r="AV2090" t="str">
        <x:f>_xlfn.XLOOKUP($A2090,Games!$A$2:$A$18,Games!$Q$2:$Q$18,"Missing game",0)</x:f>
      </x:c>
      <x:c r="AW2090" t="str">
        <x:f>_xlfn.XLOOKUP($A2090,Games!$A$2:$A$18,Games!$R$2:$R$18,"Missing game",0)</x:f>
        <x:v>U.S. Bank Stadium</x:v>
      </x:c>
    </x:row>
    <x:row r="2091">
      <x:c r="A2091" t="str">
        <x:v>2025_14_WAS_MIN</x:v>
      </x:c>
      <x:c r="B2091" t="n">
        <x:v>2015</x:v>
      </x:c>
      <x:c r="C2091" t="n">
        <x:v>3</x:v>
      </x:c>
      <x:c r="D2091" t="str">
        <x:v>09:45</x:v>
      </x:c>
      <x:c r="E2091" t="n">
        <x:v>1</x:v>
      </x:c>
      <x:c r="F2091" t="n">
        <x:v>10</x:v>
      </x:c>
      <x:c r="G2091" t="str">
        <x:v>WAS</x:v>
      </x:c>
      <x:c r="H2091" t="str">
        <x:v>MIN</x:v>
      </x:c>
      <x:c r="I2091" t="str">
        <x:v>MIN</x:v>
      </x:c>
      <x:c r="J2091" t="n">
        <x:v>26</x:v>
      </x:c>
      <x:c r="K2091" t="str">
        <x:v>(9:45) (No Huddle) 22-J.Croskey-Merritt right guard to MIN 19 for 7 yards (22-H.Smith).</x:v>
      </x:c>
      <x:c r="L2091" t="str">
        <x:v>run</x:v>
      </x:c>
      <x:c r="M2091" t="n">
        <x:v>7</x:v>
      </x:c>
      <x:c r="N2091" t="n">
        <x:v>0</x:v>
      </x:c>
      <x:c r="O2091" t="n">
        <x:v>1</x:v>
      </x:c>
      <x:c r="P2091"/>
      <x:c r="Q2091"/>
      <x:c r="R2091"/>
      <x:c r="S2091"/>
      <x:c r="T2091" t="str">
        <x:v>right</x:v>
      </x:c>
      <x:c r="U2091" t="str">
        <x:v>guard</x:v>
      </x:c>
      <x:c r="V2091" t="n">
        <x:v>0</x:v>
      </x:c>
      <x:c r="W2091" t="n">
        <x:v>0</x:v>
      </x:c>
      <x:c r="X2091" t="n">
        <x:v>0</x:v>
      </x:c>
      <x:c r="Y2091" t="n">
        <x:v>0</x:v>
      </x:c>
      <x:c r="Z2091" t="n">
        <x:v>0</x:v>
      </x:c>
      <x:c r="AA2091" t="n">
        <x:v>0</x:v>
      </x:c>
      <x:c r="AB2091"/>
      <x:c r="AC2091" t="n">
        <x:v>0</x:v>
      </x:c>
      <x:c r="AD2091" t="n">
        <x:v>0.22722158627584577</x:v>
      </x:c>
      <x:c r="AE2091" t="n">
        <x:v>1</x:v>
      </x:c>
      <x:c r="AF2091" t="n">
        <x:v>0.005745023488998413</x:v>
      </x:c>
      <x:c r="AG2091" t="n">
        <x:f>_xlfn.XLOOKUP($A2091,Games!$A$2:$A$18,Games!$B$2:$B$18,"Missing game",0)</x:f>
        <x:v>2025</x:v>
      </x:c>
      <x:c r="AH2091" t="str">
        <x:f>_xlfn.XLOOKUP($A2091,Games!$A$2:$A$18,Games!$C$2:$C$18,"Missing game",0)</x:f>
        <x:v>REG</x:v>
      </x:c>
      <x:c r="AI2091" t="n">
        <x:f>_xlfn.XLOOKUP($A2091,Games!$A$2:$A$18,Games!$D$2:$D$18,"Missing game",0)</x:f>
        <x:v>14</x:v>
      </x:c>
      <x:c r="AJ2091" s="1" t="n">
        <x:f>_xlfn.XLOOKUP($A2091,Games!$A$2:$A$18,Games!$E$2:$E$18,"Missing game",0)</x:f>
        <x:v>45998</x:v>
      </x:c>
      <x:c r="AK2091" t="str">
        <x:f>_xlfn.XLOOKUP($A2091,Games!$A$2:$A$18,Games!$F$2:$F$18,"Missing game",0)</x:f>
        <x:v>Sunday</x:v>
      </x:c>
      <x:c r="AL2091" t="str">
        <x:f>_xlfn.XLOOKUP($A2091,Games!$A$2:$A$18,Games!$G$2:$G$18,"Missing game",0)</x:f>
        <x:v>WAS</x:v>
      </x:c>
      <x:c r="AM2091" t="n">
        <x:f>_xlfn.XLOOKUP($A2091,Games!$A$2:$A$18,Games!$H$2:$H$18,"Missing game",0)</x:f>
        <x:v>0</x:v>
      </x:c>
      <x:c r="AN2091" t="str">
        <x:f>_xlfn.XLOOKUP($A2091,Games!$A$2:$A$18,Games!$I$2:$I$18,"Missing game",0)</x:f>
        <x:v>MIN</x:v>
      </x:c>
      <x:c r="AO2091" t="n">
        <x:f>_xlfn.XLOOKUP($A2091,Games!$A$2:$A$18,Games!$J$2:$J$18,"Missing game",0)</x:f>
        <x:v>31</x:v>
      </x:c>
      <x:c r="AP2091" t="n">
        <x:f>_xlfn.XLOOKUP($A2091,Games!$A$2:$A$18,Games!$K$2:$K$18,"Missing game",0)</x:f>
        <x:v>31</x:v>
      </x:c>
      <x:c r="AQ2091" t="n">
        <x:f>_xlfn.XLOOKUP($A2091,Games!$A$2:$A$18,Games!$L$2:$L$18,"Missing game",0)</x:f>
        <x:v>31</x:v>
      </x:c>
      <x:c r="AR2091" t="n">
        <x:f>_xlfn.XLOOKUP($A2091,Games!$A$2:$A$18,Games!$M$2:$M$18,"Missing game",0)</x:f>
        <x:v>0</x:v>
      </x:c>
      <x:c r="AS2091" t="str">
        <x:f>_xlfn.XLOOKUP($A2091,Games!$A$2:$A$18,Games!$N$2:$N$18,"Missing game",0)</x:f>
        <x:v>dome</x:v>
      </x:c>
      <x:c r="AT2091" t="str">
        <x:f>_xlfn.XLOOKUP($A2091,Games!$A$2:$A$18,Games!$O$2:$O$18,"Missing game",0)</x:f>
        <x:v>sportturf</x:v>
      </x:c>
      <x:c r="AU2091" t="str">
        <x:f>_xlfn.XLOOKUP($A2091,Games!$A$2:$A$18,Games!$P$2:$P$18,"Missing game",0)</x:f>
      </x:c>
      <x:c r="AV2091" t="str">
        <x:f>_xlfn.XLOOKUP($A2091,Games!$A$2:$A$18,Games!$Q$2:$Q$18,"Missing game",0)</x:f>
      </x:c>
      <x:c r="AW2091" t="str">
        <x:f>_xlfn.XLOOKUP($A2091,Games!$A$2:$A$18,Games!$R$2:$R$18,"Missing game",0)</x:f>
        <x:v>U.S. Bank Stadium</x:v>
      </x:c>
    </x:row>
    <x:row r="2092">
      <x:c r="A2092" t="str">
        <x:v>2025_14_WAS_MIN</x:v>
      </x:c>
      <x:c r="B2092" t="n">
        <x:v>2037</x:v>
      </x:c>
      <x:c r="C2092" t="n">
        <x:v>3</x:v>
      </x:c>
      <x:c r="D2092" t="str">
        <x:v>09:10</x:v>
      </x:c>
      <x:c r="E2092" t="n">
        <x:v>2</x:v>
      </x:c>
      <x:c r="F2092" t="n">
        <x:v>3</x:v>
      </x:c>
      <x:c r="G2092" t="str">
        <x:v>WAS</x:v>
      </x:c>
      <x:c r="H2092" t="str">
        <x:v>MIN</x:v>
      </x:c>
      <x:c r="I2092" t="str">
        <x:v>MIN</x:v>
      </x:c>
      <x:c r="J2092" t="n">
        <x:v>19</x:v>
      </x:c>
      <x:c r="K2092" t="str">
        <x:v>(9:10) (No Huddle, Shotgun) 22-J.Croskey-Merritt right end to MIN 19 for no gain (61-J.Redmond; 2-I.Rodgers).</x:v>
      </x:c>
      <x:c r="L2092" t="str">
        <x:v>run</x:v>
      </x:c>
      <x:c r="M2092" t="n">
        <x:v>0</x:v>
      </x:c>
      <x:c r="N2092" t="n">
        <x:v>1</x:v>
      </x:c>
      <x:c r="O2092" t="n">
        <x:v>1</x:v>
      </x:c>
      <x:c r="P2092"/>
      <x:c r="Q2092"/>
      <x:c r="R2092"/>
      <x:c r="S2092"/>
      <x:c r="T2092" t="str">
        <x:v>right</x:v>
      </x:c>
      <x:c r="U2092" t="str">
        <x:v>end</x:v>
      </x:c>
      <x:c r="V2092" t="n">
        <x:v>0</x:v>
      </x:c>
      <x:c r="W2092" t="n">
        <x:v>0</x:v>
      </x:c>
      <x:c r="X2092" t="n">
        <x:v>0</x:v>
      </x:c>
      <x:c r="Y2092" t="n">
        <x:v>0</x:v>
      </x:c>
      <x:c r="Z2092" t="n">
        <x:v>0</x:v>
      </x:c>
      <x:c r="AA2092" t="n">
        <x:v>0</x:v>
      </x:c>
      <x:c r="AB2092"/>
      <x:c r="AC2092" t="n">
        <x:v>0</x:v>
      </x:c>
      <x:c r="AD2092" t="n">
        <x:v>-0.6244010865921155</x:v>
      </x:c>
      <x:c r="AE2092" t="n">
        <x:v>0</x:v>
      </x:c>
      <x:c r="AF2092" t="n">
        <x:v>-0.011698827147483826</x:v>
      </x:c>
      <x:c r="AG2092" t="n">
        <x:f>_xlfn.XLOOKUP($A2092,Games!$A$2:$A$18,Games!$B$2:$B$18,"Missing game",0)</x:f>
        <x:v>2025</x:v>
      </x:c>
      <x:c r="AH2092" t="str">
        <x:f>_xlfn.XLOOKUP($A2092,Games!$A$2:$A$18,Games!$C$2:$C$18,"Missing game",0)</x:f>
        <x:v>REG</x:v>
      </x:c>
      <x:c r="AI2092" t="n">
        <x:f>_xlfn.XLOOKUP($A2092,Games!$A$2:$A$18,Games!$D$2:$D$18,"Missing game",0)</x:f>
        <x:v>14</x:v>
      </x:c>
      <x:c r="AJ2092" s="1" t="n">
        <x:f>_xlfn.XLOOKUP($A2092,Games!$A$2:$A$18,Games!$E$2:$E$18,"Missing game",0)</x:f>
        <x:v>45998</x:v>
      </x:c>
      <x:c r="AK2092" t="str">
        <x:f>_xlfn.XLOOKUP($A2092,Games!$A$2:$A$18,Games!$F$2:$F$18,"Missing game",0)</x:f>
        <x:v>Sunday</x:v>
      </x:c>
      <x:c r="AL2092" t="str">
        <x:f>_xlfn.XLOOKUP($A2092,Games!$A$2:$A$18,Games!$G$2:$G$18,"Missing game",0)</x:f>
        <x:v>WAS</x:v>
      </x:c>
      <x:c r="AM2092" t="n">
        <x:f>_xlfn.XLOOKUP($A2092,Games!$A$2:$A$18,Games!$H$2:$H$18,"Missing game",0)</x:f>
        <x:v>0</x:v>
      </x:c>
      <x:c r="AN2092" t="str">
        <x:f>_xlfn.XLOOKUP($A2092,Games!$A$2:$A$18,Games!$I$2:$I$18,"Missing game",0)</x:f>
        <x:v>MIN</x:v>
      </x:c>
      <x:c r="AO2092" t="n">
        <x:f>_xlfn.XLOOKUP($A2092,Games!$A$2:$A$18,Games!$J$2:$J$18,"Missing game",0)</x:f>
        <x:v>31</x:v>
      </x:c>
      <x:c r="AP2092" t="n">
        <x:f>_xlfn.XLOOKUP($A2092,Games!$A$2:$A$18,Games!$K$2:$K$18,"Missing game",0)</x:f>
        <x:v>31</x:v>
      </x:c>
      <x:c r="AQ2092" t="n">
        <x:f>_xlfn.XLOOKUP($A2092,Games!$A$2:$A$18,Games!$L$2:$L$18,"Missing game",0)</x:f>
        <x:v>31</x:v>
      </x:c>
      <x:c r="AR2092" t="n">
        <x:f>_xlfn.XLOOKUP($A2092,Games!$A$2:$A$18,Games!$M$2:$M$18,"Missing game",0)</x:f>
        <x:v>0</x:v>
      </x:c>
      <x:c r="AS2092" t="str">
        <x:f>_xlfn.XLOOKUP($A2092,Games!$A$2:$A$18,Games!$N$2:$N$18,"Missing game",0)</x:f>
        <x:v>dome</x:v>
      </x:c>
      <x:c r="AT2092" t="str">
        <x:f>_xlfn.XLOOKUP($A2092,Games!$A$2:$A$18,Games!$O$2:$O$18,"Missing game",0)</x:f>
        <x:v>sportturf</x:v>
      </x:c>
      <x:c r="AU2092" t="str">
        <x:f>_xlfn.XLOOKUP($A2092,Games!$A$2:$A$18,Games!$P$2:$P$18,"Missing game",0)</x:f>
      </x:c>
      <x:c r="AV2092" t="str">
        <x:f>_xlfn.XLOOKUP($A2092,Games!$A$2:$A$18,Games!$Q$2:$Q$18,"Missing game",0)</x:f>
      </x:c>
      <x:c r="AW2092" t="str">
        <x:f>_xlfn.XLOOKUP($A2092,Games!$A$2:$A$18,Games!$R$2:$R$18,"Missing game",0)</x:f>
        <x:v>U.S. Bank Stadium</x:v>
      </x:c>
    </x:row>
    <x:row r="2093">
      <x:c r="A2093" t="str">
        <x:v>2025_14_WAS_MIN</x:v>
      </x:c>
      <x:c r="B2093" t="n">
        <x:v>2059</x:v>
      </x:c>
      <x:c r="C2093" t="n">
        <x:v>3</x:v>
      </x:c>
      <x:c r="D2093" t="str">
        <x:v>08:27</x:v>
      </x:c>
      <x:c r="E2093" t="n">
        <x:v>3</x:v>
      </x:c>
      <x:c r="F2093" t="n">
        <x:v>3</x:v>
      </x:c>
      <x:c r="G2093" t="str">
        <x:v>WAS</x:v>
      </x:c>
      <x:c r="H2093" t="str">
        <x:v>MIN</x:v>
      </x:c>
      <x:c r="I2093" t="str">
        <x:v>MIN</x:v>
      </x:c>
      <x:c r="J2093" t="n">
        <x:v>19</x:v>
      </x:c>
      <x:c r="K2093" t="str">
        <x:v>(8:27) (No Huddle, Shotgun) 5-J.Daniels pass incomplete short left to 85-N.Brown.</x:v>
      </x:c>
      <x:c r="L2093" t="str">
        <x:v>pass</x:v>
      </x:c>
      <x:c r="M2093" t="n">
        <x:v>0</x:v>
      </x:c>
      <x:c r="N2093" t="n">
        <x:v>1</x:v>
      </x:c>
      <x:c r="O2093" t="n">
        <x:v>1</x:v>
      </x:c>
      <x:c r="P2093" t="str">
        <x:v>short</x:v>
      </x:c>
      <x:c r="Q2093" t="str">
        <x:v>left</x:v>
      </x:c>
      <x:c r="R2093" t="n">
        <x:v>4</x:v>
      </x:c>
      <x:c r="S2093"/>
      <x:c r="T2093"/>
      <x:c r="U2093"/>
      <x:c r="V2093" t="n">
        <x:v>0</x:v>
      </x:c>
      <x:c r="W2093" t="n">
        <x:v>0</x:v>
      </x:c>
      <x:c r="X2093" t="n">
        <x:v>0</x:v>
      </x:c>
      <x:c r="Y2093" t="n">
        <x:v>0</x:v>
      </x:c>
      <x:c r="Z2093" t="n">
        <x:v>0</x:v>
      </x:c>
      <x:c r="AA2093" t="n">
        <x:v>0</x:v>
      </x:c>
      <x:c r="AB2093"/>
      <x:c r="AC2093" t="n">
        <x:v>0</x:v>
      </x:c>
      <x:c r="AD2093" t="n">
        <x:v>-1.3978695881087333</x:v>
      </x:c>
      <x:c r="AE2093" t="n">
        <x:v>0</x:v>
      </x:c>
      <x:c r="AF2093" t="n">
        <x:v>-0.030565030872821808</x:v>
      </x:c>
      <x:c r="AG2093" t="n">
        <x:f>_xlfn.XLOOKUP($A2093,Games!$A$2:$A$18,Games!$B$2:$B$18,"Missing game",0)</x:f>
        <x:v>2025</x:v>
      </x:c>
      <x:c r="AH2093" t="str">
        <x:f>_xlfn.XLOOKUP($A2093,Games!$A$2:$A$18,Games!$C$2:$C$18,"Missing game",0)</x:f>
        <x:v>REG</x:v>
      </x:c>
      <x:c r="AI2093" t="n">
        <x:f>_xlfn.XLOOKUP($A2093,Games!$A$2:$A$18,Games!$D$2:$D$18,"Missing game",0)</x:f>
        <x:v>14</x:v>
      </x:c>
      <x:c r="AJ2093" s="1" t="n">
        <x:f>_xlfn.XLOOKUP($A2093,Games!$A$2:$A$18,Games!$E$2:$E$18,"Missing game",0)</x:f>
        <x:v>45998</x:v>
      </x:c>
      <x:c r="AK2093" t="str">
        <x:f>_xlfn.XLOOKUP($A2093,Games!$A$2:$A$18,Games!$F$2:$F$18,"Missing game",0)</x:f>
        <x:v>Sunday</x:v>
      </x:c>
      <x:c r="AL2093" t="str">
        <x:f>_xlfn.XLOOKUP($A2093,Games!$A$2:$A$18,Games!$G$2:$G$18,"Missing game",0)</x:f>
        <x:v>WAS</x:v>
      </x:c>
      <x:c r="AM2093" t="n">
        <x:f>_xlfn.XLOOKUP($A2093,Games!$A$2:$A$18,Games!$H$2:$H$18,"Missing game",0)</x:f>
        <x:v>0</x:v>
      </x:c>
      <x:c r="AN2093" t="str">
        <x:f>_xlfn.XLOOKUP($A2093,Games!$A$2:$A$18,Games!$I$2:$I$18,"Missing game",0)</x:f>
        <x:v>MIN</x:v>
      </x:c>
      <x:c r="AO2093" t="n">
        <x:f>_xlfn.XLOOKUP($A2093,Games!$A$2:$A$18,Games!$J$2:$J$18,"Missing game",0)</x:f>
        <x:v>31</x:v>
      </x:c>
      <x:c r="AP2093" t="n">
        <x:f>_xlfn.XLOOKUP($A2093,Games!$A$2:$A$18,Games!$K$2:$K$18,"Missing game",0)</x:f>
        <x:v>31</x:v>
      </x:c>
      <x:c r="AQ2093" t="n">
        <x:f>_xlfn.XLOOKUP($A2093,Games!$A$2:$A$18,Games!$L$2:$L$18,"Missing game",0)</x:f>
        <x:v>31</x:v>
      </x:c>
      <x:c r="AR2093" t="n">
        <x:f>_xlfn.XLOOKUP($A2093,Games!$A$2:$A$18,Games!$M$2:$M$18,"Missing game",0)</x:f>
        <x:v>0</x:v>
      </x:c>
      <x:c r="AS2093" t="str">
        <x:f>_xlfn.XLOOKUP($A2093,Games!$A$2:$A$18,Games!$N$2:$N$18,"Missing game",0)</x:f>
        <x:v>dome</x:v>
      </x:c>
      <x:c r="AT2093" t="str">
        <x:f>_xlfn.XLOOKUP($A2093,Games!$A$2:$A$18,Games!$O$2:$O$18,"Missing game",0)</x:f>
        <x:v>sportturf</x:v>
      </x:c>
      <x:c r="AU2093" t="str">
        <x:f>_xlfn.XLOOKUP($A2093,Games!$A$2:$A$18,Games!$P$2:$P$18,"Missing game",0)</x:f>
      </x:c>
      <x:c r="AV2093" t="str">
        <x:f>_xlfn.XLOOKUP($A2093,Games!$A$2:$A$18,Games!$Q$2:$Q$18,"Missing game",0)</x:f>
      </x:c>
      <x:c r="AW2093" t="str">
        <x:f>_xlfn.XLOOKUP($A2093,Games!$A$2:$A$18,Games!$R$2:$R$18,"Missing game",0)</x:f>
        <x:v>U.S. Bank Stadium</x:v>
      </x:c>
    </x:row>
    <x:row r="2094">
      <x:c r="A2094" t="str">
        <x:v>2025_14_WAS_MIN</x:v>
      </x:c>
      <x:c r="B2094" t="n">
        <x:v>2082</x:v>
      </x:c>
      <x:c r="C2094" t="n">
        <x:v>3</x:v>
      </x:c>
      <x:c r="D2094" t="str">
        <x:v>08:24</x:v>
      </x:c>
      <x:c r="E2094" t="n">
        <x:v>4</x:v>
      </x:c>
      <x:c r="F2094" t="n">
        <x:v>3</x:v>
      </x:c>
      <x:c r="G2094" t="str">
        <x:v>WAS</x:v>
      </x:c>
      <x:c r="H2094" t="str">
        <x:v>MIN</x:v>
      </x:c>
      <x:c r="I2094" t="str">
        <x:v>MIN</x:v>
      </x:c>
      <x:c r="J2094" t="n">
        <x:v>19</x:v>
      </x:c>
      <x:c r="K2094" t="str">
        <x:v>(8:24) (No Huddle, Shotgun) 5-J.Daniels pass short left intended for 17-T.McLaurin INTERCEPTED by 43-A.Van Ginkel at MIN 30. 43-A.Van Ginkel to WAS 30 for 40 yards (17-T.McLaurin).</x:v>
      </x:c>
      <x:c r="L2094" t="str">
        <x:v>pass</x:v>
      </x:c>
      <x:c r="M2094" t="n">
        <x:v>0</x:v>
      </x:c>
      <x:c r="N2094" t="n">
        <x:v>1</x:v>
      </x:c>
      <x:c r="O2094" t="n">
        <x:v>1</x:v>
      </x:c>
      <x:c r="P2094" t="str">
        <x:v>short</x:v>
      </x:c>
      <x:c r="Q2094" t="str">
        <x:v>left</x:v>
      </x:c>
      <x:c r="R2094" t="n">
        <x:v>-11</x:v>
      </x:c>
      <x:c r="S2094"/>
      <x:c r="T2094"/>
      <x:c r="U2094"/>
      <x:c r="V2094" t="n">
        <x:v>0</x:v>
      </x:c>
      <x:c r="W2094" t="n">
        <x:v>0</x:v>
      </x:c>
      <x:c r="X2094" t="n">
        <x:v>0</x:v>
      </x:c>
      <x:c r="Y2094" t="n">
        <x:v>1</x:v>
      </x:c>
      <x:c r="Z2094" t="n">
        <x:v>0</x:v>
      </x:c>
      <x:c r="AA2094" t="n">
        <x:v>0</x:v>
      </x:c>
      <x:c r="AB2094"/>
      <x:c r="AC2094" t="n">
        <x:v>0</x:v>
      </x:c>
      <x:c r="AD2094" t="n">
        <x:v>-6.9402786125428975</x:v>
      </x:c>
      <x:c r="AE2094" t="n">
        <x:v>0</x:v>
      </x:c>
      <x:c r="AF2094" t="n">
        <x:v>-0.05717938393354416</x:v>
      </x:c>
      <x:c r="AG2094" t="n">
        <x:f>_xlfn.XLOOKUP($A2094,Games!$A$2:$A$18,Games!$B$2:$B$18,"Missing game",0)</x:f>
        <x:v>2025</x:v>
      </x:c>
      <x:c r="AH2094" t="str">
        <x:f>_xlfn.XLOOKUP($A2094,Games!$A$2:$A$18,Games!$C$2:$C$18,"Missing game",0)</x:f>
        <x:v>REG</x:v>
      </x:c>
      <x:c r="AI2094" t="n">
        <x:f>_xlfn.XLOOKUP($A2094,Games!$A$2:$A$18,Games!$D$2:$D$18,"Missing game",0)</x:f>
        <x:v>14</x:v>
      </x:c>
      <x:c r="AJ2094" s="1" t="n">
        <x:f>_xlfn.XLOOKUP($A2094,Games!$A$2:$A$18,Games!$E$2:$E$18,"Missing game",0)</x:f>
        <x:v>45998</x:v>
      </x:c>
      <x:c r="AK2094" t="str">
        <x:f>_xlfn.XLOOKUP($A2094,Games!$A$2:$A$18,Games!$F$2:$F$18,"Missing game",0)</x:f>
        <x:v>Sunday</x:v>
      </x:c>
      <x:c r="AL2094" t="str">
        <x:f>_xlfn.XLOOKUP($A2094,Games!$A$2:$A$18,Games!$G$2:$G$18,"Missing game",0)</x:f>
        <x:v>WAS</x:v>
      </x:c>
      <x:c r="AM2094" t="n">
        <x:f>_xlfn.XLOOKUP($A2094,Games!$A$2:$A$18,Games!$H$2:$H$18,"Missing game",0)</x:f>
        <x:v>0</x:v>
      </x:c>
      <x:c r="AN2094" t="str">
        <x:f>_xlfn.XLOOKUP($A2094,Games!$A$2:$A$18,Games!$I$2:$I$18,"Missing game",0)</x:f>
        <x:v>MIN</x:v>
      </x:c>
      <x:c r="AO2094" t="n">
        <x:f>_xlfn.XLOOKUP($A2094,Games!$A$2:$A$18,Games!$J$2:$J$18,"Missing game",0)</x:f>
        <x:v>31</x:v>
      </x:c>
      <x:c r="AP2094" t="n">
        <x:f>_xlfn.XLOOKUP($A2094,Games!$A$2:$A$18,Games!$K$2:$K$18,"Missing game",0)</x:f>
        <x:v>31</x:v>
      </x:c>
      <x:c r="AQ2094" t="n">
        <x:f>_xlfn.XLOOKUP($A2094,Games!$A$2:$A$18,Games!$L$2:$L$18,"Missing game",0)</x:f>
        <x:v>31</x:v>
      </x:c>
      <x:c r="AR2094" t="n">
        <x:f>_xlfn.XLOOKUP($A2094,Games!$A$2:$A$18,Games!$M$2:$M$18,"Missing game",0)</x:f>
        <x:v>0</x:v>
      </x:c>
      <x:c r="AS2094" t="str">
        <x:f>_xlfn.XLOOKUP($A2094,Games!$A$2:$A$18,Games!$N$2:$N$18,"Missing game",0)</x:f>
        <x:v>dome</x:v>
      </x:c>
      <x:c r="AT2094" t="str">
        <x:f>_xlfn.XLOOKUP($A2094,Games!$A$2:$A$18,Games!$O$2:$O$18,"Missing game",0)</x:f>
        <x:v>sportturf</x:v>
      </x:c>
      <x:c r="AU2094" t="str">
        <x:f>_xlfn.XLOOKUP($A2094,Games!$A$2:$A$18,Games!$P$2:$P$18,"Missing game",0)</x:f>
      </x:c>
      <x:c r="AV2094" t="str">
        <x:f>_xlfn.XLOOKUP($A2094,Games!$A$2:$A$18,Games!$Q$2:$Q$18,"Missing game",0)</x:f>
      </x:c>
      <x:c r="AW2094" t="str">
        <x:f>_xlfn.XLOOKUP($A2094,Games!$A$2:$A$18,Games!$R$2:$R$18,"Missing game",0)</x:f>
        <x:v>U.S. Bank Stadium</x:v>
      </x:c>
    </x:row>
    <x:row r="2095">
      <x:c r="A2095" t="str">
        <x:v>2025_14_WAS_MIN</x:v>
      </x:c>
      <x:c r="B2095" t="n">
        <x:v>2109</x:v>
      </x:c>
      <x:c r="C2095" t="n">
        <x:v>3</x:v>
      </x:c>
      <x:c r="D2095" t="str">
        <x:v>08:16</x:v>
      </x:c>
      <x:c r="E2095" t="n">
        <x:v>1</x:v>
      </x:c>
      <x:c r="F2095" t="n">
        <x:v>10</x:v>
      </x:c>
      <x:c r="G2095" t="str">
        <x:v>MIN</x:v>
      </x:c>
      <x:c r="H2095" t="str">
        <x:v>WAS</x:v>
      </x:c>
      <x:c r="I2095" t="str">
        <x:v>WAS</x:v>
      </x:c>
      <x:c r="J2095" t="n">
        <x:v>30</x:v>
      </x:c>
      <x:c r="K2095" t="str">
        <x:v>(8:16) 9-J.McCarthy pass short left to 18-J.Jefferson to WAS 20 for 10 yards (0-M.Sainristil). Penalty on MIN-71-C.Darrisaw, Offensive Holding, offsetting, enforced at WAS 30 - No Play. Penalty on WAS-99-J.Kinlaw, Defensive Holding, offsetting.</x:v>
      </x:c>
      <x:c r="L2095" t="str">
        <x:v>no_play</x:v>
      </x:c>
      <x:c r="M2095"/>
      <x:c r="N2095" t="n">
        <x:v>0</x:v>
      </x:c>
      <x:c r="O2095" t="n">
        <x:v>0</x:v>
      </x:c>
      <x:c r="P2095"/>
      <x:c r="Q2095"/>
      <x:c r="R2095"/>
      <x:c r="S2095"/>
      <x:c r="T2095"/>
      <x:c r="U2095"/>
      <x:c r="V2095"/>
      <x:c r="W2095"/>
      <x:c r="X2095"/>
      <x:c r="Y2095"/>
      <x:c r="Z2095"/>
      <x:c r="AA2095"/>
      <x:c r="AB2095"/>
      <x:c r="AC2095"/>
      <x:c r="AD2095" t="n">
        <x:v>-0.01691312517505139</x:v>
      </x:c>
      <x:c r="AE2095" t="n">
        <x:v>0</x:v>
      </x:c>
      <x:c r="AF2095" t="n">
        <x:v>0.0014011263847351074</x:v>
      </x:c>
      <x:c r="AG2095" t="n">
        <x:f>_xlfn.XLOOKUP($A2095,Games!$A$2:$A$18,Games!$B$2:$B$18,"Missing game",0)</x:f>
        <x:v>2025</x:v>
      </x:c>
      <x:c r="AH2095" t="str">
        <x:f>_xlfn.XLOOKUP($A2095,Games!$A$2:$A$18,Games!$C$2:$C$18,"Missing game",0)</x:f>
        <x:v>REG</x:v>
      </x:c>
      <x:c r="AI2095" t="n">
        <x:f>_xlfn.XLOOKUP($A2095,Games!$A$2:$A$18,Games!$D$2:$D$18,"Missing game",0)</x:f>
        <x:v>14</x:v>
      </x:c>
      <x:c r="AJ2095" s="1" t="n">
        <x:f>_xlfn.XLOOKUP($A2095,Games!$A$2:$A$18,Games!$E$2:$E$18,"Missing game",0)</x:f>
        <x:v>45998</x:v>
      </x:c>
      <x:c r="AK2095" t="str">
        <x:f>_xlfn.XLOOKUP($A2095,Games!$A$2:$A$18,Games!$F$2:$F$18,"Missing game",0)</x:f>
        <x:v>Sunday</x:v>
      </x:c>
      <x:c r="AL2095" t="str">
        <x:f>_xlfn.XLOOKUP($A2095,Games!$A$2:$A$18,Games!$G$2:$G$18,"Missing game",0)</x:f>
        <x:v>WAS</x:v>
      </x:c>
      <x:c r="AM2095" t="n">
        <x:f>_xlfn.XLOOKUP($A2095,Games!$A$2:$A$18,Games!$H$2:$H$18,"Missing game",0)</x:f>
        <x:v>0</x:v>
      </x:c>
      <x:c r="AN2095" t="str">
        <x:f>_xlfn.XLOOKUP($A2095,Games!$A$2:$A$18,Games!$I$2:$I$18,"Missing game",0)</x:f>
        <x:v>MIN</x:v>
      </x:c>
      <x:c r="AO2095" t="n">
        <x:f>_xlfn.XLOOKUP($A2095,Games!$A$2:$A$18,Games!$J$2:$J$18,"Missing game",0)</x:f>
        <x:v>31</x:v>
      </x:c>
      <x:c r="AP2095" t="n">
        <x:f>_xlfn.XLOOKUP($A2095,Games!$A$2:$A$18,Games!$K$2:$K$18,"Missing game",0)</x:f>
        <x:v>31</x:v>
      </x:c>
      <x:c r="AQ2095" t="n">
        <x:f>_xlfn.XLOOKUP($A2095,Games!$A$2:$A$18,Games!$L$2:$L$18,"Missing game",0)</x:f>
        <x:v>31</x:v>
      </x:c>
      <x:c r="AR2095" t="n">
        <x:f>_xlfn.XLOOKUP($A2095,Games!$A$2:$A$18,Games!$M$2:$M$18,"Missing game",0)</x:f>
        <x:v>0</x:v>
      </x:c>
      <x:c r="AS2095" t="str">
        <x:f>_xlfn.XLOOKUP($A2095,Games!$A$2:$A$18,Games!$N$2:$N$18,"Missing game",0)</x:f>
        <x:v>dome</x:v>
      </x:c>
      <x:c r="AT2095" t="str">
        <x:f>_xlfn.XLOOKUP($A2095,Games!$A$2:$A$18,Games!$O$2:$O$18,"Missing game",0)</x:f>
        <x:v>sportturf</x:v>
      </x:c>
      <x:c r="AU2095" t="str">
        <x:f>_xlfn.XLOOKUP($A2095,Games!$A$2:$A$18,Games!$P$2:$P$18,"Missing game",0)</x:f>
      </x:c>
      <x:c r="AV2095" t="str">
        <x:f>_xlfn.XLOOKUP($A2095,Games!$A$2:$A$18,Games!$Q$2:$Q$18,"Missing game",0)</x:f>
      </x:c>
      <x:c r="AW2095" t="str">
        <x:f>_xlfn.XLOOKUP($A2095,Games!$A$2:$A$18,Games!$R$2:$R$18,"Missing game",0)</x:f>
        <x:v>U.S. Bank Stadium</x:v>
      </x:c>
    </x:row>
    <x:row r="2096">
      <x:c r="A2096" t="str">
        <x:v>2025_14_WAS_MIN</x:v>
      </x:c>
      <x:c r="B2096" t="n">
        <x:v>2152</x:v>
      </x:c>
      <x:c r="C2096" t="n">
        <x:v>3</x:v>
      </x:c>
      <x:c r="D2096" t="str">
        <x:v>07:52</x:v>
      </x:c>
      <x:c r="E2096" t="n">
        <x:v>1</x:v>
      </x:c>
      <x:c r="F2096" t="n">
        <x:v>10</x:v>
      </x:c>
      <x:c r="G2096" t="str">
        <x:v>MIN</x:v>
      </x:c>
      <x:c r="H2096" t="str">
        <x:v>WAS</x:v>
      </x:c>
      <x:c r="I2096" t="str">
        <x:v>WAS</x:v>
      </x:c>
      <x:c r="J2096" t="n">
        <x:v>30</x:v>
      </x:c>
      <x:c r="K2096" t="str">
        <x:v>(7:52) 33-A.Jones up the middle to WAS 27 for 3 yards (97-E.Goldman; 55-J.Martin).</x:v>
      </x:c>
      <x:c r="L2096" t="str">
        <x:v>run</x:v>
      </x:c>
      <x:c r="M2096" t="n">
        <x:v>3</x:v>
      </x:c>
      <x:c r="N2096" t="n">
        <x:v>0</x:v>
      </x:c>
      <x:c r="O2096" t="n">
        <x:v>0</x:v>
      </x:c>
      <x:c r="P2096"/>
      <x:c r="Q2096"/>
      <x:c r="R2096"/>
      <x:c r="S2096"/>
      <x:c r="T2096" t="str">
        <x:v>middle</x:v>
      </x:c>
      <x:c r="U2096"/>
      <x:c r="V2096" t="n">
        <x:v>0</x:v>
      </x:c>
      <x:c r="W2096" t="n">
        <x:v>0</x:v>
      </x:c>
      <x:c r="X2096" t="n">
        <x:v>0</x:v>
      </x:c>
      <x:c r="Y2096" t="n">
        <x:v>0</x:v>
      </x:c>
      <x:c r="Z2096" t="n">
        <x:v>0</x:v>
      </x:c>
      <x:c r="AA2096" t="n">
        <x:v>0</x:v>
      </x:c>
      <x:c r="AB2096"/>
      <x:c r="AC2096" t="n">
        <x:v>0</x:v>
      </x:c>
      <x:c r="AD2096" t="n">
        <x:v>-0.17349197412841022</x:v>
      </x:c>
      <x:c r="AE2096" t="n">
        <x:v>0</x:v>
      </x:c>
      <x:c r="AF2096" t="n">
        <x:v>0.0018635988235473633</x:v>
      </x:c>
      <x:c r="AG2096" t="n">
        <x:f>_xlfn.XLOOKUP($A2096,Games!$A$2:$A$18,Games!$B$2:$B$18,"Missing game",0)</x:f>
        <x:v>2025</x:v>
      </x:c>
      <x:c r="AH2096" t="str">
        <x:f>_xlfn.XLOOKUP($A2096,Games!$A$2:$A$18,Games!$C$2:$C$18,"Missing game",0)</x:f>
        <x:v>REG</x:v>
      </x:c>
      <x:c r="AI2096" t="n">
        <x:f>_xlfn.XLOOKUP($A2096,Games!$A$2:$A$18,Games!$D$2:$D$18,"Missing game",0)</x:f>
        <x:v>14</x:v>
      </x:c>
      <x:c r="AJ2096" s="1" t="n">
        <x:f>_xlfn.XLOOKUP($A2096,Games!$A$2:$A$18,Games!$E$2:$E$18,"Missing game",0)</x:f>
        <x:v>45998</x:v>
      </x:c>
      <x:c r="AK2096" t="str">
        <x:f>_xlfn.XLOOKUP($A2096,Games!$A$2:$A$18,Games!$F$2:$F$18,"Missing game",0)</x:f>
        <x:v>Sunday</x:v>
      </x:c>
      <x:c r="AL2096" t="str">
        <x:f>_xlfn.XLOOKUP($A2096,Games!$A$2:$A$18,Games!$G$2:$G$18,"Missing game",0)</x:f>
        <x:v>WAS</x:v>
      </x:c>
      <x:c r="AM2096" t="n">
        <x:f>_xlfn.XLOOKUP($A2096,Games!$A$2:$A$18,Games!$H$2:$H$18,"Missing game",0)</x:f>
        <x:v>0</x:v>
      </x:c>
      <x:c r="AN2096" t="str">
        <x:f>_xlfn.XLOOKUP($A2096,Games!$A$2:$A$18,Games!$I$2:$I$18,"Missing game",0)</x:f>
        <x:v>MIN</x:v>
      </x:c>
      <x:c r="AO2096" t="n">
        <x:f>_xlfn.XLOOKUP($A2096,Games!$A$2:$A$18,Games!$J$2:$J$18,"Missing game",0)</x:f>
        <x:v>31</x:v>
      </x:c>
      <x:c r="AP2096" t="n">
        <x:f>_xlfn.XLOOKUP($A2096,Games!$A$2:$A$18,Games!$K$2:$K$18,"Missing game",0)</x:f>
        <x:v>31</x:v>
      </x:c>
      <x:c r="AQ2096" t="n">
        <x:f>_xlfn.XLOOKUP($A2096,Games!$A$2:$A$18,Games!$L$2:$L$18,"Missing game",0)</x:f>
        <x:v>31</x:v>
      </x:c>
      <x:c r="AR2096" t="n">
        <x:f>_xlfn.XLOOKUP($A2096,Games!$A$2:$A$18,Games!$M$2:$M$18,"Missing game",0)</x:f>
        <x:v>0</x:v>
      </x:c>
      <x:c r="AS2096" t="str">
        <x:f>_xlfn.XLOOKUP($A2096,Games!$A$2:$A$18,Games!$N$2:$N$18,"Missing game",0)</x:f>
        <x:v>dome</x:v>
      </x:c>
      <x:c r="AT2096" t="str">
        <x:f>_xlfn.XLOOKUP($A2096,Games!$A$2:$A$18,Games!$O$2:$O$18,"Missing game",0)</x:f>
        <x:v>sportturf</x:v>
      </x:c>
      <x:c r="AU2096" t="str">
        <x:f>_xlfn.XLOOKUP($A2096,Games!$A$2:$A$18,Games!$P$2:$P$18,"Missing game",0)</x:f>
      </x:c>
      <x:c r="AV2096" t="str">
        <x:f>_xlfn.XLOOKUP($A2096,Games!$A$2:$A$18,Games!$Q$2:$Q$18,"Missing game",0)</x:f>
      </x:c>
      <x:c r="AW2096" t="str">
        <x:f>_xlfn.XLOOKUP($A2096,Games!$A$2:$A$18,Games!$R$2:$R$18,"Missing game",0)</x:f>
        <x:v>U.S. Bank Stadium</x:v>
      </x:c>
    </x:row>
    <x:row r="2097">
      <x:c r="A2097" t="str">
        <x:v>2025_14_WAS_MIN</x:v>
      </x:c>
      <x:c r="B2097" t="n">
        <x:v>2174</x:v>
      </x:c>
      <x:c r="C2097" t="n">
        <x:v>3</x:v>
      </x:c>
      <x:c r="D2097" t="str">
        <x:v>07:15</x:v>
      </x:c>
      <x:c r="E2097" t="n">
        <x:v>2</x:v>
      </x:c>
      <x:c r="F2097" t="n">
        <x:v>7</x:v>
      </x:c>
      <x:c r="G2097" t="str">
        <x:v>MIN</x:v>
      </x:c>
      <x:c r="H2097" t="str">
        <x:v>WAS</x:v>
      </x:c>
      <x:c r="I2097" t="str">
        <x:v>WAS</x:v>
      </x:c>
      <x:c r="J2097" t="n">
        <x:v>27</x:v>
      </x:c>
      <x:c r="K2097" t="str">
        <x:v>(7:15) (Shotgun) 9-J.McCarthy pass incomplete short right to 18-J.Jefferson (31-J.Jones).</x:v>
      </x:c>
      <x:c r="L2097" t="str">
        <x:v>pass</x:v>
      </x:c>
      <x:c r="M2097" t="n">
        <x:v>0</x:v>
      </x:c>
      <x:c r="N2097" t="n">
        <x:v>1</x:v>
      </x:c>
      <x:c r="O2097" t="n">
        <x:v>0</x:v>
      </x:c>
      <x:c r="P2097" t="str">
        <x:v>short</x:v>
      </x:c>
      <x:c r="Q2097" t="str">
        <x:v>right</x:v>
      </x:c>
      <x:c r="R2097" t="n">
        <x:v>5</x:v>
      </x:c>
      <x:c r="S2097"/>
      <x:c r="T2097"/>
      <x:c r="U2097"/>
      <x:c r="V2097" t="n">
        <x:v>0</x:v>
      </x:c>
      <x:c r="W2097" t="n">
        <x:v>0</x:v>
      </x:c>
      <x:c r="X2097" t="n">
        <x:v>0</x:v>
      </x:c>
      <x:c r="Y2097" t="n">
        <x:v>0</x:v>
      </x:c>
      <x:c r="Z2097" t="n">
        <x:v>0</x:v>
      </x:c>
      <x:c r="AA2097" t="n">
        <x:v>0</x:v>
      </x:c>
      <x:c r="AB2097"/>
      <x:c r="AC2097" t="n">
        <x:v>0</x:v>
      </x:c>
      <x:c r="AD2097" t="n">
        <x:v>-0.6816327997948974</x:v>
      </x:c>
      <x:c r="AE2097" t="n">
        <x:v>0</x:v>
      </x:c>
      <x:c r="AF2097" t="n">
        <x:v>-0.008431732654571533</x:v>
      </x:c>
      <x:c r="AG2097" t="n">
        <x:f>_xlfn.XLOOKUP($A2097,Games!$A$2:$A$18,Games!$B$2:$B$18,"Missing game",0)</x:f>
        <x:v>2025</x:v>
      </x:c>
      <x:c r="AH2097" t="str">
        <x:f>_xlfn.XLOOKUP($A2097,Games!$A$2:$A$18,Games!$C$2:$C$18,"Missing game",0)</x:f>
        <x:v>REG</x:v>
      </x:c>
      <x:c r="AI2097" t="n">
        <x:f>_xlfn.XLOOKUP($A2097,Games!$A$2:$A$18,Games!$D$2:$D$18,"Missing game",0)</x:f>
        <x:v>14</x:v>
      </x:c>
      <x:c r="AJ2097" s="1" t="n">
        <x:f>_xlfn.XLOOKUP($A2097,Games!$A$2:$A$18,Games!$E$2:$E$18,"Missing game",0)</x:f>
        <x:v>45998</x:v>
      </x:c>
      <x:c r="AK2097" t="str">
        <x:f>_xlfn.XLOOKUP($A2097,Games!$A$2:$A$18,Games!$F$2:$F$18,"Missing game",0)</x:f>
        <x:v>Sunday</x:v>
      </x:c>
      <x:c r="AL2097" t="str">
        <x:f>_xlfn.XLOOKUP($A2097,Games!$A$2:$A$18,Games!$G$2:$G$18,"Missing game",0)</x:f>
        <x:v>WAS</x:v>
      </x:c>
      <x:c r="AM2097" t="n">
        <x:f>_xlfn.XLOOKUP($A2097,Games!$A$2:$A$18,Games!$H$2:$H$18,"Missing game",0)</x:f>
        <x:v>0</x:v>
      </x:c>
      <x:c r="AN2097" t="str">
        <x:f>_xlfn.XLOOKUP($A2097,Games!$A$2:$A$18,Games!$I$2:$I$18,"Missing game",0)</x:f>
        <x:v>MIN</x:v>
      </x:c>
      <x:c r="AO2097" t="n">
        <x:f>_xlfn.XLOOKUP($A2097,Games!$A$2:$A$18,Games!$J$2:$J$18,"Missing game",0)</x:f>
        <x:v>31</x:v>
      </x:c>
      <x:c r="AP2097" t="n">
        <x:f>_xlfn.XLOOKUP($A2097,Games!$A$2:$A$18,Games!$K$2:$K$18,"Missing game",0)</x:f>
        <x:v>31</x:v>
      </x:c>
      <x:c r="AQ2097" t="n">
        <x:f>_xlfn.XLOOKUP($A2097,Games!$A$2:$A$18,Games!$L$2:$L$18,"Missing game",0)</x:f>
        <x:v>31</x:v>
      </x:c>
      <x:c r="AR2097" t="n">
        <x:f>_xlfn.XLOOKUP($A2097,Games!$A$2:$A$18,Games!$M$2:$M$18,"Missing game",0)</x:f>
        <x:v>0</x:v>
      </x:c>
      <x:c r="AS2097" t="str">
        <x:f>_xlfn.XLOOKUP($A2097,Games!$A$2:$A$18,Games!$N$2:$N$18,"Missing game",0)</x:f>
        <x:v>dome</x:v>
      </x:c>
      <x:c r="AT2097" t="str">
        <x:f>_xlfn.XLOOKUP($A2097,Games!$A$2:$A$18,Games!$O$2:$O$18,"Missing game",0)</x:f>
        <x:v>sportturf</x:v>
      </x:c>
      <x:c r="AU2097" t="str">
        <x:f>_xlfn.XLOOKUP($A2097,Games!$A$2:$A$18,Games!$P$2:$P$18,"Missing game",0)</x:f>
      </x:c>
      <x:c r="AV2097" t="str">
        <x:f>_xlfn.XLOOKUP($A2097,Games!$A$2:$A$18,Games!$Q$2:$Q$18,"Missing game",0)</x:f>
      </x:c>
      <x:c r="AW2097" t="str">
        <x:f>_xlfn.XLOOKUP($A2097,Games!$A$2:$A$18,Games!$R$2:$R$18,"Missing game",0)</x:f>
        <x:v>U.S. Bank Stadium</x:v>
      </x:c>
    </x:row>
    <x:row r="2098">
      <x:c r="A2098" t="str">
        <x:v>2025_14_WAS_MIN</x:v>
      </x:c>
      <x:c r="B2098" t="n">
        <x:v>2197</x:v>
      </x:c>
      <x:c r="C2098" t="n">
        <x:v>3</x:v>
      </x:c>
      <x:c r="D2098" t="str">
        <x:v>07:10</x:v>
      </x:c>
      <x:c r="E2098" t="n">
        <x:v>3</x:v>
      </x:c>
      <x:c r="F2098" t="n">
        <x:v>7</x:v>
      </x:c>
      <x:c r="G2098" t="str">
        <x:v>MIN</x:v>
      </x:c>
      <x:c r="H2098" t="str">
        <x:v>WAS</x:v>
      </x:c>
      <x:c r="I2098" t="str">
        <x:v>WAS</x:v>
      </x:c>
      <x:c r="J2098" t="n">
        <x:v>27</x:v>
      </x:c>
      <x:c r="K2098" t="str">
        <x:v>(7:10) (Shotgun) 9-J.McCarthy pass incomplete short right to 87-T.Hockenson (31-J.Jones).</x:v>
      </x:c>
      <x:c r="L2098" t="str">
        <x:v>pass</x:v>
      </x:c>
      <x:c r="M2098" t="n">
        <x:v>0</x:v>
      </x:c>
      <x:c r="N2098" t="n">
        <x:v>1</x:v>
      </x:c>
      <x:c r="O2098" t="n">
        <x:v>0</x:v>
      </x:c>
      <x:c r="P2098" t="str">
        <x:v>short</x:v>
      </x:c>
      <x:c r="Q2098" t="str">
        <x:v>right</x:v>
      </x:c>
      <x:c r="R2098" t="n">
        <x:v>7</x:v>
      </x:c>
      <x:c r="S2098"/>
      <x:c r="T2098"/>
      <x:c r="U2098"/>
      <x:c r="V2098" t="n">
        <x:v>0</x:v>
      </x:c>
      <x:c r="W2098" t="n">
        <x:v>0</x:v>
      </x:c>
      <x:c r="X2098" t="n">
        <x:v>0</x:v>
      </x:c>
      <x:c r="Y2098" t="n">
        <x:v>0</x:v>
      </x:c>
      <x:c r="Z2098" t="n">
        <x:v>0</x:v>
      </x:c>
      <x:c r="AA2098" t="n">
        <x:v>0</x:v>
      </x:c>
      <x:c r="AB2098"/>
      <x:c r="AC2098" t="n">
        <x:v>0</x:v>
      </x:c>
      <x:c r="AD2098" t="n">
        <x:v>-1.6655766820917366</x:v>
      </x:c>
      <x:c r="AE2098" t="n">
        <x:v>0</x:v>
      </x:c>
      <x:c r="AF2098" t="n">
        <x:v>-0.007564067840576172</x:v>
      </x:c>
      <x:c r="AG2098" t="n">
        <x:f>_xlfn.XLOOKUP($A2098,Games!$A$2:$A$18,Games!$B$2:$B$18,"Missing game",0)</x:f>
        <x:v>2025</x:v>
      </x:c>
      <x:c r="AH2098" t="str">
        <x:f>_xlfn.XLOOKUP($A2098,Games!$A$2:$A$18,Games!$C$2:$C$18,"Missing game",0)</x:f>
        <x:v>REG</x:v>
      </x:c>
      <x:c r="AI2098" t="n">
        <x:f>_xlfn.XLOOKUP($A2098,Games!$A$2:$A$18,Games!$D$2:$D$18,"Missing game",0)</x:f>
        <x:v>14</x:v>
      </x:c>
      <x:c r="AJ2098" s="1" t="n">
        <x:f>_xlfn.XLOOKUP($A2098,Games!$A$2:$A$18,Games!$E$2:$E$18,"Missing game",0)</x:f>
        <x:v>45998</x:v>
      </x:c>
      <x:c r="AK2098" t="str">
        <x:f>_xlfn.XLOOKUP($A2098,Games!$A$2:$A$18,Games!$F$2:$F$18,"Missing game",0)</x:f>
        <x:v>Sunday</x:v>
      </x:c>
      <x:c r="AL2098" t="str">
        <x:f>_xlfn.XLOOKUP($A2098,Games!$A$2:$A$18,Games!$G$2:$G$18,"Missing game",0)</x:f>
        <x:v>WAS</x:v>
      </x:c>
      <x:c r="AM2098" t="n">
        <x:f>_xlfn.XLOOKUP($A2098,Games!$A$2:$A$18,Games!$H$2:$H$18,"Missing game",0)</x:f>
        <x:v>0</x:v>
      </x:c>
      <x:c r="AN2098" t="str">
        <x:f>_xlfn.XLOOKUP($A2098,Games!$A$2:$A$18,Games!$I$2:$I$18,"Missing game",0)</x:f>
        <x:v>MIN</x:v>
      </x:c>
      <x:c r="AO2098" t="n">
        <x:f>_xlfn.XLOOKUP($A2098,Games!$A$2:$A$18,Games!$J$2:$J$18,"Missing game",0)</x:f>
        <x:v>31</x:v>
      </x:c>
      <x:c r="AP2098" t="n">
        <x:f>_xlfn.XLOOKUP($A2098,Games!$A$2:$A$18,Games!$K$2:$K$18,"Missing game",0)</x:f>
        <x:v>31</x:v>
      </x:c>
      <x:c r="AQ2098" t="n">
        <x:f>_xlfn.XLOOKUP($A2098,Games!$A$2:$A$18,Games!$L$2:$L$18,"Missing game",0)</x:f>
        <x:v>31</x:v>
      </x:c>
      <x:c r="AR2098" t="n">
        <x:f>_xlfn.XLOOKUP($A2098,Games!$A$2:$A$18,Games!$M$2:$M$18,"Missing game",0)</x:f>
        <x:v>0</x:v>
      </x:c>
      <x:c r="AS2098" t="str">
        <x:f>_xlfn.XLOOKUP($A2098,Games!$A$2:$A$18,Games!$N$2:$N$18,"Missing game",0)</x:f>
        <x:v>dome</x:v>
      </x:c>
      <x:c r="AT2098" t="str">
        <x:f>_xlfn.XLOOKUP($A2098,Games!$A$2:$A$18,Games!$O$2:$O$18,"Missing game",0)</x:f>
        <x:v>sportturf</x:v>
      </x:c>
      <x:c r="AU2098" t="str">
        <x:f>_xlfn.XLOOKUP($A2098,Games!$A$2:$A$18,Games!$P$2:$P$18,"Missing game",0)</x:f>
      </x:c>
      <x:c r="AV2098" t="str">
        <x:f>_xlfn.XLOOKUP($A2098,Games!$A$2:$A$18,Games!$Q$2:$Q$18,"Missing game",0)</x:f>
      </x:c>
      <x:c r="AW2098" t="str">
        <x:f>_xlfn.XLOOKUP($A2098,Games!$A$2:$A$18,Games!$R$2:$R$18,"Missing game",0)</x:f>
        <x:v>U.S. Bank Stadium</x:v>
      </x:c>
    </x:row>
    <x:row r="2099">
      <x:c r="A2099" t="str">
        <x:v>2025_14_WAS_MIN</x:v>
      </x:c>
      <x:c r="B2099" t="n">
        <x:v>2220</x:v>
      </x:c>
      <x:c r="C2099" t="n">
        <x:v>3</x:v>
      </x:c>
      <x:c r="D2099" t="str">
        <x:v>07:06</x:v>
      </x:c>
      <x:c r="E2099" t="n">
        <x:v>4</x:v>
      </x:c>
      <x:c r="F2099" t="n">
        <x:v>7</x:v>
      </x:c>
      <x:c r="G2099" t="str">
        <x:v>MIN</x:v>
      </x:c>
      <x:c r="H2099" t="str">
        <x:v>WAS</x:v>
      </x:c>
      <x:c r="I2099" t="str">
        <x:v>WAS</x:v>
      </x:c>
      <x:c r="J2099" t="n">
        <x:v>27</x:v>
      </x:c>
      <x:c r="K2099" t="str">
        <x:v>(7:06) 16-W.Reichard 45 yard field goal is GOOD, Center-42-A.DePaola, Holder-17-R.Wright.</x:v>
      </x:c>
      <x:c r="L2099" t="str">
        <x:v>field_goal</x:v>
      </x:c>
      <x:c r="M2099" t="n">
        <x:v>0</x:v>
      </x:c>
      <x:c r="N2099" t="n">
        <x:v>0</x:v>
      </x:c>
      <x:c r="O2099" t="n">
        <x:v>0</x:v>
      </x:c>
      <x:c r="P2099"/>
      <x:c r="Q2099"/>
      <x:c r="R2099"/>
      <x:c r="S2099"/>
      <x:c r="T2099"/>
      <x:c r="U2099"/>
      <x:c r="V2099" t="n">
        <x:v>0</x:v>
      </x:c>
      <x:c r="W2099" t="n">
        <x:v>0</x:v>
      </x:c>
      <x:c r="X2099" t="n">
        <x:v>0</x:v>
      </x:c>
      <x:c r="Y2099" t="n">
        <x:v>0</x:v>
      </x:c>
      <x:c r="Z2099" t="n">
        <x:v>0</x:v>
      </x:c>
      <x:c r="AA2099" t="n">
        <x:v>0</x:v>
      </x:c>
      <x:c r="AB2099"/>
      <x:c r="AC2099" t="n">
        <x:v>0</x:v>
      </x:c>
      <x:c r="AD2099" t="n">
        <x:v>1.195572401993954</x:v>
      </x:c>
      <x:c r="AE2099" t="n">
        <x:v>1</x:v>
      </x:c>
      <x:c r="AF2099" t="n">
        <x:v>0.00923202559351921</x:v>
      </x:c>
      <x:c r="AG2099" t="n">
        <x:f>_xlfn.XLOOKUP($A2099,Games!$A$2:$A$18,Games!$B$2:$B$18,"Missing game",0)</x:f>
        <x:v>2025</x:v>
      </x:c>
      <x:c r="AH2099" t="str">
        <x:f>_xlfn.XLOOKUP($A2099,Games!$A$2:$A$18,Games!$C$2:$C$18,"Missing game",0)</x:f>
        <x:v>REG</x:v>
      </x:c>
      <x:c r="AI2099" t="n">
        <x:f>_xlfn.XLOOKUP($A2099,Games!$A$2:$A$18,Games!$D$2:$D$18,"Missing game",0)</x:f>
        <x:v>14</x:v>
      </x:c>
      <x:c r="AJ2099" s="1" t="n">
        <x:f>_xlfn.XLOOKUP($A2099,Games!$A$2:$A$18,Games!$E$2:$E$18,"Missing game",0)</x:f>
        <x:v>45998</x:v>
      </x:c>
      <x:c r="AK2099" t="str">
        <x:f>_xlfn.XLOOKUP($A2099,Games!$A$2:$A$18,Games!$F$2:$F$18,"Missing game",0)</x:f>
        <x:v>Sunday</x:v>
      </x:c>
      <x:c r="AL2099" t="str">
        <x:f>_xlfn.XLOOKUP($A2099,Games!$A$2:$A$18,Games!$G$2:$G$18,"Missing game",0)</x:f>
        <x:v>WAS</x:v>
      </x:c>
      <x:c r="AM2099" t="n">
        <x:f>_xlfn.XLOOKUP($A2099,Games!$A$2:$A$18,Games!$H$2:$H$18,"Missing game",0)</x:f>
        <x:v>0</x:v>
      </x:c>
      <x:c r="AN2099" t="str">
        <x:f>_xlfn.XLOOKUP($A2099,Games!$A$2:$A$18,Games!$I$2:$I$18,"Missing game",0)</x:f>
        <x:v>MIN</x:v>
      </x:c>
      <x:c r="AO2099" t="n">
        <x:f>_xlfn.XLOOKUP($A2099,Games!$A$2:$A$18,Games!$J$2:$J$18,"Missing game",0)</x:f>
        <x:v>31</x:v>
      </x:c>
      <x:c r="AP2099" t="n">
        <x:f>_xlfn.XLOOKUP($A2099,Games!$A$2:$A$18,Games!$K$2:$K$18,"Missing game",0)</x:f>
        <x:v>31</x:v>
      </x:c>
      <x:c r="AQ2099" t="n">
        <x:f>_xlfn.XLOOKUP($A2099,Games!$A$2:$A$18,Games!$L$2:$L$18,"Missing game",0)</x:f>
        <x:v>31</x:v>
      </x:c>
      <x:c r="AR2099" t="n">
        <x:f>_xlfn.XLOOKUP($A2099,Games!$A$2:$A$18,Games!$M$2:$M$18,"Missing game",0)</x:f>
        <x:v>0</x:v>
      </x:c>
      <x:c r="AS2099" t="str">
        <x:f>_xlfn.XLOOKUP($A2099,Games!$A$2:$A$18,Games!$N$2:$N$18,"Missing game",0)</x:f>
        <x:v>dome</x:v>
      </x:c>
      <x:c r="AT2099" t="str">
        <x:f>_xlfn.XLOOKUP($A2099,Games!$A$2:$A$18,Games!$O$2:$O$18,"Missing game",0)</x:f>
        <x:v>sportturf</x:v>
      </x:c>
      <x:c r="AU2099" t="str">
        <x:f>_xlfn.XLOOKUP($A2099,Games!$A$2:$A$18,Games!$P$2:$P$18,"Missing game",0)</x:f>
      </x:c>
      <x:c r="AV2099" t="str">
        <x:f>_xlfn.XLOOKUP($A2099,Games!$A$2:$A$18,Games!$Q$2:$Q$18,"Missing game",0)</x:f>
      </x:c>
      <x:c r="AW2099" t="str">
        <x:f>_xlfn.XLOOKUP($A2099,Games!$A$2:$A$18,Games!$R$2:$R$18,"Missing game",0)</x:f>
        <x:v>U.S. Bank Stadium</x:v>
      </x:c>
    </x:row>
    <x:row r="2100">
      <x:c r="A2100" t="str">
        <x:v>2025_14_WAS_MIN</x:v>
      </x:c>
      <x:c r="B2100" t="n">
        <x:v>2240</x:v>
      </x:c>
      <x:c r="C2100" t="n">
        <x:v>3</x:v>
      </x:c>
      <x:c r="D2100" t="str">
        <x:v>07:01</x:v>
      </x:c>
      <x:c r="E2100"/>
      <x:c r="F2100" t="n">
        <x:v>0</x:v>
      </x:c>
      <x:c r="G2100" t="str">
        <x:v>WAS</x:v>
      </x:c>
      <x:c r="H2100" t="str">
        <x:v>MIN</x:v>
      </x:c>
      <x:c r="I2100" t="str">
        <x:v>MIN</x:v>
      </x:c>
      <x:c r="J2100" t="n">
        <x:v>35</x:v>
      </x:c>
      <x:c r="K2100" t="str">
        <x:v>16-W.Reichard kicks 65 yards from MIN 35 to landing zone to end zone, Touchback to the WAS 20.</x:v>
      </x:c>
      <x:c r="L2100" t="str">
        <x:v>kickoff</x:v>
      </x:c>
      <x:c r="M2100" t="n">
        <x:v>0</x:v>
      </x:c>
      <x:c r="N2100" t="n">
        <x:v>0</x:v>
      </x:c>
      <x:c r="O2100" t="n">
        <x:v>0</x:v>
      </x:c>
      <x:c r="P2100"/>
      <x:c r="Q2100"/>
      <x:c r="R2100"/>
      <x:c r="S2100"/>
      <x:c r="T2100"/>
      <x:c r="U2100"/>
      <x:c r="V2100" t="n">
        <x:v>0</x:v>
      </x:c>
      <x:c r="W2100" t="n">
        <x:v>0</x:v>
      </x:c>
      <x:c r="X2100" t="n">
        <x:v>0</x:v>
      </x:c>
      <x:c r="Y2100" t="n">
        <x:v>0</x:v>
      </x:c>
      <x:c r="Z2100" t="n">
        <x:v>0</x:v>
      </x:c>
      <x:c r="AA2100" t="n">
        <x:v>0</x:v>
      </x:c>
      <x:c r="AB2100"/>
      <x:c r="AC2100" t="n">
        <x:v>0</x:v>
      </x:c>
      <x:c r="AD2100" t="n">
        <x:v>-0.3721104864962399</x:v>
      </x:c>
      <x:c r="AE2100" t="n">
        <x:v>0</x:v>
      </x:c>
      <x:c r="AF2100" t="n">
        <x:v>-0.004581499844789505</x:v>
      </x:c>
      <x:c r="AG2100" t="n">
        <x:f>_xlfn.XLOOKUP($A2100,Games!$A$2:$A$18,Games!$B$2:$B$18,"Missing game",0)</x:f>
        <x:v>2025</x:v>
      </x:c>
      <x:c r="AH2100" t="str">
        <x:f>_xlfn.XLOOKUP($A2100,Games!$A$2:$A$18,Games!$C$2:$C$18,"Missing game",0)</x:f>
        <x:v>REG</x:v>
      </x:c>
      <x:c r="AI2100" t="n">
        <x:f>_xlfn.XLOOKUP($A2100,Games!$A$2:$A$18,Games!$D$2:$D$18,"Missing game",0)</x:f>
        <x:v>14</x:v>
      </x:c>
      <x:c r="AJ2100" s="1" t="n">
        <x:f>_xlfn.XLOOKUP($A2100,Games!$A$2:$A$18,Games!$E$2:$E$18,"Missing game",0)</x:f>
        <x:v>45998</x:v>
      </x:c>
      <x:c r="AK2100" t="str">
        <x:f>_xlfn.XLOOKUP($A2100,Games!$A$2:$A$18,Games!$F$2:$F$18,"Missing game",0)</x:f>
        <x:v>Sunday</x:v>
      </x:c>
      <x:c r="AL2100" t="str">
        <x:f>_xlfn.XLOOKUP($A2100,Games!$A$2:$A$18,Games!$G$2:$G$18,"Missing game",0)</x:f>
        <x:v>WAS</x:v>
      </x:c>
      <x:c r="AM2100" t="n">
        <x:f>_xlfn.XLOOKUP($A2100,Games!$A$2:$A$18,Games!$H$2:$H$18,"Missing game",0)</x:f>
        <x:v>0</x:v>
      </x:c>
      <x:c r="AN2100" t="str">
        <x:f>_xlfn.XLOOKUP($A2100,Games!$A$2:$A$18,Games!$I$2:$I$18,"Missing game",0)</x:f>
        <x:v>MIN</x:v>
      </x:c>
      <x:c r="AO2100" t="n">
        <x:f>_xlfn.XLOOKUP($A2100,Games!$A$2:$A$18,Games!$J$2:$J$18,"Missing game",0)</x:f>
        <x:v>31</x:v>
      </x:c>
      <x:c r="AP2100" t="n">
        <x:f>_xlfn.XLOOKUP($A2100,Games!$A$2:$A$18,Games!$K$2:$K$18,"Missing game",0)</x:f>
        <x:v>31</x:v>
      </x:c>
      <x:c r="AQ2100" t="n">
        <x:f>_xlfn.XLOOKUP($A2100,Games!$A$2:$A$18,Games!$L$2:$L$18,"Missing game",0)</x:f>
        <x:v>31</x:v>
      </x:c>
      <x:c r="AR2100" t="n">
        <x:f>_xlfn.XLOOKUP($A2100,Games!$A$2:$A$18,Games!$M$2:$M$18,"Missing game",0)</x:f>
        <x:v>0</x:v>
      </x:c>
      <x:c r="AS2100" t="str">
        <x:f>_xlfn.XLOOKUP($A2100,Games!$A$2:$A$18,Games!$N$2:$N$18,"Missing game",0)</x:f>
        <x:v>dome</x:v>
      </x:c>
      <x:c r="AT2100" t="str">
        <x:f>_xlfn.XLOOKUP($A2100,Games!$A$2:$A$18,Games!$O$2:$O$18,"Missing game",0)</x:f>
        <x:v>sportturf</x:v>
      </x:c>
      <x:c r="AU2100" t="str">
        <x:f>_xlfn.XLOOKUP($A2100,Games!$A$2:$A$18,Games!$P$2:$P$18,"Missing game",0)</x:f>
      </x:c>
      <x:c r="AV2100" t="str">
        <x:f>_xlfn.XLOOKUP($A2100,Games!$A$2:$A$18,Games!$Q$2:$Q$18,"Missing game",0)</x:f>
      </x:c>
      <x:c r="AW2100" t="str">
        <x:f>_xlfn.XLOOKUP($A2100,Games!$A$2:$A$18,Games!$R$2:$R$18,"Missing game",0)</x:f>
        <x:v>U.S. Bank Stadium</x:v>
      </x:c>
    </x:row>
    <x:row r="2101">
      <x:c r="A2101" t="str">
        <x:v>2025_14_WAS_MIN</x:v>
      </x:c>
      <x:c r="B2101" t="n">
        <x:v>2269</x:v>
      </x:c>
      <x:c r="C2101" t="n">
        <x:v>3</x:v>
      </x:c>
      <x:c r="D2101" t="str">
        <x:v>07:01</x:v>
      </x:c>
      <x:c r="E2101" t="n">
        <x:v>1</x:v>
      </x:c>
      <x:c r="F2101" t="n">
        <x:v>10</x:v>
      </x:c>
      <x:c r="G2101" t="str">
        <x:v>WAS</x:v>
      </x:c>
      <x:c r="H2101" t="str">
        <x:v>MIN</x:v>
      </x:c>
      <x:c r="I2101" t="str">
        <x:v>WAS</x:v>
      </x:c>
      <x:c r="J2101" t="n">
        <x:v>80</x:v>
      </x:c>
      <x:c r="K2101" t="str">
        <x:v>(7:01) 22-J.Croskey-Merritt right tackle to WAS 25 for 5 yards (61-J.Redmond; 55-E.Wilson).</x:v>
      </x:c>
      <x:c r="L2101" t="str">
        <x:v>run</x:v>
      </x:c>
      <x:c r="M2101" t="n">
        <x:v>5</x:v>
      </x:c>
      <x:c r="N2101" t="n">
        <x:v>0</x:v>
      </x:c>
      <x:c r="O2101" t="n">
        <x:v>0</x:v>
      </x:c>
      <x:c r="P2101"/>
      <x:c r="Q2101"/>
      <x:c r="R2101"/>
      <x:c r="S2101"/>
      <x:c r="T2101" t="str">
        <x:v>right</x:v>
      </x:c>
      <x:c r="U2101" t="str">
        <x:v>tackle</x:v>
      </x:c>
      <x:c r="V2101" t="n">
        <x:v>0</x:v>
      </x:c>
      <x:c r="W2101" t="n">
        <x:v>0</x:v>
      </x:c>
      <x:c r="X2101" t="n">
        <x:v>0</x:v>
      </x:c>
      <x:c r="Y2101" t="n">
        <x:v>0</x:v>
      </x:c>
      <x:c r="Z2101" t="n">
        <x:v>0</x:v>
      </x:c>
      <x:c r="AA2101" t="n">
        <x:v>0</x:v>
      </x:c>
      <x:c r="AB2101"/>
      <x:c r="AC2101" t="n">
        <x:v>0</x:v>
      </x:c>
      <x:c r="AD2101" t="n">
        <x:v>0.06062391214072704</x:v>
      </x:c>
      <x:c r="AE2101" t="n">
        <x:v>1</x:v>
      </x:c>
      <x:c r="AF2101" t="n">
        <x:v>0.00058717280626297</x:v>
      </x:c>
      <x:c r="AG2101" t="n">
        <x:f>_xlfn.XLOOKUP($A2101,Games!$A$2:$A$18,Games!$B$2:$B$18,"Missing game",0)</x:f>
        <x:v>2025</x:v>
      </x:c>
      <x:c r="AH2101" t="str">
        <x:f>_xlfn.XLOOKUP($A2101,Games!$A$2:$A$18,Games!$C$2:$C$18,"Missing game",0)</x:f>
        <x:v>REG</x:v>
      </x:c>
      <x:c r="AI2101" t="n">
        <x:f>_xlfn.XLOOKUP($A2101,Games!$A$2:$A$18,Games!$D$2:$D$18,"Missing game",0)</x:f>
        <x:v>14</x:v>
      </x:c>
      <x:c r="AJ2101" s="1" t="n">
        <x:f>_xlfn.XLOOKUP($A2101,Games!$A$2:$A$18,Games!$E$2:$E$18,"Missing game",0)</x:f>
        <x:v>45998</x:v>
      </x:c>
      <x:c r="AK2101" t="str">
        <x:f>_xlfn.XLOOKUP($A2101,Games!$A$2:$A$18,Games!$F$2:$F$18,"Missing game",0)</x:f>
        <x:v>Sunday</x:v>
      </x:c>
      <x:c r="AL2101" t="str">
        <x:f>_xlfn.XLOOKUP($A2101,Games!$A$2:$A$18,Games!$G$2:$G$18,"Missing game",0)</x:f>
        <x:v>WAS</x:v>
      </x:c>
      <x:c r="AM2101" t="n">
        <x:f>_xlfn.XLOOKUP($A2101,Games!$A$2:$A$18,Games!$H$2:$H$18,"Missing game",0)</x:f>
        <x:v>0</x:v>
      </x:c>
      <x:c r="AN2101" t="str">
        <x:f>_xlfn.XLOOKUP($A2101,Games!$A$2:$A$18,Games!$I$2:$I$18,"Missing game",0)</x:f>
        <x:v>MIN</x:v>
      </x:c>
      <x:c r="AO2101" t="n">
        <x:f>_xlfn.XLOOKUP($A2101,Games!$A$2:$A$18,Games!$J$2:$J$18,"Missing game",0)</x:f>
        <x:v>31</x:v>
      </x:c>
      <x:c r="AP2101" t="n">
        <x:f>_xlfn.XLOOKUP($A2101,Games!$A$2:$A$18,Games!$K$2:$K$18,"Missing game",0)</x:f>
        <x:v>31</x:v>
      </x:c>
      <x:c r="AQ2101" t="n">
        <x:f>_xlfn.XLOOKUP($A2101,Games!$A$2:$A$18,Games!$L$2:$L$18,"Missing game",0)</x:f>
        <x:v>31</x:v>
      </x:c>
      <x:c r="AR2101" t="n">
        <x:f>_xlfn.XLOOKUP($A2101,Games!$A$2:$A$18,Games!$M$2:$M$18,"Missing game",0)</x:f>
        <x:v>0</x:v>
      </x:c>
      <x:c r="AS2101" t="str">
        <x:f>_xlfn.XLOOKUP($A2101,Games!$A$2:$A$18,Games!$N$2:$N$18,"Missing game",0)</x:f>
        <x:v>dome</x:v>
      </x:c>
      <x:c r="AT2101" t="str">
        <x:f>_xlfn.XLOOKUP($A2101,Games!$A$2:$A$18,Games!$O$2:$O$18,"Missing game",0)</x:f>
        <x:v>sportturf</x:v>
      </x:c>
      <x:c r="AU2101" t="str">
        <x:f>_xlfn.XLOOKUP($A2101,Games!$A$2:$A$18,Games!$P$2:$P$18,"Missing game",0)</x:f>
      </x:c>
      <x:c r="AV2101" t="str">
        <x:f>_xlfn.XLOOKUP($A2101,Games!$A$2:$A$18,Games!$Q$2:$Q$18,"Missing game",0)</x:f>
      </x:c>
      <x:c r="AW2101" t="str">
        <x:f>_xlfn.XLOOKUP($A2101,Games!$A$2:$A$18,Games!$R$2:$R$18,"Missing game",0)</x:f>
        <x:v>U.S. Bank Stadium</x:v>
      </x:c>
    </x:row>
    <x:row r="2102">
      <x:c r="A2102" t="str">
        <x:v>2025_14_WAS_MIN</x:v>
      </x:c>
      <x:c r="B2102" t="n">
        <x:v>2291</x:v>
      </x:c>
      <x:c r="C2102" t="n">
        <x:v>3</x:v>
      </x:c>
      <x:c r="D2102" t="str">
        <x:v>06:25</x:v>
      </x:c>
      <x:c r="E2102" t="n">
        <x:v>2</x:v>
      </x:c>
      <x:c r="F2102" t="n">
        <x:v>5</x:v>
      </x:c>
      <x:c r="G2102" t="str">
        <x:v>WAS</x:v>
      </x:c>
      <x:c r="H2102" t="str">
        <x:v>MIN</x:v>
      </x:c>
      <x:c r="I2102" t="str">
        <x:v>WAS</x:v>
      </x:c>
      <x:c r="J2102" t="n">
        <x:v>75</x:v>
      </x:c>
      <x:c r="K2102" t="str">
        <x:v>(6:25) (No Huddle, Shotgun) 8-M.Mariota pass short middle to 1-D.Samuel to WAS 36 for 11 yards (44-J.Metellus; 0-I.Pace).</x:v>
      </x:c>
      <x:c r="L2102" t="str">
        <x:v>pass</x:v>
      </x:c>
      <x:c r="M2102" t="n">
        <x:v>11</x:v>
      </x:c>
      <x:c r="N2102" t="n">
        <x:v>1</x:v>
      </x:c>
      <x:c r="O2102" t="n">
        <x:v>1</x:v>
      </x:c>
      <x:c r="P2102" t="str">
        <x:v>short</x:v>
      </x:c>
      <x:c r="Q2102" t="str">
        <x:v>middle</x:v>
      </x:c>
      <x:c r="R2102" t="n">
        <x:v>10</x:v>
      </x:c>
      <x:c r="S2102" t="n">
        <x:v>1</x:v>
      </x:c>
      <x:c r="T2102"/>
      <x:c r="U2102"/>
      <x:c r="V2102" t="n">
        <x:v>1</x:v>
      </x:c>
      <x:c r="W2102" t="n">
        <x:v>1</x:v>
      </x:c>
      <x:c r="X2102" t="n">
        <x:v>0</x:v>
      </x:c>
      <x:c r="Y2102" t="n">
        <x:v>0</x:v>
      </x:c>
      <x:c r="Z2102" t="n">
        <x:v>0</x:v>
      </x:c>
      <x:c r="AA2102" t="n">
        <x:v>0</x:v>
      </x:c>
      <x:c r="AB2102"/>
      <x:c r="AC2102" t="n">
        <x:v>0</x:v>
      </x:c>
      <x:c r="AD2102" t="n">
        <x:v>1.0052873068489134</x:v>
      </x:c>
      <x:c r="AE2102" t="n">
        <x:v>1</x:v>
      </x:c>
      <x:c r="AF2102" t="n">
        <x:v>0.009291671216487885</x:v>
      </x:c>
      <x:c r="AG2102" t="n">
        <x:f>_xlfn.XLOOKUP($A2102,Games!$A$2:$A$18,Games!$B$2:$B$18,"Missing game",0)</x:f>
        <x:v>2025</x:v>
      </x:c>
      <x:c r="AH2102" t="str">
        <x:f>_xlfn.XLOOKUP($A2102,Games!$A$2:$A$18,Games!$C$2:$C$18,"Missing game",0)</x:f>
        <x:v>REG</x:v>
      </x:c>
      <x:c r="AI2102" t="n">
        <x:f>_xlfn.XLOOKUP($A2102,Games!$A$2:$A$18,Games!$D$2:$D$18,"Missing game",0)</x:f>
        <x:v>14</x:v>
      </x:c>
      <x:c r="AJ2102" s="1" t="n">
        <x:f>_xlfn.XLOOKUP($A2102,Games!$A$2:$A$18,Games!$E$2:$E$18,"Missing game",0)</x:f>
        <x:v>45998</x:v>
      </x:c>
      <x:c r="AK2102" t="str">
        <x:f>_xlfn.XLOOKUP($A2102,Games!$A$2:$A$18,Games!$F$2:$F$18,"Missing game",0)</x:f>
        <x:v>Sunday</x:v>
      </x:c>
      <x:c r="AL2102" t="str">
        <x:f>_xlfn.XLOOKUP($A2102,Games!$A$2:$A$18,Games!$G$2:$G$18,"Missing game",0)</x:f>
        <x:v>WAS</x:v>
      </x:c>
      <x:c r="AM2102" t="n">
        <x:f>_xlfn.XLOOKUP($A2102,Games!$A$2:$A$18,Games!$H$2:$H$18,"Missing game",0)</x:f>
        <x:v>0</x:v>
      </x:c>
      <x:c r="AN2102" t="str">
        <x:f>_xlfn.XLOOKUP($A2102,Games!$A$2:$A$18,Games!$I$2:$I$18,"Missing game",0)</x:f>
        <x:v>MIN</x:v>
      </x:c>
      <x:c r="AO2102" t="n">
        <x:f>_xlfn.XLOOKUP($A2102,Games!$A$2:$A$18,Games!$J$2:$J$18,"Missing game",0)</x:f>
        <x:v>31</x:v>
      </x:c>
      <x:c r="AP2102" t="n">
        <x:f>_xlfn.XLOOKUP($A2102,Games!$A$2:$A$18,Games!$K$2:$K$18,"Missing game",0)</x:f>
        <x:v>31</x:v>
      </x:c>
      <x:c r="AQ2102" t="n">
        <x:f>_xlfn.XLOOKUP($A2102,Games!$A$2:$A$18,Games!$L$2:$L$18,"Missing game",0)</x:f>
        <x:v>31</x:v>
      </x:c>
      <x:c r="AR2102" t="n">
        <x:f>_xlfn.XLOOKUP($A2102,Games!$A$2:$A$18,Games!$M$2:$M$18,"Missing game",0)</x:f>
        <x:v>0</x:v>
      </x:c>
      <x:c r="AS2102" t="str">
        <x:f>_xlfn.XLOOKUP($A2102,Games!$A$2:$A$18,Games!$N$2:$N$18,"Missing game",0)</x:f>
        <x:v>dome</x:v>
      </x:c>
      <x:c r="AT2102" t="str">
        <x:f>_xlfn.XLOOKUP($A2102,Games!$A$2:$A$18,Games!$O$2:$O$18,"Missing game",0)</x:f>
        <x:v>sportturf</x:v>
      </x:c>
      <x:c r="AU2102" t="str">
        <x:f>_xlfn.XLOOKUP($A2102,Games!$A$2:$A$18,Games!$P$2:$P$18,"Missing game",0)</x:f>
      </x:c>
      <x:c r="AV2102" t="str">
        <x:f>_xlfn.XLOOKUP($A2102,Games!$A$2:$A$18,Games!$Q$2:$Q$18,"Missing game",0)</x:f>
      </x:c>
      <x:c r="AW2102" t="str">
        <x:f>_xlfn.XLOOKUP($A2102,Games!$A$2:$A$18,Games!$R$2:$R$18,"Missing game",0)</x:f>
        <x:v>U.S. Bank Stadium</x:v>
      </x:c>
    </x:row>
    <x:row r="2103">
      <x:c r="A2103" t="str">
        <x:v>2025_14_WAS_MIN</x:v>
      </x:c>
      <x:c r="B2103" t="n">
        <x:v>2316</x:v>
      </x:c>
      <x:c r="C2103" t="n">
        <x:v>3</x:v>
      </x:c>
      <x:c r="D2103" t="str">
        <x:v>05:46</x:v>
      </x:c>
      <x:c r="E2103" t="n">
        <x:v>1</x:v>
      </x:c>
      <x:c r="F2103" t="n">
        <x:v>10</x:v>
      </x:c>
      <x:c r="G2103" t="str">
        <x:v>WAS</x:v>
      </x:c>
      <x:c r="H2103" t="str">
        <x:v>MIN</x:v>
      </x:c>
      <x:c r="I2103" t="str">
        <x:v>WAS</x:v>
      </x:c>
      <x:c r="J2103" t="n">
        <x:v>64</x:v>
      </x:c>
      <x:c r="K2103" t="str">
        <x:v>(5:46) (No Huddle) 22-J.Croskey-Merritt up the middle to WAS 37 for 1 yard (51-B.Cashman; 0-I.Pace).</x:v>
      </x:c>
      <x:c r="L2103" t="str">
        <x:v>run</x:v>
      </x:c>
      <x:c r="M2103" t="n">
        <x:v>1</x:v>
      </x:c>
      <x:c r="N2103" t="n">
        <x:v>0</x:v>
      </x:c>
      <x:c r="O2103" t="n">
        <x:v>1</x:v>
      </x:c>
      <x:c r="P2103"/>
      <x:c r="Q2103"/>
      <x:c r="R2103"/>
      <x:c r="S2103"/>
      <x:c r="T2103" t="str">
        <x:v>middle</x:v>
      </x:c>
      <x:c r="U2103"/>
      <x:c r="V2103" t="n">
        <x:v>0</x:v>
      </x:c>
      <x:c r="W2103" t="n">
        <x:v>0</x:v>
      </x:c>
      <x:c r="X2103" t="n">
        <x:v>0</x:v>
      </x:c>
      <x:c r="Y2103" t="n">
        <x:v>0</x:v>
      </x:c>
      <x:c r="Z2103" t="n">
        <x:v>0</x:v>
      </x:c>
      <x:c r="AA2103" t="n">
        <x:v>0</x:v>
      </x:c>
      <x:c r="AB2103"/>
      <x:c r="AC2103" t="n">
        <x:v>0</x:v>
      </x:c>
      <x:c r="AD2103" t="n">
        <x:v>-0.5777498946990818</x:v>
      </x:c>
      <x:c r="AE2103" t="n">
        <x:v>0</x:v>
      </x:c>
      <x:c r="AF2103" t="n">
        <x:v>-0.012984029948711395</x:v>
      </x:c>
      <x:c r="AG2103" t="n">
        <x:f>_xlfn.XLOOKUP($A2103,Games!$A$2:$A$18,Games!$B$2:$B$18,"Missing game",0)</x:f>
        <x:v>2025</x:v>
      </x:c>
      <x:c r="AH2103" t="str">
        <x:f>_xlfn.XLOOKUP($A2103,Games!$A$2:$A$18,Games!$C$2:$C$18,"Missing game",0)</x:f>
        <x:v>REG</x:v>
      </x:c>
      <x:c r="AI2103" t="n">
        <x:f>_xlfn.XLOOKUP($A2103,Games!$A$2:$A$18,Games!$D$2:$D$18,"Missing game",0)</x:f>
        <x:v>14</x:v>
      </x:c>
      <x:c r="AJ2103" s="1" t="n">
        <x:f>_xlfn.XLOOKUP($A2103,Games!$A$2:$A$18,Games!$E$2:$E$18,"Missing game",0)</x:f>
        <x:v>45998</x:v>
      </x:c>
      <x:c r="AK2103" t="str">
        <x:f>_xlfn.XLOOKUP($A2103,Games!$A$2:$A$18,Games!$F$2:$F$18,"Missing game",0)</x:f>
        <x:v>Sunday</x:v>
      </x:c>
      <x:c r="AL2103" t="str">
        <x:f>_xlfn.XLOOKUP($A2103,Games!$A$2:$A$18,Games!$G$2:$G$18,"Missing game",0)</x:f>
        <x:v>WAS</x:v>
      </x:c>
      <x:c r="AM2103" t="n">
        <x:f>_xlfn.XLOOKUP($A2103,Games!$A$2:$A$18,Games!$H$2:$H$18,"Missing game",0)</x:f>
        <x:v>0</x:v>
      </x:c>
      <x:c r="AN2103" t="str">
        <x:f>_xlfn.XLOOKUP($A2103,Games!$A$2:$A$18,Games!$I$2:$I$18,"Missing game",0)</x:f>
        <x:v>MIN</x:v>
      </x:c>
      <x:c r="AO2103" t="n">
        <x:f>_xlfn.XLOOKUP($A2103,Games!$A$2:$A$18,Games!$J$2:$J$18,"Missing game",0)</x:f>
        <x:v>31</x:v>
      </x:c>
      <x:c r="AP2103" t="n">
        <x:f>_xlfn.XLOOKUP($A2103,Games!$A$2:$A$18,Games!$K$2:$K$18,"Missing game",0)</x:f>
        <x:v>31</x:v>
      </x:c>
      <x:c r="AQ2103" t="n">
        <x:f>_xlfn.XLOOKUP($A2103,Games!$A$2:$A$18,Games!$L$2:$L$18,"Missing game",0)</x:f>
        <x:v>31</x:v>
      </x:c>
      <x:c r="AR2103" t="n">
        <x:f>_xlfn.XLOOKUP($A2103,Games!$A$2:$A$18,Games!$M$2:$M$18,"Missing game",0)</x:f>
        <x:v>0</x:v>
      </x:c>
      <x:c r="AS2103" t="str">
        <x:f>_xlfn.XLOOKUP($A2103,Games!$A$2:$A$18,Games!$N$2:$N$18,"Missing game",0)</x:f>
        <x:v>dome</x:v>
      </x:c>
      <x:c r="AT2103" t="str">
        <x:f>_xlfn.XLOOKUP($A2103,Games!$A$2:$A$18,Games!$O$2:$O$18,"Missing game",0)</x:f>
        <x:v>sportturf</x:v>
      </x:c>
      <x:c r="AU2103" t="str">
        <x:f>_xlfn.XLOOKUP($A2103,Games!$A$2:$A$18,Games!$P$2:$P$18,"Missing game",0)</x:f>
      </x:c>
      <x:c r="AV2103" t="str">
        <x:f>_xlfn.XLOOKUP($A2103,Games!$A$2:$A$18,Games!$Q$2:$Q$18,"Missing game",0)</x:f>
      </x:c>
      <x:c r="AW2103" t="str">
        <x:f>_xlfn.XLOOKUP($A2103,Games!$A$2:$A$18,Games!$R$2:$R$18,"Missing game",0)</x:f>
        <x:v>U.S. Bank Stadium</x:v>
      </x:c>
    </x:row>
    <x:row r="2104">
      <x:c r="A2104" t="str">
        <x:v>2025_14_WAS_MIN</x:v>
      </x:c>
      <x:c r="B2104" t="n">
        <x:v>2338</x:v>
      </x:c>
      <x:c r="C2104" t="n">
        <x:v>3</x:v>
      </x:c>
      <x:c r="D2104" t="str">
        <x:v>05:05</x:v>
      </x:c>
      <x:c r="E2104" t="n">
        <x:v>2</x:v>
      </x:c>
      <x:c r="F2104" t="n">
        <x:v>9</x:v>
      </x:c>
      <x:c r="G2104" t="str">
        <x:v>WAS</x:v>
      </x:c>
      <x:c r="H2104" t="str">
        <x:v>MIN</x:v>
      </x:c>
      <x:c r="I2104" t="str">
        <x:v>WAS</x:v>
      </x:c>
      <x:c r="J2104" t="n">
        <x:v>63</x:v>
      </x:c>
      <x:c r="K2104" t="str">
        <x:v>(5:05) (No Huddle, Shotgun) 8-M.Mariota pass short left intended for 13-T.Burks INTERCEPTED by 22-H.Smith at WAS 48. 22-H.Smith to WAS 37 for 11 yards (13-T.Burks; 1-D.Samuel).</x:v>
      </x:c>
      <x:c r="L2104" t="str">
        <x:v>pass</x:v>
      </x:c>
      <x:c r="M2104" t="n">
        <x:v>0</x:v>
      </x:c>
      <x:c r="N2104" t="n">
        <x:v>1</x:v>
      </x:c>
      <x:c r="O2104" t="n">
        <x:v>1</x:v>
      </x:c>
      <x:c r="P2104" t="str">
        <x:v>short</x:v>
      </x:c>
      <x:c r="Q2104" t="str">
        <x:v>left</x:v>
      </x:c>
      <x:c r="R2104" t="n">
        <x:v>11</x:v>
      </x:c>
      <x:c r="S2104"/>
      <x:c r="T2104"/>
      <x:c r="U2104"/>
      <x:c r="V2104" t="n">
        <x:v>0</x:v>
      </x:c>
      <x:c r="W2104" t="n">
        <x:v>0</x:v>
      </x:c>
      <x:c r="X2104" t="n">
        <x:v>0</x:v>
      </x:c>
      <x:c r="Y2104" t="n">
        <x:v>1</x:v>
      </x:c>
      <x:c r="Z2104" t="n">
        <x:v>0</x:v>
      </x:c>
      <x:c r="AA2104" t="n">
        <x:v>0</x:v>
      </x:c>
      <x:c r="AB2104"/>
      <x:c r="AC2104" t="n">
        <x:v>0</x:v>
      </x:c>
      <x:c r="AD2104" t="n">
        <x:v>-5.085823553847149</x:v>
      </x:c>
      <x:c r="AE2104" t="n">
        <x:v>0</x:v>
      </x:c>
      <x:c r="AF2104" t="n">
        <x:v>-0.024716146290302277</x:v>
      </x:c>
      <x:c r="AG2104" t="n">
        <x:f>_xlfn.XLOOKUP($A2104,Games!$A$2:$A$18,Games!$B$2:$B$18,"Missing game",0)</x:f>
        <x:v>2025</x:v>
      </x:c>
      <x:c r="AH2104" t="str">
        <x:f>_xlfn.XLOOKUP($A2104,Games!$A$2:$A$18,Games!$C$2:$C$18,"Missing game",0)</x:f>
        <x:v>REG</x:v>
      </x:c>
      <x:c r="AI2104" t="n">
        <x:f>_xlfn.XLOOKUP($A2104,Games!$A$2:$A$18,Games!$D$2:$D$18,"Missing game",0)</x:f>
        <x:v>14</x:v>
      </x:c>
      <x:c r="AJ2104" s="1" t="n">
        <x:f>_xlfn.XLOOKUP($A2104,Games!$A$2:$A$18,Games!$E$2:$E$18,"Missing game",0)</x:f>
        <x:v>45998</x:v>
      </x:c>
      <x:c r="AK2104" t="str">
        <x:f>_xlfn.XLOOKUP($A2104,Games!$A$2:$A$18,Games!$F$2:$F$18,"Missing game",0)</x:f>
        <x:v>Sunday</x:v>
      </x:c>
      <x:c r="AL2104" t="str">
        <x:f>_xlfn.XLOOKUP($A2104,Games!$A$2:$A$18,Games!$G$2:$G$18,"Missing game",0)</x:f>
        <x:v>WAS</x:v>
      </x:c>
      <x:c r="AM2104" t="n">
        <x:f>_xlfn.XLOOKUP($A2104,Games!$A$2:$A$18,Games!$H$2:$H$18,"Missing game",0)</x:f>
        <x:v>0</x:v>
      </x:c>
      <x:c r="AN2104" t="str">
        <x:f>_xlfn.XLOOKUP($A2104,Games!$A$2:$A$18,Games!$I$2:$I$18,"Missing game",0)</x:f>
        <x:v>MIN</x:v>
      </x:c>
      <x:c r="AO2104" t="n">
        <x:f>_xlfn.XLOOKUP($A2104,Games!$A$2:$A$18,Games!$J$2:$J$18,"Missing game",0)</x:f>
        <x:v>31</x:v>
      </x:c>
      <x:c r="AP2104" t="n">
        <x:f>_xlfn.XLOOKUP($A2104,Games!$A$2:$A$18,Games!$K$2:$K$18,"Missing game",0)</x:f>
        <x:v>31</x:v>
      </x:c>
      <x:c r="AQ2104" t="n">
        <x:f>_xlfn.XLOOKUP($A2104,Games!$A$2:$A$18,Games!$L$2:$L$18,"Missing game",0)</x:f>
        <x:v>31</x:v>
      </x:c>
      <x:c r="AR2104" t="n">
        <x:f>_xlfn.XLOOKUP($A2104,Games!$A$2:$A$18,Games!$M$2:$M$18,"Missing game",0)</x:f>
        <x:v>0</x:v>
      </x:c>
      <x:c r="AS2104" t="str">
        <x:f>_xlfn.XLOOKUP($A2104,Games!$A$2:$A$18,Games!$N$2:$N$18,"Missing game",0)</x:f>
        <x:v>dome</x:v>
      </x:c>
      <x:c r="AT2104" t="str">
        <x:f>_xlfn.XLOOKUP($A2104,Games!$A$2:$A$18,Games!$O$2:$O$18,"Missing game",0)</x:f>
        <x:v>sportturf</x:v>
      </x:c>
      <x:c r="AU2104" t="str">
        <x:f>_xlfn.XLOOKUP($A2104,Games!$A$2:$A$18,Games!$P$2:$P$18,"Missing game",0)</x:f>
      </x:c>
      <x:c r="AV2104" t="str">
        <x:f>_xlfn.XLOOKUP($A2104,Games!$A$2:$A$18,Games!$Q$2:$Q$18,"Missing game",0)</x:f>
      </x:c>
      <x:c r="AW2104" t="str">
        <x:f>_xlfn.XLOOKUP($A2104,Games!$A$2:$A$18,Games!$R$2:$R$18,"Missing game",0)</x:f>
        <x:v>U.S. Bank Stadium</x:v>
      </x:c>
    </x:row>
    <x:row r="2105">
      <x:c r="A2105" t="str">
        <x:v>2025_14_WAS_MIN</x:v>
      </x:c>
      <x:c r="B2105" t="n">
        <x:v>2365</x:v>
      </x:c>
      <x:c r="C2105" t="n">
        <x:v>3</x:v>
      </x:c>
      <x:c r="D2105" t="str">
        <x:v>04:57</x:v>
      </x:c>
      <x:c r="E2105" t="n">
        <x:v>1</x:v>
      </x:c>
      <x:c r="F2105" t="n">
        <x:v>10</x:v>
      </x:c>
      <x:c r="G2105" t="str">
        <x:v>MIN</x:v>
      </x:c>
      <x:c r="H2105" t="str">
        <x:v>WAS</x:v>
      </x:c>
      <x:c r="I2105" t="str">
        <x:v>WAS</x:v>
      </x:c>
      <x:c r="J2105" t="n">
        <x:v>37</x:v>
      </x:c>
      <x:c r="K2105" t="str">
        <x:v>(4:57) 9-J.McCarthy pass deep left to 3-J.Addison ran ob at WAS 17 for 20 yards (0-M.Sainristil).</x:v>
      </x:c>
      <x:c r="L2105" t="str">
        <x:v>pass</x:v>
      </x:c>
      <x:c r="M2105" t="n">
        <x:v>20</x:v>
      </x:c>
      <x:c r="N2105" t="n">
        <x:v>0</x:v>
      </x:c>
      <x:c r="O2105" t="n">
        <x:v>0</x:v>
      </x:c>
      <x:c r="P2105" t="str">
        <x:v>deep</x:v>
      </x:c>
      <x:c r="Q2105" t="str">
        <x:v>left</x:v>
      </x:c>
      <x:c r="R2105" t="n">
        <x:v>19</x:v>
      </x:c>
      <x:c r="S2105" t="n">
        <x:v>1</x:v>
      </x:c>
      <x:c r="T2105"/>
      <x:c r="U2105"/>
      <x:c r="V2105" t="n">
        <x:v>1</x:v>
      </x:c>
      <x:c r="W2105" t="n">
        <x:v>1</x:v>
      </x:c>
      <x:c r="X2105" t="n">
        <x:v>0</x:v>
      </x:c>
      <x:c r="Y2105" t="n">
        <x:v>0</x:v>
      </x:c>
      <x:c r="Z2105" t="n">
        <x:v>0</x:v>
      </x:c>
      <x:c r="AA2105" t="n">
        <x:v>0</x:v>
      </x:c>
      <x:c r="AB2105"/>
      <x:c r="AC2105" t="n">
        <x:v>0</x:v>
      </x:c>
      <x:c r="AD2105" t="n">
        <x:v>1.3064474946586415</x:v>
      </x:c>
      <x:c r="AE2105" t="n">
        <x:v>1</x:v>
      </x:c>
      <x:c r="AF2105" t="n">
        <x:v>0.00441586971282959</x:v>
      </x:c>
      <x:c r="AG2105" t="n">
        <x:f>_xlfn.XLOOKUP($A2105,Games!$A$2:$A$18,Games!$B$2:$B$18,"Missing game",0)</x:f>
        <x:v>2025</x:v>
      </x:c>
      <x:c r="AH2105" t="str">
        <x:f>_xlfn.XLOOKUP($A2105,Games!$A$2:$A$18,Games!$C$2:$C$18,"Missing game",0)</x:f>
        <x:v>REG</x:v>
      </x:c>
      <x:c r="AI2105" t="n">
        <x:f>_xlfn.XLOOKUP($A2105,Games!$A$2:$A$18,Games!$D$2:$D$18,"Missing game",0)</x:f>
        <x:v>14</x:v>
      </x:c>
      <x:c r="AJ2105" s="1" t="n">
        <x:f>_xlfn.XLOOKUP($A2105,Games!$A$2:$A$18,Games!$E$2:$E$18,"Missing game",0)</x:f>
        <x:v>45998</x:v>
      </x:c>
      <x:c r="AK2105" t="str">
        <x:f>_xlfn.XLOOKUP($A2105,Games!$A$2:$A$18,Games!$F$2:$F$18,"Missing game",0)</x:f>
        <x:v>Sunday</x:v>
      </x:c>
      <x:c r="AL2105" t="str">
        <x:f>_xlfn.XLOOKUP($A2105,Games!$A$2:$A$18,Games!$G$2:$G$18,"Missing game",0)</x:f>
        <x:v>WAS</x:v>
      </x:c>
      <x:c r="AM2105" t="n">
        <x:f>_xlfn.XLOOKUP($A2105,Games!$A$2:$A$18,Games!$H$2:$H$18,"Missing game",0)</x:f>
        <x:v>0</x:v>
      </x:c>
      <x:c r="AN2105" t="str">
        <x:f>_xlfn.XLOOKUP($A2105,Games!$A$2:$A$18,Games!$I$2:$I$18,"Missing game",0)</x:f>
        <x:v>MIN</x:v>
      </x:c>
      <x:c r="AO2105" t="n">
        <x:f>_xlfn.XLOOKUP($A2105,Games!$A$2:$A$18,Games!$J$2:$J$18,"Missing game",0)</x:f>
        <x:v>31</x:v>
      </x:c>
      <x:c r="AP2105" t="n">
        <x:f>_xlfn.XLOOKUP($A2105,Games!$A$2:$A$18,Games!$K$2:$K$18,"Missing game",0)</x:f>
        <x:v>31</x:v>
      </x:c>
      <x:c r="AQ2105" t="n">
        <x:f>_xlfn.XLOOKUP($A2105,Games!$A$2:$A$18,Games!$L$2:$L$18,"Missing game",0)</x:f>
        <x:v>31</x:v>
      </x:c>
      <x:c r="AR2105" t="n">
        <x:f>_xlfn.XLOOKUP($A2105,Games!$A$2:$A$18,Games!$M$2:$M$18,"Missing game",0)</x:f>
        <x:v>0</x:v>
      </x:c>
      <x:c r="AS2105" t="str">
        <x:f>_xlfn.XLOOKUP($A2105,Games!$A$2:$A$18,Games!$N$2:$N$18,"Missing game",0)</x:f>
        <x:v>dome</x:v>
      </x:c>
      <x:c r="AT2105" t="str">
        <x:f>_xlfn.XLOOKUP($A2105,Games!$A$2:$A$18,Games!$O$2:$O$18,"Missing game",0)</x:f>
        <x:v>sportturf</x:v>
      </x:c>
      <x:c r="AU2105" t="str">
        <x:f>_xlfn.XLOOKUP($A2105,Games!$A$2:$A$18,Games!$P$2:$P$18,"Missing game",0)</x:f>
      </x:c>
      <x:c r="AV2105" t="str">
        <x:f>_xlfn.XLOOKUP($A2105,Games!$A$2:$A$18,Games!$Q$2:$Q$18,"Missing game",0)</x:f>
      </x:c>
      <x:c r="AW2105" t="str">
        <x:f>_xlfn.XLOOKUP($A2105,Games!$A$2:$A$18,Games!$R$2:$R$18,"Missing game",0)</x:f>
        <x:v>U.S. Bank Stadium</x:v>
      </x:c>
    </x:row>
    <x:row r="2106">
      <x:c r="A2106" t="str">
        <x:v>2025_14_WAS_MIN</x:v>
      </x:c>
      <x:c r="B2106" t="n">
        <x:v>2403</x:v>
      </x:c>
      <x:c r="C2106" t="n">
        <x:v>3</x:v>
      </x:c>
      <x:c r="D2106" t="str">
        <x:v>04:15</x:v>
      </x:c>
      <x:c r="E2106" t="n">
        <x:v>1</x:v>
      </x:c>
      <x:c r="F2106" t="n">
        <x:v>10</x:v>
      </x:c>
      <x:c r="G2106" t="str">
        <x:v>MIN</x:v>
      </x:c>
      <x:c r="H2106" t="str">
        <x:v>WAS</x:v>
      </x:c>
      <x:c r="I2106" t="str">
        <x:v>WAS</x:v>
      </x:c>
      <x:c r="J2106" t="n">
        <x:v>17</x:v>
      </x:c>
      <x:c r="K2106" t="str">
        <x:v>(4:15) 27-J.Mason left end to WAS 11 for 6 yards (20-Q.Martin).</x:v>
      </x:c>
      <x:c r="L2106" t="str">
        <x:v>run</x:v>
      </x:c>
      <x:c r="M2106" t="n">
        <x:v>6</x:v>
      </x:c>
      <x:c r="N2106" t="n">
        <x:v>0</x:v>
      </x:c>
      <x:c r="O2106" t="n">
        <x:v>0</x:v>
      </x:c>
      <x:c r="P2106"/>
      <x:c r="Q2106"/>
      <x:c r="R2106"/>
      <x:c r="S2106"/>
      <x:c r="T2106" t="str">
        <x:v>left</x:v>
      </x:c>
      <x:c r="U2106" t="str">
        <x:v>end</x:v>
      </x:c>
      <x:c r="V2106" t="n">
        <x:v>0</x:v>
      </x:c>
      <x:c r="W2106" t="n">
        <x:v>0</x:v>
      </x:c>
      <x:c r="X2106" t="n">
        <x:v>0</x:v>
      </x:c>
      <x:c r="Y2106" t="n">
        <x:v>0</x:v>
      </x:c>
      <x:c r="Z2106" t="n">
        <x:v>0</x:v>
      </x:c>
      <x:c r="AA2106" t="n">
        <x:v>0</x:v>
      </x:c>
      <x:c r="AB2106"/>
      <x:c r="AC2106" t="n">
        <x:v>0</x:v>
      </x:c>
      <x:c r="AD2106" t="n">
        <x:v>0.08489137032302096</x:v>
      </x:c>
      <x:c r="AE2106" t="n">
        <x:v>1</x:v>
      </x:c>
      <x:c r="AF2106" t="n">
        <x:v>-0.001268625259399414</x:v>
      </x:c>
      <x:c r="AG2106" t="n">
        <x:f>_xlfn.XLOOKUP($A2106,Games!$A$2:$A$18,Games!$B$2:$B$18,"Missing game",0)</x:f>
        <x:v>2025</x:v>
      </x:c>
      <x:c r="AH2106" t="str">
        <x:f>_xlfn.XLOOKUP($A2106,Games!$A$2:$A$18,Games!$C$2:$C$18,"Missing game",0)</x:f>
        <x:v>REG</x:v>
      </x:c>
      <x:c r="AI2106" t="n">
        <x:f>_xlfn.XLOOKUP($A2106,Games!$A$2:$A$18,Games!$D$2:$D$18,"Missing game",0)</x:f>
        <x:v>14</x:v>
      </x:c>
      <x:c r="AJ2106" s="1" t="n">
        <x:f>_xlfn.XLOOKUP($A2106,Games!$A$2:$A$18,Games!$E$2:$E$18,"Missing game",0)</x:f>
        <x:v>45998</x:v>
      </x:c>
      <x:c r="AK2106" t="str">
        <x:f>_xlfn.XLOOKUP($A2106,Games!$A$2:$A$18,Games!$F$2:$F$18,"Missing game",0)</x:f>
        <x:v>Sunday</x:v>
      </x:c>
      <x:c r="AL2106" t="str">
        <x:f>_xlfn.XLOOKUP($A2106,Games!$A$2:$A$18,Games!$G$2:$G$18,"Missing game",0)</x:f>
        <x:v>WAS</x:v>
      </x:c>
      <x:c r="AM2106" t="n">
        <x:f>_xlfn.XLOOKUP($A2106,Games!$A$2:$A$18,Games!$H$2:$H$18,"Missing game",0)</x:f>
        <x:v>0</x:v>
      </x:c>
      <x:c r="AN2106" t="str">
        <x:f>_xlfn.XLOOKUP($A2106,Games!$A$2:$A$18,Games!$I$2:$I$18,"Missing game",0)</x:f>
        <x:v>MIN</x:v>
      </x:c>
      <x:c r="AO2106" t="n">
        <x:f>_xlfn.XLOOKUP($A2106,Games!$A$2:$A$18,Games!$J$2:$J$18,"Missing game",0)</x:f>
        <x:v>31</x:v>
      </x:c>
      <x:c r="AP2106" t="n">
        <x:f>_xlfn.XLOOKUP($A2106,Games!$A$2:$A$18,Games!$K$2:$K$18,"Missing game",0)</x:f>
        <x:v>31</x:v>
      </x:c>
      <x:c r="AQ2106" t="n">
        <x:f>_xlfn.XLOOKUP($A2106,Games!$A$2:$A$18,Games!$L$2:$L$18,"Missing game",0)</x:f>
        <x:v>31</x:v>
      </x:c>
      <x:c r="AR2106" t="n">
        <x:f>_xlfn.XLOOKUP($A2106,Games!$A$2:$A$18,Games!$M$2:$M$18,"Missing game",0)</x:f>
        <x:v>0</x:v>
      </x:c>
      <x:c r="AS2106" t="str">
        <x:f>_xlfn.XLOOKUP($A2106,Games!$A$2:$A$18,Games!$N$2:$N$18,"Missing game",0)</x:f>
        <x:v>dome</x:v>
      </x:c>
      <x:c r="AT2106" t="str">
        <x:f>_xlfn.XLOOKUP($A2106,Games!$A$2:$A$18,Games!$O$2:$O$18,"Missing game",0)</x:f>
        <x:v>sportturf</x:v>
      </x:c>
      <x:c r="AU2106" t="str">
        <x:f>_xlfn.XLOOKUP($A2106,Games!$A$2:$A$18,Games!$P$2:$P$18,"Missing game",0)</x:f>
      </x:c>
      <x:c r="AV2106" t="str">
        <x:f>_xlfn.XLOOKUP($A2106,Games!$A$2:$A$18,Games!$Q$2:$Q$18,"Missing game",0)</x:f>
      </x:c>
      <x:c r="AW2106" t="str">
        <x:f>_xlfn.XLOOKUP($A2106,Games!$A$2:$A$18,Games!$R$2:$R$18,"Missing game",0)</x:f>
        <x:v>U.S. Bank Stadium</x:v>
      </x:c>
    </x:row>
    <x:row r="2107">
      <x:c r="A2107" t="str">
        <x:v>2025_14_WAS_MIN</x:v>
      </x:c>
      <x:c r="B2107" t="n">
        <x:v>2430</x:v>
      </x:c>
      <x:c r="C2107" t="n">
        <x:v>3</x:v>
      </x:c>
      <x:c r="D2107" t="str">
        <x:v>03:40</x:v>
      </x:c>
      <x:c r="E2107" t="n">
        <x:v>2</x:v>
      </x:c>
      <x:c r="F2107" t="n">
        <x:v>4</x:v>
      </x:c>
      <x:c r="G2107" t="str">
        <x:v>MIN</x:v>
      </x:c>
      <x:c r="H2107" t="str">
        <x:v>WAS</x:v>
      </x:c>
      <x:c r="I2107" t="str">
        <x:v>WAS</x:v>
      </x:c>
      <x:c r="J2107" t="n">
        <x:v>11</x:v>
      </x:c>
      <x:c r="K2107" t="str">
        <x:v>(3:40) 27-J.Mason right end to WAS 6 for 5 yards (31-J.Jones).</x:v>
      </x:c>
      <x:c r="L2107" t="str">
        <x:v>run</x:v>
      </x:c>
      <x:c r="M2107" t="n">
        <x:v>5</x:v>
      </x:c>
      <x:c r="N2107" t="n">
        <x:v>0</x:v>
      </x:c>
      <x:c r="O2107" t="n">
        <x:v>0</x:v>
      </x:c>
      <x:c r="P2107"/>
      <x:c r="Q2107"/>
      <x:c r="R2107"/>
      <x:c r="S2107"/>
      <x:c r="T2107" t="str">
        <x:v>right</x:v>
      </x:c>
      <x:c r="U2107" t="str">
        <x:v>end</x:v>
      </x:c>
      <x:c r="V2107" t="n">
        <x:v>0</x:v>
      </x:c>
      <x:c r="W2107" t="n">
        <x:v>1</x:v>
      </x:c>
      <x:c r="X2107" t="n">
        <x:v>0</x:v>
      </x:c>
      <x:c r="Y2107" t="n">
        <x:v>0</x:v>
      </x:c>
      <x:c r="Z2107" t="n">
        <x:v>0</x:v>
      </x:c>
      <x:c r="AA2107" t="n">
        <x:v>0</x:v>
      </x:c>
      <x:c r="AB2107"/>
      <x:c r="AC2107" t="n">
        <x:v>0</x:v>
      </x:c>
      <x:c r="AD2107" t="n">
        <x:v>0.5922111336840317</x:v>
      </x:c>
      <x:c r="AE2107" t="n">
        <x:v>1</x:v>
      </x:c>
      <x:c r="AF2107" t="n">
        <x:v>0.0066620707511901855</x:v>
      </x:c>
      <x:c r="AG2107" t="n">
        <x:f>_xlfn.XLOOKUP($A2107,Games!$A$2:$A$18,Games!$B$2:$B$18,"Missing game",0)</x:f>
        <x:v>2025</x:v>
      </x:c>
      <x:c r="AH2107" t="str">
        <x:f>_xlfn.XLOOKUP($A2107,Games!$A$2:$A$18,Games!$C$2:$C$18,"Missing game",0)</x:f>
        <x:v>REG</x:v>
      </x:c>
      <x:c r="AI2107" t="n">
        <x:f>_xlfn.XLOOKUP($A2107,Games!$A$2:$A$18,Games!$D$2:$D$18,"Missing game",0)</x:f>
        <x:v>14</x:v>
      </x:c>
      <x:c r="AJ2107" s="1" t="n">
        <x:f>_xlfn.XLOOKUP($A2107,Games!$A$2:$A$18,Games!$E$2:$E$18,"Missing game",0)</x:f>
        <x:v>45998</x:v>
      </x:c>
      <x:c r="AK2107" t="str">
        <x:f>_xlfn.XLOOKUP($A2107,Games!$A$2:$A$18,Games!$F$2:$F$18,"Missing game",0)</x:f>
        <x:v>Sunday</x:v>
      </x:c>
      <x:c r="AL2107" t="str">
        <x:f>_xlfn.XLOOKUP($A2107,Games!$A$2:$A$18,Games!$G$2:$G$18,"Missing game",0)</x:f>
        <x:v>WAS</x:v>
      </x:c>
      <x:c r="AM2107" t="n">
        <x:f>_xlfn.XLOOKUP($A2107,Games!$A$2:$A$18,Games!$H$2:$H$18,"Missing game",0)</x:f>
        <x:v>0</x:v>
      </x:c>
      <x:c r="AN2107" t="str">
        <x:f>_xlfn.XLOOKUP($A2107,Games!$A$2:$A$18,Games!$I$2:$I$18,"Missing game",0)</x:f>
        <x:v>MIN</x:v>
      </x:c>
      <x:c r="AO2107" t="n">
        <x:f>_xlfn.XLOOKUP($A2107,Games!$A$2:$A$18,Games!$J$2:$J$18,"Missing game",0)</x:f>
        <x:v>31</x:v>
      </x:c>
      <x:c r="AP2107" t="n">
        <x:f>_xlfn.XLOOKUP($A2107,Games!$A$2:$A$18,Games!$K$2:$K$18,"Missing game",0)</x:f>
        <x:v>31</x:v>
      </x:c>
      <x:c r="AQ2107" t="n">
        <x:f>_xlfn.XLOOKUP($A2107,Games!$A$2:$A$18,Games!$L$2:$L$18,"Missing game",0)</x:f>
        <x:v>31</x:v>
      </x:c>
      <x:c r="AR2107" t="n">
        <x:f>_xlfn.XLOOKUP($A2107,Games!$A$2:$A$18,Games!$M$2:$M$18,"Missing game",0)</x:f>
        <x:v>0</x:v>
      </x:c>
      <x:c r="AS2107" t="str">
        <x:f>_xlfn.XLOOKUP($A2107,Games!$A$2:$A$18,Games!$N$2:$N$18,"Missing game",0)</x:f>
        <x:v>dome</x:v>
      </x:c>
      <x:c r="AT2107" t="str">
        <x:f>_xlfn.XLOOKUP($A2107,Games!$A$2:$A$18,Games!$O$2:$O$18,"Missing game",0)</x:f>
        <x:v>sportturf</x:v>
      </x:c>
      <x:c r="AU2107" t="str">
        <x:f>_xlfn.XLOOKUP($A2107,Games!$A$2:$A$18,Games!$P$2:$P$18,"Missing game",0)</x:f>
      </x:c>
      <x:c r="AV2107" t="str">
        <x:f>_xlfn.XLOOKUP($A2107,Games!$A$2:$A$18,Games!$Q$2:$Q$18,"Missing game",0)</x:f>
      </x:c>
      <x:c r="AW2107" t="str">
        <x:f>_xlfn.XLOOKUP($A2107,Games!$A$2:$A$18,Games!$R$2:$R$18,"Missing game",0)</x:f>
        <x:v>U.S. Bank Stadium</x:v>
      </x:c>
    </x:row>
    <x:row r="2108">
      <x:c r="A2108" t="str">
        <x:v>2025_14_WAS_MIN</x:v>
      </x:c>
      <x:c r="B2108" t="n">
        <x:v>2442</x:v>
      </x:c>
      <x:c r="C2108" t="n">
        <x:v>3</x:v>
      </x:c>
      <x:c r="D2108" t="str">
        <x:v>03:40</x:v>
      </x:c>
      <x:c r="E2108"/>
      <x:c r="F2108" t="n">
        <x:v>0</x:v>
      </x:c>
      <x:c r="G2108"/>
      <x:c r="H2108"/>
      <x:c r="I2108"/>
      <x:c r="J2108"/>
      <x:c r="K2108" t="str">
        <x:v>Timeout #1 by MIN at 03:40.</x:v>
      </x:c>
      <x:c r="L2108" t="str">
        <x:v>no_play</x:v>
      </x:c>
      <x:c r="M2108" t="n">
        <x:v>0</x:v>
      </x:c>
      <x:c r="N2108" t="n">
        <x:v>0</x:v>
      </x:c>
      <x:c r="O2108" t="n">
        <x:v>0</x:v>
      </x:c>
      <x:c r="P2108"/>
      <x:c r="Q2108"/>
      <x:c r="R2108"/>
      <x:c r="S2108"/>
      <x:c r="T2108"/>
      <x:c r="U2108"/>
      <x:c r="V2108" t="n">
        <x:v>0</x:v>
      </x:c>
      <x:c r="W2108" t="n">
        <x:v>0</x:v>
      </x:c>
      <x:c r="X2108" t="n">
        <x:v>0</x:v>
      </x:c>
      <x:c r="Y2108" t="n">
        <x:v>0</x:v>
      </x:c>
      <x:c r="Z2108" t="n">
        <x:v>0</x:v>
      </x:c>
      <x:c r="AA2108" t="n">
        <x:v>0</x:v>
      </x:c>
      <x:c r="AB2108"/>
      <x:c r="AC2108" t="n">
        <x:v>0</x:v>
      </x:c>
      <x:c r="AD2108" t="n">
        <x:v>0</x:v>
      </x:c>
      <x:c r="AE2108" t="n">
        <x:v>0</x:v>
      </x:c>
      <x:c r="AF2108" t="n">
        <x:v>0</x:v>
      </x:c>
      <x:c r="AG2108" t="n">
        <x:f>_xlfn.XLOOKUP($A2108,Games!$A$2:$A$18,Games!$B$2:$B$18,"Missing game",0)</x:f>
        <x:v>2025</x:v>
      </x:c>
      <x:c r="AH2108" t="str">
        <x:f>_xlfn.XLOOKUP($A2108,Games!$A$2:$A$18,Games!$C$2:$C$18,"Missing game",0)</x:f>
        <x:v>REG</x:v>
      </x:c>
      <x:c r="AI2108" t="n">
        <x:f>_xlfn.XLOOKUP($A2108,Games!$A$2:$A$18,Games!$D$2:$D$18,"Missing game",0)</x:f>
        <x:v>14</x:v>
      </x:c>
      <x:c r="AJ2108" s="1" t="n">
        <x:f>_xlfn.XLOOKUP($A2108,Games!$A$2:$A$18,Games!$E$2:$E$18,"Missing game",0)</x:f>
        <x:v>45998</x:v>
      </x:c>
      <x:c r="AK2108" t="str">
        <x:f>_xlfn.XLOOKUP($A2108,Games!$A$2:$A$18,Games!$F$2:$F$18,"Missing game",0)</x:f>
        <x:v>Sunday</x:v>
      </x:c>
      <x:c r="AL2108" t="str">
        <x:f>_xlfn.XLOOKUP($A2108,Games!$A$2:$A$18,Games!$G$2:$G$18,"Missing game",0)</x:f>
        <x:v>WAS</x:v>
      </x:c>
      <x:c r="AM2108" t="n">
        <x:f>_xlfn.XLOOKUP($A2108,Games!$A$2:$A$18,Games!$H$2:$H$18,"Missing game",0)</x:f>
        <x:v>0</x:v>
      </x:c>
      <x:c r="AN2108" t="str">
        <x:f>_xlfn.XLOOKUP($A2108,Games!$A$2:$A$18,Games!$I$2:$I$18,"Missing game",0)</x:f>
        <x:v>MIN</x:v>
      </x:c>
      <x:c r="AO2108" t="n">
        <x:f>_xlfn.XLOOKUP($A2108,Games!$A$2:$A$18,Games!$J$2:$J$18,"Missing game",0)</x:f>
        <x:v>31</x:v>
      </x:c>
      <x:c r="AP2108" t="n">
        <x:f>_xlfn.XLOOKUP($A2108,Games!$A$2:$A$18,Games!$K$2:$K$18,"Missing game",0)</x:f>
        <x:v>31</x:v>
      </x:c>
      <x:c r="AQ2108" t="n">
        <x:f>_xlfn.XLOOKUP($A2108,Games!$A$2:$A$18,Games!$L$2:$L$18,"Missing game",0)</x:f>
        <x:v>31</x:v>
      </x:c>
      <x:c r="AR2108" t="n">
        <x:f>_xlfn.XLOOKUP($A2108,Games!$A$2:$A$18,Games!$M$2:$M$18,"Missing game",0)</x:f>
        <x:v>0</x:v>
      </x:c>
      <x:c r="AS2108" t="str">
        <x:f>_xlfn.XLOOKUP($A2108,Games!$A$2:$A$18,Games!$N$2:$N$18,"Missing game",0)</x:f>
        <x:v>dome</x:v>
      </x:c>
      <x:c r="AT2108" t="str">
        <x:f>_xlfn.XLOOKUP($A2108,Games!$A$2:$A$18,Games!$O$2:$O$18,"Missing game",0)</x:f>
        <x:v>sportturf</x:v>
      </x:c>
      <x:c r="AU2108" t="str">
        <x:f>_xlfn.XLOOKUP($A2108,Games!$A$2:$A$18,Games!$P$2:$P$18,"Missing game",0)</x:f>
      </x:c>
      <x:c r="AV2108" t="str">
        <x:f>_xlfn.XLOOKUP($A2108,Games!$A$2:$A$18,Games!$Q$2:$Q$18,"Missing game",0)</x:f>
      </x:c>
      <x:c r="AW2108" t="str">
        <x:f>_xlfn.XLOOKUP($A2108,Games!$A$2:$A$18,Games!$R$2:$R$18,"Missing game",0)</x:f>
        <x:v>U.S. Bank Stadium</x:v>
      </x:c>
    </x:row>
    <x:row r="2109">
      <x:c r="A2109" t="str">
        <x:v>2025_14_WAS_MIN</x:v>
      </x:c>
      <x:c r="B2109" t="n">
        <x:v>2459</x:v>
      </x:c>
      <x:c r="C2109" t="n">
        <x:v>3</x:v>
      </x:c>
      <x:c r="D2109" t="str">
        <x:v>02:58</x:v>
      </x:c>
      <x:c r="E2109" t="n">
        <x:v>1</x:v>
      </x:c>
      <x:c r="F2109" t="n">
        <x:v>6</x:v>
      </x:c>
      <x:c r="G2109" t="str">
        <x:v>MIN</x:v>
      </x:c>
      <x:c r="H2109" t="str">
        <x:v>WAS</x:v>
      </x:c>
      <x:c r="I2109" t="str">
        <x:v>WAS</x:v>
      </x:c>
      <x:c r="J2109" t="n">
        <x:v>6</x:v>
      </x:c>
      <x:c r="K2109" t="str">
        <x:v>(2:58) 9-J.McCarthy pass short right to 84-J.Oliver for 6 yards, TOUCHDOWN [55-J.Martin].</x:v>
      </x:c>
      <x:c r="L2109" t="str">
        <x:v>pass</x:v>
      </x:c>
      <x:c r="M2109" t="n">
        <x:v>6</x:v>
      </x:c>
      <x:c r="N2109" t="n">
        <x:v>0</x:v>
      </x:c>
      <x:c r="O2109" t="n">
        <x:v>0</x:v>
      </x:c>
      <x:c r="P2109" t="str">
        <x:v>short</x:v>
      </x:c>
      <x:c r="Q2109" t="str">
        <x:v>right</x:v>
      </x:c>
      <x:c r="R2109" t="n">
        <x:v>2</x:v>
      </x:c>
      <x:c r="S2109" t="n">
        <x:v>4</x:v>
      </x:c>
      <x:c r="T2109"/>
      <x:c r="U2109"/>
      <x:c r="V2109" t="n">
        <x:v>1</x:v>
      </x:c>
      <x:c r="W2109" t="n">
        <x:v>1</x:v>
      </x:c>
      <x:c r="X2109" t="n">
        <x:v>0</x:v>
      </x:c>
      <x:c r="Y2109" t="n">
        <x:v>0</x:v>
      </x:c>
      <x:c r="Z2109" t="n">
        <x:v>0</x:v>
      </x:c>
      <x:c r="AA2109" t="n">
        <x:v>0</x:v>
      </x:c>
      <x:c r="AB2109"/>
      <x:c r="AC2109" t="n">
        <x:v>1</x:v>
      </x:c>
      <x:c r="AD2109" t="n">
        <x:v>1.117083307763096</x:v>
      </x:c>
      <x:c r="AE2109" t="n">
        <x:v>1</x:v>
      </x:c>
      <x:c r="AF2109" t="n">
        <x:v>0.008912794291973114</x:v>
      </x:c>
      <x:c r="AG2109" t="n">
        <x:f>_xlfn.XLOOKUP($A2109,Games!$A$2:$A$18,Games!$B$2:$B$18,"Missing game",0)</x:f>
        <x:v>2025</x:v>
      </x:c>
      <x:c r="AH2109" t="str">
        <x:f>_xlfn.XLOOKUP($A2109,Games!$A$2:$A$18,Games!$C$2:$C$18,"Missing game",0)</x:f>
        <x:v>REG</x:v>
      </x:c>
      <x:c r="AI2109" t="n">
        <x:f>_xlfn.XLOOKUP($A2109,Games!$A$2:$A$18,Games!$D$2:$D$18,"Missing game",0)</x:f>
        <x:v>14</x:v>
      </x:c>
      <x:c r="AJ2109" s="1" t="n">
        <x:f>_xlfn.XLOOKUP($A2109,Games!$A$2:$A$18,Games!$E$2:$E$18,"Missing game",0)</x:f>
        <x:v>45998</x:v>
      </x:c>
      <x:c r="AK2109" t="str">
        <x:f>_xlfn.XLOOKUP($A2109,Games!$A$2:$A$18,Games!$F$2:$F$18,"Missing game",0)</x:f>
        <x:v>Sunday</x:v>
      </x:c>
      <x:c r="AL2109" t="str">
        <x:f>_xlfn.XLOOKUP($A2109,Games!$A$2:$A$18,Games!$G$2:$G$18,"Missing game",0)</x:f>
        <x:v>WAS</x:v>
      </x:c>
      <x:c r="AM2109" t="n">
        <x:f>_xlfn.XLOOKUP($A2109,Games!$A$2:$A$18,Games!$H$2:$H$18,"Missing game",0)</x:f>
        <x:v>0</x:v>
      </x:c>
      <x:c r="AN2109" t="str">
        <x:f>_xlfn.XLOOKUP($A2109,Games!$A$2:$A$18,Games!$I$2:$I$18,"Missing game",0)</x:f>
        <x:v>MIN</x:v>
      </x:c>
      <x:c r="AO2109" t="n">
        <x:f>_xlfn.XLOOKUP($A2109,Games!$A$2:$A$18,Games!$J$2:$J$18,"Missing game",0)</x:f>
        <x:v>31</x:v>
      </x:c>
      <x:c r="AP2109" t="n">
        <x:f>_xlfn.XLOOKUP($A2109,Games!$A$2:$A$18,Games!$K$2:$K$18,"Missing game",0)</x:f>
        <x:v>31</x:v>
      </x:c>
      <x:c r="AQ2109" t="n">
        <x:f>_xlfn.XLOOKUP($A2109,Games!$A$2:$A$18,Games!$L$2:$L$18,"Missing game",0)</x:f>
        <x:v>31</x:v>
      </x:c>
      <x:c r="AR2109" t="n">
        <x:f>_xlfn.XLOOKUP($A2109,Games!$A$2:$A$18,Games!$M$2:$M$18,"Missing game",0)</x:f>
        <x:v>0</x:v>
      </x:c>
      <x:c r="AS2109" t="str">
        <x:f>_xlfn.XLOOKUP($A2109,Games!$A$2:$A$18,Games!$N$2:$N$18,"Missing game",0)</x:f>
        <x:v>dome</x:v>
      </x:c>
      <x:c r="AT2109" t="str">
        <x:f>_xlfn.XLOOKUP($A2109,Games!$A$2:$A$18,Games!$O$2:$O$18,"Missing game",0)</x:f>
        <x:v>sportturf</x:v>
      </x:c>
      <x:c r="AU2109" t="str">
        <x:f>_xlfn.XLOOKUP($A2109,Games!$A$2:$A$18,Games!$P$2:$P$18,"Missing game",0)</x:f>
      </x:c>
      <x:c r="AV2109" t="str">
        <x:f>_xlfn.XLOOKUP($A2109,Games!$A$2:$A$18,Games!$Q$2:$Q$18,"Missing game",0)</x:f>
      </x:c>
      <x:c r="AW2109" t="str">
        <x:f>_xlfn.XLOOKUP($A2109,Games!$A$2:$A$18,Games!$R$2:$R$18,"Missing game",0)</x:f>
        <x:v>U.S. Bank Stadium</x:v>
      </x:c>
    </x:row>
    <x:row r="2110">
      <x:c r="A2110" t="str">
        <x:v>2025_14_WAS_MIN</x:v>
      </x:c>
      <x:c r="B2110" t="n">
        <x:v>2485</x:v>
      </x:c>
      <x:c r="C2110" t="n">
        <x:v>3</x:v>
      </x:c>
      <x:c r="D2110" t="str">
        <x:v>02:53</x:v>
      </x:c>
      <x:c r="E2110"/>
      <x:c r="F2110" t="n">
        <x:v>0</x:v>
      </x:c>
      <x:c r="G2110" t="str">
        <x:v>MIN</x:v>
      </x:c>
      <x:c r="H2110" t="str">
        <x:v>WAS</x:v>
      </x:c>
      <x:c r="I2110" t="str">
        <x:v>WAS</x:v>
      </x:c>
      <x:c r="J2110" t="n">
        <x:v>15</x:v>
      </x:c>
      <x:c r="K2110" t="str">
        <x:v>16-W.Reichard extra point is GOOD, Center-42-A.DePaola, Holder-17-R.Wright.</x:v>
      </x:c>
      <x:c r="L2110" t="str">
        <x:v>extra_point</x:v>
      </x:c>
      <x:c r="M2110" t="n">
        <x:v>0</x:v>
      </x:c>
      <x:c r="N2110" t="n">
        <x:v>0</x:v>
      </x:c>
      <x:c r="O2110" t="n">
        <x:v>0</x:v>
      </x:c>
      <x:c r="P2110"/>
      <x:c r="Q2110"/>
      <x:c r="R2110"/>
      <x:c r="S2110"/>
      <x:c r="T2110"/>
      <x:c r="U2110"/>
      <x:c r="V2110" t="n">
        <x:v>0</x:v>
      </x:c>
      <x:c r="W2110" t="n">
        <x:v>0</x:v>
      </x:c>
      <x:c r="X2110" t="n">
        <x:v>0</x:v>
      </x:c>
      <x:c r="Y2110" t="n">
        <x:v>0</x:v>
      </x:c>
      <x:c r="Z2110" t="n">
        <x:v>0</x:v>
      </x:c>
      <x:c r="AA2110" t="n">
        <x:v>0</x:v>
      </x:c>
      <x:c r="AB2110"/>
      <x:c r="AC2110" t="n">
        <x:v>0</x:v>
      </x:c>
      <x:c r="AD2110" t="n">
        <x:v>0.05117156607063911</x:v>
      </x:c>
      <x:c r="AE2110" t="n">
        <x:v>1</x:v>
      </x:c>
      <x:c r="AF2110" t="n">
        <x:v>0</x:v>
      </x:c>
      <x:c r="AG2110" t="n">
        <x:f>_xlfn.XLOOKUP($A2110,Games!$A$2:$A$18,Games!$B$2:$B$18,"Missing game",0)</x:f>
        <x:v>2025</x:v>
      </x:c>
      <x:c r="AH2110" t="str">
        <x:f>_xlfn.XLOOKUP($A2110,Games!$A$2:$A$18,Games!$C$2:$C$18,"Missing game",0)</x:f>
        <x:v>REG</x:v>
      </x:c>
      <x:c r="AI2110" t="n">
        <x:f>_xlfn.XLOOKUP($A2110,Games!$A$2:$A$18,Games!$D$2:$D$18,"Missing game",0)</x:f>
        <x:v>14</x:v>
      </x:c>
      <x:c r="AJ2110" s="1" t="n">
        <x:f>_xlfn.XLOOKUP($A2110,Games!$A$2:$A$18,Games!$E$2:$E$18,"Missing game",0)</x:f>
        <x:v>45998</x:v>
      </x:c>
      <x:c r="AK2110" t="str">
        <x:f>_xlfn.XLOOKUP($A2110,Games!$A$2:$A$18,Games!$F$2:$F$18,"Missing game",0)</x:f>
        <x:v>Sunday</x:v>
      </x:c>
      <x:c r="AL2110" t="str">
        <x:f>_xlfn.XLOOKUP($A2110,Games!$A$2:$A$18,Games!$G$2:$G$18,"Missing game",0)</x:f>
        <x:v>WAS</x:v>
      </x:c>
      <x:c r="AM2110" t="n">
        <x:f>_xlfn.XLOOKUP($A2110,Games!$A$2:$A$18,Games!$H$2:$H$18,"Missing game",0)</x:f>
        <x:v>0</x:v>
      </x:c>
      <x:c r="AN2110" t="str">
        <x:f>_xlfn.XLOOKUP($A2110,Games!$A$2:$A$18,Games!$I$2:$I$18,"Missing game",0)</x:f>
        <x:v>MIN</x:v>
      </x:c>
      <x:c r="AO2110" t="n">
        <x:f>_xlfn.XLOOKUP($A2110,Games!$A$2:$A$18,Games!$J$2:$J$18,"Missing game",0)</x:f>
        <x:v>31</x:v>
      </x:c>
      <x:c r="AP2110" t="n">
        <x:f>_xlfn.XLOOKUP($A2110,Games!$A$2:$A$18,Games!$K$2:$K$18,"Missing game",0)</x:f>
        <x:v>31</x:v>
      </x:c>
      <x:c r="AQ2110" t="n">
        <x:f>_xlfn.XLOOKUP($A2110,Games!$A$2:$A$18,Games!$L$2:$L$18,"Missing game",0)</x:f>
        <x:v>31</x:v>
      </x:c>
      <x:c r="AR2110" t="n">
        <x:f>_xlfn.XLOOKUP($A2110,Games!$A$2:$A$18,Games!$M$2:$M$18,"Missing game",0)</x:f>
        <x:v>0</x:v>
      </x:c>
      <x:c r="AS2110" t="str">
        <x:f>_xlfn.XLOOKUP($A2110,Games!$A$2:$A$18,Games!$N$2:$N$18,"Missing game",0)</x:f>
        <x:v>dome</x:v>
      </x:c>
      <x:c r="AT2110" t="str">
        <x:f>_xlfn.XLOOKUP($A2110,Games!$A$2:$A$18,Games!$O$2:$O$18,"Missing game",0)</x:f>
        <x:v>sportturf</x:v>
      </x:c>
      <x:c r="AU2110" t="str">
        <x:f>_xlfn.XLOOKUP($A2110,Games!$A$2:$A$18,Games!$P$2:$P$18,"Missing game",0)</x:f>
      </x:c>
      <x:c r="AV2110" t="str">
        <x:f>_xlfn.XLOOKUP($A2110,Games!$A$2:$A$18,Games!$Q$2:$Q$18,"Missing game",0)</x:f>
      </x:c>
      <x:c r="AW2110" t="str">
        <x:f>_xlfn.XLOOKUP($A2110,Games!$A$2:$A$18,Games!$R$2:$R$18,"Missing game",0)</x:f>
        <x:v>U.S. Bank Stadium</x:v>
      </x:c>
    </x:row>
    <x:row r="2111">
      <x:c r="A2111" t="str">
        <x:v>2025_14_WAS_MIN</x:v>
      </x:c>
      <x:c r="B2111" t="n">
        <x:v>2500</x:v>
      </x:c>
      <x:c r="C2111" t="n">
        <x:v>3</x:v>
      </x:c>
      <x:c r="D2111" t="str">
        <x:v>02:53</x:v>
      </x:c>
      <x:c r="E2111"/>
      <x:c r="F2111" t="n">
        <x:v>0</x:v>
      </x:c>
      <x:c r="G2111" t="str">
        <x:v>WAS</x:v>
      </x:c>
      <x:c r="H2111" t="str">
        <x:v>MIN</x:v>
      </x:c>
      <x:c r="I2111" t="str">
        <x:v>MIN</x:v>
      </x:c>
      <x:c r="J2111" t="n">
        <x:v>35</x:v>
      </x:c>
      <x:c r="K2111" t="str">
        <x:v>16-W.Reichard kicks 60 yards from MIN 35 to WAS 5. 1-D.Samuel pushed ob at WAS 30 for 25 yards (37-T.Thomas).</x:v>
      </x:c>
      <x:c r="L2111" t="str">
        <x:v>kickoff</x:v>
      </x:c>
      <x:c r="M2111" t="n">
        <x:v>0</x:v>
      </x:c>
      <x:c r="N2111" t="n">
        <x:v>0</x:v>
      </x:c>
      <x:c r="O2111" t="n">
        <x:v>0</x:v>
      </x:c>
      <x:c r="P2111"/>
      <x:c r="Q2111"/>
      <x:c r="R2111"/>
      <x:c r="S2111"/>
      <x:c r="T2111"/>
      <x:c r="U2111"/>
      <x:c r="V2111" t="n">
        <x:v>0</x:v>
      </x:c>
      <x:c r="W2111" t="n">
        <x:v>0</x:v>
      </x:c>
      <x:c r="X2111" t="n">
        <x:v>0</x:v>
      </x:c>
      <x:c r="Y2111" t="n">
        <x:v>0</x:v>
      </x:c>
      <x:c r="Z2111" t="n">
        <x:v>0</x:v>
      </x:c>
      <x:c r="AA2111" t="n">
        <x:v>0</x:v>
      </x:c>
      <x:c r="AB2111"/>
      <x:c r="AC2111" t="n">
        <x:v>0</x:v>
      </x:c>
      <x:c r="AD2111" t="n">
        <x:v>0.2752294873353094</x:v>
      </x:c>
      <x:c r="AE2111" t="n">
        <x:v>1</x:v>
      </x:c>
      <x:c r="AF2111" t="n">
        <x:v>0.0005525448359549046</x:v>
      </x:c>
      <x:c r="AG2111" t="n">
        <x:f>_xlfn.XLOOKUP($A2111,Games!$A$2:$A$18,Games!$B$2:$B$18,"Missing game",0)</x:f>
        <x:v>2025</x:v>
      </x:c>
      <x:c r="AH2111" t="str">
        <x:f>_xlfn.XLOOKUP($A2111,Games!$A$2:$A$18,Games!$C$2:$C$18,"Missing game",0)</x:f>
        <x:v>REG</x:v>
      </x:c>
      <x:c r="AI2111" t="n">
        <x:f>_xlfn.XLOOKUP($A2111,Games!$A$2:$A$18,Games!$D$2:$D$18,"Missing game",0)</x:f>
        <x:v>14</x:v>
      </x:c>
      <x:c r="AJ2111" s="1" t="n">
        <x:f>_xlfn.XLOOKUP($A2111,Games!$A$2:$A$18,Games!$E$2:$E$18,"Missing game",0)</x:f>
        <x:v>45998</x:v>
      </x:c>
      <x:c r="AK2111" t="str">
        <x:f>_xlfn.XLOOKUP($A2111,Games!$A$2:$A$18,Games!$F$2:$F$18,"Missing game",0)</x:f>
        <x:v>Sunday</x:v>
      </x:c>
      <x:c r="AL2111" t="str">
        <x:f>_xlfn.XLOOKUP($A2111,Games!$A$2:$A$18,Games!$G$2:$G$18,"Missing game",0)</x:f>
        <x:v>WAS</x:v>
      </x:c>
      <x:c r="AM2111" t="n">
        <x:f>_xlfn.XLOOKUP($A2111,Games!$A$2:$A$18,Games!$H$2:$H$18,"Missing game",0)</x:f>
        <x:v>0</x:v>
      </x:c>
      <x:c r="AN2111" t="str">
        <x:f>_xlfn.XLOOKUP($A2111,Games!$A$2:$A$18,Games!$I$2:$I$18,"Missing game",0)</x:f>
        <x:v>MIN</x:v>
      </x:c>
      <x:c r="AO2111" t="n">
        <x:f>_xlfn.XLOOKUP($A2111,Games!$A$2:$A$18,Games!$J$2:$J$18,"Missing game",0)</x:f>
        <x:v>31</x:v>
      </x:c>
      <x:c r="AP2111" t="n">
        <x:f>_xlfn.XLOOKUP($A2111,Games!$A$2:$A$18,Games!$K$2:$K$18,"Missing game",0)</x:f>
        <x:v>31</x:v>
      </x:c>
      <x:c r="AQ2111" t="n">
        <x:f>_xlfn.XLOOKUP($A2111,Games!$A$2:$A$18,Games!$L$2:$L$18,"Missing game",0)</x:f>
        <x:v>31</x:v>
      </x:c>
      <x:c r="AR2111" t="n">
        <x:f>_xlfn.XLOOKUP($A2111,Games!$A$2:$A$18,Games!$M$2:$M$18,"Missing game",0)</x:f>
        <x:v>0</x:v>
      </x:c>
      <x:c r="AS2111" t="str">
        <x:f>_xlfn.XLOOKUP($A2111,Games!$A$2:$A$18,Games!$N$2:$N$18,"Missing game",0)</x:f>
        <x:v>dome</x:v>
      </x:c>
      <x:c r="AT2111" t="str">
        <x:f>_xlfn.XLOOKUP($A2111,Games!$A$2:$A$18,Games!$O$2:$O$18,"Missing game",0)</x:f>
        <x:v>sportturf</x:v>
      </x:c>
      <x:c r="AU2111" t="str">
        <x:f>_xlfn.XLOOKUP($A2111,Games!$A$2:$A$18,Games!$P$2:$P$18,"Missing game",0)</x:f>
      </x:c>
      <x:c r="AV2111" t="str">
        <x:f>_xlfn.XLOOKUP($A2111,Games!$A$2:$A$18,Games!$Q$2:$Q$18,"Missing game",0)</x:f>
      </x:c>
      <x:c r="AW2111" t="str">
        <x:f>_xlfn.XLOOKUP($A2111,Games!$A$2:$A$18,Games!$R$2:$R$18,"Missing game",0)</x:f>
        <x:v>U.S. Bank Stadium</x:v>
      </x:c>
    </x:row>
    <x:row r="2112">
      <x:c r="A2112" t="str">
        <x:v>2025_14_WAS_MIN</x:v>
      </x:c>
      <x:c r="B2112" t="n">
        <x:v>2535</x:v>
      </x:c>
      <x:c r="C2112" t="n">
        <x:v>3</x:v>
      </x:c>
      <x:c r="D2112" t="str">
        <x:v>02:49</x:v>
      </x:c>
      <x:c r="E2112" t="n">
        <x:v>1</x:v>
      </x:c>
      <x:c r="F2112" t="n">
        <x:v>10</x:v>
      </x:c>
      <x:c r="G2112" t="str">
        <x:v>WAS</x:v>
      </x:c>
      <x:c r="H2112" t="str">
        <x:v>MIN</x:v>
      </x:c>
      <x:c r="I2112" t="str">
        <x:v>WAS</x:v>
      </x:c>
      <x:c r="J2112" t="n">
        <x:v>70</x:v>
      </x:c>
      <x:c r="K2112" t="str">
        <x:v>(2:49) (Shotgun) 36-C.Rodriguez right tackle to WAS 29 for -1 yards (61-J.Redmond, 93-J.Allen).</x:v>
      </x:c>
      <x:c r="L2112" t="str">
        <x:v>run</x:v>
      </x:c>
      <x:c r="M2112" t="n">
        <x:v>-1</x:v>
      </x:c>
      <x:c r="N2112" t="n">
        <x:v>1</x:v>
      </x:c>
      <x:c r="O2112" t="n">
        <x:v>0</x:v>
      </x:c>
      <x:c r="P2112"/>
      <x:c r="Q2112"/>
      <x:c r="R2112"/>
      <x:c r="S2112"/>
      <x:c r="T2112" t="str">
        <x:v>right</x:v>
      </x:c>
      <x:c r="U2112" t="str">
        <x:v>tackle</x:v>
      </x:c>
      <x:c r="V2112" t="n">
        <x:v>0</x:v>
      </x:c>
      <x:c r="W2112" t="n">
        <x:v>0</x:v>
      </x:c>
      <x:c r="X2112" t="n">
        <x:v>0</x:v>
      </x:c>
      <x:c r="Y2112" t="n">
        <x:v>0</x:v>
      </x:c>
      <x:c r="Z2112" t="n">
        <x:v>0</x:v>
      </x:c>
      <x:c r="AA2112" t="n">
        <x:v>0</x:v>
      </x:c>
      <x:c r="AB2112"/>
      <x:c r="AC2112" t="n">
        <x:v>0</x:v>
      </x:c>
      <x:c r="AD2112" t="n">
        <x:v>-0.7837534421123564</x:v>
      </x:c>
      <x:c r="AE2112" t="n">
        <x:v>0</x:v>
      </x:c>
      <x:c r="AF2112" t="n">
        <x:v>-0.001286547165364027</x:v>
      </x:c>
      <x:c r="AG2112" t="n">
        <x:f>_xlfn.XLOOKUP($A2112,Games!$A$2:$A$18,Games!$B$2:$B$18,"Missing game",0)</x:f>
        <x:v>2025</x:v>
      </x:c>
      <x:c r="AH2112" t="str">
        <x:f>_xlfn.XLOOKUP($A2112,Games!$A$2:$A$18,Games!$C$2:$C$18,"Missing game",0)</x:f>
        <x:v>REG</x:v>
      </x:c>
      <x:c r="AI2112" t="n">
        <x:f>_xlfn.XLOOKUP($A2112,Games!$A$2:$A$18,Games!$D$2:$D$18,"Missing game",0)</x:f>
        <x:v>14</x:v>
      </x:c>
      <x:c r="AJ2112" s="1" t="n">
        <x:f>_xlfn.XLOOKUP($A2112,Games!$A$2:$A$18,Games!$E$2:$E$18,"Missing game",0)</x:f>
        <x:v>45998</x:v>
      </x:c>
      <x:c r="AK2112" t="str">
        <x:f>_xlfn.XLOOKUP($A2112,Games!$A$2:$A$18,Games!$F$2:$F$18,"Missing game",0)</x:f>
        <x:v>Sunday</x:v>
      </x:c>
      <x:c r="AL2112" t="str">
        <x:f>_xlfn.XLOOKUP($A2112,Games!$A$2:$A$18,Games!$G$2:$G$18,"Missing game",0)</x:f>
        <x:v>WAS</x:v>
      </x:c>
      <x:c r="AM2112" t="n">
        <x:f>_xlfn.XLOOKUP($A2112,Games!$A$2:$A$18,Games!$H$2:$H$18,"Missing game",0)</x:f>
        <x:v>0</x:v>
      </x:c>
      <x:c r="AN2112" t="str">
        <x:f>_xlfn.XLOOKUP($A2112,Games!$A$2:$A$18,Games!$I$2:$I$18,"Missing game",0)</x:f>
        <x:v>MIN</x:v>
      </x:c>
      <x:c r="AO2112" t="n">
        <x:f>_xlfn.XLOOKUP($A2112,Games!$A$2:$A$18,Games!$J$2:$J$18,"Missing game",0)</x:f>
        <x:v>31</x:v>
      </x:c>
      <x:c r="AP2112" t="n">
        <x:f>_xlfn.XLOOKUP($A2112,Games!$A$2:$A$18,Games!$K$2:$K$18,"Missing game",0)</x:f>
        <x:v>31</x:v>
      </x:c>
      <x:c r="AQ2112" t="n">
        <x:f>_xlfn.XLOOKUP($A2112,Games!$A$2:$A$18,Games!$L$2:$L$18,"Missing game",0)</x:f>
        <x:v>31</x:v>
      </x:c>
      <x:c r="AR2112" t="n">
        <x:f>_xlfn.XLOOKUP($A2112,Games!$A$2:$A$18,Games!$M$2:$M$18,"Missing game",0)</x:f>
        <x:v>0</x:v>
      </x:c>
      <x:c r="AS2112" t="str">
        <x:f>_xlfn.XLOOKUP($A2112,Games!$A$2:$A$18,Games!$N$2:$N$18,"Missing game",0)</x:f>
        <x:v>dome</x:v>
      </x:c>
      <x:c r="AT2112" t="str">
        <x:f>_xlfn.XLOOKUP($A2112,Games!$A$2:$A$18,Games!$O$2:$O$18,"Missing game",0)</x:f>
        <x:v>sportturf</x:v>
      </x:c>
      <x:c r="AU2112" t="str">
        <x:f>_xlfn.XLOOKUP($A2112,Games!$A$2:$A$18,Games!$P$2:$P$18,"Missing game",0)</x:f>
      </x:c>
      <x:c r="AV2112" t="str">
        <x:f>_xlfn.XLOOKUP($A2112,Games!$A$2:$A$18,Games!$Q$2:$Q$18,"Missing game",0)</x:f>
      </x:c>
      <x:c r="AW2112" t="str">
        <x:f>_xlfn.XLOOKUP($A2112,Games!$A$2:$A$18,Games!$R$2:$R$18,"Missing game",0)</x:f>
        <x:v>U.S. Bank Stadium</x:v>
      </x:c>
    </x:row>
    <x:row r="2113">
      <x:c r="A2113" t="str">
        <x:v>2025_14_WAS_MIN</x:v>
      </x:c>
      <x:c r="B2113" t="n">
        <x:v>2557</x:v>
      </x:c>
      <x:c r="C2113" t="n">
        <x:v>3</x:v>
      </x:c>
      <x:c r="D2113" t="str">
        <x:v>02:10</x:v>
      </x:c>
      <x:c r="E2113" t="n">
        <x:v>2</x:v>
      </x:c>
      <x:c r="F2113" t="n">
        <x:v>11</x:v>
      </x:c>
      <x:c r="G2113" t="str">
        <x:v>WAS</x:v>
      </x:c>
      <x:c r="H2113" t="str">
        <x:v>MIN</x:v>
      </x:c>
      <x:c r="I2113" t="str">
        <x:v>WAS</x:v>
      </x:c>
      <x:c r="J2113" t="n">
        <x:v>71</x:v>
      </x:c>
      <x:c r="K2113" t="str">
        <x:v>(2:10) (No Huddle, Shotgun) 8-M.Mariota pass incomplete short left to 86-Z.Ertz. WAS-86-Z.Ertz was injured during the play.</x:v>
      </x:c>
      <x:c r="L2113" t="str">
        <x:v>pass</x:v>
      </x:c>
      <x:c r="M2113" t="n">
        <x:v>0</x:v>
      </x:c>
      <x:c r="N2113" t="n">
        <x:v>1</x:v>
      </x:c>
      <x:c r="O2113" t="n">
        <x:v>1</x:v>
      </x:c>
      <x:c r="P2113" t="str">
        <x:v>short</x:v>
      </x:c>
      <x:c r="Q2113" t="str">
        <x:v>left</x:v>
      </x:c>
      <x:c r="R2113" t="n">
        <x:v>14</x:v>
      </x:c>
      <x:c r="S2113"/>
      <x:c r="T2113"/>
      <x:c r="U2113"/>
      <x:c r="V2113" t="n">
        <x:v>0</x:v>
      </x:c>
      <x:c r="W2113" t="n">
        <x:v>0</x:v>
      </x:c>
      <x:c r="X2113" t="n">
        <x:v>0</x:v>
      </x:c>
      <x:c r="Y2113" t="n">
        <x:v>0</x:v>
      </x:c>
      <x:c r="Z2113" t="n">
        <x:v>0</x:v>
      </x:c>
      <x:c r="AA2113" t="n">
        <x:v>0</x:v>
      </x:c>
      <x:c r="AB2113"/>
      <x:c r="AC2113" t="n">
        <x:v>0</x:v>
      </x:c>
      <x:c r="AD2113" t="n">
        <x:v>-0.7951068868860602</x:v>
      </x:c>
      <x:c r="AE2113" t="n">
        <x:v>0</x:v>
      </x:c>
      <x:c r="AF2113" t="n">
        <x:v>-0.0012181014753878117</x:v>
      </x:c>
      <x:c r="AG2113" t="n">
        <x:f>_xlfn.XLOOKUP($A2113,Games!$A$2:$A$18,Games!$B$2:$B$18,"Missing game",0)</x:f>
        <x:v>2025</x:v>
      </x:c>
      <x:c r="AH2113" t="str">
        <x:f>_xlfn.XLOOKUP($A2113,Games!$A$2:$A$18,Games!$C$2:$C$18,"Missing game",0)</x:f>
        <x:v>REG</x:v>
      </x:c>
      <x:c r="AI2113" t="n">
        <x:f>_xlfn.XLOOKUP($A2113,Games!$A$2:$A$18,Games!$D$2:$D$18,"Missing game",0)</x:f>
        <x:v>14</x:v>
      </x:c>
      <x:c r="AJ2113" s="1" t="n">
        <x:f>_xlfn.XLOOKUP($A2113,Games!$A$2:$A$18,Games!$E$2:$E$18,"Missing game",0)</x:f>
        <x:v>45998</x:v>
      </x:c>
      <x:c r="AK2113" t="str">
        <x:f>_xlfn.XLOOKUP($A2113,Games!$A$2:$A$18,Games!$F$2:$F$18,"Missing game",0)</x:f>
        <x:v>Sunday</x:v>
      </x:c>
      <x:c r="AL2113" t="str">
        <x:f>_xlfn.XLOOKUP($A2113,Games!$A$2:$A$18,Games!$G$2:$G$18,"Missing game",0)</x:f>
        <x:v>WAS</x:v>
      </x:c>
      <x:c r="AM2113" t="n">
        <x:f>_xlfn.XLOOKUP($A2113,Games!$A$2:$A$18,Games!$H$2:$H$18,"Missing game",0)</x:f>
        <x:v>0</x:v>
      </x:c>
      <x:c r="AN2113" t="str">
        <x:f>_xlfn.XLOOKUP($A2113,Games!$A$2:$A$18,Games!$I$2:$I$18,"Missing game",0)</x:f>
        <x:v>MIN</x:v>
      </x:c>
      <x:c r="AO2113" t="n">
        <x:f>_xlfn.XLOOKUP($A2113,Games!$A$2:$A$18,Games!$J$2:$J$18,"Missing game",0)</x:f>
        <x:v>31</x:v>
      </x:c>
      <x:c r="AP2113" t="n">
        <x:f>_xlfn.XLOOKUP($A2113,Games!$A$2:$A$18,Games!$K$2:$K$18,"Missing game",0)</x:f>
        <x:v>31</x:v>
      </x:c>
      <x:c r="AQ2113" t="n">
        <x:f>_xlfn.XLOOKUP($A2113,Games!$A$2:$A$18,Games!$L$2:$L$18,"Missing game",0)</x:f>
        <x:v>31</x:v>
      </x:c>
      <x:c r="AR2113" t="n">
        <x:f>_xlfn.XLOOKUP($A2113,Games!$A$2:$A$18,Games!$M$2:$M$18,"Missing game",0)</x:f>
        <x:v>0</x:v>
      </x:c>
      <x:c r="AS2113" t="str">
        <x:f>_xlfn.XLOOKUP($A2113,Games!$A$2:$A$18,Games!$N$2:$N$18,"Missing game",0)</x:f>
        <x:v>dome</x:v>
      </x:c>
      <x:c r="AT2113" t="str">
        <x:f>_xlfn.XLOOKUP($A2113,Games!$A$2:$A$18,Games!$O$2:$O$18,"Missing game",0)</x:f>
        <x:v>sportturf</x:v>
      </x:c>
      <x:c r="AU2113" t="str">
        <x:f>_xlfn.XLOOKUP($A2113,Games!$A$2:$A$18,Games!$P$2:$P$18,"Missing game",0)</x:f>
      </x:c>
      <x:c r="AV2113" t="str">
        <x:f>_xlfn.XLOOKUP($A2113,Games!$A$2:$A$18,Games!$Q$2:$Q$18,"Missing game",0)</x:f>
      </x:c>
      <x:c r="AW2113" t="str">
        <x:f>_xlfn.XLOOKUP($A2113,Games!$A$2:$A$18,Games!$R$2:$R$18,"Missing game",0)</x:f>
        <x:v>U.S. Bank Stadium</x:v>
      </x:c>
    </x:row>
    <x:row r="2114">
      <x:c r="A2114" t="str">
        <x:v>2025_14_WAS_MIN</x:v>
      </x:c>
      <x:c r="B2114" t="n">
        <x:v>2583</x:v>
      </x:c>
      <x:c r="C2114" t="n">
        <x:v>3</x:v>
      </x:c>
      <x:c r="D2114" t="str">
        <x:v>02:05</x:v>
      </x:c>
      <x:c r="E2114" t="n">
        <x:v>3</x:v>
      </x:c>
      <x:c r="F2114" t="n">
        <x:v>11</x:v>
      </x:c>
      <x:c r="G2114" t="str">
        <x:v>WAS</x:v>
      </x:c>
      <x:c r="H2114" t="str">
        <x:v>MIN</x:v>
      </x:c>
      <x:c r="I2114" t="str">
        <x:v>WAS</x:v>
      </x:c>
      <x:c r="J2114" t="n">
        <x:v>71</x:v>
      </x:c>
      <x:c r="K2114" t="str">
        <x:v>(2:05) (Shotgun) 8-M.Mariota sacked at WAS 21 for -8 yards (55-E.Wilson).</x:v>
      </x:c>
      <x:c r="L2114" t="str">
        <x:v>pass</x:v>
      </x:c>
      <x:c r="M2114" t="n">
        <x:v>-8</x:v>
      </x:c>
      <x:c r="N2114" t="n">
        <x:v>1</x:v>
      </x:c>
      <x:c r="O2114" t="n">
        <x:v>0</x:v>
      </x:c>
      <x:c r="P2114"/>
      <x:c r="Q2114"/>
      <x:c r="R2114"/>
      <x:c r="S2114"/>
      <x:c r="T2114"/>
      <x:c r="U2114"/>
      <x:c r="V2114" t="n">
        <x:v>0</x:v>
      </x:c>
      <x:c r="W2114" t="n">
        <x:v>0</x:v>
      </x:c>
      <x:c r="X2114" t="n">
        <x:v>1</x:v>
      </x:c>
      <x:c r="Y2114" t="n">
        <x:v>0</x:v>
      </x:c>
      <x:c r="Z2114" t="n">
        <x:v>0</x:v>
      </x:c>
      <x:c r="AA2114" t="n">
        <x:v>0</x:v>
      </x:c>
      <x:c r="AB2114"/>
      <x:c r="AC2114" t="n">
        <x:v>0</x:v>
      </x:c>
      <x:c r="AD2114" t="n">
        <x:v>-2.140869507798925</x:v>
      </x:c>
      <x:c r="AE2114" t="n">
        <x:v>0</x:v>
      </x:c>
      <x:c r="AF2114" t="n">
        <x:v>-0.0014444207772612572</x:v>
      </x:c>
      <x:c r="AG2114" t="n">
        <x:f>_xlfn.XLOOKUP($A2114,Games!$A$2:$A$18,Games!$B$2:$B$18,"Missing game",0)</x:f>
        <x:v>2025</x:v>
      </x:c>
      <x:c r="AH2114" t="str">
        <x:f>_xlfn.XLOOKUP($A2114,Games!$A$2:$A$18,Games!$C$2:$C$18,"Missing game",0)</x:f>
        <x:v>REG</x:v>
      </x:c>
      <x:c r="AI2114" t="n">
        <x:f>_xlfn.XLOOKUP($A2114,Games!$A$2:$A$18,Games!$D$2:$D$18,"Missing game",0)</x:f>
        <x:v>14</x:v>
      </x:c>
      <x:c r="AJ2114" s="1" t="n">
        <x:f>_xlfn.XLOOKUP($A2114,Games!$A$2:$A$18,Games!$E$2:$E$18,"Missing game",0)</x:f>
        <x:v>45998</x:v>
      </x:c>
      <x:c r="AK2114" t="str">
        <x:f>_xlfn.XLOOKUP($A2114,Games!$A$2:$A$18,Games!$F$2:$F$18,"Missing game",0)</x:f>
        <x:v>Sunday</x:v>
      </x:c>
      <x:c r="AL2114" t="str">
        <x:f>_xlfn.XLOOKUP($A2114,Games!$A$2:$A$18,Games!$G$2:$G$18,"Missing game",0)</x:f>
        <x:v>WAS</x:v>
      </x:c>
      <x:c r="AM2114" t="n">
        <x:f>_xlfn.XLOOKUP($A2114,Games!$A$2:$A$18,Games!$H$2:$H$18,"Missing game",0)</x:f>
        <x:v>0</x:v>
      </x:c>
      <x:c r="AN2114" t="str">
        <x:f>_xlfn.XLOOKUP($A2114,Games!$A$2:$A$18,Games!$I$2:$I$18,"Missing game",0)</x:f>
        <x:v>MIN</x:v>
      </x:c>
      <x:c r="AO2114" t="n">
        <x:f>_xlfn.XLOOKUP($A2114,Games!$A$2:$A$18,Games!$J$2:$J$18,"Missing game",0)</x:f>
        <x:v>31</x:v>
      </x:c>
      <x:c r="AP2114" t="n">
        <x:f>_xlfn.XLOOKUP($A2114,Games!$A$2:$A$18,Games!$K$2:$K$18,"Missing game",0)</x:f>
        <x:v>31</x:v>
      </x:c>
      <x:c r="AQ2114" t="n">
        <x:f>_xlfn.XLOOKUP($A2114,Games!$A$2:$A$18,Games!$L$2:$L$18,"Missing game",0)</x:f>
        <x:v>31</x:v>
      </x:c>
      <x:c r="AR2114" t="n">
        <x:f>_xlfn.XLOOKUP($A2114,Games!$A$2:$A$18,Games!$M$2:$M$18,"Missing game",0)</x:f>
        <x:v>0</x:v>
      </x:c>
      <x:c r="AS2114" t="str">
        <x:f>_xlfn.XLOOKUP($A2114,Games!$A$2:$A$18,Games!$N$2:$N$18,"Missing game",0)</x:f>
        <x:v>dome</x:v>
      </x:c>
      <x:c r="AT2114" t="str">
        <x:f>_xlfn.XLOOKUP($A2114,Games!$A$2:$A$18,Games!$O$2:$O$18,"Missing game",0)</x:f>
        <x:v>sportturf</x:v>
      </x:c>
      <x:c r="AU2114" t="str">
        <x:f>_xlfn.XLOOKUP($A2114,Games!$A$2:$A$18,Games!$P$2:$P$18,"Missing game",0)</x:f>
      </x:c>
      <x:c r="AV2114" t="str">
        <x:f>_xlfn.XLOOKUP($A2114,Games!$A$2:$A$18,Games!$Q$2:$Q$18,"Missing game",0)</x:f>
      </x:c>
      <x:c r="AW2114" t="str">
        <x:f>_xlfn.XLOOKUP($A2114,Games!$A$2:$A$18,Games!$R$2:$R$18,"Missing game",0)</x:f>
        <x:v>U.S. Bank Stadium</x:v>
      </x:c>
    </x:row>
    <x:row r="2115">
      <x:c r="A2115" t="str">
        <x:v>2025_14_WAS_MIN</x:v>
      </x:c>
      <x:c r="B2115" t="n">
        <x:v>2610</x:v>
      </x:c>
      <x:c r="C2115" t="n">
        <x:v>3</x:v>
      </x:c>
      <x:c r="D2115" t="str">
        <x:v>01:28</x:v>
      </x:c>
      <x:c r="E2115" t="n">
        <x:v>4</x:v>
      </x:c>
      <x:c r="F2115" t="n">
        <x:v>19</x:v>
      </x:c>
      <x:c r="G2115" t="str">
        <x:v>WAS</x:v>
      </x:c>
      <x:c r="H2115" t="str">
        <x:v>MIN</x:v>
      </x:c>
      <x:c r="I2115" t="str">
        <x:v>WAS</x:v>
      </x:c>
      <x:c r="J2115" t="n">
        <x:v>79</x:v>
      </x:c>
      <x:c r="K2115" t="str">
        <x:v>(1:28) 10-T.Way punts 45 yards to MIN 34, Center-69-T.Ott. 4-M.Price to MIN 34 for no gain (18-T.Owens). Penalty on WAS-57-N.Bellore, Unnecessary Roughness, offsetting. Penalty on MIN-0-I.Pace, Unnecessary Roughness, offsetting.</x:v>
      </x:c>
      <x:c r="L2115" t="str">
        <x:v>punt</x:v>
      </x:c>
      <x:c r="M2115" t="n">
        <x:v>0</x:v>
      </x:c>
      <x:c r="N2115" t="n">
        <x:v>0</x:v>
      </x:c>
      <x:c r="O2115" t="n">
        <x:v>0</x:v>
      </x:c>
      <x:c r="P2115"/>
      <x:c r="Q2115"/>
      <x:c r="R2115"/>
      <x:c r="S2115"/>
      <x:c r="T2115"/>
      <x:c r="U2115"/>
      <x:c r="V2115" t="n">
        <x:v>0</x:v>
      </x:c>
      <x:c r="W2115" t="n">
        <x:v>0</x:v>
      </x:c>
      <x:c r="X2115" t="n">
        <x:v>0</x:v>
      </x:c>
      <x:c r="Y2115" t="n">
        <x:v>0</x:v>
      </x:c>
      <x:c r="Z2115" t="n">
        <x:v>0</x:v>
      </x:c>
      <x:c r="AA2115" t="n">
        <x:v>0</x:v>
      </x:c>
      <x:c r="AB2115"/>
      <x:c r="AC2115" t="n">
        <x:v>0</x:v>
      </x:c>
      <x:c r="AD2115" t="n">
        <x:v>-0.007535421987995505</x:v>
      </x:c>
      <x:c r="AE2115" t="n">
        <x:v>0</x:v>
      </x:c>
      <x:c r="AF2115" t="n">
        <x:v>-0.0015600859187543392</x:v>
      </x:c>
      <x:c r="AG2115" t="n">
        <x:f>_xlfn.XLOOKUP($A2115,Games!$A$2:$A$18,Games!$B$2:$B$18,"Missing game",0)</x:f>
        <x:v>2025</x:v>
      </x:c>
      <x:c r="AH2115" t="str">
        <x:f>_xlfn.XLOOKUP($A2115,Games!$A$2:$A$18,Games!$C$2:$C$18,"Missing game",0)</x:f>
        <x:v>REG</x:v>
      </x:c>
      <x:c r="AI2115" t="n">
        <x:f>_xlfn.XLOOKUP($A2115,Games!$A$2:$A$18,Games!$D$2:$D$18,"Missing game",0)</x:f>
        <x:v>14</x:v>
      </x:c>
      <x:c r="AJ2115" s="1" t="n">
        <x:f>_xlfn.XLOOKUP($A2115,Games!$A$2:$A$18,Games!$E$2:$E$18,"Missing game",0)</x:f>
        <x:v>45998</x:v>
      </x:c>
      <x:c r="AK2115" t="str">
        <x:f>_xlfn.XLOOKUP($A2115,Games!$A$2:$A$18,Games!$F$2:$F$18,"Missing game",0)</x:f>
        <x:v>Sunday</x:v>
      </x:c>
      <x:c r="AL2115" t="str">
        <x:f>_xlfn.XLOOKUP($A2115,Games!$A$2:$A$18,Games!$G$2:$G$18,"Missing game",0)</x:f>
        <x:v>WAS</x:v>
      </x:c>
      <x:c r="AM2115" t="n">
        <x:f>_xlfn.XLOOKUP($A2115,Games!$A$2:$A$18,Games!$H$2:$H$18,"Missing game",0)</x:f>
        <x:v>0</x:v>
      </x:c>
      <x:c r="AN2115" t="str">
        <x:f>_xlfn.XLOOKUP($A2115,Games!$A$2:$A$18,Games!$I$2:$I$18,"Missing game",0)</x:f>
        <x:v>MIN</x:v>
      </x:c>
      <x:c r="AO2115" t="n">
        <x:f>_xlfn.XLOOKUP($A2115,Games!$A$2:$A$18,Games!$J$2:$J$18,"Missing game",0)</x:f>
        <x:v>31</x:v>
      </x:c>
      <x:c r="AP2115" t="n">
        <x:f>_xlfn.XLOOKUP($A2115,Games!$A$2:$A$18,Games!$K$2:$K$18,"Missing game",0)</x:f>
        <x:v>31</x:v>
      </x:c>
      <x:c r="AQ2115" t="n">
        <x:f>_xlfn.XLOOKUP($A2115,Games!$A$2:$A$18,Games!$L$2:$L$18,"Missing game",0)</x:f>
        <x:v>31</x:v>
      </x:c>
      <x:c r="AR2115" t="n">
        <x:f>_xlfn.XLOOKUP($A2115,Games!$A$2:$A$18,Games!$M$2:$M$18,"Missing game",0)</x:f>
        <x:v>0</x:v>
      </x:c>
      <x:c r="AS2115" t="str">
        <x:f>_xlfn.XLOOKUP($A2115,Games!$A$2:$A$18,Games!$N$2:$N$18,"Missing game",0)</x:f>
        <x:v>dome</x:v>
      </x:c>
      <x:c r="AT2115" t="str">
        <x:f>_xlfn.XLOOKUP($A2115,Games!$A$2:$A$18,Games!$O$2:$O$18,"Missing game",0)</x:f>
        <x:v>sportturf</x:v>
      </x:c>
      <x:c r="AU2115" t="str">
        <x:f>_xlfn.XLOOKUP($A2115,Games!$A$2:$A$18,Games!$P$2:$P$18,"Missing game",0)</x:f>
      </x:c>
      <x:c r="AV2115" t="str">
        <x:f>_xlfn.XLOOKUP($A2115,Games!$A$2:$A$18,Games!$Q$2:$Q$18,"Missing game",0)</x:f>
      </x:c>
      <x:c r="AW2115" t="str">
        <x:f>_xlfn.XLOOKUP($A2115,Games!$A$2:$A$18,Games!$R$2:$R$18,"Missing game",0)</x:f>
        <x:v>U.S. Bank Stadium</x:v>
      </x:c>
    </x:row>
    <x:row r="2116">
      <x:c r="A2116" t="str">
        <x:v>2025_14_WAS_MIN</x:v>
      </x:c>
      <x:c r="B2116" t="n">
        <x:v>2647</x:v>
      </x:c>
      <x:c r="C2116" t="n">
        <x:v>3</x:v>
      </x:c>
      <x:c r="D2116" t="str">
        <x:v>01:18</x:v>
      </x:c>
      <x:c r="E2116" t="n">
        <x:v>1</x:v>
      </x:c>
      <x:c r="F2116" t="n">
        <x:v>10</x:v>
      </x:c>
      <x:c r="G2116" t="str">
        <x:v>MIN</x:v>
      </x:c>
      <x:c r="H2116" t="str">
        <x:v>WAS</x:v>
      </x:c>
      <x:c r="I2116" t="str">
        <x:v>MIN</x:v>
      </x:c>
      <x:c r="J2116" t="n">
        <x:v>66</x:v>
      </x:c>
      <x:c r="K2116" t="str">
        <x:v>(1:18) (Shotgun) 9-J.McCarthy scrambles right end to 50 for 16 yards (6-N.Igbinoghene).</x:v>
      </x:c>
      <x:c r="L2116" t="str">
        <x:v>run</x:v>
      </x:c>
      <x:c r="M2116" t="n">
        <x:v>16</x:v>
      </x:c>
      <x:c r="N2116" t="n">
        <x:v>1</x:v>
      </x:c>
      <x:c r="O2116" t="n">
        <x:v>0</x:v>
      </x:c>
      <x:c r="P2116"/>
      <x:c r="Q2116"/>
      <x:c r="R2116"/>
      <x:c r="S2116"/>
      <x:c r="T2116" t="str">
        <x:v>right</x:v>
      </x:c>
      <x:c r="U2116" t="str">
        <x:v>end</x:v>
      </x:c>
      <x:c r="V2116" t="n">
        <x:v>0</x:v>
      </x:c>
      <x:c r="W2116" t="n">
        <x:v>1</x:v>
      </x:c>
      <x:c r="X2116" t="n">
        <x:v>0</x:v>
      </x:c>
      <x:c r="Y2116" t="n">
        <x:v>0</x:v>
      </x:c>
      <x:c r="Z2116" t="n">
        <x:v>0</x:v>
      </x:c>
      <x:c r="AA2116" t="n">
        <x:v>0</x:v>
      </x:c>
      <x:c r="AB2116"/>
      <x:c r="AC2116" t="n">
        <x:v>0</x:v>
      </x:c>
      <x:c r="AD2116" t="n">
        <x:v>0.8782778682652861</x:v>
      </x:c>
      <x:c r="AE2116" t="n">
        <x:v>1</x:v>
      </x:c>
      <x:c r="AF2116" t="n">
        <x:v>0.0003706812858581543</x:v>
      </x:c>
      <x:c r="AG2116" t="n">
        <x:f>_xlfn.XLOOKUP($A2116,Games!$A$2:$A$18,Games!$B$2:$B$18,"Missing game",0)</x:f>
        <x:v>2025</x:v>
      </x:c>
      <x:c r="AH2116" t="str">
        <x:f>_xlfn.XLOOKUP($A2116,Games!$A$2:$A$18,Games!$C$2:$C$18,"Missing game",0)</x:f>
        <x:v>REG</x:v>
      </x:c>
      <x:c r="AI2116" t="n">
        <x:f>_xlfn.XLOOKUP($A2116,Games!$A$2:$A$18,Games!$D$2:$D$18,"Missing game",0)</x:f>
        <x:v>14</x:v>
      </x:c>
      <x:c r="AJ2116" s="1" t="n">
        <x:f>_xlfn.XLOOKUP($A2116,Games!$A$2:$A$18,Games!$E$2:$E$18,"Missing game",0)</x:f>
        <x:v>45998</x:v>
      </x:c>
      <x:c r="AK2116" t="str">
        <x:f>_xlfn.XLOOKUP($A2116,Games!$A$2:$A$18,Games!$F$2:$F$18,"Missing game",0)</x:f>
        <x:v>Sunday</x:v>
      </x:c>
      <x:c r="AL2116" t="str">
        <x:f>_xlfn.XLOOKUP($A2116,Games!$A$2:$A$18,Games!$G$2:$G$18,"Missing game",0)</x:f>
        <x:v>WAS</x:v>
      </x:c>
      <x:c r="AM2116" t="n">
        <x:f>_xlfn.XLOOKUP($A2116,Games!$A$2:$A$18,Games!$H$2:$H$18,"Missing game",0)</x:f>
        <x:v>0</x:v>
      </x:c>
      <x:c r="AN2116" t="str">
        <x:f>_xlfn.XLOOKUP($A2116,Games!$A$2:$A$18,Games!$I$2:$I$18,"Missing game",0)</x:f>
        <x:v>MIN</x:v>
      </x:c>
      <x:c r="AO2116" t="n">
        <x:f>_xlfn.XLOOKUP($A2116,Games!$A$2:$A$18,Games!$J$2:$J$18,"Missing game",0)</x:f>
        <x:v>31</x:v>
      </x:c>
      <x:c r="AP2116" t="n">
        <x:f>_xlfn.XLOOKUP($A2116,Games!$A$2:$A$18,Games!$K$2:$K$18,"Missing game",0)</x:f>
        <x:v>31</x:v>
      </x:c>
      <x:c r="AQ2116" t="n">
        <x:f>_xlfn.XLOOKUP($A2116,Games!$A$2:$A$18,Games!$L$2:$L$18,"Missing game",0)</x:f>
        <x:v>31</x:v>
      </x:c>
      <x:c r="AR2116" t="n">
        <x:f>_xlfn.XLOOKUP($A2116,Games!$A$2:$A$18,Games!$M$2:$M$18,"Missing game",0)</x:f>
        <x:v>0</x:v>
      </x:c>
      <x:c r="AS2116" t="str">
        <x:f>_xlfn.XLOOKUP($A2116,Games!$A$2:$A$18,Games!$N$2:$N$18,"Missing game",0)</x:f>
        <x:v>dome</x:v>
      </x:c>
      <x:c r="AT2116" t="str">
        <x:f>_xlfn.XLOOKUP($A2116,Games!$A$2:$A$18,Games!$O$2:$O$18,"Missing game",0)</x:f>
        <x:v>sportturf</x:v>
      </x:c>
      <x:c r="AU2116" t="str">
        <x:f>_xlfn.XLOOKUP($A2116,Games!$A$2:$A$18,Games!$P$2:$P$18,"Missing game",0)</x:f>
      </x:c>
      <x:c r="AV2116" t="str">
        <x:f>_xlfn.XLOOKUP($A2116,Games!$A$2:$A$18,Games!$Q$2:$Q$18,"Missing game",0)</x:f>
      </x:c>
      <x:c r="AW2116" t="str">
        <x:f>_xlfn.XLOOKUP($A2116,Games!$A$2:$A$18,Games!$R$2:$R$18,"Missing game",0)</x:f>
        <x:v>U.S. Bank Stadium</x:v>
      </x:c>
    </x:row>
    <x:row r="2117">
      <x:c r="A2117" t="str">
        <x:v>2025_14_WAS_MIN</x:v>
      </x:c>
      <x:c r="B2117" t="n">
        <x:v>2681</x:v>
      </x:c>
      <x:c r="C2117" t="n">
        <x:v>3</x:v>
      </x:c>
      <x:c r="D2117" t="str">
        <x:v>00:28</x:v>
      </x:c>
      <x:c r="E2117" t="n">
        <x:v>1</x:v>
      </x:c>
      <x:c r="F2117" t="n">
        <x:v>10</x:v>
      </x:c>
      <x:c r="G2117" t="str">
        <x:v>MIN</x:v>
      </x:c>
      <x:c r="H2117" t="str">
        <x:v>WAS</x:v>
      </x:c>
      <x:c r="I2117" t="str">
        <x:v>50</x:v>
      </x:c>
      <x:c r="J2117" t="n">
        <x:v>50</x:v>
      </x:c>
      <x:c r="K2117" t="str">
        <x:v>(:28) 33-A.Jones left tackle to WAS 41 for 9 yards (24-V.Miller; 4-F.Luvu).</x:v>
      </x:c>
      <x:c r="L2117" t="str">
        <x:v>run</x:v>
      </x:c>
      <x:c r="M2117" t="n">
        <x:v>9</x:v>
      </x:c>
      <x:c r="N2117" t="n">
        <x:v>0</x:v>
      </x:c>
      <x:c r="O2117" t="n">
        <x:v>0</x:v>
      </x:c>
      <x:c r="P2117"/>
      <x:c r="Q2117"/>
      <x:c r="R2117"/>
      <x:c r="S2117"/>
      <x:c r="T2117" t="str">
        <x:v>left</x:v>
      </x:c>
      <x:c r="U2117" t="str">
        <x:v>tackle</x:v>
      </x:c>
      <x:c r="V2117" t="n">
        <x:v>0</x:v>
      </x:c>
      <x:c r="W2117" t="n">
        <x:v>0</x:v>
      </x:c>
      <x:c r="X2117" t="n">
        <x:v>0</x:v>
      </x:c>
      <x:c r="Y2117" t="n">
        <x:v>0</x:v>
      </x:c>
      <x:c r="Z2117" t="n">
        <x:v>0</x:v>
      </x:c>
      <x:c r="AA2117" t="n">
        <x:v>0</x:v>
      </x:c>
      <x:c r="AB2117"/>
      <x:c r="AC2117" t="n">
        <x:v>0</x:v>
      </x:c>
      <x:c r="AD2117" t="n">
        <x:v>0.6886112714419141</x:v>
      </x:c>
      <x:c r="AE2117" t="n">
        <x:v>1</x:v>
      </x:c>
      <x:c r="AF2117" t="n">
        <x:v>0.0001842975616455078</x:v>
      </x:c>
      <x:c r="AG2117" t="n">
        <x:f>_xlfn.XLOOKUP($A2117,Games!$A$2:$A$18,Games!$B$2:$B$18,"Missing game",0)</x:f>
        <x:v>2025</x:v>
      </x:c>
      <x:c r="AH2117" t="str">
        <x:f>_xlfn.XLOOKUP($A2117,Games!$A$2:$A$18,Games!$C$2:$C$18,"Missing game",0)</x:f>
        <x:v>REG</x:v>
      </x:c>
      <x:c r="AI2117" t="n">
        <x:f>_xlfn.XLOOKUP($A2117,Games!$A$2:$A$18,Games!$D$2:$D$18,"Missing game",0)</x:f>
        <x:v>14</x:v>
      </x:c>
      <x:c r="AJ2117" s="1" t="n">
        <x:f>_xlfn.XLOOKUP($A2117,Games!$A$2:$A$18,Games!$E$2:$E$18,"Missing game",0)</x:f>
        <x:v>45998</x:v>
      </x:c>
      <x:c r="AK2117" t="str">
        <x:f>_xlfn.XLOOKUP($A2117,Games!$A$2:$A$18,Games!$F$2:$F$18,"Missing game",0)</x:f>
        <x:v>Sunday</x:v>
      </x:c>
      <x:c r="AL2117" t="str">
        <x:f>_xlfn.XLOOKUP($A2117,Games!$A$2:$A$18,Games!$G$2:$G$18,"Missing game",0)</x:f>
        <x:v>WAS</x:v>
      </x:c>
      <x:c r="AM2117" t="n">
        <x:f>_xlfn.XLOOKUP($A2117,Games!$A$2:$A$18,Games!$H$2:$H$18,"Missing game",0)</x:f>
        <x:v>0</x:v>
      </x:c>
      <x:c r="AN2117" t="str">
        <x:f>_xlfn.XLOOKUP($A2117,Games!$A$2:$A$18,Games!$I$2:$I$18,"Missing game",0)</x:f>
        <x:v>MIN</x:v>
      </x:c>
      <x:c r="AO2117" t="n">
        <x:f>_xlfn.XLOOKUP($A2117,Games!$A$2:$A$18,Games!$J$2:$J$18,"Missing game",0)</x:f>
        <x:v>31</x:v>
      </x:c>
      <x:c r="AP2117" t="n">
        <x:f>_xlfn.XLOOKUP($A2117,Games!$A$2:$A$18,Games!$K$2:$K$18,"Missing game",0)</x:f>
        <x:v>31</x:v>
      </x:c>
      <x:c r="AQ2117" t="n">
        <x:f>_xlfn.XLOOKUP($A2117,Games!$A$2:$A$18,Games!$L$2:$L$18,"Missing game",0)</x:f>
        <x:v>31</x:v>
      </x:c>
      <x:c r="AR2117" t="n">
        <x:f>_xlfn.XLOOKUP($A2117,Games!$A$2:$A$18,Games!$M$2:$M$18,"Missing game",0)</x:f>
        <x:v>0</x:v>
      </x:c>
      <x:c r="AS2117" t="str">
        <x:f>_xlfn.XLOOKUP($A2117,Games!$A$2:$A$18,Games!$N$2:$N$18,"Missing game",0)</x:f>
        <x:v>dome</x:v>
      </x:c>
      <x:c r="AT2117" t="str">
        <x:f>_xlfn.XLOOKUP($A2117,Games!$A$2:$A$18,Games!$O$2:$O$18,"Missing game",0)</x:f>
        <x:v>sportturf</x:v>
      </x:c>
      <x:c r="AU2117" t="str">
        <x:f>_xlfn.XLOOKUP($A2117,Games!$A$2:$A$18,Games!$P$2:$P$18,"Missing game",0)</x:f>
      </x:c>
      <x:c r="AV2117" t="str">
        <x:f>_xlfn.XLOOKUP($A2117,Games!$A$2:$A$18,Games!$Q$2:$Q$18,"Missing game",0)</x:f>
      </x:c>
      <x:c r="AW2117" t="str">
        <x:f>_xlfn.XLOOKUP($A2117,Games!$A$2:$A$18,Games!$R$2:$R$18,"Missing game",0)</x:f>
        <x:v>U.S. Bank Stadium</x:v>
      </x:c>
    </x:row>
    <x:row r="2118">
      <x:c r="A2118" t="str">
        <x:v>2025_14_WAS_MIN</x:v>
      </x:c>
      <x:c r="B2118" t="n">
        <x:v>2703</x:v>
      </x:c>
      <x:c r="C2118" t="n">
        <x:v>3</x:v>
      </x:c>
      <x:c r="D2118" t="str">
        <x:v>00:00</x:v>
      </x:c>
      <x:c r="E2118"/>
      <x:c r="F2118" t="n">
        <x:v>0</x:v>
      </x:c>
      <x:c r="G2118" t="str">
        <x:v>MIN</x:v>
      </x:c>
      <x:c r="H2118" t="str">
        <x:v>WAS</x:v>
      </x:c>
      <x:c r="I2118"/>
      <x:c r="J2118"/>
      <x:c r="K2118" t="str">
        <x:v>END QUARTER 3</x:v>
      </x:c>
      <x:c r="L2118"/>
      <x:c r="M2118"/>
      <x:c r="N2118" t="n">
        <x:v>0</x:v>
      </x:c>
      <x:c r="O2118" t="n">
        <x:v>0</x:v>
      </x:c>
      <x:c r="P2118"/>
      <x:c r="Q2118"/>
      <x:c r="R2118"/>
      <x:c r="S2118"/>
      <x:c r="T2118"/>
      <x:c r="U2118"/>
      <x:c r="V2118"/>
      <x:c r="W2118"/>
      <x:c r="X2118"/>
      <x:c r="Y2118"/>
      <x:c r="Z2118"/>
      <x:c r="AA2118"/>
      <x:c r="AB2118"/>
      <x:c r="AC2118"/>
      <x:c r="AD2118" t="n">
        <x:v>0</x:v>
      </x:c>
      <x:c r="AE2118" t="n">
        <x:v>0</x:v>
      </x:c>
      <x:c r="AF2118" t="n">
        <x:v>0</x:v>
      </x:c>
      <x:c r="AG2118" t="n">
        <x:f>_xlfn.XLOOKUP($A2118,Games!$A$2:$A$18,Games!$B$2:$B$18,"Missing game",0)</x:f>
        <x:v>2025</x:v>
      </x:c>
      <x:c r="AH2118" t="str">
        <x:f>_xlfn.XLOOKUP($A2118,Games!$A$2:$A$18,Games!$C$2:$C$18,"Missing game",0)</x:f>
        <x:v>REG</x:v>
      </x:c>
      <x:c r="AI2118" t="n">
        <x:f>_xlfn.XLOOKUP($A2118,Games!$A$2:$A$18,Games!$D$2:$D$18,"Missing game",0)</x:f>
        <x:v>14</x:v>
      </x:c>
      <x:c r="AJ2118" s="1" t="n">
        <x:f>_xlfn.XLOOKUP($A2118,Games!$A$2:$A$18,Games!$E$2:$E$18,"Missing game",0)</x:f>
        <x:v>45998</x:v>
      </x:c>
      <x:c r="AK2118" t="str">
        <x:f>_xlfn.XLOOKUP($A2118,Games!$A$2:$A$18,Games!$F$2:$F$18,"Missing game",0)</x:f>
        <x:v>Sunday</x:v>
      </x:c>
      <x:c r="AL2118" t="str">
        <x:f>_xlfn.XLOOKUP($A2118,Games!$A$2:$A$18,Games!$G$2:$G$18,"Missing game",0)</x:f>
        <x:v>WAS</x:v>
      </x:c>
      <x:c r="AM2118" t="n">
        <x:f>_xlfn.XLOOKUP($A2118,Games!$A$2:$A$18,Games!$H$2:$H$18,"Missing game",0)</x:f>
        <x:v>0</x:v>
      </x:c>
      <x:c r="AN2118" t="str">
        <x:f>_xlfn.XLOOKUP($A2118,Games!$A$2:$A$18,Games!$I$2:$I$18,"Missing game",0)</x:f>
        <x:v>MIN</x:v>
      </x:c>
      <x:c r="AO2118" t="n">
        <x:f>_xlfn.XLOOKUP($A2118,Games!$A$2:$A$18,Games!$J$2:$J$18,"Missing game",0)</x:f>
        <x:v>31</x:v>
      </x:c>
      <x:c r="AP2118" t="n">
        <x:f>_xlfn.XLOOKUP($A2118,Games!$A$2:$A$18,Games!$K$2:$K$18,"Missing game",0)</x:f>
        <x:v>31</x:v>
      </x:c>
      <x:c r="AQ2118" t="n">
        <x:f>_xlfn.XLOOKUP($A2118,Games!$A$2:$A$18,Games!$L$2:$L$18,"Missing game",0)</x:f>
        <x:v>31</x:v>
      </x:c>
      <x:c r="AR2118" t="n">
        <x:f>_xlfn.XLOOKUP($A2118,Games!$A$2:$A$18,Games!$M$2:$M$18,"Missing game",0)</x:f>
        <x:v>0</x:v>
      </x:c>
      <x:c r="AS2118" t="str">
        <x:f>_xlfn.XLOOKUP($A2118,Games!$A$2:$A$18,Games!$N$2:$N$18,"Missing game",0)</x:f>
        <x:v>dome</x:v>
      </x:c>
      <x:c r="AT2118" t="str">
        <x:f>_xlfn.XLOOKUP($A2118,Games!$A$2:$A$18,Games!$O$2:$O$18,"Missing game",0)</x:f>
        <x:v>sportturf</x:v>
      </x:c>
      <x:c r="AU2118" t="str">
        <x:f>_xlfn.XLOOKUP($A2118,Games!$A$2:$A$18,Games!$P$2:$P$18,"Missing game",0)</x:f>
      </x:c>
      <x:c r="AV2118" t="str">
        <x:f>_xlfn.XLOOKUP($A2118,Games!$A$2:$A$18,Games!$Q$2:$Q$18,"Missing game",0)</x:f>
      </x:c>
      <x:c r="AW2118" t="str">
        <x:f>_xlfn.XLOOKUP($A2118,Games!$A$2:$A$18,Games!$R$2:$R$18,"Missing game",0)</x:f>
        <x:v>U.S. Bank Stadium</x:v>
      </x:c>
    </x:row>
    <x:row r="2119">
      <x:c r="A2119" t="str">
        <x:v>2025_14_WAS_MIN</x:v>
      </x:c>
      <x:c r="B2119" t="n">
        <x:v>2723</x:v>
      </x:c>
      <x:c r="C2119" t="n">
        <x:v>4</x:v>
      </x:c>
      <x:c r="D2119" t="str">
        <x:v>15:00</x:v>
      </x:c>
      <x:c r="E2119" t="n">
        <x:v>2</x:v>
      </x:c>
      <x:c r="F2119" t="n">
        <x:v>1</x:v>
      </x:c>
      <x:c r="G2119" t="str">
        <x:v>MIN</x:v>
      </x:c>
      <x:c r="H2119" t="str">
        <x:v>WAS</x:v>
      </x:c>
      <x:c r="I2119" t="str">
        <x:v>WAS</x:v>
      </x:c>
      <x:c r="J2119" t="n">
        <x:v>41</x:v>
      </x:c>
      <x:c r="K2119" t="str">
        <x:v>(15:00) 33-A.Jones left guard to WAS 36 for 5 yards (58-J.Magee).</x:v>
      </x:c>
      <x:c r="L2119" t="str">
        <x:v>run</x:v>
      </x:c>
      <x:c r="M2119" t="n">
        <x:v>5</x:v>
      </x:c>
      <x:c r="N2119" t="n">
        <x:v>0</x:v>
      </x:c>
      <x:c r="O2119" t="n">
        <x:v>0</x:v>
      </x:c>
      <x:c r="P2119"/>
      <x:c r="Q2119"/>
      <x:c r="R2119"/>
      <x:c r="S2119"/>
      <x:c r="T2119" t="str">
        <x:v>left</x:v>
      </x:c>
      <x:c r="U2119" t="str">
        <x:v>guard</x:v>
      </x:c>
      <x:c r="V2119" t="n">
        <x:v>0</x:v>
      </x:c>
      <x:c r="W2119" t="n">
        <x:v>1</x:v>
      </x:c>
      <x:c r="X2119" t="n">
        <x:v>0</x:v>
      </x:c>
      <x:c r="Y2119" t="n">
        <x:v>0</x:v>
      </x:c>
      <x:c r="Z2119" t="n">
        <x:v>0</x:v>
      </x:c>
      <x:c r="AA2119" t="n">
        <x:v>0</x:v>
      </x:c>
      <x:c r="AB2119"/>
      <x:c r="AC2119" t="n">
        <x:v>0</x:v>
      </x:c>
      <x:c r="AD2119" t="n">
        <x:v>0.1270485487766564</x:v>
      </x:c>
      <x:c r="AE2119" t="n">
        <x:v>1</x:v>
      </x:c>
      <x:c r="AF2119" t="n">
        <x:v>0.0001289844512939453</x:v>
      </x:c>
      <x:c r="AG2119" t="n">
        <x:f>_xlfn.XLOOKUP($A2119,Games!$A$2:$A$18,Games!$B$2:$B$18,"Missing game",0)</x:f>
        <x:v>2025</x:v>
      </x:c>
      <x:c r="AH2119" t="str">
        <x:f>_xlfn.XLOOKUP($A2119,Games!$A$2:$A$18,Games!$C$2:$C$18,"Missing game",0)</x:f>
        <x:v>REG</x:v>
      </x:c>
      <x:c r="AI2119" t="n">
        <x:f>_xlfn.XLOOKUP($A2119,Games!$A$2:$A$18,Games!$D$2:$D$18,"Missing game",0)</x:f>
        <x:v>14</x:v>
      </x:c>
      <x:c r="AJ2119" s="1" t="n">
        <x:f>_xlfn.XLOOKUP($A2119,Games!$A$2:$A$18,Games!$E$2:$E$18,"Missing game",0)</x:f>
        <x:v>45998</x:v>
      </x:c>
      <x:c r="AK2119" t="str">
        <x:f>_xlfn.XLOOKUP($A2119,Games!$A$2:$A$18,Games!$F$2:$F$18,"Missing game",0)</x:f>
        <x:v>Sunday</x:v>
      </x:c>
      <x:c r="AL2119" t="str">
        <x:f>_xlfn.XLOOKUP($A2119,Games!$A$2:$A$18,Games!$G$2:$G$18,"Missing game",0)</x:f>
        <x:v>WAS</x:v>
      </x:c>
      <x:c r="AM2119" t="n">
        <x:f>_xlfn.XLOOKUP($A2119,Games!$A$2:$A$18,Games!$H$2:$H$18,"Missing game",0)</x:f>
        <x:v>0</x:v>
      </x:c>
      <x:c r="AN2119" t="str">
        <x:f>_xlfn.XLOOKUP($A2119,Games!$A$2:$A$18,Games!$I$2:$I$18,"Missing game",0)</x:f>
        <x:v>MIN</x:v>
      </x:c>
      <x:c r="AO2119" t="n">
        <x:f>_xlfn.XLOOKUP($A2119,Games!$A$2:$A$18,Games!$J$2:$J$18,"Missing game",0)</x:f>
        <x:v>31</x:v>
      </x:c>
      <x:c r="AP2119" t="n">
        <x:f>_xlfn.XLOOKUP($A2119,Games!$A$2:$A$18,Games!$K$2:$K$18,"Missing game",0)</x:f>
        <x:v>31</x:v>
      </x:c>
      <x:c r="AQ2119" t="n">
        <x:f>_xlfn.XLOOKUP($A2119,Games!$A$2:$A$18,Games!$L$2:$L$18,"Missing game",0)</x:f>
        <x:v>31</x:v>
      </x:c>
      <x:c r="AR2119" t="n">
        <x:f>_xlfn.XLOOKUP($A2119,Games!$A$2:$A$18,Games!$M$2:$M$18,"Missing game",0)</x:f>
        <x:v>0</x:v>
      </x:c>
      <x:c r="AS2119" t="str">
        <x:f>_xlfn.XLOOKUP($A2119,Games!$A$2:$A$18,Games!$N$2:$N$18,"Missing game",0)</x:f>
        <x:v>dome</x:v>
      </x:c>
      <x:c r="AT2119" t="str">
        <x:f>_xlfn.XLOOKUP($A2119,Games!$A$2:$A$18,Games!$O$2:$O$18,"Missing game",0)</x:f>
        <x:v>sportturf</x:v>
      </x:c>
      <x:c r="AU2119" t="str">
        <x:f>_xlfn.XLOOKUP($A2119,Games!$A$2:$A$18,Games!$P$2:$P$18,"Missing game",0)</x:f>
      </x:c>
      <x:c r="AV2119" t="str">
        <x:f>_xlfn.XLOOKUP($A2119,Games!$A$2:$A$18,Games!$Q$2:$Q$18,"Missing game",0)</x:f>
      </x:c>
      <x:c r="AW2119" t="str">
        <x:f>_xlfn.XLOOKUP($A2119,Games!$A$2:$A$18,Games!$R$2:$R$18,"Missing game",0)</x:f>
        <x:v>U.S. Bank Stadium</x:v>
      </x:c>
    </x:row>
    <x:row r="2120">
      <x:c r="A2120" t="str">
        <x:v>2025_14_WAS_MIN</x:v>
      </x:c>
      <x:c r="B2120" t="n">
        <x:v>2745</x:v>
      </x:c>
      <x:c r="C2120" t="n">
        <x:v>4</x:v>
      </x:c>
      <x:c r="D2120" t="str">
        <x:v>14:23</x:v>
      </x:c>
      <x:c r="E2120" t="n">
        <x:v>1</x:v>
      </x:c>
      <x:c r="F2120" t="n">
        <x:v>10</x:v>
      </x:c>
      <x:c r="G2120" t="str">
        <x:v>MIN</x:v>
      </x:c>
      <x:c r="H2120" t="str">
        <x:v>WAS</x:v>
      </x:c>
      <x:c r="I2120" t="str">
        <x:v>WAS</x:v>
      </x:c>
      <x:c r="J2120" t="n">
        <x:v>36</x:v>
      </x:c>
      <x:c r="K2120" t="str">
        <x:v>(14:23) 9-J.McCarthy pass incomplete deep left to 18-J.Jefferson (0-M.Sainristil) [97-E.Goldman].</x:v>
      </x:c>
      <x:c r="L2120" t="str">
        <x:v>pass</x:v>
      </x:c>
      <x:c r="M2120" t="n">
        <x:v>0</x:v>
      </x:c>
      <x:c r="N2120" t="n">
        <x:v>0</x:v>
      </x:c>
      <x:c r="O2120" t="n">
        <x:v>0</x:v>
      </x:c>
      <x:c r="P2120" t="str">
        <x:v>deep</x:v>
      </x:c>
      <x:c r="Q2120" t="str">
        <x:v>left</x:v>
      </x:c>
      <x:c r="R2120" t="n">
        <x:v>36</x:v>
      </x:c>
      <x:c r="S2120"/>
      <x:c r="T2120"/>
      <x:c r="U2120"/>
      <x:c r="V2120" t="n">
        <x:v>0</x:v>
      </x:c>
      <x:c r="W2120" t="n">
        <x:v>0</x:v>
      </x:c>
      <x:c r="X2120" t="n">
        <x:v>0</x:v>
      </x:c>
      <x:c r="Y2120" t="n">
        <x:v>0</x:v>
      </x:c>
      <x:c r="Z2120" t="n">
        <x:v>0</x:v>
      </x:c>
      <x:c r="AA2120" t="n">
        <x:v>0</x:v>
      </x:c>
      <x:c r="AB2120"/>
      <x:c r="AC2120" t="n">
        <x:v>0</x:v>
      </x:c>
      <x:c r="AD2120" t="n">
        <x:v>-0.5369683677563444</x:v>
      </x:c>
      <x:c r="AE2120" t="n">
        <x:v>0</x:v>
      </x:c>
      <x:c r="AF2120" t="n">
        <x:v>-0.00008016824722290039</x:v>
      </x:c>
      <x:c r="AG2120" t="n">
        <x:f>_xlfn.XLOOKUP($A2120,Games!$A$2:$A$18,Games!$B$2:$B$18,"Missing game",0)</x:f>
        <x:v>2025</x:v>
      </x:c>
      <x:c r="AH2120" t="str">
        <x:f>_xlfn.XLOOKUP($A2120,Games!$A$2:$A$18,Games!$C$2:$C$18,"Missing game",0)</x:f>
        <x:v>REG</x:v>
      </x:c>
      <x:c r="AI2120" t="n">
        <x:f>_xlfn.XLOOKUP($A2120,Games!$A$2:$A$18,Games!$D$2:$D$18,"Missing game",0)</x:f>
        <x:v>14</x:v>
      </x:c>
      <x:c r="AJ2120" s="1" t="n">
        <x:f>_xlfn.XLOOKUP($A2120,Games!$A$2:$A$18,Games!$E$2:$E$18,"Missing game",0)</x:f>
        <x:v>45998</x:v>
      </x:c>
      <x:c r="AK2120" t="str">
        <x:f>_xlfn.XLOOKUP($A2120,Games!$A$2:$A$18,Games!$F$2:$F$18,"Missing game",0)</x:f>
        <x:v>Sunday</x:v>
      </x:c>
      <x:c r="AL2120" t="str">
        <x:f>_xlfn.XLOOKUP($A2120,Games!$A$2:$A$18,Games!$G$2:$G$18,"Missing game",0)</x:f>
        <x:v>WAS</x:v>
      </x:c>
      <x:c r="AM2120" t="n">
        <x:f>_xlfn.XLOOKUP($A2120,Games!$A$2:$A$18,Games!$H$2:$H$18,"Missing game",0)</x:f>
        <x:v>0</x:v>
      </x:c>
      <x:c r="AN2120" t="str">
        <x:f>_xlfn.XLOOKUP($A2120,Games!$A$2:$A$18,Games!$I$2:$I$18,"Missing game",0)</x:f>
        <x:v>MIN</x:v>
      </x:c>
      <x:c r="AO2120" t="n">
        <x:f>_xlfn.XLOOKUP($A2120,Games!$A$2:$A$18,Games!$J$2:$J$18,"Missing game",0)</x:f>
        <x:v>31</x:v>
      </x:c>
      <x:c r="AP2120" t="n">
        <x:f>_xlfn.XLOOKUP($A2120,Games!$A$2:$A$18,Games!$K$2:$K$18,"Missing game",0)</x:f>
        <x:v>31</x:v>
      </x:c>
      <x:c r="AQ2120" t="n">
        <x:f>_xlfn.XLOOKUP($A2120,Games!$A$2:$A$18,Games!$L$2:$L$18,"Missing game",0)</x:f>
        <x:v>31</x:v>
      </x:c>
      <x:c r="AR2120" t="n">
        <x:f>_xlfn.XLOOKUP($A2120,Games!$A$2:$A$18,Games!$M$2:$M$18,"Missing game",0)</x:f>
        <x:v>0</x:v>
      </x:c>
      <x:c r="AS2120" t="str">
        <x:f>_xlfn.XLOOKUP($A2120,Games!$A$2:$A$18,Games!$N$2:$N$18,"Missing game",0)</x:f>
        <x:v>dome</x:v>
      </x:c>
      <x:c r="AT2120" t="str">
        <x:f>_xlfn.XLOOKUP($A2120,Games!$A$2:$A$18,Games!$O$2:$O$18,"Missing game",0)</x:f>
        <x:v>sportturf</x:v>
      </x:c>
      <x:c r="AU2120" t="str">
        <x:f>_xlfn.XLOOKUP($A2120,Games!$A$2:$A$18,Games!$P$2:$P$18,"Missing game",0)</x:f>
      </x:c>
      <x:c r="AV2120" t="str">
        <x:f>_xlfn.XLOOKUP($A2120,Games!$A$2:$A$18,Games!$Q$2:$Q$18,"Missing game",0)</x:f>
      </x:c>
      <x:c r="AW2120" t="str">
        <x:f>_xlfn.XLOOKUP($A2120,Games!$A$2:$A$18,Games!$R$2:$R$18,"Missing game",0)</x:f>
        <x:v>U.S. Bank Stadium</x:v>
      </x:c>
    </x:row>
    <x:row r="2121">
      <x:c r="A2121" t="str">
        <x:v>2025_14_WAS_MIN</x:v>
      </x:c>
      <x:c r="B2121" t="n">
        <x:v>2768</x:v>
      </x:c>
      <x:c r="C2121" t="n">
        <x:v>4</x:v>
      </x:c>
      <x:c r="D2121" t="str">
        <x:v>14:17</x:v>
      </x:c>
      <x:c r="E2121" t="n">
        <x:v>2</x:v>
      </x:c>
      <x:c r="F2121" t="n">
        <x:v>10</x:v>
      </x:c>
      <x:c r="G2121" t="str">
        <x:v>MIN</x:v>
      </x:c>
      <x:c r="H2121" t="str">
        <x:v>WAS</x:v>
      </x:c>
      <x:c r="I2121" t="str">
        <x:v>WAS</x:v>
      </x:c>
      <x:c r="J2121" t="n">
        <x:v>36</x:v>
      </x:c>
      <x:c r="K2121" t="str">
        <x:v>(14:17) (Shotgun) 33-A.Jones left guard to WAS 18 for 18 yards (31-J.Jones; 0-M.Sainristil).</x:v>
      </x:c>
      <x:c r="L2121" t="str">
        <x:v>run</x:v>
      </x:c>
      <x:c r="M2121" t="n">
        <x:v>18</x:v>
      </x:c>
      <x:c r="N2121" t="n">
        <x:v>1</x:v>
      </x:c>
      <x:c r="O2121" t="n">
        <x:v>0</x:v>
      </x:c>
      <x:c r="P2121"/>
      <x:c r="Q2121"/>
      <x:c r="R2121"/>
      <x:c r="S2121"/>
      <x:c r="T2121" t="str">
        <x:v>left</x:v>
      </x:c>
      <x:c r="U2121" t="str">
        <x:v>guard</x:v>
      </x:c>
      <x:c r="V2121" t="n">
        <x:v>0</x:v>
      </x:c>
      <x:c r="W2121" t="n">
        <x:v>1</x:v>
      </x:c>
      <x:c r="X2121" t="n">
        <x:v>0</x:v>
      </x:c>
      <x:c r="Y2121" t="n">
        <x:v>0</x:v>
      </x:c>
      <x:c r="Z2121" t="n">
        <x:v>0</x:v>
      </x:c>
      <x:c r="AA2121" t="n">
        <x:v>0</x:v>
      </x:c>
      <x:c r="AB2121"/>
      <x:c r="AC2121" t="n">
        <x:v>0</x:v>
      </x:c>
      <x:c r="AD2121" t="n">
        <x:v>1.8207342985551804</x:v>
      </x:c>
      <x:c r="AE2121" t="n">
        <x:v>1</x:v>
      </x:c>
      <x:c r="AF2121" t="n">
        <x:v>0.00008577108383178711</x:v>
      </x:c>
      <x:c r="AG2121" t="n">
        <x:f>_xlfn.XLOOKUP($A2121,Games!$A$2:$A$18,Games!$B$2:$B$18,"Missing game",0)</x:f>
        <x:v>2025</x:v>
      </x:c>
      <x:c r="AH2121" t="str">
        <x:f>_xlfn.XLOOKUP($A2121,Games!$A$2:$A$18,Games!$C$2:$C$18,"Missing game",0)</x:f>
        <x:v>REG</x:v>
      </x:c>
      <x:c r="AI2121" t="n">
        <x:f>_xlfn.XLOOKUP($A2121,Games!$A$2:$A$18,Games!$D$2:$D$18,"Missing game",0)</x:f>
        <x:v>14</x:v>
      </x:c>
      <x:c r="AJ2121" s="1" t="n">
        <x:f>_xlfn.XLOOKUP($A2121,Games!$A$2:$A$18,Games!$E$2:$E$18,"Missing game",0)</x:f>
        <x:v>45998</x:v>
      </x:c>
      <x:c r="AK2121" t="str">
        <x:f>_xlfn.XLOOKUP($A2121,Games!$A$2:$A$18,Games!$F$2:$F$18,"Missing game",0)</x:f>
        <x:v>Sunday</x:v>
      </x:c>
      <x:c r="AL2121" t="str">
        <x:f>_xlfn.XLOOKUP($A2121,Games!$A$2:$A$18,Games!$G$2:$G$18,"Missing game",0)</x:f>
        <x:v>WAS</x:v>
      </x:c>
      <x:c r="AM2121" t="n">
        <x:f>_xlfn.XLOOKUP($A2121,Games!$A$2:$A$18,Games!$H$2:$H$18,"Missing game",0)</x:f>
        <x:v>0</x:v>
      </x:c>
      <x:c r="AN2121" t="str">
        <x:f>_xlfn.XLOOKUP($A2121,Games!$A$2:$A$18,Games!$I$2:$I$18,"Missing game",0)</x:f>
        <x:v>MIN</x:v>
      </x:c>
      <x:c r="AO2121" t="n">
        <x:f>_xlfn.XLOOKUP($A2121,Games!$A$2:$A$18,Games!$J$2:$J$18,"Missing game",0)</x:f>
        <x:v>31</x:v>
      </x:c>
      <x:c r="AP2121" t="n">
        <x:f>_xlfn.XLOOKUP($A2121,Games!$A$2:$A$18,Games!$K$2:$K$18,"Missing game",0)</x:f>
        <x:v>31</x:v>
      </x:c>
      <x:c r="AQ2121" t="n">
        <x:f>_xlfn.XLOOKUP($A2121,Games!$A$2:$A$18,Games!$L$2:$L$18,"Missing game",0)</x:f>
        <x:v>31</x:v>
      </x:c>
      <x:c r="AR2121" t="n">
        <x:f>_xlfn.XLOOKUP($A2121,Games!$A$2:$A$18,Games!$M$2:$M$18,"Missing game",0)</x:f>
        <x:v>0</x:v>
      </x:c>
      <x:c r="AS2121" t="str">
        <x:f>_xlfn.XLOOKUP($A2121,Games!$A$2:$A$18,Games!$N$2:$N$18,"Missing game",0)</x:f>
        <x:v>dome</x:v>
      </x:c>
      <x:c r="AT2121" t="str">
        <x:f>_xlfn.XLOOKUP($A2121,Games!$A$2:$A$18,Games!$O$2:$O$18,"Missing game",0)</x:f>
        <x:v>sportturf</x:v>
      </x:c>
      <x:c r="AU2121" t="str">
        <x:f>_xlfn.XLOOKUP($A2121,Games!$A$2:$A$18,Games!$P$2:$P$18,"Missing game",0)</x:f>
      </x:c>
      <x:c r="AV2121" t="str">
        <x:f>_xlfn.XLOOKUP($A2121,Games!$A$2:$A$18,Games!$Q$2:$Q$18,"Missing game",0)</x:f>
      </x:c>
      <x:c r="AW2121" t="str">
        <x:f>_xlfn.XLOOKUP($A2121,Games!$A$2:$A$18,Games!$R$2:$R$18,"Missing game",0)</x:f>
        <x:v>U.S. Bank Stadium</x:v>
      </x:c>
    </x:row>
    <x:row r="2122">
      <x:c r="A2122" t="str">
        <x:v>2025_14_WAS_MIN</x:v>
      </x:c>
      <x:c r="B2122" t="n">
        <x:v>2790</x:v>
      </x:c>
      <x:c r="C2122" t="n">
        <x:v>4</x:v>
      </x:c>
      <x:c r="D2122" t="str">
        <x:v>13:29</x:v>
      </x:c>
      <x:c r="E2122" t="n">
        <x:v>1</x:v>
      </x:c>
      <x:c r="F2122" t="n">
        <x:v>10</x:v>
      </x:c>
      <x:c r="G2122" t="str">
        <x:v>MIN</x:v>
      </x:c>
      <x:c r="H2122" t="str">
        <x:v>WAS</x:v>
      </x:c>
      <x:c r="I2122" t="str">
        <x:v>WAS</x:v>
      </x:c>
      <x:c r="J2122" t="n">
        <x:v>18</x:v>
      </x:c>
      <x:c r="K2122" t="str">
        <x:v>(13:29) 9-J.McCarthy pass short right to 33-A.Jones to WAS 5 for 13 yards (6-N.Igbinoghene). PENALTY on WAS-55-J.Martin, Roughing the Passer, 9 yards, enforced at WAS 18 - No Play. Penalty on MIN-74-D.Jackson, Ineligible Downfield Pass, superseded.</x:v>
      </x:c>
      <x:c r="L2122" t="str">
        <x:v>no_play</x:v>
      </x:c>
      <x:c r="M2122" t="n">
        <x:v>0</x:v>
      </x:c>
      <x:c r="N2122" t="n">
        <x:v>0</x:v>
      </x:c>
      <x:c r="O2122" t="n">
        <x:v>0</x:v>
      </x:c>
      <x:c r="P2122"/>
      <x:c r="Q2122"/>
      <x:c r="R2122"/>
      <x:c r="S2122"/>
      <x:c r="T2122"/>
      <x:c r="U2122"/>
      <x:c r="V2122" t="n">
        <x:v>0</x:v>
      </x:c>
      <x:c r="W2122" t="n">
        <x:v>1</x:v>
      </x:c>
      <x:c r="X2122" t="n">
        <x:v>0</x:v>
      </x:c>
      <x:c r="Y2122" t="n">
        <x:v>0</x:v>
      </x:c>
      <x:c r="Z2122" t="n">
        <x:v>0</x:v>
      </x:c>
      <x:c r="AA2122" t="n">
        <x:v>1</x:v>
      </x:c>
      <x:c r="AB2122" t="n">
        <x:v>9</x:v>
      </x:c>
      <x:c r="AC2122" t="n">
        <x:v>0</x:v>
      </x:c>
      <x:c r="AD2122" t="n">
        <x:v>0.3719795191427693</x:v>
      </x:c>
      <x:c r="AE2122" t="n">
        <x:v>1</x:v>
      </x:c>
      <x:c r="AF2122" t="n">
        <x:v>0.0000019073486328125</x:v>
      </x:c>
      <x:c r="AG2122" t="n">
        <x:f>_xlfn.XLOOKUP($A2122,Games!$A$2:$A$18,Games!$B$2:$B$18,"Missing game",0)</x:f>
        <x:v>2025</x:v>
      </x:c>
      <x:c r="AH2122" t="str">
        <x:f>_xlfn.XLOOKUP($A2122,Games!$A$2:$A$18,Games!$C$2:$C$18,"Missing game",0)</x:f>
        <x:v>REG</x:v>
      </x:c>
      <x:c r="AI2122" t="n">
        <x:f>_xlfn.XLOOKUP($A2122,Games!$A$2:$A$18,Games!$D$2:$D$18,"Missing game",0)</x:f>
        <x:v>14</x:v>
      </x:c>
      <x:c r="AJ2122" s="1" t="n">
        <x:f>_xlfn.XLOOKUP($A2122,Games!$A$2:$A$18,Games!$E$2:$E$18,"Missing game",0)</x:f>
        <x:v>45998</x:v>
      </x:c>
      <x:c r="AK2122" t="str">
        <x:f>_xlfn.XLOOKUP($A2122,Games!$A$2:$A$18,Games!$F$2:$F$18,"Missing game",0)</x:f>
        <x:v>Sunday</x:v>
      </x:c>
      <x:c r="AL2122" t="str">
        <x:f>_xlfn.XLOOKUP($A2122,Games!$A$2:$A$18,Games!$G$2:$G$18,"Missing game",0)</x:f>
        <x:v>WAS</x:v>
      </x:c>
      <x:c r="AM2122" t="n">
        <x:f>_xlfn.XLOOKUP($A2122,Games!$A$2:$A$18,Games!$H$2:$H$18,"Missing game",0)</x:f>
        <x:v>0</x:v>
      </x:c>
      <x:c r="AN2122" t="str">
        <x:f>_xlfn.XLOOKUP($A2122,Games!$A$2:$A$18,Games!$I$2:$I$18,"Missing game",0)</x:f>
        <x:v>MIN</x:v>
      </x:c>
      <x:c r="AO2122" t="n">
        <x:f>_xlfn.XLOOKUP($A2122,Games!$A$2:$A$18,Games!$J$2:$J$18,"Missing game",0)</x:f>
        <x:v>31</x:v>
      </x:c>
      <x:c r="AP2122" t="n">
        <x:f>_xlfn.XLOOKUP($A2122,Games!$A$2:$A$18,Games!$K$2:$K$18,"Missing game",0)</x:f>
        <x:v>31</x:v>
      </x:c>
      <x:c r="AQ2122" t="n">
        <x:f>_xlfn.XLOOKUP($A2122,Games!$A$2:$A$18,Games!$L$2:$L$18,"Missing game",0)</x:f>
        <x:v>31</x:v>
      </x:c>
      <x:c r="AR2122" t="n">
        <x:f>_xlfn.XLOOKUP($A2122,Games!$A$2:$A$18,Games!$M$2:$M$18,"Missing game",0)</x:f>
        <x:v>0</x:v>
      </x:c>
      <x:c r="AS2122" t="str">
        <x:f>_xlfn.XLOOKUP($A2122,Games!$A$2:$A$18,Games!$N$2:$N$18,"Missing game",0)</x:f>
        <x:v>dome</x:v>
      </x:c>
      <x:c r="AT2122" t="str">
        <x:f>_xlfn.XLOOKUP($A2122,Games!$A$2:$A$18,Games!$O$2:$O$18,"Missing game",0)</x:f>
        <x:v>sportturf</x:v>
      </x:c>
      <x:c r="AU2122" t="str">
        <x:f>_xlfn.XLOOKUP($A2122,Games!$A$2:$A$18,Games!$P$2:$P$18,"Missing game",0)</x:f>
      </x:c>
      <x:c r="AV2122" t="str">
        <x:f>_xlfn.XLOOKUP($A2122,Games!$A$2:$A$18,Games!$Q$2:$Q$18,"Missing game",0)</x:f>
      </x:c>
      <x:c r="AW2122" t="str">
        <x:f>_xlfn.XLOOKUP($A2122,Games!$A$2:$A$18,Games!$R$2:$R$18,"Missing game",0)</x:f>
        <x:v>U.S. Bank Stadium</x:v>
      </x:c>
    </x:row>
    <x:row r="2123">
      <x:c r="A2123" t="str">
        <x:v>2025_14_WAS_MIN</x:v>
      </x:c>
      <x:c r="B2123" t="n">
        <x:v>2826</x:v>
      </x:c>
      <x:c r="C2123" t="n">
        <x:v>4</x:v>
      </x:c>
      <x:c r="D2123" t="str">
        <x:v>13:09</x:v>
      </x:c>
      <x:c r="E2123" t="n">
        <x:v>1</x:v>
      </x:c>
      <x:c r="F2123" t="n">
        <x:v>9</x:v>
      </x:c>
      <x:c r="G2123" t="str">
        <x:v>MIN</x:v>
      </x:c>
      <x:c r="H2123" t="str">
        <x:v>WAS</x:v>
      </x:c>
      <x:c r="I2123" t="str">
        <x:v>WAS</x:v>
      </x:c>
      <x:c r="J2123" t="n">
        <x:v>9</x:v>
      </x:c>
      <x:c r="K2123" t="str">
        <x:v>(13:09) 33-A.Jones right end to WAS 2 for 7 yards (50-D.Walker; 3-W.Harris).</x:v>
      </x:c>
      <x:c r="L2123" t="str">
        <x:v>run</x:v>
      </x:c>
      <x:c r="M2123" t="n">
        <x:v>7</x:v>
      </x:c>
      <x:c r="N2123" t="n">
        <x:v>0</x:v>
      </x:c>
      <x:c r="O2123" t="n">
        <x:v>0</x:v>
      </x:c>
      <x:c r="P2123"/>
      <x:c r="Q2123"/>
      <x:c r="R2123"/>
      <x:c r="S2123"/>
      <x:c r="T2123" t="str">
        <x:v>right</x:v>
      </x:c>
      <x:c r="U2123" t="str">
        <x:v>end</x:v>
      </x:c>
      <x:c r="V2123" t="n">
        <x:v>0</x:v>
      </x:c>
      <x:c r="W2123" t="n">
        <x:v>0</x:v>
      </x:c>
      <x:c r="X2123" t="n">
        <x:v>0</x:v>
      </x:c>
      <x:c r="Y2123" t="n">
        <x:v>0</x:v>
      </x:c>
      <x:c r="Z2123" t="n">
        <x:v>0</x:v>
      </x:c>
      <x:c r="AA2123" t="n">
        <x:v>0</x:v>
      </x:c>
      <x:c r="AB2123"/>
      <x:c r="AC2123" t="n">
        <x:v>0</x:v>
      </x:c>
      <x:c r="AD2123" t="n">
        <x:v>0.6404063598602079</x:v>
      </x:c>
      <x:c r="AE2123" t="n">
        <x:v>1</x:v>
      </x:c>
      <x:c r="AF2123" t="n">
        <x:v>0.00013887882232666016</x:v>
      </x:c>
      <x:c r="AG2123" t="n">
        <x:f>_xlfn.XLOOKUP($A2123,Games!$A$2:$A$18,Games!$B$2:$B$18,"Missing game",0)</x:f>
        <x:v>2025</x:v>
      </x:c>
      <x:c r="AH2123" t="str">
        <x:f>_xlfn.XLOOKUP($A2123,Games!$A$2:$A$18,Games!$C$2:$C$18,"Missing game",0)</x:f>
        <x:v>REG</x:v>
      </x:c>
      <x:c r="AI2123" t="n">
        <x:f>_xlfn.XLOOKUP($A2123,Games!$A$2:$A$18,Games!$D$2:$D$18,"Missing game",0)</x:f>
        <x:v>14</x:v>
      </x:c>
      <x:c r="AJ2123" s="1" t="n">
        <x:f>_xlfn.XLOOKUP($A2123,Games!$A$2:$A$18,Games!$E$2:$E$18,"Missing game",0)</x:f>
        <x:v>45998</x:v>
      </x:c>
      <x:c r="AK2123" t="str">
        <x:f>_xlfn.XLOOKUP($A2123,Games!$A$2:$A$18,Games!$F$2:$F$18,"Missing game",0)</x:f>
        <x:v>Sunday</x:v>
      </x:c>
      <x:c r="AL2123" t="str">
        <x:f>_xlfn.XLOOKUP($A2123,Games!$A$2:$A$18,Games!$G$2:$G$18,"Missing game",0)</x:f>
        <x:v>WAS</x:v>
      </x:c>
      <x:c r="AM2123" t="n">
        <x:f>_xlfn.XLOOKUP($A2123,Games!$A$2:$A$18,Games!$H$2:$H$18,"Missing game",0)</x:f>
        <x:v>0</x:v>
      </x:c>
      <x:c r="AN2123" t="str">
        <x:f>_xlfn.XLOOKUP($A2123,Games!$A$2:$A$18,Games!$I$2:$I$18,"Missing game",0)</x:f>
        <x:v>MIN</x:v>
      </x:c>
      <x:c r="AO2123" t="n">
        <x:f>_xlfn.XLOOKUP($A2123,Games!$A$2:$A$18,Games!$J$2:$J$18,"Missing game",0)</x:f>
        <x:v>31</x:v>
      </x:c>
      <x:c r="AP2123" t="n">
        <x:f>_xlfn.XLOOKUP($A2123,Games!$A$2:$A$18,Games!$K$2:$K$18,"Missing game",0)</x:f>
        <x:v>31</x:v>
      </x:c>
      <x:c r="AQ2123" t="n">
        <x:f>_xlfn.XLOOKUP($A2123,Games!$A$2:$A$18,Games!$L$2:$L$18,"Missing game",0)</x:f>
        <x:v>31</x:v>
      </x:c>
      <x:c r="AR2123" t="n">
        <x:f>_xlfn.XLOOKUP($A2123,Games!$A$2:$A$18,Games!$M$2:$M$18,"Missing game",0)</x:f>
        <x:v>0</x:v>
      </x:c>
      <x:c r="AS2123" t="str">
        <x:f>_xlfn.XLOOKUP($A2123,Games!$A$2:$A$18,Games!$N$2:$N$18,"Missing game",0)</x:f>
        <x:v>dome</x:v>
      </x:c>
      <x:c r="AT2123" t="str">
        <x:f>_xlfn.XLOOKUP($A2123,Games!$A$2:$A$18,Games!$O$2:$O$18,"Missing game",0)</x:f>
        <x:v>sportturf</x:v>
      </x:c>
      <x:c r="AU2123" t="str">
        <x:f>_xlfn.XLOOKUP($A2123,Games!$A$2:$A$18,Games!$P$2:$P$18,"Missing game",0)</x:f>
      </x:c>
      <x:c r="AV2123" t="str">
        <x:f>_xlfn.XLOOKUP($A2123,Games!$A$2:$A$18,Games!$Q$2:$Q$18,"Missing game",0)</x:f>
      </x:c>
      <x:c r="AW2123" t="str">
        <x:f>_xlfn.XLOOKUP($A2123,Games!$A$2:$A$18,Games!$R$2:$R$18,"Missing game",0)</x:f>
        <x:v>U.S. Bank Stadium</x:v>
      </x:c>
    </x:row>
    <x:row r="2124">
      <x:c r="A2124" t="str">
        <x:v>2025_14_WAS_MIN</x:v>
      </x:c>
      <x:c r="B2124" t="n">
        <x:v>2848</x:v>
      </x:c>
      <x:c r="C2124" t="n">
        <x:v>4</x:v>
      </x:c>
      <x:c r="D2124" t="str">
        <x:v>12:25</x:v>
      </x:c>
      <x:c r="E2124" t="n">
        <x:v>2</x:v>
      </x:c>
      <x:c r="F2124" t="n">
        <x:v>2</x:v>
      </x:c>
      <x:c r="G2124" t="str">
        <x:v>MIN</x:v>
      </x:c>
      <x:c r="H2124" t="str">
        <x:v>WAS</x:v>
      </x:c>
      <x:c r="I2124" t="str">
        <x:v>WAS</x:v>
      </x:c>
      <x:c r="J2124" t="n">
        <x:v>2</x:v>
      </x:c>
      <x:c r="K2124" t="str">
        <x:v>(12:25) 9-J.McCarthy sacked at WAS 2 for 0 yards (54-B.Wagner).</x:v>
      </x:c>
      <x:c r="L2124" t="str">
        <x:v>pass</x:v>
      </x:c>
      <x:c r="M2124" t="n">
        <x:v>0</x:v>
      </x:c>
      <x:c r="N2124" t="n">
        <x:v>0</x:v>
      </x:c>
      <x:c r="O2124" t="n">
        <x:v>0</x:v>
      </x:c>
      <x:c r="P2124"/>
      <x:c r="Q2124"/>
      <x:c r="R2124"/>
      <x:c r="S2124"/>
      <x:c r="T2124"/>
      <x:c r="U2124"/>
      <x:c r="V2124" t="n">
        <x:v>0</x:v>
      </x:c>
      <x:c r="W2124" t="n">
        <x:v>0</x:v>
      </x:c>
      <x:c r="X2124" t="n">
        <x:v>1</x:v>
      </x:c>
      <x:c r="Y2124" t="n">
        <x:v>0</x:v>
      </x:c>
      <x:c r="Z2124" t="n">
        <x:v>0</x:v>
      </x:c>
      <x:c r="AA2124" t="n">
        <x:v>0</x:v>
      </x:c>
      <x:c r="AB2124"/>
      <x:c r="AC2124" t="n">
        <x:v>0</x:v>
      </x:c>
      <x:c r="AD2124" t="n">
        <x:v>-0.8433005037368275</x:v>
      </x:c>
      <x:c r="AE2124" t="n">
        <x:v>0</x:v>
      </x:c>
      <x:c r="AF2124" t="n">
        <x:v>0.00013059377670288086</x:v>
      </x:c>
      <x:c r="AG2124" t="n">
        <x:f>_xlfn.XLOOKUP($A2124,Games!$A$2:$A$18,Games!$B$2:$B$18,"Missing game",0)</x:f>
        <x:v>2025</x:v>
      </x:c>
      <x:c r="AH2124" t="str">
        <x:f>_xlfn.XLOOKUP($A2124,Games!$A$2:$A$18,Games!$C$2:$C$18,"Missing game",0)</x:f>
        <x:v>REG</x:v>
      </x:c>
      <x:c r="AI2124" t="n">
        <x:f>_xlfn.XLOOKUP($A2124,Games!$A$2:$A$18,Games!$D$2:$D$18,"Missing game",0)</x:f>
        <x:v>14</x:v>
      </x:c>
      <x:c r="AJ2124" s="1" t="n">
        <x:f>_xlfn.XLOOKUP($A2124,Games!$A$2:$A$18,Games!$E$2:$E$18,"Missing game",0)</x:f>
        <x:v>45998</x:v>
      </x:c>
      <x:c r="AK2124" t="str">
        <x:f>_xlfn.XLOOKUP($A2124,Games!$A$2:$A$18,Games!$F$2:$F$18,"Missing game",0)</x:f>
        <x:v>Sunday</x:v>
      </x:c>
      <x:c r="AL2124" t="str">
        <x:f>_xlfn.XLOOKUP($A2124,Games!$A$2:$A$18,Games!$G$2:$G$18,"Missing game",0)</x:f>
        <x:v>WAS</x:v>
      </x:c>
      <x:c r="AM2124" t="n">
        <x:f>_xlfn.XLOOKUP($A2124,Games!$A$2:$A$18,Games!$H$2:$H$18,"Missing game",0)</x:f>
        <x:v>0</x:v>
      </x:c>
      <x:c r="AN2124" t="str">
        <x:f>_xlfn.XLOOKUP($A2124,Games!$A$2:$A$18,Games!$I$2:$I$18,"Missing game",0)</x:f>
        <x:v>MIN</x:v>
      </x:c>
      <x:c r="AO2124" t="n">
        <x:f>_xlfn.XLOOKUP($A2124,Games!$A$2:$A$18,Games!$J$2:$J$18,"Missing game",0)</x:f>
        <x:v>31</x:v>
      </x:c>
      <x:c r="AP2124" t="n">
        <x:f>_xlfn.XLOOKUP($A2124,Games!$A$2:$A$18,Games!$K$2:$K$18,"Missing game",0)</x:f>
        <x:v>31</x:v>
      </x:c>
      <x:c r="AQ2124" t="n">
        <x:f>_xlfn.XLOOKUP($A2124,Games!$A$2:$A$18,Games!$L$2:$L$18,"Missing game",0)</x:f>
        <x:v>31</x:v>
      </x:c>
      <x:c r="AR2124" t="n">
        <x:f>_xlfn.XLOOKUP($A2124,Games!$A$2:$A$18,Games!$M$2:$M$18,"Missing game",0)</x:f>
        <x:v>0</x:v>
      </x:c>
      <x:c r="AS2124" t="str">
        <x:f>_xlfn.XLOOKUP($A2124,Games!$A$2:$A$18,Games!$N$2:$N$18,"Missing game",0)</x:f>
        <x:v>dome</x:v>
      </x:c>
      <x:c r="AT2124" t="str">
        <x:f>_xlfn.XLOOKUP($A2124,Games!$A$2:$A$18,Games!$O$2:$O$18,"Missing game",0)</x:f>
        <x:v>sportturf</x:v>
      </x:c>
      <x:c r="AU2124" t="str">
        <x:f>_xlfn.XLOOKUP($A2124,Games!$A$2:$A$18,Games!$P$2:$P$18,"Missing game",0)</x:f>
      </x:c>
      <x:c r="AV2124" t="str">
        <x:f>_xlfn.XLOOKUP($A2124,Games!$A$2:$A$18,Games!$Q$2:$Q$18,"Missing game",0)</x:f>
      </x:c>
      <x:c r="AW2124" t="str">
        <x:f>_xlfn.XLOOKUP($A2124,Games!$A$2:$A$18,Games!$R$2:$R$18,"Missing game",0)</x:f>
        <x:v>U.S. Bank Stadium</x:v>
      </x:c>
    </x:row>
    <x:row r="2125">
      <x:c r="A2125" t="str">
        <x:v>2025_14_WAS_MIN</x:v>
      </x:c>
      <x:c r="B2125" t="n">
        <x:v>2868</x:v>
      </x:c>
      <x:c r="C2125" t="n">
        <x:v>4</x:v>
      </x:c>
      <x:c r="D2125" t="str">
        <x:v>11:34</x:v>
      </x:c>
      <x:c r="E2125" t="n">
        <x:v>3</x:v>
      </x:c>
      <x:c r="F2125" t="n">
        <x:v>2</x:v>
      </x:c>
      <x:c r="G2125" t="str">
        <x:v>MIN</x:v>
      </x:c>
      <x:c r="H2125" t="str">
        <x:v>WAS</x:v>
      </x:c>
      <x:c r="I2125" t="str">
        <x:v>WAS</x:v>
      </x:c>
      <x:c r="J2125" t="n">
        <x:v>2</x:v>
      </x:c>
      <x:c r="K2125" t="str">
        <x:v>(11:34) (Shotgun) 9-J.McCarthy pass incomplete short left to 3-J.Addison (6-N.Igbinoghene).</x:v>
      </x:c>
      <x:c r="L2125" t="str">
        <x:v>pass</x:v>
      </x:c>
      <x:c r="M2125" t="n">
        <x:v>0</x:v>
      </x:c>
      <x:c r="N2125" t="n">
        <x:v>1</x:v>
      </x:c>
      <x:c r="O2125" t="n">
        <x:v>0</x:v>
      </x:c>
      <x:c r="P2125" t="str">
        <x:v>short</x:v>
      </x:c>
      <x:c r="Q2125" t="str">
        <x:v>left</x:v>
      </x:c>
      <x:c r="R2125" t="n">
        <x:v>2</x:v>
      </x:c>
      <x:c r="S2125"/>
      <x:c r="T2125"/>
      <x:c r="U2125"/>
      <x:c r="V2125" t="n">
        <x:v>0</x:v>
      </x:c>
      <x:c r="W2125" t="n">
        <x:v>0</x:v>
      </x:c>
      <x:c r="X2125" t="n">
        <x:v>0</x:v>
      </x:c>
      <x:c r="Y2125" t="n">
        <x:v>0</x:v>
      </x:c>
      <x:c r="Z2125" t="n">
        <x:v>0</x:v>
      </x:c>
      <x:c r="AA2125" t="n">
        <x:v>0</x:v>
      </x:c>
      <x:c r="AB2125"/>
      <x:c r="AC2125" t="n">
        <x:v>0</x:v>
      </x:c>
      <x:c r="AD2125" t="n">
        <x:v>-1.9064399530179799</x:v>
      </x:c>
      <x:c r="AE2125" t="n">
        <x:v>0</x:v>
      </x:c>
      <x:c r="AF2125" t="n">
        <x:v>-0.00020265579223632812</x:v>
      </x:c>
      <x:c r="AG2125" t="n">
        <x:f>_xlfn.XLOOKUP($A2125,Games!$A$2:$A$18,Games!$B$2:$B$18,"Missing game",0)</x:f>
        <x:v>2025</x:v>
      </x:c>
      <x:c r="AH2125" t="str">
        <x:f>_xlfn.XLOOKUP($A2125,Games!$A$2:$A$18,Games!$C$2:$C$18,"Missing game",0)</x:f>
        <x:v>REG</x:v>
      </x:c>
      <x:c r="AI2125" t="n">
        <x:f>_xlfn.XLOOKUP($A2125,Games!$A$2:$A$18,Games!$D$2:$D$18,"Missing game",0)</x:f>
        <x:v>14</x:v>
      </x:c>
      <x:c r="AJ2125" s="1" t="n">
        <x:f>_xlfn.XLOOKUP($A2125,Games!$A$2:$A$18,Games!$E$2:$E$18,"Missing game",0)</x:f>
        <x:v>45998</x:v>
      </x:c>
      <x:c r="AK2125" t="str">
        <x:f>_xlfn.XLOOKUP($A2125,Games!$A$2:$A$18,Games!$F$2:$F$18,"Missing game",0)</x:f>
        <x:v>Sunday</x:v>
      </x:c>
      <x:c r="AL2125" t="str">
        <x:f>_xlfn.XLOOKUP($A2125,Games!$A$2:$A$18,Games!$G$2:$G$18,"Missing game",0)</x:f>
        <x:v>WAS</x:v>
      </x:c>
      <x:c r="AM2125" t="n">
        <x:f>_xlfn.XLOOKUP($A2125,Games!$A$2:$A$18,Games!$H$2:$H$18,"Missing game",0)</x:f>
        <x:v>0</x:v>
      </x:c>
      <x:c r="AN2125" t="str">
        <x:f>_xlfn.XLOOKUP($A2125,Games!$A$2:$A$18,Games!$I$2:$I$18,"Missing game",0)</x:f>
        <x:v>MIN</x:v>
      </x:c>
      <x:c r="AO2125" t="n">
        <x:f>_xlfn.XLOOKUP($A2125,Games!$A$2:$A$18,Games!$J$2:$J$18,"Missing game",0)</x:f>
        <x:v>31</x:v>
      </x:c>
      <x:c r="AP2125" t="n">
        <x:f>_xlfn.XLOOKUP($A2125,Games!$A$2:$A$18,Games!$K$2:$K$18,"Missing game",0)</x:f>
        <x:v>31</x:v>
      </x:c>
      <x:c r="AQ2125" t="n">
        <x:f>_xlfn.XLOOKUP($A2125,Games!$A$2:$A$18,Games!$L$2:$L$18,"Missing game",0)</x:f>
        <x:v>31</x:v>
      </x:c>
      <x:c r="AR2125" t="n">
        <x:f>_xlfn.XLOOKUP($A2125,Games!$A$2:$A$18,Games!$M$2:$M$18,"Missing game",0)</x:f>
        <x:v>0</x:v>
      </x:c>
      <x:c r="AS2125" t="str">
        <x:f>_xlfn.XLOOKUP($A2125,Games!$A$2:$A$18,Games!$N$2:$N$18,"Missing game",0)</x:f>
        <x:v>dome</x:v>
      </x:c>
      <x:c r="AT2125" t="str">
        <x:f>_xlfn.XLOOKUP($A2125,Games!$A$2:$A$18,Games!$O$2:$O$18,"Missing game",0)</x:f>
        <x:v>sportturf</x:v>
      </x:c>
      <x:c r="AU2125" t="str">
        <x:f>_xlfn.XLOOKUP($A2125,Games!$A$2:$A$18,Games!$P$2:$P$18,"Missing game",0)</x:f>
      </x:c>
      <x:c r="AV2125" t="str">
        <x:f>_xlfn.XLOOKUP($A2125,Games!$A$2:$A$18,Games!$Q$2:$Q$18,"Missing game",0)</x:f>
      </x:c>
      <x:c r="AW2125" t="str">
        <x:f>_xlfn.XLOOKUP($A2125,Games!$A$2:$A$18,Games!$R$2:$R$18,"Missing game",0)</x:f>
        <x:v>U.S. Bank Stadium</x:v>
      </x:c>
    </x:row>
    <x:row r="2126">
      <x:c r="A2126" t="str">
        <x:v>2025_14_WAS_MIN</x:v>
      </x:c>
      <x:c r="B2126" t="n">
        <x:v>2891</x:v>
      </x:c>
      <x:c r="C2126" t="n">
        <x:v>4</x:v>
      </x:c>
      <x:c r="D2126" t="str">
        <x:v>11:31</x:v>
      </x:c>
      <x:c r="E2126" t="n">
        <x:v>4</x:v>
      </x:c>
      <x:c r="F2126" t="n">
        <x:v>2</x:v>
      </x:c>
      <x:c r="G2126" t="str">
        <x:v>MIN</x:v>
      </x:c>
      <x:c r="H2126" t="str">
        <x:v>WAS</x:v>
      </x:c>
      <x:c r="I2126" t="str">
        <x:v>WAS</x:v>
      </x:c>
      <x:c r="J2126" t="n">
        <x:v>2</x:v>
      </x:c>
      <x:c r="K2126" t="str">
        <x:v>(11:31) (Shotgun) 9-J.McCarthy pass short right to 87-T.Hockenson for 2 yards, TOUCHDOWN. WAS-31-J.Jones was injured during the play.</x:v>
      </x:c>
      <x:c r="L2126" t="str">
        <x:v>pass</x:v>
      </x:c>
      <x:c r="M2126" t="n">
        <x:v>2</x:v>
      </x:c>
      <x:c r="N2126" t="n">
        <x:v>1</x:v>
      </x:c>
      <x:c r="O2126" t="n">
        <x:v>0</x:v>
      </x:c>
      <x:c r="P2126" t="str">
        <x:v>short</x:v>
      </x:c>
      <x:c r="Q2126" t="str">
        <x:v>right</x:v>
      </x:c>
      <x:c r="R2126" t="n">
        <x:v>1</x:v>
      </x:c>
      <x:c r="S2126" t="n">
        <x:v>1</x:v>
      </x:c>
      <x:c r="T2126"/>
      <x:c r="U2126"/>
      <x:c r="V2126" t="n">
        <x:v>1</x:v>
      </x:c>
      <x:c r="W2126" t="n">
        <x:v>1</x:v>
      </x:c>
      <x:c r="X2126" t="n">
        <x:v>0</x:v>
      </x:c>
      <x:c r="Y2126" t="n">
        <x:v>0</x:v>
      </x:c>
      <x:c r="Z2126" t="n">
        <x:v>0</x:v>
      </x:c>
      <x:c r="AA2126" t="n">
        <x:v>0</x:v>
      </x:c>
      <x:c r="AB2126"/>
      <x:c r="AC2126" t="n">
        <x:v>1</x:v>
      </x:c>
      <x:c r="AD2126" t="n">
        <x:v>3.7370237801223993</x:v>
      </x:c>
      <x:c r="AE2126" t="n">
        <x:v>1</x:v>
      </x:c>
      <x:c r="AF2126" t="n">
        <x:v>0.0002529288103687577</x:v>
      </x:c>
      <x:c r="AG2126" t="n">
        <x:f>_xlfn.XLOOKUP($A2126,Games!$A$2:$A$18,Games!$B$2:$B$18,"Missing game",0)</x:f>
        <x:v>2025</x:v>
      </x:c>
      <x:c r="AH2126" t="str">
        <x:f>_xlfn.XLOOKUP($A2126,Games!$A$2:$A$18,Games!$C$2:$C$18,"Missing game",0)</x:f>
        <x:v>REG</x:v>
      </x:c>
      <x:c r="AI2126" t="n">
        <x:f>_xlfn.XLOOKUP($A2126,Games!$A$2:$A$18,Games!$D$2:$D$18,"Missing game",0)</x:f>
        <x:v>14</x:v>
      </x:c>
      <x:c r="AJ2126" s="1" t="n">
        <x:f>_xlfn.XLOOKUP($A2126,Games!$A$2:$A$18,Games!$E$2:$E$18,"Missing game",0)</x:f>
        <x:v>45998</x:v>
      </x:c>
      <x:c r="AK2126" t="str">
        <x:f>_xlfn.XLOOKUP($A2126,Games!$A$2:$A$18,Games!$F$2:$F$18,"Missing game",0)</x:f>
        <x:v>Sunday</x:v>
      </x:c>
      <x:c r="AL2126" t="str">
        <x:f>_xlfn.XLOOKUP($A2126,Games!$A$2:$A$18,Games!$G$2:$G$18,"Missing game",0)</x:f>
        <x:v>WAS</x:v>
      </x:c>
      <x:c r="AM2126" t="n">
        <x:f>_xlfn.XLOOKUP($A2126,Games!$A$2:$A$18,Games!$H$2:$H$18,"Missing game",0)</x:f>
        <x:v>0</x:v>
      </x:c>
      <x:c r="AN2126" t="str">
        <x:f>_xlfn.XLOOKUP($A2126,Games!$A$2:$A$18,Games!$I$2:$I$18,"Missing game",0)</x:f>
        <x:v>MIN</x:v>
      </x:c>
      <x:c r="AO2126" t="n">
        <x:f>_xlfn.XLOOKUP($A2126,Games!$A$2:$A$18,Games!$J$2:$J$18,"Missing game",0)</x:f>
        <x:v>31</x:v>
      </x:c>
      <x:c r="AP2126" t="n">
        <x:f>_xlfn.XLOOKUP($A2126,Games!$A$2:$A$18,Games!$K$2:$K$18,"Missing game",0)</x:f>
        <x:v>31</x:v>
      </x:c>
      <x:c r="AQ2126" t="n">
        <x:f>_xlfn.XLOOKUP($A2126,Games!$A$2:$A$18,Games!$L$2:$L$18,"Missing game",0)</x:f>
        <x:v>31</x:v>
      </x:c>
      <x:c r="AR2126" t="n">
        <x:f>_xlfn.XLOOKUP($A2126,Games!$A$2:$A$18,Games!$M$2:$M$18,"Missing game",0)</x:f>
        <x:v>0</x:v>
      </x:c>
      <x:c r="AS2126" t="str">
        <x:f>_xlfn.XLOOKUP($A2126,Games!$A$2:$A$18,Games!$N$2:$N$18,"Missing game",0)</x:f>
        <x:v>dome</x:v>
      </x:c>
      <x:c r="AT2126" t="str">
        <x:f>_xlfn.XLOOKUP($A2126,Games!$A$2:$A$18,Games!$O$2:$O$18,"Missing game",0)</x:f>
        <x:v>sportturf</x:v>
      </x:c>
      <x:c r="AU2126" t="str">
        <x:f>_xlfn.XLOOKUP($A2126,Games!$A$2:$A$18,Games!$P$2:$P$18,"Missing game",0)</x:f>
      </x:c>
      <x:c r="AV2126" t="str">
        <x:f>_xlfn.XLOOKUP($A2126,Games!$A$2:$A$18,Games!$Q$2:$Q$18,"Missing game",0)</x:f>
      </x:c>
      <x:c r="AW2126" t="str">
        <x:f>_xlfn.XLOOKUP($A2126,Games!$A$2:$A$18,Games!$R$2:$R$18,"Missing game",0)</x:f>
        <x:v>U.S. Bank Stadium</x:v>
      </x:c>
    </x:row>
    <x:row r="2127">
      <x:c r="A2127" t="str">
        <x:v>2025_14_WAS_MIN</x:v>
      </x:c>
      <x:c r="B2127" t="n">
        <x:v>2903</x:v>
      </x:c>
      <x:c r="C2127" t="n">
        <x:v>4</x:v>
      </x:c>
      <x:c r="D2127" t="str">
        <x:v>11:31</x:v>
      </x:c>
      <x:c r="E2127"/>
      <x:c r="F2127" t="n">
        <x:v>0</x:v>
      </x:c>
      <x:c r="G2127"/>
      <x:c r="H2127"/>
      <x:c r="I2127"/>
      <x:c r="J2127"/>
      <x:c r="K2127" t="str">
        <x:v>Timeout #2 by MIN at 11:31.</x:v>
      </x:c>
      <x:c r="L2127" t="str">
        <x:v>no_play</x:v>
      </x:c>
      <x:c r="M2127" t="n">
        <x:v>0</x:v>
      </x:c>
      <x:c r="N2127" t="n">
        <x:v>0</x:v>
      </x:c>
      <x:c r="O2127" t="n">
        <x:v>0</x:v>
      </x:c>
      <x:c r="P2127"/>
      <x:c r="Q2127"/>
      <x:c r="R2127"/>
      <x:c r="S2127"/>
      <x:c r="T2127"/>
      <x:c r="U2127"/>
      <x:c r="V2127" t="n">
        <x:v>0</x:v>
      </x:c>
      <x:c r="W2127" t="n">
        <x:v>0</x:v>
      </x:c>
      <x:c r="X2127" t="n">
        <x:v>0</x:v>
      </x:c>
      <x:c r="Y2127" t="n">
        <x:v>0</x:v>
      </x:c>
      <x:c r="Z2127" t="n">
        <x:v>0</x:v>
      </x:c>
      <x:c r="AA2127" t="n">
        <x:v>0</x:v>
      </x:c>
      <x:c r="AB2127"/>
      <x:c r="AC2127" t="n">
        <x:v>0</x:v>
      </x:c>
      <x:c r="AD2127" t="n">
        <x:v>0</x:v>
      </x:c>
      <x:c r="AE2127" t="n">
        <x:v>0</x:v>
      </x:c>
      <x:c r="AF2127" t="n">
        <x:v>0</x:v>
      </x:c>
      <x:c r="AG2127" t="n">
        <x:f>_xlfn.XLOOKUP($A2127,Games!$A$2:$A$18,Games!$B$2:$B$18,"Missing game",0)</x:f>
        <x:v>2025</x:v>
      </x:c>
      <x:c r="AH2127" t="str">
        <x:f>_xlfn.XLOOKUP($A2127,Games!$A$2:$A$18,Games!$C$2:$C$18,"Missing game",0)</x:f>
        <x:v>REG</x:v>
      </x:c>
      <x:c r="AI2127" t="n">
        <x:f>_xlfn.XLOOKUP($A2127,Games!$A$2:$A$18,Games!$D$2:$D$18,"Missing game",0)</x:f>
        <x:v>14</x:v>
      </x:c>
      <x:c r="AJ2127" s="1" t="n">
        <x:f>_xlfn.XLOOKUP($A2127,Games!$A$2:$A$18,Games!$E$2:$E$18,"Missing game",0)</x:f>
        <x:v>45998</x:v>
      </x:c>
      <x:c r="AK2127" t="str">
        <x:f>_xlfn.XLOOKUP($A2127,Games!$A$2:$A$18,Games!$F$2:$F$18,"Missing game",0)</x:f>
        <x:v>Sunday</x:v>
      </x:c>
      <x:c r="AL2127" t="str">
        <x:f>_xlfn.XLOOKUP($A2127,Games!$A$2:$A$18,Games!$G$2:$G$18,"Missing game",0)</x:f>
        <x:v>WAS</x:v>
      </x:c>
      <x:c r="AM2127" t="n">
        <x:f>_xlfn.XLOOKUP($A2127,Games!$A$2:$A$18,Games!$H$2:$H$18,"Missing game",0)</x:f>
        <x:v>0</x:v>
      </x:c>
      <x:c r="AN2127" t="str">
        <x:f>_xlfn.XLOOKUP($A2127,Games!$A$2:$A$18,Games!$I$2:$I$18,"Missing game",0)</x:f>
        <x:v>MIN</x:v>
      </x:c>
      <x:c r="AO2127" t="n">
        <x:f>_xlfn.XLOOKUP($A2127,Games!$A$2:$A$18,Games!$J$2:$J$18,"Missing game",0)</x:f>
        <x:v>31</x:v>
      </x:c>
      <x:c r="AP2127" t="n">
        <x:f>_xlfn.XLOOKUP($A2127,Games!$A$2:$A$18,Games!$K$2:$K$18,"Missing game",0)</x:f>
        <x:v>31</x:v>
      </x:c>
      <x:c r="AQ2127" t="n">
        <x:f>_xlfn.XLOOKUP($A2127,Games!$A$2:$A$18,Games!$L$2:$L$18,"Missing game",0)</x:f>
        <x:v>31</x:v>
      </x:c>
      <x:c r="AR2127" t="n">
        <x:f>_xlfn.XLOOKUP($A2127,Games!$A$2:$A$18,Games!$M$2:$M$18,"Missing game",0)</x:f>
        <x:v>0</x:v>
      </x:c>
      <x:c r="AS2127" t="str">
        <x:f>_xlfn.XLOOKUP($A2127,Games!$A$2:$A$18,Games!$N$2:$N$18,"Missing game",0)</x:f>
        <x:v>dome</x:v>
      </x:c>
      <x:c r="AT2127" t="str">
        <x:f>_xlfn.XLOOKUP($A2127,Games!$A$2:$A$18,Games!$O$2:$O$18,"Missing game",0)</x:f>
        <x:v>sportturf</x:v>
      </x:c>
      <x:c r="AU2127" t="str">
        <x:f>_xlfn.XLOOKUP($A2127,Games!$A$2:$A$18,Games!$P$2:$P$18,"Missing game",0)</x:f>
      </x:c>
      <x:c r="AV2127" t="str">
        <x:f>_xlfn.XLOOKUP($A2127,Games!$A$2:$A$18,Games!$Q$2:$Q$18,"Missing game",0)</x:f>
      </x:c>
      <x:c r="AW2127" t="str">
        <x:f>_xlfn.XLOOKUP($A2127,Games!$A$2:$A$18,Games!$R$2:$R$18,"Missing game",0)</x:f>
        <x:v>U.S. Bank Stadium</x:v>
      </x:c>
    </x:row>
    <x:row r="2128">
      <x:c r="A2128" t="str">
        <x:v>2025_14_WAS_MIN</x:v>
      </x:c>
      <x:c r="B2128" t="n">
        <x:v>2927</x:v>
      </x:c>
      <x:c r="C2128" t="n">
        <x:v>4</x:v>
      </x:c>
      <x:c r="D2128" t="str">
        <x:v>11:26</x:v>
      </x:c>
      <x:c r="E2128"/>
      <x:c r="F2128" t="n">
        <x:v>0</x:v>
      </x:c>
      <x:c r="G2128" t="str">
        <x:v>MIN</x:v>
      </x:c>
      <x:c r="H2128" t="str">
        <x:v>WAS</x:v>
      </x:c>
      <x:c r="I2128" t="str">
        <x:v>WAS</x:v>
      </x:c>
      <x:c r="J2128" t="n">
        <x:v>15</x:v>
      </x:c>
      <x:c r="K2128" t="str">
        <x:v>16-W.Reichard extra point is GOOD, Center-42-A.DePaola, Holder-17-R.Wright.</x:v>
      </x:c>
      <x:c r="L2128" t="str">
        <x:v>extra_point</x:v>
      </x:c>
      <x:c r="M2128" t="n">
        <x:v>0</x:v>
      </x:c>
      <x:c r="N2128" t="n">
        <x:v>0</x:v>
      </x:c>
      <x:c r="O2128" t="n">
        <x:v>0</x:v>
      </x:c>
      <x:c r="P2128"/>
      <x:c r="Q2128"/>
      <x:c r="R2128"/>
      <x:c r="S2128"/>
      <x:c r="T2128"/>
      <x:c r="U2128"/>
      <x:c r="V2128" t="n">
        <x:v>0</x:v>
      </x:c>
      <x:c r="W2128" t="n">
        <x:v>0</x:v>
      </x:c>
      <x:c r="X2128" t="n">
        <x:v>0</x:v>
      </x:c>
      <x:c r="Y2128" t="n">
        <x:v>0</x:v>
      </x:c>
      <x:c r="Z2128" t="n">
        <x:v>0</x:v>
      </x:c>
      <x:c r="AA2128" t="n">
        <x:v>0</x:v>
      </x:c>
      <x:c r="AB2128"/>
      <x:c r="AC2128" t="n">
        <x:v>0</x:v>
      </x:c>
      <x:c r="AD2128" t="n">
        <x:v>0.05117156607063911</x:v>
      </x:c>
      <x:c r="AE2128" t="n">
        <x:v>1</x:v>
      </x:c>
      <x:c r="AF2128" t="n">
        <x:v>0</x:v>
      </x:c>
      <x:c r="AG2128" t="n">
        <x:f>_xlfn.XLOOKUP($A2128,Games!$A$2:$A$18,Games!$B$2:$B$18,"Missing game",0)</x:f>
        <x:v>2025</x:v>
      </x:c>
      <x:c r="AH2128" t="str">
        <x:f>_xlfn.XLOOKUP($A2128,Games!$A$2:$A$18,Games!$C$2:$C$18,"Missing game",0)</x:f>
        <x:v>REG</x:v>
      </x:c>
      <x:c r="AI2128" t="n">
        <x:f>_xlfn.XLOOKUP($A2128,Games!$A$2:$A$18,Games!$D$2:$D$18,"Missing game",0)</x:f>
        <x:v>14</x:v>
      </x:c>
      <x:c r="AJ2128" s="1" t="n">
        <x:f>_xlfn.XLOOKUP($A2128,Games!$A$2:$A$18,Games!$E$2:$E$18,"Missing game",0)</x:f>
        <x:v>45998</x:v>
      </x:c>
      <x:c r="AK2128" t="str">
        <x:f>_xlfn.XLOOKUP($A2128,Games!$A$2:$A$18,Games!$F$2:$F$18,"Missing game",0)</x:f>
        <x:v>Sunday</x:v>
      </x:c>
      <x:c r="AL2128" t="str">
        <x:f>_xlfn.XLOOKUP($A2128,Games!$A$2:$A$18,Games!$G$2:$G$18,"Missing game",0)</x:f>
        <x:v>WAS</x:v>
      </x:c>
      <x:c r="AM2128" t="n">
        <x:f>_xlfn.XLOOKUP($A2128,Games!$A$2:$A$18,Games!$H$2:$H$18,"Missing game",0)</x:f>
        <x:v>0</x:v>
      </x:c>
      <x:c r="AN2128" t="str">
        <x:f>_xlfn.XLOOKUP($A2128,Games!$A$2:$A$18,Games!$I$2:$I$18,"Missing game",0)</x:f>
        <x:v>MIN</x:v>
      </x:c>
      <x:c r="AO2128" t="n">
        <x:f>_xlfn.XLOOKUP($A2128,Games!$A$2:$A$18,Games!$J$2:$J$18,"Missing game",0)</x:f>
        <x:v>31</x:v>
      </x:c>
      <x:c r="AP2128" t="n">
        <x:f>_xlfn.XLOOKUP($A2128,Games!$A$2:$A$18,Games!$K$2:$K$18,"Missing game",0)</x:f>
        <x:v>31</x:v>
      </x:c>
      <x:c r="AQ2128" t="n">
        <x:f>_xlfn.XLOOKUP($A2128,Games!$A$2:$A$18,Games!$L$2:$L$18,"Missing game",0)</x:f>
        <x:v>31</x:v>
      </x:c>
      <x:c r="AR2128" t="n">
        <x:f>_xlfn.XLOOKUP($A2128,Games!$A$2:$A$18,Games!$M$2:$M$18,"Missing game",0)</x:f>
        <x:v>0</x:v>
      </x:c>
      <x:c r="AS2128" t="str">
        <x:f>_xlfn.XLOOKUP($A2128,Games!$A$2:$A$18,Games!$N$2:$N$18,"Missing game",0)</x:f>
        <x:v>dome</x:v>
      </x:c>
      <x:c r="AT2128" t="str">
        <x:f>_xlfn.XLOOKUP($A2128,Games!$A$2:$A$18,Games!$O$2:$O$18,"Missing game",0)</x:f>
        <x:v>sportturf</x:v>
      </x:c>
      <x:c r="AU2128" t="str">
        <x:f>_xlfn.XLOOKUP($A2128,Games!$A$2:$A$18,Games!$P$2:$P$18,"Missing game",0)</x:f>
      </x:c>
      <x:c r="AV2128" t="str">
        <x:f>_xlfn.XLOOKUP($A2128,Games!$A$2:$A$18,Games!$Q$2:$Q$18,"Missing game",0)</x:f>
      </x:c>
      <x:c r="AW2128" t="str">
        <x:f>_xlfn.XLOOKUP($A2128,Games!$A$2:$A$18,Games!$R$2:$R$18,"Missing game",0)</x:f>
        <x:v>U.S. Bank Stadium</x:v>
      </x:c>
    </x:row>
    <x:row r="2129">
      <x:c r="A2129" t="str">
        <x:v>2025_14_WAS_MIN</x:v>
      </x:c>
      <x:c r="B2129" t="n">
        <x:v>2942</x:v>
      </x:c>
      <x:c r="C2129" t="n">
        <x:v>4</x:v>
      </x:c>
      <x:c r="D2129" t="str">
        <x:v>11:26</x:v>
      </x:c>
      <x:c r="E2129"/>
      <x:c r="F2129" t="n">
        <x:v>0</x:v>
      </x:c>
      <x:c r="G2129" t="str">
        <x:v>WAS</x:v>
      </x:c>
      <x:c r="H2129" t="str">
        <x:v>MIN</x:v>
      </x:c>
      <x:c r="I2129" t="str">
        <x:v>MIN</x:v>
      </x:c>
      <x:c r="J2129" t="n">
        <x:v>35</x:v>
      </x:c>
      <x:c r="K2129" t="str">
        <x:v>16-W.Reichard kicks 65 yards from MIN 35 to end zone, Touchback to the WAS 35.</x:v>
      </x:c>
      <x:c r="L2129" t="str">
        <x:v>kickoff</x:v>
      </x:c>
      <x:c r="M2129" t="n">
        <x:v>0</x:v>
      </x:c>
      <x:c r="N2129" t="n">
        <x:v>0</x:v>
      </x:c>
      <x:c r="O2129" t="n">
        <x:v>0</x:v>
      </x:c>
      <x:c r="P2129"/>
      <x:c r="Q2129"/>
      <x:c r="R2129"/>
      <x:c r="S2129"/>
      <x:c r="T2129"/>
      <x:c r="U2129"/>
      <x:c r="V2129" t="n">
        <x:v>0</x:v>
      </x:c>
      <x:c r="W2129" t="n">
        <x:v>0</x:v>
      </x:c>
      <x:c r="X2129" t="n">
        <x:v>0</x:v>
      </x:c>
      <x:c r="Y2129" t="n">
        <x:v>0</x:v>
      </x:c>
      <x:c r="Z2129" t="n">
        <x:v>0</x:v>
      </x:c>
      <x:c r="AA2129" t="n">
        <x:v>0</x:v>
      </x:c>
      <x:c r="AB2129"/>
      <x:c r="AC2129" t="n">
        <x:v>0</x:v>
      </x:c>
      <x:c r="AD2129" t="n">
        <x:v>0.4835586305707693</x:v>
      </x:c>
      <x:c r="AE2129" t="n">
        <x:v>1</x:v>
      </x:c>
      <x:c r="AF2129" t="n">
        <x:v>-0.000007429793186020106</x:v>
      </x:c>
      <x:c r="AG2129" t="n">
        <x:f>_xlfn.XLOOKUP($A2129,Games!$A$2:$A$18,Games!$B$2:$B$18,"Missing game",0)</x:f>
        <x:v>2025</x:v>
      </x:c>
      <x:c r="AH2129" t="str">
        <x:f>_xlfn.XLOOKUP($A2129,Games!$A$2:$A$18,Games!$C$2:$C$18,"Missing game",0)</x:f>
        <x:v>REG</x:v>
      </x:c>
      <x:c r="AI2129" t="n">
        <x:f>_xlfn.XLOOKUP($A2129,Games!$A$2:$A$18,Games!$D$2:$D$18,"Missing game",0)</x:f>
        <x:v>14</x:v>
      </x:c>
      <x:c r="AJ2129" s="1" t="n">
        <x:f>_xlfn.XLOOKUP($A2129,Games!$A$2:$A$18,Games!$E$2:$E$18,"Missing game",0)</x:f>
        <x:v>45998</x:v>
      </x:c>
      <x:c r="AK2129" t="str">
        <x:f>_xlfn.XLOOKUP($A2129,Games!$A$2:$A$18,Games!$F$2:$F$18,"Missing game",0)</x:f>
        <x:v>Sunday</x:v>
      </x:c>
      <x:c r="AL2129" t="str">
        <x:f>_xlfn.XLOOKUP($A2129,Games!$A$2:$A$18,Games!$G$2:$G$18,"Missing game",0)</x:f>
        <x:v>WAS</x:v>
      </x:c>
      <x:c r="AM2129" t="n">
        <x:f>_xlfn.XLOOKUP($A2129,Games!$A$2:$A$18,Games!$H$2:$H$18,"Missing game",0)</x:f>
        <x:v>0</x:v>
      </x:c>
      <x:c r="AN2129" t="str">
        <x:f>_xlfn.XLOOKUP($A2129,Games!$A$2:$A$18,Games!$I$2:$I$18,"Missing game",0)</x:f>
        <x:v>MIN</x:v>
      </x:c>
      <x:c r="AO2129" t="n">
        <x:f>_xlfn.XLOOKUP($A2129,Games!$A$2:$A$18,Games!$J$2:$J$18,"Missing game",0)</x:f>
        <x:v>31</x:v>
      </x:c>
      <x:c r="AP2129" t="n">
        <x:f>_xlfn.XLOOKUP($A2129,Games!$A$2:$A$18,Games!$K$2:$K$18,"Missing game",0)</x:f>
        <x:v>31</x:v>
      </x:c>
      <x:c r="AQ2129" t="n">
        <x:f>_xlfn.XLOOKUP($A2129,Games!$A$2:$A$18,Games!$L$2:$L$18,"Missing game",0)</x:f>
        <x:v>31</x:v>
      </x:c>
      <x:c r="AR2129" t="n">
        <x:f>_xlfn.XLOOKUP($A2129,Games!$A$2:$A$18,Games!$M$2:$M$18,"Missing game",0)</x:f>
        <x:v>0</x:v>
      </x:c>
      <x:c r="AS2129" t="str">
        <x:f>_xlfn.XLOOKUP($A2129,Games!$A$2:$A$18,Games!$N$2:$N$18,"Missing game",0)</x:f>
        <x:v>dome</x:v>
      </x:c>
      <x:c r="AT2129" t="str">
        <x:f>_xlfn.XLOOKUP($A2129,Games!$A$2:$A$18,Games!$O$2:$O$18,"Missing game",0)</x:f>
        <x:v>sportturf</x:v>
      </x:c>
      <x:c r="AU2129" t="str">
        <x:f>_xlfn.XLOOKUP($A2129,Games!$A$2:$A$18,Games!$P$2:$P$18,"Missing game",0)</x:f>
      </x:c>
      <x:c r="AV2129" t="str">
        <x:f>_xlfn.XLOOKUP($A2129,Games!$A$2:$A$18,Games!$Q$2:$Q$18,"Missing game",0)</x:f>
      </x:c>
      <x:c r="AW2129" t="str">
        <x:f>_xlfn.XLOOKUP($A2129,Games!$A$2:$A$18,Games!$R$2:$R$18,"Missing game",0)</x:f>
        <x:v>U.S. Bank Stadium</x:v>
      </x:c>
    </x:row>
    <x:row r="2130">
      <x:c r="A2130" t="str">
        <x:v>2025_14_WAS_MIN</x:v>
      </x:c>
      <x:c r="B2130" t="n">
        <x:v>2966</x:v>
      </x:c>
      <x:c r="C2130" t="n">
        <x:v>4</x:v>
      </x:c>
      <x:c r="D2130" t="str">
        <x:v>11:26</x:v>
      </x:c>
      <x:c r="E2130" t="n">
        <x:v>1</x:v>
      </x:c>
      <x:c r="F2130" t="n">
        <x:v>10</x:v>
      </x:c>
      <x:c r="G2130" t="str">
        <x:v>WAS</x:v>
      </x:c>
      <x:c r="H2130" t="str">
        <x:v>MIN</x:v>
      </x:c>
      <x:c r="I2130" t="str">
        <x:v>WAS</x:v>
      </x:c>
      <x:c r="J2130" t="n">
        <x:v>65</x:v>
      </x:c>
      <x:c r="K2130" t="str">
        <x:v>(11:26) (Shotgun) 8-M.Mariota pass deep right to 85-N.Brown to MIN 46 for 19 yards (44-J.Metellus).</x:v>
      </x:c>
      <x:c r="L2130" t="str">
        <x:v>pass</x:v>
      </x:c>
      <x:c r="M2130" t="n">
        <x:v>19</x:v>
      </x:c>
      <x:c r="N2130" t="n">
        <x:v>1</x:v>
      </x:c>
      <x:c r="O2130" t="n">
        <x:v>0</x:v>
      </x:c>
      <x:c r="P2130" t="str">
        <x:v>deep</x:v>
      </x:c>
      <x:c r="Q2130" t="str">
        <x:v>right</x:v>
      </x:c>
      <x:c r="R2130" t="n">
        <x:v>19</x:v>
      </x:c>
      <x:c r="S2130" t="n">
        <x:v>0</x:v>
      </x:c>
      <x:c r="T2130"/>
      <x:c r="U2130"/>
      <x:c r="V2130" t="n">
        <x:v>1</x:v>
      </x:c>
      <x:c r="W2130" t="n">
        <x:v>1</x:v>
      </x:c>
      <x:c r="X2130" t="n">
        <x:v>0</x:v>
      </x:c>
      <x:c r="Y2130" t="n">
        <x:v>0</x:v>
      </x:c>
      <x:c r="Z2130" t="n">
        <x:v>0</x:v>
      </x:c>
      <x:c r="AA2130" t="n">
        <x:v>0</x:v>
      </x:c>
      <x:c r="AB2130"/>
      <x:c r="AC2130" t="n">
        <x:v>0</x:v>
      </x:c>
      <x:c r="AD2130" t="n">
        <x:v>1.1565688664559275</x:v>
      </x:c>
      <x:c r="AE2130" t="n">
        <x:v>1</x:v>
      </x:c>
      <x:c r="AF2130" t="n">
        <x:v>0.0000053864423534832895</x:v>
      </x:c>
      <x:c r="AG2130" t="n">
        <x:f>_xlfn.XLOOKUP($A2130,Games!$A$2:$A$18,Games!$B$2:$B$18,"Missing game",0)</x:f>
        <x:v>2025</x:v>
      </x:c>
      <x:c r="AH2130" t="str">
        <x:f>_xlfn.XLOOKUP($A2130,Games!$A$2:$A$18,Games!$C$2:$C$18,"Missing game",0)</x:f>
        <x:v>REG</x:v>
      </x:c>
      <x:c r="AI2130" t="n">
        <x:f>_xlfn.XLOOKUP($A2130,Games!$A$2:$A$18,Games!$D$2:$D$18,"Missing game",0)</x:f>
        <x:v>14</x:v>
      </x:c>
      <x:c r="AJ2130" s="1" t="n">
        <x:f>_xlfn.XLOOKUP($A2130,Games!$A$2:$A$18,Games!$E$2:$E$18,"Missing game",0)</x:f>
        <x:v>45998</x:v>
      </x:c>
      <x:c r="AK2130" t="str">
        <x:f>_xlfn.XLOOKUP($A2130,Games!$A$2:$A$18,Games!$F$2:$F$18,"Missing game",0)</x:f>
        <x:v>Sunday</x:v>
      </x:c>
      <x:c r="AL2130" t="str">
        <x:f>_xlfn.XLOOKUP($A2130,Games!$A$2:$A$18,Games!$G$2:$G$18,"Missing game",0)</x:f>
        <x:v>WAS</x:v>
      </x:c>
      <x:c r="AM2130" t="n">
        <x:f>_xlfn.XLOOKUP($A2130,Games!$A$2:$A$18,Games!$H$2:$H$18,"Missing game",0)</x:f>
        <x:v>0</x:v>
      </x:c>
      <x:c r="AN2130" t="str">
        <x:f>_xlfn.XLOOKUP($A2130,Games!$A$2:$A$18,Games!$I$2:$I$18,"Missing game",0)</x:f>
        <x:v>MIN</x:v>
      </x:c>
      <x:c r="AO2130" t="n">
        <x:f>_xlfn.XLOOKUP($A2130,Games!$A$2:$A$18,Games!$J$2:$J$18,"Missing game",0)</x:f>
        <x:v>31</x:v>
      </x:c>
      <x:c r="AP2130" t="n">
        <x:f>_xlfn.XLOOKUP($A2130,Games!$A$2:$A$18,Games!$K$2:$K$18,"Missing game",0)</x:f>
        <x:v>31</x:v>
      </x:c>
      <x:c r="AQ2130" t="n">
        <x:f>_xlfn.XLOOKUP($A2130,Games!$A$2:$A$18,Games!$L$2:$L$18,"Missing game",0)</x:f>
        <x:v>31</x:v>
      </x:c>
      <x:c r="AR2130" t="n">
        <x:f>_xlfn.XLOOKUP($A2130,Games!$A$2:$A$18,Games!$M$2:$M$18,"Missing game",0)</x:f>
        <x:v>0</x:v>
      </x:c>
      <x:c r="AS2130" t="str">
        <x:f>_xlfn.XLOOKUP($A2130,Games!$A$2:$A$18,Games!$N$2:$N$18,"Missing game",0)</x:f>
        <x:v>dome</x:v>
      </x:c>
      <x:c r="AT2130" t="str">
        <x:f>_xlfn.XLOOKUP($A2130,Games!$A$2:$A$18,Games!$O$2:$O$18,"Missing game",0)</x:f>
        <x:v>sportturf</x:v>
      </x:c>
      <x:c r="AU2130" t="str">
        <x:f>_xlfn.XLOOKUP($A2130,Games!$A$2:$A$18,Games!$P$2:$P$18,"Missing game",0)</x:f>
      </x:c>
      <x:c r="AV2130" t="str">
        <x:f>_xlfn.XLOOKUP($A2130,Games!$A$2:$A$18,Games!$Q$2:$Q$18,"Missing game",0)</x:f>
      </x:c>
      <x:c r="AW2130" t="str">
        <x:f>_xlfn.XLOOKUP($A2130,Games!$A$2:$A$18,Games!$R$2:$R$18,"Missing game",0)</x:f>
        <x:v>U.S. Bank Stadium</x:v>
      </x:c>
    </x:row>
    <x:row r="2131">
      <x:c r="A2131" t="str">
        <x:v>2025_14_WAS_MIN</x:v>
      </x:c>
      <x:c r="B2131" t="n">
        <x:v>2991</x:v>
      </x:c>
      <x:c r="C2131" t="n">
        <x:v>4</x:v>
      </x:c>
      <x:c r="D2131" t="str">
        <x:v>10:52</x:v>
      </x:c>
      <x:c r="E2131" t="n">
        <x:v>1</x:v>
      </x:c>
      <x:c r="F2131" t="n">
        <x:v>10</x:v>
      </x:c>
      <x:c r="G2131" t="str">
        <x:v>WAS</x:v>
      </x:c>
      <x:c r="H2131" t="str">
        <x:v>MIN</x:v>
      </x:c>
      <x:c r="I2131" t="str">
        <x:v>MIN</x:v>
      </x:c>
      <x:c r="J2131" t="n">
        <x:v>46</x:v>
      </x:c>
      <x:c r="K2131" t="str">
        <x:v>(10:52) (No Huddle, Shotgun) 22-J.Croskey-Merritt up the middle to MIN 38 for 8 yards (55-E.Wilson; 44-J.Metellus).</x:v>
      </x:c>
      <x:c r="L2131" t="str">
        <x:v>run</x:v>
      </x:c>
      <x:c r="M2131" t="n">
        <x:v>8</x:v>
      </x:c>
      <x:c r="N2131" t="n">
        <x:v>1</x:v>
      </x:c>
      <x:c r="O2131" t="n">
        <x:v>1</x:v>
      </x:c>
      <x:c r="P2131"/>
      <x:c r="Q2131"/>
      <x:c r="R2131"/>
      <x:c r="S2131"/>
      <x:c r="T2131" t="str">
        <x:v>middle</x:v>
      </x:c>
      <x:c r="U2131"/>
      <x:c r="V2131" t="n">
        <x:v>0</x:v>
      </x:c>
      <x:c r="W2131" t="n">
        <x:v>0</x:v>
      </x:c>
      <x:c r="X2131" t="n">
        <x:v>0</x:v>
      </x:c>
      <x:c r="Y2131" t="n">
        <x:v>0</x:v>
      </x:c>
      <x:c r="Z2131" t="n">
        <x:v>0</x:v>
      </x:c>
      <x:c r="AA2131" t="n">
        <x:v>0</x:v>
      </x:c>
      <x:c r="AB2131"/>
      <x:c r="AC2131" t="n">
        <x:v>0</x:v>
      </x:c>
      <x:c r="AD2131" t="n">
        <x:v>0.4755944947246462</x:v>
      </x:c>
      <x:c r="AE2131" t="n">
        <x:v>1</x:v>
      </x:c>
      <x:c r="AF2131" t="n">
        <x:v>0.000049464630137663335</x:v>
      </x:c>
      <x:c r="AG2131" t="n">
        <x:f>_xlfn.XLOOKUP($A2131,Games!$A$2:$A$18,Games!$B$2:$B$18,"Missing game",0)</x:f>
        <x:v>2025</x:v>
      </x:c>
      <x:c r="AH2131" t="str">
        <x:f>_xlfn.XLOOKUP($A2131,Games!$A$2:$A$18,Games!$C$2:$C$18,"Missing game",0)</x:f>
        <x:v>REG</x:v>
      </x:c>
      <x:c r="AI2131" t="n">
        <x:f>_xlfn.XLOOKUP($A2131,Games!$A$2:$A$18,Games!$D$2:$D$18,"Missing game",0)</x:f>
        <x:v>14</x:v>
      </x:c>
      <x:c r="AJ2131" s="1" t="n">
        <x:f>_xlfn.XLOOKUP($A2131,Games!$A$2:$A$18,Games!$E$2:$E$18,"Missing game",0)</x:f>
        <x:v>45998</x:v>
      </x:c>
      <x:c r="AK2131" t="str">
        <x:f>_xlfn.XLOOKUP($A2131,Games!$A$2:$A$18,Games!$F$2:$F$18,"Missing game",0)</x:f>
        <x:v>Sunday</x:v>
      </x:c>
      <x:c r="AL2131" t="str">
        <x:f>_xlfn.XLOOKUP($A2131,Games!$A$2:$A$18,Games!$G$2:$G$18,"Missing game",0)</x:f>
        <x:v>WAS</x:v>
      </x:c>
      <x:c r="AM2131" t="n">
        <x:f>_xlfn.XLOOKUP($A2131,Games!$A$2:$A$18,Games!$H$2:$H$18,"Missing game",0)</x:f>
        <x:v>0</x:v>
      </x:c>
      <x:c r="AN2131" t="str">
        <x:f>_xlfn.XLOOKUP($A2131,Games!$A$2:$A$18,Games!$I$2:$I$18,"Missing game",0)</x:f>
        <x:v>MIN</x:v>
      </x:c>
      <x:c r="AO2131" t="n">
        <x:f>_xlfn.XLOOKUP($A2131,Games!$A$2:$A$18,Games!$J$2:$J$18,"Missing game",0)</x:f>
        <x:v>31</x:v>
      </x:c>
      <x:c r="AP2131" t="n">
        <x:f>_xlfn.XLOOKUP($A2131,Games!$A$2:$A$18,Games!$K$2:$K$18,"Missing game",0)</x:f>
        <x:v>31</x:v>
      </x:c>
      <x:c r="AQ2131" t="n">
        <x:f>_xlfn.XLOOKUP($A2131,Games!$A$2:$A$18,Games!$L$2:$L$18,"Missing game",0)</x:f>
        <x:v>31</x:v>
      </x:c>
      <x:c r="AR2131" t="n">
        <x:f>_xlfn.XLOOKUP($A2131,Games!$A$2:$A$18,Games!$M$2:$M$18,"Missing game",0)</x:f>
        <x:v>0</x:v>
      </x:c>
      <x:c r="AS2131" t="str">
        <x:f>_xlfn.XLOOKUP($A2131,Games!$A$2:$A$18,Games!$N$2:$N$18,"Missing game",0)</x:f>
        <x:v>dome</x:v>
      </x:c>
      <x:c r="AT2131" t="str">
        <x:f>_xlfn.XLOOKUP($A2131,Games!$A$2:$A$18,Games!$O$2:$O$18,"Missing game",0)</x:f>
        <x:v>sportturf</x:v>
      </x:c>
      <x:c r="AU2131" t="str">
        <x:f>_xlfn.XLOOKUP($A2131,Games!$A$2:$A$18,Games!$P$2:$P$18,"Missing game",0)</x:f>
      </x:c>
      <x:c r="AV2131" t="str">
        <x:f>_xlfn.XLOOKUP($A2131,Games!$A$2:$A$18,Games!$Q$2:$Q$18,"Missing game",0)</x:f>
      </x:c>
      <x:c r="AW2131" t="str">
        <x:f>_xlfn.XLOOKUP($A2131,Games!$A$2:$A$18,Games!$R$2:$R$18,"Missing game",0)</x:f>
        <x:v>U.S. Bank Stadium</x:v>
      </x:c>
    </x:row>
    <x:row r="2132">
      <x:c r="A2132" t="str">
        <x:v>2025_14_WAS_MIN</x:v>
      </x:c>
      <x:c r="B2132" t="n">
        <x:v>3013</x:v>
      </x:c>
      <x:c r="C2132" t="n">
        <x:v>4</x:v>
      </x:c>
      <x:c r="D2132" t="str">
        <x:v>10:09</x:v>
      </x:c>
      <x:c r="E2132" t="n">
        <x:v>2</x:v>
      </x:c>
      <x:c r="F2132" t="n">
        <x:v>2</x:v>
      </x:c>
      <x:c r="G2132" t="str">
        <x:v>WAS</x:v>
      </x:c>
      <x:c r="H2132" t="str">
        <x:v>MIN</x:v>
      </x:c>
      <x:c r="I2132" t="str">
        <x:v>MIN</x:v>
      </x:c>
      <x:c r="J2132" t="n">
        <x:v>38</x:v>
      </x:c>
      <x:c r="K2132" t="str">
        <x:v>(10:09) (No Huddle) 22-J.Croskey-Merritt left end pushed ob at MIN 28 for 10 yards (51-B.Cashman).</x:v>
      </x:c>
      <x:c r="L2132" t="str">
        <x:v>run</x:v>
      </x:c>
      <x:c r="M2132" t="n">
        <x:v>10</x:v>
      </x:c>
      <x:c r="N2132" t="n">
        <x:v>0</x:v>
      </x:c>
      <x:c r="O2132" t="n">
        <x:v>1</x:v>
      </x:c>
      <x:c r="P2132"/>
      <x:c r="Q2132"/>
      <x:c r="R2132"/>
      <x:c r="S2132"/>
      <x:c r="T2132" t="str">
        <x:v>left</x:v>
      </x:c>
      <x:c r="U2132" t="str">
        <x:v>end</x:v>
      </x:c>
      <x:c r="V2132" t="n">
        <x:v>0</x:v>
      </x:c>
      <x:c r="W2132" t="n">
        <x:v>1</x:v>
      </x:c>
      <x:c r="X2132" t="n">
        <x:v>0</x:v>
      </x:c>
      <x:c r="Y2132" t="n">
        <x:v>0</x:v>
      </x:c>
      <x:c r="Z2132" t="n">
        <x:v>0</x:v>
      </x:c>
      <x:c r="AA2132" t="n">
        <x:v>0</x:v>
      </x:c>
      <x:c r="AB2132"/>
      <x:c r="AC2132" t="n">
        <x:v>0</x:v>
      </x:c>
      <x:c r="AD2132" t="n">
        <x:v>0.5140808837022632</x:v>
      </x:c>
      <x:c r="AE2132" t="n">
        <x:v>1</x:v>
      </x:c>
      <x:c r="AF2132" t="n">
        <x:v>-0.000045915810915175825</x:v>
      </x:c>
      <x:c r="AG2132" t="n">
        <x:f>_xlfn.XLOOKUP($A2132,Games!$A$2:$A$18,Games!$B$2:$B$18,"Missing game",0)</x:f>
        <x:v>2025</x:v>
      </x:c>
      <x:c r="AH2132" t="str">
        <x:f>_xlfn.XLOOKUP($A2132,Games!$A$2:$A$18,Games!$C$2:$C$18,"Missing game",0)</x:f>
        <x:v>REG</x:v>
      </x:c>
      <x:c r="AI2132" t="n">
        <x:f>_xlfn.XLOOKUP($A2132,Games!$A$2:$A$18,Games!$D$2:$D$18,"Missing game",0)</x:f>
        <x:v>14</x:v>
      </x:c>
      <x:c r="AJ2132" s="1" t="n">
        <x:f>_xlfn.XLOOKUP($A2132,Games!$A$2:$A$18,Games!$E$2:$E$18,"Missing game",0)</x:f>
        <x:v>45998</x:v>
      </x:c>
      <x:c r="AK2132" t="str">
        <x:f>_xlfn.XLOOKUP($A2132,Games!$A$2:$A$18,Games!$F$2:$F$18,"Missing game",0)</x:f>
        <x:v>Sunday</x:v>
      </x:c>
      <x:c r="AL2132" t="str">
        <x:f>_xlfn.XLOOKUP($A2132,Games!$A$2:$A$18,Games!$G$2:$G$18,"Missing game",0)</x:f>
        <x:v>WAS</x:v>
      </x:c>
      <x:c r="AM2132" t="n">
        <x:f>_xlfn.XLOOKUP($A2132,Games!$A$2:$A$18,Games!$H$2:$H$18,"Missing game",0)</x:f>
        <x:v>0</x:v>
      </x:c>
      <x:c r="AN2132" t="str">
        <x:f>_xlfn.XLOOKUP($A2132,Games!$A$2:$A$18,Games!$I$2:$I$18,"Missing game",0)</x:f>
        <x:v>MIN</x:v>
      </x:c>
      <x:c r="AO2132" t="n">
        <x:f>_xlfn.XLOOKUP($A2132,Games!$A$2:$A$18,Games!$J$2:$J$18,"Missing game",0)</x:f>
        <x:v>31</x:v>
      </x:c>
      <x:c r="AP2132" t="n">
        <x:f>_xlfn.XLOOKUP($A2132,Games!$A$2:$A$18,Games!$K$2:$K$18,"Missing game",0)</x:f>
        <x:v>31</x:v>
      </x:c>
      <x:c r="AQ2132" t="n">
        <x:f>_xlfn.XLOOKUP($A2132,Games!$A$2:$A$18,Games!$L$2:$L$18,"Missing game",0)</x:f>
        <x:v>31</x:v>
      </x:c>
      <x:c r="AR2132" t="n">
        <x:f>_xlfn.XLOOKUP($A2132,Games!$A$2:$A$18,Games!$M$2:$M$18,"Missing game",0)</x:f>
        <x:v>0</x:v>
      </x:c>
      <x:c r="AS2132" t="str">
        <x:f>_xlfn.XLOOKUP($A2132,Games!$A$2:$A$18,Games!$N$2:$N$18,"Missing game",0)</x:f>
        <x:v>dome</x:v>
      </x:c>
      <x:c r="AT2132" t="str">
        <x:f>_xlfn.XLOOKUP($A2132,Games!$A$2:$A$18,Games!$O$2:$O$18,"Missing game",0)</x:f>
        <x:v>sportturf</x:v>
      </x:c>
      <x:c r="AU2132" t="str">
        <x:f>_xlfn.XLOOKUP($A2132,Games!$A$2:$A$18,Games!$P$2:$P$18,"Missing game",0)</x:f>
      </x:c>
      <x:c r="AV2132" t="str">
        <x:f>_xlfn.XLOOKUP($A2132,Games!$A$2:$A$18,Games!$Q$2:$Q$18,"Missing game",0)</x:f>
      </x:c>
      <x:c r="AW2132" t="str">
        <x:f>_xlfn.XLOOKUP($A2132,Games!$A$2:$A$18,Games!$R$2:$R$18,"Missing game",0)</x:f>
        <x:v>U.S. Bank Stadium</x:v>
      </x:c>
    </x:row>
    <x:row r="2133">
      <x:c r="A2133" t="str">
        <x:v>2025_14_WAS_MIN</x:v>
      </x:c>
      <x:c r="B2133" t="n">
        <x:v>3040</x:v>
      </x:c>
      <x:c r="C2133" t="n">
        <x:v>4</x:v>
      </x:c>
      <x:c r="D2133" t="str">
        <x:v>09:30</x:v>
      </x:c>
      <x:c r="E2133" t="n">
        <x:v>1</x:v>
      </x:c>
      <x:c r="F2133" t="n">
        <x:v>10</x:v>
      </x:c>
      <x:c r="G2133" t="str">
        <x:v>WAS</x:v>
      </x:c>
      <x:c r="H2133" t="str">
        <x:v>MIN</x:v>
      </x:c>
      <x:c r="I2133" t="str">
        <x:v>MIN</x:v>
      </x:c>
      <x:c r="J2133" t="n">
        <x:v>28</x:v>
      </x:c>
      <x:c r="K2133" t="str">
        <x:v>(9:30) (No Huddle) 22-J.Croskey-Merritt left guard to MIN 27 for 1 yard (15-D.Turner).</x:v>
      </x:c>
      <x:c r="L2133" t="str">
        <x:v>run</x:v>
      </x:c>
      <x:c r="M2133" t="n">
        <x:v>1</x:v>
      </x:c>
      <x:c r="N2133" t="n">
        <x:v>0</x:v>
      </x:c>
      <x:c r="O2133" t="n">
        <x:v>1</x:v>
      </x:c>
      <x:c r="P2133"/>
      <x:c r="Q2133"/>
      <x:c r="R2133"/>
      <x:c r="S2133"/>
      <x:c r="T2133" t="str">
        <x:v>left</x:v>
      </x:c>
      <x:c r="U2133" t="str">
        <x:v>guard</x:v>
      </x:c>
      <x:c r="V2133" t="n">
        <x:v>0</x:v>
      </x:c>
      <x:c r="W2133" t="n">
        <x:v>0</x:v>
      </x:c>
      <x:c r="X2133" t="n">
        <x:v>0</x:v>
      </x:c>
      <x:c r="Y2133" t="n">
        <x:v>0</x:v>
      </x:c>
      <x:c r="Z2133" t="n">
        <x:v>0</x:v>
      </x:c>
      <x:c r="AA2133" t="n">
        <x:v>0</x:v>
      </x:c>
      <x:c r="AB2133"/>
      <x:c r="AC2133" t="n">
        <x:v>0</x:v>
      </x:c>
      <x:c r="AD2133" t="n">
        <x:v>-0.44475992990192026</x:v>
      </x:c>
      <x:c r="AE2133" t="n">
        <x:v>0</x:v>
      </x:c>
      <x:c r="AF2133" t="n">
        <x:v>0.00001204117143061012</x:v>
      </x:c>
      <x:c r="AG2133" t="n">
        <x:f>_xlfn.XLOOKUP($A2133,Games!$A$2:$A$18,Games!$B$2:$B$18,"Missing game",0)</x:f>
        <x:v>2025</x:v>
      </x:c>
      <x:c r="AH2133" t="str">
        <x:f>_xlfn.XLOOKUP($A2133,Games!$A$2:$A$18,Games!$C$2:$C$18,"Missing game",0)</x:f>
        <x:v>REG</x:v>
      </x:c>
      <x:c r="AI2133" t="n">
        <x:f>_xlfn.XLOOKUP($A2133,Games!$A$2:$A$18,Games!$D$2:$D$18,"Missing game",0)</x:f>
        <x:v>14</x:v>
      </x:c>
      <x:c r="AJ2133" s="1" t="n">
        <x:f>_xlfn.XLOOKUP($A2133,Games!$A$2:$A$18,Games!$E$2:$E$18,"Missing game",0)</x:f>
        <x:v>45998</x:v>
      </x:c>
      <x:c r="AK2133" t="str">
        <x:f>_xlfn.XLOOKUP($A2133,Games!$A$2:$A$18,Games!$F$2:$F$18,"Missing game",0)</x:f>
        <x:v>Sunday</x:v>
      </x:c>
      <x:c r="AL2133" t="str">
        <x:f>_xlfn.XLOOKUP($A2133,Games!$A$2:$A$18,Games!$G$2:$G$18,"Missing game",0)</x:f>
        <x:v>WAS</x:v>
      </x:c>
      <x:c r="AM2133" t="n">
        <x:f>_xlfn.XLOOKUP($A2133,Games!$A$2:$A$18,Games!$H$2:$H$18,"Missing game",0)</x:f>
        <x:v>0</x:v>
      </x:c>
      <x:c r="AN2133" t="str">
        <x:f>_xlfn.XLOOKUP($A2133,Games!$A$2:$A$18,Games!$I$2:$I$18,"Missing game",0)</x:f>
        <x:v>MIN</x:v>
      </x:c>
      <x:c r="AO2133" t="n">
        <x:f>_xlfn.XLOOKUP($A2133,Games!$A$2:$A$18,Games!$J$2:$J$18,"Missing game",0)</x:f>
        <x:v>31</x:v>
      </x:c>
      <x:c r="AP2133" t="n">
        <x:f>_xlfn.XLOOKUP($A2133,Games!$A$2:$A$18,Games!$K$2:$K$18,"Missing game",0)</x:f>
        <x:v>31</x:v>
      </x:c>
      <x:c r="AQ2133" t="n">
        <x:f>_xlfn.XLOOKUP($A2133,Games!$A$2:$A$18,Games!$L$2:$L$18,"Missing game",0)</x:f>
        <x:v>31</x:v>
      </x:c>
      <x:c r="AR2133" t="n">
        <x:f>_xlfn.XLOOKUP($A2133,Games!$A$2:$A$18,Games!$M$2:$M$18,"Missing game",0)</x:f>
        <x:v>0</x:v>
      </x:c>
      <x:c r="AS2133" t="str">
        <x:f>_xlfn.XLOOKUP($A2133,Games!$A$2:$A$18,Games!$N$2:$N$18,"Missing game",0)</x:f>
        <x:v>dome</x:v>
      </x:c>
      <x:c r="AT2133" t="str">
        <x:f>_xlfn.XLOOKUP($A2133,Games!$A$2:$A$18,Games!$O$2:$O$18,"Missing game",0)</x:f>
        <x:v>sportturf</x:v>
      </x:c>
      <x:c r="AU2133" t="str">
        <x:f>_xlfn.XLOOKUP($A2133,Games!$A$2:$A$18,Games!$P$2:$P$18,"Missing game",0)</x:f>
      </x:c>
      <x:c r="AV2133" t="str">
        <x:f>_xlfn.XLOOKUP($A2133,Games!$A$2:$A$18,Games!$Q$2:$Q$18,"Missing game",0)</x:f>
      </x:c>
      <x:c r="AW2133" t="str">
        <x:f>_xlfn.XLOOKUP($A2133,Games!$A$2:$A$18,Games!$R$2:$R$18,"Missing game",0)</x:f>
        <x:v>U.S. Bank Stadium</x:v>
      </x:c>
    </x:row>
    <x:row r="2134">
      <x:c r="A2134" t="str">
        <x:v>2025_14_WAS_MIN</x:v>
      </x:c>
      <x:c r="B2134" t="n">
        <x:v>3062</x:v>
      </x:c>
      <x:c r="C2134" t="n">
        <x:v>4</x:v>
      </x:c>
      <x:c r="D2134" t="str">
        <x:v>08:48</x:v>
      </x:c>
      <x:c r="E2134" t="n">
        <x:v>2</x:v>
      </x:c>
      <x:c r="F2134" t="n">
        <x:v>9</x:v>
      </x:c>
      <x:c r="G2134" t="str">
        <x:v>WAS</x:v>
      </x:c>
      <x:c r="H2134" t="str">
        <x:v>MIN</x:v>
      </x:c>
      <x:c r="I2134" t="str">
        <x:v>MIN</x:v>
      </x:c>
      <x:c r="J2134" t="n">
        <x:v>27</x:v>
      </x:c>
      <x:c r="K2134" t="str">
        <x:v>(8:48) (No Huddle, Shotgun) 8-M.Mariota scrambles right end to MIN 24 for 3 yards (55-E.Wilson).</x:v>
      </x:c>
      <x:c r="L2134" t="str">
        <x:v>run</x:v>
      </x:c>
      <x:c r="M2134" t="n">
        <x:v>3</x:v>
      </x:c>
      <x:c r="N2134" t="n">
        <x:v>1</x:v>
      </x:c>
      <x:c r="O2134" t="n">
        <x:v>1</x:v>
      </x:c>
      <x:c r="P2134"/>
      <x:c r="Q2134"/>
      <x:c r="R2134"/>
      <x:c r="S2134"/>
      <x:c r="T2134" t="str">
        <x:v>right</x:v>
      </x:c>
      <x:c r="U2134" t="str">
        <x:v>end</x:v>
      </x:c>
      <x:c r="V2134" t="n">
        <x:v>0</x:v>
      </x:c>
      <x:c r="W2134" t="n">
        <x:v>0</x:v>
      </x:c>
      <x:c r="X2134" t="n">
        <x:v>0</x:v>
      </x:c>
      <x:c r="Y2134" t="n">
        <x:v>0</x:v>
      </x:c>
      <x:c r="Z2134" t="n">
        <x:v>0</x:v>
      </x:c>
      <x:c r="AA2134" t="n">
        <x:v>0</x:v>
      </x:c>
      <x:c r="AB2134"/>
      <x:c r="AC2134" t="n">
        <x:v>0</x:v>
      </x:c>
      <x:c r="AD2134" t="n">
        <x:v>-0.25240005063824356</x:v>
      </x:c>
      <x:c r="AE2134" t="n">
        <x:v>0</x:v>
      </x:c>
      <x:c r="AF2134" t="n">
        <x:v>0.000007590890163555741</x:v>
      </x:c>
      <x:c r="AG2134" t="n">
        <x:f>_xlfn.XLOOKUP($A2134,Games!$A$2:$A$18,Games!$B$2:$B$18,"Missing game",0)</x:f>
        <x:v>2025</x:v>
      </x:c>
      <x:c r="AH2134" t="str">
        <x:f>_xlfn.XLOOKUP($A2134,Games!$A$2:$A$18,Games!$C$2:$C$18,"Missing game",0)</x:f>
        <x:v>REG</x:v>
      </x:c>
      <x:c r="AI2134" t="n">
        <x:f>_xlfn.XLOOKUP($A2134,Games!$A$2:$A$18,Games!$D$2:$D$18,"Missing game",0)</x:f>
        <x:v>14</x:v>
      </x:c>
      <x:c r="AJ2134" s="1" t="n">
        <x:f>_xlfn.XLOOKUP($A2134,Games!$A$2:$A$18,Games!$E$2:$E$18,"Missing game",0)</x:f>
        <x:v>45998</x:v>
      </x:c>
      <x:c r="AK2134" t="str">
        <x:f>_xlfn.XLOOKUP($A2134,Games!$A$2:$A$18,Games!$F$2:$F$18,"Missing game",0)</x:f>
        <x:v>Sunday</x:v>
      </x:c>
      <x:c r="AL2134" t="str">
        <x:f>_xlfn.XLOOKUP($A2134,Games!$A$2:$A$18,Games!$G$2:$G$18,"Missing game",0)</x:f>
        <x:v>WAS</x:v>
      </x:c>
      <x:c r="AM2134" t="n">
        <x:f>_xlfn.XLOOKUP($A2134,Games!$A$2:$A$18,Games!$H$2:$H$18,"Missing game",0)</x:f>
        <x:v>0</x:v>
      </x:c>
      <x:c r="AN2134" t="str">
        <x:f>_xlfn.XLOOKUP($A2134,Games!$A$2:$A$18,Games!$I$2:$I$18,"Missing game",0)</x:f>
        <x:v>MIN</x:v>
      </x:c>
      <x:c r="AO2134" t="n">
        <x:f>_xlfn.XLOOKUP($A2134,Games!$A$2:$A$18,Games!$J$2:$J$18,"Missing game",0)</x:f>
        <x:v>31</x:v>
      </x:c>
      <x:c r="AP2134" t="n">
        <x:f>_xlfn.XLOOKUP($A2134,Games!$A$2:$A$18,Games!$K$2:$K$18,"Missing game",0)</x:f>
        <x:v>31</x:v>
      </x:c>
      <x:c r="AQ2134" t="n">
        <x:f>_xlfn.XLOOKUP($A2134,Games!$A$2:$A$18,Games!$L$2:$L$18,"Missing game",0)</x:f>
        <x:v>31</x:v>
      </x:c>
      <x:c r="AR2134" t="n">
        <x:f>_xlfn.XLOOKUP($A2134,Games!$A$2:$A$18,Games!$M$2:$M$18,"Missing game",0)</x:f>
        <x:v>0</x:v>
      </x:c>
      <x:c r="AS2134" t="str">
        <x:f>_xlfn.XLOOKUP($A2134,Games!$A$2:$A$18,Games!$N$2:$N$18,"Missing game",0)</x:f>
        <x:v>dome</x:v>
      </x:c>
      <x:c r="AT2134" t="str">
        <x:f>_xlfn.XLOOKUP($A2134,Games!$A$2:$A$18,Games!$O$2:$O$18,"Missing game",0)</x:f>
        <x:v>sportturf</x:v>
      </x:c>
      <x:c r="AU2134" t="str">
        <x:f>_xlfn.XLOOKUP($A2134,Games!$A$2:$A$18,Games!$P$2:$P$18,"Missing game",0)</x:f>
      </x:c>
      <x:c r="AV2134" t="str">
        <x:f>_xlfn.XLOOKUP($A2134,Games!$A$2:$A$18,Games!$Q$2:$Q$18,"Missing game",0)</x:f>
      </x:c>
      <x:c r="AW2134" t="str">
        <x:f>_xlfn.XLOOKUP($A2134,Games!$A$2:$A$18,Games!$R$2:$R$18,"Missing game",0)</x:f>
        <x:v>U.S. Bank Stadium</x:v>
      </x:c>
    </x:row>
    <x:row r="2135">
      <x:c r="A2135" t="str">
        <x:v>2025_14_WAS_MIN</x:v>
      </x:c>
      <x:c r="B2135" t="n">
        <x:v>3084</x:v>
      </x:c>
      <x:c r="C2135" t="n">
        <x:v>4</x:v>
      </x:c>
      <x:c r="D2135" t="str">
        <x:v>08:02</x:v>
      </x:c>
      <x:c r="E2135" t="n">
        <x:v>3</x:v>
      </x:c>
      <x:c r="F2135" t="n">
        <x:v>6</x:v>
      </x:c>
      <x:c r="G2135" t="str">
        <x:v>WAS</x:v>
      </x:c>
      <x:c r="H2135" t="str">
        <x:v>MIN</x:v>
      </x:c>
      <x:c r="I2135" t="str">
        <x:v>MIN</x:v>
      </x:c>
      <x:c r="J2135" t="n">
        <x:v>24</x:v>
      </x:c>
      <x:c r="K2135" t="str">
        <x:v>(8:02) (No Huddle, Shotgun) 8-M.Mariota scrambles right end to MIN 20 for 4 yards (97-J.Hargrave; 43-A.Van Ginkel). FUMBLES (97-J.Hargrave), RECOVERED by MIN-97-J.Hargrave at MIN 17.</x:v>
      </x:c>
      <x:c r="L2135" t="str">
        <x:v>run</x:v>
      </x:c>
      <x:c r="M2135" t="n">
        <x:v>4</x:v>
      </x:c>
      <x:c r="N2135" t="n">
        <x:v>1</x:v>
      </x:c>
      <x:c r="O2135" t="n">
        <x:v>1</x:v>
      </x:c>
      <x:c r="P2135"/>
      <x:c r="Q2135"/>
      <x:c r="R2135"/>
      <x:c r="S2135"/>
      <x:c r="T2135" t="str">
        <x:v>right</x:v>
      </x:c>
      <x:c r="U2135" t="str">
        <x:v>end</x:v>
      </x:c>
      <x:c r="V2135" t="n">
        <x:v>0</x:v>
      </x:c>
      <x:c r="W2135" t="n">
        <x:v>0</x:v>
      </x:c>
      <x:c r="X2135" t="n">
        <x:v>0</x:v>
      </x:c>
      <x:c r="Y2135" t="n">
        <x:v>0</x:v>
      </x:c>
      <x:c r="Z2135" t="n">
        <x:v>1</x:v>
      </x:c>
      <x:c r="AA2135" t="n">
        <x:v>0</x:v>
      </x:c>
      <x:c r="AB2135"/>
      <x:c r="AC2135" t="n">
        <x:v>0</x:v>
      </x:c>
      <x:c r="AD2135" t="n">
        <x:v>-4.322573279845528</x:v>
      </x:c>
      <x:c r="AE2135" t="n">
        <x:v>0</x:v>
      </x:c>
      <x:c r="AF2135" t="n">
        <x:v>0.00004773213731823489</x:v>
      </x:c>
      <x:c r="AG2135" t="n">
        <x:f>_xlfn.XLOOKUP($A2135,Games!$A$2:$A$18,Games!$B$2:$B$18,"Missing game",0)</x:f>
        <x:v>2025</x:v>
      </x:c>
      <x:c r="AH2135" t="str">
        <x:f>_xlfn.XLOOKUP($A2135,Games!$A$2:$A$18,Games!$C$2:$C$18,"Missing game",0)</x:f>
        <x:v>REG</x:v>
      </x:c>
      <x:c r="AI2135" t="n">
        <x:f>_xlfn.XLOOKUP($A2135,Games!$A$2:$A$18,Games!$D$2:$D$18,"Missing game",0)</x:f>
        <x:v>14</x:v>
      </x:c>
      <x:c r="AJ2135" s="1" t="n">
        <x:f>_xlfn.XLOOKUP($A2135,Games!$A$2:$A$18,Games!$E$2:$E$18,"Missing game",0)</x:f>
        <x:v>45998</x:v>
      </x:c>
      <x:c r="AK2135" t="str">
        <x:f>_xlfn.XLOOKUP($A2135,Games!$A$2:$A$18,Games!$F$2:$F$18,"Missing game",0)</x:f>
        <x:v>Sunday</x:v>
      </x:c>
      <x:c r="AL2135" t="str">
        <x:f>_xlfn.XLOOKUP($A2135,Games!$A$2:$A$18,Games!$G$2:$G$18,"Missing game",0)</x:f>
        <x:v>WAS</x:v>
      </x:c>
      <x:c r="AM2135" t="n">
        <x:f>_xlfn.XLOOKUP($A2135,Games!$A$2:$A$18,Games!$H$2:$H$18,"Missing game",0)</x:f>
        <x:v>0</x:v>
      </x:c>
      <x:c r="AN2135" t="str">
        <x:f>_xlfn.XLOOKUP($A2135,Games!$A$2:$A$18,Games!$I$2:$I$18,"Missing game",0)</x:f>
        <x:v>MIN</x:v>
      </x:c>
      <x:c r="AO2135" t="n">
        <x:f>_xlfn.XLOOKUP($A2135,Games!$A$2:$A$18,Games!$J$2:$J$18,"Missing game",0)</x:f>
        <x:v>31</x:v>
      </x:c>
      <x:c r="AP2135" t="n">
        <x:f>_xlfn.XLOOKUP($A2135,Games!$A$2:$A$18,Games!$K$2:$K$18,"Missing game",0)</x:f>
        <x:v>31</x:v>
      </x:c>
      <x:c r="AQ2135" t="n">
        <x:f>_xlfn.XLOOKUP($A2135,Games!$A$2:$A$18,Games!$L$2:$L$18,"Missing game",0)</x:f>
        <x:v>31</x:v>
      </x:c>
      <x:c r="AR2135" t="n">
        <x:f>_xlfn.XLOOKUP($A2135,Games!$A$2:$A$18,Games!$M$2:$M$18,"Missing game",0)</x:f>
        <x:v>0</x:v>
      </x:c>
      <x:c r="AS2135" t="str">
        <x:f>_xlfn.XLOOKUP($A2135,Games!$A$2:$A$18,Games!$N$2:$N$18,"Missing game",0)</x:f>
        <x:v>dome</x:v>
      </x:c>
      <x:c r="AT2135" t="str">
        <x:f>_xlfn.XLOOKUP($A2135,Games!$A$2:$A$18,Games!$O$2:$O$18,"Missing game",0)</x:f>
        <x:v>sportturf</x:v>
      </x:c>
      <x:c r="AU2135" t="str">
        <x:f>_xlfn.XLOOKUP($A2135,Games!$A$2:$A$18,Games!$P$2:$P$18,"Missing game",0)</x:f>
      </x:c>
      <x:c r="AV2135" t="str">
        <x:f>_xlfn.XLOOKUP($A2135,Games!$A$2:$A$18,Games!$Q$2:$Q$18,"Missing game",0)</x:f>
      </x:c>
      <x:c r="AW2135" t="str">
        <x:f>_xlfn.XLOOKUP($A2135,Games!$A$2:$A$18,Games!$R$2:$R$18,"Missing game",0)</x:f>
        <x:v>U.S. Bank Stadium</x:v>
      </x:c>
    </x:row>
    <x:row r="2136">
      <x:c r="A2136" t="str">
        <x:v>2025_14_WAS_MIN</x:v>
      </x:c>
      <x:c r="B2136" t="n">
        <x:v>3127</x:v>
      </x:c>
      <x:c r="C2136" t="n">
        <x:v>4</x:v>
      </x:c>
      <x:c r="D2136" t="str">
        <x:v>07:53</x:v>
      </x:c>
      <x:c r="E2136" t="n">
        <x:v>1</x:v>
      </x:c>
      <x:c r="F2136" t="n">
        <x:v>10</x:v>
      </x:c>
      <x:c r="G2136" t="str">
        <x:v>MIN</x:v>
      </x:c>
      <x:c r="H2136" t="str">
        <x:v>WAS</x:v>
      </x:c>
      <x:c r="I2136" t="str">
        <x:v>MIN</x:v>
      </x:c>
      <x:c r="J2136" t="n">
        <x:v>83</x:v>
      </x:c>
      <x:c r="K2136" t="str">
        <x:v>(7:53) 27-J.Mason left guard to MIN 19 for 2 yards (97-E.Goldman).</x:v>
      </x:c>
      <x:c r="L2136" t="str">
        <x:v>run</x:v>
      </x:c>
      <x:c r="M2136" t="n">
        <x:v>2</x:v>
      </x:c>
      <x:c r="N2136" t="n">
        <x:v>0</x:v>
      </x:c>
      <x:c r="O2136" t="n">
        <x:v>0</x:v>
      </x:c>
      <x:c r="P2136"/>
      <x:c r="Q2136"/>
      <x:c r="R2136"/>
      <x:c r="S2136"/>
      <x:c r="T2136" t="str">
        <x:v>left</x:v>
      </x:c>
      <x:c r="U2136" t="str">
        <x:v>guard</x:v>
      </x:c>
      <x:c r="V2136" t="n">
        <x:v>0</x:v>
      </x:c>
      <x:c r="W2136" t="n">
        <x:v>0</x:v>
      </x:c>
      <x:c r="X2136" t="n">
        <x:v>0</x:v>
      </x:c>
      <x:c r="Y2136" t="n">
        <x:v>0</x:v>
      </x:c>
      <x:c r="Z2136" t="n">
        <x:v>0</x:v>
      </x:c>
      <x:c r="AA2136" t="n">
        <x:v>0</x:v>
      </x:c>
      <x:c r="AB2136"/>
      <x:c r="AC2136" t="n">
        <x:v>0</x:v>
      </x:c>
      <x:c r="AD2136" t="n">
        <x:v>-0.42986536072567105</x:v>
      </x:c>
      <x:c r="AE2136" t="n">
        <x:v>0</x:v>
      </x:c>
      <x:c r="AF2136" t="n">
        <x:v>-0.00003725290298461914</x:v>
      </x:c>
      <x:c r="AG2136" t="n">
        <x:f>_xlfn.XLOOKUP($A2136,Games!$A$2:$A$18,Games!$B$2:$B$18,"Missing game",0)</x:f>
        <x:v>2025</x:v>
      </x:c>
      <x:c r="AH2136" t="str">
        <x:f>_xlfn.XLOOKUP($A2136,Games!$A$2:$A$18,Games!$C$2:$C$18,"Missing game",0)</x:f>
        <x:v>REG</x:v>
      </x:c>
      <x:c r="AI2136" t="n">
        <x:f>_xlfn.XLOOKUP($A2136,Games!$A$2:$A$18,Games!$D$2:$D$18,"Missing game",0)</x:f>
        <x:v>14</x:v>
      </x:c>
      <x:c r="AJ2136" s="1" t="n">
        <x:f>_xlfn.XLOOKUP($A2136,Games!$A$2:$A$18,Games!$E$2:$E$18,"Missing game",0)</x:f>
        <x:v>45998</x:v>
      </x:c>
      <x:c r="AK2136" t="str">
        <x:f>_xlfn.XLOOKUP($A2136,Games!$A$2:$A$18,Games!$F$2:$F$18,"Missing game",0)</x:f>
        <x:v>Sunday</x:v>
      </x:c>
      <x:c r="AL2136" t="str">
        <x:f>_xlfn.XLOOKUP($A2136,Games!$A$2:$A$18,Games!$G$2:$G$18,"Missing game",0)</x:f>
        <x:v>WAS</x:v>
      </x:c>
      <x:c r="AM2136" t="n">
        <x:f>_xlfn.XLOOKUP($A2136,Games!$A$2:$A$18,Games!$H$2:$H$18,"Missing game",0)</x:f>
        <x:v>0</x:v>
      </x:c>
      <x:c r="AN2136" t="str">
        <x:f>_xlfn.XLOOKUP($A2136,Games!$A$2:$A$18,Games!$I$2:$I$18,"Missing game",0)</x:f>
        <x:v>MIN</x:v>
      </x:c>
      <x:c r="AO2136" t="n">
        <x:f>_xlfn.XLOOKUP($A2136,Games!$A$2:$A$18,Games!$J$2:$J$18,"Missing game",0)</x:f>
        <x:v>31</x:v>
      </x:c>
      <x:c r="AP2136" t="n">
        <x:f>_xlfn.XLOOKUP($A2136,Games!$A$2:$A$18,Games!$K$2:$K$18,"Missing game",0)</x:f>
        <x:v>31</x:v>
      </x:c>
      <x:c r="AQ2136" t="n">
        <x:f>_xlfn.XLOOKUP($A2136,Games!$A$2:$A$18,Games!$L$2:$L$18,"Missing game",0)</x:f>
        <x:v>31</x:v>
      </x:c>
      <x:c r="AR2136" t="n">
        <x:f>_xlfn.XLOOKUP($A2136,Games!$A$2:$A$18,Games!$M$2:$M$18,"Missing game",0)</x:f>
        <x:v>0</x:v>
      </x:c>
      <x:c r="AS2136" t="str">
        <x:f>_xlfn.XLOOKUP($A2136,Games!$A$2:$A$18,Games!$N$2:$N$18,"Missing game",0)</x:f>
        <x:v>dome</x:v>
      </x:c>
      <x:c r="AT2136" t="str">
        <x:f>_xlfn.XLOOKUP($A2136,Games!$A$2:$A$18,Games!$O$2:$O$18,"Missing game",0)</x:f>
        <x:v>sportturf</x:v>
      </x:c>
      <x:c r="AU2136" t="str">
        <x:f>_xlfn.XLOOKUP($A2136,Games!$A$2:$A$18,Games!$P$2:$P$18,"Missing game",0)</x:f>
      </x:c>
      <x:c r="AV2136" t="str">
        <x:f>_xlfn.XLOOKUP($A2136,Games!$A$2:$A$18,Games!$Q$2:$Q$18,"Missing game",0)</x:f>
      </x:c>
      <x:c r="AW2136" t="str">
        <x:f>_xlfn.XLOOKUP($A2136,Games!$A$2:$A$18,Games!$R$2:$R$18,"Missing game",0)</x:f>
        <x:v>U.S. Bank Stadium</x:v>
      </x:c>
    </x:row>
    <x:row r="2137">
      <x:c r="A2137" t="str">
        <x:v>2025_14_WAS_MIN</x:v>
      </x:c>
      <x:c r="B2137" t="n">
        <x:v>3156</x:v>
      </x:c>
      <x:c r="C2137" t="n">
        <x:v>4</x:v>
      </x:c>
      <x:c r="D2137" t="str">
        <x:v>07:10</x:v>
      </x:c>
      <x:c r="E2137" t="n">
        <x:v>2</x:v>
      </x:c>
      <x:c r="F2137" t="n">
        <x:v>8</x:v>
      </x:c>
      <x:c r="G2137" t="str">
        <x:v>MIN</x:v>
      </x:c>
      <x:c r="H2137" t="str">
        <x:v>WAS</x:v>
      </x:c>
      <x:c r="I2137" t="str">
        <x:v>MIN</x:v>
      </x:c>
      <x:c r="J2137" t="n">
        <x:v>81</x:v>
      </x:c>
      <x:c r="K2137" t="str">
        <x:v>(7:10) 9-J.McCarthy pass short right to 3-J.Addison pushed ob at MIN 28 for 9 yards (34-A.Hamilton).</x:v>
      </x:c>
      <x:c r="L2137" t="str">
        <x:v>pass</x:v>
      </x:c>
      <x:c r="M2137" t="n">
        <x:v>9</x:v>
      </x:c>
      <x:c r="N2137" t="n">
        <x:v>0</x:v>
      </x:c>
      <x:c r="O2137" t="n">
        <x:v>0</x:v>
      </x:c>
      <x:c r="P2137" t="str">
        <x:v>short</x:v>
      </x:c>
      <x:c r="Q2137" t="str">
        <x:v>right</x:v>
      </x:c>
      <x:c r="R2137" t="n">
        <x:v>6</x:v>
      </x:c>
      <x:c r="S2137" t="n">
        <x:v>3</x:v>
      </x:c>
      <x:c r="T2137"/>
      <x:c r="U2137"/>
      <x:c r="V2137" t="n">
        <x:v>1</x:v>
      </x:c>
      <x:c r="W2137" t="n">
        <x:v>1</x:v>
      </x:c>
      <x:c r="X2137" t="n">
        <x:v>0</x:v>
      </x:c>
      <x:c r="Y2137" t="n">
        <x:v>0</x:v>
      </x:c>
      <x:c r="Z2137" t="n">
        <x:v>0</x:v>
      </x:c>
      <x:c r="AA2137" t="n">
        <x:v>0</x:v>
      </x:c>
      <x:c r="AB2137"/>
      <x:c r="AC2137" t="n">
        <x:v>0</x:v>
      </x:c>
      <x:c r="AD2137" t="n">
        <x:v>0.9473490009550005</x:v>
      </x:c>
      <x:c r="AE2137" t="n">
        <x:v>1</x:v>
      </x:c>
      <x:c r="AF2137" t="n">
        <x:v>0.000033915042877197266</x:v>
      </x:c>
      <x:c r="AG2137" t="n">
        <x:f>_xlfn.XLOOKUP($A2137,Games!$A$2:$A$18,Games!$B$2:$B$18,"Missing game",0)</x:f>
        <x:v>2025</x:v>
      </x:c>
      <x:c r="AH2137" t="str">
        <x:f>_xlfn.XLOOKUP($A2137,Games!$A$2:$A$18,Games!$C$2:$C$18,"Missing game",0)</x:f>
        <x:v>REG</x:v>
      </x:c>
      <x:c r="AI2137" t="n">
        <x:f>_xlfn.XLOOKUP($A2137,Games!$A$2:$A$18,Games!$D$2:$D$18,"Missing game",0)</x:f>
        <x:v>14</x:v>
      </x:c>
      <x:c r="AJ2137" s="1" t="n">
        <x:f>_xlfn.XLOOKUP($A2137,Games!$A$2:$A$18,Games!$E$2:$E$18,"Missing game",0)</x:f>
        <x:v>45998</x:v>
      </x:c>
      <x:c r="AK2137" t="str">
        <x:f>_xlfn.XLOOKUP($A2137,Games!$A$2:$A$18,Games!$F$2:$F$18,"Missing game",0)</x:f>
        <x:v>Sunday</x:v>
      </x:c>
      <x:c r="AL2137" t="str">
        <x:f>_xlfn.XLOOKUP($A2137,Games!$A$2:$A$18,Games!$G$2:$G$18,"Missing game",0)</x:f>
        <x:v>WAS</x:v>
      </x:c>
      <x:c r="AM2137" t="n">
        <x:f>_xlfn.XLOOKUP($A2137,Games!$A$2:$A$18,Games!$H$2:$H$18,"Missing game",0)</x:f>
        <x:v>0</x:v>
      </x:c>
      <x:c r="AN2137" t="str">
        <x:f>_xlfn.XLOOKUP($A2137,Games!$A$2:$A$18,Games!$I$2:$I$18,"Missing game",0)</x:f>
        <x:v>MIN</x:v>
      </x:c>
      <x:c r="AO2137" t="n">
        <x:f>_xlfn.XLOOKUP($A2137,Games!$A$2:$A$18,Games!$J$2:$J$18,"Missing game",0)</x:f>
        <x:v>31</x:v>
      </x:c>
      <x:c r="AP2137" t="n">
        <x:f>_xlfn.XLOOKUP($A2137,Games!$A$2:$A$18,Games!$K$2:$K$18,"Missing game",0)</x:f>
        <x:v>31</x:v>
      </x:c>
      <x:c r="AQ2137" t="n">
        <x:f>_xlfn.XLOOKUP($A2137,Games!$A$2:$A$18,Games!$L$2:$L$18,"Missing game",0)</x:f>
        <x:v>31</x:v>
      </x:c>
      <x:c r="AR2137" t="n">
        <x:f>_xlfn.XLOOKUP($A2137,Games!$A$2:$A$18,Games!$M$2:$M$18,"Missing game",0)</x:f>
        <x:v>0</x:v>
      </x:c>
      <x:c r="AS2137" t="str">
        <x:f>_xlfn.XLOOKUP($A2137,Games!$A$2:$A$18,Games!$N$2:$N$18,"Missing game",0)</x:f>
        <x:v>dome</x:v>
      </x:c>
      <x:c r="AT2137" t="str">
        <x:f>_xlfn.XLOOKUP($A2137,Games!$A$2:$A$18,Games!$O$2:$O$18,"Missing game",0)</x:f>
        <x:v>sportturf</x:v>
      </x:c>
      <x:c r="AU2137" t="str">
        <x:f>_xlfn.XLOOKUP($A2137,Games!$A$2:$A$18,Games!$P$2:$P$18,"Missing game",0)</x:f>
      </x:c>
      <x:c r="AV2137" t="str">
        <x:f>_xlfn.XLOOKUP($A2137,Games!$A$2:$A$18,Games!$Q$2:$Q$18,"Missing game",0)</x:f>
      </x:c>
      <x:c r="AW2137" t="str">
        <x:f>_xlfn.XLOOKUP($A2137,Games!$A$2:$A$18,Games!$R$2:$R$18,"Missing game",0)</x:f>
        <x:v>U.S. Bank Stadium</x:v>
      </x:c>
    </x:row>
    <x:row r="2138">
      <x:c r="A2138" t="str">
        <x:v>2025_14_WAS_MIN</x:v>
      </x:c>
      <x:c r="B2138" t="n">
        <x:v>3186</x:v>
      </x:c>
      <x:c r="C2138" t="n">
        <x:v>4</x:v>
      </x:c>
      <x:c r="D2138" t="str">
        <x:v>06:29</x:v>
      </x:c>
      <x:c r="E2138" t="n">
        <x:v>1</x:v>
      </x:c>
      <x:c r="F2138" t="n">
        <x:v>10</x:v>
      </x:c>
      <x:c r="G2138" t="str">
        <x:v>MIN</x:v>
      </x:c>
      <x:c r="H2138" t="str">
        <x:v>WAS</x:v>
      </x:c>
      <x:c r="I2138" t="str">
        <x:v>MIN</x:v>
      </x:c>
      <x:c r="J2138" t="n">
        <x:v>72</x:v>
      </x:c>
      <x:c r="K2138" t="str">
        <x:v>(6:29) 9-J.McCarthy pass short right to 13-T.Felton pushed ob at MIN 38 for 10 yards (34-A.Hamilton).</x:v>
      </x:c>
      <x:c r="L2138" t="str">
        <x:v>pass</x:v>
      </x:c>
      <x:c r="M2138" t="n">
        <x:v>10</x:v>
      </x:c>
      <x:c r="N2138" t="n">
        <x:v>0</x:v>
      </x:c>
      <x:c r="O2138" t="n">
        <x:v>0</x:v>
      </x:c>
      <x:c r="P2138" t="str">
        <x:v>short</x:v>
      </x:c>
      <x:c r="Q2138" t="str">
        <x:v>right</x:v>
      </x:c>
      <x:c r="R2138" t="n">
        <x:v>-2</x:v>
      </x:c>
      <x:c r="S2138" t="n">
        <x:v>12</x:v>
      </x:c>
      <x:c r="T2138"/>
      <x:c r="U2138"/>
      <x:c r="V2138" t="n">
        <x:v>1</x:v>
      </x:c>
      <x:c r="W2138" t="n">
        <x:v>1</x:v>
      </x:c>
      <x:c r="X2138" t="n">
        <x:v>0</x:v>
      </x:c>
      <x:c r="Y2138" t="n">
        <x:v>0</x:v>
      </x:c>
      <x:c r="Z2138" t="n">
        <x:v>0</x:v>
      </x:c>
      <x:c r="AA2138" t="n">
        <x:v>0</x:v>
      </x:c>
      <x:c r="AB2138"/>
      <x:c r="AC2138" t="n">
        <x:v>0</x:v>
      </x:c>
      <x:c r="AD2138" t="n">
        <x:v>0.6177197026554495</x:v>
      </x:c>
      <x:c r="AE2138" t="n">
        <x:v>1</x:v>
      </x:c>
      <x:c r="AF2138" t="n">
        <x:v>-0.00006133317947387695</x:v>
      </x:c>
      <x:c r="AG2138" t="n">
        <x:f>_xlfn.XLOOKUP($A2138,Games!$A$2:$A$18,Games!$B$2:$B$18,"Missing game",0)</x:f>
        <x:v>2025</x:v>
      </x:c>
      <x:c r="AH2138" t="str">
        <x:f>_xlfn.XLOOKUP($A2138,Games!$A$2:$A$18,Games!$C$2:$C$18,"Missing game",0)</x:f>
        <x:v>REG</x:v>
      </x:c>
      <x:c r="AI2138" t="n">
        <x:f>_xlfn.XLOOKUP($A2138,Games!$A$2:$A$18,Games!$D$2:$D$18,"Missing game",0)</x:f>
        <x:v>14</x:v>
      </x:c>
      <x:c r="AJ2138" s="1" t="n">
        <x:f>_xlfn.XLOOKUP($A2138,Games!$A$2:$A$18,Games!$E$2:$E$18,"Missing game",0)</x:f>
        <x:v>45998</x:v>
      </x:c>
      <x:c r="AK2138" t="str">
        <x:f>_xlfn.XLOOKUP($A2138,Games!$A$2:$A$18,Games!$F$2:$F$18,"Missing game",0)</x:f>
        <x:v>Sunday</x:v>
      </x:c>
      <x:c r="AL2138" t="str">
        <x:f>_xlfn.XLOOKUP($A2138,Games!$A$2:$A$18,Games!$G$2:$G$18,"Missing game",0)</x:f>
        <x:v>WAS</x:v>
      </x:c>
      <x:c r="AM2138" t="n">
        <x:f>_xlfn.XLOOKUP($A2138,Games!$A$2:$A$18,Games!$H$2:$H$18,"Missing game",0)</x:f>
        <x:v>0</x:v>
      </x:c>
      <x:c r="AN2138" t="str">
        <x:f>_xlfn.XLOOKUP($A2138,Games!$A$2:$A$18,Games!$I$2:$I$18,"Missing game",0)</x:f>
        <x:v>MIN</x:v>
      </x:c>
      <x:c r="AO2138" t="n">
        <x:f>_xlfn.XLOOKUP($A2138,Games!$A$2:$A$18,Games!$J$2:$J$18,"Missing game",0)</x:f>
        <x:v>31</x:v>
      </x:c>
      <x:c r="AP2138" t="n">
        <x:f>_xlfn.XLOOKUP($A2138,Games!$A$2:$A$18,Games!$K$2:$K$18,"Missing game",0)</x:f>
        <x:v>31</x:v>
      </x:c>
      <x:c r="AQ2138" t="n">
        <x:f>_xlfn.XLOOKUP($A2138,Games!$A$2:$A$18,Games!$L$2:$L$18,"Missing game",0)</x:f>
        <x:v>31</x:v>
      </x:c>
      <x:c r="AR2138" t="n">
        <x:f>_xlfn.XLOOKUP($A2138,Games!$A$2:$A$18,Games!$M$2:$M$18,"Missing game",0)</x:f>
        <x:v>0</x:v>
      </x:c>
      <x:c r="AS2138" t="str">
        <x:f>_xlfn.XLOOKUP($A2138,Games!$A$2:$A$18,Games!$N$2:$N$18,"Missing game",0)</x:f>
        <x:v>dome</x:v>
      </x:c>
      <x:c r="AT2138" t="str">
        <x:f>_xlfn.XLOOKUP($A2138,Games!$A$2:$A$18,Games!$O$2:$O$18,"Missing game",0)</x:f>
        <x:v>sportturf</x:v>
      </x:c>
      <x:c r="AU2138" t="str">
        <x:f>_xlfn.XLOOKUP($A2138,Games!$A$2:$A$18,Games!$P$2:$P$18,"Missing game",0)</x:f>
      </x:c>
      <x:c r="AV2138" t="str">
        <x:f>_xlfn.XLOOKUP($A2138,Games!$A$2:$A$18,Games!$Q$2:$Q$18,"Missing game",0)</x:f>
      </x:c>
      <x:c r="AW2138" t="str">
        <x:f>_xlfn.XLOOKUP($A2138,Games!$A$2:$A$18,Games!$R$2:$R$18,"Missing game",0)</x:f>
        <x:v>U.S. Bank Stadium</x:v>
      </x:c>
    </x:row>
    <x:row r="2139">
      <x:c r="A2139" t="str">
        <x:v>2025_14_WAS_MIN</x:v>
      </x:c>
      <x:c r="B2139" t="n">
        <x:v>3216</x:v>
      </x:c>
      <x:c r="C2139" t="n">
        <x:v>4</x:v>
      </x:c>
      <x:c r="D2139" t="str">
        <x:v>05:45</x:v>
      </x:c>
      <x:c r="E2139" t="n">
        <x:v>1</x:v>
      </x:c>
      <x:c r="F2139" t="n">
        <x:v>10</x:v>
      </x:c>
      <x:c r="G2139" t="str">
        <x:v>MIN</x:v>
      </x:c>
      <x:c r="H2139" t="str">
        <x:v>WAS</x:v>
      </x:c>
      <x:c r="I2139" t="str">
        <x:v>MIN</x:v>
      </x:c>
      <x:c r="J2139" t="n">
        <x:v>62</x:v>
      </x:c>
      <x:c r="K2139" t="str">
        <x:v>(5:45) 27-J.Mason left end to MIN 35 for -3 yards (54-B.Wagner). PENALTY on WAS-98-S.Day, Defensive Holding, 5 yards, enforced at MIN 38 - No Play.</x:v>
      </x:c>
      <x:c r="L2139" t="str">
        <x:v>no_play</x:v>
      </x:c>
      <x:c r="M2139" t="n">
        <x:v>0</x:v>
      </x:c>
      <x:c r="N2139" t="n">
        <x:v>0</x:v>
      </x:c>
      <x:c r="O2139" t="n">
        <x:v>0</x:v>
      </x:c>
      <x:c r="P2139"/>
      <x:c r="Q2139"/>
      <x:c r="R2139"/>
      <x:c r="S2139"/>
      <x:c r="T2139"/>
      <x:c r="U2139"/>
      <x:c r="V2139" t="n">
        <x:v>0</x:v>
      </x:c>
      <x:c r="W2139" t="n">
        <x:v>1</x:v>
      </x:c>
      <x:c r="X2139" t="n">
        <x:v>0</x:v>
      </x:c>
      <x:c r="Y2139" t="n">
        <x:v>0</x:v>
      </x:c>
      <x:c r="Z2139" t="n">
        <x:v>0</x:v>
      </x:c>
      <x:c r="AA2139" t="n">
        <x:v>1</x:v>
      </x:c>
      <x:c r="AB2139" t="n">
        <x:v>5</x:v>
      </x:c>
      <x:c r="AC2139" t="n">
        <x:v>0</x:v>
      </x:c>
      <x:c r="AD2139" t="n">
        <x:v>0.28489047894254327</x:v>
      </x:c>
      <x:c r="AE2139" t="n">
        <x:v>1</x:v>
      </x:c>
      <x:c r="AF2139" t="n">
        <x:v>0.000007510185241699219</x:v>
      </x:c>
      <x:c r="AG2139" t="n">
        <x:f>_xlfn.XLOOKUP($A2139,Games!$A$2:$A$18,Games!$B$2:$B$18,"Missing game",0)</x:f>
        <x:v>2025</x:v>
      </x:c>
      <x:c r="AH2139" t="str">
        <x:f>_xlfn.XLOOKUP($A2139,Games!$A$2:$A$18,Games!$C$2:$C$18,"Missing game",0)</x:f>
        <x:v>REG</x:v>
      </x:c>
      <x:c r="AI2139" t="n">
        <x:f>_xlfn.XLOOKUP($A2139,Games!$A$2:$A$18,Games!$D$2:$D$18,"Missing game",0)</x:f>
        <x:v>14</x:v>
      </x:c>
      <x:c r="AJ2139" s="1" t="n">
        <x:f>_xlfn.XLOOKUP($A2139,Games!$A$2:$A$18,Games!$E$2:$E$18,"Missing game",0)</x:f>
        <x:v>45998</x:v>
      </x:c>
      <x:c r="AK2139" t="str">
        <x:f>_xlfn.XLOOKUP($A2139,Games!$A$2:$A$18,Games!$F$2:$F$18,"Missing game",0)</x:f>
        <x:v>Sunday</x:v>
      </x:c>
      <x:c r="AL2139" t="str">
        <x:f>_xlfn.XLOOKUP($A2139,Games!$A$2:$A$18,Games!$G$2:$G$18,"Missing game",0)</x:f>
        <x:v>WAS</x:v>
      </x:c>
      <x:c r="AM2139" t="n">
        <x:f>_xlfn.XLOOKUP($A2139,Games!$A$2:$A$18,Games!$H$2:$H$18,"Missing game",0)</x:f>
        <x:v>0</x:v>
      </x:c>
      <x:c r="AN2139" t="str">
        <x:f>_xlfn.XLOOKUP($A2139,Games!$A$2:$A$18,Games!$I$2:$I$18,"Missing game",0)</x:f>
        <x:v>MIN</x:v>
      </x:c>
      <x:c r="AO2139" t="n">
        <x:f>_xlfn.XLOOKUP($A2139,Games!$A$2:$A$18,Games!$J$2:$J$18,"Missing game",0)</x:f>
        <x:v>31</x:v>
      </x:c>
      <x:c r="AP2139" t="n">
        <x:f>_xlfn.XLOOKUP($A2139,Games!$A$2:$A$18,Games!$K$2:$K$18,"Missing game",0)</x:f>
        <x:v>31</x:v>
      </x:c>
      <x:c r="AQ2139" t="n">
        <x:f>_xlfn.XLOOKUP($A2139,Games!$A$2:$A$18,Games!$L$2:$L$18,"Missing game",0)</x:f>
        <x:v>31</x:v>
      </x:c>
      <x:c r="AR2139" t="n">
        <x:f>_xlfn.XLOOKUP($A2139,Games!$A$2:$A$18,Games!$M$2:$M$18,"Missing game",0)</x:f>
        <x:v>0</x:v>
      </x:c>
      <x:c r="AS2139" t="str">
        <x:f>_xlfn.XLOOKUP($A2139,Games!$A$2:$A$18,Games!$N$2:$N$18,"Missing game",0)</x:f>
        <x:v>dome</x:v>
      </x:c>
      <x:c r="AT2139" t="str">
        <x:f>_xlfn.XLOOKUP($A2139,Games!$A$2:$A$18,Games!$O$2:$O$18,"Missing game",0)</x:f>
        <x:v>sportturf</x:v>
      </x:c>
      <x:c r="AU2139" t="str">
        <x:f>_xlfn.XLOOKUP($A2139,Games!$A$2:$A$18,Games!$P$2:$P$18,"Missing game",0)</x:f>
      </x:c>
      <x:c r="AV2139" t="str">
        <x:f>_xlfn.XLOOKUP($A2139,Games!$A$2:$A$18,Games!$Q$2:$Q$18,"Missing game",0)</x:f>
      </x:c>
      <x:c r="AW2139" t="str">
        <x:f>_xlfn.XLOOKUP($A2139,Games!$A$2:$A$18,Games!$R$2:$R$18,"Missing game",0)</x:f>
        <x:v>U.S. Bank Stadium</x:v>
      </x:c>
    </x:row>
    <x:row r="2140">
      <x:c r="A2140" t="str">
        <x:v>2025_14_WAS_MIN</x:v>
      </x:c>
      <x:c r="B2140" t="n">
        <x:v>3249</x:v>
      </x:c>
      <x:c r="C2140" t="n">
        <x:v>4</x:v>
      </x:c>
      <x:c r="D2140" t="str">
        <x:v>05:15</x:v>
      </x:c>
      <x:c r="E2140" t="n">
        <x:v>1</x:v>
      </x:c>
      <x:c r="F2140" t="n">
        <x:v>10</x:v>
      </x:c>
      <x:c r="G2140" t="str">
        <x:v>MIN</x:v>
      </x:c>
      <x:c r="H2140" t="str">
        <x:v>WAS</x:v>
      </x:c>
      <x:c r="I2140" t="str">
        <x:v>MIN</x:v>
      </x:c>
      <x:c r="J2140" t="n">
        <x:v>57</x:v>
      </x:c>
      <x:c r="K2140" t="str">
        <x:v>(5:15) 36-Z.Scott right tackle to MIN 44 for 1 yard (52-P.Smith).</x:v>
      </x:c>
      <x:c r="L2140" t="str">
        <x:v>run</x:v>
      </x:c>
      <x:c r="M2140" t="n">
        <x:v>1</x:v>
      </x:c>
      <x:c r="N2140" t="n">
        <x:v>0</x:v>
      </x:c>
      <x:c r="O2140" t="n">
        <x:v>0</x:v>
      </x:c>
      <x:c r="P2140"/>
      <x:c r="Q2140"/>
      <x:c r="R2140"/>
      <x:c r="S2140"/>
      <x:c r="T2140" t="str">
        <x:v>right</x:v>
      </x:c>
      <x:c r="U2140" t="str">
        <x:v>tackle</x:v>
      </x:c>
      <x:c r="V2140" t="n">
        <x:v>0</x:v>
      </x:c>
      <x:c r="W2140" t="n">
        <x:v>0</x:v>
      </x:c>
      <x:c r="X2140" t="n">
        <x:v>0</x:v>
      </x:c>
      <x:c r="Y2140" t="n">
        <x:v>0</x:v>
      </x:c>
      <x:c r="Z2140" t="n">
        <x:v>0</x:v>
      </x:c>
      <x:c r="AA2140" t="n">
        <x:v>0</x:v>
      </x:c>
      <x:c r="AB2140"/>
      <x:c r="AC2140" t="n">
        <x:v>0</x:v>
      </x:c>
      <x:c r="AD2140" t="n">
        <x:v>-0.639508604304865</x:v>
      </x:c>
      <x:c r="AE2140" t="n">
        <x:v>0</x:v>
      </x:c>
      <x:c r="AF2140" t="n">
        <x:v>-0.000051856040954589844</x:v>
      </x:c>
      <x:c r="AG2140" t="n">
        <x:f>_xlfn.XLOOKUP($A2140,Games!$A$2:$A$18,Games!$B$2:$B$18,"Missing game",0)</x:f>
        <x:v>2025</x:v>
      </x:c>
      <x:c r="AH2140" t="str">
        <x:f>_xlfn.XLOOKUP($A2140,Games!$A$2:$A$18,Games!$C$2:$C$18,"Missing game",0)</x:f>
        <x:v>REG</x:v>
      </x:c>
      <x:c r="AI2140" t="n">
        <x:f>_xlfn.XLOOKUP($A2140,Games!$A$2:$A$18,Games!$D$2:$D$18,"Missing game",0)</x:f>
        <x:v>14</x:v>
      </x:c>
      <x:c r="AJ2140" s="1" t="n">
        <x:f>_xlfn.XLOOKUP($A2140,Games!$A$2:$A$18,Games!$E$2:$E$18,"Missing game",0)</x:f>
        <x:v>45998</x:v>
      </x:c>
      <x:c r="AK2140" t="str">
        <x:f>_xlfn.XLOOKUP($A2140,Games!$A$2:$A$18,Games!$F$2:$F$18,"Missing game",0)</x:f>
        <x:v>Sunday</x:v>
      </x:c>
      <x:c r="AL2140" t="str">
        <x:f>_xlfn.XLOOKUP($A2140,Games!$A$2:$A$18,Games!$G$2:$G$18,"Missing game",0)</x:f>
        <x:v>WAS</x:v>
      </x:c>
      <x:c r="AM2140" t="n">
        <x:f>_xlfn.XLOOKUP($A2140,Games!$A$2:$A$18,Games!$H$2:$H$18,"Missing game",0)</x:f>
        <x:v>0</x:v>
      </x:c>
      <x:c r="AN2140" t="str">
        <x:f>_xlfn.XLOOKUP($A2140,Games!$A$2:$A$18,Games!$I$2:$I$18,"Missing game",0)</x:f>
        <x:v>MIN</x:v>
      </x:c>
      <x:c r="AO2140" t="n">
        <x:f>_xlfn.XLOOKUP($A2140,Games!$A$2:$A$18,Games!$J$2:$J$18,"Missing game",0)</x:f>
        <x:v>31</x:v>
      </x:c>
      <x:c r="AP2140" t="n">
        <x:f>_xlfn.XLOOKUP($A2140,Games!$A$2:$A$18,Games!$K$2:$K$18,"Missing game",0)</x:f>
        <x:v>31</x:v>
      </x:c>
      <x:c r="AQ2140" t="n">
        <x:f>_xlfn.XLOOKUP($A2140,Games!$A$2:$A$18,Games!$L$2:$L$18,"Missing game",0)</x:f>
        <x:v>31</x:v>
      </x:c>
      <x:c r="AR2140" t="n">
        <x:f>_xlfn.XLOOKUP($A2140,Games!$A$2:$A$18,Games!$M$2:$M$18,"Missing game",0)</x:f>
        <x:v>0</x:v>
      </x:c>
      <x:c r="AS2140" t="str">
        <x:f>_xlfn.XLOOKUP($A2140,Games!$A$2:$A$18,Games!$N$2:$N$18,"Missing game",0)</x:f>
        <x:v>dome</x:v>
      </x:c>
      <x:c r="AT2140" t="str">
        <x:f>_xlfn.XLOOKUP($A2140,Games!$A$2:$A$18,Games!$O$2:$O$18,"Missing game",0)</x:f>
        <x:v>sportturf</x:v>
      </x:c>
      <x:c r="AU2140" t="str">
        <x:f>_xlfn.XLOOKUP($A2140,Games!$A$2:$A$18,Games!$P$2:$P$18,"Missing game",0)</x:f>
      </x:c>
      <x:c r="AV2140" t="str">
        <x:f>_xlfn.XLOOKUP($A2140,Games!$A$2:$A$18,Games!$Q$2:$Q$18,"Missing game",0)</x:f>
      </x:c>
      <x:c r="AW2140" t="str">
        <x:f>_xlfn.XLOOKUP($A2140,Games!$A$2:$A$18,Games!$R$2:$R$18,"Missing game",0)</x:f>
        <x:v>U.S. Bank Stadium</x:v>
      </x:c>
    </x:row>
    <x:row r="2141">
      <x:c r="A2141" t="str">
        <x:v>2025_14_WAS_MIN</x:v>
      </x:c>
      <x:c r="B2141" t="n">
        <x:v>3271</x:v>
      </x:c>
      <x:c r="C2141" t="n">
        <x:v>4</x:v>
      </x:c>
      <x:c r="D2141" t="str">
        <x:v>04:34</x:v>
      </x:c>
      <x:c r="E2141" t="n">
        <x:v>2</x:v>
      </x:c>
      <x:c r="F2141" t="n">
        <x:v>9</x:v>
      </x:c>
      <x:c r="G2141" t="str">
        <x:v>MIN</x:v>
      </x:c>
      <x:c r="H2141" t="str">
        <x:v>WAS</x:v>
      </x:c>
      <x:c r="I2141" t="str">
        <x:v>MIN</x:v>
      </x:c>
      <x:c r="J2141" t="n">
        <x:v>56</x:v>
      </x:c>
      <x:c r="K2141" t="str">
        <x:v>(4:34) (Shotgun) 9-J.McCarthy pass short left to 3-J.Addison to WAS 44 for 12 yards (34-A.Hamilton).</x:v>
      </x:c>
      <x:c r="L2141" t="str">
        <x:v>pass</x:v>
      </x:c>
      <x:c r="M2141" t="n">
        <x:v>12</x:v>
      </x:c>
      <x:c r="N2141" t="n">
        <x:v>1</x:v>
      </x:c>
      <x:c r="O2141" t="n">
        <x:v>0</x:v>
      </x:c>
      <x:c r="P2141" t="str">
        <x:v>short</x:v>
      </x:c>
      <x:c r="Q2141" t="str">
        <x:v>left</x:v>
      </x:c>
      <x:c r="R2141" t="n">
        <x:v>3</x:v>
      </x:c>
      <x:c r="S2141" t="n">
        <x:v>9</x:v>
      </x:c>
      <x:c r="T2141"/>
      <x:c r="U2141"/>
      <x:c r="V2141" t="n">
        <x:v>1</x:v>
      </x:c>
      <x:c r="W2141" t="n">
        <x:v>1</x:v>
      </x:c>
      <x:c r="X2141" t="n">
        <x:v>0</x:v>
      </x:c>
      <x:c r="Y2141" t="n">
        <x:v>0</x:v>
      </x:c>
      <x:c r="Z2141" t="n">
        <x:v>0</x:v>
      </x:c>
      <x:c r="AA2141" t="n">
        <x:v>0</x:v>
      </x:c>
      <x:c r="AB2141"/>
      <x:c r="AC2141" t="n">
        <x:v>0</x:v>
      </x:c>
      <x:c r="AD2141" t="n">
        <x:v>1.4649502381798811</x:v>
      </x:c>
      <x:c r="AE2141" t="n">
        <x:v>1</x:v>
      </x:c>
      <x:c r="AF2141" t="n">
        <x:v>0.00009638071060180664</x:v>
      </x:c>
      <x:c r="AG2141" t="n">
        <x:f>_xlfn.XLOOKUP($A2141,Games!$A$2:$A$18,Games!$B$2:$B$18,"Missing game",0)</x:f>
        <x:v>2025</x:v>
      </x:c>
      <x:c r="AH2141" t="str">
        <x:f>_xlfn.XLOOKUP($A2141,Games!$A$2:$A$18,Games!$C$2:$C$18,"Missing game",0)</x:f>
        <x:v>REG</x:v>
      </x:c>
      <x:c r="AI2141" t="n">
        <x:f>_xlfn.XLOOKUP($A2141,Games!$A$2:$A$18,Games!$D$2:$D$18,"Missing game",0)</x:f>
        <x:v>14</x:v>
      </x:c>
      <x:c r="AJ2141" s="1" t="n">
        <x:f>_xlfn.XLOOKUP($A2141,Games!$A$2:$A$18,Games!$E$2:$E$18,"Missing game",0)</x:f>
        <x:v>45998</x:v>
      </x:c>
      <x:c r="AK2141" t="str">
        <x:f>_xlfn.XLOOKUP($A2141,Games!$A$2:$A$18,Games!$F$2:$F$18,"Missing game",0)</x:f>
        <x:v>Sunday</x:v>
      </x:c>
      <x:c r="AL2141" t="str">
        <x:f>_xlfn.XLOOKUP($A2141,Games!$A$2:$A$18,Games!$G$2:$G$18,"Missing game",0)</x:f>
        <x:v>WAS</x:v>
      </x:c>
      <x:c r="AM2141" t="n">
        <x:f>_xlfn.XLOOKUP($A2141,Games!$A$2:$A$18,Games!$H$2:$H$18,"Missing game",0)</x:f>
        <x:v>0</x:v>
      </x:c>
      <x:c r="AN2141" t="str">
        <x:f>_xlfn.XLOOKUP($A2141,Games!$A$2:$A$18,Games!$I$2:$I$18,"Missing game",0)</x:f>
        <x:v>MIN</x:v>
      </x:c>
      <x:c r="AO2141" t="n">
        <x:f>_xlfn.XLOOKUP($A2141,Games!$A$2:$A$18,Games!$J$2:$J$18,"Missing game",0)</x:f>
        <x:v>31</x:v>
      </x:c>
      <x:c r="AP2141" t="n">
        <x:f>_xlfn.XLOOKUP($A2141,Games!$A$2:$A$18,Games!$K$2:$K$18,"Missing game",0)</x:f>
        <x:v>31</x:v>
      </x:c>
      <x:c r="AQ2141" t="n">
        <x:f>_xlfn.XLOOKUP($A2141,Games!$A$2:$A$18,Games!$L$2:$L$18,"Missing game",0)</x:f>
        <x:v>31</x:v>
      </x:c>
      <x:c r="AR2141" t="n">
        <x:f>_xlfn.XLOOKUP($A2141,Games!$A$2:$A$18,Games!$M$2:$M$18,"Missing game",0)</x:f>
        <x:v>0</x:v>
      </x:c>
      <x:c r="AS2141" t="str">
        <x:f>_xlfn.XLOOKUP($A2141,Games!$A$2:$A$18,Games!$N$2:$N$18,"Missing game",0)</x:f>
        <x:v>dome</x:v>
      </x:c>
      <x:c r="AT2141" t="str">
        <x:f>_xlfn.XLOOKUP($A2141,Games!$A$2:$A$18,Games!$O$2:$O$18,"Missing game",0)</x:f>
        <x:v>sportturf</x:v>
      </x:c>
      <x:c r="AU2141" t="str">
        <x:f>_xlfn.XLOOKUP($A2141,Games!$A$2:$A$18,Games!$P$2:$P$18,"Missing game",0)</x:f>
      </x:c>
      <x:c r="AV2141" t="str">
        <x:f>_xlfn.XLOOKUP($A2141,Games!$A$2:$A$18,Games!$Q$2:$Q$18,"Missing game",0)</x:f>
      </x:c>
      <x:c r="AW2141" t="str">
        <x:f>_xlfn.XLOOKUP($A2141,Games!$A$2:$A$18,Games!$R$2:$R$18,"Missing game",0)</x:f>
        <x:v>U.S. Bank Stadium</x:v>
      </x:c>
    </x:row>
    <x:row r="2142">
      <x:c r="A2142" t="str">
        <x:v>2025_14_WAS_MIN</x:v>
      </x:c>
      <x:c r="B2142" t="n">
        <x:v>3296</x:v>
      </x:c>
      <x:c r="C2142" t="n">
        <x:v>4</x:v>
      </x:c>
      <x:c r="D2142" t="str">
        <x:v>03:49</x:v>
      </x:c>
      <x:c r="E2142" t="n">
        <x:v>1</x:v>
      </x:c>
      <x:c r="F2142" t="n">
        <x:v>10</x:v>
      </x:c>
      <x:c r="G2142" t="str">
        <x:v>MIN</x:v>
      </x:c>
      <x:c r="H2142" t="str">
        <x:v>WAS</x:v>
      </x:c>
      <x:c r="I2142" t="str">
        <x:v>WAS</x:v>
      </x:c>
      <x:c r="J2142" t="n">
        <x:v>44</x:v>
      </x:c>
      <x:c r="K2142" t="str">
        <x:v>(3:49) 9-J.McCarthy pass incomplete short left to 3-J.Addison.</x:v>
      </x:c>
      <x:c r="L2142" t="str">
        <x:v>pass</x:v>
      </x:c>
      <x:c r="M2142" t="n">
        <x:v>0</x:v>
      </x:c>
      <x:c r="N2142" t="n">
        <x:v>0</x:v>
      </x:c>
      <x:c r="O2142" t="n">
        <x:v>0</x:v>
      </x:c>
      <x:c r="P2142" t="str">
        <x:v>short</x:v>
      </x:c>
      <x:c r="Q2142" t="str">
        <x:v>left</x:v>
      </x:c>
      <x:c r="R2142" t="n">
        <x:v>11</x:v>
      </x:c>
      <x:c r="S2142"/>
      <x:c r="T2142"/>
      <x:c r="U2142"/>
      <x:c r="V2142" t="n">
        <x:v>0</x:v>
      </x:c>
      <x:c r="W2142" t="n">
        <x:v>0</x:v>
      </x:c>
      <x:c r="X2142" t="n">
        <x:v>0</x:v>
      </x:c>
      <x:c r="Y2142" t="n">
        <x:v>0</x:v>
      </x:c>
      <x:c r="Z2142" t="n">
        <x:v>0</x:v>
      </x:c>
      <x:c r="AA2142" t="n">
        <x:v>0</x:v>
      </x:c>
      <x:c r="AB2142"/>
      <x:c r="AC2142" t="n">
        <x:v>0</x:v>
      </x:c>
      <x:c r="AD2142" t="n">
        <x:v>-0.6877817857312039</x:v>
      </x:c>
      <x:c r="AE2142" t="n">
        <x:v>0</x:v>
      </x:c>
      <x:c r="AF2142" t="n">
        <x:v>-0.000043332576751708984</x:v>
      </x:c>
      <x:c r="AG2142" t="n">
        <x:f>_xlfn.XLOOKUP($A2142,Games!$A$2:$A$18,Games!$B$2:$B$18,"Missing game",0)</x:f>
        <x:v>2025</x:v>
      </x:c>
      <x:c r="AH2142" t="str">
        <x:f>_xlfn.XLOOKUP($A2142,Games!$A$2:$A$18,Games!$C$2:$C$18,"Missing game",0)</x:f>
        <x:v>REG</x:v>
      </x:c>
      <x:c r="AI2142" t="n">
        <x:f>_xlfn.XLOOKUP($A2142,Games!$A$2:$A$18,Games!$D$2:$D$18,"Missing game",0)</x:f>
        <x:v>14</x:v>
      </x:c>
      <x:c r="AJ2142" s="1" t="n">
        <x:f>_xlfn.XLOOKUP($A2142,Games!$A$2:$A$18,Games!$E$2:$E$18,"Missing game",0)</x:f>
        <x:v>45998</x:v>
      </x:c>
      <x:c r="AK2142" t="str">
        <x:f>_xlfn.XLOOKUP($A2142,Games!$A$2:$A$18,Games!$F$2:$F$18,"Missing game",0)</x:f>
        <x:v>Sunday</x:v>
      </x:c>
      <x:c r="AL2142" t="str">
        <x:f>_xlfn.XLOOKUP($A2142,Games!$A$2:$A$18,Games!$G$2:$G$18,"Missing game",0)</x:f>
        <x:v>WAS</x:v>
      </x:c>
      <x:c r="AM2142" t="n">
        <x:f>_xlfn.XLOOKUP($A2142,Games!$A$2:$A$18,Games!$H$2:$H$18,"Missing game",0)</x:f>
        <x:v>0</x:v>
      </x:c>
      <x:c r="AN2142" t="str">
        <x:f>_xlfn.XLOOKUP($A2142,Games!$A$2:$A$18,Games!$I$2:$I$18,"Missing game",0)</x:f>
        <x:v>MIN</x:v>
      </x:c>
      <x:c r="AO2142" t="n">
        <x:f>_xlfn.XLOOKUP($A2142,Games!$A$2:$A$18,Games!$J$2:$J$18,"Missing game",0)</x:f>
        <x:v>31</x:v>
      </x:c>
      <x:c r="AP2142" t="n">
        <x:f>_xlfn.XLOOKUP($A2142,Games!$A$2:$A$18,Games!$K$2:$K$18,"Missing game",0)</x:f>
        <x:v>31</x:v>
      </x:c>
      <x:c r="AQ2142" t="n">
        <x:f>_xlfn.XLOOKUP($A2142,Games!$A$2:$A$18,Games!$L$2:$L$18,"Missing game",0)</x:f>
        <x:v>31</x:v>
      </x:c>
      <x:c r="AR2142" t="n">
        <x:f>_xlfn.XLOOKUP($A2142,Games!$A$2:$A$18,Games!$M$2:$M$18,"Missing game",0)</x:f>
        <x:v>0</x:v>
      </x:c>
      <x:c r="AS2142" t="str">
        <x:f>_xlfn.XLOOKUP($A2142,Games!$A$2:$A$18,Games!$N$2:$N$18,"Missing game",0)</x:f>
        <x:v>dome</x:v>
      </x:c>
      <x:c r="AT2142" t="str">
        <x:f>_xlfn.XLOOKUP($A2142,Games!$A$2:$A$18,Games!$O$2:$O$18,"Missing game",0)</x:f>
        <x:v>sportturf</x:v>
      </x:c>
      <x:c r="AU2142" t="str">
        <x:f>_xlfn.XLOOKUP($A2142,Games!$A$2:$A$18,Games!$P$2:$P$18,"Missing game",0)</x:f>
      </x:c>
      <x:c r="AV2142" t="str">
        <x:f>_xlfn.XLOOKUP($A2142,Games!$A$2:$A$18,Games!$Q$2:$Q$18,"Missing game",0)</x:f>
      </x:c>
      <x:c r="AW2142" t="str">
        <x:f>_xlfn.XLOOKUP($A2142,Games!$A$2:$A$18,Games!$R$2:$R$18,"Missing game",0)</x:f>
        <x:v>U.S. Bank Stadium</x:v>
      </x:c>
    </x:row>
    <x:row r="2143">
      <x:c r="A2143" t="str">
        <x:v>2025_14_WAS_MIN</x:v>
      </x:c>
      <x:c r="B2143" t="n">
        <x:v>3331</x:v>
      </x:c>
      <x:c r="C2143" t="n">
        <x:v>4</x:v>
      </x:c>
      <x:c r="D2143" t="str">
        <x:v>03:42</x:v>
      </x:c>
      <x:c r="E2143" t="n">
        <x:v>2</x:v>
      </x:c>
      <x:c r="F2143" t="n">
        <x:v>10</x:v>
      </x:c>
      <x:c r="G2143" t="str">
        <x:v>MIN</x:v>
      </x:c>
      <x:c r="H2143" t="str">
        <x:v>WAS</x:v>
      </x:c>
      <x:c r="I2143" t="str">
        <x:v>WAS</x:v>
      </x:c>
      <x:c r="J2143" t="n">
        <x:v>44</x:v>
      </x:c>
      <x:c r="K2143" t="str">
        <x:v>(3:42) 36-Z.Scott left end to WAS 40 for 4 yards (54-B.Wagner; 94-D.Payne).</x:v>
      </x:c>
      <x:c r="L2143" t="str">
        <x:v>run</x:v>
      </x:c>
      <x:c r="M2143" t="n">
        <x:v>4</x:v>
      </x:c>
      <x:c r="N2143" t="n">
        <x:v>0</x:v>
      </x:c>
      <x:c r="O2143" t="n">
        <x:v>0</x:v>
      </x:c>
      <x:c r="P2143"/>
      <x:c r="Q2143"/>
      <x:c r="R2143"/>
      <x:c r="S2143"/>
      <x:c r="T2143" t="str">
        <x:v>left</x:v>
      </x:c>
      <x:c r="U2143" t="str">
        <x:v>end</x:v>
      </x:c>
      <x:c r="V2143" t="n">
        <x:v>0</x:v>
      </x:c>
      <x:c r="W2143" t="n">
        <x:v>0</x:v>
      </x:c>
      <x:c r="X2143" t="n">
        <x:v>0</x:v>
      </x:c>
      <x:c r="Y2143" t="n">
        <x:v>0</x:v>
      </x:c>
      <x:c r="Z2143" t="n">
        <x:v>0</x:v>
      </x:c>
      <x:c r="AA2143" t="n">
        <x:v>0</x:v>
      </x:c>
      <x:c r="AB2143"/>
      <x:c r="AC2143" t="n">
        <x:v>0</x:v>
      </x:c>
      <x:c r="AD2143" t="n">
        <x:v>-0.18808199337217957</x:v>
      </x:c>
      <x:c r="AE2143" t="n">
        <x:v>0</x:v>
      </x:c>
      <x:c r="AF2143" t="n">
        <x:v>-0.00001728534698486328</x:v>
      </x:c>
      <x:c r="AG2143" t="n">
        <x:f>_xlfn.XLOOKUP($A2143,Games!$A$2:$A$18,Games!$B$2:$B$18,"Missing game",0)</x:f>
        <x:v>2025</x:v>
      </x:c>
      <x:c r="AH2143" t="str">
        <x:f>_xlfn.XLOOKUP($A2143,Games!$A$2:$A$18,Games!$C$2:$C$18,"Missing game",0)</x:f>
        <x:v>REG</x:v>
      </x:c>
      <x:c r="AI2143" t="n">
        <x:f>_xlfn.XLOOKUP($A2143,Games!$A$2:$A$18,Games!$D$2:$D$18,"Missing game",0)</x:f>
        <x:v>14</x:v>
      </x:c>
      <x:c r="AJ2143" s="1" t="n">
        <x:f>_xlfn.XLOOKUP($A2143,Games!$A$2:$A$18,Games!$E$2:$E$18,"Missing game",0)</x:f>
        <x:v>45998</x:v>
      </x:c>
      <x:c r="AK2143" t="str">
        <x:f>_xlfn.XLOOKUP($A2143,Games!$A$2:$A$18,Games!$F$2:$F$18,"Missing game",0)</x:f>
        <x:v>Sunday</x:v>
      </x:c>
      <x:c r="AL2143" t="str">
        <x:f>_xlfn.XLOOKUP($A2143,Games!$A$2:$A$18,Games!$G$2:$G$18,"Missing game",0)</x:f>
        <x:v>WAS</x:v>
      </x:c>
      <x:c r="AM2143" t="n">
        <x:f>_xlfn.XLOOKUP($A2143,Games!$A$2:$A$18,Games!$H$2:$H$18,"Missing game",0)</x:f>
        <x:v>0</x:v>
      </x:c>
      <x:c r="AN2143" t="str">
        <x:f>_xlfn.XLOOKUP($A2143,Games!$A$2:$A$18,Games!$I$2:$I$18,"Missing game",0)</x:f>
        <x:v>MIN</x:v>
      </x:c>
      <x:c r="AO2143" t="n">
        <x:f>_xlfn.XLOOKUP($A2143,Games!$A$2:$A$18,Games!$J$2:$J$18,"Missing game",0)</x:f>
        <x:v>31</x:v>
      </x:c>
      <x:c r="AP2143" t="n">
        <x:f>_xlfn.XLOOKUP($A2143,Games!$A$2:$A$18,Games!$K$2:$K$18,"Missing game",0)</x:f>
        <x:v>31</x:v>
      </x:c>
      <x:c r="AQ2143" t="n">
        <x:f>_xlfn.XLOOKUP($A2143,Games!$A$2:$A$18,Games!$L$2:$L$18,"Missing game",0)</x:f>
        <x:v>31</x:v>
      </x:c>
      <x:c r="AR2143" t="n">
        <x:f>_xlfn.XLOOKUP($A2143,Games!$A$2:$A$18,Games!$M$2:$M$18,"Missing game",0)</x:f>
        <x:v>0</x:v>
      </x:c>
      <x:c r="AS2143" t="str">
        <x:f>_xlfn.XLOOKUP($A2143,Games!$A$2:$A$18,Games!$N$2:$N$18,"Missing game",0)</x:f>
        <x:v>dome</x:v>
      </x:c>
      <x:c r="AT2143" t="str">
        <x:f>_xlfn.XLOOKUP($A2143,Games!$A$2:$A$18,Games!$O$2:$O$18,"Missing game",0)</x:f>
        <x:v>sportturf</x:v>
      </x:c>
      <x:c r="AU2143" t="str">
        <x:f>_xlfn.XLOOKUP($A2143,Games!$A$2:$A$18,Games!$P$2:$P$18,"Missing game",0)</x:f>
      </x:c>
      <x:c r="AV2143" t="str">
        <x:f>_xlfn.XLOOKUP($A2143,Games!$A$2:$A$18,Games!$Q$2:$Q$18,"Missing game",0)</x:f>
      </x:c>
      <x:c r="AW2143" t="str">
        <x:f>_xlfn.XLOOKUP($A2143,Games!$A$2:$A$18,Games!$R$2:$R$18,"Missing game",0)</x:f>
        <x:v>U.S. Bank Stadium</x:v>
      </x:c>
    </x:row>
    <x:row r="2144">
      <x:c r="A2144" t="str">
        <x:v>2025_14_WAS_MIN</x:v>
      </x:c>
      <x:c r="B2144" t="n">
        <x:v>3353</x:v>
      </x:c>
      <x:c r="C2144" t="n">
        <x:v>4</x:v>
      </x:c>
      <x:c r="D2144" t="str">
        <x:v>02:59</x:v>
      </x:c>
      <x:c r="E2144" t="n">
        <x:v>3</x:v>
      </x:c>
      <x:c r="F2144" t="n">
        <x:v>6</x:v>
      </x:c>
      <x:c r="G2144" t="str">
        <x:v>MIN</x:v>
      </x:c>
      <x:c r="H2144" t="str">
        <x:v>WAS</x:v>
      </x:c>
      <x:c r="I2144" t="str">
        <x:v>WAS</x:v>
      </x:c>
      <x:c r="J2144" t="n">
        <x:v>40</x:v>
      </x:c>
      <x:c r="K2144" t="str">
        <x:v>(2:59) (Shotgun) 9-J.McCarthy pass short right to 36-Z.Scott to WAS 35 for 5 yards (54-B.Wagner). (Virtual Measurement).</x:v>
      </x:c>
      <x:c r="L2144" t="str">
        <x:v>pass</x:v>
      </x:c>
      <x:c r="M2144" t="n">
        <x:v>5</x:v>
      </x:c>
      <x:c r="N2144" t="n">
        <x:v>1</x:v>
      </x:c>
      <x:c r="O2144" t="n">
        <x:v>0</x:v>
      </x:c>
      <x:c r="P2144" t="str">
        <x:v>short</x:v>
      </x:c>
      <x:c r="Q2144" t="str">
        <x:v>right</x:v>
      </x:c>
      <x:c r="R2144" t="n">
        <x:v>-6</x:v>
      </x:c>
      <x:c r="S2144" t="n">
        <x:v>11</x:v>
      </x:c>
      <x:c r="T2144"/>
      <x:c r="U2144"/>
      <x:c r="V2144" t="n">
        <x:v>1</x:v>
      </x:c>
      <x:c r="W2144" t="n">
        <x:v>0</x:v>
      </x:c>
      <x:c r="X2144" t="n">
        <x:v>0</x:v>
      </x:c>
      <x:c r="Y2144" t="n">
        <x:v>0</x:v>
      </x:c>
      <x:c r="Z2144" t="n">
        <x:v>0</x:v>
      </x:c>
      <x:c r="AA2144" t="n">
        <x:v>0</x:v>
      </x:c>
      <x:c r="AB2144"/>
      <x:c r="AC2144" t="n">
        <x:v>0</x:v>
      </x:c>
      <x:c r="AD2144" t="n">
        <x:v>-0.2284679096774198</x:v>
      </x:c>
      <x:c r="AE2144" t="n">
        <x:v>0</x:v>
      </x:c>
      <x:c r="AF2144" t="n">
        <x:v>-0.00005269050598144531</x:v>
      </x:c>
      <x:c r="AG2144" t="n">
        <x:f>_xlfn.XLOOKUP($A2144,Games!$A$2:$A$18,Games!$B$2:$B$18,"Missing game",0)</x:f>
        <x:v>2025</x:v>
      </x:c>
      <x:c r="AH2144" t="str">
        <x:f>_xlfn.XLOOKUP($A2144,Games!$A$2:$A$18,Games!$C$2:$C$18,"Missing game",0)</x:f>
        <x:v>REG</x:v>
      </x:c>
      <x:c r="AI2144" t="n">
        <x:f>_xlfn.XLOOKUP($A2144,Games!$A$2:$A$18,Games!$D$2:$D$18,"Missing game",0)</x:f>
        <x:v>14</x:v>
      </x:c>
      <x:c r="AJ2144" s="1" t="n">
        <x:f>_xlfn.XLOOKUP($A2144,Games!$A$2:$A$18,Games!$E$2:$E$18,"Missing game",0)</x:f>
        <x:v>45998</x:v>
      </x:c>
      <x:c r="AK2144" t="str">
        <x:f>_xlfn.XLOOKUP($A2144,Games!$A$2:$A$18,Games!$F$2:$F$18,"Missing game",0)</x:f>
        <x:v>Sunday</x:v>
      </x:c>
      <x:c r="AL2144" t="str">
        <x:f>_xlfn.XLOOKUP($A2144,Games!$A$2:$A$18,Games!$G$2:$G$18,"Missing game",0)</x:f>
        <x:v>WAS</x:v>
      </x:c>
      <x:c r="AM2144" t="n">
        <x:f>_xlfn.XLOOKUP($A2144,Games!$A$2:$A$18,Games!$H$2:$H$18,"Missing game",0)</x:f>
        <x:v>0</x:v>
      </x:c>
      <x:c r="AN2144" t="str">
        <x:f>_xlfn.XLOOKUP($A2144,Games!$A$2:$A$18,Games!$I$2:$I$18,"Missing game",0)</x:f>
        <x:v>MIN</x:v>
      </x:c>
      <x:c r="AO2144" t="n">
        <x:f>_xlfn.XLOOKUP($A2144,Games!$A$2:$A$18,Games!$J$2:$J$18,"Missing game",0)</x:f>
        <x:v>31</x:v>
      </x:c>
      <x:c r="AP2144" t="n">
        <x:f>_xlfn.XLOOKUP($A2144,Games!$A$2:$A$18,Games!$K$2:$K$18,"Missing game",0)</x:f>
        <x:v>31</x:v>
      </x:c>
      <x:c r="AQ2144" t="n">
        <x:f>_xlfn.XLOOKUP($A2144,Games!$A$2:$A$18,Games!$L$2:$L$18,"Missing game",0)</x:f>
        <x:v>31</x:v>
      </x:c>
      <x:c r="AR2144" t="n">
        <x:f>_xlfn.XLOOKUP($A2144,Games!$A$2:$A$18,Games!$M$2:$M$18,"Missing game",0)</x:f>
        <x:v>0</x:v>
      </x:c>
      <x:c r="AS2144" t="str">
        <x:f>_xlfn.XLOOKUP($A2144,Games!$A$2:$A$18,Games!$N$2:$N$18,"Missing game",0)</x:f>
        <x:v>dome</x:v>
      </x:c>
      <x:c r="AT2144" t="str">
        <x:f>_xlfn.XLOOKUP($A2144,Games!$A$2:$A$18,Games!$O$2:$O$18,"Missing game",0)</x:f>
        <x:v>sportturf</x:v>
      </x:c>
      <x:c r="AU2144" t="str">
        <x:f>_xlfn.XLOOKUP($A2144,Games!$A$2:$A$18,Games!$P$2:$P$18,"Missing game",0)</x:f>
      </x:c>
      <x:c r="AV2144" t="str">
        <x:f>_xlfn.XLOOKUP($A2144,Games!$A$2:$A$18,Games!$Q$2:$Q$18,"Missing game",0)</x:f>
      </x:c>
      <x:c r="AW2144" t="str">
        <x:f>_xlfn.XLOOKUP($A2144,Games!$A$2:$A$18,Games!$R$2:$R$18,"Missing game",0)</x:f>
        <x:v>U.S. Bank Stadium</x:v>
      </x:c>
    </x:row>
    <x:row r="2145">
      <x:c r="A2145" t="str">
        <x:v>2025_14_WAS_MIN</x:v>
      </x:c>
      <x:c r="B2145" t="n">
        <x:v>3378</x:v>
      </x:c>
      <x:c r="C2145" t="n">
        <x:v>4</x:v>
      </x:c>
      <x:c r="D2145" t="str">
        <x:v>02:03</x:v>
      </x:c>
      <x:c r="E2145" t="n">
        <x:v>4</x:v>
      </x:c>
      <x:c r="F2145" t="n">
        <x:v>1</x:v>
      </x:c>
      <x:c r="G2145" t="str">
        <x:v>MIN</x:v>
      </x:c>
      <x:c r="H2145" t="str">
        <x:v>WAS</x:v>
      </x:c>
      <x:c r="I2145" t="str">
        <x:v>WAS</x:v>
      </x:c>
      <x:c r="J2145" t="n">
        <x:v>35</x:v>
      </x:c>
      <x:c r="K2145" t="str">
        <x:v>(2:03) 36-Z.Scott left guard to WAS 25 for 10 yards (20-Q.Martin; 6-N.Igbinoghene).</x:v>
      </x:c>
      <x:c r="L2145" t="str">
        <x:v>run</x:v>
      </x:c>
      <x:c r="M2145" t="n">
        <x:v>10</x:v>
      </x:c>
      <x:c r="N2145" t="n">
        <x:v>0</x:v>
      </x:c>
      <x:c r="O2145" t="n">
        <x:v>0</x:v>
      </x:c>
      <x:c r="P2145"/>
      <x:c r="Q2145"/>
      <x:c r="R2145"/>
      <x:c r="S2145"/>
      <x:c r="T2145" t="str">
        <x:v>left</x:v>
      </x:c>
      <x:c r="U2145" t="str">
        <x:v>guard</x:v>
      </x:c>
      <x:c r="V2145" t="n">
        <x:v>0</x:v>
      </x:c>
      <x:c r="W2145" t="n">
        <x:v>1</x:v>
      </x:c>
      <x:c r="X2145" t="n">
        <x:v>0</x:v>
      </x:c>
      <x:c r="Y2145" t="n">
        <x:v>0</x:v>
      </x:c>
      <x:c r="Z2145" t="n">
        <x:v>0</x:v>
      </x:c>
      <x:c r="AA2145" t="n">
        <x:v>0</x:v>
      </x:c>
      <x:c r="AB2145"/>
      <x:c r="AC2145" t="n">
        <x:v>0</x:v>
      </x:c>
      <x:c r="AD2145" t="n">
        <x:v>2.1406127850641496</x:v>
      </x:c>
      <x:c r="AE2145" t="n">
        <x:v>1</x:v>
      </x:c>
      <x:c r="AF2145" t="n">
        <x:v>0.00015300512313842773</x:v>
      </x:c>
      <x:c r="AG2145" t="n">
        <x:f>_xlfn.XLOOKUP($A2145,Games!$A$2:$A$18,Games!$B$2:$B$18,"Missing game",0)</x:f>
        <x:v>2025</x:v>
      </x:c>
      <x:c r="AH2145" t="str">
        <x:f>_xlfn.XLOOKUP($A2145,Games!$A$2:$A$18,Games!$C$2:$C$18,"Missing game",0)</x:f>
        <x:v>REG</x:v>
      </x:c>
      <x:c r="AI2145" t="n">
        <x:f>_xlfn.XLOOKUP($A2145,Games!$A$2:$A$18,Games!$D$2:$D$18,"Missing game",0)</x:f>
        <x:v>14</x:v>
      </x:c>
      <x:c r="AJ2145" s="1" t="n">
        <x:f>_xlfn.XLOOKUP($A2145,Games!$A$2:$A$18,Games!$E$2:$E$18,"Missing game",0)</x:f>
        <x:v>45998</x:v>
      </x:c>
      <x:c r="AK2145" t="str">
        <x:f>_xlfn.XLOOKUP($A2145,Games!$A$2:$A$18,Games!$F$2:$F$18,"Missing game",0)</x:f>
        <x:v>Sunday</x:v>
      </x:c>
      <x:c r="AL2145" t="str">
        <x:f>_xlfn.XLOOKUP($A2145,Games!$A$2:$A$18,Games!$G$2:$G$18,"Missing game",0)</x:f>
        <x:v>WAS</x:v>
      </x:c>
      <x:c r="AM2145" t="n">
        <x:f>_xlfn.XLOOKUP($A2145,Games!$A$2:$A$18,Games!$H$2:$H$18,"Missing game",0)</x:f>
        <x:v>0</x:v>
      </x:c>
      <x:c r="AN2145" t="str">
        <x:f>_xlfn.XLOOKUP($A2145,Games!$A$2:$A$18,Games!$I$2:$I$18,"Missing game",0)</x:f>
        <x:v>MIN</x:v>
      </x:c>
      <x:c r="AO2145" t="n">
        <x:f>_xlfn.XLOOKUP($A2145,Games!$A$2:$A$18,Games!$J$2:$J$18,"Missing game",0)</x:f>
        <x:v>31</x:v>
      </x:c>
      <x:c r="AP2145" t="n">
        <x:f>_xlfn.XLOOKUP($A2145,Games!$A$2:$A$18,Games!$K$2:$K$18,"Missing game",0)</x:f>
        <x:v>31</x:v>
      </x:c>
      <x:c r="AQ2145" t="n">
        <x:f>_xlfn.XLOOKUP($A2145,Games!$A$2:$A$18,Games!$L$2:$L$18,"Missing game",0)</x:f>
        <x:v>31</x:v>
      </x:c>
      <x:c r="AR2145" t="n">
        <x:f>_xlfn.XLOOKUP($A2145,Games!$A$2:$A$18,Games!$M$2:$M$18,"Missing game",0)</x:f>
        <x:v>0</x:v>
      </x:c>
      <x:c r="AS2145" t="str">
        <x:f>_xlfn.XLOOKUP($A2145,Games!$A$2:$A$18,Games!$N$2:$N$18,"Missing game",0)</x:f>
        <x:v>dome</x:v>
      </x:c>
      <x:c r="AT2145" t="str">
        <x:f>_xlfn.XLOOKUP($A2145,Games!$A$2:$A$18,Games!$O$2:$O$18,"Missing game",0)</x:f>
        <x:v>sportturf</x:v>
      </x:c>
      <x:c r="AU2145" t="str">
        <x:f>_xlfn.XLOOKUP($A2145,Games!$A$2:$A$18,Games!$P$2:$P$18,"Missing game",0)</x:f>
      </x:c>
      <x:c r="AV2145" t="str">
        <x:f>_xlfn.XLOOKUP($A2145,Games!$A$2:$A$18,Games!$Q$2:$Q$18,"Missing game",0)</x:f>
      </x:c>
      <x:c r="AW2145" t="str">
        <x:f>_xlfn.XLOOKUP($A2145,Games!$A$2:$A$18,Games!$R$2:$R$18,"Missing game",0)</x:f>
        <x:v>U.S. Bank Stadium</x:v>
      </x:c>
    </x:row>
    <x:row r="2146">
      <x:c r="A2146" t="str">
        <x:v>2025_14_WAS_MIN</x:v>
      </x:c>
      <x:c r="B2146" t="n">
        <x:v>3404</x:v>
      </x:c>
      <x:c r="C2146" t="n">
        <x:v>4</x:v>
      </x:c>
      <x:c r="D2146" t="str">
        <x:v>01:59</x:v>
      </x:c>
      <x:c r="E2146" t="n">
        <x:v>1</x:v>
      </x:c>
      <x:c r="F2146" t="n">
        <x:v>10</x:v>
      </x:c>
      <x:c r="G2146" t="str">
        <x:v>MIN</x:v>
      </x:c>
      <x:c r="H2146" t="str">
        <x:v>WAS</x:v>
      </x:c>
      <x:c r="I2146" t="str">
        <x:v>WAS</x:v>
      </x:c>
      <x:c r="J2146" t="n">
        <x:v>25</x:v>
      </x:c>
      <x:c r="K2146" t="str">
        <x:v>(1:59) 9-J.McCarthy kneels to WAS 26 for -1 yards.</x:v>
      </x:c>
      <x:c r="L2146" t="str">
        <x:v>qb_kneel</x:v>
      </x:c>
      <x:c r="M2146" t="n">
        <x:v>-1</x:v>
      </x:c>
      <x:c r="N2146" t="n">
        <x:v>0</x:v>
      </x:c>
      <x:c r="O2146" t="n">
        <x:v>0</x:v>
      </x:c>
      <x:c r="P2146"/>
      <x:c r="Q2146"/>
      <x:c r="R2146"/>
      <x:c r="S2146"/>
      <x:c r="T2146"/>
      <x:c r="U2146"/>
      <x:c r="V2146" t="n">
        <x:v>0</x:v>
      </x:c>
      <x:c r="W2146" t="n">
        <x:v>0</x:v>
      </x:c>
      <x:c r="X2146" t="n">
        <x:v>0</x:v>
      </x:c>
      <x:c r="Y2146" t="n">
        <x:v>0</x:v>
      </x:c>
      <x:c r="Z2146" t="n">
        <x:v>0</x:v>
      </x:c>
      <x:c r="AA2146" t="n">
        <x:v>0</x:v>
      </x:c>
      <x:c r="AB2146"/>
      <x:c r="AC2146" t="n">
        <x:v>0</x:v>
      </x:c>
      <x:c r="AD2146" t="n">
        <x:v>-0.7738905987935141</x:v>
      </x:c>
      <x:c r="AE2146" t="n">
        <x:v>0</x:v>
      </x:c>
      <x:c r="AF2146"/>
      <x:c r="AG2146" t="n">
        <x:f>_xlfn.XLOOKUP($A2146,Games!$A$2:$A$18,Games!$B$2:$B$18,"Missing game",0)</x:f>
        <x:v>2025</x:v>
      </x:c>
      <x:c r="AH2146" t="str">
        <x:f>_xlfn.XLOOKUP($A2146,Games!$A$2:$A$18,Games!$C$2:$C$18,"Missing game",0)</x:f>
        <x:v>REG</x:v>
      </x:c>
      <x:c r="AI2146" t="n">
        <x:f>_xlfn.XLOOKUP($A2146,Games!$A$2:$A$18,Games!$D$2:$D$18,"Missing game",0)</x:f>
        <x:v>14</x:v>
      </x:c>
      <x:c r="AJ2146" s="1" t="n">
        <x:f>_xlfn.XLOOKUP($A2146,Games!$A$2:$A$18,Games!$E$2:$E$18,"Missing game",0)</x:f>
        <x:v>45998</x:v>
      </x:c>
      <x:c r="AK2146" t="str">
        <x:f>_xlfn.XLOOKUP($A2146,Games!$A$2:$A$18,Games!$F$2:$F$18,"Missing game",0)</x:f>
        <x:v>Sunday</x:v>
      </x:c>
      <x:c r="AL2146" t="str">
        <x:f>_xlfn.XLOOKUP($A2146,Games!$A$2:$A$18,Games!$G$2:$G$18,"Missing game",0)</x:f>
        <x:v>WAS</x:v>
      </x:c>
      <x:c r="AM2146" t="n">
        <x:f>_xlfn.XLOOKUP($A2146,Games!$A$2:$A$18,Games!$H$2:$H$18,"Missing game",0)</x:f>
        <x:v>0</x:v>
      </x:c>
      <x:c r="AN2146" t="str">
        <x:f>_xlfn.XLOOKUP($A2146,Games!$A$2:$A$18,Games!$I$2:$I$18,"Missing game",0)</x:f>
        <x:v>MIN</x:v>
      </x:c>
      <x:c r="AO2146" t="n">
        <x:f>_xlfn.XLOOKUP($A2146,Games!$A$2:$A$18,Games!$J$2:$J$18,"Missing game",0)</x:f>
        <x:v>31</x:v>
      </x:c>
      <x:c r="AP2146" t="n">
        <x:f>_xlfn.XLOOKUP($A2146,Games!$A$2:$A$18,Games!$K$2:$K$18,"Missing game",0)</x:f>
        <x:v>31</x:v>
      </x:c>
      <x:c r="AQ2146" t="n">
        <x:f>_xlfn.XLOOKUP($A2146,Games!$A$2:$A$18,Games!$L$2:$L$18,"Missing game",0)</x:f>
        <x:v>31</x:v>
      </x:c>
      <x:c r="AR2146" t="n">
        <x:f>_xlfn.XLOOKUP($A2146,Games!$A$2:$A$18,Games!$M$2:$M$18,"Missing game",0)</x:f>
        <x:v>0</x:v>
      </x:c>
      <x:c r="AS2146" t="str">
        <x:f>_xlfn.XLOOKUP($A2146,Games!$A$2:$A$18,Games!$N$2:$N$18,"Missing game",0)</x:f>
        <x:v>dome</x:v>
      </x:c>
      <x:c r="AT2146" t="str">
        <x:f>_xlfn.XLOOKUP($A2146,Games!$A$2:$A$18,Games!$O$2:$O$18,"Missing game",0)</x:f>
        <x:v>sportturf</x:v>
      </x:c>
      <x:c r="AU2146" t="str">
        <x:f>_xlfn.XLOOKUP($A2146,Games!$A$2:$A$18,Games!$P$2:$P$18,"Missing game",0)</x:f>
      </x:c>
      <x:c r="AV2146" t="str">
        <x:f>_xlfn.XLOOKUP($A2146,Games!$A$2:$A$18,Games!$Q$2:$Q$18,"Missing game",0)</x:f>
      </x:c>
      <x:c r="AW2146" t="str">
        <x:f>_xlfn.XLOOKUP($A2146,Games!$A$2:$A$18,Games!$R$2:$R$18,"Missing game",0)</x:f>
        <x:v>U.S. Bank Stadium</x:v>
      </x:c>
    </x:row>
    <x:row r="2147">
      <x:c r="A2147" t="str">
        <x:v>2025_14_WAS_MIN</x:v>
      </x:c>
      <x:c r="B2147" t="n">
        <x:v>3433</x:v>
      </x:c>
      <x:c r="C2147" t="n">
        <x:v>4</x:v>
      </x:c>
      <x:c r="D2147" t="str">
        <x:v>01:16</x:v>
      </x:c>
      <x:c r="E2147" t="n">
        <x:v>2</x:v>
      </x:c>
      <x:c r="F2147" t="n">
        <x:v>11</x:v>
      </x:c>
      <x:c r="G2147" t="str">
        <x:v>MIN</x:v>
      </x:c>
      <x:c r="H2147" t="str">
        <x:v>WAS</x:v>
      </x:c>
      <x:c r="I2147" t="str">
        <x:v>WAS</x:v>
      </x:c>
      <x:c r="J2147" t="n">
        <x:v>26</x:v>
      </x:c>
      <x:c r="K2147" t="str">
        <x:v>(1:16) 9-J.McCarthy kneels to WAS 27 for -1 yards.</x:v>
      </x:c>
      <x:c r="L2147" t="str">
        <x:v>qb_kneel</x:v>
      </x:c>
      <x:c r="M2147" t="n">
        <x:v>-1</x:v>
      </x:c>
      <x:c r="N2147" t="n">
        <x:v>0</x:v>
      </x:c>
      <x:c r="O2147" t="n">
        <x:v>0</x:v>
      </x:c>
      <x:c r="P2147"/>
      <x:c r="Q2147"/>
      <x:c r="R2147"/>
      <x:c r="S2147"/>
      <x:c r="T2147"/>
      <x:c r="U2147"/>
      <x:c r="V2147" t="n">
        <x:v>0</x:v>
      </x:c>
      <x:c r="W2147" t="n">
        <x:v>0</x:v>
      </x:c>
      <x:c r="X2147" t="n">
        <x:v>0</x:v>
      </x:c>
      <x:c r="Y2147" t="n">
        <x:v>0</x:v>
      </x:c>
      <x:c r="Z2147" t="n">
        <x:v>0</x:v>
      </x:c>
      <x:c r="AA2147" t="n">
        <x:v>0</x:v>
      </x:c>
      <x:c r="AB2147"/>
      <x:c r="AC2147" t="n">
        <x:v>0</x:v>
      </x:c>
      <x:c r="AD2147" t="n">
        <x:v>-0.40152959543047473</x:v>
      </x:c>
      <x:c r="AE2147" t="n">
        <x:v>0</x:v>
      </x:c>
      <x:c r="AF2147"/>
      <x:c r="AG2147" t="n">
        <x:f>_xlfn.XLOOKUP($A2147,Games!$A$2:$A$18,Games!$B$2:$B$18,"Missing game",0)</x:f>
        <x:v>2025</x:v>
      </x:c>
      <x:c r="AH2147" t="str">
        <x:f>_xlfn.XLOOKUP($A2147,Games!$A$2:$A$18,Games!$C$2:$C$18,"Missing game",0)</x:f>
        <x:v>REG</x:v>
      </x:c>
      <x:c r="AI2147" t="n">
        <x:f>_xlfn.XLOOKUP($A2147,Games!$A$2:$A$18,Games!$D$2:$D$18,"Missing game",0)</x:f>
        <x:v>14</x:v>
      </x:c>
      <x:c r="AJ2147" s="1" t="n">
        <x:f>_xlfn.XLOOKUP($A2147,Games!$A$2:$A$18,Games!$E$2:$E$18,"Missing game",0)</x:f>
        <x:v>45998</x:v>
      </x:c>
      <x:c r="AK2147" t="str">
        <x:f>_xlfn.XLOOKUP($A2147,Games!$A$2:$A$18,Games!$F$2:$F$18,"Missing game",0)</x:f>
        <x:v>Sunday</x:v>
      </x:c>
      <x:c r="AL2147" t="str">
        <x:f>_xlfn.XLOOKUP($A2147,Games!$A$2:$A$18,Games!$G$2:$G$18,"Missing game",0)</x:f>
        <x:v>WAS</x:v>
      </x:c>
      <x:c r="AM2147" t="n">
        <x:f>_xlfn.XLOOKUP($A2147,Games!$A$2:$A$18,Games!$H$2:$H$18,"Missing game",0)</x:f>
        <x:v>0</x:v>
      </x:c>
      <x:c r="AN2147" t="str">
        <x:f>_xlfn.XLOOKUP($A2147,Games!$A$2:$A$18,Games!$I$2:$I$18,"Missing game",0)</x:f>
        <x:v>MIN</x:v>
      </x:c>
      <x:c r="AO2147" t="n">
        <x:f>_xlfn.XLOOKUP($A2147,Games!$A$2:$A$18,Games!$J$2:$J$18,"Missing game",0)</x:f>
        <x:v>31</x:v>
      </x:c>
      <x:c r="AP2147" t="n">
        <x:f>_xlfn.XLOOKUP($A2147,Games!$A$2:$A$18,Games!$K$2:$K$18,"Missing game",0)</x:f>
        <x:v>31</x:v>
      </x:c>
      <x:c r="AQ2147" t="n">
        <x:f>_xlfn.XLOOKUP($A2147,Games!$A$2:$A$18,Games!$L$2:$L$18,"Missing game",0)</x:f>
        <x:v>31</x:v>
      </x:c>
      <x:c r="AR2147" t="n">
        <x:f>_xlfn.XLOOKUP($A2147,Games!$A$2:$A$18,Games!$M$2:$M$18,"Missing game",0)</x:f>
        <x:v>0</x:v>
      </x:c>
      <x:c r="AS2147" t="str">
        <x:f>_xlfn.XLOOKUP($A2147,Games!$A$2:$A$18,Games!$N$2:$N$18,"Missing game",0)</x:f>
        <x:v>dome</x:v>
      </x:c>
      <x:c r="AT2147" t="str">
        <x:f>_xlfn.XLOOKUP($A2147,Games!$A$2:$A$18,Games!$O$2:$O$18,"Missing game",0)</x:f>
        <x:v>sportturf</x:v>
      </x:c>
      <x:c r="AU2147" t="str">
        <x:f>_xlfn.XLOOKUP($A2147,Games!$A$2:$A$18,Games!$P$2:$P$18,"Missing game",0)</x:f>
      </x:c>
      <x:c r="AV2147" t="str">
        <x:f>_xlfn.XLOOKUP($A2147,Games!$A$2:$A$18,Games!$Q$2:$Q$18,"Missing game",0)</x:f>
      </x:c>
      <x:c r="AW2147" t="str">
        <x:f>_xlfn.XLOOKUP($A2147,Games!$A$2:$A$18,Games!$R$2:$R$18,"Missing game",0)</x:f>
        <x:v>U.S. Bank Stadium</x:v>
      </x:c>
    </x:row>
    <x:row r="2148">
      <x:c r="A2148" t="str">
        <x:v>2025_14_WAS_MIN</x:v>
      </x:c>
      <x:c r="B2148" t="n">
        <x:v>3455</x:v>
      </x:c>
      <x:c r="C2148" t="n">
        <x:v>4</x:v>
      </x:c>
      <x:c r="D2148" t="str">
        <x:v>00:39</x:v>
      </x:c>
      <x:c r="E2148" t="n">
        <x:v>3</x:v>
      </x:c>
      <x:c r="F2148" t="n">
        <x:v>12</x:v>
      </x:c>
      <x:c r="G2148" t="str">
        <x:v>MIN</x:v>
      </x:c>
      <x:c r="H2148" t="str">
        <x:v>WAS</x:v>
      </x:c>
      <x:c r="I2148" t="str">
        <x:v>WAS</x:v>
      </x:c>
      <x:c r="J2148" t="n">
        <x:v>27</x:v>
      </x:c>
      <x:c r="K2148" t="str">
        <x:v>(:39) 9-J.McCarthy kneels to WAS 28 for -1 yards.</x:v>
      </x:c>
      <x:c r="L2148" t="str">
        <x:v>qb_kneel</x:v>
      </x:c>
      <x:c r="M2148" t="n">
        <x:v>-1</x:v>
      </x:c>
      <x:c r="N2148" t="n">
        <x:v>0</x:v>
      </x:c>
      <x:c r="O2148" t="n">
        <x:v>0</x:v>
      </x:c>
      <x:c r="P2148"/>
      <x:c r="Q2148"/>
      <x:c r="R2148"/>
      <x:c r="S2148"/>
      <x:c r="T2148"/>
      <x:c r="U2148"/>
      <x:c r="V2148" t="n">
        <x:v>0</x:v>
      </x:c>
      <x:c r="W2148" t="n">
        <x:v>0</x:v>
      </x:c>
      <x:c r="X2148" t="n">
        <x:v>0</x:v>
      </x:c>
      <x:c r="Y2148" t="n">
        <x:v>0</x:v>
      </x:c>
      <x:c r="Z2148" t="n">
        <x:v>0</x:v>
      </x:c>
      <x:c r="AA2148" t="n">
        <x:v>0</x:v>
      </x:c>
      <x:c r="AB2148"/>
      <x:c r="AC2148" t="n">
        <x:v>0</x:v>
      </x:c>
      <x:c r="AD2148" t="n">
        <x:v>-2.8669218674767762</x:v>
      </x:c>
      <x:c r="AE2148" t="n">
        <x:v>0</x:v>
      </x:c>
      <x:c r="AF2148"/>
      <x:c r="AG2148" t="n">
        <x:f>_xlfn.XLOOKUP($A2148,Games!$A$2:$A$18,Games!$B$2:$B$18,"Missing game",0)</x:f>
        <x:v>2025</x:v>
      </x:c>
      <x:c r="AH2148" t="str">
        <x:f>_xlfn.XLOOKUP($A2148,Games!$A$2:$A$18,Games!$C$2:$C$18,"Missing game",0)</x:f>
        <x:v>REG</x:v>
      </x:c>
      <x:c r="AI2148" t="n">
        <x:f>_xlfn.XLOOKUP($A2148,Games!$A$2:$A$18,Games!$D$2:$D$18,"Missing game",0)</x:f>
        <x:v>14</x:v>
      </x:c>
      <x:c r="AJ2148" s="1" t="n">
        <x:f>_xlfn.XLOOKUP($A2148,Games!$A$2:$A$18,Games!$E$2:$E$18,"Missing game",0)</x:f>
        <x:v>45998</x:v>
      </x:c>
      <x:c r="AK2148" t="str">
        <x:f>_xlfn.XLOOKUP($A2148,Games!$A$2:$A$18,Games!$F$2:$F$18,"Missing game",0)</x:f>
        <x:v>Sunday</x:v>
      </x:c>
      <x:c r="AL2148" t="str">
        <x:f>_xlfn.XLOOKUP($A2148,Games!$A$2:$A$18,Games!$G$2:$G$18,"Missing game",0)</x:f>
        <x:v>WAS</x:v>
      </x:c>
      <x:c r="AM2148" t="n">
        <x:f>_xlfn.XLOOKUP($A2148,Games!$A$2:$A$18,Games!$H$2:$H$18,"Missing game",0)</x:f>
        <x:v>0</x:v>
      </x:c>
      <x:c r="AN2148" t="str">
        <x:f>_xlfn.XLOOKUP($A2148,Games!$A$2:$A$18,Games!$I$2:$I$18,"Missing game",0)</x:f>
        <x:v>MIN</x:v>
      </x:c>
      <x:c r="AO2148" t="n">
        <x:f>_xlfn.XLOOKUP($A2148,Games!$A$2:$A$18,Games!$J$2:$J$18,"Missing game",0)</x:f>
        <x:v>31</x:v>
      </x:c>
      <x:c r="AP2148" t="n">
        <x:f>_xlfn.XLOOKUP($A2148,Games!$A$2:$A$18,Games!$K$2:$K$18,"Missing game",0)</x:f>
        <x:v>31</x:v>
      </x:c>
      <x:c r="AQ2148" t="n">
        <x:f>_xlfn.XLOOKUP($A2148,Games!$A$2:$A$18,Games!$L$2:$L$18,"Missing game",0)</x:f>
        <x:v>31</x:v>
      </x:c>
      <x:c r="AR2148" t="n">
        <x:f>_xlfn.XLOOKUP($A2148,Games!$A$2:$A$18,Games!$M$2:$M$18,"Missing game",0)</x:f>
        <x:v>0</x:v>
      </x:c>
      <x:c r="AS2148" t="str">
        <x:f>_xlfn.XLOOKUP($A2148,Games!$A$2:$A$18,Games!$N$2:$N$18,"Missing game",0)</x:f>
        <x:v>dome</x:v>
      </x:c>
      <x:c r="AT2148" t="str">
        <x:f>_xlfn.XLOOKUP($A2148,Games!$A$2:$A$18,Games!$O$2:$O$18,"Missing game",0)</x:f>
        <x:v>sportturf</x:v>
      </x:c>
      <x:c r="AU2148" t="str">
        <x:f>_xlfn.XLOOKUP($A2148,Games!$A$2:$A$18,Games!$P$2:$P$18,"Missing game",0)</x:f>
      </x:c>
      <x:c r="AV2148" t="str">
        <x:f>_xlfn.XLOOKUP($A2148,Games!$A$2:$A$18,Games!$Q$2:$Q$18,"Missing game",0)</x:f>
      </x:c>
      <x:c r="AW2148" t="str">
        <x:f>_xlfn.XLOOKUP($A2148,Games!$A$2:$A$18,Games!$R$2:$R$18,"Missing game",0)</x:f>
        <x:v>U.S. Bank Stadium</x:v>
      </x:c>
    </x:row>
    <x:row r="2149">
      <x:c r="A2149" t="str">
        <x:v>2025_14_WAS_MIN</x:v>
      </x:c>
      <x:c r="B2149" t="n">
        <x:v>3477</x:v>
      </x:c>
      <x:c r="C2149" t="n">
        <x:v>4</x:v>
      </x:c>
      <x:c r="D2149" t="str">
        <x:v>00:00</x:v>
      </x:c>
      <x:c r="E2149"/>
      <x:c r="F2149" t="n">
        <x:v>0</x:v>
      </x:c>
      <x:c r="G2149" t="str">
        <x:v>MIN</x:v>
      </x:c>
      <x:c r="H2149" t="str">
        <x:v>WAS</x:v>
      </x:c>
      <x:c r="I2149"/>
      <x:c r="J2149"/>
      <x:c r="K2149" t="str">
        <x:v>END GAME</x:v>
      </x:c>
      <x:c r="L2149"/>
      <x:c r="M2149"/>
      <x:c r="N2149" t="n">
        <x:v>0</x:v>
      </x:c>
      <x:c r="O2149" t="n">
        <x:v>0</x:v>
      </x:c>
      <x:c r="P2149"/>
      <x:c r="Q2149"/>
      <x:c r="R2149"/>
      <x:c r="S2149"/>
      <x:c r="T2149"/>
      <x:c r="U2149"/>
      <x:c r="V2149"/>
      <x:c r="W2149"/>
      <x:c r="X2149"/>
      <x:c r="Y2149"/>
      <x:c r="Z2149"/>
      <x:c r="AA2149"/>
      <x:c r="AB2149"/>
      <x:c r="AC2149"/>
      <x:c r="AD2149"/>
      <x:c r="AE2149"/>
      <x:c r="AF2149"/>
      <x:c r="AG2149" t="n">
        <x:f>_xlfn.XLOOKUP($A2149,Games!$A$2:$A$18,Games!$B$2:$B$18,"Missing game",0)</x:f>
        <x:v>2025</x:v>
      </x:c>
      <x:c r="AH2149" t="str">
        <x:f>_xlfn.XLOOKUP($A2149,Games!$A$2:$A$18,Games!$C$2:$C$18,"Missing game",0)</x:f>
        <x:v>REG</x:v>
      </x:c>
      <x:c r="AI2149" t="n">
        <x:f>_xlfn.XLOOKUP($A2149,Games!$A$2:$A$18,Games!$D$2:$D$18,"Missing game",0)</x:f>
        <x:v>14</x:v>
      </x:c>
      <x:c r="AJ2149" s="1" t="n">
        <x:f>_xlfn.XLOOKUP($A2149,Games!$A$2:$A$18,Games!$E$2:$E$18,"Missing game",0)</x:f>
        <x:v>45998</x:v>
      </x:c>
      <x:c r="AK2149" t="str">
        <x:f>_xlfn.XLOOKUP($A2149,Games!$A$2:$A$18,Games!$F$2:$F$18,"Missing game",0)</x:f>
        <x:v>Sunday</x:v>
      </x:c>
      <x:c r="AL2149" t="str">
        <x:f>_xlfn.XLOOKUP($A2149,Games!$A$2:$A$18,Games!$G$2:$G$18,"Missing game",0)</x:f>
        <x:v>WAS</x:v>
      </x:c>
      <x:c r="AM2149" t="n">
        <x:f>_xlfn.XLOOKUP($A2149,Games!$A$2:$A$18,Games!$H$2:$H$18,"Missing game",0)</x:f>
        <x:v>0</x:v>
      </x:c>
      <x:c r="AN2149" t="str">
        <x:f>_xlfn.XLOOKUP($A2149,Games!$A$2:$A$18,Games!$I$2:$I$18,"Missing game",0)</x:f>
        <x:v>MIN</x:v>
      </x:c>
      <x:c r="AO2149" t="n">
        <x:f>_xlfn.XLOOKUP($A2149,Games!$A$2:$A$18,Games!$J$2:$J$18,"Missing game",0)</x:f>
        <x:v>31</x:v>
      </x:c>
      <x:c r="AP2149" t="n">
        <x:f>_xlfn.XLOOKUP($A2149,Games!$A$2:$A$18,Games!$K$2:$K$18,"Missing game",0)</x:f>
        <x:v>31</x:v>
      </x:c>
      <x:c r="AQ2149" t="n">
        <x:f>_xlfn.XLOOKUP($A2149,Games!$A$2:$A$18,Games!$L$2:$L$18,"Missing game",0)</x:f>
        <x:v>31</x:v>
      </x:c>
      <x:c r="AR2149" t="n">
        <x:f>_xlfn.XLOOKUP($A2149,Games!$A$2:$A$18,Games!$M$2:$M$18,"Missing game",0)</x:f>
        <x:v>0</x:v>
      </x:c>
      <x:c r="AS2149" t="str">
        <x:f>_xlfn.XLOOKUP($A2149,Games!$A$2:$A$18,Games!$N$2:$N$18,"Missing game",0)</x:f>
        <x:v>dome</x:v>
      </x:c>
      <x:c r="AT2149" t="str">
        <x:f>_xlfn.XLOOKUP($A2149,Games!$A$2:$A$18,Games!$O$2:$O$18,"Missing game",0)</x:f>
        <x:v>sportturf</x:v>
      </x:c>
      <x:c r="AU2149" t="str">
        <x:f>_xlfn.XLOOKUP($A2149,Games!$A$2:$A$18,Games!$P$2:$P$18,"Missing game",0)</x:f>
      </x:c>
      <x:c r="AV2149" t="str">
        <x:f>_xlfn.XLOOKUP($A2149,Games!$A$2:$A$18,Games!$Q$2:$Q$18,"Missing game",0)</x:f>
      </x:c>
      <x:c r="AW2149" t="str">
        <x:f>_xlfn.XLOOKUP($A2149,Games!$A$2:$A$18,Games!$R$2:$R$18,"Missing game",0)</x:f>
        <x:v>U.S. Bank Stadium</x:v>
      </x:c>
    </x:row>
    <x:row r="2150">
      <x:c r="A2150" t="str">
        <x:v>2025_15_MIN_DAL</x:v>
      </x:c>
      <x:c r="B2150" t="n">
        <x:v>1</x:v>
      </x:c>
      <x:c r="C2150" t="n">
        <x:v>1</x:v>
      </x:c>
      <x:c r="D2150" t="str">
        <x:v>15:00</x:v>
      </x:c>
      <x:c r="E2150"/>
      <x:c r="F2150" t="n">
        <x:v>0</x:v>
      </x:c>
      <x:c r="G2150"/>
      <x:c r="H2150"/>
      <x:c r="I2150"/>
      <x:c r="J2150"/>
      <x:c r="K2150" t="str">
        <x:v>GAME</x:v>
      </x:c>
      <x:c r="L2150"/>
      <x:c r="M2150"/>
      <x:c r="N2150" t="n">
        <x:v>0</x:v>
      </x:c>
      <x:c r="O2150" t="n">
        <x:v>0</x:v>
      </x:c>
      <x:c r="P2150"/>
      <x:c r="Q2150"/>
      <x:c r="R2150"/>
      <x:c r="S2150"/>
      <x:c r="T2150"/>
      <x:c r="U2150"/>
      <x:c r="V2150"/>
      <x:c r="W2150"/>
      <x:c r="X2150"/>
      <x:c r="Y2150"/>
      <x:c r="Z2150"/>
      <x:c r="AA2150"/>
      <x:c r="AB2150"/>
      <x:c r="AC2150"/>
      <x:c r="AD2150" t="n">
        <x:v>0</x:v>
      </x:c>
      <x:c r="AE2150" t="n">
        <x:v>0</x:v>
      </x:c>
      <x:c r="AF2150" t="n">
        <x:v>0</x:v>
      </x:c>
      <x:c r="AG2150" t="n">
        <x:f>_xlfn.XLOOKUP($A2150,Games!$A$2:$A$18,Games!$B$2:$B$18,"Missing game",0)</x:f>
        <x:v>2025</x:v>
      </x:c>
      <x:c r="AH2150" t="str">
        <x:f>_xlfn.XLOOKUP($A2150,Games!$A$2:$A$18,Games!$C$2:$C$18,"Missing game",0)</x:f>
        <x:v>REG</x:v>
      </x:c>
      <x:c r="AI2150" t="n">
        <x:f>_xlfn.XLOOKUP($A2150,Games!$A$2:$A$18,Games!$D$2:$D$18,"Missing game",0)</x:f>
        <x:v>15</x:v>
      </x:c>
      <x:c r="AJ2150" s="1" t="n">
        <x:f>_xlfn.XLOOKUP($A2150,Games!$A$2:$A$18,Games!$E$2:$E$18,"Missing game",0)</x:f>
        <x:v>46005</x:v>
      </x:c>
      <x:c r="AK2150" t="str">
        <x:f>_xlfn.XLOOKUP($A2150,Games!$A$2:$A$18,Games!$F$2:$F$18,"Missing game",0)</x:f>
        <x:v>Sunday</x:v>
      </x:c>
      <x:c r="AL2150" t="str">
        <x:f>_xlfn.XLOOKUP($A2150,Games!$A$2:$A$18,Games!$G$2:$G$18,"Missing game",0)</x:f>
        <x:v>MIN</x:v>
      </x:c>
      <x:c r="AM2150" t="n">
        <x:f>_xlfn.XLOOKUP($A2150,Games!$A$2:$A$18,Games!$H$2:$H$18,"Missing game",0)</x:f>
        <x:v>34</x:v>
      </x:c>
      <x:c r="AN2150" t="str">
        <x:f>_xlfn.XLOOKUP($A2150,Games!$A$2:$A$18,Games!$I$2:$I$18,"Missing game",0)</x:f>
        <x:v>DAL</x:v>
      </x:c>
      <x:c r="AO2150" t="n">
        <x:f>_xlfn.XLOOKUP($A2150,Games!$A$2:$A$18,Games!$J$2:$J$18,"Missing game",0)</x:f>
        <x:v>26</x:v>
      </x:c>
      <x:c r="AP2150" t="n">
        <x:f>_xlfn.XLOOKUP($A2150,Games!$A$2:$A$18,Games!$K$2:$K$18,"Missing game",0)</x:f>
        <x:v>-8</x:v>
      </x:c>
      <x:c r="AQ2150" t="n">
        <x:f>_xlfn.XLOOKUP($A2150,Games!$A$2:$A$18,Games!$L$2:$L$18,"Missing game",0)</x:f>
        <x:v>60</x:v>
      </x:c>
      <x:c r="AR2150" t="n">
        <x:f>_xlfn.XLOOKUP($A2150,Games!$A$2:$A$18,Games!$M$2:$M$18,"Missing game",0)</x:f>
        <x:v>0</x:v>
      </x:c>
      <x:c r="AS2150" t="str">
        <x:f>_xlfn.XLOOKUP($A2150,Games!$A$2:$A$18,Games!$N$2:$N$18,"Missing game",0)</x:f>
        <x:v>closed</x:v>
      </x:c>
      <x:c r="AT2150" t="str">
        <x:f>_xlfn.XLOOKUP($A2150,Games!$A$2:$A$18,Games!$O$2:$O$18,"Missing game",0)</x:f>
        <x:v>matrixturf</x:v>
      </x:c>
      <x:c r="AU2150" t="str">
        <x:f>_xlfn.XLOOKUP($A2150,Games!$A$2:$A$18,Games!$P$2:$P$18,"Missing game",0)</x:f>
      </x:c>
      <x:c r="AV2150" t="str">
        <x:f>_xlfn.XLOOKUP($A2150,Games!$A$2:$A$18,Games!$Q$2:$Q$18,"Missing game",0)</x:f>
      </x:c>
      <x:c r="AW2150" t="str">
        <x:f>_xlfn.XLOOKUP($A2150,Games!$A$2:$A$18,Games!$R$2:$R$18,"Missing game",0)</x:f>
        <x:v>AT&amp;T Stadium</x:v>
      </x:c>
    </x:row>
    <x:row r="2151">
      <x:c r="A2151" t="str">
        <x:v>2025_15_MIN_DAL</x:v>
      </x:c>
      <x:c r="B2151" t="n">
        <x:v>39</x:v>
      </x:c>
      <x:c r="C2151" t="n">
        <x:v>1</x:v>
      </x:c>
      <x:c r="D2151" t="str">
        <x:v>15:00</x:v>
      </x:c>
      <x:c r="E2151"/>
      <x:c r="F2151" t="n">
        <x:v>0</x:v>
      </x:c>
      <x:c r="G2151" t="str">
        <x:v>MIN</x:v>
      </x:c>
      <x:c r="H2151" t="str">
        <x:v>DAL</x:v>
      </x:c>
      <x:c r="I2151" t="str">
        <x:v>DAL</x:v>
      </x:c>
      <x:c r="J2151" t="n">
        <x:v>35</x:v>
      </x:c>
      <x:c r="K2151" t="str">
        <x:v>17-B.Aubrey kicks 57 yards from DAL 35 to MIN 8. 4-M.Price to MIN 32 for 24 yards (89-B.Spann-Ford; 14-M.Bell).</x:v>
      </x:c>
      <x:c r="L2151" t="str">
        <x:v>kickoff</x:v>
      </x:c>
      <x:c r="M2151" t="n">
        <x:v>0</x:v>
      </x:c>
      <x:c r="N2151" t="n">
        <x:v>0</x:v>
      </x:c>
      <x:c r="O2151" t="n">
        <x:v>0</x:v>
      </x:c>
      <x:c r="P2151"/>
      <x:c r="Q2151"/>
      <x:c r="R2151"/>
      <x:c r="S2151"/>
      <x:c r="T2151"/>
      <x:c r="U2151"/>
      <x:c r="V2151" t="n">
        <x:v>0</x:v>
      </x:c>
      <x:c r="W2151" t="n">
        <x:v>0</x:v>
      </x:c>
      <x:c r="X2151" t="n">
        <x:v>0</x:v>
      </x:c>
      <x:c r="Y2151" t="n">
        <x:v>0</x:v>
      </x:c>
      <x:c r="Z2151" t="n">
        <x:v>0</x:v>
      </x:c>
      <x:c r="AA2151" t="n">
        <x:v>0</x:v>
      </x:c>
      <x:c r="AB2151"/>
      <x:c r="AC2151" t="n">
        <x:v>0</x:v>
      </x:c>
      <x:c r="AD2151" t="n">
        <x:v>0.49029072374105453</x:v>
      </x:c>
      <x:c r="AE2151" t="n">
        <x:v>1</x:v>
      </x:c>
      <x:c r="AF2151" t="n">
        <x:v>0.006420731544494629</x:v>
      </x:c>
      <x:c r="AG2151" t="n">
        <x:f>_xlfn.XLOOKUP($A2151,Games!$A$2:$A$18,Games!$B$2:$B$18,"Missing game",0)</x:f>
        <x:v>2025</x:v>
      </x:c>
      <x:c r="AH2151" t="str">
        <x:f>_xlfn.XLOOKUP($A2151,Games!$A$2:$A$18,Games!$C$2:$C$18,"Missing game",0)</x:f>
        <x:v>REG</x:v>
      </x:c>
      <x:c r="AI2151" t="n">
        <x:f>_xlfn.XLOOKUP($A2151,Games!$A$2:$A$18,Games!$D$2:$D$18,"Missing game",0)</x:f>
        <x:v>15</x:v>
      </x:c>
      <x:c r="AJ2151" s="1" t="n">
        <x:f>_xlfn.XLOOKUP($A2151,Games!$A$2:$A$18,Games!$E$2:$E$18,"Missing game",0)</x:f>
        <x:v>46005</x:v>
      </x:c>
      <x:c r="AK2151" t="str">
        <x:f>_xlfn.XLOOKUP($A2151,Games!$A$2:$A$18,Games!$F$2:$F$18,"Missing game",0)</x:f>
        <x:v>Sunday</x:v>
      </x:c>
      <x:c r="AL2151" t="str">
        <x:f>_xlfn.XLOOKUP($A2151,Games!$A$2:$A$18,Games!$G$2:$G$18,"Missing game",0)</x:f>
        <x:v>MIN</x:v>
      </x:c>
      <x:c r="AM2151" t="n">
        <x:f>_xlfn.XLOOKUP($A2151,Games!$A$2:$A$18,Games!$H$2:$H$18,"Missing game",0)</x:f>
        <x:v>34</x:v>
      </x:c>
      <x:c r="AN2151" t="str">
        <x:f>_xlfn.XLOOKUP($A2151,Games!$A$2:$A$18,Games!$I$2:$I$18,"Missing game",0)</x:f>
        <x:v>DAL</x:v>
      </x:c>
      <x:c r="AO2151" t="n">
        <x:f>_xlfn.XLOOKUP($A2151,Games!$A$2:$A$18,Games!$J$2:$J$18,"Missing game",0)</x:f>
        <x:v>26</x:v>
      </x:c>
      <x:c r="AP2151" t="n">
        <x:f>_xlfn.XLOOKUP($A2151,Games!$A$2:$A$18,Games!$K$2:$K$18,"Missing game",0)</x:f>
        <x:v>-8</x:v>
      </x:c>
      <x:c r="AQ2151" t="n">
        <x:f>_xlfn.XLOOKUP($A2151,Games!$A$2:$A$18,Games!$L$2:$L$18,"Missing game",0)</x:f>
        <x:v>60</x:v>
      </x:c>
      <x:c r="AR2151" t="n">
        <x:f>_xlfn.XLOOKUP($A2151,Games!$A$2:$A$18,Games!$M$2:$M$18,"Missing game",0)</x:f>
        <x:v>0</x:v>
      </x:c>
      <x:c r="AS2151" t="str">
        <x:f>_xlfn.XLOOKUP($A2151,Games!$A$2:$A$18,Games!$N$2:$N$18,"Missing game",0)</x:f>
        <x:v>closed</x:v>
      </x:c>
      <x:c r="AT2151" t="str">
        <x:f>_xlfn.XLOOKUP($A2151,Games!$A$2:$A$18,Games!$O$2:$O$18,"Missing game",0)</x:f>
        <x:v>matrixturf</x:v>
      </x:c>
      <x:c r="AU2151" t="str">
        <x:f>_xlfn.XLOOKUP($A2151,Games!$A$2:$A$18,Games!$P$2:$P$18,"Missing game",0)</x:f>
      </x:c>
      <x:c r="AV2151" t="str">
        <x:f>_xlfn.XLOOKUP($A2151,Games!$A$2:$A$18,Games!$Q$2:$Q$18,"Missing game",0)</x:f>
      </x:c>
      <x:c r="AW2151" t="str">
        <x:f>_xlfn.XLOOKUP($A2151,Games!$A$2:$A$18,Games!$R$2:$R$18,"Missing game",0)</x:f>
        <x:v>AT&amp;T Stadium</x:v>
      </x:c>
    </x:row>
    <x:row r="2152">
      <x:c r="A2152" t="str">
        <x:v>2025_15_MIN_DAL</x:v>
      </x:c>
      <x:c r="B2152" t="n">
        <x:v>62</x:v>
      </x:c>
      <x:c r="C2152" t="n">
        <x:v>1</x:v>
      </x:c>
      <x:c r="D2152" t="str">
        <x:v>14:53</x:v>
      </x:c>
      <x:c r="E2152" t="n">
        <x:v>1</x:v>
      </x:c>
      <x:c r="F2152" t="n">
        <x:v>10</x:v>
      </x:c>
      <x:c r="G2152" t="str">
        <x:v>MIN</x:v>
      </x:c>
      <x:c r="H2152" t="str">
        <x:v>DAL</x:v>
      </x:c>
      <x:c r="I2152" t="str">
        <x:v>MIN</x:v>
      </x:c>
      <x:c r="J2152" t="n">
        <x:v>68</x:v>
      </x:c>
      <x:c r="K2152" t="str">
        <x:v>(14:53) 33-A.Jones left end to MIN 38 for 6 yards (26-D.Bland).</x:v>
      </x:c>
      <x:c r="L2152" t="str">
        <x:v>run</x:v>
      </x:c>
      <x:c r="M2152" t="n">
        <x:v>6</x:v>
      </x:c>
      <x:c r="N2152" t="n">
        <x:v>0</x:v>
      </x:c>
      <x:c r="O2152" t="n">
        <x:v>0</x:v>
      </x:c>
      <x:c r="P2152"/>
      <x:c r="Q2152"/>
      <x:c r="R2152"/>
      <x:c r="S2152"/>
      <x:c r="T2152" t="str">
        <x:v>left</x:v>
      </x:c>
      <x:c r="U2152" t="str">
        <x:v>end</x:v>
      </x:c>
      <x:c r="V2152" t="n">
        <x:v>0</x:v>
      </x:c>
      <x:c r="W2152" t="n">
        <x:v>0</x:v>
      </x:c>
      <x:c r="X2152" t="n">
        <x:v>0</x:v>
      </x:c>
      <x:c r="Y2152" t="n">
        <x:v>0</x:v>
      </x:c>
      <x:c r="Z2152" t="n">
        <x:v>0</x:v>
      </x:c>
      <x:c r="AA2152" t="n">
        <x:v>0</x:v>
      </x:c>
      <x:c r="AB2152"/>
      <x:c r="AC2152" t="n">
        <x:v>0</x:v>
      </x:c>
      <x:c r="AD2152" t="n">
        <x:v>0.17215486941859126</x:v>
      </x:c>
      <x:c r="AE2152" t="n">
        <x:v>1</x:v>
      </x:c>
      <x:c r="AF2152" t="n">
        <x:v>0.007292062044143677</x:v>
      </x:c>
      <x:c r="AG2152" t="n">
        <x:f>_xlfn.XLOOKUP($A2152,Games!$A$2:$A$18,Games!$B$2:$B$18,"Missing game",0)</x:f>
        <x:v>2025</x:v>
      </x:c>
      <x:c r="AH2152" t="str">
        <x:f>_xlfn.XLOOKUP($A2152,Games!$A$2:$A$18,Games!$C$2:$C$18,"Missing game",0)</x:f>
        <x:v>REG</x:v>
      </x:c>
      <x:c r="AI2152" t="n">
        <x:f>_xlfn.XLOOKUP($A2152,Games!$A$2:$A$18,Games!$D$2:$D$18,"Missing game",0)</x:f>
        <x:v>15</x:v>
      </x:c>
      <x:c r="AJ2152" s="1" t="n">
        <x:f>_xlfn.XLOOKUP($A2152,Games!$A$2:$A$18,Games!$E$2:$E$18,"Missing game",0)</x:f>
        <x:v>46005</x:v>
      </x:c>
      <x:c r="AK2152" t="str">
        <x:f>_xlfn.XLOOKUP($A2152,Games!$A$2:$A$18,Games!$F$2:$F$18,"Missing game",0)</x:f>
        <x:v>Sunday</x:v>
      </x:c>
      <x:c r="AL2152" t="str">
        <x:f>_xlfn.XLOOKUP($A2152,Games!$A$2:$A$18,Games!$G$2:$G$18,"Missing game",0)</x:f>
        <x:v>MIN</x:v>
      </x:c>
      <x:c r="AM2152" t="n">
        <x:f>_xlfn.XLOOKUP($A2152,Games!$A$2:$A$18,Games!$H$2:$H$18,"Missing game",0)</x:f>
        <x:v>34</x:v>
      </x:c>
      <x:c r="AN2152" t="str">
        <x:f>_xlfn.XLOOKUP($A2152,Games!$A$2:$A$18,Games!$I$2:$I$18,"Missing game",0)</x:f>
        <x:v>DAL</x:v>
      </x:c>
      <x:c r="AO2152" t="n">
        <x:f>_xlfn.XLOOKUP($A2152,Games!$A$2:$A$18,Games!$J$2:$J$18,"Missing game",0)</x:f>
        <x:v>26</x:v>
      </x:c>
      <x:c r="AP2152" t="n">
        <x:f>_xlfn.XLOOKUP($A2152,Games!$A$2:$A$18,Games!$K$2:$K$18,"Missing game",0)</x:f>
        <x:v>-8</x:v>
      </x:c>
      <x:c r="AQ2152" t="n">
        <x:f>_xlfn.XLOOKUP($A2152,Games!$A$2:$A$18,Games!$L$2:$L$18,"Missing game",0)</x:f>
        <x:v>60</x:v>
      </x:c>
      <x:c r="AR2152" t="n">
        <x:f>_xlfn.XLOOKUP($A2152,Games!$A$2:$A$18,Games!$M$2:$M$18,"Missing game",0)</x:f>
        <x:v>0</x:v>
      </x:c>
      <x:c r="AS2152" t="str">
        <x:f>_xlfn.XLOOKUP($A2152,Games!$A$2:$A$18,Games!$N$2:$N$18,"Missing game",0)</x:f>
        <x:v>closed</x:v>
      </x:c>
      <x:c r="AT2152" t="str">
        <x:f>_xlfn.XLOOKUP($A2152,Games!$A$2:$A$18,Games!$O$2:$O$18,"Missing game",0)</x:f>
        <x:v>matrixturf</x:v>
      </x:c>
      <x:c r="AU2152" t="str">
        <x:f>_xlfn.XLOOKUP($A2152,Games!$A$2:$A$18,Games!$P$2:$P$18,"Missing game",0)</x:f>
      </x:c>
      <x:c r="AV2152" t="str">
        <x:f>_xlfn.XLOOKUP($A2152,Games!$A$2:$A$18,Games!$Q$2:$Q$18,"Missing game",0)</x:f>
      </x:c>
      <x:c r="AW2152" t="str">
        <x:f>_xlfn.XLOOKUP($A2152,Games!$A$2:$A$18,Games!$R$2:$R$18,"Missing game",0)</x:f>
        <x:v>AT&amp;T Stadium</x:v>
      </x:c>
    </x:row>
    <x:row r="2153">
      <x:c r="A2153" t="str">
        <x:v>2025_15_MIN_DAL</x:v>
      </x:c>
      <x:c r="B2153" t="n">
        <x:v>84</x:v>
      </x:c>
      <x:c r="C2153" t="n">
        <x:v>1</x:v>
      </x:c>
      <x:c r="D2153" t="str">
        <x:v>14:09</x:v>
      </x:c>
      <x:c r="E2153" t="n">
        <x:v>2</x:v>
      </x:c>
      <x:c r="F2153" t="n">
        <x:v>4</x:v>
      </x:c>
      <x:c r="G2153" t="str">
        <x:v>MIN</x:v>
      </x:c>
      <x:c r="H2153" t="str">
        <x:v>DAL</x:v>
      </x:c>
      <x:c r="I2153" t="str">
        <x:v>MIN</x:v>
      </x:c>
      <x:c r="J2153" t="n">
        <x:v>62</x:v>
      </x:c>
      <x:c r="K2153" t="str">
        <x:v>(14:09) (Shotgun) 9-J.McCarthy pass short right intended for 18-J.Jefferson INTERCEPTED by 92-Q.Williams (6-D.Wilson) at MIN 35. 92-Q.Williams to MIN 35 for no gain (84-J.Oliver).</x:v>
      </x:c>
      <x:c r="L2153" t="str">
        <x:v>pass</x:v>
      </x:c>
      <x:c r="M2153" t="n">
        <x:v>0</x:v>
      </x:c>
      <x:c r="N2153" t="n">
        <x:v>1</x:v>
      </x:c>
      <x:c r="O2153" t="n">
        <x:v>0</x:v>
      </x:c>
      <x:c r="P2153" t="str">
        <x:v>short</x:v>
      </x:c>
      <x:c r="Q2153" t="str">
        <x:v>right</x:v>
      </x:c>
      <x:c r="R2153" t="n">
        <x:v>-3</x:v>
      </x:c>
      <x:c r="S2153"/>
      <x:c r="T2153"/>
      <x:c r="U2153"/>
      <x:c r="V2153" t="n">
        <x:v>0</x:v>
      </x:c>
      <x:c r="W2153" t="n">
        <x:v>0</x:v>
      </x:c>
      <x:c r="X2153" t="n">
        <x:v>0</x:v>
      </x:c>
      <x:c r="Y2153" t="n">
        <x:v>1</x:v>
      </x:c>
      <x:c r="Z2153" t="n">
        <x:v>0</x:v>
      </x:c>
      <x:c r="AA2153" t="n">
        <x:v>0</x:v>
      </x:c>
      <x:c r="AB2153"/>
      <x:c r="AC2153" t="n">
        <x:v>0</x:v>
      </x:c>
      <x:c r="AD2153" t="n">
        <x:v>-5.612936096382327</x:v>
      </x:c>
      <x:c r="AE2153" t="n">
        <x:v>0</x:v>
      </x:c>
      <x:c r="AF2153" t="n">
        <x:v>-0.14576125144958496</x:v>
      </x:c>
      <x:c r="AG2153" t="n">
        <x:f>_xlfn.XLOOKUP($A2153,Games!$A$2:$A$18,Games!$B$2:$B$18,"Missing game",0)</x:f>
        <x:v>2025</x:v>
      </x:c>
      <x:c r="AH2153" t="str">
        <x:f>_xlfn.XLOOKUP($A2153,Games!$A$2:$A$18,Games!$C$2:$C$18,"Missing game",0)</x:f>
        <x:v>REG</x:v>
      </x:c>
      <x:c r="AI2153" t="n">
        <x:f>_xlfn.XLOOKUP($A2153,Games!$A$2:$A$18,Games!$D$2:$D$18,"Missing game",0)</x:f>
        <x:v>15</x:v>
      </x:c>
      <x:c r="AJ2153" s="1" t="n">
        <x:f>_xlfn.XLOOKUP($A2153,Games!$A$2:$A$18,Games!$E$2:$E$18,"Missing game",0)</x:f>
        <x:v>46005</x:v>
      </x:c>
      <x:c r="AK2153" t="str">
        <x:f>_xlfn.XLOOKUP($A2153,Games!$A$2:$A$18,Games!$F$2:$F$18,"Missing game",0)</x:f>
        <x:v>Sunday</x:v>
      </x:c>
      <x:c r="AL2153" t="str">
        <x:f>_xlfn.XLOOKUP($A2153,Games!$A$2:$A$18,Games!$G$2:$G$18,"Missing game",0)</x:f>
        <x:v>MIN</x:v>
      </x:c>
      <x:c r="AM2153" t="n">
        <x:f>_xlfn.XLOOKUP($A2153,Games!$A$2:$A$18,Games!$H$2:$H$18,"Missing game",0)</x:f>
        <x:v>34</x:v>
      </x:c>
      <x:c r="AN2153" t="str">
        <x:f>_xlfn.XLOOKUP($A2153,Games!$A$2:$A$18,Games!$I$2:$I$18,"Missing game",0)</x:f>
        <x:v>DAL</x:v>
      </x:c>
      <x:c r="AO2153" t="n">
        <x:f>_xlfn.XLOOKUP($A2153,Games!$A$2:$A$18,Games!$J$2:$J$18,"Missing game",0)</x:f>
        <x:v>26</x:v>
      </x:c>
      <x:c r="AP2153" t="n">
        <x:f>_xlfn.XLOOKUP($A2153,Games!$A$2:$A$18,Games!$K$2:$K$18,"Missing game",0)</x:f>
        <x:v>-8</x:v>
      </x:c>
      <x:c r="AQ2153" t="n">
        <x:f>_xlfn.XLOOKUP($A2153,Games!$A$2:$A$18,Games!$L$2:$L$18,"Missing game",0)</x:f>
        <x:v>60</x:v>
      </x:c>
      <x:c r="AR2153" t="n">
        <x:f>_xlfn.XLOOKUP($A2153,Games!$A$2:$A$18,Games!$M$2:$M$18,"Missing game",0)</x:f>
        <x:v>0</x:v>
      </x:c>
      <x:c r="AS2153" t="str">
        <x:f>_xlfn.XLOOKUP($A2153,Games!$A$2:$A$18,Games!$N$2:$N$18,"Missing game",0)</x:f>
        <x:v>closed</x:v>
      </x:c>
      <x:c r="AT2153" t="str">
        <x:f>_xlfn.XLOOKUP($A2153,Games!$A$2:$A$18,Games!$O$2:$O$18,"Missing game",0)</x:f>
        <x:v>matrixturf</x:v>
      </x:c>
      <x:c r="AU2153" t="str">
        <x:f>_xlfn.XLOOKUP($A2153,Games!$A$2:$A$18,Games!$P$2:$P$18,"Missing game",0)</x:f>
      </x:c>
      <x:c r="AV2153" t="str">
        <x:f>_xlfn.XLOOKUP($A2153,Games!$A$2:$A$18,Games!$Q$2:$Q$18,"Missing game",0)</x:f>
      </x:c>
      <x:c r="AW2153" t="str">
        <x:f>_xlfn.XLOOKUP($A2153,Games!$A$2:$A$18,Games!$R$2:$R$18,"Missing game",0)</x:f>
        <x:v>AT&amp;T Stadium</x:v>
      </x:c>
    </x:row>
    <x:row r="2154">
      <x:c r="A2154" t="str">
        <x:v>2025_15_MIN_DAL</x:v>
      </x:c>
      <x:c r="B2154" t="n">
        <x:v>111</x:v>
      </x:c>
      <x:c r="C2154" t="n">
        <x:v>1</x:v>
      </x:c>
      <x:c r="D2154" t="str">
        <x:v>14:02</x:v>
      </x:c>
      <x:c r="E2154" t="n">
        <x:v>1</x:v>
      </x:c>
      <x:c r="F2154" t="n">
        <x:v>10</x:v>
      </x:c>
      <x:c r="G2154" t="str">
        <x:v>DAL</x:v>
      </x:c>
      <x:c r="H2154" t="str">
        <x:v>MIN</x:v>
      </x:c>
      <x:c r="I2154" t="str">
        <x:v>MIN</x:v>
      </x:c>
      <x:c r="J2154" t="n">
        <x:v>35</x:v>
      </x:c>
      <x:c r="K2154" t="str">
        <x:v>(14:02) 33-J.Williams left guard to MIN 33 for 2 yards (61-J.Redmond).</x:v>
      </x:c>
      <x:c r="L2154" t="str">
        <x:v>run</x:v>
      </x:c>
      <x:c r="M2154" t="n">
        <x:v>2</x:v>
      </x:c>
      <x:c r="N2154" t="n">
        <x:v>0</x:v>
      </x:c>
      <x:c r="O2154" t="n">
        <x:v>0</x:v>
      </x:c>
      <x:c r="P2154"/>
      <x:c r="Q2154"/>
      <x:c r="R2154"/>
      <x:c r="S2154"/>
      <x:c r="T2154" t="str">
        <x:v>left</x:v>
      </x:c>
      <x:c r="U2154" t="str">
        <x:v>guard</x:v>
      </x:c>
      <x:c r="V2154" t="n">
        <x:v>0</x:v>
      </x:c>
      <x:c r="W2154" t="n">
        <x:v>0</x:v>
      </x:c>
      <x:c r="X2154" t="n">
        <x:v>0</x:v>
      </x:c>
      <x:c r="Y2154" t="n">
        <x:v>0</x:v>
      </x:c>
      <x:c r="Z2154" t="n">
        <x:v>0</x:v>
      </x:c>
      <x:c r="AA2154" t="n">
        <x:v>0</x:v>
      </x:c>
      <x:c r="AB2154"/>
      <x:c r="AC2154" t="n">
        <x:v>0</x:v>
      </x:c>
      <x:c r="AD2154" t="n">
        <x:v>-0.2790344924433157</x:v>
      </x:c>
      <x:c r="AE2154" t="n">
        <x:v>0</x:v>
      </x:c>
      <x:c r="AF2154" t="n">
        <x:v>-0.010971367359161377</x:v>
      </x:c>
      <x:c r="AG2154" t="n">
        <x:f>_xlfn.XLOOKUP($A2154,Games!$A$2:$A$18,Games!$B$2:$B$18,"Missing game",0)</x:f>
        <x:v>2025</x:v>
      </x:c>
      <x:c r="AH2154" t="str">
        <x:f>_xlfn.XLOOKUP($A2154,Games!$A$2:$A$18,Games!$C$2:$C$18,"Missing game",0)</x:f>
        <x:v>REG</x:v>
      </x:c>
      <x:c r="AI2154" t="n">
        <x:f>_xlfn.XLOOKUP($A2154,Games!$A$2:$A$18,Games!$D$2:$D$18,"Missing game",0)</x:f>
        <x:v>15</x:v>
      </x:c>
      <x:c r="AJ2154" s="1" t="n">
        <x:f>_xlfn.XLOOKUP($A2154,Games!$A$2:$A$18,Games!$E$2:$E$18,"Missing game",0)</x:f>
        <x:v>46005</x:v>
      </x:c>
      <x:c r="AK2154" t="str">
        <x:f>_xlfn.XLOOKUP($A2154,Games!$A$2:$A$18,Games!$F$2:$F$18,"Missing game",0)</x:f>
        <x:v>Sunday</x:v>
      </x:c>
      <x:c r="AL2154" t="str">
        <x:f>_xlfn.XLOOKUP($A2154,Games!$A$2:$A$18,Games!$G$2:$G$18,"Missing game",0)</x:f>
        <x:v>MIN</x:v>
      </x:c>
      <x:c r="AM2154" t="n">
        <x:f>_xlfn.XLOOKUP($A2154,Games!$A$2:$A$18,Games!$H$2:$H$18,"Missing game",0)</x:f>
        <x:v>34</x:v>
      </x:c>
      <x:c r="AN2154" t="str">
        <x:f>_xlfn.XLOOKUP($A2154,Games!$A$2:$A$18,Games!$I$2:$I$18,"Missing game",0)</x:f>
        <x:v>DAL</x:v>
      </x:c>
      <x:c r="AO2154" t="n">
        <x:f>_xlfn.XLOOKUP($A2154,Games!$A$2:$A$18,Games!$J$2:$J$18,"Missing game",0)</x:f>
        <x:v>26</x:v>
      </x:c>
      <x:c r="AP2154" t="n">
        <x:f>_xlfn.XLOOKUP($A2154,Games!$A$2:$A$18,Games!$K$2:$K$18,"Missing game",0)</x:f>
        <x:v>-8</x:v>
      </x:c>
      <x:c r="AQ2154" t="n">
        <x:f>_xlfn.XLOOKUP($A2154,Games!$A$2:$A$18,Games!$L$2:$L$18,"Missing game",0)</x:f>
        <x:v>60</x:v>
      </x:c>
      <x:c r="AR2154" t="n">
        <x:f>_xlfn.XLOOKUP($A2154,Games!$A$2:$A$18,Games!$M$2:$M$18,"Missing game",0)</x:f>
        <x:v>0</x:v>
      </x:c>
      <x:c r="AS2154" t="str">
        <x:f>_xlfn.XLOOKUP($A2154,Games!$A$2:$A$18,Games!$N$2:$N$18,"Missing game",0)</x:f>
        <x:v>closed</x:v>
      </x:c>
      <x:c r="AT2154" t="str">
        <x:f>_xlfn.XLOOKUP($A2154,Games!$A$2:$A$18,Games!$O$2:$O$18,"Missing game",0)</x:f>
        <x:v>matrixturf</x:v>
      </x:c>
      <x:c r="AU2154" t="str">
        <x:f>_xlfn.XLOOKUP($A2154,Games!$A$2:$A$18,Games!$P$2:$P$18,"Missing game",0)</x:f>
      </x:c>
      <x:c r="AV2154" t="str">
        <x:f>_xlfn.XLOOKUP($A2154,Games!$A$2:$A$18,Games!$Q$2:$Q$18,"Missing game",0)</x:f>
      </x:c>
      <x:c r="AW2154" t="str">
        <x:f>_xlfn.XLOOKUP($A2154,Games!$A$2:$A$18,Games!$R$2:$R$18,"Missing game",0)</x:f>
        <x:v>AT&amp;T Stadium</x:v>
      </x:c>
    </x:row>
    <x:row r="2155">
      <x:c r="A2155" t="str">
        <x:v>2025_15_MIN_DAL</x:v>
      </x:c>
      <x:c r="B2155" t="n">
        <x:v>133</x:v>
      </x:c>
      <x:c r="C2155" t="n">
        <x:v>1</x:v>
      </x:c>
      <x:c r="D2155" t="str">
        <x:v>13:26</x:v>
      </x:c>
      <x:c r="E2155" t="n">
        <x:v>2</x:v>
      </x:c>
      <x:c r="F2155" t="n">
        <x:v>8</x:v>
      </x:c>
      <x:c r="G2155" t="str">
        <x:v>DAL</x:v>
      </x:c>
      <x:c r="H2155" t="str">
        <x:v>MIN</x:v>
      </x:c>
      <x:c r="I2155" t="str">
        <x:v>MIN</x:v>
      </x:c>
      <x:c r="J2155" t="n">
        <x:v>33</x:v>
      </x:c>
      <x:c r="K2155" t="str">
        <x:v>(13:26) (Shotgun) 4-D.Prescott pass incomplete short middle to 89-B.Spann-Ford (51-B.Cashman).</x:v>
      </x:c>
      <x:c r="L2155" t="str">
        <x:v>pass</x:v>
      </x:c>
      <x:c r="M2155" t="n">
        <x:v>0</x:v>
      </x:c>
      <x:c r="N2155" t="n">
        <x:v>1</x:v>
      </x:c>
      <x:c r="O2155" t="n">
        <x:v>0</x:v>
      </x:c>
      <x:c r="P2155" t="str">
        <x:v>short</x:v>
      </x:c>
      <x:c r="Q2155" t="str">
        <x:v>middle</x:v>
      </x:c>
      <x:c r="R2155" t="n">
        <x:v>8</x:v>
      </x:c>
      <x:c r="S2155"/>
      <x:c r="T2155"/>
      <x:c r="U2155"/>
      <x:c r="V2155" t="n">
        <x:v>0</x:v>
      </x:c>
      <x:c r="W2155" t="n">
        <x:v>0</x:v>
      </x:c>
      <x:c r="X2155" t="n">
        <x:v>0</x:v>
      </x:c>
      <x:c r="Y2155" t="n">
        <x:v>0</x:v>
      </x:c>
      <x:c r="Z2155" t="n">
        <x:v>0</x:v>
      </x:c>
      <x:c r="AA2155" t="n">
        <x:v>0</x:v>
      </x:c>
      <x:c r="AB2155"/>
      <x:c r="AC2155" t="n">
        <x:v>0</x:v>
      </x:c>
      <x:c r="AD2155" t="n">
        <x:v>-0.6958905979990959</x:v>
      </x:c>
      <x:c r="AE2155" t="n">
        <x:v>0</x:v>
      </x:c>
      <x:c r="AF2155" t="n">
        <x:v>-0.02845090627670288</x:v>
      </x:c>
      <x:c r="AG2155" t="n">
        <x:f>_xlfn.XLOOKUP($A2155,Games!$A$2:$A$18,Games!$B$2:$B$18,"Missing game",0)</x:f>
        <x:v>2025</x:v>
      </x:c>
      <x:c r="AH2155" t="str">
        <x:f>_xlfn.XLOOKUP($A2155,Games!$A$2:$A$18,Games!$C$2:$C$18,"Missing game",0)</x:f>
        <x:v>REG</x:v>
      </x:c>
      <x:c r="AI2155" t="n">
        <x:f>_xlfn.XLOOKUP($A2155,Games!$A$2:$A$18,Games!$D$2:$D$18,"Missing game",0)</x:f>
        <x:v>15</x:v>
      </x:c>
      <x:c r="AJ2155" s="1" t="n">
        <x:f>_xlfn.XLOOKUP($A2155,Games!$A$2:$A$18,Games!$E$2:$E$18,"Missing game",0)</x:f>
        <x:v>46005</x:v>
      </x:c>
      <x:c r="AK2155" t="str">
        <x:f>_xlfn.XLOOKUP($A2155,Games!$A$2:$A$18,Games!$F$2:$F$18,"Missing game",0)</x:f>
        <x:v>Sunday</x:v>
      </x:c>
      <x:c r="AL2155" t="str">
        <x:f>_xlfn.XLOOKUP($A2155,Games!$A$2:$A$18,Games!$G$2:$G$18,"Missing game",0)</x:f>
        <x:v>MIN</x:v>
      </x:c>
      <x:c r="AM2155" t="n">
        <x:f>_xlfn.XLOOKUP($A2155,Games!$A$2:$A$18,Games!$H$2:$H$18,"Missing game",0)</x:f>
        <x:v>34</x:v>
      </x:c>
      <x:c r="AN2155" t="str">
        <x:f>_xlfn.XLOOKUP($A2155,Games!$A$2:$A$18,Games!$I$2:$I$18,"Missing game",0)</x:f>
        <x:v>DAL</x:v>
      </x:c>
      <x:c r="AO2155" t="n">
        <x:f>_xlfn.XLOOKUP($A2155,Games!$A$2:$A$18,Games!$J$2:$J$18,"Missing game",0)</x:f>
        <x:v>26</x:v>
      </x:c>
      <x:c r="AP2155" t="n">
        <x:f>_xlfn.XLOOKUP($A2155,Games!$A$2:$A$18,Games!$K$2:$K$18,"Missing game",0)</x:f>
        <x:v>-8</x:v>
      </x:c>
      <x:c r="AQ2155" t="n">
        <x:f>_xlfn.XLOOKUP($A2155,Games!$A$2:$A$18,Games!$L$2:$L$18,"Missing game",0)</x:f>
        <x:v>60</x:v>
      </x:c>
      <x:c r="AR2155" t="n">
        <x:f>_xlfn.XLOOKUP($A2155,Games!$A$2:$A$18,Games!$M$2:$M$18,"Missing game",0)</x:f>
        <x:v>0</x:v>
      </x:c>
      <x:c r="AS2155" t="str">
        <x:f>_xlfn.XLOOKUP($A2155,Games!$A$2:$A$18,Games!$N$2:$N$18,"Missing game",0)</x:f>
        <x:v>closed</x:v>
      </x:c>
      <x:c r="AT2155" t="str">
        <x:f>_xlfn.XLOOKUP($A2155,Games!$A$2:$A$18,Games!$O$2:$O$18,"Missing game",0)</x:f>
        <x:v>matrixturf</x:v>
      </x:c>
      <x:c r="AU2155" t="str">
        <x:f>_xlfn.XLOOKUP($A2155,Games!$A$2:$A$18,Games!$P$2:$P$18,"Missing game",0)</x:f>
      </x:c>
      <x:c r="AV2155" t="str">
        <x:f>_xlfn.XLOOKUP($A2155,Games!$A$2:$A$18,Games!$Q$2:$Q$18,"Missing game",0)</x:f>
      </x:c>
      <x:c r="AW2155" t="str">
        <x:f>_xlfn.XLOOKUP($A2155,Games!$A$2:$A$18,Games!$R$2:$R$18,"Missing game",0)</x:f>
        <x:v>AT&amp;T Stadium</x:v>
      </x:c>
    </x:row>
    <x:row r="2156">
      <x:c r="A2156" t="str">
        <x:v>2025_15_MIN_DAL</x:v>
      </x:c>
      <x:c r="B2156" t="n">
        <x:v>156</x:v>
      </x:c>
      <x:c r="C2156" t="n">
        <x:v>1</x:v>
      </x:c>
      <x:c r="D2156" t="str">
        <x:v>13:22</x:v>
      </x:c>
      <x:c r="E2156" t="n">
        <x:v>3</x:v>
      </x:c>
      <x:c r="F2156" t="n">
        <x:v>8</x:v>
      </x:c>
      <x:c r="G2156" t="str">
        <x:v>DAL</x:v>
      </x:c>
      <x:c r="H2156" t="str">
        <x:v>MIN</x:v>
      </x:c>
      <x:c r="I2156" t="str">
        <x:v>MIN</x:v>
      </x:c>
      <x:c r="J2156" t="n">
        <x:v>33</x:v>
      </x:c>
      <x:c r="K2156" t="str">
        <x:v>(13:22) (Shotgun) 4-D.Prescott pass short middle to 88-C.Lamb to MIN 29 for 4 yards (55-E.Wilson).</x:v>
      </x:c>
      <x:c r="L2156" t="str">
        <x:v>pass</x:v>
      </x:c>
      <x:c r="M2156" t="n">
        <x:v>4</x:v>
      </x:c>
      <x:c r="N2156" t="n">
        <x:v>1</x:v>
      </x:c>
      <x:c r="O2156" t="n">
        <x:v>0</x:v>
      </x:c>
      <x:c r="P2156" t="str">
        <x:v>short</x:v>
      </x:c>
      <x:c r="Q2156" t="str">
        <x:v>middle</x:v>
      </x:c>
      <x:c r="R2156" t="n">
        <x:v>4</x:v>
      </x:c>
      <x:c r="S2156" t="n">
        <x:v>0</x:v>
      </x:c>
      <x:c r="T2156"/>
      <x:c r="U2156"/>
      <x:c r="V2156" t="n">
        <x:v>1</x:v>
      </x:c>
      <x:c r="W2156" t="n">
        <x:v>0</x:v>
      </x:c>
      <x:c r="X2156" t="n">
        <x:v>0</x:v>
      </x:c>
      <x:c r="Y2156" t="n">
        <x:v>0</x:v>
      </x:c>
      <x:c r="Z2156" t="n">
        <x:v>0</x:v>
      </x:c>
      <x:c r="AA2156" t="n">
        <x:v>0</x:v>
      </x:c>
      <x:c r="AB2156"/>
      <x:c r="AC2156" t="n">
        <x:v>0</x:v>
      </x:c>
      <x:c r="AD2156" t="n">
        <x:v>-0.8560328140156344</x:v>
      </x:c>
      <x:c r="AE2156" t="n">
        <x:v>0</x:v>
      </x:c>
      <x:c r="AF2156" t="n">
        <x:v>-0.007255733013153076</x:v>
      </x:c>
      <x:c r="AG2156" t="n">
        <x:f>_xlfn.XLOOKUP($A2156,Games!$A$2:$A$18,Games!$B$2:$B$18,"Missing game",0)</x:f>
        <x:v>2025</x:v>
      </x:c>
      <x:c r="AH2156" t="str">
        <x:f>_xlfn.XLOOKUP($A2156,Games!$A$2:$A$18,Games!$C$2:$C$18,"Missing game",0)</x:f>
        <x:v>REG</x:v>
      </x:c>
      <x:c r="AI2156" t="n">
        <x:f>_xlfn.XLOOKUP($A2156,Games!$A$2:$A$18,Games!$D$2:$D$18,"Missing game",0)</x:f>
        <x:v>15</x:v>
      </x:c>
      <x:c r="AJ2156" s="1" t="n">
        <x:f>_xlfn.XLOOKUP($A2156,Games!$A$2:$A$18,Games!$E$2:$E$18,"Missing game",0)</x:f>
        <x:v>46005</x:v>
      </x:c>
      <x:c r="AK2156" t="str">
        <x:f>_xlfn.XLOOKUP($A2156,Games!$A$2:$A$18,Games!$F$2:$F$18,"Missing game",0)</x:f>
        <x:v>Sunday</x:v>
      </x:c>
      <x:c r="AL2156" t="str">
        <x:f>_xlfn.XLOOKUP($A2156,Games!$A$2:$A$18,Games!$G$2:$G$18,"Missing game",0)</x:f>
        <x:v>MIN</x:v>
      </x:c>
      <x:c r="AM2156" t="n">
        <x:f>_xlfn.XLOOKUP($A2156,Games!$A$2:$A$18,Games!$H$2:$H$18,"Missing game",0)</x:f>
        <x:v>34</x:v>
      </x:c>
      <x:c r="AN2156" t="str">
        <x:f>_xlfn.XLOOKUP($A2156,Games!$A$2:$A$18,Games!$I$2:$I$18,"Missing game",0)</x:f>
        <x:v>DAL</x:v>
      </x:c>
      <x:c r="AO2156" t="n">
        <x:f>_xlfn.XLOOKUP($A2156,Games!$A$2:$A$18,Games!$J$2:$J$18,"Missing game",0)</x:f>
        <x:v>26</x:v>
      </x:c>
      <x:c r="AP2156" t="n">
        <x:f>_xlfn.XLOOKUP($A2156,Games!$A$2:$A$18,Games!$K$2:$K$18,"Missing game",0)</x:f>
        <x:v>-8</x:v>
      </x:c>
      <x:c r="AQ2156" t="n">
        <x:f>_xlfn.XLOOKUP($A2156,Games!$A$2:$A$18,Games!$L$2:$L$18,"Missing game",0)</x:f>
        <x:v>60</x:v>
      </x:c>
      <x:c r="AR2156" t="n">
        <x:f>_xlfn.XLOOKUP($A2156,Games!$A$2:$A$18,Games!$M$2:$M$18,"Missing game",0)</x:f>
        <x:v>0</x:v>
      </x:c>
      <x:c r="AS2156" t="str">
        <x:f>_xlfn.XLOOKUP($A2156,Games!$A$2:$A$18,Games!$N$2:$N$18,"Missing game",0)</x:f>
        <x:v>closed</x:v>
      </x:c>
      <x:c r="AT2156" t="str">
        <x:f>_xlfn.XLOOKUP($A2156,Games!$A$2:$A$18,Games!$O$2:$O$18,"Missing game",0)</x:f>
        <x:v>matrixturf</x:v>
      </x:c>
      <x:c r="AU2156" t="str">
        <x:f>_xlfn.XLOOKUP($A2156,Games!$A$2:$A$18,Games!$P$2:$P$18,"Missing game",0)</x:f>
      </x:c>
      <x:c r="AV2156" t="str">
        <x:f>_xlfn.XLOOKUP($A2156,Games!$A$2:$A$18,Games!$Q$2:$Q$18,"Missing game",0)</x:f>
      </x:c>
      <x:c r="AW2156" t="str">
        <x:f>_xlfn.XLOOKUP($A2156,Games!$A$2:$A$18,Games!$R$2:$R$18,"Missing game",0)</x:f>
        <x:v>AT&amp;T Stadium</x:v>
      </x:c>
    </x:row>
    <x:row r="2157">
      <x:c r="A2157" t="str">
        <x:v>2025_15_MIN_DAL</x:v>
      </x:c>
      <x:c r="B2157" t="n">
        <x:v>181</x:v>
      </x:c>
      <x:c r="C2157" t="n">
        <x:v>1</x:v>
      </x:c>
      <x:c r="D2157" t="str">
        <x:v>12:41</x:v>
      </x:c>
      <x:c r="E2157" t="n">
        <x:v>4</x:v>
      </x:c>
      <x:c r="F2157" t="n">
        <x:v>4</x:v>
      </x:c>
      <x:c r="G2157" t="str">
        <x:v>DAL</x:v>
      </x:c>
      <x:c r="H2157" t="str">
        <x:v>MIN</x:v>
      </x:c>
      <x:c r="I2157" t="str">
        <x:v>MIN</x:v>
      </x:c>
      <x:c r="J2157" t="n">
        <x:v>29</x:v>
      </x:c>
      <x:c r="K2157" t="str">
        <x:v>(12:41) (Field Goal formation) 17-B.Aubrey right end to MIN 23 for 6 yards (0-I.Pace).</x:v>
      </x:c>
      <x:c r="L2157" t="str">
        <x:v>run</x:v>
      </x:c>
      <x:c r="M2157" t="n">
        <x:v>6</x:v>
      </x:c>
      <x:c r="N2157" t="n">
        <x:v>0</x:v>
      </x:c>
      <x:c r="O2157" t="n">
        <x:v>0</x:v>
      </x:c>
      <x:c r="P2157"/>
      <x:c r="Q2157"/>
      <x:c r="R2157"/>
      <x:c r="S2157"/>
      <x:c r="T2157" t="str">
        <x:v>right</x:v>
      </x:c>
      <x:c r="U2157" t="str">
        <x:v>end</x:v>
      </x:c>
      <x:c r="V2157" t="n">
        <x:v>0</x:v>
      </x:c>
      <x:c r="W2157" t="n">
        <x:v>1</x:v>
      </x:c>
      <x:c r="X2157" t="n">
        <x:v>0</x:v>
      </x:c>
      <x:c r="Y2157" t="n">
        <x:v>0</x:v>
      </x:c>
      <x:c r="Z2157" t="n">
        <x:v>0</x:v>
      </x:c>
      <x:c r="AA2157" t="n">
        <x:v>0</x:v>
      </x:c>
      <x:c r="AB2157"/>
      <x:c r="AC2157" t="n">
        <x:v>0</x:v>
      </x:c>
      <x:c r="AD2157" t="n">
        <x:v>2.724662708467804</x:v>
      </x:c>
      <x:c r="AE2157" t="n">
        <x:v>1</x:v>
      </x:c>
      <x:c r="AF2157" t="n">
        <x:v>0.06393969058990479</x:v>
      </x:c>
      <x:c r="AG2157" t="n">
        <x:f>_xlfn.XLOOKUP($A2157,Games!$A$2:$A$18,Games!$B$2:$B$18,"Missing game",0)</x:f>
        <x:v>2025</x:v>
      </x:c>
      <x:c r="AH2157" t="str">
        <x:f>_xlfn.XLOOKUP($A2157,Games!$A$2:$A$18,Games!$C$2:$C$18,"Missing game",0)</x:f>
        <x:v>REG</x:v>
      </x:c>
      <x:c r="AI2157" t="n">
        <x:f>_xlfn.XLOOKUP($A2157,Games!$A$2:$A$18,Games!$D$2:$D$18,"Missing game",0)</x:f>
        <x:v>15</x:v>
      </x:c>
      <x:c r="AJ2157" s="1" t="n">
        <x:f>_xlfn.XLOOKUP($A2157,Games!$A$2:$A$18,Games!$E$2:$E$18,"Missing game",0)</x:f>
        <x:v>46005</x:v>
      </x:c>
      <x:c r="AK2157" t="str">
        <x:f>_xlfn.XLOOKUP($A2157,Games!$A$2:$A$18,Games!$F$2:$F$18,"Missing game",0)</x:f>
        <x:v>Sunday</x:v>
      </x:c>
      <x:c r="AL2157" t="str">
        <x:f>_xlfn.XLOOKUP($A2157,Games!$A$2:$A$18,Games!$G$2:$G$18,"Missing game",0)</x:f>
        <x:v>MIN</x:v>
      </x:c>
      <x:c r="AM2157" t="n">
        <x:f>_xlfn.XLOOKUP($A2157,Games!$A$2:$A$18,Games!$H$2:$H$18,"Missing game",0)</x:f>
        <x:v>34</x:v>
      </x:c>
      <x:c r="AN2157" t="str">
        <x:f>_xlfn.XLOOKUP($A2157,Games!$A$2:$A$18,Games!$I$2:$I$18,"Missing game",0)</x:f>
        <x:v>DAL</x:v>
      </x:c>
      <x:c r="AO2157" t="n">
        <x:f>_xlfn.XLOOKUP($A2157,Games!$A$2:$A$18,Games!$J$2:$J$18,"Missing game",0)</x:f>
        <x:v>26</x:v>
      </x:c>
      <x:c r="AP2157" t="n">
        <x:f>_xlfn.XLOOKUP($A2157,Games!$A$2:$A$18,Games!$K$2:$K$18,"Missing game",0)</x:f>
        <x:v>-8</x:v>
      </x:c>
      <x:c r="AQ2157" t="n">
        <x:f>_xlfn.XLOOKUP($A2157,Games!$A$2:$A$18,Games!$L$2:$L$18,"Missing game",0)</x:f>
        <x:v>60</x:v>
      </x:c>
      <x:c r="AR2157" t="n">
        <x:f>_xlfn.XLOOKUP($A2157,Games!$A$2:$A$18,Games!$M$2:$M$18,"Missing game",0)</x:f>
        <x:v>0</x:v>
      </x:c>
      <x:c r="AS2157" t="str">
        <x:f>_xlfn.XLOOKUP($A2157,Games!$A$2:$A$18,Games!$N$2:$N$18,"Missing game",0)</x:f>
        <x:v>closed</x:v>
      </x:c>
      <x:c r="AT2157" t="str">
        <x:f>_xlfn.XLOOKUP($A2157,Games!$A$2:$A$18,Games!$O$2:$O$18,"Missing game",0)</x:f>
        <x:v>matrixturf</x:v>
      </x:c>
      <x:c r="AU2157" t="str">
        <x:f>_xlfn.XLOOKUP($A2157,Games!$A$2:$A$18,Games!$P$2:$P$18,"Missing game",0)</x:f>
      </x:c>
      <x:c r="AV2157" t="str">
        <x:f>_xlfn.XLOOKUP($A2157,Games!$A$2:$A$18,Games!$Q$2:$Q$18,"Missing game",0)</x:f>
      </x:c>
      <x:c r="AW2157" t="str">
        <x:f>_xlfn.XLOOKUP($A2157,Games!$A$2:$A$18,Games!$R$2:$R$18,"Missing game",0)</x:f>
        <x:v>AT&amp;T Stadium</x:v>
      </x:c>
    </x:row>
    <x:row r="2158">
      <x:c r="A2158" t="str">
        <x:v>2025_15_MIN_DAL</x:v>
      </x:c>
      <x:c r="B2158" t="n">
        <x:v>209</x:v>
      </x:c>
      <x:c r="C2158" t="n">
        <x:v>1</x:v>
      </x:c>
      <x:c r="D2158" t="str">
        <x:v>12:02</x:v>
      </x:c>
      <x:c r="E2158" t="n">
        <x:v>1</x:v>
      </x:c>
      <x:c r="F2158" t="n">
        <x:v>10</x:v>
      </x:c>
      <x:c r="G2158" t="str">
        <x:v>DAL</x:v>
      </x:c>
      <x:c r="H2158" t="str">
        <x:v>MIN</x:v>
      </x:c>
      <x:c r="I2158" t="str">
        <x:v>MIN</x:v>
      </x:c>
      <x:c r="J2158" t="n">
        <x:v>23</x:v>
      </x:c>
      <x:c r="K2158" t="str">
        <x:v>(12:02) 33-J.Williams up the middle to MIN 21 for 2 yards (90-T.Ingram-Dawkins).</x:v>
      </x:c>
      <x:c r="L2158" t="str">
        <x:v>run</x:v>
      </x:c>
      <x:c r="M2158" t="n">
        <x:v>2</x:v>
      </x:c>
      <x:c r="N2158" t="n">
        <x:v>0</x:v>
      </x:c>
      <x:c r="O2158" t="n">
        <x:v>0</x:v>
      </x:c>
      <x:c r="P2158"/>
      <x:c r="Q2158"/>
      <x:c r="R2158"/>
      <x:c r="S2158"/>
      <x:c r="T2158" t="str">
        <x:v>middle</x:v>
      </x:c>
      <x:c r="U2158"/>
      <x:c r="V2158" t="n">
        <x:v>0</x:v>
      </x:c>
      <x:c r="W2158" t="n">
        <x:v>0</x:v>
      </x:c>
      <x:c r="X2158" t="n">
        <x:v>0</x:v>
      </x:c>
      <x:c r="Y2158" t="n">
        <x:v>0</x:v>
      </x:c>
      <x:c r="Z2158" t="n">
        <x:v>0</x:v>
      </x:c>
      <x:c r="AA2158" t="n">
        <x:v>0</x:v>
      </x:c>
      <x:c r="AB2158"/>
      <x:c r="AC2158" t="n">
        <x:v>0</x:v>
      </x:c>
      <x:c r="AD2158" t="n">
        <x:v>-0.43885398900602013</x:v>
      </x:c>
      <x:c r="AE2158" t="n">
        <x:v>0</x:v>
      </x:c>
      <x:c r="AF2158" t="n">
        <x:v>-0.010607540607452393</x:v>
      </x:c>
      <x:c r="AG2158" t="n">
        <x:f>_xlfn.XLOOKUP($A2158,Games!$A$2:$A$18,Games!$B$2:$B$18,"Missing game",0)</x:f>
        <x:v>2025</x:v>
      </x:c>
      <x:c r="AH2158" t="str">
        <x:f>_xlfn.XLOOKUP($A2158,Games!$A$2:$A$18,Games!$C$2:$C$18,"Missing game",0)</x:f>
        <x:v>REG</x:v>
      </x:c>
      <x:c r="AI2158" t="n">
        <x:f>_xlfn.XLOOKUP($A2158,Games!$A$2:$A$18,Games!$D$2:$D$18,"Missing game",0)</x:f>
        <x:v>15</x:v>
      </x:c>
      <x:c r="AJ2158" s="1" t="n">
        <x:f>_xlfn.XLOOKUP($A2158,Games!$A$2:$A$18,Games!$E$2:$E$18,"Missing game",0)</x:f>
        <x:v>46005</x:v>
      </x:c>
      <x:c r="AK2158" t="str">
        <x:f>_xlfn.XLOOKUP($A2158,Games!$A$2:$A$18,Games!$F$2:$F$18,"Missing game",0)</x:f>
        <x:v>Sunday</x:v>
      </x:c>
      <x:c r="AL2158" t="str">
        <x:f>_xlfn.XLOOKUP($A2158,Games!$A$2:$A$18,Games!$G$2:$G$18,"Missing game",0)</x:f>
        <x:v>MIN</x:v>
      </x:c>
      <x:c r="AM2158" t="n">
        <x:f>_xlfn.XLOOKUP($A2158,Games!$A$2:$A$18,Games!$H$2:$H$18,"Missing game",0)</x:f>
        <x:v>34</x:v>
      </x:c>
      <x:c r="AN2158" t="str">
        <x:f>_xlfn.XLOOKUP($A2158,Games!$A$2:$A$18,Games!$I$2:$I$18,"Missing game",0)</x:f>
        <x:v>DAL</x:v>
      </x:c>
      <x:c r="AO2158" t="n">
        <x:f>_xlfn.XLOOKUP($A2158,Games!$A$2:$A$18,Games!$J$2:$J$18,"Missing game",0)</x:f>
        <x:v>26</x:v>
      </x:c>
      <x:c r="AP2158" t="n">
        <x:f>_xlfn.XLOOKUP($A2158,Games!$A$2:$A$18,Games!$K$2:$K$18,"Missing game",0)</x:f>
        <x:v>-8</x:v>
      </x:c>
      <x:c r="AQ2158" t="n">
        <x:f>_xlfn.XLOOKUP($A2158,Games!$A$2:$A$18,Games!$L$2:$L$18,"Missing game",0)</x:f>
        <x:v>60</x:v>
      </x:c>
      <x:c r="AR2158" t="n">
        <x:f>_xlfn.XLOOKUP($A2158,Games!$A$2:$A$18,Games!$M$2:$M$18,"Missing game",0)</x:f>
        <x:v>0</x:v>
      </x:c>
      <x:c r="AS2158" t="str">
        <x:f>_xlfn.XLOOKUP($A2158,Games!$A$2:$A$18,Games!$N$2:$N$18,"Missing game",0)</x:f>
        <x:v>closed</x:v>
      </x:c>
      <x:c r="AT2158" t="str">
        <x:f>_xlfn.XLOOKUP($A2158,Games!$A$2:$A$18,Games!$O$2:$O$18,"Missing game",0)</x:f>
        <x:v>matrixturf</x:v>
      </x:c>
      <x:c r="AU2158" t="str">
        <x:f>_xlfn.XLOOKUP($A2158,Games!$A$2:$A$18,Games!$P$2:$P$18,"Missing game",0)</x:f>
      </x:c>
      <x:c r="AV2158" t="str">
        <x:f>_xlfn.XLOOKUP($A2158,Games!$A$2:$A$18,Games!$Q$2:$Q$18,"Missing game",0)</x:f>
      </x:c>
      <x:c r="AW2158" t="str">
        <x:f>_xlfn.XLOOKUP($A2158,Games!$A$2:$A$18,Games!$R$2:$R$18,"Missing game",0)</x:f>
        <x:v>AT&amp;T Stadium</x:v>
      </x:c>
    </x:row>
    <x:row r="2159">
      <x:c r="A2159" t="str">
        <x:v>2025_15_MIN_DAL</x:v>
      </x:c>
      <x:c r="B2159" t="n">
        <x:v>231</x:v>
      </x:c>
      <x:c r="C2159" t="n">
        <x:v>1</x:v>
      </x:c>
      <x:c r="D2159" t="str">
        <x:v>11:22</x:v>
      </x:c>
      <x:c r="E2159" t="n">
        <x:v>2</x:v>
      </x:c>
      <x:c r="F2159" t="n">
        <x:v>8</x:v>
      </x:c>
      <x:c r="G2159" t="str">
        <x:v>DAL</x:v>
      </x:c>
      <x:c r="H2159" t="str">
        <x:v>MIN</x:v>
      </x:c>
      <x:c r="I2159" t="str">
        <x:v>MIN</x:v>
      </x:c>
      <x:c r="J2159" t="n">
        <x:v>21</x:v>
      </x:c>
      <x:c r="K2159" t="str">
        <x:v>(11:22) (Shotgun) 4-D.Prescott pass short right to 19-R.Flournoy to MIN 11 for 10 yards (2-I.Rodgers; 7-B.Murphy).</x:v>
      </x:c>
      <x:c r="L2159" t="str">
        <x:v>pass</x:v>
      </x:c>
      <x:c r="M2159" t="n">
        <x:v>10</x:v>
      </x:c>
      <x:c r="N2159" t="n">
        <x:v>1</x:v>
      </x:c>
      <x:c r="O2159" t="n">
        <x:v>0</x:v>
      </x:c>
      <x:c r="P2159" t="str">
        <x:v>short</x:v>
      </x:c>
      <x:c r="Q2159" t="str">
        <x:v>right</x:v>
      </x:c>
      <x:c r="R2159" t="n">
        <x:v>5</x:v>
      </x:c>
      <x:c r="S2159" t="n">
        <x:v>5</x:v>
      </x:c>
      <x:c r="T2159"/>
      <x:c r="U2159"/>
      <x:c r="V2159" t="n">
        <x:v>1</x:v>
      </x:c>
      <x:c r="W2159" t="n">
        <x:v>1</x:v>
      </x:c>
      <x:c r="X2159" t="n">
        <x:v>0</x:v>
      </x:c>
      <x:c r="Y2159" t="n">
        <x:v>0</x:v>
      </x:c>
      <x:c r="Z2159" t="n">
        <x:v>0</x:v>
      </x:c>
      <x:c r="AA2159" t="n">
        <x:v>0</x:v>
      </x:c>
      <x:c r="AB2159"/>
      <x:c r="AC2159" t="n">
        <x:v>0</x:v>
      </x:c>
      <x:c r="AD2159" t="n">
        <x:v>0.9447018609498627</x:v>
      </x:c>
      <x:c r="AE2159" t="n">
        <x:v>1</x:v>
      </x:c>
      <x:c r="AF2159" t="n">
        <x:v>0.01701420545578003</x:v>
      </x:c>
      <x:c r="AG2159" t="n">
        <x:f>_xlfn.XLOOKUP($A2159,Games!$A$2:$A$18,Games!$B$2:$B$18,"Missing game",0)</x:f>
        <x:v>2025</x:v>
      </x:c>
      <x:c r="AH2159" t="str">
        <x:f>_xlfn.XLOOKUP($A2159,Games!$A$2:$A$18,Games!$C$2:$C$18,"Missing game",0)</x:f>
        <x:v>REG</x:v>
      </x:c>
      <x:c r="AI2159" t="n">
        <x:f>_xlfn.XLOOKUP($A2159,Games!$A$2:$A$18,Games!$D$2:$D$18,"Missing game",0)</x:f>
        <x:v>15</x:v>
      </x:c>
      <x:c r="AJ2159" s="1" t="n">
        <x:f>_xlfn.XLOOKUP($A2159,Games!$A$2:$A$18,Games!$E$2:$E$18,"Missing game",0)</x:f>
        <x:v>46005</x:v>
      </x:c>
      <x:c r="AK2159" t="str">
        <x:f>_xlfn.XLOOKUP($A2159,Games!$A$2:$A$18,Games!$F$2:$F$18,"Missing game",0)</x:f>
        <x:v>Sunday</x:v>
      </x:c>
      <x:c r="AL2159" t="str">
        <x:f>_xlfn.XLOOKUP($A2159,Games!$A$2:$A$18,Games!$G$2:$G$18,"Missing game",0)</x:f>
        <x:v>MIN</x:v>
      </x:c>
      <x:c r="AM2159" t="n">
        <x:f>_xlfn.XLOOKUP($A2159,Games!$A$2:$A$18,Games!$H$2:$H$18,"Missing game",0)</x:f>
        <x:v>34</x:v>
      </x:c>
      <x:c r="AN2159" t="str">
        <x:f>_xlfn.XLOOKUP($A2159,Games!$A$2:$A$18,Games!$I$2:$I$18,"Missing game",0)</x:f>
        <x:v>DAL</x:v>
      </x:c>
      <x:c r="AO2159" t="n">
        <x:f>_xlfn.XLOOKUP($A2159,Games!$A$2:$A$18,Games!$J$2:$J$18,"Missing game",0)</x:f>
        <x:v>26</x:v>
      </x:c>
      <x:c r="AP2159" t="n">
        <x:f>_xlfn.XLOOKUP($A2159,Games!$A$2:$A$18,Games!$K$2:$K$18,"Missing game",0)</x:f>
        <x:v>-8</x:v>
      </x:c>
      <x:c r="AQ2159" t="n">
        <x:f>_xlfn.XLOOKUP($A2159,Games!$A$2:$A$18,Games!$L$2:$L$18,"Missing game",0)</x:f>
        <x:v>60</x:v>
      </x:c>
      <x:c r="AR2159" t="n">
        <x:f>_xlfn.XLOOKUP($A2159,Games!$A$2:$A$18,Games!$M$2:$M$18,"Missing game",0)</x:f>
        <x:v>0</x:v>
      </x:c>
      <x:c r="AS2159" t="str">
        <x:f>_xlfn.XLOOKUP($A2159,Games!$A$2:$A$18,Games!$N$2:$N$18,"Missing game",0)</x:f>
        <x:v>closed</x:v>
      </x:c>
      <x:c r="AT2159" t="str">
        <x:f>_xlfn.XLOOKUP($A2159,Games!$A$2:$A$18,Games!$O$2:$O$18,"Missing game",0)</x:f>
        <x:v>matrixturf</x:v>
      </x:c>
      <x:c r="AU2159" t="str">
        <x:f>_xlfn.XLOOKUP($A2159,Games!$A$2:$A$18,Games!$P$2:$P$18,"Missing game",0)</x:f>
      </x:c>
      <x:c r="AV2159" t="str">
        <x:f>_xlfn.XLOOKUP($A2159,Games!$A$2:$A$18,Games!$Q$2:$Q$18,"Missing game",0)</x:f>
      </x:c>
      <x:c r="AW2159" t="str">
        <x:f>_xlfn.XLOOKUP($A2159,Games!$A$2:$A$18,Games!$R$2:$R$18,"Missing game",0)</x:f>
        <x:v>AT&amp;T Stadium</x:v>
      </x:c>
    </x:row>
    <x:row r="2160">
      <x:c r="A2160" t="str">
        <x:v>2025_15_MIN_DAL</x:v>
      </x:c>
      <x:c r="B2160" t="n">
        <x:v>256</x:v>
      </x:c>
      <x:c r="C2160" t="n">
        <x:v>1</x:v>
      </x:c>
      <x:c r="D2160" t="str">
        <x:v>10:40</x:v>
      </x:c>
      <x:c r="E2160" t="n">
        <x:v>1</x:v>
      </x:c>
      <x:c r="F2160" t="n">
        <x:v>10</x:v>
      </x:c>
      <x:c r="G2160" t="str">
        <x:v>DAL</x:v>
      </x:c>
      <x:c r="H2160" t="str">
        <x:v>MIN</x:v>
      </x:c>
      <x:c r="I2160" t="str">
        <x:v>MIN</x:v>
      </x:c>
      <x:c r="J2160" t="n">
        <x:v>11</x:v>
      </x:c>
      <x:c r="K2160" t="str">
        <x:v>(10:40) 33-J.Williams up the middle to MIN 6 for 5 yards (50-L.Rodriguez).</x:v>
      </x:c>
      <x:c r="L2160" t="str">
        <x:v>run</x:v>
      </x:c>
      <x:c r="M2160" t="n">
        <x:v>5</x:v>
      </x:c>
      <x:c r="N2160" t="n">
        <x:v>0</x:v>
      </x:c>
      <x:c r="O2160" t="n">
        <x:v>0</x:v>
      </x:c>
      <x:c r="P2160"/>
      <x:c r="Q2160"/>
      <x:c r="R2160"/>
      <x:c r="S2160"/>
      <x:c r="T2160" t="str">
        <x:v>middle</x:v>
      </x:c>
      <x:c r="U2160"/>
      <x:c r="V2160" t="n">
        <x:v>0</x:v>
      </x:c>
      <x:c r="W2160" t="n">
        <x:v>0</x:v>
      </x:c>
      <x:c r="X2160" t="n">
        <x:v>0</x:v>
      </x:c>
      <x:c r="Y2160" t="n">
        <x:v>0</x:v>
      </x:c>
      <x:c r="Z2160" t="n">
        <x:v>0</x:v>
      </x:c>
      <x:c r="AA2160" t="n">
        <x:v>0</x:v>
      </x:c>
      <x:c r="AB2160"/>
      <x:c r="AC2160" t="n">
        <x:v>0</x:v>
      </x:c>
      <x:c r="AD2160" t="n">
        <x:v>0.15835328755201772</x:v>
      </x:c>
      <x:c r="AE2160" t="n">
        <x:v>1</x:v>
      </x:c>
      <x:c r="AF2160" t="n">
        <x:v>-0.008061885833740234</x:v>
      </x:c>
      <x:c r="AG2160" t="n">
        <x:f>_xlfn.XLOOKUP($A2160,Games!$A$2:$A$18,Games!$B$2:$B$18,"Missing game",0)</x:f>
        <x:v>2025</x:v>
      </x:c>
      <x:c r="AH2160" t="str">
        <x:f>_xlfn.XLOOKUP($A2160,Games!$A$2:$A$18,Games!$C$2:$C$18,"Missing game",0)</x:f>
        <x:v>REG</x:v>
      </x:c>
      <x:c r="AI2160" t="n">
        <x:f>_xlfn.XLOOKUP($A2160,Games!$A$2:$A$18,Games!$D$2:$D$18,"Missing game",0)</x:f>
        <x:v>15</x:v>
      </x:c>
      <x:c r="AJ2160" s="1" t="n">
        <x:f>_xlfn.XLOOKUP($A2160,Games!$A$2:$A$18,Games!$E$2:$E$18,"Missing game",0)</x:f>
        <x:v>46005</x:v>
      </x:c>
      <x:c r="AK2160" t="str">
        <x:f>_xlfn.XLOOKUP($A2160,Games!$A$2:$A$18,Games!$F$2:$F$18,"Missing game",0)</x:f>
        <x:v>Sunday</x:v>
      </x:c>
      <x:c r="AL2160" t="str">
        <x:f>_xlfn.XLOOKUP($A2160,Games!$A$2:$A$18,Games!$G$2:$G$18,"Missing game",0)</x:f>
        <x:v>MIN</x:v>
      </x:c>
      <x:c r="AM2160" t="n">
        <x:f>_xlfn.XLOOKUP($A2160,Games!$A$2:$A$18,Games!$H$2:$H$18,"Missing game",0)</x:f>
        <x:v>34</x:v>
      </x:c>
      <x:c r="AN2160" t="str">
        <x:f>_xlfn.XLOOKUP($A2160,Games!$A$2:$A$18,Games!$I$2:$I$18,"Missing game",0)</x:f>
        <x:v>DAL</x:v>
      </x:c>
      <x:c r="AO2160" t="n">
        <x:f>_xlfn.XLOOKUP($A2160,Games!$A$2:$A$18,Games!$J$2:$J$18,"Missing game",0)</x:f>
        <x:v>26</x:v>
      </x:c>
      <x:c r="AP2160" t="n">
        <x:f>_xlfn.XLOOKUP($A2160,Games!$A$2:$A$18,Games!$K$2:$K$18,"Missing game",0)</x:f>
        <x:v>-8</x:v>
      </x:c>
      <x:c r="AQ2160" t="n">
        <x:f>_xlfn.XLOOKUP($A2160,Games!$A$2:$A$18,Games!$L$2:$L$18,"Missing game",0)</x:f>
        <x:v>60</x:v>
      </x:c>
      <x:c r="AR2160" t="n">
        <x:f>_xlfn.XLOOKUP($A2160,Games!$A$2:$A$18,Games!$M$2:$M$18,"Missing game",0)</x:f>
        <x:v>0</x:v>
      </x:c>
      <x:c r="AS2160" t="str">
        <x:f>_xlfn.XLOOKUP($A2160,Games!$A$2:$A$18,Games!$N$2:$N$18,"Missing game",0)</x:f>
        <x:v>closed</x:v>
      </x:c>
      <x:c r="AT2160" t="str">
        <x:f>_xlfn.XLOOKUP($A2160,Games!$A$2:$A$18,Games!$O$2:$O$18,"Missing game",0)</x:f>
        <x:v>matrixturf</x:v>
      </x:c>
      <x:c r="AU2160" t="str">
        <x:f>_xlfn.XLOOKUP($A2160,Games!$A$2:$A$18,Games!$P$2:$P$18,"Missing game",0)</x:f>
      </x:c>
      <x:c r="AV2160" t="str">
        <x:f>_xlfn.XLOOKUP($A2160,Games!$A$2:$A$18,Games!$Q$2:$Q$18,"Missing game",0)</x:f>
      </x:c>
      <x:c r="AW2160" t="str">
        <x:f>_xlfn.XLOOKUP($A2160,Games!$A$2:$A$18,Games!$R$2:$R$18,"Missing game",0)</x:f>
        <x:v>AT&amp;T Stadium</x:v>
      </x:c>
    </x:row>
    <x:row r="2161">
      <x:c r="A2161" t="str">
        <x:v>2025_15_MIN_DAL</x:v>
      </x:c>
      <x:c r="B2161" t="n">
        <x:v>278</x:v>
      </x:c>
      <x:c r="C2161" t="n">
        <x:v>1</x:v>
      </x:c>
      <x:c r="D2161" t="str">
        <x:v>10:03</x:v>
      </x:c>
      <x:c r="E2161" t="n">
        <x:v>2</x:v>
      </x:c>
      <x:c r="F2161" t="n">
        <x:v>5</x:v>
      </x:c>
      <x:c r="G2161" t="str">
        <x:v>DAL</x:v>
      </x:c>
      <x:c r="H2161" t="str">
        <x:v>MIN</x:v>
      </x:c>
      <x:c r="I2161" t="str">
        <x:v>MIN</x:v>
      </x:c>
      <x:c r="J2161" t="n">
        <x:v>6</x:v>
      </x:c>
      <x:c r="K2161" t="str">
        <x:v>(10:03) 33-J.Williams up the middle to MIN 4 for 2 yards (55-E.Wilson; 15-D.Turner).</x:v>
      </x:c>
      <x:c r="L2161" t="str">
        <x:v>run</x:v>
      </x:c>
      <x:c r="M2161" t="n">
        <x:v>2</x:v>
      </x:c>
      <x:c r="N2161" t="n">
        <x:v>0</x:v>
      </x:c>
      <x:c r="O2161" t="n">
        <x:v>0</x:v>
      </x:c>
      <x:c r="P2161"/>
      <x:c r="Q2161"/>
      <x:c r="R2161"/>
      <x:c r="S2161"/>
      <x:c r="T2161" t="str">
        <x:v>middle</x:v>
      </x:c>
      <x:c r="U2161"/>
      <x:c r="V2161" t="n">
        <x:v>0</x:v>
      </x:c>
      <x:c r="W2161" t="n">
        <x:v>0</x:v>
      </x:c>
      <x:c r="X2161" t="n">
        <x:v>0</x:v>
      </x:c>
      <x:c r="Y2161" t="n">
        <x:v>0</x:v>
      </x:c>
      <x:c r="Z2161" t="n">
        <x:v>0</x:v>
      </x:c>
      <x:c r="AA2161" t="n">
        <x:v>0</x:v>
      </x:c>
      <x:c r="AB2161"/>
      <x:c r="AC2161" t="n">
        <x:v>0</x:v>
      </x:c>
      <x:c r="AD2161" t="n">
        <x:v>-0.6532615194446407</x:v>
      </x:c>
      <x:c r="AE2161" t="n">
        <x:v>0</x:v>
      </x:c>
      <x:c r="AF2161" t="n">
        <x:v>0.000604093074798584</x:v>
      </x:c>
      <x:c r="AG2161" t="n">
        <x:f>_xlfn.XLOOKUP($A2161,Games!$A$2:$A$18,Games!$B$2:$B$18,"Missing game",0)</x:f>
        <x:v>2025</x:v>
      </x:c>
      <x:c r="AH2161" t="str">
        <x:f>_xlfn.XLOOKUP($A2161,Games!$A$2:$A$18,Games!$C$2:$C$18,"Missing game",0)</x:f>
        <x:v>REG</x:v>
      </x:c>
      <x:c r="AI2161" t="n">
        <x:f>_xlfn.XLOOKUP($A2161,Games!$A$2:$A$18,Games!$D$2:$D$18,"Missing game",0)</x:f>
        <x:v>15</x:v>
      </x:c>
      <x:c r="AJ2161" s="1" t="n">
        <x:f>_xlfn.XLOOKUP($A2161,Games!$A$2:$A$18,Games!$E$2:$E$18,"Missing game",0)</x:f>
        <x:v>46005</x:v>
      </x:c>
      <x:c r="AK2161" t="str">
        <x:f>_xlfn.XLOOKUP($A2161,Games!$A$2:$A$18,Games!$F$2:$F$18,"Missing game",0)</x:f>
        <x:v>Sunday</x:v>
      </x:c>
      <x:c r="AL2161" t="str">
        <x:f>_xlfn.XLOOKUP($A2161,Games!$A$2:$A$18,Games!$G$2:$G$18,"Missing game",0)</x:f>
        <x:v>MIN</x:v>
      </x:c>
      <x:c r="AM2161" t="n">
        <x:f>_xlfn.XLOOKUP($A2161,Games!$A$2:$A$18,Games!$H$2:$H$18,"Missing game",0)</x:f>
        <x:v>34</x:v>
      </x:c>
      <x:c r="AN2161" t="str">
        <x:f>_xlfn.XLOOKUP($A2161,Games!$A$2:$A$18,Games!$I$2:$I$18,"Missing game",0)</x:f>
        <x:v>DAL</x:v>
      </x:c>
      <x:c r="AO2161" t="n">
        <x:f>_xlfn.XLOOKUP($A2161,Games!$A$2:$A$18,Games!$J$2:$J$18,"Missing game",0)</x:f>
        <x:v>26</x:v>
      </x:c>
      <x:c r="AP2161" t="n">
        <x:f>_xlfn.XLOOKUP($A2161,Games!$A$2:$A$18,Games!$K$2:$K$18,"Missing game",0)</x:f>
        <x:v>-8</x:v>
      </x:c>
      <x:c r="AQ2161" t="n">
        <x:f>_xlfn.XLOOKUP($A2161,Games!$A$2:$A$18,Games!$L$2:$L$18,"Missing game",0)</x:f>
        <x:v>60</x:v>
      </x:c>
      <x:c r="AR2161" t="n">
        <x:f>_xlfn.XLOOKUP($A2161,Games!$A$2:$A$18,Games!$M$2:$M$18,"Missing game",0)</x:f>
        <x:v>0</x:v>
      </x:c>
      <x:c r="AS2161" t="str">
        <x:f>_xlfn.XLOOKUP($A2161,Games!$A$2:$A$18,Games!$N$2:$N$18,"Missing game",0)</x:f>
        <x:v>closed</x:v>
      </x:c>
      <x:c r="AT2161" t="str">
        <x:f>_xlfn.XLOOKUP($A2161,Games!$A$2:$A$18,Games!$O$2:$O$18,"Missing game",0)</x:f>
        <x:v>matrixturf</x:v>
      </x:c>
      <x:c r="AU2161" t="str">
        <x:f>_xlfn.XLOOKUP($A2161,Games!$A$2:$A$18,Games!$P$2:$P$18,"Missing game",0)</x:f>
      </x:c>
      <x:c r="AV2161" t="str">
        <x:f>_xlfn.XLOOKUP($A2161,Games!$A$2:$A$18,Games!$Q$2:$Q$18,"Missing game",0)</x:f>
      </x:c>
      <x:c r="AW2161" t="str">
        <x:f>_xlfn.XLOOKUP($A2161,Games!$A$2:$A$18,Games!$R$2:$R$18,"Missing game",0)</x:f>
        <x:v>AT&amp;T Stadium</x:v>
      </x:c>
    </x:row>
    <x:row r="2162">
      <x:c r="A2162" t="str">
        <x:v>2025_15_MIN_DAL</x:v>
      </x:c>
      <x:c r="B2162" t="n">
        <x:v>300</x:v>
      </x:c>
      <x:c r="C2162" t="n">
        <x:v>1</x:v>
      </x:c>
      <x:c r="D2162" t="str">
        <x:v>09:23</x:v>
      </x:c>
      <x:c r="E2162" t="n">
        <x:v>3</x:v>
      </x:c>
      <x:c r="F2162" t="n">
        <x:v>3</x:v>
      </x:c>
      <x:c r="G2162" t="str">
        <x:v>DAL</x:v>
      </x:c>
      <x:c r="H2162" t="str">
        <x:v>MIN</x:v>
      </x:c>
      <x:c r="I2162" t="str">
        <x:v>MIN</x:v>
      </x:c>
      <x:c r="J2162" t="n">
        <x:v>4</x:v>
      </x:c>
      <x:c r="K2162" t="str">
        <x:v>(9:23) (Shotgun) 4-D.Prescott up the middle to MIN 2 for 2 yards (61-J.Redmond; 15-D.Turner).</x:v>
      </x:c>
      <x:c r="L2162" t="str">
        <x:v>run</x:v>
      </x:c>
      <x:c r="M2162" t="n">
        <x:v>2</x:v>
      </x:c>
      <x:c r="N2162" t="n">
        <x:v>1</x:v>
      </x:c>
      <x:c r="O2162" t="n">
        <x:v>0</x:v>
      </x:c>
      <x:c r="P2162"/>
      <x:c r="Q2162"/>
      <x:c r="R2162"/>
      <x:c r="S2162"/>
      <x:c r="T2162" t="str">
        <x:v>middle</x:v>
      </x:c>
      <x:c r="U2162"/>
      <x:c r="V2162" t="n">
        <x:v>0</x:v>
      </x:c>
      <x:c r="W2162" t="n">
        <x:v>0</x:v>
      </x:c>
      <x:c r="X2162" t="n">
        <x:v>0</x:v>
      </x:c>
      <x:c r="Y2162" t="n">
        <x:v>0</x:v>
      </x:c>
      <x:c r="Z2162" t="n">
        <x:v>0</x:v>
      </x:c>
      <x:c r="AA2162" t="n">
        <x:v>0</x:v>
      </x:c>
      <x:c r="AB2162"/>
      <x:c r="AC2162" t="n">
        <x:v>0</x:v>
      </x:c>
      <x:c r="AD2162" t="n">
        <x:v>-0.2696112525300123</x:v>
      </x:c>
      <x:c r="AE2162" t="n">
        <x:v>0</x:v>
      </x:c>
      <x:c r="AF2162" t="n">
        <x:v>-0.027154982089996338</x:v>
      </x:c>
      <x:c r="AG2162" t="n">
        <x:f>_xlfn.XLOOKUP($A2162,Games!$A$2:$A$18,Games!$B$2:$B$18,"Missing game",0)</x:f>
        <x:v>2025</x:v>
      </x:c>
      <x:c r="AH2162" t="str">
        <x:f>_xlfn.XLOOKUP($A2162,Games!$A$2:$A$18,Games!$C$2:$C$18,"Missing game",0)</x:f>
        <x:v>REG</x:v>
      </x:c>
      <x:c r="AI2162" t="n">
        <x:f>_xlfn.XLOOKUP($A2162,Games!$A$2:$A$18,Games!$D$2:$D$18,"Missing game",0)</x:f>
        <x:v>15</x:v>
      </x:c>
      <x:c r="AJ2162" s="1" t="n">
        <x:f>_xlfn.XLOOKUP($A2162,Games!$A$2:$A$18,Games!$E$2:$E$18,"Missing game",0)</x:f>
        <x:v>46005</x:v>
      </x:c>
      <x:c r="AK2162" t="str">
        <x:f>_xlfn.XLOOKUP($A2162,Games!$A$2:$A$18,Games!$F$2:$F$18,"Missing game",0)</x:f>
        <x:v>Sunday</x:v>
      </x:c>
      <x:c r="AL2162" t="str">
        <x:f>_xlfn.XLOOKUP($A2162,Games!$A$2:$A$18,Games!$G$2:$G$18,"Missing game",0)</x:f>
        <x:v>MIN</x:v>
      </x:c>
      <x:c r="AM2162" t="n">
        <x:f>_xlfn.XLOOKUP($A2162,Games!$A$2:$A$18,Games!$H$2:$H$18,"Missing game",0)</x:f>
        <x:v>34</x:v>
      </x:c>
      <x:c r="AN2162" t="str">
        <x:f>_xlfn.XLOOKUP($A2162,Games!$A$2:$A$18,Games!$I$2:$I$18,"Missing game",0)</x:f>
        <x:v>DAL</x:v>
      </x:c>
      <x:c r="AO2162" t="n">
        <x:f>_xlfn.XLOOKUP($A2162,Games!$A$2:$A$18,Games!$J$2:$J$18,"Missing game",0)</x:f>
        <x:v>26</x:v>
      </x:c>
      <x:c r="AP2162" t="n">
        <x:f>_xlfn.XLOOKUP($A2162,Games!$A$2:$A$18,Games!$K$2:$K$18,"Missing game",0)</x:f>
        <x:v>-8</x:v>
      </x:c>
      <x:c r="AQ2162" t="n">
        <x:f>_xlfn.XLOOKUP($A2162,Games!$A$2:$A$18,Games!$L$2:$L$18,"Missing game",0)</x:f>
        <x:v>60</x:v>
      </x:c>
      <x:c r="AR2162" t="n">
        <x:f>_xlfn.XLOOKUP($A2162,Games!$A$2:$A$18,Games!$M$2:$M$18,"Missing game",0)</x:f>
        <x:v>0</x:v>
      </x:c>
      <x:c r="AS2162" t="str">
        <x:f>_xlfn.XLOOKUP($A2162,Games!$A$2:$A$18,Games!$N$2:$N$18,"Missing game",0)</x:f>
        <x:v>closed</x:v>
      </x:c>
      <x:c r="AT2162" t="str">
        <x:f>_xlfn.XLOOKUP($A2162,Games!$A$2:$A$18,Games!$O$2:$O$18,"Missing game",0)</x:f>
        <x:v>matrixturf</x:v>
      </x:c>
      <x:c r="AU2162" t="str">
        <x:f>_xlfn.XLOOKUP($A2162,Games!$A$2:$A$18,Games!$P$2:$P$18,"Missing game",0)</x:f>
      </x:c>
      <x:c r="AV2162" t="str">
        <x:f>_xlfn.XLOOKUP($A2162,Games!$A$2:$A$18,Games!$Q$2:$Q$18,"Missing game",0)</x:f>
      </x:c>
      <x:c r="AW2162" t="str">
        <x:f>_xlfn.XLOOKUP($A2162,Games!$A$2:$A$18,Games!$R$2:$R$18,"Missing game",0)</x:f>
        <x:v>AT&amp;T Stadium</x:v>
      </x:c>
    </x:row>
    <x:row r="2163">
      <x:c r="A2163" t="str">
        <x:v>2025_15_MIN_DAL</x:v>
      </x:c>
      <x:c r="B2163" t="n">
        <x:v>322</x:v>
      </x:c>
      <x:c r="C2163" t="n">
        <x:v>1</x:v>
      </x:c>
      <x:c r="D2163" t="str">
        <x:v>08:43</x:v>
      </x:c>
      <x:c r="E2163" t="n">
        <x:v>4</x:v>
      </x:c>
      <x:c r="F2163" t="n">
        <x:v>1</x:v>
      </x:c>
      <x:c r="G2163" t="str">
        <x:v>DAL</x:v>
      </x:c>
      <x:c r="H2163" t="str">
        <x:v>MIN</x:v>
      </x:c>
      <x:c r="I2163" t="str">
        <x:v>MIN</x:v>
      </x:c>
      <x:c r="J2163" t="n">
        <x:v>2</x:v>
      </x:c>
      <x:c r="K2163" t="str">
        <x:v>(8:43) 33-J.Williams up the middle to MIN 1 for 1 yard (51-B.Cashman; 44-J.Metellus).</x:v>
      </x:c>
      <x:c r="L2163" t="str">
        <x:v>run</x:v>
      </x:c>
      <x:c r="M2163" t="n">
        <x:v>1</x:v>
      </x:c>
      <x:c r="N2163" t="n">
        <x:v>0</x:v>
      </x:c>
      <x:c r="O2163" t="n">
        <x:v>0</x:v>
      </x:c>
      <x:c r="P2163"/>
      <x:c r="Q2163"/>
      <x:c r="R2163"/>
      <x:c r="S2163"/>
      <x:c r="T2163" t="str">
        <x:v>middle</x:v>
      </x:c>
      <x:c r="U2163"/>
      <x:c r="V2163" t="n">
        <x:v>0</x:v>
      </x:c>
      <x:c r="W2163" t="n">
        <x:v>1</x:v>
      </x:c>
      <x:c r="X2163" t="n">
        <x:v>0</x:v>
      </x:c>
      <x:c r="Y2163" t="n">
        <x:v>0</x:v>
      </x:c>
      <x:c r="Z2163" t="n">
        <x:v>0</x:v>
      </x:c>
      <x:c r="AA2163" t="n">
        <x:v>0</x:v>
      </x:c>
      <x:c r="AB2163"/>
      <x:c r="AC2163" t="n">
        <x:v>0</x:v>
      </x:c>
      <x:c r="AD2163" t="n">
        <x:v>1.9350059159332886</x:v>
      </x:c>
      <x:c r="AE2163" t="n">
        <x:v>1</x:v>
      </x:c>
      <x:c r="AF2163" t="n">
        <x:v>0.05766034126281738</x:v>
      </x:c>
      <x:c r="AG2163" t="n">
        <x:f>_xlfn.XLOOKUP($A2163,Games!$A$2:$A$18,Games!$B$2:$B$18,"Missing game",0)</x:f>
        <x:v>2025</x:v>
      </x:c>
      <x:c r="AH2163" t="str">
        <x:f>_xlfn.XLOOKUP($A2163,Games!$A$2:$A$18,Games!$C$2:$C$18,"Missing game",0)</x:f>
        <x:v>REG</x:v>
      </x:c>
      <x:c r="AI2163" t="n">
        <x:f>_xlfn.XLOOKUP($A2163,Games!$A$2:$A$18,Games!$D$2:$D$18,"Missing game",0)</x:f>
        <x:v>15</x:v>
      </x:c>
      <x:c r="AJ2163" s="1" t="n">
        <x:f>_xlfn.XLOOKUP($A2163,Games!$A$2:$A$18,Games!$E$2:$E$18,"Missing game",0)</x:f>
        <x:v>46005</x:v>
      </x:c>
      <x:c r="AK2163" t="str">
        <x:f>_xlfn.XLOOKUP($A2163,Games!$A$2:$A$18,Games!$F$2:$F$18,"Missing game",0)</x:f>
        <x:v>Sunday</x:v>
      </x:c>
      <x:c r="AL2163" t="str">
        <x:f>_xlfn.XLOOKUP($A2163,Games!$A$2:$A$18,Games!$G$2:$G$18,"Missing game",0)</x:f>
        <x:v>MIN</x:v>
      </x:c>
      <x:c r="AM2163" t="n">
        <x:f>_xlfn.XLOOKUP($A2163,Games!$A$2:$A$18,Games!$H$2:$H$18,"Missing game",0)</x:f>
        <x:v>34</x:v>
      </x:c>
      <x:c r="AN2163" t="str">
        <x:f>_xlfn.XLOOKUP($A2163,Games!$A$2:$A$18,Games!$I$2:$I$18,"Missing game",0)</x:f>
        <x:v>DAL</x:v>
      </x:c>
      <x:c r="AO2163" t="n">
        <x:f>_xlfn.XLOOKUP($A2163,Games!$A$2:$A$18,Games!$J$2:$J$18,"Missing game",0)</x:f>
        <x:v>26</x:v>
      </x:c>
      <x:c r="AP2163" t="n">
        <x:f>_xlfn.XLOOKUP($A2163,Games!$A$2:$A$18,Games!$K$2:$K$18,"Missing game",0)</x:f>
        <x:v>-8</x:v>
      </x:c>
      <x:c r="AQ2163" t="n">
        <x:f>_xlfn.XLOOKUP($A2163,Games!$A$2:$A$18,Games!$L$2:$L$18,"Missing game",0)</x:f>
        <x:v>60</x:v>
      </x:c>
      <x:c r="AR2163" t="n">
        <x:f>_xlfn.XLOOKUP($A2163,Games!$A$2:$A$18,Games!$M$2:$M$18,"Missing game",0)</x:f>
        <x:v>0</x:v>
      </x:c>
      <x:c r="AS2163" t="str">
        <x:f>_xlfn.XLOOKUP($A2163,Games!$A$2:$A$18,Games!$N$2:$N$18,"Missing game",0)</x:f>
        <x:v>closed</x:v>
      </x:c>
      <x:c r="AT2163" t="str">
        <x:f>_xlfn.XLOOKUP($A2163,Games!$A$2:$A$18,Games!$O$2:$O$18,"Missing game",0)</x:f>
        <x:v>matrixturf</x:v>
      </x:c>
      <x:c r="AU2163" t="str">
        <x:f>_xlfn.XLOOKUP($A2163,Games!$A$2:$A$18,Games!$P$2:$P$18,"Missing game",0)</x:f>
      </x:c>
      <x:c r="AV2163" t="str">
        <x:f>_xlfn.XLOOKUP($A2163,Games!$A$2:$A$18,Games!$Q$2:$Q$18,"Missing game",0)</x:f>
      </x:c>
      <x:c r="AW2163" t="str">
        <x:f>_xlfn.XLOOKUP($A2163,Games!$A$2:$A$18,Games!$R$2:$R$18,"Missing game",0)</x:f>
        <x:v>AT&amp;T Stadium</x:v>
      </x:c>
    </x:row>
    <x:row r="2164">
      <x:c r="A2164" t="str">
        <x:v>2025_15_MIN_DAL</x:v>
      </x:c>
      <x:c r="B2164" t="n">
        <x:v>344</x:v>
      </x:c>
      <x:c r="C2164" t="n">
        <x:v>1</x:v>
      </x:c>
      <x:c r="D2164" t="str">
        <x:v>08:26</x:v>
      </x:c>
      <x:c r="E2164" t="n">
        <x:v>1</x:v>
      </x:c>
      <x:c r="F2164" t="n">
        <x:v>1</x:v>
      </x:c>
      <x:c r="G2164" t="str">
        <x:v>DAL</x:v>
      </x:c>
      <x:c r="H2164" t="str">
        <x:v>MIN</x:v>
      </x:c>
      <x:c r="I2164" t="str">
        <x:v>MIN</x:v>
      </x:c>
      <x:c r="J2164" t="n">
        <x:v>1</x:v>
      </x:c>
      <x:c r="K2164" t="str">
        <x:v>(8:26) 33-J.Williams right guard for 1 yard, TOUCHDOWN.</x:v>
      </x:c>
      <x:c r="L2164" t="str">
        <x:v>run</x:v>
      </x:c>
      <x:c r="M2164" t="n">
        <x:v>1</x:v>
      </x:c>
      <x:c r="N2164" t="n">
        <x:v>0</x:v>
      </x:c>
      <x:c r="O2164" t="n">
        <x:v>0</x:v>
      </x:c>
      <x:c r="P2164"/>
      <x:c r="Q2164"/>
      <x:c r="R2164"/>
      <x:c r="S2164"/>
      <x:c r="T2164" t="str">
        <x:v>right</x:v>
      </x:c>
      <x:c r="U2164" t="str">
        <x:v>guard</x:v>
      </x:c>
      <x:c r="V2164" t="n">
        <x:v>0</x:v>
      </x:c>
      <x:c r="W2164" t="n">
        <x:v>1</x:v>
      </x:c>
      <x:c r="X2164" t="n">
        <x:v>0</x:v>
      </x:c>
      <x:c r="Y2164" t="n">
        <x:v>0</x:v>
      </x:c>
      <x:c r="Z2164" t="n">
        <x:v>0</x:v>
      </x:c>
      <x:c r="AA2164" t="n">
        <x:v>0</x:v>
      </x:c>
      <x:c r="AB2164"/>
      <x:c r="AC2164" t="n">
        <x:v>1</x:v>
      </x:c>
      <x:c r="AD2164" t="n">
        <x:v>0.41015814046841115</x:v>
      </x:c>
      <x:c r="AE2164" t="n">
        <x:v>1</x:v>
      </x:c>
      <x:c r="AF2164" t="n">
        <x:v>0.013711778317320622</x:v>
      </x:c>
      <x:c r="AG2164" t="n">
        <x:f>_xlfn.XLOOKUP($A2164,Games!$A$2:$A$18,Games!$B$2:$B$18,"Missing game",0)</x:f>
        <x:v>2025</x:v>
      </x:c>
      <x:c r="AH2164" t="str">
        <x:f>_xlfn.XLOOKUP($A2164,Games!$A$2:$A$18,Games!$C$2:$C$18,"Missing game",0)</x:f>
        <x:v>REG</x:v>
      </x:c>
      <x:c r="AI2164" t="n">
        <x:f>_xlfn.XLOOKUP($A2164,Games!$A$2:$A$18,Games!$D$2:$D$18,"Missing game",0)</x:f>
        <x:v>15</x:v>
      </x:c>
      <x:c r="AJ2164" s="1" t="n">
        <x:f>_xlfn.XLOOKUP($A2164,Games!$A$2:$A$18,Games!$E$2:$E$18,"Missing game",0)</x:f>
        <x:v>46005</x:v>
      </x:c>
      <x:c r="AK2164" t="str">
        <x:f>_xlfn.XLOOKUP($A2164,Games!$A$2:$A$18,Games!$F$2:$F$18,"Missing game",0)</x:f>
        <x:v>Sunday</x:v>
      </x:c>
      <x:c r="AL2164" t="str">
        <x:f>_xlfn.XLOOKUP($A2164,Games!$A$2:$A$18,Games!$G$2:$G$18,"Missing game",0)</x:f>
        <x:v>MIN</x:v>
      </x:c>
      <x:c r="AM2164" t="n">
        <x:f>_xlfn.XLOOKUP($A2164,Games!$A$2:$A$18,Games!$H$2:$H$18,"Missing game",0)</x:f>
        <x:v>34</x:v>
      </x:c>
      <x:c r="AN2164" t="str">
        <x:f>_xlfn.XLOOKUP($A2164,Games!$A$2:$A$18,Games!$I$2:$I$18,"Missing game",0)</x:f>
        <x:v>DAL</x:v>
      </x:c>
      <x:c r="AO2164" t="n">
        <x:f>_xlfn.XLOOKUP($A2164,Games!$A$2:$A$18,Games!$J$2:$J$18,"Missing game",0)</x:f>
        <x:v>26</x:v>
      </x:c>
      <x:c r="AP2164" t="n">
        <x:f>_xlfn.XLOOKUP($A2164,Games!$A$2:$A$18,Games!$K$2:$K$18,"Missing game",0)</x:f>
        <x:v>-8</x:v>
      </x:c>
      <x:c r="AQ2164" t="n">
        <x:f>_xlfn.XLOOKUP($A2164,Games!$A$2:$A$18,Games!$L$2:$L$18,"Missing game",0)</x:f>
        <x:v>60</x:v>
      </x:c>
      <x:c r="AR2164" t="n">
        <x:f>_xlfn.XLOOKUP($A2164,Games!$A$2:$A$18,Games!$M$2:$M$18,"Missing game",0)</x:f>
        <x:v>0</x:v>
      </x:c>
      <x:c r="AS2164" t="str">
        <x:f>_xlfn.XLOOKUP($A2164,Games!$A$2:$A$18,Games!$N$2:$N$18,"Missing game",0)</x:f>
        <x:v>closed</x:v>
      </x:c>
      <x:c r="AT2164" t="str">
        <x:f>_xlfn.XLOOKUP($A2164,Games!$A$2:$A$18,Games!$O$2:$O$18,"Missing game",0)</x:f>
        <x:v>matrixturf</x:v>
      </x:c>
      <x:c r="AU2164" t="str">
        <x:f>_xlfn.XLOOKUP($A2164,Games!$A$2:$A$18,Games!$P$2:$P$18,"Missing game",0)</x:f>
      </x:c>
      <x:c r="AV2164" t="str">
        <x:f>_xlfn.XLOOKUP($A2164,Games!$A$2:$A$18,Games!$Q$2:$Q$18,"Missing game",0)</x:f>
      </x:c>
      <x:c r="AW2164" t="str">
        <x:f>_xlfn.XLOOKUP($A2164,Games!$A$2:$A$18,Games!$R$2:$R$18,"Missing game",0)</x:f>
        <x:v>AT&amp;T Stadium</x:v>
      </x:c>
    </x:row>
    <x:row r="2165">
      <x:c r="A2165" t="str">
        <x:v>2025_15_MIN_DAL</x:v>
      </x:c>
      <x:c r="B2165" t="n">
        <x:v>367</x:v>
      </x:c>
      <x:c r="C2165" t="n">
        <x:v>1</x:v>
      </x:c>
      <x:c r="D2165" t="str">
        <x:v>08:23</x:v>
      </x:c>
      <x:c r="E2165"/>
      <x:c r="F2165" t="n">
        <x:v>0</x:v>
      </x:c>
      <x:c r="G2165" t="str">
        <x:v>DAL</x:v>
      </x:c>
      <x:c r="H2165" t="str">
        <x:v>MIN</x:v>
      </x:c>
      <x:c r="I2165" t="str">
        <x:v>MIN</x:v>
      </x:c>
      <x:c r="J2165" t="n">
        <x:v>15</x:v>
      </x:c>
      <x:c r="K2165" t="str">
        <x:v>17-B.Aubrey extra point is GOOD, Center-44-T.Sieg, Holder-5-B.Anger.</x:v>
      </x:c>
      <x:c r="L2165" t="str">
        <x:v>extra_point</x:v>
      </x:c>
      <x:c r="M2165" t="n">
        <x:v>0</x:v>
      </x:c>
      <x:c r="N2165" t="n">
        <x:v>0</x:v>
      </x:c>
      <x:c r="O2165" t="n">
        <x:v>0</x:v>
      </x:c>
      <x:c r="P2165"/>
      <x:c r="Q2165"/>
      <x:c r="R2165"/>
      <x:c r="S2165"/>
      <x:c r="T2165"/>
      <x:c r="U2165"/>
      <x:c r="V2165" t="n">
        <x:v>0</x:v>
      </x:c>
      <x:c r="W2165" t="n">
        <x:v>0</x:v>
      </x:c>
      <x:c r="X2165" t="n">
        <x:v>0</x:v>
      </x:c>
      <x:c r="Y2165" t="n">
        <x:v>0</x:v>
      </x:c>
      <x:c r="Z2165" t="n">
        <x:v>0</x:v>
      </x:c>
      <x:c r="AA2165" t="n">
        <x:v>0</x:v>
      </x:c>
      <x:c r="AB2165"/>
      <x:c r="AC2165" t="n">
        <x:v>0</x:v>
      </x:c>
      <x:c r="AD2165" t="n">
        <x:v>0.06857135097992784</x:v>
      </x:c>
      <x:c r="AE2165" t="n">
        <x:v>1</x:v>
      </x:c>
      <x:c r="AF2165" t="n">
        <x:v>0.0020017941848156084</x:v>
      </x:c>
      <x:c r="AG2165" t="n">
        <x:f>_xlfn.XLOOKUP($A2165,Games!$A$2:$A$18,Games!$B$2:$B$18,"Missing game",0)</x:f>
        <x:v>2025</x:v>
      </x:c>
      <x:c r="AH2165" t="str">
        <x:f>_xlfn.XLOOKUP($A2165,Games!$A$2:$A$18,Games!$C$2:$C$18,"Missing game",0)</x:f>
        <x:v>REG</x:v>
      </x:c>
      <x:c r="AI2165" t="n">
        <x:f>_xlfn.XLOOKUP($A2165,Games!$A$2:$A$18,Games!$D$2:$D$18,"Missing game",0)</x:f>
        <x:v>15</x:v>
      </x:c>
      <x:c r="AJ2165" s="1" t="n">
        <x:f>_xlfn.XLOOKUP($A2165,Games!$A$2:$A$18,Games!$E$2:$E$18,"Missing game",0)</x:f>
        <x:v>46005</x:v>
      </x:c>
      <x:c r="AK2165" t="str">
        <x:f>_xlfn.XLOOKUP($A2165,Games!$A$2:$A$18,Games!$F$2:$F$18,"Missing game",0)</x:f>
        <x:v>Sunday</x:v>
      </x:c>
      <x:c r="AL2165" t="str">
        <x:f>_xlfn.XLOOKUP($A2165,Games!$A$2:$A$18,Games!$G$2:$G$18,"Missing game",0)</x:f>
        <x:v>MIN</x:v>
      </x:c>
      <x:c r="AM2165" t="n">
        <x:f>_xlfn.XLOOKUP($A2165,Games!$A$2:$A$18,Games!$H$2:$H$18,"Missing game",0)</x:f>
        <x:v>34</x:v>
      </x:c>
      <x:c r="AN2165" t="str">
        <x:f>_xlfn.XLOOKUP($A2165,Games!$A$2:$A$18,Games!$I$2:$I$18,"Missing game",0)</x:f>
        <x:v>DAL</x:v>
      </x:c>
      <x:c r="AO2165" t="n">
        <x:f>_xlfn.XLOOKUP($A2165,Games!$A$2:$A$18,Games!$J$2:$J$18,"Missing game",0)</x:f>
        <x:v>26</x:v>
      </x:c>
      <x:c r="AP2165" t="n">
        <x:f>_xlfn.XLOOKUP($A2165,Games!$A$2:$A$18,Games!$K$2:$K$18,"Missing game",0)</x:f>
        <x:v>-8</x:v>
      </x:c>
      <x:c r="AQ2165" t="n">
        <x:f>_xlfn.XLOOKUP($A2165,Games!$A$2:$A$18,Games!$L$2:$L$18,"Missing game",0)</x:f>
        <x:v>60</x:v>
      </x:c>
      <x:c r="AR2165" t="n">
        <x:f>_xlfn.XLOOKUP($A2165,Games!$A$2:$A$18,Games!$M$2:$M$18,"Missing game",0)</x:f>
        <x:v>0</x:v>
      </x:c>
      <x:c r="AS2165" t="str">
        <x:f>_xlfn.XLOOKUP($A2165,Games!$A$2:$A$18,Games!$N$2:$N$18,"Missing game",0)</x:f>
        <x:v>closed</x:v>
      </x:c>
      <x:c r="AT2165" t="str">
        <x:f>_xlfn.XLOOKUP($A2165,Games!$A$2:$A$18,Games!$O$2:$O$18,"Missing game",0)</x:f>
        <x:v>matrixturf</x:v>
      </x:c>
      <x:c r="AU2165" t="str">
        <x:f>_xlfn.XLOOKUP($A2165,Games!$A$2:$A$18,Games!$P$2:$P$18,"Missing game",0)</x:f>
      </x:c>
      <x:c r="AV2165" t="str">
        <x:f>_xlfn.XLOOKUP($A2165,Games!$A$2:$A$18,Games!$Q$2:$Q$18,"Missing game",0)</x:f>
      </x:c>
      <x:c r="AW2165" t="str">
        <x:f>_xlfn.XLOOKUP($A2165,Games!$A$2:$A$18,Games!$R$2:$R$18,"Missing game",0)</x:f>
        <x:v>AT&amp;T Stadium</x:v>
      </x:c>
    </x:row>
    <x:row r="2166">
      <x:c r="A2166" t="str">
        <x:v>2025_15_MIN_DAL</x:v>
      </x:c>
      <x:c r="B2166" t="n">
        <x:v>382</x:v>
      </x:c>
      <x:c r="C2166" t="n">
        <x:v>1</x:v>
      </x:c>
      <x:c r="D2166" t="str">
        <x:v>08:23</x:v>
      </x:c>
      <x:c r="E2166"/>
      <x:c r="F2166" t="n">
        <x:v>0</x:v>
      </x:c>
      <x:c r="G2166" t="str">
        <x:v>MIN</x:v>
      </x:c>
      <x:c r="H2166" t="str">
        <x:v>DAL</x:v>
      </x:c>
      <x:c r="I2166" t="str">
        <x:v>DAL</x:v>
      </x:c>
      <x:c r="J2166" t="n">
        <x:v>35</x:v>
      </x:c>
      <x:c r="K2166" t="str">
        <x:v>17-B.Aubrey kicks 62 yards from DAL 35 to MIN 3. 4-M.Price to MIN 14 for 11 yards (38-A.Clark).</x:v>
      </x:c>
      <x:c r="L2166" t="str">
        <x:v>kickoff</x:v>
      </x:c>
      <x:c r="M2166" t="n">
        <x:v>0</x:v>
      </x:c>
      <x:c r="N2166" t="n">
        <x:v>0</x:v>
      </x:c>
      <x:c r="O2166" t="n">
        <x:v>0</x:v>
      </x:c>
      <x:c r="P2166"/>
      <x:c r="Q2166"/>
      <x:c r="R2166"/>
      <x:c r="S2166"/>
      <x:c r="T2166"/>
      <x:c r="U2166"/>
      <x:c r="V2166" t="n">
        <x:v>0</x:v>
      </x:c>
      <x:c r="W2166" t="n">
        <x:v>0</x:v>
      </x:c>
      <x:c r="X2166" t="n">
        <x:v>0</x:v>
      </x:c>
      <x:c r="Y2166" t="n">
        <x:v>0</x:v>
      </x:c>
      <x:c r="Z2166" t="n">
        <x:v>0</x:v>
      </x:c>
      <x:c r="AA2166" t="n">
        <x:v>0</x:v>
      </x:c>
      <x:c r="AB2166"/>
      <x:c r="AC2166" t="n">
        <x:v>0</x:v>
      </x:c>
      <x:c r="AD2166" t="n">
        <x:v>-0.7866111299954355</x:v>
      </x:c>
      <x:c r="AE2166" t="n">
        <x:v>0</x:v>
      </x:c>
      <x:c r="AF2166" t="n">
        <x:v>-0.0138939768075943</x:v>
      </x:c>
      <x:c r="AG2166" t="n">
        <x:f>_xlfn.XLOOKUP($A2166,Games!$A$2:$A$18,Games!$B$2:$B$18,"Missing game",0)</x:f>
        <x:v>2025</x:v>
      </x:c>
      <x:c r="AH2166" t="str">
        <x:f>_xlfn.XLOOKUP($A2166,Games!$A$2:$A$18,Games!$C$2:$C$18,"Missing game",0)</x:f>
        <x:v>REG</x:v>
      </x:c>
      <x:c r="AI2166" t="n">
        <x:f>_xlfn.XLOOKUP($A2166,Games!$A$2:$A$18,Games!$D$2:$D$18,"Missing game",0)</x:f>
        <x:v>15</x:v>
      </x:c>
      <x:c r="AJ2166" s="1" t="n">
        <x:f>_xlfn.XLOOKUP($A2166,Games!$A$2:$A$18,Games!$E$2:$E$18,"Missing game",0)</x:f>
        <x:v>46005</x:v>
      </x:c>
      <x:c r="AK2166" t="str">
        <x:f>_xlfn.XLOOKUP($A2166,Games!$A$2:$A$18,Games!$F$2:$F$18,"Missing game",0)</x:f>
        <x:v>Sunday</x:v>
      </x:c>
      <x:c r="AL2166" t="str">
        <x:f>_xlfn.XLOOKUP($A2166,Games!$A$2:$A$18,Games!$G$2:$G$18,"Missing game",0)</x:f>
        <x:v>MIN</x:v>
      </x:c>
      <x:c r="AM2166" t="n">
        <x:f>_xlfn.XLOOKUP($A2166,Games!$A$2:$A$18,Games!$H$2:$H$18,"Missing game",0)</x:f>
        <x:v>34</x:v>
      </x:c>
      <x:c r="AN2166" t="str">
        <x:f>_xlfn.XLOOKUP($A2166,Games!$A$2:$A$18,Games!$I$2:$I$18,"Missing game",0)</x:f>
        <x:v>DAL</x:v>
      </x:c>
      <x:c r="AO2166" t="n">
        <x:f>_xlfn.XLOOKUP($A2166,Games!$A$2:$A$18,Games!$J$2:$J$18,"Missing game",0)</x:f>
        <x:v>26</x:v>
      </x:c>
      <x:c r="AP2166" t="n">
        <x:f>_xlfn.XLOOKUP($A2166,Games!$A$2:$A$18,Games!$K$2:$K$18,"Missing game",0)</x:f>
        <x:v>-8</x:v>
      </x:c>
      <x:c r="AQ2166" t="n">
        <x:f>_xlfn.XLOOKUP($A2166,Games!$A$2:$A$18,Games!$L$2:$L$18,"Missing game",0)</x:f>
        <x:v>60</x:v>
      </x:c>
      <x:c r="AR2166" t="n">
        <x:f>_xlfn.XLOOKUP($A2166,Games!$A$2:$A$18,Games!$M$2:$M$18,"Missing game",0)</x:f>
        <x:v>0</x:v>
      </x:c>
      <x:c r="AS2166" t="str">
        <x:f>_xlfn.XLOOKUP($A2166,Games!$A$2:$A$18,Games!$N$2:$N$18,"Missing game",0)</x:f>
        <x:v>closed</x:v>
      </x:c>
      <x:c r="AT2166" t="str">
        <x:f>_xlfn.XLOOKUP($A2166,Games!$A$2:$A$18,Games!$O$2:$O$18,"Missing game",0)</x:f>
        <x:v>matrixturf</x:v>
      </x:c>
      <x:c r="AU2166" t="str">
        <x:f>_xlfn.XLOOKUP($A2166,Games!$A$2:$A$18,Games!$P$2:$P$18,"Missing game",0)</x:f>
      </x:c>
      <x:c r="AV2166" t="str">
        <x:f>_xlfn.XLOOKUP($A2166,Games!$A$2:$A$18,Games!$Q$2:$Q$18,"Missing game",0)</x:f>
      </x:c>
      <x:c r="AW2166" t="str">
        <x:f>_xlfn.XLOOKUP($A2166,Games!$A$2:$A$18,Games!$R$2:$R$18,"Missing game",0)</x:f>
        <x:v>AT&amp;T Stadium</x:v>
      </x:c>
    </x:row>
    <x:row r="2167">
      <x:c r="A2167" t="str">
        <x:v>2025_15_MIN_DAL</x:v>
      </x:c>
      <x:c r="B2167" t="n">
        <x:v>412</x:v>
      </x:c>
      <x:c r="C2167" t="n">
        <x:v>1</x:v>
      </x:c>
      <x:c r="D2167" t="str">
        <x:v>08:19</x:v>
      </x:c>
      <x:c r="E2167" t="n">
        <x:v>1</x:v>
      </x:c>
      <x:c r="F2167" t="n">
        <x:v>10</x:v>
      </x:c>
      <x:c r="G2167" t="str">
        <x:v>MIN</x:v>
      </x:c>
      <x:c r="H2167" t="str">
        <x:v>DAL</x:v>
      </x:c>
      <x:c r="I2167" t="str">
        <x:v>MIN</x:v>
      </x:c>
      <x:c r="J2167" t="n">
        <x:v>86</x:v>
      </x:c>
      <x:c r="K2167" t="str">
        <x:v>(8:19) 33-A.Jones up the middle to MIN 11 for -3 yards (95-K.Clark).</x:v>
      </x:c>
      <x:c r="L2167" t="str">
        <x:v>run</x:v>
      </x:c>
      <x:c r="M2167" t="n">
        <x:v>-3</x:v>
      </x:c>
      <x:c r="N2167" t="n">
        <x:v>0</x:v>
      </x:c>
      <x:c r="O2167" t="n">
        <x:v>0</x:v>
      </x:c>
      <x:c r="P2167"/>
      <x:c r="Q2167"/>
      <x:c r="R2167"/>
      <x:c r="S2167"/>
      <x:c r="T2167" t="str">
        <x:v>middle</x:v>
      </x:c>
      <x:c r="U2167"/>
      <x:c r="V2167" t="n">
        <x:v>0</x:v>
      </x:c>
      <x:c r="W2167" t="n">
        <x:v>0</x:v>
      </x:c>
      <x:c r="X2167" t="n">
        <x:v>0</x:v>
      </x:c>
      <x:c r="Y2167" t="n">
        <x:v>0</x:v>
      </x:c>
      <x:c r="Z2167" t="n">
        <x:v>0</x:v>
      </x:c>
      <x:c r="AA2167" t="n">
        <x:v>0</x:v>
      </x:c>
      <x:c r="AB2167"/>
      <x:c r="AC2167" t="n">
        <x:v>0</x:v>
      </x:c>
      <x:c r="AD2167" t="n">
        <x:v>-1.1962793613784015</x:v>
      </x:c>
      <x:c r="AE2167" t="n">
        <x:v>0</x:v>
      </x:c>
      <x:c r="AF2167" t="n">
        <x:v>-0.014846891164779663</x:v>
      </x:c>
      <x:c r="AG2167" t="n">
        <x:f>_xlfn.XLOOKUP($A2167,Games!$A$2:$A$18,Games!$B$2:$B$18,"Missing game",0)</x:f>
        <x:v>2025</x:v>
      </x:c>
      <x:c r="AH2167" t="str">
        <x:f>_xlfn.XLOOKUP($A2167,Games!$A$2:$A$18,Games!$C$2:$C$18,"Missing game",0)</x:f>
        <x:v>REG</x:v>
      </x:c>
      <x:c r="AI2167" t="n">
        <x:f>_xlfn.XLOOKUP($A2167,Games!$A$2:$A$18,Games!$D$2:$D$18,"Missing game",0)</x:f>
        <x:v>15</x:v>
      </x:c>
      <x:c r="AJ2167" s="1" t="n">
        <x:f>_xlfn.XLOOKUP($A2167,Games!$A$2:$A$18,Games!$E$2:$E$18,"Missing game",0)</x:f>
        <x:v>46005</x:v>
      </x:c>
      <x:c r="AK2167" t="str">
        <x:f>_xlfn.XLOOKUP($A2167,Games!$A$2:$A$18,Games!$F$2:$F$18,"Missing game",0)</x:f>
        <x:v>Sunday</x:v>
      </x:c>
      <x:c r="AL2167" t="str">
        <x:f>_xlfn.XLOOKUP($A2167,Games!$A$2:$A$18,Games!$G$2:$G$18,"Missing game",0)</x:f>
        <x:v>MIN</x:v>
      </x:c>
      <x:c r="AM2167" t="n">
        <x:f>_xlfn.XLOOKUP($A2167,Games!$A$2:$A$18,Games!$H$2:$H$18,"Missing game",0)</x:f>
        <x:v>34</x:v>
      </x:c>
      <x:c r="AN2167" t="str">
        <x:f>_xlfn.XLOOKUP($A2167,Games!$A$2:$A$18,Games!$I$2:$I$18,"Missing game",0)</x:f>
        <x:v>DAL</x:v>
      </x:c>
      <x:c r="AO2167" t="n">
        <x:f>_xlfn.XLOOKUP($A2167,Games!$A$2:$A$18,Games!$J$2:$J$18,"Missing game",0)</x:f>
        <x:v>26</x:v>
      </x:c>
      <x:c r="AP2167" t="n">
        <x:f>_xlfn.XLOOKUP($A2167,Games!$A$2:$A$18,Games!$K$2:$K$18,"Missing game",0)</x:f>
        <x:v>-8</x:v>
      </x:c>
      <x:c r="AQ2167" t="n">
        <x:f>_xlfn.XLOOKUP($A2167,Games!$A$2:$A$18,Games!$L$2:$L$18,"Missing game",0)</x:f>
        <x:v>60</x:v>
      </x:c>
      <x:c r="AR2167" t="n">
        <x:f>_xlfn.XLOOKUP($A2167,Games!$A$2:$A$18,Games!$M$2:$M$18,"Missing game",0)</x:f>
        <x:v>0</x:v>
      </x:c>
      <x:c r="AS2167" t="str">
        <x:f>_xlfn.XLOOKUP($A2167,Games!$A$2:$A$18,Games!$N$2:$N$18,"Missing game",0)</x:f>
        <x:v>closed</x:v>
      </x:c>
      <x:c r="AT2167" t="str">
        <x:f>_xlfn.XLOOKUP($A2167,Games!$A$2:$A$18,Games!$O$2:$O$18,"Missing game",0)</x:f>
        <x:v>matrixturf</x:v>
      </x:c>
      <x:c r="AU2167" t="str">
        <x:f>_xlfn.XLOOKUP($A2167,Games!$A$2:$A$18,Games!$P$2:$P$18,"Missing game",0)</x:f>
      </x:c>
      <x:c r="AV2167" t="str">
        <x:f>_xlfn.XLOOKUP($A2167,Games!$A$2:$A$18,Games!$Q$2:$Q$18,"Missing game",0)</x:f>
      </x:c>
      <x:c r="AW2167" t="str">
        <x:f>_xlfn.XLOOKUP($A2167,Games!$A$2:$A$18,Games!$R$2:$R$18,"Missing game",0)</x:f>
        <x:v>AT&amp;T Stadium</x:v>
      </x:c>
    </x:row>
    <x:row r="2168">
      <x:c r="A2168" t="str">
        <x:v>2025_15_MIN_DAL</x:v>
      </x:c>
      <x:c r="B2168" t="n">
        <x:v>434</x:v>
      </x:c>
      <x:c r="C2168" t="n">
        <x:v>1</x:v>
      </x:c>
      <x:c r="D2168" t="str">
        <x:v>07:40</x:v>
      </x:c>
      <x:c r="E2168" t="n">
        <x:v>2</x:v>
      </x:c>
      <x:c r="F2168" t="n">
        <x:v>13</x:v>
      </x:c>
      <x:c r="G2168" t="str">
        <x:v>MIN</x:v>
      </x:c>
      <x:c r="H2168" t="str">
        <x:v>DAL</x:v>
      </x:c>
      <x:c r="I2168" t="str">
        <x:v>MIN</x:v>
      </x:c>
      <x:c r="J2168" t="n">
        <x:v>89</x:v>
      </x:c>
      <x:c r="K2168" t="str">
        <x:v>(7:40) (Shotgun) 9-J.McCarthy pass short left to 87-T.Hockenson pushed ob at MIN 24 for 13 yards (28-M.Hooker; 0-D.Overshown).</x:v>
      </x:c>
      <x:c r="L2168" t="str">
        <x:v>pass</x:v>
      </x:c>
      <x:c r="M2168" t="n">
        <x:v>13</x:v>
      </x:c>
      <x:c r="N2168" t="n">
        <x:v>1</x:v>
      </x:c>
      <x:c r="O2168" t="n">
        <x:v>0</x:v>
      </x:c>
      <x:c r="P2168" t="str">
        <x:v>short</x:v>
      </x:c>
      <x:c r="Q2168" t="str">
        <x:v>left</x:v>
      </x:c>
      <x:c r="R2168" t="n">
        <x:v>4</x:v>
      </x:c>
      <x:c r="S2168" t="n">
        <x:v>9</x:v>
      </x:c>
      <x:c r="T2168"/>
      <x:c r="U2168"/>
      <x:c r="V2168" t="n">
        <x:v>1</x:v>
      </x:c>
      <x:c r="W2168" t="n">
        <x:v>1</x:v>
      </x:c>
      <x:c r="X2168" t="n">
        <x:v>0</x:v>
      </x:c>
      <x:c r="Y2168" t="n">
        <x:v>0</x:v>
      </x:c>
      <x:c r="Z2168" t="n">
        <x:v>0</x:v>
      </x:c>
      <x:c r="AA2168" t="n">
        <x:v>0</x:v>
      </x:c>
      <x:c r="AB2168"/>
      <x:c r="AC2168" t="n">
        <x:v>0</x:v>
      </x:c>
      <x:c r="AD2168" t="n">
        <x:v>1.694530331529677</x:v>
      </x:c>
      <x:c r="AE2168" t="n">
        <x:v>1</x:v>
      </x:c>
      <x:c r="AF2168" t="n">
        <x:v>0.03591768443584442</x:v>
      </x:c>
      <x:c r="AG2168" t="n">
        <x:f>_xlfn.XLOOKUP($A2168,Games!$A$2:$A$18,Games!$B$2:$B$18,"Missing game",0)</x:f>
        <x:v>2025</x:v>
      </x:c>
      <x:c r="AH2168" t="str">
        <x:f>_xlfn.XLOOKUP($A2168,Games!$A$2:$A$18,Games!$C$2:$C$18,"Missing game",0)</x:f>
        <x:v>REG</x:v>
      </x:c>
      <x:c r="AI2168" t="n">
        <x:f>_xlfn.XLOOKUP($A2168,Games!$A$2:$A$18,Games!$D$2:$D$18,"Missing game",0)</x:f>
        <x:v>15</x:v>
      </x:c>
      <x:c r="AJ2168" s="1" t="n">
        <x:f>_xlfn.XLOOKUP($A2168,Games!$A$2:$A$18,Games!$E$2:$E$18,"Missing game",0)</x:f>
        <x:v>46005</x:v>
      </x:c>
      <x:c r="AK2168" t="str">
        <x:f>_xlfn.XLOOKUP($A2168,Games!$A$2:$A$18,Games!$F$2:$F$18,"Missing game",0)</x:f>
        <x:v>Sunday</x:v>
      </x:c>
      <x:c r="AL2168" t="str">
        <x:f>_xlfn.XLOOKUP($A2168,Games!$A$2:$A$18,Games!$G$2:$G$18,"Missing game",0)</x:f>
        <x:v>MIN</x:v>
      </x:c>
      <x:c r="AM2168" t="n">
        <x:f>_xlfn.XLOOKUP($A2168,Games!$A$2:$A$18,Games!$H$2:$H$18,"Missing game",0)</x:f>
        <x:v>34</x:v>
      </x:c>
      <x:c r="AN2168" t="str">
        <x:f>_xlfn.XLOOKUP($A2168,Games!$A$2:$A$18,Games!$I$2:$I$18,"Missing game",0)</x:f>
        <x:v>DAL</x:v>
      </x:c>
      <x:c r="AO2168" t="n">
        <x:f>_xlfn.XLOOKUP($A2168,Games!$A$2:$A$18,Games!$J$2:$J$18,"Missing game",0)</x:f>
        <x:v>26</x:v>
      </x:c>
      <x:c r="AP2168" t="n">
        <x:f>_xlfn.XLOOKUP($A2168,Games!$A$2:$A$18,Games!$K$2:$K$18,"Missing game",0)</x:f>
        <x:v>-8</x:v>
      </x:c>
      <x:c r="AQ2168" t="n">
        <x:f>_xlfn.XLOOKUP($A2168,Games!$A$2:$A$18,Games!$L$2:$L$18,"Missing game",0)</x:f>
        <x:v>60</x:v>
      </x:c>
      <x:c r="AR2168" t="n">
        <x:f>_xlfn.XLOOKUP($A2168,Games!$A$2:$A$18,Games!$M$2:$M$18,"Missing game",0)</x:f>
        <x:v>0</x:v>
      </x:c>
      <x:c r="AS2168" t="str">
        <x:f>_xlfn.XLOOKUP($A2168,Games!$A$2:$A$18,Games!$N$2:$N$18,"Missing game",0)</x:f>
        <x:v>closed</x:v>
      </x:c>
      <x:c r="AT2168" t="str">
        <x:f>_xlfn.XLOOKUP($A2168,Games!$A$2:$A$18,Games!$O$2:$O$18,"Missing game",0)</x:f>
        <x:v>matrixturf</x:v>
      </x:c>
      <x:c r="AU2168" t="str">
        <x:f>_xlfn.XLOOKUP($A2168,Games!$A$2:$A$18,Games!$P$2:$P$18,"Missing game",0)</x:f>
      </x:c>
      <x:c r="AV2168" t="str">
        <x:f>_xlfn.XLOOKUP($A2168,Games!$A$2:$A$18,Games!$Q$2:$Q$18,"Missing game",0)</x:f>
      </x:c>
      <x:c r="AW2168" t="str">
        <x:f>_xlfn.XLOOKUP($A2168,Games!$A$2:$A$18,Games!$R$2:$R$18,"Missing game",0)</x:f>
        <x:v>AT&amp;T Stadium</x:v>
      </x:c>
    </x:row>
    <x:row r="2169">
      <x:c r="A2169" t="str">
        <x:v>2025_15_MIN_DAL</x:v>
      </x:c>
      <x:c r="B2169" t="n">
        <x:v>464</x:v>
      </x:c>
      <x:c r="C2169" t="n">
        <x:v>1</x:v>
      </x:c>
      <x:c r="D2169" t="str">
        <x:v>06:55</x:v>
      </x:c>
      <x:c r="E2169" t="n">
        <x:v>1</x:v>
      </x:c>
      <x:c r="F2169" t="n">
        <x:v>10</x:v>
      </x:c>
      <x:c r="G2169" t="str">
        <x:v>MIN</x:v>
      </x:c>
      <x:c r="H2169" t="str">
        <x:v>DAL</x:v>
      </x:c>
      <x:c r="I2169" t="str">
        <x:v>MIN</x:v>
      </x:c>
      <x:c r="J2169" t="n">
        <x:v>76</x:v>
      </x:c>
      <x:c r="K2169" t="str">
        <x:v>(6:55) 33-A.Jones right tackle to MIN 25 for 1 yard (42-J.Clowney; 26-D.Bland).</x:v>
      </x:c>
      <x:c r="L2169" t="str">
        <x:v>run</x:v>
      </x:c>
      <x:c r="M2169" t="n">
        <x:v>1</x:v>
      </x:c>
      <x:c r="N2169" t="n">
        <x:v>0</x:v>
      </x:c>
      <x:c r="O2169" t="n">
        <x:v>0</x:v>
      </x:c>
      <x:c r="P2169"/>
      <x:c r="Q2169"/>
      <x:c r="R2169"/>
      <x:c r="S2169"/>
      <x:c r="T2169" t="str">
        <x:v>right</x:v>
      </x:c>
      <x:c r="U2169" t="str">
        <x:v>tackle</x:v>
      </x:c>
      <x:c r="V2169" t="n">
        <x:v>0</x:v>
      </x:c>
      <x:c r="W2169" t="n">
        <x:v>0</x:v>
      </x:c>
      <x:c r="X2169" t="n">
        <x:v>0</x:v>
      </x:c>
      <x:c r="Y2169" t="n">
        <x:v>0</x:v>
      </x:c>
      <x:c r="Z2169" t="n">
        <x:v>0</x:v>
      </x:c>
      <x:c r="AA2169" t="n">
        <x:v>0</x:v>
      </x:c>
      <x:c r="AB2169"/>
      <x:c r="AC2169" t="n">
        <x:v>0</x:v>
      </x:c>
      <x:c r="AD2169" t="n">
        <x:v>-0.37900436809286475</x:v>
      </x:c>
      <x:c r="AE2169" t="n">
        <x:v>0</x:v>
      </x:c>
      <x:c r="AF2169" t="n">
        <x:v>-0.014196023344993591</x:v>
      </x:c>
      <x:c r="AG2169" t="n">
        <x:f>_xlfn.XLOOKUP($A2169,Games!$A$2:$A$18,Games!$B$2:$B$18,"Missing game",0)</x:f>
        <x:v>2025</x:v>
      </x:c>
      <x:c r="AH2169" t="str">
        <x:f>_xlfn.XLOOKUP($A2169,Games!$A$2:$A$18,Games!$C$2:$C$18,"Missing game",0)</x:f>
        <x:v>REG</x:v>
      </x:c>
      <x:c r="AI2169" t="n">
        <x:f>_xlfn.XLOOKUP($A2169,Games!$A$2:$A$18,Games!$D$2:$D$18,"Missing game",0)</x:f>
        <x:v>15</x:v>
      </x:c>
      <x:c r="AJ2169" s="1" t="n">
        <x:f>_xlfn.XLOOKUP($A2169,Games!$A$2:$A$18,Games!$E$2:$E$18,"Missing game",0)</x:f>
        <x:v>46005</x:v>
      </x:c>
      <x:c r="AK2169" t="str">
        <x:f>_xlfn.XLOOKUP($A2169,Games!$A$2:$A$18,Games!$F$2:$F$18,"Missing game",0)</x:f>
        <x:v>Sunday</x:v>
      </x:c>
      <x:c r="AL2169" t="str">
        <x:f>_xlfn.XLOOKUP($A2169,Games!$A$2:$A$18,Games!$G$2:$G$18,"Missing game",0)</x:f>
        <x:v>MIN</x:v>
      </x:c>
      <x:c r="AM2169" t="n">
        <x:f>_xlfn.XLOOKUP($A2169,Games!$A$2:$A$18,Games!$H$2:$H$18,"Missing game",0)</x:f>
        <x:v>34</x:v>
      </x:c>
      <x:c r="AN2169" t="str">
        <x:f>_xlfn.XLOOKUP($A2169,Games!$A$2:$A$18,Games!$I$2:$I$18,"Missing game",0)</x:f>
        <x:v>DAL</x:v>
      </x:c>
      <x:c r="AO2169" t="n">
        <x:f>_xlfn.XLOOKUP($A2169,Games!$A$2:$A$18,Games!$J$2:$J$18,"Missing game",0)</x:f>
        <x:v>26</x:v>
      </x:c>
      <x:c r="AP2169" t="n">
        <x:f>_xlfn.XLOOKUP($A2169,Games!$A$2:$A$18,Games!$K$2:$K$18,"Missing game",0)</x:f>
        <x:v>-8</x:v>
      </x:c>
      <x:c r="AQ2169" t="n">
        <x:f>_xlfn.XLOOKUP($A2169,Games!$A$2:$A$18,Games!$L$2:$L$18,"Missing game",0)</x:f>
        <x:v>60</x:v>
      </x:c>
      <x:c r="AR2169" t="n">
        <x:f>_xlfn.XLOOKUP($A2169,Games!$A$2:$A$18,Games!$M$2:$M$18,"Missing game",0)</x:f>
        <x:v>0</x:v>
      </x:c>
      <x:c r="AS2169" t="str">
        <x:f>_xlfn.XLOOKUP($A2169,Games!$A$2:$A$18,Games!$N$2:$N$18,"Missing game",0)</x:f>
        <x:v>closed</x:v>
      </x:c>
      <x:c r="AT2169" t="str">
        <x:f>_xlfn.XLOOKUP($A2169,Games!$A$2:$A$18,Games!$O$2:$O$18,"Missing game",0)</x:f>
        <x:v>matrixturf</x:v>
      </x:c>
      <x:c r="AU2169" t="str">
        <x:f>_xlfn.XLOOKUP($A2169,Games!$A$2:$A$18,Games!$P$2:$P$18,"Missing game",0)</x:f>
      </x:c>
      <x:c r="AV2169" t="str">
        <x:f>_xlfn.XLOOKUP($A2169,Games!$A$2:$A$18,Games!$Q$2:$Q$18,"Missing game",0)</x:f>
      </x:c>
      <x:c r="AW2169" t="str">
        <x:f>_xlfn.XLOOKUP($A2169,Games!$A$2:$A$18,Games!$R$2:$R$18,"Missing game",0)</x:f>
        <x:v>AT&amp;T Stadium</x:v>
      </x:c>
    </x:row>
    <x:row r="2170">
      <x:c r="A2170" t="str">
        <x:v>2025_15_MIN_DAL</x:v>
      </x:c>
      <x:c r="B2170" t="n">
        <x:v>486</x:v>
      </x:c>
      <x:c r="C2170" t="n">
        <x:v>1</x:v>
      </x:c>
      <x:c r="D2170" t="str">
        <x:v>06:10</x:v>
      </x:c>
      <x:c r="E2170" t="n">
        <x:v>2</x:v>
      </x:c>
      <x:c r="F2170" t="n">
        <x:v>9</x:v>
      </x:c>
      <x:c r="G2170" t="str">
        <x:v>MIN</x:v>
      </x:c>
      <x:c r="H2170" t="str">
        <x:v>DAL</x:v>
      </x:c>
      <x:c r="I2170" t="str">
        <x:v>MIN</x:v>
      </x:c>
      <x:c r="J2170" t="n">
        <x:v>75</x:v>
      </x:c>
      <x:c r="K2170" t="str">
        <x:v>(6:10) (Shotgun) 9-J.McCarthy pass short left to 3-J.Addison to MIN 33 for 8 yards (28-M.Hooker).</x:v>
      </x:c>
      <x:c r="L2170" t="str">
        <x:v>pass</x:v>
      </x:c>
      <x:c r="M2170" t="n">
        <x:v>8</x:v>
      </x:c>
      <x:c r="N2170" t="n">
        <x:v>1</x:v>
      </x:c>
      <x:c r="O2170" t="n">
        <x:v>0</x:v>
      </x:c>
      <x:c r="P2170" t="str">
        <x:v>short</x:v>
      </x:c>
      <x:c r="Q2170" t="str">
        <x:v>left</x:v>
      </x:c>
      <x:c r="R2170" t="n">
        <x:v>4</x:v>
      </x:c>
      <x:c r="S2170" t="n">
        <x:v>4</x:v>
      </x:c>
      <x:c r="T2170"/>
      <x:c r="U2170"/>
      <x:c r="V2170" t="n">
        <x:v>1</x:v>
      </x:c>
      <x:c r="W2170" t="n">
        <x:v>0</x:v>
      </x:c>
      <x:c r="X2170" t="n">
        <x:v>0</x:v>
      </x:c>
      <x:c r="Y2170" t="n">
        <x:v>0</x:v>
      </x:c>
      <x:c r="Z2170" t="n">
        <x:v>0</x:v>
      </x:c>
      <x:c r="AA2170" t="n">
        <x:v>0</x:v>
      </x:c>
      <x:c r="AB2170"/>
      <x:c r="AC2170" t="n">
        <x:v>0</x:v>
      </x:c>
      <x:c r="AD2170" t="n">
        <x:v>0.7589070433750749</x:v>
      </x:c>
      <x:c r="AE2170" t="n">
        <x:v>1</x:v>
      </x:c>
      <x:c r="AF2170" t="n">
        <x:v>0.008930236101150513</x:v>
      </x:c>
      <x:c r="AG2170" t="n">
        <x:f>_xlfn.XLOOKUP($A2170,Games!$A$2:$A$18,Games!$B$2:$B$18,"Missing game",0)</x:f>
        <x:v>2025</x:v>
      </x:c>
      <x:c r="AH2170" t="str">
        <x:f>_xlfn.XLOOKUP($A2170,Games!$A$2:$A$18,Games!$C$2:$C$18,"Missing game",0)</x:f>
        <x:v>REG</x:v>
      </x:c>
      <x:c r="AI2170" t="n">
        <x:f>_xlfn.XLOOKUP($A2170,Games!$A$2:$A$18,Games!$D$2:$D$18,"Missing game",0)</x:f>
        <x:v>15</x:v>
      </x:c>
      <x:c r="AJ2170" s="1" t="n">
        <x:f>_xlfn.XLOOKUP($A2170,Games!$A$2:$A$18,Games!$E$2:$E$18,"Missing game",0)</x:f>
        <x:v>46005</x:v>
      </x:c>
      <x:c r="AK2170" t="str">
        <x:f>_xlfn.XLOOKUP($A2170,Games!$A$2:$A$18,Games!$F$2:$F$18,"Missing game",0)</x:f>
        <x:v>Sunday</x:v>
      </x:c>
      <x:c r="AL2170" t="str">
        <x:f>_xlfn.XLOOKUP($A2170,Games!$A$2:$A$18,Games!$G$2:$G$18,"Missing game",0)</x:f>
        <x:v>MIN</x:v>
      </x:c>
      <x:c r="AM2170" t="n">
        <x:f>_xlfn.XLOOKUP($A2170,Games!$A$2:$A$18,Games!$H$2:$H$18,"Missing game",0)</x:f>
        <x:v>34</x:v>
      </x:c>
      <x:c r="AN2170" t="str">
        <x:f>_xlfn.XLOOKUP($A2170,Games!$A$2:$A$18,Games!$I$2:$I$18,"Missing game",0)</x:f>
        <x:v>DAL</x:v>
      </x:c>
      <x:c r="AO2170" t="n">
        <x:f>_xlfn.XLOOKUP($A2170,Games!$A$2:$A$18,Games!$J$2:$J$18,"Missing game",0)</x:f>
        <x:v>26</x:v>
      </x:c>
      <x:c r="AP2170" t="n">
        <x:f>_xlfn.XLOOKUP($A2170,Games!$A$2:$A$18,Games!$K$2:$K$18,"Missing game",0)</x:f>
        <x:v>-8</x:v>
      </x:c>
      <x:c r="AQ2170" t="n">
        <x:f>_xlfn.XLOOKUP($A2170,Games!$A$2:$A$18,Games!$L$2:$L$18,"Missing game",0)</x:f>
        <x:v>60</x:v>
      </x:c>
      <x:c r="AR2170" t="n">
        <x:f>_xlfn.XLOOKUP($A2170,Games!$A$2:$A$18,Games!$M$2:$M$18,"Missing game",0)</x:f>
        <x:v>0</x:v>
      </x:c>
      <x:c r="AS2170" t="str">
        <x:f>_xlfn.XLOOKUP($A2170,Games!$A$2:$A$18,Games!$N$2:$N$18,"Missing game",0)</x:f>
        <x:v>closed</x:v>
      </x:c>
      <x:c r="AT2170" t="str">
        <x:f>_xlfn.XLOOKUP($A2170,Games!$A$2:$A$18,Games!$O$2:$O$18,"Missing game",0)</x:f>
        <x:v>matrixturf</x:v>
      </x:c>
      <x:c r="AU2170" t="str">
        <x:f>_xlfn.XLOOKUP($A2170,Games!$A$2:$A$18,Games!$P$2:$P$18,"Missing game",0)</x:f>
      </x:c>
      <x:c r="AV2170" t="str">
        <x:f>_xlfn.XLOOKUP($A2170,Games!$A$2:$A$18,Games!$Q$2:$Q$18,"Missing game",0)</x:f>
      </x:c>
      <x:c r="AW2170" t="str">
        <x:f>_xlfn.XLOOKUP($A2170,Games!$A$2:$A$18,Games!$R$2:$R$18,"Missing game",0)</x:f>
        <x:v>AT&amp;T Stadium</x:v>
      </x:c>
    </x:row>
    <x:row r="2171">
      <x:c r="A2171" t="str">
        <x:v>2025_15_MIN_DAL</x:v>
      </x:c>
      <x:c r="B2171" t="n">
        <x:v>511</x:v>
      </x:c>
      <x:c r="C2171" t="n">
        <x:v>1</x:v>
      </x:c>
      <x:c r="D2171" t="str">
        <x:v>05:28</x:v>
      </x:c>
      <x:c r="E2171" t="n">
        <x:v>3</x:v>
      </x:c>
      <x:c r="F2171" t="n">
        <x:v>1</x:v>
      </x:c>
      <x:c r="G2171" t="str">
        <x:v>MIN</x:v>
      </x:c>
      <x:c r="H2171" t="str">
        <x:v>DAL</x:v>
      </x:c>
      <x:c r="I2171" t="str">
        <x:v>MIN</x:v>
      </x:c>
      <x:c r="J2171" t="n">
        <x:v>67</x:v>
      </x:c>
      <x:c r="K2171" t="str">
        <x:v>(5:28) 33-A.Jones left guard to MIN 32 for -1 yards (34-S.Revel).</x:v>
      </x:c>
      <x:c r="L2171" t="str">
        <x:v>run</x:v>
      </x:c>
      <x:c r="M2171" t="n">
        <x:v>-1</x:v>
      </x:c>
      <x:c r="N2171" t="n">
        <x:v>0</x:v>
      </x:c>
      <x:c r="O2171" t="n">
        <x:v>0</x:v>
      </x:c>
      <x:c r="P2171"/>
      <x:c r="Q2171"/>
      <x:c r="R2171"/>
      <x:c r="S2171"/>
      <x:c r="T2171" t="str">
        <x:v>left</x:v>
      </x:c>
      <x:c r="U2171" t="str">
        <x:v>guard</x:v>
      </x:c>
      <x:c r="V2171" t="n">
        <x:v>0</x:v>
      </x:c>
      <x:c r="W2171" t="n">
        <x:v>0</x:v>
      </x:c>
      <x:c r="X2171" t="n">
        <x:v>0</x:v>
      </x:c>
      <x:c r="Y2171" t="n">
        <x:v>0</x:v>
      </x:c>
      <x:c r="Z2171" t="n">
        <x:v>0</x:v>
      </x:c>
      <x:c r="AA2171" t="n">
        <x:v>0</x:v>
      </x:c>
      <x:c r="AB2171"/>
      <x:c r="AC2171" t="n">
        <x:v>0</x:v>
      </x:c>
      <x:c r="AD2171" t="n">
        <x:v>-2.116571394726634</x:v>
      </x:c>
      <x:c r="AE2171" t="n">
        <x:v>0</x:v>
      </x:c>
      <x:c r="AF2171" t="n">
        <x:v>-0.029365792870521545</x:v>
      </x:c>
      <x:c r="AG2171" t="n">
        <x:f>_xlfn.XLOOKUP($A2171,Games!$A$2:$A$18,Games!$B$2:$B$18,"Missing game",0)</x:f>
        <x:v>2025</x:v>
      </x:c>
      <x:c r="AH2171" t="str">
        <x:f>_xlfn.XLOOKUP($A2171,Games!$A$2:$A$18,Games!$C$2:$C$18,"Missing game",0)</x:f>
        <x:v>REG</x:v>
      </x:c>
      <x:c r="AI2171" t="n">
        <x:f>_xlfn.XLOOKUP($A2171,Games!$A$2:$A$18,Games!$D$2:$D$18,"Missing game",0)</x:f>
        <x:v>15</x:v>
      </x:c>
      <x:c r="AJ2171" s="1" t="n">
        <x:f>_xlfn.XLOOKUP($A2171,Games!$A$2:$A$18,Games!$E$2:$E$18,"Missing game",0)</x:f>
        <x:v>46005</x:v>
      </x:c>
      <x:c r="AK2171" t="str">
        <x:f>_xlfn.XLOOKUP($A2171,Games!$A$2:$A$18,Games!$F$2:$F$18,"Missing game",0)</x:f>
        <x:v>Sunday</x:v>
      </x:c>
      <x:c r="AL2171" t="str">
        <x:f>_xlfn.XLOOKUP($A2171,Games!$A$2:$A$18,Games!$G$2:$G$18,"Missing game",0)</x:f>
        <x:v>MIN</x:v>
      </x:c>
      <x:c r="AM2171" t="n">
        <x:f>_xlfn.XLOOKUP($A2171,Games!$A$2:$A$18,Games!$H$2:$H$18,"Missing game",0)</x:f>
        <x:v>34</x:v>
      </x:c>
      <x:c r="AN2171" t="str">
        <x:f>_xlfn.XLOOKUP($A2171,Games!$A$2:$A$18,Games!$I$2:$I$18,"Missing game",0)</x:f>
        <x:v>DAL</x:v>
      </x:c>
      <x:c r="AO2171" t="n">
        <x:f>_xlfn.XLOOKUP($A2171,Games!$A$2:$A$18,Games!$J$2:$J$18,"Missing game",0)</x:f>
        <x:v>26</x:v>
      </x:c>
      <x:c r="AP2171" t="n">
        <x:f>_xlfn.XLOOKUP($A2171,Games!$A$2:$A$18,Games!$K$2:$K$18,"Missing game",0)</x:f>
        <x:v>-8</x:v>
      </x:c>
      <x:c r="AQ2171" t="n">
        <x:f>_xlfn.XLOOKUP($A2171,Games!$A$2:$A$18,Games!$L$2:$L$18,"Missing game",0)</x:f>
        <x:v>60</x:v>
      </x:c>
      <x:c r="AR2171" t="n">
        <x:f>_xlfn.XLOOKUP($A2171,Games!$A$2:$A$18,Games!$M$2:$M$18,"Missing game",0)</x:f>
        <x:v>0</x:v>
      </x:c>
      <x:c r="AS2171" t="str">
        <x:f>_xlfn.XLOOKUP($A2171,Games!$A$2:$A$18,Games!$N$2:$N$18,"Missing game",0)</x:f>
        <x:v>closed</x:v>
      </x:c>
      <x:c r="AT2171" t="str">
        <x:f>_xlfn.XLOOKUP($A2171,Games!$A$2:$A$18,Games!$O$2:$O$18,"Missing game",0)</x:f>
        <x:v>matrixturf</x:v>
      </x:c>
      <x:c r="AU2171" t="str">
        <x:f>_xlfn.XLOOKUP($A2171,Games!$A$2:$A$18,Games!$P$2:$P$18,"Missing game",0)</x:f>
      </x:c>
      <x:c r="AV2171" t="str">
        <x:f>_xlfn.XLOOKUP($A2171,Games!$A$2:$A$18,Games!$Q$2:$Q$18,"Missing game",0)</x:f>
      </x:c>
      <x:c r="AW2171" t="str">
        <x:f>_xlfn.XLOOKUP($A2171,Games!$A$2:$A$18,Games!$R$2:$R$18,"Missing game",0)</x:f>
        <x:v>AT&amp;T Stadium</x:v>
      </x:c>
    </x:row>
    <x:row r="2172">
      <x:c r="A2172" t="str">
        <x:v>2025_15_MIN_DAL</x:v>
      </x:c>
      <x:c r="B2172" t="n">
        <x:v>533</x:v>
      </x:c>
      <x:c r="C2172" t="n">
        <x:v>1</x:v>
      </x:c>
      <x:c r="D2172" t="str">
        <x:v>04:43</x:v>
      </x:c>
      <x:c r="E2172" t="n">
        <x:v>4</x:v>
      </x:c>
      <x:c r="F2172" t="n">
        <x:v>2</x:v>
      </x:c>
      <x:c r="G2172" t="str">
        <x:v>MIN</x:v>
      </x:c>
      <x:c r="H2172" t="str">
        <x:v>DAL</x:v>
      </x:c>
      <x:c r="I2172" t="str">
        <x:v>MIN</x:v>
      </x:c>
      <x:c r="J2172" t="n">
        <x:v>68</x:v>
      </x:c>
      <x:c r="K2172" t="str">
        <x:v>(4:43) 17-R.Wright punts 65 yards to DAL 3, Center-42-A.DePaola, downed by MIN-13-T.Felton.</x:v>
      </x:c>
      <x:c r="L2172" t="str">
        <x:v>punt</x:v>
      </x:c>
      <x:c r="M2172" t="n">
        <x:v>0</x:v>
      </x:c>
      <x:c r="N2172" t="n">
        <x:v>0</x:v>
      </x:c>
      <x:c r="O2172" t="n">
        <x:v>0</x:v>
      </x:c>
      <x:c r="P2172"/>
      <x:c r="Q2172"/>
      <x:c r="R2172"/>
      <x:c r="S2172"/>
      <x:c r="T2172"/>
      <x:c r="U2172"/>
      <x:c r="V2172" t="n">
        <x:v>0</x:v>
      </x:c>
      <x:c r="W2172" t="n">
        <x:v>0</x:v>
      </x:c>
      <x:c r="X2172" t="n">
        <x:v>0</x:v>
      </x:c>
      <x:c r="Y2172" t="n">
        <x:v>0</x:v>
      </x:c>
      <x:c r="Z2172" t="n">
        <x:v>0</x:v>
      </x:c>
      <x:c r="AA2172" t="n">
        <x:v>0</x:v>
      </x:c>
      <x:c r="AB2172"/>
      <x:c r="AC2172" t="n">
        <x:v>0</x:v>
      </x:c>
      <x:c r="AD2172" t="n">
        <x:v>0.7497296987567097</x:v>
      </x:c>
      <x:c r="AE2172" t="n">
        <x:v>1</x:v>
      </x:c>
      <x:c r="AF2172" t="n">
        <x:v>0.007663995027542114</x:v>
      </x:c>
      <x:c r="AG2172" t="n">
        <x:f>_xlfn.XLOOKUP($A2172,Games!$A$2:$A$18,Games!$B$2:$B$18,"Missing game",0)</x:f>
        <x:v>2025</x:v>
      </x:c>
      <x:c r="AH2172" t="str">
        <x:f>_xlfn.XLOOKUP($A2172,Games!$A$2:$A$18,Games!$C$2:$C$18,"Missing game",0)</x:f>
        <x:v>REG</x:v>
      </x:c>
      <x:c r="AI2172" t="n">
        <x:f>_xlfn.XLOOKUP($A2172,Games!$A$2:$A$18,Games!$D$2:$D$18,"Missing game",0)</x:f>
        <x:v>15</x:v>
      </x:c>
      <x:c r="AJ2172" s="1" t="n">
        <x:f>_xlfn.XLOOKUP($A2172,Games!$A$2:$A$18,Games!$E$2:$E$18,"Missing game",0)</x:f>
        <x:v>46005</x:v>
      </x:c>
      <x:c r="AK2172" t="str">
        <x:f>_xlfn.XLOOKUP($A2172,Games!$A$2:$A$18,Games!$F$2:$F$18,"Missing game",0)</x:f>
        <x:v>Sunday</x:v>
      </x:c>
      <x:c r="AL2172" t="str">
        <x:f>_xlfn.XLOOKUP($A2172,Games!$A$2:$A$18,Games!$G$2:$G$18,"Missing game",0)</x:f>
        <x:v>MIN</x:v>
      </x:c>
      <x:c r="AM2172" t="n">
        <x:f>_xlfn.XLOOKUP($A2172,Games!$A$2:$A$18,Games!$H$2:$H$18,"Missing game",0)</x:f>
        <x:v>34</x:v>
      </x:c>
      <x:c r="AN2172" t="str">
        <x:f>_xlfn.XLOOKUP($A2172,Games!$A$2:$A$18,Games!$I$2:$I$18,"Missing game",0)</x:f>
        <x:v>DAL</x:v>
      </x:c>
      <x:c r="AO2172" t="n">
        <x:f>_xlfn.XLOOKUP($A2172,Games!$A$2:$A$18,Games!$J$2:$J$18,"Missing game",0)</x:f>
        <x:v>26</x:v>
      </x:c>
      <x:c r="AP2172" t="n">
        <x:f>_xlfn.XLOOKUP($A2172,Games!$A$2:$A$18,Games!$K$2:$K$18,"Missing game",0)</x:f>
        <x:v>-8</x:v>
      </x:c>
      <x:c r="AQ2172" t="n">
        <x:f>_xlfn.XLOOKUP($A2172,Games!$A$2:$A$18,Games!$L$2:$L$18,"Missing game",0)</x:f>
        <x:v>60</x:v>
      </x:c>
      <x:c r="AR2172" t="n">
        <x:f>_xlfn.XLOOKUP($A2172,Games!$A$2:$A$18,Games!$M$2:$M$18,"Missing game",0)</x:f>
        <x:v>0</x:v>
      </x:c>
      <x:c r="AS2172" t="str">
        <x:f>_xlfn.XLOOKUP($A2172,Games!$A$2:$A$18,Games!$N$2:$N$18,"Missing game",0)</x:f>
        <x:v>closed</x:v>
      </x:c>
      <x:c r="AT2172" t="str">
        <x:f>_xlfn.XLOOKUP($A2172,Games!$A$2:$A$18,Games!$O$2:$O$18,"Missing game",0)</x:f>
        <x:v>matrixturf</x:v>
      </x:c>
      <x:c r="AU2172" t="str">
        <x:f>_xlfn.XLOOKUP($A2172,Games!$A$2:$A$18,Games!$P$2:$P$18,"Missing game",0)</x:f>
      </x:c>
      <x:c r="AV2172" t="str">
        <x:f>_xlfn.XLOOKUP($A2172,Games!$A$2:$A$18,Games!$Q$2:$Q$18,"Missing game",0)</x:f>
      </x:c>
      <x:c r="AW2172" t="str">
        <x:f>_xlfn.XLOOKUP($A2172,Games!$A$2:$A$18,Games!$R$2:$R$18,"Missing game",0)</x:f>
        <x:v>AT&amp;T Stadium</x:v>
      </x:c>
    </x:row>
    <x:row r="2173">
      <x:c r="A2173" t="str">
        <x:v>2025_15_MIN_DAL</x:v>
      </x:c>
      <x:c r="B2173" t="n">
        <x:v>553</x:v>
      </x:c>
      <x:c r="C2173" t="n">
        <x:v>1</x:v>
      </x:c>
      <x:c r="D2173" t="str">
        <x:v>04:31</x:v>
      </x:c>
      <x:c r="E2173" t="n">
        <x:v>1</x:v>
      </x:c>
      <x:c r="F2173" t="n">
        <x:v>10</x:v>
      </x:c>
      <x:c r="G2173" t="str">
        <x:v>DAL</x:v>
      </x:c>
      <x:c r="H2173" t="str">
        <x:v>MIN</x:v>
      </x:c>
      <x:c r="I2173" t="str">
        <x:v>DAL</x:v>
      </x:c>
      <x:c r="J2173" t="n">
        <x:v>97</x:v>
      </x:c>
      <x:c r="K2173" t="str">
        <x:v>(4:31) 43-M.Davis up the middle to DAL 3 for no gain (2-I.Rodgers).</x:v>
      </x:c>
      <x:c r="L2173" t="str">
        <x:v>run</x:v>
      </x:c>
      <x:c r="M2173" t="n">
        <x:v>0</x:v>
      </x:c>
      <x:c r="N2173" t="n">
        <x:v>0</x:v>
      </x:c>
      <x:c r="O2173" t="n">
        <x:v>0</x:v>
      </x:c>
      <x:c r="P2173"/>
      <x:c r="Q2173"/>
      <x:c r="R2173"/>
      <x:c r="S2173"/>
      <x:c r="T2173" t="str">
        <x:v>middle</x:v>
      </x:c>
      <x:c r="U2173"/>
      <x:c r="V2173" t="n">
        <x:v>0</x:v>
      </x:c>
      <x:c r="W2173" t="n">
        <x:v>0</x:v>
      </x:c>
      <x:c r="X2173" t="n">
        <x:v>0</x:v>
      </x:c>
      <x:c r="Y2173" t="n">
        <x:v>0</x:v>
      </x:c>
      <x:c r="Z2173" t="n">
        <x:v>0</x:v>
      </x:c>
      <x:c r="AA2173" t="n">
        <x:v>0</x:v>
      </x:c>
      <x:c r="AB2173"/>
      <x:c r="AC2173" t="n">
        <x:v>0</x:v>
      </x:c>
      <x:c r="AD2173" t="n">
        <x:v>-0.5937396609224379</x:v>
      </x:c>
      <x:c r="AE2173" t="n">
        <x:v>0</x:v>
      </x:c>
      <x:c r="AF2173" t="n">
        <x:v>-0.012266337871551514</x:v>
      </x:c>
      <x:c r="AG2173" t="n">
        <x:f>_xlfn.XLOOKUP($A2173,Games!$A$2:$A$18,Games!$B$2:$B$18,"Missing game",0)</x:f>
        <x:v>2025</x:v>
      </x:c>
      <x:c r="AH2173" t="str">
        <x:f>_xlfn.XLOOKUP($A2173,Games!$A$2:$A$18,Games!$C$2:$C$18,"Missing game",0)</x:f>
        <x:v>REG</x:v>
      </x:c>
      <x:c r="AI2173" t="n">
        <x:f>_xlfn.XLOOKUP($A2173,Games!$A$2:$A$18,Games!$D$2:$D$18,"Missing game",0)</x:f>
        <x:v>15</x:v>
      </x:c>
      <x:c r="AJ2173" s="1" t="n">
        <x:f>_xlfn.XLOOKUP($A2173,Games!$A$2:$A$18,Games!$E$2:$E$18,"Missing game",0)</x:f>
        <x:v>46005</x:v>
      </x:c>
      <x:c r="AK2173" t="str">
        <x:f>_xlfn.XLOOKUP($A2173,Games!$A$2:$A$18,Games!$F$2:$F$18,"Missing game",0)</x:f>
        <x:v>Sunday</x:v>
      </x:c>
      <x:c r="AL2173" t="str">
        <x:f>_xlfn.XLOOKUP($A2173,Games!$A$2:$A$18,Games!$G$2:$G$18,"Missing game",0)</x:f>
        <x:v>MIN</x:v>
      </x:c>
      <x:c r="AM2173" t="n">
        <x:f>_xlfn.XLOOKUP($A2173,Games!$A$2:$A$18,Games!$H$2:$H$18,"Missing game",0)</x:f>
        <x:v>34</x:v>
      </x:c>
      <x:c r="AN2173" t="str">
        <x:f>_xlfn.XLOOKUP($A2173,Games!$A$2:$A$18,Games!$I$2:$I$18,"Missing game",0)</x:f>
        <x:v>DAL</x:v>
      </x:c>
      <x:c r="AO2173" t="n">
        <x:f>_xlfn.XLOOKUP($A2173,Games!$A$2:$A$18,Games!$J$2:$J$18,"Missing game",0)</x:f>
        <x:v>26</x:v>
      </x:c>
      <x:c r="AP2173" t="n">
        <x:f>_xlfn.XLOOKUP($A2173,Games!$A$2:$A$18,Games!$K$2:$K$18,"Missing game",0)</x:f>
        <x:v>-8</x:v>
      </x:c>
      <x:c r="AQ2173" t="n">
        <x:f>_xlfn.XLOOKUP($A2173,Games!$A$2:$A$18,Games!$L$2:$L$18,"Missing game",0)</x:f>
        <x:v>60</x:v>
      </x:c>
      <x:c r="AR2173" t="n">
        <x:f>_xlfn.XLOOKUP($A2173,Games!$A$2:$A$18,Games!$M$2:$M$18,"Missing game",0)</x:f>
        <x:v>0</x:v>
      </x:c>
      <x:c r="AS2173" t="str">
        <x:f>_xlfn.XLOOKUP($A2173,Games!$A$2:$A$18,Games!$N$2:$N$18,"Missing game",0)</x:f>
        <x:v>closed</x:v>
      </x:c>
      <x:c r="AT2173" t="str">
        <x:f>_xlfn.XLOOKUP($A2173,Games!$A$2:$A$18,Games!$O$2:$O$18,"Missing game",0)</x:f>
        <x:v>matrixturf</x:v>
      </x:c>
      <x:c r="AU2173" t="str">
        <x:f>_xlfn.XLOOKUP($A2173,Games!$A$2:$A$18,Games!$P$2:$P$18,"Missing game",0)</x:f>
      </x:c>
      <x:c r="AV2173" t="str">
        <x:f>_xlfn.XLOOKUP($A2173,Games!$A$2:$A$18,Games!$Q$2:$Q$18,"Missing game",0)</x:f>
      </x:c>
      <x:c r="AW2173" t="str">
        <x:f>_xlfn.XLOOKUP($A2173,Games!$A$2:$A$18,Games!$R$2:$R$18,"Missing game",0)</x:f>
        <x:v>AT&amp;T Stadium</x:v>
      </x:c>
    </x:row>
    <x:row r="2174">
      <x:c r="A2174" t="str">
        <x:v>2025_15_MIN_DAL</x:v>
      </x:c>
      <x:c r="B2174" t="n">
        <x:v>582</x:v>
      </x:c>
      <x:c r="C2174" t="n">
        <x:v>1</x:v>
      </x:c>
      <x:c r="D2174" t="str">
        <x:v>04:01</x:v>
      </x:c>
      <x:c r="E2174" t="n">
        <x:v>2</x:v>
      </x:c>
      <x:c r="F2174" t="n">
        <x:v>10</x:v>
      </x:c>
      <x:c r="G2174" t="str">
        <x:v>DAL</x:v>
      </x:c>
      <x:c r="H2174" t="str">
        <x:v>MIN</x:v>
      </x:c>
      <x:c r="I2174" t="str">
        <x:v>DAL</x:v>
      </x:c>
      <x:c r="J2174" t="n">
        <x:v>97</x:v>
      </x:c>
      <x:c r="K2174" t="str">
        <x:v>(4:01) 4-D.Prescott pass incomplete short left to 3-G.Pickens (7-B.Murphy).</x:v>
      </x:c>
      <x:c r="L2174" t="str">
        <x:v>pass</x:v>
      </x:c>
      <x:c r="M2174" t="n">
        <x:v>0</x:v>
      </x:c>
      <x:c r="N2174" t="n">
        <x:v>0</x:v>
      </x:c>
      <x:c r="O2174" t="n">
        <x:v>0</x:v>
      </x:c>
      <x:c r="P2174" t="str">
        <x:v>short</x:v>
      </x:c>
      <x:c r="Q2174" t="str">
        <x:v>left</x:v>
      </x:c>
      <x:c r="R2174" t="n">
        <x:v>5</x:v>
      </x:c>
      <x:c r="S2174"/>
      <x:c r="T2174"/>
      <x:c r="U2174"/>
      <x:c r="V2174" t="n">
        <x:v>0</x:v>
      </x:c>
      <x:c r="W2174" t="n">
        <x:v>0</x:v>
      </x:c>
      <x:c r="X2174" t="n">
        <x:v>0</x:v>
      </x:c>
      <x:c r="Y2174" t="n">
        <x:v>0</x:v>
      </x:c>
      <x:c r="Z2174" t="n">
        <x:v>0</x:v>
      </x:c>
      <x:c r="AA2174" t="n">
        <x:v>0</x:v>
      </x:c>
      <x:c r="AB2174"/>
      <x:c r="AC2174" t="n">
        <x:v>0</x:v>
      </x:c>
      <x:c r="AD2174" t="n">
        <x:v>-0.7028738767839968</x:v>
      </x:c>
      <x:c r="AE2174" t="n">
        <x:v>0</x:v>
      </x:c>
      <x:c r="AF2174" t="n">
        <x:v>-0.023208916187286377</x:v>
      </x:c>
      <x:c r="AG2174" t="n">
        <x:f>_xlfn.XLOOKUP($A2174,Games!$A$2:$A$18,Games!$B$2:$B$18,"Missing game",0)</x:f>
        <x:v>2025</x:v>
      </x:c>
      <x:c r="AH2174" t="str">
        <x:f>_xlfn.XLOOKUP($A2174,Games!$A$2:$A$18,Games!$C$2:$C$18,"Missing game",0)</x:f>
        <x:v>REG</x:v>
      </x:c>
      <x:c r="AI2174" t="n">
        <x:f>_xlfn.XLOOKUP($A2174,Games!$A$2:$A$18,Games!$D$2:$D$18,"Missing game",0)</x:f>
        <x:v>15</x:v>
      </x:c>
      <x:c r="AJ2174" s="1" t="n">
        <x:f>_xlfn.XLOOKUP($A2174,Games!$A$2:$A$18,Games!$E$2:$E$18,"Missing game",0)</x:f>
        <x:v>46005</x:v>
      </x:c>
      <x:c r="AK2174" t="str">
        <x:f>_xlfn.XLOOKUP($A2174,Games!$A$2:$A$18,Games!$F$2:$F$18,"Missing game",0)</x:f>
        <x:v>Sunday</x:v>
      </x:c>
      <x:c r="AL2174" t="str">
        <x:f>_xlfn.XLOOKUP($A2174,Games!$A$2:$A$18,Games!$G$2:$G$18,"Missing game",0)</x:f>
        <x:v>MIN</x:v>
      </x:c>
      <x:c r="AM2174" t="n">
        <x:f>_xlfn.XLOOKUP($A2174,Games!$A$2:$A$18,Games!$H$2:$H$18,"Missing game",0)</x:f>
        <x:v>34</x:v>
      </x:c>
      <x:c r="AN2174" t="str">
        <x:f>_xlfn.XLOOKUP($A2174,Games!$A$2:$A$18,Games!$I$2:$I$18,"Missing game",0)</x:f>
        <x:v>DAL</x:v>
      </x:c>
      <x:c r="AO2174" t="n">
        <x:f>_xlfn.XLOOKUP($A2174,Games!$A$2:$A$18,Games!$J$2:$J$18,"Missing game",0)</x:f>
        <x:v>26</x:v>
      </x:c>
      <x:c r="AP2174" t="n">
        <x:f>_xlfn.XLOOKUP($A2174,Games!$A$2:$A$18,Games!$K$2:$K$18,"Missing game",0)</x:f>
        <x:v>-8</x:v>
      </x:c>
      <x:c r="AQ2174" t="n">
        <x:f>_xlfn.XLOOKUP($A2174,Games!$A$2:$A$18,Games!$L$2:$L$18,"Missing game",0)</x:f>
        <x:v>60</x:v>
      </x:c>
      <x:c r="AR2174" t="n">
        <x:f>_xlfn.XLOOKUP($A2174,Games!$A$2:$A$18,Games!$M$2:$M$18,"Missing game",0)</x:f>
        <x:v>0</x:v>
      </x:c>
      <x:c r="AS2174" t="str">
        <x:f>_xlfn.XLOOKUP($A2174,Games!$A$2:$A$18,Games!$N$2:$N$18,"Missing game",0)</x:f>
        <x:v>closed</x:v>
      </x:c>
      <x:c r="AT2174" t="str">
        <x:f>_xlfn.XLOOKUP($A2174,Games!$A$2:$A$18,Games!$O$2:$O$18,"Missing game",0)</x:f>
        <x:v>matrixturf</x:v>
      </x:c>
      <x:c r="AU2174" t="str">
        <x:f>_xlfn.XLOOKUP($A2174,Games!$A$2:$A$18,Games!$P$2:$P$18,"Missing game",0)</x:f>
      </x:c>
      <x:c r="AV2174" t="str">
        <x:f>_xlfn.XLOOKUP($A2174,Games!$A$2:$A$18,Games!$Q$2:$Q$18,"Missing game",0)</x:f>
      </x:c>
      <x:c r="AW2174" t="str">
        <x:f>_xlfn.XLOOKUP($A2174,Games!$A$2:$A$18,Games!$R$2:$R$18,"Missing game",0)</x:f>
        <x:v>AT&amp;T Stadium</x:v>
      </x:c>
    </x:row>
    <x:row r="2175">
      <x:c r="A2175" t="str">
        <x:v>2025_15_MIN_DAL</x:v>
      </x:c>
      <x:c r="B2175" t="n">
        <x:v>605</x:v>
      </x:c>
      <x:c r="C2175" t="n">
        <x:v>1</x:v>
      </x:c>
      <x:c r="D2175" t="str">
        <x:v>03:57</x:v>
      </x:c>
      <x:c r="E2175" t="n">
        <x:v>3</x:v>
      </x:c>
      <x:c r="F2175" t="n">
        <x:v>10</x:v>
      </x:c>
      <x:c r="G2175" t="str">
        <x:v>DAL</x:v>
      </x:c>
      <x:c r="H2175" t="str">
        <x:v>MIN</x:v>
      </x:c>
      <x:c r="I2175" t="str">
        <x:v>DAL</x:v>
      </x:c>
      <x:c r="J2175" t="n">
        <x:v>97</x:v>
      </x:c>
      <x:c r="K2175" t="str">
        <x:v>(3:57) (Shotgun) 40-H.Luepke left guard to DAL 11 for 8 yards (43-A.Van Ginkel).</x:v>
      </x:c>
      <x:c r="L2175" t="str">
        <x:v>run</x:v>
      </x:c>
      <x:c r="M2175" t="n">
        <x:v>8</x:v>
      </x:c>
      <x:c r="N2175" t="n">
        <x:v>1</x:v>
      </x:c>
      <x:c r="O2175" t="n">
        <x:v>0</x:v>
      </x:c>
      <x:c r="P2175"/>
      <x:c r="Q2175"/>
      <x:c r="R2175"/>
      <x:c r="S2175"/>
      <x:c r="T2175" t="str">
        <x:v>left</x:v>
      </x:c>
      <x:c r="U2175" t="str">
        <x:v>guard</x:v>
      </x:c>
      <x:c r="V2175" t="n">
        <x:v>0</x:v>
      </x:c>
      <x:c r="W2175" t="n">
        <x:v>0</x:v>
      </x:c>
      <x:c r="X2175" t="n">
        <x:v>0</x:v>
      </x:c>
      <x:c r="Y2175" t="n">
        <x:v>0</x:v>
      </x:c>
      <x:c r="Z2175" t="n">
        <x:v>0</x:v>
      </x:c>
      <x:c r="AA2175" t="n">
        <x:v>0</x:v>
      </x:c>
      <x:c r="AB2175"/>
      <x:c r="AC2175" t="n">
        <x:v>0</x:v>
      </x:c>
      <x:c r="AD2175" t="n">
        <x:v>-0.7864798763766885</x:v>
      </x:c>
      <x:c r="AE2175" t="n">
        <x:v>0</x:v>
      </x:c>
      <x:c r="AF2175" t="n">
        <x:v>-0.0038754940032958984</x:v>
      </x:c>
      <x:c r="AG2175" t="n">
        <x:f>_xlfn.XLOOKUP($A2175,Games!$A$2:$A$18,Games!$B$2:$B$18,"Missing game",0)</x:f>
        <x:v>2025</x:v>
      </x:c>
      <x:c r="AH2175" t="str">
        <x:f>_xlfn.XLOOKUP($A2175,Games!$A$2:$A$18,Games!$C$2:$C$18,"Missing game",0)</x:f>
        <x:v>REG</x:v>
      </x:c>
      <x:c r="AI2175" t="n">
        <x:f>_xlfn.XLOOKUP($A2175,Games!$A$2:$A$18,Games!$D$2:$D$18,"Missing game",0)</x:f>
        <x:v>15</x:v>
      </x:c>
      <x:c r="AJ2175" s="1" t="n">
        <x:f>_xlfn.XLOOKUP($A2175,Games!$A$2:$A$18,Games!$E$2:$E$18,"Missing game",0)</x:f>
        <x:v>46005</x:v>
      </x:c>
      <x:c r="AK2175" t="str">
        <x:f>_xlfn.XLOOKUP($A2175,Games!$A$2:$A$18,Games!$F$2:$F$18,"Missing game",0)</x:f>
        <x:v>Sunday</x:v>
      </x:c>
      <x:c r="AL2175" t="str">
        <x:f>_xlfn.XLOOKUP($A2175,Games!$A$2:$A$18,Games!$G$2:$G$18,"Missing game",0)</x:f>
        <x:v>MIN</x:v>
      </x:c>
      <x:c r="AM2175" t="n">
        <x:f>_xlfn.XLOOKUP($A2175,Games!$A$2:$A$18,Games!$H$2:$H$18,"Missing game",0)</x:f>
        <x:v>34</x:v>
      </x:c>
      <x:c r="AN2175" t="str">
        <x:f>_xlfn.XLOOKUP($A2175,Games!$A$2:$A$18,Games!$I$2:$I$18,"Missing game",0)</x:f>
        <x:v>DAL</x:v>
      </x:c>
      <x:c r="AO2175" t="n">
        <x:f>_xlfn.XLOOKUP($A2175,Games!$A$2:$A$18,Games!$J$2:$J$18,"Missing game",0)</x:f>
        <x:v>26</x:v>
      </x:c>
      <x:c r="AP2175" t="n">
        <x:f>_xlfn.XLOOKUP($A2175,Games!$A$2:$A$18,Games!$K$2:$K$18,"Missing game",0)</x:f>
        <x:v>-8</x:v>
      </x:c>
      <x:c r="AQ2175" t="n">
        <x:f>_xlfn.XLOOKUP($A2175,Games!$A$2:$A$18,Games!$L$2:$L$18,"Missing game",0)</x:f>
        <x:v>60</x:v>
      </x:c>
      <x:c r="AR2175" t="n">
        <x:f>_xlfn.XLOOKUP($A2175,Games!$A$2:$A$18,Games!$M$2:$M$18,"Missing game",0)</x:f>
        <x:v>0</x:v>
      </x:c>
      <x:c r="AS2175" t="str">
        <x:f>_xlfn.XLOOKUP($A2175,Games!$A$2:$A$18,Games!$N$2:$N$18,"Missing game",0)</x:f>
        <x:v>closed</x:v>
      </x:c>
      <x:c r="AT2175" t="str">
        <x:f>_xlfn.XLOOKUP($A2175,Games!$A$2:$A$18,Games!$O$2:$O$18,"Missing game",0)</x:f>
        <x:v>matrixturf</x:v>
      </x:c>
      <x:c r="AU2175" t="str">
        <x:f>_xlfn.XLOOKUP($A2175,Games!$A$2:$A$18,Games!$P$2:$P$18,"Missing game",0)</x:f>
      </x:c>
      <x:c r="AV2175" t="str">
        <x:f>_xlfn.XLOOKUP($A2175,Games!$A$2:$A$18,Games!$Q$2:$Q$18,"Missing game",0)</x:f>
      </x:c>
      <x:c r="AW2175" t="str">
        <x:f>_xlfn.XLOOKUP($A2175,Games!$A$2:$A$18,Games!$R$2:$R$18,"Missing game",0)</x:f>
        <x:v>AT&amp;T Stadium</x:v>
      </x:c>
    </x:row>
    <x:row r="2176">
      <x:c r="A2176" t="str">
        <x:v>2025_15_MIN_DAL</x:v>
      </x:c>
      <x:c r="B2176" t="n">
        <x:v>632</x:v>
      </x:c>
      <x:c r="C2176" t="n">
        <x:v>1</x:v>
      </x:c>
      <x:c r="D2176" t="str">
        <x:v>03:16</x:v>
      </x:c>
      <x:c r="E2176" t="n">
        <x:v>4</x:v>
      </x:c>
      <x:c r="F2176" t="n">
        <x:v>2</x:v>
      </x:c>
      <x:c r="G2176" t="str">
        <x:v>DAL</x:v>
      </x:c>
      <x:c r="H2176" t="str">
        <x:v>MIN</x:v>
      </x:c>
      <x:c r="I2176" t="str">
        <x:v>DAL</x:v>
      </x:c>
      <x:c r="J2176" t="n">
        <x:v>89</x:v>
      </x:c>
      <x:c r="K2176" t="str">
        <x:v>(3:16) 5-B.Anger punts 42 yards to MIN 47, Center-44-T.Sieg, fair catch by 4-M.Price.</x:v>
      </x:c>
      <x:c r="L2176" t="str">
        <x:v>punt</x:v>
      </x:c>
      <x:c r="M2176" t="n">
        <x:v>0</x:v>
      </x:c>
      <x:c r="N2176" t="n">
        <x:v>0</x:v>
      </x:c>
      <x:c r="O2176" t="n">
        <x:v>0</x:v>
      </x:c>
      <x:c r="P2176"/>
      <x:c r="Q2176"/>
      <x:c r="R2176"/>
      <x:c r="S2176"/>
      <x:c r="T2176"/>
      <x:c r="U2176"/>
      <x:c r="V2176" t="n">
        <x:v>0</x:v>
      </x:c>
      <x:c r="W2176" t="n">
        <x:v>0</x:v>
      </x:c>
      <x:c r="X2176" t="n">
        <x:v>0</x:v>
      </x:c>
      <x:c r="Y2176" t="n">
        <x:v>0</x:v>
      </x:c>
      <x:c r="Z2176" t="n">
        <x:v>0</x:v>
      </x:c>
      <x:c r="AA2176" t="n">
        <x:v>0</x:v>
      </x:c>
      <x:c r="AB2176"/>
      <x:c r="AC2176" t="n">
        <x:v>0</x:v>
      </x:c>
      <x:c r="AD2176" t="n">
        <x:v>-0.5673334582243115</x:v>
      </x:c>
      <x:c r="AE2176" t="n">
        <x:v>0</x:v>
      </x:c>
      <x:c r="AF2176" t="n">
        <x:v>-0.01476210355758667</x:v>
      </x:c>
      <x:c r="AG2176" t="n">
        <x:f>_xlfn.XLOOKUP($A2176,Games!$A$2:$A$18,Games!$B$2:$B$18,"Missing game",0)</x:f>
        <x:v>2025</x:v>
      </x:c>
      <x:c r="AH2176" t="str">
        <x:f>_xlfn.XLOOKUP($A2176,Games!$A$2:$A$18,Games!$C$2:$C$18,"Missing game",0)</x:f>
        <x:v>REG</x:v>
      </x:c>
      <x:c r="AI2176" t="n">
        <x:f>_xlfn.XLOOKUP($A2176,Games!$A$2:$A$18,Games!$D$2:$D$18,"Missing game",0)</x:f>
        <x:v>15</x:v>
      </x:c>
      <x:c r="AJ2176" s="1" t="n">
        <x:f>_xlfn.XLOOKUP($A2176,Games!$A$2:$A$18,Games!$E$2:$E$18,"Missing game",0)</x:f>
        <x:v>46005</x:v>
      </x:c>
      <x:c r="AK2176" t="str">
        <x:f>_xlfn.XLOOKUP($A2176,Games!$A$2:$A$18,Games!$F$2:$F$18,"Missing game",0)</x:f>
        <x:v>Sunday</x:v>
      </x:c>
      <x:c r="AL2176" t="str">
        <x:f>_xlfn.XLOOKUP($A2176,Games!$A$2:$A$18,Games!$G$2:$G$18,"Missing game",0)</x:f>
        <x:v>MIN</x:v>
      </x:c>
      <x:c r="AM2176" t="n">
        <x:f>_xlfn.XLOOKUP($A2176,Games!$A$2:$A$18,Games!$H$2:$H$18,"Missing game",0)</x:f>
        <x:v>34</x:v>
      </x:c>
      <x:c r="AN2176" t="str">
        <x:f>_xlfn.XLOOKUP($A2176,Games!$A$2:$A$18,Games!$I$2:$I$18,"Missing game",0)</x:f>
        <x:v>DAL</x:v>
      </x:c>
      <x:c r="AO2176" t="n">
        <x:f>_xlfn.XLOOKUP($A2176,Games!$A$2:$A$18,Games!$J$2:$J$18,"Missing game",0)</x:f>
        <x:v>26</x:v>
      </x:c>
      <x:c r="AP2176" t="n">
        <x:f>_xlfn.XLOOKUP($A2176,Games!$A$2:$A$18,Games!$K$2:$K$18,"Missing game",0)</x:f>
        <x:v>-8</x:v>
      </x:c>
      <x:c r="AQ2176" t="n">
        <x:f>_xlfn.XLOOKUP($A2176,Games!$A$2:$A$18,Games!$L$2:$L$18,"Missing game",0)</x:f>
        <x:v>60</x:v>
      </x:c>
      <x:c r="AR2176" t="n">
        <x:f>_xlfn.XLOOKUP($A2176,Games!$A$2:$A$18,Games!$M$2:$M$18,"Missing game",0)</x:f>
        <x:v>0</x:v>
      </x:c>
      <x:c r="AS2176" t="str">
        <x:f>_xlfn.XLOOKUP($A2176,Games!$A$2:$A$18,Games!$N$2:$N$18,"Missing game",0)</x:f>
        <x:v>closed</x:v>
      </x:c>
      <x:c r="AT2176" t="str">
        <x:f>_xlfn.XLOOKUP($A2176,Games!$A$2:$A$18,Games!$O$2:$O$18,"Missing game",0)</x:f>
        <x:v>matrixturf</x:v>
      </x:c>
      <x:c r="AU2176" t="str">
        <x:f>_xlfn.XLOOKUP($A2176,Games!$A$2:$A$18,Games!$P$2:$P$18,"Missing game",0)</x:f>
      </x:c>
      <x:c r="AV2176" t="str">
        <x:f>_xlfn.XLOOKUP($A2176,Games!$A$2:$A$18,Games!$Q$2:$Q$18,"Missing game",0)</x:f>
      </x:c>
      <x:c r="AW2176" t="str">
        <x:f>_xlfn.XLOOKUP($A2176,Games!$A$2:$A$18,Games!$R$2:$R$18,"Missing game",0)</x:f>
        <x:v>AT&amp;T Stadium</x:v>
      </x:c>
    </x:row>
    <x:row r="2177">
      <x:c r="A2177" t="str">
        <x:v>2025_15_MIN_DAL</x:v>
      </x:c>
      <x:c r="B2177" t="n">
        <x:v>652</x:v>
      </x:c>
      <x:c r="C2177" t="n">
        <x:v>1</x:v>
      </x:c>
      <x:c r="D2177" t="str">
        <x:v>03:08</x:v>
      </x:c>
      <x:c r="E2177" t="n">
        <x:v>1</x:v>
      </x:c>
      <x:c r="F2177" t="n">
        <x:v>10</x:v>
      </x:c>
      <x:c r="G2177" t="str">
        <x:v>MIN</x:v>
      </x:c>
      <x:c r="H2177" t="str">
        <x:v>DAL</x:v>
      </x:c>
      <x:c r="I2177" t="str">
        <x:v>MIN</x:v>
      </x:c>
      <x:c r="J2177" t="n">
        <x:v>53</x:v>
      </x:c>
      <x:c r="K2177" t="str">
        <x:v>(3:08) (Shotgun) 9-J.McCarthy pass short right to 33-A.Jones pushed ob at DAL 35 for 18 yards (27-R.Steward). PENALTY on DAL-27-R.Steward, Horse Collar Tackle, 15 yards, enforced at DAL 35.</x:v>
      </x:c>
      <x:c r="L2177" t="str">
        <x:v>pass</x:v>
      </x:c>
      <x:c r="M2177" t="n">
        <x:v>18</x:v>
      </x:c>
      <x:c r="N2177" t="n">
        <x:v>1</x:v>
      </x:c>
      <x:c r="O2177" t="n">
        <x:v>0</x:v>
      </x:c>
      <x:c r="P2177" t="str">
        <x:v>short</x:v>
      </x:c>
      <x:c r="Q2177" t="str">
        <x:v>right</x:v>
      </x:c>
      <x:c r="R2177" t="n">
        <x:v>-7</x:v>
      </x:c>
      <x:c r="S2177" t="n">
        <x:v>25</x:v>
      </x:c>
      <x:c r="T2177"/>
      <x:c r="U2177"/>
      <x:c r="V2177" t="n">
        <x:v>1</x:v>
      </x:c>
      <x:c r="W2177" t="n">
        <x:v>1</x:v>
      </x:c>
      <x:c r="X2177" t="n">
        <x:v>0</x:v>
      </x:c>
      <x:c r="Y2177" t="n">
        <x:v>0</x:v>
      </x:c>
      <x:c r="Z2177" t="n">
        <x:v>0</x:v>
      </x:c>
      <x:c r="AA2177" t="n">
        <x:v>1</x:v>
      </x:c>
      <x:c r="AB2177" t="n">
        <x:v>15</x:v>
      </x:c>
      <x:c r="AC2177" t="n">
        <x:v>0</x:v>
      </x:c>
      <x:c r="AD2177" t="n">
        <x:v>2.241098248574417</x:v>
      </x:c>
      <x:c r="AE2177" t="n">
        <x:v>1</x:v>
      </x:c>
      <x:c r="AF2177" t="n">
        <x:v>0.05112302303314209</x:v>
      </x:c>
      <x:c r="AG2177" t="n">
        <x:f>_xlfn.XLOOKUP($A2177,Games!$A$2:$A$18,Games!$B$2:$B$18,"Missing game",0)</x:f>
        <x:v>2025</x:v>
      </x:c>
      <x:c r="AH2177" t="str">
        <x:f>_xlfn.XLOOKUP($A2177,Games!$A$2:$A$18,Games!$C$2:$C$18,"Missing game",0)</x:f>
        <x:v>REG</x:v>
      </x:c>
      <x:c r="AI2177" t="n">
        <x:f>_xlfn.XLOOKUP($A2177,Games!$A$2:$A$18,Games!$D$2:$D$18,"Missing game",0)</x:f>
        <x:v>15</x:v>
      </x:c>
      <x:c r="AJ2177" s="1" t="n">
        <x:f>_xlfn.XLOOKUP($A2177,Games!$A$2:$A$18,Games!$E$2:$E$18,"Missing game",0)</x:f>
        <x:v>46005</x:v>
      </x:c>
      <x:c r="AK2177" t="str">
        <x:f>_xlfn.XLOOKUP($A2177,Games!$A$2:$A$18,Games!$F$2:$F$18,"Missing game",0)</x:f>
        <x:v>Sunday</x:v>
      </x:c>
      <x:c r="AL2177" t="str">
        <x:f>_xlfn.XLOOKUP($A2177,Games!$A$2:$A$18,Games!$G$2:$G$18,"Missing game",0)</x:f>
        <x:v>MIN</x:v>
      </x:c>
      <x:c r="AM2177" t="n">
        <x:f>_xlfn.XLOOKUP($A2177,Games!$A$2:$A$18,Games!$H$2:$H$18,"Missing game",0)</x:f>
        <x:v>34</x:v>
      </x:c>
      <x:c r="AN2177" t="str">
        <x:f>_xlfn.XLOOKUP($A2177,Games!$A$2:$A$18,Games!$I$2:$I$18,"Missing game",0)</x:f>
        <x:v>DAL</x:v>
      </x:c>
      <x:c r="AO2177" t="n">
        <x:f>_xlfn.XLOOKUP($A2177,Games!$A$2:$A$18,Games!$J$2:$J$18,"Missing game",0)</x:f>
        <x:v>26</x:v>
      </x:c>
      <x:c r="AP2177" t="n">
        <x:f>_xlfn.XLOOKUP($A2177,Games!$A$2:$A$18,Games!$K$2:$K$18,"Missing game",0)</x:f>
        <x:v>-8</x:v>
      </x:c>
      <x:c r="AQ2177" t="n">
        <x:f>_xlfn.XLOOKUP($A2177,Games!$A$2:$A$18,Games!$L$2:$L$18,"Missing game",0)</x:f>
        <x:v>60</x:v>
      </x:c>
      <x:c r="AR2177" t="n">
        <x:f>_xlfn.XLOOKUP($A2177,Games!$A$2:$A$18,Games!$M$2:$M$18,"Missing game",0)</x:f>
        <x:v>0</x:v>
      </x:c>
      <x:c r="AS2177" t="str">
        <x:f>_xlfn.XLOOKUP($A2177,Games!$A$2:$A$18,Games!$N$2:$N$18,"Missing game",0)</x:f>
        <x:v>closed</x:v>
      </x:c>
      <x:c r="AT2177" t="str">
        <x:f>_xlfn.XLOOKUP($A2177,Games!$A$2:$A$18,Games!$O$2:$O$18,"Missing game",0)</x:f>
        <x:v>matrixturf</x:v>
      </x:c>
      <x:c r="AU2177" t="str">
        <x:f>_xlfn.XLOOKUP($A2177,Games!$A$2:$A$18,Games!$P$2:$P$18,"Missing game",0)</x:f>
      </x:c>
      <x:c r="AV2177" t="str">
        <x:f>_xlfn.XLOOKUP($A2177,Games!$A$2:$A$18,Games!$Q$2:$Q$18,"Missing game",0)</x:f>
      </x:c>
      <x:c r="AW2177" t="str">
        <x:f>_xlfn.XLOOKUP($A2177,Games!$A$2:$A$18,Games!$R$2:$R$18,"Missing game",0)</x:f>
        <x:v>AT&amp;T Stadium</x:v>
      </x:c>
    </x:row>
    <x:row r="2178">
      <x:c r="A2178" t="str">
        <x:v>2025_15_MIN_DAL</x:v>
      </x:c>
      <x:c r="B2178" t="n">
        <x:v>700</x:v>
      </x:c>
      <x:c r="C2178" t="n">
        <x:v>1</x:v>
      </x:c>
      <x:c r="D2178" t="str">
        <x:v>02:41</x:v>
      </x:c>
      <x:c r="E2178" t="n">
        <x:v>1</x:v>
      </x:c>
      <x:c r="F2178" t="n">
        <x:v>10</x:v>
      </x:c>
      <x:c r="G2178" t="str">
        <x:v>MIN</x:v>
      </x:c>
      <x:c r="H2178" t="str">
        <x:v>DAL</x:v>
      </x:c>
      <x:c r="I2178" t="str">
        <x:v>DAL</x:v>
      </x:c>
      <x:c r="J2178" t="n">
        <x:v>20</x:v>
      </x:c>
      <x:c r="K2178" t="str">
        <x:v>(2:41) 9-J.McCarthy pass deep left to 1-J.Nailor for 20 yards, TOUCHDOWN. MIN-1-J.Nailor was injured during the play.</x:v>
      </x:c>
      <x:c r="L2178" t="str">
        <x:v>pass</x:v>
      </x:c>
      <x:c r="M2178" t="n">
        <x:v>20</x:v>
      </x:c>
      <x:c r="N2178" t="n">
        <x:v>0</x:v>
      </x:c>
      <x:c r="O2178" t="n">
        <x:v>0</x:v>
      </x:c>
      <x:c r="P2178" t="str">
        <x:v>deep</x:v>
      </x:c>
      <x:c r="Q2178" t="str">
        <x:v>left</x:v>
      </x:c>
      <x:c r="R2178" t="n">
        <x:v>20</x:v>
      </x:c>
      <x:c r="S2178" t="n">
        <x:v>0</x:v>
      </x:c>
      <x:c r="T2178"/>
      <x:c r="U2178"/>
      <x:c r="V2178" t="n">
        <x:v>1</x:v>
      </x:c>
      <x:c r="W2178" t="n">
        <x:v>1</x:v>
      </x:c>
      <x:c r="X2178" t="n">
        <x:v>0</x:v>
      </x:c>
      <x:c r="Y2178" t="n">
        <x:v>0</x:v>
      </x:c>
      <x:c r="Z2178" t="n">
        <x:v>0</x:v>
      </x:c>
      <x:c r="AA2178" t="n">
        <x:v>0</x:v>
      </x:c>
      <x:c r="AB2178"/>
      <x:c r="AC2178" t="n">
        <x:v>1</x:v>
      </x:c>
      <x:c r="AD2178" t="n">
        <x:v>2.320138437964488</x:v>
      </x:c>
      <x:c r="AE2178" t="n">
        <x:v>1</x:v>
      </x:c>
      <x:c r="AF2178" t="n">
        <x:v>0.0699584148866722</x:v>
      </x:c>
      <x:c r="AG2178" t="n">
        <x:f>_xlfn.XLOOKUP($A2178,Games!$A$2:$A$18,Games!$B$2:$B$18,"Missing game",0)</x:f>
        <x:v>2025</x:v>
      </x:c>
      <x:c r="AH2178" t="str">
        <x:f>_xlfn.XLOOKUP($A2178,Games!$A$2:$A$18,Games!$C$2:$C$18,"Missing game",0)</x:f>
        <x:v>REG</x:v>
      </x:c>
      <x:c r="AI2178" t="n">
        <x:f>_xlfn.XLOOKUP($A2178,Games!$A$2:$A$18,Games!$D$2:$D$18,"Missing game",0)</x:f>
        <x:v>15</x:v>
      </x:c>
      <x:c r="AJ2178" s="1" t="n">
        <x:f>_xlfn.XLOOKUP($A2178,Games!$A$2:$A$18,Games!$E$2:$E$18,"Missing game",0)</x:f>
        <x:v>46005</x:v>
      </x:c>
      <x:c r="AK2178" t="str">
        <x:f>_xlfn.XLOOKUP($A2178,Games!$A$2:$A$18,Games!$F$2:$F$18,"Missing game",0)</x:f>
        <x:v>Sunday</x:v>
      </x:c>
      <x:c r="AL2178" t="str">
        <x:f>_xlfn.XLOOKUP($A2178,Games!$A$2:$A$18,Games!$G$2:$G$18,"Missing game",0)</x:f>
        <x:v>MIN</x:v>
      </x:c>
      <x:c r="AM2178" t="n">
        <x:f>_xlfn.XLOOKUP($A2178,Games!$A$2:$A$18,Games!$H$2:$H$18,"Missing game",0)</x:f>
        <x:v>34</x:v>
      </x:c>
      <x:c r="AN2178" t="str">
        <x:f>_xlfn.XLOOKUP($A2178,Games!$A$2:$A$18,Games!$I$2:$I$18,"Missing game",0)</x:f>
        <x:v>DAL</x:v>
      </x:c>
      <x:c r="AO2178" t="n">
        <x:f>_xlfn.XLOOKUP($A2178,Games!$A$2:$A$18,Games!$J$2:$J$18,"Missing game",0)</x:f>
        <x:v>26</x:v>
      </x:c>
      <x:c r="AP2178" t="n">
        <x:f>_xlfn.XLOOKUP($A2178,Games!$A$2:$A$18,Games!$K$2:$K$18,"Missing game",0)</x:f>
        <x:v>-8</x:v>
      </x:c>
      <x:c r="AQ2178" t="n">
        <x:f>_xlfn.XLOOKUP($A2178,Games!$A$2:$A$18,Games!$L$2:$L$18,"Missing game",0)</x:f>
        <x:v>60</x:v>
      </x:c>
      <x:c r="AR2178" t="n">
        <x:f>_xlfn.XLOOKUP($A2178,Games!$A$2:$A$18,Games!$M$2:$M$18,"Missing game",0)</x:f>
        <x:v>0</x:v>
      </x:c>
      <x:c r="AS2178" t="str">
        <x:f>_xlfn.XLOOKUP($A2178,Games!$A$2:$A$18,Games!$N$2:$N$18,"Missing game",0)</x:f>
        <x:v>closed</x:v>
      </x:c>
      <x:c r="AT2178" t="str">
        <x:f>_xlfn.XLOOKUP($A2178,Games!$A$2:$A$18,Games!$O$2:$O$18,"Missing game",0)</x:f>
        <x:v>matrixturf</x:v>
      </x:c>
      <x:c r="AU2178" t="str">
        <x:f>_xlfn.XLOOKUP($A2178,Games!$A$2:$A$18,Games!$P$2:$P$18,"Missing game",0)</x:f>
      </x:c>
      <x:c r="AV2178" t="str">
        <x:f>_xlfn.XLOOKUP($A2178,Games!$A$2:$A$18,Games!$Q$2:$Q$18,"Missing game",0)</x:f>
      </x:c>
      <x:c r="AW2178" t="str">
        <x:f>_xlfn.XLOOKUP($A2178,Games!$A$2:$A$18,Games!$R$2:$R$18,"Missing game",0)</x:f>
        <x:v>AT&amp;T Stadium</x:v>
      </x:c>
    </x:row>
    <x:row r="2179">
      <x:c r="A2179" t="str">
        <x:v>2025_15_MIN_DAL</x:v>
      </x:c>
      <x:c r="B2179" t="n">
        <x:v>729</x:v>
      </x:c>
      <x:c r="C2179" t="n">
        <x:v>1</x:v>
      </x:c>
      <x:c r="D2179" t="str">
        <x:v>02:35</x:v>
      </x:c>
      <x:c r="E2179"/>
      <x:c r="F2179" t="n">
        <x:v>0</x:v>
      </x:c>
      <x:c r="G2179" t="str">
        <x:v>MIN</x:v>
      </x:c>
      <x:c r="H2179" t="str">
        <x:v>DAL</x:v>
      </x:c>
      <x:c r="I2179" t="str">
        <x:v>DAL</x:v>
      </x:c>
      <x:c r="J2179" t="n">
        <x:v>15</x:v>
      </x:c>
      <x:c r="K2179" t="str">
        <x:v>16-W.Reichard extra point is GOOD, Center-42-A.DePaola, Holder-17-R.Wright.</x:v>
      </x:c>
      <x:c r="L2179" t="str">
        <x:v>extra_point</x:v>
      </x:c>
      <x:c r="M2179" t="n">
        <x:v>0</x:v>
      </x:c>
      <x:c r="N2179" t="n">
        <x:v>0</x:v>
      </x:c>
      <x:c r="O2179" t="n">
        <x:v>0</x:v>
      </x:c>
      <x:c r="P2179"/>
      <x:c r="Q2179"/>
      <x:c r="R2179"/>
      <x:c r="S2179"/>
      <x:c r="T2179"/>
      <x:c r="U2179"/>
      <x:c r="V2179" t="n">
        <x:v>0</x:v>
      </x:c>
      <x:c r="W2179" t="n">
        <x:v>0</x:v>
      </x:c>
      <x:c r="X2179" t="n">
        <x:v>0</x:v>
      </x:c>
      <x:c r="Y2179" t="n">
        <x:v>0</x:v>
      </x:c>
      <x:c r="Z2179" t="n">
        <x:v>0</x:v>
      </x:c>
      <x:c r="AA2179" t="n">
        <x:v>0</x:v>
      </x:c>
      <x:c r="AB2179"/>
      <x:c r="AC2179" t="n">
        <x:v>0</x:v>
      </x:c>
      <x:c r="AD2179" t="n">
        <x:v>0.06857135097992784</x:v>
      </x:c>
      <x:c r="AE2179" t="n">
        <x:v>1</x:v>
      </x:c>
      <x:c r="AF2179" t="n">
        <x:v>0.0025810934560707155</x:v>
      </x:c>
      <x:c r="AG2179" t="n">
        <x:f>_xlfn.XLOOKUP($A2179,Games!$A$2:$A$18,Games!$B$2:$B$18,"Missing game",0)</x:f>
        <x:v>2025</x:v>
      </x:c>
      <x:c r="AH2179" t="str">
        <x:f>_xlfn.XLOOKUP($A2179,Games!$A$2:$A$18,Games!$C$2:$C$18,"Missing game",0)</x:f>
        <x:v>REG</x:v>
      </x:c>
      <x:c r="AI2179" t="n">
        <x:f>_xlfn.XLOOKUP($A2179,Games!$A$2:$A$18,Games!$D$2:$D$18,"Missing game",0)</x:f>
        <x:v>15</x:v>
      </x:c>
      <x:c r="AJ2179" s="1" t="n">
        <x:f>_xlfn.XLOOKUP($A2179,Games!$A$2:$A$18,Games!$E$2:$E$18,"Missing game",0)</x:f>
        <x:v>46005</x:v>
      </x:c>
      <x:c r="AK2179" t="str">
        <x:f>_xlfn.XLOOKUP($A2179,Games!$A$2:$A$18,Games!$F$2:$F$18,"Missing game",0)</x:f>
        <x:v>Sunday</x:v>
      </x:c>
      <x:c r="AL2179" t="str">
        <x:f>_xlfn.XLOOKUP($A2179,Games!$A$2:$A$18,Games!$G$2:$G$18,"Missing game",0)</x:f>
        <x:v>MIN</x:v>
      </x:c>
      <x:c r="AM2179" t="n">
        <x:f>_xlfn.XLOOKUP($A2179,Games!$A$2:$A$18,Games!$H$2:$H$18,"Missing game",0)</x:f>
        <x:v>34</x:v>
      </x:c>
      <x:c r="AN2179" t="str">
        <x:f>_xlfn.XLOOKUP($A2179,Games!$A$2:$A$18,Games!$I$2:$I$18,"Missing game",0)</x:f>
        <x:v>DAL</x:v>
      </x:c>
      <x:c r="AO2179" t="n">
        <x:f>_xlfn.XLOOKUP($A2179,Games!$A$2:$A$18,Games!$J$2:$J$18,"Missing game",0)</x:f>
        <x:v>26</x:v>
      </x:c>
      <x:c r="AP2179" t="n">
        <x:f>_xlfn.XLOOKUP($A2179,Games!$A$2:$A$18,Games!$K$2:$K$18,"Missing game",0)</x:f>
        <x:v>-8</x:v>
      </x:c>
      <x:c r="AQ2179" t="n">
        <x:f>_xlfn.XLOOKUP($A2179,Games!$A$2:$A$18,Games!$L$2:$L$18,"Missing game",0)</x:f>
        <x:v>60</x:v>
      </x:c>
      <x:c r="AR2179" t="n">
        <x:f>_xlfn.XLOOKUP($A2179,Games!$A$2:$A$18,Games!$M$2:$M$18,"Missing game",0)</x:f>
        <x:v>0</x:v>
      </x:c>
      <x:c r="AS2179" t="str">
        <x:f>_xlfn.XLOOKUP($A2179,Games!$A$2:$A$18,Games!$N$2:$N$18,"Missing game",0)</x:f>
        <x:v>closed</x:v>
      </x:c>
      <x:c r="AT2179" t="str">
        <x:f>_xlfn.XLOOKUP($A2179,Games!$A$2:$A$18,Games!$O$2:$O$18,"Missing game",0)</x:f>
        <x:v>matrixturf</x:v>
      </x:c>
      <x:c r="AU2179" t="str">
        <x:f>_xlfn.XLOOKUP($A2179,Games!$A$2:$A$18,Games!$P$2:$P$18,"Missing game",0)</x:f>
      </x:c>
      <x:c r="AV2179" t="str">
        <x:f>_xlfn.XLOOKUP($A2179,Games!$A$2:$A$18,Games!$Q$2:$Q$18,"Missing game",0)</x:f>
      </x:c>
      <x:c r="AW2179" t="str">
        <x:f>_xlfn.XLOOKUP($A2179,Games!$A$2:$A$18,Games!$R$2:$R$18,"Missing game",0)</x:f>
        <x:v>AT&amp;T Stadium</x:v>
      </x:c>
    </x:row>
    <x:row r="2180">
      <x:c r="A2180" t="str">
        <x:v>2025_15_MIN_DAL</x:v>
      </x:c>
      <x:c r="B2180" t="n">
        <x:v>744</x:v>
      </x:c>
      <x:c r="C2180" t="n">
        <x:v>1</x:v>
      </x:c>
      <x:c r="D2180" t="str">
        <x:v>02:35</x:v>
      </x:c>
      <x:c r="E2180"/>
      <x:c r="F2180" t="n">
        <x:v>0</x:v>
      </x:c>
      <x:c r="G2180" t="str">
        <x:v>DAL</x:v>
      </x:c>
      <x:c r="H2180" t="str">
        <x:v>MIN</x:v>
      </x:c>
      <x:c r="I2180" t="str">
        <x:v>MIN</x:v>
      </x:c>
      <x:c r="J2180" t="n">
        <x:v>35</x:v>
      </x:c>
      <x:c r="K2180" t="str">
        <x:v>16-W.Reichard kicks 64 yards from MIN 35 to DAL 1. 9-K.Turpin to DAL 27 for 26 yards (56-A.Keys; 37-T.Thomas).</x:v>
      </x:c>
      <x:c r="L2180" t="str">
        <x:v>kickoff</x:v>
      </x:c>
      <x:c r="M2180" t="n">
        <x:v>0</x:v>
      </x:c>
      <x:c r="N2180" t="n">
        <x:v>0</x:v>
      </x:c>
      <x:c r="O2180" t="n">
        <x:v>0</x:v>
      </x:c>
      <x:c r="P2180"/>
      <x:c r="Q2180"/>
      <x:c r="R2180"/>
      <x:c r="S2180"/>
      <x:c r="T2180"/>
      <x:c r="U2180"/>
      <x:c r="V2180" t="n">
        <x:v>0</x:v>
      </x:c>
      <x:c r="W2180" t="n">
        <x:v>0</x:v>
      </x:c>
      <x:c r="X2180" t="n">
        <x:v>0</x:v>
      </x:c>
      <x:c r="Y2180" t="n">
        <x:v>0</x:v>
      </x:c>
      <x:c r="Z2180" t="n">
        <x:v>0</x:v>
      </x:c>
      <x:c r="AA2180" t="n">
        <x:v>0</x:v>
      </x:c>
      <x:c r="AB2180"/>
      <x:c r="AC2180" t="n">
        <x:v>0</x:v>
      </x:c>
      <x:c r="AD2180" t="n">
        <x:v>0.10774675570428371</x:v>
      </x:c>
      <x:c r="AE2180" t="n">
        <x:v>1</x:v>
      </x:c>
      <x:c r="AF2180" t="n">
        <x:v>0</x:v>
      </x:c>
      <x:c r="AG2180" t="n">
        <x:f>_xlfn.XLOOKUP($A2180,Games!$A$2:$A$18,Games!$B$2:$B$18,"Missing game",0)</x:f>
        <x:v>2025</x:v>
      </x:c>
      <x:c r="AH2180" t="str">
        <x:f>_xlfn.XLOOKUP($A2180,Games!$A$2:$A$18,Games!$C$2:$C$18,"Missing game",0)</x:f>
        <x:v>REG</x:v>
      </x:c>
      <x:c r="AI2180" t="n">
        <x:f>_xlfn.XLOOKUP($A2180,Games!$A$2:$A$18,Games!$D$2:$D$18,"Missing game",0)</x:f>
        <x:v>15</x:v>
      </x:c>
      <x:c r="AJ2180" s="1" t="n">
        <x:f>_xlfn.XLOOKUP($A2180,Games!$A$2:$A$18,Games!$E$2:$E$18,"Missing game",0)</x:f>
        <x:v>46005</x:v>
      </x:c>
      <x:c r="AK2180" t="str">
        <x:f>_xlfn.XLOOKUP($A2180,Games!$A$2:$A$18,Games!$F$2:$F$18,"Missing game",0)</x:f>
        <x:v>Sunday</x:v>
      </x:c>
      <x:c r="AL2180" t="str">
        <x:f>_xlfn.XLOOKUP($A2180,Games!$A$2:$A$18,Games!$G$2:$G$18,"Missing game",0)</x:f>
        <x:v>MIN</x:v>
      </x:c>
      <x:c r="AM2180" t="n">
        <x:f>_xlfn.XLOOKUP($A2180,Games!$A$2:$A$18,Games!$H$2:$H$18,"Missing game",0)</x:f>
        <x:v>34</x:v>
      </x:c>
      <x:c r="AN2180" t="str">
        <x:f>_xlfn.XLOOKUP($A2180,Games!$A$2:$A$18,Games!$I$2:$I$18,"Missing game",0)</x:f>
        <x:v>DAL</x:v>
      </x:c>
      <x:c r="AO2180" t="n">
        <x:f>_xlfn.XLOOKUP($A2180,Games!$A$2:$A$18,Games!$J$2:$J$18,"Missing game",0)</x:f>
        <x:v>26</x:v>
      </x:c>
      <x:c r="AP2180" t="n">
        <x:f>_xlfn.XLOOKUP($A2180,Games!$A$2:$A$18,Games!$K$2:$K$18,"Missing game",0)</x:f>
        <x:v>-8</x:v>
      </x:c>
      <x:c r="AQ2180" t="n">
        <x:f>_xlfn.XLOOKUP($A2180,Games!$A$2:$A$18,Games!$L$2:$L$18,"Missing game",0)</x:f>
        <x:v>60</x:v>
      </x:c>
      <x:c r="AR2180" t="n">
        <x:f>_xlfn.XLOOKUP($A2180,Games!$A$2:$A$18,Games!$M$2:$M$18,"Missing game",0)</x:f>
        <x:v>0</x:v>
      </x:c>
      <x:c r="AS2180" t="str">
        <x:f>_xlfn.XLOOKUP($A2180,Games!$A$2:$A$18,Games!$N$2:$N$18,"Missing game",0)</x:f>
        <x:v>closed</x:v>
      </x:c>
      <x:c r="AT2180" t="str">
        <x:f>_xlfn.XLOOKUP($A2180,Games!$A$2:$A$18,Games!$O$2:$O$18,"Missing game",0)</x:f>
        <x:v>matrixturf</x:v>
      </x:c>
      <x:c r="AU2180" t="str">
        <x:f>_xlfn.XLOOKUP($A2180,Games!$A$2:$A$18,Games!$P$2:$P$18,"Missing game",0)</x:f>
      </x:c>
      <x:c r="AV2180" t="str">
        <x:f>_xlfn.XLOOKUP($A2180,Games!$A$2:$A$18,Games!$Q$2:$Q$18,"Missing game",0)</x:f>
      </x:c>
      <x:c r="AW2180" t="str">
        <x:f>_xlfn.XLOOKUP($A2180,Games!$A$2:$A$18,Games!$R$2:$R$18,"Missing game",0)</x:f>
        <x:v>AT&amp;T Stadium</x:v>
      </x:c>
    </x:row>
    <x:row r="2181">
      <x:c r="A2181" t="str">
        <x:v>2025_15_MIN_DAL</x:v>
      </x:c>
      <x:c r="B2181" t="n">
        <x:v>774</x:v>
      </x:c>
      <x:c r="C2181" t="n">
        <x:v>1</x:v>
      </x:c>
      <x:c r="D2181" t="str">
        <x:v>02:30</x:v>
      </x:c>
      <x:c r="E2181" t="n">
        <x:v>1</x:v>
      </x:c>
      <x:c r="F2181" t="n">
        <x:v>10</x:v>
      </x:c>
      <x:c r="G2181" t="str">
        <x:v>DAL</x:v>
      </x:c>
      <x:c r="H2181" t="str">
        <x:v>MIN</x:v>
      </x:c>
      <x:c r="I2181" t="str">
        <x:v>DAL</x:v>
      </x:c>
      <x:c r="J2181" t="n">
        <x:v>73</x:v>
      </x:c>
      <x:c r="K2181" t="str">
        <x:v>(2:30) 4-D.Prescott pass short left to 19-R.Flournoy pushed ob at DAL 46 for 19 yards (51-B.Cashman; 2-I.Rodgers) [43-A.Van Ginkel].</x:v>
      </x:c>
      <x:c r="L2181" t="str">
        <x:v>pass</x:v>
      </x:c>
      <x:c r="M2181" t="n">
        <x:v>19</x:v>
      </x:c>
      <x:c r="N2181" t="n">
        <x:v>0</x:v>
      </x:c>
      <x:c r="O2181" t="n">
        <x:v>0</x:v>
      </x:c>
      <x:c r="P2181" t="str">
        <x:v>short</x:v>
      </x:c>
      <x:c r="Q2181" t="str">
        <x:v>left</x:v>
      </x:c>
      <x:c r="R2181" t="n">
        <x:v>-1</x:v>
      </x:c>
      <x:c r="S2181" t="n">
        <x:v>20</x:v>
      </x:c>
      <x:c r="T2181"/>
      <x:c r="U2181"/>
      <x:c r="V2181" t="n">
        <x:v>1</x:v>
      </x:c>
      <x:c r="W2181" t="n">
        <x:v>1</x:v>
      </x:c>
      <x:c r="X2181" t="n">
        <x:v>0</x:v>
      </x:c>
      <x:c r="Y2181" t="n">
        <x:v>0</x:v>
      </x:c>
      <x:c r="Z2181" t="n">
        <x:v>0</x:v>
      </x:c>
      <x:c r="AA2181" t="n">
        <x:v>0</x:v>
      </x:c>
      <x:c r="AB2181"/>
      <x:c r="AC2181" t="n">
        <x:v>0</x:v>
      </x:c>
      <x:c r="AD2181" t="n">
        <x:v>1.2238613213412464</x:v>
      </x:c>
      <x:c r="AE2181" t="n">
        <x:v>1</x:v>
      </x:c>
      <x:c r="AF2181" t="n">
        <x:v>0.033592939376831055</x:v>
      </x:c>
      <x:c r="AG2181" t="n">
        <x:f>_xlfn.XLOOKUP($A2181,Games!$A$2:$A$18,Games!$B$2:$B$18,"Missing game",0)</x:f>
        <x:v>2025</x:v>
      </x:c>
      <x:c r="AH2181" t="str">
        <x:f>_xlfn.XLOOKUP($A2181,Games!$A$2:$A$18,Games!$C$2:$C$18,"Missing game",0)</x:f>
        <x:v>REG</x:v>
      </x:c>
      <x:c r="AI2181" t="n">
        <x:f>_xlfn.XLOOKUP($A2181,Games!$A$2:$A$18,Games!$D$2:$D$18,"Missing game",0)</x:f>
        <x:v>15</x:v>
      </x:c>
      <x:c r="AJ2181" s="1" t="n">
        <x:f>_xlfn.XLOOKUP($A2181,Games!$A$2:$A$18,Games!$E$2:$E$18,"Missing game",0)</x:f>
        <x:v>46005</x:v>
      </x:c>
      <x:c r="AK2181" t="str">
        <x:f>_xlfn.XLOOKUP($A2181,Games!$A$2:$A$18,Games!$F$2:$F$18,"Missing game",0)</x:f>
        <x:v>Sunday</x:v>
      </x:c>
      <x:c r="AL2181" t="str">
        <x:f>_xlfn.XLOOKUP($A2181,Games!$A$2:$A$18,Games!$G$2:$G$18,"Missing game",0)</x:f>
        <x:v>MIN</x:v>
      </x:c>
      <x:c r="AM2181" t="n">
        <x:f>_xlfn.XLOOKUP($A2181,Games!$A$2:$A$18,Games!$H$2:$H$18,"Missing game",0)</x:f>
        <x:v>34</x:v>
      </x:c>
      <x:c r="AN2181" t="str">
        <x:f>_xlfn.XLOOKUP($A2181,Games!$A$2:$A$18,Games!$I$2:$I$18,"Missing game",0)</x:f>
        <x:v>DAL</x:v>
      </x:c>
      <x:c r="AO2181" t="n">
        <x:f>_xlfn.XLOOKUP($A2181,Games!$A$2:$A$18,Games!$J$2:$J$18,"Missing game",0)</x:f>
        <x:v>26</x:v>
      </x:c>
      <x:c r="AP2181" t="n">
        <x:f>_xlfn.XLOOKUP($A2181,Games!$A$2:$A$18,Games!$K$2:$K$18,"Missing game",0)</x:f>
        <x:v>-8</x:v>
      </x:c>
      <x:c r="AQ2181" t="n">
        <x:f>_xlfn.XLOOKUP($A2181,Games!$A$2:$A$18,Games!$L$2:$L$18,"Missing game",0)</x:f>
        <x:v>60</x:v>
      </x:c>
      <x:c r="AR2181" t="n">
        <x:f>_xlfn.XLOOKUP($A2181,Games!$A$2:$A$18,Games!$M$2:$M$18,"Missing game",0)</x:f>
        <x:v>0</x:v>
      </x:c>
      <x:c r="AS2181" t="str">
        <x:f>_xlfn.XLOOKUP($A2181,Games!$A$2:$A$18,Games!$N$2:$N$18,"Missing game",0)</x:f>
        <x:v>closed</x:v>
      </x:c>
      <x:c r="AT2181" t="str">
        <x:f>_xlfn.XLOOKUP($A2181,Games!$A$2:$A$18,Games!$O$2:$O$18,"Missing game",0)</x:f>
        <x:v>matrixturf</x:v>
      </x:c>
      <x:c r="AU2181" t="str">
        <x:f>_xlfn.XLOOKUP($A2181,Games!$A$2:$A$18,Games!$P$2:$P$18,"Missing game",0)</x:f>
      </x:c>
      <x:c r="AV2181" t="str">
        <x:f>_xlfn.XLOOKUP($A2181,Games!$A$2:$A$18,Games!$Q$2:$Q$18,"Missing game",0)</x:f>
      </x:c>
      <x:c r="AW2181" t="str">
        <x:f>_xlfn.XLOOKUP($A2181,Games!$A$2:$A$18,Games!$R$2:$R$18,"Missing game",0)</x:f>
        <x:v>AT&amp;T Stadium</x:v>
      </x:c>
    </x:row>
    <x:row r="2182">
      <x:c r="A2182" t="str">
        <x:v>2025_15_MIN_DAL</x:v>
      </x:c>
      <x:c r="B2182" t="n">
        <x:v>804</x:v>
      </x:c>
      <x:c r="C2182" t="n">
        <x:v>1</x:v>
      </x:c>
      <x:c r="D2182" t="str">
        <x:v>01:53</x:v>
      </x:c>
      <x:c r="E2182" t="n">
        <x:v>1</x:v>
      </x:c>
      <x:c r="F2182" t="n">
        <x:v>10</x:v>
      </x:c>
      <x:c r="G2182" t="str">
        <x:v>DAL</x:v>
      </x:c>
      <x:c r="H2182" t="str">
        <x:v>MIN</x:v>
      </x:c>
      <x:c r="I2182" t="str">
        <x:v>DAL</x:v>
      </x:c>
      <x:c r="J2182" t="n">
        <x:v>54</x:v>
      </x:c>
      <x:c r="K2182" t="str">
        <x:v>(1:53) (Shotgun) 4-D.Prescott pass deep left to 88-C.Lamb to MIN 24 for 30 yards (44-J.Metellus).</x:v>
      </x:c>
      <x:c r="L2182" t="str">
        <x:v>pass</x:v>
      </x:c>
      <x:c r="M2182" t="n">
        <x:v>30</x:v>
      </x:c>
      <x:c r="N2182" t="n">
        <x:v>1</x:v>
      </x:c>
      <x:c r="O2182" t="n">
        <x:v>0</x:v>
      </x:c>
      <x:c r="P2182" t="str">
        <x:v>deep</x:v>
      </x:c>
      <x:c r="Q2182" t="str">
        <x:v>left</x:v>
      </x:c>
      <x:c r="R2182" t="n">
        <x:v>21</x:v>
      </x:c>
      <x:c r="S2182" t="n">
        <x:v>9</x:v>
      </x:c>
      <x:c r="T2182"/>
      <x:c r="U2182"/>
      <x:c r="V2182" t="n">
        <x:v>1</x:v>
      </x:c>
      <x:c r="W2182" t="n">
        <x:v>1</x:v>
      </x:c>
      <x:c r="X2182" t="n">
        <x:v>0</x:v>
      </x:c>
      <x:c r="Y2182" t="n">
        <x:v>0</x:v>
      </x:c>
      <x:c r="Z2182" t="n">
        <x:v>0</x:v>
      </x:c>
      <x:c r="AA2182" t="n">
        <x:v>0</x:v>
      </x:c>
      <x:c r="AB2182"/>
      <x:c r="AC2182" t="n">
        <x:v>0</x:v>
      </x:c>
      <x:c r="AD2182" t="n">
        <x:v>1.9401457369094715</x:v>
      </x:c>
      <x:c r="AE2182" t="n">
        <x:v>1</x:v>
      </x:c>
      <x:c r="AF2182" t="n">
        <x:v>0.06769371032714844</x:v>
      </x:c>
      <x:c r="AG2182" t="n">
        <x:f>_xlfn.XLOOKUP($A2182,Games!$A$2:$A$18,Games!$B$2:$B$18,"Missing game",0)</x:f>
        <x:v>2025</x:v>
      </x:c>
      <x:c r="AH2182" t="str">
        <x:f>_xlfn.XLOOKUP($A2182,Games!$A$2:$A$18,Games!$C$2:$C$18,"Missing game",0)</x:f>
        <x:v>REG</x:v>
      </x:c>
      <x:c r="AI2182" t="n">
        <x:f>_xlfn.XLOOKUP($A2182,Games!$A$2:$A$18,Games!$D$2:$D$18,"Missing game",0)</x:f>
        <x:v>15</x:v>
      </x:c>
      <x:c r="AJ2182" s="1" t="n">
        <x:f>_xlfn.XLOOKUP($A2182,Games!$A$2:$A$18,Games!$E$2:$E$18,"Missing game",0)</x:f>
        <x:v>46005</x:v>
      </x:c>
      <x:c r="AK2182" t="str">
        <x:f>_xlfn.XLOOKUP($A2182,Games!$A$2:$A$18,Games!$F$2:$F$18,"Missing game",0)</x:f>
        <x:v>Sunday</x:v>
      </x:c>
      <x:c r="AL2182" t="str">
        <x:f>_xlfn.XLOOKUP($A2182,Games!$A$2:$A$18,Games!$G$2:$G$18,"Missing game",0)</x:f>
        <x:v>MIN</x:v>
      </x:c>
      <x:c r="AM2182" t="n">
        <x:f>_xlfn.XLOOKUP($A2182,Games!$A$2:$A$18,Games!$H$2:$H$18,"Missing game",0)</x:f>
        <x:v>34</x:v>
      </x:c>
      <x:c r="AN2182" t="str">
        <x:f>_xlfn.XLOOKUP($A2182,Games!$A$2:$A$18,Games!$I$2:$I$18,"Missing game",0)</x:f>
        <x:v>DAL</x:v>
      </x:c>
      <x:c r="AO2182" t="n">
        <x:f>_xlfn.XLOOKUP($A2182,Games!$A$2:$A$18,Games!$J$2:$J$18,"Missing game",0)</x:f>
        <x:v>26</x:v>
      </x:c>
      <x:c r="AP2182" t="n">
        <x:f>_xlfn.XLOOKUP($A2182,Games!$A$2:$A$18,Games!$K$2:$K$18,"Missing game",0)</x:f>
        <x:v>-8</x:v>
      </x:c>
      <x:c r="AQ2182" t="n">
        <x:f>_xlfn.XLOOKUP($A2182,Games!$A$2:$A$18,Games!$L$2:$L$18,"Missing game",0)</x:f>
        <x:v>60</x:v>
      </x:c>
      <x:c r="AR2182" t="n">
        <x:f>_xlfn.XLOOKUP($A2182,Games!$A$2:$A$18,Games!$M$2:$M$18,"Missing game",0)</x:f>
        <x:v>0</x:v>
      </x:c>
      <x:c r="AS2182" t="str">
        <x:f>_xlfn.XLOOKUP($A2182,Games!$A$2:$A$18,Games!$N$2:$N$18,"Missing game",0)</x:f>
        <x:v>closed</x:v>
      </x:c>
      <x:c r="AT2182" t="str">
        <x:f>_xlfn.XLOOKUP($A2182,Games!$A$2:$A$18,Games!$O$2:$O$18,"Missing game",0)</x:f>
        <x:v>matrixturf</x:v>
      </x:c>
      <x:c r="AU2182" t="str">
        <x:f>_xlfn.XLOOKUP($A2182,Games!$A$2:$A$18,Games!$P$2:$P$18,"Missing game",0)</x:f>
      </x:c>
      <x:c r="AV2182" t="str">
        <x:f>_xlfn.XLOOKUP($A2182,Games!$A$2:$A$18,Games!$Q$2:$Q$18,"Missing game",0)</x:f>
      </x:c>
      <x:c r="AW2182" t="str">
        <x:f>_xlfn.XLOOKUP($A2182,Games!$A$2:$A$18,Games!$R$2:$R$18,"Missing game",0)</x:f>
        <x:v>AT&amp;T Stadium</x:v>
      </x:c>
    </x:row>
    <x:row r="2183">
      <x:c r="A2183" t="str">
        <x:v>2025_15_MIN_DAL</x:v>
      </x:c>
      <x:c r="B2183" t="n">
        <x:v>829</x:v>
      </x:c>
      <x:c r="C2183" t="n">
        <x:v>1</x:v>
      </x:c>
      <x:c r="D2183" t="str">
        <x:v>01:12</x:v>
      </x:c>
      <x:c r="E2183" t="n">
        <x:v>1</x:v>
      </x:c>
      <x:c r="F2183" t="n">
        <x:v>10</x:v>
      </x:c>
      <x:c r="G2183" t="str">
        <x:v>DAL</x:v>
      </x:c>
      <x:c r="H2183" t="str">
        <x:v>MIN</x:v>
      </x:c>
      <x:c r="I2183" t="str">
        <x:v>MIN</x:v>
      </x:c>
      <x:c r="J2183" t="n">
        <x:v>24</x:v>
      </x:c>
      <x:c r="K2183" t="str">
        <x:v>(1:12) 88-C.Lamb left end to MIN 27 for -3 yards (2-I.Rodgers, 61-J.Redmond). PENALTY on MIN-50-L.Rodriguez, Face Mask, 12 yards, enforced at MIN 24 - No Play.</x:v>
      </x:c>
      <x:c r="L2183" t="str">
        <x:v>no_play</x:v>
      </x:c>
      <x:c r="M2183" t="n">
        <x:v>0</x:v>
      </x:c>
      <x:c r="N2183" t="n">
        <x:v>0</x:v>
      </x:c>
      <x:c r="O2183" t="n">
        <x:v>0</x:v>
      </x:c>
      <x:c r="P2183"/>
      <x:c r="Q2183"/>
      <x:c r="R2183"/>
      <x:c r="S2183"/>
      <x:c r="T2183"/>
      <x:c r="U2183"/>
      <x:c r="V2183" t="n">
        <x:v>0</x:v>
      </x:c>
      <x:c r="W2183" t="n">
        <x:v>1</x:v>
      </x:c>
      <x:c r="X2183" t="n">
        <x:v>0</x:v>
      </x:c>
      <x:c r="Y2183" t="n">
        <x:v>0</x:v>
      </x:c>
      <x:c r="Z2183" t="n">
        <x:v>0</x:v>
      </x:c>
      <x:c r="AA2183" t="n">
        <x:v>1</x:v>
      </x:c>
      <x:c r="AB2183" t="n">
        <x:v>12</x:v>
      </x:c>
      <x:c r="AC2183" t="n">
        <x:v>0</x:v>
      </x:c>
      <x:c r="AD2183" t="n">
        <x:v>0.5442736829281785</x:v>
      </x:c>
      <x:c r="AE2183" t="n">
        <x:v>1</x:v>
      </x:c>
      <x:c r="AF2183" t="n">
        <x:v>0.006561934947967529</x:v>
      </x:c>
      <x:c r="AG2183" t="n">
        <x:f>_xlfn.XLOOKUP($A2183,Games!$A$2:$A$18,Games!$B$2:$B$18,"Missing game",0)</x:f>
        <x:v>2025</x:v>
      </x:c>
      <x:c r="AH2183" t="str">
        <x:f>_xlfn.XLOOKUP($A2183,Games!$A$2:$A$18,Games!$C$2:$C$18,"Missing game",0)</x:f>
        <x:v>REG</x:v>
      </x:c>
      <x:c r="AI2183" t="n">
        <x:f>_xlfn.XLOOKUP($A2183,Games!$A$2:$A$18,Games!$D$2:$D$18,"Missing game",0)</x:f>
        <x:v>15</x:v>
      </x:c>
      <x:c r="AJ2183" s="1" t="n">
        <x:f>_xlfn.XLOOKUP($A2183,Games!$A$2:$A$18,Games!$E$2:$E$18,"Missing game",0)</x:f>
        <x:v>46005</x:v>
      </x:c>
      <x:c r="AK2183" t="str">
        <x:f>_xlfn.XLOOKUP($A2183,Games!$A$2:$A$18,Games!$F$2:$F$18,"Missing game",0)</x:f>
        <x:v>Sunday</x:v>
      </x:c>
      <x:c r="AL2183" t="str">
        <x:f>_xlfn.XLOOKUP($A2183,Games!$A$2:$A$18,Games!$G$2:$G$18,"Missing game",0)</x:f>
        <x:v>MIN</x:v>
      </x:c>
      <x:c r="AM2183" t="n">
        <x:f>_xlfn.XLOOKUP($A2183,Games!$A$2:$A$18,Games!$H$2:$H$18,"Missing game",0)</x:f>
        <x:v>34</x:v>
      </x:c>
      <x:c r="AN2183" t="str">
        <x:f>_xlfn.XLOOKUP($A2183,Games!$A$2:$A$18,Games!$I$2:$I$18,"Missing game",0)</x:f>
        <x:v>DAL</x:v>
      </x:c>
      <x:c r="AO2183" t="n">
        <x:f>_xlfn.XLOOKUP($A2183,Games!$A$2:$A$18,Games!$J$2:$J$18,"Missing game",0)</x:f>
        <x:v>26</x:v>
      </x:c>
      <x:c r="AP2183" t="n">
        <x:f>_xlfn.XLOOKUP($A2183,Games!$A$2:$A$18,Games!$K$2:$K$18,"Missing game",0)</x:f>
        <x:v>-8</x:v>
      </x:c>
      <x:c r="AQ2183" t="n">
        <x:f>_xlfn.XLOOKUP($A2183,Games!$A$2:$A$18,Games!$L$2:$L$18,"Missing game",0)</x:f>
        <x:v>60</x:v>
      </x:c>
      <x:c r="AR2183" t="n">
        <x:f>_xlfn.XLOOKUP($A2183,Games!$A$2:$A$18,Games!$M$2:$M$18,"Missing game",0)</x:f>
        <x:v>0</x:v>
      </x:c>
      <x:c r="AS2183" t="str">
        <x:f>_xlfn.XLOOKUP($A2183,Games!$A$2:$A$18,Games!$N$2:$N$18,"Missing game",0)</x:f>
        <x:v>closed</x:v>
      </x:c>
      <x:c r="AT2183" t="str">
        <x:f>_xlfn.XLOOKUP($A2183,Games!$A$2:$A$18,Games!$O$2:$O$18,"Missing game",0)</x:f>
        <x:v>matrixturf</x:v>
      </x:c>
      <x:c r="AU2183" t="str">
        <x:f>_xlfn.XLOOKUP($A2183,Games!$A$2:$A$18,Games!$P$2:$P$18,"Missing game",0)</x:f>
      </x:c>
      <x:c r="AV2183" t="str">
        <x:f>_xlfn.XLOOKUP($A2183,Games!$A$2:$A$18,Games!$Q$2:$Q$18,"Missing game",0)</x:f>
      </x:c>
      <x:c r="AW2183" t="str">
        <x:f>_xlfn.XLOOKUP($A2183,Games!$A$2:$A$18,Games!$R$2:$R$18,"Missing game",0)</x:f>
        <x:v>AT&amp;T Stadium</x:v>
      </x:c>
    </x:row>
    <x:row r="2184">
      <x:c r="A2184" t="str">
        <x:v>2025_15_MIN_DAL</x:v>
      </x:c>
      <x:c r="B2184" t="n">
        <x:v>862</x:v>
      </x:c>
      <x:c r="C2184" t="n">
        <x:v>1</x:v>
      </x:c>
      <x:c r="D2184" t="str">
        <x:v>00:55</x:v>
      </x:c>
      <x:c r="E2184" t="n">
        <x:v>1</x:v>
      </x:c>
      <x:c r="F2184" t="n">
        <x:v>10</x:v>
      </x:c>
      <x:c r="G2184" t="str">
        <x:v>DAL</x:v>
      </x:c>
      <x:c r="H2184" t="str">
        <x:v>MIN</x:v>
      </x:c>
      <x:c r="I2184" t="str">
        <x:v>MIN</x:v>
      </x:c>
      <x:c r="J2184" t="n">
        <x:v>12</x:v>
      </x:c>
      <x:c r="K2184" t="str">
        <x:v>(:55) (Shotgun) 43-M.Davis up the middle to MIN 7 for 5 yards (51-B.Cashman).</x:v>
      </x:c>
      <x:c r="L2184" t="str">
        <x:v>run</x:v>
      </x:c>
      <x:c r="M2184" t="n">
        <x:v>5</x:v>
      </x:c>
      <x:c r="N2184" t="n">
        <x:v>1</x:v>
      </x:c>
      <x:c r="O2184" t="n">
        <x:v>0</x:v>
      </x:c>
      <x:c r="P2184"/>
      <x:c r="Q2184"/>
      <x:c r="R2184"/>
      <x:c r="S2184"/>
      <x:c r="T2184" t="str">
        <x:v>middle</x:v>
      </x:c>
      <x:c r="U2184"/>
      <x:c r="V2184" t="n">
        <x:v>0</x:v>
      </x:c>
      <x:c r="W2184" t="n">
        <x:v>0</x:v>
      </x:c>
      <x:c r="X2184" t="n">
        <x:v>0</x:v>
      </x:c>
      <x:c r="Y2184" t="n">
        <x:v>0</x:v>
      </x:c>
      <x:c r="Z2184" t="n">
        <x:v>0</x:v>
      </x:c>
      <x:c r="AA2184" t="n">
        <x:v>0</x:v>
      </x:c>
      <x:c r="AB2184"/>
      <x:c r="AC2184" t="n">
        <x:v>0</x:v>
      </x:c>
      <x:c r="AD2184" t="n">
        <x:v>0.07595790072809905</x:v>
      </x:c>
      <x:c r="AE2184" t="n">
        <x:v>1</x:v>
      </x:c>
      <x:c r="AF2184" t="n">
        <x:v>-0.0034058094024658203</x:v>
      </x:c>
      <x:c r="AG2184" t="n">
        <x:f>_xlfn.XLOOKUP($A2184,Games!$A$2:$A$18,Games!$B$2:$B$18,"Missing game",0)</x:f>
        <x:v>2025</x:v>
      </x:c>
      <x:c r="AH2184" t="str">
        <x:f>_xlfn.XLOOKUP($A2184,Games!$A$2:$A$18,Games!$C$2:$C$18,"Missing game",0)</x:f>
        <x:v>REG</x:v>
      </x:c>
      <x:c r="AI2184" t="n">
        <x:f>_xlfn.XLOOKUP($A2184,Games!$A$2:$A$18,Games!$D$2:$D$18,"Missing game",0)</x:f>
        <x:v>15</x:v>
      </x:c>
      <x:c r="AJ2184" s="1" t="n">
        <x:f>_xlfn.XLOOKUP($A2184,Games!$A$2:$A$18,Games!$E$2:$E$18,"Missing game",0)</x:f>
        <x:v>46005</x:v>
      </x:c>
      <x:c r="AK2184" t="str">
        <x:f>_xlfn.XLOOKUP($A2184,Games!$A$2:$A$18,Games!$F$2:$F$18,"Missing game",0)</x:f>
        <x:v>Sunday</x:v>
      </x:c>
      <x:c r="AL2184" t="str">
        <x:f>_xlfn.XLOOKUP($A2184,Games!$A$2:$A$18,Games!$G$2:$G$18,"Missing game",0)</x:f>
        <x:v>MIN</x:v>
      </x:c>
      <x:c r="AM2184" t="n">
        <x:f>_xlfn.XLOOKUP($A2184,Games!$A$2:$A$18,Games!$H$2:$H$18,"Missing game",0)</x:f>
        <x:v>34</x:v>
      </x:c>
      <x:c r="AN2184" t="str">
        <x:f>_xlfn.XLOOKUP($A2184,Games!$A$2:$A$18,Games!$I$2:$I$18,"Missing game",0)</x:f>
        <x:v>DAL</x:v>
      </x:c>
      <x:c r="AO2184" t="n">
        <x:f>_xlfn.XLOOKUP($A2184,Games!$A$2:$A$18,Games!$J$2:$J$18,"Missing game",0)</x:f>
        <x:v>26</x:v>
      </x:c>
      <x:c r="AP2184" t="n">
        <x:f>_xlfn.XLOOKUP($A2184,Games!$A$2:$A$18,Games!$K$2:$K$18,"Missing game",0)</x:f>
        <x:v>-8</x:v>
      </x:c>
      <x:c r="AQ2184" t="n">
        <x:f>_xlfn.XLOOKUP($A2184,Games!$A$2:$A$18,Games!$L$2:$L$18,"Missing game",0)</x:f>
        <x:v>60</x:v>
      </x:c>
      <x:c r="AR2184" t="n">
        <x:f>_xlfn.XLOOKUP($A2184,Games!$A$2:$A$18,Games!$M$2:$M$18,"Missing game",0)</x:f>
        <x:v>0</x:v>
      </x:c>
      <x:c r="AS2184" t="str">
        <x:f>_xlfn.XLOOKUP($A2184,Games!$A$2:$A$18,Games!$N$2:$N$18,"Missing game",0)</x:f>
        <x:v>closed</x:v>
      </x:c>
      <x:c r="AT2184" t="str">
        <x:f>_xlfn.XLOOKUP($A2184,Games!$A$2:$A$18,Games!$O$2:$O$18,"Missing game",0)</x:f>
        <x:v>matrixturf</x:v>
      </x:c>
      <x:c r="AU2184" t="str">
        <x:f>_xlfn.XLOOKUP($A2184,Games!$A$2:$A$18,Games!$P$2:$P$18,"Missing game",0)</x:f>
      </x:c>
      <x:c r="AV2184" t="str">
        <x:f>_xlfn.XLOOKUP($A2184,Games!$A$2:$A$18,Games!$Q$2:$Q$18,"Missing game",0)</x:f>
      </x:c>
      <x:c r="AW2184" t="str">
        <x:f>_xlfn.XLOOKUP($A2184,Games!$A$2:$A$18,Games!$R$2:$R$18,"Missing game",0)</x:f>
        <x:v>AT&amp;T Stadium</x:v>
      </x:c>
    </x:row>
    <x:row r="2185">
      <x:c r="A2185" t="str">
        <x:v>2025_15_MIN_DAL</x:v>
      </x:c>
      <x:c r="B2185" t="n">
        <x:v>884</x:v>
      </x:c>
      <x:c r="C2185" t="n">
        <x:v>1</x:v>
      </x:c>
      <x:c r="D2185" t="str">
        <x:v>00:13</x:v>
      </x:c>
      <x:c r="E2185" t="n">
        <x:v>2</x:v>
      </x:c>
      <x:c r="F2185" t="n">
        <x:v>5</x:v>
      </x:c>
      <x:c r="G2185" t="str">
        <x:v>DAL</x:v>
      </x:c>
      <x:c r="H2185" t="str">
        <x:v>MIN</x:v>
      </x:c>
      <x:c r="I2185" t="str">
        <x:v>MIN</x:v>
      </x:c>
      <x:c r="J2185" t="n">
        <x:v>7</x:v>
      </x:c>
      <x:c r="K2185" t="str">
        <x:v>(:13) 43-M.Davis up the middle to MIN 1 for 6 yards (51-B.Cashman; 50-L.Rodriguez).</x:v>
      </x:c>
      <x:c r="L2185" t="str">
        <x:v>run</x:v>
      </x:c>
      <x:c r="M2185" t="n">
        <x:v>6</x:v>
      </x:c>
      <x:c r="N2185" t="n">
        <x:v>0</x:v>
      </x:c>
      <x:c r="O2185" t="n">
        <x:v>0</x:v>
      </x:c>
      <x:c r="P2185"/>
      <x:c r="Q2185"/>
      <x:c r="R2185"/>
      <x:c r="S2185"/>
      <x:c r="T2185" t="str">
        <x:v>middle</x:v>
      </x:c>
      <x:c r="U2185"/>
      <x:c r="V2185" t="n">
        <x:v>0</x:v>
      </x:c>
      <x:c r="W2185" t="n">
        <x:v>1</x:v>
      </x:c>
      <x:c r="X2185" t="n">
        <x:v>0</x:v>
      </x:c>
      <x:c r="Y2185" t="n">
        <x:v>0</x:v>
      </x:c>
      <x:c r="Z2185" t="n">
        <x:v>0</x:v>
      </x:c>
      <x:c r="AA2185" t="n">
        <x:v>0</x:v>
      </x:c>
      <x:c r="AB2185"/>
      <x:c r="AC2185" t="n">
        <x:v>0</x:v>
      </x:c>
      <x:c r="AD2185" t="n">
        <x:v>1.1462437384470832</x:v>
      </x:c>
      <x:c r="AE2185" t="n">
        <x:v>1</x:v>
      </x:c>
      <x:c r="AF2185" t="n">
        <x:v>0.0315743088722229</x:v>
      </x:c>
      <x:c r="AG2185" t="n">
        <x:f>_xlfn.XLOOKUP($A2185,Games!$A$2:$A$18,Games!$B$2:$B$18,"Missing game",0)</x:f>
        <x:v>2025</x:v>
      </x:c>
      <x:c r="AH2185" t="str">
        <x:f>_xlfn.XLOOKUP($A2185,Games!$A$2:$A$18,Games!$C$2:$C$18,"Missing game",0)</x:f>
        <x:v>REG</x:v>
      </x:c>
      <x:c r="AI2185" t="n">
        <x:f>_xlfn.XLOOKUP($A2185,Games!$A$2:$A$18,Games!$D$2:$D$18,"Missing game",0)</x:f>
        <x:v>15</x:v>
      </x:c>
      <x:c r="AJ2185" s="1" t="n">
        <x:f>_xlfn.XLOOKUP($A2185,Games!$A$2:$A$18,Games!$E$2:$E$18,"Missing game",0)</x:f>
        <x:v>46005</x:v>
      </x:c>
      <x:c r="AK2185" t="str">
        <x:f>_xlfn.XLOOKUP($A2185,Games!$A$2:$A$18,Games!$F$2:$F$18,"Missing game",0)</x:f>
        <x:v>Sunday</x:v>
      </x:c>
      <x:c r="AL2185" t="str">
        <x:f>_xlfn.XLOOKUP($A2185,Games!$A$2:$A$18,Games!$G$2:$G$18,"Missing game",0)</x:f>
        <x:v>MIN</x:v>
      </x:c>
      <x:c r="AM2185" t="n">
        <x:f>_xlfn.XLOOKUP($A2185,Games!$A$2:$A$18,Games!$H$2:$H$18,"Missing game",0)</x:f>
        <x:v>34</x:v>
      </x:c>
      <x:c r="AN2185" t="str">
        <x:f>_xlfn.XLOOKUP($A2185,Games!$A$2:$A$18,Games!$I$2:$I$18,"Missing game",0)</x:f>
        <x:v>DAL</x:v>
      </x:c>
      <x:c r="AO2185" t="n">
        <x:f>_xlfn.XLOOKUP($A2185,Games!$A$2:$A$18,Games!$J$2:$J$18,"Missing game",0)</x:f>
        <x:v>26</x:v>
      </x:c>
      <x:c r="AP2185" t="n">
        <x:f>_xlfn.XLOOKUP($A2185,Games!$A$2:$A$18,Games!$K$2:$K$18,"Missing game",0)</x:f>
        <x:v>-8</x:v>
      </x:c>
      <x:c r="AQ2185" t="n">
        <x:f>_xlfn.XLOOKUP($A2185,Games!$A$2:$A$18,Games!$L$2:$L$18,"Missing game",0)</x:f>
        <x:v>60</x:v>
      </x:c>
      <x:c r="AR2185" t="n">
        <x:f>_xlfn.XLOOKUP($A2185,Games!$A$2:$A$18,Games!$M$2:$M$18,"Missing game",0)</x:f>
        <x:v>0</x:v>
      </x:c>
      <x:c r="AS2185" t="str">
        <x:f>_xlfn.XLOOKUP($A2185,Games!$A$2:$A$18,Games!$N$2:$N$18,"Missing game",0)</x:f>
        <x:v>closed</x:v>
      </x:c>
      <x:c r="AT2185" t="str">
        <x:f>_xlfn.XLOOKUP($A2185,Games!$A$2:$A$18,Games!$O$2:$O$18,"Missing game",0)</x:f>
        <x:v>matrixturf</x:v>
      </x:c>
      <x:c r="AU2185" t="str">
        <x:f>_xlfn.XLOOKUP($A2185,Games!$A$2:$A$18,Games!$P$2:$P$18,"Missing game",0)</x:f>
      </x:c>
      <x:c r="AV2185" t="str">
        <x:f>_xlfn.XLOOKUP($A2185,Games!$A$2:$A$18,Games!$Q$2:$Q$18,"Missing game",0)</x:f>
      </x:c>
      <x:c r="AW2185" t="str">
        <x:f>_xlfn.XLOOKUP($A2185,Games!$A$2:$A$18,Games!$R$2:$R$18,"Missing game",0)</x:f>
        <x:v>AT&amp;T Stadium</x:v>
      </x:c>
    </x:row>
    <x:row r="2186">
      <x:c r="A2186" t="str">
        <x:v>2025_15_MIN_DAL</x:v>
      </x:c>
      <x:c r="B2186" t="n">
        <x:v>906</x:v>
      </x:c>
      <x:c r="C2186" t="n">
        <x:v>1</x:v>
      </x:c>
      <x:c r="D2186" t="str">
        <x:v>00:00</x:v>
      </x:c>
      <x:c r="E2186"/>
      <x:c r="F2186" t="n">
        <x:v>0</x:v>
      </x:c>
      <x:c r="G2186" t="str">
        <x:v>DAL</x:v>
      </x:c>
      <x:c r="H2186" t="str">
        <x:v>MIN</x:v>
      </x:c>
      <x:c r="I2186"/>
      <x:c r="J2186"/>
      <x:c r="K2186" t="str">
        <x:v>END QUARTER 1</x:v>
      </x:c>
      <x:c r="L2186"/>
      <x:c r="M2186"/>
      <x:c r="N2186" t="n">
        <x:v>0</x:v>
      </x:c>
      <x:c r="O2186" t="n">
        <x:v>0</x:v>
      </x:c>
      <x:c r="P2186"/>
      <x:c r="Q2186"/>
      <x:c r="R2186"/>
      <x:c r="S2186"/>
      <x:c r="T2186"/>
      <x:c r="U2186"/>
      <x:c r="V2186"/>
      <x:c r="W2186"/>
      <x:c r="X2186"/>
      <x:c r="Y2186"/>
      <x:c r="Z2186"/>
      <x:c r="AA2186"/>
      <x:c r="AB2186"/>
      <x:c r="AC2186"/>
      <x:c r="AD2186" t="n">
        <x:v>0</x:v>
      </x:c>
      <x:c r="AE2186" t="n">
        <x:v>0</x:v>
      </x:c>
      <x:c r="AF2186" t="n">
        <x:v>0</x:v>
      </x:c>
      <x:c r="AG2186" t="n">
        <x:f>_xlfn.XLOOKUP($A2186,Games!$A$2:$A$18,Games!$B$2:$B$18,"Missing game",0)</x:f>
        <x:v>2025</x:v>
      </x:c>
      <x:c r="AH2186" t="str">
        <x:f>_xlfn.XLOOKUP($A2186,Games!$A$2:$A$18,Games!$C$2:$C$18,"Missing game",0)</x:f>
        <x:v>REG</x:v>
      </x:c>
      <x:c r="AI2186" t="n">
        <x:f>_xlfn.XLOOKUP($A2186,Games!$A$2:$A$18,Games!$D$2:$D$18,"Missing game",0)</x:f>
        <x:v>15</x:v>
      </x:c>
      <x:c r="AJ2186" s="1" t="n">
        <x:f>_xlfn.XLOOKUP($A2186,Games!$A$2:$A$18,Games!$E$2:$E$18,"Missing game",0)</x:f>
        <x:v>46005</x:v>
      </x:c>
      <x:c r="AK2186" t="str">
        <x:f>_xlfn.XLOOKUP($A2186,Games!$A$2:$A$18,Games!$F$2:$F$18,"Missing game",0)</x:f>
        <x:v>Sunday</x:v>
      </x:c>
      <x:c r="AL2186" t="str">
        <x:f>_xlfn.XLOOKUP($A2186,Games!$A$2:$A$18,Games!$G$2:$G$18,"Missing game",0)</x:f>
        <x:v>MIN</x:v>
      </x:c>
      <x:c r="AM2186" t="n">
        <x:f>_xlfn.XLOOKUP($A2186,Games!$A$2:$A$18,Games!$H$2:$H$18,"Missing game",0)</x:f>
        <x:v>34</x:v>
      </x:c>
      <x:c r="AN2186" t="str">
        <x:f>_xlfn.XLOOKUP($A2186,Games!$A$2:$A$18,Games!$I$2:$I$18,"Missing game",0)</x:f>
        <x:v>DAL</x:v>
      </x:c>
      <x:c r="AO2186" t="n">
        <x:f>_xlfn.XLOOKUP($A2186,Games!$A$2:$A$18,Games!$J$2:$J$18,"Missing game",0)</x:f>
        <x:v>26</x:v>
      </x:c>
      <x:c r="AP2186" t="n">
        <x:f>_xlfn.XLOOKUP($A2186,Games!$A$2:$A$18,Games!$K$2:$K$18,"Missing game",0)</x:f>
        <x:v>-8</x:v>
      </x:c>
      <x:c r="AQ2186" t="n">
        <x:f>_xlfn.XLOOKUP($A2186,Games!$A$2:$A$18,Games!$L$2:$L$18,"Missing game",0)</x:f>
        <x:v>60</x:v>
      </x:c>
      <x:c r="AR2186" t="n">
        <x:f>_xlfn.XLOOKUP($A2186,Games!$A$2:$A$18,Games!$M$2:$M$18,"Missing game",0)</x:f>
        <x:v>0</x:v>
      </x:c>
      <x:c r="AS2186" t="str">
        <x:f>_xlfn.XLOOKUP($A2186,Games!$A$2:$A$18,Games!$N$2:$N$18,"Missing game",0)</x:f>
        <x:v>closed</x:v>
      </x:c>
      <x:c r="AT2186" t="str">
        <x:f>_xlfn.XLOOKUP($A2186,Games!$A$2:$A$18,Games!$O$2:$O$18,"Missing game",0)</x:f>
        <x:v>matrixturf</x:v>
      </x:c>
      <x:c r="AU2186" t="str">
        <x:f>_xlfn.XLOOKUP($A2186,Games!$A$2:$A$18,Games!$P$2:$P$18,"Missing game",0)</x:f>
      </x:c>
      <x:c r="AV2186" t="str">
        <x:f>_xlfn.XLOOKUP($A2186,Games!$A$2:$A$18,Games!$Q$2:$Q$18,"Missing game",0)</x:f>
      </x:c>
      <x:c r="AW2186" t="str">
        <x:f>_xlfn.XLOOKUP($A2186,Games!$A$2:$A$18,Games!$R$2:$R$18,"Missing game",0)</x:f>
        <x:v>AT&amp;T Stadium</x:v>
      </x:c>
    </x:row>
    <x:row r="2187">
      <x:c r="A2187" t="str">
        <x:v>2025_15_MIN_DAL</x:v>
      </x:c>
      <x:c r="B2187" t="n">
        <x:v>926</x:v>
      </x:c>
      <x:c r="C2187" t="n">
        <x:v>2</x:v>
      </x:c>
      <x:c r="D2187" t="str">
        <x:v>15:00</x:v>
      </x:c>
      <x:c r="E2187" t="n">
        <x:v>1</x:v>
      </x:c>
      <x:c r="F2187" t="n">
        <x:v>1</x:v>
      </x:c>
      <x:c r="G2187" t="str">
        <x:v>DAL</x:v>
      </x:c>
      <x:c r="H2187" t="str">
        <x:v>MIN</x:v>
      </x:c>
      <x:c r="I2187" t="str">
        <x:v>MIN</x:v>
      </x:c>
      <x:c r="J2187" t="n">
        <x:v>1</x:v>
      </x:c>
      <x:c r="K2187" t="str">
        <x:v>(15:00) 4-D.Prescott pass incomplete short left to 88-C.Lamb.</x:v>
      </x:c>
      <x:c r="L2187" t="str">
        <x:v>pass</x:v>
      </x:c>
      <x:c r="M2187" t="n">
        <x:v>0</x:v>
      </x:c>
      <x:c r="N2187" t="n">
        <x:v>0</x:v>
      </x:c>
      <x:c r="O2187" t="n">
        <x:v>0</x:v>
      </x:c>
      <x:c r="P2187" t="str">
        <x:v>short</x:v>
      </x:c>
      <x:c r="Q2187" t="str">
        <x:v>left</x:v>
      </x:c>
      <x:c r="R2187" t="n">
        <x:v>1</x:v>
      </x:c>
      <x:c r="S2187"/>
      <x:c r="T2187"/>
      <x:c r="U2187"/>
      <x:c r="V2187" t="n">
        <x:v>0</x:v>
      </x:c>
      <x:c r="W2187" t="n">
        <x:v>0</x:v>
      </x:c>
      <x:c r="X2187" t="n">
        <x:v>0</x:v>
      </x:c>
      <x:c r="Y2187" t="n">
        <x:v>0</x:v>
      </x:c>
      <x:c r="Z2187" t="n">
        <x:v>0</x:v>
      </x:c>
      <x:c r="AA2187" t="n">
        <x:v>0</x:v>
      </x:c>
      <x:c r="AB2187"/>
      <x:c r="AC2187" t="n">
        <x:v>0</x:v>
      </x:c>
      <x:c r="AD2187" t="n">
        <x:v>-0.22530654203728773</x:v>
      </x:c>
      <x:c r="AE2187" t="n">
        <x:v>0</x:v>
      </x:c>
      <x:c r="AF2187" t="n">
        <x:v>-0.008611202239990234</x:v>
      </x:c>
      <x:c r="AG2187" t="n">
        <x:f>_xlfn.XLOOKUP($A2187,Games!$A$2:$A$18,Games!$B$2:$B$18,"Missing game",0)</x:f>
        <x:v>2025</x:v>
      </x:c>
      <x:c r="AH2187" t="str">
        <x:f>_xlfn.XLOOKUP($A2187,Games!$A$2:$A$18,Games!$C$2:$C$18,"Missing game",0)</x:f>
        <x:v>REG</x:v>
      </x:c>
      <x:c r="AI2187" t="n">
        <x:f>_xlfn.XLOOKUP($A2187,Games!$A$2:$A$18,Games!$D$2:$D$18,"Missing game",0)</x:f>
        <x:v>15</x:v>
      </x:c>
      <x:c r="AJ2187" s="1" t="n">
        <x:f>_xlfn.XLOOKUP($A2187,Games!$A$2:$A$18,Games!$E$2:$E$18,"Missing game",0)</x:f>
        <x:v>46005</x:v>
      </x:c>
      <x:c r="AK2187" t="str">
        <x:f>_xlfn.XLOOKUP($A2187,Games!$A$2:$A$18,Games!$F$2:$F$18,"Missing game",0)</x:f>
        <x:v>Sunday</x:v>
      </x:c>
      <x:c r="AL2187" t="str">
        <x:f>_xlfn.XLOOKUP($A2187,Games!$A$2:$A$18,Games!$G$2:$G$18,"Missing game",0)</x:f>
        <x:v>MIN</x:v>
      </x:c>
      <x:c r="AM2187" t="n">
        <x:f>_xlfn.XLOOKUP($A2187,Games!$A$2:$A$18,Games!$H$2:$H$18,"Missing game",0)</x:f>
        <x:v>34</x:v>
      </x:c>
      <x:c r="AN2187" t="str">
        <x:f>_xlfn.XLOOKUP($A2187,Games!$A$2:$A$18,Games!$I$2:$I$18,"Missing game",0)</x:f>
        <x:v>DAL</x:v>
      </x:c>
      <x:c r="AO2187" t="n">
        <x:f>_xlfn.XLOOKUP($A2187,Games!$A$2:$A$18,Games!$J$2:$J$18,"Missing game",0)</x:f>
        <x:v>26</x:v>
      </x:c>
      <x:c r="AP2187" t="n">
        <x:f>_xlfn.XLOOKUP($A2187,Games!$A$2:$A$18,Games!$K$2:$K$18,"Missing game",0)</x:f>
        <x:v>-8</x:v>
      </x:c>
      <x:c r="AQ2187" t="n">
        <x:f>_xlfn.XLOOKUP($A2187,Games!$A$2:$A$18,Games!$L$2:$L$18,"Missing game",0)</x:f>
        <x:v>60</x:v>
      </x:c>
      <x:c r="AR2187" t="n">
        <x:f>_xlfn.XLOOKUP($A2187,Games!$A$2:$A$18,Games!$M$2:$M$18,"Missing game",0)</x:f>
        <x:v>0</x:v>
      </x:c>
      <x:c r="AS2187" t="str">
        <x:f>_xlfn.XLOOKUP($A2187,Games!$A$2:$A$18,Games!$N$2:$N$18,"Missing game",0)</x:f>
        <x:v>closed</x:v>
      </x:c>
      <x:c r="AT2187" t="str">
        <x:f>_xlfn.XLOOKUP($A2187,Games!$A$2:$A$18,Games!$O$2:$O$18,"Missing game",0)</x:f>
        <x:v>matrixturf</x:v>
      </x:c>
      <x:c r="AU2187" t="str">
        <x:f>_xlfn.XLOOKUP($A2187,Games!$A$2:$A$18,Games!$P$2:$P$18,"Missing game",0)</x:f>
      </x:c>
      <x:c r="AV2187" t="str">
        <x:f>_xlfn.XLOOKUP($A2187,Games!$A$2:$A$18,Games!$Q$2:$Q$18,"Missing game",0)</x:f>
      </x:c>
      <x:c r="AW2187" t="str">
        <x:f>_xlfn.XLOOKUP($A2187,Games!$A$2:$A$18,Games!$R$2:$R$18,"Missing game",0)</x:f>
        <x:v>AT&amp;T Stadium</x:v>
      </x:c>
    </x:row>
    <x:row r="2188">
      <x:c r="A2188" t="str">
        <x:v>2025_15_MIN_DAL</x:v>
      </x:c>
      <x:c r="B2188" t="n">
        <x:v>949</x:v>
      </x:c>
      <x:c r="C2188" t="n">
        <x:v>2</x:v>
      </x:c>
      <x:c r="D2188" t="str">
        <x:v>14:55</x:v>
      </x:c>
      <x:c r="E2188" t="n">
        <x:v>2</x:v>
      </x:c>
      <x:c r="F2188" t="n">
        <x:v>1</x:v>
      </x:c>
      <x:c r="G2188" t="str">
        <x:v>DAL</x:v>
      </x:c>
      <x:c r="H2188" t="str">
        <x:v>MIN</x:v>
      </x:c>
      <x:c r="I2188" t="str">
        <x:v>MIN</x:v>
      </x:c>
      <x:c r="J2188" t="n">
        <x:v>1</x:v>
      </x:c>
      <x:c r="K2188" t="str">
        <x:v>(14:55) 43-M.Davis up the middle for 1 yard, TOUCHDOWN.</x:v>
      </x:c>
      <x:c r="L2188" t="str">
        <x:v>run</x:v>
      </x:c>
      <x:c r="M2188" t="n">
        <x:v>1</x:v>
      </x:c>
      <x:c r="N2188" t="n">
        <x:v>0</x:v>
      </x:c>
      <x:c r="O2188" t="n">
        <x:v>0</x:v>
      </x:c>
      <x:c r="P2188"/>
      <x:c r="Q2188"/>
      <x:c r="R2188"/>
      <x:c r="S2188"/>
      <x:c r="T2188" t="str">
        <x:v>middle</x:v>
      </x:c>
      <x:c r="U2188"/>
      <x:c r="V2188" t="n">
        <x:v>0</x:v>
      </x:c>
      <x:c r="W2188" t="n">
        <x:v>1</x:v>
      </x:c>
      <x:c r="X2188" t="n">
        <x:v>0</x:v>
      </x:c>
      <x:c r="Y2188" t="n">
        <x:v>0</x:v>
      </x:c>
      <x:c r="Z2188" t="n">
        <x:v>0</x:v>
      </x:c>
      <x:c r="AA2188" t="n">
        <x:v>0</x:v>
      </x:c>
      <x:c r="AB2188"/>
      <x:c r="AC2188" t="n">
        <x:v>1</x:v>
      </x:c>
      <x:c r="AD2188" t="n">
        <x:v>0.6888747977791354</x:v>
      </x:c>
      <x:c r="AE2188" t="n">
        <x:v>1</x:v>
      </x:c>
      <x:c r="AF2188" t="n">
        <x:v>0.023910189287473238</x:v>
      </x:c>
      <x:c r="AG2188" t="n">
        <x:f>_xlfn.XLOOKUP($A2188,Games!$A$2:$A$18,Games!$B$2:$B$18,"Missing game",0)</x:f>
        <x:v>2025</x:v>
      </x:c>
      <x:c r="AH2188" t="str">
        <x:f>_xlfn.XLOOKUP($A2188,Games!$A$2:$A$18,Games!$C$2:$C$18,"Missing game",0)</x:f>
        <x:v>REG</x:v>
      </x:c>
      <x:c r="AI2188" t="n">
        <x:f>_xlfn.XLOOKUP($A2188,Games!$A$2:$A$18,Games!$D$2:$D$18,"Missing game",0)</x:f>
        <x:v>15</x:v>
      </x:c>
      <x:c r="AJ2188" s="1" t="n">
        <x:f>_xlfn.XLOOKUP($A2188,Games!$A$2:$A$18,Games!$E$2:$E$18,"Missing game",0)</x:f>
        <x:v>46005</x:v>
      </x:c>
      <x:c r="AK2188" t="str">
        <x:f>_xlfn.XLOOKUP($A2188,Games!$A$2:$A$18,Games!$F$2:$F$18,"Missing game",0)</x:f>
        <x:v>Sunday</x:v>
      </x:c>
      <x:c r="AL2188" t="str">
        <x:f>_xlfn.XLOOKUP($A2188,Games!$A$2:$A$18,Games!$G$2:$G$18,"Missing game",0)</x:f>
        <x:v>MIN</x:v>
      </x:c>
      <x:c r="AM2188" t="n">
        <x:f>_xlfn.XLOOKUP($A2188,Games!$A$2:$A$18,Games!$H$2:$H$18,"Missing game",0)</x:f>
        <x:v>34</x:v>
      </x:c>
      <x:c r="AN2188" t="str">
        <x:f>_xlfn.XLOOKUP($A2188,Games!$A$2:$A$18,Games!$I$2:$I$18,"Missing game",0)</x:f>
        <x:v>DAL</x:v>
      </x:c>
      <x:c r="AO2188" t="n">
        <x:f>_xlfn.XLOOKUP($A2188,Games!$A$2:$A$18,Games!$J$2:$J$18,"Missing game",0)</x:f>
        <x:v>26</x:v>
      </x:c>
      <x:c r="AP2188" t="n">
        <x:f>_xlfn.XLOOKUP($A2188,Games!$A$2:$A$18,Games!$K$2:$K$18,"Missing game",0)</x:f>
        <x:v>-8</x:v>
      </x:c>
      <x:c r="AQ2188" t="n">
        <x:f>_xlfn.XLOOKUP($A2188,Games!$A$2:$A$18,Games!$L$2:$L$18,"Missing game",0)</x:f>
        <x:v>60</x:v>
      </x:c>
      <x:c r="AR2188" t="n">
        <x:f>_xlfn.XLOOKUP($A2188,Games!$A$2:$A$18,Games!$M$2:$M$18,"Missing game",0)</x:f>
        <x:v>0</x:v>
      </x:c>
      <x:c r="AS2188" t="str">
        <x:f>_xlfn.XLOOKUP($A2188,Games!$A$2:$A$18,Games!$N$2:$N$18,"Missing game",0)</x:f>
        <x:v>closed</x:v>
      </x:c>
      <x:c r="AT2188" t="str">
        <x:f>_xlfn.XLOOKUP($A2188,Games!$A$2:$A$18,Games!$O$2:$O$18,"Missing game",0)</x:f>
        <x:v>matrixturf</x:v>
      </x:c>
      <x:c r="AU2188" t="str">
        <x:f>_xlfn.XLOOKUP($A2188,Games!$A$2:$A$18,Games!$P$2:$P$18,"Missing game",0)</x:f>
      </x:c>
      <x:c r="AV2188" t="str">
        <x:f>_xlfn.XLOOKUP($A2188,Games!$A$2:$A$18,Games!$Q$2:$Q$18,"Missing game",0)</x:f>
      </x:c>
      <x:c r="AW2188" t="str">
        <x:f>_xlfn.XLOOKUP($A2188,Games!$A$2:$A$18,Games!$R$2:$R$18,"Missing game",0)</x:f>
        <x:v>AT&amp;T Stadium</x:v>
      </x:c>
    </x:row>
    <x:row r="2189">
      <x:c r="A2189" t="str">
        <x:v>2025_15_MIN_DAL</x:v>
      </x:c>
      <x:c r="B2189" t="n">
        <x:v>972</x:v>
      </x:c>
      <x:c r="C2189" t="n">
        <x:v>2</x:v>
      </x:c>
      <x:c r="D2189" t="str">
        <x:v>14:52</x:v>
      </x:c>
      <x:c r="E2189"/>
      <x:c r="F2189" t="n">
        <x:v>0</x:v>
      </x:c>
      <x:c r="G2189" t="str">
        <x:v>DAL</x:v>
      </x:c>
      <x:c r="H2189" t="str">
        <x:v>MIN</x:v>
      </x:c>
      <x:c r="I2189" t="str">
        <x:v>MIN</x:v>
      </x:c>
      <x:c r="J2189" t="n">
        <x:v>15</x:v>
      </x:c>
      <x:c r="K2189" t="str">
        <x:v>17-B.Aubrey extra point is GOOD, Center-44-T.Sieg, Holder-5-B.Anger.</x:v>
      </x:c>
      <x:c r="L2189" t="str">
        <x:v>extra_point</x:v>
      </x:c>
      <x:c r="M2189" t="n">
        <x:v>0</x:v>
      </x:c>
      <x:c r="N2189" t="n">
        <x:v>0</x:v>
      </x:c>
      <x:c r="O2189" t="n">
        <x:v>0</x:v>
      </x:c>
      <x:c r="P2189"/>
      <x:c r="Q2189"/>
      <x:c r="R2189"/>
      <x:c r="S2189"/>
      <x:c r="T2189"/>
      <x:c r="U2189"/>
      <x:c r="V2189" t="n">
        <x:v>0</x:v>
      </x:c>
      <x:c r="W2189" t="n">
        <x:v>0</x:v>
      </x:c>
      <x:c r="X2189" t="n">
        <x:v>0</x:v>
      </x:c>
      <x:c r="Y2189" t="n">
        <x:v>0</x:v>
      </x:c>
      <x:c r="Z2189" t="n">
        <x:v>0</x:v>
      </x:c>
      <x:c r="AA2189" t="n">
        <x:v>0</x:v>
      </x:c>
      <x:c r="AB2189"/>
      <x:c r="AC2189" t="n">
        <x:v>0</x:v>
      </x:c>
      <x:c r="AD2189" t="n">
        <x:v>0.06857135097992784</x:v>
      </x:c>
      <x:c r="AE2189" t="n">
        <x:v>1</x:v>
      </x:c>
      <x:c r="AF2189" t="n">
        <x:v>0.0015948468281731243</x:v>
      </x:c>
      <x:c r="AG2189" t="n">
        <x:f>_xlfn.XLOOKUP($A2189,Games!$A$2:$A$18,Games!$B$2:$B$18,"Missing game",0)</x:f>
        <x:v>2025</x:v>
      </x:c>
      <x:c r="AH2189" t="str">
        <x:f>_xlfn.XLOOKUP($A2189,Games!$A$2:$A$18,Games!$C$2:$C$18,"Missing game",0)</x:f>
        <x:v>REG</x:v>
      </x:c>
      <x:c r="AI2189" t="n">
        <x:f>_xlfn.XLOOKUP($A2189,Games!$A$2:$A$18,Games!$D$2:$D$18,"Missing game",0)</x:f>
        <x:v>15</x:v>
      </x:c>
      <x:c r="AJ2189" s="1" t="n">
        <x:f>_xlfn.XLOOKUP($A2189,Games!$A$2:$A$18,Games!$E$2:$E$18,"Missing game",0)</x:f>
        <x:v>46005</x:v>
      </x:c>
      <x:c r="AK2189" t="str">
        <x:f>_xlfn.XLOOKUP($A2189,Games!$A$2:$A$18,Games!$F$2:$F$18,"Missing game",0)</x:f>
        <x:v>Sunday</x:v>
      </x:c>
      <x:c r="AL2189" t="str">
        <x:f>_xlfn.XLOOKUP($A2189,Games!$A$2:$A$18,Games!$G$2:$G$18,"Missing game",0)</x:f>
        <x:v>MIN</x:v>
      </x:c>
      <x:c r="AM2189" t="n">
        <x:f>_xlfn.XLOOKUP($A2189,Games!$A$2:$A$18,Games!$H$2:$H$18,"Missing game",0)</x:f>
        <x:v>34</x:v>
      </x:c>
      <x:c r="AN2189" t="str">
        <x:f>_xlfn.XLOOKUP($A2189,Games!$A$2:$A$18,Games!$I$2:$I$18,"Missing game",0)</x:f>
        <x:v>DAL</x:v>
      </x:c>
      <x:c r="AO2189" t="n">
        <x:f>_xlfn.XLOOKUP($A2189,Games!$A$2:$A$18,Games!$J$2:$J$18,"Missing game",0)</x:f>
        <x:v>26</x:v>
      </x:c>
      <x:c r="AP2189" t="n">
        <x:f>_xlfn.XLOOKUP($A2189,Games!$A$2:$A$18,Games!$K$2:$K$18,"Missing game",0)</x:f>
        <x:v>-8</x:v>
      </x:c>
      <x:c r="AQ2189" t="n">
        <x:f>_xlfn.XLOOKUP($A2189,Games!$A$2:$A$18,Games!$L$2:$L$18,"Missing game",0)</x:f>
        <x:v>60</x:v>
      </x:c>
      <x:c r="AR2189" t="n">
        <x:f>_xlfn.XLOOKUP($A2189,Games!$A$2:$A$18,Games!$M$2:$M$18,"Missing game",0)</x:f>
        <x:v>0</x:v>
      </x:c>
      <x:c r="AS2189" t="str">
        <x:f>_xlfn.XLOOKUP($A2189,Games!$A$2:$A$18,Games!$N$2:$N$18,"Missing game",0)</x:f>
        <x:v>closed</x:v>
      </x:c>
      <x:c r="AT2189" t="str">
        <x:f>_xlfn.XLOOKUP($A2189,Games!$A$2:$A$18,Games!$O$2:$O$18,"Missing game",0)</x:f>
        <x:v>matrixturf</x:v>
      </x:c>
      <x:c r="AU2189" t="str">
        <x:f>_xlfn.XLOOKUP($A2189,Games!$A$2:$A$18,Games!$P$2:$P$18,"Missing game",0)</x:f>
      </x:c>
      <x:c r="AV2189" t="str">
        <x:f>_xlfn.XLOOKUP($A2189,Games!$A$2:$A$18,Games!$Q$2:$Q$18,"Missing game",0)</x:f>
      </x:c>
      <x:c r="AW2189" t="str">
        <x:f>_xlfn.XLOOKUP($A2189,Games!$A$2:$A$18,Games!$R$2:$R$18,"Missing game",0)</x:f>
        <x:v>AT&amp;T Stadium</x:v>
      </x:c>
    </x:row>
    <x:row r="2190">
      <x:c r="A2190" t="str">
        <x:v>2025_15_MIN_DAL</x:v>
      </x:c>
      <x:c r="B2190" t="n">
        <x:v>987</x:v>
      </x:c>
      <x:c r="C2190" t="n">
        <x:v>2</x:v>
      </x:c>
      <x:c r="D2190" t="str">
        <x:v>14:52</x:v>
      </x:c>
      <x:c r="E2190"/>
      <x:c r="F2190" t="n">
        <x:v>0</x:v>
      </x:c>
      <x:c r="G2190" t="str">
        <x:v>MIN</x:v>
      </x:c>
      <x:c r="H2190" t="str">
        <x:v>DAL</x:v>
      </x:c>
      <x:c r="I2190" t="str">
        <x:v>DAL</x:v>
      </x:c>
      <x:c r="J2190" t="n">
        <x:v>35</x:v>
      </x:c>
      <x:c r="K2190" t="str">
        <x:v>17-B.Aubrey kicks 58 yards from DAL 35 to MIN 7. 4-M.Price to MIN 25 for 18 yards (50-S.James).</x:v>
      </x:c>
      <x:c r="L2190" t="str">
        <x:v>kickoff</x:v>
      </x:c>
      <x:c r="M2190" t="n">
        <x:v>0</x:v>
      </x:c>
      <x:c r="N2190" t="n">
        <x:v>0</x:v>
      </x:c>
      <x:c r="O2190" t="n">
        <x:v>0</x:v>
      </x:c>
      <x:c r="P2190"/>
      <x:c r="Q2190"/>
      <x:c r="R2190"/>
      <x:c r="S2190"/>
      <x:c r="T2190"/>
      <x:c r="U2190"/>
      <x:c r="V2190" t="n">
        <x:v>0</x:v>
      </x:c>
      <x:c r="W2190" t="n">
        <x:v>0</x:v>
      </x:c>
      <x:c r="X2190" t="n">
        <x:v>0</x:v>
      </x:c>
      <x:c r="Y2190" t="n">
        <x:v>0</x:v>
      </x:c>
      <x:c r="Z2190" t="n">
        <x:v>0</x:v>
      </x:c>
      <x:c r="AA2190" t="n">
        <x:v>0</x:v>
      </x:c>
      <x:c r="AB2190"/>
      <x:c r="AC2190" t="n">
        <x:v>0</x:v>
      </x:c>
      <x:c r="AD2190" t="n">
        <x:v>0.0008224374614655972</x:v>
      </x:c>
      <x:c r="AE2190" t="n">
        <x:v>1</x:v>
      </x:c>
      <x:c r="AF2190" t="n">
        <x:v>0</x:v>
      </x:c>
      <x:c r="AG2190" t="n">
        <x:f>_xlfn.XLOOKUP($A2190,Games!$A$2:$A$18,Games!$B$2:$B$18,"Missing game",0)</x:f>
        <x:v>2025</x:v>
      </x:c>
      <x:c r="AH2190" t="str">
        <x:f>_xlfn.XLOOKUP($A2190,Games!$A$2:$A$18,Games!$C$2:$C$18,"Missing game",0)</x:f>
        <x:v>REG</x:v>
      </x:c>
      <x:c r="AI2190" t="n">
        <x:f>_xlfn.XLOOKUP($A2190,Games!$A$2:$A$18,Games!$D$2:$D$18,"Missing game",0)</x:f>
        <x:v>15</x:v>
      </x:c>
      <x:c r="AJ2190" s="1" t="n">
        <x:f>_xlfn.XLOOKUP($A2190,Games!$A$2:$A$18,Games!$E$2:$E$18,"Missing game",0)</x:f>
        <x:v>46005</x:v>
      </x:c>
      <x:c r="AK2190" t="str">
        <x:f>_xlfn.XLOOKUP($A2190,Games!$A$2:$A$18,Games!$F$2:$F$18,"Missing game",0)</x:f>
        <x:v>Sunday</x:v>
      </x:c>
      <x:c r="AL2190" t="str">
        <x:f>_xlfn.XLOOKUP($A2190,Games!$A$2:$A$18,Games!$G$2:$G$18,"Missing game",0)</x:f>
        <x:v>MIN</x:v>
      </x:c>
      <x:c r="AM2190" t="n">
        <x:f>_xlfn.XLOOKUP($A2190,Games!$A$2:$A$18,Games!$H$2:$H$18,"Missing game",0)</x:f>
        <x:v>34</x:v>
      </x:c>
      <x:c r="AN2190" t="str">
        <x:f>_xlfn.XLOOKUP($A2190,Games!$A$2:$A$18,Games!$I$2:$I$18,"Missing game",0)</x:f>
        <x:v>DAL</x:v>
      </x:c>
      <x:c r="AO2190" t="n">
        <x:f>_xlfn.XLOOKUP($A2190,Games!$A$2:$A$18,Games!$J$2:$J$18,"Missing game",0)</x:f>
        <x:v>26</x:v>
      </x:c>
      <x:c r="AP2190" t="n">
        <x:f>_xlfn.XLOOKUP($A2190,Games!$A$2:$A$18,Games!$K$2:$K$18,"Missing game",0)</x:f>
        <x:v>-8</x:v>
      </x:c>
      <x:c r="AQ2190" t="n">
        <x:f>_xlfn.XLOOKUP($A2190,Games!$A$2:$A$18,Games!$L$2:$L$18,"Missing game",0)</x:f>
        <x:v>60</x:v>
      </x:c>
      <x:c r="AR2190" t="n">
        <x:f>_xlfn.XLOOKUP($A2190,Games!$A$2:$A$18,Games!$M$2:$M$18,"Missing game",0)</x:f>
        <x:v>0</x:v>
      </x:c>
      <x:c r="AS2190" t="str">
        <x:f>_xlfn.XLOOKUP($A2190,Games!$A$2:$A$18,Games!$N$2:$N$18,"Missing game",0)</x:f>
        <x:v>closed</x:v>
      </x:c>
      <x:c r="AT2190" t="str">
        <x:f>_xlfn.XLOOKUP($A2190,Games!$A$2:$A$18,Games!$O$2:$O$18,"Missing game",0)</x:f>
        <x:v>matrixturf</x:v>
      </x:c>
      <x:c r="AU2190" t="str">
        <x:f>_xlfn.XLOOKUP($A2190,Games!$A$2:$A$18,Games!$P$2:$P$18,"Missing game",0)</x:f>
      </x:c>
      <x:c r="AV2190" t="str">
        <x:f>_xlfn.XLOOKUP($A2190,Games!$A$2:$A$18,Games!$Q$2:$Q$18,"Missing game",0)</x:f>
      </x:c>
      <x:c r="AW2190" t="str">
        <x:f>_xlfn.XLOOKUP($A2190,Games!$A$2:$A$18,Games!$R$2:$R$18,"Missing game",0)</x:f>
        <x:v>AT&amp;T Stadium</x:v>
      </x:c>
    </x:row>
    <x:row r="2191">
      <x:c r="A2191" t="str">
        <x:v>2025_15_MIN_DAL</x:v>
      </x:c>
      <x:c r="B2191" t="n">
        <x:v>1010</x:v>
      </x:c>
      <x:c r="C2191" t="n">
        <x:v>2</x:v>
      </x:c>
      <x:c r="D2191" t="str">
        <x:v>14:48</x:v>
      </x:c>
      <x:c r="E2191" t="n">
        <x:v>1</x:v>
      </x:c>
      <x:c r="F2191" t="n">
        <x:v>10</x:v>
      </x:c>
      <x:c r="G2191" t="str">
        <x:v>MIN</x:v>
      </x:c>
      <x:c r="H2191" t="str">
        <x:v>DAL</x:v>
      </x:c>
      <x:c r="I2191" t="str">
        <x:v>MIN</x:v>
      </x:c>
      <x:c r="J2191" t="n">
        <x:v>75</x:v>
      </x:c>
      <x:c r="K2191" t="str">
        <x:v>(14:48) 27-J.Mason right tackle to MIN 32 for 7 yards (0-D.Overshown).</x:v>
      </x:c>
      <x:c r="L2191" t="str">
        <x:v>run</x:v>
      </x:c>
      <x:c r="M2191" t="n">
        <x:v>7</x:v>
      </x:c>
      <x:c r="N2191" t="n">
        <x:v>0</x:v>
      </x:c>
      <x:c r="O2191" t="n">
        <x:v>0</x:v>
      </x:c>
      <x:c r="P2191"/>
      <x:c r="Q2191"/>
      <x:c r="R2191"/>
      <x:c r="S2191"/>
      <x:c r="T2191" t="str">
        <x:v>right</x:v>
      </x:c>
      <x:c r="U2191" t="str">
        <x:v>tackle</x:v>
      </x:c>
      <x:c r="V2191" t="n">
        <x:v>0</x:v>
      </x:c>
      <x:c r="W2191" t="n">
        <x:v>0</x:v>
      </x:c>
      <x:c r="X2191" t="n">
        <x:v>0</x:v>
      </x:c>
      <x:c r="Y2191" t="n">
        <x:v>0</x:v>
      </x:c>
      <x:c r="Z2191" t="n">
        <x:v>0</x:v>
      </x:c>
      <x:c r="AA2191" t="n">
        <x:v>0</x:v>
      </x:c>
      <x:c r="AB2191"/>
      <x:c r="AC2191" t="n">
        <x:v>0</x:v>
      </x:c>
      <x:c r="AD2191" t="n">
        <x:v>0.3626696662977338</x:v>
      </x:c>
      <x:c r="AE2191" t="n">
        <x:v>1</x:v>
      </x:c>
      <x:c r="AF2191" t="n">
        <x:v>-0.0023695677518844604</x:v>
      </x:c>
      <x:c r="AG2191" t="n">
        <x:f>_xlfn.XLOOKUP($A2191,Games!$A$2:$A$18,Games!$B$2:$B$18,"Missing game",0)</x:f>
        <x:v>2025</x:v>
      </x:c>
      <x:c r="AH2191" t="str">
        <x:f>_xlfn.XLOOKUP($A2191,Games!$A$2:$A$18,Games!$C$2:$C$18,"Missing game",0)</x:f>
        <x:v>REG</x:v>
      </x:c>
      <x:c r="AI2191" t="n">
        <x:f>_xlfn.XLOOKUP($A2191,Games!$A$2:$A$18,Games!$D$2:$D$18,"Missing game",0)</x:f>
        <x:v>15</x:v>
      </x:c>
      <x:c r="AJ2191" s="1" t="n">
        <x:f>_xlfn.XLOOKUP($A2191,Games!$A$2:$A$18,Games!$E$2:$E$18,"Missing game",0)</x:f>
        <x:v>46005</x:v>
      </x:c>
      <x:c r="AK2191" t="str">
        <x:f>_xlfn.XLOOKUP($A2191,Games!$A$2:$A$18,Games!$F$2:$F$18,"Missing game",0)</x:f>
        <x:v>Sunday</x:v>
      </x:c>
      <x:c r="AL2191" t="str">
        <x:f>_xlfn.XLOOKUP($A2191,Games!$A$2:$A$18,Games!$G$2:$G$18,"Missing game",0)</x:f>
        <x:v>MIN</x:v>
      </x:c>
      <x:c r="AM2191" t="n">
        <x:f>_xlfn.XLOOKUP($A2191,Games!$A$2:$A$18,Games!$H$2:$H$18,"Missing game",0)</x:f>
        <x:v>34</x:v>
      </x:c>
      <x:c r="AN2191" t="str">
        <x:f>_xlfn.XLOOKUP($A2191,Games!$A$2:$A$18,Games!$I$2:$I$18,"Missing game",0)</x:f>
        <x:v>DAL</x:v>
      </x:c>
      <x:c r="AO2191" t="n">
        <x:f>_xlfn.XLOOKUP($A2191,Games!$A$2:$A$18,Games!$J$2:$J$18,"Missing game",0)</x:f>
        <x:v>26</x:v>
      </x:c>
      <x:c r="AP2191" t="n">
        <x:f>_xlfn.XLOOKUP($A2191,Games!$A$2:$A$18,Games!$K$2:$K$18,"Missing game",0)</x:f>
        <x:v>-8</x:v>
      </x:c>
      <x:c r="AQ2191" t="n">
        <x:f>_xlfn.XLOOKUP($A2191,Games!$A$2:$A$18,Games!$L$2:$L$18,"Missing game",0)</x:f>
        <x:v>60</x:v>
      </x:c>
      <x:c r="AR2191" t="n">
        <x:f>_xlfn.XLOOKUP($A2191,Games!$A$2:$A$18,Games!$M$2:$M$18,"Missing game",0)</x:f>
        <x:v>0</x:v>
      </x:c>
      <x:c r="AS2191" t="str">
        <x:f>_xlfn.XLOOKUP($A2191,Games!$A$2:$A$18,Games!$N$2:$N$18,"Missing game",0)</x:f>
        <x:v>closed</x:v>
      </x:c>
      <x:c r="AT2191" t="str">
        <x:f>_xlfn.XLOOKUP($A2191,Games!$A$2:$A$18,Games!$O$2:$O$18,"Missing game",0)</x:f>
        <x:v>matrixturf</x:v>
      </x:c>
      <x:c r="AU2191" t="str">
        <x:f>_xlfn.XLOOKUP($A2191,Games!$A$2:$A$18,Games!$P$2:$P$18,"Missing game",0)</x:f>
      </x:c>
      <x:c r="AV2191" t="str">
        <x:f>_xlfn.XLOOKUP($A2191,Games!$A$2:$A$18,Games!$Q$2:$Q$18,"Missing game",0)</x:f>
      </x:c>
      <x:c r="AW2191" t="str">
        <x:f>_xlfn.XLOOKUP($A2191,Games!$A$2:$A$18,Games!$R$2:$R$18,"Missing game",0)</x:f>
        <x:v>AT&amp;T Stadium</x:v>
      </x:c>
    </x:row>
    <x:row r="2192">
      <x:c r="A2192" t="str">
        <x:v>2025_15_MIN_DAL</x:v>
      </x:c>
      <x:c r="B2192" t="n">
        <x:v>1032</x:v>
      </x:c>
      <x:c r="C2192" t="n">
        <x:v>2</x:v>
      </x:c>
      <x:c r="D2192" t="str">
        <x:v>14:13</x:v>
      </x:c>
      <x:c r="E2192" t="n">
        <x:v>2</x:v>
      </x:c>
      <x:c r="F2192" t="n">
        <x:v>3</x:v>
      </x:c>
      <x:c r="G2192" t="str">
        <x:v>MIN</x:v>
      </x:c>
      <x:c r="H2192" t="str">
        <x:v>DAL</x:v>
      </x:c>
      <x:c r="I2192" t="str">
        <x:v>MIN</x:v>
      </x:c>
      <x:c r="J2192" t="n">
        <x:v>68</x:v>
      </x:c>
      <x:c r="K2192" t="str">
        <x:v>(14:13) 27-J.Mason right guard to MIN 34 for 2 yards (92-Q.Williams).</x:v>
      </x:c>
      <x:c r="L2192" t="str">
        <x:v>run</x:v>
      </x:c>
      <x:c r="M2192" t="n">
        <x:v>2</x:v>
      </x:c>
      <x:c r="N2192" t="n">
        <x:v>0</x:v>
      </x:c>
      <x:c r="O2192" t="n">
        <x:v>0</x:v>
      </x:c>
      <x:c r="P2192"/>
      <x:c r="Q2192"/>
      <x:c r="R2192"/>
      <x:c r="S2192"/>
      <x:c r="T2192" t="str">
        <x:v>right</x:v>
      </x:c>
      <x:c r="U2192" t="str">
        <x:v>guard</x:v>
      </x:c>
      <x:c r="V2192" t="n">
        <x:v>0</x:v>
      </x:c>
      <x:c r="W2192" t="n">
        <x:v>0</x:v>
      </x:c>
      <x:c r="X2192" t="n">
        <x:v>0</x:v>
      </x:c>
      <x:c r="Y2192" t="n">
        <x:v>0</x:v>
      </x:c>
      <x:c r="Z2192" t="n">
        <x:v>0</x:v>
      </x:c>
      <x:c r="AA2192" t="n">
        <x:v>0</x:v>
      </x:c>
      <x:c r="AB2192"/>
      <x:c r="AC2192" t="n">
        <x:v>0</x:v>
      </x:c>
      <x:c r="AD2192" t="n">
        <x:v>-0.15492439968511462</x:v>
      </x:c>
      <x:c r="AE2192" t="n">
        <x:v>0</x:v>
      </x:c>
      <x:c r="AF2192" t="n">
        <x:v>0.005949929356575012</x:v>
      </x:c>
      <x:c r="AG2192" t="n">
        <x:f>_xlfn.XLOOKUP($A2192,Games!$A$2:$A$18,Games!$B$2:$B$18,"Missing game",0)</x:f>
        <x:v>2025</x:v>
      </x:c>
      <x:c r="AH2192" t="str">
        <x:f>_xlfn.XLOOKUP($A2192,Games!$A$2:$A$18,Games!$C$2:$C$18,"Missing game",0)</x:f>
        <x:v>REG</x:v>
      </x:c>
      <x:c r="AI2192" t="n">
        <x:f>_xlfn.XLOOKUP($A2192,Games!$A$2:$A$18,Games!$D$2:$D$18,"Missing game",0)</x:f>
        <x:v>15</x:v>
      </x:c>
      <x:c r="AJ2192" s="1" t="n">
        <x:f>_xlfn.XLOOKUP($A2192,Games!$A$2:$A$18,Games!$E$2:$E$18,"Missing game",0)</x:f>
        <x:v>46005</x:v>
      </x:c>
      <x:c r="AK2192" t="str">
        <x:f>_xlfn.XLOOKUP($A2192,Games!$A$2:$A$18,Games!$F$2:$F$18,"Missing game",0)</x:f>
        <x:v>Sunday</x:v>
      </x:c>
      <x:c r="AL2192" t="str">
        <x:f>_xlfn.XLOOKUP($A2192,Games!$A$2:$A$18,Games!$G$2:$G$18,"Missing game",0)</x:f>
        <x:v>MIN</x:v>
      </x:c>
      <x:c r="AM2192" t="n">
        <x:f>_xlfn.XLOOKUP($A2192,Games!$A$2:$A$18,Games!$H$2:$H$18,"Missing game",0)</x:f>
        <x:v>34</x:v>
      </x:c>
      <x:c r="AN2192" t="str">
        <x:f>_xlfn.XLOOKUP($A2192,Games!$A$2:$A$18,Games!$I$2:$I$18,"Missing game",0)</x:f>
        <x:v>DAL</x:v>
      </x:c>
      <x:c r="AO2192" t="n">
        <x:f>_xlfn.XLOOKUP($A2192,Games!$A$2:$A$18,Games!$J$2:$J$18,"Missing game",0)</x:f>
        <x:v>26</x:v>
      </x:c>
      <x:c r="AP2192" t="n">
        <x:f>_xlfn.XLOOKUP($A2192,Games!$A$2:$A$18,Games!$K$2:$K$18,"Missing game",0)</x:f>
        <x:v>-8</x:v>
      </x:c>
      <x:c r="AQ2192" t="n">
        <x:f>_xlfn.XLOOKUP($A2192,Games!$A$2:$A$18,Games!$L$2:$L$18,"Missing game",0)</x:f>
        <x:v>60</x:v>
      </x:c>
      <x:c r="AR2192" t="n">
        <x:f>_xlfn.XLOOKUP($A2192,Games!$A$2:$A$18,Games!$M$2:$M$18,"Missing game",0)</x:f>
        <x:v>0</x:v>
      </x:c>
      <x:c r="AS2192" t="str">
        <x:f>_xlfn.XLOOKUP($A2192,Games!$A$2:$A$18,Games!$N$2:$N$18,"Missing game",0)</x:f>
        <x:v>closed</x:v>
      </x:c>
      <x:c r="AT2192" t="str">
        <x:f>_xlfn.XLOOKUP($A2192,Games!$A$2:$A$18,Games!$O$2:$O$18,"Missing game",0)</x:f>
        <x:v>matrixturf</x:v>
      </x:c>
      <x:c r="AU2192" t="str">
        <x:f>_xlfn.XLOOKUP($A2192,Games!$A$2:$A$18,Games!$P$2:$P$18,"Missing game",0)</x:f>
      </x:c>
      <x:c r="AV2192" t="str">
        <x:f>_xlfn.XLOOKUP($A2192,Games!$A$2:$A$18,Games!$Q$2:$Q$18,"Missing game",0)</x:f>
      </x:c>
      <x:c r="AW2192" t="str">
        <x:f>_xlfn.XLOOKUP($A2192,Games!$A$2:$A$18,Games!$R$2:$R$18,"Missing game",0)</x:f>
        <x:v>AT&amp;T Stadium</x:v>
      </x:c>
    </x:row>
    <x:row r="2193">
      <x:c r="A2193" t="str">
        <x:v>2025_15_MIN_DAL</x:v>
      </x:c>
      <x:c r="B2193" t="n">
        <x:v>1054</x:v>
      </x:c>
      <x:c r="C2193" t="n">
        <x:v>2</x:v>
      </x:c>
      <x:c r="D2193" t="str">
        <x:v>13:34</x:v>
      </x:c>
      <x:c r="E2193" t="n">
        <x:v>3</x:v>
      </x:c>
      <x:c r="F2193" t="n">
        <x:v>1</x:v>
      </x:c>
      <x:c r="G2193" t="str">
        <x:v>MIN</x:v>
      </x:c>
      <x:c r="H2193" t="str">
        <x:v>DAL</x:v>
      </x:c>
      <x:c r="I2193" t="str">
        <x:v>MIN</x:v>
      </x:c>
      <x:c r="J2193" t="n">
        <x:v>66</x:v>
      </x:c>
      <x:c r="K2193" t="str">
        <x:v>(13:34) 27-J.Mason up the middle to MIN 36 for 2 yards (92-Q.Williams).</x:v>
      </x:c>
      <x:c r="L2193" t="str">
        <x:v>run</x:v>
      </x:c>
      <x:c r="M2193" t="n">
        <x:v>2</x:v>
      </x:c>
      <x:c r="N2193" t="n">
        <x:v>0</x:v>
      </x:c>
      <x:c r="O2193" t="n">
        <x:v>0</x:v>
      </x:c>
      <x:c r="P2193"/>
      <x:c r="Q2193"/>
      <x:c r="R2193"/>
      <x:c r="S2193"/>
      <x:c r="T2193" t="str">
        <x:v>middle</x:v>
      </x:c>
      <x:c r="U2193"/>
      <x:c r="V2193" t="n">
        <x:v>0</x:v>
      </x:c>
      <x:c r="W2193" t="n">
        <x:v>1</x:v>
      </x:c>
      <x:c r="X2193" t="n">
        <x:v>0</x:v>
      </x:c>
      <x:c r="Y2193" t="n">
        <x:v>0</x:v>
      </x:c>
      <x:c r="Z2193" t="n">
        <x:v>0</x:v>
      </x:c>
      <x:c r="AA2193" t="n">
        <x:v>0</x:v>
      </x:c>
      <x:c r="AB2193"/>
      <x:c r="AC2193" t="n">
        <x:v>0</x:v>
      </x:c>
      <x:c r="AD2193" t="n">
        <x:v>0.5425263135693967</x:v>
      </x:c>
      <x:c r="AE2193" t="n">
        <x:v>1</x:v>
      </x:c>
      <x:c r="AF2193" t="n">
        <x:v>0.012983888387680054</x:v>
      </x:c>
      <x:c r="AG2193" t="n">
        <x:f>_xlfn.XLOOKUP($A2193,Games!$A$2:$A$18,Games!$B$2:$B$18,"Missing game",0)</x:f>
        <x:v>2025</x:v>
      </x:c>
      <x:c r="AH2193" t="str">
        <x:f>_xlfn.XLOOKUP($A2193,Games!$A$2:$A$18,Games!$C$2:$C$18,"Missing game",0)</x:f>
        <x:v>REG</x:v>
      </x:c>
      <x:c r="AI2193" t="n">
        <x:f>_xlfn.XLOOKUP($A2193,Games!$A$2:$A$18,Games!$D$2:$D$18,"Missing game",0)</x:f>
        <x:v>15</x:v>
      </x:c>
      <x:c r="AJ2193" s="1" t="n">
        <x:f>_xlfn.XLOOKUP($A2193,Games!$A$2:$A$18,Games!$E$2:$E$18,"Missing game",0)</x:f>
        <x:v>46005</x:v>
      </x:c>
      <x:c r="AK2193" t="str">
        <x:f>_xlfn.XLOOKUP($A2193,Games!$A$2:$A$18,Games!$F$2:$F$18,"Missing game",0)</x:f>
        <x:v>Sunday</x:v>
      </x:c>
      <x:c r="AL2193" t="str">
        <x:f>_xlfn.XLOOKUP($A2193,Games!$A$2:$A$18,Games!$G$2:$G$18,"Missing game",0)</x:f>
        <x:v>MIN</x:v>
      </x:c>
      <x:c r="AM2193" t="n">
        <x:f>_xlfn.XLOOKUP($A2193,Games!$A$2:$A$18,Games!$H$2:$H$18,"Missing game",0)</x:f>
        <x:v>34</x:v>
      </x:c>
      <x:c r="AN2193" t="str">
        <x:f>_xlfn.XLOOKUP($A2193,Games!$A$2:$A$18,Games!$I$2:$I$18,"Missing game",0)</x:f>
        <x:v>DAL</x:v>
      </x:c>
      <x:c r="AO2193" t="n">
        <x:f>_xlfn.XLOOKUP($A2193,Games!$A$2:$A$18,Games!$J$2:$J$18,"Missing game",0)</x:f>
        <x:v>26</x:v>
      </x:c>
      <x:c r="AP2193" t="n">
        <x:f>_xlfn.XLOOKUP($A2193,Games!$A$2:$A$18,Games!$K$2:$K$18,"Missing game",0)</x:f>
        <x:v>-8</x:v>
      </x:c>
      <x:c r="AQ2193" t="n">
        <x:f>_xlfn.XLOOKUP($A2193,Games!$A$2:$A$18,Games!$L$2:$L$18,"Missing game",0)</x:f>
        <x:v>60</x:v>
      </x:c>
      <x:c r="AR2193" t="n">
        <x:f>_xlfn.XLOOKUP($A2193,Games!$A$2:$A$18,Games!$M$2:$M$18,"Missing game",0)</x:f>
        <x:v>0</x:v>
      </x:c>
      <x:c r="AS2193" t="str">
        <x:f>_xlfn.XLOOKUP($A2193,Games!$A$2:$A$18,Games!$N$2:$N$18,"Missing game",0)</x:f>
        <x:v>closed</x:v>
      </x:c>
      <x:c r="AT2193" t="str">
        <x:f>_xlfn.XLOOKUP($A2193,Games!$A$2:$A$18,Games!$O$2:$O$18,"Missing game",0)</x:f>
        <x:v>matrixturf</x:v>
      </x:c>
      <x:c r="AU2193" t="str">
        <x:f>_xlfn.XLOOKUP($A2193,Games!$A$2:$A$18,Games!$P$2:$P$18,"Missing game",0)</x:f>
      </x:c>
      <x:c r="AV2193" t="str">
        <x:f>_xlfn.XLOOKUP($A2193,Games!$A$2:$A$18,Games!$Q$2:$Q$18,"Missing game",0)</x:f>
      </x:c>
      <x:c r="AW2193" t="str">
        <x:f>_xlfn.XLOOKUP($A2193,Games!$A$2:$A$18,Games!$R$2:$R$18,"Missing game",0)</x:f>
        <x:v>AT&amp;T Stadium</x:v>
      </x:c>
    </x:row>
    <x:row r="2194">
      <x:c r="A2194" t="str">
        <x:v>2025_15_MIN_DAL</x:v>
      </x:c>
      <x:c r="B2194" t="n">
        <x:v>1076</x:v>
      </x:c>
      <x:c r="C2194" t="n">
        <x:v>2</x:v>
      </x:c>
      <x:c r="D2194" t="str">
        <x:v>12:52</x:v>
      </x:c>
      <x:c r="E2194" t="n">
        <x:v>1</x:v>
      </x:c>
      <x:c r="F2194" t="n">
        <x:v>10</x:v>
      </x:c>
      <x:c r="G2194" t="str">
        <x:v>MIN</x:v>
      </x:c>
      <x:c r="H2194" t="str">
        <x:v>DAL</x:v>
      </x:c>
      <x:c r="I2194" t="str">
        <x:v>MIN</x:v>
      </x:c>
      <x:c r="J2194" t="n">
        <x:v>64</x:v>
      </x:c>
      <x:c r="K2194" t="str">
        <x:v>(12:52) (Shotgun) 9-J.McCarthy pass incomplete deep right to 18-J.Jefferson (26-D.Bland).</x:v>
      </x:c>
      <x:c r="L2194" t="str">
        <x:v>pass</x:v>
      </x:c>
      <x:c r="M2194" t="n">
        <x:v>0</x:v>
      </x:c>
      <x:c r="N2194" t="n">
        <x:v>1</x:v>
      </x:c>
      <x:c r="O2194" t="n">
        <x:v>0</x:v>
      </x:c>
      <x:c r="P2194" t="str">
        <x:v>deep</x:v>
      </x:c>
      <x:c r="Q2194" t="str">
        <x:v>right</x:v>
      </x:c>
      <x:c r="R2194" t="n">
        <x:v>19</x:v>
      </x:c>
      <x:c r="S2194"/>
      <x:c r="T2194"/>
      <x:c r="U2194"/>
      <x:c r="V2194" t="n">
        <x:v>0</x:v>
      </x:c>
      <x:c r="W2194" t="n">
        <x:v>0</x:v>
      </x:c>
      <x:c r="X2194" t="n">
        <x:v>0</x:v>
      </x:c>
      <x:c r="Y2194" t="n">
        <x:v>0</x:v>
      </x:c>
      <x:c r="Z2194" t="n">
        <x:v>0</x:v>
      </x:c>
      <x:c r="AA2194" t="n">
        <x:v>0</x:v>
      </x:c>
      <x:c r="AB2194"/>
      <x:c r="AC2194" t="n">
        <x:v>0</x:v>
      </x:c>
      <x:c r="AD2194" t="n">
        <x:v>-0.5586208286695182</x:v>
      </x:c>
      <x:c r="AE2194" t="n">
        <x:v>0</x:v>
      </x:c>
      <x:c r="AF2194" t="n">
        <x:v>-0.014758974313735962</x:v>
      </x:c>
      <x:c r="AG2194" t="n">
        <x:f>_xlfn.XLOOKUP($A2194,Games!$A$2:$A$18,Games!$B$2:$B$18,"Missing game",0)</x:f>
        <x:v>2025</x:v>
      </x:c>
      <x:c r="AH2194" t="str">
        <x:f>_xlfn.XLOOKUP($A2194,Games!$A$2:$A$18,Games!$C$2:$C$18,"Missing game",0)</x:f>
        <x:v>REG</x:v>
      </x:c>
      <x:c r="AI2194" t="n">
        <x:f>_xlfn.XLOOKUP($A2194,Games!$A$2:$A$18,Games!$D$2:$D$18,"Missing game",0)</x:f>
        <x:v>15</x:v>
      </x:c>
      <x:c r="AJ2194" s="1" t="n">
        <x:f>_xlfn.XLOOKUP($A2194,Games!$A$2:$A$18,Games!$E$2:$E$18,"Missing game",0)</x:f>
        <x:v>46005</x:v>
      </x:c>
      <x:c r="AK2194" t="str">
        <x:f>_xlfn.XLOOKUP($A2194,Games!$A$2:$A$18,Games!$F$2:$F$18,"Missing game",0)</x:f>
        <x:v>Sunday</x:v>
      </x:c>
      <x:c r="AL2194" t="str">
        <x:f>_xlfn.XLOOKUP($A2194,Games!$A$2:$A$18,Games!$G$2:$G$18,"Missing game",0)</x:f>
        <x:v>MIN</x:v>
      </x:c>
      <x:c r="AM2194" t="n">
        <x:f>_xlfn.XLOOKUP($A2194,Games!$A$2:$A$18,Games!$H$2:$H$18,"Missing game",0)</x:f>
        <x:v>34</x:v>
      </x:c>
      <x:c r="AN2194" t="str">
        <x:f>_xlfn.XLOOKUP($A2194,Games!$A$2:$A$18,Games!$I$2:$I$18,"Missing game",0)</x:f>
        <x:v>DAL</x:v>
      </x:c>
      <x:c r="AO2194" t="n">
        <x:f>_xlfn.XLOOKUP($A2194,Games!$A$2:$A$18,Games!$J$2:$J$18,"Missing game",0)</x:f>
        <x:v>26</x:v>
      </x:c>
      <x:c r="AP2194" t="n">
        <x:f>_xlfn.XLOOKUP($A2194,Games!$A$2:$A$18,Games!$K$2:$K$18,"Missing game",0)</x:f>
        <x:v>-8</x:v>
      </x:c>
      <x:c r="AQ2194" t="n">
        <x:f>_xlfn.XLOOKUP($A2194,Games!$A$2:$A$18,Games!$L$2:$L$18,"Missing game",0)</x:f>
        <x:v>60</x:v>
      </x:c>
      <x:c r="AR2194" t="n">
        <x:f>_xlfn.XLOOKUP($A2194,Games!$A$2:$A$18,Games!$M$2:$M$18,"Missing game",0)</x:f>
        <x:v>0</x:v>
      </x:c>
      <x:c r="AS2194" t="str">
        <x:f>_xlfn.XLOOKUP($A2194,Games!$A$2:$A$18,Games!$N$2:$N$18,"Missing game",0)</x:f>
        <x:v>closed</x:v>
      </x:c>
      <x:c r="AT2194" t="str">
        <x:f>_xlfn.XLOOKUP($A2194,Games!$A$2:$A$18,Games!$O$2:$O$18,"Missing game",0)</x:f>
        <x:v>matrixturf</x:v>
      </x:c>
      <x:c r="AU2194" t="str">
        <x:f>_xlfn.XLOOKUP($A2194,Games!$A$2:$A$18,Games!$P$2:$P$18,"Missing game",0)</x:f>
      </x:c>
      <x:c r="AV2194" t="str">
        <x:f>_xlfn.XLOOKUP($A2194,Games!$A$2:$A$18,Games!$Q$2:$Q$18,"Missing game",0)</x:f>
      </x:c>
      <x:c r="AW2194" t="str">
        <x:f>_xlfn.XLOOKUP($A2194,Games!$A$2:$A$18,Games!$R$2:$R$18,"Missing game",0)</x:f>
        <x:v>AT&amp;T Stadium</x:v>
      </x:c>
    </x:row>
    <x:row r="2195">
      <x:c r="A2195" t="str">
        <x:v>2025_15_MIN_DAL</x:v>
      </x:c>
      <x:c r="B2195" t="n">
        <x:v>1099</x:v>
      </x:c>
      <x:c r="C2195" t="n">
        <x:v>2</x:v>
      </x:c>
      <x:c r="D2195" t="str">
        <x:v>12:48</x:v>
      </x:c>
      <x:c r="E2195" t="n">
        <x:v>2</x:v>
      </x:c>
      <x:c r="F2195" t="n">
        <x:v>10</x:v>
      </x:c>
      <x:c r="G2195" t="str">
        <x:v>MIN</x:v>
      </x:c>
      <x:c r="H2195" t="str">
        <x:v>DAL</x:v>
      </x:c>
      <x:c r="I2195" t="str">
        <x:v>MIN</x:v>
      </x:c>
      <x:c r="J2195" t="n">
        <x:v>64</x:v>
      </x:c>
      <x:c r="K2195" t="str">
        <x:v>(12:48) (Shotgun) 27-J.Mason right tackle to MIN 38 for 2 yards (0-D.Overshown; 34-S.Revel). ** Injury Update: MIN-1-J.Nailor has returned to the game.</x:v>
      </x:c>
      <x:c r="L2195" t="str">
        <x:v>run</x:v>
      </x:c>
      <x:c r="M2195" t="n">
        <x:v>2</x:v>
      </x:c>
      <x:c r="N2195" t="n">
        <x:v>1</x:v>
      </x:c>
      <x:c r="O2195" t="n">
        <x:v>0</x:v>
      </x:c>
      <x:c r="P2195"/>
      <x:c r="Q2195"/>
      <x:c r="R2195"/>
      <x:c r="S2195"/>
      <x:c r="T2195" t="str">
        <x:v>right</x:v>
      </x:c>
      <x:c r="U2195" t="str">
        <x:v>tackle</x:v>
      </x:c>
      <x:c r="V2195" t="n">
        <x:v>0</x:v>
      </x:c>
      <x:c r="W2195" t="n">
        <x:v>0</x:v>
      </x:c>
      <x:c r="X2195" t="n">
        <x:v>0</x:v>
      </x:c>
      <x:c r="Y2195" t="n">
        <x:v>0</x:v>
      </x:c>
      <x:c r="Z2195" t="n">
        <x:v>0</x:v>
      </x:c>
      <x:c r="AA2195" t="n">
        <x:v>0</x:v>
      </x:c>
      <x:c r="AB2195"/>
      <x:c r="AC2195" t="n">
        <x:v>0</x:v>
      </x:c>
      <x:c r="AD2195" t="n">
        <x:v>-0.7408212260343134</x:v>
      </x:c>
      <x:c r="AE2195" t="n">
        <x:v>0</x:v>
      </x:c>
      <x:c r="AF2195" t="n">
        <x:v>-0.015274375677108765</x:v>
      </x:c>
      <x:c r="AG2195" t="n">
        <x:f>_xlfn.XLOOKUP($A2195,Games!$A$2:$A$18,Games!$B$2:$B$18,"Missing game",0)</x:f>
        <x:v>2025</x:v>
      </x:c>
      <x:c r="AH2195" t="str">
        <x:f>_xlfn.XLOOKUP($A2195,Games!$A$2:$A$18,Games!$C$2:$C$18,"Missing game",0)</x:f>
        <x:v>REG</x:v>
      </x:c>
      <x:c r="AI2195" t="n">
        <x:f>_xlfn.XLOOKUP($A2195,Games!$A$2:$A$18,Games!$D$2:$D$18,"Missing game",0)</x:f>
        <x:v>15</x:v>
      </x:c>
      <x:c r="AJ2195" s="1" t="n">
        <x:f>_xlfn.XLOOKUP($A2195,Games!$A$2:$A$18,Games!$E$2:$E$18,"Missing game",0)</x:f>
        <x:v>46005</x:v>
      </x:c>
      <x:c r="AK2195" t="str">
        <x:f>_xlfn.XLOOKUP($A2195,Games!$A$2:$A$18,Games!$F$2:$F$18,"Missing game",0)</x:f>
        <x:v>Sunday</x:v>
      </x:c>
      <x:c r="AL2195" t="str">
        <x:f>_xlfn.XLOOKUP($A2195,Games!$A$2:$A$18,Games!$G$2:$G$18,"Missing game",0)</x:f>
        <x:v>MIN</x:v>
      </x:c>
      <x:c r="AM2195" t="n">
        <x:f>_xlfn.XLOOKUP($A2195,Games!$A$2:$A$18,Games!$H$2:$H$18,"Missing game",0)</x:f>
        <x:v>34</x:v>
      </x:c>
      <x:c r="AN2195" t="str">
        <x:f>_xlfn.XLOOKUP($A2195,Games!$A$2:$A$18,Games!$I$2:$I$18,"Missing game",0)</x:f>
        <x:v>DAL</x:v>
      </x:c>
      <x:c r="AO2195" t="n">
        <x:f>_xlfn.XLOOKUP($A2195,Games!$A$2:$A$18,Games!$J$2:$J$18,"Missing game",0)</x:f>
        <x:v>26</x:v>
      </x:c>
      <x:c r="AP2195" t="n">
        <x:f>_xlfn.XLOOKUP($A2195,Games!$A$2:$A$18,Games!$K$2:$K$18,"Missing game",0)</x:f>
        <x:v>-8</x:v>
      </x:c>
      <x:c r="AQ2195" t="n">
        <x:f>_xlfn.XLOOKUP($A2195,Games!$A$2:$A$18,Games!$L$2:$L$18,"Missing game",0)</x:f>
        <x:v>60</x:v>
      </x:c>
      <x:c r="AR2195" t="n">
        <x:f>_xlfn.XLOOKUP($A2195,Games!$A$2:$A$18,Games!$M$2:$M$18,"Missing game",0)</x:f>
        <x:v>0</x:v>
      </x:c>
      <x:c r="AS2195" t="str">
        <x:f>_xlfn.XLOOKUP($A2195,Games!$A$2:$A$18,Games!$N$2:$N$18,"Missing game",0)</x:f>
        <x:v>closed</x:v>
      </x:c>
      <x:c r="AT2195" t="str">
        <x:f>_xlfn.XLOOKUP($A2195,Games!$A$2:$A$18,Games!$O$2:$O$18,"Missing game",0)</x:f>
        <x:v>matrixturf</x:v>
      </x:c>
      <x:c r="AU2195" t="str">
        <x:f>_xlfn.XLOOKUP($A2195,Games!$A$2:$A$18,Games!$P$2:$P$18,"Missing game",0)</x:f>
      </x:c>
      <x:c r="AV2195" t="str">
        <x:f>_xlfn.XLOOKUP($A2195,Games!$A$2:$A$18,Games!$Q$2:$Q$18,"Missing game",0)</x:f>
      </x:c>
      <x:c r="AW2195" t="str">
        <x:f>_xlfn.XLOOKUP($A2195,Games!$A$2:$A$18,Games!$R$2:$R$18,"Missing game",0)</x:f>
        <x:v>AT&amp;T Stadium</x:v>
      </x:c>
    </x:row>
    <x:row r="2196">
      <x:c r="A2196" t="str">
        <x:v>2025_15_MIN_DAL</x:v>
      </x:c>
      <x:c r="B2196" t="n">
        <x:v>1121</x:v>
      </x:c>
      <x:c r="C2196" t="n">
        <x:v>2</x:v>
      </x:c>
      <x:c r="D2196" t="str">
        <x:v>12:08</x:v>
      </x:c>
      <x:c r="E2196" t="n">
        <x:v>3</x:v>
      </x:c>
      <x:c r="F2196" t="n">
        <x:v>8</x:v>
      </x:c>
      <x:c r="G2196" t="str">
        <x:v>MIN</x:v>
      </x:c>
      <x:c r="H2196" t="str">
        <x:v>DAL</x:v>
      </x:c>
      <x:c r="I2196" t="str">
        <x:v>MIN</x:v>
      </x:c>
      <x:c r="J2196" t="n">
        <x:v>62</x:v>
      </x:c>
      <x:c r="K2196" t="str">
        <x:v>(12:08) (Shotgun) 9-J.McCarthy pass deep left to 3-J.Addison to DAL 4 for 58 yards (21-C.Carson).</x:v>
      </x:c>
      <x:c r="L2196" t="str">
        <x:v>pass</x:v>
      </x:c>
      <x:c r="M2196" t="n">
        <x:v>58</x:v>
      </x:c>
      <x:c r="N2196" t="n">
        <x:v>1</x:v>
      </x:c>
      <x:c r="O2196" t="n">
        <x:v>0</x:v>
      </x:c>
      <x:c r="P2196" t="str">
        <x:v>deep</x:v>
      </x:c>
      <x:c r="Q2196" t="str">
        <x:v>left</x:v>
      </x:c>
      <x:c r="R2196" t="n">
        <x:v>44</x:v>
      </x:c>
      <x:c r="S2196" t="n">
        <x:v>14</x:v>
      </x:c>
      <x:c r="T2196"/>
      <x:c r="U2196"/>
      <x:c r="V2196" t="n">
        <x:v>1</x:v>
      </x:c>
      <x:c r="W2196" t="n">
        <x:v>1</x:v>
      </x:c>
      <x:c r="X2196" t="n">
        <x:v>0</x:v>
      </x:c>
      <x:c r="Y2196" t="n">
        <x:v>0</x:v>
      </x:c>
      <x:c r="Z2196" t="n">
        <x:v>0</x:v>
      </x:c>
      <x:c r="AA2196" t="n">
        <x:v>0</x:v>
      </x:c>
      <x:c r="AB2196"/>
      <x:c r="AC2196" t="n">
        <x:v>0</x:v>
      </x:c>
      <x:c r="AD2196" t="n">
        <x:v>5.353607891593128</x:v>
      </x:c>
      <x:c r="AE2196" t="n">
        <x:v>1</x:v>
      </x:c>
      <x:c r="AF2196" t="n">
        <x:v>0.11775785684585571</x:v>
      </x:c>
      <x:c r="AG2196" t="n">
        <x:f>_xlfn.XLOOKUP($A2196,Games!$A$2:$A$18,Games!$B$2:$B$18,"Missing game",0)</x:f>
        <x:v>2025</x:v>
      </x:c>
      <x:c r="AH2196" t="str">
        <x:f>_xlfn.XLOOKUP($A2196,Games!$A$2:$A$18,Games!$C$2:$C$18,"Missing game",0)</x:f>
        <x:v>REG</x:v>
      </x:c>
      <x:c r="AI2196" t="n">
        <x:f>_xlfn.XLOOKUP($A2196,Games!$A$2:$A$18,Games!$D$2:$D$18,"Missing game",0)</x:f>
        <x:v>15</x:v>
      </x:c>
      <x:c r="AJ2196" s="1" t="n">
        <x:f>_xlfn.XLOOKUP($A2196,Games!$A$2:$A$18,Games!$E$2:$E$18,"Missing game",0)</x:f>
        <x:v>46005</x:v>
      </x:c>
      <x:c r="AK2196" t="str">
        <x:f>_xlfn.XLOOKUP($A2196,Games!$A$2:$A$18,Games!$F$2:$F$18,"Missing game",0)</x:f>
        <x:v>Sunday</x:v>
      </x:c>
      <x:c r="AL2196" t="str">
        <x:f>_xlfn.XLOOKUP($A2196,Games!$A$2:$A$18,Games!$G$2:$G$18,"Missing game",0)</x:f>
        <x:v>MIN</x:v>
      </x:c>
      <x:c r="AM2196" t="n">
        <x:f>_xlfn.XLOOKUP($A2196,Games!$A$2:$A$18,Games!$H$2:$H$18,"Missing game",0)</x:f>
        <x:v>34</x:v>
      </x:c>
      <x:c r="AN2196" t="str">
        <x:f>_xlfn.XLOOKUP($A2196,Games!$A$2:$A$18,Games!$I$2:$I$18,"Missing game",0)</x:f>
        <x:v>DAL</x:v>
      </x:c>
      <x:c r="AO2196" t="n">
        <x:f>_xlfn.XLOOKUP($A2196,Games!$A$2:$A$18,Games!$J$2:$J$18,"Missing game",0)</x:f>
        <x:v>26</x:v>
      </x:c>
      <x:c r="AP2196" t="n">
        <x:f>_xlfn.XLOOKUP($A2196,Games!$A$2:$A$18,Games!$K$2:$K$18,"Missing game",0)</x:f>
        <x:v>-8</x:v>
      </x:c>
      <x:c r="AQ2196" t="n">
        <x:f>_xlfn.XLOOKUP($A2196,Games!$A$2:$A$18,Games!$L$2:$L$18,"Missing game",0)</x:f>
        <x:v>60</x:v>
      </x:c>
      <x:c r="AR2196" t="n">
        <x:f>_xlfn.XLOOKUP($A2196,Games!$A$2:$A$18,Games!$M$2:$M$18,"Missing game",0)</x:f>
        <x:v>0</x:v>
      </x:c>
      <x:c r="AS2196" t="str">
        <x:f>_xlfn.XLOOKUP($A2196,Games!$A$2:$A$18,Games!$N$2:$N$18,"Missing game",0)</x:f>
        <x:v>closed</x:v>
      </x:c>
      <x:c r="AT2196" t="str">
        <x:f>_xlfn.XLOOKUP($A2196,Games!$A$2:$A$18,Games!$O$2:$O$18,"Missing game",0)</x:f>
        <x:v>matrixturf</x:v>
      </x:c>
      <x:c r="AU2196" t="str">
        <x:f>_xlfn.XLOOKUP($A2196,Games!$A$2:$A$18,Games!$P$2:$P$18,"Missing game",0)</x:f>
      </x:c>
      <x:c r="AV2196" t="str">
        <x:f>_xlfn.XLOOKUP($A2196,Games!$A$2:$A$18,Games!$Q$2:$Q$18,"Missing game",0)</x:f>
      </x:c>
      <x:c r="AW2196" t="str">
        <x:f>_xlfn.XLOOKUP($A2196,Games!$A$2:$A$18,Games!$R$2:$R$18,"Missing game",0)</x:f>
        <x:v>AT&amp;T Stadium</x:v>
      </x:c>
    </x:row>
    <x:row r="2197">
      <x:c r="A2197" t="str">
        <x:v>2025_15_MIN_DAL</x:v>
      </x:c>
      <x:c r="B2197" t="n">
        <x:v>1146</x:v>
      </x:c>
      <x:c r="C2197" t="n">
        <x:v>2</x:v>
      </x:c>
      <x:c r="D2197" t="str">
        <x:v>11:17</x:v>
      </x:c>
      <x:c r="E2197" t="n">
        <x:v>1</x:v>
      </x:c>
      <x:c r="F2197" t="n">
        <x:v>4</x:v>
      </x:c>
      <x:c r="G2197" t="str">
        <x:v>MIN</x:v>
      </x:c>
      <x:c r="H2197" t="str">
        <x:v>DAL</x:v>
      </x:c>
      <x:c r="I2197" t="str">
        <x:v>DAL</x:v>
      </x:c>
      <x:c r="J2197" t="n">
        <x:v>4</x:v>
      </x:c>
      <x:c r="K2197" t="str">
        <x:v>(11:17) 27-J.Mason up the middle to DAL 3 for 1 yard (59-K.Murray; 0-D.Overshown).</x:v>
      </x:c>
      <x:c r="L2197" t="str">
        <x:v>run</x:v>
      </x:c>
      <x:c r="M2197" t="n">
        <x:v>1</x:v>
      </x:c>
      <x:c r="N2197" t="n">
        <x:v>0</x:v>
      </x:c>
      <x:c r="O2197" t="n">
        <x:v>0</x:v>
      </x:c>
      <x:c r="P2197"/>
      <x:c r="Q2197"/>
      <x:c r="R2197"/>
      <x:c r="S2197"/>
      <x:c r="T2197" t="str">
        <x:v>middle</x:v>
      </x:c>
      <x:c r="U2197"/>
      <x:c r="V2197" t="n">
        <x:v>0</x:v>
      </x:c>
      <x:c r="W2197" t="n">
        <x:v>0</x:v>
      </x:c>
      <x:c r="X2197" t="n">
        <x:v>0</x:v>
      </x:c>
      <x:c r="Y2197" t="n">
        <x:v>0</x:v>
      </x:c>
      <x:c r="Z2197" t="n">
        <x:v>0</x:v>
      </x:c>
      <x:c r="AA2197" t="n">
        <x:v>0</x:v>
      </x:c>
      <x:c r="AB2197"/>
      <x:c r="AC2197" t="n">
        <x:v>0</x:v>
      </x:c>
      <x:c r="AD2197" t="n">
        <x:v>-0.22915231890510768</x:v>
      </x:c>
      <x:c r="AE2197" t="n">
        <x:v>0</x:v>
      </x:c>
      <x:c r="AF2197" t="n">
        <x:v>-0.004025578498840332</x:v>
      </x:c>
      <x:c r="AG2197" t="n">
        <x:f>_xlfn.XLOOKUP($A2197,Games!$A$2:$A$18,Games!$B$2:$B$18,"Missing game",0)</x:f>
        <x:v>2025</x:v>
      </x:c>
      <x:c r="AH2197" t="str">
        <x:f>_xlfn.XLOOKUP($A2197,Games!$A$2:$A$18,Games!$C$2:$C$18,"Missing game",0)</x:f>
        <x:v>REG</x:v>
      </x:c>
      <x:c r="AI2197" t="n">
        <x:f>_xlfn.XLOOKUP($A2197,Games!$A$2:$A$18,Games!$D$2:$D$18,"Missing game",0)</x:f>
        <x:v>15</x:v>
      </x:c>
      <x:c r="AJ2197" s="1" t="n">
        <x:f>_xlfn.XLOOKUP($A2197,Games!$A$2:$A$18,Games!$E$2:$E$18,"Missing game",0)</x:f>
        <x:v>46005</x:v>
      </x:c>
      <x:c r="AK2197" t="str">
        <x:f>_xlfn.XLOOKUP($A2197,Games!$A$2:$A$18,Games!$F$2:$F$18,"Missing game",0)</x:f>
        <x:v>Sunday</x:v>
      </x:c>
      <x:c r="AL2197" t="str">
        <x:f>_xlfn.XLOOKUP($A2197,Games!$A$2:$A$18,Games!$G$2:$G$18,"Missing game",0)</x:f>
        <x:v>MIN</x:v>
      </x:c>
      <x:c r="AM2197" t="n">
        <x:f>_xlfn.XLOOKUP($A2197,Games!$A$2:$A$18,Games!$H$2:$H$18,"Missing game",0)</x:f>
        <x:v>34</x:v>
      </x:c>
      <x:c r="AN2197" t="str">
        <x:f>_xlfn.XLOOKUP($A2197,Games!$A$2:$A$18,Games!$I$2:$I$18,"Missing game",0)</x:f>
        <x:v>DAL</x:v>
      </x:c>
      <x:c r="AO2197" t="n">
        <x:f>_xlfn.XLOOKUP($A2197,Games!$A$2:$A$18,Games!$J$2:$J$18,"Missing game",0)</x:f>
        <x:v>26</x:v>
      </x:c>
      <x:c r="AP2197" t="n">
        <x:f>_xlfn.XLOOKUP($A2197,Games!$A$2:$A$18,Games!$K$2:$K$18,"Missing game",0)</x:f>
        <x:v>-8</x:v>
      </x:c>
      <x:c r="AQ2197" t="n">
        <x:f>_xlfn.XLOOKUP($A2197,Games!$A$2:$A$18,Games!$L$2:$L$18,"Missing game",0)</x:f>
        <x:v>60</x:v>
      </x:c>
      <x:c r="AR2197" t="n">
        <x:f>_xlfn.XLOOKUP($A2197,Games!$A$2:$A$18,Games!$M$2:$M$18,"Missing game",0)</x:f>
        <x:v>0</x:v>
      </x:c>
      <x:c r="AS2197" t="str">
        <x:f>_xlfn.XLOOKUP($A2197,Games!$A$2:$A$18,Games!$N$2:$N$18,"Missing game",0)</x:f>
        <x:v>closed</x:v>
      </x:c>
      <x:c r="AT2197" t="str">
        <x:f>_xlfn.XLOOKUP($A2197,Games!$A$2:$A$18,Games!$O$2:$O$18,"Missing game",0)</x:f>
        <x:v>matrixturf</x:v>
      </x:c>
      <x:c r="AU2197" t="str">
        <x:f>_xlfn.XLOOKUP($A2197,Games!$A$2:$A$18,Games!$P$2:$P$18,"Missing game",0)</x:f>
      </x:c>
      <x:c r="AV2197" t="str">
        <x:f>_xlfn.XLOOKUP($A2197,Games!$A$2:$A$18,Games!$Q$2:$Q$18,"Missing game",0)</x:f>
      </x:c>
      <x:c r="AW2197" t="str">
        <x:f>_xlfn.XLOOKUP($A2197,Games!$A$2:$A$18,Games!$R$2:$R$18,"Missing game",0)</x:f>
        <x:v>AT&amp;T Stadium</x:v>
      </x:c>
    </x:row>
    <x:row r="2198">
      <x:c r="A2198" t="str">
        <x:v>2025_15_MIN_DAL</x:v>
      </x:c>
      <x:c r="B2198" t="n">
        <x:v>1170</x:v>
      </x:c>
      <x:c r="C2198" t="n">
        <x:v>2</x:v>
      </x:c>
      <x:c r="D2198" t="str">
        <x:v>11:17</x:v>
      </x:c>
      <x:c r="E2198"/>
      <x:c r="F2198" t="n">
        <x:v>0</x:v>
      </x:c>
      <x:c r="G2198"/>
      <x:c r="H2198"/>
      <x:c r="I2198"/>
      <x:c r="J2198"/>
      <x:c r="K2198" t="str">
        <x:v>Timeout #1 by MIN at 11:17.</x:v>
      </x:c>
      <x:c r="L2198" t="str">
        <x:v>no_play</x:v>
      </x:c>
      <x:c r="M2198" t="n">
        <x:v>0</x:v>
      </x:c>
      <x:c r="N2198" t="n">
        <x:v>0</x:v>
      </x:c>
      <x:c r="O2198" t="n">
        <x:v>0</x:v>
      </x:c>
      <x:c r="P2198"/>
      <x:c r="Q2198"/>
      <x:c r="R2198"/>
      <x:c r="S2198"/>
      <x:c r="T2198"/>
      <x:c r="U2198"/>
      <x:c r="V2198" t="n">
        <x:v>0</x:v>
      </x:c>
      <x:c r="W2198" t="n">
        <x:v>0</x:v>
      </x:c>
      <x:c r="X2198" t="n">
        <x:v>0</x:v>
      </x:c>
      <x:c r="Y2198" t="n">
        <x:v>0</x:v>
      </x:c>
      <x:c r="Z2198" t="n">
        <x:v>0</x:v>
      </x:c>
      <x:c r="AA2198" t="n">
        <x:v>0</x:v>
      </x:c>
      <x:c r="AB2198"/>
      <x:c r="AC2198" t="n">
        <x:v>0</x:v>
      </x:c>
      <x:c r="AD2198" t="n">
        <x:v>0</x:v>
      </x:c>
      <x:c r="AE2198" t="n">
        <x:v>0</x:v>
      </x:c>
      <x:c r="AF2198" t="n">
        <x:v>0</x:v>
      </x:c>
      <x:c r="AG2198" t="n">
        <x:f>_xlfn.XLOOKUP($A2198,Games!$A$2:$A$18,Games!$B$2:$B$18,"Missing game",0)</x:f>
        <x:v>2025</x:v>
      </x:c>
      <x:c r="AH2198" t="str">
        <x:f>_xlfn.XLOOKUP($A2198,Games!$A$2:$A$18,Games!$C$2:$C$18,"Missing game",0)</x:f>
        <x:v>REG</x:v>
      </x:c>
      <x:c r="AI2198" t="n">
        <x:f>_xlfn.XLOOKUP($A2198,Games!$A$2:$A$18,Games!$D$2:$D$18,"Missing game",0)</x:f>
        <x:v>15</x:v>
      </x:c>
      <x:c r="AJ2198" s="1" t="n">
        <x:f>_xlfn.XLOOKUP($A2198,Games!$A$2:$A$18,Games!$E$2:$E$18,"Missing game",0)</x:f>
        <x:v>46005</x:v>
      </x:c>
      <x:c r="AK2198" t="str">
        <x:f>_xlfn.XLOOKUP($A2198,Games!$A$2:$A$18,Games!$F$2:$F$18,"Missing game",0)</x:f>
        <x:v>Sunday</x:v>
      </x:c>
      <x:c r="AL2198" t="str">
        <x:f>_xlfn.XLOOKUP($A2198,Games!$A$2:$A$18,Games!$G$2:$G$18,"Missing game",0)</x:f>
        <x:v>MIN</x:v>
      </x:c>
      <x:c r="AM2198" t="n">
        <x:f>_xlfn.XLOOKUP($A2198,Games!$A$2:$A$18,Games!$H$2:$H$18,"Missing game",0)</x:f>
        <x:v>34</x:v>
      </x:c>
      <x:c r="AN2198" t="str">
        <x:f>_xlfn.XLOOKUP($A2198,Games!$A$2:$A$18,Games!$I$2:$I$18,"Missing game",0)</x:f>
        <x:v>DAL</x:v>
      </x:c>
      <x:c r="AO2198" t="n">
        <x:f>_xlfn.XLOOKUP($A2198,Games!$A$2:$A$18,Games!$J$2:$J$18,"Missing game",0)</x:f>
        <x:v>26</x:v>
      </x:c>
      <x:c r="AP2198" t="n">
        <x:f>_xlfn.XLOOKUP($A2198,Games!$A$2:$A$18,Games!$K$2:$K$18,"Missing game",0)</x:f>
        <x:v>-8</x:v>
      </x:c>
      <x:c r="AQ2198" t="n">
        <x:f>_xlfn.XLOOKUP($A2198,Games!$A$2:$A$18,Games!$L$2:$L$18,"Missing game",0)</x:f>
        <x:v>60</x:v>
      </x:c>
      <x:c r="AR2198" t="n">
        <x:f>_xlfn.XLOOKUP($A2198,Games!$A$2:$A$18,Games!$M$2:$M$18,"Missing game",0)</x:f>
        <x:v>0</x:v>
      </x:c>
      <x:c r="AS2198" t="str">
        <x:f>_xlfn.XLOOKUP($A2198,Games!$A$2:$A$18,Games!$N$2:$N$18,"Missing game",0)</x:f>
        <x:v>closed</x:v>
      </x:c>
      <x:c r="AT2198" t="str">
        <x:f>_xlfn.XLOOKUP($A2198,Games!$A$2:$A$18,Games!$O$2:$O$18,"Missing game",0)</x:f>
        <x:v>matrixturf</x:v>
      </x:c>
      <x:c r="AU2198" t="str">
        <x:f>_xlfn.XLOOKUP($A2198,Games!$A$2:$A$18,Games!$P$2:$P$18,"Missing game",0)</x:f>
      </x:c>
      <x:c r="AV2198" t="str">
        <x:f>_xlfn.XLOOKUP($A2198,Games!$A$2:$A$18,Games!$Q$2:$Q$18,"Missing game",0)</x:f>
      </x:c>
      <x:c r="AW2198" t="str">
        <x:f>_xlfn.XLOOKUP($A2198,Games!$A$2:$A$18,Games!$R$2:$R$18,"Missing game",0)</x:f>
        <x:v>AT&amp;T Stadium</x:v>
      </x:c>
    </x:row>
    <x:row r="2199">
      <x:c r="A2199" t="str">
        <x:v>2025_15_MIN_DAL</x:v>
      </x:c>
      <x:c r="B2199" t="n">
        <x:v>1187</x:v>
      </x:c>
      <x:c r="C2199" t="n">
        <x:v>2</x:v>
      </x:c>
      <x:c r="D2199" t="str">
        <x:v>10:31</x:v>
      </x:c>
      <x:c r="E2199" t="n">
        <x:v>2</x:v>
      </x:c>
      <x:c r="F2199" t="n">
        <x:v>3</x:v>
      </x:c>
      <x:c r="G2199" t="str">
        <x:v>MIN</x:v>
      </x:c>
      <x:c r="H2199" t="str">
        <x:v>DAL</x:v>
      </x:c>
      <x:c r="I2199" t="str">
        <x:v>DAL</x:v>
      </x:c>
      <x:c r="J2199" t="n">
        <x:v>3</x:v>
      </x:c>
      <x:c r="K2199" t="str">
        <x:v>(10:31) (Shotgun) 9-J.McCarthy pass short middle to 18-J.Jefferson for 3 yards, TOUCHDOWN NULLIFIED by Penalty [97-O.Odighizuwa]. PENALTY on MIN, Illegal Formation, 5 yards, enforced at DAL 3 - No Play.</x:v>
      </x:c>
      <x:c r="L2199" t="str">
        <x:v>no_play</x:v>
      </x:c>
      <x:c r="M2199" t="n">
        <x:v>0</x:v>
      </x:c>
      <x:c r="N2199" t="n">
        <x:v>1</x:v>
      </x:c>
      <x:c r="O2199" t="n">
        <x:v>0</x:v>
      </x:c>
      <x:c r="P2199"/>
      <x:c r="Q2199"/>
      <x:c r="R2199"/>
      <x:c r="S2199"/>
      <x:c r="T2199"/>
      <x:c r="U2199"/>
      <x:c r="V2199" t="n">
        <x:v>0</x:v>
      </x:c>
      <x:c r="W2199" t="n">
        <x:v>0</x:v>
      </x:c>
      <x:c r="X2199" t="n">
        <x:v>0</x:v>
      </x:c>
      <x:c r="Y2199" t="n">
        <x:v>0</x:v>
      </x:c>
      <x:c r="Z2199" t="n">
        <x:v>0</x:v>
      </x:c>
      <x:c r="AA2199" t="n">
        <x:v>1</x:v>
      </x:c>
      <x:c r="AB2199" t="n">
        <x:v>5</x:v>
      </x:c>
      <x:c r="AC2199" t="n">
        <x:v>0</x:v>
      </x:c>
      <x:c r="AD2199" t="n">
        <x:v>-0.8665796194691211</x:v>
      </x:c>
      <x:c r="AE2199" t="n">
        <x:v>0</x:v>
      </x:c>
      <x:c r="AF2199" t="n">
        <x:v>-0.018370211124420166</x:v>
      </x:c>
      <x:c r="AG2199" t="n">
        <x:f>_xlfn.XLOOKUP($A2199,Games!$A$2:$A$18,Games!$B$2:$B$18,"Missing game",0)</x:f>
        <x:v>2025</x:v>
      </x:c>
      <x:c r="AH2199" t="str">
        <x:f>_xlfn.XLOOKUP($A2199,Games!$A$2:$A$18,Games!$C$2:$C$18,"Missing game",0)</x:f>
        <x:v>REG</x:v>
      </x:c>
      <x:c r="AI2199" t="n">
        <x:f>_xlfn.XLOOKUP($A2199,Games!$A$2:$A$18,Games!$D$2:$D$18,"Missing game",0)</x:f>
        <x:v>15</x:v>
      </x:c>
      <x:c r="AJ2199" s="1" t="n">
        <x:f>_xlfn.XLOOKUP($A2199,Games!$A$2:$A$18,Games!$E$2:$E$18,"Missing game",0)</x:f>
        <x:v>46005</x:v>
      </x:c>
      <x:c r="AK2199" t="str">
        <x:f>_xlfn.XLOOKUP($A2199,Games!$A$2:$A$18,Games!$F$2:$F$18,"Missing game",0)</x:f>
        <x:v>Sunday</x:v>
      </x:c>
      <x:c r="AL2199" t="str">
        <x:f>_xlfn.XLOOKUP($A2199,Games!$A$2:$A$18,Games!$G$2:$G$18,"Missing game",0)</x:f>
        <x:v>MIN</x:v>
      </x:c>
      <x:c r="AM2199" t="n">
        <x:f>_xlfn.XLOOKUP($A2199,Games!$A$2:$A$18,Games!$H$2:$H$18,"Missing game",0)</x:f>
        <x:v>34</x:v>
      </x:c>
      <x:c r="AN2199" t="str">
        <x:f>_xlfn.XLOOKUP($A2199,Games!$A$2:$A$18,Games!$I$2:$I$18,"Missing game",0)</x:f>
        <x:v>DAL</x:v>
      </x:c>
      <x:c r="AO2199" t="n">
        <x:f>_xlfn.XLOOKUP($A2199,Games!$A$2:$A$18,Games!$J$2:$J$18,"Missing game",0)</x:f>
        <x:v>26</x:v>
      </x:c>
      <x:c r="AP2199" t="n">
        <x:f>_xlfn.XLOOKUP($A2199,Games!$A$2:$A$18,Games!$K$2:$K$18,"Missing game",0)</x:f>
        <x:v>-8</x:v>
      </x:c>
      <x:c r="AQ2199" t="n">
        <x:f>_xlfn.XLOOKUP($A2199,Games!$A$2:$A$18,Games!$L$2:$L$18,"Missing game",0)</x:f>
        <x:v>60</x:v>
      </x:c>
      <x:c r="AR2199" t="n">
        <x:f>_xlfn.XLOOKUP($A2199,Games!$A$2:$A$18,Games!$M$2:$M$18,"Missing game",0)</x:f>
        <x:v>0</x:v>
      </x:c>
      <x:c r="AS2199" t="str">
        <x:f>_xlfn.XLOOKUP($A2199,Games!$A$2:$A$18,Games!$N$2:$N$18,"Missing game",0)</x:f>
        <x:v>closed</x:v>
      </x:c>
      <x:c r="AT2199" t="str">
        <x:f>_xlfn.XLOOKUP($A2199,Games!$A$2:$A$18,Games!$O$2:$O$18,"Missing game",0)</x:f>
        <x:v>matrixturf</x:v>
      </x:c>
      <x:c r="AU2199" t="str">
        <x:f>_xlfn.XLOOKUP($A2199,Games!$A$2:$A$18,Games!$P$2:$P$18,"Missing game",0)</x:f>
      </x:c>
      <x:c r="AV2199" t="str">
        <x:f>_xlfn.XLOOKUP($A2199,Games!$A$2:$A$18,Games!$Q$2:$Q$18,"Missing game",0)</x:f>
      </x:c>
      <x:c r="AW2199" t="str">
        <x:f>_xlfn.XLOOKUP($A2199,Games!$A$2:$A$18,Games!$R$2:$R$18,"Missing game",0)</x:f>
        <x:v>AT&amp;T Stadium</x:v>
      </x:c>
    </x:row>
    <x:row r="2200">
      <x:c r="A2200" t="str">
        <x:v>2025_15_MIN_DAL</x:v>
      </x:c>
      <x:c r="B2200" t="n">
        <x:v>1224</x:v>
      </x:c>
      <x:c r="C2200" t="n">
        <x:v>2</x:v>
      </x:c>
      <x:c r="D2200" t="str">
        <x:v>10:27</x:v>
      </x:c>
      <x:c r="E2200" t="n">
        <x:v>2</x:v>
      </x:c>
      <x:c r="F2200" t="n">
        <x:v>8</x:v>
      </x:c>
      <x:c r="G2200" t="str">
        <x:v>MIN</x:v>
      </x:c>
      <x:c r="H2200" t="str">
        <x:v>DAL</x:v>
      </x:c>
      <x:c r="I2200" t="str">
        <x:v>DAL</x:v>
      </x:c>
      <x:c r="J2200" t="n">
        <x:v>8</x:v>
      </x:c>
      <x:c r="K2200" t="str">
        <x:v>(10:27) (Shotgun) 9-J.McCarthy pass incomplete short left to 18-J.Jefferson.</x:v>
      </x:c>
      <x:c r="L2200" t="str">
        <x:v>pass</x:v>
      </x:c>
      <x:c r="M2200" t="n">
        <x:v>0</x:v>
      </x:c>
      <x:c r="N2200" t="n">
        <x:v>1</x:v>
      </x:c>
      <x:c r="O2200" t="n">
        <x:v>0</x:v>
      </x:c>
      <x:c r="P2200" t="str">
        <x:v>short</x:v>
      </x:c>
      <x:c r="Q2200" t="str">
        <x:v>left</x:v>
      </x:c>
      <x:c r="R2200" t="n">
        <x:v>8</x:v>
      </x:c>
      <x:c r="S2200"/>
      <x:c r="T2200"/>
      <x:c r="U2200"/>
      <x:c r="V2200" t="n">
        <x:v>0</x:v>
      </x:c>
      <x:c r="W2200" t="n">
        <x:v>0</x:v>
      </x:c>
      <x:c r="X2200" t="n">
        <x:v>0</x:v>
      </x:c>
      <x:c r="Y2200" t="n">
        <x:v>0</x:v>
      </x:c>
      <x:c r="Z2200" t="n">
        <x:v>0</x:v>
      </x:c>
      <x:c r="AA2200" t="n">
        <x:v>0</x:v>
      </x:c>
      <x:c r="AB2200"/>
      <x:c r="AC2200" t="n">
        <x:v>0</x:v>
      </x:c>
      <x:c r="AD2200" t="n">
        <x:v>-0.8298634195234627</x:v>
      </x:c>
      <x:c r="AE2200" t="n">
        <x:v>0</x:v>
      </x:c>
      <x:c r="AF2200" t="n">
        <x:v>-0.01822507381439209</x:v>
      </x:c>
      <x:c r="AG2200" t="n">
        <x:f>_xlfn.XLOOKUP($A2200,Games!$A$2:$A$18,Games!$B$2:$B$18,"Missing game",0)</x:f>
        <x:v>2025</x:v>
      </x:c>
      <x:c r="AH2200" t="str">
        <x:f>_xlfn.XLOOKUP($A2200,Games!$A$2:$A$18,Games!$C$2:$C$18,"Missing game",0)</x:f>
        <x:v>REG</x:v>
      </x:c>
      <x:c r="AI2200" t="n">
        <x:f>_xlfn.XLOOKUP($A2200,Games!$A$2:$A$18,Games!$D$2:$D$18,"Missing game",0)</x:f>
        <x:v>15</x:v>
      </x:c>
      <x:c r="AJ2200" s="1" t="n">
        <x:f>_xlfn.XLOOKUP($A2200,Games!$A$2:$A$18,Games!$E$2:$E$18,"Missing game",0)</x:f>
        <x:v>46005</x:v>
      </x:c>
      <x:c r="AK2200" t="str">
        <x:f>_xlfn.XLOOKUP($A2200,Games!$A$2:$A$18,Games!$F$2:$F$18,"Missing game",0)</x:f>
        <x:v>Sunday</x:v>
      </x:c>
      <x:c r="AL2200" t="str">
        <x:f>_xlfn.XLOOKUP($A2200,Games!$A$2:$A$18,Games!$G$2:$G$18,"Missing game",0)</x:f>
        <x:v>MIN</x:v>
      </x:c>
      <x:c r="AM2200" t="n">
        <x:f>_xlfn.XLOOKUP($A2200,Games!$A$2:$A$18,Games!$H$2:$H$18,"Missing game",0)</x:f>
        <x:v>34</x:v>
      </x:c>
      <x:c r="AN2200" t="str">
        <x:f>_xlfn.XLOOKUP($A2200,Games!$A$2:$A$18,Games!$I$2:$I$18,"Missing game",0)</x:f>
        <x:v>DAL</x:v>
      </x:c>
      <x:c r="AO2200" t="n">
        <x:f>_xlfn.XLOOKUP($A2200,Games!$A$2:$A$18,Games!$J$2:$J$18,"Missing game",0)</x:f>
        <x:v>26</x:v>
      </x:c>
      <x:c r="AP2200" t="n">
        <x:f>_xlfn.XLOOKUP($A2200,Games!$A$2:$A$18,Games!$K$2:$K$18,"Missing game",0)</x:f>
        <x:v>-8</x:v>
      </x:c>
      <x:c r="AQ2200" t="n">
        <x:f>_xlfn.XLOOKUP($A2200,Games!$A$2:$A$18,Games!$L$2:$L$18,"Missing game",0)</x:f>
        <x:v>60</x:v>
      </x:c>
      <x:c r="AR2200" t="n">
        <x:f>_xlfn.XLOOKUP($A2200,Games!$A$2:$A$18,Games!$M$2:$M$18,"Missing game",0)</x:f>
        <x:v>0</x:v>
      </x:c>
      <x:c r="AS2200" t="str">
        <x:f>_xlfn.XLOOKUP($A2200,Games!$A$2:$A$18,Games!$N$2:$N$18,"Missing game",0)</x:f>
        <x:v>closed</x:v>
      </x:c>
      <x:c r="AT2200" t="str">
        <x:f>_xlfn.XLOOKUP($A2200,Games!$A$2:$A$18,Games!$O$2:$O$18,"Missing game",0)</x:f>
        <x:v>matrixturf</x:v>
      </x:c>
      <x:c r="AU2200" t="str">
        <x:f>_xlfn.XLOOKUP($A2200,Games!$A$2:$A$18,Games!$P$2:$P$18,"Missing game",0)</x:f>
      </x:c>
      <x:c r="AV2200" t="str">
        <x:f>_xlfn.XLOOKUP($A2200,Games!$A$2:$A$18,Games!$Q$2:$Q$18,"Missing game",0)</x:f>
      </x:c>
      <x:c r="AW2200" t="str">
        <x:f>_xlfn.XLOOKUP($A2200,Games!$A$2:$A$18,Games!$R$2:$R$18,"Missing game",0)</x:f>
        <x:v>AT&amp;T Stadium</x:v>
      </x:c>
    </x:row>
    <x:row r="2201">
      <x:c r="A2201" t="str">
        <x:v>2025_15_MIN_DAL</x:v>
      </x:c>
      <x:c r="B2201" t="n">
        <x:v>1236</x:v>
      </x:c>
      <x:c r="C2201" t="n">
        <x:v>2</x:v>
      </x:c>
      <x:c r="D2201" t="str">
        <x:v>10:27</x:v>
      </x:c>
      <x:c r="E2201"/>
      <x:c r="F2201" t="n">
        <x:v>0</x:v>
      </x:c>
      <x:c r="G2201"/>
      <x:c r="H2201"/>
      <x:c r="I2201"/>
      <x:c r="J2201"/>
      <x:c r="K2201" t="str">
        <x:v>Timeout #1 by DAL at 10:27.</x:v>
      </x:c>
      <x:c r="L2201" t="str">
        <x:v>no_play</x:v>
      </x:c>
      <x:c r="M2201" t="n">
        <x:v>0</x:v>
      </x:c>
      <x:c r="N2201" t="n">
        <x:v>0</x:v>
      </x:c>
      <x:c r="O2201" t="n">
        <x:v>0</x:v>
      </x:c>
      <x:c r="P2201"/>
      <x:c r="Q2201"/>
      <x:c r="R2201"/>
      <x:c r="S2201"/>
      <x:c r="T2201"/>
      <x:c r="U2201"/>
      <x:c r="V2201" t="n">
        <x:v>0</x:v>
      </x:c>
      <x:c r="W2201" t="n">
        <x:v>0</x:v>
      </x:c>
      <x:c r="X2201" t="n">
        <x:v>0</x:v>
      </x:c>
      <x:c r="Y2201" t="n">
        <x:v>0</x:v>
      </x:c>
      <x:c r="Z2201" t="n">
        <x:v>0</x:v>
      </x:c>
      <x:c r="AA2201" t="n">
        <x:v>0</x:v>
      </x:c>
      <x:c r="AB2201"/>
      <x:c r="AC2201" t="n">
        <x:v>0</x:v>
      </x:c>
      <x:c r="AD2201" t="n">
        <x:v>0</x:v>
      </x:c>
      <x:c r="AE2201" t="n">
        <x:v>0</x:v>
      </x:c>
      <x:c r="AF2201" t="n">
        <x:v>0</x:v>
      </x:c>
      <x:c r="AG2201" t="n">
        <x:f>_xlfn.XLOOKUP($A2201,Games!$A$2:$A$18,Games!$B$2:$B$18,"Missing game",0)</x:f>
        <x:v>2025</x:v>
      </x:c>
      <x:c r="AH2201" t="str">
        <x:f>_xlfn.XLOOKUP($A2201,Games!$A$2:$A$18,Games!$C$2:$C$18,"Missing game",0)</x:f>
        <x:v>REG</x:v>
      </x:c>
      <x:c r="AI2201" t="n">
        <x:f>_xlfn.XLOOKUP($A2201,Games!$A$2:$A$18,Games!$D$2:$D$18,"Missing game",0)</x:f>
        <x:v>15</x:v>
      </x:c>
      <x:c r="AJ2201" s="1" t="n">
        <x:f>_xlfn.XLOOKUP($A2201,Games!$A$2:$A$18,Games!$E$2:$E$18,"Missing game",0)</x:f>
        <x:v>46005</x:v>
      </x:c>
      <x:c r="AK2201" t="str">
        <x:f>_xlfn.XLOOKUP($A2201,Games!$A$2:$A$18,Games!$F$2:$F$18,"Missing game",0)</x:f>
        <x:v>Sunday</x:v>
      </x:c>
      <x:c r="AL2201" t="str">
        <x:f>_xlfn.XLOOKUP($A2201,Games!$A$2:$A$18,Games!$G$2:$G$18,"Missing game",0)</x:f>
        <x:v>MIN</x:v>
      </x:c>
      <x:c r="AM2201" t="n">
        <x:f>_xlfn.XLOOKUP($A2201,Games!$A$2:$A$18,Games!$H$2:$H$18,"Missing game",0)</x:f>
        <x:v>34</x:v>
      </x:c>
      <x:c r="AN2201" t="str">
        <x:f>_xlfn.XLOOKUP($A2201,Games!$A$2:$A$18,Games!$I$2:$I$18,"Missing game",0)</x:f>
        <x:v>DAL</x:v>
      </x:c>
      <x:c r="AO2201" t="n">
        <x:f>_xlfn.XLOOKUP($A2201,Games!$A$2:$A$18,Games!$J$2:$J$18,"Missing game",0)</x:f>
        <x:v>26</x:v>
      </x:c>
      <x:c r="AP2201" t="n">
        <x:f>_xlfn.XLOOKUP($A2201,Games!$A$2:$A$18,Games!$K$2:$K$18,"Missing game",0)</x:f>
        <x:v>-8</x:v>
      </x:c>
      <x:c r="AQ2201" t="n">
        <x:f>_xlfn.XLOOKUP($A2201,Games!$A$2:$A$18,Games!$L$2:$L$18,"Missing game",0)</x:f>
        <x:v>60</x:v>
      </x:c>
      <x:c r="AR2201" t="n">
        <x:f>_xlfn.XLOOKUP($A2201,Games!$A$2:$A$18,Games!$M$2:$M$18,"Missing game",0)</x:f>
        <x:v>0</x:v>
      </x:c>
      <x:c r="AS2201" t="str">
        <x:f>_xlfn.XLOOKUP($A2201,Games!$A$2:$A$18,Games!$N$2:$N$18,"Missing game",0)</x:f>
        <x:v>closed</x:v>
      </x:c>
      <x:c r="AT2201" t="str">
        <x:f>_xlfn.XLOOKUP($A2201,Games!$A$2:$A$18,Games!$O$2:$O$18,"Missing game",0)</x:f>
        <x:v>matrixturf</x:v>
      </x:c>
      <x:c r="AU2201" t="str">
        <x:f>_xlfn.XLOOKUP($A2201,Games!$A$2:$A$18,Games!$P$2:$P$18,"Missing game",0)</x:f>
      </x:c>
      <x:c r="AV2201" t="str">
        <x:f>_xlfn.XLOOKUP($A2201,Games!$A$2:$A$18,Games!$Q$2:$Q$18,"Missing game",0)</x:f>
      </x:c>
      <x:c r="AW2201" t="str">
        <x:f>_xlfn.XLOOKUP($A2201,Games!$A$2:$A$18,Games!$R$2:$R$18,"Missing game",0)</x:f>
        <x:v>AT&amp;T Stadium</x:v>
      </x:c>
    </x:row>
    <x:row r="2202">
      <x:c r="A2202" t="str">
        <x:v>2025_15_MIN_DAL</x:v>
      </x:c>
      <x:c r="B2202" t="n">
        <x:v>1254</x:v>
      </x:c>
      <x:c r="C2202" t="n">
        <x:v>2</x:v>
      </x:c>
      <x:c r="D2202" t="str">
        <x:v>10:23</x:v>
      </x:c>
      <x:c r="E2202" t="n">
        <x:v>3</x:v>
      </x:c>
      <x:c r="F2202" t="n">
        <x:v>8</x:v>
      </x:c>
      <x:c r="G2202" t="str">
        <x:v>MIN</x:v>
      </x:c>
      <x:c r="H2202" t="str">
        <x:v>DAL</x:v>
      </x:c>
      <x:c r="I2202" t="str">
        <x:v>DAL</x:v>
      </x:c>
      <x:c r="J2202" t="n">
        <x:v>8</x:v>
      </x:c>
      <x:c r="K2202" t="str">
        <x:v>(10:23) (Shotgun) 9-J.McCarthy scrambles right guard to DAL 1 for 7 yards (28-M.Hooker).</x:v>
      </x:c>
      <x:c r="L2202" t="str">
        <x:v>run</x:v>
      </x:c>
      <x:c r="M2202" t="n">
        <x:v>7</x:v>
      </x:c>
      <x:c r="N2202" t="n">
        <x:v>1</x:v>
      </x:c>
      <x:c r="O2202" t="n">
        <x:v>0</x:v>
      </x:c>
      <x:c r="P2202"/>
      <x:c r="Q2202"/>
      <x:c r="R2202"/>
      <x:c r="S2202"/>
      <x:c r="T2202" t="str">
        <x:v>right</x:v>
      </x:c>
      <x:c r="U2202" t="str">
        <x:v>guard</x:v>
      </x:c>
      <x:c r="V2202" t="n">
        <x:v>0</x:v>
      </x:c>
      <x:c r="W2202" t="n">
        <x:v>0</x:v>
      </x:c>
      <x:c r="X2202" t="n">
        <x:v>0</x:v>
      </x:c>
      <x:c r="Y2202" t="n">
        <x:v>0</x:v>
      </x:c>
      <x:c r="Z2202" t="n">
        <x:v>0</x:v>
      </x:c>
      <x:c r="AA2202" t="n">
        <x:v>0</x:v>
      </x:c>
      <x:c r="AB2202"/>
      <x:c r="AC2202" t="n">
        <x:v>0</x:v>
      </x:c>
      <x:c r="AD2202" t="n">
        <x:v>0.6509765872033313</x:v>
      </x:c>
      <x:c r="AE2202" t="n">
        <x:v>1</x:v>
      </x:c>
      <x:c r="AF2202" t="n">
        <x:v>-0.013859331607818604</x:v>
      </x:c>
      <x:c r="AG2202" t="n">
        <x:f>_xlfn.XLOOKUP($A2202,Games!$A$2:$A$18,Games!$B$2:$B$18,"Missing game",0)</x:f>
        <x:v>2025</x:v>
      </x:c>
      <x:c r="AH2202" t="str">
        <x:f>_xlfn.XLOOKUP($A2202,Games!$A$2:$A$18,Games!$C$2:$C$18,"Missing game",0)</x:f>
        <x:v>REG</x:v>
      </x:c>
      <x:c r="AI2202" t="n">
        <x:f>_xlfn.XLOOKUP($A2202,Games!$A$2:$A$18,Games!$D$2:$D$18,"Missing game",0)</x:f>
        <x:v>15</x:v>
      </x:c>
      <x:c r="AJ2202" s="1" t="n">
        <x:f>_xlfn.XLOOKUP($A2202,Games!$A$2:$A$18,Games!$E$2:$E$18,"Missing game",0)</x:f>
        <x:v>46005</x:v>
      </x:c>
      <x:c r="AK2202" t="str">
        <x:f>_xlfn.XLOOKUP($A2202,Games!$A$2:$A$18,Games!$F$2:$F$18,"Missing game",0)</x:f>
        <x:v>Sunday</x:v>
      </x:c>
      <x:c r="AL2202" t="str">
        <x:f>_xlfn.XLOOKUP($A2202,Games!$A$2:$A$18,Games!$G$2:$G$18,"Missing game",0)</x:f>
        <x:v>MIN</x:v>
      </x:c>
      <x:c r="AM2202" t="n">
        <x:f>_xlfn.XLOOKUP($A2202,Games!$A$2:$A$18,Games!$H$2:$H$18,"Missing game",0)</x:f>
        <x:v>34</x:v>
      </x:c>
      <x:c r="AN2202" t="str">
        <x:f>_xlfn.XLOOKUP($A2202,Games!$A$2:$A$18,Games!$I$2:$I$18,"Missing game",0)</x:f>
        <x:v>DAL</x:v>
      </x:c>
      <x:c r="AO2202" t="n">
        <x:f>_xlfn.XLOOKUP($A2202,Games!$A$2:$A$18,Games!$J$2:$J$18,"Missing game",0)</x:f>
        <x:v>26</x:v>
      </x:c>
      <x:c r="AP2202" t="n">
        <x:f>_xlfn.XLOOKUP($A2202,Games!$A$2:$A$18,Games!$K$2:$K$18,"Missing game",0)</x:f>
        <x:v>-8</x:v>
      </x:c>
      <x:c r="AQ2202" t="n">
        <x:f>_xlfn.XLOOKUP($A2202,Games!$A$2:$A$18,Games!$L$2:$L$18,"Missing game",0)</x:f>
        <x:v>60</x:v>
      </x:c>
      <x:c r="AR2202" t="n">
        <x:f>_xlfn.XLOOKUP($A2202,Games!$A$2:$A$18,Games!$M$2:$M$18,"Missing game",0)</x:f>
        <x:v>0</x:v>
      </x:c>
      <x:c r="AS2202" t="str">
        <x:f>_xlfn.XLOOKUP($A2202,Games!$A$2:$A$18,Games!$N$2:$N$18,"Missing game",0)</x:f>
        <x:v>closed</x:v>
      </x:c>
      <x:c r="AT2202" t="str">
        <x:f>_xlfn.XLOOKUP($A2202,Games!$A$2:$A$18,Games!$O$2:$O$18,"Missing game",0)</x:f>
        <x:v>matrixturf</x:v>
      </x:c>
      <x:c r="AU2202" t="str">
        <x:f>_xlfn.XLOOKUP($A2202,Games!$A$2:$A$18,Games!$P$2:$P$18,"Missing game",0)</x:f>
      </x:c>
      <x:c r="AV2202" t="str">
        <x:f>_xlfn.XLOOKUP($A2202,Games!$A$2:$A$18,Games!$Q$2:$Q$18,"Missing game",0)</x:f>
      </x:c>
      <x:c r="AW2202" t="str">
        <x:f>_xlfn.XLOOKUP($A2202,Games!$A$2:$A$18,Games!$R$2:$R$18,"Missing game",0)</x:f>
        <x:v>AT&amp;T Stadium</x:v>
      </x:c>
    </x:row>
    <x:row r="2203">
      <x:c r="A2203" t="str">
        <x:v>2025_15_MIN_DAL</x:v>
      </x:c>
      <x:c r="B2203" t="n">
        <x:v>1276</x:v>
      </x:c>
      <x:c r="C2203" t="n">
        <x:v>2</x:v>
      </x:c>
      <x:c r="D2203" t="str">
        <x:v>09:34</x:v>
      </x:c>
      <x:c r="E2203" t="n">
        <x:v>4</x:v>
      </x:c>
      <x:c r="F2203" t="n">
        <x:v>1</x:v>
      </x:c>
      <x:c r="G2203" t="str">
        <x:v>MIN</x:v>
      </x:c>
      <x:c r="H2203" t="str">
        <x:v>DAL</x:v>
      </x:c>
      <x:c r="I2203" t="str">
        <x:v>DAL</x:v>
      </x:c>
      <x:c r="J2203" t="n">
        <x:v>1</x:v>
      </x:c>
      <x:c r="K2203" t="str">
        <x:v>(9:34) 64-B.Brandel reported in as eligible. 9-J.McCarthy left end for 1 yard, TOUCHDOWN.</x:v>
      </x:c>
      <x:c r="L2203" t="str">
        <x:v>run</x:v>
      </x:c>
      <x:c r="M2203" t="n">
        <x:v>1</x:v>
      </x:c>
      <x:c r="N2203" t="n">
        <x:v>0</x:v>
      </x:c>
      <x:c r="O2203" t="n">
        <x:v>0</x:v>
      </x:c>
      <x:c r="P2203"/>
      <x:c r="Q2203"/>
      <x:c r="R2203"/>
      <x:c r="S2203"/>
      <x:c r="T2203" t="str">
        <x:v>left</x:v>
      </x:c>
      <x:c r="U2203" t="str">
        <x:v>end</x:v>
      </x:c>
      <x:c r="V2203" t="n">
        <x:v>0</x:v>
      </x:c>
      <x:c r="W2203" t="n">
        <x:v>1</x:v>
      </x:c>
      <x:c r="X2203" t="n">
        <x:v>0</x:v>
      </x:c>
      <x:c r="Y2203" t="n">
        <x:v>0</x:v>
      </x:c>
      <x:c r="Z2203" t="n">
        <x:v>0</x:v>
      </x:c>
      <x:c r="AA2203" t="n">
        <x:v>0</x:v>
      </x:c>
      <x:c r="AB2203"/>
      <x:c r="AC2203" t="n">
        <x:v>1</x:v>
      </x:c>
      <x:c r="AD2203" t="n">
        <x:v>2.4118227001745254</x:v>
      </x:c>
      <x:c r="AE2203" t="n">
        <x:v>1</x:v>
      </x:c>
      <x:c r="AF2203" t="n">
        <x:v>0.10693532658591676</x:v>
      </x:c>
      <x:c r="AG2203" t="n">
        <x:f>_xlfn.XLOOKUP($A2203,Games!$A$2:$A$18,Games!$B$2:$B$18,"Missing game",0)</x:f>
        <x:v>2025</x:v>
      </x:c>
      <x:c r="AH2203" t="str">
        <x:f>_xlfn.XLOOKUP($A2203,Games!$A$2:$A$18,Games!$C$2:$C$18,"Missing game",0)</x:f>
        <x:v>REG</x:v>
      </x:c>
      <x:c r="AI2203" t="n">
        <x:f>_xlfn.XLOOKUP($A2203,Games!$A$2:$A$18,Games!$D$2:$D$18,"Missing game",0)</x:f>
        <x:v>15</x:v>
      </x:c>
      <x:c r="AJ2203" s="1" t="n">
        <x:f>_xlfn.XLOOKUP($A2203,Games!$A$2:$A$18,Games!$E$2:$E$18,"Missing game",0)</x:f>
        <x:v>46005</x:v>
      </x:c>
      <x:c r="AK2203" t="str">
        <x:f>_xlfn.XLOOKUP($A2203,Games!$A$2:$A$18,Games!$F$2:$F$18,"Missing game",0)</x:f>
        <x:v>Sunday</x:v>
      </x:c>
      <x:c r="AL2203" t="str">
        <x:f>_xlfn.XLOOKUP($A2203,Games!$A$2:$A$18,Games!$G$2:$G$18,"Missing game",0)</x:f>
        <x:v>MIN</x:v>
      </x:c>
      <x:c r="AM2203" t="n">
        <x:f>_xlfn.XLOOKUP($A2203,Games!$A$2:$A$18,Games!$H$2:$H$18,"Missing game",0)</x:f>
        <x:v>34</x:v>
      </x:c>
      <x:c r="AN2203" t="str">
        <x:f>_xlfn.XLOOKUP($A2203,Games!$A$2:$A$18,Games!$I$2:$I$18,"Missing game",0)</x:f>
        <x:v>DAL</x:v>
      </x:c>
      <x:c r="AO2203" t="n">
        <x:f>_xlfn.XLOOKUP($A2203,Games!$A$2:$A$18,Games!$J$2:$J$18,"Missing game",0)</x:f>
        <x:v>26</x:v>
      </x:c>
      <x:c r="AP2203" t="n">
        <x:f>_xlfn.XLOOKUP($A2203,Games!$A$2:$A$18,Games!$K$2:$K$18,"Missing game",0)</x:f>
        <x:v>-8</x:v>
      </x:c>
      <x:c r="AQ2203" t="n">
        <x:f>_xlfn.XLOOKUP($A2203,Games!$A$2:$A$18,Games!$L$2:$L$18,"Missing game",0)</x:f>
        <x:v>60</x:v>
      </x:c>
      <x:c r="AR2203" t="n">
        <x:f>_xlfn.XLOOKUP($A2203,Games!$A$2:$A$18,Games!$M$2:$M$18,"Missing game",0)</x:f>
        <x:v>0</x:v>
      </x:c>
      <x:c r="AS2203" t="str">
        <x:f>_xlfn.XLOOKUP($A2203,Games!$A$2:$A$18,Games!$N$2:$N$18,"Missing game",0)</x:f>
        <x:v>closed</x:v>
      </x:c>
      <x:c r="AT2203" t="str">
        <x:f>_xlfn.XLOOKUP($A2203,Games!$A$2:$A$18,Games!$O$2:$O$18,"Missing game",0)</x:f>
        <x:v>matrixturf</x:v>
      </x:c>
      <x:c r="AU2203" t="str">
        <x:f>_xlfn.XLOOKUP($A2203,Games!$A$2:$A$18,Games!$P$2:$P$18,"Missing game",0)</x:f>
      </x:c>
      <x:c r="AV2203" t="str">
        <x:f>_xlfn.XLOOKUP($A2203,Games!$A$2:$A$18,Games!$Q$2:$Q$18,"Missing game",0)</x:f>
      </x:c>
      <x:c r="AW2203" t="str">
        <x:f>_xlfn.XLOOKUP($A2203,Games!$A$2:$A$18,Games!$R$2:$R$18,"Missing game",0)</x:f>
        <x:v>AT&amp;T Stadium</x:v>
      </x:c>
    </x:row>
    <x:row r="2204">
      <x:c r="A2204" t="str">
        <x:v>2025_15_MIN_DAL</x:v>
      </x:c>
      <x:c r="B2204" t="n">
        <x:v>1301</x:v>
      </x:c>
      <x:c r="C2204" t="n">
        <x:v>2</x:v>
      </x:c>
      <x:c r="D2204" t="str">
        <x:v>09:28</x:v>
      </x:c>
      <x:c r="E2204"/>
      <x:c r="F2204" t="n">
        <x:v>0</x:v>
      </x:c>
      <x:c r="G2204" t="str">
        <x:v>MIN</x:v>
      </x:c>
      <x:c r="H2204" t="str">
        <x:v>DAL</x:v>
      </x:c>
      <x:c r="I2204" t="str">
        <x:v>DAL</x:v>
      </x:c>
      <x:c r="J2204" t="n">
        <x:v>15</x:v>
      </x:c>
      <x:c r="K2204" t="str">
        <x:v>16-W.Reichard extra point is GOOD, Center-42-A.DePaola, Holder-17-R.Wright.</x:v>
      </x:c>
      <x:c r="L2204" t="str">
        <x:v>extra_point</x:v>
      </x:c>
      <x:c r="M2204" t="n">
        <x:v>0</x:v>
      </x:c>
      <x:c r="N2204" t="n">
        <x:v>0</x:v>
      </x:c>
      <x:c r="O2204" t="n">
        <x:v>0</x:v>
      </x:c>
      <x:c r="P2204"/>
      <x:c r="Q2204"/>
      <x:c r="R2204"/>
      <x:c r="S2204"/>
      <x:c r="T2204"/>
      <x:c r="U2204"/>
      <x:c r="V2204" t="n">
        <x:v>0</x:v>
      </x:c>
      <x:c r="W2204" t="n">
        <x:v>0</x:v>
      </x:c>
      <x:c r="X2204" t="n">
        <x:v>0</x:v>
      </x:c>
      <x:c r="Y2204" t="n">
        <x:v>0</x:v>
      </x:c>
      <x:c r="Z2204" t="n">
        <x:v>0</x:v>
      </x:c>
      <x:c r="AA2204" t="n">
        <x:v>0</x:v>
      </x:c>
      <x:c r="AB2204"/>
      <x:c r="AC2204" t="n">
        <x:v>0</x:v>
      </x:c>
      <x:c r="AD2204" t="n">
        <x:v>0.06857135097992784</x:v>
      </x:c>
      <x:c r="AE2204" t="n">
        <x:v>1</x:v>
      </x:c>
      <x:c r="AF2204" t="n">
        <x:v>0.00455370115265441</x:v>
      </x:c>
      <x:c r="AG2204" t="n">
        <x:f>_xlfn.XLOOKUP($A2204,Games!$A$2:$A$18,Games!$B$2:$B$18,"Missing game",0)</x:f>
        <x:v>2025</x:v>
      </x:c>
      <x:c r="AH2204" t="str">
        <x:f>_xlfn.XLOOKUP($A2204,Games!$A$2:$A$18,Games!$C$2:$C$18,"Missing game",0)</x:f>
        <x:v>REG</x:v>
      </x:c>
      <x:c r="AI2204" t="n">
        <x:f>_xlfn.XLOOKUP($A2204,Games!$A$2:$A$18,Games!$D$2:$D$18,"Missing game",0)</x:f>
        <x:v>15</x:v>
      </x:c>
      <x:c r="AJ2204" s="1" t="n">
        <x:f>_xlfn.XLOOKUP($A2204,Games!$A$2:$A$18,Games!$E$2:$E$18,"Missing game",0)</x:f>
        <x:v>46005</x:v>
      </x:c>
      <x:c r="AK2204" t="str">
        <x:f>_xlfn.XLOOKUP($A2204,Games!$A$2:$A$18,Games!$F$2:$F$18,"Missing game",0)</x:f>
        <x:v>Sunday</x:v>
      </x:c>
      <x:c r="AL2204" t="str">
        <x:f>_xlfn.XLOOKUP($A2204,Games!$A$2:$A$18,Games!$G$2:$G$18,"Missing game",0)</x:f>
        <x:v>MIN</x:v>
      </x:c>
      <x:c r="AM2204" t="n">
        <x:f>_xlfn.XLOOKUP($A2204,Games!$A$2:$A$18,Games!$H$2:$H$18,"Missing game",0)</x:f>
        <x:v>34</x:v>
      </x:c>
      <x:c r="AN2204" t="str">
        <x:f>_xlfn.XLOOKUP($A2204,Games!$A$2:$A$18,Games!$I$2:$I$18,"Missing game",0)</x:f>
        <x:v>DAL</x:v>
      </x:c>
      <x:c r="AO2204" t="n">
        <x:f>_xlfn.XLOOKUP($A2204,Games!$A$2:$A$18,Games!$J$2:$J$18,"Missing game",0)</x:f>
        <x:v>26</x:v>
      </x:c>
      <x:c r="AP2204" t="n">
        <x:f>_xlfn.XLOOKUP($A2204,Games!$A$2:$A$18,Games!$K$2:$K$18,"Missing game",0)</x:f>
        <x:v>-8</x:v>
      </x:c>
      <x:c r="AQ2204" t="n">
        <x:f>_xlfn.XLOOKUP($A2204,Games!$A$2:$A$18,Games!$L$2:$L$18,"Missing game",0)</x:f>
        <x:v>60</x:v>
      </x:c>
      <x:c r="AR2204" t="n">
        <x:f>_xlfn.XLOOKUP($A2204,Games!$A$2:$A$18,Games!$M$2:$M$18,"Missing game",0)</x:f>
        <x:v>0</x:v>
      </x:c>
      <x:c r="AS2204" t="str">
        <x:f>_xlfn.XLOOKUP($A2204,Games!$A$2:$A$18,Games!$N$2:$N$18,"Missing game",0)</x:f>
        <x:v>closed</x:v>
      </x:c>
      <x:c r="AT2204" t="str">
        <x:f>_xlfn.XLOOKUP($A2204,Games!$A$2:$A$18,Games!$O$2:$O$18,"Missing game",0)</x:f>
        <x:v>matrixturf</x:v>
      </x:c>
      <x:c r="AU2204" t="str">
        <x:f>_xlfn.XLOOKUP($A2204,Games!$A$2:$A$18,Games!$P$2:$P$18,"Missing game",0)</x:f>
      </x:c>
      <x:c r="AV2204" t="str">
        <x:f>_xlfn.XLOOKUP($A2204,Games!$A$2:$A$18,Games!$Q$2:$Q$18,"Missing game",0)</x:f>
      </x:c>
      <x:c r="AW2204" t="str">
        <x:f>_xlfn.XLOOKUP($A2204,Games!$A$2:$A$18,Games!$R$2:$R$18,"Missing game",0)</x:f>
        <x:v>AT&amp;T Stadium</x:v>
      </x:c>
    </x:row>
    <x:row r="2205">
      <x:c r="A2205" t="str">
        <x:v>2025_15_MIN_DAL</x:v>
      </x:c>
      <x:c r="B2205" t="n">
        <x:v>1316</x:v>
      </x:c>
      <x:c r="C2205" t="n">
        <x:v>2</x:v>
      </x:c>
      <x:c r="D2205" t="str">
        <x:v>09:28</x:v>
      </x:c>
      <x:c r="E2205"/>
      <x:c r="F2205" t="n">
        <x:v>0</x:v>
      </x:c>
      <x:c r="G2205" t="str">
        <x:v>DAL</x:v>
      </x:c>
      <x:c r="H2205" t="str">
        <x:v>MIN</x:v>
      </x:c>
      <x:c r="I2205" t="str">
        <x:v>MIN</x:v>
      </x:c>
      <x:c r="J2205" t="n">
        <x:v>35</x:v>
      </x:c>
      <x:c r="K2205" t="str">
        <x:v>16-W.Reichard kicks 60 yards from MIN 35 to DAL 5. 9-K.Turpin pushed ob at DAL 43 for 38 yards (96-T.Batty).</x:v>
      </x:c>
      <x:c r="L2205" t="str">
        <x:v>kickoff</x:v>
      </x:c>
      <x:c r="M2205" t="n">
        <x:v>0</x:v>
      </x:c>
      <x:c r="N2205" t="n">
        <x:v>0</x:v>
      </x:c>
      <x:c r="O2205" t="n">
        <x:v>0</x:v>
      </x:c>
      <x:c r="P2205"/>
      <x:c r="Q2205"/>
      <x:c r="R2205"/>
      <x:c r="S2205"/>
      <x:c r="T2205"/>
      <x:c r="U2205"/>
      <x:c r="V2205" t="n">
        <x:v>0</x:v>
      </x:c>
      <x:c r="W2205" t="n">
        <x:v>0</x:v>
      </x:c>
      <x:c r="X2205" t="n">
        <x:v>0</x:v>
      </x:c>
      <x:c r="Y2205" t="n">
        <x:v>0</x:v>
      </x:c>
      <x:c r="Z2205" t="n">
        <x:v>0</x:v>
      </x:c>
      <x:c r="AA2205" t="n">
        <x:v>0</x:v>
      </x:c>
      <x:c r="AB2205"/>
      <x:c r="AC2205" t="n">
        <x:v>0</x:v>
      </x:c>
      <x:c r="AD2205" t="n">
        <x:v>1.054981144843623</x:v>
      </x:c>
      <x:c r="AE2205" t="n">
        <x:v>1</x:v>
      </x:c>
      <x:c r="AF2205" t="n">
        <x:v>0.0353318452835083</x:v>
      </x:c>
      <x:c r="AG2205" t="n">
        <x:f>_xlfn.XLOOKUP($A2205,Games!$A$2:$A$18,Games!$B$2:$B$18,"Missing game",0)</x:f>
        <x:v>2025</x:v>
      </x:c>
      <x:c r="AH2205" t="str">
        <x:f>_xlfn.XLOOKUP($A2205,Games!$A$2:$A$18,Games!$C$2:$C$18,"Missing game",0)</x:f>
        <x:v>REG</x:v>
      </x:c>
      <x:c r="AI2205" t="n">
        <x:f>_xlfn.XLOOKUP($A2205,Games!$A$2:$A$18,Games!$D$2:$D$18,"Missing game",0)</x:f>
        <x:v>15</x:v>
      </x:c>
      <x:c r="AJ2205" s="1" t="n">
        <x:f>_xlfn.XLOOKUP($A2205,Games!$A$2:$A$18,Games!$E$2:$E$18,"Missing game",0)</x:f>
        <x:v>46005</x:v>
      </x:c>
      <x:c r="AK2205" t="str">
        <x:f>_xlfn.XLOOKUP($A2205,Games!$A$2:$A$18,Games!$F$2:$F$18,"Missing game",0)</x:f>
        <x:v>Sunday</x:v>
      </x:c>
      <x:c r="AL2205" t="str">
        <x:f>_xlfn.XLOOKUP($A2205,Games!$A$2:$A$18,Games!$G$2:$G$18,"Missing game",0)</x:f>
        <x:v>MIN</x:v>
      </x:c>
      <x:c r="AM2205" t="n">
        <x:f>_xlfn.XLOOKUP($A2205,Games!$A$2:$A$18,Games!$H$2:$H$18,"Missing game",0)</x:f>
        <x:v>34</x:v>
      </x:c>
      <x:c r="AN2205" t="str">
        <x:f>_xlfn.XLOOKUP($A2205,Games!$A$2:$A$18,Games!$I$2:$I$18,"Missing game",0)</x:f>
        <x:v>DAL</x:v>
      </x:c>
      <x:c r="AO2205" t="n">
        <x:f>_xlfn.XLOOKUP($A2205,Games!$A$2:$A$18,Games!$J$2:$J$18,"Missing game",0)</x:f>
        <x:v>26</x:v>
      </x:c>
      <x:c r="AP2205" t="n">
        <x:f>_xlfn.XLOOKUP($A2205,Games!$A$2:$A$18,Games!$K$2:$K$18,"Missing game",0)</x:f>
        <x:v>-8</x:v>
      </x:c>
      <x:c r="AQ2205" t="n">
        <x:f>_xlfn.XLOOKUP($A2205,Games!$A$2:$A$18,Games!$L$2:$L$18,"Missing game",0)</x:f>
        <x:v>60</x:v>
      </x:c>
      <x:c r="AR2205" t="n">
        <x:f>_xlfn.XLOOKUP($A2205,Games!$A$2:$A$18,Games!$M$2:$M$18,"Missing game",0)</x:f>
        <x:v>0</x:v>
      </x:c>
      <x:c r="AS2205" t="str">
        <x:f>_xlfn.XLOOKUP($A2205,Games!$A$2:$A$18,Games!$N$2:$N$18,"Missing game",0)</x:f>
        <x:v>closed</x:v>
      </x:c>
      <x:c r="AT2205" t="str">
        <x:f>_xlfn.XLOOKUP($A2205,Games!$A$2:$A$18,Games!$O$2:$O$18,"Missing game",0)</x:f>
        <x:v>matrixturf</x:v>
      </x:c>
      <x:c r="AU2205" t="str">
        <x:f>_xlfn.XLOOKUP($A2205,Games!$A$2:$A$18,Games!$P$2:$P$18,"Missing game",0)</x:f>
      </x:c>
      <x:c r="AV2205" t="str">
        <x:f>_xlfn.XLOOKUP($A2205,Games!$A$2:$A$18,Games!$Q$2:$Q$18,"Missing game",0)</x:f>
      </x:c>
      <x:c r="AW2205" t="str">
        <x:f>_xlfn.XLOOKUP($A2205,Games!$A$2:$A$18,Games!$R$2:$R$18,"Missing game",0)</x:f>
        <x:v>AT&amp;T Stadium</x:v>
      </x:c>
    </x:row>
    <x:row r="2206">
      <x:c r="A2206" t="str">
        <x:v>2025_15_MIN_DAL</x:v>
      </x:c>
      <x:c r="B2206" t="n">
        <x:v>1351</x:v>
      </x:c>
      <x:c r="C2206" t="n">
        <x:v>2</x:v>
      </x:c>
      <x:c r="D2206" t="str">
        <x:v>09:23</x:v>
      </x:c>
      <x:c r="E2206" t="n">
        <x:v>1</x:v>
      </x:c>
      <x:c r="F2206" t="n">
        <x:v>10</x:v>
      </x:c>
      <x:c r="G2206" t="str">
        <x:v>DAL</x:v>
      </x:c>
      <x:c r="H2206" t="str">
        <x:v>MIN</x:v>
      </x:c>
      <x:c r="I2206" t="str">
        <x:v>DAL</x:v>
      </x:c>
      <x:c r="J2206" t="n">
        <x:v>57</x:v>
      </x:c>
      <x:c r="K2206" t="str">
        <x:v>(9:23) 43-M.Davis left tackle to DAL 43 for no gain (61-J.Redmond).</x:v>
      </x:c>
      <x:c r="L2206" t="str">
        <x:v>run</x:v>
      </x:c>
      <x:c r="M2206" t="n">
        <x:v>0</x:v>
      </x:c>
      <x:c r="N2206" t="n">
        <x:v>0</x:v>
      </x:c>
      <x:c r="O2206" t="n">
        <x:v>0</x:v>
      </x:c>
      <x:c r="P2206"/>
      <x:c r="Q2206"/>
      <x:c r="R2206"/>
      <x:c r="S2206"/>
      <x:c r="T2206" t="str">
        <x:v>left</x:v>
      </x:c>
      <x:c r="U2206" t="str">
        <x:v>tackle</x:v>
      </x:c>
      <x:c r="V2206" t="n">
        <x:v>0</x:v>
      </x:c>
      <x:c r="W2206" t="n">
        <x:v>0</x:v>
      </x:c>
      <x:c r="X2206" t="n">
        <x:v>0</x:v>
      </x:c>
      <x:c r="Y2206" t="n">
        <x:v>0</x:v>
      </x:c>
      <x:c r="Z2206" t="n">
        <x:v>0</x:v>
      </x:c>
      <x:c r="AA2206" t="n">
        <x:v>0</x:v>
      </x:c>
      <x:c r="AB2206"/>
      <x:c r="AC2206" t="n">
        <x:v>0</x:v>
      </x:c>
      <x:c r="AD2206" t="n">
        <x:v>-0.477945692371577</x:v>
      </x:c>
      <x:c r="AE2206" t="n">
        <x:v>0</x:v>
      </x:c>
      <x:c r="AF2206" t="n">
        <x:v>-0.014730274677276611</x:v>
      </x:c>
      <x:c r="AG2206" t="n">
        <x:f>_xlfn.XLOOKUP($A2206,Games!$A$2:$A$18,Games!$B$2:$B$18,"Missing game",0)</x:f>
        <x:v>2025</x:v>
      </x:c>
      <x:c r="AH2206" t="str">
        <x:f>_xlfn.XLOOKUP($A2206,Games!$A$2:$A$18,Games!$C$2:$C$18,"Missing game",0)</x:f>
        <x:v>REG</x:v>
      </x:c>
      <x:c r="AI2206" t="n">
        <x:f>_xlfn.XLOOKUP($A2206,Games!$A$2:$A$18,Games!$D$2:$D$18,"Missing game",0)</x:f>
        <x:v>15</x:v>
      </x:c>
      <x:c r="AJ2206" s="1" t="n">
        <x:f>_xlfn.XLOOKUP($A2206,Games!$A$2:$A$18,Games!$E$2:$E$18,"Missing game",0)</x:f>
        <x:v>46005</x:v>
      </x:c>
      <x:c r="AK2206" t="str">
        <x:f>_xlfn.XLOOKUP($A2206,Games!$A$2:$A$18,Games!$F$2:$F$18,"Missing game",0)</x:f>
        <x:v>Sunday</x:v>
      </x:c>
      <x:c r="AL2206" t="str">
        <x:f>_xlfn.XLOOKUP($A2206,Games!$A$2:$A$18,Games!$G$2:$G$18,"Missing game",0)</x:f>
        <x:v>MIN</x:v>
      </x:c>
      <x:c r="AM2206" t="n">
        <x:f>_xlfn.XLOOKUP($A2206,Games!$A$2:$A$18,Games!$H$2:$H$18,"Missing game",0)</x:f>
        <x:v>34</x:v>
      </x:c>
      <x:c r="AN2206" t="str">
        <x:f>_xlfn.XLOOKUP($A2206,Games!$A$2:$A$18,Games!$I$2:$I$18,"Missing game",0)</x:f>
        <x:v>DAL</x:v>
      </x:c>
      <x:c r="AO2206" t="n">
        <x:f>_xlfn.XLOOKUP($A2206,Games!$A$2:$A$18,Games!$J$2:$J$18,"Missing game",0)</x:f>
        <x:v>26</x:v>
      </x:c>
      <x:c r="AP2206" t="n">
        <x:f>_xlfn.XLOOKUP($A2206,Games!$A$2:$A$18,Games!$K$2:$K$18,"Missing game",0)</x:f>
        <x:v>-8</x:v>
      </x:c>
      <x:c r="AQ2206" t="n">
        <x:f>_xlfn.XLOOKUP($A2206,Games!$A$2:$A$18,Games!$L$2:$L$18,"Missing game",0)</x:f>
        <x:v>60</x:v>
      </x:c>
      <x:c r="AR2206" t="n">
        <x:f>_xlfn.XLOOKUP($A2206,Games!$A$2:$A$18,Games!$M$2:$M$18,"Missing game",0)</x:f>
        <x:v>0</x:v>
      </x:c>
      <x:c r="AS2206" t="str">
        <x:f>_xlfn.XLOOKUP($A2206,Games!$A$2:$A$18,Games!$N$2:$N$18,"Missing game",0)</x:f>
        <x:v>closed</x:v>
      </x:c>
      <x:c r="AT2206" t="str">
        <x:f>_xlfn.XLOOKUP($A2206,Games!$A$2:$A$18,Games!$O$2:$O$18,"Missing game",0)</x:f>
        <x:v>matrixturf</x:v>
      </x:c>
      <x:c r="AU2206" t="str">
        <x:f>_xlfn.XLOOKUP($A2206,Games!$A$2:$A$18,Games!$P$2:$P$18,"Missing game",0)</x:f>
      </x:c>
      <x:c r="AV2206" t="str">
        <x:f>_xlfn.XLOOKUP($A2206,Games!$A$2:$A$18,Games!$Q$2:$Q$18,"Missing game",0)</x:f>
      </x:c>
      <x:c r="AW2206" t="str">
        <x:f>_xlfn.XLOOKUP($A2206,Games!$A$2:$A$18,Games!$R$2:$R$18,"Missing game",0)</x:f>
        <x:v>AT&amp;T Stadium</x:v>
      </x:c>
    </x:row>
    <x:row r="2207">
      <x:c r="A2207" t="str">
        <x:v>2025_15_MIN_DAL</x:v>
      </x:c>
      <x:c r="B2207" t="n">
        <x:v>1373</x:v>
      </x:c>
      <x:c r="C2207" t="n">
        <x:v>2</x:v>
      </x:c>
      <x:c r="D2207" t="str">
        <x:v>08:46</x:v>
      </x:c>
      <x:c r="E2207" t="n">
        <x:v>2</x:v>
      </x:c>
      <x:c r="F2207" t="n">
        <x:v>10</x:v>
      </x:c>
      <x:c r="G2207" t="str">
        <x:v>DAL</x:v>
      </x:c>
      <x:c r="H2207" t="str">
        <x:v>MIN</x:v>
      </x:c>
      <x:c r="I2207" t="str">
        <x:v>DAL</x:v>
      </x:c>
      <x:c r="J2207" t="n">
        <x:v>57</x:v>
      </x:c>
      <x:c r="K2207" t="str">
        <x:v>(8:46) (Shotgun) 4-D.Prescott pass incomplete short right to 88-C.Lamb (7-B.Murphy, 22-H.Smith).</x:v>
      </x:c>
      <x:c r="L2207" t="str">
        <x:v>pass</x:v>
      </x:c>
      <x:c r="M2207" t="n">
        <x:v>0</x:v>
      </x:c>
      <x:c r="N2207" t="n">
        <x:v>1</x:v>
      </x:c>
      <x:c r="O2207" t="n">
        <x:v>0</x:v>
      </x:c>
      <x:c r="P2207" t="str">
        <x:v>short</x:v>
      </x:c>
      <x:c r="Q2207" t="str">
        <x:v>right</x:v>
      </x:c>
      <x:c r="R2207" t="n">
        <x:v>7</x:v>
      </x:c>
      <x:c r="S2207"/>
      <x:c r="T2207"/>
      <x:c r="U2207"/>
      <x:c r="V2207" t="n">
        <x:v>0</x:v>
      </x:c>
      <x:c r="W2207" t="n">
        <x:v>0</x:v>
      </x:c>
      <x:c r="X2207" t="n">
        <x:v>0</x:v>
      </x:c>
      <x:c r="Y2207" t="n">
        <x:v>0</x:v>
      </x:c>
      <x:c r="Z2207" t="n">
        <x:v>0</x:v>
      </x:c>
      <x:c r="AA2207" t="n">
        <x:v>0</x:v>
      </x:c>
      <x:c r="AB2207"/>
      <x:c r="AC2207" t="n">
        <x:v>0</x:v>
      </x:c>
      <x:c r="AD2207" t="n">
        <x:v>-0.8204200284089893</x:v>
      </x:c>
      <x:c r="AE2207" t="n">
        <x:v>0</x:v>
      </x:c>
      <x:c r="AF2207" t="n">
        <x:v>-0.031062304973602295</x:v>
      </x:c>
      <x:c r="AG2207" t="n">
        <x:f>_xlfn.XLOOKUP($A2207,Games!$A$2:$A$18,Games!$B$2:$B$18,"Missing game",0)</x:f>
        <x:v>2025</x:v>
      </x:c>
      <x:c r="AH2207" t="str">
        <x:f>_xlfn.XLOOKUP($A2207,Games!$A$2:$A$18,Games!$C$2:$C$18,"Missing game",0)</x:f>
        <x:v>REG</x:v>
      </x:c>
      <x:c r="AI2207" t="n">
        <x:f>_xlfn.XLOOKUP($A2207,Games!$A$2:$A$18,Games!$D$2:$D$18,"Missing game",0)</x:f>
        <x:v>15</x:v>
      </x:c>
      <x:c r="AJ2207" s="1" t="n">
        <x:f>_xlfn.XLOOKUP($A2207,Games!$A$2:$A$18,Games!$E$2:$E$18,"Missing game",0)</x:f>
        <x:v>46005</x:v>
      </x:c>
      <x:c r="AK2207" t="str">
        <x:f>_xlfn.XLOOKUP($A2207,Games!$A$2:$A$18,Games!$F$2:$F$18,"Missing game",0)</x:f>
        <x:v>Sunday</x:v>
      </x:c>
      <x:c r="AL2207" t="str">
        <x:f>_xlfn.XLOOKUP($A2207,Games!$A$2:$A$18,Games!$G$2:$G$18,"Missing game",0)</x:f>
        <x:v>MIN</x:v>
      </x:c>
      <x:c r="AM2207" t="n">
        <x:f>_xlfn.XLOOKUP($A2207,Games!$A$2:$A$18,Games!$H$2:$H$18,"Missing game",0)</x:f>
        <x:v>34</x:v>
      </x:c>
      <x:c r="AN2207" t="str">
        <x:f>_xlfn.XLOOKUP($A2207,Games!$A$2:$A$18,Games!$I$2:$I$18,"Missing game",0)</x:f>
        <x:v>DAL</x:v>
      </x:c>
      <x:c r="AO2207" t="n">
        <x:f>_xlfn.XLOOKUP($A2207,Games!$A$2:$A$18,Games!$J$2:$J$18,"Missing game",0)</x:f>
        <x:v>26</x:v>
      </x:c>
      <x:c r="AP2207" t="n">
        <x:f>_xlfn.XLOOKUP($A2207,Games!$A$2:$A$18,Games!$K$2:$K$18,"Missing game",0)</x:f>
        <x:v>-8</x:v>
      </x:c>
      <x:c r="AQ2207" t="n">
        <x:f>_xlfn.XLOOKUP($A2207,Games!$A$2:$A$18,Games!$L$2:$L$18,"Missing game",0)</x:f>
        <x:v>60</x:v>
      </x:c>
      <x:c r="AR2207" t="n">
        <x:f>_xlfn.XLOOKUP($A2207,Games!$A$2:$A$18,Games!$M$2:$M$18,"Missing game",0)</x:f>
        <x:v>0</x:v>
      </x:c>
      <x:c r="AS2207" t="str">
        <x:f>_xlfn.XLOOKUP($A2207,Games!$A$2:$A$18,Games!$N$2:$N$18,"Missing game",0)</x:f>
        <x:v>closed</x:v>
      </x:c>
      <x:c r="AT2207" t="str">
        <x:f>_xlfn.XLOOKUP($A2207,Games!$A$2:$A$18,Games!$O$2:$O$18,"Missing game",0)</x:f>
        <x:v>matrixturf</x:v>
      </x:c>
      <x:c r="AU2207" t="str">
        <x:f>_xlfn.XLOOKUP($A2207,Games!$A$2:$A$18,Games!$P$2:$P$18,"Missing game",0)</x:f>
      </x:c>
      <x:c r="AV2207" t="str">
        <x:f>_xlfn.XLOOKUP($A2207,Games!$A$2:$A$18,Games!$Q$2:$Q$18,"Missing game",0)</x:f>
      </x:c>
      <x:c r="AW2207" t="str">
        <x:f>_xlfn.XLOOKUP($A2207,Games!$A$2:$A$18,Games!$R$2:$R$18,"Missing game",0)</x:f>
        <x:v>AT&amp;T Stadium</x:v>
      </x:c>
    </x:row>
    <x:row r="2208">
      <x:c r="A2208" t="str">
        <x:v>2025_15_MIN_DAL</x:v>
      </x:c>
      <x:c r="B2208" t="n">
        <x:v>1396</x:v>
      </x:c>
      <x:c r="C2208" t="n">
        <x:v>2</x:v>
      </x:c>
      <x:c r="D2208" t="str">
        <x:v>08:43</x:v>
      </x:c>
      <x:c r="E2208" t="n">
        <x:v>3</x:v>
      </x:c>
      <x:c r="F2208" t="n">
        <x:v>10</x:v>
      </x:c>
      <x:c r="G2208" t="str">
        <x:v>DAL</x:v>
      </x:c>
      <x:c r="H2208" t="str">
        <x:v>MIN</x:v>
      </x:c>
      <x:c r="I2208" t="str">
        <x:v>DAL</x:v>
      </x:c>
      <x:c r="J2208" t="n">
        <x:v>57</x:v>
      </x:c>
      <x:c r="K2208" t="str">
        <x:v>(8:43) (Shotgun) 4-D.Prescott pass short right to 87-J.Ferguson to 50 for 7 yards (7-B.Murphy).</x:v>
      </x:c>
      <x:c r="L2208" t="str">
        <x:v>pass</x:v>
      </x:c>
      <x:c r="M2208" t="n">
        <x:v>7</x:v>
      </x:c>
      <x:c r="N2208" t="n">
        <x:v>1</x:v>
      </x:c>
      <x:c r="O2208" t="n">
        <x:v>0</x:v>
      </x:c>
      <x:c r="P2208" t="str">
        <x:v>short</x:v>
      </x:c>
      <x:c r="Q2208" t="str">
        <x:v>right</x:v>
      </x:c>
      <x:c r="R2208" t="n">
        <x:v>-4</x:v>
      </x:c>
      <x:c r="S2208" t="n">
        <x:v>11</x:v>
      </x:c>
      <x:c r="T2208"/>
      <x:c r="U2208"/>
      <x:c r="V2208" t="n">
        <x:v>1</x:v>
      </x:c>
      <x:c r="W2208" t="n">
        <x:v>0</x:v>
      </x:c>
      <x:c r="X2208" t="n">
        <x:v>0</x:v>
      </x:c>
      <x:c r="Y2208" t="n">
        <x:v>0</x:v>
      </x:c>
      <x:c r="Z2208" t="n">
        <x:v>0</x:v>
      </x:c>
      <x:c r="AA2208" t="n">
        <x:v>0</x:v>
      </x:c>
      <x:c r="AB2208"/>
      <x:c r="AC2208" t="n">
        <x:v>0</x:v>
      </x:c>
      <x:c r="AD2208" t="n">
        <x:v>-0.9275373134296387</x:v>
      </x:c>
      <x:c r="AE2208" t="n">
        <x:v>0</x:v>
      </x:c>
      <x:c r="AF2208" t="n">
        <x:v>-0.008464694023132324</x:v>
      </x:c>
      <x:c r="AG2208" t="n">
        <x:f>_xlfn.XLOOKUP($A2208,Games!$A$2:$A$18,Games!$B$2:$B$18,"Missing game",0)</x:f>
        <x:v>2025</x:v>
      </x:c>
      <x:c r="AH2208" t="str">
        <x:f>_xlfn.XLOOKUP($A2208,Games!$A$2:$A$18,Games!$C$2:$C$18,"Missing game",0)</x:f>
        <x:v>REG</x:v>
      </x:c>
      <x:c r="AI2208" t="n">
        <x:f>_xlfn.XLOOKUP($A2208,Games!$A$2:$A$18,Games!$D$2:$D$18,"Missing game",0)</x:f>
        <x:v>15</x:v>
      </x:c>
      <x:c r="AJ2208" s="1" t="n">
        <x:f>_xlfn.XLOOKUP($A2208,Games!$A$2:$A$18,Games!$E$2:$E$18,"Missing game",0)</x:f>
        <x:v>46005</x:v>
      </x:c>
      <x:c r="AK2208" t="str">
        <x:f>_xlfn.XLOOKUP($A2208,Games!$A$2:$A$18,Games!$F$2:$F$18,"Missing game",0)</x:f>
        <x:v>Sunday</x:v>
      </x:c>
      <x:c r="AL2208" t="str">
        <x:f>_xlfn.XLOOKUP($A2208,Games!$A$2:$A$18,Games!$G$2:$G$18,"Missing game",0)</x:f>
        <x:v>MIN</x:v>
      </x:c>
      <x:c r="AM2208" t="n">
        <x:f>_xlfn.XLOOKUP($A2208,Games!$A$2:$A$18,Games!$H$2:$H$18,"Missing game",0)</x:f>
        <x:v>34</x:v>
      </x:c>
      <x:c r="AN2208" t="str">
        <x:f>_xlfn.XLOOKUP($A2208,Games!$A$2:$A$18,Games!$I$2:$I$18,"Missing game",0)</x:f>
        <x:v>DAL</x:v>
      </x:c>
      <x:c r="AO2208" t="n">
        <x:f>_xlfn.XLOOKUP($A2208,Games!$A$2:$A$18,Games!$J$2:$J$18,"Missing game",0)</x:f>
        <x:v>26</x:v>
      </x:c>
      <x:c r="AP2208" t="n">
        <x:f>_xlfn.XLOOKUP($A2208,Games!$A$2:$A$18,Games!$K$2:$K$18,"Missing game",0)</x:f>
        <x:v>-8</x:v>
      </x:c>
      <x:c r="AQ2208" t="n">
        <x:f>_xlfn.XLOOKUP($A2208,Games!$A$2:$A$18,Games!$L$2:$L$18,"Missing game",0)</x:f>
        <x:v>60</x:v>
      </x:c>
      <x:c r="AR2208" t="n">
        <x:f>_xlfn.XLOOKUP($A2208,Games!$A$2:$A$18,Games!$M$2:$M$18,"Missing game",0)</x:f>
        <x:v>0</x:v>
      </x:c>
      <x:c r="AS2208" t="str">
        <x:f>_xlfn.XLOOKUP($A2208,Games!$A$2:$A$18,Games!$N$2:$N$18,"Missing game",0)</x:f>
        <x:v>closed</x:v>
      </x:c>
      <x:c r="AT2208" t="str">
        <x:f>_xlfn.XLOOKUP($A2208,Games!$A$2:$A$18,Games!$O$2:$O$18,"Missing game",0)</x:f>
        <x:v>matrixturf</x:v>
      </x:c>
      <x:c r="AU2208" t="str">
        <x:f>_xlfn.XLOOKUP($A2208,Games!$A$2:$A$18,Games!$P$2:$P$18,"Missing game",0)</x:f>
      </x:c>
      <x:c r="AV2208" t="str">
        <x:f>_xlfn.XLOOKUP($A2208,Games!$A$2:$A$18,Games!$Q$2:$Q$18,"Missing game",0)</x:f>
      </x:c>
      <x:c r="AW2208" t="str">
        <x:f>_xlfn.XLOOKUP($A2208,Games!$A$2:$A$18,Games!$R$2:$R$18,"Missing game",0)</x:f>
        <x:v>AT&amp;T Stadium</x:v>
      </x:c>
    </x:row>
    <x:row r="2209">
      <x:c r="A2209" t="str">
        <x:v>2025_15_MIN_DAL</x:v>
      </x:c>
      <x:c r="B2209" t="n">
        <x:v>1421</x:v>
      </x:c>
      <x:c r="C2209" t="n">
        <x:v>2</x:v>
      </x:c>
      <x:c r="D2209" t="str">
        <x:v>08:00</x:v>
      </x:c>
      <x:c r="E2209" t="n">
        <x:v>4</x:v>
      </x:c>
      <x:c r="F2209" t="n">
        <x:v>3</x:v>
      </x:c>
      <x:c r="G2209" t="str">
        <x:v>DAL</x:v>
      </x:c>
      <x:c r="H2209" t="str">
        <x:v>MIN</x:v>
      </x:c>
      <x:c r="I2209" t="str">
        <x:v>50</x:v>
      </x:c>
      <x:c r="J2209" t="n">
        <x:v>50</x:v>
      </x:c>
      <x:c r="K2209" t="str">
        <x:v>(8:00) (Shotgun) 4-D.Prescott pass short middle to 88-C.Lamb to MIN 33 for 17 yards (55-E.Wilson).</x:v>
      </x:c>
      <x:c r="L2209" t="str">
        <x:v>pass</x:v>
      </x:c>
      <x:c r="M2209" t="n">
        <x:v>17</x:v>
      </x:c>
      <x:c r="N2209" t="n">
        <x:v>1</x:v>
      </x:c>
      <x:c r="O2209" t="n">
        <x:v>0</x:v>
      </x:c>
      <x:c r="P2209" t="str">
        <x:v>short</x:v>
      </x:c>
      <x:c r="Q2209" t="str">
        <x:v>middle</x:v>
      </x:c>
      <x:c r="R2209" t="n">
        <x:v>12</x:v>
      </x:c>
      <x:c r="S2209" t="n">
        <x:v>5</x:v>
      </x:c>
      <x:c r="T2209"/>
      <x:c r="U2209"/>
      <x:c r="V2209" t="n">
        <x:v>1</x:v>
      </x:c>
      <x:c r="W2209" t="n">
        <x:v>1</x:v>
      </x:c>
      <x:c r="X2209" t="n">
        <x:v>0</x:v>
      </x:c>
      <x:c r="Y2209" t="n">
        <x:v>0</x:v>
      </x:c>
      <x:c r="Z2209" t="n">
        <x:v>0</x:v>
      </x:c>
      <x:c r="AA2209" t="n">
        <x:v>0</x:v>
      </x:c>
      <x:c r="AB2209"/>
      <x:c r="AC2209" t="n">
        <x:v>0</x:v>
      </x:c>
      <x:c r="AD2209" t="n">
        <x:v>3.5046609972487204</x:v>
      </x:c>
      <x:c r="AE2209" t="n">
        <x:v>1</x:v>
      </x:c>
      <x:c r="AF2209" t="n">
        <x:v>0.10697907209396362</x:v>
      </x:c>
      <x:c r="AG2209" t="n">
        <x:f>_xlfn.XLOOKUP($A2209,Games!$A$2:$A$18,Games!$B$2:$B$18,"Missing game",0)</x:f>
        <x:v>2025</x:v>
      </x:c>
      <x:c r="AH2209" t="str">
        <x:f>_xlfn.XLOOKUP($A2209,Games!$A$2:$A$18,Games!$C$2:$C$18,"Missing game",0)</x:f>
        <x:v>REG</x:v>
      </x:c>
      <x:c r="AI2209" t="n">
        <x:f>_xlfn.XLOOKUP($A2209,Games!$A$2:$A$18,Games!$D$2:$D$18,"Missing game",0)</x:f>
        <x:v>15</x:v>
      </x:c>
      <x:c r="AJ2209" s="1" t="n">
        <x:f>_xlfn.XLOOKUP($A2209,Games!$A$2:$A$18,Games!$E$2:$E$18,"Missing game",0)</x:f>
        <x:v>46005</x:v>
      </x:c>
      <x:c r="AK2209" t="str">
        <x:f>_xlfn.XLOOKUP($A2209,Games!$A$2:$A$18,Games!$F$2:$F$18,"Missing game",0)</x:f>
        <x:v>Sunday</x:v>
      </x:c>
      <x:c r="AL2209" t="str">
        <x:f>_xlfn.XLOOKUP($A2209,Games!$A$2:$A$18,Games!$G$2:$G$18,"Missing game",0)</x:f>
        <x:v>MIN</x:v>
      </x:c>
      <x:c r="AM2209" t="n">
        <x:f>_xlfn.XLOOKUP($A2209,Games!$A$2:$A$18,Games!$H$2:$H$18,"Missing game",0)</x:f>
        <x:v>34</x:v>
      </x:c>
      <x:c r="AN2209" t="str">
        <x:f>_xlfn.XLOOKUP($A2209,Games!$A$2:$A$18,Games!$I$2:$I$18,"Missing game",0)</x:f>
        <x:v>DAL</x:v>
      </x:c>
      <x:c r="AO2209" t="n">
        <x:f>_xlfn.XLOOKUP($A2209,Games!$A$2:$A$18,Games!$J$2:$J$18,"Missing game",0)</x:f>
        <x:v>26</x:v>
      </x:c>
      <x:c r="AP2209" t="n">
        <x:f>_xlfn.XLOOKUP($A2209,Games!$A$2:$A$18,Games!$K$2:$K$18,"Missing game",0)</x:f>
        <x:v>-8</x:v>
      </x:c>
      <x:c r="AQ2209" t="n">
        <x:f>_xlfn.XLOOKUP($A2209,Games!$A$2:$A$18,Games!$L$2:$L$18,"Missing game",0)</x:f>
        <x:v>60</x:v>
      </x:c>
      <x:c r="AR2209" t="n">
        <x:f>_xlfn.XLOOKUP($A2209,Games!$A$2:$A$18,Games!$M$2:$M$18,"Missing game",0)</x:f>
        <x:v>0</x:v>
      </x:c>
      <x:c r="AS2209" t="str">
        <x:f>_xlfn.XLOOKUP($A2209,Games!$A$2:$A$18,Games!$N$2:$N$18,"Missing game",0)</x:f>
        <x:v>closed</x:v>
      </x:c>
      <x:c r="AT2209" t="str">
        <x:f>_xlfn.XLOOKUP($A2209,Games!$A$2:$A$18,Games!$O$2:$O$18,"Missing game",0)</x:f>
        <x:v>matrixturf</x:v>
      </x:c>
      <x:c r="AU2209" t="str">
        <x:f>_xlfn.XLOOKUP($A2209,Games!$A$2:$A$18,Games!$P$2:$P$18,"Missing game",0)</x:f>
      </x:c>
      <x:c r="AV2209" t="str">
        <x:f>_xlfn.XLOOKUP($A2209,Games!$A$2:$A$18,Games!$Q$2:$Q$18,"Missing game",0)</x:f>
      </x:c>
      <x:c r="AW2209" t="str">
        <x:f>_xlfn.XLOOKUP($A2209,Games!$A$2:$A$18,Games!$R$2:$R$18,"Missing game",0)</x:f>
        <x:v>AT&amp;T Stadium</x:v>
      </x:c>
    </x:row>
    <x:row r="2210">
      <x:c r="A2210" t="str">
        <x:v>2025_15_MIN_DAL</x:v>
      </x:c>
      <x:c r="B2210" t="n">
        <x:v>1446</x:v>
      </x:c>
      <x:c r="C2210" t="n">
        <x:v>2</x:v>
      </x:c>
      <x:c r="D2210" t="str">
        <x:v>07:20</x:v>
      </x:c>
      <x:c r="E2210" t="n">
        <x:v>1</x:v>
      </x:c>
      <x:c r="F2210" t="n">
        <x:v>10</x:v>
      </x:c>
      <x:c r="G2210" t="str">
        <x:v>DAL</x:v>
      </x:c>
      <x:c r="H2210" t="str">
        <x:v>MIN</x:v>
      </x:c>
      <x:c r="I2210" t="str">
        <x:v>MIN</x:v>
      </x:c>
      <x:c r="J2210" t="n">
        <x:v>33</x:v>
      </x:c>
      <x:c r="K2210" t="str">
        <x:v>(7:20) (Shotgun) 43-M.Davis up the middle to MIN 28 for 5 yards (43-A.Van Ginkel; 50-L.Rodriguez).</x:v>
      </x:c>
      <x:c r="L2210" t="str">
        <x:v>run</x:v>
      </x:c>
      <x:c r="M2210" t="n">
        <x:v>5</x:v>
      </x:c>
      <x:c r="N2210" t="n">
        <x:v>1</x:v>
      </x:c>
      <x:c r="O2210" t="n">
        <x:v>0</x:v>
      </x:c>
      <x:c r="P2210"/>
      <x:c r="Q2210"/>
      <x:c r="R2210"/>
      <x:c r="S2210"/>
      <x:c r="T2210" t="str">
        <x:v>middle</x:v>
      </x:c>
      <x:c r="U2210"/>
      <x:c r="V2210" t="n">
        <x:v>0</x:v>
      </x:c>
      <x:c r="W2210" t="n">
        <x:v>0</x:v>
      </x:c>
      <x:c r="X2210" t="n">
        <x:v>0</x:v>
      </x:c>
      <x:c r="Y2210" t="n">
        <x:v>0</x:v>
      </x:c>
      <x:c r="Z2210" t="n">
        <x:v>0</x:v>
      </x:c>
      <x:c r="AA2210" t="n">
        <x:v>0</x:v>
      </x:c>
      <x:c r="AB2210"/>
      <x:c r="AC2210" t="n">
        <x:v>0</x:v>
      </x:c>
      <x:c r="AD2210" t="n">
        <x:v>0.18119368562474847</x:v>
      </x:c>
      <x:c r="AE2210" t="n">
        <x:v>1</x:v>
      </x:c>
      <x:c r="AF2210" t="n">
        <x:v>0.007306098937988281</x:v>
      </x:c>
      <x:c r="AG2210" t="n">
        <x:f>_xlfn.XLOOKUP($A2210,Games!$A$2:$A$18,Games!$B$2:$B$18,"Missing game",0)</x:f>
        <x:v>2025</x:v>
      </x:c>
      <x:c r="AH2210" t="str">
        <x:f>_xlfn.XLOOKUP($A2210,Games!$A$2:$A$18,Games!$C$2:$C$18,"Missing game",0)</x:f>
        <x:v>REG</x:v>
      </x:c>
      <x:c r="AI2210" t="n">
        <x:f>_xlfn.XLOOKUP($A2210,Games!$A$2:$A$18,Games!$D$2:$D$18,"Missing game",0)</x:f>
        <x:v>15</x:v>
      </x:c>
      <x:c r="AJ2210" s="1" t="n">
        <x:f>_xlfn.XLOOKUP($A2210,Games!$A$2:$A$18,Games!$E$2:$E$18,"Missing game",0)</x:f>
        <x:v>46005</x:v>
      </x:c>
      <x:c r="AK2210" t="str">
        <x:f>_xlfn.XLOOKUP($A2210,Games!$A$2:$A$18,Games!$F$2:$F$18,"Missing game",0)</x:f>
        <x:v>Sunday</x:v>
      </x:c>
      <x:c r="AL2210" t="str">
        <x:f>_xlfn.XLOOKUP($A2210,Games!$A$2:$A$18,Games!$G$2:$G$18,"Missing game",0)</x:f>
        <x:v>MIN</x:v>
      </x:c>
      <x:c r="AM2210" t="n">
        <x:f>_xlfn.XLOOKUP($A2210,Games!$A$2:$A$18,Games!$H$2:$H$18,"Missing game",0)</x:f>
        <x:v>34</x:v>
      </x:c>
      <x:c r="AN2210" t="str">
        <x:f>_xlfn.XLOOKUP($A2210,Games!$A$2:$A$18,Games!$I$2:$I$18,"Missing game",0)</x:f>
        <x:v>DAL</x:v>
      </x:c>
      <x:c r="AO2210" t="n">
        <x:f>_xlfn.XLOOKUP($A2210,Games!$A$2:$A$18,Games!$J$2:$J$18,"Missing game",0)</x:f>
        <x:v>26</x:v>
      </x:c>
      <x:c r="AP2210" t="n">
        <x:f>_xlfn.XLOOKUP($A2210,Games!$A$2:$A$18,Games!$K$2:$K$18,"Missing game",0)</x:f>
        <x:v>-8</x:v>
      </x:c>
      <x:c r="AQ2210" t="n">
        <x:f>_xlfn.XLOOKUP($A2210,Games!$A$2:$A$18,Games!$L$2:$L$18,"Missing game",0)</x:f>
        <x:v>60</x:v>
      </x:c>
      <x:c r="AR2210" t="n">
        <x:f>_xlfn.XLOOKUP($A2210,Games!$A$2:$A$18,Games!$M$2:$M$18,"Missing game",0)</x:f>
        <x:v>0</x:v>
      </x:c>
      <x:c r="AS2210" t="str">
        <x:f>_xlfn.XLOOKUP($A2210,Games!$A$2:$A$18,Games!$N$2:$N$18,"Missing game",0)</x:f>
        <x:v>closed</x:v>
      </x:c>
      <x:c r="AT2210" t="str">
        <x:f>_xlfn.XLOOKUP($A2210,Games!$A$2:$A$18,Games!$O$2:$O$18,"Missing game",0)</x:f>
        <x:v>matrixturf</x:v>
      </x:c>
      <x:c r="AU2210" t="str">
        <x:f>_xlfn.XLOOKUP($A2210,Games!$A$2:$A$18,Games!$P$2:$P$18,"Missing game",0)</x:f>
      </x:c>
      <x:c r="AV2210" t="str">
        <x:f>_xlfn.XLOOKUP($A2210,Games!$A$2:$A$18,Games!$Q$2:$Q$18,"Missing game",0)</x:f>
      </x:c>
      <x:c r="AW2210" t="str">
        <x:f>_xlfn.XLOOKUP($A2210,Games!$A$2:$A$18,Games!$R$2:$R$18,"Missing game",0)</x:f>
        <x:v>AT&amp;T Stadium</x:v>
      </x:c>
    </x:row>
    <x:row r="2211">
      <x:c r="A2211" t="str">
        <x:v>2025_15_MIN_DAL</x:v>
      </x:c>
      <x:c r="B2211" t="n">
        <x:v>1468</x:v>
      </x:c>
      <x:c r="C2211" t="n">
        <x:v>2</x:v>
      </x:c>
      <x:c r="D2211" t="str">
        <x:v>06:45</x:v>
      </x:c>
      <x:c r="E2211" t="n">
        <x:v>2</x:v>
      </x:c>
      <x:c r="F2211" t="n">
        <x:v>5</x:v>
      </x:c>
      <x:c r="G2211" t="str">
        <x:v>DAL</x:v>
      </x:c>
      <x:c r="H2211" t="str">
        <x:v>MIN</x:v>
      </x:c>
      <x:c r="I2211" t="str">
        <x:v>MIN</x:v>
      </x:c>
      <x:c r="J2211" t="n">
        <x:v>28</x:v>
      </x:c>
      <x:c r="K2211" t="str">
        <x:v>(6:45) 4-D.Prescott pass incomplete short right to 87-J.Ferguson [50-L.Rodriguez].</x:v>
      </x:c>
      <x:c r="L2211" t="str">
        <x:v>pass</x:v>
      </x:c>
      <x:c r="M2211" t="n">
        <x:v>0</x:v>
      </x:c>
      <x:c r="N2211" t="n">
        <x:v>0</x:v>
      </x:c>
      <x:c r="O2211" t="n">
        <x:v>0</x:v>
      </x:c>
      <x:c r="P2211" t="str">
        <x:v>short</x:v>
      </x:c>
      <x:c r="Q2211" t="str">
        <x:v>right</x:v>
      </x:c>
      <x:c r="R2211" t="n">
        <x:v>8</x:v>
      </x:c>
      <x:c r="S2211"/>
      <x:c r="T2211"/>
      <x:c r="U2211"/>
      <x:c r="V2211" t="n">
        <x:v>0</x:v>
      </x:c>
      <x:c r="W2211" t="n">
        <x:v>0</x:v>
      </x:c>
      <x:c r="X2211" t="n">
        <x:v>0</x:v>
      </x:c>
      <x:c r="Y2211" t="n">
        <x:v>0</x:v>
      </x:c>
      <x:c r="Z2211" t="n">
        <x:v>0</x:v>
      </x:c>
      <x:c r="AA2211" t="n">
        <x:v>0</x:v>
      </x:c>
      <x:c r="AB2211"/>
      <x:c r="AC2211" t="n">
        <x:v>0</x:v>
      </x:c>
      <x:c r="AD2211" t="n">
        <x:v>-0.5515760427806526</x:v>
      </x:c>
      <x:c r="AE2211" t="n">
        <x:v>0</x:v>
      </x:c>
      <x:c r="AF2211" t="n">
        <x:v>-0.02312934398651123</x:v>
      </x:c>
      <x:c r="AG2211" t="n">
        <x:f>_xlfn.XLOOKUP($A2211,Games!$A$2:$A$18,Games!$B$2:$B$18,"Missing game",0)</x:f>
        <x:v>2025</x:v>
      </x:c>
      <x:c r="AH2211" t="str">
        <x:f>_xlfn.XLOOKUP($A2211,Games!$A$2:$A$18,Games!$C$2:$C$18,"Missing game",0)</x:f>
        <x:v>REG</x:v>
      </x:c>
      <x:c r="AI2211" t="n">
        <x:f>_xlfn.XLOOKUP($A2211,Games!$A$2:$A$18,Games!$D$2:$D$18,"Missing game",0)</x:f>
        <x:v>15</x:v>
      </x:c>
      <x:c r="AJ2211" s="1" t="n">
        <x:f>_xlfn.XLOOKUP($A2211,Games!$A$2:$A$18,Games!$E$2:$E$18,"Missing game",0)</x:f>
        <x:v>46005</x:v>
      </x:c>
      <x:c r="AK2211" t="str">
        <x:f>_xlfn.XLOOKUP($A2211,Games!$A$2:$A$18,Games!$F$2:$F$18,"Missing game",0)</x:f>
        <x:v>Sunday</x:v>
      </x:c>
      <x:c r="AL2211" t="str">
        <x:f>_xlfn.XLOOKUP($A2211,Games!$A$2:$A$18,Games!$G$2:$G$18,"Missing game",0)</x:f>
        <x:v>MIN</x:v>
      </x:c>
      <x:c r="AM2211" t="n">
        <x:f>_xlfn.XLOOKUP($A2211,Games!$A$2:$A$18,Games!$H$2:$H$18,"Missing game",0)</x:f>
        <x:v>34</x:v>
      </x:c>
      <x:c r="AN2211" t="str">
        <x:f>_xlfn.XLOOKUP($A2211,Games!$A$2:$A$18,Games!$I$2:$I$18,"Missing game",0)</x:f>
        <x:v>DAL</x:v>
      </x:c>
      <x:c r="AO2211" t="n">
        <x:f>_xlfn.XLOOKUP($A2211,Games!$A$2:$A$18,Games!$J$2:$J$18,"Missing game",0)</x:f>
        <x:v>26</x:v>
      </x:c>
      <x:c r="AP2211" t="n">
        <x:f>_xlfn.XLOOKUP($A2211,Games!$A$2:$A$18,Games!$K$2:$K$18,"Missing game",0)</x:f>
        <x:v>-8</x:v>
      </x:c>
      <x:c r="AQ2211" t="n">
        <x:f>_xlfn.XLOOKUP($A2211,Games!$A$2:$A$18,Games!$L$2:$L$18,"Missing game",0)</x:f>
        <x:v>60</x:v>
      </x:c>
      <x:c r="AR2211" t="n">
        <x:f>_xlfn.XLOOKUP($A2211,Games!$A$2:$A$18,Games!$M$2:$M$18,"Missing game",0)</x:f>
        <x:v>0</x:v>
      </x:c>
      <x:c r="AS2211" t="str">
        <x:f>_xlfn.XLOOKUP($A2211,Games!$A$2:$A$18,Games!$N$2:$N$18,"Missing game",0)</x:f>
        <x:v>closed</x:v>
      </x:c>
      <x:c r="AT2211" t="str">
        <x:f>_xlfn.XLOOKUP($A2211,Games!$A$2:$A$18,Games!$O$2:$O$18,"Missing game",0)</x:f>
        <x:v>matrixturf</x:v>
      </x:c>
      <x:c r="AU2211" t="str">
        <x:f>_xlfn.XLOOKUP($A2211,Games!$A$2:$A$18,Games!$P$2:$P$18,"Missing game",0)</x:f>
      </x:c>
      <x:c r="AV2211" t="str">
        <x:f>_xlfn.XLOOKUP($A2211,Games!$A$2:$A$18,Games!$Q$2:$Q$18,"Missing game",0)</x:f>
      </x:c>
      <x:c r="AW2211" t="str">
        <x:f>_xlfn.XLOOKUP($A2211,Games!$A$2:$A$18,Games!$R$2:$R$18,"Missing game",0)</x:f>
        <x:v>AT&amp;T Stadium</x:v>
      </x:c>
    </x:row>
    <x:row r="2212">
      <x:c r="A2212" t="str">
        <x:v>2025_15_MIN_DAL</x:v>
      </x:c>
      <x:c r="B2212" t="n">
        <x:v>1491</x:v>
      </x:c>
      <x:c r="C2212" t="n">
        <x:v>2</x:v>
      </x:c>
      <x:c r="D2212" t="str">
        <x:v>06:41</x:v>
      </x:c>
      <x:c r="E2212" t="n">
        <x:v>3</x:v>
      </x:c>
      <x:c r="F2212" t="n">
        <x:v>5</x:v>
      </x:c>
      <x:c r="G2212" t="str">
        <x:v>DAL</x:v>
      </x:c>
      <x:c r="H2212" t="str">
        <x:v>MIN</x:v>
      </x:c>
      <x:c r="I2212" t="str">
        <x:v>MIN</x:v>
      </x:c>
      <x:c r="J2212" t="n">
        <x:v>28</x:v>
      </x:c>
      <x:c r="K2212" t="str">
        <x:v>(6:41) (Shotgun) 4-D.Prescott sacked at MIN 33 for -5 yards (sack split by 58-J.Greenard and 97-J.Hargrave).</x:v>
      </x:c>
      <x:c r="L2212" t="str">
        <x:v>pass</x:v>
      </x:c>
      <x:c r="M2212" t="n">
        <x:v>-5</x:v>
      </x:c>
      <x:c r="N2212" t="n">
        <x:v>1</x:v>
      </x:c>
      <x:c r="O2212" t="n">
        <x:v>0</x:v>
      </x:c>
      <x:c r="P2212"/>
      <x:c r="Q2212"/>
      <x:c r="R2212"/>
      <x:c r="S2212"/>
      <x:c r="T2212"/>
      <x:c r="U2212"/>
      <x:c r="V2212" t="n">
        <x:v>0</x:v>
      </x:c>
      <x:c r="W2212" t="n">
        <x:v>0</x:v>
      </x:c>
      <x:c r="X2212" t="n">
        <x:v>1</x:v>
      </x:c>
      <x:c r="Y2212" t="n">
        <x:v>0</x:v>
      </x:c>
      <x:c r="Z2212" t="n">
        <x:v>0</x:v>
      </x:c>
      <x:c r="AA2212" t="n">
        <x:v>0</x:v>
      </x:c>
      <x:c r="AB2212"/>
      <x:c r="AC2212" t="n">
        <x:v>0</x:v>
      </x:c>
      <x:c r="AD2212" t="n">
        <x:v>-1.884463817698533</x:v>
      </x:c>
      <x:c r="AE2212" t="n">
        <x:v>0</x:v>
      </x:c>
      <x:c r="AF2212" t="n">
        <x:v>-0.0565909743309021</x:v>
      </x:c>
      <x:c r="AG2212" t="n">
        <x:f>_xlfn.XLOOKUP($A2212,Games!$A$2:$A$18,Games!$B$2:$B$18,"Missing game",0)</x:f>
        <x:v>2025</x:v>
      </x:c>
      <x:c r="AH2212" t="str">
        <x:f>_xlfn.XLOOKUP($A2212,Games!$A$2:$A$18,Games!$C$2:$C$18,"Missing game",0)</x:f>
        <x:v>REG</x:v>
      </x:c>
      <x:c r="AI2212" t="n">
        <x:f>_xlfn.XLOOKUP($A2212,Games!$A$2:$A$18,Games!$D$2:$D$18,"Missing game",0)</x:f>
        <x:v>15</x:v>
      </x:c>
      <x:c r="AJ2212" s="1" t="n">
        <x:f>_xlfn.XLOOKUP($A2212,Games!$A$2:$A$18,Games!$E$2:$E$18,"Missing game",0)</x:f>
        <x:v>46005</x:v>
      </x:c>
      <x:c r="AK2212" t="str">
        <x:f>_xlfn.XLOOKUP($A2212,Games!$A$2:$A$18,Games!$F$2:$F$18,"Missing game",0)</x:f>
        <x:v>Sunday</x:v>
      </x:c>
      <x:c r="AL2212" t="str">
        <x:f>_xlfn.XLOOKUP($A2212,Games!$A$2:$A$18,Games!$G$2:$G$18,"Missing game",0)</x:f>
        <x:v>MIN</x:v>
      </x:c>
      <x:c r="AM2212" t="n">
        <x:f>_xlfn.XLOOKUP($A2212,Games!$A$2:$A$18,Games!$H$2:$H$18,"Missing game",0)</x:f>
        <x:v>34</x:v>
      </x:c>
      <x:c r="AN2212" t="str">
        <x:f>_xlfn.XLOOKUP($A2212,Games!$A$2:$A$18,Games!$I$2:$I$18,"Missing game",0)</x:f>
        <x:v>DAL</x:v>
      </x:c>
      <x:c r="AO2212" t="n">
        <x:f>_xlfn.XLOOKUP($A2212,Games!$A$2:$A$18,Games!$J$2:$J$18,"Missing game",0)</x:f>
        <x:v>26</x:v>
      </x:c>
      <x:c r="AP2212" t="n">
        <x:f>_xlfn.XLOOKUP($A2212,Games!$A$2:$A$18,Games!$K$2:$K$18,"Missing game",0)</x:f>
        <x:v>-8</x:v>
      </x:c>
      <x:c r="AQ2212" t="n">
        <x:f>_xlfn.XLOOKUP($A2212,Games!$A$2:$A$18,Games!$L$2:$L$18,"Missing game",0)</x:f>
        <x:v>60</x:v>
      </x:c>
      <x:c r="AR2212" t="n">
        <x:f>_xlfn.XLOOKUP($A2212,Games!$A$2:$A$18,Games!$M$2:$M$18,"Missing game",0)</x:f>
        <x:v>0</x:v>
      </x:c>
      <x:c r="AS2212" t="str">
        <x:f>_xlfn.XLOOKUP($A2212,Games!$A$2:$A$18,Games!$N$2:$N$18,"Missing game",0)</x:f>
        <x:v>closed</x:v>
      </x:c>
      <x:c r="AT2212" t="str">
        <x:f>_xlfn.XLOOKUP($A2212,Games!$A$2:$A$18,Games!$O$2:$O$18,"Missing game",0)</x:f>
        <x:v>matrixturf</x:v>
      </x:c>
      <x:c r="AU2212" t="str">
        <x:f>_xlfn.XLOOKUP($A2212,Games!$A$2:$A$18,Games!$P$2:$P$18,"Missing game",0)</x:f>
      </x:c>
      <x:c r="AV2212" t="str">
        <x:f>_xlfn.XLOOKUP($A2212,Games!$A$2:$A$18,Games!$Q$2:$Q$18,"Missing game",0)</x:f>
      </x:c>
      <x:c r="AW2212" t="str">
        <x:f>_xlfn.XLOOKUP($A2212,Games!$A$2:$A$18,Games!$R$2:$R$18,"Missing game",0)</x:f>
        <x:v>AT&amp;T Stadium</x:v>
      </x:c>
    </x:row>
    <x:row r="2213">
      <x:c r="A2213" t="str">
        <x:v>2025_15_MIN_DAL</x:v>
      </x:c>
      <x:c r="B2213" t="n">
        <x:v>1503</x:v>
      </x:c>
      <x:c r="C2213" t="n">
        <x:v>2</x:v>
      </x:c>
      <x:c r="D2213" t="str">
        <x:v>06:41</x:v>
      </x:c>
      <x:c r="E2213"/>
      <x:c r="F2213" t="n">
        <x:v>0</x:v>
      </x:c>
      <x:c r="G2213"/>
      <x:c r="H2213"/>
      <x:c r="I2213"/>
      <x:c r="J2213"/>
      <x:c r="K2213" t="str">
        <x:v>Timeout #2 by DAL at 06:41.</x:v>
      </x:c>
      <x:c r="L2213" t="str">
        <x:v>no_play</x:v>
      </x:c>
      <x:c r="M2213" t="n">
        <x:v>0</x:v>
      </x:c>
      <x:c r="N2213" t="n">
        <x:v>0</x:v>
      </x:c>
      <x:c r="O2213" t="n">
        <x:v>0</x:v>
      </x:c>
      <x:c r="P2213"/>
      <x:c r="Q2213"/>
      <x:c r="R2213"/>
      <x:c r="S2213"/>
      <x:c r="T2213"/>
      <x:c r="U2213"/>
      <x:c r="V2213" t="n">
        <x:v>0</x:v>
      </x:c>
      <x:c r="W2213" t="n">
        <x:v>0</x:v>
      </x:c>
      <x:c r="X2213" t="n">
        <x:v>0</x:v>
      </x:c>
      <x:c r="Y2213" t="n">
        <x:v>0</x:v>
      </x:c>
      <x:c r="Z2213" t="n">
        <x:v>0</x:v>
      </x:c>
      <x:c r="AA2213" t="n">
        <x:v>0</x:v>
      </x:c>
      <x:c r="AB2213"/>
      <x:c r="AC2213" t="n">
        <x:v>0</x:v>
      </x:c>
      <x:c r="AD2213" t="n">
        <x:v>0</x:v>
      </x:c>
      <x:c r="AE2213" t="n">
        <x:v>0</x:v>
      </x:c>
      <x:c r="AF2213" t="n">
        <x:v>0</x:v>
      </x:c>
      <x:c r="AG2213" t="n">
        <x:f>_xlfn.XLOOKUP($A2213,Games!$A$2:$A$18,Games!$B$2:$B$18,"Missing game",0)</x:f>
        <x:v>2025</x:v>
      </x:c>
      <x:c r="AH2213" t="str">
        <x:f>_xlfn.XLOOKUP($A2213,Games!$A$2:$A$18,Games!$C$2:$C$18,"Missing game",0)</x:f>
        <x:v>REG</x:v>
      </x:c>
      <x:c r="AI2213" t="n">
        <x:f>_xlfn.XLOOKUP($A2213,Games!$A$2:$A$18,Games!$D$2:$D$18,"Missing game",0)</x:f>
        <x:v>15</x:v>
      </x:c>
      <x:c r="AJ2213" s="1" t="n">
        <x:f>_xlfn.XLOOKUP($A2213,Games!$A$2:$A$18,Games!$E$2:$E$18,"Missing game",0)</x:f>
        <x:v>46005</x:v>
      </x:c>
      <x:c r="AK2213" t="str">
        <x:f>_xlfn.XLOOKUP($A2213,Games!$A$2:$A$18,Games!$F$2:$F$18,"Missing game",0)</x:f>
        <x:v>Sunday</x:v>
      </x:c>
      <x:c r="AL2213" t="str">
        <x:f>_xlfn.XLOOKUP($A2213,Games!$A$2:$A$18,Games!$G$2:$G$18,"Missing game",0)</x:f>
        <x:v>MIN</x:v>
      </x:c>
      <x:c r="AM2213" t="n">
        <x:f>_xlfn.XLOOKUP($A2213,Games!$A$2:$A$18,Games!$H$2:$H$18,"Missing game",0)</x:f>
        <x:v>34</x:v>
      </x:c>
      <x:c r="AN2213" t="str">
        <x:f>_xlfn.XLOOKUP($A2213,Games!$A$2:$A$18,Games!$I$2:$I$18,"Missing game",0)</x:f>
        <x:v>DAL</x:v>
      </x:c>
      <x:c r="AO2213" t="n">
        <x:f>_xlfn.XLOOKUP($A2213,Games!$A$2:$A$18,Games!$J$2:$J$18,"Missing game",0)</x:f>
        <x:v>26</x:v>
      </x:c>
      <x:c r="AP2213" t="n">
        <x:f>_xlfn.XLOOKUP($A2213,Games!$A$2:$A$18,Games!$K$2:$K$18,"Missing game",0)</x:f>
        <x:v>-8</x:v>
      </x:c>
      <x:c r="AQ2213" t="n">
        <x:f>_xlfn.XLOOKUP($A2213,Games!$A$2:$A$18,Games!$L$2:$L$18,"Missing game",0)</x:f>
        <x:v>60</x:v>
      </x:c>
      <x:c r="AR2213" t="n">
        <x:f>_xlfn.XLOOKUP($A2213,Games!$A$2:$A$18,Games!$M$2:$M$18,"Missing game",0)</x:f>
        <x:v>0</x:v>
      </x:c>
      <x:c r="AS2213" t="str">
        <x:f>_xlfn.XLOOKUP($A2213,Games!$A$2:$A$18,Games!$N$2:$N$18,"Missing game",0)</x:f>
        <x:v>closed</x:v>
      </x:c>
      <x:c r="AT2213" t="str">
        <x:f>_xlfn.XLOOKUP($A2213,Games!$A$2:$A$18,Games!$O$2:$O$18,"Missing game",0)</x:f>
        <x:v>matrixturf</x:v>
      </x:c>
      <x:c r="AU2213" t="str">
        <x:f>_xlfn.XLOOKUP($A2213,Games!$A$2:$A$18,Games!$P$2:$P$18,"Missing game",0)</x:f>
      </x:c>
      <x:c r="AV2213" t="str">
        <x:f>_xlfn.XLOOKUP($A2213,Games!$A$2:$A$18,Games!$Q$2:$Q$18,"Missing game",0)</x:f>
      </x:c>
      <x:c r="AW2213" t="str">
        <x:f>_xlfn.XLOOKUP($A2213,Games!$A$2:$A$18,Games!$R$2:$R$18,"Missing game",0)</x:f>
        <x:v>AT&amp;T Stadium</x:v>
      </x:c>
    </x:row>
    <x:row r="2214">
      <x:c r="A2214" t="str">
        <x:v>2025_15_MIN_DAL</x:v>
      </x:c>
      <x:c r="B2214" t="n">
        <x:v>1518</x:v>
      </x:c>
      <x:c r="C2214" t="n">
        <x:v>2</x:v>
      </x:c>
      <x:c r="D2214" t="str">
        <x:v>05:56</x:v>
      </x:c>
      <x:c r="E2214" t="n">
        <x:v>4</x:v>
      </x:c>
      <x:c r="F2214" t="n">
        <x:v>10</x:v>
      </x:c>
      <x:c r="G2214" t="str">
        <x:v>DAL</x:v>
      </x:c>
      <x:c r="H2214" t="str">
        <x:v>MIN</x:v>
      </x:c>
      <x:c r="I2214" t="str">
        <x:v>MIN</x:v>
      </x:c>
      <x:c r="J2214" t="n">
        <x:v>33</x:v>
      </x:c>
      <x:c r="K2214" t="str">
        <x:v>(5:56) 17-B.Aubrey 51 yard field goal is No Good, Wide Right, Center-44-T.Sieg, Holder-5-B.Anger.</x:v>
      </x:c>
      <x:c r="L2214" t="str">
        <x:v>field_goal</x:v>
      </x:c>
      <x:c r="M2214" t="n">
        <x:v>0</x:v>
      </x:c>
      <x:c r="N2214" t="n">
        <x:v>0</x:v>
      </x:c>
      <x:c r="O2214" t="n">
        <x:v>0</x:v>
      </x:c>
      <x:c r="P2214"/>
      <x:c r="Q2214"/>
      <x:c r="R2214"/>
      <x:c r="S2214"/>
      <x:c r="T2214"/>
      <x:c r="U2214"/>
      <x:c r="V2214" t="n">
        <x:v>0</x:v>
      </x:c>
      <x:c r="W2214" t="n">
        <x:v>0</x:v>
      </x:c>
      <x:c r="X2214" t="n">
        <x:v>0</x:v>
      </x:c>
      <x:c r="Y2214" t="n">
        <x:v>0</x:v>
      </x:c>
      <x:c r="Z2214" t="n">
        <x:v>0</x:v>
      </x:c>
      <x:c r="AA2214" t="n">
        <x:v>0</x:v>
      </x:c>
      <x:c r="AB2214"/>
      <x:c r="AC2214" t="n">
        <x:v>0</x:v>
      </x:c>
      <x:c r="AD2214" t="n">
        <x:v>-3.5210139314270332</x:v>
      </x:c>
      <x:c r="AE2214" t="n">
        <x:v>0</x:v>
      </x:c>
      <x:c r="AF2214" t="n">
        <x:v>-0.07569193840026855</x:v>
      </x:c>
      <x:c r="AG2214" t="n">
        <x:f>_xlfn.XLOOKUP($A2214,Games!$A$2:$A$18,Games!$B$2:$B$18,"Missing game",0)</x:f>
        <x:v>2025</x:v>
      </x:c>
      <x:c r="AH2214" t="str">
        <x:f>_xlfn.XLOOKUP($A2214,Games!$A$2:$A$18,Games!$C$2:$C$18,"Missing game",0)</x:f>
        <x:v>REG</x:v>
      </x:c>
      <x:c r="AI2214" t="n">
        <x:f>_xlfn.XLOOKUP($A2214,Games!$A$2:$A$18,Games!$D$2:$D$18,"Missing game",0)</x:f>
        <x:v>15</x:v>
      </x:c>
      <x:c r="AJ2214" s="1" t="n">
        <x:f>_xlfn.XLOOKUP($A2214,Games!$A$2:$A$18,Games!$E$2:$E$18,"Missing game",0)</x:f>
        <x:v>46005</x:v>
      </x:c>
      <x:c r="AK2214" t="str">
        <x:f>_xlfn.XLOOKUP($A2214,Games!$A$2:$A$18,Games!$F$2:$F$18,"Missing game",0)</x:f>
        <x:v>Sunday</x:v>
      </x:c>
      <x:c r="AL2214" t="str">
        <x:f>_xlfn.XLOOKUP($A2214,Games!$A$2:$A$18,Games!$G$2:$G$18,"Missing game",0)</x:f>
        <x:v>MIN</x:v>
      </x:c>
      <x:c r="AM2214" t="n">
        <x:f>_xlfn.XLOOKUP($A2214,Games!$A$2:$A$18,Games!$H$2:$H$18,"Missing game",0)</x:f>
        <x:v>34</x:v>
      </x:c>
      <x:c r="AN2214" t="str">
        <x:f>_xlfn.XLOOKUP($A2214,Games!$A$2:$A$18,Games!$I$2:$I$18,"Missing game",0)</x:f>
        <x:v>DAL</x:v>
      </x:c>
      <x:c r="AO2214" t="n">
        <x:f>_xlfn.XLOOKUP($A2214,Games!$A$2:$A$18,Games!$J$2:$J$18,"Missing game",0)</x:f>
        <x:v>26</x:v>
      </x:c>
      <x:c r="AP2214" t="n">
        <x:f>_xlfn.XLOOKUP($A2214,Games!$A$2:$A$18,Games!$K$2:$K$18,"Missing game",0)</x:f>
        <x:v>-8</x:v>
      </x:c>
      <x:c r="AQ2214" t="n">
        <x:f>_xlfn.XLOOKUP($A2214,Games!$A$2:$A$18,Games!$L$2:$L$18,"Missing game",0)</x:f>
        <x:v>60</x:v>
      </x:c>
      <x:c r="AR2214" t="n">
        <x:f>_xlfn.XLOOKUP($A2214,Games!$A$2:$A$18,Games!$M$2:$M$18,"Missing game",0)</x:f>
        <x:v>0</x:v>
      </x:c>
      <x:c r="AS2214" t="str">
        <x:f>_xlfn.XLOOKUP($A2214,Games!$A$2:$A$18,Games!$N$2:$N$18,"Missing game",0)</x:f>
        <x:v>closed</x:v>
      </x:c>
      <x:c r="AT2214" t="str">
        <x:f>_xlfn.XLOOKUP($A2214,Games!$A$2:$A$18,Games!$O$2:$O$18,"Missing game",0)</x:f>
        <x:v>matrixturf</x:v>
      </x:c>
      <x:c r="AU2214" t="str">
        <x:f>_xlfn.XLOOKUP($A2214,Games!$A$2:$A$18,Games!$P$2:$P$18,"Missing game",0)</x:f>
      </x:c>
      <x:c r="AV2214" t="str">
        <x:f>_xlfn.XLOOKUP($A2214,Games!$A$2:$A$18,Games!$Q$2:$Q$18,"Missing game",0)</x:f>
      </x:c>
      <x:c r="AW2214" t="str">
        <x:f>_xlfn.XLOOKUP($A2214,Games!$A$2:$A$18,Games!$R$2:$R$18,"Missing game",0)</x:f>
        <x:v>AT&amp;T Stadium</x:v>
      </x:c>
    </x:row>
    <x:row r="2215">
      <x:c r="A2215" t="str">
        <x:v>2025_15_MIN_DAL</x:v>
      </x:c>
      <x:c r="B2215" t="n">
        <x:v>1548</x:v>
      </x:c>
      <x:c r="C2215" t="n">
        <x:v>2</x:v>
      </x:c>
      <x:c r="D2215" t="str">
        <x:v>05:51</x:v>
      </x:c>
      <x:c r="E2215" t="n">
        <x:v>1</x:v>
      </x:c>
      <x:c r="F2215" t="n">
        <x:v>10</x:v>
      </x:c>
      <x:c r="G2215" t="str">
        <x:v>MIN</x:v>
      </x:c>
      <x:c r="H2215" t="str">
        <x:v>DAL</x:v>
      </x:c>
      <x:c r="I2215" t="str">
        <x:v>MIN</x:v>
      </x:c>
      <x:c r="J2215" t="n">
        <x:v>59</x:v>
      </x:c>
      <x:c r="K2215" t="str">
        <x:v>(5:51) 9-J.McCarthy pass short right to 33-A.Jones pushed ob at MIN 49 for 8 yards (55-L.Wilson; 26-D.Bland).</x:v>
      </x:c>
      <x:c r="L2215" t="str">
        <x:v>pass</x:v>
      </x:c>
      <x:c r="M2215" t="n">
        <x:v>8</x:v>
      </x:c>
      <x:c r="N2215" t="n">
        <x:v>0</x:v>
      </x:c>
      <x:c r="O2215" t="n">
        <x:v>0</x:v>
      </x:c>
      <x:c r="P2215" t="str">
        <x:v>short</x:v>
      </x:c>
      <x:c r="Q2215" t="str">
        <x:v>right</x:v>
      </x:c>
      <x:c r="R2215" t="n">
        <x:v>2</x:v>
      </x:c>
      <x:c r="S2215" t="n">
        <x:v>6</x:v>
      </x:c>
      <x:c r="T2215"/>
      <x:c r="U2215"/>
      <x:c r="V2215" t="n">
        <x:v>1</x:v>
      </x:c>
      <x:c r="W2215" t="n">
        <x:v>0</x:v>
      </x:c>
      <x:c r="X2215" t="n">
        <x:v>0</x:v>
      </x:c>
      <x:c r="Y2215" t="n">
        <x:v>0</x:v>
      </x:c>
      <x:c r="Z2215" t="n">
        <x:v>0</x:v>
      </x:c>
      <x:c r="AA2215" t="n">
        <x:v>0</x:v>
      </x:c>
      <x:c r="AB2215"/>
      <x:c r="AC2215" t="n">
        <x:v>0</x:v>
      </x:c>
      <x:c r="AD2215" t="n">
        <x:v>0.5845563991460949</x:v>
      </x:c>
      <x:c r="AE2215" t="n">
        <x:v>1</x:v>
      </x:c>
      <x:c r="AF2215" t="n">
        <x:v>0.033607929944992065</x:v>
      </x:c>
      <x:c r="AG2215" t="n">
        <x:f>_xlfn.XLOOKUP($A2215,Games!$A$2:$A$18,Games!$B$2:$B$18,"Missing game",0)</x:f>
        <x:v>2025</x:v>
      </x:c>
      <x:c r="AH2215" t="str">
        <x:f>_xlfn.XLOOKUP($A2215,Games!$A$2:$A$18,Games!$C$2:$C$18,"Missing game",0)</x:f>
        <x:v>REG</x:v>
      </x:c>
      <x:c r="AI2215" t="n">
        <x:f>_xlfn.XLOOKUP($A2215,Games!$A$2:$A$18,Games!$D$2:$D$18,"Missing game",0)</x:f>
        <x:v>15</x:v>
      </x:c>
      <x:c r="AJ2215" s="1" t="n">
        <x:f>_xlfn.XLOOKUP($A2215,Games!$A$2:$A$18,Games!$E$2:$E$18,"Missing game",0)</x:f>
        <x:v>46005</x:v>
      </x:c>
      <x:c r="AK2215" t="str">
        <x:f>_xlfn.XLOOKUP($A2215,Games!$A$2:$A$18,Games!$F$2:$F$18,"Missing game",0)</x:f>
        <x:v>Sunday</x:v>
      </x:c>
      <x:c r="AL2215" t="str">
        <x:f>_xlfn.XLOOKUP($A2215,Games!$A$2:$A$18,Games!$G$2:$G$18,"Missing game",0)</x:f>
        <x:v>MIN</x:v>
      </x:c>
      <x:c r="AM2215" t="n">
        <x:f>_xlfn.XLOOKUP($A2215,Games!$A$2:$A$18,Games!$H$2:$H$18,"Missing game",0)</x:f>
        <x:v>34</x:v>
      </x:c>
      <x:c r="AN2215" t="str">
        <x:f>_xlfn.XLOOKUP($A2215,Games!$A$2:$A$18,Games!$I$2:$I$18,"Missing game",0)</x:f>
        <x:v>DAL</x:v>
      </x:c>
      <x:c r="AO2215" t="n">
        <x:f>_xlfn.XLOOKUP($A2215,Games!$A$2:$A$18,Games!$J$2:$J$18,"Missing game",0)</x:f>
        <x:v>26</x:v>
      </x:c>
      <x:c r="AP2215" t="n">
        <x:f>_xlfn.XLOOKUP($A2215,Games!$A$2:$A$18,Games!$K$2:$K$18,"Missing game",0)</x:f>
        <x:v>-8</x:v>
      </x:c>
      <x:c r="AQ2215" t="n">
        <x:f>_xlfn.XLOOKUP($A2215,Games!$A$2:$A$18,Games!$L$2:$L$18,"Missing game",0)</x:f>
        <x:v>60</x:v>
      </x:c>
      <x:c r="AR2215" t="n">
        <x:f>_xlfn.XLOOKUP($A2215,Games!$A$2:$A$18,Games!$M$2:$M$18,"Missing game",0)</x:f>
        <x:v>0</x:v>
      </x:c>
      <x:c r="AS2215" t="str">
        <x:f>_xlfn.XLOOKUP($A2215,Games!$A$2:$A$18,Games!$N$2:$N$18,"Missing game",0)</x:f>
        <x:v>closed</x:v>
      </x:c>
      <x:c r="AT2215" t="str">
        <x:f>_xlfn.XLOOKUP($A2215,Games!$A$2:$A$18,Games!$O$2:$O$18,"Missing game",0)</x:f>
        <x:v>matrixturf</x:v>
      </x:c>
      <x:c r="AU2215" t="str">
        <x:f>_xlfn.XLOOKUP($A2215,Games!$A$2:$A$18,Games!$P$2:$P$18,"Missing game",0)</x:f>
      </x:c>
      <x:c r="AV2215" t="str">
        <x:f>_xlfn.XLOOKUP($A2215,Games!$A$2:$A$18,Games!$Q$2:$Q$18,"Missing game",0)</x:f>
      </x:c>
      <x:c r="AW2215" t="str">
        <x:f>_xlfn.XLOOKUP($A2215,Games!$A$2:$A$18,Games!$R$2:$R$18,"Missing game",0)</x:f>
        <x:v>AT&amp;T Stadium</x:v>
      </x:c>
    </x:row>
    <x:row r="2216">
      <x:c r="A2216" t="str">
        <x:v>2025_15_MIN_DAL</x:v>
      </x:c>
      <x:c r="B2216" t="n">
        <x:v>1585</x:v>
      </x:c>
      <x:c r="C2216" t="n">
        <x:v>2</x:v>
      </x:c>
      <x:c r="D2216" t="str">
        <x:v>05:15</x:v>
      </x:c>
      <x:c r="E2216" t="n">
        <x:v>2</x:v>
      </x:c>
      <x:c r="F2216" t="n">
        <x:v>2</x:v>
      </x:c>
      <x:c r="G2216" t="str">
        <x:v>MIN</x:v>
      </x:c>
      <x:c r="H2216" t="str">
        <x:v>DAL</x:v>
      </x:c>
      <x:c r="I2216" t="str">
        <x:v>MIN</x:v>
      </x:c>
      <x:c r="J2216" t="n">
        <x:v>51</x:v>
      </x:c>
      <x:c r="K2216" t="str">
        <x:v>(5:15) 33-A.Jones right end to DAL 38 for 13 yards (6-D.Wilson).</x:v>
      </x:c>
      <x:c r="L2216" t="str">
        <x:v>run</x:v>
      </x:c>
      <x:c r="M2216" t="n">
        <x:v>13</x:v>
      </x:c>
      <x:c r="N2216" t="n">
        <x:v>0</x:v>
      </x:c>
      <x:c r="O2216" t="n">
        <x:v>0</x:v>
      </x:c>
      <x:c r="P2216"/>
      <x:c r="Q2216"/>
      <x:c r="R2216"/>
      <x:c r="S2216"/>
      <x:c r="T2216" t="str">
        <x:v>right</x:v>
      </x:c>
      <x:c r="U2216" t="str">
        <x:v>end</x:v>
      </x:c>
      <x:c r="V2216" t="n">
        <x:v>0</x:v>
      </x:c>
      <x:c r="W2216" t="n">
        <x:v>1</x:v>
      </x:c>
      <x:c r="X2216" t="n">
        <x:v>0</x:v>
      </x:c>
      <x:c r="Y2216" t="n">
        <x:v>0</x:v>
      </x:c>
      <x:c r="Z2216" t="n">
        <x:v>0</x:v>
      </x:c>
      <x:c r="AA2216" t="n">
        <x:v>0</x:v>
      </x:c>
      <x:c r="AB2216"/>
      <x:c r="AC2216" t="n">
        <x:v>0</x:v>
      </x:c>
      <x:c r="AD2216" t="n">
        <x:v>0.856514934450388</x:v>
      </x:c>
      <x:c r="AE2216" t="n">
        <x:v>1</x:v>
      </x:c>
      <x:c r="AF2216" t="n">
        <x:v>0.04715821146965027</x:v>
      </x:c>
      <x:c r="AG2216" t="n">
        <x:f>_xlfn.XLOOKUP($A2216,Games!$A$2:$A$18,Games!$B$2:$B$18,"Missing game",0)</x:f>
        <x:v>2025</x:v>
      </x:c>
      <x:c r="AH2216" t="str">
        <x:f>_xlfn.XLOOKUP($A2216,Games!$A$2:$A$18,Games!$C$2:$C$18,"Missing game",0)</x:f>
        <x:v>REG</x:v>
      </x:c>
      <x:c r="AI2216" t="n">
        <x:f>_xlfn.XLOOKUP($A2216,Games!$A$2:$A$18,Games!$D$2:$D$18,"Missing game",0)</x:f>
        <x:v>15</x:v>
      </x:c>
      <x:c r="AJ2216" s="1" t="n">
        <x:f>_xlfn.XLOOKUP($A2216,Games!$A$2:$A$18,Games!$E$2:$E$18,"Missing game",0)</x:f>
        <x:v>46005</x:v>
      </x:c>
      <x:c r="AK2216" t="str">
        <x:f>_xlfn.XLOOKUP($A2216,Games!$A$2:$A$18,Games!$F$2:$F$18,"Missing game",0)</x:f>
        <x:v>Sunday</x:v>
      </x:c>
      <x:c r="AL2216" t="str">
        <x:f>_xlfn.XLOOKUP($A2216,Games!$A$2:$A$18,Games!$G$2:$G$18,"Missing game",0)</x:f>
        <x:v>MIN</x:v>
      </x:c>
      <x:c r="AM2216" t="n">
        <x:f>_xlfn.XLOOKUP($A2216,Games!$A$2:$A$18,Games!$H$2:$H$18,"Missing game",0)</x:f>
        <x:v>34</x:v>
      </x:c>
      <x:c r="AN2216" t="str">
        <x:f>_xlfn.XLOOKUP($A2216,Games!$A$2:$A$18,Games!$I$2:$I$18,"Missing game",0)</x:f>
        <x:v>DAL</x:v>
      </x:c>
      <x:c r="AO2216" t="n">
        <x:f>_xlfn.XLOOKUP($A2216,Games!$A$2:$A$18,Games!$J$2:$J$18,"Missing game",0)</x:f>
        <x:v>26</x:v>
      </x:c>
      <x:c r="AP2216" t="n">
        <x:f>_xlfn.XLOOKUP($A2216,Games!$A$2:$A$18,Games!$K$2:$K$18,"Missing game",0)</x:f>
        <x:v>-8</x:v>
      </x:c>
      <x:c r="AQ2216" t="n">
        <x:f>_xlfn.XLOOKUP($A2216,Games!$A$2:$A$18,Games!$L$2:$L$18,"Missing game",0)</x:f>
        <x:v>60</x:v>
      </x:c>
      <x:c r="AR2216" t="n">
        <x:f>_xlfn.XLOOKUP($A2216,Games!$A$2:$A$18,Games!$M$2:$M$18,"Missing game",0)</x:f>
        <x:v>0</x:v>
      </x:c>
      <x:c r="AS2216" t="str">
        <x:f>_xlfn.XLOOKUP($A2216,Games!$A$2:$A$18,Games!$N$2:$N$18,"Missing game",0)</x:f>
        <x:v>closed</x:v>
      </x:c>
      <x:c r="AT2216" t="str">
        <x:f>_xlfn.XLOOKUP($A2216,Games!$A$2:$A$18,Games!$O$2:$O$18,"Missing game",0)</x:f>
        <x:v>matrixturf</x:v>
      </x:c>
      <x:c r="AU2216" t="str">
        <x:f>_xlfn.XLOOKUP($A2216,Games!$A$2:$A$18,Games!$P$2:$P$18,"Missing game",0)</x:f>
      </x:c>
      <x:c r="AV2216" t="str">
        <x:f>_xlfn.XLOOKUP($A2216,Games!$A$2:$A$18,Games!$Q$2:$Q$18,"Missing game",0)</x:f>
      </x:c>
      <x:c r="AW2216" t="str">
        <x:f>_xlfn.XLOOKUP($A2216,Games!$A$2:$A$18,Games!$R$2:$R$18,"Missing game",0)</x:f>
        <x:v>AT&amp;T Stadium</x:v>
      </x:c>
    </x:row>
    <x:row r="2217">
      <x:c r="A2217" t="str">
        <x:v>2025_15_MIN_DAL</x:v>
      </x:c>
      <x:c r="B2217" t="n">
        <x:v>1607</x:v>
      </x:c>
      <x:c r="C2217" t="n">
        <x:v>2</x:v>
      </x:c>
      <x:c r="D2217" t="str">
        <x:v>04:33</x:v>
      </x:c>
      <x:c r="E2217" t="n">
        <x:v>1</x:v>
      </x:c>
      <x:c r="F2217" t="n">
        <x:v>10</x:v>
      </x:c>
      <x:c r="G2217" t="str">
        <x:v>MIN</x:v>
      </x:c>
      <x:c r="H2217" t="str">
        <x:v>DAL</x:v>
      </x:c>
      <x:c r="I2217" t="str">
        <x:v>DAL</x:v>
      </x:c>
      <x:c r="J2217" t="n">
        <x:v>38</x:v>
      </x:c>
      <x:c r="K2217" t="str">
        <x:v>(4:33) 9-J.McCarthy pass short right to 33-A.Jones to DAL 33 for 5 yards (34-S.Revel).</x:v>
      </x:c>
      <x:c r="L2217" t="str">
        <x:v>pass</x:v>
      </x:c>
      <x:c r="M2217" t="n">
        <x:v>5</x:v>
      </x:c>
      <x:c r="N2217" t="n">
        <x:v>0</x:v>
      </x:c>
      <x:c r="O2217" t="n">
        <x:v>0</x:v>
      </x:c>
      <x:c r="P2217" t="str">
        <x:v>short</x:v>
      </x:c>
      <x:c r="Q2217" t="str">
        <x:v>right</x:v>
      </x:c>
      <x:c r="R2217" t="n">
        <x:v>1</x:v>
      </x:c>
      <x:c r="S2217" t="n">
        <x:v>4</x:v>
      </x:c>
      <x:c r="T2217"/>
      <x:c r="U2217"/>
      <x:c r="V2217" t="n">
        <x:v>1</x:v>
      </x:c>
      <x:c r="W2217" t="n">
        <x:v>0</x:v>
      </x:c>
      <x:c r="X2217" t="n">
        <x:v>0</x:v>
      </x:c>
      <x:c r="Y2217" t="n">
        <x:v>0</x:v>
      </x:c>
      <x:c r="Z2217" t="n">
        <x:v>0</x:v>
      </x:c>
      <x:c r="AA2217" t="n">
        <x:v>0</x:v>
      </x:c>
      <x:c r="AB2217"/>
      <x:c r="AC2217" t="n">
        <x:v>0</x:v>
      </x:c>
      <x:c r="AD2217" t="n">
        <x:v>-0.10898984409868717</x:v>
      </x:c>
      <x:c r="AE2217" t="n">
        <x:v>0</x:v>
      </x:c>
      <x:c r="AF2217" t="n">
        <x:v>-0.009659886360168457</x:v>
      </x:c>
      <x:c r="AG2217" t="n">
        <x:f>_xlfn.XLOOKUP($A2217,Games!$A$2:$A$18,Games!$B$2:$B$18,"Missing game",0)</x:f>
        <x:v>2025</x:v>
      </x:c>
      <x:c r="AH2217" t="str">
        <x:f>_xlfn.XLOOKUP($A2217,Games!$A$2:$A$18,Games!$C$2:$C$18,"Missing game",0)</x:f>
        <x:v>REG</x:v>
      </x:c>
      <x:c r="AI2217" t="n">
        <x:f>_xlfn.XLOOKUP($A2217,Games!$A$2:$A$18,Games!$D$2:$D$18,"Missing game",0)</x:f>
        <x:v>15</x:v>
      </x:c>
      <x:c r="AJ2217" s="1" t="n">
        <x:f>_xlfn.XLOOKUP($A2217,Games!$A$2:$A$18,Games!$E$2:$E$18,"Missing game",0)</x:f>
        <x:v>46005</x:v>
      </x:c>
      <x:c r="AK2217" t="str">
        <x:f>_xlfn.XLOOKUP($A2217,Games!$A$2:$A$18,Games!$F$2:$F$18,"Missing game",0)</x:f>
        <x:v>Sunday</x:v>
      </x:c>
      <x:c r="AL2217" t="str">
        <x:f>_xlfn.XLOOKUP($A2217,Games!$A$2:$A$18,Games!$G$2:$G$18,"Missing game",0)</x:f>
        <x:v>MIN</x:v>
      </x:c>
      <x:c r="AM2217" t="n">
        <x:f>_xlfn.XLOOKUP($A2217,Games!$A$2:$A$18,Games!$H$2:$H$18,"Missing game",0)</x:f>
        <x:v>34</x:v>
      </x:c>
      <x:c r="AN2217" t="str">
        <x:f>_xlfn.XLOOKUP($A2217,Games!$A$2:$A$18,Games!$I$2:$I$18,"Missing game",0)</x:f>
        <x:v>DAL</x:v>
      </x:c>
      <x:c r="AO2217" t="n">
        <x:f>_xlfn.XLOOKUP($A2217,Games!$A$2:$A$18,Games!$J$2:$J$18,"Missing game",0)</x:f>
        <x:v>26</x:v>
      </x:c>
      <x:c r="AP2217" t="n">
        <x:f>_xlfn.XLOOKUP($A2217,Games!$A$2:$A$18,Games!$K$2:$K$18,"Missing game",0)</x:f>
        <x:v>-8</x:v>
      </x:c>
      <x:c r="AQ2217" t="n">
        <x:f>_xlfn.XLOOKUP($A2217,Games!$A$2:$A$18,Games!$L$2:$L$18,"Missing game",0)</x:f>
        <x:v>60</x:v>
      </x:c>
      <x:c r="AR2217" t="n">
        <x:f>_xlfn.XLOOKUP($A2217,Games!$A$2:$A$18,Games!$M$2:$M$18,"Missing game",0)</x:f>
        <x:v>0</x:v>
      </x:c>
      <x:c r="AS2217" t="str">
        <x:f>_xlfn.XLOOKUP($A2217,Games!$A$2:$A$18,Games!$N$2:$N$18,"Missing game",0)</x:f>
        <x:v>closed</x:v>
      </x:c>
      <x:c r="AT2217" t="str">
        <x:f>_xlfn.XLOOKUP($A2217,Games!$A$2:$A$18,Games!$O$2:$O$18,"Missing game",0)</x:f>
        <x:v>matrixturf</x:v>
      </x:c>
      <x:c r="AU2217" t="str">
        <x:f>_xlfn.XLOOKUP($A2217,Games!$A$2:$A$18,Games!$P$2:$P$18,"Missing game",0)</x:f>
      </x:c>
      <x:c r="AV2217" t="str">
        <x:f>_xlfn.XLOOKUP($A2217,Games!$A$2:$A$18,Games!$Q$2:$Q$18,"Missing game",0)</x:f>
      </x:c>
      <x:c r="AW2217" t="str">
        <x:f>_xlfn.XLOOKUP($A2217,Games!$A$2:$A$18,Games!$R$2:$R$18,"Missing game",0)</x:f>
        <x:v>AT&amp;T Stadium</x:v>
      </x:c>
    </x:row>
    <x:row r="2218">
      <x:c r="A2218" t="str">
        <x:v>2025_15_MIN_DAL</x:v>
      </x:c>
      <x:c r="B2218" t="n">
        <x:v>1632</x:v>
      </x:c>
      <x:c r="C2218" t="n">
        <x:v>2</x:v>
      </x:c>
      <x:c r="D2218" t="str">
        <x:v>03:51</x:v>
      </x:c>
      <x:c r="E2218" t="n">
        <x:v>2</x:v>
      </x:c>
      <x:c r="F2218" t="n">
        <x:v>5</x:v>
      </x:c>
      <x:c r="G2218" t="str">
        <x:v>MIN</x:v>
      </x:c>
      <x:c r="H2218" t="str">
        <x:v>DAL</x:v>
      </x:c>
      <x:c r="I2218" t="str">
        <x:v>DAL</x:v>
      </x:c>
      <x:c r="J2218" t="n">
        <x:v>33</x:v>
      </x:c>
      <x:c r="K2218" t="str">
        <x:v>(3:51) (Shotgun) 9-J.McCarthy pass short middle to 18-J.Jefferson to DAL 21 for 12 yards (26-D.Bland).</x:v>
      </x:c>
      <x:c r="L2218" t="str">
        <x:v>pass</x:v>
      </x:c>
      <x:c r="M2218" t="n">
        <x:v>12</x:v>
      </x:c>
      <x:c r="N2218" t="n">
        <x:v>1</x:v>
      </x:c>
      <x:c r="O2218" t="n">
        <x:v>0</x:v>
      </x:c>
      <x:c r="P2218" t="str">
        <x:v>short</x:v>
      </x:c>
      <x:c r="Q2218" t="str">
        <x:v>middle</x:v>
      </x:c>
      <x:c r="R2218" t="n">
        <x:v>8</x:v>
      </x:c>
      <x:c r="S2218" t="n">
        <x:v>4</x:v>
      </x:c>
      <x:c r="T2218"/>
      <x:c r="U2218"/>
      <x:c r="V2218" t="n">
        <x:v>1</x:v>
      </x:c>
      <x:c r="W2218" t="n">
        <x:v>1</x:v>
      </x:c>
      <x:c r="X2218" t="n">
        <x:v>0</x:v>
      </x:c>
      <x:c r="Y2218" t="n">
        <x:v>0</x:v>
      </x:c>
      <x:c r="Z2218" t="n">
        <x:v>0</x:v>
      </x:c>
      <x:c r="AA2218" t="n">
        <x:v>0</x:v>
      </x:c>
      <x:c r="AB2218"/>
      <x:c r="AC2218" t="n">
        <x:v>0</x:v>
      </x:c>
      <x:c r="AD2218" t="n">
        <x:v>1.0019299869891256</x:v>
      </x:c>
      <x:c r="AE2218" t="n">
        <x:v>1</x:v>
      </x:c>
      <x:c r="AF2218" t="n">
        <x:v>0.05216038227081299</x:v>
      </x:c>
      <x:c r="AG2218" t="n">
        <x:f>_xlfn.XLOOKUP($A2218,Games!$A$2:$A$18,Games!$B$2:$B$18,"Missing game",0)</x:f>
        <x:v>2025</x:v>
      </x:c>
      <x:c r="AH2218" t="str">
        <x:f>_xlfn.XLOOKUP($A2218,Games!$A$2:$A$18,Games!$C$2:$C$18,"Missing game",0)</x:f>
        <x:v>REG</x:v>
      </x:c>
      <x:c r="AI2218" t="n">
        <x:f>_xlfn.XLOOKUP($A2218,Games!$A$2:$A$18,Games!$D$2:$D$18,"Missing game",0)</x:f>
        <x:v>15</x:v>
      </x:c>
      <x:c r="AJ2218" s="1" t="n">
        <x:f>_xlfn.XLOOKUP($A2218,Games!$A$2:$A$18,Games!$E$2:$E$18,"Missing game",0)</x:f>
        <x:v>46005</x:v>
      </x:c>
      <x:c r="AK2218" t="str">
        <x:f>_xlfn.XLOOKUP($A2218,Games!$A$2:$A$18,Games!$F$2:$F$18,"Missing game",0)</x:f>
        <x:v>Sunday</x:v>
      </x:c>
      <x:c r="AL2218" t="str">
        <x:f>_xlfn.XLOOKUP($A2218,Games!$A$2:$A$18,Games!$G$2:$G$18,"Missing game",0)</x:f>
        <x:v>MIN</x:v>
      </x:c>
      <x:c r="AM2218" t="n">
        <x:f>_xlfn.XLOOKUP($A2218,Games!$A$2:$A$18,Games!$H$2:$H$18,"Missing game",0)</x:f>
        <x:v>34</x:v>
      </x:c>
      <x:c r="AN2218" t="str">
        <x:f>_xlfn.XLOOKUP($A2218,Games!$A$2:$A$18,Games!$I$2:$I$18,"Missing game",0)</x:f>
        <x:v>DAL</x:v>
      </x:c>
      <x:c r="AO2218" t="n">
        <x:f>_xlfn.XLOOKUP($A2218,Games!$A$2:$A$18,Games!$J$2:$J$18,"Missing game",0)</x:f>
        <x:v>26</x:v>
      </x:c>
      <x:c r="AP2218" t="n">
        <x:f>_xlfn.XLOOKUP($A2218,Games!$A$2:$A$18,Games!$K$2:$K$18,"Missing game",0)</x:f>
        <x:v>-8</x:v>
      </x:c>
      <x:c r="AQ2218" t="n">
        <x:f>_xlfn.XLOOKUP($A2218,Games!$A$2:$A$18,Games!$L$2:$L$18,"Missing game",0)</x:f>
        <x:v>60</x:v>
      </x:c>
      <x:c r="AR2218" t="n">
        <x:f>_xlfn.XLOOKUP($A2218,Games!$A$2:$A$18,Games!$M$2:$M$18,"Missing game",0)</x:f>
        <x:v>0</x:v>
      </x:c>
      <x:c r="AS2218" t="str">
        <x:f>_xlfn.XLOOKUP($A2218,Games!$A$2:$A$18,Games!$N$2:$N$18,"Missing game",0)</x:f>
        <x:v>closed</x:v>
      </x:c>
      <x:c r="AT2218" t="str">
        <x:f>_xlfn.XLOOKUP($A2218,Games!$A$2:$A$18,Games!$O$2:$O$18,"Missing game",0)</x:f>
        <x:v>matrixturf</x:v>
      </x:c>
      <x:c r="AU2218" t="str">
        <x:f>_xlfn.XLOOKUP($A2218,Games!$A$2:$A$18,Games!$P$2:$P$18,"Missing game",0)</x:f>
      </x:c>
      <x:c r="AV2218" t="str">
        <x:f>_xlfn.XLOOKUP($A2218,Games!$A$2:$A$18,Games!$Q$2:$Q$18,"Missing game",0)</x:f>
      </x:c>
      <x:c r="AW2218" t="str">
        <x:f>_xlfn.XLOOKUP($A2218,Games!$A$2:$A$18,Games!$R$2:$R$18,"Missing game",0)</x:f>
        <x:v>AT&amp;T Stadium</x:v>
      </x:c>
    </x:row>
    <x:row r="2219">
      <x:c r="A2219" t="str">
        <x:v>2025_15_MIN_DAL</x:v>
      </x:c>
      <x:c r="B2219" t="n">
        <x:v>1657</x:v>
      </x:c>
      <x:c r="C2219" t="n">
        <x:v>2</x:v>
      </x:c>
      <x:c r="D2219" t="str">
        <x:v>03:07</x:v>
      </x:c>
      <x:c r="E2219" t="n">
        <x:v>1</x:v>
      </x:c>
      <x:c r="F2219" t="n">
        <x:v>10</x:v>
      </x:c>
      <x:c r="G2219" t="str">
        <x:v>MIN</x:v>
      </x:c>
      <x:c r="H2219" t="str">
        <x:v>DAL</x:v>
      </x:c>
      <x:c r="I2219" t="str">
        <x:v>DAL</x:v>
      </x:c>
      <x:c r="J2219" t="n">
        <x:v>21</x:v>
      </x:c>
      <x:c r="K2219" t="str">
        <x:v>(3:07) 33-A.Jones left tackle to DAL 14 for 7 yards (90-S.Thomas). PENALTY on DAL-21-C.Carson, Unnecessary Roughness, 10 yards, enforced at DAL 21 - No Play. Penalty on MIN-1-J.Nailor, Illegal Shift, superseded.</x:v>
      </x:c>
      <x:c r="L2219" t="str">
        <x:v>no_play</x:v>
      </x:c>
      <x:c r="M2219" t="n">
        <x:v>0</x:v>
      </x:c>
      <x:c r="N2219" t="n">
        <x:v>0</x:v>
      </x:c>
      <x:c r="O2219" t="n">
        <x:v>0</x:v>
      </x:c>
      <x:c r="P2219"/>
      <x:c r="Q2219"/>
      <x:c r="R2219"/>
      <x:c r="S2219"/>
      <x:c r="T2219"/>
      <x:c r="U2219"/>
      <x:c r="V2219" t="n">
        <x:v>0</x:v>
      </x:c>
      <x:c r="W2219" t="n">
        <x:v>1</x:v>
      </x:c>
      <x:c r="X2219" t="n">
        <x:v>0</x:v>
      </x:c>
      <x:c r="Y2219" t="n">
        <x:v>0</x:v>
      </x:c>
      <x:c r="Z2219" t="n">
        <x:v>0</x:v>
      </x:c>
      <x:c r="AA2219" t="n">
        <x:v>1</x:v>
      </x:c>
      <x:c r="AB2219" t="n">
        <x:v>10</x:v>
      </x:c>
      <x:c r="AC2219" t="n">
        <x:v>0</x:v>
      </x:c>
      <x:c r="AD2219" t="n">
        <x:v>0.5113157312734984</x:v>
      </x:c>
      <x:c r="AE2219" t="n">
        <x:v>1</x:v>
      </x:c>
      <x:c r="AF2219" t="n">
        <x:v>0.016528606414794922</x:v>
      </x:c>
      <x:c r="AG2219" t="n">
        <x:f>_xlfn.XLOOKUP($A2219,Games!$A$2:$A$18,Games!$B$2:$B$18,"Missing game",0)</x:f>
        <x:v>2025</x:v>
      </x:c>
      <x:c r="AH2219" t="str">
        <x:f>_xlfn.XLOOKUP($A2219,Games!$A$2:$A$18,Games!$C$2:$C$18,"Missing game",0)</x:f>
        <x:v>REG</x:v>
      </x:c>
      <x:c r="AI2219" t="n">
        <x:f>_xlfn.XLOOKUP($A2219,Games!$A$2:$A$18,Games!$D$2:$D$18,"Missing game",0)</x:f>
        <x:v>15</x:v>
      </x:c>
      <x:c r="AJ2219" s="1" t="n">
        <x:f>_xlfn.XLOOKUP($A2219,Games!$A$2:$A$18,Games!$E$2:$E$18,"Missing game",0)</x:f>
        <x:v>46005</x:v>
      </x:c>
      <x:c r="AK2219" t="str">
        <x:f>_xlfn.XLOOKUP($A2219,Games!$A$2:$A$18,Games!$F$2:$F$18,"Missing game",0)</x:f>
        <x:v>Sunday</x:v>
      </x:c>
      <x:c r="AL2219" t="str">
        <x:f>_xlfn.XLOOKUP($A2219,Games!$A$2:$A$18,Games!$G$2:$G$18,"Missing game",0)</x:f>
        <x:v>MIN</x:v>
      </x:c>
      <x:c r="AM2219" t="n">
        <x:f>_xlfn.XLOOKUP($A2219,Games!$A$2:$A$18,Games!$H$2:$H$18,"Missing game",0)</x:f>
        <x:v>34</x:v>
      </x:c>
      <x:c r="AN2219" t="str">
        <x:f>_xlfn.XLOOKUP($A2219,Games!$A$2:$A$18,Games!$I$2:$I$18,"Missing game",0)</x:f>
        <x:v>DAL</x:v>
      </x:c>
      <x:c r="AO2219" t="n">
        <x:f>_xlfn.XLOOKUP($A2219,Games!$A$2:$A$18,Games!$J$2:$J$18,"Missing game",0)</x:f>
        <x:v>26</x:v>
      </x:c>
      <x:c r="AP2219" t="n">
        <x:f>_xlfn.XLOOKUP($A2219,Games!$A$2:$A$18,Games!$K$2:$K$18,"Missing game",0)</x:f>
        <x:v>-8</x:v>
      </x:c>
      <x:c r="AQ2219" t="n">
        <x:f>_xlfn.XLOOKUP($A2219,Games!$A$2:$A$18,Games!$L$2:$L$18,"Missing game",0)</x:f>
        <x:v>60</x:v>
      </x:c>
      <x:c r="AR2219" t="n">
        <x:f>_xlfn.XLOOKUP($A2219,Games!$A$2:$A$18,Games!$M$2:$M$18,"Missing game",0)</x:f>
        <x:v>0</x:v>
      </x:c>
      <x:c r="AS2219" t="str">
        <x:f>_xlfn.XLOOKUP($A2219,Games!$A$2:$A$18,Games!$N$2:$N$18,"Missing game",0)</x:f>
        <x:v>closed</x:v>
      </x:c>
      <x:c r="AT2219" t="str">
        <x:f>_xlfn.XLOOKUP($A2219,Games!$A$2:$A$18,Games!$O$2:$O$18,"Missing game",0)</x:f>
        <x:v>matrixturf</x:v>
      </x:c>
      <x:c r="AU2219" t="str">
        <x:f>_xlfn.XLOOKUP($A2219,Games!$A$2:$A$18,Games!$P$2:$P$18,"Missing game",0)</x:f>
      </x:c>
      <x:c r="AV2219" t="str">
        <x:f>_xlfn.XLOOKUP($A2219,Games!$A$2:$A$18,Games!$Q$2:$Q$18,"Missing game",0)</x:f>
      </x:c>
      <x:c r="AW2219" t="str">
        <x:f>_xlfn.XLOOKUP($A2219,Games!$A$2:$A$18,Games!$R$2:$R$18,"Missing game",0)</x:f>
        <x:v>AT&amp;T Stadium</x:v>
      </x:c>
    </x:row>
    <x:row r="2220">
      <x:c r="A2220" t="str">
        <x:v>2025_15_MIN_DAL</x:v>
      </x:c>
      <x:c r="B2220" t="n">
        <x:v>1690</x:v>
      </x:c>
      <x:c r="C2220" t="n">
        <x:v>2</x:v>
      </x:c>
      <x:c r="D2220" t="str">
        <x:v>02:42</x:v>
      </x:c>
      <x:c r="E2220" t="n">
        <x:v>1</x:v>
      </x:c>
      <x:c r="F2220" t="n">
        <x:v>10</x:v>
      </x:c>
      <x:c r="G2220" t="str">
        <x:v>MIN</x:v>
      </x:c>
      <x:c r="H2220" t="str">
        <x:v>DAL</x:v>
      </x:c>
      <x:c r="I2220" t="str">
        <x:v>DAL</x:v>
      </x:c>
      <x:c r="J2220" t="n">
        <x:v>11</x:v>
      </x:c>
      <x:c r="K2220" t="str">
        <x:v>(2:42) 33-A.Jones right guard to DAL 11 for no gain (42-J.Clowney; 92-Q.Williams).</x:v>
      </x:c>
      <x:c r="L2220" t="str">
        <x:v>run</x:v>
      </x:c>
      <x:c r="M2220" t="n">
        <x:v>0</x:v>
      </x:c>
      <x:c r="N2220" t="n">
        <x:v>0</x:v>
      </x:c>
      <x:c r="O2220" t="n">
        <x:v>0</x:v>
      </x:c>
      <x:c r="P2220"/>
      <x:c r="Q2220"/>
      <x:c r="R2220"/>
      <x:c r="S2220"/>
      <x:c r="T2220" t="str">
        <x:v>right</x:v>
      </x:c>
      <x:c r="U2220" t="str">
        <x:v>guard</x:v>
      </x:c>
      <x:c r="V2220" t="n">
        <x:v>0</x:v>
      </x:c>
      <x:c r="W2220" t="n">
        <x:v>0</x:v>
      </x:c>
      <x:c r="X2220" t="n">
        <x:v>0</x:v>
      </x:c>
      <x:c r="Y2220" t="n">
        <x:v>0</x:v>
      </x:c>
      <x:c r="Z2220" t="n">
        <x:v>0</x:v>
      </x:c>
      <x:c r="AA2220" t="n">
        <x:v>0</x:v>
      </x:c>
      <x:c r="AB2220"/>
      <x:c r="AC2220" t="n">
        <x:v>0</x:v>
      </x:c>
      <x:c r="AD2220" t="n">
        <x:v>-0.4657746110460721</x:v>
      </x:c>
      <x:c r="AE2220" t="n">
        <x:v>0</x:v>
      </x:c>
      <x:c r="AF2220" t="n">
        <x:v>-0.01496589183807373</x:v>
      </x:c>
      <x:c r="AG2220" t="n">
        <x:f>_xlfn.XLOOKUP($A2220,Games!$A$2:$A$18,Games!$B$2:$B$18,"Missing game",0)</x:f>
        <x:v>2025</x:v>
      </x:c>
      <x:c r="AH2220" t="str">
        <x:f>_xlfn.XLOOKUP($A2220,Games!$A$2:$A$18,Games!$C$2:$C$18,"Missing game",0)</x:f>
        <x:v>REG</x:v>
      </x:c>
      <x:c r="AI2220" t="n">
        <x:f>_xlfn.XLOOKUP($A2220,Games!$A$2:$A$18,Games!$D$2:$D$18,"Missing game",0)</x:f>
        <x:v>15</x:v>
      </x:c>
      <x:c r="AJ2220" s="1" t="n">
        <x:f>_xlfn.XLOOKUP($A2220,Games!$A$2:$A$18,Games!$E$2:$E$18,"Missing game",0)</x:f>
        <x:v>46005</x:v>
      </x:c>
      <x:c r="AK2220" t="str">
        <x:f>_xlfn.XLOOKUP($A2220,Games!$A$2:$A$18,Games!$F$2:$F$18,"Missing game",0)</x:f>
        <x:v>Sunday</x:v>
      </x:c>
      <x:c r="AL2220" t="str">
        <x:f>_xlfn.XLOOKUP($A2220,Games!$A$2:$A$18,Games!$G$2:$G$18,"Missing game",0)</x:f>
        <x:v>MIN</x:v>
      </x:c>
      <x:c r="AM2220" t="n">
        <x:f>_xlfn.XLOOKUP($A2220,Games!$A$2:$A$18,Games!$H$2:$H$18,"Missing game",0)</x:f>
        <x:v>34</x:v>
      </x:c>
      <x:c r="AN2220" t="str">
        <x:f>_xlfn.XLOOKUP($A2220,Games!$A$2:$A$18,Games!$I$2:$I$18,"Missing game",0)</x:f>
        <x:v>DAL</x:v>
      </x:c>
      <x:c r="AO2220" t="n">
        <x:f>_xlfn.XLOOKUP($A2220,Games!$A$2:$A$18,Games!$J$2:$J$18,"Missing game",0)</x:f>
        <x:v>26</x:v>
      </x:c>
      <x:c r="AP2220" t="n">
        <x:f>_xlfn.XLOOKUP($A2220,Games!$A$2:$A$18,Games!$K$2:$K$18,"Missing game",0)</x:f>
        <x:v>-8</x:v>
      </x:c>
      <x:c r="AQ2220" t="n">
        <x:f>_xlfn.XLOOKUP($A2220,Games!$A$2:$A$18,Games!$L$2:$L$18,"Missing game",0)</x:f>
        <x:v>60</x:v>
      </x:c>
      <x:c r="AR2220" t="n">
        <x:f>_xlfn.XLOOKUP($A2220,Games!$A$2:$A$18,Games!$M$2:$M$18,"Missing game",0)</x:f>
        <x:v>0</x:v>
      </x:c>
      <x:c r="AS2220" t="str">
        <x:f>_xlfn.XLOOKUP($A2220,Games!$A$2:$A$18,Games!$N$2:$N$18,"Missing game",0)</x:f>
        <x:v>closed</x:v>
      </x:c>
      <x:c r="AT2220" t="str">
        <x:f>_xlfn.XLOOKUP($A2220,Games!$A$2:$A$18,Games!$O$2:$O$18,"Missing game",0)</x:f>
        <x:v>matrixturf</x:v>
      </x:c>
      <x:c r="AU2220" t="str">
        <x:f>_xlfn.XLOOKUP($A2220,Games!$A$2:$A$18,Games!$P$2:$P$18,"Missing game",0)</x:f>
      </x:c>
      <x:c r="AV2220" t="str">
        <x:f>_xlfn.XLOOKUP($A2220,Games!$A$2:$A$18,Games!$Q$2:$Q$18,"Missing game",0)</x:f>
      </x:c>
      <x:c r="AW2220" t="str">
        <x:f>_xlfn.XLOOKUP($A2220,Games!$A$2:$A$18,Games!$R$2:$R$18,"Missing game",0)</x:f>
        <x:v>AT&amp;T Stadium</x:v>
      </x:c>
    </x:row>
    <x:row r="2221">
      <x:c r="A2221" t="str">
        <x:v>2025_15_MIN_DAL</x:v>
      </x:c>
      <x:c r="B2221" t="n">
        <x:v>1721</x:v>
      </x:c>
      <x:c r="C2221" t="n">
        <x:v>2</x:v>
      </x:c>
      <x:c r="D2221" t="str">
        <x:v>02:00</x:v>
      </x:c>
      <x:c r="E2221" t="n">
        <x:v>2</x:v>
      </x:c>
      <x:c r="F2221" t="n">
        <x:v>10</x:v>
      </x:c>
      <x:c r="G2221" t="str">
        <x:v>MIN</x:v>
      </x:c>
      <x:c r="H2221" t="str">
        <x:v>DAL</x:v>
      </x:c>
      <x:c r="I2221" t="str">
        <x:v>DAL</x:v>
      </x:c>
      <x:c r="J2221" t="n">
        <x:v>11</x:v>
      </x:c>
      <x:c r="K2221" t="str">
        <x:v>(2:00) (Shotgun) 9-J.McCarthy pass incomplete short right to 18-J.Jefferson.</x:v>
      </x:c>
      <x:c r="L2221" t="str">
        <x:v>pass</x:v>
      </x:c>
      <x:c r="M2221" t="n">
        <x:v>0</x:v>
      </x:c>
      <x:c r="N2221" t="n">
        <x:v>1</x:v>
      </x:c>
      <x:c r="O2221" t="n">
        <x:v>0</x:v>
      </x:c>
      <x:c r="P2221" t="str">
        <x:v>short</x:v>
      </x:c>
      <x:c r="Q2221" t="str">
        <x:v>right</x:v>
      </x:c>
      <x:c r="R2221" t="n">
        <x:v>11</x:v>
      </x:c>
      <x:c r="S2221"/>
      <x:c r="T2221"/>
      <x:c r="U2221"/>
      <x:c r="V2221" t="n">
        <x:v>0</x:v>
      </x:c>
      <x:c r="W2221" t="n">
        <x:v>0</x:v>
      </x:c>
      <x:c r="X2221" t="n">
        <x:v>0</x:v>
      </x:c>
      <x:c r="Y2221" t="n">
        <x:v>0</x:v>
      </x:c>
      <x:c r="Z2221" t="n">
        <x:v>0</x:v>
      </x:c>
      <x:c r="AA2221" t="n">
        <x:v>0</x:v>
      </x:c>
      <x:c r="AB2221"/>
      <x:c r="AC2221" t="n">
        <x:v>0</x:v>
      </x:c>
      <x:c r="AD2221" t="n">
        <x:v>-0.7279626083327457</x:v>
      </x:c>
      <x:c r="AE2221" t="n">
        <x:v>0</x:v>
      </x:c>
      <x:c r="AF2221" t="n">
        <x:v>-0.020524561405181885</x:v>
      </x:c>
      <x:c r="AG2221" t="n">
        <x:f>_xlfn.XLOOKUP($A2221,Games!$A$2:$A$18,Games!$B$2:$B$18,"Missing game",0)</x:f>
        <x:v>2025</x:v>
      </x:c>
      <x:c r="AH2221" t="str">
        <x:f>_xlfn.XLOOKUP($A2221,Games!$A$2:$A$18,Games!$C$2:$C$18,"Missing game",0)</x:f>
        <x:v>REG</x:v>
      </x:c>
      <x:c r="AI2221" t="n">
        <x:f>_xlfn.XLOOKUP($A2221,Games!$A$2:$A$18,Games!$D$2:$D$18,"Missing game",0)</x:f>
        <x:v>15</x:v>
      </x:c>
      <x:c r="AJ2221" s="1" t="n">
        <x:f>_xlfn.XLOOKUP($A2221,Games!$A$2:$A$18,Games!$E$2:$E$18,"Missing game",0)</x:f>
        <x:v>46005</x:v>
      </x:c>
      <x:c r="AK2221" t="str">
        <x:f>_xlfn.XLOOKUP($A2221,Games!$A$2:$A$18,Games!$F$2:$F$18,"Missing game",0)</x:f>
        <x:v>Sunday</x:v>
      </x:c>
      <x:c r="AL2221" t="str">
        <x:f>_xlfn.XLOOKUP($A2221,Games!$A$2:$A$18,Games!$G$2:$G$18,"Missing game",0)</x:f>
        <x:v>MIN</x:v>
      </x:c>
      <x:c r="AM2221" t="n">
        <x:f>_xlfn.XLOOKUP($A2221,Games!$A$2:$A$18,Games!$H$2:$H$18,"Missing game",0)</x:f>
        <x:v>34</x:v>
      </x:c>
      <x:c r="AN2221" t="str">
        <x:f>_xlfn.XLOOKUP($A2221,Games!$A$2:$A$18,Games!$I$2:$I$18,"Missing game",0)</x:f>
        <x:v>DAL</x:v>
      </x:c>
      <x:c r="AO2221" t="n">
        <x:f>_xlfn.XLOOKUP($A2221,Games!$A$2:$A$18,Games!$J$2:$J$18,"Missing game",0)</x:f>
        <x:v>26</x:v>
      </x:c>
      <x:c r="AP2221" t="n">
        <x:f>_xlfn.XLOOKUP($A2221,Games!$A$2:$A$18,Games!$K$2:$K$18,"Missing game",0)</x:f>
        <x:v>-8</x:v>
      </x:c>
      <x:c r="AQ2221" t="n">
        <x:f>_xlfn.XLOOKUP($A2221,Games!$A$2:$A$18,Games!$L$2:$L$18,"Missing game",0)</x:f>
        <x:v>60</x:v>
      </x:c>
      <x:c r="AR2221" t="n">
        <x:f>_xlfn.XLOOKUP($A2221,Games!$A$2:$A$18,Games!$M$2:$M$18,"Missing game",0)</x:f>
        <x:v>0</x:v>
      </x:c>
      <x:c r="AS2221" t="str">
        <x:f>_xlfn.XLOOKUP($A2221,Games!$A$2:$A$18,Games!$N$2:$N$18,"Missing game",0)</x:f>
        <x:v>closed</x:v>
      </x:c>
      <x:c r="AT2221" t="str">
        <x:f>_xlfn.XLOOKUP($A2221,Games!$A$2:$A$18,Games!$O$2:$O$18,"Missing game",0)</x:f>
        <x:v>matrixturf</x:v>
      </x:c>
      <x:c r="AU2221" t="str">
        <x:f>_xlfn.XLOOKUP($A2221,Games!$A$2:$A$18,Games!$P$2:$P$18,"Missing game",0)</x:f>
      </x:c>
      <x:c r="AV2221" t="str">
        <x:f>_xlfn.XLOOKUP($A2221,Games!$A$2:$A$18,Games!$Q$2:$Q$18,"Missing game",0)</x:f>
      </x:c>
      <x:c r="AW2221" t="str">
        <x:f>_xlfn.XLOOKUP($A2221,Games!$A$2:$A$18,Games!$R$2:$R$18,"Missing game",0)</x:f>
        <x:v>AT&amp;T Stadium</x:v>
      </x:c>
    </x:row>
    <x:row r="2222">
      <x:c r="A2222" t="str">
        <x:v>2025_15_MIN_DAL</x:v>
      </x:c>
      <x:c r="B2222" t="n">
        <x:v>1751</x:v>
      </x:c>
      <x:c r="C2222" t="n">
        <x:v>2</x:v>
      </x:c>
      <x:c r="D2222" t="str">
        <x:v>01:56</x:v>
      </x:c>
      <x:c r="E2222" t="n">
        <x:v>3</x:v>
      </x:c>
      <x:c r="F2222" t="n">
        <x:v>10</x:v>
      </x:c>
      <x:c r="G2222" t="str">
        <x:v>MIN</x:v>
      </x:c>
      <x:c r="H2222" t="str">
        <x:v>DAL</x:v>
      </x:c>
      <x:c r="I2222" t="str">
        <x:v>DAL</x:v>
      </x:c>
      <x:c r="J2222" t="n">
        <x:v>11</x:v>
      </x:c>
      <x:c r="K2222" t="str">
        <x:v>(1:56) (Shotgun) 9-J.McCarthy pass incomplete short right to 87-T.Hockenson.</x:v>
      </x:c>
      <x:c r="L2222" t="str">
        <x:v>pass</x:v>
      </x:c>
      <x:c r="M2222" t="n">
        <x:v>0</x:v>
      </x:c>
      <x:c r="N2222" t="n">
        <x:v>1</x:v>
      </x:c>
      <x:c r="O2222" t="n">
        <x:v>0</x:v>
      </x:c>
      <x:c r="P2222" t="str">
        <x:v>short</x:v>
      </x:c>
      <x:c r="Q2222" t="str">
        <x:v>right</x:v>
      </x:c>
      <x:c r="R2222" t="n">
        <x:v>11</x:v>
      </x:c>
      <x:c r="S2222"/>
      <x:c r="T2222"/>
      <x:c r="U2222"/>
      <x:c r="V2222" t="n">
        <x:v>0</x:v>
      </x:c>
      <x:c r="W2222" t="n">
        <x:v>0</x:v>
      </x:c>
      <x:c r="X2222" t="n">
        <x:v>0</x:v>
      </x:c>
      <x:c r="Y2222" t="n">
        <x:v>0</x:v>
      </x:c>
      <x:c r="Z2222" t="n">
        <x:v>0</x:v>
      </x:c>
      <x:c r="AA2222" t="n">
        <x:v>0</x:v>
      </x:c>
      <x:c r="AB2222"/>
      <x:c r="AC2222" t="n">
        <x:v>0</x:v>
      </x:c>
      <x:c r="AD2222" t="n">
        <x:v>-0.8419810244135499</x:v>
      </x:c>
      <x:c r="AE2222" t="n">
        <x:v>0</x:v>
      </x:c>
      <x:c r="AF2222" t="n">
        <x:v>-0.04796117544174194</x:v>
      </x:c>
      <x:c r="AG2222" t="n">
        <x:f>_xlfn.XLOOKUP($A2222,Games!$A$2:$A$18,Games!$B$2:$B$18,"Missing game",0)</x:f>
        <x:v>2025</x:v>
      </x:c>
      <x:c r="AH2222" t="str">
        <x:f>_xlfn.XLOOKUP($A2222,Games!$A$2:$A$18,Games!$C$2:$C$18,"Missing game",0)</x:f>
        <x:v>REG</x:v>
      </x:c>
      <x:c r="AI2222" t="n">
        <x:f>_xlfn.XLOOKUP($A2222,Games!$A$2:$A$18,Games!$D$2:$D$18,"Missing game",0)</x:f>
        <x:v>15</x:v>
      </x:c>
      <x:c r="AJ2222" s="1" t="n">
        <x:f>_xlfn.XLOOKUP($A2222,Games!$A$2:$A$18,Games!$E$2:$E$18,"Missing game",0)</x:f>
        <x:v>46005</x:v>
      </x:c>
      <x:c r="AK2222" t="str">
        <x:f>_xlfn.XLOOKUP($A2222,Games!$A$2:$A$18,Games!$F$2:$F$18,"Missing game",0)</x:f>
        <x:v>Sunday</x:v>
      </x:c>
      <x:c r="AL2222" t="str">
        <x:f>_xlfn.XLOOKUP($A2222,Games!$A$2:$A$18,Games!$G$2:$G$18,"Missing game",0)</x:f>
        <x:v>MIN</x:v>
      </x:c>
      <x:c r="AM2222" t="n">
        <x:f>_xlfn.XLOOKUP($A2222,Games!$A$2:$A$18,Games!$H$2:$H$18,"Missing game",0)</x:f>
        <x:v>34</x:v>
      </x:c>
      <x:c r="AN2222" t="str">
        <x:f>_xlfn.XLOOKUP($A2222,Games!$A$2:$A$18,Games!$I$2:$I$18,"Missing game",0)</x:f>
        <x:v>DAL</x:v>
      </x:c>
      <x:c r="AO2222" t="n">
        <x:f>_xlfn.XLOOKUP($A2222,Games!$A$2:$A$18,Games!$J$2:$J$18,"Missing game",0)</x:f>
        <x:v>26</x:v>
      </x:c>
      <x:c r="AP2222" t="n">
        <x:f>_xlfn.XLOOKUP($A2222,Games!$A$2:$A$18,Games!$K$2:$K$18,"Missing game",0)</x:f>
        <x:v>-8</x:v>
      </x:c>
      <x:c r="AQ2222" t="n">
        <x:f>_xlfn.XLOOKUP($A2222,Games!$A$2:$A$18,Games!$L$2:$L$18,"Missing game",0)</x:f>
        <x:v>60</x:v>
      </x:c>
      <x:c r="AR2222" t="n">
        <x:f>_xlfn.XLOOKUP($A2222,Games!$A$2:$A$18,Games!$M$2:$M$18,"Missing game",0)</x:f>
        <x:v>0</x:v>
      </x:c>
      <x:c r="AS2222" t="str">
        <x:f>_xlfn.XLOOKUP($A2222,Games!$A$2:$A$18,Games!$N$2:$N$18,"Missing game",0)</x:f>
        <x:v>closed</x:v>
      </x:c>
      <x:c r="AT2222" t="str">
        <x:f>_xlfn.XLOOKUP($A2222,Games!$A$2:$A$18,Games!$O$2:$O$18,"Missing game",0)</x:f>
        <x:v>matrixturf</x:v>
      </x:c>
      <x:c r="AU2222" t="str">
        <x:f>_xlfn.XLOOKUP($A2222,Games!$A$2:$A$18,Games!$P$2:$P$18,"Missing game",0)</x:f>
      </x:c>
      <x:c r="AV2222" t="str">
        <x:f>_xlfn.XLOOKUP($A2222,Games!$A$2:$A$18,Games!$Q$2:$Q$18,"Missing game",0)</x:f>
      </x:c>
      <x:c r="AW2222" t="str">
        <x:f>_xlfn.XLOOKUP($A2222,Games!$A$2:$A$18,Games!$R$2:$R$18,"Missing game",0)</x:f>
        <x:v>AT&amp;T Stadium</x:v>
      </x:c>
    </x:row>
    <x:row r="2223">
      <x:c r="A2223" t="str">
        <x:v>2025_15_MIN_DAL</x:v>
      </x:c>
      <x:c r="B2223" t="n">
        <x:v>1774</x:v>
      </x:c>
      <x:c r="C2223" t="n">
        <x:v>2</x:v>
      </x:c>
      <x:c r="D2223" t="str">
        <x:v>01:52</x:v>
      </x:c>
      <x:c r="E2223" t="n">
        <x:v>4</x:v>
      </x:c>
      <x:c r="F2223" t="n">
        <x:v>10</x:v>
      </x:c>
      <x:c r="G2223" t="str">
        <x:v>MIN</x:v>
      </x:c>
      <x:c r="H2223" t="str">
        <x:v>DAL</x:v>
      </x:c>
      <x:c r="I2223" t="str">
        <x:v>DAL</x:v>
      </x:c>
      <x:c r="J2223" t="n">
        <x:v>11</x:v>
      </x:c>
      <x:c r="K2223" t="str">
        <x:v>(1:52) 16-W.Reichard 29 yard field goal is GOOD, Center-42-A.DePaola, Holder-17-R.Wright.</x:v>
      </x:c>
      <x:c r="L2223" t="str">
        <x:v>field_goal</x:v>
      </x:c>
      <x:c r="M2223" t="n">
        <x:v>0</x:v>
      </x:c>
      <x:c r="N2223" t="n">
        <x:v>0</x:v>
      </x:c>
      <x:c r="O2223" t="n">
        <x:v>0</x:v>
      </x:c>
      <x:c r="P2223"/>
      <x:c r="Q2223"/>
      <x:c r="R2223"/>
      <x:c r="S2223"/>
      <x:c r="T2223"/>
      <x:c r="U2223"/>
      <x:c r="V2223" t="n">
        <x:v>0</x:v>
      </x:c>
      <x:c r="W2223" t="n">
        <x:v>0</x:v>
      </x:c>
      <x:c r="X2223" t="n">
        <x:v>0</x:v>
      </x:c>
      <x:c r="Y2223" t="n">
        <x:v>0</x:v>
      </x:c>
      <x:c r="Z2223" t="n">
        <x:v>0</x:v>
      </x:c>
      <x:c r="AA2223" t="n">
        <x:v>0</x:v>
      </x:c>
      <x:c r="AB2223"/>
      <x:c r="AC2223" t="n">
        <x:v>0</x:v>
      </x:c>
      <x:c r="AD2223" t="n">
        <x:v>0.1468799396438465</x:v>
      </x:c>
      <x:c r="AE2223" t="n">
        <x:v>1</x:v>
      </x:c>
      <x:c r="AF2223" t="n">
        <x:v>-0.000032901763916015625</x:v>
      </x:c>
      <x:c r="AG2223" t="n">
        <x:f>_xlfn.XLOOKUP($A2223,Games!$A$2:$A$18,Games!$B$2:$B$18,"Missing game",0)</x:f>
        <x:v>2025</x:v>
      </x:c>
      <x:c r="AH2223" t="str">
        <x:f>_xlfn.XLOOKUP($A2223,Games!$A$2:$A$18,Games!$C$2:$C$18,"Missing game",0)</x:f>
        <x:v>REG</x:v>
      </x:c>
      <x:c r="AI2223" t="n">
        <x:f>_xlfn.XLOOKUP($A2223,Games!$A$2:$A$18,Games!$D$2:$D$18,"Missing game",0)</x:f>
        <x:v>15</x:v>
      </x:c>
      <x:c r="AJ2223" s="1" t="n">
        <x:f>_xlfn.XLOOKUP($A2223,Games!$A$2:$A$18,Games!$E$2:$E$18,"Missing game",0)</x:f>
        <x:v>46005</x:v>
      </x:c>
      <x:c r="AK2223" t="str">
        <x:f>_xlfn.XLOOKUP($A2223,Games!$A$2:$A$18,Games!$F$2:$F$18,"Missing game",0)</x:f>
        <x:v>Sunday</x:v>
      </x:c>
      <x:c r="AL2223" t="str">
        <x:f>_xlfn.XLOOKUP($A2223,Games!$A$2:$A$18,Games!$G$2:$G$18,"Missing game",0)</x:f>
        <x:v>MIN</x:v>
      </x:c>
      <x:c r="AM2223" t="n">
        <x:f>_xlfn.XLOOKUP($A2223,Games!$A$2:$A$18,Games!$H$2:$H$18,"Missing game",0)</x:f>
        <x:v>34</x:v>
      </x:c>
      <x:c r="AN2223" t="str">
        <x:f>_xlfn.XLOOKUP($A2223,Games!$A$2:$A$18,Games!$I$2:$I$18,"Missing game",0)</x:f>
        <x:v>DAL</x:v>
      </x:c>
      <x:c r="AO2223" t="n">
        <x:f>_xlfn.XLOOKUP($A2223,Games!$A$2:$A$18,Games!$J$2:$J$18,"Missing game",0)</x:f>
        <x:v>26</x:v>
      </x:c>
      <x:c r="AP2223" t="n">
        <x:f>_xlfn.XLOOKUP($A2223,Games!$A$2:$A$18,Games!$K$2:$K$18,"Missing game",0)</x:f>
        <x:v>-8</x:v>
      </x:c>
      <x:c r="AQ2223" t="n">
        <x:f>_xlfn.XLOOKUP($A2223,Games!$A$2:$A$18,Games!$L$2:$L$18,"Missing game",0)</x:f>
        <x:v>60</x:v>
      </x:c>
      <x:c r="AR2223" t="n">
        <x:f>_xlfn.XLOOKUP($A2223,Games!$A$2:$A$18,Games!$M$2:$M$18,"Missing game",0)</x:f>
        <x:v>0</x:v>
      </x:c>
      <x:c r="AS2223" t="str">
        <x:f>_xlfn.XLOOKUP($A2223,Games!$A$2:$A$18,Games!$N$2:$N$18,"Missing game",0)</x:f>
        <x:v>closed</x:v>
      </x:c>
      <x:c r="AT2223" t="str">
        <x:f>_xlfn.XLOOKUP($A2223,Games!$A$2:$A$18,Games!$O$2:$O$18,"Missing game",0)</x:f>
        <x:v>matrixturf</x:v>
      </x:c>
      <x:c r="AU2223" t="str">
        <x:f>_xlfn.XLOOKUP($A2223,Games!$A$2:$A$18,Games!$P$2:$P$18,"Missing game",0)</x:f>
      </x:c>
      <x:c r="AV2223" t="str">
        <x:f>_xlfn.XLOOKUP($A2223,Games!$A$2:$A$18,Games!$Q$2:$Q$18,"Missing game",0)</x:f>
      </x:c>
      <x:c r="AW2223" t="str">
        <x:f>_xlfn.XLOOKUP($A2223,Games!$A$2:$A$18,Games!$R$2:$R$18,"Missing game",0)</x:f>
        <x:v>AT&amp;T Stadium</x:v>
      </x:c>
    </x:row>
    <x:row r="2224">
      <x:c r="A2224" t="str">
        <x:v>2025_15_MIN_DAL</x:v>
      </x:c>
      <x:c r="B2224" t="n">
        <x:v>1794</x:v>
      </x:c>
      <x:c r="C2224" t="n">
        <x:v>2</x:v>
      </x:c>
      <x:c r="D2224" t="str">
        <x:v>01:48</x:v>
      </x:c>
      <x:c r="E2224"/>
      <x:c r="F2224" t="n">
        <x:v>0</x:v>
      </x:c>
      <x:c r="G2224" t="str">
        <x:v>DAL</x:v>
      </x:c>
      <x:c r="H2224" t="str">
        <x:v>MIN</x:v>
      </x:c>
      <x:c r="I2224" t="str">
        <x:v>MIN</x:v>
      </x:c>
      <x:c r="J2224" t="n">
        <x:v>35</x:v>
      </x:c>
      <x:c r="K2224" t="str">
        <x:v>16-W.Reichard kicks 57 yards from MIN 35 to DAL 8, out of bounds. PENALTY on MIN-16-W.Reichard, Kickoff Out of Bounds, placed at DAL 40.</x:v>
      </x:c>
      <x:c r="L2224" t="str">
        <x:v>kickoff</x:v>
      </x:c>
      <x:c r="M2224" t="n">
        <x:v>0</x:v>
      </x:c>
      <x:c r="N2224" t="n">
        <x:v>0</x:v>
      </x:c>
      <x:c r="O2224" t="n">
        <x:v>0</x:v>
      </x:c>
      <x:c r="P2224"/>
      <x:c r="Q2224"/>
      <x:c r="R2224"/>
      <x:c r="S2224"/>
      <x:c r="T2224"/>
      <x:c r="U2224"/>
      <x:c r="V2224" t="n">
        <x:v>0</x:v>
      </x:c>
      <x:c r="W2224" t="n">
        <x:v>0</x:v>
      </x:c>
      <x:c r="X2224" t="n">
        <x:v>0</x:v>
      </x:c>
      <x:c r="Y2224" t="n">
        <x:v>0</x:v>
      </x:c>
      <x:c r="Z2224" t="n">
        <x:v>0</x:v>
      </x:c>
      <x:c r="AA2224" t="n">
        <x:v>1</x:v>
      </x:c>
      <x:c r="AB2224" t="n">
        <x:v>0</x:v>
      </x:c>
      <x:c r="AC2224" t="n">
        <x:v>0</x:v>
      </x:c>
      <x:c r="AD2224" t="n">
        <x:v>0.7634291003923863</x:v>
      </x:c>
      <x:c r="AE2224" t="n">
        <x:v>1</x:v>
      </x:c>
      <x:c r="AF2224" t="n">
        <x:v>0.029644429683685303</x:v>
      </x:c>
      <x:c r="AG2224" t="n">
        <x:f>_xlfn.XLOOKUP($A2224,Games!$A$2:$A$18,Games!$B$2:$B$18,"Missing game",0)</x:f>
        <x:v>2025</x:v>
      </x:c>
      <x:c r="AH2224" t="str">
        <x:f>_xlfn.XLOOKUP($A2224,Games!$A$2:$A$18,Games!$C$2:$C$18,"Missing game",0)</x:f>
        <x:v>REG</x:v>
      </x:c>
      <x:c r="AI2224" t="n">
        <x:f>_xlfn.XLOOKUP($A2224,Games!$A$2:$A$18,Games!$D$2:$D$18,"Missing game",0)</x:f>
        <x:v>15</x:v>
      </x:c>
      <x:c r="AJ2224" s="1" t="n">
        <x:f>_xlfn.XLOOKUP($A2224,Games!$A$2:$A$18,Games!$E$2:$E$18,"Missing game",0)</x:f>
        <x:v>46005</x:v>
      </x:c>
      <x:c r="AK2224" t="str">
        <x:f>_xlfn.XLOOKUP($A2224,Games!$A$2:$A$18,Games!$F$2:$F$18,"Missing game",0)</x:f>
        <x:v>Sunday</x:v>
      </x:c>
      <x:c r="AL2224" t="str">
        <x:f>_xlfn.XLOOKUP($A2224,Games!$A$2:$A$18,Games!$G$2:$G$18,"Missing game",0)</x:f>
        <x:v>MIN</x:v>
      </x:c>
      <x:c r="AM2224" t="n">
        <x:f>_xlfn.XLOOKUP($A2224,Games!$A$2:$A$18,Games!$H$2:$H$18,"Missing game",0)</x:f>
        <x:v>34</x:v>
      </x:c>
      <x:c r="AN2224" t="str">
        <x:f>_xlfn.XLOOKUP($A2224,Games!$A$2:$A$18,Games!$I$2:$I$18,"Missing game",0)</x:f>
        <x:v>DAL</x:v>
      </x:c>
      <x:c r="AO2224" t="n">
        <x:f>_xlfn.XLOOKUP($A2224,Games!$A$2:$A$18,Games!$J$2:$J$18,"Missing game",0)</x:f>
        <x:v>26</x:v>
      </x:c>
      <x:c r="AP2224" t="n">
        <x:f>_xlfn.XLOOKUP($A2224,Games!$A$2:$A$18,Games!$K$2:$K$18,"Missing game",0)</x:f>
        <x:v>-8</x:v>
      </x:c>
      <x:c r="AQ2224" t="n">
        <x:f>_xlfn.XLOOKUP($A2224,Games!$A$2:$A$18,Games!$L$2:$L$18,"Missing game",0)</x:f>
        <x:v>60</x:v>
      </x:c>
      <x:c r="AR2224" t="n">
        <x:f>_xlfn.XLOOKUP($A2224,Games!$A$2:$A$18,Games!$M$2:$M$18,"Missing game",0)</x:f>
        <x:v>0</x:v>
      </x:c>
      <x:c r="AS2224" t="str">
        <x:f>_xlfn.XLOOKUP($A2224,Games!$A$2:$A$18,Games!$N$2:$N$18,"Missing game",0)</x:f>
        <x:v>closed</x:v>
      </x:c>
      <x:c r="AT2224" t="str">
        <x:f>_xlfn.XLOOKUP($A2224,Games!$A$2:$A$18,Games!$O$2:$O$18,"Missing game",0)</x:f>
        <x:v>matrixturf</x:v>
      </x:c>
      <x:c r="AU2224" t="str">
        <x:f>_xlfn.XLOOKUP($A2224,Games!$A$2:$A$18,Games!$P$2:$P$18,"Missing game",0)</x:f>
      </x:c>
      <x:c r="AV2224" t="str">
        <x:f>_xlfn.XLOOKUP($A2224,Games!$A$2:$A$18,Games!$Q$2:$Q$18,"Missing game",0)</x:f>
      </x:c>
      <x:c r="AW2224" t="str">
        <x:f>_xlfn.XLOOKUP($A2224,Games!$A$2:$A$18,Games!$R$2:$R$18,"Missing game",0)</x:f>
        <x:v>AT&amp;T Stadium</x:v>
      </x:c>
    </x:row>
    <x:row r="2225">
      <x:c r="A2225" t="str">
        <x:v>2025_15_MIN_DAL</x:v>
      </x:c>
      <x:c r="B2225" t="n">
        <x:v>1828</x:v>
      </x:c>
      <x:c r="C2225" t="n">
        <x:v>2</x:v>
      </x:c>
      <x:c r="D2225" t="str">
        <x:v>01:48</x:v>
      </x:c>
      <x:c r="E2225" t="n">
        <x:v>1</x:v>
      </x:c>
      <x:c r="F2225" t="n">
        <x:v>10</x:v>
      </x:c>
      <x:c r="G2225" t="str">
        <x:v>DAL</x:v>
      </x:c>
      <x:c r="H2225" t="str">
        <x:v>MIN</x:v>
      </x:c>
      <x:c r="I2225" t="str">
        <x:v>DAL</x:v>
      </x:c>
      <x:c r="J2225" t="n">
        <x:v>60</x:v>
      </x:c>
      <x:c r="K2225" t="str">
        <x:v>(1:48) (Shotgun) 4-D.Prescott pass incomplete short middle to 3-G.Pickens [43-A.Van Ginkel].</x:v>
      </x:c>
      <x:c r="L2225" t="str">
        <x:v>pass</x:v>
      </x:c>
      <x:c r="M2225" t="n">
        <x:v>0</x:v>
      </x:c>
      <x:c r="N2225" t="n">
        <x:v>1</x:v>
      </x:c>
      <x:c r="O2225" t="n">
        <x:v>0</x:v>
      </x:c>
      <x:c r="P2225" t="str">
        <x:v>short</x:v>
      </x:c>
      <x:c r="Q2225" t="str">
        <x:v>middle</x:v>
      </x:c>
      <x:c r="R2225" t="n">
        <x:v>6</x:v>
      </x:c>
      <x:c r="S2225"/>
      <x:c r="T2225"/>
      <x:c r="U2225"/>
      <x:c r="V2225" t="n">
        <x:v>0</x:v>
      </x:c>
      <x:c r="W2225" t="n">
        <x:v>0</x:v>
      </x:c>
      <x:c r="X2225" t="n">
        <x:v>0</x:v>
      </x:c>
      <x:c r="Y2225" t="n">
        <x:v>0</x:v>
      </x:c>
      <x:c r="Z2225" t="n">
        <x:v>0</x:v>
      </x:c>
      <x:c r="AA2225" t="n">
        <x:v>0</x:v>
      </x:c>
      <x:c r="AB2225"/>
      <x:c r="AC2225" t="n">
        <x:v>0</x:v>
      </x:c>
      <x:c r="AD2225" t="n">
        <x:v>-0.3450542129576206</x:v>
      </x:c>
      <x:c r="AE2225" t="n">
        <x:v>0</x:v>
      </x:c>
      <x:c r="AF2225" t="n">
        <x:v>-0.016869813203811646</x:v>
      </x:c>
      <x:c r="AG2225" t="n">
        <x:f>_xlfn.XLOOKUP($A2225,Games!$A$2:$A$18,Games!$B$2:$B$18,"Missing game",0)</x:f>
        <x:v>2025</x:v>
      </x:c>
      <x:c r="AH2225" t="str">
        <x:f>_xlfn.XLOOKUP($A2225,Games!$A$2:$A$18,Games!$C$2:$C$18,"Missing game",0)</x:f>
        <x:v>REG</x:v>
      </x:c>
      <x:c r="AI2225" t="n">
        <x:f>_xlfn.XLOOKUP($A2225,Games!$A$2:$A$18,Games!$D$2:$D$18,"Missing game",0)</x:f>
        <x:v>15</x:v>
      </x:c>
      <x:c r="AJ2225" s="1" t="n">
        <x:f>_xlfn.XLOOKUP($A2225,Games!$A$2:$A$18,Games!$E$2:$E$18,"Missing game",0)</x:f>
        <x:v>46005</x:v>
      </x:c>
      <x:c r="AK2225" t="str">
        <x:f>_xlfn.XLOOKUP($A2225,Games!$A$2:$A$18,Games!$F$2:$F$18,"Missing game",0)</x:f>
        <x:v>Sunday</x:v>
      </x:c>
      <x:c r="AL2225" t="str">
        <x:f>_xlfn.XLOOKUP($A2225,Games!$A$2:$A$18,Games!$G$2:$G$18,"Missing game",0)</x:f>
        <x:v>MIN</x:v>
      </x:c>
      <x:c r="AM2225" t="n">
        <x:f>_xlfn.XLOOKUP($A2225,Games!$A$2:$A$18,Games!$H$2:$H$18,"Missing game",0)</x:f>
        <x:v>34</x:v>
      </x:c>
      <x:c r="AN2225" t="str">
        <x:f>_xlfn.XLOOKUP($A2225,Games!$A$2:$A$18,Games!$I$2:$I$18,"Missing game",0)</x:f>
        <x:v>DAL</x:v>
      </x:c>
      <x:c r="AO2225" t="n">
        <x:f>_xlfn.XLOOKUP($A2225,Games!$A$2:$A$18,Games!$J$2:$J$18,"Missing game",0)</x:f>
        <x:v>26</x:v>
      </x:c>
      <x:c r="AP2225" t="n">
        <x:f>_xlfn.XLOOKUP($A2225,Games!$A$2:$A$18,Games!$K$2:$K$18,"Missing game",0)</x:f>
        <x:v>-8</x:v>
      </x:c>
      <x:c r="AQ2225" t="n">
        <x:f>_xlfn.XLOOKUP($A2225,Games!$A$2:$A$18,Games!$L$2:$L$18,"Missing game",0)</x:f>
        <x:v>60</x:v>
      </x:c>
      <x:c r="AR2225" t="n">
        <x:f>_xlfn.XLOOKUP($A2225,Games!$A$2:$A$18,Games!$M$2:$M$18,"Missing game",0)</x:f>
        <x:v>0</x:v>
      </x:c>
      <x:c r="AS2225" t="str">
        <x:f>_xlfn.XLOOKUP($A2225,Games!$A$2:$A$18,Games!$N$2:$N$18,"Missing game",0)</x:f>
        <x:v>closed</x:v>
      </x:c>
      <x:c r="AT2225" t="str">
        <x:f>_xlfn.XLOOKUP($A2225,Games!$A$2:$A$18,Games!$O$2:$O$18,"Missing game",0)</x:f>
        <x:v>matrixturf</x:v>
      </x:c>
      <x:c r="AU2225" t="str">
        <x:f>_xlfn.XLOOKUP($A2225,Games!$A$2:$A$18,Games!$P$2:$P$18,"Missing game",0)</x:f>
      </x:c>
      <x:c r="AV2225" t="str">
        <x:f>_xlfn.XLOOKUP($A2225,Games!$A$2:$A$18,Games!$Q$2:$Q$18,"Missing game",0)</x:f>
      </x:c>
      <x:c r="AW2225" t="str">
        <x:f>_xlfn.XLOOKUP($A2225,Games!$A$2:$A$18,Games!$R$2:$R$18,"Missing game",0)</x:f>
        <x:v>AT&amp;T Stadium</x:v>
      </x:c>
    </x:row>
    <x:row r="2226">
      <x:c r="A2226" t="str">
        <x:v>2025_15_MIN_DAL</x:v>
      </x:c>
      <x:c r="B2226" t="n">
        <x:v>1851</x:v>
      </x:c>
      <x:c r="C2226" t="n">
        <x:v>2</x:v>
      </x:c>
      <x:c r="D2226" t="str">
        <x:v>01:43</x:v>
      </x:c>
      <x:c r="E2226" t="n">
        <x:v>2</x:v>
      </x:c>
      <x:c r="F2226" t="n">
        <x:v>10</x:v>
      </x:c>
      <x:c r="G2226" t="str">
        <x:v>DAL</x:v>
      </x:c>
      <x:c r="H2226" t="str">
        <x:v>MIN</x:v>
      </x:c>
      <x:c r="I2226" t="str">
        <x:v>DAL</x:v>
      </x:c>
      <x:c r="J2226" t="n">
        <x:v>60</x:v>
      </x:c>
      <x:c r="K2226" t="str">
        <x:v>(1:43) (Shotgun) 4-D.Prescott pass short middle to 87-J.Ferguson to DAL 49 for 9 yards (15-D.Turner).</x:v>
      </x:c>
      <x:c r="L2226" t="str">
        <x:v>pass</x:v>
      </x:c>
      <x:c r="M2226" t="n">
        <x:v>9</x:v>
      </x:c>
      <x:c r="N2226" t="n">
        <x:v>1</x:v>
      </x:c>
      <x:c r="O2226" t="n">
        <x:v>0</x:v>
      </x:c>
      <x:c r="P2226" t="str">
        <x:v>short</x:v>
      </x:c>
      <x:c r="Q2226" t="str">
        <x:v>middle</x:v>
      </x:c>
      <x:c r="R2226" t="n">
        <x:v>7</x:v>
      </x:c>
      <x:c r="S2226" t="n">
        <x:v>2</x:v>
      </x:c>
      <x:c r="T2226"/>
      <x:c r="U2226"/>
      <x:c r="V2226" t="n">
        <x:v>1</x:v>
      </x:c>
      <x:c r="W2226" t="n">
        <x:v>0</x:v>
      </x:c>
      <x:c r="X2226" t="n">
        <x:v>0</x:v>
      </x:c>
      <x:c r="Y2226" t="n">
        <x:v>0</x:v>
      </x:c>
      <x:c r="Z2226" t="n">
        <x:v>0</x:v>
      </x:c>
      <x:c r="AA2226" t="n">
        <x:v>0</x:v>
      </x:c>
      <x:c r="AB2226"/>
      <x:c r="AC2226" t="n">
        <x:v>0</x:v>
      </x:c>
      <x:c r="AD2226" t="n">
        <x:v>0.677925186464563</x:v>
      </x:c>
      <x:c r="AE2226" t="n">
        <x:v>1</x:v>
      </x:c>
      <x:c r="AF2226" t="n">
        <x:v>0.018621593713760376</x:v>
      </x:c>
      <x:c r="AG2226" t="n">
        <x:f>_xlfn.XLOOKUP($A2226,Games!$A$2:$A$18,Games!$B$2:$B$18,"Missing game",0)</x:f>
        <x:v>2025</x:v>
      </x:c>
      <x:c r="AH2226" t="str">
        <x:f>_xlfn.XLOOKUP($A2226,Games!$A$2:$A$18,Games!$C$2:$C$18,"Missing game",0)</x:f>
        <x:v>REG</x:v>
      </x:c>
      <x:c r="AI2226" t="n">
        <x:f>_xlfn.XLOOKUP($A2226,Games!$A$2:$A$18,Games!$D$2:$D$18,"Missing game",0)</x:f>
        <x:v>15</x:v>
      </x:c>
      <x:c r="AJ2226" s="1" t="n">
        <x:f>_xlfn.XLOOKUP($A2226,Games!$A$2:$A$18,Games!$E$2:$E$18,"Missing game",0)</x:f>
        <x:v>46005</x:v>
      </x:c>
      <x:c r="AK2226" t="str">
        <x:f>_xlfn.XLOOKUP($A2226,Games!$A$2:$A$18,Games!$F$2:$F$18,"Missing game",0)</x:f>
        <x:v>Sunday</x:v>
      </x:c>
      <x:c r="AL2226" t="str">
        <x:f>_xlfn.XLOOKUP($A2226,Games!$A$2:$A$18,Games!$G$2:$G$18,"Missing game",0)</x:f>
        <x:v>MIN</x:v>
      </x:c>
      <x:c r="AM2226" t="n">
        <x:f>_xlfn.XLOOKUP($A2226,Games!$A$2:$A$18,Games!$H$2:$H$18,"Missing game",0)</x:f>
        <x:v>34</x:v>
      </x:c>
      <x:c r="AN2226" t="str">
        <x:f>_xlfn.XLOOKUP($A2226,Games!$A$2:$A$18,Games!$I$2:$I$18,"Missing game",0)</x:f>
        <x:v>DAL</x:v>
      </x:c>
      <x:c r="AO2226" t="n">
        <x:f>_xlfn.XLOOKUP($A2226,Games!$A$2:$A$18,Games!$J$2:$J$18,"Missing game",0)</x:f>
        <x:v>26</x:v>
      </x:c>
      <x:c r="AP2226" t="n">
        <x:f>_xlfn.XLOOKUP($A2226,Games!$A$2:$A$18,Games!$K$2:$K$18,"Missing game",0)</x:f>
        <x:v>-8</x:v>
      </x:c>
      <x:c r="AQ2226" t="n">
        <x:f>_xlfn.XLOOKUP($A2226,Games!$A$2:$A$18,Games!$L$2:$L$18,"Missing game",0)</x:f>
        <x:v>60</x:v>
      </x:c>
      <x:c r="AR2226" t="n">
        <x:f>_xlfn.XLOOKUP($A2226,Games!$A$2:$A$18,Games!$M$2:$M$18,"Missing game",0)</x:f>
        <x:v>0</x:v>
      </x:c>
      <x:c r="AS2226" t="str">
        <x:f>_xlfn.XLOOKUP($A2226,Games!$A$2:$A$18,Games!$N$2:$N$18,"Missing game",0)</x:f>
        <x:v>closed</x:v>
      </x:c>
      <x:c r="AT2226" t="str">
        <x:f>_xlfn.XLOOKUP($A2226,Games!$A$2:$A$18,Games!$O$2:$O$18,"Missing game",0)</x:f>
        <x:v>matrixturf</x:v>
      </x:c>
      <x:c r="AU2226" t="str">
        <x:f>_xlfn.XLOOKUP($A2226,Games!$A$2:$A$18,Games!$P$2:$P$18,"Missing game",0)</x:f>
      </x:c>
      <x:c r="AV2226" t="str">
        <x:f>_xlfn.XLOOKUP($A2226,Games!$A$2:$A$18,Games!$Q$2:$Q$18,"Missing game",0)</x:f>
      </x:c>
      <x:c r="AW2226" t="str">
        <x:f>_xlfn.XLOOKUP($A2226,Games!$A$2:$A$18,Games!$R$2:$R$18,"Missing game",0)</x:f>
        <x:v>AT&amp;T Stadium</x:v>
      </x:c>
    </x:row>
    <x:row r="2227">
      <x:c r="A2227" t="str">
        <x:v>2025_15_MIN_DAL</x:v>
      </x:c>
      <x:c r="B2227" t="n">
        <x:v>1876</x:v>
      </x:c>
      <x:c r="C2227" t="n">
        <x:v>2</x:v>
      </x:c>
      <x:c r="D2227" t="str">
        <x:v>01:28</x:v>
      </x:c>
      <x:c r="E2227" t="n">
        <x:v>3</x:v>
      </x:c>
      <x:c r="F2227" t="n">
        <x:v>1</x:v>
      </x:c>
      <x:c r="G2227" t="str">
        <x:v>DAL</x:v>
      </x:c>
      <x:c r="H2227" t="str">
        <x:v>MIN</x:v>
      </x:c>
      <x:c r="I2227" t="str">
        <x:v>DAL</x:v>
      </x:c>
      <x:c r="J2227" t="n">
        <x:v>51</x:v>
      </x:c>
      <x:c r="K2227" t="str">
        <x:v>(1:28) (No Huddle, Shotgun) 40-H.Luepke left guard to MIN 46 for 5 yards (51-B.Cashman; 97-J.Hargrave). DAL-73-T.Smith was injured during the play.</x:v>
      </x:c>
      <x:c r="L2227" t="str">
        <x:v>run</x:v>
      </x:c>
      <x:c r="M2227" t="n">
        <x:v>5</x:v>
      </x:c>
      <x:c r="N2227" t="n">
        <x:v>1</x:v>
      </x:c>
      <x:c r="O2227" t="n">
        <x:v>1</x:v>
      </x:c>
      <x:c r="P2227"/>
      <x:c r="Q2227"/>
      <x:c r="R2227"/>
      <x:c r="S2227"/>
      <x:c r="T2227" t="str">
        <x:v>left</x:v>
      </x:c>
      <x:c r="U2227" t="str">
        <x:v>guard</x:v>
      </x:c>
      <x:c r="V2227" t="n">
        <x:v>0</x:v>
      </x:c>
      <x:c r="W2227" t="n">
        <x:v>1</x:v>
      </x:c>
      <x:c r="X2227" t="n">
        <x:v>0</x:v>
      </x:c>
      <x:c r="Y2227" t="n">
        <x:v>0</x:v>
      </x:c>
      <x:c r="Z2227" t="n">
        <x:v>0</x:v>
      </x:c>
      <x:c r="AA2227" t="n">
        <x:v>0</x:v>
      </x:c>
      <x:c r="AB2227"/>
      <x:c r="AC2227" t="n">
        <x:v>0</x:v>
      </x:c>
      <x:c r="AD2227" t="n">
        <x:v>0.340646589465905</x:v>
      </x:c>
      <x:c r="AE2227" t="n">
        <x:v>1</x:v>
      </x:c>
      <x:c r="AF2227" t="n">
        <x:v>-0.031974464654922485</x:v>
      </x:c>
      <x:c r="AG2227" t="n">
        <x:f>_xlfn.XLOOKUP($A2227,Games!$A$2:$A$18,Games!$B$2:$B$18,"Missing game",0)</x:f>
        <x:v>2025</x:v>
      </x:c>
      <x:c r="AH2227" t="str">
        <x:f>_xlfn.XLOOKUP($A2227,Games!$A$2:$A$18,Games!$C$2:$C$18,"Missing game",0)</x:f>
        <x:v>REG</x:v>
      </x:c>
      <x:c r="AI2227" t="n">
        <x:f>_xlfn.XLOOKUP($A2227,Games!$A$2:$A$18,Games!$D$2:$D$18,"Missing game",0)</x:f>
        <x:v>15</x:v>
      </x:c>
      <x:c r="AJ2227" s="1" t="n">
        <x:f>_xlfn.XLOOKUP($A2227,Games!$A$2:$A$18,Games!$E$2:$E$18,"Missing game",0)</x:f>
        <x:v>46005</x:v>
      </x:c>
      <x:c r="AK2227" t="str">
        <x:f>_xlfn.XLOOKUP($A2227,Games!$A$2:$A$18,Games!$F$2:$F$18,"Missing game",0)</x:f>
        <x:v>Sunday</x:v>
      </x:c>
      <x:c r="AL2227" t="str">
        <x:f>_xlfn.XLOOKUP($A2227,Games!$A$2:$A$18,Games!$G$2:$G$18,"Missing game",0)</x:f>
        <x:v>MIN</x:v>
      </x:c>
      <x:c r="AM2227" t="n">
        <x:f>_xlfn.XLOOKUP($A2227,Games!$A$2:$A$18,Games!$H$2:$H$18,"Missing game",0)</x:f>
        <x:v>34</x:v>
      </x:c>
      <x:c r="AN2227" t="str">
        <x:f>_xlfn.XLOOKUP($A2227,Games!$A$2:$A$18,Games!$I$2:$I$18,"Missing game",0)</x:f>
        <x:v>DAL</x:v>
      </x:c>
      <x:c r="AO2227" t="n">
        <x:f>_xlfn.XLOOKUP($A2227,Games!$A$2:$A$18,Games!$J$2:$J$18,"Missing game",0)</x:f>
        <x:v>26</x:v>
      </x:c>
      <x:c r="AP2227" t="n">
        <x:f>_xlfn.XLOOKUP($A2227,Games!$A$2:$A$18,Games!$K$2:$K$18,"Missing game",0)</x:f>
        <x:v>-8</x:v>
      </x:c>
      <x:c r="AQ2227" t="n">
        <x:f>_xlfn.XLOOKUP($A2227,Games!$A$2:$A$18,Games!$L$2:$L$18,"Missing game",0)</x:f>
        <x:v>60</x:v>
      </x:c>
      <x:c r="AR2227" t="n">
        <x:f>_xlfn.XLOOKUP($A2227,Games!$A$2:$A$18,Games!$M$2:$M$18,"Missing game",0)</x:f>
        <x:v>0</x:v>
      </x:c>
      <x:c r="AS2227" t="str">
        <x:f>_xlfn.XLOOKUP($A2227,Games!$A$2:$A$18,Games!$N$2:$N$18,"Missing game",0)</x:f>
        <x:v>closed</x:v>
      </x:c>
      <x:c r="AT2227" t="str">
        <x:f>_xlfn.XLOOKUP($A2227,Games!$A$2:$A$18,Games!$O$2:$O$18,"Missing game",0)</x:f>
        <x:v>matrixturf</x:v>
      </x:c>
      <x:c r="AU2227" t="str">
        <x:f>_xlfn.XLOOKUP($A2227,Games!$A$2:$A$18,Games!$P$2:$P$18,"Missing game",0)</x:f>
      </x:c>
      <x:c r="AV2227" t="str">
        <x:f>_xlfn.XLOOKUP($A2227,Games!$A$2:$A$18,Games!$Q$2:$Q$18,"Missing game",0)</x:f>
      </x:c>
      <x:c r="AW2227" t="str">
        <x:f>_xlfn.XLOOKUP($A2227,Games!$A$2:$A$18,Games!$R$2:$R$18,"Missing game",0)</x:f>
        <x:v>AT&amp;T Stadium</x:v>
      </x:c>
    </x:row>
    <x:row r="2228">
      <x:c r="A2228" t="str">
        <x:v>2025_15_MIN_DAL</x:v>
      </x:c>
      <x:c r="B2228" t="n">
        <x:v>1901</x:v>
      </x:c>
      <x:c r="C2228" t="n">
        <x:v>2</x:v>
      </x:c>
      <x:c r="D2228" t="str">
        <x:v>01:18</x:v>
      </x:c>
      <x:c r="E2228" t="n">
        <x:v>1</x:v>
      </x:c>
      <x:c r="F2228" t="n">
        <x:v>10</x:v>
      </x:c>
      <x:c r="G2228" t="str">
        <x:v>DAL</x:v>
      </x:c>
      <x:c r="H2228" t="str">
        <x:v>MIN</x:v>
      </x:c>
      <x:c r="I2228" t="str">
        <x:v>MIN</x:v>
      </x:c>
      <x:c r="J2228" t="n">
        <x:v>46</x:v>
      </x:c>
      <x:c r="K2228" t="str">
        <x:v>(1:18) (Shotgun) 40-H.Luepke up the middle to MIN 43 for 3 yards (61-J.Redmond; 93-J.Allen).</x:v>
      </x:c>
      <x:c r="L2228" t="str">
        <x:v>run</x:v>
      </x:c>
      <x:c r="M2228" t="n">
        <x:v>3</x:v>
      </x:c>
      <x:c r="N2228" t="n">
        <x:v>1</x:v>
      </x:c>
      <x:c r="O2228" t="n">
        <x:v>0</x:v>
      </x:c>
      <x:c r="P2228"/>
      <x:c r="Q2228"/>
      <x:c r="R2228"/>
      <x:c r="S2228"/>
      <x:c r="T2228" t="str">
        <x:v>middle</x:v>
      </x:c>
      <x:c r="U2228"/>
      <x:c r="V2228" t="n">
        <x:v>0</x:v>
      </x:c>
      <x:c r="W2228" t="n">
        <x:v>0</x:v>
      </x:c>
      <x:c r="X2228" t="n">
        <x:v>0</x:v>
      </x:c>
      <x:c r="Y2228" t="n">
        <x:v>0</x:v>
      </x:c>
      <x:c r="Z2228" t="n">
        <x:v>0</x:v>
      </x:c>
      <x:c r="AA2228" t="n">
        <x:v>0</x:v>
      </x:c>
      <x:c r="AB2228"/>
      <x:c r="AC2228" t="n">
        <x:v>0</x:v>
      </x:c>
      <x:c r="AD2228" t="n">
        <x:v>-0.3558779140585102</x:v>
      </x:c>
      <x:c r="AE2228" t="n">
        <x:v>0</x:v>
      </x:c>
      <x:c r="AF2228" t="n">
        <x:v>0.018172919750213623</x:v>
      </x:c>
      <x:c r="AG2228" t="n">
        <x:f>_xlfn.XLOOKUP($A2228,Games!$A$2:$A$18,Games!$B$2:$B$18,"Missing game",0)</x:f>
        <x:v>2025</x:v>
      </x:c>
      <x:c r="AH2228" t="str">
        <x:f>_xlfn.XLOOKUP($A2228,Games!$A$2:$A$18,Games!$C$2:$C$18,"Missing game",0)</x:f>
        <x:v>REG</x:v>
      </x:c>
      <x:c r="AI2228" t="n">
        <x:f>_xlfn.XLOOKUP($A2228,Games!$A$2:$A$18,Games!$D$2:$D$18,"Missing game",0)</x:f>
        <x:v>15</x:v>
      </x:c>
      <x:c r="AJ2228" s="1" t="n">
        <x:f>_xlfn.XLOOKUP($A2228,Games!$A$2:$A$18,Games!$E$2:$E$18,"Missing game",0)</x:f>
        <x:v>46005</x:v>
      </x:c>
      <x:c r="AK2228" t="str">
        <x:f>_xlfn.XLOOKUP($A2228,Games!$A$2:$A$18,Games!$F$2:$F$18,"Missing game",0)</x:f>
        <x:v>Sunday</x:v>
      </x:c>
      <x:c r="AL2228" t="str">
        <x:f>_xlfn.XLOOKUP($A2228,Games!$A$2:$A$18,Games!$G$2:$G$18,"Missing game",0)</x:f>
        <x:v>MIN</x:v>
      </x:c>
      <x:c r="AM2228" t="n">
        <x:f>_xlfn.XLOOKUP($A2228,Games!$A$2:$A$18,Games!$H$2:$H$18,"Missing game",0)</x:f>
        <x:v>34</x:v>
      </x:c>
      <x:c r="AN2228" t="str">
        <x:f>_xlfn.XLOOKUP($A2228,Games!$A$2:$A$18,Games!$I$2:$I$18,"Missing game",0)</x:f>
        <x:v>DAL</x:v>
      </x:c>
      <x:c r="AO2228" t="n">
        <x:f>_xlfn.XLOOKUP($A2228,Games!$A$2:$A$18,Games!$J$2:$J$18,"Missing game",0)</x:f>
        <x:v>26</x:v>
      </x:c>
      <x:c r="AP2228" t="n">
        <x:f>_xlfn.XLOOKUP($A2228,Games!$A$2:$A$18,Games!$K$2:$K$18,"Missing game",0)</x:f>
        <x:v>-8</x:v>
      </x:c>
      <x:c r="AQ2228" t="n">
        <x:f>_xlfn.XLOOKUP($A2228,Games!$A$2:$A$18,Games!$L$2:$L$18,"Missing game",0)</x:f>
        <x:v>60</x:v>
      </x:c>
      <x:c r="AR2228" t="n">
        <x:f>_xlfn.XLOOKUP($A2228,Games!$A$2:$A$18,Games!$M$2:$M$18,"Missing game",0)</x:f>
        <x:v>0</x:v>
      </x:c>
      <x:c r="AS2228" t="str">
        <x:f>_xlfn.XLOOKUP($A2228,Games!$A$2:$A$18,Games!$N$2:$N$18,"Missing game",0)</x:f>
        <x:v>closed</x:v>
      </x:c>
      <x:c r="AT2228" t="str">
        <x:f>_xlfn.XLOOKUP($A2228,Games!$A$2:$A$18,Games!$O$2:$O$18,"Missing game",0)</x:f>
        <x:v>matrixturf</x:v>
      </x:c>
      <x:c r="AU2228" t="str">
        <x:f>_xlfn.XLOOKUP($A2228,Games!$A$2:$A$18,Games!$P$2:$P$18,"Missing game",0)</x:f>
      </x:c>
      <x:c r="AV2228" t="str">
        <x:f>_xlfn.XLOOKUP($A2228,Games!$A$2:$A$18,Games!$Q$2:$Q$18,"Missing game",0)</x:f>
      </x:c>
      <x:c r="AW2228" t="str">
        <x:f>_xlfn.XLOOKUP($A2228,Games!$A$2:$A$18,Games!$R$2:$R$18,"Missing game",0)</x:f>
        <x:v>AT&amp;T Stadium</x:v>
      </x:c>
    </x:row>
    <x:row r="2229">
      <x:c r="A2229" t="str">
        <x:v>2025_15_MIN_DAL</x:v>
      </x:c>
      <x:c r="B2229" t="n">
        <x:v>1913</x:v>
      </x:c>
      <x:c r="C2229" t="n">
        <x:v>2</x:v>
      </x:c>
      <x:c r="D2229" t="str">
        <x:v>01:18</x:v>
      </x:c>
      <x:c r="E2229"/>
      <x:c r="F2229" t="n">
        <x:v>0</x:v>
      </x:c>
      <x:c r="G2229"/>
      <x:c r="H2229"/>
      <x:c r="I2229"/>
      <x:c r="J2229"/>
      <x:c r="K2229" t="str">
        <x:v>Timeout #3 by DAL at 01:18.</x:v>
      </x:c>
      <x:c r="L2229" t="str">
        <x:v>no_play</x:v>
      </x:c>
      <x:c r="M2229" t="n">
        <x:v>0</x:v>
      </x:c>
      <x:c r="N2229" t="n">
        <x:v>0</x:v>
      </x:c>
      <x:c r="O2229" t="n">
        <x:v>0</x:v>
      </x:c>
      <x:c r="P2229"/>
      <x:c r="Q2229"/>
      <x:c r="R2229"/>
      <x:c r="S2229"/>
      <x:c r="T2229"/>
      <x:c r="U2229"/>
      <x:c r="V2229" t="n">
        <x:v>0</x:v>
      </x:c>
      <x:c r="W2229" t="n">
        <x:v>0</x:v>
      </x:c>
      <x:c r="X2229" t="n">
        <x:v>0</x:v>
      </x:c>
      <x:c r="Y2229" t="n">
        <x:v>0</x:v>
      </x:c>
      <x:c r="Z2229" t="n">
        <x:v>0</x:v>
      </x:c>
      <x:c r="AA2229" t="n">
        <x:v>0</x:v>
      </x:c>
      <x:c r="AB2229"/>
      <x:c r="AC2229" t="n">
        <x:v>0</x:v>
      </x:c>
      <x:c r="AD2229" t="n">
        <x:v>0</x:v>
      </x:c>
      <x:c r="AE2229" t="n">
        <x:v>0</x:v>
      </x:c>
      <x:c r="AF2229" t="n">
        <x:v>0</x:v>
      </x:c>
      <x:c r="AG2229" t="n">
        <x:f>_xlfn.XLOOKUP($A2229,Games!$A$2:$A$18,Games!$B$2:$B$18,"Missing game",0)</x:f>
        <x:v>2025</x:v>
      </x:c>
      <x:c r="AH2229" t="str">
        <x:f>_xlfn.XLOOKUP($A2229,Games!$A$2:$A$18,Games!$C$2:$C$18,"Missing game",0)</x:f>
        <x:v>REG</x:v>
      </x:c>
      <x:c r="AI2229" t="n">
        <x:f>_xlfn.XLOOKUP($A2229,Games!$A$2:$A$18,Games!$D$2:$D$18,"Missing game",0)</x:f>
        <x:v>15</x:v>
      </x:c>
      <x:c r="AJ2229" s="1" t="n">
        <x:f>_xlfn.XLOOKUP($A2229,Games!$A$2:$A$18,Games!$E$2:$E$18,"Missing game",0)</x:f>
        <x:v>46005</x:v>
      </x:c>
      <x:c r="AK2229" t="str">
        <x:f>_xlfn.XLOOKUP($A2229,Games!$A$2:$A$18,Games!$F$2:$F$18,"Missing game",0)</x:f>
        <x:v>Sunday</x:v>
      </x:c>
      <x:c r="AL2229" t="str">
        <x:f>_xlfn.XLOOKUP($A2229,Games!$A$2:$A$18,Games!$G$2:$G$18,"Missing game",0)</x:f>
        <x:v>MIN</x:v>
      </x:c>
      <x:c r="AM2229" t="n">
        <x:f>_xlfn.XLOOKUP($A2229,Games!$A$2:$A$18,Games!$H$2:$H$18,"Missing game",0)</x:f>
        <x:v>34</x:v>
      </x:c>
      <x:c r="AN2229" t="str">
        <x:f>_xlfn.XLOOKUP($A2229,Games!$A$2:$A$18,Games!$I$2:$I$18,"Missing game",0)</x:f>
        <x:v>DAL</x:v>
      </x:c>
      <x:c r="AO2229" t="n">
        <x:f>_xlfn.XLOOKUP($A2229,Games!$A$2:$A$18,Games!$J$2:$J$18,"Missing game",0)</x:f>
        <x:v>26</x:v>
      </x:c>
      <x:c r="AP2229" t="n">
        <x:f>_xlfn.XLOOKUP($A2229,Games!$A$2:$A$18,Games!$K$2:$K$18,"Missing game",0)</x:f>
        <x:v>-8</x:v>
      </x:c>
      <x:c r="AQ2229" t="n">
        <x:f>_xlfn.XLOOKUP($A2229,Games!$A$2:$A$18,Games!$L$2:$L$18,"Missing game",0)</x:f>
        <x:v>60</x:v>
      </x:c>
      <x:c r="AR2229" t="n">
        <x:f>_xlfn.XLOOKUP($A2229,Games!$A$2:$A$18,Games!$M$2:$M$18,"Missing game",0)</x:f>
        <x:v>0</x:v>
      </x:c>
      <x:c r="AS2229" t="str">
        <x:f>_xlfn.XLOOKUP($A2229,Games!$A$2:$A$18,Games!$N$2:$N$18,"Missing game",0)</x:f>
        <x:v>closed</x:v>
      </x:c>
      <x:c r="AT2229" t="str">
        <x:f>_xlfn.XLOOKUP($A2229,Games!$A$2:$A$18,Games!$O$2:$O$18,"Missing game",0)</x:f>
        <x:v>matrixturf</x:v>
      </x:c>
      <x:c r="AU2229" t="str">
        <x:f>_xlfn.XLOOKUP($A2229,Games!$A$2:$A$18,Games!$P$2:$P$18,"Missing game",0)</x:f>
      </x:c>
      <x:c r="AV2229" t="str">
        <x:f>_xlfn.XLOOKUP($A2229,Games!$A$2:$A$18,Games!$Q$2:$Q$18,"Missing game",0)</x:f>
      </x:c>
      <x:c r="AW2229" t="str">
        <x:f>_xlfn.XLOOKUP($A2229,Games!$A$2:$A$18,Games!$R$2:$R$18,"Missing game",0)</x:f>
        <x:v>AT&amp;T Stadium</x:v>
      </x:c>
    </x:row>
    <x:row r="2230">
      <x:c r="A2230" t="str">
        <x:v>2025_15_MIN_DAL</x:v>
      </x:c>
      <x:c r="B2230" t="n">
        <x:v>1930</x:v>
      </x:c>
      <x:c r="C2230" t="n">
        <x:v>2</x:v>
      </x:c>
      <x:c r="D2230" t="str">
        <x:v>00:58</x:v>
      </x:c>
      <x:c r="E2230" t="n">
        <x:v>2</x:v>
      </x:c>
      <x:c r="F2230" t="n">
        <x:v>7</x:v>
      </x:c>
      <x:c r="G2230" t="str">
        <x:v>DAL</x:v>
      </x:c>
      <x:c r="H2230" t="str">
        <x:v>MIN</x:v>
      </x:c>
      <x:c r="I2230" t="str">
        <x:v>MIN</x:v>
      </x:c>
      <x:c r="J2230" t="n">
        <x:v>43</x:v>
      </x:c>
      <x:c r="K2230" t="str">
        <x:v>(:58) (No Huddle, Shotgun) 4-D.Prescott pass short middle to 40-H.Luepke to MIN 32 for 11 yards (51-B.Cashman; 22-H.Smith).</x:v>
      </x:c>
      <x:c r="L2230" t="str">
        <x:v>pass</x:v>
      </x:c>
      <x:c r="M2230" t="n">
        <x:v>11</x:v>
      </x:c>
      <x:c r="N2230" t="n">
        <x:v>1</x:v>
      </x:c>
      <x:c r="O2230" t="n">
        <x:v>1</x:v>
      </x:c>
      <x:c r="P2230" t="str">
        <x:v>short</x:v>
      </x:c>
      <x:c r="Q2230" t="str">
        <x:v>middle</x:v>
      </x:c>
      <x:c r="R2230" t="n">
        <x:v>5</x:v>
      </x:c>
      <x:c r="S2230" t="n">
        <x:v>6</x:v>
      </x:c>
      <x:c r="T2230"/>
      <x:c r="U2230"/>
      <x:c r="V2230" t="n">
        <x:v>1</x:v>
      </x:c>
      <x:c r="W2230" t="n">
        <x:v>1</x:v>
      </x:c>
      <x:c r="X2230" t="n">
        <x:v>0</x:v>
      </x:c>
      <x:c r="Y2230" t="n">
        <x:v>0</x:v>
      </x:c>
      <x:c r="Z2230" t="n">
        <x:v>0</x:v>
      </x:c>
      <x:c r="AA2230" t="n">
        <x:v>0</x:v>
      </x:c>
      <x:c r="AB2230"/>
      <x:c r="AC2230" t="n">
        <x:v>0</x:v>
      </x:c>
      <x:c r="AD2230" t="n">
        <x:v>0.99480976263294</x:v>
      </x:c>
      <x:c r="AE2230" t="n">
        <x:v>1</x:v>
      </x:c>
      <x:c r="AF2230" t="n">
        <x:v>0.03968647122383118</x:v>
      </x:c>
      <x:c r="AG2230" t="n">
        <x:f>_xlfn.XLOOKUP($A2230,Games!$A$2:$A$18,Games!$B$2:$B$18,"Missing game",0)</x:f>
        <x:v>2025</x:v>
      </x:c>
      <x:c r="AH2230" t="str">
        <x:f>_xlfn.XLOOKUP($A2230,Games!$A$2:$A$18,Games!$C$2:$C$18,"Missing game",0)</x:f>
        <x:v>REG</x:v>
      </x:c>
      <x:c r="AI2230" t="n">
        <x:f>_xlfn.XLOOKUP($A2230,Games!$A$2:$A$18,Games!$D$2:$D$18,"Missing game",0)</x:f>
        <x:v>15</x:v>
      </x:c>
      <x:c r="AJ2230" s="1" t="n">
        <x:f>_xlfn.XLOOKUP($A2230,Games!$A$2:$A$18,Games!$E$2:$E$18,"Missing game",0)</x:f>
        <x:v>46005</x:v>
      </x:c>
      <x:c r="AK2230" t="str">
        <x:f>_xlfn.XLOOKUP($A2230,Games!$A$2:$A$18,Games!$F$2:$F$18,"Missing game",0)</x:f>
        <x:v>Sunday</x:v>
      </x:c>
      <x:c r="AL2230" t="str">
        <x:f>_xlfn.XLOOKUP($A2230,Games!$A$2:$A$18,Games!$G$2:$G$18,"Missing game",0)</x:f>
        <x:v>MIN</x:v>
      </x:c>
      <x:c r="AM2230" t="n">
        <x:f>_xlfn.XLOOKUP($A2230,Games!$A$2:$A$18,Games!$H$2:$H$18,"Missing game",0)</x:f>
        <x:v>34</x:v>
      </x:c>
      <x:c r="AN2230" t="str">
        <x:f>_xlfn.XLOOKUP($A2230,Games!$A$2:$A$18,Games!$I$2:$I$18,"Missing game",0)</x:f>
        <x:v>DAL</x:v>
      </x:c>
      <x:c r="AO2230" t="n">
        <x:f>_xlfn.XLOOKUP($A2230,Games!$A$2:$A$18,Games!$J$2:$J$18,"Missing game",0)</x:f>
        <x:v>26</x:v>
      </x:c>
      <x:c r="AP2230" t="n">
        <x:f>_xlfn.XLOOKUP($A2230,Games!$A$2:$A$18,Games!$K$2:$K$18,"Missing game",0)</x:f>
        <x:v>-8</x:v>
      </x:c>
      <x:c r="AQ2230" t="n">
        <x:f>_xlfn.XLOOKUP($A2230,Games!$A$2:$A$18,Games!$L$2:$L$18,"Missing game",0)</x:f>
        <x:v>60</x:v>
      </x:c>
      <x:c r="AR2230" t="n">
        <x:f>_xlfn.XLOOKUP($A2230,Games!$A$2:$A$18,Games!$M$2:$M$18,"Missing game",0)</x:f>
        <x:v>0</x:v>
      </x:c>
      <x:c r="AS2230" t="str">
        <x:f>_xlfn.XLOOKUP($A2230,Games!$A$2:$A$18,Games!$N$2:$N$18,"Missing game",0)</x:f>
        <x:v>closed</x:v>
      </x:c>
      <x:c r="AT2230" t="str">
        <x:f>_xlfn.XLOOKUP($A2230,Games!$A$2:$A$18,Games!$O$2:$O$18,"Missing game",0)</x:f>
        <x:v>matrixturf</x:v>
      </x:c>
      <x:c r="AU2230" t="str">
        <x:f>_xlfn.XLOOKUP($A2230,Games!$A$2:$A$18,Games!$P$2:$P$18,"Missing game",0)</x:f>
      </x:c>
      <x:c r="AV2230" t="str">
        <x:f>_xlfn.XLOOKUP($A2230,Games!$A$2:$A$18,Games!$Q$2:$Q$18,"Missing game",0)</x:f>
      </x:c>
      <x:c r="AW2230" t="str">
        <x:f>_xlfn.XLOOKUP($A2230,Games!$A$2:$A$18,Games!$R$2:$R$18,"Missing game",0)</x:f>
        <x:v>AT&amp;T Stadium</x:v>
      </x:c>
    </x:row>
    <x:row r="2231">
      <x:c r="A2231" t="str">
        <x:v>2025_15_MIN_DAL</x:v>
      </x:c>
      <x:c r="B2231" t="n">
        <x:v>1955</x:v>
      </x:c>
      <x:c r="C2231" t="n">
        <x:v>2</x:v>
      </x:c>
      <x:c r="D2231" t="str">
        <x:v>00:39</x:v>
      </x:c>
      <x:c r="E2231" t="n">
        <x:v>1</x:v>
      </x:c>
      <x:c r="F2231" t="n">
        <x:v>10</x:v>
      </x:c>
      <x:c r="G2231" t="str">
        <x:v>DAL</x:v>
      </x:c>
      <x:c r="H2231" t="str">
        <x:v>MIN</x:v>
      </x:c>
      <x:c r="I2231" t="str">
        <x:v>MIN</x:v>
      </x:c>
      <x:c r="J2231" t="n">
        <x:v>32</x:v>
      </x:c>
      <x:c r="K2231" t="str">
        <x:v>(:39) (No Huddle, Shotgun) 4-D.Prescott pass short left to 3-G.Pickens pushed ob at MIN 22 for 10 yards (22-H.Smith).</x:v>
      </x:c>
      <x:c r="L2231" t="str">
        <x:v>pass</x:v>
      </x:c>
      <x:c r="M2231" t="n">
        <x:v>10</x:v>
      </x:c>
      <x:c r="N2231" t="n">
        <x:v>1</x:v>
      </x:c>
      <x:c r="O2231" t="n">
        <x:v>1</x:v>
      </x:c>
      <x:c r="P2231" t="str">
        <x:v>short</x:v>
      </x:c>
      <x:c r="Q2231" t="str">
        <x:v>left</x:v>
      </x:c>
      <x:c r="R2231" t="n">
        <x:v>6</x:v>
      </x:c>
      <x:c r="S2231" t="n">
        <x:v>4</x:v>
      </x:c>
      <x:c r="T2231"/>
      <x:c r="U2231"/>
      <x:c r="V2231" t="n">
        <x:v>1</x:v>
      </x:c>
      <x:c r="W2231" t="n">
        <x:v>1</x:v>
      </x:c>
      <x:c r="X2231" t="n">
        <x:v>0</x:v>
      </x:c>
      <x:c r="Y2231" t="n">
        <x:v>0</x:v>
      </x:c>
      <x:c r="Z2231" t="n">
        <x:v>0</x:v>
      </x:c>
      <x:c r="AA2231" t="n">
        <x:v>0</x:v>
      </x:c>
      <x:c r="AB2231"/>
      <x:c r="AC2231" t="n">
        <x:v>0</x:v>
      </x:c>
      <x:c r="AD2231" t="n">
        <x:v>0.719266069936566</x:v>
      </x:c>
      <x:c r="AE2231" t="n">
        <x:v>1</x:v>
      </x:c>
      <x:c r="AF2231" t="n">
        <x:v>0.020675718784332275</x:v>
      </x:c>
      <x:c r="AG2231" t="n">
        <x:f>_xlfn.XLOOKUP($A2231,Games!$A$2:$A$18,Games!$B$2:$B$18,"Missing game",0)</x:f>
        <x:v>2025</x:v>
      </x:c>
      <x:c r="AH2231" t="str">
        <x:f>_xlfn.XLOOKUP($A2231,Games!$A$2:$A$18,Games!$C$2:$C$18,"Missing game",0)</x:f>
        <x:v>REG</x:v>
      </x:c>
      <x:c r="AI2231" t="n">
        <x:f>_xlfn.XLOOKUP($A2231,Games!$A$2:$A$18,Games!$D$2:$D$18,"Missing game",0)</x:f>
        <x:v>15</x:v>
      </x:c>
      <x:c r="AJ2231" s="1" t="n">
        <x:f>_xlfn.XLOOKUP($A2231,Games!$A$2:$A$18,Games!$E$2:$E$18,"Missing game",0)</x:f>
        <x:v>46005</x:v>
      </x:c>
      <x:c r="AK2231" t="str">
        <x:f>_xlfn.XLOOKUP($A2231,Games!$A$2:$A$18,Games!$F$2:$F$18,"Missing game",0)</x:f>
        <x:v>Sunday</x:v>
      </x:c>
      <x:c r="AL2231" t="str">
        <x:f>_xlfn.XLOOKUP($A2231,Games!$A$2:$A$18,Games!$G$2:$G$18,"Missing game",0)</x:f>
        <x:v>MIN</x:v>
      </x:c>
      <x:c r="AM2231" t="n">
        <x:f>_xlfn.XLOOKUP($A2231,Games!$A$2:$A$18,Games!$H$2:$H$18,"Missing game",0)</x:f>
        <x:v>34</x:v>
      </x:c>
      <x:c r="AN2231" t="str">
        <x:f>_xlfn.XLOOKUP($A2231,Games!$A$2:$A$18,Games!$I$2:$I$18,"Missing game",0)</x:f>
        <x:v>DAL</x:v>
      </x:c>
      <x:c r="AO2231" t="n">
        <x:f>_xlfn.XLOOKUP($A2231,Games!$A$2:$A$18,Games!$J$2:$J$18,"Missing game",0)</x:f>
        <x:v>26</x:v>
      </x:c>
      <x:c r="AP2231" t="n">
        <x:f>_xlfn.XLOOKUP($A2231,Games!$A$2:$A$18,Games!$K$2:$K$18,"Missing game",0)</x:f>
        <x:v>-8</x:v>
      </x:c>
      <x:c r="AQ2231" t="n">
        <x:f>_xlfn.XLOOKUP($A2231,Games!$A$2:$A$18,Games!$L$2:$L$18,"Missing game",0)</x:f>
        <x:v>60</x:v>
      </x:c>
      <x:c r="AR2231" t="n">
        <x:f>_xlfn.XLOOKUP($A2231,Games!$A$2:$A$18,Games!$M$2:$M$18,"Missing game",0)</x:f>
        <x:v>0</x:v>
      </x:c>
      <x:c r="AS2231" t="str">
        <x:f>_xlfn.XLOOKUP($A2231,Games!$A$2:$A$18,Games!$N$2:$N$18,"Missing game",0)</x:f>
        <x:v>closed</x:v>
      </x:c>
      <x:c r="AT2231" t="str">
        <x:f>_xlfn.XLOOKUP($A2231,Games!$A$2:$A$18,Games!$O$2:$O$18,"Missing game",0)</x:f>
        <x:v>matrixturf</x:v>
      </x:c>
      <x:c r="AU2231" t="str">
        <x:f>_xlfn.XLOOKUP($A2231,Games!$A$2:$A$18,Games!$P$2:$P$18,"Missing game",0)</x:f>
      </x:c>
      <x:c r="AV2231" t="str">
        <x:f>_xlfn.XLOOKUP($A2231,Games!$A$2:$A$18,Games!$Q$2:$Q$18,"Missing game",0)</x:f>
      </x:c>
      <x:c r="AW2231" t="str">
        <x:f>_xlfn.XLOOKUP($A2231,Games!$A$2:$A$18,Games!$R$2:$R$18,"Missing game",0)</x:f>
        <x:v>AT&amp;T Stadium</x:v>
      </x:c>
    </x:row>
    <x:row r="2232">
      <x:c r="A2232" t="str">
        <x:v>2025_15_MIN_DAL</x:v>
      </x:c>
      <x:c r="B2232" t="n">
        <x:v>1985</x:v>
      </x:c>
      <x:c r="C2232" t="n">
        <x:v>2</x:v>
      </x:c>
      <x:c r="D2232" t="str">
        <x:v>00:35</x:v>
      </x:c>
      <x:c r="E2232" t="n">
        <x:v>1</x:v>
      </x:c>
      <x:c r="F2232" t="n">
        <x:v>10</x:v>
      </x:c>
      <x:c r="G2232" t="str">
        <x:v>DAL</x:v>
      </x:c>
      <x:c r="H2232" t="str">
        <x:v>MIN</x:v>
      </x:c>
      <x:c r="I2232" t="str">
        <x:v>MIN</x:v>
      </x:c>
      <x:c r="J2232" t="n">
        <x:v>22</x:v>
      </x:c>
      <x:c r="K2232" t="str">
        <x:v>(:35) (Shotgun) 4-D.Prescott pass short left to 40-H.Luepke to MIN 19 for 3 yards (22-H.Smith).</x:v>
      </x:c>
      <x:c r="L2232" t="str">
        <x:v>pass</x:v>
      </x:c>
      <x:c r="M2232" t="n">
        <x:v>3</x:v>
      </x:c>
      <x:c r="N2232" t="n">
        <x:v>1</x:v>
      </x:c>
      <x:c r="O2232" t="n">
        <x:v>0</x:v>
      </x:c>
      <x:c r="P2232" t="str">
        <x:v>short</x:v>
      </x:c>
      <x:c r="Q2232" t="str">
        <x:v>left</x:v>
      </x:c>
      <x:c r="R2232" t="n">
        <x:v>-5</x:v>
      </x:c>
      <x:c r="S2232" t="n">
        <x:v>8</x:v>
      </x:c>
      <x:c r="T2232"/>
      <x:c r="U2232"/>
      <x:c r="V2232" t="n">
        <x:v>1</x:v>
      </x:c>
      <x:c r="W2232" t="n">
        <x:v>0</x:v>
      </x:c>
      <x:c r="X2232" t="n">
        <x:v>0</x:v>
      </x:c>
      <x:c r="Y2232" t="n">
        <x:v>0</x:v>
      </x:c>
      <x:c r="Z2232" t="n">
        <x:v>0</x:v>
      </x:c>
      <x:c r="AA2232" t="n">
        <x:v>0</x:v>
      </x:c>
      <x:c r="AB2232"/>
      <x:c r="AC2232" t="n">
        <x:v>0</x:v>
      </x:c>
      <x:c r="AD2232" t="n">
        <x:v>-0.6847326980787329</x:v>
      </x:c>
      <x:c r="AE2232" t="n">
        <x:v>0</x:v>
      </x:c>
      <x:c r="AF2232" t="n">
        <x:v>0.003480076789855957</x:v>
      </x:c>
      <x:c r="AG2232" t="n">
        <x:f>_xlfn.XLOOKUP($A2232,Games!$A$2:$A$18,Games!$B$2:$B$18,"Missing game",0)</x:f>
        <x:v>2025</x:v>
      </x:c>
      <x:c r="AH2232" t="str">
        <x:f>_xlfn.XLOOKUP($A2232,Games!$A$2:$A$18,Games!$C$2:$C$18,"Missing game",0)</x:f>
        <x:v>REG</x:v>
      </x:c>
      <x:c r="AI2232" t="n">
        <x:f>_xlfn.XLOOKUP($A2232,Games!$A$2:$A$18,Games!$D$2:$D$18,"Missing game",0)</x:f>
        <x:v>15</x:v>
      </x:c>
      <x:c r="AJ2232" s="1" t="n">
        <x:f>_xlfn.XLOOKUP($A2232,Games!$A$2:$A$18,Games!$E$2:$E$18,"Missing game",0)</x:f>
        <x:v>46005</x:v>
      </x:c>
      <x:c r="AK2232" t="str">
        <x:f>_xlfn.XLOOKUP($A2232,Games!$A$2:$A$18,Games!$F$2:$F$18,"Missing game",0)</x:f>
        <x:v>Sunday</x:v>
      </x:c>
      <x:c r="AL2232" t="str">
        <x:f>_xlfn.XLOOKUP($A2232,Games!$A$2:$A$18,Games!$G$2:$G$18,"Missing game",0)</x:f>
        <x:v>MIN</x:v>
      </x:c>
      <x:c r="AM2232" t="n">
        <x:f>_xlfn.XLOOKUP($A2232,Games!$A$2:$A$18,Games!$H$2:$H$18,"Missing game",0)</x:f>
        <x:v>34</x:v>
      </x:c>
      <x:c r="AN2232" t="str">
        <x:f>_xlfn.XLOOKUP($A2232,Games!$A$2:$A$18,Games!$I$2:$I$18,"Missing game",0)</x:f>
        <x:v>DAL</x:v>
      </x:c>
      <x:c r="AO2232" t="n">
        <x:f>_xlfn.XLOOKUP($A2232,Games!$A$2:$A$18,Games!$J$2:$J$18,"Missing game",0)</x:f>
        <x:v>26</x:v>
      </x:c>
      <x:c r="AP2232" t="n">
        <x:f>_xlfn.XLOOKUP($A2232,Games!$A$2:$A$18,Games!$K$2:$K$18,"Missing game",0)</x:f>
        <x:v>-8</x:v>
      </x:c>
      <x:c r="AQ2232" t="n">
        <x:f>_xlfn.XLOOKUP($A2232,Games!$A$2:$A$18,Games!$L$2:$L$18,"Missing game",0)</x:f>
        <x:v>60</x:v>
      </x:c>
      <x:c r="AR2232" t="n">
        <x:f>_xlfn.XLOOKUP($A2232,Games!$A$2:$A$18,Games!$M$2:$M$18,"Missing game",0)</x:f>
        <x:v>0</x:v>
      </x:c>
      <x:c r="AS2232" t="str">
        <x:f>_xlfn.XLOOKUP($A2232,Games!$A$2:$A$18,Games!$N$2:$N$18,"Missing game",0)</x:f>
        <x:v>closed</x:v>
      </x:c>
      <x:c r="AT2232" t="str">
        <x:f>_xlfn.XLOOKUP($A2232,Games!$A$2:$A$18,Games!$O$2:$O$18,"Missing game",0)</x:f>
        <x:v>matrixturf</x:v>
      </x:c>
      <x:c r="AU2232" t="str">
        <x:f>_xlfn.XLOOKUP($A2232,Games!$A$2:$A$18,Games!$P$2:$P$18,"Missing game",0)</x:f>
      </x:c>
      <x:c r="AV2232" t="str">
        <x:f>_xlfn.XLOOKUP($A2232,Games!$A$2:$A$18,Games!$Q$2:$Q$18,"Missing game",0)</x:f>
      </x:c>
      <x:c r="AW2232" t="str">
        <x:f>_xlfn.XLOOKUP($A2232,Games!$A$2:$A$18,Games!$R$2:$R$18,"Missing game",0)</x:f>
        <x:v>AT&amp;T Stadium</x:v>
      </x:c>
    </x:row>
    <x:row r="2233">
      <x:c r="A2233" t="str">
        <x:v>2025_15_MIN_DAL</x:v>
      </x:c>
      <x:c r="B2233" t="n">
        <x:v>2010</x:v>
      </x:c>
      <x:c r="C2233" t="n">
        <x:v>2</x:v>
      </x:c>
      <x:c r="D2233" t="str">
        <x:v>00:16</x:v>
      </x:c>
      <x:c r="E2233" t="n">
        <x:v>2</x:v>
      </x:c>
      <x:c r="F2233" t="n">
        <x:v>7</x:v>
      </x:c>
      <x:c r="G2233" t="str">
        <x:v>DAL</x:v>
      </x:c>
      <x:c r="H2233" t="str">
        <x:v>MIN</x:v>
      </x:c>
      <x:c r="I2233" t="str">
        <x:v>MIN</x:v>
      </x:c>
      <x:c r="J2233" t="n">
        <x:v>19</x:v>
      </x:c>
      <x:c r="K2233" t="str">
        <x:v>(:16) (No Huddle, Shotgun) 4-D.Prescott pass incomplete deep left [55-E.Wilson].</x:v>
      </x:c>
      <x:c r="L2233" t="str">
        <x:v>pass</x:v>
      </x:c>
      <x:c r="M2233" t="n">
        <x:v>0</x:v>
      </x:c>
      <x:c r="N2233" t="n">
        <x:v>1</x:v>
      </x:c>
      <x:c r="O2233" t="n">
        <x:v>1</x:v>
      </x:c>
      <x:c r="P2233" t="str">
        <x:v>deep</x:v>
      </x:c>
      <x:c r="Q2233" t="str">
        <x:v>left</x:v>
      </x:c>
      <x:c r="R2233" t="n">
        <x:v>16</x:v>
      </x:c>
      <x:c r="S2233"/>
      <x:c r="T2233"/>
      <x:c r="U2233"/>
      <x:c r="V2233" t="n">
        <x:v>0</x:v>
      </x:c>
      <x:c r="W2233" t="n">
        <x:v>0</x:v>
      </x:c>
      <x:c r="X2233" t="n">
        <x:v>0</x:v>
      </x:c>
      <x:c r="Y2233" t="n">
        <x:v>0</x:v>
      </x:c>
      <x:c r="Z2233" t="n">
        <x:v>0</x:v>
      </x:c>
      <x:c r="AA2233" t="n">
        <x:v>0</x:v>
      </x:c>
      <x:c r="AB2233"/>
      <x:c r="AC2233" t="n">
        <x:v>0</x:v>
      </x:c>
      <x:c r="AD2233" t="n">
        <x:v>-0.5590861890814267</x:v>
      </x:c>
      <x:c r="AE2233" t="n">
        <x:v>0</x:v>
      </x:c>
      <x:c r="AF2233" t="n">
        <x:v>-0.02955383062362671</x:v>
      </x:c>
      <x:c r="AG2233" t="n">
        <x:f>_xlfn.XLOOKUP($A2233,Games!$A$2:$A$18,Games!$B$2:$B$18,"Missing game",0)</x:f>
        <x:v>2025</x:v>
      </x:c>
      <x:c r="AH2233" t="str">
        <x:f>_xlfn.XLOOKUP($A2233,Games!$A$2:$A$18,Games!$C$2:$C$18,"Missing game",0)</x:f>
        <x:v>REG</x:v>
      </x:c>
      <x:c r="AI2233" t="n">
        <x:f>_xlfn.XLOOKUP($A2233,Games!$A$2:$A$18,Games!$D$2:$D$18,"Missing game",0)</x:f>
        <x:v>15</x:v>
      </x:c>
      <x:c r="AJ2233" s="1" t="n">
        <x:f>_xlfn.XLOOKUP($A2233,Games!$A$2:$A$18,Games!$E$2:$E$18,"Missing game",0)</x:f>
        <x:v>46005</x:v>
      </x:c>
      <x:c r="AK2233" t="str">
        <x:f>_xlfn.XLOOKUP($A2233,Games!$A$2:$A$18,Games!$F$2:$F$18,"Missing game",0)</x:f>
        <x:v>Sunday</x:v>
      </x:c>
      <x:c r="AL2233" t="str">
        <x:f>_xlfn.XLOOKUP($A2233,Games!$A$2:$A$18,Games!$G$2:$G$18,"Missing game",0)</x:f>
        <x:v>MIN</x:v>
      </x:c>
      <x:c r="AM2233" t="n">
        <x:f>_xlfn.XLOOKUP($A2233,Games!$A$2:$A$18,Games!$H$2:$H$18,"Missing game",0)</x:f>
        <x:v>34</x:v>
      </x:c>
      <x:c r="AN2233" t="str">
        <x:f>_xlfn.XLOOKUP($A2233,Games!$A$2:$A$18,Games!$I$2:$I$18,"Missing game",0)</x:f>
        <x:v>DAL</x:v>
      </x:c>
      <x:c r="AO2233" t="n">
        <x:f>_xlfn.XLOOKUP($A2233,Games!$A$2:$A$18,Games!$J$2:$J$18,"Missing game",0)</x:f>
        <x:v>26</x:v>
      </x:c>
      <x:c r="AP2233" t="n">
        <x:f>_xlfn.XLOOKUP($A2233,Games!$A$2:$A$18,Games!$K$2:$K$18,"Missing game",0)</x:f>
        <x:v>-8</x:v>
      </x:c>
      <x:c r="AQ2233" t="n">
        <x:f>_xlfn.XLOOKUP($A2233,Games!$A$2:$A$18,Games!$L$2:$L$18,"Missing game",0)</x:f>
        <x:v>60</x:v>
      </x:c>
      <x:c r="AR2233" t="n">
        <x:f>_xlfn.XLOOKUP($A2233,Games!$A$2:$A$18,Games!$M$2:$M$18,"Missing game",0)</x:f>
        <x:v>0</x:v>
      </x:c>
      <x:c r="AS2233" t="str">
        <x:f>_xlfn.XLOOKUP($A2233,Games!$A$2:$A$18,Games!$N$2:$N$18,"Missing game",0)</x:f>
        <x:v>closed</x:v>
      </x:c>
      <x:c r="AT2233" t="str">
        <x:f>_xlfn.XLOOKUP($A2233,Games!$A$2:$A$18,Games!$O$2:$O$18,"Missing game",0)</x:f>
        <x:v>matrixturf</x:v>
      </x:c>
      <x:c r="AU2233" t="str">
        <x:f>_xlfn.XLOOKUP($A2233,Games!$A$2:$A$18,Games!$P$2:$P$18,"Missing game",0)</x:f>
      </x:c>
      <x:c r="AV2233" t="str">
        <x:f>_xlfn.XLOOKUP($A2233,Games!$A$2:$A$18,Games!$Q$2:$Q$18,"Missing game",0)</x:f>
      </x:c>
      <x:c r="AW2233" t="str">
        <x:f>_xlfn.XLOOKUP($A2233,Games!$A$2:$A$18,Games!$R$2:$R$18,"Missing game",0)</x:f>
        <x:v>AT&amp;T Stadium</x:v>
      </x:c>
    </x:row>
    <x:row r="2234">
      <x:c r="A2234" t="str">
        <x:v>2025_15_MIN_DAL</x:v>
      </x:c>
      <x:c r="B2234" t="n">
        <x:v>2033</x:v>
      </x:c>
      <x:c r="C2234" t="n">
        <x:v>2</x:v>
      </x:c>
      <x:c r="D2234" t="str">
        <x:v>00:11</x:v>
      </x:c>
      <x:c r="E2234" t="n">
        <x:v>3</x:v>
      </x:c>
      <x:c r="F2234" t="n">
        <x:v>7</x:v>
      </x:c>
      <x:c r="G2234" t="str">
        <x:v>DAL</x:v>
      </x:c>
      <x:c r="H2234" t="str">
        <x:v>MIN</x:v>
      </x:c>
      <x:c r="I2234" t="str">
        <x:v>MIN</x:v>
      </x:c>
      <x:c r="J2234" t="n">
        <x:v>19</x:v>
      </x:c>
      <x:c r="K2234" t="str">
        <x:v>(:11) (Shotgun) 4-D.Prescott pass incomplete short left.</x:v>
      </x:c>
      <x:c r="L2234" t="str">
        <x:v>pass</x:v>
      </x:c>
      <x:c r="M2234" t="n">
        <x:v>0</x:v>
      </x:c>
      <x:c r="N2234" t="n">
        <x:v>1</x:v>
      </x:c>
      <x:c r="O2234" t="n">
        <x:v>0</x:v>
      </x:c>
      <x:c r="P2234" t="str">
        <x:v>short</x:v>
      </x:c>
      <x:c r="Q2234" t="str">
        <x:v>left</x:v>
      </x:c>
      <x:c r="R2234" t="n">
        <x:v>9</x:v>
      </x:c>
      <x:c r="S2234"/>
      <x:c r="T2234"/>
      <x:c r="U2234"/>
      <x:c r="V2234" t="n">
        <x:v>0</x:v>
      </x:c>
      <x:c r="W2234" t="n">
        <x:v>0</x:v>
      </x:c>
      <x:c r="X2234" t="n">
        <x:v>0</x:v>
      </x:c>
      <x:c r="Y2234" t="n">
        <x:v>0</x:v>
      </x:c>
      <x:c r="Z2234" t="n">
        <x:v>0</x:v>
      </x:c>
      <x:c r="AA2234" t="n">
        <x:v>0</x:v>
      </x:c>
      <x:c r="AB2234"/>
      <x:c r="AC2234" t="n">
        <x:v>0</x:v>
      </x:c>
      <x:c r="AD2234" t="n">
        <x:v>-0.00725775844115617</x:v>
      </x:c>
      <x:c r="AE2234" t="n">
        <x:v>0</x:v>
      </x:c>
      <x:c r="AF2234" t="n">
        <x:v>-0.021106302738189697</x:v>
      </x:c>
      <x:c r="AG2234" t="n">
        <x:f>_xlfn.XLOOKUP($A2234,Games!$A$2:$A$18,Games!$B$2:$B$18,"Missing game",0)</x:f>
        <x:v>2025</x:v>
      </x:c>
      <x:c r="AH2234" t="str">
        <x:f>_xlfn.XLOOKUP($A2234,Games!$A$2:$A$18,Games!$C$2:$C$18,"Missing game",0)</x:f>
        <x:v>REG</x:v>
      </x:c>
      <x:c r="AI2234" t="n">
        <x:f>_xlfn.XLOOKUP($A2234,Games!$A$2:$A$18,Games!$D$2:$D$18,"Missing game",0)</x:f>
        <x:v>15</x:v>
      </x:c>
      <x:c r="AJ2234" s="1" t="n">
        <x:f>_xlfn.XLOOKUP($A2234,Games!$A$2:$A$18,Games!$E$2:$E$18,"Missing game",0)</x:f>
        <x:v>46005</x:v>
      </x:c>
      <x:c r="AK2234" t="str">
        <x:f>_xlfn.XLOOKUP($A2234,Games!$A$2:$A$18,Games!$F$2:$F$18,"Missing game",0)</x:f>
        <x:v>Sunday</x:v>
      </x:c>
      <x:c r="AL2234" t="str">
        <x:f>_xlfn.XLOOKUP($A2234,Games!$A$2:$A$18,Games!$G$2:$G$18,"Missing game",0)</x:f>
        <x:v>MIN</x:v>
      </x:c>
      <x:c r="AM2234" t="n">
        <x:f>_xlfn.XLOOKUP($A2234,Games!$A$2:$A$18,Games!$H$2:$H$18,"Missing game",0)</x:f>
        <x:v>34</x:v>
      </x:c>
      <x:c r="AN2234" t="str">
        <x:f>_xlfn.XLOOKUP($A2234,Games!$A$2:$A$18,Games!$I$2:$I$18,"Missing game",0)</x:f>
        <x:v>DAL</x:v>
      </x:c>
      <x:c r="AO2234" t="n">
        <x:f>_xlfn.XLOOKUP($A2234,Games!$A$2:$A$18,Games!$J$2:$J$18,"Missing game",0)</x:f>
        <x:v>26</x:v>
      </x:c>
      <x:c r="AP2234" t="n">
        <x:f>_xlfn.XLOOKUP($A2234,Games!$A$2:$A$18,Games!$K$2:$K$18,"Missing game",0)</x:f>
        <x:v>-8</x:v>
      </x:c>
      <x:c r="AQ2234" t="n">
        <x:f>_xlfn.XLOOKUP($A2234,Games!$A$2:$A$18,Games!$L$2:$L$18,"Missing game",0)</x:f>
        <x:v>60</x:v>
      </x:c>
      <x:c r="AR2234" t="n">
        <x:f>_xlfn.XLOOKUP($A2234,Games!$A$2:$A$18,Games!$M$2:$M$18,"Missing game",0)</x:f>
        <x:v>0</x:v>
      </x:c>
      <x:c r="AS2234" t="str">
        <x:f>_xlfn.XLOOKUP($A2234,Games!$A$2:$A$18,Games!$N$2:$N$18,"Missing game",0)</x:f>
        <x:v>closed</x:v>
      </x:c>
      <x:c r="AT2234" t="str">
        <x:f>_xlfn.XLOOKUP($A2234,Games!$A$2:$A$18,Games!$O$2:$O$18,"Missing game",0)</x:f>
        <x:v>matrixturf</x:v>
      </x:c>
      <x:c r="AU2234" t="str">
        <x:f>_xlfn.XLOOKUP($A2234,Games!$A$2:$A$18,Games!$P$2:$P$18,"Missing game",0)</x:f>
      </x:c>
      <x:c r="AV2234" t="str">
        <x:f>_xlfn.XLOOKUP($A2234,Games!$A$2:$A$18,Games!$Q$2:$Q$18,"Missing game",0)</x:f>
      </x:c>
      <x:c r="AW2234" t="str">
        <x:f>_xlfn.XLOOKUP($A2234,Games!$A$2:$A$18,Games!$R$2:$R$18,"Missing game",0)</x:f>
        <x:v>AT&amp;T Stadium</x:v>
      </x:c>
    </x:row>
    <x:row r="2235">
      <x:c r="A2235" t="str">
        <x:v>2025_15_MIN_DAL</x:v>
      </x:c>
      <x:c r="B2235" t="n">
        <x:v>2045</x:v>
      </x:c>
      <x:c r="C2235" t="n">
        <x:v>2</x:v>
      </x:c>
      <x:c r="D2235" t="str">
        <x:v>00:11</x:v>
      </x:c>
      <x:c r="E2235"/>
      <x:c r="F2235" t="n">
        <x:v>0</x:v>
      </x:c>
      <x:c r="G2235"/>
      <x:c r="H2235"/>
      <x:c r="I2235"/>
      <x:c r="J2235"/>
      <x:c r="K2235" t="str">
        <x:v>Timeout #2 by MIN at 00:11.</x:v>
      </x:c>
      <x:c r="L2235" t="str">
        <x:v>no_play</x:v>
      </x:c>
      <x:c r="M2235" t="n">
        <x:v>0</x:v>
      </x:c>
      <x:c r="N2235" t="n">
        <x:v>0</x:v>
      </x:c>
      <x:c r="O2235" t="n">
        <x:v>0</x:v>
      </x:c>
      <x:c r="P2235"/>
      <x:c r="Q2235"/>
      <x:c r="R2235"/>
      <x:c r="S2235"/>
      <x:c r="T2235"/>
      <x:c r="U2235"/>
      <x:c r="V2235" t="n">
        <x:v>0</x:v>
      </x:c>
      <x:c r="W2235" t="n">
        <x:v>0</x:v>
      </x:c>
      <x:c r="X2235" t="n">
        <x:v>0</x:v>
      </x:c>
      <x:c r="Y2235" t="n">
        <x:v>0</x:v>
      </x:c>
      <x:c r="Z2235" t="n">
        <x:v>0</x:v>
      </x:c>
      <x:c r="AA2235" t="n">
        <x:v>0</x:v>
      </x:c>
      <x:c r="AB2235"/>
      <x:c r="AC2235" t="n">
        <x:v>0</x:v>
      </x:c>
      <x:c r="AD2235" t="n">
        <x:v>0</x:v>
      </x:c>
      <x:c r="AE2235" t="n">
        <x:v>0</x:v>
      </x:c>
      <x:c r="AF2235" t="n">
        <x:v>0</x:v>
      </x:c>
      <x:c r="AG2235" t="n">
        <x:f>_xlfn.XLOOKUP($A2235,Games!$A$2:$A$18,Games!$B$2:$B$18,"Missing game",0)</x:f>
        <x:v>2025</x:v>
      </x:c>
      <x:c r="AH2235" t="str">
        <x:f>_xlfn.XLOOKUP($A2235,Games!$A$2:$A$18,Games!$C$2:$C$18,"Missing game",0)</x:f>
        <x:v>REG</x:v>
      </x:c>
      <x:c r="AI2235" t="n">
        <x:f>_xlfn.XLOOKUP($A2235,Games!$A$2:$A$18,Games!$D$2:$D$18,"Missing game",0)</x:f>
        <x:v>15</x:v>
      </x:c>
      <x:c r="AJ2235" s="1" t="n">
        <x:f>_xlfn.XLOOKUP($A2235,Games!$A$2:$A$18,Games!$E$2:$E$18,"Missing game",0)</x:f>
        <x:v>46005</x:v>
      </x:c>
      <x:c r="AK2235" t="str">
        <x:f>_xlfn.XLOOKUP($A2235,Games!$A$2:$A$18,Games!$F$2:$F$18,"Missing game",0)</x:f>
        <x:v>Sunday</x:v>
      </x:c>
      <x:c r="AL2235" t="str">
        <x:f>_xlfn.XLOOKUP($A2235,Games!$A$2:$A$18,Games!$G$2:$G$18,"Missing game",0)</x:f>
        <x:v>MIN</x:v>
      </x:c>
      <x:c r="AM2235" t="n">
        <x:f>_xlfn.XLOOKUP($A2235,Games!$A$2:$A$18,Games!$H$2:$H$18,"Missing game",0)</x:f>
        <x:v>34</x:v>
      </x:c>
      <x:c r="AN2235" t="str">
        <x:f>_xlfn.XLOOKUP($A2235,Games!$A$2:$A$18,Games!$I$2:$I$18,"Missing game",0)</x:f>
        <x:v>DAL</x:v>
      </x:c>
      <x:c r="AO2235" t="n">
        <x:f>_xlfn.XLOOKUP($A2235,Games!$A$2:$A$18,Games!$J$2:$J$18,"Missing game",0)</x:f>
        <x:v>26</x:v>
      </x:c>
      <x:c r="AP2235" t="n">
        <x:f>_xlfn.XLOOKUP($A2235,Games!$A$2:$A$18,Games!$K$2:$K$18,"Missing game",0)</x:f>
        <x:v>-8</x:v>
      </x:c>
      <x:c r="AQ2235" t="n">
        <x:f>_xlfn.XLOOKUP($A2235,Games!$A$2:$A$18,Games!$L$2:$L$18,"Missing game",0)</x:f>
        <x:v>60</x:v>
      </x:c>
      <x:c r="AR2235" t="n">
        <x:f>_xlfn.XLOOKUP($A2235,Games!$A$2:$A$18,Games!$M$2:$M$18,"Missing game",0)</x:f>
        <x:v>0</x:v>
      </x:c>
      <x:c r="AS2235" t="str">
        <x:f>_xlfn.XLOOKUP($A2235,Games!$A$2:$A$18,Games!$N$2:$N$18,"Missing game",0)</x:f>
        <x:v>closed</x:v>
      </x:c>
      <x:c r="AT2235" t="str">
        <x:f>_xlfn.XLOOKUP($A2235,Games!$A$2:$A$18,Games!$O$2:$O$18,"Missing game",0)</x:f>
        <x:v>matrixturf</x:v>
      </x:c>
      <x:c r="AU2235" t="str">
        <x:f>_xlfn.XLOOKUP($A2235,Games!$A$2:$A$18,Games!$P$2:$P$18,"Missing game",0)</x:f>
      </x:c>
      <x:c r="AV2235" t="str">
        <x:f>_xlfn.XLOOKUP($A2235,Games!$A$2:$A$18,Games!$Q$2:$Q$18,"Missing game",0)</x:f>
      </x:c>
      <x:c r="AW2235" t="str">
        <x:f>_xlfn.XLOOKUP($A2235,Games!$A$2:$A$18,Games!$R$2:$R$18,"Missing game",0)</x:f>
        <x:v>AT&amp;T Stadium</x:v>
      </x:c>
    </x:row>
    <x:row r="2236">
      <x:c r="A2236" t="str">
        <x:v>2025_15_MIN_DAL</x:v>
      </x:c>
      <x:c r="B2236" t="n">
        <x:v>2063</x:v>
      </x:c>
      <x:c r="C2236" t="n">
        <x:v>2</x:v>
      </x:c>
      <x:c r="D2236" t="str">
        <x:v>00:08</x:v>
      </x:c>
      <x:c r="E2236" t="n">
        <x:v>4</x:v>
      </x:c>
      <x:c r="F2236" t="n">
        <x:v>7</x:v>
      </x:c>
      <x:c r="G2236" t="str">
        <x:v>DAL</x:v>
      </x:c>
      <x:c r="H2236" t="str">
        <x:v>MIN</x:v>
      </x:c>
      <x:c r="I2236" t="str">
        <x:v>MIN</x:v>
      </x:c>
      <x:c r="J2236" t="n">
        <x:v>19</x:v>
      </x:c>
      <x:c r="K2236" t="str">
        <x:v>(:08) 17-B.Aubrey 37 yard field goal is GOOD, Center-44-T.Sieg, Holder-5-B.Anger.</x:v>
      </x:c>
      <x:c r="L2236" t="str">
        <x:v>field_goal</x:v>
      </x:c>
      <x:c r="M2236" t="n">
        <x:v>0</x:v>
      </x:c>
      <x:c r="N2236" t="n">
        <x:v>0</x:v>
      </x:c>
      <x:c r="O2236" t="n">
        <x:v>0</x:v>
      </x:c>
      <x:c r="P2236"/>
      <x:c r="Q2236"/>
      <x:c r="R2236"/>
      <x:c r="S2236"/>
      <x:c r="T2236"/>
      <x:c r="U2236"/>
      <x:c r="V2236" t="n">
        <x:v>0</x:v>
      </x:c>
      <x:c r="W2236" t="n">
        <x:v>0</x:v>
      </x:c>
      <x:c r="X2236" t="n">
        <x:v>0</x:v>
      </x:c>
      <x:c r="Y2236" t="n">
        <x:v>0</x:v>
      </x:c>
      <x:c r="Z2236" t="n">
        <x:v>0</x:v>
      </x:c>
      <x:c r="AA2236" t="n">
        <x:v>0</x:v>
      </x:c>
      <x:c r="AB2236"/>
      <x:c r="AC2236" t="n">
        <x:v>0</x:v>
      </x:c>
      <x:c r="AD2236" t="n">
        <x:v>0.31806565807131904</x:v>
      </x:c>
      <x:c r="AE2236" t="n">
        <x:v>1</x:v>
      </x:c>
      <x:c r="AF2236" t="n">
        <x:v>0.03644841909408569</x:v>
      </x:c>
      <x:c r="AG2236" t="n">
        <x:f>_xlfn.XLOOKUP($A2236,Games!$A$2:$A$18,Games!$B$2:$B$18,"Missing game",0)</x:f>
        <x:v>2025</x:v>
      </x:c>
      <x:c r="AH2236" t="str">
        <x:f>_xlfn.XLOOKUP($A2236,Games!$A$2:$A$18,Games!$C$2:$C$18,"Missing game",0)</x:f>
        <x:v>REG</x:v>
      </x:c>
      <x:c r="AI2236" t="n">
        <x:f>_xlfn.XLOOKUP($A2236,Games!$A$2:$A$18,Games!$D$2:$D$18,"Missing game",0)</x:f>
        <x:v>15</x:v>
      </x:c>
      <x:c r="AJ2236" s="1" t="n">
        <x:f>_xlfn.XLOOKUP($A2236,Games!$A$2:$A$18,Games!$E$2:$E$18,"Missing game",0)</x:f>
        <x:v>46005</x:v>
      </x:c>
      <x:c r="AK2236" t="str">
        <x:f>_xlfn.XLOOKUP($A2236,Games!$A$2:$A$18,Games!$F$2:$F$18,"Missing game",0)</x:f>
        <x:v>Sunday</x:v>
      </x:c>
      <x:c r="AL2236" t="str">
        <x:f>_xlfn.XLOOKUP($A2236,Games!$A$2:$A$18,Games!$G$2:$G$18,"Missing game",0)</x:f>
        <x:v>MIN</x:v>
      </x:c>
      <x:c r="AM2236" t="n">
        <x:f>_xlfn.XLOOKUP($A2236,Games!$A$2:$A$18,Games!$H$2:$H$18,"Missing game",0)</x:f>
        <x:v>34</x:v>
      </x:c>
      <x:c r="AN2236" t="str">
        <x:f>_xlfn.XLOOKUP($A2236,Games!$A$2:$A$18,Games!$I$2:$I$18,"Missing game",0)</x:f>
        <x:v>DAL</x:v>
      </x:c>
      <x:c r="AO2236" t="n">
        <x:f>_xlfn.XLOOKUP($A2236,Games!$A$2:$A$18,Games!$J$2:$J$18,"Missing game",0)</x:f>
        <x:v>26</x:v>
      </x:c>
      <x:c r="AP2236" t="n">
        <x:f>_xlfn.XLOOKUP($A2236,Games!$A$2:$A$18,Games!$K$2:$K$18,"Missing game",0)</x:f>
        <x:v>-8</x:v>
      </x:c>
      <x:c r="AQ2236" t="n">
        <x:f>_xlfn.XLOOKUP($A2236,Games!$A$2:$A$18,Games!$L$2:$L$18,"Missing game",0)</x:f>
        <x:v>60</x:v>
      </x:c>
      <x:c r="AR2236" t="n">
        <x:f>_xlfn.XLOOKUP($A2236,Games!$A$2:$A$18,Games!$M$2:$M$18,"Missing game",0)</x:f>
        <x:v>0</x:v>
      </x:c>
      <x:c r="AS2236" t="str">
        <x:f>_xlfn.XLOOKUP($A2236,Games!$A$2:$A$18,Games!$N$2:$N$18,"Missing game",0)</x:f>
        <x:v>closed</x:v>
      </x:c>
      <x:c r="AT2236" t="str">
        <x:f>_xlfn.XLOOKUP($A2236,Games!$A$2:$A$18,Games!$O$2:$O$18,"Missing game",0)</x:f>
        <x:v>matrixturf</x:v>
      </x:c>
      <x:c r="AU2236" t="str">
        <x:f>_xlfn.XLOOKUP($A2236,Games!$A$2:$A$18,Games!$P$2:$P$18,"Missing game",0)</x:f>
      </x:c>
      <x:c r="AV2236" t="str">
        <x:f>_xlfn.XLOOKUP($A2236,Games!$A$2:$A$18,Games!$Q$2:$Q$18,"Missing game",0)</x:f>
      </x:c>
      <x:c r="AW2236" t="str">
        <x:f>_xlfn.XLOOKUP($A2236,Games!$A$2:$A$18,Games!$R$2:$R$18,"Missing game",0)</x:f>
        <x:v>AT&amp;T Stadium</x:v>
      </x:c>
    </x:row>
    <x:row r="2237">
      <x:c r="A2237" t="str">
        <x:v>2025_15_MIN_DAL</x:v>
      </x:c>
      <x:c r="B2237" t="n">
        <x:v>2083</x:v>
      </x:c>
      <x:c r="C2237" t="n">
        <x:v>2</x:v>
      </x:c>
      <x:c r="D2237" t="str">
        <x:v>00:03</x:v>
      </x:c>
      <x:c r="E2237"/>
      <x:c r="F2237" t="n">
        <x:v>0</x:v>
      </x:c>
      <x:c r="G2237" t="str">
        <x:v>MIN</x:v>
      </x:c>
      <x:c r="H2237" t="str">
        <x:v>DAL</x:v>
      </x:c>
      <x:c r="I2237" t="str">
        <x:v>DAL</x:v>
      </x:c>
      <x:c r="J2237" t="n">
        <x:v>35</x:v>
      </x:c>
      <x:c r="K2237" t="str">
        <x:v>17-B.Aubrey kicks 74 yards from DAL 35 to MIN -9. 4-M.Price to MIN 23 for 32 yards (14-M.Bell; 35-M.Liufau).</x:v>
      </x:c>
      <x:c r="L2237" t="str">
        <x:v>kickoff</x:v>
      </x:c>
      <x:c r="M2237" t="n">
        <x:v>0</x:v>
      </x:c>
      <x:c r="N2237" t="n">
        <x:v>0</x:v>
      </x:c>
      <x:c r="O2237" t="n">
        <x:v>0</x:v>
      </x:c>
      <x:c r="P2237"/>
      <x:c r="Q2237"/>
      <x:c r="R2237"/>
      <x:c r="S2237"/>
      <x:c r="T2237"/>
      <x:c r="U2237"/>
      <x:c r="V2237" t="n">
        <x:v>0</x:v>
      </x:c>
      <x:c r="W2237" t="n">
        <x:v>0</x:v>
      </x:c>
      <x:c r="X2237" t="n">
        <x:v>0</x:v>
      </x:c>
      <x:c r="Y2237" t="n">
        <x:v>0</x:v>
      </x:c>
      <x:c r="Z2237" t="n">
        <x:v>0</x:v>
      </x:c>
      <x:c r="AA2237" t="n">
        <x:v>0</x:v>
      </x:c>
      <x:c r="AB2237"/>
      <x:c r="AC2237" t="n">
        <x:v>0</x:v>
      </x:c>
      <x:c r="AD2237" t="n">
        <x:v>-0.04579027302679606</x:v>
      </x:c>
      <x:c r="AE2237" t="n">
        <x:v>0</x:v>
      </x:c>
      <x:c r="AF2237" t="n">
        <x:v>-0.013562798500061035</x:v>
      </x:c>
      <x:c r="AG2237" t="n">
        <x:f>_xlfn.XLOOKUP($A2237,Games!$A$2:$A$18,Games!$B$2:$B$18,"Missing game",0)</x:f>
        <x:v>2025</x:v>
      </x:c>
      <x:c r="AH2237" t="str">
        <x:f>_xlfn.XLOOKUP($A2237,Games!$A$2:$A$18,Games!$C$2:$C$18,"Missing game",0)</x:f>
        <x:v>REG</x:v>
      </x:c>
      <x:c r="AI2237" t="n">
        <x:f>_xlfn.XLOOKUP($A2237,Games!$A$2:$A$18,Games!$D$2:$D$18,"Missing game",0)</x:f>
        <x:v>15</x:v>
      </x:c>
      <x:c r="AJ2237" s="1" t="n">
        <x:f>_xlfn.XLOOKUP($A2237,Games!$A$2:$A$18,Games!$E$2:$E$18,"Missing game",0)</x:f>
        <x:v>46005</x:v>
      </x:c>
      <x:c r="AK2237" t="str">
        <x:f>_xlfn.XLOOKUP($A2237,Games!$A$2:$A$18,Games!$F$2:$F$18,"Missing game",0)</x:f>
        <x:v>Sunday</x:v>
      </x:c>
      <x:c r="AL2237" t="str">
        <x:f>_xlfn.XLOOKUP($A2237,Games!$A$2:$A$18,Games!$G$2:$G$18,"Missing game",0)</x:f>
        <x:v>MIN</x:v>
      </x:c>
      <x:c r="AM2237" t="n">
        <x:f>_xlfn.XLOOKUP($A2237,Games!$A$2:$A$18,Games!$H$2:$H$18,"Missing game",0)</x:f>
        <x:v>34</x:v>
      </x:c>
      <x:c r="AN2237" t="str">
        <x:f>_xlfn.XLOOKUP($A2237,Games!$A$2:$A$18,Games!$I$2:$I$18,"Missing game",0)</x:f>
        <x:v>DAL</x:v>
      </x:c>
      <x:c r="AO2237" t="n">
        <x:f>_xlfn.XLOOKUP($A2237,Games!$A$2:$A$18,Games!$J$2:$J$18,"Missing game",0)</x:f>
        <x:v>26</x:v>
      </x:c>
      <x:c r="AP2237" t="n">
        <x:f>_xlfn.XLOOKUP($A2237,Games!$A$2:$A$18,Games!$K$2:$K$18,"Missing game",0)</x:f>
        <x:v>-8</x:v>
      </x:c>
      <x:c r="AQ2237" t="n">
        <x:f>_xlfn.XLOOKUP($A2237,Games!$A$2:$A$18,Games!$L$2:$L$18,"Missing game",0)</x:f>
        <x:v>60</x:v>
      </x:c>
      <x:c r="AR2237" t="n">
        <x:f>_xlfn.XLOOKUP($A2237,Games!$A$2:$A$18,Games!$M$2:$M$18,"Missing game",0)</x:f>
        <x:v>0</x:v>
      </x:c>
      <x:c r="AS2237" t="str">
        <x:f>_xlfn.XLOOKUP($A2237,Games!$A$2:$A$18,Games!$N$2:$N$18,"Missing game",0)</x:f>
        <x:v>closed</x:v>
      </x:c>
      <x:c r="AT2237" t="str">
        <x:f>_xlfn.XLOOKUP($A2237,Games!$A$2:$A$18,Games!$O$2:$O$18,"Missing game",0)</x:f>
        <x:v>matrixturf</x:v>
      </x:c>
      <x:c r="AU2237" t="str">
        <x:f>_xlfn.XLOOKUP($A2237,Games!$A$2:$A$18,Games!$P$2:$P$18,"Missing game",0)</x:f>
      </x:c>
      <x:c r="AV2237" t="str">
        <x:f>_xlfn.XLOOKUP($A2237,Games!$A$2:$A$18,Games!$Q$2:$Q$18,"Missing game",0)</x:f>
      </x:c>
      <x:c r="AW2237" t="str">
        <x:f>_xlfn.XLOOKUP($A2237,Games!$A$2:$A$18,Games!$R$2:$R$18,"Missing game",0)</x:f>
        <x:v>AT&amp;T Stadium</x:v>
      </x:c>
    </x:row>
    <x:row r="2238">
      <x:c r="A2238" t="str">
        <x:v>2025_15_MIN_DAL</x:v>
      </x:c>
      <x:c r="B2238" t="n">
        <x:v>2106</x:v>
      </x:c>
      <x:c r="C2238" t="n">
        <x:v>2</x:v>
      </x:c>
      <x:c r="D2238" t="str">
        <x:v>00:00</x:v>
      </x:c>
      <x:c r="E2238"/>
      <x:c r="F2238" t="n">
        <x:v>0</x:v>
      </x:c>
      <x:c r="G2238"/>
      <x:c r="H2238"/>
      <x:c r="I2238"/>
      <x:c r="J2238"/>
      <x:c r="K2238" t="str">
        <x:v>END QUARTER 2</x:v>
      </x:c>
      <x:c r="L2238"/>
      <x:c r="M2238"/>
      <x:c r="N2238" t="n">
        <x:v>0</x:v>
      </x:c>
      <x:c r="O2238" t="n">
        <x:v>0</x:v>
      </x:c>
      <x:c r="P2238"/>
      <x:c r="Q2238"/>
      <x:c r="R2238"/>
      <x:c r="S2238"/>
      <x:c r="T2238"/>
      <x:c r="U2238"/>
      <x:c r="V2238"/>
      <x:c r="W2238"/>
      <x:c r="X2238"/>
      <x:c r="Y2238"/>
      <x:c r="Z2238"/>
      <x:c r="AA2238"/>
      <x:c r="AB2238"/>
      <x:c r="AC2238"/>
      <x:c r="AD2238"/>
      <x:c r="AE2238"/>
      <x:c r="AF2238" t="n">
        <x:v>0</x:v>
      </x:c>
      <x:c r="AG2238" t="n">
        <x:f>_xlfn.XLOOKUP($A2238,Games!$A$2:$A$18,Games!$B$2:$B$18,"Missing game",0)</x:f>
        <x:v>2025</x:v>
      </x:c>
      <x:c r="AH2238" t="str">
        <x:f>_xlfn.XLOOKUP($A2238,Games!$A$2:$A$18,Games!$C$2:$C$18,"Missing game",0)</x:f>
        <x:v>REG</x:v>
      </x:c>
      <x:c r="AI2238" t="n">
        <x:f>_xlfn.XLOOKUP($A2238,Games!$A$2:$A$18,Games!$D$2:$D$18,"Missing game",0)</x:f>
        <x:v>15</x:v>
      </x:c>
      <x:c r="AJ2238" s="1" t="n">
        <x:f>_xlfn.XLOOKUP($A2238,Games!$A$2:$A$18,Games!$E$2:$E$18,"Missing game",0)</x:f>
        <x:v>46005</x:v>
      </x:c>
      <x:c r="AK2238" t="str">
        <x:f>_xlfn.XLOOKUP($A2238,Games!$A$2:$A$18,Games!$F$2:$F$18,"Missing game",0)</x:f>
        <x:v>Sunday</x:v>
      </x:c>
      <x:c r="AL2238" t="str">
        <x:f>_xlfn.XLOOKUP($A2238,Games!$A$2:$A$18,Games!$G$2:$G$18,"Missing game",0)</x:f>
        <x:v>MIN</x:v>
      </x:c>
      <x:c r="AM2238" t="n">
        <x:f>_xlfn.XLOOKUP($A2238,Games!$A$2:$A$18,Games!$H$2:$H$18,"Missing game",0)</x:f>
        <x:v>34</x:v>
      </x:c>
      <x:c r="AN2238" t="str">
        <x:f>_xlfn.XLOOKUP($A2238,Games!$A$2:$A$18,Games!$I$2:$I$18,"Missing game",0)</x:f>
        <x:v>DAL</x:v>
      </x:c>
      <x:c r="AO2238" t="n">
        <x:f>_xlfn.XLOOKUP($A2238,Games!$A$2:$A$18,Games!$J$2:$J$18,"Missing game",0)</x:f>
        <x:v>26</x:v>
      </x:c>
      <x:c r="AP2238" t="n">
        <x:f>_xlfn.XLOOKUP($A2238,Games!$A$2:$A$18,Games!$K$2:$K$18,"Missing game",0)</x:f>
        <x:v>-8</x:v>
      </x:c>
      <x:c r="AQ2238" t="n">
        <x:f>_xlfn.XLOOKUP($A2238,Games!$A$2:$A$18,Games!$L$2:$L$18,"Missing game",0)</x:f>
        <x:v>60</x:v>
      </x:c>
      <x:c r="AR2238" t="n">
        <x:f>_xlfn.XLOOKUP($A2238,Games!$A$2:$A$18,Games!$M$2:$M$18,"Missing game",0)</x:f>
        <x:v>0</x:v>
      </x:c>
      <x:c r="AS2238" t="str">
        <x:f>_xlfn.XLOOKUP($A2238,Games!$A$2:$A$18,Games!$N$2:$N$18,"Missing game",0)</x:f>
        <x:v>closed</x:v>
      </x:c>
      <x:c r="AT2238" t="str">
        <x:f>_xlfn.XLOOKUP($A2238,Games!$A$2:$A$18,Games!$O$2:$O$18,"Missing game",0)</x:f>
        <x:v>matrixturf</x:v>
      </x:c>
      <x:c r="AU2238" t="str">
        <x:f>_xlfn.XLOOKUP($A2238,Games!$A$2:$A$18,Games!$P$2:$P$18,"Missing game",0)</x:f>
      </x:c>
      <x:c r="AV2238" t="str">
        <x:f>_xlfn.XLOOKUP($A2238,Games!$A$2:$A$18,Games!$Q$2:$Q$18,"Missing game",0)</x:f>
      </x:c>
      <x:c r="AW2238" t="str">
        <x:f>_xlfn.XLOOKUP($A2238,Games!$A$2:$A$18,Games!$R$2:$R$18,"Missing game",0)</x:f>
        <x:v>AT&amp;T Stadium</x:v>
      </x:c>
    </x:row>
    <x:row r="2239">
      <x:c r="A2239" t="str">
        <x:v>2025_15_MIN_DAL</x:v>
      </x:c>
      <x:c r="B2239" t="n">
        <x:v>2126</x:v>
      </x:c>
      <x:c r="C2239" t="n">
        <x:v>3</x:v>
      </x:c>
      <x:c r="D2239" t="str">
        <x:v>15:00</x:v>
      </x:c>
      <x:c r="E2239"/>
      <x:c r="F2239" t="n">
        <x:v>0</x:v>
      </x:c>
      <x:c r="G2239" t="str">
        <x:v>DAL</x:v>
      </x:c>
      <x:c r="H2239" t="str">
        <x:v>MIN</x:v>
      </x:c>
      <x:c r="I2239" t="str">
        <x:v>MIN</x:v>
      </x:c>
      <x:c r="J2239" t="n">
        <x:v>35</x:v>
      </x:c>
      <x:c r="K2239" t="str">
        <x:v>16-W.Reichard kicks 63 yards from MIN 35 to DAL 2. 9-K.Turpin ran ob at DAL 42 for 40 yards (16-W.Reichard).</x:v>
      </x:c>
      <x:c r="L2239" t="str">
        <x:v>kickoff</x:v>
      </x:c>
      <x:c r="M2239" t="n">
        <x:v>0</x:v>
      </x:c>
      <x:c r="N2239" t="n">
        <x:v>0</x:v>
      </x:c>
      <x:c r="O2239" t="n">
        <x:v>0</x:v>
      </x:c>
      <x:c r="P2239"/>
      <x:c r="Q2239"/>
      <x:c r="R2239"/>
      <x:c r="S2239"/>
      <x:c r="T2239"/>
      <x:c r="U2239"/>
      <x:c r="V2239" t="n">
        <x:v>0</x:v>
      </x:c>
      <x:c r="W2239" t="n">
        <x:v>0</x:v>
      </x:c>
      <x:c r="X2239" t="n">
        <x:v>0</x:v>
      </x:c>
      <x:c r="Y2239" t="n">
        <x:v>0</x:v>
      </x:c>
      <x:c r="Z2239" t="n">
        <x:v>0</x:v>
      </x:c>
      <x:c r="AA2239" t="n">
        <x:v>0</x:v>
      </x:c>
      <x:c r="AB2239"/>
      <x:c r="AC2239" t="n">
        <x:v>0</x:v>
      </x:c>
      <x:c r="AD2239" t="n">
        <x:v>0.9677846482954919</x:v>
      </x:c>
      <x:c r="AE2239" t="n">
        <x:v>1</x:v>
      </x:c>
      <x:c r="AF2239" t="n">
        <x:v>0.02612900733947754</x:v>
      </x:c>
      <x:c r="AG2239" t="n">
        <x:f>_xlfn.XLOOKUP($A2239,Games!$A$2:$A$18,Games!$B$2:$B$18,"Missing game",0)</x:f>
        <x:v>2025</x:v>
      </x:c>
      <x:c r="AH2239" t="str">
        <x:f>_xlfn.XLOOKUP($A2239,Games!$A$2:$A$18,Games!$C$2:$C$18,"Missing game",0)</x:f>
        <x:v>REG</x:v>
      </x:c>
      <x:c r="AI2239" t="n">
        <x:f>_xlfn.XLOOKUP($A2239,Games!$A$2:$A$18,Games!$D$2:$D$18,"Missing game",0)</x:f>
        <x:v>15</x:v>
      </x:c>
      <x:c r="AJ2239" s="1" t="n">
        <x:f>_xlfn.XLOOKUP($A2239,Games!$A$2:$A$18,Games!$E$2:$E$18,"Missing game",0)</x:f>
        <x:v>46005</x:v>
      </x:c>
      <x:c r="AK2239" t="str">
        <x:f>_xlfn.XLOOKUP($A2239,Games!$A$2:$A$18,Games!$F$2:$F$18,"Missing game",0)</x:f>
        <x:v>Sunday</x:v>
      </x:c>
      <x:c r="AL2239" t="str">
        <x:f>_xlfn.XLOOKUP($A2239,Games!$A$2:$A$18,Games!$G$2:$G$18,"Missing game",0)</x:f>
        <x:v>MIN</x:v>
      </x:c>
      <x:c r="AM2239" t="n">
        <x:f>_xlfn.XLOOKUP($A2239,Games!$A$2:$A$18,Games!$H$2:$H$18,"Missing game",0)</x:f>
        <x:v>34</x:v>
      </x:c>
      <x:c r="AN2239" t="str">
        <x:f>_xlfn.XLOOKUP($A2239,Games!$A$2:$A$18,Games!$I$2:$I$18,"Missing game",0)</x:f>
        <x:v>DAL</x:v>
      </x:c>
      <x:c r="AO2239" t="n">
        <x:f>_xlfn.XLOOKUP($A2239,Games!$A$2:$A$18,Games!$J$2:$J$18,"Missing game",0)</x:f>
        <x:v>26</x:v>
      </x:c>
      <x:c r="AP2239" t="n">
        <x:f>_xlfn.XLOOKUP($A2239,Games!$A$2:$A$18,Games!$K$2:$K$18,"Missing game",0)</x:f>
        <x:v>-8</x:v>
      </x:c>
      <x:c r="AQ2239" t="n">
        <x:f>_xlfn.XLOOKUP($A2239,Games!$A$2:$A$18,Games!$L$2:$L$18,"Missing game",0)</x:f>
        <x:v>60</x:v>
      </x:c>
      <x:c r="AR2239" t="n">
        <x:f>_xlfn.XLOOKUP($A2239,Games!$A$2:$A$18,Games!$M$2:$M$18,"Missing game",0)</x:f>
        <x:v>0</x:v>
      </x:c>
      <x:c r="AS2239" t="str">
        <x:f>_xlfn.XLOOKUP($A2239,Games!$A$2:$A$18,Games!$N$2:$N$18,"Missing game",0)</x:f>
        <x:v>closed</x:v>
      </x:c>
      <x:c r="AT2239" t="str">
        <x:f>_xlfn.XLOOKUP($A2239,Games!$A$2:$A$18,Games!$O$2:$O$18,"Missing game",0)</x:f>
        <x:v>matrixturf</x:v>
      </x:c>
      <x:c r="AU2239" t="str">
        <x:f>_xlfn.XLOOKUP($A2239,Games!$A$2:$A$18,Games!$P$2:$P$18,"Missing game",0)</x:f>
      </x:c>
      <x:c r="AV2239" t="str">
        <x:f>_xlfn.XLOOKUP($A2239,Games!$A$2:$A$18,Games!$Q$2:$Q$18,"Missing game",0)</x:f>
      </x:c>
      <x:c r="AW2239" t="str">
        <x:f>_xlfn.XLOOKUP($A2239,Games!$A$2:$A$18,Games!$R$2:$R$18,"Missing game",0)</x:f>
        <x:v>AT&amp;T Stadium</x:v>
      </x:c>
    </x:row>
    <x:row r="2240">
      <x:c r="A2240" t="str">
        <x:v>2025_15_MIN_DAL</x:v>
      </x:c>
      <x:c r="B2240" t="n">
        <x:v>2159</x:v>
      </x:c>
      <x:c r="C2240" t="n">
        <x:v>3</x:v>
      </x:c>
      <x:c r="D2240" t="str">
        <x:v>14:54</x:v>
      </x:c>
      <x:c r="E2240" t="n">
        <x:v>1</x:v>
      </x:c>
      <x:c r="F2240" t="n">
        <x:v>10</x:v>
      </x:c>
      <x:c r="G2240" t="str">
        <x:v>DAL</x:v>
      </x:c>
      <x:c r="H2240" t="str">
        <x:v>MIN</x:v>
      </x:c>
      <x:c r="I2240" t="str">
        <x:v>DAL</x:v>
      </x:c>
      <x:c r="J2240" t="n">
        <x:v>58</x:v>
      </x:c>
      <x:c r="K2240" t="str">
        <x:v>(14:54) 33-J.Williams right tackle to MIN 43 for 15 yards (44-J.Metellus; 93-J.Allen). ** Injury Update: DAL-33-J.Williams has returned to the game. ** Injury Update: DAL-73-T.Smith has returned to the game.</x:v>
      </x:c>
      <x:c r="L2240" t="str">
        <x:v>run</x:v>
      </x:c>
      <x:c r="M2240" t="n">
        <x:v>15</x:v>
      </x:c>
      <x:c r="N2240" t="n">
        <x:v>0</x:v>
      </x:c>
      <x:c r="O2240" t="n">
        <x:v>0</x:v>
      </x:c>
      <x:c r="P2240"/>
      <x:c r="Q2240"/>
      <x:c r="R2240"/>
      <x:c r="S2240"/>
      <x:c r="T2240" t="str">
        <x:v>right</x:v>
      </x:c>
      <x:c r="U2240" t="str">
        <x:v>tackle</x:v>
      </x:c>
      <x:c r="V2240" t="n">
        <x:v>0</x:v>
      </x:c>
      <x:c r="W2240" t="n">
        <x:v>1</x:v>
      </x:c>
      <x:c r="X2240" t="n">
        <x:v>0</x:v>
      </x:c>
      <x:c r="Y2240" t="n">
        <x:v>0</x:v>
      </x:c>
      <x:c r="Z2240" t="n">
        <x:v>0</x:v>
      </x:c>
      <x:c r="AA2240" t="n">
        <x:v>0</x:v>
      </x:c>
      <x:c r="AB2240"/>
      <x:c r="AC2240" t="n">
        <x:v>0</x:v>
      </x:c>
      <x:c r="AD2240" t="n">
        <x:v>0.8208769084885716</x:v>
      </x:c>
      <x:c r="AE2240" t="n">
        <x:v>1</x:v>
      </x:c>
      <x:c r="AF2240" t="n">
        <x:v>0.011767208576202393</x:v>
      </x:c>
      <x:c r="AG2240" t="n">
        <x:f>_xlfn.XLOOKUP($A2240,Games!$A$2:$A$18,Games!$B$2:$B$18,"Missing game",0)</x:f>
        <x:v>2025</x:v>
      </x:c>
      <x:c r="AH2240" t="str">
        <x:f>_xlfn.XLOOKUP($A2240,Games!$A$2:$A$18,Games!$C$2:$C$18,"Missing game",0)</x:f>
        <x:v>REG</x:v>
      </x:c>
      <x:c r="AI2240" t="n">
        <x:f>_xlfn.XLOOKUP($A2240,Games!$A$2:$A$18,Games!$D$2:$D$18,"Missing game",0)</x:f>
        <x:v>15</x:v>
      </x:c>
      <x:c r="AJ2240" s="1" t="n">
        <x:f>_xlfn.XLOOKUP($A2240,Games!$A$2:$A$18,Games!$E$2:$E$18,"Missing game",0)</x:f>
        <x:v>46005</x:v>
      </x:c>
      <x:c r="AK2240" t="str">
        <x:f>_xlfn.XLOOKUP($A2240,Games!$A$2:$A$18,Games!$F$2:$F$18,"Missing game",0)</x:f>
        <x:v>Sunday</x:v>
      </x:c>
      <x:c r="AL2240" t="str">
        <x:f>_xlfn.XLOOKUP($A2240,Games!$A$2:$A$18,Games!$G$2:$G$18,"Missing game",0)</x:f>
        <x:v>MIN</x:v>
      </x:c>
      <x:c r="AM2240" t="n">
        <x:f>_xlfn.XLOOKUP($A2240,Games!$A$2:$A$18,Games!$H$2:$H$18,"Missing game",0)</x:f>
        <x:v>34</x:v>
      </x:c>
      <x:c r="AN2240" t="str">
        <x:f>_xlfn.XLOOKUP($A2240,Games!$A$2:$A$18,Games!$I$2:$I$18,"Missing game",0)</x:f>
        <x:v>DAL</x:v>
      </x:c>
      <x:c r="AO2240" t="n">
        <x:f>_xlfn.XLOOKUP($A2240,Games!$A$2:$A$18,Games!$J$2:$J$18,"Missing game",0)</x:f>
        <x:v>26</x:v>
      </x:c>
      <x:c r="AP2240" t="n">
        <x:f>_xlfn.XLOOKUP($A2240,Games!$A$2:$A$18,Games!$K$2:$K$18,"Missing game",0)</x:f>
        <x:v>-8</x:v>
      </x:c>
      <x:c r="AQ2240" t="n">
        <x:f>_xlfn.XLOOKUP($A2240,Games!$A$2:$A$18,Games!$L$2:$L$18,"Missing game",0)</x:f>
        <x:v>60</x:v>
      </x:c>
      <x:c r="AR2240" t="n">
        <x:f>_xlfn.XLOOKUP($A2240,Games!$A$2:$A$18,Games!$M$2:$M$18,"Missing game",0)</x:f>
        <x:v>0</x:v>
      </x:c>
      <x:c r="AS2240" t="str">
        <x:f>_xlfn.XLOOKUP($A2240,Games!$A$2:$A$18,Games!$N$2:$N$18,"Missing game",0)</x:f>
        <x:v>closed</x:v>
      </x:c>
      <x:c r="AT2240" t="str">
        <x:f>_xlfn.XLOOKUP($A2240,Games!$A$2:$A$18,Games!$O$2:$O$18,"Missing game",0)</x:f>
        <x:v>matrixturf</x:v>
      </x:c>
      <x:c r="AU2240" t="str">
        <x:f>_xlfn.XLOOKUP($A2240,Games!$A$2:$A$18,Games!$P$2:$P$18,"Missing game",0)</x:f>
      </x:c>
      <x:c r="AV2240" t="str">
        <x:f>_xlfn.XLOOKUP($A2240,Games!$A$2:$A$18,Games!$Q$2:$Q$18,"Missing game",0)</x:f>
      </x:c>
      <x:c r="AW2240" t="str">
        <x:f>_xlfn.XLOOKUP($A2240,Games!$A$2:$A$18,Games!$R$2:$R$18,"Missing game",0)</x:f>
        <x:v>AT&amp;T Stadium</x:v>
      </x:c>
    </x:row>
    <x:row r="2241">
      <x:c r="A2241" t="str">
        <x:v>2025_15_MIN_DAL</x:v>
      </x:c>
      <x:c r="B2241" t="n">
        <x:v>2181</x:v>
      </x:c>
      <x:c r="C2241" t="n">
        <x:v>3</x:v>
      </x:c>
      <x:c r="D2241" t="str">
        <x:v>14:14</x:v>
      </x:c>
      <x:c r="E2241" t="n">
        <x:v>1</x:v>
      </x:c>
      <x:c r="F2241" t="n">
        <x:v>10</x:v>
      </x:c>
      <x:c r="G2241" t="str">
        <x:v>DAL</x:v>
      </x:c>
      <x:c r="H2241" t="str">
        <x:v>MIN</x:v>
      </x:c>
      <x:c r="I2241" t="str">
        <x:v>MIN</x:v>
      </x:c>
      <x:c r="J2241" t="n">
        <x:v>43</x:v>
      </x:c>
      <x:c r="K2241" t="str">
        <x:v>(14:14) 33-J.Williams left guard to MIN 40 for 3 yards (55-E.Wilson).</x:v>
      </x:c>
      <x:c r="L2241" t="str">
        <x:v>run</x:v>
      </x:c>
      <x:c r="M2241" t="n">
        <x:v>3</x:v>
      </x:c>
      <x:c r="N2241" t="n">
        <x:v>0</x:v>
      </x:c>
      <x:c r="O2241" t="n">
        <x:v>0</x:v>
      </x:c>
      <x:c r="P2241"/>
      <x:c r="Q2241"/>
      <x:c r="R2241"/>
      <x:c r="S2241"/>
      <x:c r="T2241" t="str">
        <x:v>left</x:v>
      </x:c>
      <x:c r="U2241" t="str">
        <x:v>guard</x:v>
      </x:c>
      <x:c r="V2241" t="n">
        <x:v>0</x:v>
      </x:c>
      <x:c r="W2241" t="n">
        <x:v>0</x:v>
      </x:c>
      <x:c r="X2241" t="n">
        <x:v>0</x:v>
      </x:c>
      <x:c r="Y2241" t="n">
        <x:v>0</x:v>
      </x:c>
      <x:c r="Z2241" t="n">
        <x:v>0</x:v>
      </x:c>
      <x:c r="AA2241" t="n">
        <x:v>0</x:v>
      </x:c>
      <x:c r="AB2241"/>
      <x:c r="AC2241" t="n">
        <x:v>0</x:v>
      </x:c>
      <x:c r="AD2241" t="n">
        <x:v>-0.13672163407318294</x:v>
      </x:c>
      <x:c r="AE2241" t="n">
        <x:v>0</x:v>
      </x:c>
      <x:c r="AF2241" t="n">
        <x:v>0.027563512325286865</x:v>
      </x:c>
      <x:c r="AG2241" t="n">
        <x:f>_xlfn.XLOOKUP($A2241,Games!$A$2:$A$18,Games!$B$2:$B$18,"Missing game",0)</x:f>
        <x:v>2025</x:v>
      </x:c>
      <x:c r="AH2241" t="str">
        <x:f>_xlfn.XLOOKUP($A2241,Games!$A$2:$A$18,Games!$C$2:$C$18,"Missing game",0)</x:f>
        <x:v>REG</x:v>
      </x:c>
      <x:c r="AI2241" t="n">
        <x:f>_xlfn.XLOOKUP($A2241,Games!$A$2:$A$18,Games!$D$2:$D$18,"Missing game",0)</x:f>
        <x:v>15</x:v>
      </x:c>
      <x:c r="AJ2241" s="1" t="n">
        <x:f>_xlfn.XLOOKUP($A2241,Games!$A$2:$A$18,Games!$E$2:$E$18,"Missing game",0)</x:f>
        <x:v>46005</x:v>
      </x:c>
      <x:c r="AK2241" t="str">
        <x:f>_xlfn.XLOOKUP($A2241,Games!$A$2:$A$18,Games!$F$2:$F$18,"Missing game",0)</x:f>
        <x:v>Sunday</x:v>
      </x:c>
      <x:c r="AL2241" t="str">
        <x:f>_xlfn.XLOOKUP($A2241,Games!$A$2:$A$18,Games!$G$2:$G$18,"Missing game",0)</x:f>
        <x:v>MIN</x:v>
      </x:c>
      <x:c r="AM2241" t="n">
        <x:f>_xlfn.XLOOKUP($A2241,Games!$A$2:$A$18,Games!$H$2:$H$18,"Missing game",0)</x:f>
        <x:v>34</x:v>
      </x:c>
      <x:c r="AN2241" t="str">
        <x:f>_xlfn.XLOOKUP($A2241,Games!$A$2:$A$18,Games!$I$2:$I$18,"Missing game",0)</x:f>
        <x:v>DAL</x:v>
      </x:c>
      <x:c r="AO2241" t="n">
        <x:f>_xlfn.XLOOKUP($A2241,Games!$A$2:$A$18,Games!$J$2:$J$18,"Missing game",0)</x:f>
        <x:v>26</x:v>
      </x:c>
      <x:c r="AP2241" t="n">
        <x:f>_xlfn.XLOOKUP($A2241,Games!$A$2:$A$18,Games!$K$2:$K$18,"Missing game",0)</x:f>
        <x:v>-8</x:v>
      </x:c>
      <x:c r="AQ2241" t="n">
        <x:f>_xlfn.XLOOKUP($A2241,Games!$A$2:$A$18,Games!$L$2:$L$18,"Missing game",0)</x:f>
        <x:v>60</x:v>
      </x:c>
      <x:c r="AR2241" t="n">
        <x:f>_xlfn.XLOOKUP($A2241,Games!$A$2:$A$18,Games!$M$2:$M$18,"Missing game",0)</x:f>
        <x:v>0</x:v>
      </x:c>
      <x:c r="AS2241" t="str">
        <x:f>_xlfn.XLOOKUP($A2241,Games!$A$2:$A$18,Games!$N$2:$N$18,"Missing game",0)</x:f>
        <x:v>closed</x:v>
      </x:c>
      <x:c r="AT2241" t="str">
        <x:f>_xlfn.XLOOKUP($A2241,Games!$A$2:$A$18,Games!$O$2:$O$18,"Missing game",0)</x:f>
        <x:v>matrixturf</x:v>
      </x:c>
      <x:c r="AU2241" t="str">
        <x:f>_xlfn.XLOOKUP($A2241,Games!$A$2:$A$18,Games!$P$2:$P$18,"Missing game",0)</x:f>
      </x:c>
      <x:c r="AV2241" t="str">
        <x:f>_xlfn.XLOOKUP($A2241,Games!$A$2:$A$18,Games!$Q$2:$Q$18,"Missing game",0)</x:f>
      </x:c>
      <x:c r="AW2241" t="str">
        <x:f>_xlfn.XLOOKUP($A2241,Games!$A$2:$A$18,Games!$R$2:$R$18,"Missing game",0)</x:f>
        <x:v>AT&amp;T Stadium</x:v>
      </x:c>
    </x:row>
    <x:row r="2242">
      <x:c r="A2242" t="str">
        <x:v>2025_15_MIN_DAL</x:v>
      </x:c>
      <x:c r="B2242" t="n">
        <x:v>2209</x:v>
      </x:c>
      <x:c r="C2242" t="n">
        <x:v>3</x:v>
      </x:c>
      <x:c r="D2242" t="str">
        <x:v>13:34</x:v>
      </x:c>
      <x:c r="E2242" t="n">
        <x:v>2</x:v>
      </x:c>
      <x:c r="F2242" t="n">
        <x:v>7</x:v>
      </x:c>
      <x:c r="G2242" t="str">
        <x:v>DAL</x:v>
      </x:c>
      <x:c r="H2242" t="str">
        <x:v>MIN</x:v>
      </x:c>
      <x:c r="I2242" t="str">
        <x:v>MIN</x:v>
      </x:c>
      <x:c r="J2242" t="n">
        <x:v>40</x:v>
      </x:c>
      <x:c r="K2242" t="str">
        <x:v>(13:34) (Shotgun) 4-D.Prescott pass short right to 86-L.Schoonmaker to MIN 11 for 29 yards (7-B.Murphy) [58-J.Greenard].</x:v>
      </x:c>
      <x:c r="L2242" t="str">
        <x:v>pass</x:v>
      </x:c>
      <x:c r="M2242" t="n">
        <x:v>29</x:v>
      </x:c>
      <x:c r="N2242" t="n">
        <x:v>1</x:v>
      </x:c>
      <x:c r="O2242" t="n">
        <x:v>0</x:v>
      </x:c>
      <x:c r="P2242" t="str">
        <x:v>short</x:v>
      </x:c>
      <x:c r="Q2242" t="str">
        <x:v>right</x:v>
      </x:c>
      <x:c r="R2242" t="n">
        <x:v>6</x:v>
      </x:c>
      <x:c r="S2242" t="n">
        <x:v>23</x:v>
      </x:c>
      <x:c r="T2242"/>
      <x:c r="U2242"/>
      <x:c r="V2242" t="n">
        <x:v>1</x:v>
      </x:c>
      <x:c r="W2242" t="n">
        <x:v>1</x:v>
      </x:c>
      <x:c r="X2242" t="n">
        <x:v>0</x:v>
      </x:c>
      <x:c r="Y2242" t="n">
        <x:v>0</x:v>
      </x:c>
      <x:c r="Z2242" t="n">
        <x:v>0</x:v>
      </x:c>
      <x:c r="AA2242" t="n">
        <x:v>0</x:v>
      </x:c>
      <x:c r="AB2242"/>
      <x:c r="AC2242" t="n">
        <x:v>0</x:v>
      </x:c>
      <x:c r="AD2242" t="n">
        <x:v>2.158559608156793</x:v>
      </x:c>
      <x:c r="AE2242" t="n">
        <x:v>1</x:v>
      </x:c>
      <x:c r="AF2242" t="n">
        <x:v>0.06619054079055786</x:v>
      </x:c>
      <x:c r="AG2242" t="n">
        <x:f>_xlfn.XLOOKUP($A2242,Games!$A$2:$A$18,Games!$B$2:$B$18,"Missing game",0)</x:f>
        <x:v>2025</x:v>
      </x:c>
      <x:c r="AH2242" t="str">
        <x:f>_xlfn.XLOOKUP($A2242,Games!$A$2:$A$18,Games!$C$2:$C$18,"Missing game",0)</x:f>
        <x:v>REG</x:v>
      </x:c>
      <x:c r="AI2242" t="n">
        <x:f>_xlfn.XLOOKUP($A2242,Games!$A$2:$A$18,Games!$D$2:$D$18,"Missing game",0)</x:f>
        <x:v>15</x:v>
      </x:c>
      <x:c r="AJ2242" s="1" t="n">
        <x:f>_xlfn.XLOOKUP($A2242,Games!$A$2:$A$18,Games!$E$2:$E$18,"Missing game",0)</x:f>
        <x:v>46005</x:v>
      </x:c>
      <x:c r="AK2242" t="str">
        <x:f>_xlfn.XLOOKUP($A2242,Games!$A$2:$A$18,Games!$F$2:$F$18,"Missing game",0)</x:f>
        <x:v>Sunday</x:v>
      </x:c>
      <x:c r="AL2242" t="str">
        <x:f>_xlfn.XLOOKUP($A2242,Games!$A$2:$A$18,Games!$G$2:$G$18,"Missing game",0)</x:f>
        <x:v>MIN</x:v>
      </x:c>
      <x:c r="AM2242" t="n">
        <x:f>_xlfn.XLOOKUP($A2242,Games!$A$2:$A$18,Games!$H$2:$H$18,"Missing game",0)</x:f>
        <x:v>34</x:v>
      </x:c>
      <x:c r="AN2242" t="str">
        <x:f>_xlfn.XLOOKUP($A2242,Games!$A$2:$A$18,Games!$I$2:$I$18,"Missing game",0)</x:f>
        <x:v>DAL</x:v>
      </x:c>
      <x:c r="AO2242" t="n">
        <x:f>_xlfn.XLOOKUP($A2242,Games!$A$2:$A$18,Games!$J$2:$J$18,"Missing game",0)</x:f>
        <x:v>26</x:v>
      </x:c>
      <x:c r="AP2242" t="n">
        <x:f>_xlfn.XLOOKUP($A2242,Games!$A$2:$A$18,Games!$K$2:$K$18,"Missing game",0)</x:f>
        <x:v>-8</x:v>
      </x:c>
      <x:c r="AQ2242" t="n">
        <x:f>_xlfn.XLOOKUP($A2242,Games!$A$2:$A$18,Games!$L$2:$L$18,"Missing game",0)</x:f>
        <x:v>60</x:v>
      </x:c>
      <x:c r="AR2242" t="n">
        <x:f>_xlfn.XLOOKUP($A2242,Games!$A$2:$A$18,Games!$M$2:$M$18,"Missing game",0)</x:f>
        <x:v>0</x:v>
      </x:c>
      <x:c r="AS2242" t="str">
        <x:f>_xlfn.XLOOKUP($A2242,Games!$A$2:$A$18,Games!$N$2:$N$18,"Missing game",0)</x:f>
        <x:v>closed</x:v>
      </x:c>
      <x:c r="AT2242" t="str">
        <x:f>_xlfn.XLOOKUP($A2242,Games!$A$2:$A$18,Games!$O$2:$O$18,"Missing game",0)</x:f>
        <x:v>matrixturf</x:v>
      </x:c>
      <x:c r="AU2242" t="str">
        <x:f>_xlfn.XLOOKUP($A2242,Games!$A$2:$A$18,Games!$P$2:$P$18,"Missing game",0)</x:f>
      </x:c>
      <x:c r="AV2242" t="str">
        <x:f>_xlfn.XLOOKUP($A2242,Games!$A$2:$A$18,Games!$Q$2:$Q$18,"Missing game",0)</x:f>
      </x:c>
      <x:c r="AW2242" t="str">
        <x:f>_xlfn.XLOOKUP($A2242,Games!$A$2:$A$18,Games!$R$2:$R$18,"Missing game",0)</x:f>
        <x:v>AT&amp;T Stadium</x:v>
      </x:c>
    </x:row>
    <x:row r="2243">
      <x:c r="A2243" t="str">
        <x:v>2025_15_MIN_DAL</x:v>
      </x:c>
      <x:c r="B2243" t="n">
        <x:v>2234</x:v>
      </x:c>
      <x:c r="C2243" t="n">
        <x:v>3</x:v>
      </x:c>
      <x:c r="D2243" t="str">
        <x:v>12:42</x:v>
      </x:c>
      <x:c r="E2243" t="n">
        <x:v>1</x:v>
      </x:c>
      <x:c r="F2243" t="n">
        <x:v>10</x:v>
      </x:c>
      <x:c r="G2243" t="str">
        <x:v>DAL</x:v>
      </x:c>
      <x:c r="H2243" t="str">
        <x:v>MIN</x:v>
      </x:c>
      <x:c r="I2243" t="str">
        <x:v>MIN</x:v>
      </x:c>
      <x:c r="J2243" t="n">
        <x:v>11</x:v>
      </x:c>
      <x:c r="K2243" t="str">
        <x:v>(12:42) (Shotgun) 4-D.Prescott pass incomplete short left to 88-C.Lamb.</x:v>
      </x:c>
      <x:c r="L2243" t="str">
        <x:v>pass</x:v>
      </x:c>
      <x:c r="M2243" t="n">
        <x:v>0</x:v>
      </x:c>
      <x:c r="N2243" t="n">
        <x:v>1</x:v>
      </x:c>
      <x:c r="O2243" t="n">
        <x:v>0</x:v>
      </x:c>
      <x:c r="P2243" t="str">
        <x:v>short</x:v>
      </x:c>
      <x:c r="Q2243" t="str">
        <x:v>left</x:v>
      </x:c>
      <x:c r="R2243" t="n">
        <x:v>11</x:v>
      </x:c>
      <x:c r="S2243"/>
      <x:c r="T2243"/>
      <x:c r="U2243"/>
      <x:c r="V2243" t="n">
        <x:v>0</x:v>
      </x:c>
      <x:c r="W2243" t="n">
        <x:v>0</x:v>
      </x:c>
      <x:c r="X2243" t="n">
        <x:v>0</x:v>
      </x:c>
      <x:c r="Y2243" t="n">
        <x:v>0</x:v>
      </x:c>
      <x:c r="Z2243" t="n">
        <x:v>0</x:v>
      </x:c>
      <x:c r="AA2243" t="n">
        <x:v>0</x:v>
      </x:c>
      <x:c r="AB2243"/>
      <x:c r="AC2243" t="n">
        <x:v>0</x:v>
      </x:c>
      <x:c r="AD2243" t="n">
        <x:v>-0.4633859458845109</x:v>
      </x:c>
      <x:c r="AE2243" t="n">
        <x:v>0</x:v>
      </x:c>
      <x:c r="AF2243" t="n">
        <x:v>-0.013444125652313232</x:v>
      </x:c>
      <x:c r="AG2243" t="n">
        <x:f>_xlfn.XLOOKUP($A2243,Games!$A$2:$A$18,Games!$B$2:$B$18,"Missing game",0)</x:f>
        <x:v>2025</x:v>
      </x:c>
      <x:c r="AH2243" t="str">
        <x:f>_xlfn.XLOOKUP($A2243,Games!$A$2:$A$18,Games!$C$2:$C$18,"Missing game",0)</x:f>
        <x:v>REG</x:v>
      </x:c>
      <x:c r="AI2243" t="n">
        <x:f>_xlfn.XLOOKUP($A2243,Games!$A$2:$A$18,Games!$D$2:$D$18,"Missing game",0)</x:f>
        <x:v>15</x:v>
      </x:c>
      <x:c r="AJ2243" s="1" t="n">
        <x:f>_xlfn.XLOOKUP($A2243,Games!$A$2:$A$18,Games!$E$2:$E$18,"Missing game",0)</x:f>
        <x:v>46005</x:v>
      </x:c>
      <x:c r="AK2243" t="str">
        <x:f>_xlfn.XLOOKUP($A2243,Games!$A$2:$A$18,Games!$F$2:$F$18,"Missing game",0)</x:f>
        <x:v>Sunday</x:v>
      </x:c>
      <x:c r="AL2243" t="str">
        <x:f>_xlfn.XLOOKUP($A2243,Games!$A$2:$A$18,Games!$G$2:$G$18,"Missing game",0)</x:f>
        <x:v>MIN</x:v>
      </x:c>
      <x:c r="AM2243" t="n">
        <x:f>_xlfn.XLOOKUP($A2243,Games!$A$2:$A$18,Games!$H$2:$H$18,"Missing game",0)</x:f>
        <x:v>34</x:v>
      </x:c>
      <x:c r="AN2243" t="str">
        <x:f>_xlfn.XLOOKUP($A2243,Games!$A$2:$A$18,Games!$I$2:$I$18,"Missing game",0)</x:f>
        <x:v>DAL</x:v>
      </x:c>
      <x:c r="AO2243" t="n">
        <x:f>_xlfn.XLOOKUP($A2243,Games!$A$2:$A$18,Games!$J$2:$J$18,"Missing game",0)</x:f>
        <x:v>26</x:v>
      </x:c>
      <x:c r="AP2243" t="n">
        <x:f>_xlfn.XLOOKUP($A2243,Games!$A$2:$A$18,Games!$K$2:$K$18,"Missing game",0)</x:f>
        <x:v>-8</x:v>
      </x:c>
      <x:c r="AQ2243" t="n">
        <x:f>_xlfn.XLOOKUP($A2243,Games!$A$2:$A$18,Games!$L$2:$L$18,"Missing game",0)</x:f>
        <x:v>60</x:v>
      </x:c>
      <x:c r="AR2243" t="n">
        <x:f>_xlfn.XLOOKUP($A2243,Games!$A$2:$A$18,Games!$M$2:$M$18,"Missing game",0)</x:f>
        <x:v>0</x:v>
      </x:c>
      <x:c r="AS2243" t="str">
        <x:f>_xlfn.XLOOKUP($A2243,Games!$A$2:$A$18,Games!$N$2:$N$18,"Missing game",0)</x:f>
        <x:v>closed</x:v>
      </x:c>
      <x:c r="AT2243" t="str">
        <x:f>_xlfn.XLOOKUP($A2243,Games!$A$2:$A$18,Games!$O$2:$O$18,"Missing game",0)</x:f>
        <x:v>matrixturf</x:v>
      </x:c>
      <x:c r="AU2243" t="str">
        <x:f>_xlfn.XLOOKUP($A2243,Games!$A$2:$A$18,Games!$P$2:$P$18,"Missing game",0)</x:f>
      </x:c>
      <x:c r="AV2243" t="str">
        <x:f>_xlfn.XLOOKUP($A2243,Games!$A$2:$A$18,Games!$Q$2:$Q$18,"Missing game",0)</x:f>
      </x:c>
      <x:c r="AW2243" t="str">
        <x:f>_xlfn.XLOOKUP($A2243,Games!$A$2:$A$18,Games!$R$2:$R$18,"Missing game",0)</x:f>
        <x:v>AT&amp;T Stadium</x:v>
      </x:c>
    </x:row>
    <x:row r="2244">
      <x:c r="A2244" t="str">
        <x:v>2025_15_MIN_DAL</x:v>
      </x:c>
      <x:c r="B2244" t="n">
        <x:v>2257</x:v>
      </x:c>
      <x:c r="C2244" t="n">
        <x:v>3</x:v>
      </x:c>
      <x:c r="D2244" t="str">
        <x:v>12:37</x:v>
      </x:c>
      <x:c r="E2244" t="n">
        <x:v>2</x:v>
      </x:c>
      <x:c r="F2244" t="n">
        <x:v>10</x:v>
      </x:c>
      <x:c r="G2244" t="str">
        <x:v>DAL</x:v>
      </x:c>
      <x:c r="H2244" t="str">
        <x:v>MIN</x:v>
      </x:c>
      <x:c r="I2244" t="str">
        <x:v>MIN</x:v>
      </x:c>
      <x:c r="J2244" t="n">
        <x:v>11</x:v>
      </x:c>
      <x:c r="K2244" t="str">
        <x:v>(12:37) 43-M.Davis right guard to MIN 9 for 2 yards (58-J.Greenard; 50-L.Rodriguez).</x:v>
      </x:c>
      <x:c r="L2244" t="str">
        <x:v>run</x:v>
      </x:c>
      <x:c r="M2244" t="n">
        <x:v>2</x:v>
      </x:c>
      <x:c r="N2244" t="n">
        <x:v>0</x:v>
      </x:c>
      <x:c r="O2244" t="n">
        <x:v>0</x:v>
      </x:c>
      <x:c r="P2244"/>
      <x:c r="Q2244"/>
      <x:c r="R2244"/>
      <x:c r="S2244"/>
      <x:c r="T2244" t="str">
        <x:v>right</x:v>
      </x:c>
      <x:c r="U2244" t="str">
        <x:v>guard</x:v>
      </x:c>
      <x:c r="V2244" t="n">
        <x:v>0</x:v>
      </x:c>
      <x:c r="W2244" t="n">
        <x:v>0</x:v>
      </x:c>
      <x:c r="X2244" t="n">
        <x:v>0</x:v>
      </x:c>
      <x:c r="Y2244" t="n">
        <x:v>0</x:v>
      </x:c>
      <x:c r="Z2244" t="n">
        <x:v>0</x:v>
      </x:c>
      <x:c r="AA2244" t="n">
        <x:v>0</x:v>
      </x:c>
      <x:c r="AB2244"/>
      <x:c r="AC2244" t="n">
        <x:v>0</x:v>
      </x:c>
      <x:c r="AD2244" t="n">
        <x:v>-0.7733343691797927</x:v>
      </x:c>
      <x:c r="AE2244" t="n">
        <x:v>0</x:v>
      </x:c>
      <x:c r="AF2244" t="n">
        <x:v>-0.013910174369812012</x:v>
      </x:c>
      <x:c r="AG2244" t="n">
        <x:f>_xlfn.XLOOKUP($A2244,Games!$A$2:$A$18,Games!$B$2:$B$18,"Missing game",0)</x:f>
        <x:v>2025</x:v>
      </x:c>
      <x:c r="AH2244" t="str">
        <x:f>_xlfn.XLOOKUP($A2244,Games!$A$2:$A$18,Games!$C$2:$C$18,"Missing game",0)</x:f>
        <x:v>REG</x:v>
      </x:c>
      <x:c r="AI2244" t="n">
        <x:f>_xlfn.XLOOKUP($A2244,Games!$A$2:$A$18,Games!$D$2:$D$18,"Missing game",0)</x:f>
        <x:v>15</x:v>
      </x:c>
      <x:c r="AJ2244" s="1" t="n">
        <x:f>_xlfn.XLOOKUP($A2244,Games!$A$2:$A$18,Games!$E$2:$E$18,"Missing game",0)</x:f>
        <x:v>46005</x:v>
      </x:c>
      <x:c r="AK2244" t="str">
        <x:f>_xlfn.XLOOKUP($A2244,Games!$A$2:$A$18,Games!$F$2:$F$18,"Missing game",0)</x:f>
        <x:v>Sunday</x:v>
      </x:c>
      <x:c r="AL2244" t="str">
        <x:f>_xlfn.XLOOKUP($A2244,Games!$A$2:$A$18,Games!$G$2:$G$18,"Missing game",0)</x:f>
        <x:v>MIN</x:v>
      </x:c>
      <x:c r="AM2244" t="n">
        <x:f>_xlfn.XLOOKUP($A2244,Games!$A$2:$A$18,Games!$H$2:$H$18,"Missing game",0)</x:f>
        <x:v>34</x:v>
      </x:c>
      <x:c r="AN2244" t="str">
        <x:f>_xlfn.XLOOKUP($A2244,Games!$A$2:$A$18,Games!$I$2:$I$18,"Missing game",0)</x:f>
        <x:v>DAL</x:v>
      </x:c>
      <x:c r="AO2244" t="n">
        <x:f>_xlfn.XLOOKUP($A2244,Games!$A$2:$A$18,Games!$J$2:$J$18,"Missing game",0)</x:f>
        <x:v>26</x:v>
      </x:c>
      <x:c r="AP2244" t="n">
        <x:f>_xlfn.XLOOKUP($A2244,Games!$A$2:$A$18,Games!$K$2:$K$18,"Missing game",0)</x:f>
        <x:v>-8</x:v>
      </x:c>
      <x:c r="AQ2244" t="n">
        <x:f>_xlfn.XLOOKUP($A2244,Games!$A$2:$A$18,Games!$L$2:$L$18,"Missing game",0)</x:f>
        <x:v>60</x:v>
      </x:c>
      <x:c r="AR2244" t="n">
        <x:f>_xlfn.XLOOKUP($A2244,Games!$A$2:$A$18,Games!$M$2:$M$18,"Missing game",0)</x:f>
        <x:v>0</x:v>
      </x:c>
      <x:c r="AS2244" t="str">
        <x:f>_xlfn.XLOOKUP($A2244,Games!$A$2:$A$18,Games!$N$2:$N$18,"Missing game",0)</x:f>
        <x:v>closed</x:v>
      </x:c>
      <x:c r="AT2244" t="str">
        <x:f>_xlfn.XLOOKUP($A2244,Games!$A$2:$A$18,Games!$O$2:$O$18,"Missing game",0)</x:f>
        <x:v>matrixturf</x:v>
      </x:c>
      <x:c r="AU2244" t="str">
        <x:f>_xlfn.XLOOKUP($A2244,Games!$A$2:$A$18,Games!$P$2:$P$18,"Missing game",0)</x:f>
      </x:c>
      <x:c r="AV2244" t="str">
        <x:f>_xlfn.XLOOKUP($A2244,Games!$A$2:$A$18,Games!$Q$2:$Q$18,"Missing game",0)</x:f>
      </x:c>
      <x:c r="AW2244" t="str">
        <x:f>_xlfn.XLOOKUP($A2244,Games!$A$2:$A$18,Games!$R$2:$R$18,"Missing game",0)</x:f>
        <x:v>AT&amp;T Stadium</x:v>
      </x:c>
    </x:row>
    <x:row r="2245">
      <x:c r="A2245" t="str">
        <x:v>2025_15_MIN_DAL</x:v>
      </x:c>
      <x:c r="B2245" t="n">
        <x:v>2279</x:v>
      </x:c>
      <x:c r="C2245" t="n">
        <x:v>3</x:v>
      </x:c>
      <x:c r="D2245" t="str">
        <x:v>11:58</x:v>
      </x:c>
      <x:c r="E2245" t="n">
        <x:v>3</x:v>
      </x:c>
      <x:c r="F2245" t="n">
        <x:v>8</x:v>
      </x:c>
      <x:c r="G2245" t="str">
        <x:v>DAL</x:v>
      </x:c>
      <x:c r="H2245" t="str">
        <x:v>MIN</x:v>
      </x:c>
      <x:c r="I2245" t="str">
        <x:v>MIN</x:v>
      </x:c>
      <x:c r="J2245" t="n">
        <x:v>9</x:v>
      </x:c>
      <x:c r="K2245" t="str">
        <x:v>(11:58) (Shotgun) 4-D.Prescott pass short right to 9-K.Turpin to MIN 8 for 1 yard (23-F.Moreau).</x:v>
      </x:c>
      <x:c r="L2245" t="str">
        <x:v>pass</x:v>
      </x:c>
      <x:c r="M2245" t="n">
        <x:v>1</x:v>
      </x:c>
      <x:c r="N2245" t="n">
        <x:v>1</x:v>
      </x:c>
      <x:c r="O2245" t="n">
        <x:v>0</x:v>
      </x:c>
      <x:c r="P2245" t="str">
        <x:v>short</x:v>
      </x:c>
      <x:c r="Q2245" t="str">
        <x:v>right</x:v>
      </x:c>
      <x:c r="R2245" t="n">
        <x:v>1</x:v>
      </x:c>
      <x:c r="S2245" t="n">
        <x:v>0</x:v>
      </x:c>
      <x:c r="T2245"/>
      <x:c r="U2245"/>
      <x:c r="V2245" t="n">
        <x:v>1</x:v>
      </x:c>
      <x:c r="W2245" t="n">
        <x:v>0</x:v>
      </x:c>
      <x:c r="X2245" t="n">
        <x:v>0</x:v>
      </x:c>
      <x:c r="Y2245" t="n">
        <x:v>0</x:v>
      </x:c>
      <x:c r="Z2245" t="n">
        <x:v>0</x:v>
      </x:c>
      <x:c r="AA2245" t="n">
        <x:v>0</x:v>
      </x:c>
      <x:c r="AB2245"/>
      <x:c r="AC2245" t="n">
        <x:v>0</x:v>
      </x:c>
      <x:c r="AD2245" t="n">
        <x:v>-1.2771291153187008</x:v>
      </x:c>
      <x:c r="AE2245" t="n">
        <x:v>0</x:v>
      </x:c>
      <x:c r="AF2245" t="n">
        <x:v>-0.03987884521484375</x:v>
      </x:c>
      <x:c r="AG2245" t="n">
        <x:f>_xlfn.XLOOKUP($A2245,Games!$A$2:$A$18,Games!$B$2:$B$18,"Missing game",0)</x:f>
        <x:v>2025</x:v>
      </x:c>
      <x:c r="AH2245" t="str">
        <x:f>_xlfn.XLOOKUP($A2245,Games!$A$2:$A$18,Games!$C$2:$C$18,"Missing game",0)</x:f>
        <x:v>REG</x:v>
      </x:c>
      <x:c r="AI2245" t="n">
        <x:f>_xlfn.XLOOKUP($A2245,Games!$A$2:$A$18,Games!$D$2:$D$18,"Missing game",0)</x:f>
        <x:v>15</x:v>
      </x:c>
      <x:c r="AJ2245" s="1" t="n">
        <x:f>_xlfn.XLOOKUP($A2245,Games!$A$2:$A$18,Games!$E$2:$E$18,"Missing game",0)</x:f>
        <x:v>46005</x:v>
      </x:c>
      <x:c r="AK2245" t="str">
        <x:f>_xlfn.XLOOKUP($A2245,Games!$A$2:$A$18,Games!$F$2:$F$18,"Missing game",0)</x:f>
        <x:v>Sunday</x:v>
      </x:c>
      <x:c r="AL2245" t="str">
        <x:f>_xlfn.XLOOKUP($A2245,Games!$A$2:$A$18,Games!$G$2:$G$18,"Missing game",0)</x:f>
        <x:v>MIN</x:v>
      </x:c>
      <x:c r="AM2245" t="n">
        <x:f>_xlfn.XLOOKUP($A2245,Games!$A$2:$A$18,Games!$H$2:$H$18,"Missing game",0)</x:f>
        <x:v>34</x:v>
      </x:c>
      <x:c r="AN2245" t="str">
        <x:f>_xlfn.XLOOKUP($A2245,Games!$A$2:$A$18,Games!$I$2:$I$18,"Missing game",0)</x:f>
        <x:v>DAL</x:v>
      </x:c>
      <x:c r="AO2245" t="n">
        <x:f>_xlfn.XLOOKUP($A2245,Games!$A$2:$A$18,Games!$J$2:$J$18,"Missing game",0)</x:f>
        <x:v>26</x:v>
      </x:c>
      <x:c r="AP2245" t="n">
        <x:f>_xlfn.XLOOKUP($A2245,Games!$A$2:$A$18,Games!$K$2:$K$18,"Missing game",0)</x:f>
        <x:v>-8</x:v>
      </x:c>
      <x:c r="AQ2245" t="n">
        <x:f>_xlfn.XLOOKUP($A2245,Games!$A$2:$A$18,Games!$L$2:$L$18,"Missing game",0)</x:f>
        <x:v>60</x:v>
      </x:c>
      <x:c r="AR2245" t="n">
        <x:f>_xlfn.XLOOKUP($A2245,Games!$A$2:$A$18,Games!$M$2:$M$18,"Missing game",0)</x:f>
        <x:v>0</x:v>
      </x:c>
      <x:c r="AS2245" t="str">
        <x:f>_xlfn.XLOOKUP($A2245,Games!$A$2:$A$18,Games!$N$2:$N$18,"Missing game",0)</x:f>
        <x:v>closed</x:v>
      </x:c>
      <x:c r="AT2245" t="str">
        <x:f>_xlfn.XLOOKUP($A2245,Games!$A$2:$A$18,Games!$O$2:$O$18,"Missing game",0)</x:f>
        <x:v>matrixturf</x:v>
      </x:c>
      <x:c r="AU2245" t="str">
        <x:f>_xlfn.XLOOKUP($A2245,Games!$A$2:$A$18,Games!$P$2:$P$18,"Missing game",0)</x:f>
      </x:c>
      <x:c r="AV2245" t="str">
        <x:f>_xlfn.XLOOKUP($A2245,Games!$A$2:$A$18,Games!$Q$2:$Q$18,"Missing game",0)</x:f>
      </x:c>
      <x:c r="AW2245" t="str">
        <x:f>_xlfn.XLOOKUP($A2245,Games!$A$2:$A$18,Games!$R$2:$R$18,"Missing game",0)</x:f>
        <x:v>AT&amp;T Stadium</x:v>
      </x:c>
    </x:row>
    <x:row r="2246">
      <x:c r="A2246" t="str">
        <x:v>2025_15_MIN_DAL</x:v>
      </x:c>
      <x:c r="B2246" t="n">
        <x:v>2304</x:v>
      </x:c>
      <x:c r="C2246" t="n">
        <x:v>3</x:v>
      </x:c>
      <x:c r="D2246" t="str">
        <x:v>11:17</x:v>
      </x:c>
      <x:c r="E2246" t="n">
        <x:v>4</x:v>
      </x:c>
      <x:c r="F2246" t="n">
        <x:v>7</x:v>
      </x:c>
      <x:c r="G2246" t="str">
        <x:v>DAL</x:v>
      </x:c>
      <x:c r="H2246" t="str">
        <x:v>MIN</x:v>
      </x:c>
      <x:c r="I2246" t="str">
        <x:v>MIN</x:v>
      </x:c>
      <x:c r="J2246" t="n">
        <x:v>8</x:v>
      </x:c>
      <x:c r="K2246" t="str">
        <x:v>(11:17) 17-B.Aubrey 26 yard field goal is GOOD, Center-44-T.Sieg, Holder-5-B.Anger.</x:v>
      </x:c>
      <x:c r="L2246" t="str">
        <x:v>field_goal</x:v>
      </x:c>
      <x:c r="M2246" t="n">
        <x:v>0</x:v>
      </x:c>
      <x:c r="N2246" t="n">
        <x:v>0</x:v>
      </x:c>
      <x:c r="O2246" t="n">
        <x:v>0</x:v>
      </x:c>
      <x:c r="P2246"/>
      <x:c r="Q2246"/>
      <x:c r="R2246"/>
      <x:c r="S2246"/>
      <x:c r="T2246"/>
      <x:c r="U2246"/>
      <x:c r="V2246" t="n">
        <x:v>0</x:v>
      </x:c>
      <x:c r="W2246" t="n">
        <x:v>0</x:v>
      </x:c>
      <x:c r="X2246" t="n">
        <x:v>0</x:v>
      </x:c>
      <x:c r="Y2246" t="n">
        <x:v>0</x:v>
      </x:c>
      <x:c r="Z2246" t="n">
        <x:v>0</x:v>
      </x:c>
      <x:c r="AA2246" t="n">
        <x:v>0</x:v>
      </x:c>
      <x:c r="AB2246"/>
      <x:c r="AC2246" t="n">
        <x:v>0</x:v>
      </x:c>
      <x:c r="AD2246" t="n">
        <x:v>0.11035635882598172</x:v>
      </x:c>
      <x:c r="AE2246" t="n">
        <x:v>1</x:v>
      </x:c>
      <x:c r="AF2246" t="n">
        <x:v>0.004982620477676392</x:v>
      </x:c>
      <x:c r="AG2246" t="n">
        <x:f>_xlfn.XLOOKUP($A2246,Games!$A$2:$A$18,Games!$B$2:$B$18,"Missing game",0)</x:f>
        <x:v>2025</x:v>
      </x:c>
      <x:c r="AH2246" t="str">
        <x:f>_xlfn.XLOOKUP($A2246,Games!$A$2:$A$18,Games!$C$2:$C$18,"Missing game",0)</x:f>
        <x:v>REG</x:v>
      </x:c>
      <x:c r="AI2246" t="n">
        <x:f>_xlfn.XLOOKUP($A2246,Games!$A$2:$A$18,Games!$D$2:$D$18,"Missing game",0)</x:f>
        <x:v>15</x:v>
      </x:c>
      <x:c r="AJ2246" s="1" t="n">
        <x:f>_xlfn.XLOOKUP($A2246,Games!$A$2:$A$18,Games!$E$2:$E$18,"Missing game",0)</x:f>
        <x:v>46005</x:v>
      </x:c>
      <x:c r="AK2246" t="str">
        <x:f>_xlfn.XLOOKUP($A2246,Games!$A$2:$A$18,Games!$F$2:$F$18,"Missing game",0)</x:f>
        <x:v>Sunday</x:v>
      </x:c>
      <x:c r="AL2246" t="str">
        <x:f>_xlfn.XLOOKUP($A2246,Games!$A$2:$A$18,Games!$G$2:$G$18,"Missing game",0)</x:f>
        <x:v>MIN</x:v>
      </x:c>
      <x:c r="AM2246" t="n">
        <x:f>_xlfn.XLOOKUP($A2246,Games!$A$2:$A$18,Games!$H$2:$H$18,"Missing game",0)</x:f>
        <x:v>34</x:v>
      </x:c>
      <x:c r="AN2246" t="str">
        <x:f>_xlfn.XLOOKUP($A2246,Games!$A$2:$A$18,Games!$I$2:$I$18,"Missing game",0)</x:f>
        <x:v>DAL</x:v>
      </x:c>
      <x:c r="AO2246" t="n">
        <x:f>_xlfn.XLOOKUP($A2246,Games!$A$2:$A$18,Games!$J$2:$J$18,"Missing game",0)</x:f>
        <x:v>26</x:v>
      </x:c>
      <x:c r="AP2246" t="n">
        <x:f>_xlfn.XLOOKUP($A2246,Games!$A$2:$A$18,Games!$K$2:$K$18,"Missing game",0)</x:f>
        <x:v>-8</x:v>
      </x:c>
      <x:c r="AQ2246" t="n">
        <x:f>_xlfn.XLOOKUP($A2246,Games!$A$2:$A$18,Games!$L$2:$L$18,"Missing game",0)</x:f>
        <x:v>60</x:v>
      </x:c>
      <x:c r="AR2246" t="n">
        <x:f>_xlfn.XLOOKUP($A2246,Games!$A$2:$A$18,Games!$M$2:$M$18,"Missing game",0)</x:f>
        <x:v>0</x:v>
      </x:c>
      <x:c r="AS2246" t="str">
        <x:f>_xlfn.XLOOKUP($A2246,Games!$A$2:$A$18,Games!$N$2:$N$18,"Missing game",0)</x:f>
        <x:v>closed</x:v>
      </x:c>
      <x:c r="AT2246" t="str">
        <x:f>_xlfn.XLOOKUP($A2246,Games!$A$2:$A$18,Games!$O$2:$O$18,"Missing game",0)</x:f>
        <x:v>matrixturf</x:v>
      </x:c>
      <x:c r="AU2246" t="str">
        <x:f>_xlfn.XLOOKUP($A2246,Games!$A$2:$A$18,Games!$P$2:$P$18,"Missing game",0)</x:f>
      </x:c>
      <x:c r="AV2246" t="str">
        <x:f>_xlfn.XLOOKUP($A2246,Games!$A$2:$A$18,Games!$Q$2:$Q$18,"Missing game",0)</x:f>
      </x:c>
      <x:c r="AW2246" t="str">
        <x:f>_xlfn.XLOOKUP($A2246,Games!$A$2:$A$18,Games!$R$2:$R$18,"Missing game",0)</x:f>
        <x:v>AT&amp;T Stadium</x:v>
      </x:c>
    </x:row>
    <x:row r="2247">
      <x:c r="A2247" t="str">
        <x:v>2025_15_MIN_DAL</x:v>
      </x:c>
      <x:c r="B2247" t="n">
        <x:v>2324</x:v>
      </x:c>
      <x:c r="C2247" t="n">
        <x:v>3</x:v>
      </x:c>
      <x:c r="D2247" t="str">
        <x:v>11:14</x:v>
      </x:c>
      <x:c r="E2247"/>
      <x:c r="F2247" t="n">
        <x:v>0</x:v>
      </x:c>
      <x:c r="G2247" t="str">
        <x:v>MIN</x:v>
      </x:c>
      <x:c r="H2247" t="str">
        <x:v>DAL</x:v>
      </x:c>
      <x:c r="I2247" t="str">
        <x:v>DAL</x:v>
      </x:c>
      <x:c r="J2247" t="n">
        <x:v>35</x:v>
      </x:c>
      <x:c r="K2247" t="str">
        <x:v>17-B.Aubrey kicks 55 yards from DAL 35 to MIN 10. 4-M.Price to MIN 42 for 32 yards (50-S.James).</x:v>
      </x:c>
      <x:c r="L2247" t="str">
        <x:v>kickoff</x:v>
      </x:c>
      <x:c r="M2247" t="n">
        <x:v>0</x:v>
      </x:c>
      <x:c r="N2247" t="n">
        <x:v>0</x:v>
      </x:c>
      <x:c r="O2247" t="n">
        <x:v>0</x:v>
      </x:c>
      <x:c r="P2247"/>
      <x:c r="Q2247"/>
      <x:c r="R2247"/>
      <x:c r="S2247"/>
      <x:c r="T2247"/>
      <x:c r="U2247"/>
      <x:c r="V2247" t="n">
        <x:v>0</x:v>
      </x:c>
      <x:c r="W2247" t="n">
        <x:v>0</x:v>
      </x:c>
      <x:c r="X2247" t="n">
        <x:v>0</x:v>
      </x:c>
      <x:c r="Y2247" t="n">
        <x:v>0</x:v>
      </x:c>
      <x:c r="Z2247" t="n">
        <x:v>0</x:v>
      </x:c>
      <x:c r="AA2247" t="n">
        <x:v>0</x:v>
      </x:c>
      <x:c r="AB2247"/>
      <x:c r="AC2247" t="n">
        <x:v>0</x:v>
      </x:c>
      <x:c r="AD2247" t="n">
        <x:v>0.9951380603015423</x:v>
      </x:c>
      <x:c r="AE2247" t="n">
        <x:v>1</x:v>
      </x:c>
      <x:c r="AF2247" t="n">
        <x:v>0.026132851839065552</x:v>
      </x:c>
      <x:c r="AG2247" t="n">
        <x:f>_xlfn.XLOOKUP($A2247,Games!$A$2:$A$18,Games!$B$2:$B$18,"Missing game",0)</x:f>
        <x:v>2025</x:v>
      </x:c>
      <x:c r="AH2247" t="str">
        <x:f>_xlfn.XLOOKUP($A2247,Games!$A$2:$A$18,Games!$C$2:$C$18,"Missing game",0)</x:f>
        <x:v>REG</x:v>
      </x:c>
      <x:c r="AI2247" t="n">
        <x:f>_xlfn.XLOOKUP($A2247,Games!$A$2:$A$18,Games!$D$2:$D$18,"Missing game",0)</x:f>
        <x:v>15</x:v>
      </x:c>
      <x:c r="AJ2247" s="1" t="n">
        <x:f>_xlfn.XLOOKUP($A2247,Games!$A$2:$A$18,Games!$E$2:$E$18,"Missing game",0)</x:f>
        <x:v>46005</x:v>
      </x:c>
      <x:c r="AK2247" t="str">
        <x:f>_xlfn.XLOOKUP($A2247,Games!$A$2:$A$18,Games!$F$2:$F$18,"Missing game",0)</x:f>
        <x:v>Sunday</x:v>
      </x:c>
      <x:c r="AL2247" t="str">
        <x:f>_xlfn.XLOOKUP($A2247,Games!$A$2:$A$18,Games!$G$2:$G$18,"Missing game",0)</x:f>
        <x:v>MIN</x:v>
      </x:c>
      <x:c r="AM2247" t="n">
        <x:f>_xlfn.XLOOKUP($A2247,Games!$A$2:$A$18,Games!$H$2:$H$18,"Missing game",0)</x:f>
        <x:v>34</x:v>
      </x:c>
      <x:c r="AN2247" t="str">
        <x:f>_xlfn.XLOOKUP($A2247,Games!$A$2:$A$18,Games!$I$2:$I$18,"Missing game",0)</x:f>
        <x:v>DAL</x:v>
      </x:c>
      <x:c r="AO2247" t="n">
        <x:f>_xlfn.XLOOKUP($A2247,Games!$A$2:$A$18,Games!$J$2:$J$18,"Missing game",0)</x:f>
        <x:v>26</x:v>
      </x:c>
      <x:c r="AP2247" t="n">
        <x:f>_xlfn.XLOOKUP($A2247,Games!$A$2:$A$18,Games!$K$2:$K$18,"Missing game",0)</x:f>
        <x:v>-8</x:v>
      </x:c>
      <x:c r="AQ2247" t="n">
        <x:f>_xlfn.XLOOKUP($A2247,Games!$A$2:$A$18,Games!$L$2:$L$18,"Missing game",0)</x:f>
        <x:v>60</x:v>
      </x:c>
      <x:c r="AR2247" t="n">
        <x:f>_xlfn.XLOOKUP($A2247,Games!$A$2:$A$18,Games!$M$2:$M$18,"Missing game",0)</x:f>
        <x:v>0</x:v>
      </x:c>
      <x:c r="AS2247" t="str">
        <x:f>_xlfn.XLOOKUP($A2247,Games!$A$2:$A$18,Games!$N$2:$N$18,"Missing game",0)</x:f>
        <x:v>closed</x:v>
      </x:c>
      <x:c r="AT2247" t="str">
        <x:f>_xlfn.XLOOKUP($A2247,Games!$A$2:$A$18,Games!$O$2:$O$18,"Missing game",0)</x:f>
        <x:v>matrixturf</x:v>
      </x:c>
      <x:c r="AU2247" t="str">
        <x:f>_xlfn.XLOOKUP($A2247,Games!$A$2:$A$18,Games!$P$2:$P$18,"Missing game",0)</x:f>
      </x:c>
      <x:c r="AV2247" t="str">
        <x:f>_xlfn.XLOOKUP($A2247,Games!$A$2:$A$18,Games!$Q$2:$Q$18,"Missing game",0)</x:f>
      </x:c>
      <x:c r="AW2247" t="str">
        <x:f>_xlfn.XLOOKUP($A2247,Games!$A$2:$A$18,Games!$R$2:$R$18,"Missing game",0)</x:f>
        <x:v>AT&amp;T Stadium</x:v>
      </x:c>
    </x:row>
    <x:row r="2248">
      <x:c r="A2248" t="str">
        <x:v>2025_15_MIN_DAL</x:v>
      </x:c>
      <x:c r="B2248" t="n">
        <x:v>2354</x:v>
      </x:c>
      <x:c r="C2248" t="n">
        <x:v>3</x:v>
      </x:c>
      <x:c r="D2248" t="str">
        <x:v>11:09</x:v>
      </x:c>
      <x:c r="E2248" t="n">
        <x:v>1</x:v>
      </x:c>
      <x:c r="F2248" t="n">
        <x:v>10</x:v>
      </x:c>
      <x:c r="G2248" t="str">
        <x:v>MIN</x:v>
      </x:c>
      <x:c r="H2248" t="str">
        <x:v>DAL</x:v>
      </x:c>
      <x:c r="I2248" t="str">
        <x:v>MIN</x:v>
      </x:c>
      <x:c r="J2248" t="n">
        <x:v>58</x:v>
      </x:c>
      <x:c r="K2248" t="str">
        <x:v>(11:09) 33-A.Jones up the middle to MIN 43 for 1 yard (41-D.Ezeiruaku; 97-O.Odighizuwa).</x:v>
      </x:c>
      <x:c r="L2248" t="str">
        <x:v>run</x:v>
      </x:c>
      <x:c r="M2248" t="n">
        <x:v>1</x:v>
      </x:c>
      <x:c r="N2248" t="n">
        <x:v>0</x:v>
      </x:c>
      <x:c r="O2248" t="n">
        <x:v>0</x:v>
      </x:c>
      <x:c r="P2248"/>
      <x:c r="Q2248"/>
      <x:c r="R2248"/>
      <x:c r="S2248"/>
      <x:c r="T2248" t="str">
        <x:v>middle</x:v>
      </x:c>
      <x:c r="U2248"/>
      <x:c r="V2248" t="n">
        <x:v>0</x:v>
      </x:c>
      <x:c r="W2248" t="n">
        <x:v>0</x:v>
      </x:c>
      <x:c r="X2248" t="n">
        <x:v>0</x:v>
      </x:c>
      <x:c r="Y2248" t="n">
        <x:v>0</x:v>
      </x:c>
      <x:c r="Z2248" t="n">
        <x:v>0</x:v>
      </x:c>
      <x:c r="AA2248" t="n">
        <x:v>0</x:v>
      </x:c>
      <x:c r="AB2248"/>
      <x:c r="AC2248" t="n">
        <x:v>0</x:v>
      </x:c>
      <x:c r="AD2248" t="n">
        <x:v>-0.43187017808668315</x:v>
      </x:c>
      <x:c r="AE2248" t="n">
        <x:v>0</x:v>
      </x:c>
      <x:c r="AF2248" t="n">
        <x:v>-0.011387646198272705</x:v>
      </x:c>
      <x:c r="AG2248" t="n">
        <x:f>_xlfn.XLOOKUP($A2248,Games!$A$2:$A$18,Games!$B$2:$B$18,"Missing game",0)</x:f>
        <x:v>2025</x:v>
      </x:c>
      <x:c r="AH2248" t="str">
        <x:f>_xlfn.XLOOKUP($A2248,Games!$A$2:$A$18,Games!$C$2:$C$18,"Missing game",0)</x:f>
        <x:v>REG</x:v>
      </x:c>
      <x:c r="AI2248" t="n">
        <x:f>_xlfn.XLOOKUP($A2248,Games!$A$2:$A$18,Games!$D$2:$D$18,"Missing game",0)</x:f>
        <x:v>15</x:v>
      </x:c>
      <x:c r="AJ2248" s="1" t="n">
        <x:f>_xlfn.XLOOKUP($A2248,Games!$A$2:$A$18,Games!$E$2:$E$18,"Missing game",0)</x:f>
        <x:v>46005</x:v>
      </x:c>
      <x:c r="AK2248" t="str">
        <x:f>_xlfn.XLOOKUP($A2248,Games!$A$2:$A$18,Games!$F$2:$F$18,"Missing game",0)</x:f>
        <x:v>Sunday</x:v>
      </x:c>
      <x:c r="AL2248" t="str">
        <x:f>_xlfn.XLOOKUP($A2248,Games!$A$2:$A$18,Games!$G$2:$G$18,"Missing game",0)</x:f>
        <x:v>MIN</x:v>
      </x:c>
      <x:c r="AM2248" t="n">
        <x:f>_xlfn.XLOOKUP($A2248,Games!$A$2:$A$18,Games!$H$2:$H$18,"Missing game",0)</x:f>
        <x:v>34</x:v>
      </x:c>
      <x:c r="AN2248" t="str">
        <x:f>_xlfn.XLOOKUP($A2248,Games!$A$2:$A$18,Games!$I$2:$I$18,"Missing game",0)</x:f>
        <x:v>DAL</x:v>
      </x:c>
      <x:c r="AO2248" t="n">
        <x:f>_xlfn.XLOOKUP($A2248,Games!$A$2:$A$18,Games!$J$2:$J$18,"Missing game",0)</x:f>
        <x:v>26</x:v>
      </x:c>
      <x:c r="AP2248" t="n">
        <x:f>_xlfn.XLOOKUP($A2248,Games!$A$2:$A$18,Games!$K$2:$K$18,"Missing game",0)</x:f>
        <x:v>-8</x:v>
      </x:c>
      <x:c r="AQ2248" t="n">
        <x:f>_xlfn.XLOOKUP($A2248,Games!$A$2:$A$18,Games!$L$2:$L$18,"Missing game",0)</x:f>
        <x:v>60</x:v>
      </x:c>
      <x:c r="AR2248" t="n">
        <x:f>_xlfn.XLOOKUP($A2248,Games!$A$2:$A$18,Games!$M$2:$M$18,"Missing game",0)</x:f>
        <x:v>0</x:v>
      </x:c>
      <x:c r="AS2248" t="str">
        <x:f>_xlfn.XLOOKUP($A2248,Games!$A$2:$A$18,Games!$N$2:$N$18,"Missing game",0)</x:f>
        <x:v>closed</x:v>
      </x:c>
      <x:c r="AT2248" t="str">
        <x:f>_xlfn.XLOOKUP($A2248,Games!$A$2:$A$18,Games!$O$2:$O$18,"Missing game",0)</x:f>
        <x:v>matrixturf</x:v>
      </x:c>
      <x:c r="AU2248" t="str">
        <x:f>_xlfn.XLOOKUP($A2248,Games!$A$2:$A$18,Games!$P$2:$P$18,"Missing game",0)</x:f>
      </x:c>
      <x:c r="AV2248" t="str">
        <x:f>_xlfn.XLOOKUP($A2248,Games!$A$2:$A$18,Games!$Q$2:$Q$18,"Missing game",0)</x:f>
      </x:c>
      <x:c r="AW2248" t="str">
        <x:f>_xlfn.XLOOKUP($A2248,Games!$A$2:$A$18,Games!$R$2:$R$18,"Missing game",0)</x:f>
        <x:v>AT&amp;T Stadium</x:v>
      </x:c>
    </x:row>
    <x:row r="2249">
      <x:c r="A2249" t="str">
        <x:v>2025_15_MIN_DAL</x:v>
      </x:c>
      <x:c r="B2249" t="n">
        <x:v>2376</x:v>
      </x:c>
      <x:c r="C2249" t="n">
        <x:v>3</x:v>
      </x:c>
      <x:c r="D2249" t="str">
        <x:v>10:28</x:v>
      </x:c>
      <x:c r="E2249" t="n">
        <x:v>2</x:v>
      </x:c>
      <x:c r="F2249" t="n">
        <x:v>9</x:v>
      </x:c>
      <x:c r="G2249" t="str">
        <x:v>MIN</x:v>
      </x:c>
      <x:c r="H2249" t="str">
        <x:v>DAL</x:v>
      </x:c>
      <x:c r="I2249" t="str">
        <x:v>MIN</x:v>
      </x:c>
      <x:c r="J2249" t="n">
        <x:v>57</x:v>
      </x:c>
      <x:c r="K2249" t="str">
        <x:v>(10:28) (Shotgun) 9-J.McCarthy pass incomplete deep right to 1-J.Nailor.</x:v>
      </x:c>
      <x:c r="L2249" t="str">
        <x:v>pass</x:v>
      </x:c>
      <x:c r="M2249" t="n">
        <x:v>0</x:v>
      </x:c>
      <x:c r="N2249" t="n">
        <x:v>1</x:v>
      </x:c>
      <x:c r="O2249" t="n">
        <x:v>0</x:v>
      </x:c>
      <x:c r="P2249" t="str">
        <x:v>deep</x:v>
      </x:c>
      <x:c r="Q2249" t="str">
        <x:v>right</x:v>
      </x:c>
      <x:c r="R2249" t="n">
        <x:v>17</x:v>
      </x:c>
      <x:c r="S2249"/>
      <x:c r="T2249"/>
      <x:c r="U2249"/>
      <x:c r="V2249" t="n">
        <x:v>0</x:v>
      </x:c>
      <x:c r="W2249" t="n">
        <x:v>0</x:v>
      </x:c>
      <x:c r="X2249" t="n">
        <x:v>0</x:v>
      </x:c>
      <x:c r="Y2249" t="n">
        <x:v>0</x:v>
      </x:c>
      <x:c r="Z2249" t="n">
        <x:v>0</x:v>
      </x:c>
      <x:c r="AA2249" t="n">
        <x:v>0</x:v>
      </x:c>
      <x:c r="AB2249"/>
      <x:c r="AC2249" t="n">
        <x:v>0</x:v>
      </x:c>
      <x:c r="AD2249" t="n">
        <x:v>-0.8770103682763875</x:v>
      </x:c>
      <x:c r="AE2249" t="n">
        <x:v>0</x:v>
      </x:c>
      <x:c r="AF2249" t="n">
        <x:v>-0.03930667042732239</x:v>
      </x:c>
      <x:c r="AG2249" t="n">
        <x:f>_xlfn.XLOOKUP($A2249,Games!$A$2:$A$18,Games!$B$2:$B$18,"Missing game",0)</x:f>
        <x:v>2025</x:v>
      </x:c>
      <x:c r="AH2249" t="str">
        <x:f>_xlfn.XLOOKUP($A2249,Games!$A$2:$A$18,Games!$C$2:$C$18,"Missing game",0)</x:f>
        <x:v>REG</x:v>
      </x:c>
      <x:c r="AI2249" t="n">
        <x:f>_xlfn.XLOOKUP($A2249,Games!$A$2:$A$18,Games!$D$2:$D$18,"Missing game",0)</x:f>
        <x:v>15</x:v>
      </x:c>
      <x:c r="AJ2249" s="1" t="n">
        <x:f>_xlfn.XLOOKUP($A2249,Games!$A$2:$A$18,Games!$E$2:$E$18,"Missing game",0)</x:f>
        <x:v>46005</x:v>
      </x:c>
      <x:c r="AK2249" t="str">
        <x:f>_xlfn.XLOOKUP($A2249,Games!$A$2:$A$18,Games!$F$2:$F$18,"Missing game",0)</x:f>
        <x:v>Sunday</x:v>
      </x:c>
      <x:c r="AL2249" t="str">
        <x:f>_xlfn.XLOOKUP($A2249,Games!$A$2:$A$18,Games!$G$2:$G$18,"Missing game",0)</x:f>
        <x:v>MIN</x:v>
      </x:c>
      <x:c r="AM2249" t="n">
        <x:f>_xlfn.XLOOKUP($A2249,Games!$A$2:$A$18,Games!$H$2:$H$18,"Missing game",0)</x:f>
        <x:v>34</x:v>
      </x:c>
      <x:c r="AN2249" t="str">
        <x:f>_xlfn.XLOOKUP($A2249,Games!$A$2:$A$18,Games!$I$2:$I$18,"Missing game",0)</x:f>
        <x:v>DAL</x:v>
      </x:c>
      <x:c r="AO2249" t="n">
        <x:f>_xlfn.XLOOKUP($A2249,Games!$A$2:$A$18,Games!$J$2:$J$18,"Missing game",0)</x:f>
        <x:v>26</x:v>
      </x:c>
      <x:c r="AP2249" t="n">
        <x:f>_xlfn.XLOOKUP($A2249,Games!$A$2:$A$18,Games!$K$2:$K$18,"Missing game",0)</x:f>
        <x:v>-8</x:v>
      </x:c>
      <x:c r="AQ2249" t="n">
        <x:f>_xlfn.XLOOKUP($A2249,Games!$A$2:$A$18,Games!$L$2:$L$18,"Missing game",0)</x:f>
        <x:v>60</x:v>
      </x:c>
      <x:c r="AR2249" t="n">
        <x:f>_xlfn.XLOOKUP($A2249,Games!$A$2:$A$18,Games!$M$2:$M$18,"Missing game",0)</x:f>
        <x:v>0</x:v>
      </x:c>
      <x:c r="AS2249" t="str">
        <x:f>_xlfn.XLOOKUP($A2249,Games!$A$2:$A$18,Games!$N$2:$N$18,"Missing game",0)</x:f>
        <x:v>closed</x:v>
      </x:c>
      <x:c r="AT2249" t="str">
        <x:f>_xlfn.XLOOKUP($A2249,Games!$A$2:$A$18,Games!$O$2:$O$18,"Missing game",0)</x:f>
        <x:v>matrixturf</x:v>
      </x:c>
      <x:c r="AU2249" t="str">
        <x:f>_xlfn.XLOOKUP($A2249,Games!$A$2:$A$18,Games!$P$2:$P$18,"Missing game",0)</x:f>
      </x:c>
      <x:c r="AV2249" t="str">
        <x:f>_xlfn.XLOOKUP($A2249,Games!$A$2:$A$18,Games!$Q$2:$Q$18,"Missing game",0)</x:f>
      </x:c>
      <x:c r="AW2249" t="str">
        <x:f>_xlfn.XLOOKUP($A2249,Games!$A$2:$A$18,Games!$R$2:$R$18,"Missing game",0)</x:f>
        <x:v>AT&amp;T Stadium</x:v>
      </x:c>
    </x:row>
    <x:row r="2250">
      <x:c r="A2250" t="str">
        <x:v>2025_15_MIN_DAL</x:v>
      </x:c>
      <x:c r="B2250" t="n">
        <x:v>2399</x:v>
      </x:c>
      <x:c r="C2250" t="n">
        <x:v>3</x:v>
      </x:c>
      <x:c r="D2250" t="str">
        <x:v>10:22</x:v>
      </x:c>
      <x:c r="E2250" t="n">
        <x:v>3</x:v>
      </x:c>
      <x:c r="F2250" t="n">
        <x:v>9</x:v>
      </x:c>
      <x:c r="G2250" t="str">
        <x:v>MIN</x:v>
      </x:c>
      <x:c r="H2250" t="str">
        <x:v>DAL</x:v>
      </x:c>
      <x:c r="I2250" t="str">
        <x:v>MIN</x:v>
      </x:c>
      <x:c r="J2250" t="n">
        <x:v>57</x:v>
      </x:c>
      <x:c r="K2250" t="str">
        <x:v>(10:22) (Shotgun) 9-J.McCarthy pass incomplete short right to 1-J.Nailor.</x:v>
      </x:c>
      <x:c r="L2250" t="str">
        <x:v>pass</x:v>
      </x:c>
      <x:c r="M2250" t="n">
        <x:v>0</x:v>
      </x:c>
      <x:c r="N2250" t="n">
        <x:v>1</x:v>
      </x:c>
      <x:c r="O2250" t="n">
        <x:v>0</x:v>
      </x:c>
      <x:c r="P2250" t="str">
        <x:v>short</x:v>
      </x:c>
      <x:c r="Q2250" t="str">
        <x:v>right</x:v>
      </x:c>
      <x:c r="R2250" t="n">
        <x:v>5</x:v>
      </x:c>
      <x:c r="S2250"/>
      <x:c r="T2250"/>
      <x:c r="U2250"/>
      <x:c r="V2250" t="n">
        <x:v>0</x:v>
      </x:c>
      <x:c r="W2250" t="n">
        <x:v>0</x:v>
      </x:c>
      <x:c r="X2250" t="n">
        <x:v>0</x:v>
      </x:c>
      <x:c r="Y2250" t="n">
        <x:v>0</x:v>
      </x:c>
      <x:c r="Z2250" t="n">
        <x:v>0</x:v>
      </x:c>
      <x:c r="AA2250" t="n">
        <x:v>0</x:v>
      </x:c>
      <x:c r="AB2250"/>
      <x:c r="AC2250" t="n">
        <x:v>0</x:v>
      </x:c>
      <x:c r="AD2250" t="n">
        <x:v>-1.5724294462706894</x:v>
      </x:c>
      <x:c r="AE2250" t="n">
        <x:v>0</x:v>
      </x:c>
      <x:c r="AF2250" t="n">
        <x:v>-0.03430262207984924</x:v>
      </x:c>
      <x:c r="AG2250" t="n">
        <x:f>_xlfn.XLOOKUP($A2250,Games!$A$2:$A$18,Games!$B$2:$B$18,"Missing game",0)</x:f>
        <x:v>2025</x:v>
      </x:c>
      <x:c r="AH2250" t="str">
        <x:f>_xlfn.XLOOKUP($A2250,Games!$A$2:$A$18,Games!$C$2:$C$18,"Missing game",0)</x:f>
        <x:v>REG</x:v>
      </x:c>
      <x:c r="AI2250" t="n">
        <x:f>_xlfn.XLOOKUP($A2250,Games!$A$2:$A$18,Games!$D$2:$D$18,"Missing game",0)</x:f>
        <x:v>15</x:v>
      </x:c>
      <x:c r="AJ2250" s="1" t="n">
        <x:f>_xlfn.XLOOKUP($A2250,Games!$A$2:$A$18,Games!$E$2:$E$18,"Missing game",0)</x:f>
        <x:v>46005</x:v>
      </x:c>
      <x:c r="AK2250" t="str">
        <x:f>_xlfn.XLOOKUP($A2250,Games!$A$2:$A$18,Games!$F$2:$F$18,"Missing game",0)</x:f>
        <x:v>Sunday</x:v>
      </x:c>
      <x:c r="AL2250" t="str">
        <x:f>_xlfn.XLOOKUP($A2250,Games!$A$2:$A$18,Games!$G$2:$G$18,"Missing game",0)</x:f>
        <x:v>MIN</x:v>
      </x:c>
      <x:c r="AM2250" t="n">
        <x:f>_xlfn.XLOOKUP($A2250,Games!$A$2:$A$18,Games!$H$2:$H$18,"Missing game",0)</x:f>
        <x:v>34</x:v>
      </x:c>
      <x:c r="AN2250" t="str">
        <x:f>_xlfn.XLOOKUP($A2250,Games!$A$2:$A$18,Games!$I$2:$I$18,"Missing game",0)</x:f>
        <x:v>DAL</x:v>
      </x:c>
      <x:c r="AO2250" t="n">
        <x:f>_xlfn.XLOOKUP($A2250,Games!$A$2:$A$18,Games!$J$2:$J$18,"Missing game",0)</x:f>
        <x:v>26</x:v>
      </x:c>
      <x:c r="AP2250" t="n">
        <x:f>_xlfn.XLOOKUP($A2250,Games!$A$2:$A$18,Games!$K$2:$K$18,"Missing game",0)</x:f>
        <x:v>-8</x:v>
      </x:c>
      <x:c r="AQ2250" t="n">
        <x:f>_xlfn.XLOOKUP($A2250,Games!$A$2:$A$18,Games!$L$2:$L$18,"Missing game",0)</x:f>
        <x:v>60</x:v>
      </x:c>
      <x:c r="AR2250" t="n">
        <x:f>_xlfn.XLOOKUP($A2250,Games!$A$2:$A$18,Games!$M$2:$M$18,"Missing game",0)</x:f>
        <x:v>0</x:v>
      </x:c>
      <x:c r="AS2250" t="str">
        <x:f>_xlfn.XLOOKUP($A2250,Games!$A$2:$A$18,Games!$N$2:$N$18,"Missing game",0)</x:f>
        <x:v>closed</x:v>
      </x:c>
      <x:c r="AT2250" t="str">
        <x:f>_xlfn.XLOOKUP($A2250,Games!$A$2:$A$18,Games!$O$2:$O$18,"Missing game",0)</x:f>
        <x:v>matrixturf</x:v>
      </x:c>
      <x:c r="AU2250" t="str">
        <x:f>_xlfn.XLOOKUP($A2250,Games!$A$2:$A$18,Games!$P$2:$P$18,"Missing game",0)</x:f>
      </x:c>
      <x:c r="AV2250" t="str">
        <x:f>_xlfn.XLOOKUP($A2250,Games!$A$2:$A$18,Games!$Q$2:$Q$18,"Missing game",0)</x:f>
      </x:c>
      <x:c r="AW2250" t="str">
        <x:f>_xlfn.XLOOKUP($A2250,Games!$A$2:$A$18,Games!$R$2:$R$18,"Missing game",0)</x:f>
        <x:v>AT&amp;T Stadium</x:v>
      </x:c>
    </x:row>
    <x:row r="2251">
      <x:c r="A2251" t="str">
        <x:v>2025_15_MIN_DAL</x:v>
      </x:c>
      <x:c r="B2251" t="n">
        <x:v>2422</x:v>
      </x:c>
      <x:c r="C2251" t="n">
        <x:v>3</x:v>
      </x:c>
      <x:c r="D2251" t="str">
        <x:v>10:17</x:v>
      </x:c>
      <x:c r="E2251" t="n">
        <x:v>4</x:v>
      </x:c>
      <x:c r="F2251" t="n">
        <x:v>9</x:v>
      </x:c>
      <x:c r="G2251" t="str">
        <x:v>MIN</x:v>
      </x:c>
      <x:c r="H2251" t="str">
        <x:v>DAL</x:v>
      </x:c>
      <x:c r="I2251" t="str">
        <x:v>MIN</x:v>
      </x:c>
      <x:c r="J2251" t="n">
        <x:v>57</x:v>
      </x:c>
      <x:c r="K2251" t="str">
        <x:v>(10:17) 17-R.Wright punts 47 yards to DAL 10, Center-42-A.DePaola, out of bounds.</x:v>
      </x:c>
      <x:c r="L2251" t="str">
        <x:v>punt</x:v>
      </x:c>
      <x:c r="M2251" t="n">
        <x:v>0</x:v>
      </x:c>
      <x:c r="N2251" t="n">
        <x:v>0</x:v>
      </x:c>
      <x:c r="O2251" t="n">
        <x:v>0</x:v>
      </x:c>
      <x:c r="P2251"/>
      <x:c r="Q2251"/>
      <x:c r="R2251"/>
      <x:c r="S2251"/>
      <x:c r="T2251"/>
      <x:c r="U2251"/>
      <x:c r="V2251" t="n">
        <x:v>0</x:v>
      </x:c>
      <x:c r="W2251" t="n">
        <x:v>0</x:v>
      </x:c>
      <x:c r="X2251" t="n">
        <x:v>0</x:v>
      </x:c>
      <x:c r="Y2251" t="n">
        <x:v>0</x:v>
      </x:c>
      <x:c r="Z2251" t="n">
        <x:v>0</x:v>
      </x:c>
      <x:c r="AA2251" t="n">
        <x:v>0</x:v>
      </x:c>
      <x:c r="AB2251"/>
      <x:c r="AC2251" t="n">
        <x:v>0</x:v>
      </x:c>
      <x:c r="AD2251" t="n">
        <x:v>0.3986026735510677</x:v>
      </x:c>
      <x:c r="AE2251" t="n">
        <x:v>1</x:v>
      </x:c>
      <x:c r="AF2251" t="n">
        <x:v>0.010964751243591309</x:v>
      </x:c>
      <x:c r="AG2251" t="n">
        <x:f>_xlfn.XLOOKUP($A2251,Games!$A$2:$A$18,Games!$B$2:$B$18,"Missing game",0)</x:f>
        <x:v>2025</x:v>
      </x:c>
      <x:c r="AH2251" t="str">
        <x:f>_xlfn.XLOOKUP($A2251,Games!$A$2:$A$18,Games!$C$2:$C$18,"Missing game",0)</x:f>
        <x:v>REG</x:v>
      </x:c>
      <x:c r="AI2251" t="n">
        <x:f>_xlfn.XLOOKUP($A2251,Games!$A$2:$A$18,Games!$D$2:$D$18,"Missing game",0)</x:f>
        <x:v>15</x:v>
      </x:c>
      <x:c r="AJ2251" s="1" t="n">
        <x:f>_xlfn.XLOOKUP($A2251,Games!$A$2:$A$18,Games!$E$2:$E$18,"Missing game",0)</x:f>
        <x:v>46005</x:v>
      </x:c>
      <x:c r="AK2251" t="str">
        <x:f>_xlfn.XLOOKUP($A2251,Games!$A$2:$A$18,Games!$F$2:$F$18,"Missing game",0)</x:f>
        <x:v>Sunday</x:v>
      </x:c>
      <x:c r="AL2251" t="str">
        <x:f>_xlfn.XLOOKUP($A2251,Games!$A$2:$A$18,Games!$G$2:$G$18,"Missing game",0)</x:f>
        <x:v>MIN</x:v>
      </x:c>
      <x:c r="AM2251" t="n">
        <x:f>_xlfn.XLOOKUP($A2251,Games!$A$2:$A$18,Games!$H$2:$H$18,"Missing game",0)</x:f>
        <x:v>34</x:v>
      </x:c>
      <x:c r="AN2251" t="str">
        <x:f>_xlfn.XLOOKUP($A2251,Games!$A$2:$A$18,Games!$I$2:$I$18,"Missing game",0)</x:f>
        <x:v>DAL</x:v>
      </x:c>
      <x:c r="AO2251" t="n">
        <x:f>_xlfn.XLOOKUP($A2251,Games!$A$2:$A$18,Games!$J$2:$J$18,"Missing game",0)</x:f>
        <x:v>26</x:v>
      </x:c>
      <x:c r="AP2251" t="n">
        <x:f>_xlfn.XLOOKUP($A2251,Games!$A$2:$A$18,Games!$K$2:$K$18,"Missing game",0)</x:f>
        <x:v>-8</x:v>
      </x:c>
      <x:c r="AQ2251" t="n">
        <x:f>_xlfn.XLOOKUP($A2251,Games!$A$2:$A$18,Games!$L$2:$L$18,"Missing game",0)</x:f>
        <x:v>60</x:v>
      </x:c>
      <x:c r="AR2251" t="n">
        <x:f>_xlfn.XLOOKUP($A2251,Games!$A$2:$A$18,Games!$M$2:$M$18,"Missing game",0)</x:f>
        <x:v>0</x:v>
      </x:c>
      <x:c r="AS2251" t="str">
        <x:f>_xlfn.XLOOKUP($A2251,Games!$A$2:$A$18,Games!$N$2:$N$18,"Missing game",0)</x:f>
        <x:v>closed</x:v>
      </x:c>
      <x:c r="AT2251" t="str">
        <x:f>_xlfn.XLOOKUP($A2251,Games!$A$2:$A$18,Games!$O$2:$O$18,"Missing game",0)</x:f>
        <x:v>matrixturf</x:v>
      </x:c>
      <x:c r="AU2251" t="str">
        <x:f>_xlfn.XLOOKUP($A2251,Games!$A$2:$A$18,Games!$P$2:$P$18,"Missing game",0)</x:f>
      </x:c>
      <x:c r="AV2251" t="str">
        <x:f>_xlfn.XLOOKUP($A2251,Games!$A$2:$A$18,Games!$Q$2:$Q$18,"Missing game",0)</x:f>
      </x:c>
      <x:c r="AW2251" t="str">
        <x:f>_xlfn.XLOOKUP($A2251,Games!$A$2:$A$18,Games!$R$2:$R$18,"Missing game",0)</x:f>
        <x:v>AT&amp;T Stadium</x:v>
      </x:c>
    </x:row>
    <x:row r="2252">
      <x:c r="A2252" t="str">
        <x:v>2025_15_MIN_DAL</x:v>
      </x:c>
      <x:c r="B2252" t="n">
        <x:v>2441</x:v>
      </x:c>
      <x:c r="C2252" t="n">
        <x:v>3</x:v>
      </x:c>
      <x:c r="D2252" t="str">
        <x:v>10:10</x:v>
      </x:c>
      <x:c r="E2252" t="n">
        <x:v>1</x:v>
      </x:c>
      <x:c r="F2252" t="n">
        <x:v>10</x:v>
      </x:c>
      <x:c r="G2252" t="str">
        <x:v>DAL</x:v>
      </x:c>
      <x:c r="H2252" t="str">
        <x:v>MIN</x:v>
      </x:c>
      <x:c r="I2252" t="str">
        <x:v>DAL</x:v>
      </x:c>
      <x:c r="J2252" t="n">
        <x:v>90</x:v>
      </x:c>
      <x:c r="K2252" t="str">
        <x:v>(10:10) 4-D.Prescott pass deep right to 88-C.Lamb pushed ob at DAL 40 for 30 yards (2-I.Rodgers) [43-A.Van Ginkel].</x:v>
      </x:c>
      <x:c r="L2252" t="str">
        <x:v>pass</x:v>
      </x:c>
      <x:c r="M2252" t="n">
        <x:v>30</x:v>
      </x:c>
      <x:c r="N2252" t="n">
        <x:v>0</x:v>
      </x:c>
      <x:c r="O2252" t="n">
        <x:v>0</x:v>
      </x:c>
      <x:c r="P2252" t="str">
        <x:v>deep</x:v>
      </x:c>
      <x:c r="Q2252" t="str">
        <x:v>right</x:v>
      </x:c>
      <x:c r="R2252" t="n">
        <x:v>27</x:v>
      </x:c>
      <x:c r="S2252" t="n">
        <x:v>3</x:v>
      </x:c>
      <x:c r="T2252"/>
      <x:c r="U2252"/>
      <x:c r="V2252" t="n">
        <x:v>1</x:v>
      </x:c>
      <x:c r="W2252" t="n">
        <x:v>1</x:v>
      </x:c>
      <x:c r="X2252" t="n">
        <x:v>0</x:v>
      </x:c>
      <x:c r="Y2252" t="n">
        <x:v>0</x:v>
      </x:c>
      <x:c r="Z2252" t="n">
        <x:v>0</x:v>
      </x:c>
      <x:c r="AA2252" t="n">
        <x:v>0</x:v>
      </x:c>
      <x:c r="AB2252"/>
      <x:c r="AC2252" t="n">
        <x:v>0</x:v>
      </x:c>
      <x:c r="AD2252" t="n">
        <x:v>1.935981530463323</x:v>
      </x:c>
      <x:c r="AE2252" t="n">
        <x:v>1</x:v>
      </x:c>
      <x:c r="AF2252" t="n">
        <x:v>0.04420262575149536</x:v>
      </x:c>
      <x:c r="AG2252" t="n">
        <x:f>_xlfn.XLOOKUP($A2252,Games!$A$2:$A$18,Games!$B$2:$B$18,"Missing game",0)</x:f>
        <x:v>2025</x:v>
      </x:c>
      <x:c r="AH2252" t="str">
        <x:f>_xlfn.XLOOKUP($A2252,Games!$A$2:$A$18,Games!$C$2:$C$18,"Missing game",0)</x:f>
        <x:v>REG</x:v>
      </x:c>
      <x:c r="AI2252" t="n">
        <x:f>_xlfn.XLOOKUP($A2252,Games!$A$2:$A$18,Games!$D$2:$D$18,"Missing game",0)</x:f>
        <x:v>15</x:v>
      </x:c>
      <x:c r="AJ2252" s="1" t="n">
        <x:f>_xlfn.XLOOKUP($A2252,Games!$A$2:$A$18,Games!$E$2:$E$18,"Missing game",0)</x:f>
        <x:v>46005</x:v>
      </x:c>
      <x:c r="AK2252" t="str">
        <x:f>_xlfn.XLOOKUP($A2252,Games!$A$2:$A$18,Games!$F$2:$F$18,"Missing game",0)</x:f>
        <x:v>Sunday</x:v>
      </x:c>
      <x:c r="AL2252" t="str">
        <x:f>_xlfn.XLOOKUP($A2252,Games!$A$2:$A$18,Games!$G$2:$G$18,"Missing game",0)</x:f>
        <x:v>MIN</x:v>
      </x:c>
      <x:c r="AM2252" t="n">
        <x:f>_xlfn.XLOOKUP($A2252,Games!$A$2:$A$18,Games!$H$2:$H$18,"Missing game",0)</x:f>
        <x:v>34</x:v>
      </x:c>
      <x:c r="AN2252" t="str">
        <x:f>_xlfn.XLOOKUP($A2252,Games!$A$2:$A$18,Games!$I$2:$I$18,"Missing game",0)</x:f>
        <x:v>DAL</x:v>
      </x:c>
      <x:c r="AO2252" t="n">
        <x:f>_xlfn.XLOOKUP($A2252,Games!$A$2:$A$18,Games!$J$2:$J$18,"Missing game",0)</x:f>
        <x:v>26</x:v>
      </x:c>
      <x:c r="AP2252" t="n">
        <x:f>_xlfn.XLOOKUP($A2252,Games!$A$2:$A$18,Games!$K$2:$K$18,"Missing game",0)</x:f>
        <x:v>-8</x:v>
      </x:c>
      <x:c r="AQ2252" t="n">
        <x:f>_xlfn.XLOOKUP($A2252,Games!$A$2:$A$18,Games!$L$2:$L$18,"Missing game",0)</x:f>
        <x:v>60</x:v>
      </x:c>
      <x:c r="AR2252" t="n">
        <x:f>_xlfn.XLOOKUP($A2252,Games!$A$2:$A$18,Games!$M$2:$M$18,"Missing game",0)</x:f>
        <x:v>0</x:v>
      </x:c>
      <x:c r="AS2252" t="str">
        <x:f>_xlfn.XLOOKUP($A2252,Games!$A$2:$A$18,Games!$N$2:$N$18,"Missing game",0)</x:f>
        <x:v>closed</x:v>
      </x:c>
      <x:c r="AT2252" t="str">
        <x:f>_xlfn.XLOOKUP($A2252,Games!$A$2:$A$18,Games!$O$2:$O$18,"Missing game",0)</x:f>
        <x:v>matrixturf</x:v>
      </x:c>
      <x:c r="AU2252" t="str">
        <x:f>_xlfn.XLOOKUP($A2252,Games!$A$2:$A$18,Games!$P$2:$P$18,"Missing game",0)</x:f>
      </x:c>
      <x:c r="AV2252" t="str">
        <x:f>_xlfn.XLOOKUP($A2252,Games!$A$2:$A$18,Games!$Q$2:$Q$18,"Missing game",0)</x:f>
      </x:c>
      <x:c r="AW2252" t="str">
        <x:f>_xlfn.XLOOKUP($A2252,Games!$A$2:$A$18,Games!$R$2:$R$18,"Missing game",0)</x:f>
        <x:v>AT&amp;T Stadium</x:v>
      </x:c>
    </x:row>
    <x:row r="2253">
      <x:c r="A2253" t="str">
        <x:v>2025_15_MIN_DAL</x:v>
      </x:c>
      <x:c r="B2253" t="n">
        <x:v>2478</x:v>
      </x:c>
      <x:c r="C2253" t="n">
        <x:v>3</x:v>
      </x:c>
      <x:c r="D2253" t="str">
        <x:v>09:33</x:v>
      </x:c>
      <x:c r="E2253" t="n">
        <x:v>1</x:v>
      </x:c>
      <x:c r="F2253" t="n">
        <x:v>10</x:v>
      </x:c>
      <x:c r="G2253" t="str">
        <x:v>DAL</x:v>
      </x:c>
      <x:c r="H2253" t="str">
        <x:v>MIN</x:v>
      </x:c>
      <x:c r="I2253" t="str">
        <x:v>DAL</x:v>
      </x:c>
      <x:c r="J2253" t="n">
        <x:v>60</x:v>
      </x:c>
      <x:c r="K2253" t="str">
        <x:v>(9:33) 4-D.Prescott pass short left to 19-R.Flournoy to DAL 43 for 3 yards (2-I.Rodgers).</x:v>
      </x:c>
      <x:c r="L2253" t="str">
        <x:v>pass</x:v>
      </x:c>
      <x:c r="M2253" t="n">
        <x:v>3</x:v>
      </x:c>
      <x:c r="N2253" t="n">
        <x:v>0</x:v>
      </x:c>
      <x:c r="O2253" t="n">
        <x:v>0</x:v>
      </x:c>
      <x:c r="P2253" t="str">
        <x:v>short</x:v>
      </x:c>
      <x:c r="Q2253" t="str">
        <x:v>left</x:v>
      </x:c>
      <x:c r="R2253" t="n">
        <x:v>-4</x:v>
      </x:c>
      <x:c r="S2253" t="n">
        <x:v>7</x:v>
      </x:c>
      <x:c r="T2253"/>
      <x:c r="U2253"/>
      <x:c r="V2253" t="n">
        <x:v>1</x:v>
      </x:c>
      <x:c r="W2253" t="n">
        <x:v>0</x:v>
      </x:c>
      <x:c r="X2253" t="n">
        <x:v>0</x:v>
      </x:c>
      <x:c r="Y2253" t="n">
        <x:v>0</x:v>
      </x:c>
      <x:c r="Z2253" t="n">
        <x:v>0</x:v>
      </x:c>
      <x:c r="AA2253" t="n">
        <x:v>0</x:v>
      </x:c>
      <x:c r="AB2253"/>
      <x:c r="AC2253" t="n">
        <x:v>0</x:v>
      </x:c>
      <x:c r="AD2253" t="n">
        <x:v>-0.19618781935423613</x:v>
      </x:c>
      <x:c r="AE2253" t="n">
        <x:v>0</x:v>
      </x:c>
      <x:c r="AF2253" t="n">
        <x:v>0.007657289505004883</x:v>
      </x:c>
      <x:c r="AG2253" t="n">
        <x:f>_xlfn.XLOOKUP($A2253,Games!$A$2:$A$18,Games!$B$2:$B$18,"Missing game",0)</x:f>
        <x:v>2025</x:v>
      </x:c>
      <x:c r="AH2253" t="str">
        <x:f>_xlfn.XLOOKUP($A2253,Games!$A$2:$A$18,Games!$C$2:$C$18,"Missing game",0)</x:f>
        <x:v>REG</x:v>
      </x:c>
      <x:c r="AI2253" t="n">
        <x:f>_xlfn.XLOOKUP($A2253,Games!$A$2:$A$18,Games!$D$2:$D$18,"Missing game",0)</x:f>
        <x:v>15</x:v>
      </x:c>
      <x:c r="AJ2253" s="1" t="n">
        <x:f>_xlfn.XLOOKUP($A2253,Games!$A$2:$A$18,Games!$E$2:$E$18,"Missing game",0)</x:f>
        <x:v>46005</x:v>
      </x:c>
      <x:c r="AK2253" t="str">
        <x:f>_xlfn.XLOOKUP($A2253,Games!$A$2:$A$18,Games!$F$2:$F$18,"Missing game",0)</x:f>
        <x:v>Sunday</x:v>
      </x:c>
      <x:c r="AL2253" t="str">
        <x:f>_xlfn.XLOOKUP($A2253,Games!$A$2:$A$18,Games!$G$2:$G$18,"Missing game",0)</x:f>
        <x:v>MIN</x:v>
      </x:c>
      <x:c r="AM2253" t="n">
        <x:f>_xlfn.XLOOKUP($A2253,Games!$A$2:$A$18,Games!$H$2:$H$18,"Missing game",0)</x:f>
        <x:v>34</x:v>
      </x:c>
      <x:c r="AN2253" t="str">
        <x:f>_xlfn.XLOOKUP($A2253,Games!$A$2:$A$18,Games!$I$2:$I$18,"Missing game",0)</x:f>
        <x:v>DAL</x:v>
      </x:c>
      <x:c r="AO2253" t="n">
        <x:f>_xlfn.XLOOKUP($A2253,Games!$A$2:$A$18,Games!$J$2:$J$18,"Missing game",0)</x:f>
        <x:v>26</x:v>
      </x:c>
      <x:c r="AP2253" t="n">
        <x:f>_xlfn.XLOOKUP($A2253,Games!$A$2:$A$18,Games!$K$2:$K$18,"Missing game",0)</x:f>
        <x:v>-8</x:v>
      </x:c>
      <x:c r="AQ2253" t="n">
        <x:f>_xlfn.XLOOKUP($A2253,Games!$A$2:$A$18,Games!$L$2:$L$18,"Missing game",0)</x:f>
        <x:v>60</x:v>
      </x:c>
      <x:c r="AR2253" t="n">
        <x:f>_xlfn.XLOOKUP($A2253,Games!$A$2:$A$18,Games!$M$2:$M$18,"Missing game",0)</x:f>
        <x:v>0</x:v>
      </x:c>
      <x:c r="AS2253" t="str">
        <x:f>_xlfn.XLOOKUP($A2253,Games!$A$2:$A$18,Games!$N$2:$N$18,"Missing game",0)</x:f>
        <x:v>closed</x:v>
      </x:c>
      <x:c r="AT2253" t="str">
        <x:f>_xlfn.XLOOKUP($A2253,Games!$A$2:$A$18,Games!$O$2:$O$18,"Missing game",0)</x:f>
        <x:v>matrixturf</x:v>
      </x:c>
      <x:c r="AU2253" t="str">
        <x:f>_xlfn.XLOOKUP($A2253,Games!$A$2:$A$18,Games!$P$2:$P$18,"Missing game",0)</x:f>
      </x:c>
      <x:c r="AV2253" t="str">
        <x:f>_xlfn.XLOOKUP($A2253,Games!$A$2:$A$18,Games!$Q$2:$Q$18,"Missing game",0)</x:f>
      </x:c>
      <x:c r="AW2253" t="str">
        <x:f>_xlfn.XLOOKUP($A2253,Games!$A$2:$A$18,Games!$R$2:$R$18,"Missing game",0)</x:f>
        <x:v>AT&amp;T Stadium</x:v>
      </x:c>
    </x:row>
    <x:row r="2254">
      <x:c r="A2254" t="str">
        <x:v>2025_15_MIN_DAL</x:v>
      </x:c>
      <x:c r="B2254" t="n">
        <x:v>2503</x:v>
      </x:c>
      <x:c r="C2254" t="n">
        <x:v>3</x:v>
      </x:c>
      <x:c r="D2254" t="str">
        <x:v>08:57</x:v>
      </x:c>
      <x:c r="E2254" t="n">
        <x:v>2</x:v>
      </x:c>
      <x:c r="F2254" t="n">
        <x:v>7</x:v>
      </x:c>
      <x:c r="G2254" t="str">
        <x:v>DAL</x:v>
      </x:c>
      <x:c r="H2254" t="str">
        <x:v>MIN</x:v>
      </x:c>
      <x:c r="I2254" t="str">
        <x:v>DAL</x:v>
      </x:c>
      <x:c r="J2254" t="n">
        <x:v>57</x:v>
      </x:c>
      <x:c r="K2254" t="str">
        <x:v>(8:57) (Shotgun) 33-J.Williams left guard to MIN 36 for 21 yards (7-B.Murphy).</x:v>
      </x:c>
      <x:c r="L2254" t="str">
        <x:v>run</x:v>
      </x:c>
      <x:c r="M2254" t="n">
        <x:v>21</x:v>
      </x:c>
      <x:c r="N2254" t="n">
        <x:v>1</x:v>
      </x:c>
      <x:c r="O2254" t="n">
        <x:v>0</x:v>
      </x:c>
      <x:c r="P2254"/>
      <x:c r="Q2254"/>
      <x:c r="R2254"/>
      <x:c r="S2254"/>
      <x:c r="T2254" t="str">
        <x:v>left</x:v>
      </x:c>
      <x:c r="U2254" t="str">
        <x:v>guard</x:v>
      </x:c>
      <x:c r="V2254" t="n">
        <x:v>0</x:v>
      </x:c>
      <x:c r="W2254" t="n">
        <x:v>1</x:v>
      </x:c>
      <x:c r="X2254" t="n">
        <x:v>0</x:v>
      </x:c>
      <x:c r="Y2254" t="n">
        <x:v>0</x:v>
      </x:c>
      <x:c r="Z2254" t="n">
        <x:v>0</x:v>
      </x:c>
      <x:c r="AA2254" t="n">
        <x:v>0</x:v>
      </x:c>
      <x:c r="AB2254"/>
      <x:c r="AC2254" t="n">
        <x:v>0</x:v>
      </x:c>
      <x:c r="AD2254" t="n">
        <x:v>1.739457322168164</x:v>
      </x:c>
      <x:c r="AE2254" t="n">
        <x:v>1</x:v>
      </x:c>
      <x:c r="AF2254" t="n">
        <x:v>0.03520864248275757</x:v>
      </x:c>
      <x:c r="AG2254" t="n">
        <x:f>_xlfn.XLOOKUP($A2254,Games!$A$2:$A$18,Games!$B$2:$B$18,"Missing game",0)</x:f>
        <x:v>2025</x:v>
      </x:c>
      <x:c r="AH2254" t="str">
        <x:f>_xlfn.XLOOKUP($A2254,Games!$A$2:$A$18,Games!$C$2:$C$18,"Missing game",0)</x:f>
        <x:v>REG</x:v>
      </x:c>
      <x:c r="AI2254" t="n">
        <x:f>_xlfn.XLOOKUP($A2254,Games!$A$2:$A$18,Games!$D$2:$D$18,"Missing game",0)</x:f>
        <x:v>15</x:v>
      </x:c>
      <x:c r="AJ2254" s="1" t="n">
        <x:f>_xlfn.XLOOKUP($A2254,Games!$A$2:$A$18,Games!$E$2:$E$18,"Missing game",0)</x:f>
        <x:v>46005</x:v>
      </x:c>
      <x:c r="AK2254" t="str">
        <x:f>_xlfn.XLOOKUP($A2254,Games!$A$2:$A$18,Games!$F$2:$F$18,"Missing game",0)</x:f>
        <x:v>Sunday</x:v>
      </x:c>
      <x:c r="AL2254" t="str">
        <x:f>_xlfn.XLOOKUP($A2254,Games!$A$2:$A$18,Games!$G$2:$G$18,"Missing game",0)</x:f>
        <x:v>MIN</x:v>
      </x:c>
      <x:c r="AM2254" t="n">
        <x:f>_xlfn.XLOOKUP($A2254,Games!$A$2:$A$18,Games!$H$2:$H$18,"Missing game",0)</x:f>
        <x:v>34</x:v>
      </x:c>
      <x:c r="AN2254" t="str">
        <x:f>_xlfn.XLOOKUP($A2254,Games!$A$2:$A$18,Games!$I$2:$I$18,"Missing game",0)</x:f>
        <x:v>DAL</x:v>
      </x:c>
      <x:c r="AO2254" t="n">
        <x:f>_xlfn.XLOOKUP($A2254,Games!$A$2:$A$18,Games!$J$2:$J$18,"Missing game",0)</x:f>
        <x:v>26</x:v>
      </x:c>
      <x:c r="AP2254" t="n">
        <x:f>_xlfn.XLOOKUP($A2254,Games!$A$2:$A$18,Games!$K$2:$K$18,"Missing game",0)</x:f>
        <x:v>-8</x:v>
      </x:c>
      <x:c r="AQ2254" t="n">
        <x:f>_xlfn.XLOOKUP($A2254,Games!$A$2:$A$18,Games!$L$2:$L$18,"Missing game",0)</x:f>
        <x:v>60</x:v>
      </x:c>
      <x:c r="AR2254" t="n">
        <x:f>_xlfn.XLOOKUP($A2254,Games!$A$2:$A$18,Games!$M$2:$M$18,"Missing game",0)</x:f>
        <x:v>0</x:v>
      </x:c>
      <x:c r="AS2254" t="str">
        <x:f>_xlfn.XLOOKUP($A2254,Games!$A$2:$A$18,Games!$N$2:$N$18,"Missing game",0)</x:f>
        <x:v>closed</x:v>
      </x:c>
      <x:c r="AT2254" t="str">
        <x:f>_xlfn.XLOOKUP($A2254,Games!$A$2:$A$18,Games!$O$2:$O$18,"Missing game",0)</x:f>
        <x:v>matrixturf</x:v>
      </x:c>
      <x:c r="AU2254" t="str">
        <x:f>_xlfn.XLOOKUP($A2254,Games!$A$2:$A$18,Games!$P$2:$P$18,"Missing game",0)</x:f>
      </x:c>
      <x:c r="AV2254" t="str">
        <x:f>_xlfn.XLOOKUP($A2254,Games!$A$2:$A$18,Games!$Q$2:$Q$18,"Missing game",0)</x:f>
      </x:c>
      <x:c r="AW2254" t="str">
        <x:f>_xlfn.XLOOKUP($A2254,Games!$A$2:$A$18,Games!$R$2:$R$18,"Missing game",0)</x:f>
        <x:v>AT&amp;T Stadium</x:v>
      </x:c>
    </x:row>
    <x:row r="2255">
      <x:c r="A2255" t="str">
        <x:v>2025_15_MIN_DAL</x:v>
      </x:c>
      <x:c r="B2255" t="n">
        <x:v>2525</x:v>
      </x:c>
      <x:c r="C2255" t="n">
        <x:v>3</x:v>
      </x:c>
      <x:c r="D2255" t="str">
        <x:v>08:17</x:v>
      </x:c>
      <x:c r="E2255" t="n">
        <x:v>1</x:v>
      </x:c>
      <x:c r="F2255" t="n">
        <x:v>10</x:v>
      </x:c>
      <x:c r="G2255" t="str">
        <x:v>DAL</x:v>
      </x:c>
      <x:c r="H2255" t="str">
        <x:v>MIN</x:v>
      </x:c>
      <x:c r="I2255" t="str">
        <x:v>MIN</x:v>
      </x:c>
      <x:c r="J2255" t="n">
        <x:v>36</x:v>
      </x:c>
      <x:c r="K2255" t="str">
        <x:v>(8:17) (Shotgun) 4-D.Prescott pass short left to 9-K.Turpin pushed ob at MIN 27 for 9 yards (51-B.Cashman).</x:v>
      </x:c>
      <x:c r="L2255" t="str">
        <x:v>pass</x:v>
      </x:c>
      <x:c r="M2255" t="n">
        <x:v>9</x:v>
      </x:c>
      <x:c r="N2255" t="n">
        <x:v>1</x:v>
      </x:c>
      <x:c r="O2255" t="n">
        <x:v>0</x:v>
      </x:c>
      <x:c r="P2255" t="str">
        <x:v>short</x:v>
      </x:c>
      <x:c r="Q2255" t="str">
        <x:v>left</x:v>
      </x:c>
      <x:c r="R2255" t="n">
        <x:v>-5</x:v>
      </x:c>
      <x:c r="S2255" t="n">
        <x:v>14</x:v>
      </x:c>
      <x:c r="T2255"/>
      <x:c r="U2255"/>
      <x:c r="V2255" t="n">
        <x:v>1</x:v>
      </x:c>
      <x:c r="W2255" t="n">
        <x:v>0</x:v>
      </x:c>
      <x:c r="X2255" t="n">
        <x:v>0</x:v>
      </x:c>
      <x:c r="Y2255" t="n">
        <x:v>0</x:v>
      </x:c>
      <x:c r="Z2255" t="n">
        <x:v>0</x:v>
      </x:c>
      <x:c r="AA2255" t="n">
        <x:v>0</x:v>
      </x:c>
      <x:c r="AB2255"/>
      <x:c r="AC2255" t="n">
        <x:v>0</x:v>
      </x:c>
      <x:c r="AD2255" t="n">
        <x:v>0.735579083673656</x:v>
      </x:c>
      <x:c r="AE2255" t="n">
        <x:v>1</x:v>
      </x:c>
      <x:c r="AF2255" t="n">
        <x:v>0.017972230911254883</x:v>
      </x:c>
      <x:c r="AG2255" t="n">
        <x:f>_xlfn.XLOOKUP($A2255,Games!$A$2:$A$18,Games!$B$2:$B$18,"Missing game",0)</x:f>
        <x:v>2025</x:v>
      </x:c>
      <x:c r="AH2255" t="str">
        <x:f>_xlfn.XLOOKUP($A2255,Games!$A$2:$A$18,Games!$C$2:$C$18,"Missing game",0)</x:f>
        <x:v>REG</x:v>
      </x:c>
      <x:c r="AI2255" t="n">
        <x:f>_xlfn.XLOOKUP($A2255,Games!$A$2:$A$18,Games!$D$2:$D$18,"Missing game",0)</x:f>
        <x:v>15</x:v>
      </x:c>
      <x:c r="AJ2255" s="1" t="n">
        <x:f>_xlfn.XLOOKUP($A2255,Games!$A$2:$A$18,Games!$E$2:$E$18,"Missing game",0)</x:f>
        <x:v>46005</x:v>
      </x:c>
      <x:c r="AK2255" t="str">
        <x:f>_xlfn.XLOOKUP($A2255,Games!$A$2:$A$18,Games!$F$2:$F$18,"Missing game",0)</x:f>
        <x:v>Sunday</x:v>
      </x:c>
      <x:c r="AL2255" t="str">
        <x:f>_xlfn.XLOOKUP($A2255,Games!$A$2:$A$18,Games!$G$2:$G$18,"Missing game",0)</x:f>
        <x:v>MIN</x:v>
      </x:c>
      <x:c r="AM2255" t="n">
        <x:f>_xlfn.XLOOKUP($A2255,Games!$A$2:$A$18,Games!$H$2:$H$18,"Missing game",0)</x:f>
        <x:v>34</x:v>
      </x:c>
      <x:c r="AN2255" t="str">
        <x:f>_xlfn.XLOOKUP($A2255,Games!$A$2:$A$18,Games!$I$2:$I$18,"Missing game",0)</x:f>
        <x:v>DAL</x:v>
      </x:c>
      <x:c r="AO2255" t="n">
        <x:f>_xlfn.XLOOKUP($A2255,Games!$A$2:$A$18,Games!$J$2:$J$18,"Missing game",0)</x:f>
        <x:v>26</x:v>
      </x:c>
      <x:c r="AP2255" t="n">
        <x:f>_xlfn.XLOOKUP($A2255,Games!$A$2:$A$18,Games!$K$2:$K$18,"Missing game",0)</x:f>
        <x:v>-8</x:v>
      </x:c>
      <x:c r="AQ2255" t="n">
        <x:f>_xlfn.XLOOKUP($A2255,Games!$A$2:$A$18,Games!$L$2:$L$18,"Missing game",0)</x:f>
        <x:v>60</x:v>
      </x:c>
      <x:c r="AR2255" t="n">
        <x:f>_xlfn.XLOOKUP($A2255,Games!$A$2:$A$18,Games!$M$2:$M$18,"Missing game",0)</x:f>
        <x:v>0</x:v>
      </x:c>
      <x:c r="AS2255" t="str">
        <x:f>_xlfn.XLOOKUP($A2255,Games!$A$2:$A$18,Games!$N$2:$N$18,"Missing game",0)</x:f>
        <x:v>closed</x:v>
      </x:c>
      <x:c r="AT2255" t="str">
        <x:f>_xlfn.XLOOKUP($A2255,Games!$A$2:$A$18,Games!$O$2:$O$18,"Missing game",0)</x:f>
        <x:v>matrixturf</x:v>
      </x:c>
      <x:c r="AU2255" t="str">
        <x:f>_xlfn.XLOOKUP($A2255,Games!$A$2:$A$18,Games!$P$2:$P$18,"Missing game",0)</x:f>
      </x:c>
      <x:c r="AV2255" t="str">
        <x:f>_xlfn.XLOOKUP($A2255,Games!$A$2:$A$18,Games!$Q$2:$Q$18,"Missing game",0)</x:f>
      </x:c>
      <x:c r="AW2255" t="str">
        <x:f>_xlfn.XLOOKUP($A2255,Games!$A$2:$A$18,Games!$R$2:$R$18,"Missing game",0)</x:f>
        <x:v>AT&amp;T Stadium</x:v>
      </x:c>
    </x:row>
    <x:row r="2256">
      <x:c r="A2256" t="str">
        <x:v>2025_15_MIN_DAL</x:v>
      </x:c>
      <x:c r="B2256" t="n">
        <x:v>2555</x:v>
      </x:c>
      <x:c r="C2256" t="n">
        <x:v>3</x:v>
      </x:c>
      <x:c r="D2256" t="str">
        <x:v>07:37</x:v>
      </x:c>
      <x:c r="E2256" t="n">
        <x:v>2</x:v>
      </x:c>
      <x:c r="F2256" t="n">
        <x:v>1</x:v>
      </x:c>
      <x:c r="G2256" t="str">
        <x:v>DAL</x:v>
      </x:c>
      <x:c r="H2256" t="str">
        <x:v>MIN</x:v>
      </x:c>
      <x:c r="I2256" t="str">
        <x:v>MIN</x:v>
      </x:c>
      <x:c r="J2256" t="n">
        <x:v>27</x:v>
      </x:c>
      <x:c r="K2256" t="str">
        <x:v>(7:37) (Shotgun) 43-M.Davis left tackle to MIN 25 for 2 yards (55-E.Wilson; 58-J.Greenard).</x:v>
      </x:c>
      <x:c r="L2256" t="str">
        <x:v>run</x:v>
      </x:c>
      <x:c r="M2256" t="n">
        <x:v>2</x:v>
      </x:c>
      <x:c r="N2256" t="n">
        <x:v>1</x:v>
      </x:c>
      <x:c r="O2256" t="n">
        <x:v>0</x:v>
      </x:c>
      <x:c r="P2256"/>
      <x:c r="Q2256"/>
      <x:c r="R2256"/>
      <x:c r="S2256"/>
      <x:c r="T2256" t="str">
        <x:v>left</x:v>
      </x:c>
      <x:c r="U2256" t="str">
        <x:v>tackle</x:v>
      </x:c>
      <x:c r="V2256" t="n">
        <x:v>0</x:v>
      </x:c>
      <x:c r="W2256" t="n">
        <x:v>1</x:v>
      </x:c>
      <x:c r="X2256" t="n">
        <x:v>0</x:v>
      </x:c>
      <x:c r="Y2256" t="n">
        <x:v>0</x:v>
      </x:c>
      <x:c r="Z2256" t="n">
        <x:v>0</x:v>
      </x:c>
      <x:c r="AA2256" t="n">
        <x:v>0</x:v>
      </x:c>
      <x:c r="AB2256"/>
      <x:c r="AC2256" t="n">
        <x:v>0</x:v>
      </x:c>
      <x:c r="AD2256" t="n">
        <x:v>0.0023671924136579037</x:v>
      </x:c>
      <x:c r="AE2256" t="n">
        <x:v>1</x:v>
      </x:c>
      <x:c r="AF2256" t="n">
        <x:v>-0.0014033317565917969</x:v>
      </x:c>
      <x:c r="AG2256" t="n">
        <x:f>_xlfn.XLOOKUP($A2256,Games!$A$2:$A$18,Games!$B$2:$B$18,"Missing game",0)</x:f>
        <x:v>2025</x:v>
      </x:c>
      <x:c r="AH2256" t="str">
        <x:f>_xlfn.XLOOKUP($A2256,Games!$A$2:$A$18,Games!$C$2:$C$18,"Missing game",0)</x:f>
        <x:v>REG</x:v>
      </x:c>
      <x:c r="AI2256" t="n">
        <x:f>_xlfn.XLOOKUP($A2256,Games!$A$2:$A$18,Games!$D$2:$D$18,"Missing game",0)</x:f>
        <x:v>15</x:v>
      </x:c>
      <x:c r="AJ2256" s="1" t="n">
        <x:f>_xlfn.XLOOKUP($A2256,Games!$A$2:$A$18,Games!$E$2:$E$18,"Missing game",0)</x:f>
        <x:v>46005</x:v>
      </x:c>
      <x:c r="AK2256" t="str">
        <x:f>_xlfn.XLOOKUP($A2256,Games!$A$2:$A$18,Games!$F$2:$F$18,"Missing game",0)</x:f>
        <x:v>Sunday</x:v>
      </x:c>
      <x:c r="AL2256" t="str">
        <x:f>_xlfn.XLOOKUP($A2256,Games!$A$2:$A$18,Games!$G$2:$G$18,"Missing game",0)</x:f>
        <x:v>MIN</x:v>
      </x:c>
      <x:c r="AM2256" t="n">
        <x:f>_xlfn.XLOOKUP($A2256,Games!$A$2:$A$18,Games!$H$2:$H$18,"Missing game",0)</x:f>
        <x:v>34</x:v>
      </x:c>
      <x:c r="AN2256" t="str">
        <x:f>_xlfn.XLOOKUP($A2256,Games!$A$2:$A$18,Games!$I$2:$I$18,"Missing game",0)</x:f>
        <x:v>DAL</x:v>
      </x:c>
      <x:c r="AO2256" t="n">
        <x:f>_xlfn.XLOOKUP($A2256,Games!$A$2:$A$18,Games!$J$2:$J$18,"Missing game",0)</x:f>
        <x:v>26</x:v>
      </x:c>
      <x:c r="AP2256" t="n">
        <x:f>_xlfn.XLOOKUP($A2256,Games!$A$2:$A$18,Games!$K$2:$K$18,"Missing game",0)</x:f>
        <x:v>-8</x:v>
      </x:c>
      <x:c r="AQ2256" t="n">
        <x:f>_xlfn.XLOOKUP($A2256,Games!$A$2:$A$18,Games!$L$2:$L$18,"Missing game",0)</x:f>
        <x:v>60</x:v>
      </x:c>
      <x:c r="AR2256" t="n">
        <x:f>_xlfn.XLOOKUP($A2256,Games!$A$2:$A$18,Games!$M$2:$M$18,"Missing game",0)</x:f>
        <x:v>0</x:v>
      </x:c>
      <x:c r="AS2256" t="str">
        <x:f>_xlfn.XLOOKUP($A2256,Games!$A$2:$A$18,Games!$N$2:$N$18,"Missing game",0)</x:f>
        <x:v>closed</x:v>
      </x:c>
      <x:c r="AT2256" t="str">
        <x:f>_xlfn.XLOOKUP($A2256,Games!$A$2:$A$18,Games!$O$2:$O$18,"Missing game",0)</x:f>
        <x:v>matrixturf</x:v>
      </x:c>
      <x:c r="AU2256" t="str">
        <x:f>_xlfn.XLOOKUP($A2256,Games!$A$2:$A$18,Games!$P$2:$P$18,"Missing game",0)</x:f>
      </x:c>
      <x:c r="AV2256" t="str">
        <x:f>_xlfn.XLOOKUP($A2256,Games!$A$2:$A$18,Games!$Q$2:$Q$18,"Missing game",0)</x:f>
      </x:c>
      <x:c r="AW2256" t="str">
        <x:f>_xlfn.XLOOKUP($A2256,Games!$A$2:$A$18,Games!$R$2:$R$18,"Missing game",0)</x:f>
        <x:v>AT&amp;T Stadium</x:v>
      </x:c>
    </x:row>
    <x:row r="2257">
      <x:c r="A2257" t="str">
        <x:v>2025_15_MIN_DAL</x:v>
      </x:c>
      <x:c r="B2257" t="n">
        <x:v>2577</x:v>
      </x:c>
      <x:c r="C2257" t="n">
        <x:v>3</x:v>
      </x:c>
      <x:c r="D2257" t="str">
        <x:v>06:53</x:v>
      </x:c>
      <x:c r="E2257" t="n">
        <x:v>1</x:v>
      </x:c>
      <x:c r="F2257" t="n">
        <x:v>10</x:v>
      </x:c>
      <x:c r="G2257" t="str">
        <x:v>DAL</x:v>
      </x:c>
      <x:c r="H2257" t="str">
        <x:v>MIN</x:v>
      </x:c>
      <x:c r="I2257" t="str">
        <x:v>MIN</x:v>
      </x:c>
      <x:c r="J2257" t="n">
        <x:v>25</x:v>
      </x:c>
      <x:c r="K2257" t="str">
        <x:v>(6:53) (Shotgun) 4-D.Prescott pass incomplete short left.</x:v>
      </x:c>
      <x:c r="L2257" t="str">
        <x:v>pass</x:v>
      </x:c>
      <x:c r="M2257" t="n">
        <x:v>0</x:v>
      </x:c>
      <x:c r="N2257" t="n">
        <x:v>1</x:v>
      </x:c>
      <x:c r="O2257" t="n">
        <x:v>0</x:v>
      </x:c>
      <x:c r="P2257" t="str">
        <x:v>short</x:v>
      </x:c>
      <x:c r="Q2257" t="str">
        <x:v>left</x:v>
      </x:c>
      <x:c r="R2257" t="n">
        <x:v>-3</x:v>
      </x:c>
      <x:c r="S2257"/>
      <x:c r="T2257"/>
      <x:c r="U2257"/>
      <x:c r="V2257" t="n">
        <x:v>0</x:v>
      </x:c>
      <x:c r="W2257" t="n">
        <x:v>0</x:v>
      </x:c>
      <x:c r="X2257" t="n">
        <x:v>0</x:v>
      </x:c>
      <x:c r="Y2257" t="n">
        <x:v>0</x:v>
      </x:c>
      <x:c r="Z2257" t="n">
        <x:v>0</x:v>
      </x:c>
      <x:c r="AA2257" t="n">
        <x:v>0</x:v>
      </x:c>
      <x:c r="AB2257"/>
      <x:c r="AC2257" t="n">
        <x:v>0</x:v>
      </x:c>
      <x:c r="AD2257" t="n">
        <x:v>-0.46158841089345515</x:v>
      </x:c>
      <x:c r="AE2257" t="n">
        <x:v>0</x:v>
      </x:c>
      <x:c r="AF2257" t="n">
        <x:v>-0.012859702110290527</x:v>
      </x:c>
      <x:c r="AG2257" t="n">
        <x:f>_xlfn.XLOOKUP($A2257,Games!$A$2:$A$18,Games!$B$2:$B$18,"Missing game",0)</x:f>
        <x:v>2025</x:v>
      </x:c>
      <x:c r="AH2257" t="str">
        <x:f>_xlfn.XLOOKUP($A2257,Games!$A$2:$A$18,Games!$C$2:$C$18,"Missing game",0)</x:f>
        <x:v>REG</x:v>
      </x:c>
      <x:c r="AI2257" t="n">
        <x:f>_xlfn.XLOOKUP($A2257,Games!$A$2:$A$18,Games!$D$2:$D$18,"Missing game",0)</x:f>
        <x:v>15</x:v>
      </x:c>
      <x:c r="AJ2257" s="1" t="n">
        <x:f>_xlfn.XLOOKUP($A2257,Games!$A$2:$A$18,Games!$E$2:$E$18,"Missing game",0)</x:f>
        <x:v>46005</x:v>
      </x:c>
      <x:c r="AK2257" t="str">
        <x:f>_xlfn.XLOOKUP($A2257,Games!$A$2:$A$18,Games!$F$2:$F$18,"Missing game",0)</x:f>
        <x:v>Sunday</x:v>
      </x:c>
      <x:c r="AL2257" t="str">
        <x:f>_xlfn.XLOOKUP($A2257,Games!$A$2:$A$18,Games!$G$2:$G$18,"Missing game",0)</x:f>
        <x:v>MIN</x:v>
      </x:c>
      <x:c r="AM2257" t="n">
        <x:f>_xlfn.XLOOKUP($A2257,Games!$A$2:$A$18,Games!$H$2:$H$18,"Missing game",0)</x:f>
        <x:v>34</x:v>
      </x:c>
      <x:c r="AN2257" t="str">
        <x:f>_xlfn.XLOOKUP($A2257,Games!$A$2:$A$18,Games!$I$2:$I$18,"Missing game",0)</x:f>
        <x:v>DAL</x:v>
      </x:c>
      <x:c r="AO2257" t="n">
        <x:f>_xlfn.XLOOKUP($A2257,Games!$A$2:$A$18,Games!$J$2:$J$18,"Missing game",0)</x:f>
        <x:v>26</x:v>
      </x:c>
      <x:c r="AP2257" t="n">
        <x:f>_xlfn.XLOOKUP($A2257,Games!$A$2:$A$18,Games!$K$2:$K$18,"Missing game",0)</x:f>
        <x:v>-8</x:v>
      </x:c>
      <x:c r="AQ2257" t="n">
        <x:f>_xlfn.XLOOKUP($A2257,Games!$A$2:$A$18,Games!$L$2:$L$18,"Missing game",0)</x:f>
        <x:v>60</x:v>
      </x:c>
      <x:c r="AR2257" t="n">
        <x:f>_xlfn.XLOOKUP($A2257,Games!$A$2:$A$18,Games!$M$2:$M$18,"Missing game",0)</x:f>
        <x:v>0</x:v>
      </x:c>
      <x:c r="AS2257" t="str">
        <x:f>_xlfn.XLOOKUP($A2257,Games!$A$2:$A$18,Games!$N$2:$N$18,"Missing game",0)</x:f>
        <x:v>closed</x:v>
      </x:c>
      <x:c r="AT2257" t="str">
        <x:f>_xlfn.XLOOKUP($A2257,Games!$A$2:$A$18,Games!$O$2:$O$18,"Missing game",0)</x:f>
        <x:v>matrixturf</x:v>
      </x:c>
      <x:c r="AU2257" t="str">
        <x:f>_xlfn.XLOOKUP($A2257,Games!$A$2:$A$18,Games!$P$2:$P$18,"Missing game",0)</x:f>
      </x:c>
      <x:c r="AV2257" t="str">
        <x:f>_xlfn.XLOOKUP($A2257,Games!$A$2:$A$18,Games!$Q$2:$Q$18,"Missing game",0)</x:f>
      </x:c>
      <x:c r="AW2257" t="str">
        <x:f>_xlfn.XLOOKUP($A2257,Games!$A$2:$A$18,Games!$R$2:$R$18,"Missing game",0)</x:f>
        <x:v>AT&amp;T Stadium</x:v>
      </x:c>
    </x:row>
    <x:row r="2258">
      <x:c r="A2258" t="str">
        <x:v>2025_15_MIN_DAL</x:v>
      </x:c>
      <x:c r="B2258" t="n">
        <x:v>2600</x:v>
      </x:c>
      <x:c r="C2258" t="n">
        <x:v>3</x:v>
      </x:c>
      <x:c r="D2258" t="str">
        <x:v>06:50</x:v>
      </x:c>
      <x:c r="E2258" t="n">
        <x:v>2</x:v>
      </x:c>
      <x:c r="F2258" t="n">
        <x:v>10</x:v>
      </x:c>
      <x:c r="G2258" t="str">
        <x:v>DAL</x:v>
      </x:c>
      <x:c r="H2258" t="str">
        <x:v>MIN</x:v>
      </x:c>
      <x:c r="I2258" t="str">
        <x:v>MIN</x:v>
      </x:c>
      <x:c r="J2258" t="n">
        <x:v>25</x:v>
      </x:c>
      <x:c r="K2258" t="str">
        <x:v>(6:50) (Shotgun) 9-K.Turpin right end pushed ob at MIN 23 for 2 yards (15-D.Turner).</x:v>
      </x:c>
      <x:c r="L2258" t="str">
        <x:v>run</x:v>
      </x:c>
      <x:c r="M2258" t="n">
        <x:v>2</x:v>
      </x:c>
      <x:c r="N2258" t="n">
        <x:v>1</x:v>
      </x:c>
      <x:c r="O2258" t="n">
        <x:v>0</x:v>
      </x:c>
      <x:c r="P2258"/>
      <x:c r="Q2258"/>
      <x:c r="R2258"/>
      <x:c r="S2258"/>
      <x:c r="T2258" t="str">
        <x:v>right</x:v>
      </x:c>
      <x:c r="U2258" t="str">
        <x:v>end</x:v>
      </x:c>
      <x:c r="V2258" t="n">
        <x:v>0</x:v>
      </x:c>
      <x:c r="W2258" t="n">
        <x:v>0</x:v>
      </x:c>
      <x:c r="X2258" t="n">
        <x:v>0</x:v>
      </x:c>
      <x:c r="Y2258" t="n">
        <x:v>0</x:v>
      </x:c>
      <x:c r="Z2258" t="n">
        <x:v>0</x:v>
      </x:c>
      <x:c r="AA2258" t="n">
        <x:v>0</x:v>
      </x:c>
      <x:c r="AB2258"/>
      <x:c r="AC2258" t="n">
        <x:v>0</x:v>
      </x:c>
      <x:c r="AD2258" t="n">
        <x:v>-0.42431849683634937</x:v>
      </x:c>
      <x:c r="AE2258" t="n">
        <x:v>0</x:v>
      </x:c>
      <x:c r="AF2258" t="n">
        <x:v>-0.009813308715820312</x:v>
      </x:c>
      <x:c r="AG2258" t="n">
        <x:f>_xlfn.XLOOKUP($A2258,Games!$A$2:$A$18,Games!$B$2:$B$18,"Missing game",0)</x:f>
        <x:v>2025</x:v>
      </x:c>
      <x:c r="AH2258" t="str">
        <x:f>_xlfn.XLOOKUP($A2258,Games!$A$2:$A$18,Games!$C$2:$C$18,"Missing game",0)</x:f>
        <x:v>REG</x:v>
      </x:c>
      <x:c r="AI2258" t="n">
        <x:f>_xlfn.XLOOKUP($A2258,Games!$A$2:$A$18,Games!$D$2:$D$18,"Missing game",0)</x:f>
        <x:v>15</x:v>
      </x:c>
      <x:c r="AJ2258" s="1" t="n">
        <x:f>_xlfn.XLOOKUP($A2258,Games!$A$2:$A$18,Games!$E$2:$E$18,"Missing game",0)</x:f>
        <x:v>46005</x:v>
      </x:c>
      <x:c r="AK2258" t="str">
        <x:f>_xlfn.XLOOKUP($A2258,Games!$A$2:$A$18,Games!$F$2:$F$18,"Missing game",0)</x:f>
        <x:v>Sunday</x:v>
      </x:c>
      <x:c r="AL2258" t="str">
        <x:f>_xlfn.XLOOKUP($A2258,Games!$A$2:$A$18,Games!$G$2:$G$18,"Missing game",0)</x:f>
        <x:v>MIN</x:v>
      </x:c>
      <x:c r="AM2258" t="n">
        <x:f>_xlfn.XLOOKUP($A2258,Games!$A$2:$A$18,Games!$H$2:$H$18,"Missing game",0)</x:f>
        <x:v>34</x:v>
      </x:c>
      <x:c r="AN2258" t="str">
        <x:f>_xlfn.XLOOKUP($A2258,Games!$A$2:$A$18,Games!$I$2:$I$18,"Missing game",0)</x:f>
        <x:v>DAL</x:v>
      </x:c>
      <x:c r="AO2258" t="n">
        <x:f>_xlfn.XLOOKUP($A2258,Games!$A$2:$A$18,Games!$J$2:$J$18,"Missing game",0)</x:f>
        <x:v>26</x:v>
      </x:c>
      <x:c r="AP2258" t="n">
        <x:f>_xlfn.XLOOKUP($A2258,Games!$A$2:$A$18,Games!$K$2:$K$18,"Missing game",0)</x:f>
        <x:v>-8</x:v>
      </x:c>
      <x:c r="AQ2258" t="n">
        <x:f>_xlfn.XLOOKUP($A2258,Games!$A$2:$A$18,Games!$L$2:$L$18,"Missing game",0)</x:f>
        <x:v>60</x:v>
      </x:c>
      <x:c r="AR2258" t="n">
        <x:f>_xlfn.XLOOKUP($A2258,Games!$A$2:$A$18,Games!$M$2:$M$18,"Missing game",0)</x:f>
        <x:v>0</x:v>
      </x:c>
      <x:c r="AS2258" t="str">
        <x:f>_xlfn.XLOOKUP($A2258,Games!$A$2:$A$18,Games!$N$2:$N$18,"Missing game",0)</x:f>
        <x:v>closed</x:v>
      </x:c>
      <x:c r="AT2258" t="str">
        <x:f>_xlfn.XLOOKUP($A2258,Games!$A$2:$A$18,Games!$O$2:$O$18,"Missing game",0)</x:f>
        <x:v>matrixturf</x:v>
      </x:c>
      <x:c r="AU2258" t="str">
        <x:f>_xlfn.XLOOKUP($A2258,Games!$A$2:$A$18,Games!$P$2:$P$18,"Missing game",0)</x:f>
      </x:c>
      <x:c r="AV2258" t="str">
        <x:f>_xlfn.XLOOKUP($A2258,Games!$A$2:$A$18,Games!$Q$2:$Q$18,"Missing game",0)</x:f>
      </x:c>
      <x:c r="AW2258" t="str">
        <x:f>_xlfn.XLOOKUP($A2258,Games!$A$2:$A$18,Games!$R$2:$R$18,"Missing game",0)</x:f>
        <x:v>AT&amp;T Stadium</x:v>
      </x:c>
    </x:row>
    <x:row r="2259">
      <x:c r="A2259" t="str">
        <x:v>2025_15_MIN_DAL</x:v>
      </x:c>
      <x:c r="B2259" t="n">
        <x:v>2627</x:v>
      </x:c>
      <x:c r="C2259" t="n">
        <x:v>3</x:v>
      </x:c>
      <x:c r="D2259" t="str">
        <x:v>06:08</x:v>
      </x:c>
      <x:c r="E2259" t="n">
        <x:v>3</x:v>
      </x:c>
      <x:c r="F2259" t="n">
        <x:v>8</x:v>
      </x:c>
      <x:c r="G2259" t="str">
        <x:v>DAL</x:v>
      </x:c>
      <x:c r="H2259" t="str">
        <x:v>MIN</x:v>
      </x:c>
      <x:c r="I2259" t="str">
        <x:v>MIN</x:v>
      </x:c>
      <x:c r="J2259" t="n">
        <x:v>23</x:v>
      </x:c>
      <x:c r="K2259" t="str">
        <x:v>(6:08) (Shotgun) PENALTY on DAL-71-N.Thomas, False Start, 5 yards, enforced at MIN 23 - No Play.</x:v>
      </x:c>
      <x:c r="L2259" t="str">
        <x:v>no_play</x:v>
      </x:c>
      <x:c r="M2259" t="n">
        <x:v>0</x:v>
      </x:c>
      <x:c r="N2259" t="n">
        <x:v>1</x:v>
      </x:c>
      <x:c r="O2259" t="n">
        <x:v>0</x:v>
      </x:c>
      <x:c r="P2259"/>
      <x:c r="Q2259"/>
      <x:c r="R2259"/>
      <x:c r="S2259"/>
      <x:c r="T2259"/>
      <x:c r="U2259"/>
      <x:c r="V2259" t="n">
        <x:v>0</x:v>
      </x:c>
      <x:c r="W2259" t="n">
        <x:v>0</x:v>
      </x:c>
      <x:c r="X2259" t="n">
        <x:v>0</x:v>
      </x:c>
      <x:c r="Y2259" t="n">
        <x:v>0</x:v>
      </x:c>
      <x:c r="Z2259" t="n">
        <x:v>0</x:v>
      </x:c>
      <x:c r="AA2259" t="n">
        <x:v>1</x:v>
      </x:c>
      <x:c r="AB2259" t="n">
        <x:v>5</x:v>
      </x:c>
      <x:c r="AC2259" t="n">
        <x:v>0</x:v>
      </x:c>
      <x:c r="AD2259" t="n">
        <x:v>-0.9001219767378643</x:v>
      </x:c>
      <x:c r="AE2259" t="n">
        <x:v>0</x:v>
      </x:c>
      <x:c r="AF2259" t="n">
        <x:v>-0.025177001953125</x:v>
      </x:c>
      <x:c r="AG2259" t="n">
        <x:f>_xlfn.XLOOKUP($A2259,Games!$A$2:$A$18,Games!$B$2:$B$18,"Missing game",0)</x:f>
        <x:v>2025</x:v>
      </x:c>
      <x:c r="AH2259" t="str">
        <x:f>_xlfn.XLOOKUP($A2259,Games!$A$2:$A$18,Games!$C$2:$C$18,"Missing game",0)</x:f>
        <x:v>REG</x:v>
      </x:c>
      <x:c r="AI2259" t="n">
        <x:f>_xlfn.XLOOKUP($A2259,Games!$A$2:$A$18,Games!$D$2:$D$18,"Missing game",0)</x:f>
        <x:v>15</x:v>
      </x:c>
      <x:c r="AJ2259" s="1" t="n">
        <x:f>_xlfn.XLOOKUP($A2259,Games!$A$2:$A$18,Games!$E$2:$E$18,"Missing game",0)</x:f>
        <x:v>46005</x:v>
      </x:c>
      <x:c r="AK2259" t="str">
        <x:f>_xlfn.XLOOKUP($A2259,Games!$A$2:$A$18,Games!$F$2:$F$18,"Missing game",0)</x:f>
        <x:v>Sunday</x:v>
      </x:c>
      <x:c r="AL2259" t="str">
        <x:f>_xlfn.XLOOKUP($A2259,Games!$A$2:$A$18,Games!$G$2:$G$18,"Missing game",0)</x:f>
        <x:v>MIN</x:v>
      </x:c>
      <x:c r="AM2259" t="n">
        <x:f>_xlfn.XLOOKUP($A2259,Games!$A$2:$A$18,Games!$H$2:$H$18,"Missing game",0)</x:f>
        <x:v>34</x:v>
      </x:c>
      <x:c r="AN2259" t="str">
        <x:f>_xlfn.XLOOKUP($A2259,Games!$A$2:$A$18,Games!$I$2:$I$18,"Missing game",0)</x:f>
        <x:v>DAL</x:v>
      </x:c>
      <x:c r="AO2259" t="n">
        <x:f>_xlfn.XLOOKUP($A2259,Games!$A$2:$A$18,Games!$J$2:$J$18,"Missing game",0)</x:f>
        <x:v>26</x:v>
      </x:c>
      <x:c r="AP2259" t="n">
        <x:f>_xlfn.XLOOKUP($A2259,Games!$A$2:$A$18,Games!$K$2:$K$18,"Missing game",0)</x:f>
        <x:v>-8</x:v>
      </x:c>
      <x:c r="AQ2259" t="n">
        <x:f>_xlfn.XLOOKUP($A2259,Games!$A$2:$A$18,Games!$L$2:$L$18,"Missing game",0)</x:f>
        <x:v>60</x:v>
      </x:c>
      <x:c r="AR2259" t="n">
        <x:f>_xlfn.XLOOKUP($A2259,Games!$A$2:$A$18,Games!$M$2:$M$18,"Missing game",0)</x:f>
        <x:v>0</x:v>
      </x:c>
      <x:c r="AS2259" t="str">
        <x:f>_xlfn.XLOOKUP($A2259,Games!$A$2:$A$18,Games!$N$2:$N$18,"Missing game",0)</x:f>
        <x:v>closed</x:v>
      </x:c>
      <x:c r="AT2259" t="str">
        <x:f>_xlfn.XLOOKUP($A2259,Games!$A$2:$A$18,Games!$O$2:$O$18,"Missing game",0)</x:f>
        <x:v>matrixturf</x:v>
      </x:c>
      <x:c r="AU2259" t="str">
        <x:f>_xlfn.XLOOKUP($A2259,Games!$A$2:$A$18,Games!$P$2:$P$18,"Missing game",0)</x:f>
      </x:c>
      <x:c r="AV2259" t="str">
        <x:f>_xlfn.XLOOKUP($A2259,Games!$A$2:$A$18,Games!$Q$2:$Q$18,"Missing game",0)</x:f>
      </x:c>
      <x:c r="AW2259" t="str">
        <x:f>_xlfn.XLOOKUP($A2259,Games!$A$2:$A$18,Games!$R$2:$R$18,"Missing game",0)</x:f>
        <x:v>AT&amp;T Stadium</x:v>
      </x:c>
    </x:row>
    <x:row r="2260">
      <x:c r="A2260" t="str">
        <x:v>2025_15_MIN_DAL</x:v>
      </x:c>
      <x:c r="B2260" t="n">
        <x:v>2651</x:v>
      </x:c>
      <x:c r="C2260" t="n">
        <x:v>3</x:v>
      </x:c>
      <x:c r="D2260" t="str">
        <x:v>05:52</x:v>
      </x:c>
      <x:c r="E2260" t="n">
        <x:v>3</x:v>
      </x:c>
      <x:c r="F2260" t="n">
        <x:v>13</x:v>
      </x:c>
      <x:c r="G2260" t="str">
        <x:v>DAL</x:v>
      </x:c>
      <x:c r="H2260" t="str">
        <x:v>MIN</x:v>
      </x:c>
      <x:c r="I2260" t="str">
        <x:v>MIN</x:v>
      </x:c>
      <x:c r="J2260" t="n">
        <x:v>28</x:v>
      </x:c>
      <x:c r="K2260" t="str">
        <x:v>(5:52) (Shotgun) 4-D.Prescott pass short middle to 43-M.Davis to MIN 18 for 10 yards (15-D.Turner; 51-B.Cashman).</x:v>
      </x:c>
      <x:c r="L2260" t="str">
        <x:v>pass</x:v>
      </x:c>
      <x:c r="M2260" t="n">
        <x:v>10</x:v>
      </x:c>
      <x:c r="N2260" t="n">
        <x:v>1</x:v>
      </x:c>
      <x:c r="O2260" t="n">
        <x:v>0</x:v>
      </x:c>
      <x:c r="P2260" t="str">
        <x:v>short</x:v>
      </x:c>
      <x:c r="Q2260" t="str">
        <x:v>middle</x:v>
      </x:c>
      <x:c r="R2260" t="n">
        <x:v>4</x:v>
      </x:c>
      <x:c r="S2260" t="n">
        <x:v>6</x:v>
      </x:c>
      <x:c r="T2260"/>
      <x:c r="U2260"/>
      <x:c r="V2260" t="n">
        <x:v>1</x:v>
      </x:c>
      <x:c r="W2260" t="n">
        <x:v>0</x:v>
      </x:c>
      <x:c r="X2260" t="n">
        <x:v>0</x:v>
      </x:c>
      <x:c r="Y2260" t="n">
        <x:v>0</x:v>
      </x:c>
      <x:c r="Z2260" t="n">
        <x:v>0</x:v>
      </x:c>
      <x:c r="AA2260" t="n">
        <x:v>0</x:v>
      </x:c>
      <x:c r="AB2260"/>
      <x:c r="AC2260" t="n">
        <x:v>0</x:v>
      </x:c>
      <x:c r="AD2260" t="n">
        <x:v>-0.0885984628694132</x:v>
      </x:c>
      <x:c r="AE2260" t="n">
        <x:v>0</x:v>
      </x:c>
      <x:c r="AF2260" t="n">
        <x:v>0.04192996025085449</x:v>
      </x:c>
      <x:c r="AG2260" t="n">
        <x:f>_xlfn.XLOOKUP($A2260,Games!$A$2:$A$18,Games!$B$2:$B$18,"Missing game",0)</x:f>
        <x:v>2025</x:v>
      </x:c>
      <x:c r="AH2260" t="str">
        <x:f>_xlfn.XLOOKUP($A2260,Games!$A$2:$A$18,Games!$C$2:$C$18,"Missing game",0)</x:f>
        <x:v>REG</x:v>
      </x:c>
      <x:c r="AI2260" t="n">
        <x:f>_xlfn.XLOOKUP($A2260,Games!$A$2:$A$18,Games!$D$2:$D$18,"Missing game",0)</x:f>
        <x:v>15</x:v>
      </x:c>
      <x:c r="AJ2260" s="1" t="n">
        <x:f>_xlfn.XLOOKUP($A2260,Games!$A$2:$A$18,Games!$E$2:$E$18,"Missing game",0)</x:f>
        <x:v>46005</x:v>
      </x:c>
      <x:c r="AK2260" t="str">
        <x:f>_xlfn.XLOOKUP($A2260,Games!$A$2:$A$18,Games!$F$2:$F$18,"Missing game",0)</x:f>
        <x:v>Sunday</x:v>
      </x:c>
      <x:c r="AL2260" t="str">
        <x:f>_xlfn.XLOOKUP($A2260,Games!$A$2:$A$18,Games!$G$2:$G$18,"Missing game",0)</x:f>
        <x:v>MIN</x:v>
      </x:c>
      <x:c r="AM2260" t="n">
        <x:f>_xlfn.XLOOKUP($A2260,Games!$A$2:$A$18,Games!$H$2:$H$18,"Missing game",0)</x:f>
        <x:v>34</x:v>
      </x:c>
      <x:c r="AN2260" t="str">
        <x:f>_xlfn.XLOOKUP($A2260,Games!$A$2:$A$18,Games!$I$2:$I$18,"Missing game",0)</x:f>
        <x:v>DAL</x:v>
      </x:c>
      <x:c r="AO2260" t="n">
        <x:f>_xlfn.XLOOKUP($A2260,Games!$A$2:$A$18,Games!$J$2:$J$18,"Missing game",0)</x:f>
        <x:v>26</x:v>
      </x:c>
      <x:c r="AP2260" t="n">
        <x:f>_xlfn.XLOOKUP($A2260,Games!$A$2:$A$18,Games!$K$2:$K$18,"Missing game",0)</x:f>
        <x:v>-8</x:v>
      </x:c>
      <x:c r="AQ2260" t="n">
        <x:f>_xlfn.XLOOKUP($A2260,Games!$A$2:$A$18,Games!$L$2:$L$18,"Missing game",0)</x:f>
        <x:v>60</x:v>
      </x:c>
      <x:c r="AR2260" t="n">
        <x:f>_xlfn.XLOOKUP($A2260,Games!$A$2:$A$18,Games!$M$2:$M$18,"Missing game",0)</x:f>
        <x:v>0</x:v>
      </x:c>
      <x:c r="AS2260" t="str">
        <x:f>_xlfn.XLOOKUP($A2260,Games!$A$2:$A$18,Games!$N$2:$N$18,"Missing game",0)</x:f>
        <x:v>closed</x:v>
      </x:c>
      <x:c r="AT2260" t="str">
        <x:f>_xlfn.XLOOKUP($A2260,Games!$A$2:$A$18,Games!$O$2:$O$18,"Missing game",0)</x:f>
        <x:v>matrixturf</x:v>
      </x:c>
      <x:c r="AU2260" t="str">
        <x:f>_xlfn.XLOOKUP($A2260,Games!$A$2:$A$18,Games!$P$2:$P$18,"Missing game",0)</x:f>
      </x:c>
      <x:c r="AV2260" t="str">
        <x:f>_xlfn.XLOOKUP($A2260,Games!$A$2:$A$18,Games!$Q$2:$Q$18,"Missing game",0)</x:f>
      </x:c>
      <x:c r="AW2260" t="str">
        <x:f>_xlfn.XLOOKUP($A2260,Games!$A$2:$A$18,Games!$R$2:$R$18,"Missing game",0)</x:f>
        <x:v>AT&amp;T Stadium</x:v>
      </x:c>
    </x:row>
    <x:row r="2261">
      <x:c r="A2261" t="str">
        <x:v>2025_15_MIN_DAL</x:v>
      </x:c>
      <x:c r="B2261" t="n">
        <x:v>2676</x:v>
      </x:c>
      <x:c r="C2261" t="n">
        <x:v>3</x:v>
      </x:c>
      <x:c r="D2261" t="str">
        <x:v>05:04</x:v>
      </x:c>
      <x:c r="E2261" t="n">
        <x:v>4</x:v>
      </x:c>
      <x:c r="F2261" t="n">
        <x:v>3</x:v>
      </x:c>
      <x:c r="G2261" t="str">
        <x:v>DAL</x:v>
      </x:c>
      <x:c r="H2261" t="str">
        <x:v>MIN</x:v>
      </x:c>
      <x:c r="I2261" t="str">
        <x:v>MIN</x:v>
      </x:c>
      <x:c r="J2261" t="n">
        <x:v>18</x:v>
      </x:c>
      <x:c r="K2261" t="str">
        <x:v>(5:04) (No Huddle, Shotgun) PENALTY on DAL, Delay of Game, 5 yards, enforced at MIN 18 - No Play.</x:v>
      </x:c>
      <x:c r="L2261" t="str">
        <x:v>no_play</x:v>
      </x:c>
      <x:c r="M2261" t="n">
        <x:v>0</x:v>
      </x:c>
      <x:c r="N2261" t="n">
        <x:v>1</x:v>
      </x:c>
      <x:c r="O2261" t="n">
        <x:v>1</x:v>
      </x:c>
      <x:c r="P2261"/>
      <x:c r="Q2261"/>
      <x:c r="R2261"/>
      <x:c r="S2261"/>
      <x:c r="T2261"/>
      <x:c r="U2261"/>
      <x:c r="V2261" t="n">
        <x:v>0</x:v>
      </x:c>
      <x:c r="W2261" t="n">
        <x:v>0</x:v>
      </x:c>
      <x:c r="X2261" t="n">
        <x:v>0</x:v>
      </x:c>
      <x:c r="Y2261" t="n">
        <x:v>0</x:v>
      </x:c>
      <x:c r="Z2261" t="n">
        <x:v>0</x:v>
      </x:c>
      <x:c r="AA2261" t="n">
        <x:v>1</x:v>
      </x:c>
      <x:c r="AB2261" t="n">
        <x:v>5</x:v>
      </x:c>
      <x:c r="AC2261" t="n">
        <x:v>0</x:v>
      </x:c>
      <x:c r="AD2261" t="n">
        <x:v>-0.5226121870266218</x:v>
      </x:c>
      <x:c r="AE2261" t="n">
        <x:v>0</x:v>
      </x:c>
      <x:c r="AF2261" t="n">
        <x:v>-0.030338943004608154</x:v>
      </x:c>
      <x:c r="AG2261" t="n">
        <x:f>_xlfn.XLOOKUP($A2261,Games!$A$2:$A$18,Games!$B$2:$B$18,"Missing game",0)</x:f>
        <x:v>2025</x:v>
      </x:c>
      <x:c r="AH2261" t="str">
        <x:f>_xlfn.XLOOKUP($A2261,Games!$A$2:$A$18,Games!$C$2:$C$18,"Missing game",0)</x:f>
        <x:v>REG</x:v>
      </x:c>
      <x:c r="AI2261" t="n">
        <x:f>_xlfn.XLOOKUP($A2261,Games!$A$2:$A$18,Games!$D$2:$D$18,"Missing game",0)</x:f>
        <x:v>15</x:v>
      </x:c>
      <x:c r="AJ2261" s="1" t="n">
        <x:f>_xlfn.XLOOKUP($A2261,Games!$A$2:$A$18,Games!$E$2:$E$18,"Missing game",0)</x:f>
        <x:v>46005</x:v>
      </x:c>
      <x:c r="AK2261" t="str">
        <x:f>_xlfn.XLOOKUP($A2261,Games!$A$2:$A$18,Games!$F$2:$F$18,"Missing game",0)</x:f>
        <x:v>Sunday</x:v>
      </x:c>
      <x:c r="AL2261" t="str">
        <x:f>_xlfn.XLOOKUP($A2261,Games!$A$2:$A$18,Games!$G$2:$G$18,"Missing game",0)</x:f>
        <x:v>MIN</x:v>
      </x:c>
      <x:c r="AM2261" t="n">
        <x:f>_xlfn.XLOOKUP($A2261,Games!$A$2:$A$18,Games!$H$2:$H$18,"Missing game",0)</x:f>
        <x:v>34</x:v>
      </x:c>
      <x:c r="AN2261" t="str">
        <x:f>_xlfn.XLOOKUP($A2261,Games!$A$2:$A$18,Games!$I$2:$I$18,"Missing game",0)</x:f>
        <x:v>DAL</x:v>
      </x:c>
      <x:c r="AO2261" t="n">
        <x:f>_xlfn.XLOOKUP($A2261,Games!$A$2:$A$18,Games!$J$2:$J$18,"Missing game",0)</x:f>
        <x:v>26</x:v>
      </x:c>
      <x:c r="AP2261" t="n">
        <x:f>_xlfn.XLOOKUP($A2261,Games!$A$2:$A$18,Games!$K$2:$K$18,"Missing game",0)</x:f>
        <x:v>-8</x:v>
      </x:c>
      <x:c r="AQ2261" t="n">
        <x:f>_xlfn.XLOOKUP($A2261,Games!$A$2:$A$18,Games!$L$2:$L$18,"Missing game",0)</x:f>
        <x:v>60</x:v>
      </x:c>
      <x:c r="AR2261" t="n">
        <x:f>_xlfn.XLOOKUP($A2261,Games!$A$2:$A$18,Games!$M$2:$M$18,"Missing game",0)</x:f>
        <x:v>0</x:v>
      </x:c>
      <x:c r="AS2261" t="str">
        <x:f>_xlfn.XLOOKUP($A2261,Games!$A$2:$A$18,Games!$N$2:$N$18,"Missing game",0)</x:f>
        <x:v>closed</x:v>
      </x:c>
      <x:c r="AT2261" t="str">
        <x:f>_xlfn.XLOOKUP($A2261,Games!$A$2:$A$18,Games!$O$2:$O$18,"Missing game",0)</x:f>
        <x:v>matrixturf</x:v>
      </x:c>
      <x:c r="AU2261" t="str">
        <x:f>_xlfn.XLOOKUP($A2261,Games!$A$2:$A$18,Games!$P$2:$P$18,"Missing game",0)</x:f>
      </x:c>
      <x:c r="AV2261" t="str">
        <x:f>_xlfn.XLOOKUP($A2261,Games!$A$2:$A$18,Games!$Q$2:$Q$18,"Missing game",0)</x:f>
      </x:c>
      <x:c r="AW2261" t="str">
        <x:f>_xlfn.XLOOKUP($A2261,Games!$A$2:$A$18,Games!$R$2:$R$18,"Missing game",0)</x:f>
        <x:v>AT&amp;T Stadium</x:v>
      </x:c>
    </x:row>
    <x:row r="2262">
      <x:c r="A2262" t="str">
        <x:v>2025_15_MIN_DAL</x:v>
      </x:c>
      <x:c r="B2262" t="n">
        <x:v>2700</x:v>
      </x:c>
      <x:c r="C2262" t="n">
        <x:v>3</x:v>
      </x:c>
      <x:c r="D2262" t="str">
        <x:v>04:54</x:v>
      </x:c>
      <x:c r="E2262" t="n">
        <x:v>4</x:v>
      </x:c>
      <x:c r="F2262" t="n">
        <x:v>8</x:v>
      </x:c>
      <x:c r="G2262" t="str">
        <x:v>DAL</x:v>
      </x:c>
      <x:c r="H2262" t="str">
        <x:v>MIN</x:v>
      </x:c>
      <x:c r="I2262" t="str">
        <x:v>MIN</x:v>
      </x:c>
      <x:c r="J2262" t="n">
        <x:v>23</x:v>
      </x:c>
      <x:c r="K2262" t="str">
        <x:v>(4:54) 17-B.Aubrey 41 yard field goal is GOOD, Center-44-T.Sieg, Holder-5-B.Anger.</x:v>
      </x:c>
      <x:c r="L2262" t="str">
        <x:v>field_goal</x:v>
      </x:c>
      <x:c r="M2262" t="n">
        <x:v>0</x:v>
      </x:c>
      <x:c r="N2262" t="n">
        <x:v>0</x:v>
      </x:c>
      <x:c r="O2262" t="n">
        <x:v>0</x:v>
      </x:c>
      <x:c r="P2262"/>
      <x:c r="Q2262"/>
      <x:c r="R2262"/>
      <x:c r="S2262"/>
      <x:c r="T2262"/>
      <x:c r="U2262"/>
      <x:c r="V2262" t="n">
        <x:v>0</x:v>
      </x:c>
      <x:c r="W2262" t="n">
        <x:v>0</x:v>
      </x:c>
      <x:c r="X2262" t="n">
        <x:v>0</x:v>
      </x:c>
      <x:c r="Y2262" t="n">
        <x:v>0</x:v>
      </x:c>
      <x:c r="Z2262" t="n">
        <x:v>0</x:v>
      </x:c>
      <x:c r="AA2262" t="n">
        <x:v>0</x:v>
      </x:c>
      <x:c r="AB2262"/>
      <x:c r="AC2262" t="n">
        <x:v>0</x:v>
      </x:c>
      <x:c r="AD2262" t="n">
        <x:v>0.7216380716465358</x:v>
      </x:c>
      <x:c r="AE2262" t="n">
        <x:v>1</x:v>
      </x:c>
      <x:c r="AF2262" t="n">
        <x:v>-0.010150045156478882</x:v>
      </x:c>
      <x:c r="AG2262" t="n">
        <x:f>_xlfn.XLOOKUP($A2262,Games!$A$2:$A$18,Games!$B$2:$B$18,"Missing game",0)</x:f>
        <x:v>2025</x:v>
      </x:c>
      <x:c r="AH2262" t="str">
        <x:f>_xlfn.XLOOKUP($A2262,Games!$A$2:$A$18,Games!$C$2:$C$18,"Missing game",0)</x:f>
        <x:v>REG</x:v>
      </x:c>
      <x:c r="AI2262" t="n">
        <x:f>_xlfn.XLOOKUP($A2262,Games!$A$2:$A$18,Games!$D$2:$D$18,"Missing game",0)</x:f>
        <x:v>15</x:v>
      </x:c>
      <x:c r="AJ2262" s="1" t="n">
        <x:f>_xlfn.XLOOKUP($A2262,Games!$A$2:$A$18,Games!$E$2:$E$18,"Missing game",0)</x:f>
        <x:v>46005</x:v>
      </x:c>
      <x:c r="AK2262" t="str">
        <x:f>_xlfn.XLOOKUP($A2262,Games!$A$2:$A$18,Games!$F$2:$F$18,"Missing game",0)</x:f>
        <x:v>Sunday</x:v>
      </x:c>
      <x:c r="AL2262" t="str">
        <x:f>_xlfn.XLOOKUP($A2262,Games!$A$2:$A$18,Games!$G$2:$G$18,"Missing game",0)</x:f>
        <x:v>MIN</x:v>
      </x:c>
      <x:c r="AM2262" t="n">
        <x:f>_xlfn.XLOOKUP($A2262,Games!$A$2:$A$18,Games!$H$2:$H$18,"Missing game",0)</x:f>
        <x:v>34</x:v>
      </x:c>
      <x:c r="AN2262" t="str">
        <x:f>_xlfn.XLOOKUP($A2262,Games!$A$2:$A$18,Games!$I$2:$I$18,"Missing game",0)</x:f>
        <x:v>DAL</x:v>
      </x:c>
      <x:c r="AO2262" t="n">
        <x:f>_xlfn.XLOOKUP($A2262,Games!$A$2:$A$18,Games!$J$2:$J$18,"Missing game",0)</x:f>
        <x:v>26</x:v>
      </x:c>
      <x:c r="AP2262" t="n">
        <x:f>_xlfn.XLOOKUP($A2262,Games!$A$2:$A$18,Games!$K$2:$K$18,"Missing game",0)</x:f>
        <x:v>-8</x:v>
      </x:c>
      <x:c r="AQ2262" t="n">
        <x:f>_xlfn.XLOOKUP($A2262,Games!$A$2:$A$18,Games!$L$2:$L$18,"Missing game",0)</x:f>
        <x:v>60</x:v>
      </x:c>
      <x:c r="AR2262" t="n">
        <x:f>_xlfn.XLOOKUP($A2262,Games!$A$2:$A$18,Games!$M$2:$M$18,"Missing game",0)</x:f>
        <x:v>0</x:v>
      </x:c>
      <x:c r="AS2262" t="str">
        <x:f>_xlfn.XLOOKUP($A2262,Games!$A$2:$A$18,Games!$N$2:$N$18,"Missing game",0)</x:f>
        <x:v>closed</x:v>
      </x:c>
      <x:c r="AT2262" t="str">
        <x:f>_xlfn.XLOOKUP($A2262,Games!$A$2:$A$18,Games!$O$2:$O$18,"Missing game",0)</x:f>
        <x:v>matrixturf</x:v>
      </x:c>
      <x:c r="AU2262" t="str">
        <x:f>_xlfn.XLOOKUP($A2262,Games!$A$2:$A$18,Games!$P$2:$P$18,"Missing game",0)</x:f>
      </x:c>
      <x:c r="AV2262" t="str">
        <x:f>_xlfn.XLOOKUP($A2262,Games!$A$2:$A$18,Games!$Q$2:$Q$18,"Missing game",0)</x:f>
      </x:c>
      <x:c r="AW2262" t="str">
        <x:f>_xlfn.XLOOKUP($A2262,Games!$A$2:$A$18,Games!$R$2:$R$18,"Missing game",0)</x:f>
        <x:v>AT&amp;T Stadium</x:v>
      </x:c>
    </x:row>
    <x:row r="2263">
      <x:c r="A2263" t="str">
        <x:v>2025_15_MIN_DAL</x:v>
      </x:c>
      <x:c r="B2263" t="n">
        <x:v>2720</x:v>
      </x:c>
      <x:c r="C2263" t="n">
        <x:v>3</x:v>
      </x:c>
      <x:c r="D2263" t="str">
        <x:v>04:50</x:v>
      </x:c>
      <x:c r="E2263"/>
      <x:c r="F2263" t="n">
        <x:v>0</x:v>
      </x:c>
      <x:c r="G2263" t="str">
        <x:v>MIN</x:v>
      </x:c>
      <x:c r="H2263" t="str">
        <x:v>DAL</x:v>
      </x:c>
      <x:c r="I2263" t="str">
        <x:v>DAL</x:v>
      </x:c>
      <x:c r="J2263" t="n">
        <x:v>35</x:v>
      </x:c>
      <x:c r="K2263" t="str">
        <x:v>17-B.Aubrey kicks 64 yards from DAL 35 to MIN 1. 4-M.Price pushed ob at MIN 27 for 26 yards (89-B.Spann-Ford).</x:v>
      </x:c>
      <x:c r="L2263" t="str">
        <x:v>kickoff</x:v>
      </x:c>
      <x:c r="M2263" t="n">
        <x:v>0</x:v>
      </x:c>
      <x:c r="N2263" t="n">
        <x:v>0</x:v>
      </x:c>
      <x:c r="O2263" t="n">
        <x:v>0</x:v>
      </x:c>
      <x:c r="P2263"/>
      <x:c r="Q2263"/>
      <x:c r="R2263"/>
      <x:c r="S2263"/>
      <x:c r="T2263"/>
      <x:c r="U2263"/>
      <x:c r="V2263" t="n">
        <x:v>0</x:v>
      </x:c>
      <x:c r="W2263" t="n">
        <x:v>0</x:v>
      </x:c>
      <x:c r="X2263" t="n">
        <x:v>0</x:v>
      </x:c>
      <x:c r="Y2263" t="n">
        <x:v>0</x:v>
      </x:c>
      <x:c r="Z2263" t="n">
        <x:v>0</x:v>
      </x:c>
      <x:c r="AA2263" t="n">
        <x:v>0</x:v>
      </x:c>
      <x:c r="AB2263"/>
      <x:c r="AC2263" t="n">
        <x:v>0</x:v>
      </x:c>
      <x:c r="AD2263" t="n">
        <x:v>0.09066091431304812</x:v>
      </x:c>
      <x:c r="AE2263" t="n">
        <x:v>1</x:v>
      </x:c>
      <x:c r="AF2263" t="n">
        <x:v>0</x:v>
      </x:c>
      <x:c r="AG2263" t="n">
        <x:f>_xlfn.XLOOKUP($A2263,Games!$A$2:$A$18,Games!$B$2:$B$18,"Missing game",0)</x:f>
        <x:v>2025</x:v>
      </x:c>
      <x:c r="AH2263" t="str">
        <x:f>_xlfn.XLOOKUP($A2263,Games!$A$2:$A$18,Games!$C$2:$C$18,"Missing game",0)</x:f>
        <x:v>REG</x:v>
      </x:c>
      <x:c r="AI2263" t="n">
        <x:f>_xlfn.XLOOKUP($A2263,Games!$A$2:$A$18,Games!$D$2:$D$18,"Missing game",0)</x:f>
        <x:v>15</x:v>
      </x:c>
      <x:c r="AJ2263" s="1" t="n">
        <x:f>_xlfn.XLOOKUP($A2263,Games!$A$2:$A$18,Games!$E$2:$E$18,"Missing game",0)</x:f>
        <x:v>46005</x:v>
      </x:c>
      <x:c r="AK2263" t="str">
        <x:f>_xlfn.XLOOKUP($A2263,Games!$A$2:$A$18,Games!$F$2:$F$18,"Missing game",0)</x:f>
        <x:v>Sunday</x:v>
      </x:c>
      <x:c r="AL2263" t="str">
        <x:f>_xlfn.XLOOKUP($A2263,Games!$A$2:$A$18,Games!$G$2:$G$18,"Missing game",0)</x:f>
        <x:v>MIN</x:v>
      </x:c>
      <x:c r="AM2263" t="n">
        <x:f>_xlfn.XLOOKUP($A2263,Games!$A$2:$A$18,Games!$H$2:$H$18,"Missing game",0)</x:f>
        <x:v>34</x:v>
      </x:c>
      <x:c r="AN2263" t="str">
        <x:f>_xlfn.XLOOKUP($A2263,Games!$A$2:$A$18,Games!$I$2:$I$18,"Missing game",0)</x:f>
        <x:v>DAL</x:v>
      </x:c>
      <x:c r="AO2263" t="n">
        <x:f>_xlfn.XLOOKUP($A2263,Games!$A$2:$A$18,Games!$J$2:$J$18,"Missing game",0)</x:f>
        <x:v>26</x:v>
      </x:c>
      <x:c r="AP2263" t="n">
        <x:f>_xlfn.XLOOKUP($A2263,Games!$A$2:$A$18,Games!$K$2:$K$18,"Missing game",0)</x:f>
        <x:v>-8</x:v>
      </x:c>
      <x:c r="AQ2263" t="n">
        <x:f>_xlfn.XLOOKUP($A2263,Games!$A$2:$A$18,Games!$L$2:$L$18,"Missing game",0)</x:f>
        <x:v>60</x:v>
      </x:c>
      <x:c r="AR2263" t="n">
        <x:f>_xlfn.XLOOKUP($A2263,Games!$A$2:$A$18,Games!$M$2:$M$18,"Missing game",0)</x:f>
        <x:v>0</x:v>
      </x:c>
      <x:c r="AS2263" t="str">
        <x:f>_xlfn.XLOOKUP($A2263,Games!$A$2:$A$18,Games!$N$2:$N$18,"Missing game",0)</x:f>
        <x:v>closed</x:v>
      </x:c>
      <x:c r="AT2263" t="str">
        <x:f>_xlfn.XLOOKUP($A2263,Games!$A$2:$A$18,Games!$O$2:$O$18,"Missing game",0)</x:f>
        <x:v>matrixturf</x:v>
      </x:c>
      <x:c r="AU2263" t="str">
        <x:f>_xlfn.XLOOKUP($A2263,Games!$A$2:$A$18,Games!$P$2:$P$18,"Missing game",0)</x:f>
      </x:c>
      <x:c r="AV2263" t="str">
        <x:f>_xlfn.XLOOKUP($A2263,Games!$A$2:$A$18,Games!$Q$2:$Q$18,"Missing game",0)</x:f>
      </x:c>
      <x:c r="AW2263" t="str">
        <x:f>_xlfn.XLOOKUP($A2263,Games!$A$2:$A$18,Games!$R$2:$R$18,"Missing game",0)</x:f>
        <x:v>AT&amp;T Stadium</x:v>
      </x:c>
    </x:row>
    <x:row r="2264">
      <x:c r="A2264" t="str">
        <x:v>2025_15_MIN_DAL</x:v>
      </x:c>
      <x:c r="B2264" t="n">
        <x:v>2755</x:v>
      </x:c>
      <x:c r="C2264" t="n">
        <x:v>3</x:v>
      </x:c>
      <x:c r="D2264" t="str">
        <x:v>04:44</x:v>
      </x:c>
      <x:c r="E2264" t="n">
        <x:v>1</x:v>
      </x:c>
      <x:c r="F2264" t="n">
        <x:v>10</x:v>
      </x:c>
      <x:c r="G2264" t="str">
        <x:v>MIN</x:v>
      </x:c>
      <x:c r="H2264" t="str">
        <x:v>DAL</x:v>
      </x:c>
      <x:c r="I2264" t="str">
        <x:v>MIN</x:v>
      </x:c>
      <x:c r="J2264" t="n">
        <x:v>73</x:v>
      </x:c>
      <x:c r="K2264" t="str">
        <x:v>(4:44) (Shotgun) 9-J.McCarthy pass deep middle to 87-T.Hockenson to DAL 44 for 29 yards (28-M.Hooker).</x:v>
      </x:c>
      <x:c r="L2264" t="str">
        <x:v>pass</x:v>
      </x:c>
      <x:c r="M2264" t="n">
        <x:v>29</x:v>
      </x:c>
      <x:c r="N2264" t="n">
        <x:v>1</x:v>
      </x:c>
      <x:c r="O2264" t="n">
        <x:v>0</x:v>
      </x:c>
      <x:c r="P2264" t="str">
        <x:v>deep</x:v>
      </x:c>
      <x:c r="Q2264" t="str">
        <x:v>middle</x:v>
      </x:c>
      <x:c r="R2264" t="n">
        <x:v>21</x:v>
      </x:c>
      <x:c r="S2264" t="n">
        <x:v>8</x:v>
      </x:c>
      <x:c r="T2264"/>
      <x:c r="U2264"/>
      <x:c r="V2264" t="n">
        <x:v>1</x:v>
      </x:c>
      <x:c r="W2264" t="n">
        <x:v>1</x:v>
      </x:c>
      <x:c r="X2264" t="n">
        <x:v>0</x:v>
      </x:c>
      <x:c r="Y2264" t="n">
        <x:v>0</x:v>
      </x:c>
      <x:c r="Z2264" t="n">
        <x:v>0</x:v>
      </x:c>
      <x:c r="AA2264" t="n">
        <x:v>0</x:v>
      </x:c>
      <x:c r="AB2264"/>
      <x:c r="AC2264" t="n">
        <x:v>0</x:v>
      </x:c>
      <x:c r="AD2264" t="n">
        <x:v>1.8413497284054756</x:v>
      </x:c>
      <x:c r="AE2264" t="n">
        <x:v>1</x:v>
      </x:c>
      <x:c r="AF2264" t="n">
        <x:v>0.040791064500808716</x:v>
      </x:c>
      <x:c r="AG2264" t="n">
        <x:f>_xlfn.XLOOKUP($A2264,Games!$A$2:$A$18,Games!$B$2:$B$18,"Missing game",0)</x:f>
        <x:v>2025</x:v>
      </x:c>
      <x:c r="AH2264" t="str">
        <x:f>_xlfn.XLOOKUP($A2264,Games!$A$2:$A$18,Games!$C$2:$C$18,"Missing game",0)</x:f>
        <x:v>REG</x:v>
      </x:c>
      <x:c r="AI2264" t="n">
        <x:f>_xlfn.XLOOKUP($A2264,Games!$A$2:$A$18,Games!$D$2:$D$18,"Missing game",0)</x:f>
        <x:v>15</x:v>
      </x:c>
      <x:c r="AJ2264" s="1" t="n">
        <x:f>_xlfn.XLOOKUP($A2264,Games!$A$2:$A$18,Games!$E$2:$E$18,"Missing game",0)</x:f>
        <x:v>46005</x:v>
      </x:c>
      <x:c r="AK2264" t="str">
        <x:f>_xlfn.XLOOKUP($A2264,Games!$A$2:$A$18,Games!$F$2:$F$18,"Missing game",0)</x:f>
        <x:v>Sunday</x:v>
      </x:c>
      <x:c r="AL2264" t="str">
        <x:f>_xlfn.XLOOKUP($A2264,Games!$A$2:$A$18,Games!$G$2:$G$18,"Missing game",0)</x:f>
        <x:v>MIN</x:v>
      </x:c>
      <x:c r="AM2264" t="n">
        <x:f>_xlfn.XLOOKUP($A2264,Games!$A$2:$A$18,Games!$H$2:$H$18,"Missing game",0)</x:f>
        <x:v>34</x:v>
      </x:c>
      <x:c r="AN2264" t="str">
        <x:f>_xlfn.XLOOKUP($A2264,Games!$A$2:$A$18,Games!$I$2:$I$18,"Missing game",0)</x:f>
        <x:v>DAL</x:v>
      </x:c>
      <x:c r="AO2264" t="n">
        <x:f>_xlfn.XLOOKUP($A2264,Games!$A$2:$A$18,Games!$J$2:$J$18,"Missing game",0)</x:f>
        <x:v>26</x:v>
      </x:c>
      <x:c r="AP2264" t="n">
        <x:f>_xlfn.XLOOKUP($A2264,Games!$A$2:$A$18,Games!$K$2:$K$18,"Missing game",0)</x:f>
        <x:v>-8</x:v>
      </x:c>
      <x:c r="AQ2264" t="n">
        <x:f>_xlfn.XLOOKUP($A2264,Games!$A$2:$A$18,Games!$L$2:$L$18,"Missing game",0)</x:f>
        <x:v>60</x:v>
      </x:c>
      <x:c r="AR2264" t="n">
        <x:f>_xlfn.XLOOKUP($A2264,Games!$A$2:$A$18,Games!$M$2:$M$18,"Missing game",0)</x:f>
        <x:v>0</x:v>
      </x:c>
      <x:c r="AS2264" t="str">
        <x:f>_xlfn.XLOOKUP($A2264,Games!$A$2:$A$18,Games!$N$2:$N$18,"Missing game",0)</x:f>
        <x:v>closed</x:v>
      </x:c>
      <x:c r="AT2264" t="str">
        <x:f>_xlfn.XLOOKUP($A2264,Games!$A$2:$A$18,Games!$O$2:$O$18,"Missing game",0)</x:f>
        <x:v>matrixturf</x:v>
      </x:c>
      <x:c r="AU2264" t="str">
        <x:f>_xlfn.XLOOKUP($A2264,Games!$A$2:$A$18,Games!$P$2:$P$18,"Missing game",0)</x:f>
      </x:c>
      <x:c r="AV2264" t="str">
        <x:f>_xlfn.XLOOKUP($A2264,Games!$A$2:$A$18,Games!$Q$2:$Q$18,"Missing game",0)</x:f>
      </x:c>
      <x:c r="AW2264" t="str">
        <x:f>_xlfn.XLOOKUP($A2264,Games!$A$2:$A$18,Games!$R$2:$R$18,"Missing game",0)</x:f>
        <x:v>AT&amp;T Stadium</x:v>
      </x:c>
    </x:row>
    <x:row r="2265">
      <x:c r="A2265" t="str">
        <x:v>2025_15_MIN_DAL</x:v>
      </x:c>
      <x:c r="B2265" t="n">
        <x:v>2780</x:v>
      </x:c>
      <x:c r="C2265" t="n">
        <x:v>3</x:v>
      </x:c>
      <x:c r="D2265" t="str">
        <x:v>04:10</x:v>
      </x:c>
      <x:c r="E2265" t="n">
        <x:v>1</x:v>
      </x:c>
      <x:c r="F2265" t="n">
        <x:v>10</x:v>
      </x:c>
      <x:c r="G2265" t="str">
        <x:v>MIN</x:v>
      </x:c>
      <x:c r="H2265" t="str">
        <x:v>DAL</x:v>
      </x:c>
      <x:c r="I2265" t="str">
        <x:v>DAL</x:v>
      </x:c>
      <x:c r="J2265" t="n">
        <x:v>44</x:v>
      </x:c>
      <x:c r="K2265" t="str">
        <x:v>(4:10) (No Huddle) 9-J.McCarthy pass incomplete deep right to 18-J.Jefferson [95-K.Clark].</x:v>
      </x:c>
      <x:c r="L2265" t="str">
        <x:v>pass</x:v>
      </x:c>
      <x:c r="M2265" t="n">
        <x:v>0</x:v>
      </x:c>
      <x:c r="N2265" t="n">
        <x:v>0</x:v>
      </x:c>
      <x:c r="O2265" t="n">
        <x:v>1</x:v>
      </x:c>
      <x:c r="P2265" t="str">
        <x:v>deep</x:v>
      </x:c>
      <x:c r="Q2265" t="str">
        <x:v>right</x:v>
      </x:c>
      <x:c r="R2265" t="n">
        <x:v>20</x:v>
      </x:c>
      <x:c r="S2265"/>
      <x:c r="T2265"/>
      <x:c r="U2265"/>
      <x:c r="V2265" t="n">
        <x:v>0</x:v>
      </x:c>
      <x:c r="W2265" t="n">
        <x:v>0</x:v>
      </x:c>
      <x:c r="X2265" t="n">
        <x:v>0</x:v>
      </x:c>
      <x:c r="Y2265" t="n">
        <x:v>0</x:v>
      </x:c>
      <x:c r="Z2265" t="n">
        <x:v>0</x:v>
      </x:c>
      <x:c r="AA2265" t="n">
        <x:v>0</x:v>
      </x:c>
      <x:c r="AB2265"/>
      <x:c r="AC2265" t="n">
        <x:v>0</x:v>
      </x:c>
      <x:c r="AD2265" t="n">
        <x:v>-0.5309890646021813</x:v>
      </x:c>
      <x:c r="AE2265" t="n">
        <x:v>0</x:v>
      </x:c>
      <x:c r="AF2265" t="n">
        <x:v>-0.02519369125366211</x:v>
      </x:c>
      <x:c r="AG2265" t="n">
        <x:f>_xlfn.XLOOKUP($A2265,Games!$A$2:$A$18,Games!$B$2:$B$18,"Missing game",0)</x:f>
        <x:v>2025</x:v>
      </x:c>
      <x:c r="AH2265" t="str">
        <x:f>_xlfn.XLOOKUP($A2265,Games!$A$2:$A$18,Games!$C$2:$C$18,"Missing game",0)</x:f>
        <x:v>REG</x:v>
      </x:c>
      <x:c r="AI2265" t="n">
        <x:f>_xlfn.XLOOKUP($A2265,Games!$A$2:$A$18,Games!$D$2:$D$18,"Missing game",0)</x:f>
        <x:v>15</x:v>
      </x:c>
      <x:c r="AJ2265" s="1" t="n">
        <x:f>_xlfn.XLOOKUP($A2265,Games!$A$2:$A$18,Games!$E$2:$E$18,"Missing game",0)</x:f>
        <x:v>46005</x:v>
      </x:c>
      <x:c r="AK2265" t="str">
        <x:f>_xlfn.XLOOKUP($A2265,Games!$A$2:$A$18,Games!$F$2:$F$18,"Missing game",0)</x:f>
        <x:v>Sunday</x:v>
      </x:c>
      <x:c r="AL2265" t="str">
        <x:f>_xlfn.XLOOKUP($A2265,Games!$A$2:$A$18,Games!$G$2:$G$18,"Missing game",0)</x:f>
        <x:v>MIN</x:v>
      </x:c>
      <x:c r="AM2265" t="n">
        <x:f>_xlfn.XLOOKUP($A2265,Games!$A$2:$A$18,Games!$H$2:$H$18,"Missing game",0)</x:f>
        <x:v>34</x:v>
      </x:c>
      <x:c r="AN2265" t="str">
        <x:f>_xlfn.XLOOKUP($A2265,Games!$A$2:$A$18,Games!$I$2:$I$18,"Missing game",0)</x:f>
        <x:v>DAL</x:v>
      </x:c>
      <x:c r="AO2265" t="n">
        <x:f>_xlfn.XLOOKUP($A2265,Games!$A$2:$A$18,Games!$J$2:$J$18,"Missing game",0)</x:f>
        <x:v>26</x:v>
      </x:c>
      <x:c r="AP2265" t="n">
        <x:f>_xlfn.XLOOKUP($A2265,Games!$A$2:$A$18,Games!$K$2:$K$18,"Missing game",0)</x:f>
        <x:v>-8</x:v>
      </x:c>
      <x:c r="AQ2265" t="n">
        <x:f>_xlfn.XLOOKUP($A2265,Games!$A$2:$A$18,Games!$L$2:$L$18,"Missing game",0)</x:f>
        <x:v>60</x:v>
      </x:c>
      <x:c r="AR2265" t="n">
        <x:f>_xlfn.XLOOKUP($A2265,Games!$A$2:$A$18,Games!$M$2:$M$18,"Missing game",0)</x:f>
        <x:v>0</x:v>
      </x:c>
      <x:c r="AS2265" t="str">
        <x:f>_xlfn.XLOOKUP($A2265,Games!$A$2:$A$18,Games!$N$2:$N$18,"Missing game",0)</x:f>
        <x:v>closed</x:v>
      </x:c>
      <x:c r="AT2265" t="str">
        <x:f>_xlfn.XLOOKUP($A2265,Games!$A$2:$A$18,Games!$O$2:$O$18,"Missing game",0)</x:f>
        <x:v>matrixturf</x:v>
      </x:c>
      <x:c r="AU2265" t="str">
        <x:f>_xlfn.XLOOKUP($A2265,Games!$A$2:$A$18,Games!$P$2:$P$18,"Missing game",0)</x:f>
      </x:c>
      <x:c r="AV2265" t="str">
        <x:f>_xlfn.XLOOKUP($A2265,Games!$A$2:$A$18,Games!$Q$2:$Q$18,"Missing game",0)</x:f>
      </x:c>
      <x:c r="AW2265" t="str">
        <x:f>_xlfn.XLOOKUP($A2265,Games!$A$2:$A$18,Games!$R$2:$R$18,"Missing game",0)</x:f>
        <x:v>AT&amp;T Stadium</x:v>
      </x:c>
    </x:row>
    <x:row r="2266">
      <x:c r="A2266" t="str">
        <x:v>2025_15_MIN_DAL</x:v>
      </x:c>
      <x:c r="B2266" t="n">
        <x:v>2803</x:v>
      </x:c>
      <x:c r="C2266" t="n">
        <x:v>3</x:v>
      </x:c>
      <x:c r="D2266" t="str">
        <x:v>04:04</x:v>
      </x:c>
      <x:c r="E2266" t="n">
        <x:v>2</x:v>
      </x:c>
      <x:c r="F2266" t="n">
        <x:v>10</x:v>
      </x:c>
      <x:c r="G2266" t="str">
        <x:v>MIN</x:v>
      </x:c>
      <x:c r="H2266" t="str">
        <x:v>DAL</x:v>
      </x:c>
      <x:c r="I2266" t="str">
        <x:v>DAL</x:v>
      </x:c>
      <x:c r="J2266" t="n">
        <x:v>44</x:v>
      </x:c>
      <x:c r="K2266" t="str">
        <x:v>(4:04) (Shotgun) 27-J.Mason right tackle to DAL 35 for 9 yards (0-D.Overshown).</x:v>
      </x:c>
      <x:c r="L2266" t="str">
        <x:v>run</x:v>
      </x:c>
      <x:c r="M2266" t="n">
        <x:v>9</x:v>
      </x:c>
      <x:c r="N2266" t="n">
        <x:v>1</x:v>
      </x:c>
      <x:c r="O2266" t="n">
        <x:v>0</x:v>
      </x:c>
      <x:c r="P2266"/>
      <x:c r="Q2266"/>
      <x:c r="R2266"/>
      <x:c r="S2266"/>
      <x:c r="T2266" t="str">
        <x:v>right</x:v>
      </x:c>
      <x:c r="U2266" t="str">
        <x:v>tackle</x:v>
      </x:c>
      <x:c r="V2266" t="n">
        <x:v>0</x:v>
      </x:c>
      <x:c r="W2266" t="n">
        <x:v>0</x:v>
      </x:c>
      <x:c r="X2266" t="n">
        <x:v>0</x:v>
      </x:c>
      <x:c r="Y2266" t="n">
        <x:v>0</x:v>
      </x:c>
      <x:c r="Z2266" t="n">
        <x:v>0</x:v>
      </x:c>
      <x:c r="AA2266" t="n">
        <x:v>0</x:v>
      </x:c>
      <x:c r="AB2266"/>
      <x:c r="AC2266" t="n">
        <x:v>0</x:v>
      </x:c>
      <x:c r="AD2266" t="n">
        <x:v>0.7045855051837862</x:v>
      </x:c>
      <x:c r="AE2266" t="n">
        <x:v>1</x:v>
      </x:c>
      <x:c r="AF2266" t="n">
        <x:v>0.025750726461410522</x:v>
      </x:c>
      <x:c r="AG2266" t="n">
        <x:f>_xlfn.XLOOKUP($A2266,Games!$A$2:$A$18,Games!$B$2:$B$18,"Missing game",0)</x:f>
        <x:v>2025</x:v>
      </x:c>
      <x:c r="AH2266" t="str">
        <x:f>_xlfn.XLOOKUP($A2266,Games!$A$2:$A$18,Games!$C$2:$C$18,"Missing game",0)</x:f>
        <x:v>REG</x:v>
      </x:c>
      <x:c r="AI2266" t="n">
        <x:f>_xlfn.XLOOKUP($A2266,Games!$A$2:$A$18,Games!$D$2:$D$18,"Missing game",0)</x:f>
        <x:v>15</x:v>
      </x:c>
      <x:c r="AJ2266" s="1" t="n">
        <x:f>_xlfn.XLOOKUP($A2266,Games!$A$2:$A$18,Games!$E$2:$E$18,"Missing game",0)</x:f>
        <x:v>46005</x:v>
      </x:c>
      <x:c r="AK2266" t="str">
        <x:f>_xlfn.XLOOKUP($A2266,Games!$A$2:$A$18,Games!$F$2:$F$18,"Missing game",0)</x:f>
        <x:v>Sunday</x:v>
      </x:c>
      <x:c r="AL2266" t="str">
        <x:f>_xlfn.XLOOKUP($A2266,Games!$A$2:$A$18,Games!$G$2:$G$18,"Missing game",0)</x:f>
        <x:v>MIN</x:v>
      </x:c>
      <x:c r="AM2266" t="n">
        <x:f>_xlfn.XLOOKUP($A2266,Games!$A$2:$A$18,Games!$H$2:$H$18,"Missing game",0)</x:f>
        <x:v>34</x:v>
      </x:c>
      <x:c r="AN2266" t="str">
        <x:f>_xlfn.XLOOKUP($A2266,Games!$A$2:$A$18,Games!$I$2:$I$18,"Missing game",0)</x:f>
        <x:v>DAL</x:v>
      </x:c>
      <x:c r="AO2266" t="n">
        <x:f>_xlfn.XLOOKUP($A2266,Games!$A$2:$A$18,Games!$J$2:$J$18,"Missing game",0)</x:f>
        <x:v>26</x:v>
      </x:c>
      <x:c r="AP2266" t="n">
        <x:f>_xlfn.XLOOKUP($A2266,Games!$A$2:$A$18,Games!$K$2:$K$18,"Missing game",0)</x:f>
        <x:v>-8</x:v>
      </x:c>
      <x:c r="AQ2266" t="n">
        <x:f>_xlfn.XLOOKUP($A2266,Games!$A$2:$A$18,Games!$L$2:$L$18,"Missing game",0)</x:f>
        <x:v>60</x:v>
      </x:c>
      <x:c r="AR2266" t="n">
        <x:f>_xlfn.XLOOKUP($A2266,Games!$A$2:$A$18,Games!$M$2:$M$18,"Missing game",0)</x:f>
        <x:v>0</x:v>
      </x:c>
      <x:c r="AS2266" t="str">
        <x:f>_xlfn.XLOOKUP($A2266,Games!$A$2:$A$18,Games!$N$2:$N$18,"Missing game",0)</x:f>
        <x:v>closed</x:v>
      </x:c>
      <x:c r="AT2266" t="str">
        <x:f>_xlfn.XLOOKUP($A2266,Games!$A$2:$A$18,Games!$O$2:$O$18,"Missing game",0)</x:f>
        <x:v>matrixturf</x:v>
      </x:c>
      <x:c r="AU2266" t="str">
        <x:f>_xlfn.XLOOKUP($A2266,Games!$A$2:$A$18,Games!$P$2:$P$18,"Missing game",0)</x:f>
      </x:c>
      <x:c r="AV2266" t="str">
        <x:f>_xlfn.XLOOKUP($A2266,Games!$A$2:$A$18,Games!$Q$2:$Q$18,"Missing game",0)</x:f>
      </x:c>
      <x:c r="AW2266" t="str">
        <x:f>_xlfn.XLOOKUP($A2266,Games!$A$2:$A$18,Games!$R$2:$R$18,"Missing game",0)</x:f>
        <x:v>AT&amp;T Stadium</x:v>
      </x:c>
    </x:row>
    <x:row r="2267">
      <x:c r="A2267" t="str">
        <x:v>2025_15_MIN_DAL</x:v>
      </x:c>
      <x:c r="B2267" t="n">
        <x:v>2825</x:v>
      </x:c>
      <x:c r="C2267" t="n">
        <x:v>3</x:v>
      </x:c>
      <x:c r="D2267" t="str">
        <x:v>03:26</x:v>
      </x:c>
      <x:c r="E2267" t="n">
        <x:v>3</x:v>
      </x:c>
      <x:c r="F2267" t="n">
        <x:v>1</x:v>
      </x:c>
      <x:c r="G2267" t="str">
        <x:v>MIN</x:v>
      </x:c>
      <x:c r="H2267" t="str">
        <x:v>DAL</x:v>
      </x:c>
      <x:c r="I2267" t="str">
        <x:v>DAL</x:v>
      </x:c>
      <x:c r="J2267" t="n">
        <x:v>35</x:v>
      </x:c>
      <x:c r="K2267" t="str">
        <x:v>(3:26) 1-J.Nailor right end to DAL 37 for -2 yards (6-D.Wilson).</x:v>
      </x:c>
      <x:c r="L2267" t="str">
        <x:v>run</x:v>
      </x:c>
      <x:c r="M2267" t="n">
        <x:v>-2</x:v>
      </x:c>
      <x:c r="N2267" t="n">
        <x:v>0</x:v>
      </x:c>
      <x:c r="O2267" t="n">
        <x:v>0</x:v>
      </x:c>
      <x:c r="P2267"/>
      <x:c r="Q2267"/>
      <x:c r="R2267"/>
      <x:c r="S2267"/>
      <x:c r="T2267" t="str">
        <x:v>right</x:v>
      </x:c>
      <x:c r="U2267" t="str">
        <x:v>end</x:v>
      </x:c>
      <x:c r="V2267" t="n">
        <x:v>0</x:v>
      </x:c>
      <x:c r="W2267" t="n">
        <x:v>0</x:v>
      </x:c>
      <x:c r="X2267" t="n">
        <x:v>0</x:v>
      </x:c>
      <x:c r="Y2267" t="n">
        <x:v>0</x:v>
      </x:c>
      <x:c r="Z2267" t="n">
        <x:v>0</x:v>
      </x:c>
      <x:c r="AA2267" t="n">
        <x:v>0</x:v>
      </x:c>
      <x:c r="AB2267"/>
      <x:c r="AC2267" t="n">
        <x:v>0</x:v>
      </x:c>
      <x:c r="AD2267" t="n">
        <x:v>-2.375341435195878</x:v>
      </x:c>
      <x:c r="AE2267" t="n">
        <x:v>0</x:v>
      </x:c>
      <x:c r="AF2267" t="n">
        <x:v>-0.05031123757362366</x:v>
      </x:c>
      <x:c r="AG2267" t="n">
        <x:f>_xlfn.XLOOKUP($A2267,Games!$A$2:$A$18,Games!$B$2:$B$18,"Missing game",0)</x:f>
        <x:v>2025</x:v>
      </x:c>
      <x:c r="AH2267" t="str">
        <x:f>_xlfn.XLOOKUP($A2267,Games!$A$2:$A$18,Games!$C$2:$C$18,"Missing game",0)</x:f>
        <x:v>REG</x:v>
      </x:c>
      <x:c r="AI2267" t="n">
        <x:f>_xlfn.XLOOKUP($A2267,Games!$A$2:$A$18,Games!$D$2:$D$18,"Missing game",0)</x:f>
        <x:v>15</x:v>
      </x:c>
      <x:c r="AJ2267" s="1" t="n">
        <x:f>_xlfn.XLOOKUP($A2267,Games!$A$2:$A$18,Games!$E$2:$E$18,"Missing game",0)</x:f>
        <x:v>46005</x:v>
      </x:c>
      <x:c r="AK2267" t="str">
        <x:f>_xlfn.XLOOKUP($A2267,Games!$A$2:$A$18,Games!$F$2:$F$18,"Missing game",0)</x:f>
        <x:v>Sunday</x:v>
      </x:c>
      <x:c r="AL2267" t="str">
        <x:f>_xlfn.XLOOKUP($A2267,Games!$A$2:$A$18,Games!$G$2:$G$18,"Missing game",0)</x:f>
        <x:v>MIN</x:v>
      </x:c>
      <x:c r="AM2267" t="n">
        <x:f>_xlfn.XLOOKUP($A2267,Games!$A$2:$A$18,Games!$H$2:$H$18,"Missing game",0)</x:f>
        <x:v>34</x:v>
      </x:c>
      <x:c r="AN2267" t="str">
        <x:f>_xlfn.XLOOKUP($A2267,Games!$A$2:$A$18,Games!$I$2:$I$18,"Missing game",0)</x:f>
        <x:v>DAL</x:v>
      </x:c>
      <x:c r="AO2267" t="n">
        <x:f>_xlfn.XLOOKUP($A2267,Games!$A$2:$A$18,Games!$J$2:$J$18,"Missing game",0)</x:f>
        <x:v>26</x:v>
      </x:c>
      <x:c r="AP2267" t="n">
        <x:f>_xlfn.XLOOKUP($A2267,Games!$A$2:$A$18,Games!$K$2:$K$18,"Missing game",0)</x:f>
        <x:v>-8</x:v>
      </x:c>
      <x:c r="AQ2267" t="n">
        <x:f>_xlfn.XLOOKUP($A2267,Games!$A$2:$A$18,Games!$L$2:$L$18,"Missing game",0)</x:f>
        <x:v>60</x:v>
      </x:c>
      <x:c r="AR2267" t="n">
        <x:f>_xlfn.XLOOKUP($A2267,Games!$A$2:$A$18,Games!$M$2:$M$18,"Missing game",0)</x:f>
        <x:v>0</x:v>
      </x:c>
      <x:c r="AS2267" t="str">
        <x:f>_xlfn.XLOOKUP($A2267,Games!$A$2:$A$18,Games!$N$2:$N$18,"Missing game",0)</x:f>
        <x:v>closed</x:v>
      </x:c>
      <x:c r="AT2267" t="str">
        <x:f>_xlfn.XLOOKUP($A2267,Games!$A$2:$A$18,Games!$O$2:$O$18,"Missing game",0)</x:f>
        <x:v>matrixturf</x:v>
      </x:c>
      <x:c r="AU2267" t="str">
        <x:f>_xlfn.XLOOKUP($A2267,Games!$A$2:$A$18,Games!$P$2:$P$18,"Missing game",0)</x:f>
      </x:c>
      <x:c r="AV2267" t="str">
        <x:f>_xlfn.XLOOKUP($A2267,Games!$A$2:$A$18,Games!$Q$2:$Q$18,"Missing game",0)</x:f>
      </x:c>
      <x:c r="AW2267" t="str">
        <x:f>_xlfn.XLOOKUP($A2267,Games!$A$2:$A$18,Games!$R$2:$R$18,"Missing game",0)</x:f>
        <x:v>AT&amp;T Stadium</x:v>
      </x:c>
    </x:row>
    <x:row r="2268">
      <x:c r="A2268" t="str">
        <x:v>2025_15_MIN_DAL</x:v>
      </x:c>
      <x:c r="B2268" t="n">
        <x:v>2852</x:v>
      </x:c>
      <x:c r="C2268" t="n">
        <x:v>3</x:v>
      </x:c>
      <x:c r="D2268" t="str">
        <x:v>02:49</x:v>
      </x:c>
      <x:c r="E2268" t="n">
        <x:v>4</x:v>
      </x:c>
      <x:c r="F2268" t="n">
        <x:v>3</x:v>
      </x:c>
      <x:c r="G2268" t="str">
        <x:v>MIN</x:v>
      </x:c>
      <x:c r="H2268" t="str">
        <x:v>DAL</x:v>
      </x:c>
      <x:c r="I2268" t="str">
        <x:v>DAL</x:v>
      </x:c>
      <x:c r="J2268" t="n">
        <x:v>37</x:v>
      </x:c>
      <x:c r="K2268" t="str">
        <x:v>(2:49) (Shotgun) 9-J.McCarthy pass deep right to 1-J.Nailor to DAL 14 for 23 yards (34-S.Revel).</x:v>
      </x:c>
      <x:c r="L2268" t="str">
        <x:v>pass</x:v>
      </x:c>
      <x:c r="M2268" t="n">
        <x:v>23</x:v>
      </x:c>
      <x:c r="N2268" t="n">
        <x:v>1</x:v>
      </x:c>
      <x:c r="O2268" t="n">
        <x:v>0</x:v>
      </x:c>
      <x:c r="P2268" t="str">
        <x:v>deep</x:v>
      </x:c>
      <x:c r="Q2268" t="str">
        <x:v>right</x:v>
      </x:c>
      <x:c r="R2268" t="n">
        <x:v>23</x:v>
      </x:c>
      <x:c r="S2268" t="n">
        <x:v>0</x:v>
      </x:c>
      <x:c r="T2268"/>
      <x:c r="U2268"/>
      <x:c r="V2268" t="n">
        <x:v>1</x:v>
      </x:c>
      <x:c r="W2268" t="n">
        <x:v>1</x:v>
      </x:c>
      <x:c r="X2268" t="n">
        <x:v>0</x:v>
      </x:c>
      <x:c r="Y2268" t="n">
        <x:v>0</x:v>
      </x:c>
      <x:c r="Z2268" t="n">
        <x:v>0</x:v>
      </x:c>
      <x:c r="AA2268" t="n">
        <x:v>0</x:v>
      </x:c>
      <x:c r="AB2268"/>
      <x:c r="AC2268" t="n">
        <x:v>0</x:v>
      </x:c>
      <x:c r="AD2268" t="n">
        <x:v>4.351800249249209</x:v>
      </x:c>
      <x:c r="AE2268" t="n">
        <x:v>1</x:v>
      </x:c>
      <x:c r="AF2268" t="n">
        <x:v>0.1314494013786316</x:v>
      </x:c>
      <x:c r="AG2268" t="n">
        <x:f>_xlfn.XLOOKUP($A2268,Games!$A$2:$A$18,Games!$B$2:$B$18,"Missing game",0)</x:f>
        <x:v>2025</x:v>
      </x:c>
      <x:c r="AH2268" t="str">
        <x:f>_xlfn.XLOOKUP($A2268,Games!$A$2:$A$18,Games!$C$2:$C$18,"Missing game",0)</x:f>
        <x:v>REG</x:v>
      </x:c>
      <x:c r="AI2268" t="n">
        <x:f>_xlfn.XLOOKUP($A2268,Games!$A$2:$A$18,Games!$D$2:$D$18,"Missing game",0)</x:f>
        <x:v>15</x:v>
      </x:c>
      <x:c r="AJ2268" s="1" t="n">
        <x:f>_xlfn.XLOOKUP($A2268,Games!$A$2:$A$18,Games!$E$2:$E$18,"Missing game",0)</x:f>
        <x:v>46005</x:v>
      </x:c>
      <x:c r="AK2268" t="str">
        <x:f>_xlfn.XLOOKUP($A2268,Games!$A$2:$A$18,Games!$F$2:$F$18,"Missing game",0)</x:f>
        <x:v>Sunday</x:v>
      </x:c>
      <x:c r="AL2268" t="str">
        <x:f>_xlfn.XLOOKUP($A2268,Games!$A$2:$A$18,Games!$G$2:$G$18,"Missing game",0)</x:f>
        <x:v>MIN</x:v>
      </x:c>
      <x:c r="AM2268" t="n">
        <x:f>_xlfn.XLOOKUP($A2268,Games!$A$2:$A$18,Games!$H$2:$H$18,"Missing game",0)</x:f>
        <x:v>34</x:v>
      </x:c>
      <x:c r="AN2268" t="str">
        <x:f>_xlfn.XLOOKUP($A2268,Games!$A$2:$A$18,Games!$I$2:$I$18,"Missing game",0)</x:f>
        <x:v>DAL</x:v>
      </x:c>
      <x:c r="AO2268" t="n">
        <x:f>_xlfn.XLOOKUP($A2268,Games!$A$2:$A$18,Games!$J$2:$J$18,"Missing game",0)</x:f>
        <x:v>26</x:v>
      </x:c>
      <x:c r="AP2268" t="n">
        <x:f>_xlfn.XLOOKUP($A2268,Games!$A$2:$A$18,Games!$K$2:$K$18,"Missing game",0)</x:f>
        <x:v>-8</x:v>
      </x:c>
      <x:c r="AQ2268" t="n">
        <x:f>_xlfn.XLOOKUP($A2268,Games!$A$2:$A$18,Games!$L$2:$L$18,"Missing game",0)</x:f>
        <x:v>60</x:v>
      </x:c>
      <x:c r="AR2268" t="n">
        <x:f>_xlfn.XLOOKUP($A2268,Games!$A$2:$A$18,Games!$M$2:$M$18,"Missing game",0)</x:f>
        <x:v>0</x:v>
      </x:c>
      <x:c r="AS2268" t="str">
        <x:f>_xlfn.XLOOKUP($A2268,Games!$A$2:$A$18,Games!$N$2:$N$18,"Missing game",0)</x:f>
        <x:v>closed</x:v>
      </x:c>
      <x:c r="AT2268" t="str">
        <x:f>_xlfn.XLOOKUP($A2268,Games!$A$2:$A$18,Games!$O$2:$O$18,"Missing game",0)</x:f>
        <x:v>matrixturf</x:v>
      </x:c>
      <x:c r="AU2268" t="str">
        <x:f>_xlfn.XLOOKUP($A2268,Games!$A$2:$A$18,Games!$P$2:$P$18,"Missing game",0)</x:f>
      </x:c>
      <x:c r="AV2268" t="str">
        <x:f>_xlfn.XLOOKUP($A2268,Games!$A$2:$A$18,Games!$Q$2:$Q$18,"Missing game",0)</x:f>
      </x:c>
      <x:c r="AW2268" t="str">
        <x:f>_xlfn.XLOOKUP($A2268,Games!$A$2:$A$18,Games!$R$2:$R$18,"Missing game",0)</x:f>
        <x:v>AT&amp;T Stadium</x:v>
      </x:c>
    </x:row>
    <x:row r="2269">
      <x:c r="A2269" t="str">
        <x:v>2025_15_MIN_DAL</x:v>
      </x:c>
      <x:c r="B2269" t="n">
        <x:v>2877</x:v>
      </x:c>
      <x:c r="C2269" t="n">
        <x:v>3</x:v>
      </x:c>
      <x:c r="D2269" t="str">
        <x:v>02:02</x:v>
      </x:c>
      <x:c r="E2269" t="n">
        <x:v>1</x:v>
      </x:c>
      <x:c r="F2269" t="n">
        <x:v>10</x:v>
      </x:c>
      <x:c r="G2269" t="str">
        <x:v>MIN</x:v>
      </x:c>
      <x:c r="H2269" t="str">
        <x:v>DAL</x:v>
      </x:c>
      <x:c r="I2269" t="str">
        <x:v>DAL</x:v>
      </x:c>
      <x:c r="J2269" t="n">
        <x:v>14</x:v>
      </x:c>
      <x:c r="K2269" t="str">
        <x:v>(2:02) (Shotgun) 9-J.McCarthy pass short right to 18-J.Jefferson to DAL 4 for 10 yards (0-D.Overshown).</x:v>
      </x:c>
      <x:c r="L2269" t="str">
        <x:v>pass</x:v>
      </x:c>
      <x:c r="M2269" t="n">
        <x:v>10</x:v>
      </x:c>
      <x:c r="N2269" t="n">
        <x:v>1</x:v>
      </x:c>
      <x:c r="O2269" t="n">
        <x:v>0</x:v>
      </x:c>
      <x:c r="P2269" t="str">
        <x:v>short</x:v>
      </x:c>
      <x:c r="Q2269" t="str">
        <x:v>right</x:v>
      </x:c>
      <x:c r="R2269" t="n">
        <x:v>7</x:v>
      </x:c>
      <x:c r="S2269" t="n">
        <x:v>3</x:v>
      </x:c>
      <x:c r="T2269"/>
      <x:c r="U2269"/>
      <x:c r="V2269" t="n">
        <x:v>1</x:v>
      </x:c>
      <x:c r="W2269" t="n">
        <x:v>1</x:v>
      </x:c>
      <x:c r="X2269" t="n">
        <x:v>0</x:v>
      </x:c>
      <x:c r="Y2269" t="n">
        <x:v>0</x:v>
      </x:c>
      <x:c r="Z2269" t="n">
        <x:v>0</x:v>
      </x:c>
      <x:c r="AA2269" t="n">
        <x:v>0</x:v>
      </x:c>
      <x:c r="AB2269"/>
      <x:c r="AC2269" t="n">
        <x:v>0</x:v>
      </x:c>
      <x:c r="AD2269" t="n">
        <x:v>0.8553237911546603</x:v>
      </x:c>
      <x:c r="AE2269" t="n">
        <x:v>1</x:v>
      </x:c>
      <x:c r="AF2269" t="n">
        <x:v>0.011631637811660767</x:v>
      </x:c>
      <x:c r="AG2269" t="n">
        <x:f>_xlfn.XLOOKUP($A2269,Games!$A$2:$A$18,Games!$B$2:$B$18,"Missing game",0)</x:f>
        <x:v>2025</x:v>
      </x:c>
      <x:c r="AH2269" t="str">
        <x:f>_xlfn.XLOOKUP($A2269,Games!$A$2:$A$18,Games!$C$2:$C$18,"Missing game",0)</x:f>
        <x:v>REG</x:v>
      </x:c>
      <x:c r="AI2269" t="n">
        <x:f>_xlfn.XLOOKUP($A2269,Games!$A$2:$A$18,Games!$D$2:$D$18,"Missing game",0)</x:f>
        <x:v>15</x:v>
      </x:c>
      <x:c r="AJ2269" s="1" t="n">
        <x:f>_xlfn.XLOOKUP($A2269,Games!$A$2:$A$18,Games!$E$2:$E$18,"Missing game",0)</x:f>
        <x:v>46005</x:v>
      </x:c>
      <x:c r="AK2269" t="str">
        <x:f>_xlfn.XLOOKUP($A2269,Games!$A$2:$A$18,Games!$F$2:$F$18,"Missing game",0)</x:f>
        <x:v>Sunday</x:v>
      </x:c>
      <x:c r="AL2269" t="str">
        <x:f>_xlfn.XLOOKUP($A2269,Games!$A$2:$A$18,Games!$G$2:$G$18,"Missing game",0)</x:f>
        <x:v>MIN</x:v>
      </x:c>
      <x:c r="AM2269" t="n">
        <x:f>_xlfn.XLOOKUP($A2269,Games!$A$2:$A$18,Games!$H$2:$H$18,"Missing game",0)</x:f>
        <x:v>34</x:v>
      </x:c>
      <x:c r="AN2269" t="str">
        <x:f>_xlfn.XLOOKUP($A2269,Games!$A$2:$A$18,Games!$I$2:$I$18,"Missing game",0)</x:f>
        <x:v>DAL</x:v>
      </x:c>
      <x:c r="AO2269" t="n">
        <x:f>_xlfn.XLOOKUP($A2269,Games!$A$2:$A$18,Games!$J$2:$J$18,"Missing game",0)</x:f>
        <x:v>26</x:v>
      </x:c>
      <x:c r="AP2269" t="n">
        <x:f>_xlfn.XLOOKUP($A2269,Games!$A$2:$A$18,Games!$K$2:$K$18,"Missing game",0)</x:f>
        <x:v>-8</x:v>
      </x:c>
      <x:c r="AQ2269" t="n">
        <x:f>_xlfn.XLOOKUP($A2269,Games!$A$2:$A$18,Games!$L$2:$L$18,"Missing game",0)</x:f>
        <x:v>60</x:v>
      </x:c>
      <x:c r="AR2269" t="n">
        <x:f>_xlfn.XLOOKUP($A2269,Games!$A$2:$A$18,Games!$M$2:$M$18,"Missing game",0)</x:f>
        <x:v>0</x:v>
      </x:c>
      <x:c r="AS2269" t="str">
        <x:f>_xlfn.XLOOKUP($A2269,Games!$A$2:$A$18,Games!$N$2:$N$18,"Missing game",0)</x:f>
        <x:v>closed</x:v>
      </x:c>
      <x:c r="AT2269" t="str">
        <x:f>_xlfn.XLOOKUP($A2269,Games!$A$2:$A$18,Games!$O$2:$O$18,"Missing game",0)</x:f>
        <x:v>matrixturf</x:v>
      </x:c>
      <x:c r="AU2269" t="str">
        <x:f>_xlfn.XLOOKUP($A2269,Games!$A$2:$A$18,Games!$P$2:$P$18,"Missing game",0)</x:f>
      </x:c>
      <x:c r="AV2269" t="str">
        <x:f>_xlfn.XLOOKUP($A2269,Games!$A$2:$A$18,Games!$Q$2:$Q$18,"Missing game",0)</x:f>
      </x:c>
      <x:c r="AW2269" t="str">
        <x:f>_xlfn.XLOOKUP($A2269,Games!$A$2:$A$18,Games!$R$2:$R$18,"Missing game",0)</x:f>
        <x:v>AT&amp;T Stadium</x:v>
      </x:c>
    </x:row>
    <x:row r="2270">
      <x:c r="A2270" t="str">
        <x:v>2025_15_MIN_DAL</x:v>
      </x:c>
      <x:c r="B2270" t="n">
        <x:v>2902</x:v>
      </x:c>
      <x:c r="C2270" t="n">
        <x:v>3</x:v>
      </x:c>
      <x:c r="D2270" t="str">
        <x:v>01:23</x:v>
      </x:c>
      <x:c r="E2270" t="n">
        <x:v>1</x:v>
      </x:c>
      <x:c r="F2270" t="n">
        <x:v>4</x:v>
      </x:c>
      <x:c r="G2270" t="str">
        <x:v>MIN</x:v>
      </x:c>
      <x:c r="H2270" t="str">
        <x:v>DAL</x:v>
      </x:c>
      <x:c r="I2270" t="str">
        <x:v>DAL</x:v>
      </x:c>
      <x:c r="J2270" t="n">
        <x:v>4</x:v>
      </x:c>
      <x:c r="K2270" t="str">
        <x:v>(1:23) 9-J.McCarthy pass incomplete short right. PENALTY on DAL-34-S.Revel, Illegal Contact, 3 yards, enforced at DAL 4 - No Play.</x:v>
      </x:c>
      <x:c r="L2270" t="str">
        <x:v>no_play</x:v>
      </x:c>
      <x:c r="M2270" t="n">
        <x:v>0</x:v>
      </x:c>
      <x:c r="N2270" t="n">
        <x:v>0</x:v>
      </x:c>
      <x:c r="O2270" t="n">
        <x:v>0</x:v>
      </x:c>
      <x:c r="P2270"/>
      <x:c r="Q2270"/>
      <x:c r="R2270"/>
      <x:c r="S2270"/>
      <x:c r="T2270"/>
      <x:c r="U2270"/>
      <x:c r="V2270" t="n">
        <x:v>0</x:v>
      </x:c>
      <x:c r="W2270" t="n">
        <x:v>1</x:v>
      </x:c>
      <x:c r="X2270" t="n">
        <x:v>0</x:v>
      </x:c>
      <x:c r="Y2270" t="n">
        <x:v>0</x:v>
      </x:c>
      <x:c r="Z2270" t="n">
        <x:v>0</x:v>
      </x:c>
      <x:c r="AA2270" t="n">
        <x:v>1</x:v>
      </x:c>
      <x:c r="AB2270" t="n">
        <x:v>3</x:v>
      </x:c>
      <x:c r="AC2270" t="n">
        <x:v>0</x:v>
      </x:c>
      <x:c r="AD2270" t="n">
        <x:v>0.506508943537483</x:v>
      </x:c>
      <x:c r="AE2270" t="n">
        <x:v>1</x:v>
      </x:c>
      <x:c r="AF2270" t="n">
        <x:v>0.04244387149810791</x:v>
      </x:c>
      <x:c r="AG2270" t="n">
        <x:f>_xlfn.XLOOKUP($A2270,Games!$A$2:$A$18,Games!$B$2:$B$18,"Missing game",0)</x:f>
        <x:v>2025</x:v>
      </x:c>
      <x:c r="AH2270" t="str">
        <x:f>_xlfn.XLOOKUP($A2270,Games!$A$2:$A$18,Games!$C$2:$C$18,"Missing game",0)</x:f>
        <x:v>REG</x:v>
      </x:c>
      <x:c r="AI2270" t="n">
        <x:f>_xlfn.XLOOKUP($A2270,Games!$A$2:$A$18,Games!$D$2:$D$18,"Missing game",0)</x:f>
        <x:v>15</x:v>
      </x:c>
      <x:c r="AJ2270" s="1" t="n">
        <x:f>_xlfn.XLOOKUP($A2270,Games!$A$2:$A$18,Games!$E$2:$E$18,"Missing game",0)</x:f>
        <x:v>46005</x:v>
      </x:c>
      <x:c r="AK2270" t="str">
        <x:f>_xlfn.XLOOKUP($A2270,Games!$A$2:$A$18,Games!$F$2:$F$18,"Missing game",0)</x:f>
        <x:v>Sunday</x:v>
      </x:c>
      <x:c r="AL2270" t="str">
        <x:f>_xlfn.XLOOKUP($A2270,Games!$A$2:$A$18,Games!$G$2:$G$18,"Missing game",0)</x:f>
        <x:v>MIN</x:v>
      </x:c>
      <x:c r="AM2270" t="n">
        <x:f>_xlfn.XLOOKUP($A2270,Games!$A$2:$A$18,Games!$H$2:$H$18,"Missing game",0)</x:f>
        <x:v>34</x:v>
      </x:c>
      <x:c r="AN2270" t="str">
        <x:f>_xlfn.XLOOKUP($A2270,Games!$A$2:$A$18,Games!$I$2:$I$18,"Missing game",0)</x:f>
        <x:v>DAL</x:v>
      </x:c>
      <x:c r="AO2270" t="n">
        <x:f>_xlfn.XLOOKUP($A2270,Games!$A$2:$A$18,Games!$J$2:$J$18,"Missing game",0)</x:f>
        <x:v>26</x:v>
      </x:c>
      <x:c r="AP2270" t="n">
        <x:f>_xlfn.XLOOKUP($A2270,Games!$A$2:$A$18,Games!$K$2:$K$18,"Missing game",0)</x:f>
        <x:v>-8</x:v>
      </x:c>
      <x:c r="AQ2270" t="n">
        <x:f>_xlfn.XLOOKUP($A2270,Games!$A$2:$A$18,Games!$L$2:$L$18,"Missing game",0)</x:f>
        <x:v>60</x:v>
      </x:c>
      <x:c r="AR2270" t="n">
        <x:f>_xlfn.XLOOKUP($A2270,Games!$A$2:$A$18,Games!$M$2:$M$18,"Missing game",0)</x:f>
        <x:v>0</x:v>
      </x:c>
      <x:c r="AS2270" t="str">
        <x:f>_xlfn.XLOOKUP($A2270,Games!$A$2:$A$18,Games!$N$2:$N$18,"Missing game",0)</x:f>
        <x:v>closed</x:v>
      </x:c>
      <x:c r="AT2270" t="str">
        <x:f>_xlfn.XLOOKUP($A2270,Games!$A$2:$A$18,Games!$O$2:$O$18,"Missing game",0)</x:f>
        <x:v>matrixturf</x:v>
      </x:c>
      <x:c r="AU2270" t="str">
        <x:f>_xlfn.XLOOKUP($A2270,Games!$A$2:$A$18,Games!$P$2:$P$18,"Missing game",0)</x:f>
      </x:c>
      <x:c r="AV2270" t="str">
        <x:f>_xlfn.XLOOKUP($A2270,Games!$A$2:$A$18,Games!$Q$2:$Q$18,"Missing game",0)</x:f>
      </x:c>
      <x:c r="AW2270" t="str">
        <x:f>_xlfn.XLOOKUP($A2270,Games!$A$2:$A$18,Games!$R$2:$R$18,"Missing game",0)</x:f>
        <x:v>AT&amp;T Stadium</x:v>
      </x:c>
    </x:row>
    <x:row r="2271">
      <x:c r="A2271" t="str">
        <x:v>2025_15_MIN_DAL</x:v>
      </x:c>
      <x:c r="B2271" t="n">
        <x:v>2936</x:v>
      </x:c>
      <x:c r="C2271" t="n">
        <x:v>3</x:v>
      </x:c>
      <x:c r="D2271" t="str">
        <x:v>01:18</x:v>
      </x:c>
      <x:c r="E2271" t="n">
        <x:v>1</x:v>
      </x:c>
      <x:c r="F2271" t="n">
        <x:v>1</x:v>
      </x:c>
      <x:c r="G2271" t="str">
        <x:v>MIN</x:v>
      </x:c>
      <x:c r="H2271" t="str">
        <x:v>DAL</x:v>
      </x:c>
      <x:c r="I2271" t="str">
        <x:v>DAL</x:v>
      </x:c>
      <x:c r="J2271" t="n">
        <x:v>1</x:v>
      </x:c>
      <x:c r="K2271" t="str">
        <x:v>(1:18) (Shotgun) 9-J.McCarthy pass incomplete short left to 18-J.Jefferson.</x:v>
      </x:c>
      <x:c r="L2271" t="str">
        <x:v>pass</x:v>
      </x:c>
      <x:c r="M2271" t="n">
        <x:v>0</x:v>
      </x:c>
      <x:c r="N2271" t="n">
        <x:v>1</x:v>
      </x:c>
      <x:c r="O2271" t="n">
        <x:v>0</x:v>
      </x:c>
      <x:c r="P2271" t="str">
        <x:v>short</x:v>
      </x:c>
      <x:c r="Q2271" t="str">
        <x:v>left</x:v>
      </x:c>
      <x:c r="R2271" t="n">
        <x:v>1</x:v>
      </x:c>
      <x:c r="S2271"/>
      <x:c r="T2271"/>
      <x:c r="U2271"/>
      <x:c r="V2271" t="n">
        <x:v>0</x:v>
      </x:c>
      <x:c r="W2271" t="n">
        <x:v>0</x:v>
      </x:c>
      <x:c r="X2271" t="n">
        <x:v>0</x:v>
      </x:c>
      <x:c r="Y2271" t="n">
        <x:v>0</x:v>
      </x:c>
      <x:c r="Z2271" t="n">
        <x:v>0</x:v>
      </x:c>
      <x:c r="AA2271" t="n">
        <x:v>0</x:v>
      </x:c>
      <x:c r="AB2271"/>
      <x:c r="AC2271" t="n">
        <x:v>0</x:v>
      </x:c>
      <x:c r="AD2271" t="n">
        <x:v>-0.24245099295512773</x:v>
      </x:c>
      <x:c r="AE2271" t="n">
        <x:v>0</x:v>
      </x:c>
      <x:c r="AF2271" t="n">
        <x:v>-0.011319994926452637</x:v>
      </x:c>
      <x:c r="AG2271" t="n">
        <x:f>_xlfn.XLOOKUP($A2271,Games!$A$2:$A$18,Games!$B$2:$B$18,"Missing game",0)</x:f>
        <x:v>2025</x:v>
      </x:c>
      <x:c r="AH2271" t="str">
        <x:f>_xlfn.XLOOKUP($A2271,Games!$A$2:$A$18,Games!$C$2:$C$18,"Missing game",0)</x:f>
        <x:v>REG</x:v>
      </x:c>
      <x:c r="AI2271" t="n">
        <x:f>_xlfn.XLOOKUP($A2271,Games!$A$2:$A$18,Games!$D$2:$D$18,"Missing game",0)</x:f>
        <x:v>15</x:v>
      </x:c>
      <x:c r="AJ2271" s="1" t="n">
        <x:f>_xlfn.XLOOKUP($A2271,Games!$A$2:$A$18,Games!$E$2:$E$18,"Missing game",0)</x:f>
        <x:v>46005</x:v>
      </x:c>
      <x:c r="AK2271" t="str">
        <x:f>_xlfn.XLOOKUP($A2271,Games!$A$2:$A$18,Games!$F$2:$F$18,"Missing game",0)</x:f>
        <x:v>Sunday</x:v>
      </x:c>
      <x:c r="AL2271" t="str">
        <x:f>_xlfn.XLOOKUP($A2271,Games!$A$2:$A$18,Games!$G$2:$G$18,"Missing game",0)</x:f>
        <x:v>MIN</x:v>
      </x:c>
      <x:c r="AM2271" t="n">
        <x:f>_xlfn.XLOOKUP($A2271,Games!$A$2:$A$18,Games!$H$2:$H$18,"Missing game",0)</x:f>
        <x:v>34</x:v>
      </x:c>
      <x:c r="AN2271" t="str">
        <x:f>_xlfn.XLOOKUP($A2271,Games!$A$2:$A$18,Games!$I$2:$I$18,"Missing game",0)</x:f>
        <x:v>DAL</x:v>
      </x:c>
      <x:c r="AO2271" t="n">
        <x:f>_xlfn.XLOOKUP($A2271,Games!$A$2:$A$18,Games!$J$2:$J$18,"Missing game",0)</x:f>
        <x:v>26</x:v>
      </x:c>
      <x:c r="AP2271" t="n">
        <x:f>_xlfn.XLOOKUP($A2271,Games!$A$2:$A$18,Games!$K$2:$K$18,"Missing game",0)</x:f>
        <x:v>-8</x:v>
      </x:c>
      <x:c r="AQ2271" t="n">
        <x:f>_xlfn.XLOOKUP($A2271,Games!$A$2:$A$18,Games!$L$2:$L$18,"Missing game",0)</x:f>
        <x:v>60</x:v>
      </x:c>
      <x:c r="AR2271" t="n">
        <x:f>_xlfn.XLOOKUP($A2271,Games!$A$2:$A$18,Games!$M$2:$M$18,"Missing game",0)</x:f>
        <x:v>0</x:v>
      </x:c>
      <x:c r="AS2271" t="str">
        <x:f>_xlfn.XLOOKUP($A2271,Games!$A$2:$A$18,Games!$N$2:$N$18,"Missing game",0)</x:f>
        <x:v>closed</x:v>
      </x:c>
      <x:c r="AT2271" t="str">
        <x:f>_xlfn.XLOOKUP($A2271,Games!$A$2:$A$18,Games!$O$2:$O$18,"Missing game",0)</x:f>
        <x:v>matrixturf</x:v>
      </x:c>
      <x:c r="AU2271" t="str">
        <x:f>_xlfn.XLOOKUP($A2271,Games!$A$2:$A$18,Games!$P$2:$P$18,"Missing game",0)</x:f>
      </x:c>
      <x:c r="AV2271" t="str">
        <x:f>_xlfn.XLOOKUP($A2271,Games!$A$2:$A$18,Games!$Q$2:$Q$18,"Missing game",0)</x:f>
      </x:c>
      <x:c r="AW2271" t="str">
        <x:f>_xlfn.XLOOKUP($A2271,Games!$A$2:$A$18,Games!$R$2:$R$18,"Missing game",0)</x:f>
        <x:v>AT&amp;T Stadium</x:v>
      </x:c>
    </x:row>
    <x:row r="2272">
      <x:c r="A2272" t="str">
        <x:v>2025_15_MIN_DAL</x:v>
      </x:c>
      <x:c r="B2272" t="n">
        <x:v>2959</x:v>
      </x:c>
      <x:c r="C2272" t="n">
        <x:v>3</x:v>
      </x:c>
      <x:c r="D2272" t="str">
        <x:v>01:14</x:v>
      </x:c>
      <x:c r="E2272" t="n">
        <x:v>2</x:v>
      </x:c>
      <x:c r="F2272" t="n">
        <x:v>1</x:v>
      </x:c>
      <x:c r="G2272" t="str">
        <x:v>MIN</x:v>
      </x:c>
      <x:c r="H2272" t="str">
        <x:v>DAL</x:v>
      </x:c>
      <x:c r="I2272" t="str">
        <x:v>DAL</x:v>
      </x:c>
      <x:c r="J2272" t="n">
        <x:v>1</x:v>
      </x:c>
      <x:c r="K2272" t="str">
        <x:v>(1:14) 30-C.Ham up the middle for 1 yard, TOUCHDOWN.</x:v>
      </x:c>
      <x:c r="L2272" t="str">
        <x:v>run</x:v>
      </x:c>
      <x:c r="M2272" t="n">
        <x:v>1</x:v>
      </x:c>
      <x:c r="N2272" t="n">
        <x:v>0</x:v>
      </x:c>
      <x:c r="O2272" t="n">
        <x:v>0</x:v>
      </x:c>
      <x:c r="P2272"/>
      <x:c r="Q2272"/>
      <x:c r="R2272"/>
      <x:c r="S2272"/>
      <x:c r="T2272" t="str">
        <x:v>middle</x:v>
      </x:c>
      <x:c r="U2272"/>
      <x:c r="V2272" t="n">
        <x:v>0</x:v>
      </x:c>
      <x:c r="W2272" t="n">
        <x:v>1</x:v>
      </x:c>
      <x:c r="X2272" t="n">
        <x:v>0</x:v>
      </x:c>
      <x:c r="Y2272" t="n">
        <x:v>0</x:v>
      </x:c>
      <x:c r="Z2272" t="n">
        <x:v>0</x:v>
      </x:c>
      <x:c r="AA2272" t="n">
        <x:v>0</x:v>
      </x:c>
      <x:c r="AB2272"/>
      <x:c r="AC2272" t="n">
        <x:v>1</x:v>
      </x:c>
      <x:c r="AD2272" t="n">
        <x:v>0.7691153493360616</x:v>
      </x:c>
      <x:c r="AE2272" t="n">
        <x:v>1</x:v>
      </x:c>
      <x:c r="AF2272" t="n">
        <x:v>0.019224315456760288</x:v>
      </x:c>
      <x:c r="AG2272" t="n">
        <x:f>_xlfn.XLOOKUP($A2272,Games!$A$2:$A$18,Games!$B$2:$B$18,"Missing game",0)</x:f>
        <x:v>2025</x:v>
      </x:c>
      <x:c r="AH2272" t="str">
        <x:f>_xlfn.XLOOKUP($A2272,Games!$A$2:$A$18,Games!$C$2:$C$18,"Missing game",0)</x:f>
        <x:v>REG</x:v>
      </x:c>
      <x:c r="AI2272" t="n">
        <x:f>_xlfn.XLOOKUP($A2272,Games!$A$2:$A$18,Games!$D$2:$D$18,"Missing game",0)</x:f>
        <x:v>15</x:v>
      </x:c>
      <x:c r="AJ2272" s="1" t="n">
        <x:f>_xlfn.XLOOKUP($A2272,Games!$A$2:$A$18,Games!$E$2:$E$18,"Missing game",0)</x:f>
        <x:v>46005</x:v>
      </x:c>
      <x:c r="AK2272" t="str">
        <x:f>_xlfn.XLOOKUP($A2272,Games!$A$2:$A$18,Games!$F$2:$F$18,"Missing game",0)</x:f>
        <x:v>Sunday</x:v>
      </x:c>
      <x:c r="AL2272" t="str">
        <x:f>_xlfn.XLOOKUP($A2272,Games!$A$2:$A$18,Games!$G$2:$G$18,"Missing game",0)</x:f>
        <x:v>MIN</x:v>
      </x:c>
      <x:c r="AM2272" t="n">
        <x:f>_xlfn.XLOOKUP($A2272,Games!$A$2:$A$18,Games!$H$2:$H$18,"Missing game",0)</x:f>
        <x:v>34</x:v>
      </x:c>
      <x:c r="AN2272" t="str">
        <x:f>_xlfn.XLOOKUP($A2272,Games!$A$2:$A$18,Games!$I$2:$I$18,"Missing game",0)</x:f>
        <x:v>DAL</x:v>
      </x:c>
      <x:c r="AO2272" t="n">
        <x:f>_xlfn.XLOOKUP($A2272,Games!$A$2:$A$18,Games!$J$2:$J$18,"Missing game",0)</x:f>
        <x:v>26</x:v>
      </x:c>
      <x:c r="AP2272" t="n">
        <x:f>_xlfn.XLOOKUP($A2272,Games!$A$2:$A$18,Games!$K$2:$K$18,"Missing game",0)</x:f>
        <x:v>-8</x:v>
      </x:c>
      <x:c r="AQ2272" t="n">
        <x:f>_xlfn.XLOOKUP($A2272,Games!$A$2:$A$18,Games!$L$2:$L$18,"Missing game",0)</x:f>
        <x:v>60</x:v>
      </x:c>
      <x:c r="AR2272" t="n">
        <x:f>_xlfn.XLOOKUP($A2272,Games!$A$2:$A$18,Games!$M$2:$M$18,"Missing game",0)</x:f>
        <x:v>0</x:v>
      </x:c>
      <x:c r="AS2272" t="str">
        <x:f>_xlfn.XLOOKUP($A2272,Games!$A$2:$A$18,Games!$N$2:$N$18,"Missing game",0)</x:f>
        <x:v>closed</x:v>
      </x:c>
      <x:c r="AT2272" t="str">
        <x:f>_xlfn.XLOOKUP($A2272,Games!$A$2:$A$18,Games!$O$2:$O$18,"Missing game",0)</x:f>
        <x:v>matrixturf</x:v>
      </x:c>
      <x:c r="AU2272" t="str">
        <x:f>_xlfn.XLOOKUP($A2272,Games!$A$2:$A$18,Games!$P$2:$P$18,"Missing game",0)</x:f>
      </x:c>
      <x:c r="AV2272" t="str">
        <x:f>_xlfn.XLOOKUP($A2272,Games!$A$2:$A$18,Games!$Q$2:$Q$18,"Missing game",0)</x:f>
      </x:c>
      <x:c r="AW2272" t="str">
        <x:f>_xlfn.XLOOKUP($A2272,Games!$A$2:$A$18,Games!$R$2:$R$18,"Missing game",0)</x:f>
        <x:v>AT&amp;T Stadium</x:v>
      </x:c>
    </x:row>
    <x:row r="2273">
      <x:c r="A2273" t="str">
        <x:v>2025_15_MIN_DAL</x:v>
      </x:c>
      <x:c r="B2273" t="n">
        <x:v>2982</x:v>
      </x:c>
      <x:c r="C2273" t="n">
        <x:v>3</x:v>
      </x:c>
      <x:c r="D2273" t="str">
        <x:v>01:12</x:v>
      </x:c>
      <x:c r="E2273"/>
      <x:c r="F2273" t="n">
        <x:v>0</x:v>
      </x:c>
      <x:c r="G2273" t="str">
        <x:v>MIN</x:v>
      </x:c>
      <x:c r="H2273" t="str">
        <x:v>DAL</x:v>
      </x:c>
      <x:c r="I2273" t="str">
        <x:v>DAL</x:v>
      </x:c>
      <x:c r="J2273" t="n">
        <x:v>15</x:v>
      </x:c>
      <x:c r="K2273" t="str">
        <x:v>16-W.Reichard extra point is GOOD, Center-42-A.DePaola, Holder-17-R.Wright.</x:v>
      </x:c>
      <x:c r="L2273" t="str">
        <x:v>extra_point</x:v>
      </x:c>
      <x:c r="M2273" t="n">
        <x:v>0</x:v>
      </x:c>
      <x:c r="N2273" t="n">
        <x:v>0</x:v>
      </x:c>
      <x:c r="O2273" t="n">
        <x:v>0</x:v>
      </x:c>
      <x:c r="P2273"/>
      <x:c r="Q2273"/>
      <x:c r="R2273"/>
      <x:c r="S2273"/>
      <x:c r="T2273"/>
      <x:c r="U2273"/>
      <x:c r="V2273" t="n">
        <x:v>0</x:v>
      </x:c>
      <x:c r="W2273" t="n">
        <x:v>0</x:v>
      </x:c>
      <x:c r="X2273" t="n">
        <x:v>0</x:v>
      </x:c>
      <x:c r="Y2273" t="n">
        <x:v>0</x:v>
      </x:c>
      <x:c r="Z2273" t="n">
        <x:v>0</x:v>
      </x:c>
      <x:c r="AA2273" t="n">
        <x:v>0</x:v>
      </x:c>
      <x:c r="AB2273"/>
      <x:c r="AC2273" t="n">
        <x:v>0</x:v>
      </x:c>
      <x:c r="AD2273" t="n">
        <x:v>0.06857135097992784</x:v>
      </x:c>
      <x:c r="AE2273" t="n">
        <x:v>1</x:v>
      </x:c>
      <x:c r="AF2273" t="n">
        <x:v>0.0011294488388177149</x:v>
      </x:c>
      <x:c r="AG2273" t="n">
        <x:f>_xlfn.XLOOKUP($A2273,Games!$A$2:$A$18,Games!$B$2:$B$18,"Missing game",0)</x:f>
        <x:v>2025</x:v>
      </x:c>
      <x:c r="AH2273" t="str">
        <x:f>_xlfn.XLOOKUP($A2273,Games!$A$2:$A$18,Games!$C$2:$C$18,"Missing game",0)</x:f>
        <x:v>REG</x:v>
      </x:c>
      <x:c r="AI2273" t="n">
        <x:f>_xlfn.XLOOKUP($A2273,Games!$A$2:$A$18,Games!$D$2:$D$18,"Missing game",0)</x:f>
        <x:v>15</x:v>
      </x:c>
      <x:c r="AJ2273" s="1" t="n">
        <x:f>_xlfn.XLOOKUP($A2273,Games!$A$2:$A$18,Games!$E$2:$E$18,"Missing game",0)</x:f>
        <x:v>46005</x:v>
      </x:c>
      <x:c r="AK2273" t="str">
        <x:f>_xlfn.XLOOKUP($A2273,Games!$A$2:$A$18,Games!$F$2:$F$18,"Missing game",0)</x:f>
        <x:v>Sunday</x:v>
      </x:c>
      <x:c r="AL2273" t="str">
        <x:f>_xlfn.XLOOKUP($A2273,Games!$A$2:$A$18,Games!$G$2:$G$18,"Missing game",0)</x:f>
        <x:v>MIN</x:v>
      </x:c>
      <x:c r="AM2273" t="n">
        <x:f>_xlfn.XLOOKUP($A2273,Games!$A$2:$A$18,Games!$H$2:$H$18,"Missing game",0)</x:f>
        <x:v>34</x:v>
      </x:c>
      <x:c r="AN2273" t="str">
        <x:f>_xlfn.XLOOKUP($A2273,Games!$A$2:$A$18,Games!$I$2:$I$18,"Missing game",0)</x:f>
        <x:v>DAL</x:v>
      </x:c>
      <x:c r="AO2273" t="n">
        <x:f>_xlfn.XLOOKUP($A2273,Games!$A$2:$A$18,Games!$J$2:$J$18,"Missing game",0)</x:f>
        <x:v>26</x:v>
      </x:c>
      <x:c r="AP2273" t="n">
        <x:f>_xlfn.XLOOKUP($A2273,Games!$A$2:$A$18,Games!$K$2:$K$18,"Missing game",0)</x:f>
        <x:v>-8</x:v>
      </x:c>
      <x:c r="AQ2273" t="n">
        <x:f>_xlfn.XLOOKUP($A2273,Games!$A$2:$A$18,Games!$L$2:$L$18,"Missing game",0)</x:f>
        <x:v>60</x:v>
      </x:c>
      <x:c r="AR2273" t="n">
        <x:f>_xlfn.XLOOKUP($A2273,Games!$A$2:$A$18,Games!$M$2:$M$18,"Missing game",0)</x:f>
        <x:v>0</x:v>
      </x:c>
      <x:c r="AS2273" t="str">
        <x:f>_xlfn.XLOOKUP($A2273,Games!$A$2:$A$18,Games!$N$2:$N$18,"Missing game",0)</x:f>
        <x:v>closed</x:v>
      </x:c>
      <x:c r="AT2273" t="str">
        <x:f>_xlfn.XLOOKUP($A2273,Games!$A$2:$A$18,Games!$O$2:$O$18,"Missing game",0)</x:f>
        <x:v>matrixturf</x:v>
      </x:c>
      <x:c r="AU2273" t="str">
        <x:f>_xlfn.XLOOKUP($A2273,Games!$A$2:$A$18,Games!$P$2:$P$18,"Missing game",0)</x:f>
      </x:c>
      <x:c r="AV2273" t="str">
        <x:f>_xlfn.XLOOKUP($A2273,Games!$A$2:$A$18,Games!$Q$2:$Q$18,"Missing game",0)</x:f>
      </x:c>
      <x:c r="AW2273" t="str">
        <x:f>_xlfn.XLOOKUP($A2273,Games!$A$2:$A$18,Games!$R$2:$R$18,"Missing game",0)</x:f>
        <x:v>AT&amp;T Stadium</x:v>
      </x:c>
    </x:row>
    <x:row r="2274">
      <x:c r="A2274" t="str">
        <x:v>2025_15_MIN_DAL</x:v>
      </x:c>
      <x:c r="B2274" t="n">
        <x:v>2997</x:v>
      </x:c>
      <x:c r="C2274" t="n">
        <x:v>3</x:v>
      </x:c>
      <x:c r="D2274" t="str">
        <x:v>01:12</x:v>
      </x:c>
      <x:c r="E2274"/>
      <x:c r="F2274" t="n">
        <x:v>0</x:v>
      </x:c>
      <x:c r="G2274" t="str">
        <x:v>DAL</x:v>
      </x:c>
      <x:c r="H2274" t="str">
        <x:v>MIN</x:v>
      </x:c>
      <x:c r="I2274" t="str">
        <x:v>MIN</x:v>
      </x:c>
      <x:c r="J2274" t="n">
        <x:v>35</x:v>
      </x:c>
      <x:c r="K2274" t="str">
        <x:v>16-W.Reichard kicks 65 yards from MIN 35 to end zone, Touchback to the DAL 35.</x:v>
      </x:c>
      <x:c r="L2274" t="str">
        <x:v>kickoff</x:v>
      </x:c>
      <x:c r="M2274" t="n">
        <x:v>0</x:v>
      </x:c>
      <x:c r="N2274" t="n">
        <x:v>0</x:v>
      </x:c>
      <x:c r="O2274" t="n">
        <x:v>0</x:v>
      </x:c>
      <x:c r="P2274"/>
      <x:c r="Q2274"/>
      <x:c r="R2274"/>
      <x:c r="S2274"/>
      <x:c r="T2274"/>
      <x:c r="U2274"/>
      <x:c r="V2274" t="n">
        <x:v>0</x:v>
      </x:c>
      <x:c r="W2274" t="n">
        <x:v>0</x:v>
      </x:c>
      <x:c r="X2274" t="n">
        <x:v>0</x:v>
      </x:c>
      <x:c r="Y2274" t="n">
        <x:v>0</x:v>
      </x:c>
      <x:c r="Z2274" t="n">
        <x:v>0</x:v>
      </x:c>
      <x:c r="AA2274" t="n">
        <x:v>0</x:v>
      </x:c>
      <x:c r="AB2274"/>
      <x:c r="AC2274" t="n">
        <x:v>0</x:v>
      </x:c>
      <x:c r="AD2274" t="n">
        <x:v>0.5230418008286506</x:v>
      </x:c>
      <x:c r="AE2274" t="n">
        <x:v>1</x:v>
      </x:c>
      <x:c r="AF2274" t="n">
        <x:v>0.021913349628448486</x:v>
      </x:c>
      <x:c r="AG2274" t="n">
        <x:f>_xlfn.XLOOKUP($A2274,Games!$A$2:$A$18,Games!$B$2:$B$18,"Missing game",0)</x:f>
        <x:v>2025</x:v>
      </x:c>
      <x:c r="AH2274" t="str">
        <x:f>_xlfn.XLOOKUP($A2274,Games!$A$2:$A$18,Games!$C$2:$C$18,"Missing game",0)</x:f>
        <x:v>REG</x:v>
      </x:c>
      <x:c r="AI2274" t="n">
        <x:f>_xlfn.XLOOKUP($A2274,Games!$A$2:$A$18,Games!$D$2:$D$18,"Missing game",0)</x:f>
        <x:v>15</x:v>
      </x:c>
      <x:c r="AJ2274" s="1" t="n">
        <x:f>_xlfn.XLOOKUP($A2274,Games!$A$2:$A$18,Games!$E$2:$E$18,"Missing game",0)</x:f>
        <x:v>46005</x:v>
      </x:c>
      <x:c r="AK2274" t="str">
        <x:f>_xlfn.XLOOKUP($A2274,Games!$A$2:$A$18,Games!$F$2:$F$18,"Missing game",0)</x:f>
        <x:v>Sunday</x:v>
      </x:c>
      <x:c r="AL2274" t="str">
        <x:f>_xlfn.XLOOKUP($A2274,Games!$A$2:$A$18,Games!$G$2:$G$18,"Missing game",0)</x:f>
        <x:v>MIN</x:v>
      </x:c>
      <x:c r="AM2274" t="n">
        <x:f>_xlfn.XLOOKUP($A2274,Games!$A$2:$A$18,Games!$H$2:$H$18,"Missing game",0)</x:f>
        <x:v>34</x:v>
      </x:c>
      <x:c r="AN2274" t="str">
        <x:f>_xlfn.XLOOKUP($A2274,Games!$A$2:$A$18,Games!$I$2:$I$18,"Missing game",0)</x:f>
        <x:v>DAL</x:v>
      </x:c>
      <x:c r="AO2274" t="n">
        <x:f>_xlfn.XLOOKUP($A2274,Games!$A$2:$A$18,Games!$J$2:$J$18,"Missing game",0)</x:f>
        <x:v>26</x:v>
      </x:c>
      <x:c r="AP2274" t="n">
        <x:f>_xlfn.XLOOKUP($A2274,Games!$A$2:$A$18,Games!$K$2:$K$18,"Missing game",0)</x:f>
        <x:v>-8</x:v>
      </x:c>
      <x:c r="AQ2274" t="n">
        <x:f>_xlfn.XLOOKUP($A2274,Games!$A$2:$A$18,Games!$L$2:$L$18,"Missing game",0)</x:f>
        <x:v>60</x:v>
      </x:c>
      <x:c r="AR2274" t="n">
        <x:f>_xlfn.XLOOKUP($A2274,Games!$A$2:$A$18,Games!$M$2:$M$18,"Missing game",0)</x:f>
        <x:v>0</x:v>
      </x:c>
      <x:c r="AS2274" t="str">
        <x:f>_xlfn.XLOOKUP($A2274,Games!$A$2:$A$18,Games!$N$2:$N$18,"Missing game",0)</x:f>
        <x:v>closed</x:v>
      </x:c>
      <x:c r="AT2274" t="str">
        <x:f>_xlfn.XLOOKUP($A2274,Games!$A$2:$A$18,Games!$O$2:$O$18,"Missing game",0)</x:f>
        <x:v>matrixturf</x:v>
      </x:c>
      <x:c r="AU2274" t="str">
        <x:f>_xlfn.XLOOKUP($A2274,Games!$A$2:$A$18,Games!$P$2:$P$18,"Missing game",0)</x:f>
      </x:c>
      <x:c r="AV2274" t="str">
        <x:f>_xlfn.XLOOKUP($A2274,Games!$A$2:$A$18,Games!$Q$2:$Q$18,"Missing game",0)</x:f>
      </x:c>
      <x:c r="AW2274" t="str">
        <x:f>_xlfn.XLOOKUP($A2274,Games!$A$2:$A$18,Games!$R$2:$R$18,"Missing game",0)</x:f>
        <x:v>AT&amp;T Stadium</x:v>
      </x:c>
    </x:row>
    <x:row r="2275">
      <x:c r="A2275" t="str">
        <x:v>2025_15_MIN_DAL</x:v>
      </x:c>
      <x:c r="B2275" t="n">
        <x:v>3021</x:v>
      </x:c>
      <x:c r="C2275" t="n">
        <x:v>3</x:v>
      </x:c>
      <x:c r="D2275" t="str">
        <x:v>01:12</x:v>
      </x:c>
      <x:c r="E2275" t="n">
        <x:v>1</x:v>
      </x:c>
      <x:c r="F2275" t="n">
        <x:v>10</x:v>
      </x:c>
      <x:c r="G2275" t="str">
        <x:v>DAL</x:v>
      </x:c>
      <x:c r="H2275" t="str">
        <x:v>MIN</x:v>
      </x:c>
      <x:c r="I2275" t="str">
        <x:v>DAL</x:v>
      </x:c>
      <x:c r="J2275" t="n">
        <x:v>65</x:v>
      </x:c>
      <x:c r="K2275" t="str">
        <x:v>(1:12) 33-J.Williams up the middle to DAL 46 for 11 yards (44-J.Metellus; 22-H.Smith).</x:v>
      </x:c>
      <x:c r="L2275" t="str">
        <x:v>run</x:v>
      </x:c>
      <x:c r="M2275" t="n">
        <x:v>11</x:v>
      </x:c>
      <x:c r="N2275" t="n">
        <x:v>0</x:v>
      </x:c>
      <x:c r="O2275" t="n">
        <x:v>0</x:v>
      </x:c>
      <x:c r="P2275"/>
      <x:c r="Q2275"/>
      <x:c r="R2275"/>
      <x:c r="S2275"/>
      <x:c r="T2275" t="str">
        <x:v>middle</x:v>
      </x:c>
      <x:c r="U2275"/>
      <x:c r="V2275" t="n">
        <x:v>0</x:v>
      </x:c>
      <x:c r="W2275" t="n">
        <x:v>1</x:v>
      </x:c>
      <x:c r="X2275" t="n">
        <x:v>0</x:v>
      </x:c>
      <x:c r="Y2275" t="n">
        <x:v>0</x:v>
      </x:c>
      <x:c r="Z2275" t="n">
        <x:v>0</x:v>
      </x:c>
      <x:c r="AA2275" t="n">
        <x:v>0</x:v>
      </x:c>
      <x:c r="AB2275"/>
      <x:c r="AC2275" t="n">
        <x:v>0</x:v>
      </x:c>
      <x:c r="AD2275" t="n">
        <x:v>0.7314087408594787</x:v>
      </x:c>
      <x:c r="AE2275" t="n">
        <x:v>1</x:v>
      </x:c>
      <x:c r="AF2275" t="n">
        <x:v>0.01670515537261963</x:v>
      </x:c>
      <x:c r="AG2275" t="n">
        <x:f>_xlfn.XLOOKUP($A2275,Games!$A$2:$A$18,Games!$B$2:$B$18,"Missing game",0)</x:f>
        <x:v>2025</x:v>
      </x:c>
      <x:c r="AH2275" t="str">
        <x:f>_xlfn.XLOOKUP($A2275,Games!$A$2:$A$18,Games!$C$2:$C$18,"Missing game",0)</x:f>
        <x:v>REG</x:v>
      </x:c>
      <x:c r="AI2275" t="n">
        <x:f>_xlfn.XLOOKUP($A2275,Games!$A$2:$A$18,Games!$D$2:$D$18,"Missing game",0)</x:f>
        <x:v>15</x:v>
      </x:c>
      <x:c r="AJ2275" s="1" t="n">
        <x:f>_xlfn.XLOOKUP($A2275,Games!$A$2:$A$18,Games!$E$2:$E$18,"Missing game",0)</x:f>
        <x:v>46005</x:v>
      </x:c>
      <x:c r="AK2275" t="str">
        <x:f>_xlfn.XLOOKUP($A2275,Games!$A$2:$A$18,Games!$F$2:$F$18,"Missing game",0)</x:f>
        <x:v>Sunday</x:v>
      </x:c>
      <x:c r="AL2275" t="str">
        <x:f>_xlfn.XLOOKUP($A2275,Games!$A$2:$A$18,Games!$G$2:$G$18,"Missing game",0)</x:f>
        <x:v>MIN</x:v>
      </x:c>
      <x:c r="AM2275" t="n">
        <x:f>_xlfn.XLOOKUP($A2275,Games!$A$2:$A$18,Games!$H$2:$H$18,"Missing game",0)</x:f>
        <x:v>34</x:v>
      </x:c>
      <x:c r="AN2275" t="str">
        <x:f>_xlfn.XLOOKUP($A2275,Games!$A$2:$A$18,Games!$I$2:$I$18,"Missing game",0)</x:f>
        <x:v>DAL</x:v>
      </x:c>
      <x:c r="AO2275" t="n">
        <x:f>_xlfn.XLOOKUP($A2275,Games!$A$2:$A$18,Games!$J$2:$J$18,"Missing game",0)</x:f>
        <x:v>26</x:v>
      </x:c>
      <x:c r="AP2275" t="n">
        <x:f>_xlfn.XLOOKUP($A2275,Games!$A$2:$A$18,Games!$K$2:$K$18,"Missing game",0)</x:f>
        <x:v>-8</x:v>
      </x:c>
      <x:c r="AQ2275" t="n">
        <x:f>_xlfn.XLOOKUP($A2275,Games!$A$2:$A$18,Games!$L$2:$L$18,"Missing game",0)</x:f>
        <x:v>60</x:v>
      </x:c>
      <x:c r="AR2275" t="n">
        <x:f>_xlfn.XLOOKUP($A2275,Games!$A$2:$A$18,Games!$M$2:$M$18,"Missing game",0)</x:f>
        <x:v>0</x:v>
      </x:c>
      <x:c r="AS2275" t="str">
        <x:f>_xlfn.XLOOKUP($A2275,Games!$A$2:$A$18,Games!$N$2:$N$18,"Missing game",0)</x:f>
        <x:v>closed</x:v>
      </x:c>
      <x:c r="AT2275" t="str">
        <x:f>_xlfn.XLOOKUP($A2275,Games!$A$2:$A$18,Games!$O$2:$O$18,"Missing game",0)</x:f>
        <x:v>matrixturf</x:v>
      </x:c>
      <x:c r="AU2275" t="str">
        <x:f>_xlfn.XLOOKUP($A2275,Games!$A$2:$A$18,Games!$P$2:$P$18,"Missing game",0)</x:f>
      </x:c>
      <x:c r="AV2275" t="str">
        <x:f>_xlfn.XLOOKUP($A2275,Games!$A$2:$A$18,Games!$Q$2:$Q$18,"Missing game",0)</x:f>
      </x:c>
      <x:c r="AW2275" t="str">
        <x:f>_xlfn.XLOOKUP($A2275,Games!$A$2:$A$18,Games!$R$2:$R$18,"Missing game",0)</x:f>
        <x:v>AT&amp;T Stadium</x:v>
      </x:c>
    </x:row>
    <x:row r="2276">
      <x:c r="A2276" t="str">
        <x:v>2025_15_MIN_DAL</x:v>
      </x:c>
      <x:c r="B2276" t="n">
        <x:v>3043</x:v>
      </x:c>
      <x:c r="C2276" t="n">
        <x:v>3</x:v>
      </x:c>
      <x:c r="D2276" t="str">
        <x:v>00:38</x:v>
      </x:c>
      <x:c r="E2276" t="n">
        <x:v>1</x:v>
      </x:c>
      <x:c r="F2276" t="n">
        <x:v>10</x:v>
      </x:c>
      <x:c r="G2276" t="str">
        <x:v>DAL</x:v>
      </x:c>
      <x:c r="H2276" t="str">
        <x:v>MIN</x:v>
      </x:c>
      <x:c r="I2276" t="str">
        <x:v>DAL</x:v>
      </x:c>
      <x:c r="J2276" t="n">
        <x:v>54</x:v>
      </x:c>
      <x:c r="K2276" t="str">
        <x:v>(:38) 33-J.Williams left guard to MIN 46 for 8 yards (51-B.Cashman; 15-D.Turner).</x:v>
      </x:c>
      <x:c r="L2276" t="str">
        <x:v>run</x:v>
      </x:c>
      <x:c r="M2276" t="n">
        <x:v>8</x:v>
      </x:c>
      <x:c r="N2276" t="n">
        <x:v>0</x:v>
      </x:c>
      <x:c r="O2276" t="n">
        <x:v>0</x:v>
      </x:c>
      <x:c r="P2276"/>
      <x:c r="Q2276"/>
      <x:c r="R2276"/>
      <x:c r="S2276"/>
      <x:c r="T2276" t="str">
        <x:v>left</x:v>
      </x:c>
      <x:c r="U2276" t="str">
        <x:v>guard</x:v>
      </x:c>
      <x:c r="V2276" t="n">
        <x:v>0</x:v>
      </x:c>
      <x:c r="W2276" t="n">
        <x:v>0</x:v>
      </x:c>
      <x:c r="X2276" t="n">
        <x:v>0</x:v>
      </x:c>
      <x:c r="Y2276" t="n">
        <x:v>0</x:v>
      </x:c>
      <x:c r="Z2276" t="n">
        <x:v>0</x:v>
      </x:c>
      <x:c r="AA2276" t="n">
        <x:v>0</x:v>
      </x:c>
      <x:c r="AB2276"/>
      <x:c r="AC2276" t="n">
        <x:v>0</x:v>
      </x:c>
      <x:c r="AD2276" t="n">
        <x:v>0.4538916228339076</x:v>
      </x:c>
      <x:c r="AE2276" t="n">
        <x:v>1</x:v>
      </x:c>
      <x:c r="AF2276" t="n">
        <x:v>0.02925872802734375</x:v>
      </x:c>
      <x:c r="AG2276" t="n">
        <x:f>_xlfn.XLOOKUP($A2276,Games!$A$2:$A$18,Games!$B$2:$B$18,"Missing game",0)</x:f>
        <x:v>2025</x:v>
      </x:c>
      <x:c r="AH2276" t="str">
        <x:f>_xlfn.XLOOKUP($A2276,Games!$A$2:$A$18,Games!$C$2:$C$18,"Missing game",0)</x:f>
        <x:v>REG</x:v>
      </x:c>
      <x:c r="AI2276" t="n">
        <x:f>_xlfn.XLOOKUP($A2276,Games!$A$2:$A$18,Games!$D$2:$D$18,"Missing game",0)</x:f>
        <x:v>15</x:v>
      </x:c>
      <x:c r="AJ2276" s="1" t="n">
        <x:f>_xlfn.XLOOKUP($A2276,Games!$A$2:$A$18,Games!$E$2:$E$18,"Missing game",0)</x:f>
        <x:v>46005</x:v>
      </x:c>
      <x:c r="AK2276" t="str">
        <x:f>_xlfn.XLOOKUP($A2276,Games!$A$2:$A$18,Games!$F$2:$F$18,"Missing game",0)</x:f>
        <x:v>Sunday</x:v>
      </x:c>
      <x:c r="AL2276" t="str">
        <x:f>_xlfn.XLOOKUP($A2276,Games!$A$2:$A$18,Games!$G$2:$G$18,"Missing game",0)</x:f>
        <x:v>MIN</x:v>
      </x:c>
      <x:c r="AM2276" t="n">
        <x:f>_xlfn.XLOOKUP($A2276,Games!$A$2:$A$18,Games!$H$2:$H$18,"Missing game",0)</x:f>
        <x:v>34</x:v>
      </x:c>
      <x:c r="AN2276" t="str">
        <x:f>_xlfn.XLOOKUP($A2276,Games!$A$2:$A$18,Games!$I$2:$I$18,"Missing game",0)</x:f>
        <x:v>DAL</x:v>
      </x:c>
      <x:c r="AO2276" t="n">
        <x:f>_xlfn.XLOOKUP($A2276,Games!$A$2:$A$18,Games!$J$2:$J$18,"Missing game",0)</x:f>
        <x:v>26</x:v>
      </x:c>
      <x:c r="AP2276" t="n">
        <x:f>_xlfn.XLOOKUP($A2276,Games!$A$2:$A$18,Games!$K$2:$K$18,"Missing game",0)</x:f>
        <x:v>-8</x:v>
      </x:c>
      <x:c r="AQ2276" t="n">
        <x:f>_xlfn.XLOOKUP($A2276,Games!$A$2:$A$18,Games!$L$2:$L$18,"Missing game",0)</x:f>
        <x:v>60</x:v>
      </x:c>
      <x:c r="AR2276" t="n">
        <x:f>_xlfn.XLOOKUP($A2276,Games!$A$2:$A$18,Games!$M$2:$M$18,"Missing game",0)</x:f>
        <x:v>0</x:v>
      </x:c>
      <x:c r="AS2276" t="str">
        <x:f>_xlfn.XLOOKUP($A2276,Games!$A$2:$A$18,Games!$N$2:$N$18,"Missing game",0)</x:f>
        <x:v>closed</x:v>
      </x:c>
      <x:c r="AT2276" t="str">
        <x:f>_xlfn.XLOOKUP($A2276,Games!$A$2:$A$18,Games!$O$2:$O$18,"Missing game",0)</x:f>
        <x:v>matrixturf</x:v>
      </x:c>
      <x:c r="AU2276" t="str">
        <x:f>_xlfn.XLOOKUP($A2276,Games!$A$2:$A$18,Games!$P$2:$P$18,"Missing game",0)</x:f>
      </x:c>
      <x:c r="AV2276" t="str">
        <x:f>_xlfn.XLOOKUP($A2276,Games!$A$2:$A$18,Games!$Q$2:$Q$18,"Missing game",0)</x:f>
      </x:c>
      <x:c r="AW2276" t="str">
        <x:f>_xlfn.XLOOKUP($A2276,Games!$A$2:$A$18,Games!$R$2:$R$18,"Missing game",0)</x:f>
        <x:v>AT&amp;T Stadium</x:v>
      </x:c>
    </x:row>
    <x:row r="2277">
      <x:c r="A2277" t="str">
        <x:v>2025_15_MIN_DAL</x:v>
      </x:c>
      <x:c r="B2277" t="n">
        <x:v>3065</x:v>
      </x:c>
      <x:c r="C2277" t="n">
        <x:v>3</x:v>
      </x:c>
      <x:c r="D2277" t="str">
        <x:v>00:00</x:v>
      </x:c>
      <x:c r="E2277"/>
      <x:c r="F2277" t="n">
        <x:v>0</x:v>
      </x:c>
      <x:c r="G2277" t="str">
        <x:v>DAL</x:v>
      </x:c>
      <x:c r="H2277" t="str">
        <x:v>MIN</x:v>
      </x:c>
      <x:c r="I2277"/>
      <x:c r="J2277"/>
      <x:c r="K2277" t="str">
        <x:v>END QUARTER 3</x:v>
      </x:c>
      <x:c r="L2277"/>
      <x:c r="M2277"/>
      <x:c r="N2277" t="n">
        <x:v>0</x:v>
      </x:c>
      <x:c r="O2277" t="n">
        <x:v>0</x:v>
      </x:c>
      <x:c r="P2277"/>
      <x:c r="Q2277"/>
      <x:c r="R2277"/>
      <x:c r="S2277"/>
      <x:c r="T2277"/>
      <x:c r="U2277"/>
      <x:c r="V2277"/>
      <x:c r="W2277"/>
      <x:c r="X2277"/>
      <x:c r="Y2277"/>
      <x:c r="Z2277"/>
      <x:c r="AA2277"/>
      <x:c r="AB2277"/>
      <x:c r="AC2277"/>
      <x:c r="AD2277" t="n">
        <x:v>0</x:v>
      </x:c>
      <x:c r="AE2277" t="n">
        <x:v>0</x:v>
      </x:c>
      <x:c r="AF2277" t="n">
        <x:v>0</x:v>
      </x:c>
      <x:c r="AG2277" t="n">
        <x:f>_xlfn.XLOOKUP($A2277,Games!$A$2:$A$18,Games!$B$2:$B$18,"Missing game",0)</x:f>
        <x:v>2025</x:v>
      </x:c>
      <x:c r="AH2277" t="str">
        <x:f>_xlfn.XLOOKUP($A2277,Games!$A$2:$A$18,Games!$C$2:$C$18,"Missing game",0)</x:f>
        <x:v>REG</x:v>
      </x:c>
      <x:c r="AI2277" t="n">
        <x:f>_xlfn.XLOOKUP($A2277,Games!$A$2:$A$18,Games!$D$2:$D$18,"Missing game",0)</x:f>
        <x:v>15</x:v>
      </x:c>
      <x:c r="AJ2277" s="1" t="n">
        <x:f>_xlfn.XLOOKUP($A2277,Games!$A$2:$A$18,Games!$E$2:$E$18,"Missing game",0)</x:f>
        <x:v>46005</x:v>
      </x:c>
      <x:c r="AK2277" t="str">
        <x:f>_xlfn.XLOOKUP($A2277,Games!$A$2:$A$18,Games!$F$2:$F$18,"Missing game",0)</x:f>
        <x:v>Sunday</x:v>
      </x:c>
      <x:c r="AL2277" t="str">
        <x:f>_xlfn.XLOOKUP($A2277,Games!$A$2:$A$18,Games!$G$2:$G$18,"Missing game",0)</x:f>
        <x:v>MIN</x:v>
      </x:c>
      <x:c r="AM2277" t="n">
        <x:f>_xlfn.XLOOKUP($A2277,Games!$A$2:$A$18,Games!$H$2:$H$18,"Missing game",0)</x:f>
        <x:v>34</x:v>
      </x:c>
      <x:c r="AN2277" t="str">
        <x:f>_xlfn.XLOOKUP($A2277,Games!$A$2:$A$18,Games!$I$2:$I$18,"Missing game",0)</x:f>
        <x:v>DAL</x:v>
      </x:c>
      <x:c r="AO2277" t="n">
        <x:f>_xlfn.XLOOKUP($A2277,Games!$A$2:$A$18,Games!$J$2:$J$18,"Missing game",0)</x:f>
        <x:v>26</x:v>
      </x:c>
      <x:c r="AP2277" t="n">
        <x:f>_xlfn.XLOOKUP($A2277,Games!$A$2:$A$18,Games!$K$2:$K$18,"Missing game",0)</x:f>
        <x:v>-8</x:v>
      </x:c>
      <x:c r="AQ2277" t="n">
        <x:f>_xlfn.XLOOKUP($A2277,Games!$A$2:$A$18,Games!$L$2:$L$18,"Missing game",0)</x:f>
        <x:v>60</x:v>
      </x:c>
      <x:c r="AR2277" t="n">
        <x:f>_xlfn.XLOOKUP($A2277,Games!$A$2:$A$18,Games!$M$2:$M$18,"Missing game",0)</x:f>
        <x:v>0</x:v>
      </x:c>
      <x:c r="AS2277" t="str">
        <x:f>_xlfn.XLOOKUP($A2277,Games!$A$2:$A$18,Games!$N$2:$N$18,"Missing game",0)</x:f>
        <x:v>closed</x:v>
      </x:c>
      <x:c r="AT2277" t="str">
        <x:f>_xlfn.XLOOKUP($A2277,Games!$A$2:$A$18,Games!$O$2:$O$18,"Missing game",0)</x:f>
        <x:v>matrixturf</x:v>
      </x:c>
      <x:c r="AU2277" t="str">
        <x:f>_xlfn.XLOOKUP($A2277,Games!$A$2:$A$18,Games!$P$2:$P$18,"Missing game",0)</x:f>
      </x:c>
      <x:c r="AV2277" t="str">
        <x:f>_xlfn.XLOOKUP($A2277,Games!$A$2:$A$18,Games!$Q$2:$Q$18,"Missing game",0)</x:f>
      </x:c>
      <x:c r="AW2277" t="str">
        <x:f>_xlfn.XLOOKUP($A2277,Games!$A$2:$A$18,Games!$R$2:$R$18,"Missing game",0)</x:f>
        <x:v>AT&amp;T Stadium</x:v>
      </x:c>
    </x:row>
    <x:row r="2278">
      <x:c r="A2278" t="str">
        <x:v>2025_15_MIN_DAL</x:v>
      </x:c>
      <x:c r="B2278" t="n">
        <x:v>3085</x:v>
      </x:c>
      <x:c r="C2278" t="n">
        <x:v>4</x:v>
      </x:c>
      <x:c r="D2278" t="str">
        <x:v>15:00</x:v>
      </x:c>
      <x:c r="E2278" t="n">
        <x:v>2</x:v>
      </x:c>
      <x:c r="F2278" t="n">
        <x:v>2</x:v>
      </x:c>
      <x:c r="G2278" t="str">
        <x:v>DAL</x:v>
      </x:c>
      <x:c r="H2278" t="str">
        <x:v>MIN</x:v>
      </x:c>
      <x:c r="I2278" t="str">
        <x:v>MIN</x:v>
      </x:c>
      <x:c r="J2278" t="n">
        <x:v>46</x:v>
      </x:c>
      <x:c r="K2278" t="str">
        <x:v>(15:00) 33-J.Williams left tackle to MIN 45 for 1 yard (61-J.Redmond; 55-E.Wilson).</x:v>
      </x:c>
      <x:c r="L2278" t="str">
        <x:v>run</x:v>
      </x:c>
      <x:c r="M2278" t="n">
        <x:v>1</x:v>
      </x:c>
      <x:c r="N2278" t="n">
        <x:v>0</x:v>
      </x:c>
      <x:c r="O2278" t="n">
        <x:v>0</x:v>
      </x:c>
      <x:c r="P2278"/>
      <x:c r="Q2278"/>
      <x:c r="R2278"/>
      <x:c r="S2278"/>
      <x:c r="T2278" t="str">
        <x:v>left</x:v>
      </x:c>
      <x:c r="U2278" t="str">
        <x:v>tackle</x:v>
      </x:c>
      <x:c r="V2278" t="n">
        <x:v>0</x:v>
      </x:c>
      <x:c r="W2278" t="n">
        <x:v>0</x:v>
      </x:c>
      <x:c r="X2278" t="n">
        <x:v>0</x:v>
      </x:c>
      <x:c r="Y2278" t="n">
        <x:v>0</x:v>
      </x:c>
      <x:c r="Z2278" t="n">
        <x:v>0</x:v>
      </x:c>
      <x:c r="AA2278" t="n">
        <x:v>0</x:v>
      </x:c>
      <x:c r="AB2278"/>
      <x:c r="AC2278" t="n">
        <x:v>0</x:v>
      </x:c>
      <x:c r="AD2278" t="n">
        <x:v>-0.3880469254218042</x:v>
      </x:c>
      <x:c r="AE2278" t="n">
        <x:v>0</x:v>
      </x:c>
      <x:c r="AF2278" t="n">
        <x:v>-0.027241528034210205</x:v>
      </x:c>
      <x:c r="AG2278" t="n">
        <x:f>_xlfn.XLOOKUP($A2278,Games!$A$2:$A$18,Games!$B$2:$B$18,"Missing game",0)</x:f>
        <x:v>2025</x:v>
      </x:c>
      <x:c r="AH2278" t="str">
        <x:f>_xlfn.XLOOKUP($A2278,Games!$A$2:$A$18,Games!$C$2:$C$18,"Missing game",0)</x:f>
        <x:v>REG</x:v>
      </x:c>
      <x:c r="AI2278" t="n">
        <x:f>_xlfn.XLOOKUP($A2278,Games!$A$2:$A$18,Games!$D$2:$D$18,"Missing game",0)</x:f>
        <x:v>15</x:v>
      </x:c>
      <x:c r="AJ2278" s="1" t="n">
        <x:f>_xlfn.XLOOKUP($A2278,Games!$A$2:$A$18,Games!$E$2:$E$18,"Missing game",0)</x:f>
        <x:v>46005</x:v>
      </x:c>
      <x:c r="AK2278" t="str">
        <x:f>_xlfn.XLOOKUP($A2278,Games!$A$2:$A$18,Games!$F$2:$F$18,"Missing game",0)</x:f>
        <x:v>Sunday</x:v>
      </x:c>
      <x:c r="AL2278" t="str">
        <x:f>_xlfn.XLOOKUP($A2278,Games!$A$2:$A$18,Games!$G$2:$G$18,"Missing game",0)</x:f>
        <x:v>MIN</x:v>
      </x:c>
      <x:c r="AM2278" t="n">
        <x:f>_xlfn.XLOOKUP($A2278,Games!$A$2:$A$18,Games!$H$2:$H$18,"Missing game",0)</x:f>
        <x:v>34</x:v>
      </x:c>
      <x:c r="AN2278" t="str">
        <x:f>_xlfn.XLOOKUP($A2278,Games!$A$2:$A$18,Games!$I$2:$I$18,"Missing game",0)</x:f>
        <x:v>DAL</x:v>
      </x:c>
      <x:c r="AO2278" t="n">
        <x:f>_xlfn.XLOOKUP($A2278,Games!$A$2:$A$18,Games!$J$2:$J$18,"Missing game",0)</x:f>
        <x:v>26</x:v>
      </x:c>
      <x:c r="AP2278" t="n">
        <x:f>_xlfn.XLOOKUP($A2278,Games!$A$2:$A$18,Games!$K$2:$K$18,"Missing game",0)</x:f>
        <x:v>-8</x:v>
      </x:c>
      <x:c r="AQ2278" t="n">
        <x:f>_xlfn.XLOOKUP($A2278,Games!$A$2:$A$18,Games!$L$2:$L$18,"Missing game",0)</x:f>
        <x:v>60</x:v>
      </x:c>
      <x:c r="AR2278" t="n">
        <x:f>_xlfn.XLOOKUP($A2278,Games!$A$2:$A$18,Games!$M$2:$M$18,"Missing game",0)</x:f>
        <x:v>0</x:v>
      </x:c>
      <x:c r="AS2278" t="str">
        <x:f>_xlfn.XLOOKUP($A2278,Games!$A$2:$A$18,Games!$N$2:$N$18,"Missing game",0)</x:f>
        <x:v>closed</x:v>
      </x:c>
      <x:c r="AT2278" t="str">
        <x:f>_xlfn.XLOOKUP($A2278,Games!$A$2:$A$18,Games!$O$2:$O$18,"Missing game",0)</x:f>
        <x:v>matrixturf</x:v>
      </x:c>
      <x:c r="AU2278" t="str">
        <x:f>_xlfn.XLOOKUP($A2278,Games!$A$2:$A$18,Games!$P$2:$P$18,"Missing game",0)</x:f>
      </x:c>
      <x:c r="AV2278" t="str">
        <x:f>_xlfn.XLOOKUP($A2278,Games!$A$2:$A$18,Games!$Q$2:$Q$18,"Missing game",0)</x:f>
      </x:c>
      <x:c r="AW2278" t="str">
        <x:f>_xlfn.XLOOKUP($A2278,Games!$A$2:$A$18,Games!$R$2:$R$18,"Missing game",0)</x:f>
        <x:v>AT&amp;T Stadium</x:v>
      </x:c>
    </x:row>
    <x:row r="2279">
      <x:c r="A2279" t="str">
        <x:v>2025_15_MIN_DAL</x:v>
      </x:c>
      <x:c r="B2279" t="n">
        <x:v>3112</x:v>
      </x:c>
      <x:c r="C2279" t="n">
        <x:v>4</x:v>
      </x:c>
      <x:c r="D2279" t="str">
        <x:v>14:23</x:v>
      </x:c>
      <x:c r="E2279" t="n">
        <x:v>3</x:v>
      </x:c>
      <x:c r="F2279" t="n">
        <x:v>1</x:v>
      </x:c>
      <x:c r="G2279" t="str">
        <x:v>DAL</x:v>
      </x:c>
      <x:c r="H2279" t="str">
        <x:v>MIN</x:v>
      </x:c>
      <x:c r="I2279" t="str">
        <x:v>MIN</x:v>
      </x:c>
      <x:c r="J2279" t="n">
        <x:v>45</x:v>
      </x:c>
      <x:c r="K2279" t="str">
        <x:v>(14:23) 33-J.Williams up the middle to MIN 43 for 2 yards (44-J.Metellus).</x:v>
      </x:c>
      <x:c r="L2279" t="str">
        <x:v>run</x:v>
      </x:c>
      <x:c r="M2279" t="n">
        <x:v>2</x:v>
      </x:c>
      <x:c r="N2279" t="n">
        <x:v>0</x:v>
      </x:c>
      <x:c r="O2279" t="n">
        <x:v>0</x:v>
      </x:c>
      <x:c r="P2279"/>
      <x:c r="Q2279"/>
      <x:c r="R2279"/>
      <x:c r="S2279"/>
      <x:c r="T2279" t="str">
        <x:v>middle</x:v>
      </x:c>
      <x:c r="U2279"/>
      <x:c r="V2279" t="n">
        <x:v>0</x:v>
      </x:c>
      <x:c r="W2279" t="n">
        <x:v>1</x:v>
      </x:c>
      <x:c r="X2279" t="n">
        <x:v>0</x:v>
      </x:c>
      <x:c r="Y2279" t="n">
        <x:v>0</x:v>
      </x:c>
      <x:c r="Z2279" t="n">
        <x:v>0</x:v>
      </x:c>
      <x:c r="AA2279" t="n">
        <x:v>0</x:v>
      </x:c>
      <x:c r="AB2279"/>
      <x:c r="AC2279" t="n">
        <x:v>0</x:v>
      </x:c>
      <x:c r="AD2279" t="n">
        <x:v>0.36507988907396793</x:v>
      </x:c>
      <x:c r="AE2279" t="n">
        <x:v>1</x:v>
      </x:c>
      <x:c r="AF2279" t="n">
        <x:v>0.018194377422332764</x:v>
      </x:c>
      <x:c r="AG2279" t="n">
        <x:f>_xlfn.XLOOKUP($A2279,Games!$A$2:$A$18,Games!$B$2:$B$18,"Missing game",0)</x:f>
        <x:v>2025</x:v>
      </x:c>
      <x:c r="AH2279" t="str">
        <x:f>_xlfn.XLOOKUP($A2279,Games!$A$2:$A$18,Games!$C$2:$C$18,"Missing game",0)</x:f>
        <x:v>REG</x:v>
      </x:c>
      <x:c r="AI2279" t="n">
        <x:f>_xlfn.XLOOKUP($A2279,Games!$A$2:$A$18,Games!$D$2:$D$18,"Missing game",0)</x:f>
        <x:v>15</x:v>
      </x:c>
      <x:c r="AJ2279" s="1" t="n">
        <x:f>_xlfn.XLOOKUP($A2279,Games!$A$2:$A$18,Games!$E$2:$E$18,"Missing game",0)</x:f>
        <x:v>46005</x:v>
      </x:c>
      <x:c r="AK2279" t="str">
        <x:f>_xlfn.XLOOKUP($A2279,Games!$A$2:$A$18,Games!$F$2:$F$18,"Missing game",0)</x:f>
        <x:v>Sunday</x:v>
      </x:c>
      <x:c r="AL2279" t="str">
        <x:f>_xlfn.XLOOKUP($A2279,Games!$A$2:$A$18,Games!$G$2:$G$18,"Missing game",0)</x:f>
        <x:v>MIN</x:v>
      </x:c>
      <x:c r="AM2279" t="n">
        <x:f>_xlfn.XLOOKUP($A2279,Games!$A$2:$A$18,Games!$H$2:$H$18,"Missing game",0)</x:f>
        <x:v>34</x:v>
      </x:c>
      <x:c r="AN2279" t="str">
        <x:f>_xlfn.XLOOKUP($A2279,Games!$A$2:$A$18,Games!$I$2:$I$18,"Missing game",0)</x:f>
        <x:v>DAL</x:v>
      </x:c>
      <x:c r="AO2279" t="n">
        <x:f>_xlfn.XLOOKUP($A2279,Games!$A$2:$A$18,Games!$J$2:$J$18,"Missing game",0)</x:f>
        <x:v>26</x:v>
      </x:c>
      <x:c r="AP2279" t="n">
        <x:f>_xlfn.XLOOKUP($A2279,Games!$A$2:$A$18,Games!$K$2:$K$18,"Missing game",0)</x:f>
        <x:v>-8</x:v>
      </x:c>
      <x:c r="AQ2279" t="n">
        <x:f>_xlfn.XLOOKUP($A2279,Games!$A$2:$A$18,Games!$L$2:$L$18,"Missing game",0)</x:f>
        <x:v>60</x:v>
      </x:c>
      <x:c r="AR2279" t="n">
        <x:f>_xlfn.XLOOKUP($A2279,Games!$A$2:$A$18,Games!$M$2:$M$18,"Missing game",0)</x:f>
        <x:v>0</x:v>
      </x:c>
      <x:c r="AS2279" t="str">
        <x:f>_xlfn.XLOOKUP($A2279,Games!$A$2:$A$18,Games!$N$2:$N$18,"Missing game",0)</x:f>
        <x:v>closed</x:v>
      </x:c>
      <x:c r="AT2279" t="str">
        <x:f>_xlfn.XLOOKUP($A2279,Games!$A$2:$A$18,Games!$O$2:$O$18,"Missing game",0)</x:f>
        <x:v>matrixturf</x:v>
      </x:c>
      <x:c r="AU2279" t="str">
        <x:f>_xlfn.XLOOKUP($A2279,Games!$A$2:$A$18,Games!$P$2:$P$18,"Missing game",0)</x:f>
      </x:c>
      <x:c r="AV2279" t="str">
        <x:f>_xlfn.XLOOKUP($A2279,Games!$A$2:$A$18,Games!$Q$2:$Q$18,"Missing game",0)</x:f>
      </x:c>
      <x:c r="AW2279" t="str">
        <x:f>_xlfn.XLOOKUP($A2279,Games!$A$2:$A$18,Games!$R$2:$R$18,"Missing game",0)</x:f>
        <x:v>AT&amp;T Stadium</x:v>
      </x:c>
    </x:row>
    <x:row r="2280">
      <x:c r="A2280" t="str">
        <x:v>2025_15_MIN_DAL</x:v>
      </x:c>
      <x:c r="B2280" t="n">
        <x:v>3134</x:v>
      </x:c>
      <x:c r="C2280" t="n">
        <x:v>4</x:v>
      </x:c>
      <x:c r="D2280" t="str">
        <x:v>13:46</x:v>
      </x:c>
      <x:c r="E2280" t="n">
        <x:v>1</x:v>
      </x:c>
      <x:c r="F2280" t="n">
        <x:v>10</x:v>
      </x:c>
      <x:c r="G2280" t="str">
        <x:v>DAL</x:v>
      </x:c>
      <x:c r="H2280" t="str">
        <x:v>MIN</x:v>
      </x:c>
      <x:c r="I2280" t="str">
        <x:v>MIN</x:v>
      </x:c>
      <x:c r="J2280" t="n">
        <x:v>43</x:v>
      </x:c>
      <x:c r="K2280" t="str">
        <x:v>(13:46) (Shotgun) 4-D.Prescott pass incomplete short left to 3-G.Pickens (22-H.Smith) [22-H.Smith].</x:v>
      </x:c>
      <x:c r="L2280" t="str">
        <x:v>pass</x:v>
      </x:c>
      <x:c r="M2280" t="n">
        <x:v>0</x:v>
      </x:c>
      <x:c r="N2280" t="n">
        <x:v>1</x:v>
      </x:c>
      <x:c r="O2280" t="n">
        <x:v>0</x:v>
      </x:c>
      <x:c r="P2280" t="str">
        <x:v>short</x:v>
      </x:c>
      <x:c r="Q2280" t="str">
        <x:v>left</x:v>
      </x:c>
      <x:c r="R2280" t="n">
        <x:v>6</x:v>
      </x:c>
      <x:c r="S2280"/>
      <x:c r="T2280"/>
      <x:c r="U2280"/>
      <x:c r="V2280" t="n">
        <x:v>0</x:v>
      </x:c>
      <x:c r="W2280" t="n">
        <x:v>0</x:v>
      </x:c>
      <x:c r="X2280" t="n">
        <x:v>0</x:v>
      </x:c>
      <x:c r="Y2280" t="n">
        <x:v>0</x:v>
      </x:c>
      <x:c r="Z2280" t="n">
        <x:v>0</x:v>
      </x:c>
      <x:c r="AA2280" t="n">
        <x:v>0</x:v>
      </x:c>
      <x:c r="AB2280"/>
      <x:c r="AC2280" t="n">
        <x:v>0</x:v>
      </x:c>
      <x:c r="AD2280" t="n">
        <x:v>-0.4973052248824388</x:v>
      </x:c>
      <x:c r="AE2280" t="n">
        <x:v>0</x:v>
      </x:c>
      <x:c r="AF2280" t="n">
        <x:v>-0.025364816188812256</x:v>
      </x:c>
      <x:c r="AG2280" t="n">
        <x:f>_xlfn.XLOOKUP($A2280,Games!$A$2:$A$18,Games!$B$2:$B$18,"Missing game",0)</x:f>
        <x:v>2025</x:v>
      </x:c>
      <x:c r="AH2280" t="str">
        <x:f>_xlfn.XLOOKUP($A2280,Games!$A$2:$A$18,Games!$C$2:$C$18,"Missing game",0)</x:f>
        <x:v>REG</x:v>
      </x:c>
      <x:c r="AI2280" t="n">
        <x:f>_xlfn.XLOOKUP($A2280,Games!$A$2:$A$18,Games!$D$2:$D$18,"Missing game",0)</x:f>
        <x:v>15</x:v>
      </x:c>
      <x:c r="AJ2280" s="1" t="n">
        <x:f>_xlfn.XLOOKUP($A2280,Games!$A$2:$A$18,Games!$E$2:$E$18,"Missing game",0)</x:f>
        <x:v>46005</x:v>
      </x:c>
      <x:c r="AK2280" t="str">
        <x:f>_xlfn.XLOOKUP($A2280,Games!$A$2:$A$18,Games!$F$2:$F$18,"Missing game",0)</x:f>
        <x:v>Sunday</x:v>
      </x:c>
      <x:c r="AL2280" t="str">
        <x:f>_xlfn.XLOOKUP($A2280,Games!$A$2:$A$18,Games!$G$2:$G$18,"Missing game",0)</x:f>
        <x:v>MIN</x:v>
      </x:c>
      <x:c r="AM2280" t="n">
        <x:f>_xlfn.XLOOKUP($A2280,Games!$A$2:$A$18,Games!$H$2:$H$18,"Missing game",0)</x:f>
        <x:v>34</x:v>
      </x:c>
      <x:c r="AN2280" t="str">
        <x:f>_xlfn.XLOOKUP($A2280,Games!$A$2:$A$18,Games!$I$2:$I$18,"Missing game",0)</x:f>
        <x:v>DAL</x:v>
      </x:c>
      <x:c r="AO2280" t="n">
        <x:f>_xlfn.XLOOKUP($A2280,Games!$A$2:$A$18,Games!$J$2:$J$18,"Missing game",0)</x:f>
        <x:v>26</x:v>
      </x:c>
      <x:c r="AP2280" t="n">
        <x:f>_xlfn.XLOOKUP($A2280,Games!$A$2:$A$18,Games!$K$2:$K$18,"Missing game",0)</x:f>
        <x:v>-8</x:v>
      </x:c>
      <x:c r="AQ2280" t="n">
        <x:f>_xlfn.XLOOKUP($A2280,Games!$A$2:$A$18,Games!$L$2:$L$18,"Missing game",0)</x:f>
        <x:v>60</x:v>
      </x:c>
      <x:c r="AR2280" t="n">
        <x:f>_xlfn.XLOOKUP($A2280,Games!$A$2:$A$18,Games!$M$2:$M$18,"Missing game",0)</x:f>
        <x:v>0</x:v>
      </x:c>
      <x:c r="AS2280" t="str">
        <x:f>_xlfn.XLOOKUP($A2280,Games!$A$2:$A$18,Games!$N$2:$N$18,"Missing game",0)</x:f>
        <x:v>closed</x:v>
      </x:c>
      <x:c r="AT2280" t="str">
        <x:f>_xlfn.XLOOKUP($A2280,Games!$A$2:$A$18,Games!$O$2:$O$18,"Missing game",0)</x:f>
        <x:v>matrixturf</x:v>
      </x:c>
      <x:c r="AU2280" t="str">
        <x:f>_xlfn.XLOOKUP($A2280,Games!$A$2:$A$18,Games!$P$2:$P$18,"Missing game",0)</x:f>
      </x:c>
      <x:c r="AV2280" t="str">
        <x:f>_xlfn.XLOOKUP($A2280,Games!$A$2:$A$18,Games!$Q$2:$Q$18,"Missing game",0)</x:f>
      </x:c>
      <x:c r="AW2280" t="str">
        <x:f>_xlfn.XLOOKUP($A2280,Games!$A$2:$A$18,Games!$R$2:$R$18,"Missing game",0)</x:f>
        <x:v>AT&amp;T Stadium</x:v>
      </x:c>
    </x:row>
    <x:row r="2281">
      <x:c r="A2281" t="str">
        <x:v>2025_15_MIN_DAL</x:v>
      </x:c>
      <x:c r="B2281" t="n">
        <x:v>3158</x:v>
      </x:c>
      <x:c r="C2281" t="n">
        <x:v>4</x:v>
      </x:c>
      <x:c r="D2281" t="str">
        <x:v>13:41</x:v>
      </x:c>
      <x:c r="E2281" t="n">
        <x:v>2</x:v>
      </x:c>
      <x:c r="F2281" t="n">
        <x:v>10</x:v>
      </x:c>
      <x:c r="G2281" t="str">
        <x:v>DAL</x:v>
      </x:c>
      <x:c r="H2281" t="str">
        <x:v>MIN</x:v>
      </x:c>
      <x:c r="I2281" t="str">
        <x:v>MIN</x:v>
      </x:c>
      <x:c r="J2281" t="n">
        <x:v>43</x:v>
      </x:c>
      <x:c r="K2281" t="str">
        <x:v>(13:41) (No Huddle, Shotgun) 4-D.Prescott pass short left to 3-G.Pickens pushed ob at MIN 37 for 6 yards (22-H.Smith).</x:v>
      </x:c>
      <x:c r="L2281" t="str">
        <x:v>pass</x:v>
      </x:c>
      <x:c r="M2281" t="n">
        <x:v>6</x:v>
      </x:c>
      <x:c r="N2281" t="n">
        <x:v>1</x:v>
      </x:c>
      <x:c r="O2281" t="n">
        <x:v>1</x:v>
      </x:c>
      <x:c r="P2281" t="str">
        <x:v>short</x:v>
      </x:c>
      <x:c r="Q2281" t="str">
        <x:v>left</x:v>
      </x:c>
      <x:c r="R2281" t="n">
        <x:v>-2</x:v>
      </x:c>
      <x:c r="S2281" t="n">
        <x:v>8</x:v>
      </x:c>
      <x:c r="T2281"/>
      <x:c r="U2281"/>
      <x:c r="V2281" t="n">
        <x:v>1</x:v>
      </x:c>
      <x:c r="W2281" t="n">
        <x:v>0</x:v>
      </x:c>
      <x:c r="X2281" t="n">
        <x:v>0</x:v>
      </x:c>
      <x:c r="Y2281" t="n">
        <x:v>0</x:v>
      </x:c>
      <x:c r="Z2281" t="n">
        <x:v>0</x:v>
      </x:c>
      <x:c r="AA2281" t="n">
        <x:v>0</x:v>
      </x:c>
      <x:c r="AB2281"/>
      <x:c r="AC2281" t="n">
        <x:v>0</x:v>
      </x:c>
      <x:c r="AD2281" t="n">
        <x:v>0.0380290801404044</x:v>
      </x:c>
      <x:c r="AE2281" t="n">
        <x:v>1</x:v>
      </x:c>
      <x:c r="AF2281" t="n">
        <x:v>0.02784252166748047</x:v>
      </x:c>
      <x:c r="AG2281" t="n">
        <x:f>_xlfn.XLOOKUP($A2281,Games!$A$2:$A$18,Games!$B$2:$B$18,"Missing game",0)</x:f>
        <x:v>2025</x:v>
      </x:c>
      <x:c r="AH2281" t="str">
        <x:f>_xlfn.XLOOKUP($A2281,Games!$A$2:$A$18,Games!$C$2:$C$18,"Missing game",0)</x:f>
        <x:v>REG</x:v>
      </x:c>
      <x:c r="AI2281" t="n">
        <x:f>_xlfn.XLOOKUP($A2281,Games!$A$2:$A$18,Games!$D$2:$D$18,"Missing game",0)</x:f>
        <x:v>15</x:v>
      </x:c>
      <x:c r="AJ2281" s="1" t="n">
        <x:f>_xlfn.XLOOKUP($A2281,Games!$A$2:$A$18,Games!$E$2:$E$18,"Missing game",0)</x:f>
        <x:v>46005</x:v>
      </x:c>
      <x:c r="AK2281" t="str">
        <x:f>_xlfn.XLOOKUP($A2281,Games!$A$2:$A$18,Games!$F$2:$F$18,"Missing game",0)</x:f>
        <x:v>Sunday</x:v>
      </x:c>
      <x:c r="AL2281" t="str">
        <x:f>_xlfn.XLOOKUP($A2281,Games!$A$2:$A$18,Games!$G$2:$G$18,"Missing game",0)</x:f>
        <x:v>MIN</x:v>
      </x:c>
      <x:c r="AM2281" t="n">
        <x:f>_xlfn.XLOOKUP($A2281,Games!$A$2:$A$18,Games!$H$2:$H$18,"Missing game",0)</x:f>
        <x:v>34</x:v>
      </x:c>
      <x:c r="AN2281" t="str">
        <x:f>_xlfn.XLOOKUP($A2281,Games!$A$2:$A$18,Games!$I$2:$I$18,"Missing game",0)</x:f>
        <x:v>DAL</x:v>
      </x:c>
      <x:c r="AO2281" t="n">
        <x:f>_xlfn.XLOOKUP($A2281,Games!$A$2:$A$18,Games!$J$2:$J$18,"Missing game",0)</x:f>
        <x:v>26</x:v>
      </x:c>
      <x:c r="AP2281" t="n">
        <x:f>_xlfn.XLOOKUP($A2281,Games!$A$2:$A$18,Games!$K$2:$K$18,"Missing game",0)</x:f>
        <x:v>-8</x:v>
      </x:c>
      <x:c r="AQ2281" t="n">
        <x:f>_xlfn.XLOOKUP($A2281,Games!$A$2:$A$18,Games!$L$2:$L$18,"Missing game",0)</x:f>
        <x:v>60</x:v>
      </x:c>
      <x:c r="AR2281" t="n">
        <x:f>_xlfn.XLOOKUP($A2281,Games!$A$2:$A$18,Games!$M$2:$M$18,"Missing game",0)</x:f>
        <x:v>0</x:v>
      </x:c>
      <x:c r="AS2281" t="str">
        <x:f>_xlfn.XLOOKUP($A2281,Games!$A$2:$A$18,Games!$N$2:$N$18,"Missing game",0)</x:f>
        <x:v>closed</x:v>
      </x:c>
      <x:c r="AT2281" t="str">
        <x:f>_xlfn.XLOOKUP($A2281,Games!$A$2:$A$18,Games!$O$2:$O$18,"Missing game",0)</x:f>
        <x:v>matrixturf</x:v>
      </x:c>
      <x:c r="AU2281" t="str">
        <x:f>_xlfn.XLOOKUP($A2281,Games!$A$2:$A$18,Games!$P$2:$P$18,"Missing game",0)</x:f>
      </x:c>
      <x:c r="AV2281" t="str">
        <x:f>_xlfn.XLOOKUP($A2281,Games!$A$2:$A$18,Games!$Q$2:$Q$18,"Missing game",0)</x:f>
      </x:c>
      <x:c r="AW2281" t="str">
        <x:f>_xlfn.XLOOKUP($A2281,Games!$A$2:$A$18,Games!$R$2:$R$18,"Missing game",0)</x:f>
        <x:v>AT&amp;T Stadium</x:v>
      </x:c>
    </x:row>
    <x:row r="2282">
      <x:c r="A2282" t="str">
        <x:v>2025_15_MIN_DAL</x:v>
      </x:c>
      <x:c r="B2282" t="n">
        <x:v>3188</x:v>
      </x:c>
      <x:c r="C2282" t="n">
        <x:v>4</x:v>
      </x:c>
      <x:c r="D2282" t="str">
        <x:v>13:06</x:v>
      </x:c>
      <x:c r="E2282" t="n">
        <x:v>3</x:v>
      </x:c>
      <x:c r="F2282" t="n">
        <x:v>4</x:v>
      </x:c>
      <x:c r="G2282" t="str">
        <x:v>DAL</x:v>
      </x:c>
      <x:c r="H2282" t="str">
        <x:v>MIN</x:v>
      </x:c>
      <x:c r="I2282" t="str">
        <x:v>MIN</x:v>
      </x:c>
      <x:c r="J2282" t="n">
        <x:v>37</x:v>
      </x:c>
      <x:c r="K2282" t="str">
        <x:v>(13:06) (No Huddle, Shotgun) 4-D.Prescott sacked at MIN 41 for -4 yards (sack split by 43-A.Van Ginkel and 58-J.Greenard).</x:v>
      </x:c>
      <x:c r="L2282" t="str">
        <x:v>pass</x:v>
      </x:c>
      <x:c r="M2282" t="n">
        <x:v>-4</x:v>
      </x:c>
      <x:c r="N2282" t="n">
        <x:v>1</x:v>
      </x:c>
      <x:c r="O2282" t="n">
        <x:v>1</x:v>
      </x:c>
      <x:c r="P2282"/>
      <x:c r="Q2282"/>
      <x:c r="R2282"/>
      <x:c r="S2282"/>
      <x:c r="T2282"/>
      <x:c r="U2282"/>
      <x:c r="V2282" t="n">
        <x:v>0</x:v>
      </x:c>
      <x:c r="W2282" t="n">
        <x:v>0</x:v>
      </x:c>
      <x:c r="X2282" t="n">
        <x:v>1</x:v>
      </x:c>
      <x:c r="Y2282" t="n">
        <x:v>0</x:v>
      </x:c>
      <x:c r="Z2282" t="n">
        <x:v>0</x:v>
      </x:c>
      <x:c r="AA2282" t="n">
        <x:v>0</x:v>
      </x:c>
      <x:c r="AB2282"/>
      <x:c r="AC2282" t="n">
        <x:v>0</x:v>
      </x:c>
      <x:c r="AD2282" t="n">
        <x:v>-2.2842234068270795</x:v>
      </x:c>
      <x:c r="AE2282" t="n">
        <x:v>0</x:v>
      </x:c>
      <x:c r="AF2282" t="n">
        <x:v>-0.09083545207977295</x:v>
      </x:c>
      <x:c r="AG2282" t="n">
        <x:f>_xlfn.XLOOKUP($A2282,Games!$A$2:$A$18,Games!$B$2:$B$18,"Missing game",0)</x:f>
        <x:v>2025</x:v>
      </x:c>
      <x:c r="AH2282" t="str">
        <x:f>_xlfn.XLOOKUP($A2282,Games!$A$2:$A$18,Games!$C$2:$C$18,"Missing game",0)</x:f>
        <x:v>REG</x:v>
      </x:c>
      <x:c r="AI2282" t="n">
        <x:f>_xlfn.XLOOKUP($A2282,Games!$A$2:$A$18,Games!$D$2:$D$18,"Missing game",0)</x:f>
        <x:v>15</x:v>
      </x:c>
      <x:c r="AJ2282" s="1" t="n">
        <x:f>_xlfn.XLOOKUP($A2282,Games!$A$2:$A$18,Games!$E$2:$E$18,"Missing game",0)</x:f>
        <x:v>46005</x:v>
      </x:c>
      <x:c r="AK2282" t="str">
        <x:f>_xlfn.XLOOKUP($A2282,Games!$A$2:$A$18,Games!$F$2:$F$18,"Missing game",0)</x:f>
        <x:v>Sunday</x:v>
      </x:c>
      <x:c r="AL2282" t="str">
        <x:f>_xlfn.XLOOKUP($A2282,Games!$A$2:$A$18,Games!$G$2:$G$18,"Missing game",0)</x:f>
        <x:v>MIN</x:v>
      </x:c>
      <x:c r="AM2282" t="n">
        <x:f>_xlfn.XLOOKUP($A2282,Games!$A$2:$A$18,Games!$H$2:$H$18,"Missing game",0)</x:f>
        <x:v>34</x:v>
      </x:c>
      <x:c r="AN2282" t="str">
        <x:f>_xlfn.XLOOKUP($A2282,Games!$A$2:$A$18,Games!$I$2:$I$18,"Missing game",0)</x:f>
        <x:v>DAL</x:v>
      </x:c>
      <x:c r="AO2282" t="n">
        <x:f>_xlfn.XLOOKUP($A2282,Games!$A$2:$A$18,Games!$J$2:$J$18,"Missing game",0)</x:f>
        <x:v>26</x:v>
      </x:c>
      <x:c r="AP2282" t="n">
        <x:f>_xlfn.XLOOKUP($A2282,Games!$A$2:$A$18,Games!$K$2:$K$18,"Missing game",0)</x:f>
        <x:v>-8</x:v>
      </x:c>
      <x:c r="AQ2282" t="n">
        <x:f>_xlfn.XLOOKUP($A2282,Games!$A$2:$A$18,Games!$L$2:$L$18,"Missing game",0)</x:f>
        <x:v>60</x:v>
      </x:c>
      <x:c r="AR2282" t="n">
        <x:f>_xlfn.XLOOKUP($A2282,Games!$A$2:$A$18,Games!$M$2:$M$18,"Missing game",0)</x:f>
        <x:v>0</x:v>
      </x:c>
      <x:c r="AS2282" t="str">
        <x:f>_xlfn.XLOOKUP($A2282,Games!$A$2:$A$18,Games!$N$2:$N$18,"Missing game",0)</x:f>
        <x:v>closed</x:v>
      </x:c>
      <x:c r="AT2282" t="str">
        <x:f>_xlfn.XLOOKUP($A2282,Games!$A$2:$A$18,Games!$O$2:$O$18,"Missing game",0)</x:f>
        <x:v>matrixturf</x:v>
      </x:c>
      <x:c r="AU2282" t="str">
        <x:f>_xlfn.XLOOKUP($A2282,Games!$A$2:$A$18,Games!$P$2:$P$18,"Missing game",0)</x:f>
      </x:c>
      <x:c r="AV2282" t="str">
        <x:f>_xlfn.XLOOKUP($A2282,Games!$A$2:$A$18,Games!$Q$2:$Q$18,"Missing game",0)</x:f>
      </x:c>
      <x:c r="AW2282" t="str">
        <x:f>_xlfn.XLOOKUP($A2282,Games!$A$2:$A$18,Games!$R$2:$R$18,"Missing game",0)</x:f>
        <x:v>AT&amp;T Stadium</x:v>
      </x:c>
    </x:row>
    <x:row r="2283">
      <x:c r="A2283" t="str">
        <x:v>2025_15_MIN_DAL</x:v>
      </x:c>
      <x:c r="B2283" t="n">
        <x:v>3208</x:v>
      </x:c>
      <x:c r="C2283" t="n">
        <x:v>4</x:v>
      </x:c>
      <x:c r="D2283" t="str">
        <x:v>12:24</x:v>
      </x:c>
      <x:c r="E2283" t="n">
        <x:v>4</x:v>
      </x:c>
      <x:c r="F2283" t="n">
        <x:v>8</x:v>
      </x:c>
      <x:c r="G2283" t="str">
        <x:v>DAL</x:v>
      </x:c>
      <x:c r="H2283" t="str">
        <x:v>MIN</x:v>
      </x:c>
      <x:c r="I2283" t="str">
        <x:v>MIN</x:v>
      </x:c>
      <x:c r="J2283" t="n">
        <x:v>41</x:v>
      </x:c>
      <x:c r="K2283" t="str">
        <x:v>(12:24) 17-B.Aubrey 59 yard field goal is No Good, Wide Right, Center-44-T.Sieg, Holder-5-B.Anger.</x:v>
      </x:c>
      <x:c r="L2283" t="str">
        <x:v>field_goal</x:v>
      </x:c>
      <x:c r="M2283" t="n">
        <x:v>0</x:v>
      </x:c>
      <x:c r="N2283" t="n">
        <x:v>0</x:v>
      </x:c>
      <x:c r="O2283" t="n">
        <x:v>0</x:v>
      </x:c>
      <x:c r="P2283"/>
      <x:c r="Q2283"/>
      <x:c r="R2283"/>
      <x:c r="S2283"/>
      <x:c r="T2283"/>
      <x:c r="U2283"/>
      <x:c r="V2283" t="n">
        <x:v>0</x:v>
      </x:c>
      <x:c r="W2283" t="n">
        <x:v>0</x:v>
      </x:c>
      <x:c r="X2283" t="n">
        <x:v>0</x:v>
      </x:c>
      <x:c r="Y2283" t="n">
        <x:v>0</x:v>
      </x:c>
      <x:c r="Z2283" t="n">
        <x:v>0</x:v>
      </x:c>
      <x:c r="AA2283" t="n">
        <x:v>0</x:v>
      </x:c>
      <x:c r="AB2283"/>
      <x:c r="AC2283" t="n">
        <x:v>0</x:v>
      </x:c>
      <x:c r="AD2283" t="n">
        <x:v>-3.004181358129715</x:v>
      </x:c>
      <x:c r="AE2283" t="n">
        <x:v>0</x:v>
      </x:c>
      <x:c r="AF2283" t="n">
        <x:v>-0.15428972244262695</x:v>
      </x:c>
      <x:c r="AG2283" t="n">
        <x:f>_xlfn.XLOOKUP($A2283,Games!$A$2:$A$18,Games!$B$2:$B$18,"Missing game",0)</x:f>
        <x:v>2025</x:v>
      </x:c>
      <x:c r="AH2283" t="str">
        <x:f>_xlfn.XLOOKUP($A2283,Games!$A$2:$A$18,Games!$C$2:$C$18,"Missing game",0)</x:f>
        <x:v>REG</x:v>
      </x:c>
      <x:c r="AI2283" t="n">
        <x:f>_xlfn.XLOOKUP($A2283,Games!$A$2:$A$18,Games!$D$2:$D$18,"Missing game",0)</x:f>
        <x:v>15</x:v>
      </x:c>
      <x:c r="AJ2283" s="1" t="n">
        <x:f>_xlfn.XLOOKUP($A2283,Games!$A$2:$A$18,Games!$E$2:$E$18,"Missing game",0)</x:f>
        <x:v>46005</x:v>
      </x:c>
      <x:c r="AK2283" t="str">
        <x:f>_xlfn.XLOOKUP($A2283,Games!$A$2:$A$18,Games!$F$2:$F$18,"Missing game",0)</x:f>
        <x:v>Sunday</x:v>
      </x:c>
      <x:c r="AL2283" t="str">
        <x:f>_xlfn.XLOOKUP($A2283,Games!$A$2:$A$18,Games!$G$2:$G$18,"Missing game",0)</x:f>
        <x:v>MIN</x:v>
      </x:c>
      <x:c r="AM2283" t="n">
        <x:f>_xlfn.XLOOKUP($A2283,Games!$A$2:$A$18,Games!$H$2:$H$18,"Missing game",0)</x:f>
        <x:v>34</x:v>
      </x:c>
      <x:c r="AN2283" t="str">
        <x:f>_xlfn.XLOOKUP($A2283,Games!$A$2:$A$18,Games!$I$2:$I$18,"Missing game",0)</x:f>
        <x:v>DAL</x:v>
      </x:c>
      <x:c r="AO2283" t="n">
        <x:f>_xlfn.XLOOKUP($A2283,Games!$A$2:$A$18,Games!$J$2:$J$18,"Missing game",0)</x:f>
        <x:v>26</x:v>
      </x:c>
      <x:c r="AP2283" t="n">
        <x:f>_xlfn.XLOOKUP($A2283,Games!$A$2:$A$18,Games!$K$2:$K$18,"Missing game",0)</x:f>
        <x:v>-8</x:v>
      </x:c>
      <x:c r="AQ2283" t="n">
        <x:f>_xlfn.XLOOKUP($A2283,Games!$A$2:$A$18,Games!$L$2:$L$18,"Missing game",0)</x:f>
        <x:v>60</x:v>
      </x:c>
      <x:c r="AR2283" t="n">
        <x:f>_xlfn.XLOOKUP($A2283,Games!$A$2:$A$18,Games!$M$2:$M$18,"Missing game",0)</x:f>
        <x:v>0</x:v>
      </x:c>
      <x:c r="AS2283" t="str">
        <x:f>_xlfn.XLOOKUP($A2283,Games!$A$2:$A$18,Games!$N$2:$N$18,"Missing game",0)</x:f>
        <x:v>closed</x:v>
      </x:c>
      <x:c r="AT2283" t="str">
        <x:f>_xlfn.XLOOKUP($A2283,Games!$A$2:$A$18,Games!$O$2:$O$18,"Missing game",0)</x:f>
        <x:v>matrixturf</x:v>
      </x:c>
      <x:c r="AU2283" t="str">
        <x:f>_xlfn.XLOOKUP($A2283,Games!$A$2:$A$18,Games!$P$2:$P$18,"Missing game",0)</x:f>
      </x:c>
      <x:c r="AV2283" t="str">
        <x:f>_xlfn.XLOOKUP($A2283,Games!$A$2:$A$18,Games!$Q$2:$Q$18,"Missing game",0)</x:f>
      </x:c>
      <x:c r="AW2283" t="str">
        <x:f>_xlfn.XLOOKUP($A2283,Games!$A$2:$A$18,Games!$R$2:$R$18,"Missing game",0)</x:f>
        <x:v>AT&amp;T Stadium</x:v>
      </x:c>
    </x:row>
    <x:row r="2284">
      <x:c r="A2284" t="str">
        <x:v>2025_15_MIN_DAL</x:v>
      </x:c>
      <x:c r="B2284" t="n">
        <x:v>3229</x:v>
      </x:c>
      <x:c r="C2284" t="n">
        <x:v>4</x:v>
      </x:c>
      <x:c r="D2284" t="str">
        <x:v>12:20</x:v>
      </x:c>
      <x:c r="E2284" t="n">
        <x:v>1</x:v>
      </x:c>
      <x:c r="F2284" t="n">
        <x:v>10</x:v>
      </x:c>
      <x:c r="G2284" t="str">
        <x:v>MIN</x:v>
      </x:c>
      <x:c r="H2284" t="str">
        <x:v>DAL</x:v>
      </x:c>
      <x:c r="I2284" t="str">
        <x:v>MIN</x:v>
      </x:c>
      <x:c r="J2284" t="n">
        <x:v>51</x:v>
      </x:c>
      <x:c r="K2284" t="str">
        <x:v>(12:20) 27-J.Mason left end to DAL 48 for 3 yards (97-O.Odighizuwa).</x:v>
      </x:c>
      <x:c r="L2284" t="str">
        <x:v>run</x:v>
      </x:c>
      <x:c r="M2284" t="n">
        <x:v>3</x:v>
      </x:c>
      <x:c r="N2284" t="n">
        <x:v>0</x:v>
      </x:c>
      <x:c r="O2284" t="n">
        <x:v>0</x:v>
      </x:c>
      <x:c r="P2284"/>
      <x:c r="Q2284"/>
      <x:c r="R2284"/>
      <x:c r="S2284"/>
      <x:c r="T2284" t="str">
        <x:v>left</x:v>
      </x:c>
      <x:c r="U2284" t="str">
        <x:v>end</x:v>
      </x:c>
      <x:c r="V2284" t="n">
        <x:v>0</x:v>
      </x:c>
      <x:c r="W2284" t="n">
        <x:v>0</x:v>
      </x:c>
      <x:c r="X2284" t="n">
        <x:v>0</x:v>
      </x:c>
      <x:c r="Y2284" t="n">
        <x:v>0</x:v>
      </x:c>
      <x:c r="Z2284" t="n">
        <x:v>0</x:v>
      </x:c>
      <x:c r="AA2284" t="n">
        <x:v>0</x:v>
      </x:c>
      <x:c r="AB2284"/>
      <x:c r="AC2284" t="n">
        <x:v>0</x:v>
      </x:c>
      <x:c r="AD2284" t="n">
        <x:v>-0.2513290992937982</x:v>
      </x:c>
      <x:c r="AE2284" t="n">
        <x:v>0</x:v>
      </x:c>
      <x:c r="AF2284" t="n">
        <x:v>-0.017892777919769287</x:v>
      </x:c>
      <x:c r="AG2284" t="n">
        <x:f>_xlfn.XLOOKUP($A2284,Games!$A$2:$A$18,Games!$B$2:$B$18,"Missing game",0)</x:f>
        <x:v>2025</x:v>
      </x:c>
      <x:c r="AH2284" t="str">
        <x:f>_xlfn.XLOOKUP($A2284,Games!$A$2:$A$18,Games!$C$2:$C$18,"Missing game",0)</x:f>
        <x:v>REG</x:v>
      </x:c>
      <x:c r="AI2284" t="n">
        <x:f>_xlfn.XLOOKUP($A2284,Games!$A$2:$A$18,Games!$D$2:$D$18,"Missing game",0)</x:f>
        <x:v>15</x:v>
      </x:c>
      <x:c r="AJ2284" s="1" t="n">
        <x:f>_xlfn.XLOOKUP($A2284,Games!$A$2:$A$18,Games!$E$2:$E$18,"Missing game",0)</x:f>
        <x:v>46005</x:v>
      </x:c>
      <x:c r="AK2284" t="str">
        <x:f>_xlfn.XLOOKUP($A2284,Games!$A$2:$A$18,Games!$F$2:$F$18,"Missing game",0)</x:f>
        <x:v>Sunday</x:v>
      </x:c>
      <x:c r="AL2284" t="str">
        <x:f>_xlfn.XLOOKUP($A2284,Games!$A$2:$A$18,Games!$G$2:$G$18,"Missing game",0)</x:f>
        <x:v>MIN</x:v>
      </x:c>
      <x:c r="AM2284" t="n">
        <x:f>_xlfn.XLOOKUP($A2284,Games!$A$2:$A$18,Games!$H$2:$H$18,"Missing game",0)</x:f>
        <x:v>34</x:v>
      </x:c>
      <x:c r="AN2284" t="str">
        <x:f>_xlfn.XLOOKUP($A2284,Games!$A$2:$A$18,Games!$I$2:$I$18,"Missing game",0)</x:f>
        <x:v>DAL</x:v>
      </x:c>
      <x:c r="AO2284" t="n">
        <x:f>_xlfn.XLOOKUP($A2284,Games!$A$2:$A$18,Games!$J$2:$J$18,"Missing game",0)</x:f>
        <x:v>26</x:v>
      </x:c>
      <x:c r="AP2284" t="n">
        <x:f>_xlfn.XLOOKUP($A2284,Games!$A$2:$A$18,Games!$K$2:$K$18,"Missing game",0)</x:f>
        <x:v>-8</x:v>
      </x:c>
      <x:c r="AQ2284" t="n">
        <x:f>_xlfn.XLOOKUP($A2284,Games!$A$2:$A$18,Games!$L$2:$L$18,"Missing game",0)</x:f>
        <x:v>60</x:v>
      </x:c>
      <x:c r="AR2284" t="n">
        <x:f>_xlfn.XLOOKUP($A2284,Games!$A$2:$A$18,Games!$M$2:$M$18,"Missing game",0)</x:f>
        <x:v>0</x:v>
      </x:c>
      <x:c r="AS2284" t="str">
        <x:f>_xlfn.XLOOKUP($A2284,Games!$A$2:$A$18,Games!$N$2:$N$18,"Missing game",0)</x:f>
        <x:v>closed</x:v>
      </x:c>
      <x:c r="AT2284" t="str">
        <x:f>_xlfn.XLOOKUP($A2284,Games!$A$2:$A$18,Games!$O$2:$O$18,"Missing game",0)</x:f>
        <x:v>matrixturf</x:v>
      </x:c>
      <x:c r="AU2284" t="str">
        <x:f>_xlfn.XLOOKUP($A2284,Games!$A$2:$A$18,Games!$P$2:$P$18,"Missing game",0)</x:f>
      </x:c>
      <x:c r="AV2284" t="str">
        <x:f>_xlfn.XLOOKUP($A2284,Games!$A$2:$A$18,Games!$Q$2:$Q$18,"Missing game",0)</x:f>
      </x:c>
      <x:c r="AW2284" t="str">
        <x:f>_xlfn.XLOOKUP($A2284,Games!$A$2:$A$18,Games!$R$2:$R$18,"Missing game",0)</x:f>
        <x:v>AT&amp;T Stadium</x:v>
      </x:c>
    </x:row>
    <x:row r="2285">
      <x:c r="A2285" t="str">
        <x:v>2025_15_MIN_DAL</x:v>
      </x:c>
      <x:c r="B2285" t="n">
        <x:v>3251</x:v>
      </x:c>
      <x:c r="C2285" t="n">
        <x:v>4</x:v>
      </x:c>
      <x:c r="D2285" t="str">
        <x:v>11:37</x:v>
      </x:c>
      <x:c r="E2285" t="n">
        <x:v>2</x:v>
      </x:c>
      <x:c r="F2285" t="n">
        <x:v>7</x:v>
      </x:c>
      <x:c r="G2285" t="str">
        <x:v>MIN</x:v>
      </x:c>
      <x:c r="H2285" t="str">
        <x:v>DAL</x:v>
      </x:c>
      <x:c r="I2285" t="str">
        <x:v>DAL</x:v>
      </x:c>
      <x:c r="J2285" t="n">
        <x:v>48</x:v>
      </x:c>
      <x:c r="K2285" t="str">
        <x:v>(11:37) (Shotgun) 9-J.McCarthy scrambles right tackle to DAL 40 for 8 yards (6-D.Wilson).</x:v>
      </x:c>
      <x:c r="L2285" t="str">
        <x:v>run</x:v>
      </x:c>
      <x:c r="M2285" t="n">
        <x:v>8</x:v>
      </x:c>
      <x:c r="N2285" t="n">
        <x:v>1</x:v>
      </x:c>
      <x:c r="O2285" t="n">
        <x:v>0</x:v>
      </x:c>
      <x:c r="P2285"/>
      <x:c r="Q2285"/>
      <x:c r="R2285"/>
      <x:c r="S2285"/>
      <x:c r="T2285" t="str">
        <x:v>right</x:v>
      </x:c>
      <x:c r="U2285" t="str">
        <x:v>tackle</x:v>
      </x:c>
      <x:c r="V2285" t="n">
        <x:v>0</x:v>
      </x:c>
      <x:c r="W2285" t="n">
        <x:v>1</x:v>
      </x:c>
      <x:c r="X2285" t="n">
        <x:v>0</x:v>
      </x:c>
      <x:c r="Y2285" t="n">
        <x:v>0</x:v>
      </x:c>
      <x:c r="Z2285" t="n">
        <x:v>0</x:v>
      </x:c>
      <x:c r="AA2285" t="n">
        <x:v>0</x:v>
      </x:c>
      <x:c r="AB2285"/>
      <x:c r="AC2285" t="n">
        <x:v>0</x:v>
      </x:c>
      <x:c r="AD2285" t="n">
        <x:v>1.0173026375705376</x:v>
      </x:c>
      <x:c r="AE2285" t="n">
        <x:v>1</x:v>
      </x:c>
      <x:c r="AF2285" t="n">
        <x:v>0.03948855400085449</x:v>
      </x:c>
      <x:c r="AG2285" t="n">
        <x:f>_xlfn.XLOOKUP($A2285,Games!$A$2:$A$18,Games!$B$2:$B$18,"Missing game",0)</x:f>
        <x:v>2025</x:v>
      </x:c>
      <x:c r="AH2285" t="str">
        <x:f>_xlfn.XLOOKUP($A2285,Games!$A$2:$A$18,Games!$C$2:$C$18,"Missing game",0)</x:f>
        <x:v>REG</x:v>
      </x:c>
      <x:c r="AI2285" t="n">
        <x:f>_xlfn.XLOOKUP($A2285,Games!$A$2:$A$18,Games!$D$2:$D$18,"Missing game",0)</x:f>
        <x:v>15</x:v>
      </x:c>
      <x:c r="AJ2285" s="1" t="n">
        <x:f>_xlfn.XLOOKUP($A2285,Games!$A$2:$A$18,Games!$E$2:$E$18,"Missing game",0)</x:f>
        <x:v>46005</x:v>
      </x:c>
      <x:c r="AK2285" t="str">
        <x:f>_xlfn.XLOOKUP($A2285,Games!$A$2:$A$18,Games!$F$2:$F$18,"Missing game",0)</x:f>
        <x:v>Sunday</x:v>
      </x:c>
      <x:c r="AL2285" t="str">
        <x:f>_xlfn.XLOOKUP($A2285,Games!$A$2:$A$18,Games!$G$2:$G$18,"Missing game",0)</x:f>
        <x:v>MIN</x:v>
      </x:c>
      <x:c r="AM2285" t="n">
        <x:f>_xlfn.XLOOKUP($A2285,Games!$A$2:$A$18,Games!$H$2:$H$18,"Missing game",0)</x:f>
        <x:v>34</x:v>
      </x:c>
      <x:c r="AN2285" t="str">
        <x:f>_xlfn.XLOOKUP($A2285,Games!$A$2:$A$18,Games!$I$2:$I$18,"Missing game",0)</x:f>
        <x:v>DAL</x:v>
      </x:c>
      <x:c r="AO2285" t="n">
        <x:f>_xlfn.XLOOKUP($A2285,Games!$A$2:$A$18,Games!$J$2:$J$18,"Missing game",0)</x:f>
        <x:v>26</x:v>
      </x:c>
      <x:c r="AP2285" t="n">
        <x:f>_xlfn.XLOOKUP($A2285,Games!$A$2:$A$18,Games!$K$2:$K$18,"Missing game",0)</x:f>
        <x:v>-8</x:v>
      </x:c>
      <x:c r="AQ2285" t="n">
        <x:f>_xlfn.XLOOKUP($A2285,Games!$A$2:$A$18,Games!$L$2:$L$18,"Missing game",0)</x:f>
        <x:v>60</x:v>
      </x:c>
      <x:c r="AR2285" t="n">
        <x:f>_xlfn.XLOOKUP($A2285,Games!$A$2:$A$18,Games!$M$2:$M$18,"Missing game",0)</x:f>
        <x:v>0</x:v>
      </x:c>
      <x:c r="AS2285" t="str">
        <x:f>_xlfn.XLOOKUP($A2285,Games!$A$2:$A$18,Games!$N$2:$N$18,"Missing game",0)</x:f>
        <x:v>closed</x:v>
      </x:c>
      <x:c r="AT2285" t="str">
        <x:f>_xlfn.XLOOKUP($A2285,Games!$A$2:$A$18,Games!$O$2:$O$18,"Missing game",0)</x:f>
        <x:v>matrixturf</x:v>
      </x:c>
      <x:c r="AU2285" t="str">
        <x:f>_xlfn.XLOOKUP($A2285,Games!$A$2:$A$18,Games!$P$2:$P$18,"Missing game",0)</x:f>
      </x:c>
      <x:c r="AV2285" t="str">
        <x:f>_xlfn.XLOOKUP($A2285,Games!$A$2:$A$18,Games!$Q$2:$Q$18,"Missing game",0)</x:f>
      </x:c>
      <x:c r="AW2285" t="str">
        <x:f>_xlfn.XLOOKUP($A2285,Games!$A$2:$A$18,Games!$R$2:$R$18,"Missing game",0)</x:f>
        <x:v>AT&amp;T Stadium</x:v>
      </x:c>
    </x:row>
    <x:row r="2286">
      <x:c r="A2286" t="str">
        <x:v>2025_15_MIN_DAL</x:v>
      </x:c>
      <x:c r="B2286" t="n">
        <x:v>3273</x:v>
      </x:c>
      <x:c r="C2286" t="n">
        <x:v>4</x:v>
      </x:c>
      <x:c r="D2286" t="str">
        <x:v>10:55</x:v>
      </x:c>
      <x:c r="E2286" t="n">
        <x:v>1</x:v>
      </x:c>
      <x:c r="F2286" t="n">
        <x:v>10</x:v>
      </x:c>
      <x:c r="G2286" t="str">
        <x:v>MIN</x:v>
      </x:c>
      <x:c r="H2286" t="str">
        <x:v>DAL</x:v>
      </x:c>
      <x:c r="I2286" t="str">
        <x:v>DAL</x:v>
      </x:c>
      <x:c r="J2286" t="n">
        <x:v>40</x:v>
      </x:c>
      <x:c r="K2286" t="str">
        <x:v>(10:55) 9-J.McCarthy pass short right to 84-J.Oliver to DAL 22 for 18 yards (28-M.Hooker; 34-S.Revel).</x:v>
      </x:c>
      <x:c r="L2286" t="str">
        <x:v>pass</x:v>
      </x:c>
      <x:c r="M2286" t="n">
        <x:v>18</x:v>
      </x:c>
      <x:c r="N2286" t="n">
        <x:v>0</x:v>
      </x:c>
      <x:c r="O2286" t="n">
        <x:v>0</x:v>
      </x:c>
      <x:c r="P2286" t="str">
        <x:v>short</x:v>
      </x:c>
      <x:c r="Q2286" t="str">
        <x:v>right</x:v>
      </x:c>
      <x:c r="R2286" t="n">
        <x:v>8</x:v>
      </x:c>
      <x:c r="S2286" t="n">
        <x:v>10</x:v>
      </x:c>
      <x:c r="T2286"/>
      <x:c r="U2286"/>
      <x:c r="V2286" t="n">
        <x:v>1</x:v>
      </x:c>
      <x:c r="W2286" t="n">
        <x:v>1</x:v>
      </x:c>
      <x:c r="X2286" t="n">
        <x:v>0</x:v>
      </x:c>
      <x:c r="Y2286" t="n">
        <x:v>0</x:v>
      </x:c>
      <x:c r="Z2286" t="n">
        <x:v>0</x:v>
      </x:c>
      <x:c r="AA2286" t="n">
        <x:v>0</x:v>
      </x:c>
      <x:c r="AB2286"/>
      <x:c r="AC2286" t="n">
        <x:v>0</x:v>
      </x:c>
      <x:c r="AD2286" t="n">
        <x:v>1.2394049247959629</x:v>
      </x:c>
      <x:c r="AE2286" t="n">
        <x:v>1</x:v>
      </x:c>
      <x:c r="AF2286" t="n">
        <x:v>0.042750418186187744</x:v>
      </x:c>
      <x:c r="AG2286" t="n">
        <x:f>_xlfn.XLOOKUP($A2286,Games!$A$2:$A$18,Games!$B$2:$B$18,"Missing game",0)</x:f>
        <x:v>2025</x:v>
      </x:c>
      <x:c r="AH2286" t="str">
        <x:f>_xlfn.XLOOKUP($A2286,Games!$A$2:$A$18,Games!$C$2:$C$18,"Missing game",0)</x:f>
        <x:v>REG</x:v>
      </x:c>
      <x:c r="AI2286" t="n">
        <x:f>_xlfn.XLOOKUP($A2286,Games!$A$2:$A$18,Games!$D$2:$D$18,"Missing game",0)</x:f>
        <x:v>15</x:v>
      </x:c>
      <x:c r="AJ2286" s="1" t="n">
        <x:f>_xlfn.XLOOKUP($A2286,Games!$A$2:$A$18,Games!$E$2:$E$18,"Missing game",0)</x:f>
        <x:v>46005</x:v>
      </x:c>
      <x:c r="AK2286" t="str">
        <x:f>_xlfn.XLOOKUP($A2286,Games!$A$2:$A$18,Games!$F$2:$F$18,"Missing game",0)</x:f>
        <x:v>Sunday</x:v>
      </x:c>
      <x:c r="AL2286" t="str">
        <x:f>_xlfn.XLOOKUP($A2286,Games!$A$2:$A$18,Games!$G$2:$G$18,"Missing game",0)</x:f>
        <x:v>MIN</x:v>
      </x:c>
      <x:c r="AM2286" t="n">
        <x:f>_xlfn.XLOOKUP($A2286,Games!$A$2:$A$18,Games!$H$2:$H$18,"Missing game",0)</x:f>
        <x:v>34</x:v>
      </x:c>
      <x:c r="AN2286" t="str">
        <x:f>_xlfn.XLOOKUP($A2286,Games!$A$2:$A$18,Games!$I$2:$I$18,"Missing game",0)</x:f>
        <x:v>DAL</x:v>
      </x:c>
      <x:c r="AO2286" t="n">
        <x:f>_xlfn.XLOOKUP($A2286,Games!$A$2:$A$18,Games!$J$2:$J$18,"Missing game",0)</x:f>
        <x:v>26</x:v>
      </x:c>
      <x:c r="AP2286" t="n">
        <x:f>_xlfn.XLOOKUP($A2286,Games!$A$2:$A$18,Games!$K$2:$K$18,"Missing game",0)</x:f>
        <x:v>-8</x:v>
      </x:c>
      <x:c r="AQ2286" t="n">
        <x:f>_xlfn.XLOOKUP($A2286,Games!$A$2:$A$18,Games!$L$2:$L$18,"Missing game",0)</x:f>
        <x:v>60</x:v>
      </x:c>
      <x:c r="AR2286" t="n">
        <x:f>_xlfn.XLOOKUP($A2286,Games!$A$2:$A$18,Games!$M$2:$M$18,"Missing game",0)</x:f>
        <x:v>0</x:v>
      </x:c>
      <x:c r="AS2286" t="str">
        <x:f>_xlfn.XLOOKUP($A2286,Games!$A$2:$A$18,Games!$N$2:$N$18,"Missing game",0)</x:f>
        <x:v>closed</x:v>
      </x:c>
      <x:c r="AT2286" t="str">
        <x:f>_xlfn.XLOOKUP($A2286,Games!$A$2:$A$18,Games!$O$2:$O$18,"Missing game",0)</x:f>
        <x:v>matrixturf</x:v>
      </x:c>
      <x:c r="AU2286" t="str">
        <x:f>_xlfn.XLOOKUP($A2286,Games!$A$2:$A$18,Games!$P$2:$P$18,"Missing game",0)</x:f>
      </x:c>
      <x:c r="AV2286" t="str">
        <x:f>_xlfn.XLOOKUP($A2286,Games!$A$2:$A$18,Games!$Q$2:$Q$18,"Missing game",0)</x:f>
      </x:c>
      <x:c r="AW2286" t="str">
        <x:f>_xlfn.XLOOKUP($A2286,Games!$A$2:$A$18,Games!$R$2:$R$18,"Missing game",0)</x:f>
        <x:v>AT&amp;T Stadium</x:v>
      </x:c>
    </x:row>
    <x:row r="2287">
      <x:c r="A2287" t="str">
        <x:v>2025_15_MIN_DAL</x:v>
      </x:c>
      <x:c r="B2287" t="n">
        <x:v>3298</x:v>
      </x:c>
      <x:c r="C2287" t="n">
        <x:v>4</x:v>
      </x:c>
      <x:c r="D2287" t="str">
        <x:v>10:06</x:v>
      </x:c>
      <x:c r="E2287" t="n">
        <x:v>1</x:v>
      </x:c>
      <x:c r="F2287" t="n">
        <x:v>10</x:v>
      </x:c>
      <x:c r="G2287" t="str">
        <x:v>MIN</x:v>
      </x:c>
      <x:c r="H2287" t="str">
        <x:v>DAL</x:v>
      </x:c>
      <x:c r="I2287" t="str">
        <x:v>DAL</x:v>
      </x:c>
      <x:c r="J2287" t="n">
        <x:v>22</x:v>
      </x:c>
      <x:c r="K2287" t="str">
        <x:v>(10:06) 9-J.McCarthy pass deep left to 87-T.Hockenson to DAL 4 for 18 yards (14-M.Bell).</x:v>
      </x:c>
      <x:c r="L2287" t="str">
        <x:v>pass</x:v>
      </x:c>
      <x:c r="M2287" t="n">
        <x:v>18</x:v>
      </x:c>
      <x:c r="N2287" t="n">
        <x:v>0</x:v>
      </x:c>
      <x:c r="O2287" t="n">
        <x:v>0</x:v>
      </x:c>
      <x:c r="P2287" t="str">
        <x:v>deep</x:v>
      </x:c>
      <x:c r="Q2287" t="str">
        <x:v>left</x:v>
      </x:c>
      <x:c r="R2287" t="n">
        <x:v>18</x:v>
      </x:c>
      <x:c r="S2287" t="n">
        <x:v>0</x:v>
      </x:c>
      <x:c r="T2287"/>
      <x:c r="U2287"/>
      <x:c r="V2287" t="n">
        <x:v>1</x:v>
      </x:c>
      <x:c r="W2287" t="n">
        <x:v>1</x:v>
      </x:c>
      <x:c r="X2287" t="n">
        <x:v>0</x:v>
      </x:c>
      <x:c r="Y2287" t="n">
        <x:v>0</x:v>
      </x:c>
      <x:c r="Z2287" t="n">
        <x:v>0</x:v>
      </x:c>
      <x:c r="AA2287" t="n">
        <x:v>0</x:v>
      </x:c>
      <x:c r="AB2287"/>
      <x:c r="AC2287" t="n">
        <x:v>0</x:v>
      </x:c>
      <x:c r="AD2287" t="n">
        <x:v>1.2937136988621205</x:v>
      </x:c>
      <x:c r="AE2287" t="n">
        <x:v>1</x:v>
      </x:c>
      <x:c r="AF2287" t="n">
        <x:v>0.02704787254333496</x:v>
      </x:c>
      <x:c r="AG2287" t="n">
        <x:f>_xlfn.XLOOKUP($A2287,Games!$A$2:$A$18,Games!$B$2:$B$18,"Missing game",0)</x:f>
        <x:v>2025</x:v>
      </x:c>
      <x:c r="AH2287" t="str">
        <x:f>_xlfn.XLOOKUP($A2287,Games!$A$2:$A$18,Games!$C$2:$C$18,"Missing game",0)</x:f>
        <x:v>REG</x:v>
      </x:c>
      <x:c r="AI2287" t="n">
        <x:f>_xlfn.XLOOKUP($A2287,Games!$A$2:$A$18,Games!$D$2:$D$18,"Missing game",0)</x:f>
        <x:v>15</x:v>
      </x:c>
      <x:c r="AJ2287" s="1" t="n">
        <x:f>_xlfn.XLOOKUP($A2287,Games!$A$2:$A$18,Games!$E$2:$E$18,"Missing game",0)</x:f>
        <x:v>46005</x:v>
      </x:c>
      <x:c r="AK2287" t="str">
        <x:f>_xlfn.XLOOKUP($A2287,Games!$A$2:$A$18,Games!$F$2:$F$18,"Missing game",0)</x:f>
        <x:v>Sunday</x:v>
      </x:c>
      <x:c r="AL2287" t="str">
        <x:f>_xlfn.XLOOKUP($A2287,Games!$A$2:$A$18,Games!$G$2:$G$18,"Missing game",0)</x:f>
        <x:v>MIN</x:v>
      </x:c>
      <x:c r="AM2287" t="n">
        <x:f>_xlfn.XLOOKUP($A2287,Games!$A$2:$A$18,Games!$H$2:$H$18,"Missing game",0)</x:f>
        <x:v>34</x:v>
      </x:c>
      <x:c r="AN2287" t="str">
        <x:f>_xlfn.XLOOKUP($A2287,Games!$A$2:$A$18,Games!$I$2:$I$18,"Missing game",0)</x:f>
        <x:v>DAL</x:v>
      </x:c>
      <x:c r="AO2287" t="n">
        <x:f>_xlfn.XLOOKUP($A2287,Games!$A$2:$A$18,Games!$J$2:$J$18,"Missing game",0)</x:f>
        <x:v>26</x:v>
      </x:c>
      <x:c r="AP2287" t="n">
        <x:f>_xlfn.XLOOKUP($A2287,Games!$A$2:$A$18,Games!$K$2:$K$18,"Missing game",0)</x:f>
        <x:v>-8</x:v>
      </x:c>
      <x:c r="AQ2287" t="n">
        <x:f>_xlfn.XLOOKUP($A2287,Games!$A$2:$A$18,Games!$L$2:$L$18,"Missing game",0)</x:f>
        <x:v>60</x:v>
      </x:c>
      <x:c r="AR2287" t="n">
        <x:f>_xlfn.XLOOKUP($A2287,Games!$A$2:$A$18,Games!$M$2:$M$18,"Missing game",0)</x:f>
        <x:v>0</x:v>
      </x:c>
      <x:c r="AS2287" t="str">
        <x:f>_xlfn.XLOOKUP($A2287,Games!$A$2:$A$18,Games!$N$2:$N$18,"Missing game",0)</x:f>
        <x:v>closed</x:v>
      </x:c>
      <x:c r="AT2287" t="str">
        <x:f>_xlfn.XLOOKUP($A2287,Games!$A$2:$A$18,Games!$O$2:$O$18,"Missing game",0)</x:f>
        <x:v>matrixturf</x:v>
      </x:c>
      <x:c r="AU2287" t="str">
        <x:f>_xlfn.XLOOKUP($A2287,Games!$A$2:$A$18,Games!$P$2:$P$18,"Missing game",0)</x:f>
      </x:c>
      <x:c r="AV2287" t="str">
        <x:f>_xlfn.XLOOKUP($A2287,Games!$A$2:$A$18,Games!$Q$2:$Q$18,"Missing game",0)</x:f>
      </x:c>
      <x:c r="AW2287" t="str">
        <x:f>_xlfn.XLOOKUP($A2287,Games!$A$2:$A$18,Games!$R$2:$R$18,"Missing game",0)</x:f>
        <x:v>AT&amp;T Stadium</x:v>
      </x:c>
    </x:row>
    <x:row r="2288">
      <x:c r="A2288" t="str">
        <x:v>2025_15_MIN_DAL</x:v>
      </x:c>
      <x:c r="B2288" t="n">
        <x:v>3323</x:v>
      </x:c>
      <x:c r="C2288" t="n">
        <x:v>4</x:v>
      </x:c>
      <x:c r="D2288" t="str">
        <x:v>09:16</x:v>
      </x:c>
      <x:c r="E2288" t="n">
        <x:v>1</x:v>
      </x:c>
      <x:c r="F2288" t="n">
        <x:v>4</x:v>
      </x:c>
      <x:c r="G2288" t="str">
        <x:v>MIN</x:v>
      </x:c>
      <x:c r="H2288" t="str">
        <x:v>DAL</x:v>
      </x:c>
      <x:c r="I2288" t="str">
        <x:v>DAL</x:v>
      </x:c>
      <x:c r="J2288" t="n">
        <x:v>4</x:v>
      </x:c>
      <x:c r="K2288" t="str">
        <x:v>(9:16) (Shotgun) 9-J.McCarthy pass short right to 1-J.Nailor for 4 yards, TOUCHDOWN.</x:v>
      </x:c>
      <x:c r="L2288" t="str">
        <x:v>pass</x:v>
      </x:c>
      <x:c r="M2288" t="n">
        <x:v>4</x:v>
      </x:c>
      <x:c r="N2288" t="n">
        <x:v>1</x:v>
      </x:c>
      <x:c r="O2288" t="n">
        <x:v>0</x:v>
      </x:c>
      <x:c r="P2288" t="str">
        <x:v>short</x:v>
      </x:c>
      <x:c r="Q2288" t="str">
        <x:v>right</x:v>
      </x:c>
      <x:c r="R2288" t="n">
        <x:v>4</x:v>
      </x:c>
      <x:c r="S2288" t="n">
        <x:v>0</x:v>
      </x:c>
      <x:c r="T2288"/>
      <x:c r="U2288"/>
      <x:c r="V2288" t="n">
        <x:v>1</x:v>
      </x:c>
      <x:c r="W2288" t="n">
        <x:v>1</x:v>
      </x:c>
      <x:c r="X2288" t="n">
        <x:v>0</x:v>
      </x:c>
      <x:c r="Y2288" t="n">
        <x:v>0</x:v>
      </x:c>
      <x:c r="Z2288" t="n">
        <x:v>0</x:v>
      </x:c>
      <x:c r="AA2288" t="n">
        <x:v>0</x:v>
      </x:c>
      <x:c r="AB2288"/>
      <x:c r="AC2288" t="n">
        <x:v>1</x:v>
      </x:c>
      <x:c r="AD2288" t="n">
        <x:v>1.1305297007784247</x:v>
      </x:c>
      <x:c r="AE2288" t="n">
        <x:v>1</x:v>
      </x:c>
      <x:c r="AF2288" t="n">
        <x:v>0.10801479313704299</x:v>
      </x:c>
      <x:c r="AG2288" t="n">
        <x:f>_xlfn.XLOOKUP($A2288,Games!$A$2:$A$18,Games!$B$2:$B$18,"Missing game",0)</x:f>
        <x:v>2025</x:v>
      </x:c>
      <x:c r="AH2288" t="str">
        <x:f>_xlfn.XLOOKUP($A2288,Games!$A$2:$A$18,Games!$C$2:$C$18,"Missing game",0)</x:f>
        <x:v>REG</x:v>
      </x:c>
      <x:c r="AI2288" t="n">
        <x:f>_xlfn.XLOOKUP($A2288,Games!$A$2:$A$18,Games!$D$2:$D$18,"Missing game",0)</x:f>
        <x:v>15</x:v>
      </x:c>
      <x:c r="AJ2288" s="1" t="n">
        <x:f>_xlfn.XLOOKUP($A2288,Games!$A$2:$A$18,Games!$E$2:$E$18,"Missing game",0)</x:f>
        <x:v>46005</x:v>
      </x:c>
      <x:c r="AK2288" t="str">
        <x:f>_xlfn.XLOOKUP($A2288,Games!$A$2:$A$18,Games!$F$2:$F$18,"Missing game",0)</x:f>
        <x:v>Sunday</x:v>
      </x:c>
      <x:c r="AL2288" t="str">
        <x:f>_xlfn.XLOOKUP($A2288,Games!$A$2:$A$18,Games!$G$2:$G$18,"Missing game",0)</x:f>
        <x:v>MIN</x:v>
      </x:c>
      <x:c r="AM2288" t="n">
        <x:f>_xlfn.XLOOKUP($A2288,Games!$A$2:$A$18,Games!$H$2:$H$18,"Missing game",0)</x:f>
        <x:v>34</x:v>
      </x:c>
      <x:c r="AN2288" t="str">
        <x:f>_xlfn.XLOOKUP($A2288,Games!$A$2:$A$18,Games!$I$2:$I$18,"Missing game",0)</x:f>
        <x:v>DAL</x:v>
      </x:c>
      <x:c r="AO2288" t="n">
        <x:f>_xlfn.XLOOKUP($A2288,Games!$A$2:$A$18,Games!$J$2:$J$18,"Missing game",0)</x:f>
        <x:v>26</x:v>
      </x:c>
      <x:c r="AP2288" t="n">
        <x:f>_xlfn.XLOOKUP($A2288,Games!$A$2:$A$18,Games!$K$2:$K$18,"Missing game",0)</x:f>
        <x:v>-8</x:v>
      </x:c>
      <x:c r="AQ2288" t="n">
        <x:f>_xlfn.XLOOKUP($A2288,Games!$A$2:$A$18,Games!$L$2:$L$18,"Missing game",0)</x:f>
        <x:v>60</x:v>
      </x:c>
      <x:c r="AR2288" t="n">
        <x:f>_xlfn.XLOOKUP($A2288,Games!$A$2:$A$18,Games!$M$2:$M$18,"Missing game",0)</x:f>
        <x:v>0</x:v>
      </x:c>
      <x:c r="AS2288" t="str">
        <x:f>_xlfn.XLOOKUP($A2288,Games!$A$2:$A$18,Games!$N$2:$N$18,"Missing game",0)</x:f>
        <x:v>closed</x:v>
      </x:c>
      <x:c r="AT2288" t="str">
        <x:f>_xlfn.XLOOKUP($A2288,Games!$A$2:$A$18,Games!$O$2:$O$18,"Missing game",0)</x:f>
        <x:v>matrixturf</x:v>
      </x:c>
      <x:c r="AU2288" t="str">
        <x:f>_xlfn.XLOOKUP($A2288,Games!$A$2:$A$18,Games!$P$2:$P$18,"Missing game",0)</x:f>
      </x:c>
      <x:c r="AV2288" t="str">
        <x:f>_xlfn.XLOOKUP($A2288,Games!$A$2:$A$18,Games!$Q$2:$Q$18,"Missing game",0)</x:f>
      </x:c>
      <x:c r="AW2288" t="str">
        <x:f>_xlfn.XLOOKUP($A2288,Games!$A$2:$A$18,Games!$R$2:$R$18,"Missing game",0)</x:f>
        <x:v>AT&amp;T Stadium</x:v>
      </x:c>
    </x:row>
    <x:row r="2289">
      <x:c r="A2289" t="str">
        <x:v>2025_15_MIN_DAL</x:v>
      </x:c>
      <x:c r="B2289" t="n">
        <x:v>3349</x:v>
      </x:c>
      <x:c r="C2289" t="n">
        <x:v>4</x:v>
      </x:c>
      <x:c r="D2289" t="str">
        <x:v>09:12</x:v>
      </x:c>
      <x:c r="E2289"/>
      <x:c r="F2289" t="n">
        <x:v>0</x:v>
      </x:c>
      <x:c r="G2289" t="str">
        <x:v>MIN</x:v>
      </x:c>
      <x:c r="H2289" t="str">
        <x:v>DAL</x:v>
      </x:c>
      <x:c r="I2289" t="str">
        <x:v>DAL</x:v>
      </x:c>
      <x:c r="J2289" t="n">
        <x:v>15</x:v>
      </x:c>
      <x:c r="K2289" t="str">
        <x:v>16-W.Reichard extra point is GOOD, Center-42-A.DePaola, Holder-17-R.Wright.</x:v>
      </x:c>
      <x:c r="L2289" t="str">
        <x:v>extra_point</x:v>
      </x:c>
      <x:c r="M2289" t="n">
        <x:v>0</x:v>
      </x:c>
      <x:c r="N2289" t="n">
        <x:v>0</x:v>
      </x:c>
      <x:c r="O2289" t="n">
        <x:v>0</x:v>
      </x:c>
      <x:c r="P2289"/>
      <x:c r="Q2289"/>
      <x:c r="R2289"/>
      <x:c r="S2289"/>
      <x:c r="T2289"/>
      <x:c r="U2289"/>
      <x:c r="V2289" t="n">
        <x:v>0</x:v>
      </x:c>
      <x:c r="W2289" t="n">
        <x:v>0</x:v>
      </x:c>
      <x:c r="X2289" t="n">
        <x:v>0</x:v>
      </x:c>
      <x:c r="Y2289" t="n">
        <x:v>0</x:v>
      </x:c>
      <x:c r="Z2289" t="n">
        <x:v>0</x:v>
      </x:c>
      <x:c r="AA2289" t="n">
        <x:v>0</x:v>
      </x:c>
      <x:c r="AB2289"/>
      <x:c r="AC2289" t="n">
        <x:v>0</x:v>
      </x:c>
      <x:c r="AD2289" t="n">
        <x:v>0.06857135097992784</x:v>
      </x:c>
      <x:c r="AE2289" t="n">
        <x:v>1</x:v>
      </x:c>
      <x:c r="AF2289" t="n">
        <x:v>0.001577167769939436</x:v>
      </x:c>
      <x:c r="AG2289" t="n">
        <x:f>_xlfn.XLOOKUP($A2289,Games!$A$2:$A$18,Games!$B$2:$B$18,"Missing game",0)</x:f>
        <x:v>2025</x:v>
      </x:c>
      <x:c r="AH2289" t="str">
        <x:f>_xlfn.XLOOKUP($A2289,Games!$A$2:$A$18,Games!$C$2:$C$18,"Missing game",0)</x:f>
        <x:v>REG</x:v>
      </x:c>
      <x:c r="AI2289" t="n">
        <x:f>_xlfn.XLOOKUP($A2289,Games!$A$2:$A$18,Games!$D$2:$D$18,"Missing game",0)</x:f>
        <x:v>15</x:v>
      </x:c>
      <x:c r="AJ2289" s="1" t="n">
        <x:f>_xlfn.XLOOKUP($A2289,Games!$A$2:$A$18,Games!$E$2:$E$18,"Missing game",0)</x:f>
        <x:v>46005</x:v>
      </x:c>
      <x:c r="AK2289" t="str">
        <x:f>_xlfn.XLOOKUP($A2289,Games!$A$2:$A$18,Games!$F$2:$F$18,"Missing game",0)</x:f>
        <x:v>Sunday</x:v>
      </x:c>
      <x:c r="AL2289" t="str">
        <x:f>_xlfn.XLOOKUP($A2289,Games!$A$2:$A$18,Games!$G$2:$G$18,"Missing game",0)</x:f>
        <x:v>MIN</x:v>
      </x:c>
      <x:c r="AM2289" t="n">
        <x:f>_xlfn.XLOOKUP($A2289,Games!$A$2:$A$18,Games!$H$2:$H$18,"Missing game",0)</x:f>
        <x:v>34</x:v>
      </x:c>
      <x:c r="AN2289" t="str">
        <x:f>_xlfn.XLOOKUP($A2289,Games!$A$2:$A$18,Games!$I$2:$I$18,"Missing game",0)</x:f>
        <x:v>DAL</x:v>
      </x:c>
      <x:c r="AO2289" t="n">
        <x:f>_xlfn.XLOOKUP($A2289,Games!$A$2:$A$18,Games!$J$2:$J$18,"Missing game",0)</x:f>
        <x:v>26</x:v>
      </x:c>
      <x:c r="AP2289" t="n">
        <x:f>_xlfn.XLOOKUP($A2289,Games!$A$2:$A$18,Games!$K$2:$K$18,"Missing game",0)</x:f>
        <x:v>-8</x:v>
      </x:c>
      <x:c r="AQ2289" t="n">
        <x:f>_xlfn.XLOOKUP($A2289,Games!$A$2:$A$18,Games!$L$2:$L$18,"Missing game",0)</x:f>
        <x:v>60</x:v>
      </x:c>
      <x:c r="AR2289" t="n">
        <x:f>_xlfn.XLOOKUP($A2289,Games!$A$2:$A$18,Games!$M$2:$M$18,"Missing game",0)</x:f>
        <x:v>0</x:v>
      </x:c>
      <x:c r="AS2289" t="str">
        <x:f>_xlfn.XLOOKUP($A2289,Games!$A$2:$A$18,Games!$N$2:$N$18,"Missing game",0)</x:f>
        <x:v>closed</x:v>
      </x:c>
      <x:c r="AT2289" t="str">
        <x:f>_xlfn.XLOOKUP($A2289,Games!$A$2:$A$18,Games!$O$2:$O$18,"Missing game",0)</x:f>
        <x:v>matrixturf</x:v>
      </x:c>
      <x:c r="AU2289" t="str">
        <x:f>_xlfn.XLOOKUP($A2289,Games!$A$2:$A$18,Games!$P$2:$P$18,"Missing game",0)</x:f>
      </x:c>
      <x:c r="AV2289" t="str">
        <x:f>_xlfn.XLOOKUP($A2289,Games!$A$2:$A$18,Games!$Q$2:$Q$18,"Missing game",0)</x:f>
      </x:c>
      <x:c r="AW2289" t="str">
        <x:f>_xlfn.XLOOKUP($A2289,Games!$A$2:$A$18,Games!$R$2:$R$18,"Missing game",0)</x:f>
        <x:v>AT&amp;T Stadium</x:v>
      </x:c>
    </x:row>
    <x:row r="2290">
      <x:c r="A2290" t="str">
        <x:v>2025_15_MIN_DAL</x:v>
      </x:c>
      <x:c r="B2290" t="n">
        <x:v>3364</x:v>
      </x:c>
      <x:c r="C2290" t="n">
        <x:v>4</x:v>
      </x:c>
      <x:c r="D2290" t="str">
        <x:v>09:12</x:v>
      </x:c>
      <x:c r="E2290"/>
      <x:c r="F2290" t="n">
        <x:v>0</x:v>
      </x:c>
      <x:c r="G2290" t="str">
        <x:v>DAL</x:v>
      </x:c>
      <x:c r="H2290" t="str">
        <x:v>MIN</x:v>
      </x:c>
      <x:c r="I2290" t="str">
        <x:v>MIN</x:v>
      </x:c>
      <x:c r="J2290" t="n">
        <x:v>35</x:v>
      </x:c>
      <x:c r="K2290" t="str">
        <x:v>16-W.Reichard kicks 65 yards from MIN 35 to DAL 0. 9-K.Turpin ran ob at MIN 45 for 55 yards (16-W.Reichard). PENALTY on DAL-29-C.Goodwin, Offensive Holding, 10 yards, enforced at DAL 20.</x:v>
      </x:c>
      <x:c r="L2290" t="str">
        <x:v>kickoff</x:v>
      </x:c>
      <x:c r="M2290" t="n">
        <x:v>0</x:v>
      </x:c>
      <x:c r="N2290" t="n">
        <x:v>0</x:v>
      </x:c>
      <x:c r="O2290" t="n">
        <x:v>0</x:v>
      </x:c>
      <x:c r="P2290"/>
      <x:c r="Q2290"/>
      <x:c r="R2290"/>
      <x:c r="S2290"/>
      <x:c r="T2290"/>
      <x:c r="U2290"/>
      <x:c r="V2290" t="n">
        <x:v>0</x:v>
      </x:c>
      <x:c r="W2290" t="n">
        <x:v>0</x:v>
      </x:c>
      <x:c r="X2290" t="n">
        <x:v>0</x:v>
      </x:c>
      <x:c r="Y2290" t="n">
        <x:v>0</x:v>
      </x:c>
      <x:c r="Z2290" t="n">
        <x:v>0</x:v>
      </x:c>
      <x:c r="AA2290" t="n">
        <x:v>1</x:v>
      </x:c>
      <x:c r="AB2290" t="n">
        <x:v>10</x:v>
      </x:c>
      <x:c r="AC2290" t="n">
        <x:v>0</x:v>
      </x:c>
      <x:c r="AD2290" t="n">
        <x:v>-1.078727268613875</x:v>
      </x:c>
      <x:c r="AE2290" t="n">
        <x:v>0</x:v>
      </x:c>
      <x:c r="AF2290" t="n">
        <x:v>-0.029007911682128906</x:v>
      </x:c>
      <x:c r="AG2290" t="n">
        <x:f>_xlfn.XLOOKUP($A2290,Games!$A$2:$A$18,Games!$B$2:$B$18,"Missing game",0)</x:f>
        <x:v>2025</x:v>
      </x:c>
      <x:c r="AH2290" t="str">
        <x:f>_xlfn.XLOOKUP($A2290,Games!$A$2:$A$18,Games!$C$2:$C$18,"Missing game",0)</x:f>
        <x:v>REG</x:v>
      </x:c>
      <x:c r="AI2290" t="n">
        <x:f>_xlfn.XLOOKUP($A2290,Games!$A$2:$A$18,Games!$D$2:$D$18,"Missing game",0)</x:f>
        <x:v>15</x:v>
      </x:c>
      <x:c r="AJ2290" s="1" t="n">
        <x:f>_xlfn.XLOOKUP($A2290,Games!$A$2:$A$18,Games!$E$2:$E$18,"Missing game",0)</x:f>
        <x:v>46005</x:v>
      </x:c>
      <x:c r="AK2290" t="str">
        <x:f>_xlfn.XLOOKUP($A2290,Games!$A$2:$A$18,Games!$F$2:$F$18,"Missing game",0)</x:f>
        <x:v>Sunday</x:v>
      </x:c>
      <x:c r="AL2290" t="str">
        <x:f>_xlfn.XLOOKUP($A2290,Games!$A$2:$A$18,Games!$G$2:$G$18,"Missing game",0)</x:f>
        <x:v>MIN</x:v>
      </x:c>
      <x:c r="AM2290" t="n">
        <x:f>_xlfn.XLOOKUP($A2290,Games!$A$2:$A$18,Games!$H$2:$H$18,"Missing game",0)</x:f>
        <x:v>34</x:v>
      </x:c>
      <x:c r="AN2290" t="str">
        <x:f>_xlfn.XLOOKUP($A2290,Games!$A$2:$A$18,Games!$I$2:$I$18,"Missing game",0)</x:f>
        <x:v>DAL</x:v>
      </x:c>
      <x:c r="AO2290" t="n">
        <x:f>_xlfn.XLOOKUP($A2290,Games!$A$2:$A$18,Games!$J$2:$J$18,"Missing game",0)</x:f>
        <x:v>26</x:v>
      </x:c>
      <x:c r="AP2290" t="n">
        <x:f>_xlfn.XLOOKUP($A2290,Games!$A$2:$A$18,Games!$K$2:$K$18,"Missing game",0)</x:f>
        <x:v>-8</x:v>
      </x:c>
      <x:c r="AQ2290" t="n">
        <x:f>_xlfn.XLOOKUP($A2290,Games!$A$2:$A$18,Games!$L$2:$L$18,"Missing game",0)</x:f>
        <x:v>60</x:v>
      </x:c>
      <x:c r="AR2290" t="n">
        <x:f>_xlfn.XLOOKUP($A2290,Games!$A$2:$A$18,Games!$M$2:$M$18,"Missing game",0)</x:f>
        <x:v>0</x:v>
      </x:c>
      <x:c r="AS2290" t="str">
        <x:f>_xlfn.XLOOKUP($A2290,Games!$A$2:$A$18,Games!$N$2:$N$18,"Missing game",0)</x:f>
        <x:v>closed</x:v>
      </x:c>
      <x:c r="AT2290" t="str">
        <x:f>_xlfn.XLOOKUP($A2290,Games!$A$2:$A$18,Games!$O$2:$O$18,"Missing game",0)</x:f>
        <x:v>matrixturf</x:v>
      </x:c>
      <x:c r="AU2290" t="str">
        <x:f>_xlfn.XLOOKUP($A2290,Games!$A$2:$A$18,Games!$P$2:$P$18,"Missing game",0)</x:f>
      </x:c>
      <x:c r="AV2290" t="str">
        <x:f>_xlfn.XLOOKUP($A2290,Games!$A$2:$A$18,Games!$Q$2:$Q$18,"Missing game",0)</x:f>
      </x:c>
      <x:c r="AW2290" t="str">
        <x:f>_xlfn.XLOOKUP($A2290,Games!$A$2:$A$18,Games!$R$2:$R$18,"Missing game",0)</x:f>
        <x:v>AT&amp;T Stadium</x:v>
      </x:c>
    </x:row>
    <x:row r="2291">
      <x:c r="A2291" t="str">
        <x:v>2025_15_MIN_DAL</x:v>
      </x:c>
      <x:c r="B2291" t="n">
        <x:v>3410</x:v>
      </x:c>
      <x:c r="C2291" t="n">
        <x:v>4</x:v>
      </x:c>
      <x:c r="D2291" t="str">
        <x:v>09:03</x:v>
      </x:c>
      <x:c r="E2291" t="n">
        <x:v>1</x:v>
      </x:c>
      <x:c r="F2291" t="n">
        <x:v>10</x:v>
      </x:c>
      <x:c r="G2291" t="str">
        <x:v>DAL</x:v>
      </x:c>
      <x:c r="H2291" t="str">
        <x:v>MIN</x:v>
      </x:c>
      <x:c r="I2291" t="str">
        <x:v>DAL</x:v>
      </x:c>
      <x:c r="J2291" t="n">
        <x:v>90</x:v>
      </x:c>
      <x:c r="K2291" t="str">
        <x:v>(9:03) (Shotgun) 4-D.Prescott pass short right to 3-G.Pickens to DAL 27 for 17 yards (43-A.Van Ginkel).</x:v>
      </x:c>
      <x:c r="L2291" t="str">
        <x:v>pass</x:v>
      </x:c>
      <x:c r="M2291" t="n">
        <x:v>17</x:v>
      </x:c>
      <x:c r="N2291" t="n">
        <x:v>1</x:v>
      </x:c>
      <x:c r="O2291" t="n">
        <x:v>0</x:v>
      </x:c>
      <x:c r="P2291" t="str">
        <x:v>short</x:v>
      </x:c>
      <x:c r="Q2291" t="str">
        <x:v>right</x:v>
      </x:c>
      <x:c r="R2291" t="n">
        <x:v>12</x:v>
      </x:c>
      <x:c r="S2291" t="n">
        <x:v>5</x:v>
      </x:c>
      <x:c r="T2291"/>
      <x:c r="U2291"/>
      <x:c r="V2291" t="n">
        <x:v>1</x:v>
      </x:c>
      <x:c r="W2291" t="n">
        <x:v>1</x:v>
      </x:c>
      <x:c r="X2291" t="n">
        <x:v>0</x:v>
      </x:c>
      <x:c r="Y2291" t="n">
        <x:v>0</x:v>
      </x:c>
      <x:c r="Z2291" t="n">
        <x:v>0</x:v>
      </x:c>
      <x:c r="AA2291" t="n">
        <x:v>0</x:v>
      </x:c>
      <x:c r="AB2291"/>
      <x:c r="AC2291" t="n">
        <x:v>0</x:v>
      </x:c>
      <x:c r="AD2291" t="n">
        <x:v>1.1556986193172634</x:v>
      </x:c>
      <x:c r="AE2291" t="n">
        <x:v>1</x:v>
      </x:c>
      <x:c r="AF2291" t="n">
        <x:v>0.017319291830062866</x:v>
      </x:c>
      <x:c r="AG2291" t="n">
        <x:f>_xlfn.XLOOKUP($A2291,Games!$A$2:$A$18,Games!$B$2:$B$18,"Missing game",0)</x:f>
        <x:v>2025</x:v>
      </x:c>
      <x:c r="AH2291" t="str">
        <x:f>_xlfn.XLOOKUP($A2291,Games!$A$2:$A$18,Games!$C$2:$C$18,"Missing game",0)</x:f>
        <x:v>REG</x:v>
      </x:c>
      <x:c r="AI2291" t="n">
        <x:f>_xlfn.XLOOKUP($A2291,Games!$A$2:$A$18,Games!$D$2:$D$18,"Missing game",0)</x:f>
        <x:v>15</x:v>
      </x:c>
      <x:c r="AJ2291" s="1" t="n">
        <x:f>_xlfn.XLOOKUP($A2291,Games!$A$2:$A$18,Games!$E$2:$E$18,"Missing game",0)</x:f>
        <x:v>46005</x:v>
      </x:c>
      <x:c r="AK2291" t="str">
        <x:f>_xlfn.XLOOKUP($A2291,Games!$A$2:$A$18,Games!$F$2:$F$18,"Missing game",0)</x:f>
        <x:v>Sunday</x:v>
      </x:c>
      <x:c r="AL2291" t="str">
        <x:f>_xlfn.XLOOKUP($A2291,Games!$A$2:$A$18,Games!$G$2:$G$18,"Missing game",0)</x:f>
        <x:v>MIN</x:v>
      </x:c>
      <x:c r="AM2291" t="n">
        <x:f>_xlfn.XLOOKUP($A2291,Games!$A$2:$A$18,Games!$H$2:$H$18,"Missing game",0)</x:f>
        <x:v>34</x:v>
      </x:c>
      <x:c r="AN2291" t="str">
        <x:f>_xlfn.XLOOKUP($A2291,Games!$A$2:$A$18,Games!$I$2:$I$18,"Missing game",0)</x:f>
        <x:v>DAL</x:v>
      </x:c>
      <x:c r="AO2291" t="n">
        <x:f>_xlfn.XLOOKUP($A2291,Games!$A$2:$A$18,Games!$J$2:$J$18,"Missing game",0)</x:f>
        <x:v>26</x:v>
      </x:c>
      <x:c r="AP2291" t="n">
        <x:f>_xlfn.XLOOKUP($A2291,Games!$A$2:$A$18,Games!$K$2:$K$18,"Missing game",0)</x:f>
        <x:v>-8</x:v>
      </x:c>
      <x:c r="AQ2291" t="n">
        <x:f>_xlfn.XLOOKUP($A2291,Games!$A$2:$A$18,Games!$L$2:$L$18,"Missing game",0)</x:f>
        <x:v>60</x:v>
      </x:c>
      <x:c r="AR2291" t="n">
        <x:f>_xlfn.XLOOKUP($A2291,Games!$A$2:$A$18,Games!$M$2:$M$18,"Missing game",0)</x:f>
        <x:v>0</x:v>
      </x:c>
      <x:c r="AS2291" t="str">
        <x:f>_xlfn.XLOOKUP($A2291,Games!$A$2:$A$18,Games!$N$2:$N$18,"Missing game",0)</x:f>
        <x:v>closed</x:v>
      </x:c>
      <x:c r="AT2291" t="str">
        <x:f>_xlfn.XLOOKUP($A2291,Games!$A$2:$A$18,Games!$O$2:$O$18,"Missing game",0)</x:f>
        <x:v>matrixturf</x:v>
      </x:c>
      <x:c r="AU2291" t="str">
        <x:f>_xlfn.XLOOKUP($A2291,Games!$A$2:$A$18,Games!$P$2:$P$18,"Missing game",0)</x:f>
      </x:c>
      <x:c r="AV2291" t="str">
        <x:f>_xlfn.XLOOKUP($A2291,Games!$A$2:$A$18,Games!$Q$2:$Q$18,"Missing game",0)</x:f>
      </x:c>
      <x:c r="AW2291" t="str">
        <x:f>_xlfn.XLOOKUP($A2291,Games!$A$2:$A$18,Games!$R$2:$R$18,"Missing game",0)</x:f>
        <x:v>AT&amp;T Stadium</x:v>
      </x:c>
    </x:row>
    <x:row r="2292">
      <x:c r="A2292" t="str">
        <x:v>2025_15_MIN_DAL</x:v>
      </x:c>
      <x:c r="B2292" t="n">
        <x:v>3435</x:v>
      </x:c>
      <x:c r="C2292" t="n">
        <x:v>4</x:v>
      </x:c>
      <x:c r="D2292" t="str">
        <x:v>08:29</x:v>
      </x:c>
      <x:c r="E2292" t="n">
        <x:v>1</x:v>
      </x:c>
      <x:c r="F2292" t="n">
        <x:v>10</x:v>
      </x:c>
      <x:c r="G2292" t="str">
        <x:v>DAL</x:v>
      </x:c>
      <x:c r="H2292" t="str">
        <x:v>MIN</x:v>
      </x:c>
      <x:c r="I2292" t="str">
        <x:v>DAL</x:v>
      </x:c>
      <x:c r="J2292" t="n">
        <x:v>73</x:v>
      </x:c>
      <x:c r="K2292" t="str">
        <x:v>(8:29) 33-J.Williams right tackle to DAL 42 for 15 yards (44-J.Metellus).</x:v>
      </x:c>
      <x:c r="L2292" t="str">
        <x:v>run</x:v>
      </x:c>
      <x:c r="M2292" t="n">
        <x:v>15</x:v>
      </x:c>
      <x:c r="N2292" t="n">
        <x:v>0</x:v>
      </x:c>
      <x:c r="O2292" t="n">
        <x:v>0</x:v>
      </x:c>
      <x:c r="P2292"/>
      <x:c r="Q2292"/>
      <x:c r="R2292"/>
      <x:c r="S2292"/>
      <x:c r="T2292" t="str">
        <x:v>right</x:v>
      </x:c>
      <x:c r="U2292" t="str">
        <x:v>tackle</x:v>
      </x:c>
      <x:c r="V2292" t="n">
        <x:v>0</x:v>
      </x:c>
      <x:c r="W2292" t="n">
        <x:v>1</x:v>
      </x:c>
      <x:c r="X2292" t="n">
        <x:v>0</x:v>
      </x:c>
      <x:c r="Y2292" t="n">
        <x:v>0</x:v>
      </x:c>
      <x:c r="Z2292" t="n">
        <x:v>0</x:v>
      </x:c>
      <x:c r="AA2292" t="n">
        <x:v>0</x:v>
      </x:c>
      <x:c r="AB2292"/>
      <x:c r="AC2292" t="n">
        <x:v>0</x:v>
      </x:c>
      <x:c r="AD2292" t="n">
        <x:v>0.8715578983537853</x:v>
      </x:c>
      <x:c r="AE2292" t="n">
        <x:v>1</x:v>
      </x:c>
      <x:c r="AF2292" t="n">
        <x:v>0.02645781636238098</x:v>
      </x:c>
      <x:c r="AG2292" t="n">
        <x:f>_xlfn.XLOOKUP($A2292,Games!$A$2:$A$18,Games!$B$2:$B$18,"Missing game",0)</x:f>
        <x:v>2025</x:v>
      </x:c>
      <x:c r="AH2292" t="str">
        <x:f>_xlfn.XLOOKUP($A2292,Games!$A$2:$A$18,Games!$C$2:$C$18,"Missing game",0)</x:f>
        <x:v>REG</x:v>
      </x:c>
      <x:c r="AI2292" t="n">
        <x:f>_xlfn.XLOOKUP($A2292,Games!$A$2:$A$18,Games!$D$2:$D$18,"Missing game",0)</x:f>
        <x:v>15</x:v>
      </x:c>
      <x:c r="AJ2292" s="1" t="n">
        <x:f>_xlfn.XLOOKUP($A2292,Games!$A$2:$A$18,Games!$E$2:$E$18,"Missing game",0)</x:f>
        <x:v>46005</x:v>
      </x:c>
      <x:c r="AK2292" t="str">
        <x:f>_xlfn.XLOOKUP($A2292,Games!$A$2:$A$18,Games!$F$2:$F$18,"Missing game",0)</x:f>
        <x:v>Sunday</x:v>
      </x:c>
      <x:c r="AL2292" t="str">
        <x:f>_xlfn.XLOOKUP($A2292,Games!$A$2:$A$18,Games!$G$2:$G$18,"Missing game",0)</x:f>
        <x:v>MIN</x:v>
      </x:c>
      <x:c r="AM2292" t="n">
        <x:f>_xlfn.XLOOKUP($A2292,Games!$A$2:$A$18,Games!$H$2:$H$18,"Missing game",0)</x:f>
        <x:v>34</x:v>
      </x:c>
      <x:c r="AN2292" t="str">
        <x:f>_xlfn.XLOOKUP($A2292,Games!$A$2:$A$18,Games!$I$2:$I$18,"Missing game",0)</x:f>
        <x:v>DAL</x:v>
      </x:c>
      <x:c r="AO2292" t="n">
        <x:f>_xlfn.XLOOKUP($A2292,Games!$A$2:$A$18,Games!$J$2:$J$18,"Missing game",0)</x:f>
        <x:v>26</x:v>
      </x:c>
      <x:c r="AP2292" t="n">
        <x:f>_xlfn.XLOOKUP($A2292,Games!$A$2:$A$18,Games!$K$2:$K$18,"Missing game",0)</x:f>
        <x:v>-8</x:v>
      </x:c>
      <x:c r="AQ2292" t="n">
        <x:f>_xlfn.XLOOKUP($A2292,Games!$A$2:$A$18,Games!$L$2:$L$18,"Missing game",0)</x:f>
        <x:v>60</x:v>
      </x:c>
      <x:c r="AR2292" t="n">
        <x:f>_xlfn.XLOOKUP($A2292,Games!$A$2:$A$18,Games!$M$2:$M$18,"Missing game",0)</x:f>
        <x:v>0</x:v>
      </x:c>
      <x:c r="AS2292" t="str">
        <x:f>_xlfn.XLOOKUP($A2292,Games!$A$2:$A$18,Games!$N$2:$N$18,"Missing game",0)</x:f>
        <x:v>closed</x:v>
      </x:c>
      <x:c r="AT2292" t="str">
        <x:f>_xlfn.XLOOKUP($A2292,Games!$A$2:$A$18,Games!$O$2:$O$18,"Missing game",0)</x:f>
        <x:v>matrixturf</x:v>
      </x:c>
      <x:c r="AU2292" t="str">
        <x:f>_xlfn.XLOOKUP($A2292,Games!$A$2:$A$18,Games!$P$2:$P$18,"Missing game",0)</x:f>
      </x:c>
      <x:c r="AV2292" t="str">
        <x:f>_xlfn.XLOOKUP($A2292,Games!$A$2:$A$18,Games!$Q$2:$Q$18,"Missing game",0)</x:f>
      </x:c>
      <x:c r="AW2292" t="str">
        <x:f>_xlfn.XLOOKUP($A2292,Games!$A$2:$A$18,Games!$R$2:$R$18,"Missing game",0)</x:f>
        <x:v>AT&amp;T Stadium</x:v>
      </x:c>
    </x:row>
    <x:row r="2293">
      <x:c r="A2293" t="str">
        <x:v>2025_15_MIN_DAL</x:v>
      </x:c>
      <x:c r="B2293" t="n">
        <x:v>3457</x:v>
      </x:c>
      <x:c r="C2293" t="n">
        <x:v>4</x:v>
      </x:c>
      <x:c r="D2293" t="str">
        <x:v>07:54</x:v>
      </x:c>
      <x:c r="E2293" t="n">
        <x:v>1</x:v>
      </x:c>
      <x:c r="F2293" t="n">
        <x:v>10</x:v>
      </x:c>
      <x:c r="G2293" t="str">
        <x:v>DAL</x:v>
      </x:c>
      <x:c r="H2293" t="str">
        <x:v>MIN</x:v>
      </x:c>
      <x:c r="I2293" t="str">
        <x:v>DAL</x:v>
      </x:c>
      <x:c r="J2293" t="n">
        <x:v>58</x:v>
      </x:c>
      <x:c r="K2293" t="str">
        <x:v>(7:54) 33-J.Williams right guard to DAL 44 for 2 yards (50-L.Rodriguez).</x:v>
      </x:c>
      <x:c r="L2293" t="str">
        <x:v>run</x:v>
      </x:c>
      <x:c r="M2293" t="n">
        <x:v>2</x:v>
      </x:c>
      <x:c r="N2293" t="n">
        <x:v>0</x:v>
      </x:c>
      <x:c r="O2293" t="n">
        <x:v>0</x:v>
      </x:c>
      <x:c r="P2293"/>
      <x:c r="Q2293"/>
      <x:c r="R2293"/>
      <x:c r="S2293"/>
      <x:c r="T2293" t="str">
        <x:v>right</x:v>
      </x:c>
      <x:c r="U2293" t="str">
        <x:v>guard</x:v>
      </x:c>
      <x:c r="V2293" t="n">
        <x:v>0</x:v>
      </x:c>
      <x:c r="W2293" t="n">
        <x:v>0</x:v>
      </x:c>
      <x:c r="X2293" t="n">
        <x:v>0</x:v>
      </x:c>
      <x:c r="Y2293" t="n">
        <x:v>0</x:v>
      </x:c>
      <x:c r="Z2293" t="n">
        <x:v>0</x:v>
      </x:c>
      <x:c r="AA2293" t="n">
        <x:v>0</x:v>
      </x:c>
      <x:c r="AB2293"/>
      <x:c r="AC2293" t="n">
        <x:v>0</x:v>
      </x:c>
      <x:c r="AD2293" t="n">
        <x:v>-0.3475426035001874</x:v>
      </x:c>
      <x:c r="AE2293" t="n">
        <x:v>0</x:v>
      </x:c>
      <x:c r="AF2293" t="n">
        <x:v>-0.031083673238754272</x:v>
      </x:c>
      <x:c r="AG2293" t="n">
        <x:f>_xlfn.XLOOKUP($A2293,Games!$A$2:$A$18,Games!$B$2:$B$18,"Missing game",0)</x:f>
        <x:v>2025</x:v>
      </x:c>
      <x:c r="AH2293" t="str">
        <x:f>_xlfn.XLOOKUP($A2293,Games!$A$2:$A$18,Games!$C$2:$C$18,"Missing game",0)</x:f>
        <x:v>REG</x:v>
      </x:c>
      <x:c r="AI2293" t="n">
        <x:f>_xlfn.XLOOKUP($A2293,Games!$A$2:$A$18,Games!$D$2:$D$18,"Missing game",0)</x:f>
        <x:v>15</x:v>
      </x:c>
      <x:c r="AJ2293" s="1" t="n">
        <x:f>_xlfn.XLOOKUP($A2293,Games!$A$2:$A$18,Games!$E$2:$E$18,"Missing game",0)</x:f>
        <x:v>46005</x:v>
      </x:c>
      <x:c r="AK2293" t="str">
        <x:f>_xlfn.XLOOKUP($A2293,Games!$A$2:$A$18,Games!$F$2:$F$18,"Missing game",0)</x:f>
        <x:v>Sunday</x:v>
      </x:c>
      <x:c r="AL2293" t="str">
        <x:f>_xlfn.XLOOKUP($A2293,Games!$A$2:$A$18,Games!$G$2:$G$18,"Missing game",0)</x:f>
        <x:v>MIN</x:v>
      </x:c>
      <x:c r="AM2293" t="n">
        <x:f>_xlfn.XLOOKUP($A2293,Games!$A$2:$A$18,Games!$H$2:$H$18,"Missing game",0)</x:f>
        <x:v>34</x:v>
      </x:c>
      <x:c r="AN2293" t="str">
        <x:f>_xlfn.XLOOKUP($A2293,Games!$A$2:$A$18,Games!$I$2:$I$18,"Missing game",0)</x:f>
        <x:v>DAL</x:v>
      </x:c>
      <x:c r="AO2293" t="n">
        <x:f>_xlfn.XLOOKUP($A2293,Games!$A$2:$A$18,Games!$J$2:$J$18,"Missing game",0)</x:f>
        <x:v>26</x:v>
      </x:c>
      <x:c r="AP2293" t="n">
        <x:f>_xlfn.XLOOKUP($A2293,Games!$A$2:$A$18,Games!$K$2:$K$18,"Missing game",0)</x:f>
        <x:v>-8</x:v>
      </x:c>
      <x:c r="AQ2293" t="n">
        <x:f>_xlfn.XLOOKUP($A2293,Games!$A$2:$A$18,Games!$L$2:$L$18,"Missing game",0)</x:f>
        <x:v>60</x:v>
      </x:c>
      <x:c r="AR2293" t="n">
        <x:f>_xlfn.XLOOKUP($A2293,Games!$A$2:$A$18,Games!$M$2:$M$18,"Missing game",0)</x:f>
        <x:v>0</x:v>
      </x:c>
      <x:c r="AS2293" t="str">
        <x:f>_xlfn.XLOOKUP($A2293,Games!$A$2:$A$18,Games!$N$2:$N$18,"Missing game",0)</x:f>
        <x:v>closed</x:v>
      </x:c>
      <x:c r="AT2293" t="str">
        <x:f>_xlfn.XLOOKUP($A2293,Games!$A$2:$A$18,Games!$O$2:$O$18,"Missing game",0)</x:f>
        <x:v>matrixturf</x:v>
      </x:c>
      <x:c r="AU2293" t="str">
        <x:f>_xlfn.XLOOKUP($A2293,Games!$A$2:$A$18,Games!$P$2:$P$18,"Missing game",0)</x:f>
      </x:c>
      <x:c r="AV2293" t="str">
        <x:f>_xlfn.XLOOKUP($A2293,Games!$A$2:$A$18,Games!$Q$2:$Q$18,"Missing game",0)</x:f>
      </x:c>
      <x:c r="AW2293" t="str">
        <x:f>_xlfn.XLOOKUP($A2293,Games!$A$2:$A$18,Games!$R$2:$R$18,"Missing game",0)</x:f>
        <x:v>AT&amp;T Stadium</x:v>
      </x:c>
    </x:row>
    <x:row r="2294">
      <x:c r="A2294" t="str">
        <x:v>2025_15_MIN_DAL</x:v>
      </x:c>
      <x:c r="B2294" t="n">
        <x:v>3479</x:v>
      </x:c>
      <x:c r="C2294" t="n">
        <x:v>4</x:v>
      </x:c>
      <x:c r="D2294" t="str">
        <x:v>07:13</x:v>
      </x:c>
      <x:c r="E2294" t="n">
        <x:v>2</x:v>
      </x:c>
      <x:c r="F2294" t="n">
        <x:v>8</x:v>
      </x:c>
      <x:c r="G2294" t="str">
        <x:v>DAL</x:v>
      </x:c>
      <x:c r="H2294" t="str">
        <x:v>MIN</x:v>
      </x:c>
      <x:c r="I2294" t="str">
        <x:v>DAL</x:v>
      </x:c>
      <x:c r="J2294" t="n">
        <x:v>56</x:v>
      </x:c>
      <x:c r="K2294" t="str">
        <x:v>(7:13) (Shotgun) 4-D.Prescott pass short left to 19-R.Flournoy to MIN 48 for 8 yards (22-H.Smith; 51-B.Cashman).</x:v>
      </x:c>
      <x:c r="L2294" t="str">
        <x:v>pass</x:v>
      </x:c>
      <x:c r="M2294" t="n">
        <x:v>8</x:v>
      </x:c>
      <x:c r="N2294" t="n">
        <x:v>1</x:v>
      </x:c>
      <x:c r="O2294" t="n">
        <x:v>0</x:v>
      </x:c>
      <x:c r="P2294" t="str">
        <x:v>short</x:v>
      </x:c>
      <x:c r="Q2294" t="str">
        <x:v>left</x:v>
      </x:c>
      <x:c r="R2294" t="n">
        <x:v>1</x:v>
      </x:c>
      <x:c r="S2294" t="n">
        <x:v>7</x:v>
      </x:c>
      <x:c r="T2294"/>
      <x:c r="U2294"/>
      <x:c r="V2294" t="n">
        <x:v>1</x:v>
      </x:c>
      <x:c r="W2294" t="n">
        <x:v>1</x:v>
      </x:c>
      <x:c r="X2294" t="n">
        <x:v>0</x:v>
      </x:c>
      <x:c r="Y2294" t="n">
        <x:v>0</x:v>
      </x:c>
      <x:c r="Z2294" t="n">
        <x:v>0</x:v>
      </x:c>
      <x:c r="AA2294" t="n">
        <x:v>0</x:v>
      </x:c>
      <x:c r="AB2294"/>
      <x:c r="AC2294" t="n">
        <x:v>0</x:v>
      </x:c>
      <x:c r="AD2294" t="n">
        <x:v>0.9035040197195485</x:v>
      </x:c>
      <x:c r="AE2294" t="n">
        <x:v>1</x:v>
      </x:c>
      <x:c r="AF2294" t="n">
        <x:v>0.02303321659564972</x:v>
      </x:c>
      <x:c r="AG2294" t="n">
        <x:f>_xlfn.XLOOKUP($A2294,Games!$A$2:$A$18,Games!$B$2:$B$18,"Missing game",0)</x:f>
        <x:v>2025</x:v>
      </x:c>
      <x:c r="AH2294" t="str">
        <x:f>_xlfn.XLOOKUP($A2294,Games!$A$2:$A$18,Games!$C$2:$C$18,"Missing game",0)</x:f>
        <x:v>REG</x:v>
      </x:c>
      <x:c r="AI2294" t="n">
        <x:f>_xlfn.XLOOKUP($A2294,Games!$A$2:$A$18,Games!$D$2:$D$18,"Missing game",0)</x:f>
        <x:v>15</x:v>
      </x:c>
      <x:c r="AJ2294" s="1" t="n">
        <x:f>_xlfn.XLOOKUP($A2294,Games!$A$2:$A$18,Games!$E$2:$E$18,"Missing game",0)</x:f>
        <x:v>46005</x:v>
      </x:c>
      <x:c r="AK2294" t="str">
        <x:f>_xlfn.XLOOKUP($A2294,Games!$A$2:$A$18,Games!$F$2:$F$18,"Missing game",0)</x:f>
        <x:v>Sunday</x:v>
      </x:c>
      <x:c r="AL2294" t="str">
        <x:f>_xlfn.XLOOKUP($A2294,Games!$A$2:$A$18,Games!$G$2:$G$18,"Missing game",0)</x:f>
        <x:v>MIN</x:v>
      </x:c>
      <x:c r="AM2294" t="n">
        <x:f>_xlfn.XLOOKUP($A2294,Games!$A$2:$A$18,Games!$H$2:$H$18,"Missing game",0)</x:f>
        <x:v>34</x:v>
      </x:c>
      <x:c r="AN2294" t="str">
        <x:f>_xlfn.XLOOKUP($A2294,Games!$A$2:$A$18,Games!$I$2:$I$18,"Missing game",0)</x:f>
        <x:v>DAL</x:v>
      </x:c>
      <x:c r="AO2294" t="n">
        <x:f>_xlfn.XLOOKUP($A2294,Games!$A$2:$A$18,Games!$J$2:$J$18,"Missing game",0)</x:f>
        <x:v>26</x:v>
      </x:c>
      <x:c r="AP2294" t="n">
        <x:f>_xlfn.XLOOKUP($A2294,Games!$A$2:$A$18,Games!$K$2:$K$18,"Missing game",0)</x:f>
        <x:v>-8</x:v>
      </x:c>
      <x:c r="AQ2294" t="n">
        <x:f>_xlfn.XLOOKUP($A2294,Games!$A$2:$A$18,Games!$L$2:$L$18,"Missing game",0)</x:f>
        <x:v>60</x:v>
      </x:c>
      <x:c r="AR2294" t="n">
        <x:f>_xlfn.XLOOKUP($A2294,Games!$A$2:$A$18,Games!$M$2:$M$18,"Missing game",0)</x:f>
        <x:v>0</x:v>
      </x:c>
      <x:c r="AS2294" t="str">
        <x:f>_xlfn.XLOOKUP($A2294,Games!$A$2:$A$18,Games!$N$2:$N$18,"Missing game",0)</x:f>
        <x:v>closed</x:v>
      </x:c>
      <x:c r="AT2294" t="str">
        <x:f>_xlfn.XLOOKUP($A2294,Games!$A$2:$A$18,Games!$O$2:$O$18,"Missing game",0)</x:f>
        <x:v>matrixturf</x:v>
      </x:c>
      <x:c r="AU2294" t="str">
        <x:f>_xlfn.XLOOKUP($A2294,Games!$A$2:$A$18,Games!$P$2:$P$18,"Missing game",0)</x:f>
      </x:c>
      <x:c r="AV2294" t="str">
        <x:f>_xlfn.XLOOKUP($A2294,Games!$A$2:$A$18,Games!$Q$2:$Q$18,"Missing game",0)</x:f>
      </x:c>
      <x:c r="AW2294" t="str">
        <x:f>_xlfn.XLOOKUP($A2294,Games!$A$2:$A$18,Games!$R$2:$R$18,"Missing game",0)</x:f>
        <x:v>AT&amp;T Stadium</x:v>
      </x:c>
    </x:row>
    <x:row r="2295">
      <x:c r="A2295" t="str">
        <x:v>2025_15_MIN_DAL</x:v>
      </x:c>
      <x:c r="B2295" t="n">
        <x:v>3504</x:v>
      </x:c>
      <x:c r="C2295" t="n">
        <x:v>4</x:v>
      </x:c>
      <x:c r="D2295" t="str">
        <x:v>06:30</x:v>
      </x:c>
      <x:c r="E2295" t="n">
        <x:v>1</x:v>
      </x:c>
      <x:c r="F2295" t="n">
        <x:v>10</x:v>
      </x:c>
      <x:c r="G2295" t="str">
        <x:v>DAL</x:v>
      </x:c>
      <x:c r="H2295" t="str">
        <x:v>MIN</x:v>
      </x:c>
      <x:c r="I2295" t="str">
        <x:v>MIN</x:v>
      </x:c>
      <x:c r="J2295" t="n">
        <x:v>48</x:v>
      </x:c>
      <x:c r="K2295" t="str">
        <x:v>(6:30) (Shotgun) 4-D.Prescott pass short left to 43-M.Davis pushed ob at MIN 34 for 14 yards (55-E.Wilson). PENALTY on DAL-75-H.Adeniji, Offensive Holding, 10 yards, enforced at MIN 48 - No Play.</x:v>
      </x:c>
      <x:c r="L2295" t="str">
        <x:v>no_play</x:v>
      </x:c>
      <x:c r="M2295" t="n">
        <x:v>0</x:v>
      </x:c>
      <x:c r="N2295" t="n">
        <x:v>1</x:v>
      </x:c>
      <x:c r="O2295" t="n">
        <x:v>0</x:v>
      </x:c>
      <x:c r="P2295"/>
      <x:c r="Q2295"/>
      <x:c r="R2295"/>
      <x:c r="S2295"/>
      <x:c r="T2295"/>
      <x:c r="U2295"/>
      <x:c r="V2295" t="n">
        <x:v>0</x:v>
      </x:c>
      <x:c r="W2295" t="n">
        <x:v>0</x:v>
      </x:c>
      <x:c r="X2295" t="n">
        <x:v>0</x:v>
      </x:c>
      <x:c r="Y2295" t="n">
        <x:v>0</x:v>
      </x:c>
      <x:c r="Z2295" t="n">
        <x:v>0</x:v>
      </x:c>
      <x:c r="AA2295" t="n">
        <x:v>1</x:v>
      </x:c>
      <x:c r="AB2295" t="n">
        <x:v>10</x:v>
      </x:c>
      <x:c r="AC2295" t="n">
        <x:v>0</x:v>
      </x:c>
      <x:c r="AD2295" t="n">
        <x:v>-0.8834358906606212</x:v>
      </x:c>
      <x:c r="AE2295" t="n">
        <x:v>0</x:v>
      </x:c>
      <x:c r="AF2295" t="n">
        <x:v>-0.024984270334243774</x:v>
      </x:c>
      <x:c r="AG2295" t="n">
        <x:f>_xlfn.XLOOKUP($A2295,Games!$A$2:$A$18,Games!$B$2:$B$18,"Missing game",0)</x:f>
        <x:v>2025</x:v>
      </x:c>
      <x:c r="AH2295" t="str">
        <x:f>_xlfn.XLOOKUP($A2295,Games!$A$2:$A$18,Games!$C$2:$C$18,"Missing game",0)</x:f>
        <x:v>REG</x:v>
      </x:c>
      <x:c r="AI2295" t="n">
        <x:f>_xlfn.XLOOKUP($A2295,Games!$A$2:$A$18,Games!$D$2:$D$18,"Missing game",0)</x:f>
        <x:v>15</x:v>
      </x:c>
      <x:c r="AJ2295" s="1" t="n">
        <x:f>_xlfn.XLOOKUP($A2295,Games!$A$2:$A$18,Games!$E$2:$E$18,"Missing game",0)</x:f>
        <x:v>46005</x:v>
      </x:c>
      <x:c r="AK2295" t="str">
        <x:f>_xlfn.XLOOKUP($A2295,Games!$A$2:$A$18,Games!$F$2:$F$18,"Missing game",0)</x:f>
        <x:v>Sunday</x:v>
      </x:c>
      <x:c r="AL2295" t="str">
        <x:f>_xlfn.XLOOKUP($A2295,Games!$A$2:$A$18,Games!$G$2:$G$18,"Missing game",0)</x:f>
        <x:v>MIN</x:v>
      </x:c>
      <x:c r="AM2295" t="n">
        <x:f>_xlfn.XLOOKUP($A2295,Games!$A$2:$A$18,Games!$H$2:$H$18,"Missing game",0)</x:f>
        <x:v>34</x:v>
      </x:c>
      <x:c r="AN2295" t="str">
        <x:f>_xlfn.XLOOKUP($A2295,Games!$A$2:$A$18,Games!$I$2:$I$18,"Missing game",0)</x:f>
        <x:v>DAL</x:v>
      </x:c>
      <x:c r="AO2295" t="n">
        <x:f>_xlfn.XLOOKUP($A2295,Games!$A$2:$A$18,Games!$J$2:$J$18,"Missing game",0)</x:f>
        <x:v>26</x:v>
      </x:c>
      <x:c r="AP2295" t="n">
        <x:f>_xlfn.XLOOKUP($A2295,Games!$A$2:$A$18,Games!$K$2:$K$18,"Missing game",0)</x:f>
        <x:v>-8</x:v>
      </x:c>
      <x:c r="AQ2295" t="n">
        <x:f>_xlfn.XLOOKUP($A2295,Games!$A$2:$A$18,Games!$L$2:$L$18,"Missing game",0)</x:f>
        <x:v>60</x:v>
      </x:c>
      <x:c r="AR2295" t="n">
        <x:f>_xlfn.XLOOKUP($A2295,Games!$A$2:$A$18,Games!$M$2:$M$18,"Missing game",0)</x:f>
        <x:v>0</x:v>
      </x:c>
      <x:c r="AS2295" t="str">
        <x:f>_xlfn.XLOOKUP($A2295,Games!$A$2:$A$18,Games!$N$2:$N$18,"Missing game",0)</x:f>
        <x:v>closed</x:v>
      </x:c>
      <x:c r="AT2295" t="str">
        <x:f>_xlfn.XLOOKUP($A2295,Games!$A$2:$A$18,Games!$O$2:$O$18,"Missing game",0)</x:f>
        <x:v>matrixturf</x:v>
      </x:c>
      <x:c r="AU2295" t="str">
        <x:f>_xlfn.XLOOKUP($A2295,Games!$A$2:$A$18,Games!$P$2:$P$18,"Missing game",0)</x:f>
      </x:c>
      <x:c r="AV2295" t="str">
        <x:f>_xlfn.XLOOKUP($A2295,Games!$A$2:$A$18,Games!$Q$2:$Q$18,"Missing game",0)</x:f>
      </x:c>
      <x:c r="AW2295" t="str">
        <x:f>_xlfn.XLOOKUP($A2295,Games!$A$2:$A$18,Games!$R$2:$R$18,"Missing game",0)</x:f>
        <x:v>AT&amp;T Stadium</x:v>
      </x:c>
    </x:row>
    <x:row r="2296">
      <x:c r="A2296" t="str">
        <x:v>2025_15_MIN_DAL</x:v>
      </x:c>
      <x:c r="B2296" t="n">
        <x:v>3545</x:v>
      </x:c>
      <x:c r="C2296" t="n">
        <x:v>4</x:v>
      </x:c>
      <x:c r="D2296" t="str">
        <x:v>06:06</x:v>
      </x:c>
      <x:c r="E2296" t="n">
        <x:v>1</x:v>
      </x:c>
      <x:c r="F2296" t="n">
        <x:v>20</x:v>
      </x:c>
      <x:c r="G2296" t="str">
        <x:v>DAL</x:v>
      </x:c>
      <x:c r="H2296" t="str">
        <x:v>MIN</x:v>
      </x:c>
      <x:c r="I2296" t="str">
        <x:v>DAL</x:v>
      </x:c>
      <x:c r="J2296" t="n">
        <x:v>58</x:v>
      </x:c>
      <x:c r="K2296" t="str">
        <x:v>(6:06) (Shotgun) 4-D.Prescott pass incomplete short left to 88-C.Lamb.</x:v>
      </x:c>
      <x:c r="L2296" t="str">
        <x:v>pass</x:v>
      </x:c>
      <x:c r="M2296" t="n">
        <x:v>0</x:v>
      </x:c>
      <x:c r="N2296" t="n">
        <x:v>1</x:v>
      </x:c>
      <x:c r="O2296" t="n">
        <x:v>0</x:v>
      </x:c>
      <x:c r="P2296" t="str">
        <x:v>short</x:v>
      </x:c>
      <x:c r="Q2296" t="str">
        <x:v>left</x:v>
      </x:c>
      <x:c r="R2296" t="n">
        <x:v>3</x:v>
      </x:c>
      <x:c r="S2296"/>
      <x:c r="T2296"/>
      <x:c r="U2296"/>
      <x:c r="V2296" t="n">
        <x:v>0</x:v>
      </x:c>
      <x:c r="W2296" t="n">
        <x:v>0</x:v>
      </x:c>
      <x:c r="X2296" t="n">
        <x:v>0</x:v>
      </x:c>
      <x:c r="Y2296" t="n">
        <x:v>0</x:v>
      </x:c>
      <x:c r="Z2296" t="n">
        <x:v>0</x:v>
      </x:c>
      <x:c r="AA2296" t="n">
        <x:v>0</x:v>
      </x:c>
      <x:c r="AB2296"/>
      <x:c r="AC2296" t="n">
        <x:v>0</x:v>
      </x:c>
      <x:c r="AD2296" t="n">
        <x:v>-0.5359248165041208</x:v>
      </x:c>
      <x:c r="AE2296" t="n">
        <x:v>0</x:v>
      </x:c>
      <x:c r="AF2296" t="n">
        <x:v>-0.02132526785135269</x:v>
      </x:c>
      <x:c r="AG2296" t="n">
        <x:f>_xlfn.XLOOKUP($A2296,Games!$A$2:$A$18,Games!$B$2:$B$18,"Missing game",0)</x:f>
        <x:v>2025</x:v>
      </x:c>
      <x:c r="AH2296" t="str">
        <x:f>_xlfn.XLOOKUP($A2296,Games!$A$2:$A$18,Games!$C$2:$C$18,"Missing game",0)</x:f>
        <x:v>REG</x:v>
      </x:c>
      <x:c r="AI2296" t="n">
        <x:f>_xlfn.XLOOKUP($A2296,Games!$A$2:$A$18,Games!$D$2:$D$18,"Missing game",0)</x:f>
        <x:v>15</x:v>
      </x:c>
      <x:c r="AJ2296" s="1" t="n">
        <x:f>_xlfn.XLOOKUP($A2296,Games!$A$2:$A$18,Games!$E$2:$E$18,"Missing game",0)</x:f>
        <x:v>46005</x:v>
      </x:c>
      <x:c r="AK2296" t="str">
        <x:f>_xlfn.XLOOKUP($A2296,Games!$A$2:$A$18,Games!$F$2:$F$18,"Missing game",0)</x:f>
        <x:v>Sunday</x:v>
      </x:c>
      <x:c r="AL2296" t="str">
        <x:f>_xlfn.XLOOKUP($A2296,Games!$A$2:$A$18,Games!$G$2:$G$18,"Missing game",0)</x:f>
        <x:v>MIN</x:v>
      </x:c>
      <x:c r="AM2296" t="n">
        <x:f>_xlfn.XLOOKUP($A2296,Games!$A$2:$A$18,Games!$H$2:$H$18,"Missing game",0)</x:f>
        <x:v>34</x:v>
      </x:c>
      <x:c r="AN2296" t="str">
        <x:f>_xlfn.XLOOKUP($A2296,Games!$A$2:$A$18,Games!$I$2:$I$18,"Missing game",0)</x:f>
        <x:v>DAL</x:v>
      </x:c>
      <x:c r="AO2296" t="n">
        <x:f>_xlfn.XLOOKUP($A2296,Games!$A$2:$A$18,Games!$J$2:$J$18,"Missing game",0)</x:f>
        <x:v>26</x:v>
      </x:c>
      <x:c r="AP2296" t="n">
        <x:f>_xlfn.XLOOKUP($A2296,Games!$A$2:$A$18,Games!$K$2:$K$18,"Missing game",0)</x:f>
        <x:v>-8</x:v>
      </x:c>
      <x:c r="AQ2296" t="n">
        <x:f>_xlfn.XLOOKUP($A2296,Games!$A$2:$A$18,Games!$L$2:$L$18,"Missing game",0)</x:f>
        <x:v>60</x:v>
      </x:c>
      <x:c r="AR2296" t="n">
        <x:f>_xlfn.XLOOKUP($A2296,Games!$A$2:$A$18,Games!$M$2:$M$18,"Missing game",0)</x:f>
        <x:v>0</x:v>
      </x:c>
      <x:c r="AS2296" t="str">
        <x:f>_xlfn.XLOOKUP($A2296,Games!$A$2:$A$18,Games!$N$2:$N$18,"Missing game",0)</x:f>
        <x:v>closed</x:v>
      </x:c>
      <x:c r="AT2296" t="str">
        <x:f>_xlfn.XLOOKUP($A2296,Games!$A$2:$A$18,Games!$O$2:$O$18,"Missing game",0)</x:f>
        <x:v>matrixturf</x:v>
      </x:c>
      <x:c r="AU2296" t="str">
        <x:f>_xlfn.XLOOKUP($A2296,Games!$A$2:$A$18,Games!$P$2:$P$18,"Missing game",0)</x:f>
      </x:c>
      <x:c r="AV2296" t="str">
        <x:f>_xlfn.XLOOKUP($A2296,Games!$A$2:$A$18,Games!$Q$2:$Q$18,"Missing game",0)</x:f>
      </x:c>
      <x:c r="AW2296" t="str">
        <x:f>_xlfn.XLOOKUP($A2296,Games!$A$2:$A$18,Games!$R$2:$R$18,"Missing game",0)</x:f>
        <x:v>AT&amp;T Stadium</x:v>
      </x:c>
    </x:row>
    <x:row r="2297">
      <x:c r="A2297" t="str">
        <x:v>2025_15_MIN_DAL</x:v>
      </x:c>
      <x:c r="B2297" t="n">
        <x:v>3568</x:v>
      </x:c>
      <x:c r="C2297" t="n">
        <x:v>4</x:v>
      </x:c>
      <x:c r="D2297" t="str">
        <x:v>06:03</x:v>
      </x:c>
      <x:c r="E2297" t="n">
        <x:v>2</x:v>
      </x:c>
      <x:c r="F2297" t="n">
        <x:v>20</x:v>
      </x:c>
      <x:c r="G2297" t="str">
        <x:v>DAL</x:v>
      </x:c>
      <x:c r="H2297" t="str">
        <x:v>MIN</x:v>
      </x:c>
      <x:c r="I2297" t="str">
        <x:v>DAL</x:v>
      </x:c>
      <x:c r="J2297" t="n">
        <x:v>58</x:v>
      </x:c>
      <x:c r="K2297" t="str">
        <x:v>(6:03) (Shotgun) 4-D.Prescott pass short right to 88-C.Lamb to MIN 45 for 13 yards (51-B.Cashman).</x:v>
      </x:c>
      <x:c r="L2297" t="str">
        <x:v>pass</x:v>
      </x:c>
      <x:c r="M2297" t="n">
        <x:v>13</x:v>
      </x:c>
      <x:c r="N2297" t="n">
        <x:v>1</x:v>
      </x:c>
      <x:c r="O2297" t="n">
        <x:v>0</x:v>
      </x:c>
      <x:c r="P2297" t="str">
        <x:v>short</x:v>
      </x:c>
      <x:c r="Q2297" t="str">
        <x:v>right</x:v>
      </x:c>
      <x:c r="R2297" t="n">
        <x:v>3</x:v>
      </x:c>
      <x:c r="S2297" t="n">
        <x:v>10</x:v>
      </x:c>
      <x:c r="T2297"/>
      <x:c r="U2297"/>
      <x:c r="V2297" t="n">
        <x:v>1</x:v>
      </x:c>
      <x:c r="W2297" t="n">
        <x:v>0</x:v>
      </x:c>
      <x:c r="X2297" t="n">
        <x:v>0</x:v>
      </x:c>
      <x:c r="Y2297" t="n">
        <x:v>0</x:v>
      </x:c>
      <x:c r="Z2297" t="n">
        <x:v>0</x:v>
      </x:c>
      <x:c r="AA2297" t="n">
        <x:v>0</x:v>
      </x:c>
      <x:c r="AB2297"/>
      <x:c r="AC2297" t="n">
        <x:v>0</x:v>
      </x:c>
      <x:c r="AD2297" t="n">
        <x:v>0.5645628836937249</x:v>
      </x:c>
      <x:c r="AE2297" t="n">
        <x:v>1</x:v>
      </x:c>
      <x:c r="AF2297" t="n">
        <x:v>-0.004441246390342712</x:v>
      </x:c>
      <x:c r="AG2297" t="n">
        <x:f>_xlfn.XLOOKUP($A2297,Games!$A$2:$A$18,Games!$B$2:$B$18,"Missing game",0)</x:f>
        <x:v>2025</x:v>
      </x:c>
      <x:c r="AH2297" t="str">
        <x:f>_xlfn.XLOOKUP($A2297,Games!$A$2:$A$18,Games!$C$2:$C$18,"Missing game",0)</x:f>
        <x:v>REG</x:v>
      </x:c>
      <x:c r="AI2297" t="n">
        <x:f>_xlfn.XLOOKUP($A2297,Games!$A$2:$A$18,Games!$D$2:$D$18,"Missing game",0)</x:f>
        <x:v>15</x:v>
      </x:c>
      <x:c r="AJ2297" s="1" t="n">
        <x:f>_xlfn.XLOOKUP($A2297,Games!$A$2:$A$18,Games!$E$2:$E$18,"Missing game",0)</x:f>
        <x:v>46005</x:v>
      </x:c>
      <x:c r="AK2297" t="str">
        <x:f>_xlfn.XLOOKUP($A2297,Games!$A$2:$A$18,Games!$F$2:$F$18,"Missing game",0)</x:f>
        <x:v>Sunday</x:v>
      </x:c>
      <x:c r="AL2297" t="str">
        <x:f>_xlfn.XLOOKUP($A2297,Games!$A$2:$A$18,Games!$G$2:$G$18,"Missing game",0)</x:f>
        <x:v>MIN</x:v>
      </x:c>
      <x:c r="AM2297" t="n">
        <x:f>_xlfn.XLOOKUP($A2297,Games!$A$2:$A$18,Games!$H$2:$H$18,"Missing game",0)</x:f>
        <x:v>34</x:v>
      </x:c>
      <x:c r="AN2297" t="str">
        <x:f>_xlfn.XLOOKUP($A2297,Games!$A$2:$A$18,Games!$I$2:$I$18,"Missing game",0)</x:f>
        <x:v>DAL</x:v>
      </x:c>
      <x:c r="AO2297" t="n">
        <x:f>_xlfn.XLOOKUP($A2297,Games!$A$2:$A$18,Games!$J$2:$J$18,"Missing game",0)</x:f>
        <x:v>26</x:v>
      </x:c>
      <x:c r="AP2297" t="n">
        <x:f>_xlfn.XLOOKUP($A2297,Games!$A$2:$A$18,Games!$K$2:$K$18,"Missing game",0)</x:f>
        <x:v>-8</x:v>
      </x:c>
      <x:c r="AQ2297" t="n">
        <x:f>_xlfn.XLOOKUP($A2297,Games!$A$2:$A$18,Games!$L$2:$L$18,"Missing game",0)</x:f>
        <x:v>60</x:v>
      </x:c>
      <x:c r="AR2297" t="n">
        <x:f>_xlfn.XLOOKUP($A2297,Games!$A$2:$A$18,Games!$M$2:$M$18,"Missing game",0)</x:f>
        <x:v>0</x:v>
      </x:c>
      <x:c r="AS2297" t="str">
        <x:f>_xlfn.XLOOKUP($A2297,Games!$A$2:$A$18,Games!$N$2:$N$18,"Missing game",0)</x:f>
        <x:v>closed</x:v>
      </x:c>
      <x:c r="AT2297" t="str">
        <x:f>_xlfn.XLOOKUP($A2297,Games!$A$2:$A$18,Games!$O$2:$O$18,"Missing game",0)</x:f>
        <x:v>matrixturf</x:v>
      </x:c>
      <x:c r="AU2297" t="str">
        <x:f>_xlfn.XLOOKUP($A2297,Games!$A$2:$A$18,Games!$P$2:$P$18,"Missing game",0)</x:f>
      </x:c>
      <x:c r="AV2297" t="str">
        <x:f>_xlfn.XLOOKUP($A2297,Games!$A$2:$A$18,Games!$Q$2:$Q$18,"Missing game",0)</x:f>
      </x:c>
      <x:c r="AW2297" t="str">
        <x:f>_xlfn.XLOOKUP($A2297,Games!$A$2:$A$18,Games!$R$2:$R$18,"Missing game",0)</x:f>
        <x:v>AT&amp;T Stadium</x:v>
      </x:c>
    </x:row>
    <x:row r="2298">
      <x:c r="A2298" t="str">
        <x:v>2025_15_MIN_DAL</x:v>
      </x:c>
      <x:c r="B2298" t="n">
        <x:v>3598</x:v>
      </x:c>
      <x:c r="C2298" t="n">
        <x:v>4</x:v>
      </x:c>
      <x:c r="D2298" t="str">
        <x:v>05:40</x:v>
      </x:c>
      <x:c r="E2298" t="n">
        <x:v>3</x:v>
      </x:c>
      <x:c r="F2298" t="n">
        <x:v>7</x:v>
      </x:c>
      <x:c r="G2298" t="str">
        <x:v>DAL</x:v>
      </x:c>
      <x:c r="H2298" t="str">
        <x:v>MIN</x:v>
      </x:c>
      <x:c r="I2298" t="str">
        <x:v>MIN</x:v>
      </x:c>
      <x:c r="J2298" t="n">
        <x:v>45</x:v>
      </x:c>
      <x:c r="K2298" t="str">
        <x:v>(5:40) (No Huddle, Shotgun) 4-D.Prescott pass incomplete short right to 43-M.Davis.</x:v>
      </x:c>
      <x:c r="L2298" t="str">
        <x:v>pass</x:v>
      </x:c>
      <x:c r="M2298" t="n">
        <x:v>0</x:v>
      </x:c>
      <x:c r="N2298" t="n">
        <x:v>1</x:v>
      </x:c>
      <x:c r="O2298" t="n">
        <x:v>1</x:v>
      </x:c>
      <x:c r="P2298" t="str">
        <x:v>short</x:v>
      </x:c>
      <x:c r="Q2298" t="str">
        <x:v>right</x:v>
      </x:c>
      <x:c r="R2298" t="n">
        <x:v>3</x:v>
      </x:c>
      <x:c r="S2298"/>
      <x:c r="T2298"/>
      <x:c r="U2298"/>
      <x:c r="V2298" t="n">
        <x:v>0</x:v>
      </x:c>
      <x:c r="W2298" t="n">
        <x:v>0</x:v>
      </x:c>
      <x:c r="X2298" t="n">
        <x:v>0</x:v>
      </x:c>
      <x:c r="Y2298" t="n">
        <x:v>0</x:v>
      </x:c>
      <x:c r="Z2298" t="n">
        <x:v>0</x:v>
      </x:c>
      <x:c r="AA2298" t="n">
        <x:v>0</x:v>
      </x:c>
      <x:c r="AB2298"/>
      <x:c r="AC2298" t="n">
        <x:v>0</x:v>
      </x:c>
      <x:c r="AD2298" t="n">
        <x:v>-1.6206988615449518</x:v>
      </x:c>
      <x:c r="AE2298" t="n">
        <x:v>0</x:v>
      </x:c>
      <x:c r="AF2298" t="n">
        <x:v>-0.028712742030620575</x:v>
      </x:c>
      <x:c r="AG2298" t="n">
        <x:f>_xlfn.XLOOKUP($A2298,Games!$A$2:$A$18,Games!$B$2:$B$18,"Missing game",0)</x:f>
        <x:v>2025</x:v>
      </x:c>
      <x:c r="AH2298" t="str">
        <x:f>_xlfn.XLOOKUP($A2298,Games!$A$2:$A$18,Games!$C$2:$C$18,"Missing game",0)</x:f>
        <x:v>REG</x:v>
      </x:c>
      <x:c r="AI2298" t="n">
        <x:f>_xlfn.XLOOKUP($A2298,Games!$A$2:$A$18,Games!$D$2:$D$18,"Missing game",0)</x:f>
        <x:v>15</x:v>
      </x:c>
      <x:c r="AJ2298" s="1" t="n">
        <x:f>_xlfn.XLOOKUP($A2298,Games!$A$2:$A$18,Games!$E$2:$E$18,"Missing game",0)</x:f>
        <x:v>46005</x:v>
      </x:c>
      <x:c r="AK2298" t="str">
        <x:f>_xlfn.XLOOKUP($A2298,Games!$A$2:$A$18,Games!$F$2:$F$18,"Missing game",0)</x:f>
        <x:v>Sunday</x:v>
      </x:c>
      <x:c r="AL2298" t="str">
        <x:f>_xlfn.XLOOKUP($A2298,Games!$A$2:$A$18,Games!$G$2:$G$18,"Missing game",0)</x:f>
        <x:v>MIN</x:v>
      </x:c>
      <x:c r="AM2298" t="n">
        <x:f>_xlfn.XLOOKUP($A2298,Games!$A$2:$A$18,Games!$H$2:$H$18,"Missing game",0)</x:f>
        <x:v>34</x:v>
      </x:c>
      <x:c r="AN2298" t="str">
        <x:f>_xlfn.XLOOKUP($A2298,Games!$A$2:$A$18,Games!$I$2:$I$18,"Missing game",0)</x:f>
        <x:v>DAL</x:v>
      </x:c>
      <x:c r="AO2298" t="n">
        <x:f>_xlfn.XLOOKUP($A2298,Games!$A$2:$A$18,Games!$J$2:$J$18,"Missing game",0)</x:f>
        <x:v>26</x:v>
      </x:c>
      <x:c r="AP2298" t="n">
        <x:f>_xlfn.XLOOKUP($A2298,Games!$A$2:$A$18,Games!$K$2:$K$18,"Missing game",0)</x:f>
        <x:v>-8</x:v>
      </x:c>
      <x:c r="AQ2298" t="n">
        <x:f>_xlfn.XLOOKUP($A2298,Games!$A$2:$A$18,Games!$L$2:$L$18,"Missing game",0)</x:f>
        <x:v>60</x:v>
      </x:c>
      <x:c r="AR2298" t="n">
        <x:f>_xlfn.XLOOKUP($A2298,Games!$A$2:$A$18,Games!$M$2:$M$18,"Missing game",0)</x:f>
        <x:v>0</x:v>
      </x:c>
      <x:c r="AS2298" t="str">
        <x:f>_xlfn.XLOOKUP($A2298,Games!$A$2:$A$18,Games!$N$2:$N$18,"Missing game",0)</x:f>
        <x:v>closed</x:v>
      </x:c>
      <x:c r="AT2298" t="str">
        <x:f>_xlfn.XLOOKUP($A2298,Games!$A$2:$A$18,Games!$O$2:$O$18,"Missing game",0)</x:f>
        <x:v>matrixturf</x:v>
      </x:c>
      <x:c r="AU2298" t="str">
        <x:f>_xlfn.XLOOKUP($A2298,Games!$A$2:$A$18,Games!$P$2:$P$18,"Missing game",0)</x:f>
      </x:c>
      <x:c r="AV2298" t="str">
        <x:f>_xlfn.XLOOKUP($A2298,Games!$A$2:$A$18,Games!$Q$2:$Q$18,"Missing game",0)</x:f>
      </x:c>
      <x:c r="AW2298" t="str">
        <x:f>_xlfn.XLOOKUP($A2298,Games!$A$2:$A$18,Games!$R$2:$R$18,"Missing game",0)</x:f>
        <x:v>AT&amp;T Stadium</x:v>
      </x:c>
    </x:row>
    <x:row r="2299">
      <x:c r="A2299" t="str">
        <x:v>2025_15_MIN_DAL</x:v>
      </x:c>
      <x:c r="B2299" t="n">
        <x:v>3621</x:v>
      </x:c>
      <x:c r="C2299" t="n">
        <x:v>4</x:v>
      </x:c>
      <x:c r="D2299" t="str">
        <x:v>05:35</x:v>
      </x:c>
      <x:c r="E2299" t="n">
        <x:v>4</x:v>
      </x:c>
      <x:c r="F2299" t="n">
        <x:v>7</x:v>
      </x:c>
      <x:c r="G2299" t="str">
        <x:v>DAL</x:v>
      </x:c>
      <x:c r="H2299" t="str">
        <x:v>MIN</x:v>
      </x:c>
      <x:c r="I2299" t="str">
        <x:v>MIN</x:v>
      </x:c>
      <x:c r="J2299" t="n">
        <x:v>45</x:v>
      </x:c>
      <x:c r="K2299" t="str">
        <x:v>(5:35) (Shotgun) 4-D.Prescott pass short middle to 43-M.Davis to MIN 39 for 6 yards (55-E.Wilson). MIN-58-J.Greenard was injured during the play.</x:v>
      </x:c>
      <x:c r="L2299" t="str">
        <x:v>pass</x:v>
      </x:c>
      <x:c r="M2299" t="n">
        <x:v>6</x:v>
      </x:c>
      <x:c r="N2299" t="n">
        <x:v>1</x:v>
      </x:c>
      <x:c r="O2299" t="n">
        <x:v>0</x:v>
      </x:c>
      <x:c r="P2299" t="str">
        <x:v>short</x:v>
      </x:c>
      <x:c r="Q2299" t="str">
        <x:v>middle</x:v>
      </x:c>
      <x:c r="R2299" t="n">
        <x:v>6</x:v>
      </x:c>
      <x:c r="S2299" t="n">
        <x:v>0</x:v>
      </x:c>
      <x:c r="T2299"/>
      <x:c r="U2299"/>
      <x:c r="V2299" t="n">
        <x:v>1</x:v>
      </x:c>
      <x:c r="W2299" t="n">
        <x:v>0</x:v>
      </x:c>
      <x:c r="X2299" t="n">
        <x:v>0</x:v>
      </x:c>
      <x:c r="Y2299" t="n">
        <x:v>0</x:v>
      </x:c>
      <x:c r="Z2299" t="n">
        <x:v>0</x:v>
      </x:c>
      <x:c r="AA2299" t="n">
        <x:v>0</x:v>
      </x:c>
      <x:c r="AB2299"/>
      <x:c r="AC2299" t="n">
        <x:v>0</x:v>
      </x:c>
      <x:c r="AD2299" t="n">
        <x:v>-2.4306300622411072</x:v>
      </x:c>
      <x:c r="AE2299" t="n">
        <x:v>0</x:v>
      </x:c>
      <x:c r="AF2299" t="n">
        <x:v>-0.03873085975646973</x:v>
      </x:c>
      <x:c r="AG2299" t="n">
        <x:f>_xlfn.XLOOKUP($A2299,Games!$A$2:$A$18,Games!$B$2:$B$18,"Missing game",0)</x:f>
        <x:v>2025</x:v>
      </x:c>
      <x:c r="AH2299" t="str">
        <x:f>_xlfn.XLOOKUP($A2299,Games!$A$2:$A$18,Games!$C$2:$C$18,"Missing game",0)</x:f>
        <x:v>REG</x:v>
      </x:c>
      <x:c r="AI2299" t="n">
        <x:f>_xlfn.XLOOKUP($A2299,Games!$A$2:$A$18,Games!$D$2:$D$18,"Missing game",0)</x:f>
        <x:v>15</x:v>
      </x:c>
      <x:c r="AJ2299" s="1" t="n">
        <x:f>_xlfn.XLOOKUP($A2299,Games!$A$2:$A$18,Games!$E$2:$E$18,"Missing game",0)</x:f>
        <x:v>46005</x:v>
      </x:c>
      <x:c r="AK2299" t="str">
        <x:f>_xlfn.XLOOKUP($A2299,Games!$A$2:$A$18,Games!$F$2:$F$18,"Missing game",0)</x:f>
        <x:v>Sunday</x:v>
      </x:c>
      <x:c r="AL2299" t="str">
        <x:f>_xlfn.XLOOKUP($A2299,Games!$A$2:$A$18,Games!$G$2:$G$18,"Missing game",0)</x:f>
        <x:v>MIN</x:v>
      </x:c>
      <x:c r="AM2299" t="n">
        <x:f>_xlfn.XLOOKUP($A2299,Games!$A$2:$A$18,Games!$H$2:$H$18,"Missing game",0)</x:f>
        <x:v>34</x:v>
      </x:c>
      <x:c r="AN2299" t="str">
        <x:f>_xlfn.XLOOKUP($A2299,Games!$A$2:$A$18,Games!$I$2:$I$18,"Missing game",0)</x:f>
        <x:v>DAL</x:v>
      </x:c>
      <x:c r="AO2299" t="n">
        <x:f>_xlfn.XLOOKUP($A2299,Games!$A$2:$A$18,Games!$J$2:$J$18,"Missing game",0)</x:f>
        <x:v>26</x:v>
      </x:c>
      <x:c r="AP2299" t="n">
        <x:f>_xlfn.XLOOKUP($A2299,Games!$A$2:$A$18,Games!$K$2:$K$18,"Missing game",0)</x:f>
        <x:v>-8</x:v>
      </x:c>
      <x:c r="AQ2299" t="n">
        <x:f>_xlfn.XLOOKUP($A2299,Games!$A$2:$A$18,Games!$L$2:$L$18,"Missing game",0)</x:f>
        <x:v>60</x:v>
      </x:c>
      <x:c r="AR2299" t="n">
        <x:f>_xlfn.XLOOKUP($A2299,Games!$A$2:$A$18,Games!$M$2:$M$18,"Missing game",0)</x:f>
        <x:v>0</x:v>
      </x:c>
      <x:c r="AS2299" t="str">
        <x:f>_xlfn.XLOOKUP($A2299,Games!$A$2:$A$18,Games!$N$2:$N$18,"Missing game",0)</x:f>
        <x:v>closed</x:v>
      </x:c>
      <x:c r="AT2299" t="str">
        <x:f>_xlfn.XLOOKUP($A2299,Games!$A$2:$A$18,Games!$O$2:$O$18,"Missing game",0)</x:f>
        <x:v>matrixturf</x:v>
      </x:c>
      <x:c r="AU2299" t="str">
        <x:f>_xlfn.XLOOKUP($A2299,Games!$A$2:$A$18,Games!$P$2:$P$18,"Missing game",0)</x:f>
      </x:c>
      <x:c r="AV2299" t="str">
        <x:f>_xlfn.XLOOKUP($A2299,Games!$A$2:$A$18,Games!$Q$2:$Q$18,"Missing game",0)</x:f>
      </x:c>
      <x:c r="AW2299" t="str">
        <x:f>_xlfn.XLOOKUP($A2299,Games!$A$2:$A$18,Games!$R$2:$R$18,"Missing game",0)</x:f>
        <x:v>AT&amp;T Stadium</x:v>
      </x:c>
    </x:row>
    <x:row r="2300">
      <x:c r="A2300" t="str">
        <x:v>2025_15_MIN_DAL</x:v>
      </x:c>
      <x:c r="B2300" t="n">
        <x:v>3649</x:v>
      </x:c>
      <x:c r="C2300" t="n">
        <x:v>4</x:v>
      </x:c>
      <x:c r="D2300" t="str">
        <x:v>05:30</x:v>
      </x:c>
      <x:c r="E2300" t="n">
        <x:v>1</x:v>
      </x:c>
      <x:c r="F2300" t="n">
        <x:v>10</x:v>
      </x:c>
      <x:c r="G2300" t="str">
        <x:v>MIN</x:v>
      </x:c>
      <x:c r="H2300" t="str">
        <x:v>DAL</x:v>
      </x:c>
      <x:c r="I2300" t="str">
        <x:v>MIN</x:v>
      </x:c>
      <x:c r="J2300" t="n">
        <x:v>61</x:v>
      </x:c>
      <x:c r="K2300" t="str">
        <x:v>(5:30) 27-J.Mason up the middle to MIN 42 for 3 yards (42-J.Clowney).</x:v>
      </x:c>
      <x:c r="L2300" t="str">
        <x:v>run</x:v>
      </x:c>
      <x:c r="M2300" t="n">
        <x:v>3</x:v>
      </x:c>
      <x:c r="N2300" t="n">
        <x:v>0</x:v>
      </x:c>
      <x:c r="O2300" t="n">
        <x:v>0</x:v>
      </x:c>
      <x:c r="P2300"/>
      <x:c r="Q2300"/>
      <x:c r="R2300"/>
      <x:c r="S2300"/>
      <x:c r="T2300" t="str">
        <x:v>middle</x:v>
      </x:c>
      <x:c r="U2300"/>
      <x:c r="V2300" t="n">
        <x:v>0</x:v>
      </x:c>
      <x:c r="W2300" t="n">
        <x:v>0</x:v>
      </x:c>
      <x:c r="X2300" t="n">
        <x:v>0</x:v>
      </x:c>
      <x:c r="Y2300" t="n">
        <x:v>0</x:v>
      </x:c>
      <x:c r="Z2300" t="n">
        <x:v>0</x:v>
      </x:c>
      <x:c r="AA2300" t="n">
        <x:v>0</x:v>
      </x:c>
      <x:c r="AB2300"/>
      <x:c r="AC2300" t="n">
        <x:v>0</x:v>
      </x:c>
      <x:c r="AD2300" t="n">
        <x:v>-0.4033392430283129</x:v>
      </x:c>
      <x:c r="AE2300" t="n">
        <x:v>0</x:v>
      </x:c>
      <x:c r="AF2300" t="n">
        <x:v>-0.0021862387657165527</x:v>
      </x:c>
      <x:c r="AG2300" t="n">
        <x:f>_xlfn.XLOOKUP($A2300,Games!$A$2:$A$18,Games!$B$2:$B$18,"Missing game",0)</x:f>
        <x:v>2025</x:v>
      </x:c>
      <x:c r="AH2300" t="str">
        <x:f>_xlfn.XLOOKUP($A2300,Games!$A$2:$A$18,Games!$C$2:$C$18,"Missing game",0)</x:f>
        <x:v>REG</x:v>
      </x:c>
      <x:c r="AI2300" t="n">
        <x:f>_xlfn.XLOOKUP($A2300,Games!$A$2:$A$18,Games!$D$2:$D$18,"Missing game",0)</x:f>
        <x:v>15</x:v>
      </x:c>
      <x:c r="AJ2300" s="1" t="n">
        <x:f>_xlfn.XLOOKUP($A2300,Games!$A$2:$A$18,Games!$E$2:$E$18,"Missing game",0)</x:f>
        <x:v>46005</x:v>
      </x:c>
      <x:c r="AK2300" t="str">
        <x:f>_xlfn.XLOOKUP($A2300,Games!$A$2:$A$18,Games!$F$2:$F$18,"Missing game",0)</x:f>
        <x:v>Sunday</x:v>
      </x:c>
      <x:c r="AL2300" t="str">
        <x:f>_xlfn.XLOOKUP($A2300,Games!$A$2:$A$18,Games!$G$2:$G$18,"Missing game",0)</x:f>
        <x:v>MIN</x:v>
      </x:c>
      <x:c r="AM2300" t="n">
        <x:f>_xlfn.XLOOKUP($A2300,Games!$A$2:$A$18,Games!$H$2:$H$18,"Missing game",0)</x:f>
        <x:v>34</x:v>
      </x:c>
      <x:c r="AN2300" t="str">
        <x:f>_xlfn.XLOOKUP($A2300,Games!$A$2:$A$18,Games!$I$2:$I$18,"Missing game",0)</x:f>
        <x:v>DAL</x:v>
      </x:c>
      <x:c r="AO2300" t="n">
        <x:f>_xlfn.XLOOKUP($A2300,Games!$A$2:$A$18,Games!$J$2:$J$18,"Missing game",0)</x:f>
        <x:v>26</x:v>
      </x:c>
      <x:c r="AP2300" t="n">
        <x:f>_xlfn.XLOOKUP($A2300,Games!$A$2:$A$18,Games!$K$2:$K$18,"Missing game",0)</x:f>
        <x:v>-8</x:v>
      </x:c>
      <x:c r="AQ2300" t="n">
        <x:f>_xlfn.XLOOKUP($A2300,Games!$A$2:$A$18,Games!$L$2:$L$18,"Missing game",0)</x:f>
        <x:v>60</x:v>
      </x:c>
      <x:c r="AR2300" t="n">
        <x:f>_xlfn.XLOOKUP($A2300,Games!$A$2:$A$18,Games!$M$2:$M$18,"Missing game",0)</x:f>
        <x:v>0</x:v>
      </x:c>
      <x:c r="AS2300" t="str">
        <x:f>_xlfn.XLOOKUP($A2300,Games!$A$2:$A$18,Games!$N$2:$N$18,"Missing game",0)</x:f>
        <x:v>closed</x:v>
      </x:c>
      <x:c r="AT2300" t="str">
        <x:f>_xlfn.XLOOKUP($A2300,Games!$A$2:$A$18,Games!$O$2:$O$18,"Missing game",0)</x:f>
        <x:v>matrixturf</x:v>
      </x:c>
      <x:c r="AU2300" t="str">
        <x:f>_xlfn.XLOOKUP($A2300,Games!$A$2:$A$18,Games!$P$2:$P$18,"Missing game",0)</x:f>
      </x:c>
      <x:c r="AV2300" t="str">
        <x:f>_xlfn.XLOOKUP($A2300,Games!$A$2:$A$18,Games!$Q$2:$Q$18,"Missing game",0)</x:f>
      </x:c>
      <x:c r="AW2300" t="str">
        <x:f>_xlfn.XLOOKUP($A2300,Games!$A$2:$A$18,Games!$R$2:$R$18,"Missing game",0)</x:f>
        <x:v>AT&amp;T Stadium</x:v>
      </x:c>
    </x:row>
    <x:row r="2301">
      <x:c r="A2301" t="str">
        <x:v>2025_15_MIN_DAL</x:v>
      </x:c>
      <x:c r="B2301" t="n">
        <x:v>3678</x:v>
      </x:c>
      <x:c r="C2301" t="n">
        <x:v>4</x:v>
      </x:c>
      <x:c r="D2301" t="str">
        <x:v>04:46</x:v>
      </x:c>
      <x:c r="E2301" t="n">
        <x:v>2</x:v>
      </x:c>
      <x:c r="F2301" t="n">
        <x:v>7</x:v>
      </x:c>
      <x:c r="G2301" t="str">
        <x:v>MIN</x:v>
      </x:c>
      <x:c r="H2301" t="str">
        <x:v>DAL</x:v>
      </x:c>
      <x:c r="I2301" t="str">
        <x:v>MIN</x:v>
      </x:c>
      <x:c r="J2301" t="n">
        <x:v>58</x:v>
      </x:c>
      <x:c r="K2301" t="str">
        <x:v>(4:46) 27-J.Mason right end to MIN 42 for no gain (41-D.Ezeiruaku). DAL-92-Q.Williams was injured during the play.</x:v>
      </x:c>
      <x:c r="L2301" t="str">
        <x:v>run</x:v>
      </x:c>
      <x:c r="M2301" t="n">
        <x:v>0</x:v>
      </x:c>
      <x:c r="N2301" t="n">
        <x:v>0</x:v>
      </x:c>
      <x:c r="O2301" t="n">
        <x:v>0</x:v>
      </x:c>
      <x:c r="P2301"/>
      <x:c r="Q2301"/>
      <x:c r="R2301"/>
      <x:c r="S2301"/>
      <x:c r="T2301" t="str">
        <x:v>right</x:v>
      </x:c>
      <x:c r="U2301" t="str">
        <x:v>end</x:v>
      </x:c>
      <x:c r="V2301" t="n">
        <x:v>0</x:v>
      </x:c>
      <x:c r="W2301" t="n">
        <x:v>0</x:v>
      </x:c>
      <x:c r="X2301" t="n">
        <x:v>0</x:v>
      </x:c>
      <x:c r="Y2301" t="n">
        <x:v>0</x:v>
      </x:c>
      <x:c r="Z2301" t="n">
        <x:v>0</x:v>
      </x:c>
      <x:c r="AA2301" t="n">
        <x:v>0</x:v>
      </x:c>
      <x:c r="AB2301"/>
      <x:c r="AC2301" t="n">
        <x:v>0</x:v>
      </x:c>
      <x:c r="AD2301" t="n">
        <x:v>-0.7387481866171584</x:v>
      </x:c>
      <x:c r="AE2301" t="n">
        <x:v>0</x:v>
      </x:c>
      <x:c r="AF2301" t="n">
        <x:v>0.00000947713851928711</x:v>
      </x:c>
      <x:c r="AG2301" t="n">
        <x:f>_xlfn.XLOOKUP($A2301,Games!$A$2:$A$18,Games!$B$2:$B$18,"Missing game",0)</x:f>
        <x:v>2025</x:v>
      </x:c>
      <x:c r="AH2301" t="str">
        <x:f>_xlfn.XLOOKUP($A2301,Games!$A$2:$A$18,Games!$C$2:$C$18,"Missing game",0)</x:f>
        <x:v>REG</x:v>
      </x:c>
      <x:c r="AI2301" t="n">
        <x:f>_xlfn.XLOOKUP($A2301,Games!$A$2:$A$18,Games!$D$2:$D$18,"Missing game",0)</x:f>
        <x:v>15</x:v>
      </x:c>
      <x:c r="AJ2301" s="1" t="n">
        <x:f>_xlfn.XLOOKUP($A2301,Games!$A$2:$A$18,Games!$E$2:$E$18,"Missing game",0)</x:f>
        <x:v>46005</x:v>
      </x:c>
      <x:c r="AK2301" t="str">
        <x:f>_xlfn.XLOOKUP($A2301,Games!$A$2:$A$18,Games!$F$2:$F$18,"Missing game",0)</x:f>
        <x:v>Sunday</x:v>
      </x:c>
      <x:c r="AL2301" t="str">
        <x:f>_xlfn.XLOOKUP($A2301,Games!$A$2:$A$18,Games!$G$2:$G$18,"Missing game",0)</x:f>
        <x:v>MIN</x:v>
      </x:c>
      <x:c r="AM2301" t="n">
        <x:f>_xlfn.XLOOKUP($A2301,Games!$A$2:$A$18,Games!$H$2:$H$18,"Missing game",0)</x:f>
        <x:v>34</x:v>
      </x:c>
      <x:c r="AN2301" t="str">
        <x:f>_xlfn.XLOOKUP($A2301,Games!$A$2:$A$18,Games!$I$2:$I$18,"Missing game",0)</x:f>
        <x:v>DAL</x:v>
      </x:c>
      <x:c r="AO2301" t="n">
        <x:f>_xlfn.XLOOKUP($A2301,Games!$A$2:$A$18,Games!$J$2:$J$18,"Missing game",0)</x:f>
        <x:v>26</x:v>
      </x:c>
      <x:c r="AP2301" t="n">
        <x:f>_xlfn.XLOOKUP($A2301,Games!$A$2:$A$18,Games!$K$2:$K$18,"Missing game",0)</x:f>
        <x:v>-8</x:v>
      </x:c>
      <x:c r="AQ2301" t="n">
        <x:f>_xlfn.XLOOKUP($A2301,Games!$A$2:$A$18,Games!$L$2:$L$18,"Missing game",0)</x:f>
        <x:v>60</x:v>
      </x:c>
      <x:c r="AR2301" t="n">
        <x:f>_xlfn.XLOOKUP($A2301,Games!$A$2:$A$18,Games!$M$2:$M$18,"Missing game",0)</x:f>
        <x:v>0</x:v>
      </x:c>
      <x:c r="AS2301" t="str">
        <x:f>_xlfn.XLOOKUP($A2301,Games!$A$2:$A$18,Games!$N$2:$N$18,"Missing game",0)</x:f>
        <x:v>closed</x:v>
      </x:c>
      <x:c r="AT2301" t="str">
        <x:f>_xlfn.XLOOKUP($A2301,Games!$A$2:$A$18,Games!$O$2:$O$18,"Missing game",0)</x:f>
        <x:v>matrixturf</x:v>
      </x:c>
      <x:c r="AU2301" t="str">
        <x:f>_xlfn.XLOOKUP($A2301,Games!$A$2:$A$18,Games!$P$2:$P$18,"Missing game",0)</x:f>
      </x:c>
      <x:c r="AV2301" t="str">
        <x:f>_xlfn.XLOOKUP($A2301,Games!$A$2:$A$18,Games!$Q$2:$Q$18,"Missing game",0)</x:f>
      </x:c>
      <x:c r="AW2301" t="str">
        <x:f>_xlfn.XLOOKUP($A2301,Games!$A$2:$A$18,Games!$R$2:$R$18,"Missing game",0)</x:f>
        <x:v>AT&amp;T Stadium</x:v>
      </x:c>
    </x:row>
    <x:row r="2302">
      <x:c r="A2302" t="str">
        <x:v>2025_15_MIN_DAL</x:v>
      </x:c>
      <x:c r="B2302" t="n">
        <x:v>3703</x:v>
      </x:c>
      <x:c r="C2302" t="n">
        <x:v>4</x:v>
      </x:c>
      <x:c r="D2302" t="str">
        <x:v>04:09</x:v>
      </x:c>
      <x:c r="E2302" t="n">
        <x:v>3</x:v>
      </x:c>
      <x:c r="F2302" t="n">
        <x:v>7</x:v>
      </x:c>
      <x:c r="G2302" t="str">
        <x:v>MIN</x:v>
      </x:c>
      <x:c r="H2302" t="str">
        <x:v>DAL</x:v>
      </x:c>
      <x:c r="I2302" t="str">
        <x:v>MIN</x:v>
      </x:c>
      <x:c r="J2302" t="n">
        <x:v>58</x:v>
      </x:c>
      <x:c r="K2302" t="str">
        <x:v>(4:09) (Shotgun) 9-J.McCarthy pass short middle to 87-T.Hockenson to MIN 48 for 6 yards (0-D.Overshown).</x:v>
      </x:c>
      <x:c r="L2302" t="str">
        <x:v>pass</x:v>
      </x:c>
      <x:c r="M2302" t="n">
        <x:v>6</x:v>
      </x:c>
      <x:c r="N2302" t="n">
        <x:v>1</x:v>
      </x:c>
      <x:c r="O2302" t="n">
        <x:v>0</x:v>
      </x:c>
      <x:c r="P2302" t="str">
        <x:v>short</x:v>
      </x:c>
      <x:c r="Q2302" t="str">
        <x:v>middle</x:v>
      </x:c>
      <x:c r="R2302" t="n">
        <x:v>3</x:v>
      </x:c>
      <x:c r="S2302" t="n">
        <x:v>3</x:v>
      </x:c>
      <x:c r="T2302"/>
      <x:c r="U2302"/>
      <x:c r="V2302" t="n">
        <x:v>1</x:v>
      </x:c>
      <x:c r="W2302" t="n">
        <x:v>0</x:v>
      </x:c>
      <x:c r="X2302" t="n">
        <x:v>0</x:v>
      </x:c>
      <x:c r="Y2302" t="n">
        <x:v>0</x:v>
      </x:c>
      <x:c r="Z2302" t="n">
        <x:v>0</x:v>
      </x:c>
      <x:c r="AA2302" t="n">
        <x:v>0</x:v>
      </x:c>
      <x:c r="AB2302"/>
      <x:c r="AC2302" t="n">
        <x:v>0</x:v>
      </x:c>
      <x:c r="AD2302" t="n">
        <x:v>-0.7454895823029801</x:v>
      </x:c>
      <x:c r="AE2302" t="n">
        <x:v>0</x:v>
      </x:c>
      <x:c r="AF2302" t="n">
        <x:v>0.0022909045219421387</x:v>
      </x:c>
      <x:c r="AG2302" t="n">
        <x:f>_xlfn.XLOOKUP($A2302,Games!$A$2:$A$18,Games!$B$2:$B$18,"Missing game",0)</x:f>
        <x:v>2025</x:v>
      </x:c>
      <x:c r="AH2302" t="str">
        <x:f>_xlfn.XLOOKUP($A2302,Games!$A$2:$A$18,Games!$C$2:$C$18,"Missing game",0)</x:f>
        <x:v>REG</x:v>
      </x:c>
      <x:c r="AI2302" t="n">
        <x:f>_xlfn.XLOOKUP($A2302,Games!$A$2:$A$18,Games!$D$2:$D$18,"Missing game",0)</x:f>
        <x:v>15</x:v>
      </x:c>
      <x:c r="AJ2302" s="1" t="n">
        <x:f>_xlfn.XLOOKUP($A2302,Games!$A$2:$A$18,Games!$E$2:$E$18,"Missing game",0)</x:f>
        <x:v>46005</x:v>
      </x:c>
      <x:c r="AK2302" t="str">
        <x:f>_xlfn.XLOOKUP($A2302,Games!$A$2:$A$18,Games!$F$2:$F$18,"Missing game",0)</x:f>
        <x:v>Sunday</x:v>
      </x:c>
      <x:c r="AL2302" t="str">
        <x:f>_xlfn.XLOOKUP($A2302,Games!$A$2:$A$18,Games!$G$2:$G$18,"Missing game",0)</x:f>
        <x:v>MIN</x:v>
      </x:c>
      <x:c r="AM2302" t="n">
        <x:f>_xlfn.XLOOKUP($A2302,Games!$A$2:$A$18,Games!$H$2:$H$18,"Missing game",0)</x:f>
        <x:v>34</x:v>
      </x:c>
      <x:c r="AN2302" t="str">
        <x:f>_xlfn.XLOOKUP($A2302,Games!$A$2:$A$18,Games!$I$2:$I$18,"Missing game",0)</x:f>
        <x:v>DAL</x:v>
      </x:c>
      <x:c r="AO2302" t="n">
        <x:f>_xlfn.XLOOKUP($A2302,Games!$A$2:$A$18,Games!$J$2:$J$18,"Missing game",0)</x:f>
        <x:v>26</x:v>
      </x:c>
      <x:c r="AP2302" t="n">
        <x:f>_xlfn.XLOOKUP($A2302,Games!$A$2:$A$18,Games!$K$2:$K$18,"Missing game",0)</x:f>
        <x:v>-8</x:v>
      </x:c>
      <x:c r="AQ2302" t="n">
        <x:f>_xlfn.XLOOKUP($A2302,Games!$A$2:$A$18,Games!$L$2:$L$18,"Missing game",0)</x:f>
        <x:v>60</x:v>
      </x:c>
      <x:c r="AR2302" t="n">
        <x:f>_xlfn.XLOOKUP($A2302,Games!$A$2:$A$18,Games!$M$2:$M$18,"Missing game",0)</x:f>
        <x:v>0</x:v>
      </x:c>
      <x:c r="AS2302" t="str">
        <x:f>_xlfn.XLOOKUP($A2302,Games!$A$2:$A$18,Games!$N$2:$N$18,"Missing game",0)</x:f>
        <x:v>closed</x:v>
      </x:c>
      <x:c r="AT2302" t="str">
        <x:f>_xlfn.XLOOKUP($A2302,Games!$A$2:$A$18,Games!$O$2:$O$18,"Missing game",0)</x:f>
        <x:v>matrixturf</x:v>
      </x:c>
      <x:c r="AU2302" t="str">
        <x:f>_xlfn.XLOOKUP($A2302,Games!$A$2:$A$18,Games!$P$2:$P$18,"Missing game",0)</x:f>
      </x:c>
      <x:c r="AV2302" t="str">
        <x:f>_xlfn.XLOOKUP($A2302,Games!$A$2:$A$18,Games!$Q$2:$Q$18,"Missing game",0)</x:f>
      </x:c>
      <x:c r="AW2302" t="str">
        <x:f>_xlfn.XLOOKUP($A2302,Games!$A$2:$A$18,Games!$R$2:$R$18,"Missing game",0)</x:f>
        <x:v>AT&amp;T Stadium</x:v>
      </x:c>
    </x:row>
    <x:row r="2303">
      <x:c r="A2303" t="str">
        <x:v>2025_15_MIN_DAL</x:v>
      </x:c>
      <x:c r="B2303" t="n">
        <x:v>3735</x:v>
      </x:c>
      <x:c r="C2303" t="n">
        <x:v>4</x:v>
      </x:c>
      <x:c r="D2303" t="str">
        <x:v>03:21</x:v>
      </x:c>
      <x:c r="E2303" t="n">
        <x:v>4</x:v>
      </x:c>
      <x:c r="F2303" t="n">
        <x:v>1</x:v>
      </x:c>
      <x:c r="G2303" t="str">
        <x:v>MIN</x:v>
      </x:c>
      <x:c r="H2303" t="str">
        <x:v>DAL</x:v>
      </x:c>
      <x:c r="I2303" t="str">
        <x:v>MIN</x:v>
      </x:c>
      <x:c r="J2303" t="n">
        <x:v>52</x:v>
      </x:c>
      <x:c r="K2303" t="str">
        <x:v>(3:21) (Shotgun) 33-A.Jones up the middle to DAL 48 for 4 yards (42-J.Clowney; 95-K.Clark).</x:v>
      </x:c>
      <x:c r="L2303" t="str">
        <x:v>run</x:v>
      </x:c>
      <x:c r="M2303" t="n">
        <x:v>4</x:v>
      </x:c>
      <x:c r="N2303" t="n">
        <x:v>1</x:v>
      </x:c>
      <x:c r="O2303" t="n">
        <x:v>0</x:v>
      </x:c>
      <x:c r="P2303"/>
      <x:c r="Q2303"/>
      <x:c r="R2303"/>
      <x:c r="S2303"/>
      <x:c r="T2303" t="str">
        <x:v>middle</x:v>
      </x:c>
      <x:c r="U2303"/>
      <x:c r="V2303" t="n">
        <x:v>0</x:v>
      </x:c>
      <x:c r="W2303" t="n">
        <x:v>1</x:v>
      </x:c>
      <x:c r="X2303" t="n">
        <x:v>0</x:v>
      </x:c>
      <x:c r="Y2303" t="n">
        <x:v>0</x:v>
      </x:c>
      <x:c r="Z2303" t="n">
        <x:v>0</x:v>
      </x:c>
      <x:c r="AA2303" t="n">
        <x:v>0</x:v>
      </x:c>
      <x:c r="AB2303"/>
      <x:c r="AC2303" t="n">
        <x:v>0</x:v>
      </x:c>
      <x:c r="AD2303" t="n">
        <x:v>2.5661298543564044</x:v>
      </x:c>
      <x:c r="AE2303" t="n">
        <x:v>1</x:v>
      </x:c>
      <x:c r="AF2303" t="n">
        <x:v>0.017636477947235107</x:v>
      </x:c>
      <x:c r="AG2303" t="n">
        <x:f>_xlfn.XLOOKUP($A2303,Games!$A$2:$A$18,Games!$B$2:$B$18,"Missing game",0)</x:f>
        <x:v>2025</x:v>
      </x:c>
      <x:c r="AH2303" t="str">
        <x:f>_xlfn.XLOOKUP($A2303,Games!$A$2:$A$18,Games!$C$2:$C$18,"Missing game",0)</x:f>
        <x:v>REG</x:v>
      </x:c>
      <x:c r="AI2303" t="n">
        <x:f>_xlfn.XLOOKUP($A2303,Games!$A$2:$A$18,Games!$D$2:$D$18,"Missing game",0)</x:f>
        <x:v>15</x:v>
      </x:c>
      <x:c r="AJ2303" s="1" t="n">
        <x:f>_xlfn.XLOOKUP($A2303,Games!$A$2:$A$18,Games!$E$2:$E$18,"Missing game",0)</x:f>
        <x:v>46005</x:v>
      </x:c>
      <x:c r="AK2303" t="str">
        <x:f>_xlfn.XLOOKUP($A2303,Games!$A$2:$A$18,Games!$F$2:$F$18,"Missing game",0)</x:f>
        <x:v>Sunday</x:v>
      </x:c>
      <x:c r="AL2303" t="str">
        <x:f>_xlfn.XLOOKUP($A2303,Games!$A$2:$A$18,Games!$G$2:$G$18,"Missing game",0)</x:f>
        <x:v>MIN</x:v>
      </x:c>
      <x:c r="AM2303" t="n">
        <x:f>_xlfn.XLOOKUP($A2303,Games!$A$2:$A$18,Games!$H$2:$H$18,"Missing game",0)</x:f>
        <x:v>34</x:v>
      </x:c>
      <x:c r="AN2303" t="str">
        <x:f>_xlfn.XLOOKUP($A2303,Games!$A$2:$A$18,Games!$I$2:$I$18,"Missing game",0)</x:f>
        <x:v>DAL</x:v>
      </x:c>
      <x:c r="AO2303" t="n">
        <x:f>_xlfn.XLOOKUP($A2303,Games!$A$2:$A$18,Games!$J$2:$J$18,"Missing game",0)</x:f>
        <x:v>26</x:v>
      </x:c>
      <x:c r="AP2303" t="n">
        <x:f>_xlfn.XLOOKUP($A2303,Games!$A$2:$A$18,Games!$K$2:$K$18,"Missing game",0)</x:f>
        <x:v>-8</x:v>
      </x:c>
      <x:c r="AQ2303" t="n">
        <x:f>_xlfn.XLOOKUP($A2303,Games!$A$2:$A$18,Games!$L$2:$L$18,"Missing game",0)</x:f>
        <x:v>60</x:v>
      </x:c>
      <x:c r="AR2303" t="n">
        <x:f>_xlfn.XLOOKUP($A2303,Games!$A$2:$A$18,Games!$M$2:$M$18,"Missing game",0)</x:f>
        <x:v>0</x:v>
      </x:c>
      <x:c r="AS2303" t="str">
        <x:f>_xlfn.XLOOKUP($A2303,Games!$A$2:$A$18,Games!$N$2:$N$18,"Missing game",0)</x:f>
        <x:v>closed</x:v>
      </x:c>
      <x:c r="AT2303" t="str">
        <x:f>_xlfn.XLOOKUP($A2303,Games!$A$2:$A$18,Games!$O$2:$O$18,"Missing game",0)</x:f>
        <x:v>matrixturf</x:v>
      </x:c>
      <x:c r="AU2303" t="str">
        <x:f>_xlfn.XLOOKUP($A2303,Games!$A$2:$A$18,Games!$P$2:$P$18,"Missing game",0)</x:f>
      </x:c>
      <x:c r="AV2303" t="str">
        <x:f>_xlfn.XLOOKUP($A2303,Games!$A$2:$A$18,Games!$Q$2:$Q$18,"Missing game",0)</x:f>
      </x:c>
      <x:c r="AW2303" t="str">
        <x:f>_xlfn.XLOOKUP($A2303,Games!$A$2:$A$18,Games!$R$2:$R$18,"Missing game",0)</x:f>
        <x:v>AT&amp;T Stadium</x:v>
      </x:c>
    </x:row>
    <x:row r="2304">
      <x:c r="A2304" t="str">
        <x:v>2025_15_MIN_DAL</x:v>
      </x:c>
      <x:c r="B2304" t="n">
        <x:v>3747</x:v>
      </x:c>
      <x:c r="C2304" t="n">
        <x:v>4</x:v>
      </x:c>
      <x:c r="D2304" t="str">
        <x:v>03:21</x:v>
      </x:c>
      <x:c r="E2304"/>
      <x:c r="F2304" t="n">
        <x:v>0</x:v>
      </x:c>
      <x:c r="G2304"/>
      <x:c r="H2304"/>
      <x:c r="I2304"/>
      <x:c r="J2304"/>
      <x:c r="K2304" t="str">
        <x:v>Timeout #1 by MIN at 03:21.</x:v>
      </x:c>
      <x:c r="L2304" t="str">
        <x:v>no_play</x:v>
      </x:c>
      <x:c r="M2304" t="n">
        <x:v>0</x:v>
      </x:c>
      <x:c r="N2304" t="n">
        <x:v>0</x:v>
      </x:c>
      <x:c r="O2304" t="n">
        <x:v>0</x:v>
      </x:c>
      <x:c r="P2304"/>
      <x:c r="Q2304"/>
      <x:c r="R2304"/>
      <x:c r="S2304"/>
      <x:c r="T2304"/>
      <x:c r="U2304"/>
      <x:c r="V2304" t="n">
        <x:v>0</x:v>
      </x:c>
      <x:c r="W2304" t="n">
        <x:v>0</x:v>
      </x:c>
      <x:c r="X2304" t="n">
        <x:v>0</x:v>
      </x:c>
      <x:c r="Y2304" t="n">
        <x:v>0</x:v>
      </x:c>
      <x:c r="Z2304" t="n">
        <x:v>0</x:v>
      </x:c>
      <x:c r="AA2304" t="n">
        <x:v>0</x:v>
      </x:c>
      <x:c r="AB2304"/>
      <x:c r="AC2304" t="n">
        <x:v>0</x:v>
      </x:c>
      <x:c r="AD2304" t="n">
        <x:v>0</x:v>
      </x:c>
      <x:c r="AE2304" t="n">
        <x:v>0</x:v>
      </x:c>
      <x:c r="AF2304" t="n">
        <x:v>0</x:v>
      </x:c>
      <x:c r="AG2304" t="n">
        <x:f>_xlfn.XLOOKUP($A2304,Games!$A$2:$A$18,Games!$B$2:$B$18,"Missing game",0)</x:f>
        <x:v>2025</x:v>
      </x:c>
      <x:c r="AH2304" t="str">
        <x:f>_xlfn.XLOOKUP($A2304,Games!$A$2:$A$18,Games!$C$2:$C$18,"Missing game",0)</x:f>
        <x:v>REG</x:v>
      </x:c>
      <x:c r="AI2304" t="n">
        <x:f>_xlfn.XLOOKUP($A2304,Games!$A$2:$A$18,Games!$D$2:$D$18,"Missing game",0)</x:f>
        <x:v>15</x:v>
      </x:c>
      <x:c r="AJ2304" s="1" t="n">
        <x:f>_xlfn.XLOOKUP($A2304,Games!$A$2:$A$18,Games!$E$2:$E$18,"Missing game",0)</x:f>
        <x:v>46005</x:v>
      </x:c>
      <x:c r="AK2304" t="str">
        <x:f>_xlfn.XLOOKUP($A2304,Games!$A$2:$A$18,Games!$F$2:$F$18,"Missing game",0)</x:f>
        <x:v>Sunday</x:v>
      </x:c>
      <x:c r="AL2304" t="str">
        <x:f>_xlfn.XLOOKUP($A2304,Games!$A$2:$A$18,Games!$G$2:$G$18,"Missing game",0)</x:f>
        <x:v>MIN</x:v>
      </x:c>
      <x:c r="AM2304" t="n">
        <x:f>_xlfn.XLOOKUP($A2304,Games!$A$2:$A$18,Games!$H$2:$H$18,"Missing game",0)</x:f>
        <x:v>34</x:v>
      </x:c>
      <x:c r="AN2304" t="str">
        <x:f>_xlfn.XLOOKUP($A2304,Games!$A$2:$A$18,Games!$I$2:$I$18,"Missing game",0)</x:f>
        <x:v>DAL</x:v>
      </x:c>
      <x:c r="AO2304" t="n">
        <x:f>_xlfn.XLOOKUP($A2304,Games!$A$2:$A$18,Games!$J$2:$J$18,"Missing game",0)</x:f>
        <x:v>26</x:v>
      </x:c>
      <x:c r="AP2304" t="n">
        <x:f>_xlfn.XLOOKUP($A2304,Games!$A$2:$A$18,Games!$K$2:$K$18,"Missing game",0)</x:f>
        <x:v>-8</x:v>
      </x:c>
      <x:c r="AQ2304" t="n">
        <x:f>_xlfn.XLOOKUP($A2304,Games!$A$2:$A$18,Games!$L$2:$L$18,"Missing game",0)</x:f>
        <x:v>60</x:v>
      </x:c>
      <x:c r="AR2304" t="n">
        <x:f>_xlfn.XLOOKUP($A2304,Games!$A$2:$A$18,Games!$M$2:$M$18,"Missing game",0)</x:f>
        <x:v>0</x:v>
      </x:c>
      <x:c r="AS2304" t="str">
        <x:f>_xlfn.XLOOKUP($A2304,Games!$A$2:$A$18,Games!$N$2:$N$18,"Missing game",0)</x:f>
        <x:v>closed</x:v>
      </x:c>
      <x:c r="AT2304" t="str">
        <x:f>_xlfn.XLOOKUP($A2304,Games!$A$2:$A$18,Games!$O$2:$O$18,"Missing game",0)</x:f>
        <x:v>matrixturf</x:v>
      </x:c>
      <x:c r="AU2304" t="str">
        <x:f>_xlfn.XLOOKUP($A2304,Games!$A$2:$A$18,Games!$P$2:$P$18,"Missing game",0)</x:f>
      </x:c>
      <x:c r="AV2304" t="str">
        <x:f>_xlfn.XLOOKUP($A2304,Games!$A$2:$A$18,Games!$Q$2:$Q$18,"Missing game",0)</x:f>
      </x:c>
      <x:c r="AW2304" t="str">
        <x:f>_xlfn.XLOOKUP($A2304,Games!$A$2:$A$18,Games!$R$2:$R$18,"Missing game",0)</x:f>
        <x:v>AT&amp;T Stadium</x:v>
      </x:c>
    </x:row>
    <x:row r="2305">
      <x:c r="A2305" t="str">
        <x:v>2025_15_MIN_DAL</x:v>
      </x:c>
      <x:c r="B2305" t="n">
        <x:v>3764</x:v>
      </x:c>
      <x:c r="C2305" t="n">
        <x:v>4</x:v>
      </x:c>
      <x:c r="D2305" t="str">
        <x:v>03:16</x:v>
      </x:c>
      <x:c r="E2305" t="n">
        <x:v>1</x:v>
      </x:c>
      <x:c r="F2305" t="n">
        <x:v>10</x:v>
      </x:c>
      <x:c r="G2305" t="str">
        <x:v>MIN</x:v>
      </x:c>
      <x:c r="H2305" t="str">
        <x:v>DAL</x:v>
      </x:c>
      <x:c r="I2305" t="str">
        <x:v>DAL</x:v>
      </x:c>
      <x:c r="J2305" t="n">
        <x:v>48</x:v>
      </x:c>
      <x:c r="K2305" t="str">
        <x:v>(3:16) 33-A.Jones left guard to DAL 46 for 2 yards (21-C.Carson; 95-K.Clark).</x:v>
      </x:c>
      <x:c r="L2305" t="str">
        <x:v>run</x:v>
      </x:c>
      <x:c r="M2305" t="n">
        <x:v>2</x:v>
      </x:c>
      <x:c r="N2305" t="n">
        <x:v>0</x:v>
      </x:c>
      <x:c r="O2305" t="n">
        <x:v>0</x:v>
      </x:c>
      <x:c r="P2305"/>
      <x:c r="Q2305"/>
      <x:c r="R2305"/>
      <x:c r="S2305"/>
      <x:c r="T2305" t="str">
        <x:v>left</x:v>
      </x:c>
      <x:c r="U2305" t="str">
        <x:v>guard</x:v>
      </x:c>
      <x:c r="V2305" t="n">
        <x:v>0</x:v>
      </x:c>
      <x:c r="W2305" t="n">
        <x:v>0</x:v>
      </x:c>
      <x:c r="X2305" t="n">
        <x:v>0</x:v>
      </x:c>
      <x:c r="Y2305" t="n">
        <x:v>0</x:v>
      </x:c>
      <x:c r="Z2305" t="n">
        <x:v>0</x:v>
      </x:c>
      <x:c r="AA2305" t="n">
        <x:v>0</x:v>
      </x:c>
      <x:c r="AB2305"/>
      <x:c r="AC2305" t="n">
        <x:v>0</x:v>
      </x:c>
      <x:c r="AD2305" t="n">
        <x:v>-1.3884102940210141</x:v>
      </x:c>
      <x:c r="AE2305" t="n">
        <x:v>0</x:v>
      </x:c>
      <x:c r="AF2305" t="n">
        <x:v>-0.002373218536376953</x:v>
      </x:c>
      <x:c r="AG2305" t="n">
        <x:f>_xlfn.XLOOKUP($A2305,Games!$A$2:$A$18,Games!$B$2:$B$18,"Missing game",0)</x:f>
        <x:v>2025</x:v>
      </x:c>
      <x:c r="AH2305" t="str">
        <x:f>_xlfn.XLOOKUP($A2305,Games!$A$2:$A$18,Games!$C$2:$C$18,"Missing game",0)</x:f>
        <x:v>REG</x:v>
      </x:c>
      <x:c r="AI2305" t="n">
        <x:f>_xlfn.XLOOKUP($A2305,Games!$A$2:$A$18,Games!$D$2:$D$18,"Missing game",0)</x:f>
        <x:v>15</x:v>
      </x:c>
      <x:c r="AJ2305" s="1" t="n">
        <x:f>_xlfn.XLOOKUP($A2305,Games!$A$2:$A$18,Games!$E$2:$E$18,"Missing game",0)</x:f>
        <x:v>46005</x:v>
      </x:c>
      <x:c r="AK2305" t="str">
        <x:f>_xlfn.XLOOKUP($A2305,Games!$A$2:$A$18,Games!$F$2:$F$18,"Missing game",0)</x:f>
        <x:v>Sunday</x:v>
      </x:c>
      <x:c r="AL2305" t="str">
        <x:f>_xlfn.XLOOKUP($A2305,Games!$A$2:$A$18,Games!$G$2:$G$18,"Missing game",0)</x:f>
        <x:v>MIN</x:v>
      </x:c>
      <x:c r="AM2305" t="n">
        <x:f>_xlfn.XLOOKUP($A2305,Games!$A$2:$A$18,Games!$H$2:$H$18,"Missing game",0)</x:f>
        <x:v>34</x:v>
      </x:c>
      <x:c r="AN2305" t="str">
        <x:f>_xlfn.XLOOKUP($A2305,Games!$A$2:$A$18,Games!$I$2:$I$18,"Missing game",0)</x:f>
        <x:v>DAL</x:v>
      </x:c>
      <x:c r="AO2305" t="n">
        <x:f>_xlfn.XLOOKUP($A2305,Games!$A$2:$A$18,Games!$J$2:$J$18,"Missing game",0)</x:f>
        <x:v>26</x:v>
      </x:c>
      <x:c r="AP2305" t="n">
        <x:f>_xlfn.XLOOKUP($A2305,Games!$A$2:$A$18,Games!$K$2:$K$18,"Missing game",0)</x:f>
        <x:v>-8</x:v>
      </x:c>
      <x:c r="AQ2305" t="n">
        <x:f>_xlfn.XLOOKUP($A2305,Games!$A$2:$A$18,Games!$L$2:$L$18,"Missing game",0)</x:f>
        <x:v>60</x:v>
      </x:c>
      <x:c r="AR2305" t="n">
        <x:f>_xlfn.XLOOKUP($A2305,Games!$A$2:$A$18,Games!$M$2:$M$18,"Missing game",0)</x:f>
        <x:v>0</x:v>
      </x:c>
      <x:c r="AS2305" t="str">
        <x:f>_xlfn.XLOOKUP($A2305,Games!$A$2:$A$18,Games!$N$2:$N$18,"Missing game",0)</x:f>
        <x:v>closed</x:v>
      </x:c>
      <x:c r="AT2305" t="str">
        <x:f>_xlfn.XLOOKUP($A2305,Games!$A$2:$A$18,Games!$O$2:$O$18,"Missing game",0)</x:f>
        <x:v>matrixturf</x:v>
      </x:c>
      <x:c r="AU2305" t="str">
        <x:f>_xlfn.XLOOKUP($A2305,Games!$A$2:$A$18,Games!$P$2:$P$18,"Missing game",0)</x:f>
      </x:c>
      <x:c r="AV2305" t="str">
        <x:f>_xlfn.XLOOKUP($A2305,Games!$A$2:$A$18,Games!$Q$2:$Q$18,"Missing game",0)</x:f>
      </x:c>
      <x:c r="AW2305" t="str">
        <x:f>_xlfn.XLOOKUP($A2305,Games!$A$2:$A$18,Games!$R$2:$R$18,"Missing game",0)</x:f>
        <x:v>AT&amp;T Stadium</x:v>
      </x:c>
    </x:row>
    <x:row r="2306">
      <x:c r="A2306" t="str">
        <x:v>2025_15_MIN_DAL</x:v>
      </x:c>
      <x:c r="B2306" t="n">
        <x:v>3776</x:v>
      </x:c>
      <x:c r="C2306" t="n">
        <x:v>4</x:v>
      </x:c>
      <x:c r="D2306" t="str">
        <x:v>03:16</x:v>
      </x:c>
      <x:c r="E2306"/>
      <x:c r="F2306" t="n">
        <x:v>0</x:v>
      </x:c>
      <x:c r="G2306"/>
      <x:c r="H2306"/>
      <x:c r="I2306"/>
      <x:c r="J2306"/>
      <x:c r="K2306" t="str">
        <x:v>Timeout #1 by DAL at 03:16.</x:v>
      </x:c>
      <x:c r="L2306" t="str">
        <x:v>no_play</x:v>
      </x:c>
      <x:c r="M2306" t="n">
        <x:v>0</x:v>
      </x:c>
      <x:c r="N2306" t="n">
        <x:v>0</x:v>
      </x:c>
      <x:c r="O2306" t="n">
        <x:v>0</x:v>
      </x:c>
      <x:c r="P2306"/>
      <x:c r="Q2306"/>
      <x:c r="R2306"/>
      <x:c r="S2306"/>
      <x:c r="T2306"/>
      <x:c r="U2306"/>
      <x:c r="V2306" t="n">
        <x:v>0</x:v>
      </x:c>
      <x:c r="W2306" t="n">
        <x:v>0</x:v>
      </x:c>
      <x:c r="X2306" t="n">
        <x:v>0</x:v>
      </x:c>
      <x:c r="Y2306" t="n">
        <x:v>0</x:v>
      </x:c>
      <x:c r="Z2306" t="n">
        <x:v>0</x:v>
      </x:c>
      <x:c r="AA2306" t="n">
        <x:v>0</x:v>
      </x:c>
      <x:c r="AB2306"/>
      <x:c r="AC2306" t="n">
        <x:v>0</x:v>
      </x:c>
      <x:c r="AD2306" t="n">
        <x:v>0</x:v>
      </x:c>
      <x:c r="AE2306" t="n">
        <x:v>0</x:v>
      </x:c>
      <x:c r="AF2306" t="n">
        <x:v>0</x:v>
      </x:c>
      <x:c r="AG2306" t="n">
        <x:f>_xlfn.XLOOKUP($A2306,Games!$A$2:$A$18,Games!$B$2:$B$18,"Missing game",0)</x:f>
        <x:v>2025</x:v>
      </x:c>
      <x:c r="AH2306" t="str">
        <x:f>_xlfn.XLOOKUP($A2306,Games!$A$2:$A$18,Games!$C$2:$C$18,"Missing game",0)</x:f>
        <x:v>REG</x:v>
      </x:c>
      <x:c r="AI2306" t="n">
        <x:f>_xlfn.XLOOKUP($A2306,Games!$A$2:$A$18,Games!$D$2:$D$18,"Missing game",0)</x:f>
        <x:v>15</x:v>
      </x:c>
      <x:c r="AJ2306" s="1" t="n">
        <x:f>_xlfn.XLOOKUP($A2306,Games!$A$2:$A$18,Games!$E$2:$E$18,"Missing game",0)</x:f>
        <x:v>46005</x:v>
      </x:c>
      <x:c r="AK2306" t="str">
        <x:f>_xlfn.XLOOKUP($A2306,Games!$A$2:$A$18,Games!$F$2:$F$18,"Missing game",0)</x:f>
        <x:v>Sunday</x:v>
      </x:c>
      <x:c r="AL2306" t="str">
        <x:f>_xlfn.XLOOKUP($A2306,Games!$A$2:$A$18,Games!$G$2:$G$18,"Missing game",0)</x:f>
        <x:v>MIN</x:v>
      </x:c>
      <x:c r="AM2306" t="n">
        <x:f>_xlfn.XLOOKUP($A2306,Games!$A$2:$A$18,Games!$H$2:$H$18,"Missing game",0)</x:f>
        <x:v>34</x:v>
      </x:c>
      <x:c r="AN2306" t="str">
        <x:f>_xlfn.XLOOKUP($A2306,Games!$A$2:$A$18,Games!$I$2:$I$18,"Missing game",0)</x:f>
        <x:v>DAL</x:v>
      </x:c>
      <x:c r="AO2306" t="n">
        <x:f>_xlfn.XLOOKUP($A2306,Games!$A$2:$A$18,Games!$J$2:$J$18,"Missing game",0)</x:f>
        <x:v>26</x:v>
      </x:c>
      <x:c r="AP2306" t="n">
        <x:f>_xlfn.XLOOKUP($A2306,Games!$A$2:$A$18,Games!$K$2:$K$18,"Missing game",0)</x:f>
        <x:v>-8</x:v>
      </x:c>
      <x:c r="AQ2306" t="n">
        <x:f>_xlfn.XLOOKUP($A2306,Games!$A$2:$A$18,Games!$L$2:$L$18,"Missing game",0)</x:f>
        <x:v>60</x:v>
      </x:c>
      <x:c r="AR2306" t="n">
        <x:f>_xlfn.XLOOKUP($A2306,Games!$A$2:$A$18,Games!$M$2:$M$18,"Missing game",0)</x:f>
        <x:v>0</x:v>
      </x:c>
      <x:c r="AS2306" t="str">
        <x:f>_xlfn.XLOOKUP($A2306,Games!$A$2:$A$18,Games!$N$2:$N$18,"Missing game",0)</x:f>
        <x:v>closed</x:v>
      </x:c>
      <x:c r="AT2306" t="str">
        <x:f>_xlfn.XLOOKUP($A2306,Games!$A$2:$A$18,Games!$O$2:$O$18,"Missing game",0)</x:f>
        <x:v>matrixturf</x:v>
      </x:c>
      <x:c r="AU2306" t="str">
        <x:f>_xlfn.XLOOKUP($A2306,Games!$A$2:$A$18,Games!$P$2:$P$18,"Missing game",0)</x:f>
      </x:c>
      <x:c r="AV2306" t="str">
        <x:f>_xlfn.XLOOKUP($A2306,Games!$A$2:$A$18,Games!$Q$2:$Q$18,"Missing game",0)</x:f>
      </x:c>
      <x:c r="AW2306" t="str">
        <x:f>_xlfn.XLOOKUP($A2306,Games!$A$2:$A$18,Games!$R$2:$R$18,"Missing game",0)</x:f>
        <x:v>AT&amp;T Stadium</x:v>
      </x:c>
    </x:row>
    <x:row r="2307">
      <x:c r="A2307" t="str">
        <x:v>2025_15_MIN_DAL</x:v>
      </x:c>
      <x:c r="B2307" t="n">
        <x:v>3798</x:v>
      </x:c>
      <x:c r="C2307" t="n">
        <x:v>4</x:v>
      </x:c>
      <x:c r="D2307" t="str">
        <x:v>03:12</x:v>
      </x:c>
      <x:c r="E2307" t="n">
        <x:v>2</x:v>
      </x:c>
      <x:c r="F2307" t="n">
        <x:v>8</x:v>
      </x:c>
      <x:c r="G2307" t="str">
        <x:v>MIN</x:v>
      </x:c>
      <x:c r="H2307" t="str">
        <x:v>DAL</x:v>
      </x:c>
      <x:c r="I2307" t="str">
        <x:v>DAL</x:v>
      </x:c>
      <x:c r="J2307" t="n">
        <x:v>46</x:v>
      </x:c>
      <x:c r="K2307" t="str">
        <x:v>(3:12) 33-A.Jones up the middle to DAL 30 for 16 yards (21-C.Carson; 28-M.Hooker). Dallas challenged the runner was down by contact ruling, and the play was Upheld. The ruling on the field stands. (Timeout #3.)</x:v>
      </x:c>
      <x:c r="L2307" t="str">
        <x:v>run</x:v>
      </x:c>
      <x:c r="M2307" t="n">
        <x:v>16</x:v>
      </x:c>
      <x:c r="N2307" t="n">
        <x:v>0</x:v>
      </x:c>
      <x:c r="O2307" t="n">
        <x:v>0</x:v>
      </x:c>
      <x:c r="P2307"/>
      <x:c r="Q2307"/>
      <x:c r="R2307"/>
      <x:c r="S2307"/>
      <x:c r="T2307" t="str">
        <x:v>middle</x:v>
      </x:c>
      <x:c r="U2307"/>
      <x:c r="V2307" t="n">
        <x:v>0</x:v>
      </x:c>
      <x:c r="W2307" t="n">
        <x:v>1</x:v>
      </x:c>
      <x:c r="X2307" t="n">
        <x:v>0</x:v>
      </x:c>
      <x:c r="Y2307" t="n">
        <x:v>0</x:v>
      </x:c>
      <x:c r="Z2307" t="n">
        <x:v>0</x:v>
      </x:c>
      <x:c r="AA2307" t="n">
        <x:v>0</x:v>
      </x:c>
      <x:c r="AB2307"/>
      <x:c r="AC2307" t="n">
        <x:v>0</x:v>
      </x:c>
      <x:c r="AD2307" t="n">
        <x:v>1.4575813158298843</x:v>
      </x:c>
      <x:c r="AE2307" t="n">
        <x:v>1</x:v>
      </x:c>
      <x:c r="AF2307" t="n">
        <x:v>0.01018977165222168</x:v>
      </x:c>
      <x:c r="AG2307" t="n">
        <x:f>_xlfn.XLOOKUP($A2307,Games!$A$2:$A$18,Games!$B$2:$B$18,"Missing game",0)</x:f>
        <x:v>2025</x:v>
      </x:c>
      <x:c r="AH2307" t="str">
        <x:f>_xlfn.XLOOKUP($A2307,Games!$A$2:$A$18,Games!$C$2:$C$18,"Missing game",0)</x:f>
        <x:v>REG</x:v>
      </x:c>
      <x:c r="AI2307" t="n">
        <x:f>_xlfn.XLOOKUP($A2307,Games!$A$2:$A$18,Games!$D$2:$D$18,"Missing game",0)</x:f>
        <x:v>15</x:v>
      </x:c>
      <x:c r="AJ2307" s="1" t="n">
        <x:f>_xlfn.XLOOKUP($A2307,Games!$A$2:$A$18,Games!$E$2:$E$18,"Missing game",0)</x:f>
        <x:v>46005</x:v>
      </x:c>
      <x:c r="AK2307" t="str">
        <x:f>_xlfn.XLOOKUP($A2307,Games!$A$2:$A$18,Games!$F$2:$F$18,"Missing game",0)</x:f>
        <x:v>Sunday</x:v>
      </x:c>
      <x:c r="AL2307" t="str">
        <x:f>_xlfn.XLOOKUP($A2307,Games!$A$2:$A$18,Games!$G$2:$G$18,"Missing game",0)</x:f>
        <x:v>MIN</x:v>
      </x:c>
      <x:c r="AM2307" t="n">
        <x:f>_xlfn.XLOOKUP($A2307,Games!$A$2:$A$18,Games!$H$2:$H$18,"Missing game",0)</x:f>
        <x:v>34</x:v>
      </x:c>
      <x:c r="AN2307" t="str">
        <x:f>_xlfn.XLOOKUP($A2307,Games!$A$2:$A$18,Games!$I$2:$I$18,"Missing game",0)</x:f>
        <x:v>DAL</x:v>
      </x:c>
      <x:c r="AO2307" t="n">
        <x:f>_xlfn.XLOOKUP($A2307,Games!$A$2:$A$18,Games!$J$2:$J$18,"Missing game",0)</x:f>
        <x:v>26</x:v>
      </x:c>
      <x:c r="AP2307" t="n">
        <x:f>_xlfn.XLOOKUP($A2307,Games!$A$2:$A$18,Games!$K$2:$K$18,"Missing game",0)</x:f>
        <x:v>-8</x:v>
      </x:c>
      <x:c r="AQ2307" t="n">
        <x:f>_xlfn.XLOOKUP($A2307,Games!$A$2:$A$18,Games!$L$2:$L$18,"Missing game",0)</x:f>
        <x:v>60</x:v>
      </x:c>
      <x:c r="AR2307" t="n">
        <x:f>_xlfn.XLOOKUP($A2307,Games!$A$2:$A$18,Games!$M$2:$M$18,"Missing game",0)</x:f>
        <x:v>0</x:v>
      </x:c>
      <x:c r="AS2307" t="str">
        <x:f>_xlfn.XLOOKUP($A2307,Games!$A$2:$A$18,Games!$N$2:$N$18,"Missing game",0)</x:f>
        <x:v>closed</x:v>
      </x:c>
      <x:c r="AT2307" t="str">
        <x:f>_xlfn.XLOOKUP($A2307,Games!$A$2:$A$18,Games!$O$2:$O$18,"Missing game",0)</x:f>
        <x:v>matrixturf</x:v>
      </x:c>
      <x:c r="AU2307" t="str">
        <x:f>_xlfn.XLOOKUP($A2307,Games!$A$2:$A$18,Games!$P$2:$P$18,"Missing game",0)</x:f>
      </x:c>
      <x:c r="AV2307" t="str">
        <x:f>_xlfn.XLOOKUP($A2307,Games!$A$2:$A$18,Games!$Q$2:$Q$18,"Missing game",0)</x:f>
      </x:c>
      <x:c r="AW2307" t="str">
        <x:f>_xlfn.XLOOKUP($A2307,Games!$A$2:$A$18,Games!$R$2:$R$18,"Missing game",0)</x:f>
        <x:v>AT&amp;T Stadium</x:v>
      </x:c>
    </x:row>
    <x:row r="2308">
      <x:c r="A2308" t="str">
        <x:v>2025_15_MIN_DAL</x:v>
      </x:c>
      <x:c r="B2308" t="n">
        <x:v>3810</x:v>
      </x:c>
      <x:c r="C2308" t="n">
        <x:v>4</x:v>
      </x:c>
      <x:c r="D2308" t="str">
        <x:v>03:12</x:v>
      </x:c>
      <x:c r="E2308"/>
      <x:c r="F2308" t="n">
        <x:v>0</x:v>
      </x:c>
      <x:c r="G2308"/>
      <x:c r="H2308"/>
      <x:c r="I2308"/>
      <x:c r="J2308"/>
      <x:c r="K2308" t="str">
        <x:v>Timeout #2 by DAL at 03:12.</x:v>
      </x:c>
      <x:c r="L2308" t="str">
        <x:v>no_play</x:v>
      </x:c>
      <x:c r="M2308" t="n">
        <x:v>0</x:v>
      </x:c>
      <x:c r="N2308" t="n">
        <x:v>0</x:v>
      </x:c>
      <x:c r="O2308" t="n">
        <x:v>0</x:v>
      </x:c>
      <x:c r="P2308"/>
      <x:c r="Q2308"/>
      <x:c r="R2308"/>
      <x:c r="S2308"/>
      <x:c r="T2308"/>
      <x:c r="U2308"/>
      <x:c r="V2308" t="n">
        <x:v>0</x:v>
      </x:c>
      <x:c r="W2308" t="n">
        <x:v>0</x:v>
      </x:c>
      <x:c r="X2308" t="n">
        <x:v>0</x:v>
      </x:c>
      <x:c r="Y2308" t="n">
        <x:v>0</x:v>
      </x:c>
      <x:c r="Z2308" t="n">
        <x:v>0</x:v>
      </x:c>
      <x:c r="AA2308" t="n">
        <x:v>0</x:v>
      </x:c>
      <x:c r="AB2308"/>
      <x:c r="AC2308" t="n">
        <x:v>0</x:v>
      </x:c>
      <x:c r="AD2308" t="n">
        <x:v>0</x:v>
      </x:c>
      <x:c r="AE2308" t="n">
        <x:v>0</x:v>
      </x:c>
      <x:c r="AF2308" t="n">
        <x:v>0</x:v>
      </x:c>
      <x:c r="AG2308" t="n">
        <x:f>_xlfn.XLOOKUP($A2308,Games!$A$2:$A$18,Games!$B$2:$B$18,"Missing game",0)</x:f>
        <x:v>2025</x:v>
      </x:c>
      <x:c r="AH2308" t="str">
        <x:f>_xlfn.XLOOKUP($A2308,Games!$A$2:$A$18,Games!$C$2:$C$18,"Missing game",0)</x:f>
        <x:v>REG</x:v>
      </x:c>
      <x:c r="AI2308" t="n">
        <x:f>_xlfn.XLOOKUP($A2308,Games!$A$2:$A$18,Games!$D$2:$D$18,"Missing game",0)</x:f>
        <x:v>15</x:v>
      </x:c>
      <x:c r="AJ2308" s="1" t="n">
        <x:f>_xlfn.XLOOKUP($A2308,Games!$A$2:$A$18,Games!$E$2:$E$18,"Missing game",0)</x:f>
        <x:v>46005</x:v>
      </x:c>
      <x:c r="AK2308" t="str">
        <x:f>_xlfn.XLOOKUP($A2308,Games!$A$2:$A$18,Games!$F$2:$F$18,"Missing game",0)</x:f>
        <x:v>Sunday</x:v>
      </x:c>
      <x:c r="AL2308" t="str">
        <x:f>_xlfn.XLOOKUP($A2308,Games!$A$2:$A$18,Games!$G$2:$G$18,"Missing game",0)</x:f>
        <x:v>MIN</x:v>
      </x:c>
      <x:c r="AM2308" t="n">
        <x:f>_xlfn.XLOOKUP($A2308,Games!$A$2:$A$18,Games!$H$2:$H$18,"Missing game",0)</x:f>
        <x:v>34</x:v>
      </x:c>
      <x:c r="AN2308" t="str">
        <x:f>_xlfn.XLOOKUP($A2308,Games!$A$2:$A$18,Games!$I$2:$I$18,"Missing game",0)</x:f>
        <x:v>DAL</x:v>
      </x:c>
      <x:c r="AO2308" t="n">
        <x:f>_xlfn.XLOOKUP($A2308,Games!$A$2:$A$18,Games!$J$2:$J$18,"Missing game",0)</x:f>
        <x:v>26</x:v>
      </x:c>
      <x:c r="AP2308" t="n">
        <x:f>_xlfn.XLOOKUP($A2308,Games!$A$2:$A$18,Games!$K$2:$K$18,"Missing game",0)</x:f>
        <x:v>-8</x:v>
      </x:c>
      <x:c r="AQ2308" t="n">
        <x:f>_xlfn.XLOOKUP($A2308,Games!$A$2:$A$18,Games!$L$2:$L$18,"Missing game",0)</x:f>
        <x:v>60</x:v>
      </x:c>
      <x:c r="AR2308" t="n">
        <x:f>_xlfn.XLOOKUP($A2308,Games!$A$2:$A$18,Games!$M$2:$M$18,"Missing game",0)</x:f>
        <x:v>0</x:v>
      </x:c>
      <x:c r="AS2308" t="str">
        <x:f>_xlfn.XLOOKUP($A2308,Games!$A$2:$A$18,Games!$N$2:$N$18,"Missing game",0)</x:f>
        <x:v>closed</x:v>
      </x:c>
      <x:c r="AT2308" t="str">
        <x:f>_xlfn.XLOOKUP($A2308,Games!$A$2:$A$18,Games!$O$2:$O$18,"Missing game",0)</x:f>
        <x:v>matrixturf</x:v>
      </x:c>
      <x:c r="AU2308" t="str">
        <x:f>_xlfn.XLOOKUP($A2308,Games!$A$2:$A$18,Games!$P$2:$P$18,"Missing game",0)</x:f>
      </x:c>
      <x:c r="AV2308" t="str">
        <x:f>_xlfn.XLOOKUP($A2308,Games!$A$2:$A$18,Games!$Q$2:$Q$18,"Missing game",0)</x:f>
      </x:c>
      <x:c r="AW2308" t="str">
        <x:f>_xlfn.XLOOKUP($A2308,Games!$A$2:$A$18,Games!$R$2:$R$18,"Missing game",0)</x:f>
        <x:v>AT&amp;T Stadium</x:v>
      </x:c>
    </x:row>
    <x:row r="2309">
      <x:c r="A2309" t="str">
        <x:v>2025_15_MIN_DAL</x:v>
      </x:c>
      <x:c r="B2309" t="n">
        <x:v>3839</x:v>
      </x:c>
      <x:c r="C2309" t="n">
        <x:v>4</x:v>
      </x:c>
      <x:c r="D2309" t="str">
        <x:v>03:02</x:v>
      </x:c>
      <x:c r="E2309" t="n">
        <x:v>1</x:v>
      </x:c>
      <x:c r="F2309" t="n">
        <x:v>10</x:v>
      </x:c>
      <x:c r="G2309" t="str">
        <x:v>MIN</x:v>
      </x:c>
      <x:c r="H2309" t="str">
        <x:v>DAL</x:v>
      </x:c>
      <x:c r="I2309" t="str">
        <x:v>DAL</x:v>
      </x:c>
      <x:c r="J2309" t="n">
        <x:v>30</x:v>
      </x:c>
      <x:c r="K2309" t="str">
        <x:v>(3:02) 33-A.Jones right tackle to DAL 31 for -1 yards (54-S.Williams, 97-O.Odighizuwa).</x:v>
      </x:c>
      <x:c r="L2309" t="str">
        <x:v>run</x:v>
      </x:c>
      <x:c r="M2309" t="n">
        <x:v>-1</x:v>
      </x:c>
      <x:c r="N2309" t="n">
        <x:v>0</x:v>
      </x:c>
      <x:c r="O2309" t="n">
        <x:v>0</x:v>
      </x:c>
      <x:c r="P2309"/>
      <x:c r="Q2309"/>
      <x:c r="R2309"/>
      <x:c r="S2309"/>
      <x:c r="T2309" t="str">
        <x:v>right</x:v>
      </x:c>
      <x:c r="U2309" t="str">
        <x:v>tackle</x:v>
      </x:c>
      <x:c r="V2309" t="n">
        <x:v>0</x:v>
      </x:c>
      <x:c r="W2309" t="n">
        <x:v>0</x:v>
      </x:c>
      <x:c r="X2309" t="n">
        <x:v>0</x:v>
      </x:c>
      <x:c r="Y2309" t="n">
        <x:v>0</x:v>
      </x:c>
      <x:c r="Z2309" t="n">
        <x:v>0</x:v>
      </x:c>
      <x:c r="AA2309" t="n">
        <x:v>0</x:v>
      </x:c>
      <x:c r="AB2309"/>
      <x:c r="AC2309" t="n">
        <x:v>0</x:v>
      </x:c>
      <x:c r="AD2309" t="n">
        <x:v>-0.8022098048822954</x:v>
      </x:c>
      <x:c r="AE2309" t="n">
        <x:v>0</x:v>
      </x:c>
      <x:c r="AF2309" t="n">
        <x:v>0.0002530217170715332</x:v>
      </x:c>
      <x:c r="AG2309" t="n">
        <x:f>_xlfn.XLOOKUP($A2309,Games!$A$2:$A$18,Games!$B$2:$B$18,"Missing game",0)</x:f>
        <x:v>2025</x:v>
      </x:c>
      <x:c r="AH2309" t="str">
        <x:f>_xlfn.XLOOKUP($A2309,Games!$A$2:$A$18,Games!$C$2:$C$18,"Missing game",0)</x:f>
        <x:v>REG</x:v>
      </x:c>
      <x:c r="AI2309" t="n">
        <x:f>_xlfn.XLOOKUP($A2309,Games!$A$2:$A$18,Games!$D$2:$D$18,"Missing game",0)</x:f>
        <x:v>15</x:v>
      </x:c>
      <x:c r="AJ2309" s="1" t="n">
        <x:f>_xlfn.XLOOKUP($A2309,Games!$A$2:$A$18,Games!$E$2:$E$18,"Missing game",0)</x:f>
        <x:v>46005</x:v>
      </x:c>
      <x:c r="AK2309" t="str">
        <x:f>_xlfn.XLOOKUP($A2309,Games!$A$2:$A$18,Games!$F$2:$F$18,"Missing game",0)</x:f>
        <x:v>Sunday</x:v>
      </x:c>
      <x:c r="AL2309" t="str">
        <x:f>_xlfn.XLOOKUP($A2309,Games!$A$2:$A$18,Games!$G$2:$G$18,"Missing game",0)</x:f>
        <x:v>MIN</x:v>
      </x:c>
      <x:c r="AM2309" t="n">
        <x:f>_xlfn.XLOOKUP($A2309,Games!$A$2:$A$18,Games!$H$2:$H$18,"Missing game",0)</x:f>
        <x:v>34</x:v>
      </x:c>
      <x:c r="AN2309" t="str">
        <x:f>_xlfn.XLOOKUP($A2309,Games!$A$2:$A$18,Games!$I$2:$I$18,"Missing game",0)</x:f>
        <x:v>DAL</x:v>
      </x:c>
      <x:c r="AO2309" t="n">
        <x:f>_xlfn.XLOOKUP($A2309,Games!$A$2:$A$18,Games!$J$2:$J$18,"Missing game",0)</x:f>
        <x:v>26</x:v>
      </x:c>
      <x:c r="AP2309" t="n">
        <x:f>_xlfn.XLOOKUP($A2309,Games!$A$2:$A$18,Games!$K$2:$K$18,"Missing game",0)</x:f>
        <x:v>-8</x:v>
      </x:c>
      <x:c r="AQ2309" t="n">
        <x:f>_xlfn.XLOOKUP($A2309,Games!$A$2:$A$18,Games!$L$2:$L$18,"Missing game",0)</x:f>
        <x:v>60</x:v>
      </x:c>
      <x:c r="AR2309" t="n">
        <x:f>_xlfn.XLOOKUP($A2309,Games!$A$2:$A$18,Games!$M$2:$M$18,"Missing game",0)</x:f>
        <x:v>0</x:v>
      </x:c>
      <x:c r="AS2309" t="str">
        <x:f>_xlfn.XLOOKUP($A2309,Games!$A$2:$A$18,Games!$N$2:$N$18,"Missing game",0)</x:f>
        <x:v>closed</x:v>
      </x:c>
      <x:c r="AT2309" t="str">
        <x:f>_xlfn.XLOOKUP($A2309,Games!$A$2:$A$18,Games!$O$2:$O$18,"Missing game",0)</x:f>
        <x:v>matrixturf</x:v>
      </x:c>
      <x:c r="AU2309" t="str">
        <x:f>_xlfn.XLOOKUP($A2309,Games!$A$2:$A$18,Games!$P$2:$P$18,"Missing game",0)</x:f>
      </x:c>
      <x:c r="AV2309" t="str">
        <x:f>_xlfn.XLOOKUP($A2309,Games!$A$2:$A$18,Games!$Q$2:$Q$18,"Missing game",0)</x:f>
      </x:c>
      <x:c r="AW2309" t="str">
        <x:f>_xlfn.XLOOKUP($A2309,Games!$A$2:$A$18,Games!$R$2:$R$18,"Missing game",0)</x:f>
        <x:v>AT&amp;T Stadium</x:v>
      </x:c>
    </x:row>
    <x:row r="2310">
      <x:c r="A2310" t="str">
        <x:v>2025_15_MIN_DAL</x:v>
      </x:c>
      <x:c r="B2310" t="n">
        <x:v>3895</x:v>
      </x:c>
      <x:c r="C2310" t="n">
        <x:v>4</x:v>
      </x:c>
      <x:c r="D2310" t="str">
        <x:v>02:18</x:v>
      </x:c>
      <x:c r="E2310" t="n">
        <x:v>2</x:v>
      </x:c>
      <x:c r="F2310" t="n">
        <x:v>11</x:v>
      </x:c>
      <x:c r="G2310" t="str">
        <x:v>MIN</x:v>
      </x:c>
      <x:c r="H2310" t="str">
        <x:v>DAL</x:v>
      </x:c>
      <x:c r="I2310" t="str">
        <x:v>DAL</x:v>
      </x:c>
      <x:c r="J2310" t="n">
        <x:v>31</x:v>
      </x:c>
      <x:c r="K2310" t="str">
        <x:v>(2:18) 27-J.Mason left tackle to DAL 31 for no gain (35-M.Liufau).</x:v>
      </x:c>
      <x:c r="L2310" t="str">
        <x:v>run</x:v>
      </x:c>
      <x:c r="M2310" t="n">
        <x:v>0</x:v>
      </x:c>
      <x:c r="N2310" t="n">
        <x:v>0</x:v>
      </x:c>
      <x:c r="O2310" t="n">
        <x:v>0</x:v>
      </x:c>
      <x:c r="P2310"/>
      <x:c r="Q2310"/>
      <x:c r="R2310"/>
      <x:c r="S2310"/>
      <x:c r="T2310" t="str">
        <x:v>left</x:v>
      </x:c>
      <x:c r="U2310" t="str">
        <x:v>tackle</x:v>
      </x:c>
      <x:c r="V2310" t="n">
        <x:v>0</x:v>
      </x:c>
      <x:c r="W2310" t="n">
        <x:v>0</x:v>
      </x:c>
      <x:c r="X2310" t="n">
        <x:v>0</x:v>
      </x:c>
      <x:c r="Y2310" t="n">
        <x:v>0</x:v>
      </x:c>
      <x:c r="Z2310" t="n">
        <x:v>0</x:v>
      </x:c>
      <x:c r="AA2310" t="n">
        <x:v>0</x:v>
      </x:c>
      <x:c r="AB2310"/>
      <x:c r="AC2310" t="n">
        <x:v>0</x:v>
      </x:c>
      <x:c r="AD2310" t="n">
        <x:v>-0.3181613255292177</x:v>
      </x:c>
      <x:c r="AE2310" t="n">
        <x:v>0</x:v>
      </x:c>
      <x:c r="AF2310" t="n">
        <x:v>0.004850924015045166</x:v>
      </x:c>
      <x:c r="AG2310" t="n">
        <x:f>_xlfn.XLOOKUP($A2310,Games!$A$2:$A$18,Games!$B$2:$B$18,"Missing game",0)</x:f>
        <x:v>2025</x:v>
      </x:c>
      <x:c r="AH2310" t="str">
        <x:f>_xlfn.XLOOKUP($A2310,Games!$A$2:$A$18,Games!$C$2:$C$18,"Missing game",0)</x:f>
        <x:v>REG</x:v>
      </x:c>
      <x:c r="AI2310" t="n">
        <x:f>_xlfn.XLOOKUP($A2310,Games!$A$2:$A$18,Games!$D$2:$D$18,"Missing game",0)</x:f>
        <x:v>15</x:v>
      </x:c>
      <x:c r="AJ2310" s="1" t="n">
        <x:f>_xlfn.XLOOKUP($A2310,Games!$A$2:$A$18,Games!$E$2:$E$18,"Missing game",0)</x:f>
        <x:v>46005</x:v>
      </x:c>
      <x:c r="AK2310" t="str">
        <x:f>_xlfn.XLOOKUP($A2310,Games!$A$2:$A$18,Games!$F$2:$F$18,"Missing game",0)</x:f>
        <x:v>Sunday</x:v>
      </x:c>
      <x:c r="AL2310" t="str">
        <x:f>_xlfn.XLOOKUP($A2310,Games!$A$2:$A$18,Games!$G$2:$G$18,"Missing game",0)</x:f>
        <x:v>MIN</x:v>
      </x:c>
      <x:c r="AM2310" t="n">
        <x:f>_xlfn.XLOOKUP($A2310,Games!$A$2:$A$18,Games!$H$2:$H$18,"Missing game",0)</x:f>
        <x:v>34</x:v>
      </x:c>
      <x:c r="AN2310" t="str">
        <x:f>_xlfn.XLOOKUP($A2310,Games!$A$2:$A$18,Games!$I$2:$I$18,"Missing game",0)</x:f>
        <x:v>DAL</x:v>
      </x:c>
      <x:c r="AO2310" t="n">
        <x:f>_xlfn.XLOOKUP($A2310,Games!$A$2:$A$18,Games!$J$2:$J$18,"Missing game",0)</x:f>
        <x:v>26</x:v>
      </x:c>
      <x:c r="AP2310" t="n">
        <x:f>_xlfn.XLOOKUP($A2310,Games!$A$2:$A$18,Games!$K$2:$K$18,"Missing game",0)</x:f>
        <x:v>-8</x:v>
      </x:c>
      <x:c r="AQ2310" t="n">
        <x:f>_xlfn.XLOOKUP($A2310,Games!$A$2:$A$18,Games!$L$2:$L$18,"Missing game",0)</x:f>
        <x:v>60</x:v>
      </x:c>
      <x:c r="AR2310" t="n">
        <x:f>_xlfn.XLOOKUP($A2310,Games!$A$2:$A$18,Games!$M$2:$M$18,"Missing game",0)</x:f>
        <x:v>0</x:v>
      </x:c>
      <x:c r="AS2310" t="str">
        <x:f>_xlfn.XLOOKUP($A2310,Games!$A$2:$A$18,Games!$N$2:$N$18,"Missing game",0)</x:f>
        <x:v>closed</x:v>
      </x:c>
      <x:c r="AT2310" t="str">
        <x:f>_xlfn.XLOOKUP($A2310,Games!$A$2:$A$18,Games!$O$2:$O$18,"Missing game",0)</x:f>
        <x:v>matrixturf</x:v>
      </x:c>
      <x:c r="AU2310" t="str">
        <x:f>_xlfn.XLOOKUP($A2310,Games!$A$2:$A$18,Games!$P$2:$P$18,"Missing game",0)</x:f>
      </x:c>
      <x:c r="AV2310" t="str">
        <x:f>_xlfn.XLOOKUP($A2310,Games!$A$2:$A$18,Games!$Q$2:$Q$18,"Missing game",0)</x:f>
      </x:c>
      <x:c r="AW2310" t="str">
        <x:f>_xlfn.XLOOKUP($A2310,Games!$A$2:$A$18,Games!$R$2:$R$18,"Missing game",0)</x:f>
        <x:v>AT&amp;T Stadium</x:v>
      </x:c>
    </x:row>
    <x:row r="2311">
      <x:c r="A2311" t="str">
        <x:v>2025_15_MIN_DAL</x:v>
      </x:c>
      <x:c r="B2311" t="n">
        <x:v>3917</x:v>
      </x:c>
      <x:c r="C2311" t="n">
        <x:v>4</x:v>
      </x:c>
      <x:c r="D2311" t="str">
        <x:v>02:00</x:v>
      </x:c>
      <x:c r="E2311" t="n">
        <x:v>3</x:v>
      </x:c>
      <x:c r="F2311" t="n">
        <x:v>11</x:v>
      </x:c>
      <x:c r="G2311" t="str">
        <x:v>MIN</x:v>
      </x:c>
      <x:c r="H2311" t="str">
        <x:v>DAL</x:v>
      </x:c>
      <x:c r="I2311" t="str">
        <x:v>DAL</x:v>
      </x:c>
      <x:c r="J2311" t="n">
        <x:v>31</x:v>
      </x:c>
      <x:c r="K2311" t="str">
        <x:v>(2:00) 33-A.Jones right tackle to DAL 35 for -4 yards (14-M.Bell).</x:v>
      </x:c>
      <x:c r="L2311" t="str">
        <x:v>run</x:v>
      </x:c>
      <x:c r="M2311" t="n">
        <x:v>-4</x:v>
      </x:c>
      <x:c r="N2311" t="n">
        <x:v>0</x:v>
      </x:c>
      <x:c r="O2311" t="n">
        <x:v>0</x:v>
      </x:c>
      <x:c r="P2311"/>
      <x:c r="Q2311"/>
      <x:c r="R2311"/>
      <x:c r="S2311"/>
      <x:c r="T2311" t="str">
        <x:v>right</x:v>
      </x:c>
      <x:c r="U2311" t="str">
        <x:v>tackle</x:v>
      </x:c>
      <x:c r="V2311" t="n">
        <x:v>0</x:v>
      </x:c>
      <x:c r="W2311" t="n">
        <x:v>0</x:v>
      </x:c>
      <x:c r="X2311" t="n">
        <x:v>0</x:v>
      </x:c>
      <x:c r="Y2311" t="n">
        <x:v>0</x:v>
      </x:c>
      <x:c r="Z2311" t="n">
        <x:v>0</x:v>
      </x:c>
      <x:c r="AA2311" t="n">
        <x:v>0</x:v>
      </x:c>
      <x:c r="AB2311"/>
      <x:c r="AC2311" t="n">
        <x:v>0</x:v>
      </x:c>
      <x:c r="AD2311" t="n">
        <x:v>-0.0013722122273929216</x:v>
      </x:c>
      <x:c r="AE2311" t="n">
        <x:v>0</x:v>
      </x:c>
      <x:c r="AF2311" t="n">
        <x:v>0.008142173290252686</x:v>
      </x:c>
      <x:c r="AG2311" t="n">
        <x:f>_xlfn.XLOOKUP($A2311,Games!$A$2:$A$18,Games!$B$2:$B$18,"Missing game",0)</x:f>
        <x:v>2025</x:v>
      </x:c>
      <x:c r="AH2311" t="str">
        <x:f>_xlfn.XLOOKUP($A2311,Games!$A$2:$A$18,Games!$C$2:$C$18,"Missing game",0)</x:f>
        <x:v>REG</x:v>
      </x:c>
      <x:c r="AI2311" t="n">
        <x:f>_xlfn.XLOOKUP($A2311,Games!$A$2:$A$18,Games!$D$2:$D$18,"Missing game",0)</x:f>
        <x:v>15</x:v>
      </x:c>
      <x:c r="AJ2311" s="1" t="n">
        <x:f>_xlfn.XLOOKUP($A2311,Games!$A$2:$A$18,Games!$E$2:$E$18,"Missing game",0)</x:f>
        <x:v>46005</x:v>
      </x:c>
      <x:c r="AK2311" t="str">
        <x:f>_xlfn.XLOOKUP($A2311,Games!$A$2:$A$18,Games!$F$2:$F$18,"Missing game",0)</x:f>
        <x:v>Sunday</x:v>
      </x:c>
      <x:c r="AL2311" t="str">
        <x:f>_xlfn.XLOOKUP($A2311,Games!$A$2:$A$18,Games!$G$2:$G$18,"Missing game",0)</x:f>
        <x:v>MIN</x:v>
      </x:c>
      <x:c r="AM2311" t="n">
        <x:f>_xlfn.XLOOKUP($A2311,Games!$A$2:$A$18,Games!$H$2:$H$18,"Missing game",0)</x:f>
        <x:v>34</x:v>
      </x:c>
      <x:c r="AN2311" t="str">
        <x:f>_xlfn.XLOOKUP($A2311,Games!$A$2:$A$18,Games!$I$2:$I$18,"Missing game",0)</x:f>
        <x:v>DAL</x:v>
      </x:c>
      <x:c r="AO2311" t="n">
        <x:f>_xlfn.XLOOKUP($A2311,Games!$A$2:$A$18,Games!$J$2:$J$18,"Missing game",0)</x:f>
        <x:v>26</x:v>
      </x:c>
      <x:c r="AP2311" t="n">
        <x:f>_xlfn.XLOOKUP($A2311,Games!$A$2:$A$18,Games!$K$2:$K$18,"Missing game",0)</x:f>
        <x:v>-8</x:v>
      </x:c>
      <x:c r="AQ2311" t="n">
        <x:f>_xlfn.XLOOKUP($A2311,Games!$A$2:$A$18,Games!$L$2:$L$18,"Missing game",0)</x:f>
        <x:v>60</x:v>
      </x:c>
      <x:c r="AR2311" t="n">
        <x:f>_xlfn.XLOOKUP($A2311,Games!$A$2:$A$18,Games!$M$2:$M$18,"Missing game",0)</x:f>
        <x:v>0</x:v>
      </x:c>
      <x:c r="AS2311" t="str">
        <x:f>_xlfn.XLOOKUP($A2311,Games!$A$2:$A$18,Games!$N$2:$N$18,"Missing game",0)</x:f>
        <x:v>closed</x:v>
      </x:c>
      <x:c r="AT2311" t="str">
        <x:f>_xlfn.XLOOKUP($A2311,Games!$A$2:$A$18,Games!$O$2:$O$18,"Missing game",0)</x:f>
        <x:v>matrixturf</x:v>
      </x:c>
      <x:c r="AU2311" t="str">
        <x:f>_xlfn.XLOOKUP($A2311,Games!$A$2:$A$18,Games!$P$2:$P$18,"Missing game",0)</x:f>
      </x:c>
      <x:c r="AV2311" t="str">
        <x:f>_xlfn.XLOOKUP($A2311,Games!$A$2:$A$18,Games!$Q$2:$Q$18,"Missing game",0)</x:f>
      </x:c>
      <x:c r="AW2311" t="str">
        <x:f>_xlfn.XLOOKUP($A2311,Games!$A$2:$A$18,Games!$R$2:$R$18,"Missing game",0)</x:f>
        <x:v>AT&amp;T Stadium</x:v>
      </x:c>
    </x:row>
    <x:row r="2312">
      <x:c r="A2312" t="str">
        <x:v>2025_15_MIN_DAL</x:v>
      </x:c>
      <x:c r="B2312" t="n">
        <x:v>3946</x:v>
      </x:c>
      <x:c r="C2312" t="n">
        <x:v>4</x:v>
      </x:c>
      <x:c r="D2312" t="str">
        <x:v>01:13</x:v>
      </x:c>
      <x:c r="E2312" t="n">
        <x:v>4</x:v>
      </x:c>
      <x:c r="F2312" t="n">
        <x:v>15</x:v>
      </x:c>
      <x:c r="G2312" t="str">
        <x:v>MIN</x:v>
      </x:c>
      <x:c r="H2312" t="str">
        <x:v>DAL</x:v>
      </x:c>
      <x:c r="I2312" t="str">
        <x:v>DAL</x:v>
      </x:c>
      <x:c r="J2312" t="n">
        <x:v>35</x:v>
      </x:c>
      <x:c r="K2312" t="str">
        <x:v>(1:13) 16-W.Reichard 53 yard field goal is GOOD, Center-42-A.DePaola, Holder-17-R.Wright.</x:v>
      </x:c>
      <x:c r="L2312" t="str">
        <x:v>field_goal</x:v>
      </x:c>
      <x:c r="M2312" t="n">
        <x:v>0</x:v>
      </x:c>
      <x:c r="N2312" t="n">
        <x:v>0</x:v>
      </x:c>
      <x:c r="O2312" t="n">
        <x:v>0</x:v>
      </x:c>
      <x:c r="P2312"/>
      <x:c r="Q2312"/>
      <x:c r="R2312"/>
      <x:c r="S2312"/>
      <x:c r="T2312"/>
      <x:c r="U2312"/>
      <x:c r="V2312" t="n">
        <x:v>0</x:v>
      </x:c>
      <x:c r="W2312" t="n">
        <x:v>0</x:v>
      </x:c>
      <x:c r="X2312" t="n">
        <x:v>0</x:v>
      </x:c>
      <x:c r="Y2312" t="n">
        <x:v>0</x:v>
      </x:c>
      <x:c r="Z2312" t="n">
        <x:v>0</x:v>
      </x:c>
      <x:c r="AA2312" t="n">
        <x:v>0</x:v>
      </x:c>
      <x:c r="AB2312"/>
      <x:c r="AC2312" t="n">
        <x:v>0</x:v>
      </x:c>
      <x:c r="AD2312" t="n">
        <x:v>1.382719457356684</x:v>
      </x:c>
      <x:c r="AE2312" t="n">
        <x:v>1</x:v>
      </x:c>
      <x:c r="AF2312" t="n">
        <x:v>0.0032874271273612976</x:v>
      </x:c>
      <x:c r="AG2312" t="n">
        <x:f>_xlfn.XLOOKUP($A2312,Games!$A$2:$A$18,Games!$B$2:$B$18,"Missing game",0)</x:f>
        <x:v>2025</x:v>
      </x:c>
      <x:c r="AH2312" t="str">
        <x:f>_xlfn.XLOOKUP($A2312,Games!$A$2:$A$18,Games!$C$2:$C$18,"Missing game",0)</x:f>
        <x:v>REG</x:v>
      </x:c>
      <x:c r="AI2312" t="n">
        <x:f>_xlfn.XLOOKUP($A2312,Games!$A$2:$A$18,Games!$D$2:$D$18,"Missing game",0)</x:f>
        <x:v>15</x:v>
      </x:c>
      <x:c r="AJ2312" s="1" t="n">
        <x:f>_xlfn.XLOOKUP($A2312,Games!$A$2:$A$18,Games!$E$2:$E$18,"Missing game",0)</x:f>
        <x:v>46005</x:v>
      </x:c>
      <x:c r="AK2312" t="str">
        <x:f>_xlfn.XLOOKUP($A2312,Games!$A$2:$A$18,Games!$F$2:$F$18,"Missing game",0)</x:f>
        <x:v>Sunday</x:v>
      </x:c>
      <x:c r="AL2312" t="str">
        <x:f>_xlfn.XLOOKUP($A2312,Games!$A$2:$A$18,Games!$G$2:$G$18,"Missing game",0)</x:f>
        <x:v>MIN</x:v>
      </x:c>
      <x:c r="AM2312" t="n">
        <x:f>_xlfn.XLOOKUP($A2312,Games!$A$2:$A$18,Games!$H$2:$H$18,"Missing game",0)</x:f>
        <x:v>34</x:v>
      </x:c>
      <x:c r="AN2312" t="str">
        <x:f>_xlfn.XLOOKUP($A2312,Games!$A$2:$A$18,Games!$I$2:$I$18,"Missing game",0)</x:f>
        <x:v>DAL</x:v>
      </x:c>
      <x:c r="AO2312" t="n">
        <x:f>_xlfn.XLOOKUP($A2312,Games!$A$2:$A$18,Games!$J$2:$J$18,"Missing game",0)</x:f>
        <x:v>26</x:v>
      </x:c>
      <x:c r="AP2312" t="n">
        <x:f>_xlfn.XLOOKUP($A2312,Games!$A$2:$A$18,Games!$K$2:$K$18,"Missing game",0)</x:f>
        <x:v>-8</x:v>
      </x:c>
      <x:c r="AQ2312" t="n">
        <x:f>_xlfn.XLOOKUP($A2312,Games!$A$2:$A$18,Games!$L$2:$L$18,"Missing game",0)</x:f>
        <x:v>60</x:v>
      </x:c>
      <x:c r="AR2312" t="n">
        <x:f>_xlfn.XLOOKUP($A2312,Games!$A$2:$A$18,Games!$M$2:$M$18,"Missing game",0)</x:f>
        <x:v>0</x:v>
      </x:c>
      <x:c r="AS2312" t="str">
        <x:f>_xlfn.XLOOKUP($A2312,Games!$A$2:$A$18,Games!$N$2:$N$18,"Missing game",0)</x:f>
        <x:v>closed</x:v>
      </x:c>
      <x:c r="AT2312" t="str">
        <x:f>_xlfn.XLOOKUP($A2312,Games!$A$2:$A$18,Games!$O$2:$O$18,"Missing game",0)</x:f>
        <x:v>matrixturf</x:v>
      </x:c>
      <x:c r="AU2312" t="str">
        <x:f>_xlfn.XLOOKUP($A2312,Games!$A$2:$A$18,Games!$P$2:$P$18,"Missing game",0)</x:f>
      </x:c>
      <x:c r="AV2312" t="str">
        <x:f>_xlfn.XLOOKUP($A2312,Games!$A$2:$A$18,Games!$Q$2:$Q$18,"Missing game",0)</x:f>
      </x:c>
      <x:c r="AW2312" t="str">
        <x:f>_xlfn.XLOOKUP($A2312,Games!$A$2:$A$18,Games!$R$2:$R$18,"Missing game",0)</x:f>
        <x:v>AT&amp;T Stadium</x:v>
      </x:c>
    </x:row>
    <x:row r="2313">
      <x:c r="A2313" t="str">
        <x:v>2025_15_MIN_DAL</x:v>
      </x:c>
      <x:c r="B2313" t="n">
        <x:v>3958</x:v>
      </x:c>
      <x:c r="C2313" t="n">
        <x:v>4</x:v>
      </x:c>
      <x:c r="D2313" t="str">
        <x:v>01:13</x:v>
      </x:c>
      <x:c r="E2313"/>
      <x:c r="F2313" t="n">
        <x:v>0</x:v>
      </x:c>
      <x:c r="G2313"/>
      <x:c r="H2313"/>
      <x:c r="I2313"/>
      <x:c r="J2313"/>
      <x:c r="K2313" t="str">
        <x:v>Timeout #2 by MIN at 01:13.</x:v>
      </x:c>
      <x:c r="L2313" t="str">
        <x:v>no_play</x:v>
      </x:c>
      <x:c r="M2313" t="n">
        <x:v>0</x:v>
      </x:c>
      <x:c r="N2313" t="n">
        <x:v>0</x:v>
      </x:c>
      <x:c r="O2313" t="n">
        <x:v>0</x:v>
      </x:c>
      <x:c r="P2313"/>
      <x:c r="Q2313"/>
      <x:c r="R2313"/>
      <x:c r="S2313"/>
      <x:c r="T2313"/>
      <x:c r="U2313"/>
      <x:c r="V2313" t="n">
        <x:v>0</x:v>
      </x:c>
      <x:c r="W2313" t="n">
        <x:v>0</x:v>
      </x:c>
      <x:c r="X2313" t="n">
        <x:v>0</x:v>
      </x:c>
      <x:c r="Y2313" t="n">
        <x:v>0</x:v>
      </x:c>
      <x:c r="Z2313" t="n">
        <x:v>0</x:v>
      </x:c>
      <x:c r="AA2313" t="n">
        <x:v>0</x:v>
      </x:c>
      <x:c r="AB2313"/>
      <x:c r="AC2313" t="n">
        <x:v>0</x:v>
      </x:c>
      <x:c r="AD2313" t="n">
        <x:v>0</x:v>
      </x:c>
      <x:c r="AE2313" t="n">
        <x:v>0</x:v>
      </x:c>
      <x:c r="AF2313" t="n">
        <x:v>0</x:v>
      </x:c>
      <x:c r="AG2313" t="n">
        <x:f>_xlfn.XLOOKUP($A2313,Games!$A$2:$A$18,Games!$B$2:$B$18,"Missing game",0)</x:f>
        <x:v>2025</x:v>
      </x:c>
      <x:c r="AH2313" t="str">
        <x:f>_xlfn.XLOOKUP($A2313,Games!$A$2:$A$18,Games!$C$2:$C$18,"Missing game",0)</x:f>
        <x:v>REG</x:v>
      </x:c>
      <x:c r="AI2313" t="n">
        <x:f>_xlfn.XLOOKUP($A2313,Games!$A$2:$A$18,Games!$D$2:$D$18,"Missing game",0)</x:f>
        <x:v>15</x:v>
      </x:c>
      <x:c r="AJ2313" s="1" t="n">
        <x:f>_xlfn.XLOOKUP($A2313,Games!$A$2:$A$18,Games!$E$2:$E$18,"Missing game",0)</x:f>
        <x:v>46005</x:v>
      </x:c>
      <x:c r="AK2313" t="str">
        <x:f>_xlfn.XLOOKUP($A2313,Games!$A$2:$A$18,Games!$F$2:$F$18,"Missing game",0)</x:f>
        <x:v>Sunday</x:v>
      </x:c>
      <x:c r="AL2313" t="str">
        <x:f>_xlfn.XLOOKUP($A2313,Games!$A$2:$A$18,Games!$G$2:$G$18,"Missing game",0)</x:f>
        <x:v>MIN</x:v>
      </x:c>
      <x:c r="AM2313" t="n">
        <x:f>_xlfn.XLOOKUP($A2313,Games!$A$2:$A$18,Games!$H$2:$H$18,"Missing game",0)</x:f>
        <x:v>34</x:v>
      </x:c>
      <x:c r="AN2313" t="str">
        <x:f>_xlfn.XLOOKUP($A2313,Games!$A$2:$A$18,Games!$I$2:$I$18,"Missing game",0)</x:f>
        <x:v>DAL</x:v>
      </x:c>
      <x:c r="AO2313" t="n">
        <x:f>_xlfn.XLOOKUP($A2313,Games!$A$2:$A$18,Games!$J$2:$J$18,"Missing game",0)</x:f>
        <x:v>26</x:v>
      </x:c>
      <x:c r="AP2313" t="n">
        <x:f>_xlfn.XLOOKUP($A2313,Games!$A$2:$A$18,Games!$K$2:$K$18,"Missing game",0)</x:f>
        <x:v>-8</x:v>
      </x:c>
      <x:c r="AQ2313" t="n">
        <x:f>_xlfn.XLOOKUP($A2313,Games!$A$2:$A$18,Games!$L$2:$L$18,"Missing game",0)</x:f>
        <x:v>60</x:v>
      </x:c>
      <x:c r="AR2313" t="n">
        <x:f>_xlfn.XLOOKUP($A2313,Games!$A$2:$A$18,Games!$M$2:$M$18,"Missing game",0)</x:f>
        <x:v>0</x:v>
      </x:c>
      <x:c r="AS2313" t="str">
        <x:f>_xlfn.XLOOKUP($A2313,Games!$A$2:$A$18,Games!$N$2:$N$18,"Missing game",0)</x:f>
        <x:v>closed</x:v>
      </x:c>
      <x:c r="AT2313" t="str">
        <x:f>_xlfn.XLOOKUP($A2313,Games!$A$2:$A$18,Games!$O$2:$O$18,"Missing game",0)</x:f>
        <x:v>matrixturf</x:v>
      </x:c>
      <x:c r="AU2313" t="str">
        <x:f>_xlfn.XLOOKUP($A2313,Games!$A$2:$A$18,Games!$P$2:$P$18,"Missing game",0)</x:f>
      </x:c>
      <x:c r="AV2313" t="str">
        <x:f>_xlfn.XLOOKUP($A2313,Games!$A$2:$A$18,Games!$Q$2:$Q$18,"Missing game",0)</x:f>
      </x:c>
      <x:c r="AW2313" t="str">
        <x:f>_xlfn.XLOOKUP($A2313,Games!$A$2:$A$18,Games!$R$2:$R$18,"Missing game",0)</x:f>
        <x:v>AT&amp;T Stadium</x:v>
      </x:c>
    </x:row>
    <x:row r="2314">
      <x:c r="A2314" t="str">
        <x:v>2025_15_MIN_DAL</x:v>
      </x:c>
      <x:c r="B2314" t="n">
        <x:v>3973</x:v>
      </x:c>
      <x:c r="C2314" t="n">
        <x:v>4</x:v>
      </x:c>
      <x:c r="D2314" t="str">
        <x:v>01:08</x:v>
      </x:c>
      <x:c r="E2314"/>
      <x:c r="F2314" t="n">
        <x:v>0</x:v>
      </x:c>
      <x:c r="G2314" t="str">
        <x:v>DAL</x:v>
      </x:c>
      <x:c r="H2314" t="str">
        <x:v>MIN</x:v>
      </x:c>
      <x:c r="I2314" t="str">
        <x:v>MIN</x:v>
      </x:c>
      <x:c r="J2314" t="n">
        <x:v>35</x:v>
      </x:c>
      <x:c r="K2314" t="str">
        <x:v>16-W.Reichard kicks 65 yards from MIN 35 to end zone, Touchback to the DAL 35.</x:v>
      </x:c>
      <x:c r="L2314" t="str">
        <x:v>kickoff</x:v>
      </x:c>
      <x:c r="M2314" t="n">
        <x:v>0</x:v>
      </x:c>
      <x:c r="N2314" t="n">
        <x:v>0</x:v>
      </x:c>
      <x:c r="O2314" t="n">
        <x:v>0</x:v>
      </x:c>
      <x:c r="P2314"/>
      <x:c r="Q2314"/>
      <x:c r="R2314"/>
      <x:c r="S2314"/>
      <x:c r="T2314"/>
      <x:c r="U2314"/>
      <x:c r="V2314" t="n">
        <x:v>0</x:v>
      </x:c>
      <x:c r="W2314" t="n">
        <x:v>0</x:v>
      </x:c>
      <x:c r="X2314" t="n">
        <x:v>0</x:v>
      </x:c>
      <x:c r="Y2314" t="n">
        <x:v>0</x:v>
      </x:c>
      <x:c r="Z2314" t="n">
        <x:v>0</x:v>
      </x:c>
      <x:c r="AA2314" t="n">
        <x:v>0</x:v>
      </x:c>
      <x:c r="AB2314"/>
      <x:c r="AC2314" t="n">
        <x:v>0</x:v>
      </x:c>
      <x:c r="AD2314" t="n">
        <x:v>0.1996309101814404</x:v>
      </x:c>
      <x:c r="AE2314" t="n">
        <x:v>1</x:v>
      </x:c>
      <x:c r="AF2314" t="n">
        <x:v>0.001961696892976761</x:v>
      </x:c>
      <x:c r="AG2314" t="n">
        <x:f>_xlfn.XLOOKUP($A2314,Games!$A$2:$A$18,Games!$B$2:$B$18,"Missing game",0)</x:f>
        <x:v>2025</x:v>
      </x:c>
      <x:c r="AH2314" t="str">
        <x:f>_xlfn.XLOOKUP($A2314,Games!$A$2:$A$18,Games!$C$2:$C$18,"Missing game",0)</x:f>
        <x:v>REG</x:v>
      </x:c>
      <x:c r="AI2314" t="n">
        <x:f>_xlfn.XLOOKUP($A2314,Games!$A$2:$A$18,Games!$D$2:$D$18,"Missing game",0)</x:f>
        <x:v>15</x:v>
      </x:c>
      <x:c r="AJ2314" s="1" t="n">
        <x:f>_xlfn.XLOOKUP($A2314,Games!$A$2:$A$18,Games!$E$2:$E$18,"Missing game",0)</x:f>
        <x:v>46005</x:v>
      </x:c>
      <x:c r="AK2314" t="str">
        <x:f>_xlfn.XLOOKUP($A2314,Games!$A$2:$A$18,Games!$F$2:$F$18,"Missing game",0)</x:f>
        <x:v>Sunday</x:v>
      </x:c>
      <x:c r="AL2314" t="str">
        <x:f>_xlfn.XLOOKUP($A2314,Games!$A$2:$A$18,Games!$G$2:$G$18,"Missing game",0)</x:f>
        <x:v>MIN</x:v>
      </x:c>
      <x:c r="AM2314" t="n">
        <x:f>_xlfn.XLOOKUP($A2314,Games!$A$2:$A$18,Games!$H$2:$H$18,"Missing game",0)</x:f>
        <x:v>34</x:v>
      </x:c>
      <x:c r="AN2314" t="str">
        <x:f>_xlfn.XLOOKUP($A2314,Games!$A$2:$A$18,Games!$I$2:$I$18,"Missing game",0)</x:f>
        <x:v>DAL</x:v>
      </x:c>
      <x:c r="AO2314" t="n">
        <x:f>_xlfn.XLOOKUP($A2314,Games!$A$2:$A$18,Games!$J$2:$J$18,"Missing game",0)</x:f>
        <x:v>26</x:v>
      </x:c>
      <x:c r="AP2314" t="n">
        <x:f>_xlfn.XLOOKUP($A2314,Games!$A$2:$A$18,Games!$K$2:$K$18,"Missing game",0)</x:f>
        <x:v>-8</x:v>
      </x:c>
      <x:c r="AQ2314" t="n">
        <x:f>_xlfn.XLOOKUP($A2314,Games!$A$2:$A$18,Games!$L$2:$L$18,"Missing game",0)</x:f>
        <x:v>60</x:v>
      </x:c>
      <x:c r="AR2314" t="n">
        <x:f>_xlfn.XLOOKUP($A2314,Games!$A$2:$A$18,Games!$M$2:$M$18,"Missing game",0)</x:f>
        <x:v>0</x:v>
      </x:c>
      <x:c r="AS2314" t="str">
        <x:f>_xlfn.XLOOKUP($A2314,Games!$A$2:$A$18,Games!$N$2:$N$18,"Missing game",0)</x:f>
        <x:v>closed</x:v>
      </x:c>
      <x:c r="AT2314" t="str">
        <x:f>_xlfn.XLOOKUP($A2314,Games!$A$2:$A$18,Games!$O$2:$O$18,"Missing game",0)</x:f>
        <x:v>matrixturf</x:v>
      </x:c>
      <x:c r="AU2314" t="str">
        <x:f>_xlfn.XLOOKUP($A2314,Games!$A$2:$A$18,Games!$P$2:$P$18,"Missing game",0)</x:f>
      </x:c>
      <x:c r="AV2314" t="str">
        <x:f>_xlfn.XLOOKUP($A2314,Games!$A$2:$A$18,Games!$Q$2:$Q$18,"Missing game",0)</x:f>
      </x:c>
      <x:c r="AW2314" t="str">
        <x:f>_xlfn.XLOOKUP($A2314,Games!$A$2:$A$18,Games!$R$2:$R$18,"Missing game",0)</x:f>
        <x:v>AT&amp;T Stadium</x:v>
      </x:c>
    </x:row>
    <x:row r="2315">
      <x:c r="A2315" t="str">
        <x:v>2025_15_MIN_DAL</x:v>
      </x:c>
      <x:c r="B2315" t="n">
        <x:v>3990</x:v>
      </x:c>
      <x:c r="C2315" t="n">
        <x:v>4</x:v>
      </x:c>
      <x:c r="D2315" t="str">
        <x:v>01:08</x:v>
      </x:c>
      <x:c r="E2315" t="n">
        <x:v>1</x:v>
      </x:c>
      <x:c r="F2315" t="n">
        <x:v>10</x:v>
      </x:c>
      <x:c r="G2315" t="str">
        <x:v>DAL</x:v>
      </x:c>
      <x:c r="H2315" t="str">
        <x:v>MIN</x:v>
      </x:c>
      <x:c r="I2315" t="str">
        <x:v>DAL</x:v>
      </x:c>
      <x:c r="J2315" t="n">
        <x:v>65</x:v>
      </x:c>
      <x:c r="K2315" t="str">
        <x:v>(1:08) (Shotgun) 4-D.Prescott pass incomplete deep middle to 19-R.Flournoy.</x:v>
      </x:c>
      <x:c r="L2315" t="str">
        <x:v>pass</x:v>
      </x:c>
      <x:c r="M2315" t="n">
        <x:v>0</x:v>
      </x:c>
      <x:c r="N2315" t="n">
        <x:v>1</x:v>
      </x:c>
      <x:c r="O2315" t="n">
        <x:v>0</x:v>
      </x:c>
      <x:c r="P2315" t="str">
        <x:v>deep</x:v>
      </x:c>
      <x:c r="Q2315" t="str">
        <x:v>middle</x:v>
      </x:c>
      <x:c r="R2315" t="n">
        <x:v>36</x:v>
      </x:c>
      <x:c r="S2315"/>
      <x:c r="T2315"/>
      <x:c r="U2315"/>
      <x:c r="V2315" t="n">
        <x:v>0</x:v>
      </x:c>
      <x:c r="W2315" t="n">
        <x:v>0</x:v>
      </x:c>
      <x:c r="X2315" t="n">
        <x:v>0</x:v>
      </x:c>
      <x:c r="Y2315" t="n">
        <x:v>0</x:v>
      </x:c>
      <x:c r="Z2315" t="n">
        <x:v>0</x:v>
      </x:c>
      <x:c r="AA2315" t="n">
        <x:v>0</x:v>
      </x:c>
      <x:c r="AB2315"/>
      <x:c r="AC2315" t="n">
        <x:v>0</x:v>
      </x:c>
      <x:c r="AD2315" t="n">
        <x:v>-0.281459599849768</x:v>
      </x:c>
      <x:c r="AE2315" t="n">
        <x:v>0</x:v>
      </x:c>
      <x:c r="AF2315" t="n">
        <x:v>-0.0035421261563897133</x:v>
      </x:c>
      <x:c r="AG2315" t="n">
        <x:f>_xlfn.XLOOKUP($A2315,Games!$A$2:$A$18,Games!$B$2:$B$18,"Missing game",0)</x:f>
        <x:v>2025</x:v>
      </x:c>
      <x:c r="AH2315" t="str">
        <x:f>_xlfn.XLOOKUP($A2315,Games!$A$2:$A$18,Games!$C$2:$C$18,"Missing game",0)</x:f>
        <x:v>REG</x:v>
      </x:c>
      <x:c r="AI2315" t="n">
        <x:f>_xlfn.XLOOKUP($A2315,Games!$A$2:$A$18,Games!$D$2:$D$18,"Missing game",0)</x:f>
        <x:v>15</x:v>
      </x:c>
      <x:c r="AJ2315" s="1" t="n">
        <x:f>_xlfn.XLOOKUP($A2315,Games!$A$2:$A$18,Games!$E$2:$E$18,"Missing game",0)</x:f>
        <x:v>46005</x:v>
      </x:c>
      <x:c r="AK2315" t="str">
        <x:f>_xlfn.XLOOKUP($A2315,Games!$A$2:$A$18,Games!$F$2:$F$18,"Missing game",0)</x:f>
        <x:v>Sunday</x:v>
      </x:c>
      <x:c r="AL2315" t="str">
        <x:f>_xlfn.XLOOKUP($A2315,Games!$A$2:$A$18,Games!$G$2:$G$18,"Missing game",0)</x:f>
        <x:v>MIN</x:v>
      </x:c>
      <x:c r="AM2315" t="n">
        <x:f>_xlfn.XLOOKUP($A2315,Games!$A$2:$A$18,Games!$H$2:$H$18,"Missing game",0)</x:f>
        <x:v>34</x:v>
      </x:c>
      <x:c r="AN2315" t="str">
        <x:f>_xlfn.XLOOKUP($A2315,Games!$A$2:$A$18,Games!$I$2:$I$18,"Missing game",0)</x:f>
        <x:v>DAL</x:v>
      </x:c>
      <x:c r="AO2315" t="n">
        <x:f>_xlfn.XLOOKUP($A2315,Games!$A$2:$A$18,Games!$J$2:$J$18,"Missing game",0)</x:f>
        <x:v>26</x:v>
      </x:c>
      <x:c r="AP2315" t="n">
        <x:f>_xlfn.XLOOKUP($A2315,Games!$A$2:$A$18,Games!$K$2:$K$18,"Missing game",0)</x:f>
        <x:v>-8</x:v>
      </x:c>
      <x:c r="AQ2315" t="n">
        <x:f>_xlfn.XLOOKUP($A2315,Games!$A$2:$A$18,Games!$L$2:$L$18,"Missing game",0)</x:f>
        <x:v>60</x:v>
      </x:c>
      <x:c r="AR2315" t="n">
        <x:f>_xlfn.XLOOKUP($A2315,Games!$A$2:$A$18,Games!$M$2:$M$18,"Missing game",0)</x:f>
        <x:v>0</x:v>
      </x:c>
      <x:c r="AS2315" t="str">
        <x:f>_xlfn.XLOOKUP($A2315,Games!$A$2:$A$18,Games!$N$2:$N$18,"Missing game",0)</x:f>
        <x:v>closed</x:v>
      </x:c>
      <x:c r="AT2315" t="str">
        <x:f>_xlfn.XLOOKUP($A2315,Games!$A$2:$A$18,Games!$O$2:$O$18,"Missing game",0)</x:f>
        <x:v>matrixturf</x:v>
      </x:c>
      <x:c r="AU2315" t="str">
        <x:f>_xlfn.XLOOKUP($A2315,Games!$A$2:$A$18,Games!$P$2:$P$18,"Missing game",0)</x:f>
      </x:c>
      <x:c r="AV2315" t="str">
        <x:f>_xlfn.XLOOKUP($A2315,Games!$A$2:$A$18,Games!$Q$2:$Q$18,"Missing game",0)</x:f>
      </x:c>
      <x:c r="AW2315" t="str">
        <x:f>_xlfn.XLOOKUP($A2315,Games!$A$2:$A$18,Games!$R$2:$R$18,"Missing game",0)</x:f>
        <x:v>AT&amp;T Stadium</x:v>
      </x:c>
    </x:row>
    <x:row r="2316">
      <x:c r="A2316" t="str">
        <x:v>2025_15_MIN_DAL</x:v>
      </x:c>
      <x:c r="B2316" t="n">
        <x:v>4013</x:v>
      </x:c>
      <x:c r="C2316" t="n">
        <x:v>4</x:v>
      </x:c>
      <x:c r="D2316" t="str">
        <x:v>01:00</x:v>
      </x:c>
      <x:c r="E2316" t="n">
        <x:v>2</x:v>
      </x:c>
      <x:c r="F2316" t="n">
        <x:v>10</x:v>
      </x:c>
      <x:c r="G2316" t="str">
        <x:v>DAL</x:v>
      </x:c>
      <x:c r="H2316" t="str">
        <x:v>MIN</x:v>
      </x:c>
      <x:c r="I2316" t="str">
        <x:v>DAL</x:v>
      </x:c>
      <x:c r="J2316" t="n">
        <x:v>65</x:v>
      </x:c>
      <x:c r="K2316" t="str">
        <x:v>(1:00) (Shotgun) 4-D.Prescott pass deep middle to 81-J.Mingo to MIN 40 for 25 yards (2-I.Rodgers). MIN-2-I.Rodgers was injured during the play.</x:v>
      </x:c>
      <x:c r="L2316" t="str">
        <x:v>pass</x:v>
      </x:c>
      <x:c r="M2316" t="n">
        <x:v>25</x:v>
      </x:c>
      <x:c r="N2316" t="n">
        <x:v>1</x:v>
      </x:c>
      <x:c r="O2316" t="n">
        <x:v>0</x:v>
      </x:c>
      <x:c r="P2316" t="str">
        <x:v>deep</x:v>
      </x:c>
      <x:c r="Q2316" t="str">
        <x:v>middle</x:v>
      </x:c>
      <x:c r="R2316" t="n">
        <x:v>21</x:v>
      </x:c>
      <x:c r="S2316" t="n">
        <x:v>4</x:v>
      </x:c>
      <x:c r="T2316"/>
      <x:c r="U2316"/>
      <x:c r="V2316" t="n">
        <x:v>1</x:v>
      </x:c>
      <x:c r="W2316" t="n">
        <x:v>1</x:v>
      </x:c>
      <x:c r="X2316" t="n">
        <x:v>0</x:v>
      </x:c>
      <x:c r="Y2316" t="n">
        <x:v>0</x:v>
      </x:c>
      <x:c r="Z2316" t="n">
        <x:v>0</x:v>
      </x:c>
      <x:c r="AA2316" t="n">
        <x:v>0</x:v>
      </x:c>
      <x:c r="AB2316"/>
      <x:c r="AC2316" t="n">
        <x:v>0</x:v>
      </x:c>
      <x:c r="AD2316" t="n">
        <x:v>1.1662238921853714</x:v>
      </x:c>
      <x:c r="AE2316" t="n">
        <x:v>1</x:v>
      </x:c>
      <x:c r="AF2316" t="n">
        <x:v>0.013505301438272</x:v>
      </x:c>
      <x:c r="AG2316" t="n">
        <x:f>_xlfn.XLOOKUP($A2316,Games!$A$2:$A$18,Games!$B$2:$B$18,"Missing game",0)</x:f>
        <x:v>2025</x:v>
      </x:c>
      <x:c r="AH2316" t="str">
        <x:f>_xlfn.XLOOKUP($A2316,Games!$A$2:$A$18,Games!$C$2:$C$18,"Missing game",0)</x:f>
        <x:v>REG</x:v>
      </x:c>
      <x:c r="AI2316" t="n">
        <x:f>_xlfn.XLOOKUP($A2316,Games!$A$2:$A$18,Games!$D$2:$D$18,"Missing game",0)</x:f>
        <x:v>15</x:v>
      </x:c>
      <x:c r="AJ2316" s="1" t="n">
        <x:f>_xlfn.XLOOKUP($A2316,Games!$A$2:$A$18,Games!$E$2:$E$18,"Missing game",0)</x:f>
        <x:v>46005</x:v>
      </x:c>
      <x:c r="AK2316" t="str">
        <x:f>_xlfn.XLOOKUP($A2316,Games!$A$2:$A$18,Games!$F$2:$F$18,"Missing game",0)</x:f>
        <x:v>Sunday</x:v>
      </x:c>
      <x:c r="AL2316" t="str">
        <x:f>_xlfn.XLOOKUP($A2316,Games!$A$2:$A$18,Games!$G$2:$G$18,"Missing game",0)</x:f>
        <x:v>MIN</x:v>
      </x:c>
      <x:c r="AM2316" t="n">
        <x:f>_xlfn.XLOOKUP($A2316,Games!$A$2:$A$18,Games!$H$2:$H$18,"Missing game",0)</x:f>
        <x:v>34</x:v>
      </x:c>
      <x:c r="AN2316" t="str">
        <x:f>_xlfn.XLOOKUP($A2316,Games!$A$2:$A$18,Games!$I$2:$I$18,"Missing game",0)</x:f>
        <x:v>DAL</x:v>
      </x:c>
      <x:c r="AO2316" t="n">
        <x:f>_xlfn.XLOOKUP($A2316,Games!$A$2:$A$18,Games!$J$2:$J$18,"Missing game",0)</x:f>
        <x:v>26</x:v>
      </x:c>
      <x:c r="AP2316" t="n">
        <x:f>_xlfn.XLOOKUP($A2316,Games!$A$2:$A$18,Games!$K$2:$K$18,"Missing game",0)</x:f>
        <x:v>-8</x:v>
      </x:c>
      <x:c r="AQ2316" t="n">
        <x:f>_xlfn.XLOOKUP($A2316,Games!$A$2:$A$18,Games!$L$2:$L$18,"Missing game",0)</x:f>
        <x:v>60</x:v>
      </x:c>
      <x:c r="AR2316" t="n">
        <x:f>_xlfn.XLOOKUP($A2316,Games!$A$2:$A$18,Games!$M$2:$M$18,"Missing game",0)</x:f>
        <x:v>0</x:v>
      </x:c>
      <x:c r="AS2316" t="str">
        <x:f>_xlfn.XLOOKUP($A2316,Games!$A$2:$A$18,Games!$N$2:$N$18,"Missing game",0)</x:f>
        <x:v>closed</x:v>
      </x:c>
      <x:c r="AT2316" t="str">
        <x:f>_xlfn.XLOOKUP($A2316,Games!$A$2:$A$18,Games!$O$2:$O$18,"Missing game",0)</x:f>
        <x:v>matrixturf</x:v>
      </x:c>
      <x:c r="AU2316" t="str">
        <x:f>_xlfn.XLOOKUP($A2316,Games!$A$2:$A$18,Games!$P$2:$P$18,"Missing game",0)</x:f>
      </x:c>
      <x:c r="AV2316" t="str">
        <x:f>_xlfn.XLOOKUP($A2316,Games!$A$2:$A$18,Games!$Q$2:$Q$18,"Missing game",0)</x:f>
      </x:c>
      <x:c r="AW2316" t="str">
        <x:f>_xlfn.XLOOKUP($A2316,Games!$A$2:$A$18,Games!$R$2:$R$18,"Missing game",0)</x:f>
        <x:v>AT&amp;T Stadium</x:v>
      </x:c>
    </x:row>
    <x:row r="2317">
      <x:c r="A2317" t="str">
        <x:v>2025_15_MIN_DAL</x:v>
      </x:c>
      <x:c r="B2317" t="n">
        <x:v>4041</x:v>
      </x:c>
      <x:c r="C2317" t="n">
        <x:v>4</x:v>
      </x:c>
      <x:c r="D2317" t="str">
        <x:v>00:44</x:v>
      </x:c>
      <x:c r="E2317" t="n">
        <x:v>1</x:v>
      </x:c>
      <x:c r="F2317" t="n">
        <x:v>10</x:v>
      </x:c>
      <x:c r="G2317" t="str">
        <x:v>DAL</x:v>
      </x:c>
      <x:c r="H2317" t="str">
        <x:v>MIN</x:v>
      </x:c>
      <x:c r="I2317" t="str">
        <x:v>MIN</x:v>
      </x:c>
      <x:c r="J2317" t="n">
        <x:v>40</x:v>
      </x:c>
      <x:c r="K2317" t="str">
        <x:v>(:44) (Shotgun) 4-D.Prescott pass deep middle to 88-C.Lamb to MIN 23 for 17 yards (44-J.Metellus).</x:v>
      </x:c>
      <x:c r="L2317" t="str">
        <x:v>pass</x:v>
      </x:c>
      <x:c r="M2317" t="n">
        <x:v>17</x:v>
      </x:c>
      <x:c r="N2317" t="n">
        <x:v>1</x:v>
      </x:c>
      <x:c r="O2317" t="n">
        <x:v>0</x:v>
      </x:c>
      <x:c r="P2317" t="str">
        <x:v>deep</x:v>
      </x:c>
      <x:c r="Q2317" t="str">
        <x:v>middle</x:v>
      </x:c>
      <x:c r="R2317" t="n">
        <x:v>17</x:v>
      </x:c>
      <x:c r="S2317" t="n">
        <x:v>0</x:v>
      </x:c>
      <x:c r="T2317"/>
      <x:c r="U2317"/>
      <x:c r="V2317" t="n">
        <x:v>1</x:v>
      </x:c>
      <x:c r="W2317" t="n">
        <x:v>1</x:v>
      </x:c>
      <x:c r="X2317" t="n">
        <x:v>0</x:v>
      </x:c>
      <x:c r="Y2317" t="n">
        <x:v>0</x:v>
      </x:c>
      <x:c r="Z2317" t="n">
        <x:v>0</x:v>
      </x:c>
      <x:c r="AA2317" t="n">
        <x:v>0</x:v>
      </x:c>
      <x:c r="AB2317"/>
      <x:c r="AC2317" t="n">
        <x:v>0</x:v>
      </x:c>
      <x:c r="AD2317" t="n">
        <x:v>0.8776844703825191</x:v>
      </x:c>
      <x:c r="AE2317" t="n">
        <x:v>1</x:v>
      </x:c>
      <x:c r="AF2317" t="n">
        <x:v>0.001497063785791397</x:v>
      </x:c>
      <x:c r="AG2317" t="n">
        <x:f>_xlfn.XLOOKUP($A2317,Games!$A$2:$A$18,Games!$B$2:$B$18,"Missing game",0)</x:f>
        <x:v>2025</x:v>
      </x:c>
      <x:c r="AH2317" t="str">
        <x:f>_xlfn.XLOOKUP($A2317,Games!$A$2:$A$18,Games!$C$2:$C$18,"Missing game",0)</x:f>
        <x:v>REG</x:v>
      </x:c>
      <x:c r="AI2317" t="n">
        <x:f>_xlfn.XLOOKUP($A2317,Games!$A$2:$A$18,Games!$D$2:$D$18,"Missing game",0)</x:f>
        <x:v>15</x:v>
      </x:c>
      <x:c r="AJ2317" s="1" t="n">
        <x:f>_xlfn.XLOOKUP($A2317,Games!$A$2:$A$18,Games!$E$2:$E$18,"Missing game",0)</x:f>
        <x:v>46005</x:v>
      </x:c>
      <x:c r="AK2317" t="str">
        <x:f>_xlfn.XLOOKUP($A2317,Games!$A$2:$A$18,Games!$F$2:$F$18,"Missing game",0)</x:f>
        <x:v>Sunday</x:v>
      </x:c>
      <x:c r="AL2317" t="str">
        <x:f>_xlfn.XLOOKUP($A2317,Games!$A$2:$A$18,Games!$G$2:$G$18,"Missing game",0)</x:f>
        <x:v>MIN</x:v>
      </x:c>
      <x:c r="AM2317" t="n">
        <x:f>_xlfn.XLOOKUP($A2317,Games!$A$2:$A$18,Games!$H$2:$H$18,"Missing game",0)</x:f>
        <x:v>34</x:v>
      </x:c>
      <x:c r="AN2317" t="str">
        <x:f>_xlfn.XLOOKUP($A2317,Games!$A$2:$A$18,Games!$I$2:$I$18,"Missing game",0)</x:f>
        <x:v>DAL</x:v>
      </x:c>
      <x:c r="AO2317" t="n">
        <x:f>_xlfn.XLOOKUP($A2317,Games!$A$2:$A$18,Games!$J$2:$J$18,"Missing game",0)</x:f>
        <x:v>26</x:v>
      </x:c>
      <x:c r="AP2317" t="n">
        <x:f>_xlfn.XLOOKUP($A2317,Games!$A$2:$A$18,Games!$K$2:$K$18,"Missing game",0)</x:f>
        <x:v>-8</x:v>
      </x:c>
      <x:c r="AQ2317" t="n">
        <x:f>_xlfn.XLOOKUP($A2317,Games!$A$2:$A$18,Games!$L$2:$L$18,"Missing game",0)</x:f>
        <x:v>60</x:v>
      </x:c>
      <x:c r="AR2317" t="n">
        <x:f>_xlfn.XLOOKUP($A2317,Games!$A$2:$A$18,Games!$M$2:$M$18,"Missing game",0)</x:f>
        <x:v>0</x:v>
      </x:c>
      <x:c r="AS2317" t="str">
        <x:f>_xlfn.XLOOKUP($A2317,Games!$A$2:$A$18,Games!$N$2:$N$18,"Missing game",0)</x:f>
        <x:v>closed</x:v>
      </x:c>
      <x:c r="AT2317" t="str">
        <x:f>_xlfn.XLOOKUP($A2317,Games!$A$2:$A$18,Games!$O$2:$O$18,"Missing game",0)</x:f>
        <x:v>matrixturf</x:v>
      </x:c>
      <x:c r="AU2317" t="str">
        <x:f>_xlfn.XLOOKUP($A2317,Games!$A$2:$A$18,Games!$P$2:$P$18,"Missing game",0)</x:f>
      </x:c>
      <x:c r="AV2317" t="str">
        <x:f>_xlfn.XLOOKUP($A2317,Games!$A$2:$A$18,Games!$Q$2:$Q$18,"Missing game",0)</x:f>
      </x:c>
      <x:c r="AW2317" t="str">
        <x:f>_xlfn.XLOOKUP($A2317,Games!$A$2:$A$18,Games!$R$2:$R$18,"Missing game",0)</x:f>
        <x:v>AT&amp;T Stadium</x:v>
      </x:c>
    </x:row>
    <x:row r="2318">
      <x:c r="A2318" t="str">
        <x:v>2025_15_MIN_DAL</x:v>
      </x:c>
      <x:c r="B2318" t="n">
        <x:v>4053</x:v>
      </x:c>
      <x:c r="C2318" t="n">
        <x:v>4</x:v>
      </x:c>
      <x:c r="D2318" t="str">
        <x:v>00:44</x:v>
      </x:c>
      <x:c r="E2318"/>
      <x:c r="F2318" t="n">
        <x:v>0</x:v>
      </x:c>
      <x:c r="G2318"/>
      <x:c r="H2318"/>
      <x:c r="I2318"/>
      <x:c r="J2318"/>
      <x:c r="K2318" t="str">
        <x:v>Timeout #3 by MIN at 00:44.</x:v>
      </x:c>
      <x:c r="L2318" t="str">
        <x:v>no_play</x:v>
      </x:c>
      <x:c r="M2318" t="n">
        <x:v>0</x:v>
      </x:c>
      <x:c r="N2318" t="n">
        <x:v>0</x:v>
      </x:c>
      <x:c r="O2318" t="n">
        <x:v>0</x:v>
      </x:c>
      <x:c r="P2318"/>
      <x:c r="Q2318"/>
      <x:c r="R2318"/>
      <x:c r="S2318"/>
      <x:c r="T2318"/>
      <x:c r="U2318"/>
      <x:c r="V2318" t="n">
        <x:v>0</x:v>
      </x:c>
      <x:c r="W2318" t="n">
        <x:v>0</x:v>
      </x:c>
      <x:c r="X2318" t="n">
        <x:v>0</x:v>
      </x:c>
      <x:c r="Y2318" t="n">
        <x:v>0</x:v>
      </x:c>
      <x:c r="Z2318" t="n">
        <x:v>0</x:v>
      </x:c>
      <x:c r="AA2318" t="n">
        <x:v>0</x:v>
      </x:c>
      <x:c r="AB2318"/>
      <x:c r="AC2318" t="n">
        <x:v>0</x:v>
      </x:c>
      <x:c r="AD2318" t="n">
        <x:v>0</x:v>
      </x:c>
      <x:c r="AE2318" t="n">
        <x:v>0</x:v>
      </x:c>
      <x:c r="AF2318" t="n">
        <x:v>0</x:v>
      </x:c>
      <x:c r="AG2318" t="n">
        <x:f>_xlfn.XLOOKUP($A2318,Games!$A$2:$A$18,Games!$B$2:$B$18,"Missing game",0)</x:f>
        <x:v>2025</x:v>
      </x:c>
      <x:c r="AH2318" t="str">
        <x:f>_xlfn.XLOOKUP($A2318,Games!$A$2:$A$18,Games!$C$2:$C$18,"Missing game",0)</x:f>
        <x:v>REG</x:v>
      </x:c>
      <x:c r="AI2318" t="n">
        <x:f>_xlfn.XLOOKUP($A2318,Games!$A$2:$A$18,Games!$D$2:$D$18,"Missing game",0)</x:f>
        <x:v>15</x:v>
      </x:c>
      <x:c r="AJ2318" s="1" t="n">
        <x:f>_xlfn.XLOOKUP($A2318,Games!$A$2:$A$18,Games!$E$2:$E$18,"Missing game",0)</x:f>
        <x:v>46005</x:v>
      </x:c>
      <x:c r="AK2318" t="str">
        <x:f>_xlfn.XLOOKUP($A2318,Games!$A$2:$A$18,Games!$F$2:$F$18,"Missing game",0)</x:f>
        <x:v>Sunday</x:v>
      </x:c>
      <x:c r="AL2318" t="str">
        <x:f>_xlfn.XLOOKUP($A2318,Games!$A$2:$A$18,Games!$G$2:$G$18,"Missing game",0)</x:f>
        <x:v>MIN</x:v>
      </x:c>
      <x:c r="AM2318" t="n">
        <x:f>_xlfn.XLOOKUP($A2318,Games!$A$2:$A$18,Games!$H$2:$H$18,"Missing game",0)</x:f>
        <x:v>34</x:v>
      </x:c>
      <x:c r="AN2318" t="str">
        <x:f>_xlfn.XLOOKUP($A2318,Games!$A$2:$A$18,Games!$I$2:$I$18,"Missing game",0)</x:f>
        <x:v>DAL</x:v>
      </x:c>
      <x:c r="AO2318" t="n">
        <x:f>_xlfn.XLOOKUP($A2318,Games!$A$2:$A$18,Games!$J$2:$J$18,"Missing game",0)</x:f>
        <x:v>26</x:v>
      </x:c>
      <x:c r="AP2318" t="n">
        <x:f>_xlfn.XLOOKUP($A2318,Games!$A$2:$A$18,Games!$K$2:$K$18,"Missing game",0)</x:f>
        <x:v>-8</x:v>
      </x:c>
      <x:c r="AQ2318" t="n">
        <x:f>_xlfn.XLOOKUP($A2318,Games!$A$2:$A$18,Games!$L$2:$L$18,"Missing game",0)</x:f>
        <x:v>60</x:v>
      </x:c>
      <x:c r="AR2318" t="n">
        <x:f>_xlfn.XLOOKUP($A2318,Games!$A$2:$A$18,Games!$M$2:$M$18,"Missing game",0)</x:f>
        <x:v>0</x:v>
      </x:c>
      <x:c r="AS2318" t="str">
        <x:f>_xlfn.XLOOKUP($A2318,Games!$A$2:$A$18,Games!$N$2:$N$18,"Missing game",0)</x:f>
        <x:v>closed</x:v>
      </x:c>
      <x:c r="AT2318" t="str">
        <x:f>_xlfn.XLOOKUP($A2318,Games!$A$2:$A$18,Games!$O$2:$O$18,"Missing game",0)</x:f>
        <x:v>matrixturf</x:v>
      </x:c>
      <x:c r="AU2318" t="str">
        <x:f>_xlfn.XLOOKUP($A2318,Games!$A$2:$A$18,Games!$P$2:$P$18,"Missing game",0)</x:f>
      </x:c>
      <x:c r="AV2318" t="str">
        <x:f>_xlfn.XLOOKUP($A2318,Games!$A$2:$A$18,Games!$Q$2:$Q$18,"Missing game",0)</x:f>
      </x:c>
      <x:c r="AW2318" t="str">
        <x:f>_xlfn.XLOOKUP($A2318,Games!$A$2:$A$18,Games!$R$2:$R$18,"Missing game",0)</x:f>
        <x:v>AT&amp;T Stadium</x:v>
      </x:c>
    </x:row>
    <x:row r="2319">
      <x:c r="A2319" t="str">
        <x:v>2025_15_MIN_DAL</x:v>
      </x:c>
      <x:c r="B2319" t="n">
        <x:v>4073</x:v>
      </x:c>
      <x:c r="C2319" t="n">
        <x:v>4</x:v>
      </x:c>
      <x:c r="D2319" t="str">
        <x:v>00:28</x:v>
      </x:c>
      <x:c r="E2319" t="n">
        <x:v>1</x:v>
      </x:c>
      <x:c r="F2319" t="n">
        <x:v>10</x:v>
      </x:c>
      <x:c r="G2319" t="str">
        <x:v>DAL</x:v>
      </x:c>
      <x:c r="H2319" t="str">
        <x:v>MIN</x:v>
      </x:c>
      <x:c r="I2319" t="str">
        <x:v>MIN</x:v>
      </x:c>
      <x:c r="J2319" t="n">
        <x:v>23</x:v>
      </x:c>
      <x:c r="K2319" t="str">
        <x:v>(:28) (No Huddle, Shotgun) 4-D.Prescott pass incomplete deep middle to 87-J.Ferguson.</x:v>
      </x:c>
      <x:c r="L2319" t="str">
        <x:v>pass</x:v>
      </x:c>
      <x:c r="M2319" t="n">
        <x:v>0</x:v>
      </x:c>
      <x:c r="N2319" t="n">
        <x:v>1</x:v>
      </x:c>
      <x:c r="O2319" t="n">
        <x:v>1</x:v>
      </x:c>
      <x:c r="P2319" t="str">
        <x:v>deep</x:v>
      </x:c>
      <x:c r="Q2319" t="str">
        <x:v>middle</x:v>
      </x:c>
      <x:c r="R2319" t="n">
        <x:v>23</x:v>
      </x:c>
      <x:c r="S2319"/>
      <x:c r="T2319"/>
      <x:c r="U2319"/>
      <x:c r="V2319" t="n">
        <x:v>0</x:v>
      </x:c>
      <x:c r="W2319" t="n">
        <x:v>0</x:v>
      </x:c>
      <x:c r="X2319" t="n">
        <x:v>0</x:v>
      </x:c>
      <x:c r="Y2319" t="n">
        <x:v>0</x:v>
      </x:c>
      <x:c r="Z2319" t="n">
        <x:v>0</x:v>
      </x:c>
      <x:c r="AA2319" t="n">
        <x:v>0</x:v>
      </x:c>
      <x:c r="AB2319"/>
      <x:c r="AC2319" t="n">
        <x:v>0</x:v>
      </x:c>
      <x:c r="AD2319" t="n">
        <x:v>-0.18489751899710338</x:v>
      </x:c>
      <x:c r="AE2319" t="n">
        <x:v>0</x:v>
      </x:c>
      <x:c r="AF2319" t="n">
        <x:v>-0.0037050172686576843</x:v>
      </x:c>
      <x:c r="AG2319" t="n">
        <x:f>_xlfn.XLOOKUP($A2319,Games!$A$2:$A$18,Games!$B$2:$B$18,"Missing game",0)</x:f>
        <x:v>2025</x:v>
      </x:c>
      <x:c r="AH2319" t="str">
        <x:f>_xlfn.XLOOKUP($A2319,Games!$A$2:$A$18,Games!$C$2:$C$18,"Missing game",0)</x:f>
        <x:v>REG</x:v>
      </x:c>
      <x:c r="AI2319" t="n">
        <x:f>_xlfn.XLOOKUP($A2319,Games!$A$2:$A$18,Games!$D$2:$D$18,"Missing game",0)</x:f>
        <x:v>15</x:v>
      </x:c>
      <x:c r="AJ2319" s="1" t="n">
        <x:f>_xlfn.XLOOKUP($A2319,Games!$A$2:$A$18,Games!$E$2:$E$18,"Missing game",0)</x:f>
        <x:v>46005</x:v>
      </x:c>
      <x:c r="AK2319" t="str">
        <x:f>_xlfn.XLOOKUP($A2319,Games!$A$2:$A$18,Games!$F$2:$F$18,"Missing game",0)</x:f>
        <x:v>Sunday</x:v>
      </x:c>
      <x:c r="AL2319" t="str">
        <x:f>_xlfn.XLOOKUP($A2319,Games!$A$2:$A$18,Games!$G$2:$G$18,"Missing game",0)</x:f>
        <x:v>MIN</x:v>
      </x:c>
      <x:c r="AM2319" t="n">
        <x:f>_xlfn.XLOOKUP($A2319,Games!$A$2:$A$18,Games!$H$2:$H$18,"Missing game",0)</x:f>
        <x:v>34</x:v>
      </x:c>
      <x:c r="AN2319" t="str">
        <x:f>_xlfn.XLOOKUP($A2319,Games!$A$2:$A$18,Games!$I$2:$I$18,"Missing game",0)</x:f>
        <x:v>DAL</x:v>
      </x:c>
      <x:c r="AO2319" t="n">
        <x:f>_xlfn.XLOOKUP($A2319,Games!$A$2:$A$18,Games!$J$2:$J$18,"Missing game",0)</x:f>
        <x:v>26</x:v>
      </x:c>
      <x:c r="AP2319" t="n">
        <x:f>_xlfn.XLOOKUP($A2319,Games!$A$2:$A$18,Games!$K$2:$K$18,"Missing game",0)</x:f>
        <x:v>-8</x:v>
      </x:c>
      <x:c r="AQ2319" t="n">
        <x:f>_xlfn.XLOOKUP($A2319,Games!$A$2:$A$18,Games!$L$2:$L$18,"Missing game",0)</x:f>
        <x:v>60</x:v>
      </x:c>
      <x:c r="AR2319" t="n">
        <x:f>_xlfn.XLOOKUP($A2319,Games!$A$2:$A$18,Games!$M$2:$M$18,"Missing game",0)</x:f>
        <x:v>0</x:v>
      </x:c>
      <x:c r="AS2319" t="str">
        <x:f>_xlfn.XLOOKUP($A2319,Games!$A$2:$A$18,Games!$N$2:$N$18,"Missing game",0)</x:f>
        <x:v>closed</x:v>
      </x:c>
      <x:c r="AT2319" t="str">
        <x:f>_xlfn.XLOOKUP($A2319,Games!$A$2:$A$18,Games!$O$2:$O$18,"Missing game",0)</x:f>
        <x:v>matrixturf</x:v>
      </x:c>
      <x:c r="AU2319" t="str">
        <x:f>_xlfn.XLOOKUP($A2319,Games!$A$2:$A$18,Games!$P$2:$P$18,"Missing game",0)</x:f>
      </x:c>
      <x:c r="AV2319" t="str">
        <x:f>_xlfn.XLOOKUP($A2319,Games!$A$2:$A$18,Games!$Q$2:$Q$18,"Missing game",0)</x:f>
      </x:c>
      <x:c r="AW2319" t="str">
        <x:f>_xlfn.XLOOKUP($A2319,Games!$A$2:$A$18,Games!$R$2:$R$18,"Missing game",0)</x:f>
        <x:v>AT&amp;T Stadium</x:v>
      </x:c>
    </x:row>
    <x:row r="2320">
      <x:c r="A2320" t="str">
        <x:v>2025_15_MIN_DAL</x:v>
      </x:c>
      <x:c r="B2320" t="n">
        <x:v>4096</x:v>
      </x:c>
      <x:c r="C2320" t="n">
        <x:v>4</x:v>
      </x:c>
      <x:c r="D2320" t="str">
        <x:v>00:23</x:v>
      </x:c>
      <x:c r="E2320" t="n">
        <x:v>2</x:v>
      </x:c>
      <x:c r="F2320" t="n">
        <x:v>10</x:v>
      </x:c>
      <x:c r="G2320" t="str">
        <x:v>DAL</x:v>
      </x:c>
      <x:c r="H2320" t="str">
        <x:v>MIN</x:v>
      </x:c>
      <x:c r="I2320" t="str">
        <x:v>MIN</x:v>
      </x:c>
      <x:c r="J2320" t="n">
        <x:v>23</x:v>
      </x:c>
      <x:c r="K2320" t="str">
        <x:v>(:23) 17-B.Aubrey 41 yard field goal is GOOD, Center-44-T.Sieg, Holder-5-B.Anger.</x:v>
      </x:c>
      <x:c r="L2320" t="str">
        <x:v>field_goal</x:v>
      </x:c>
      <x:c r="M2320" t="n">
        <x:v>0</x:v>
      </x:c>
      <x:c r="N2320" t="n">
        <x:v>0</x:v>
      </x:c>
      <x:c r="O2320" t="n">
        <x:v>0</x:v>
      </x:c>
      <x:c r="P2320"/>
      <x:c r="Q2320"/>
      <x:c r="R2320"/>
      <x:c r="S2320"/>
      <x:c r="T2320"/>
      <x:c r="U2320"/>
      <x:c r="V2320" t="n">
        <x:v>0</x:v>
      </x:c>
      <x:c r="W2320" t="n">
        <x:v>0</x:v>
      </x:c>
      <x:c r="X2320" t="n">
        <x:v>0</x:v>
      </x:c>
      <x:c r="Y2320" t="n">
        <x:v>0</x:v>
      </x:c>
      <x:c r="Z2320" t="n">
        <x:v>0</x:v>
      </x:c>
      <x:c r="AA2320" t="n">
        <x:v>0</x:v>
      </x:c>
      <x:c r="AB2320"/>
      <x:c r="AC2320" t="n">
        <x:v>0</x:v>
      </x:c>
      <x:c r="AD2320" t="n">
        <x:v>0.48232569439664896</x:v>
      </x:c>
      <x:c r="AE2320" t="n">
        <x:v>1</x:v>
      </x:c>
      <x:c r="AF2320" t="n">
        <x:v>-0.012555478140711784</x:v>
      </x:c>
      <x:c r="AG2320" t="n">
        <x:f>_xlfn.XLOOKUP($A2320,Games!$A$2:$A$18,Games!$B$2:$B$18,"Missing game",0)</x:f>
        <x:v>2025</x:v>
      </x:c>
      <x:c r="AH2320" t="str">
        <x:f>_xlfn.XLOOKUP($A2320,Games!$A$2:$A$18,Games!$C$2:$C$18,"Missing game",0)</x:f>
        <x:v>REG</x:v>
      </x:c>
      <x:c r="AI2320" t="n">
        <x:f>_xlfn.XLOOKUP($A2320,Games!$A$2:$A$18,Games!$D$2:$D$18,"Missing game",0)</x:f>
        <x:v>15</x:v>
      </x:c>
      <x:c r="AJ2320" s="1" t="n">
        <x:f>_xlfn.XLOOKUP($A2320,Games!$A$2:$A$18,Games!$E$2:$E$18,"Missing game",0)</x:f>
        <x:v>46005</x:v>
      </x:c>
      <x:c r="AK2320" t="str">
        <x:f>_xlfn.XLOOKUP($A2320,Games!$A$2:$A$18,Games!$F$2:$F$18,"Missing game",0)</x:f>
        <x:v>Sunday</x:v>
      </x:c>
      <x:c r="AL2320" t="str">
        <x:f>_xlfn.XLOOKUP($A2320,Games!$A$2:$A$18,Games!$G$2:$G$18,"Missing game",0)</x:f>
        <x:v>MIN</x:v>
      </x:c>
      <x:c r="AM2320" t="n">
        <x:f>_xlfn.XLOOKUP($A2320,Games!$A$2:$A$18,Games!$H$2:$H$18,"Missing game",0)</x:f>
        <x:v>34</x:v>
      </x:c>
      <x:c r="AN2320" t="str">
        <x:f>_xlfn.XLOOKUP($A2320,Games!$A$2:$A$18,Games!$I$2:$I$18,"Missing game",0)</x:f>
        <x:v>DAL</x:v>
      </x:c>
      <x:c r="AO2320" t="n">
        <x:f>_xlfn.XLOOKUP($A2320,Games!$A$2:$A$18,Games!$J$2:$J$18,"Missing game",0)</x:f>
        <x:v>26</x:v>
      </x:c>
      <x:c r="AP2320" t="n">
        <x:f>_xlfn.XLOOKUP($A2320,Games!$A$2:$A$18,Games!$K$2:$K$18,"Missing game",0)</x:f>
        <x:v>-8</x:v>
      </x:c>
      <x:c r="AQ2320" t="n">
        <x:f>_xlfn.XLOOKUP($A2320,Games!$A$2:$A$18,Games!$L$2:$L$18,"Missing game",0)</x:f>
        <x:v>60</x:v>
      </x:c>
      <x:c r="AR2320" t="n">
        <x:f>_xlfn.XLOOKUP($A2320,Games!$A$2:$A$18,Games!$M$2:$M$18,"Missing game",0)</x:f>
        <x:v>0</x:v>
      </x:c>
      <x:c r="AS2320" t="str">
        <x:f>_xlfn.XLOOKUP($A2320,Games!$A$2:$A$18,Games!$N$2:$N$18,"Missing game",0)</x:f>
        <x:v>closed</x:v>
      </x:c>
      <x:c r="AT2320" t="str">
        <x:f>_xlfn.XLOOKUP($A2320,Games!$A$2:$A$18,Games!$O$2:$O$18,"Missing game",0)</x:f>
        <x:v>matrixturf</x:v>
      </x:c>
      <x:c r="AU2320" t="str">
        <x:f>_xlfn.XLOOKUP($A2320,Games!$A$2:$A$18,Games!$P$2:$P$18,"Missing game",0)</x:f>
      </x:c>
      <x:c r="AV2320" t="str">
        <x:f>_xlfn.XLOOKUP($A2320,Games!$A$2:$A$18,Games!$Q$2:$Q$18,"Missing game",0)</x:f>
      </x:c>
      <x:c r="AW2320" t="str">
        <x:f>_xlfn.XLOOKUP($A2320,Games!$A$2:$A$18,Games!$R$2:$R$18,"Missing game",0)</x:f>
        <x:v>AT&amp;T Stadium</x:v>
      </x:c>
    </x:row>
    <x:row r="2321">
      <x:c r="A2321" t="str">
        <x:v>2025_15_MIN_DAL</x:v>
      </x:c>
      <x:c r="B2321" t="n">
        <x:v>4116</x:v>
      </x:c>
      <x:c r="C2321" t="n">
        <x:v>4</x:v>
      </x:c>
      <x:c r="D2321" t="str">
        <x:v>00:19</x:v>
      </x:c>
      <x:c r="E2321"/>
      <x:c r="F2321" t="n">
        <x:v>0</x:v>
      </x:c>
      <x:c r="G2321" t="str">
        <x:v>MIN</x:v>
      </x:c>
      <x:c r="H2321" t="str">
        <x:v>DAL</x:v>
      </x:c>
      <x:c r="I2321" t="str">
        <x:v>DAL</x:v>
      </x:c>
      <x:c r="J2321" t="n">
        <x:v>35</x:v>
      </x:c>
      <x:c r="K2321" t="str">
        <x:v>17-B.Aubrey kicks onside 10 yards from DAL 35 to DAL 45. 84-J.Oliver (didn't try to advance) to DAL 45 for no gain. ** Injury Update: MIN-2-I.Rodgers has returned to the game.</x:v>
      </x:c>
      <x:c r="L2321" t="str">
        <x:v>kickoff</x:v>
      </x:c>
      <x:c r="M2321" t="n">
        <x:v>0</x:v>
      </x:c>
      <x:c r="N2321" t="n">
        <x:v>0</x:v>
      </x:c>
      <x:c r="O2321" t="n">
        <x:v>0</x:v>
      </x:c>
      <x:c r="P2321"/>
      <x:c r="Q2321"/>
      <x:c r="R2321"/>
      <x:c r="S2321"/>
      <x:c r="T2321"/>
      <x:c r="U2321"/>
      <x:c r="V2321" t="n">
        <x:v>0</x:v>
      </x:c>
      <x:c r="W2321" t="n">
        <x:v>0</x:v>
      </x:c>
      <x:c r="X2321" t="n">
        <x:v>0</x:v>
      </x:c>
      <x:c r="Y2321" t="n">
        <x:v>0</x:v>
      </x:c>
      <x:c r="Z2321" t="n">
        <x:v>0</x:v>
      </x:c>
      <x:c r="AA2321" t="n">
        <x:v>0</x:v>
      </x:c>
      <x:c r="AB2321"/>
      <x:c r="AC2321" t="n">
        <x:v>0</x:v>
      </x:c>
      <x:c r="AD2321" t="n">
        <x:v>0.9947611821989994</x:v>
      </x:c>
      <x:c r="AE2321" t="n">
        <x:v>1</x:v>
      </x:c>
      <x:c r="AF2321" t="n">
        <x:v>0.0030599236488342285</x:v>
      </x:c>
      <x:c r="AG2321" t="n">
        <x:f>_xlfn.XLOOKUP($A2321,Games!$A$2:$A$18,Games!$B$2:$B$18,"Missing game",0)</x:f>
        <x:v>2025</x:v>
      </x:c>
      <x:c r="AH2321" t="str">
        <x:f>_xlfn.XLOOKUP($A2321,Games!$A$2:$A$18,Games!$C$2:$C$18,"Missing game",0)</x:f>
        <x:v>REG</x:v>
      </x:c>
      <x:c r="AI2321" t="n">
        <x:f>_xlfn.XLOOKUP($A2321,Games!$A$2:$A$18,Games!$D$2:$D$18,"Missing game",0)</x:f>
        <x:v>15</x:v>
      </x:c>
      <x:c r="AJ2321" s="1" t="n">
        <x:f>_xlfn.XLOOKUP($A2321,Games!$A$2:$A$18,Games!$E$2:$E$18,"Missing game",0)</x:f>
        <x:v>46005</x:v>
      </x:c>
      <x:c r="AK2321" t="str">
        <x:f>_xlfn.XLOOKUP($A2321,Games!$A$2:$A$18,Games!$F$2:$F$18,"Missing game",0)</x:f>
        <x:v>Sunday</x:v>
      </x:c>
      <x:c r="AL2321" t="str">
        <x:f>_xlfn.XLOOKUP($A2321,Games!$A$2:$A$18,Games!$G$2:$G$18,"Missing game",0)</x:f>
        <x:v>MIN</x:v>
      </x:c>
      <x:c r="AM2321" t="n">
        <x:f>_xlfn.XLOOKUP($A2321,Games!$A$2:$A$18,Games!$H$2:$H$18,"Missing game",0)</x:f>
        <x:v>34</x:v>
      </x:c>
      <x:c r="AN2321" t="str">
        <x:f>_xlfn.XLOOKUP($A2321,Games!$A$2:$A$18,Games!$I$2:$I$18,"Missing game",0)</x:f>
        <x:v>DAL</x:v>
      </x:c>
      <x:c r="AO2321" t="n">
        <x:f>_xlfn.XLOOKUP($A2321,Games!$A$2:$A$18,Games!$J$2:$J$18,"Missing game",0)</x:f>
        <x:v>26</x:v>
      </x:c>
      <x:c r="AP2321" t="n">
        <x:f>_xlfn.XLOOKUP($A2321,Games!$A$2:$A$18,Games!$K$2:$K$18,"Missing game",0)</x:f>
        <x:v>-8</x:v>
      </x:c>
      <x:c r="AQ2321" t="n">
        <x:f>_xlfn.XLOOKUP($A2321,Games!$A$2:$A$18,Games!$L$2:$L$18,"Missing game",0)</x:f>
        <x:v>60</x:v>
      </x:c>
      <x:c r="AR2321" t="n">
        <x:f>_xlfn.XLOOKUP($A2321,Games!$A$2:$A$18,Games!$M$2:$M$18,"Missing game",0)</x:f>
        <x:v>0</x:v>
      </x:c>
      <x:c r="AS2321" t="str">
        <x:f>_xlfn.XLOOKUP($A2321,Games!$A$2:$A$18,Games!$N$2:$N$18,"Missing game",0)</x:f>
        <x:v>closed</x:v>
      </x:c>
      <x:c r="AT2321" t="str">
        <x:f>_xlfn.XLOOKUP($A2321,Games!$A$2:$A$18,Games!$O$2:$O$18,"Missing game",0)</x:f>
        <x:v>matrixturf</x:v>
      </x:c>
      <x:c r="AU2321" t="str">
        <x:f>_xlfn.XLOOKUP($A2321,Games!$A$2:$A$18,Games!$P$2:$P$18,"Missing game",0)</x:f>
      </x:c>
      <x:c r="AV2321" t="str">
        <x:f>_xlfn.XLOOKUP($A2321,Games!$A$2:$A$18,Games!$Q$2:$Q$18,"Missing game",0)</x:f>
      </x:c>
      <x:c r="AW2321" t="str">
        <x:f>_xlfn.XLOOKUP($A2321,Games!$A$2:$A$18,Games!$R$2:$R$18,"Missing game",0)</x:f>
        <x:v>AT&amp;T Stadium</x:v>
      </x:c>
    </x:row>
    <x:row r="2322">
      <x:c r="A2322" t="str">
        <x:v>2025_15_MIN_DAL</x:v>
      </x:c>
      <x:c r="B2322" t="n">
        <x:v>4139</x:v>
      </x:c>
      <x:c r="C2322" t="n">
        <x:v>4</x:v>
      </x:c>
      <x:c r="D2322" t="str">
        <x:v>00:18</x:v>
      </x:c>
      <x:c r="E2322" t="n">
        <x:v>1</x:v>
      </x:c>
      <x:c r="F2322" t="n">
        <x:v>10</x:v>
      </x:c>
      <x:c r="G2322" t="str">
        <x:v>MIN</x:v>
      </x:c>
      <x:c r="H2322" t="str">
        <x:v>DAL</x:v>
      </x:c>
      <x:c r="I2322" t="str">
        <x:v>DAL</x:v>
      </x:c>
      <x:c r="J2322" t="n">
        <x:v>45</x:v>
      </x:c>
      <x:c r="K2322" t="str">
        <x:v>(:18) 9-J.McCarthy kneels to DAL 46 for -1 yards.</x:v>
      </x:c>
      <x:c r="L2322" t="str">
        <x:v>qb_kneel</x:v>
      </x:c>
      <x:c r="M2322" t="n">
        <x:v>-1</x:v>
      </x:c>
      <x:c r="N2322" t="n">
        <x:v>0</x:v>
      </x:c>
      <x:c r="O2322" t="n">
        <x:v>0</x:v>
      </x:c>
      <x:c r="P2322"/>
      <x:c r="Q2322"/>
      <x:c r="R2322"/>
      <x:c r="S2322"/>
      <x:c r="T2322"/>
      <x:c r="U2322"/>
      <x:c r="V2322" t="n">
        <x:v>0</x:v>
      </x:c>
      <x:c r="W2322" t="n">
        <x:v>0</x:v>
      </x:c>
      <x:c r="X2322" t="n">
        <x:v>0</x:v>
      </x:c>
      <x:c r="Y2322" t="n">
        <x:v>0</x:v>
      </x:c>
      <x:c r="Z2322" t="n">
        <x:v>0</x:v>
      </x:c>
      <x:c r="AA2322" t="n">
        <x:v>0</x:v>
      </x:c>
      <x:c r="AB2322"/>
      <x:c r="AC2322" t="n">
        <x:v>0</x:v>
      </x:c>
      <x:c r="AD2322" t="n">
        <x:v>-1.1097458880394697</x:v>
      </x:c>
      <x:c r="AE2322" t="n">
        <x:v>0</x:v>
      </x:c>
      <x:c r="AF2322"/>
      <x:c r="AG2322" t="n">
        <x:f>_xlfn.XLOOKUP($A2322,Games!$A$2:$A$18,Games!$B$2:$B$18,"Missing game",0)</x:f>
        <x:v>2025</x:v>
      </x:c>
      <x:c r="AH2322" t="str">
        <x:f>_xlfn.XLOOKUP($A2322,Games!$A$2:$A$18,Games!$C$2:$C$18,"Missing game",0)</x:f>
        <x:v>REG</x:v>
      </x:c>
      <x:c r="AI2322" t="n">
        <x:f>_xlfn.XLOOKUP($A2322,Games!$A$2:$A$18,Games!$D$2:$D$18,"Missing game",0)</x:f>
        <x:v>15</x:v>
      </x:c>
      <x:c r="AJ2322" s="1" t="n">
        <x:f>_xlfn.XLOOKUP($A2322,Games!$A$2:$A$18,Games!$E$2:$E$18,"Missing game",0)</x:f>
        <x:v>46005</x:v>
      </x:c>
      <x:c r="AK2322" t="str">
        <x:f>_xlfn.XLOOKUP($A2322,Games!$A$2:$A$18,Games!$F$2:$F$18,"Missing game",0)</x:f>
        <x:v>Sunday</x:v>
      </x:c>
      <x:c r="AL2322" t="str">
        <x:f>_xlfn.XLOOKUP($A2322,Games!$A$2:$A$18,Games!$G$2:$G$18,"Missing game",0)</x:f>
        <x:v>MIN</x:v>
      </x:c>
      <x:c r="AM2322" t="n">
        <x:f>_xlfn.XLOOKUP($A2322,Games!$A$2:$A$18,Games!$H$2:$H$18,"Missing game",0)</x:f>
        <x:v>34</x:v>
      </x:c>
      <x:c r="AN2322" t="str">
        <x:f>_xlfn.XLOOKUP($A2322,Games!$A$2:$A$18,Games!$I$2:$I$18,"Missing game",0)</x:f>
        <x:v>DAL</x:v>
      </x:c>
      <x:c r="AO2322" t="n">
        <x:f>_xlfn.XLOOKUP($A2322,Games!$A$2:$A$18,Games!$J$2:$J$18,"Missing game",0)</x:f>
        <x:v>26</x:v>
      </x:c>
      <x:c r="AP2322" t="n">
        <x:f>_xlfn.XLOOKUP($A2322,Games!$A$2:$A$18,Games!$K$2:$K$18,"Missing game",0)</x:f>
        <x:v>-8</x:v>
      </x:c>
      <x:c r="AQ2322" t="n">
        <x:f>_xlfn.XLOOKUP($A2322,Games!$A$2:$A$18,Games!$L$2:$L$18,"Missing game",0)</x:f>
        <x:v>60</x:v>
      </x:c>
      <x:c r="AR2322" t="n">
        <x:f>_xlfn.XLOOKUP($A2322,Games!$A$2:$A$18,Games!$M$2:$M$18,"Missing game",0)</x:f>
        <x:v>0</x:v>
      </x:c>
      <x:c r="AS2322" t="str">
        <x:f>_xlfn.XLOOKUP($A2322,Games!$A$2:$A$18,Games!$N$2:$N$18,"Missing game",0)</x:f>
        <x:v>closed</x:v>
      </x:c>
      <x:c r="AT2322" t="str">
        <x:f>_xlfn.XLOOKUP($A2322,Games!$A$2:$A$18,Games!$O$2:$O$18,"Missing game",0)</x:f>
        <x:v>matrixturf</x:v>
      </x:c>
      <x:c r="AU2322" t="str">
        <x:f>_xlfn.XLOOKUP($A2322,Games!$A$2:$A$18,Games!$P$2:$P$18,"Missing game",0)</x:f>
      </x:c>
      <x:c r="AV2322" t="str">
        <x:f>_xlfn.XLOOKUP($A2322,Games!$A$2:$A$18,Games!$Q$2:$Q$18,"Missing game",0)</x:f>
      </x:c>
      <x:c r="AW2322" t="str">
        <x:f>_xlfn.XLOOKUP($A2322,Games!$A$2:$A$18,Games!$R$2:$R$18,"Missing game",0)</x:f>
        <x:v>AT&amp;T Stadium</x:v>
      </x:c>
    </x:row>
    <x:row r="2323">
      <x:c r="A2323" t="str">
        <x:v>2025_15_MIN_DAL</x:v>
      </x:c>
      <x:c r="B2323" t="n">
        <x:v>4164</x:v>
      </x:c>
      <x:c r="C2323" t="n">
        <x:v>4</x:v>
      </x:c>
      <x:c r="D2323" t="str">
        <x:v>00:00</x:v>
      </x:c>
      <x:c r="E2323"/>
      <x:c r="F2323" t="n">
        <x:v>0</x:v>
      </x:c>
      <x:c r="G2323" t="str">
        <x:v>MIN</x:v>
      </x:c>
      <x:c r="H2323" t="str">
        <x:v>DAL</x:v>
      </x:c>
      <x:c r="I2323"/>
      <x:c r="J2323"/>
      <x:c r="K2323" t="str">
        <x:v>END GAME</x:v>
      </x:c>
      <x:c r="L2323"/>
      <x:c r="M2323"/>
      <x:c r="N2323" t="n">
        <x:v>0</x:v>
      </x:c>
      <x:c r="O2323" t="n">
        <x:v>0</x:v>
      </x:c>
      <x:c r="P2323"/>
      <x:c r="Q2323"/>
      <x:c r="R2323"/>
      <x:c r="S2323"/>
      <x:c r="T2323"/>
      <x:c r="U2323"/>
      <x:c r="V2323"/>
      <x:c r="W2323"/>
      <x:c r="X2323"/>
      <x:c r="Y2323"/>
      <x:c r="Z2323"/>
      <x:c r="AA2323"/>
      <x:c r="AB2323"/>
      <x:c r="AC2323"/>
      <x:c r="AD2323"/>
      <x:c r="AE2323"/>
      <x:c r="AF2323"/>
      <x:c r="AG2323" t="n">
        <x:f>_xlfn.XLOOKUP($A2323,Games!$A$2:$A$18,Games!$B$2:$B$18,"Missing game",0)</x:f>
        <x:v>2025</x:v>
      </x:c>
      <x:c r="AH2323" t="str">
        <x:f>_xlfn.XLOOKUP($A2323,Games!$A$2:$A$18,Games!$C$2:$C$18,"Missing game",0)</x:f>
        <x:v>REG</x:v>
      </x:c>
      <x:c r="AI2323" t="n">
        <x:f>_xlfn.XLOOKUP($A2323,Games!$A$2:$A$18,Games!$D$2:$D$18,"Missing game",0)</x:f>
        <x:v>15</x:v>
      </x:c>
      <x:c r="AJ2323" s="1" t="n">
        <x:f>_xlfn.XLOOKUP($A2323,Games!$A$2:$A$18,Games!$E$2:$E$18,"Missing game",0)</x:f>
        <x:v>46005</x:v>
      </x:c>
      <x:c r="AK2323" t="str">
        <x:f>_xlfn.XLOOKUP($A2323,Games!$A$2:$A$18,Games!$F$2:$F$18,"Missing game",0)</x:f>
        <x:v>Sunday</x:v>
      </x:c>
      <x:c r="AL2323" t="str">
        <x:f>_xlfn.XLOOKUP($A2323,Games!$A$2:$A$18,Games!$G$2:$G$18,"Missing game",0)</x:f>
        <x:v>MIN</x:v>
      </x:c>
      <x:c r="AM2323" t="n">
        <x:f>_xlfn.XLOOKUP($A2323,Games!$A$2:$A$18,Games!$H$2:$H$18,"Missing game",0)</x:f>
        <x:v>34</x:v>
      </x:c>
      <x:c r="AN2323" t="str">
        <x:f>_xlfn.XLOOKUP($A2323,Games!$A$2:$A$18,Games!$I$2:$I$18,"Missing game",0)</x:f>
        <x:v>DAL</x:v>
      </x:c>
      <x:c r="AO2323" t="n">
        <x:f>_xlfn.XLOOKUP($A2323,Games!$A$2:$A$18,Games!$J$2:$J$18,"Missing game",0)</x:f>
        <x:v>26</x:v>
      </x:c>
      <x:c r="AP2323" t="n">
        <x:f>_xlfn.XLOOKUP($A2323,Games!$A$2:$A$18,Games!$K$2:$K$18,"Missing game",0)</x:f>
        <x:v>-8</x:v>
      </x:c>
      <x:c r="AQ2323" t="n">
        <x:f>_xlfn.XLOOKUP($A2323,Games!$A$2:$A$18,Games!$L$2:$L$18,"Missing game",0)</x:f>
        <x:v>60</x:v>
      </x:c>
      <x:c r="AR2323" t="n">
        <x:f>_xlfn.XLOOKUP($A2323,Games!$A$2:$A$18,Games!$M$2:$M$18,"Missing game",0)</x:f>
        <x:v>0</x:v>
      </x:c>
      <x:c r="AS2323" t="str">
        <x:f>_xlfn.XLOOKUP($A2323,Games!$A$2:$A$18,Games!$N$2:$N$18,"Missing game",0)</x:f>
        <x:v>closed</x:v>
      </x:c>
      <x:c r="AT2323" t="str">
        <x:f>_xlfn.XLOOKUP($A2323,Games!$A$2:$A$18,Games!$O$2:$O$18,"Missing game",0)</x:f>
        <x:v>matrixturf</x:v>
      </x:c>
      <x:c r="AU2323" t="str">
        <x:f>_xlfn.XLOOKUP($A2323,Games!$A$2:$A$18,Games!$P$2:$P$18,"Missing game",0)</x:f>
      </x:c>
      <x:c r="AV2323" t="str">
        <x:f>_xlfn.XLOOKUP($A2323,Games!$A$2:$A$18,Games!$Q$2:$Q$18,"Missing game",0)</x:f>
      </x:c>
      <x:c r="AW2323" t="str">
        <x:f>_xlfn.XLOOKUP($A2323,Games!$A$2:$A$18,Games!$R$2:$R$18,"Missing game",0)</x:f>
        <x:v>AT&amp;T Stadium</x:v>
      </x:c>
    </x:row>
    <x:row r="2324">
      <x:c r="A2324" t="str">
        <x:v>2025_16_MIN_NYG</x:v>
      </x:c>
      <x:c r="B2324" t="n">
        <x:v>1</x:v>
      </x:c>
      <x:c r="C2324" t="n">
        <x:v>1</x:v>
      </x:c>
      <x:c r="D2324" t="str">
        <x:v>15:00</x:v>
      </x:c>
      <x:c r="E2324"/>
      <x:c r="F2324" t="n">
        <x:v>0</x:v>
      </x:c>
      <x:c r="G2324"/>
      <x:c r="H2324"/>
      <x:c r="I2324"/>
      <x:c r="J2324"/>
      <x:c r="K2324" t="str">
        <x:v>GAME</x:v>
      </x:c>
      <x:c r="L2324"/>
      <x:c r="M2324"/>
      <x:c r="N2324" t="n">
        <x:v>0</x:v>
      </x:c>
      <x:c r="O2324" t="n">
        <x:v>0</x:v>
      </x:c>
      <x:c r="P2324"/>
      <x:c r="Q2324"/>
      <x:c r="R2324"/>
      <x:c r="S2324"/>
      <x:c r="T2324"/>
      <x:c r="U2324"/>
      <x:c r="V2324"/>
      <x:c r="W2324"/>
      <x:c r="X2324"/>
      <x:c r="Y2324"/>
      <x:c r="Z2324"/>
      <x:c r="AA2324"/>
      <x:c r="AB2324"/>
      <x:c r="AC2324"/>
      <x:c r="AD2324" t="n">
        <x:v>0</x:v>
      </x:c>
      <x:c r="AE2324" t="n">
        <x:v>0</x:v>
      </x:c>
      <x:c r="AF2324" t="n">
        <x:v>0</x:v>
      </x:c>
      <x:c r="AG2324" t="n">
        <x:f>_xlfn.XLOOKUP($A2324,Games!$A$2:$A$18,Games!$B$2:$B$18,"Missing game",0)</x:f>
        <x:v>2025</x:v>
      </x:c>
      <x:c r="AH2324" t="str">
        <x:f>_xlfn.XLOOKUP($A2324,Games!$A$2:$A$18,Games!$C$2:$C$18,"Missing game",0)</x:f>
        <x:v>REG</x:v>
      </x:c>
      <x:c r="AI2324" t="n">
        <x:f>_xlfn.XLOOKUP($A2324,Games!$A$2:$A$18,Games!$D$2:$D$18,"Missing game",0)</x:f>
        <x:v>16</x:v>
      </x:c>
      <x:c r="AJ2324" s="1" t="n">
        <x:f>_xlfn.XLOOKUP($A2324,Games!$A$2:$A$18,Games!$E$2:$E$18,"Missing game",0)</x:f>
        <x:v>46012</x:v>
      </x:c>
      <x:c r="AK2324" t="str">
        <x:f>_xlfn.XLOOKUP($A2324,Games!$A$2:$A$18,Games!$F$2:$F$18,"Missing game",0)</x:f>
        <x:v>Sunday</x:v>
      </x:c>
      <x:c r="AL2324" t="str">
        <x:f>_xlfn.XLOOKUP($A2324,Games!$A$2:$A$18,Games!$G$2:$G$18,"Missing game",0)</x:f>
        <x:v>MIN</x:v>
      </x:c>
      <x:c r="AM2324" t="n">
        <x:f>_xlfn.XLOOKUP($A2324,Games!$A$2:$A$18,Games!$H$2:$H$18,"Missing game",0)</x:f>
        <x:v>16</x:v>
      </x:c>
      <x:c r="AN2324" t="str">
        <x:f>_xlfn.XLOOKUP($A2324,Games!$A$2:$A$18,Games!$I$2:$I$18,"Missing game",0)</x:f>
        <x:v>NYG</x:v>
      </x:c>
      <x:c r="AO2324" t="n">
        <x:f>_xlfn.XLOOKUP($A2324,Games!$A$2:$A$18,Games!$J$2:$J$18,"Missing game",0)</x:f>
        <x:v>13</x:v>
      </x:c>
      <x:c r="AP2324" t="n">
        <x:f>_xlfn.XLOOKUP($A2324,Games!$A$2:$A$18,Games!$K$2:$K$18,"Missing game",0)</x:f>
        <x:v>-3</x:v>
      </x:c>
      <x:c r="AQ2324" t="n">
        <x:f>_xlfn.XLOOKUP($A2324,Games!$A$2:$A$18,Games!$L$2:$L$18,"Missing game",0)</x:f>
        <x:v>29</x:v>
      </x:c>
      <x:c r="AR2324" t="n">
        <x:f>_xlfn.XLOOKUP($A2324,Games!$A$2:$A$18,Games!$M$2:$M$18,"Missing game",0)</x:f>
        <x:v>0</x:v>
      </x:c>
      <x:c r="AS2324" t="str">
        <x:f>_xlfn.XLOOKUP($A2324,Games!$A$2:$A$18,Games!$N$2:$N$18,"Missing game",0)</x:f>
        <x:v>outdoors</x:v>
      </x:c>
      <x:c r="AT2324" t="str">
        <x:f>_xlfn.XLOOKUP($A2324,Games!$A$2:$A$18,Games!$O$2:$O$18,"Missing game",0)</x:f>
        <x:v>fieldturf</x:v>
      </x:c>
      <x:c r="AU2324" t="n">
        <x:f>_xlfn.XLOOKUP($A2324,Games!$A$2:$A$18,Games!$P$2:$P$18,"Missing game",0)</x:f>
        <x:v>46</x:v>
      </x:c>
      <x:c r="AV2324" t="n">
        <x:f>_xlfn.XLOOKUP($A2324,Games!$A$2:$A$18,Games!$Q$2:$Q$18,"Missing game",0)</x:f>
        <x:v>20</x:v>
      </x:c>
      <x:c r="AW2324" t="str">
        <x:f>_xlfn.XLOOKUP($A2324,Games!$A$2:$A$18,Games!$R$2:$R$18,"Missing game",0)</x:f>
        <x:v>MetLife Stadium</x:v>
      </x:c>
    </x:row>
    <x:row r="2325">
      <x:c r="A2325" t="str">
        <x:v>2025_16_MIN_NYG</x:v>
      </x:c>
      <x:c r="B2325" t="n">
        <x:v>39</x:v>
      </x:c>
      <x:c r="C2325" t="n">
        <x:v>1</x:v>
      </x:c>
      <x:c r="D2325" t="str">
        <x:v>15:00</x:v>
      </x:c>
      <x:c r="E2325"/>
      <x:c r="F2325" t="n">
        <x:v>0</x:v>
      </x:c>
      <x:c r="G2325" t="str">
        <x:v>MIN</x:v>
      </x:c>
      <x:c r="H2325" t="str">
        <x:v>NYG</x:v>
      </x:c>
      <x:c r="I2325" t="str">
        <x:v>NYG</x:v>
      </x:c>
      <x:c r="J2325" t="n">
        <x:v>35</x:v>
      </x:c>
      <x:c r="K2325" t="str">
        <x:v>30-B.Sauls kicks 60 yards from NYG 35 to MIN 5, out of bounds. PENALTY on NYG-30-B.Sauls, Kickoff Out of Bounds, placed at MIN 40.</x:v>
      </x:c>
      <x:c r="L2325" t="str">
        <x:v>kickoff</x:v>
      </x:c>
      <x:c r="M2325" t="n">
        <x:v>0</x:v>
      </x:c>
      <x:c r="N2325" t="n">
        <x:v>0</x:v>
      </x:c>
      <x:c r="O2325" t="n">
        <x:v>0</x:v>
      </x:c>
      <x:c r="P2325"/>
      <x:c r="Q2325"/>
      <x:c r="R2325"/>
      <x:c r="S2325"/>
      <x:c r="T2325"/>
      <x:c r="U2325"/>
      <x:c r="V2325" t="n">
        <x:v>0</x:v>
      </x:c>
      <x:c r="W2325" t="n">
        <x:v>0</x:v>
      </x:c>
      <x:c r="X2325" t="n">
        <x:v>0</x:v>
      </x:c>
      <x:c r="Y2325" t="n">
        <x:v>0</x:v>
      </x:c>
      <x:c r="Z2325" t="n">
        <x:v>0</x:v>
      </x:c>
      <x:c r="AA2325" t="n">
        <x:v>1</x:v>
      </x:c>
      <x:c r="AB2325" t="n">
        <x:v>0</x:v>
      </x:c>
      <x:c r="AC2325" t="n">
        <x:v>0</x:v>
      </x:c>
      <x:c r="AD2325" t="n">
        <x:v>0.8947232952341437</x:v>
      </x:c>
      <x:c r="AE2325" t="n">
        <x:v>1</x:v>
      </x:c>
      <x:c r="AF2325" t="n">
        <x:v>0.021691441535949707</x:v>
      </x:c>
      <x:c r="AG2325" t="n">
        <x:f>_xlfn.XLOOKUP($A2325,Games!$A$2:$A$18,Games!$B$2:$B$18,"Missing game",0)</x:f>
        <x:v>2025</x:v>
      </x:c>
      <x:c r="AH2325" t="str">
        <x:f>_xlfn.XLOOKUP($A2325,Games!$A$2:$A$18,Games!$C$2:$C$18,"Missing game",0)</x:f>
        <x:v>REG</x:v>
      </x:c>
      <x:c r="AI2325" t="n">
        <x:f>_xlfn.XLOOKUP($A2325,Games!$A$2:$A$18,Games!$D$2:$D$18,"Missing game",0)</x:f>
        <x:v>16</x:v>
      </x:c>
      <x:c r="AJ2325" s="1" t="n">
        <x:f>_xlfn.XLOOKUP($A2325,Games!$A$2:$A$18,Games!$E$2:$E$18,"Missing game",0)</x:f>
        <x:v>46012</x:v>
      </x:c>
      <x:c r="AK2325" t="str">
        <x:f>_xlfn.XLOOKUP($A2325,Games!$A$2:$A$18,Games!$F$2:$F$18,"Missing game",0)</x:f>
        <x:v>Sunday</x:v>
      </x:c>
      <x:c r="AL2325" t="str">
        <x:f>_xlfn.XLOOKUP($A2325,Games!$A$2:$A$18,Games!$G$2:$G$18,"Missing game",0)</x:f>
        <x:v>MIN</x:v>
      </x:c>
      <x:c r="AM2325" t="n">
        <x:f>_xlfn.XLOOKUP($A2325,Games!$A$2:$A$18,Games!$H$2:$H$18,"Missing game",0)</x:f>
        <x:v>16</x:v>
      </x:c>
      <x:c r="AN2325" t="str">
        <x:f>_xlfn.XLOOKUP($A2325,Games!$A$2:$A$18,Games!$I$2:$I$18,"Missing game",0)</x:f>
        <x:v>NYG</x:v>
      </x:c>
      <x:c r="AO2325" t="n">
        <x:f>_xlfn.XLOOKUP($A2325,Games!$A$2:$A$18,Games!$J$2:$J$18,"Missing game",0)</x:f>
        <x:v>13</x:v>
      </x:c>
      <x:c r="AP2325" t="n">
        <x:f>_xlfn.XLOOKUP($A2325,Games!$A$2:$A$18,Games!$K$2:$K$18,"Missing game",0)</x:f>
        <x:v>-3</x:v>
      </x:c>
      <x:c r="AQ2325" t="n">
        <x:f>_xlfn.XLOOKUP($A2325,Games!$A$2:$A$18,Games!$L$2:$L$18,"Missing game",0)</x:f>
        <x:v>29</x:v>
      </x:c>
      <x:c r="AR2325" t="n">
        <x:f>_xlfn.XLOOKUP($A2325,Games!$A$2:$A$18,Games!$M$2:$M$18,"Missing game",0)</x:f>
        <x:v>0</x:v>
      </x:c>
      <x:c r="AS2325" t="str">
        <x:f>_xlfn.XLOOKUP($A2325,Games!$A$2:$A$18,Games!$N$2:$N$18,"Missing game",0)</x:f>
        <x:v>outdoors</x:v>
      </x:c>
      <x:c r="AT2325" t="str">
        <x:f>_xlfn.XLOOKUP($A2325,Games!$A$2:$A$18,Games!$O$2:$O$18,"Missing game",0)</x:f>
        <x:v>fieldturf</x:v>
      </x:c>
      <x:c r="AU2325" t="n">
        <x:f>_xlfn.XLOOKUP($A2325,Games!$A$2:$A$18,Games!$P$2:$P$18,"Missing game",0)</x:f>
        <x:v>46</x:v>
      </x:c>
      <x:c r="AV2325" t="n">
        <x:f>_xlfn.XLOOKUP($A2325,Games!$A$2:$A$18,Games!$Q$2:$Q$18,"Missing game",0)</x:f>
        <x:v>20</x:v>
      </x:c>
      <x:c r="AW2325" t="str">
        <x:f>_xlfn.XLOOKUP($A2325,Games!$A$2:$A$18,Games!$R$2:$R$18,"Missing game",0)</x:f>
        <x:v>MetLife Stadium</x:v>
      </x:c>
    </x:row>
    <x:row r="2326">
      <x:c r="A2326" t="str">
        <x:v>2025_16_MIN_NYG</x:v>
      </x:c>
      <x:c r="B2326" t="n">
        <x:v>55</x:v>
      </x:c>
      <x:c r="C2326" t="n">
        <x:v>1</x:v>
      </x:c>
      <x:c r="D2326" t="str">
        <x:v>15:00</x:v>
      </x:c>
      <x:c r="E2326" t="n">
        <x:v>1</x:v>
      </x:c>
      <x:c r="F2326" t="n">
        <x:v>10</x:v>
      </x:c>
      <x:c r="G2326" t="str">
        <x:v>MIN</x:v>
      </x:c>
      <x:c r="H2326" t="str">
        <x:v>NYG</x:v>
      </x:c>
      <x:c r="I2326" t="str">
        <x:v>MIN</x:v>
      </x:c>
      <x:c r="J2326" t="n">
        <x:v>60</x:v>
      </x:c>
      <x:c r="K2326" t="str">
        <x:v>(15:00) (Shotgun) 9-J.McCarthy pass incomplete short right to 33-A.Jones (27-T.Nubin).</x:v>
      </x:c>
      <x:c r="L2326" t="str">
        <x:v>pass</x:v>
      </x:c>
      <x:c r="M2326" t="n">
        <x:v>0</x:v>
      </x:c>
      <x:c r="N2326" t="n">
        <x:v>1</x:v>
      </x:c>
      <x:c r="O2326" t="n">
        <x:v>0</x:v>
      </x:c>
      <x:c r="P2326" t="str">
        <x:v>short</x:v>
      </x:c>
      <x:c r="Q2326" t="str">
        <x:v>right</x:v>
      </x:c>
      <x:c r="R2326" t="n">
        <x:v>-7</x:v>
      </x:c>
      <x:c r="S2326"/>
      <x:c r="T2326"/>
      <x:c r="U2326"/>
      <x:c r="V2326" t="n">
        <x:v>0</x:v>
      </x:c>
      <x:c r="W2326" t="n">
        <x:v>0</x:v>
      </x:c>
      <x:c r="X2326" t="n">
        <x:v>0</x:v>
      </x:c>
      <x:c r="Y2326" t="n">
        <x:v>0</x:v>
      </x:c>
      <x:c r="Z2326" t="n">
        <x:v>0</x:v>
      </x:c>
      <x:c r="AA2326" t="n">
        <x:v>0</x:v>
      </x:c>
      <x:c r="AB2326"/>
      <x:c r="AC2326" t="n">
        <x:v>0</x:v>
      </x:c>
      <x:c r="AD2326" t="n">
        <x:v>-0.5282054846175015</x:v>
      </x:c>
      <x:c r="AE2326" t="n">
        <x:v>0</x:v>
      </x:c>
      <x:c r="AF2326" t="n">
        <x:v>-0.018117934465408325</x:v>
      </x:c>
      <x:c r="AG2326" t="n">
        <x:f>_xlfn.XLOOKUP($A2326,Games!$A$2:$A$18,Games!$B$2:$B$18,"Missing game",0)</x:f>
        <x:v>2025</x:v>
      </x:c>
      <x:c r="AH2326" t="str">
        <x:f>_xlfn.XLOOKUP($A2326,Games!$A$2:$A$18,Games!$C$2:$C$18,"Missing game",0)</x:f>
        <x:v>REG</x:v>
      </x:c>
      <x:c r="AI2326" t="n">
        <x:f>_xlfn.XLOOKUP($A2326,Games!$A$2:$A$18,Games!$D$2:$D$18,"Missing game",0)</x:f>
        <x:v>16</x:v>
      </x:c>
      <x:c r="AJ2326" s="1" t="n">
        <x:f>_xlfn.XLOOKUP($A2326,Games!$A$2:$A$18,Games!$E$2:$E$18,"Missing game",0)</x:f>
        <x:v>46012</x:v>
      </x:c>
      <x:c r="AK2326" t="str">
        <x:f>_xlfn.XLOOKUP($A2326,Games!$A$2:$A$18,Games!$F$2:$F$18,"Missing game",0)</x:f>
        <x:v>Sunday</x:v>
      </x:c>
      <x:c r="AL2326" t="str">
        <x:f>_xlfn.XLOOKUP($A2326,Games!$A$2:$A$18,Games!$G$2:$G$18,"Missing game",0)</x:f>
        <x:v>MIN</x:v>
      </x:c>
      <x:c r="AM2326" t="n">
        <x:f>_xlfn.XLOOKUP($A2326,Games!$A$2:$A$18,Games!$H$2:$H$18,"Missing game",0)</x:f>
        <x:v>16</x:v>
      </x:c>
      <x:c r="AN2326" t="str">
        <x:f>_xlfn.XLOOKUP($A2326,Games!$A$2:$A$18,Games!$I$2:$I$18,"Missing game",0)</x:f>
        <x:v>NYG</x:v>
      </x:c>
      <x:c r="AO2326" t="n">
        <x:f>_xlfn.XLOOKUP($A2326,Games!$A$2:$A$18,Games!$J$2:$J$18,"Missing game",0)</x:f>
        <x:v>13</x:v>
      </x:c>
      <x:c r="AP2326" t="n">
        <x:f>_xlfn.XLOOKUP($A2326,Games!$A$2:$A$18,Games!$K$2:$K$18,"Missing game",0)</x:f>
        <x:v>-3</x:v>
      </x:c>
      <x:c r="AQ2326" t="n">
        <x:f>_xlfn.XLOOKUP($A2326,Games!$A$2:$A$18,Games!$L$2:$L$18,"Missing game",0)</x:f>
        <x:v>29</x:v>
      </x:c>
      <x:c r="AR2326" t="n">
        <x:f>_xlfn.XLOOKUP($A2326,Games!$A$2:$A$18,Games!$M$2:$M$18,"Missing game",0)</x:f>
        <x:v>0</x:v>
      </x:c>
      <x:c r="AS2326" t="str">
        <x:f>_xlfn.XLOOKUP($A2326,Games!$A$2:$A$18,Games!$N$2:$N$18,"Missing game",0)</x:f>
        <x:v>outdoors</x:v>
      </x:c>
      <x:c r="AT2326" t="str">
        <x:f>_xlfn.XLOOKUP($A2326,Games!$A$2:$A$18,Games!$O$2:$O$18,"Missing game",0)</x:f>
        <x:v>fieldturf</x:v>
      </x:c>
      <x:c r="AU2326" t="n">
        <x:f>_xlfn.XLOOKUP($A2326,Games!$A$2:$A$18,Games!$P$2:$P$18,"Missing game",0)</x:f>
        <x:v>46</x:v>
      </x:c>
      <x:c r="AV2326" t="n">
        <x:f>_xlfn.XLOOKUP($A2326,Games!$A$2:$A$18,Games!$Q$2:$Q$18,"Missing game",0)</x:f>
        <x:v>20</x:v>
      </x:c>
      <x:c r="AW2326" t="str">
        <x:f>_xlfn.XLOOKUP($A2326,Games!$A$2:$A$18,Games!$R$2:$R$18,"Missing game",0)</x:f>
        <x:v>MetLife Stadium</x:v>
      </x:c>
    </x:row>
    <x:row r="2327">
      <x:c r="A2327" t="str">
        <x:v>2025_16_MIN_NYG</x:v>
      </x:c>
      <x:c r="B2327" t="n">
        <x:v>90</x:v>
      </x:c>
      <x:c r="C2327" t="n">
        <x:v>1</x:v>
      </x:c>
      <x:c r="D2327" t="str">
        <x:v>14:56</x:v>
      </x:c>
      <x:c r="E2327" t="n">
        <x:v>2</x:v>
      </x:c>
      <x:c r="F2327" t="n">
        <x:v>10</x:v>
      </x:c>
      <x:c r="G2327" t="str">
        <x:v>MIN</x:v>
      </x:c>
      <x:c r="H2327" t="str">
        <x:v>NYG</x:v>
      </x:c>
      <x:c r="I2327" t="str">
        <x:v>MIN</x:v>
      </x:c>
      <x:c r="J2327" t="n">
        <x:v>60</x:v>
      </x:c>
      <x:c r="K2327" t="str">
        <x:v>(14:56) 33-A.Jones right tackle to MIN 39 for -1 yards (57-C.Golston).</x:v>
      </x:c>
      <x:c r="L2327" t="str">
        <x:v>run</x:v>
      </x:c>
      <x:c r="M2327" t="n">
        <x:v>-1</x:v>
      </x:c>
      <x:c r="N2327" t="n">
        <x:v>0</x:v>
      </x:c>
      <x:c r="O2327" t="n">
        <x:v>0</x:v>
      </x:c>
      <x:c r="P2327"/>
      <x:c r="Q2327"/>
      <x:c r="R2327"/>
      <x:c r="S2327"/>
      <x:c r="T2327" t="str">
        <x:v>right</x:v>
      </x:c>
      <x:c r="U2327" t="str">
        <x:v>tackle</x:v>
      </x:c>
      <x:c r="V2327" t="n">
        <x:v>0</x:v>
      </x:c>
      <x:c r="W2327" t="n">
        <x:v>0</x:v>
      </x:c>
      <x:c r="X2327" t="n">
        <x:v>0</x:v>
      </x:c>
      <x:c r="Y2327" t="n">
        <x:v>0</x:v>
      </x:c>
      <x:c r="Z2327" t="n">
        <x:v>0</x:v>
      </x:c>
      <x:c r="AA2327" t="n">
        <x:v>0</x:v>
      </x:c>
      <x:c r="AB2327"/>
      <x:c r="AC2327" t="n">
        <x:v>0</x:v>
      </x:c>
      <x:c r="AD2327" t="n">
        <x:v>-1.08980324678123</x:v>
      </x:c>
      <x:c r="AE2327" t="n">
        <x:v>0</x:v>
      </x:c>
      <x:c r="AF2327" t="n">
        <x:v>-0.03969097137451172</x:v>
      </x:c>
      <x:c r="AG2327" t="n">
        <x:f>_xlfn.XLOOKUP($A2327,Games!$A$2:$A$18,Games!$B$2:$B$18,"Missing game",0)</x:f>
        <x:v>2025</x:v>
      </x:c>
      <x:c r="AH2327" t="str">
        <x:f>_xlfn.XLOOKUP($A2327,Games!$A$2:$A$18,Games!$C$2:$C$18,"Missing game",0)</x:f>
        <x:v>REG</x:v>
      </x:c>
      <x:c r="AI2327" t="n">
        <x:f>_xlfn.XLOOKUP($A2327,Games!$A$2:$A$18,Games!$D$2:$D$18,"Missing game",0)</x:f>
        <x:v>16</x:v>
      </x:c>
      <x:c r="AJ2327" s="1" t="n">
        <x:f>_xlfn.XLOOKUP($A2327,Games!$A$2:$A$18,Games!$E$2:$E$18,"Missing game",0)</x:f>
        <x:v>46012</x:v>
      </x:c>
      <x:c r="AK2327" t="str">
        <x:f>_xlfn.XLOOKUP($A2327,Games!$A$2:$A$18,Games!$F$2:$F$18,"Missing game",0)</x:f>
        <x:v>Sunday</x:v>
      </x:c>
      <x:c r="AL2327" t="str">
        <x:f>_xlfn.XLOOKUP($A2327,Games!$A$2:$A$18,Games!$G$2:$G$18,"Missing game",0)</x:f>
        <x:v>MIN</x:v>
      </x:c>
      <x:c r="AM2327" t="n">
        <x:f>_xlfn.XLOOKUP($A2327,Games!$A$2:$A$18,Games!$H$2:$H$18,"Missing game",0)</x:f>
        <x:v>16</x:v>
      </x:c>
      <x:c r="AN2327" t="str">
        <x:f>_xlfn.XLOOKUP($A2327,Games!$A$2:$A$18,Games!$I$2:$I$18,"Missing game",0)</x:f>
        <x:v>NYG</x:v>
      </x:c>
      <x:c r="AO2327" t="n">
        <x:f>_xlfn.XLOOKUP($A2327,Games!$A$2:$A$18,Games!$J$2:$J$18,"Missing game",0)</x:f>
        <x:v>13</x:v>
      </x:c>
      <x:c r="AP2327" t="n">
        <x:f>_xlfn.XLOOKUP($A2327,Games!$A$2:$A$18,Games!$K$2:$K$18,"Missing game",0)</x:f>
        <x:v>-3</x:v>
      </x:c>
      <x:c r="AQ2327" t="n">
        <x:f>_xlfn.XLOOKUP($A2327,Games!$A$2:$A$18,Games!$L$2:$L$18,"Missing game",0)</x:f>
        <x:v>29</x:v>
      </x:c>
      <x:c r="AR2327" t="n">
        <x:f>_xlfn.XLOOKUP($A2327,Games!$A$2:$A$18,Games!$M$2:$M$18,"Missing game",0)</x:f>
        <x:v>0</x:v>
      </x:c>
      <x:c r="AS2327" t="str">
        <x:f>_xlfn.XLOOKUP($A2327,Games!$A$2:$A$18,Games!$N$2:$N$18,"Missing game",0)</x:f>
        <x:v>outdoors</x:v>
      </x:c>
      <x:c r="AT2327" t="str">
        <x:f>_xlfn.XLOOKUP($A2327,Games!$A$2:$A$18,Games!$O$2:$O$18,"Missing game",0)</x:f>
        <x:v>fieldturf</x:v>
      </x:c>
      <x:c r="AU2327" t="n">
        <x:f>_xlfn.XLOOKUP($A2327,Games!$A$2:$A$18,Games!$P$2:$P$18,"Missing game",0)</x:f>
        <x:v>46</x:v>
      </x:c>
      <x:c r="AV2327" t="n">
        <x:f>_xlfn.XLOOKUP($A2327,Games!$A$2:$A$18,Games!$Q$2:$Q$18,"Missing game",0)</x:f>
        <x:v>20</x:v>
      </x:c>
      <x:c r="AW2327" t="str">
        <x:f>_xlfn.XLOOKUP($A2327,Games!$A$2:$A$18,Games!$R$2:$R$18,"Missing game",0)</x:f>
        <x:v>MetLife Stadium</x:v>
      </x:c>
    </x:row>
    <x:row r="2328">
      <x:c r="A2328" t="str">
        <x:v>2025_16_MIN_NYG</x:v>
      </x:c>
      <x:c r="B2328" t="n">
        <x:v>112</x:v>
      </x:c>
      <x:c r="C2328" t="n">
        <x:v>1</x:v>
      </x:c>
      <x:c r="D2328" t="str">
        <x:v>14:15</x:v>
      </x:c>
      <x:c r="E2328" t="n">
        <x:v>3</x:v>
      </x:c>
      <x:c r="F2328" t="n">
        <x:v>11</x:v>
      </x:c>
      <x:c r="G2328" t="str">
        <x:v>MIN</x:v>
      </x:c>
      <x:c r="H2328" t="str">
        <x:v>NYG</x:v>
      </x:c>
      <x:c r="I2328" t="str">
        <x:v>MIN</x:v>
      </x:c>
      <x:c r="J2328" t="n">
        <x:v>61</x:v>
      </x:c>
      <x:c r="K2328" t="str">
        <x:v>(14:15) (Shotgun) 9-J.McCarthy pass short middle to 18-J.Jefferson pushed ob at NYG 48 for 13 yards (8-J.Holland).</x:v>
      </x:c>
      <x:c r="L2328" t="str">
        <x:v>pass</x:v>
      </x:c>
      <x:c r="M2328" t="n">
        <x:v>13</x:v>
      </x:c>
      <x:c r="N2328" t="n">
        <x:v>1</x:v>
      </x:c>
      <x:c r="O2328" t="n">
        <x:v>0</x:v>
      </x:c>
      <x:c r="P2328" t="str">
        <x:v>short</x:v>
      </x:c>
      <x:c r="Q2328" t="str">
        <x:v>middle</x:v>
      </x:c>
      <x:c r="R2328" t="n">
        <x:v>2</x:v>
      </x:c>
      <x:c r="S2328" t="n">
        <x:v>11</x:v>
      </x:c>
      <x:c r="T2328"/>
      <x:c r="U2328"/>
      <x:c r="V2328" t="n">
        <x:v>1</x:v>
      </x:c>
      <x:c r="W2328" t="n">
        <x:v>1</x:v>
      </x:c>
      <x:c r="X2328" t="n">
        <x:v>0</x:v>
      </x:c>
      <x:c r="Y2328" t="n">
        <x:v>0</x:v>
      </x:c>
      <x:c r="Z2328" t="n">
        <x:v>0</x:v>
      </x:c>
      <x:c r="AA2328" t="n">
        <x:v>0</x:v>
      </x:c>
      <x:c r="AB2328"/>
      <x:c r="AC2328" t="n">
        <x:v>0</x:v>
      </x:c>
      <x:c r="AD2328" t="n">
        <x:v>2.5466389604844153</x:v>
      </x:c>
      <x:c r="AE2328" t="n">
        <x:v>1</x:v>
      </x:c>
      <x:c r="AF2328" t="n">
        <x:v>0.08302739262580872</x:v>
      </x:c>
      <x:c r="AG2328" t="n">
        <x:f>_xlfn.XLOOKUP($A2328,Games!$A$2:$A$18,Games!$B$2:$B$18,"Missing game",0)</x:f>
        <x:v>2025</x:v>
      </x:c>
      <x:c r="AH2328" t="str">
        <x:f>_xlfn.XLOOKUP($A2328,Games!$A$2:$A$18,Games!$C$2:$C$18,"Missing game",0)</x:f>
        <x:v>REG</x:v>
      </x:c>
      <x:c r="AI2328" t="n">
        <x:f>_xlfn.XLOOKUP($A2328,Games!$A$2:$A$18,Games!$D$2:$D$18,"Missing game",0)</x:f>
        <x:v>16</x:v>
      </x:c>
      <x:c r="AJ2328" s="1" t="n">
        <x:f>_xlfn.XLOOKUP($A2328,Games!$A$2:$A$18,Games!$E$2:$E$18,"Missing game",0)</x:f>
        <x:v>46012</x:v>
      </x:c>
      <x:c r="AK2328" t="str">
        <x:f>_xlfn.XLOOKUP($A2328,Games!$A$2:$A$18,Games!$F$2:$F$18,"Missing game",0)</x:f>
        <x:v>Sunday</x:v>
      </x:c>
      <x:c r="AL2328" t="str">
        <x:f>_xlfn.XLOOKUP($A2328,Games!$A$2:$A$18,Games!$G$2:$G$18,"Missing game",0)</x:f>
        <x:v>MIN</x:v>
      </x:c>
      <x:c r="AM2328" t="n">
        <x:f>_xlfn.XLOOKUP($A2328,Games!$A$2:$A$18,Games!$H$2:$H$18,"Missing game",0)</x:f>
        <x:v>16</x:v>
      </x:c>
      <x:c r="AN2328" t="str">
        <x:f>_xlfn.XLOOKUP($A2328,Games!$A$2:$A$18,Games!$I$2:$I$18,"Missing game",0)</x:f>
        <x:v>NYG</x:v>
      </x:c>
      <x:c r="AO2328" t="n">
        <x:f>_xlfn.XLOOKUP($A2328,Games!$A$2:$A$18,Games!$J$2:$J$18,"Missing game",0)</x:f>
        <x:v>13</x:v>
      </x:c>
      <x:c r="AP2328" t="n">
        <x:f>_xlfn.XLOOKUP($A2328,Games!$A$2:$A$18,Games!$K$2:$K$18,"Missing game",0)</x:f>
        <x:v>-3</x:v>
      </x:c>
      <x:c r="AQ2328" t="n">
        <x:f>_xlfn.XLOOKUP($A2328,Games!$A$2:$A$18,Games!$L$2:$L$18,"Missing game",0)</x:f>
        <x:v>29</x:v>
      </x:c>
      <x:c r="AR2328" t="n">
        <x:f>_xlfn.XLOOKUP($A2328,Games!$A$2:$A$18,Games!$M$2:$M$18,"Missing game",0)</x:f>
        <x:v>0</x:v>
      </x:c>
      <x:c r="AS2328" t="str">
        <x:f>_xlfn.XLOOKUP($A2328,Games!$A$2:$A$18,Games!$N$2:$N$18,"Missing game",0)</x:f>
        <x:v>outdoors</x:v>
      </x:c>
      <x:c r="AT2328" t="str">
        <x:f>_xlfn.XLOOKUP($A2328,Games!$A$2:$A$18,Games!$O$2:$O$18,"Missing game",0)</x:f>
        <x:v>fieldturf</x:v>
      </x:c>
      <x:c r="AU2328" t="n">
        <x:f>_xlfn.XLOOKUP($A2328,Games!$A$2:$A$18,Games!$P$2:$P$18,"Missing game",0)</x:f>
        <x:v>46</x:v>
      </x:c>
      <x:c r="AV2328" t="n">
        <x:f>_xlfn.XLOOKUP($A2328,Games!$A$2:$A$18,Games!$Q$2:$Q$18,"Missing game",0)</x:f>
        <x:v>20</x:v>
      </x:c>
      <x:c r="AW2328" t="str">
        <x:f>_xlfn.XLOOKUP($A2328,Games!$A$2:$A$18,Games!$R$2:$R$18,"Missing game",0)</x:f>
        <x:v>MetLife Stadium</x:v>
      </x:c>
    </x:row>
    <x:row r="2329">
      <x:c r="A2329" t="str">
        <x:v>2025_16_MIN_NYG</x:v>
      </x:c>
      <x:c r="B2329" t="n">
        <x:v>142</x:v>
      </x:c>
      <x:c r="C2329" t="n">
        <x:v>1</x:v>
      </x:c>
      <x:c r="D2329" t="str">
        <x:v>13:34</x:v>
      </x:c>
      <x:c r="E2329" t="n">
        <x:v>1</x:v>
      </x:c>
      <x:c r="F2329" t="n">
        <x:v>10</x:v>
      </x:c>
      <x:c r="G2329" t="str">
        <x:v>MIN</x:v>
      </x:c>
      <x:c r="H2329" t="str">
        <x:v>NYG</x:v>
      </x:c>
      <x:c r="I2329" t="str">
        <x:v>NYG</x:v>
      </x:c>
      <x:c r="J2329" t="n">
        <x:v>48</x:v>
      </x:c>
      <x:c r="K2329" t="str">
        <x:v>(13:34) 27-J.Mason left end to NYG 43 for 5 yards (27-T.Nubin).</x:v>
      </x:c>
      <x:c r="L2329" t="str">
        <x:v>run</x:v>
      </x:c>
      <x:c r="M2329" t="n">
        <x:v>5</x:v>
      </x:c>
      <x:c r="N2329" t="n">
        <x:v>0</x:v>
      </x:c>
      <x:c r="O2329" t="n">
        <x:v>0</x:v>
      </x:c>
      <x:c r="P2329"/>
      <x:c r="Q2329"/>
      <x:c r="R2329"/>
      <x:c r="S2329"/>
      <x:c r="T2329" t="str">
        <x:v>left</x:v>
      </x:c>
      <x:c r="U2329" t="str">
        <x:v>end</x:v>
      </x:c>
      <x:c r="V2329" t="n">
        <x:v>0</x:v>
      </x:c>
      <x:c r="W2329" t="n">
        <x:v>0</x:v>
      </x:c>
      <x:c r="X2329" t="n">
        <x:v>0</x:v>
      </x:c>
      <x:c r="Y2329" t="n">
        <x:v>0</x:v>
      </x:c>
      <x:c r="Z2329" t="n">
        <x:v>0</x:v>
      </x:c>
      <x:c r="AA2329" t="n">
        <x:v>0</x:v>
      </x:c>
      <x:c r="AB2329"/>
      <x:c r="AC2329" t="n">
        <x:v>0</x:v>
      </x:c>
      <x:c r="AD2329" t="n">
        <x:v>0.046802079770714045</x:v>
      </x:c>
      <x:c r="AE2329" t="n">
        <x:v>1</x:v>
      </x:c>
      <x:c r="AF2329" t="n">
        <x:v>-0.015350550413131714</x:v>
      </x:c>
      <x:c r="AG2329" t="n">
        <x:f>_xlfn.XLOOKUP($A2329,Games!$A$2:$A$18,Games!$B$2:$B$18,"Missing game",0)</x:f>
        <x:v>2025</x:v>
      </x:c>
      <x:c r="AH2329" t="str">
        <x:f>_xlfn.XLOOKUP($A2329,Games!$A$2:$A$18,Games!$C$2:$C$18,"Missing game",0)</x:f>
        <x:v>REG</x:v>
      </x:c>
      <x:c r="AI2329" t="n">
        <x:f>_xlfn.XLOOKUP($A2329,Games!$A$2:$A$18,Games!$D$2:$D$18,"Missing game",0)</x:f>
        <x:v>16</x:v>
      </x:c>
      <x:c r="AJ2329" s="1" t="n">
        <x:f>_xlfn.XLOOKUP($A2329,Games!$A$2:$A$18,Games!$E$2:$E$18,"Missing game",0)</x:f>
        <x:v>46012</x:v>
      </x:c>
      <x:c r="AK2329" t="str">
        <x:f>_xlfn.XLOOKUP($A2329,Games!$A$2:$A$18,Games!$F$2:$F$18,"Missing game",0)</x:f>
        <x:v>Sunday</x:v>
      </x:c>
      <x:c r="AL2329" t="str">
        <x:f>_xlfn.XLOOKUP($A2329,Games!$A$2:$A$18,Games!$G$2:$G$18,"Missing game",0)</x:f>
        <x:v>MIN</x:v>
      </x:c>
      <x:c r="AM2329" t="n">
        <x:f>_xlfn.XLOOKUP($A2329,Games!$A$2:$A$18,Games!$H$2:$H$18,"Missing game",0)</x:f>
        <x:v>16</x:v>
      </x:c>
      <x:c r="AN2329" t="str">
        <x:f>_xlfn.XLOOKUP($A2329,Games!$A$2:$A$18,Games!$I$2:$I$18,"Missing game",0)</x:f>
        <x:v>NYG</x:v>
      </x:c>
      <x:c r="AO2329" t="n">
        <x:f>_xlfn.XLOOKUP($A2329,Games!$A$2:$A$18,Games!$J$2:$J$18,"Missing game",0)</x:f>
        <x:v>13</x:v>
      </x:c>
      <x:c r="AP2329" t="n">
        <x:f>_xlfn.XLOOKUP($A2329,Games!$A$2:$A$18,Games!$K$2:$K$18,"Missing game",0)</x:f>
        <x:v>-3</x:v>
      </x:c>
      <x:c r="AQ2329" t="n">
        <x:f>_xlfn.XLOOKUP($A2329,Games!$A$2:$A$18,Games!$L$2:$L$18,"Missing game",0)</x:f>
        <x:v>29</x:v>
      </x:c>
      <x:c r="AR2329" t="n">
        <x:f>_xlfn.XLOOKUP($A2329,Games!$A$2:$A$18,Games!$M$2:$M$18,"Missing game",0)</x:f>
        <x:v>0</x:v>
      </x:c>
      <x:c r="AS2329" t="str">
        <x:f>_xlfn.XLOOKUP($A2329,Games!$A$2:$A$18,Games!$N$2:$N$18,"Missing game",0)</x:f>
        <x:v>outdoors</x:v>
      </x:c>
      <x:c r="AT2329" t="str">
        <x:f>_xlfn.XLOOKUP($A2329,Games!$A$2:$A$18,Games!$O$2:$O$18,"Missing game",0)</x:f>
        <x:v>fieldturf</x:v>
      </x:c>
      <x:c r="AU2329" t="n">
        <x:f>_xlfn.XLOOKUP($A2329,Games!$A$2:$A$18,Games!$P$2:$P$18,"Missing game",0)</x:f>
        <x:v>46</x:v>
      </x:c>
      <x:c r="AV2329" t="n">
        <x:f>_xlfn.XLOOKUP($A2329,Games!$A$2:$A$18,Games!$Q$2:$Q$18,"Missing game",0)</x:f>
        <x:v>20</x:v>
      </x:c>
      <x:c r="AW2329" t="str">
        <x:f>_xlfn.XLOOKUP($A2329,Games!$A$2:$A$18,Games!$R$2:$R$18,"Missing game",0)</x:f>
        <x:v>MetLife Stadium</x:v>
      </x:c>
    </x:row>
    <x:row r="2330">
      <x:c r="A2330" t="str">
        <x:v>2025_16_MIN_NYG</x:v>
      </x:c>
      <x:c r="B2330" t="n">
        <x:v>164</x:v>
      </x:c>
      <x:c r="C2330" t="n">
        <x:v>1</x:v>
      </x:c>
      <x:c r="D2330" t="str">
        <x:v>12:55</x:v>
      </x:c>
      <x:c r="E2330" t="n">
        <x:v>2</x:v>
      </x:c>
      <x:c r="F2330" t="n">
        <x:v>5</x:v>
      </x:c>
      <x:c r="G2330" t="str">
        <x:v>MIN</x:v>
      </x:c>
      <x:c r="H2330" t="str">
        <x:v>NYG</x:v>
      </x:c>
      <x:c r="I2330" t="str">
        <x:v>NYG</x:v>
      </x:c>
      <x:c r="J2330" t="n">
        <x:v>43</x:v>
      </x:c>
      <x:c r="K2330" t="str">
        <x:v>(12:55) (Shotgun) 9-J.McCarthy pass short left to 84-J.Oliver pushed ob at NYG 31 for 12 yards (27-T.Nubin).</x:v>
      </x:c>
      <x:c r="L2330" t="str">
        <x:v>pass</x:v>
      </x:c>
      <x:c r="M2330" t="n">
        <x:v>12</x:v>
      </x:c>
      <x:c r="N2330" t="n">
        <x:v>1</x:v>
      </x:c>
      <x:c r="O2330" t="n">
        <x:v>0</x:v>
      </x:c>
      <x:c r="P2330" t="str">
        <x:v>short</x:v>
      </x:c>
      <x:c r="Q2330" t="str">
        <x:v>left</x:v>
      </x:c>
      <x:c r="R2330" t="n">
        <x:v>-4</x:v>
      </x:c>
      <x:c r="S2330" t="n">
        <x:v>16</x:v>
      </x:c>
      <x:c r="T2330"/>
      <x:c r="U2330"/>
      <x:c r="V2330" t="n">
        <x:v>1</x:v>
      </x:c>
      <x:c r="W2330" t="n">
        <x:v>1</x:v>
      </x:c>
      <x:c r="X2330" t="n">
        <x:v>0</x:v>
      </x:c>
      <x:c r="Y2330" t="n">
        <x:v>0</x:v>
      </x:c>
      <x:c r="Z2330" t="n">
        <x:v>0</x:v>
      </x:c>
      <x:c r="AA2330" t="n">
        <x:v>0</x:v>
      </x:c>
      <x:c r="AB2330"/>
      <x:c r="AC2330" t="n">
        <x:v>0</x:v>
      </x:c>
      <x:c r="AD2330" t="n">
        <x:v>1.232718696235679</x:v>
      </x:c>
      <x:c r="AE2330" t="n">
        <x:v>1</x:v>
      </x:c>
      <x:c r="AF2330" t="n">
        <x:v>0.06564444303512573</x:v>
      </x:c>
      <x:c r="AG2330" t="n">
        <x:f>_xlfn.XLOOKUP($A2330,Games!$A$2:$A$18,Games!$B$2:$B$18,"Missing game",0)</x:f>
        <x:v>2025</x:v>
      </x:c>
      <x:c r="AH2330" t="str">
        <x:f>_xlfn.XLOOKUP($A2330,Games!$A$2:$A$18,Games!$C$2:$C$18,"Missing game",0)</x:f>
        <x:v>REG</x:v>
      </x:c>
      <x:c r="AI2330" t="n">
        <x:f>_xlfn.XLOOKUP($A2330,Games!$A$2:$A$18,Games!$D$2:$D$18,"Missing game",0)</x:f>
        <x:v>16</x:v>
      </x:c>
      <x:c r="AJ2330" s="1" t="n">
        <x:f>_xlfn.XLOOKUP($A2330,Games!$A$2:$A$18,Games!$E$2:$E$18,"Missing game",0)</x:f>
        <x:v>46012</x:v>
      </x:c>
      <x:c r="AK2330" t="str">
        <x:f>_xlfn.XLOOKUP($A2330,Games!$A$2:$A$18,Games!$F$2:$F$18,"Missing game",0)</x:f>
        <x:v>Sunday</x:v>
      </x:c>
      <x:c r="AL2330" t="str">
        <x:f>_xlfn.XLOOKUP($A2330,Games!$A$2:$A$18,Games!$G$2:$G$18,"Missing game",0)</x:f>
        <x:v>MIN</x:v>
      </x:c>
      <x:c r="AM2330" t="n">
        <x:f>_xlfn.XLOOKUP($A2330,Games!$A$2:$A$18,Games!$H$2:$H$18,"Missing game",0)</x:f>
        <x:v>16</x:v>
      </x:c>
      <x:c r="AN2330" t="str">
        <x:f>_xlfn.XLOOKUP($A2330,Games!$A$2:$A$18,Games!$I$2:$I$18,"Missing game",0)</x:f>
        <x:v>NYG</x:v>
      </x:c>
      <x:c r="AO2330" t="n">
        <x:f>_xlfn.XLOOKUP($A2330,Games!$A$2:$A$18,Games!$J$2:$J$18,"Missing game",0)</x:f>
        <x:v>13</x:v>
      </x:c>
      <x:c r="AP2330" t="n">
        <x:f>_xlfn.XLOOKUP($A2330,Games!$A$2:$A$18,Games!$K$2:$K$18,"Missing game",0)</x:f>
        <x:v>-3</x:v>
      </x:c>
      <x:c r="AQ2330" t="n">
        <x:f>_xlfn.XLOOKUP($A2330,Games!$A$2:$A$18,Games!$L$2:$L$18,"Missing game",0)</x:f>
        <x:v>29</x:v>
      </x:c>
      <x:c r="AR2330" t="n">
        <x:f>_xlfn.XLOOKUP($A2330,Games!$A$2:$A$18,Games!$M$2:$M$18,"Missing game",0)</x:f>
        <x:v>0</x:v>
      </x:c>
      <x:c r="AS2330" t="str">
        <x:f>_xlfn.XLOOKUP($A2330,Games!$A$2:$A$18,Games!$N$2:$N$18,"Missing game",0)</x:f>
        <x:v>outdoors</x:v>
      </x:c>
      <x:c r="AT2330" t="str">
        <x:f>_xlfn.XLOOKUP($A2330,Games!$A$2:$A$18,Games!$O$2:$O$18,"Missing game",0)</x:f>
        <x:v>fieldturf</x:v>
      </x:c>
      <x:c r="AU2330" t="n">
        <x:f>_xlfn.XLOOKUP($A2330,Games!$A$2:$A$18,Games!$P$2:$P$18,"Missing game",0)</x:f>
        <x:v>46</x:v>
      </x:c>
      <x:c r="AV2330" t="n">
        <x:f>_xlfn.XLOOKUP($A2330,Games!$A$2:$A$18,Games!$Q$2:$Q$18,"Missing game",0)</x:f>
        <x:v>20</x:v>
      </x:c>
      <x:c r="AW2330" t="str">
        <x:f>_xlfn.XLOOKUP($A2330,Games!$A$2:$A$18,Games!$R$2:$R$18,"Missing game",0)</x:f>
        <x:v>MetLife Stadium</x:v>
      </x:c>
    </x:row>
    <x:row r="2331">
      <x:c r="A2331" t="str">
        <x:v>2025_16_MIN_NYG</x:v>
      </x:c>
      <x:c r="B2331" t="n">
        <x:v>194</x:v>
      </x:c>
      <x:c r="C2331" t="n">
        <x:v>1</x:v>
      </x:c>
      <x:c r="D2331" t="str">
        <x:v>12:17</x:v>
      </x:c>
      <x:c r="E2331" t="n">
        <x:v>1</x:v>
      </x:c>
      <x:c r="F2331" t="n">
        <x:v>10</x:v>
      </x:c>
      <x:c r="G2331" t="str">
        <x:v>MIN</x:v>
      </x:c>
      <x:c r="H2331" t="str">
        <x:v>NYG</x:v>
      </x:c>
      <x:c r="I2331" t="str">
        <x:v>NYG</x:v>
      </x:c>
      <x:c r="J2331" t="n">
        <x:v>31</x:v>
      </x:c>
      <x:c r="K2331" t="str">
        <x:v>(12:17) 27-J.Mason up the middle to NYG 31 for no gain (57-C.Golston).</x:v>
      </x:c>
      <x:c r="L2331" t="str">
        <x:v>run</x:v>
      </x:c>
      <x:c r="M2331" t="n">
        <x:v>0</x:v>
      </x:c>
      <x:c r="N2331" t="n">
        <x:v>0</x:v>
      </x:c>
      <x:c r="O2331" t="n">
        <x:v>0</x:v>
      </x:c>
      <x:c r="P2331"/>
      <x:c r="Q2331"/>
      <x:c r="R2331"/>
      <x:c r="S2331"/>
      <x:c r="T2331" t="str">
        <x:v>middle</x:v>
      </x:c>
      <x:c r="U2331"/>
      <x:c r="V2331" t="n">
        <x:v>0</x:v>
      </x:c>
      <x:c r="W2331" t="n">
        <x:v>0</x:v>
      </x:c>
      <x:c r="X2331" t="n">
        <x:v>0</x:v>
      </x:c>
      <x:c r="Y2331" t="n">
        <x:v>0</x:v>
      </x:c>
      <x:c r="Z2331" t="n">
        <x:v>0</x:v>
      </x:c>
      <x:c r="AA2331" t="n">
        <x:v>0</x:v>
      </x:c>
      <x:c r="AB2331"/>
      <x:c r="AC2331" t="n">
        <x:v>0</x:v>
      </x:c>
      <x:c r="AD2331" t="n">
        <x:v>-0.4881997280754149</x:v>
      </x:c>
      <x:c r="AE2331" t="n">
        <x:v>0</x:v>
      </x:c>
      <x:c r="AF2331" t="n">
        <x:v>-0.015525281429290771</x:v>
      </x:c>
      <x:c r="AG2331" t="n">
        <x:f>_xlfn.XLOOKUP($A2331,Games!$A$2:$A$18,Games!$B$2:$B$18,"Missing game",0)</x:f>
        <x:v>2025</x:v>
      </x:c>
      <x:c r="AH2331" t="str">
        <x:f>_xlfn.XLOOKUP($A2331,Games!$A$2:$A$18,Games!$C$2:$C$18,"Missing game",0)</x:f>
        <x:v>REG</x:v>
      </x:c>
      <x:c r="AI2331" t="n">
        <x:f>_xlfn.XLOOKUP($A2331,Games!$A$2:$A$18,Games!$D$2:$D$18,"Missing game",0)</x:f>
        <x:v>16</x:v>
      </x:c>
      <x:c r="AJ2331" s="1" t="n">
        <x:f>_xlfn.XLOOKUP($A2331,Games!$A$2:$A$18,Games!$E$2:$E$18,"Missing game",0)</x:f>
        <x:v>46012</x:v>
      </x:c>
      <x:c r="AK2331" t="str">
        <x:f>_xlfn.XLOOKUP($A2331,Games!$A$2:$A$18,Games!$F$2:$F$18,"Missing game",0)</x:f>
        <x:v>Sunday</x:v>
      </x:c>
      <x:c r="AL2331" t="str">
        <x:f>_xlfn.XLOOKUP($A2331,Games!$A$2:$A$18,Games!$G$2:$G$18,"Missing game",0)</x:f>
        <x:v>MIN</x:v>
      </x:c>
      <x:c r="AM2331" t="n">
        <x:f>_xlfn.XLOOKUP($A2331,Games!$A$2:$A$18,Games!$H$2:$H$18,"Missing game",0)</x:f>
        <x:v>16</x:v>
      </x:c>
      <x:c r="AN2331" t="str">
        <x:f>_xlfn.XLOOKUP($A2331,Games!$A$2:$A$18,Games!$I$2:$I$18,"Missing game",0)</x:f>
        <x:v>NYG</x:v>
      </x:c>
      <x:c r="AO2331" t="n">
        <x:f>_xlfn.XLOOKUP($A2331,Games!$A$2:$A$18,Games!$J$2:$J$18,"Missing game",0)</x:f>
        <x:v>13</x:v>
      </x:c>
      <x:c r="AP2331" t="n">
        <x:f>_xlfn.XLOOKUP($A2331,Games!$A$2:$A$18,Games!$K$2:$K$18,"Missing game",0)</x:f>
        <x:v>-3</x:v>
      </x:c>
      <x:c r="AQ2331" t="n">
        <x:f>_xlfn.XLOOKUP($A2331,Games!$A$2:$A$18,Games!$L$2:$L$18,"Missing game",0)</x:f>
        <x:v>29</x:v>
      </x:c>
      <x:c r="AR2331" t="n">
        <x:f>_xlfn.XLOOKUP($A2331,Games!$A$2:$A$18,Games!$M$2:$M$18,"Missing game",0)</x:f>
        <x:v>0</x:v>
      </x:c>
      <x:c r="AS2331" t="str">
        <x:f>_xlfn.XLOOKUP($A2331,Games!$A$2:$A$18,Games!$N$2:$N$18,"Missing game",0)</x:f>
        <x:v>outdoors</x:v>
      </x:c>
      <x:c r="AT2331" t="str">
        <x:f>_xlfn.XLOOKUP($A2331,Games!$A$2:$A$18,Games!$O$2:$O$18,"Missing game",0)</x:f>
        <x:v>fieldturf</x:v>
      </x:c>
      <x:c r="AU2331" t="n">
        <x:f>_xlfn.XLOOKUP($A2331,Games!$A$2:$A$18,Games!$P$2:$P$18,"Missing game",0)</x:f>
        <x:v>46</x:v>
      </x:c>
      <x:c r="AV2331" t="n">
        <x:f>_xlfn.XLOOKUP($A2331,Games!$A$2:$A$18,Games!$Q$2:$Q$18,"Missing game",0)</x:f>
        <x:v>20</x:v>
      </x:c>
      <x:c r="AW2331" t="str">
        <x:f>_xlfn.XLOOKUP($A2331,Games!$A$2:$A$18,Games!$R$2:$R$18,"Missing game",0)</x:f>
        <x:v>MetLife Stadium</x:v>
      </x:c>
    </x:row>
    <x:row r="2332">
      <x:c r="A2332" t="str">
        <x:v>2025_16_MIN_NYG</x:v>
      </x:c>
      <x:c r="B2332" t="n">
        <x:v>216</x:v>
      </x:c>
      <x:c r="C2332" t="n">
        <x:v>1</x:v>
      </x:c>
      <x:c r="D2332" t="str">
        <x:v>11:34</x:v>
      </x:c>
      <x:c r="E2332" t="n">
        <x:v>2</x:v>
      </x:c>
      <x:c r="F2332" t="n">
        <x:v>10</x:v>
      </x:c>
      <x:c r="G2332" t="str">
        <x:v>MIN</x:v>
      </x:c>
      <x:c r="H2332" t="str">
        <x:v>NYG</x:v>
      </x:c>
      <x:c r="I2332" t="str">
        <x:v>NYG</x:v>
      </x:c>
      <x:c r="J2332" t="n">
        <x:v>31</x:v>
      </x:c>
      <x:c r="K2332" t="str">
        <x:v>(11:34) (Shotgun) 9-J.McCarthy pass short right to 27-J.Mason to NYG 25 for 6 yards (22-A.Phillips; 58-B.Okereke) [51-A.Carter]. MIN-27-J.Mason was injured during the play.</x:v>
      </x:c>
      <x:c r="L2332" t="str">
        <x:v>pass</x:v>
      </x:c>
      <x:c r="M2332" t="n">
        <x:v>6</x:v>
      </x:c>
      <x:c r="N2332" t="n">
        <x:v>1</x:v>
      </x:c>
      <x:c r="O2332" t="n">
        <x:v>0</x:v>
      </x:c>
      <x:c r="P2332" t="str">
        <x:v>short</x:v>
      </x:c>
      <x:c r="Q2332" t="str">
        <x:v>right</x:v>
      </x:c>
      <x:c r="R2332" t="n">
        <x:v>-4</x:v>
      </x:c>
      <x:c r="S2332" t="n">
        <x:v>10</x:v>
      </x:c>
      <x:c r="T2332"/>
      <x:c r="U2332"/>
      <x:c r="V2332" t="n">
        <x:v>1</x:v>
      </x:c>
      <x:c r="W2332" t="n">
        <x:v>0</x:v>
      </x:c>
      <x:c r="X2332" t="n">
        <x:v>0</x:v>
      </x:c>
      <x:c r="Y2332" t="n">
        <x:v>0</x:v>
      </x:c>
      <x:c r="Z2332" t="n">
        <x:v>0</x:v>
      </x:c>
      <x:c r="AA2332" t="n">
        <x:v>0</x:v>
      </x:c>
      <x:c r="AB2332"/>
      <x:c r="AC2332" t="n">
        <x:v>0</x:v>
      </x:c>
      <x:c r="AD2332" t="n">
        <x:v>0.04450675577390939</x:v>
      </x:c>
      <x:c r="AE2332" t="n">
        <x:v>1</x:v>
      </x:c>
      <x:c r="AF2332" t="n">
        <x:v>0.007889628410339355</x:v>
      </x:c>
      <x:c r="AG2332" t="n">
        <x:f>_xlfn.XLOOKUP($A2332,Games!$A$2:$A$18,Games!$B$2:$B$18,"Missing game",0)</x:f>
        <x:v>2025</x:v>
      </x:c>
      <x:c r="AH2332" t="str">
        <x:f>_xlfn.XLOOKUP($A2332,Games!$A$2:$A$18,Games!$C$2:$C$18,"Missing game",0)</x:f>
        <x:v>REG</x:v>
      </x:c>
      <x:c r="AI2332" t="n">
        <x:f>_xlfn.XLOOKUP($A2332,Games!$A$2:$A$18,Games!$D$2:$D$18,"Missing game",0)</x:f>
        <x:v>16</x:v>
      </x:c>
      <x:c r="AJ2332" s="1" t="n">
        <x:f>_xlfn.XLOOKUP($A2332,Games!$A$2:$A$18,Games!$E$2:$E$18,"Missing game",0)</x:f>
        <x:v>46012</x:v>
      </x:c>
      <x:c r="AK2332" t="str">
        <x:f>_xlfn.XLOOKUP($A2332,Games!$A$2:$A$18,Games!$F$2:$F$18,"Missing game",0)</x:f>
        <x:v>Sunday</x:v>
      </x:c>
      <x:c r="AL2332" t="str">
        <x:f>_xlfn.XLOOKUP($A2332,Games!$A$2:$A$18,Games!$G$2:$G$18,"Missing game",0)</x:f>
        <x:v>MIN</x:v>
      </x:c>
      <x:c r="AM2332" t="n">
        <x:f>_xlfn.XLOOKUP($A2332,Games!$A$2:$A$18,Games!$H$2:$H$18,"Missing game",0)</x:f>
        <x:v>16</x:v>
      </x:c>
      <x:c r="AN2332" t="str">
        <x:f>_xlfn.XLOOKUP($A2332,Games!$A$2:$A$18,Games!$I$2:$I$18,"Missing game",0)</x:f>
        <x:v>NYG</x:v>
      </x:c>
      <x:c r="AO2332" t="n">
        <x:f>_xlfn.XLOOKUP($A2332,Games!$A$2:$A$18,Games!$J$2:$J$18,"Missing game",0)</x:f>
        <x:v>13</x:v>
      </x:c>
      <x:c r="AP2332" t="n">
        <x:f>_xlfn.XLOOKUP($A2332,Games!$A$2:$A$18,Games!$K$2:$K$18,"Missing game",0)</x:f>
        <x:v>-3</x:v>
      </x:c>
      <x:c r="AQ2332" t="n">
        <x:f>_xlfn.XLOOKUP($A2332,Games!$A$2:$A$18,Games!$L$2:$L$18,"Missing game",0)</x:f>
        <x:v>29</x:v>
      </x:c>
      <x:c r="AR2332" t="n">
        <x:f>_xlfn.XLOOKUP($A2332,Games!$A$2:$A$18,Games!$M$2:$M$18,"Missing game",0)</x:f>
        <x:v>0</x:v>
      </x:c>
      <x:c r="AS2332" t="str">
        <x:f>_xlfn.XLOOKUP($A2332,Games!$A$2:$A$18,Games!$N$2:$N$18,"Missing game",0)</x:f>
        <x:v>outdoors</x:v>
      </x:c>
      <x:c r="AT2332" t="str">
        <x:f>_xlfn.XLOOKUP($A2332,Games!$A$2:$A$18,Games!$O$2:$O$18,"Missing game",0)</x:f>
        <x:v>fieldturf</x:v>
      </x:c>
      <x:c r="AU2332" t="n">
        <x:f>_xlfn.XLOOKUP($A2332,Games!$A$2:$A$18,Games!$P$2:$P$18,"Missing game",0)</x:f>
        <x:v>46</x:v>
      </x:c>
      <x:c r="AV2332" t="n">
        <x:f>_xlfn.XLOOKUP($A2332,Games!$A$2:$A$18,Games!$Q$2:$Q$18,"Missing game",0)</x:f>
        <x:v>20</x:v>
      </x:c>
      <x:c r="AW2332" t="str">
        <x:f>_xlfn.XLOOKUP($A2332,Games!$A$2:$A$18,Games!$R$2:$R$18,"Missing game",0)</x:f>
        <x:v>MetLife Stadium</x:v>
      </x:c>
    </x:row>
    <x:row r="2333">
      <x:c r="A2333" t="str">
        <x:v>2025_16_MIN_NYG</x:v>
      </x:c>
      <x:c r="B2333" t="n">
        <x:v>244</x:v>
      </x:c>
      <x:c r="C2333" t="n">
        <x:v>1</x:v>
      </x:c>
      <x:c r="D2333" t="str">
        <x:v>10:59</x:v>
      </x:c>
      <x:c r="E2333" t="n">
        <x:v>3</x:v>
      </x:c>
      <x:c r="F2333" t="n">
        <x:v>4</x:v>
      </x:c>
      <x:c r="G2333" t="str">
        <x:v>MIN</x:v>
      </x:c>
      <x:c r="H2333" t="str">
        <x:v>NYG</x:v>
      </x:c>
      <x:c r="I2333" t="str">
        <x:v>NYG</x:v>
      </x:c>
      <x:c r="J2333" t="n">
        <x:v>25</x:v>
      </x:c>
      <x:c r="K2333" t="str">
        <x:v>(10:59) (Shotgun) 9-J.McCarthy pass incomplete deep left to 3-J.Addison (97-D.Lawrence, 28-C.Flott) [97-D.Lawrence].</x:v>
      </x:c>
      <x:c r="L2333" t="str">
        <x:v>pass</x:v>
      </x:c>
      <x:c r="M2333" t="n">
        <x:v>0</x:v>
      </x:c>
      <x:c r="N2333" t="n">
        <x:v>1</x:v>
      </x:c>
      <x:c r="O2333" t="n">
        <x:v>0</x:v>
      </x:c>
      <x:c r="P2333" t="str">
        <x:v>deep</x:v>
      </x:c>
      <x:c r="Q2333" t="str">
        <x:v>left</x:v>
      </x:c>
      <x:c r="R2333" t="n">
        <x:v>25</x:v>
      </x:c>
      <x:c r="S2333"/>
      <x:c r="T2333"/>
      <x:c r="U2333"/>
      <x:c r="V2333" t="n">
        <x:v>0</x:v>
      </x:c>
      <x:c r="W2333" t="n">
        <x:v>0</x:v>
      </x:c>
      <x:c r="X2333" t="n">
        <x:v>0</x:v>
      </x:c>
      <x:c r="Y2333" t="n">
        <x:v>0</x:v>
      </x:c>
      <x:c r="Z2333" t="n">
        <x:v>0</x:v>
      </x:c>
      <x:c r="AA2333" t="n">
        <x:v>0</x:v>
      </x:c>
      <x:c r="AB2333"/>
      <x:c r="AC2333" t="n">
        <x:v>0</x:v>
      </x:c>
      <x:c r="AD2333" t="n">
        <x:v>-1.3035301731452806</x:v>
      </x:c>
      <x:c r="AE2333" t="n">
        <x:v>0</x:v>
      </x:c>
      <x:c r="AF2333" t="n">
        <x:v>-0.05627092719078064</x:v>
      </x:c>
      <x:c r="AG2333" t="n">
        <x:f>_xlfn.XLOOKUP($A2333,Games!$A$2:$A$18,Games!$B$2:$B$18,"Missing game",0)</x:f>
        <x:v>2025</x:v>
      </x:c>
      <x:c r="AH2333" t="str">
        <x:f>_xlfn.XLOOKUP($A2333,Games!$A$2:$A$18,Games!$C$2:$C$18,"Missing game",0)</x:f>
        <x:v>REG</x:v>
      </x:c>
      <x:c r="AI2333" t="n">
        <x:f>_xlfn.XLOOKUP($A2333,Games!$A$2:$A$18,Games!$D$2:$D$18,"Missing game",0)</x:f>
        <x:v>16</x:v>
      </x:c>
      <x:c r="AJ2333" s="1" t="n">
        <x:f>_xlfn.XLOOKUP($A2333,Games!$A$2:$A$18,Games!$E$2:$E$18,"Missing game",0)</x:f>
        <x:v>46012</x:v>
      </x:c>
      <x:c r="AK2333" t="str">
        <x:f>_xlfn.XLOOKUP($A2333,Games!$A$2:$A$18,Games!$F$2:$F$18,"Missing game",0)</x:f>
        <x:v>Sunday</x:v>
      </x:c>
      <x:c r="AL2333" t="str">
        <x:f>_xlfn.XLOOKUP($A2333,Games!$A$2:$A$18,Games!$G$2:$G$18,"Missing game",0)</x:f>
        <x:v>MIN</x:v>
      </x:c>
      <x:c r="AM2333" t="n">
        <x:f>_xlfn.XLOOKUP($A2333,Games!$A$2:$A$18,Games!$H$2:$H$18,"Missing game",0)</x:f>
        <x:v>16</x:v>
      </x:c>
      <x:c r="AN2333" t="str">
        <x:f>_xlfn.XLOOKUP($A2333,Games!$A$2:$A$18,Games!$I$2:$I$18,"Missing game",0)</x:f>
        <x:v>NYG</x:v>
      </x:c>
      <x:c r="AO2333" t="n">
        <x:f>_xlfn.XLOOKUP($A2333,Games!$A$2:$A$18,Games!$J$2:$J$18,"Missing game",0)</x:f>
        <x:v>13</x:v>
      </x:c>
      <x:c r="AP2333" t="n">
        <x:f>_xlfn.XLOOKUP($A2333,Games!$A$2:$A$18,Games!$K$2:$K$18,"Missing game",0)</x:f>
        <x:v>-3</x:v>
      </x:c>
      <x:c r="AQ2333" t="n">
        <x:f>_xlfn.XLOOKUP($A2333,Games!$A$2:$A$18,Games!$L$2:$L$18,"Missing game",0)</x:f>
        <x:v>29</x:v>
      </x:c>
      <x:c r="AR2333" t="n">
        <x:f>_xlfn.XLOOKUP($A2333,Games!$A$2:$A$18,Games!$M$2:$M$18,"Missing game",0)</x:f>
        <x:v>0</x:v>
      </x:c>
      <x:c r="AS2333" t="str">
        <x:f>_xlfn.XLOOKUP($A2333,Games!$A$2:$A$18,Games!$N$2:$N$18,"Missing game",0)</x:f>
        <x:v>outdoors</x:v>
      </x:c>
      <x:c r="AT2333" t="str">
        <x:f>_xlfn.XLOOKUP($A2333,Games!$A$2:$A$18,Games!$O$2:$O$18,"Missing game",0)</x:f>
        <x:v>fieldturf</x:v>
      </x:c>
      <x:c r="AU2333" t="n">
        <x:f>_xlfn.XLOOKUP($A2333,Games!$A$2:$A$18,Games!$P$2:$P$18,"Missing game",0)</x:f>
        <x:v>46</x:v>
      </x:c>
      <x:c r="AV2333" t="n">
        <x:f>_xlfn.XLOOKUP($A2333,Games!$A$2:$A$18,Games!$Q$2:$Q$18,"Missing game",0)</x:f>
        <x:v>20</x:v>
      </x:c>
      <x:c r="AW2333" t="str">
        <x:f>_xlfn.XLOOKUP($A2333,Games!$A$2:$A$18,Games!$R$2:$R$18,"Missing game",0)</x:f>
        <x:v>MetLife Stadium</x:v>
      </x:c>
    </x:row>
    <x:row r="2334">
      <x:c r="A2334" t="str">
        <x:v>2025_16_MIN_NYG</x:v>
      </x:c>
      <x:c r="B2334" t="n">
        <x:v>279</x:v>
      </x:c>
      <x:c r="C2334" t="n">
        <x:v>1</x:v>
      </x:c>
      <x:c r="D2334" t="str">
        <x:v>10:54</x:v>
      </x:c>
      <x:c r="E2334" t="n">
        <x:v>4</x:v>
      </x:c>
      <x:c r="F2334" t="n">
        <x:v>4</x:v>
      </x:c>
      <x:c r="G2334" t="str">
        <x:v>MIN</x:v>
      </x:c>
      <x:c r="H2334" t="str">
        <x:v>NYG</x:v>
      </x:c>
      <x:c r="I2334" t="str">
        <x:v>NYG</x:v>
      </x:c>
      <x:c r="J2334" t="n">
        <x:v>25</x:v>
      </x:c>
      <x:c r="K2334" t="str">
        <x:v>(10:54) 16-W.Reichard 43 yard field goal is GOOD, Center-42-A.DePaola, Holder-17-R.Wright.</x:v>
      </x:c>
      <x:c r="L2334" t="str">
        <x:v>field_goal</x:v>
      </x:c>
      <x:c r="M2334" t="n">
        <x:v>0</x:v>
      </x:c>
      <x:c r="N2334" t="n">
        <x:v>0</x:v>
      </x:c>
      <x:c r="O2334" t="n">
        <x:v>0</x:v>
      </x:c>
      <x:c r="P2334"/>
      <x:c r="Q2334"/>
      <x:c r="R2334"/>
      <x:c r="S2334"/>
      <x:c r="T2334"/>
      <x:c r="U2334"/>
      <x:c r="V2334" t="n">
        <x:v>0</x:v>
      </x:c>
      <x:c r="W2334" t="n">
        <x:v>0</x:v>
      </x:c>
      <x:c r="X2334" t="n">
        <x:v>0</x:v>
      </x:c>
      <x:c r="Y2334" t="n">
        <x:v>0</x:v>
      </x:c>
      <x:c r="Z2334" t="n">
        <x:v>0</x:v>
      </x:c>
      <x:c r="AA2334" t="n">
        <x:v>0</x:v>
      </x:c>
      <x:c r="AB2334"/>
      <x:c r="AC2334" t="n">
        <x:v>0</x:v>
      </x:c>
      <x:c r="AD2334" t="n">
        <x:v>0.8741264783330722</x:v>
      </x:c>
      <x:c r="AE2334" t="n">
        <x:v>1</x:v>
      </x:c>
      <x:c r="AF2334" t="n">
        <x:v>0.017275840044021606</x:v>
      </x:c>
      <x:c r="AG2334" t="n">
        <x:f>_xlfn.XLOOKUP($A2334,Games!$A$2:$A$18,Games!$B$2:$B$18,"Missing game",0)</x:f>
        <x:v>2025</x:v>
      </x:c>
      <x:c r="AH2334" t="str">
        <x:f>_xlfn.XLOOKUP($A2334,Games!$A$2:$A$18,Games!$C$2:$C$18,"Missing game",0)</x:f>
        <x:v>REG</x:v>
      </x:c>
      <x:c r="AI2334" t="n">
        <x:f>_xlfn.XLOOKUP($A2334,Games!$A$2:$A$18,Games!$D$2:$D$18,"Missing game",0)</x:f>
        <x:v>16</x:v>
      </x:c>
      <x:c r="AJ2334" s="1" t="n">
        <x:f>_xlfn.XLOOKUP($A2334,Games!$A$2:$A$18,Games!$E$2:$E$18,"Missing game",0)</x:f>
        <x:v>46012</x:v>
      </x:c>
      <x:c r="AK2334" t="str">
        <x:f>_xlfn.XLOOKUP($A2334,Games!$A$2:$A$18,Games!$F$2:$F$18,"Missing game",0)</x:f>
        <x:v>Sunday</x:v>
      </x:c>
      <x:c r="AL2334" t="str">
        <x:f>_xlfn.XLOOKUP($A2334,Games!$A$2:$A$18,Games!$G$2:$G$18,"Missing game",0)</x:f>
        <x:v>MIN</x:v>
      </x:c>
      <x:c r="AM2334" t="n">
        <x:f>_xlfn.XLOOKUP($A2334,Games!$A$2:$A$18,Games!$H$2:$H$18,"Missing game",0)</x:f>
        <x:v>16</x:v>
      </x:c>
      <x:c r="AN2334" t="str">
        <x:f>_xlfn.XLOOKUP($A2334,Games!$A$2:$A$18,Games!$I$2:$I$18,"Missing game",0)</x:f>
        <x:v>NYG</x:v>
      </x:c>
      <x:c r="AO2334" t="n">
        <x:f>_xlfn.XLOOKUP($A2334,Games!$A$2:$A$18,Games!$J$2:$J$18,"Missing game",0)</x:f>
        <x:v>13</x:v>
      </x:c>
      <x:c r="AP2334" t="n">
        <x:f>_xlfn.XLOOKUP($A2334,Games!$A$2:$A$18,Games!$K$2:$K$18,"Missing game",0)</x:f>
        <x:v>-3</x:v>
      </x:c>
      <x:c r="AQ2334" t="n">
        <x:f>_xlfn.XLOOKUP($A2334,Games!$A$2:$A$18,Games!$L$2:$L$18,"Missing game",0)</x:f>
        <x:v>29</x:v>
      </x:c>
      <x:c r="AR2334" t="n">
        <x:f>_xlfn.XLOOKUP($A2334,Games!$A$2:$A$18,Games!$M$2:$M$18,"Missing game",0)</x:f>
        <x:v>0</x:v>
      </x:c>
      <x:c r="AS2334" t="str">
        <x:f>_xlfn.XLOOKUP($A2334,Games!$A$2:$A$18,Games!$N$2:$N$18,"Missing game",0)</x:f>
        <x:v>outdoors</x:v>
      </x:c>
      <x:c r="AT2334" t="str">
        <x:f>_xlfn.XLOOKUP($A2334,Games!$A$2:$A$18,Games!$O$2:$O$18,"Missing game",0)</x:f>
        <x:v>fieldturf</x:v>
      </x:c>
      <x:c r="AU2334" t="n">
        <x:f>_xlfn.XLOOKUP($A2334,Games!$A$2:$A$18,Games!$P$2:$P$18,"Missing game",0)</x:f>
        <x:v>46</x:v>
      </x:c>
      <x:c r="AV2334" t="n">
        <x:f>_xlfn.XLOOKUP($A2334,Games!$A$2:$A$18,Games!$Q$2:$Q$18,"Missing game",0)</x:f>
        <x:v>20</x:v>
      </x:c>
      <x:c r="AW2334" t="str">
        <x:f>_xlfn.XLOOKUP($A2334,Games!$A$2:$A$18,Games!$R$2:$R$18,"Missing game",0)</x:f>
        <x:v>MetLife Stadium</x:v>
      </x:c>
    </x:row>
    <x:row r="2335">
      <x:c r="A2335" t="str">
        <x:v>2025_16_MIN_NYG</x:v>
      </x:c>
      <x:c r="B2335" t="n">
        <x:v>299</x:v>
      </x:c>
      <x:c r="C2335" t="n">
        <x:v>1</x:v>
      </x:c>
      <x:c r="D2335" t="str">
        <x:v>10:49</x:v>
      </x:c>
      <x:c r="E2335"/>
      <x:c r="F2335" t="n">
        <x:v>0</x:v>
      </x:c>
      <x:c r="G2335" t="str">
        <x:v>NYG</x:v>
      </x:c>
      <x:c r="H2335" t="str">
        <x:v>MIN</x:v>
      </x:c>
      <x:c r="I2335" t="str">
        <x:v>MIN</x:v>
      </x:c>
      <x:c r="J2335" t="n">
        <x:v>35</x:v>
      </x:c>
      <x:c r="K2335" t="str">
        <x:v>16-W.Reichard kicks 56 yards from MIN 35 to NYG 9. 2-D.Banks to NYG 35 for 26 yards (96-T.Batty).</x:v>
      </x:c>
      <x:c r="L2335" t="str">
        <x:v>kickoff</x:v>
      </x:c>
      <x:c r="M2335" t="n">
        <x:v>0</x:v>
      </x:c>
      <x:c r="N2335" t="n">
        <x:v>0</x:v>
      </x:c>
      <x:c r="O2335" t="n">
        <x:v>0</x:v>
      </x:c>
      <x:c r="P2335"/>
      <x:c r="Q2335"/>
      <x:c r="R2335"/>
      <x:c r="S2335"/>
      <x:c r="T2335"/>
      <x:c r="U2335"/>
      <x:c r="V2335" t="n">
        <x:v>0</x:v>
      </x:c>
      <x:c r="W2335" t="n">
        <x:v>0</x:v>
      </x:c>
      <x:c r="X2335" t="n">
        <x:v>0</x:v>
      </x:c>
      <x:c r="Y2335" t="n">
        <x:v>0</x:v>
      </x:c>
      <x:c r="Z2335" t="n">
        <x:v>0</x:v>
      </x:c>
      <x:c r="AA2335" t="n">
        <x:v>0</x:v>
      </x:c>
      <x:c r="AB2335"/>
      <x:c r="AC2335" t="n">
        <x:v>0</x:v>
      </x:c>
      <x:c r="AD2335" t="n">
        <x:v>0.5792362366337329</x:v>
      </x:c>
      <x:c r="AE2335" t="n">
        <x:v>1</x:v>
      </x:c>
      <x:c r="AF2335" t="n">
        <x:v>0.023276567459106445</x:v>
      </x:c>
      <x:c r="AG2335" t="n">
        <x:f>_xlfn.XLOOKUP($A2335,Games!$A$2:$A$18,Games!$B$2:$B$18,"Missing game",0)</x:f>
        <x:v>2025</x:v>
      </x:c>
      <x:c r="AH2335" t="str">
        <x:f>_xlfn.XLOOKUP($A2335,Games!$A$2:$A$18,Games!$C$2:$C$18,"Missing game",0)</x:f>
        <x:v>REG</x:v>
      </x:c>
      <x:c r="AI2335" t="n">
        <x:f>_xlfn.XLOOKUP($A2335,Games!$A$2:$A$18,Games!$D$2:$D$18,"Missing game",0)</x:f>
        <x:v>16</x:v>
      </x:c>
      <x:c r="AJ2335" s="1" t="n">
        <x:f>_xlfn.XLOOKUP($A2335,Games!$A$2:$A$18,Games!$E$2:$E$18,"Missing game",0)</x:f>
        <x:v>46012</x:v>
      </x:c>
      <x:c r="AK2335" t="str">
        <x:f>_xlfn.XLOOKUP($A2335,Games!$A$2:$A$18,Games!$F$2:$F$18,"Missing game",0)</x:f>
        <x:v>Sunday</x:v>
      </x:c>
      <x:c r="AL2335" t="str">
        <x:f>_xlfn.XLOOKUP($A2335,Games!$A$2:$A$18,Games!$G$2:$G$18,"Missing game",0)</x:f>
        <x:v>MIN</x:v>
      </x:c>
      <x:c r="AM2335" t="n">
        <x:f>_xlfn.XLOOKUP($A2335,Games!$A$2:$A$18,Games!$H$2:$H$18,"Missing game",0)</x:f>
        <x:v>16</x:v>
      </x:c>
      <x:c r="AN2335" t="str">
        <x:f>_xlfn.XLOOKUP($A2335,Games!$A$2:$A$18,Games!$I$2:$I$18,"Missing game",0)</x:f>
        <x:v>NYG</x:v>
      </x:c>
      <x:c r="AO2335" t="n">
        <x:f>_xlfn.XLOOKUP($A2335,Games!$A$2:$A$18,Games!$J$2:$J$18,"Missing game",0)</x:f>
        <x:v>13</x:v>
      </x:c>
      <x:c r="AP2335" t="n">
        <x:f>_xlfn.XLOOKUP($A2335,Games!$A$2:$A$18,Games!$K$2:$K$18,"Missing game",0)</x:f>
        <x:v>-3</x:v>
      </x:c>
      <x:c r="AQ2335" t="n">
        <x:f>_xlfn.XLOOKUP($A2335,Games!$A$2:$A$18,Games!$L$2:$L$18,"Missing game",0)</x:f>
        <x:v>29</x:v>
      </x:c>
      <x:c r="AR2335" t="n">
        <x:f>_xlfn.XLOOKUP($A2335,Games!$A$2:$A$18,Games!$M$2:$M$18,"Missing game",0)</x:f>
        <x:v>0</x:v>
      </x:c>
      <x:c r="AS2335" t="str">
        <x:f>_xlfn.XLOOKUP($A2335,Games!$A$2:$A$18,Games!$N$2:$N$18,"Missing game",0)</x:f>
        <x:v>outdoors</x:v>
      </x:c>
      <x:c r="AT2335" t="str">
        <x:f>_xlfn.XLOOKUP($A2335,Games!$A$2:$A$18,Games!$O$2:$O$18,"Missing game",0)</x:f>
        <x:v>fieldturf</x:v>
      </x:c>
      <x:c r="AU2335" t="n">
        <x:f>_xlfn.XLOOKUP($A2335,Games!$A$2:$A$18,Games!$P$2:$P$18,"Missing game",0)</x:f>
        <x:v>46</x:v>
      </x:c>
      <x:c r="AV2335" t="n">
        <x:f>_xlfn.XLOOKUP($A2335,Games!$A$2:$A$18,Games!$Q$2:$Q$18,"Missing game",0)</x:f>
        <x:v>20</x:v>
      </x:c>
      <x:c r="AW2335" t="str">
        <x:f>_xlfn.XLOOKUP($A2335,Games!$A$2:$A$18,Games!$R$2:$R$18,"Missing game",0)</x:f>
        <x:v>MetLife Stadium</x:v>
      </x:c>
    </x:row>
    <x:row r="2336">
      <x:c r="A2336" t="str">
        <x:v>2025_16_MIN_NYG</x:v>
      </x:c>
      <x:c r="B2336" t="n">
        <x:v>329</x:v>
      </x:c>
      <x:c r="C2336" t="n">
        <x:v>1</x:v>
      </x:c>
      <x:c r="D2336" t="str">
        <x:v>10:43</x:v>
      </x:c>
      <x:c r="E2336" t="n">
        <x:v>1</x:v>
      </x:c>
      <x:c r="F2336" t="n">
        <x:v>10</x:v>
      </x:c>
      <x:c r="G2336" t="str">
        <x:v>NYG</x:v>
      </x:c>
      <x:c r="H2336" t="str">
        <x:v>MIN</x:v>
      </x:c>
      <x:c r="I2336" t="str">
        <x:v>NYG</x:v>
      </x:c>
      <x:c r="J2336" t="n">
        <x:v>65</x:v>
      </x:c>
      <x:c r="K2336" t="str">
        <x:v>(10:43) 29-T.Tracy left tackle pushed ob at MIN 47 for 18 yards (2-I.Rodgers).</x:v>
      </x:c>
      <x:c r="L2336" t="str">
        <x:v>run</x:v>
      </x:c>
      <x:c r="M2336" t="n">
        <x:v>18</x:v>
      </x:c>
      <x:c r="N2336" t="n">
        <x:v>0</x:v>
      </x:c>
      <x:c r="O2336" t="n">
        <x:v>0</x:v>
      </x:c>
      <x:c r="P2336"/>
      <x:c r="Q2336"/>
      <x:c r="R2336"/>
      <x:c r="S2336"/>
      <x:c r="T2336" t="str">
        <x:v>left</x:v>
      </x:c>
      <x:c r="U2336" t="str">
        <x:v>tackle</x:v>
      </x:c>
      <x:c r="V2336" t="n">
        <x:v>0</x:v>
      </x:c>
      <x:c r="W2336" t="n">
        <x:v>1</x:v>
      </x:c>
      <x:c r="X2336" t="n">
        <x:v>0</x:v>
      </x:c>
      <x:c r="Y2336" t="n">
        <x:v>0</x:v>
      </x:c>
      <x:c r="Z2336" t="n">
        <x:v>0</x:v>
      </x:c>
      <x:c r="AA2336" t="n">
        <x:v>0</x:v>
      </x:c>
      <x:c r="AB2336"/>
      <x:c r="AC2336" t="n">
        <x:v>0</x:v>
      </x:c>
      <x:c r="AD2336" t="n">
        <x:v>1.1832715587224811</x:v>
      </x:c>
      <x:c r="AE2336" t="n">
        <x:v>1</x:v>
      </x:c>
      <x:c r="AF2336" t="n">
        <x:v>0.03442639112472534</x:v>
      </x:c>
      <x:c r="AG2336" t="n">
        <x:f>_xlfn.XLOOKUP($A2336,Games!$A$2:$A$18,Games!$B$2:$B$18,"Missing game",0)</x:f>
        <x:v>2025</x:v>
      </x:c>
      <x:c r="AH2336" t="str">
        <x:f>_xlfn.XLOOKUP($A2336,Games!$A$2:$A$18,Games!$C$2:$C$18,"Missing game",0)</x:f>
        <x:v>REG</x:v>
      </x:c>
      <x:c r="AI2336" t="n">
        <x:f>_xlfn.XLOOKUP($A2336,Games!$A$2:$A$18,Games!$D$2:$D$18,"Missing game",0)</x:f>
        <x:v>16</x:v>
      </x:c>
      <x:c r="AJ2336" s="1" t="n">
        <x:f>_xlfn.XLOOKUP($A2336,Games!$A$2:$A$18,Games!$E$2:$E$18,"Missing game",0)</x:f>
        <x:v>46012</x:v>
      </x:c>
      <x:c r="AK2336" t="str">
        <x:f>_xlfn.XLOOKUP($A2336,Games!$A$2:$A$18,Games!$F$2:$F$18,"Missing game",0)</x:f>
        <x:v>Sunday</x:v>
      </x:c>
      <x:c r="AL2336" t="str">
        <x:f>_xlfn.XLOOKUP($A2336,Games!$A$2:$A$18,Games!$G$2:$G$18,"Missing game",0)</x:f>
        <x:v>MIN</x:v>
      </x:c>
      <x:c r="AM2336" t="n">
        <x:f>_xlfn.XLOOKUP($A2336,Games!$A$2:$A$18,Games!$H$2:$H$18,"Missing game",0)</x:f>
        <x:v>16</x:v>
      </x:c>
      <x:c r="AN2336" t="str">
        <x:f>_xlfn.XLOOKUP($A2336,Games!$A$2:$A$18,Games!$I$2:$I$18,"Missing game",0)</x:f>
        <x:v>NYG</x:v>
      </x:c>
      <x:c r="AO2336" t="n">
        <x:f>_xlfn.XLOOKUP($A2336,Games!$A$2:$A$18,Games!$J$2:$J$18,"Missing game",0)</x:f>
        <x:v>13</x:v>
      </x:c>
      <x:c r="AP2336" t="n">
        <x:f>_xlfn.XLOOKUP($A2336,Games!$A$2:$A$18,Games!$K$2:$K$18,"Missing game",0)</x:f>
        <x:v>-3</x:v>
      </x:c>
      <x:c r="AQ2336" t="n">
        <x:f>_xlfn.XLOOKUP($A2336,Games!$A$2:$A$18,Games!$L$2:$L$18,"Missing game",0)</x:f>
        <x:v>29</x:v>
      </x:c>
      <x:c r="AR2336" t="n">
        <x:f>_xlfn.XLOOKUP($A2336,Games!$A$2:$A$18,Games!$M$2:$M$18,"Missing game",0)</x:f>
        <x:v>0</x:v>
      </x:c>
      <x:c r="AS2336" t="str">
        <x:f>_xlfn.XLOOKUP($A2336,Games!$A$2:$A$18,Games!$N$2:$N$18,"Missing game",0)</x:f>
        <x:v>outdoors</x:v>
      </x:c>
      <x:c r="AT2336" t="str">
        <x:f>_xlfn.XLOOKUP($A2336,Games!$A$2:$A$18,Games!$O$2:$O$18,"Missing game",0)</x:f>
        <x:v>fieldturf</x:v>
      </x:c>
      <x:c r="AU2336" t="n">
        <x:f>_xlfn.XLOOKUP($A2336,Games!$A$2:$A$18,Games!$P$2:$P$18,"Missing game",0)</x:f>
        <x:v>46</x:v>
      </x:c>
      <x:c r="AV2336" t="n">
        <x:f>_xlfn.XLOOKUP($A2336,Games!$A$2:$A$18,Games!$Q$2:$Q$18,"Missing game",0)</x:f>
        <x:v>20</x:v>
      </x:c>
      <x:c r="AW2336" t="str">
        <x:f>_xlfn.XLOOKUP($A2336,Games!$A$2:$A$18,Games!$R$2:$R$18,"Missing game",0)</x:f>
        <x:v>MetLife Stadium</x:v>
      </x:c>
    </x:row>
    <x:row r="2337">
      <x:c r="A2337" t="str">
        <x:v>2025_16_MIN_NYG</x:v>
      </x:c>
      <x:c r="B2337" t="n">
        <x:v>356</x:v>
      </x:c>
      <x:c r="C2337" t="n">
        <x:v>1</x:v>
      </x:c>
      <x:c r="D2337" t="str">
        <x:v>10:05</x:v>
      </x:c>
      <x:c r="E2337" t="n">
        <x:v>1</x:v>
      </x:c>
      <x:c r="F2337" t="n">
        <x:v>10</x:v>
      </x:c>
      <x:c r="G2337" t="str">
        <x:v>NYG</x:v>
      </x:c>
      <x:c r="H2337" t="str">
        <x:v>MIN</x:v>
      </x:c>
      <x:c r="I2337" t="str">
        <x:v>MIN</x:v>
      </x:c>
      <x:c r="J2337" t="n">
        <x:v>47</x:v>
      </x:c>
      <x:c r="K2337" t="str">
        <x:v>(10:05) 29-T.Tracy up the middle to MIN 34 for 13 yards (22-H.Smith).</x:v>
      </x:c>
      <x:c r="L2337" t="str">
        <x:v>run</x:v>
      </x:c>
      <x:c r="M2337" t="n">
        <x:v>13</x:v>
      </x:c>
      <x:c r="N2337" t="n">
        <x:v>0</x:v>
      </x:c>
      <x:c r="O2337" t="n">
        <x:v>0</x:v>
      </x:c>
      <x:c r="P2337"/>
      <x:c r="Q2337"/>
      <x:c r="R2337"/>
      <x:c r="S2337"/>
      <x:c r="T2337" t="str">
        <x:v>middle</x:v>
      </x:c>
      <x:c r="U2337"/>
      <x:c r="V2337" t="n">
        <x:v>0</x:v>
      </x:c>
      <x:c r="W2337" t="n">
        <x:v>1</x:v>
      </x:c>
      <x:c r="X2337" t="n">
        <x:v>0</x:v>
      </x:c>
      <x:c r="Y2337" t="n">
        <x:v>0</x:v>
      </x:c>
      <x:c r="Z2337" t="n">
        <x:v>0</x:v>
      </x:c>
      <x:c r="AA2337" t="n">
        <x:v>0</x:v>
      </x:c>
      <x:c r="AB2337"/>
      <x:c r="AC2337" t="n">
        <x:v>0</x:v>
      </x:c>
      <x:c r="AD2337" t="n">
        <x:v>0.690791345667094</x:v>
      </x:c>
      <x:c r="AE2337" t="n">
        <x:v>1</x:v>
      </x:c>
      <x:c r="AF2337" t="n">
        <x:v>0.04021346569061279</x:v>
      </x:c>
      <x:c r="AG2337" t="n">
        <x:f>_xlfn.XLOOKUP($A2337,Games!$A$2:$A$18,Games!$B$2:$B$18,"Missing game",0)</x:f>
        <x:v>2025</x:v>
      </x:c>
      <x:c r="AH2337" t="str">
        <x:f>_xlfn.XLOOKUP($A2337,Games!$A$2:$A$18,Games!$C$2:$C$18,"Missing game",0)</x:f>
        <x:v>REG</x:v>
      </x:c>
      <x:c r="AI2337" t="n">
        <x:f>_xlfn.XLOOKUP($A2337,Games!$A$2:$A$18,Games!$D$2:$D$18,"Missing game",0)</x:f>
        <x:v>16</x:v>
      </x:c>
      <x:c r="AJ2337" s="1" t="n">
        <x:f>_xlfn.XLOOKUP($A2337,Games!$A$2:$A$18,Games!$E$2:$E$18,"Missing game",0)</x:f>
        <x:v>46012</x:v>
      </x:c>
      <x:c r="AK2337" t="str">
        <x:f>_xlfn.XLOOKUP($A2337,Games!$A$2:$A$18,Games!$F$2:$F$18,"Missing game",0)</x:f>
        <x:v>Sunday</x:v>
      </x:c>
      <x:c r="AL2337" t="str">
        <x:f>_xlfn.XLOOKUP($A2337,Games!$A$2:$A$18,Games!$G$2:$G$18,"Missing game",0)</x:f>
        <x:v>MIN</x:v>
      </x:c>
      <x:c r="AM2337" t="n">
        <x:f>_xlfn.XLOOKUP($A2337,Games!$A$2:$A$18,Games!$H$2:$H$18,"Missing game",0)</x:f>
        <x:v>16</x:v>
      </x:c>
      <x:c r="AN2337" t="str">
        <x:f>_xlfn.XLOOKUP($A2337,Games!$A$2:$A$18,Games!$I$2:$I$18,"Missing game",0)</x:f>
        <x:v>NYG</x:v>
      </x:c>
      <x:c r="AO2337" t="n">
        <x:f>_xlfn.XLOOKUP($A2337,Games!$A$2:$A$18,Games!$J$2:$J$18,"Missing game",0)</x:f>
        <x:v>13</x:v>
      </x:c>
      <x:c r="AP2337" t="n">
        <x:f>_xlfn.XLOOKUP($A2337,Games!$A$2:$A$18,Games!$K$2:$K$18,"Missing game",0)</x:f>
        <x:v>-3</x:v>
      </x:c>
      <x:c r="AQ2337" t="n">
        <x:f>_xlfn.XLOOKUP($A2337,Games!$A$2:$A$18,Games!$L$2:$L$18,"Missing game",0)</x:f>
        <x:v>29</x:v>
      </x:c>
      <x:c r="AR2337" t="n">
        <x:f>_xlfn.XLOOKUP($A2337,Games!$A$2:$A$18,Games!$M$2:$M$18,"Missing game",0)</x:f>
        <x:v>0</x:v>
      </x:c>
      <x:c r="AS2337" t="str">
        <x:f>_xlfn.XLOOKUP($A2337,Games!$A$2:$A$18,Games!$N$2:$N$18,"Missing game",0)</x:f>
        <x:v>outdoors</x:v>
      </x:c>
      <x:c r="AT2337" t="str">
        <x:f>_xlfn.XLOOKUP($A2337,Games!$A$2:$A$18,Games!$O$2:$O$18,"Missing game",0)</x:f>
        <x:v>fieldturf</x:v>
      </x:c>
      <x:c r="AU2337" t="n">
        <x:f>_xlfn.XLOOKUP($A2337,Games!$A$2:$A$18,Games!$P$2:$P$18,"Missing game",0)</x:f>
        <x:v>46</x:v>
      </x:c>
      <x:c r="AV2337" t="n">
        <x:f>_xlfn.XLOOKUP($A2337,Games!$A$2:$A$18,Games!$Q$2:$Q$18,"Missing game",0)</x:f>
        <x:v>20</x:v>
      </x:c>
      <x:c r="AW2337" t="str">
        <x:f>_xlfn.XLOOKUP($A2337,Games!$A$2:$A$18,Games!$R$2:$R$18,"Missing game",0)</x:f>
        <x:v>MetLife Stadium</x:v>
      </x:c>
    </x:row>
    <x:row r="2338">
      <x:c r="A2338" t="str">
        <x:v>2025_16_MIN_NYG</x:v>
      </x:c>
      <x:c r="B2338" t="n">
        <x:v>378</x:v>
      </x:c>
      <x:c r="C2338" t="n">
        <x:v>1</x:v>
      </x:c>
      <x:c r="D2338" t="str">
        <x:v>09:27</x:v>
      </x:c>
      <x:c r="E2338" t="n">
        <x:v>1</x:v>
      </x:c>
      <x:c r="F2338" t="n">
        <x:v>10</x:v>
      </x:c>
      <x:c r="G2338" t="str">
        <x:v>NYG</x:v>
      </x:c>
      <x:c r="H2338" t="str">
        <x:v>MIN</x:v>
      </x:c>
      <x:c r="I2338" t="str">
        <x:v>MIN</x:v>
      </x:c>
      <x:c r="J2338" t="n">
        <x:v>34</x:v>
      </x:c>
      <x:c r="K2338" t="str">
        <x:v>(9:27) 29-T.Tracy left guard to MIN 32 for 2 yards (61-J.Redmond; 51-B.Cashman).</x:v>
      </x:c>
      <x:c r="L2338" t="str">
        <x:v>run</x:v>
      </x:c>
      <x:c r="M2338" t="n">
        <x:v>2</x:v>
      </x:c>
      <x:c r="N2338" t="n">
        <x:v>0</x:v>
      </x:c>
      <x:c r="O2338" t="n">
        <x:v>0</x:v>
      </x:c>
      <x:c r="P2338"/>
      <x:c r="Q2338"/>
      <x:c r="R2338"/>
      <x:c r="S2338"/>
      <x:c r="T2338" t="str">
        <x:v>left</x:v>
      </x:c>
      <x:c r="U2338" t="str">
        <x:v>guard</x:v>
      </x:c>
      <x:c r="V2338" t="n">
        <x:v>0</x:v>
      </x:c>
      <x:c r="W2338" t="n">
        <x:v>0</x:v>
      </x:c>
      <x:c r="X2338" t="n">
        <x:v>0</x:v>
      </x:c>
      <x:c r="Y2338" t="n">
        <x:v>0</x:v>
      </x:c>
      <x:c r="Z2338" t="n">
        <x:v>0</x:v>
      </x:c>
      <x:c r="AA2338" t="n">
        <x:v>0</x:v>
      </x:c>
      <x:c r="AB2338"/>
      <x:c r="AC2338" t="n">
        <x:v>0</x:v>
      </x:c>
      <x:c r="AD2338" t="n">
        <x:v>-0.2706459827022627</x:v>
      </x:c>
      <x:c r="AE2338" t="n">
        <x:v>0</x:v>
      </x:c>
      <x:c r="AF2338" t="n">
        <x:v>-0.014255881309509277</x:v>
      </x:c>
      <x:c r="AG2338" t="n">
        <x:f>_xlfn.XLOOKUP($A2338,Games!$A$2:$A$18,Games!$B$2:$B$18,"Missing game",0)</x:f>
        <x:v>2025</x:v>
      </x:c>
      <x:c r="AH2338" t="str">
        <x:f>_xlfn.XLOOKUP($A2338,Games!$A$2:$A$18,Games!$C$2:$C$18,"Missing game",0)</x:f>
        <x:v>REG</x:v>
      </x:c>
      <x:c r="AI2338" t="n">
        <x:f>_xlfn.XLOOKUP($A2338,Games!$A$2:$A$18,Games!$D$2:$D$18,"Missing game",0)</x:f>
        <x:v>16</x:v>
      </x:c>
      <x:c r="AJ2338" s="1" t="n">
        <x:f>_xlfn.XLOOKUP($A2338,Games!$A$2:$A$18,Games!$E$2:$E$18,"Missing game",0)</x:f>
        <x:v>46012</x:v>
      </x:c>
      <x:c r="AK2338" t="str">
        <x:f>_xlfn.XLOOKUP($A2338,Games!$A$2:$A$18,Games!$F$2:$F$18,"Missing game",0)</x:f>
        <x:v>Sunday</x:v>
      </x:c>
      <x:c r="AL2338" t="str">
        <x:f>_xlfn.XLOOKUP($A2338,Games!$A$2:$A$18,Games!$G$2:$G$18,"Missing game",0)</x:f>
        <x:v>MIN</x:v>
      </x:c>
      <x:c r="AM2338" t="n">
        <x:f>_xlfn.XLOOKUP($A2338,Games!$A$2:$A$18,Games!$H$2:$H$18,"Missing game",0)</x:f>
        <x:v>16</x:v>
      </x:c>
      <x:c r="AN2338" t="str">
        <x:f>_xlfn.XLOOKUP($A2338,Games!$A$2:$A$18,Games!$I$2:$I$18,"Missing game",0)</x:f>
        <x:v>NYG</x:v>
      </x:c>
      <x:c r="AO2338" t="n">
        <x:f>_xlfn.XLOOKUP($A2338,Games!$A$2:$A$18,Games!$J$2:$J$18,"Missing game",0)</x:f>
        <x:v>13</x:v>
      </x:c>
      <x:c r="AP2338" t="n">
        <x:f>_xlfn.XLOOKUP($A2338,Games!$A$2:$A$18,Games!$K$2:$K$18,"Missing game",0)</x:f>
        <x:v>-3</x:v>
      </x:c>
      <x:c r="AQ2338" t="n">
        <x:f>_xlfn.XLOOKUP($A2338,Games!$A$2:$A$18,Games!$L$2:$L$18,"Missing game",0)</x:f>
        <x:v>29</x:v>
      </x:c>
      <x:c r="AR2338" t="n">
        <x:f>_xlfn.XLOOKUP($A2338,Games!$A$2:$A$18,Games!$M$2:$M$18,"Missing game",0)</x:f>
        <x:v>0</x:v>
      </x:c>
      <x:c r="AS2338" t="str">
        <x:f>_xlfn.XLOOKUP($A2338,Games!$A$2:$A$18,Games!$N$2:$N$18,"Missing game",0)</x:f>
        <x:v>outdoors</x:v>
      </x:c>
      <x:c r="AT2338" t="str">
        <x:f>_xlfn.XLOOKUP($A2338,Games!$A$2:$A$18,Games!$O$2:$O$18,"Missing game",0)</x:f>
        <x:v>fieldturf</x:v>
      </x:c>
      <x:c r="AU2338" t="n">
        <x:f>_xlfn.XLOOKUP($A2338,Games!$A$2:$A$18,Games!$P$2:$P$18,"Missing game",0)</x:f>
        <x:v>46</x:v>
      </x:c>
      <x:c r="AV2338" t="n">
        <x:f>_xlfn.XLOOKUP($A2338,Games!$A$2:$A$18,Games!$Q$2:$Q$18,"Missing game",0)</x:f>
        <x:v>20</x:v>
      </x:c>
      <x:c r="AW2338" t="str">
        <x:f>_xlfn.XLOOKUP($A2338,Games!$A$2:$A$18,Games!$R$2:$R$18,"Missing game",0)</x:f>
        <x:v>MetLife Stadium</x:v>
      </x:c>
    </x:row>
    <x:row r="2339">
      <x:c r="A2339" t="str">
        <x:v>2025_16_MIN_NYG</x:v>
      </x:c>
      <x:c r="B2339" t="n">
        <x:v>400</x:v>
      </x:c>
      <x:c r="C2339" t="n">
        <x:v>1</x:v>
      </x:c>
      <x:c r="D2339" t="str">
        <x:v>08:48</x:v>
      </x:c>
      <x:c r="E2339" t="n">
        <x:v>2</x:v>
      </x:c>
      <x:c r="F2339" t="n">
        <x:v>8</x:v>
      </x:c>
      <x:c r="G2339" t="str">
        <x:v>NYG</x:v>
      </x:c>
      <x:c r="H2339" t="str">
        <x:v>MIN</x:v>
      </x:c>
      <x:c r="I2339" t="str">
        <x:v>MIN</x:v>
      </x:c>
      <x:c r="J2339" t="n">
        <x:v>32</x:v>
      </x:c>
      <x:c r="K2339" t="str">
        <x:v>(8:48) 29-T.Tracy right end to MIN 30 for 2 yards (7-B.Murphy; 24-J.Ward).</x:v>
      </x:c>
      <x:c r="L2339" t="str">
        <x:v>run</x:v>
      </x:c>
      <x:c r="M2339" t="n">
        <x:v>2</x:v>
      </x:c>
      <x:c r="N2339" t="n">
        <x:v>0</x:v>
      </x:c>
      <x:c r="O2339" t="n">
        <x:v>0</x:v>
      </x:c>
      <x:c r="P2339"/>
      <x:c r="Q2339"/>
      <x:c r="R2339"/>
      <x:c r="S2339"/>
      <x:c r="T2339" t="str">
        <x:v>right</x:v>
      </x:c>
      <x:c r="U2339" t="str">
        <x:v>end</x:v>
      </x:c>
      <x:c r="V2339" t="n">
        <x:v>0</x:v>
      </x:c>
      <x:c r="W2339" t="n">
        <x:v>0</x:v>
      </x:c>
      <x:c r="X2339" t="n">
        <x:v>0</x:v>
      </x:c>
      <x:c r="Y2339" t="n">
        <x:v>0</x:v>
      </x:c>
      <x:c r="Z2339" t="n">
        <x:v>0</x:v>
      </x:c>
      <x:c r="AA2339" t="n">
        <x:v>0</x:v>
      </x:c>
      <x:c r="AB2339"/>
      <x:c r="AC2339" t="n">
        <x:v>0</x:v>
      </x:c>
      <x:c r="AD2339" t="n">
        <x:v>-0.5450403625145555</x:v>
      </x:c>
      <x:c r="AE2339" t="n">
        <x:v>0</x:v>
      </x:c>
      <x:c r="AF2339" t="n">
        <x:v>-0.020505249500274658</x:v>
      </x:c>
      <x:c r="AG2339" t="n">
        <x:f>_xlfn.XLOOKUP($A2339,Games!$A$2:$A$18,Games!$B$2:$B$18,"Missing game",0)</x:f>
        <x:v>2025</x:v>
      </x:c>
      <x:c r="AH2339" t="str">
        <x:f>_xlfn.XLOOKUP($A2339,Games!$A$2:$A$18,Games!$C$2:$C$18,"Missing game",0)</x:f>
        <x:v>REG</x:v>
      </x:c>
      <x:c r="AI2339" t="n">
        <x:f>_xlfn.XLOOKUP($A2339,Games!$A$2:$A$18,Games!$D$2:$D$18,"Missing game",0)</x:f>
        <x:v>16</x:v>
      </x:c>
      <x:c r="AJ2339" s="1" t="n">
        <x:f>_xlfn.XLOOKUP($A2339,Games!$A$2:$A$18,Games!$E$2:$E$18,"Missing game",0)</x:f>
        <x:v>46012</x:v>
      </x:c>
      <x:c r="AK2339" t="str">
        <x:f>_xlfn.XLOOKUP($A2339,Games!$A$2:$A$18,Games!$F$2:$F$18,"Missing game",0)</x:f>
        <x:v>Sunday</x:v>
      </x:c>
      <x:c r="AL2339" t="str">
        <x:f>_xlfn.XLOOKUP($A2339,Games!$A$2:$A$18,Games!$G$2:$G$18,"Missing game",0)</x:f>
        <x:v>MIN</x:v>
      </x:c>
      <x:c r="AM2339" t="n">
        <x:f>_xlfn.XLOOKUP($A2339,Games!$A$2:$A$18,Games!$H$2:$H$18,"Missing game",0)</x:f>
        <x:v>16</x:v>
      </x:c>
      <x:c r="AN2339" t="str">
        <x:f>_xlfn.XLOOKUP($A2339,Games!$A$2:$A$18,Games!$I$2:$I$18,"Missing game",0)</x:f>
        <x:v>NYG</x:v>
      </x:c>
      <x:c r="AO2339" t="n">
        <x:f>_xlfn.XLOOKUP($A2339,Games!$A$2:$A$18,Games!$J$2:$J$18,"Missing game",0)</x:f>
        <x:v>13</x:v>
      </x:c>
      <x:c r="AP2339" t="n">
        <x:f>_xlfn.XLOOKUP($A2339,Games!$A$2:$A$18,Games!$K$2:$K$18,"Missing game",0)</x:f>
        <x:v>-3</x:v>
      </x:c>
      <x:c r="AQ2339" t="n">
        <x:f>_xlfn.XLOOKUP($A2339,Games!$A$2:$A$18,Games!$L$2:$L$18,"Missing game",0)</x:f>
        <x:v>29</x:v>
      </x:c>
      <x:c r="AR2339" t="n">
        <x:f>_xlfn.XLOOKUP($A2339,Games!$A$2:$A$18,Games!$M$2:$M$18,"Missing game",0)</x:f>
        <x:v>0</x:v>
      </x:c>
      <x:c r="AS2339" t="str">
        <x:f>_xlfn.XLOOKUP($A2339,Games!$A$2:$A$18,Games!$N$2:$N$18,"Missing game",0)</x:f>
        <x:v>outdoors</x:v>
      </x:c>
      <x:c r="AT2339" t="str">
        <x:f>_xlfn.XLOOKUP($A2339,Games!$A$2:$A$18,Games!$O$2:$O$18,"Missing game",0)</x:f>
        <x:v>fieldturf</x:v>
      </x:c>
      <x:c r="AU2339" t="n">
        <x:f>_xlfn.XLOOKUP($A2339,Games!$A$2:$A$18,Games!$P$2:$P$18,"Missing game",0)</x:f>
        <x:v>46</x:v>
      </x:c>
      <x:c r="AV2339" t="n">
        <x:f>_xlfn.XLOOKUP($A2339,Games!$A$2:$A$18,Games!$Q$2:$Q$18,"Missing game",0)</x:f>
        <x:v>20</x:v>
      </x:c>
      <x:c r="AW2339" t="str">
        <x:f>_xlfn.XLOOKUP($A2339,Games!$A$2:$A$18,Games!$R$2:$R$18,"Missing game",0)</x:f>
        <x:v>MetLife Stadium</x:v>
      </x:c>
    </x:row>
    <x:row r="2340">
      <x:c r="A2340" t="str">
        <x:v>2025_16_MIN_NYG</x:v>
      </x:c>
      <x:c r="B2340" t="n">
        <x:v>432</x:v>
      </x:c>
      <x:c r="C2340" t="n">
        <x:v>1</x:v>
      </x:c>
      <x:c r="D2340" t="str">
        <x:v>08:05</x:v>
      </x:c>
      <x:c r="E2340" t="n">
        <x:v>3</x:v>
      </x:c>
      <x:c r="F2340" t="n">
        <x:v>6</x:v>
      </x:c>
      <x:c r="G2340" t="str">
        <x:v>NYG</x:v>
      </x:c>
      <x:c r="H2340" t="str">
        <x:v>MIN</x:v>
      </x:c>
      <x:c r="I2340" t="str">
        <x:v>MIN</x:v>
      </x:c>
      <x:c r="J2340" t="n">
        <x:v>30</x:v>
      </x:c>
      <x:c r="K2340" t="str">
        <x:v>(8:05) (Shotgun) 6-J.Dart pass incomplete short left to 17-W.Robinson. Penalty on MIN-7-B.Murphy, Defensive Pass Interference, offsetting, enforced at MIN 30 - No Play. Penalty on NYG-64-A.Stinnie, Offensive Holding, offsetting.</x:v>
      </x:c>
      <x:c r="L2340" t="str">
        <x:v>no_play</x:v>
      </x:c>
      <x:c r="M2340"/>
      <x:c r="N2340" t="n">
        <x:v>1</x:v>
      </x:c>
      <x:c r="O2340" t="n">
        <x:v>0</x:v>
      </x:c>
      <x:c r="P2340"/>
      <x:c r="Q2340"/>
      <x:c r="R2340"/>
      <x:c r="S2340"/>
      <x:c r="T2340"/>
      <x:c r="U2340"/>
      <x:c r="V2340"/>
      <x:c r="W2340"/>
      <x:c r="X2340"/>
      <x:c r="Y2340"/>
      <x:c r="Z2340"/>
      <x:c r="AA2340"/>
      <x:c r="AB2340"/>
      <x:c r="AC2340"/>
      <x:c r="AD2340" t="n">
        <x:v>-0.003168963943608105</x:v>
      </x:c>
      <x:c r="AE2340" t="n">
        <x:v>0</x:v>
      </x:c>
      <x:c r="AF2340" t="n">
        <x:v>0</x:v>
      </x:c>
      <x:c r="AG2340" t="n">
        <x:f>_xlfn.XLOOKUP($A2340,Games!$A$2:$A$18,Games!$B$2:$B$18,"Missing game",0)</x:f>
        <x:v>2025</x:v>
      </x:c>
      <x:c r="AH2340" t="str">
        <x:f>_xlfn.XLOOKUP($A2340,Games!$A$2:$A$18,Games!$C$2:$C$18,"Missing game",0)</x:f>
        <x:v>REG</x:v>
      </x:c>
      <x:c r="AI2340" t="n">
        <x:f>_xlfn.XLOOKUP($A2340,Games!$A$2:$A$18,Games!$D$2:$D$18,"Missing game",0)</x:f>
        <x:v>16</x:v>
      </x:c>
      <x:c r="AJ2340" s="1" t="n">
        <x:f>_xlfn.XLOOKUP($A2340,Games!$A$2:$A$18,Games!$E$2:$E$18,"Missing game",0)</x:f>
        <x:v>46012</x:v>
      </x:c>
      <x:c r="AK2340" t="str">
        <x:f>_xlfn.XLOOKUP($A2340,Games!$A$2:$A$18,Games!$F$2:$F$18,"Missing game",0)</x:f>
        <x:v>Sunday</x:v>
      </x:c>
      <x:c r="AL2340" t="str">
        <x:f>_xlfn.XLOOKUP($A2340,Games!$A$2:$A$18,Games!$G$2:$G$18,"Missing game",0)</x:f>
        <x:v>MIN</x:v>
      </x:c>
      <x:c r="AM2340" t="n">
        <x:f>_xlfn.XLOOKUP($A2340,Games!$A$2:$A$18,Games!$H$2:$H$18,"Missing game",0)</x:f>
        <x:v>16</x:v>
      </x:c>
      <x:c r="AN2340" t="str">
        <x:f>_xlfn.XLOOKUP($A2340,Games!$A$2:$A$18,Games!$I$2:$I$18,"Missing game",0)</x:f>
        <x:v>NYG</x:v>
      </x:c>
      <x:c r="AO2340" t="n">
        <x:f>_xlfn.XLOOKUP($A2340,Games!$A$2:$A$18,Games!$J$2:$J$18,"Missing game",0)</x:f>
        <x:v>13</x:v>
      </x:c>
      <x:c r="AP2340" t="n">
        <x:f>_xlfn.XLOOKUP($A2340,Games!$A$2:$A$18,Games!$K$2:$K$18,"Missing game",0)</x:f>
        <x:v>-3</x:v>
      </x:c>
      <x:c r="AQ2340" t="n">
        <x:f>_xlfn.XLOOKUP($A2340,Games!$A$2:$A$18,Games!$L$2:$L$18,"Missing game",0)</x:f>
        <x:v>29</x:v>
      </x:c>
      <x:c r="AR2340" t="n">
        <x:f>_xlfn.XLOOKUP($A2340,Games!$A$2:$A$18,Games!$M$2:$M$18,"Missing game",0)</x:f>
        <x:v>0</x:v>
      </x:c>
      <x:c r="AS2340" t="str">
        <x:f>_xlfn.XLOOKUP($A2340,Games!$A$2:$A$18,Games!$N$2:$N$18,"Missing game",0)</x:f>
        <x:v>outdoors</x:v>
      </x:c>
      <x:c r="AT2340" t="str">
        <x:f>_xlfn.XLOOKUP($A2340,Games!$A$2:$A$18,Games!$O$2:$O$18,"Missing game",0)</x:f>
        <x:v>fieldturf</x:v>
      </x:c>
      <x:c r="AU2340" t="n">
        <x:f>_xlfn.XLOOKUP($A2340,Games!$A$2:$A$18,Games!$P$2:$P$18,"Missing game",0)</x:f>
        <x:v>46</x:v>
      </x:c>
      <x:c r="AV2340" t="n">
        <x:f>_xlfn.XLOOKUP($A2340,Games!$A$2:$A$18,Games!$Q$2:$Q$18,"Missing game",0)</x:f>
        <x:v>20</x:v>
      </x:c>
      <x:c r="AW2340" t="str">
        <x:f>_xlfn.XLOOKUP($A2340,Games!$A$2:$A$18,Games!$R$2:$R$18,"Missing game",0)</x:f>
        <x:v>MetLife Stadium</x:v>
      </x:c>
    </x:row>
    <x:row r="2341">
      <x:c r="A2341" t="str">
        <x:v>2025_16_MIN_NYG</x:v>
      </x:c>
      <x:c r="B2341" t="n">
        <x:v>466</x:v>
      </x:c>
      <x:c r="C2341" t="n">
        <x:v>1</x:v>
      </x:c>
      <x:c r="D2341" t="str">
        <x:v>08:01</x:v>
      </x:c>
      <x:c r="E2341" t="n">
        <x:v>3</x:v>
      </x:c>
      <x:c r="F2341" t="n">
        <x:v>6</x:v>
      </x:c>
      <x:c r="G2341" t="str">
        <x:v>NYG</x:v>
      </x:c>
      <x:c r="H2341" t="str">
        <x:v>MIN</x:v>
      </x:c>
      <x:c r="I2341" t="str">
        <x:v>MIN</x:v>
      </x:c>
      <x:c r="J2341" t="n">
        <x:v>30</x:v>
      </x:c>
      <x:c r="K2341" t="str">
        <x:v>(8:01) (Shotgun) 6-J.Dart sacked at MIN 41 for -11 yards (22-H.Smith). PENALTY on MIN-22-H.Smith, Roughing the Passer, 15 yards, enforced at MIN 30 - No Play.</x:v>
      </x:c>
      <x:c r="L2341" t="str">
        <x:v>no_play</x:v>
      </x:c>
      <x:c r="M2341" t="n">
        <x:v>0</x:v>
      </x:c>
      <x:c r="N2341" t="n">
        <x:v>1</x:v>
      </x:c>
      <x:c r="O2341" t="n">
        <x:v>0</x:v>
      </x:c>
      <x:c r="P2341"/>
      <x:c r="Q2341"/>
      <x:c r="R2341"/>
      <x:c r="S2341"/>
      <x:c r="T2341"/>
      <x:c r="U2341"/>
      <x:c r="V2341" t="n">
        <x:v>0</x:v>
      </x:c>
      <x:c r="W2341" t="n">
        <x:v>1</x:v>
      </x:c>
      <x:c r="X2341" t="n">
        <x:v>0</x:v>
      </x:c>
      <x:c r="Y2341" t="n">
        <x:v>0</x:v>
      </x:c>
      <x:c r="Z2341" t="n">
        <x:v>0</x:v>
      </x:c>
      <x:c r="AA2341" t="n">
        <x:v>1</x:v>
      </x:c>
      <x:c r="AB2341" t="n">
        <x:v>15</x:v>
      </x:c>
      <x:c r="AC2341" t="n">
        <x:v>0</x:v>
      </x:c>
      <x:c r="AD2341" t="n">
        <x:v>2.0949636732111685</x:v>
      </x:c>
      <x:c r="AE2341" t="n">
        <x:v>1</x:v>
      </x:c>
      <x:c r="AF2341" t="n">
        <x:v>0.058206796646118164</x:v>
      </x:c>
      <x:c r="AG2341" t="n">
        <x:f>_xlfn.XLOOKUP($A2341,Games!$A$2:$A$18,Games!$B$2:$B$18,"Missing game",0)</x:f>
        <x:v>2025</x:v>
      </x:c>
      <x:c r="AH2341" t="str">
        <x:f>_xlfn.XLOOKUP($A2341,Games!$A$2:$A$18,Games!$C$2:$C$18,"Missing game",0)</x:f>
        <x:v>REG</x:v>
      </x:c>
      <x:c r="AI2341" t="n">
        <x:f>_xlfn.XLOOKUP($A2341,Games!$A$2:$A$18,Games!$D$2:$D$18,"Missing game",0)</x:f>
        <x:v>16</x:v>
      </x:c>
      <x:c r="AJ2341" s="1" t="n">
        <x:f>_xlfn.XLOOKUP($A2341,Games!$A$2:$A$18,Games!$E$2:$E$18,"Missing game",0)</x:f>
        <x:v>46012</x:v>
      </x:c>
      <x:c r="AK2341" t="str">
        <x:f>_xlfn.XLOOKUP($A2341,Games!$A$2:$A$18,Games!$F$2:$F$18,"Missing game",0)</x:f>
        <x:v>Sunday</x:v>
      </x:c>
      <x:c r="AL2341" t="str">
        <x:f>_xlfn.XLOOKUP($A2341,Games!$A$2:$A$18,Games!$G$2:$G$18,"Missing game",0)</x:f>
        <x:v>MIN</x:v>
      </x:c>
      <x:c r="AM2341" t="n">
        <x:f>_xlfn.XLOOKUP($A2341,Games!$A$2:$A$18,Games!$H$2:$H$18,"Missing game",0)</x:f>
        <x:v>16</x:v>
      </x:c>
      <x:c r="AN2341" t="str">
        <x:f>_xlfn.XLOOKUP($A2341,Games!$A$2:$A$18,Games!$I$2:$I$18,"Missing game",0)</x:f>
        <x:v>NYG</x:v>
      </x:c>
      <x:c r="AO2341" t="n">
        <x:f>_xlfn.XLOOKUP($A2341,Games!$A$2:$A$18,Games!$J$2:$J$18,"Missing game",0)</x:f>
        <x:v>13</x:v>
      </x:c>
      <x:c r="AP2341" t="n">
        <x:f>_xlfn.XLOOKUP($A2341,Games!$A$2:$A$18,Games!$K$2:$K$18,"Missing game",0)</x:f>
        <x:v>-3</x:v>
      </x:c>
      <x:c r="AQ2341" t="n">
        <x:f>_xlfn.XLOOKUP($A2341,Games!$A$2:$A$18,Games!$L$2:$L$18,"Missing game",0)</x:f>
        <x:v>29</x:v>
      </x:c>
      <x:c r="AR2341" t="n">
        <x:f>_xlfn.XLOOKUP($A2341,Games!$A$2:$A$18,Games!$M$2:$M$18,"Missing game",0)</x:f>
        <x:v>0</x:v>
      </x:c>
      <x:c r="AS2341" t="str">
        <x:f>_xlfn.XLOOKUP($A2341,Games!$A$2:$A$18,Games!$N$2:$N$18,"Missing game",0)</x:f>
        <x:v>outdoors</x:v>
      </x:c>
      <x:c r="AT2341" t="str">
        <x:f>_xlfn.XLOOKUP($A2341,Games!$A$2:$A$18,Games!$O$2:$O$18,"Missing game",0)</x:f>
        <x:v>fieldturf</x:v>
      </x:c>
      <x:c r="AU2341" t="n">
        <x:f>_xlfn.XLOOKUP($A2341,Games!$A$2:$A$18,Games!$P$2:$P$18,"Missing game",0)</x:f>
        <x:v>46</x:v>
      </x:c>
      <x:c r="AV2341" t="n">
        <x:f>_xlfn.XLOOKUP($A2341,Games!$A$2:$A$18,Games!$Q$2:$Q$18,"Missing game",0)</x:f>
        <x:v>20</x:v>
      </x:c>
      <x:c r="AW2341" t="str">
        <x:f>_xlfn.XLOOKUP($A2341,Games!$A$2:$A$18,Games!$R$2:$R$18,"Missing game",0)</x:f>
        <x:v>MetLife Stadium</x:v>
      </x:c>
    </x:row>
    <x:row r="2342">
      <x:c r="A2342" t="str">
        <x:v>2025_16_MIN_NYG</x:v>
      </x:c>
      <x:c r="B2342" t="n">
        <x:v>497</x:v>
      </x:c>
      <x:c r="C2342" t="n">
        <x:v>1</x:v>
      </x:c>
      <x:c r="D2342" t="str">
        <x:v>07:32</x:v>
      </x:c>
      <x:c r="E2342" t="n">
        <x:v>1</x:v>
      </x:c>
      <x:c r="F2342" t="n">
        <x:v>10</x:v>
      </x:c>
      <x:c r="G2342" t="str">
        <x:v>NYG</x:v>
      </x:c>
      <x:c r="H2342" t="str">
        <x:v>MIN</x:v>
      </x:c>
      <x:c r="I2342" t="str">
        <x:v>MIN</x:v>
      </x:c>
      <x:c r="J2342" t="n">
        <x:v>15</x:v>
      </x:c>
      <x:c r="K2342" t="str">
        <x:v>(7:32) 29-T.Tracy left end to MIN 17 for -2 yards (93-J.Allen).</x:v>
      </x:c>
      <x:c r="L2342" t="str">
        <x:v>run</x:v>
      </x:c>
      <x:c r="M2342" t="n">
        <x:v>-2</x:v>
      </x:c>
      <x:c r="N2342" t="n">
        <x:v>0</x:v>
      </x:c>
      <x:c r="O2342" t="n">
        <x:v>0</x:v>
      </x:c>
      <x:c r="P2342"/>
      <x:c r="Q2342"/>
      <x:c r="R2342"/>
      <x:c r="S2342"/>
      <x:c r="T2342" t="str">
        <x:v>left</x:v>
      </x:c>
      <x:c r="U2342" t="str">
        <x:v>end</x:v>
      </x:c>
      <x:c r="V2342" t="n">
        <x:v>0</x:v>
      </x:c>
      <x:c r="W2342" t="n">
        <x:v>0</x:v>
      </x:c>
      <x:c r="X2342" t="n">
        <x:v>0</x:v>
      </x:c>
      <x:c r="Y2342" t="n">
        <x:v>0</x:v>
      </x:c>
      <x:c r="Z2342" t="n">
        <x:v>0</x:v>
      </x:c>
      <x:c r="AA2342" t="n">
        <x:v>0</x:v>
      </x:c>
      <x:c r="AB2342"/>
      <x:c r="AC2342" t="n">
        <x:v>0</x:v>
      </x:c>
      <x:c r="AD2342" t="n">
        <x:v>-0.9129571881494485</x:v>
      </x:c>
      <x:c r="AE2342" t="n">
        <x:v>0</x:v>
      </x:c>
      <x:c r="AF2342" t="n">
        <x:v>-0.020867526531219482</x:v>
      </x:c>
      <x:c r="AG2342" t="n">
        <x:f>_xlfn.XLOOKUP($A2342,Games!$A$2:$A$18,Games!$B$2:$B$18,"Missing game",0)</x:f>
        <x:v>2025</x:v>
      </x:c>
      <x:c r="AH2342" t="str">
        <x:f>_xlfn.XLOOKUP($A2342,Games!$A$2:$A$18,Games!$C$2:$C$18,"Missing game",0)</x:f>
        <x:v>REG</x:v>
      </x:c>
      <x:c r="AI2342" t="n">
        <x:f>_xlfn.XLOOKUP($A2342,Games!$A$2:$A$18,Games!$D$2:$D$18,"Missing game",0)</x:f>
        <x:v>16</x:v>
      </x:c>
      <x:c r="AJ2342" s="1" t="n">
        <x:f>_xlfn.XLOOKUP($A2342,Games!$A$2:$A$18,Games!$E$2:$E$18,"Missing game",0)</x:f>
        <x:v>46012</x:v>
      </x:c>
      <x:c r="AK2342" t="str">
        <x:f>_xlfn.XLOOKUP($A2342,Games!$A$2:$A$18,Games!$F$2:$F$18,"Missing game",0)</x:f>
        <x:v>Sunday</x:v>
      </x:c>
      <x:c r="AL2342" t="str">
        <x:f>_xlfn.XLOOKUP($A2342,Games!$A$2:$A$18,Games!$G$2:$G$18,"Missing game",0)</x:f>
        <x:v>MIN</x:v>
      </x:c>
      <x:c r="AM2342" t="n">
        <x:f>_xlfn.XLOOKUP($A2342,Games!$A$2:$A$18,Games!$H$2:$H$18,"Missing game",0)</x:f>
        <x:v>16</x:v>
      </x:c>
      <x:c r="AN2342" t="str">
        <x:f>_xlfn.XLOOKUP($A2342,Games!$A$2:$A$18,Games!$I$2:$I$18,"Missing game",0)</x:f>
        <x:v>NYG</x:v>
      </x:c>
      <x:c r="AO2342" t="n">
        <x:f>_xlfn.XLOOKUP($A2342,Games!$A$2:$A$18,Games!$J$2:$J$18,"Missing game",0)</x:f>
        <x:v>13</x:v>
      </x:c>
      <x:c r="AP2342" t="n">
        <x:f>_xlfn.XLOOKUP($A2342,Games!$A$2:$A$18,Games!$K$2:$K$18,"Missing game",0)</x:f>
        <x:v>-3</x:v>
      </x:c>
      <x:c r="AQ2342" t="n">
        <x:f>_xlfn.XLOOKUP($A2342,Games!$A$2:$A$18,Games!$L$2:$L$18,"Missing game",0)</x:f>
        <x:v>29</x:v>
      </x:c>
      <x:c r="AR2342" t="n">
        <x:f>_xlfn.XLOOKUP($A2342,Games!$A$2:$A$18,Games!$M$2:$M$18,"Missing game",0)</x:f>
        <x:v>0</x:v>
      </x:c>
      <x:c r="AS2342" t="str">
        <x:f>_xlfn.XLOOKUP($A2342,Games!$A$2:$A$18,Games!$N$2:$N$18,"Missing game",0)</x:f>
        <x:v>outdoors</x:v>
      </x:c>
      <x:c r="AT2342" t="str">
        <x:f>_xlfn.XLOOKUP($A2342,Games!$A$2:$A$18,Games!$O$2:$O$18,"Missing game",0)</x:f>
        <x:v>fieldturf</x:v>
      </x:c>
      <x:c r="AU2342" t="n">
        <x:f>_xlfn.XLOOKUP($A2342,Games!$A$2:$A$18,Games!$P$2:$P$18,"Missing game",0)</x:f>
        <x:v>46</x:v>
      </x:c>
      <x:c r="AV2342" t="n">
        <x:f>_xlfn.XLOOKUP($A2342,Games!$A$2:$A$18,Games!$Q$2:$Q$18,"Missing game",0)</x:f>
        <x:v>20</x:v>
      </x:c>
      <x:c r="AW2342" t="str">
        <x:f>_xlfn.XLOOKUP($A2342,Games!$A$2:$A$18,Games!$R$2:$R$18,"Missing game",0)</x:f>
        <x:v>MetLife Stadium</x:v>
      </x:c>
    </x:row>
    <x:row r="2343">
      <x:c r="A2343" t="str">
        <x:v>2025_16_MIN_NYG</x:v>
      </x:c>
      <x:c r="B2343" t="n">
        <x:v>519</x:v>
      </x:c>
      <x:c r="C2343" t="n">
        <x:v>1</x:v>
      </x:c>
      <x:c r="D2343" t="str">
        <x:v>06:46</x:v>
      </x:c>
      <x:c r="E2343" t="n">
        <x:v>2</x:v>
      </x:c>
      <x:c r="F2343" t="n">
        <x:v>12</x:v>
      </x:c>
      <x:c r="G2343" t="str">
        <x:v>NYG</x:v>
      </x:c>
      <x:c r="H2343" t="str">
        <x:v>MIN</x:v>
      </x:c>
      <x:c r="I2343" t="str">
        <x:v>MIN</x:v>
      </x:c>
      <x:c r="J2343" t="n">
        <x:v>17</x:v>
      </x:c>
      <x:c r="K2343" t="str">
        <x:v>(6:46) 29-T.Tracy right tackle to MIN 13 for 4 yards (51-B.Cashman).</x:v>
      </x:c>
      <x:c r="L2343" t="str">
        <x:v>run</x:v>
      </x:c>
      <x:c r="M2343" t="n">
        <x:v>4</x:v>
      </x:c>
      <x:c r="N2343" t="n">
        <x:v>0</x:v>
      </x:c>
      <x:c r="O2343" t="n">
        <x:v>0</x:v>
      </x:c>
      <x:c r="P2343"/>
      <x:c r="Q2343"/>
      <x:c r="R2343"/>
      <x:c r="S2343"/>
      <x:c r="T2343" t="str">
        <x:v>right</x:v>
      </x:c>
      <x:c r="U2343" t="str">
        <x:v>tackle</x:v>
      </x:c>
      <x:c r="V2343" t="n">
        <x:v>0</x:v>
      </x:c>
      <x:c r="W2343" t="n">
        <x:v>0</x:v>
      </x:c>
      <x:c r="X2343" t="n">
        <x:v>0</x:v>
      </x:c>
      <x:c r="Y2343" t="n">
        <x:v>0</x:v>
      </x:c>
      <x:c r="Z2343" t="n">
        <x:v>0</x:v>
      </x:c>
      <x:c r="AA2343" t="n">
        <x:v>0</x:v>
      </x:c>
      <x:c r="AB2343"/>
      <x:c r="AC2343" t="n">
        <x:v>0</x:v>
      </x:c>
      <x:c r="AD2343" t="n">
        <x:v>-0.2926827991614118</x:v>
      </x:c>
      <x:c r="AE2343" t="n">
        <x:v>0</x:v>
      </x:c>
      <x:c r="AF2343" t="n">
        <x:v>-0.014637589454650879</x:v>
      </x:c>
      <x:c r="AG2343" t="n">
        <x:f>_xlfn.XLOOKUP($A2343,Games!$A$2:$A$18,Games!$B$2:$B$18,"Missing game",0)</x:f>
        <x:v>2025</x:v>
      </x:c>
      <x:c r="AH2343" t="str">
        <x:f>_xlfn.XLOOKUP($A2343,Games!$A$2:$A$18,Games!$C$2:$C$18,"Missing game",0)</x:f>
        <x:v>REG</x:v>
      </x:c>
      <x:c r="AI2343" t="n">
        <x:f>_xlfn.XLOOKUP($A2343,Games!$A$2:$A$18,Games!$D$2:$D$18,"Missing game",0)</x:f>
        <x:v>16</x:v>
      </x:c>
      <x:c r="AJ2343" s="1" t="n">
        <x:f>_xlfn.XLOOKUP($A2343,Games!$A$2:$A$18,Games!$E$2:$E$18,"Missing game",0)</x:f>
        <x:v>46012</x:v>
      </x:c>
      <x:c r="AK2343" t="str">
        <x:f>_xlfn.XLOOKUP($A2343,Games!$A$2:$A$18,Games!$F$2:$F$18,"Missing game",0)</x:f>
        <x:v>Sunday</x:v>
      </x:c>
      <x:c r="AL2343" t="str">
        <x:f>_xlfn.XLOOKUP($A2343,Games!$A$2:$A$18,Games!$G$2:$G$18,"Missing game",0)</x:f>
        <x:v>MIN</x:v>
      </x:c>
      <x:c r="AM2343" t="n">
        <x:f>_xlfn.XLOOKUP($A2343,Games!$A$2:$A$18,Games!$H$2:$H$18,"Missing game",0)</x:f>
        <x:v>16</x:v>
      </x:c>
      <x:c r="AN2343" t="str">
        <x:f>_xlfn.XLOOKUP($A2343,Games!$A$2:$A$18,Games!$I$2:$I$18,"Missing game",0)</x:f>
        <x:v>NYG</x:v>
      </x:c>
      <x:c r="AO2343" t="n">
        <x:f>_xlfn.XLOOKUP($A2343,Games!$A$2:$A$18,Games!$J$2:$J$18,"Missing game",0)</x:f>
        <x:v>13</x:v>
      </x:c>
      <x:c r="AP2343" t="n">
        <x:f>_xlfn.XLOOKUP($A2343,Games!$A$2:$A$18,Games!$K$2:$K$18,"Missing game",0)</x:f>
        <x:v>-3</x:v>
      </x:c>
      <x:c r="AQ2343" t="n">
        <x:f>_xlfn.XLOOKUP($A2343,Games!$A$2:$A$18,Games!$L$2:$L$18,"Missing game",0)</x:f>
        <x:v>29</x:v>
      </x:c>
      <x:c r="AR2343" t="n">
        <x:f>_xlfn.XLOOKUP($A2343,Games!$A$2:$A$18,Games!$M$2:$M$18,"Missing game",0)</x:f>
        <x:v>0</x:v>
      </x:c>
      <x:c r="AS2343" t="str">
        <x:f>_xlfn.XLOOKUP($A2343,Games!$A$2:$A$18,Games!$N$2:$N$18,"Missing game",0)</x:f>
        <x:v>outdoors</x:v>
      </x:c>
      <x:c r="AT2343" t="str">
        <x:f>_xlfn.XLOOKUP($A2343,Games!$A$2:$A$18,Games!$O$2:$O$18,"Missing game",0)</x:f>
        <x:v>fieldturf</x:v>
      </x:c>
      <x:c r="AU2343" t="n">
        <x:f>_xlfn.XLOOKUP($A2343,Games!$A$2:$A$18,Games!$P$2:$P$18,"Missing game",0)</x:f>
        <x:v>46</x:v>
      </x:c>
      <x:c r="AV2343" t="n">
        <x:f>_xlfn.XLOOKUP($A2343,Games!$A$2:$A$18,Games!$Q$2:$Q$18,"Missing game",0)</x:f>
        <x:v>20</x:v>
      </x:c>
      <x:c r="AW2343" t="str">
        <x:f>_xlfn.XLOOKUP($A2343,Games!$A$2:$A$18,Games!$R$2:$R$18,"Missing game",0)</x:f>
        <x:v>MetLife Stadium</x:v>
      </x:c>
    </x:row>
    <x:row r="2344">
      <x:c r="A2344" t="str">
        <x:v>2025_16_MIN_NYG</x:v>
      </x:c>
      <x:c r="B2344" t="n">
        <x:v>546</x:v>
      </x:c>
      <x:c r="C2344" t="n">
        <x:v>1</x:v>
      </x:c>
      <x:c r="D2344" t="str">
        <x:v>06:06</x:v>
      </x:c>
      <x:c r="E2344" t="n">
        <x:v>3</x:v>
      </x:c>
      <x:c r="F2344" t="n">
        <x:v>8</x:v>
      </x:c>
      <x:c r="G2344" t="str">
        <x:v>NYG</x:v>
      </x:c>
      <x:c r="H2344" t="str">
        <x:v>MIN</x:v>
      </x:c>
      <x:c r="I2344" t="str">
        <x:v>MIN</x:v>
      </x:c>
      <x:c r="J2344" t="n">
        <x:v>13</x:v>
      </x:c>
      <x:c r="K2344" t="str">
        <x:v>(6:06) (Shotgun) 29-T.Tracy right guard to MIN 10 for 3 yards (15-D.Turner; 51-B.Cashman).</x:v>
      </x:c>
      <x:c r="L2344" t="str">
        <x:v>run</x:v>
      </x:c>
      <x:c r="M2344" t="n">
        <x:v>3</x:v>
      </x:c>
      <x:c r="N2344" t="n">
        <x:v>1</x:v>
      </x:c>
      <x:c r="O2344" t="n">
        <x:v>0</x:v>
      </x:c>
      <x:c r="P2344"/>
      <x:c r="Q2344"/>
      <x:c r="R2344"/>
      <x:c r="S2344"/>
      <x:c r="T2344" t="str">
        <x:v>right</x:v>
      </x:c>
      <x:c r="U2344" t="str">
        <x:v>guard</x:v>
      </x:c>
      <x:c r="V2344" t="n">
        <x:v>0</x:v>
      </x:c>
      <x:c r="W2344" t="n">
        <x:v>0</x:v>
      </x:c>
      <x:c r="X2344" t="n">
        <x:v>0</x:v>
      </x:c>
      <x:c r="Y2344" t="n">
        <x:v>0</x:v>
      </x:c>
      <x:c r="Z2344" t="n">
        <x:v>0</x:v>
      </x:c>
      <x:c r="AA2344" t="n">
        <x:v>0</x:v>
      </x:c>
      <x:c r="AB2344"/>
      <x:c r="AC2344" t="n">
        <x:v>0</x:v>
      </x:c>
      <x:c r="AD2344" t="n">
        <x:v>-1.0310783094610088</x:v>
      </x:c>
      <x:c r="AE2344" t="n">
        <x:v>0</x:v>
      </x:c>
      <x:c r="AF2344" t="n">
        <x:v>-0.027116000652313232</x:v>
      </x:c>
      <x:c r="AG2344" t="n">
        <x:f>_xlfn.XLOOKUP($A2344,Games!$A$2:$A$18,Games!$B$2:$B$18,"Missing game",0)</x:f>
        <x:v>2025</x:v>
      </x:c>
      <x:c r="AH2344" t="str">
        <x:f>_xlfn.XLOOKUP($A2344,Games!$A$2:$A$18,Games!$C$2:$C$18,"Missing game",0)</x:f>
        <x:v>REG</x:v>
      </x:c>
      <x:c r="AI2344" t="n">
        <x:f>_xlfn.XLOOKUP($A2344,Games!$A$2:$A$18,Games!$D$2:$D$18,"Missing game",0)</x:f>
        <x:v>16</x:v>
      </x:c>
      <x:c r="AJ2344" s="1" t="n">
        <x:f>_xlfn.XLOOKUP($A2344,Games!$A$2:$A$18,Games!$E$2:$E$18,"Missing game",0)</x:f>
        <x:v>46012</x:v>
      </x:c>
      <x:c r="AK2344" t="str">
        <x:f>_xlfn.XLOOKUP($A2344,Games!$A$2:$A$18,Games!$F$2:$F$18,"Missing game",0)</x:f>
        <x:v>Sunday</x:v>
      </x:c>
      <x:c r="AL2344" t="str">
        <x:f>_xlfn.XLOOKUP($A2344,Games!$A$2:$A$18,Games!$G$2:$G$18,"Missing game",0)</x:f>
        <x:v>MIN</x:v>
      </x:c>
      <x:c r="AM2344" t="n">
        <x:f>_xlfn.XLOOKUP($A2344,Games!$A$2:$A$18,Games!$H$2:$H$18,"Missing game",0)</x:f>
        <x:v>16</x:v>
      </x:c>
      <x:c r="AN2344" t="str">
        <x:f>_xlfn.XLOOKUP($A2344,Games!$A$2:$A$18,Games!$I$2:$I$18,"Missing game",0)</x:f>
        <x:v>NYG</x:v>
      </x:c>
      <x:c r="AO2344" t="n">
        <x:f>_xlfn.XLOOKUP($A2344,Games!$A$2:$A$18,Games!$J$2:$J$18,"Missing game",0)</x:f>
        <x:v>13</x:v>
      </x:c>
      <x:c r="AP2344" t="n">
        <x:f>_xlfn.XLOOKUP($A2344,Games!$A$2:$A$18,Games!$K$2:$K$18,"Missing game",0)</x:f>
        <x:v>-3</x:v>
      </x:c>
      <x:c r="AQ2344" t="n">
        <x:f>_xlfn.XLOOKUP($A2344,Games!$A$2:$A$18,Games!$L$2:$L$18,"Missing game",0)</x:f>
        <x:v>29</x:v>
      </x:c>
      <x:c r="AR2344" t="n">
        <x:f>_xlfn.XLOOKUP($A2344,Games!$A$2:$A$18,Games!$M$2:$M$18,"Missing game",0)</x:f>
        <x:v>0</x:v>
      </x:c>
      <x:c r="AS2344" t="str">
        <x:f>_xlfn.XLOOKUP($A2344,Games!$A$2:$A$18,Games!$N$2:$N$18,"Missing game",0)</x:f>
        <x:v>outdoors</x:v>
      </x:c>
      <x:c r="AT2344" t="str">
        <x:f>_xlfn.XLOOKUP($A2344,Games!$A$2:$A$18,Games!$O$2:$O$18,"Missing game",0)</x:f>
        <x:v>fieldturf</x:v>
      </x:c>
      <x:c r="AU2344" t="n">
        <x:f>_xlfn.XLOOKUP($A2344,Games!$A$2:$A$18,Games!$P$2:$P$18,"Missing game",0)</x:f>
        <x:v>46</x:v>
      </x:c>
      <x:c r="AV2344" t="n">
        <x:f>_xlfn.XLOOKUP($A2344,Games!$A$2:$A$18,Games!$Q$2:$Q$18,"Missing game",0)</x:f>
        <x:v>20</x:v>
      </x:c>
      <x:c r="AW2344" t="str">
        <x:f>_xlfn.XLOOKUP($A2344,Games!$A$2:$A$18,Games!$R$2:$R$18,"Missing game",0)</x:f>
        <x:v>MetLife Stadium</x:v>
      </x:c>
    </x:row>
    <x:row r="2345">
      <x:c r="A2345" t="str">
        <x:v>2025_16_MIN_NYG</x:v>
      </x:c>
      <x:c r="B2345" t="n">
        <x:v>568</x:v>
      </x:c>
      <x:c r="C2345" t="n">
        <x:v>1</x:v>
      </x:c>
      <x:c r="D2345" t="str">
        <x:v>05:21</x:v>
      </x:c>
      <x:c r="E2345" t="n">
        <x:v>4</x:v>
      </x:c>
      <x:c r="F2345" t="n">
        <x:v>5</x:v>
      </x:c>
      <x:c r="G2345" t="str">
        <x:v>NYG</x:v>
      </x:c>
      <x:c r="H2345" t="str">
        <x:v>MIN</x:v>
      </x:c>
      <x:c r="I2345" t="str">
        <x:v>MIN</x:v>
      </x:c>
      <x:c r="J2345" t="n">
        <x:v>10</x:v>
      </x:c>
      <x:c r="K2345" t="str">
        <x:v>(5:21) (Shotgun) 6-J.Dart sacked at MIN 15 for -5 yards (61-J.Redmond).</x:v>
      </x:c>
      <x:c r="L2345" t="str">
        <x:v>pass</x:v>
      </x:c>
      <x:c r="M2345" t="n">
        <x:v>-5</x:v>
      </x:c>
      <x:c r="N2345" t="n">
        <x:v>1</x:v>
      </x:c>
      <x:c r="O2345" t="n">
        <x:v>0</x:v>
      </x:c>
      <x:c r="P2345"/>
      <x:c r="Q2345"/>
      <x:c r="R2345"/>
      <x:c r="S2345"/>
      <x:c r="T2345"/>
      <x:c r="U2345"/>
      <x:c r="V2345" t="n">
        <x:v>0</x:v>
      </x:c>
      <x:c r="W2345" t="n">
        <x:v>0</x:v>
      </x:c>
      <x:c r="X2345" t="n">
        <x:v>1</x:v>
      </x:c>
      <x:c r="Y2345" t="n">
        <x:v>0</x:v>
      </x:c>
      <x:c r="Z2345" t="n">
        <x:v>0</x:v>
      </x:c>
      <x:c r="AA2345" t="n">
        <x:v>0</x:v>
      </x:c>
      <x:c r="AB2345"/>
      <x:c r="AC2345" t="n">
        <x:v>0</x:v>
      </x:c>
      <x:c r="AD2345" t="n">
        <x:v>-3.0552877939189784</x:v>
      </x:c>
      <x:c r="AE2345" t="n">
        <x:v>0</x:v>
      </x:c>
      <x:c r="AF2345" t="n">
        <x:v>-0.11064064502716064</x:v>
      </x:c>
      <x:c r="AG2345" t="n">
        <x:f>_xlfn.XLOOKUP($A2345,Games!$A$2:$A$18,Games!$B$2:$B$18,"Missing game",0)</x:f>
        <x:v>2025</x:v>
      </x:c>
      <x:c r="AH2345" t="str">
        <x:f>_xlfn.XLOOKUP($A2345,Games!$A$2:$A$18,Games!$C$2:$C$18,"Missing game",0)</x:f>
        <x:v>REG</x:v>
      </x:c>
      <x:c r="AI2345" t="n">
        <x:f>_xlfn.XLOOKUP($A2345,Games!$A$2:$A$18,Games!$D$2:$D$18,"Missing game",0)</x:f>
        <x:v>16</x:v>
      </x:c>
      <x:c r="AJ2345" s="1" t="n">
        <x:f>_xlfn.XLOOKUP($A2345,Games!$A$2:$A$18,Games!$E$2:$E$18,"Missing game",0)</x:f>
        <x:v>46012</x:v>
      </x:c>
      <x:c r="AK2345" t="str">
        <x:f>_xlfn.XLOOKUP($A2345,Games!$A$2:$A$18,Games!$F$2:$F$18,"Missing game",0)</x:f>
        <x:v>Sunday</x:v>
      </x:c>
      <x:c r="AL2345" t="str">
        <x:f>_xlfn.XLOOKUP($A2345,Games!$A$2:$A$18,Games!$G$2:$G$18,"Missing game",0)</x:f>
        <x:v>MIN</x:v>
      </x:c>
      <x:c r="AM2345" t="n">
        <x:f>_xlfn.XLOOKUP($A2345,Games!$A$2:$A$18,Games!$H$2:$H$18,"Missing game",0)</x:f>
        <x:v>16</x:v>
      </x:c>
      <x:c r="AN2345" t="str">
        <x:f>_xlfn.XLOOKUP($A2345,Games!$A$2:$A$18,Games!$I$2:$I$18,"Missing game",0)</x:f>
        <x:v>NYG</x:v>
      </x:c>
      <x:c r="AO2345" t="n">
        <x:f>_xlfn.XLOOKUP($A2345,Games!$A$2:$A$18,Games!$J$2:$J$18,"Missing game",0)</x:f>
        <x:v>13</x:v>
      </x:c>
      <x:c r="AP2345" t="n">
        <x:f>_xlfn.XLOOKUP($A2345,Games!$A$2:$A$18,Games!$K$2:$K$18,"Missing game",0)</x:f>
        <x:v>-3</x:v>
      </x:c>
      <x:c r="AQ2345" t="n">
        <x:f>_xlfn.XLOOKUP($A2345,Games!$A$2:$A$18,Games!$L$2:$L$18,"Missing game",0)</x:f>
        <x:v>29</x:v>
      </x:c>
      <x:c r="AR2345" t="n">
        <x:f>_xlfn.XLOOKUP($A2345,Games!$A$2:$A$18,Games!$M$2:$M$18,"Missing game",0)</x:f>
        <x:v>0</x:v>
      </x:c>
      <x:c r="AS2345" t="str">
        <x:f>_xlfn.XLOOKUP($A2345,Games!$A$2:$A$18,Games!$N$2:$N$18,"Missing game",0)</x:f>
        <x:v>outdoors</x:v>
      </x:c>
      <x:c r="AT2345" t="str">
        <x:f>_xlfn.XLOOKUP($A2345,Games!$A$2:$A$18,Games!$O$2:$O$18,"Missing game",0)</x:f>
        <x:v>fieldturf</x:v>
      </x:c>
      <x:c r="AU2345" t="n">
        <x:f>_xlfn.XLOOKUP($A2345,Games!$A$2:$A$18,Games!$P$2:$P$18,"Missing game",0)</x:f>
        <x:v>46</x:v>
      </x:c>
      <x:c r="AV2345" t="n">
        <x:f>_xlfn.XLOOKUP($A2345,Games!$A$2:$A$18,Games!$Q$2:$Q$18,"Missing game",0)</x:f>
        <x:v>20</x:v>
      </x:c>
      <x:c r="AW2345" t="str">
        <x:f>_xlfn.XLOOKUP($A2345,Games!$A$2:$A$18,Games!$R$2:$R$18,"Missing game",0)</x:f>
        <x:v>MetLife Stadium</x:v>
      </x:c>
    </x:row>
    <x:row r="2346">
      <x:c r="A2346" t="str">
        <x:v>2025_16_MIN_NYG</x:v>
      </x:c>
      <x:c r="B2346" t="n">
        <x:v>593</x:v>
      </x:c>
      <x:c r="C2346" t="n">
        <x:v>1</x:v>
      </x:c>
      <x:c r="D2346" t="str">
        <x:v>05:16</x:v>
      </x:c>
      <x:c r="E2346" t="n">
        <x:v>1</x:v>
      </x:c>
      <x:c r="F2346" t="n">
        <x:v>10</x:v>
      </x:c>
      <x:c r="G2346" t="str">
        <x:v>MIN</x:v>
      </x:c>
      <x:c r="H2346" t="str">
        <x:v>NYG</x:v>
      </x:c>
      <x:c r="I2346" t="str">
        <x:v>MIN</x:v>
      </x:c>
      <x:c r="J2346" t="n">
        <x:v>85</x:v>
      </x:c>
      <x:c r="K2346" t="str">
        <x:v>(5:16) 9-J.McCarthy scrambles up the middle to MIN 23 for 8 yards (58-B.Okereke; 53-D.Muasau).</x:v>
      </x:c>
      <x:c r="L2346" t="str">
        <x:v>run</x:v>
      </x:c>
      <x:c r="M2346" t="n">
        <x:v>8</x:v>
      </x:c>
      <x:c r="N2346" t="n">
        <x:v>0</x:v>
      </x:c>
      <x:c r="O2346" t="n">
        <x:v>0</x:v>
      </x:c>
      <x:c r="P2346"/>
      <x:c r="Q2346"/>
      <x:c r="R2346"/>
      <x:c r="S2346"/>
      <x:c r="T2346" t="str">
        <x:v>middle</x:v>
      </x:c>
      <x:c r="U2346"/>
      <x:c r="V2346" t="n">
        <x:v>0</x:v>
      </x:c>
      <x:c r="W2346" t="n">
        <x:v>0</x:v>
      </x:c>
      <x:c r="X2346" t="n">
        <x:v>0</x:v>
      </x:c>
      <x:c r="Y2346" t="n">
        <x:v>0</x:v>
      </x:c>
      <x:c r="Z2346" t="n">
        <x:v>0</x:v>
      </x:c>
      <x:c r="AA2346" t="n">
        <x:v>0</x:v>
      </x:c>
      <x:c r="AB2346"/>
      <x:c r="AC2346" t="n">
        <x:v>0</x:v>
      </x:c>
      <x:c r="AD2346" t="n">
        <x:v>0.5286852717399597</x:v>
      </x:c>
      <x:c r="AE2346" t="n">
        <x:v>1</x:v>
      </x:c>
      <x:c r="AF2346" t="n">
        <x:v>0.014561057090759277</x:v>
      </x:c>
      <x:c r="AG2346" t="n">
        <x:f>_xlfn.XLOOKUP($A2346,Games!$A$2:$A$18,Games!$B$2:$B$18,"Missing game",0)</x:f>
        <x:v>2025</x:v>
      </x:c>
      <x:c r="AH2346" t="str">
        <x:f>_xlfn.XLOOKUP($A2346,Games!$A$2:$A$18,Games!$C$2:$C$18,"Missing game",0)</x:f>
        <x:v>REG</x:v>
      </x:c>
      <x:c r="AI2346" t="n">
        <x:f>_xlfn.XLOOKUP($A2346,Games!$A$2:$A$18,Games!$D$2:$D$18,"Missing game",0)</x:f>
        <x:v>16</x:v>
      </x:c>
      <x:c r="AJ2346" s="1" t="n">
        <x:f>_xlfn.XLOOKUP($A2346,Games!$A$2:$A$18,Games!$E$2:$E$18,"Missing game",0)</x:f>
        <x:v>46012</x:v>
      </x:c>
      <x:c r="AK2346" t="str">
        <x:f>_xlfn.XLOOKUP($A2346,Games!$A$2:$A$18,Games!$F$2:$F$18,"Missing game",0)</x:f>
        <x:v>Sunday</x:v>
      </x:c>
      <x:c r="AL2346" t="str">
        <x:f>_xlfn.XLOOKUP($A2346,Games!$A$2:$A$18,Games!$G$2:$G$18,"Missing game",0)</x:f>
        <x:v>MIN</x:v>
      </x:c>
      <x:c r="AM2346" t="n">
        <x:f>_xlfn.XLOOKUP($A2346,Games!$A$2:$A$18,Games!$H$2:$H$18,"Missing game",0)</x:f>
        <x:v>16</x:v>
      </x:c>
      <x:c r="AN2346" t="str">
        <x:f>_xlfn.XLOOKUP($A2346,Games!$A$2:$A$18,Games!$I$2:$I$18,"Missing game",0)</x:f>
        <x:v>NYG</x:v>
      </x:c>
      <x:c r="AO2346" t="n">
        <x:f>_xlfn.XLOOKUP($A2346,Games!$A$2:$A$18,Games!$J$2:$J$18,"Missing game",0)</x:f>
        <x:v>13</x:v>
      </x:c>
      <x:c r="AP2346" t="n">
        <x:f>_xlfn.XLOOKUP($A2346,Games!$A$2:$A$18,Games!$K$2:$K$18,"Missing game",0)</x:f>
        <x:v>-3</x:v>
      </x:c>
      <x:c r="AQ2346" t="n">
        <x:f>_xlfn.XLOOKUP($A2346,Games!$A$2:$A$18,Games!$L$2:$L$18,"Missing game",0)</x:f>
        <x:v>29</x:v>
      </x:c>
      <x:c r="AR2346" t="n">
        <x:f>_xlfn.XLOOKUP($A2346,Games!$A$2:$A$18,Games!$M$2:$M$18,"Missing game",0)</x:f>
        <x:v>0</x:v>
      </x:c>
      <x:c r="AS2346" t="str">
        <x:f>_xlfn.XLOOKUP($A2346,Games!$A$2:$A$18,Games!$N$2:$N$18,"Missing game",0)</x:f>
        <x:v>outdoors</x:v>
      </x:c>
      <x:c r="AT2346" t="str">
        <x:f>_xlfn.XLOOKUP($A2346,Games!$A$2:$A$18,Games!$O$2:$O$18,"Missing game",0)</x:f>
        <x:v>fieldturf</x:v>
      </x:c>
      <x:c r="AU2346" t="n">
        <x:f>_xlfn.XLOOKUP($A2346,Games!$A$2:$A$18,Games!$P$2:$P$18,"Missing game",0)</x:f>
        <x:v>46</x:v>
      </x:c>
      <x:c r="AV2346" t="n">
        <x:f>_xlfn.XLOOKUP($A2346,Games!$A$2:$A$18,Games!$Q$2:$Q$18,"Missing game",0)</x:f>
        <x:v>20</x:v>
      </x:c>
      <x:c r="AW2346" t="str">
        <x:f>_xlfn.XLOOKUP($A2346,Games!$A$2:$A$18,Games!$R$2:$R$18,"Missing game",0)</x:f>
        <x:v>MetLife Stadium</x:v>
      </x:c>
    </x:row>
    <x:row r="2347">
      <x:c r="A2347" t="str">
        <x:v>2025_16_MIN_NYG</x:v>
      </x:c>
      <x:c r="B2347" t="n">
        <x:v>622</x:v>
      </x:c>
      <x:c r="C2347" t="n">
        <x:v>1</x:v>
      </x:c>
      <x:c r="D2347" t="str">
        <x:v>04:38</x:v>
      </x:c>
      <x:c r="E2347" t="n">
        <x:v>2</x:v>
      </x:c>
      <x:c r="F2347" t="n">
        <x:v>2</x:v>
      </x:c>
      <x:c r="G2347" t="str">
        <x:v>MIN</x:v>
      </x:c>
      <x:c r="H2347" t="str">
        <x:v>NYG</x:v>
      </x:c>
      <x:c r="I2347" t="str">
        <x:v>MIN</x:v>
      </x:c>
      <x:c r="J2347" t="n">
        <x:v>77</x:v>
      </x:c>
      <x:c r="K2347" t="str">
        <x:v>(4:38) 36-Z.Scott up the middle to MIN 27 for 4 yards (95-R.Robertson-Harris; 98-D.Davidson).</x:v>
      </x:c>
      <x:c r="L2347" t="str">
        <x:v>run</x:v>
      </x:c>
      <x:c r="M2347" t="n">
        <x:v>4</x:v>
      </x:c>
      <x:c r="N2347" t="n">
        <x:v>0</x:v>
      </x:c>
      <x:c r="O2347" t="n">
        <x:v>0</x:v>
      </x:c>
      <x:c r="P2347"/>
      <x:c r="Q2347"/>
      <x:c r="R2347"/>
      <x:c r="S2347"/>
      <x:c r="T2347" t="str">
        <x:v>middle</x:v>
      </x:c>
      <x:c r="U2347"/>
      <x:c r="V2347" t="n">
        <x:v>0</x:v>
      </x:c>
      <x:c r="W2347" t="n">
        <x:v>1</x:v>
      </x:c>
      <x:c r="X2347" t="n">
        <x:v>0</x:v>
      </x:c>
      <x:c r="Y2347" t="n">
        <x:v>0</x:v>
      </x:c>
      <x:c r="Z2347" t="n">
        <x:v>0</x:v>
      </x:c>
      <x:c r="AA2347" t="n">
        <x:v>0</x:v>
      </x:c>
      <x:c r="AB2347"/>
      <x:c r="AC2347" t="n">
        <x:v>0</x:v>
      </x:c>
      <x:c r="AD2347" t="n">
        <x:v>0.30578981060534716</x:v>
      </x:c>
      <x:c r="AE2347" t="n">
        <x:v>1</x:v>
      </x:c>
      <x:c r="AF2347" t="n">
        <x:v>0.004787921905517578</x:v>
      </x:c>
      <x:c r="AG2347" t="n">
        <x:f>_xlfn.XLOOKUP($A2347,Games!$A$2:$A$18,Games!$B$2:$B$18,"Missing game",0)</x:f>
        <x:v>2025</x:v>
      </x:c>
      <x:c r="AH2347" t="str">
        <x:f>_xlfn.XLOOKUP($A2347,Games!$A$2:$A$18,Games!$C$2:$C$18,"Missing game",0)</x:f>
        <x:v>REG</x:v>
      </x:c>
      <x:c r="AI2347" t="n">
        <x:f>_xlfn.XLOOKUP($A2347,Games!$A$2:$A$18,Games!$D$2:$D$18,"Missing game",0)</x:f>
        <x:v>16</x:v>
      </x:c>
      <x:c r="AJ2347" s="1" t="n">
        <x:f>_xlfn.XLOOKUP($A2347,Games!$A$2:$A$18,Games!$E$2:$E$18,"Missing game",0)</x:f>
        <x:v>46012</x:v>
      </x:c>
      <x:c r="AK2347" t="str">
        <x:f>_xlfn.XLOOKUP($A2347,Games!$A$2:$A$18,Games!$F$2:$F$18,"Missing game",0)</x:f>
        <x:v>Sunday</x:v>
      </x:c>
      <x:c r="AL2347" t="str">
        <x:f>_xlfn.XLOOKUP($A2347,Games!$A$2:$A$18,Games!$G$2:$G$18,"Missing game",0)</x:f>
        <x:v>MIN</x:v>
      </x:c>
      <x:c r="AM2347" t="n">
        <x:f>_xlfn.XLOOKUP($A2347,Games!$A$2:$A$18,Games!$H$2:$H$18,"Missing game",0)</x:f>
        <x:v>16</x:v>
      </x:c>
      <x:c r="AN2347" t="str">
        <x:f>_xlfn.XLOOKUP($A2347,Games!$A$2:$A$18,Games!$I$2:$I$18,"Missing game",0)</x:f>
        <x:v>NYG</x:v>
      </x:c>
      <x:c r="AO2347" t="n">
        <x:f>_xlfn.XLOOKUP($A2347,Games!$A$2:$A$18,Games!$J$2:$J$18,"Missing game",0)</x:f>
        <x:v>13</x:v>
      </x:c>
      <x:c r="AP2347" t="n">
        <x:f>_xlfn.XLOOKUP($A2347,Games!$A$2:$A$18,Games!$K$2:$K$18,"Missing game",0)</x:f>
        <x:v>-3</x:v>
      </x:c>
      <x:c r="AQ2347" t="n">
        <x:f>_xlfn.XLOOKUP($A2347,Games!$A$2:$A$18,Games!$L$2:$L$18,"Missing game",0)</x:f>
        <x:v>29</x:v>
      </x:c>
      <x:c r="AR2347" t="n">
        <x:f>_xlfn.XLOOKUP($A2347,Games!$A$2:$A$18,Games!$M$2:$M$18,"Missing game",0)</x:f>
        <x:v>0</x:v>
      </x:c>
      <x:c r="AS2347" t="str">
        <x:f>_xlfn.XLOOKUP($A2347,Games!$A$2:$A$18,Games!$N$2:$N$18,"Missing game",0)</x:f>
        <x:v>outdoors</x:v>
      </x:c>
      <x:c r="AT2347" t="str">
        <x:f>_xlfn.XLOOKUP($A2347,Games!$A$2:$A$18,Games!$O$2:$O$18,"Missing game",0)</x:f>
        <x:v>fieldturf</x:v>
      </x:c>
      <x:c r="AU2347" t="n">
        <x:f>_xlfn.XLOOKUP($A2347,Games!$A$2:$A$18,Games!$P$2:$P$18,"Missing game",0)</x:f>
        <x:v>46</x:v>
      </x:c>
      <x:c r="AV2347" t="n">
        <x:f>_xlfn.XLOOKUP($A2347,Games!$A$2:$A$18,Games!$Q$2:$Q$18,"Missing game",0)</x:f>
        <x:v>20</x:v>
      </x:c>
      <x:c r="AW2347" t="str">
        <x:f>_xlfn.XLOOKUP($A2347,Games!$A$2:$A$18,Games!$R$2:$R$18,"Missing game",0)</x:f>
        <x:v>MetLife Stadium</x:v>
      </x:c>
    </x:row>
    <x:row r="2348">
      <x:c r="A2348" t="str">
        <x:v>2025_16_MIN_NYG</x:v>
      </x:c>
      <x:c r="B2348" t="n">
        <x:v>644</x:v>
      </x:c>
      <x:c r="C2348" t="n">
        <x:v>1</x:v>
      </x:c>
      <x:c r="D2348" t="str">
        <x:v>03:55</x:v>
      </x:c>
      <x:c r="E2348" t="n">
        <x:v>1</x:v>
      </x:c>
      <x:c r="F2348" t="n">
        <x:v>10</x:v>
      </x:c>
      <x:c r="G2348" t="str">
        <x:v>MIN</x:v>
      </x:c>
      <x:c r="H2348" t="str">
        <x:v>NYG</x:v>
      </x:c>
      <x:c r="I2348" t="str">
        <x:v>MIN</x:v>
      </x:c>
      <x:c r="J2348" t="n">
        <x:v>73</x:v>
      </x:c>
      <x:c r="K2348" t="str">
        <x:v>(3:55) (Shotgun) 9-J.McCarthy pass incomplete short left to 18-J.Jefferson.</x:v>
      </x:c>
      <x:c r="L2348" t="str">
        <x:v>pass</x:v>
      </x:c>
      <x:c r="M2348" t="n">
        <x:v>0</x:v>
      </x:c>
      <x:c r="N2348" t="n">
        <x:v>1</x:v>
      </x:c>
      <x:c r="O2348" t="n">
        <x:v>0</x:v>
      </x:c>
      <x:c r="P2348" t="str">
        <x:v>short</x:v>
      </x:c>
      <x:c r="Q2348" t="str">
        <x:v>left</x:v>
      </x:c>
      <x:c r="R2348" t="n">
        <x:v>8</x:v>
      </x:c>
      <x:c r="S2348"/>
      <x:c r="T2348"/>
      <x:c r="U2348"/>
      <x:c r="V2348" t="n">
        <x:v>0</x:v>
      </x:c>
      <x:c r="W2348" t="n">
        <x:v>0</x:v>
      </x:c>
      <x:c r="X2348" t="n">
        <x:v>0</x:v>
      </x:c>
      <x:c r="Y2348" t="n">
        <x:v>0</x:v>
      </x:c>
      <x:c r="Z2348" t="n">
        <x:v>0</x:v>
      </x:c>
      <x:c r="AA2348" t="n">
        <x:v>0</x:v>
      </x:c>
      <x:c r="AB2348"/>
      <x:c r="AC2348" t="n">
        <x:v>0</x:v>
      </x:c>
      <x:c r="AD2348" t="n">
        <x:v>-0.5639757979661226</x:v>
      </x:c>
      <x:c r="AE2348" t="n">
        <x:v>0</x:v>
      </x:c>
      <x:c r="AF2348" t="n">
        <x:v>-0.018178284168243408</x:v>
      </x:c>
      <x:c r="AG2348" t="n">
        <x:f>_xlfn.XLOOKUP($A2348,Games!$A$2:$A$18,Games!$B$2:$B$18,"Missing game",0)</x:f>
        <x:v>2025</x:v>
      </x:c>
      <x:c r="AH2348" t="str">
        <x:f>_xlfn.XLOOKUP($A2348,Games!$A$2:$A$18,Games!$C$2:$C$18,"Missing game",0)</x:f>
        <x:v>REG</x:v>
      </x:c>
      <x:c r="AI2348" t="n">
        <x:f>_xlfn.XLOOKUP($A2348,Games!$A$2:$A$18,Games!$D$2:$D$18,"Missing game",0)</x:f>
        <x:v>16</x:v>
      </x:c>
      <x:c r="AJ2348" s="1" t="n">
        <x:f>_xlfn.XLOOKUP($A2348,Games!$A$2:$A$18,Games!$E$2:$E$18,"Missing game",0)</x:f>
        <x:v>46012</x:v>
      </x:c>
      <x:c r="AK2348" t="str">
        <x:f>_xlfn.XLOOKUP($A2348,Games!$A$2:$A$18,Games!$F$2:$F$18,"Missing game",0)</x:f>
        <x:v>Sunday</x:v>
      </x:c>
      <x:c r="AL2348" t="str">
        <x:f>_xlfn.XLOOKUP($A2348,Games!$A$2:$A$18,Games!$G$2:$G$18,"Missing game",0)</x:f>
        <x:v>MIN</x:v>
      </x:c>
      <x:c r="AM2348" t="n">
        <x:f>_xlfn.XLOOKUP($A2348,Games!$A$2:$A$18,Games!$H$2:$H$18,"Missing game",0)</x:f>
        <x:v>16</x:v>
      </x:c>
      <x:c r="AN2348" t="str">
        <x:f>_xlfn.XLOOKUP($A2348,Games!$A$2:$A$18,Games!$I$2:$I$18,"Missing game",0)</x:f>
        <x:v>NYG</x:v>
      </x:c>
      <x:c r="AO2348" t="n">
        <x:f>_xlfn.XLOOKUP($A2348,Games!$A$2:$A$18,Games!$J$2:$J$18,"Missing game",0)</x:f>
        <x:v>13</x:v>
      </x:c>
      <x:c r="AP2348" t="n">
        <x:f>_xlfn.XLOOKUP($A2348,Games!$A$2:$A$18,Games!$K$2:$K$18,"Missing game",0)</x:f>
        <x:v>-3</x:v>
      </x:c>
      <x:c r="AQ2348" t="n">
        <x:f>_xlfn.XLOOKUP($A2348,Games!$A$2:$A$18,Games!$L$2:$L$18,"Missing game",0)</x:f>
        <x:v>29</x:v>
      </x:c>
      <x:c r="AR2348" t="n">
        <x:f>_xlfn.XLOOKUP($A2348,Games!$A$2:$A$18,Games!$M$2:$M$18,"Missing game",0)</x:f>
        <x:v>0</x:v>
      </x:c>
      <x:c r="AS2348" t="str">
        <x:f>_xlfn.XLOOKUP($A2348,Games!$A$2:$A$18,Games!$N$2:$N$18,"Missing game",0)</x:f>
        <x:v>outdoors</x:v>
      </x:c>
      <x:c r="AT2348" t="str">
        <x:f>_xlfn.XLOOKUP($A2348,Games!$A$2:$A$18,Games!$O$2:$O$18,"Missing game",0)</x:f>
        <x:v>fieldturf</x:v>
      </x:c>
      <x:c r="AU2348" t="n">
        <x:f>_xlfn.XLOOKUP($A2348,Games!$A$2:$A$18,Games!$P$2:$P$18,"Missing game",0)</x:f>
        <x:v>46</x:v>
      </x:c>
      <x:c r="AV2348" t="n">
        <x:f>_xlfn.XLOOKUP($A2348,Games!$A$2:$A$18,Games!$Q$2:$Q$18,"Missing game",0)</x:f>
        <x:v>20</x:v>
      </x:c>
      <x:c r="AW2348" t="str">
        <x:f>_xlfn.XLOOKUP($A2348,Games!$A$2:$A$18,Games!$R$2:$R$18,"Missing game",0)</x:f>
        <x:v>MetLife Stadium</x:v>
      </x:c>
    </x:row>
    <x:row r="2349">
      <x:c r="A2349" t="str">
        <x:v>2025_16_MIN_NYG</x:v>
      </x:c>
      <x:c r="B2349" t="n">
        <x:v>667</x:v>
      </x:c>
      <x:c r="C2349" t="n">
        <x:v>1</x:v>
      </x:c>
      <x:c r="D2349" t="str">
        <x:v>03:52</x:v>
      </x:c>
      <x:c r="E2349" t="n">
        <x:v>2</x:v>
      </x:c>
      <x:c r="F2349" t="n">
        <x:v>10</x:v>
      </x:c>
      <x:c r="G2349" t="str">
        <x:v>MIN</x:v>
      </x:c>
      <x:c r="H2349" t="str">
        <x:v>NYG</x:v>
      </x:c>
      <x:c r="I2349" t="str">
        <x:v>MIN</x:v>
      </x:c>
      <x:c r="J2349" t="n">
        <x:v>73</x:v>
      </x:c>
      <x:c r="K2349" t="str">
        <x:v>(3:52) (Shotgun) 9-J.McCarthy sacked at MIN 25 for -2 yards (0-B.Burns).</x:v>
      </x:c>
      <x:c r="L2349" t="str">
        <x:v>pass</x:v>
      </x:c>
      <x:c r="M2349" t="n">
        <x:v>-2</x:v>
      </x:c>
      <x:c r="N2349" t="n">
        <x:v>1</x:v>
      </x:c>
      <x:c r="O2349" t="n">
        <x:v>0</x:v>
      </x:c>
      <x:c r="P2349"/>
      <x:c r="Q2349"/>
      <x:c r="R2349"/>
      <x:c r="S2349"/>
      <x:c r="T2349"/>
      <x:c r="U2349"/>
      <x:c r="V2349" t="n">
        <x:v>0</x:v>
      </x:c>
      <x:c r="W2349" t="n">
        <x:v>0</x:v>
      </x:c>
      <x:c r="X2349" t="n">
        <x:v>1</x:v>
      </x:c>
      <x:c r="Y2349" t="n">
        <x:v>0</x:v>
      </x:c>
      <x:c r="Z2349" t="n">
        <x:v>0</x:v>
      </x:c>
      <x:c r="AA2349" t="n">
        <x:v>0</x:v>
      </x:c>
      <x:c r="AB2349"/>
      <x:c r="AC2349" t="n">
        <x:v>0</x:v>
      </x:c>
      <x:c r="AD2349" t="n">
        <x:v>-1.1725863190367818</x:v>
      </x:c>
      <x:c r="AE2349" t="n">
        <x:v>0</x:v>
      </x:c>
      <x:c r="AF2349" t="n">
        <x:v>-0.03447014093399048</x:v>
      </x:c>
      <x:c r="AG2349" t="n">
        <x:f>_xlfn.XLOOKUP($A2349,Games!$A$2:$A$18,Games!$B$2:$B$18,"Missing game",0)</x:f>
        <x:v>2025</x:v>
      </x:c>
      <x:c r="AH2349" t="str">
        <x:f>_xlfn.XLOOKUP($A2349,Games!$A$2:$A$18,Games!$C$2:$C$18,"Missing game",0)</x:f>
        <x:v>REG</x:v>
      </x:c>
      <x:c r="AI2349" t="n">
        <x:f>_xlfn.XLOOKUP($A2349,Games!$A$2:$A$18,Games!$D$2:$D$18,"Missing game",0)</x:f>
        <x:v>16</x:v>
      </x:c>
      <x:c r="AJ2349" s="1" t="n">
        <x:f>_xlfn.XLOOKUP($A2349,Games!$A$2:$A$18,Games!$E$2:$E$18,"Missing game",0)</x:f>
        <x:v>46012</x:v>
      </x:c>
      <x:c r="AK2349" t="str">
        <x:f>_xlfn.XLOOKUP($A2349,Games!$A$2:$A$18,Games!$F$2:$F$18,"Missing game",0)</x:f>
        <x:v>Sunday</x:v>
      </x:c>
      <x:c r="AL2349" t="str">
        <x:f>_xlfn.XLOOKUP($A2349,Games!$A$2:$A$18,Games!$G$2:$G$18,"Missing game",0)</x:f>
        <x:v>MIN</x:v>
      </x:c>
      <x:c r="AM2349" t="n">
        <x:f>_xlfn.XLOOKUP($A2349,Games!$A$2:$A$18,Games!$H$2:$H$18,"Missing game",0)</x:f>
        <x:v>16</x:v>
      </x:c>
      <x:c r="AN2349" t="str">
        <x:f>_xlfn.XLOOKUP($A2349,Games!$A$2:$A$18,Games!$I$2:$I$18,"Missing game",0)</x:f>
        <x:v>NYG</x:v>
      </x:c>
      <x:c r="AO2349" t="n">
        <x:f>_xlfn.XLOOKUP($A2349,Games!$A$2:$A$18,Games!$J$2:$J$18,"Missing game",0)</x:f>
        <x:v>13</x:v>
      </x:c>
      <x:c r="AP2349" t="n">
        <x:f>_xlfn.XLOOKUP($A2349,Games!$A$2:$A$18,Games!$K$2:$K$18,"Missing game",0)</x:f>
        <x:v>-3</x:v>
      </x:c>
      <x:c r="AQ2349" t="n">
        <x:f>_xlfn.XLOOKUP($A2349,Games!$A$2:$A$18,Games!$L$2:$L$18,"Missing game",0)</x:f>
        <x:v>29</x:v>
      </x:c>
      <x:c r="AR2349" t="n">
        <x:f>_xlfn.XLOOKUP($A2349,Games!$A$2:$A$18,Games!$M$2:$M$18,"Missing game",0)</x:f>
        <x:v>0</x:v>
      </x:c>
      <x:c r="AS2349" t="str">
        <x:f>_xlfn.XLOOKUP($A2349,Games!$A$2:$A$18,Games!$N$2:$N$18,"Missing game",0)</x:f>
        <x:v>outdoors</x:v>
      </x:c>
      <x:c r="AT2349" t="str">
        <x:f>_xlfn.XLOOKUP($A2349,Games!$A$2:$A$18,Games!$O$2:$O$18,"Missing game",0)</x:f>
        <x:v>fieldturf</x:v>
      </x:c>
      <x:c r="AU2349" t="n">
        <x:f>_xlfn.XLOOKUP($A2349,Games!$A$2:$A$18,Games!$P$2:$P$18,"Missing game",0)</x:f>
        <x:v>46</x:v>
      </x:c>
      <x:c r="AV2349" t="n">
        <x:f>_xlfn.XLOOKUP($A2349,Games!$A$2:$A$18,Games!$Q$2:$Q$18,"Missing game",0)</x:f>
        <x:v>20</x:v>
      </x:c>
      <x:c r="AW2349" t="str">
        <x:f>_xlfn.XLOOKUP($A2349,Games!$A$2:$A$18,Games!$R$2:$R$18,"Missing game",0)</x:f>
        <x:v>MetLife Stadium</x:v>
      </x:c>
    </x:row>
    <x:row r="2350">
      <x:c r="A2350" t="str">
        <x:v>2025_16_MIN_NYG</x:v>
      </x:c>
      <x:c r="B2350" t="n">
        <x:v>687</x:v>
      </x:c>
      <x:c r="C2350" t="n">
        <x:v>1</x:v>
      </x:c>
      <x:c r="D2350" t="str">
        <x:v>03:13</x:v>
      </x:c>
      <x:c r="E2350" t="n">
        <x:v>3</x:v>
      </x:c>
      <x:c r="F2350" t="n">
        <x:v>12</x:v>
      </x:c>
      <x:c r="G2350" t="str">
        <x:v>MIN</x:v>
      </x:c>
      <x:c r="H2350" t="str">
        <x:v>NYG</x:v>
      </x:c>
      <x:c r="I2350" t="str">
        <x:v>MIN</x:v>
      </x:c>
      <x:c r="J2350" t="n">
        <x:v>75</x:v>
      </x:c>
      <x:c r="K2350" t="str">
        <x:v>(3:13) (Shotgun) 9-J.McCarthy pass short right to 18-J.Jefferson to MIN 39 for 14 yards (24-D.Belton).</x:v>
      </x:c>
      <x:c r="L2350" t="str">
        <x:v>pass</x:v>
      </x:c>
      <x:c r="M2350" t="n">
        <x:v>14</x:v>
      </x:c>
      <x:c r="N2350" t="n">
        <x:v>1</x:v>
      </x:c>
      <x:c r="O2350" t="n">
        <x:v>0</x:v>
      </x:c>
      <x:c r="P2350" t="str">
        <x:v>short</x:v>
      </x:c>
      <x:c r="Q2350" t="str">
        <x:v>right</x:v>
      </x:c>
      <x:c r="R2350" t="n">
        <x:v>0</x:v>
      </x:c>
      <x:c r="S2350" t="n">
        <x:v>14</x:v>
      </x:c>
      <x:c r="T2350"/>
      <x:c r="U2350"/>
      <x:c r="V2350" t="n">
        <x:v>1</x:v>
      </x:c>
      <x:c r="W2350" t="n">
        <x:v>1</x:v>
      </x:c>
      <x:c r="X2350" t="n">
        <x:v>0</x:v>
      </x:c>
      <x:c r="Y2350" t="n">
        <x:v>0</x:v>
      </x:c>
      <x:c r="Z2350" t="n">
        <x:v>0</x:v>
      </x:c>
      <x:c r="AA2350" t="n">
        <x:v>0</x:v>
      </x:c>
      <x:c r="AB2350"/>
      <x:c r="AC2350" t="n">
        <x:v>0</x:v>
      </x:c>
      <x:c r="AD2350" t="n">
        <x:v>2.5459332205355167</x:v>
      </x:c>
      <x:c r="AE2350" t="n">
        <x:v>1</x:v>
      </x:c>
      <x:c r="AF2350" t="n">
        <x:v>0.07423412799835205</x:v>
      </x:c>
      <x:c r="AG2350" t="n">
        <x:f>_xlfn.XLOOKUP($A2350,Games!$A$2:$A$18,Games!$B$2:$B$18,"Missing game",0)</x:f>
        <x:v>2025</x:v>
      </x:c>
      <x:c r="AH2350" t="str">
        <x:f>_xlfn.XLOOKUP($A2350,Games!$A$2:$A$18,Games!$C$2:$C$18,"Missing game",0)</x:f>
        <x:v>REG</x:v>
      </x:c>
      <x:c r="AI2350" t="n">
        <x:f>_xlfn.XLOOKUP($A2350,Games!$A$2:$A$18,Games!$D$2:$D$18,"Missing game",0)</x:f>
        <x:v>16</x:v>
      </x:c>
      <x:c r="AJ2350" s="1" t="n">
        <x:f>_xlfn.XLOOKUP($A2350,Games!$A$2:$A$18,Games!$E$2:$E$18,"Missing game",0)</x:f>
        <x:v>46012</x:v>
      </x:c>
      <x:c r="AK2350" t="str">
        <x:f>_xlfn.XLOOKUP($A2350,Games!$A$2:$A$18,Games!$F$2:$F$18,"Missing game",0)</x:f>
        <x:v>Sunday</x:v>
      </x:c>
      <x:c r="AL2350" t="str">
        <x:f>_xlfn.XLOOKUP($A2350,Games!$A$2:$A$18,Games!$G$2:$G$18,"Missing game",0)</x:f>
        <x:v>MIN</x:v>
      </x:c>
      <x:c r="AM2350" t="n">
        <x:f>_xlfn.XLOOKUP($A2350,Games!$A$2:$A$18,Games!$H$2:$H$18,"Missing game",0)</x:f>
        <x:v>16</x:v>
      </x:c>
      <x:c r="AN2350" t="str">
        <x:f>_xlfn.XLOOKUP($A2350,Games!$A$2:$A$18,Games!$I$2:$I$18,"Missing game",0)</x:f>
        <x:v>NYG</x:v>
      </x:c>
      <x:c r="AO2350" t="n">
        <x:f>_xlfn.XLOOKUP($A2350,Games!$A$2:$A$18,Games!$J$2:$J$18,"Missing game",0)</x:f>
        <x:v>13</x:v>
      </x:c>
      <x:c r="AP2350" t="n">
        <x:f>_xlfn.XLOOKUP($A2350,Games!$A$2:$A$18,Games!$K$2:$K$18,"Missing game",0)</x:f>
        <x:v>-3</x:v>
      </x:c>
      <x:c r="AQ2350" t="n">
        <x:f>_xlfn.XLOOKUP($A2350,Games!$A$2:$A$18,Games!$L$2:$L$18,"Missing game",0)</x:f>
        <x:v>29</x:v>
      </x:c>
      <x:c r="AR2350" t="n">
        <x:f>_xlfn.XLOOKUP($A2350,Games!$A$2:$A$18,Games!$M$2:$M$18,"Missing game",0)</x:f>
        <x:v>0</x:v>
      </x:c>
      <x:c r="AS2350" t="str">
        <x:f>_xlfn.XLOOKUP($A2350,Games!$A$2:$A$18,Games!$N$2:$N$18,"Missing game",0)</x:f>
        <x:v>outdoors</x:v>
      </x:c>
      <x:c r="AT2350" t="str">
        <x:f>_xlfn.XLOOKUP($A2350,Games!$A$2:$A$18,Games!$O$2:$O$18,"Missing game",0)</x:f>
        <x:v>fieldturf</x:v>
      </x:c>
      <x:c r="AU2350" t="n">
        <x:f>_xlfn.XLOOKUP($A2350,Games!$A$2:$A$18,Games!$P$2:$P$18,"Missing game",0)</x:f>
        <x:v>46</x:v>
      </x:c>
      <x:c r="AV2350" t="n">
        <x:f>_xlfn.XLOOKUP($A2350,Games!$A$2:$A$18,Games!$Q$2:$Q$18,"Missing game",0)</x:f>
        <x:v>20</x:v>
      </x:c>
      <x:c r="AW2350" t="str">
        <x:f>_xlfn.XLOOKUP($A2350,Games!$A$2:$A$18,Games!$R$2:$R$18,"Missing game",0)</x:f>
        <x:v>MetLife Stadium</x:v>
      </x:c>
    </x:row>
    <x:row r="2351">
      <x:c r="A2351" t="str">
        <x:v>2025_16_MIN_NYG</x:v>
      </x:c>
      <x:c r="B2351" t="n">
        <x:v>712</x:v>
      </x:c>
      <x:c r="C2351" t="n">
        <x:v>1</x:v>
      </x:c>
      <x:c r="D2351" t="str">
        <x:v>02:26</x:v>
      </x:c>
      <x:c r="E2351" t="n">
        <x:v>1</x:v>
      </x:c>
      <x:c r="F2351" t="n">
        <x:v>10</x:v>
      </x:c>
      <x:c r="G2351" t="str">
        <x:v>MIN</x:v>
      </x:c>
      <x:c r="H2351" t="str">
        <x:v>NYG</x:v>
      </x:c>
      <x:c r="I2351" t="str">
        <x:v>MIN</x:v>
      </x:c>
      <x:c r="J2351" t="n">
        <x:v>61</x:v>
      </x:c>
      <x:c r="K2351" t="str">
        <x:v>(2:26) 36-Z.Scott left tackle to MIN 39 for no gain (58-B.Okereke).</x:v>
      </x:c>
      <x:c r="L2351" t="str">
        <x:v>run</x:v>
      </x:c>
      <x:c r="M2351" t="n">
        <x:v>0</x:v>
      </x:c>
      <x:c r="N2351" t="n">
        <x:v>0</x:v>
      </x:c>
      <x:c r="O2351" t="n">
        <x:v>0</x:v>
      </x:c>
      <x:c r="P2351"/>
      <x:c r="Q2351"/>
      <x:c r="R2351"/>
      <x:c r="S2351"/>
      <x:c r="T2351" t="str">
        <x:v>left</x:v>
      </x:c>
      <x:c r="U2351" t="str">
        <x:v>tackle</x:v>
      </x:c>
      <x:c r="V2351" t="n">
        <x:v>0</x:v>
      </x:c>
      <x:c r="W2351" t="n">
        <x:v>0</x:v>
      </x:c>
      <x:c r="X2351" t="n">
        <x:v>0</x:v>
      </x:c>
      <x:c r="Y2351" t="n">
        <x:v>0</x:v>
      </x:c>
      <x:c r="Z2351" t="n">
        <x:v>0</x:v>
      </x:c>
      <x:c r="AA2351" t="n">
        <x:v>0</x:v>
      </x:c>
      <x:c r="AB2351"/>
      <x:c r="AC2351" t="n">
        <x:v>0</x:v>
      </x:c>
      <x:c r="AD2351" t="n">
        <x:v>-0.5031226631253958</x:v>
      </x:c>
      <x:c r="AE2351" t="n">
        <x:v>0</x:v>
      </x:c>
      <x:c r="AF2351" t="n">
        <x:v>-0.01799774169921875</x:v>
      </x:c>
      <x:c r="AG2351" t="n">
        <x:f>_xlfn.XLOOKUP($A2351,Games!$A$2:$A$18,Games!$B$2:$B$18,"Missing game",0)</x:f>
        <x:v>2025</x:v>
      </x:c>
      <x:c r="AH2351" t="str">
        <x:f>_xlfn.XLOOKUP($A2351,Games!$A$2:$A$18,Games!$C$2:$C$18,"Missing game",0)</x:f>
        <x:v>REG</x:v>
      </x:c>
      <x:c r="AI2351" t="n">
        <x:f>_xlfn.XLOOKUP($A2351,Games!$A$2:$A$18,Games!$D$2:$D$18,"Missing game",0)</x:f>
        <x:v>16</x:v>
      </x:c>
      <x:c r="AJ2351" s="1" t="n">
        <x:f>_xlfn.XLOOKUP($A2351,Games!$A$2:$A$18,Games!$E$2:$E$18,"Missing game",0)</x:f>
        <x:v>46012</x:v>
      </x:c>
      <x:c r="AK2351" t="str">
        <x:f>_xlfn.XLOOKUP($A2351,Games!$A$2:$A$18,Games!$F$2:$F$18,"Missing game",0)</x:f>
        <x:v>Sunday</x:v>
      </x:c>
      <x:c r="AL2351" t="str">
        <x:f>_xlfn.XLOOKUP($A2351,Games!$A$2:$A$18,Games!$G$2:$G$18,"Missing game",0)</x:f>
        <x:v>MIN</x:v>
      </x:c>
      <x:c r="AM2351" t="n">
        <x:f>_xlfn.XLOOKUP($A2351,Games!$A$2:$A$18,Games!$H$2:$H$18,"Missing game",0)</x:f>
        <x:v>16</x:v>
      </x:c>
      <x:c r="AN2351" t="str">
        <x:f>_xlfn.XLOOKUP($A2351,Games!$A$2:$A$18,Games!$I$2:$I$18,"Missing game",0)</x:f>
        <x:v>NYG</x:v>
      </x:c>
      <x:c r="AO2351" t="n">
        <x:f>_xlfn.XLOOKUP($A2351,Games!$A$2:$A$18,Games!$J$2:$J$18,"Missing game",0)</x:f>
        <x:v>13</x:v>
      </x:c>
      <x:c r="AP2351" t="n">
        <x:f>_xlfn.XLOOKUP($A2351,Games!$A$2:$A$18,Games!$K$2:$K$18,"Missing game",0)</x:f>
        <x:v>-3</x:v>
      </x:c>
      <x:c r="AQ2351" t="n">
        <x:f>_xlfn.XLOOKUP($A2351,Games!$A$2:$A$18,Games!$L$2:$L$18,"Missing game",0)</x:f>
        <x:v>29</x:v>
      </x:c>
      <x:c r="AR2351" t="n">
        <x:f>_xlfn.XLOOKUP($A2351,Games!$A$2:$A$18,Games!$M$2:$M$18,"Missing game",0)</x:f>
        <x:v>0</x:v>
      </x:c>
      <x:c r="AS2351" t="str">
        <x:f>_xlfn.XLOOKUP($A2351,Games!$A$2:$A$18,Games!$N$2:$N$18,"Missing game",0)</x:f>
        <x:v>outdoors</x:v>
      </x:c>
      <x:c r="AT2351" t="str">
        <x:f>_xlfn.XLOOKUP($A2351,Games!$A$2:$A$18,Games!$O$2:$O$18,"Missing game",0)</x:f>
        <x:v>fieldturf</x:v>
      </x:c>
      <x:c r="AU2351" t="n">
        <x:f>_xlfn.XLOOKUP($A2351,Games!$A$2:$A$18,Games!$P$2:$P$18,"Missing game",0)</x:f>
        <x:v>46</x:v>
      </x:c>
      <x:c r="AV2351" t="n">
        <x:f>_xlfn.XLOOKUP($A2351,Games!$A$2:$A$18,Games!$Q$2:$Q$18,"Missing game",0)</x:f>
        <x:v>20</x:v>
      </x:c>
      <x:c r="AW2351" t="str">
        <x:f>_xlfn.XLOOKUP($A2351,Games!$A$2:$A$18,Games!$R$2:$R$18,"Missing game",0)</x:f>
        <x:v>MetLife Stadium</x:v>
      </x:c>
    </x:row>
    <x:row r="2352">
      <x:c r="A2352" t="str">
        <x:v>2025_16_MIN_NYG</x:v>
      </x:c>
      <x:c r="B2352" t="n">
        <x:v>734</x:v>
      </x:c>
      <x:c r="C2352" t="n">
        <x:v>1</x:v>
      </x:c>
      <x:c r="D2352" t="str">
        <x:v>01:46</x:v>
      </x:c>
      <x:c r="E2352" t="n">
        <x:v>2</x:v>
      </x:c>
      <x:c r="F2352" t="n">
        <x:v>10</x:v>
      </x:c>
      <x:c r="G2352" t="str">
        <x:v>MIN</x:v>
      </x:c>
      <x:c r="H2352" t="str">
        <x:v>NYG</x:v>
      </x:c>
      <x:c r="I2352" t="str">
        <x:v>MIN</x:v>
      </x:c>
      <x:c r="J2352" t="n">
        <x:v>61</x:v>
      </x:c>
      <x:c r="K2352" t="str">
        <x:v>(1:46) (Shotgun) 9-J.McCarthy pass short right intended for 1-J.Nailor INTERCEPTED by 21-P.Adebo at MIN 44. 21-P.Adebo ran ob at MIN 44 for no gain.</x:v>
      </x:c>
      <x:c r="L2352" t="str">
        <x:v>pass</x:v>
      </x:c>
      <x:c r="M2352" t="n">
        <x:v>0</x:v>
      </x:c>
      <x:c r="N2352" t="n">
        <x:v>1</x:v>
      </x:c>
      <x:c r="O2352" t="n">
        <x:v>0</x:v>
      </x:c>
      <x:c r="P2352" t="str">
        <x:v>short</x:v>
      </x:c>
      <x:c r="Q2352" t="str">
        <x:v>right</x:v>
      </x:c>
      <x:c r="R2352" t="n">
        <x:v>5</x:v>
      </x:c>
      <x:c r="S2352"/>
      <x:c r="T2352"/>
      <x:c r="U2352"/>
      <x:c r="V2352" t="n">
        <x:v>0</x:v>
      </x:c>
      <x:c r="W2352" t="n">
        <x:v>0</x:v>
      </x:c>
      <x:c r="X2352" t="n">
        <x:v>0</x:v>
      </x:c>
      <x:c r="Y2352" t="n">
        <x:v>1</x:v>
      </x:c>
      <x:c r="Z2352" t="n">
        <x:v>0</x:v>
      </x:c>
      <x:c r="AA2352" t="n">
        <x:v>0</x:v>
      </x:c>
      <x:c r="AB2352"/>
      <x:c r="AC2352" t="n">
        <x:v>0</x:v>
      </x:c>
      <x:c r="AD2352" t="n">
        <x:v>-4.506287481170148</x:v>
      </x:c>
      <x:c r="AE2352" t="n">
        <x:v>0</x:v>
      </x:c>
      <x:c r="AF2352" t="n">
        <x:v>-0.14924240112304688</x:v>
      </x:c>
      <x:c r="AG2352" t="n">
        <x:f>_xlfn.XLOOKUP($A2352,Games!$A$2:$A$18,Games!$B$2:$B$18,"Missing game",0)</x:f>
        <x:v>2025</x:v>
      </x:c>
      <x:c r="AH2352" t="str">
        <x:f>_xlfn.XLOOKUP($A2352,Games!$A$2:$A$18,Games!$C$2:$C$18,"Missing game",0)</x:f>
        <x:v>REG</x:v>
      </x:c>
      <x:c r="AI2352" t="n">
        <x:f>_xlfn.XLOOKUP($A2352,Games!$A$2:$A$18,Games!$D$2:$D$18,"Missing game",0)</x:f>
        <x:v>16</x:v>
      </x:c>
      <x:c r="AJ2352" s="1" t="n">
        <x:f>_xlfn.XLOOKUP($A2352,Games!$A$2:$A$18,Games!$E$2:$E$18,"Missing game",0)</x:f>
        <x:v>46012</x:v>
      </x:c>
      <x:c r="AK2352" t="str">
        <x:f>_xlfn.XLOOKUP($A2352,Games!$A$2:$A$18,Games!$F$2:$F$18,"Missing game",0)</x:f>
        <x:v>Sunday</x:v>
      </x:c>
      <x:c r="AL2352" t="str">
        <x:f>_xlfn.XLOOKUP($A2352,Games!$A$2:$A$18,Games!$G$2:$G$18,"Missing game",0)</x:f>
        <x:v>MIN</x:v>
      </x:c>
      <x:c r="AM2352" t="n">
        <x:f>_xlfn.XLOOKUP($A2352,Games!$A$2:$A$18,Games!$H$2:$H$18,"Missing game",0)</x:f>
        <x:v>16</x:v>
      </x:c>
      <x:c r="AN2352" t="str">
        <x:f>_xlfn.XLOOKUP($A2352,Games!$A$2:$A$18,Games!$I$2:$I$18,"Missing game",0)</x:f>
        <x:v>NYG</x:v>
      </x:c>
      <x:c r="AO2352" t="n">
        <x:f>_xlfn.XLOOKUP($A2352,Games!$A$2:$A$18,Games!$J$2:$J$18,"Missing game",0)</x:f>
        <x:v>13</x:v>
      </x:c>
      <x:c r="AP2352" t="n">
        <x:f>_xlfn.XLOOKUP($A2352,Games!$A$2:$A$18,Games!$K$2:$K$18,"Missing game",0)</x:f>
        <x:v>-3</x:v>
      </x:c>
      <x:c r="AQ2352" t="n">
        <x:f>_xlfn.XLOOKUP($A2352,Games!$A$2:$A$18,Games!$L$2:$L$18,"Missing game",0)</x:f>
        <x:v>29</x:v>
      </x:c>
      <x:c r="AR2352" t="n">
        <x:f>_xlfn.XLOOKUP($A2352,Games!$A$2:$A$18,Games!$M$2:$M$18,"Missing game",0)</x:f>
        <x:v>0</x:v>
      </x:c>
      <x:c r="AS2352" t="str">
        <x:f>_xlfn.XLOOKUP($A2352,Games!$A$2:$A$18,Games!$N$2:$N$18,"Missing game",0)</x:f>
        <x:v>outdoors</x:v>
      </x:c>
      <x:c r="AT2352" t="str">
        <x:f>_xlfn.XLOOKUP($A2352,Games!$A$2:$A$18,Games!$O$2:$O$18,"Missing game",0)</x:f>
        <x:v>fieldturf</x:v>
      </x:c>
      <x:c r="AU2352" t="n">
        <x:f>_xlfn.XLOOKUP($A2352,Games!$A$2:$A$18,Games!$P$2:$P$18,"Missing game",0)</x:f>
        <x:v>46</x:v>
      </x:c>
      <x:c r="AV2352" t="n">
        <x:f>_xlfn.XLOOKUP($A2352,Games!$A$2:$A$18,Games!$Q$2:$Q$18,"Missing game",0)</x:f>
        <x:v>20</x:v>
      </x:c>
      <x:c r="AW2352" t="str">
        <x:f>_xlfn.XLOOKUP($A2352,Games!$A$2:$A$18,Games!$R$2:$R$18,"Missing game",0)</x:f>
        <x:v>MetLife Stadium</x:v>
      </x:c>
    </x:row>
    <x:row r="2353">
      <x:c r="A2353" t="str">
        <x:v>2025_16_MIN_NYG</x:v>
      </x:c>
      <x:c r="B2353" t="n">
        <x:v>766</x:v>
      </x:c>
      <x:c r="C2353" t="n">
        <x:v>1</x:v>
      </x:c>
      <x:c r="D2353" t="str">
        <x:v>01:41</x:v>
      </x:c>
      <x:c r="E2353" t="n">
        <x:v>1</x:v>
      </x:c>
      <x:c r="F2353" t="n">
        <x:v>10</x:v>
      </x:c>
      <x:c r="G2353" t="str">
        <x:v>NYG</x:v>
      </x:c>
      <x:c r="H2353" t="str">
        <x:v>MIN</x:v>
      </x:c>
      <x:c r="I2353" t="str">
        <x:v>MIN</x:v>
      </x:c>
      <x:c r="J2353" t="n">
        <x:v>44</x:v>
      </x:c>
      <x:c r="K2353" t="str">
        <x:v>(1:41) (Shotgun) 26-D.Singletary right guard to MIN 40 for 4 yards (24-J.Ward).</x:v>
      </x:c>
      <x:c r="L2353" t="str">
        <x:v>run</x:v>
      </x:c>
      <x:c r="M2353" t="n">
        <x:v>4</x:v>
      </x:c>
      <x:c r="N2353" t="n">
        <x:v>1</x:v>
      </x:c>
      <x:c r="O2353" t="n">
        <x:v>0</x:v>
      </x:c>
      <x:c r="P2353"/>
      <x:c r="Q2353"/>
      <x:c r="R2353"/>
      <x:c r="S2353"/>
      <x:c r="T2353" t="str">
        <x:v>right</x:v>
      </x:c>
      <x:c r="U2353" t="str">
        <x:v>guard</x:v>
      </x:c>
      <x:c r="V2353" t="n">
        <x:v>0</x:v>
      </x:c>
      <x:c r="W2353" t="n">
        <x:v>0</x:v>
      </x:c>
      <x:c r="X2353" t="n">
        <x:v>0</x:v>
      </x:c>
      <x:c r="Y2353" t="n">
        <x:v>0</x:v>
      </x:c>
      <x:c r="Z2353" t="n">
        <x:v>0</x:v>
      </x:c>
      <x:c r="AA2353" t="n">
        <x:v>0</x:v>
      </x:c>
      <x:c r="AB2353"/>
      <x:c r="AC2353" t="n">
        <x:v>0</x:v>
      </x:c>
      <x:c r="AD2353" t="n">
        <x:v>-0.21227017510682344</x:v>
      </x:c>
      <x:c r="AE2353" t="n">
        <x:v>0</x:v>
      </x:c>
      <x:c r="AF2353" t="n">
        <x:v>-0.009656012058258057</x:v>
      </x:c>
      <x:c r="AG2353" t="n">
        <x:f>_xlfn.XLOOKUP($A2353,Games!$A$2:$A$18,Games!$B$2:$B$18,"Missing game",0)</x:f>
        <x:v>2025</x:v>
      </x:c>
      <x:c r="AH2353" t="str">
        <x:f>_xlfn.XLOOKUP($A2353,Games!$A$2:$A$18,Games!$C$2:$C$18,"Missing game",0)</x:f>
        <x:v>REG</x:v>
      </x:c>
      <x:c r="AI2353" t="n">
        <x:f>_xlfn.XLOOKUP($A2353,Games!$A$2:$A$18,Games!$D$2:$D$18,"Missing game",0)</x:f>
        <x:v>16</x:v>
      </x:c>
      <x:c r="AJ2353" s="1" t="n">
        <x:f>_xlfn.XLOOKUP($A2353,Games!$A$2:$A$18,Games!$E$2:$E$18,"Missing game",0)</x:f>
        <x:v>46012</x:v>
      </x:c>
      <x:c r="AK2353" t="str">
        <x:f>_xlfn.XLOOKUP($A2353,Games!$A$2:$A$18,Games!$F$2:$F$18,"Missing game",0)</x:f>
        <x:v>Sunday</x:v>
      </x:c>
      <x:c r="AL2353" t="str">
        <x:f>_xlfn.XLOOKUP($A2353,Games!$A$2:$A$18,Games!$G$2:$G$18,"Missing game",0)</x:f>
        <x:v>MIN</x:v>
      </x:c>
      <x:c r="AM2353" t="n">
        <x:f>_xlfn.XLOOKUP($A2353,Games!$A$2:$A$18,Games!$H$2:$H$18,"Missing game",0)</x:f>
        <x:v>16</x:v>
      </x:c>
      <x:c r="AN2353" t="str">
        <x:f>_xlfn.XLOOKUP($A2353,Games!$A$2:$A$18,Games!$I$2:$I$18,"Missing game",0)</x:f>
        <x:v>NYG</x:v>
      </x:c>
      <x:c r="AO2353" t="n">
        <x:f>_xlfn.XLOOKUP($A2353,Games!$A$2:$A$18,Games!$J$2:$J$18,"Missing game",0)</x:f>
        <x:v>13</x:v>
      </x:c>
      <x:c r="AP2353" t="n">
        <x:f>_xlfn.XLOOKUP($A2353,Games!$A$2:$A$18,Games!$K$2:$K$18,"Missing game",0)</x:f>
        <x:v>-3</x:v>
      </x:c>
      <x:c r="AQ2353" t="n">
        <x:f>_xlfn.XLOOKUP($A2353,Games!$A$2:$A$18,Games!$L$2:$L$18,"Missing game",0)</x:f>
        <x:v>29</x:v>
      </x:c>
      <x:c r="AR2353" t="n">
        <x:f>_xlfn.XLOOKUP($A2353,Games!$A$2:$A$18,Games!$M$2:$M$18,"Missing game",0)</x:f>
        <x:v>0</x:v>
      </x:c>
      <x:c r="AS2353" t="str">
        <x:f>_xlfn.XLOOKUP($A2353,Games!$A$2:$A$18,Games!$N$2:$N$18,"Missing game",0)</x:f>
        <x:v>outdoors</x:v>
      </x:c>
      <x:c r="AT2353" t="str">
        <x:f>_xlfn.XLOOKUP($A2353,Games!$A$2:$A$18,Games!$O$2:$O$18,"Missing game",0)</x:f>
        <x:v>fieldturf</x:v>
      </x:c>
      <x:c r="AU2353" t="n">
        <x:f>_xlfn.XLOOKUP($A2353,Games!$A$2:$A$18,Games!$P$2:$P$18,"Missing game",0)</x:f>
        <x:v>46</x:v>
      </x:c>
      <x:c r="AV2353" t="n">
        <x:f>_xlfn.XLOOKUP($A2353,Games!$A$2:$A$18,Games!$Q$2:$Q$18,"Missing game",0)</x:f>
        <x:v>20</x:v>
      </x:c>
      <x:c r="AW2353" t="str">
        <x:f>_xlfn.XLOOKUP($A2353,Games!$A$2:$A$18,Games!$R$2:$R$18,"Missing game",0)</x:f>
        <x:v>MetLife Stadium</x:v>
      </x:c>
    </x:row>
    <x:row r="2354">
      <x:c r="A2354" t="str">
        <x:v>2025_16_MIN_NYG</x:v>
      </x:c>
      <x:c r="B2354" t="n">
        <x:v>795</x:v>
      </x:c>
      <x:c r="C2354" t="n">
        <x:v>1</x:v>
      </x:c>
      <x:c r="D2354" t="str">
        <x:v>01:04</x:v>
      </x:c>
      <x:c r="E2354" t="n">
        <x:v>2</x:v>
      </x:c>
      <x:c r="F2354" t="n">
        <x:v>6</x:v>
      </x:c>
      <x:c r="G2354" t="str">
        <x:v>NYG</x:v>
      </x:c>
      <x:c r="H2354" t="str">
        <x:v>MIN</x:v>
      </x:c>
      <x:c r="I2354" t="str">
        <x:v>MIN</x:v>
      </x:c>
      <x:c r="J2354" t="n">
        <x:v>40</x:v>
      </x:c>
      <x:c r="K2354" t="str">
        <x:v>(1:04) (Shotgun) 26-D.Singletary left guard to MIN 35 for 5 yards (51-B.Cashman).</x:v>
      </x:c>
      <x:c r="L2354" t="str">
        <x:v>run</x:v>
      </x:c>
      <x:c r="M2354" t="n">
        <x:v>5</x:v>
      </x:c>
      <x:c r="N2354" t="n">
        <x:v>1</x:v>
      </x:c>
      <x:c r="O2354" t="n">
        <x:v>0</x:v>
      </x:c>
      <x:c r="P2354"/>
      <x:c r="Q2354"/>
      <x:c r="R2354"/>
      <x:c r="S2354"/>
      <x:c r="T2354" t="str">
        <x:v>left</x:v>
      </x:c>
      <x:c r="U2354" t="str">
        <x:v>guard</x:v>
      </x:c>
      <x:c r="V2354" t="n">
        <x:v>0</x:v>
      </x:c>
      <x:c r="W2354" t="n">
        <x:v>0</x:v>
      </x:c>
      <x:c r="X2354" t="n">
        <x:v>0</x:v>
      </x:c>
      <x:c r="Y2354" t="n">
        <x:v>0</x:v>
      </x:c>
      <x:c r="Z2354" t="n">
        <x:v>0</x:v>
      </x:c>
      <x:c r="AA2354" t="n">
        <x:v>0</x:v>
      </x:c>
      <x:c r="AB2354"/>
      <x:c r="AC2354" t="n">
        <x:v>0</x:v>
      </x:c>
      <x:c r="AD2354" t="n">
        <x:v>0.25159469805657864</x:v>
      </x:c>
      <x:c r="AE2354" t="n">
        <x:v>1</x:v>
      </x:c>
      <x:c r="AF2354" t="n">
        <x:v>0.009630262851715088</x:v>
      </x:c>
      <x:c r="AG2354" t="n">
        <x:f>_xlfn.XLOOKUP($A2354,Games!$A$2:$A$18,Games!$B$2:$B$18,"Missing game",0)</x:f>
        <x:v>2025</x:v>
      </x:c>
      <x:c r="AH2354" t="str">
        <x:f>_xlfn.XLOOKUP($A2354,Games!$A$2:$A$18,Games!$C$2:$C$18,"Missing game",0)</x:f>
        <x:v>REG</x:v>
      </x:c>
      <x:c r="AI2354" t="n">
        <x:f>_xlfn.XLOOKUP($A2354,Games!$A$2:$A$18,Games!$D$2:$D$18,"Missing game",0)</x:f>
        <x:v>16</x:v>
      </x:c>
      <x:c r="AJ2354" s="1" t="n">
        <x:f>_xlfn.XLOOKUP($A2354,Games!$A$2:$A$18,Games!$E$2:$E$18,"Missing game",0)</x:f>
        <x:v>46012</x:v>
      </x:c>
      <x:c r="AK2354" t="str">
        <x:f>_xlfn.XLOOKUP($A2354,Games!$A$2:$A$18,Games!$F$2:$F$18,"Missing game",0)</x:f>
        <x:v>Sunday</x:v>
      </x:c>
      <x:c r="AL2354" t="str">
        <x:f>_xlfn.XLOOKUP($A2354,Games!$A$2:$A$18,Games!$G$2:$G$18,"Missing game",0)</x:f>
        <x:v>MIN</x:v>
      </x:c>
      <x:c r="AM2354" t="n">
        <x:f>_xlfn.XLOOKUP($A2354,Games!$A$2:$A$18,Games!$H$2:$H$18,"Missing game",0)</x:f>
        <x:v>16</x:v>
      </x:c>
      <x:c r="AN2354" t="str">
        <x:f>_xlfn.XLOOKUP($A2354,Games!$A$2:$A$18,Games!$I$2:$I$18,"Missing game",0)</x:f>
        <x:v>NYG</x:v>
      </x:c>
      <x:c r="AO2354" t="n">
        <x:f>_xlfn.XLOOKUP($A2354,Games!$A$2:$A$18,Games!$J$2:$J$18,"Missing game",0)</x:f>
        <x:v>13</x:v>
      </x:c>
      <x:c r="AP2354" t="n">
        <x:f>_xlfn.XLOOKUP($A2354,Games!$A$2:$A$18,Games!$K$2:$K$18,"Missing game",0)</x:f>
        <x:v>-3</x:v>
      </x:c>
      <x:c r="AQ2354" t="n">
        <x:f>_xlfn.XLOOKUP($A2354,Games!$A$2:$A$18,Games!$L$2:$L$18,"Missing game",0)</x:f>
        <x:v>29</x:v>
      </x:c>
      <x:c r="AR2354" t="n">
        <x:f>_xlfn.XLOOKUP($A2354,Games!$A$2:$A$18,Games!$M$2:$M$18,"Missing game",0)</x:f>
        <x:v>0</x:v>
      </x:c>
      <x:c r="AS2354" t="str">
        <x:f>_xlfn.XLOOKUP($A2354,Games!$A$2:$A$18,Games!$N$2:$N$18,"Missing game",0)</x:f>
        <x:v>outdoors</x:v>
      </x:c>
      <x:c r="AT2354" t="str">
        <x:f>_xlfn.XLOOKUP($A2354,Games!$A$2:$A$18,Games!$O$2:$O$18,"Missing game",0)</x:f>
        <x:v>fieldturf</x:v>
      </x:c>
      <x:c r="AU2354" t="n">
        <x:f>_xlfn.XLOOKUP($A2354,Games!$A$2:$A$18,Games!$P$2:$P$18,"Missing game",0)</x:f>
        <x:v>46</x:v>
      </x:c>
      <x:c r="AV2354" t="n">
        <x:f>_xlfn.XLOOKUP($A2354,Games!$A$2:$A$18,Games!$Q$2:$Q$18,"Missing game",0)</x:f>
        <x:v>20</x:v>
      </x:c>
      <x:c r="AW2354" t="str">
        <x:f>_xlfn.XLOOKUP($A2354,Games!$A$2:$A$18,Games!$R$2:$R$18,"Missing game",0)</x:f>
        <x:v>MetLife Stadium</x:v>
      </x:c>
    </x:row>
    <x:row r="2355">
      <x:c r="A2355" t="str">
        <x:v>2025_16_MIN_NYG</x:v>
      </x:c>
      <x:c r="B2355" t="n">
        <x:v>817</x:v>
      </x:c>
      <x:c r="C2355" t="n">
        <x:v>1</x:v>
      </x:c>
      <x:c r="D2355" t="str">
        <x:v>00:28</x:v>
      </x:c>
      <x:c r="E2355" t="n">
        <x:v>3</x:v>
      </x:c>
      <x:c r="F2355" t="n">
        <x:v>1</x:v>
      </x:c>
      <x:c r="G2355" t="str">
        <x:v>NYG</x:v>
      </x:c>
      <x:c r="H2355" t="str">
        <x:v>MIN</x:v>
      </x:c>
      <x:c r="I2355" t="str">
        <x:v>MIN</x:v>
      </x:c>
      <x:c r="J2355" t="n">
        <x:v>35</x:v>
      </x:c>
      <x:c r="K2355" t="str">
        <x:v>(:28) (Shotgun) 26-D.Singletary right guard to MIN 33 for 2 yards (50-L.Rodriguez; 93-J.Allen).</x:v>
      </x:c>
      <x:c r="L2355" t="str">
        <x:v>run</x:v>
      </x:c>
      <x:c r="M2355" t="n">
        <x:v>2</x:v>
      </x:c>
      <x:c r="N2355" t="n">
        <x:v>1</x:v>
      </x:c>
      <x:c r="O2355" t="n">
        <x:v>0</x:v>
      </x:c>
      <x:c r="P2355"/>
      <x:c r="Q2355"/>
      <x:c r="R2355"/>
      <x:c r="S2355"/>
      <x:c r="T2355" t="str">
        <x:v>right</x:v>
      </x:c>
      <x:c r="U2355" t="str">
        <x:v>guard</x:v>
      </x:c>
      <x:c r="V2355" t="n">
        <x:v>0</x:v>
      </x:c>
      <x:c r="W2355" t="n">
        <x:v>1</x:v>
      </x:c>
      <x:c r="X2355" t="n">
        <x:v>0</x:v>
      </x:c>
      <x:c r="Y2355" t="n">
        <x:v>0</x:v>
      </x:c>
      <x:c r="Z2355" t="n">
        <x:v>0</x:v>
      </x:c>
      <x:c r="AA2355" t="n">
        <x:v>0</x:v>
      </x:c>
      <x:c r="AB2355"/>
      <x:c r="AC2355" t="n">
        <x:v>0</x:v>
      </x:c>
      <x:c r="AD2355" t="n">
        <x:v>0.5651815654709935</x:v>
      </x:c>
      <x:c r="AE2355" t="n">
        <x:v>1</x:v>
      </x:c>
      <x:c r="AF2355" t="n">
        <x:v>0.017555296421051025</x:v>
      </x:c>
      <x:c r="AG2355" t="n">
        <x:f>_xlfn.XLOOKUP($A2355,Games!$A$2:$A$18,Games!$B$2:$B$18,"Missing game",0)</x:f>
        <x:v>2025</x:v>
      </x:c>
      <x:c r="AH2355" t="str">
        <x:f>_xlfn.XLOOKUP($A2355,Games!$A$2:$A$18,Games!$C$2:$C$18,"Missing game",0)</x:f>
        <x:v>REG</x:v>
      </x:c>
      <x:c r="AI2355" t="n">
        <x:f>_xlfn.XLOOKUP($A2355,Games!$A$2:$A$18,Games!$D$2:$D$18,"Missing game",0)</x:f>
        <x:v>16</x:v>
      </x:c>
      <x:c r="AJ2355" s="1" t="n">
        <x:f>_xlfn.XLOOKUP($A2355,Games!$A$2:$A$18,Games!$E$2:$E$18,"Missing game",0)</x:f>
        <x:v>46012</x:v>
      </x:c>
      <x:c r="AK2355" t="str">
        <x:f>_xlfn.XLOOKUP($A2355,Games!$A$2:$A$18,Games!$F$2:$F$18,"Missing game",0)</x:f>
        <x:v>Sunday</x:v>
      </x:c>
      <x:c r="AL2355" t="str">
        <x:f>_xlfn.XLOOKUP($A2355,Games!$A$2:$A$18,Games!$G$2:$G$18,"Missing game",0)</x:f>
        <x:v>MIN</x:v>
      </x:c>
      <x:c r="AM2355" t="n">
        <x:f>_xlfn.XLOOKUP($A2355,Games!$A$2:$A$18,Games!$H$2:$H$18,"Missing game",0)</x:f>
        <x:v>16</x:v>
      </x:c>
      <x:c r="AN2355" t="str">
        <x:f>_xlfn.XLOOKUP($A2355,Games!$A$2:$A$18,Games!$I$2:$I$18,"Missing game",0)</x:f>
        <x:v>NYG</x:v>
      </x:c>
      <x:c r="AO2355" t="n">
        <x:f>_xlfn.XLOOKUP($A2355,Games!$A$2:$A$18,Games!$J$2:$J$18,"Missing game",0)</x:f>
        <x:v>13</x:v>
      </x:c>
      <x:c r="AP2355" t="n">
        <x:f>_xlfn.XLOOKUP($A2355,Games!$A$2:$A$18,Games!$K$2:$K$18,"Missing game",0)</x:f>
        <x:v>-3</x:v>
      </x:c>
      <x:c r="AQ2355" t="n">
        <x:f>_xlfn.XLOOKUP($A2355,Games!$A$2:$A$18,Games!$L$2:$L$18,"Missing game",0)</x:f>
        <x:v>29</x:v>
      </x:c>
      <x:c r="AR2355" t="n">
        <x:f>_xlfn.XLOOKUP($A2355,Games!$A$2:$A$18,Games!$M$2:$M$18,"Missing game",0)</x:f>
        <x:v>0</x:v>
      </x:c>
      <x:c r="AS2355" t="str">
        <x:f>_xlfn.XLOOKUP($A2355,Games!$A$2:$A$18,Games!$N$2:$N$18,"Missing game",0)</x:f>
        <x:v>outdoors</x:v>
      </x:c>
      <x:c r="AT2355" t="str">
        <x:f>_xlfn.XLOOKUP($A2355,Games!$A$2:$A$18,Games!$O$2:$O$18,"Missing game",0)</x:f>
        <x:v>fieldturf</x:v>
      </x:c>
      <x:c r="AU2355" t="n">
        <x:f>_xlfn.XLOOKUP($A2355,Games!$A$2:$A$18,Games!$P$2:$P$18,"Missing game",0)</x:f>
        <x:v>46</x:v>
      </x:c>
      <x:c r="AV2355" t="n">
        <x:f>_xlfn.XLOOKUP($A2355,Games!$A$2:$A$18,Games!$Q$2:$Q$18,"Missing game",0)</x:f>
        <x:v>20</x:v>
      </x:c>
      <x:c r="AW2355" t="str">
        <x:f>_xlfn.XLOOKUP($A2355,Games!$A$2:$A$18,Games!$R$2:$R$18,"Missing game",0)</x:f>
        <x:v>MetLife Stadium</x:v>
      </x:c>
    </x:row>
    <x:row r="2356">
      <x:c r="A2356" t="str">
        <x:v>2025_16_MIN_NYG</x:v>
      </x:c>
      <x:c r="B2356" t="n">
        <x:v>839</x:v>
      </x:c>
      <x:c r="C2356" t="n">
        <x:v>1</x:v>
      </x:c>
      <x:c r="D2356" t="str">
        <x:v>00:00</x:v>
      </x:c>
      <x:c r="E2356"/>
      <x:c r="F2356" t="n">
        <x:v>0</x:v>
      </x:c>
      <x:c r="G2356" t="str">
        <x:v>NYG</x:v>
      </x:c>
      <x:c r="H2356" t="str">
        <x:v>MIN</x:v>
      </x:c>
      <x:c r="I2356"/>
      <x:c r="J2356"/>
      <x:c r="K2356" t="str">
        <x:v>END QUARTER 1</x:v>
      </x:c>
      <x:c r="L2356"/>
      <x:c r="M2356"/>
      <x:c r="N2356" t="n">
        <x:v>0</x:v>
      </x:c>
      <x:c r="O2356" t="n">
        <x:v>0</x:v>
      </x:c>
      <x:c r="P2356"/>
      <x:c r="Q2356"/>
      <x:c r="R2356"/>
      <x:c r="S2356"/>
      <x:c r="T2356"/>
      <x:c r="U2356"/>
      <x:c r="V2356"/>
      <x:c r="W2356"/>
      <x:c r="X2356"/>
      <x:c r="Y2356"/>
      <x:c r="Z2356"/>
      <x:c r="AA2356"/>
      <x:c r="AB2356"/>
      <x:c r="AC2356"/>
      <x:c r="AD2356" t="n">
        <x:v>0</x:v>
      </x:c>
      <x:c r="AE2356" t="n">
        <x:v>0</x:v>
      </x:c>
      <x:c r="AF2356" t="n">
        <x:v>0</x:v>
      </x:c>
      <x:c r="AG2356" t="n">
        <x:f>_xlfn.XLOOKUP($A2356,Games!$A$2:$A$18,Games!$B$2:$B$18,"Missing game",0)</x:f>
        <x:v>2025</x:v>
      </x:c>
      <x:c r="AH2356" t="str">
        <x:f>_xlfn.XLOOKUP($A2356,Games!$A$2:$A$18,Games!$C$2:$C$18,"Missing game",0)</x:f>
        <x:v>REG</x:v>
      </x:c>
      <x:c r="AI2356" t="n">
        <x:f>_xlfn.XLOOKUP($A2356,Games!$A$2:$A$18,Games!$D$2:$D$18,"Missing game",0)</x:f>
        <x:v>16</x:v>
      </x:c>
      <x:c r="AJ2356" s="1" t="n">
        <x:f>_xlfn.XLOOKUP($A2356,Games!$A$2:$A$18,Games!$E$2:$E$18,"Missing game",0)</x:f>
        <x:v>46012</x:v>
      </x:c>
      <x:c r="AK2356" t="str">
        <x:f>_xlfn.XLOOKUP($A2356,Games!$A$2:$A$18,Games!$F$2:$F$18,"Missing game",0)</x:f>
        <x:v>Sunday</x:v>
      </x:c>
      <x:c r="AL2356" t="str">
        <x:f>_xlfn.XLOOKUP($A2356,Games!$A$2:$A$18,Games!$G$2:$G$18,"Missing game",0)</x:f>
        <x:v>MIN</x:v>
      </x:c>
      <x:c r="AM2356" t="n">
        <x:f>_xlfn.XLOOKUP($A2356,Games!$A$2:$A$18,Games!$H$2:$H$18,"Missing game",0)</x:f>
        <x:v>16</x:v>
      </x:c>
      <x:c r="AN2356" t="str">
        <x:f>_xlfn.XLOOKUP($A2356,Games!$A$2:$A$18,Games!$I$2:$I$18,"Missing game",0)</x:f>
        <x:v>NYG</x:v>
      </x:c>
      <x:c r="AO2356" t="n">
        <x:f>_xlfn.XLOOKUP($A2356,Games!$A$2:$A$18,Games!$J$2:$J$18,"Missing game",0)</x:f>
        <x:v>13</x:v>
      </x:c>
      <x:c r="AP2356" t="n">
        <x:f>_xlfn.XLOOKUP($A2356,Games!$A$2:$A$18,Games!$K$2:$K$18,"Missing game",0)</x:f>
        <x:v>-3</x:v>
      </x:c>
      <x:c r="AQ2356" t="n">
        <x:f>_xlfn.XLOOKUP($A2356,Games!$A$2:$A$18,Games!$L$2:$L$18,"Missing game",0)</x:f>
        <x:v>29</x:v>
      </x:c>
      <x:c r="AR2356" t="n">
        <x:f>_xlfn.XLOOKUP($A2356,Games!$A$2:$A$18,Games!$M$2:$M$18,"Missing game",0)</x:f>
        <x:v>0</x:v>
      </x:c>
      <x:c r="AS2356" t="str">
        <x:f>_xlfn.XLOOKUP($A2356,Games!$A$2:$A$18,Games!$N$2:$N$18,"Missing game",0)</x:f>
        <x:v>outdoors</x:v>
      </x:c>
      <x:c r="AT2356" t="str">
        <x:f>_xlfn.XLOOKUP($A2356,Games!$A$2:$A$18,Games!$O$2:$O$18,"Missing game",0)</x:f>
        <x:v>fieldturf</x:v>
      </x:c>
      <x:c r="AU2356" t="n">
        <x:f>_xlfn.XLOOKUP($A2356,Games!$A$2:$A$18,Games!$P$2:$P$18,"Missing game",0)</x:f>
        <x:v>46</x:v>
      </x:c>
      <x:c r="AV2356" t="n">
        <x:f>_xlfn.XLOOKUP($A2356,Games!$A$2:$A$18,Games!$Q$2:$Q$18,"Missing game",0)</x:f>
        <x:v>20</x:v>
      </x:c>
      <x:c r="AW2356" t="str">
        <x:f>_xlfn.XLOOKUP($A2356,Games!$A$2:$A$18,Games!$R$2:$R$18,"Missing game",0)</x:f>
        <x:v>MetLife Stadium</x:v>
      </x:c>
    </x:row>
    <x:row r="2357">
      <x:c r="A2357" t="str">
        <x:v>2025_16_MIN_NYG</x:v>
      </x:c>
      <x:c r="B2357" t="n">
        <x:v>859</x:v>
      </x:c>
      <x:c r="C2357" t="n">
        <x:v>2</x:v>
      </x:c>
      <x:c r="D2357" t="str">
        <x:v>15:00</x:v>
      </x:c>
      <x:c r="E2357" t="n">
        <x:v>1</x:v>
      </x:c>
      <x:c r="F2357" t="n">
        <x:v>10</x:v>
      </x:c>
      <x:c r="G2357" t="str">
        <x:v>NYG</x:v>
      </x:c>
      <x:c r="H2357" t="str">
        <x:v>MIN</x:v>
      </x:c>
      <x:c r="I2357" t="str">
        <x:v>MIN</x:v>
      </x:c>
      <x:c r="J2357" t="n">
        <x:v>33</x:v>
      </x:c>
      <x:c r="K2357" t="str">
        <x:v>(15:00) 17-W.Robinson left end to MIN 30 for 3 yards (24-J.Ward).</x:v>
      </x:c>
      <x:c r="L2357" t="str">
        <x:v>run</x:v>
      </x:c>
      <x:c r="M2357" t="n">
        <x:v>3</x:v>
      </x:c>
      <x:c r="N2357" t="n">
        <x:v>0</x:v>
      </x:c>
      <x:c r="O2357" t="n">
        <x:v>0</x:v>
      </x:c>
      <x:c r="P2357"/>
      <x:c r="Q2357"/>
      <x:c r="R2357"/>
      <x:c r="S2357"/>
      <x:c r="T2357" t="str">
        <x:v>left</x:v>
      </x:c>
      <x:c r="U2357" t="str">
        <x:v>end</x:v>
      </x:c>
      <x:c r="V2357" t="n">
        <x:v>0</x:v>
      </x:c>
      <x:c r="W2357" t="n">
        <x:v>0</x:v>
      </x:c>
      <x:c r="X2357" t="n">
        <x:v>0</x:v>
      </x:c>
      <x:c r="Y2357" t="n">
        <x:v>0</x:v>
      </x:c>
      <x:c r="Z2357" t="n">
        <x:v>0</x:v>
      </x:c>
      <x:c r="AA2357" t="n">
        <x:v>0</x:v>
      </x:c>
      <x:c r="AB2357"/>
      <x:c r="AC2357" t="n">
        <x:v>0</x:v>
      </x:c>
      <x:c r="AD2357" t="n">
        <x:v>-0.2396919884486124</x:v>
      </x:c>
      <x:c r="AE2357" t="n">
        <x:v>0</x:v>
      </x:c>
      <x:c r="AF2357" t="n">
        <x:v>-0.015638530254364014</x:v>
      </x:c>
      <x:c r="AG2357" t="n">
        <x:f>_xlfn.XLOOKUP($A2357,Games!$A$2:$A$18,Games!$B$2:$B$18,"Missing game",0)</x:f>
        <x:v>2025</x:v>
      </x:c>
      <x:c r="AH2357" t="str">
        <x:f>_xlfn.XLOOKUP($A2357,Games!$A$2:$A$18,Games!$C$2:$C$18,"Missing game",0)</x:f>
        <x:v>REG</x:v>
      </x:c>
      <x:c r="AI2357" t="n">
        <x:f>_xlfn.XLOOKUP($A2357,Games!$A$2:$A$18,Games!$D$2:$D$18,"Missing game",0)</x:f>
        <x:v>16</x:v>
      </x:c>
      <x:c r="AJ2357" s="1" t="n">
        <x:f>_xlfn.XLOOKUP($A2357,Games!$A$2:$A$18,Games!$E$2:$E$18,"Missing game",0)</x:f>
        <x:v>46012</x:v>
      </x:c>
      <x:c r="AK2357" t="str">
        <x:f>_xlfn.XLOOKUP($A2357,Games!$A$2:$A$18,Games!$F$2:$F$18,"Missing game",0)</x:f>
        <x:v>Sunday</x:v>
      </x:c>
      <x:c r="AL2357" t="str">
        <x:f>_xlfn.XLOOKUP($A2357,Games!$A$2:$A$18,Games!$G$2:$G$18,"Missing game",0)</x:f>
        <x:v>MIN</x:v>
      </x:c>
      <x:c r="AM2357" t="n">
        <x:f>_xlfn.XLOOKUP($A2357,Games!$A$2:$A$18,Games!$H$2:$H$18,"Missing game",0)</x:f>
        <x:v>16</x:v>
      </x:c>
      <x:c r="AN2357" t="str">
        <x:f>_xlfn.XLOOKUP($A2357,Games!$A$2:$A$18,Games!$I$2:$I$18,"Missing game",0)</x:f>
        <x:v>NYG</x:v>
      </x:c>
      <x:c r="AO2357" t="n">
        <x:f>_xlfn.XLOOKUP($A2357,Games!$A$2:$A$18,Games!$J$2:$J$18,"Missing game",0)</x:f>
        <x:v>13</x:v>
      </x:c>
      <x:c r="AP2357" t="n">
        <x:f>_xlfn.XLOOKUP($A2357,Games!$A$2:$A$18,Games!$K$2:$K$18,"Missing game",0)</x:f>
        <x:v>-3</x:v>
      </x:c>
      <x:c r="AQ2357" t="n">
        <x:f>_xlfn.XLOOKUP($A2357,Games!$A$2:$A$18,Games!$L$2:$L$18,"Missing game",0)</x:f>
        <x:v>29</x:v>
      </x:c>
      <x:c r="AR2357" t="n">
        <x:f>_xlfn.XLOOKUP($A2357,Games!$A$2:$A$18,Games!$M$2:$M$18,"Missing game",0)</x:f>
        <x:v>0</x:v>
      </x:c>
      <x:c r="AS2357" t="str">
        <x:f>_xlfn.XLOOKUP($A2357,Games!$A$2:$A$18,Games!$N$2:$N$18,"Missing game",0)</x:f>
        <x:v>outdoors</x:v>
      </x:c>
      <x:c r="AT2357" t="str">
        <x:f>_xlfn.XLOOKUP($A2357,Games!$A$2:$A$18,Games!$O$2:$O$18,"Missing game",0)</x:f>
        <x:v>fieldturf</x:v>
      </x:c>
      <x:c r="AU2357" t="n">
        <x:f>_xlfn.XLOOKUP($A2357,Games!$A$2:$A$18,Games!$P$2:$P$18,"Missing game",0)</x:f>
        <x:v>46</x:v>
      </x:c>
      <x:c r="AV2357" t="n">
        <x:f>_xlfn.XLOOKUP($A2357,Games!$A$2:$A$18,Games!$Q$2:$Q$18,"Missing game",0)</x:f>
        <x:v>20</x:v>
      </x:c>
      <x:c r="AW2357" t="str">
        <x:f>_xlfn.XLOOKUP($A2357,Games!$A$2:$A$18,Games!$R$2:$R$18,"Missing game",0)</x:f>
        <x:v>MetLife Stadium</x:v>
      </x:c>
    </x:row>
    <x:row r="2358">
      <x:c r="A2358" t="str">
        <x:v>2025_16_MIN_NYG</x:v>
      </x:c>
      <x:c r="B2358" t="n">
        <x:v>881</x:v>
      </x:c>
      <x:c r="C2358" t="n">
        <x:v>2</x:v>
      </x:c>
      <x:c r="D2358" t="str">
        <x:v>14:27</x:v>
      </x:c>
      <x:c r="E2358" t="n">
        <x:v>2</x:v>
      </x:c>
      <x:c r="F2358" t="n">
        <x:v>7</x:v>
      </x:c>
      <x:c r="G2358" t="str">
        <x:v>NYG</x:v>
      </x:c>
      <x:c r="H2358" t="str">
        <x:v>MIN</x:v>
      </x:c>
      <x:c r="I2358" t="str">
        <x:v>MIN</x:v>
      </x:c>
      <x:c r="J2358" t="n">
        <x:v>30</x:v>
      </x:c>
      <x:c r="K2358" t="str">
        <x:v>(14:27) (Shotgun) 29-T.Tracy up the middle to MIN 25 for 5 yards (24-J.Ward; 55-E.Wilson).</x:v>
      </x:c>
      <x:c r="L2358" t="str">
        <x:v>run</x:v>
      </x:c>
      <x:c r="M2358" t="n">
        <x:v>5</x:v>
      </x:c>
      <x:c r="N2358" t="n">
        <x:v>1</x:v>
      </x:c>
      <x:c r="O2358" t="n">
        <x:v>0</x:v>
      </x:c>
      <x:c r="P2358"/>
      <x:c r="Q2358"/>
      <x:c r="R2358"/>
      <x:c r="S2358"/>
      <x:c r="T2358" t="str">
        <x:v>middle</x:v>
      </x:c>
      <x:c r="U2358"/>
      <x:c r="V2358" t="n">
        <x:v>0</x:v>
      </x:c>
      <x:c r="W2358" t="n">
        <x:v>0</x:v>
      </x:c>
      <x:c r="X2358" t="n">
        <x:v>0</x:v>
      </x:c>
      <x:c r="Y2358" t="n">
        <x:v>0</x:v>
      </x:c>
      <x:c r="Z2358" t="n">
        <x:v>0</x:v>
      </x:c>
      <x:c r="AA2358" t="n">
        <x:v>0</x:v>
      </x:c>
      <x:c r="AB2358"/>
      <x:c r="AC2358" t="n">
        <x:v>0</x:v>
      </x:c>
      <x:c r="AD2358" t="n">
        <x:v>0.14350761740934104</x:v>
      </x:c>
      <x:c r="AE2358" t="n">
        <x:v>1</x:v>
      </x:c>
      <x:c r="AF2358" t="n">
        <x:v>0.016079246997833252</x:v>
      </x:c>
      <x:c r="AG2358" t="n">
        <x:f>_xlfn.XLOOKUP($A2358,Games!$A$2:$A$18,Games!$B$2:$B$18,"Missing game",0)</x:f>
        <x:v>2025</x:v>
      </x:c>
      <x:c r="AH2358" t="str">
        <x:f>_xlfn.XLOOKUP($A2358,Games!$A$2:$A$18,Games!$C$2:$C$18,"Missing game",0)</x:f>
        <x:v>REG</x:v>
      </x:c>
      <x:c r="AI2358" t="n">
        <x:f>_xlfn.XLOOKUP($A2358,Games!$A$2:$A$18,Games!$D$2:$D$18,"Missing game",0)</x:f>
        <x:v>16</x:v>
      </x:c>
      <x:c r="AJ2358" s="1" t="n">
        <x:f>_xlfn.XLOOKUP($A2358,Games!$A$2:$A$18,Games!$E$2:$E$18,"Missing game",0)</x:f>
        <x:v>46012</x:v>
      </x:c>
      <x:c r="AK2358" t="str">
        <x:f>_xlfn.XLOOKUP($A2358,Games!$A$2:$A$18,Games!$F$2:$F$18,"Missing game",0)</x:f>
        <x:v>Sunday</x:v>
      </x:c>
      <x:c r="AL2358" t="str">
        <x:f>_xlfn.XLOOKUP($A2358,Games!$A$2:$A$18,Games!$G$2:$G$18,"Missing game",0)</x:f>
        <x:v>MIN</x:v>
      </x:c>
      <x:c r="AM2358" t="n">
        <x:f>_xlfn.XLOOKUP($A2358,Games!$A$2:$A$18,Games!$H$2:$H$18,"Missing game",0)</x:f>
        <x:v>16</x:v>
      </x:c>
      <x:c r="AN2358" t="str">
        <x:f>_xlfn.XLOOKUP($A2358,Games!$A$2:$A$18,Games!$I$2:$I$18,"Missing game",0)</x:f>
        <x:v>NYG</x:v>
      </x:c>
      <x:c r="AO2358" t="n">
        <x:f>_xlfn.XLOOKUP($A2358,Games!$A$2:$A$18,Games!$J$2:$J$18,"Missing game",0)</x:f>
        <x:v>13</x:v>
      </x:c>
      <x:c r="AP2358" t="n">
        <x:f>_xlfn.XLOOKUP($A2358,Games!$A$2:$A$18,Games!$K$2:$K$18,"Missing game",0)</x:f>
        <x:v>-3</x:v>
      </x:c>
      <x:c r="AQ2358" t="n">
        <x:f>_xlfn.XLOOKUP($A2358,Games!$A$2:$A$18,Games!$L$2:$L$18,"Missing game",0)</x:f>
        <x:v>29</x:v>
      </x:c>
      <x:c r="AR2358" t="n">
        <x:f>_xlfn.XLOOKUP($A2358,Games!$A$2:$A$18,Games!$M$2:$M$18,"Missing game",0)</x:f>
        <x:v>0</x:v>
      </x:c>
      <x:c r="AS2358" t="str">
        <x:f>_xlfn.XLOOKUP($A2358,Games!$A$2:$A$18,Games!$N$2:$N$18,"Missing game",0)</x:f>
        <x:v>outdoors</x:v>
      </x:c>
      <x:c r="AT2358" t="str">
        <x:f>_xlfn.XLOOKUP($A2358,Games!$A$2:$A$18,Games!$O$2:$O$18,"Missing game",0)</x:f>
        <x:v>fieldturf</x:v>
      </x:c>
      <x:c r="AU2358" t="n">
        <x:f>_xlfn.XLOOKUP($A2358,Games!$A$2:$A$18,Games!$P$2:$P$18,"Missing game",0)</x:f>
        <x:v>46</x:v>
      </x:c>
      <x:c r="AV2358" t="n">
        <x:f>_xlfn.XLOOKUP($A2358,Games!$A$2:$A$18,Games!$Q$2:$Q$18,"Missing game",0)</x:f>
        <x:v>20</x:v>
      </x:c>
      <x:c r="AW2358" t="str">
        <x:f>_xlfn.XLOOKUP($A2358,Games!$A$2:$A$18,Games!$R$2:$R$18,"Missing game",0)</x:f>
        <x:v>MetLife Stadium</x:v>
      </x:c>
    </x:row>
    <x:row r="2359">
      <x:c r="A2359" t="str">
        <x:v>2025_16_MIN_NYG</x:v>
      </x:c>
      <x:c r="B2359" t="n">
        <x:v>903</x:v>
      </x:c>
      <x:c r="C2359" t="n">
        <x:v>2</x:v>
      </x:c>
      <x:c r="D2359" t="str">
        <x:v>13:49</x:v>
      </x:c>
      <x:c r="E2359" t="n">
        <x:v>3</x:v>
      </x:c>
      <x:c r="F2359" t="n">
        <x:v>2</x:v>
      </x:c>
      <x:c r="G2359" t="str">
        <x:v>NYG</x:v>
      </x:c>
      <x:c r="H2359" t="str">
        <x:v>MIN</x:v>
      </x:c>
      <x:c r="I2359" t="str">
        <x:v>MIN</x:v>
      </x:c>
      <x:c r="J2359" t="n">
        <x:v>25</x:v>
      </x:c>
      <x:c r="K2359" t="str">
        <x:v>(13:49) 6-J.Dart up the middle to MIN 22 for 3 yards (51-B.Cashman).</x:v>
      </x:c>
      <x:c r="L2359" t="str">
        <x:v>run</x:v>
      </x:c>
      <x:c r="M2359" t="n">
        <x:v>3</x:v>
      </x:c>
      <x:c r="N2359" t="n">
        <x:v>0</x:v>
      </x:c>
      <x:c r="O2359" t="n">
        <x:v>0</x:v>
      </x:c>
      <x:c r="P2359"/>
      <x:c r="Q2359"/>
      <x:c r="R2359"/>
      <x:c r="S2359"/>
      <x:c r="T2359" t="str">
        <x:v>middle</x:v>
      </x:c>
      <x:c r="U2359"/>
      <x:c r="V2359" t="n">
        <x:v>0</x:v>
      </x:c>
      <x:c r="W2359" t="n">
        <x:v>1</x:v>
      </x:c>
      <x:c r="X2359" t="n">
        <x:v>0</x:v>
      </x:c>
      <x:c r="Y2359" t="n">
        <x:v>0</x:v>
      </x:c>
      <x:c r="Z2359" t="n">
        <x:v>0</x:v>
      </x:c>
      <x:c r="AA2359" t="n">
        <x:v>0</x:v>
      </x:c>
      <x:c r="AB2359"/>
      <x:c r="AC2359" t="n">
        <x:v>0</x:v>
      </x:c>
      <x:c r="AD2359" t="n">
        <x:v>0.8780028375331312</x:v>
      </x:c>
      <x:c r="AE2359" t="n">
        <x:v>1</x:v>
      </x:c>
      <x:c r="AF2359" t="n">
        <x:v>0.012678682804107666</x:v>
      </x:c>
      <x:c r="AG2359" t="n">
        <x:f>_xlfn.XLOOKUP($A2359,Games!$A$2:$A$18,Games!$B$2:$B$18,"Missing game",0)</x:f>
        <x:v>2025</x:v>
      </x:c>
      <x:c r="AH2359" t="str">
        <x:f>_xlfn.XLOOKUP($A2359,Games!$A$2:$A$18,Games!$C$2:$C$18,"Missing game",0)</x:f>
        <x:v>REG</x:v>
      </x:c>
      <x:c r="AI2359" t="n">
        <x:f>_xlfn.XLOOKUP($A2359,Games!$A$2:$A$18,Games!$D$2:$D$18,"Missing game",0)</x:f>
        <x:v>16</x:v>
      </x:c>
      <x:c r="AJ2359" s="1" t="n">
        <x:f>_xlfn.XLOOKUP($A2359,Games!$A$2:$A$18,Games!$E$2:$E$18,"Missing game",0)</x:f>
        <x:v>46012</x:v>
      </x:c>
      <x:c r="AK2359" t="str">
        <x:f>_xlfn.XLOOKUP($A2359,Games!$A$2:$A$18,Games!$F$2:$F$18,"Missing game",0)</x:f>
        <x:v>Sunday</x:v>
      </x:c>
      <x:c r="AL2359" t="str">
        <x:f>_xlfn.XLOOKUP($A2359,Games!$A$2:$A$18,Games!$G$2:$G$18,"Missing game",0)</x:f>
        <x:v>MIN</x:v>
      </x:c>
      <x:c r="AM2359" t="n">
        <x:f>_xlfn.XLOOKUP($A2359,Games!$A$2:$A$18,Games!$H$2:$H$18,"Missing game",0)</x:f>
        <x:v>16</x:v>
      </x:c>
      <x:c r="AN2359" t="str">
        <x:f>_xlfn.XLOOKUP($A2359,Games!$A$2:$A$18,Games!$I$2:$I$18,"Missing game",0)</x:f>
        <x:v>NYG</x:v>
      </x:c>
      <x:c r="AO2359" t="n">
        <x:f>_xlfn.XLOOKUP($A2359,Games!$A$2:$A$18,Games!$J$2:$J$18,"Missing game",0)</x:f>
        <x:v>13</x:v>
      </x:c>
      <x:c r="AP2359" t="n">
        <x:f>_xlfn.XLOOKUP($A2359,Games!$A$2:$A$18,Games!$K$2:$K$18,"Missing game",0)</x:f>
        <x:v>-3</x:v>
      </x:c>
      <x:c r="AQ2359" t="n">
        <x:f>_xlfn.XLOOKUP($A2359,Games!$A$2:$A$18,Games!$L$2:$L$18,"Missing game",0)</x:f>
        <x:v>29</x:v>
      </x:c>
      <x:c r="AR2359" t="n">
        <x:f>_xlfn.XLOOKUP($A2359,Games!$A$2:$A$18,Games!$M$2:$M$18,"Missing game",0)</x:f>
        <x:v>0</x:v>
      </x:c>
      <x:c r="AS2359" t="str">
        <x:f>_xlfn.XLOOKUP($A2359,Games!$A$2:$A$18,Games!$N$2:$N$18,"Missing game",0)</x:f>
        <x:v>outdoors</x:v>
      </x:c>
      <x:c r="AT2359" t="str">
        <x:f>_xlfn.XLOOKUP($A2359,Games!$A$2:$A$18,Games!$O$2:$O$18,"Missing game",0)</x:f>
        <x:v>fieldturf</x:v>
      </x:c>
      <x:c r="AU2359" t="n">
        <x:f>_xlfn.XLOOKUP($A2359,Games!$A$2:$A$18,Games!$P$2:$P$18,"Missing game",0)</x:f>
        <x:v>46</x:v>
      </x:c>
      <x:c r="AV2359" t="n">
        <x:f>_xlfn.XLOOKUP($A2359,Games!$A$2:$A$18,Games!$Q$2:$Q$18,"Missing game",0)</x:f>
        <x:v>20</x:v>
      </x:c>
      <x:c r="AW2359" t="str">
        <x:f>_xlfn.XLOOKUP($A2359,Games!$A$2:$A$18,Games!$R$2:$R$18,"Missing game",0)</x:f>
        <x:v>MetLife Stadium</x:v>
      </x:c>
    </x:row>
    <x:row r="2360">
      <x:c r="A2360" t="str">
        <x:v>2025_16_MIN_NYG</x:v>
      </x:c>
      <x:c r="B2360" t="n">
        <x:v>925</x:v>
      </x:c>
      <x:c r="C2360" t="n">
        <x:v>2</x:v>
      </x:c>
      <x:c r="D2360" t="str">
        <x:v>13:15</x:v>
      </x:c>
      <x:c r="E2360" t="n">
        <x:v>1</x:v>
      </x:c>
      <x:c r="F2360" t="n">
        <x:v>10</x:v>
      </x:c>
      <x:c r="G2360" t="str">
        <x:v>NYG</x:v>
      </x:c>
      <x:c r="H2360" t="str">
        <x:v>MIN</x:v>
      </x:c>
      <x:c r="I2360" t="str">
        <x:v>MIN</x:v>
      </x:c>
      <x:c r="J2360" t="n">
        <x:v>22</x:v>
      </x:c>
      <x:c r="K2360" t="str">
        <x:v>(13:15) 29-T.Tracy right end to MIN 15 for 7 yards (24-J.Ward; 55-E.Wilson).</x:v>
      </x:c>
      <x:c r="L2360" t="str">
        <x:v>run</x:v>
      </x:c>
      <x:c r="M2360" t="n">
        <x:v>7</x:v>
      </x:c>
      <x:c r="N2360" t="n">
        <x:v>0</x:v>
      </x:c>
      <x:c r="O2360" t="n">
        <x:v>0</x:v>
      </x:c>
      <x:c r="P2360"/>
      <x:c r="Q2360"/>
      <x:c r="R2360"/>
      <x:c r="S2360"/>
      <x:c r="T2360" t="str">
        <x:v>right</x:v>
      </x:c>
      <x:c r="U2360" t="str">
        <x:v>end</x:v>
      </x:c>
      <x:c r="V2360" t="n">
        <x:v>0</x:v>
      </x:c>
      <x:c r="W2360" t="n">
        <x:v>0</x:v>
      </x:c>
      <x:c r="X2360" t="n">
        <x:v>0</x:v>
      </x:c>
      <x:c r="Y2360" t="n">
        <x:v>0</x:v>
      </x:c>
      <x:c r="Z2360" t="n">
        <x:v>0</x:v>
      </x:c>
      <x:c r="AA2360" t="n">
        <x:v>0</x:v>
      </x:c>
      <x:c r="AB2360"/>
      <x:c r="AC2360" t="n">
        <x:v>0</x:v>
      </x:c>
      <x:c r="AD2360" t="n">
        <x:v>0.32605210214387625</x:v>
      </x:c>
      <x:c r="AE2360" t="n">
        <x:v>1</x:v>
      </x:c>
      <x:c r="AF2360" t="n">
        <x:v>0.012079000473022461</x:v>
      </x:c>
      <x:c r="AG2360" t="n">
        <x:f>_xlfn.XLOOKUP($A2360,Games!$A$2:$A$18,Games!$B$2:$B$18,"Missing game",0)</x:f>
        <x:v>2025</x:v>
      </x:c>
      <x:c r="AH2360" t="str">
        <x:f>_xlfn.XLOOKUP($A2360,Games!$A$2:$A$18,Games!$C$2:$C$18,"Missing game",0)</x:f>
        <x:v>REG</x:v>
      </x:c>
      <x:c r="AI2360" t="n">
        <x:f>_xlfn.XLOOKUP($A2360,Games!$A$2:$A$18,Games!$D$2:$D$18,"Missing game",0)</x:f>
        <x:v>16</x:v>
      </x:c>
      <x:c r="AJ2360" s="1" t="n">
        <x:f>_xlfn.XLOOKUP($A2360,Games!$A$2:$A$18,Games!$E$2:$E$18,"Missing game",0)</x:f>
        <x:v>46012</x:v>
      </x:c>
      <x:c r="AK2360" t="str">
        <x:f>_xlfn.XLOOKUP($A2360,Games!$A$2:$A$18,Games!$F$2:$F$18,"Missing game",0)</x:f>
        <x:v>Sunday</x:v>
      </x:c>
      <x:c r="AL2360" t="str">
        <x:f>_xlfn.XLOOKUP($A2360,Games!$A$2:$A$18,Games!$G$2:$G$18,"Missing game",0)</x:f>
        <x:v>MIN</x:v>
      </x:c>
      <x:c r="AM2360" t="n">
        <x:f>_xlfn.XLOOKUP($A2360,Games!$A$2:$A$18,Games!$H$2:$H$18,"Missing game",0)</x:f>
        <x:v>16</x:v>
      </x:c>
      <x:c r="AN2360" t="str">
        <x:f>_xlfn.XLOOKUP($A2360,Games!$A$2:$A$18,Games!$I$2:$I$18,"Missing game",0)</x:f>
        <x:v>NYG</x:v>
      </x:c>
      <x:c r="AO2360" t="n">
        <x:f>_xlfn.XLOOKUP($A2360,Games!$A$2:$A$18,Games!$J$2:$J$18,"Missing game",0)</x:f>
        <x:v>13</x:v>
      </x:c>
      <x:c r="AP2360" t="n">
        <x:f>_xlfn.XLOOKUP($A2360,Games!$A$2:$A$18,Games!$K$2:$K$18,"Missing game",0)</x:f>
        <x:v>-3</x:v>
      </x:c>
      <x:c r="AQ2360" t="n">
        <x:f>_xlfn.XLOOKUP($A2360,Games!$A$2:$A$18,Games!$L$2:$L$18,"Missing game",0)</x:f>
        <x:v>29</x:v>
      </x:c>
      <x:c r="AR2360" t="n">
        <x:f>_xlfn.XLOOKUP($A2360,Games!$A$2:$A$18,Games!$M$2:$M$18,"Missing game",0)</x:f>
        <x:v>0</x:v>
      </x:c>
      <x:c r="AS2360" t="str">
        <x:f>_xlfn.XLOOKUP($A2360,Games!$A$2:$A$18,Games!$N$2:$N$18,"Missing game",0)</x:f>
        <x:v>outdoors</x:v>
      </x:c>
      <x:c r="AT2360" t="str">
        <x:f>_xlfn.XLOOKUP($A2360,Games!$A$2:$A$18,Games!$O$2:$O$18,"Missing game",0)</x:f>
        <x:v>fieldturf</x:v>
      </x:c>
      <x:c r="AU2360" t="n">
        <x:f>_xlfn.XLOOKUP($A2360,Games!$A$2:$A$18,Games!$P$2:$P$18,"Missing game",0)</x:f>
        <x:v>46</x:v>
      </x:c>
      <x:c r="AV2360" t="n">
        <x:f>_xlfn.XLOOKUP($A2360,Games!$A$2:$A$18,Games!$Q$2:$Q$18,"Missing game",0)</x:f>
        <x:v>20</x:v>
      </x:c>
      <x:c r="AW2360" t="str">
        <x:f>_xlfn.XLOOKUP($A2360,Games!$A$2:$A$18,Games!$R$2:$R$18,"Missing game",0)</x:f>
        <x:v>MetLife Stadium</x:v>
      </x:c>
    </x:row>
    <x:row r="2361">
      <x:c r="A2361" t="str">
        <x:v>2025_16_MIN_NYG</x:v>
      </x:c>
      <x:c r="B2361" t="n">
        <x:v>947</x:v>
      </x:c>
      <x:c r="C2361" t="n">
        <x:v>2</x:v>
      </x:c>
      <x:c r="D2361" t="str">
        <x:v>12:42</x:v>
      </x:c>
      <x:c r="E2361" t="n">
        <x:v>2</x:v>
      </x:c>
      <x:c r="F2361" t="n">
        <x:v>3</x:v>
      </x:c>
      <x:c r="G2361" t="str">
        <x:v>NYG</x:v>
      </x:c>
      <x:c r="H2361" t="str">
        <x:v>MIN</x:v>
      </x:c>
      <x:c r="I2361" t="str">
        <x:v>MIN</x:v>
      </x:c>
      <x:c r="J2361" t="n">
        <x:v>15</x:v>
      </x:c>
      <x:c r="K2361" t="str">
        <x:v>(12:42) 29-T.Tracy left tackle to MIN 11 for 4 yards (24-J.Ward; 51-B.Cashman).</x:v>
      </x:c>
      <x:c r="L2361" t="str">
        <x:v>run</x:v>
      </x:c>
      <x:c r="M2361" t="n">
        <x:v>4</x:v>
      </x:c>
      <x:c r="N2361" t="n">
        <x:v>0</x:v>
      </x:c>
      <x:c r="O2361" t="n">
        <x:v>0</x:v>
      </x:c>
      <x:c r="P2361"/>
      <x:c r="Q2361"/>
      <x:c r="R2361"/>
      <x:c r="S2361"/>
      <x:c r="T2361" t="str">
        <x:v>left</x:v>
      </x:c>
      <x:c r="U2361" t="str">
        <x:v>tackle</x:v>
      </x:c>
      <x:c r="V2361" t="n">
        <x:v>0</x:v>
      </x:c>
      <x:c r="W2361" t="n">
        <x:v>1</x:v>
      </x:c>
      <x:c r="X2361" t="n">
        <x:v>0</x:v>
      </x:c>
      <x:c r="Y2361" t="n">
        <x:v>0</x:v>
      </x:c>
      <x:c r="Z2361" t="n">
        <x:v>0</x:v>
      </x:c>
      <x:c r="AA2361" t="n">
        <x:v>0</x:v>
      </x:c>
      <x:c r="AB2361"/>
      <x:c r="AC2361" t="n">
        <x:v>0</x:v>
      </x:c>
      <x:c r="AD2361" t="n">
        <x:v>0.13214615365723148</x:v>
      </x:c>
      <x:c r="AE2361" t="n">
        <x:v>1</x:v>
      </x:c>
      <x:c r="AF2361" t="n">
        <x:v>-0.004641890525817871</x:v>
      </x:c>
      <x:c r="AG2361" t="n">
        <x:f>_xlfn.XLOOKUP($A2361,Games!$A$2:$A$18,Games!$B$2:$B$18,"Missing game",0)</x:f>
        <x:v>2025</x:v>
      </x:c>
      <x:c r="AH2361" t="str">
        <x:f>_xlfn.XLOOKUP($A2361,Games!$A$2:$A$18,Games!$C$2:$C$18,"Missing game",0)</x:f>
        <x:v>REG</x:v>
      </x:c>
      <x:c r="AI2361" t="n">
        <x:f>_xlfn.XLOOKUP($A2361,Games!$A$2:$A$18,Games!$D$2:$D$18,"Missing game",0)</x:f>
        <x:v>16</x:v>
      </x:c>
      <x:c r="AJ2361" s="1" t="n">
        <x:f>_xlfn.XLOOKUP($A2361,Games!$A$2:$A$18,Games!$E$2:$E$18,"Missing game",0)</x:f>
        <x:v>46012</x:v>
      </x:c>
      <x:c r="AK2361" t="str">
        <x:f>_xlfn.XLOOKUP($A2361,Games!$A$2:$A$18,Games!$F$2:$F$18,"Missing game",0)</x:f>
        <x:v>Sunday</x:v>
      </x:c>
      <x:c r="AL2361" t="str">
        <x:f>_xlfn.XLOOKUP($A2361,Games!$A$2:$A$18,Games!$G$2:$G$18,"Missing game",0)</x:f>
        <x:v>MIN</x:v>
      </x:c>
      <x:c r="AM2361" t="n">
        <x:f>_xlfn.XLOOKUP($A2361,Games!$A$2:$A$18,Games!$H$2:$H$18,"Missing game",0)</x:f>
        <x:v>16</x:v>
      </x:c>
      <x:c r="AN2361" t="str">
        <x:f>_xlfn.XLOOKUP($A2361,Games!$A$2:$A$18,Games!$I$2:$I$18,"Missing game",0)</x:f>
        <x:v>NYG</x:v>
      </x:c>
      <x:c r="AO2361" t="n">
        <x:f>_xlfn.XLOOKUP($A2361,Games!$A$2:$A$18,Games!$J$2:$J$18,"Missing game",0)</x:f>
        <x:v>13</x:v>
      </x:c>
      <x:c r="AP2361" t="n">
        <x:f>_xlfn.XLOOKUP($A2361,Games!$A$2:$A$18,Games!$K$2:$K$18,"Missing game",0)</x:f>
        <x:v>-3</x:v>
      </x:c>
      <x:c r="AQ2361" t="n">
        <x:f>_xlfn.XLOOKUP($A2361,Games!$A$2:$A$18,Games!$L$2:$L$18,"Missing game",0)</x:f>
        <x:v>29</x:v>
      </x:c>
      <x:c r="AR2361" t="n">
        <x:f>_xlfn.XLOOKUP($A2361,Games!$A$2:$A$18,Games!$M$2:$M$18,"Missing game",0)</x:f>
        <x:v>0</x:v>
      </x:c>
      <x:c r="AS2361" t="str">
        <x:f>_xlfn.XLOOKUP($A2361,Games!$A$2:$A$18,Games!$N$2:$N$18,"Missing game",0)</x:f>
        <x:v>outdoors</x:v>
      </x:c>
      <x:c r="AT2361" t="str">
        <x:f>_xlfn.XLOOKUP($A2361,Games!$A$2:$A$18,Games!$O$2:$O$18,"Missing game",0)</x:f>
        <x:v>fieldturf</x:v>
      </x:c>
      <x:c r="AU2361" t="n">
        <x:f>_xlfn.XLOOKUP($A2361,Games!$A$2:$A$18,Games!$P$2:$P$18,"Missing game",0)</x:f>
        <x:v>46</x:v>
      </x:c>
      <x:c r="AV2361" t="n">
        <x:f>_xlfn.XLOOKUP($A2361,Games!$A$2:$A$18,Games!$Q$2:$Q$18,"Missing game",0)</x:f>
        <x:v>20</x:v>
      </x:c>
      <x:c r="AW2361" t="str">
        <x:f>_xlfn.XLOOKUP($A2361,Games!$A$2:$A$18,Games!$R$2:$R$18,"Missing game",0)</x:f>
        <x:v>MetLife Stadium</x:v>
      </x:c>
    </x:row>
    <x:row r="2362">
      <x:c r="A2362" t="str">
        <x:v>2025_16_MIN_NYG</x:v>
      </x:c>
      <x:c r="B2362" t="n">
        <x:v>969</x:v>
      </x:c>
      <x:c r="C2362" t="n">
        <x:v>2</x:v>
      </x:c>
      <x:c r="D2362" t="str">
        <x:v>12:03</x:v>
      </x:c>
      <x:c r="E2362" t="n">
        <x:v>1</x:v>
      </x:c>
      <x:c r="F2362" t="n">
        <x:v>10</x:v>
      </x:c>
      <x:c r="G2362" t="str">
        <x:v>NYG</x:v>
      </x:c>
      <x:c r="H2362" t="str">
        <x:v>MIN</x:v>
      </x:c>
      <x:c r="I2362" t="str">
        <x:v>MIN</x:v>
      </x:c>
      <x:c r="J2362" t="n">
        <x:v>11</x:v>
      </x:c>
      <x:c r="K2362" t="str">
        <x:v>(12:03) (Shotgun) 6-J.Dart pass incomplete short right to 84-T.Johnson.</x:v>
      </x:c>
      <x:c r="L2362" t="str">
        <x:v>pass</x:v>
      </x:c>
      <x:c r="M2362" t="n">
        <x:v>0</x:v>
      </x:c>
      <x:c r="N2362" t="n">
        <x:v>1</x:v>
      </x:c>
      <x:c r="O2362" t="n">
        <x:v>0</x:v>
      </x:c>
      <x:c r="P2362" t="str">
        <x:v>short</x:v>
      </x:c>
      <x:c r="Q2362" t="str">
        <x:v>right</x:v>
      </x:c>
      <x:c r="R2362" t="n">
        <x:v>0</x:v>
      </x:c>
      <x:c r="S2362"/>
      <x:c r="T2362"/>
      <x:c r="U2362"/>
      <x:c r="V2362" t="n">
        <x:v>0</x:v>
      </x:c>
      <x:c r="W2362" t="n">
        <x:v>0</x:v>
      </x:c>
      <x:c r="X2362" t="n">
        <x:v>0</x:v>
      </x:c>
      <x:c r="Y2362" t="n">
        <x:v>0</x:v>
      </x:c>
      <x:c r="Z2362" t="n">
        <x:v>0</x:v>
      </x:c>
      <x:c r="AA2362" t="n">
        <x:v>0</x:v>
      </x:c>
      <x:c r="AB2362"/>
      <x:c r="AC2362" t="n">
        <x:v>0</x:v>
      </x:c>
      <x:c r="AD2362" t="n">
        <x:v>-0.4583511426462792</x:v>
      </x:c>
      <x:c r="AE2362" t="n">
        <x:v>0</x:v>
      </x:c>
      <x:c r="AF2362" t="n">
        <x:v>-0.013253331184387207</x:v>
      </x:c>
      <x:c r="AG2362" t="n">
        <x:f>_xlfn.XLOOKUP($A2362,Games!$A$2:$A$18,Games!$B$2:$B$18,"Missing game",0)</x:f>
        <x:v>2025</x:v>
      </x:c>
      <x:c r="AH2362" t="str">
        <x:f>_xlfn.XLOOKUP($A2362,Games!$A$2:$A$18,Games!$C$2:$C$18,"Missing game",0)</x:f>
        <x:v>REG</x:v>
      </x:c>
      <x:c r="AI2362" t="n">
        <x:f>_xlfn.XLOOKUP($A2362,Games!$A$2:$A$18,Games!$D$2:$D$18,"Missing game",0)</x:f>
        <x:v>16</x:v>
      </x:c>
      <x:c r="AJ2362" s="1" t="n">
        <x:f>_xlfn.XLOOKUP($A2362,Games!$A$2:$A$18,Games!$E$2:$E$18,"Missing game",0)</x:f>
        <x:v>46012</x:v>
      </x:c>
      <x:c r="AK2362" t="str">
        <x:f>_xlfn.XLOOKUP($A2362,Games!$A$2:$A$18,Games!$F$2:$F$18,"Missing game",0)</x:f>
        <x:v>Sunday</x:v>
      </x:c>
      <x:c r="AL2362" t="str">
        <x:f>_xlfn.XLOOKUP($A2362,Games!$A$2:$A$18,Games!$G$2:$G$18,"Missing game",0)</x:f>
        <x:v>MIN</x:v>
      </x:c>
      <x:c r="AM2362" t="n">
        <x:f>_xlfn.XLOOKUP($A2362,Games!$A$2:$A$18,Games!$H$2:$H$18,"Missing game",0)</x:f>
        <x:v>16</x:v>
      </x:c>
      <x:c r="AN2362" t="str">
        <x:f>_xlfn.XLOOKUP($A2362,Games!$A$2:$A$18,Games!$I$2:$I$18,"Missing game",0)</x:f>
        <x:v>NYG</x:v>
      </x:c>
      <x:c r="AO2362" t="n">
        <x:f>_xlfn.XLOOKUP($A2362,Games!$A$2:$A$18,Games!$J$2:$J$18,"Missing game",0)</x:f>
        <x:v>13</x:v>
      </x:c>
      <x:c r="AP2362" t="n">
        <x:f>_xlfn.XLOOKUP($A2362,Games!$A$2:$A$18,Games!$K$2:$K$18,"Missing game",0)</x:f>
        <x:v>-3</x:v>
      </x:c>
      <x:c r="AQ2362" t="n">
        <x:f>_xlfn.XLOOKUP($A2362,Games!$A$2:$A$18,Games!$L$2:$L$18,"Missing game",0)</x:f>
        <x:v>29</x:v>
      </x:c>
      <x:c r="AR2362" t="n">
        <x:f>_xlfn.XLOOKUP($A2362,Games!$A$2:$A$18,Games!$M$2:$M$18,"Missing game",0)</x:f>
        <x:v>0</x:v>
      </x:c>
      <x:c r="AS2362" t="str">
        <x:f>_xlfn.XLOOKUP($A2362,Games!$A$2:$A$18,Games!$N$2:$N$18,"Missing game",0)</x:f>
        <x:v>outdoors</x:v>
      </x:c>
      <x:c r="AT2362" t="str">
        <x:f>_xlfn.XLOOKUP($A2362,Games!$A$2:$A$18,Games!$O$2:$O$18,"Missing game",0)</x:f>
        <x:v>fieldturf</x:v>
      </x:c>
      <x:c r="AU2362" t="n">
        <x:f>_xlfn.XLOOKUP($A2362,Games!$A$2:$A$18,Games!$P$2:$P$18,"Missing game",0)</x:f>
        <x:v>46</x:v>
      </x:c>
      <x:c r="AV2362" t="n">
        <x:f>_xlfn.XLOOKUP($A2362,Games!$A$2:$A$18,Games!$Q$2:$Q$18,"Missing game",0)</x:f>
        <x:v>20</x:v>
      </x:c>
      <x:c r="AW2362" t="str">
        <x:f>_xlfn.XLOOKUP($A2362,Games!$A$2:$A$18,Games!$R$2:$R$18,"Missing game",0)</x:f>
        <x:v>MetLife Stadium</x:v>
      </x:c>
    </x:row>
    <x:row r="2363">
      <x:c r="A2363" t="str">
        <x:v>2025_16_MIN_NYG</x:v>
      </x:c>
      <x:c r="B2363" t="n">
        <x:v>992</x:v>
      </x:c>
      <x:c r="C2363" t="n">
        <x:v>2</x:v>
      </x:c>
      <x:c r="D2363" t="str">
        <x:v>11:58</x:v>
      </x:c>
      <x:c r="E2363" t="n">
        <x:v>2</x:v>
      </x:c>
      <x:c r="F2363" t="n">
        <x:v>10</x:v>
      </x:c>
      <x:c r="G2363" t="str">
        <x:v>NYG</x:v>
      </x:c>
      <x:c r="H2363" t="str">
        <x:v>MIN</x:v>
      </x:c>
      <x:c r="I2363" t="str">
        <x:v>MIN</x:v>
      </x:c>
      <x:c r="J2363" t="n">
        <x:v>11</x:v>
      </x:c>
      <x:c r="K2363" t="str">
        <x:v>(11:58) 26-D.Singletary right end to MIN 8 for 3 yards (50-L.Rodriguez; 43-A.Van Ginkel). NYG-78-A.Thomas was injured during the play.</x:v>
      </x:c>
      <x:c r="L2363" t="str">
        <x:v>run</x:v>
      </x:c>
      <x:c r="M2363" t="n">
        <x:v>3</x:v>
      </x:c>
      <x:c r="N2363" t="n">
        <x:v>0</x:v>
      </x:c>
      <x:c r="O2363" t="n">
        <x:v>0</x:v>
      </x:c>
      <x:c r="P2363"/>
      <x:c r="Q2363"/>
      <x:c r="R2363"/>
      <x:c r="S2363"/>
      <x:c r="T2363" t="str">
        <x:v>right</x:v>
      </x:c>
      <x:c r="U2363" t="str">
        <x:v>end</x:v>
      </x:c>
      <x:c r="V2363" t="n">
        <x:v>0</x:v>
      </x:c>
      <x:c r="W2363" t="n">
        <x:v>0</x:v>
      </x:c>
      <x:c r="X2363" t="n">
        <x:v>0</x:v>
      </x:c>
      <x:c r="Y2363" t="n">
        <x:v>0</x:v>
      </x:c>
      <x:c r="Z2363" t="n">
        <x:v>0</x:v>
      </x:c>
      <x:c r="AA2363" t="n">
        <x:v>0</x:v>
      </x:c>
      <x:c r="AB2363"/>
      <x:c r="AC2363" t="n">
        <x:v>0</x:v>
      </x:c>
      <x:c r="AD2363" t="n">
        <x:v>-0.5059639467508532</x:v>
      </x:c>
      <x:c r="AE2363" t="n">
        <x:v>0</x:v>
      </x:c>
      <x:c r="AF2363" t="n">
        <x:v>-0.013475239276885986</x:v>
      </x:c>
      <x:c r="AG2363" t="n">
        <x:f>_xlfn.XLOOKUP($A2363,Games!$A$2:$A$18,Games!$B$2:$B$18,"Missing game",0)</x:f>
        <x:v>2025</x:v>
      </x:c>
      <x:c r="AH2363" t="str">
        <x:f>_xlfn.XLOOKUP($A2363,Games!$A$2:$A$18,Games!$C$2:$C$18,"Missing game",0)</x:f>
        <x:v>REG</x:v>
      </x:c>
      <x:c r="AI2363" t="n">
        <x:f>_xlfn.XLOOKUP($A2363,Games!$A$2:$A$18,Games!$D$2:$D$18,"Missing game",0)</x:f>
        <x:v>16</x:v>
      </x:c>
      <x:c r="AJ2363" s="1" t="n">
        <x:f>_xlfn.XLOOKUP($A2363,Games!$A$2:$A$18,Games!$E$2:$E$18,"Missing game",0)</x:f>
        <x:v>46012</x:v>
      </x:c>
      <x:c r="AK2363" t="str">
        <x:f>_xlfn.XLOOKUP($A2363,Games!$A$2:$A$18,Games!$F$2:$F$18,"Missing game",0)</x:f>
        <x:v>Sunday</x:v>
      </x:c>
      <x:c r="AL2363" t="str">
        <x:f>_xlfn.XLOOKUP($A2363,Games!$A$2:$A$18,Games!$G$2:$G$18,"Missing game",0)</x:f>
        <x:v>MIN</x:v>
      </x:c>
      <x:c r="AM2363" t="n">
        <x:f>_xlfn.XLOOKUP($A2363,Games!$A$2:$A$18,Games!$H$2:$H$18,"Missing game",0)</x:f>
        <x:v>16</x:v>
      </x:c>
      <x:c r="AN2363" t="str">
        <x:f>_xlfn.XLOOKUP($A2363,Games!$A$2:$A$18,Games!$I$2:$I$18,"Missing game",0)</x:f>
        <x:v>NYG</x:v>
      </x:c>
      <x:c r="AO2363" t="n">
        <x:f>_xlfn.XLOOKUP($A2363,Games!$A$2:$A$18,Games!$J$2:$J$18,"Missing game",0)</x:f>
        <x:v>13</x:v>
      </x:c>
      <x:c r="AP2363" t="n">
        <x:f>_xlfn.XLOOKUP($A2363,Games!$A$2:$A$18,Games!$K$2:$K$18,"Missing game",0)</x:f>
        <x:v>-3</x:v>
      </x:c>
      <x:c r="AQ2363" t="n">
        <x:f>_xlfn.XLOOKUP($A2363,Games!$A$2:$A$18,Games!$L$2:$L$18,"Missing game",0)</x:f>
        <x:v>29</x:v>
      </x:c>
      <x:c r="AR2363" t="n">
        <x:f>_xlfn.XLOOKUP($A2363,Games!$A$2:$A$18,Games!$M$2:$M$18,"Missing game",0)</x:f>
        <x:v>0</x:v>
      </x:c>
      <x:c r="AS2363" t="str">
        <x:f>_xlfn.XLOOKUP($A2363,Games!$A$2:$A$18,Games!$N$2:$N$18,"Missing game",0)</x:f>
        <x:v>outdoors</x:v>
      </x:c>
      <x:c r="AT2363" t="str">
        <x:f>_xlfn.XLOOKUP($A2363,Games!$A$2:$A$18,Games!$O$2:$O$18,"Missing game",0)</x:f>
        <x:v>fieldturf</x:v>
      </x:c>
      <x:c r="AU2363" t="n">
        <x:f>_xlfn.XLOOKUP($A2363,Games!$A$2:$A$18,Games!$P$2:$P$18,"Missing game",0)</x:f>
        <x:v>46</x:v>
      </x:c>
      <x:c r="AV2363" t="n">
        <x:f>_xlfn.XLOOKUP($A2363,Games!$A$2:$A$18,Games!$Q$2:$Q$18,"Missing game",0)</x:f>
        <x:v>20</x:v>
      </x:c>
      <x:c r="AW2363" t="str">
        <x:f>_xlfn.XLOOKUP($A2363,Games!$A$2:$A$18,Games!$R$2:$R$18,"Missing game",0)</x:f>
        <x:v>MetLife Stadium</x:v>
      </x:c>
    </x:row>
    <x:row r="2364">
      <x:c r="A2364" t="str">
        <x:v>2025_16_MIN_NYG</x:v>
      </x:c>
      <x:c r="B2364" t="n">
        <x:v>1014</x:v>
      </x:c>
      <x:c r="C2364" t="n">
        <x:v>2</x:v>
      </x:c>
      <x:c r="D2364" t="str">
        <x:v>11:19</x:v>
      </x:c>
      <x:c r="E2364" t="n">
        <x:v>3</x:v>
      </x:c>
      <x:c r="F2364" t="n">
        <x:v>7</x:v>
      </x:c>
      <x:c r="G2364" t="str">
        <x:v>NYG</x:v>
      </x:c>
      <x:c r="H2364" t="str">
        <x:v>MIN</x:v>
      </x:c>
      <x:c r="I2364" t="str">
        <x:v>MIN</x:v>
      </x:c>
      <x:c r="J2364" t="n">
        <x:v>8</x:v>
      </x:c>
      <x:c r="K2364" t="str">
        <x:v>(11:19) (Shotgun) 6-J.Dart sacked at MIN 9 for -1 yards (55-E.Wilson). Penalty on NYG-71-M.Mbow, Illegal Formation, declined.</x:v>
      </x:c>
      <x:c r="L2364" t="str">
        <x:v>pass</x:v>
      </x:c>
      <x:c r="M2364" t="n">
        <x:v>-1</x:v>
      </x:c>
      <x:c r="N2364" t="n">
        <x:v>1</x:v>
      </x:c>
      <x:c r="O2364" t="n">
        <x:v>0</x:v>
      </x:c>
      <x:c r="P2364"/>
      <x:c r="Q2364"/>
      <x:c r="R2364"/>
      <x:c r="S2364"/>
      <x:c r="T2364"/>
      <x:c r="U2364"/>
      <x:c r="V2364" t="n">
        <x:v>0</x:v>
      </x:c>
      <x:c r="W2364" t="n">
        <x:v>0</x:v>
      </x:c>
      <x:c r="X2364" t="n">
        <x:v>1</x:v>
      </x:c>
      <x:c r="Y2364" t="n">
        <x:v>0</x:v>
      </x:c>
      <x:c r="Z2364" t="n">
        <x:v>0</x:v>
      </x:c>
      <x:c r="AA2364" t="n">
        <x:v>0</x:v>
      </x:c>
      <x:c r="AB2364"/>
      <x:c r="AC2364" t="n">
        <x:v>0</x:v>
      </x:c>
      <x:c r="AD2364" t="n">
        <x:v>-1.2229749343570129</x:v>
      </x:c>
      <x:c r="AE2364" t="n">
        <x:v>0</x:v>
      </x:c>
      <x:c r="AF2364" t="n">
        <x:v>-0.04462587833404541</x:v>
      </x:c>
      <x:c r="AG2364" t="n">
        <x:f>_xlfn.XLOOKUP($A2364,Games!$A$2:$A$18,Games!$B$2:$B$18,"Missing game",0)</x:f>
        <x:v>2025</x:v>
      </x:c>
      <x:c r="AH2364" t="str">
        <x:f>_xlfn.XLOOKUP($A2364,Games!$A$2:$A$18,Games!$C$2:$C$18,"Missing game",0)</x:f>
        <x:v>REG</x:v>
      </x:c>
      <x:c r="AI2364" t="n">
        <x:f>_xlfn.XLOOKUP($A2364,Games!$A$2:$A$18,Games!$D$2:$D$18,"Missing game",0)</x:f>
        <x:v>16</x:v>
      </x:c>
      <x:c r="AJ2364" s="1" t="n">
        <x:f>_xlfn.XLOOKUP($A2364,Games!$A$2:$A$18,Games!$E$2:$E$18,"Missing game",0)</x:f>
        <x:v>46012</x:v>
      </x:c>
      <x:c r="AK2364" t="str">
        <x:f>_xlfn.XLOOKUP($A2364,Games!$A$2:$A$18,Games!$F$2:$F$18,"Missing game",0)</x:f>
        <x:v>Sunday</x:v>
      </x:c>
      <x:c r="AL2364" t="str">
        <x:f>_xlfn.XLOOKUP($A2364,Games!$A$2:$A$18,Games!$G$2:$G$18,"Missing game",0)</x:f>
        <x:v>MIN</x:v>
      </x:c>
      <x:c r="AM2364" t="n">
        <x:f>_xlfn.XLOOKUP($A2364,Games!$A$2:$A$18,Games!$H$2:$H$18,"Missing game",0)</x:f>
        <x:v>16</x:v>
      </x:c>
      <x:c r="AN2364" t="str">
        <x:f>_xlfn.XLOOKUP($A2364,Games!$A$2:$A$18,Games!$I$2:$I$18,"Missing game",0)</x:f>
        <x:v>NYG</x:v>
      </x:c>
      <x:c r="AO2364" t="n">
        <x:f>_xlfn.XLOOKUP($A2364,Games!$A$2:$A$18,Games!$J$2:$J$18,"Missing game",0)</x:f>
        <x:v>13</x:v>
      </x:c>
      <x:c r="AP2364" t="n">
        <x:f>_xlfn.XLOOKUP($A2364,Games!$A$2:$A$18,Games!$K$2:$K$18,"Missing game",0)</x:f>
        <x:v>-3</x:v>
      </x:c>
      <x:c r="AQ2364" t="n">
        <x:f>_xlfn.XLOOKUP($A2364,Games!$A$2:$A$18,Games!$L$2:$L$18,"Missing game",0)</x:f>
        <x:v>29</x:v>
      </x:c>
      <x:c r="AR2364" t="n">
        <x:f>_xlfn.XLOOKUP($A2364,Games!$A$2:$A$18,Games!$M$2:$M$18,"Missing game",0)</x:f>
        <x:v>0</x:v>
      </x:c>
      <x:c r="AS2364" t="str">
        <x:f>_xlfn.XLOOKUP($A2364,Games!$A$2:$A$18,Games!$N$2:$N$18,"Missing game",0)</x:f>
        <x:v>outdoors</x:v>
      </x:c>
      <x:c r="AT2364" t="str">
        <x:f>_xlfn.XLOOKUP($A2364,Games!$A$2:$A$18,Games!$O$2:$O$18,"Missing game",0)</x:f>
        <x:v>fieldturf</x:v>
      </x:c>
      <x:c r="AU2364" t="n">
        <x:f>_xlfn.XLOOKUP($A2364,Games!$A$2:$A$18,Games!$P$2:$P$18,"Missing game",0)</x:f>
        <x:v>46</x:v>
      </x:c>
      <x:c r="AV2364" t="n">
        <x:f>_xlfn.XLOOKUP($A2364,Games!$A$2:$A$18,Games!$Q$2:$Q$18,"Missing game",0)</x:f>
        <x:v>20</x:v>
      </x:c>
      <x:c r="AW2364" t="str">
        <x:f>_xlfn.XLOOKUP($A2364,Games!$A$2:$A$18,Games!$R$2:$R$18,"Missing game",0)</x:f>
        <x:v>MetLife Stadium</x:v>
      </x:c>
    </x:row>
    <x:row r="2365">
      <x:c r="A2365" t="str">
        <x:v>2025_16_MIN_NYG</x:v>
      </x:c>
      <x:c r="B2365" t="n">
        <x:v>1048</x:v>
      </x:c>
      <x:c r="C2365" t="n">
        <x:v>2</x:v>
      </x:c>
      <x:c r="D2365" t="str">
        <x:v>11:08</x:v>
      </x:c>
      <x:c r="E2365" t="n">
        <x:v>4</x:v>
      </x:c>
      <x:c r="F2365" t="n">
        <x:v>8</x:v>
      </x:c>
      <x:c r="G2365" t="str">
        <x:v>NYG</x:v>
      </x:c>
      <x:c r="H2365" t="str">
        <x:v>MIN</x:v>
      </x:c>
      <x:c r="I2365" t="str">
        <x:v>MIN</x:v>
      </x:c>
      <x:c r="J2365" t="n">
        <x:v>9</x:v>
      </x:c>
      <x:c r="K2365" t="str">
        <x:v>(11:08) 30-B.Sauls 27 yard field goal is GOOD, Center-59-C.Kreiter, Holder-12-J.Gillan.</x:v>
      </x:c>
      <x:c r="L2365" t="str">
        <x:v>field_goal</x:v>
      </x:c>
      <x:c r="M2365" t="n">
        <x:v>0</x:v>
      </x:c>
      <x:c r="N2365" t="n">
        <x:v>0</x:v>
      </x:c>
      <x:c r="O2365" t="n">
        <x:v>0</x:v>
      </x:c>
      <x:c r="P2365"/>
      <x:c r="Q2365"/>
      <x:c r="R2365"/>
      <x:c r="S2365"/>
      <x:c r="T2365"/>
      <x:c r="U2365"/>
      <x:c r="V2365" t="n">
        <x:v>0</x:v>
      </x:c>
      <x:c r="W2365" t="n">
        <x:v>0</x:v>
      </x:c>
      <x:c r="X2365" t="n">
        <x:v>0</x:v>
      </x:c>
      <x:c r="Y2365" t="n">
        <x:v>0</x:v>
      </x:c>
      <x:c r="Z2365" t="n">
        <x:v>0</x:v>
      </x:c>
      <x:c r="AA2365" t="n">
        <x:v>0</x:v>
      </x:c>
      <x:c r="AB2365"/>
      <x:c r="AC2365" t="n">
        <x:v>0</x:v>
      </x:c>
      <x:c r="AD2365" t="n">
        <x:v>0.11051681780748002</x:v>
      </x:c>
      <x:c r="AE2365" t="n">
        <x:v>1</x:v>
      </x:c>
      <x:c r="AF2365" t="n">
        <x:v>0.0037709176540374756</x:v>
      </x:c>
      <x:c r="AG2365" t="n">
        <x:f>_xlfn.XLOOKUP($A2365,Games!$A$2:$A$18,Games!$B$2:$B$18,"Missing game",0)</x:f>
        <x:v>2025</x:v>
      </x:c>
      <x:c r="AH2365" t="str">
        <x:f>_xlfn.XLOOKUP($A2365,Games!$A$2:$A$18,Games!$C$2:$C$18,"Missing game",0)</x:f>
        <x:v>REG</x:v>
      </x:c>
      <x:c r="AI2365" t="n">
        <x:f>_xlfn.XLOOKUP($A2365,Games!$A$2:$A$18,Games!$D$2:$D$18,"Missing game",0)</x:f>
        <x:v>16</x:v>
      </x:c>
      <x:c r="AJ2365" s="1" t="n">
        <x:f>_xlfn.XLOOKUP($A2365,Games!$A$2:$A$18,Games!$E$2:$E$18,"Missing game",0)</x:f>
        <x:v>46012</x:v>
      </x:c>
      <x:c r="AK2365" t="str">
        <x:f>_xlfn.XLOOKUP($A2365,Games!$A$2:$A$18,Games!$F$2:$F$18,"Missing game",0)</x:f>
        <x:v>Sunday</x:v>
      </x:c>
      <x:c r="AL2365" t="str">
        <x:f>_xlfn.XLOOKUP($A2365,Games!$A$2:$A$18,Games!$G$2:$G$18,"Missing game",0)</x:f>
        <x:v>MIN</x:v>
      </x:c>
      <x:c r="AM2365" t="n">
        <x:f>_xlfn.XLOOKUP($A2365,Games!$A$2:$A$18,Games!$H$2:$H$18,"Missing game",0)</x:f>
        <x:v>16</x:v>
      </x:c>
      <x:c r="AN2365" t="str">
        <x:f>_xlfn.XLOOKUP($A2365,Games!$A$2:$A$18,Games!$I$2:$I$18,"Missing game",0)</x:f>
        <x:v>NYG</x:v>
      </x:c>
      <x:c r="AO2365" t="n">
        <x:f>_xlfn.XLOOKUP($A2365,Games!$A$2:$A$18,Games!$J$2:$J$18,"Missing game",0)</x:f>
        <x:v>13</x:v>
      </x:c>
      <x:c r="AP2365" t="n">
        <x:f>_xlfn.XLOOKUP($A2365,Games!$A$2:$A$18,Games!$K$2:$K$18,"Missing game",0)</x:f>
        <x:v>-3</x:v>
      </x:c>
      <x:c r="AQ2365" t="n">
        <x:f>_xlfn.XLOOKUP($A2365,Games!$A$2:$A$18,Games!$L$2:$L$18,"Missing game",0)</x:f>
        <x:v>29</x:v>
      </x:c>
      <x:c r="AR2365" t="n">
        <x:f>_xlfn.XLOOKUP($A2365,Games!$A$2:$A$18,Games!$M$2:$M$18,"Missing game",0)</x:f>
        <x:v>0</x:v>
      </x:c>
      <x:c r="AS2365" t="str">
        <x:f>_xlfn.XLOOKUP($A2365,Games!$A$2:$A$18,Games!$N$2:$N$18,"Missing game",0)</x:f>
        <x:v>outdoors</x:v>
      </x:c>
      <x:c r="AT2365" t="str">
        <x:f>_xlfn.XLOOKUP($A2365,Games!$A$2:$A$18,Games!$O$2:$O$18,"Missing game",0)</x:f>
        <x:v>fieldturf</x:v>
      </x:c>
      <x:c r="AU2365" t="n">
        <x:f>_xlfn.XLOOKUP($A2365,Games!$A$2:$A$18,Games!$P$2:$P$18,"Missing game",0)</x:f>
        <x:v>46</x:v>
      </x:c>
      <x:c r="AV2365" t="n">
        <x:f>_xlfn.XLOOKUP($A2365,Games!$A$2:$A$18,Games!$Q$2:$Q$18,"Missing game",0)</x:f>
        <x:v>20</x:v>
      </x:c>
      <x:c r="AW2365" t="str">
        <x:f>_xlfn.XLOOKUP($A2365,Games!$A$2:$A$18,Games!$R$2:$R$18,"Missing game",0)</x:f>
        <x:v>MetLife Stadium</x:v>
      </x:c>
    </x:row>
    <x:row r="2366">
      <x:c r="A2366" t="str">
        <x:v>2025_16_MIN_NYG</x:v>
      </x:c>
      <x:c r="B2366" t="n">
        <x:v>1076</x:v>
      </x:c>
      <x:c r="C2366" t="n">
        <x:v>2</x:v>
      </x:c>
      <x:c r="D2366" t="str">
        <x:v>11:04</x:v>
      </x:c>
      <x:c r="E2366"/>
      <x:c r="F2366" t="n">
        <x:v>0</x:v>
      </x:c>
      <x:c r="G2366" t="str">
        <x:v>MIN</x:v>
      </x:c>
      <x:c r="H2366" t="str">
        <x:v>NYG</x:v>
      </x:c>
      <x:c r="I2366" t="str">
        <x:v>NYG</x:v>
      </x:c>
      <x:c r="J2366" t="n">
        <x:v>35</x:v>
      </x:c>
      <x:c r="K2366" t="str">
        <x:v>30-B.Sauls kicks 63 yards from NYG 35 to MIN 2. 4-M.Price to MIN 23 for 21 yards (24-D.Belton).</x:v>
      </x:c>
      <x:c r="L2366" t="str">
        <x:v>kickoff</x:v>
      </x:c>
      <x:c r="M2366" t="n">
        <x:v>0</x:v>
      </x:c>
      <x:c r="N2366" t="n">
        <x:v>0</x:v>
      </x:c>
      <x:c r="O2366" t="n">
        <x:v>0</x:v>
      </x:c>
      <x:c r="P2366"/>
      <x:c r="Q2366"/>
      <x:c r="R2366"/>
      <x:c r="S2366"/>
      <x:c r="T2366"/>
      <x:c r="U2366"/>
      <x:c r="V2366" t="n">
        <x:v>0</x:v>
      </x:c>
      <x:c r="W2366" t="n">
        <x:v>0</x:v>
      </x:c>
      <x:c r="X2366" t="n">
        <x:v>0</x:v>
      </x:c>
      <x:c r="Y2366" t="n">
        <x:v>0</x:v>
      </x:c>
      <x:c r="Z2366" t="n">
        <x:v>0</x:v>
      </x:c>
      <x:c r="AA2366" t="n">
        <x:v>0</x:v>
      </x:c>
      <x:c r="AB2366"/>
      <x:c r="AC2366" t="n">
        <x:v>0</x:v>
      </x:c>
      <x:c r="AD2366" t="n">
        <x:v>-0.2658616346307099</x:v>
      </x:c>
      <x:c r="AE2366" t="n">
        <x:v>0</x:v>
      </x:c>
      <x:c r="AF2366" t="n">
        <x:v>-0.0018367767333984375</x:v>
      </x:c>
      <x:c r="AG2366" t="n">
        <x:f>_xlfn.XLOOKUP($A2366,Games!$A$2:$A$18,Games!$B$2:$B$18,"Missing game",0)</x:f>
        <x:v>2025</x:v>
      </x:c>
      <x:c r="AH2366" t="str">
        <x:f>_xlfn.XLOOKUP($A2366,Games!$A$2:$A$18,Games!$C$2:$C$18,"Missing game",0)</x:f>
        <x:v>REG</x:v>
      </x:c>
      <x:c r="AI2366" t="n">
        <x:f>_xlfn.XLOOKUP($A2366,Games!$A$2:$A$18,Games!$D$2:$D$18,"Missing game",0)</x:f>
        <x:v>16</x:v>
      </x:c>
      <x:c r="AJ2366" s="1" t="n">
        <x:f>_xlfn.XLOOKUP($A2366,Games!$A$2:$A$18,Games!$E$2:$E$18,"Missing game",0)</x:f>
        <x:v>46012</x:v>
      </x:c>
      <x:c r="AK2366" t="str">
        <x:f>_xlfn.XLOOKUP($A2366,Games!$A$2:$A$18,Games!$F$2:$F$18,"Missing game",0)</x:f>
        <x:v>Sunday</x:v>
      </x:c>
      <x:c r="AL2366" t="str">
        <x:f>_xlfn.XLOOKUP($A2366,Games!$A$2:$A$18,Games!$G$2:$G$18,"Missing game",0)</x:f>
        <x:v>MIN</x:v>
      </x:c>
      <x:c r="AM2366" t="n">
        <x:f>_xlfn.XLOOKUP($A2366,Games!$A$2:$A$18,Games!$H$2:$H$18,"Missing game",0)</x:f>
        <x:v>16</x:v>
      </x:c>
      <x:c r="AN2366" t="str">
        <x:f>_xlfn.XLOOKUP($A2366,Games!$A$2:$A$18,Games!$I$2:$I$18,"Missing game",0)</x:f>
        <x:v>NYG</x:v>
      </x:c>
      <x:c r="AO2366" t="n">
        <x:f>_xlfn.XLOOKUP($A2366,Games!$A$2:$A$18,Games!$J$2:$J$18,"Missing game",0)</x:f>
        <x:v>13</x:v>
      </x:c>
      <x:c r="AP2366" t="n">
        <x:f>_xlfn.XLOOKUP($A2366,Games!$A$2:$A$18,Games!$K$2:$K$18,"Missing game",0)</x:f>
        <x:v>-3</x:v>
      </x:c>
      <x:c r="AQ2366" t="n">
        <x:f>_xlfn.XLOOKUP($A2366,Games!$A$2:$A$18,Games!$L$2:$L$18,"Missing game",0)</x:f>
        <x:v>29</x:v>
      </x:c>
      <x:c r="AR2366" t="n">
        <x:f>_xlfn.XLOOKUP($A2366,Games!$A$2:$A$18,Games!$M$2:$M$18,"Missing game",0)</x:f>
        <x:v>0</x:v>
      </x:c>
      <x:c r="AS2366" t="str">
        <x:f>_xlfn.XLOOKUP($A2366,Games!$A$2:$A$18,Games!$N$2:$N$18,"Missing game",0)</x:f>
        <x:v>outdoors</x:v>
      </x:c>
      <x:c r="AT2366" t="str">
        <x:f>_xlfn.XLOOKUP($A2366,Games!$A$2:$A$18,Games!$O$2:$O$18,"Missing game",0)</x:f>
        <x:v>fieldturf</x:v>
      </x:c>
      <x:c r="AU2366" t="n">
        <x:f>_xlfn.XLOOKUP($A2366,Games!$A$2:$A$18,Games!$P$2:$P$18,"Missing game",0)</x:f>
        <x:v>46</x:v>
      </x:c>
      <x:c r="AV2366" t="n">
        <x:f>_xlfn.XLOOKUP($A2366,Games!$A$2:$A$18,Games!$Q$2:$Q$18,"Missing game",0)</x:f>
        <x:v>20</x:v>
      </x:c>
      <x:c r="AW2366" t="str">
        <x:f>_xlfn.XLOOKUP($A2366,Games!$A$2:$A$18,Games!$R$2:$R$18,"Missing game",0)</x:f>
        <x:v>MetLife Stadium</x:v>
      </x:c>
    </x:row>
    <x:row r="2367">
      <x:c r="A2367" t="str">
        <x:v>2025_16_MIN_NYG</x:v>
      </x:c>
      <x:c r="B2367" t="n">
        <x:v>1106</x:v>
      </x:c>
      <x:c r="C2367" t="n">
        <x:v>2</x:v>
      </x:c>
      <x:c r="D2367" t="str">
        <x:v>10:59</x:v>
      </x:c>
      <x:c r="E2367" t="n">
        <x:v>1</x:v>
      </x:c>
      <x:c r="F2367" t="n">
        <x:v>10</x:v>
      </x:c>
      <x:c r="G2367" t="str">
        <x:v>MIN</x:v>
      </x:c>
      <x:c r="H2367" t="str">
        <x:v>NYG</x:v>
      </x:c>
      <x:c r="I2367" t="str">
        <x:v>MIN</x:v>
      </x:c>
      <x:c r="J2367" t="n">
        <x:v>77</x:v>
      </x:c>
      <x:c r="K2367" t="str">
        <x:v>(10:59) 33-A.Jones up the middle to MIN 28 for 5 yards (94-E.Chatman; 53-D.Muasau). ** Injury Update: MIN-33-A.Jones has returned to the game.</x:v>
      </x:c>
      <x:c r="L2367" t="str">
        <x:v>run</x:v>
      </x:c>
      <x:c r="M2367" t="n">
        <x:v>5</x:v>
      </x:c>
      <x:c r="N2367" t="n">
        <x:v>0</x:v>
      </x:c>
      <x:c r="O2367" t="n">
        <x:v>0</x:v>
      </x:c>
      <x:c r="P2367"/>
      <x:c r="Q2367"/>
      <x:c r="R2367"/>
      <x:c r="S2367"/>
      <x:c r="T2367" t="str">
        <x:v>middle</x:v>
      </x:c>
      <x:c r="U2367"/>
      <x:c r="V2367" t="n">
        <x:v>0</x:v>
      </x:c>
      <x:c r="W2367" t="n">
        <x:v>0</x:v>
      </x:c>
      <x:c r="X2367" t="n">
        <x:v>0</x:v>
      </x:c>
      <x:c r="Y2367" t="n">
        <x:v>0</x:v>
      </x:c>
      <x:c r="Z2367" t="n">
        <x:v>0</x:v>
      </x:c>
      <x:c r="AA2367" t="n">
        <x:v>0</x:v>
      </x:c>
      <x:c r="AB2367"/>
      <x:c r="AC2367" t="n">
        <x:v>0</x:v>
      </x:c>
      <x:c r="AD2367" t="n">
        <x:v>0.1181703140027821</x:v>
      </x:c>
      <x:c r="AE2367" t="n">
        <x:v>1</x:v>
      </x:c>
      <x:c r="AF2367" t="n">
        <x:v>-0.008923858404159546</x:v>
      </x:c>
      <x:c r="AG2367" t="n">
        <x:f>_xlfn.XLOOKUP($A2367,Games!$A$2:$A$18,Games!$B$2:$B$18,"Missing game",0)</x:f>
        <x:v>2025</x:v>
      </x:c>
      <x:c r="AH2367" t="str">
        <x:f>_xlfn.XLOOKUP($A2367,Games!$A$2:$A$18,Games!$C$2:$C$18,"Missing game",0)</x:f>
        <x:v>REG</x:v>
      </x:c>
      <x:c r="AI2367" t="n">
        <x:f>_xlfn.XLOOKUP($A2367,Games!$A$2:$A$18,Games!$D$2:$D$18,"Missing game",0)</x:f>
        <x:v>16</x:v>
      </x:c>
      <x:c r="AJ2367" s="1" t="n">
        <x:f>_xlfn.XLOOKUP($A2367,Games!$A$2:$A$18,Games!$E$2:$E$18,"Missing game",0)</x:f>
        <x:v>46012</x:v>
      </x:c>
      <x:c r="AK2367" t="str">
        <x:f>_xlfn.XLOOKUP($A2367,Games!$A$2:$A$18,Games!$F$2:$F$18,"Missing game",0)</x:f>
        <x:v>Sunday</x:v>
      </x:c>
      <x:c r="AL2367" t="str">
        <x:f>_xlfn.XLOOKUP($A2367,Games!$A$2:$A$18,Games!$G$2:$G$18,"Missing game",0)</x:f>
        <x:v>MIN</x:v>
      </x:c>
      <x:c r="AM2367" t="n">
        <x:f>_xlfn.XLOOKUP($A2367,Games!$A$2:$A$18,Games!$H$2:$H$18,"Missing game",0)</x:f>
        <x:v>16</x:v>
      </x:c>
      <x:c r="AN2367" t="str">
        <x:f>_xlfn.XLOOKUP($A2367,Games!$A$2:$A$18,Games!$I$2:$I$18,"Missing game",0)</x:f>
        <x:v>NYG</x:v>
      </x:c>
      <x:c r="AO2367" t="n">
        <x:f>_xlfn.XLOOKUP($A2367,Games!$A$2:$A$18,Games!$J$2:$J$18,"Missing game",0)</x:f>
        <x:v>13</x:v>
      </x:c>
      <x:c r="AP2367" t="n">
        <x:f>_xlfn.XLOOKUP($A2367,Games!$A$2:$A$18,Games!$K$2:$K$18,"Missing game",0)</x:f>
        <x:v>-3</x:v>
      </x:c>
      <x:c r="AQ2367" t="n">
        <x:f>_xlfn.XLOOKUP($A2367,Games!$A$2:$A$18,Games!$L$2:$L$18,"Missing game",0)</x:f>
        <x:v>29</x:v>
      </x:c>
      <x:c r="AR2367" t="n">
        <x:f>_xlfn.XLOOKUP($A2367,Games!$A$2:$A$18,Games!$M$2:$M$18,"Missing game",0)</x:f>
        <x:v>0</x:v>
      </x:c>
      <x:c r="AS2367" t="str">
        <x:f>_xlfn.XLOOKUP($A2367,Games!$A$2:$A$18,Games!$N$2:$N$18,"Missing game",0)</x:f>
        <x:v>outdoors</x:v>
      </x:c>
      <x:c r="AT2367" t="str">
        <x:f>_xlfn.XLOOKUP($A2367,Games!$A$2:$A$18,Games!$O$2:$O$18,"Missing game",0)</x:f>
        <x:v>fieldturf</x:v>
      </x:c>
      <x:c r="AU2367" t="n">
        <x:f>_xlfn.XLOOKUP($A2367,Games!$A$2:$A$18,Games!$P$2:$P$18,"Missing game",0)</x:f>
        <x:v>46</x:v>
      </x:c>
      <x:c r="AV2367" t="n">
        <x:f>_xlfn.XLOOKUP($A2367,Games!$A$2:$A$18,Games!$Q$2:$Q$18,"Missing game",0)</x:f>
        <x:v>20</x:v>
      </x:c>
      <x:c r="AW2367" t="str">
        <x:f>_xlfn.XLOOKUP($A2367,Games!$A$2:$A$18,Games!$R$2:$R$18,"Missing game",0)</x:f>
        <x:v>MetLife Stadium</x:v>
      </x:c>
    </x:row>
    <x:row r="2368">
      <x:c r="A2368" t="str">
        <x:v>2025_16_MIN_NYG</x:v>
      </x:c>
      <x:c r="B2368" t="n">
        <x:v>1128</x:v>
      </x:c>
      <x:c r="C2368" t="n">
        <x:v>2</x:v>
      </x:c>
      <x:c r="D2368" t="str">
        <x:v>10:30</x:v>
      </x:c>
      <x:c r="E2368" t="n">
        <x:v>2</x:v>
      </x:c>
      <x:c r="F2368" t="n">
        <x:v>5</x:v>
      </x:c>
      <x:c r="G2368" t="str">
        <x:v>MIN</x:v>
      </x:c>
      <x:c r="H2368" t="str">
        <x:v>NYG</x:v>
      </x:c>
      <x:c r="I2368" t="str">
        <x:v>MIN</x:v>
      </x:c>
      <x:c r="J2368" t="n">
        <x:v>72</x:v>
      </x:c>
      <x:c r="K2368" t="str">
        <x:v>(10:30) (No Huddle) 9-J.McCarthy pass deep left to 18-J.Jefferson ran ob at MIN 44 for 16 yards.</x:v>
      </x:c>
      <x:c r="L2368" t="str">
        <x:v>pass</x:v>
      </x:c>
      <x:c r="M2368" t="n">
        <x:v>16</x:v>
      </x:c>
      <x:c r="N2368" t="n">
        <x:v>0</x:v>
      </x:c>
      <x:c r="O2368" t="n">
        <x:v>1</x:v>
      </x:c>
      <x:c r="P2368" t="str">
        <x:v>deep</x:v>
      </x:c>
      <x:c r="Q2368" t="str">
        <x:v>left</x:v>
      </x:c>
      <x:c r="R2368" t="n">
        <x:v>16</x:v>
      </x:c>
      <x:c r="S2368" t="n">
        <x:v>0</x:v>
      </x:c>
      <x:c r="T2368"/>
      <x:c r="U2368"/>
      <x:c r="V2368" t="n">
        <x:v>1</x:v>
      </x:c>
      <x:c r="W2368" t="n">
        <x:v>1</x:v>
      </x:c>
      <x:c r="X2368" t="n">
        <x:v>0</x:v>
      </x:c>
      <x:c r="Y2368" t="n">
        <x:v>0</x:v>
      </x:c>
      <x:c r="Z2368" t="n">
        <x:v>0</x:v>
      </x:c>
      <x:c r="AA2368" t="n">
        <x:v>0</x:v>
      </x:c>
      <x:c r="AB2368"/>
      <x:c r="AC2368" t="n">
        <x:v>0</x:v>
      </x:c>
      <x:c r="AD2368" t="n">
        <x:v>1.2762347641400993</x:v>
      </x:c>
      <x:c r="AE2368" t="n">
        <x:v>1</x:v>
      </x:c>
      <x:c r="AF2368" t="n">
        <x:v>0.04004618525505066</x:v>
      </x:c>
      <x:c r="AG2368" t="n">
        <x:f>_xlfn.XLOOKUP($A2368,Games!$A$2:$A$18,Games!$B$2:$B$18,"Missing game",0)</x:f>
        <x:v>2025</x:v>
      </x:c>
      <x:c r="AH2368" t="str">
        <x:f>_xlfn.XLOOKUP($A2368,Games!$A$2:$A$18,Games!$C$2:$C$18,"Missing game",0)</x:f>
        <x:v>REG</x:v>
      </x:c>
      <x:c r="AI2368" t="n">
        <x:f>_xlfn.XLOOKUP($A2368,Games!$A$2:$A$18,Games!$D$2:$D$18,"Missing game",0)</x:f>
        <x:v>16</x:v>
      </x:c>
      <x:c r="AJ2368" s="1" t="n">
        <x:f>_xlfn.XLOOKUP($A2368,Games!$A$2:$A$18,Games!$E$2:$E$18,"Missing game",0)</x:f>
        <x:v>46012</x:v>
      </x:c>
      <x:c r="AK2368" t="str">
        <x:f>_xlfn.XLOOKUP($A2368,Games!$A$2:$A$18,Games!$F$2:$F$18,"Missing game",0)</x:f>
        <x:v>Sunday</x:v>
      </x:c>
      <x:c r="AL2368" t="str">
        <x:f>_xlfn.XLOOKUP($A2368,Games!$A$2:$A$18,Games!$G$2:$G$18,"Missing game",0)</x:f>
        <x:v>MIN</x:v>
      </x:c>
      <x:c r="AM2368" t="n">
        <x:f>_xlfn.XLOOKUP($A2368,Games!$A$2:$A$18,Games!$H$2:$H$18,"Missing game",0)</x:f>
        <x:v>16</x:v>
      </x:c>
      <x:c r="AN2368" t="str">
        <x:f>_xlfn.XLOOKUP($A2368,Games!$A$2:$A$18,Games!$I$2:$I$18,"Missing game",0)</x:f>
        <x:v>NYG</x:v>
      </x:c>
      <x:c r="AO2368" t="n">
        <x:f>_xlfn.XLOOKUP($A2368,Games!$A$2:$A$18,Games!$J$2:$J$18,"Missing game",0)</x:f>
        <x:v>13</x:v>
      </x:c>
      <x:c r="AP2368" t="n">
        <x:f>_xlfn.XLOOKUP($A2368,Games!$A$2:$A$18,Games!$K$2:$K$18,"Missing game",0)</x:f>
        <x:v>-3</x:v>
      </x:c>
      <x:c r="AQ2368" t="n">
        <x:f>_xlfn.XLOOKUP($A2368,Games!$A$2:$A$18,Games!$L$2:$L$18,"Missing game",0)</x:f>
        <x:v>29</x:v>
      </x:c>
      <x:c r="AR2368" t="n">
        <x:f>_xlfn.XLOOKUP($A2368,Games!$A$2:$A$18,Games!$M$2:$M$18,"Missing game",0)</x:f>
        <x:v>0</x:v>
      </x:c>
      <x:c r="AS2368" t="str">
        <x:f>_xlfn.XLOOKUP($A2368,Games!$A$2:$A$18,Games!$N$2:$N$18,"Missing game",0)</x:f>
        <x:v>outdoors</x:v>
      </x:c>
      <x:c r="AT2368" t="str">
        <x:f>_xlfn.XLOOKUP($A2368,Games!$A$2:$A$18,Games!$O$2:$O$18,"Missing game",0)</x:f>
        <x:v>fieldturf</x:v>
      </x:c>
      <x:c r="AU2368" t="n">
        <x:f>_xlfn.XLOOKUP($A2368,Games!$A$2:$A$18,Games!$P$2:$P$18,"Missing game",0)</x:f>
        <x:v>46</x:v>
      </x:c>
      <x:c r="AV2368" t="n">
        <x:f>_xlfn.XLOOKUP($A2368,Games!$A$2:$A$18,Games!$Q$2:$Q$18,"Missing game",0)</x:f>
        <x:v>20</x:v>
      </x:c>
      <x:c r="AW2368" t="str">
        <x:f>_xlfn.XLOOKUP($A2368,Games!$A$2:$A$18,Games!$R$2:$R$18,"Missing game",0)</x:f>
        <x:v>MetLife Stadium</x:v>
      </x:c>
    </x:row>
    <x:row r="2369">
      <x:c r="A2369" t="str">
        <x:v>2025_16_MIN_NYG</x:v>
      </x:c>
      <x:c r="B2369" t="n">
        <x:v>1166</x:v>
      </x:c>
      <x:c r="C2369" t="n">
        <x:v>2</x:v>
      </x:c>
      <x:c r="D2369" t="str">
        <x:v>10:06</x:v>
      </x:c>
      <x:c r="E2369" t="n">
        <x:v>1</x:v>
      </x:c>
      <x:c r="F2369" t="n">
        <x:v>10</x:v>
      </x:c>
      <x:c r="G2369" t="str">
        <x:v>MIN</x:v>
      </x:c>
      <x:c r="H2369" t="str">
        <x:v>NYG</x:v>
      </x:c>
      <x:c r="I2369" t="str">
        <x:v>MIN</x:v>
      </x:c>
      <x:c r="J2369" t="n">
        <x:v>56</x:v>
      </x:c>
      <x:c r="K2369" t="str">
        <x:v>(10:06) (No Huddle, Shotgun) 9-J.McCarthy pass short right to 3-J.Addison to 50 for 6 yards (21-P.Adebo).</x:v>
      </x:c>
      <x:c r="L2369" t="str">
        <x:v>pass</x:v>
      </x:c>
      <x:c r="M2369" t="n">
        <x:v>6</x:v>
      </x:c>
      <x:c r="N2369" t="n">
        <x:v>1</x:v>
      </x:c>
      <x:c r="O2369" t="n">
        <x:v>1</x:v>
      </x:c>
      <x:c r="P2369" t="str">
        <x:v>short</x:v>
      </x:c>
      <x:c r="Q2369" t="str">
        <x:v>right</x:v>
      </x:c>
      <x:c r="R2369" t="n">
        <x:v>6</x:v>
      </x:c>
      <x:c r="S2369" t="n">
        <x:v>0</x:v>
      </x:c>
      <x:c r="T2369"/>
      <x:c r="U2369"/>
      <x:c r="V2369" t="n">
        <x:v>1</x:v>
      </x:c>
      <x:c r="W2369" t="n">
        <x:v>0</x:v>
      </x:c>
      <x:c r="X2369" t="n">
        <x:v>0</x:v>
      </x:c>
      <x:c r="Y2369" t="n">
        <x:v>0</x:v>
      </x:c>
      <x:c r="Z2369" t="n">
        <x:v>0</x:v>
      </x:c>
      <x:c r="AA2369" t="n">
        <x:v>0</x:v>
      </x:c>
      <x:c r="AB2369"/>
      <x:c r="AC2369" t="n">
        <x:v>0</x:v>
      </x:c>
      <x:c r="AD2369" t="n">
        <x:v>0.2899160294327885</x:v>
      </x:c>
      <x:c r="AE2369" t="n">
        <x:v>1</x:v>
      </x:c>
      <x:c r="AF2369" t="n">
        <x:v>0.005394667387008667</x:v>
      </x:c>
      <x:c r="AG2369" t="n">
        <x:f>_xlfn.XLOOKUP($A2369,Games!$A$2:$A$18,Games!$B$2:$B$18,"Missing game",0)</x:f>
        <x:v>2025</x:v>
      </x:c>
      <x:c r="AH2369" t="str">
        <x:f>_xlfn.XLOOKUP($A2369,Games!$A$2:$A$18,Games!$C$2:$C$18,"Missing game",0)</x:f>
        <x:v>REG</x:v>
      </x:c>
      <x:c r="AI2369" t="n">
        <x:f>_xlfn.XLOOKUP($A2369,Games!$A$2:$A$18,Games!$D$2:$D$18,"Missing game",0)</x:f>
        <x:v>16</x:v>
      </x:c>
      <x:c r="AJ2369" s="1" t="n">
        <x:f>_xlfn.XLOOKUP($A2369,Games!$A$2:$A$18,Games!$E$2:$E$18,"Missing game",0)</x:f>
        <x:v>46012</x:v>
      </x:c>
      <x:c r="AK2369" t="str">
        <x:f>_xlfn.XLOOKUP($A2369,Games!$A$2:$A$18,Games!$F$2:$F$18,"Missing game",0)</x:f>
        <x:v>Sunday</x:v>
      </x:c>
      <x:c r="AL2369" t="str">
        <x:f>_xlfn.XLOOKUP($A2369,Games!$A$2:$A$18,Games!$G$2:$G$18,"Missing game",0)</x:f>
        <x:v>MIN</x:v>
      </x:c>
      <x:c r="AM2369" t="n">
        <x:f>_xlfn.XLOOKUP($A2369,Games!$A$2:$A$18,Games!$H$2:$H$18,"Missing game",0)</x:f>
        <x:v>16</x:v>
      </x:c>
      <x:c r="AN2369" t="str">
        <x:f>_xlfn.XLOOKUP($A2369,Games!$A$2:$A$18,Games!$I$2:$I$18,"Missing game",0)</x:f>
        <x:v>NYG</x:v>
      </x:c>
      <x:c r="AO2369" t="n">
        <x:f>_xlfn.XLOOKUP($A2369,Games!$A$2:$A$18,Games!$J$2:$J$18,"Missing game",0)</x:f>
        <x:v>13</x:v>
      </x:c>
      <x:c r="AP2369" t="n">
        <x:f>_xlfn.XLOOKUP($A2369,Games!$A$2:$A$18,Games!$K$2:$K$18,"Missing game",0)</x:f>
        <x:v>-3</x:v>
      </x:c>
      <x:c r="AQ2369" t="n">
        <x:f>_xlfn.XLOOKUP($A2369,Games!$A$2:$A$18,Games!$L$2:$L$18,"Missing game",0)</x:f>
        <x:v>29</x:v>
      </x:c>
      <x:c r="AR2369" t="n">
        <x:f>_xlfn.XLOOKUP($A2369,Games!$A$2:$A$18,Games!$M$2:$M$18,"Missing game",0)</x:f>
        <x:v>0</x:v>
      </x:c>
      <x:c r="AS2369" t="str">
        <x:f>_xlfn.XLOOKUP($A2369,Games!$A$2:$A$18,Games!$N$2:$N$18,"Missing game",0)</x:f>
        <x:v>outdoors</x:v>
      </x:c>
      <x:c r="AT2369" t="str">
        <x:f>_xlfn.XLOOKUP($A2369,Games!$A$2:$A$18,Games!$O$2:$O$18,"Missing game",0)</x:f>
        <x:v>fieldturf</x:v>
      </x:c>
      <x:c r="AU2369" t="n">
        <x:f>_xlfn.XLOOKUP($A2369,Games!$A$2:$A$18,Games!$P$2:$P$18,"Missing game",0)</x:f>
        <x:v>46</x:v>
      </x:c>
      <x:c r="AV2369" t="n">
        <x:f>_xlfn.XLOOKUP($A2369,Games!$A$2:$A$18,Games!$Q$2:$Q$18,"Missing game",0)</x:f>
        <x:v>20</x:v>
      </x:c>
      <x:c r="AW2369" t="str">
        <x:f>_xlfn.XLOOKUP($A2369,Games!$A$2:$A$18,Games!$R$2:$R$18,"Missing game",0)</x:f>
        <x:v>MetLife Stadium</x:v>
      </x:c>
    </x:row>
    <x:row r="2370">
      <x:c r="A2370" t="str">
        <x:v>2025_16_MIN_NYG</x:v>
      </x:c>
      <x:c r="B2370" t="n">
        <x:v>1191</x:v>
      </x:c>
      <x:c r="C2370" t="n">
        <x:v>2</x:v>
      </x:c>
      <x:c r="D2370" t="str">
        <x:v>09:25</x:v>
      </x:c>
      <x:c r="E2370" t="n">
        <x:v>2</x:v>
      </x:c>
      <x:c r="F2370" t="n">
        <x:v>4</x:v>
      </x:c>
      <x:c r="G2370" t="str">
        <x:v>MIN</x:v>
      </x:c>
      <x:c r="H2370" t="str">
        <x:v>NYG</x:v>
      </x:c>
      <x:c r="I2370" t="str">
        <x:v>50</x:v>
      </x:c>
      <x:c r="J2370" t="n">
        <x:v>50</x:v>
      </x:c>
      <x:c r="K2370" t="str">
        <x:v>(9:25) PENALTY on MIN-87-T.Hockenson, False Start, 5 yards, enforced at 50 - No Play.</x:v>
      </x:c>
      <x:c r="L2370" t="str">
        <x:v>no_play</x:v>
      </x:c>
      <x:c r="M2370" t="n">
        <x:v>0</x:v>
      </x:c>
      <x:c r="N2370" t="n">
        <x:v>0</x:v>
      </x:c>
      <x:c r="O2370" t="n">
        <x:v>0</x:v>
      </x:c>
      <x:c r="P2370"/>
      <x:c r="Q2370"/>
      <x:c r="R2370"/>
      <x:c r="S2370"/>
      <x:c r="T2370"/>
      <x:c r="U2370"/>
      <x:c r="V2370" t="n">
        <x:v>0</x:v>
      </x:c>
      <x:c r="W2370" t="n">
        <x:v>0</x:v>
      </x:c>
      <x:c r="X2370" t="n">
        <x:v>0</x:v>
      </x:c>
      <x:c r="Y2370" t="n">
        <x:v>0</x:v>
      </x:c>
      <x:c r="Z2370" t="n">
        <x:v>0</x:v>
      </x:c>
      <x:c r="AA2370" t="n">
        <x:v>1</x:v>
      </x:c>
      <x:c r="AB2370" t="n">
        <x:v>5</x:v>
      </x:c>
      <x:c r="AC2370" t="n">
        <x:v>0</x:v>
      </x:c>
      <x:c r="AD2370" t="n">
        <x:v>-0.753096250584349</x:v>
      </x:c>
      <x:c r="AE2370" t="n">
        <x:v>0</x:v>
      </x:c>
      <x:c r="AF2370" t="n">
        <x:v>-0.02360481023788452</x:v>
      </x:c>
      <x:c r="AG2370" t="n">
        <x:f>_xlfn.XLOOKUP($A2370,Games!$A$2:$A$18,Games!$B$2:$B$18,"Missing game",0)</x:f>
        <x:v>2025</x:v>
      </x:c>
      <x:c r="AH2370" t="str">
        <x:f>_xlfn.XLOOKUP($A2370,Games!$A$2:$A$18,Games!$C$2:$C$18,"Missing game",0)</x:f>
        <x:v>REG</x:v>
      </x:c>
      <x:c r="AI2370" t="n">
        <x:f>_xlfn.XLOOKUP($A2370,Games!$A$2:$A$18,Games!$D$2:$D$18,"Missing game",0)</x:f>
        <x:v>16</x:v>
      </x:c>
      <x:c r="AJ2370" s="1" t="n">
        <x:f>_xlfn.XLOOKUP($A2370,Games!$A$2:$A$18,Games!$E$2:$E$18,"Missing game",0)</x:f>
        <x:v>46012</x:v>
      </x:c>
      <x:c r="AK2370" t="str">
        <x:f>_xlfn.XLOOKUP($A2370,Games!$A$2:$A$18,Games!$F$2:$F$18,"Missing game",0)</x:f>
        <x:v>Sunday</x:v>
      </x:c>
      <x:c r="AL2370" t="str">
        <x:f>_xlfn.XLOOKUP($A2370,Games!$A$2:$A$18,Games!$G$2:$G$18,"Missing game",0)</x:f>
        <x:v>MIN</x:v>
      </x:c>
      <x:c r="AM2370" t="n">
        <x:f>_xlfn.XLOOKUP($A2370,Games!$A$2:$A$18,Games!$H$2:$H$18,"Missing game",0)</x:f>
        <x:v>16</x:v>
      </x:c>
      <x:c r="AN2370" t="str">
        <x:f>_xlfn.XLOOKUP($A2370,Games!$A$2:$A$18,Games!$I$2:$I$18,"Missing game",0)</x:f>
        <x:v>NYG</x:v>
      </x:c>
      <x:c r="AO2370" t="n">
        <x:f>_xlfn.XLOOKUP($A2370,Games!$A$2:$A$18,Games!$J$2:$J$18,"Missing game",0)</x:f>
        <x:v>13</x:v>
      </x:c>
      <x:c r="AP2370" t="n">
        <x:f>_xlfn.XLOOKUP($A2370,Games!$A$2:$A$18,Games!$K$2:$K$18,"Missing game",0)</x:f>
        <x:v>-3</x:v>
      </x:c>
      <x:c r="AQ2370" t="n">
        <x:f>_xlfn.XLOOKUP($A2370,Games!$A$2:$A$18,Games!$L$2:$L$18,"Missing game",0)</x:f>
        <x:v>29</x:v>
      </x:c>
      <x:c r="AR2370" t="n">
        <x:f>_xlfn.XLOOKUP($A2370,Games!$A$2:$A$18,Games!$M$2:$M$18,"Missing game",0)</x:f>
        <x:v>0</x:v>
      </x:c>
      <x:c r="AS2370" t="str">
        <x:f>_xlfn.XLOOKUP($A2370,Games!$A$2:$A$18,Games!$N$2:$N$18,"Missing game",0)</x:f>
        <x:v>outdoors</x:v>
      </x:c>
      <x:c r="AT2370" t="str">
        <x:f>_xlfn.XLOOKUP($A2370,Games!$A$2:$A$18,Games!$O$2:$O$18,"Missing game",0)</x:f>
        <x:v>fieldturf</x:v>
      </x:c>
      <x:c r="AU2370" t="n">
        <x:f>_xlfn.XLOOKUP($A2370,Games!$A$2:$A$18,Games!$P$2:$P$18,"Missing game",0)</x:f>
        <x:v>46</x:v>
      </x:c>
      <x:c r="AV2370" t="n">
        <x:f>_xlfn.XLOOKUP($A2370,Games!$A$2:$A$18,Games!$Q$2:$Q$18,"Missing game",0)</x:f>
        <x:v>20</x:v>
      </x:c>
      <x:c r="AW2370" t="str">
        <x:f>_xlfn.XLOOKUP($A2370,Games!$A$2:$A$18,Games!$R$2:$R$18,"Missing game",0)</x:f>
        <x:v>MetLife Stadium</x:v>
      </x:c>
    </x:row>
    <x:row r="2371">
      <x:c r="A2371" t="str">
        <x:v>2025_16_MIN_NYG</x:v>
      </x:c>
      <x:c r="B2371" t="n">
        <x:v>1215</x:v>
      </x:c>
      <x:c r="C2371" t="n">
        <x:v>2</x:v>
      </x:c>
      <x:c r="D2371" t="str">
        <x:v>09:04</x:v>
      </x:c>
      <x:c r="E2371" t="n">
        <x:v>2</x:v>
      </x:c>
      <x:c r="F2371" t="n">
        <x:v>9</x:v>
      </x:c>
      <x:c r="G2371" t="str">
        <x:v>MIN</x:v>
      </x:c>
      <x:c r="H2371" t="str">
        <x:v>NYG</x:v>
      </x:c>
      <x:c r="I2371" t="str">
        <x:v>MIN</x:v>
      </x:c>
      <x:c r="J2371" t="n">
        <x:v>55</x:v>
      </x:c>
      <x:c r="K2371" t="str">
        <x:v>(9:04) 33-A.Jones right tackle to MIN 44 for -1 yards (57-C.Golston).</x:v>
      </x:c>
      <x:c r="L2371" t="str">
        <x:v>run</x:v>
      </x:c>
      <x:c r="M2371" t="n">
        <x:v>-1</x:v>
      </x:c>
      <x:c r="N2371" t="n">
        <x:v>0</x:v>
      </x:c>
      <x:c r="O2371" t="n">
        <x:v>0</x:v>
      </x:c>
      <x:c r="P2371"/>
      <x:c r="Q2371"/>
      <x:c r="R2371"/>
      <x:c r="S2371"/>
      <x:c r="T2371" t="str">
        <x:v>right</x:v>
      </x:c>
      <x:c r="U2371" t="str">
        <x:v>tackle</x:v>
      </x:c>
      <x:c r="V2371" t="n">
        <x:v>0</x:v>
      </x:c>
      <x:c r="W2371" t="n">
        <x:v>0</x:v>
      </x:c>
      <x:c r="X2371" t="n">
        <x:v>0</x:v>
      </x:c>
      <x:c r="Y2371" t="n">
        <x:v>0</x:v>
      </x:c>
      <x:c r="Z2371" t="n">
        <x:v>0</x:v>
      </x:c>
      <x:c r="AA2371" t="n">
        <x:v>0</x:v>
      </x:c>
      <x:c r="AB2371"/>
      <x:c r="AC2371" t="n">
        <x:v>0</x:v>
      </x:c>
      <x:c r="AD2371" t="n">
        <x:v>-0.7352398354560137</x:v>
      </x:c>
      <x:c r="AE2371" t="n">
        <x:v>0</x:v>
      </x:c>
      <x:c r="AF2371" t="n">
        <x:v>-0.02471134066581726</x:v>
      </x:c>
      <x:c r="AG2371" t="n">
        <x:f>_xlfn.XLOOKUP($A2371,Games!$A$2:$A$18,Games!$B$2:$B$18,"Missing game",0)</x:f>
        <x:v>2025</x:v>
      </x:c>
      <x:c r="AH2371" t="str">
        <x:f>_xlfn.XLOOKUP($A2371,Games!$A$2:$A$18,Games!$C$2:$C$18,"Missing game",0)</x:f>
        <x:v>REG</x:v>
      </x:c>
      <x:c r="AI2371" t="n">
        <x:f>_xlfn.XLOOKUP($A2371,Games!$A$2:$A$18,Games!$D$2:$D$18,"Missing game",0)</x:f>
        <x:v>16</x:v>
      </x:c>
      <x:c r="AJ2371" s="1" t="n">
        <x:f>_xlfn.XLOOKUP($A2371,Games!$A$2:$A$18,Games!$E$2:$E$18,"Missing game",0)</x:f>
        <x:v>46012</x:v>
      </x:c>
      <x:c r="AK2371" t="str">
        <x:f>_xlfn.XLOOKUP($A2371,Games!$A$2:$A$18,Games!$F$2:$F$18,"Missing game",0)</x:f>
        <x:v>Sunday</x:v>
      </x:c>
      <x:c r="AL2371" t="str">
        <x:f>_xlfn.XLOOKUP($A2371,Games!$A$2:$A$18,Games!$G$2:$G$18,"Missing game",0)</x:f>
        <x:v>MIN</x:v>
      </x:c>
      <x:c r="AM2371" t="n">
        <x:f>_xlfn.XLOOKUP($A2371,Games!$A$2:$A$18,Games!$H$2:$H$18,"Missing game",0)</x:f>
        <x:v>16</x:v>
      </x:c>
      <x:c r="AN2371" t="str">
        <x:f>_xlfn.XLOOKUP($A2371,Games!$A$2:$A$18,Games!$I$2:$I$18,"Missing game",0)</x:f>
        <x:v>NYG</x:v>
      </x:c>
      <x:c r="AO2371" t="n">
        <x:f>_xlfn.XLOOKUP($A2371,Games!$A$2:$A$18,Games!$J$2:$J$18,"Missing game",0)</x:f>
        <x:v>13</x:v>
      </x:c>
      <x:c r="AP2371" t="n">
        <x:f>_xlfn.XLOOKUP($A2371,Games!$A$2:$A$18,Games!$K$2:$K$18,"Missing game",0)</x:f>
        <x:v>-3</x:v>
      </x:c>
      <x:c r="AQ2371" t="n">
        <x:f>_xlfn.XLOOKUP($A2371,Games!$A$2:$A$18,Games!$L$2:$L$18,"Missing game",0)</x:f>
        <x:v>29</x:v>
      </x:c>
      <x:c r="AR2371" t="n">
        <x:f>_xlfn.XLOOKUP($A2371,Games!$A$2:$A$18,Games!$M$2:$M$18,"Missing game",0)</x:f>
        <x:v>0</x:v>
      </x:c>
      <x:c r="AS2371" t="str">
        <x:f>_xlfn.XLOOKUP($A2371,Games!$A$2:$A$18,Games!$N$2:$N$18,"Missing game",0)</x:f>
        <x:v>outdoors</x:v>
      </x:c>
      <x:c r="AT2371" t="str">
        <x:f>_xlfn.XLOOKUP($A2371,Games!$A$2:$A$18,Games!$O$2:$O$18,"Missing game",0)</x:f>
        <x:v>fieldturf</x:v>
      </x:c>
      <x:c r="AU2371" t="n">
        <x:f>_xlfn.XLOOKUP($A2371,Games!$A$2:$A$18,Games!$P$2:$P$18,"Missing game",0)</x:f>
        <x:v>46</x:v>
      </x:c>
      <x:c r="AV2371" t="n">
        <x:f>_xlfn.XLOOKUP($A2371,Games!$A$2:$A$18,Games!$Q$2:$Q$18,"Missing game",0)</x:f>
        <x:v>20</x:v>
      </x:c>
      <x:c r="AW2371" t="str">
        <x:f>_xlfn.XLOOKUP($A2371,Games!$A$2:$A$18,Games!$R$2:$R$18,"Missing game",0)</x:f>
        <x:v>MetLife Stadium</x:v>
      </x:c>
    </x:row>
    <x:row r="2372">
      <x:c r="A2372" t="str">
        <x:v>2025_16_MIN_NYG</x:v>
      </x:c>
      <x:c r="B2372" t="n">
        <x:v>1237</x:v>
      </x:c>
      <x:c r="C2372" t="n">
        <x:v>2</x:v>
      </x:c>
      <x:c r="D2372" t="str">
        <x:v>08:19</x:v>
      </x:c>
      <x:c r="E2372" t="n">
        <x:v>3</x:v>
      </x:c>
      <x:c r="F2372" t="n">
        <x:v>10</x:v>
      </x:c>
      <x:c r="G2372" t="str">
        <x:v>MIN</x:v>
      </x:c>
      <x:c r="H2372" t="str">
        <x:v>NYG</x:v>
      </x:c>
      <x:c r="I2372" t="str">
        <x:v>MIN</x:v>
      </x:c>
      <x:c r="J2372" t="n">
        <x:v>56</x:v>
      </x:c>
      <x:c r="K2372" t="str">
        <x:v>(8:19) (Shotgun) PENALTY on MIN, Delay of Game, 5 yards, enforced at MIN 44 - No Play.</x:v>
      </x:c>
      <x:c r="L2372" t="str">
        <x:v>no_play</x:v>
      </x:c>
      <x:c r="M2372" t="n">
        <x:v>0</x:v>
      </x:c>
      <x:c r="N2372" t="n">
        <x:v>1</x:v>
      </x:c>
      <x:c r="O2372" t="n">
        <x:v>0</x:v>
      </x:c>
      <x:c r="P2372"/>
      <x:c r="Q2372"/>
      <x:c r="R2372"/>
      <x:c r="S2372"/>
      <x:c r="T2372"/>
      <x:c r="U2372"/>
      <x:c r="V2372" t="n">
        <x:v>0</x:v>
      </x:c>
      <x:c r="W2372" t="n">
        <x:v>0</x:v>
      </x:c>
      <x:c r="X2372" t="n">
        <x:v>0</x:v>
      </x:c>
      <x:c r="Y2372" t="n">
        <x:v>0</x:v>
      </x:c>
      <x:c r="Z2372" t="n">
        <x:v>0</x:v>
      </x:c>
      <x:c r="AA2372" t="n">
        <x:v>1</x:v>
      </x:c>
      <x:c r="AB2372" t="n">
        <x:v>5</x:v>
      </x:c>
      <x:c r="AC2372" t="n">
        <x:v>0</x:v>
      </x:c>
      <x:c r="AD2372" t="n">
        <x:v>-0.675037216860801</x:v>
      </x:c>
      <x:c r="AE2372" t="n">
        <x:v>0</x:v>
      </x:c>
      <x:c r="AF2372" t="n">
        <x:v>-0.021346747875213623</x:v>
      </x:c>
      <x:c r="AG2372" t="n">
        <x:f>_xlfn.XLOOKUP($A2372,Games!$A$2:$A$18,Games!$B$2:$B$18,"Missing game",0)</x:f>
        <x:v>2025</x:v>
      </x:c>
      <x:c r="AH2372" t="str">
        <x:f>_xlfn.XLOOKUP($A2372,Games!$A$2:$A$18,Games!$C$2:$C$18,"Missing game",0)</x:f>
        <x:v>REG</x:v>
      </x:c>
      <x:c r="AI2372" t="n">
        <x:f>_xlfn.XLOOKUP($A2372,Games!$A$2:$A$18,Games!$D$2:$D$18,"Missing game",0)</x:f>
        <x:v>16</x:v>
      </x:c>
      <x:c r="AJ2372" s="1" t="n">
        <x:f>_xlfn.XLOOKUP($A2372,Games!$A$2:$A$18,Games!$E$2:$E$18,"Missing game",0)</x:f>
        <x:v>46012</x:v>
      </x:c>
      <x:c r="AK2372" t="str">
        <x:f>_xlfn.XLOOKUP($A2372,Games!$A$2:$A$18,Games!$F$2:$F$18,"Missing game",0)</x:f>
        <x:v>Sunday</x:v>
      </x:c>
      <x:c r="AL2372" t="str">
        <x:f>_xlfn.XLOOKUP($A2372,Games!$A$2:$A$18,Games!$G$2:$G$18,"Missing game",0)</x:f>
        <x:v>MIN</x:v>
      </x:c>
      <x:c r="AM2372" t="n">
        <x:f>_xlfn.XLOOKUP($A2372,Games!$A$2:$A$18,Games!$H$2:$H$18,"Missing game",0)</x:f>
        <x:v>16</x:v>
      </x:c>
      <x:c r="AN2372" t="str">
        <x:f>_xlfn.XLOOKUP($A2372,Games!$A$2:$A$18,Games!$I$2:$I$18,"Missing game",0)</x:f>
        <x:v>NYG</x:v>
      </x:c>
      <x:c r="AO2372" t="n">
        <x:f>_xlfn.XLOOKUP($A2372,Games!$A$2:$A$18,Games!$J$2:$J$18,"Missing game",0)</x:f>
        <x:v>13</x:v>
      </x:c>
      <x:c r="AP2372" t="n">
        <x:f>_xlfn.XLOOKUP($A2372,Games!$A$2:$A$18,Games!$K$2:$K$18,"Missing game",0)</x:f>
        <x:v>-3</x:v>
      </x:c>
      <x:c r="AQ2372" t="n">
        <x:f>_xlfn.XLOOKUP($A2372,Games!$A$2:$A$18,Games!$L$2:$L$18,"Missing game",0)</x:f>
        <x:v>29</x:v>
      </x:c>
      <x:c r="AR2372" t="n">
        <x:f>_xlfn.XLOOKUP($A2372,Games!$A$2:$A$18,Games!$M$2:$M$18,"Missing game",0)</x:f>
        <x:v>0</x:v>
      </x:c>
      <x:c r="AS2372" t="str">
        <x:f>_xlfn.XLOOKUP($A2372,Games!$A$2:$A$18,Games!$N$2:$N$18,"Missing game",0)</x:f>
        <x:v>outdoors</x:v>
      </x:c>
      <x:c r="AT2372" t="str">
        <x:f>_xlfn.XLOOKUP($A2372,Games!$A$2:$A$18,Games!$O$2:$O$18,"Missing game",0)</x:f>
        <x:v>fieldturf</x:v>
      </x:c>
      <x:c r="AU2372" t="n">
        <x:f>_xlfn.XLOOKUP($A2372,Games!$A$2:$A$18,Games!$P$2:$P$18,"Missing game",0)</x:f>
        <x:v>46</x:v>
      </x:c>
      <x:c r="AV2372" t="n">
        <x:f>_xlfn.XLOOKUP($A2372,Games!$A$2:$A$18,Games!$Q$2:$Q$18,"Missing game",0)</x:f>
        <x:v>20</x:v>
      </x:c>
      <x:c r="AW2372" t="str">
        <x:f>_xlfn.XLOOKUP($A2372,Games!$A$2:$A$18,Games!$R$2:$R$18,"Missing game",0)</x:f>
        <x:v>MetLife Stadium</x:v>
      </x:c>
    </x:row>
    <x:row r="2373">
      <x:c r="A2373" t="str">
        <x:v>2025_16_MIN_NYG</x:v>
      </x:c>
      <x:c r="B2373" t="n">
        <x:v>1261</x:v>
      </x:c>
      <x:c r="C2373" t="n">
        <x:v>2</x:v>
      </x:c>
      <x:c r="D2373" t="str">
        <x:v>08:09</x:v>
      </x:c>
      <x:c r="E2373" t="n">
        <x:v>3</x:v>
      </x:c>
      <x:c r="F2373" t="n">
        <x:v>15</x:v>
      </x:c>
      <x:c r="G2373" t="str">
        <x:v>MIN</x:v>
      </x:c>
      <x:c r="H2373" t="str">
        <x:v>NYG</x:v>
      </x:c>
      <x:c r="I2373" t="str">
        <x:v>MIN</x:v>
      </x:c>
      <x:c r="J2373" t="n">
        <x:v>61</x:v>
      </x:c>
      <x:c r="K2373" t="str">
        <x:v>(8:09) (Shotgun) 9-J.McCarthy pass short middle to 18-J.Jefferson to NYG 47 for 14 yards (27-T.Nubin).</x:v>
      </x:c>
      <x:c r="L2373" t="str">
        <x:v>pass</x:v>
      </x:c>
      <x:c r="M2373" t="n">
        <x:v>14</x:v>
      </x:c>
      <x:c r="N2373" t="n">
        <x:v>1</x:v>
      </x:c>
      <x:c r="O2373" t="n">
        <x:v>0</x:v>
      </x:c>
      <x:c r="P2373" t="str">
        <x:v>short</x:v>
      </x:c>
      <x:c r="Q2373" t="str">
        <x:v>middle</x:v>
      </x:c>
      <x:c r="R2373" t="n">
        <x:v>6</x:v>
      </x:c>
      <x:c r="S2373" t="n">
        <x:v>8</x:v>
      </x:c>
      <x:c r="T2373"/>
      <x:c r="U2373"/>
      <x:c r="V2373" t="n">
        <x:v>1</x:v>
      </x:c>
      <x:c r="W2373" t="n">
        <x:v>0</x:v>
      </x:c>
      <x:c r="X2373" t="n">
        <x:v>0</x:v>
      </x:c>
      <x:c r="Y2373" t="n">
        <x:v>0</x:v>
      </x:c>
      <x:c r="Z2373" t="n">
        <x:v>0</x:v>
      </x:c>
      <x:c r="AA2373" t="n">
        <x:v>0</x:v>
      </x:c>
      <x:c r="AB2373"/>
      <x:c r="AC2373" t="n">
        <x:v>0</x:v>
      </x:c>
      <x:c r="AD2373" t="n">
        <x:v>0.4256544033996761</x:v>
      </x:c>
      <x:c r="AE2373" t="n">
        <x:v>1</x:v>
      </x:c>
      <x:c r="AF2373" t="n">
        <x:v>0.02810448408126831</x:v>
      </x:c>
      <x:c r="AG2373" t="n">
        <x:f>_xlfn.XLOOKUP($A2373,Games!$A$2:$A$18,Games!$B$2:$B$18,"Missing game",0)</x:f>
        <x:v>2025</x:v>
      </x:c>
      <x:c r="AH2373" t="str">
        <x:f>_xlfn.XLOOKUP($A2373,Games!$A$2:$A$18,Games!$C$2:$C$18,"Missing game",0)</x:f>
        <x:v>REG</x:v>
      </x:c>
      <x:c r="AI2373" t="n">
        <x:f>_xlfn.XLOOKUP($A2373,Games!$A$2:$A$18,Games!$D$2:$D$18,"Missing game",0)</x:f>
        <x:v>16</x:v>
      </x:c>
      <x:c r="AJ2373" s="1" t="n">
        <x:f>_xlfn.XLOOKUP($A2373,Games!$A$2:$A$18,Games!$E$2:$E$18,"Missing game",0)</x:f>
        <x:v>46012</x:v>
      </x:c>
      <x:c r="AK2373" t="str">
        <x:f>_xlfn.XLOOKUP($A2373,Games!$A$2:$A$18,Games!$F$2:$F$18,"Missing game",0)</x:f>
        <x:v>Sunday</x:v>
      </x:c>
      <x:c r="AL2373" t="str">
        <x:f>_xlfn.XLOOKUP($A2373,Games!$A$2:$A$18,Games!$G$2:$G$18,"Missing game",0)</x:f>
        <x:v>MIN</x:v>
      </x:c>
      <x:c r="AM2373" t="n">
        <x:f>_xlfn.XLOOKUP($A2373,Games!$A$2:$A$18,Games!$H$2:$H$18,"Missing game",0)</x:f>
        <x:v>16</x:v>
      </x:c>
      <x:c r="AN2373" t="str">
        <x:f>_xlfn.XLOOKUP($A2373,Games!$A$2:$A$18,Games!$I$2:$I$18,"Missing game",0)</x:f>
        <x:v>NYG</x:v>
      </x:c>
      <x:c r="AO2373" t="n">
        <x:f>_xlfn.XLOOKUP($A2373,Games!$A$2:$A$18,Games!$J$2:$J$18,"Missing game",0)</x:f>
        <x:v>13</x:v>
      </x:c>
      <x:c r="AP2373" t="n">
        <x:f>_xlfn.XLOOKUP($A2373,Games!$A$2:$A$18,Games!$K$2:$K$18,"Missing game",0)</x:f>
        <x:v>-3</x:v>
      </x:c>
      <x:c r="AQ2373" t="n">
        <x:f>_xlfn.XLOOKUP($A2373,Games!$A$2:$A$18,Games!$L$2:$L$18,"Missing game",0)</x:f>
        <x:v>29</x:v>
      </x:c>
      <x:c r="AR2373" t="n">
        <x:f>_xlfn.XLOOKUP($A2373,Games!$A$2:$A$18,Games!$M$2:$M$18,"Missing game",0)</x:f>
        <x:v>0</x:v>
      </x:c>
      <x:c r="AS2373" t="str">
        <x:f>_xlfn.XLOOKUP($A2373,Games!$A$2:$A$18,Games!$N$2:$N$18,"Missing game",0)</x:f>
        <x:v>outdoors</x:v>
      </x:c>
      <x:c r="AT2373" t="str">
        <x:f>_xlfn.XLOOKUP($A2373,Games!$A$2:$A$18,Games!$O$2:$O$18,"Missing game",0)</x:f>
        <x:v>fieldturf</x:v>
      </x:c>
      <x:c r="AU2373" t="n">
        <x:f>_xlfn.XLOOKUP($A2373,Games!$A$2:$A$18,Games!$P$2:$P$18,"Missing game",0)</x:f>
        <x:v>46</x:v>
      </x:c>
      <x:c r="AV2373" t="n">
        <x:f>_xlfn.XLOOKUP($A2373,Games!$A$2:$A$18,Games!$Q$2:$Q$18,"Missing game",0)</x:f>
        <x:v>20</x:v>
      </x:c>
      <x:c r="AW2373" t="str">
        <x:f>_xlfn.XLOOKUP($A2373,Games!$A$2:$A$18,Games!$R$2:$R$18,"Missing game",0)</x:f>
        <x:v>MetLife Stadium</x:v>
      </x:c>
    </x:row>
    <x:row r="2374">
      <x:c r="A2374" t="str">
        <x:v>2025_16_MIN_NYG</x:v>
      </x:c>
      <x:c r="B2374" t="n">
        <x:v>1286</x:v>
      </x:c>
      <x:c r="C2374" t="n">
        <x:v>2</x:v>
      </x:c>
      <x:c r="D2374" t="str">
        <x:v>07:28</x:v>
      </x:c>
      <x:c r="E2374" t="n">
        <x:v>4</x:v>
      </x:c>
      <x:c r="F2374" t="n">
        <x:v>1</x:v>
      </x:c>
      <x:c r="G2374" t="str">
        <x:v>MIN</x:v>
      </x:c>
      <x:c r="H2374" t="str">
        <x:v>NYG</x:v>
      </x:c>
      <x:c r="I2374" t="str">
        <x:v>NYG</x:v>
      </x:c>
      <x:c r="J2374" t="n">
        <x:v>47</x:v>
      </x:c>
      <x:c r="K2374" t="str">
        <x:v>(7:28) (Shotgun) 33-A.Jones up the middle to NYG 44 for 3 yards (22-A.Phillips). MIN-78-R.Kelly was injured during the play. PENALTY on NYG-22-A.Phillips, Unnecessary Roughness, 15 yards, enforced at NYG 44.</x:v>
      </x:c>
      <x:c r="L2374" t="str">
        <x:v>run</x:v>
      </x:c>
      <x:c r="M2374" t="n">
        <x:v>3</x:v>
      </x:c>
      <x:c r="N2374" t="n">
        <x:v>1</x:v>
      </x:c>
      <x:c r="O2374" t="n">
        <x:v>0</x:v>
      </x:c>
      <x:c r="P2374"/>
      <x:c r="Q2374"/>
      <x:c r="R2374"/>
      <x:c r="S2374"/>
      <x:c r="T2374" t="str">
        <x:v>middle</x:v>
      </x:c>
      <x:c r="U2374"/>
      <x:c r="V2374" t="n">
        <x:v>0</x:v>
      </x:c>
      <x:c r="W2374" t="n">
        <x:v>1</x:v>
      </x:c>
      <x:c r="X2374" t="n">
        <x:v>0</x:v>
      </x:c>
      <x:c r="Y2374" t="n">
        <x:v>0</x:v>
      </x:c>
      <x:c r="Z2374" t="n">
        <x:v>0</x:v>
      </x:c>
      <x:c r="AA2374" t="n">
        <x:v>1</x:v>
      </x:c>
      <x:c r="AB2374" t="n">
        <x:v>15</x:v>
      </x:c>
      <x:c r="AC2374" t="n">
        <x:v>0</x:v>
      </x:c>
      <x:c r="AD2374" t="n">
        <x:v>3.152959938161075</x:v>
      </x:c>
      <x:c r="AE2374" t="n">
        <x:v>1</x:v>
      </x:c>
      <x:c r="AF2374" t="n">
        <x:v>0.12946763634681702</x:v>
      </x:c>
      <x:c r="AG2374" t="n">
        <x:f>_xlfn.XLOOKUP($A2374,Games!$A$2:$A$18,Games!$B$2:$B$18,"Missing game",0)</x:f>
        <x:v>2025</x:v>
      </x:c>
      <x:c r="AH2374" t="str">
        <x:f>_xlfn.XLOOKUP($A2374,Games!$A$2:$A$18,Games!$C$2:$C$18,"Missing game",0)</x:f>
        <x:v>REG</x:v>
      </x:c>
      <x:c r="AI2374" t="n">
        <x:f>_xlfn.XLOOKUP($A2374,Games!$A$2:$A$18,Games!$D$2:$D$18,"Missing game",0)</x:f>
        <x:v>16</x:v>
      </x:c>
      <x:c r="AJ2374" s="1" t="n">
        <x:f>_xlfn.XLOOKUP($A2374,Games!$A$2:$A$18,Games!$E$2:$E$18,"Missing game",0)</x:f>
        <x:v>46012</x:v>
      </x:c>
      <x:c r="AK2374" t="str">
        <x:f>_xlfn.XLOOKUP($A2374,Games!$A$2:$A$18,Games!$F$2:$F$18,"Missing game",0)</x:f>
        <x:v>Sunday</x:v>
      </x:c>
      <x:c r="AL2374" t="str">
        <x:f>_xlfn.XLOOKUP($A2374,Games!$A$2:$A$18,Games!$G$2:$G$18,"Missing game",0)</x:f>
        <x:v>MIN</x:v>
      </x:c>
      <x:c r="AM2374" t="n">
        <x:f>_xlfn.XLOOKUP($A2374,Games!$A$2:$A$18,Games!$H$2:$H$18,"Missing game",0)</x:f>
        <x:v>16</x:v>
      </x:c>
      <x:c r="AN2374" t="str">
        <x:f>_xlfn.XLOOKUP($A2374,Games!$A$2:$A$18,Games!$I$2:$I$18,"Missing game",0)</x:f>
        <x:v>NYG</x:v>
      </x:c>
      <x:c r="AO2374" t="n">
        <x:f>_xlfn.XLOOKUP($A2374,Games!$A$2:$A$18,Games!$J$2:$J$18,"Missing game",0)</x:f>
        <x:v>13</x:v>
      </x:c>
      <x:c r="AP2374" t="n">
        <x:f>_xlfn.XLOOKUP($A2374,Games!$A$2:$A$18,Games!$K$2:$K$18,"Missing game",0)</x:f>
        <x:v>-3</x:v>
      </x:c>
      <x:c r="AQ2374" t="n">
        <x:f>_xlfn.XLOOKUP($A2374,Games!$A$2:$A$18,Games!$L$2:$L$18,"Missing game",0)</x:f>
        <x:v>29</x:v>
      </x:c>
      <x:c r="AR2374" t="n">
        <x:f>_xlfn.XLOOKUP($A2374,Games!$A$2:$A$18,Games!$M$2:$M$18,"Missing game",0)</x:f>
        <x:v>0</x:v>
      </x:c>
      <x:c r="AS2374" t="str">
        <x:f>_xlfn.XLOOKUP($A2374,Games!$A$2:$A$18,Games!$N$2:$N$18,"Missing game",0)</x:f>
        <x:v>outdoors</x:v>
      </x:c>
      <x:c r="AT2374" t="str">
        <x:f>_xlfn.XLOOKUP($A2374,Games!$A$2:$A$18,Games!$O$2:$O$18,"Missing game",0)</x:f>
        <x:v>fieldturf</x:v>
      </x:c>
      <x:c r="AU2374" t="n">
        <x:f>_xlfn.XLOOKUP($A2374,Games!$A$2:$A$18,Games!$P$2:$P$18,"Missing game",0)</x:f>
        <x:v>46</x:v>
      </x:c>
      <x:c r="AV2374" t="n">
        <x:f>_xlfn.XLOOKUP($A2374,Games!$A$2:$A$18,Games!$Q$2:$Q$18,"Missing game",0)</x:f>
        <x:v>20</x:v>
      </x:c>
      <x:c r="AW2374" t="str">
        <x:f>_xlfn.XLOOKUP($A2374,Games!$A$2:$A$18,Games!$R$2:$R$18,"Missing game",0)</x:f>
        <x:v>MetLife Stadium</x:v>
      </x:c>
    </x:row>
    <x:row r="2375">
      <x:c r="A2375" t="str">
        <x:v>2025_16_MIN_NYG</x:v>
      </x:c>
      <x:c r="B2375" t="n">
        <x:v>1322</x:v>
      </x:c>
      <x:c r="C2375" t="n">
        <x:v>2</x:v>
      </x:c>
      <x:c r="D2375" t="str">
        <x:v>07:05</x:v>
      </x:c>
      <x:c r="E2375" t="n">
        <x:v>1</x:v>
      </x:c>
      <x:c r="F2375" t="n">
        <x:v>10</x:v>
      </x:c>
      <x:c r="G2375" t="str">
        <x:v>MIN</x:v>
      </x:c>
      <x:c r="H2375" t="str">
        <x:v>NYG</x:v>
      </x:c>
      <x:c r="I2375" t="str">
        <x:v>NYG</x:v>
      </x:c>
      <x:c r="J2375" t="n">
        <x:v>29</x:v>
      </x:c>
      <x:c r="K2375" t="str">
        <x:v>(7:05) 9-J.McCarthy pass deep left to 3-J.Addison to NYG 9 for 20 yards (24-D.Belton).</x:v>
      </x:c>
      <x:c r="L2375" t="str">
        <x:v>pass</x:v>
      </x:c>
      <x:c r="M2375" t="n">
        <x:v>20</x:v>
      </x:c>
      <x:c r="N2375" t="n">
        <x:v>0</x:v>
      </x:c>
      <x:c r="O2375" t="n">
        <x:v>0</x:v>
      </x:c>
      <x:c r="P2375" t="str">
        <x:v>deep</x:v>
      </x:c>
      <x:c r="Q2375" t="str">
        <x:v>left</x:v>
      </x:c>
      <x:c r="R2375" t="n">
        <x:v>19</x:v>
      </x:c>
      <x:c r="S2375" t="n">
        <x:v>1</x:v>
      </x:c>
      <x:c r="T2375"/>
      <x:c r="U2375"/>
      <x:c r="V2375" t="n">
        <x:v>1</x:v>
      </x:c>
      <x:c r="W2375" t="n">
        <x:v>1</x:v>
      </x:c>
      <x:c r="X2375" t="n">
        <x:v>0</x:v>
      </x:c>
      <x:c r="Y2375" t="n">
        <x:v>0</x:v>
      </x:c>
      <x:c r="Z2375" t="n">
        <x:v>0</x:v>
      </x:c>
      <x:c r="AA2375" t="n">
        <x:v>0</x:v>
      </x:c>
      <x:c r="AB2375"/>
      <x:c r="AC2375" t="n">
        <x:v>0</x:v>
      </x:c>
      <x:c r="AD2375" t="n">
        <x:v>1.1388693952467293</x:v>
      </x:c>
      <x:c r="AE2375" t="n">
        <x:v>1</x:v>
      </x:c>
      <x:c r="AF2375" t="n">
        <x:v>0.04098445177078247</x:v>
      </x:c>
      <x:c r="AG2375" t="n">
        <x:f>_xlfn.XLOOKUP($A2375,Games!$A$2:$A$18,Games!$B$2:$B$18,"Missing game",0)</x:f>
        <x:v>2025</x:v>
      </x:c>
      <x:c r="AH2375" t="str">
        <x:f>_xlfn.XLOOKUP($A2375,Games!$A$2:$A$18,Games!$C$2:$C$18,"Missing game",0)</x:f>
        <x:v>REG</x:v>
      </x:c>
      <x:c r="AI2375" t="n">
        <x:f>_xlfn.XLOOKUP($A2375,Games!$A$2:$A$18,Games!$D$2:$D$18,"Missing game",0)</x:f>
        <x:v>16</x:v>
      </x:c>
      <x:c r="AJ2375" s="1" t="n">
        <x:f>_xlfn.XLOOKUP($A2375,Games!$A$2:$A$18,Games!$E$2:$E$18,"Missing game",0)</x:f>
        <x:v>46012</x:v>
      </x:c>
      <x:c r="AK2375" t="str">
        <x:f>_xlfn.XLOOKUP($A2375,Games!$A$2:$A$18,Games!$F$2:$F$18,"Missing game",0)</x:f>
        <x:v>Sunday</x:v>
      </x:c>
      <x:c r="AL2375" t="str">
        <x:f>_xlfn.XLOOKUP($A2375,Games!$A$2:$A$18,Games!$G$2:$G$18,"Missing game",0)</x:f>
        <x:v>MIN</x:v>
      </x:c>
      <x:c r="AM2375" t="n">
        <x:f>_xlfn.XLOOKUP($A2375,Games!$A$2:$A$18,Games!$H$2:$H$18,"Missing game",0)</x:f>
        <x:v>16</x:v>
      </x:c>
      <x:c r="AN2375" t="str">
        <x:f>_xlfn.XLOOKUP($A2375,Games!$A$2:$A$18,Games!$I$2:$I$18,"Missing game",0)</x:f>
        <x:v>NYG</x:v>
      </x:c>
      <x:c r="AO2375" t="n">
        <x:f>_xlfn.XLOOKUP($A2375,Games!$A$2:$A$18,Games!$J$2:$J$18,"Missing game",0)</x:f>
        <x:v>13</x:v>
      </x:c>
      <x:c r="AP2375" t="n">
        <x:f>_xlfn.XLOOKUP($A2375,Games!$A$2:$A$18,Games!$K$2:$K$18,"Missing game",0)</x:f>
        <x:v>-3</x:v>
      </x:c>
      <x:c r="AQ2375" t="n">
        <x:f>_xlfn.XLOOKUP($A2375,Games!$A$2:$A$18,Games!$L$2:$L$18,"Missing game",0)</x:f>
        <x:v>29</x:v>
      </x:c>
      <x:c r="AR2375" t="n">
        <x:f>_xlfn.XLOOKUP($A2375,Games!$A$2:$A$18,Games!$M$2:$M$18,"Missing game",0)</x:f>
        <x:v>0</x:v>
      </x:c>
      <x:c r="AS2375" t="str">
        <x:f>_xlfn.XLOOKUP($A2375,Games!$A$2:$A$18,Games!$N$2:$N$18,"Missing game",0)</x:f>
        <x:v>outdoors</x:v>
      </x:c>
      <x:c r="AT2375" t="str">
        <x:f>_xlfn.XLOOKUP($A2375,Games!$A$2:$A$18,Games!$O$2:$O$18,"Missing game",0)</x:f>
        <x:v>fieldturf</x:v>
      </x:c>
      <x:c r="AU2375" t="n">
        <x:f>_xlfn.XLOOKUP($A2375,Games!$A$2:$A$18,Games!$P$2:$P$18,"Missing game",0)</x:f>
        <x:v>46</x:v>
      </x:c>
      <x:c r="AV2375" t="n">
        <x:f>_xlfn.XLOOKUP($A2375,Games!$A$2:$A$18,Games!$Q$2:$Q$18,"Missing game",0)</x:f>
        <x:v>20</x:v>
      </x:c>
      <x:c r="AW2375" t="str">
        <x:f>_xlfn.XLOOKUP($A2375,Games!$A$2:$A$18,Games!$R$2:$R$18,"Missing game",0)</x:f>
        <x:v>MetLife Stadium</x:v>
      </x:c>
    </x:row>
    <x:row r="2376">
      <x:c r="A2376" t="str">
        <x:v>2025_16_MIN_NYG</x:v>
      </x:c>
      <x:c r="B2376" t="n">
        <x:v>1354</x:v>
      </x:c>
      <x:c r="C2376" t="n">
        <x:v>2</x:v>
      </x:c>
      <x:c r="D2376" t="str">
        <x:v>06:18</x:v>
      </x:c>
      <x:c r="E2376" t="n">
        <x:v>1</x:v>
      </x:c>
      <x:c r="F2376" t="n">
        <x:v>9</x:v>
      </x:c>
      <x:c r="G2376" t="str">
        <x:v>MIN</x:v>
      </x:c>
      <x:c r="H2376" t="str">
        <x:v>NYG</x:v>
      </x:c>
      <x:c r="I2376" t="str">
        <x:v>NYG</x:v>
      </x:c>
      <x:c r="J2376" t="n">
        <x:v>9</x:v>
      </x:c>
      <x:c r="K2376" t="str">
        <x:v>(6:18) 33-A.Jones right tackle to NYG 8 for 1 yard (53-D.Muasau; 8-J.Holland).</x:v>
      </x:c>
      <x:c r="L2376" t="str">
        <x:v>run</x:v>
      </x:c>
      <x:c r="M2376" t="n">
        <x:v>1</x:v>
      </x:c>
      <x:c r="N2376" t="n">
        <x:v>0</x:v>
      </x:c>
      <x:c r="O2376" t="n">
        <x:v>0</x:v>
      </x:c>
      <x:c r="P2376"/>
      <x:c r="Q2376"/>
      <x:c r="R2376"/>
      <x:c r="S2376"/>
      <x:c r="T2376" t="str">
        <x:v>right</x:v>
      </x:c>
      <x:c r="U2376" t="str">
        <x:v>tackle</x:v>
      </x:c>
      <x:c r="V2376" t="n">
        <x:v>0</x:v>
      </x:c>
      <x:c r="W2376" t="n">
        <x:v>0</x:v>
      </x:c>
      <x:c r="X2376" t="n">
        <x:v>0</x:v>
      </x:c>
      <x:c r="Y2376" t="n">
        <x:v>0</x:v>
      </x:c>
      <x:c r="Z2376" t="n">
        <x:v>0</x:v>
      </x:c>
      <x:c r="AA2376" t="n">
        <x:v>0</x:v>
      </x:c>
      <x:c r="AB2376"/>
      <x:c r="AC2376" t="n">
        <x:v>0</x:v>
      </x:c>
      <x:c r="AD2376" t="n">
        <x:v>-0.37350520421750844</x:v>
      </x:c>
      <x:c r="AE2376" t="n">
        <x:v>0</x:v>
      </x:c>
      <x:c r="AF2376" t="n">
        <x:v>-0.01615917682647705</x:v>
      </x:c>
      <x:c r="AG2376" t="n">
        <x:f>_xlfn.XLOOKUP($A2376,Games!$A$2:$A$18,Games!$B$2:$B$18,"Missing game",0)</x:f>
        <x:v>2025</x:v>
      </x:c>
      <x:c r="AH2376" t="str">
        <x:f>_xlfn.XLOOKUP($A2376,Games!$A$2:$A$18,Games!$C$2:$C$18,"Missing game",0)</x:f>
        <x:v>REG</x:v>
      </x:c>
      <x:c r="AI2376" t="n">
        <x:f>_xlfn.XLOOKUP($A2376,Games!$A$2:$A$18,Games!$D$2:$D$18,"Missing game",0)</x:f>
        <x:v>16</x:v>
      </x:c>
      <x:c r="AJ2376" s="1" t="n">
        <x:f>_xlfn.XLOOKUP($A2376,Games!$A$2:$A$18,Games!$E$2:$E$18,"Missing game",0)</x:f>
        <x:v>46012</x:v>
      </x:c>
      <x:c r="AK2376" t="str">
        <x:f>_xlfn.XLOOKUP($A2376,Games!$A$2:$A$18,Games!$F$2:$F$18,"Missing game",0)</x:f>
        <x:v>Sunday</x:v>
      </x:c>
      <x:c r="AL2376" t="str">
        <x:f>_xlfn.XLOOKUP($A2376,Games!$A$2:$A$18,Games!$G$2:$G$18,"Missing game",0)</x:f>
        <x:v>MIN</x:v>
      </x:c>
      <x:c r="AM2376" t="n">
        <x:f>_xlfn.XLOOKUP($A2376,Games!$A$2:$A$18,Games!$H$2:$H$18,"Missing game",0)</x:f>
        <x:v>16</x:v>
      </x:c>
      <x:c r="AN2376" t="str">
        <x:f>_xlfn.XLOOKUP($A2376,Games!$A$2:$A$18,Games!$I$2:$I$18,"Missing game",0)</x:f>
        <x:v>NYG</x:v>
      </x:c>
      <x:c r="AO2376" t="n">
        <x:f>_xlfn.XLOOKUP($A2376,Games!$A$2:$A$18,Games!$J$2:$J$18,"Missing game",0)</x:f>
        <x:v>13</x:v>
      </x:c>
      <x:c r="AP2376" t="n">
        <x:f>_xlfn.XLOOKUP($A2376,Games!$A$2:$A$18,Games!$K$2:$K$18,"Missing game",0)</x:f>
        <x:v>-3</x:v>
      </x:c>
      <x:c r="AQ2376" t="n">
        <x:f>_xlfn.XLOOKUP($A2376,Games!$A$2:$A$18,Games!$L$2:$L$18,"Missing game",0)</x:f>
        <x:v>29</x:v>
      </x:c>
      <x:c r="AR2376" t="n">
        <x:f>_xlfn.XLOOKUP($A2376,Games!$A$2:$A$18,Games!$M$2:$M$18,"Missing game",0)</x:f>
        <x:v>0</x:v>
      </x:c>
      <x:c r="AS2376" t="str">
        <x:f>_xlfn.XLOOKUP($A2376,Games!$A$2:$A$18,Games!$N$2:$N$18,"Missing game",0)</x:f>
        <x:v>outdoors</x:v>
      </x:c>
      <x:c r="AT2376" t="str">
        <x:f>_xlfn.XLOOKUP($A2376,Games!$A$2:$A$18,Games!$O$2:$O$18,"Missing game",0)</x:f>
        <x:v>fieldturf</x:v>
      </x:c>
      <x:c r="AU2376" t="n">
        <x:f>_xlfn.XLOOKUP($A2376,Games!$A$2:$A$18,Games!$P$2:$P$18,"Missing game",0)</x:f>
        <x:v>46</x:v>
      </x:c>
      <x:c r="AV2376" t="n">
        <x:f>_xlfn.XLOOKUP($A2376,Games!$A$2:$A$18,Games!$Q$2:$Q$18,"Missing game",0)</x:f>
        <x:v>20</x:v>
      </x:c>
      <x:c r="AW2376" t="str">
        <x:f>_xlfn.XLOOKUP($A2376,Games!$A$2:$A$18,Games!$R$2:$R$18,"Missing game",0)</x:f>
        <x:v>MetLife Stadium</x:v>
      </x:c>
    </x:row>
    <x:row r="2377">
      <x:c r="A2377" t="str">
        <x:v>2025_16_MIN_NYG</x:v>
      </x:c>
      <x:c r="B2377" t="n">
        <x:v>1376</x:v>
      </x:c>
      <x:c r="C2377" t="n">
        <x:v>2</x:v>
      </x:c>
      <x:c r="D2377" t="str">
        <x:v>05:55</x:v>
      </x:c>
      <x:c r="E2377" t="n">
        <x:v>2</x:v>
      </x:c>
      <x:c r="F2377" t="n">
        <x:v>8</x:v>
      </x:c>
      <x:c r="G2377" t="str">
        <x:v>MIN</x:v>
      </x:c>
      <x:c r="H2377" t="str">
        <x:v>NYG</x:v>
      </x:c>
      <x:c r="I2377" t="str">
        <x:v>NYG</x:v>
      </x:c>
      <x:c r="J2377" t="n">
        <x:v>8</x:v>
      </x:c>
      <x:c r="K2377" t="str">
        <x:v>(5:55) (No Huddle, Shotgun) 9-J.McCarthy pass incomplete short middle to 18-J.Jefferson (58-B.Okereke) [95-R.Robertson-Harris].</x:v>
      </x:c>
      <x:c r="L2377" t="str">
        <x:v>pass</x:v>
      </x:c>
      <x:c r="M2377" t="n">
        <x:v>0</x:v>
      </x:c>
      <x:c r="N2377" t="n">
        <x:v>1</x:v>
      </x:c>
      <x:c r="O2377" t="n">
        <x:v>1</x:v>
      </x:c>
      <x:c r="P2377" t="str">
        <x:v>short</x:v>
      </x:c>
      <x:c r="Q2377" t="str">
        <x:v>middle</x:v>
      </x:c>
      <x:c r="R2377" t="n">
        <x:v>2</x:v>
      </x:c>
      <x:c r="S2377"/>
      <x:c r="T2377"/>
      <x:c r="U2377"/>
      <x:c r="V2377" t="n">
        <x:v>0</x:v>
      </x:c>
      <x:c r="W2377" t="n">
        <x:v>0</x:v>
      </x:c>
      <x:c r="X2377" t="n">
        <x:v>0</x:v>
      </x:c>
      <x:c r="Y2377" t="n">
        <x:v>0</x:v>
      </x:c>
      <x:c r="Z2377" t="n">
        <x:v>0</x:v>
      </x:c>
      <x:c r="AA2377" t="n">
        <x:v>0</x:v>
      </x:c>
      <x:c r="AB2377"/>
      <x:c r="AC2377" t="n">
        <x:v>0</x:v>
      </x:c>
      <x:c r="AD2377" t="n">
        <x:v>-0.8042171114939265</x:v>
      </x:c>
      <x:c r="AE2377" t="n">
        <x:v>0</x:v>
      </x:c>
      <x:c r="AF2377" t="n">
        <x:v>-0.02057337760925293</x:v>
      </x:c>
      <x:c r="AG2377" t="n">
        <x:f>_xlfn.XLOOKUP($A2377,Games!$A$2:$A$18,Games!$B$2:$B$18,"Missing game",0)</x:f>
        <x:v>2025</x:v>
      </x:c>
      <x:c r="AH2377" t="str">
        <x:f>_xlfn.XLOOKUP($A2377,Games!$A$2:$A$18,Games!$C$2:$C$18,"Missing game",0)</x:f>
        <x:v>REG</x:v>
      </x:c>
      <x:c r="AI2377" t="n">
        <x:f>_xlfn.XLOOKUP($A2377,Games!$A$2:$A$18,Games!$D$2:$D$18,"Missing game",0)</x:f>
        <x:v>16</x:v>
      </x:c>
      <x:c r="AJ2377" s="1" t="n">
        <x:f>_xlfn.XLOOKUP($A2377,Games!$A$2:$A$18,Games!$E$2:$E$18,"Missing game",0)</x:f>
        <x:v>46012</x:v>
      </x:c>
      <x:c r="AK2377" t="str">
        <x:f>_xlfn.XLOOKUP($A2377,Games!$A$2:$A$18,Games!$F$2:$F$18,"Missing game",0)</x:f>
        <x:v>Sunday</x:v>
      </x:c>
      <x:c r="AL2377" t="str">
        <x:f>_xlfn.XLOOKUP($A2377,Games!$A$2:$A$18,Games!$G$2:$G$18,"Missing game",0)</x:f>
        <x:v>MIN</x:v>
      </x:c>
      <x:c r="AM2377" t="n">
        <x:f>_xlfn.XLOOKUP($A2377,Games!$A$2:$A$18,Games!$H$2:$H$18,"Missing game",0)</x:f>
        <x:v>16</x:v>
      </x:c>
      <x:c r="AN2377" t="str">
        <x:f>_xlfn.XLOOKUP($A2377,Games!$A$2:$A$18,Games!$I$2:$I$18,"Missing game",0)</x:f>
        <x:v>NYG</x:v>
      </x:c>
      <x:c r="AO2377" t="n">
        <x:f>_xlfn.XLOOKUP($A2377,Games!$A$2:$A$18,Games!$J$2:$J$18,"Missing game",0)</x:f>
        <x:v>13</x:v>
      </x:c>
      <x:c r="AP2377" t="n">
        <x:f>_xlfn.XLOOKUP($A2377,Games!$A$2:$A$18,Games!$K$2:$K$18,"Missing game",0)</x:f>
        <x:v>-3</x:v>
      </x:c>
      <x:c r="AQ2377" t="n">
        <x:f>_xlfn.XLOOKUP($A2377,Games!$A$2:$A$18,Games!$L$2:$L$18,"Missing game",0)</x:f>
        <x:v>29</x:v>
      </x:c>
      <x:c r="AR2377" t="n">
        <x:f>_xlfn.XLOOKUP($A2377,Games!$A$2:$A$18,Games!$M$2:$M$18,"Missing game",0)</x:f>
        <x:v>0</x:v>
      </x:c>
      <x:c r="AS2377" t="str">
        <x:f>_xlfn.XLOOKUP($A2377,Games!$A$2:$A$18,Games!$N$2:$N$18,"Missing game",0)</x:f>
        <x:v>outdoors</x:v>
      </x:c>
      <x:c r="AT2377" t="str">
        <x:f>_xlfn.XLOOKUP($A2377,Games!$A$2:$A$18,Games!$O$2:$O$18,"Missing game",0)</x:f>
        <x:v>fieldturf</x:v>
      </x:c>
      <x:c r="AU2377" t="n">
        <x:f>_xlfn.XLOOKUP($A2377,Games!$A$2:$A$18,Games!$P$2:$P$18,"Missing game",0)</x:f>
        <x:v>46</x:v>
      </x:c>
      <x:c r="AV2377" t="n">
        <x:f>_xlfn.XLOOKUP($A2377,Games!$A$2:$A$18,Games!$Q$2:$Q$18,"Missing game",0)</x:f>
        <x:v>20</x:v>
      </x:c>
      <x:c r="AW2377" t="str">
        <x:f>_xlfn.XLOOKUP($A2377,Games!$A$2:$A$18,Games!$R$2:$R$18,"Missing game",0)</x:f>
        <x:v>MetLife Stadium</x:v>
      </x:c>
    </x:row>
    <x:row r="2378">
      <x:c r="A2378" t="str">
        <x:v>2025_16_MIN_NYG</x:v>
      </x:c>
      <x:c r="B2378" t="n">
        <x:v>1399</x:v>
      </x:c>
      <x:c r="C2378" t="n">
        <x:v>2</x:v>
      </x:c>
      <x:c r="D2378" t="str">
        <x:v>05:51</x:v>
      </x:c>
      <x:c r="E2378" t="n">
        <x:v>3</x:v>
      </x:c>
      <x:c r="F2378" t="n">
        <x:v>8</x:v>
      </x:c>
      <x:c r="G2378" t="str">
        <x:v>MIN</x:v>
      </x:c>
      <x:c r="H2378" t="str">
        <x:v>NYG</x:v>
      </x:c>
      <x:c r="I2378" t="str">
        <x:v>NYG</x:v>
      </x:c>
      <x:c r="J2378" t="n">
        <x:v>8</x:v>
      </x:c>
      <x:c r="K2378" t="str">
        <x:v>(5:51) (Shotgun) 9-J.McCarthy pass short right intended for 1-J.Nailor INTERCEPTED by 8-J.Holland at NYG 4. 8-J.Holland for 96 yards, TOUCHDOWN NULLIFIED by Penalty. PENALTY on NYG-51-A.Carter, Defensive Offside, 4 yards, enforced at NYG 8 - No Play.</x:v>
      </x:c>
      <x:c r="L2378" t="str">
        <x:v>no_play</x:v>
      </x:c>
      <x:c r="M2378" t="n">
        <x:v>0</x:v>
      </x:c>
      <x:c r="N2378" t="n">
        <x:v>1</x:v>
      </x:c>
      <x:c r="O2378" t="n">
        <x:v>0</x:v>
      </x:c>
      <x:c r="P2378"/>
      <x:c r="Q2378"/>
      <x:c r="R2378"/>
      <x:c r="S2378"/>
      <x:c r="T2378"/>
      <x:c r="U2378"/>
      <x:c r="V2378" t="n">
        <x:v>0</x:v>
      </x:c>
      <x:c r="W2378" t="n">
        <x:v>0</x:v>
      </x:c>
      <x:c r="X2378" t="n">
        <x:v>0</x:v>
      </x:c>
      <x:c r="Y2378" t="n">
        <x:v>0</x:v>
      </x:c>
      <x:c r="Z2378" t="n">
        <x:v>0</x:v>
      </x:c>
      <x:c r="AA2378" t="n">
        <x:v>1</x:v>
      </x:c>
      <x:c r="AB2378" t="n">
        <x:v>4</x:v>
      </x:c>
      <x:c r="AC2378" t="n">
        <x:v>0</x:v>
      </x:c>
      <x:c r="AD2378" t="n">
        <x:v>0.5620522220851853</x:v>
      </x:c>
      <x:c r="AE2378" t="n">
        <x:v>1</x:v>
      </x:c>
      <x:c r="AF2378" t="n">
        <x:v>0.022784829139709473</x:v>
      </x:c>
      <x:c r="AG2378" t="n">
        <x:f>_xlfn.XLOOKUP($A2378,Games!$A$2:$A$18,Games!$B$2:$B$18,"Missing game",0)</x:f>
        <x:v>2025</x:v>
      </x:c>
      <x:c r="AH2378" t="str">
        <x:f>_xlfn.XLOOKUP($A2378,Games!$A$2:$A$18,Games!$C$2:$C$18,"Missing game",0)</x:f>
        <x:v>REG</x:v>
      </x:c>
      <x:c r="AI2378" t="n">
        <x:f>_xlfn.XLOOKUP($A2378,Games!$A$2:$A$18,Games!$D$2:$D$18,"Missing game",0)</x:f>
        <x:v>16</x:v>
      </x:c>
      <x:c r="AJ2378" s="1" t="n">
        <x:f>_xlfn.XLOOKUP($A2378,Games!$A$2:$A$18,Games!$E$2:$E$18,"Missing game",0)</x:f>
        <x:v>46012</x:v>
      </x:c>
      <x:c r="AK2378" t="str">
        <x:f>_xlfn.XLOOKUP($A2378,Games!$A$2:$A$18,Games!$F$2:$F$18,"Missing game",0)</x:f>
        <x:v>Sunday</x:v>
      </x:c>
      <x:c r="AL2378" t="str">
        <x:f>_xlfn.XLOOKUP($A2378,Games!$A$2:$A$18,Games!$G$2:$G$18,"Missing game",0)</x:f>
        <x:v>MIN</x:v>
      </x:c>
      <x:c r="AM2378" t="n">
        <x:f>_xlfn.XLOOKUP($A2378,Games!$A$2:$A$18,Games!$H$2:$H$18,"Missing game",0)</x:f>
        <x:v>16</x:v>
      </x:c>
      <x:c r="AN2378" t="str">
        <x:f>_xlfn.XLOOKUP($A2378,Games!$A$2:$A$18,Games!$I$2:$I$18,"Missing game",0)</x:f>
        <x:v>NYG</x:v>
      </x:c>
      <x:c r="AO2378" t="n">
        <x:f>_xlfn.XLOOKUP($A2378,Games!$A$2:$A$18,Games!$J$2:$J$18,"Missing game",0)</x:f>
        <x:v>13</x:v>
      </x:c>
      <x:c r="AP2378" t="n">
        <x:f>_xlfn.XLOOKUP($A2378,Games!$A$2:$A$18,Games!$K$2:$K$18,"Missing game",0)</x:f>
        <x:v>-3</x:v>
      </x:c>
      <x:c r="AQ2378" t="n">
        <x:f>_xlfn.XLOOKUP($A2378,Games!$A$2:$A$18,Games!$L$2:$L$18,"Missing game",0)</x:f>
        <x:v>29</x:v>
      </x:c>
      <x:c r="AR2378" t="n">
        <x:f>_xlfn.XLOOKUP($A2378,Games!$A$2:$A$18,Games!$M$2:$M$18,"Missing game",0)</x:f>
        <x:v>0</x:v>
      </x:c>
      <x:c r="AS2378" t="str">
        <x:f>_xlfn.XLOOKUP($A2378,Games!$A$2:$A$18,Games!$N$2:$N$18,"Missing game",0)</x:f>
        <x:v>outdoors</x:v>
      </x:c>
      <x:c r="AT2378" t="str">
        <x:f>_xlfn.XLOOKUP($A2378,Games!$A$2:$A$18,Games!$O$2:$O$18,"Missing game",0)</x:f>
        <x:v>fieldturf</x:v>
      </x:c>
      <x:c r="AU2378" t="n">
        <x:f>_xlfn.XLOOKUP($A2378,Games!$A$2:$A$18,Games!$P$2:$P$18,"Missing game",0)</x:f>
        <x:v>46</x:v>
      </x:c>
      <x:c r="AV2378" t="n">
        <x:f>_xlfn.XLOOKUP($A2378,Games!$A$2:$A$18,Games!$Q$2:$Q$18,"Missing game",0)</x:f>
        <x:v>20</x:v>
      </x:c>
      <x:c r="AW2378" t="str">
        <x:f>_xlfn.XLOOKUP($A2378,Games!$A$2:$A$18,Games!$R$2:$R$18,"Missing game",0)</x:f>
        <x:v>MetLife Stadium</x:v>
      </x:c>
    </x:row>
    <x:row r="2379">
      <x:c r="A2379" t="str">
        <x:v>2025_16_MIN_NYG</x:v>
      </x:c>
      <x:c r="B2379" t="n">
        <x:v>1438</x:v>
      </x:c>
      <x:c r="C2379" t="n">
        <x:v>2</x:v>
      </x:c>
      <x:c r="D2379" t="str">
        <x:v>05:35</x:v>
      </x:c>
      <x:c r="E2379" t="n">
        <x:v>3</x:v>
      </x:c>
      <x:c r="F2379" t="n">
        <x:v>4</x:v>
      </x:c>
      <x:c r="G2379" t="str">
        <x:v>MIN</x:v>
      </x:c>
      <x:c r="H2379" t="str">
        <x:v>NYG</x:v>
      </x:c>
      <x:c r="I2379" t="str">
        <x:v>NYG</x:v>
      </x:c>
      <x:c r="J2379" t="n">
        <x:v>4</x:v>
      </x:c>
      <x:c r="K2379" t="str">
        <x:v>(5:35) (Shotgun) 9-J.McCarthy sacked at NYG 13 for -9 yards (57-C.Golston).</x:v>
      </x:c>
      <x:c r="L2379" t="str">
        <x:v>pass</x:v>
      </x:c>
      <x:c r="M2379" t="n">
        <x:v>-9</x:v>
      </x:c>
      <x:c r="N2379" t="n">
        <x:v>1</x:v>
      </x:c>
      <x:c r="O2379" t="n">
        <x:v>0</x:v>
      </x:c>
      <x:c r="P2379"/>
      <x:c r="Q2379"/>
      <x:c r="R2379"/>
      <x:c r="S2379"/>
      <x:c r="T2379"/>
      <x:c r="U2379"/>
      <x:c r="V2379" t="n">
        <x:v>0</x:v>
      </x:c>
      <x:c r="W2379" t="n">
        <x:v>0</x:v>
      </x:c>
      <x:c r="X2379" t="n">
        <x:v>1</x:v>
      </x:c>
      <x:c r="Y2379" t="n">
        <x:v>0</x:v>
      </x:c>
      <x:c r="Z2379" t="n">
        <x:v>0</x:v>
      </x:c>
      <x:c r="AA2379" t="n">
        <x:v>0</x:v>
      </x:c>
      <x:c r="AB2379"/>
      <x:c r="AC2379" t="n">
        <x:v>0</x:v>
      </x:c>
      <x:c r="AD2379" t="n">
        <x:v>-1.5834196945258738</x:v>
      </x:c>
      <x:c r="AE2379" t="n">
        <x:v>0</x:v>
      </x:c>
      <x:c r="AF2379" t="n">
        <x:v>-0.10761108994483948</x:v>
      </x:c>
      <x:c r="AG2379" t="n">
        <x:f>_xlfn.XLOOKUP($A2379,Games!$A$2:$A$18,Games!$B$2:$B$18,"Missing game",0)</x:f>
        <x:v>2025</x:v>
      </x:c>
      <x:c r="AH2379" t="str">
        <x:f>_xlfn.XLOOKUP($A2379,Games!$A$2:$A$18,Games!$C$2:$C$18,"Missing game",0)</x:f>
        <x:v>REG</x:v>
      </x:c>
      <x:c r="AI2379" t="n">
        <x:f>_xlfn.XLOOKUP($A2379,Games!$A$2:$A$18,Games!$D$2:$D$18,"Missing game",0)</x:f>
        <x:v>16</x:v>
      </x:c>
      <x:c r="AJ2379" s="1" t="n">
        <x:f>_xlfn.XLOOKUP($A2379,Games!$A$2:$A$18,Games!$E$2:$E$18,"Missing game",0)</x:f>
        <x:v>46012</x:v>
      </x:c>
      <x:c r="AK2379" t="str">
        <x:f>_xlfn.XLOOKUP($A2379,Games!$A$2:$A$18,Games!$F$2:$F$18,"Missing game",0)</x:f>
        <x:v>Sunday</x:v>
      </x:c>
      <x:c r="AL2379" t="str">
        <x:f>_xlfn.XLOOKUP($A2379,Games!$A$2:$A$18,Games!$G$2:$G$18,"Missing game",0)</x:f>
        <x:v>MIN</x:v>
      </x:c>
      <x:c r="AM2379" t="n">
        <x:f>_xlfn.XLOOKUP($A2379,Games!$A$2:$A$18,Games!$H$2:$H$18,"Missing game",0)</x:f>
        <x:v>16</x:v>
      </x:c>
      <x:c r="AN2379" t="str">
        <x:f>_xlfn.XLOOKUP($A2379,Games!$A$2:$A$18,Games!$I$2:$I$18,"Missing game",0)</x:f>
        <x:v>NYG</x:v>
      </x:c>
      <x:c r="AO2379" t="n">
        <x:f>_xlfn.XLOOKUP($A2379,Games!$A$2:$A$18,Games!$J$2:$J$18,"Missing game",0)</x:f>
        <x:v>13</x:v>
      </x:c>
      <x:c r="AP2379" t="n">
        <x:f>_xlfn.XLOOKUP($A2379,Games!$A$2:$A$18,Games!$K$2:$K$18,"Missing game",0)</x:f>
        <x:v>-3</x:v>
      </x:c>
      <x:c r="AQ2379" t="n">
        <x:f>_xlfn.XLOOKUP($A2379,Games!$A$2:$A$18,Games!$L$2:$L$18,"Missing game",0)</x:f>
        <x:v>29</x:v>
      </x:c>
      <x:c r="AR2379" t="n">
        <x:f>_xlfn.XLOOKUP($A2379,Games!$A$2:$A$18,Games!$M$2:$M$18,"Missing game",0)</x:f>
        <x:v>0</x:v>
      </x:c>
      <x:c r="AS2379" t="str">
        <x:f>_xlfn.XLOOKUP($A2379,Games!$A$2:$A$18,Games!$N$2:$N$18,"Missing game",0)</x:f>
        <x:v>outdoors</x:v>
      </x:c>
      <x:c r="AT2379" t="str">
        <x:f>_xlfn.XLOOKUP($A2379,Games!$A$2:$A$18,Games!$O$2:$O$18,"Missing game",0)</x:f>
        <x:v>fieldturf</x:v>
      </x:c>
      <x:c r="AU2379" t="n">
        <x:f>_xlfn.XLOOKUP($A2379,Games!$A$2:$A$18,Games!$P$2:$P$18,"Missing game",0)</x:f>
        <x:v>46</x:v>
      </x:c>
      <x:c r="AV2379" t="n">
        <x:f>_xlfn.XLOOKUP($A2379,Games!$A$2:$A$18,Games!$Q$2:$Q$18,"Missing game",0)</x:f>
        <x:v>20</x:v>
      </x:c>
      <x:c r="AW2379" t="str">
        <x:f>_xlfn.XLOOKUP($A2379,Games!$A$2:$A$18,Games!$R$2:$R$18,"Missing game",0)</x:f>
        <x:v>MetLife Stadium</x:v>
      </x:c>
    </x:row>
    <x:row r="2380">
      <x:c r="A2380" t="str">
        <x:v>2025_16_MIN_NYG</x:v>
      </x:c>
      <x:c r="B2380" t="n">
        <x:v>1458</x:v>
      </x:c>
      <x:c r="C2380" t="n">
        <x:v>2</x:v>
      </x:c>
      <x:c r="D2380" t="str">
        <x:v>04:53</x:v>
      </x:c>
      <x:c r="E2380" t="n">
        <x:v>4</x:v>
      </x:c>
      <x:c r="F2380" t="n">
        <x:v>13</x:v>
      </x:c>
      <x:c r="G2380" t="str">
        <x:v>MIN</x:v>
      </x:c>
      <x:c r="H2380" t="str">
        <x:v>NYG</x:v>
      </x:c>
      <x:c r="I2380" t="str">
        <x:v>NYG</x:v>
      </x:c>
      <x:c r="J2380" t="n">
        <x:v>13</x:v>
      </x:c>
      <x:c r="K2380" t="str">
        <x:v>(4:53) 16-W.Reichard 31 yard field goal is GOOD, Center-42-A.DePaola, Holder-17-R.Wright.</x:v>
      </x:c>
      <x:c r="L2380" t="str">
        <x:v>field_goal</x:v>
      </x:c>
      <x:c r="M2380" t="n">
        <x:v>0</x:v>
      </x:c>
      <x:c r="N2380" t="n">
        <x:v>0</x:v>
      </x:c>
      <x:c r="O2380" t="n">
        <x:v>0</x:v>
      </x:c>
      <x:c r="P2380"/>
      <x:c r="Q2380"/>
      <x:c r="R2380"/>
      <x:c r="S2380"/>
      <x:c r="T2380"/>
      <x:c r="U2380"/>
      <x:c r="V2380" t="n">
        <x:v>0</x:v>
      </x:c>
      <x:c r="W2380" t="n">
        <x:v>0</x:v>
      </x:c>
      <x:c r="X2380" t="n">
        <x:v>0</x:v>
      </x:c>
      <x:c r="Y2380" t="n">
        <x:v>0</x:v>
      </x:c>
      <x:c r="Z2380" t="n">
        <x:v>0</x:v>
      </x:c>
      <x:c r="AA2380" t="n">
        <x:v>0</x:v>
      </x:c>
      <x:c r="AB2380"/>
      <x:c r="AC2380" t="n">
        <x:v>0</x:v>
      </x:c>
      <x:c r="AD2380" t="n">
        <x:v>0.18647344877965244</x:v>
      </x:c>
      <x:c r="AE2380" t="n">
        <x:v>1</x:v>
      </x:c>
      <x:c r="AF2380" t="n">
        <x:v>0.02641749382019043</x:v>
      </x:c>
      <x:c r="AG2380" t="n">
        <x:f>_xlfn.XLOOKUP($A2380,Games!$A$2:$A$18,Games!$B$2:$B$18,"Missing game",0)</x:f>
        <x:v>2025</x:v>
      </x:c>
      <x:c r="AH2380" t="str">
        <x:f>_xlfn.XLOOKUP($A2380,Games!$A$2:$A$18,Games!$C$2:$C$18,"Missing game",0)</x:f>
        <x:v>REG</x:v>
      </x:c>
      <x:c r="AI2380" t="n">
        <x:f>_xlfn.XLOOKUP($A2380,Games!$A$2:$A$18,Games!$D$2:$D$18,"Missing game",0)</x:f>
        <x:v>16</x:v>
      </x:c>
      <x:c r="AJ2380" s="1" t="n">
        <x:f>_xlfn.XLOOKUP($A2380,Games!$A$2:$A$18,Games!$E$2:$E$18,"Missing game",0)</x:f>
        <x:v>46012</x:v>
      </x:c>
      <x:c r="AK2380" t="str">
        <x:f>_xlfn.XLOOKUP($A2380,Games!$A$2:$A$18,Games!$F$2:$F$18,"Missing game",0)</x:f>
        <x:v>Sunday</x:v>
      </x:c>
      <x:c r="AL2380" t="str">
        <x:f>_xlfn.XLOOKUP($A2380,Games!$A$2:$A$18,Games!$G$2:$G$18,"Missing game",0)</x:f>
        <x:v>MIN</x:v>
      </x:c>
      <x:c r="AM2380" t="n">
        <x:f>_xlfn.XLOOKUP($A2380,Games!$A$2:$A$18,Games!$H$2:$H$18,"Missing game",0)</x:f>
        <x:v>16</x:v>
      </x:c>
      <x:c r="AN2380" t="str">
        <x:f>_xlfn.XLOOKUP($A2380,Games!$A$2:$A$18,Games!$I$2:$I$18,"Missing game",0)</x:f>
        <x:v>NYG</x:v>
      </x:c>
      <x:c r="AO2380" t="n">
        <x:f>_xlfn.XLOOKUP($A2380,Games!$A$2:$A$18,Games!$J$2:$J$18,"Missing game",0)</x:f>
        <x:v>13</x:v>
      </x:c>
      <x:c r="AP2380" t="n">
        <x:f>_xlfn.XLOOKUP($A2380,Games!$A$2:$A$18,Games!$K$2:$K$18,"Missing game",0)</x:f>
        <x:v>-3</x:v>
      </x:c>
      <x:c r="AQ2380" t="n">
        <x:f>_xlfn.XLOOKUP($A2380,Games!$A$2:$A$18,Games!$L$2:$L$18,"Missing game",0)</x:f>
        <x:v>29</x:v>
      </x:c>
      <x:c r="AR2380" t="n">
        <x:f>_xlfn.XLOOKUP($A2380,Games!$A$2:$A$18,Games!$M$2:$M$18,"Missing game",0)</x:f>
        <x:v>0</x:v>
      </x:c>
      <x:c r="AS2380" t="str">
        <x:f>_xlfn.XLOOKUP($A2380,Games!$A$2:$A$18,Games!$N$2:$N$18,"Missing game",0)</x:f>
        <x:v>outdoors</x:v>
      </x:c>
      <x:c r="AT2380" t="str">
        <x:f>_xlfn.XLOOKUP($A2380,Games!$A$2:$A$18,Games!$O$2:$O$18,"Missing game",0)</x:f>
        <x:v>fieldturf</x:v>
      </x:c>
      <x:c r="AU2380" t="n">
        <x:f>_xlfn.XLOOKUP($A2380,Games!$A$2:$A$18,Games!$P$2:$P$18,"Missing game",0)</x:f>
        <x:v>46</x:v>
      </x:c>
      <x:c r="AV2380" t="n">
        <x:f>_xlfn.XLOOKUP($A2380,Games!$A$2:$A$18,Games!$Q$2:$Q$18,"Missing game",0)</x:f>
        <x:v>20</x:v>
      </x:c>
      <x:c r="AW2380" t="str">
        <x:f>_xlfn.XLOOKUP($A2380,Games!$A$2:$A$18,Games!$R$2:$R$18,"Missing game",0)</x:f>
        <x:v>MetLife Stadium</x:v>
      </x:c>
    </x:row>
    <x:row r="2381">
      <x:c r="A2381" t="str">
        <x:v>2025_16_MIN_NYG</x:v>
      </x:c>
      <x:c r="B2381" t="n">
        <x:v>1481</x:v>
      </x:c>
      <x:c r="C2381" t="n">
        <x:v>2</x:v>
      </x:c>
      <x:c r="D2381" t="str">
        <x:v>04:50</x:v>
      </x:c>
      <x:c r="E2381"/>
      <x:c r="F2381" t="n">
        <x:v>0</x:v>
      </x:c>
      <x:c r="G2381" t="str">
        <x:v>NYG</x:v>
      </x:c>
      <x:c r="H2381" t="str">
        <x:v>MIN</x:v>
      </x:c>
      <x:c r="I2381" t="str">
        <x:v>MIN</x:v>
      </x:c>
      <x:c r="J2381" t="n">
        <x:v>35</x:v>
      </x:c>
      <x:c r="K2381" t="str">
        <x:v>16-W.Reichard kicks 65 yards from MIN 35 to NYG 0. 80-G.Olszewski to NYG 29 for 29 yards (57-C.Chambliss; 0-I.Pace).</x:v>
      </x:c>
      <x:c r="L2381" t="str">
        <x:v>kickoff</x:v>
      </x:c>
      <x:c r="M2381" t="n">
        <x:v>0</x:v>
      </x:c>
      <x:c r="N2381" t="n">
        <x:v>0</x:v>
      </x:c>
      <x:c r="O2381" t="n">
        <x:v>0</x:v>
      </x:c>
      <x:c r="P2381"/>
      <x:c r="Q2381"/>
      <x:c r="R2381"/>
      <x:c r="S2381"/>
      <x:c r="T2381"/>
      <x:c r="U2381"/>
      <x:c r="V2381" t="n">
        <x:v>0</x:v>
      </x:c>
      <x:c r="W2381" t="n">
        <x:v>0</x:v>
      </x:c>
      <x:c r="X2381" t="n">
        <x:v>0</x:v>
      </x:c>
      <x:c r="Y2381" t="n">
        <x:v>0</x:v>
      </x:c>
      <x:c r="Z2381" t="n">
        <x:v>0</x:v>
      </x:c>
      <x:c r="AA2381" t="n">
        <x:v>0</x:v>
      </x:c>
      <x:c r="AB2381"/>
      <x:c r="AC2381" t="n">
        <x:v>0</x:v>
      </x:c>
      <x:c r="AD2381" t="n">
        <x:v>0.30102379037998617</x:v>
      </x:c>
      <x:c r="AE2381" t="n">
        <x:v>1</x:v>
      </x:c>
      <x:c r="AF2381" t="n">
        <x:v>0.006907403469085693</x:v>
      </x:c>
      <x:c r="AG2381" t="n">
        <x:f>_xlfn.XLOOKUP($A2381,Games!$A$2:$A$18,Games!$B$2:$B$18,"Missing game",0)</x:f>
        <x:v>2025</x:v>
      </x:c>
      <x:c r="AH2381" t="str">
        <x:f>_xlfn.XLOOKUP($A2381,Games!$A$2:$A$18,Games!$C$2:$C$18,"Missing game",0)</x:f>
        <x:v>REG</x:v>
      </x:c>
      <x:c r="AI2381" t="n">
        <x:f>_xlfn.XLOOKUP($A2381,Games!$A$2:$A$18,Games!$D$2:$D$18,"Missing game",0)</x:f>
        <x:v>16</x:v>
      </x:c>
      <x:c r="AJ2381" s="1" t="n">
        <x:f>_xlfn.XLOOKUP($A2381,Games!$A$2:$A$18,Games!$E$2:$E$18,"Missing game",0)</x:f>
        <x:v>46012</x:v>
      </x:c>
      <x:c r="AK2381" t="str">
        <x:f>_xlfn.XLOOKUP($A2381,Games!$A$2:$A$18,Games!$F$2:$F$18,"Missing game",0)</x:f>
        <x:v>Sunday</x:v>
      </x:c>
      <x:c r="AL2381" t="str">
        <x:f>_xlfn.XLOOKUP($A2381,Games!$A$2:$A$18,Games!$G$2:$G$18,"Missing game",0)</x:f>
        <x:v>MIN</x:v>
      </x:c>
      <x:c r="AM2381" t="n">
        <x:f>_xlfn.XLOOKUP($A2381,Games!$A$2:$A$18,Games!$H$2:$H$18,"Missing game",0)</x:f>
        <x:v>16</x:v>
      </x:c>
      <x:c r="AN2381" t="str">
        <x:f>_xlfn.XLOOKUP($A2381,Games!$A$2:$A$18,Games!$I$2:$I$18,"Missing game",0)</x:f>
        <x:v>NYG</x:v>
      </x:c>
      <x:c r="AO2381" t="n">
        <x:f>_xlfn.XLOOKUP($A2381,Games!$A$2:$A$18,Games!$J$2:$J$18,"Missing game",0)</x:f>
        <x:v>13</x:v>
      </x:c>
      <x:c r="AP2381" t="n">
        <x:f>_xlfn.XLOOKUP($A2381,Games!$A$2:$A$18,Games!$K$2:$K$18,"Missing game",0)</x:f>
        <x:v>-3</x:v>
      </x:c>
      <x:c r="AQ2381" t="n">
        <x:f>_xlfn.XLOOKUP($A2381,Games!$A$2:$A$18,Games!$L$2:$L$18,"Missing game",0)</x:f>
        <x:v>29</x:v>
      </x:c>
      <x:c r="AR2381" t="n">
        <x:f>_xlfn.XLOOKUP($A2381,Games!$A$2:$A$18,Games!$M$2:$M$18,"Missing game",0)</x:f>
        <x:v>0</x:v>
      </x:c>
      <x:c r="AS2381" t="str">
        <x:f>_xlfn.XLOOKUP($A2381,Games!$A$2:$A$18,Games!$N$2:$N$18,"Missing game",0)</x:f>
        <x:v>outdoors</x:v>
      </x:c>
      <x:c r="AT2381" t="str">
        <x:f>_xlfn.XLOOKUP($A2381,Games!$A$2:$A$18,Games!$O$2:$O$18,"Missing game",0)</x:f>
        <x:v>fieldturf</x:v>
      </x:c>
      <x:c r="AU2381" t="n">
        <x:f>_xlfn.XLOOKUP($A2381,Games!$A$2:$A$18,Games!$P$2:$P$18,"Missing game",0)</x:f>
        <x:v>46</x:v>
      </x:c>
      <x:c r="AV2381" t="n">
        <x:f>_xlfn.XLOOKUP($A2381,Games!$A$2:$A$18,Games!$Q$2:$Q$18,"Missing game",0)</x:f>
        <x:v>20</x:v>
      </x:c>
      <x:c r="AW2381" t="str">
        <x:f>_xlfn.XLOOKUP($A2381,Games!$A$2:$A$18,Games!$R$2:$R$18,"Missing game",0)</x:f>
        <x:v>MetLife Stadium</x:v>
      </x:c>
    </x:row>
    <x:row r="2382">
      <x:c r="A2382" t="str">
        <x:v>2025_16_MIN_NYG</x:v>
      </x:c>
      <x:c r="B2382" t="n">
        <x:v>1516</x:v>
      </x:c>
      <x:c r="C2382" t="n">
        <x:v>2</x:v>
      </x:c>
      <x:c r="D2382" t="str">
        <x:v>04:42</x:v>
      </x:c>
      <x:c r="E2382" t="n">
        <x:v>1</x:v>
      </x:c>
      <x:c r="F2382" t="n">
        <x:v>10</x:v>
      </x:c>
      <x:c r="G2382" t="str">
        <x:v>NYG</x:v>
      </x:c>
      <x:c r="H2382" t="str">
        <x:v>MIN</x:v>
      </x:c>
      <x:c r="I2382" t="str">
        <x:v>NYG</x:v>
      </x:c>
      <x:c r="J2382" t="n">
        <x:v>71</x:v>
      </x:c>
      <x:c r="K2382" t="str">
        <x:v>(4:42) (Shotgun) 6-J.Dart sacked at NYG 29 for 0 yards (50-L.Rodriguez).</x:v>
      </x:c>
      <x:c r="L2382" t="str">
        <x:v>pass</x:v>
      </x:c>
      <x:c r="M2382" t="n">
        <x:v>0</x:v>
      </x:c>
      <x:c r="N2382" t="n">
        <x:v>1</x:v>
      </x:c>
      <x:c r="O2382" t="n">
        <x:v>0</x:v>
      </x:c>
      <x:c r="P2382"/>
      <x:c r="Q2382"/>
      <x:c r="R2382"/>
      <x:c r="S2382"/>
      <x:c r="T2382"/>
      <x:c r="U2382"/>
      <x:c r="V2382" t="n">
        <x:v>0</x:v>
      </x:c>
      <x:c r="W2382" t="n">
        <x:v>0</x:v>
      </x:c>
      <x:c r="X2382" t="n">
        <x:v>1</x:v>
      </x:c>
      <x:c r="Y2382" t="n">
        <x:v>0</x:v>
      </x:c>
      <x:c r="Z2382" t="n">
        <x:v>0</x:v>
      </x:c>
      <x:c r="AA2382" t="n">
        <x:v>0</x:v>
      </x:c>
      <x:c r="AB2382"/>
      <x:c r="AC2382" t="n">
        <x:v>0</x:v>
      </x:c>
      <x:c r="AD2382" t="n">
        <x:v>-0.4036540527595207</x:v>
      </x:c>
      <x:c r="AE2382" t="n">
        <x:v>0</x:v>
      </x:c>
      <x:c r="AF2382" t="n">
        <x:v>-0.016864538192749023</x:v>
      </x:c>
      <x:c r="AG2382" t="n">
        <x:f>_xlfn.XLOOKUP($A2382,Games!$A$2:$A$18,Games!$B$2:$B$18,"Missing game",0)</x:f>
        <x:v>2025</x:v>
      </x:c>
      <x:c r="AH2382" t="str">
        <x:f>_xlfn.XLOOKUP($A2382,Games!$A$2:$A$18,Games!$C$2:$C$18,"Missing game",0)</x:f>
        <x:v>REG</x:v>
      </x:c>
      <x:c r="AI2382" t="n">
        <x:f>_xlfn.XLOOKUP($A2382,Games!$A$2:$A$18,Games!$D$2:$D$18,"Missing game",0)</x:f>
        <x:v>16</x:v>
      </x:c>
      <x:c r="AJ2382" s="1" t="n">
        <x:f>_xlfn.XLOOKUP($A2382,Games!$A$2:$A$18,Games!$E$2:$E$18,"Missing game",0)</x:f>
        <x:v>46012</x:v>
      </x:c>
      <x:c r="AK2382" t="str">
        <x:f>_xlfn.XLOOKUP($A2382,Games!$A$2:$A$18,Games!$F$2:$F$18,"Missing game",0)</x:f>
        <x:v>Sunday</x:v>
      </x:c>
      <x:c r="AL2382" t="str">
        <x:f>_xlfn.XLOOKUP($A2382,Games!$A$2:$A$18,Games!$G$2:$G$18,"Missing game",0)</x:f>
        <x:v>MIN</x:v>
      </x:c>
      <x:c r="AM2382" t="n">
        <x:f>_xlfn.XLOOKUP($A2382,Games!$A$2:$A$18,Games!$H$2:$H$18,"Missing game",0)</x:f>
        <x:v>16</x:v>
      </x:c>
      <x:c r="AN2382" t="str">
        <x:f>_xlfn.XLOOKUP($A2382,Games!$A$2:$A$18,Games!$I$2:$I$18,"Missing game",0)</x:f>
        <x:v>NYG</x:v>
      </x:c>
      <x:c r="AO2382" t="n">
        <x:f>_xlfn.XLOOKUP($A2382,Games!$A$2:$A$18,Games!$J$2:$J$18,"Missing game",0)</x:f>
        <x:v>13</x:v>
      </x:c>
      <x:c r="AP2382" t="n">
        <x:f>_xlfn.XLOOKUP($A2382,Games!$A$2:$A$18,Games!$K$2:$K$18,"Missing game",0)</x:f>
        <x:v>-3</x:v>
      </x:c>
      <x:c r="AQ2382" t="n">
        <x:f>_xlfn.XLOOKUP($A2382,Games!$A$2:$A$18,Games!$L$2:$L$18,"Missing game",0)</x:f>
        <x:v>29</x:v>
      </x:c>
      <x:c r="AR2382" t="n">
        <x:f>_xlfn.XLOOKUP($A2382,Games!$A$2:$A$18,Games!$M$2:$M$18,"Missing game",0)</x:f>
        <x:v>0</x:v>
      </x:c>
      <x:c r="AS2382" t="str">
        <x:f>_xlfn.XLOOKUP($A2382,Games!$A$2:$A$18,Games!$N$2:$N$18,"Missing game",0)</x:f>
        <x:v>outdoors</x:v>
      </x:c>
      <x:c r="AT2382" t="str">
        <x:f>_xlfn.XLOOKUP($A2382,Games!$A$2:$A$18,Games!$O$2:$O$18,"Missing game",0)</x:f>
        <x:v>fieldturf</x:v>
      </x:c>
      <x:c r="AU2382" t="n">
        <x:f>_xlfn.XLOOKUP($A2382,Games!$A$2:$A$18,Games!$P$2:$P$18,"Missing game",0)</x:f>
        <x:v>46</x:v>
      </x:c>
      <x:c r="AV2382" t="n">
        <x:f>_xlfn.XLOOKUP($A2382,Games!$A$2:$A$18,Games!$Q$2:$Q$18,"Missing game",0)</x:f>
        <x:v>20</x:v>
      </x:c>
      <x:c r="AW2382" t="str">
        <x:f>_xlfn.XLOOKUP($A2382,Games!$A$2:$A$18,Games!$R$2:$R$18,"Missing game",0)</x:f>
        <x:v>MetLife Stadium</x:v>
      </x:c>
    </x:row>
    <x:row r="2383">
      <x:c r="A2383" t="str">
        <x:v>2025_16_MIN_NYG</x:v>
      </x:c>
      <x:c r="B2383" t="n">
        <x:v>1536</x:v>
      </x:c>
      <x:c r="C2383" t="n">
        <x:v>2</x:v>
      </x:c>
      <x:c r="D2383" t="str">
        <x:v>03:51</x:v>
      </x:c>
      <x:c r="E2383" t="n">
        <x:v>2</x:v>
      </x:c>
      <x:c r="F2383" t="n">
        <x:v>10</x:v>
      </x:c>
      <x:c r="G2383" t="str">
        <x:v>NYG</x:v>
      </x:c>
      <x:c r="H2383" t="str">
        <x:v>MIN</x:v>
      </x:c>
      <x:c r="I2383" t="str">
        <x:v>NYG</x:v>
      </x:c>
      <x:c r="J2383" t="n">
        <x:v>71</x:v>
      </x:c>
      <x:c r="K2383" t="str">
        <x:v>(3:51) (Shotgun) 6-J.Dart pass incomplete deep right to 17-W.Robinson (2-I.Rodgers) [43-A.Van Ginkel].</x:v>
      </x:c>
      <x:c r="L2383" t="str">
        <x:v>pass</x:v>
      </x:c>
      <x:c r="M2383" t="n">
        <x:v>0</x:v>
      </x:c>
      <x:c r="N2383" t="n">
        <x:v>1</x:v>
      </x:c>
      <x:c r="O2383" t="n">
        <x:v>0</x:v>
      </x:c>
      <x:c r="P2383" t="str">
        <x:v>deep</x:v>
      </x:c>
      <x:c r="Q2383" t="str">
        <x:v>right</x:v>
      </x:c>
      <x:c r="R2383" t="n">
        <x:v>28</x:v>
      </x:c>
      <x:c r="S2383"/>
      <x:c r="T2383"/>
      <x:c r="U2383"/>
      <x:c r="V2383" t="n">
        <x:v>0</x:v>
      </x:c>
      <x:c r="W2383" t="n">
        <x:v>0</x:v>
      </x:c>
      <x:c r="X2383" t="n">
        <x:v>0</x:v>
      </x:c>
      <x:c r="Y2383" t="n">
        <x:v>0</x:v>
      </x:c>
      <x:c r="Z2383" t="n">
        <x:v>0</x:v>
      </x:c>
      <x:c r="AA2383" t="n">
        <x:v>0</x:v>
      </x:c>
      <x:c r="AB2383"/>
      <x:c r="AC2383" t="n">
        <x:v>0</x:v>
      </x:c>
      <x:c r="AD2383" t="n">
        <x:v>-0.6502668156754225</x:v>
      </x:c>
      <x:c r="AE2383" t="n">
        <x:v>0</x:v>
      </x:c>
      <x:c r="AF2383" t="n">
        <x:v>-0.032120078802108765</x:v>
      </x:c>
      <x:c r="AG2383" t="n">
        <x:f>_xlfn.XLOOKUP($A2383,Games!$A$2:$A$18,Games!$B$2:$B$18,"Missing game",0)</x:f>
        <x:v>2025</x:v>
      </x:c>
      <x:c r="AH2383" t="str">
        <x:f>_xlfn.XLOOKUP($A2383,Games!$A$2:$A$18,Games!$C$2:$C$18,"Missing game",0)</x:f>
        <x:v>REG</x:v>
      </x:c>
      <x:c r="AI2383" t="n">
        <x:f>_xlfn.XLOOKUP($A2383,Games!$A$2:$A$18,Games!$D$2:$D$18,"Missing game",0)</x:f>
        <x:v>16</x:v>
      </x:c>
      <x:c r="AJ2383" s="1" t="n">
        <x:f>_xlfn.XLOOKUP($A2383,Games!$A$2:$A$18,Games!$E$2:$E$18,"Missing game",0)</x:f>
        <x:v>46012</x:v>
      </x:c>
      <x:c r="AK2383" t="str">
        <x:f>_xlfn.XLOOKUP($A2383,Games!$A$2:$A$18,Games!$F$2:$F$18,"Missing game",0)</x:f>
        <x:v>Sunday</x:v>
      </x:c>
      <x:c r="AL2383" t="str">
        <x:f>_xlfn.XLOOKUP($A2383,Games!$A$2:$A$18,Games!$G$2:$G$18,"Missing game",0)</x:f>
        <x:v>MIN</x:v>
      </x:c>
      <x:c r="AM2383" t="n">
        <x:f>_xlfn.XLOOKUP($A2383,Games!$A$2:$A$18,Games!$H$2:$H$18,"Missing game",0)</x:f>
        <x:v>16</x:v>
      </x:c>
      <x:c r="AN2383" t="str">
        <x:f>_xlfn.XLOOKUP($A2383,Games!$A$2:$A$18,Games!$I$2:$I$18,"Missing game",0)</x:f>
        <x:v>NYG</x:v>
      </x:c>
      <x:c r="AO2383" t="n">
        <x:f>_xlfn.XLOOKUP($A2383,Games!$A$2:$A$18,Games!$J$2:$J$18,"Missing game",0)</x:f>
        <x:v>13</x:v>
      </x:c>
      <x:c r="AP2383" t="n">
        <x:f>_xlfn.XLOOKUP($A2383,Games!$A$2:$A$18,Games!$K$2:$K$18,"Missing game",0)</x:f>
        <x:v>-3</x:v>
      </x:c>
      <x:c r="AQ2383" t="n">
        <x:f>_xlfn.XLOOKUP($A2383,Games!$A$2:$A$18,Games!$L$2:$L$18,"Missing game",0)</x:f>
        <x:v>29</x:v>
      </x:c>
      <x:c r="AR2383" t="n">
        <x:f>_xlfn.XLOOKUP($A2383,Games!$A$2:$A$18,Games!$M$2:$M$18,"Missing game",0)</x:f>
        <x:v>0</x:v>
      </x:c>
      <x:c r="AS2383" t="str">
        <x:f>_xlfn.XLOOKUP($A2383,Games!$A$2:$A$18,Games!$N$2:$N$18,"Missing game",0)</x:f>
        <x:v>outdoors</x:v>
      </x:c>
      <x:c r="AT2383" t="str">
        <x:f>_xlfn.XLOOKUP($A2383,Games!$A$2:$A$18,Games!$O$2:$O$18,"Missing game",0)</x:f>
        <x:v>fieldturf</x:v>
      </x:c>
      <x:c r="AU2383" t="n">
        <x:f>_xlfn.XLOOKUP($A2383,Games!$A$2:$A$18,Games!$P$2:$P$18,"Missing game",0)</x:f>
        <x:v>46</x:v>
      </x:c>
      <x:c r="AV2383" t="n">
        <x:f>_xlfn.XLOOKUP($A2383,Games!$A$2:$A$18,Games!$Q$2:$Q$18,"Missing game",0)</x:f>
        <x:v>20</x:v>
      </x:c>
      <x:c r="AW2383" t="str">
        <x:f>_xlfn.XLOOKUP($A2383,Games!$A$2:$A$18,Games!$R$2:$R$18,"Missing game",0)</x:f>
        <x:v>MetLife Stadium</x:v>
      </x:c>
    </x:row>
    <x:row r="2384">
      <x:c r="A2384" t="str">
        <x:v>2025_16_MIN_NYG</x:v>
      </x:c>
      <x:c r="B2384" t="n">
        <x:v>1559</x:v>
      </x:c>
      <x:c r="C2384" t="n">
        <x:v>2</x:v>
      </x:c>
      <x:c r="D2384" t="str">
        <x:v>03:45</x:v>
      </x:c>
      <x:c r="E2384" t="n">
        <x:v>3</x:v>
      </x:c>
      <x:c r="F2384" t="n">
        <x:v>10</x:v>
      </x:c>
      <x:c r="G2384" t="str">
        <x:v>NYG</x:v>
      </x:c>
      <x:c r="H2384" t="str">
        <x:v>MIN</x:v>
      </x:c>
      <x:c r="I2384" t="str">
        <x:v>NYG</x:v>
      </x:c>
      <x:c r="J2384" t="n">
        <x:v>71</x:v>
      </x:c>
      <x:c r="K2384" t="str">
        <x:v>(3:45) (Shotgun) PENALTY on NYG, Delay of Game, 5 yards, enforced at NYG 29 - No Play.</x:v>
      </x:c>
      <x:c r="L2384" t="str">
        <x:v>no_play</x:v>
      </x:c>
      <x:c r="M2384" t="n">
        <x:v>0</x:v>
      </x:c>
      <x:c r="N2384" t="n">
        <x:v>1</x:v>
      </x:c>
      <x:c r="O2384" t="n">
        <x:v>0</x:v>
      </x:c>
      <x:c r="P2384"/>
      <x:c r="Q2384"/>
      <x:c r="R2384"/>
      <x:c r="S2384"/>
      <x:c r="T2384"/>
      <x:c r="U2384"/>
      <x:c r="V2384" t="n">
        <x:v>0</x:v>
      </x:c>
      <x:c r="W2384" t="n">
        <x:v>0</x:v>
      </x:c>
      <x:c r="X2384" t="n">
        <x:v>0</x:v>
      </x:c>
      <x:c r="Y2384" t="n">
        <x:v>0</x:v>
      </x:c>
      <x:c r="Z2384" t="n">
        <x:v>0</x:v>
      </x:c>
      <x:c r="AA2384" t="n">
        <x:v>1</x:v>
      </x:c>
      <x:c r="AB2384" t="n">
        <x:v>5</x:v>
      </x:c>
      <x:c r="AC2384" t="n">
        <x:v>0</x:v>
      </x:c>
      <x:c r="AD2384" t="n">
        <x:v>-0.7311352597316727</x:v>
      </x:c>
      <x:c r="AE2384" t="n">
        <x:v>0</x:v>
      </x:c>
      <x:c r="AF2384" t="n">
        <x:v>-0.018371880054473877</x:v>
      </x:c>
      <x:c r="AG2384" t="n">
        <x:f>_xlfn.XLOOKUP($A2384,Games!$A$2:$A$18,Games!$B$2:$B$18,"Missing game",0)</x:f>
        <x:v>2025</x:v>
      </x:c>
      <x:c r="AH2384" t="str">
        <x:f>_xlfn.XLOOKUP($A2384,Games!$A$2:$A$18,Games!$C$2:$C$18,"Missing game",0)</x:f>
        <x:v>REG</x:v>
      </x:c>
      <x:c r="AI2384" t="n">
        <x:f>_xlfn.XLOOKUP($A2384,Games!$A$2:$A$18,Games!$D$2:$D$18,"Missing game",0)</x:f>
        <x:v>16</x:v>
      </x:c>
      <x:c r="AJ2384" s="1" t="n">
        <x:f>_xlfn.XLOOKUP($A2384,Games!$A$2:$A$18,Games!$E$2:$E$18,"Missing game",0)</x:f>
        <x:v>46012</x:v>
      </x:c>
      <x:c r="AK2384" t="str">
        <x:f>_xlfn.XLOOKUP($A2384,Games!$A$2:$A$18,Games!$F$2:$F$18,"Missing game",0)</x:f>
        <x:v>Sunday</x:v>
      </x:c>
      <x:c r="AL2384" t="str">
        <x:f>_xlfn.XLOOKUP($A2384,Games!$A$2:$A$18,Games!$G$2:$G$18,"Missing game",0)</x:f>
        <x:v>MIN</x:v>
      </x:c>
      <x:c r="AM2384" t="n">
        <x:f>_xlfn.XLOOKUP($A2384,Games!$A$2:$A$18,Games!$H$2:$H$18,"Missing game",0)</x:f>
        <x:v>16</x:v>
      </x:c>
      <x:c r="AN2384" t="str">
        <x:f>_xlfn.XLOOKUP($A2384,Games!$A$2:$A$18,Games!$I$2:$I$18,"Missing game",0)</x:f>
        <x:v>NYG</x:v>
      </x:c>
      <x:c r="AO2384" t="n">
        <x:f>_xlfn.XLOOKUP($A2384,Games!$A$2:$A$18,Games!$J$2:$J$18,"Missing game",0)</x:f>
        <x:v>13</x:v>
      </x:c>
      <x:c r="AP2384" t="n">
        <x:f>_xlfn.XLOOKUP($A2384,Games!$A$2:$A$18,Games!$K$2:$K$18,"Missing game",0)</x:f>
        <x:v>-3</x:v>
      </x:c>
      <x:c r="AQ2384" t="n">
        <x:f>_xlfn.XLOOKUP($A2384,Games!$A$2:$A$18,Games!$L$2:$L$18,"Missing game",0)</x:f>
        <x:v>29</x:v>
      </x:c>
      <x:c r="AR2384" t="n">
        <x:f>_xlfn.XLOOKUP($A2384,Games!$A$2:$A$18,Games!$M$2:$M$18,"Missing game",0)</x:f>
        <x:v>0</x:v>
      </x:c>
      <x:c r="AS2384" t="str">
        <x:f>_xlfn.XLOOKUP($A2384,Games!$A$2:$A$18,Games!$N$2:$N$18,"Missing game",0)</x:f>
        <x:v>outdoors</x:v>
      </x:c>
      <x:c r="AT2384" t="str">
        <x:f>_xlfn.XLOOKUP($A2384,Games!$A$2:$A$18,Games!$O$2:$O$18,"Missing game",0)</x:f>
        <x:v>fieldturf</x:v>
      </x:c>
      <x:c r="AU2384" t="n">
        <x:f>_xlfn.XLOOKUP($A2384,Games!$A$2:$A$18,Games!$P$2:$P$18,"Missing game",0)</x:f>
        <x:v>46</x:v>
      </x:c>
      <x:c r="AV2384" t="n">
        <x:f>_xlfn.XLOOKUP($A2384,Games!$A$2:$A$18,Games!$Q$2:$Q$18,"Missing game",0)</x:f>
        <x:v>20</x:v>
      </x:c>
      <x:c r="AW2384" t="str">
        <x:f>_xlfn.XLOOKUP($A2384,Games!$A$2:$A$18,Games!$R$2:$R$18,"Missing game",0)</x:f>
        <x:v>MetLife Stadium</x:v>
      </x:c>
    </x:row>
    <x:row r="2385">
      <x:c r="A2385" t="str">
        <x:v>2025_16_MIN_NYG</x:v>
      </x:c>
      <x:c r="B2385" t="n">
        <x:v>1583</x:v>
      </x:c>
      <x:c r="C2385" t="n">
        <x:v>2</x:v>
      </x:c>
      <x:c r="D2385" t="str">
        <x:v>03:45</x:v>
      </x:c>
      <x:c r="E2385" t="n">
        <x:v>3</x:v>
      </x:c>
      <x:c r="F2385" t="n">
        <x:v>15</x:v>
      </x:c>
      <x:c r="G2385" t="str">
        <x:v>NYG</x:v>
      </x:c>
      <x:c r="H2385" t="str">
        <x:v>MIN</x:v>
      </x:c>
      <x:c r="I2385" t="str">
        <x:v>NYG</x:v>
      </x:c>
      <x:c r="J2385" t="n">
        <x:v>76</x:v>
      </x:c>
      <x:c r="K2385" t="str">
        <x:v>(3:45) (Shotgun) 6-J.Dart pass short left intended for 84-T.Johnson INTERCEPTED by 7-B.Murphy at NYG 31. 7-B.Murphy ran ob at NYG 16 for 15 yards (64-A.Stinnie).</x:v>
      </x:c>
      <x:c r="L2385" t="str">
        <x:v>pass</x:v>
      </x:c>
      <x:c r="M2385" t="n">
        <x:v>0</x:v>
      </x:c>
      <x:c r="N2385" t="n">
        <x:v>1</x:v>
      </x:c>
      <x:c r="O2385" t="n">
        <x:v>0</x:v>
      </x:c>
      <x:c r="P2385" t="str">
        <x:v>short</x:v>
      </x:c>
      <x:c r="Q2385" t="str">
        <x:v>left</x:v>
      </x:c>
      <x:c r="R2385" t="n">
        <x:v>7</x:v>
      </x:c>
      <x:c r="S2385"/>
      <x:c r="T2385"/>
      <x:c r="U2385"/>
      <x:c r="V2385" t="n">
        <x:v>0</x:v>
      </x:c>
      <x:c r="W2385" t="n">
        <x:v>0</x:v>
      </x:c>
      <x:c r="X2385" t="n">
        <x:v>0</x:v>
      </x:c>
      <x:c r="Y2385" t="n">
        <x:v>1</x:v>
      </x:c>
      <x:c r="Z2385" t="n">
        <x:v>0</x:v>
      </x:c>
      <x:c r="AA2385" t="n">
        <x:v>0</x:v>
      </x:c>
      <x:c r="AB2385"/>
      <x:c r="AC2385" t="n">
        <x:v>0</x:v>
      </x:c>
      <x:c r="AD2385" t="n">
        <x:v>-3.9607065917225555</x:v>
      </x:c>
      <x:c r="AE2385" t="n">
        <x:v>0</x:v>
      </x:c>
      <x:c r="AF2385" t="n">
        <x:v>-0.09943521022796631</x:v>
      </x:c>
      <x:c r="AG2385" t="n">
        <x:f>_xlfn.XLOOKUP($A2385,Games!$A$2:$A$18,Games!$B$2:$B$18,"Missing game",0)</x:f>
        <x:v>2025</x:v>
      </x:c>
      <x:c r="AH2385" t="str">
        <x:f>_xlfn.XLOOKUP($A2385,Games!$A$2:$A$18,Games!$C$2:$C$18,"Missing game",0)</x:f>
        <x:v>REG</x:v>
      </x:c>
      <x:c r="AI2385" t="n">
        <x:f>_xlfn.XLOOKUP($A2385,Games!$A$2:$A$18,Games!$D$2:$D$18,"Missing game",0)</x:f>
        <x:v>16</x:v>
      </x:c>
      <x:c r="AJ2385" s="1" t="n">
        <x:f>_xlfn.XLOOKUP($A2385,Games!$A$2:$A$18,Games!$E$2:$E$18,"Missing game",0)</x:f>
        <x:v>46012</x:v>
      </x:c>
      <x:c r="AK2385" t="str">
        <x:f>_xlfn.XLOOKUP($A2385,Games!$A$2:$A$18,Games!$F$2:$F$18,"Missing game",0)</x:f>
        <x:v>Sunday</x:v>
      </x:c>
      <x:c r="AL2385" t="str">
        <x:f>_xlfn.XLOOKUP($A2385,Games!$A$2:$A$18,Games!$G$2:$G$18,"Missing game",0)</x:f>
        <x:v>MIN</x:v>
      </x:c>
      <x:c r="AM2385" t="n">
        <x:f>_xlfn.XLOOKUP($A2385,Games!$A$2:$A$18,Games!$H$2:$H$18,"Missing game",0)</x:f>
        <x:v>16</x:v>
      </x:c>
      <x:c r="AN2385" t="str">
        <x:f>_xlfn.XLOOKUP($A2385,Games!$A$2:$A$18,Games!$I$2:$I$18,"Missing game",0)</x:f>
        <x:v>NYG</x:v>
      </x:c>
      <x:c r="AO2385" t="n">
        <x:f>_xlfn.XLOOKUP($A2385,Games!$A$2:$A$18,Games!$J$2:$J$18,"Missing game",0)</x:f>
        <x:v>13</x:v>
      </x:c>
      <x:c r="AP2385" t="n">
        <x:f>_xlfn.XLOOKUP($A2385,Games!$A$2:$A$18,Games!$K$2:$K$18,"Missing game",0)</x:f>
        <x:v>-3</x:v>
      </x:c>
      <x:c r="AQ2385" t="n">
        <x:f>_xlfn.XLOOKUP($A2385,Games!$A$2:$A$18,Games!$L$2:$L$18,"Missing game",0)</x:f>
        <x:v>29</x:v>
      </x:c>
      <x:c r="AR2385" t="n">
        <x:f>_xlfn.XLOOKUP($A2385,Games!$A$2:$A$18,Games!$M$2:$M$18,"Missing game",0)</x:f>
        <x:v>0</x:v>
      </x:c>
      <x:c r="AS2385" t="str">
        <x:f>_xlfn.XLOOKUP($A2385,Games!$A$2:$A$18,Games!$N$2:$N$18,"Missing game",0)</x:f>
        <x:v>outdoors</x:v>
      </x:c>
      <x:c r="AT2385" t="str">
        <x:f>_xlfn.XLOOKUP($A2385,Games!$A$2:$A$18,Games!$O$2:$O$18,"Missing game",0)</x:f>
        <x:v>fieldturf</x:v>
      </x:c>
      <x:c r="AU2385" t="n">
        <x:f>_xlfn.XLOOKUP($A2385,Games!$A$2:$A$18,Games!$P$2:$P$18,"Missing game",0)</x:f>
        <x:v>46</x:v>
      </x:c>
      <x:c r="AV2385" t="n">
        <x:f>_xlfn.XLOOKUP($A2385,Games!$A$2:$A$18,Games!$Q$2:$Q$18,"Missing game",0)</x:f>
        <x:v>20</x:v>
      </x:c>
      <x:c r="AW2385" t="str">
        <x:f>_xlfn.XLOOKUP($A2385,Games!$A$2:$A$18,Games!$R$2:$R$18,"Missing game",0)</x:f>
        <x:v>MetLife Stadium</x:v>
      </x:c>
    </x:row>
    <x:row r="2386">
      <x:c r="A2386" t="str">
        <x:v>2025_16_MIN_NYG</x:v>
      </x:c>
      <x:c r="B2386" t="n">
        <x:v>1615</x:v>
      </x:c>
      <x:c r="C2386" t="n">
        <x:v>2</x:v>
      </x:c>
      <x:c r="D2386" t="str">
        <x:v>03:39</x:v>
      </x:c>
      <x:c r="E2386" t="n">
        <x:v>1</x:v>
      </x:c>
      <x:c r="F2386" t="n">
        <x:v>10</x:v>
      </x:c>
      <x:c r="G2386" t="str">
        <x:v>MIN</x:v>
      </x:c>
      <x:c r="H2386" t="str">
        <x:v>NYG</x:v>
      </x:c>
      <x:c r="I2386" t="str">
        <x:v>NYG</x:v>
      </x:c>
      <x:c r="J2386" t="n">
        <x:v>16</x:v>
      </x:c>
      <x:c r="K2386" t="str">
        <x:v>(3:39) 33-A.Jones left guard to NYG 9 for 7 yards (8-J.Holland).</x:v>
      </x:c>
      <x:c r="L2386" t="str">
        <x:v>run</x:v>
      </x:c>
      <x:c r="M2386" t="n">
        <x:v>7</x:v>
      </x:c>
      <x:c r="N2386" t="n">
        <x:v>0</x:v>
      </x:c>
      <x:c r="O2386" t="n">
        <x:v>0</x:v>
      </x:c>
      <x:c r="P2386"/>
      <x:c r="Q2386"/>
      <x:c r="R2386"/>
      <x:c r="S2386"/>
      <x:c r="T2386" t="str">
        <x:v>left</x:v>
      </x:c>
      <x:c r="U2386" t="str">
        <x:v>guard</x:v>
      </x:c>
      <x:c r="V2386" t="n">
        <x:v>0</x:v>
      </x:c>
      <x:c r="W2386" t="n">
        <x:v>0</x:v>
      </x:c>
      <x:c r="X2386" t="n">
        <x:v>0</x:v>
      </x:c>
      <x:c r="Y2386" t="n">
        <x:v>0</x:v>
      </x:c>
      <x:c r="Z2386" t="n">
        <x:v>0</x:v>
      </x:c>
      <x:c r="AA2386" t="n">
        <x:v>0</x:v>
      </x:c>
      <x:c r="AB2386"/>
      <x:c r="AC2386" t="n">
        <x:v>0</x:v>
      </x:c>
      <x:c r="AD2386" t="n">
        <x:v>0.35175318611436523</x:v>
      </x:c>
      <x:c r="AE2386" t="n">
        <x:v>1</x:v>
      </x:c>
      <x:c r="AF2386" t="n">
        <x:v>0.022443652153015137</x:v>
      </x:c>
      <x:c r="AG2386" t="n">
        <x:f>_xlfn.XLOOKUP($A2386,Games!$A$2:$A$18,Games!$B$2:$B$18,"Missing game",0)</x:f>
        <x:v>2025</x:v>
      </x:c>
      <x:c r="AH2386" t="str">
        <x:f>_xlfn.XLOOKUP($A2386,Games!$A$2:$A$18,Games!$C$2:$C$18,"Missing game",0)</x:f>
        <x:v>REG</x:v>
      </x:c>
      <x:c r="AI2386" t="n">
        <x:f>_xlfn.XLOOKUP($A2386,Games!$A$2:$A$18,Games!$D$2:$D$18,"Missing game",0)</x:f>
        <x:v>16</x:v>
      </x:c>
      <x:c r="AJ2386" s="1" t="n">
        <x:f>_xlfn.XLOOKUP($A2386,Games!$A$2:$A$18,Games!$E$2:$E$18,"Missing game",0)</x:f>
        <x:v>46012</x:v>
      </x:c>
      <x:c r="AK2386" t="str">
        <x:f>_xlfn.XLOOKUP($A2386,Games!$A$2:$A$18,Games!$F$2:$F$18,"Missing game",0)</x:f>
        <x:v>Sunday</x:v>
      </x:c>
      <x:c r="AL2386" t="str">
        <x:f>_xlfn.XLOOKUP($A2386,Games!$A$2:$A$18,Games!$G$2:$G$18,"Missing game",0)</x:f>
        <x:v>MIN</x:v>
      </x:c>
      <x:c r="AM2386" t="n">
        <x:f>_xlfn.XLOOKUP($A2386,Games!$A$2:$A$18,Games!$H$2:$H$18,"Missing game",0)</x:f>
        <x:v>16</x:v>
      </x:c>
      <x:c r="AN2386" t="str">
        <x:f>_xlfn.XLOOKUP($A2386,Games!$A$2:$A$18,Games!$I$2:$I$18,"Missing game",0)</x:f>
        <x:v>NYG</x:v>
      </x:c>
      <x:c r="AO2386" t="n">
        <x:f>_xlfn.XLOOKUP($A2386,Games!$A$2:$A$18,Games!$J$2:$J$18,"Missing game",0)</x:f>
        <x:v>13</x:v>
      </x:c>
      <x:c r="AP2386" t="n">
        <x:f>_xlfn.XLOOKUP($A2386,Games!$A$2:$A$18,Games!$K$2:$K$18,"Missing game",0)</x:f>
        <x:v>-3</x:v>
      </x:c>
      <x:c r="AQ2386" t="n">
        <x:f>_xlfn.XLOOKUP($A2386,Games!$A$2:$A$18,Games!$L$2:$L$18,"Missing game",0)</x:f>
        <x:v>29</x:v>
      </x:c>
      <x:c r="AR2386" t="n">
        <x:f>_xlfn.XLOOKUP($A2386,Games!$A$2:$A$18,Games!$M$2:$M$18,"Missing game",0)</x:f>
        <x:v>0</x:v>
      </x:c>
      <x:c r="AS2386" t="str">
        <x:f>_xlfn.XLOOKUP($A2386,Games!$A$2:$A$18,Games!$N$2:$N$18,"Missing game",0)</x:f>
        <x:v>outdoors</x:v>
      </x:c>
      <x:c r="AT2386" t="str">
        <x:f>_xlfn.XLOOKUP($A2386,Games!$A$2:$A$18,Games!$O$2:$O$18,"Missing game",0)</x:f>
        <x:v>fieldturf</x:v>
      </x:c>
      <x:c r="AU2386" t="n">
        <x:f>_xlfn.XLOOKUP($A2386,Games!$A$2:$A$18,Games!$P$2:$P$18,"Missing game",0)</x:f>
        <x:v>46</x:v>
      </x:c>
      <x:c r="AV2386" t="n">
        <x:f>_xlfn.XLOOKUP($A2386,Games!$A$2:$A$18,Games!$Q$2:$Q$18,"Missing game",0)</x:f>
        <x:v>20</x:v>
      </x:c>
      <x:c r="AW2386" t="str">
        <x:f>_xlfn.XLOOKUP($A2386,Games!$A$2:$A$18,Games!$R$2:$R$18,"Missing game",0)</x:f>
        <x:v>MetLife Stadium</x:v>
      </x:c>
    </x:row>
    <x:row r="2387">
      <x:c r="A2387" t="str">
        <x:v>2025_16_MIN_NYG</x:v>
      </x:c>
      <x:c r="B2387" t="n">
        <x:v>1637</x:v>
      </x:c>
      <x:c r="C2387" t="n">
        <x:v>2</x:v>
      </x:c>
      <x:c r="D2387" t="str">
        <x:v>02:57</x:v>
      </x:c>
      <x:c r="E2387" t="n">
        <x:v>2</x:v>
      </x:c>
      <x:c r="F2387" t="n">
        <x:v>3</x:v>
      </x:c>
      <x:c r="G2387" t="str">
        <x:v>MIN</x:v>
      </x:c>
      <x:c r="H2387" t="str">
        <x:v>NYG</x:v>
      </x:c>
      <x:c r="I2387" t="str">
        <x:v>NYG</x:v>
      </x:c>
      <x:c r="J2387" t="n">
        <x:v>9</x:v>
      </x:c>
      <x:c r="K2387" t="str">
        <x:v>(2:57) (Shotgun) 9-J.McCarthy pass incomplete short right to 30-C.Ham [95-R.Robertson-Harris]. PENALTY on MIN-67-J.Skule, Offensive Holding, 10 yards, enforced at NYG 9 - No Play.</x:v>
      </x:c>
      <x:c r="L2387" t="str">
        <x:v>no_play</x:v>
      </x:c>
      <x:c r="M2387" t="n">
        <x:v>0</x:v>
      </x:c>
      <x:c r="N2387" t="n">
        <x:v>1</x:v>
      </x:c>
      <x:c r="O2387" t="n">
        <x:v>0</x:v>
      </x:c>
      <x:c r="P2387"/>
      <x:c r="Q2387"/>
      <x:c r="R2387"/>
      <x:c r="S2387"/>
      <x:c r="T2387"/>
      <x:c r="U2387"/>
      <x:c r="V2387" t="n">
        <x:v>0</x:v>
      </x:c>
      <x:c r="W2387" t="n">
        <x:v>0</x:v>
      </x:c>
      <x:c r="X2387" t="n">
        <x:v>0</x:v>
      </x:c>
      <x:c r="Y2387" t="n">
        <x:v>0</x:v>
      </x:c>
      <x:c r="Z2387" t="n">
        <x:v>0</x:v>
      </x:c>
      <x:c r="AA2387" t="n">
        <x:v>1</x:v>
      </x:c>
      <x:c r="AB2387" t="n">
        <x:v>10</x:v>
      </x:c>
      <x:c r="AC2387" t="n">
        <x:v>0</x:v>
      </x:c>
      <x:c r="AD2387" t="n">
        <x:v>-1.5877154161280487</x:v>
      </x:c>
      <x:c r="AE2387" t="n">
        <x:v>0</x:v>
      </x:c>
      <x:c r="AF2387" t="n">
        <x:v>-0.05271780490875244</x:v>
      </x:c>
      <x:c r="AG2387" t="n">
        <x:f>_xlfn.XLOOKUP($A2387,Games!$A$2:$A$18,Games!$B$2:$B$18,"Missing game",0)</x:f>
        <x:v>2025</x:v>
      </x:c>
      <x:c r="AH2387" t="str">
        <x:f>_xlfn.XLOOKUP($A2387,Games!$A$2:$A$18,Games!$C$2:$C$18,"Missing game",0)</x:f>
        <x:v>REG</x:v>
      </x:c>
      <x:c r="AI2387" t="n">
        <x:f>_xlfn.XLOOKUP($A2387,Games!$A$2:$A$18,Games!$D$2:$D$18,"Missing game",0)</x:f>
        <x:v>16</x:v>
      </x:c>
      <x:c r="AJ2387" s="1" t="n">
        <x:f>_xlfn.XLOOKUP($A2387,Games!$A$2:$A$18,Games!$E$2:$E$18,"Missing game",0)</x:f>
        <x:v>46012</x:v>
      </x:c>
      <x:c r="AK2387" t="str">
        <x:f>_xlfn.XLOOKUP($A2387,Games!$A$2:$A$18,Games!$F$2:$F$18,"Missing game",0)</x:f>
        <x:v>Sunday</x:v>
      </x:c>
      <x:c r="AL2387" t="str">
        <x:f>_xlfn.XLOOKUP($A2387,Games!$A$2:$A$18,Games!$G$2:$G$18,"Missing game",0)</x:f>
        <x:v>MIN</x:v>
      </x:c>
      <x:c r="AM2387" t="n">
        <x:f>_xlfn.XLOOKUP($A2387,Games!$A$2:$A$18,Games!$H$2:$H$18,"Missing game",0)</x:f>
        <x:v>16</x:v>
      </x:c>
      <x:c r="AN2387" t="str">
        <x:f>_xlfn.XLOOKUP($A2387,Games!$A$2:$A$18,Games!$I$2:$I$18,"Missing game",0)</x:f>
        <x:v>NYG</x:v>
      </x:c>
      <x:c r="AO2387" t="n">
        <x:f>_xlfn.XLOOKUP($A2387,Games!$A$2:$A$18,Games!$J$2:$J$18,"Missing game",0)</x:f>
        <x:v>13</x:v>
      </x:c>
      <x:c r="AP2387" t="n">
        <x:f>_xlfn.XLOOKUP($A2387,Games!$A$2:$A$18,Games!$K$2:$K$18,"Missing game",0)</x:f>
        <x:v>-3</x:v>
      </x:c>
      <x:c r="AQ2387" t="n">
        <x:f>_xlfn.XLOOKUP($A2387,Games!$A$2:$A$18,Games!$L$2:$L$18,"Missing game",0)</x:f>
        <x:v>29</x:v>
      </x:c>
      <x:c r="AR2387" t="n">
        <x:f>_xlfn.XLOOKUP($A2387,Games!$A$2:$A$18,Games!$M$2:$M$18,"Missing game",0)</x:f>
        <x:v>0</x:v>
      </x:c>
      <x:c r="AS2387" t="str">
        <x:f>_xlfn.XLOOKUP($A2387,Games!$A$2:$A$18,Games!$N$2:$N$18,"Missing game",0)</x:f>
        <x:v>outdoors</x:v>
      </x:c>
      <x:c r="AT2387" t="str">
        <x:f>_xlfn.XLOOKUP($A2387,Games!$A$2:$A$18,Games!$O$2:$O$18,"Missing game",0)</x:f>
        <x:v>fieldturf</x:v>
      </x:c>
      <x:c r="AU2387" t="n">
        <x:f>_xlfn.XLOOKUP($A2387,Games!$A$2:$A$18,Games!$P$2:$P$18,"Missing game",0)</x:f>
        <x:v>46</x:v>
      </x:c>
      <x:c r="AV2387" t="n">
        <x:f>_xlfn.XLOOKUP($A2387,Games!$A$2:$A$18,Games!$Q$2:$Q$18,"Missing game",0)</x:f>
        <x:v>20</x:v>
      </x:c>
      <x:c r="AW2387" t="str">
        <x:f>_xlfn.XLOOKUP($A2387,Games!$A$2:$A$18,Games!$R$2:$R$18,"Missing game",0)</x:f>
        <x:v>MetLife Stadium</x:v>
      </x:c>
    </x:row>
    <x:row r="2388">
      <x:c r="A2388" t="str">
        <x:v>2025_16_MIN_NYG</x:v>
      </x:c>
      <x:c r="B2388" t="n">
        <x:v>1671</x:v>
      </x:c>
      <x:c r="C2388" t="n">
        <x:v>2</x:v>
      </x:c>
      <x:c r="D2388" t="str">
        <x:v>02:51</x:v>
      </x:c>
      <x:c r="E2388" t="n">
        <x:v>2</x:v>
      </x:c>
      <x:c r="F2388" t="n">
        <x:v>13</x:v>
      </x:c>
      <x:c r="G2388" t="str">
        <x:v>MIN</x:v>
      </x:c>
      <x:c r="H2388" t="str">
        <x:v>NYG</x:v>
      </x:c>
      <x:c r="I2388" t="str">
        <x:v>NYG</x:v>
      </x:c>
      <x:c r="J2388" t="n">
        <x:v>19</x:v>
      </x:c>
      <x:c r="K2388" t="str">
        <x:v>(2:51) (Shotgun) 9-J.McCarthy pass short right to 33-A.Jones to NYG 12 for 7 yards (8-J.Holland).</x:v>
      </x:c>
      <x:c r="L2388" t="str">
        <x:v>pass</x:v>
      </x:c>
      <x:c r="M2388" t="n">
        <x:v>7</x:v>
      </x:c>
      <x:c r="N2388" t="n">
        <x:v>1</x:v>
      </x:c>
      <x:c r="O2388" t="n">
        <x:v>0</x:v>
      </x:c>
      <x:c r="P2388" t="str">
        <x:v>short</x:v>
      </x:c>
      <x:c r="Q2388" t="str">
        <x:v>right</x:v>
      </x:c>
      <x:c r="R2388" t="n">
        <x:v>-3</x:v>
      </x:c>
      <x:c r="S2388" t="n">
        <x:v>10</x:v>
      </x:c>
      <x:c r="T2388"/>
      <x:c r="U2388"/>
      <x:c r="V2388" t="n">
        <x:v>1</x:v>
      </x:c>
      <x:c r="W2388" t="n">
        <x:v>0</x:v>
      </x:c>
      <x:c r="X2388" t="n">
        <x:v>0</x:v>
      </x:c>
      <x:c r="Y2388" t="n">
        <x:v>0</x:v>
      </x:c>
      <x:c r="Z2388" t="n">
        <x:v>0</x:v>
      </x:c>
      <x:c r="AA2388" t="n">
        <x:v>0</x:v>
      </x:c>
      <x:c r="AB2388"/>
      <x:c r="AC2388" t="n">
        <x:v>0</x:v>
      </x:c>
      <x:c r="AD2388" t="n">
        <x:v>0.3527473363210447</x:v>
      </x:c>
      <x:c r="AE2388" t="n">
        <x:v>1</x:v>
      </x:c>
      <x:c r="AF2388" t="n">
        <x:v>0.02774292230606079</x:v>
      </x:c>
      <x:c r="AG2388" t="n">
        <x:f>_xlfn.XLOOKUP($A2388,Games!$A$2:$A$18,Games!$B$2:$B$18,"Missing game",0)</x:f>
        <x:v>2025</x:v>
      </x:c>
      <x:c r="AH2388" t="str">
        <x:f>_xlfn.XLOOKUP($A2388,Games!$A$2:$A$18,Games!$C$2:$C$18,"Missing game",0)</x:f>
        <x:v>REG</x:v>
      </x:c>
      <x:c r="AI2388" t="n">
        <x:f>_xlfn.XLOOKUP($A2388,Games!$A$2:$A$18,Games!$D$2:$D$18,"Missing game",0)</x:f>
        <x:v>16</x:v>
      </x:c>
      <x:c r="AJ2388" s="1" t="n">
        <x:f>_xlfn.XLOOKUP($A2388,Games!$A$2:$A$18,Games!$E$2:$E$18,"Missing game",0)</x:f>
        <x:v>46012</x:v>
      </x:c>
      <x:c r="AK2388" t="str">
        <x:f>_xlfn.XLOOKUP($A2388,Games!$A$2:$A$18,Games!$F$2:$F$18,"Missing game",0)</x:f>
        <x:v>Sunday</x:v>
      </x:c>
      <x:c r="AL2388" t="str">
        <x:f>_xlfn.XLOOKUP($A2388,Games!$A$2:$A$18,Games!$G$2:$G$18,"Missing game",0)</x:f>
        <x:v>MIN</x:v>
      </x:c>
      <x:c r="AM2388" t="n">
        <x:f>_xlfn.XLOOKUP($A2388,Games!$A$2:$A$18,Games!$H$2:$H$18,"Missing game",0)</x:f>
        <x:v>16</x:v>
      </x:c>
      <x:c r="AN2388" t="str">
        <x:f>_xlfn.XLOOKUP($A2388,Games!$A$2:$A$18,Games!$I$2:$I$18,"Missing game",0)</x:f>
        <x:v>NYG</x:v>
      </x:c>
      <x:c r="AO2388" t="n">
        <x:f>_xlfn.XLOOKUP($A2388,Games!$A$2:$A$18,Games!$J$2:$J$18,"Missing game",0)</x:f>
        <x:v>13</x:v>
      </x:c>
      <x:c r="AP2388" t="n">
        <x:f>_xlfn.XLOOKUP($A2388,Games!$A$2:$A$18,Games!$K$2:$K$18,"Missing game",0)</x:f>
        <x:v>-3</x:v>
      </x:c>
      <x:c r="AQ2388" t="n">
        <x:f>_xlfn.XLOOKUP($A2388,Games!$A$2:$A$18,Games!$L$2:$L$18,"Missing game",0)</x:f>
        <x:v>29</x:v>
      </x:c>
      <x:c r="AR2388" t="n">
        <x:f>_xlfn.XLOOKUP($A2388,Games!$A$2:$A$18,Games!$M$2:$M$18,"Missing game",0)</x:f>
        <x:v>0</x:v>
      </x:c>
      <x:c r="AS2388" t="str">
        <x:f>_xlfn.XLOOKUP($A2388,Games!$A$2:$A$18,Games!$N$2:$N$18,"Missing game",0)</x:f>
        <x:v>outdoors</x:v>
      </x:c>
      <x:c r="AT2388" t="str">
        <x:f>_xlfn.XLOOKUP($A2388,Games!$A$2:$A$18,Games!$O$2:$O$18,"Missing game",0)</x:f>
        <x:v>fieldturf</x:v>
      </x:c>
      <x:c r="AU2388" t="n">
        <x:f>_xlfn.XLOOKUP($A2388,Games!$A$2:$A$18,Games!$P$2:$P$18,"Missing game",0)</x:f>
        <x:v>46</x:v>
      </x:c>
      <x:c r="AV2388" t="n">
        <x:f>_xlfn.XLOOKUP($A2388,Games!$A$2:$A$18,Games!$Q$2:$Q$18,"Missing game",0)</x:f>
        <x:v>20</x:v>
      </x:c>
      <x:c r="AW2388" t="str">
        <x:f>_xlfn.XLOOKUP($A2388,Games!$A$2:$A$18,Games!$R$2:$R$18,"Missing game",0)</x:f>
        <x:v>MetLife Stadium</x:v>
      </x:c>
    </x:row>
    <x:row r="2389">
      <x:c r="A2389" t="str">
        <x:v>2025_16_MIN_NYG</x:v>
      </x:c>
      <x:c r="B2389" t="n">
        <x:v>1696</x:v>
      </x:c>
      <x:c r="C2389" t="n">
        <x:v>2</x:v>
      </x:c>
      <x:c r="D2389" t="str">
        <x:v>02:09</x:v>
      </x:c>
      <x:c r="E2389" t="n">
        <x:v>3</x:v>
      </x:c>
      <x:c r="F2389" t="n">
        <x:v>6</x:v>
      </x:c>
      <x:c r="G2389" t="str">
        <x:v>MIN</x:v>
      </x:c>
      <x:c r="H2389" t="str">
        <x:v>NYG</x:v>
      </x:c>
      <x:c r="I2389" t="str">
        <x:v>NYG</x:v>
      </x:c>
      <x:c r="J2389" t="n">
        <x:v>12</x:v>
      </x:c>
      <x:c r="K2389" t="str">
        <x:v>(2:09) (Shotgun) 9-J.McCarthy scrambles right end for 12 yards, TOUCHDOWN.</x:v>
      </x:c>
      <x:c r="L2389" t="str">
        <x:v>run</x:v>
      </x:c>
      <x:c r="M2389" t="n">
        <x:v>12</x:v>
      </x:c>
      <x:c r="N2389" t="n">
        <x:v>1</x:v>
      </x:c>
      <x:c r="O2389" t="n">
        <x:v>0</x:v>
      </x:c>
      <x:c r="P2389"/>
      <x:c r="Q2389"/>
      <x:c r="R2389"/>
      <x:c r="S2389"/>
      <x:c r="T2389" t="str">
        <x:v>right</x:v>
      </x:c>
      <x:c r="U2389" t="str">
        <x:v>end</x:v>
      </x:c>
      <x:c r="V2389" t="n">
        <x:v>0</x:v>
      </x:c>
      <x:c r="W2389" t="n">
        <x:v>1</x:v>
      </x:c>
      <x:c r="X2389" t="n">
        <x:v>0</x:v>
      </x:c>
      <x:c r="Y2389" t="n">
        <x:v>0</x:v>
      </x:c>
      <x:c r="Z2389" t="n">
        <x:v>0</x:v>
      </x:c>
      <x:c r="AA2389" t="n">
        <x:v>0</x:v>
      </x:c>
      <x:c r="AB2389"/>
      <x:c r="AC2389" t="n">
        <x:v>1</x:v>
      </x:c>
      <x:c r="AD2389" t="n">
        <x:v>3.291336140653584</x:v>
      </x:c>
      <x:c r="AE2389" t="n">
        <x:v>1</x:v>
      </x:c>
      <x:c r="AF2389" t="n">
        <x:v>0.0870671201723553</x:v>
      </x:c>
      <x:c r="AG2389" t="n">
        <x:f>_xlfn.XLOOKUP($A2389,Games!$A$2:$A$18,Games!$B$2:$B$18,"Missing game",0)</x:f>
        <x:v>2025</x:v>
      </x:c>
      <x:c r="AH2389" t="str">
        <x:f>_xlfn.XLOOKUP($A2389,Games!$A$2:$A$18,Games!$C$2:$C$18,"Missing game",0)</x:f>
        <x:v>REG</x:v>
      </x:c>
      <x:c r="AI2389" t="n">
        <x:f>_xlfn.XLOOKUP($A2389,Games!$A$2:$A$18,Games!$D$2:$D$18,"Missing game",0)</x:f>
        <x:v>16</x:v>
      </x:c>
      <x:c r="AJ2389" s="1" t="n">
        <x:f>_xlfn.XLOOKUP($A2389,Games!$A$2:$A$18,Games!$E$2:$E$18,"Missing game",0)</x:f>
        <x:v>46012</x:v>
      </x:c>
      <x:c r="AK2389" t="str">
        <x:f>_xlfn.XLOOKUP($A2389,Games!$A$2:$A$18,Games!$F$2:$F$18,"Missing game",0)</x:f>
        <x:v>Sunday</x:v>
      </x:c>
      <x:c r="AL2389" t="str">
        <x:f>_xlfn.XLOOKUP($A2389,Games!$A$2:$A$18,Games!$G$2:$G$18,"Missing game",0)</x:f>
        <x:v>MIN</x:v>
      </x:c>
      <x:c r="AM2389" t="n">
        <x:f>_xlfn.XLOOKUP($A2389,Games!$A$2:$A$18,Games!$H$2:$H$18,"Missing game",0)</x:f>
        <x:v>16</x:v>
      </x:c>
      <x:c r="AN2389" t="str">
        <x:f>_xlfn.XLOOKUP($A2389,Games!$A$2:$A$18,Games!$I$2:$I$18,"Missing game",0)</x:f>
        <x:v>NYG</x:v>
      </x:c>
      <x:c r="AO2389" t="n">
        <x:f>_xlfn.XLOOKUP($A2389,Games!$A$2:$A$18,Games!$J$2:$J$18,"Missing game",0)</x:f>
        <x:v>13</x:v>
      </x:c>
      <x:c r="AP2389" t="n">
        <x:f>_xlfn.XLOOKUP($A2389,Games!$A$2:$A$18,Games!$K$2:$K$18,"Missing game",0)</x:f>
        <x:v>-3</x:v>
      </x:c>
      <x:c r="AQ2389" t="n">
        <x:f>_xlfn.XLOOKUP($A2389,Games!$A$2:$A$18,Games!$L$2:$L$18,"Missing game",0)</x:f>
        <x:v>29</x:v>
      </x:c>
      <x:c r="AR2389" t="n">
        <x:f>_xlfn.XLOOKUP($A2389,Games!$A$2:$A$18,Games!$M$2:$M$18,"Missing game",0)</x:f>
        <x:v>0</x:v>
      </x:c>
      <x:c r="AS2389" t="str">
        <x:f>_xlfn.XLOOKUP($A2389,Games!$A$2:$A$18,Games!$N$2:$N$18,"Missing game",0)</x:f>
        <x:v>outdoors</x:v>
      </x:c>
      <x:c r="AT2389" t="str">
        <x:f>_xlfn.XLOOKUP($A2389,Games!$A$2:$A$18,Games!$O$2:$O$18,"Missing game",0)</x:f>
        <x:v>fieldturf</x:v>
      </x:c>
      <x:c r="AU2389" t="n">
        <x:f>_xlfn.XLOOKUP($A2389,Games!$A$2:$A$18,Games!$P$2:$P$18,"Missing game",0)</x:f>
        <x:v>46</x:v>
      </x:c>
      <x:c r="AV2389" t="n">
        <x:f>_xlfn.XLOOKUP($A2389,Games!$A$2:$A$18,Games!$Q$2:$Q$18,"Missing game",0)</x:f>
        <x:v>20</x:v>
      </x:c>
      <x:c r="AW2389" t="str">
        <x:f>_xlfn.XLOOKUP($A2389,Games!$A$2:$A$18,Games!$R$2:$R$18,"Missing game",0)</x:f>
        <x:v>MetLife Stadium</x:v>
      </x:c>
    </x:row>
    <x:row r="2390">
      <x:c r="A2390" t="str">
        <x:v>2025_16_MIN_NYG</x:v>
      </x:c>
      <x:c r="B2390" t="n">
        <x:v>1708</x:v>
      </x:c>
      <x:c r="C2390" t="n">
        <x:v>2</x:v>
      </x:c>
      <x:c r="D2390" t="str">
        <x:v>02:09</x:v>
      </x:c>
      <x:c r="E2390"/>
      <x:c r="F2390" t="n">
        <x:v>0</x:v>
      </x:c>
      <x:c r="G2390"/>
      <x:c r="H2390"/>
      <x:c r="I2390"/>
      <x:c r="J2390"/>
      <x:c r="K2390" t="str">
        <x:v>Timeout #1 by MIN at 02:09.</x:v>
      </x:c>
      <x:c r="L2390" t="str">
        <x:v>no_play</x:v>
      </x:c>
      <x:c r="M2390" t="n">
        <x:v>0</x:v>
      </x:c>
      <x:c r="N2390" t="n">
        <x:v>0</x:v>
      </x:c>
      <x:c r="O2390" t="n">
        <x:v>0</x:v>
      </x:c>
      <x:c r="P2390"/>
      <x:c r="Q2390"/>
      <x:c r="R2390"/>
      <x:c r="S2390"/>
      <x:c r="T2390"/>
      <x:c r="U2390"/>
      <x:c r="V2390" t="n">
        <x:v>0</x:v>
      </x:c>
      <x:c r="W2390" t="n">
        <x:v>0</x:v>
      </x:c>
      <x:c r="X2390" t="n">
        <x:v>0</x:v>
      </x:c>
      <x:c r="Y2390" t="n">
        <x:v>0</x:v>
      </x:c>
      <x:c r="Z2390" t="n">
        <x:v>0</x:v>
      </x:c>
      <x:c r="AA2390" t="n">
        <x:v>0</x:v>
      </x:c>
      <x:c r="AB2390"/>
      <x:c r="AC2390" t="n">
        <x:v>0</x:v>
      </x:c>
      <x:c r="AD2390" t="n">
        <x:v>0</x:v>
      </x:c>
      <x:c r="AE2390" t="n">
        <x:v>0</x:v>
      </x:c>
      <x:c r="AF2390" t="n">
        <x:v>0</x:v>
      </x:c>
      <x:c r="AG2390" t="n">
        <x:f>_xlfn.XLOOKUP($A2390,Games!$A$2:$A$18,Games!$B$2:$B$18,"Missing game",0)</x:f>
        <x:v>2025</x:v>
      </x:c>
      <x:c r="AH2390" t="str">
        <x:f>_xlfn.XLOOKUP($A2390,Games!$A$2:$A$18,Games!$C$2:$C$18,"Missing game",0)</x:f>
        <x:v>REG</x:v>
      </x:c>
      <x:c r="AI2390" t="n">
        <x:f>_xlfn.XLOOKUP($A2390,Games!$A$2:$A$18,Games!$D$2:$D$18,"Missing game",0)</x:f>
        <x:v>16</x:v>
      </x:c>
      <x:c r="AJ2390" s="1" t="n">
        <x:f>_xlfn.XLOOKUP($A2390,Games!$A$2:$A$18,Games!$E$2:$E$18,"Missing game",0)</x:f>
        <x:v>46012</x:v>
      </x:c>
      <x:c r="AK2390" t="str">
        <x:f>_xlfn.XLOOKUP($A2390,Games!$A$2:$A$18,Games!$F$2:$F$18,"Missing game",0)</x:f>
        <x:v>Sunday</x:v>
      </x:c>
      <x:c r="AL2390" t="str">
        <x:f>_xlfn.XLOOKUP($A2390,Games!$A$2:$A$18,Games!$G$2:$G$18,"Missing game",0)</x:f>
        <x:v>MIN</x:v>
      </x:c>
      <x:c r="AM2390" t="n">
        <x:f>_xlfn.XLOOKUP($A2390,Games!$A$2:$A$18,Games!$H$2:$H$18,"Missing game",0)</x:f>
        <x:v>16</x:v>
      </x:c>
      <x:c r="AN2390" t="str">
        <x:f>_xlfn.XLOOKUP($A2390,Games!$A$2:$A$18,Games!$I$2:$I$18,"Missing game",0)</x:f>
        <x:v>NYG</x:v>
      </x:c>
      <x:c r="AO2390" t="n">
        <x:f>_xlfn.XLOOKUP($A2390,Games!$A$2:$A$18,Games!$J$2:$J$18,"Missing game",0)</x:f>
        <x:v>13</x:v>
      </x:c>
      <x:c r="AP2390" t="n">
        <x:f>_xlfn.XLOOKUP($A2390,Games!$A$2:$A$18,Games!$K$2:$K$18,"Missing game",0)</x:f>
        <x:v>-3</x:v>
      </x:c>
      <x:c r="AQ2390" t="n">
        <x:f>_xlfn.XLOOKUP($A2390,Games!$A$2:$A$18,Games!$L$2:$L$18,"Missing game",0)</x:f>
        <x:v>29</x:v>
      </x:c>
      <x:c r="AR2390" t="n">
        <x:f>_xlfn.XLOOKUP($A2390,Games!$A$2:$A$18,Games!$M$2:$M$18,"Missing game",0)</x:f>
        <x:v>0</x:v>
      </x:c>
      <x:c r="AS2390" t="str">
        <x:f>_xlfn.XLOOKUP($A2390,Games!$A$2:$A$18,Games!$N$2:$N$18,"Missing game",0)</x:f>
        <x:v>outdoors</x:v>
      </x:c>
      <x:c r="AT2390" t="str">
        <x:f>_xlfn.XLOOKUP($A2390,Games!$A$2:$A$18,Games!$O$2:$O$18,"Missing game",0)</x:f>
        <x:v>fieldturf</x:v>
      </x:c>
      <x:c r="AU2390" t="n">
        <x:f>_xlfn.XLOOKUP($A2390,Games!$A$2:$A$18,Games!$P$2:$P$18,"Missing game",0)</x:f>
        <x:v>46</x:v>
      </x:c>
      <x:c r="AV2390" t="n">
        <x:f>_xlfn.XLOOKUP($A2390,Games!$A$2:$A$18,Games!$Q$2:$Q$18,"Missing game",0)</x:f>
        <x:v>20</x:v>
      </x:c>
      <x:c r="AW2390" t="str">
        <x:f>_xlfn.XLOOKUP($A2390,Games!$A$2:$A$18,Games!$R$2:$R$18,"Missing game",0)</x:f>
        <x:v>MetLife Stadium</x:v>
      </x:c>
    </x:row>
    <x:row r="2391">
      <x:c r="A2391" t="str">
        <x:v>2025_16_MIN_NYG</x:v>
      </x:c>
      <x:c r="B2391" t="n">
        <x:v>1726</x:v>
      </x:c>
      <x:c r="C2391" t="n">
        <x:v>2</x:v>
      </x:c>
      <x:c r="D2391" t="str">
        <x:v>02:01</x:v>
      </x:c>
      <x:c r="E2391"/>
      <x:c r="F2391" t="n">
        <x:v>0</x:v>
      </x:c>
      <x:c r="G2391" t="str">
        <x:v>MIN</x:v>
      </x:c>
      <x:c r="H2391" t="str">
        <x:v>NYG</x:v>
      </x:c>
      <x:c r="I2391" t="str">
        <x:v>NYG</x:v>
      </x:c>
      <x:c r="J2391" t="n">
        <x:v>15</x:v>
      </x:c>
      <x:c r="K2391" t="str">
        <x:v>16-W.Reichard extra point is GOOD, Center-42-A.DePaola, Holder-17-R.Wright.</x:v>
      </x:c>
      <x:c r="L2391" t="str">
        <x:v>extra_point</x:v>
      </x:c>
      <x:c r="M2391" t="n">
        <x:v>0</x:v>
      </x:c>
      <x:c r="N2391" t="n">
        <x:v>0</x:v>
      </x:c>
      <x:c r="O2391" t="n">
        <x:v>0</x:v>
      </x:c>
      <x:c r="P2391"/>
      <x:c r="Q2391"/>
      <x:c r="R2391"/>
      <x:c r="S2391"/>
      <x:c r="T2391"/>
      <x:c r="U2391"/>
      <x:c r="V2391" t="n">
        <x:v>0</x:v>
      </x:c>
      <x:c r="W2391" t="n">
        <x:v>0</x:v>
      </x:c>
      <x:c r="X2391" t="n">
        <x:v>0</x:v>
      </x:c>
      <x:c r="Y2391" t="n">
        <x:v>0</x:v>
      </x:c>
      <x:c r="Z2391" t="n">
        <x:v>0</x:v>
      </x:c>
      <x:c r="AA2391" t="n">
        <x:v>0</x:v>
      </x:c>
      <x:c r="AB2391"/>
      <x:c r="AC2391" t="n">
        <x:v>0</x:v>
      </x:c>
      <x:c r="AD2391" t="n">
        <x:v>0.06757300310763314</x:v>
      </x:c>
      <x:c r="AE2391" t="n">
        <x:v>1</x:v>
      </x:c>
      <x:c r="AF2391" t="n">
        <x:v>0.0005257945281528231</x:v>
      </x:c>
      <x:c r="AG2391" t="n">
        <x:f>_xlfn.XLOOKUP($A2391,Games!$A$2:$A$18,Games!$B$2:$B$18,"Missing game",0)</x:f>
        <x:v>2025</x:v>
      </x:c>
      <x:c r="AH2391" t="str">
        <x:f>_xlfn.XLOOKUP($A2391,Games!$A$2:$A$18,Games!$C$2:$C$18,"Missing game",0)</x:f>
        <x:v>REG</x:v>
      </x:c>
      <x:c r="AI2391" t="n">
        <x:f>_xlfn.XLOOKUP($A2391,Games!$A$2:$A$18,Games!$D$2:$D$18,"Missing game",0)</x:f>
        <x:v>16</x:v>
      </x:c>
      <x:c r="AJ2391" s="1" t="n">
        <x:f>_xlfn.XLOOKUP($A2391,Games!$A$2:$A$18,Games!$E$2:$E$18,"Missing game",0)</x:f>
        <x:v>46012</x:v>
      </x:c>
      <x:c r="AK2391" t="str">
        <x:f>_xlfn.XLOOKUP($A2391,Games!$A$2:$A$18,Games!$F$2:$F$18,"Missing game",0)</x:f>
        <x:v>Sunday</x:v>
      </x:c>
      <x:c r="AL2391" t="str">
        <x:f>_xlfn.XLOOKUP($A2391,Games!$A$2:$A$18,Games!$G$2:$G$18,"Missing game",0)</x:f>
        <x:v>MIN</x:v>
      </x:c>
      <x:c r="AM2391" t="n">
        <x:f>_xlfn.XLOOKUP($A2391,Games!$A$2:$A$18,Games!$H$2:$H$18,"Missing game",0)</x:f>
        <x:v>16</x:v>
      </x:c>
      <x:c r="AN2391" t="str">
        <x:f>_xlfn.XLOOKUP($A2391,Games!$A$2:$A$18,Games!$I$2:$I$18,"Missing game",0)</x:f>
        <x:v>NYG</x:v>
      </x:c>
      <x:c r="AO2391" t="n">
        <x:f>_xlfn.XLOOKUP($A2391,Games!$A$2:$A$18,Games!$J$2:$J$18,"Missing game",0)</x:f>
        <x:v>13</x:v>
      </x:c>
      <x:c r="AP2391" t="n">
        <x:f>_xlfn.XLOOKUP($A2391,Games!$A$2:$A$18,Games!$K$2:$K$18,"Missing game",0)</x:f>
        <x:v>-3</x:v>
      </x:c>
      <x:c r="AQ2391" t="n">
        <x:f>_xlfn.XLOOKUP($A2391,Games!$A$2:$A$18,Games!$L$2:$L$18,"Missing game",0)</x:f>
        <x:v>29</x:v>
      </x:c>
      <x:c r="AR2391" t="n">
        <x:f>_xlfn.XLOOKUP($A2391,Games!$A$2:$A$18,Games!$M$2:$M$18,"Missing game",0)</x:f>
        <x:v>0</x:v>
      </x:c>
      <x:c r="AS2391" t="str">
        <x:f>_xlfn.XLOOKUP($A2391,Games!$A$2:$A$18,Games!$N$2:$N$18,"Missing game",0)</x:f>
        <x:v>outdoors</x:v>
      </x:c>
      <x:c r="AT2391" t="str">
        <x:f>_xlfn.XLOOKUP($A2391,Games!$A$2:$A$18,Games!$O$2:$O$18,"Missing game",0)</x:f>
        <x:v>fieldturf</x:v>
      </x:c>
      <x:c r="AU2391" t="n">
        <x:f>_xlfn.XLOOKUP($A2391,Games!$A$2:$A$18,Games!$P$2:$P$18,"Missing game",0)</x:f>
        <x:v>46</x:v>
      </x:c>
      <x:c r="AV2391" t="n">
        <x:f>_xlfn.XLOOKUP($A2391,Games!$A$2:$A$18,Games!$Q$2:$Q$18,"Missing game",0)</x:f>
        <x:v>20</x:v>
      </x:c>
      <x:c r="AW2391" t="str">
        <x:f>_xlfn.XLOOKUP($A2391,Games!$A$2:$A$18,Games!$R$2:$R$18,"Missing game",0)</x:f>
        <x:v>MetLife Stadium</x:v>
      </x:c>
    </x:row>
    <x:row r="2392">
      <x:c r="A2392" t="str">
        <x:v>2025_16_MIN_NYG</x:v>
      </x:c>
      <x:c r="B2392" t="n">
        <x:v>1741</x:v>
      </x:c>
      <x:c r="C2392" t="n">
        <x:v>2</x:v>
      </x:c>
      <x:c r="D2392" t="str">
        <x:v>02:01</x:v>
      </x:c>
      <x:c r="E2392"/>
      <x:c r="F2392" t="n">
        <x:v>0</x:v>
      </x:c>
      <x:c r="G2392" t="str">
        <x:v>NYG</x:v>
      </x:c>
      <x:c r="H2392" t="str">
        <x:v>MIN</x:v>
      </x:c>
      <x:c r="I2392" t="str">
        <x:v>MIN</x:v>
      </x:c>
      <x:c r="J2392" t="n">
        <x:v>35</x:v>
      </x:c>
      <x:c r="K2392" t="str">
        <x:v>16-W.Reichard kicks 61 yards from MIN 35 to NYG 4. 80-G.Olszewski to NYG 30 for 26 yards (90-T.Ingram-Dawkins).</x:v>
      </x:c>
      <x:c r="L2392" t="str">
        <x:v>kickoff</x:v>
      </x:c>
      <x:c r="M2392" t="n">
        <x:v>0</x:v>
      </x:c>
      <x:c r="N2392" t="n">
        <x:v>0</x:v>
      </x:c>
      <x:c r="O2392" t="n">
        <x:v>0</x:v>
      </x:c>
      <x:c r="P2392"/>
      <x:c r="Q2392"/>
      <x:c r="R2392"/>
      <x:c r="S2392"/>
      <x:c r="T2392"/>
      <x:c r="U2392"/>
      <x:c r="V2392" t="n">
        <x:v>0</x:v>
      </x:c>
      <x:c r="W2392" t="n">
        <x:v>0</x:v>
      </x:c>
      <x:c r="X2392" t="n">
        <x:v>0</x:v>
      </x:c>
      <x:c r="Y2392" t="n">
        <x:v>0</x:v>
      </x:c>
      <x:c r="Z2392" t="n">
        <x:v>0</x:v>
      </x:c>
      <x:c r="AA2392" t="n">
        <x:v>0</x:v>
      </x:c>
      <x:c r="AB2392"/>
      <x:c r="AC2392" t="n">
        <x:v>0</x:v>
      </x:c>
      <x:c r="AD2392" t="n">
        <x:v>0.06954327027779073</x:v>
      </x:c>
      <x:c r="AE2392" t="n">
        <x:v>1</x:v>
      </x:c>
      <x:c r="AF2392" t="n">
        <x:v>0.004471734166145325</x:v>
      </x:c>
      <x:c r="AG2392" t="n">
        <x:f>_xlfn.XLOOKUP($A2392,Games!$A$2:$A$18,Games!$B$2:$B$18,"Missing game",0)</x:f>
        <x:v>2025</x:v>
      </x:c>
      <x:c r="AH2392" t="str">
        <x:f>_xlfn.XLOOKUP($A2392,Games!$A$2:$A$18,Games!$C$2:$C$18,"Missing game",0)</x:f>
        <x:v>REG</x:v>
      </x:c>
      <x:c r="AI2392" t="n">
        <x:f>_xlfn.XLOOKUP($A2392,Games!$A$2:$A$18,Games!$D$2:$D$18,"Missing game",0)</x:f>
        <x:v>16</x:v>
      </x:c>
      <x:c r="AJ2392" s="1" t="n">
        <x:f>_xlfn.XLOOKUP($A2392,Games!$A$2:$A$18,Games!$E$2:$E$18,"Missing game",0)</x:f>
        <x:v>46012</x:v>
      </x:c>
      <x:c r="AK2392" t="str">
        <x:f>_xlfn.XLOOKUP($A2392,Games!$A$2:$A$18,Games!$F$2:$F$18,"Missing game",0)</x:f>
        <x:v>Sunday</x:v>
      </x:c>
      <x:c r="AL2392" t="str">
        <x:f>_xlfn.XLOOKUP($A2392,Games!$A$2:$A$18,Games!$G$2:$G$18,"Missing game",0)</x:f>
        <x:v>MIN</x:v>
      </x:c>
      <x:c r="AM2392" t="n">
        <x:f>_xlfn.XLOOKUP($A2392,Games!$A$2:$A$18,Games!$H$2:$H$18,"Missing game",0)</x:f>
        <x:v>16</x:v>
      </x:c>
      <x:c r="AN2392" t="str">
        <x:f>_xlfn.XLOOKUP($A2392,Games!$A$2:$A$18,Games!$I$2:$I$18,"Missing game",0)</x:f>
        <x:v>NYG</x:v>
      </x:c>
      <x:c r="AO2392" t="n">
        <x:f>_xlfn.XLOOKUP($A2392,Games!$A$2:$A$18,Games!$J$2:$J$18,"Missing game",0)</x:f>
        <x:v>13</x:v>
      </x:c>
      <x:c r="AP2392" t="n">
        <x:f>_xlfn.XLOOKUP($A2392,Games!$A$2:$A$18,Games!$K$2:$K$18,"Missing game",0)</x:f>
        <x:v>-3</x:v>
      </x:c>
      <x:c r="AQ2392" t="n">
        <x:f>_xlfn.XLOOKUP($A2392,Games!$A$2:$A$18,Games!$L$2:$L$18,"Missing game",0)</x:f>
        <x:v>29</x:v>
      </x:c>
      <x:c r="AR2392" t="n">
        <x:f>_xlfn.XLOOKUP($A2392,Games!$A$2:$A$18,Games!$M$2:$M$18,"Missing game",0)</x:f>
        <x:v>0</x:v>
      </x:c>
      <x:c r="AS2392" t="str">
        <x:f>_xlfn.XLOOKUP($A2392,Games!$A$2:$A$18,Games!$N$2:$N$18,"Missing game",0)</x:f>
        <x:v>outdoors</x:v>
      </x:c>
      <x:c r="AT2392" t="str">
        <x:f>_xlfn.XLOOKUP($A2392,Games!$A$2:$A$18,Games!$O$2:$O$18,"Missing game",0)</x:f>
        <x:v>fieldturf</x:v>
      </x:c>
      <x:c r="AU2392" t="n">
        <x:f>_xlfn.XLOOKUP($A2392,Games!$A$2:$A$18,Games!$P$2:$P$18,"Missing game",0)</x:f>
        <x:v>46</x:v>
      </x:c>
      <x:c r="AV2392" t="n">
        <x:f>_xlfn.XLOOKUP($A2392,Games!$A$2:$A$18,Games!$Q$2:$Q$18,"Missing game",0)</x:f>
        <x:v>20</x:v>
      </x:c>
      <x:c r="AW2392" t="str">
        <x:f>_xlfn.XLOOKUP($A2392,Games!$A$2:$A$18,Games!$R$2:$R$18,"Missing game",0)</x:f>
        <x:v>MetLife Stadium</x:v>
      </x:c>
    </x:row>
    <x:row r="2393">
      <x:c r="A2393" t="str">
        <x:v>2025_16_MIN_NYG</x:v>
      </x:c>
      <x:c r="B2393" t="n">
        <x:v>1764</x:v>
      </x:c>
      <x:c r="C2393" t="n">
        <x:v>2</x:v>
      </x:c>
      <x:c r="D2393" t="str">
        <x:v>01:53</x:v>
      </x:c>
      <x:c r="E2393" t="n">
        <x:v>1</x:v>
      </x:c>
      <x:c r="F2393" t="n">
        <x:v>10</x:v>
      </x:c>
      <x:c r="G2393" t="str">
        <x:v>NYG</x:v>
      </x:c>
      <x:c r="H2393" t="str">
        <x:v>MIN</x:v>
      </x:c>
      <x:c r="I2393" t="str">
        <x:v>NYG</x:v>
      </x:c>
      <x:c r="J2393" t="n">
        <x:v>70</x:v>
      </x:c>
      <x:c r="K2393" t="str">
        <x:v>(1:53) (Shotgun) 6-J.Dart pass incomplete short left to 89-I.Hodgins (7-B.Murphy). PENALTY on NYG-29-T.Tracy, Offensive Holding, 10 yards, enforced at NYG 30 - No Play.</x:v>
      </x:c>
      <x:c r="L2393" t="str">
        <x:v>no_play</x:v>
      </x:c>
      <x:c r="M2393" t="n">
        <x:v>0</x:v>
      </x:c>
      <x:c r="N2393" t="n">
        <x:v>1</x:v>
      </x:c>
      <x:c r="O2393" t="n">
        <x:v>0</x:v>
      </x:c>
      <x:c r="P2393"/>
      <x:c r="Q2393"/>
      <x:c r="R2393"/>
      <x:c r="S2393"/>
      <x:c r="T2393"/>
      <x:c r="U2393"/>
      <x:c r="V2393" t="n">
        <x:v>0</x:v>
      </x:c>
      <x:c r="W2393" t="n">
        <x:v>0</x:v>
      </x:c>
      <x:c r="X2393" t="n">
        <x:v>0</x:v>
      </x:c>
      <x:c r="Y2393" t="n">
        <x:v>0</x:v>
      </x:c>
      <x:c r="Z2393" t="n">
        <x:v>0</x:v>
      </x:c>
      <x:c r="AA2393" t="n">
        <x:v>1</x:v>
      </x:c>
      <x:c r="AB2393" t="n">
        <x:v>10</x:v>
      </x:c>
      <x:c r="AC2393" t="n">
        <x:v>0</x:v>
      </x:c>
      <x:c r="AD2393" t="n">
        <x:v>-0.7200228202855214</x:v>
      </x:c>
      <x:c r="AE2393" t="n">
        <x:v>0</x:v>
      </x:c>
      <x:c r="AF2393" t="n">
        <x:v>-0.020132482051849365</x:v>
      </x:c>
      <x:c r="AG2393" t="n">
        <x:f>_xlfn.XLOOKUP($A2393,Games!$A$2:$A$18,Games!$B$2:$B$18,"Missing game",0)</x:f>
        <x:v>2025</x:v>
      </x:c>
      <x:c r="AH2393" t="str">
        <x:f>_xlfn.XLOOKUP($A2393,Games!$A$2:$A$18,Games!$C$2:$C$18,"Missing game",0)</x:f>
        <x:v>REG</x:v>
      </x:c>
      <x:c r="AI2393" t="n">
        <x:f>_xlfn.XLOOKUP($A2393,Games!$A$2:$A$18,Games!$D$2:$D$18,"Missing game",0)</x:f>
        <x:v>16</x:v>
      </x:c>
      <x:c r="AJ2393" s="1" t="n">
        <x:f>_xlfn.XLOOKUP($A2393,Games!$A$2:$A$18,Games!$E$2:$E$18,"Missing game",0)</x:f>
        <x:v>46012</x:v>
      </x:c>
      <x:c r="AK2393" t="str">
        <x:f>_xlfn.XLOOKUP($A2393,Games!$A$2:$A$18,Games!$F$2:$F$18,"Missing game",0)</x:f>
        <x:v>Sunday</x:v>
      </x:c>
      <x:c r="AL2393" t="str">
        <x:f>_xlfn.XLOOKUP($A2393,Games!$A$2:$A$18,Games!$G$2:$G$18,"Missing game",0)</x:f>
        <x:v>MIN</x:v>
      </x:c>
      <x:c r="AM2393" t="n">
        <x:f>_xlfn.XLOOKUP($A2393,Games!$A$2:$A$18,Games!$H$2:$H$18,"Missing game",0)</x:f>
        <x:v>16</x:v>
      </x:c>
      <x:c r="AN2393" t="str">
        <x:f>_xlfn.XLOOKUP($A2393,Games!$A$2:$A$18,Games!$I$2:$I$18,"Missing game",0)</x:f>
        <x:v>NYG</x:v>
      </x:c>
      <x:c r="AO2393" t="n">
        <x:f>_xlfn.XLOOKUP($A2393,Games!$A$2:$A$18,Games!$J$2:$J$18,"Missing game",0)</x:f>
        <x:v>13</x:v>
      </x:c>
      <x:c r="AP2393" t="n">
        <x:f>_xlfn.XLOOKUP($A2393,Games!$A$2:$A$18,Games!$K$2:$K$18,"Missing game",0)</x:f>
        <x:v>-3</x:v>
      </x:c>
      <x:c r="AQ2393" t="n">
        <x:f>_xlfn.XLOOKUP($A2393,Games!$A$2:$A$18,Games!$L$2:$L$18,"Missing game",0)</x:f>
        <x:v>29</x:v>
      </x:c>
      <x:c r="AR2393" t="n">
        <x:f>_xlfn.XLOOKUP($A2393,Games!$A$2:$A$18,Games!$M$2:$M$18,"Missing game",0)</x:f>
        <x:v>0</x:v>
      </x:c>
      <x:c r="AS2393" t="str">
        <x:f>_xlfn.XLOOKUP($A2393,Games!$A$2:$A$18,Games!$N$2:$N$18,"Missing game",0)</x:f>
        <x:v>outdoors</x:v>
      </x:c>
      <x:c r="AT2393" t="str">
        <x:f>_xlfn.XLOOKUP($A2393,Games!$A$2:$A$18,Games!$O$2:$O$18,"Missing game",0)</x:f>
        <x:v>fieldturf</x:v>
      </x:c>
      <x:c r="AU2393" t="n">
        <x:f>_xlfn.XLOOKUP($A2393,Games!$A$2:$A$18,Games!$P$2:$P$18,"Missing game",0)</x:f>
        <x:v>46</x:v>
      </x:c>
      <x:c r="AV2393" t="n">
        <x:f>_xlfn.XLOOKUP($A2393,Games!$A$2:$A$18,Games!$Q$2:$Q$18,"Missing game",0)</x:f>
        <x:v>20</x:v>
      </x:c>
      <x:c r="AW2393" t="str">
        <x:f>_xlfn.XLOOKUP($A2393,Games!$A$2:$A$18,Games!$R$2:$R$18,"Missing game",0)</x:f>
        <x:v>MetLife Stadium</x:v>
      </x:c>
    </x:row>
    <x:row r="2394">
      <x:c r="A2394" t="str">
        <x:v>2025_16_MIN_NYG</x:v>
      </x:c>
      <x:c r="B2394" t="n">
        <x:v>1805</x:v>
      </x:c>
      <x:c r="C2394" t="n">
        <x:v>2</x:v>
      </x:c>
      <x:c r="D2394" t="str">
        <x:v>01:48</x:v>
      </x:c>
      <x:c r="E2394" t="n">
        <x:v>1</x:v>
      </x:c>
      <x:c r="F2394" t="n">
        <x:v>20</x:v>
      </x:c>
      <x:c r="G2394" t="str">
        <x:v>NYG</x:v>
      </x:c>
      <x:c r="H2394" t="str">
        <x:v>MIN</x:v>
      </x:c>
      <x:c r="I2394" t="str">
        <x:v>NYG</x:v>
      </x:c>
      <x:c r="J2394" t="n">
        <x:v>80</x:v>
      </x:c>
      <x:c r="K2394" t="str">
        <x:v>(1:48) (Shotgun) 6-J.Dart pass short left to 17-W.Robinson to NYG 22 for 2 yards (2-I.Rodgers).</x:v>
      </x:c>
      <x:c r="L2394" t="str">
        <x:v>pass</x:v>
      </x:c>
      <x:c r="M2394" t="n">
        <x:v>2</x:v>
      </x:c>
      <x:c r="N2394" t="n">
        <x:v>1</x:v>
      </x:c>
      <x:c r="O2394" t="n">
        <x:v>0</x:v>
      </x:c>
      <x:c r="P2394" t="str">
        <x:v>short</x:v>
      </x:c>
      <x:c r="Q2394" t="str">
        <x:v>left</x:v>
      </x:c>
      <x:c r="R2394" t="n">
        <x:v>2</x:v>
      </x:c>
      <x:c r="S2394" t="n">
        <x:v>0</x:v>
      </x:c>
      <x:c r="T2394"/>
      <x:c r="U2394"/>
      <x:c r="V2394" t="n">
        <x:v>1</x:v>
      </x:c>
      <x:c r="W2394" t="n">
        <x:v>0</x:v>
      </x:c>
      <x:c r="X2394" t="n">
        <x:v>0</x:v>
      </x:c>
      <x:c r="Y2394" t="n">
        <x:v>0</x:v>
      </x:c>
      <x:c r="Z2394" t="n">
        <x:v>0</x:v>
      </x:c>
      <x:c r="AA2394" t="n">
        <x:v>0</x:v>
      </x:c>
      <x:c r="AB2394"/>
      <x:c r="AC2394" t="n">
        <x:v>0</x:v>
      </x:c>
      <x:c r="AD2394" t="n">
        <x:v>-0.09704220481216908</x:v>
      </x:c>
      <x:c r="AE2394" t="n">
        <x:v>0</x:v>
      </x:c>
      <x:c r="AF2394" t="n">
        <x:v>-0.008246496319770813</x:v>
      </x:c>
      <x:c r="AG2394" t="n">
        <x:f>_xlfn.XLOOKUP($A2394,Games!$A$2:$A$18,Games!$B$2:$B$18,"Missing game",0)</x:f>
        <x:v>2025</x:v>
      </x:c>
      <x:c r="AH2394" t="str">
        <x:f>_xlfn.XLOOKUP($A2394,Games!$A$2:$A$18,Games!$C$2:$C$18,"Missing game",0)</x:f>
        <x:v>REG</x:v>
      </x:c>
      <x:c r="AI2394" t="n">
        <x:f>_xlfn.XLOOKUP($A2394,Games!$A$2:$A$18,Games!$D$2:$D$18,"Missing game",0)</x:f>
        <x:v>16</x:v>
      </x:c>
      <x:c r="AJ2394" s="1" t="n">
        <x:f>_xlfn.XLOOKUP($A2394,Games!$A$2:$A$18,Games!$E$2:$E$18,"Missing game",0)</x:f>
        <x:v>46012</x:v>
      </x:c>
      <x:c r="AK2394" t="str">
        <x:f>_xlfn.XLOOKUP($A2394,Games!$A$2:$A$18,Games!$F$2:$F$18,"Missing game",0)</x:f>
        <x:v>Sunday</x:v>
      </x:c>
      <x:c r="AL2394" t="str">
        <x:f>_xlfn.XLOOKUP($A2394,Games!$A$2:$A$18,Games!$G$2:$G$18,"Missing game",0)</x:f>
        <x:v>MIN</x:v>
      </x:c>
      <x:c r="AM2394" t="n">
        <x:f>_xlfn.XLOOKUP($A2394,Games!$A$2:$A$18,Games!$H$2:$H$18,"Missing game",0)</x:f>
        <x:v>16</x:v>
      </x:c>
      <x:c r="AN2394" t="str">
        <x:f>_xlfn.XLOOKUP($A2394,Games!$A$2:$A$18,Games!$I$2:$I$18,"Missing game",0)</x:f>
        <x:v>NYG</x:v>
      </x:c>
      <x:c r="AO2394" t="n">
        <x:f>_xlfn.XLOOKUP($A2394,Games!$A$2:$A$18,Games!$J$2:$J$18,"Missing game",0)</x:f>
        <x:v>13</x:v>
      </x:c>
      <x:c r="AP2394" t="n">
        <x:f>_xlfn.XLOOKUP($A2394,Games!$A$2:$A$18,Games!$K$2:$K$18,"Missing game",0)</x:f>
        <x:v>-3</x:v>
      </x:c>
      <x:c r="AQ2394" t="n">
        <x:f>_xlfn.XLOOKUP($A2394,Games!$A$2:$A$18,Games!$L$2:$L$18,"Missing game",0)</x:f>
        <x:v>29</x:v>
      </x:c>
      <x:c r="AR2394" t="n">
        <x:f>_xlfn.XLOOKUP($A2394,Games!$A$2:$A$18,Games!$M$2:$M$18,"Missing game",0)</x:f>
        <x:v>0</x:v>
      </x:c>
      <x:c r="AS2394" t="str">
        <x:f>_xlfn.XLOOKUP($A2394,Games!$A$2:$A$18,Games!$N$2:$N$18,"Missing game",0)</x:f>
        <x:v>outdoors</x:v>
      </x:c>
      <x:c r="AT2394" t="str">
        <x:f>_xlfn.XLOOKUP($A2394,Games!$A$2:$A$18,Games!$O$2:$O$18,"Missing game",0)</x:f>
        <x:v>fieldturf</x:v>
      </x:c>
      <x:c r="AU2394" t="n">
        <x:f>_xlfn.XLOOKUP($A2394,Games!$A$2:$A$18,Games!$P$2:$P$18,"Missing game",0)</x:f>
        <x:v>46</x:v>
      </x:c>
      <x:c r="AV2394" t="n">
        <x:f>_xlfn.XLOOKUP($A2394,Games!$A$2:$A$18,Games!$Q$2:$Q$18,"Missing game",0)</x:f>
        <x:v>20</x:v>
      </x:c>
      <x:c r="AW2394" t="str">
        <x:f>_xlfn.XLOOKUP($A2394,Games!$A$2:$A$18,Games!$R$2:$R$18,"Missing game",0)</x:f>
        <x:v>MetLife Stadium</x:v>
      </x:c>
    </x:row>
    <x:row r="2395">
      <x:c r="A2395" t="str">
        <x:v>2025_16_MIN_NYG</x:v>
      </x:c>
      <x:c r="B2395" t="n">
        <x:v>1830</x:v>
      </x:c>
      <x:c r="C2395" t="n">
        <x:v>2</x:v>
      </x:c>
      <x:c r="D2395" t="str">
        <x:v>01:18</x:v>
      </x:c>
      <x:c r="E2395" t="n">
        <x:v>2</x:v>
      </x:c>
      <x:c r="F2395" t="n">
        <x:v>18</x:v>
      </x:c>
      <x:c r="G2395" t="str">
        <x:v>NYG</x:v>
      </x:c>
      <x:c r="H2395" t="str">
        <x:v>MIN</x:v>
      </x:c>
      <x:c r="I2395" t="str">
        <x:v>NYG</x:v>
      </x:c>
      <x:c r="J2395" t="n">
        <x:v>78</x:v>
      </x:c>
      <x:c r="K2395" t="str">
        <x:v>(1:18) (No Huddle, Shotgun) 6-J.Dart pass incomplete short middle to 17-W.Robinson (43-A.Van Ginkel).</x:v>
      </x:c>
      <x:c r="L2395" t="str">
        <x:v>pass</x:v>
      </x:c>
      <x:c r="M2395" t="n">
        <x:v>0</x:v>
      </x:c>
      <x:c r="N2395" t="n">
        <x:v>1</x:v>
      </x:c>
      <x:c r="O2395" t="n">
        <x:v>1</x:v>
      </x:c>
      <x:c r="P2395" t="str">
        <x:v>short</x:v>
      </x:c>
      <x:c r="Q2395" t="str">
        <x:v>middle</x:v>
      </x:c>
      <x:c r="R2395" t="n">
        <x:v>14</x:v>
      </x:c>
      <x:c r="S2395"/>
      <x:c r="T2395"/>
      <x:c r="U2395"/>
      <x:c r="V2395" t="n">
        <x:v>0</x:v>
      </x:c>
      <x:c r="W2395" t="n">
        <x:v>0</x:v>
      </x:c>
      <x:c r="X2395" t="n">
        <x:v>0</x:v>
      </x:c>
      <x:c r="Y2395" t="n">
        <x:v>0</x:v>
      </x:c>
      <x:c r="Z2395" t="n">
        <x:v>0</x:v>
      </x:c>
      <x:c r="AA2395" t="n">
        <x:v>0</x:v>
      </x:c>
      <x:c r="AB2395"/>
      <x:c r="AC2395" t="n">
        <x:v>0</x:v>
      </x:c>
      <x:c r="AD2395" t="n">
        <x:v>-0.34628728427924216</x:v>
      </x:c>
      <x:c r="AE2395" t="n">
        <x:v>0</x:v>
      </x:c>
      <x:c r="AF2395" t="n">
        <x:v>-0.01951843500137329</x:v>
      </x:c>
      <x:c r="AG2395" t="n">
        <x:f>_xlfn.XLOOKUP($A2395,Games!$A$2:$A$18,Games!$B$2:$B$18,"Missing game",0)</x:f>
        <x:v>2025</x:v>
      </x:c>
      <x:c r="AH2395" t="str">
        <x:f>_xlfn.XLOOKUP($A2395,Games!$A$2:$A$18,Games!$C$2:$C$18,"Missing game",0)</x:f>
        <x:v>REG</x:v>
      </x:c>
      <x:c r="AI2395" t="n">
        <x:f>_xlfn.XLOOKUP($A2395,Games!$A$2:$A$18,Games!$D$2:$D$18,"Missing game",0)</x:f>
        <x:v>16</x:v>
      </x:c>
      <x:c r="AJ2395" s="1" t="n">
        <x:f>_xlfn.XLOOKUP($A2395,Games!$A$2:$A$18,Games!$E$2:$E$18,"Missing game",0)</x:f>
        <x:v>46012</x:v>
      </x:c>
      <x:c r="AK2395" t="str">
        <x:f>_xlfn.XLOOKUP($A2395,Games!$A$2:$A$18,Games!$F$2:$F$18,"Missing game",0)</x:f>
        <x:v>Sunday</x:v>
      </x:c>
      <x:c r="AL2395" t="str">
        <x:f>_xlfn.XLOOKUP($A2395,Games!$A$2:$A$18,Games!$G$2:$G$18,"Missing game",0)</x:f>
        <x:v>MIN</x:v>
      </x:c>
      <x:c r="AM2395" t="n">
        <x:f>_xlfn.XLOOKUP($A2395,Games!$A$2:$A$18,Games!$H$2:$H$18,"Missing game",0)</x:f>
        <x:v>16</x:v>
      </x:c>
      <x:c r="AN2395" t="str">
        <x:f>_xlfn.XLOOKUP($A2395,Games!$A$2:$A$18,Games!$I$2:$I$18,"Missing game",0)</x:f>
        <x:v>NYG</x:v>
      </x:c>
      <x:c r="AO2395" t="n">
        <x:f>_xlfn.XLOOKUP($A2395,Games!$A$2:$A$18,Games!$J$2:$J$18,"Missing game",0)</x:f>
        <x:v>13</x:v>
      </x:c>
      <x:c r="AP2395" t="n">
        <x:f>_xlfn.XLOOKUP($A2395,Games!$A$2:$A$18,Games!$K$2:$K$18,"Missing game",0)</x:f>
        <x:v>-3</x:v>
      </x:c>
      <x:c r="AQ2395" t="n">
        <x:f>_xlfn.XLOOKUP($A2395,Games!$A$2:$A$18,Games!$L$2:$L$18,"Missing game",0)</x:f>
        <x:v>29</x:v>
      </x:c>
      <x:c r="AR2395" t="n">
        <x:f>_xlfn.XLOOKUP($A2395,Games!$A$2:$A$18,Games!$M$2:$M$18,"Missing game",0)</x:f>
        <x:v>0</x:v>
      </x:c>
      <x:c r="AS2395" t="str">
        <x:f>_xlfn.XLOOKUP($A2395,Games!$A$2:$A$18,Games!$N$2:$N$18,"Missing game",0)</x:f>
        <x:v>outdoors</x:v>
      </x:c>
      <x:c r="AT2395" t="str">
        <x:f>_xlfn.XLOOKUP($A2395,Games!$A$2:$A$18,Games!$O$2:$O$18,"Missing game",0)</x:f>
        <x:v>fieldturf</x:v>
      </x:c>
      <x:c r="AU2395" t="n">
        <x:f>_xlfn.XLOOKUP($A2395,Games!$A$2:$A$18,Games!$P$2:$P$18,"Missing game",0)</x:f>
        <x:v>46</x:v>
      </x:c>
      <x:c r="AV2395" t="n">
        <x:f>_xlfn.XLOOKUP($A2395,Games!$A$2:$A$18,Games!$Q$2:$Q$18,"Missing game",0)</x:f>
        <x:v>20</x:v>
      </x:c>
      <x:c r="AW2395" t="str">
        <x:f>_xlfn.XLOOKUP($A2395,Games!$A$2:$A$18,Games!$R$2:$R$18,"Missing game",0)</x:f>
        <x:v>MetLife Stadium</x:v>
      </x:c>
    </x:row>
    <x:row r="2396">
      <x:c r="A2396" t="str">
        <x:v>2025_16_MIN_NYG</x:v>
      </x:c>
      <x:c r="B2396" t="n">
        <x:v>1853</x:v>
      </x:c>
      <x:c r="C2396" t="n">
        <x:v>2</x:v>
      </x:c>
      <x:c r="D2396" t="str">
        <x:v>01:13</x:v>
      </x:c>
      <x:c r="E2396" t="n">
        <x:v>3</x:v>
      </x:c>
      <x:c r="F2396" t="n">
        <x:v>18</x:v>
      </x:c>
      <x:c r="G2396" t="str">
        <x:v>NYG</x:v>
      </x:c>
      <x:c r="H2396" t="str">
        <x:v>MIN</x:v>
      </x:c>
      <x:c r="I2396" t="str">
        <x:v>NYG</x:v>
      </x:c>
      <x:c r="J2396" t="n">
        <x:v>78</x:v>
      </x:c>
      <x:c r="K2396" t="str">
        <x:v>(1:13) (Shotgun) 6-J.Dart scrambles up the middle to NYG 26 for 4 yards (43-A.Van Ginkel).</x:v>
      </x:c>
      <x:c r="L2396" t="str">
        <x:v>run</x:v>
      </x:c>
      <x:c r="M2396" t="n">
        <x:v>4</x:v>
      </x:c>
      <x:c r="N2396" t="n">
        <x:v>1</x:v>
      </x:c>
      <x:c r="O2396" t="n">
        <x:v>0</x:v>
      </x:c>
      <x:c r="P2396"/>
      <x:c r="Q2396"/>
      <x:c r="R2396"/>
      <x:c r="S2396"/>
      <x:c r="T2396" t="str">
        <x:v>middle</x:v>
      </x:c>
      <x:c r="U2396"/>
      <x:c r="V2396" t="n">
        <x:v>0</x:v>
      </x:c>
      <x:c r="W2396" t="n">
        <x:v>0</x:v>
      </x:c>
      <x:c r="X2396" t="n">
        <x:v>0</x:v>
      </x:c>
      <x:c r="Y2396" t="n">
        <x:v>0</x:v>
      </x:c>
      <x:c r="Z2396" t="n">
        <x:v>0</x:v>
      </x:c>
      <x:c r="AA2396" t="n">
        <x:v>0</x:v>
      </x:c>
      <x:c r="AB2396"/>
      <x:c r="AC2396" t="n">
        <x:v>0</x:v>
      </x:c>
      <x:c r="AD2396" t="n">
        <x:v>-0.37121616990771145</x:v>
      </x:c>
      <x:c r="AE2396" t="n">
        <x:v>0</x:v>
      </x:c>
      <x:c r="AF2396" t="n">
        <x:v>-0.014865085482597351</x:v>
      </x:c>
      <x:c r="AG2396" t="n">
        <x:f>_xlfn.XLOOKUP($A2396,Games!$A$2:$A$18,Games!$B$2:$B$18,"Missing game",0)</x:f>
        <x:v>2025</x:v>
      </x:c>
      <x:c r="AH2396" t="str">
        <x:f>_xlfn.XLOOKUP($A2396,Games!$A$2:$A$18,Games!$C$2:$C$18,"Missing game",0)</x:f>
        <x:v>REG</x:v>
      </x:c>
      <x:c r="AI2396" t="n">
        <x:f>_xlfn.XLOOKUP($A2396,Games!$A$2:$A$18,Games!$D$2:$D$18,"Missing game",0)</x:f>
        <x:v>16</x:v>
      </x:c>
      <x:c r="AJ2396" s="1" t="n">
        <x:f>_xlfn.XLOOKUP($A2396,Games!$A$2:$A$18,Games!$E$2:$E$18,"Missing game",0)</x:f>
        <x:v>46012</x:v>
      </x:c>
      <x:c r="AK2396" t="str">
        <x:f>_xlfn.XLOOKUP($A2396,Games!$A$2:$A$18,Games!$F$2:$F$18,"Missing game",0)</x:f>
        <x:v>Sunday</x:v>
      </x:c>
      <x:c r="AL2396" t="str">
        <x:f>_xlfn.XLOOKUP($A2396,Games!$A$2:$A$18,Games!$G$2:$G$18,"Missing game",0)</x:f>
        <x:v>MIN</x:v>
      </x:c>
      <x:c r="AM2396" t="n">
        <x:f>_xlfn.XLOOKUP($A2396,Games!$A$2:$A$18,Games!$H$2:$H$18,"Missing game",0)</x:f>
        <x:v>16</x:v>
      </x:c>
      <x:c r="AN2396" t="str">
        <x:f>_xlfn.XLOOKUP($A2396,Games!$A$2:$A$18,Games!$I$2:$I$18,"Missing game",0)</x:f>
        <x:v>NYG</x:v>
      </x:c>
      <x:c r="AO2396" t="n">
        <x:f>_xlfn.XLOOKUP($A2396,Games!$A$2:$A$18,Games!$J$2:$J$18,"Missing game",0)</x:f>
        <x:v>13</x:v>
      </x:c>
      <x:c r="AP2396" t="n">
        <x:f>_xlfn.XLOOKUP($A2396,Games!$A$2:$A$18,Games!$K$2:$K$18,"Missing game",0)</x:f>
        <x:v>-3</x:v>
      </x:c>
      <x:c r="AQ2396" t="n">
        <x:f>_xlfn.XLOOKUP($A2396,Games!$A$2:$A$18,Games!$L$2:$L$18,"Missing game",0)</x:f>
        <x:v>29</x:v>
      </x:c>
      <x:c r="AR2396" t="n">
        <x:f>_xlfn.XLOOKUP($A2396,Games!$A$2:$A$18,Games!$M$2:$M$18,"Missing game",0)</x:f>
        <x:v>0</x:v>
      </x:c>
      <x:c r="AS2396" t="str">
        <x:f>_xlfn.XLOOKUP($A2396,Games!$A$2:$A$18,Games!$N$2:$N$18,"Missing game",0)</x:f>
        <x:v>outdoors</x:v>
      </x:c>
      <x:c r="AT2396" t="str">
        <x:f>_xlfn.XLOOKUP($A2396,Games!$A$2:$A$18,Games!$O$2:$O$18,"Missing game",0)</x:f>
        <x:v>fieldturf</x:v>
      </x:c>
      <x:c r="AU2396" t="n">
        <x:f>_xlfn.XLOOKUP($A2396,Games!$A$2:$A$18,Games!$P$2:$P$18,"Missing game",0)</x:f>
        <x:v>46</x:v>
      </x:c>
      <x:c r="AV2396" t="n">
        <x:f>_xlfn.XLOOKUP($A2396,Games!$A$2:$A$18,Games!$Q$2:$Q$18,"Missing game",0)</x:f>
        <x:v>20</x:v>
      </x:c>
      <x:c r="AW2396" t="str">
        <x:f>_xlfn.XLOOKUP($A2396,Games!$A$2:$A$18,Games!$R$2:$R$18,"Missing game",0)</x:f>
        <x:v>MetLife Stadium</x:v>
      </x:c>
    </x:row>
    <x:row r="2397">
      <x:c r="A2397" t="str">
        <x:v>2025_16_MIN_NYG</x:v>
      </x:c>
      <x:c r="B2397" t="n">
        <x:v>1875</x:v>
      </x:c>
      <x:c r="C2397" t="n">
        <x:v>2</x:v>
      </x:c>
      <x:c r="D2397" t="str">
        <x:v>01:04</x:v>
      </x:c>
      <x:c r="E2397" t="n">
        <x:v>4</x:v>
      </x:c>
      <x:c r="F2397" t="n">
        <x:v>14</x:v>
      </x:c>
      <x:c r="G2397" t="str">
        <x:v>NYG</x:v>
      </x:c>
      <x:c r="H2397" t="str">
        <x:v>MIN</x:v>
      </x:c>
      <x:c r="I2397" t="str">
        <x:v>NYG</x:v>
      </x:c>
      <x:c r="J2397" t="n">
        <x:v>74</x:v>
      </x:c>
      <x:c r="K2397" t="str">
        <x:v>(1:04) 12-J.Gillan punts 51 yards to MIN 23, Center-59-C.Kreiter. 4-M.Price to MIN 35 for 12 yards (23-A.Green).</x:v>
      </x:c>
      <x:c r="L2397" t="str">
        <x:v>punt</x:v>
      </x:c>
      <x:c r="M2397" t="n">
        <x:v>0</x:v>
      </x:c>
      <x:c r="N2397" t="n">
        <x:v>0</x:v>
      </x:c>
      <x:c r="O2397" t="n">
        <x:v>0</x:v>
      </x:c>
      <x:c r="P2397"/>
      <x:c r="Q2397"/>
      <x:c r="R2397"/>
      <x:c r="S2397"/>
      <x:c r="T2397"/>
      <x:c r="U2397"/>
      <x:c r="V2397" t="n">
        <x:v>0</x:v>
      </x:c>
      <x:c r="W2397" t="n">
        <x:v>0</x:v>
      </x:c>
      <x:c r="X2397" t="n">
        <x:v>0</x:v>
      </x:c>
      <x:c r="Y2397" t="n">
        <x:v>0</x:v>
      </x:c>
      <x:c r="Z2397" t="n">
        <x:v>0</x:v>
      </x:c>
      <x:c r="AA2397" t="n">
        <x:v>0</x:v>
      </x:c>
      <x:c r="AB2397"/>
      <x:c r="AC2397" t="n">
        <x:v>0</x:v>
      </x:c>
      <x:c r="AD2397" t="n">
        <x:v>-0.468632775824517</x:v>
      </x:c>
      <x:c r="AE2397" t="n">
        <x:v>0</x:v>
      </x:c>
      <x:c r="AF2397" t="n">
        <x:v>0.003317892551422119</x:v>
      </x:c>
      <x:c r="AG2397" t="n">
        <x:f>_xlfn.XLOOKUP($A2397,Games!$A$2:$A$18,Games!$B$2:$B$18,"Missing game",0)</x:f>
        <x:v>2025</x:v>
      </x:c>
      <x:c r="AH2397" t="str">
        <x:f>_xlfn.XLOOKUP($A2397,Games!$A$2:$A$18,Games!$C$2:$C$18,"Missing game",0)</x:f>
        <x:v>REG</x:v>
      </x:c>
      <x:c r="AI2397" t="n">
        <x:f>_xlfn.XLOOKUP($A2397,Games!$A$2:$A$18,Games!$D$2:$D$18,"Missing game",0)</x:f>
        <x:v>16</x:v>
      </x:c>
      <x:c r="AJ2397" s="1" t="n">
        <x:f>_xlfn.XLOOKUP($A2397,Games!$A$2:$A$18,Games!$E$2:$E$18,"Missing game",0)</x:f>
        <x:v>46012</x:v>
      </x:c>
      <x:c r="AK2397" t="str">
        <x:f>_xlfn.XLOOKUP($A2397,Games!$A$2:$A$18,Games!$F$2:$F$18,"Missing game",0)</x:f>
        <x:v>Sunday</x:v>
      </x:c>
      <x:c r="AL2397" t="str">
        <x:f>_xlfn.XLOOKUP($A2397,Games!$A$2:$A$18,Games!$G$2:$G$18,"Missing game",0)</x:f>
        <x:v>MIN</x:v>
      </x:c>
      <x:c r="AM2397" t="n">
        <x:f>_xlfn.XLOOKUP($A2397,Games!$A$2:$A$18,Games!$H$2:$H$18,"Missing game",0)</x:f>
        <x:v>16</x:v>
      </x:c>
      <x:c r="AN2397" t="str">
        <x:f>_xlfn.XLOOKUP($A2397,Games!$A$2:$A$18,Games!$I$2:$I$18,"Missing game",0)</x:f>
        <x:v>NYG</x:v>
      </x:c>
      <x:c r="AO2397" t="n">
        <x:f>_xlfn.XLOOKUP($A2397,Games!$A$2:$A$18,Games!$J$2:$J$18,"Missing game",0)</x:f>
        <x:v>13</x:v>
      </x:c>
      <x:c r="AP2397" t="n">
        <x:f>_xlfn.XLOOKUP($A2397,Games!$A$2:$A$18,Games!$K$2:$K$18,"Missing game",0)</x:f>
        <x:v>-3</x:v>
      </x:c>
      <x:c r="AQ2397" t="n">
        <x:f>_xlfn.XLOOKUP($A2397,Games!$A$2:$A$18,Games!$L$2:$L$18,"Missing game",0)</x:f>
        <x:v>29</x:v>
      </x:c>
      <x:c r="AR2397" t="n">
        <x:f>_xlfn.XLOOKUP($A2397,Games!$A$2:$A$18,Games!$M$2:$M$18,"Missing game",0)</x:f>
        <x:v>0</x:v>
      </x:c>
      <x:c r="AS2397" t="str">
        <x:f>_xlfn.XLOOKUP($A2397,Games!$A$2:$A$18,Games!$N$2:$N$18,"Missing game",0)</x:f>
        <x:v>outdoors</x:v>
      </x:c>
      <x:c r="AT2397" t="str">
        <x:f>_xlfn.XLOOKUP($A2397,Games!$A$2:$A$18,Games!$O$2:$O$18,"Missing game",0)</x:f>
        <x:v>fieldturf</x:v>
      </x:c>
      <x:c r="AU2397" t="n">
        <x:f>_xlfn.XLOOKUP($A2397,Games!$A$2:$A$18,Games!$P$2:$P$18,"Missing game",0)</x:f>
        <x:v>46</x:v>
      </x:c>
      <x:c r="AV2397" t="n">
        <x:f>_xlfn.XLOOKUP($A2397,Games!$A$2:$A$18,Games!$Q$2:$Q$18,"Missing game",0)</x:f>
        <x:v>20</x:v>
      </x:c>
      <x:c r="AW2397" t="str">
        <x:f>_xlfn.XLOOKUP($A2397,Games!$A$2:$A$18,Games!$R$2:$R$18,"Missing game",0)</x:f>
        <x:v>MetLife Stadium</x:v>
      </x:c>
    </x:row>
    <x:row r="2398">
      <x:c r="A2398" t="str">
        <x:v>2025_16_MIN_NYG</x:v>
      </x:c>
      <x:c r="B2398" t="n">
        <x:v>1887</x:v>
      </x:c>
      <x:c r="C2398" t="n">
        <x:v>2</x:v>
      </x:c>
      <x:c r="D2398" t="str">
        <x:v>01:04</x:v>
      </x:c>
      <x:c r="E2398"/>
      <x:c r="F2398" t="n">
        <x:v>0</x:v>
      </x:c>
      <x:c r="G2398"/>
      <x:c r="H2398"/>
      <x:c r="I2398"/>
      <x:c r="J2398"/>
      <x:c r="K2398" t="str">
        <x:v>Timeout #2 by MIN at 01:04.</x:v>
      </x:c>
      <x:c r="L2398" t="str">
        <x:v>no_play</x:v>
      </x:c>
      <x:c r="M2398" t="n">
        <x:v>0</x:v>
      </x:c>
      <x:c r="N2398" t="n">
        <x:v>0</x:v>
      </x:c>
      <x:c r="O2398" t="n">
        <x:v>0</x:v>
      </x:c>
      <x:c r="P2398"/>
      <x:c r="Q2398"/>
      <x:c r="R2398"/>
      <x:c r="S2398"/>
      <x:c r="T2398"/>
      <x:c r="U2398"/>
      <x:c r="V2398" t="n">
        <x:v>0</x:v>
      </x:c>
      <x:c r="W2398" t="n">
        <x:v>0</x:v>
      </x:c>
      <x:c r="X2398" t="n">
        <x:v>0</x:v>
      </x:c>
      <x:c r="Y2398" t="n">
        <x:v>0</x:v>
      </x:c>
      <x:c r="Z2398" t="n">
        <x:v>0</x:v>
      </x:c>
      <x:c r="AA2398" t="n">
        <x:v>0</x:v>
      </x:c>
      <x:c r="AB2398"/>
      <x:c r="AC2398" t="n">
        <x:v>0</x:v>
      </x:c>
      <x:c r="AD2398" t="n">
        <x:v>0</x:v>
      </x:c>
      <x:c r="AE2398" t="n">
        <x:v>0</x:v>
      </x:c>
      <x:c r="AF2398" t="n">
        <x:v>0</x:v>
      </x:c>
      <x:c r="AG2398" t="n">
        <x:f>_xlfn.XLOOKUP($A2398,Games!$A$2:$A$18,Games!$B$2:$B$18,"Missing game",0)</x:f>
        <x:v>2025</x:v>
      </x:c>
      <x:c r="AH2398" t="str">
        <x:f>_xlfn.XLOOKUP($A2398,Games!$A$2:$A$18,Games!$C$2:$C$18,"Missing game",0)</x:f>
        <x:v>REG</x:v>
      </x:c>
      <x:c r="AI2398" t="n">
        <x:f>_xlfn.XLOOKUP($A2398,Games!$A$2:$A$18,Games!$D$2:$D$18,"Missing game",0)</x:f>
        <x:v>16</x:v>
      </x:c>
      <x:c r="AJ2398" s="1" t="n">
        <x:f>_xlfn.XLOOKUP($A2398,Games!$A$2:$A$18,Games!$E$2:$E$18,"Missing game",0)</x:f>
        <x:v>46012</x:v>
      </x:c>
      <x:c r="AK2398" t="str">
        <x:f>_xlfn.XLOOKUP($A2398,Games!$A$2:$A$18,Games!$F$2:$F$18,"Missing game",0)</x:f>
        <x:v>Sunday</x:v>
      </x:c>
      <x:c r="AL2398" t="str">
        <x:f>_xlfn.XLOOKUP($A2398,Games!$A$2:$A$18,Games!$G$2:$G$18,"Missing game",0)</x:f>
        <x:v>MIN</x:v>
      </x:c>
      <x:c r="AM2398" t="n">
        <x:f>_xlfn.XLOOKUP($A2398,Games!$A$2:$A$18,Games!$H$2:$H$18,"Missing game",0)</x:f>
        <x:v>16</x:v>
      </x:c>
      <x:c r="AN2398" t="str">
        <x:f>_xlfn.XLOOKUP($A2398,Games!$A$2:$A$18,Games!$I$2:$I$18,"Missing game",0)</x:f>
        <x:v>NYG</x:v>
      </x:c>
      <x:c r="AO2398" t="n">
        <x:f>_xlfn.XLOOKUP($A2398,Games!$A$2:$A$18,Games!$J$2:$J$18,"Missing game",0)</x:f>
        <x:v>13</x:v>
      </x:c>
      <x:c r="AP2398" t="n">
        <x:f>_xlfn.XLOOKUP($A2398,Games!$A$2:$A$18,Games!$K$2:$K$18,"Missing game",0)</x:f>
        <x:v>-3</x:v>
      </x:c>
      <x:c r="AQ2398" t="n">
        <x:f>_xlfn.XLOOKUP($A2398,Games!$A$2:$A$18,Games!$L$2:$L$18,"Missing game",0)</x:f>
        <x:v>29</x:v>
      </x:c>
      <x:c r="AR2398" t="n">
        <x:f>_xlfn.XLOOKUP($A2398,Games!$A$2:$A$18,Games!$M$2:$M$18,"Missing game",0)</x:f>
        <x:v>0</x:v>
      </x:c>
      <x:c r="AS2398" t="str">
        <x:f>_xlfn.XLOOKUP($A2398,Games!$A$2:$A$18,Games!$N$2:$N$18,"Missing game",0)</x:f>
        <x:v>outdoors</x:v>
      </x:c>
      <x:c r="AT2398" t="str">
        <x:f>_xlfn.XLOOKUP($A2398,Games!$A$2:$A$18,Games!$O$2:$O$18,"Missing game",0)</x:f>
        <x:v>fieldturf</x:v>
      </x:c>
      <x:c r="AU2398" t="n">
        <x:f>_xlfn.XLOOKUP($A2398,Games!$A$2:$A$18,Games!$P$2:$P$18,"Missing game",0)</x:f>
        <x:v>46</x:v>
      </x:c>
      <x:c r="AV2398" t="n">
        <x:f>_xlfn.XLOOKUP($A2398,Games!$A$2:$A$18,Games!$Q$2:$Q$18,"Missing game",0)</x:f>
        <x:v>20</x:v>
      </x:c>
      <x:c r="AW2398" t="str">
        <x:f>_xlfn.XLOOKUP($A2398,Games!$A$2:$A$18,Games!$R$2:$R$18,"Missing game",0)</x:f>
        <x:v>MetLife Stadium</x:v>
      </x:c>
    </x:row>
    <x:row r="2399">
      <x:c r="A2399" t="str">
        <x:v>2025_16_MIN_NYG</x:v>
      </x:c>
      <x:c r="B2399" t="n">
        <x:v>1908</x:v>
      </x:c>
      <x:c r="C2399" t="n">
        <x:v>2</x:v>
      </x:c>
      <x:c r="D2399" t="str">
        <x:v>00:53</x:v>
      </x:c>
      <x:c r="E2399" t="n">
        <x:v>1</x:v>
      </x:c>
      <x:c r="F2399" t="n">
        <x:v>10</x:v>
      </x:c>
      <x:c r="G2399" t="str">
        <x:v>MIN</x:v>
      </x:c>
      <x:c r="H2399" t="str">
        <x:v>NYG</x:v>
      </x:c>
      <x:c r="I2399" t="str">
        <x:v>MIN</x:v>
      </x:c>
      <x:c r="J2399" t="n">
        <x:v>65</x:v>
      </x:c>
      <x:c r="K2399" t="str">
        <x:v>(:53) (Shotgun) 33-A.Jones right guard to MIN 41 for 6 yards (24-D.Belton).</x:v>
      </x:c>
      <x:c r="L2399" t="str">
        <x:v>run</x:v>
      </x:c>
      <x:c r="M2399" t="n">
        <x:v>6</x:v>
      </x:c>
      <x:c r="N2399" t="n">
        <x:v>1</x:v>
      </x:c>
      <x:c r="O2399" t="n">
        <x:v>0</x:v>
      </x:c>
      <x:c r="P2399"/>
      <x:c r="Q2399"/>
      <x:c r="R2399"/>
      <x:c r="S2399"/>
      <x:c r="T2399" t="str">
        <x:v>right</x:v>
      </x:c>
      <x:c r="U2399" t="str">
        <x:v>guard</x:v>
      </x:c>
      <x:c r="V2399" t="n">
        <x:v>0</x:v>
      </x:c>
      <x:c r="W2399" t="n">
        <x:v>0</x:v>
      </x:c>
      <x:c r="X2399" t="n">
        <x:v>0</x:v>
      </x:c>
      <x:c r="Y2399" t="n">
        <x:v>0</x:v>
      </x:c>
      <x:c r="Z2399" t="n">
        <x:v>0</x:v>
      </x:c>
      <x:c r="AA2399" t="n">
        <x:v>0</x:v>
      </x:c>
      <x:c r="AB2399"/>
      <x:c r="AC2399" t="n">
        <x:v>0</x:v>
      </x:c>
      <x:c r="AD2399" t="n">
        <x:v>-0.09342618694063276</x:v>
      </x:c>
      <x:c r="AE2399" t="n">
        <x:v>0</x:v>
      </x:c>
      <x:c r="AF2399" t="n">
        <x:v>0.003615736961364746</x:v>
      </x:c>
      <x:c r="AG2399" t="n">
        <x:f>_xlfn.XLOOKUP($A2399,Games!$A$2:$A$18,Games!$B$2:$B$18,"Missing game",0)</x:f>
        <x:v>2025</x:v>
      </x:c>
      <x:c r="AH2399" t="str">
        <x:f>_xlfn.XLOOKUP($A2399,Games!$A$2:$A$18,Games!$C$2:$C$18,"Missing game",0)</x:f>
        <x:v>REG</x:v>
      </x:c>
      <x:c r="AI2399" t="n">
        <x:f>_xlfn.XLOOKUP($A2399,Games!$A$2:$A$18,Games!$D$2:$D$18,"Missing game",0)</x:f>
        <x:v>16</x:v>
      </x:c>
      <x:c r="AJ2399" s="1" t="n">
        <x:f>_xlfn.XLOOKUP($A2399,Games!$A$2:$A$18,Games!$E$2:$E$18,"Missing game",0)</x:f>
        <x:v>46012</x:v>
      </x:c>
      <x:c r="AK2399" t="str">
        <x:f>_xlfn.XLOOKUP($A2399,Games!$A$2:$A$18,Games!$F$2:$F$18,"Missing game",0)</x:f>
        <x:v>Sunday</x:v>
      </x:c>
      <x:c r="AL2399" t="str">
        <x:f>_xlfn.XLOOKUP($A2399,Games!$A$2:$A$18,Games!$G$2:$G$18,"Missing game",0)</x:f>
        <x:v>MIN</x:v>
      </x:c>
      <x:c r="AM2399" t="n">
        <x:f>_xlfn.XLOOKUP($A2399,Games!$A$2:$A$18,Games!$H$2:$H$18,"Missing game",0)</x:f>
        <x:v>16</x:v>
      </x:c>
      <x:c r="AN2399" t="str">
        <x:f>_xlfn.XLOOKUP($A2399,Games!$A$2:$A$18,Games!$I$2:$I$18,"Missing game",0)</x:f>
        <x:v>NYG</x:v>
      </x:c>
      <x:c r="AO2399" t="n">
        <x:f>_xlfn.XLOOKUP($A2399,Games!$A$2:$A$18,Games!$J$2:$J$18,"Missing game",0)</x:f>
        <x:v>13</x:v>
      </x:c>
      <x:c r="AP2399" t="n">
        <x:f>_xlfn.XLOOKUP($A2399,Games!$A$2:$A$18,Games!$K$2:$K$18,"Missing game",0)</x:f>
        <x:v>-3</x:v>
      </x:c>
      <x:c r="AQ2399" t="n">
        <x:f>_xlfn.XLOOKUP($A2399,Games!$A$2:$A$18,Games!$L$2:$L$18,"Missing game",0)</x:f>
        <x:v>29</x:v>
      </x:c>
      <x:c r="AR2399" t="n">
        <x:f>_xlfn.XLOOKUP($A2399,Games!$A$2:$A$18,Games!$M$2:$M$18,"Missing game",0)</x:f>
        <x:v>0</x:v>
      </x:c>
      <x:c r="AS2399" t="str">
        <x:f>_xlfn.XLOOKUP($A2399,Games!$A$2:$A$18,Games!$N$2:$N$18,"Missing game",0)</x:f>
        <x:v>outdoors</x:v>
      </x:c>
      <x:c r="AT2399" t="str">
        <x:f>_xlfn.XLOOKUP($A2399,Games!$A$2:$A$18,Games!$O$2:$O$18,"Missing game",0)</x:f>
        <x:v>fieldturf</x:v>
      </x:c>
      <x:c r="AU2399" t="n">
        <x:f>_xlfn.XLOOKUP($A2399,Games!$A$2:$A$18,Games!$P$2:$P$18,"Missing game",0)</x:f>
        <x:v>46</x:v>
      </x:c>
      <x:c r="AV2399" t="n">
        <x:f>_xlfn.XLOOKUP($A2399,Games!$A$2:$A$18,Games!$Q$2:$Q$18,"Missing game",0)</x:f>
        <x:v>20</x:v>
      </x:c>
      <x:c r="AW2399" t="str">
        <x:f>_xlfn.XLOOKUP($A2399,Games!$A$2:$A$18,Games!$R$2:$R$18,"Missing game",0)</x:f>
        <x:v>MetLife Stadium</x:v>
      </x:c>
    </x:row>
    <x:row r="2400">
      <x:c r="A2400" t="str">
        <x:v>2025_16_MIN_NYG</x:v>
      </x:c>
      <x:c r="B2400" t="n">
        <x:v>1937</x:v>
      </x:c>
      <x:c r="C2400" t="n">
        <x:v>2</x:v>
      </x:c>
      <x:c r="D2400" t="str">
        <x:v>00:25</x:v>
      </x:c>
      <x:c r="E2400" t="n">
        <x:v>2</x:v>
      </x:c>
      <x:c r="F2400" t="n">
        <x:v>4</x:v>
      </x:c>
      <x:c r="G2400" t="str">
        <x:v>MIN</x:v>
      </x:c>
      <x:c r="H2400" t="str">
        <x:v>NYG</x:v>
      </x:c>
      <x:c r="I2400" t="str">
        <x:v>MIN</x:v>
      </x:c>
      <x:c r="J2400" t="n">
        <x:v>59</x:v>
      </x:c>
      <x:c r="K2400" t="str">
        <x:v>(:25) (No Huddle, Shotgun) 9-J.McCarthy sacked at MIN 33 for -8 yards (0-B.Burns). FUMBLES (0-B.Burns) [0-B.Burns], RECOVERED by NYG-27-T.Nubin at MIN 27. 27-T.Nubin for 27 yards, TOUCHDOWN. MIN-9-J.McCarthy was injured during the play.</x:v>
      </x:c>
      <x:c r="L2400" t="str">
        <x:v>pass</x:v>
      </x:c>
      <x:c r="M2400" t="n">
        <x:v>-14</x:v>
      </x:c>
      <x:c r="N2400" t="n">
        <x:v>1</x:v>
      </x:c>
      <x:c r="O2400" t="n">
        <x:v>1</x:v>
      </x:c>
      <x:c r="P2400"/>
      <x:c r="Q2400"/>
      <x:c r="R2400"/>
      <x:c r="S2400"/>
      <x:c r="T2400"/>
      <x:c r="U2400"/>
      <x:c r="V2400" t="n">
        <x:v>0</x:v>
      </x:c>
      <x:c r="W2400" t="n">
        <x:v>0</x:v>
      </x:c>
      <x:c r="X2400" t="n">
        <x:v>1</x:v>
      </x:c>
      <x:c r="Y2400" t="n">
        <x:v>0</x:v>
      </x:c>
      <x:c r="Z2400" t="n">
        <x:v>1</x:v>
      </x:c>
      <x:c r="AA2400" t="n">
        <x:v>0</x:v>
      </x:c>
      <x:c r="AB2400"/>
      <x:c r="AC2400" t="n">
        <x:v>1</x:v>
      </x:c>
      <x:c r="AD2400" t="n">
        <x:v>-7.7324732365086675</x:v>
      </x:c>
      <x:c r="AE2400" t="n">
        <x:v>0</x:v>
      </x:c>
      <x:c r="AF2400" t="n">
        <x:v>-0.24667426231594647</x:v>
      </x:c>
      <x:c r="AG2400" t="n">
        <x:f>_xlfn.XLOOKUP($A2400,Games!$A$2:$A$18,Games!$B$2:$B$18,"Missing game",0)</x:f>
        <x:v>2025</x:v>
      </x:c>
      <x:c r="AH2400" t="str">
        <x:f>_xlfn.XLOOKUP($A2400,Games!$A$2:$A$18,Games!$C$2:$C$18,"Missing game",0)</x:f>
        <x:v>REG</x:v>
      </x:c>
      <x:c r="AI2400" t="n">
        <x:f>_xlfn.XLOOKUP($A2400,Games!$A$2:$A$18,Games!$D$2:$D$18,"Missing game",0)</x:f>
        <x:v>16</x:v>
      </x:c>
      <x:c r="AJ2400" s="1" t="n">
        <x:f>_xlfn.XLOOKUP($A2400,Games!$A$2:$A$18,Games!$E$2:$E$18,"Missing game",0)</x:f>
        <x:v>46012</x:v>
      </x:c>
      <x:c r="AK2400" t="str">
        <x:f>_xlfn.XLOOKUP($A2400,Games!$A$2:$A$18,Games!$F$2:$F$18,"Missing game",0)</x:f>
        <x:v>Sunday</x:v>
      </x:c>
      <x:c r="AL2400" t="str">
        <x:f>_xlfn.XLOOKUP($A2400,Games!$A$2:$A$18,Games!$G$2:$G$18,"Missing game",0)</x:f>
        <x:v>MIN</x:v>
      </x:c>
      <x:c r="AM2400" t="n">
        <x:f>_xlfn.XLOOKUP($A2400,Games!$A$2:$A$18,Games!$H$2:$H$18,"Missing game",0)</x:f>
        <x:v>16</x:v>
      </x:c>
      <x:c r="AN2400" t="str">
        <x:f>_xlfn.XLOOKUP($A2400,Games!$A$2:$A$18,Games!$I$2:$I$18,"Missing game",0)</x:f>
        <x:v>NYG</x:v>
      </x:c>
      <x:c r="AO2400" t="n">
        <x:f>_xlfn.XLOOKUP($A2400,Games!$A$2:$A$18,Games!$J$2:$J$18,"Missing game",0)</x:f>
        <x:v>13</x:v>
      </x:c>
      <x:c r="AP2400" t="n">
        <x:f>_xlfn.XLOOKUP($A2400,Games!$A$2:$A$18,Games!$K$2:$K$18,"Missing game",0)</x:f>
        <x:v>-3</x:v>
      </x:c>
      <x:c r="AQ2400" t="n">
        <x:f>_xlfn.XLOOKUP($A2400,Games!$A$2:$A$18,Games!$L$2:$L$18,"Missing game",0)</x:f>
        <x:v>29</x:v>
      </x:c>
      <x:c r="AR2400" t="n">
        <x:f>_xlfn.XLOOKUP($A2400,Games!$A$2:$A$18,Games!$M$2:$M$18,"Missing game",0)</x:f>
        <x:v>0</x:v>
      </x:c>
      <x:c r="AS2400" t="str">
        <x:f>_xlfn.XLOOKUP($A2400,Games!$A$2:$A$18,Games!$N$2:$N$18,"Missing game",0)</x:f>
        <x:v>outdoors</x:v>
      </x:c>
      <x:c r="AT2400" t="str">
        <x:f>_xlfn.XLOOKUP($A2400,Games!$A$2:$A$18,Games!$O$2:$O$18,"Missing game",0)</x:f>
        <x:v>fieldturf</x:v>
      </x:c>
      <x:c r="AU2400" t="n">
        <x:f>_xlfn.XLOOKUP($A2400,Games!$A$2:$A$18,Games!$P$2:$P$18,"Missing game",0)</x:f>
        <x:v>46</x:v>
      </x:c>
      <x:c r="AV2400" t="n">
        <x:f>_xlfn.XLOOKUP($A2400,Games!$A$2:$A$18,Games!$Q$2:$Q$18,"Missing game",0)</x:f>
        <x:v>20</x:v>
      </x:c>
      <x:c r="AW2400" t="str">
        <x:f>_xlfn.XLOOKUP($A2400,Games!$A$2:$A$18,Games!$R$2:$R$18,"Missing game",0)</x:f>
        <x:v>MetLife Stadium</x:v>
      </x:c>
    </x:row>
    <x:row r="2401">
      <x:c r="A2401" t="str">
        <x:v>2025_16_MIN_NYG</x:v>
      </x:c>
      <x:c r="B2401" t="n">
        <x:v>1968</x:v>
      </x:c>
      <x:c r="C2401" t="n">
        <x:v>2</x:v>
      </x:c>
      <x:c r="D2401" t="str">
        <x:v>00:17</x:v>
      </x:c>
      <x:c r="E2401"/>
      <x:c r="F2401" t="n">
        <x:v>0</x:v>
      </x:c>
      <x:c r="G2401" t="str">
        <x:v>NYG</x:v>
      </x:c>
      <x:c r="H2401" t="str">
        <x:v>MIN</x:v>
      </x:c>
      <x:c r="I2401" t="str">
        <x:v>MIN</x:v>
      </x:c>
      <x:c r="J2401" t="n">
        <x:v>15</x:v>
      </x:c>
      <x:c r="K2401" t="str">
        <x:v>30-B.Sauls extra point is GOOD, Center-59-C.Kreiter, Holder-12-J.Gillan.</x:v>
      </x:c>
      <x:c r="L2401" t="str">
        <x:v>extra_point</x:v>
      </x:c>
      <x:c r="M2401" t="n">
        <x:v>0</x:v>
      </x:c>
      <x:c r="N2401" t="n">
        <x:v>0</x:v>
      </x:c>
      <x:c r="O2401" t="n">
        <x:v>0</x:v>
      </x:c>
      <x:c r="P2401"/>
      <x:c r="Q2401"/>
      <x:c r="R2401"/>
      <x:c r="S2401"/>
      <x:c r="T2401"/>
      <x:c r="U2401"/>
      <x:c r="V2401" t="n">
        <x:v>0</x:v>
      </x:c>
      <x:c r="W2401" t="n">
        <x:v>0</x:v>
      </x:c>
      <x:c r="X2401" t="n">
        <x:v>0</x:v>
      </x:c>
      <x:c r="Y2401" t="n">
        <x:v>0</x:v>
      </x:c>
      <x:c r="Z2401" t="n">
        <x:v>0</x:v>
      </x:c>
      <x:c r="AA2401" t="n">
        <x:v>0</x:v>
      </x:c>
      <x:c r="AB2401"/>
      <x:c r="AC2401" t="n">
        <x:v>0</x:v>
      </x:c>
      <x:c r="AD2401" t="n">
        <x:v>0.06757300310763314</x:v>
      </x:c>
      <x:c r="AE2401" t="n">
        <x:v>1</x:v>
      </x:c>
      <x:c r="AF2401" t="n">
        <x:v>0.0020110976388875157</x:v>
      </x:c>
      <x:c r="AG2401" t="n">
        <x:f>_xlfn.XLOOKUP($A2401,Games!$A$2:$A$18,Games!$B$2:$B$18,"Missing game",0)</x:f>
        <x:v>2025</x:v>
      </x:c>
      <x:c r="AH2401" t="str">
        <x:f>_xlfn.XLOOKUP($A2401,Games!$A$2:$A$18,Games!$C$2:$C$18,"Missing game",0)</x:f>
        <x:v>REG</x:v>
      </x:c>
      <x:c r="AI2401" t="n">
        <x:f>_xlfn.XLOOKUP($A2401,Games!$A$2:$A$18,Games!$D$2:$D$18,"Missing game",0)</x:f>
        <x:v>16</x:v>
      </x:c>
      <x:c r="AJ2401" s="1" t="n">
        <x:f>_xlfn.XLOOKUP($A2401,Games!$A$2:$A$18,Games!$E$2:$E$18,"Missing game",0)</x:f>
        <x:v>46012</x:v>
      </x:c>
      <x:c r="AK2401" t="str">
        <x:f>_xlfn.XLOOKUP($A2401,Games!$A$2:$A$18,Games!$F$2:$F$18,"Missing game",0)</x:f>
        <x:v>Sunday</x:v>
      </x:c>
      <x:c r="AL2401" t="str">
        <x:f>_xlfn.XLOOKUP($A2401,Games!$A$2:$A$18,Games!$G$2:$G$18,"Missing game",0)</x:f>
        <x:v>MIN</x:v>
      </x:c>
      <x:c r="AM2401" t="n">
        <x:f>_xlfn.XLOOKUP($A2401,Games!$A$2:$A$18,Games!$H$2:$H$18,"Missing game",0)</x:f>
        <x:v>16</x:v>
      </x:c>
      <x:c r="AN2401" t="str">
        <x:f>_xlfn.XLOOKUP($A2401,Games!$A$2:$A$18,Games!$I$2:$I$18,"Missing game",0)</x:f>
        <x:v>NYG</x:v>
      </x:c>
      <x:c r="AO2401" t="n">
        <x:f>_xlfn.XLOOKUP($A2401,Games!$A$2:$A$18,Games!$J$2:$J$18,"Missing game",0)</x:f>
        <x:v>13</x:v>
      </x:c>
      <x:c r="AP2401" t="n">
        <x:f>_xlfn.XLOOKUP($A2401,Games!$A$2:$A$18,Games!$K$2:$K$18,"Missing game",0)</x:f>
        <x:v>-3</x:v>
      </x:c>
      <x:c r="AQ2401" t="n">
        <x:f>_xlfn.XLOOKUP($A2401,Games!$A$2:$A$18,Games!$L$2:$L$18,"Missing game",0)</x:f>
        <x:v>29</x:v>
      </x:c>
      <x:c r="AR2401" t="n">
        <x:f>_xlfn.XLOOKUP($A2401,Games!$A$2:$A$18,Games!$M$2:$M$18,"Missing game",0)</x:f>
        <x:v>0</x:v>
      </x:c>
      <x:c r="AS2401" t="str">
        <x:f>_xlfn.XLOOKUP($A2401,Games!$A$2:$A$18,Games!$N$2:$N$18,"Missing game",0)</x:f>
        <x:v>outdoors</x:v>
      </x:c>
      <x:c r="AT2401" t="str">
        <x:f>_xlfn.XLOOKUP($A2401,Games!$A$2:$A$18,Games!$O$2:$O$18,"Missing game",0)</x:f>
        <x:v>fieldturf</x:v>
      </x:c>
      <x:c r="AU2401" t="n">
        <x:f>_xlfn.XLOOKUP($A2401,Games!$A$2:$A$18,Games!$P$2:$P$18,"Missing game",0)</x:f>
        <x:v>46</x:v>
      </x:c>
      <x:c r="AV2401" t="n">
        <x:f>_xlfn.XLOOKUP($A2401,Games!$A$2:$A$18,Games!$Q$2:$Q$18,"Missing game",0)</x:f>
        <x:v>20</x:v>
      </x:c>
      <x:c r="AW2401" t="str">
        <x:f>_xlfn.XLOOKUP($A2401,Games!$A$2:$A$18,Games!$R$2:$R$18,"Missing game",0)</x:f>
        <x:v>MetLife Stadium</x:v>
      </x:c>
    </x:row>
    <x:row r="2402">
      <x:c r="A2402" t="str">
        <x:v>2025_16_MIN_NYG</x:v>
      </x:c>
      <x:c r="B2402" t="n">
        <x:v>1983</x:v>
      </x:c>
      <x:c r="C2402" t="n">
        <x:v>2</x:v>
      </x:c>
      <x:c r="D2402" t="str">
        <x:v>00:17</x:v>
      </x:c>
      <x:c r="E2402"/>
      <x:c r="F2402" t="n">
        <x:v>0</x:v>
      </x:c>
      <x:c r="G2402" t="str">
        <x:v>MIN</x:v>
      </x:c>
      <x:c r="H2402" t="str">
        <x:v>NYG</x:v>
      </x:c>
      <x:c r="I2402" t="str">
        <x:v>NYG</x:v>
      </x:c>
      <x:c r="J2402" t="n">
        <x:v>35</x:v>
      </x:c>
      <x:c r="K2402" t="str">
        <x:v>30-B.Sauls kicks 65 yards from NYG 35 to end zone, Touchback to the MIN 35.</x:v>
      </x:c>
      <x:c r="L2402" t="str">
        <x:v>kickoff</x:v>
      </x:c>
      <x:c r="M2402" t="n">
        <x:v>0</x:v>
      </x:c>
      <x:c r="N2402" t="n">
        <x:v>0</x:v>
      </x:c>
      <x:c r="O2402" t="n">
        <x:v>0</x:v>
      </x:c>
      <x:c r="P2402"/>
      <x:c r="Q2402"/>
      <x:c r="R2402"/>
      <x:c r="S2402"/>
      <x:c r="T2402"/>
      <x:c r="U2402"/>
      <x:c r="V2402" t="n">
        <x:v>0</x:v>
      </x:c>
      <x:c r="W2402" t="n">
        <x:v>0</x:v>
      </x:c>
      <x:c r="X2402" t="n">
        <x:v>0</x:v>
      </x:c>
      <x:c r="Y2402" t="n">
        <x:v>0</x:v>
      </x:c>
      <x:c r="Z2402" t="n">
        <x:v>0</x:v>
      </x:c>
      <x:c r="AA2402" t="n">
        <x:v>0</x:v>
      </x:c>
      <x:c r="AB2402"/>
      <x:c r="AC2402" t="n">
        <x:v>0</x:v>
      </x:c>
      <x:c r="AD2402" t="n">
        <x:v>-0.13253717712359503</x:v>
      </x:c>
      <x:c r="AE2402" t="n">
        <x:v>0</x:v>
      </x:c>
      <x:c r="AF2402" t="n">
        <x:v>0.015358209609985352</x:v>
      </x:c>
      <x:c r="AG2402" t="n">
        <x:f>_xlfn.XLOOKUP($A2402,Games!$A$2:$A$18,Games!$B$2:$B$18,"Missing game",0)</x:f>
        <x:v>2025</x:v>
      </x:c>
      <x:c r="AH2402" t="str">
        <x:f>_xlfn.XLOOKUP($A2402,Games!$A$2:$A$18,Games!$C$2:$C$18,"Missing game",0)</x:f>
        <x:v>REG</x:v>
      </x:c>
      <x:c r="AI2402" t="n">
        <x:f>_xlfn.XLOOKUP($A2402,Games!$A$2:$A$18,Games!$D$2:$D$18,"Missing game",0)</x:f>
        <x:v>16</x:v>
      </x:c>
      <x:c r="AJ2402" s="1" t="n">
        <x:f>_xlfn.XLOOKUP($A2402,Games!$A$2:$A$18,Games!$E$2:$E$18,"Missing game",0)</x:f>
        <x:v>46012</x:v>
      </x:c>
      <x:c r="AK2402" t="str">
        <x:f>_xlfn.XLOOKUP($A2402,Games!$A$2:$A$18,Games!$F$2:$F$18,"Missing game",0)</x:f>
        <x:v>Sunday</x:v>
      </x:c>
      <x:c r="AL2402" t="str">
        <x:f>_xlfn.XLOOKUP($A2402,Games!$A$2:$A$18,Games!$G$2:$G$18,"Missing game",0)</x:f>
        <x:v>MIN</x:v>
      </x:c>
      <x:c r="AM2402" t="n">
        <x:f>_xlfn.XLOOKUP($A2402,Games!$A$2:$A$18,Games!$H$2:$H$18,"Missing game",0)</x:f>
        <x:v>16</x:v>
      </x:c>
      <x:c r="AN2402" t="str">
        <x:f>_xlfn.XLOOKUP($A2402,Games!$A$2:$A$18,Games!$I$2:$I$18,"Missing game",0)</x:f>
        <x:v>NYG</x:v>
      </x:c>
      <x:c r="AO2402" t="n">
        <x:f>_xlfn.XLOOKUP($A2402,Games!$A$2:$A$18,Games!$J$2:$J$18,"Missing game",0)</x:f>
        <x:v>13</x:v>
      </x:c>
      <x:c r="AP2402" t="n">
        <x:f>_xlfn.XLOOKUP($A2402,Games!$A$2:$A$18,Games!$K$2:$K$18,"Missing game",0)</x:f>
        <x:v>-3</x:v>
      </x:c>
      <x:c r="AQ2402" t="n">
        <x:f>_xlfn.XLOOKUP($A2402,Games!$A$2:$A$18,Games!$L$2:$L$18,"Missing game",0)</x:f>
        <x:v>29</x:v>
      </x:c>
      <x:c r="AR2402" t="n">
        <x:f>_xlfn.XLOOKUP($A2402,Games!$A$2:$A$18,Games!$M$2:$M$18,"Missing game",0)</x:f>
        <x:v>0</x:v>
      </x:c>
      <x:c r="AS2402" t="str">
        <x:f>_xlfn.XLOOKUP($A2402,Games!$A$2:$A$18,Games!$N$2:$N$18,"Missing game",0)</x:f>
        <x:v>outdoors</x:v>
      </x:c>
      <x:c r="AT2402" t="str">
        <x:f>_xlfn.XLOOKUP($A2402,Games!$A$2:$A$18,Games!$O$2:$O$18,"Missing game",0)</x:f>
        <x:v>fieldturf</x:v>
      </x:c>
      <x:c r="AU2402" t="n">
        <x:f>_xlfn.XLOOKUP($A2402,Games!$A$2:$A$18,Games!$P$2:$P$18,"Missing game",0)</x:f>
        <x:v>46</x:v>
      </x:c>
      <x:c r="AV2402" t="n">
        <x:f>_xlfn.XLOOKUP($A2402,Games!$A$2:$A$18,Games!$Q$2:$Q$18,"Missing game",0)</x:f>
        <x:v>20</x:v>
      </x:c>
      <x:c r="AW2402" t="str">
        <x:f>_xlfn.XLOOKUP($A2402,Games!$A$2:$A$18,Games!$R$2:$R$18,"Missing game",0)</x:f>
        <x:v>MetLife Stadium</x:v>
      </x:c>
    </x:row>
    <x:row r="2403">
      <x:c r="A2403" t="str">
        <x:v>2025_16_MIN_NYG</x:v>
      </x:c>
      <x:c r="B2403" t="n">
        <x:v>2000</x:v>
      </x:c>
      <x:c r="C2403" t="n">
        <x:v>2</x:v>
      </x:c>
      <x:c r="D2403" t="str">
        <x:v>00:17</x:v>
      </x:c>
      <x:c r="E2403" t="n">
        <x:v>1</x:v>
      </x:c>
      <x:c r="F2403" t="n">
        <x:v>10</x:v>
      </x:c>
      <x:c r="G2403" t="str">
        <x:v>MIN</x:v>
      </x:c>
      <x:c r="H2403" t="str">
        <x:v>NYG</x:v>
      </x:c>
      <x:c r="I2403" t="str">
        <x:v>MIN</x:v>
      </x:c>
      <x:c r="J2403" t="n">
        <x:v>65</x:v>
      </x:c>
      <x:c r="K2403" t="str">
        <x:v>(:17) 12-M.Brosmer kneels to MIN 34 for -1 yards.</x:v>
      </x:c>
      <x:c r="L2403" t="str">
        <x:v>qb_kneel</x:v>
      </x:c>
      <x:c r="M2403" t="n">
        <x:v>-1</x:v>
      </x:c>
      <x:c r="N2403" t="n">
        <x:v>0</x:v>
      </x:c>
      <x:c r="O2403" t="n">
        <x:v>0</x:v>
      </x:c>
      <x:c r="P2403"/>
      <x:c r="Q2403"/>
      <x:c r="R2403"/>
      <x:c r="S2403"/>
      <x:c r="T2403"/>
      <x:c r="U2403"/>
      <x:c r="V2403" t="n">
        <x:v>0</x:v>
      </x:c>
      <x:c r="W2403" t="n">
        <x:v>0</x:v>
      </x:c>
      <x:c r="X2403" t="n">
        <x:v>0</x:v>
      </x:c>
      <x:c r="Y2403" t="n">
        <x:v>0</x:v>
      </x:c>
      <x:c r="Z2403" t="n">
        <x:v>0</x:v>
      </x:c>
      <x:c r="AA2403" t="n">
        <x:v>0</x:v>
      </x:c>
      <x:c r="AB2403"/>
      <x:c r="AC2403" t="n">
        <x:v>0</x:v>
      </x:c>
      <x:c r="AD2403" t="n">
        <x:v>0</x:v>
      </x:c>
      <x:c r="AE2403" t="n">
        <x:v>0</x:v>
      </x:c>
      <x:c r="AF2403"/>
      <x:c r="AG2403" t="n">
        <x:f>_xlfn.XLOOKUP($A2403,Games!$A$2:$A$18,Games!$B$2:$B$18,"Missing game",0)</x:f>
        <x:v>2025</x:v>
      </x:c>
      <x:c r="AH2403" t="str">
        <x:f>_xlfn.XLOOKUP($A2403,Games!$A$2:$A$18,Games!$C$2:$C$18,"Missing game",0)</x:f>
        <x:v>REG</x:v>
      </x:c>
      <x:c r="AI2403" t="n">
        <x:f>_xlfn.XLOOKUP($A2403,Games!$A$2:$A$18,Games!$D$2:$D$18,"Missing game",0)</x:f>
        <x:v>16</x:v>
      </x:c>
      <x:c r="AJ2403" s="1" t="n">
        <x:f>_xlfn.XLOOKUP($A2403,Games!$A$2:$A$18,Games!$E$2:$E$18,"Missing game",0)</x:f>
        <x:v>46012</x:v>
      </x:c>
      <x:c r="AK2403" t="str">
        <x:f>_xlfn.XLOOKUP($A2403,Games!$A$2:$A$18,Games!$F$2:$F$18,"Missing game",0)</x:f>
        <x:v>Sunday</x:v>
      </x:c>
      <x:c r="AL2403" t="str">
        <x:f>_xlfn.XLOOKUP($A2403,Games!$A$2:$A$18,Games!$G$2:$G$18,"Missing game",0)</x:f>
        <x:v>MIN</x:v>
      </x:c>
      <x:c r="AM2403" t="n">
        <x:f>_xlfn.XLOOKUP($A2403,Games!$A$2:$A$18,Games!$H$2:$H$18,"Missing game",0)</x:f>
        <x:v>16</x:v>
      </x:c>
      <x:c r="AN2403" t="str">
        <x:f>_xlfn.XLOOKUP($A2403,Games!$A$2:$A$18,Games!$I$2:$I$18,"Missing game",0)</x:f>
        <x:v>NYG</x:v>
      </x:c>
      <x:c r="AO2403" t="n">
        <x:f>_xlfn.XLOOKUP($A2403,Games!$A$2:$A$18,Games!$J$2:$J$18,"Missing game",0)</x:f>
        <x:v>13</x:v>
      </x:c>
      <x:c r="AP2403" t="n">
        <x:f>_xlfn.XLOOKUP($A2403,Games!$A$2:$A$18,Games!$K$2:$K$18,"Missing game",0)</x:f>
        <x:v>-3</x:v>
      </x:c>
      <x:c r="AQ2403" t="n">
        <x:f>_xlfn.XLOOKUP($A2403,Games!$A$2:$A$18,Games!$L$2:$L$18,"Missing game",0)</x:f>
        <x:v>29</x:v>
      </x:c>
      <x:c r="AR2403" t="n">
        <x:f>_xlfn.XLOOKUP($A2403,Games!$A$2:$A$18,Games!$M$2:$M$18,"Missing game",0)</x:f>
        <x:v>0</x:v>
      </x:c>
      <x:c r="AS2403" t="str">
        <x:f>_xlfn.XLOOKUP($A2403,Games!$A$2:$A$18,Games!$N$2:$N$18,"Missing game",0)</x:f>
        <x:v>outdoors</x:v>
      </x:c>
      <x:c r="AT2403" t="str">
        <x:f>_xlfn.XLOOKUP($A2403,Games!$A$2:$A$18,Games!$O$2:$O$18,"Missing game",0)</x:f>
        <x:v>fieldturf</x:v>
      </x:c>
      <x:c r="AU2403" t="n">
        <x:f>_xlfn.XLOOKUP($A2403,Games!$A$2:$A$18,Games!$P$2:$P$18,"Missing game",0)</x:f>
        <x:v>46</x:v>
      </x:c>
      <x:c r="AV2403" t="n">
        <x:f>_xlfn.XLOOKUP($A2403,Games!$A$2:$A$18,Games!$Q$2:$Q$18,"Missing game",0)</x:f>
        <x:v>20</x:v>
      </x:c>
      <x:c r="AW2403" t="str">
        <x:f>_xlfn.XLOOKUP($A2403,Games!$A$2:$A$18,Games!$R$2:$R$18,"Missing game",0)</x:f>
        <x:v>MetLife Stadium</x:v>
      </x:c>
    </x:row>
    <x:row r="2404">
      <x:c r="A2404" t="str">
        <x:v>2025_16_MIN_NYG</x:v>
      </x:c>
      <x:c r="B2404" t="n">
        <x:v>2022</x:v>
      </x:c>
      <x:c r="C2404" t="n">
        <x:v>2</x:v>
      </x:c>
      <x:c r="D2404" t="str">
        <x:v>00:00</x:v>
      </x:c>
      <x:c r="E2404"/>
      <x:c r="F2404" t="n">
        <x:v>0</x:v>
      </x:c>
      <x:c r="G2404"/>
      <x:c r="H2404"/>
      <x:c r="I2404"/>
      <x:c r="J2404"/>
      <x:c r="K2404" t="str">
        <x:v>END QUARTER 2</x:v>
      </x:c>
      <x:c r="L2404"/>
      <x:c r="M2404"/>
      <x:c r="N2404" t="n">
        <x:v>0</x:v>
      </x:c>
      <x:c r="O2404" t="n">
        <x:v>0</x:v>
      </x:c>
      <x:c r="P2404"/>
      <x:c r="Q2404"/>
      <x:c r="R2404"/>
      <x:c r="S2404"/>
      <x:c r="T2404"/>
      <x:c r="U2404"/>
      <x:c r="V2404"/>
      <x:c r="W2404"/>
      <x:c r="X2404"/>
      <x:c r="Y2404"/>
      <x:c r="Z2404"/>
      <x:c r="AA2404"/>
      <x:c r="AB2404"/>
      <x:c r="AC2404"/>
      <x:c r="AD2404"/>
      <x:c r="AE2404"/>
      <x:c r="AF2404" t="n">
        <x:v>0</x:v>
      </x:c>
      <x:c r="AG2404" t="n">
        <x:f>_xlfn.XLOOKUP($A2404,Games!$A$2:$A$18,Games!$B$2:$B$18,"Missing game",0)</x:f>
        <x:v>2025</x:v>
      </x:c>
      <x:c r="AH2404" t="str">
        <x:f>_xlfn.XLOOKUP($A2404,Games!$A$2:$A$18,Games!$C$2:$C$18,"Missing game",0)</x:f>
        <x:v>REG</x:v>
      </x:c>
      <x:c r="AI2404" t="n">
        <x:f>_xlfn.XLOOKUP($A2404,Games!$A$2:$A$18,Games!$D$2:$D$18,"Missing game",0)</x:f>
        <x:v>16</x:v>
      </x:c>
      <x:c r="AJ2404" s="1" t="n">
        <x:f>_xlfn.XLOOKUP($A2404,Games!$A$2:$A$18,Games!$E$2:$E$18,"Missing game",0)</x:f>
        <x:v>46012</x:v>
      </x:c>
      <x:c r="AK2404" t="str">
        <x:f>_xlfn.XLOOKUP($A2404,Games!$A$2:$A$18,Games!$F$2:$F$18,"Missing game",0)</x:f>
        <x:v>Sunday</x:v>
      </x:c>
      <x:c r="AL2404" t="str">
        <x:f>_xlfn.XLOOKUP($A2404,Games!$A$2:$A$18,Games!$G$2:$G$18,"Missing game",0)</x:f>
        <x:v>MIN</x:v>
      </x:c>
      <x:c r="AM2404" t="n">
        <x:f>_xlfn.XLOOKUP($A2404,Games!$A$2:$A$18,Games!$H$2:$H$18,"Missing game",0)</x:f>
        <x:v>16</x:v>
      </x:c>
      <x:c r="AN2404" t="str">
        <x:f>_xlfn.XLOOKUP($A2404,Games!$A$2:$A$18,Games!$I$2:$I$18,"Missing game",0)</x:f>
        <x:v>NYG</x:v>
      </x:c>
      <x:c r="AO2404" t="n">
        <x:f>_xlfn.XLOOKUP($A2404,Games!$A$2:$A$18,Games!$J$2:$J$18,"Missing game",0)</x:f>
        <x:v>13</x:v>
      </x:c>
      <x:c r="AP2404" t="n">
        <x:f>_xlfn.XLOOKUP($A2404,Games!$A$2:$A$18,Games!$K$2:$K$18,"Missing game",0)</x:f>
        <x:v>-3</x:v>
      </x:c>
      <x:c r="AQ2404" t="n">
        <x:f>_xlfn.XLOOKUP($A2404,Games!$A$2:$A$18,Games!$L$2:$L$18,"Missing game",0)</x:f>
        <x:v>29</x:v>
      </x:c>
      <x:c r="AR2404" t="n">
        <x:f>_xlfn.XLOOKUP($A2404,Games!$A$2:$A$18,Games!$M$2:$M$18,"Missing game",0)</x:f>
        <x:v>0</x:v>
      </x:c>
      <x:c r="AS2404" t="str">
        <x:f>_xlfn.XLOOKUP($A2404,Games!$A$2:$A$18,Games!$N$2:$N$18,"Missing game",0)</x:f>
        <x:v>outdoors</x:v>
      </x:c>
      <x:c r="AT2404" t="str">
        <x:f>_xlfn.XLOOKUP($A2404,Games!$A$2:$A$18,Games!$O$2:$O$18,"Missing game",0)</x:f>
        <x:v>fieldturf</x:v>
      </x:c>
      <x:c r="AU2404" t="n">
        <x:f>_xlfn.XLOOKUP($A2404,Games!$A$2:$A$18,Games!$P$2:$P$18,"Missing game",0)</x:f>
        <x:v>46</x:v>
      </x:c>
      <x:c r="AV2404" t="n">
        <x:f>_xlfn.XLOOKUP($A2404,Games!$A$2:$A$18,Games!$Q$2:$Q$18,"Missing game",0)</x:f>
        <x:v>20</x:v>
      </x:c>
      <x:c r="AW2404" t="str">
        <x:f>_xlfn.XLOOKUP($A2404,Games!$A$2:$A$18,Games!$R$2:$R$18,"Missing game",0)</x:f>
        <x:v>MetLife Stadium</x:v>
      </x:c>
    </x:row>
    <x:row r="2405">
      <x:c r="A2405" t="str">
        <x:v>2025_16_MIN_NYG</x:v>
      </x:c>
      <x:c r="B2405" t="n">
        <x:v>2042</x:v>
      </x:c>
      <x:c r="C2405" t="n">
        <x:v>3</x:v>
      </x:c>
      <x:c r="D2405" t="str">
        <x:v>15:00</x:v>
      </x:c>
      <x:c r="E2405"/>
      <x:c r="F2405" t="n">
        <x:v>0</x:v>
      </x:c>
      <x:c r="G2405" t="str">
        <x:v>NYG</x:v>
      </x:c>
      <x:c r="H2405" t="str">
        <x:v>MIN</x:v>
      </x:c>
      <x:c r="I2405" t="str">
        <x:v>MIN</x:v>
      </x:c>
      <x:c r="J2405" t="n">
        <x:v>35</x:v>
      </x:c>
      <x:c r="K2405" t="str">
        <x:v>16-W.Reichard kicks 50 yards from MIN 35 to NYG 15. 80-G.Olszewski to NYG 31 for 16 yards (40-S.Takitaki).</x:v>
      </x:c>
      <x:c r="L2405" t="str">
        <x:v>kickoff</x:v>
      </x:c>
      <x:c r="M2405" t="n">
        <x:v>0</x:v>
      </x:c>
      <x:c r="N2405" t="n">
        <x:v>0</x:v>
      </x:c>
      <x:c r="O2405" t="n">
        <x:v>0</x:v>
      </x:c>
      <x:c r="P2405"/>
      <x:c r="Q2405"/>
      <x:c r="R2405"/>
      <x:c r="S2405"/>
      <x:c r="T2405"/>
      <x:c r="U2405"/>
      <x:c r="V2405" t="n">
        <x:v>0</x:v>
      </x:c>
      <x:c r="W2405" t="n">
        <x:v>0</x:v>
      </x:c>
      <x:c r="X2405" t="n">
        <x:v>0</x:v>
      </x:c>
      <x:c r="Y2405" t="n">
        <x:v>0</x:v>
      </x:c>
      <x:c r="Z2405" t="n">
        <x:v>0</x:v>
      </x:c>
      <x:c r="AA2405" t="n">
        <x:v>0</x:v>
      </x:c>
      <x:c r="AB2405"/>
      <x:c r="AC2405" t="n">
        <x:v>0</x:v>
      </x:c>
      <x:c r="AD2405" t="n">
        <x:v>0.3705692880321294</x:v>
      </x:c>
      <x:c r="AE2405" t="n">
        <x:v>1</x:v>
      </x:c>
      <x:c r="AF2405" t="n">
        <x:v>0.006230950355529785</x:v>
      </x:c>
      <x:c r="AG2405" t="n">
        <x:f>_xlfn.XLOOKUP($A2405,Games!$A$2:$A$18,Games!$B$2:$B$18,"Missing game",0)</x:f>
        <x:v>2025</x:v>
      </x:c>
      <x:c r="AH2405" t="str">
        <x:f>_xlfn.XLOOKUP($A2405,Games!$A$2:$A$18,Games!$C$2:$C$18,"Missing game",0)</x:f>
        <x:v>REG</x:v>
      </x:c>
      <x:c r="AI2405" t="n">
        <x:f>_xlfn.XLOOKUP($A2405,Games!$A$2:$A$18,Games!$D$2:$D$18,"Missing game",0)</x:f>
        <x:v>16</x:v>
      </x:c>
      <x:c r="AJ2405" s="1" t="n">
        <x:f>_xlfn.XLOOKUP($A2405,Games!$A$2:$A$18,Games!$E$2:$E$18,"Missing game",0)</x:f>
        <x:v>46012</x:v>
      </x:c>
      <x:c r="AK2405" t="str">
        <x:f>_xlfn.XLOOKUP($A2405,Games!$A$2:$A$18,Games!$F$2:$F$18,"Missing game",0)</x:f>
        <x:v>Sunday</x:v>
      </x:c>
      <x:c r="AL2405" t="str">
        <x:f>_xlfn.XLOOKUP($A2405,Games!$A$2:$A$18,Games!$G$2:$G$18,"Missing game",0)</x:f>
        <x:v>MIN</x:v>
      </x:c>
      <x:c r="AM2405" t="n">
        <x:f>_xlfn.XLOOKUP($A2405,Games!$A$2:$A$18,Games!$H$2:$H$18,"Missing game",0)</x:f>
        <x:v>16</x:v>
      </x:c>
      <x:c r="AN2405" t="str">
        <x:f>_xlfn.XLOOKUP($A2405,Games!$A$2:$A$18,Games!$I$2:$I$18,"Missing game",0)</x:f>
        <x:v>NYG</x:v>
      </x:c>
      <x:c r="AO2405" t="n">
        <x:f>_xlfn.XLOOKUP($A2405,Games!$A$2:$A$18,Games!$J$2:$J$18,"Missing game",0)</x:f>
        <x:v>13</x:v>
      </x:c>
      <x:c r="AP2405" t="n">
        <x:f>_xlfn.XLOOKUP($A2405,Games!$A$2:$A$18,Games!$K$2:$K$18,"Missing game",0)</x:f>
        <x:v>-3</x:v>
      </x:c>
      <x:c r="AQ2405" t="n">
        <x:f>_xlfn.XLOOKUP($A2405,Games!$A$2:$A$18,Games!$L$2:$L$18,"Missing game",0)</x:f>
        <x:v>29</x:v>
      </x:c>
      <x:c r="AR2405" t="n">
        <x:f>_xlfn.XLOOKUP($A2405,Games!$A$2:$A$18,Games!$M$2:$M$18,"Missing game",0)</x:f>
        <x:v>0</x:v>
      </x:c>
      <x:c r="AS2405" t="str">
        <x:f>_xlfn.XLOOKUP($A2405,Games!$A$2:$A$18,Games!$N$2:$N$18,"Missing game",0)</x:f>
        <x:v>outdoors</x:v>
      </x:c>
      <x:c r="AT2405" t="str">
        <x:f>_xlfn.XLOOKUP($A2405,Games!$A$2:$A$18,Games!$O$2:$O$18,"Missing game",0)</x:f>
        <x:v>fieldturf</x:v>
      </x:c>
      <x:c r="AU2405" t="n">
        <x:f>_xlfn.XLOOKUP($A2405,Games!$A$2:$A$18,Games!$P$2:$P$18,"Missing game",0)</x:f>
        <x:v>46</x:v>
      </x:c>
      <x:c r="AV2405" t="n">
        <x:f>_xlfn.XLOOKUP($A2405,Games!$A$2:$A$18,Games!$Q$2:$Q$18,"Missing game",0)</x:f>
        <x:v>20</x:v>
      </x:c>
      <x:c r="AW2405" t="str">
        <x:f>_xlfn.XLOOKUP($A2405,Games!$A$2:$A$18,Games!$R$2:$R$18,"Missing game",0)</x:f>
        <x:v>MetLife Stadium</x:v>
      </x:c>
    </x:row>
    <x:row r="2406">
      <x:c r="A2406" t="str">
        <x:v>2025_16_MIN_NYG</x:v>
      </x:c>
      <x:c r="B2406" t="n">
        <x:v>2075</x:v>
      </x:c>
      <x:c r="C2406" t="n">
        <x:v>3</x:v>
      </x:c>
      <x:c r="D2406" t="str">
        <x:v>14:55</x:v>
      </x:c>
      <x:c r="E2406" t="n">
        <x:v>1</x:v>
      </x:c>
      <x:c r="F2406" t="n">
        <x:v>10</x:v>
      </x:c>
      <x:c r="G2406" t="str">
        <x:v>NYG</x:v>
      </x:c>
      <x:c r="H2406" t="str">
        <x:v>MIN</x:v>
      </x:c>
      <x:c r="I2406" t="str">
        <x:v>NYG</x:v>
      </x:c>
      <x:c r="J2406" t="n">
        <x:v>69</x:v>
      </x:c>
      <x:c r="K2406" t="str">
        <x:v>(14:55) 29-T.Tracy left guard to NYG 32 for 1 yard (51-B.Cashman; 99-E.Williams).</x:v>
      </x:c>
      <x:c r="L2406" t="str">
        <x:v>run</x:v>
      </x:c>
      <x:c r="M2406" t="n">
        <x:v>1</x:v>
      </x:c>
      <x:c r="N2406" t="n">
        <x:v>0</x:v>
      </x:c>
      <x:c r="O2406" t="n">
        <x:v>0</x:v>
      </x:c>
      <x:c r="P2406"/>
      <x:c r="Q2406"/>
      <x:c r="R2406"/>
      <x:c r="S2406"/>
      <x:c r="T2406" t="str">
        <x:v>left</x:v>
      </x:c>
      <x:c r="U2406" t="str">
        <x:v>guard</x:v>
      </x:c>
      <x:c r="V2406" t="n">
        <x:v>0</x:v>
      </x:c>
      <x:c r="W2406" t="n">
        <x:v>0</x:v>
      </x:c>
      <x:c r="X2406" t="n">
        <x:v>0</x:v>
      </x:c>
      <x:c r="Y2406" t="n">
        <x:v>0</x:v>
      </x:c>
      <x:c r="Z2406" t="n">
        <x:v>0</x:v>
      </x:c>
      <x:c r="AA2406" t="n">
        <x:v>0</x:v>
      </x:c>
      <x:c r="AB2406"/>
      <x:c r="AC2406" t="n">
        <x:v>0</x:v>
      </x:c>
      <x:c r="AD2406" t="n">
        <x:v>-0.399346953490749</x:v>
      </x:c>
      <x:c r="AE2406" t="n">
        <x:v>0</x:v>
      </x:c>
      <x:c r="AF2406" t="n">
        <x:v>-0.013206720352172852</x:v>
      </x:c>
      <x:c r="AG2406" t="n">
        <x:f>_xlfn.XLOOKUP($A2406,Games!$A$2:$A$18,Games!$B$2:$B$18,"Missing game",0)</x:f>
        <x:v>2025</x:v>
      </x:c>
      <x:c r="AH2406" t="str">
        <x:f>_xlfn.XLOOKUP($A2406,Games!$A$2:$A$18,Games!$C$2:$C$18,"Missing game",0)</x:f>
        <x:v>REG</x:v>
      </x:c>
      <x:c r="AI2406" t="n">
        <x:f>_xlfn.XLOOKUP($A2406,Games!$A$2:$A$18,Games!$D$2:$D$18,"Missing game",0)</x:f>
        <x:v>16</x:v>
      </x:c>
      <x:c r="AJ2406" s="1" t="n">
        <x:f>_xlfn.XLOOKUP($A2406,Games!$A$2:$A$18,Games!$E$2:$E$18,"Missing game",0)</x:f>
        <x:v>46012</x:v>
      </x:c>
      <x:c r="AK2406" t="str">
        <x:f>_xlfn.XLOOKUP($A2406,Games!$A$2:$A$18,Games!$F$2:$F$18,"Missing game",0)</x:f>
        <x:v>Sunday</x:v>
      </x:c>
      <x:c r="AL2406" t="str">
        <x:f>_xlfn.XLOOKUP($A2406,Games!$A$2:$A$18,Games!$G$2:$G$18,"Missing game",0)</x:f>
        <x:v>MIN</x:v>
      </x:c>
      <x:c r="AM2406" t="n">
        <x:f>_xlfn.XLOOKUP($A2406,Games!$A$2:$A$18,Games!$H$2:$H$18,"Missing game",0)</x:f>
        <x:v>16</x:v>
      </x:c>
      <x:c r="AN2406" t="str">
        <x:f>_xlfn.XLOOKUP($A2406,Games!$A$2:$A$18,Games!$I$2:$I$18,"Missing game",0)</x:f>
        <x:v>NYG</x:v>
      </x:c>
      <x:c r="AO2406" t="n">
        <x:f>_xlfn.XLOOKUP($A2406,Games!$A$2:$A$18,Games!$J$2:$J$18,"Missing game",0)</x:f>
        <x:v>13</x:v>
      </x:c>
      <x:c r="AP2406" t="n">
        <x:f>_xlfn.XLOOKUP($A2406,Games!$A$2:$A$18,Games!$K$2:$K$18,"Missing game",0)</x:f>
        <x:v>-3</x:v>
      </x:c>
      <x:c r="AQ2406" t="n">
        <x:f>_xlfn.XLOOKUP($A2406,Games!$A$2:$A$18,Games!$L$2:$L$18,"Missing game",0)</x:f>
        <x:v>29</x:v>
      </x:c>
      <x:c r="AR2406" t="n">
        <x:f>_xlfn.XLOOKUP($A2406,Games!$A$2:$A$18,Games!$M$2:$M$18,"Missing game",0)</x:f>
        <x:v>0</x:v>
      </x:c>
      <x:c r="AS2406" t="str">
        <x:f>_xlfn.XLOOKUP($A2406,Games!$A$2:$A$18,Games!$N$2:$N$18,"Missing game",0)</x:f>
        <x:v>outdoors</x:v>
      </x:c>
      <x:c r="AT2406" t="str">
        <x:f>_xlfn.XLOOKUP($A2406,Games!$A$2:$A$18,Games!$O$2:$O$18,"Missing game",0)</x:f>
        <x:v>fieldturf</x:v>
      </x:c>
      <x:c r="AU2406" t="n">
        <x:f>_xlfn.XLOOKUP($A2406,Games!$A$2:$A$18,Games!$P$2:$P$18,"Missing game",0)</x:f>
        <x:v>46</x:v>
      </x:c>
      <x:c r="AV2406" t="n">
        <x:f>_xlfn.XLOOKUP($A2406,Games!$A$2:$A$18,Games!$Q$2:$Q$18,"Missing game",0)</x:f>
        <x:v>20</x:v>
      </x:c>
      <x:c r="AW2406" t="str">
        <x:f>_xlfn.XLOOKUP($A2406,Games!$A$2:$A$18,Games!$R$2:$R$18,"Missing game",0)</x:f>
        <x:v>MetLife Stadium</x:v>
      </x:c>
    </x:row>
    <x:row r="2407">
      <x:c r="A2407" t="str">
        <x:v>2025_16_MIN_NYG</x:v>
      </x:c>
      <x:c r="B2407" t="n">
        <x:v>2097</x:v>
      </x:c>
      <x:c r="C2407" t="n">
        <x:v>3</x:v>
      </x:c>
      <x:c r="D2407" t="str">
        <x:v>14:25</x:v>
      </x:c>
      <x:c r="E2407" t="n">
        <x:v>2</x:v>
      </x:c>
      <x:c r="F2407" t="n">
        <x:v>9</x:v>
      </x:c>
      <x:c r="G2407" t="str">
        <x:v>NYG</x:v>
      </x:c>
      <x:c r="H2407" t="str">
        <x:v>MIN</x:v>
      </x:c>
      <x:c r="I2407" t="str">
        <x:v>NYG</x:v>
      </x:c>
      <x:c r="J2407" t="n">
        <x:v>68</x:v>
      </x:c>
      <x:c r="K2407" t="str">
        <x:v>(14:25) (Shotgun) PENALTY on MIN-50-L.Rodriguez, Encroachment, 5 yards, enforced at NYG 32 - No Play.</x:v>
      </x:c>
      <x:c r="L2407" t="str">
        <x:v>no_play</x:v>
      </x:c>
      <x:c r="M2407" t="n">
        <x:v>0</x:v>
      </x:c>
      <x:c r="N2407" t="n">
        <x:v>1</x:v>
      </x:c>
      <x:c r="O2407" t="n">
        <x:v>0</x:v>
      </x:c>
      <x:c r="P2407"/>
      <x:c r="Q2407"/>
      <x:c r="R2407"/>
      <x:c r="S2407"/>
      <x:c r="T2407"/>
      <x:c r="U2407"/>
      <x:c r="V2407" t="n">
        <x:v>0</x:v>
      </x:c>
      <x:c r="W2407" t="n">
        <x:v>0</x:v>
      </x:c>
      <x:c r="X2407" t="n">
        <x:v>0</x:v>
      </x:c>
      <x:c r="Y2407" t="n">
        <x:v>0</x:v>
      </x:c>
      <x:c r="Z2407" t="n">
        <x:v>0</x:v>
      </x:c>
      <x:c r="AA2407" t="n">
        <x:v>1</x:v>
      </x:c>
      <x:c r="AB2407" t="n">
        <x:v>5</x:v>
      </x:c>
      <x:c r="AC2407" t="n">
        <x:v>0</x:v>
      </x:c>
      <x:c r="AD2407" t="n">
        <x:v>0.7033032085746527</x:v>
      </x:c>
      <x:c r="AE2407" t="n">
        <x:v>1</x:v>
      </x:c>
      <x:c r="AF2407" t="n">
        <x:v>0.03194284439086914</x:v>
      </x:c>
      <x:c r="AG2407" t="n">
        <x:f>_xlfn.XLOOKUP($A2407,Games!$A$2:$A$18,Games!$B$2:$B$18,"Missing game",0)</x:f>
        <x:v>2025</x:v>
      </x:c>
      <x:c r="AH2407" t="str">
        <x:f>_xlfn.XLOOKUP($A2407,Games!$A$2:$A$18,Games!$C$2:$C$18,"Missing game",0)</x:f>
        <x:v>REG</x:v>
      </x:c>
      <x:c r="AI2407" t="n">
        <x:f>_xlfn.XLOOKUP($A2407,Games!$A$2:$A$18,Games!$D$2:$D$18,"Missing game",0)</x:f>
        <x:v>16</x:v>
      </x:c>
      <x:c r="AJ2407" s="1" t="n">
        <x:f>_xlfn.XLOOKUP($A2407,Games!$A$2:$A$18,Games!$E$2:$E$18,"Missing game",0)</x:f>
        <x:v>46012</x:v>
      </x:c>
      <x:c r="AK2407" t="str">
        <x:f>_xlfn.XLOOKUP($A2407,Games!$A$2:$A$18,Games!$F$2:$F$18,"Missing game",0)</x:f>
        <x:v>Sunday</x:v>
      </x:c>
      <x:c r="AL2407" t="str">
        <x:f>_xlfn.XLOOKUP($A2407,Games!$A$2:$A$18,Games!$G$2:$G$18,"Missing game",0)</x:f>
        <x:v>MIN</x:v>
      </x:c>
      <x:c r="AM2407" t="n">
        <x:f>_xlfn.XLOOKUP($A2407,Games!$A$2:$A$18,Games!$H$2:$H$18,"Missing game",0)</x:f>
        <x:v>16</x:v>
      </x:c>
      <x:c r="AN2407" t="str">
        <x:f>_xlfn.XLOOKUP($A2407,Games!$A$2:$A$18,Games!$I$2:$I$18,"Missing game",0)</x:f>
        <x:v>NYG</x:v>
      </x:c>
      <x:c r="AO2407" t="n">
        <x:f>_xlfn.XLOOKUP($A2407,Games!$A$2:$A$18,Games!$J$2:$J$18,"Missing game",0)</x:f>
        <x:v>13</x:v>
      </x:c>
      <x:c r="AP2407" t="n">
        <x:f>_xlfn.XLOOKUP($A2407,Games!$A$2:$A$18,Games!$K$2:$K$18,"Missing game",0)</x:f>
        <x:v>-3</x:v>
      </x:c>
      <x:c r="AQ2407" t="n">
        <x:f>_xlfn.XLOOKUP($A2407,Games!$A$2:$A$18,Games!$L$2:$L$18,"Missing game",0)</x:f>
        <x:v>29</x:v>
      </x:c>
      <x:c r="AR2407" t="n">
        <x:f>_xlfn.XLOOKUP($A2407,Games!$A$2:$A$18,Games!$M$2:$M$18,"Missing game",0)</x:f>
        <x:v>0</x:v>
      </x:c>
      <x:c r="AS2407" t="str">
        <x:f>_xlfn.XLOOKUP($A2407,Games!$A$2:$A$18,Games!$N$2:$N$18,"Missing game",0)</x:f>
        <x:v>outdoors</x:v>
      </x:c>
      <x:c r="AT2407" t="str">
        <x:f>_xlfn.XLOOKUP($A2407,Games!$A$2:$A$18,Games!$O$2:$O$18,"Missing game",0)</x:f>
        <x:v>fieldturf</x:v>
      </x:c>
      <x:c r="AU2407" t="n">
        <x:f>_xlfn.XLOOKUP($A2407,Games!$A$2:$A$18,Games!$P$2:$P$18,"Missing game",0)</x:f>
        <x:v>46</x:v>
      </x:c>
      <x:c r="AV2407" t="n">
        <x:f>_xlfn.XLOOKUP($A2407,Games!$A$2:$A$18,Games!$Q$2:$Q$18,"Missing game",0)</x:f>
        <x:v>20</x:v>
      </x:c>
      <x:c r="AW2407" t="str">
        <x:f>_xlfn.XLOOKUP($A2407,Games!$A$2:$A$18,Games!$R$2:$R$18,"Missing game",0)</x:f>
        <x:v>MetLife Stadium</x:v>
      </x:c>
    </x:row>
    <x:row r="2408">
      <x:c r="A2408" t="str">
        <x:v>2025_16_MIN_NYG</x:v>
      </x:c>
      <x:c r="B2408" t="n">
        <x:v>2121</x:v>
      </x:c>
      <x:c r="C2408" t="n">
        <x:v>3</x:v>
      </x:c>
      <x:c r="D2408" t="str">
        <x:v>14:08</x:v>
      </x:c>
      <x:c r="E2408" t="n">
        <x:v>2</x:v>
      </x:c>
      <x:c r="F2408" t="n">
        <x:v>4</x:v>
      </x:c>
      <x:c r="G2408" t="str">
        <x:v>NYG</x:v>
      </x:c>
      <x:c r="H2408" t="str">
        <x:v>MIN</x:v>
      </x:c>
      <x:c r="I2408" t="str">
        <x:v>NYG</x:v>
      </x:c>
      <x:c r="J2408" t="n">
        <x:v>63</x:v>
      </x:c>
      <x:c r="K2408" t="str">
        <x:v>(14:08) 29-T.Tracy right end to NYG 38 for 1 yard (90-T.Ingram-Dawkins). PENALTY on NYG-85-C.Manhertz, Offensive Holding, 10 yards, enforced at NYG 37 - No Play.</x:v>
      </x:c>
      <x:c r="L2408" t="str">
        <x:v>no_play</x:v>
      </x:c>
      <x:c r="M2408" t="n">
        <x:v>0</x:v>
      </x:c>
      <x:c r="N2408" t="n">
        <x:v>0</x:v>
      </x:c>
      <x:c r="O2408" t="n">
        <x:v>0</x:v>
      </x:c>
      <x:c r="P2408"/>
      <x:c r="Q2408"/>
      <x:c r="R2408"/>
      <x:c r="S2408"/>
      <x:c r="T2408"/>
      <x:c r="U2408"/>
      <x:c r="V2408" t="n">
        <x:v>0</x:v>
      </x:c>
      <x:c r="W2408" t="n">
        <x:v>0</x:v>
      </x:c>
      <x:c r="X2408" t="n">
        <x:v>0</x:v>
      </x:c>
      <x:c r="Y2408" t="n">
        <x:v>0</x:v>
      </x:c>
      <x:c r="Z2408" t="n">
        <x:v>0</x:v>
      </x:c>
      <x:c r="AA2408" t="n">
        <x:v>1</x:v>
      </x:c>
      <x:c r="AB2408" t="n">
        <x:v>10</x:v>
      </x:c>
      <x:c r="AC2408" t="n">
        <x:v>0</x:v>
      </x:c>
      <x:c r="AD2408" t="n">
        <x:v>-1.4644260620698333</x:v>
      </x:c>
      <x:c r="AE2408" t="n">
        <x:v>0</x:v>
      </x:c>
      <x:c r="AF2408" t="n">
        <x:v>-0.07185709476470947</x:v>
      </x:c>
      <x:c r="AG2408" t="n">
        <x:f>_xlfn.XLOOKUP($A2408,Games!$A$2:$A$18,Games!$B$2:$B$18,"Missing game",0)</x:f>
        <x:v>2025</x:v>
      </x:c>
      <x:c r="AH2408" t="str">
        <x:f>_xlfn.XLOOKUP($A2408,Games!$A$2:$A$18,Games!$C$2:$C$18,"Missing game",0)</x:f>
        <x:v>REG</x:v>
      </x:c>
      <x:c r="AI2408" t="n">
        <x:f>_xlfn.XLOOKUP($A2408,Games!$A$2:$A$18,Games!$D$2:$D$18,"Missing game",0)</x:f>
        <x:v>16</x:v>
      </x:c>
      <x:c r="AJ2408" s="1" t="n">
        <x:f>_xlfn.XLOOKUP($A2408,Games!$A$2:$A$18,Games!$E$2:$E$18,"Missing game",0)</x:f>
        <x:v>46012</x:v>
      </x:c>
      <x:c r="AK2408" t="str">
        <x:f>_xlfn.XLOOKUP($A2408,Games!$A$2:$A$18,Games!$F$2:$F$18,"Missing game",0)</x:f>
        <x:v>Sunday</x:v>
      </x:c>
      <x:c r="AL2408" t="str">
        <x:f>_xlfn.XLOOKUP($A2408,Games!$A$2:$A$18,Games!$G$2:$G$18,"Missing game",0)</x:f>
        <x:v>MIN</x:v>
      </x:c>
      <x:c r="AM2408" t="n">
        <x:f>_xlfn.XLOOKUP($A2408,Games!$A$2:$A$18,Games!$H$2:$H$18,"Missing game",0)</x:f>
        <x:v>16</x:v>
      </x:c>
      <x:c r="AN2408" t="str">
        <x:f>_xlfn.XLOOKUP($A2408,Games!$A$2:$A$18,Games!$I$2:$I$18,"Missing game",0)</x:f>
        <x:v>NYG</x:v>
      </x:c>
      <x:c r="AO2408" t="n">
        <x:f>_xlfn.XLOOKUP($A2408,Games!$A$2:$A$18,Games!$J$2:$J$18,"Missing game",0)</x:f>
        <x:v>13</x:v>
      </x:c>
      <x:c r="AP2408" t="n">
        <x:f>_xlfn.XLOOKUP($A2408,Games!$A$2:$A$18,Games!$K$2:$K$18,"Missing game",0)</x:f>
        <x:v>-3</x:v>
      </x:c>
      <x:c r="AQ2408" t="n">
        <x:f>_xlfn.XLOOKUP($A2408,Games!$A$2:$A$18,Games!$L$2:$L$18,"Missing game",0)</x:f>
        <x:v>29</x:v>
      </x:c>
      <x:c r="AR2408" t="n">
        <x:f>_xlfn.XLOOKUP($A2408,Games!$A$2:$A$18,Games!$M$2:$M$18,"Missing game",0)</x:f>
        <x:v>0</x:v>
      </x:c>
      <x:c r="AS2408" t="str">
        <x:f>_xlfn.XLOOKUP($A2408,Games!$A$2:$A$18,Games!$N$2:$N$18,"Missing game",0)</x:f>
        <x:v>outdoors</x:v>
      </x:c>
      <x:c r="AT2408" t="str">
        <x:f>_xlfn.XLOOKUP($A2408,Games!$A$2:$A$18,Games!$O$2:$O$18,"Missing game",0)</x:f>
        <x:v>fieldturf</x:v>
      </x:c>
      <x:c r="AU2408" t="n">
        <x:f>_xlfn.XLOOKUP($A2408,Games!$A$2:$A$18,Games!$P$2:$P$18,"Missing game",0)</x:f>
        <x:v>46</x:v>
      </x:c>
      <x:c r="AV2408" t="n">
        <x:f>_xlfn.XLOOKUP($A2408,Games!$A$2:$A$18,Games!$Q$2:$Q$18,"Missing game",0)</x:f>
        <x:v>20</x:v>
      </x:c>
      <x:c r="AW2408" t="str">
        <x:f>_xlfn.XLOOKUP($A2408,Games!$A$2:$A$18,Games!$R$2:$R$18,"Missing game",0)</x:f>
        <x:v>MetLife Stadium</x:v>
      </x:c>
    </x:row>
    <x:row r="2409">
      <x:c r="A2409" t="str">
        <x:v>2025_16_MIN_NYG</x:v>
      </x:c>
      <x:c r="B2409" t="n">
        <x:v>2157</x:v>
      </x:c>
      <x:c r="C2409" t="n">
        <x:v>3</x:v>
      </x:c>
      <x:c r="D2409" t="str">
        <x:v>13:36</x:v>
      </x:c>
      <x:c r="E2409" t="n">
        <x:v>2</x:v>
      </x:c>
      <x:c r="F2409" t="n">
        <x:v>14</x:v>
      </x:c>
      <x:c r="G2409" t="str">
        <x:v>NYG</x:v>
      </x:c>
      <x:c r="H2409" t="str">
        <x:v>MIN</x:v>
      </x:c>
      <x:c r="I2409" t="str">
        <x:v>NYG</x:v>
      </x:c>
      <x:c r="J2409" t="n">
        <x:v>73</x:v>
      </x:c>
      <x:c r="K2409" t="str">
        <x:v>(13:36) (Shotgun) 6-J.Dart pass short middle to 82-D.Bellinger to NYG 40 for 13 yards (43-A.Van Ginkel; 24-J.Ward). PENALTY on MIN-15-D.Turner, Defensive Holding, 5 yards, enforced at NYG 27 - No Play.</x:v>
      </x:c>
      <x:c r="L2409" t="str">
        <x:v>no_play</x:v>
      </x:c>
      <x:c r="M2409" t="n">
        <x:v>0</x:v>
      </x:c>
      <x:c r="N2409" t="n">
        <x:v>1</x:v>
      </x:c>
      <x:c r="O2409" t="n">
        <x:v>0</x:v>
      </x:c>
      <x:c r="P2409"/>
      <x:c r="Q2409"/>
      <x:c r="R2409"/>
      <x:c r="S2409"/>
      <x:c r="T2409"/>
      <x:c r="U2409"/>
      <x:c r="V2409" t="n">
        <x:v>0</x:v>
      </x:c>
      <x:c r="W2409" t="n">
        <x:v>1</x:v>
      </x:c>
      <x:c r="X2409" t="n">
        <x:v>0</x:v>
      </x:c>
      <x:c r="Y2409" t="n">
        <x:v>0</x:v>
      </x:c>
      <x:c r="Z2409" t="n">
        <x:v>0</x:v>
      </x:c>
      <x:c r="AA2409" t="n">
        <x:v>1</x:v>
      </x:c>
      <x:c r="AB2409" t="n">
        <x:v>5</x:v>
      </x:c>
      <x:c r="AC2409" t="n">
        <x:v>0</x:v>
      </x:c>
      <x:c r="AD2409" t="n">
        <x:v>1.3704117278102785</x:v>
      </x:c>
      <x:c r="AE2409" t="n">
        <x:v>1</x:v>
      </x:c>
      <x:c r="AF2409" t="n">
        <x:v>0.05195671319961548</x:v>
      </x:c>
      <x:c r="AG2409" t="n">
        <x:f>_xlfn.XLOOKUP($A2409,Games!$A$2:$A$18,Games!$B$2:$B$18,"Missing game",0)</x:f>
        <x:v>2025</x:v>
      </x:c>
      <x:c r="AH2409" t="str">
        <x:f>_xlfn.XLOOKUP($A2409,Games!$A$2:$A$18,Games!$C$2:$C$18,"Missing game",0)</x:f>
        <x:v>REG</x:v>
      </x:c>
      <x:c r="AI2409" t="n">
        <x:f>_xlfn.XLOOKUP($A2409,Games!$A$2:$A$18,Games!$D$2:$D$18,"Missing game",0)</x:f>
        <x:v>16</x:v>
      </x:c>
      <x:c r="AJ2409" s="1" t="n">
        <x:f>_xlfn.XLOOKUP($A2409,Games!$A$2:$A$18,Games!$E$2:$E$18,"Missing game",0)</x:f>
        <x:v>46012</x:v>
      </x:c>
      <x:c r="AK2409" t="str">
        <x:f>_xlfn.XLOOKUP($A2409,Games!$A$2:$A$18,Games!$F$2:$F$18,"Missing game",0)</x:f>
        <x:v>Sunday</x:v>
      </x:c>
      <x:c r="AL2409" t="str">
        <x:f>_xlfn.XLOOKUP($A2409,Games!$A$2:$A$18,Games!$G$2:$G$18,"Missing game",0)</x:f>
        <x:v>MIN</x:v>
      </x:c>
      <x:c r="AM2409" t="n">
        <x:f>_xlfn.XLOOKUP($A2409,Games!$A$2:$A$18,Games!$H$2:$H$18,"Missing game",0)</x:f>
        <x:v>16</x:v>
      </x:c>
      <x:c r="AN2409" t="str">
        <x:f>_xlfn.XLOOKUP($A2409,Games!$A$2:$A$18,Games!$I$2:$I$18,"Missing game",0)</x:f>
        <x:v>NYG</x:v>
      </x:c>
      <x:c r="AO2409" t="n">
        <x:f>_xlfn.XLOOKUP($A2409,Games!$A$2:$A$18,Games!$J$2:$J$18,"Missing game",0)</x:f>
        <x:v>13</x:v>
      </x:c>
      <x:c r="AP2409" t="n">
        <x:f>_xlfn.XLOOKUP($A2409,Games!$A$2:$A$18,Games!$K$2:$K$18,"Missing game",0)</x:f>
        <x:v>-3</x:v>
      </x:c>
      <x:c r="AQ2409" t="n">
        <x:f>_xlfn.XLOOKUP($A2409,Games!$A$2:$A$18,Games!$L$2:$L$18,"Missing game",0)</x:f>
        <x:v>29</x:v>
      </x:c>
      <x:c r="AR2409" t="n">
        <x:f>_xlfn.XLOOKUP($A2409,Games!$A$2:$A$18,Games!$M$2:$M$18,"Missing game",0)</x:f>
        <x:v>0</x:v>
      </x:c>
      <x:c r="AS2409" t="str">
        <x:f>_xlfn.XLOOKUP($A2409,Games!$A$2:$A$18,Games!$N$2:$N$18,"Missing game",0)</x:f>
        <x:v>outdoors</x:v>
      </x:c>
      <x:c r="AT2409" t="str">
        <x:f>_xlfn.XLOOKUP($A2409,Games!$A$2:$A$18,Games!$O$2:$O$18,"Missing game",0)</x:f>
        <x:v>fieldturf</x:v>
      </x:c>
      <x:c r="AU2409" t="n">
        <x:f>_xlfn.XLOOKUP($A2409,Games!$A$2:$A$18,Games!$P$2:$P$18,"Missing game",0)</x:f>
        <x:v>46</x:v>
      </x:c>
      <x:c r="AV2409" t="n">
        <x:f>_xlfn.XLOOKUP($A2409,Games!$A$2:$A$18,Games!$Q$2:$Q$18,"Missing game",0)</x:f>
        <x:v>20</x:v>
      </x:c>
      <x:c r="AW2409" t="str">
        <x:f>_xlfn.XLOOKUP($A2409,Games!$A$2:$A$18,Games!$R$2:$R$18,"Missing game",0)</x:f>
        <x:v>MetLife Stadium</x:v>
      </x:c>
    </x:row>
    <x:row r="2410">
      <x:c r="A2410" t="str">
        <x:v>2025_16_MIN_NYG</x:v>
      </x:c>
      <x:c r="B2410" t="n">
        <x:v>2193</x:v>
      </x:c>
      <x:c r="C2410" t="n">
        <x:v>3</x:v>
      </x:c>
      <x:c r="D2410" t="str">
        <x:v>13:16</x:v>
      </x:c>
      <x:c r="E2410" t="n">
        <x:v>1</x:v>
      </x:c>
      <x:c r="F2410" t="n">
        <x:v>10</x:v>
      </x:c>
      <x:c r="G2410" t="str">
        <x:v>NYG</x:v>
      </x:c>
      <x:c r="H2410" t="str">
        <x:v>MIN</x:v>
      </x:c>
      <x:c r="I2410" t="str">
        <x:v>NYG</x:v>
      </x:c>
      <x:c r="J2410" t="n">
        <x:v>68</x:v>
      </x:c>
      <x:c r="K2410" t="str">
        <x:v>(13:16) 29-T.Tracy right tackle to NYG 35 for 3 yards (93-J.Allen; 50-L.Rodriguez).</x:v>
      </x:c>
      <x:c r="L2410" t="str">
        <x:v>run</x:v>
      </x:c>
      <x:c r="M2410" t="n">
        <x:v>3</x:v>
      </x:c>
      <x:c r="N2410" t="n">
        <x:v>0</x:v>
      </x:c>
      <x:c r="O2410" t="n">
        <x:v>0</x:v>
      </x:c>
      <x:c r="P2410"/>
      <x:c r="Q2410"/>
      <x:c r="R2410"/>
      <x:c r="S2410"/>
      <x:c r="T2410" t="str">
        <x:v>right</x:v>
      </x:c>
      <x:c r="U2410" t="str">
        <x:v>tackle</x:v>
      </x:c>
      <x:c r="V2410" t="n">
        <x:v>0</x:v>
      </x:c>
      <x:c r="W2410" t="n">
        <x:v>0</x:v>
      </x:c>
      <x:c r="X2410" t="n">
        <x:v>0</x:v>
      </x:c>
      <x:c r="Y2410" t="n">
        <x:v>0</x:v>
      </x:c>
      <x:c r="Z2410" t="n">
        <x:v>0</x:v>
      </x:c>
      <x:c r="AA2410" t="n">
        <x:v>0</x:v>
      </x:c>
      <x:c r="AB2410"/>
      <x:c r="AC2410" t="n">
        <x:v>0</x:v>
      </x:c>
      <x:c r="AD2410" t="n">
        <x:v>-0.4253617550712079</x:v>
      </x:c>
      <x:c r="AE2410" t="n">
        <x:v>0</x:v>
      </x:c>
      <x:c r="AF2410" t="n">
        <x:v>-0.000954747200012207</x:v>
      </x:c>
      <x:c r="AG2410" t="n">
        <x:f>_xlfn.XLOOKUP($A2410,Games!$A$2:$A$18,Games!$B$2:$B$18,"Missing game",0)</x:f>
        <x:v>2025</x:v>
      </x:c>
      <x:c r="AH2410" t="str">
        <x:f>_xlfn.XLOOKUP($A2410,Games!$A$2:$A$18,Games!$C$2:$C$18,"Missing game",0)</x:f>
        <x:v>REG</x:v>
      </x:c>
      <x:c r="AI2410" t="n">
        <x:f>_xlfn.XLOOKUP($A2410,Games!$A$2:$A$18,Games!$D$2:$D$18,"Missing game",0)</x:f>
        <x:v>16</x:v>
      </x:c>
      <x:c r="AJ2410" s="1" t="n">
        <x:f>_xlfn.XLOOKUP($A2410,Games!$A$2:$A$18,Games!$E$2:$E$18,"Missing game",0)</x:f>
        <x:v>46012</x:v>
      </x:c>
      <x:c r="AK2410" t="str">
        <x:f>_xlfn.XLOOKUP($A2410,Games!$A$2:$A$18,Games!$F$2:$F$18,"Missing game",0)</x:f>
        <x:v>Sunday</x:v>
      </x:c>
      <x:c r="AL2410" t="str">
        <x:f>_xlfn.XLOOKUP($A2410,Games!$A$2:$A$18,Games!$G$2:$G$18,"Missing game",0)</x:f>
        <x:v>MIN</x:v>
      </x:c>
      <x:c r="AM2410" t="n">
        <x:f>_xlfn.XLOOKUP($A2410,Games!$A$2:$A$18,Games!$H$2:$H$18,"Missing game",0)</x:f>
        <x:v>16</x:v>
      </x:c>
      <x:c r="AN2410" t="str">
        <x:f>_xlfn.XLOOKUP($A2410,Games!$A$2:$A$18,Games!$I$2:$I$18,"Missing game",0)</x:f>
        <x:v>NYG</x:v>
      </x:c>
      <x:c r="AO2410" t="n">
        <x:f>_xlfn.XLOOKUP($A2410,Games!$A$2:$A$18,Games!$J$2:$J$18,"Missing game",0)</x:f>
        <x:v>13</x:v>
      </x:c>
      <x:c r="AP2410" t="n">
        <x:f>_xlfn.XLOOKUP($A2410,Games!$A$2:$A$18,Games!$K$2:$K$18,"Missing game",0)</x:f>
        <x:v>-3</x:v>
      </x:c>
      <x:c r="AQ2410" t="n">
        <x:f>_xlfn.XLOOKUP($A2410,Games!$A$2:$A$18,Games!$L$2:$L$18,"Missing game",0)</x:f>
        <x:v>29</x:v>
      </x:c>
      <x:c r="AR2410" t="n">
        <x:f>_xlfn.XLOOKUP($A2410,Games!$A$2:$A$18,Games!$M$2:$M$18,"Missing game",0)</x:f>
        <x:v>0</x:v>
      </x:c>
      <x:c r="AS2410" t="str">
        <x:f>_xlfn.XLOOKUP($A2410,Games!$A$2:$A$18,Games!$N$2:$N$18,"Missing game",0)</x:f>
        <x:v>outdoors</x:v>
      </x:c>
      <x:c r="AT2410" t="str">
        <x:f>_xlfn.XLOOKUP($A2410,Games!$A$2:$A$18,Games!$O$2:$O$18,"Missing game",0)</x:f>
        <x:v>fieldturf</x:v>
      </x:c>
      <x:c r="AU2410" t="n">
        <x:f>_xlfn.XLOOKUP($A2410,Games!$A$2:$A$18,Games!$P$2:$P$18,"Missing game",0)</x:f>
        <x:v>46</x:v>
      </x:c>
      <x:c r="AV2410" t="n">
        <x:f>_xlfn.XLOOKUP($A2410,Games!$A$2:$A$18,Games!$Q$2:$Q$18,"Missing game",0)</x:f>
        <x:v>20</x:v>
      </x:c>
      <x:c r="AW2410" t="str">
        <x:f>_xlfn.XLOOKUP($A2410,Games!$A$2:$A$18,Games!$R$2:$R$18,"Missing game",0)</x:f>
        <x:v>MetLife Stadium</x:v>
      </x:c>
    </x:row>
    <x:row r="2411">
      <x:c r="A2411" t="str">
        <x:v>2025_16_MIN_NYG</x:v>
      </x:c>
      <x:c r="B2411" t="n">
        <x:v>2225</x:v>
      </x:c>
      <x:c r="C2411" t="n">
        <x:v>3</x:v>
      </x:c>
      <x:c r="D2411" t="str">
        <x:v>12:47</x:v>
      </x:c>
      <x:c r="E2411" t="n">
        <x:v>2</x:v>
      </x:c>
      <x:c r="F2411" t="n">
        <x:v>7</x:v>
      </x:c>
      <x:c r="G2411" t="str">
        <x:v>NYG</x:v>
      </x:c>
      <x:c r="H2411" t="str">
        <x:v>MIN</x:v>
      </x:c>
      <x:c r="I2411" t="str">
        <x:v>NYG</x:v>
      </x:c>
      <x:c r="J2411" t="n">
        <x:v>65</x:v>
      </x:c>
      <x:c r="K2411" t="str">
        <x:v>(12:47) (No Huddle, Shotgun) 29-T.Tracy up the middle to NYG 38 for 3 yards (51-B.Cashman; 61-J.Redmond).</x:v>
      </x:c>
      <x:c r="L2411" t="str">
        <x:v>run</x:v>
      </x:c>
      <x:c r="M2411" t="n">
        <x:v>3</x:v>
      </x:c>
      <x:c r="N2411" t="n">
        <x:v>1</x:v>
      </x:c>
      <x:c r="O2411" t="n">
        <x:v>1</x:v>
      </x:c>
      <x:c r="P2411"/>
      <x:c r="Q2411"/>
      <x:c r="R2411"/>
      <x:c r="S2411"/>
      <x:c r="T2411" t="str">
        <x:v>middle</x:v>
      </x:c>
      <x:c r="U2411"/>
      <x:c r="V2411" t="n">
        <x:v>0</x:v>
      </x:c>
      <x:c r="W2411" t="n">
        <x:v>0</x:v>
      </x:c>
      <x:c r="X2411" t="n">
        <x:v>0</x:v>
      </x:c>
      <x:c r="Y2411" t="n">
        <x:v>0</x:v>
      </x:c>
      <x:c r="Z2411" t="n">
        <x:v>0</x:v>
      </x:c>
      <x:c r="AA2411" t="n">
        <x:v>0</x:v>
      </x:c>
      <x:c r="AB2411"/>
      <x:c r="AC2411" t="n">
        <x:v>0</x:v>
      </x:c>
      <x:c r="AD2411" t="n">
        <x:v>-0.3563279574736953</x:v>
      </x:c>
      <x:c r="AE2411" t="n">
        <x:v>0</x:v>
      </x:c>
      <x:c r="AF2411" t="n">
        <x:v>-0.018324047327041626</x:v>
      </x:c>
      <x:c r="AG2411" t="n">
        <x:f>_xlfn.XLOOKUP($A2411,Games!$A$2:$A$18,Games!$B$2:$B$18,"Missing game",0)</x:f>
        <x:v>2025</x:v>
      </x:c>
      <x:c r="AH2411" t="str">
        <x:f>_xlfn.XLOOKUP($A2411,Games!$A$2:$A$18,Games!$C$2:$C$18,"Missing game",0)</x:f>
        <x:v>REG</x:v>
      </x:c>
      <x:c r="AI2411" t="n">
        <x:f>_xlfn.XLOOKUP($A2411,Games!$A$2:$A$18,Games!$D$2:$D$18,"Missing game",0)</x:f>
        <x:v>16</x:v>
      </x:c>
      <x:c r="AJ2411" s="1" t="n">
        <x:f>_xlfn.XLOOKUP($A2411,Games!$A$2:$A$18,Games!$E$2:$E$18,"Missing game",0)</x:f>
        <x:v>46012</x:v>
      </x:c>
      <x:c r="AK2411" t="str">
        <x:f>_xlfn.XLOOKUP($A2411,Games!$A$2:$A$18,Games!$F$2:$F$18,"Missing game",0)</x:f>
        <x:v>Sunday</x:v>
      </x:c>
      <x:c r="AL2411" t="str">
        <x:f>_xlfn.XLOOKUP($A2411,Games!$A$2:$A$18,Games!$G$2:$G$18,"Missing game",0)</x:f>
        <x:v>MIN</x:v>
      </x:c>
      <x:c r="AM2411" t="n">
        <x:f>_xlfn.XLOOKUP($A2411,Games!$A$2:$A$18,Games!$H$2:$H$18,"Missing game",0)</x:f>
        <x:v>16</x:v>
      </x:c>
      <x:c r="AN2411" t="str">
        <x:f>_xlfn.XLOOKUP($A2411,Games!$A$2:$A$18,Games!$I$2:$I$18,"Missing game",0)</x:f>
        <x:v>NYG</x:v>
      </x:c>
      <x:c r="AO2411" t="n">
        <x:f>_xlfn.XLOOKUP($A2411,Games!$A$2:$A$18,Games!$J$2:$J$18,"Missing game",0)</x:f>
        <x:v>13</x:v>
      </x:c>
      <x:c r="AP2411" t="n">
        <x:f>_xlfn.XLOOKUP($A2411,Games!$A$2:$A$18,Games!$K$2:$K$18,"Missing game",0)</x:f>
        <x:v>-3</x:v>
      </x:c>
      <x:c r="AQ2411" t="n">
        <x:f>_xlfn.XLOOKUP($A2411,Games!$A$2:$A$18,Games!$L$2:$L$18,"Missing game",0)</x:f>
        <x:v>29</x:v>
      </x:c>
      <x:c r="AR2411" t="n">
        <x:f>_xlfn.XLOOKUP($A2411,Games!$A$2:$A$18,Games!$M$2:$M$18,"Missing game",0)</x:f>
        <x:v>0</x:v>
      </x:c>
      <x:c r="AS2411" t="str">
        <x:f>_xlfn.XLOOKUP($A2411,Games!$A$2:$A$18,Games!$N$2:$N$18,"Missing game",0)</x:f>
        <x:v>outdoors</x:v>
      </x:c>
      <x:c r="AT2411" t="str">
        <x:f>_xlfn.XLOOKUP($A2411,Games!$A$2:$A$18,Games!$O$2:$O$18,"Missing game",0)</x:f>
        <x:v>fieldturf</x:v>
      </x:c>
      <x:c r="AU2411" t="n">
        <x:f>_xlfn.XLOOKUP($A2411,Games!$A$2:$A$18,Games!$P$2:$P$18,"Missing game",0)</x:f>
        <x:v>46</x:v>
      </x:c>
      <x:c r="AV2411" t="n">
        <x:f>_xlfn.XLOOKUP($A2411,Games!$A$2:$A$18,Games!$Q$2:$Q$18,"Missing game",0)</x:f>
        <x:v>20</x:v>
      </x:c>
      <x:c r="AW2411" t="str">
        <x:f>_xlfn.XLOOKUP($A2411,Games!$A$2:$A$18,Games!$R$2:$R$18,"Missing game",0)</x:f>
        <x:v>MetLife Stadium</x:v>
      </x:c>
    </x:row>
    <x:row r="2412">
      <x:c r="A2412" t="str">
        <x:v>2025_16_MIN_NYG</x:v>
      </x:c>
      <x:c r="B2412" t="n">
        <x:v>2247</x:v>
      </x:c>
      <x:c r="C2412" t="n">
        <x:v>3</x:v>
      </x:c>
      <x:c r="D2412" t="str">
        <x:v>12:05</x:v>
      </x:c>
      <x:c r="E2412" t="n">
        <x:v>3</x:v>
      </x:c>
      <x:c r="F2412" t="n">
        <x:v>4</x:v>
      </x:c>
      <x:c r="G2412" t="str">
        <x:v>NYG</x:v>
      </x:c>
      <x:c r="H2412" t="str">
        <x:v>MIN</x:v>
      </x:c>
      <x:c r="I2412" t="str">
        <x:v>NYG</x:v>
      </x:c>
      <x:c r="J2412" t="n">
        <x:v>62</x:v>
      </x:c>
      <x:c r="K2412" t="str">
        <x:v>(12:05) (Shotgun) PENALTY on NYG-64-A.Stinnie, False Start, 5 yards, enforced at NYG 38 - No Play.</x:v>
      </x:c>
      <x:c r="L2412" t="str">
        <x:v>no_play</x:v>
      </x:c>
      <x:c r="M2412" t="n">
        <x:v>0</x:v>
      </x:c>
      <x:c r="N2412" t="n">
        <x:v>1</x:v>
      </x:c>
      <x:c r="O2412" t="n">
        <x:v>0</x:v>
      </x:c>
      <x:c r="P2412"/>
      <x:c r="Q2412"/>
      <x:c r="R2412"/>
      <x:c r="S2412"/>
      <x:c r="T2412"/>
      <x:c r="U2412"/>
      <x:c r="V2412" t="n">
        <x:v>0</x:v>
      </x:c>
      <x:c r="W2412" t="n">
        <x:v>0</x:v>
      </x:c>
      <x:c r="X2412" t="n">
        <x:v>0</x:v>
      </x:c>
      <x:c r="Y2412" t="n">
        <x:v>0</x:v>
      </x:c>
      <x:c r="Z2412" t="n">
        <x:v>0</x:v>
      </x:c>
      <x:c r="AA2412" t="n">
        <x:v>1</x:v>
      </x:c>
      <x:c r="AB2412" t="n">
        <x:v>5</x:v>
      </x:c>
      <x:c r="AC2412" t="n">
        <x:v>0</x:v>
      </x:c>
      <x:c r="AD2412" t="n">
        <x:v>-0.644075183197856</x:v>
      </x:c>
      <x:c r="AE2412" t="n">
        <x:v>0</x:v>
      </x:c>
      <x:c r="AF2412" t="n">
        <x:v>-0.026104360818862915</x:v>
      </x:c>
      <x:c r="AG2412" t="n">
        <x:f>_xlfn.XLOOKUP($A2412,Games!$A$2:$A$18,Games!$B$2:$B$18,"Missing game",0)</x:f>
        <x:v>2025</x:v>
      </x:c>
      <x:c r="AH2412" t="str">
        <x:f>_xlfn.XLOOKUP($A2412,Games!$A$2:$A$18,Games!$C$2:$C$18,"Missing game",0)</x:f>
        <x:v>REG</x:v>
      </x:c>
      <x:c r="AI2412" t="n">
        <x:f>_xlfn.XLOOKUP($A2412,Games!$A$2:$A$18,Games!$D$2:$D$18,"Missing game",0)</x:f>
        <x:v>16</x:v>
      </x:c>
      <x:c r="AJ2412" s="1" t="n">
        <x:f>_xlfn.XLOOKUP($A2412,Games!$A$2:$A$18,Games!$E$2:$E$18,"Missing game",0)</x:f>
        <x:v>46012</x:v>
      </x:c>
      <x:c r="AK2412" t="str">
        <x:f>_xlfn.XLOOKUP($A2412,Games!$A$2:$A$18,Games!$F$2:$F$18,"Missing game",0)</x:f>
        <x:v>Sunday</x:v>
      </x:c>
      <x:c r="AL2412" t="str">
        <x:f>_xlfn.XLOOKUP($A2412,Games!$A$2:$A$18,Games!$G$2:$G$18,"Missing game",0)</x:f>
        <x:v>MIN</x:v>
      </x:c>
      <x:c r="AM2412" t="n">
        <x:f>_xlfn.XLOOKUP($A2412,Games!$A$2:$A$18,Games!$H$2:$H$18,"Missing game",0)</x:f>
        <x:v>16</x:v>
      </x:c>
      <x:c r="AN2412" t="str">
        <x:f>_xlfn.XLOOKUP($A2412,Games!$A$2:$A$18,Games!$I$2:$I$18,"Missing game",0)</x:f>
        <x:v>NYG</x:v>
      </x:c>
      <x:c r="AO2412" t="n">
        <x:f>_xlfn.XLOOKUP($A2412,Games!$A$2:$A$18,Games!$J$2:$J$18,"Missing game",0)</x:f>
        <x:v>13</x:v>
      </x:c>
      <x:c r="AP2412" t="n">
        <x:f>_xlfn.XLOOKUP($A2412,Games!$A$2:$A$18,Games!$K$2:$K$18,"Missing game",0)</x:f>
        <x:v>-3</x:v>
      </x:c>
      <x:c r="AQ2412" t="n">
        <x:f>_xlfn.XLOOKUP($A2412,Games!$A$2:$A$18,Games!$L$2:$L$18,"Missing game",0)</x:f>
        <x:v>29</x:v>
      </x:c>
      <x:c r="AR2412" t="n">
        <x:f>_xlfn.XLOOKUP($A2412,Games!$A$2:$A$18,Games!$M$2:$M$18,"Missing game",0)</x:f>
        <x:v>0</x:v>
      </x:c>
      <x:c r="AS2412" t="str">
        <x:f>_xlfn.XLOOKUP($A2412,Games!$A$2:$A$18,Games!$N$2:$N$18,"Missing game",0)</x:f>
        <x:v>outdoors</x:v>
      </x:c>
      <x:c r="AT2412" t="str">
        <x:f>_xlfn.XLOOKUP($A2412,Games!$A$2:$A$18,Games!$O$2:$O$18,"Missing game",0)</x:f>
        <x:v>fieldturf</x:v>
      </x:c>
      <x:c r="AU2412" t="n">
        <x:f>_xlfn.XLOOKUP($A2412,Games!$A$2:$A$18,Games!$P$2:$P$18,"Missing game",0)</x:f>
        <x:v>46</x:v>
      </x:c>
      <x:c r="AV2412" t="n">
        <x:f>_xlfn.XLOOKUP($A2412,Games!$A$2:$A$18,Games!$Q$2:$Q$18,"Missing game",0)</x:f>
        <x:v>20</x:v>
      </x:c>
      <x:c r="AW2412" t="str">
        <x:f>_xlfn.XLOOKUP($A2412,Games!$A$2:$A$18,Games!$R$2:$R$18,"Missing game",0)</x:f>
        <x:v>MetLife Stadium</x:v>
      </x:c>
    </x:row>
    <x:row r="2413">
      <x:c r="A2413" t="str">
        <x:v>2025_16_MIN_NYG</x:v>
      </x:c>
      <x:c r="B2413" t="n">
        <x:v>2271</x:v>
      </x:c>
      <x:c r="C2413" t="n">
        <x:v>3</x:v>
      </x:c>
      <x:c r="D2413" t="str">
        <x:v>11:53</x:v>
      </x:c>
      <x:c r="E2413" t="n">
        <x:v>3</x:v>
      </x:c>
      <x:c r="F2413" t="n">
        <x:v>9</x:v>
      </x:c>
      <x:c r="G2413" t="str">
        <x:v>NYG</x:v>
      </x:c>
      <x:c r="H2413" t="str">
        <x:v>MIN</x:v>
      </x:c>
      <x:c r="I2413" t="str">
        <x:v>NYG</x:v>
      </x:c>
      <x:c r="J2413" t="n">
        <x:v>67</x:v>
      </x:c>
      <x:c r="K2413" t="str">
        <x:v>(11:53) (Shotgun) 6-J.Dart pass short left to 29-T.Tracy to NYG 37 for 4 yards (51-B.Cashman; 93-J.Allen).</x:v>
      </x:c>
      <x:c r="L2413" t="str">
        <x:v>pass</x:v>
      </x:c>
      <x:c r="M2413" t="n">
        <x:v>4</x:v>
      </x:c>
      <x:c r="N2413" t="n">
        <x:v>1</x:v>
      </x:c>
      <x:c r="O2413" t="n">
        <x:v>0</x:v>
      </x:c>
      <x:c r="P2413" t="str">
        <x:v>short</x:v>
      </x:c>
      <x:c r="Q2413" t="str">
        <x:v>left</x:v>
      </x:c>
      <x:c r="R2413" t="n">
        <x:v>-4</x:v>
      </x:c>
      <x:c r="S2413" t="n">
        <x:v>8</x:v>
      </x:c>
      <x:c r="T2413"/>
      <x:c r="U2413"/>
      <x:c r="V2413" t="n">
        <x:v>1</x:v>
      </x:c>
      <x:c r="W2413" t="n">
        <x:v>0</x:v>
      </x:c>
      <x:c r="X2413" t="n">
        <x:v>0</x:v>
      </x:c>
      <x:c r="Y2413" t="n">
        <x:v>0</x:v>
      </x:c>
      <x:c r="Z2413" t="n">
        <x:v>0</x:v>
      </x:c>
      <x:c r="AA2413" t="n">
        <x:v>0</x:v>
      </x:c>
      <x:c r="AB2413"/>
      <x:c r="AC2413" t="n">
        <x:v>0</x:v>
      </x:c>
      <x:c r="AD2413" t="n">
        <x:v>-1.0451136641204357</x:v>
      </x:c>
      <x:c r="AE2413" t="n">
        <x:v>0</x:v>
      </x:c>
      <x:c r="AF2413" t="n">
        <x:v>-0.018079280853271484</x:v>
      </x:c>
      <x:c r="AG2413" t="n">
        <x:f>_xlfn.XLOOKUP($A2413,Games!$A$2:$A$18,Games!$B$2:$B$18,"Missing game",0)</x:f>
        <x:v>2025</x:v>
      </x:c>
      <x:c r="AH2413" t="str">
        <x:f>_xlfn.XLOOKUP($A2413,Games!$A$2:$A$18,Games!$C$2:$C$18,"Missing game",0)</x:f>
        <x:v>REG</x:v>
      </x:c>
      <x:c r="AI2413" t="n">
        <x:f>_xlfn.XLOOKUP($A2413,Games!$A$2:$A$18,Games!$D$2:$D$18,"Missing game",0)</x:f>
        <x:v>16</x:v>
      </x:c>
      <x:c r="AJ2413" s="1" t="n">
        <x:f>_xlfn.XLOOKUP($A2413,Games!$A$2:$A$18,Games!$E$2:$E$18,"Missing game",0)</x:f>
        <x:v>46012</x:v>
      </x:c>
      <x:c r="AK2413" t="str">
        <x:f>_xlfn.XLOOKUP($A2413,Games!$A$2:$A$18,Games!$F$2:$F$18,"Missing game",0)</x:f>
        <x:v>Sunday</x:v>
      </x:c>
      <x:c r="AL2413" t="str">
        <x:f>_xlfn.XLOOKUP($A2413,Games!$A$2:$A$18,Games!$G$2:$G$18,"Missing game",0)</x:f>
        <x:v>MIN</x:v>
      </x:c>
      <x:c r="AM2413" t="n">
        <x:f>_xlfn.XLOOKUP($A2413,Games!$A$2:$A$18,Games!$H$2:$H$18,"Missing game",0)</x:f>
        <x:v>16</x:v>
      </x:c>
      <x:c r="AN2413" t="str">
        <x:f>_xlfn.XLOOKUP($A2413,Games!$A$2:$A$18,Games!$I$2:$I$18,"Missing game",0)</x:f>
        <x:v>NYG</x:v>
      </x:c>
      <x:c r="AO2413" t="n">
        <x:f>_xlfn.XLOOKUP($A2413,Games!$A$2:$A$18,Games!$J$2:$J$18,"Missing game",0)</x:f>
        <x:v>13</x:v>
      </x:c>
      <x:c r="AP2413" t="n">
        <x:f>_xlfn.XLOOKUP($A2413,Games!$A$2:$A$18,Games!$K$2:$K$18,"Missing game",0)</x:f>
        <x:v>-3</x:v>
      </x:c>
      <x:c r="AQ2413" t="n">
        <x:f>_xlfn.XLOOKUP($A2413,Games!$A$2:$A$18,Games!$L$2:$L$18,"Missing game",0)</x:f>
        <x:v>29</x:v>
      </x:c>
      <x:c r="AR2413" t="n">
        <x:f>_xlfn.XLOOKUP($A2413,Games!$A$2:$A$18,Games!$M$2:$M$18,"Missing game",0)</x:f>
        <x:v>0</x:v>
      </x:c>
      <x:c r="AS2413" t="str">
        <x:f>_xlfn.XLOOKUP($A2413,Games!$A$2:$A$18,Games!$N$2:$N$18,"Missing game",0)</x:f>
        <x:v>outdoors</x:v>
      </x:c>
      <x:c r="AT2413" t="str">
        <x:f>_xlfn.XLOOKUP($A2413,Games!$A$2:$A$18,Games!$O$2:$O$18,"Missing game",0)</x:f>
        <x:v>fieldturf</x:v>
      </x:c>
      <x:c r="AU2413" t="n">
        <x:f>_xlfn.XLOOKUP($A2413,Games!$A$2:$A$18,Games!$P$2:$P$18,"Missing game",0)</x:f>
        <x:v>46</x:v>
      </x:c>
      <x:c r="AV2413" t="n">
        <x:f>_xlfn.XLOOKUP($A2413,Games!$A$2:$A$18,Games!$Q$2:$Q$18,"Missing game",0)</x:f>
        <x:v>20</x:v>
      </x:c>
      <x:c r="AW2413" t="str">
        <x:f>_xlfn.XLOOKUP($A2413,Games!$A$2:$A$18,Games!$R$2:$R$18,"Missing game",0)</x:f>
        <x:v>MetLife Stadium</x:v>
      </x:c>
    </x:row>
    <x:row r="2414">
      <x:c r="A2414" t="str">
        <x:v>2025_16_MIN_NYG</x:v>
      </x:c>
      <x:c r="B2414" t="n">
        <x:v>2296</x:v>
      </x:c>
      <x:c r="C2414" t="n">
        <x:v>3</x:v>
      </x:c>
      <x:c r="D2414" t="str">
        <x:v>11:15</x:v>
      </x:c>
      <x:c r="E2414" t="n">
        <x:v>4</x:v>
      </x:c>
      <x:c r="F2414" t="n">
        <x:v>5</x:v>
      </x:c>
      <x:c r="G2414" t="str">
        <x:v>NYG</x:v>
      </x:c>
      <x:c r="H2414" t="str">
        <x:v>MIN</x:v>
      </x:c>
      <x:c r="I2414" t="str">
        <x:v>NYG</x:v>
      </x:c>
      <x:c r="J2414" t="n">
        <x:v>63</x:v>
      </x:c>
      <x:c r="K2414" t="str">
        <x:v>(11:15) 12-J.Gillan punts 40 yards to MIN 23, Center-59-C.Kreiter, fair catch by 4-M.Price. PENALTY on MIN-0-I.Pace, Offensive Holding, 10 yards, enforced at MIN 23.</x:v>
      </x:c>
      <x:c r="L2414" t="str">
        <x:v>punt</x:v>
      </x:c>
      <x:c r="M2414" t="n">
        <x:v>0</x:v>
      </x:c>
      <x:c r="N2414" t="n">
        <x:v>0</x:v>
      </x:c>
      <x:c r="O2414" t="n">
        <x:v>0</x:v>
      </x:c>
      <x:c r="P2414"/>
      <x:c r="Q2414"/>
      <x:c r="R2414"/>
      <x:c r="S2414"/>
      <x:c r="T2414"/>
      <x:c r="U2414"/>
      <x:c r="V2414" t="n">
        <x:v>0</x:v>
      </x:c>
      <x:c r="W2414" t="n">
        <x:v>0</x:v>
      </x:c>
      <x:c r="X2414" t="n">
        <x:v>0</x:v>
      </x:c>
      <x:c r="Y2414" t="n">
        <x:v>0</x:v>
      </x:c>
      <x:c r="Z2414" t="n">
        <x:v>0</x:v>
      </x:c>
      <x:c r="AA2414" t="n">
        <x:v>1</x:v>
      </x:c>
      <x:c r="AB2414" t="n">
        <x:v>10</x:v>
      </x:c>
      <x:c r="AC2414" t="n">
        <x:v>0</x:v>
      </x:c>
      <x:c r="AD2414" t="n">
        <x:v>0.435649664606899</x:v>
      </x:c>
      <x:c r="AE2414" t="n">
        <x:v>1</x:v>
      </x:c>
      <x:c r="AF2414" t="n">
        <x:v>0.03184819221496582</x:v>
      </x:c>
      <x:c r="AG2414" t="n">
        <x:f>_xlfn.XLOOKUP($A2414,Games!$A$2:$A$18,Games!$B$2:$B$18,"Missing game",0)</x:f>
        <x:v>2025</x:v>
      </x:c>
      <x:c r="AH2414" t="str">
        <x:f>_xlfn.XLOOKUP($A2414,Games!$A$2:$A$18,Games!$C$2:$C$18,"Missing game",0)</x:f>
        <x:v>REG</x:v>
      </x:c>
      <x:c r="AI2414" t="n">
        <x:f>_xlfn.XLOOKUP($A2414,Games!$A$2:$A$18,Games!$D$2:$D$18,"Missing game",0)</x:f>
        <x:v>16</x:v>
      </x:c>
      <x:c r="AJ2414" s="1" t="n">
        <x:f>_xlfn.XLOOKUP($A2414,Games!$A$2:$A$18,Games!$E$2:$E$18,"Missing game",0)</x:f>
        <x:v>46012</x:v>
      </x:c>
      <x:c r="AK2414" t="str">
        <x:f>_xlfn.XLOOKUP($A2414,Games!$A$2:$A$18,Games!$F$2:$F$18,"Missing game",0)</x:f>
        <x:v>Sunday</x:v>
      </x:c>
      <x:c r="AL2414" t="str">
        <x:f>_xlfn.XLOOKUP($A2414,Games!$A$2:$A$18,Games!$G$2:$G$18,"Missing game",0)</x:f>
        <x:v>MIN</x:v>
      </x:c>
      <x:c r="AM2414" t="n">
        <x:f>_xlfn.XLOOKUP($A2414,Games!$A$2:$A$18,Games!$H$2:$H$18,"Missing game",0)</x:f>
        <x:v>16</x:v>
      </x:c>
      <x:c r="AN2414" t="str">
        <x:f>_xlfn.XLOOKUP($A2414,Games!$A$2:$A$18,Games!$I$2:$I$18,"Missing game",0)</x:f>
        <x:v>NYG</x:v>
      </x:c>
      <x:c r="AO2414" t="n">
        <x:f>_xlfn.XLOOKUP($A2414,Games!$A$2:$A$18,Games!$J$2:$J$18,"Missing game",0)</x:f>
        <x:v>13</x:v>
      </x:c>
      <x:c r="AP2414" t="n">
        <x:f>_xlfn.XLOOKUP($A2414,Games!$A$2:$A$18,Games!$K$2:$K$18,"Missing game",0)</x:f>
        <x:v>-3</x:v>
      </x:c>
      <x:c r="AQ2414" t="n">
        <x:f>_xlfn.XLOOKUP($A2414,Games!$A$2:$A$18,Games!$L$2:$L$18,"Missing game",0)</x:f>
        <x:v>29</x:v>
      </x:c>
      <x:c r="AR2414" t="n">
        <x:f>_xlfn.XLOOKUP($A2414,Games!$A$2:$A$18,Games!$M$2:$M$18,"Missing game",0)</x:f>
        <x:v>0</x:v>
      </x:c>
      <x:c r="AS2414" t="str">
        <x:f>_xlfn.XLOOKUP($A2414,Games!$A$2:$A$18,Games!$N$2:$N$18,"Missing game",0)</x:f>
        <x:v>outdoors</x:v>
      </x:c>
      <x:c r="AT2414" t="str">
        <x:f>_xlfn.XLOOKUP($A2414,Games!$A$2:$A$18,Games!$O$2:$O$18,"Missing game",0)</x:f>
        <x:v>fieldturf</x:v>
      </x:c>
      <x:c r="AU2414" t="n">
        <x:f>_xlfn.XLOOKUP($A2414,Games!$A$2:$A$18,Games!$P$2:$P$18,"Missing game",0)</x:f>
        <x:v>46</x:v>
      </x:c>
      <x:c r="AV2414" t="n">
        <x:f>_xlfn.XLOOKUP($A2414,Games!$A$2:$A$18,Games!$Q$2:$Q$18,"Missing game",0)</x:f>
        <x:v>20</x:v>
      </x:c>
      <x:c r="AW2414" t="str">
        <x:f>_xlfn.XLOOKUP($A2414,Games!$A$2:$A$18,Games!$R$2:$R$18,"Missing game",0)</x:f>
        <x:v>MetLife Stadium</x:v>
      </x:c>
    </x:row>
    <x:row r="2415">
      <x:c r="A2415" t="str">
        <x:v>2025_16_MIN_NYG</x:v>
      </x:c>
      <x:c r="B2415" t="n">
        <x:v>2328</x:v>
      </x:c>
      <x:c r="C2415" t="n">
        <x:v>3</x:v>
      </x:c>
      <x:c r="D2415" t="str">
        <x:v>11:08</x:v>
      </x:c>
      <x:c r="E2415" t="n">
        <x:v>1</x:v>
      </x:c>
      <x:c r="F2415" t="n">
        <x:v>10</x:v>
      </x:c>
      <x:c r="G2415" t="str">
        <x:v>MIN</x:v>
      </x:c>
      <x:c r="H2415" t="str">
        <x:v>NYG</x:v>
      </x:c>
      <x:c r="I2415" t="str">
        <x:v>MIN</x:v>
      </x:c>
      <x:c r="J2415" t="n">
        <x:v>87</x:v>
      </x:c>
      <x:c r="K2415" t="str">
        <x:v>(11:08) 33-A.Jones left end ran ob at MIN 28 for 15 yards (58-B.Okereke).</x:v>
      </x:c>
      <x:c r="L2415" t="str">
        <x:v>run</x:v>
      </x:c>
      <x:c r="M2415" t="n">
        <x:v>15</x:v>
      </x:c>
      <x:c r="N2415" t="n">
        <x:v>0</x:v>
      </x:c>
      <x:c r="O2415" t="n">
        <x:v>0</x:v>
      </x:c>
      <x:c r="P2415"/>
      <x:c r="Q2415"/>
      <x:c r="R2415"/>
      <x:c r="S2415"/>
      <x:c r="T2415" t="str">
        <x:v>left</x:v>
      </x:c>
      <x:c r="U2415" t="str">
        <x:v>end</x:v>
      </x:c>
      <x:c r="V2415" t="n">
        <x:v>0</x:v>
      </x:c>
      <x:c r="W2415" t="n">
        <x:v>1</x:v>
      </x:c>
      <x:c r="X2415" t="n">
        <x:v>0</x:v>
      </x:c>
      <x:c r="Y2415" t="n">
        <x:v>0</x:v>
      </x:c>
      <x:c r="Z2415" t="n">
        <x:v>0</x:v>
      </x:c>
      <x:c r="AA2415" t="n">
        <x:v>0</x:v>
      </x:c>
      <x:c r="AB2415"/>
      <x:c r="AC2415" t="n">
        <x:v>0</x:v>
      </x:c>
      <x:c r="AD2415" t="n">
        <x:v>1.0003068041987717</x:v>
      </x:c>
      <x:c r="AE2415" t="n">
        <x:v>1</x:v>
      </x:c>
      <x:c r="AF2415" t="n">
        <x:v>0.01847553253173828</x:v>
      </x:c>
      <x:c r="AG2415" t="n">
        <x:f>_xlfn.XLOOKUP($A2415,Games!$A$2:$A$18,Games!$B$2:$B$18,"Missing game",0)</x:f>
        <x:v>2025</x:v>
      </x:c>
      <x:c r="AH2415" t="str">
        <x:f>_xlfn.XLOOKUP($A2415,Games!$A$2:$A$18,Games!$C$2:$C$18,"Missing game",0)</x:f>
        <x:v>REG</x:v>
      </x:c>
      <x:c r="AI2415" t="n">
        <x:f>_xlfn.XLOOKUP($A2415,Games!$A$2:$A$18,Games!$D$2:$D$18,"Missing game",0)</x:f>
        <x:v>16</x:v>
      </x:c>
      <x:c r="AJ2415" s="1" t="n">
        <x:f>_xlfn.XLOOKUP($A2415,Games!$A$2:$A$18,Games!$E$2:$E$18,"Missing game",0)</x:f>
        <x:v>46012</x:v>
      </x:c>
      <x:c r="AK2415" t="str">
        <x:f>_xlfn.XLOOKUP($A2415,Games!$A$2:$A$18,Games!$F$2:$F$18,"Missing game",0)</x:f>
        <x:v>Sunday</x:v>
      </x:c>
      <x:c r="AL2415" t="str">
        <x:f>_xlfn.XLOOKUP($A2415,Games!$A$2:$A$18,Games!$G$2:$G$18,"Missing game",0)</x:f>
        <x:v>MIN</x:v>
      </x:c>
      <x:c r="AM2415" t="n">
        <x:f>_xlfn.XLOOKUP($A2415,Games!$A$2:$A$18,Games!$H$2:$H$18,"Missing game",0)</x:f>
        <x:v>16</x:v>
      </x:c>
      <x:c r="AN2415" t="str">
        <x:f>_xlfn.XLOOKUP($A2415,Games!$A$2:$A$18,Games!$I$2:$I$18,"Missing game",0)</x:f>
        <x:v>NYG</x:v>
      </x:c>
      <x:c r="AO2415" t="n">
        <x:f>_xlfn.XLOOKUP($A2415,Games!$A$2:$A$18,Games!$J$2:$J$18,"Missing game",0)</x:f>
        <x:v>13</x:v>
      </x:c>
      <x:c r="AP2415" t="n">
        <x:f>_xlfn.XLOOKUP($A2415,Games!$A$2:$A$18,Games!$K$2:$K$18,"Missing game",0)</x:f>
        <x:v>-3</x:v>
      </x:c>
      <x:c r="AQ2415" t="n">
        <x:f>_xlfn.XLOOKUP($A2415,Games!$A$2:$A$18,Games!$L$2:$L$18,"Missing game",0)</x:f>
        <x:v>29</x:v>
      </x:c>
      <x:c r="AR2415" t="n">
        <x:f>_xlfn.XLOOKUP($A2415,Games!$A$2:$A$18,Games!$M$2:$M$18,"Missing game",0)</x:f>
        <x:v>0</x:v>
      </x:c>
      <x:c r="AS2415" t="str">
        <x:f>_xlfn.XLOOKUP($A2415,Games!$A$2:$A$18,Games!$N$2:$N$18,"Missing game",0)</x:f>
        <x:v>outdoors</x:v>
      </x:c>
      <x:c r="AT2415" t="str">
        <x:f>_xlfn.XLOOKUP($A2415,Games!$A$2:$A$18,Games!$O$2:$O$18,"Missing game",0)</x:f>
        <x:v>fieldturf</x:v>
      </x:c>
      <x:c r="AU2415" t="n">
        <x:f>_xlfn.XLOOKUP($A2415,Games!$A$2:$A$18,Games!$P$2:$P$18,"Missing game",0)</x:f>
        <x:v>46</x:v>
      </x:c>
      <x:c r="AV2415" t="n">
        <x:f>_xlfn.XLOOKUP($A2415,Games!$A$2:$A$18,Games!$Q$2:$Q$18,"Missing game",0)</x:f>
        <x:v>20</x:v>
      </x:c>
      <x:c r="AW2415" t="str">
        <x:f>_xlfn.XLOOKUP($A2415,Games!$A$2:$A$18,Games!$R$2:$R$18,"Missing game",0)</x:f>
        <x:v>MetLife Stadium</x:v>
      </x:c>
    </x:row>
    <x:row r="2416">
      <x:c r="A2416" t="str">
        <x:v>2025_16_MIN_NYG</x:v>
      </x:c>
      <x:c r="B2416" t="n">
        <x:v>2367</x:v>
      </x:c>
      <x:c r="C2416" t="n">
        <x:v>3</x:v>
      </x:c>
      <x:c r="D2416" t="str">
        <x:v>10:38</x:v>
      </x:c>
      <x:c r="E2416" t="n">
        <x:v>1</x:v>
      </x:c>
      <x:c r="F2416" t="n">
        <x:v>10</x:v>
      </x:c>
      <x:c r="G2416" t="str">
        <x:v>MIN</x:v>
      </x:c>
      <x:c r="H2416" t="str">
        <x:v>NYG</x:v>
      </x:c>
      <x:c r="I2416" t="str">
        <x:v>MIN</x:v>
      </x:c>
      <x:c r="J2416" t="n">
        <x:v>72</x:v>
      </x:c>
      <x:c r="K2416" t="str">
        <x:v>(10:38) 33-A.Jones right tackle to MIN 34 for 6 yards (58-B.Okereke; 21-P.Adebo).</x:v>
      </x:c>
      <x:c r="L2416" t="str">
        <x:v>run</x:v>
      </x:c>
      <x:c r="M2416" t="n">
        <x:v>6</x:v>
      </x:c>
      <x:c r="N2416" t="n">
        <x:v>0</x:v>
      </x:c>
      <x:c r="O2416" t="n">
        <x:v>0</x:v>
      </x:c>
      <x:c r="P2416"/>
      <x:c r="Q2416"/>
      <x:c r="R2416"/>
      <x:c r="S2416"/>
      <x:c r="T2416" t="str">
        <x:v>right</x:v>
      </x:c>
      <x:c r="U2416" t="str">
        <x:v>tackle</x:v>
      </x:c>
      <x:c r="V2416" t="n">
        <x:v>0</x:v>
      </x:c>
      <x:c r="W2416" t="n">
        <x:v>0</x:v>
      </x:c>
      <x:c r="X2416" t="n">
        <x:v>0</x:v>
      </x:c>
      <x:c r="Y2416" t="n">
        <x:v>0</x:v>
      </x:c>
      <x:c r="Z2416" t="n">
        <x:v>0</x:v>
      </x:c>
      <x:c r="AA2416" t="n">
        <x:v>0</x:v>
      </x:c>
      <x:c r="AB2416"/>
      <x:c r="AC2416" t="n">
        <x:v>0</x:v>
      </x:c>
      <x:c r="AD2416" t="n">
        <x:v>0.2650978951714933</x:v>
      </x:c>
      <x:c r="AE2416" t="n">
        <x:v>1</x:v>
      </x:c>
      <x:c r="AF2416" t="n">
        <x:v>0.008160889148712158</x:v>
      </x:c>
      <x:c r="AG2416" t="n">
        <x:f>_xlfn.XLOOKUP($A2416,Games!$A$2:$A$18,Games!$B$2:$B$18,"Missing game",0)</x:f>
        <x:v>2025</x:v>
      </x:c>
      <x:c r="AH2416" t="str">
        <x:f>_xlfn.XLOOKUP($A2416,Games!$A$2:$A$18,Games!$C$2:$C$18,"Missing game",0)</x:f>
        <x:v>REG</x:v>
      </x:c>
      <x:c r="AI2416" t="n">
        <x:f>_xlfn.XLOOKUP($A2416,Games!$A$2:$A$18,Games!$D$2:$D$18,"Missing game",0)</x:f>
        <x:v>16</x:v>
      </x:c>
      <x:c r="AJ2416" s="1" t="n">
        <x:f>_xlfn.XLOOKUP($A2416,Games!$A$2:$A$18,Games!$E$2:$E$18,"Missing game",0)</x:f>
        <x:v>46012</x:v>
      </x:c>
      <x:c r="AK2416" t="str">
        <x:f>_xlfn.XLOOKUP($A2416,Games!$A$2:$A$18,Games!$F$2:$F$18,"Missing game",0)</x:f>
        <x:v>Sunday</x:v>
      </x:c>
      <x:c r="AL2416" t="str">
        <x:f>_xlfn.XLOOKUP($A2416,Games!$A$2:$A$18,Games!$G$2:$G$18,"Missing game",0)</x:f>
        <x:v>MIN</x:v>
      </x:c>
      <x:c r="AM2416" t="n">
        <x:f>_xlfn.XLOOKUP($A2416,Games!$A$2:$A$18,Games!$H$2:$H$18,"Missing game",0)</x:f>
        <x:v>16</x:v>
      </x:c>
      <x:c r="AN2416" t="str">
        <x:f>_xlfn.XLOOKUP($A2416,Games!$A$2:$A$18,Games!$I$2:$I$18,"Missing game",0)</x:f>
        <x:v>NYG</x:v>
      </x:c>
      <x:c r="AO2416" t="n">
        <x:f>_xlfn.XLOOKUP($A2416,Games!$A$2:$A$18,Games!$J$2:$J$18,"Missing game",0)</x:f>
        <x:v>13</x:v>
      </x:c>
      <x:c r="AP2416" t="n">
        <x:f>_xlfn.XLOOKUP($A2416,Games!$A$2:$A$18,Games!$K$2:$K$18,"Missing game",0)</x:f>
        <x:v>-3</x:v>
      </x:c>
      <x:c r="AQ2416" t="n">
        <x:f>_xlfn.XLOOKUP($A2416,Games!$A$2:$A$18,Games!$L$2:$L$18,"Missing game",0)</x:f>
        <x:v>29</x:v>
      </x:c>
      <x:c r="AR2416" t="n">
        <x:f>_xlfn.XLOOKUP($A2416,Games!$A$2:$A$18,Games!$M$2:$M$18,"Missing game",0)</x:f>
        <x:v>0</x:v>
      </x:c>
      <x:c r="AS2416" t="str">
        <x:f>_xlfn.XLOOKUP($A2416,Games!$A$2:$A$18,Games!$N$2:$N$18,"Missing game",0)</x:f>
        <x:v>outdoors</x:v>
      </x:c>
      <x:c r="AT2416" t="str">
        <x:f>_xlfn.XLOOKUP($A2416,Games!$A$2:$A$18,Games!$O$2:$O$18,"Missing game",0)</x:f>
        <x:v>fieldturf</x:v>
      </x:c>
      <x:c r="AU2416" t="n">
        <x:f>_xlfn.XLOOKUP($A2416,Games!$A$2:$A$18,Games!$P$2:$P$18,"Missing game",0)</x:f>
        <x:v>46</x:v>
      </x:c>
      <x:c r="AV2416" t="n">
        <x:f>_xlfn.XLOOKUP($A2416,Games!$A$2:$A$18,Games!$Q$2:$Q$18,"Missing game",0)</x:f>
        <x:v>20</x:v>
      </x:c>
      <x:c r="AW2416" t="str">
        <x:f>_xlfn.XLOOKUP($A2416,Games!$A$2:$A$18,Games!$R$2:$R$18,"Missing game",0)</x:f>
        <x:v>MetLife Stadium</x:v>
      </x:c>
    </x:row>
    <x:row r="2417">
      <x:c r="A2417" t="str">
        <x:v>2025_16_MIN_NYG</x:v>
      </x:c>
      <x:c r="B2417" t="n">
        <x:v>2389</x:v>
      </x:c>
      <x:c r="C2417" t="n">
        <x:v>3</x:v>
      </x:c>
      <x:c r="D2417" t="str">
        <x:v>09:59</x:v>
      </x:c>
      <x:c r="E2417" t="n">
        <x:v>2</x:v>
      </x:c>
      <x:c r="F2417" t="n">
        <x:v>4</x:v>
      </x:c>
      <x:c r="G2417" t="str">
        <x:v>MIN</x:v>
      </x:c>
      <x:c r="H2417" t="str">
        <x:v>NYG</x:v>
      </x:c>
      <x:c r="I2417" t="str">
        <x:v>MIN</x:v>
      </x:c>
      <x:c r="J2417" t="n">
        <x:v>66</x:v>
      </x:c>
      <x:c r="K2417" t="str">
        <x:v>(9:59) 33-A.Jones right guard to MIN 39 for 5 yards (8-J.Holland). MIN-3-J.Addison was injured during the play.</x:v>
      </x:c>
      <x:c r="L2417" t="str">
        <x:v>run</x:v>
      </x:c>
      <x:c r="M2417" t="n">
        <x:v>5</x:v>
      </x:c>
      <x:c r="N2417" t="n">
        <x:v>0</x:v>
      </x:c>
      <x:c r="O2417" t="n">
        <x:v>0</x:v>
      </x:c>
      <x:c r="P2417"/>
      <x:c r="Q2417"/>
      <x:c r="R2417"/>
      <x:c r="S2417"/>
      <x:c r="T2417" t="str">
        <x:v>right</x:v>
      </x:c>
      <x:c r="U2417" t="str">
        <x:v>guard</x:v>
      </x:c>
      <x:c r="V2417" t="n">
        <x:v>0</x:v>
      </x:c>
      <x:c r="W2417" t="n">
        <x:v>1</x:v>
      </x:c>
      <x:c r="X2417" t="n">
        <x:v>0</x:v>
      </x:c>
      <x:c r="Y2417" t="n">
        <x:v>0</x:v>
      </x:c>
      <x:c r="Z2417" t="n">
        <x:v>0</x:v>
      </x:c>
      <x:c r="AA2417" t="n">
        <x:v>0</x:v>
      </x:c>
      <x:c r="AB2417"/>
      <x:c r="AC2417" t="n">
        <x:v>0</x:v>
      </x:c>
      <x:c r="AD2417" t="n">
        <x:v>0.5111881548073143</x:v>
      </x:c>
      <x:c r="AE2417" t="n">
        <x:v>1</x:v>
      </x:c>
      <x:c r="AF2417" t="n">
        <x:v>0.016152799129486084</x:v>
      </x:c>
      <x:c r="AG2417" t="n">
        <x:f>_xlfn.XLOOKUP($A2417,Games!$A$2:$A$18,Games!$B$2:$B$18,"Missing game",0)</x:f>
        <x:v>2025</x:v>
      </x:c>
      <x:c r="AH2417" t="str">
        <x:f>_xlfn.XLOOKUP($A2417,Games!$A$2:$A$18,Games!$C$2:$C$18,"Missing game",0)</x:f>
        <x:v>REG</x:v>
      </x:c>
      <x:c r="AI2417" t="n">
        <x:f>_xlfn.XLOOKUP($A2417,Games!$A$2:$A$18,Games!$D$2:$D$18,"Missing game",0)</x:f>
        <x:v>16</x:v>
      </x:c>
      <x:c r="AJ2417" s="1" t="n">
        <x:f>_xlfn.XLOOKUP($A2417,Games!$A$2:$A$18,Games!$E$2:$E$18,"Missing game",0)</x:f>
        <x:v>46012</x:v>
      </x:c>
      <x:c r="AK2417" t="str">
        <x:f>_xlfn.XLOOKUP($A2417,Games!$A$2:$A$18,Games!$F$2:$F$18,"Missing game",0)</x:f>
        <x:v>Sunday</x:v>
      </x:c>
      <x:c r="AL2417" t="str">
        <x:f>_xlfn.XLOOKUP($A2417,Games!$A$2:$A$18,Games!$G$2:$G$18,"Missing game",0)</x:f>
        <x:v>MIN</x:v>
      </x:c>
      <x:c r="AM2417" t="n">
        <x:f>_xlfn.XLOOKUP($A2417,Games!$A$2:$A$18,Games!$H$2:$H$18,"Missing game",0)</x:f>
        <x:v>16</x:v>
      </x:c>
      <x:c r="AN2417" t="str">
        <x:f>_xlfn.XLOOKUP($A2417,Games!$A$2:$A$18,Games!$I$2:$I$18,"Missing game",0)</x:f>
        <x:v>NYG</x:v>
      </x:c>
      <x:c r="AO2417" t="n">
        <x:f>_xlfn.XLOOKUP($A2417,Games!$A$2:$A$18,Games!$J$2:$J$18,"Missing game",0)</x:f>
        <x:v>13</x:v>
      </x:c>
      <x:c r="AP2417" t="n">
        <x:f>_xlfn.XLOOKUP($A2417,Games!$A$2:$A$18,Games!$K$2:$K$18,"Missing game",0)</x:f>
        <x:v>-3</x:v>
      </x:c>
      <x:c r="AQ2417" t="n">
        <x:f>_xlfn.XLOOKUP($A2417,Games!$A$2:$A$18,Games!$L$2:$L$18,"Missing game",0)</x:f>
        <x:v>29</x:v>
      </x:c>
      <x:c r="AR2417" t="n">
        <x:f>_xlfn.XLOOKUP($A2417,Games!$A$2:$A$18,Games!$M$2:$M$18,"Missing game",0)</x:f>
        <x:v>0</x:v>
      </x:c>
      <x:c r="AS2417" t="str">
        <x:f>_xlfn.XLOOKUP($A2417,Games!$A$2:$A$18,Games!$N$2:$N$18,"Missing game",0)</x:f>
        <x:v>outdoors</x:v>
      </x:c>
      <x:c r="AT2417" t="str">
        <x:f>_xlfn.XLOOKUP($A2417,Games!$A$2:$A$18,Games!$O$2:$O$18,"Missing game",0)</x:f>
        <x:v>fieldturf</x:v>
      </x:c>
      <x:c r="AU2417" t="n">
        <x:f>_xlfn.XLOOKUP($A2417,Games!$A$2:$A$18,Games!$P$2:$P$18,"Missing game",0)</x:f>
        <x:v>46</x:v>
      </x:c>
      <x:c r="AV2417" t="n">
        <x:f>_xlfn.XLOOKUP($A2417,Games!$A$2:$A$18,Games!$Q$2:$Q$18,"Missing game",0)</x:f>
        <x:v>20</x:v>
      </x:c>
      <x:c r="AW2417" t="str">
        <x:f>_xlfn.XLOOKUP($A2417,Games!$A$2:$A$18,Games!$R$2:$R$18,"Missing game",0)</x:f>
        <x:v>MetLife Stadium</x:v>
      </x:c>
    </x:row>
    <x:row r="2418">
      <x:c r="A2418" t="str">
        <x:v>2025_16_MIN_NYG</x:v>
      </x:c>
      <x:c r="B2418" t="n">
        <x:v>2414</x:v>
      </x:c>
      <x:c r="C2418" t="n">
        <x:v>3</x:v>
      </x:c>
      <x:c r="D2418" t="str">
        <x:v>09:37</x:v>
      </x:c>
      <x:c r="E2418" t="n">
        <x:v>1</x:v>
      </x:c>
      <x:c r="F2418" t="n">
        <x:v>10</x:v>
      </x:c>
      <x:c r="G2418" t="str">
        <x:v>MIN</x:v>
      </x:c>
      <x:c r="H2418" t="str">
        <x:v>NYG</x:v>
      </x:c>
      <x:c r="I2418" t="str">
        <x:v>MIN</x:v>
      </x:c>
      <x:c r="J2418" t="n">
        <x:v>61</x:v>
      </x:c>
      <x:c r="K2418" t="str">
        <x:v>(9:37) 12-M.Brosmer pass short right to 87-T.Hockenson pushed ob at MIN 41 for 2 yards (8-J.Holland).</x:v>
      </x:c>
      <x:c r="L2418" t="str">
        <x:v>pass</x:v>
      </x:c>
      <x:c r="M2418" t="n">
        <x:v>2</x:v>
      </x:c>
      <x:c r="N2418" t="n">
        <x:v>0</x:v>
      </x:c>
      <x:c r="O2418" t="n">
        <x:v>0</x:v>
      </x:c>
      <x:c r="P2418" t="str">
        <x:v>short</x:v>
      </x:c>
      <x:c r="Q2418" t="str">
        <x:v>right</x:v>
      </x:c>
      <x:c r="R2418" t="n">
        <x:v>1</x:v>
      </x:c>
      <x:c r="S2418" t="n">
        <x:v>1</x:v>
      </x:c>
      <x:c r="T2418"/>
      <x:c r="U2418"/>
      <x:c r="V2418" t="n">
        <x:v>1</x:v>
      </x:c>
      <x:c r="W2418" t="n">
        <x:v>0</x:v>
      </x:c>
      <x:c r="X2418" t="n">
        <x:v>0</x:v>
      </x:c>
      <x:c r="Y2418" t="n">
        <x:v>0</x:v>
      </x:c>
      <x:c r="Z2418" t="n">
        <x:v>0</x:v>
      </x:c>
      <x:c r="AA2418" t="n">
        <x:v>0</x:v>
      </x:c>
      <x:c r="AB2418"/>
      <x:c r="AC2418" t="n">
        <x:v>0</x:v>
      </x:c>
      <x:c r="AD2418" t="n">
        <x:v>-0.4193518317770213</x:v>
      </x:c>
      <x:c r="AE2418" t="n">
        <x:v>0</x:v>
      </x:c>
      <x:c r="AF2418" t="n">
        <x:v>0.004485368728637695</x:v>
      </x:c>
      <x:c r="AG2418" t="n">
        <x:f>_xlfn.XLOOKUP($A2418,Games!$A$2:$A$18,Games!$B$2:$B$18,"Missing game",0)</x:f>
        <x:v>2025</x:v>
      </x:c>
      <x:c r="AH2418" t="str">
        <x:f>_xlfn.XLOOKUP($A2418,Games!$A$2:$A$18,Games!$C$2:$C$18,"Missing game",0)</x:f>
        <x:v>REG</x:v>
      </x:c>
      <x:c r="AI2418" t="n">
        <x:f>_xlfn.XLOOKUP($A2418,Games!$A$2:$A$18,Games!$D$2:$D$18,"Missing game",0)</x:f>
        <x:v>16</x:v>
      </x:c>
      <x:c r="AJ2418" s="1" t="n">
        <x:f>_xlfn.XLOOKUP($A2418,Games!$A$2:$A$18,Games!$E$2:$E$18,"Missing game",0)</x:f>
        <x:v>46012</x:v>
      </x:c>
      <x:c r="AK2418" t="str">
        <x:f>_xlfn.XLOOKUP($A2418,Games!$A$2:$A$18,Games!$F$2:$F$18,"Missing game",0)</x:f>
        <x:v>Sunday</x:v>
      </x:c>
      <x:c r="AL2418" t="str">
        <x:f>_xlfn.XLOOKUP($A2418,Games!$A$2:$A$18,Games!$G$2:$G$18,"Missing game",0)</x:f>
        <x:v>MIN</x:v>
      </x:c>
      <x:c r="AM2418" t="n">
        <x:f>_xlfn.XLOOKUP($A2418,Games!$A$2:$A$18,Games!$H$2:$H$18,"Missing game",0)</x:f>
        <x:v>16</x:v>
      </x:c>
      <x:c r="AN2418" t="str">
        <x:f>_xlfn.XLOOKUP($A2418,Games!$A$2:$A$18,Games!$I$2:$I$18,"Missing game",0)</x:f>
        <x:v>NYG</x:v>
      </x:c>
      <x:c r="AO2418" t="n">
        <x:f>_xlfn.XLOOKUP($A2418,Games!$A$2:$A$18,Games!$J$2:$J$18,"Missing game",0)</x:f>
        <x:v>13</x:v>
      </x:c>
      <x:c r="AP2418" t="n">
        <x:f>_xlfn.XLOOKUP($A2418,Games!$A$2:$A$18,Games!$K$2:$K$18,"Missing game",0)</x:f>
        <x:v>-3</x:v>
      </x:c>
      <x:c r="AQ2418" t="n">
        <x:f>_xlfn.XLOOKUP($A2418,Games!$A$2:$A$18,Games!$L$2:$L$18,"Missing game",0)</x:f>
        <x:v>29</x:v>
      </x:c>
      <x:c r="AR2418" t="n">
        <x:f>_xlfn.XLOOKUP($A2418,Games!$A$2:$A$18,Games!$M$2:$M$18,"Missing game",0)</x:f>
        <x:v>0</x:v>
      </x:c>
      <x:c r="AS2418" t="str">
        <x:f>_xlfn.XLOOKUP($A2418,Games!$A$2:$A$18,Games!$N$2:$N$18,"Missing game",0)</x:f>
        <x:v>outdoors</x:v>
      </x:c>
      <x:c r="AT2418" t="str">
        <x:f>_xlfn.XLOOKUP($A2418,Games!$A$2:$A$18,Games!$O$2:$O$18,"Missing game",0)</x:f>
        <x:v>fieldturf</x:v>
      </x:c>
      <x:c r="AU2418" t="n">
        <x:f>_xlfn.XLOOKUP($A2418,Games!$A$2:$A$18,Games!$P$2:$P$18,"Missing game",0)</x:f>
        <x:v>46</x:v>
      </x:c>
      <x:c r="AV2418" t="n">
        <x:f>_xlfn.XLOOKUP($A2418,Games!$A$2:$A$18,Games!$Q$2:$Q$18,"Missing game",0)</x:f>
        <x:v>20</x:v>
      </x:c>
      <x:c r="AW2418" t="str">
        <x:f>_xlfn.XLOOKUP($A2418,Games!$A$2:$A$18,Games!$R$2:$R$18,"Missing game",0)</x:f>
        <x:v>MetLife Stadium</x:v>
      </x:c>
    </x:row>
    <x:row r="2419">
      <x:c r="A2419" t="str">
        <x:v>2025_16_MIN_NYG</x:v>
      </x:c>
      <x:c r="B2419" t="n">
        <x:v>2444</x:v>
      </x:c>
      <x:c r="C2419" t="n">
        <x:v>3</x:v>
      </x:c>
      <x:c r="D2419" t="str">
        <x:v>08:52</x:v>
      </x:c>
      <x:c r="E2419" t="n">
        <x:v>2</x:v>
      </x:c>
      <x:c r="F2419" t="n">
        <x:v>8</x:v>
      </x:c>
      <x:c r="G2419" t="str">
        <x:v>MIN</x:v>
      </x:c>
      <x:c r="H2419" t="str">
        <x:v>NYG</x:v>
      </x:c>
      <x:c r="I2419" t="str">
        <x:v>MIN</x:v>
      </x:c>
      <x:c r="J2419" t="n">
        <x:v>59</x:v>
      </x:c>
      <x:c r="K2419" t="str">
        <x:v>(8:52) 33-A.Jones left tackle to MIN 46 for 5 yards (0-B.Burns; 8-J.Holland).</x:v>
      </x:c>
      <x:c r="L2419" t="str">
        <x:v>run</x:v>
      </x:c>
      <x:c r="M2419" t="n">
        <x:v>5</x:v>
      </x:c>
      <x:c r="N2419" t="n">
        <x:v>0</x:v>
      </x:c>
      <x:c r="O2419" t="n">
        <x:v>0</x:v>
      </x:c>
      <x:c r="P2419"/>
      <x:c r="Q2419"/>
      <x:c r="R2419"/>
      <x:c r="S2419"/>
      <x:c r="T2419" t="str">
        <x:v>left</x:v>
      </x:c>
      <x:c r="U2419" t="str">
        <x:v>tackle</x:v>
      </x:c>
      <x:c r="V2419" t="n">
        <x:v>0</x:v>
      </x:c>
      <x:c r="W2419" t="n">
        <x:v>0</x:v>
      </x:c>
      <x:c r="X2419" t="n">
        <x:v>0</x:v>
      </x:c>
      <x:c r="Y2419" t="n">
        <x:v>0</x:v>
      </x:c>
      <x:c r="Z2419" t="n">
        <x:v>0</x:v>
      </x:c>
      <x:c r="AA2419" t="n">
        <x:v>0</x:v>
      </x:c>
      <x:c r="AB2419"/>
      <x:c r="AC2419" t="n">
        <x:v>0</x:v>
      </x:c>
      <x:c r="AD2419" t="n">
        <x:v>0.03627841081470251</x:v>
      </x:c>
      <x:c r="AE2419" t="n">
        <x:v>1</x:v>
      </x:c>
      <x:c r="AF2419" t="n">
        <x:v>-0.004618704319000244</x:v>
      </x:c>
      <x:c r="AG2419" t="n">
        <x:f>_xlfn.XLOOKUP($A2419,Games!$A$2:$A$18,Games!$B$2:$B$18,"Missing game",0)</x:f>
        <x:v>2025</x:v>
      </x:c>
      <x:c r="AH2419" t="str">
        <x:f>_xlfn.XLOOKUP($A2419,Games!$A$2:$A$18,Games!$C$2:$C$18,"Missing game",0)</x:f>
        <x:v>REG</x:v>
      </x:c>
      <x:c r="AI2419" t="n">
        <x:f>_xlfn.XLOOKUP($A2419,Games!$A$2:$A$18,Games!$D$2:$D$18,"Missing game",0)</x:f>
        <x:v>16</x:v>
      </x:c>
      <x:c r="AJ2419" s="1" t="n">
        <x:f>_xlfn.XLOOKUP($A2419,Games!$A$2:$A$18,Games!$E$2:$E$18,"Missing game",0)</x:f>
        <x:v>46012</x:v>
      </x:c>
      <x:c r="AK2419" t="str">
        <x:f>_xlfn.XLOOKUP($A2419,Games!$A$2:$A$18,Games!$F$2:$F$18,"Missing game",0)</x:f>
        <x:v>Sunday</x:v>
      </x:c>
      <x:c r="AL2419" t="str">
        <x:f>_xlfn.XLOOKUP($A2419,Games!$A$2:$A$18,Games!$G$2:$G$18,"Missing game",0)</x:f>
        <x:v>MIN</x:v>
      </x:c>
      <x:c r="AM2419" t="n">
        <x:f>_xlfn.XLOOKUP($A2419,Games!$A$2:$A$18,Games!$H$2:$H$18,"Missing game",0)</x:f>
        <x:v>16</x:v>
      </x:c>
      <x:c r="AN2419" t="str">
        <x:f>_xlfn.XLOOKUP($A2419,Games!$A$2:$A$18,Games!$I$2:$I$18,"Missing game",0)</x:f>
        <x:v>NYG</x:v>
      </x:c>
      <x:c r="AO2419" t="n">
        <x:f>_xlfn.XLOOKUP($A2419,Games!$A$2:$A$18,Games!$J$2:$J$18,"Missing game",0)</x:f>
        <x:v>13</x:v>
      </x:c>
      <x:c r="AP2419" t="n">
        <x:f>_xlfn.XLOOKUP($A2419,Games!$A$2:$A$18,Games!$K$2:$K$18,"Missing game",0)</x:f>
        <x:v>-3</x:v>
      </x:c>
      <x:c r="AQ2419" t="n">
        <x:f>_xlfn.XLOOKUP($A2419,Games!$A$2:$A$18,Games!$L$2:$L$18,"Missing game",0)</x:f>
        <x:v>29</x:v>
      </x:c>
      <x:c r="AR2419" t="n">
        <x:f>_xlfn.XLOOKUP($A2419,Games!$A$2:$A$18,Games!$M$2:$M$18,"Missing game",0)</x:f>
        <x:v>0</x:v>
      </x:c>
      <x:c r="AS2419" t="str">
        <x:f>_xlfn.XLOOKUP($A2419,Games!$A$2:$A$18,Games!$N$2:$N$18,"Missing game",0)</x:f>
        <x:v>outdoors</x:v>
      </x:c>
      <x:c r="AT2419" t="str">
        <x:f>_xlfn.XLOOKUP($A2419,Games!$A$2:$A$18,Games!$O$2:$O$18,"Missing game",0)</x:f>
        <x:v>fieldturf</x:v>
      </x:c>
      <x:c r="AU2419" t="n">
        <x:f>_xlfn.XLOOKUP($A2419,Games!$A$2:$A$18,Games!$P$2:$P$18,"Missing game",0)</x:f>
        <x:v>46</x:v>
      </x:c>
      <x:c r="AV2419" t="n">
        <x:f>_xlfn.XLOOKUP($A2419,Games!$A$2:$A$18,Games!$Q$2:$Q$18,"Missing game",0)</x:f>
        <x:v>20</x:v>
      </x:c>
      <x:c r="AW2419" t="str">
        <x:f>_xlfn.XLOOKUP($A2419,Games!$A$2:$A$18,Games!$R$2:$R$18,"Missing game",0)</x:f>
        <x:v>MetLife Stadium</x:v>
      </x:c>
    </x:row>
    <x:row r="2420">
      <x:c r="A2420" t="str">
        <x:v>2025_16_MIN_NYG</x:v>
      </x:c>
      <x:c r="B2420" t="n">
        <x:v>2466</x:v>
      </x:c>
      <x:c r="C2420" t="n">
        <x:v>3</x:v>
      </x:c>
      <x:c r="D2420" t="str">
        <x:v>08:09</x:v>
      </x:c>
      <x:c r="E2420" t="n">
        <x:v>3</x:v>
      </x:c>
      <x:c r="F2420" t="n">
        <x:v>3</x:v>
      </x:c>
      <x:c r="G2420" t="str">
        <x:v>MIN</x:v>
      </x:c>
      <x:c r="H2420" t="str">
        <x:v>NYG</x:v>
      </x:c>
      <x:c r="I2420" t="str">
        <x:v>MIN</x:v>
      </x:c>
      <x:c r="J2420" t="n">
        <x:v>54</x:v>
      </x:c>
      <x:c r="K2420" t="str">
        <x:v>(8:09) (Shotgun) 12-M.Brosmer pass short left to 13-T.Felton ran ob at NYG 48 for 6 yards.</x:v>
      </x:c>
      <x:c r="L2420" t="str">
        <x:v>pass</x:v>
      </x:c>
      <x:c r="M2420" t="n">
        <x:v>6</x:v>
      </x:c>
      <x:c r="N2420" t="n">
        <x:v>1</x:v>
      </x:c>
      <x:c r="O2420" t="n">
        <x:v>0</x:v>
      </x:c>
      <x:c r="P2420" t="str">
        <x:v>short</x:v>
      </x:c>
      <x:c r="Q2420" t="str">
        <x:v>left</x:v>
      </x:c>
      <x:c r="R2420" t="n">
        <x:v>6</x:v>
      </x:c>
      <x:c r="S2420" t="n">
        <x:v>0</x:v>
      </x:c>
      <x:c r="T2420"/>
      <x:c r="U2420"/>
      <x:c r="V2420" t="n">
        <x:v>1</x:v>
      </x:c>
      <x:c r="W2420" t="n">
        <x:v>1</x:v>
      </x:c>
      <x:c r="X2420" t="n">
        <x:v>0</x:v>
      </x:c>
      <x:c r="Y2420" t="n">
        <x:v>0</x:v>
      </x:c>
      <x:c r="Z2420" t="n">
        <x:v>0</x:v>
      </x:c>
      <x:c r="AA2420" t="n">
        <x:v>0</x:v>
      </x:c>
      <x:c r="AB2420"/>
      <x:c r="AC2420" t="n">
        <x:v>0</x:v>
      </x:c>
      <x:c r="AD2420" t="n">
        <x:v>1.2510826764628291</x:v>
      </x:c>
      <x:c r="AE2420" t="n">
        <x:v>1</x:v>
      </x:c>
      <x:c r="AF2420" t="n">
        <x:v>0.05665755271911621</x:v>
      </x:c>
      <x:c r="AG2420" t="n">
        <x:f>_xlfn.XLOOKUP($A2420,Games!$A$2:$A$18,Games!$B$2:$B$18,"Missing game",0)</x:f>
        <x:v>2025</x:v>
      </x:c>
      <x:c r="AH2420" t="str">
        <x:f>_xlfn.XLOOKUP($A2420,Games!$A$2:$A$18,Games!$C$2:$C$18,"Missing game",0)</x:f>
        <x:v>REG</x:v>
      </x:c>
      <x:c r="AI2420" t="n">
        <x:f>_xlfn.XLOOKUP($A2420,Games!$A$2:$A$18,Games!$D$2:$D$18,"Missing game",0)</x:f>
        <x:v>16</x:v>
      </x:c>
      <x:c r="AJ2420" s="1" t="n">
        <x:f>_xlfn.XLOOKUP($A2420,Games!$A$2:$A$18,Games!$E$2:$E$18,"Missing game",0)</x:f>
        <x:v>46012</x:v>
      </x:c>
      <x:c r="AK2420" t="str">
        <x:f>_xlfn.XLOOKUP($A2420,Games!$A$2:$A$18,Games!$F$2:$F$18,"Missing game",0)</x:f>
        <x:v>Sunday</x:v>
      </x:c>
      <x:c r="AL2420" t="str">
        <x:f>_xlfn.XLOOKUP($A2420,Games!$A$2:$A$18,Games!$G$2:$G$18,"Missing game",0)</x:f>
        <x:v>MIN</x:v>
      </x:c>
      <x:c r="AM2420" t="n">
        <x:f>_xlfn.XLOOKUP($A2420,Games!$A$2:$A$18,Games!$H$2:$H$18,"Missing game",0)</x:f>
        <x:v>16</x:v>
      </x:c>
      <x:c r="AN2420" t="str">
        <x:f>_xlfn.XLOOKUP($A2420,Games!$A$2:$A$18,Games!$I$2:$I$18,"Missing game",0)</x:f>
        <x:v>NYG</x:v>
      </x:c>
      <x:c r="AO2420" t="n">
        <x:f>_xlfn.XLOOKUP($A2420,Games!$A$2:$A$18,Games!$J$2:$J$18,"Missing game",0)</x:f>
        <x:v>13</x:v>
      </x:c>
      <x:c r="AP2420" t="n">
        <x:f>_xlfn.XLOOKUP($A2420,Games!$A$2:$A$18,Games!$K$2:$K$18,"Missing game",0)</x:f>
        <x:v>-3</x:v>
      </x:c>
      <x:c r="AQ2420" t="n">
        <x:f>_xlfn.XLOOKUP($A2420,Games!$A$2:$A$18,Games!$L$2:$L$18,"Missing game",0)</x:f>
        <x:v>29</x:v>
      </x:c>
      <x:c r="AR2420" t="n">
        <x:f>_xlfn.XLOOKUP($A2420,Games!$A$2:$A$18,Games!$M$2:$M$18,"Missing game",0)</x:f>
        <x:v>0</x:v>
      </x:c>
      <x:c r="AS2420" t="str">
        <x:f>_xlfn.XLOOKUP($A2420,Games!$A$2:$A$18,Games!$N$2:$N$18,"Missing game",0)</x:f>
        <x:v>outdoors</x:v>
      </x:c>
      <x:c r="AT2420" t="str">
        <x:f>_xlfn.XLOOKUP($A2420,Games!$A$2:$A$18,Games!$O$2:$O$18,"Missing game",0)</x:f>
        <x:v>fieldturf</x:v>
      </x:c>
      <x:c r="AU2420" t="n">
        <x:f>_xlfn.XLOOKUP($A2420,Games!$A$2:$A$18,Games!$P$2:$P$18,"Missing game",0)</x:f>
        <x:v>46</x:v>
      </x:c>
      <x:c r="AV2420" t="n">
        <x:f>_xlfn.XLOOKUP($A2420,Games!$A$2:$A$18,Games!$Q$2:$Q$18,"Missing game",0)</x:f>
        <x:v>20</x:v>
      </x:c>
      <x:c r="AW2420" t="str">
        <x:f>_xlfn.XLOOKUP($A2420,Games!$A$2:$A$18,Games!$R$2:$R$18,"Missing game",0)</x:f>
        <x:v>MetLife Stadium</x:v>
      </x:c>
    </x:row>
    <x:row r="2421">
      <x:c r="A2421" t="str">
        <x:v>2025_16_MIN_NYG</x:v>
      </x:c>
      <x:c r="B2421" t="n">
        <x:v>2496</x:v>
      </x:c>
      <x:c r="C2421" t="n">
        <x:v>3</x:v>
      </x:c>
      <x:c r="D2421" t="str">
        <x:v>07:34</x:v>
      </x:c>
      <x:c r="E2421" t="n">
        <x:v>1</x:v>
      </x:c>
      <x:c r="F2421" t="n">
        <x:v>10</x:v>
      </x:c>
      <x:c r="G2421" t="str">
        <x:v>MIN</x:v>
      </x:c>
      <x:c r="H2421" t="str">
        <x:v>NYG</x:v>
      </x:c>
      <x:c r="I2421" t="str">
        <x:v>NYG</x:v>
      </x:c>
      <x:c r="J2421" t="n">
        <x:v>48</x:v>
      </x:c>
      <x:c r="K2421" t="str">
        <x:v>(7:34) 33-A.Jones left end to NYG 42 for 6 yards (2-D.Banks). PENALTY on MIN-87-T.Hockenson, Offensive Holding, 10 yards, enforced at NYG 48 - No Play.</x:v>
      </x:c>
      <x:c r="L2421" t="str">
        <x:v>no_play</x:v>
      </x:c>
      <x:c r="M2421" t="n">
        <x:v>0</x:v>
      </x:c>
      <x:c r="N2421" t="n">
        <x:v>0</x:v>
      </x:c>
      <x:c r="O2421" t="n">
        <x:v>0</x:v>
      </x:c>
      <x:c r="P2421"/>
      <x:c r="Q2421"/>
      <x:c r="R2421"/>
      <x:c r="S2421"/>
      <x:c r="T2421"/>
      <x:c r="U2421"/>
      <x:c r="V2421" t="n">
        <x:v>0</x:v>
      </x:c>
      <x:c r="W2421" t="n">
        <x:v>0</x:v>
      </x:c>
      <x:c r="X2421" t="n">
        <x:v>0</x:v>
      </x:c>
      <x:c r="Y2421" t="n">
        <x:v>0</x:v>
      </x:c>
      <x:c r="Z2421" t="n">
        <x:v>0</x:v>
      </x:c>
      <x:c r="AA2421" t="n">
        <x:v>1</x:v>
      </x:c>
      <x:c r="AB2421" t="n">
        <x:v>10</x:v>
      </x:c>
      <x:c r="AC2421" t="n">
        <x:v>0</x:v>
      </x:c>
      <x:c r="AD2421" t="n">
        <x:v>-0.9082710570655763</x:v>
      </x:c>
      <x:c r="AE2421" t="n">
        <x:v>0</x:v>
      </x:c>
      <x:c r="AF2421" t="n">
        <x:v>-0.03077763319015503</x:v>
      </x:c>
      <x:c r="AG2421" t="n">
        <x:f>_xlfn.XLOOKUP($A2421,Games!$A$2:$A$18,Games!$B$2:$B$18,"Missing game",0)</x:f>
        <x:v>2025</x:v>
      </x:c>
      <x:c r="AH2421" t="str">
        <x:f>_xlfn.XLOOKUP($A2421,Games!$A$2:$A$18,Games!$C$2:$C$18,"Missing game",0)</x:f>
        <x:v>REG</x:v>
      </x:c>
      <x:c r="AI2421" t="n">
        <x:f>_xlfn.XLOOKUP($A2421,Games!$A$2:$A$18,Games!$D$2:$D$18,"Missing game",0)</x:f>
        <x:v>16</x:v>
      </x:c>
      <x:c r="AJ2421" s="1" t="n">
        <x:f>_xlfn.XLOOKUP($A2421,Games!$A$2:$A$18,Games!$E$2:$E$18,"Missing game",0)</x:f>
        <x:v>46012</x:v>
      </x:c>
      <x:c r="AK2421" t="str">
        <x:f>_xlfn.XLOOKUP($A2421,Games!$A$2:$A$18,Games!$F$2:$F$18,"Missing game",0)</x:f>
        <x:v>Sunday</x:v>
      </x:c>
      <x:c r="AL2421" t="str">
        <x:f>_xlfn.XLOOKUP($A2421,Games!$A$2:$A$18,Games!$G$2:$G$18,"Missing game",0)</x:f>
        <x:v>MIN</x:v>
      </x:c>
      <x:c r="AM2421" t="n">
        <x:f>_xlfn.XLOOKUP($A2421,Games!$A$2:$A$18,Games!$H$2:$H$18,"Missing game",0)</x:f>
        <x:v>16</x:v>
      </x:c>
      <x:c r="AN2421" t="str">
        <x:f>_xlfn.XLOOKUP($A2421,Games!$A$2:$A$18,Games!$I$2:$I$18,"Missing game",0)</x:f>
        <x:v>NYG</x:v>
      </x:c>
      <x:c r="AO2421" t="n">
        <x:f>_xlfn.XLOOKUP($A2421,Games!$A$2:$A$18,Games!$J$2:$J$18,"Missing game",0)</x:f>
        <x:v>13</x:v>
      </x:c>
      <x:c r="AP2421" t="n">
        <x:f>_xlfn.XLOOKUP($A2421,Games!$A$2:$A$18,Games!$K$2:$K$18,"Missing game",0)</x:f>
        <x:v>-3</x:v>
      </x:c>
      <x:c r="AQ2421" t="n">
        <x:f>_xlfn.XLOOKUP($A2421,Games!$A$2:$A$18,Games!$L$2:$L$18,"Missing game",0)</x:f>
        <x:v>29</x:v>
      </x:c>
      <x:c r="AR2421" t="n">
        <x:f>_xlfn.XLOOKUP($A2421,Games!$A$2:$A$18,Games!$M$2:$M$18,"Missing game",0)</x:f>
        <x:v>0</x:v>
      </x:c>
      <x:c r="AS2421" t="str">
        <x:f>_xlfn.XLOOKUP($A2421,Games!$A$2:$A$18,Games!$N$2:$N$18,"Missing game",0)</x:f>
        <x:v>outdoors</x:v>
      </x:c>
      <x:c r="AT2421" t="str">
        <x:f>_xlfn.XLOOKUP($A2421,Games!$A$2:$A$18,Games!$O$2:$O$18,"Missing game",0)</x:f>
        <x:v>fieldturf</x:v>
      </x:c>
      <x:c r="AU2421" t="n">
        <x:f>_xlfn.XLOOKUP($A2421,Games!$A$2:$A$18,Games!$P$2:$P$18,"Missing game",0)</x:f>
        <x:v>46</x:v>
      </x:c>
      <x:c r="AV2421" t="n">
        <x:f>_xlfn.XLOOKUP($A2421,Games!$A$2:$A$18,Games!$Q$2:$Q$18,"Missing game",0)</x:f>
        <x:v>20</x:v>
      </x:c>
      <x:c r="AW2421" t="str">
        <x:f>_xlfn.XLOOKUP($A2421,Games!$A$2:$A$18,Games!$R$2:$R$18,"Missing game",0)</x:f>
        <x:v>MetLife Stadium</x:v>
      </x:c>
    </x:row>
    <x:row r="2422">
      <x:c r="A2422" t="str">
        <x:v>2025_16_MIN_NYG</x:v>
      </x:c>
      <x:c r="B2422" t="n">
        <x:v>2529</x:v>
      </x:c>
      <x:c r="C2422" t="n">
        <x:v>3</x:v>
      </x:c>
      <x:c r="D2422" t="str">
        <x:v>07:09</x:v>
      </x:c>
      <x:c r="E2422" t="n">
        <x:v>1</x:v>
      </x:c>
      <x:c r="F2422" t="n">
        <x:v>20</x:v>
      </x:c>
      <x:c r="G2422" t="str">
        <x:v>MIN</x:v>
      </x:c>
      <x:c r="H2422" t="str">
        <x:v>NYG</x:v>
      </x:c>
      <x:c r="I2422" t="str">
        <x:v>MIN</x:v>
      </x:c>
      <x:c r="J2422" t="n">
        <x:v>58</x:v>
      </x:c>
      <x:c r="K2422" t="str">
        <x:v>(7:09) (Shotgun) 12-M.Brosmer pass short middle to 18-J.Jefferson to MIN 49 for 7 yards (22-A.Phillips) [51-A.Carter].</x:v>
      </x:c>
      <x:c r="L2422" t="str">
        <x:v>pass</x:v>
      </x:c>
      <x:c r="M2422" t="n">
        <x:v>7</x:v>
      </x:c>
      <x:c r="N2422" t="n">
        <x:v>1</x:v>
      </x:c>
      <x:c r="O2422" t="n">
        <x:v>0</x:v>
      </x:c>
      <x:c r="P2422" t="str">
        <x:v>short</x:v>
      </x:c>
      <x:c r="Q2422" t="str">
        <x:v>middle</x:v>
      </x:c>
      <x:c r="R2422" t="n">
        <x:v>4</x:v>
      </x:c>
      <x:c r="S2422" t="n">
        <x:v>3</x:v>
      </x:c>
      <x:c r="T2422"/>
      <x:c r="U2422"/>
      <x:c r="V2422" t="n">
        <x:v>1</x:v>
      </x:c>
      <x:c r="W2422" t="n">
        <x:v>0</x:v>
      </x:c>
      <x:c r="X2422" t="n">
        <x:v>0</x:v>
      </x:c>
      <x:c r="Y2422" t="n">
        <x:v>0</x:v>
      </x:c>
      <x:c r="Z2422" t="n">
        <x:v>0</x:v>
      </x:c>
      <x:c r="AA2422" t="n">
        <x:v>0</x:v>
      </x:c>
      <x:c r="AB2422"/>
      <x:c r="AC2422" t="n">
        <x:v>0</x:v>
      </x:c>
      <x:c r="AD2422" t="n">
        <x:v>-0.081335567869246</x:v>
      </x:c>
      <x:c r="AE2422" t="n">
        <x:v>0</x:v>
      </x:c>
      <x:c r="AF2422" t="n">
        <x:v>0.016127049922943115</x:v>
      </x:c>
      <x:c r="AG2422" t="n">
        <x:f>_xlfn.XLOOKUP($A2422,Games!$A$2:$A$18,Games!$B$2:$B$18,"Missing game",0)</x:f>
        <x:v>2025</x:v>
      </x:c>
      <x:c r="AH2422" t="str">
        <x:f>_xlfn.XLOOKUP($A2422,Games!$A$2:$A$18,Games!$C$2:$C$18,"Missing game",0)</x:f>
        <x:v>REG</x:v>
      </x:c>
      <x:c r="AI2422" t="n">
        <x:f>_xlfn.XLOOKUP($A2422,Games!$A$2:$A$18,Games!$D$2:$D$18,"Missing game",0)</x:f>
        <x:v>16</x:v>
      </x:c>
      <x:c r="AJ2422" s="1" t="n">
        <x:f>_xlfn.XLOOKUP($A2422,Games!$A$2:$A$18,Games!$E$2:$E$18,"Missing game",0)</x:f>
        <x:v>46012</x:v>
      </x:c>
      <x:c r="AK2422" t="str">
        <x:f>_xlfn.XLOOKUP($A2422,Games!$A$2:$A$18,Games!$F$2:$F$18,"Missing game",0)</x:f>
        <x:v>Sunday</x:v>
      </x:c>
      <x:c r="AL2422" t="str">
        <x:f>_xlfn.XLOOKUP($A2422,Games!$A$2:$A$18,Games!$G$2:$G$18,"Missing game",0)</x:f>
        <x:v>MIN</x:v>
      </x:c>
      <x:c r="AM2422" t="n">
        <x:f>_xlfn.XLOOKUP($A2422,Games!$A$2:$A$18,Games!$H$2:$H$18,"Missing game",0)</x:f>
        <x:v>16</x:v>
      </x:c>
      <x:c r="AN2422" t="str">
        <x:f>_xlfn.XLOOKUP($A2422,Games!$A$2:$A$18,Games!$I$2:$I$18,"Missing game",0)</x:f>
        <x:v>NYG</x:v>
      </x:c>
      <x:c r="AO2422" t="n">
        <x:f>_xlfn.XLOOKUP($A2422,Games!$A$2:$A$18,Games!$J$2:$J$18,"Missing game",0)</x:f>
        <x:v>13</x:v>
      </x:c>
      <x:c r="AP2422" t="n">
        <x:f>_xlfn.XLOOKUP($A2422,Games!$A$2:$A$18,Games!$K$2:$K$18,"Missing game",0)</x:f>
        <x:v>-3</x:v>
      </x:c>
      <x:c r="AQ2422" t="n">
        <x:f>_xlfn.XLOOKUP($A2422,Games!$A$2:$A$18,Games!$L$2:$L$18,"Missing game",0)</x:f>
        <x:v>29</x:v>
      </x:c>
      <x:c r="AR2422" t="n">
        <x:f>_xlfn.XLOOKUP($A2422,Games!$A$2:$A$18,Games!$M$2:$M$18,"Missing game",0)</x:f>
        <x:v>0</x:v>
      </x:c>
      <x:c r="AS2422" t="str">
        <x:f>_xlfn.XLOOKUP($A2422,Games!$A$2:$A$18,Games!$N$2:$N$18,"Missing game",0)</x:f>
        <x:v>outdoors</x:v>
      </x:c>
      <x:c r="AT2422" t="str">
        <x:f>_xlfn.XLOOKUP($A2422,Games!$A$2:$A$18,Games!$O$2:$O$18,"Missing game",0)</x:f>
        <x:v>fieldturf</x:v>
      </x:c>
      <x:c r="AU2422" t="n">
        <x:f>_xlfn.XLOOKUP($A2422,Games!$A$2:$A$18,Games!$P$2:$P$18,"Missing game",0)</x:f>
        <x:v>46</x:v>
      </x:c>
      <x:c r="AV2422" t="n">
        <x:f>_xlfn.XLOOKUP($A2422,Games!$A$2:$A$18,Games!$Q$2:$Q$18,"Missing game",0)</x:f>
        <x:v>20</x:v>
      </x:c>
      <x:c r="AW2422" t="str">
        <x:f>_xlfn.XLOOKUP($A2422,Games!$A$2:$A$18,Games!$R$2:$R$18,"Missing game",0)</x:f>
        <x:v>MetLife Stadium</x:v>
      </x:c>
    </x:row>
    <x:row r="2423">
      <x:c r="A2423" t="str">
        <x:v>2025_16_MIN_NYG</x:v>
      </x:c>
      <x:c r="B2423" t="n">
        <x:v>2554</x:v>
      </x:c>
      <x:c r="C2423" t="n">
        <x:v>3</x:v>
      </x:c>
      <x:c r="D2423" t="str">
        <x:v>06:27</x:v>
      </x:c>
      <x:c r="E2423" t="n">
        <x:v>2</x:v>
      </x:c>
      <x:c r="F2423" t="n">
        <x:v>13</x:v>
      </x:c>
      <x:c r="G2423" t="str">
        <x:v>MIN</x:v>
      </x:c>
      <x:c r="H2423" t="str">
        <x:v>NYG</x:v>
      </x:c>
      <x:c r="I2423" t="str">
        <x:v>MIN</x:v>
      </x:c>
      <x:c r="J2423" t="n">
        <x:v>51</x:v>
      </x:c>
      <x:c r="K2423" t="str">
        <x:v>(6:27) (Shotgun) 12-M.Brosmer pass short middle to 84-J.Oliver to NYG 44 for 7 yards (58-B.Okereke; 51-A.Carter).</x:v>
      </x:c>
      <x:c r="L2423" t="str">
        <x:v>pass</x:v>
      </x:c>
      <x:c r="M2423" t="n">
        <x:v>7</x:v>
      </x:c>
      <x:c r="N2423" t="n">
        <x:v>1</x:v>
      </x:c>
      <x:c r="O2423" t="n">
        <x:v>0</x:v>
      </x:c>
      <x:c r="P2423" t="str">
        <x:v>short</x:v>
      </x:c>
      <x:c r="Q2423" t="str">
        <x:v>middle</x:v>
      </x:c>
      <x:c r="R2423" t="n">
        <x:v>6</x:v>
      </x:c>
      <x:c r="S2423" t="n">
        <x:v>1</x:v>
      </x:c>
      <x:c r="T2423"/>
      <x:c r="U2423"/>
      <x:c r="V2423" t="n">
        <x:v>1</x:v>
      </x:c>
      <x:c r="W2423" t="n">
        <x:v>0</x:v>
      </x:c>
      <x:c r="X2423" t="n">
        <x:v>0</x:v>
      </x:c>
      <x:c r="Y2423" t="n">
        <x:v>0</x:v>
      </x:c>
      <x:c r="Z2423" t="n">
        <x:v>0</x:v>
      </x:c>
      <x:c r="AA2423" t="n">
        <x:v>0</x:v>
      </x:c>
      <x:c r="AB2423"/>
      <x:c r="AC2423" t="n">
        <x:v>0</x:v>
      </x:c>
      <x:c r="AD2423" t="n">
        <x:v>-0.004844802198931575</x:v>
      </x:c>
      <x:c r="AE2423" t="n">
        <x:v>0</x:v>
      </x:c>
      <x:c r="AF2423" t="n">
        <x:v>0.002718329429626465</x:v>
      </x:c>
      <x:c r="AG2423" t="n">
        <x:f>_xlfn.XLOOKUP($A2423,Games!$A$2:$A$18,Games!$B$2:$B$18,"Missing game",0)</x:f>
        <x:v>2025</x:v>
      </x:c>
      <x:c r="AH2423" t="str">
        <x:f>_xlfn.XLOOKUP($A2423,Games!$A$2:$A$18,Games!$C$2:$C$18,"Missing game",0)</x:f>
        <x:v>REG</x:v>
      </x:c>
      <x:c r="AI2423" t="n">
        <x:f>_xlfn.XLOOKUP($A2423,Games!$A$2:$A$18,Games!$D$2:$D$18,"Missing game",0)</x:f>
        <x:v>16</x:v>
      </x:c>
      <x:c r="AJ2423" s="1" t="n">
        <x:f>_xlfn.XLOOKUP($A2423,Games!$A$2:$A$18,Games!$E$2:$E$18,"Missing game",0)</x:f>
        <x:v>46012</x:v>
      </x:c>
      <x:c r="AK2423" t="str">
        <x:f>_xlfn.XLOOKUP($A2423,Games!$A$2:$A$18,Games!$F$2:$F$18,"Missing game",0)</x:f>
        <x:v>Sunday</x:v>
      </x:c>
      <x:c r="AL2423" t="str">
        <x:f>_xlfn.XLOOKUP($A2423,Games!$A$2:$A$18,Games!$G$2:$G$18,"Missing game",0)</x:f>
        <x:v>MIN</x:v>
      </x:c>
      <x:c r="AM2423" t="n">
        <x:f>_xlfn.XLOOKUP($A2423,Games!$A$2:$A$18,Games!$H$2:$H$18,"Missing game",0)</x:f>
        <x:v>16</x:v>
      </x:c>
      <x:c r="AN2423" t="str">
        <x:f>_xlfn.XLOOKUP($A2423,Games!$A$2:$A$18,Games!$I$2:$I$18,"Missing game",0)</x:f>
        <x:v>NYG</x:v>
      </x:c>
      <x:c r="AO2423" t="n">
        <x:f>_xlfn.XLOOKUP($A2423,Games!$A$2:$A$18,Games!$J$2:$J$18,"Missing game",0)</x:f>
        <x:v>13</x:v>
      </x:c>
      <x:c r="AP2423" t="n">
        <x:f>_xlfn.XLOOKUP($A2423,Games!$A$2:$A$18,Games!$K$2:$K$18,"Missing game",0)</x:f>
        <x:v>-3</x:v>
      </x:c>
      <x:c r="AQ2423" t="n">
        <x:f>_xlfn.XLOOKUP($A2423,Games!$A$2:$A$18,Games!$L$2:$L$18,"Missing game",0)</x:f>
        <x:v>29</x:v>
      </x:c>
      <x:c r="AR2423" t="n">
        <x:f>_xlfn.XLOOKUP($A2423,Games!$A$2:$A$18,Games!$M$2:$M$18,"Missing game",0)</x:f>
        <x:v>0</x:v>
      </x:c>
      <x:c r="AS2423" t="str">
        <x:f>_xlfn.XLOOKUP($A2423,Games!$A$2:$A$18,Games!$N$2:$N$18,"Missing game",0)</x:f>
        <x:v>outdoors</x:v>
      </x:c>
      <x:c r="AT2423" t="str">
        <x:f>_xlfn.XLOOKUP($A2423,Games!$A$2:$A$18,Games!$O$2:$O$18,"Missing game",0)</x:f>
        <x:v>fieldturf</x:v>
      </x:c>
      <x:c r="AU2423" t="n">
        <x:f>_xlfn.XLOOKUP($A2423,Games!$A$2:$A$18,Games!$P$2:$P$18,"Missing game",0)</x:f>
        <x:v>46</x:v>
      </x:c>
      <x:c r="AV2423" t="n">
        <x:f>_xlfn.XLOOKUP($A2423,Games!$A$2:$A$18,Games!$Q$2:$Q$18,"Missing game",0)</x:f>
        <x:v>20</x:v>
      </x:c>
      <x:c r="AW2423" t="str">
        <x:f>_xlfn.XLOOKUP($A2423,Games!$A$2:$A$18,Games!$R$2:$R$18,"Missing game",0)</x:f>
        <x:v>MetLife Stadium</x:v>
      </x:c>
    </x:row>
    <x:row r="2424">
      <x:c r="A2424" t="str">
        <x:v>2025_16_MIN_NYG</x:v>
      </x:c>
      <x:c r="B2424" t="n">
        <x:v>2584</x:v>
      </x:c>
      <x:c r="C2424" t="n">
        <x:v>3</x:v>
      </x:c>
      <x:c r="D2424" t="str">
        <x:v>05:40</x:v>
      </x:c>
      <x:c r="E2424" t="n">
        <x:v>3</x:v>
      </x:c>
      <x:c r="F2424" t="n">
        <x:v>6</x:v>
      </x:c>
      <x:c r="G2424" t="str">
        <x:v>MIN</x:v>
      </x:c>
      <x:c r="H2424" t="str">
        <x:v>NYG</x:v>
      </x:c>
      <x:c r="I2424" t="str">
        <x:v>NYG</x:v>
      </x:c>
      <x:c r="J2424" t="n">
        <x:v>44</x:v>
      </x:c>
      <x:c r="K2424" t="str">
        <x:v>(5:40) (Shotgun) 12-M.Brosmer pass incomplete deep right to 1-J.Nailor.</x:v>
      </x:c>
      <x:c r="L2424" t="str">
        <x:v>pass</x:v>
      </x:c>
      <x:c r="M2424" t="n">
        <x:v>0</x:v>
      </x:c>
      <x:c r="N2424" t="n">
        <x:v>1</x:v>
      </x:c>
      <x:c r="O2424" t="n">
        <x:v>0</x:v>
      </x:c>
      <x:c r="P2424" t="str">
        <x:v>deep</x:v>
      </x:c>
      <x:c r="Q2424" t="str">
        <x:v>right</x:v>
      </x:c>
      <x:c r="R2424" t="n">
        <x:v>19</x:v>
      </x:c>
      <x:c r="S2424"/>
      <x:c r="T2424"/>
      <x:c r="U2424"/>
      <x:c r="V2424" t="n">
        <x:v>0</x:v>
      </x:c>
      <x:c r="W2424" t="n">
        <x:v>0</x:v>
      </x:c>
      <x:c r="X2424" t="n">
        <x:v>0</x:v>
      </x:c>
      <x:c r="Y2424" t="n">
        <x:v>0</x:v>
      </x:c>
      <x:c r="Z2424" t="n">
        <x:v>0</x:v>
      </x:c>
      <x:c r="AA2424" t="n">
        <x:v>0</x:v>
      </x:c>
      <x:c r="AB2424"/>
      <x:c r="AC2424" t="n">
        <x:v>0</x:v>
      </x:c>
      <x:c r="AD2424" t="n">
        <x:v>-1.771694497903809</x:v>
      </x:c>
      <x:c r="AE2424" t="n">
        <x:v>0</x:v>
      </x:c>
      <x:c r="AF2424" t="n">
        <x:v>-0.04085993766784668</x:v>
      </x:c>
      <x:c r="AG2424" t="n">
        <x:f>_xlfn.XLOOKUP($A2424,Games!$A$2:$A$18,Games!$B$2:$B$18,"Missing game",0)</x:f>
        <x:v>2025</x:v>
      </x:c>
      <x:c r="AH2424" t="str">
        <x:f>_xlfn.XLOOKUP($A2424,Games!$A$2:$A$18,Games!$C$2:$C$18,"Missing game",0)</x:f>
        <x:v>REG</x:v>
      </x:c>
      <x:c r="AI2424" t="n">
        <x:f>_xlfn.XLOOKUP($A2424,Games!$A$2:$A$18,Games!$D$2:$D$18,"Missing game",0)</x:f>
        <x:v>16</x:v>
      </x:c>
      <x:c r="AJ2424" s="1" t="n">
        <x:f>_xlfn.XLOOKUP($A2424,Games!$A$2:$A$18,Games!$E$2:$E$18,"Missing game",0)</x:f>
        <x:v>46012</x:v>
      </x:c>
      <x:c r="AK2424" t="str">
        <x:f>_xlfn.XLOOKUP($A2424,Games!$A$2:$A$18,Games!$F$2:$F$18,"Missing game",0)</x:f>
        <x:v>Sunday</x:v>
      </x:c>
      <x:c r="AL2424" t="str">
        <x:f>_xlfn.XLOOKUP($A2424,Games!$A$2:$A$18,Games!$G$2:$G$18,"Missing game",0)</x:f>
        <x:v>MIN</x:v>
      </x:c>
      <x:c r="AM2424" t="n">
        <x:f>_xlfn.XLOOKUP($A2424,Games!$A$2:$A$18,Games!$H$2:$H$18,"Missing game",0)</x:f>
        <x:v>16</x:v>
      </x:c>
      <x:c r="AN2424" t="str">
        <x:f>_xlfn.XLOOKUP($A2424,Games!$A$2:$A$18,Games!$I$2:$I$18,"Missing game",0)</x:f>
        <x:v>NYG</x:v>
      </x:c>
      <x:c r="AO2424" t="n">
        <x:f>_xlfn.XLOOKUP($A2424,Games!$A$2:$A$18,Games!$J$2:$J$18,"Missing game",0)</x:f>
        <x:v>13</x:v>
      </x:c>
      <x:c r="AP2424" t="n">
        <x:f>_xlfn.XLOOKUP($A2424,Games!$A$2:$A$18,Games!$K$2:$K$18,"Missing game",0)</x:f>
        <x:v>-3</x:v>
      </x:c>
      <x:c r="AQ2424" t="n">
        <x:f>_xlfn.XLOOKUP($A2424,Games!$A$2:$A$18,Games!$L$2:$L$18,"Missing game",0)</x:f>
        <x:v>29</x:v>
      </x:c>
      <x:c r="AR2424" t="n">
        <x:f>_xlfn.XLOOKUP($A2424,Games!$A$2:$A$18,Games!$M$2:$M$18,"Missing game",0)</x:f>
        <x:v>0</x:v>
      </x:c>
      <x:c r="AS2424" t="str">
        <x:f>_xlfn.XLOOKUP($A2424,Games!$A$2:$A$18,Games!$N$2:$N$18,"Missing game",0)</x:f>
        <x:v>outdoors</x:v>
      </x:c>
      <x:c r="AT2424" t="str">
        <x:f>_xlfn.XLOOKUP($A2424,Games!$A$2:$A$18,Games!$O$2:$O$18,"Missing game",0)</x:f>
        <x:v>fieldturf</x:v>
      </x:c>
      <x:c r="AU2424" t="n">
        <x:f>_xlfn.XLOOKUP($A2424,Games!$A$2:$A$18,Games!$P$2:$P$18,"Missing game",0)</x:f>
        <x:v>46</x:v>
      </x:c>
      <x:c r="AV2424" t="n">
        <x:f>_xlfn.XLOOKUP($A2424,Games!$A$2:$A$18,Games!$Q$2:$Q$18,"Missing game",0)</x:f>
        <x:v>20</x:v>
      </x:c>
      <x:c r="AW2424" t="str">
        <x:f>_xlfn.XLOOKUP($A2424,Games!$A$2:$A$18,Games!$R$2:$R$18,"Missing game",0)</x:f>
        <x:v>MetLife Stadium</x:v>
      </x:c>
    </x:row>
    <x:row r="2425">
      <x:c r="A2425" t="str">
        <x:v>2025_16_MIN_NYG</x:v>
      </x:c>
      <x:c r="B2425" t="n">
        <x:v>2607</x:v>
      </x:c>
      <x:c r="C2425" t="n">
        <x:v>3</x:v>
      </x:c>
      <x:c r="D2425" t="str">
        <x:v>05:35</x:v>
      </x:c>
      <x:c r="E2425" t="n">
        <x:v>4</x:v>
      </x:c>
      <x:c r="F2425" t="n">
        <x:v>6</x:v>
      </x:c>
      <x:c r="G2425" t="str">
        <x:v>MIN</x:v>
      </x:c>
      <x:c r="H2425" t="str">
        <x:v>NYG</x:v>
      </x:c>
      <x:c r="I2425" t="str">
        <x:v>NYG</x:v>
      </x:c>
      <x:c r="J2425" t="n">
        <x:v>44</x:v>
      </x:c>
      <x:c r="K2425" t="str">
        <x:v>(5:35) 17-R.Wright punts 29 yards to NYG 15, Center-42-A.DePaola. 80-G.Olszewski pushed ob at NYG 20 for 5 yards (36-Z.Scott). PENALTY on MIN-40-S.Takitaki, Illegal Formation, 5 yards, enforced at NYG 20.</x:v>
      </x:c>
      <x:c r="L2425" t="str">
        <x:v>punt</x:v>
      </x:c>
      <x:c r="M2425" t="n">
        <x:v>0</x:v>
      </x:c>
      <x:c r="N2425" t="n">
        <x:v>0</x:v>
      </x:c>
      <x:c r="O2425" t="n">
        <x:v>0</x:v>
      </x:c>
      <x:c r="P2425"/>
      <x:c r="Q2425"/>
      <x:c r="R2425"/>
      <x:c r="S2425"/>
      <x:c r="T2425"/>
      <x:c r="U2425"/>
      <x:c r="V2425" t="n">
        <x:v>0</x:v>
      </x:c>
      <x:c r="W2425" t="n">
        <x:v>0</x:v>
      </x:c>
      <x:c r="X2425" t="n">
        <x:v>0</x:v>
      </x:c>
      <x:c r="Y2425" t="n">
        <x:v>0</x:v>
      </x:c>
      <x:c r="Z2425" t="n">
        <x:v>0</x:v>
      </x:c>
      <x:c r="AA2425" t="n">
        <x:v>1</x:v>
      </x:c>
      <x:c r="AB2425" t="n">
        <x:v>5</x:v>
      </x:c>
      <x:c r="AC2425" t="n">
        <x:v>0</x:v>
      </x:c>
      <x:c r="AD2425" t="n">
        <x:v>-1.262466847896576</x:v>
      </x:c>
      <x:c r="AE2425" t="n">
        <x:v>0</x:v>
      </x:c>
      <x:c r="AF2425" t="n">
        <x:v>-0.054410338401794434</x:v>
      </x:c>
      <x:c r="AG2425" t="n">
        <x:f>_xlfn.XLOOKUP($A2425,Games!$A$2:$A$18,Games!$B$2:$B$18,"Missing game",0)</x:f>
        <x:v>2025</x:v>
      </x:c>
      <x:c r="AH2425" t="str">
        <x:f>_xlfn.XLOOKUP($A2425,Games!$A$2:$A$18,Games!$C$2:$C$18,"Missing game",0)</x:f>
        <x:v>REG</x:v>
      </x:c>
      <x:c r="AI2425" t="n">
        <x:f>_xlfn.XLOOKUP($A2425,Games!$A$2:$A$18,Games!$D$2:$D$18,"Missing game",0)</x:f>
        <x:v>16</x:v>
      </x:c>
      <x:c r="AJ2425" s="1" t="n">
        <x:f>_xlfn.XLOOKUP($A2425,Games!$A$2:$A$18,Games!$E$2:$E$18,"Missing game",0)</x:f>
        <x:v>46012</x:v>
      </x:c>
      <x:c r="AK2425" t="str">
        <x:f>_xlfn.XLOOKUP($A2425,Games!$A$2:$A$18,Games!$F$2:$F$18,"Missing game",0)</x:f>
        <x:v>Sunday</x:v>
      </x:c>
      <x:c r="AL2425" t="str">
        <x:f>_xlfn.XLOOKUP($A2425,Games!$A$2:$A$18,Games!$G$2:$G$18,"Missing game",0)</x:f>
        <x:v>MIN</x:v>
      </x:c>
      <x:c r="AM2425" t="n">
        <x:f>_xlfn.XLOOKUP($A2425,Games!$A$2:$A$18,Games!$H$2:$H$18,"Missing game",0)</x:f>
        <x:v>16</x:v>
      </x:c>
      <x:c r="AN2425" t="str">
        <x:f>_xlfn.XLOOKUP($A2425,Games!$A$2:$A$18,Games!$I$2:$I$18,"Missing game",0)</x:f>
        <x:v>NYG</x:v>
      </x:c>
      <x:c r="AO2425" t="n">
        <x:f>_xlfn.XLOOKUP($A2425,Games!$A$2:$A$18,Games!$J$2:$J$18,"Missing game",0)</x:f>
        <x:v>13</x:v>
      </x:c>
      <x:c r="AP2425" t="n">
        <x:f>_xlfn.XLOOKUP($A2425,Games!$A$2:$A$18,Games!$K$2:$K$18,"Missing game",0)</x:f>
        <x:v>-3</x:v>
      </x:c>
      <x:c r="AQ2425" t="n">
        <x:f>_xlfn.XLOOKUP($A2425,Games!$A$2:$A$18,Games!$L$2:$L$18,"Missing game",0)</x:f>
        <x:v>29</x:v>
      </x:c>
      <x:c r="AR2425" t="n">
        <x:f>_xlfn.XLOOKUP($A2425,Games!$A$2:$A$18,Games!$M$2:$M$18,"Missing game",0)</x:f>
        <x:v>0</x:v>
      </x:c>
      <x:c r="AS2425" t="str">
        <x:f>_xlfn.XLOOKUP($A2425,Games!$A$2:$A$18,Games!$N$2:$N$18,"Missing game",0)</x:f>
        <x:v>outdoors</x:v>
      </x:c>
      <x:c r="AT2425" t="str">
        <x:f>_xlfn.XLOOKUP($A2425,Games!$A$2:$A$18,Games!$O$2:$O$18,"Missing game",0)</x:f>
        <x:v>fieldturf</x:v>
      </x:c>
      <x:c r="AU2425" t="n">
        <x:f>_xlfn.XLOOKUP($A2425,Games!$A$2:$A$18,Games!$P$2:$P$18,"Missing game",0)</x:f>
        <x:v>46</x:v>
      </x:c>
      <x:c r="AV2425" t="n">
        <x:f>_xlfn.XLOOKUP($A2425,Games!$A$2:$A$18,Games!$Q$2:$Q$18,"Missing game",0)</x:f>
        <x:v>20</x:v>
      </x:c>
      <x:c r="AW2425" t="str">
        <x:f>_xlfn.XLOOKUP($A2425,Games!$A$2:$A$18,Games!$R$2:$R$18,"Missing game",0)</x:f>
        <x:v>MetLife Stadium</x:v>
      </x:c>
    </x:row>
    <x:row r="2426">
      <x:c r="A2426" t="str">
        <x:v>2025_16_MIN_NYG</x:v>
      </x:c>
      <x:c r="B2426" t="n">
        <x:v>2654</x:v>
      </x:c>
      <x:c r="C2426" t="n">
        <x:v>3</x:v>
      </x:c>
      <x:c r="D2426" t="str">
        <x:v>05:27</x:v>
      </x:c>
      <x:c r="E2426" t="n">
        <x:v>1</x:v>
      </x:c>
      <x:c r="F2426" t="n">
        <x:v>10</x:v>
      </x:c>
      <x:c r="G2426" t="str">
        <x:v>NYG</x:v>
      </x:c>
      <x:c r="H2426" t="str">
        <x:v>MIN</x:v>
      </x:c>
      <x:c r="I2426" t="str">
        <x:v>NYG</x:v>
      </x:c>
      <x:c r="J2426" t="n">
        <x:v>75</x:v>
      </x:c>
      <x:c r="K2426" t="str">
        <x:v>(5:27) (Shotgun) 26-D.Singletary left guard to NYG 33 for 8 yards (7-B.Murphy; 51-B.Cashman).</x:v>
      </x:c>
      <x:c r="L2426" t="str">
        <x:v>run</x:v>
      </x:c>
      <x:c r="M2426" t="n">
        <x:v>8</x:v>
      </x:c>
      <x:c r="N2426" t="n">
        <x:v>1</x:v>
      </x:c>
      <x:c r="O2426" t="n">
        <x:v>0</x:v>
      </x:c>
      <x:c r="P2426"/>
      <x:c r="Q2426"/>
      <x:c r="R2426"/>
      <x:c r="S2426"/>
      <x:c r="T2426" t="str">
        <x:v>left</x:v>
      </x:c>
      <x:c r="U2426" t="str">
        <x:v>guard</x:v>
      </x:c>
      <x:c r="V2426" t="n">
        <x:v>0</x:v>
      </x:c>
      <x:c r="W2426" t="n">
        <x:v>0</x:v>
      </x:c>
      <x:c r="X2426" t="n">
        <x:v>0</x:v>
      </x:c>
      <x:c r="Y2426" t="n">
        <x:v>0</x:v>
      </x:c>
      <x:c r="Z2426" t="n">
        <x:v>0</x:v>
      </x:c>
      <x:c r="AA2426" t="n">
        <x:v>0</x:v>
      </x:c>
      <x:c r="AB2426"/>
      <x:c r="AC2426" t="n">
        <x:v>0</x:v>
      </x:c>
      <x:c r="AD2426" t="n">
        <x:v>0.577620639000088</x:v>
      </x:c>
      <x:c r="AE2426" t="n">
        <x:v>1</x:v>
      </x:c>
      <x:c r="AF2426" t="n">
        <x:v>0.032580405473709106</x:v>
      </x:c>
      <x:c r="AG2426" t="n">
        <x:f>_xlfn.XLOOKUP($A2426,Games!$A$2:$A$18,Games!$B$2:$B$18,"Missing game",0)</x:f>
        <x:v>2025</x:v>
      </x:c>
      <x:c r="AH2426" t="str">
        <x:f>_xlfn.XLOOKUP($A2426,Games!$A$2:$A$18,Games!$C$2:$C$18,"Missing game",0)</x:f>
        <x:v>REG</x:v>
      </x:c>
      <x:c r="AI2426" t="n">
        <x:f>_xlfn.XLOOKUP($A2426,Games!$A$2:$A$18,Games!$D$2:$D$18,"Missing game",0)</x:f>
        <x:v>16</x:v>
      </x:c>
      <x:c r="AJ2426" s="1" t="n">
        <x:f>_xlfn.XLOOKUP($A2426,Games!$A$2:$A$18,Games!$E$2:$E$18,"Missing game",0)</x:f>
        <x:v>46012</x:v>
      </x:c>
      <x:c r="AK2426" t="str">
        <x:f>_xlfn.XLOOKUP($A2426,Games!$A$2:$A$18,Games!$F$2:$F$18,"Missing game",0)</x:f>
        <x:v>Sunday</x:v>
      </x:c>
      <x:c r="AL2426" t="str">
        <x:f>_xlfn.XLOOKUP($A2426,Games!$A$2:$A$18,Games!$G$2:$G$18,"Missing game",0)</x:f>
        <x:v>MIN</x:v>
      </x:c>
      <x:c r="AM2426" t="n">
        <x:f>_xlfn.XLOOKUP($A2426,Games!$A$2:$A$18,Games!$H$2:$H$18,"Missing game",0)</x:f>
        <x:v>16</x:v>
      </x:c>
      <x:c r="AN2426" t="str">
        <x:f>_xlfn.XLOOKUP($A2426,Games!$A$2:$A$18,Games!$I$2:$I$18,"Missing game",0)</x:f>
        <x:v>NYG</x:v>
      </x:c>
      <x:c r="AO2426" t="n">
        <x:f>_xlfn.XLOOKUP($A2426,Games!$A$2:$A$18,Games!$J$2:$J$18,"Missing game",0)</x:f>
        <x:v>13</x:v>
      </x:c>
      <x:c r="AP2426" t="n">
        <x:f>_xlfn.XLOOKUP($A2426,Games!$A$2:$A$18,Games!$K$2:$K$18,"Missing game",0)</x:f>
        <x:v>-3</x:v>
      </x:c>
      <x:c r="AQ2426" t="n">
        <x:f>_xlfn.XLOOKUP($A2426,Games!$A$2:$A$18,Games!$L$2:$L$18,"Missing game",0)</x:f>
        <x:v>29</x:v>
      </x:c>
      <x:c r="AR2426" t="n">
        <x:f>_xlfn.XLOOKUP($A2426,Games!$A$2:$A$18,Games!$M$2:$M$18,"Missing game",0)</x:f>
        <x:v>0</x:v>
      </x:c>
      <x:c r="AS2426" t="str">
        <x:f>_xlfn.XLOOKUP($A2426,Games!$A$2:$A$18,Games!$N$2:$N$18,"Missing game",0)</x:f>
        <x:v>outdoors</x:v>
      </x:c>
      <x:c r="AT2426" t="str">
        <x:f>_xlfn.XLOOKUP($A2426,Games!$A$2:$A$18,Games!$O$2:$O$18,"Missing game",0)</x:f>
        <x:v>fieldturf</x:v>
      </x:c>
      <x:c r="AU2426" t="n">
        <x:f>_xlfn.XLOOKUP($A2426,Games!$A$2:$A$18,Games!$P$2:$P$18,"Missing game",0)</x:f>
        <x:v>46</x:v>
      </x:c>
      <x:c r="AV2426" t="n">
        <x:f>_xlfn.XLOOKUP($A2426,Games!$A$2:$A$18,Games!$Q$2:$Q$18,"Missing game",0)</x:f>
        <x:v>20</x:v>
      </x:c>
      <x:c r="AW2426" t="str">
        <x:f>_xlfn.XLOOKUP($A2426,Games!$A$2:$A$18,Games!$R$2:$R$18,"Missing game",0)</x:f>
        <x:v>MetLife Stadium</x:v>
      </x:c>
    </x:row>
    <x:row r="2427">
      <x:c r="A2427" t="str">
        <x:v>2025_16_MIN_NYG</x:v>
      </x:c>
      <x:c r="B2427" t="n">
        <x:v>2683</x:v>
      </x:c>
      <x:c r="C2427" t="n">
        <x:v>3</x:v>
      </x:c>
      <x:c r="D2427" t="str">
        <x:v>04:58</x:v>
      </x:c>
      <x:c r="E2427" t="n">
        <x:v>2</x:v>
      </x:c>
      <x:c r="F2427" t="n">
        <x:v>2</x:v>
      </x:c>
      <x:c r="G2427" t="str">
        <x:v>NYG</x:v>
      </x:c>
      <x:c r="H2427" t="str">
        <x:v>MIN</x:v>
      </x:c>
      <x:c r="I2427" t="str">
        <x:v>NYG</x:v>
      </x:c>
      <x:c r="J2427" t="n">
        <x:v>67</x:v>
      </x:c>
      <x:c r="K2427" t="str">
        <x:v>(4:58) (Shotgun) 26-D.Singletary right tackle to NYG 38 for 5 yards (51-B.Cashman).</x:v>
      </x:c>
      <x:c r="L2427" t="str">
        <x:v>run</x:v>
      </x:c>
      <x:c r="M2427" t="n">
        <x:v>5</x:v>
      </x:c>
      <x:c r="N2427" t="n">
        <x:v>1</x:v>
      </x:c>
      <x:c r="O2427" t="n">
        <x:v>0</x:v>
      </x:c>
      <x:c r="P2427"/>
      <x:c r="Q2427"/>
      <x:c r="R2427"/>
      <x:c r="S2427"/>
      <x:c r="T2427" t="str">
        <x:v>right</x:v>
      </x:c>
      <x:c r="U2427" t="str">
        <x:v>tackle</x:v>
      </x:c>
      <x:c r="V2427" t="n">
        <x:v>0</x:v>
      </x:c>
      <x:c r="W2427" t="n">
        <x:v>1</x:v>
      </x:c>
      <x:c r="X2427" t="n">
        <x:v>0</x:v>
      </x:c>
      <x:c r="Y2427" t="n">
        <x:v>0</x:v>
      </x:c>
      <x:c r="Z2427" t="n">
        <x:v>0</x:v>
      </x:c>
      <x:c r="AA2427" t="n">
        <x:v>0</x:v>
      </x:c>
      <x:c r="AB2427"/>
      <x:c r="AC2427" t="n">
        <x:v>0</x:v>
      </x:c>
      <x:c r="AD2427" t="n">
        <x:v>0.21838454459793866</x:v>
      </x:c>
      <x:c r="AE2427" t="n">
        <x:v>1</x:v>
      </x:c>
      <x:c r="AF2427" t="n">
        <x:v>-0.0044019222259521484</x:v>
      </x:c>
      <x:c r="AG2427" t="n">
        <x:f>_xlfn.XLOOKUP($A2427,Games!$A$2:$A$18,Games!$B$2:$B$18,"Missing game",0)</x:f>
        <x:v>2025</x:v>
      </x:c>
      <x:c r="AH2427" t="str">
        <x:f>_xlfn.XLOOKUP($A2427,Games!$A$2:$A$18,Games!$C$2:$C$18,"Missing game",0)</x:f>
        <x:v>REG</x:v>
      </x:c>
      <x:c r="AI2427" t="n">
        <x:f>_xlfn.XLOOKUP($A2427,Games!$A$2:$A$18,Games!$D$2:$D$18,"Missing game",0)</x:f>
        <x:v>16</x:v>
      </x:c>
      <x:c r="AJ2427" s="1" t="n">
        <x:f>_xlfn.XLOOKUP($A2427,Games!$A$2:$A$18,Games!$E$2:$E$18,"Missing game",0)</x:f>
        <x:v>46012</x:v>
      </x:c>
      <x:c r="AK2427" t="str">
        <x:f>_xlfn.XLOOKUP($A2427,Games!$A$2:$A$18,Games!$F$2:$F$18,"Missing game",0)</x:f>
        <x:v>Sunday</x:v>
      </x:c>
      <x:c r="AL2427" t="str">
        <x:f>_xlfn.XLOOKUP($A2427,Games!$A$2:$A$18,Games!$G$2:$G$18,"Missing game",0)</x:f>
        <x:v>MIN</x:v>
      </x:c>
      <x:c r="AM2427" t="n">
        <x:f>_xlfn.XLOOKUP($A2427,Games!$A$2:$A$18,Games!$H$2:$H$18,"Missing game",0)</x:f>
        <x:v>16</x:v>
      </x:c>
      <x:c r="AN2427" t="str">
        <x:f>_xlfn.XLOOKUP($A2427,Games!$A$2:$A$18,Games!$I$2:$I$18,"Missing game",0)</x:f>
        <x:v>NYG</x:v>
      </x:c>
      <x:c r="AO2427" t="n">
        <x:f>_xlfn.XLOOKUP($A2427,Games!$A$2:$A$18,Games!$J$2:$J$18,"Missing game",0)</x:f>
        <x:v>13</x:v>
      </x:c>
      <x:c r="AP2427" t="n">
        <x:f>_xlfn.XLOOKUP($A2427,Games!$A$2:$A$18,Games!$K$2:$K$18,"Missing game",0)</x:f>
        <x:v>-3</x:v>
      </x:c>
      <x:c r="AQ2427" t="n">
        <x:f>_xlfn.XLOOKUP($A2427,Games!$A$2:$A$18,Games!$L$2:$L$18,"Missing game",0)</x:f>
        <x:v>29</x:v>
      </x:c>
      <x:c r="AR2427" t="n">
        <x:f>_xlfn.XLOOKUP($A2427,Games!$A$2:$A$18,Games!$M$2:$M$18,"Missing game",0)</x:f>
        <x:v>0</x:v>
      </x:c>
      <x:c r="AS2427" t="str">
        <x:f>_xlfn.XLOOKUP($A2427,Games!$A$2:$A$18,Games!$N$2:$N$18,"Missing game",0)</x:f>
        <x:v>outdoors</x:v>
      </x:c>
      <x:c r="AT2427" t="str">
        <x:f>_xlfn.XLOOKUP($A2427,Games!$A$2:$A$18,Games!$O$2:$O$18,"Missing game",0)</x:f>
        <x:v>fieldturf</x:v>
      </x:c>
      <x:c r="AU2427" t="n">
        <x:f>_xlfn.XLOOKUP($A2427,Games!$A$2:$A$18,Games!$P$2:$P$18,"Missing game",0)</x:f>
        <x:v>46</x:v>
      </x:c>
      <x:c r="AV2427" t="n">
        <x:f>_xlfn.XLOOKUP($A2427,Games!$A$2:$A$18,Games!$Q$2:$Q$18,"Missing game",0)</x:f>
        <x:v>20</x:v>
      </x:c>
      <x:c r="AW2427" t="str">
        <x:f>_xlfn.XLOOKUP($A2427,Games!$A$2:$A$18,Games!$R$2:$R$18,"Missing game",0)</x:f>
        <x:v>MetLife Stadium</x:v>
      </x:c>
    </x:row>
    <x:row r="2428">
      <x:c r="A2428" t="str">
        <x:v>2025_16_MIN_NYG</x:v>
      </x:c>
      <x:c r="B2428" t="n">
        <x:v>2705</x:v>
      </x:c>
      <x:c r="C2428" t="n">
        <x:v>3</x:v>
      </x:c>
      <x:c r="D2428" t="str">
        <x:v>04:19</x:v>
      </x:c>
      <x:c r="E2428" t="n">
        <x:v>1</x:v>
      </x:c>
      <x:c r="F2428" t="n">
        <x:v>10</x:v>
      </x:c>
      <x:c r="G2428" t="str">
        <x:v>NYG</x:v>
      </x:c>
      <x:c r="H2428" t="str">
        <x:v>MIN</x:v>
      </x:c>
      <x:c r="I2428" t="str">
        <x:v>NYG</x:v>
      </x:c>
      <x:c r="J2428" t="n">
        <x:v>62</x:v>
      </x:c>
      <x:c r="K2428" t="str">
        <x:v>(4:19) (Shotgun) 26-D.Singletary right tackle to NYG 38 for no gain (50-L.Rodriguez; 55-E.Wilson).</x:v>
      </x:c>
      <x:c r="L2428" t="str">
        <x:v>run</x:v>
      </x:c>
      <x:c r="M2428" t="n">
        <x:v>0</x:v>
      </x:c>
      <x:c r="N2428" t="n">
        <x:v>1</x:v>
      </x:c>
      <x:c r="O2428" t="n">
        <x:v>0</x:v>
      </x:c>
      <x:c r="P2428"/>
      <x:c r="Q2428"/>
      <x:c r="R2428"/>
      <x:c r="S2428"/>
      <x:c r="T2428" t="str">
        <x:v>right</x:v>
      </x:c>
      <x:c r="U2428" t="str">
        <x:v>tackle</x:v>
      </x:c>
      <x:c r="V2428" t="n">
        <x:v>0</x:v>
      </x:c>
      <x:c r="W2428" t="n">
        <x:v>0</x:v>
      </x:c>
      <x:c r="X2428" t="n">
        <x:v>0</x:v>
      </x:c>
      <x:c r="Y2428" t="n">
        <x:v>0</x:v>
      </x:c>
      <x:c r="Z2428" t="n">
        <x:v>0</x:v>
      </x:c>
      <x:c r="AA2428" t="n">
        <x:v>0</x:v>
      </x:c>
      <x:c r="AB2428"/>
      <x:c r="AC2428" t="n">
        <x:v>0</x:v>
      </x:c>
      <x:c r="AD2428" t="n">
        <x:v>-0.4937636125832796</x:v>
      </x:c>
      <x:c r="AE2428" t="n">
        <x:v>0</x:v>
      </x:c>
      <x:c r="AF2428" t="n">
        <x:v>-0.022096365690231323</x:v>
      </x:c>
      <x:c r="AG2428" t="n">
        <x:f>_xlfn.XLOOKUP($A2428,Games!$A$2:$A$18,Games!$B$2:$B$18,"Missing game",0)</x:f>
        <x:v>2025</x:v>
      </x:c>
      <x:c r="AH2428" t="str">
        <x:f>_xlfn.XLOOKUP($A2428,Games!$A$2:$A$18,Games!$C$2:$C$18,"Missing game",0)</x:f>
        <x:v>REG</x:v>
      </x:c>
      <x:c r="AI2428" t="n">
        <x:f>_xlfn.XLOOKUP($A2428,Games!$A$2:$A$18,Games!$D$2:$D$18,"Missing game",0)</x:f>
        <x:v>16</x:v>
      </x:c>
      <x:c r="AJ2428" s="1" t="n">
        <x:f>_xlfn.XLOOKUP($A2428,Games!$A$2:$A$18,Games!$E$2:$E$18,"Missing game",0)</x:f>
        <x:v>46012</x:v>
      </x:c>
      <x:c r="AK2428" t="str">
        <x:f>_xlfn.XLOOKUP($A2428,Games!$A$2:$A$18,Games!$F$2:$F$18,"Missing game",0)</x:f>
        <x:v>Sunday</x:v>
      </x:c>
      <x:c r="AL2428" t="str">
        <x:f>_xlfn.XLOOKUP($A2428,Games!$A$2:$A$18,Games!$G$2:$G$18,"Missing game",0)</x:f>
        <x:v>MIN</x:v>
      </x:c>
      <x:c r="AM2428" t="n">
        <x:f>_xlfn.XLOOKUP($A2428,Games!$A$2:$A$18,Games!$H$2:$H$18,"Missing game",0)</x:f>
        <x:v>16</x:v>
      </x:c>
      <x:c r="AN2428" t="str">
        <x:f>_xlfn.XLOOKUP($A2428,Games!$A$2:$A$18,Games!$I$2:$I$18,"Missing game",0)</x:f>
        <x:v>NYG</x:v>
      </x:c>
      <x:c r="AO2428" t="n">
        <x:f>_xlfn.XLOOKUP($A2428,Games!$A$2:$A$18,Games!$J$2:$J$18,"Missing game",0)</x:f>
        <x:v>13</x:v>
      </x:c>
      <x:c r="AP2428" t="n">
        <x:f>_xlfn.XLOOKUP($A2428,Games!$A$2:$A$18,Games!$K$2:$K$18,"Missing game",0)</x:f>
        <x:v>-3</x:v>
      </x:c>
      <x:c r="AQ2428" t="n">
        <x:f>_xlfn.XLOOKUP($A2428,Games!$A$2:$A$18,Games!$L$2:$L$18,"Missing game",0)</x:f>
        <x:v>29</x:v>
      </x:c>
      <x:c r="AR2428" t="n">
        <x:f>_xlfn.XLOOKUP($A2428,Games!$A$2:$A$18,Games!$M$2:$M$18,"Missing game",0)</x:f>
        <x:v>0</x:v>
      </x:c>
      <x:c r="AS2428" t="str">
        <x:f>_xlfn.XLOOKUP($A2428,Games!$A$2:$A$18,Games!$N$2:$N$18,"Missing game",0)</x:f>
        <x:v>outdoors</x:v>
      </x:c>
      <x:c r="AT2428" t="str">
        <x:f>_xlfn.XLOOKUP($A2428,Games!$A$2:$A$18,Games!$O$2:$O$18,"Missing game",0)</x:f>
        <x:v>fieldturf</x:v>
      </x:c>
      <x:c r="AU2428" t="n">
        <x:f>_xlfn.XLOOKUP($A2428,Games!$A$2:$A$18,Games!$P$2:$P$18,"Missing game",0)</x:f>
        <x:v>46</x:v>
      </x:c>
      <x:c r="AV2428" t="n">
        <x:f>_xlfn.XLOOKUP($A2428,Games!$A$2:$A$18,Games!$Q$2:$Q$18,"Missing game",0)</x:f>
        <x:v>20</x:v>
      </x:c>
      <x:c r="AW2428" t="str">
        <x:f>_xlfn.XLOOKUP($A2428,Games!$A$2:$A$18,Games!$R$2:$R$18,"Missing game",0)</x:f>
        <x:v>MetLife Stadium</x:v>
      </x:c>
    </x:row>
    <x:row r="2429">
      <x:c r="A2429" t="str">
        <x:v>2025_16_MIN_NYG</x:v>
      </x:c>
      <x:c r="B2429" t="n">
        <x:v>2727</x:v>
      </x:c>
      <x:c r="C2429" t="n">
        <x:v>3</x:v>
      </x:c>
      <x:c r="D2429" t="str">
        <x:v>03:41</x:v>
      </x:c>
      <x:c r="E2429" t="n">
        <x:v>2</x:v>
      </x:c>
      <x:c r="F2429" t="n">
        <x:v>10</x:v>
      </x:c>
      <x:c r="G2429" t="str">
        <x:v>NYG</x:v>
      </x:c>
      <x:c r="H2429" t="str">
        <x:v>MIN</x:v>
      </x:c>
      <x:c r="I2429" t="str">
        <x:v>NYG</x:v>
      </x:c>
      <x:c r="J2429" t="n">
        <x:v>62</x:v>
      </x:c>
      <x:c r="K2429" t="str">
        <x:v>(3:41) (Shotgun) 6-J.Dart pass short left to 26-D.Singletary to NYG 37 for -1 yards (2-I.Rodgers, 51-B.Cashman).</x:v>
      </x:c>
      <x:c r="L2429" t="str">
        <x:v>pass</x:v>
      </x:c>
      <x:c r="M2429" t="n">
        <x:v>-1</x:v>
      </x:c>
      <x:c r="N2429" t="n">
        <x:v>1</x:v>
      </x:c>
      <x:c r="O2429" t="n">
        <x:v>0</x:v>
      </x:c>
      <x:c r="P2429" t="str">
        <x:v>short</x:v>
      </x:c>
      <x:c r="Q2429" t="str">
        <x:v>left</x:v>
      </x:c>
      <x:c r="R2429" t="n">
        <x:v>-5</x:v>
      </x:c>
      <x:c r="S2429" t="n">
        <x:v>4</x:v>
      </x:c>
      <x:c r="T2429"/>
      <x:c r="U2429"/>
      <x:c r="V2429" t="n">
        <x:v>1</x:v>
      </x:c>
      <x:c r="W2429" t="n">
        <x:v>0</x:v>
      </x:c>
      <x:c r="X2429" t="n">
        <x:v>0</x:v>
      </x:c>
      <x:c r="Y2429" t="n">
        <x:v>0</x:v>
      </x:c>
      <x:c r="Z2429" t="n">
        <x:v>0</x:v>
      </x:c>
      <x:c r="AA2429" t="n">
        <x:v>0</x:v>
      </x:c>
      <x:c r="AB2429"/>
      <x:c r="AC2429" t="n">
        <x:v>0</x:v>
      </x:c>
      <x:c r="AD2429" t="n">
        <x:v>-1.1494089143816382</x:v>
      </x:c>
      <x:c r="AE2429" t="n">
        <x:v>0</x:v>
      </x:c>
      <x:c r="AF2429" t="n">
        <x:v>-0.058107197284698486</x:v>
      </x:c>
      <x:c r="AG2429" t="n">
        <x:f>_xlfn.XLOOKUP($A2429,Games!$A$2:$A$18,Games!$B$2:$B$18,"Missing game",0)</x:f>
        <x:v>2025</x:v>
      </x:c>
      <x:c r="AH2429" t="str">
        <x:f>_xlfn.XLOOKUP($A2429,Games!$A$2:$A$18,Games!$C$2:$C$18,"Missing game",0)</x:f>
        <x:v>REG</x:v>
      </x:c>
      <x:c r="AI2429" t="n">
        <x:f>_xlfn.XLOOKUP($A2429,Games!$A$2:$A$18,Games!$D$2:$D$18,"Missing game",0)</x:f>
        <x:v>16</x:v>
      </x:c>
      <x:c r="AJ2429" s="1" t="n">
        <x:f>_xlfn.XLOOKUP($A2429,Games!$A$2:$A$18,Games!$E$2:$E$18,"Missing game",0)</x:f>
        <x:v>46012</x:v>
      </x:c>
      <x:c r="AK2429" t="str">
        <x:f>_xlfn.XLOOKUP($A2429,Games!$A$2:$A$18,Games!$F$2:$F$18,"Missing game",0)</x:f>
        <x:v>Sunday</x:v>
      </x:c>
      <x:c r="AL2429" t="str">
        <x:f>_xlfn.XLOOKUP($A2429,Games!$A$2:$A$18,Games!$G$2:$G$18,"Missing game",0)</x:f>
        <x:v>MIN</x:v>
      </x:c>
      <x:c r="AM2429" t="n">
        <x:f>_xlfn.XLOOKUP($A2429,Games!$A$2:$A$18,Games!$H$2:$H$18,"Missing game",0)</x:f>
        <x:v>16</x:v>
      </x:c>
      <x:c r="AN2429" t="str">
        <x:f>_xlfn.XLOOKUP($A2429,Games!$A$2:$A$18,Games!$I$2:$I$18,"Missing game",0)</x:f>
        <x:v>NYG</x:v>
      </x:c>
      <x:c r="AO2429" t="n">
        <x:f>_xlfn.XLOOKUP($A2429,Games!$A$2:$A$18,Games!$J$2:$J$18,"Missing game",0)</x:f>
        <x:v>13</x:v>
      </x:c>
      <x:c r="AP2429" t="n">
        <x:f>_xlfn.XLOOKUP($A2429,Games!$A$2:$A$18,Games!$K$2:$K$18,"Missing game",0)</x:f>
        <x:v>-3</x:v>
      </x:c>
      <x:c r="AQ2429" t="n">
        <x:f>_xlfn.XLOOKUP($A2429,Games!$A$2:$A$18,Games!$L$2:$L$18,"Missing game",0)</x:f>
        <x:v>29</x:v>
      </x:c>
      <x:c r="AR2429" t="n">
        <x:f>_xlfn.XLOOKUP($A2429,Games!$A$2:$A$18,Games!$M$2:$M$18,"Missing game",0)</x:f>
        <x:v>0</x:v>
      </x:c>
      <x:c r="AS2429" t="str">
        <x:f>_xlfn.XLOOKUP($A2429,Games!$A$2:$A$18,Games!$N$2:$N$18,"Missing game",0)</x:f>
        <x:v>outdoors</x:v>
      </x:c>
      <x:c r="AT2429" t="str">
        <x:f>_xlfn.XLOOKUP($A2429,Games!$A$2:$A$18,Games!$O$2:$O$18,"Missing game",0)</x:f>
        <x:v>fieldturf</x:v>
      </x:c>
      <x:c r="AU2429" t="n">
        <x:f>_xlfn.XLOOKUP($A2429,Games!$A$2:$A$18,Games!$P$2:$P$18,"Missing game",0)</x:f>
        <x:v>46</x:v>
      </x:c>
      <x:c r="AV2429" t="n">
        <x:f>_xlfn.XLOOKUP($A2429,Games!$A$2:$A$18,Games!$Q$2:$Q$18,"Missing game",0)</x:f>
        <x:v>20</x:v>
      </x:c>
      <x:c r="AW2429" t="str">
        <x:f>_xlfn.XLOOKUP($A2429,Games!$A$2:$A$18,Games!$R$2:$R$18,"Missing game",0)</x:f>
        <x:v>MetLife Stadium</x:v>
      </x:c>
    </x:row>
    <x:row r="2430">
      <x:c r="A2430" t="str">
        <x:v>2025_16_MIN_NYG</x:v>
      </x:c>
      <x:c r="B2430" t="n">
        <x:v>2752</x:v>
      </x:c>
      <x:c r="C2430" t="n">
        <x:v>3</x:v>
      </x:c>
      <x:c r="D2430" t="str">
        <x:v>02:53</x:v>
      </x:c>
      <x:c r="E2430" t="n">
        <x:v>3</x:v>
      </x:c>
      <x:c r="F2430" t="n">
        <x:v>11</x:v>
      </x:c>
      <x:c r="G2430" t="str">
        <x:v>NYG</x:v>
      </x:c>
      <x:c r="H2430" t="str">
        <x:v>MIN</x:v>
      </x:c>
      <x:c r="I2430" t="str">
        <x:v>NYG</x:v>
      </x:c>
      <x:c r="J2430" t="n">
        <x:v>63</x:v>
      </x:c>
      <x:c r="K2430" t="str">
        <x:v>(2:53) (Shotgun) PENALTY on NYG-72-J.Eluemunor, False Start, 5 yards, enforced at NYG 37 - No Play.</x:v>
      </x:c>
      <x:c r="L2430" t="str">
        <x:v>no_play</x:v>
      </x:c>
      <x:c r="M2430" t="n">
        <x:v>0</x:v>
      </x:c>
      <x:c r="N2430" t="n">
        <x:v>1</x:v>
      </x:c>
      <x:c r="O2430" t="n">
        <x:v>0</x:v>
      </x:c>
      <x:c r="P2430"/>
      <x:c r="Q2430"/>
      <x:c r="R2430"/>
      <x:c r="S2430"/>
      <x:c r="T2430"/>
      <x:c r="U2430"/>
      <x:c r="V2430" t="n">
        <x:v>0</x:v>
      </x:c>
      <x:c r="W2430" t="n">
        <x:v>0</x:v>
      </x:c>
      <x:c r="X2430" t="n">
        <x:v>0</x:v>
      </x:c>
      <x:c r="Y2430" t="n">
        <x:v>0</x:v>
      </x:c>
      <x:c r="Z2430" t="n">
        <x:v>0</x:v>
      </x:c>
      <x:c r="AA2430" t="n">
        <x:v>1</x:v>
      </x:c>
      <x:c r="AB2430" t="n">
        <x:v>5</x:v>
      </x:c>
      <x:c r="AC2430" t="n">
        <x:v>0</x:v>
      </x:c>
      <x:c r="AD2430" t="n">
        <x:v>-0.42225362127646804</x:v>
      </x:c>
      <x:c r="AE2430" t="n">
        <x:v>0</x:v>
      </x:c>
      <x:c r="AF2430" t="n">
        <x:v>-0.02892252802848816</x:v>
      </x:c>
      <x:c r="AG2430" t="n">
        <x:f>_xlfn.XLOOKUP($A2430,Games!$A$2:$A$18,Games!$B$2:$B$18,"Missing game",0)</x:f>
        <x:v>2025</x:v>
      </x:c>
      <x:c r="AH2430" t="str">
        <x:f>_xlfn.XLOOKUP($A2430,Games!$A$2:$A$18,Games!$C$2:$C$18,"Missing game",0)</x:f>
        <x:v>REG</x:v>
      </x:c>
      <x:c r="AI2430" t="n">
        <x:f>_xlfn.XLOOKUP($A2430,Games!$A$2:$A$18,Games!$D$2:$D$18,"Missing game",0)</x:f>
        <x:v>16</x:v>
      </x:c>
      <x:c r="AJ2430" s="1" t="n">
        <x:f>_xlfn.XLOOKUP($A2430,Games!$A$2:$A$18,Games!$E$2:$E$18,"Missing game",0)</x:f>
        <x:v>46012</x:v>
      </x:c>
      <x:c r="AK2430" t="str">
        <x:f>_xlfn.XLOOKUP($A2430,Games!$A$2:$A$18,Games!$F$2:$F$18,"Missing game",0)</x:f>
        <x:v>Sunday</x:v>
      </x:c>
      <x:c r="AL2430" t="str">
        <x:f>_xlfn.XLOOKUP($A2430,Games!$A$2:$A$18,Games!$G$2:$G$18,"Missing game",0)</x:f>
        <x:v>MIN</x:v>
      </x:c>
      <x:c r="AM2430" t="n">
        <x:f>_xlfn.XLOOKUP($A2430,Games!$A$2:$A$18,Games!$H$2:$H$18,"Missing game",0)</x:f>
        <x:v>16</x:v>
      </x:c>
      <x:c r="AN2430" t="str">
        <x:f>_xlfn.XLOOKUP($A2430,Games!$A$2:$A$18,Games!$I$2:$I$18,"Missing game",0)</x:f>
        <x:v>NYG</x:v>
      </x:c>
      <x:c r="AO2430" t="n">
        <x:f>_xlfn.XLOOKUP($A2430,Games!$A$2:$A$18,Games!$J$2:$J$18,"Missing game",0)</x:f>
        <x:v>13</x:v>
      </x:c>
      <x:c r="AP2430" t="n">
        <x:f>_xlfn.XLOOKUP($A2430,Games!$A$2:$A$18,Games!$K$2:$K$18,"Missing game",0)</x:f>
        <x:v>-3</x:v>
      </x:c>
      <x:c r="AQ2430" t="n">
        <x:f>_xlfn.XLOOKUP($A2430,Games!$A$2:$A$18,Games!$L$2:$L$18,"Missing game",0)</x:f>
        <x:v>29</x:v>
      </x:c>
      <x:c r="AR2430" t="n">
        <x:f>_xlfn.XLOOKUP($A2430,Games!$A$2:$A$18,Games!$M$2:$M$18,"Missing game",0)</x:f>
        <x:v>0</x:v>
      </x:c>
      <x:c r="AS2430" t="str">
        <x:f>_xlfn.XLOOKUP($A2430,Games!$A$2:$A$18,Games!$N$2:$N$18,"Missing game",0)</x:f>
        <x:v>outdoors</x:v>
      </x:c>
      <x:c r="AT2430" t="str">
        <x:f>_xlfn.XLOOKUP($A2430,Games!$A$2:$A$18,Games!$O$2:$O$18,"Missing game",0)</x:f>
        <x:v>fieldturf</x:v>
      </x:c>
      <x:c r="AU2430" t="n">
        <x:f>_xlfn.XLOOKUP($A2430,Games!$A$2:$A$18,Games!$P$2:$P$18,"Missing game",0)</x:f>
        <x:v>46</x:v>
      </x:c>
      <x:c r="AV2430" t="n">
        <x:f>_xlfn.XLOOKUP($A2430,Games!$A$2:$A$18,Games!$Q$2:$Q$18,"Missing game",0)</x:f>
        <x:v>20</x:v>
      </x:c>
      <x:c r="AW2430" t="str">
        <x:f>_xlfn.XLOOKUP($A2430,Games!$A$2:$A$18,Games!$R$2:$R$18,"Missing game",0)</x:f>
        <x:v>MetLife Stadium</x:v>
      </x:c>
    </x:row>
    <x:row r="2431">
      <x:c r="A2431" t="str">
        <x:v>2025_16_MIN_NYG</x:v>
      </x:c>
      <x:c r="B2431" t="n">
        <x:v>2776</x:v>
      </x:c>
      <x:c r="C2431" t="n">
        <x:v>3</x:v>
      </x:c>
      <x:c r="D2431" t="str">
        <x:v>02:33</x:v>
      </x:c>
      <x:c r="E2431" t="n">
        <x:v>3</x:v>
      </x:c>
      <x:c r="F2431" t="n">
        <x:v>16</x:v>
      </x:c>
      <x:c r="G2431" t="str">
        <x:v>NYG</x:v>
      </x:c>
      <x:c r="H2431" t="str">
        <x:v>MIN</x:v>
      </x:c>
      <x:c r="I2431" t="str">
        <x:v>NYG</x:v>
      </x:c>
      <x:c r="J2431" t="n">
        <x:v>68</x:v>
      </x:c>
      <x:c r="K2431" t="str">
        <x:v>(2:33) (Shotgun) 6-J.Dart pass short middle to 17-W.Robinson to NYG 46 for 14 yards (22-H.Smith).</x:v>
      </x:c>
      <x:c r="L2431" t="str">
        <x:v>pass</x:v>
      </x:c>
      <x:c r="M2431" t="n">
        <x:v>14</x:v>
      </x:c>
      <x:c r="N2431" t="n">
        <x:v>1</x:v>
      </x:c>
      <x:c r="O2431" t="n">
        <x:v>0</x:v>
      </x:c>
      <x:c r="P2431" t="str">
        <x:v>short</x:v>
      </x:c>
      <x:c r="Q2431" t="str">
        <x:v>middle</x:v>
      </x:c>
      <x:c r="R2431" t="n">
        <x:v>14</x:v>
      </x:c>
      <x:c r="S2431" t="n">
        <x:v>0</x:v>
      </x:c>
      <x:c r="T2431"/>
      <x:c r="U2431"/>
      <x:c r="V2431" t="n">
        <x:v>1</x:v>
      </x:c>
      <x:c r="W2431" t="n">
        <x:v>0</x:v>
      </x:c>
      <x:c r="X2431" t="n">
        <x:v>0</x:v>
      </x:c>
      <x:c r="Y2431" t="n">
        <x:v>0</x:v>
      </x:c>
      <x:c r="Z2431" t="n">
        <x:v>0</x:v>
      </x:c>
      <x:c r="AA2431" t="n">
        <x:v>0</x:v>
      </x:c>
      <x:c r="AB2431"/>
      <x:c r="AC2431" t="n">
        <x:v>0</x:v>
      </x:c>
      <x:c r="AD2431" t="n">
        <x:v>0.04282127786427736</x:v>
      </x:c>
      <x:c r="AE2431" t="n">
        <x:v>1</x:v>
      </x:c>
      <x:c r="AF2431" t="n">
        <x:v>0.02556893229484558</x:v>
      </x:c>
      <x:c r="AG2431" t="n">
        <x:f>_xlfn.XLOOKUP($A2431,Games!$A$2:$A$18,Games!$B$2:$B$18,"Missing game",0)</x:f>
        <x:v>2025</x:v>
      </x:c>
      <x:c r="AH2431" t="str">
        <x:f>_xlfn.XLOOKUP($A2431,Games!$A$2:$A$18,Games!$C$2:$C$18,"Missing game",0)</x:f>
        <x:v>REG</x:v>
      </x:c>
      <x:c r="AI2431" t="n">
        <x:f>_xlfn.XLOOKUP($A2431,Games!$A$2:$A$18,Games!$D$2:$D$18,"Missing game",0)</x:f>
        <x:v>16</x:v>
      </x:c>
      <x:c r="AJ2431" s="1" t="n">
        <x:f>_xlfn.XLOOKUP($A2431,Games!$A$2:$A$18,Games!$E$2:$E$18,"Missing game",0)</x:f>
        <x:v>46012</x:v>
      </x:c>
      <x:c r="AK2431" t="str">
        <x:f>_xlfn.XLOOKUP($A2431,Games!$A$2:$A$18,Games!$F$2:$F$18,"Missing game",0)</x:f>
        <x:v>Sunday</x:v>
      </x:c>
      <x:c r="AL2431" t="str">
        <x:f>_xlfn.XLOOKUP($A2431,Games!$A$2:$A$18,Games!$G$2:$G$18,"Missing game",0)</x:f>
        <x:v>MIN</x:v>
      </x:c>
      <x:c r="AM2431" t="n">
        <x:f>_xlfn.XLOOKUP($A2431,Games!$A$2:$A$18,Games!$H$2:$H$18,"Missing game",0)</x:f>
        <x:v>16</x:v>
      </x:c>
      <x:c r="AN2431" t="str">
        <x:f>_xlfn.XLOOKUP($A2431,Games!$A$2:$A$18,Games!$I$2:$I$18,"Missing game",0)</x:f>
        <x:v>NYG</x:v>
      </x:c>
      <x:c r="AO2431" t="n">
        <x:f>_xlfn.XLOOKUP($A2431,Games!$A$2:$A$18,Games!$J$2:$J$18,"Missing game",0)</x:f>
        <x:v>13</x:v>
      </x:c>
      <x:c r="AP2431" t="n">
        <x:f>_xlfn.XLOOKUP($A2431,Games!$A$2:$A$18,Games!$K$2:$K$18,"Missing game",0)</x:f>
        <x:v>-3</x:v>
      </x:c>
      <x:c r="AQ2431" t="n">
        <x:f>_xlfn.XLOOKUP($A2431,Games!$A$2:$A$18,Games!$L$2:$L$18,"Missing game",0)</x:f>
        <x:v>29</x:v>
      </x:c>
      <x:c r="AR2431" t="n">
        <x:f>_xlfn.XLOOKUP($A2431,Games!$A$2:$A$18,Games!$M$2:$M$18,"Missing game",0)</x:f>
        <x:v>0</x:v>
      </x:c>
      <x:c r="AS2431" t="str">
        <x:f>_xlfn.XLOOKUP($A2431,Games!$A$2:$A$18,Games!$N$2:$N$18,"Missing game",0)</x:f>
        <x:v>outdoors</x:v>
      </x:c>
      <x:c r="AT2431" t="str">
        <x:f>_xlfn.XLOOKUP($A2431,Games!$A$2:$A$18,Games!$O$2:$O$18,"Missing game",0)</x:f>
        <x:v>fieldturf</x:v>
      </x:c>
      <x:c r="AU2431" t="n">
        <x:f>_xlfn.XLOOKUP($A2431,Games!$A$2:$A$18,Games!$P$2:$P$18,"Missing game",0)</x:f>
        <x:v>46</x:v>
      </x:c>
      <x:c r="AV2431" t="n">
        <x:f>_xlfn.XLOOKUP($A2431,Games!$A$2:$A$18,Games!$Q$2:$Q$18,"Missing game",0)</x:f>
        <x:v>20</x:v>
      </x:c>
      <x:c r="AW2431" t="str">
        <x:f>_xlfn.XLOOKUP($A2431,Games!$A$2:$A$18,Games!$R$2:$R$18,"Missing game",0)</x:f>
        <x:v>MetLife Stadium</x:v>
      </x:c>
    </x:row>
    <x:row r="2432">
      <x:c r="A2432" t="str">
        <x:v>2025_16_MIN_NYG</x:v>
      </x:c>
      <x:c r="B2432" t="n">
        <x:v>2801</x:v>
      </x:c>
      <x:c r="C2432" t="n">
        <x:v>3</x:v>
      </x:c>
      <x:c r="D2432" t="str">
        <x:v>01:59</x:v>
      </x:c>
      <x:c r="E2432" t="n">
        <x:v>4</x:v>
      </x:c>
      <x:c r="F2432" t="n">
        <x:v>2</x:v>
      </x:c>
      <x:c r="G2432" t="str">
        <x:v>NYG</x:v>
      </x:c>
      <x:c r="H2432" t="str">
        <x:v>MIN</x:v>
      </x:c>
      <x:c r="I2432" t="str">
        <x:v>NYG</x:v>
      </x:c>
      <x:c r="J2432" t="n">
        <x:v>54</x:v>
      </x:c>
      <x:c r="K2432" t="str">
        <x:v>(1:59) (Shotgun) 6-J.Dart pass short middle to 18-D.Slayton to MIN 46 for 8 yards (51-B.Cashman).</x:v>
      </x:c>
      <x:c r="L2432" t="str">
        <x:v>pass</x:v>
      </x:c>
      <x:c r="M2432" t="n">
        <x:v>8</x:v>
      </x:c>
      <x:c r="N2432" t="n">
        <x:v>1</x:v>
      </x:c>
      <x:c r="O2432" t="n">
        <x:v>0</x:v>
      </x:c>
      <x:c r="P2432" t="str">
        <x:v>short</x:v>
      </x:c>
      <x:c r="Q2432" t="str">
        <x:v>middle</x:v>
      </x:c>
      <x:c r="R2432" t="n">
        <x:v>4</x:v>
      </x:c>
      <x:c r="S2432" t="n">
        <x:v>4</x:v>
      </x:c>
      <x:c r="T2432"/>
      <x:c r="U2432"/>
      <x:c r="V2432" t="n">
        <x:v>1</x:v>
      </x:c>
      <x:c r="W2432" t="n">
        <x:v>1</x:v>
      </x:c>
      <x:c r="X2432" t="n">
        <x:v>0</x:v>
      </x:c>
      <x:c r="Y2432" t="n">
        <x:v>0</x:v>
      </x:c>
      <x:c r="Z2432" t="n">
        <x:v>0</x:v>
      </x:c>
      <x:c r="AA2432" t="n">
        <x:v>0</x:v>
      </x:c>
      <x:c r="AB2432"/>
      <x:c r="AC2432" t="n">
        <x:v>0</x:v>
      </x:c>
      <x:c r="AD2432" t="n">
        <x:v>2.9567328351549804</x:v>
      </x:c>
      <x:c r="AE2432" t="n">
        <x:v>1</x:v>
      </x:c>
      <x:c r="AF2432" t="n">
        <x:v>0.1107465922832489</x:v>
      </x:c>
      <x:c r="AG2432" t="n">
        <x:f>_xlfn.XLOOKUP($A2432,Games!$A$2:$A$18,Games!$B$2:$B$18,"Missing game",0)</x:f>
        <x:v>2025</x:v>
      </x:c>
      <x:c r="AH2432" t="str">
        <x:f>_xlfn.XLOOKUP($A2432,Games!$A$2:$A$18,Games!$C$2:$C$18,"Missing game",0)</x:f>
        <x:v>REG</x:v>
      </x:c>
      <x:c r="AI2432" t="n">
        <x:f>_xlfn.XLOOKUP($A2432,Games!$A$2:$A$18,Games!$D$2:$D$18,"Missing game",0)</x:f>
        <x:v>16</x:v>
      </x:c>
      <x:c r="AJ2432" s="1" t="n">
        <x:f>_xlfn.XLOOKUP($A2432,Games!$A$2:$A$18,Games!$E$2:$E$18,"Missing game",0)</x:f>
        <x:v>46012</x:v>
      </x:c>
      <x:c r="AK2432" t="str">
        <x:f>_xlfn.XLOOKUP($A2432,Games!$A$2:$A$18,Games!$F$2:$F$18,"Missing game",0)</x:f>
        <x:v>Sunday</x:v>
      </x:c>
      <x:c r="AL2432" t="str">
        <x:f>_xlfn.XLOOKUP($A2432,Games!$A$2:$A$18,Games!$G$2:$G$18,"Missing game",0)</x:f>
        <x:v>MIN</x:v>
      </x:c>
      <x:c r="AM2432" t="n">
        <x:f>_xlfn.XLOOKUP($A2432,Games!$A$2:$A$18,Games!$H$2:$H$18,"Missing game",0)</x:f>
        <x:v>16</x:v>
      </x:c>
      <x:c r="AN2432" t="str">
        <x:f>_xlfn.XLOOKUP($A2432,Games!$A$2:$A$18,Games!$I$2:$I$18,"Missing game",0)</x:f>
        <x:v>NYG</x:v>
      </x:c>
      <x:c r="AO2432" t="n">
        <x:f>_xlfn.XLOOKUP($A2432,Games!$A$2:$A$18,Games!$J$2:$J$18,"Missing game",0)</x:f>
        <x:v>13</x:v>
      </x:c>
      <x:c r="AP2432" t="n">
        <x:f>_xlfn.XLOOKUP($A2432,Games!$A$2:$A$18,Games!$K$2:$K$18,"Missing game",0)</x:f>
        <x:v>-3</x:v>
      </x:c>
      <x:c r="AQ2432" t="n">
        <x:f>_xlfn.XLOOKUP($A2432,Games!$A$2:$A$18,Games!$L$2:$L$18,"Missing game",0)</x:f>
        <x:v>29</x:v>
      </x:c>
      <x:c r="AR2432" t="n">
        <x:f>_xlfn.XLOOKUP($A2432,Games!$A$2:$A$18,Games!$M$2:$M$18,"Missing game",0)</x:f>
        <x:v>0</x:v>
      </x:c>
      <x:c r="AS2432" t="str">
        <x:f>_xlfn.XLOOKUP($A2432,Games!$A$2:$A$18,Games!$N$2:$N$18,"Missing game",0)</x:f>
        <x:v>outdoors</x:v>
      </x:c>
      <x:c r="AT2432" t="str">
        <x:f>_xlfn.XLOOKUP($A2432,Games!$A$2:$A$18,Games!$O$2:$O$18,"Missing game",0)</x:f>
        <x:v>fieldturf</x:v>
      </x:c>
      <x:c r="AU2432" t="n">
        <x:f>_xlfn.XLOOKUP($A2432,Games!$A$2:$A$18,Games!$P$2:$P$18,"Missing game",0)</x:f>
        <x:v>46</x:v>
      </x:c>
      <x:c r="AV2432" t="n">
        <x:f>_xlfn.XLOOKUP($A2432,Games!$A$2:$A$18,Games!$Q$2:$Q$18,"Missing game",0)</x:f>
        <x:v>20</x:v>
      </x:c>
      <x:c r="AW2432" t="str">
        <x:f>_xlfn.XLOOKUP($A2432,Games!$A$2:$A$18,Games!$R$2:$R$18,"Missing game",0)</x:f>
        <x:v>MetLife Stadium</x:v>
      </x:c>
    </x:row>
    <x:row r="2433">
      <x:c r="A2433" t="str">
        <x:v>2025_16_MIN_NYG</x:v>
      </x:c>
      <x:c r="B2433" t="n">
        <x:v>2826</x:v>
      </x:c>
      <x:c r="C2433" t="n">
        <x:v>3</x:v>
      </x:c>
      <x:c r="D2433" t="str">
        <x:v>01:20</x:v>
      </x:c>
      <x:c r="E2433" t="n">
        <x:v>1</x:v>
      </x:c>
      <x:c r="F2433" t="n">
        <x:v>10</x:v>
      </x:c>
      <x:c r="G2433" t="str">
        <x:v>NYG</x:v>
      </x:c>
      <x:c r="H2433" t="str">
        <x:v>MIN</x:v>
      </x:c>
      <x:c r="I2433" t="str">
        <x:v>MIN</x:v>
      </x:c>
      <x:c r="J2433" t="n">
        <x:v>46</x:v>
      </x:c>
      <x:c r="K2433" t="str">
        <x:v>(1:20) 26-D.Singletary right tackle to MIN 42 for 4 yards (93-J.Allen).</x:v>
      </x:c>
      <x:c r="L2433" t="str">
        <x:v>run</x:v>
      </x:c>
      <x:c r="M2433" t="n">
        <x:v>4</x:v>
      </x:c>
      <x:c r="N2433" t="n">
        <x:v>0</x:v>
      </x:c>
      <x:c r="O2433" t="n">
        <x:v>0</x:v>
      </x:c>
      <x:c r="P2433"/>
      <x:c r="Q2433"/>
      <x:c r="R2433"/>
      <x:c r="S2433"/>
      <x:c r="T2433" t="str">
        <x:v>right</x:v>
      </x:c>
      <x:c r="U2433" t="str">
        <x:v>tackle</x:v>
      </x:c>
      <x:c r="V2433" t="n">
        <x:v>0</x:v>
      </x:c>
      <x:c r="W2433" t="n">
        <x:v>0</x:v>
      </x:c>
      <x:c r="X2433" t="n">
        <x:v>0</x:v>
      </x:c>
      <x:c r="Y2433" t="n">
        <x:v>0</x:v>
      </x:c>
      <x:c r="Z2433" t="n">
        <x:v>0</x:v>
      </x:c>
      <x:c r="AA2433" t="n">
        <x:v>0</x:v>
      </x:c>
      <x:c r="AB2433"/>
      <x:c r="AC2433" t="n">
        <x:v>0</x:v>
      </x:c>
      <x:c r="AD2433" t="n">
        <x:v>-0.2971869274042547</x:v>
      </x:c>
      <x:c r="AE2433" t="n">
        <x:v>0</x:v>
      </x:c>
      <x:c r="AF2433" t="n">
        <x:v>0.009006917476654053</x:v>
      </x:c>
      <x:c r="AG2433" t="n">
        <x:f>_xlfn.XLOOKUP($A2433,Games!$A$2:$A$18,Games!$B$2:$B$18,"Missing game",0)</x:f>
        <x:v>2025</x:v>
      </x:c>
      <x:c r="AH2433" t="str">
        <x:f>_xlfn.XLOOKUP($A2433,Games!$A$2:$A$18,Games!$C$2:$C$18,"Missing game",0)</x:f>
        <x:v>REG</x:v>
      </x:c>
      <x:c r="AI2433" t="n">
        <x:f>_xlfn.XLOOKUP($A2433,Games!$A$2:$A$18,Games!$D$2:$D$18,"Missing game",0)</x:f>
        <x:v>16</x:v>
      </x:c>
      <x:c r="AJ2433" s="1" t="n">
        <x:f>_xlfn.XLOOKUP($A2433,Games!$A$2:$A$18,Games!$E$2:$E$18,"Missing game",0)</x:f>
        <x:v>46012</x:v>
      </x:c>
      <x:c r="AK2433" t="str">
        <x:f>_xlfn.XLOOKUP($A2433,Games!$A$2:$A$18,Games!$F$2:$F$18,"Missing game",0)</x:f>
        <x:v>Sunday</x:v>
      </x:c>
      <x:c r="AL2433" t="str">
        <x:f>_xlfn.XLOOKUP($A2433,Games!$A$2:$A$18,Games!$G$2:$G$18,"Missing game",0)</x:f>
        <x:v>MIN</x:v>
      </x:c>
      <x:c r="AM2433" t="n">
        <x:f>_xlfn.XLOOKUP($A2433,Games!$A$2:$A$18,Games!$H$2:$H$18,"Missing game",0)</x:f>
        <x:v>16</x:v>
      </x:c>
      <x:c r="AN2433" t="str">
        <x:f>_xlfn.XLOOKUP($A2433,Games!$A$2:$A$18,Games!$I$2:$I$18,"Missing game",0)</x:f>
        <x:v>NYG</x:v>
      </x:c>
      <x:c r="AO2433" t="n">
        <x:f>_xlfn.XLOOKUP($A2433,Games!$A$2:$A$18,Games!$J$2:$J$18,"Missing game",0)</x:f>
        <x:v>13</x:v>
      </x:c>
      <x:c r="AP2433" t="n">
        <x:f>_xlfn.XLOOKUP($A2433,Games!$A$2:$A$18,Games!$K$2:$K$18,"Missing game",0)</x:f>
        <x:v>-3</x:v>
      </x:c>
      <x:c r="AQ2433" t="n">
        <x:f>_xlfn.XLOOKUP($A2433,Games!$A$2:$A$18,Games!$L$2:$L$18,"Missing game",0)</x:f>
        <x:v>29</x:v>
      </x:c>
      <x:c r="AR2433" t="n">
        <x:f>_xlfn.XLOOKUP($A2433,Games!$A$2:$A$18,Games!$M$2:$M$18,"Missing game",0)</x:f>
        <x:v>0</x:v>
      </x:c>
      <x:c r="AS2433" t="str">
        <x:f>_xlfn.XLOOKUP($A2433,Games!$A$2:$A$18,Games!$N$2:$N$18,"Missing game",0)</x:f>
        <x:v>outdoors</x:v>
      </x:c>
      <x:c r="AT2433" t="str">
        <x:f>_xlfn.XLOOKUP($A2433,Games!$A$2:$A$18,Games!$O$2:$O$18,"Missing game",0)</x:f>
        <x:v>fieldturf</x:v>
      </x:c>
      <x:c r="AU2433" t="n">
        <x:f>_xlfn.XLOOKUP($A2433,Games!$A$2:$A$18,Games!$P$2:$P$18,"Missing game",0)</x:f>
        <x:v>46</x:v>
      </x:c>
      <x:c r="AV2433" t="n">
        <x:f>_xlfn.XLOOKUP($A2433,Games!$A$2:$A$18,Games!$Q$2:$Q$18,"Missing game",0)</x:f>
        <x:v>20</x:v>
      </x:c>
      <x:c r="AW2433" t="str">
        <x:f>_xlfn.XLOOKUP($A2433,Games!$A$2:$A$18,Games!$R$2:$R$18,"Missing game",0)</x:f>
        <x:v>MetLife Stadium</x:v>
      </x:c>
    </x:row>
    <x:row r="2434">
      <x:c r="A2434" t="str">
        <x:v>2025_16_MIN_NYG</x:v>
      </x:c>
      <x:c r="B2434" t="n">
        <x:v>2848</x:v>
      </x:c>
      <x:c r="C2434" t="n">
        <x:v>3</x:v>
      </x:c>
      <x:c r="D2434" t="str">
        <x:v>00:39</x:v>
      </x:c>
      <x:c r="E2434" t="n">
        <x:v>2</x:v>
      </x:c>
      <x:c r="F2434" t="n">
        <x:v>6</x:v>
      </x:c>
      <x:c r="G2434" t="str">
        <x:v>NYG</x:v>
      </x:c>
      <x:c r="H2434" t="str">
        <x:v>MIN</x:v>
      </x:c>
      <x:c r="I2434" t="str">
        <x:v>MIN</x:v>
      </x:c>
      <x:c r="J2434" t="n">
        <x:v>42</x:v>
      </x:c>
      <x:c r="K2434" t="str">
        <x:v>(:39) 6-J.Dart sacked at MIN 48 for -6 yards (93-J.Allen). NYG-61-J.Schmitz was injured during the play.</x:v>
      </x:c>
      <x:c r="L2434" t="str">
        <x:v>pass</x:v>
      </x:c>
      <x:c r="M2434" t="n">
        <x:v>-6</x:v>
      </x:c>
      <x:c r="N2434" t="n">
        <x:v>0</x:v>
      </x:c>
      <x:c r="O2434" t="n">
        <x:v>0</x:v>
      </x:c>
      <x:c r="P2434"/>
      <x:c r="Q2434"/>
      <x:c r="R2434"/>
      <x:c r="S2434"/>
      <x:c r="T2434"/>
      <x:c r="U2434"/>
      <x:c r="V2434" t="n">
        <x:v>0</x:v>
      </x:c>
      <x:c r="W2434" t="n">
        <x:v>0</x:v>
      </x:c>
      <x:c r="X2434" t="n">
        <x:v>1</x:v>
      </x:c>
      <x:c r="Y2434" t="n">
        <x:v>0</x:v>
      </x:c>
      <x:c r="Z2434" t="n">
        <x:v>0</x:v>
      </x:c>
      <x:c r="AA2434" t="n">
        <x:v>0</x:v>
      </x:c>
      <x:c r="AB2434"/>
      <x:c r="AC2434" t="n">
        <x:v>0</x:v>
      </x:c>
      <x:c r="AD2434" t="n">
        <x:v>-1.725323663558811</x:v>
      </x:c>
      <x:c r="AE2434" t="n">
        <x:v>0</x:v>
      </x:c>
      <x:c r="AF2434" t="n">
        <x:v>-0.10075634717941284</x:v>
      </x:c>
      <x:c r="AG2434" t="n">
        <x:f>_xlfn.XLOOKUP($A2434,Games!$A$2:$A$18,Games!$B$2:$B$18,"Missing game",0)</x:f>
        <x:v>2025</x:v>
      </x:c>
      <x:c r="AH2434" t="str">
        <x:f>_xlfn.XLOOKUP($A2434,Games!$A$2:$A$18,Games!$C$2:$C$18,"Missing game",0)</x:f>
        <x:v>REG</x:v>
      </x:c>
      <x:c r="AI2434" t="n">
        <x:f>_xlfn.XLOOKUP($A2434,Games!$A$2:$A$18,Games!$D$2:$D$18,"Missing game",0)</x:f>
        <x:v>16</x:v>
      </x:c>
      <x:c r="AJ2434" s="1" t="n">
        <x:f>_xlfn.XLOOKUP($A2434,Games!$A$2:$A$18,Games!$E$2:$E$18,"Missing game",0)</x:f>
        <x:v>46012</x:v>
      </x:c>
      <x:c r="AK2434" t="str">
        <x:f>_xlfn.XLOOKUP($A2434,Games!$A$2:$A$18,Games!$F$2:$F$18,"Missing game",0)</x:f>
        <x:v>Sunday</x:v>
      </x:c>
      <x:c r="AL2434" t="str">
        <x:f>_xlfn.XLOOKUP($A2434,Games!$A$2:$A$18,Games!$G$2:$G$18,"Missing game",0)</x:f>
        <x:v>MIN</x:v>
      </x:c>
      <x:c r="AM2434" t="n">
        <x:f>_xlfn.XLOOKUP($A2434,Games!$A$2:$A$18,Games!$H$2:$H$18,"Missing game",0)</x:f>
        <x:v>16</x:v>
      </x:c>
      <x:c r="AN2434" t="str">
        <x:f>_xlfn.XLOOKUP($A2434,Games!$A$2:$A$18,Games!$I$2:$I$18,"Missing game",0)</x:f>
        <x:v>NYG</x:v>
      </x:c>
      <x:c r="AO2434" t="n">
        <x:f>_xlfn.XLOOKUP($A2434,Games!$A$2:$A$18,Games!$J$2:$J$18,"Missing game",0)</x:f>
        <x:v>13</x:v>
      </x:c>
      <x:c r="AP2434" t="n">
        <x:f>_xlfn.XLOOKUP($A2434,Games!$A$2:$A$18,Games!$K$2:$K$18,"Missing game",0)</x:f>
        <x:v>-3</x:v>
      </x:c>
      <x:c r="AQ2434" t="n">
        <x:f>_xlfn.XLOOKUP($A2434,Games!$A$2:$A$18,Games!$L$2:$L$18,"Missing game",0)</x:f>
        <x:v>29</x:v>
      </x:c>
      <x:c r="AR2434" t="n">
        <x:f>_xlfn.XLOOKUP($A2434,Games!$A$2:$A$18,Games!$M$2:$M$18,"Missing game",0)</x:f>
        <x:v>0</x:v>
      </x:c>
      <x:c r="AS2434" t="str">
        <x:f>_xlfn.XLOOKUP($A2434,Games!$A$2:$A$18,Games!$N$2:$N$18,"Missing game",0)</x:f>
        <x:v>outdoors</x:v>
      </x:c>
      <x:c r="AT2434" t="str">
        <x:f>_xlfn.XLOOKUP($A2434,Games!$A$2:$A$18,Games!$O$2:$O$18,"Missing game",0)</x:f>
        <x:v>fieldturf</x:v>
      </x:c>
      <x:c r="AU2434" t="n">
        <x:f>_xlfn.XLOOKUP($A2434,Games!$A$2:$A$18,Games!$P$2:$P$18,"Missing game",0)</x:f>
        <x:v>46</x:v>
      </x:c>
      <x:c r="AV2434" t="n">
        <x:f>_xlfn.XLOOKUP($A2434,Games!$A$2:$A$18,Games!$Q$2:$Q$18,"Missing game",0)</x:f>
        <x:v>20</x:v>
      </x:c>
      <x:c r="AW2434" t="str">
        <x:f>_xlfn.XLOOKUP($A2434,Games!$A$2:$A$18,Games!$R$2:$R$18,"Missing game",0)</x:f>
        <x:v>MetLife Stadium</x:v>
      </x:c>
    </x:row>
    <x:row r="2435">
      <x:c r="A2435" t="str">
        <x:v>2025_16_MIN_NYG</x:v>
      </x:c>
      <x:c r="B2435" t="n">
        <x:v>2871</x:v>
      </x:c>
      <x:c r="C2435" t="n">
        <x:v>3</x:v>
      </x:c>
      <x:c r="D2435" t="str">
        <x:v>00:00</x:v>
      </x:c>
      <x:c r="E2435"/>
      <x:c r="F2435" t="n">
        <x:v>0</x:v>
      </x:c>
      <x:c r="G2435" t="str">
        <x:v>NYG</x:v>
      </x:c>
      <x:c r="H2435" t="str">
        <x:v>MIN</x:v>
      </x:c>
      <x:c r="I2435"/>
      <x:c r="J2435"/>
      <x:c r="K2435" t="str">
        <x:v>END QUARTER 3</x:v>
      </x:c>
      <x:c r="L2435"/>
      <x:c r="M2435"/>
      <x:c r="N2435" t="n">
        <x:v>0</x:v>
      </x:c>
      <x:c r="O2435" t="n">
        <x:v>0</x:v>
      </x:c>
      <x:c r="P2435"/>
      <x:c r="Q2435"/>
      <x:c r="R2435"/>
      <x:c r="S2435"/>
      <x:c r="T2435"/>
      <x:c r="U2435"/>
      <x:c r="V2435"/>
      <x:c r="W2435"/>
      <x:c r="X2435"/>
      <x:c r="Y2435"/>
      <x:c r="Z2435"/>
      <x:c r="AA2435"/>
      <x:c r="AB2435"/>
      <x:c r="AC2435"/>
      <x:c r="AD2435" t="n">
        <x:v>0</x:v>
      </x:c>
      <x:c r="AE2435" t="n">
        <x:v>0</x:v>
      </x:c>
      <x:c r="AF2435" t="n">
        <x:v>0</x:v>
      </x:c>
      <x:c r="AG2435" t="n">
        <x:f>_xlfn.XLOOKUP($A2435,Games!$A$2:$A$18,Games!$B$2:$B$18,"Missing game",0)</x:f>
        <x:v>2025</x:v>
      </x:c>
      <x:c r="AH2435" t="str">
        <x:f>_xlfn.XLOOKUP($A2435,Games!$A$2:$A$18,Games!$C$2:$C$18,"Missing game",0)</x:f>
        <x:v>REG</x:v>
      </x:c>
      <x:c r="AI2435" t="n">
        <x:f>_xlfn.XLOOKUP($A2435,Games!$A$2:$A$18,Games!$D$2:$D$18,"Missing game",0)</x:f>
        <x:v>16</x:v>
      </x:c>
      <x:c r="AJ2435" s="1" t="n">
        <x:f>_xlfn.XLOOKUP($A2435,Games!$A$2:$A$18,Games!$E$2:$E$18,"Missing game",0)</x:f>
        <x:v>46012</x:v>
      </x:c>
      <x:c r="AK2435" t="str">
        <x:f>_xlfn.XLOOKUP($A2435,Games!$A$2:$A$18,Games!$F$2:$F$18,"Missing game",0)</x:f>
        <x:v>Sunday</x:v>
      </x:c>
      <x:c r="AL2435" t="str">
        <x:f>_xlfn.XLOOKUP($A2435,Games!$A$2:$A$18,Games!$G$2:$G$18,"Missing game",0)</x:f>
        <x:v>MIN</x:v>
      </x:c>
      <x:c r="AM2435" t="n">
        <x:f>_xlfn.XLOOKUP($A2435,Games!$A$2:$A$18,Games!$H$2:$H$18,"Missing game",0)</x:f>
        <x:v>16</x:v>
      </x:c>
      <x:c r="AN2435" t="str">
        <x:f>_xlfn.XLOOKUP($A2435,Games!$A$2:$A$18,Games!$I$2:$I$18,"Missing game",0)</x:f>
        <x:v>NYG</x:v>
      </x:c>
      <x:c r="AO2435" t="n">
        <x:f>_xlfn.XLOOKUP($A2435,Games!$A$2:$A$18,Games!$J$2:$J$18,"Missing game",0)</x:f>
        <x:v>13</x:v>
      </x:c>
      <x:c r="AP2435" t="n">
        <x:f>_xlfn.XLOOKUP($A2435,Games!$A$2:$A$18,Games!$K$2:$K$18,"Missing game",0)</x:f>
        <x:v>-3</x:v>
      </x:c>
      <x:c r="AQ2435" t="n">
        <x:f>_xlfn.XLOOKUP($A2435,Games!$A$2:$A$18,Games!$L$2:$L$18,"Missing game",0)</x:f>
        <x:v>29</x:v>
      </x:c>
      <x:c r="AR2435" t="n">
        <x:f>_xlfn.XLOOKUP($A2435,Games!$A$2:$A$18,Games!$M$2:$M$18,"Missing game",0)</x:f>
        <x:v>0</x:v>
      </x:c>
      <x:c r="AS2435" t="str">
        <x:f>_xlfn.XLOOKUP($A2435,Games!$A$2:$A$18,Games!$N$2:$N$18,"Missing game",0)</x:f>
        <x:v>outdoors</x:v>
      </x:c>
      <x:c r="AT2435" t="str">
        <x:f>_xlfn.XLOOKUP($A2435,Games!$A$2:$A$18,Games!$O$2:$O$18,"Missing game",0)</x:f>
        <x:v>fieldturf</x:v>
      </x:c>
      <x:c r="AU2435" t="n">
        <x:f>_xlfn.XLOOKUP($A2435,Games!$A$2:$A$18,Games!$P$2:$P$18,"Missing game",0)</x:f>
        <x:v>46</x:v>
      </x:c>
      <x:c r="AV2435" t="n">
        <x:f>_xlfn.XLOOKUP($A2435,Games!$A$2:$A$18,Games!$Q$2:$Q$18,"Missing game",0)</x:f>
        <x:v>20</x:v>
      </x:c>
      <x:c r="AW2435" t="str">
        <x:f>_xlfn.XLOOKUP($A2435,Games!$A$2:$A$18,Games!$R$2:$R$18,"Missing game",0)</x:f>
        <x:v>MetLife Stadium</x:v>
      </x:c>
    </x:row>
    <x:row r="2436">
      <x:c r="A2436" t="str">
        <x:v>2025_16_MIN_NYG</x:v>
      </x:c>
      <x:c r="B2436" t="n">
        <x:v>2891</x:v>
      </x:c>
      <x:c r="C2436" t="n">
        <x:v>4</x:v>
      </x:c>
      <x:c r="D2436" t="str">
        <x:v>15:00</x:v>
      </x:c>
      <x:c r="E2436" t="n">
        <x:v>3</x:v>
      </x:c>
      <x:c r="F2436" t="n">
        <x:v>12</x:v>
      </x:c>
      <x:c r="G2436" t="str">
        <x:v>NYG</x:v>
      </x:c>
      <x:c r="H2436" t="str">
        <x:v>MIN</x:v>
      </x:c>
      <x:c r="I2436" t="str">
        <x:v>MIN</x:v>
      </x:c>
      <x:c r="J2436" t="n">
        <x:v>48</x:v>
      </x:c>
      <x:c r="K2436" t="str">
        <x:v>(15:00) (Shotgun) 6-J.Dart sacked at NYG 40 for -12 yards (55-E.Wilson). PENALTY on MIN-55-E.Wilson, Roughing the Passer, 15 yards, enforced at MIN 48 - No Play.</x:v>
      </x:c>
      <x:c r="L2436" t="str">
        <x:v>no_play</x:v>
      </x:c>
      <x:c r="M2436" t="n">
        <x:v>0</x:v>
      </x:c>
      <x:c r="N2436" t="n">
        <x:v>1</x:v>
      </x:c>
      <x:c r="O2436" t="n">
        <x:v>0</x:v>
      </x:c>
      <x:c r="P2436"/>
      <x:c r="Q2436"/>
      <x:c r="R2436"/>
      <x:c r="S2436"/>
      <x:c r="T2436"/>
      <x:c r="U2436"/>
      <x:c r="V2436" t="n">
        <x:v>0</x:v>
      </x:c>
      <x:c r="W2436" t="n">
        <x:v>1</x:v>
      </x:c>
      <x:c r="X2436" t="n">
        <x:v>0</x:v>
      </x:c>
      <x:c r="Y2436" t="n">
        <x:v>0</x:v>
      </x:c>
      <x:c r="Z2436" t="n">
        <x:v>0</x:v>
      </x:c>
      <x:c r="AA2436" t="n">
        <x:v>1</x:v>
      </x:c>
      <x:c r="AB2436" t="n">
        <x:v>15</x:v>
      </x:c>
      <x:c r="AC2436" t="n">
        <x:v>0</x:v>
      </x:c>
      <x:c r="AD2436" t="n">
        <x:v>2.684963066945784</x:v>
      </x:c>
      <x:c r="AE2436" t="n">
        <x:v>1</x:v>
      </x:c>
      <x:c r="AF2436" t="n">
        <x:v>0.1387331187725067</x:v>
      </x:c>
      <x:c r="AG2436" t="n">
        <x:f>_xlfn.XLOOKUP($A2436,Games!$A$2:$A$18,Games!$B$2:$B$18,"Missing game",0)</x:f>
        <x:v>2025</x:v>
      </x:c>
      <x:c r="AH2436" t="str">
        <x:f>_xlfn.XLOOKUP($A2436,Games!$A$2:$A$18,Games!$C$2:$C$18,"Missing game",0)</x:f>
        <x:v>REG</x:v>
      </x:c>
      <x:c r="AI2436" t="n">
        <x:f>_xlfn.XLOOKUP($A2436,Games!$A$2:$A$18,Games!$D$2:$D$18,"Missing game",0)</x:f>
        <x:v>16</x:v>
      </x:c>
      <x:c r="AJ2436" s="1" t="n">
        <x:f>_xlfn.XLOOKUP($A2436,Games!$A$2:$A$18,Games!$E$2:$E$18,"Missing game",0)</x:f>
        <x:v>46012</x:v>
      </x:c>
      <x:c r="AK2436" t="str">
        <x:f>_xlfn.XLOOKUP($A2436,Games!$A$2:$A$18,Games!$F$2:$F$18,"Missing game",0)</x:f>
        <x:v>Sunday</x:v>
      </x:c>
      <x:c r="AL2436" t="str">
        <x:f>_xlfn.XLOOKUP($A2436,Games!$A$2:$A$18,Games!$G$2:$G$18,"Missing game",0)</x:f>
        <x:v>MIN</x:v>
      </x:c>
      <x:c r="AM2436" t="n">
        <x:f>_xlfn.XLOOKUP($A2436,Games!$A$2:$A$18,Games!$H$2:$H$18,"Missing game",0)</x:f>
        <x:v>16</x:v>
      </x:c>
      <x:c r="AN2436" t="str">
        <x:f>_xlfn.XLOOKUP($A2436,Games!$A$2:$A$18,Games!$I$2:$I$18,"Missing game",0)</x:f>
        <x:v>NYG</x:v>
      </x:c>
      <x:c r="AO2436" t="n">
        <x:f>_xlfn.XLOOKUP($A2436,Games!$A$2:$A$18,Games!$J$2:$J$18,"Missing game",0)</x:f>
        <x:v>13</x:v>
      </x:c>
      <x:c r="AP2436" t="n">
        <x:f>_xlfn.XLOOKUP($A2436,Games!$A$2:$A$18,Games!$K$2:$K$18,"Missing game",0)</x:f>
        <x:v>-3</x:v>
      </x:c>
      <x:c r="AQ2436" t="n">
        <x:f>_xlfn.XLOOKUP($A2436,Games!$A$2:$A$18,Games!$L$2:$L$18,"Missing game",0)</x:f>
        <x:v>29</x:v>
      </x:c>
      <x:c r="AR2436" t="n">
        <x:f>_xlfn.XLOOKUP($A2436,Games!$A$2:$A$18,Games!$M$2:$M$18,"Missing game",0)</x:f>
        <x:v>0</x:v>
      </x:c>
      <x:c r="AS2436" t="str">
        <x:f>_xlfn.XLOOKUP($A2436,Games!$A$2:$A$18,Games!$N$2:$N$18,"Missing game",0)</x:f>
        <x:v>outdoors</x:v>
      </x:c>
      <x:c r="AT2436" t="str">
        <x:f>_xlfn.XLOOKUP($A2436,Games!$A$2:$A$18,Games!$O$2:$O$18,"Missing game",0)</x:f>
        <x:v>fieldturf</x:v>
      </x:c>
      <x:c r="AU2436" t="n">
        <x:f>_xlfn.XLOOKUP($A2436,Games!$A$2:$A$18,Games!$P$2:$P$18,"Missing game",0)</x:f>
        <x:v>46</x:v>
      </x:c>
      <x:c r="AV2436" t="n">
        <x:f>_xlfn.XLOOKUP($A2436,Games!$A$2:$A$18,Games!$Q$2:$Q$18,"Missing game",0)</x:f>
        <x:v>20</x:v>
      </x:c>
      <x:c r="AW2436" t="str">
        <x:f>_xlfn.XLOOKUP($A2436,Games!$A$2:$A$18,Games!$R$2:$R$18,"Missing game",0)</x:f>
        <x:v>MetLife Stadium</x:v>
      </x:c>
    </x:row>
    <x:row r="2437">
      <x:c r="A2437" t="str">
        <x:v>2025_16_MIN_NYG</x:v>
      </x:c>
      <x:c r="B2437" t="n">
        <x:v>2923</x:v>
      </x:c>
      <x:c r="C2437" t="n">
        <x:v>4</x:v>
      </x:c>
      <x:c r="D2437" t="str">
        <x:v>14:38</x:v>
      </x:c>
      <x:c r="E2437" t="n">
        <x:v>1</x:v>
      </x:c>
      <x:c r="F2437" t="n">
        <x:v>10</x:v>
      </x:c>
      <x:c r="G2437" t="str">
        <x:v>NYG</x:v>
      </x:c>
      <x:c r="H2437" t="str">
        <x:v>MIN</x:v>
      </x:c>
      <x:c r="I2437" t="str">
        <x:v>MIN</x:v>
      </x:c>
      <x:c r="J2437" t="n">
        <x:v>33</x:v>
      </x:c>
      <x:c r="K2437" t="str">
        <x:v>(14:38) (Shotgun) 26-D.Singletary up the middle to MIN 29 for 4 yards (99-E.Williams).</x:v>
      </x:c>
      <x:c r="L2437" t="str">
        <x:v>run</x:v>
      </x:c>
      <x:c r="M2437" t="n">
        <x:v>4</x:v>
      </x:c>
      <x:c r="N2437" t="n">
        <x:v>1</x:v>
      </x:c>
      <x:c r="O2437" t="n">
        <x:v>0</x:v>
      </x:c>
      <x:c r="P2437"/>
      <x:c r="Q2437"/>
      <x:c r="R2437"/>
      <x:c r="S2437"/>
      <x:c r="T2437" t="str">
        <x:v>middle</x:v>
      </x:c>
      <x:c r="U2437"/>
      <x:c r="V2437" t="n">
        <x:v>0</x:v>
      </x:c>
      <x:c r="W2437" t="n">
        <x:v>0</x:v>
      </x:c>
      <x:c r="X2437" t="n">
        <x:v>0</x:v>
      </x:c>
      <x:c r="Y2437" t="n">
        <x:v>0</x:v>
      </x:c>
      <x:c r="Z2437" t="n">
        <x:v>0</x:v>
      </x:c>
      <x:c r="AA2437" t="n">
        <x:v>0</x:v>
      </x:c>
      <x:c r="AB2437"/>
      <x:c r="AC2437" t="n">
        <x:v>0</x:v>
      </x:c>
      <x:c r="AD2437" t="n">
        <x:v>-0.08018832444213331</x:v>
      </x:c>
      <x:c r="AE2437" t="n">
        <x:v>0</x:v>
      </x:c>
      <x:c r="AF2437" t="n">
        <x:v>0.003184795379638672</x:v>
      </x:c>
      <x:c r="AG2437" t="n">
        <x:f>_xlfn.XLOOKUP($A2437,Games!$A$2:$A$18,Games!$B$2:$B$18,"Missing game",0)</x:f>
        <x:v>2025</x:v>
      </x:c>
      <x:c r="AH2437" t="str">
        <x:f>_xlfn.XLOOKUP($A2437,Games!$A$2:$A$18,Games!$C$2:$C$18,"Missing game",0)</x:f>
        <x:v>REG</x:v>
      </x:c>
      <x:c r="AI2437" t="n">
        <x:f>_xlfn.XLOOKUP($A2437,Games!$A$2:$A$18,Games!$D$2:$D$18,"Missing game",0)</x:f>
        <x:v>16</x:v>
      </x:c>
      <x:c r="AJ2437" s="1" t="n">
        <x:f>_xlfn.XLOOKUP($A2437,Games!$A$2:$A$18,Games!$E$2:$E$18,"Missing game",0)</x:f>
        <x:v>46012</x:v>
      </x:c>
      <x:c r="AK2437" t="str">
        <x:f>_xlfn.XLOOKUP($A2437,Games!$A$2:$A$18,Games!$F$2:$F$18,"Missing game",0)</x:f>
        <x:v>Sunday</x:v>
      </x:c>
      <x:c r="AL2437" t="str">
        <x:f>_xlfn.XLOOKUP($A2437,Games!$A$2:$A$18,Games!$G$2:$G$18,"Missing game",0)</x:f>
        <x:v>MIN</x:v>
      </x:c>
      <x:c r="AM2437" t="n">
        <x:f>_xlfn.XLOOKUP($A2437,Games!$A$2:$A$18,Games!$H$2:$H$18,"Missing game",0)</x:f>
        <x:v>16</x:v>
      </x:c>
      <x:c r="AN2437" t="str">
        <x:f>_xlfn.XLOOKUP($A2437,Games!$A$2:$A$18,Games!$I$2:$I$18,"Missing game",0)</x:f>
        <x:v>NYG</x:v>
      </x:c>
      <x:c r="AO2437" t="n">
        <x:f>_xlfn.XLOOKUP($A2437,Games!$A$2:$A$18,Games!$J$2:$J$18,"Missing game",0)</x:f>
        <x:v>13</x:v>
      </x:c>
      <x:c r="AP2437" t="n">
        <x:f>_xlfn.XLOOKUP($A2437,Games!$A$2:$A$18,Games!$K$2:$K$18,"Missing game",0)</x:f>
        <x:v>-3</x:v>
      </x:c>
      <x:c r="AQ2437" t="n">
        <x:f>_xlfn.XLOOKUP($A2437,Games!$A$2:$A$18,Games!$L$2:$L$18,"Missing game",0)</x:f>
        <x:v>29</x:v>
      </x:c>
      <x:c r="AR2437" t="n">
        <x:f>_xlfn.XLOOKUP($A2437,Games!$A$2:$A$18,Games!$M$2:$M$18,"Missing game",0)</x:f>
        <x:v>0</x:v>
      </x:c>
      <x:c r="AS2437" t="str">
        <x:f>_xlfn.XLOOKUP($A2437,Games!$A$2:$A$18,Games!$N$2:$N$18,"Missing game",0)</x:f>
        <x:v>outdoors</x:v>
      </x:c>
      <x:c r="AT2437" t="str">
        <x:f>_xlfn.XLOOKUP($A2437,Games!$A$2:$A$18,Games!$O$2:$O$18,"Missing game",0)</x:f>
        <x:v>fieldturf</x:v>
      </x:c>
      <x:c r="AU2437" t="n">
        <x:f>_xlfn.XLOOKUP($A2437,Games!$A$2:$A$18,Games!$P$2:$P$18,"Missing game",0)</x:f>
        <x:v>46</x:v>
      </x:c>
      <x:c r="AV2437" t="n">
        <x:f>_xlfn.XLOOKUP($A2437,Games!$A$2:$A$18,Games!$Q$2:$Q$18,"Missing game",0)</x:f>
        <x:v>20</x:v>
      </x:c>
      <x:c r="AW2437" t="str">
        <x:f>_xlfn.XLOOKUP($A2437,Games!$A$2:$A$18,Games!$R$2:$R$18,"Missing game",0)</x:f>
        <x:v>MetLife Stadium</x:v>
      </x:c>
    </x:row>
    <x:row r="2438">
      <x:c r="A2438" t="str">
        <x:v>2025_16_MIN_NYG</x:v>
      </x:c>
      <x:c r="B2438" t="n">
        <x:v>2945</x:v>
      </x:c>
      <x:c r="C2438" t="n">
        <x:v>4</x:v>
      </x:c>
      <x:c r="D2438" t="str">
        <x:v>14:07</x:v>
      </x:c>
      <x:c r="E2438" t="n">
        <x:v>2</x:v>
      </x:c>
      <x:c r="F2438" t="n">
        <x:v>6</x:v>
      </x:c>
      <x:c r="G2438" t="str">
        <x:v>NYG</x:v>
      </x:c>
      <x:c r="H2438" t="str">
        <x:v>MIN</x:v>
      </x:c>
      <x:c r="I2438" t="str">
        <x:v>MIN</x:v>
      </x:c>
      <x:c r="J2438" t="n">
        <x:v>29</x:v>
      </x:c>
      <x:c r="K2438" t="str">
        <x:v>(14:07) 26-D.Singletary right end to MIN 21 for 8 yards (51-B.Cashman; 43-A.Van Ginkel).</x:v>
      </x:c>
      <x:c r="L2438" t="str">
        <x:v>run</x:v>
      </x:c>
      <x:c r="M2438" t="n">
        <x:v>8</x:v>
      </x:c>
      <x:c r="N2438" t="n">
        <x:v>0</x:v>
      </x:c>
      <x:c r="O2438" t="n">
        <x:v>0</x:v>
      </x:c>
      <x:c r="P2438"/>
      <x:c r="Q2438"/>
      <x:c r="R2438"/>
      <x:c r="S2438"/>
      <x:c r="T2438" t="str">
        <x:v>right</x:v>
      </x:c>
      <x:c r="U2438" t="str">
        <x:v>end</x:v>
      </x:c>
      <x:c r="V2438" t="n">
        <x:v>0</x:v>
      </x:c>
      <x:c r="W2438" t="n">
        <x:v>1</x:v>
      </x:c>
      <x:c r="X2438" t="n">
        <x:v>0</x:v>
      </x:c>
      <x:c r="Y2438" t="n">
        <x:v>0</x:v>
      </x:c>
      <x:c r="Z2438" t="n">
        <x:v>0</x:v>
      </x:c>
      <x:c r="AA2438" t="n">
        <x:v>0</x:v>
      </x:c>
      <x:c r="AB2438"/>
      <x:c r="AC2438" t="n">
        <x:v>0</x:v>
      </x:c>
      <x:c r="AD2438" t="n">
        <x:v>0.9352837582118809</x:v>
      </x:c>
      <x:c r="AE2438" t="n">
        <x:v>1</x:v>
      </x:c>
      <x:c r="AF2438" t="n">
        <x:v>0.04592496156692505</x:v>
      </x:c>
      <x:c r="AG2438" t="n">
        <x:f>_xlfn.XLOOKUP($A2438,Games!$A$2:$A$18,Games!$B$2:$B$18,"Missing game",0)</x:f>
        <x:v>2025</x:v>
      </x:c>
      <x:c r="AH2438" t="str">
        <x:f>_xlfn.XLOOKUP($A2438,Games!$A$2:$A$18,Games!$C$2:$C$18,"Missing game",0)</x:f>
        <x:v>REG</x:v>
      </x:c>
      <x:c r="AI2438" t="n">
        <x:f>_xlfn.XLOOKUP($A2438,Games!$A$2:$A$18,Games!$D$2:$D$18,"Missing game",0)</x:f>
        <x:v>16</x:v>
      </x:c>
      <x:c r="AJ2438" s="1" t="n">
        <x:f>_xlfn.XLOOKUP($A2438,Games!$A$2:$A$18,Games!$E$2:$E$18,"Missing game",0)</x:f>
        <x:v>46012</x:v>
      </x:c>
      <x:c r="AK2438" t="str">
        <x:f>_xlfn.XLOOKUP($A2438,Games!$A$2:$A$18,Games!$F$2:$F$18,"Missing game",0)</x:f>
        <x:v>Sunday</x:v>
      </x:c>
      <x:c r="AL2438" t="str">
        <x:f>_xlfn.XLOOKUP($A2438,Games!$A$2:$A$18,Games!$G$2:$G$18,"Missing game",0)</x:f>
        <x:v>MIN</x:v>
      </x:c>
      <x:c r="AM2438" t="n">
        <x:f>_xlfn.XLOOKUP($A2438,Games!$A$2:$A$18,Games!$H$2:$H$18,"Missing game",0)</x:f>
        <x:v>16</x:v>
      </x:c>
      <x:c r="AN2438" t="str">
        <x:f>_xlfn.XLOOKUP($A2438,Games!$A$2:$A$18,Games!$I$2:$I$18,"Missing game",0)</x:f>
        <x:v>NYG</x:v>
      </x:c>
      <x:c r="AO2438" t="n">
        <x:f>_xlfn.XLOOKUP($A2438,Games!$A$2:$A$18,Games!$J$2:$J$18,"Missing game",0)</x:f>
        <x:v>13</x:v>
      </x:c>
      <x:c r="AP2438" t="n">
        <x:f>_xlfn.XLOOKUP($A2438,Games!$A$2:$A$18,Games!$K$2:$K$18,"Missing game",0)</x:f>
        <x:v>-3</x:v>
      </x:c>
      <x:c r="AQ2438" t="n">
        <x:f>_xlfn.XLOOKUP($A2438,Games!$A$2:$A$18,Games!$L$2:$L$18,"Missing game",0)</x:f>
        <x:v>29</x:v>
      </x:c>
      <x:c r="AR2438" t="n">
        <x:f>_xlfn.XLOOKUP($A2438,Games!$A$2:$A$18,Games!$M$2:$M$18,"Missing game",0)</x:f>
        <x:v>0</x:v>
      </x:c>
      <x:c r="AS2438" t="str">
        <x:f>_xlfn.XLOOKUP($A2438,Games!$A$2:$A$18,Games!$N$2:$N$18,"Missing game",0)</x:f>
        <x:v>outdoors</x:v>
      </x:c>
      <x:c r="AT2438" t="str">
        <x:f>_xlfn.XLOOKUP($A2438,Games!$A$2:$A$18,Games!$O$2:$O$18,"Missing game",0)</x:f>
        <x:v>fieldturf</x:v>
      </x:c>
      <x:c r="AU2438" t="n">
        <x:f>_xlfn.XLOOKUP($A2438,Games!$A$2:$A$18,Games!$P$2:$P$18,"Missing game",0)</x:f>
        <x:v>46</x:v>
      </x:c>
      <x:c r="AV2438" t="n">
        <x:f>_xlfn.XLOOKUP($A2438,Games!$A$2:$A$18,Games!$Q$2:$Q$18,"Missing game",0)</x:f>
        <x:v>20</x:v>
      </x:c>
      <x:c r="AW2438" t="str">
        <x:f>_xlfn.XLOOKUP($A2438,Games!$A$2:$A$18,Games!$R$2:$R$18,"Missing game",0)</x:f>
        <x:v>MetLife Stadium</x:v>
      </x:c>
    </x:row>
    <x:row r="2439">
      <x:c r="A2439" t="str">
        <x:v>2025_16_MIN_NYG</x:v>
      </x:c>
      <x:c r="B2439" t="n">
        <x:v>2967</x:v>
      </x:c>
      <x:c r="C2439" t="n">
        <x:v>4</x:v>
      </x:c>
      <x:c r="D2439" t="str">
        <x:v>13:29</x:v>
      </x:c>
      <x:c r="E2439" t="n">
        <x:v>1</x:v>
      </x:c>
      <x:c r="F2439" t="n">
        <x:v>10</x:v>
      </x:c>
      <x:c r="G2439" t="str">
        <x:v>NYG</x:v>
      </x:c>
      <x:c r="H2439" t="str">
        <x:v>MIN</x:v>
      </x:c>
      <x:c r="I2439" t="str">
        <x:v>MIN</x:v>
      </x:c>
      <x:c r="J2439" t="n">
        <x:v>21</x:v>
      </x:c>
      <x:c r="K2439" t="str">
        <x:v>(13:29) 26-D.Singletary left tackle to MIN 17 for 4 yards (2-I.Rodgers).</x:v>
      </x:c>
      <x:c r="L2439" t="str">
        <x:v>run</x:v>
      </x:c>
      <x:c r="M2439" t="n">
        <x:v>4</x:v>
      </x:c>
      <x:c r="N2439" t="n">
        <x:v>0</x:v>
      </x:c>
      <x:c r="O2439" t="n">
        <x:v>0</x:v>
      </x:c>
      <x:c r="P2439"/>
      <x:c r="Q2439"/>
      <x:c r="R2439"/>
      <x:c r="S2439"/>
      <x:c r="T2439" t="str">
        <x:v>left</x:v>
      </x:c>
      <x:c r="U2439" t="str">
        <x:v>tackle</x:v>
      </x:c>
      <x:c r="V2439" t="n">
        <x:v>0</x:v>
      </x:c>
      <x:c r="W2439" t="n">
        <x:v>0</x:v>
      </x:c>
      <x:c r="X2439" t="n">
        <x:v>0</x:v>
      </x:c>
      <x:c r="Y2439" t="n">
        <x:v>0</x:v>
      </x:c>
      <x:c r="Z2439" t="n">
        <x:v>0</x:v>
      </x:c>
      <x:c r="AA2439" t="n">
        <x:v>0</x:v>
      </x:c>
      <x:c r="AB2439"/>
      <x:c r="AC2439" t="n">
        <x:v>0</x:v>
      </x:c>
      <x:c r="AD2439" t="n">
        <x:v>-0.11470676463795826</x:v>
      </x:c>
      <x:c r="AE2439" t="n">
        <x:v>0</x:v>
      </x:c>
      <x:c r="AF2439" t="n">
        <x:v>-0.01271754503250122</x:v>
      </x:c>
      <x:c r="AG2439" t="n">
        <x:f>_xlfn.XLOOKUP($A2439,Games!$A$2:$A$18,Games!$B$2:$B$18,"Missing game",0)</x:f>
        <x:v>2025</x:v>
      </x:c>
      <x:c r="AH2439" t="str">
        <x:f>_xlfn.XLOOKUP($A2439,Games!$A$2:$A$18,Games!$C$2:$C$18,"Missing game",0)</x:f>
        <x:v>REG</x:v>
      </x:c>
      <x:c r="AI2439" t="n">
        <x:f>_xlfn.XLOOKUP($A2439,Games!$A$2:$A$18,Games!$D$2:$D$18,"Missing game",0)</x:f>
        <x:v>16</x:v>
      </x:c>
      <x:c r="AJ2439" s="1" t="n">
        <x:f>_xlfn.XLOOKUP($A2439,Games!$A$2:$A$18,Games!$E$2:$E$18,"Missing game",0)</x:f>
        <x:v>46012</x:v>
      </x:c>
      <x:c r="AK2439" t="str">
        <x:f>_xlfn.XLOOKUP($A2439,Games!$A$2:$A$18,Games!$F$2:$F$18,"Missing game",0)</x:f>
        <x:v>Sunday</x:v>
      </x:c>
      <x:c r="AL2439" t="str">
        <x:f>_xlfn.XLOOKUP($A2439,Games!$A$2:$A$18,Games!$G$2:$G$18,"Missing game",0)</x:f>
        <x:v>MIN</x:v>
      </x:c>
      <x:c r="AM2439" t="n">
        <x:f>_xlfn.XLOOKUP($A2439,Games!$A$2:$A$18,Games!$H$2:$H$18,"Missing game",0)</x:f>
        <x:v>16</x:v>
      </x:c>
      <x:c r="AN2439" t="str">
        <x:f>_xlfn.XLOOKUP($A2439,Games!$A$2:$A$18,Games!$I$2:$I$18,"Missing game",0)</x:f>
        <x:v>NYG</x:v>
      </x:c>
      <x:c r="AO2439" t="n">
        <x:f>_xlfn.XLOOKUP($A2439,Games!$A$2:$A$18,Games!$J$2:$J$18,"Missing game",0)</x:f>
        <x:v>13</x:v>
      </x:c>
      <x:c r="AP2439" t="n">
        <x:f>_xlfn.XLOOKUP($A2439,Games!$A$2:$A$18,Games!$K$2:$K$18,"Missing game",0)</x:f>
        <x:v>-3</x:v>
      </x:c>
      <x:c r="AQ2439" t="n">
        <x:f>_xlfn.XLOOKUP($A2439,Games!$A$2:$A$18,Games!$L$2:$L$18,"Missing game",0)</x:f>
        <x:v>29</x:v>
      </x:c>
      <x:c r="AR2439" t="n">
        <x:f>_xlfn.XLOOKUP($A2439,Games!$A$2:$A$18,Games!$M$2:$M$18,"Missing game",0)</x:f>
        <x:v>0</x:v>
      </x:c>
      <x:c r="AS2439" t="str">
        <x:f>_xlfn.XLOOKUP($A2439,Games!$A$2:$A$18,Games!$N$2:$N$18,"Missing game",0)</x:f>
        <x:v>outdoors</x:v>
      </x:c>
      <x:c r="AT2439" t="str">
        <x:f>_xlfn.XLOOKUP($A2439,Games!$A$2:$A$18,Games!$O$2:$O$18,"Missing game",0)</x:f>
        <x:v>fieldturf</x:v>
      </x:c>
      <x:c r="AU2439" t="n">
        <x:f>_xlfn.XLOOKUP($A2439,Games!$A$2:$A$18,Games!$P$2:$P$18,"Missing game",0)</x:f>
        <x:v>46</x:v>
      </x:c>
      <x:c r="AV2439" t="n">
        <x:f>_xlfn.XLOOKUP($A2439,Games!$A$2:$A$18,Games!$Q$2:$Q$18,"Missing game",0)</x:f>
        <x:v>20</x:v>
      </x:c>
      <x:c r="AW2439" t="str">
        <x:f>_xlfn.XLOOKUP($A2439,Games!$A$2:$A$18,Games!$R$2:$R$18,"Missing game",0)</x:f>
        <x:v>MetLife Stadium</x:v>
      </x:c>
    </x:row>
    <x:row r="2440">
      <x:c r="A2440" t="str">
        <x:v>2025_16_MIN_NYG</x:v>
      </x:c>
      <x:c r="B2440" t="n">
        <x:v>2989</x:v>
      </x:c>
      <x:c r="C2440" t="n">
        <x:v>4</x:v>
      </x:c>
      <x:c r="D2440" t="str">
        <x:v>13:03</x:v>
      </x:c>
      <x:c r="E2440" t="n">
        <x:v>2</x:v>
      </x:c>
      <x:c r="F2440" t="n">
        <x:v>6</x:v>
      </x:c>
      <x:c r="G2440" t="str">
        <x:v>NYG</x:v>
      </x:c>
      <x:c r="H2440" t="str">
        <x:v>MIN</x:v>
      </x:c>
      <x:c r="I2440" t="str">
        <x:v>MIN</x:v>
      </x:c>
      <x:c r="J2440" t="n">
        <x:v>17</x:v>
      </x:c>
      <x:c r="K2440" t="str">
        <x:v>(13:03) (No Huddle) 26-D.Singletary left tackle to MIN 17 for no gain (55-E.Wilson). PENALTY on NYG-64-A.Stinnie, Offensive Holding, 10 yards, enforced at MIN 17 - No Play.</x:v>
      </x:c>
      <x:c r="L2440" t="str">
        <x:v>no_play</x:v>
      </x:c>
      <x:c r="M2440" t="n">
        <x:v>0</x:v>
      </x:c>
      <x:c r="N2440" t="n">
        <x:v>0</x:v>
      </x:c>
      <x:c r="O2440" t="n">
        <x:v>1</x:v>
      </x:c>
      <x:c r="P2440"/>
      <x:c r="Q2440"/>
      <x:c r="R2440"/>
      <x:c r="S2440"/>
      <x:c r="T2440"/>
      <x:c r="U2440"/>
      <x:c r="V2440" t="n">
        <x:v>0</x:v>
      </x:c>
      <x:c r="W2440" t="n">
        <x:v>0</x:v>
      </x:c>
      <x:c r="X2440" t="n">
        <x:v>0</x:v>
      </x:c>
      <x:c r="Y2440" t="n">
        <x:v>0</x:v>
      </x:c>
      <x:c r="Z2440" t="n">
        <x:v>0</x:v>
      </x:c>
      <x:c r="AA2440" t="n">
        <x:v>1</x:v>
      </x:c>
      <x:c r="AB2440" t="n">
        <x:v>10</x:v>
      </x:c>
      <x:c r="AC2440" t="n">
        <x:v>0</x:v>
      </x:c>
      <x:c r="AD2440" t="n">
        <x:v>-1.2138223925721832</x:v>
      </x:c>
      <x:c r="AE2440" t="n">
        <x:v>0</x:v>
      </x:c>
      <x:c r="AF2440" t="n">
        <x:v>-0.043987810611724854</x:v>
      </x:c>
      <x:c r="AG2440" t="n">
        <x:f>_xlfn.XLOOKUP($A2440,Games!$A$2:$A$18,Games!$B$2:$B$18,"Missing game",0)</x:f>
        <x:v>2025</x:v>
      </x:c>
      <x:c r="AH2440" t="str">
        <x:f>_xlfn.XLOOKUP($A2440,Games!$A$2:$A$18,Games!$C$2:$C$18,"Missing game",0)</x:f>
        <x:v>REG</x:v>
      </x:c>
      <x:c r="AI2440" t="n">
        <x:f>_xlfn.XLOOKUP($A2440,Games!$A$2:$A$18,Games!$D$2:$D$18,"Missing game",0)</x:f>
        <x:v>16</x:v>
      </x:c>
      <x:c r="AJ2440" s="1" t="n">
        <x:f>_xlfn.XLOOKUP($A2440,Games!$A$2:$A$18,Games!$E$2:$E$18,"Missing game",0)</x:f>
        <x:v>46012</x:v>
      </x:c>
      <x:c r="AK2440" t="str">
        <x:f>_xlfn.XLOOKUP($A2440,Games!$A$2:$A$18,Games!$F$2:$F$18,"Missing game",0)</x:f>
        <x:v>Sunday</x:v>
      </x:c>
      <x:c r="AL2440" t="str">
        <x:f>_xlfn.XLOOKUP($A2440,Games!$A$2:$A$18,Games!$G$2:$G$18,"Missing game",0)</x:f>
        <x:v>MIN</x:v>
      </x:c>
      <x:c r="AM2440" t="n">
        <x:f>_xlfn.XLOOKUP($A2440,Games!$A$2:$A$18,Games!$H$2:$H$18,"Missing game",0)</x:f>
        <x:v>16</x:v>
      </x:c>
      <x:c r="AN2440" t="str">
        <x:f>_xlfn.XLOOKUP($A2440,Games!$A$2:$A$18,Games!$I$2:$I$18,"Missing game",0)</x:f>
        <x:v>NYG</x:v>
      </x:c>
      <x:c r="AO2440" t="n">
        <x:f>_xlfn.XLOOKUP($A2440,Games!$A$2:$A$18,Games!$J$2:$J$18,"Missing game",0)</x:f>
        <x:v>13</x:v>
      </x:c>
      <x:c r="AP2440" t="n">
        <x:f>_xlfn.XLOOKUP($A2440,Games!$A$2:$A$18,Games!$K$2:$K$18,"Missing game",0)</x:f>
        <x:v>-3</x:v>
      </x:c>
      <x:c r="AQ2440" t="n">
        <x:f>_xlfn.XLOOKUP($A2440,Games!$A$2:$A$18,Games!$L$2:$L$18,"Missing game",0)</x:f>
        <x:v>29</x:v>
      </x:c>
      <x:c r="AR2440" t="n">
        <x:f>_xlfn.XLOOKUP($A2440,Games!$A$2:$A$18,Games!$M$2:$M$18,"Missing game",0)</x:f>
        <x:v>0</x:v>
      </x:c>
      <x:c r="AS2440" t="str">
        <x:f>_xlfn.XLOOKUP($A2440,Games!$A$2:$A$18,Games!$N$2:$N$18,"Missing game",0)</x:f>
        <x:v>outdoors</x:v>
      </x:c>
      <x:c r="AT2440" t="str">
        <x:f>_xlfn.XLOOKUP($A2440,Games!$A$2:$A$18,Games!$O$2:$O$18,"Missing game",0)</x:f>
        <x:v>fieldturf</x:v>
      </x:c>
      <x:c r="AU2440" t="n">
        <x:f>_xlfn.XLOOKUP($A2440,Games!$A$2:$A$18,Games!$P$2:$P$18,"Missing game",0)</x:f>
        <x:v>46</x:v>
      </x:c>
      <x:c r="AV2440" t="n">
        <x:f>_xlfn.XLOOKUP($A2440,Games!$A$2:$A$18,Games!$Q$2:$Q$18,"Missing game",0)</x:f>
        <x:v>20</x:v>
      </x:c>
      <x:c r="AW2440" t="str">
        <x:f>_xlfn.XLOOKUP($A2440,Games!$A$2:$A$18,Games!$R$2:$R$18,"Missing game",0)</x:f>
        <x:v>MetLife Stadium</x:v>
      </x:c>
    </x:row>
    <x:row r="2441">
      <x:c r="A2441" t="str">
        <x:v>2025_16_MIN_NYG</x:v>
      </x:c>
      <x:c r="B2441" t="n">
        <x:v>3022</x:v>
      </x:c>
      <x:c r="C2441" t="n">
        <x:v>4</x:v>
      </x:c>
      <x:c r="D2441" t="str">
        <x:v>12:36</x:v>
      </x:c>
      <x:c r="E2441" t="n">
        <x:v>2</x:v>
      </x:c>
      <x:c r="F2441" t="n">
        <x:v>16</x:v>
      </x:c>
      <x:c r="G2441" t="str">
        <x:v>NYG</x:v>
      </x:c>
      <x:c r="H2441" t="str">
        <x:v>MIN</x:v>
      </x:c>
      <x:c r="I2441" t="str">
        <x:v>MIN</x:v>
      </x:c>
      <x:c r="J2441" t="n">
        <x:v>27</x:v>
      </x:c>
      <x:c r="K2441" t="str">
        <x:v>(12:36) (Shotgun) 6-J.Dart pass short right to 29-T.Tracy to MIN 24 for 3 yards (23-F.Moreau).</x:v>
      </x:c>
      <x:c r="L2441" t="str">
        <x:v>pass</x:v>
      </x:c>
      <x:c r="M2441" t="n">
        <x:v>3</x:v>
      </x:c>
      <x:c r="N2441" t="n">
        <x:v>1</x:v>
      </x:c>
      <x:c r="O2441" t="n">
        <x:v>0</x:v>
      </x:c>
      <x:c r="P2441" t="str">
        <x:v>short</x:v>
      </x:c>
      <x:c r="Q2441" t="str">
        <x:v>right</x:v>
      </x:c>
      <x:c r="R2441" t="n">
        <x:v>0</x:v>
      </x:c>
      <x:c r="S2441" t="n">
        <x:v>3</x:v>
      </x:c>
      <x:c r="T2441"/>
      <x:c r="U2441"/>
      <x:c r="V2441" t="n">
        <x:v>1</x:v>
      </x:c>
      <x:c r="W2441" t="n">
        <x:v>0</x:v>
      </x:c>
      <x:c r="X2441" t="n">
        <x:v>0</x:v>
      </x:c>
      <x:c r="Y2441" t="n">
        <x:v>0</x:v>
      </x:c>
      <x:c r="Z2441" t="n">
        <x:v>0</x:v>
      </x:c>
      <x:c r="AA2441" t="n">
        <x:v>0</x:v>
      </x:c>
      <x:c r="AB2441"/>
      <x:c r="AC2441" t="n">
        <x:v>0</x:v>
      </x:c>
      <x:c r="AD2441" t="n">
        <x:v>-0.24295154900755733</x:v>
      </x:c>
      <x:c r="AE2441" t="n">
        <x:v>0</x:v>
      </x:c>
      <x:c r="AF2441" t="n">
        <x:v>-0.02610519528388977</x:v>
      </x:c>
      <x:c r="AG2441" t="n">
        <x:f>_xlfn.XLOOKUP($A2441,Games!$A$2:$A$18,Games!$B$2:$B$18,"Missing game",0)</x:f>
        <x:v>2025</x:v>
      </x:c>
      <x:c r="AH2441" t="str">
        <x:f>_xlfn.XLOOKUP($A2441,Games!$A$2:$A$18,Games!$C$2:$C$18,"Missing game",0)</x:f>
        <x:v>REG</x:v>
      </x:c>
      <x:c r="AI2441" t="n">
        <x:f>_xlfn.XLOOKUP($A2441,Games!$A$2:$A$18,Games!$D$2:$D$18,"Missing game",0)</x:f>
        <x:v>16</x:v>
      </x:c>
      <x:c r="AJ2441" s="1" t="n">
        <x:f>_xlfn.XLOOKUP($A2441,Games!$A$2:$A$18,Games!$E$2:$E$18,"Missing game",0)</x:f>
        <x:v>46012</x:v>
      </x:c>
      <x:c r="AK2441" t="str">
        <x:f>_xlfn.XLOOKUP($A2441,Games!$A$2:$A$18,Games!$F$2:$F$18,"Missing game",0)</x:f>
        <x:v>Sunday</x:v>
      </x:c>
      <x:c r="AL2441" t="str">
        <x:f>_xlfn.XLOOKUP($A2441,Games!$A$2:$A$18,Games!$G$2:$G$18,"Missing game",0)</x:f>
        <x:v>MIN</x:v>
      </x:c>
      <x:c r="AM2441" t="n">
        <x:f>_xlfn.XLOOKUP($A2441,Games!$A$2:$A$18,Games!$H$2:$H$18,"Missing game",0)</x:f>
        <x:v>16</x:v>
      </x:c>
      <x:c r="AN2441" t="str">
        <x:f>_xlfn.XLOOKUP($A2441,Games!$A$2:$A$18,Games!$I$2:$I$18,"Missing game",0)</x:f>
        <x:v>NYG</x:v>
      </x:c>
      <x:c r="AO2441" t="n">
        <x:f>_xlfn.XLOOKUP($A2441,Games!$A$2:$A$18,Games!$J$2:$J$18,"Missing game",0)</x:f>
        <x:v>13</x:v>
      </x:c>
      <x:c r="AP2441" t="n">
        <x:f>_xlfn.XLOOKUP($A2441,Games!$A$2:$A$18,Games!$K$2:$K$18,"Missing game",0)</x:f>
        <x:v>-3</x:v>
      </x:c>
      <x:c r="AQ2441" t="n">
        <x:f>_xlfn.XLOOKUP($A2441,Games!$A$2:$A$18,Games!$L$2:$L$18,"Missing game",0)</x:f>
        <x:v>29</x:v>
      </x:c>
      <x:c r="AR2441" t="n">
        <x:f>_xlfn.XLOOKUP($A2441,Games!$A$2:$A$18,Games!$M$2:$M$18,"Missing game",0)</x:f>
        <x:v>0</x:v>
      </x:c>
      <x:c r="AS2441" t="str">
        <x:f>_xlfn.XLOOKUP($A2441,Games!$A$2:$A$18,Games!$N$2:$N$18,"Missing game",0)</x:f>
        <x:v>outdoors</x:v>
      </x:c>
      <x:c r="AT2441" t="str">
        <x:f>_xlfn.XLOOKUP($A2441,Games!$A$2:$A$18,Games!$O$2:$O$18,"Missing game",0)</x:f>
        <x:v>fieldturf</x:v>
      </x:c>
      <x:c r="AU2441" t="n">
        <x:f>_xlfn.XLOOKUP($A2441,Games!$A$2:$A$18,Games!$P$2:$P$18,"Missing game",0)</x:f>
        <x:v>46</x:v>
      </x:c>
      <x:c r="AV2441" t="n">
        <x:f>_xlfn.XLOOKUP($A2441,Games!$A$2:$A$18,Games!$Q$2:$Q$18,"Missing game",0)</x:f>
        <x:v>20</x:v>
      </x:c>
      <x:c r="AW2441" t="str">
        <x:f>_xlfn.XLOOKUP($A2441,Games!$A$2:$A$18,Games!$R$2:$R$18,"Missing game",0)</x:f>
        <x:v>MetLife Stadium</x:v>
      </x:c>
    </x:row>
    <x:row r="2442">
      <x:c r="A2442" t="str">
        <x:v>2025_16_MIN_NYG</x:v>
      </x:c>
      <x:c r="B2442" t="n">
        <x:v>3052</x:v>
      </x:c>
      <x:c r="C2442" t="n">
        <x:v>4</x:v>
      </x:c>
      <x:c r="D2442" t="str">
        <x:v>11:52</x:v>
      </x:c>
      <x:c r="E2442" t="n">
        <x:v>3</x:v>
      </x:c>
      <x:c r="F2442" t="n">
        <x:v>13</x:v>
      </x:c>
      <x:c r="G2442" t="str">
        <x:v>NYG</x:v>
      </x:c>
      <x:c r="H2442" t="str">
        <x:v>MIN</x:v>
      </x:c>
      <x:c r="I2442" t="str">
        <x:v>MIN</x:v>
      </x:c>
      <x:c r="J2442" t="n">
        <x:v>24</x:v>
      </x:c>
      <x:c r="K2442" t="str">
        <x:v>(11:52) (Shotgun) 6-J.Dart pass short left to 17-W.Robinson to MIN 21 for 3 yards (51-B.Cashman).</x:v>
      </x:c>
      <x:c r="L2442" t="str">
        <x:v>pass</x:v>
      </x:c>
      <x:c r="M2442" t="n">
        <x:v>3</x:v>
      </x:c>
      <x:c r="N2442" t="n">
        <x:v>1</x:v>
      </x:c>
      <x:c r="O2442" t="n">
        <x:v>0</x:v>
      </x:c>
      <x:c r="P2442" t="str">
        <x:v>short</x:v>
      </x:c>
      <x:c r="Q2442" t="str">
        <x:v>left</x:v>
      </x:c>
      <x:c r="R2442" t="n">
        <x:v>3</x:v>
      </x:c>
      <x:c r="S2442" t="n">
        <x:v>0</x:v>
      </x:c>
      <x:c r="T2442"/>
      <x:c r="U2442"/>
      <x:c r="V2442" t="n">
        <x:v>1</x:v>
      </x:c>
      <x:c r="W2442" t="n">
        <x:v>0</x:v>
      </x:c>
      <x:c r="X2442" t="n">
        <x:v>0</x:v>
      </x:c>
      <x:c r="Y2442" t="n">
        <x:v>0</x:v>
      </x:c>
      <x:c r="Z2442" t="n">
        <x:v>0</x:v>
      </x:c>
      <x:c r="AA2442" t="n">
        <x:v>0</x:v>
      </x:c>
      <x:c r="AB2442"/>
      <x:c r="AC2442" t="n">
        <x:v>0</x:v>
      </x:c>
      <x:c r="AD2442" t="n">
        <x:v>-0.6938284498181799</x:v>
      </x:c>
      <x:c r="AE2442" t="n">
        <x:v>0</x:v>
      </x:c>
      <x:c r="AF2442" t="n">
        <x:v>-0.02236536145210266</x:v>
      </x:c>
      <x:c r="AG2442" t="n">
        <x:f>_xlfn.XLOOKUP($A2442,Games!$A$2:$A$18,Games!$B$2:$B$18,"Missing game",0)</x:f>
        <x:v>2025</x:v>
      </x:c>
      <x:c r="AH2442" t="str">
        <x:f>_xlfn.XLOOKUP($A2442,Games!$A$2:$A$18,Games!$C$2:$C$18,"Missing game",0)</x:f>
        <x:v>REG</x:v>
      </x:c>
      <x:c r="AI2442" t="n">
        <x:f>_xlfn.XLOOKUP($A2442,Games!$A$2:$A$18,Games!$D$2:$D$18,"Missing game",0)</x:f>
        <x:v>16</x:v>
      </x:c>
      <x:c r="AJ2442" s="1" t="n">
        <x:f>_xlfn.XLOOKUP($A2442,Games!$A$2:$A$18,Games!$E$2:$E$18,"Missing game",0)</x:f>
        <x:v>46012</x:v>
      </x:c>
      <x:c r="AK2442" t="str">
        <x:f>_xlfn.XLOOKUP($A2442,Games!$A$2:$A$18,Games!$F$2:$F$18,"Missing game",0)</x:f>
        <x:v>Sunday</x:v>
      </x:c>
      <x:c r="AL2442" t="str">
        <x:f>_xlfn.XLOOKUP($A2442,Games!$A$2:$A$18,Games!$G$2:$G$18,"Missing game",0)</x:f>
        <x:v>MIN</x:v>
      </x:c>
      <x:c r="AM2442" t="n">
        <x:f>_xlfn.XLOOKUP($A2442,Games!$A$2:$A$18,Games!$H$2:$H$18,"Missing game",0)</x:f>
        <x:v>16</x:v>
      </x:c>
      <x:c r="AN2442" t="str">
        <x:f>_xlfn.XLOOKUP($A2442,Games!$A$2:$A$18,Games!$I$2:$I$18,"Missing game",0)</x:f>
        <x:v>NYG</x:v>
      </x:c>
      <x:c r="AO2442" t="n">
        <x:f>_xlfn.XLOOKUP($A2442,Games!$A$2:$A$18,Games!$J$2:$J$18,"Missing game",0)</x:f>
        <x:v>13</x:v>
      </x:c>
      <x:c r="AP2442" t="n">
        <x:f>_xlfn.XLOOKUP($A2442,Games!$A$2:$A$18,Games!$K$2:$K$18,"Missing game",0)</x:f>
        <x:v>-3</x:v>
      </x:c>
      <x:c r="AQ2442" t="n">
        <x:f>_xlfn.XLOOKUP($A2442,Games!$A$2:$A$18,Games!$L$2:$L$18,"Missing game",0)</x:f>
        <x:v>29</x:v>
      </x:c>
      <x:c r="AR2442" t="n">
        <x:f>_xlfn.XLOOKUP($A2442,Games!$A$2:$A$18,Games!$M$2:$M$18,"Missing game",0)</x:f>
        <x:v>0</x:v>
      </x:c>
      <x:c r="AS2442" t="str">
        <x:f>_xlfn.XLOOKUP($A2442,Games!$A$2:$A$18,Games!$N$2:$N$18,"Missing game",0)</x:f>
        <x:v>outdoors</x:v>
      </x:c>
      <x:c r="AT2442" t="str">
        <x:f>_xlfn.XLOOKUP($A2442,Games!$A$2:$A$18,Games!$O$2:$O$18,"Missing game",0)</x:f>
        <x:v>fieldturf</x:v>
      </x:c>
      <x:c r="AU2442" t="n">
        <x:f>_xlfn.XLOOKUP($A2442,Games!$A$2:$A$18,Games!$P$2:$P$18,"Missing game",0)</x:f>
        <x:v>46</x:v>
      </x:c>
      <x:c r="AV2442" t="n">
        <x:f>_xlfn.XLOOKUP($A2442,Games!$A$2:$A$18,Games!$Q$2:$Q$18,"Missing game",0)</x:f>
        <x:v>20</x:v>
      </x:c>
      <x:c r="AW2442" t="str">
        <x:f>_xlfn.XLOOKUP($A2442,Games!$A$2:$A$18,Games!$R$2:$R$18,"Missing game",0)</x:f>
        <x:v>MetLife Stadium</x:v>
      </x:c>
    </x:row>
    <x:row r="2443">
      <x:c r="A2443" t="str">
        <x:v>2025_16_MIN_NYG</x:v>
      </x:c>
      <x:c r="B2443" t="n">
        <x:v>3077</x:v>
      </x:c>
      <x:c r="C2443" t="n">
        <x:v>4</x:v>
      </x:c>
      <x:c r="D2443" t="str">
        <x:v>11:10</x:v>
      </x:c>
      <x:c r="E2443" t="n">
        <x:v>4</x:v>
      </x:c>
      <x:c r="F2443" t="n">
        <x:v>10</x:v>
      </x:c>
      <x:c r="G2443" t="str">
        <x:v>NYG</x:v>
      </x:c>
      <x:c r="H2443" t="str">
        <x:v>MIN</x:v>
      </x:c>
      <x:c r="I2443" t="str">
        <x:v>MIN</x:v>
      </x:c>
      <x:c r="J2443" t="n">
        <x:v>21</x:v>
      </x:c>
      <x:c r="K2443" t="str">
        <x:v>(11:10) 30-B.Sauls 39 yard field goal is GOOD, Center-59-C.Kreiter, Holder-12-J.Gillan.</x:v>
      </x:c>
      <x:c r="L2443" t="str">
        <x:v>field_goal</x:v>
      </x:c>
      <x:c r="M2443" t="n">
        <x:v>0</x:v>
      </x:c>
      <x:c r="N2443" t="n">
        <x:v>0</x:v>
      </x:c>
      <x:c r="O2443" t="n">
        <x:v>0</x:v>
      </x:c>
      <x:c r="P2443"/>
      <x:c r="Q2443"/>
      <x:c r="R2443"/>
      <x:c r="S2443"/>
      <x:c r="T2443"/>
      <x:c r="U2443"/>
      <x:c r="V2443" t="n">
        <x:v>0</x:v>
      </x:c>
      <x:c r="W2443" t="n">
        <x:v>0</x:v>
      </x:c>
      <x:c r="X2443" t="n">
        <x:v>0</x:v>
      </x:c>
      <x:c r="Y2443" t="n">
        <x:v>0</x:v>
      </x:c>
      <x:c r="Z2443" t="n">
        <x:v>0</x:v>
      </x:c>
      <x:c r="AA2443" t="n">
        <x:v>0</x:v>
      </x:c>
      <x:c r="AB2443"/>
      <x:c r="AC2443" t="n">
        <x:v>0</x:v>
      </x:c>
      <x:c r="AD2443" t="n">
        <x:v>0.6142373532064864</x:v>
      </x:c>
      <x:c r="AE2443" t="n">
        <x:v>1</x:v>
      </x:c>
      <x:c r="AF2443" t="n">
        <x:v>0.04638403654098511</x:v>
      </x:c>
      <x:c r="AG2443" t="n">
        <x:f>_xlfn.XLOOKUP($A2443,Games!$A$2:$A$18,Games!$B$2:$B$18,"Missing game",0)</x:f>
        <x:v>2025</x:v>
      </x:c>
      <x:c r="AH2443" t="str">
        <x:f>_xlfn.XLOOKUP($A2443,Games!$A$2:$A$18,Games!$C$2:$C$18,"Missing game",0)</x:f>
        <x:v>REG</x:v>
      </x:c>
      <x:c r="AI2443" t="n">
        <x:f>_xlfn.XLOOKUP($A2443,Games!$A$2:$A$18,Games!$D$2:$D$18,"Missing game",0)</x:f>
        <x:v>16</x:v>
      </x:c>
      <x:c r="AJ2443" s="1" t="n">
        <x:f>_xlfn.XLOOKUP($A2443,Games!$A$2:$A$18,Games!$E$2:$E$18,"Missing game",0)</x:f>
        <x:v>46012</x:v>
      </x:c>
      <x:c r="AK2443" t="str">
        <x:f>_xlfn.XLOOKUP($A2443,Games!$A$2:$A$18,Games!$F$2:$F$18,"Missing game",0)</x:f>
        <x:v>Sunday</x:v>
      </x:c>
      <x:c r="AL2443" t="str">
        <x:f>_xlfn.XLOOKUP($A2443,Games!$A$2:$A$18,Games!$G$2:$G$18,"Missing game",0)</x:f>
        <x:v>MIN</x:v>
      </x:c>
      <x:c r="AM2443" t="n">
        <x:f>_xlfn.XLOOKUP($A2443,Games!$A$2:$A$18,Games!$H$2:$H$18,"Missing game",0)</x:f>
        <x:v>16</x:v>
      </x:c>
      <x:c r="AN2443" t="str">
        <x:f>_xlfn.XLOOKUP($A2443,Games!$A$2:$A$18,Games!$I$2:$I$18,"Missing game",0)</x:f>
        <x:v>NYG</x:v>
      </x:c>
      <x:c r="AO2443" t="n">
        <x:f>_xlfn.XLOOKUP($A2443,Games!$A$2:$A$18,Games!$J$2:$J$18,"Missing game",0)</x:f>
        <x:v>13</x:v>
      </x:c>
      <x:c r="AP2443" t="n">
        <x:f>_xlfn.XLOOKUP($A2443,Games!$A$2:$A$18,Games!$K$2:$K$18,"Missing game",0)</x:f>
        <x:v>-3</x:v>
      </x:c>
      <x:c r="AQ2443" t="n">
        <x:f>_xlfn.XLOOKUP($A2443,Games!$A$2:$A$18,Games!$L$2:$L$18,"Missing game",0)</x:f>
        <x:v>29</x:v>
      </x:c>
      <x:c r="AR2443" t="n">
        <x:f>_xlfn.XLOOKUP($A2443,Games!$A$2:$A$18,Games!$M$2:$M$18,"Missing game",0)</x:f>
        <x:v>0</x:v>
      </x:c>
      <x:c r="AS2443" t="str">
        <x:f>_xlfn.XLOOKUP($A2443,Games!$A$2:$A$18,Games!$N$2:$N$18,"Missing game",0)</x:f>
        <x:v>outdoors</x:v>
      </x:c>
      <x:c r="AT2443" t="str">
        <x:f>_xlfn.XLOOKUP($A2443,Games!$A$2:$A$18,Games!$O$2:$O$18,"Missing game",0)</x:f>
        <x:v>fieldturf</x:v>
      </x:c>
      <x:c r="AU2443" t="n">
        <x:f>_xlfn.XLOOKUP($A2443,Games!$A$2:$A$18,Games!$P$2:$P$18,"Missing game",0)</x:f>
        <x:v>46</x:v>
      </x:c>
      <x:c r="AV2443" t="n">
        <x:f>_xlfn.XLOOKUP($A2443,Games!$A$2:$A$18,Games!$Q$2:$Q$18,"Missing game",0)</x:f>
        <x:v>20</x:v>
      </x:c>
      <x:c r="AW2443" t="str">
        <x:f>_xlfn.XLOOKUP($A2443,Games!$A$2:$A$18,Games!$R$2:$R$18,"Missing game",0)</x:f>
        <x:v>MetLife Stadium</x:v>
      </x:c>
    </x:row>
    <x:row r="2444">
      <x:c r="A2444" t="str">
        <x:v>2025_16_MIN_NYG</x:v>
      </x:c>
      <x:c r="B2444" t="n">
        <x:v>3106</x:v>
      </x:c>
      <x:c r="C2444" t="n">
        <x:v>4</x:v>
      </x:c>
      <x:c r="D2444" t="str">
        <x:v>11:06</x:v>
      </x:c>
      <x:c r="E2444"/>
      <x:c r="F2444" t="n">
        <x:v>0</x:v>
      </x:c>
      <x:c r="G2444" t="str">
        <x:v>MIN</x:v>
      </x:c>
      <x:c r="H2444" t="str">
        <x:v>NYG</x:v>
      </x:c>
      <x:c r="I2444" t="str">
        <x:v>NYG</x:v>
      </x:c>
      <x:c r="J2444" t="n">
        <x:v>35</x:v>
      </x:c>
      <x:c r="K2444" t="str">
        <x:v>30-B.Sauls kicks 63 yards from NYG 35 to MIN 2. 4-M.Price pushed ob at MIN 31 for 29 yards (24-D.Belton; 46-Z.Barnes). Penalty on MIN-0-I.Pace, Offensive Holding, offsetting, enforced at MIN 31. Penalty on NYG-23-A.Green, Unnecessary Roughness, offsetting.</x:v>
      </x:c>
      <x:c r="L2444" t="str">
        <x:v>kickoff</x:v>
      </x:c>
      <x:c r="M2444" t="n">
        <x:v>0</x:v>
      </x:c>
      <x:c r="N2444" t="n">
        <x:v>0</x:v>
      </x:c>
      <x:c r="O2444" t="n">
        <x:v>0</x:v>
      </x:c>
      <x:c r="P2444"/>
      <x:c r="Q2444"/>
      <x:c r="R2444"/>
      <x:c r="S2444"/>
      <x:c r="T2444"/>
      <x:c r="U2444"/>
      <x:c r="V2444" t="n">
        <x:v>0</x:v>
      </x:c>
      <x:c r="W2444" t="n">
        <x:v>0</x:v>
      </x:c>
      <x:c r="X2444" t="n">
        <x:v>0</x:v>
      </x:c>
      <x:c r="Y2444" t="n">
        <x:v>0</x:v>
      </x:c>
      <x:c r="Z2444" t="n">
        <x:v>0</x:v>
      </x:c>
      <x:c r="AA2444" t="n">
        <x:v>0</x:v>
      </x:c>
      <x:c r="AB2444"/>
      <x:c r="AC2444" t="n">
        <x:v>0</x:v>
      </x:c>
      <x:c r="AD2444" t="n">
        <x:v>0.2730977716855705</x:v>
      </x:c>
      <x:c r="AE2444" t="n">
        <x:v>1</x:v>
      </x:c>
      <x:c r="AF2444" t="n">
        <x:v>0.005982488393783569</x:v>
      </x:c>
      <x:c r="AG2444" t="n">
        <x:f>_xlfn.XLOOKUP($A2444,Games!$A$2:$A$18,Games!$B$2:$B$18,"Missing game",0)</x:f>
        <x:v>2025</x:v>
      </x:c>
      <x:c r="AH2444" t="str">
        <x:f>_xlfn.XLOOKUP($A2444,Games!$A$2:$A$18,Games!$C$2:$C$18,"Missing game",0)</x:f>
        <x:v>REG</x:v>
      </x:c>
      <x:c r="AI2444" t="n">
        <x:f>_xlfn.XLOOKUP($A2444,Games!$A$2:$A$18,Games!$D$2:$D$18,"Missing game",0)</x:f>
        <x:v>16</x:v>
      </x:c>
      <x:c r="AJ2444" s="1" t="n">
        <x:f>_xlfn.XLOOKUP($A2444,Games!$A$2:$A$18,Games!$E$2:$E$18,"Missing game",0)</x:f>
        <x:v>46012</x:v>
      </x:c>
      <x:c r="AK2444" t="str">
        <x:f>_xlfn.XLOOKUP($A2444,Games!$A$2:$A$18,Games!$F$2:$F$18,"Missing game",0)</x:f>
        <x:v>Sunday</x:v>
      </x:c>
      <x:c r="AL2444" t="str">
        <x:f>_xlfn.XLOOKUP($A2444,Games!$A$2:$A$18,Games!$G$2:$G$18,"Missing game",0)</x:f>
        <x:v>MIN</x:v>
      </x:c>
      <x:c r="AM2444" t="n">
        <x:f>_xlfn.XLOOKUP($A2444,Games!$A$2:$A$18,Games!$H$2:$H$18,"Missing game",0)</x:f>
        <x:v>16</x:v>
      </x:c>
      <x:c r="AN2444" t="str">
        <x:f>_xlfn.XLOOKUP($A2444,Games!$A$2:$A$18,Games!$I$2:$I$18,"Missing game",0)</x:f>
        <x:v>NYG</x:v>
      </x:c>
      <x:c r="AO2444" t="n">
        <x:f>_xlfn.XLOOKUP($A2444,Games!$A$2:$A$18,Games!$J$2:$J$18,"Missing game",0)</x:f>
        <x:v>13</x:v>
      </x:c>
      <x:c r="AP2444" t="n">
        <x:f>_xlfn.XLOOKUP($A2444,Games!$A$2:$A$18,Games!$K$2:$K$18,"Missing game",0)</x:f>
        <x:v>-3</x:v>
      </x:c>
      <x:c r="AQ2444" t="n">
        <x:f>_xlfn.XLOOKUP($A2444,Games!$A$2:$A$18,Games!$L$2:$L$18,"Missing game",0)</x:f>
        <x:v>29</x:v>
      </x:c>
      <x:c r="AR2444" t="n">
        <x:f>_xlfn.XLOOKUP($A2444,Games!$A$2:$A$18,Games!$M$2:$M$18,"Missing game",0)</x:f>
        <x:v>0</x:v>
      </x:c>
      <x:c r="AS2444" t="str">
        <x:f>_xlfn.XLOOKUP($A2444,Games!$A$2:$A$18,Games!$N$2:$N$18,"Missing game",0)</x:f>
        <x:v>outdoors</x:v>
      </x:c>
      <x:c r="AT2444" t="str">
        <x:f>_xlfn.XLOOKUP($A2444,Games!$A$2:$A$18,Games!$O$2:$O$18,"Missing game",0)</x:f>
        <x:v>fieldturf</x:v>
      </x:c>
      <x:c r="AU2444" t="n">
        <x:f>_xlfn.XLOOKUP($A2444,Games!$A$2:$A$18,Games!$P$2:$P$18,"Missing game",0)</x:f>
        <x:v>46</x:v>
      </x:c>
      <x:c r="AV2444" t="n">
        <x:f>_xlfn.XLOOKUP($A2444,Games!$A$2:$A$18,Games!$Q$2:$Q$18,"Missing game",0)</x:f>
        <x:v>20</x:v>
      </x:c>
      <x:c r="AW2444" t="str">
        <x:f>_xlfn.XLOOKUP($A2444,Games!$A$2:$A$18,Games!$R$2:$R$18,"Missing game",0)</x:f>
        <x:v>MetLife Stadium</x:v>
      </x:c>
    </x:row>
    <x:row r="2445">
      <x:c r="A2445" t="str">
        <x:v>2025_16_MIN_NYG</x:v>
      </x:c>
      <x:c r="B2445" t="n">
        <x:v>3162</x:v>
      </x:c>
      <x:c r="C2445" t="n">
        <x:v>4</x:v>
      </x:c>
      <x:c r="D2445" t="str">
        <x:v>10:59</x:v>
      </x:c>
      <x:c r="E2445" t="n">
        <x:v>1</x:v>
      </x:c>
      <x:c r="F2445" t="n">
        <x:v>10</x:v>
      </x:c>
      <x:c r="G2445" t="str">
        <x:v>MIN</x:v>
      </x:c>
      <x:c r="H2445" t="str">
        <x:v>NYG</x:v>
      </x:c>
      <x:c r="I2445" t="str">
        <x:v>MIN</x:v>
      </x:c>
      <x:c r="J2445" t="n">
        <x:v>69</x:v>
      </x:c>
      <x:c r="K2445" t="str">
        <x:v>(10:59) (Shotgun) 33-A.Jones right end to MIN 33 for 2 yards (58-B.Okereke; 57-C.Golston). ** Injury Update: MIN-3-J.Addison has returned to the game.</x:v>
      </x:c>
      <x:c r="L2445" t="str">
        <x:v>run</x:v>
      </x:c>
      <x:c r="M2445" t="n">
        <x:v>2</x:v>
      </x:c>
      <x:c r="N2445" t="n">
        <x:v>1</x:v>
      </x:c>
      <x:c r="O2445" t="n">
        <x:v>0</x:v>
      </x:c>
      <x:c r="P2445"/>
      <x:c r="Q2445"/>
      <x:c r="R2445"/>
      <x:c r="S2445"/>
      <x:c r="T2445" t="str">
        <x:v>right</x:v>
      </x:c>
      <x:c r="U2445" t="str">
        <x:v>end</x:v>
      </x:c>
      <x:c r="V2445" t="n">
        <x:v>0</x:v>
      </x:c>
      <x:c r="W2445" t="n">
        <x:v>0</x:v>
      </x:c>
      <x:c r="X2445" t="n">
        <x:v>0</x:v>
      </x:c>
      <x:c r="Y2445" t="n">
        <x:v>0</x:v>
      </x:c>
      <x:c r="Z2445" t="n">
        <x:v>0</x:v>
      </x:c>
      <x:c r="AA2445" t="n">
        <x:v>0</x:v>
      </x:c>
      <x:c r="AB2445"/>
      <x:c r="AC2445" t="n">
        <x:v>0</x:v>
      </x:c>
      <x:c r="AD2445" t="n">
        <x:v>-0.4439014005474746</x:v>
      </x:c>
      <x:c r="AE2445" t="n">
        <x:v>0</x:v>
      </x:c>
      <x:c r="AF2445" t="n">
        <x:v>-0.018877089023590088</x:v>
      </x:c>
      <x:c r="AG2445" t="n">
        <x:f>_xlfn.XLOOKUP($A2445,Games!$A$2:$A$18,Games!$B$2:$B$18,"Missing game",0)</x:f>
        <x:v>2025</x:v>
      </x:c>
      <x:c r="AH2445" t="str">
        <x:f>_xlfn.XLOOKUP($A2445,Games!$A$2:$A$18,Games!$C$2:$C$18,"Missing game",0)</x:f>
        <x:v>REG</x:v>
      </x:c>
      <x:c r="AI2445" t="n">
        <x:f>_xlfn.XLOOKUP($A2445,Games!$A$2:$A$18,Games!$D$2:$D$18,"Missing game",0)</x:f>
        <x:v>16</x:v>
      </x:c>
      <x:c r="AJ2445" s="1" t="n">
        <x:f>_xlfn.XLOOKUP($A2445,Games!$A$2:$A$18,Games!$E$2:$E$18,"Missing game",0)</x:f>
        <x:v>46012</x:v>
      </x:c>
      <x:c r="AK2445" t="str">
        <x:f>_xlfn.XLOOKUP($A2445,Games!$A$2:$A$18,Games!$F$2:$F$18,"Missing game",0)</x:f>
        <x:v>Sunday</x:v>
      </x:c>
      <x:c r="AL2445" t="str">
        <x:f>_xlfn.XLOOKUP($A2445,Games!$A$2:$A$18,Games!$G$2:$G$18,"Missing game",0)</x:f>
        <x:v>MIN</x:v>
      </x:c>
      <x:c r="AM2445" t="n">
        <x:f>_xlfn.XLOOKUP($A2445,Games!$A$2:$A$18,Games!$H$2:$H$18,"Missing game",0)</x:f>
        <x:v>16</x:v>
      </x:c>
      <x:c r="AN2445" t="str">
        <x:f>_xlfn.XLOOKUP($A2445,Games!$A$2:$A$18,Games!$I$2:$I$18,"Missing game",0)</x:f>
        <x:v>NYG</x:v>
      </x:c>
      <x:c r="AO2445" t="n">
        <x:f>_xlfn.XLOOKUP($A2445,Games!$A$2:$A$18,Games!$J$2:$J$18,"Missing game",0)</x:f>
        <x:v>13</x:v>
      </x:c>
      <x:c r="AP2445" t="n">
        <x:f>_xlfn.XLOOKUP($A2445,Games!$A$2:$A$18,Games!$K$2:$K$18,"Missing game",0)</x:f>
        <x:v>-3</x:v>
      </x:c>
      <x:c r="AQ2445" t="n">
        <x:f>_xlfn.XLOOKUP($A2445,Games!$A$2:$A$18,Games!$L$2:$L$18,"Missing game",0)</x:f>
        <x:v>29</x:v>
      </x:c>
      <x:c r="AR2445" t="n">
        <x:f>_xlfn.XLOOKUP($A2445,Games!$A$2:$A$18,Games!$M$2:$M$18,"Missing game",0)</x:f>
        <x:v>0</x:v>
      </x:c>
      <x:c r="AS2445" t="str">
        <x:f>_xlfn.XLOOKUP($A2445,Games!$A$2:$A$18,Games!$N$2:$N$18,"Missing game",0)</x:f>
        <x:v>outdoors</x:v>
      </x:c>
      <x:c r="AT2445" t="str">
        <x:f>_xlfn.XLOOKUP($A2445,Games!$A$2:$A$18,Games!$O$2:$O$18,"Missing game",0)</x:f>
        <x:v>fieldturf</x:v>
      </x:c>
      <x:c r="AU2445" t="n">
        <x:f>_xlfn.XLOOKUP($A2445,Games!$A$2:$A$18,Games!$P$2:$P$18,"Missing game",0)</x:f>
        <x:v>46</x:v>
      </x:c>
      <x:c r="AV2445" t="n">
        <x:f>_xlfn.XLOOKUP($A2445,Games!$A$2:$A$18,Games!$Q$2:$Q$18,"Missing game",0)</x:f>
        <x:v>20</x:v>
      </x:c>
      <x:c r="AW2445" t="str">
        <x:f>_xlfn.XLOOKUP($A2445,Games!$A$2:$A$18,Games!$R$2:$R$18,"Missing game",0)</x:f>
        <x:v>MetLife Stadium</x:v>
      </x:c>
    </x:row>
    <x:row r="2446">
      <x:c r="A2446" t="str">
        <x:v>2025_16_MIN_NYG</x:v>
      </x:c>
      <x:c r="B2446" t="n">
        <x:v>3184</x:v>
      </x:c>
      <x:c r="C2446" t="n">
        <x:v>4</x:v>
      </x:c>
      <x:c r="D2446" t="str">
        <x:v>10:20</x:v>
      </x:c>
      <x:c r="E2446" t="n">
        <x:v>2</x:v>
      </x:c>
      <x:c r="F2446" t="n">
        <x:v>8</x:v>
      </x:c>
      <x:c r="G2446" t="str">
        <x:v>MIN</x:v>
      </x:c>
      <x:c r="H2446" t="str">
        <x:v>NYG</x:v>
      </x:c>
      <x:c r="I2446" t="str">
        <x:v>MIN</x:v>
      </x:c>
      <x:c r="J2446" t="n">
        <x:v>67</x:v>
      </x:c>
      <x:c r="K2446" t="str">
        <x:v>(10:20) (Shotgun) 12-M.Brosmer sacked at MIN 24 for -9 yards (51-A.Carter). NYG-0-B.Burns was injured during the play.</x:v>
      </x:c>
      <x:c r="L2446" t="str">
        <x:v>pass</x:v>
      </x:c>
      <x:c r="M2446" t="n">
        <x:v>-9</x:v>
      </x:c>
      <x:c r="N2446" t="n">
        <x:v>1</x:v>
      </x:c>
      <x:c r="O2446" t="n">
        <x:v>0</x:v>
      </x:c>
      <x:c r="P2446"/>
      <x:c r="Q2446"/>
      <x:c r="R2446"/>
      <x:c r="S2446"/>
      <x:c r="T2446"/>
      <x:c r="U2446"/>
      <x:c r="V2446" t="n">
        <x:v>0</x:v>
      </x:c>
      <x:c r="W2446" t="n">
        <x:v>0</x:v>
      </x:c>
      <x:c r="X2446" t="n">
        <x:v>1</x:v>
      </x:c>
      <x:c r="Y2446" t="n">
        <x:v>0</x:v>
      </x:c>
      <x:c r="Z2446" t="n">
        <x:v>0</x:v>
      </x:c>
      <x:c r="AA2446" t="n">
        <x:v>0</x:v>
      </x:c>
      <x:c r="AB2446"/>
      <x:c r="AC2446" t="n">
        <x:v>0</x:v>
      </x:c>
      <x:c r="AD2446" t="n">
        <x:v>-1.6436606841161847</x:v>
      </x:c>
      <x:c r="AE2446" t="n">
        <x:v>0</x:v>
      </x:c>
      <x:c r="AF2446" t="n">
        <x:v>-0.06650030612945557</x:v>
      </x:c>
      <x:c r="AG2446" t="n">
        <x:f>_xlfn.XLOOKUP($A2446,Games!$A$2:$A$18,Games!$B$2:$B$18,"Missing game",0)</x:f>
        <x:v>2025</x:v>
      </x:c>
      <x:c r="AH2446" t="str">
        <x:f>_xlfn.XLOOKUP($A2446,Games!$A$2:$A$18,Games!$C$2:$C$18,"Missing game",0)</x:f>
        <x:v>REG</x:v>
      </x:c>
      <x:c r="AI2446" t="n">
        <x:f>_xlfn.XLOOKUP($A2446,Games!$A$2:$A$18,Games!$D$2:$D$18,"Missing game",0)</x:f>
        <x:v>16</x:v>
      </x:c>
      <x:c r="AJ2446" s="1" t="n">
        <x:f>_xlfn.XLOOKUP($A2446,Games!$A$2:$A$18,Games!$E$2:$E$18,"Missing game",0)</x:f>
        <x:v>46012</x:v>
      </x:c>
      <x:c r="AK2446" t="str">
        <x:f>_xlfn.XLOOKUP($A2446,Games!$A$2:$A$18,Games!$F$2:$F$18,"Missing game",0)</x:f>
        <x:v>Sunday</x:v>
      </x:c>
      <x:c r="AL2446" t="str">
        <x:f>_xlfn.XLOOKUP($A2446,Games!$A$2:$A$18,Games!$G$2:$G$18,"Missing game",0)</x:f>
        <x:v>MIN</x:v>
      </x:c>
      <x:c r="AM2446" t="n">
        <x:f>_xlfn.XLOOKUP($A2446,Games!$A$2:$A$18,Games!$H$2:$H$18,"Missing game",0)</x:f>
        <x:v>16</x:v>
      </x:c>
      <x:c r="AN2446" t="str">
        <x:f>_xlfn.XLOOKUP($A2446,Games!$A$2:$A$18,Games!$I$2:$I$18,"Missing game",0)</x:f>
        <x:v>NYG</x:v>
      </x:c>
      <x:c r="AO2446" t="n">
        <x:f>_xlfn.XLOOKUP($A2446,Games!$A$2:$A$18,Games!$J$2:$J$18,"Missing game",0)</x:f>
        <x:v>13</x:v>
      </x:c>
      <x:c r="AP2446" t="n">
        <x:f>_xlfn.XLOOKUP($A2446,Games!$A$2:$A$18,Games!$K$2:$K$18,"Missing game",0)</x:f>
        <x:v>-3</x:v>
      </x:c>
      <x:c r="AQ2446" t="n">
        <x:f>_xlfn.XLOOKUP($A2446,Games!$A$2:$A$18,Games!$L$2:$L$18,"Missing game",0)</x:f>
        <x:v>29</x:v>
      </x:c>
      <x:c r="AR2446" t="n">
        <x:f>_xlfn.XLOOKUP($A2446,Games!$A$2:$A$18,Games!$M$2:$M$18,"Missing game",0)</x:f>
        <x:v>0</x:v>
      </x:c>
      <x:c r="AS2446" t="str">
        <x:f>_xlfn.XLOOKUP($A2446,Games!$A$2:$A$18,Games!$N$2:$N$18,"Missing game",0)</x:f>
        <x:v>outdoors</x:v>
      </x:c>
      <x:c r="AT2446" t="str">
        <x:f>_xlfn.XLOOKUP($A2446,Games!$A$2:$A$18,Games!$O$2:$O$18,"Missing game",0)</x:f>
        <x:v>fieldturf</x:v>
      </x:c>
      <x:c r="AU2446" t="n">
        <x:f>_xlfn.XLOOKUP($A2446,Games!$A$2:$A$18,Games!$P$2:$P$18,"Missing game",0)</x:f>
        <x:v>46</x:v>
      </x:c>
      <x:c r="AV2446" t="n">
        <x:f>_xlfn.XLOOKUP($A2446,Games!$A$2:$A$18,Games!$Q$2:$Q$18,"Missing game",0)</x:f>
        <x:v>20</x:v>
      </x:c>
      <x:c r="AW2446" t="str">
        <x:f>_xlfn.XLOOKUP($A2446,Games!$A$2:$A$18,Games!$R$2:$R$18,"Missing game",0)</x:f>
        <x:v>MetLife Stadium</x:v>
      </x:c>
    </x:row>
    <x:row r="2447">
      <x:c r="A2447" t="str">
        <x:v>2025_16_MIN_NYG</x:v>
      </x:c>
      <x:c r="B2447" t="n">
        <x:v>3210</x:v>
      </x:c>
      <x:c r="C2447" t="n">
        <x:v>4</x:v>
      </x:c>
      <x:c r="D2447" t="str">
        <x:v>09:44</x:v>
      </x:c>
      <x:c r="E2447" t="n">
        <x:v>3</x:v>
      </x:c>
      <x:c r="F2447" t="n">
        <x:v>17</x:v>
      </x:c>
      <x:c r="G2447" t="str">
        <x:v>MIN</x:v>
      </x:c>
      <x:c r="H2447" t="str">
        <x:v>NYG</x:v>
      </x:c>
      <x:c r="I2447" t="str">
        <x:v>MIN</x:v>
      </x:c>
      <x:c r="J2447" t="n">
        <x:v>76</x:v>
      </x:c>
      <x:c r="K2447" t="str">
        <x:v>(9:44) (Shotgun) 12-M.Brosmer pass deep left to 18-J.Jefferson ran ob at MIN 45 for 21 yards.</x:v>
      </x:c>
      <x:c r="L2447" t="str">
        <x:v>pass</x:v>
      </x:c>
      <x:c r="M2447" t="n">
        <x:v>21</x:v>
      </x:c>
      <x:c r="N2447" t="n">
        <x:v>1</x:v>
      </x:c>
      <x:c r="O2447" t="n">
        <x:v>0</x:v>
      </x:c>
      <x:c r="P2447" t="str">
        <x:v>deep</x:v>
      </x:c>
      <x:c r="Q2447" t="str">
        <x:v>left</x:v>
      </x:c>
      <x:c r="R2447" t="n">
        <x:v>21</x:v>
      </x:c>
      <x:c r="S2447" t="n">
        <x:v>0</x:v>
      </x:c>
      <x:c r="T2447"/>
      <x:c r="U2447"/>
      <x:c r="V2447" t="n">
        <x:v>1</x:v>
      </x:c>
      <x:c r="W2447" t="n">
        <x:v>1</x:v>
      </x:c>
      <x:c r="X2447" t="n">
        <x:v>0</x:v>
      </x:c>
      <x:c r="Y2447" t="n">
        <x:v>0</x:v>
      </x:c>
      <x:c r="Z2447" t="n">
        <x:v>0</x:v>
      </x:c>
      <x:c r="AA2447" t="n">
        <x:v>0</x:v>
      </x:c>
      <x:c r="AB2447"/>
      <x:c r="AC2447" t="n">
        <x:v>0</x:v>
      </x:c>
      <x:c r="AD2447" t="n">
        <x:v>2.9648643534164876</x:v>
      </x:c>
      <x:c r="AE2447" t="n">
        <x:v>1</x:v>
      </x:c>
      <x:c r="AF2447" t="n">
        <x:v>0.11781606078147888</x:v>
      </x:c>
      <x:c r="AG2447" t="n">
        <x:f>_xlfn.XLOOKUP($A2447,Games!$A$2:$A$18,Games!$B$2:$B$18,"Missing game",0)</x:f>
        <x:v>2025</x:v>
      </x:c>
      <x:c r="AH2447" t="str">
        <x:f>_xlfn.XLOOKUP($A2447,Games!$A$2:$A$18,Games!$C$2:$C$18,"Missing game",0)</x:f>
        <x:v>REG</x:v>
      </x:c>
      <x:c r="AI2447" t="n">
        <x:f>_xlfn.XLOOKUP($A2447,Games!$A$2:$A$18,Games!$D$2:$D$18,"Missing game",0)</x:f>
        <x:v>16</x:v>
      </x:c>
      <x:c r="AJ2447" s="1" t="n">
        <x:f>_xlfn.XLOOKUP($A2447,Games!$A$2:$A$18,Games!$E$2:$E$18,"Missing game",0)</x:f>
        <x:v>46012</x:v>
      </x:c>
      <x:c r="AK2447" t="str">
        <x:f>_xlfn.XLOOKUP($A2447,Games!$A$2:$A$18,Games!$F$2:$F$18,"Missing game",0)</x:f>
        <x:v>Sunday</x:v>
      </x:c>
      <x:c r="AL2447" t="str">
        <x:f>_xlfn.XLOOKUP($A2447,Games!$A$2:$A$18,Games!$G$2:$G$18,"Missing game",0)</x:f>
        <x:v>MIN</x:v>
      </x:c>
      <x:c r="AM2447" t="n">
        <x:f>_xlfn.XLOOKUP($A2447,Games!$A$2:$A$18,Games!$H$2:$H$18,"Missing game",0)</x:f>
        <x:v>16</x:v>
      </x:c>
      <x:c r="AN2447" t="str">
        <x:f>_xlfn.XLOOKUP($A2447,Games!$A$2:$A$18,Games!$I$2:$I$18,"Missing game",0)</x:f>
        <x:v>NYG</x:v>
      </x:c>
      <x:c r="AO2447" t="n">
        <x:f>_xlfn.XLOOKUP($A2447,Games!$A$2:$A$18,Games!$J$2:$J$18,"Missing game",0)</x:f>
        <x:v>13</x:v>
      </x:c>
      <x:c r="AP2447" t="n">
        <x:f>_xlfn.XLOOKUP($A2447,Games!$A$2:$A$18,Games!$K$2:$K$18,"Missing game",0)</x:f>
        <x:v>-3</x:v>
      </x:c>
      <x:c r="AQ2447" t="n">
        <x:f>_xlfn.XLOOKUP($A2447,Games!$A$2:$A$18,Games!$L$2:$L$18,"Missing game",0)</x:f>
        <x:v>29</x:v>
      </x:c>
      <x:c r="AR2447" t="n">
        <x:f>_xlfn.XLOOKUP($A2447,Games!$A$2:$A$18,Games!$M$2:$M$18,"Missing game",0)</x:f>
        <x:v>0</x:v>
      </x:c>
      <x:c r="AS2447" t="str">
        <x:f>_xlfn.XLOOKUP($A2447,Games!$A$2:$A$18,Games!$N$2:$N$18,"Missing game",0)</x:f>
        <x:v>outdoors</x:v>
      </x:c>
      <x:c r="AT2447" t="str">
        <x:f>_xlfn.XLOOKUP($A2447,Games!$A$2:$A$18,Games!$O$2:$O$18,"Missing game",0)</x:f>
        <x:v>fieldturf</x:v>
      </x:c>
      <x:c r="AU2447" t="n">
        <x:f>_xlfn.XLOOKUP($A2447,Games!$A$2:$A$18,Games!$P$2:$P$18,"Missing game",0)</x:f>
        <x:v>46</x:v>
      </x:c>
      <x:c r="AV2447" t="n">
        <x:f>_xlfn.XLOOKUP($A2447,Games!$A$2:$A$18,Games!$Q$2:$Q$18,"Missing game",0)</x:f>
        <x:v>20</x:v>
      </x:c>
      <x:c r="AW2447" t="str">
        <x:f>_xlfn.XLOOKUP($A2447,Games!$A$2:$A$18,Games!$R$2:$R$18,"Missing game",0)</x:f>
        <x:v>MetLife Stadium</x:v>
      </x:c>
    </x:row>
    <x:row r="2448">
      <x:c r="A2448" t="str">
        <x:v>2025_16_MIN_NYG</x:v>
      </x:c>
      <x:c r="B2448" t="n">
        <x:v>3247</x:v>
      </x:c>
      <x:c r="C2448" t="n">
        <x:v>4</x:v>
      </x:c>
      <x:c r="D2448" t="str">
        <x:v>09:18</x:v>
      </x:c>
      <x:c r="E2448" t="n">
        <x:v>1</x:v>
      </x:c>
      <x:c r="F2448" t="n">
        <x:v>10</x:v>
      </x:c>
      <x:c r="G2448" t="str">
        <x:v>MIN</x:v>
      </x:c>
      <x:c r="H2448" t="str">
        <x:v>NYG</x:v>
      </x:c>
      <x:c r="I2448" t="str">
        <x:v>MIN</x:v>
      </x:c>
      <x:c r="J2448" t="n">
        <x:v>55</x:v>
      </x:c>
      <x:c r="K2448" t="str">
        <x:v>(9:18) (No Huddle) 30-C.Ham up the middle to MIN 48 for 3 yards (95-R.Robertson-Harris; 57-C.Golston).</x:v>
      </x:c>
      <x:c r="L2448" t="str">
        <x:v>run</x:v>
      </x:c>
      <x:c r="M2448" t="n">
        <x:v>3</x:v>
      </x:c>
      <x:c r="N2448" t="n">
        <x:v>0</x:v>
      </x:c>
      <x:c r="O2448" t="n">
        <x:v>1</x:v>
      </x:c>
      <x:c r="P2448"/>
      <x:c r="Q2448"/>
      <x:c r="R2448"/>
      <x:c r="S2448"/>
      <x:c r="T2448" t="str">
        <x:v>middle</x:v>
      </x:c>
      <x:c r="U2448"/>
      <x:c r="V2448" t="n">
        <x:v>0</x:v>
      </x:c>
      <x:c r="W2448" t="n">
        <x:v>0</x:v>
      </x:c>
      <x:c r="X2448" t="n">
        <x:v>0</x:v>
      </x:c>
      <x:c r="Y2448" t="n">
        <x:v>0</x:v>
      </x:c>
      <x:c r="Z2448" t="n">
        <x:v>0</x:v>
      </x:c>
      <x:c r="AA2448" t="n">
        <x:v>0</x:v>
      </x:c>
      <x:c r="AB2448"/>
      <x:c r="AC2448" t="n">
        <x:v>0</x:v>
      </x:c>
      <x:c r="AD2448" t="n">
        <x:v>-0.17912872484885156</x:v>
      </x:c>
      <x:c r="AE2448" t="n">
        <x:v>0</x:v>
      </x:c>
      <x:c r="AF2448" t="n">
        <x:v>-0.001369178295135498</x:v>
      </x:c>
      <x:c r="AG2448" t="n">
        <x:f>_xlfn.XLOOKUP($A2448,Games!$A$2:$A$18,Games!$B$2:$B$18,"Missing game",0)</x:f>
        <x:v>2025</x:v>
      </x:c>
      <x:c r="AH2448" t="str">
        <x:f>_xlfn.XLOOKUP($A2448,Games!$A$2:$A$18,Games!$C$2:$C$18,"Missing game",0)</x:f>
        <x:v>REG</x:v>
      </x:c>
      <x:c r="AI2448" t="n">
        <x:f>_xlfn.XLOOKUP($A2448,Games!$A$2:$A$18,Games!$D$2:$D$18,"Missing game",0)</x:f>
        <x:v>16</x:v>
      </x:c>
      <x:c r="AJ2448" s="1" t="n">
        <x:f>_xlfn.XLOOKUP($A2448,Games!$A$2:$A$18,Games!$E$2:$E$18,"Missing game",0)</x:f>
        <x:v>46012</x:v>
      </x:c>
      <x:c r="AK2448" t="str">
        <x:f>_xlfn.XLOOKUP($A2448,Games!$A$2:$A$18,Games!$F$2:$F$18,"Missing game",0)</x:f>
        <x:v>Sunday</x:v>
      </x:c>
      <x:c r="AL2448" t="str">
        <x:f>_xlfn.XLOOKUP($A2448,Games!$A$2:$A$18,Games!$G$2:$G$18,"Missing game",0)</x:f>
        <x:v>MIN</x:v>
      </x:c>
      <x:c r="AM2448" t="n">
        <x:f>_xlfn.XLOOKUP($A2448,Games!$A$2:$A$18,Games!$H$2:$H$18,"Missing game",0)</x:f>
        <x:v>16</x:v>
      </x:c>
      <x:c r="AN2448" t="str">
        <x:f>_xlfn.XLOOKUP($A2448,Games!$A$2:$A$18,Games!$I$2:$I$18,"Missing game",0)</x:f>
        <x:v>NYG</x:v>
      </x:c>
      <x:c r="AO2448" t="n">
        <x:f>_xlfn.XLOOKUP($A2448,Games!$A$2:$A$18,Games!$J$2:$J$18,"Missing game",0)</x:f>
        <x:v>13</x:v>
      </x:c>
      <x:c r="AP2448" t="n">
        <x:f>_xlfn.XLOOKUP($A2448,Games!$A$2:$A$18,Games!$K$2:$K$18,"Missing game",0)</x:f>
        <x:v>-3</x:v>
      </x:c>
      <x:c r="AQ2448" t="n">
        <x:f>_xlfn.XLOOKUP($A2448,Games!$A$2:$A$18,Games!$L$2:$L$18,"Missing game",0)</x:f>
        <x:v>29</x:v>
      </x:c>
      <x:c r="AR2448" t="n">
        <x:f>_xlfn.XLOOKUP($A2448,Games!$A$2:$A$18,Games!$M$2:$M$18,"Missing game",0)</x:f>
        <x:v>0</x:v>
      </x:c>
      <x:c r="AS2448" t="str">
        <x:f>_xlfn.XLOOKUP($A2448,Games!$A$2:$A$18,Games!$N$2:$N$18,"Missing game",0)</x:f>
        <x:v>outdoors</x:v>
      </x:c>
      <x:c r="AT2448" t="str">
        <x:f>_xlfn.XLOOKUP($A2448,Games!$A$2:$A$18,Games!$O$2:$O$18,"Missing game",0)</x:f>
        <x:v>fieldturf</x:v>
      </x:c>
      <x:c r="AU2448" t="n">
        <x:f>_xlfn.XLOOKUP($A2448,Games!$A$2:$A$18,Games!$P$2:$P$18,"Missing game",0)</x:f>
        <x:v>46</x:v>
      </x:c>
      <x:c r="AV2448" t="n">
        <x:f>_xlfn.XLOOKUP($A2448,Games!$A$2:$A$18,Games!$Q$2:$Q$18,"Missing game",0)</x:f>
        <x:v>20</x:v>
      </x:c>
      <x:c r="AW2448" t="str">
        <x:f>_xlfn.XLOOKUP($A2448,Games!$A$2:$A$18,Games!$R$2:$R$18,"Missing game",0)</x:f>
        <x:v>MetLife Stadium</x:v>
      </x:c>
    </x:row>
    <x:row r="2449">
      <x:c r="A2449" t="str">
        <x:v>2025_16_MIN_NYG</x:v>
      </x:c>
      <x:c r="B2449" t="n">
        <x:v>3269</x:v>
      </x:c>
      <x:c r="C2449" t="n">
        <x:v>4</x:v>
      </x:c>
      <x:c r="D2449" t="str">
        <x:v>08:38</x:v>
      </x:c>
      <x:c r="E2449" t="n">
        <x:v>2</x:v>
      </x:c>
      <x:c r="F2449" t="n">
        <x:v>7</x:v>
      </x:c>
      <x:c r="G2449" t="str">
        <x:v>MIN</x:v>
      </x:c>
      <x:c r="H2449" t="str">
        <x:v>NYG</x:v>
      </x:c>
      <x:c r="I2449" t="str">
        <x:v>MIN</x:v>
      </x:c>
      <x:c r="J2449" t="n">
        <x:v>52</x:v>
      </x:c>
      <x:c r="K2449" t="str">
        <x:v>(8:38) 33-A.Jones up the middle to 50 for 2 yards (58-B.Okereke). PENALTY on NYG-97-D.Lawrence, Defensive Holding, 5 yards, enforced at 50.</x:v>
      </x:c>
      <x:c r="L2449" t="str">
        <x:v>run</x:v>
      </x:c>
      <x:c r="M2449" t="n">
        <x:v>2</x:v>
      </x:c>
      <x:c r="N2449" t="n">
        <x:v>0</x:v>
      </x:c>
      <x:c r="O2449" t="n">
        <x:v>0</x:v>
      </x:c>
      <x:c r="P2449"/>
      <x:c r="Q2449"/>
      <x:c r="R2449"/>
      <x:c r="S2449"/>
      <x:c r="T2449" t="str">
        <x:v>middle</x:v>
      </x:c>
      <x:c r="U2449"/>
      <x:c r="V2449" t="n">
        <x:v>0</x:v>
      </x:c>
      <x:c r="W2449" t="n">
        <x:v>1</x:v>
      </x:c>
      <x:c r="X2449" t="n">
        <x:v>0</x:v>
      </x:c>
      <x:c r="Y2449" t="n">
        <x:v>0</x:v>
      </x:c>
      <x:c r="Z2449" t="n">
        <x:v>0</x:v>
      </x:c>
      <x:c r="AA2449" t="n">
        <x:v>1</x:v>
      </x:c>
      <x:c r="AB2449" t="n">
        <x:v>5</x:v>
      </x:c>
      <x:c r="AC2449" t="n">
        <x:v>0</x:v>
      </x:c>
      <x:c r="AD2449" t="n">
        <x:v>0.7909817846957594</x:v>
      </x:c>
      <x:c r="AE2449" t="n">
        <x:v>1</x:v>
      </x:c>
      <x:c r="AF2449" t="n">
        <x:v>0.0314105749130249</x:v>
      </x:c>
      <x:c r="AG2449" t="n">
        <x:f>_xlfn.XLOOKUP($A2449,Games!$A$2:$A$18,Games!$B$2:$B$18,"Missing game",0)</x:f>
        <x:v>2025</x:v>
      </x:c>
      <x:c r="AH2449" t="str">
        <x:f>_xlfn.XLOOKUP($A2449,Games!$A$2:$A$18,Games!$C$2:$C$18,"Missing game",0)</x:f>
        <x:v>REG</x:v>
      </x:c>
      <x:c r="AI2449" t="n">
        <x:f>_xlfn.XLOOKUP($A2449,Games!$A$2:$A$18,Games!$D$2:$D$18,"Missing game",0)</x:f>
        <x:v>16</x:v>
      </x:c>
      <x:c r="AJ2449" s="1" t="n">
        <x:f>_xlfn.XLOOKUP($A2449,Games!$A$2:$A$18,Games!$E$2:$E$18,"Missing game",0)</x:f>
        <x:v>46012</x:v>
      </x:c>
      <x:c r="AK2449" t="str">
        <x:f>_xlfn.XLOOKUP($A2449,Games!$A$2:$A$18,Games!$F$2:$F$18,"Missing game",0)</x:f>
        <x:v>Sunday</x:v>
      </x:c>
      <x:c r="AL2449" t="str">
        <x:f>_xlfn.XLOOKUP($A2449,Games!$A$2:$A$18,Games!$G$2:$G$18,"Missing game",0)</x:f>
        <x:v>MIN</x:v>
      </x:c>
      <x:c r="AM2449" t="n">
        <x:f>_xlfn.XLOOKUP($A2449,Games!$A$2:$A$18,Games!$H$2:$H$18,"Missing game",0)</x:f>
        <x:v>16</x:v>
      </x:c>
      <x:c r="AN2449" t="str">
        <x:f>_xlfn.XLOOKUP($A2449,Games!$A$2:$A$18,Games!$I$2:$I$18,"Missing game",0)</x:f>
        <x:v>NYG</x:v>
      </x:c>
      <x:c r="AO2449" t="n">
        <x:f>_xlfn.XLOOKUP($A2449,Games!$A$2:$A$18,Games!$J$2:$J$18,"Missing game",0)</x:f>
        <x:v>13</x:v>
      </x:c>
      <x:c r="AP2449" t="n">
        <x:f>_xlfn.XLOOKUP($A2449,Games!$A$2:$A$18,Games!$K$2:$K$18,"Missing game",0)</x:f>
        <x:v>-3</x:v>
      </x:c>
      <x:c r="AQ2449" t="n">
        <x:f>_xlfn.XLOOKUP($A2449,Games!$A$2:$A$18,Games!$L$2:$L$18,"Missing game",0)</x:f>
        <x:v>29</x:v>
      </x:c>
      <x:c r="AR2449" t="n">
        <x:f>_xlfn.XLOOKUP($A2449,Games!$A$2:$A$18,Games!$M$2:$M$18,"Missing game",0)</x:f>
        <x:v>0</x:v>
      </x:c>
      <x:c r="AS2449" t="str">
        <x:f>_xlfn.XLOOKUP($A2449,Games!$A$2:$A$18,Games!$N$2:$N$18,"Missing game",0)</x:f>
        <x:v>outdoors</x:v>
      </x:c>
      <x:c r="AT2449" t="str">
        <x:f>_xlfn.XLOOKUP($A2449,Games!$A$2:$A$18,Games!$O$2:$O$18,"Missing game",0)</x:f>
        <x:v>fieldturf</x:v>
      </x:c>
      <x:c r="AU2449" t="n">
        <x:f>_xlfn.XLOOKUP($A2449,Games!$A$2:$A$18,Games!$P$2:$P$18,"Missing game",0)</x:f>
        <x:v>46</x:v>
      </x:c>
      <x:c r="AV2449" t="n">
        <x:f>_xlfn.XLOOKUP($A2449,Games!$A$2:$A$18,Games!$Q$2:$Q$18,"Missing game",0)</x:f>
        <x:v>20</x:v>
      </x:c>
      <x:c r="AW2449" t="str">
        <x:f>_xlfn.XLOOKUP($A2449,Games!$A$2:$A$18,Games!$R$2:$R$18,"Missing game",0)</x:f>
        <x:v>MetLife Stadium</x:v>
      </x:c>
    </x:row>
    <x:row r="2450">
      <x:c r="A2450" t="str">
        <x:v>2025_16_MIN_NYG</x:v>
      </x:c>
      <x:c r="B2450" t="n">
        <x:v>3302</x:v>
      </x:c>
      <x:c r="C2450" t="n">
        <x:v>4</x:v>
      </x:c>
      <x:c r="D2450" t="str">
        <x:v>08:06</x:v>
      </x:c>
      <x:c r="E2450" t="n">
        <x:v>1</x:v>
      </x:c>
      <x:c r="F2450" t="n">
        <x:v>10</x:v>
      </x:c>
      <x:c r="G2450" t="str">
        <x:v>MIN</x:v>
      </x:c>
      <x:c r="H2450" t="str">
        <x:v>NYG</x:v>
      </x:c>
      <x:c r="I2450" t="str">
        <x:v>NYG</x:v>
      </x:c>
      <x:c r="J2450" t="n">
        <x:v>45</x:v>
      </x:c>
      <x:c r="K2450" t="str">
        <x:v>(8:06) 12-M.Brosmer pass incomplete short middle to 84-J.Oliver [51-A.Carter].</x:v>
      </x:c>
      <x:c r="L2450" t="str">
        <x:v>pass</x:v>
      </x:c>
      <x:c r="M2450" t="n">
        <x:v>0</x:v>
      </x:c>
      <x:c r="N2450" t="n">
        <x:v>0</x:v>
      </x:c>
      <x:c r="O2450" t="n">
        <x:v>0</x:v>
      </x:c>
      <x:c r="P2450" t="str">
        <x:v>short</x:v>
      </x:c>
      <x:c r="Q2450" t="str">
        <x:v>middle</x:v>
      </x:c>
      <x:c r="R2450" t="n">
        <x:v>4</x:v>
      </x:c>
      <x:c r="S2450"/>
      <x:c r="T2450"/>
      <x:c r="U2450"/>
      <x:c r="V2450" t="n">
        <x:v>0</x:v>
      </x:c>
      <x:c r="W2450" t="n">
        <x:v>0</x:v>
      </x:c>
      <x:c r="X2450" t="n">
        <x:v>0</x:v>
      </x:c>
      <x:c r="Y2450" t="n">
        <x:v>0</x:v>
      </x:c>
      <x:c r="Z2450" t="n">
        <x:v>0</x:v>
      </x:c>
      <x:c r="AA2450" t="n">
        <x:v>0</x:v>
      </x:c>
      <x:c r="AB2450"/>
      <x:c r="AC2450" t="n">
        <x:v>0</x:v>
      </x:c>
      <x:c r="AD2450" t="n">
        <x:v>-0.4033519078511745</x:v>
      </x:c>
      <x:c r="AE2450" t="n">
        <x:v>0</x:v>
      </x:c>
      <x:c r="AF2450" t="n">
        <x:v>-0.025004267692565918</x:v>
      </x:c>
      <x:c r="AG2450" t="n">
        <x:f>_xlfn.XLOOKUP($A2450,Games!$A$2:$A$18,Games!$B$2:$B$18,"Missing game",0)</x:f>
        <x:v>2025</x:v>
      </x:c>
      <x:c r="AH2450" t="str">
        <x:f>_xlfn.XLOOKUP($A2450,Games!$A$2:$A$18,Games!$C$2:$C$18,"Missing game",0)</x:f>
        <x:v>REG</x:v>
      </x:c>
      <x:c r="AI2450" t="n">
        <x:f>_xlfn.XLOOKUP($A2450,Games!$A$2:$A$18,Games!$D$2:$D$18,"Missing game",0)</x:f>
        <x:v>16</x:v>
      </x:c>
      <x:c r="AJ2450" s="1" t="n">
        <x:f>_xlfn.XLOOKUP($A2450,Games!$A$2:$A$18,Games!$E$2:$E$18,"Missing game",0)</x:f>
        <x:v>46012</x:v>
      </x:c>
      <x:c r="AK2450" t="str">
        <x:f>_xlfn.XLOOKUP($A2450,Games!$A$2:$A$18,Games!$F$2:$F$18,"Missing game",0)</x:f>
        <x:v>Sunday</x:v>
      </x:c>
      <x:c r="AL2450" t="str">
        <x:f>_xlfn.XLOOKUP($A2450,Games!$A$2:$A$18,Games!$G$2:$G$18,"Missing game",0)</x:f>
        <x:v>MIN</x:v>
      </x:c>
      <x:c r="AM2450" t="n">
        <x:f>_xlfn.XLOOKUP($A2450,Games!$A$2:$A$18,Games!$H$2:$H$18,"Missing game",0)</x:f>
        <x:v>16</x:v>
      </x:c>
      <x:c r="AN2450" t="str">
        <x:f>_xlfn.XLOOKUP($A2450,Games!$A$2:$A$18,Games!$I$2:$I$18,"Missing game",0)</x:f>
        <x:v>NYG</x:v>
      </x:c>
      <x:c r="AO2450" t="n">
        <x:f>_xlfn.XLOOKUP($A2450,Games!$A$2:$A$18,Games!$J$2:$J$18,"Missing game",0)</x:f>
        <x:v>13</x:v>
      </x:c>
      <x:c r="AP2450" t="n">
        <x:f>_xlfn.XLOOKUP($A2450,Games!$A$2:$A$18,Games!$K$2:$K$18,"Missing game",0)</x:f>
        <x:v>-3</x:v>
      </x:c>
      <x:c r="AQ2450" t="n">
        <x:f>_xlfn.XLOOKUP($A2450,Games!$A$2:$A$18,Games!$L$2:$L$18,"Missing game",0)</x:f>
        <x:v>29</x:v>
      </x:c>
      <x:c r="AR2450" t="n">
        <x:f>_xlfn.XLOOKUP($A2450,Games!$A$2:$A$18,Games!$M$2:$M$18,"Missing game",0)</x:f>
        <x:v>0</x:v>
      </x:c>
      <x:c r="AS2450" t="str">
        <x:f>_xlfn.XLOOKUP($A2450,Games!$A$2:$A$18,Games!$N$2:$N$18,"Missing game",0)</x:f>
        <x:v>outdoors</x:v>
      </x:c>
      <x:c r="AT2450" t="str">
        <x:f>_xlfn.XLOOKUP($A2450,Games!$A$2:$A$18,Games!$O$2:$O$18,"Missing game",0)</x:f>
        <x:v>fieldturf</x:v>
      </x:c>
      <x:c r="AU2450" t="n">
        <x:f>_xlfn.XLOOKUP($A2450,Games!$A$2:$A$18,Games!$P$2:$P$18,"Missing game",0)</x:f>
        <x:v>46</x:v>
      </x:c>
      <x:c r="AV2450" t="n">
        <x:f>_xlfn.XLOOKUP($A2450,Games!$A$2:$A$18,Games!$Q$2:$Q$18,"Missing game",0)</x:f>
        <x:v>20</x:v>
      </x:c>
      <x:c r="AW2450" t="str">
        <x:f>_xlfn.XLOOKUP($A2450,Games!$A$2:$A$18,Games!$R$2:$R$18,"Missing game",0)</x:f>
        <x:v>MetLife Stadium</x:v>
      </x:c>
    </x:row>
    <x:row r="2451">
      <x:c r="A2451" t="str">
        <x:v>2025_16_MIN_NYG</x:v>
      </x:c>
      <x:c r="B2451" t="n">
        <x:v>3325</x:v>
      </x:c>
      <x:c r="C2451" t="n">
        <x:v>4</x:v>
      </x:c>
      <x:c r="D2451" t="str">
        <x:v>08:03</x:v>
      </x:c>
      <x:c r="E2451" t="n">
        <x:v>2</x:v>
      </x:c>
      <x:c r="F2451" t="n">
        <x:v>10</x:v>
      </x:c>
      <x:c r="G2451" t="str">
        <x:v>MIN</x:v>
      </x:c>
      <x:c r="H2451" t="str">
        <x:v>NYG</x:v>
      </x:c>
      <x:c r="I2451" t="str">
        <x:v>NYG</x:v>
      </x:c>
      <x:c r="J2451" t="n">
        <x:v>45</x:v>
      </x:c>
      <x:c r="K2451" t="str">
        <x:v>(8:03) (Shotgun) PENALTY on NYG-97-D.Lawrence, Neutral Zone Infraction, 5 yards, enforced at NYG 45 - No Play.</x:v>
      </x:c>
      <x:c r="L2451" t="str">
        <x:v>no_play</x:v>
      </x:c>
      <x:c r="M2451" t="n">
        <x:v>0</x:v>
      </x:c>
      <x:c r="N2451" t="n">
        <x:v>1</x:v>
      </x:c>
      <x:c r="O2451" t="n">
        <x:v>0</x:v>
      </x:c>
      <x:c r="P2451"/>
      <x:c r="Q2451"/>
      <x:c r="R2451"/>
      <x:c r="S2451"/>
      <x:c r="T2451"/>
      <x:c r="U2451"/>
      <x:c r="V2451" t="n">
        <x:v>0</x:v>
      </x:c>
      <x:c r="W2451" t="n">
        <x:v>0</x:v>
      </x:c>
      <x:c r="X2451" t="n">
        <x:v>0</x:v>
      </x:c>
      <x:c r="Y2451" t="n">
        <x:v>0</x:v>
      </x:c>
      <x:c r="Z2451" t="n">
        <x:v>0</x:v>
      </x:c>
      <x:c r="AA2451" t="n">
        <x:v>1</x:v>
      </x:c>
      <x:c r="AB2451" t="n">
        <x:v>5</x:v>
      </x:c>
      <x:c r="AC2451" t="n">
        <x:v>0</x:v>
      </x:c>
      <x:c r="AD2451" t="n">
        <x:v>0.5276067912345752</x:v>
      </x:c>
      <x:c r="AE2451" t="n">
        <x:v>1</x:v>
      </x:c>
      <x:c r="AF2451" t="n">
        <x:v>0.04565662145614624</x:v>
      </x:c>
      <x:c r="AG2451" t="n">
        <x:f>_xlfn.XLOOKUP($A2451,Games!$A$2:$A$18,Games!$B$2:$B$18,"Missing game",0)</x:f>
        <x:v>2025</x:v>
      </x:c>
      <x:c r="AH2451" t="str">
        <x:f>_xlfn.XLOOKUP($A2451,Games!$A$2:$A$18,Games!$C$2:$C$18,"Missing game",0)</x:f>
        <x:v>REG</x:v>
      </x:c>
      <x:c r="AI2451" t="n">
        <x:f>_xlfn.XLOOKUP($A2451,Games!$A$2:$A$18,Games!$D$2:$D$18,"Missing game",0)</x:f>
        <x:v>16</x:v>
      </x:c>
      <x:c r="AJ2451" s="1" t="n">
        <x:f>_xlfn.XLOOKUP($A2451,Games!$A$2:$A$18,Games!$E$2:$E$18,"Missing game",0)</x:f>
        <x:v>46012</x:v>
      </x:c>
      <x:c r="AK2451" t="str">
        <x:f>_xlfn.XLOOKUP($A2451,Games!$A$2:$A$18,Games!$F$2:$F$18,"Missing game",0)</x:f>
        <x:v>Sunday</x:v>
      </x:c>
      <x:c r="AL2451" t="str">
        <x:f>_xlfn.XLOOKUP($A2451,Games!$A$2:$A$18,Games!$G$2:$G$18,"Missing game",0)</x:f>
        <x:v>MIN</x:v>
      </x:c>
      <x:c r="AM2451" t="n">
        <x:f>_xlfn.XLOOKUP($A2451,Games!$A$2:$A$18,Games!$H$2:$H$18,"Missing game",0)</x:f>
        <x:v>16</x:v>
      </x:c>
      <x:c r="AN2451" t="str">
        <x:f>_xlfn.XLOOKUP($A2451,Games!$A$2:$A$18,Games!$I$2:$I$18,"Missing game",0)</x:f>
        <x:v>NYG</x:v>
      </x:c>
      <x:c r="AO2451" t="n">
        <x:f>_xlfn.XLOOKUP($A2451,Games!$A$2:$A$18,Games!$J$2:$J$18,"Missing game",0)</x:f>
        <x:v>13</x:v>
      </x:c>
      <x:c r="AP2451" t="n">
        <x:f>_xlfn.XLOOKUP($A2451,Games!$A$2:$A$18,Games!$K$2:$K$18,"Missing game",0)</x:f>
        <x:v>-3</x:v>
      </x:c>
      <x:c r="AQ2451" t="n">
        <x:f>_xlfn.XLOOKUP($A2451,Games!$A$2:$A$18,Games!$L$2:$L$18,"Missing game",0)</x:f>
        <x:v>29</x:v>
      </x:c>
      <x:c r="AR2451" t="n">
        <x:f>_xlfn.XLOOKUP($A2451,Games!$A$2:$A$18,Games!$M$2:$M$18,"Missing game",0)</x:f>
        <x:v>0</x:v>
      </x:c>
      <x:c r="AS2451" t="str">
        <x:f>_xlfn.XLOOKUP($A2451,Games!$A$2:$A$18,Games!$N$2:$N$18,"Missing game",0)</x:f>
        <x:v>outdoors</x:v>
      </x:c>
      <x:c r="AT2451" t="str">
        <x:f>_xlfn.XLOOKUP($A2451,Games!$A$2:$A$18,Games!$O$2:$O$18,"Missing game",0)</x:f>
        <x:v>fieldturf</x:v>
      </x:c>
      <x:c r="AU2451" t="n">
        <x:f>_xlfn.XLOOKUP($A2451,Games!$A$2:$A$18,Games!$P$2:$P$18,"Missing game",0)</x:f>
        <x:v>46</x:v>
      </x:c>
      <x:c r="AV2451" t="n">
        <x:f>_xlfn.XLOOKUP($A2451,Games!$A$2:$A$18,Games!$Q$2:$Q$18,"Missing game",0)</x:f>
        <x:v>20</x:v>
      </x:c>
      <x:c r="AW2451" t="str">
        <x:f>_xlfn.XLOOKUP($A2451,Games!$A$2:$A$18,Games!$R$2:$R$18,"Missing game",0)</x:f>
        <x:v>MetLife Stadium</x:v>
      </x:c>
    </x:row>
    <x:row r="2452">
      <x:c r="A2452" t="str">
        <x:v>2025_16_MIN_NYG</x:v>
      </x:c>
      <x:c r="B2452" t="n">
        <x:v>3349</x:v>
      </x:c>
      <x:c r="C2452" t="n">
        <x:v>4</x:v>
      </x:c>
      <x:c r="D2452" t="str">
        <x:v>08:03</x:v>
      </x:c>
      <x:c r="E2452" t="n">
        <x:v>2</x:v>
      </x:c>
      <x:c r="F2452" t="n">
        <x:v>5</x:v>
      </x:c>
      <x:c r="G2452" t="str">
        <x:v>MIN</x:v>
      </x:c>
      <x:c r="H2452" t="str">
        <x:v>NYG</x:v>
      </x:c>
      <x:c r="I2452" t="str">
        <x:v>NYG</x:v>
      </x:c>
      <x:c r="J2452" t="n">
        <x:v>40</x:v>
      </x:c>
      <x:c r="K2452" t="str">
        <x:v>(8:03) 33-A.Jones right tackle to NYG 36 for 4 yards (58-B.Okereke).</x:v>
      </x:c>
      <x:c r="L2452" t="str">
        <x:v>run</x:v>
      </x:c>
      <x:c r="M2452" t="n">
        <x:v>4</x:v>
      </x:c>
      <x:c r="N2452" t="n">
        <x:v>0</x:v>
      </x:c>
      <x:c r="O2452" t="n">
        <x:v>0</x:v>
      </x:c>
      <x:c r="P2452"/>
      <x:c r="Q2452"/>
      <x:c r="R2452"/>
      <x:c r="S2452"/>
      <x:c r="T2452" t="str">
        <x:v>right</x:v>
      </x:c>
      <x:c r="U2452" t="str">
        <x:v>tackle</x:v>
      </x:c>
      <x:c r="V2452" t="n">
        <x:v>0</x:v>
      </x:c>
      <x:c r="W2452" t="n">
        <x:v>0</x:v>
      </x:c>
      <x:c r="X2452" t="n">
        <x:v>0</x:v>
      </x:c>
      <x:c r="Y2452" t="n">
        <x:v>0</x:v>
      </x:c>
      <x:c r="Z2452" t="n">
        <x:v>0</x:v>
      </x:c>
      <x:c r="AA2452" t="n">
        <x:v>0</x:v>
      </x:c>
      <x:c r="AB2452"/>
      <x:c r="AC2452" t="n">
        <x:v>0</x:v>
      </x:c>
      <x:c r="AD2452" t="n">
        <x:v>0.14322628849186003</x:v>
      </x:c>
      <x:c r="AE2452" t="n">
        <x:v>1</x:v>
      </x:c>
      <x:c r="AF2452" t="n">
        <x:v>0.005085170269012451</x:v>
      </x:c>
      <x:c r="AG2452" t="n">
        <x:f>_xlfn.XLOOKUP($A2452,Games!$A$2:$A$18,Games!$B$2:$B$18,"Missing game",0)</x:f>
        <x:v>2025</x:v>
      </x:c>
      <x:c r="AH2452" t="str">
        <x:f>_xlfn.XLOOKUP($A2452,Games!$A$2:$A$18,Games!$C$2:$C$18,"Missing game",0)</x:f>
        <x:v>REG</x:v>
      </x:c>
      <x:c r="AI2452" t="n">
        <x:f>_xlfn.XLOOKUP($A2452,Games!$A$2:$A$18,Games!$D$2:$D$18,"Missing game",0)</x:f>
        <x:v>16</x:v>
      </x:c>
      <x:c r="AJ2452" s="1" t="n">
        <x:f>_xlfn.XLOOKUP($A2452,Games!$A$2:$A$18,Games!$E$2:$E$18,"Missing game",0)</x:f>
        <x:v>46012</x:v>
      </x:c>
      <x:c r="AK2452" t="str">
        <x:f>_xlfn.XLOOKUP($A2452,Games!$A$2:$A$18,Games!$F$2:$F$18,"Missing game",0)</x:f>
        <x:v>Sunday</x:v>
      </x:c>
      <x:c r="AL2452" t="str">
        <x:f>_xlfn.XLOOKUP($A2452,Games!$A$2:$A$18,Games!$G$2:$G$18,"Missing game",0)</x:f>
        <x:v>MIN</x:v>
      </x:c>
      <x:c r="AM2452" t="n">
        <x:f>_xlfn.XLOOKUP($A2452,Games!$A$2:$A$18,Games!$H$2:$H$18,"Missing game",0)</x:f>
        <x:v>16</x:v>
      </x:c>
      <x:c r="AN2452" t="str">
        <x:f>_xlfn.XLOOKUP($A2452,Games!$A$2:$A$18,Games!$I$2:$I$18,"Missing game",0)</x:f>
        <x:v>NYG</x:v>
      </x:c>
      <x:c r="AO2452" t="n">
        <x:f>_xlfn.XLOOKUP($A2452,Games!$A$2:$A$18,Games!$J$2:$J$18,"Missing game",0)</x:f>
        <x:v>13</x:v>
      </x:c>
      <x:c r="AP2452" t="n">
        <x:f>_xlfn.XLOOKUP($A2452,Games!$A$2:$A$18,Games!$K$2:$K$18,"Missing game",0)</x:f>
        <x:v>-3</x:v>
      </x:c>
      <x:c r="AQ2452" t="n">
        <x:f>_xlfn.XLOOKUP($A2452,Games!$A$2:$A$18,Games!$L$2:$L$18,"Missing game",0)</x:f>
        <x:v>29</x:v>
      </x:c>
      <x:c r="AR2452" t="n">
        <x:f>_xlfn.XLOOKUP($A2452,Games!$A$2:$A$18,Games!$M$2:$M$18,"Missing game",0)</x:f>
        <x:v>0</x:v>
      </x:c>
      <x:c r="AS2452" t="str">
        <x:f>_xlfn.XLOOKUP($A2452,Games!$A$2:$A$18,Games!$N$2:$N$18,"Missing game",0)</x:f>
        <x:v>outdoors</x:v>
      </x:c>
      <x:c r="AT2452" t="str">
        <x:f>_xlfn.XLOOKUP($A2452,Games!$A$2:$A$18,Games!$O$2:$O$18,"Missing game",0)</x:f>
        <x:v>fieldturf</x:v>
      </x:c>
      <x:c r="AU2452" t="n">
        <x:f>_xlfn.XLOOKUP($A2452,Games!$A$2:$A$18,Games!$P$2:$P$18,"Missing game",0)</x:f>
        <x:v>46</x:v>
      </x:c>
      <x:c r="AV2452" t="n">
        <x:f>_xlfn.XLOOKUP($A2452,Games!$A$2:$A$18,Games!$Q$2:$Q$18,"Missing game",0)</x:f>
        <x:v>20</x:v>
      </x:c>
      <x:c r="AW2452" t="str">
        <x:f>_xlfn.XLOOKUP($A2452,Games!$A$2:$A$18,Games!$R$2:$R$18,"Missing game",0)</x:f>
        <x:v>MetLife Stadium</x:v>
      </x:c>
    </x:row>
    <x:row r="2453">
      <x:c r="A2453" t="str">
        <x:v>2025_16_MIN_NYG</x:v>
      </x:c>
      <x:c r="B2453" t="n">
        <x:v>3371</x:v>
      </x:c>
      <x:c r="C2453" t="n">
        <x:v>4</x:v>
      </x:c>
      <x:c r="D2453" t="str">
        <x:v>07:48</x:v>
      </x:c>
      <x:c r="E2453" t="n">
        <x:v>3</x:v>
      </x:c>
      <x:c r="F2453" t="n">
        <x:v>1</x:v>
      </x:c>
      <x:c r="G2453" t="str">
        <x:v>MIN</x:v>
      </x:c>
      <x:c r="H2453" t="str">
        <x:v>NYG</x:v>
      </x:c>
      <x:c r="I2453" t="str">
        <x:v>NYG</x:v>
      </x:c>
      <x:c r="J2453" t="n">
        <x:v>36</x:v>
      </x:c>
      <x:c r="K2453" t="str">
        <x:v>(7:48) 33-A.Jones left end pushed ob at NYG 30 for 6 yards (58-B.Okereke). ** Injury Update: NYG-0-B.Burns has returned to the game.</x:v>
      </x:c>
      <x:c r="L2453" t="str">
        <x:v>run</x:v>
      </x:c>
      <x:c r="M2453" t="n">
        <x:v>6</x:v>
      </x:c>
      <x:c r="N2453" t="n">
        <x:v>0</x:v>
      </x:c>
      <x:c r="O2453" t="n">
        <x:v>0</x:v>
      </x:c>
      <x:c r="P2453"/>
      <x:c r="Q2453"/>
      <x:c r="R2453"/>
      <x:c r="S2453"/>
      <x:c r="T2453" t="str">
        <x:v>left</x:v>
      </x:c>
      <x:c r="U2453" t="str">
        <x:v>end</x:v>
      </x:c>
      <x:c r="V2453" t="n">
        <x:v>0</x:v>
      </x:c>
      <x:c r="W2453" t="n">
        <x:v>1</x:v>
      </x:c>
      <x:c r="X2453" t="n">
        <x:v>0</x:v>
      </x:c>
      <x:c r="Y2453" t="n">
        <x:v>0</x:v>
      </x:c>
      <x:c r="Z2453" t="n">
        <x:v>0</x:v>
      </x:c>
      <x:c r="AA2453" t="n">
        <x:v>0</x:v>
      </x:c>
      <x:c r="AB2453"/>
      <x:c r="AC2453" t="n">
        <x:v>0</x:v>
      </x:c>
      <x:c r="AD2453" t="n">
        <x:v>0.713785152300261</x:v>
      </x:c>
      <x:c r="AE2453" t="n">
        <x:v>1</x:v>
      </x:c>
      <x:c r="AF2453" t="n">
        <x:v>0.038062870502471924</x:v>
      </x:c>
      <x:c r="AG2453" t="n">
        <x:f>_xlfn.XLOOKUP($A2453,Games!$A$2:$A$18,Games!$B$2:$B$18,"Missing game",0)</x:f>
        <x:v>2025</x:v>
      </x:c>
      <x:c r="AH2453" t="str">
        <x:f>_xlfn.XLOOKUP($A2453,Games!$A$2:$A$18,Games!$C$2:$C$18,"Missing game",0)</x:f>
        <x:v>REG</x:v>
      </x:c>
      <x:c r="AI2453" t="n">
        <x:f>_xlfn.XLOOKUP($A2453,Games!$A$2:$A$18,Games!$D$2:$D$18,"Missing game",0)</x:f>
        <x:v>16</x:v>
      </x:c>
      <x:c r="AJ2453" s="1" t="n">
        <x:f>_xlfn.XLOOKUP($A2453,Games!$A$2:$A$18,Games!$E$2:$E$18,"Missing game",0)</x:f>
        <x:v>46012</x:v>
      </x:c>
      <x:c r="AK2453" t="str">
        <x:f>_xlfn.XLOOKUP($A2453,Games!$A$2:$A$18,Games!$F$2:$F$18,"Missing game",0)</x:f>
        <x:v>Sunday</x:v>
      </x:c>
      <x:c r="AL2453" t="str">
        <x:f>_xlfn.XLOOKUP($A2453,Games!$A$2:$A$18,Games!$G$2:$G$18,"Missing game",0)</x:f>
        <x:v>MIN</x:v>
      </x:c>
      <x:c r="AM2453" t="n">
        <x:f>_xlfn.XLOOKUP($A2453,Games!$A$2:$A$18,Games!$H$2:$H$18,"Missing game",0)</x:f>
        <x:v>16</x:v>
      </x:c>
      <x:c r="AN2453" t="str">
        <x:f>_xlfn.XLOOKUP($A2453,Games!$A$2:$A$18,Games!$I$2:$I$18,"Missing game",0)</x:f>
        <x:v>NYG</x:v>
      </x:c>
      <x:c r="AO2453" t="n">
        <x:f>_xlfn.XLOOKUP($A2453,Games!$A$2:$A$18,Games!$J$2:$J$18,"Missing game",0)</x:f>
        <x:v>13</x:v>
      </x:c>
      <x:c r="AP2453" t="n">
        <x:f>_xlfn.XLOOKUP($A2453,Games!$A$2:$A$18,Games!$K$2:$K$18,"Missing game",0)</x:f>
        <x:v>-3</x:v>
      </x:c>
      <x:c r="AQ2453" t="n">
        <x:f>_xlfn.XLOOKUP($A2453,Games!$A$2:$A$18,Games!$L$2:$L$18,"Missing game",0)</x:f>
        <x:v>29</x:v>
      </x:c>
      <x:c r="AR2453" t="n">
        <x:f>_xlfn.XLOOKUP($A2453,Games!$A$2:$A$18,Games!$M$2:$M$18,"Missing game",0)</x:f>
        <x:v>0</x:v>
      </x:c>
      <x:c r="AS2453" t="str">
        <x:f>_xlfn.XLOOKUP($A2453,Games!$A$2:$A$18,Games!$N$2:$N$18,"Missing game",0)</x:f>
        <x:v>outdoors</x:v>
      </x:c>
      <x:c r="AT2453" t="str">
        <x:f>_xlfn.XLOOKUP($A2453,Games!$A$2:$A$18,Games!$O$2:$O$18,"Missing game",0)</x:f>
        <x:v>fieldturf</x:v>
      </x:c>
      <x:c r="AU2453" t="n">
        <x:f>_xlfn.XLOOKUP($A2453,Games!$A$2:$A$18,Games!$P$2:$P$18,"Missing game",0)</x:f>
        <x:v>46</x:v>
      </x:c>
      <x:c r="AV2453" t="n">
        <x:f>_xlfn.XLOOKUP($A2453,Games!$A$2:$A$18,Games!$Q$2:$Q$18,"Missing game",0)</x:f>
        <x:v>20</x:v>
      </x:c>
      <x:c r="AW2453" t="str">
        <x:f>_xlfn.XLOOKUP($A2453,Games!$A$2:$A$18,Games!$R$2:$R$18,"Missing game",0)</x:f>
        <x:v>MetLife Stadium</x:v>
      </x:c>
    </x:row>
    <x:row r="2454">
      <x:c r="A2454" t="str">
        <x:v>2025_16_MIN_NYG</x:v>
      </x:c>
      <x:c r="B2454" t="n">
        <x:v>3398</x:v>
      </x:c>
      <x:c r="C2454" t="n">
        <x:v>4</x:v>
      </x:c>
      <x:c r="D2454" t="str">
        <x:v>07:08</x:v>
      </x:c>
      <x:c r="E2454" t="n">
        <x:v>1</x:v>
      </x:c>
      <x:c r="F2454" t="n">
        <x:v>10</x:v>
      </x:c>
      <x:c r="G2454" t="str">
        <x:v>MIN</x:v>
      </x:c>
      <x:c r="H2454" t="str">
        <x:v>NYG</x:v>
      </x:c>
      <x:c r="I2454" t="str">
        <x:v>NYG</x:v>
      </x:c>
      <x:c r="J2454" t="n">
        <x:v>30</x:v>
      </x:c>
      <x:c r="K2454" t="str">
        <x:v>(7:08) 33-A.Jones right end to NYG 27 for 3 yards (95-R.Robertson-Harris).</x:v>
      </x:c>
      <x:c r="L2454" t="str">
        <x:v>run</x:v>
      </x:c>
      <x:c r="M2454" t="n">
        <x:v>3</x:v>
      </x:c>
      <x:c r="N2454" t="n">
        <x:v>0</x:v>
      </x:c>
      <x:c r="O2454" t="n">
        <x:v>0</x:v>
      </x:c>
      <x:c r="P2454"/>
      <x:c r="Q2454"/>
      <x:c r="R2454"/>
      <x:c r="S2454"/>
      <x:c r="T2454" t="str">
        <x:v>right</x:v>
      </x:c>
      <x:c r="U2454" t="str">
        <x:v>end</x:v>
      </x:c>
      <x:c r="V2454" t="n">
        <x:v>0</x:v>
      </x:c>
      <x:c r="W2454" t="n">
        <x:v>0</x:v>
      </x:c>
      <x:c r="X2454" t="n">
        <x:v>0</x:v>
      </x:c>
      <x:c r="Y2454" t="n">
        <x:v>0</x:v>
      </x:c>
      <x:c r="Z2454" t="n">
        <x:v>0</x:v>
      </x:c>
      <x:c r="AA2454" t="n">
        <x:v>0</x:v>
      </x:c>
      <x:c r="AB2454"/>
      <x:c r="AC2454" t="n">
        <x:v>0</x:v>
      </x:c>
      <x:c r="AD2454" t="n">
        <x:v>-0.1466319063329138</x:v>
      </x:c>
      <x:c r="AE2454" t="n">
        <x:v>0</x:v>
      </x:c>
      <x:c r="AF2454" t="n">
        <x:v>-0.0018848180770874023</x:v>
      </x:c>
      <x:c r="AG2454" t="n">
        <x:f>_xlfn.XLOOKUP($A2454,Games!$A$2:$A$18,Games!$B$2:$B$18,"Missing game",0)</x:f>
        <x:v>2025</x:v>
      </x:c>
      <x:c r="AH2454" t="str">
        <x:f>_xlfn.XLOOKUP($A2454,Games!$A$2:$A$18,Games!$C$2:$C$18,"Missing game",0)</x:f>
        <x:v>REG</x:v>
      </x:c>
      <x:c r="AI2454" t="n">
        <x:f>_xlfn.XLOOKUP($A2454,Games!$A$2:$A$18,Games!$D$2:$D$18,"Missing game",0)</x:f>
        <x:v>16</x:v>
      </x:c>
      <x:c r="AJ2454" s="1" t="n">
        <x:f>_xlfn.XLOOKUP($A2454,Games!$A$2:$A$18,Games!$E$2:$E$18,"Missing game",0)</x:f>
        <x:v>46012</x:v>
      </x:c>
      <x:c r="AK2454" t="str">
        <x:f>_xlfn.XLOOKUP($A2454,Games!$A$2:$A$18,Games!$F$2:$F$18,"Missing game",0)</x:f>
        <x:v>Sunday</x:v>
      </x:c>
      <x:c r="AL2454" t="str">
        <x:f>_xlfn.XLOOKUP($A2454,Games!$A$2:$A$18,Games!$G$2:$G$18,"Missing game",0)</x:f>
        <x:v>MIN</x:v>
      </x:c>
      <x:c r="AM2454" t="n">
        <x:f>_xlfn.XLOOKUP($A2454,Games!$A$2:$A$18,Games!$H$2:$H$18,"Missing game",0)</x:f>
        <x:v>16</x:v>
      </x:c>
      <x:c r="AN2454" t="str">
        <x:f>_xlfn.XLOOKUP($A2454,Games!$A$2:$A$18,Games!$I$2:$I$18,"Missing game",0)</x:f>
        <x:v>NYG</x:v>
      </x:c>
      <x:c r="AO2454" t="n">
        <x:f>_xlfn.XLOOKUP($A2454,Games!$A$2:$A$18,Games!$J$2:$J$18,"Missing game",0)</x:f>
        <x:v>13</x:v>
      </x:c>
      <x:c r="AP2454" t="n">
        <x:f>_xlfn.XLOOKUP($A2454,Games!$A$2:$A$18,Games!$K$2:$K$18,"Missing game",0)</x:f>
        <x:v>-3</x:v>
      </x:c>
      <x:c r="AQ2454" t="n">
        <x:f>_xlfn.XLOOKUP($A2454,Games!$A$2:$A$18,Games!$L$2:$L$18,"Missing game",0)</x:f>
        <x:v>29</x:v>
      </x:c>
      <x:c r="AR2454" t="n">
        <x:f>_xlfn.XLOOKUP($A2454,Games!$A$2:$A$18,Games!$M$2:$M$18,"Missing game",0)</x:f>
        <x:v>0</x:v>
      </x:c>
      <x:c r="AS2454" t="str">
        <x:f>_xlfn.XLOOKUP($A2454,Games!$A$2:$A$18,Games!$N$2:$N$18,"Missing game",0)</x:f>
        <x:v>outdoors</x:v>
      </x:c>
      <x:c r="AT2454" t="str">
        <x:f>_xlfn.XLOOKUP($A2454,Games!$A$2:$A$18,Games!$O$2:$O$18,"Missing game",0)</x:f>
        <x:v>fieldturf</x:v>
      </x:c>
      <x:c r="AU2454" t="n">
        <x:f>_xlfn.XLOOKUP($A2454,Games!$A$2:$A$18,Games!$P$2:$P$18,"Missing game",0)</x:f>
        <x:v>46</x:v>
      </x:c>
      <x:c r="AV2454" t="n">
        <x:f>_xlfn.XLOOKUP($A2454,Games!$A$2:$A$18,Games!$Q$2:$Q$18,"Missing game",0)</x:f>
        <x:v>20</x:v>
      </x:c>
      <x:c r="AW2454" t="str">
        <x:f>_xlfn.XLOOKUP($A2454,Games!$A$2:$A$18,Games!$R$2:$R$18,"Missing game",0)</x:f>
        <x:v>MetLife Stadium</x:v>
      </x:c>
    </x:row>
    <x:row r="2455">
      <x:c r="A2455" t="str">
        <x:v>2025_16_MIN_NYG</x:v>
      </x:c>
      <x:c r="B2455" t="n">
        <x:v>3423</x:v>
      </x:c>
      <x:c r="C2455" t="n">
        <x:v>4</x:v>
      </x:c>
      <x:c r="D2455" t="str">
        <x:v>06:24</x:v>
      </x:c>
      <x:c r="E2455" t="n">
        <x:v>2</x:v>
      </x:c>
      <x:c r="F2455" t="n">
        <x:v>7</x:v>
      </x:c>
      <x:c r="G2455" t="str">
        <x:v>MIN</x:v>
      </x:c>
      <x:c r="H2455" t="str">
        <x:v>NYG</x:v>
      </x:c>
      <x:c r="I2455" t="str">
        <x:v>NYG</x:v>
      </x:c>
      <x:c r="J2455" t="n">
        <x:v>27</x:v>
      </x:c>
      <x:c r="K2455" t="str">
        <x:v>(6:24) 12-M.Brosmer pass short left to 36-Z.Scott to NYG 19 for 8 yards (58-B.Okereke).</x:v>
      </x:c>
      <x:c r="L2455" t="str">
        <x:v>pass</x:v>
      </x:c>
      <x:c r="M2455" t="n">
        <x:v>8</x:v>
      </x:c>
      <x:c r="N2455" t="n">
        <x:v>0</x:v>
      </x:c>
      <x:c r="O2455" t="n">
        <x:v>0</x:v>
      </x:c>
      <x:c r="P2455" t="str">
        <x:v>short</x:v>
      </x:c>
      <x:c r="Q2455" t="str">
        <x:v>left</x:v>
      </x:c>
      <x:c r="R2455" t="n">
        <x:v>-5</x:v>
      </x:c>
      <x:c r="S2455" t="n">
        <x:v>13</x:v>
      </x:c>
      <x:c r="T2455"/>
      <x:c r="U2455"/>
      <x:c r="V2455" t="n">
        <x:v>1</x:v>
      </x:c>
      <x:c r="W2455" t="n">
        <x:v>1</x:v>
      </x:c>
      <x:c r="X2455" t="n">
        <x:v>0</x:v>
      </x:c>
      <x:c r="Y2455" t="n">
        <x:v>0</x:v>
      </x:c>
      <x:c r="Z2455" t="n">
        <x:v>0</x:v>
      </x:c>
      <x:c r="AA2455" t="n">
        <x:v>0</x:v>
      </x:c>
      <x:c r="AB2455"/>
      <x:c r="AC2455" t="n">
        <x:v>0</x:v>
      </x:c>
      <x:c r="AD2455" t="n">
        <x:v>0.8820578607846983</x:v>
      </x:c>
      <x:c r="AE2455" t="n">
        <x:v>1</x:v>
      </x:c>
      <x:c r="AF2455" t="n">
        <x:v>0.06301921606063843</x:v>
      </x:c>
      <x:c r="AG2455" t="n">
        <x:f>_xlfn.XLOOKUP($A2455,Games!$A$2:$A$18,Games!$B$2:$B$18,"Missing game",0)</x:f>
        <x:v>2025</x:v>
      </x:c>
      <x:c r="AH2455" t="str">
        <x:f>_xlfn.XLOOKUP($A2455,Games!$A$2:$A$18,Games!$C$2:$C$18,"Missing game",0)</x:f>
        <x:v>REG</x:v>
      </x:c>
      <x:c r="AI2455" t="n">
        <x:f>_xlfn.XLOOKUP($A2455,Games!$A$2:$A$18,Games!$D$2:$D$18,"Missing game",0)</x:f>
        <x:v>16</x:v>
      </x:c>
      <x:c r="AJ2455" s="1" t="n">
        <x:f>_xlfn.XLOOKUP($A2455,Games!$A$2:$A$18,Games!$E$2:$E$18,"Missing game",0)</x:f>
        <x:v>46012</x:v>
      </x:c>
      <x:c r="AK2455" t="str">
        <x:f>_xlfn.XLOOKUP($A2455,Games!$A$2:$A$18,Games!$F$2:$F$18,"Missing game",0)</x:f>
        <x:v>Sunday</x:v>
      </x:c>
      <x:c r="AL2455" t="str">
        <x:f>_xlfn.XLOOKUP($A2455,Games!$A$2:$A$18,Games!$G$2:$G$18,"Missing game",0)</x:f>
        <x:v>MIN</x:v>
      </x:c>
      <x:c r="AM2455" t="n">
        <x:f>_xlfn.XLOOKUP($A2455,Games!$A$2:$A$18,Games!$H$2:$H$18,"Missing game",0)</x:f>
        <x:v>16</x:v>
      </x:c>
      <x:c r="AN2455" t="str">
        <x:f>_xlfn.XLOOKUP($A2455,Games!$A$2:$A$18,Games!$I$2:$I$18,"Missing game",0)</x:f>
        <x:v>NYG</x:v>
      </x:c>
      <x:c r="AO2455" t="n">
        <x:f>_xlfn.XLOOKUP($A2455,Games!$A$2:$A$18,Games!$J$2:$J$18,"Missing game",0)</x:f>
        <x:v>13</x:v>
      </x:c>
      <x:c r="AP2455" t="n">
        <x:f>_xlfn.XLOOKUP($A2455,Games!$A$2:$A$18,Games!$K$2:$K$18,"Missing game",0)</x:f>
        <x:v>-3</x:v>
      </x:c>
      <x:c r="AQ2455" t="n">
        <x:f>_xlfn.XLOOKUP($A2455,Games!$A$2:$A$18,Games!$L$2:$L$18,"Missing game",0)</x:f>
        <x:v>29</x:v>
      </x:c>
      <x:c r="AR2455" t="n">
        <x:f>_xlfn.XLOOKUP($A2455,Games!$A$2:$A$18,Games!$M$2:$M$18,"Missing game",0)</x:f>
        <x:v>0</x:v>
      </x:c>
      <x:c r="AS2455" t="str">
        <x:f>_xlfn.XLOOKUP($A2455,Games!$A$2:$A$18,Games!$N$2:$N$18,"Missing game",0)</x:f>
        <x:v>outdoors</x:v>
      </x:c>
      <x:c r="AT2455" t="str">
        <x:f>_xlfn.XLOOKUP($A2455,Games!$A$2:$A$18,Games!$O$2:$O$18,"Missing game",0)</x:f>
        <x:v>fieldturf</x:v>
      </x:c>
      <x:c r="AU2455" t="n">
        <x:f>_xlfn.XLOOKUP($A2455,Games!$A$2:$A$18,Games!$P$2:$P$18,"Missing game",0)</x:f>
        <x:v>46</x:v>
      </x:c>
      <x:c r="AV2455" t="n">
        <x:f>_xlfn.XLOOKUP($A2455,Games!$A$2:$A$18,Games!$Q$2:$Q$18,"Missing game",0)</x:f>
        <x:v>20</x:v>
      </x:c>
      <x:c r="AW2455" t="str">
        <x:f>_xlfn.XLOOKUP($A2455,Games!$A$2:$A$18,Games!$R$2:$R$18,"Missing game",0)</x:f>
        <x:v>MetLife Stadium</x:v>
      </x:c>
    </x:row>
    <x:row r="2456">
      <x:c r="A2456" t="str">
        <x:v>2025_16_MIN_NYG</x:v>
      </x:c>
      <x:c r="B2456" t="n">
        <x:v>3448</x:v>
      </x:c>
      <x:c r="C2456" t="n">
        <x:v>4</x:v>
      </x:c>
      <x:c r="D2456" t="str">
        <x:v>05:40</x:v>
      </x:c>
      <x:c r="E2456" t="n">
        <x:v>1</x:v>
      </x:c>
      <x:c r="F2456" t="n">
        <x:v>10</x:v>
      </x:c>
      <x:c r="G2456" t="str">
        <x:v>MIN</x:v>
      </x:c>
      <x:c r="H2456" t="str">
        <x:v>NYG</x:v>
      </x:c>
      <x:c r="I2456" t="str">
        <x:v>NYG</x:v>
      </x:c>
      <x:c r="J2456" t="n">
        <x:v>19</x:v>
      </x:c>
      <x:c r="K2456" t="str">
        <x:v>(5:40) 33-A.Jones left guard to NYG 17 for 2 yards (27-T.Nubin; 95-R.Robertson-Harris).</x:v>
      </x:c>
      <x:c r="L2456" t="str">
        <x:v>run</x:v>
      </x:c>
      <x:c r="M2456" t="n">
        <x:v>2</x:v>
      </x:c>
      <x:c r="N2456" t="n">
        <x:v>0</x:v>
      </x:c>
      <x:c r="O2456" t="n">
        <x:v>0</x:v>
      </x:c>
      <x:c r="P2456"/>
      <x:c r="Q2456"/>
      <x:c r="R2456"/>
      <x:c r="S2456"/>
      <x:c r="T2456" t="str">
        <x:v>left</x:v>
      </x:c>
      <x:c r="U2456" t="str">
        <x:v>guard</x:v>
      </x:c>
      <x:c r="V2456" t="n">
        <x:v>0</x:v>
      </x:c>
      <x:c r="W2456" t="n">
        <x:v>0</x:v>
      </x:c>
      <x:c r="X2456" t="n">
        <x:v>0</x:v>
      </x:c>
      <x:c r="Y2456" t="n">
        <x:v>0</x:v>
      </x:c>
      <x:c r="Z2456" t="n">
        <x:v>0</x:v>
      </x:c>
      <x:c r="AA2456" t="n">
        <x:v>0</x:v>
      </x:c>
      <x:c r="AB2456"/>
      <x:c r="AC2456" t="n">
        <x:v>0</x:v>
      </x:c>
      <x:c r="AD2456" t="n">
        <x:v>-0.30930904229171574</x:v>
      </x:c>
      <x:c r="AE2456" t="n">
        <x:v>0</x:v>
      </x:c>
      <x:c r="AF2456" t="n">
        <x:v>-0.020048320293426514</x:v>
      </x:c>
      <x:c r="AG2456" t="n">
        <x:f>_xlfn.XLOOKUP($A2456,Games!$A$2:$A$18,Games!$B$2:$B$18,"Missing game",0)</x:f>
        <x:v>2025</x:v>
      </x:c>
      <x:c r="AH2456" t="str">
        <x:f>_xlfn.XLOOKUP($A2456,Games!$A$2:$A$18,Games!$C$2:$C$18,"Missing game",0)</x:f>
        <x:v>REG</x:v>
      </x:c>
      <x:c r="AI2456" t="n">
        <x:f>_xlfn.XLOOKUP($A2456,Games!$A$2:$A$18,Games!$D$2:$D$18,"Missing game",0)</x:f>
        <x:v>16</x:v>
      </x:c>
      <x:c r="AJ2456" s="1" t="n">
        <x:f>_xlfn.XLOOKUP($A2456,Games!$A$2:$A$18,Games!$E$2:$E$18,"Missing game",0)</x:f>
        <x:v>46012</x:v>
      </x:c>
      <x:c r="AK2456" t="str">
        <x:f>_xlfn.XLOOKUP($A2456,Games!$A$2:$A$18,Games!$F$2:$F$18,"Missing game",0)</x:f>
        <x:v>Sunday</x:v>
      </x:c>
      <x:c r="AL2456" t="str">
        <x:f>_xlfn.XLOOKUP($A2456,Games!$A$2:$A$18,Games!$G$2:$G$18,"Missing game",0)</x:f>
        <x:v>MIN</x:v>
      </x:c>
      <x:c r="AM2456" t="n">
        <x:f>_xlfn.XLOOKUP($A2456,Games!$A$2:$A$18,Games!$H$2:$H$18,"Missing game",0)</x:f>
        <x:v>16</x:v>
      </x:c>
      <x:c r="AN2456" t="str">
        <x:f>_xlfn.XLOOKUP($A2456,Games!$A$2:$A$18,Games!$I$2:$I$18,"Missing game",0)</x:f>
        <x:v>NYG</x:v>
      </x:c>
      <x:c r="AO2456" t="n">
        <x:f>_xlfn.XLOOKUP($A2456,Games!$A$2:$A$18,Games!$J$2:$J$18,"Missing game",0)</x:f>
        <x:v>13</x:v>
      </x:c>
      <x:c r="AP2456" t="n">
        <x:f>_xlfn.XLOOKUP($A2456,Games!$A$2:$A$18,Games!$K$2:$K$18,"Missing game",0)</x:f>
        <x:v>-3</x:v>
      </x:c>
      <x:c r="AQ2456" t="n">
        <x:f>_xlfn.XLOOKUP($A2456,Games!$A$2:$A$18,Games!$L$2:$L$18,"Missing game",0)</x:f>
        <x:v>29</x:v>
      </x:c>
      <x:c r="AR2456" t="n">
        <x:f>_xlfn.XLOOKUP($A2456,Games!$A$2:$A$18,Games!$M$2:$M$18,"Missing game",0)</x:f>
        <x:v>0</x:v>
      </x:c>
      <x:c r="AS2456" t="str">
        <x:f>_xlfn.XLOOKUP($A2456,Games!$A$2:$A$18,Games!$N$2:$N$18,"Missing game",0)</x:f>
        <x:v>outdoors</x:v>
      </x:c>
      <x:c r="AT2456" t="str">
        <x:f>_xlfn.XLOOKUP($A2456,Games!$A$2:$A$18,Games!$O$2:$O$18,"Missing game",0)</x:f>
        <x:v>fieldturf</x:v>
      </x:c>
      <x:c r="AU2456" t="n">
        <x:f>_xlfn.XLOOKUP($A2456,Games!$A$2:$A$18,Games!$P$2:$P$18,"Missing game",0)</x:f>
        <x:v>46</x:v>
      </x:c>
      <x:c r="AV2456" t="n">
        <x:f>_xlfn.XLOOKUP($A2456,Games!$A$2:$A$18,Games!$Q$2:$Q$18,"Missing game",0)</x:f>
        <x:v>20</x:v>
      </x:c>
      <x:c r="AW2456" t="str">
        <x:f>_xlfn.XLOOKUP($A2456,Games!$A$2:$A$18,Games!$R$2:$R$18,"Missing game",0)</x:f>
        <x:v>MetLife Stadium</x:v>
      </x:c>
    </x:row>
    <x:row r="2457">
      <x:c r="A2457" t="str">
        <x:v>2025_16_MIN_NYG</x:v>
      </x:c>
      <x:c r="B2457" t="n">
        <x:v>3460</x:v>
      </x:c>
      <x:c r="C2457" t="n">
        <x:v>4</x:v>
      </x:c>
      <x:c r="D2457" t="str">
        <x:v>05:40</x:v>
      </x:c>
      <x:c r="E2457"/>
      <x:c r="F2457" t="n">
        <x:v>0</x:v>
      </x:c>
      <x:c r="G2457"/>
      <x:c r="H2457"/>
      <x:c r="I2457"/>
      <x:c r="J2457"/>
      <x:c r="K2457" t="str">
        <x:v>Timeout #1 by NYG at 05:40.</x:v>
      </x:c>
      <x:c r="L2457" t="str">
        <x:v>no_play</x:v>
      </x:c>
      <x:c r="M2457" t="n">
        <x:v>0</x:v>
      </x:c>
      <x:c r="N2457" t="n">
        <x:v>0</x:v>
      </x:c>
      <x:c r="O2457" t="n">
        <x:v>0</x:v>
      </x:c>
      <x:c r="P2457"/>
      <x:c r="Q2457"/>
      <x:c r="R2457"/>
      <x:c r="S2457"/>
      <x:c r="T2457"/>
      <x:c r="U2457"/>
      <x:c r="V2457" t="n">
        <x:v>0</x:v>
      </x:c>
      <x:c r="W2457" t="n">
        <x:v>0</x:v>
      </x:c>
      <x:c r="X2457" t="n">
        <x:v>0</x:v>
      </x:c>
      <x:c r="Y2457" t="n">
        <x:v>0</x:v>
      </x:c>
      <x:c r="Z2457" t="n">
        <x:v>0</x:v>
      </x:c>
      <x:c r="AA2457" t="n">
        <x:v>0</x:v>
      </x:c>
      <x:c r="AB2457"/>
      <x:c r="AC2457" t="n">
        <x:v>0</x:v>
      </x:c>
      <x:c r="AD2457" t="n">
        <x:v>0</x:v>
      </x:c>
      <x:c r="AE2457" t="n">
        <x:v>0</x:v>
      </x:c>
      <x:c r="AF2457" t="n">
        <x:v>0</x:v>
      </x:c>
      <x:c r="AG2457" t="n">
        <x:f>_xlfn.XLOOKUP($A2457,Games!$A$2:$A$18,Games!$B$2:$B$18,"Missing game",0)</x:f>
        <x:v>2025</x:v>
      </x:c>
      <x:c r="AH2457" t="str">
        <x:f>_xlfn.XLOOKUP($A2457,Games!$A$2:$A$18,Games!$C$2:$C$18,"Missing game",0)</x:f>
        <x:v>REG</x:v>
      </x:c>
      <x:c r="AI2457" t="n">
        <x:f>_xlfn.XLOOKUP($A2457,Games!$A$2:$A$18,Games!$D$2:$D$18,"Missing game",0)</x:f>
        <x:v>16</x:v>
      </x:c>
      <x:c r="AJ2457" s="1" t="n">
        <x:f>_xlfn.XLOOKUP($A2457,Games!$A$2:$A$18,Games!$E$2:$E$18,"Missing game",0)</x:f>
        <x:v>46012</x:v>
      </x:c>
      <x:c r="AK2457" t="str">
        <x:f>_xlfn.XLOOKUP($A2457,Games!$A$2:$A$18,Games!$F$2:$F$18,"Missing game",0)</x:f>
        <x:v>Sunday</x:v>
      </x:c>
      <x:c r="AL2457" t="str">
        <x:f>_xlfn.XLOOKUP($A2457,Games!$A$2:$A$18,Games!$G$2:$G$18,"Missing game",0)</x:f>
        <x:v>MIN</x:v>
      </x:c>
      <x:c r="AM2457" t="n">
        <x:f>_xlfn.XLOOKUP($A2457,Games!$A$2:$A$18,Games!$H$2:$H$18,"Missing game",0)</x:f>
        <x:v>16</x:v>
      </x:c>
      <x:c r="AN2457" t="str">
        <x:f>_xlfn.XLOOKUP($A2457,Games!$A$2:$A$18,Games!$I$2:$I$18,"Missing game",0)</x:f>
        <x:v>NYG</x:v>
      </x:c>
      <x:c r="AO2457" t="n">
        <x:f>_xlfn.XLOOKUP($A2457,Games!$A$2:$A$18,Games!$J$2:$J$18,"Missing game",0)</x:f>
        <x:v>13</x:v>
      </x:c>
      <x:c r="AP2457" t="n">
        <x:f>_xlfn.XLOOKUP($A2457,Games!$A$2:$A$18,Games!$K$2:$K$18,"Missing game",0)</x:f>
        <x:v>-3</x:v>
      </x:c>
      <x:c r="AQ2457" t="n">
        <x:f>_xlfn.XLOOKUP($A2457,Games!$A$2:$A$18,Games!$L$2:$L$18,"Missing game",0)</x:f>
        <x:v>29</x:v>
      </x:c>
      <x:c r="AR2457" t="n">
        <x:f>_xlfn.XLOOKUP($A2457,Games!$A$2:$A$18,Games!$M$2:$M$18,"Missing game",0)</x:f>
        <x:v>0</x:v>
      </x:c>
      <x:c r="AS2457" t="str">
        <x:f>_xlfn.XLOOKUP($A2457,Games!$A$2:$A$18,Games!$N$2:$N$18,"Missing game",0)</x:f>
        <x:v>outdoors</x:v>
      </x:c>
      <x:c r="AT2457" t="str">
        <x:f>_xlfn.XLOOKUP($A2457,Games!$A$2:$A$18,Games!$O$2:$O$18,"Missing game",0)</x:f>
        <x:v>fieldturf</x:v>
      </x:c>
      <x:c r="AU2457" t="n">
        <x:f>_xlfn.XLOOKUP($A2457,Games!$A$2:$A$18,Games!$P$2:$P$18,"Missing game",0)</x:f>
        <x:v>46</x:v>
      </x:c>
      <x:c r="AV2457" t="n">
        <x:f>_xlfn.XLOOKUP($A2457,Games!$A$2:$A$18,Games!$Q$2:$Q$18,"Missing game",0)</x:f>
        <x:v>20</x:v>
      </x:c>
      <x:c r="AW2457" t="str">
        <x:f>_xlfn.XLOOKUP($A2457,Games!$A$2:$A$18,Games!$R$2:$R$18,"Missing game",0)</x:f>
        <x:v>MetLife Stadium</x:v>
      </x:c>
    </x:row>
    <x:row r="2458">
      <x:c r="A2458" t="str">
        <x:v>2025_16_MIN_NYG</x:v>
      </x:c>
      <x:c r="B2458" t="n">
        <x:v>3492</x:v>
      </x:c>
      <x:c r="C2458" t="n">
        <x:v>4</x:v>
      </x:c>
      <x:c r="D2458" t="str">
        <x:v>04:59</x:v>
      </x:c>
      <x:c r="E2458" t="n">
        <x:v>2</x:v>
      </x:c>
      <x:c r="F2458" t="n">
        <x:v>8</x:v>
      </x:c>
      <x:c r="G2458" t="str">
        <x:v>MIN</x:v>
      </x:c>
      <x:c r="H2458" t="str">
        <x:v>NYG</x:v>
      </x:c>
      <x:c r="I2458" t="str">
        <x:v>NYG</x:v>
      </x:c>
      <x:c r="J2458" t="n">
        <x:v>17</x:v>
      </x:c>
      <x:c r="K2458" t="str">
        <x:v>(4:59) 33-A.Jones up the middle to NYG 13 for 4 yards (0-B.Burns; 24-D.Belton). NYG-27-T.Nubin was injured during the play. ** Injury Update: NYG-0-B.Burns has returned to the game.</x:v>
      </x:c>
      <x:c r="L2458" t="str">
        <x:v>run</x:v>
      </x:c>
      <x:c r="M2458" t="n">
        <x:v>4</x:v>
      </x:c>
      <x:c r="N2458" t="n">
        <x:v>0</x:v>
      </x:c>
      <x:c r="O2458" t="n">
        <x:v>0</x:v>
      </x:c>
      <x:c r="P2458"/>
      <x:c r="Q2458"/>
      <x:c r="R2458"/>
      <x:c r="S2458"/>
      <x:c r="T2458" t="str">
        <x:v>middle</x:v>
      </x:c>
      <x:c r="U2458"/>
      <x:c r="V2458" t="n">
        <x:v>0</x:v>
      </x:c>
      <x:c r="W2458" t="n">
        <x:v>0</x:v>
      </x:c>
      <x:c r="X2458" t="n">
        <x:v>0</x:v>
      </x:c>
      <x:c r="Y2458" t="n">
        <x:v>0</x:v>
      </x:c>
      <x:c r="Z2458" t="n">
        <x:v>0</x:v>
      </x:c>
      <x:c r="AA2458" t="n">
        <x:v>0</x:v>
      </x:c>
      <x:c r="AB2458"/>
      <x:c r="AC2458" t="n">
        <x:v>0</x:v>
      </x:c>
      <x:c r="AD2458" t="n">
        <x:v>-0.05368463596096262</x:v>
      </x:c>
      <x:c r="AE2458" t="n">
        <x:v>0</x:v>
      </x:c>
      <x:c r="AF2458" t="n">
        <x:v>-0.018463850021362305</x:v>
      </x:c>
      <x:c r="AG2458" t="n">
        <x:f>_xlfn.XLOOKUP($A2458,Games!$A$2:$A$18,Games!$B$2:$B$18,"Missing game",0)</x:f>
        <x:v>2025</x:v>
      </x:c>
      <x:c r="AH2458" t="str">
        <x:f>_xlfn.XLOOKUP($A2458,Games!$A$2:$A$18,Games!$C$2:$C$18,"Missing game",0)</x:f>
        <x:v>REG</x:v>
      </x:c>
      <x:c r="AI2458" t="n">
        <x:f>_xlfn.XLOOKUP($A2458,Games!$A$2:$A$18,Games!$D$2:$D$18,"Missing game",0)</x:f>
        <x:v>16</x:v>
      </x:c>
      <x:c r="AJ2458" s="1" t="n">
        <x:f>_xlfn.XLOOKUP($A2458,Games!$A$2:$A$18,Games!$E$2:$E$18,"Missing game",0)</x:f>
        <x:v>46012</x:v>
      </x:c>
      <x:c r="AK2458" t="str">
        <x:f>_xlfn.XLOOKUP($A2458,Games!$A$2:$A$18,Games!$F$2:$F$18,"Missing game",0)</x:f>
        <x:v>Sunday</x:v>
      </x:c>
      <x:c r="AL2458" t="str">
        <x:f>_xlfn.XLOOKUP($A2458,Games!$A$2:$A$18,Games!$G$2:$G$18,"Missing game",0)</x:f>
        <x:v>MIN</x:v>
      </x:c>
      <x:c r="AM2458" t="n">
        <x:f>_xlfn.XLOOKUP($A2458,Games!$A$2:$A$18,Games!$H$2:$H$18,"Missing game",0)</x:f>
        <x:v>16</x:v>
      </x:c>
      <x:c r="AN2458" t="str">
        <x:f>_xlfn.XLOOKUP($A2458,Games!$A$2:$A$18,Games!$I$2:$I$18,"Missing game",0)</x:f>
        <x:v>NYG</x:v>
      </x:c>
      <x:c r="AO2458" t="n">
        <x:f>_xlfn.XLOOKUP($A2458,Games!$A$2:$A$18,Games!$J$2:$J$18,"Missing game",0)</x:f>
        <x:v>13</x:v>
      </x:c>
      <x:c r="AP2458" t="n">
        <x:f>_xlfn.XLOOKUP($A2458,Games!$A$2:$A$18,Games!$K$2:$K$18,"Missing game",0)</x:f>
        <x:v>-3</x:v>
      </x:c>
      <x:c r="AQ2458" t="n">
        <x:f>_xlfn.XLOOKUP($A2458,Games!$A$2:$A$18,Games!$L$2:$L$18,"Missing game",0)</x:f>
        <x:v>29</x:v>
      </x:c>
      <x:c r="AR2458" t="n">
        <x:f>_xlfn.XLOOKUP($A2458,Games!$A$2:$A$18,Games!$M$2:$M$18,"Missing game",0)</x:f>
        <x:v>0</x:v>
      </x:c>
      <x:c r="AS2458" t="str">
        <x:f>_xlfn.XLOOKUP($A2458,Games!$A$2:$A$18,Games!$N$2:$N$18,"Missing game",0)</x:f>
        <x:v>outdoors</x:v>
      </x:c>
      <x:c r="AT2458" t="str">
        <x:f>_xlfn.XLOOKUP($A2458,Games!$A$2:$A$18,Games!$O$2:$O$18,"Missing game",0)</x:f>
        <x:v>fieldturf</x:v>
      </x:c>
      <x:c r="AU2458" t="n">
        <x:f>_xlfn.XLOOKUP($A2458,Games!$A$2:$A$18,Games!$P$2:$P$18,"Missing game",0)</x:f>
        <x:v>46</x:v>
      </x:c>
      <x:c r="AV2458" t="n">
        <x:f>_xlfn.XLOOKUP($A2458,Games!$A$2:$A$18,Games!$Q$2:$Q$18,"Missing game",0)</x:f>
        <x:v>20</x:v>
      </x:c>
      <x:c r="AW2458" t="str">
        <x:f>_xlfn.XLOOKUP($A2458,Games!$A$2:$A$18,Games!$R$2:$R$18,"Missing game",0)</x:f>
        <x:v>MetLife Stadium</x:v>
      </x:c>
    </x:row>
    <x:row r="2459">
      <x:c r="A2459" t="str">
        <x:v>2025_16_MIN_NYG</x:v>
      </x:c>
      <x:c r="B2459" t="n">
        <x:v>3517</x:v>
      </x:c>
      <x:c r="C2459" t="n">
        <x:v>4</x:v>
      </x:c>
      <x:c r="D2459" t="str">
        <x:v>04:23</x:v>
      </x:c>
      <x:c r="E2459" t="n">
        <x:v>3</x:v>
      </x:c>
      <x:c r="F2459" t="n">
        <x:v>4</x:v>
      </x:c>
      <x:c r="G2459" t="str">
        <x:v>MIN</x:v>
      </x:c>
      <x:c r="H2459" t="str">
        <x:v>NYG</x:v>
      </x:c>
      <x:c r="I2459" t="str">
        <x:v>NYG</x:v>
      </x:c>
      <x:c r="J2459" t="n">
        <x:v>13</x:v>
      </x:c>
      <x:c r="K2459" t="str">
        <x:v>(4:23) (Shotgun) 12-M.Brosmer pass short left to 33-A.Jones to NYG 12 for 1 yard (58-B.Okereke).</x:v>
      </x:c>
      <x:c r="L2459" t="str">
        <x:v>pass</x:v>
      </x:c>
      <x:c r="M2459" t="n">
        <x:v>1</x:v>
      </x:c>
      <x:c r="N2459" t="n">
        <x:v>1</x:v>
      </x:c>
      <x:c r="O2459" t="n">
        <x:v>0</x:v>
      </x:c>
      <x:c r="P2459" t="str">
        <x:v>short</x:v>
      </x:c>
      <x:c r="Q2459" t="str">
        <x:v>left</x:v>
      </x:c>
      <x:c r="R2459" t="n">
        <x:v>-2</x:v>
      </x:c>
      <x:c r="S2459" t="n">
        <x:v>3</x:v>
      </x:c>
      <x:c r="T2459"/>
      <x:c r="U2459"/>
      <x:c r="V2459" t="n">
        <x:v>1</x:v>
      </x:c>
      <x:c r="W2459" t="n">
        <x:v>0</x:v>
      </x:c>
      <x:c r="X2459" t="n">
        <x:v>0</x:v>
      </x:c>
      <x:c r="Y2459" t="n">
        <x:v>0</x:v>
      </x:c>
      <x:c r="Z2459" t="n">
        <x:v>0</x:v>
      </x:c>
      <x:c r="AA2459" t="n">
        <x:v>0</x:v>
      </x:c>
      <x:c r="AB2459"/>
      <x:c r="AC2459" t="n">
        <x:v>0</x:v>
      </x:c>
      <x:c r="AD2459" t="n">
        <x:v>-1.3170842970704033</x:v>
      </x:c>
      <x:c r="AE2459" t="n">
        <x:v>0</x:v>
      </x:c>
      <x:c r="AF2459" t="n">
        <x:v>-0.02758777141571045</x:v>
      </x:c>
      <x:c r="AG2459" t="n">
        <x:f>_xlfn.XLOOKUP($A2459,Games!$A$2:$A$18,Games!$B$2:$B$18,"Missing game",0)</x:f>
        <x:v>2025</x:v>
      </x:c>
      <x:c r="AH2459" t="str">
        <x:f>_xlfn.XLOOKUP($A2459,Games!$A$2:$A$18,Games!$C$2:$C$18,"Missing game",0)</x:f>
        <x:v>REG</x:v>
      </x:c>
      <x:c r="AI2459" t="n">
        <x:f>_xlfn.XLOOKUP($A2459,Games!$A$2:$A$18,Games!$D$2:$D$18,"Missing game",0)</x:f>
        <x:v>16</x:v>
      </x:c>
      <x:c r="AJ2459" s="1" t="n">
        <x:f>_xlfn.XLOOKUP($A2459,Games!$A$2:$A$18,Games!$E$2:$E$18,"Missing game",0)</x:f>
        <x:v>46012</x:v>
      </x:c>
      <x:c r="AK2459" t="str">
        <x:f>_xlfn.XLOOKUP($A2459,Games!$A$2:$A$18,Games!$F$2:$F$18,"Missing game",0)</x:f>
        <x:v>Sunday</x:v>
      </x:c>
      <x:c r="AL2459" t="str">
        <x:f>_xlfn.XLOOKUP($A2459,Games!$A$2:$A$18,Games!$G$2:$G$18,"Missing game",0)</x:f>
        <x:v>MIN</x:v>
      </x:c>
      <x:c r="AM2459" t="n">
        <x:f>_xlfn.XLOOKUP($A2459,Games!$A$2:$A$18,Games!$H$2:$H$18,"Missing game",0)</x:f>
        <x:v>16</x:v>
      </x:c>
      <x:c r="AN2459" t="str">
        <x:f>_xlfn.XLOOKUP($A2459,Games!$A$2:$A$18,Games!$I$2:$I$18,"Missing game",0)</x:f>
        <x:v>NYG</x:v>
      </x:c>
      <x:c r="AO2459" t="n">
        <x:f>_xlfn.XLOOKUP($A2459,Games!$A$2:$A$18,Games!$J$2:$J$18,"Missing game",0)</x:f>
        <x:v>13</x:v>
      </x:c>
      <x:c r="AP2459" t="n">
        <x:f>_xlfn.XLOOKUP($A2459,Games!$A$2:$A$18,Games!$K$2:$K$18,"Missing game",0)</x:f>
        <x:v>-3</x:v>
      </x:c>
      <x:c r="AQ2459" t="n">
        <x:f>_xlfn.XLOOKUP($A2459,Games!$A$2:$A$18,Games!$L$2:$L$18,"Missing game",0)</x:f>
        <x:v>29</x:v>
      </x:c>
      <x:c r="AR2459" t="n">
        <x:f>_xlfn.XLOOKUP($A2459,Games!$A$2:$A$18,Games!$M$2:$M$18,"Missing game",0)</x:f>
        <x:v>0</x:v>
      </x:c>
      <x:c r="AS2459" t="str">
        <x:f>_xlfn.XLOOKUP($A2459,Games!$A$2:$A$18,Games!$N$2:$N$18,"Missing game",0)</x:f>
        <x:v>outdoors</x:v>
      </x:c>
      <x:c r="AT2459" t="str">
        <x:f>_xlfn.XLOOKUP($A2459,Games!$A$2:$A$18,Games!$O$2:$O$18,"Missing game",0)</x:f>
        <x:v>fieldturf</x:v>
      </x:c>
      <x:c r="AU2459" t="n">
        <x:f>_xlfn.XLOOKUP($A2459,Games!$A$2:$A$18,Games!$P$2:$P$18,"Missing game",0)</x:f>
        <x:v>46</x:v>
      </x:c>
      <x:c r="AV2459" t="n">
        <x:f>_xlfn.XLOOKUP($A2459,Games!$A$2:$A$18,Games!$Q$2:$Q$18,"Missing game",0)</x:f>
        <x:v>20</x:v>
      </x:c>
      <x:c r="AW2459" t="str">
        <x:f>_xlfn.XLOOKUP($A2459,Games!$A$2:$A$18,Games!$R$2:$R$18,"Missing game",0)</x:f>
        <x:v>MetLife Stadium</x:v>
      </x:c>
    </x:row>
    <x:row r="2460">
      <x:c r="A2460" t="str">
        <x:v>2025_16_MIN_NYG</x:v>
      </x:c>
      <x:c r="B2460" t="n">
        <x:v>3552</x:v>
      </x:c>
      <x:c r="C2460" t="n">
        <x:v>4</x:v>
      </x:c>
      <x:c r="D2460" t="str">
        <x:v>04:18</x:v>
      </x:c>
      <x:c r="E2460" t="n">
        <x:v>4</x:v>
      </x:c>
      <x:c r="F2460" t="n">
        <x:v>3</x:v>
      </x:c>
      <x:c r="G2460" t="str">
        <x:v>MIN</x:v>
      </x:c>
      <x:c r="H2460" t="str">
        <x:v>NYG</x:v>
      </x:c>
      <x:c r="I2460" t="str">
        <x:v>NYG</x:v>
      </x:c>
      <x:c r="J2460" t="n">
        <x:v>12</x:v>
      </x:c>
      <x:c r="K2460" t="str">
        <x:v>(4:18) 16-W.Reichard 30 yard field goal is GOOD, Center-42-A.DePaola, Holder-17-R.Wright.</x:v>
      </x:c>
      <x:c r="L2460" t="str">
        <x:v>field_goal</x:v>
      </x:c>
      <x:c r="M2460" t="n">
        <x:v>0</x:v>
      </x:c>
      <x:c r="N2460" t="n">
        <x:v>0</x:v>
      </x:c>
      <x:c r="O2460" t="n">
        <x:v>0</x:v>
      </x:c>
      <x:c r="P2460"/>
      <x:c r="Q2460"/>
      <x:c r="R2460"/>
      <x:c r="S2460"/>
      <x:c r="T2460"/>
      <x:c r="U2460"/>
      <x:c r="V2460" t="n">
        <x:v>0</x:v>
      </x:c>
      <x:c r="W2460" t="n">
        <x:v>0</x:v>
      </x:c>
      <x:c r="X2460" t="n">
        <x:v>0</x:v>
      </x:c>
      <x:c r="Y2460" t="n">
        <x:v>0</x:v>
      </x:c>
      <x:c r="Z2460" t="n">
        <x:v>0</x:v>
      </x:c>
      <x:c r="AA2460" t="n">
        <x:v>0</x:v>
      </x:c>
      <x:c r="AB2460"/>
      <x:c r="AC2460" t="n">
        <x:v>0</x:v>
      </x:c>
      <x:c r="AD2460" t="n">
        <x:v>0.16869287792186505</x:v>
      </x:c>
      <x:c r="AE2460" t="n">
        <x:v>1</x:v>
      </x:c>
      <x:c r="AF2460" t="n">
        <x:v>0.005758166313171387</x:v>
      </x:c>
      <x:c r="AG2460" t="n">
        <x:f>_xlfn.XLOOKUP($A2460,Games!$A$2:$A$18,Games!$B$2:$B$18,"Missing game",0)</x:f>
        <x:v>2025</x:v>
      </x:c>
      <x:c r="AH2460" t="str">
        <x:f>_xlfn.XLOOKUP($A2460,Games!$A$2:$A$18,Games!$C$2:$C$18,"Missing game",0)</x:f>
        <x:v>REG</x:v>
      </x:c>
      <x:c r="AI2460" t="n">
        <x:f>_xlfn.XLOOKUP($A2460,Games!$A$2:$A$18,Games!$D$2:$D$18,"Missing game",0)</x:f>
        <x:v>16</x:v>
      </x:c>
      <x:c r="AJ2460" s="1" t="n">
        <x:f>_xlfn.XLOOKUP($A2460,Games!$A$2:$A$18,Games!$E$2:$E$18,"Missing game",0)</x:f>
        <x:v>46012</x:v>
      </x:c>
      <x:c r="AK2460" t="str">
        <x:f>_xlfn.XLOOKUP($A2460,Games!$A$2:$A$18,Games!$F$2:$F$18,"Missing game",0)</x:f>
        <x:v>Sunday</x:v>
      </x:c>
      <x:c r="AL2460" t="str">
        <x:f>_xlfn.XLOOKUP($A2460,Games!$A$2:$A$18,Games!$G$2:$G$18,"Missing game",0)</x:f>
        <x:v>MIN</x:v>
      </x:c>
      <x:c r="AM2460" t="n">
        <x:f>_xlfn.XLOOKUP($A2460,Games!$A$2:$A$18,Games!$H$2:$H$18,"Missing game",0)</x:f>
        <x:v>16</x:v>
      </x:c>
      <x:c r="AN2460" t="str">
        <x:f>_xlfn.XLOOKUP($A2460,Games!$A$2:$A$18,Games!$I$2:$I$18,"Missing game",0)</x:f>
        <x:v>NYG</x:v>
      </x:c>
      <x:c r="AO2460" t="n">
        <x:f>_xlfn.XLOOKUP($A2460,Games!$A$2:$A$18,Games!$J$2:$J$18,"Missing game",0)</x:f>
        <x:v>13</x:v>
      </x:c>
      <x:c r="AP2460" t="n">
        <x:f>_xlfn.XLOOKUP($A2460,Games!$A$2:$A$18,Games!$K$2:$K$18,"Missing game",0)</x:f>
        <x:v>-3</x:v>
      </x:c>
      <x:c r="AQ2460" t="n">
        <x:f>_xlfn.XLOOKUP($A2460,Games!$A$2:$A$18,Games!$L$2:$L$18,"Missing game",0)</x:f>
        <x:v>29</x:v>
      </x:c>
      <x:c r="AR2460" t="n">
        <x:f>_xlfn.XLOOKUP($A2460,Games!$A$2:$A$18,Games!$M$2:$M$18,"Missing game",0)</x:f>
        <x:v>0</x:v>
      </x:c>
      <x:c r="AS2460" t="str">
        <x:f>_xlfn.XLOOKUP($A2460,Games!$A$2:$A$18,Games!$N$2:$N$18,"Missing game",0)</x:f>
        <x:v>outdoors</x:v>
      </x:c>
      <x:c r="AT2460" t="str">
        <x:f>_xlfn.XLOOKUP($A2460,Games!$A$2:$A$18,Games!$O$2:$O$18,"Missing game",0)</x:f>
        <x:v>fieldturf</x:v>
      </x:c>
      <x:c r="AU2460" t="n">
        <x:f>_xlfn.XLOOKUP($A2460,Games!$A$2:$A$18,Games!$P$2:$P$18,"Missing game",0)</x:f>
        <x:v>46</x:v>
      </x:c>
      <x:c r="AV2460" t="n">
        <x:f>_xlfn.XLOOKUP($A2460,Games!$A$2:$A$18,Games!$Q$2:$Q$18,"Missing game",0)</x:f>
        <x:v>20</x:v>
      </x:c>
      <x:c r="AW2460" t="str">
        <x:f>_xlfn.XLOOKUP($A2460,Games!$A$2:$A$18,Games!$R$2:$R$18,"Missing game",0)</x:f>
        <x:v>MetLife Stadium</x:v>
      </x:c>
    </x:row>
    <x:row r="2461">
      <x:c r="A2461" t="str">
        <x:v>2025_16_MIN_NYG</x:v>
      </x:c>
      <x:c r="B2461" t="n">
        <x:v>3572</x:v>
      </x:c>
      <x:c r="C2461" t="n">
        <x:v>4</x:v>
      </x:c>
      <x:c r="D2461" t="str">
        <x:v>04:15</x:v>
      </x:c>
      <x:c r="E2461"/>
      <x:c r="F2461" t="n">
        <x:v>0</x:v>
      </x:c>
      <x:c r="G2461" t="str">
        <x:v>NYG</x:v>
      </x:c>
      <x:c r="H2461" t="str">
        <x:v>MIN</x:v>
      </x:c>
      <x:c r="I2461" t="str">
        <x:v>MIN</x:v>
      </x:c>
      <x:c r="J2461" t="n">
        <x:v>35</x:v>
      </x:c>
      <x:c r="K2461" t="str">
        <x:v>16-W.Reichard kicks 61 yards from MIN 35 to NYG 4. 2-D.Banks pushed ob at NYG 34 for 30 yards (0-I.Pace; 40-S.Takitaki).</x:v>
      </x:c>
      <x:c r="L2461" t="str">
        <x:v>kickoff</x:v>
      </x:c>
      <x:c r="M2461" t="n">
        <x:v>0</x:v>
      </x:c>
      <x:c r="N2461" t="n">
        <x:v>0</x:v>
      </x:c>
      <x:c r="O2461" t="n">
        <x:v>0</x:v>
      </x:c>
      <x:c r="P2461"/>
      <x:c r="Q2461"/>
      <x:c r="R2461"/>
      <x:c r="S2461"/>
      <x:c r="T2461"/>
      <x:c r="U2461"/>
      <x:c r="V2461" t="n">
        <x:v>0</x:v>
      </x:c>
      <x:c r="W2461" t="n">
        <x:v>0</x:v>
      </x:c>
      <x:c r="X2461" t="n">
        <x:v>0</x:v>
      </x:c>
      <x:c r="Y2461" t="n">
        <x:v>0</x:v>
      </x:c>
      <x:c r="Z2461" t="n">
        <x:v>0</x:v>
      </x:c>
      <x:c r="AA2461" t="n">
        <x:v>0</x:v>
      </x:c>
      <x:c r="AB2461"/>
      <x:c r="AC2461" t="n">
        <x:v>0</x:v>
      </x:c>
      <x:c r="AD2461" t="n">
        <x:v>0.5239687169669196</x:v>
      </x:c>
      <x:c r="AE2461" t="n">
        <x:v>1</x:v>
      </x:c>
      <x:c r="AF2461" t="n">
        <x:v>0.021353930234909058</x:v>
      </x:c>
      <x:c r="AG2461" t="n">
        <x:f>_xlfn.XLOOKUP($A2461,Games!$A$2:$A$18,Games!$B$2:$B$18,"Missing game",0)</x:f>
        <x:v>2025</x:v>
      </x:c>
      <x:c r="AH2461" t="str">
        <x:f>_xlfn.XLOOKUP($A2461,Games!$A$2:$A$18,Games!$C$2:$C$18,"Missing game",0)</x:f>
        <x:v>REG</x:v>
      </x:c>
      <x:c r="AI2461" t="n">
        <x:f>_xlfn.XLOOKUP($A2461,Games!$A$2:$A$18,Games!$D$2:$D$18,"Missing game",0)</x:f>
        <x:v>16</x:v>
      </x:c>
      <x:c r="AJ2461" s="1" t="n">
        <x:f>_xlfn.XLOOKUP($A2461,Games!$A$2:$A$18,Games!$E$2:$E$18,"Missing game",0)</x:f>
        <x:v>46012</x:v>
      </x:c>
      <x:c r="AK2461" t="str">
        <x:f>_xlfn.XLOOKUP($A2461,Games!$A$2:$A$18,Games!$F$2:$F$18,"Missing game",0)</x:f>
        <x:v>Sunday</x:v>
      </x:c>
      <x:c r="AL2461" t="str">
        <x:f>_xlfn.XLOOKUP($A2461,Games!$A$2:$A$18,Games!$G$2:$G$18,"Missing game",0)</x:f>
        <x:v>MIN</x:v>
      </x:c>
      <x:c r="AM2461" t="n">
        <x:f>_xlfn.XLOOKUP($A2461,Games!$A$2:$A$18,Games!$H$2:$H$18,"Missing game",0)</x:f>
        <x:v>16</x:v>
      </x:c>
      <x:c r="AN2461" t="str">
        <x:f>_xlfn.XLOOKUP($A2461,Games!$A$2:$A$18,Games!$I$2:$I$18,"Missing game",0)</x:f>
        <x:v>NYG</x:v>
      </x:c>
      <x:c r="AO2461" t="n">
        <x:f>_xlfn.XLOOKUP($A2461,Games!$A$2:$A$18,Games!$J$2:$J$18,"Missing game",0)</x:f>
        <x:v>13</x:v>
      </x:c>
      <x:c r="AP2461" t="n">
        <x:f>_xlfn.XLOOKUP($A2461,Games!$A$2:$A$18,Games!$K$2:$K$18,"Missing game",0)</x:f>
        <x:v>-3</x:v>
      </x:c>
      <x:c r="AQ2461" t="n">
        <x:f>_xlfn.XLOOKUP($A2461,Games!$A$2:$A$18,Games!$L$2:$L$18,"Missing game",0)</x:f>
        <x:v>29</x:v>
      </x:c>
      <x:c r="AR2461" t="n">
        <x:f>_xlfn.XLOOKUP($A2461,Games!$A$2:$A$18,Games!$M$2:$M$18,"Missing game",0)</x:f>
        <x:v>0</x:v>
      </x:c>
      <x:c r="AS2461" t="str">
        <x:f>_xlfn.XLOOKUP($A2461,Games!$A$2:$A$18,Games!$N$2:$N$18,"Missing game",0)</x:f>
        <x:v>outdoors</x:v>
      </x:c>
      <x:c r="AT2461" t="str">
        <x:f>_xlfn.XLOOKUP($A2461,Games!$A$2:$A$18,Games!$O$2:$O$18,"Missing game",0)</x:f>
        <x:v>fieldturf</x:v>
      </x:c>
      <x:c r="AU2461" t="n">
        <x:f>_xlfn.XLOOKUP($A2461,Games!$A$2:$A$18,Games!$P$2:$P$18,"Missing game",0)</x:f>
        <x:v>46</x:v>
      </x:c>
      <x:c r="AV2461" t="n">
        <x:f>_xlfn.XLOOKUP($A2461,Games!$A$2:$A$18,Games!$Q$2:$Q$18,"Missing game",0)</x:f>
        <x:v>20</x:v>
      </x:c>
      <x:c r="AW2461" t="str">
        <x:f>_xlfn.XLOOKUP($A2461,Games!$A$2:$A$18,Games!$R$2:$R$18,"Missing game",0)</x:f>
        <x:v>MetLife Stadium</x:v>
      </x:c>
    </x:row>
    <x:row r="2462">
      <x:c r="A2462" t="str">
        <x:v>2025_16_MIN_NYG</x:v>
      </x:c>
      <x:c r="B2462" t="n">
        <x:v>3612</x:v>
      </x:c>
      <x:c r="C2462" t="n">
        <x:v>4</x:v>
      </x:c>
      <x:c r="D2462" t="str">
        <x:v>04:08</x:v>
      </x:c>
      <x:c r="E2462" t="n">
        <x:v>1</x:v>
      </x:c>
      <x:c r="F2462" t="n">
        <x:v>10</x:v>
      </x:c>
      <x:c r="G2462" t="str">
        <x:v>NYG</x:v>
      </x:c>
      <x:c r="H2462" t="str">
        <x:v>MIN</x:v>
      </x:c>
      <x:c r="I2462" t="str">
        <x:v>NYG</x:v>
      </x:c>
      <x:c r="J2462" t="n">
        <x:v>66</x:v>
      </x:c>
      <x:c r="K2462" t="str">
        <x:v>(4:08) (Shotgun) 29-T.Tracy left tackle to NYG 35 for 1 yard (93-J.Allen; 61-J.Redmond).</x:v>
      </x:c>
      <x:c r="L2462" t="str">
        <x:v>run</x:v>
      </x:c>
      <x:c r="M2462" t="n">
        <x:v>1</x:v>
      </x:c>
      <x:c r="N2462" t="n">
        <x:v>1</x:v>
      </x:c>
      <x:c r="O2462" t="n">
        <x:v>0</x:v>
      </x:c>
      <x:c r="P2462"/>
      <x:c r="Q2462"/>
      <x:c r="R2462"/>
      <x:c r="S2462"/>
      <x:c r="T2462" t="str">
        <x:v>left</x:v>
      </x:c>
      <x:c r="U2462" t="str">
        <x:v>tackle</x:v>
      </x:c>
      <x:c r="V2462" t="n">
        <x:v>0</x:v>
      </x:c>
      <x:c r="W2462" t="n">
        <x:v>0</x:v>
      </x:c>
      <x:c r="X2462" t="n">
        <x:v>0</x:v>
      </x:c>
      <x:c r="Y2462" t="n">
        <x:v>0</x:v>
      </x:c>
      <x:c r="Z2462" t="n">
        <x:v>0</x:v>
      </x:c>
      <x:c r="AA2462" t="n">
        <x:v>0</x:v>
      </x:c>
      <x:c r="AB2462"/>
      <x:c r="AC2462" t="n">
        <x:v>0</x:v>
      </x:c>
      <x:c r="AD2462" t="n">
        <x:v>-0.5041761019965634</x:v>
      </x:c>
      <x:c r="AE2462" t="n">
        <x:v>0</x:v>
      </x:c>
      <x:c r="AF2462" t="n">
        <x:v>-0.056999921798706055</x:v>
      </x:c>
      <x:c r="AG2462" t="n">
        <x:f>_xlfn.XLOOKUP($A2462,Games!$A$2:$A$18,Games!$B$2:$B$18,"Missing game",0)</x:f>
        <x:v>2025</x:v>
      </x:c>
      <x:c r="AH2462" t="str">
        <x:f>_xlfn.XLOOKUP($A2462,Games!$A$2:$A$18,Games!$C$2:$C$18,"Missing game",0)</x:f>
        <x:v>REG</x:v>
      </x:c>
      <x:c r="AI2462" t="n">
        <x:f>_xlfn.XLOOKUP($A2462,Games!$A$2:$A$18,Games!$D$2:$D$18,"Missing game",0)</x:f>
        <x:v>16</x:v>
      </x:c>
      <x:c r="AJ2462" s="1" t="n">
        <x:f>_xlfn.XLOOKUP($A2462,Games!$A$2:$A$18,Games!$E$2:$E$18,"Missing game",0)</x:f>
        <x:v>46012</x:v>
      </x:c>
      <x:c r="AK2462" t="str">
        <x:f>_xlfn.XLOOKUP($A2462,Games!$A$2:$A$18,Games!$F$2:$F$18,"Missing game",0)</x:f>
        <x:v>Sunday</x:v>
      </x:c>
      <x:c r="AL2462" t="str">
        <x:f>_xlfn.XLOOKUP($A2462,Games!$A$2:$A$18,Games!$G$2:$G$18,"Missing game",0)</x:f>
        <x:v>MIN</x:v>
      </x:c>
      <x:c r="AM2462" t="n">
        <x:f>_xlfn.XLOOKUP($A2462,Games!$A$2:$A$18,Games!$H$2:$H$18,"Missing game",0)</x:f>
        <x:v>16</x:v>
      </x:c>
      <x:c r="AN2462" t="str">
        <x:f>_xlfn.XLOOKUP($A2462,Games!$A$2:$A$18,Games!$I$2:$I$18,"Missing game",0)</x:f>
        <x:v>NYG</x:v>
      </x:c>
      <x:c r="AO2462" t="n">
        <x:f>_xlfn.XLOOKUP($A2462,Games!$A$2:$A$18,Games!$J$2:$J$18,"Missing game",0)</x:f>
        <x:v>13</x:v>
      </x:c>
      <x:c r="AP2462" t="n">
        <x:f>_xlfn.XLOOKUP($A2462,Games!$A$2:$A$18,Games!$K$2:$K$18,"Missing game",0)</x:f>
        <x:v>-3</x:v>
      </x:c>
      <x:c r="AQ2462" t="n">
        <x:f>_xlfn.XLOOKUP($A2462,Games!$A$2:$A$18,Games!$L$2:$L$18,"Missing game",0)</x:f>
        <x:v>29</x:v>
      </x:c>
      <x:c r="AR2462" t="n">
        <x:f>_xlfn.XLOOKUP($A2462,Games!$A$2:$A$18,Games!$M$2:$M$18,"Missing game",0)</x:f>
        <x:v>0</x:v>
      </x:c>
      <x:c r="AS2462" t="str">
        <x:f>_xlfn.XLOOKUP($A2462,Games!$A$2:$A$18,Games!$N$2:$N$18,"Missing game",0)</x:f>
        <x:v>outdoors</x:v>
      </x:c>
      <x:c r="AT2462" t="str">
        <x:f>_xlfn.XLOOKUP($A2462,Games!$A$2:$A$18,Games!$O$2:$O$18,"Missing game",0)</x:f>
        <x:v>fieldturf</x:v>
      </x:c>
      <x:c r="AU2462" t="n">
        <x:f>_xlfn.XLOOKUP($A2462,Games!$A$2:$A$18,Games!$P$2:$P$18,"Missing game",0)</x:f>
        <x:v>46</x:v>
      </x:c>
      <x:c r="AV2462" t="n">
        <x:f>_xlfn.XLOOKUP($A2462,Games!$A$2:$A$18,Games!$Q$2:$Q$18,"Missing game",0)</x:f>
        <x:v>20</x:v>
      </x:c>
      <x:c r="AW2462" t="str">
        <x:f>_xlfn.XLOOKUP($A2462,Games!$A$2:$A$18,Games!$R$2:$R$18,"Missing game",0)</x:f>
        <x:v>MetLife Stadium</x:v>
      </x:c>
    </x:row>
    <x:row r="2463">
      <x:c r="A2463" t="str">
        <x:v>2025_16_MIN_NYG</x:v>
      </x:c>
      <x:c r="B2463" t="n">
        <x:v>3634</x:v>
      </x:c>
      <x:c r="C2463" t="n">
        <x:v>4</x:v>
      </x:c>
      <x:c r="D2463" t="str">
        <x:v>03:30</x:v>
      </x:c>
      <x:c r="E2463" t="n">
        <x:v>2</x:v>
      </x:c>
      <x:c r="F2463" t="n">
        <x:v>9</x:v>
      </x:c>
      <x:c r="G2463" t="str">
        <x:v>NYG</x:v>
      </x:c>
      <x:c r="H2463" t="str">
        <x:v>MIN</x:v>
      </x:c>
      <x:c r="I2463" t="str">
        <x:v>NYG</x:v>
      </x:c>
      <x:c r="J2463" t="n">
        <x:v>65</x:v>
      </x:c>
      <x:c r="K2463" t="str">
        <x:v>(3:30) (No Huddle, Shotgun) 6-J.Dart pass incomplete short middle to 18-D.Slayton.</x:v>
      </x:c>
      <x:c r="L2463" t="str">
        <x:v>pass</x:v>
      </x:c>
      <x:c r="M2463" t="n">
        <x:v>0</x:v>
      </x:c>
      <x:c r="N2463" t="n">
        <x:v>1</x:v>
      </x:c>
      <x:c r="O2463" t="n">
        <x:v>1</x:v>
      </x:c>
      <x:c r="P2463" t="str">
        <x:v>short</x:v>
      </x:c>
      <x:c r="Q2463" t="str">
        <x:v>middle</x:v>
      </x:c>
      <x:c r="R2463" t="n">
        <x:v>15</x:v>
      </x:c>
      <x:c r="S2463"/>
      <x:c r="T2463"/>
      <x:c r="U2463"/>
      <x:c r="V2463" t="n">
        <x:v>0</x:v>
      </x:c>
      <x:c r="W2463" t="n">
        <x:v>0</x:v>
      </x:c>
      <x:c r="X2463" t="n">
        <x:v>0</x:v>
      </x:c>
      <x:c r="Y2463" t="n">
        <x:v>0</x:v>
      </x:c>
      <x:c r="Z2463" t="n">
        <x:v>0</x:v>
      </x:c>
      <x:c r="AA2463" t="n">
        <x:v>0</x:v>
      </x:c>
      <x:c r="AB2463"/>
      <x:c r="AC2463" t="n">
        <x:v>0</x:v>
      </x:c>
      <x:c r="AD2463" t="n">
        <x:v>-0.5313310970086604</x:v>
      </x:c>
      <x:c r="AE2463" t="n">
        <x:v>0</x:v>
      </x:c>
      <x:c r="AF2463" t="n">
        <x:v>-0.038405805826187134</x:v>
      </x:c>
      <x:c r="AG2463" t="n">
        <x:f>_xlfn.XLOOKUP($A2463,Games!$A$2:$A$18,Games!$B$2:$B$18,"Missing game",0)</x:f>
        <x:v>2025</x:v>
      </x:c>
      <x:c r="AH2463" t="str">
        <x:f>_xlfn.XLOOKUP($A2463,Games!$A$2:$A$18,Games!$C$2:$C$18,"Missing game",0)</x:f>
        <x:v>REG</x:v>
      </x:c>
      <x:c r="AI2463" t="n">
        <x:f>_xlfn.XLOOKUP($A2463,Games!$A$2:$A$18,Games!$D$2:$D$18,"Missing game",0)</x:f>
        <x:v>16</x:v>
      </x:c>
      <x:c r="AJ2463" s="1" t="n">
        <x:f>_xlfn.XLOOKUP($A2463,Games!$A$2:$A$18,Games!$E$2:$E$18,"Missing game",0)</x:f>
        <x:v>46012</x:v>
      </x:c>
      <x:c r="AK2463" t="str">
        <x:f>_xlfn.XLOOKUP($A2463,Games!$A$2:$A$18,Games!$F$2:$F$18,"Missing game",0)</x:f>
        <x:v>Sunday</x:v>
      </x:c>
      <x:c r="AL2463" t="str">
        <x:f>_xlfn.XLOOKUP($A2463,Games!$A$2:$A$18,Games!$G$2:$G$18,"Missing game",0)</x:f>
        <x:v>MIN</x:v>
      </x:c>
      <x:c r="AM2463" t="n">
        <x:f>_xlfn.XLOOKUP($A2463,Games!$A$2:$A$18,Games!$H$2:$H$18,"Missing game",0)</x:f>
        <x:v>16</x:v>
      </x:c>
      <x:c r="AN2463" t="str">
        <x:f>_xlfn.XLOOKUP($A2463,Games!$A$2:$A$18,Games!$I$2:$I$18,"Missing game",0)</x:f>
        <x:v>NYG</x:v>
      </x:c>
      <x:c r="AO2463" t="n">
        <x:f>_xlfn.XLOOKUP($A2463,Games!$A$2:$A$18,Games!$J$2:$J$18,"Missing game",0)</x:f>
        <x:v>13</x:v>
      </x:c>
      <x:c r="AP2463" t="n">
        <x:f>_xlfn.XLOOKUP($A2463,Games!$A$2:$A$18,Games!$K$2:$K$18,"Missing game",0)</x:f>
        <x:v>-3</x:v>
      </x:c>
      <x:c r="AQ2463" t="n">
        <x:f>_xlfn.XLOOKUP($A2463,Games!$A$2:$A$18,Games!$L$2:$L$18,"Missing game",0)</x:f>
        <x:v>29</x:v>
      </x:c>
      <x:c r="AR2463" t="n">
        <x:f>_xlfn.XLOOKUP($A2463,Games!$A$2:$A$18,Games!$M$2:$M$18,"Missing game",0)</x:f>
        <x:v>0</x:v>
      </x:c>
      <x:c r="AS2463" t="str">
        <x:f>_xlfn.XLOOKUP($A2463,Games!$A$2:$A$18,Games!$N$2:$N$18,"Missing game",0)</x:f>
        <x:v>outdoors</x:v>
      </x:c>
      <x:c r="AT2463" t="str">
        <x:f>_xlfn.XLOOKUP($A2463,Games!$A$2:$A$18,Games!$O$2:$O$18,"Missing game",0)</x:f>
        <x:v>fieldturf</x:v>
      </x:c>
      <x:c r="AU2463" t="n">
        <x:f>_xlfn.XLOOKUP($A2463,Games!$A$2:$A$18,Games!$P$2:$P$18,"Missing game",0)</x:f>
        <x:v>46</x:v>
      </x:c>
      <x:c r="AV2463" t="n">
        <x:f>_xlfn.XLOOKUP($A2463,Games!$A$2:$A$18,Games!$Q$2:$Q$18,"Missing game",0)</x:f>
        <x:v>20</x:v>
      </x:c>
      <x:c r="AW2463" t="str">
        <x:f>_xlfn.XLOOKUP($A2463,Games!$A$2:$A$18,Games!$R$2:$R$18,"Missing game",0)</x:f>
        <x:v>MetLife Stadium</x:v>
      </x:c>
    </x:row>
    <x:row r="2464">
      <x:c r="A2464" t="str">
        <x:v>2025_16_MIN_NYG</x:v>
      </x:c>
      <x:c r="B2464" t="n">
        <x:v>3669</x:v>
      </x:c>
      <x:c r="C2464" t="n">
        <x:v>4</x:v>
      </x:c>
      <x:c r="D2464" t="str">
        <x:v>03:24</x:v>
      </x:c>
      <x:c r="E2464" t="n">
        <x:v>3</x:v>
      </x:c>
      <x:c r="F2464" t="n">
        <x:v>9</x:v>
      </x:c>
      <x:c r="G2464" t="str">
        <x:v>NYG</x:v>
      </x:c>
      <x:c r="H2464" t="str">
        <x:v>MIN</x:v>
      </x:c>
      <x:c r="I2464" t="str">
        <x:v>NYG</x:v>
      </x:c>
      <x:c r="J2464" t="n">
        <x:v>65</x:v>
      </x:c>
      <x:c r="K2464" t="str">
        <x:v>(3:24) (Shotgun) 6-J.Dart pass incomplete short right to 17-W.Robinson. PENALTY on MIN-7-B.Murphy, Illegal Contact, 5 yards, enforced at NYG 35 - No Play.</x:v>
      </x:c>
      <x:c r="L2464" t="str">
        <x:v>no_play</x:v>
      </x:c>
      <x:c r="M2464" t="n">
        <x:v>0</x:v>
      </x:c>
      <x:c r="N2464" t="n">
        <x:v>1</x:v>
      </x:c>
      <x:c r="O2464" t="n">
        <x:v>0</x:v>
      </x:c>
      <x:c r="P2464"/>
      <x:c r="Q2464"/>
      <x:c r="R2464"/>
      <x:c r="S2464"/>
      <x:c r="T2464"/>
      <x:c r="U2464"/>
      <x:c r="V2464" t="n">
        <x:v>0</x:v>
      </x:c>
      <x:c r="W2464" t="n">
        <x:v>1</x:v>
      </x:c>
      <x:c r="X2464" t="n">
        <x:v>0</x:v>
      </x:c>
      <x:c r="Y2464" t="n">
        <x:v>0</x:v>
      </x:c>
      <x:c r="Z2464" t="n">
        <x:v>0</x:v>
      </x:c>
      <x:c r="AA2464" t="n">
        <x:v>1</x:v>
      </x:c>
      <x:c r="AB2464" t="n">
        <x:v>5</x:v>
      </x:c>
      <x:c r="AC2464" t="n">
        <x:v>0</x:v>
      </x:c>
      <x:c r="AD2464" t="n">
        <x:v>1.3044964228756726</x:v>
      </x:c>
      <x:c r="AE2464" t="n">
        <x:v>1</x:v>
      </x:c>
      <x:c r="AF2464" t="n">
        <x:v>0.07974573969841003</x:v>
      </x:c>
      <x:c r="AG2464" t="n">
        <x:f>_xlfn.XLOOKUP($A2464,Games!$A$2:$A$18,Games!$B$2:$B$18,"Missing game",0)</x:f>
        <x:v>2025</x:v>
      </x:c>
      <x:c r="AH2464" t="str">
        <x:f>_xlfn.XLOOKUP($A2464,Games!$A$2:$A$18,Games!$C$2:$C$18,"Missing game",0)</x:f>
        <x:v>REG</x:v>
      </x:c>
      <x:c r="AI2464" t="n">
        <x:f>_xlfn.XLOOKUP($A2464,Games!$A$2:$A$18,Games!$D$2:$D$18,"Missing game",0)</x:f>
        <x:v>16</x:v>
      </x:c>
      <x:c r="AJ2464" s="1" t="n">
        <x:f>_xlfn.XLOOKUP($A2464,Games!$A$2:$A$18,Games!$E$2:$E$18,"Missing game",0)</x:f>
        <x:v>46012</x:v>
      </x:c>
      <x:c r="AK2464" t="str">
        <x:f>_xlfn.XLOOKUP($A2464,Games!$A$2:$A$18,Games!$F$2:$F$18,"Missing game",0)</x:f>
        <x:v>Sunday</x:v>
      </x:c>
      <x:c r="AL2464" t="str">
        <x:f>_xlfn.XLOOKUP($A2464,Games!$A$2:$A$18,Games!$G$2:$G$18,"Missing game",0)</x:f>
        <x:v>MIN</x:v>
      </x:c>
      <x:c r="AM2464" t="n">
        <x:f>_xlfn.XLOOKUP($A2464,Games!$A$2:$A$18,Games!$H$2:$H$18,"Missing game",0)</x:f>
        <x:v>16</x:v>
      </x:c>
      <x:c r="AN2464" t="str">
        <x:f>_xlfn.XLOOKUP($A2464,Games!$A$2:$A$18,Games!$I$2:$I$18,"Missing game",0)</x:f>
        <x:v>NYG</x:v>
      </x:c>
      <x:c r="AO2464" t="n">
        <x:f>_xlfn.XLOOKUP($A2464,Games!$A$2:$A$18,Games!$J$2:$J$18,"Missing game",0)</x:f>
        <x:v>13</x:v>
      </x:c>
      <x:c r="AP2464" t="n">
        <x:f>_xlfn.XLOOKUP($A2464,Games!$A$2:$A$18,Games!$K$2:$K$18,"Missing game",0)</x:f>
        <x:v>-3</x:v>
      </x:c>
      <x:c r="AQ2464" t="n">
        <x:f>_xlfn.XLOOKUP($A2464,Games!$A$2:$A$18,Games!$L$2:$L$18,"Missing game",0)</x:f>
        <x:v>29</x:v>
      </x:c>
      <x:c r="AR2464" t="n">
        <x:f>_xlfn.XLOOKUP($A2464,Games!$A$2:$A$18,Games!$M$2:$M$18,"Missing game",0)</x:f>
        <x:v>0</x:v>
      </x:c>
      <x:c r="AS2464" t="str">
        <x:f>_xlfn.XLOOKUP($A2464,Games!$A$2:$A$18,Games!$N$2:$N$18,"Missing game",0)</x:f>
        <x:v>outdoors</x:v>
      </x:c>
      <x:c r="AT2464" t="str">
        <x:f>_xlfn.XLOOKUP($A2464,Games!$A$2:$A$18,Games!$O$2:$O$18,"Missing game",0)</x:f>
        <x:v>fieldturf</x:v>
      </x:c>
      <x:c r="AU2464" t="n">
        <x:f>_xlfn.XLOOKUP($A2464,Games!$A$2:$A$18,Games!$P$2:$P$18,"Missing game",0)</x:f>
        <x:v>46</x:v>
      </x:c>
      <x:c r="AV2464" t="n">
        <x:f>_xlfn.XLOOKUP($A2464,Games!$A$2:$A$18,Games!$Q$2:$Q$18,"Missing game",0)</x:f>
        <x:v>20</x:v>
      </x:c>
      <x:c r="AW2464" t="str">
        <x:f>_xlfn.XLOOKUP($A2464,Games!$A$2:$A$18,Games!$R$2:$R$18,"Missing game",0)</x:f>
        <x:v>MetLife Stadium</x:v>
      </x:c>
    </x:row>
    <x:row r="2465">
      <x:c r="A2465" t="str">
        <x:v>2025_16_MIN_NYG</x:v>
      </x:c>
      <x:c r="B2465" t="n">
        <x:v>3703</x:v>
      </x:c>
      <x:c r="C2465" t="n">
        <x:v>4</x:v>
      </x:c>
      <x:c r="D2465" t="str">
        <x:v>03:20</x:v>
      </x:c>
      <x:c r="E2465" t="n">
        <x:v>1</x:v>
      </x:c>
      <x:c r="F2465" t="n">
        <x:v>10</x:v>
      </x:c>
      <x:c r="G2465" t="str">
        <x:v>NYG</x:v>
      </x:c>
      <x:c r="H2465" t="str">
        <x:v>MIN</x:v>
      </x:c>
      <x:c r="I2465" t="str">
        <x:v>NYG</x:v>
      </x:c>
      <x:c r="J2465" t="n">
        <x:v>60</x:v>
      </x:c>
      <x:c r="K2465" t="str">
        <x:v>(3:20) 29-T.Tracy right tackle to NYG 45 for 5 yards (51-B.Cashman).</x:v>
      </x:c>
      <x:c r="L2465" t="str">
        <x:v>run</x:v>
      </x:c>
      <x:c r="M2465" t="n">
        <x:v>5</x:v>
      </x:c>
      <x:c r="N2465" t="n">
        <x:v>0</x:v>
      </x:c>
      <x:c r="O2465" t="n">
        <x:v>0</x:v>
      </x:c>
      <x:c r="P2465"/>
      <x:c r="Q2465"/>
      <x:c r="R2465"/>
      <x:c r="S2465"/>
      <x:c r="T2465" t="str">
        <x:v>right</x:v>
      </x:c>
      <x:c r="U2465" t="str">
        <x:v>tackle</x:v>
      </x:c>
      <x:c r="V2465" t="n">
        <x:v>0</x:v>
      </x:c>
      <x:c r="W2465" t="n">
        <x:v>0</x:v>
      </x:c>
      <x:c r="X2465" t="n">
        <x:v>0</x:v>
      </x:c>
      <x:c r="Y2465" t="n">
        <x:v>0</x:v>
      </x:c>
      <x:c r="Z2465" t="n">
        <x:v>0</x:v>
      </x:c>
      <x:c r="AA2465" t="n">
        <x:v>0</x:v>
      </x:c>
      <x:c r="AB2465"/>
      <x:c r="AC2465" t="n">
        <x:v>0</x:v>
      </x:c>
      <x:c r="AD2465" t="n">
        <x:v>0.09524978313129395</x:v>
      </x:c>
      <x:c r="AE2465" t="n">
        <x:v>1</x:v>
      </x:c>
      <x:c r="AF2465" t="n">
        <x:v>0.002695798873901367</x:v>
      </x:c>
      <x:c r="AG2465" t="n">
        <x:f>_xlfn.XLOOKUP($A2465,Games!$A$2:$A$18,Games!$B$2:$B$18,"Missing game",0)</x:f>
        <x:v>2025</x:v>
      </x:c>
      <x:c r="AH2465" t="str">
        <x:f>_xlfn.XLOOKUP($A2465,Games!$A$2:$A$18,Games!$C$2:$C$18,"Missing game",0)</x:f>
        <x:v>REG</x:v>
      </x:c>
      <x:c r="AI2465" t="n">
        <x:f>_xlfn.XLOOKUP($A2465,Games!$A$2:$A$18,Games!$D$2:$D$18,"Missing game",0)</x:f>
        <x:v>16</x:v>
      </x:c>
      <x:c r="AJ2465" s="1" t="n">
        <x:f>_xlfn.XLOOKUP($A2465,Games!$A$2:$A$18,Games!$E$2:$E$18,"Missing game",0)</x:f>
        <x:v>46012</x:v>
      </x:c>
      <x:c r="AK2465" t="str">
        <x:f>_xlfn.XLOOKUP($A2465,Games!$A$2:$A$18,Games!$F$2:$F$18,"Missing game",0)</x:f>
        <x:v>Sunday</x:v>
      </x:c>
      <x:c r="AL2465" t="str">
        <x:f>_xlfn.XLOOKUP($A2465,Games!$A$2:$A$18,Games!$G$2:$G$18,"Missing game",0)</x:f>
        <x:v>MIN</x:v>
      </x:c>
      <x:c r="AM2465" t="n">
        <x:f>_xlfn.XLOOKUP($A2465,Games!$A$2:$A$18,Games!$H$2:$H$18,"Missing game",0)</x:f>
        <x:v>16</x:v>
      </x:c>
      <x:c r="AN2465" t="str">
        <x:f>_xlfn.XLOOKUP($A2465,Games!$A$2:$A$18,Games!$I$2:$I$18,"Missing game",0)</x:f>
        <x:v>NYG</x:v>
      </x:c>
      <x:c r="AO2465" t="n">
        <x:f>_xlfn.XLOOKUP($A2465,Games!$A$2:$A$18,Games!$J$2:$J$18,"Missing game",0)</x:f>
        <x:v>13</x:v>
      </x:c>
      <x:c r="AP2465" t="n">
        <x:f>_xlfn.XLOOKUP($A2465,Games!$A$2:$A$18,Games!$K$2:$K$18,"Missing game",0)</x:f>
        <x:v>-3</x:v>
      </x:c>
      <x:c r="AQ2465" t="n">
        <x:f>_xlfn.XLOOKUP($A2465,Games!$A$2:$A$18,Games!$L$2:$L$18,"Missing game",0)</x:f>
        <x:v>29</x:v>
      </x:c>
      <x:c r="AR2465" t="n">
        <x:f>_xlfn.XLOOKUP($A2465,Games!$A$2:$A$18,Games!$M$2:$M$18,"Missing game",0)</x:f>
        <x:v>0</x:v>
      </x:c>
      <x:c r="AS2465" t="str">
        <x:f>_xlfn.XLOOKUP($A2465,Games!$A$2:$A$18,Games!$N$2:$N$18,"Missing game",0)</x:f>
        <x:v>outdoors</x:v>
      </x:c>
      <x:c r="AT2465" t="str">
        <x:f>_xlfn.XLOOKUP($A2465,Games!$A$2:$A$18,Games!$O$2:$O$18,"Missing game",0)</x:f>
        <x:v>fieldturf</x:v>
      </x:c>
      <x:c r="AU2465" t="n">
        <x:f>_xlfn.XLOOKUP($A2465,Games!$A$2:$A$18,Games!$P$2:$P$18,"Missing game",0)</x:f>
        <x:v>46</x:v>
      </x:c>
      <x:c r="AV2465" t="n">
        <x:f>_xlfn.XLOOKUP($A2465,Games!$A$2:$A$18,Games!$Q$2:$Q$18,"Missing game",0)</x:f>
        <x:v>20</x:v>
      </x:c>
      <x:c r="AW2465" t="str">
        <x:f>_xlfn.XLOOKUP($A2465,Games!$A$2:$A$18,Games!$R$2:$R$18,"Missing game",0)</x:f>
        <x:v>MetLife Stadium</x:v>
      </x:c>
    </x:row>
    <x:row r="2466">
      <x:c r="A2466" t="str">
        <x:v>2025_16_MIN_NYG</x:v>
      </x:c>
      <x:c r="B2466" t="n">
        <x:v>3725</x:v>
      </x:c>
      <x:c r="C2466" t="n">
        <x:v>4</x:v>
      </x:c>
      <x:c r="D2466" t="str">
        <x:v>02:50</x:v>
      </x:c>
      <x:c r="E2466" t="n">
        <x:v>2</x:v>
      </x:c>
      <x:c r="F2466" t="n">
        <x:v>5</x:v>
      </x:c>
      <x:c r="G2466" t="str">
        <x:v>NYG</x:v>
      </x:c>
      <x:c r="H2466" t="str">
        <x:v>MIN</x:v>
      </x:c>
      <x:c r="I2466" t="str">
        <x:v>NYG</x:v>
      </x:c>
      <x:c r="J2466" t="n">
        <x:v>55</x:v>
      </x:c>
      <x:c r="K2466" t="str">
        <x:v>(2:50) (No Huddle) 29-T.Tracy right tackle to NYG 47 for 2 yards (93-J.Allen).</x:v>
      </x:c>
      <x:c r="L2466" t="str">
        <x:v>run</x:v>
      </x:c>
      <x:c r="M2466" t="n">
        <x:v>2</x:v>
      </x:c>
      <x:c r="N2466" t="n">
        <x:v>0</x:v>
      </x:c>
      <x:c r="O2466" t="n">
        <x:v>1</x:v>
      </x:c>
      <x:c r="P2466"/>
      <x:c r="Q2466"/>
      <x:c r="R2466"/>
      <x:c r="S2466"/>
      <x:c r="T2466" t="str">
        <x:v>right</x:v>
      </x:c>
      <x:c r="U2466" t="str">
        <x:v>tackle</x:v>
      </x:c>
      <x:c r="V2466" t="n">
        <x:v>0</x:v>
      </x:c>
      <x:c r="W2466" t="n">
        <x:v>0</x:v>
      </x:c>
      <x:c r="X2466" t="n">
        <x:v>0</x:v>
      </x:c>
      <x:c r="Y2466" t="n">
        <x:v>0</x:v>
      </x:c>
      <x:c r="Z2466" t="n">
        <x:v>0</x:v>
      </x:c>
      <x:c r="AA2466" t="n">
        <x:v>0</x:v>
      </x:c>
      <x:c r="AB2466"/>
      <x:c r="AC2466" t="n">
        <x:v>0</x:v>
      </x:c>
      <x:c r="AD2466" t="n">
        <x:v>-0.08053973957430571</x:v>
      </x:c>
      <x:c r="AE2466" t="n">
        <x:v>0</x:v>
      </x:c>
      <x:c r="AF2466" t="n">
        <x:v>-0.021890729665756226</x:v>
      </x:c>
      <x:c r="AG2466" t="n">
        <x:f>_xlfn.XLOOKUP($A2466,Games!$A$2:$A$18,Games!$B$2:$B$18,"Missing game",0)</x:f>
        <x:v>2025</x:v>
      </x:c>
      <x:c r="AH2466" t="str">
        <x:f>_xlfn.XLOOKUP($A2466,Games!$A$2:$A$18,Games!$C$2:$C$18,"Missing game",0)</x:f>
        <x:v>REG</x:v>
      </x:c>
      <x:c r="AI2466" t="n">
        <x:f>_xlfn.XLOOKUP($A2466,Games!$A$2:$A$18,Games!$D$2:$D$18,"Missing game",0)</x:f>
        <x:v>16</x:v>
      </x:c>
      <x:c r="AJ2466" s="1" t="n">
        <x:f>_xlfn.XLOOKUP($A2466,Games!$A$2:$A$18,Games!$E$2:$E$18,"Missing game",0)</x:f>
        <x:v>46012</x:v>
      </x:c>
      <x:c r="AK2466" t="str">
        <x:f>_xlfn.XLOOKUP($A2466,Games!$A$2:$A$18,Games!$F$2:$F$18,"Missing game",0)</x:f>
        <x:v>Sunday</x:v>
      </x:c>
      <x:c r="AL2466" t="str">
        <x:f>_xlfn.XLOOKUP($A2466,Games!$A$2:$A$18,Games!$G$2:$G$18,"Missing game",0)</x:f>
        <x:v>MIN</x:v>
      </x:c>
      <x:c r="AM2466" t="n">
        <x:f>_xlfn.XLOOKUP($A2466,Games!$A$2:$A$18,Games!$H$2:$H$18,"Missing game",0)</x:f>
        <x:v>16</x:v>
      </x:c>
      <x:c r="AN2466" t="str">
        <x:f>_xlfn.XLOOKUP($A2466,Games!$A$2:$A$18,Games!$I$2:$I$18,"Missing game",0)</x:f>
        <x:v>NYG</x:v>
      </x:c>
      <x:c r="AO2466" t="n">
        <x:f>_xlfn.XLOOKUP($A2466,Games!$A$2:$A$18,Games!$J$2:$J$18,"Missing game",0)</x:f>
        <x:v>13</x:v>
      </x:c>
      <x:c r="AP2466" t="n">
        <x:f>_xlfn.XLOOKUP($A2466,Games!$A$2:$A$18,Games!$K$2:$K$18,"Missing game",0)</x:f>
        <x:v>-3</x:v>
      </x:c>
      <x:c r="AQ2466" t="n">
        <x:f>_xlfn.XLOOKUP($A2466,Games!$A$2:$A$18,Games!$L$2:$L$18,"Missing game",0)</x:f>
        <x:v>29</x:v>
      </x:c>
      <x:c r="AR2466" t="n">
        <x:f>_xlfn.XLOOKUP($A2466,Games!$A$2:$A$18,Games!$M$2:$M$18,"Missing game",0)</x:f>
        <x:v>0</x:v>
      </x:c>
      <x:c r="AS2466" t="str">
        <x:f>_xlfn.XLOOKUP($A2466,Games!$A$2:$A$18,Games!$N$2:$N$18,"Missing game",0)</x:f>
        <x:v>outdoors</x:v>
      </x:c>
      <x:c r="AT2466" t="str">
        <x:f>_xlfn.XLOOKUP($A2466,Games!$A$2:$A$18,Games!$O$2:$O$18,"Missing game",0)</x:f>
        <x:v>fieldturf</x:v>
      </x:c>
      <x:c r="AU2466" t="n">
        <x:f>_xlfn.XLOOKUP($A2466,Games!$A$2:$A$18,Games!$P$2:$P$18,"Missing game",0)</x:f>
        <x:v>46</x:v>
      </x:c>
      <x:c r="AV2466" t="n">
        <x:f>_xlfn.XLOOKUP($A2466,Games!$A$2:$A$18,Games!$Q$2:$Q$18,"Missing game",0)</x:f>
        <x:v>20</x:v>
      </x:c>
      <x:c r="AW2466" t="str">
        <x:f>_xlfn.XLOOKUP($A2466,Games!$A$2:$A$18,Games!$R$2:$R$18,"Missing game",0)</x:f>
        <x:v>MetLife Stadium</x:v>
      </x:c>
    </x:row>
    <x:row r="2467">
      <x:c r="A2467" t="str">
        <x:v>2025_16_MIN_NYG</x:v>
      </x:c>
      <x:c r="B2467" t="n">
        <x:v>3747</x:v>
      </x:c>
      <x:c r="C2467" t="n">
        <x:v>4</x:v>
      </x:c>
      <x:c r="D2467" t="str">
        <x:v>02:08</x:v>
      </x:c>
      <x:c r="E2467" t="n">
        <x:v>3</x:v>
      </x:c>
      <x:c r="F2467" t="n">
        <x:v>3</x:v>
      </x:c>
      <x:c r="G2467" t="str">
        <x:v>NYG</x:v>
      </x:c>
      <x:c r="H2467" t="str">
        <x:v>MIN</x:v>
      </x:c>
      <x:c r="I2467" t="str">
        <x:v>NYG</x:v>
      </x:c>
      <x:c r="J2467" t="n">
        <x:v>53</x:v>
      </x:c>
      <x:c r="K2467" t="str">
        <x:v>(2:08) (Shotgun) 6-J.Dart pass incomplete short middle to 17-W.Robinson (61-J.Redmond).</x:v>
      </x:c>
      <x:c r="L2467" t="str">
        <x:v>pass</x:v>
      </x:c>
      <x:c r="M2467" t="n">
        <x:v>0</x:v>
      </x:c>
      <x:c r="N2467" t="n">
        <x:v>1</x:v>
      </x:c>
      <x:c r="O2467" t="n">
        <x:v>0</x:v>
      </x:c>
      <x:c r="P2467" t="str">
        <x:v>short</x:v>
      </x:c>
      <x:c r="Q2467" t="str">
        <x:v>middle</x:v>
      </x:c>
      <x:c r="R2467" t="n">
        <x:v>6</x:v>
      </x:c>
      <x:c r="S2467"/>
      <x:c r="T2467"/>
      <x:c r="U2467"/>
      <x:c r="V2467" t="n">
        <x:v>0</x:v>
      </x:c>
      <x:c r="W2467" t="n">
        <x:v>0</x:v>
      </x:c>
      <x:c r="X2467" t="n">
        <x:v>0</x:v>
      </x:c>
      <x:c r="Y2467" t="n">
        <x:v>0</x:v>
      </x:c>
      <x:c r="Z2467" t="n">
        <x:v>0</x:v>
      </x:c>
      <x:c r="AA2467" t="n">
        <x:v>0</x:v>
      </x:c>
      <x:c r="AB2467"/>
      <x:c r="AC2467" t="n">
        <x:v>0</x:v>
      </x:c>
      <x:c r="AD2467" t="n">
        <x:v>-1.4344586442457512</x:v>
      </x:c>
      <x:c r="AE2467" t="n">
        <x:v>0</x:v>
      </x:c>
      <x:c r="AF2467" t="n">
        <x:v>-0.08157193660736084</x:v>
      </x:c>
      <x:c r="AG2467" t="n">
        <x:f>_xlfn.XLOOKUP($A2467,Games!$A$2:$A$18,Games!$B$2:$B$18,"Missing game",0)</x:f>
        <x:v>2025</x:v>
      </x:c>
      <x:c r="AH2467" t="str">
        <x:f>_xlfn.XLOOKUP($A2467,Games!$A$2:$A$18,Games!$C$2:$C$18,"Missing game",0)</x:f>
        <x:v>REG</x:v>
      </x:c>
      <x:c r="AI2467" t="n">
        <x:f>_xlfn.XLOOKUP($A2467,Games!$A$2:$A$18,Games!$D$2:$D$18,"Missing game",0)</x:f>
        <x:v>16</x:v>
      </x:c>
      <x:c r="AJ2467" s="1" t="n">
        <x:f>_xlfn.XLOOKUP($A2467,Games!$A$2:$A$18,Games!$E$2:$E$18,"Missing game",0)</x:f>
        <x:v>46012</x:v>
      </x:c>
      <x:c r="AK2467" t="str">
        <x:f>_xlfn.XLOOKUP($A2467,Games!$A$2:$A$18,Games!$F$2:$F$18,"Missing game",0)</x:f>
        <x:v>Sunday</x:v>
      </x:c>
      <x:c r="AL2467" t="str">
        <x:f>_xlfn.XLOOKUP($A2467,Games!$A$2:$A$18,Games!$G$2:$G$18,"Missing game",0)</x:f>
        <x:v>MIN</x:v>
      </x:c>
      <x:c r="AM2467" t="n">
        <x:f>_xlfn.XLOOKUP($A2467,Games!$A$2:$A$18,Games!$H$2:$H$18,"Missing game",0)</x:f>
        <x:v>16</x:v>
      </x:c>
      <x:c r="AN2467" t="str">
        <x:f>_xlfn.XLOOKUP($A2467,Games!$A$2:$A$18,Games!$I$2:$I$18,"Missing game",0)</x:f>
        <x:v>NYG</x:v>
      </x:c>
      <x:c r="AO2467" t="n">
        <x:f>_xlfn.XLOOKUP($A2467,Games!$A$2:$A$18,Games!$J$2:$J$18,"Missing game",0)</x:f>
        <x:v>13</x:v>
      </x:c>
      <x:c r="AP2467" t="n">
        <x:f>_xlfn.XLOOKUP($A2467,Games!$A$2:$A$18,Games!$K$2:$K$18,"Missing game",0)</x:f>
        <x:v>-3</x:v>
      </x:c>
      <x:c r="AQ2467" t="n">
        <x:f>_xlfn.XLOOKUP($A2467,Games!$A$2:$A$18,Games!$L$2:$L$18,"Missing game",0)</x:f>
        <x:v>29</x:v>
      </x:c>
      <x:c r="AR2467" t="n">
        <x:f>_xlfn.XLOOKUP($A2467,Games!$A$2:$A$18,Games!$M$2:$M$18,"Missing game",0)</x:f>
        <x:v>0</x:v>
      </x:c>
      <x:c r="AS2467" t="str">
        <x:f>_xlfn.XLOOKUP($A2467,Games!$A$2:$A$18,Games!$N$2:$N$18,"Missing game",0)</x:f>
        <x:v>outdoors</x:v>
      </x:c>
      <x:c r="AT2467" t="str">
        <x:f>_xlfn.XLOOKUP($A2467,Games!$A$2:$A$18,Games!$O$2:$O$18,"Missing game",0)</x:f>
        <x:v>fieldturf</x:v>
      </x:c>
      <x:c r="AU2467" t="n">
        <x:f>_xlfn.XLOOKUP($A2467,Games!$A$2:$A$18,Games!$P$2:$P$18,"Missing game",0)</x:f>
        <x:v>46</x:v>
      </x:c>
      <x:c r="AV2467" t="n">
        <x:f>_xlfn.XLOOKUP($A2467,Games!$A$2:$A$18,Games!$Q$2:$Q$18,"Missing game",0)</x:f>
        <x:v>20</x:v>
      </x:c>
      <x:c r="AW2467" t="str">
        <x:f>_xlfn.XLOOKUP($A2467,Games!$A$2:$A$18,Games!$R$2:$R$18,"Missing game",0)</x:f>
        <x:v>MetLife Stadium</x:v>
      </x:c>
    </x:row>
    <x:row r="2468">
      <x:c r="A2468" t="str">
        <x:v>2025_16_MIN_NYG</x:v>
      </x:c>
      <x:c r="B2468" t="n">
        <x:v>3770</x:v>
      </x:c>
      <x:c r="C2468" t="n">
        <x:v>4</x:v>
      </x:c>
      <x:c r="D2468" t="str">
        <x:v>02:05</x:v>
      </x:c>
      <x:c r="E2468" t="n">
        <x:v>4</x:v>
      </x:c>
      <x:c r="F2468" t="n">
        <x:v>3</x:v>
      </x:c>
      <x:c r="G2468" t="str">
        <x:v>NYG</x:v>
      </x:c>
      <x:c r="H2468" t="str">
        <x:v>MIN</x:v>
      </x:c>
      <x:c r="I2468" t="str">
        <x:v>NYG</x:v>
      </x:c>
      <x:c r="J2468" t="n">
        <x:v>53</x:v>
      </x:c>
      <x:c r="K2468" t="str">
        <x:v>(2:05) (Shotgun) 6-J.Dart sacked at NYG 39 for -8 yards (43-A.Van Ginkel).</x:v>
      </x:c>
      <x:c r="L2468" t="str">
        <x:v>pass</x:v>
      </x:c>
      <x:c r="M2468" t="n">
        <x:v>-8</x:v>
      </x:c>
      <x:c r="N2468" t="n">
        <x:v>1</x:v>
      </x:c>
      <x:c r="O2468" t="n">
        <x:v>0</x:v>
      </x:c>
      <x:c r="P2468"/>
      <x:c r="Q2468"/>
      <x:c r="R2468"/>
      <x:c r="S2468"/>
      <x:c r="T2468"/>
      <x:c r="U2468"/>
      <x:c r="V2468" t="n">
        <x:v>0</x:v>
      </x:c>
      <x:c r="W2468" t="n">
        <x:v>0</x:v>
      </x:c>
      <x:c r="X2468" t="n">
        <x:v>1</x:v>
      </x:c>
      <x:c r="Y2468" t="n">
        <x:v>0</x:v>
      </x:c>
      <x:c r="Z2468" t="n">
        <x:v>0</x:v>
      </x:c>
      <x:c r="AA2468" t="n">
        <x:v>0</x:v>
      </x:c>
      <x:c r="AB2468"/>
      <x:c r="AC2468" t="n">
        <x:v>0</x:v>
      </x:c>
      <x:c r="AD2468" t="n">
        <x:v>-3.0407626144005917</x:v>
      </x:c>
      <x:c r="AE2468" t="n">
        <x:v>0</x:v>
      </x:c>
      <x:c r="AF2468" t="n">
        <x:v>-0.21785306930541992</x:v>
      </x:c>
      <x:c r="AG2468" t="n">
        <x:f>_xlfn.XLOOKUP($A2468,Games!$A$2:$A$18,Games!$B$2:$B$18,"Missing game",0)</x:f>
        <x:v>2025</x:v>
      </x:c>
      <x:c r="AH2468" t="str">
        <x:f>_xlfn.XLOOKUP($A2468,Games!$A$2:$A$18,Games!$C$2:$C$18,"Missing game",0)</x:f>
        <x:v>REG</x:v>
      </x:c>
      <x:c r="AI2468" t="n">
        <x:f>_xlfn.XLOOKUP($A2468,Games!$A$2:$A$18,Games!$D$2:$D$18,"Missing game",0)</x:f>
        <x:v>16</x:v>
      </x:c>
      <x:c r="AJ2468" s="1" t="n">
        <x:f>_xlfn.XLOOKUP($A2468,Games!$A$2:$A$18,Games!$E$2:$E$18,"Missing game",0)</x:f>
        <x:v>46012</x:v>
      </x:c>
      <x:c r="AK2468" t="str">
        <x:f>_xlfn.XLOOKUP($A2468,Games!$A$2:$A$18,Games!$F$2:$F$18,"Missing game",0)</x:f>
        <x:v>Sunday</x:v>
      </x:c>
      <x:c r="AL2468" t="str">
        <x:f>_xlfn.XLOOKUP($A2468,Games!$A$2:$A$18,Games!$G$2:$G$18,"Missing game",0)</x:f>
        <x:v>MIN</x:v>
      </x:c>
      <x:c r="AM2468" t="n">
        <x:f>_xlfn.XLOOKUP($A2468,Games!$A$2:$A$18,Games!$H$2:$H$18,"Missing game",0)</x:f>
        <x:v>16</x:v>
      </x:c>
      <x:c r="AN2468" t="str">
        <x:f>_xlfn.XLOOKUP($A2468,Games!$A$2:$A$18,Games!$I$2:$I$18,"Missing game",0)</x:f>
        <x:v>NYG</x:v>
      </x:c>
      <x:c r="AO2468" t="n">
        <x:f>_xlfn.XLOOKUP($A2468,Games!$A$2:$A$18,Games!$J$2:$J$18,"Missing game",0)</x:f>
        <x:v>13</x:v>
      </x:c>
      <x:c r="AP2468" t="n">
        <x:f>_xlfn.XLOOKUP($A2468,Games!$A$2:$A$18,Games!$K$2:$K$18,"Missing game",0)</x:f>
        <x:v>-3</x:v>
      </x:c>
      <x:c r="AQ2468" t="n">
        <x:f>_xlfn.XLOOKUP($A2468,Games!$A$2:$A$18,Games!$L$2:$L$18,"Missing game",0)</x:f>
        <x:v>29</x:v>
      </x:c>
      <x:c r="AR2468" t="n">
        <x:f>_xlfn.XLOOKUP($A2468,Games!$A$2:$A$18,Games!$M$2:$M$18,"Missing game",0)</x:f>
        <x:v>0</x:v>
      </x:c>
      <x:c r="AS2468" t="str">
        <x:f>_xlfn.XLOOKUP($A2468,Games!$A$2:$A$18,Games!$N$2:$N$18,"Missing game",0)</x:f>
        <x:v>outdoors</x:v>
      </x:c>
      <x:c r="AT2468" t="str">
        <x:f>_xlfn.XLOOKUP($A2468,Games!$A$2:$A$18,Games!$O$2:$O$18,"Missing game",0)</x:f>
        <x:v>fieldturf</x:v>
      </x:c>
      <x:c r="AU2468" t="n">
        <x:f>_xlfn.XLOOKUP($A2468,Games!$A$2:$A$18,Games!$P$2:$P$18,"Missing game",0)</x:f>
        <x:v>46</x:v>
      </x:c>
      <x:c r="AV2468" t="n">
        <x:f>_xlfn.XLOOKUP($A2468,Games!$A$2:$A$18,Games!$Q$2:$Q$18,"Missing game",0)</x:f>
        <x:v>20</x:v>
      </x:c>
      <x:c r="AW2468" t="str">
        <x:f>_xlfn.XLOOKUP($A2468,Games!$A$2:$A$18,Games!$R$2:$R$18,"Missing game",0)</x:f>
        <x:v>MetLife Stadium</x:v>
      </x:c>
    </x:row>
    <x:row r="2469">
      <x:c r="A2469" t="str">
        <x:v>2025_16_MIN_NYG</x:v>
      </x:c>
      <x:c r="B2469" t="n">
        <x:v>3790</x:v>
      </x:c>
      <x:c r="C2469" t="n">
        <x:v>4</x:v>
      </x:c>
      <x:c r="D2469" t="str">
        <x:v>01:58</x:v>
      </x:c>
      <x:c r="E2469" t="n">
        <x:v>1</x:v>
      </x:c>
      <x:c r="F2469" t="n">
        <x:v>10</x:v>
      </x:c>
      <x:c r="G2469" t="str">
        <x:v>MIN</x:v>
      </x:c>
      <x:c r="H2469" t="str">
        <x:v>NYG</x:v>
      </x:c>
      <x:c r="I2469" t="str">
        <x:v>NYG</x:v>
      </x:c>
      <x:c r="J2469" t="n">
        <x:v>39</x:v>
      </x:c>
      <x:c r="K2469" t="str">
        <x:v>(1:58) 33-A.Jones right tackle to NYG 40 for -1 yards (97-D.Lawrence). ** Injury Update: NYG-27-T.Nubin has returned to the game.</x:v>
      </x:c>
      <x:c r="L2469" t="str">
        <x:v>run</x:v>
      </x:c>
      <x:c r="M2469" t="n">
        <x:v>-1</x:v>
      </x:c>
      <x:c r="N2469" t="n">
        <x:v>0</x:v>
      </x:c>
      <x:c r="O2469" t="n">
        <x:v>0</x:v>
      </x:c>
      <x:c r="P2469"/>
      <x:c r="Q2469"/>
      <x:c r="R2469"/>
      <x:c r="S2469"/>
      <x:c r="T2469" t="str">
        <x:v>right</x:v>
      </x:c>
      <x:c r="U2469" t="str">
        <x:v>tackle</x:v>
      </x:c>
      <x:c r="V2469" t="n">
        <x:v>0</x:v>
      </x:c>
      <x:c r="W2469" t="n">
        <x:v>0</x:v>
      </x:c>
      <x:c r="X2469" t="n">
        <x:v>0</x:v>
      </x:c>
      <x:c r="Y2469" t="n">
        <x:v>0</x:v>
      </x:c>
      <x:c r="Z2469" t="n">
        <x:v>0</x:v>
      </x:c>
      <x:c r="AA2469" t="n">
        <x:v>0</x:v>
      </x:c>
      <x:c r="AB2469"/>
      <x:c r="AC2469" t="n">
        <x:v>0</x:v>
      </x:c>
      <x:c r="AD2469" t="n">
        <x:v>-1.1508119992213324</x:v>
      </x:c>
      <x:c r="AE2469" t="n">
        <x:v>0</x:v>
      </x:c>
      <x:c r="AF2469" t="n">
        <x:v>-0.004193544387817383</x:v>
      </x:c>
      <x:c r="AG2469" t="n">
        <x:f>_xlfn.XLOOKUP($A2469,Games!$A$2:$A$18,Games!$B$2:$B$18,"Missing game",0)</x:f>
        <x:v>2025</x:v>
      </x:c>
      <x:c r="AH2469" t="str">
        <x:f>_xlfn.XLOOKUP($A2469,Games!$A$2:$A$18,Games!$C$2:$C$18,"Missing game",0)</x:f>
        <x:v>REG</x:v>
      </x:c>
      <x:c r="AI2469" t="n">
        <x:f>_xlfn.XLOOKUP($A2469,Games!$A$2:$A$18,Games!$D$2:$D$18,"Missing game",0)</x:f>
        <x:v>16</x:v>
      </x:c>
      <x:c r="AJ2469" s="1" t="n">
        <x:f>_xlfn.XLOOKUP($A2469,Games!$A$2:$A$18,Games!$E$2:$E$18,"Missing game",0)</x:f>
        <x:v>46012</x:v>
      </x:c>
      <x:c r="AK2469" t="str">
        <x:f>_xlfn.XLOOKUP($A2469,Games!$A$2:$A$18,Games!$F$2:$F$18,"Missing game",0)</x:f>
        <x:v>Sunday</x:v>
      </x:c>
      <x:c r="AL2469" t="str">
        <x:f>_xlfn.XLOOKUP($A2469,Games!$A$2:$A$18,Games!$G$2:$G$18,"Missing game",0)</x:f>
        <x:v>MIN</x:v>
      </x:c>
      <x:c r="AM2469" t="n">
        <x:f>_xlfn.XLOOKUP($A2469,Games!$A$2:$A$18,Games!$H$2:$H$18,"Missing game",0)</x:f>
        <x:v>16</x:v>
      </x:c>
      <x:c r="AN2469" t="str">
        <x:f>_xlfn.XLOOKUP($A2469,Games!$A$2:$A$18,Games!$I$2:$I$18,"Missing game",0)</x:f>
        <x:v>NYG</x:v>
      </x:c>
      <x:c r="AO2469" t="n">
        <x:f>_xlfn.XLOOKUP($A2469,Games!$A$2:$A$18,Games!$J$2:$J$18,"Missing game",0)</x:f>
        <x:v>13</x:v>
      </x:c>
      <x:c r="AP2469" t="n">
        <x:f>_xlfn.XLOOKUP($A2469,Games!$A$2:$A$18,Games!$K$2:$K$18,"Missing game",0)</x:f>
        <x:v>-3</x:v>
      </x:c>
      <x:c r="AQ2469" t="n">
        <x:f>_xlfn.XLOOKUP($A2469,Games!$A$2:$A$18,Games!$L$2:$L$18,"Missing game",0)</x:f>
        <x:v>29</x:v>
      </x:c>
      <x:c r="AR2469" t="n">
        <x:f>_xlfn.XLOOKUP($A2469,Games!$A$2:$A$18,Games!$M$2:$M$18,"Missing game",0)</x:f>
        <x:v>0</x:v>
      </x:c>
      <x:c r="AS2469" t="str">
        <x:f>_xlfn.XLOOKUP($A2469,Games!$A$2:$A$18,Games!$N$2:$N$18,"Missing game",0)</x:f>
        <x:v>outdoors</x:v>
      </x:c>
      <x:c r="AT2469" t="str">
        <x:f>_xlfn.XLOOKUP($A2469,Games!$A$2:$A$18,Games!$O$2:$O$18,"Missing game",0)</x:f>
        <x:v>fieldturf</x:v>
      </x:c>
      <x:c r="AU2469" t="n">
        <x:f>_xlfn.XLOOKUP($A2469,Games!$A$2:$A$18,Games!$P$2:$P$18,"Missing game",0)</x:f>
        <x:v>46</x:v>
      </x:c>
      <x:c r="AV2469" t="n">
        <x:f>_xlfn.XLOOKUP($A2469,Games!$A$2:$A$18,Games!$Q$2:$Q$18,"Missing game",0)</x:f>
        <x:v>20</x:v>
      </x:c>
      <x:c r="AW2469" t="str">
        <x:f>_xlfn.XLOOKUP($A2469,Games!$A$2:$A$18,Games!$R$2:$R$18,"Missing game",0)</x:f>
        <x:v>MetLife Stadium</x:v>
      </x:c>
    </x:row>
    <x:row r="2470">
      <x:c r="A2470" t="str">
        <x:v>2025_16_MIN_NYG</x:v>
      </x:c>
      <x:c r="B2470" t="n">
        <x:v>3819</x:v>
      </x:c>
      <x:c r="C2470" t="n">
        <x:v>4</x:v>
      </x:c>
      <x:c r="D2470" t="str">
        <x:v>01:53</x:v>
      </x:c>
      <x:c r="E2470" t="n">
        <x:v>2</x:v>
      </x:c>
      <x:c r="F2470" t="n">
        <x:v>11</x:v>
      </x:c>
      <x:c r="G2470" t="str">
        <x:v>MIN</x:v>
      </x:c>
      <x:c r="H2470" t="str">
        <x:v>NYG</x:v>
      </x:c>
      <x:c r="I2470" t="str">
        <x:v>NYG</x:v>
      </x:c>
      <x:c r="J2470" t="n">
        <x:v>40</x:v>
      </x:c>
      <x:c r="K2470" t="str">
        <x:v>(1:53) 33-A.Jones up the middle to NYG 37 for 3 yards (27-T.Nubin; 58-B.Okereke).</x:v>
      </x:c>
      <x:c r="L2470" t="str">
        <x:v>run</x:v>
      </x:c>
      <x:c r="M2470" t="n">
        <x:v>3</x:v>
      </x:c>
      <x:c r="N2470" t="n">
        <x:v>0</x:v>
      </x:c>
      <x:c r="O2470" t="n">
        <x:v>0</x:v>
      </x:c>
      <x:c r="P2470"/>
      <x:c r="Q2470"/>
      <x:c r="R2470"/>
      <x:c r="S2470"/>
      <x:c r="T2470" t="str">
        <x:v>middle</x:v>
      </x:c>
      <x:c r="U2470"/>
      <x:c r="V2470" t="n">
        <x:v>0</x:v>
      </x:c>
      <x:c r="W2470" t="n">
        <x:v>0</x:v>
      </x:c>
      <x:c r="X2470" t="n">
        <x:v>0</x:v>
      </x:c>
      <x:c r="Y2470" t="n">
        <x:v>0</x:v>
      </x:c>
      <x:c r="Z2470" t="n">
        <x:v>0</x:v>
      </x:c>
      <x:c r="AA2470" t="n">
        <x:v>0</x:v>
      </x:c>
      <x:c r="AB2470"/>
      <x:c r="AC2470" t="n">
        <x:v>0</x:v>
      </x:c>
      <x:c r="AD2470" t="n">
        <x:v>-1.2140559295658022</x:v>
      </x:c>
      <x:c r="AE2470" t="n">
        <x:v>0</x:v>
      </x:c>
      <x:c r="AF2470" t="n">
        <x:v>-0.004281103610992432</x:v>
      </x:c>
      <x:c r="AG2470" t="n">
        <x:f>_xlfn.XLOOKUP($A2470,Games!$A$2:$A$18,Games!$B$2:$B$18,"Missing game",0)</x:f>
        <x:v>2025</x:v>
      </x:c>
      <x:c r="AH2470" t="str">
        <x:f>_xlfn.XLOOKUP($A2470,Games!$A$2:$A$18,Games!$C$2:$C$18,"Missing game",0)</x:f>
        <x:v>REG</x:v>
      </x:c>
      <x:c r="AI2470" t="n">
        <x:f>_xlfn.XLOOKUP($A2470,Games!$A$2:$A$18,Games!$D$2:$D$18,"Missing game",0)</x:f>
        <x:v>16</x:v>
      </x:c>
      <x:c r="AJ2470" s="1" t="n">
        <x:f>_xlfn.XLOOKUP($A2470,Games!$A$2:$A$18,Games!$E$2:$E$18,"Missing game",0)</x:f>
        <x:v>46012</x:v>
      </x:c>
      <x:c r="AK2470" t="str">
        <x:f>_xlfn.XLOOKUP($A2470,Games!$A$2:$A$18,Games!$F$2:$F$18,"Missing game",0)</x:f>
        <x:v>Sunday</x:v>
      </x:c>
      <x:c r="AL2470" t="str">
        <x:f>_xlfn.XLOOKUP($A2470,Games!$A$2:$A$18,Games!$G$2:$G$18,"Missing game",0)</x:f>
        <x:v>MIN</x:v>
      </x:c>
      <x:c r="AM2470" t="n">
        <x:f>_xlfn.XLOOKUP($A2470,Games!$A$2:$A$18,Games!$H$2:$H$18,"Missing game",0)</x:f>
        <x:v>16</x:v>
      </x:c>
      <x:c r="AN2470" t="str">
        <x:f>_xlfn.XLOOKUP($A2470,Games!$A$2:$A$18,Games!$I$2:$I$18,"Missing game",0)</x:f>
        <x:v>NYG</x:v>
      </x:c>
      <x:c r="AO2470" t="n">
        <x:f>_xlfn.XLOOKUP($A2470,Games!$A$2:$A$18,Games!$J$2:$J$18,"Missing game",0)</x:f>
        <x:v>13</x:v>
      </x:c>
      <x:c r="AP2470" t="n">
        <x:f>_xlfn.XLOOKUP($A2470,Games!$A$2:$A$18,Games!$K$2:$K$18,"Missing game",0)</x:f>
        <x:v>-3</x:v>
      </x:c>
      <x:c r="AQ2470" t="n">
        <x:f>_xlfn.XLOOKUP($A2470,Games!$A$2:$A$18,Games!$L$2:$L$18,"Missing game",0)</x:f>
        <x:v>29</x:v>
      </x:c>
      <x:c r="AR2470" t="n">
        <x:f>_xlfn.XLOOKUP($A2470,Games!$A$2:$A$18,Games!$M$2:$M$18,"Missing game",0)</x:f>
        <x:v>0</x:v>
      </x:c>
      <x:c r="AS2470" t="str">
        <x:f>_xlfn.XLOOKUP($A2470,Games!$A$2:$A$18,Games!$N$2:$N$18,"Missing game",0)</x:f>
        <x:v>outdoors</x:v>
      </x:c>
      <x:c r="AT2470" t="str">
        <x:f>_xlfn.XLOOKUP($A2470,Games!$A$2:$A$18,Games!$O$2:$O$18,"Missing game",0)</x:f>
        <x:v>fieldturf</x:v>
      </x:c>
      <x:c r="AU2470" t="n">
        <x:f>_xlfn.XLOOKUP($A2470,Games!$A$2:$A$18,Games!$P$2:$P$18,"Missing game",0)</x:f>
        <x:v>46</x:v>
      </x:c>
      <x:c r="AV2470" t="n">
        <x:f>_xlfn.XLOOKUP($A2470,Games!$A$2:$A$18,Games!$Q$2:$Q$18,"Missing game",0)</x:f>
        <x:v>20</x:v>
      </x:c>
      <x:c r="AW2470" t="str">
        <x:f>_xlfn.XLOOKUP($A2470,Games!$A$2:$A$18,Games!$R$2:$R$18,"Missing game",0)</x:f>
        <x:v>MetLife Stadium</x:v>
      </x:c>
    </x:row>
    <x:row r="2471">
      <x:c r="A2471" t="str">
        <x:v>2025_16_MIN_NYG</x:v>
      </x:c>
      <x:c r="B2471" t="n">
        <x:v>3831</x:v>
      </x:c>
      <x:c r="C2471" t="n">
        <x:v>4</x:v>
      </x:c>
      <x:c r="D2471" t="str">
        <x:v>01:53</x:v>
      </x:c>
      <x:c r="E2471"/>
      <x:c r="F2471" t="n">
        <x:v>0</x:v>
      </x:c>
      <x:c r="G2471"/>
      <x:c r="H2471"/>
      <x:c r="I2471"/>
      <x:c r="J2471"/>
      <x:c r="K2471" t="str">
        <x:v>Timeout #2 by NYG at 01:53.</x:v>
      </x:c>
      <x:c r="L2471" t="str">
        <x:v>no_play</x:v>
      </x:c>
      <x:c r="M2471" t="n">
        <x:v>0</x:v>
      </x:c>
      <x:c r="N2471" t="n">
        <x:v>0</x:v>
      </x:c>
      <x:c r="O2471" t="n">
        <x:v>0</x:v>
      </x:c>
      <x:c r="P2471"/>
      <x:c r="Q2471"/>
      <x:c r="R2471"/>
      <x:c r="S2471"/>
      <x:c r="T2471"/>
      <x:c r="U2471"/>
      <x:c r="V2471" t="n">
        <x:v>0</x:v>
      </x:c>
      <x:c r="W2471" t="n">
        <x:v>0</x:v>
      </x:c>
      <x:c r="X2471" t="n">
        <x:v>0</x:v>
      </x:c>
      <x:c r="Y2471" t="n">
        <x:v>0</x:v>
      </x:c>
      <x:c r="Z2471" t="n">
        <x:v>0</x:v>
      </x:c>
      <x:c r="AA2471" t="n">
        <x:v>0</x:v>
      </x:c>
      <x:c r="AB2471"/>
      <x:c r="AC2471" t="n">
        <x:v>0</x:v>
      </x:c>
      <x:c r="AD2471" t="n">
        <x:v>0</x:v>
      </x:c>
      <x:c r="AE2471" t="n">
        <x:v>0</x:v>
      </x:c>
      <x:c r="AF2471" t="n">
        <x:v>0</x:v>
      </x:c>
      <x:c r="AG2471" t="n">
        <x:f>_xlfn.XLOOKUP($A2471,Games!$A$2:$A$18,Games!$B$2:$B$18,"Missing game",0)</x:f>
        <x:v>2025</x:v>
      </x:c>
      <x:c r="AH2471" t="str">
        <x:f>_xlfn.XLOOKUP($A2471,Games!$A$2:$A$18,Games!$C$2:$C$18,"Missing game",0)</x:f>
        <x:v>REG</x:v>
      </x:c>
      <x:c r="AI2471" t="n">
        <x:f>_xlfn.XLOOKUP($A2471,Games!$A$2:$A$18,Games!$D$2:$D$18,"Missing game",0)</x:f>
        <x:v>16</x:v>
      </x:c>
      <x:c r="AJ2471" s="1" t="n">
        <x:f>_xlfn.XLOOKUP($A2471,Games!$A$2:$A$18,Games!$E$2:$E$18,"Missing game",0)</x:f>
        <x:v>46012</x:v>
      </x:c>
      <x:c r="AK2471" t="str">
        <x:f>_xlfn.XLOOKUP($A2471,Games!$A$2:$A$18,Games!$F$2:$F$18,"Missing game",0)</x:f>
        <x:v>Sunday</x:v>
      </x:c>
      <x:c r="AL2471" t="str">
        <x:f>_xlfn.XLOOKUP($A2471,Games!$A$2:$A$18,Games!$G$2:$G$18,"Missing game",0)</x:f>
        <x:v>MIN</x:v>
      </x:c>
      <x:c r="AM2471" t="n">
        <x:f>_xlfn.XLOOKUP($A2471,Games!$A$2:$A$18,Games!$H$2:$H$18,"Missing game",0)</x:f>
        <x:v>16</x:v>
      </x:c>
      <x:c r="AN2471" t="str">
        <x:f>_xlfn.XLOOKUP($A2471,Games!$A$2:$A$18,Games!$I$2:$I$18,"Missing game",0)</x:f>
        <x:v>NYG</x:v>
      </x:c>
      <x:c r="AO2471" t="n">
        <x:f>_xlfn.XLOOKUP($A2471,Games!$A$2:$A$18,Games!$J$2:$J$18,"Missing game",0)</x:f>
        <x:v>13</x:v>
      </x:c>
      <x:c r="AP2471" t="n">
        <x:f>_xlfn.XLOOKUP($A2471,Games!$A$2:$A$18,Games!$K$2:$K$18,"Missing game",0)</x:f>
        <x:v>-3</x:v>
      </x:c>
      <x:c r="AQ2471" t="n">
        <x:f>_xlfn.XLOOKUP($A2471,Games!$A$2:$A$18,Games!$L$2:$L$18,"Missing game",0)</x:f>
        <x:v>29</x:v>
      </x:c>
      <x:c r="AR2471" t="n">
        <x:f>_xlfn.XLOOKUP($A2471,Games!$A$2:$A$18,Games!$M$2:$M$18,"Missing game",0)</x:f>
        <x:v>0</x:v>
      </x:c>
      <x:c r="AS2471" t="str">
        <x:f>_xlfn.XLOOKUP($A2471,Games!$A$2:$A$18,Games!$N$2:$N$18,"Missing game",0)</x:f>
        <x:v>outdoors</x:v>
      </x:c>
      <x:c r="AT2471" t="str">
        <x:f>_xlfn.XLOOKUP($A2471,Games!$A$2:$A$18,Games!$O$2:$O$18,"Missing game",0)</x:f>
        <x:v>fieldturf</x:v>
      </x:c>
      <x:c r="AU2471" t="n">
        <x:f>_xlfn.XLOOKUP($A2471,Games!$A$2:$A$18,Games!$P$2:$P$18,"Missing game",0)</x:f>
        <x:v>46</x:v>
      </x:c>
      <x:c r="AV2471" t="n">
        <x:f>_xlfn.XLOOKUP($A2471,Games!$A$2:$A$18,Games!$Q$2:$Q$18,"Missing game",0)</x:f>
        <x:v>20</x:v>
      </x:c>
      <x:c r="AW2471" t="str">
        <x:f>_xlfn.XLOOKUP($A2471,Games!$A$2:$A$18,Games!$R$2:$R$18,"Missing game",0)</x:f>
        <x:v>MetLife Stadium</x:v>
      </x:c>
    </x:row>
    <x:row r="2472">
      <x:c r="A2472" t="str">
        <x:v>2025_16_MIN_NYG</x:v>
      </x:c>
      <x:c r="B2472" t="n">
        <x:v>3851</x:v>
      </x:c>
      <x:c r="C2472" t="n">
        <x:v>4</x:v>
      </x:c>
      <x:c r="D2472" t="str">
        <x:v>01:49</x:v>
      </x:c>
      <x:c r="E2472" t="n">
        <x:v>3</x:v>
      </x:c>
      <x:c r="F2472" t="n">
        <x:v>8</x:v>
      </x:c>
      <x:c r="G2472" t="str">
        <x:v>MIN</x:v>
      </x:c>
      <x:c r="H2472" t="str">
        <x:v>NYG</x:v>
      </x:c>
      <x:c r="I2472" t="str">
        <x:v>NYG</x:v>
      </x:c>
      <x:c r="J2472" t="n">
        <x:v>37</x:v>
      </x:c>
      <x:c r="K2472" t="str">
        <x:v>(1:49) 33-A.Jones right guard to NYG 28 for 9 yards (27-T.Nubin).</x:v>
      </x:c>
      <x:c r="L2472" t="str">
        <x:v>run</x:v>
      </x:c>
      <x:c r="M2472" t="n">
        <x:v>9</x:v>
      </x:c>
      <x:c r="N2472" t="n">
        <x:v>0</x:v>
      </x:c>
      <x:c r="O2472" t="n">
        <x:v>0</x:v>
      </x:c>
      <x:c r="P2472"/>
      <x:c r="Q2472"/>
      <x:c r="R2472"/>
      <x:c r="S2472"/>
      <x:c r="T2472" t="str">
        <x:v>right</x:v>
      </x:c>
      <x:c r="U2472" t="str">
        <x:v>guard</x:v>
      </x:c>
      <x:c r="V2472" t="n">
        <x:v>0</x:v>
      </x:c>
      <x:c r="W2472" t="n">
        <x:v>1</x:v>
      </x:c>
      <x:c r="X2472" t="n">
        <x:v>0</x:v>
      </x:c>
      <x:c r="Y2472" t="n">
        <x:v>0</x:v>
      </x:c>
      <x:c r="Z2472" t="n">
        <x:v>0</x:v>
      </x:c>
      <x:c r="AA2472" t="n">
        <x:v>0</x:v>
      </x:c>
      <x:c r="AB2472"/>
      <x:c r="AC2472" t="n">
        <x:v>0</x:v>
      </x:c>
      <x:c r="AD2472" t="n">
        <x:v>1.2900455510243773</x:v>
      </x:c>
      <x:c r="AE2472" t="n">
        <x:v>1</x:v>
      </x:c>
      <x:c r="AF2472" t="n">
        <x:v>0.04262220859527588</x:v>
      </x:c>
      <x:c r="AG2472" t="n">
        <x:f>_xlfn.XLOOKUP($A2472,Games!$A$2:$A$18,Games!$B$2:$B$18,"Missing game",0)</x:f>
        <x:v>2025</x:v>
      </x:c>
      <x:c r="AH2472" t="str">
        <x:f>_xlfn.XLOOKUP($A2472,Games!$A$2:$A$18,Games!$C$2:$C$18,"Missing game",0)</x:f>
        <x:v>REG</x:v>
      </x:c>
      <x:c r="AI2472" t="n">
        <x:f>_xlfn.XLOOKUP($A2472,Games!$A$2:$A$18,Games!$D$2:$D$18,"Missing game",0)</x:f>
        <x:v>16</x:v>
      </x:c>
      <x:c r="AJ2472" s="1" t="n">
        <x:f>_xlfn.XLOOKUP($A2472,Games!$A$2:$A$18,Games!$E$2:$E$18,"Missing game",0)</x:f>
        <x:v>46012</x:v>
      </x:c>
      <x:c r="AK2472" t="str">
        <x:f>_xlfn.XLOOKUP($A2472,Games!$A$2:$A$18,Games!$F$2:$F$18,"Missing game",0)</x:f>
        <x:v>Sunday</x:v>
      </x:c>
      <x:c r="AL2472" t="str">
        <x:f>_xlfn.XLOOKUP($A2472,Games!$A$2:$A$18,Games!$G$2:$G$18,"Missing game",0)</x:f>
        <x:v>MIN</x:v>
      </x:c>
      <x:c r="AM2472" t="n">
        <x:f>_xlfn.XLOOKUP($A2472,Games!$A$2:$A$18,Games!$H$2:$H$18,"Missing game",0)</x:f>
        <x:v>16</x:v>
      </x:c>
      <x:c r="AN2472" t="str">
        <x:f>_xlfn.XLOOKUP($A2472,Games!$A$2:$A$18,Games!$I$2:$I$18,"Missing game",0)</x:f>
        <x:v>NYG</x:v>
      </x:c>
      <x:c r="AO2472" t="n">
        <x:f>_xlfn.XLOOKUP($A2472,Games!$A$2:$A$18,Games!$J$2:$J$18,"Missing game",0)</x:f>
        <x:v>13</x:v>
      </x:c>
      <x:c r="AP2472" t="n">
        <x:f>_xlfn.XLOOKUP($A2472,Games!$A$2:$A$18,Games!$K$2:$K$18,"Missing game",0)</x:f>
        <x:v>-3</x:v>
      </x:c>
      <x:c r="AQ2472" t="n">
        <x:f>_xlfn.XLOOKUP($A2472,Games!$A$2:$A$18,Games!$L$2:$L$18,"Missing game",0)</x:f>
        <x:v>29</x:v>
      </x:c>
      <x:c r="AR2472" t="n">
        <x:f>_xlfn.XLOOKUP($A2472,Games!$A$2:$A$18,Games!$M$2:$M$18,"Missing game",0)</x:f>
        <x:v>0</x:v>
      </x:c>
      <x:c r="AS2472" t="str">
        <x:f>_xlfn.XLOOKUP($A2472,Games!$A$2:$A$18,Games!$N$2:$N$18,"Missing game",0)</x:f>
        <x:v>outdoors</x:v>
      </x:c>
      <x:c r="AT2472" t="str">
        <x:f>_xlfn.XLOOKUP($A2472,Games!$A$2:$A$18,Games!$O$2:$O$18,"Missing game",0)</x:f>
        <x:v>fieldturf</x:v>
      </x:c>
      <x:c r="AU2472" t="n">
        <x:f>_xlfn.XLOOKUP($A2472,Games!$A$2:$A$18,Games!$P$2:$P$18,"Missing game",0)</x:f>
        <x:v>46</x:v>
      </x:c>
      <x:c r="AV2472" t="n">
        <x:f>_xlfn.XLOOKUP($A2472,Games!$A$2:$A$18,Games!$Q$2:$Q$18,"Missing game",0)</x:f>
        <x:v>20</x:v>
      </x:c>
      <x:c r="AW2472" t="str">
        <x:f>_xlfn.XLOOKUP($A2472,Games!$A$2:$A$18,Games!$R$2:$R$18,"Missing game",0)</x:f>
        <x:v>MetLife Stadium</x:v>
      </x:c>
    </x:row>
    <x:row r="2473">
      <x:c r="A2473" t="str">
        <x:v>2025_16_MIN_NYG</x:v>
      </x:c>
      <x:c r="B2473" t="n">
        <x:v>3863</x:v>
      </x:c>
      <x:c r="C2473" t="n">
        <x:v>4</x:v>
      </x:c>
      <x:c r="D2473" t="str">
        <x:v>01:49</x:v>
      </x:c>
      <x:c r="E2473"/>
      <x:c r="F2473" t="n">
        <x:v>0</x:v>
      </x:c>
      <x:c r="G2473"/>
      <x:c r="H2473"/>
      <x:c r="I2473"/>
      <x:c r="J2473"/>
      <x:c r="K2473" t="str">
        <x:v>Timeout #3 by NYG at 01:49.</x:v>
      </x:c>
      <x:c r="L2473" t="str">
        <x:v>no_play</x:v>
      </x:c>
      <x:c r="M2473" t="n">
        <x:v>0</x:v>
      </x:c>
      <x:c r="N2473" t="n">
        <x:v>0</x:v>
      </x:c>
      <x:c r="O2473" t="n">
        <x:v>0</x:v>
      </x:c>
      <x:c r="P2473"/>
      <x:c r="Q2473"/>
      <x:c r="R2473"/>
      <x:c r="S2473"/>
      <x:c r="T2473"/>
      <x:c r="U2473"/>
      <x:c r="V2473" t="n">
        <x:v>0</x:v>
      </x:c>
      <x:c r="W2473" t="n">
        <x:v>0</x:v>
      </x:c>
      <x:c r="X2473" t="n">
        <x:v>0</x:v>
      </x:c>
      <x:c r="Y2473" t="n">
        <x:v>0</x:v>
      </x:c>
      <x:c r="Z2473" t="n">
        <x:v>0</x:v>
      </x:c>
      <x:c r="AA2473" t="n">
        <x:v>0</x:v>
      </x:c>
      <x:c r="AB2473"/>
      <x:c r="AC2473" t="n">
        <x:v>0</x:v>
      </x:c>
      <x:c r="AD2473" t="n">
        <x:v>0</x:v>
      </x:c>
      <x:c r="AE2473" t="n">
        <x:v>0</x:v>
      </x:c>
      <x:c r="AF2473" t="n">
        <x:v>0</x:v>
      </x:c>
      <x:c r="AG2473" t="n">
        <x:f>_xlfn.XLOOKUP($A2473,Games!$A$2:$A$18,Games!$B$2:$B$18,"Missing game",0)</x:f>
        <x:v>2025</x:v>
      </x:c>
      <x:c r="AH2473" t="str">
        <x:f>_xlfn.XLOOKUP($A2473,Games!$A$2:$A$18,Games!$C$2:$C$18,"Missing game",0)</x:f>
        <x:v>REG</x:v>
      </x:c>
      <x:c r="AI2473" t="n">
        <x:f>_xlfn.XLOOKUP($A2473,Games!$A$2:$A$18,Games!$D$2:$D$18,"Missing game",0)</x:f>
        <x:v>16</x:v>
      </x:c>
      <x:c r="AJ2473" s="1" t="n">
        <x:f>_xlfn.XLOOKUP($A2473,Games!$A$2:$A$18,Games!$E$2:$E$18,"Missing game",0)</x:f>
        <x:v>46012</x:v>
      </x:c>
      <x:c r="AK2473" t="str">
        <x:f>_xlfn.XLOOKUP($A2473,Games!$A$2:$A$18,Games!$F$2:$F$18,"Missing game",0)</x:f>
        <x:v>Sunday</x:v>
      </x:c>
      <x:c r="AL2473" t="str">
        <x:f>_xlfn.XLOOKUP($A2473,Games!$A$2:$A$18,Games!$G$2:$G$18,"Missing game",0)</x:f>
        <x:v>MIN</x:v>
      </x:c>
      <x:c r="AM2473" t="n">
        <x:f>_xlfn.XLOOKUP($A2473,Games!$A$2:$A$18,Games!$H$2:$H$18,"Missing game",0)</x:f>
        <x:v>16</x:v>
      </x:c>
      <x:c r="AN2473" t="str">
        <x:f>_xlfn.XLOOKUP($A2473,Games!$A$2:$A$18,Games!$I$2:$I$18,"Missing game",0)</x:f>
        <x:v>NYG</x:v>
      </x:c>
      <x:c r="AO2473" t="n">
        <x:f>_xlfn.XLOOKUP($A2473,Games!$A$2:$A$18,Games!$J$2:$J$18,"Missing game",0)</x:f>
        <x:v>13</x:v>
      </x:c>
      <x:c r="AP2473" t="n">
        <x:f>_xlfn.XLOOKUP($A2473,Games!$A$2:$A$18,Games!$K$2:$K$18,"Missing game",0)</x:f>
        <x:v>-3</x:v>
      </x:c>
      <x:c r="AQ2473" t="n">
        <x:f>_xlfn.XLOOKUP($A2473,Games!$A$2:$A$18,Games!$L$2:$L$18,"Missing game",0)</x:f>
        <x:v>29</x:v>
      </x:c>
      <x:c r="AR2473" t="n">
        <x:f>_xlfn.XLOOKUP($A2473,Games!$A$2:$A$18,Games!$M$2:$M$18,"Missing game",0)</x:f>
        <x:v>0</x:v>
      </x:c>
      <x:c r="AS2473" t="str">
        <x:f>_xlfn.XLOOKUP($A2473,Games!$A$2:$A$18,Games!$N$2:$N$18,"Missing game",0)</x:f>
        <x:v>outdoors</x:v>
      </x:c>
      <x:c r="AT2473" t="str">
        <x:f>_xlfn.XLOOKUP($A2473,Games!$A$2:$A$18,Games!$O$2:$O$18,"Missing game",0)</x:f>
        <x:v>fieldturf</x:v>
      </x:c>
      <x:c r="AU2473" t="n">
        <x:f>_xlfn.XLOOKUP($A2473,Games!$A$2:$A$18,Games!$P$2:$P$18,"Missing game",0)</x:f>
        <x:v>46</x:v>
      </x:c>
      <x:c r="AV2473" t="n">
        <x:f>_xlfn.XLOOKUP($A2473,Games!$A$2:$A$18,Games!$Q$2:$Q$18,"Missing game",0)</x:f>
        <x:v>20</x:v>
      </x:c>
      <x:c r="AW2473" t="str">
        <x:f>_xlfn.XLOOKUP($A2473,Games!$A$2:$A$18,Games!$R$2:$R$18,"Missing game",0)</x:f>
        <x:v>MetLife Stadium</x:v>
      </x:c>
    </x:row>
    <x:row r="2474">
      <x:c r="A2474" t="str">
        <x:v>2025_16_MIN_NYG</x:v>
      </x:c>
      <x:c r="B2474" t="n">
        <x:v>3880</x:v>
      </x:c>
      <x:c r="C2474" t="n">
        <x:v>4</x:v>
      </x:c>
      <x:c r="D2474" t="str">
        <x:v>01:05</x:v>
      </x:c>
      <x:c r="E2474" t="n">
        <x:v>1</x:v>
      </x:c>
      <x:c r="F2474" t="n">
        <x:v>10</x:v>
      </x:c>
      <x:c r="G2474" t="str">
        <x:v>MIN</x:v>
      </x:c>
      <x:c r="H2474" t="str">
        <x:v>NYG</x:v>
      </x:c>
      <x:c r="I2474" t="str">
        <x:v>NYG</x:v>
      </x:c>
      <x:c r="J2474" t="n">
        <x:v>28</x:v>
      </x:c>
      <x:c r="K2474" t="str">
        <x:v>(1:05) 12-M.Brosmer kneels to NYG 29 for -1 yards.</x:v>
      </x:c>
      <x:c r="L2474" t="str">
        <x:v>qb_kneel</x:v>
      </x:c>
      <x:c r="M2474" t="n">
        <x:v>-1</x:v>
      </x:c>
      <x:c r="N2474" t="n">
        <x:v>0</x:v>
      </x:c>
      <x:c r="O2474" t="n">
        <x:v>0</x:v>
      </x:c>
      <x:c r="P2474"/>
      <x:c r="Q2474"/>
      <x:c r="R2474"/>
      <x:c r="S2474"/>
      <x:c r="T2474"/>
      <x:c r="U2474"/>
      <x:c r="V2474" t="n">
        <x:v>0</x:v>
      </x:c>
      <x:c r="W2474" t="n">
        <x:v>0</x:v>
      </x:c>
      <x:c r="X2474" t="n">
        <x:v>0</x:v>
      </x:c>
      <x:c r="Y2474" t="n">
        <x:v>0</x:v>
      </x:c>
      <x:c r="Z2474" t="n">
        <x:v>0</x:v>
      </x:c>
      <x:c r="AA2474" t="n">
        <x:v>0</x:v>
      </x:c>
      <x:c r="AB2474"/>
      <x:c r="AC2474" t="n">
        <x:v>0</x:v>
      </x:c>
      <x:c r="AD2474" t="n">
        <x:v>-0.28412275534356013</x:v>
      </x:c>
      <x:c r="AE2474" t="n">
        <x:v>0</x:v>
      </x:c>
      <x:c r="AF2474"/>
      <x:c r="AG2474" t="n">
        <x:f>_xlfn.XLOOKUP($A2474,Games!$A$2:$A$18,Games!$B$2:$B$18,"Missing game",0)</x:f>
        <x:v>2025</x:v>
      </x:c>
      <x:c r="AH2474" t="str">
        <x:f>_xlfn.XLOOKUP($A2474,Games!$A$2:$A$18,Games!$C$2:$C$18,"Missing game",0)</x:f>
        <x:v>REG</x:v>
      </x:c>
      <x:c r="AI2474" t="n">
        <x:f>_xlfn.XLOOKUP($A2474,Games!$A$2:$A$18,Games!$D$2:$D$18,"Missing game",0)</x:f>
        <x:v>16</x:v>
      </x:c>
      <x:c r="AJ2474" s="1" t="n">
        <x:f>_xlfn.XLOOKUP($A2474,Games!$A$2:$A$18,Games!$E$2:$E$18,"Missing game",0)</x:f>
        <x:v>46012</x:v>
      </x:c>
      <x:c r="AK2474" t="str">
        <x:f>_xlfn.XLOOKUP($A2474,Games!$A$2:$A$18,Games!$F$2:$F$18,"Missing game",0)</x:f>
        <x:v>Sunday</x:v>
      </x:c>
      <x:c r="AL2474" t="str">
        <x:f>_xlfn.XLOOKUP($A2474,Games!$A$2:$A$18,Games!$G$2:$G$18,"Missing game",0)</x:f>
        <x:v>MIN</x:v>
      </x:c>
      <x:c r="AM2474" t="n">
        <x:f>_xlfn.XLOOKUP($A2474,Games!$A$2:$A$18,Games!$H$2:$H$18,"Missing game",0)</x:f>
        <x:v>16</x:v>
      </x:c>
      <x:c r="AN2474" t="str">
        <x:f>_xlfn.XLOOKUP($A2474,Games!$A$2:$A$18,Games!$I$2:$I$18,"Missing game",0)</x:f>
        <x:v>NYG</x:v>
      </x:c>
      <x:c r="AO2474" t="n">
        <x:f>_xlfn.XLOOKUP($A2474,Games!$A$2:$A$18,Games!$J$2:$J$18,"Missing game",0)</x:f>
        <x:v>13</x:v>
      </x:c>
      <x:c r="AP2474" t="n">
        <x:f>_xlfn.XLOOKUP($A2474,Games!$A$2:$A$18,Games!$K$2:$K$18,"Missing game",0)</x:f>
        <x:v>-3</x:v>
      </x:c>
      <x:c r="AQ2474" t="n">
        <x:f>_xlfn.XLOOKUP($A2474,Games!$A$2:$A$18,Games!$L$2:$L$18,"Missing game",0)</x:f>
        <x:v>29</x:v>
      </x:c>
      <x:c r="AR2474" t="n">
        <x:f>_xlfn.XLOOKUP($A2474,Games!$A$2:$A$18,Games!$M$2:$M$18,"Missing game",0)</x:f>
        <x:v>0</x:v>
      </x:c>
      <x:c r="AS2474" t="str">
        <x:f>_xlfn.XLOOKUP($A2474,Games!$A$2:$A$18,Games!$N$2:$N$18,"Missing game",0)</x:f>
        <x:v>outdoors</x:v>
      </x:c>
      <x:c r="AT2474" t="str">
        <x:f>_xlfn.XLOOKUP($A2474,Games!$A$2:$A$18,Games!$O$2:$O$18,"Missing game",0)</x:f>
        <x:v>fieldturf</x:v>
      </x:c>
      <x:c r="AU2474" t="n">
        <x:f>_xlfn.XLOOKUP($A2474,Games!$A$2:$A$18,Games!$P$2:$P$18,"Missing game",0)</x:f>
        <x:v>46</x:v>
      </x:c>
      <x:c r="AV2474" t="n">
        <x:f>_xlfn.XLOOKUP($A2474,Games!$A$2:$A$18,Games!$Q$2:$Q$18,"Missing game",0)</x:f>
        <x:v>20</x:v>
      </x:c>
      <x:c r="AW2474" t="str">
        <x:f>_xlfn.XLOOKUP($A2474,Games!$A$2:$A$18,Games!$R$2:$R$18,"Missing game",0)</x:f>
        <x:v>MetLife Stadium</x:v>
      </x:c>
    </x:row>
    <x:row r="2475">
      <x:c r="A2475" t="str">
        <x:v>2025_16_MIN_NYG</x:v>
      </x:c>
      <x:c r="B2475" t="n">
        <x:v>3902</x:v>
      </x:c>
      <x:c r="C2475" t="n">
        <x:v>4</x:v>
      </x:c>
      <x:c r="D2475" t="str">
        <x:v>00:36</x:v>
      </x:c>
      <x:c r="E2475" t="n">
        <x:v>2</x:v>
      </x:c>
      <x:c r="F2475" t="n">
        <x:v>11</x:v>
      </x:c>
      <x:c r="G2475" t="str">
        <x:v>MIN</x:v>
      </x:c>
      <x:c r="H2475" t="str">
        <x:v>NYG</x:v>
      </x:c>
      <x:c r="I2475" t="str">
        <x:v>NYG</x:v>
      </x:c>
      <x:c r="J2475" t="n">
        <x:v>29</x:v>
      </x:c>
      <x:c r="K2475" t="str">
        <x:v>(:36) 12-M.Brosmer kneels to NYG 30 for -1 yards.</x:v>
      </x:c>
      <x:c r="L2475" t="str">
        <x:v>qb_kneel</x:v>
      </x:c>
      <x:c r="M2475" t="n">
        <x:v>-1</x:v>
      </x:c>
      <x:c r="N2475" t="n">
        <x:v>0</x:v>
      </x:c>
      <x:c r="O2475" t="n">
        <x:v>0</x:v>
      </x:c>
      <x:c r="P2475"/>
      <x:c r="Q2475"/>
      <x:c r="R2475"/>
      <x:c r="S2475"/>
      <x:c r="T2475"/>
      <x:c r="U2475"/>
      <x:c r="V2475" t="n">
        <x:v>0</x:v>
      </x:c>
      <x:c r="W2475" t="n">
        <x:v>0</x:v>
      </x:c>
      <x:c r="X2475" t="n">
        <x:v>0</x:v>
      </x:c>
      <x:c r="Y2475" t="n">
        <x:v>0</x:v>
      </x:c>
      <x:c r="Z2475" t="n">
        <x:v>0</x:v>
      </x:c>
      <x:c r="AA2475" t="n">
        <x:v>0</x:v>
      </x:c>
      <x:c r="AB2475"/>
      <x:c r="AC2475" t="n">
        <x:v>0</x:v>
      </x:c>
      <x:c r="AD2475" t="n">
        <x:v>-1.6411263869376853</x:v>
      </x:c>
      <x:c r="AE2475" t="n">
        <x:v>0</x:v>
      </x:c>
      <x:c r="AF2475"/>
      <x:c r="AG2475" t="n">
        <x:f>_xlfn.XLOOKUP($A2475,Games!$A$2:$A$18,Games!$B$2:$B$18,"Missing game",0)</x:f>
        <x:v>2025</x:v>
      </x:c>
      <x:c r="AH2475" t="str">
        <x:f>_xlfn.XLOOKUP($A2475,Games!$A$2:$A$18,Games!$C$2:$C$18,"Missing game",0)</x:f>
        <x:v>REG</x:v>
      </x:c>
      <x:c r="AI2475" t="n">
        <x:f>_xlfn.XLOOKUP($A2475,Games!$A$2:$A$18,Games!$D$2:$D$18,"Missing game",0)</x:f>
        <x:v>16</x:v>
      </x:c>
      <x:c r="AJ2475" s="1" t="n">
        <x:f>_xlfn.XLOOKUP($A2475,Games!$A$2:$A$18,Games!$E$2:$E$18,"Missing game",0)</x:f>
        <x:v>46012</x:v>
      </x:c>
      <x:c r="AK2475" t="str">
        <x:f>_xlfn.XLOOKUP($A2475,Games!$A$2:$A$18,Games!$F$2:$F$18,"Missing game",0)</x:f>
        <x:v>Sunday</x:v>
      </x:c>
      <x:c r="AL2475" t="str">
        <x:f>_xlfn.XLOOKUP($A2475,Games!$A$2:$A$18,Games!$G$2:$G$18,"Missing game",0)</x:f>
        <x:v>MIN</x:v>
      </x:c>
      <x:c r="AM2475" t="n">
        <x:f>_xlfn.XLOOKUP($A2475,Games!$A$2:$A$18,Games!$H$2:$H$18,"Missing game",0)</x:f>
        <x:v>16</x:v>
      </x:c>
      <x:c r="AN2475" t="str">
        <x:f>_xlfn.XLOOKUP($A2475,Games!$A$2:$A$18,Games!$I$2:$I$18,"Missing game",0)</x:f>
        <x:v>NYG</x:v>
      </x:c>
      <x:c r="AO2475" t="n">
        <x:f>_xlfn.XLOOKUP($A2475,Games!$A$2:$A$18,Games!$J$2:$J$18,"Missing game",0)</x:f>
        <x:v>13</x:v>
      </x:c>
      <x:c r="AP2475" t="n">
        <x:f>_xlfn.XLOOKUP($A2475,Games!$A$2:$A$18,Games!$K$2:$K$18,"Missing game",0)</x:f>
        <x:v>-3</x:v>
      </x:c>
      <x:c r="AQ2475" t="n">
        <x:f>_xlfn.XLOOKUP($A2475,Games!$A$2:$A$18,Games!$L$2:$L$18,"Missing game",0)</x:f>
        <x:v>29</x:v>
      </x:c>
      <x:c r="AR2475" t="n">
        <x:f>_xlfn.XLOOKUP($A2475,Games!$A$2:$A$18,Games!$M$2:$M$18,"Missing game",0)</x:f>
        <x:v>0</x:v>
      </x:c>
      <x:c r="AS2475" t="str">
        <x:f>_xlfn.XLOOKUP($A2475,Games!$A$2:$A$18,Games!$N$2:$N$18,"Missing game",0)</x:f>
        <x:v>outdoors</x:v>
      </x:c>
      <x:c r="AT2475" t="str">
        <x:f>_xlfn.XLOOKUP($A2475,Games!$A$2:$A$18,Games!$O$2:$O$18,"Missing game",0)</x:f>
        <x:v>fieldturf</x:v>
      </x:c>
      <x:c r="AU2475" t="n">
        <x:f>_xlfn.XLOOKUP($A2475,Games!$A$2:$A$18,Games!$P$2:$P$18,"Missing game",0)</x:f>
        <x:v>46</x:v>
      </x:c>
      <x:c r="AV2475" t="n">
        <x:f>_xlfn.XLOOKUP($A2475,Games!$A$2:$A$18,Games!$Q$2:$Q$18,"Missing game",0)</x:f>
        <x:v>20</x:v>
      </x:c>
      <x:c r="AW2475" t="str">
        <x:f>_xlfn.XLOOKUP($A2475,Games!$A$2:$A$18,Games!$R$2:$R$18,"Missing game",0)</x:f>
        <x:v>MetLife Stadium</x:v>
      </x:c>
    </x:row>
    <x:row r="2476">
      <x:c r="A2476" t="str">
        <x:v>2025_16_MIN_NYG</x:v>
      </x:c>
      <x:c r="B2476" t="n">
        <x:v>3924</x:v>
      </x:c>
      <x:c r="C2476" t="n">
        <x:v>4</x:v>
      </x:c>
      <x:c r="D2476" t="str">
        <x:v>00:00</x:v>
      </x:c>
      <x:c r="E2476"/>
      <x:c r="F2476" t="n">
        <x:v>0</x:v>
      </x:c>
      <x:c r="G2476" t="str">
        <x:v>MIN</x:v>
      </x:c>
      <x:c r="H2476" t="str">
        <x:v>NYG</x:v>
      </x:c>
      <x:c r="I2476"/>
      <x:c r="J2476"/>
      <x:c r="K2476" t="str">
        <x:v>END GAME</x:v>
      </x:c>
      <x:c r="L2476"/>
      <x:c r="M2476"/>
      <x:c r="N2476" t="n">
        <x:v>0</x:v>
      </x:c>
      <x:c r="O2476" t="n">
        <x:v>0</x:v>
      </x:c>
      <x:c r="P2476"/>
      <x:c r="Q2476"/>
      <x:c r="R2476"/>
      <x:c r="S2476"/>
      <x:c r="T2476"/>
      <x:c r="U2476"/>
      <x:c r="V2476"/>
      <x:c r="W2476"/>
      <x:c r="X2476"/>
      <x:c r="Y2476"/>
      <x:c r="Z2476"/>
      <x:c r="AA2476"/>
      <x:c r="AB2476"/>
      <x:c r="AC2476"/>
      <x:c r="AD2476"/>
      <x:c r="AE2476"/>
      <x:c r="AF2476"/>
      <x:c r="AG2476" t="n">
        <x:f>_xlfn.XLOOKUP($A2476,Games!$A$2:$A$18,Games!$B$2:$B$18,"Missing game",0)</x:f>
        <x:v>2025</x:v>
      </x:c>
      <x:c r="AH2476" t="str">
        <x:f>_xlfn.XLOOKUP($A2476,Games!$A$2:$A$18,Games!$C$2:$C$18,"Missing game",0)</x:f>
        <x:v>REG</x:v>
      </x:c>
      <x:c r="AI2476" t="n">
        <x:f>_xlfn.XLOOKUP($A2476,Games!$A$2:$A$18,Games!$D$2:$D$18,"Missing game",0)</x:f>
        <x:v>16</x:v>
      </x:c>
      <x:c r="AJ2476" s="1" t="n">
        <x:f>_xlfn.XLOOKUP($A2476,Games!$A$2:$A$18,Games!$E$2:$E$18,"Missing game",0)</x:f>
        <x:v>46012</x:v>
      </x:c>
      <x:c r="AK2476" t="str">
        <x:f>_xlfn.XLOOKUP($A2476,Games!$A$2:$A$18,Games!$F$2:$F$18,"Missing game",0)</x:f>
        <x:v>Sunday</x:v>
      </x:c>
      <x:c r="AL2476" t="str">
        <x:f>_xlfn.XLOOKUP($A2476,Games!$A$2:$A$18,Games!$G$2:$G$18,"Missing game",0)</x:f>
        <x:v>MIN</x:v>
      </x:c>
      <x:c r="AM2476" t="n">
        <x:f>_xlfn.XLOOKUP($A2476,Games!$A$2:$A$18,Games!$H$2:$H$18,"Missing game",0)</x:f>
        <x:v>16</x:v>
      </x:c>
      <x:c r="AN2476" t="str">
        <x:f>_xlfn.XLOOKUP($A2476,Games!$A$2:$A$18,Games!$I$2:$I$18,"Missing game",0)</x:f>
        <x:v>NYG</x:v>
      </x:c>
      <x:c r="AO2476" t="n">
        <x:f>_xlfn.XLOOKUP($A2476,Games!$A$2:$A$18,Games!$J$2:$J$18,"Missing game",0)</x:f>
        <x:v>13</x:v>
      </x:c>
      <x:c r="AP2476" t="n">
        <x:f>_xlfn.XLOOKUP($A2476,Games!$A$2:$A$18,Games!$K$2:$K$18,"Missing game",0)</x:f>
        <x:v>-3</x:v>
      </x:c>
      <x:c r="AQ2476" t="n">
        <x:f>_xlfn.XLOOKUP($A2476,Games!$A$2:$A$18,Games!$L$2:$L$18,"Missing game",0)</x:f>
        <x:v>29</x:v>
      </x:c>
      <x:c r="AR2476" t="n">
        <x:f>_xlfn.XLOOKUP($A2476,Games!$A$2:$A$18,Games!$M$2:$M$18,"Missing game",0)</x:f>
        <x:v>0</x:v>
      </x:c>
      <x:c r="AS2476" t="str">
        <x:f>_xlfn.XLOOKUP($A2476,Games!$A$2:$A$18,Games!$N$2:$N$18,"Missing game",0)</x:f>
        <x:v>outdoors</x:v>
      </x:c>
      <x:c r="AT2476" t="str">
        <x:f>_xlfn.XLOOKUP($A2476,Games!$A$2:$A$18,Games!$O$2:$O$18,"Missing game",0)</x:f>
        <x:v>fieldturf</x:v>
      </x:c>
      <x:c r="AU2476" t="n">
        <x:f>_xlfn.XLOOKUP($A2476,Games!$A$2:$A$18,Games!$P$2:$P$18,"Missing game",0)</x:f>
        <x:v>46</x:v>
      </x:c>
      <x:c r="AV2476" t="n">
        <x:f>_xlfn.XLOOKUP($A2476,Games!$A$2:$A$18,Games!$Q$2:$Q$18,"Missing game",0)</x:f>
        <x:v>20</x:v>
      </x:c>
      <x:c r="AW2476" t="str">
        <x:f>_xlfn.XLOOKUP($A2476,Games!$A$2:$A$18,Games!$R$2:$R$18,"Missing game",0)</x:f>
        <x:v>MetLife Stadium</x:v>
      </x:c>
    </x:row>
    <x:row r="2477">
      <x:c r="A2477" t="str">
        <x:v>2025_17_DET_MIN</x:v>
      </x:c>
      <x:c r="B2477" t="n">
        <x:v>1</x:v>
      </x:c>
      <x:c r="C2477" t="n">
        <x:v>1</x:v>
      </x:c>
      <x:c r="D2477" t="str">
        <x:v>15:00</x:v>
      </x:c>
      <x:c r="E2477"/>
      <x:c r="F2477" t="n">
        <x:v>0</x:v>
      </x:c>
      <x:c r="G2477"/>
      <x:c r="H2477"/>
      <x:c r="I2477"/>
      <x:c r="J2477"/>
      <x:c r="K2477" t="str">
        <x:v>GAME</x:v>
      </x:c>
      <x:c r="L2477"/>
      <x:c r="M2477"/>
      <x:c r="N2477" t="n">
        <x:v>0</x:v>
      </x:c>
      <x:c r="O2477" t="n">
        <x:v>0</x:v>
      </x:c>
      <x:c r="P2477"/>
      <x:c r="Q2477"/>
      <x:c r="R2477"/>
      <x:c r="S2477"/>
      <x:c r="T2477"/>
      <x:c r="U2477"/>
      <x:c r="V2477"/>
      <x:c r="W2477"/>
      <x:c r="X2477"/>
      <x:c r="Y2477"/>
      <x:c r="Z2477"/>
      <x:c r="AA2477"/>
      <x:c r="AB2477"/>
      <x:c r="AC2477"/>
      <x:c r="AD2477" t="n">
        <x:v>0</x:v>
      </x:c>
      <x:c r="AE2477" t="n">
        <x:v>0</x:v>
      </x:c>
      <x:c r="AF2477" t="n">
        <x:v>0</x:v>
      </x:c>
      <x:c r="AG2477" t="n">
        <x:f>_xlfn.XLOOKUP($A2477,Games!$A$2:$A$18,Games!$B$2:$B$18,"Missing game",0)</x:f>
        <x:v>2025</x:v>
      </x:c>
      <x:c r="AH2477" t="str">
        <x:f>_xlfn.XLOOKUP($A2477,Games!$A$2:$A$18,Games!$C$2:$C$18,"Missing game",0)</x:f>
        <x:v>REG</x:v>
      </x:c>
      <x:c r="AI2477" t="n">
        <x:f>_xlfn.XLOOKUP($A2477,Games!$A$2:$A$18,Games!$D$2:$D$18,"Missing game",0)</x:f>
        <x:v>17</x:v>
      </x:c>
      <x:c r="AJ2477" s="1" t="n">
        <x:f>_xlfn.XLOOKUP($A2477,Games!$A$2:$A$18,Games!$E$2:$E$18,"Missing game",0)</x:f>
        <x:v>46016</x:v>
      </x:c>
      <x:c r="AK2477" t="str">
        <x:f>_xlfn.XLOOKUP($A2477,Games!$A$2:$A$18,Games!$F$2:$F$18,"Missing game",0)</x:f>
        <x:v>Thursday</x:v>
      </x:c>
      <x:c r="AL2477" t="str">
        <x:f>_xlfn.XLOOKUP($A2477,Games!$A$2:$A$18,Games!$G$2:$G$18,"Missing game",0)</x:f>
        <x:v>DET</x:v>
      </x:c>
      <x:c r="AM2477" t="n">
        <x:f>_xlfn.XLOOKUP($A2477,Games!$A$2:$A$18,Games!$H$2:$H$18,"Missing game",0)</x:f>
        <x:v>10</x:v>
      </x:c>
      <x:c r="AN2477" t="str">
        <x:f>_xlfn.XLOOKUP($A2477,Games!$A$2:$A$18,Games!$I$2:$I$18,"Missing game",0)</x:f>
        <x:v>MIN</x:v>
      </x:c>
      <x:c r="AO2477" t="n">
        <x:f>_xlfn.XLOOKUP($A2477,Games!$A$2:$A$18,Games!$J$2:$J$18,"Missing game",0)</x:f>
        <x:v>23</x:v>
      </x:c>
      <x:c r="AP2477" t="n">
        <x:f>_xlfn.XLOOKUP($A2477,Games!$A$2:$A$18,Games!$K$2:$K$18,"Missing game",0)</x:f>
        <x:v>13</x:v>
      </x:c>
      <x:c r="AQ2477" t="n">
        <x:f>_xlfn.XLOOKUP($A2477,Games!$A$2:$A$18,Games!$L$2:$L$18,"Missing game",0)</x:f>
        <x:v>33</x:v>
      </x:c>
      <x:c r="AR2477" t="n">
        <x:f>_xlfn.XLOOKUP($A2477,Games!$A$2:$A$18,Games!$M$2:$M$18,"Missing game",0)</x:f>
        <x:v>0</x:v>
      </x:c>
      <x:c r="AS2477" t="str">
        <x:f>_xlfn.XLOOKUP($A2477,Games!$A$2:$A$18,Games!$N$2:$N$18,"Missing game",0)</x:f>
        <x:v>dome</x:v>
      </x:c>
      <x:c r="AT2477" t="str">
        <x:f>_xlfn.XLOOKUP($A2477,Games!$A$2:$A$18,Games!$O$2:$O$18,"Missing game",0)</x:f>
        <x:v>sportturf</x:v>
      </x:c>
      <x:c r="AU2477" t="str">
        <x:f>_xlfn.XLOOKUP($A2477,Games!$A$2:$A$18,Games!$P$2:$P$18,"Missing game",0)</x:f>
      </x:c>
      <x:c r="AV2477" t="str">
        <x:f>_xlfn.XLOOKUP($A2477,Games!$A$2:$A$18,Games!$Q$2:$Q$18,"Missing game",0)</x:f>
      </x:c>
      <x:c r="AW2477" t="str">
        <x:f>_xlfn.XLOOKUP($A2477,Games!$A$2:$A$18,Games!$R$2:$R$18,"Missing game",0)</x:f>
        <x:v>U.S. Bank Stadium</x:v>
      </x:c>
    </x:row>
    <x:row r="2478">
      <x:c r="A2478" t="str">
        <x:v>2025_17_DET_MIN</x:v>
      </x:c>
      <x:c r="B2478" t="n">
        <x:v>39</x:v>
      </x:c>
      <x:c r="C2478" t="n">
        <x:v>1</x:v>
      </x:c>
      <x:c r="D2478" t="str">
        <x:v>15:00</x:v>
      </x:c>
      <x:c r="E2478"/>
      <x:c r="F2478" t="n">
        <x:v>0</x:v>
      </x:c>
      <x:c r="G2478" t="str">
        <x:v>MIN</x:v>
      </x:c>
      <x:c r="H2478" t="str">
        <x:v>DET</x:v>
      </x:c>
      <x:c r="I2478" t="str">
        <x:v>DET</x:v>
      </x:c>
      <x:c r="J2478" t="n">
        <x:v>35</x:v>
      </x:c>
      <x:c r="K2478" t="str">
        <x:v>39-J.Bates kicks 64 yards from DET 35 to MIN 1. 4-M.Price to MIN 25 for 24 yards (33-S.Vaki). MIN-4-M.Price was injured during the play.</x:v>
      </x:c>
      <x:c r="L2478" t="str">
        <x:v>kickoff</x:v>
      </x:c>
      <x:c r="M2478" t="n">
        <x:v>0</x:v>
      </x:c>
      <x:c r="N2478" t="n">
        <x:v>0</x:v>
      </x:c>
      <x:c r="O2478" t="n">
        <x:v>0</x:v>
      </x:c>
      <x:c r="P2478"/>
      <x:c r="Q2478"/>
      <x:c r="R2478"/>
      <x:c r="S2478"/>
      <x:c r="T2478"/>
      <x:c r="U2478"/>
      <x:c r="V2478" t="n">
        <x:v>0</x:v>
      </x:c>
      <x:c r="W2478" t="n">
        <x:v>0</x:v>
      </x:c>
      <x:c r="X2478" t="n">
        <x:v>0</x:v>
      </x:c>
      <x:c r="Y2478" t="n">
        <x:v>0</x:v>
      </x:c>
      <x:c r="Z2478" t="n">
        <x:v>0</x:v>
      </x:c>
      <x:c r="AA2478" t="n">
        <x:v>0</x:v>
      </x:c>
      <x:c r="AB2478"/>
      <x:c r="AC2478" t="n">
        <x:v>0</x:v>
      </x:c>
      <x:c r="AD2478" t="n">
        <x:v>-0.0040657916106283665</x:v>
      </x:c>
      <x:c r="AE2478" t="n">
        <x:v>0</x:v>
      </x:c>
      <x:c r="AF2478" t="n">
        <x:v>0</x:v>
      </x:c>
      <x:c r="AG2478" t="n">
        <x:f>_xlfn.XLOOKUP($A2478,Games!$A$2:$A$18,Games!$B$2:$B$18,"Missing game",0)</x:f>
        <x:v>2025</x:v>
      </x:c>
      <x:c r="AH2478" t="str">
        <x:f>_xlfn.XLOOKUP($A2478,Games!$A$2:$A$18,Games!$C$2:$C$18,"Missing game",0)</x:f>
        <x:v>REG</x:v>
      </x:c>
      <x:c r="AI2478" t="n">
        <x:f>_xlfn.XLOOKUP($A2478,Games!$A$2:$A$18,Games!$D$2:$D$18,"Missing game",0)</x:f>
        <x:v>17</x:v>
      </x:c>
      <x:c r="AJ2478" s="1" t="n">
        <x:f>_xlfn.XLOOKUP($A2478,Games!$A$2:$A$18,Games!$E$2:$E$18,"Missing game",0)</x:f>
        <x:v>46016</x:v>
      </x:c>
      <x:c r="AK2478" t="str">
        <x:f>_xlfn.XLOOKUP($A2478,Games!$A$2:$A$18,Games!$F$2:$F$18,"Missing game",0)</x:f>
        <x:v>Thursday</x:v>
      </x:c>
      <x:c r="AL2478" t="str">
        <x:f>_xlfn.XLOOKUP($A2478,Games!$A$2:$A$18,Games!$G$2:$G$18,"Missing game",0)</x:f>
        <x:v>DET</x:v>
      </x:c>
      <x:c r="AM2478" t="n">
        <x:f>_xlfn.XLOOKUP($A2478,Games!$A$2:$A$18,Games!$H$2:$H$18,"Missing game",0)</x:f>
        <x:v>10</x:v>
      </x:c>
      <x:c r="AN2478" t="str">
        <x:f>_xlfn.XLOOKUP($A2478,Games!$A$2:$A$18,Games!$I$2:$I$18,"Missing game",0)</x:f>
        <x:v>MIN</x:v>
      </x:c>
      <x:c r="AO2478" t="n">
        <x:f>_xlfn.XLOOKUP($A2478,Games!$A$2:$A$18,Games!$J$2:$J$18,"Missing game",0)</x:f>
        <x:v>23</x:v>
      </x:c>
      <x:c r="AP2478" t="n">
        <x:f>_xlfn.XLOOKUP($A2478,Games!$A$2:$A$18,Games!$K$2:$K$18,"Missing game",0)</x:f>
        <x:v>13</x:v>
      </x:c>
      <x:c r="AQ2478" t="n">
        <x:f>_xlfn.XLOOKUP($A2478,Games!$A$2:$A$18,Games!$L$2:$L$18,"Missing game",0)</x:f>
        <x:v>33</x:v>
      </x:c>
      <x:c r="AR2478" t="n">
        <x:f>_xlfn.XLOOKUP($A2478,Games!$A$2:$A$18,Games!$M$2:$M$18,"Missing game",0)</x:f>
        <x:v>0</x:v>
      </x:c>
      <x:c r="AS2478" t="str">
        <x:f>_xlfn.XLOOKUP($A2478,Games!$A$2:$A$18,Games!$N$2:$N$18,"Missing game",0)</x:f>
        <x:v>dome</x:v>
      </x:c>
      <x:c r="AT2478" t="str">
        <x:f>_xlfn.XLOOKUP($A2478,Games!$A$2:$A$18,Games!$O$2:$O$18,"Missing game",0)</x:f>
        <x:v>sportturf</x:v>
      </x:c>
      <x:c r="AU2478" t="str">
        <x:f>_xlfn.XLOOKUP($A2478,Games!$A$2:$A$18,Games!$P$2:$P$18,"Missing game",0)</x:f>
      </x:c>
      <x:c r="AV2478" t="str">
        <x:f>_xlfn.XLOOKUP($A2478,Games!$A$2:$A$18,Games!$Q$2:$Q$18,"Missing game",0)</x:f>
      </x:c>
      <x:c r="AW2478" t="str">
        <x:f>_xlfn.XLOOKUP($A2478,Games!$A$2:$A$18,Games!$R$2:$R$18,"Missing game",0)</x:f>
        <x:v>U.S. Bank Stadium</x:v>
      </x:c>
    </x:row>
    <x:row r="2479">
      <x:c r="A2479" t="str">
        <x:v>2025_17_DET_MIN</x:v>
      </x:c>
      <x:c r="B2479" t="n">
        <x:v>62</x:v>
      </x:c>
      <x:c r="C2479" t="n">
        <x:v>1</x:v>
      </x:c>
      <x:c r="D2479" t="str">
        <x:v>14:56</x:v>
      </x:c>
      <x:c r="E2479" t="n">
        <x:v>1</x:v>
      </x:c>
      <x:c r="F2479" t="n">
        <x:v>10</x:v>
      </x:c>
      <x:c r="G2479" t="str">
        <x:v>MIN</x:v>
      </x:c>
      <x:c r="H2479" t="str">
        <x:v>DET</x:v>
      </x:c>
      <x:c r="I2479" t="str">
        <x:v>MIN</x:v>
      </x:c>
      <x:c r="J2479" t="n">
        <x:v>75</x:v>
      </x:c>
      <x:c r="K2479" t="str">
        <x:v>(14:56) 12-M.Brosmer pass incomplete short right.</x:v>
      </x:c>
      <x:c r="L2479" t="str">
        <x:v>pass</x:v>
      </x:c>
      <x:c r="M2479" t="n">
        <x:v>0</x:v>
      </x:c>
      <x:c r="N2479" t="n">
        <x:v>0</x:v>
      </x:c>
      <x:c r="O2479" t="n">
        <x:v>0</x:v>
      </x:c>
      <x:c r="P2479" t="str">
        <x:v>short</x:v>
      </x:c>
      <x:c r="Q2479" t="str">
        <x:v>right</x:v>
      </x:c>
      <x:c r="R2479" t="n">
        <x:v>5</x:v>
      </x:c>
      <x:c r="S2479"/>
      <x:c r="T2479"/>
      <x:c r="U2479"/>
      <x:c r="V2479" t="n">
        <x:v>0</x:v>
      </x:c>
      <x:c r="W2479" t="n">
        <x:v>0</x:v>
      </x:c>
      <x:c r="X2479" t="n">
        <x:v>0</x:v>
      </x:c>
      <x:c r="Y2479" t="n">
        <x:v>0</x:v>
      </x:c>
      <x:c r="Z2479" t="n">
        <x:v>0</x:v>
      </x:c>
      <x:c r="AA2479" t="n">
        <x:v>0</x:v>
      </x:c>
      <x:c r="AB2479"/>
      <x:c r="AC2479" t="n">
        <x:v>0</x:v>
      </x:c>
      <x:c r="AD2479" t="n">
        <x:v>-0.6324215740896761</x:v>
      </x:c>
      <x:c r="AE2479" t="n">
        <x:v>0</x:v>
      </x:c>
      <x:c r="AF2479" t="n">
        <x:v>-0.01823192834854126</x:v>
      </x:c>
      <x:c r="AG2479" t="n">
        <x:f>_xlfn.XLOOKUP($A2479,Games!$A$2:$A$18,Games!$B$2:$B$18,"Missing game",0)</x:f>
        <x:v>2025</x:v>
      </x:c>
      <x:c r="AH2479" t="str">
        <x:f>_xlfn.XLOOKUP($A2479,Games!$A$2:$A$18,Games!$C$2:$C$18,"Missing game",0)</x:f>
        <x:v>REG</x:v>
      </x:c>
      <x:c r="AI2479" t="n">
        <x:f>_xlfn.XLOOKUP($A2479,Games!$A$2:$A$18,Games!$D$2:$D$18,"Missing game",0)</x:f>
        <x:v>17</x:v>
      </x:c>
      <x:c r="AJ2479" s="1" t="n">
        <x:f>_xlfn.XLOOKUP($A2479,Games!$A$2:$A$18,Games!$E$2:$E$18,"Missing game",0)</x:f>
        <x:v>46016</x:v>
      </x:c>
      <x:c r="AK2479" t="str">
        <x:f>_xlfn.XLOOKUP($A2479,Games!$A$2:$A$18,Games!$F$2:$F$18,"Missing game",0)</x:f>
        <x:v>Thursday</x:v>
      </x:c>
      <x:c r="AL2479" t="str">
        <x:f>_xlfn.XLOOKUP($A2479,Games!$A$2:$A$18,Games!$G$2:$G$18,"Missing game",0)</x:f>
        <x:v>DET</x:v>
      </x:c>
      <x:c r="AM2479" t="n">
        <x:f>_xlfn.XLOOKUP($A2479,Games!$A$2:$A$18,Games!$H$2:$H$18,"Missing game",0)</x:f>
        <x:v>10</x:v>
      </x:c>
      <x:c r="AN2479" t="str">
        <x:f>_xlfn.XLOOKUP($A2479,Games!$A$2:$A$18,Games!$I$2:$I$18,"Missing game",0)</x:f>
        <x:v>MIN</x:v>
      </x:c>
      <x:c r="AO2479" t="n">
        <x:f>_xlfn.XLOOKUP($A2479,Games!$A$2:$A$18,Games!$J$2:$J$18,"Missing game",0)</x:f>
        <x:v>23</x:v>
      </x:c>
      <x:c r="AP2479" t="n">
        <x:f>_xlfn.XLOOKUP($A2479,Games!$A$2:$A$18,Games!$K$2:$K$18,"Missing game",0)</x:f>
        <x:v>13</x:v>
      </x:c>
      <x:c r="AQ2479" t="n">
        <x:f>_xlfn.XLOOKUP($A2479,Games!$A$2:$A$18,Games!$L$2:$L$18,"Missing game",0)</x:f>
        <x:v>33</x:v>
      </x:c>
      <x:c r="AR2479" t="n">
        <x:f>_xlfn.XLOOKUP($A2479,Games!$A$2:$A$18,Games!$M$2:$M$18,"Missing game",0)</x:f>
        <x:v>0</x:v>
      </x:c>
      <x:c r="AS2479" t="str">
        <x:f>_xlfn.XLOOKUP($A2479,Games!$A$2:$A$18,Games!$N$2:$N$18,"Missing game",0)</x:f>
        <x:v>dome</x:v>
      </x:c>
      <x:c r="AT2479" t="str">
        <x:f>_xlfn.XLOOKUP($A2479,Games!$A$2:$A$18,Games!$O$2:$O$18,"Missing game",0)</x:f>
        <x:v>sportturf</x:v>
      </x:c>
      <x:c r="AU2479" t="str">
        <x:f>_xlfn.XLOOKUP($A2479,Games!$A$2:$A$18,Games!$P$2:$P$18,"Missing game",0)</x:f>
      </x:c>
      <x:c r="AV2479" t="str">
        <x:f>_xlfn.XLOOKUP($A2479,Games!$A$2:$A$18,Games!$Q$2:$Q$18,"Missing game",0)</x:f>
      </x:c>
      <x:c r="AW2479" t="str">
        <x:f>_xlfn.XLOOKUP($A2479,Games!$A$2:$A$18,Games!$R$2:$R$18,"Missing game",0)</x:f>
        <x:v>U.S. Bank Stadium</x:v>
      </x:c>
    </x:row>
    <x:row r="2480">
      <x:c r="A2480" t="str">
        <x:v>2025_17_DET_MIN</x:v>
      </x:c>
      <x:c r="B2480" t="n">
        <x:v>95</x:v>
      </x:c>
      <x:c r="C2480" t="n">
        <x:v>1</x:v>
      </x:c>
      <x:c r="D2480" t="str">
        <x:v>14:50</x:v>
      </x:c>
      <x:c r="E2480" t="n">
        <x:v>2</x:v>
      </x:c>
      <x:c r="F2480" t="n">
        <x:v>10</x:v>
      </x:c>
      <x:c r="G2480" t="str">
        <x:v>MIN</x:v>
      </x:c>
      <x:c r="H2480" t="str">
        <x:v>DET</x:v>
      </x:c>
      <x:c r="I2480" t="str">
        <x:v>MIN</x:v>
      </x:c>
      <x:c r="J2480" t="n">
        <x:v>75</x:v>
      </x:c>
      <x:c r="K2480" t="str">
        <x:v>(14:50) 33-A.Jones left tackle to MIN 26 for 1 yard (23-R.Ya-Sin).</x:v>
      </x:c>
      <x:c r="L2480" t="str">
        <x:v>run</x:v>
      </x:c>
      <x:c r="M2480" t="n">
        <x:v>1</x:v>
      </x:c>
      <x:c r="N2480" t="n">
        <x:v>0</x:v>
      </x:c>
      <x:c r="O2480" t="n">
        <x:v>0</x:v>
      </x:c>
      <x:c r="P2480"/>
      <x:c r="Q2480"/>
      <x:c r="R2480"/>
      <x:c r="S2480"/>
      <x:c r="T2480" t="str">
        <x:v>left</x:v>
      </x:c>
      <x:c r="U2480" t="str">
        <x:v>tackle</x:v>
      </x:c>
      <x:c r="V2480" t="n">
        <x:v>0</x:v>
      </x:c>
      <x:c r="W2480" t="n">
        <x:v>0</x:v>
      </x:c>
      <x:c r="X2480" t="n">
        <x:v>0</x:v>
      </x:c>
      <x:c r="Y2480" t="n">
        <x:v>0</x:v>
      </x:c>
      <x:c r="Z2480" t="n">
        <x:v>0</x:v>
      </x:c>
      <x:c r="AA2480" t="n">
        <x:v>0</x:v>
      </x:c>
      <x:c r="AB2480"/>
      <x:c r="AC2480" t="n">
        <x:v>0</x:v>
      </x:c>
      <x:c r="AD2480" t="n">
        <x:v>-0.7558385422453284</x:v>
      </x:c>
      <x:c r="AE2480" t="n">
        <x:v>0</x:v>
      </x:c>
      <x:c r="AF2480" t="n">
        <x:v>-0.029710888862609863</x:v>
      </x:c>
      <x:c r="AG2480" t="n">
        <x:f>_xlfn.XLOOKUP($A2480,Games!$A$2:$A$18,Games!$B$2:$B$18,"Missing game",0)</x:f>
        <x:v>2025</x:v>
      </x:c>
      <x:c r="AH2480" t="str">
        <x:f>_xlfn.XLOOKUP($A2480,Games!$A$2:$A$18,Games!$C$2:$C$18,"Missing game",0)</x:f>
        <x:v>REG</x:v>
      </x:c>
      <x:c r="AI2480" t="n">
        <x:f>_xlfn.XLOOKUP($A2480,Games!$A$2:$A$18,Games!$D$2:$D$18,"Missing game",0)</x:f>
        <x:v>17</x:v>
      </x:c>
      <x:c r="AJ2480" s="1" t="n">
        <x:f>_xlfn.XLOOKUP($A2480,Games!$A$2:$A$18,Games!$E$2:$E$18,"Missing game",0)</x:f>
        <x:v>46016</x:v>
      </x:c>
      <x:c r="AK2480" t="str">
        <x:f>_xlfn.XLOOKUP($A2480,Games!$A$2:$A$18,Games!$F$2:$F$18,"Missing game",0)</x:f>
        <x:v>Thursday</x:v>
      </x:c>
      <x:c r="AL2480" t="str">
        <x:f>_xlfn.XLOOKUP($A2480,Games!$A$2:$A$18,Games!$G$2:$G$18,"Missing game",0)</x:f>
        <x:v>DET</x:v>
      </x:c>
      <x:c r="AM2480" t="n">
        <x:f>_xlfn.XLOOKUP($A2480,Games!$A$2:$A$18,Games!$H$2:$H$18,"Missing game",0)</x:f>
        <x:v>10</x:v>
      </x:c>
      <x:c r="AN2480" t="str">
        <x:f>_xlfn.XLOOKUP($A2480,Games!$A$2:$A$18,Games!$I$2:$I$18,"Missing game",0)</x:f>
        <x:v>MIN</x:v>
      </x:c>
      <x:c r="AO2480" t="n">
        <x:f>_xlfn.XLOOKUP($A2480,Games!$A$2:$A$18,Games!$J$2:$J$18,"Missing game",0)</x:f>
        <x:v>23</x:v>
      </x:c>
      <x:c r="AP2480" t="n">
        <x:f>_xlfn.XLOOKUP($A2480,Games!$A$2:$A$18,Games!$K$2:$K$18,"Missing game",0)</x:f>
        <x:v>13</x:v>
      </x:c>
      <x:c r="AQ2480" t="n">
        <x:f>_xlfn.XLOOKUP($A2480,Games!$A$2:$A$18,Games!$L$2:$L$18,"Missing game",0)</x:f>
        <x:v>33</x:v>
      </x:c>
      <x:c r="AR2480" t="n">
        <x:f>_xlfn.XLOOKUP($A2480,Games!$A$2:$A$18,Games!$M$2:$M$18,"Missing game",0)</x:f>
        <x:v>0</x:v>
      </x:c>
      <x:c r="AS2480" t="str">
        <x:f>_xlfn.XLOOKUP($A2480,Games!$A$2:$A$18,Games!$N$2:$N$18,"Missing game",0)</x:f>
        <x:v>dome</x:v>
      </x:c>
      <x:c r="AT2480" t="str">
        <x:f>_xlfn.XLOOKUP($A2480,Games!$A$2:$A$18,Games!$O$2:$O$18,"Missing game",0)</x:f>
        <x:v>sportturf</x:v>
      </x:c>
      <x:c r="AU2480" t="str">
        <x:f>_xlfn.XLOOKUP($A2480,Games!$A$2:$A$18,Games!$P$2:$P$18,"Missing game",0)</x:f>
      </x:c>
      <x:c r="AV2480" t="str">
        <x:f>_xlfn.XLOOKUP($A2480,Games!$A$2:$A$18,Games!$Q$2:$Q$18,"Missing game",0)</x:f>
      </x:c>
      <x:c r="AW2480" t="str">
        <x:f>_xlfn.XLOOKUP($A2480,Games!$A$2:$A$18,Games!$R$2:$R$18,"Missing game",0)</x:f>
        <x:v>U.S. Bank Stadium</x:v>
      </x:c>
    </x:row>
    <x:row r="2481">
      <x:c r="A2481" t="str">
        <x:v>2025_17_DET_MIN</x:v>
      </x:c>
      <x:c r="B2481" t="n">
        <x:v>117</x:v>
      </x:c>
      <x:c r="C2481" t="n">
        <x:v>1</x:v>
      </x:c>
      <x:c r="D2481" t="str">
        <x:v>14:08</x:v>
      </x:c>
      <x:c r="E2481" t="n">
        <x:v>3</x:v>
      </x:c>
      <x:c r="F2481" t="n">
        <x:v>9</x:v>
      </x:c>
      <x:c r="G2481" t="str">
        <x:v>MIN</x:v>
      </x:c>
      <x:c r="H2481" t="str">
        <x:v>DET</x:v>
      </x:c>
      <x:c r="I2481" t="str">
        <x:v>MIN</x:v>
      </x:c>
      <x:c r="J2481" t="n">
        <x:v>74</x:v>
      </x:c>
      <x:c r="K2481" t="str">
        <x:v>(14:08) (Shotgun) 12-M.Brosmer sacked at MIN 19 for -7 yards (34-A.Anzalone).</x:v>
      </x:c>
      <x:c r="L2481" t="str">
        <x:v>pass</x:v>
      </x:c>
      <x:c r="M2481" t="n">
        <x:v>-7</x:v>
      </x:c>
      <x:c r="N2481" t="n">
        <x:v>1</x:v>
      </x:c>
      <x:c r="O2481" t="n">
        <x:v>0</x:v>
      </x:c>
      <x:c r="P2481"/>
      <x:c r="Q2481"/>
      <x:c r="R2481"/>
      <x:c r="S2481"/>
      <x:c r="T2481"/>
      <x:c r="U2481"/>
      <x:c r="V2481" t="n">
        <x:v>0</x:v>
      </x:c>
      <x:c r="W2481" t="n">
        <x:v>0</x:v>
      </x:c>
      <x:c r="X2481" t="n">
        <x:v>1</x:v>
      </x:c>
      <x:c r="Y2481" t="n">
        <x:v>0</x:v>
      </x:c>
      <x:c r="Z2481" t="n">
        <x:v>0</x:v>
      </x:c>
      <x:c r="AA2481" t="n">
        <x:v>0</x:v>
      </x:c>
      <x:c r="AB2481"/>
      <x:c r="AC2481" t="n">
        <x:v>0</x:v>
      </x:c>
      <x:c r="AD2481" t="n">
        <x:v>-2.226402497384697</x:v>
      </x:c>
      <x:c r="AE2481" t="n">
        <x:v>0</x:v>
      </x:c>
      <x:c r="AF2481" t="n">
        <x:v>-0.04400774836540222</x:v>
      </x:c>
      <x:c r="AG2481" t="n">
        <x:f>_xlfn.XLOOKUP($A2481,Games!$A$2:$A$18,Games!$B$2:$B$18,"Missing game",0)</x:f>
        <x:v>2025</x:v>
      </x:c>
      <x:c r="AH2481" t="str">
        <x:f>_xlfn.XLOOKUP($A2481,Games!$A$2:$A$18,Games!$C$2:$C$18,"Missing game",0)</x:f>
        <x:v>REG</x:v>
      </x:c>
      <x:c r="AI2481" t="n">
        <x:f>_xlfn.XLOOKUP($A2481,Games!$A$2:$A$18,Games!$D$2:$D$18,"Missing game",0)</x:f>
        <x:v>17</x:v>
      </x:c>
      <x:c r="AJ2481" s="1" t="n">
        <x:f>_xlfn.XLOOKUP($A2481,Games!$A$2:$A$18,Games!$E$2:$E$18,"Missing game",0)</x:f>
        <x:v>46016</x:v>
      </x:c>
      <x:c r="AK2481" t="str">
        <x:f>_xlfn.XLOOKUP($A2481,Games!$A$2:$A$18,Games!$F$2:$F$18,"Missing game",0)</x:f>
        <x:v>Thursday</x:v>
      </x:c>
      <x:c r="AL2481" t="str">
        <x:f>_xlfn.XLOOKUP($A2481,Games!$A$2:$A$18,Games!$G$2:$G$18,"Missing game",0)</x:f>
        <x:v>DET</x:v>
      </x:c>
      <x:c r="AM2481" t="n">
        <x:f>_xlfn.XLOOKUP($A2481,Games!$A$2:$A$18,Games!$H$2:$H$18,"Missing game",0)</x:f>
        <x:v>10</x:v>
      </x:c>
      <x:c r="AN2481" t="str">
        <x:f>_xlfn.XLOOKUP($A2481,Games!$A$2:$A$18,Games!$I$2:$I$18,"Missing game",0)</x:f>
        <x:v>MIN</x:v>
      </x:c>
      <x:c r="AO2481" t="n">
        <x:f>_xlfn.XLOOKUP($A2481,Games!$A$2:$A$18,Games!$J$2:$J$18,"Missing game",0)</x:f>
        <x:v>23</x:v>
      </x:c>
      <x:c r="AP2481" t="n">
        <x:f>_xlfn.XLOOKUP($A2481,Games!$A$2:$A$18,Games!$K$2:$K$18,"Missing game",0)</x:f>
        <x:v>13</x:v>
      </x:c>
      <x:c r="AQ2481" t="n">
        <x:f>_xlfn.XLOOKUP($A2481,Games!$A$2:$A$18,Games!$L$2:$L$18,"Missing game",0)</x:f>
        <x:v>33</x:v>
      </x:c>
      <x:c r="AR2481" t="n">
        <x:f>_xlfn.XLOOKUP($A2481,Games!$A$2:$A$18,Games!$M$2:$M$18,"Missing game",0)</x:f>
        <x:v>0</x:v>
      </x:c>
      <x:c r="AS2481" t="str">
        <x:f>_xlfn.XLOOKUP($A2481,Games!$A$2:$A$18,Games!$N$2:$N$18,"Missing game",0)</x:f>
        <x:v>dome</x:v>
      </x:c>
      <x:c r="AT2481" t="str">
        <x:f>_xlfn.XLOOKUP($A2481,Games!$A$2:$A$18,Games!$O$2:$O$18,"Missing game",0)</x:f>
        <x:v>sportturf</x:v>
      </x:c>
      <x:c r="AU2481" t="str">
        <x:f>_xlfn.XLOOKUP($A2481,Games!$A$2:$A$18,Games!$P$2:$P$18,"Missing game",0)</x:f>
      </x:c>
      <x:c r="AV2481" t="str">
        <x:f>_xlfn.XLOOKUP($A2481,Games!$A$2:$A$18,Games!$Q$2:$Q$18,"Missing game",0)</x:f>
      </x:c>
      <x:c r="AW2481" t="str">
        <x:f>_xlfn.XLOOKUP($A2481,Games!$A$2:$A$18,Games!$R$2:$R$18,"Missing game",0)</x:f>
        <x:v>U.S. Bank Stadium</x:v>
      </x:c>
    </x:row>
    <x:row r="2482">
      <x:c r="A2482" t="str">
        <x:v>2025_17_DET_MIN</x:v>
      </x:c>
      <x:c r="B2482" t="n">
        <x:v>137</x:v>
      </x:c>
      <x:c r="C2482" t="n">
        <x:v>1</x:v>
      </x:c>
      <x:c r="D2482" t="str">
        <x:v>13:32</x:v>
      </x:c>
      <x:c r="E2482" t="n">
        <x:v>4</x:v>
      </x:c>
      <x:c r="F2482" t="n">
        <x:v>16</x:v>
      </x:c>
      <x:c r="G2482" t="str">
        <x:v>MIN</x:v>
      </x:c>
      <x:c r="H2482" t="str">
        <x:v>DET</x:v>
      </x:c>
      <x:c r="I2482" t="str">
        <x:v>MIN</x:v>
      </x:c>
      <x:c r="J2482" t="n">
        <x:v>81</x:v>
      </x:c>
      <x:c r="K2482" t="str">
        <x:v>(13:32) 17-R.Wright punts 48 yards to DET 33, Center-42-A.DePaola. 11-K.Raymond to DET 37 for 4 yards (40-S.Takitaki; 32-T.Chandler).</x:v>
      </x:c>
      <x:c r="L2482" t="str">
        <x:v>punt</x:v>
      </x:c>
      <x:c r="M2482" t="n">
        <x:v>0</x:v>
      </x:c>
      <x:c r="N2482" t="n">
        <x:v>0</x:v>
      </x:c>
      <x:c r="O2482" t="n">
        <x:v>0</x:v>
      </x:c>
      <x:c r="P2482"/>
      <x:c r="Q2482"/>
      <x:c r="R2482"/>
      <x:c r="S2482"/>
      <x:c r="T2482"/>
      <x:c r="U2482"/>
      <x:c r="V2482" t="n">
        <x:v>0</x:v>
      </x:c>
      <x:c r="W2482" t="n">
        <x:v>0</x:v>
      </x:c>
      <x:c r="X2482" t="n">
        <x:v>0</x:v>
      </x:c>
      <x:c r="Y2482" t="n">
        <x:v>0</x:v>
      </x:c>
      <x:c r="Z2482" t="n">
        <x:v>0</x:v>
      </x:c>
      <x:c r="AA2482" t="n">
        <x:v>0</x:v>
      </x:c>
      <x:c r="AB2482"/>
      <x:c r="AC2482" t="n">
        <x:v>0</x:v>
      </x:c>
      <x:c r="AD2482" t="n">
        <x:v>-0.05963797541335225</x:v>
      </x:c>
      <x:c r="AE2482" t="n">
        <x:v>0</x:v>
      </x:c>
      <x:c r="AF2482" t="n">
        <x:v>0.023254424333572388</x:v>
      </x:c>
      <x:c r="AG2482" t="n">
        <x:f>_xlfn.XLOOKUP($A2482,Games!$A$2:$A$18,Games!$B$2:$B$18,"Missing game",0)</x:f>
        <x:v>2025</x:v>
      </x:c>
      <x:c r="AH2482" t="str">
        <x:f>_xlfn.XLOOKUP($A2482,Games!$A$2:$A$18,Games!$C$2:$C$18,"Missing game",0)</x:f>
        <x:v>REG</x:v>
      </x:c>
      <x:c r="AI2482" t="n">
        <x:f>_xlfn.XLOOKUP($A2482,Games!$A$2:$A$18,Games!$D$2:$D$18,"Missing game",0)</x:f>
        <x:v>17</x:v>
      </x:c>
      <x:c r="AJ2482" s="1" t="n">
        <x:f>_xlfn.XLOOKUP($A2482,Games!$A$2:$A$18,Games!$E$2:$E$18,"Missing game",0)</x:f>
        <x:v>46016</x:v>
      </x:c>
      <x:c r="AK2482" t="str">
        <x:f>_xlfn.XLOOKUP($A2482,Games!$A$2:$A$18,Games!$F$2:$F$18,"Missing game",0)</x:f>
        <x:v>Thursday</x:v>
      </x:c>
      <x:c r="AL2482" t="str">
        <x:f>_xlfn.XLOOKUP($A2482,Games!$A$2:$A$18,Games!$G$2:$G$18,"Missing game",0)</x:f>
        <x:v>DET</x:v>
      </x:c>
      <x:c r="AM2482" t="n">
        <x:f>_xlfn.XLOOKUP($A2482,Games!$A$2:$A$18,Games!$H$2:$H$18,"Missing game",0)</x:f>
        <x:v>10</x:v>
      </x:c>
      <x:c r="AN2482" t="str">
        <x:f>_xlfn.XLOOKUP($A2482,Games!$A$2:$A$18,Games!$I$2:$I$18,"Missing game",0)</x:f>
        <x:v>MIN</x:v>
      </x:c>
      <x:c r="AO2482" t="n">
        <x:f>_xlfn.XLOOKUP($A2482,Games!$A$2:$A$18,Games!$J$2:$J$18,"Missing game",0)</x:f>
        <x:v>23</x:v>
      </x:c>
      <x:c r="AP2482" t="n">
        <x:f>_xlfn.XLOOKUP($A2482,Games!$A$2:$A$18,Games!$K$2:$K$18,"Missing game",0)</x:f>
        <x:v>13</x:v>
      </x:c>
      <x:c r="AQ2482" t="n">
        <x:f>_xlfn.XLOOKUP($A2482,Games!$A$2:$A$18,Games!$L$2:$L$18,"Missing game",0)</x:f>
        <x:v>33</x:v>
      </x:c>
      <x:c r="AR2482" t="n">
        <x:f>_xlfn.XLOOKUP($A2482,Games!$A$2:$A$18,Games!$M$2:$M$18,"Missing game",0)</x:f>
        <x:v>0</x:v>
      </x:c>
      <x:c r="AS2482" t="str">
        <x:f>_xlfn.XLOOKUP($A2482,Games!$A$2:$A$18,Games!$N$2:$N$18,"Missing game",0)</x:f>
        <x:v>dome</x:v>
      </x:c>
      <x:c r="AT2482" t="str">
        <x:f>_xlfn.XLOOKUP($A2482,Games!$A$2:$A$18,Games!$O$2:$O$18,"Missing game",0)</x:f>
        <x:v>sportturf</x:v>
      </x:c>
      <x:c r="AU2482" t="str">
        <x:f>_xlfn.XLOOKUP($A2482,Games!$A$2:$A$18,Games!$P$2:$P$18,"Missing game",0)</x:f>
      </x:c>
      <x:c r="AV2482" t="str">
        <x:f>_xlfn.XLOOKUP($A2482,Games!$A$2:$A$18,Games!$Q$2:$Q$18,"Missing game",0)</x:f>
      </x:c>
      <x:c r="AW2482" t="str">
        <x:f>_xlfn.XLOOKUP($A2482,Games!$A$2:$A$18,Games!$R$2:$R$18,"Missing game",0)</x:f>
        <x:v>U.S. Bank Stadium</x:v>
      </x:c>
    </x:row>
    <x:row r="2483">
      <x:c r="A2483" t="str">
        <x:v>2025_17_DET_MIN</x:v>
      </x:c>
      <x:c r="B2483" t="n">
        <x:v>163</x:v>
      </x:c>
      <x:c r="C2483" t="n">
        <x:v>1</x:v>
      </x:c>
      <x:c r="D2483" t="str">
        <x:v>13:23</x:v>
      </x:c>
      <x:c r="E2483" t="n">
        <x:v>1</x:v>
      </x:c>
      <x:c r="F2483" t="n">
        <x:v>10</x:v>
      </x:c>
      <x:c r="G2483" t="str">
        <x:v>DET</x:v>
      </x:c>
      <x:c r="H2483" t="str">
        <x:v>MIN</x:v>
      </x:c>
      <x:c r="I2483" t="str">
        <x:v>DET</x:v>
      </x:c>
      <x:c r="J2483" t="n">
        <x:v>63</x:v>
      </x:c>
      <x:c r="K2483" t="str">
        <x:v>(13:23) 16-J.Goff pass short right to 14-A.St. Brown pushed ob at DET 48 for 11 yards (24-J.Ward).</x:v>
      </x:c>
      <x:c r="L2483" t="str">
        <x:v>pass</x:v>
      </x:c>
      <x:c r="M2483" t="n">
        <x:v>11</x:v>
      </x:c>
      <x:c r="N2483" t="n">
        <x:v>0</x:v>
      </x:c>
      <x:c r="O2483" t="n">
        <x:v>0</x:v>
      </x:c>
      <x:c r="P2483" t="str">
        <x:v>short</x:v>
      </x:c>
      <x:c r="Q2483" t="str">
        <x:v>right</x:v>
      </x:c>
      <x:c r="R2483" t="n">
        <x:v>3</x:v>
      </x:c>
      <x:c r="S2483" t="n">
        <x:v>8</x:v>
      </x:c>
      <x:c r="T2483"/>
      <x:c r="U2483"/>
      <x:c r="V2483" t="n">
        <x:v>1</x:v>
      </x:c>
      <x:c r="W2483" t="n">
        <x:v>1</x:v>
      </x:c>
      <x:c r="X2483" t="n">
        <x:v>0</x:v>
      </x:c>
      <x:c r="Y2483" t="n">
        <x:v>0</x:v>
      </x:c>
      <x:c r="Z2483" t="n">
        <x:v>0</x:v>
      </x:c>
      <x:c r="AA2483" t="n">
        <x:v>0</x:v>
      </x:c>
      <x:c r="AB2483"/>
      <x:c r="AC2483" t="n">
        <x:v>0</x:v>
      </x:c>
      <x:c r="AD2483" t="n">
        <x:v>0.7695077364332974</x:v>
      </x:c>
      <x:c r="AE2483" t="n">
        <x:v>1</x:v>
      </x:c>
      <x:c r="AF2483" t="n">
        <x:v>0.025201082229614258</x:v>
      </x:c>
      <x:c r="AG2483" t="n">
        <x:f>_xlfn.XLOOKUP($A2483,Games!$A$2:$A$18,Games!$B$2:$B$18,"Missing game",0)</x:f>
        <x:v>2025</x:v>
      </x:c>
      <x:c r="AH2483" t="str">
        <x:f>_xlfn.XLOOKUP($A2483,Games!$A$2:$A$18,Games!$C$2:$C$18,"Missing game",0)</x:f>
        <x:v>REG</x:v>
      </x:c>
      <x:c r="AI2483" t="n">
        <x:f>_xlfn.XLOOKUP($A2483,Games!$A$2:$A$18,Games!$D$2:$D$18,"Missing game",0)</x:f>
        <x:v>17</x:v>
      </x:c>
      <x:c r="AJ2483" s="1" t="n">
        <x:f>_xlfn.XLOOKUP($A2483,Games!$A$2:$A$18,Games!$E$2:$E$18,"Missing game",0)</x:f>
        <x:v>46016</x:v>
      </x:c>
      <x:c r="AK2483" t="str">
        <x:f>_xlfn.XLOOKUP($A2483,Games!$A$2:$A$18,Games!$F$2:$F$18,"Missing game",0)</x:f>
        <x:v>Thursday</x:v>
      </x:c>
      <x:c r="AL2483" t="str">
        <x:f>_xlfn.XLOOKUP($A2483,Games!$A$2:$A$18,Games!$G$2:$G$18,"Missing game",0)</x:f>
        <x:v>DET</x:v>
      </x:c>
      <x:c r="AM2483" t="n">
        <x:f>_xlfn.XLOOKUP($A2483,Games!$A$2:$A$18,Games!$H$2:$H$18,"Missing game",0)</x:f>
        <x:v>10</x:v>
      </x:c>
      <x:c r="AN2483" t="str">
        <x:f>_xlfn.XLOOKUP($A2483,Games!$A$2:$A$18,Games!$I$2:$I$18,"Missing game",0)</x:f>
        <x:v>MIN</x:v>
      </x:c>
      <x:c r="AO2483" t="n">
        <x:f>_xlfn.XLOOKUP($A2483,Games!$A$2:$A$18,Games!$J$2:$J$18,"Missing game",0)</x:f>
        <x:v>23</x:v>
      </x:c>
      <x:c r="AP2483" t="n">
        <x:f>_xlfn.XLOOKUP($A2483,Games!$A$2:$A$18,Games!$K$2:$K$18,"Missing game",0)</x:f>
        <x:v>13</x:v>
      </x:c>
      <x:c r="AQ2483" t="n">
        <x:f>_xlfn.XLOOKUP($A2483,Games!$A$2:$A$18,Games!$L$2:$L$18,"Missing game",0)</x:f>
        <x:v>33</x:v>
      </x:c>
      <x:c r="AR2483" t="n">
        <x:f>_xlfn.XLOOKUP($A2483,Games!$A$2:$A$18,Games!$M$2:$M$18,"Missing game",0)</x:f>
        <x:v>0</x:v>
      </x:c>
      <x:c r="AS2483" t="str">
        <x:f>_xlfn.XLOOKUP($A2483,Games!$A$2:$A$18,Games!$N$2:$N$18,"Missing game",0)</x:f>
        <x:v>dome</x:v>
      </x:c>
      <x:c r="AT2483" t="str">
        <x:f>_xlfn.XLOOKUP($A2483,Games!$A$2:$A$18,Games!$O$2:$O$18,"Missing game",0)</x:f>
        <x:v>sportturf</x:v>
      </x:c>
      <x:c r="AU2483" t="str">
        <x:f>_xlfn.XLOOKUP($A2483,Games!$A$2:$A$18,Games!$P$2:$P$18,"Missing game",0)</x:f>
      </x:c>
      <x:c r="AV2483" t="str">
        <x:f>_xlfn.XLOOKUP($A2483,Games!$A$2:$A$18,Games!$Q$2:$Q$18,"Missing game",0)</x:f>
      </x:c>
      <x:c r="AW2483" t="str">
        <x:f>_xlfn.XLOOKUP($A2483,Games!$A$2:$A$18,Games!$R$2:$R$18,"Missing game",0)</x:f>
        <x:v>U.S. Bank Stadium</x:v>
      </x:c>
    </x:row>
    <x:row r="2484">
      <x:c r="A2484" t="str">
        <x:v>2025_17_DET_MIN</x:v>
      </x:c>
      <x:c r="B2484" t="n">
        <x:v>193</x:v>
      </x:c>
      <x:c r="C2484" t="n">
        <x:v>1</x:v>
      </x:c>
      <x:c r="D2484" t="str">
        <x:v>12:52</x:v>
      </x:c>
      <x:c r="E2484" t="n">
        <x:v>1</x:v>
      </x:c>
      <x:c r="F2484" t="n">
        <x:v>10</x:v>
      </x:c>
      <x:c r="G2484" t="str">
        <x:v>DET</x:v>
      </x:c>
      <x:c r="H2484" t="str">
        <x:v>MIN</x:v>
      </x:c>
      <x:c r="I2484" t="str">
        <x:v>DET</x:v>
      </x:c>
      <x:c r="J2484" t="n">
        <x:v>52</x:v>
      </x:c>
      <x:c r="K2484" t="str">
        <x:v>(12:52) 0-J.Gibbs left tackle to MIN 48 for 4 yards (50-L.Rodriguez).</x:v>
      </x:c>
      <x:c r="L2484" t="str">
        <x:v>run</x:v>
      </x:c>
      <x:c r="M2484" t="n">
        <x:v>4</x:v>
      </x:c>
      <x:c r="N2484" t="n">
        <x:v>0</x:v>
      </x:c>
      <x:c r="O2484" t="n">
        <x:v>0</x:v>
      </x:c>
      <x:c r="P2484"/>
      <x:c r="Q2484"/>
      <x:c r="R2484"/>
      <x:c r="S2484"/>
      <x:c r="T2484" t="str">
        <x:v>left</x:v>
      </x:c>
      <x:c r="U2484" t="str">
        <x:v>tackle</x:v>
      </x:c>
      <x:c r="V2484" t="n">
        <x:v>0</x:v>
      </x:c>
      <x:c r="W2484" t="n">
        <x:v>0</x:v>
      </x:c>
      <x:c r="X2484" t="n">
        <x:v>0</x:v>
      </x:c>
      <x:c r="Y2484" t="n">
        <x:v>0</x:v>
      </x:c>
      <x:c r="Z2484" t="n">
        <x:v>0</x:v>
      </x:c>
      <x:c r="AA2484" t="n">
        <x:v>0</x:v>
      </x:c>
      <x:c r="AB2484"/>
      <x:c r="AC2484" t="n">
        <x:v>0</x:v>
      </x:c>
      <x:c r="AD2484" t="n">
        <x:v>-0.20323916128836572</x:v>
      </x:c>
      <x:c r="AE2484" t="n">
        <x:v>0</x:v>
      </x:c>
      <x:c r="AF2484" t="n">
        <x:v>-0.010336041450500488</x:v>
      </x:c>
      <x:c r="AG2484" t="n">
        <x:f>_xlfn.XLOOKUP($A2484,Games!$A$2:$A$18,Games!$B$2:$B$18,"Missing game",0)</x:f>
        <x:v>2025</x:v>
      </x:c>
      <x:c r="AH2484" t="str">
        <x:f>_xlfn.XLOOKUP($A2484,Games!$A$2:$A$18,Games!$C$2:$C$18,"Missing game",0)</x:f>
        <x:v>REG</x:v>
      </x:c>
      <x:c r="AI2484" t="n">
        <x:f>_xlfn.XLOOKUP($A2484,Games!$A$2:$A$18,Games!$D$2:$D$18,"Missing game",0)</x:f>
        <x:v>17</x:v>
      </x:c>
      <x:c r="AJ2484" s="1" t="n">
        <x:f>_xlfn.XLOOKUP($A2484,Games!$A$2:$A$18,Games!$E$2:$E$18,"Missing game",0)</x:f>
        <x:v>46016</x:v>
      </x:c>
      <x:c r="AK2484" t="str">
        <x:f>_xlfn.XLOOKUP($A2484,Games!$A$2:$A$18,Games!$F$2:$F$18,"Missing game",0)</x:f>
        <x:v>Thursday</x:v>
      </x:c>
      <x:c r="AL2484" t="str">
        <x:f>_xlfn.XLOOKUP($A2484,Games!$A$2:$A$18,Games!$G$2:$G$18,"Missing game",0)</x:f>
        <x:v>DET</x:v>
      </x:c>
      <x:c r="AM2484" t="n">
        <x:f>_xlfn.XLOOKUP($A2484,Games!$A$2:$A$18,Games!$H$2:$H$18,"Missing game",0)</x:f>
        <x:v>10</x:v>
      </x:c>
      <x:c r="AN2484" t="str">
        <x:f>_xlfn.XLOOKUP($A2484,Games!$A$2:$A$18,Games!$I$2:$I$18,"Missing game",0)</x:f>
        <x:v>MIN</x:v>
      </x:c>
      <x:c r="AO2484" t="n">
        <x:f>_xlfn.XLOOKUP($A2484,Games!$A$2:$A$18,Games!$J$2:$J$18,"Missing game",0)</x:f>
        <x:v>23</x:v>
      </x:c>
      <x:c r="AP2484" t="n">
        <x:f>_xlfn.XLOOKUP($A2484,Games!$A$2:$A$18,Games!$K$2:$K$18,"Missing game",0)</x:f>
        <x:v>13</x:v>
      </x:c>
      <x:c r="AQ2484" t="n">
        <x:f>_xlfn.XLOOKUP($A2484,Games!$A$2:$A$18,Games!$L$2:$L$18,"Missing game",0)</x:f>
        <x:v>33</x:v>
      </x:c>
      <x:c r="AR2484" t="n">
        <x:f>_xlfn.XLOOKUP($A2484,Games!$A$2:$A$18,Games!$M$2:$M$18,"Missing game",0)</x:f>
        <x:v>0</x:v>
      </x:c>
      <x:c r="AS2484" t="str">
        <x:f>_xlfn.XLOOKUP($A2484,Games!$A$2:$A$18,Games!$N$2:$N$18,"Missing game",0)</x:f>
        <x:v>dome</x:v>
      </x:c>
      <x:c r="AT2484" t="str">
        <x:f>_xlfn.XLOOKUP($A2484,Games!$A$2:$A$18,Games!$O$2:$O$18,"Missing game",0)</x:f>
        <x:v>sportturf</x:v>
      </x:c>
      <x:c r="AU2484" t="str">
        <x:f>_xlfn.XLOOKUP($A2484,Games!$A$2:$A$18,Games!$P$2:$P$18,"Missing game",0)</x:f>
      </x:c>
      <x:c r="AV2484" t="str">
        <x:f>_xlfn.XLOOKUP($A2484,Games!$A$2:$A$18,Games!$Q$2:$Q$18,"Missing game",0)</x:f>
      </x:c>
      <x:c r="AW2484" t="str">
        <x:f>_xlfn.XLOOKUP($A2484,Games!$A$2:$A$18,Games!$R$2:$R$18,"Missing game",0)</x:f>
        <x:v>U.S. Bank Stadium</x:v>
      </x:c>
    </x:row>
    <x:row r="2485">
      <x:c r="A2485" t="str">
        <x:v>2025_17_DET_MIN</x:v>
      </x:c>
      <x:c r="B2485" t="n">
        <x:v>215</x:v>
      </x:c>
      <x:c r="C2485" t="n">
        <x:v>1</x:v>
      </x:c>
      <x:c r="D2485" t="str">
        <x:v>12:15</x:v>
      </x:c>
      <x:c r="E2485" t="n">
        <x:v>2</x:v>
      </x:c>
      <x:c r="F2485" t="n">
        <x:v>6</x:v>
      </x:c>
      <x:c r="G2485" t="str">
        <x:v>DET</x:v>
      </x:c>
      <x:c r="H2485" t="str">
        <x:v>MIN</x:v>
      </x:c>
      <x:c r="I2485" t="str">
        <x:v>MIN</x:v>
      </x:c>
      <x:c r="J2485" t="n">
        <x:v>48</x:v>
      </x:c>
      <x:c r="K2485" t="str">
        <x:v>(12:15) (Shotgun) 16-J.Goff sacked at DET 45 for -7 yards (22-H.Smith).</x:v>
      </x:c>
      <x:c r="L2485" t="str">
        <x:v>pass</x:v>
      </x:c>
      <x:c r="M2485" t="n">
        <x:v>-7</x:v>
      </x:c>
      <x:c r="N2485" t="n">
        <x:v>1</x:v>
      </x:c>
      <x:c r="O2485" t="n">
        <x:v>0</x:v>
      </x:c>
      <x:c r="P2485"/>
      <x:c r="Q2485"/>
      <x:c r="R2485"/>
      <x:c r="S2485"/>
      <x:c r="T2485"/>
      <x:c r="U2485"/>
      <x:c r="V2485" t="n">
        <x:v>0</x:v>
      </x:c>
      <x:c r="W2485" t="n">
        <x:v>0</x:v>
      </x:c>
      <x:c r="X2485" t="n">
        <x:v>1</x:v>
      </x:c>
      <x:c r="Y2485" t="n">
        <x:v>0</x:v>
      </x:c>
      <x:c r="Z2485" t="n">
        <x:v>0</x:v>
      </x:c>
      <x:c r="AA2485" t="n">
        <x:v>0</x:v>
      </x:c>
      <x:c r="AB2485"/>
      <x:c r="AC2485" t="n">
        <x:v>0</x:v>
      </x:c>
      <x:c r="AD2485" t="n">
        <x:v>-1.9544836573768407</x:v>
      </x:c>
      <x:c r="AE2485" t="n">
        <x:v>0</x:v>
      </x:c>
      <x:c r="AF2485" t="n">
        <x:v>-0.06176328659057617</x:v>
      </x:c>
      <x:c r="AG2485" t="n">
        <x:f>_xlfn.XLOOKUP($A2485,Games!$A$2:$A$18,Games!$B$2:$B$18,"Missing game",0)</x:f>
        <x:v>2025</x:v>
      </x:c>
      <x:c r="AH2485" t="str">
        <x:f>_xlfn.XLOOKUP($A2485,Games!$A$2:$A$18,Games!$C$2:$C$18,"Missing game",0)</x:f>
        <x:v>REG</x:v>
      </x:c>
      <x:c r="AI2485" t="n">
        <x:f>_xlfn.XLOOKUP($A2485,Games!$A$2:$A$18,Games!$D$2:$D$18,"Missing game",0)</x:f>
        <x:v>17</x:v>
      </x:c>
      <x:c r="AJ2485" s="1" t="n">
        <x:f>_xlfn.XLOOKUP($A2485,Games!$A$2:$A$18,Games!$E$2:$E$18,"Missing game",0)</x:f>
        <x:v>46016</x:v>
      </x:c>
      <x:c r="AK2485" t="str">
        <x:f>_xlfn.XLOOKUP($A2485,Games!$A$2:$A$18,Games!$F$2:$F$18,"Missing game",0)</x:f>
        <x:v>Thursday</x:v>
      </x:c>
      <x:c r="AL2485" t="str">
        <x:f>_xlfn.XLOOKUP($A2485,Games!$A$2:$A$18,Games!$G$2:$G$18,"Missing game",0)</x:f>
        <x:v>DET</x:v>
      </x:c>
      <x:c r="AM2485" t="n">
        <x:f>_xlfn.XLOOKUP($A2485,Games!$A$2:$A$18,Games!$H$2:$H$18,"Missing game",0)</x:f>
        <x:v>10</x:v>
      </x:c>
      <x:c r="AN2485" t="str">
        <x:f>_xlfn.XLOOKUP($A2485,Games!$A$2:$A$18,Games!$I$2:$I$18,"Missing game",0)</x:f>
        <x:v>MIN</x:v>
      </x:c>
      <x:c r="AO2485" t="n">
        <x:f>_xlfn.XLOOKUP($A2485,Games!$A$2:$A$18,Games!$J$2:$J$18,"Missing game",0)</x:f>
        <x:v>23</x:v>
      </x:c>
      <x:c r="AP2485" t="n">
        <x:f>_xlfn.XLOOKUP($A2485,Games!$A$2:$A$18,Games!$K$2:$K$18,"Missing game",0)</x:f>
        <x:v>13</x:v>
      </x:c>
      <x:c r="AQ2485" t="n">
        <x:f>_xlfn.XLOOKUP($A2485,Games!$A$2:$A$18,Games!$L$2:$L$18,"Missing game",0)</x:f>
        <x:v>33</x:v>
      </x:c>
      <x:c r="AR2485" t="n">
        <x:f>_xlfn.XLOOKUP($A2485,Games!$A$2:$A$18,Games!$M$2:$M$18,"Missing game",0)</x:f>
        <x:v>0</x:v>
      </x:c>
      <x:c r="AS2485" t="str">
        <x:f>_xlfn.XLOOKUP($A2485,Games!$A$2:$A$18,Games!$N$2:$N$18,"Missing game",0)</x:f>
        <x:v>dome</x:v>
      </x:c>
      <x:c r="AT2485" t="str">
        <x:f>_xlfn.XLOOKUP($A2485,Games!$A$2:$A$18,Games!$O$2:$O$18,"Missing game",0)</x:f>
        <x:v>sportturf</x:v>
      </x:c>
      <x:c r="AU2485" t="str">
        <x:f>_xlfn.XLOOKUP($A2485,Games!$A$2:$A$18,Games!$P$2:$P$18,"Missing game",0)</x:f>
      </x:c>
      <x:c r="AV2485" t="str">
        <x:f>_xlfn.XLOOKUP($A2485,Games!$A$2:$A$18,Games!$Q$2:$Q$18,"Missing game",0)</x:f>
      </x:c>
      <x:c r="AW2485" t="str">
        <x:f>_xlfn.XLOOKUP($A2485,Games!$A$2:$A$18,Games!$R$2:$R$18,"Missing game",0)</x:f>
        <x:v>U.S. Bank Stadium</x:v>
      </x:c>
    </x:row>
    <x:row r="2486">
      <x:c r="A2486" t="str">
        <x:v>2025_17_DET_MIN</x:v>
      </x:c>
      <x:c r="B2486" t="n">
        <x:v>235</x:v>
      </x:c>
      <x:c r="C2486" t="n">
        <x:v>1</x:v>
      </x:c>
      <x:c r="D2486" t="str">
        <x:v>11:39</x:v>
      </x:c>
      <x:c r="E2486" t="n">
        <x:v>3</x:v>
      </x:c>
      <x:c r="F2486" t="n">
        <x:v>13</x:v>
      </x:c>
      <x:c r="G2486" t="str">
        <x:v>DET</x:v>
      </x:c>
      <x:c r="H2486" t="str">
        <x:v>MIN</x:v>
      </x:c>
      <x:c r="I2486" t="str">
        <x:v>DET</x:v>
      </x:c>
      <x:c r="J2486" t="n">
        <x:v>55</x:v>
      </x:c>
      <x:c r="K2486" t="str">
        <x:v>(11:39) (Shotgun) 16-J.Goff pass short left to 0-J.Gibbs to MIN 45 for 10 yards (51-B.Cashman).</x:v>
      </x:c>
      <x:c r="L2486" t="str">
        <x:v>pass</x:v>
      </x:c>
      <x:c r="M2486" t="n">
        <x:v>10</x:v>
      </x:c>
      <x:c r="N2486" t="n">
        <x:v>1</x:v>
      </x:c>
      <x:c r="O2486" t="n">
        <x:v>0</x:v>
      </x:c>
      <x:c r="P2486" t="str">
        <x:v>short</x:v>
      </x:c>
      <x:c r="Q2486" t="str">
        <x:v>left</x:v>
      </x:c>
      <x:c r="R2486" t="n">
        <x:v>0</x:v>
      </x:c>
      <x:c r="S2486" t="n">
        <x:v>10</x:v>
      </x:c>
      <x:c r="T2486"/>
      <x:c r="U2486"/>
      <x:c r="V2486" t="n">
        <x:v>1</x:v>
      </x:c>
      <x:c r="W2486" t="n">
        <x:v>0</x:v>
      </x:c>
      <x:c r="X2486" t="n">
        <x:v>0</x:v>
      </x:c>
      <x:c r="Y2486" t="n">
        <x:v>0</x:v>
      </x:c>
      <x:c r="Z2486" t="n">
        <x:v>0</x:v>
      </x:c>
      <x:c r="AA2486" t="n">
        <x:v>0</x:v>
      </x:c>
      <x:c r="AB2486"/>
      <x:c r="AC2486" t="n">
        <x:v>0</x:v>
      </x:c>
      <x:c r="AD2486" t="n">
        <x:v>-0.29935396020300686</x:v>
      </x:c>
      <x:c r="AE2486" t="n">
        <x:v>0</x:v>
      </x:c>
      <x:c r="AF2486" t="n">
        <x:v>0.006004959344863892</x:v>
      </x:c>
      <x:c r="AG2486" t="n">
        <x:f>_xlfn.XLOOKUP($A2486,Games!$A$2:$A$18,Games!$B$2:$B$18,"Missing game",0)</x:f>
        <x:v>2025</x:v>
      </x:c>
      <x:c r="AH2486" t="str">
        <x:f>_xlfn.XLOOKUP($A2486,Games!$A$2:$A$18,Games!$C$2:$C$18,"Missing game",0)</x:f>
        <x:v>REG</x:v>
      </x:c>
      <x:c r="AI2486" t="n">
        <x:f>_xlfn.XLOOKUP($A2486,Games!$A$2:$A$18,Games!$D$2:$D$18,"Missing game",0)</x:f>
        <x:v>17</x:v>
      </x:c>
      <x:c r="AJ2486" s="1" t="n">
        <x:f>_xlfn.XLOOKUP($A2486,Games!$A$2:$A$18,Games!$E$2:$E$18,"Missing game",0)</x:f>
        <x:v>46016</x:v>
      </x:c>
      <x:c r="AK2486" t="str">
        <x:f>_xlfn.XLOOKUP($A2486,Games!$A$2:$A$18,Games!$F$2:$F$18,"Missing game",0)</x:f>
        <x:v>Thursday</x:v>
      </x:c>
      <x:c r="AL2486" t="str">
        <x:f>_xlfn.XLOOKUP($A2486,Games!$A$2:$A$18,Games!$G$2:$G$18,"Missing game",0)</x:f>
        <x:v>DET</x:v>
      </x:c>
      <x:c r="AM2486" t="n">
        <x:f>_xlfn.XLOOKUP($A2486,Games!$A$2:$A$18,Games!$H$2:$H$18,"Missing game",0)</x:f>
        <x:v>10</x:v>
      </x:c>
      <x:c r="AN2486" t="str">
        <x:f>_xlfn.XLOOKUP($A2486,Games!$A$2:$A$18,Games!$I$2:$I$18,"Missing game",0)</x:f>
        <x:v>MIN</x:v>
      </x:c>
      <x:c r="AO2486" t="n">
        <x:f>_xlfn.XLOOKUP($A2486,Games!$A$2:$A$18,Games!$J$2:$J$18,"Missing game",0)</x:f>
        <x:v>23</x:v>
      </x:c>
      <x:c r="AP2486" t="n">
        <x:f>_xlfn.XLOOKUP($A2486,Games!$A$2:$A$18,Games!$K$2:$K$18,"Missing game",0)</x:f>
        <x:v>13</x:v>
      </x:c>
      <x:c r="AQ2486" t="n">
        <x:f>_xlfn.XLOOKUP($A2486,Games!$A$2:$A$18,Games!$L$2:$L$18,"Missing game",0)</x:f>
        <x:v>33</x:v>
      </x:c>
      <x:c r="AR2486" t="n">
        <x:f>_xlfn.XLOOKUP($A2486,Games!$A$2:$A$18,Games!$M$2:$M$18,"Missing game",0)</x:f>
        <x:v>0</x:v>
      </x:c>
      <x:c r="AS2486" t="str">
        <x:f>_xlfn.XLOOKUP($A2486,Games!$A$2:$A$18,Games!$N$2:$N$18,"Missing game",0)</x:f>
        <x:v>dome</x:v>
      </x:c>
      <x:c r="AT2486" t="str">
        <x:f>_xlfn.XLOOKUP($A2486,Games!$A$2:$A$18,Games!$O$2:$O$18,"Missing game",0)</x:f>
        <x:v>sportturf</x:v>
      </x:c>
      <x:c r="AU2486" t="str">
        <x:f>_xlfn.XLOOKUP($A2486,Games!$A$2:$A$18,Games!$P$2:$P$18,"Missing game",0)</x:f>
      </x:c>
      <x:c r="AV2486" t="str">
        <x:f>_xlfn.XLOOKUP($A2486,Games!$A$2:$A$18,Games!$Q$2:$Q$18,"Missing game",0)</x:f>
      </x:c>
      <x:c r="AW2486" t="str">
        <x:f>_xlfn.XLOOKUP($A2486,Games!$A$2:$A$18,Games!$R$2:$R$18,"Missing game",0)</x:f>
        <x:v>U.S. Bank Stadium</x:v>
      </x:c>
    </x:row>
    <x:row r="2487">
      <x:c r="A2487" t="str">
        <x:v>2025_17_DET_MIN</x:v>
      </x:c>
      <x:c r="B2487" t="n">
        <x:v>260</x:v>
      </x:c>
      <x:c r="C2487" t="n">
        <x:v>1</x:v>
      </x:c>
      <x:c r="D2487" t="str">
        <x:v>10:53</x:v>
      </x:c>
      <x:c r="E2487" t="n">
        <x:v>4</x:v>
      </x:c>
      <x:c r="F2487" t="n">
        <x:v>3</x:v>
      </x:c>
      <x:c r="G2487" t="str">
        <x:v>DET</x:v>
      </x:c>
      <x:c r="H2487" t="str">
        <x:v>MIN</x:v>
      </x:c>
      <x:c r="I2487" t="str">
        <x:v>MIN</x:v>
      </x:c>
      <x:c r="J2487" t="n">
        <x:v>45</x:v>
      </x:c>
      <x:c r="K2487" t="str">
        <x:v>(10:53) (Shotgun) PENALTY on DET-65-K.Eguakun, False Start, 5 yards, enforced at MIN 45 - No Play.</x:v>
      </x:c>
      <x:c r="L2487" t="str">
        <x:v>no_play</x:v>
      </x:c>
      <x:c r="M2487" t="n">
        <x:v>0</x:v>
      </x:c>
      <x:c r="N2487" t="n">
        <x:v>1</x:v>
      </x:c>
      <x:c r="O2487" t="n">
        <x:v>0</x:v>
      </x:c>
      <x:c r="P2487"/>
      <x:c r="Q2487"/>
      <x:c r="R2487"/>
      <x:c r="S2487"/>
      <x:c r="T2487"/>
      <x:c r="U2487"/>
      <x:c r="V2487" t="n">
        <x:v>0</x:v>
      </x:c>
      <x:c r="W2487" t="n">
        <x:v>0</x:v>
      </x:c>
      <x:c r="X2487" t="n">
        <x:v>0</x:v>
      </x:c>
      <x:c r="Y2487" t="n">
        <x:v>0</x:v>
      </x:c>
      <x:c r="Z2487" t="n">
        <x:v>0</x:v>
      </x:c>
      <x:c r="AA2487" t="n">
        <x:v>1</x:v>
      </x:c>
      <x:c r="AB2487" t="n">
        <x:v>5</x:v>
      </x:c>
      <x:c r="AC2487" t="n">
        <x:v>0</x:v>
      </x:c>
      <x:c r="AD2487" t="n">
        <x:v>-0.6583546500187367</x:v>
      </x:c>
      <x:c r="AE2487" t="n">
        <x:v>0</x:v>
      </x:c>
      <x:c r="AF2487" t="n">
        <x:v>-0.009559601545333862</x:v>
      </x:c>
      <x:c r="AG2487" t="n">
        <x:f>_xlfn.XLOOKUP($A2487,Games!$A$2:$A$18,Games!$B$2:$B$18,"Missing game",0)</x:f>
        <x:v>2025</x:v>
      </x:c>
      <x:c r="AH2487" t="str">
        <x:f>_xlfn.XLOOKUP($A2487,Games!$A$2:$A$18,Games!$C$2:$C$18,"Missing game",0)</x:f>
        <x:v>REG</x:v>
      </x:c>
      <x:c r="AI2487" t="n">
        <x:f>_xlfn.XLOOKUP($A2487,Games!$A$2:$A$18,Games!$D$2:$D$18,"Missing game",0)</x:f>
        <x:v>17</x:v>
      </x:c>
      <x:c r="AJ2487" s="1" t="n">
        <x:f>_xlfn.XLOOKUP($A2487,Games!$A$2:$A$18,Games!$E$2:$E$18,"Missing game",0)</x:f>
        <x:v>46016</x:v>
      </x:c>
      <x:c r="AK2487" t="str">
        <x:f>_xlfn.XLOOKUP($A2487,Games!$A$2:$A$18,Games!$F$2:$F$18,"Missing game",0)</x:f>
        <x:v>Thursday</x:v>
      </x:c>
      <x:c r="AL2487" t="str">
        <x:f>_xlfn.XLOOKUP($A2487,Games!$A$2:$A$18,Games!$G$2:$G$18,"Missing game",0)</x:f>
        <x:v>DET</x:v>
      </x:c>
      <x:c r="AM2487" t="n">
        <x:f>_xlfn.XLOOKUP($A2487,Games!$A$2:$A$18,Games!$H$2:$H$18,"Missing game",0)</x:f>
        <x:v>10</x:v>
      </x:c>
      <x:c r="AN2487" t="str">
        <x:f>_xlfn.XLOOKUP($A2487,Games!$A$2:$A$18,Games!$I$2:$I$18,"Missing game",0)</x:f>
        <x:v>MIN</x:v>
      </x:c>
      <x:c r="AO2487" t="n">
        <x:f>_xlfn.XLOOKUP($A2487,Games!$A$2:$A$18,Games!$J$2:$J$18,"Missing game",0)</x:f>
        <x:v>23</x:v>
      </x:c>
      <x:c r="AP2487" t="n">
        <x:f>_xlfn.XLOOKUP($A2487,Games!$A$2:$A$18,Games!$K$2:$K$18,"Missing game",0)</x:f>
        <x:v>13</x:v>
      </x:c>
      <x:c r="AQ2487" t="n">
        <x:f>_xlfn.XLOOKUP($A2487,Games!$A$2:$A$18,Games!$L$2:$L$18,"Missing game",0)</x:f>
        <x:v>33</x:v>
      </x:c>
      <x:c r="AR2487" t="n">
        <x:f>_xlfn.XLOOKUP($A2487,Games!$A$2:$A$18,Games!$M$2:$M$18,"Missing game",0)</x:f>
        <x:v>0</x:v>
      </x:c>
      <x:c r="AS2487" t="str">
        <x:f>_xlfn.XLOOKUP($A2487,Games!$A$2:$A$18,Games!$N$2:$N$18,"Missing game",0)</x:f>
        <x:v>dome</x:v>
      </x:c>
      <x:c r="AT2487" t="str">
        <x:f>_xlfn.XLOOKUP($A2487,Games!$A$2:$A$18,Games!$O$2:$O$18,"Missing game",0)</x:f>
        <x:v>sportturf</x:v>
      </x:c>
      <x:c r="AU2487" t="str">
        <x:f>_xlfn.XLOOKUP($A2487,Games!$A$2:$A$18,Games!$P$2:$P$18,"Missing game",0)</x:f>
      </x:c>
      <x:c r="AV2487" t="str">
        <x:f>_xlfn.XLOOKUP($A2487,Games!$A$2:$A$18,Games!$Q$2:$Q$18,"Missing game",0)</x:f>
      </x:c>
      <x:c r="AW2487" t="str">
        <x:f>_xlfn.XLOOKUP($A2487,Games!$A$2:$A$18,Games!$R$2:$R$18,"Missing game",0)</x:f>
        <x:v>U.S. Bank Stadium</x:v>
      </x:c>
    </x:row>
    <x:row r="2488">
      <x:c r="A2488" t="str">
        <x:v>2025_17_DET_MIN</x:v>
      </x:c>
      <x:c r="B2488" t="n">
        <x:v>284</x:v>
      </x:c>
      <x:c r="C2488" t="n">
        <x:v>1</x:v>
      </x:c>
      <x:c r="D2488" t="str">
        <x:v>10:42</x:v>
      </x:c>
      <x:c r="E2488" t="n">
        <x:v>4</x:v>
      </x:c>
      <x:c r="F2488" t="n">
        <x:v>8</x:v>
      </x:c>
      <x:c r="G2488" t="str">
        <x:v>DET</x:v>
      </x:c>
      <x:c r="H2488" t="str">
        <x:v>MIN</x:v>
      </x:c>
      <x:c r="I2488" t="str">
        <x:v>50</x:v>
      </x:c>
      <x:c r="J2488" t="n">
        <x:v>50</x:v>
      </x:c>
      <x:c r="K2488" t="str">
        <x:v>(10:42) 3-J.Fox punts 50 yards to end zone, Center-49-H.Hatten, Touchback.</x:v>
      </x:c>
      <x:c r="L2488" t="str">
        <x:v>punt</x:v>
      </x:c>
      <x:c r="M2488" t="n">
        <x:v>0</x:v>
      </x:c>
      <x:c r="N2488" t="n">
        <x:v>0</x:v>
      </x:c>
      <x:c r="O2488" t="n">
        <x:v>0</x:v>
      </x:c>
      <x:c r="P2488"/>
      <x:c r="Q2488"/>
      <x:c r="R2488"/>
      <x:c r="S2488"/>
      <x:c r="T2488"/>
      <x:c r="U2488"/>
      <x:c r="V2488" t="n">
        <x:v>0</x:v>
      </x:c>
      <x:c r="W2488" t="n">
        <x:v>0</x:v>
      </x:c>
      <x:c r="X2488" t="n">
        <x:v>0</x:v>
      </x:c>
      <x:c r="Y2488" t="n">
        <x:v>0</x:v>
      </x:c>
      <x:c r="Z2488" t="n">
        <x:v>0</x:v>
      </x:c>
      <x:c r="AA2488" t="n">
        <x:v>0</x:v>
      </x:c>
      <x:c r="AB2488"/>
      <x:c r="AC2488" t="n">
        <x:v>0</x:v>
      </x:c>
      <x:c r="AD2488" t="n">
        <x:v>-0.7611934700980783</x:v>
      </x:c>
      <x:c r="AE2488" t="n">
        <x:v>0</x:v>
      </x:c>
      <x:c r="AF2488" t="n">
        <x:v>-0.013834774494171143</x:v>
      </x:c>
      <x:c r="AG2488" t="n">
        <x:f>_xlfn.XLOOKUP($A2488,Games!$A$2:$A$18,Games!$B$2:$B$18,"Missing game",0)</x:f>
        <x:v>2025</x:v>
      </x:c>
      <x:c r="AH2488" t="str">
        <x:f>_xlfn.XLOOKUP($A2488,Games!$A$2:$A$18,Games!$C$2:$C$18,"Missing game",0)</x:f>
        <x:v>REG</x:v>
      </x:c>
      <x:c r="AI2488" t="n">
        <x:f>_xlfn.XLOOKUP($A2488,Games!$A$2:$A$18,Games!$D$2:$D$18,"Missing game",0)</x:f>
        <x:v>17</x:v>
      </x:c>
      <x:c r="AJ2488" s="1" t="n">
        <x:f>_xlfn.XLOOKUP($A2488,Games!$A$2:$A$18,Games!$E$2:$E$18,"Missing game",0)</x:f>
        <x:v>46016</x:v>
      </x:c>
      <x:c r="AK2488" t="str">
        <x:f>_xlfn.XLOOKUP($A2488,Games!$A$2:$A$18,Games!$F$2:$F$18,"Missing game",0)</x:f>
        <x:v>Thursday</x:v>
      </x:c>
      <x:c r="AL2488" t="str">
        <x:f>_xlfn.XLOOKUP($A2488,Games!$A$2:$A$18,Games!$G$2:$G$18,"Missing game",0)</x:f>
        <x:v>DET</x:v>
      </x:c>
      <x:c r="AM2488" t="n">
        <x:f>_xlfn.XLOOKUP($A2488,Games!$A$2:$A$18,Games!$H$2:$H$18,"Missing game",0)</x:f>
        <x:v>10</x:v>
      </x:c>
      <x:c r="AN2488" t="str">
        <x:f>_xlfn.XLOOKUP($A2488,Games!$A$2:$A$18,Games!$I$2:$I$18,"Missing game",0)</x:f>
        <x:v>MIN</x:v>
      </x:c>
      <x:c r="AO2488" t="n">
        <x:f>_xlfn.XLOOKUP($A2488,Games!$A$2:$A$18,Games!$J$2:$J$18,"Missing game",0)</x:f>
        <x:v>23</x:v>
      </x:c>
      <x:c r="AP2488" t="n">
        <x:f>_xlfn.XLOOKUP($A2488,Games!$A$2:$A$18,Games!$K$2:$K$18,"Missing game",0)</x:f>
        <x:v>13</x:v>
      </x:c>
      <x:c r="AQ2488" t="n">
        <x:f>_xlfn.XLOOKUP($A2488,Games!$A$2:$A$18,Games!$L$2:$L$18,"Missing game",0)</x:f>
        <x:v>33</x:v>
      </x:c>
      <x:c r="AR2488" t="n">
        <x:f>_xlfn.XLOOKUP($A2488,Games!$A$2:$A$18,Games!$M$2:$M$18,"Missing game",0)</x:f>
        <x:v>0</x:v>
      </x:c>
      <x:c r="AS2488" t="str">
        <x:f>_xlfn.XLOOKUP($A2488,Games!$A$2:$A$18,Games!$N$2:$N$18,"Missing game",0)</x:f>
        <x:v>dome</x:v>
      </x:c>
      <x:c r="AT2488" t="str">
        <x:f>_xlfn.XLOOKUP($A2488,Games!$A$2:$A$18,Games!$O$2:$O$18,"Missing game",0)</x:f>
        <x:v>sportturf</x:v>
      </x:c>
      <x:c r="AU2488" t="str">
        <x:f>_xlfn.XLOOKUP($A2488,Games!$A$2:$A$18,Games!$P$2:$P$18,"Missing game",0)</x:f>
      </x:c>
      <x:c r="AV2488" t="str">
        <x:f>_xlfn.XLOOKUP($A2488,Games!$A$2:$A$18,Games!$Q$2:$Q$18,"Missing game",0)</x:f>
      </x:c>
      <x:c r="AW2488" t="str">
        <x:f>_xlfn.XLOOKUP($A2488,Games!$A$2:$A$18,Games!$R$2:$R$18,"Missing game",0)</x:f>
        <x:v>U.S. Bank Stadium</x:v>
      </x:c>
    </x:row>
    <x:row r="2489">
      <x:c r="A2489" t="str">
        <x:v>2025_17_DET_MIN</x:v>
      </x:c>
      <x:c r="B2489" t="n">
        <x:v>302</x:v>
      </x:c>
      <x:c r="C2489" t="n">
        <x:v>1</x:v>
      </x:c>
      <x:c r="D2489" t="str">
        <x:v>10:34</x:v>
      </x:c>
      <x:c r="E2489" t="n">
        <x:v>1</x:v>
      </x:c>
      <x:c r="F2489" t="n">
        <x:v>10</x:v>
      </x:c>
      <x:c r="G2489" t="str">
        <x:v>MIN</x:v>
      </x:c>
      <x:c r="H2489" t="str">
        <x:v>DET</x:v>
      </x:c>
      <x:c r="I2489" t="str">
        <x:v>MIN</x:v>
      </x:c>
      <x:c r="J2489" t="n">
        <x:v>80</x:v>
      </x:c>
      <x:c r="K2489" t="str">
        <x:v>(10:34) 33-A.Jones right guard to MIN 23 for 3 yards (12-T.Harper; 97-A.Hutchinson).</x:v>
      </x:c>
      <x:c r="L2489" t="str">
        <x:v>run</x:v>
      </x:c>
      <x:c r="M2489" t="n">
        <x:v>3</x:v>
      </x:c>
      <x:c r="N2489" t="n">
        <x:v>0</x:v>
      </x:c>
      <x:c r="O2489" t="n">
        <x:v>0</x:v>
      </x:c>
      <x:c r="P2489"/>
      <x:c r="Q2489"/>
      <x:c r="R2489"/>
      <x:c r="S2489"/>
      <x:c r="T2489" t="str">
        <x:v>right</x:v>
      </x:c>
      <x:c r="U2489" t="str">
        <x:v>guard</x:v>
      </x:c>
      <x:c r="V2489" t="n">
        <x:v>0</x:v>
      </x:c>
      <x:c r="W2489" t="n">
        <x:v>0</x:v>
      </x:c>
      <x:c r="X2489" t="n">
        <x:v>0</x:v>
      </x:c>
      <x:c r="Y2489" t="n">
        <x:v>0</x:v>
      </x:c>
      <x:c r="Z2489" t="n">
        <x:v>0</x:v>
      </x:c>
      <x:c r="AA2489" t="n">
        <x:v>0</x:v>
      </x:c>
      <x:c r="AB2489"/>
      <x:c r="AC2489" t="n">
        <x:v>0</x:v>
      </x:c>
      <x:c r="AD2489" t="n">
        <x:v>-0.48321907222270966</x:v>
      </x:c>
      <x:c r="AE2489" t="n">
        <x:v>0</x:v>
      </x:c>
      <x:c r="AF2489" t="n">
        <x:v>-0.008393645286560059</x:v>
      </x:c>
      <x:c r="AG2489" t="n">
        <x:f>_xlfn.XLOOKUP($A2489,Games!$A$2:$A$18,Games!$B$2:$B$18,"Missing game",0)</x:f>
        <x:v>2025</x:v>
      </x:c>
      <x:c r="AH2489" t="str">
        <x:f>_xlfn.XLOOKUP($A2489,Games!$A$2:$A$18,Games!$C$2:$C$18,"Missing game",0)</x:f>
        <x:v>REG</x:v>
      </x:c>
      <x:c r="AI2489" t="n">
        <x:f>_xlfn.XLOOKUP($A2489,Games!$A$2:$A$18,Games!$D$2:$D$18,"Missing game",0)</x:f>
        <x:v>17</x:v>
      </x:c>
      <x:c r="AJ2489" s="1" t="n">
        <x:f>_xlfn.XLOOKUP($A2489,Games!$A$2:$A$18,Games!$E$2:$E$18,"Missing game",0)</x:f>
        <x:v>46016</x:v>
      </x:c>
      <x:c r="AK2489" t="str">
        <x:f>_xlfn.XLOOKUP($A2489,Games!$A$2:$A$18,Games!$F$2:$F$18,"Missing game",0)</x:f>
        <x:v>Thursday</x:v>
      </x:c>
      <x:c r="AL2489" t="str">
        <x:f>_xlfn.XLOOKUP($A2489,Games!$A$2:$A$18,Games!$G$2:$G$18,"Missing game",0)</x:f>
        <x:v>DET</x:v>
      </x:c>
      <x:c r="AM2489" t="n">
        <x:f>_xlfn.XLOOKUP($A2489,Games!$A$2:$A$18,Games!$H$2:$H$18,"Missing game",0)</x:f>
        <x:v>10</x:v>
      </x:c>
      <x:c r="AN2489" t="str">
        <x:f>_xlfn.XLOOKUP($A2489,Games!$A$2:$A$18,Games!$I$2:$I$18,"Missing game",0)</x:f>
        <x:v>MIN</x:v>
      </x:c>
      <x:c r="AO2489" t="n">
        <x:f>_xlfn.XLOOKUP($A2489,Games!$A$2:$A$18,Games!$J$2:$J$18,"Missing game",0)</x:f>
        <x:v>23</x:v>
      </x:c>
      <x:c r="AP2489" t="n">
        <x:f>_xlfn.XLOOKUP($A2489,Games!$A$2:$A$18,Games!$K$2:$K$18,"Missing game",0)</x:f>
        <x:v>13</x:v>
      </x:c>
      <x:c r="AQ2489" t="n">
        <x:f>_xlfn.XLOOKUP($A2489,Games!$A$2:$A$18,Games!$L$2:$L$18,"Missing game",0)</x:f>
        <x:v>33</x:v>
      </x:c>
      <x:c r="AR2489" t="n">
        <x:f>_xlfn.XLOOKUP($A2489,Games!$A$2:$A$18,Games!$M$2:$M$18,"Missing game",0)</x:f>
        <x:v>0</x:v>
      </x:c>
      <x:c r="AS2489" t="str">
        <x:f>_xlfn.XLOOKUP($A2489,Games!$A$2:$A$18,Games!$N$2:$N$18,"Missing game",0)</x:f>
        <x:v>dome</x:v>
      </x:c>
      <x:c r="AT2489" t="str">
        <x:f>_xlfn.XLOOKUP($A2489,Games!$A$2:$A$18,Games!$O$2:$O$18,"Missing game",0)</x:f>
        <x:v>sportturf</x:v>
      </x:c>
      <x:c r="AU2489" t="str">
        <x:f>_xlfn.XLOOKUP($A2489,Games!$A$2:$A$18,Games!$P$2:$P$18,"Missing game",0)</x:f>
      </x:c>
      <x:c r="AV2489" t="str">
        <x:f>_xlfn.XLOOKUP($A2489,Games!$A$2:$A$18,Games!$Q$2:$Q$18,"Missing game",0)</x:f>
      </x:c>
      <x:c r="AW2489" t="str">
        <x:f>_xlfn.XLOOKUP($A2489,Games!$A$2:$A$18,Games!$R$2:$R$18,"Missing game",0)</x:f>
        <x:v>U.S. Bank Stadium</x:v>
      </x:c>
    </x:row>
    <x:row r="2490">
      <x:c r="A2490" t="str">
        <x:v>2025_17_DET_MIN</x:v>
      </x:c>
      <x:c r="B2490" t="n">
        <x:v>331</x:v>
      </x:c>
      <x:c r="C2490" t="n">
        <x:v>1</x:v>
      </x:c>
      <x:c r="D2490" t="str">
        <x:v>09:58</x:v>
      </x:c>
      <x:c r="E2490" t="n">
        <x:v>2</x:v>
      </x:c>
      <x:c r="F2490" t="n">
        <x:v>7</x:v>
      </x:c>
      <x:c r="G2490" t="str">
        <x:v>MIN</x:v>
      </x:c>
      <x:c r="H2490" t="str">
        <x:v>DET</x:v>
      </x:c>
      <x:c r="I2490" t="str">
        <x:v>MIN</x:v>
      </x:c>
      <x:c r="J2490" t="n">
        <x:v>77</x:v>
      </x:c>
      <x:c r="K2490" t="str">
        <x:v>(9:58) 12-M.Brosmer pass incomplete short left. PENALTY on DET-23-R.Ya-Sin, Defensive Holding, 5 yards, enforced at MIN 23 - No Play.</x:v>
      </x:c>
      <x:c r="L2490" t="str">
        <x:v>no_play</x:v>
      </x:c>
      <x:c r="M2490" t="n">
        <x:v>0</x:v>
      </x:c>
      <x:c r="N2490" t="n">
        <x:v>0</x:v>
      </x:c>
      <x:c r="O2490" t="n">
        <x:v>0</x:v>
      </x:c>
      <x:c r="P2490"/>
      <x:c r="Q2490"/>
      <x:c r="R2490"/>
      <x:c r="S2490"/>
      <x:c r="T2490"/>
      <x:c r="U2490"/>
      <x:c r="V2490" t="n">
        <x:v>0</x:v>
      </x:c>
      <x:c r="W2490" t="n">
        <x:v>1</x:v>
      </x:c>
      <x:c r="X2490" t="n">
        <x:v>0</x:v>
      </x:c>
      <x:c r="Y2490" t="n">
        <x:v>0</x:v>
      </x:c>
      <x:c r="Z2490" t="n">
        <x:v>0</x:v>
      </x:c>
      <x:c r="AA2490" t="n">
        <x:v>1</x:v>
      </x:c>
      <x:c r="AB2490" t="n">
        <x:v>5</x:v>
      </x:c>
      <x:c r="AC2490" t="n">
        <x:v>0</x:v>
      </x:c>
      <x:c r="AD2490" t="n">
        <x:v>0.9856393118388951</x:v>
      </x:c>
      <x:c r="AE2490" t="n">
        <x:v>1</x:v>
      </x:c>
      <x:c r="AF2490" t="n">
        <x:v>0.019641637802124023</x:v>
      </x:c>
      <x:c r="AG2490" t="n">
        <x:f>_xlfn.XLOOKUP($A2490,Games!$A$2:$A$18,Games!$B$2:$B$18,"Missing game",0)</x:f>
        <x:v>2025</x:v>
      </x:c>
      <x:c r="AH2490" t="str">
        <x:f>_xlfn.XLOOKUP($A2490,Games!$A$2:$A$18,Games!$C$2:$C$18,"Missing game",0)</x:f>
        <x:v>REG</x:v>
      </x:c>
      <x:c r="AI2490" t="n">
        <x:f>_xlfn.XLOOKUP($A2490,Games!$A$2:$A$18,Games!$D$2:$D$18,"Missing game",0)</x:f>
        <x:v>17</x:v>
      </x:c>
      <x:c r="AJ2490" s="1" t="n">
        <x:f>_xlfn.XLOOKUP($A2490,Games!$A$2:$A$18,Games!$E$2:$E$18,"Missing game",0)</x:f>
        <x:v>46016</x:v>
      </x:c>
      <x:c r="AK2490" t="str">
        <x:f>_xlfn.XLOOKUP($A2490,Games!$A$2:$A$18,Games!$F$2:$F$18,"Missing game",0)</x:f>
        <x:v>Thursday</x:v>
      </x:c>
      <x:c r="AL2490" t="str">
        <x:f>_xlfn.XLOOKUP($A2490,Games!$A$2:$A$18,Games!$G$2:$G$18,"Missing game",0)</x:f>
        <x:v>DET</x:v>
      </x:c>
      <x:c r="AM2490" t="n">
        <x:f>_xlfn.XLOOKUP($A2490,Games!$A$2:$A$18,Games!$H$2:$H$18,"Missing game",0)</x:f>
        <x:v>10</x:v>
      </x:c>
      <x:c r="AN2490" t="str">
        <x:f>_xlfn.XLOOKUP($A2490,Games!$A$2:$A$18,Games!$I$2:$I$18,"Missing game",0)</x:f>
        <x:v>MIN</x:v>
      </x:c>
      <x:c r="AO2490" t="n">
        <x:f>_xlfn.XLOOKUP($A2490,Games!$A$2:$A$18,Games!$J$2:$J$18,"Missing game",0)</x:f>
        <x:v>23</x:v>
      </x:c>
      <x:c r="AP2490" t="n">
        <x:f>_xlfn.XLOOKUP($A2490,Games!$A$2:$A$18,Games!$K$2:$K$18,"Missing game",0)</x:f>
        <x:v>13</x:v>
      </x:c>
      <x:c r="AQ2490" t="n">
        <x:f>_xlfn.XLOOKUP($A2490,Games!$A$2:$A$18,Games!$L$2:$L$18,"Missing game",0)</x:f>
        <x:v>33</x:v>
      </x:c>
      <x:c r="AR2490" t="n">
        <x:f>_xlfn.XLOOKUP($A2490,Games!$A$2:$A$18,Games!$M$2:$M$18,"Missing game",0)</x:f>
        <x:v>0</x:v>
      </x:c>
      <x:c r="AS2490" t="str">
        <x:f>_xlfn.XLOOKUP($A2490,Games!$A$2:$A$18,Games!$N$2:$N$18,"Missing game",0)</x:f>
        <x:v>dome</x:v>
      </x:c>
      <x:c r="AT2490" t="str">
        <x:f>_xlfn.XLOOKUP($A2490,Games!$A$2:$A$18,Games!$O$2:$O$18,"Missing game",0)</x:f>
        <x:v>sportturf</x:v>
      </x:c>
      <x:c r="AU2490" t="str">
        <x:f>_xlfn.XLOOKUP($A2490,Games!$A$2:$A$18,Games!$P$2:$P$18,"Missing game",0)</x:f>
      </x:c>
      <x:c r="AV2490" t="str">
        <x:f>_xlfn.XLOOKUP($A2490,Games!$A$2:$A$18,Games!$Q$2:$Q$18,"Missing game",0)</x:f>
      </x:c>
      <x:c r="AW2490" t="str">
        <x:f>_xlfn.XLOOKUP($A2490,Games!$A$2:$A$18,Games!$R$2:$R$18,"Missing game",0)</x:f>
        <x:v>U.S. Bank Stadium</x:v>
      </x:c>
    </x:row>
    <x:row r="2491">
      <x:c r="A2491" t="str">
        <x:v>2025_17_DET_MIN</x:v>
      </x:c>
      <x:c r="B2491" t="n">
        <x:v>365</x:v>
      </x:c>
      <x:c r="C2491" t="n">
        <x:v>1</x:v>
      </x:c>
      <x:c r="D2491" t="str">
        <x:v>09:51</x:v>
      </x:c>
      <x:c r="E2491" t="n">
        <x:v>1</x:v>
      </x:c>
      <x:c r="F2491" t="n">
        <x:v>10</x:v>
      </x:c>
      <x:c r="G2491" t="str">
        <x:v>MIN</x:v>
      </x:c>
      <x:c r="H2491" t="str">
        <x:v>DET</x:v>
      </x:c>
      <x:c r="I2491" t="str">
        <x:v>MIN</x:v>
      </x:c>
      <x:c r="J2491" t="n">
        <x:v>72</x:v>
      </x:c>
      <x:c r="K2491" t="str">
        <x:v>(9:51) (Shotgun) 12-M.Brosmer pass short left to 18-J.Jefferson pushed ob at MIN 33 for 5 yards (2-D.Thomas).</x:v>
      </x:c>
      <x:c r="L2491" t="str">
        <x:v>pass</x:v>
      </x:c>
      <x:c r="M2491" t="n">
        <x:v>5</x:v>
      </x:c>
      <x:c r="N2491" t="n">
        <x:v>1</x:v>
      </x:c>
      <x:c r="O2491" t="n">
        <x:v>0</x:v>
      </x:c>
      <x:c r="P2491" t="str">
        <x:v>short</x:v>
      </x:c>
      <x:c r="Q2491" t="str">
        <x:v>left</x:v>
      </x:c>
      <x:c r="R2491" t="n">
        <x:v>-7</x:v>
      </x:c>
      <x:c r="S2491" t="n">
        <x:v>12</x:v>
      </x:c>
      <x:c r="T2491"/>
      <x:c r="U2491"/>
      <x:c r="V2491" t="n">
        <x:v>1</x:v>
      </x:c>
      <x:c r="W2491" t="n">
        <x:v>0</x:v>
      </x:c>
      <x:c r="X2491" t="n">
        <x:v>0</x:v>
      </x:c>
      <x:c r="Y2491" t="n">
        <x:v>0</x:v>
      </x:c>
      <x:c r="Z2491" t="n">
        <x:v>0</x:v>
      </x:c>
      <x:c r="AA2491" t="n">
        <x:v>0</x:v>
      </x:c>
      <x:c r="AB2491"/>
      <x:c r="AC2491" t="n">
        <x:v>0</x:v>
      </x:c>
      <x:c r="AD2491" t="n">
        <x:v>0.03238304425030947</x:v>
      </x:c>
      <x:c r="AE2491" t="n">
        <x:v>1</x:v>
      </x:c>
      <x:c r="AF2491" t="n">
        <x:v>0.00040924549102783203</x:v>
      </x:c>
      <x:c r="AG2491" t="n">
        <x:f>_xlfn.XLOOKUP($A2491,Games!$A$2:$A$18,Games!$B$2:$B$18,"Missing game",0)</x:f>
        <x:v>2025</x:v>
      </x:c>
      <x:c r="AH2491" t="str">
        <x:f>_xlfn.XLOOKUP($A2491,Games!$A$2:$A$18,Games!$C$2:$C$18,"Missing game",0)</x:f>
        <x:v>REG</x:v>
      </x:c>
      <x:c r="AI2491" t="n">
        <x:f>_xlfn.XLOOKUP($A2491,Games!$A$2:$A$18,Games!$D$2:$D$18,"Missing game",0)</x:f>
        <x:v>17</x:v>
      </x:c>
      <x:c r="AJ2491" s="1" t="n">
        <x:f>_xlfn.XLOOKUP($A2491,Games!$A$2:$A$18,Games!$E$2:$E$18,"Missing game",0)</x:f>
        <x:v>46016</x:v>
      </x:c>
      <x:c r="AK2491" t="str">
        <x:f>_xlfn.XLOOKUP($A2491,Games!$A$2:$A$18,Games!$F$2:$F$18,"Missing game",0)</x:f>
        <x:v>Thursday</x:v>
      </x:c>
      <x:c r="AL2491" t="str">
        <x:f>_xlfn.XLOOKUP($A2491,Games!$A$2:$A$18,Games!$G$2:$G$18,"Missing game",0)</x:f>
        <x:v>DET</x:v>
      </x:c>
      <x:c r="AM2491" t="n">
        <x:f>_xlfn.XLOOKUP($A2491,Games!$A$2:$A$18,Games!$H$2:$H$18,"Missing game",0)</x:f>
        <x:v>10</x:v>
      </x:c>
      <x:c r="AN2491" t="str">
        <x:f>_xlfn.XLOOKUP($A2491,Games!$A$2:$A$18,Games!$I$2:$I$18,"Missing game",0)</x:f>
        <x:v>MIN</x:v>
      </x:c>
      <x:c r="AO2491" t="n">
        <x:f>_xlfn.XLOOKUP($A2491,Games!$A$2:$A$18,Games!$J$2:$J$18,"Missing game",0)</x:f>
        <x:v>23</x:v>
      </x:c>
      <x:c r="AP2491" t="n">
        <x:f>_xlfn.XLOOKUP($A2491,Games!$A$2:$A$18,Games!$K$2:$K$18,"Missing game",0)</x:f>
        <x:v>13</x:v>
      </x:c>
      <x:c r="AQ2491" t="n">
        <x:f>_xlfn.XLOOKUP($A2491,Games!$A$2:$A$18,Games!$L$2:$L$18,"Missing game",0)</x:f>
        <x:v>33</x:v>
      </x:c>
      <x:c r="AR2491" t="n">
        <x:f>_xlfn.XLOOKUP($A2491,Games!$A$2:$A$18,Games!$M$2:$M$18,"Missing game",0)</x:f>
        <x:v>0</x:v>
      </x:c>
      <x:c r="AS2491" t="str">
        <x:f>_xlfn.XLOOKUP($A2491,Games!$A$2:$A$18,Games!$N$2:$N$18,"Missing game",0)</x:f>
        <x:v>dome</x:v>
      </x:c>
      <x:c r="AT2491" t="str">
        <x:f>_xlfn.XLOOKUP($A2491,Games!$A$2:$A$18,Games!$O$2:$O$18,"Missing game",0)</x:f>
        <x:v>sportturf</x:v>
      </x:c>
      <x:c r="AU2491" t="str">
        <x:f>_xlfn.XLOOKUP($A2491,Games!$A$2:$A$18,Games!$P$2:$P$18,"Missing game",0)</x:f>
      </x:c>
      <x:c r="AV2491" t="str">
        <x:f>_xlfn.XLOOKUP($A2491,Games!$A$2:$A$18,Games!$Q$2:$Q$18,"Missing game",0)</x:f>
      </x:c>
      <x:c r="AW2491" t="str">
        <x:f>_xlfn.XLOOKUP($A2491,Games!$A$2:$A$18,Games!$R$2:$R$18,"Missing game",0)</x:f>
        <x:v>U.S. Bank Stadium</x:v>
      </x:c>
    </x:row>
    <x:row r="2492">
      <x:c r="A2492" t="str">
        <x:v>2025_17_DET_MIN</x:v>
      </x:c>
      <x:c r="B2492" t="n">
        <x:v>395</x:v>
      </x:c>
      <x:c r="C2492" t="n">
        <x:v>1</x:v>
      </x:c>
      <x:c r="D2492" t="str">
        <x:v>09:12</x:v>
      </x:c>
      <x:c r="E2492" t="n">
        <x:v>2</x:v>
      </x:c>
      <x:c r="F2492" t="n">
        <x:v>5</x:v>
      </x:c>
      <x:c r="G2492" t="str">
        <x:v>MIN</x:v>
      </x:c>
      <x:c r="H2492" t="str">
        <x:v>DET</x:v>
      </x:c>
      <x:c r="I2492" t="str">
        <x:v>MIN</x:v>
      </x:c>
      <x:c r="J2492" t="n">
        <x:v>67</x:v>
      </x:c>
      <x:c r="K2492" t="str">
        <x:v>(9:12) 33-A.Jones up the middle to MIN 43 for 10 yards (4-D.Reed; 12-T.Harper).</x:v>
      </x:c>
      <x:c r="L2492" t="str">
        <x:v>run</x:v>
      </x:c>
      <x:c r="M2492" t="n">
        <x:v>10</x:v>
      </x:c>
      <x:c r="N2492" t="n">
        <x:v>0</x:v>
      </x:c>
      <x:c r="O2492" t="n">
        <x:v>0</x:v>
      </x:c>
      <x:c r="P2492"/>
      <x:c r="Q2492"/>
      <x:c r="R2492"/>
      <x:c r="S2492"/>
      <x:c r="T2492" t="str">
        <x:v>middle</x:v>
      </x:c>
      <x:c r="U2492"/>
      <x:c r="V2492" t="n">
        <x:v>0</x:v>
      </x:c>
      <x:c r="W2492" t="n">
        <x:v>1</x:v>
      </x:c>
      <x:c r="X2492" t="n">
        <x:v>0</x:v>
      </x:c>
      <x:c r="Y2492" t="n">
        <x:v>0</x:v>
      </x:c>
      <x:c r="Z2492" t="n">
        <x:v>0</x:v>
      </x:c>
      <x:c r="AA2492" t="n">
        <x:v>0</x:v>
      </x:c>
      <x:c r="AB2492"/>
      <x:c r="AC2492" t="n">
        <x:v>0</x:v>
      </x:c>
      <x:c r="AD2492" t="n">
        <x:v>0.9449226658325642</x:v>
      </x:c>
      <x:c r="AE2492" t="n">
        <x:v>1</x:v>
      </x:c>
      <x:c r="AF2492" t="n">
        <x:v>0.026465892791748047</x:v>
      </x:c>
      <x:c r="AG2492" t="n">
        <x:f>_xlfn.XLOOKUP($A2492,Games!$A$2:$A$18,Games!$B$2:$B$18,"Missing game",0)</x:f>
        <x:v>2025</x:v>
      </x:c>
      <x:c r="AH2492" t="str">
        <x:f>_xlfn.XLOOKUP($A2492,Games!$A$2:$A$18,Games!$C$2:$C$18,"Missing game",0)</x:f>
        <x:v>REG</x:v>
      </x:c>
      <x:c r="AI2492" t="n">
        <x:f>_xlfn.XLOOKUP($A2492,Games!$A$2:$A$18,Games!$D$2:$D$18,"Missing game",0)</x:f>
        <x:v>17</x:v>
      </x:c>
      <x:c r="AJ2492" s="1" t="n">
        <x:f>_xlfn.XLOOKUP($A2492,Games!$A$2:$A$18,Games!$E$2:$E$18,"Missing game",0)</x:f>
        <x:v>46016</x:v>
      </x:c>
      <x:c r="AK2492" t="str">
        <x:f>_xlfn.XLOOKUP($A2492,Games!$A$2:$A$18,Games!$F$2:$F$18,"Missing game",0)</x:f>
        <x:v>Thursday</x:v>
      </x:c>
      <x:c r="AL2492" t="str">
        <x:f>_xlfn.XLOOKUP($A2492,Games!$A$2:$A$18,Games!$G$2:$G$18,"Missing game",0)</x:f>
        <x:v>DET</x:v>
      </x:c>
      <x:c r="AM2492" t="n">
        <x:f>_xlfn.XLOOKUP($A2492,Games!$A$2:$A$18,Games!$H$2:$H$18,"Missing game",0)</x:f>
        <x:v>10</x:v>
      </x:c>
      <x:c r="AN2492" t="str">
        <x:f>_xlfn.XLOOKUP($A2492,Games!$A$2:$A$18,Games!$I$2:$I$18,"Missing game",0)</x:f>
        <x:v>MIN</x:v>
      </x:c>
      <x:c r="AO2492" t="n">
        <x:f>_xlfn.XLOOKUP($A2492,Games!$A$2:$A$18,Games!$J$2:$J$18,"Missing game",0)</x:f>
        <x:v>23</x:v>
      </x:c>
      <x:c r="AP2492" t="n">
        <x:f>_xlfn.XLOOKUP($A2492,Games!$A$2:$A$18,Games!$K$2:$K$18,"Missing game",0)</x:f>
        <x:v>13</x:v>
      </x:c>
      <x:c r="AQ2492" t="n">
        <x:f>_xlfn.XLOOKUP($A2492,Games!$A$2:$A$18,Games!$L$2:$L$18,"Missing game",0)</x:f>
        <x:v>33</x:v>
      </x:c>
      <x:c r="AR2492" t="n">
        <x:f>_xlfn.XLOOKUP($A2492,Games!$A$2:$A$18,Games!$M$2:$M$18,"Missing game",0)</x:f>
        <x:v>0</x:v>
      </x:c>
      <x:c r="AS2492" t="str">
        <x:f>_xlfn.XLOOKUP($A2492,Games!$A$2:$A$18,Games!$N$2:$N$18,"Missing game",0)</x:f>
        <x:v>dome</x:v>
      </x:c>
      <x:c r="AT2492" t="str">
        <x:f>_xlfn.XLOOKUP($A2492,Games!$A$2:$A$18,Games!$O$2:$O$18,"Missing game",0)</x:f>
        <x:v>sportturf</x:v>
      </x:c>
      <x:c r="AU2492" t="str">
        <x:f>_xlfn.XLOOKUP($A2492,Games!$A$2:$A$18,Games!$P$2:$P$18,"Missing game",0)</x:f>
      </x:c>
      <x:c r="AV2492" t="str">
        <x:f>_xlfn.XLOOKUP($A2492,Games!$A$2:$A$18,Games!$Q$2:$Q$18,"Missing game",0)</x:f>
      </x:c>
      <x:c r="AW2492" t="str">
        <x:f>_xlfn.XLOOKUP($A2492,Games!$A$2:$A$18,Games!$R$2:$R$18,"Missing game",0)</x:f>
        <x:v>U.S. Bank Stadium</x:v>
      </x:c>
    </x:row>
    <x:row r="2493">
      <x:c r="A2493" t="str">
        <x:v>2025_17_DET_MIN</x:v>
      </x:c>
      <x:c r="B2493" t="n">
        <x:v>417</x:v>
      </x:c>
      <x:c r="C2493" t="n">
        <x:v>1</x:v>
      </x:c>
      <x:c r="D2493" t="str">
        <x:v>08:31</x:v>
      </x:c>
      <x:c r="E2493" t="n">
        <x:v>1</x:v>
      </x:c>
      <x:c r="F2493" t="n">
        <x:v>10</x:v>
      </x:c>
      <x:c r="G2493" t="str">
        <x:v>MIN</x:v>
      </x:c>
      <x:c r="H2493" t="str">
        <x:v>DET</x:v>
      </x:c>
      <x:c r="I2493" t="str">
        <x:v>MIN</x:v>
      </x:c>
      <x:c r="J2493" t="n">
        <x:v>57</x:v>
      </x:c>
      <x:c r="K2493" t="str">
        <x:v>(8:31) (Shotgun) 12-M.Brosmer pass short right to 18-J.Jefferson to DET 48 for 9 yards (4-D.Reed; 55-D.Barnes).</x:v>
      </x:c>
      <x:c r="L2493" t="str">
        <x:v>pass</x:v>
      </x:c>
      <x:c r="M2493" t="n">
        <x:v>9</x:v>
      </x:c>
      <x:c r="N2493" t="n">
        <x:v>1</x:v>
      </x:c>
      <x:c r="O2493" t="n">
        <x:v>0</x:v>
      </x:c>
      <x:c r="P2493" t="str">
        <x:v>short</x:v>
      </x:c>
      <x:c r="Q2493" t="str">
        <x:v>right</x:v>
      </x:c>
      <x:c r="R2493" t="n">
        <x:v>6</x:v>
      </x:c>
      <x:c r="S2493" t="n">
        <x:v>3</x:v>
      </x:c>
      <x:c r="T2493"/>
      <x:c r="U2493"/>
      <x:c r="V2493" t="n">
        <x:v>1</x:v>
      </x:c>
      <x:c r="W2493" t="n">
        <x:v>0</x:v>
      </x:c>
      <x:c r="X2493" t="n">
        <x:v>0</x:v>
      </x:c>
      <x:c r="Y2493" t="n">
        <x:v>0</x:v>
      </x:c>
      <x:c r="Z2493" t="n">
        <x:v>0</x:v>
      </x:c>
      <x:c r="AA2493" t="n">
        <x:v>0</x:v>
      </x:c>
      <x:c r="AB2493"/>
      <x:c r="AC2493" t="n">
        <x:v>0</x:v>
      </x:c>
      <x:c r="AD2493" t="n">
        <x:v>0.5571924704127014</x:v>
      </x:c>
      <x:c r="AE2493" t="n">
        <x:v>1</x:v>
      </x:c>
      <x:c r="AF2493" t="n">
        <x:v>0.008598566055297852</x:v>
      </x:c>
      <x:c r="AG2493" t="n">
        <x:f>_xlfn.XLOOKUP($A2493,Games!$A$2:$A$18,Games!$B$2:$B$18,"Missing game",0)</x:f>
        <x:v>2025</x:v>
      </x:c>
      <x:c r="AH2493" t="str">
        <x:f>_xlfn.XLOOKUP($A2493,Games!$A$2:$A$18,Games!$C$2:$C$18,"Missing game",0)</x:f>
        <x:v>REG</x:v>
      </x:c>
      <x:c r="AI2493" t="n">
        <x:f>_xlfn.XLOOKUP($A2493,Games!$A$2:$A$18,Games!$D$2:$D$18,"Missing game",0)</x:f>
        <x:v>17</x:v>
      </x:c>
      <x:c r="AJ2493" s="1" t="n">
        <x:f>_xlfn.XLOOKUP($A2493,Games!$A$2:$A$18,Games!$E$2:$E$18,"Missing game",0)</x:f>
        <x:v>46016</x:v>
      </x:c>
      <x:c r="AK2493" t="str">
        <x:f>_xlfn.XLOOKUP($A2493,Games!$A$2:$A$18,Games!$F$2:$F$18,"Missing game",0)</x:f>
        <x:v>Thursday</x:v>
      </x:c>
      <x:c r="AL2493" t="str">
        <x:f>_xlfn.XLOOKUP($A2493,Games!$A$2:$A$18,Games!$G$2:$G$18,"Missing game",0)</x:f>
        <x:v>DET</x:v>
      </x:c>
      <x:c r="AM2493" t="n">
        <x:f>_xlfn.XLOOKUP($A2493,Games!$A$2:$A$18,Games!$H$2:$H$18,"Missing game",0)</x:f>
        <x:v>10</x:v>
      </x:c>
      <x:c r="AN2493" t="str">
        <x:f>_xlfn.XLOOKUP($A2493,Games!$A$2:$A$18,Games!$I$2:$I$18,"Missing game",0)</x:f>
        <x:v>MIN</x:v>
      </x:c>
      <x:c r="AO2493" t="n">
        <x:f>_xlfn.XLOOKUP($A2493,Games!$A$2:$A$18,Games!$J$2:$J$18,"Missing game",0)</x:f>
        <x:v>23</x:v>
      </x:c>
      <x:c r="AP2493" t="n">
        <x:f>_xlfn.XLOOKUP($A2493,Games!$A$2:$A$18,Games!$K$2:$K$18,"Missing game",0)</x:f>
        <x:v>13</x:v>
      </x:c>
      <x:c r="AQ2493" t="n">
        <x:f>_xlfn.XLOOKUP($A2493,Games!$A$2:$A$18,Games!$L$2:$L$18,"Missing game",0)</x:f>
        <x:v>33</x:v>
      </x:c>
      <x:c r="AR2493" t="n">
        <x:f>_xlfn.XLOOKUP($A2493,Games!$A$2:$A$18,Games!$M$2:$M$18,"Missing game",0)</x:f>
        <x:v>0</x:v>
      </x:c>
      <x:c r="AS2493" t="str">
        <x:f>_xlfn.XLOOKUP($A2493,Games!$A$2:$A$18,Games!$N$2:$N$18,"Missing game",0)</x:f>
        <x:v>dome</x:v>
      </x:c>
      <x:c r="AT2493" t="str">
        <x:f>_xlfn.XLOOKUP($A2493,Games!$A$2:$A$18,Games!$O$2:$O$18,"Missing game",0)</x:f>
        <x:v>sportturf</x:v>
      </x:c>
      <x:c r="AU2493" t="str">
        <x:f>_xlfn.XLOOKUP($A2493,Games!$A$2:$A$18,Games!$P$2:$P$18,"Missing game",0)</x:f>
      </x:c>
      <x:c r="AV2493" t="str">
        <x:f>_xlfn.XLOOKUP($A2493,Games!$A$2:$A$18,Games!$Q$2:$Q$18,"Missing game",0)</x:f>
      </x:c>
      <x:c r="AW2493" t="str">
        <x:f>_xlfn.XLOOKUP($A2493,Games!$A$2:$A$18,Games!$R$2:$R$18,"Missing game",0)</x:f>
        <x:v>U.S. Bank Stadium</x:v>
      </x:c>
    </x:row>
    <x:row r="2494">
      <x:c r="A2494" t="str">
        <x:v>2025_17_DET_MIN</x:v>
      </x:c>
      <x:c r="B2494" t="n">
        <x:v>442</x:v>
      </x:c>
      <x:c r="C2494" t="n">
        <x:v>1</x:v>
      </x:c>
      <x:c r="D2494" t="str">
        <x:v>07:47</x:v>
      </x:c>
      <x:c r="E2494" t="n">
        <x:v>2</x:v>
      </x:c>
      <x:c r="F2494" t="n">
        <x:v>1</x:v>
      </x:c>
      <x:c r="G2494" t="str">
        <x:v>MIN</x:v>
      </x:c>
      <x:c r="H2494" t="str">
        <x:v>DET</x:v>
      </x:c>
      <x:c r="I2494" t="str">
        <x:v>DET</x:v>
      </x:c>
      <x:c r="J2494" t="n">
        <x:v>48</x:v>
      </x:c>
      <x:c r="K2494" t="str">
        <x:v>(7:47) 33-A.Jones left guard to DET 48 for no gain (51-R.Lopez).</x:v>
      </x:c>
      <x:c r="L2494" t="str">
        <x:v>run</x:v>
      </x:c>
      <x:c r="M2494" t="n">
        <x:v>0</x:v>
      </x:c>
      <x:c r="N2494" t="n">
        <x:v>0</x:v>
      </x:c>
      <x:c r="O2494" t="n">
        <x:v>0</x:v>
      </x:c>
      <x:c r="P2494"/>
      <x:c r="Q2494"/>
      <x:c r="R2494"/>
      <x:c r="S2494"/>
      <x:c r="T2494" t="str">
        <x:v>left</x:v>
      </x:c>
      <x:c r="U2494" t="str">
        <x:v>guard</x:v>
      </x:c>
      <x:c r="V2494" t="n">
        <x:v>0</x:v>
      </x:c>
      <x:c r="W2494" t="n">
        <x:v>0</x:v>
      </x:c>
      <x:c r="X2494" t="n">
        <x:v>0</x:v>
      </x:c>
      <x:c r="Y2494" t="n">
        <x:v>0</x:v>
      </x:c>
      <x:c r="Z2494" t="n">
        <x:v>0</x:v>
      </x:c>
      <x:c r="AA2494" t="n">
        <x:v>0</x:v>
      </x:c>
      <x:c r="AB2494"/>
      <x:c r="AC2494" t="n">
        <x:v>0</x:v>
      </x:c>
      <x:c r="AD2494" t="n">
        <x:v>-0.6369167806115001</x:v>
      </x:c>
      <x:c r="AE2494" t="n">
        <x:v>0</x:v>
      </x:c>
      <x:c r="AF2494" t="n">
        <x:v>-0.031157732009887695</x:v>
      </x:c>
      <x:c r="AG2494" t="n">
        <x:f>_xlfn.XLOOKUP($A2494,Games!$A$2:$A$18,Games!$B$2:$B$18,"Missing game",0)</x:f>
        <x:v>2025</x:v>
      </x:c>
      <x:c r="AH2494" t="str">
        <x:f>_xlfn.XLOOKUP($A2494,Games!$A$2:$A$18,Games!$C$2:$C$18,"Missing game",0)</x:f>
        <x:v>REG</x:v>
      </x:c>
      <x:c r="AI2494" t="n">
        <x:f>_xlfn.XLOOKUP($A2494,Games!$A$2:$A$18,Games!$D$2:$D$18,"Missing game",0)</x:f>
        <x:v>17</x:v>
      </x:c>
      <x:c r="AJ2494" s="1" t="n">
        <x:f>_xlfn.XLOOKUP($A2494,Games!$A$2:$A$18,Games!$E$2:$E$18,"Missing game",0)</x:f>
        <x:v>46016</x:v>
      </x:c>
      <x:c r="AK2494" t="str">
        <x:f>_xlfn.XLOOKUP($A2494,Games!$A$2:$A$18,Games!$F$2:$F$18,"Missing game",0)</x:f>
        <x:v>Thursday</x:v>
      </x:c>
      <x:c r="AL2494" t="str">
        <x:f>_xlfn.XLOOKUP($A2494,Games!$A$2:$A$18,Games!$G$2:$G$18,"Missing game",0)</x:f>
        <x:v>DET</x:v>
      </x:c>
      <x:c r="AM2494" t="n">
        <x:f>_xlfn.XLOOKUP($A2494,Games!$A$2:$A$18,Games!$H$2:$H$18,"Missing game",0)</x:f>
        <x:v>10</x:v>
      </x:c>
      <x:c r="AN2494" t="str">
        <x:f>_xlfn.XLOOKUP($A2494,Games!$A$2:$A$18,Games!$I$2:$I$18,"Missing game",0)</x:f>
        <x:v>MIN</x:v>
      </x:c>
      <x:c r="AO2494" t="n">
        <x:f>_xlfn.XLOOKUP($A2494,Games!$A$2:$A$18,Games!$J$2:$J$18,"Missing game",0)</x:f>
        <x:v>23</x:v>
      </x:c>
      <x:c r="AP2494" t="n">
        <x:f>_xlfn.XLOOKUP($A2494,Games!$A$2:$A$18,Games!$K$2:$K$18,"Missing game",0)</x:f>
        <x:v>13</x:v>
      </x:c>
      <x:c r="AQ2494" t="n">
        <x:f>_xlfn.XLOOKUP($A2494,Games!$A$2:$A$18,Games!$L$2:$L$18,"Missing game",0)</x:f>
        <x:v>33</x:v>
      </x:c>
      <x:c r="AR2494" t="n">
        <x:f>_xlfn.XLOOKUP($A2494,Games!$A$2:$A$18,Games!$M$2:$M$18,"Missing game",0)</x:f>
        <x:v>0</x:v>
      </x:c>
      <x:c r="AS2494" t="str">
        <x:f>_xlfn.XLOOKUP($A2494,Games!$A$2:$A$18,Games!$N$2:$N$18,"Missing game",0)</x:f>
        <x:v>dome</x:v>
      </x:c>
      <x:c r="AT2494" t="str">
        <x:f>_xlfn.XLOOKUP($A2494,Games!$A$2:$A$18,Games!$O$2:$O$18,"Missing game",0)</x:f>
        <x:v>sportturf</x:v>
      </x:c>
      <x:c r="AU2494" t="str">
        <x:f>_xlfn.XLOOKUP($A2494,Games!$A$2:$A$18,Games!$P$2:$P$18,"Missing game",0)</x:f>
      </x:c>
      <x:c r="AV2494" t="str">
        <x:f>_xlfn.XLOOKUP($A2494,Games!$A$2:$A$18,Games!$Q$2:$Q$18,"Missing game",0)</x:f>
      </x:c>
      <x:c r="AW2494" t="str">
        <x:f>_xlfn.XLOOKUP($A2494,Games!$A$2:$A$18,Games!$R$2:$R$18,"Missing game",0)</x:f>
        <x:v>U.S. Bank Stadium</x:v>
      </x:c>
    </x:row>
    <x:row r="2495">
      <x:c r="A2495" t="str">
        <x:v>2025_17_DET_MIN</x:v>
      </x:c>
      <x:c r="B2495" t="n">
        <x:v>454</x:v>
      </x:c>
      <x:c r="C2495" t="n">
        <x:v>1</x:v>
      </x:c>
      <x:c r="D2495" t="str">
        <x:v>07:47</x:v>
      </x:c>
      <x:c r="E2495"/>
      <x:c r="F2495" t="n">
        <x:v>0</x:v>
      </x:c>
      <x:c r="G2495"/>
      <x:c r="H2495"/>
      <x:c r="I2495"/>
      <x:c r="J2495"/>
      <x:c r="K2495" t="str">
        <x:v>Timeout #1 by MIN at 07:47.</x:v>
      </x:c>
      <x:c r="L2495" t="str">
        <x:v>no_play</x:v>
      </x:c>
      <x:c r="M2495" t="n">
        <x:v>0</x:v>
      </x:c>
      <x:c r="N2495" t="n">
        <x:v>0</x:v>
      </x:c>
      <x:c r="O2495" t="n">
        <x:v>0</x:v>
      </x:c>
      <x:c r="P2495"/>
      <x:c r="Q2495"/>
      <x:c r="R2495"/>
      <x:c r="S2495"/>
      <x:c r="T2495"/>
      <x:c r="U2495"/>
      <x:c r="V2495" t="n">
        <x:v>0</x:v>
      </x:c>
      <x:c r="W2495" t="n">
        <x:v>0</x:v>
      </x:c>
      <x:c r="X2495" t="n">
        <x:v>0</x:v>
      </x:c>
      <x:c r="Y2495" t="n">
        <x:v>0</x:v>
      </x:c>
      <x:c r="Z2495" t="n">
        <x:v>0</x:v>
      </x:c>
      <x:c r="AA2495" t="n">
        <x:v>0</x:v>
      </x:c>
      <x:c r="AB2495"/>
      <x:c r="AC2495" t="n">
        <x:v>0</x:v>
      </x:c>
      <x:c r="AD2495" t="n">
        <x:v>0</x:v>
      </x:c>
      <x:c r="AE2495" t="n">
        <x:v>0</x:v>
      </x:c>
      <x:c r="AF2495" t="n">
        <x:v>0</x:v>
      </x:c>
      <x:c r="AG2495" t="n">
        <x:f>_xlfn.XLOOKUP($A2495,Games!$A$2:$A$18,Games!$B$2:$B$18,"Missing game",0)</x:f>
        <x:v>2025</x:v>
      </x:c>
      <x:c r="AH2495" t="str">
        <x:f>_xlfn.XLOOKUP($A2495,Games!$A$2:$A$18,Games!$C$2:$C$18,"Missing game",0)</x:f>
        <x:v>REG</x:v>
      </x:c>
      <x:c r="AI2495" t="n">
        <x:f>_xlfn.XLOOKUP($A2495,Games!$A$2:$A$18,Games!$D$2:$D$18,"Missing game",0)</x:f>
        <x:v>17</x:v>
      </x:c>
      <x:c r="AJ2495" s="1" t="n">
        <x:f>_xlfn.XLOOKUP($A2495,Games!$A$2:$A$18,Games!$E$2:$E$18,"Missing game",0)</x:f>
        <x:v>46016</x:v>
      </x:c>
      <x:c r="AK2495" t="str">
        <x:f>_xlfn.XLOOKUP($A2495,Games!$A$2:$A$18,Games!$F$2:$F$18,"Missing game",0)</x:f>
        <x:v>Thursday</x:v>
      </x:c>
      <x:c r="AL2495" t="str">
        <x:f>_xlfn.XLOOKUP($A2495,Games!$A$2:$A$18,Games!$G$2:$G$18,"Missing game",0)</x:f>
        <x:v>DET</x:v>
      </x:c>
      <x:c r="AM2495" t="n">
        <x:f>_xlfn.XLOOKUP($A2495,Games!$A$2:$A$18,Games!$H$2:$H$18,"Missing game",0)</x:f>
        <x:v>10</x:v>
      </x:c>
      <x:c r="AN2495" t="str">
        <x:f>_xlfn.XLOOKUP($A2495,Games!$A$2:$A$18,Games!$I$2:$I$18,"Missing game",0)</x:f>
        <x:v>MIN</x:v>
      </x:c>
      <x:c r="AO2495" t="n">
        <x:f>_xlfn.XLOOKUP($A2495,Games!$A$2:$A$18,Games!$J$2:$J$18,"Missing game",0)</x:f>
        <x:v>23</x:v>
      </x:c>
      <x:c r="AP2495" t="n">
        <x:f>_xlfn.XLOOKUP($A2495,Games!$A$2:$A$18,Games!$K$2:$K$18,"Missing game",0)</x:f>
        <x:v>13</x:v>
      </x:c>
      <x:c r="AQ2495" t="n">
        <x:f>_xlfn.XLOOKUP($A2495,Games!$A$2:$A$18,Games!$L$2:$L$18,"Missing game",0)</x:f>
        <x:v>33</x:v>
      </x:c>
      <x:c r="AR2495" t="n">
        <x:f>_xlfn.XLOOKUP($A2495,Games!$A$2:$A$18,Games!$M$2:$M$18,"Missing game",0)</x:f>
        <x:v>0</x:v>
      </x:c>
      <x:c r="AS2495" t="str">
        <x:f>_xlfn.XLOOKUP($A2495,Games!$A$2:$A$18,Games!$N$2:$N$18,"Missing game",0)</x:f>
        <x:v>dome</x:v>
      </x:c>
      <x:c r="AT2495" t="str">
        <x:f>_xlfn.XLOOKUP($A2495,Games!$A$2:$A$18,Games!$O$2:$O$18,"Missing game",0)</x:f>
        <x:v>sportturf</x:v>
      </x:c>
      <x:c r="AU2495" t="str">
        <x:f>_xlfn.XLOOKUP($A2495,Games!$A$2:$A$18,Games!$P$2:$P$18,"Missing game",0)</x:f>
      </x:c>
      <x:c r="AV2495" t="str">
        <x:f>_xlfn.XLOOKUP($A2495,Games!$A$2:$A$18,Games!$Q$2:$Q$18,"Missing game",0)</x:f>
      </x:c>
      <x:c r="AW2495" t="str">
        <x:f>_xlfn.XLOOKUP($A2495,Games!$A$2:$A$18,Games!$R$2:$R$18,"Missing game",0)</x:f>
        <x:v>U.S. Bank Stadium</x:v>
      </x:c>
    </x:row>
    <x:row r="2496">
      <x:c r="A2496" t="str">
        <x:v>2025_17_DET_MIN</x:v>
      </x:c>
      <x:c r="B2496" t="n">
        <x:v>471</x:v>
      </x:c>
      <x:c r="C2496" t="n">
        <x:v>1</x:v>
      </x:c>
      <x:c r="D2496" t="str">
        <x:v>07:03</x:v>
      </x:c>
      <x:c r="E2496" t="n">
        <x:v>3</x:v>
      </x:c>
      <x:c r="F2496" t="n">
        <x:v>1</x:v>
      </x:c>
      <x:c r="G2496" t="str">
        <x:v>MIN</x:v>
      </x:c>
      <x:c r="H2496" t="str">
        <x:v>DET</x:v>
      </x:c>
      <x:c r="I2496" t="str">
        <x:v>DET</x:v>
      </x:c>
      <x:c r="J2496" t="n">
        <x:v>48</x:v>
      </x:c>
      <x:c r="K2496" t="str">
        <x:v>(7:03) (Shotgun) 12-M.Brosmer scrambles right end ran ob at DET 37 for 11 yards (55-D.Barnes).</x:v>
      </x:c>
      <x:c r="L2496" t="str">
        <x:v>run</x:v>
      </x:c>
      <x:c r="M2496" t="n">
        <x:v>11</x:v>
      </x:c>
      <x:c r="N2496" t="n">
        <x:v>1</x:v>
      </x:c>
      <x:c r="O2496" t="n">
        <x:v>0</x:v>
      </x:c>
      <x:c r="P2496"/>
      <x:c r="Q2496"/>
      <x:c r="R2496"/>
      <x:c r="S2496"/>
      <x:c r="T2496" t="str">
        <x:v>right</x:v>
      </x:c>
      <x:c r="U2496" t="str">
        <x:v>end</x:v>
      </x:c>
      <x:c r="V2496" t="n">
        <x:v>0</x:v>
      </x:c>
      <x:c r="W2496" t="n">
        <x:v>1</x:v>
      </x:c>
      <x:c r="X2496" t="n">
        <x:v>0</x:v>
      </x:c>
      <x:c r="Y2496" t="n">
        <x:v>0</x:v>
      </x:c>
      <x:c r="Z2496" t="n">
        <x:v>0</x:v>
      </x:c>
      <x:c r="AA2496" t="n">
        <x:v>0</x:v>
      </x:c>
      <x:c r="AB2496"/>
      <x:c r="AC2496" t="n">
        <x:v>0</x:v>
      </x:c>
      <x:c r="AD2496" t="n">
        <x:v>1.1495303369592875</x:v>
      </x:c>
      <x:c r="AE2496" t="n">
        <x:v>1</x:v>
      </x:c>
      <x:c r="AF2496" t="n">
        <x:v>0.0705711841583252</x:v>
      </x:c>
      <x:c r="AG2496" t="n">
        <x:f>_xlfn.XLOOKUP($A2496,Games!$A$2:$A$18,Games!$B$2:$B$18,"Missing game",0)</x:f>
        <x:v>2025</x:v>
      </x:c>
      <x:c r="AH2496" t="str">
        <x:f>_xlfn.XLOOKUP($A2496,Games!$A$2:$A$18,Games!$C$2:$C$18,"Missing game",0)</x:f>
        <x:v>REG</x:v>
      </x:c>
      <x:c r="AI2496" t="n">
        <x:f>_xlfn.XLOOKUP($A2496,Games!$A$2:$A$18,Games!$D$2:$D$18,"Missing game",0)</x:f>
        <x:v>17</x:v>
      </x:c>
      <x:c r="AJ2496" s="1" t="n">
        <x:f>_xlfn.XLOOKUP($A2496,Games!$A$2:$A$18,Games!$E$2:$E$18,"Missing game",0)</x:f>
        <x:v>46016</x:v>
      </x:c>
      <x:c r="AK2496" t="str">
        <x:f>_xlfn.XLOOKUP($A2496,Games!$A$2:$A$18,Games!$F$2:$F$18,"Missing game",0)</x:f>
        <x:v>Thursday</x:v>
      </x:c>
      <x:c r="AL2496" t="str">
        <x:f>_xlfn.XLOOKUP($A2496,Games!$A$2:$A$18,Games!$G$2:$G$18,"Missing game",0)</x:f>
        <x:v>DET</x:v>
      </x:c>
      <x:c r="AM2496" t="n">
        <x:f>_xlfn.XLOOKUP($A2496,Games!$A$2:$A$18,Games!$H$2:$H$18,"Missing game",0)</x:f>
        <x:v>10</x:v>
      </x:c>
      <x:c r="AN2496" t="str">
        <x:f>_xlfn.XLOOKUP($A2496,Games!$A$2:$A$18,Games!$I$2:$I$18,"Missing game",0)</x:f>
        <x:v>MIN</x:v>
      </x:c>
      <x:c r="AO2496" t="n">
        <x:f>_xlfn.XLOOKUP($A2496,Games!$A$2:$A$18,Games!$J$2:$J$18,"Missing game",0)</x:f>
        <x:v>23</x:v>
      </x:c>
      <x:c r="AP2496" t="n">
        <x:f>_xlfn.XLOOKUP($A2496,Games!$A$2:$A$18,Games!$K$2:$K$18,"Missing game",0)</x:f>
        <x:v>13</x:v>
      </x:c>
      <x:c r="AQ2496" t="n">
        <x:f>_xlfn.XLOOKUP($A2496,Games!$A$2:$A$18,Games!$L$2:$L$18,"Missing game",0)</x:f>
        <x:v>33</x:v>
      </x:c>
      <x:c r="AR2496" t="n">
        <x:f>_xlfn.XLOOKUP($A2496,Games!$A$2:$A$18,Games!$M$2:$M$18,"Missing game",0)</x:f>
        <x:v>0</x:v>
      </x:c>
      <x:c r="AS2496" t="str">
        <x:f>_xlfn.XLOOKUP($A2496,Games!$A$2:$A$18,Games!$N$2:$N$18,"Missing game",0)</x:f>
        <x:v>dome</x:v>
      </x:c>
      <x:c r="AT2496" t="str">
        <x:f>_xlfn.XLOOKUP($A2496,Games!$A$2:$A$18,Games!$O$2:$O$18,"Missing game",0)</x:f>
        <x:v>sportturf</x:v>
      </x:c>
      <x:c r="AU2496" t="str">
        <x:f>_xlfn.XLOOKUP($A2496,Games!$A$2:$A$18,Games!$P$2:$P$18,"Missing game",0)</x:f>
      </x:c>
      <x:c r="AV2496" t="str">
        <x:f>_xlfn.XLOOKUP($A2496,Games!$A$2:$A$18,Games!$Q$2:$Q$18,"Missing game",0)</x:f>
      </x:c>
      <x:c r="AW2496" t="str">
        <x:f>_xlfn.XLOOKUP($A2496,Games!$A$2:$A$18,Games!$R$2:$R$18,"Missing game",0)</x:f>
        <x:v>U.S. Bank Stadium</x:v>
      </x:c>
    </x:row>
    <x:row r="2497">
      <x:c r="A2497" t="str">
        <x:v>2025_17_DET_MIN</x:v>
      </x:c>
      <x:c r="B2497" t="n">
        <x:v>503</x:v>
      </x:c>
      <x:c r="C2497" t="n">
        <x:v>1</x:v>
      </x:c>
      <x:c r="D2497" t="str">
        <x:v>06:23</x:v>
      </x:c>
      <x:c r="E2497" t="n">
        <x:v>1</x:v>
      </x:c>
      <x:c r="F2497" t="n">
        <x:v>10</x:v>
      </x:c>
      <x:c r="G2497" t="str">
        <x:v>MIN</x:v>
      </x:c>
      <x:c r="H2497" t="str">
        <x:v>DET</x:v>
      </x:c>
      <x:c r="I2497" t="str">
        <x:v>DET</x:v>
      </x:c>
      <x:c r="J2497" t="n">
        <x:v>37</x:v>
      </x:c>
      <x:c r="K2497" t="str">
        <x:v>(6:23) (Shotgun) 33-A.Jones left tackle to DET 32 for 5 yards (2-D.Thomas).</x:v>
      </x:c>
      <x:c r="L2497" t="str">
        <x:v>run</x:v>
      </x:c>
      <x:c r="M2497" t="n">
        <x:v>5</x:v>
      </x:c>
      <x:c r="N2497" t="n">
        <x:v>1</x:v>
      </x:c>
      <x:c r="O2497" t="n">
        <x:v>0</x:v>
      </x:c>
      <x:c r="P2497"/>
      <x:c r="Q2497"/>
      <x:c r="R2497"/>
      <x:c r="S2497"/>
      <x:c r="T2497" t="str">
        <x:v>left</x:v>
      </x:c>
      <x:c r="U2497" t="str">
        <x:v>tackle</x:v>
      </x:c>
      <x:c r="V2497" t="n">
        <x:v>0</x:v>
      </x:c>
      <x:c r="W2497" t="n">
        <x:v>0</x:v>
      </x:c>
      <x:c r="X2497" t="n">
        <x:v>0</x:v>
      </x:c>
      <x:c r="Y2497" t="n">
        <x:v>0</x:v>
      </x:c>
      <x:c r="Z2497" t="n">
        <x:v>0</x:v>
      </x:c>
      <x:c r="AA2497" t="n">
        <x:v>0</x:v>
      </x:c>
      <x:c r="AB2497"/>
      <x:c r="AC2497" t="n">
        <x:v>0</x:v>
      </x:c>
      <x:c r="AD2497" t="n">
        <x:v>0.08446185768116266</x:v>
      </x:c>
      <x:c r="AE2497" t="n">
        <x:v>1</x:v>
      </x:c>
      <x:c r="AF2497" t="n">
        <x:v>-0.011868894100189209</x:v>
      </x:c>
      <x:c r="AG2497" t="n">
        <x:f>_xlfn.XLOOKUP($A2497,Games!$A$2:$A$18,Games!$B$2:$B$18,"Missing game",0)</x:f>
        <x:v>2025</x:v>
      </x:c>
      <x:c r="AH2497" t="str">
        <x:f>_xlfn.XLOOKUP($A2497,Games!$A$2:$A$18,Games!$C$2:$C$18,"Missing game",0)</x:f>
        <x:v>REG</x:v>
      </x:c>
      <x:c r="AI2497" t="n">
        <x:f>_xlfn.XLOOKUP($A2497,Games!$A$2:$A$18,Games!$D$2:$D$18,"Missing game",0)</x:f>
        <x:v>17</x:v>
      </x:c>
      <x:c r="AJ2497" s="1" t="n">
        <x:f>_xlfn.XLOOKUP($A2497,Games!$A$2:$A$18,Games!$E$2:$E$18,"Missing game",0)</x:f>
        <x:v>46016</x:v>
      </x:c>
      <x:c r="AK2497" t="str">
        <x:f>_xlfn.XLOOKUP($A2497,Games!$A$2:$A$18,Games!$F$2:$F$18,"Missing game",0)</x:f>
        <x:v>Thursday</x:v>
      </x:c>
      <x:c r="AL2497" t="str">
        <x:f>_xlfn.XLOOKUP($A2497,Games!$A$2:$A$18,Games!$G$2:$G$18,"Missing game",0)</x:f>
        <x:v>DET</x:v>
      </x:c>
      <x:c r="AM2497" t="n">
        <x:f>_xlfn.XLOOKUP($A2497,Games!$A$2:$A$18,Games!$H$2:$H$18,"Missing game",0)</x:f>
        <x:v>10</x:v>
      </x:c>
      <x:c r="AN2497" t="str">
        <x:f>_xlfn.XLOOKUP($A2497,Games!$A$2:$A$18,Games!$I$2:$I$18,"Missing game",0)</x:f>
        <x:v>MIN</x:v>
      </x:c>
      <x:c r="AO2497" t="n">
        <x:f>_xlfn.XLOOKUP($A2497,Games!$A$2:$A$18,Games!$J$2:$J$18,"Missing game",0)</x:f>
        <x:v>23</x:v>
      </x:c>
      <x:c r="AP2497" t="n">
        <x:f>_xlfn.XLOOKUP($A2497,Games!$A$2:$A$18,Games!$K$2:$K$18,"Missing game",0)</x:f>
        <x:v>13</x:v>
      </x:c>
      <x:c r="AQ2497" t="n">
        <x:f>_xlfn.XLOOKUP($A2497,Games!$A$2:$A$18,Games!$L$2:$L$18,"Missing game",0)</x:f>
        <x:v>33</x:v>
      </x:c>
      <x:c r="AR2497" t="n">
        <x:f>_xlfn.XLOOKUP($A2497,Games!$A$2:$A$18,Games!$M$2:$M$18,"Missing game",0)</x:f>
        <x:v>0</x:v>
      </x:c>
      <x:c r="AS2497" t="str">
        <x:f>_xlfn.XLOOKUP($A2497,Games!$A$2:$A$18,Games!$N$2:$N$18,"Missing game",0)</x:f>
        <x:v>dome</x:v>
      </x:c>
      <x:c r="AT2497" t="str">
        <x:f>_xlfn.XLOOKUP($A2497,Games!$A$2:$A$18,Games!$O$2:$O$18,"Missing game",0)</x:f>
        <x:v>sportturf</x:v>
      </x:c>
      <x:c r="AU2497" t="str">
        <x:f>_xlfn.XLOOKUP($A2497,Games!$A$2:$A$18,Games!$P$2:$P$18,"Missing game",0)</x:f>
      </x:c>
      <x:c r="AV2497" t="str">
        <x:f>_xlfn.XLOOKUP($A2497,Games!$A$2:$A$18,Games!$Q$2:$Q$18,"Missing game",0)</x:f>
      </x:c>
      <x:c r="AW2497" t="str">
        <x:f>_xlfn.XLOOKUP($A2497,Games!$A$2:$A$18,Games!$R$2:$R$18,"Missing game",0)</x:f>
        <x:v>U.S. Bank Stadium</x:v>
      </x:c>
    </x:row>
    <x:row r="2498">
      <x:c r="A2498" t="str">
        <x:v>2025_17_DET_MIN</x:v>
      </x:c>
      <x:c r="B2498" t="n">
        <x:v>525</x:v>
      </x:c>
      <x:c r="C2498" t="n">
        <x:v>1</x:v>
      </x:c>
      <x:c r="D2498" t="str">
        <x:v>05:48</x:v>
      </x:c>
      <x:c r="E2498" t="n">
        <x:v>2</x:v>
      </x:c>
      <x:c r="F2498" t="n">
        <x:v>5</x:v>
      </x:c>
      <x:c r="G2498" t="str">
        <x:v>MIN</x:v>
      </x:c>
      <x:c r="H2498" t="str">
        <x:v>DET</x:v>
      </x:c>
      <x:c r="I2498" t="str">
        <x:v>DET</x:v>
      </x:c>
      <x:c r="J2498" t="n">
        <x:v>32</x:v>
      </x:c>
      <x:c r="K2498" t="str">
        <x:v>(5:48) (Shotgun) 12-M.Brosmer pass short right to 33-A.Jones to DET 36 for -4 yards (2-D.Thomas).</x:v>
      </x:c>
      <x:c r="L2498" t="str">
        <x:v>pass</x:v>
      </x:c>
      <x:c r="M2498" t="n">
        <x:v>-4</x:v>
      </x:c>
      <x:c r="N2498" t="n">
        <x:v>1</x:v>
      </x:c>
      <x:c r="O2498" t="n">
        <x:v>0</x:v>
      </x:c>
      <x:c r="P2498" t="str">
        <x:v>short</x:v>
      </x:c>
      <x:c r="Q2498" t="str">
        <x:v>right</x:v>
      </x:c>
      <x:c r="R2498" t="n">
        <x:v>-6</x:v>
      </x:c>
      <x:c r="S2498" t="n">
        <x:v>2</x:v>
      </x:c>
      <x:c r="T2498"/>
      <x:c r="U2498"/>
      <x:c r="V2498" t="n">
        <x:v>1</x:v>
      </x:c>
      <x:c r="W2498" t="n">
        <x:v>0</x:v>
      </x:c>
      <x:c r="X2498" t="n">
        <x:v>0</x:v>
      </x:c>
      <x:c r="Y2498" t="n">
        <x:v>0</x:v>
      </x:c>
      <x:c r="Z2498" t="n">
        <x:v>0</x:v>
      </x:c>
      <x:c r="AA2498" t="n">
        <x:v>0</x:v>
      </x:c>
      <x:c r="AB2498"/>
      <x:c r="AC2498" t="n">
        <x:v>0</x:v>
      </x:c>
      <x:c r="AD2498" t="n">
        <x:v>-1.4204837766010314</x:v>
      </x:c>
      <x:c r="AE2498" t="n">
        <x:v>0</x:v>
      </x:c>
      <x:c r="AF2498" t="n">
        <x:v>-0.03748220205307007</x:v>
      </x:c>
      <x:c r="AG2498" t="n">
        <x:f>_xlfn.XLOOKUP($A2498,Games!$A$2:$A$18,Games!$B$2:$B$18,"Missing game",0)</x:f>
        <x:v>2025</x:v>
      </x:c>
      <x:c r="AH2498" t="str">
        <x:f>_xlfn.XLOOKUP($A2498,Games!$A$2:$A$18,Games!$C$2:$C$18,"Missing game",0)</x:f>
        <x:v>REG</x:v>
      </x:c>
      <x:c r="AI2498" t="n">
        <x:f>_xlfn.XLOOKUP($A2498,Games!$A$2:$A$18,Games!$D$2:$D$18,"Missing game",0)</x:f>
        <x:v>17</x:v>
      </x:c>
      <x:c r="AJ2498" s="1" t="n">
        <x:f>_xlfn.XLOOKUP($A2498,Games!$A$2:$A$18,Games!$E$2:$E$18,"Missing game",0)</x:f>
        <x:v>46016</x:v>
      </x:c>
      <x:c r="AK2498" t="str">
        <x:f>_xlfn.XLOOKUP($A2498,Games!$A$2:$A$18,Games!$F$2:$F$18,"Missing game",0)</x:f>
        <x:v>Thursday</x:v>
      </x:c>
      <x:c r="AL2498" t="str">
        <x:f>_xlfn.XLOOKUP($A2498,Games!$A$2:$A$18,Games!$G$2:$G$18,"Missing game",0)</x:f>
        <x:v>DET</x:v>
      </x:c>
      <x:c r="AM2498" t="n">
        <x:f>_xlfn.XLOOKUP($A2498,Games!$A$2:$A$18,Games!$H$2:$H$18,"Missing game",0)</x:f>
        <x:v>10</x:v>
      </x:c>
      <x:c r="AN2498" t="str">
        <x:f>_xlfn.XLOOKUP($A2498,Games!$A$2:$A$18,Games!$I$2:$I$18,"Missing game",0)</x:f>
        <x:v>MIN</x:v>
      </x:c>
      <x:c r="AO2498" t="n">
        <x:f>_xlfn.XLOOKUP($A2498,Games!$A$2:$A$18,Games!$J$2:$J$18,"Missing game",0)</x:f>
        <x:v>23</x:v>
      </x:c>
      <x:c r="AP2498" t="n">
        <x:f>_xlfn.XLOOKUP($A2498,Games!$A$2:$A$18,Games!$K$2:$K$18,"Missing game",0)</x:f>
        <x:v>13</x:v>
      </x:c>
      <x:c r="AQ2498" t="n">
        <x:f>_xlfn.XLOOKUP($A2498,Games!$A$2:$A$18,Games!$L$2:$L$18,"Missing game",0)</x:f>
        <x:v>33</x:v>
      </x:c>
      <x:c r="AR2498" t="n">
        <x:f>_xlfn.XLOOKUP($A2498,Games!$A$2:$A$18,Games!$M$2:$M$18,"Missing game",0)</x:f>
        <x:v>0</x:v>
      </x:c>
      <x:c r="AS2498" t="str">
        <x:f>_xlfn.XLOOKUP($A2498,Games!$A$2:$A$18,Games!$N$2:$N$18,"Missing game",0)</x:f>
        <x:v>dome</x:v>
      </x:c>
      <x:c r="AT2498" t="str">
        <x:f>_xlfn.XLOOKUP($A2498,Games!$A$2:$A$18,Games!$O$2:$O$18,"Missing game",0)</x:f>
        <x:v>sportturf</x:v>
      </x:c>
      <x:c r="AU2498" t="str">
        <x:f>_xlfn.XLOOKUP($A2498,Games!$A$2:$A$18,Games!$P$2:$P$18,"Missing game",0)</x:f>
      </x:c>
      <x:c r="AV2498" t="str">
        <x:f>_xlfn.XLOOKUP($A2498,Games!$A$2:$A$18,Games!$Q$2:$Q$18,"Missing game",0)</x:f>
      </x:c>
      <x:c r="AW2498" t="str">
        <x:f>_xlfn.XLOOKUP($A2498,Games!$A$2:$A$18,Games!$R$2:$R$18,"Missing game",0)</x:f>
        <x:v>U.S. Bank Stadium</x:v>
      </x:c>
    </x:row>
    <x:row r="2499">
      <x:c r="A2499" t="str">
        <x:v>2025_17_DET_MIN</x:v>
      </x:c>
      <x:c r="B2499" t="n">
        <x:v>550</x:v>
      </x:c>
      <x:c r="C2499" t="n">
        <x:v>1</x:v>
      </x:c>
      <x:c r="D2499" t="str">
        <x:v>05:03</x:v>
      </x:c>
      <x:c r="E2499" t="n">
        <x:v>3</x:v>
      </x:c>
      <x:c r="F2499" t="n">
        <x:v>9</x:v>
      </x:c>
      <x:c r="G2499" t="str">
        <x:v>MIN</x:v>
      </x:c>
      <x:c r="H2499" t="str">
        <x:v>DET</x:v>
      </x:c>
      <x:c r="I2499" t="str">
        <x:v>DET</x:v>
      </x:c>
      <x:c r="J2499" t="n">
        <x:v>36</x:v>
      </x:c>
      <x:c r="K2499" t="str">
        <x:v>(5:03) (Shotgun) 12-M.Brosmer sacked at MIN 49 for -15 yards (97-A.Hutchinson).</x:v>
      </x:c>
      <x:c r="L2499" t="str">
        <x:v>pass</x:v>
      </x:c>
      <x:c r="M2499" t="n">
        <x:v>-15</x:v>
      </x:c>
      <x:c r="N2499" t="n">
        <x:v>1</x:v>
      </x:c>
      <x:c r="O2499" t="n">
        <x:v>0</x:v>
      </x:c>
      <x:c r="P2499"/>
      <x:c r="Q2499"/>
      <x:c r="R2499"/>
      <x:c r="S2499"/>
      <x:c r="T2499"/>
      <x:c r="U2499"/>
      <x:c r="V2499" t="n">
        <x:v>0</x:v>
      </x:c>
      <x:c r="W2499" t="n">
        <x:v>0</x:v>
      </x:c>
      <x:c r="X2499" t="n">
        <x:v>1</x:v>
      </x:c>
      <x:c r="Y2499" t="n">
        <x:v>0</x:v>
      </x:c>
      <x:c r="Z2499" t="n">
        <x:v>0</x:v>
      </x:c>
      <x:c r="AA2499" t="n">
        <x:v>0</x:v>
      </x:c>
      <x:c r="AB2499"/>
      <x:c r="AC2499" t="n">
        <x:v>0</x:v>
      </x:c>
      <x:c r="AD2499" t="n">
        <x:v>-2.6773370337905362</x:v>
      </x:c>
      <x:c r="AE2499" t="n">
        <x:v>0</x:v>
      </x:c>
      <x:c r="AF2499" t="n">
        <x:v>-0.0964396595954895</x:v>
      </x:c>
      <x:c r="AG2499" t="n">
        <x:f>_xlfn.XLOOKUP($A2499,Games!$A$2:$A$18,Games!$B$2:$B$18,"Missing game",0)</x:f>
        <x:v>2025</x:v>
      </x:c>
      <x:c r="AH2499" t="str">
        <x:f>_xlfn.XLOOKUP($A2499,Games!$A$2:$A$18,Games!$C$2:$C$18,"Missing game",0)</x:f>
        <x:v>REG</x:v>
      </x:c>
      <x:c r="AI2499" t="n">
        <x:f>_xlfn.XLOOKUP($A2499,Games!$A$2:$A$18,Games!$D$2:$D$18,"Missing game",0)</x:f>
        <x:v>17</x:v>
      </x:c>
      <x:c r="AJ2499" s="1" t="n">
        <x:f>_xlfn.XLOOKUP($A2499,Games!$A$2:$A$18,Games!$E$2:$E$18,"Missing game",0)</x:f>
        <x:v>46016</x:v>
      </x:c>
      <x:c r="AK2499" t="str">
        <x:f>_xlfn.XLOOKUP($A2499,Games!$A$2:$A$18,Games!$F$2:$F$18,"Missing game",0)</x:f>
        <x:v>Thursday</x:v>
      </x:c>
      <x:c r="AL2499" t="str">
        <x:f>_xlfn.XLOOKUP($A2499,Games!$A$2:$A$18,Games!$G$2:$G$18,"Missing game",0)</x:f>
        <x:v>DET</x:v>
      </x:c>
      <x:c r="AM2499" t="n">
        <x:f>_xlfn.XLOOKUP($A2499,Games!$A$2:$A$18,Games!$H$2:$H$18,"Missing game",0)</x:f>
        <x:v>10</x:v>
      </x:c>
      <x:c r="AN2499" t="str">
        <x:f>_xlfn.XLOOKUP($A2499,Games!$A$2:$A$18,Games!$I$2:$I$18,"Missing game",0)</x:f>
        <x:v>MIN</x:v>
      </x:c>
      <x:c r="AO2499" t="n">
        <x:f>_xlfn.XLOOKUP($A2499,Games!$A$2:$A$18,Games!$J$2:$J$18,"Missing game",0)</x:f>
        <x:v>23</x:v>
      </x:c>
      <x:c r="AP2499" t="n">
        <x:f>_xlfn.XLOOKUP($A2499,Games!$A$2:$A$18,Games!$K$2:$K$18,"Missing game",0)</x:f>
        <x:v>13</x:v>
      </x:c>
      <x:c r="AQ2499" t="n">
        <x:f>_xlfn.XLOOKUP($A2499,Games!$A$2:$A$18,Games!$L$2:$L$18,"Missing game",0)</x:f>
        <x:v>33</x:v>
      </x:c>
      <x:c r="AR2499" t="n">
        <x:f>_xlfn.XLOOKUP($A2499,Games!$A$2:$A$18,Games!$M$2:$M$18,"Missing game",0)</x:f>
        <x:v>0</x:v>
      </x:c>
      <x:c r="AS2499" t="str">
        <x:f>_xlfn.XLOOKUP($A2499,Games!$A$2:$A$18,Games!$N$2:$N$18,"Missing game",0)</x:f>
        <x:v>dome</x:v>
      </x:c>
      <x:c r="AT2499" t="str">
        <x:f>_xlfn.XLOOKUP($A2499,Games!$A$2:$A$18,Games!$O$2:$O$18,"Missing game",0)</x:f>
        <x:v>sportturf</x:v>
      </x:c>
      <x:c r="AU2499" t="str">
        <x:f>_xlfn.XLOOKUP($A2499,Games!$A$2:$A$18,Games!$P$2:$P$18,"Missing game",0)</x:f>
      </x:c>
      <x:c r="AV2499" t="str">
        <x:f>_xlfn.XLOOKUP($A2499,Games!$A$2:$A$18,Games!$Q$2:$Q$18,"Missing game",0)</x:f>
      </x:c>
      <x:c r="AW2499" t="str">
        <x:f>_xlfn.XLOOKUP($A2499,Games!$A$2:$A$18,Games!$R$2:$R$18,"Missing game",0)</x:f>
        <x:v>U.S. Bank Stadium</x:v>
      </x:c>
    </x:row>
    <x:row r="2500">
      <x:c r="A2500" t="str">
        <x:v>2025_17_DET_MIN</x:v>
      </x:c>
      <x:c r="B2500" t="n">
        <x:v>581</x:v>
      </x:c>
      <x:c r="C2500" t="n">
        <x:v>1</x:v>
      </x:c>
      <x:c r="D2500" t="str">
        <x:v>04:44</x:v>
      </x:c>
      <x:c r="E2500" t="n">
        <x:v>4</x:v>
      </x:c>
      <x:c r="F2500" t="n">
        <x:v>24</x:v>
      </x:c>
      <x:c r="G2500" t="str">
        <x:v>MIN</x:v>
      </x:c>
      <x:c r="H2500" t="str">
        <x:v>DET</x:v>
      </x:c>
      <x:c r="I2500" t="str">
        <x:v>MIN</x:v>
      </x:c>
      <x:c r="J2500" t="n">
        <x:v>51</x:v>
      </x:c>
      <x:c r="K2500" t="str">
        <x:v>(4:44) 17-R.Wright punts 45 yards to DET 6, Center-42-A.DePaola. 11-K.Raymond to DET 9 for 3 yards (37-T.Thomas).</x:v>
      </x:c>
      <x:c r="L2500" t="str">
        <x:v>punt</x:v>
      </x:c>
      <x:c r="M2500" t="n">
        <x:v>0</x:v>
      </x:c>
      <x:c r="N2500" t="n">
        <x:v>0</x:v>
      </x:c>
      <x:c r="O2500" t="n">
        <x:v>0</x:v>
      </x:c>
      <x:c r="P2500"/>
      <x:c r="Q2500"/>
      <x:c r="R2500"/>
      <x:c r="S2500"/>
      <x:c r="T2500"/>
      <x:c r="U2500"/>
      <x:c r="V2500" t="n">
        <x:v>0</x:v>
      </x:c>
      <x:c r="W2500" t="n">
        <x:v>0</x:v>
      </x:c>
      <x:c r="X2500" t="n">
        <x:v>0</x:v>
      </x:c>
      <x:c r="Y2500" t="n">
        <x:v>0</x:v>
      </x:c>
      <x:c r="Z2500" t="n">
        <x:v>0</x:v>
      </x:c>
      <x:c r="AA2500" t="n">
        <x:v>0</x:v>
      </x:c>
      <x:c r="AB2500"/>
      <x:c r="AC2500" t="n">
        <x:v>0</x:v>
      </x:c>
      <x:c r="AD2500" t="n">
        <x:v>-0.23858020827174187</x:v>
      </x:c>
      <x:c r="AE2500" t="n">
        <x:v>0</x:v>
      </x:c>
      <x:c r="AF2500" t="n">
        <x:v>0.043171703815460205</x:v>
      </x:c>
      <x:c r="AG2500" t="n">
        <x:f>_xlfn.XLOOKUP($A2500,Games!$A$2:$A$18,Games!$B$2:$B$18,"Missing game",0)</x:f>
        <x:v>2025</x:v>
      </x:c>
      <x:c r="AH2500" t="str">
        <x:f>_xlfn.XLOOKUP($A2500,Games!$A$2:$A$18,Games!$C$2:$C$18,"Missing game",0)</x:f>
        <x:v>REG</x:v>
      </x:c>
      <x:c r="AI2500" t="n">
        <x:f>_xlfn.XLOOKUP($A2500,Games!$A$2:$A$18,Games!$D$2:$D$18,"Missing game",0)</x:f>
        <x:v>17</x:v>
      </x:c>
      <x:c r="AJ2500" s="1" t="n">
        <x:f>_xlfn.XLOOKUP($A2500,Games!$A$2:$A$18,Games!$E$2:$E$18,"Missing game",0)</x:f>
        <x:v>46016</x:v>
      </x:c>
      <x:c r="AK2500" t="str">
        <x:f>_xlfn.XLOOKUP($A2500,Games!$A$2:$A$18,Games!$F$2:$F$18,"Missing game",0)</x:f>
        <x:v>Thursday</x:v>
      </x:c>
      <x:c r="AL2500" t="str">
        <x:f>_xlfn.XLOOKUP($A2500,Games!$A$2:$A$18,Games!$G$2:$G$18,"Missing game",0)</x:f>
        <x:v>DET</x:v>
      </x:c>
      <x:c r="AM2500" t="n">
        <x:f>_xlfn.XLOOKUP($A2500,Games!$A$2:$A$18,Games!$H$2:$H$18,"Missing game",0)</x:f>
        <x:v>10</x:v>
      </x:c>
      <x:c r="AN2500" t="str">
        <x:f>_xlfn.XLOOKUP($A2500,Games!$A$2:$A$18,Games!$I$2:$I$18,"Missing game",0)</x:f>
        <x:v>MIN</x:v>
      </x:c>
      <x:c r="AO2500" t="n">
        <x:f>_xlfn.XLOOKUP($A2500,Games!$A$2:$A$18,Games!$J$2:$J$18,"Missing game",0)</x:f>
        <x:v>23</x:v>
      </x:c>
      <x:c r="AP2500" t="n">
        <x:f>_xlfn.XLOOKUP($A2500,Games!$A$2:$A$18,Games!$K$2:$K$18,"Missing game",0)</x:f>
        <x:v>13</x:v>
      </x:c>
      <x:c r="AQ2500" t="n">
        <x:f>_xlfn.XLOOKUP($A2500,Games!$A$2:$A$18,Games!$L$2:$L$18,"Missing game",0)</x:f>
        <x:v>33</x:v>
      </x:c>
      <x:c r="AR2500" t="n">
        <x:f>_xlfn.XLOOKUP($A2500,Games!$A$2:$A$18,Games!$M$2:$M$18,"Missing game",0)</x:f>
        <x:v>0</x:v>
      </x:c>
      <x:c r="AS2500" t="str">
        <x:f>_xlfn.XLOOKUP($A2500,Games!$A$2:$A$18,Games!$N$2:$N$18,"Missing game",0)</x:f>
        <x:v>dome</x:v>
      </x:c>
      <x:c r="AT2500" t="str">
        <x:f>_xlfn.XLOOKUP($A2500,Games!$A$2:$A$18,Games!$O$2:$O$18,"Missing game",0)</x:f>
        <x:v>sportturf</x:v>
      </x:c>
      <x:c r="AU2500" t="str">
        <x:f>_xlfn.XLOOKUP($A2500,Games!$A$2:$A$18,Games!$P$2:$P$18,"Missing game",0)</x:f>
      </x:c>
      <x:c r="AV2500" t="str">
        <x:f>_xlfn.XLOOKUP($A2500,Games!$A$2:$A$18,Games!$Q$2:$Q$18,"Missing game",0)</x:f>
      </x:c>
      <x:c r="AW2500" t="str">
        <x:f>_xlfn.XLOOKUP($A2500,Games!$A$2:$A$18,Games!$R$2:$R$18,"Missing game",0)</x:f>
        <x:v>U.S. Bank Stadium</x:v>
      </x:c>
    </x:row>
    <x:row r="2501">
      <x:c r="A2501" t="str">
        <x:v>2025_17_DET_MIN</x:v>
      </x:c>
      <x:c r="B2501" t="n">
        <x:v>607</x:v>
      </x:c>
      <x:c r="C2501" t="n">
        <x:v>1</x:v>
      </x:c>
      <x:c r="D2501" t="str">
        <x:v>04:35</x:v>
      </x:c>
      <x:c r="E2501" t="n">
        <x:v>1</x:v>
      </x:c>
      <x:c r="F2501" t="n">
        <x:v>10</x:v>
      </x:c>
      <x:c r="G2501" t="str">
        <x:v>DET</x:v>
      </x:c>
      <x:c r="H2501" t="str">
        <x:v>MIN</x:v>
      </x:c>
      <x:c r="I2501" t="str">
        <x:v>DET</x:v>
      </x:c>
      <x:c r="J2501" t="n">
        <x:v>91</x:v>
      </x:c>
      <x:c r="K2501" t="str">
        <x:v>(4:35) 0-J.Gibbs up the middle to DET 13 for 4 yards (15-D.Turner; 24-J.Ward).</x:v>
      </x:c>
      <x:c r="L2501" t="str">
        <x:v>run</x:v>
      </x:c>
      <x:c r="M2501" t="n">
        <x:v>4</x:v>
      </x:c>
      <x:c r="N2501" t="n">
        <x:v>0</x:v>
      </x:c>
      <x:c r="O2501" t="n">
        <x:v>0</x:v>
      </x:c>
      <x:c r="P2501"/>
      <x:c r="Q2501"/>
      <x:c r="R2501"/>
      <x:c r="S2501"/>
      <x:c r="T2501" t="str">
        <x:v>middle</x:v>
      </x:c>
      <x:c r="U2501"/>
      <x:c r="V2501" t="n">
        <x:v>0</x:v>
      </x:c>
      <x:c r="W2501" t="n">
        <x:v>0</x:v>
      </x:c>
      <x:c r="X2501" t="n">
        <x:v>0</x:v>
      </x:c>
      <x:c r="Y2501" t="n">
        <x:v>0</x:v>
      </x:c>
      <x:c r="Z2501" t="n">
        <x:v>0</x:v>
      </x:c>
      <x:c r="AA2501" t="n">
        <x:v>0</x:v>
      </x:c>
      <x:c r="AB2501"/>
      <x:c r="AC2501" t="n">
        <x:v>0</x:v>
      </x:c>
      <x:c r="AD2501" t="n">
        <x:v>-0.24370904476381838</x:v>
      </x:c>
      <x:c r="AE2501" t="n">
        <x:v>0</x:v>
      </x:c>
      <x:c r="AF2501" t="n">
        <x:v>0.0029643774032592773</x:v>
      </x:c>
      <x:c r="AG2501" t="n">
        <x:f>_xlfn.XLOOKUP($A2501,Games!$A$2:$A$18,Games!$B$2:$B$18,"Missing game",0)</x:f>
        <x:v>2025</x:v>
      </x:c>
      <x:c r="AH2501" t="str">
        <x:f>_xlfn.XLOOKUP($A2501,Games!$A$2:$A$18,Games!$C$2:$C$18,"Missing game",0)</x:f>
        <x:v>REG</x:v>
      </x:c>
      <x:c r="AI2501" t="n">
        <x:f>_xlfn.XLOOKUP($A2501,Games!$A$2:$A$18,Games!$D$2:$D$18,"Missing game",0)</x:f>
        <x:v>17</x:v>
      </x:c>
      <x:c r="AJ2501" s="1" t="n">
        <x:f>_xlfn.XLOOKUP($A2501,Games!$A$2:$A$18,Games!$E$2:$E$18,"Missing game",0)</x:f>
        <x:v>46016</x:v>
      </x:c>
      <x:c r="AK2501" t="str">
        <x:f>_xlfn.XLOOKUP($A2501,Games!$A$2:$A$18,Games!$F$2:$F$18,"Missing game",0)</x:f>
        <x:v>Thursday</x:v>
      </x:c>
      <x:c r="AL2501" t="str">
        <x:f>_xlfn.XLOOKUP($A2501,Games!$A$2:$A$18,Games!$G$2:$G$18,"Missing game",0)</x:f>
        <x:v>DET</x:v>
      </x:c>
      <x:c r="AM2501" t="n">
        <x:f>_xlfn.XLOOKUP($A2501,Games!$A$2:$A$18,Games!$H$2:$H$18,"Missing game",0)</x:f>
        <x:v>10</x:v>
      </x:c>
      <x:c r="AN2501" t="str">
        <x:f>_xlfn.XLOOKUP($A2501,Games!$A$2:$A$18,Games!$I$2:$I$18,"Missing game",0)</x:f>
        <x:v>MIN</x:v>
      </x:c>
      <x:c r="AO2501" t="n">
        <x:f>_xlfn.XLOOKUP($A2501,Games!$A$2:$A$18,Games!$J$2:$J$18,"Missing game",0)</x:f>
        <x:v>23</x:v>
      </x:c>
      <x:c r="AP2501" t="n">
        <x:f>_xlfn.XLOOKUP($A2501,Games!$A$2:$A$18,Games!$K$2:$K$18,"Missing game",0)</x:f>
        <x:v>13</x:v>
      </x:c>
      <x:c r="AQ2501" t="n">
        <x:f>_xlfn.XLOOKUP($A2501,Games!$A$2:$A$18,Games!$L$2:$L$18,"Missing game",0)</x:f>
        <x:v>33</x:v>
      </x:c>
      <x:c r="AR2501" t="n">
        <x:f>_xlfn.XLOOKUP($A2501,Games!$A$2:$A$18,Games!$M$2:$M$18,"Missing game",0)</x:f>
        <x:v>0</x:v>
      </x:c>
      <x:c r="AS2501" t="str">
        <x:f>_xlfn.XLOOKUP($A2501,Games!$A$2:$A$18,Games!$N$2:$N$18,"Missing game",0)</x:f>
        <x:v>dome</x:v>
      </x:c>
      <x:c r="AT2501" t="str">
        <x:f>_xlfn.XLOOKUP($A2501,Games!$A$2:$A$18,Games!$O$2:$O$18,"Missing game",0)</x:f>
        <x:v>sportturf</x:v>
      </x:c>
      <x:c r="AU2501" t="str">
        <x:f>_xlfn.XLOOKUP($A2501,Games!$A$2:$A$18,Games!$P$2:$P$18,"Missing game",0)</x:f>
      </x:c>
      <x:c r="AV2501" t="str">
        <x:f>_xlfn.XLOOKUP($A2501,Games!$A$2:$A$18,Games!$Q$2:$Q$18,"Missing game",0)</x:f>
      </x:c>
      <x:c r="AW2501" t="str">
        <x:f>_xlfn.XLOOKUP($A2501,Games!$A$2:$A$18,Games!$R$2:$R$18,"Missing game",0)</x:f>
        <x:v>U.S. Bank Stadium</x:v>
      </x:c>
    </x:row>
    <x:row r="2502">
      <x:c r="A2502" t="str">
        <x:v>2025_17_DET_MIN</x:v>
      </x:c>
      <x:c r="B2502" t="n">
        <x:v>636</x:v>
      </x:c>
      <x:c r="C2502" t="n">
        <x:v>1</x:v>
      </x:c>
      <x:c r="D2502" t="str">
        <x:v>03:59</x:v>
      </x:c>
      <x:c r="E2502" t="n">
        <x:v>2</x:v>
      </x:c>
      <x:c r="F2502" t="n">
        <x:v>6</x:v>
      </x:c>
      <x:c r="G2502" t="str">
        <x:v>DET</x:v>
      </x:c>
      <x:c r="H2502" t="str">
        <x:v>MIN</x:v>
      </x:c>
      <x:c r="I2502" t="str">
        <x:v>DET</x:v>
      </x:c>
      <x:c r="J2502" t="n">
        <x:v>87</x:v>
      </x:c>
      <x:c r="K2502" t="str">
        <x:v>(3:59) 5-D.Montgomery up the middle to DET 19 for 6 yards (51-B.Cashman; 43-A.Van Ginkel). Minnesota challenged the first down ruling, and the play was REVERSED. 5-D.Montgomery up the middle to DET 18 for 5 yards (51-B.Cashman; 43-A.Van Ginkel).</x:v>
      </x:c>
      <x:c r="L2502" t="str">
        <x:v>run</x:v>
      </x:c>
      <x:c r="M2502" t="n">
        <x:v>5</x:v>
      </x:c>
      <x:c r="N2502" t="n">
        <x:v>0</x:v>
      </x:c>
      <x:c r="O2502" t="n">
        <x:v>0</x:v>
      </x:c>
      <x:c r="P2502"/>
      <x:c r="Q2502"/>
      <x:c r="R2502"/>
      <x:c r="S2502"/>
      <x:c r="T2502" t="str">
        <x:v>middle</x:v>
      </x:c>
      <x:c r="U2502"/>
      <x:c r="V2502" t="n">
        <x:v>0</x:v>
      </x:c>
      <x:c r="W2502" t="n">
        <x:v>0</x:v>
      </x:c>
      <x:c r="X2502" t="n">
        <x:v>0</x:v>
      </x:c>
      <x:c r="Y2502" t="n">
        <x:v>0</x:v>
      </x:c>
      <x:c r="Z2502" t="n">
        <x:v>0</x:v>
      </x:c>
      <x:c r="AA2502" t="n">
        <x:v>0</x:v>
      </x:c>
      <x:c r="AB2502"/>
      <x:c r="AC2502" t="n">
        <x:v>0</x:v>
      </x:c>
      <x:c r="AD2502" t="n">
        <x:v>0.23794509656727314</x:v>
      </x:c>
      <x:c r="AE2502" t="n">
        <x:v>1</x:v>
      </x:c>
      <x:c r="AF2502" t="n">
        <x:v>-0.009083181619644165</x:v>
      </x:c>
      <x:c r="AG2502" t="n">
        <x:f>_xlfn.XLOOKUP($A2502,Games!$A$2:$A$18,Games!$B$2:$B$18,"Missing game",0)</x:f>
        <x:v>2025</x:v>
      </x:c>
      <x:c r="AH2502" t="str">
        <x:f>_xlfn.XLOOKUP($A2502,Games!$A$2:$A$18,Games!$C$2:$C$18,"Missing game",0)</x:f>
        <x:v>REG</x:v>
      </x:c>
      <x:c r="AI2502" t="n">
        <x:f>_xlfn.XLOOKUP($A2502,Games!$A$2:$A$18,Games!$D$2:$D$18,"Missing game",0)</x:f>
        <x:v>17</x:v>
      </x:c>
      <x:c r="AJ2502" s="1" t="n">
        <x:f>_xlfn.XLOOKUP($A2502,Games!$A$2:$A$18,Games!$E$2:$E$18,"Missing game",0)</x:f>
        <x:v>46016</x:v>
      </x:c>
      <x:c r="AK2502" t="str">
        <x:f>_xlfn.XLOOKUP($A2502,Games!$A$2:$A$18,Games!$F$2:$F$18,"Missing game",0)</x:f>
        <x:v>Thursday</x:v>
      </x:c>
      <x:c r="AL2502" t="str">
        <x:f>_xlfn.XLOOKUP($A2502,Games!$A$2:$A$18,Games!$G$2:$G$18,"Missing game",0)</x:f>
        <x:v>DET</x:v>
      </x:c>
      <x:c r="AM2502" t="n">
        <x:f>_xlfn.XLOOKUP($A2502,Games!$A$2:$A$18,Games!$H$2:$H$18,"Missing game",0)</x:f>
        <x:v>10</x:v>
      </x:c>
      <x:c r="AN2502" t="str">
        <x:f>_xlfn.XLOOKUP($A2502,Games!$A$2:$A$18,Games!$I$2:$I$18,"Missing game",0)</x:f>
        <x:v>MIN</x:v>
      </x:c>
      <x:c r="AO2502" t="n">
        <x:f>_xlfn.XLOOKUP($A2502,Games!$A$2:$A$18,Games!$J$2:$J$18,"Missing game",0)</x:f>
        <x:v>23</x:v>
      </x:c>
      <x:c r="AP2502" t="n">
        <x:f>_xlfn.XLOOKUP($A2502,Games!$A$2:$A$18,Games!$K$2:$K$18,"Missing game",0)</x:f>
        <x:v>13</x:v>
      </x:c>
      <x:c r="AQ2502" t="n">
        <x:f>_xlfn.XLOOKUP($A2502,Games!$A$2:$A$18,Games!$L$2:$L$18,"Missing game",0)</x:f>
        <x:v>33</x:v>
      </x:c>
      <x:c r="AR2502" t="n">
        <x:f>_xlfn.XLOOKUP($A2502,Games!$A$2:$A$18,Games!$M$2:$M$18,"Missing game",0)</x:f>
        <x:v>0</x:v>
      </x:c>
      <x:c r="AS2502" t="str">
        <x:f>_xlfn.XLOOKUP($A2502,Games!$A$2:$A$18,Games!$N$2:$N$18,"Missing game",0)</x:f>
        <x:v>dome</x:v>
      </x:c>
      <x:c r="AT2502" t="str">
        <x:f>_xlfn.XLOOKUP($A2502,Games!$A$2:$A$18,Games!$O$2:$O$18,"Missing game",0)</x:f>
        <x:v>sportturf</x:v>
      </x:c>
      <x:c r="AU2502" t="str">
        <x:f>_xlfn.XLOOKUP($A2502,Games!$A$2:$A$18,Games!$P$2:$P$18,"Missing game",0)</x:f>
      </x:c>
      <x:c r="AV2502" t="str">
        <x:f>_xlfn.XLOOKUP($A2502,Games!$A$2:$A$18,Games!$Q$2:$Q$18,"Missing game",0)</x:f>
      </x:c>
      <x:c r="AW2502" t="str">
        <x:f>_xlfn.XLOOKUP($A2502,Games!$A$2:$A$18,Games!$R$2:$R$18,"Missing game",0)</x:f>
        <x:v>U.S. Bank Stadium</x:v>
      </x:c>
    </x:row>
    <x:row r="2503">
      <x:c r="A2503" t="str">
        <x:v>2025_17_DET_MIN</x:v>
      </x:c>
      <x:c r="B2503" t="n">
        <x:v>658</x:v>
      </x:c>
      <x:c r="C2503" t="n">
        <x:v>1</x:v>
      </x:c>
      <x:c r="D2503" t="str">
        <x:v>03:46</x:v>
      </x:c>
      <x:c r="E2503" t="n">
        <x:v>3</x:v>
      </x:c>
      <x:c r="F2503" t="n">
        <x:v>1</x:v>
      </x:c>
      <x:c r="G2503" t="str">
        <x:v>DET</x:v>
      </x:c>
      <x:c r="H2503" t="str">
        <x:v>MIN</x:v>
      </x:c>
      <x:c r="I2503" t="str">
        <x:v>DET</x:v>
      </x:c>
      <x:c r="J2503" t="n">
        <x:v>82</x:v>
      </x:c>
      <x:c r="K2503" t="str">
        <x:v>(3:46) 16-J.Goff FUMBLES (Aborted) at DET 18, RECOVERED by MIN-43-A.Van Ginkel at DET 16.</x:v>
      </x:c>
      <x:c r="L2503" t="str">
        <x:v>run</x:v>
      </x:c>
      <x:c r="M2503" t="n">
        <x:v>0</x:v>
      </x:c>
      <x:c r="N2503" t="n">
        <x:v>0</x:v>
      </x:c>
      <x:c r="O2503" t="n">
        <x:v>0</x:v>
      </x:c>
      <x:c r="P2503"/>
      <x:c r="Q2503"/>
      <x:c r="R2503"/>
      <x:c r="S2503"/>
      <x:c r="T2503"/>
      <x:c r="U2503"/>
      <x:c r="V2503" t="n">
        <x:v>0</x:v>
      </x:c>
      <x:c r="W2503" t="n">
        <x:v>0</x:v>
      </x:c>
      <x:c r="X2503" t="n">
        <x:v>0</x:v>
      </x:c>
      <x:c r="Y2503" t="n">
        <x:v>0</x:v>
      </x:c>
      <x:c r="Z2503" t="n">
        <x:v>1</x:v>
      </x:c>
      <x:c r="AA2503" t="n">
        <x:v>0</x:v>
      </x:c>
      <x:c r="AB2503"/>
      <x:c r="AC2503" t="n">
        <x:v>0</x:v>
      </x:c>
      <x:c r="AD2503" t="n">
        <x:v>-5.615162733825855</x:v>
      </x:c>
      <x:c r="AE2503" t="n">
        <x:v>0</x:v>
      </x:c>
      <x:c r="AF2503" t="n">
        <x:v>-0.12400588393211365</x:v>
      </x:c>
      <x:c r="AG2503" t="n">
        <x:f>_xlfn.XLOOKUP($A2503,Games!$A$2:$A$18,Games!$B$2:$B$18,"Missing game",0)</x:f>
        <x:v>2025</x:v>
      </x:c>
      <x:c r="AH2503" t="str">
        <x:f>_xlfn.XLOOKUP($A2503,Games!$A$2:$A$18,Games!$C$2:$C$18,"Missing game",0)</x:f>
        <x:v>REG</x:v>
      </x:c>
      <x:c r="AI2503" t="n">
        <x:f>_xlfn.XLOOKUP($A2503,Games!$A$2:$A$18,Games!$D$2:$D$18,"Missing game",0)</x:f>
        <x:v>17</x:v>
      </x:c>
      <x:c r="AJ2503" s="1" t="n">
        <x:f>_xlfn.XLOOKUP($A2503,Games!$A$2:$A$18,Games!$E$2:$E$18,"Missing game",0)</x:f>
        <x:v>46016</x:v>
      </x:c>
      <x:c r="AK2503" t="str">
        <x:f>_xlfn.XLOOKUP($A2503,Games!$A$2:$A$18,Games!$F$2:$F$18,"Missing game",0)</x:f>
        <x:v>Thursday</x:v>
      </x:c>
      <x:c r="AL2503" t="str">
        <x:f>_xlfn.XLOOKUP($A2503,Games!$A$2:$A$18,Games!$G$2:$G$18,"Missing game",0)</x:f>
        <x:v>DET</x:v>
      </x:c>
      <x:c r="AM2503" t="n">
        <x:f>_xlfn.XLOOKUP($A2503,Games!$A$2:$A$18,Games!$H$2:$H$18,"Missing game",0)</x:f>
        <x:v>10</x:v>
      </x:c>
      <x:c r="AN2503" t="str">
        <x:f>_xlfn.XLOOKUP($A2503,Games!$A$2:$A$18,Games!$I$2:$I$18,"Missing game",0)</x:f>
        <x:v>MIN</x:v>
      </x:c>
      <x:c r="AO2503" t="n">
        <x:f>_xlfn.XLOOKUP($A2503,Games!$A$2:$A$18,Games!$J$2:$J$18,"Missing game",0)</x:f>
        <x:v>23</x:v>
      </x:c>
      <x:c r="AP2503" t="n">
        <x:f>_xlfn.XLOOKUP($A2503,Games!$A$2:$A$18,Games!$K$2:$K$18,"Missing game",0)</x:f>
        <x:v>13</x:v>
      </x:c>
      <x:c r="AQ2503" t="n">
        <x:f>_xlfn.XLOOKUP($A2503,Games!$A$2:$A$18,Games!$L$2:$L$18,"Missing game",0)</x:f>
        <x:v>33</x:v>
      </x:c>
      <x:c r="AR2503" t="n">
        <x:f>_xlfn.XLOOKUP($A2503,Games!$A$2:$A$18,Games!$M$2:$M$18,"Missing game",0)</x:f>
        <x:v>0</x:v>
      </x:c>
      <x:c r="AS2503" t="str">
        <x:f>_xlfn.XLOOKUP($A2503,Games!$A$2:$A$18,Games!$N$2:$N$18,"Missing game",0)</x:f>
        <x:v>dome</x:v>
      </x:c>
      <x:c r="AT2503" t="str">
        <x:f>_xlfn.XLOOKUP($A2503,Games!$A$2:$A$18,Games!$O$2:$O$18,"Missing game",0)</x:f>
        <x:v>sportturf</x:v>
      </x:c>
      <x:c r="AU2503" t="str">
        <x:f>_xlfn.XLOOKUP($A2503,Games!$A$2:$A$18,Games!$P$2:$P$18,"Missing game",0)</x:f>
      </x:c>
      <x:c r="AV2503" t="str">
        <x:f>_xlfn.XLOOKUP($A2503,Games!$A$2:$A$18,Games!$Q$2:$Q$18,"Missing game",0)</x:f>
      </x:c>
      <x:c r="AW2503" t="str">
        <x:f>_xlfn.XLOOKUP($A2503,Games!$A$2:$A$18,Games!$R$2:$R$18,"Missing game",0)</x:f>
        <x:v>U.S. Bank Stadium</x:v>
      </x:c>
    </x:row>
    <x:row r="2504">
      <x:c r="A2504" t="str">
        <x:v>2025_17_DET_MIN</x:v>
      </x:c>
      <x:c r="B2504" t="n">
        <x:v>712</x:v>
      </x:c>
      <x:c r="C2504" t="n">
        <x:v>1</x:v>
      </x:c>
      <x:c r="D2504" t="str">
        <x:v>03:42</x:v>
      </x:c>
      <x:c r="E2504" t="n">
        <x:v>1</x:v>
      </x:c>
      <x:c r="F2504" t="n">
        <x:v>10</x:v>
      </x:c>
      <x:c r="G2504" t="str">
        <x:v>MIN</x:v>
      </x:c>
      <x:c r="H2504" t="str">
        <x:v>DET</x:v>
      </x:c>
      <x:c r="I2504" t="str">
        <x:v>DET</x:v>
      </x:c>
      <x:c r="J2504" t="n">
        <x:v>16</x:v>
      </x:c>
      <x:c r="K2504" t="str">
        <x:v>(3:42) 33-A.Jones up the middle to DET 7 for 9 yards (12-T.Harper).</x:v>
      </x:c>
      <x:c r="L2504" t="str">
        <x:v>run</x:v>
      </x:c>
      <x:c r="M2504" t="n">
        <x:v>9</x:v>
      </x:c>
      <x:c r="N2504" t="n">
        <x:v>0</x:v>
      </x:c>
      <x:c r="O2504" t="n">
        <x:v>0</x:v>
      </x:c>
      <x:c r="P2504"/>
      <x:c r="Q2504"/>
      <x:c r="R2504"/>
      <x:c r="S2504"/>
      <x:c r="T2504" t="str">
        <x:v>middle</x:v>
      </x:c>
      <x:c r="U2504"/>
      <x:c r="V2504" t="n">
        <x:v>0</x:v>
      </x:c>
      <x:c r="W2504" t="n">
        <x:v>0</x:v>
      </x:c>
      <x:c r="X2504" t="n">
        <x:v>0</x:v>
      </x:c>
      <x:c r="Y2504" t="n">
        <x:v>0</x:v>
      </x:c>
      <x:c r="Z2504" t="n">
        <x:v>0</x:v>
      </x:c>
      <x:c r="AA2504" t="n">
        <x:v>0</x:v>
      </x:c>
      <x:c r="AB2504"/>
      <x:c r="AC2504" t="n">
        <x:v>0</x:v>
      </x:c>
      <x:c r="AD2504" t="n">
        <x:v>0.6980581048992462</x:v>
      </x:c>
      <x:c r="AE2504" t="n">
        <x:v>1</x:v>
      </x:c>
      <x:c r="AF2504" t="n">
        <x:v>0.03909111022949219</x:v>
      </x:c>
      <x:c r="AG2504" t="n">
        <x:f>_xlfn.XLOOKUP($A2504,Games!$A$2:$A$18,Games!$B$2:$B$18,"Missing game",0)</x:f>
        <x:v>2025</x:v>
      </x:c>
      <x:c r="AH2504" t="str">
        <x:f>_xlfn.XLOOKUP($A2504,Games!$A$2:$A$18,Games!$C$2:$C$18,"Missing game",0)</x:f>
        <x:v>REG</x:v>
      </x:c>
      <x:c r="AI2504" t="n">
        <x:f>_xlfn.XLOOKUP($A2504,Games!$A$2:$A$18,Games!$D$2:$D$18,"Missing game",0)</x:f>
        <x:v>17</x:v>
      </x:c>
      <x:c r="AJ2504" s="1" t="n">
        <x:f>_xlfn.XLOOKUP($A2504,Games!$A$2:$A$18,Games!$E$2:$E$18,"Missing game",0)</x:f>
        <x:v>46016</x:v>
      </x:c>
      <x:c r="AK2504" t="str">
        <x:f>_xlfn.XLOOKUP($A2504,Games!$A$2:$A$18,Games!$F$2:$F$18,"Missing game",0)</x:f>
        <x:v>Thursday</x:v>
      </x:c>
      <x:c r="AL2504" t="str">
        <x:f>_xlfn.XLOOKUP($A2504,Games!$A$2:$A$18,Games!$G$2:$G$18,"Missing game",0)</x:f>
        <x:v>DET</x:v>
      </x:c>
      <x:c r="AM2504" t="n">
        <x:f>_xlfn.XLOOKUP($A2504,Games!$A$2:$A$18,Games!$H$2:$H$18,"Missing game",0)</x:f>
        <x:v>10</x:v>
      </x:c>
      <x:c r="AN2504" t="str">
        <x:f>_xlfn.XLOOKUP($A2504,Games!$A$2:$A$18,Games!$I$2:$I$18,"Missing game",0)</x:f>
        <x:v>MIN</x:v>
      </x:c>
      <x:c r="AO2504" t="n">
        <x:f>_xlfn.XLOOKUP($A2504,Games!$A$2:$A$18,Games!$J$2:$J$18,"Missing game",0)</x:f>
        <x:v>23</x:v>
      </x:c>
      <x:c r="AP2504" t="n">
        <x:f>_xlfn.XLOOKUP($A2504,Games!$A$2:$A$18,Games!$K$2:$K$18,"Missing game",0)</x:f>
        <x:v>13</x:v>
      </x:c>
      <x:c r="AQ2504" t="n">
        <x:f>_xlfn.XLOOKUP($A2504,Games!$A$2:$A$18,Games!$L$2:$L$18,"Missing game",0)</x:f>
        <x:v>33</x:v>
      </x:c>
      <x:c r="AR2504" t="n">
        <x:f>_xlfn.XLOOKUP($A2504,Games!$A$2:$A$18,Games!$M$2:$M$18,"Missing game",0)</x:f>
        <x:v>0</x:v>
      </x:c>
      <x:c r="AS2504" t="str">
        <x:f>_xlfn.XLOOKUP($A2504,Games!$A$2:$A$18,Games!$N$2:$N$18,"Missing game",0)</x:f>
        <x:v>dome</x:v>
      </x:c>
      <x:c r="AT2504" t="str">
        <x:f>_xlfn.XLOOKUP($A2504,Games!$A$2:$A$18,Games!$O$2:$O$18,"Missing game",0)</x:f>
        <x:v>sportturf</x:v>
      </x:c>
      <x:c r="AU2504" t="str">
        <x:f>_xlfn.XLOOKUP($A2504,Games!$A$2:$A$18,Games!$P$2:$P$18,"Missing game",0)</x:f>
      </x:c>
      <x:c r="AV2504" t="str">
        <x:f>_xlfn.XLOOKUP($A2504,Games!$A$2:$A$18,Games!$Q$2:$Q$18,"Missing game",0)</x:f>
      </x:c>
      <x:c r="AW2504" t="str">
        <x:f>_xlfn.XLOOKUP($A2504,Games!$A$2:$A$18,Games!$R$2:$R$18,"Missing game",0)</x:f>
        <x:v>U.S. Bank Stadium</x:v>
      </x:c>
    </x:row>
    <x:row r="2505">
      <x:c r="A2505" t="str">
        <x:v>2025_17_DET_MIN</x:v>
      </x:c>
      <x:c r="B2505" t="n">
        <x:v>734</x:v>
      </x:c>
      <x:c r="C2505" t="n">
        <x:v>1</x:v>
      </x:c>
      <x:c r="D2505" t="str">
        <x:v>03:03</x:v>
      </x:c>
      <x:c r="E2505" t="n">
        <x:v>2</x:v>
      </x:c>
      <x:c r="F2505" t="n">
        <x:v>1</x:v>
      </x:c>
      <x:c r="G2505" t="str">
        <x:v>MIN</x:v>
      </x:c>
      <x:c r="H2505" t="str">
        <x:v>DET</x:v>
      </x:c>
      <x:c r="I2505" t="str">
        <x:v>DET</x:v>
      </x:c>
      <x:c r="J2505" t="n">
        <x:v>7</x:v>
      </x:c>
      <x:c r="K2505" t="str">
        <x:v>(3:03) 33-A.Jones right guard to DET 5 for 2 yards (2-D.Thomas; 97-A.Hutchinson).</x:v>
      </x:c>
      <x:c r="L2505" t="str">
        <x:v>run</x:v>
      </x:c>
      <x:c r="M2505" t="n">
        <x:v>2</x:v>
      </x:c>
      <x:c r="N2505" t="n">
        <x:v>0</x:v>
      </x:c>
      <x:c r="O2505" t="n">
        <x:v>0</x:v>
      </x:c>
      <x:c r="P2505"/>
      <x:c r="Q2505"/>
      <x:c r="R2505"/>
      <x:c r="S2505"/>
      <x:c r="T2505" t="str">
        <x:v>right</x:v>
      </x:c>
      <x:c r="U2505" t="str">
        <x:v>guard</x:v>
      </x:c>
      <x:c r="V2505" t="n">
        <x:v>0</x:v>
      </x:c>
      <x:c r="W2505" t="n">
        <x:v>1</x:v>
      </x:c>
      <x:c r="X2505" t="n">
        <x:v>0</x:v>
      </x:c>
      <x:c r="Y2505" t="n">
        <x:v>0</x:v>
      </x:c>
      <x:c r="Z2505" t="n">
        <x:v>0</x:v>
      </x:c>
      <x:c r="AA2505" t="n">
        <x:v>0</x:v>
      </x:c>
      <x:c r="AB2505"/>
      <x:c r="AC2505" t="n">
        <x:v>0</x:v>
      </x:c>
      <x:c r="AD2505" t="n">
        <x:v>0.12075380404712632</x:v>
      </x:c>
      <x:c r="AE2505" t="n">
        <x:v>1</x:v>
      </x:c>
      <x:c r="AF2505" t="n">
        <x:v>-0.01764678955078125</x:v>
      </x:c>
      <x:c r="AG2505" t="n">
        <x:f>_xlfn.XLOOKUP($A2505,Games!$A$2:$A$18,Games!$B$2:$B$18,"Missing game",0)</x:f>
        <x:v>2025</x:v>
      </x:c>
      <x:c r="AH2505" t="str">
        <x:f>_xlfn.XLOOKUP($A2505,Games!$A$2:$A$18,Games!$C$2:$C$18,"Missing game",0)</x:f>
        <x:v>REG</x:v>
      </x:c>
      <x:c r="AI2505" t="n">
        <x:f>_xlfn.XLOOKUP($A2505,Games!$A$2:$A$18,Games!$D$2:$D$18,"Missing game",0)</x:f>
        <x:v>17</x:v>
      </x:c>
      <x:c r="AJ2505" s="1" t="n">
        <x:f>_xlfn.XLOOKUP($A2505,Games!$A$2:$A$18,Games!$E$2:$E$18,"Missing game",0)</x:f>
        <x:v>46016</x:v>
      </x:c>
      <x:c r="AK2505" t="str">
        <x:f>_xlfn.XLOOKUP($A2505,Games!$A$2:$A$18,Games!$F$2:$F$18,"Missing game",0)</x:f>
        <x:v>Thursday</x:v>
      </x:c>
      <x:c r="AL2505" t="str">
        <x:f>_xlfn.XLOOKUP($A2505,Games!$A$2:$A$18,Games!$G$2:$G$18,"Missing game",0)</x:f>
        <x:v>DET</x:v>
      </x:c>
      <x:c r="AM2505" t="n">
        <x:f>_xlfn.XLOOKUP($A2505,Games!$A$2:$A$18,Games!$H$2:$H$18,"Missing game",0)</x:f>
        <x:v>10</x:v>
      </x:c>
      <x:c r="AN2505" t="str">
        <x:f>_xlfn.XLOOKUP($A2505,Games!$A$2:$A$18,Games!$I$2:$I$18,"Missing game",0)</x:f>
        <x:v>MIN</x:v>
      </x:c>
      <x:c r="AO2505" t="n">
        <x:f>_xlfn.XLOOKUP($A2505,Games!$A$2:$A$18,Games!$J$2:$J$18,"Missing game",0)</x:f>
        <x:v>23</x:v>
      </x:c>
      <x:c r="AP2505" t="n">
        <x:f>_xlfn.XLOOKUP($A2505,Games!$A$2:$A$18,Games!$K$2:$K$18,"Missing game",0)</x:f>
        <x:v>13</x:v>
      </x:c>
      <x:c r="AQ2505" t="n">
        <x:f>_xlfn.XLOOKUP($A2505,Games!$A$2:$A$18,Games!$L$2:$L$18,"Missing game",0)</x:f>
        <x:v>33</x:v>
      </x:c>
      <x:c r="AR2505" t="n">
        <x:f>_xlfn.XLOOKUP($A2505,Games!$A$2:$A$18,Games!$M$2:$M$18,"Missing game",0)</x:f>
        <x:v>0</x:v>
      </x:c>
      <x:c r="AS2505" t="str">
        <x:f>_xlfn.XLOOKUP($A2505,Games!$A$2:$A$18,Games!$N$2:$N$18,"Missing game",0)</x:f>
        <x:v>dome</x:v>
      </x:c>
      <x:c r="AT2505" t="str">
        <x:f>_xlfn.XLOOKUP($A2505,Games!$A$2:$A$18,Games!$O$2:$O$18,"Missing game",0)</x:f>
        <x:v>sportturf</x:v>
      </x:c>
      <x:c r="AU2505" t="str">
        <x:f>_xlfn.XLOOKUP($A2505,Games!$A$2:$A$18,Games!$P$2:$P$18,"Missing game",0)</x:f>
      </x:c>
      <x:c r="AV2505" t="str">
        <x:f>_xlfn.XLOOKUP($A2505,Games!$A$2:$A$18,Games!$Q$2:$Q$18,"Missing game",0)</x:f>
      </x:c>
      <x:c r="AW2505" t="str">
        <x:f>_xlfn.XLOOKUP($A2505,Games!$A$2:$A$18,Games!$R$2:$R$18,"Missing game",0)</x:f>
        <x:v>U.S. Bank Stadium</x:v>
      </x:c>
    </x:row>
    <x:row r="2506">
      <x:c r="A2506" t="str">
        <x:v>2025_17_DET_MIN</x:v>
      </x:c>
      <x:c r="B2506" t="n">
        <x:v>756</x:v>
      </x:c>
      <x:c r="C2506" t="n">
        <x:v>1</x:v>
      </x:c>
      <x:c r="D2506" t="str">
        <x:v>02:24</x:v>
      </x:c>
      <x:c r="E2506" t="n">
        <x:v>1</x:v>
      </x:c>
      <x:c r="F2506" t="n">
        <x:v>5</x:v>
      </x:c>
      <x:c r="G2506" t="str">
        <x:v>MIN</x:v>
      </x:c>
      <x:c r="H2506" t="str">
        <x:v>DET</x:v>
      </x:c>
      <x:c r="I2506" t="str">
        <x:v>DET</x:v>
      </x:c>
      <x:c r="J2506" t="n">
        <x:v>5</x:v>
      </x:c>
      <x:c r="K2506" t="str">
        <x:v>(2:24) (Shotgun) 12-M.Brosmer pass incomplete short left to 18-J.Jefferson.</x:v>
      </x:c>
      <x:c r="L2506" t="str">
        <x:v>pass</x:v>
      </x:c>
      <x:c r="M2506" t="n">
        <x:v>0</x:v>
      </x:c>
      <x:c r="N2506" t="n">
        <x:v>1</x:v>
      </x:c>
      <x:c r="O2506" t="n">
        <x:v>0</x:v>
      </x:c>
      <x:c r="P2506" t="str">
        <x:v>short</x:v>
      </x:c>
      <x:c r="Q2506" t="str">
        <x:v>left</x:v>
      </x:c>
      <x:c r="R2506" t="n">
        <x:v>5</x:v>
      </x:c>
      <x:c r="S2506"/>
      <x:c r="T2506"/>
      <x:c r="U2506"/>
      <x:c r="V2506" t="n">
        <x:v>0</x:v>
      </x:c>
      <x:c r="W2506" t="n">
        <x:v>0</x:v>
      </x:c>
      <x:c r="X2506" t="n">
        <x:v>0</x:v>
      </x:c>
      <x:c r="Y2506" t="n">
        <x:v>0</x:v>
      </x:c>
      <x:c r="Z2506" t="n">
        <x:v>0</x:v>
      </x:c>
      <x:c r="AA2506" t="n">
        <x:v>0</x:v>
      </x:c>
      <x:c r="AB2506"/>
      <x:c r="AC2506" t="n">
        <x:v>0</x:v>
      </x:c>
      <x:c r="AD2506" t="n">
        <x:v>-0.4097191336331889</x:v>
      </x:c>
      <x:c r="AE2506" t="n">
        <x:v>0</x:v>
      </x:c>
      <x:c r="AF2506" t="n">
        <x:v>-0.01209402084350586</x:v>
      </x:c>
      <x:c r="AG2506" t="n">
        <x:f>_xlfn.XLOOKUP($A2506,Games!$A$2:$A$18,Games!$B$2:$B$18,"Missing game",0)</x:f>
        <x:v>2025</x:v>
      </x:c>
      <x:c r="AH2506" t="str">
        <x:f>_xlfn.XLOOKUP($A2506,Games!$A$2:$A$18,Games!$C$2:$C$18,"Missing game",0)</x:f>
        <x:v>REG</x:v>
      </x:c>
      <x:c r="AI2506" t="n">
        <x:f>_xlfn.XLOOKUP($A2506,Games!$A$2:$A$18,Games!$D$2:$D$18,"Missing game",0)</x:f>
        <x:v>17</x:v>
      </x:c>
      <x:c r="AJ2506" s="1" t="n">
        <x:f>_xlfn.XLOOKUP($A2506,Games!$A$2:$A$18,Games!$E$2:$E$18,"Missing game",0)</x:f>
        <x:v>46016</x:v>
      </x:c>
      <x:c r="AK2506" t="str">
        <x:f>_xlfn.XLOOKUP($A2506,Games!$A$2:$A$18,Games!$F$2:$F$18,"Missing game",0)</x:f>
        <x:v>Thursday</x:v>
      </x:c>
      <x:c r="AL2506" t="str">
        <x:f>_xlfn.XLOOKUP($A2506,Games!$A$2:$A$18,Games!$G$2:$G$18,"Missing game",0)</x:f>
        <x:v>DET</x:v>
      </x:c>
      <x:c r="AM2506" t="n">
        <x:f>_xlfn.XLOOKUP($A2506,Games!$A$2:$A$18,Games!$H$2:$H$18,"Missing game",0)</x:f>
        <x:v>10</x:v>
      </x:c>
      <x:c r="AN2506" t="str">
        <x:f>_xlfn.XLOOKUP($A2506,Games!$A$2:$A$18,Games!$I$2:$I$18,"Missing game",0)</x:f>
        <x:v>MIN</x:v>
      </x:c>
      <x:c r="AO2506" t="n">
        <x:f>_xlfn.XLOOKUP($A2506,Games!$A$2:$A$18,Games!$J$2:$J$18,"Missing game",0)</x:f>
        <x:v>23</x:v>
      </x:c>
      <x:c r="AP2506" t="n">
        <x:f>_xlfn.XLOOKUP($A2506,Games!$A$2:$A$18,Games!$K$2:$K$18,"Missing game",0)</x:f>
        <x:v>13</x:v>
      </x:c>
      <x:c r="AQ2506" t="n">
        <x:f>_xlfn.XLOOKUP($A2506,Games!$A$2:$A$18,Games!$L$2:$L$18,"Missing game",0)</x:f>
        <x:v>33</x:v>
      </x:c>
      <x:c r="AR2506" t="n">
        <x:f>_xlfn.XLOOKUP($A2506,Games!$A$2:$A$18,Games!$M$2:$M$18,"Missing game",0)</x:f>
        <x:v>0</x:v>
      </x:c>
      <x:c r="AS2506" t="str">
        <x:f>_xlfn.XLOOKUP($A2506,Games!$A$2:$A$18,Games!$N$2:$N$18,"Missing game",0)</x:f>
        <x:v>dome</x:v>
      </x:c>
      <x:c r="AT2506" t="str">
        <x:f>_xlfn.XLOOKUP($A2506,Games!$A$2:$A$18,Games!$O$2:$O$18,"Missing game",0)</x:f>
        <x:v>sportturf</x:v>
      </x:c>
      <x:c r="AU2506" t="str">
        <x:f>_xlfn.XLOOKUP($A2506,Games!$A$2:$A$18,Games!$P$2:$P$18,"Missing game",0)</x:f>
      </x:c>
      <x:c r="AV2506" t="str">
        <x:f>_xlfn.XLOOKUP($A2506,Games!$A$2:$A$18,Games!$Q$2:$Q$18,"Missing game",0)</x:f>
      </x:c>
      <x:c r="AW2506" t="str">
        <x:f>_xlfn.XLOOKUP($A2506,Games!$A$2:$A$18,Games!$R$2:$R$18,"Missing game",0)</x:f>
        <x:v>U.S. Bank Stadium</x:v>
      </x:c>
    </x:row>
    <x:row r="2507">
      <x:c r="A2507" t="str">
        <x:v>2025_17_DET_MIN</x:v>
      </x:c>
      <x:c r="B2507" t="n">
        <x:v>779</x:v>
      </x:c>
      <x:c r="C2507" t="n">
        <x:v>1</x:v>
      </x:c>
      <x:c r="D2507" t="str">
        <x:v>02:21</x:v>
      </x:c>
      <x:c r="E2507" t="n">
        <x:v>2</x:v>
      </x:c>
      <x:c r="F2507" t="n">
        <x:v>5</x:v>
      </x:c>
      <x:c r="G2507" t="str">
        <x:v>MIN</x:v>
      </x:c>
      <x:c r="H2507" t="str">
        <x:v>DET</x:v>
      </x:c>
      <x:c r="I2507" t="str">
        <x:v>DET</x:v>
      </x:c>
      <x:c r="J2507" t="n">
        <x:v>5</x:v>
      </x:c>
      <x:c r="K2507" t="str">
        <x:v>(2:21) (Shotgun) 33-A.Jones up the middle to DET 1 for 4 yards (97-A.Hutchinson).</x:v>
      </x:c>
      <x:c r="L2507" t="str">
        <x:v>run</x:v>
      </x:c>
      <x:c r="M2507" t="n">
        <x:v>4</x:v>
      </x:c>
      <x:c r="N2507" t="n">
        <x:v>1</x:v>
      </x:c>
      <x:c r="O2507" t="n">
        <x:v>0</x:v>
      </x:c>
      <x:c r="P2507"/>
      <x:c r="Q2507"/>
      <x:c r="R2507"/>
      <x:c r="S2507"/>
      <x:c r="T2507" t="str">
        <x:v>middle</x:v>
      </x:c>
      <x:c r="U2507"/>
      <x:c r="V2507" t="n">
        <x:v>0</x:v>
      </x:c>
      <x:c r="W2507" t="n">
        <x:v>0</x:v>
      </x:c>
      <x:c r="X2507" t="n">
        <x:v>0</x:v>
      </x:c>
      <x:c r="Y2507" t="n">
        <x:v>0</x:v>
      </x:c>
      <x:c r="Z2507" t="n">
        <x:v>0</x:v>
      </x:c>
      <x:c r="AA2507" t="n">
        <x:v>0</x:v>
      </x:c>
      <x:c r="AB2507"/>
      <x:c r="AC2507" t="n">
        <x:v>0</x:v>
      </x:c>
      <x:c r="AD2507" t="n">
        <x:v>0.3887429077294655</x:v>
      </x:c>
      <x:c r="AE2507" t="n">
        <x:v>1</x:v>
      </x:c>
      <x:c r="AF2507" t="n">
        <x:v>0.008197307586669922</x:v>
      </x:c>
      <x:c r="AG2507" t="n">
        <x:f>_xlfn.XLOOKUP($A2507,Games!$A$2:$A$18,Games!$B$2:$B$18,"Missing game",0)</x:f>
        <x:v>2025</x:v>
      </x:c>
      <x:c r="AH2507" t="str">
        <x:f>_xlfn.XLOOKUP($A2507,Games!$A$2:$A$18,Games!$C$2:$C$18,"Missing game",0)</x:f>
        <x:v>REG</x:v>
      </x:c>
      <x:c r="AI2507" t="n">
        <x:f>_xlfn.XLOOKUP($A2507,Games!$A$2:$A$18,Games!$D$2:$D$18,"Missing game",0)</x:f>
        <x:v>17</x:v>
      </x:c>
      <x:c r="AJ2507" s="1" t="n">
        <x:f>_xlfn.XLOOKUP($A2507,Games!$A$2:$A$18,Games!$E$2:$E$18,"Missing game",0)</x:f>
        <x:v>46016</x:v>
      </x:c>
      <x:c r="AK2507" t="str">
        <x:f>_xlfn.XLOOKUP($A2507,Games!$A$2:$A$18,Games!$F$2:$F$18,"Missing game",0)</x:f>
        <x:v>Thursday</x:v>
      </x:c>
      <x:c r="AL2507" t="str">
        <x:f>_xlfn.XLOOKUP($A2507,Games!$A$2:$A$18,Games!$G$2:$G$18,"Missing game",0)</x:f>
        <x:v>DET</x:v>
      </x:c>
      <x:c r="AM2507" t="n">
        <x:f>_xlfn.XLOOKUP($A2507,Games!$A$2:$A$18,Games!$H$2:$H$18,"Missing game",0)</x:f>
        <x:v>10</x:v>
      </x:c>
      <x:c r="AN2507" t="str">
        <x:f>_xlfn.XLOOKUP($A2507,Games!$A$2:$A$18,Games!$I$2:$I$18,"Missing game",0)</x:f>
        <x:v>MIN</x:v>
      </x:c>
      <x:c r="AO2507" t="n">
        <x:f>_xlfn.XLOOKUP($A2507,Games!$A$2:$A$18,Games!$J$2:$J$18,"Missing game",0)</x:f>
        <x:v>23</x:v>
      </x:c>
      <x:c r="AP2507" t="n">
        <x:f>_xlfn.XLOOKUP($A2507,Games!$A$2:$A$18,Games!$K$2:$K$18,"Missing game",0)</x:f>
        <x:v>13</x:v>
      </x:c>
      <x:c r="AQ2507" t="n">
        <x:f>_xlfn.XLOOKUP($A2507,Games!$A$2:$A$18,Games!$L$2:$L$18,"Missing game",0)</x:f>
        <x:v>33</x:v>
      </x:c>
      <x:c r="AR2507" t="n">
        <x:f>_xlfn.XLOOKUP($A2507,Games!$A$2:$A$18,Games!$M$2:$M$18,"Missing game",0)</x:f>
        <x:v>0</x:v>
      </x:c>
      <x:c r="AS2507" t="str">
        <x:f>_xlfn.XLOOKUP($A2507,Games!$A$2:$A$18,Games!$N$2:$N$18,"Missing game",0)</x:f>
        <x:v>dome</x:v>
      </x:c>
      <x:c r="AT2507" t="str">
        <x:f>_xlfn.XLOOKUP($A2507,Games!$A$2:$A$18,Games!$O$2:$O$18,"Missing game",0)</x:f>
        <x:v>sportturf</x:v>
      </x:c>
      <x:c r="AU2507" t="str">
        <x:f>_xlfn.XLOOKUP($A2507,Games!$A$2:$A$18,Games!$P$2:$P$18,"Missing game",0)</x:f>
      </x:c>
      <x:c r="AV2507" t="str">
        <x:f>_xlfn.XLOOKUP($A2507,Games!$A$2:$A$18,Games!$Q$2:$Q$18,"Missing game",0)</x:f>
      </x:c>
      <x:c r="AW2507" t="str">
        <x:f>_xlfn.XLOOKUP($A2507,Games!$A$2:$A$18,Games!$R$2:$R$18,"Missing game",0)</x:f>
        <x:v>U.S. Bank Stadium</x:v>
      </x:c>
    </x:row>
    <x:row r="2508">
      <x:c r="A2508" t="str">
        <x:v>2025_17_DET_MIN</x:v>
      </x:c>
      <x:c r="B2508" t="n">
        <x:v>801</x:v>
      </x:c>
      <x:c r="C2508" t="n">
        <x:v>1</x:v>
      </x:c>
      <x:c r="D2508" t="str">
        <x:v>01:38</x:v>
      </x:c>
      <x:c r="E2508" t="n">
        <x:v>3</x:v>
      </x:c>
      <x:c r="F2508" t="n">
        <x:v>1</x:v>
      </x:c>
      <x:c r="G2508" t="str">
        <x:v>MIN</x:v>
      </x:c>
      <x:c r="H2508" t="str">
        <x:v>DET</x:v>
      </x:c>
      <x:c r="I2508" t="str">
        <x:v>DET</x:v>
      </x:c>
      <x:c r="J2508" t="n">
        <x:v>1</x:v>
      </x:c>
      <x:c r="K2508" t="str">
        <x:v>(1:38) 33-A.Jones left tackle for 1 yard, TOUCHDOWN.</x:v>
      </x:c>
      <x:c r="L2508" t="str">
        <x:v>run</x:v>
      </x:c>
      <x:c r="M2508" t="n">
        <x:v>1</x:v>
      </x:c>
      <x:c r="N2508" t="n">
        <x:v>0</x:v>
      </x:c>
      <x:c r="O2508" t="n">
        <x:v>0</x:v>
      </x:c>
      <x:c r="P2508"/>
      <x:c r="Q2508"/>
      <x:c r="R2508"/>
      <x:c r="S2508"/>
      <x:c r="T2508" t="str">
        <x:v>left</x:v>
      </x:c>
      <x:c r="U2508" t="str">
        <x:v>tackle</x:v>
      </x:c>
      <x:c r="V2508" t="n">
        <x:v>0</x:v>
      </x:c>
      <x:c r="W2508" t="n">
        <x:v>1</x:v>
      </x:c>
      <x:c r="X2508" t="n">
        <x:v>0</x:v>
      </x:c>
      <x:c r="Y2508" t="n">
        <x:v>0</x:v>
      </x:c>
      <x:c r="Z2508" t="n">
        <x:v>0</x:v>
      </x:c>
      <x:c r="AA2508" t="n">
        <x:v>0</x:v>
      </x:c>
      <x:c r="AB2508"/>
      <x:c r="AC2508" t="n">
        <x:v>1</x:v>
      </x:c>
      <x:c r="AD2508" t="n">
        <x:v>1.013610053632874</x:v>
      </x:c>
      <x:c r="AE2508" t="n">
        <x:v>1</x:v>
      </x:c>
      <x:c r="AF2508" t="n">
        <x:v>0.02934259630744296</x:v>
      </x:c>
      <x:c r="AG2508" t="n">
        <x:f>_xlfn.XLOOKUP($A2508,Games!$A$2:$A$18,Games!$B$2:$B$18,"Missing game",0)</x:f>
        <x:v>2025</x:v>
      </x:c>
      <x:c r="AH2508" t="str">
        <x:f>_xlfn.XLOOKUP($A2508,Games!$A$2:$A$18,Games!$C$2:$C$18,"Missing game",0)</x:f>
        <x:v>REG</x:v>
      </x:c>
      <x:c r="AI2508" t="n">
        <x:f>_xlfn.XLOOKUP($A2508,Games!$A$2:$A$18,Games!$D$2:$D$18,"Missing game",0)</x:f>
        <x:v>17</x:v>
      </x:c>
      <x:c r="AJ2508" s="1" t="n">
        <x:f>_xlfn.XLOOKUP($A2508,Games!$A$2:$A$18,Games!$E$2:$E$18,"Missing game",0)</x:f>
        <x:v>46016</x:v>
      </x:c>
      <x:c r="AK2508" t="str">
        <x:f>_xlfn.XLOOKUP($A2508,Games!$A$2:$A$18,Games!$F$2:$F$18,"Missing game",0)</x:f>
        <x:v>Thursday</x:v>
      </x:c>
      <x:c r="AL2508" t="str">
        <x:f>_xlfn.XLOOKUP($A2508,Games!$A$2:$A$18,Games!$G$2:$G$18,"Missing game",0)</x:f>
        <x:v>DET</x:v>
      </x:c>
      <x:c r="AM2508" t="n">
        <x:f>_xlfn.XLOOKUP($A2508,Games!$A$2:$A$18,Games!$H$2:$H$18,"Missing game",0)</x:f>
        <x:v>10</x:v>
      </x:c>
      <x:c r="AN2508" t="str">
        <x:f>_xlfn.XLOOKUP($A2508,Games!$A$2:$A$18,Games!$I$2:$I$18,"Missing game",0)</x:f>
        <x:v>MIN</x:v>
      </x:c>
      <x:c r="AO2508" t="n">
        <x:f>_xlfn.XLOOKUP($A2508,Games!$A$2:$A$18,Games!$J$2:$J$18,"Missing game",0)</x:f>
        <x:v>23</x:v>
      </x:c>
      <x:c r="AP2508" t="n">
        <x:f>_xlfn.XLOOKUP($A2508,Games!$A$2:$A$18,Games!$K$2:$K$18,"Missing game",0)</x:f>
        <x:v>13</x:v>
      </x:c>
      <x:c r="AQ2508" t="n">
        <x:f>_xlfn.XLOOKUP($A2508,Games!$A$2:$A$18,Games!$L$2:$L$18,"Missing game",0)</x:f>
        <x:v>33</x:v>
      </x:c>
      <x:c r="AR2508" t="n">
        <x:f>_xlfn.XLOOKUP($A2508,Games!$A$2:$A$18,Games!$M$2:$M$18,"Missing game",0)</x:f>
        <x:v>0</x:v>
      </x:c>
      <x:c r="AS2508" t="str">
        <x:f>_xlfn.XLOOKUP($A2508,Games!$A$2:$A$18,Games!$N$2:$N$18,"Missing game",0)</x:f>
        <x:v>dome</x:v>
      </x:c>
      <x:c r="AT2508" t="str">
        <x:f>_xlfn.XLOOKUP($A2508,Games!$A$2:$A$18,Games!$O$2:$O$18,"Missing game",0)</x:f>
        <x:v>sportturf</x:v>
      </x:c>
      <x:c r="AU2508" t="str">
        <x:f>_xlfn.XLOOKUP($A2508,Games!$A$2:$A$18,Games!$P$2:$P$18,"Missing game",0)</x:f>
      </x:c>
      <x:c r="AV2508" t="str">
        <x:f>_xlfn.XLOOKUP($A2508,Games!$A$2:$A$18,Games!$Q$2:$Q$18,"Missing game",0)</x:f>
      </x:c>
      <x:c r="AW2508" t="str">
        <x:f>_xlfn.XLOOKUP($A2508,Games!$A$2:$A$18,Games!$R$2:$R$18,"Missing game",0)</x:f>
        <x:v>U.S. Bank Stadium</x:v>
      </x:c>
    </x:row>
    <x:row r="2509">
      <x:c r="A2509" t="str">
        <x:v>2025_17_DET_MIN</x:v>
      </x:c>
      <x:c r="B2509" t="n">
        <x:v>824</x:v>
      </x:c>
      <x:c r="C2509" t="n">
        <x:v>1</x:v>
      </x:c>
      <x:c r="D2509" t="str">
        <x:v>01:35</x:v>
      </x:c>
      <x:c r="E2509"/>
      <x:c r="F2509" t="n">
        <x:v>0</x:v>
      </x:c>
      <x:c r="G2509" t="str">
        <x:v>MIN</x:v>
      </x:c>
      <x:c r="H2509" t="str">
        <x:v>DET</x:v>
      </x:c>
      <x:c r="I2509" t="str">
        <x:v>DET</x:v>
      </x:c>
      <x:c r="J2509" t="n">
        <x:v>15</x:v>
      </x:c>
      <x:c r="K2509" t="str">
        <x:v>16-W.Reichard extra point is GOOD, Center-42-A.DePaola, Holder-17-R.Wright.</x:v>
      </x:c>
      <x:c r="L2509" t="str">
        <x:v>extra_point</x:v>
      </x:c>
      <x:c r="M2509" t="n">
        <x:v>0</x:v>
      </x:c>
      <x:c r="N2509" t="n">
        <x:v>0</x:v>
      </x:c>
      <x:c r="O2509" t="n">
        <x:v>0</x:v>
      </x:c>
      <x:c r="P2509"/>
      <x:c r="Q2509"/>
      <x:c r="R2509"/>
      <x:c r="S2509"/>
      <x:c r="T2509"/>
      <x:c r="U2509"/>
      <x:c r="V2509" t="n">
        <x:v>0</x:v>
      </x:c>
      <x:c r="W2509" t="n">
        <x:v>0</x:v>
      </x:c>
      <x:c r="X2509" t="n">
        <x:v>0</x:v>
      </x:c>
      <x:c r="Y2509" t="n">
        <x:v>0</x:v>
      </x:c>
      <x:c r="Z2509" t="n">
        <x:v>0</x:v>
      </x:c>
      <x:c r="AA2509" t="n">
        <x:v>0</x:v>
      </x:c>
      <x:c r="AB2509"/>
      <x:c r="AC2509" t="n">
        <x:v>0</x:v>
      </x:c>
      <x:c r="AD2509" t="n">
        <x:v>0.05117156607063911</x:v>
      </x:c>
      <x:c r="AE2509" t="n">
        <x:v>1</x:v>
      </x:c>
      <x:c r="AF2509" t="n">
        <x:v>0.001337106451346104</x:v>
      </x:c>
      <x:c r="AG2509" t="n">
        <x:f>_xlfn.XLOOKUP($A2509,Games!$A$2:$A$18,Games!$B$2:$B$18,"Missing game",0)</x:f>
        <x:v>2025</x:v>
      </x:c>
      <x:c r="AH2509" t="str">
        <x:f>_xlfn.XLOOKUP($A2509,Games!$A$2:$A$18,Games!$C$2:$C$18,"Missing game",0)</x:f>
        <x:v>REG</x:v>
      </x:c>
      <x:c r="AI2509" t="n">
        <x:f>_xlfn.XLOOKUP($A2509,Games!$A$2:$A$18,Games!$D$2:$D$18,"Missing game",0)</x:f>
        <x:v>17</x:v>
      </x:c>
      <x:c r="AJ2509" s="1" t="n">
        <x:f>_xlfn.XLOOKUP($A2509,Games!$A$2:$A$18,Games!$E$2:$E$18,"Missing game",0)</x:f>
        <x:v>46016</x:v>
      </x:c>
      <x:c r="AK2509" t="str">
        <x:f>_xlfn.XLOOKUP($A2509,Games!$A$2:$A$18,Games!$F$2:$F$18,"Missing game",0)</x:f>
        <x:v>Thursday</x:v>
      </x:c>
      <x:c r="AL2509" t="str">
        <x:f>_xlfn.XLOOKUP($A2509,Games!$A$2:$A$18,Games!$G$2:$G$18,"Missing game",0)</x:f>
        <x:v>DET</x:v>
      </x:c>
      <x:c r="AM2509" t="n">
        <x:f>_xlfn.XLOOKUP($A2509,Games!$A$2:$A$18,Games!$H$2:$H$18,"Missing game",0)</x:f>
        <x:v>10</x:v>
      </x:c>
      <x:c r="AN2509" t="str">
        <x:f>_xlfn.XLOOKUP($A2509,Games!$A$2:$A$18,Games!$I$2:$I$18,"Missing game",0)</x:f>
        <x:v>MIN</x:v>
      </x:c>
      <x:c r="AO2509" t="n">
        <x:f>_xlfn.XLOOKUP($A2509,Games!$A$2:$A$18,Games!$J$2:$J$18,"Missing game",0)</x:f>
        <x:v>23</x:v>
      </x:c>
      <x:c r="AP2509" t="n">
        <x:f>_xlfn.XLOOKUP($A2509,Games!$A$2:$A$18,Games!$K$2:$K$18,"Missing game",0)</x:f>
        <x:v>13</x:v>
      </x:c>
      <x:c r="AQ2509" t="n">
        <x:f>_xlfn.XLOOKUP($A2509,Games!$A$2:$A$18,Games!$L$2:$L$18,"Missing game",0)</x:f>
        <x:v>33</x:v>
      </x:c>
      <x:c r="AR2509" t="n">
        <x:f>_xlfn.XLOOKUP($A2509,Games!$A$2:$A$18,Games!$M$2:$M$18,"Missing game",0)</x:f>
        <x:v>0</x:v>
      </x:c>
      <x:c r="AS2509" t="str">
        <x:f>_xlfn.XLOOKUP($A2509,Games!$A$2:$A$18,Games!$N$2:$N$18,"Missing game",0)</x:f>
        <x:v>dome</x:v>
      </x:c>
      <x:c r="AT2509" t="str">
        <x:f>_xlfn.XLOOKUP($A2509,Games!$A$2:$A$18,Games!$O$2:$O$18,"Missing game",0)</x:f>
        <x:v>sportturf</x:v>
      </x:c>
      <x:c r="AU2509" t="str">
        <x:f>_xlfn.XLOOKUP($A2509,Games!$A$2:$A$18,Games!$P$2:$P$18,"Missing game",0)</x:f>
      </x:c>
      <x:c r="AV2509" t="str">
        <x:f>_xlfn.XLOOKUP($A2509,Games!$A$2:$A$18,Games!$Q$2:$Q$18,"Missing game",0)</x:f>
      </x:c>
      <x:c r="AW2509" t="str">
        <x:f>_xlfn.XLOOKUP($A2509,Games!$A$2:$A$18,Games!$R$2:$R$18,"Missing game",0)</x:f>
        <x:v>U.S. Bank Stadium</x:v>
      </x:c>
    </x:row>
    <x:row r="2510">
      <x:c r="A2510" t="str">
        <x:v>2025_17_DET_MIN</x:v>
      </x:c>
      <x:c r="B2510" t="n">
        <x:v>839</x:v>
      </x:c>
      <x:c r="C2510" t="n">
        <x:v>1</x:v>
      </x:c>
      <x:c r="D2510" t="str">
        <x:v>01:35</x:v>
      </x:c>
      <x:c r="E2510"/>
      <x:c r="F2510" t="n">
        <x:v>0</x:v>
      </x:c>
      <x:c r="G2510" t="str">
        <x:v>DET</x:v>
      </x:c>
      <x:c r="H2510" t="str">
        <x:v>MIN</x:v>
      </x:c>
      <x:c r="I2510" t="str">
        <x:v>MIN</x:v>
      </x:c>
      <x:c r="J2510" t="n">
        <x:v>35</x:v>
      </x:c>
      <x:c r="K2510" t="str">
        <x:v>16-W.Reichard kicks 60 yards from MIN 35 to DET 5. 85-T.Kennedy pushed ob at DET 30 for 25 yards (30-C.Ham).</x:v>
      </x:c>
      <x:c r="L2510" t="str">
        <x:v>kickoff</x:v>
      </x:c>
      <x:c r="M2510" t="n">
        <x:v>0</x:v>
      </x:c>
      <x:c r="N2510" t="n">
        <x:v>0</x:v>
      </x:c>
      <x:c r="O2510" t="n">
        <x:v>0</x:v>
      </x:c>
      <x:c r="P2510"/>
      <x:c r="Q2510"/>
      <x:c r="R2510"/>
      <x:c r="S2510"/>
      <x:c r="T2510"/>
      <x:c r="U2510"/>
      <x:c r="V2510" t="n">
        <x:v>0</x:v>
      </x:c>
      <x:c r="W2510" t="n">
        <x:v>0</x:v>
      </x:c>
      <x:c r="X2510" t="n">
        <x:v>0</x:v>
      </x:c>
      <x:c r="Y2510" t="n">
        <x:v>0</x:v>
      </x:c>
      <x:c r="Z2510" t="n">
        <x:v>0</x:v>
      </x:c>
      <x:c r="AA2510" t="n">
        <x:v>0</x:v>
      </x:c>
      <x:c r="AB2510"/>
      <x:c r="AC2510" t="n">
        <x:v>0</x:v>
      </x:c>
      <x:c r="AD2510" t="n">
        <x:v>0.2824899833649397</x:v>
      </x:c>
      <x:c r="AE2510" t="n">
        <x:v>1</x:v>
      </x:c>
      <x:c r="AF2510" t="n">
        <x:v>0.005969792604446411</x:v>
      </x:c>
      <x:c r="AG2510" t="n">
        <x:f>_xlfn.XLOOKUP($A2510,Games!$A$2:$A$18,Games!$B$2:$B$18,"Missing game",0)</x:f>
        <x:v>2025</x:v>
      </x:c>
      <x:c r="AH2510" t="str">
        <x:f>_xlfn.XLOOKUP($A2510,Games!$A$2:$A$18,Games!$C$2:$C$18,"Missing game",0)</x:f>
        <x:v>REG</x:v>
      </x:c>
      <x:c r="AI2510" t="n">
        <x:f>_xlfn.XLOOKUP($A2510,Games!$A$2:$A$18,Games!$D$2:$D$18,"Missing game",0)</x:f>
        <x:v>17</x:v>
      </x:c>
      <x:c r="AJ2510" s="1" t="n">
        <x:f>_xlfn.XLOOKUP($A2510,Games!$A$2:$A$18,Games!$E$2:$E$18,"Missing game",0)</x:f>
        <x:v>46016</x:v>
      </x:c>
      <x:c r="AK2510" t="str">
        <x:f>_xlfn.XLOOKUP($A2510,Games!$A$2:$A$18,Games!$F$2:$F$18,"Missing game",0)</x:f>
        <x:v>Thursday</x:v>
      </x:c>
      <x:c r="AL2510" t="str">
        <x:f>_xlfn.XLOOKUP($A2510,Games!$A$2:$A$18,Games!$G$2:$G$18,"Missing game",0)</x:f>
        <x:v>DET</x:v>
      </x:c>
      <x:c r="AM2510" t="n">
        <x:f>_xlfn.XLOOKUP($A2510,Games!$A$2:$A$18,Games!$H$2:$H$18,"Missing game",0)</x:f>
        <x:v>10</x:v>
      </x:c>
      <x:c r="AN2510" t="str">
        <x:f>_xlfn.XLOOKUP($A2510,Games!$A$2:$A$18,Games!$I$2:$I$18,"Missing game",0)</x:f>
        <x:v>MIN</x:v>
      </x:c>
      <x:c r="AO2510" t="n">
        <x:f>_xlfn.XLOOKUP($A2510,Games!$A$2:$A$18,Games!$J$2:$J$18,"Missing game",0)</x:f>
        <x:v>23</x:v>
      </x:c>
      <x:c r="AP2510" t="n">
        <x:f>_xlfn.XLOOKUP($A2510,Games!$A$2:$A$18,Games!$K$2:$K$18,"Missing game",0)</x:f>
        <x:v>13</x:v>
      </x:c>
      <x:c r="AQ2510" t="n">
        <x:f>_xlfn.XLOOKUP($A2510,Games!$A$2:$A$18,Games!$L$2:$L$18,"Missing game",0)</x:f>
        <x:v>33</x:v>
      </x:c>
      <x:c r="AR2510" t="n">
        <x:f>_xlfn.XLOOKUP($A2510,Games!$A$2:$A$18,Games!$M$2:$M$18,"Missing game",0)</x:f>
        <x:v>0</x:v>
      </x:c>
      <x:c r="AS2510" t="str">
        <x:f>_xlfn.XLOOKUP($A2510,Games!$A$2:$A$18,Games!$N$2:$N$18,"Missing game",0)</x:f>
        <x:v>dome</x:v>
      </x:c>
      <x:c r="AT2510" t="str">
        <x:f>_xlfn.XLOOKUP($A2510,Games!$A$2:$A$18,Games!$O$2:$O$18,"Missing game",0)</x:f>
        <x:v>sportturf</x:v>
      </x:c>
      <x:c r="AU2510" t="str">
        <x:f>_xlfn.XLOOKUP($A2510,Games!$A$2:$A$18,Games!$P$2:$P$18,"Missing game",0)</x:f>
      </x:c>
      <x:c r="AV2510" t="str">
        <x:f>_xlfn.XLOOKUP($A2510,Games!$A$2:$A$18,Games!$Q$2:$Q$18,"Missing game",0)</x:f>
      </x:c>
      <x:c r="AW2510" t="str">
        <x:f>_xlfn.XLOOKUP($A2510,Games!$A$2:$A$18,Games!$R$2:$R$18,"Missing game",0)</x:f>
        <x:v>U.S. Bank Stadium</x:v>
      </x:c>
    </x:row>
    <x:row r="2511">
      <x:c r="A2511" t="str">
        <x:v>2025_17_DET_MIN</x:v>
      </x:c>
      <x:c r="B2511" t="n">
        <x:v>879</x:v>
      </x:c>
      <x:c r="C2511" t="n">
        <x:v>1</x:v>
      </x:c>
      <x:c r="D2511" t="str">
        <x:v>01:31</x:v>
      </x:c>
      <x:c r="E2511" t="n">
        <x:v>1</x:v>
      </x:c>
      <x:c r="F2511" t="n">
        <x:v>10</x:v>
      </x:c>
      <x:c r="G2511" t="str">
        <x:v>DET</x:v>
      </x:c>
      <x:c r="H2511" t="str">
        <x:v>MIN</x:v>
      </x:c>
      <x:c r="I2511" t="str">
        <x:v>DET</x:v>
      </x:c>
      <x:c r="J2511" t="n">
        <x:v>70</x:v>
      </x:c>
      <x:c r="K2511" t="str">
        <x:v>(1:31) 5-D.Montgomery up the middle to DET 32 for 2 yards (51-B.Cashman).</x:v>
      </x:c>
      <x:c r="L2511" t="str">
        <x:v>run</x:v>
      </x:c>
      <x:c r="M2511" t="n">
        <x:v>2</x:v>
      </x:c>
      <x:c r="N2511" t="n">
        <x:v>0</x:v>
      </x:c>
      <x:c r="O2511" t="n">
        <x:v>0</x:v>
      </x:c>
      <x:c r="P2511"/>
      <x:c r="Q2511"/>
      <x:c r="R2511"/>
      <x:c r="S2511"/>
      <x:c r="T2511" t="str">
        <x:v>middle</x:v>
      </x:c>
      <x:c r="U2511"/>
      <x:c r="V2511" t="n">
        <x:v>0</x:v>
      </x:c>
      <x:c r="W2511" t="n">
        <x:v>0</x:v>
      </x:c>
      <x:c r="X2511" t="n">
        <x:v>0</x:v>
      </x:c>
      <x:c r="Y2511" t="n">
        <x:v>0</x:v>
      </x:c>
      <x:c r="Z2511" t="n">
        <x:v>0</x:v>
      </x:c>
      <x:c r="AA2511" t="n">
        <x:v>0</x:v>
      </x:c>
      <x:c r="AB2511"/>
      <x:c r="AC2511" t="n">
        <x:v>0</x:v>
      </x:c>
      <x:c r="AD2511" t="n">
        <x:v>-0.4099757634103298</x:v>
      </x:c>
      <x:c r="AE2511" t="n">
        <x:v>0</x:v>
      </x:c>
      <x:c r="AF2511" t="n">
        <x:v>-0.008940428495407104</x:v>
      </x:c>
      <x:c r="AG2511" t="n">
        <x:f>_xlfn.XLOOKUP($A2511,Games!$A$2:$A$18,Games!$B$2:$B$18,"Missing game",0)</x:f>
        <x:v>2025</x:v>
      </x:c>
      <x:c r="AH2511" t="str">
        <x:f>_xlfn.XLOOKUP($A2511,Games!$A$2:$A$18,Games!$C$2:$C$18,"Missing game",0)</x:f>
        <x:v>REG</x:v>
      </x:c>
      <x:c r="AI2511" t="n">
        <x:f>_xlfn.XLOOKUP($A2511,Games!$A$2:$A$18,Games!$D$2:$D$18,"Missing game",0)</x:f>
        <x:v>17</x:v>
      </x:c>
      <x:c r="AJ2511" s="1" t="n">
        <x:f>_xlfn.XLOOKUP($A2511,Games!$A$2:$A$18,Games!$E$2:$E$18,"Missing game",0)</x:f>
        <x:v>46016</x:v>
      </x:c>
      <x:c r="AK2511" t="str">
        <x:f>_xlfn.XLOOKUP($A2511,Games!$A$2:$A$18,Games!$F$2:$F$18,"Missing game",0)</x:f>
        <x:v>Thursday</x:v>
      </x:c>
      <x:c r="AL2511" t="str">
        <x:f>_xlfn.XLOOKUP($A2511,Games!$A$2:$A$18,Games!$G$2:$G$18,"Missing game",0)</x:f>
        <x:v>DET</x:v>
      </x:c>
      <x:c r="AM2511" t="n">
        <x:f>_xlfn.XLOOKUP($A2511,Games!$A$2:$A$18,Games!$H$2:$H$18,"Missing game",0)</x:f>
        <x:v>10</x:v>
      </x:c>
      <x:c r="AN2511" t="str">
        <x:f>_xlfn.XLOOKUP($A2511,Games!$A$2:$A$18,Games!$I$2:$I$18,"Missing game",0)</x:f>
        <x:v>MIN</x:v>
      </x:c>
      <x:c r="AO2511" t="n">
        <x:f>_xlfn.XLOOKUP($A2511,Games!$A$2:$A$18,Games!$J$2:$J$18,"Missing game",0)</x:f>
        <x:v>23</x:v>
      </x:c>
      <x:c r="AP2511" t="n">
        <x:f>_xlfn.XLOOKUP($A2511,Games!$A$2:$A$18,Games!$K$2:$K$18,"Missing game",0)</x:f>
        <x:v>13</x:v>
      </x:c>
      <x:c r="AQ2511" t="n">
        <x:f>_xlfn.XLOOKUP($A2511,Games!$A$2:$A$18,Games!$L$2:$L$18,"Missing game",0)</x:f>
        <x:v>33</x:v>
      </x:c>
      <x:c r="AR2511" t="n">
        <x:f>_xlfn.XLOOKUP($A2511,Games!$A$2:$A$18,Games!$M$2:$M$18,"Missing game",0)</x:f>
        <x:v>0</x:v>
      </x:c>
      <x:c r="AS2511" t="str">
        <x:f>_xlfn.XLOOKUP($A2511,Games!$A$2:$A$18,Games!$N$2:$N$18,"Missing game",0)</x:f>
        <x:v>dome</x:v>
      </x:c>
      <x:c r="AT2511" t="str">
        <x:f>_xlfn.XLOOKUP($A2511,Games!$A$2:$A$18,Games!$O$2:$O$18,"Missing game",0)</x:f>
        <x:v>sportturf</x:v>
      </x:c>
      <x:c r="AU2511" t="str">
        <x:f>_xlfn.XLOOKUP($A2511,Games!$A$2:$A$18,Games!$P$2:$P$18,"Missing game",0)</x:f>
      </x:c>
      <x:c r="AV2511" t="str">
        <x:f>_xlfn.XLOOKUP($A2511,Games!$A$2:$A$18,Games!$Q$2:$Q$18,"Missing game",0)</x:f>
      </x:c>
      <x:c r="AW2511" t="str">
        <x:f>_xlfn.XLOOKUP($A2511,Games!$A$2:$A$18,Games!$R$2:$R$18,"Missing game",0)</x:f>
        <x:v>U.S. Bank Stadium</x:v>
      </x:c>
    </x:row>
    <x:row r="2512">
      <x:c r="A2512" t="str">
        <x:v>2025_17_DET_MIN</x:v>
      </x:c>
      <x:c r="B2512" t="n">
        <x:v>901</x:v>
      </x:c>
      <x:c r="C2512" t="n">
        <x:v>1</x:v>
      </x:c>
      <x:c r="D2512" t="str">
        <x:v>00:45</x:v>
      </x:c>
      <x:c r="E2512" t="n">
        <x:v>2</x:v>
      </x:c>
      <x:c r="F2512" t="n">
        <x:v>8</x:v>
      </x:c>
      <x:c r="G2512" t="str">
        <x:v>DET</x:v>
      </x:c>
      <x:c r="H2512" t="str">
        <x:v>MIN</x:v>
      </x:c>
      <x:c r="I2512" t="str">
        <x:v>DET</x:v>
      </x:c>
      <x:c r="J2512" t="n">
        <x:v>68</x:v>
      </x:c>
      <x:c r="K2512" t="str">
        <x:v>(:45) (Shotgun) 16-J.Goff pass short middle to 1-J.Williams to DET 47 for 15 yards (2-I.Rodgers).</x:v>
      </x:c>
      <x:c r="L2512" t="str">
        <x:v>pass</x:v>
      </x:c>
      <x:c r="M2512" t="n">
        <x:v>15</x:v>
      </x:c>
      <x:c r="N2512" t="n">
        <x:v>1</x:v>
      </x:c>
      <x:c r="O2512" t="n">
        <x:v>0</x:v>
      </x:c>
      <x:c r="P2512" t="str">
        <x:v>short</x:v>
      </x:c>
      <x:c r="Q2512" t="str">
        <x:v>middle</x:v>
      </x:c>
      <x:c r="R2512" t="n">
        <x:v>15</x:v>
      </x:c>
      <x:c r="S2512" t="n">
        <x:v>0</x:v>
      </x:c>
      <x:c r="T2512"/>
      <x:c r="U2512"/>
      <x:c r="V2512" t="n">
        <x:v>1</x:v>
      </x:c>
      <x:c r="W2512" t="n">
        <x:v>1</x:v>
      </x:c>
      <x:c r="X2512" t="n">
        <x:v>0</x:v>
      </x:c>
      <x:c r="Y2512" t="n">
        <x:v>0</x:v>
      </x:c>
      <x:c r="Z2512" t="n">
        <x:v>0</x:v>
      </x:c>
      <x:c r="AA2512" t="n">
        <x:v>0</x:v>
      </x:c>
      <x:c r="AB2512"/>
      <x:c r="AC2512" t="n">
        <x:v>0</x:v>
      </x:c>
      <x:c r="AD2512" t="n">
        <x:v>1.477725172881037</x:v>
      </x:c>
      <x:c r="AE2512" t="n">
        <x:v>1</x:v>
      </x:c>
      <x:c r="AF2512" t="n">
        <x:v>0.03925403952598572</x:v>
      </x:c>
      <x:c r="AG2512" t="n">
        <x:f>_xlfn.XLOOKUP($A2512,Games!$A$2:$A$18,Games!$B$2:$B$18,"Missing game",0)</x:f>
        <x:v>2025</x:v>
      </x:c>
      <x:c r="AH2512" t="str">
        <x:f>_xlfn.XLOOKUP($A2512,Games!$A$2:$A$18,Games!$C$2:$C$18,"Missing game",0)</x:f>
        <x:v>REG</x:v>
      </x:c>
      <x:c r="AI2512" t="n">
        <x:f>_xlfn.XLOOKUP($A2512,Games!$A$2:$A$18,Games!$D$2:$D$18,"Missing game",0)</x:f>
        <x:v>17</x:v>
      </x:c>
      <x:c r="AJ2512" s="1" t="n">
        <x:f>_xlfn.XLOOKUP($A2512,Games!$A$2:$A$18,Games!$E$2:$E$18,"Missing game",0)</x:f>
        <x:v>46016</x:v>
      </x:c>
      <x:c r="AK2512" t="str">
        <x:f>_xlfn.XLOOKUP($A2512,Games!$A$2:$A$18,Games!$F$2:$F$18,"Missing game",0)</x:f>
        <x:v>Thursday</x:v>
      </x:c>
      <x:c r="AL2512" t="str">
        <x:f>_xlfn.XLOOKUP($A2512,Games!$A$2:$A$18,Games!$G$2:$G$18,"Missing game",0)</x:f>
        <x:v>DET</x:v>
      </x:c>
      <x:c r="AM2512" t="n">
        <x:f>_xlfn.XLOOKUP($A2512,Games!$A$2:$A$18,Games!$H$2:$H$18,"Missing game",0)</x:f>
        <x:v>10</x:v>
      </x:c>
      <x:c r="AN2512" t="str">
        <x:f>_xlfn.XLOOKUP($A2512,Games!$A$2:$A$18,Games!$I$2:$I$18,"Missing game",0)</x:f>
        <x:v>MIN</x:v>
      </x:c>
      <x:c r="AO2512" t="n">
        <x:f>_xlfn.XLOOKUP($A2512,Games!$A$2:$A$18,Games!$J$2:$J$18,"Missing game",0)</x:f>
        <x:v>23</x:v>
      </x:c>
      <x:c r="AP2512" t="n">
        <x:f>_xlfn.XLOOKUP($A2512,Games!$A$2:$A$18,Games!$K$2:$K$18,"Missing game",0)</x:f>
        <x:v>13</x:v>
      </x:c>
      <x:c r="AQ2512" t="n">
        <x:f>_xlfn.XLOOKUP($A2512,Games!$A$2:$A$18,Games!$L$2:$L$18,"Missing game",0)</x:f>
        <x:v>33</x:v>
      </x:c>
      <x:c r="AR2512" t="n">
        <x:f>_xlfn.XLOOKUP($A2512,Games!$A$2:$A$18,Games!$M$2:$M$18,"Missing game",0)</x:f>
        <x:v>0</x:v>
      </x:c>
      <x:c r="AS2512" t="str">
        <x:f>_xlfn.XLOOKUP($A2512,Games!$A$2:$A$18,Games!$N$2:$N$18,"Missing game",0)</x:f>
        <x:v>dome</x:v>
      </x:c>
      <x:c r="AT2512" t="str">
        <x:f>_xlfn.XLOOKUP($A2512,Games!$A$2:$A$18,Games!$O$2:$O$18,"Missing game",0)</x:f>
        <x:v>sportturf</x:v>
      </x:c>
      <x:c r="AU2512" t="str">
        <x:f>_xlfn.XLOOKUP($A2512,Games!$A$2:$A$18,Games!$P$2:$P$18,"Missing game",0)</x:f>
      </x:c>
      <x:c r="AV2512" t="str">
        <x:f>_xlfn.XLOOKUP($A2512,Games!$A$2:$A$18,Games!$Q$2:$Q$18,"Missing game",0)</x:f>
      </x:c>
      <x:c r="AW2512" t="str">
        <x:f>_xlfn.XLOOKUP($A2512,Games!$A$2:$A$18,Games!$R$2:$R$18,"Missing game",0)</x:f>
        <x:v>U.S. Bank Stadium</x:v>
      </x:c>
    </x:row>
    <x:row r="2513">
      <x:c r="A2513" t="str">
        <x:v>2025_17_DET_MIN</x:v>
      </x:c>
      <x:c r="B2513" t="n">
        <x:v>931</x:v>
      </x:c>
      <x:c r="C2513" t="n">
        <x:v>1</x:v>
      </x:c>
      <x:c r="D2513" t="str">
        <x:v>00:00</x:v>
      </x:c>
      <x:c r="E2513"/>
      <x:c r="F2513" t="n">
        <x:v>0</x:v>
      </x:c>
      <x:c r="G2513" t="str">
        <x:v>DET</x:v>
      </x:c>
      <x:c r="H2513" t="str">
        <x:v>MIN</x:v>
      </x:c>
      <x:c r="I2513"/>
      <x:c r="J2513"/>
      <x:c r="K2513" t="str">
        <x:v>END QUARTER 1</x:v>
      </x:c>
      <x:c r="L2513"/>
      <x:c r="M2513"/>
      <x:c r="N2513" t="n">
        <x:v>0</x:v>
      </x:c>
      <x:c r="O2513" t="n">
        <x:v>0</x:v>
      </x:c>
      <x:c r="P2513"/>
      <x:c r="Q2513"/>
      <x:c r="R2513"/>
      <x:c r="S2513"/>
      <x:c r="T2513"/>
      <x:c r="U2513"/>
      <x:c r="V2513"/>
      <x:c r="W2513"/>
      <x:c r="X2513"/>
      <x:c r="Y2513"/>
      <x:c r="Z2513"/>
      <x:c r="AA2513"/>
      <x:c r="AB2513"/>
      <x:c r="AC2513"/>
      <x:c r="AD2513" t="n">
        <x:v>0</x:v>
      </x:c>
      <x:c r="AE2513" t="n">
        <x:v>0</x:v>
      </x:c>
      <x:c r="AF2513" t="n">
        <x:v>0</x:v>
      </x:c>
      <x:c r="AG2513" t="n">
        <x:f>_xlfn.XLOOKUP($A2513,Games!$A$2:$A$18,Games!$B$2:$B$18,"Missing game",0)</x:f>
        <x:v>2025</x:v>
      </x:c>
      <x:c r="AH2513" t="str">
        <x:f>_xlfn.XLOOKUP($A2513,Games!$A$2:$A$18,Games!$C$2:$C$18,"Missing game",0)</x:f>
        <x:v>REG</x:v>
      </x:c>
      <x:c r="AI2513" t="n">
        <x:f>_xlfn.XLOOKUP($A2513,Games!$A$2:$A$18,Games!$D$2:$D$18,"Missing game",0)</x:f>
        <x:v>17</x:v>
      </x:c>
      <x:c r="AJ2513" s="1" t="n">
        <x:f>_xlfn.XLOOKUP($A2513,Games!$A$2:$A$18,Games!$E$2:$E$18,"Missing game",0)</x:f>
        <x:v>46016</x:v>
      </x:c>
      <x:c r="AK2513" t="str">
        <x:f>_xlfn.XLOOKUP($A2513,Games!$A$2:$A$18,Games!$F$2:$F$18,"Missing game",0)</x:f>
        <x:v>Thursday</x:v>
      </x:c>
      <x:c r="AL2513" t="str">
        <x:f>_xlfn.XLOOKUP($A2513,Games!$A$2:$A$18,Games!$G$2:$G$18,"Missing game",0)</x:f>
        <x:v>DET</x:v>
      </x:c>
      <x:c r="AM2513" t="n">
        <x:f>_xlfn.XLOOKUP($A2513,Games!$A$2:$A$18,Games!$H$2:$H$18,"Missing game",0)</x:f>
        <x:v>10</x:v>
      </x:c>
      <x:c r="AN2513" t="str">
        <x:f>_xlfn.XLOOKUP($A2513,Games!$A$2:$A$18,Games!$I$2:$I$18,"Missing game",0)</x:f>
        <x:v>MIN</x:v>
      </x:c>
      <x:c r="AO2513" t="n">
        <x:f>_xlfn.XLOOKUP($A2513,Games!$A$2:$A$18,Games!$J$2:$J$18,"Missing game",0)</x:f>
        <x:v>23</x:v>
      </x:c>
      <x:c r="AP2513" t="n">
        <x:f>_xlfn.XLOOKUP($A2513,Games!$A$2:$A$18,Games!$K$2:$K$18,"Missing game",0)</x:f>
        <x:v>13</x:v>
      </x:c>
      <x:c r="AQ2513" t="n">
        <x:f>_xlfn.XLOOKUP($A2513,Games!$A$2:$A$18,Games!$L$2:$L$18,"Missing game",0)</x:f>
        <x:v>33</x:v>
      </x:c>
      <x:c r="AR2513" t="n">
        <x:f>_xlfn.XLOOKUP($A2513,Games!$A$2:$A$18,Games!$M$2:$M$18,"Missing game",0)</x:f>
        <x:v>0</x:v>
      </x:c>
      <x:c r="AS2513" t="str">
        <x:f>_xlfn.XLOOKUP($A2513,Games!$A$2:$A$18,Games!$N$2:$N$18,"Missing game",0)</x:f>
        <x:v>dome</x:v>
      </x:c>
      <x:c r="AT2513" t="str">
        <x:f>_xlfn.XLOOKUP($A2513,Games!$A$2:$A$18,Games!$O$2:$O$18,"Missing game",0)</x:f>
        <x:v>sportturf</x:v>
      </x:c>
      <x:c r="AU2513" t="str">
        <x:f>_xlfn.XLOOKUP($A2513,Games!$A$2:$A$18,Games!$P$2:$P$18,"Missing game",0)</x:f>
      </x:c>
      <x:c r="AV2513" t="str">
        <x:f>_xlfn.XLOOKUP($A2513,Games!$A$2:$A$18,Games!$Q$2:$Q$18,"Missing game",0)</x:f>
      </x:c>
      <x:c r="AW2513" t="str">
        <x:f>_xlfn.XLOOKUP($A2513,Games!$A$2:$A$18,Games!$R$2:$R$18,"Missing game",0)</x:f>
        <x:v>U.S. Bank Stadium</x:v>
      </x:c>
    </x:row>
    <x:row r="2514">
      <x:c r="A2514" t="str">
        <x:v>2025_17_DET_MIN</x:v>
      </x:c>
      <x:c r="B2514" t="n">
        <x:v>951</x:v>
      </x:c>
      <x:c r="C2514" t="n">
        <x:v>2</x:v>
      </x:c>
      <x:c r="D2514" t="str">
        <x:v>15:00</x:v>
      </x:c>
      <x:c r="E2514" t="n">
        <x:v>1</x:v>
      </x:c>
      <x:c r="F2514" t="n">
        <x:v>10</x:v>
      </x:c>
      <x:c r="G2514" t="str">
        <x:v>DET</x:v>
      </x:c>
      <x:c r="H2514" t="str">
        <x:v>MIN</x:v>
      </x:c>
      <x:c r="I2514" t="str">
        <x:v>DET</x:v>
      </x:c>
      <x:c r="J2514" t="n">
        <x:v>53</x:v>
      </x:c>
      <x:c r="K2514" t="str">
        <x:v>(15:00) 0-J.Gibbs left guard to MIN 49 for 4 yards (15-D.Turner; 93-J.Allen).</x:v>
      </x:c>
      <x:c r="L2514" t="str">
        <x:v>run</x:v>
      </x:c>
      <x:c r="M2514" t="n">
        <x:v>4</x:v>
      </x:c>
      <x:c r="N2514" t="n">
        <x:v>0</x:v>
      </x:c>
      <x:c r="O2514" t="n">
        <x:v>0</x:v>
      </x:c>
      <x:c r="P2514"/>
      <x:c r="Q2514"/>
      <x:c r="R2514"/>
      <x:c r="S2514"/>
      <x:c r="T2514" t="str">
        <x:v>left</x:v>
      </x:c>
      <x:c r="U2514" t="str">
        <x:v>guard</x:v>
      </x:c>
      <x:c r="V2514" t="n">
        <x:v>0</x:v>
      </x:c>
      <x:c r="W2514" t="n">
        <x:v>0</x:v>
      </x:c>
      <x:c r="X2514" t="n">
        <x:v>0</x:v>
      </x:c>
      <x:c r="Y2514" t="n">
        <x:v>0</x:v>
      </x:c>
      <x:c r="Z2514" t="n">
        <x:v>0</x:v>
      </x:c>
      <x:c r="AA2514" t="n">
        <x:v>0</x:v>
      </x:c>
      <x:c r="AB2514"/>
      <x:c r="AC2514" t="n">
        <x:v>0</x:v>
      </x:c>
      <x:c r="AD2514" t="n">
        <x:v>-0.22453963104635477</x:v>
      </x:c>
      <x:c r="AE2514" t="n">
        <x:v>0</x:v>
      </x:c>
      <x:c r="AF2514" t="n">
        <x:v>-0.006625145673751831</x:v>
      </x:c>
      <x:c r="AG2514" t="n">
        <x:f>_xlfn.XLOOKUP($A2514,Games!$A$2:$A$18,Games!$B$2:$B$18,"Missing game",0)</x:f>
        <x:v>2025</x:v>
      </x:c>
      <x:c r="AH2514" t="str">
        <x:f>_xlfn.XLOOKUP($A2514,Games!$A$2:$A$18,Games!$C$2:$C$18,"Missing game",0)</x:f>
        <x:v>REG</x:v>
      </x:c>
      <x:c r="AI2514" t="n">
        <x:f>_xlfn.XLOOKUP($A2514,Games!$A$2:$A$18,Games!$D$2:$D$18,"Missing game",0)</x:f>
        <x:v>17</x:v>
      </x:c>
      <x:c r="AJ2514" s="1" t="n">
        <x:f>_xlfn.XLOOKUP($A2514,Games!$A$2:$A$18,Games!$E$2:$E$18,"Missing game",0)</x:f>
        <x:v>46016</x:v>
      </x:c>
      <x:c r="AK2514" t="str">
        <x:f>_xlfn.XLOOKUP($A2514,Games!$A$2:$A$18,Games!$F$2:$F$18,"Missing game",0)</x:f>
        <x:v>Thursday</x:v>
      </x:c>
      <x:c r="AL2514" t="str">
        <x:f>_xlfn.XLOOKUP($A2514,Games!$A$2:$A$18,Games!$G$2:$G$18,"Missing game",0)</x:f>
        <x:v>DET</x:v>
      </x:c>
      <x:c r="AM2514" t="n">
        <x:f>_xlfn.XLOOKUP($A2514,Games!$A$2:$A$18,Games!$H$2:$H$18,"Missing game",0)</x:f>
        <x:v>10</x:v>
      </x:c>
      <x:c r="AN2514" t="str">
        <x:f>_xlfn.XLOOKUP($A2514,Games!$A$2:$A$18,Games!$I$2:$I$18,"Missing game",0)</x:f>
        <x:v>MIN</x:v>
      </x:c>
      <x:c r="AO2514" t="n">
        <x:f>_xlfn.XLOOKUP($A2514,Games!$A$2:$A$18,Games!$J$2:$J$18,"Missing game",0)</x:f>
        <x:v>23</x:v>
      </x:c>
      <x:c r="AP2514" t="n">
        <x:f>_xlfn.XLOOKUP($A2514,Games!$A$2:$A$18,Games!$K$2:$K$18,"Missing game",0)</x:f>
        <x:v>13</x:v>
      </x:c>
      <x:c r="AQ2514" t="n">
        <x:f>_xlfn.XLOOKUP($A2514,Games!$A$2:$A$18,Games!$L$2:$L$18,"Missing game",0)</x:f>
        <x:v>33</x:v>
      </x:c>
      <x:c r="AR2514" t="n">
        <x:f>_xlfn.XLOOKUP($A2514,Games!$A$2:$A$18,Games!$M$2:$M$18,"Missing game",0)</x:f>
        <x:v>0</x:v>
      </x:c>
      <x:c r="AS2514" t="str">
        <x:f>_xlfn.XLOOKUP($A2514,Games!$A$2:$A$18,Games!$N$2:$N$18,"Missing game",0)</x:f>
        <x:v>dome</x:v>
      </x:c>
      <x:c r="AT2514" t="str">
        <x:f>_xlfn.XLOOKUP($A2514,Games!$A$2:$A$18,Games!$O$2:$O$18,"Missing game",0)</x:f>
        <x:v>sportturf</x:v>
      </x:c>
      <x:c r="AU2514" t="str">
        <x:f>_xlfn.XLOOKUP($A2514,Games!$A$2:$A$18,Games!$P$2:$P$18,"Missing game",0)</x:f>
      </x:c>
      <x:c r="AV2514" t="str">
        <x:f>_xlfn.XLOOKUP($A2514,Games!$A$2:$A$18,Games!$Q$2:$Q$18,"Missing game",0)</x:f>
      </x:c>
      <x:c r="AW2514" t="str">
        <x:f>_xlfn.XLOOKUP($A2514,Games!$A$2:$A$18,Games!$R$2:$R$18,"Missing game",0)</x:f>
        <x:v>U.S. Bank Stadium</x:v>
      </x:c>
    </x:row>
    <x:row r="2515">
      <x:c r="A2515" t="str">
        <x:v>2025_17_DET_MIN</x:v>
      </x:c>
      <x:c r="B2515" t="n">
        <x:v>973</x:v>
      </x:c>
      <x:c r="C2515" t="n">
        <x:v>2</x:v>
      </x:c>
      <x:c r="D2515" t="str">
        <x:v>14:22</x:v>
      </x:c>
      <x:c r="E2515" t="n">
        <x:v>2</x:v>
      </x:c>
      <x:c r="F2515" t="n">
        <x:v>6</x:v>
      </x:c>
      <x:c r="G2515" t="str">
        <x:v>DET</x:v>
      </x:c>
      <x:c r="H2515" t="str">
        <x:v>MIN</x:v>
      </x:c>
      <x:c r="I2515" t="str">
        <x:v>MIN</x:v>
      </x:c>
      <x:c r="J2515" t="n">
        <x:v>49</x:v>
      </x:c>
      <x:c r="K2515" t="str">
        <x:v>(14:22) 0-J.Gibbs left tackle to MIN 47 for 2 yards (55-E.Wilson; 51-B.Cashman). FUMBLES (55-E.Wilson), RECOVERED by MIN-7-B.Murphy at DET 47.</x:v>
      </x:c>
      <x:c r="L2515" t="str">
        <x:v>run</x:v>
      </x:c>
      <x:c r="M2515" t="n">
        <x:v>-4</x:v>
      </x:c>
      <x:c r="N2515" t="n">
        <x:v>0</x:v>
      </x:c>
      <x:c r="O2515" t="n">
        <x:v>0</x:v>
      </x:c>
      <x:c r="P2515"/>
      <x:c r="Q2515"/>
      <x:c r="R2515"/>
      <x:c r="S2515"/>
      <x:c r="T2515" t="str">
        <x:v>left</x:v>
      </x:c>
      <x:c r="U2515" t="str">
        <x:v>tackle</x:v>
      </x:c>
      <x:c r="V2515" t="n">
        <x:v>0</x:v>
      </x:c>
      <x:c r="W2515" t="n">
        <x:v>0</x:v>
      </x:c>
      <x:c r="X2515" t="n">
        <x:v>0</x:v>
      </x:c>
      <x:c r="Y2515" t="n">
        <x:v>0</x:v>
      </x:c>
      <x:c r="Z2515" t="n">
        <x:v>1</x:v>
      </x:c>
      <x:c r="AA2515" t="n">
        <x:v>0</x:v>
      </x:c>
      <x:c r="AB2515"/>
      <x:c r="AC2515" t="n">
        <x:v>0</x:v>
      </x:c>
      <x:c r="AD2515" t="n">
        <x:v>-5.575500705628656</x:v>
      </x:c>
      <x:c r="AE2515" t="n">
        <x:v>0</x:v>
      </x:c>
      <x:c r="AF2515" t="n">
        <x:v>-0.09030008316040039</x:v>
      </x:c>
      <x:c r="AG2515" t="n">
        <x:f>_xlfn.XLOOKUP($A2515,Games!$A$2:$A$18,Games!$B$2:$B$18,"Missing game",0)</x:f>
        <x:v>2025</x:v>
      </x:c>
      <x:c r="AH2515" t="str">
        <x:f>_xlfn.XLOOKUP($A2515,Games!$A$2:$A$18,Games!$C$2:$C$18,"Missing game",0)</x:f>
        <x:v>REG</x:v>
      </x:c>
      <x:c r="AI2515" t="n">
        <x:f>_xlfn.XLOOKUP($A2515,Games!$A$2:$A$18,Games!$D$2:$D$18,"Missing game",0)</x:f>
        <x:v>17</x:v>
      </x:c>
      <x:c r="AJ2515" s="1" t="n">
        <x:f>_xlfn.XLOOKUP($A2515,Games!$A$2:$A$18,Games!$E$2:$E$18,"Missing game",0)</x:f>
        <x:v>46016</x:v>
      </x:c>
      <x:c r="AK2515" t="str">
        <x:f>_xlfn.XLOOKUP($A2515,Games!$A$2:$A$18,Games!$F$2:$F$18,"Missing game",0)</x:f>
        <x:v>Thursday</x:v>
      </x:c>
      <x:c r="AL2515" t="str">
        <x:f>_xlfn.XLOOKUP($A2515,Games!$A$2:$A$18,Games!$G$2:$G$18,"Missing game",0)</x:f>
        <x:v>DET</x:v>
      </x:c>
      <x:c r="AM2515" t="n">
        <x:f>_xlfn.XLOOKUP($A2515,Games!$A$2:$A$18,Games!$H$2:$H$18,"Missing game",0)</x:f>
        <x:v>10</x:v>
      </x:c>
      <x:c r="AN2515" t="str">
        <x:f>_xlfn.XLOOKUP($A2515,Games!$A$2:$A$18,Games!$I$2:$I$18,"Missing game",0)</x:f>
        <x:v>MIN</x:v>
      </x:c>
      <x:c r="AO2515" t="n">
        <x:f>_xlfn.XLOOKUP($A2515,Games!$A$2:$A$18,Games!$J$2:$J$18,"Missing game",0)</x:f>
        <x:v>23</x:v>
      </x:c>
      <x:c r="AP2515" t="n">
        <x:f>_xlfn.XLOOKUP($A2515,Games!$A$2:$A$18,Games!$K$2:$K$18,"Missing game",0)</x:f>
        <x:v>13</x:v>
      </x:c>
      <x:c r="AQ2515" t="n">
        <x:f>_xlfn.XLOOKUP($A2515,Games!$A$2:$A$18,Games!$L$2:$L$18,"Missing game",0)</x:f>
        <x:v>33</x:v>
      </x:c>
      <x:c r="AR2515" t="n">
        <x:f>_xlfn.XLOOKUP($A2515,Games!$A$2:$A$18,Games!$M$2:$M$18,"Missing game",0)</x:f>
        <x:v>0</x:v>
      </x:c>
      <x:c r="AS2515" t="str">
        <x:f>_xlfn.XLOOKUP($A2515,Games!$A$2:$A$18,Games!$N$2:$N$18,"Missing game",0)</x:f>
        <x:v>dome</x:v>
      </x:c>
      <x:c r="AT2515" t="str">
        <x:f>_xlfn.XLOOKUP($A2515,Games!$A$2:$A$18,Games!$O$2:$O$18,"Missing game",0)</x:f>
        <x:v>sportturf</x:v>
      </x:c>
      <x:c r="AU2515" t="str">
        <x:f>_xlfn.XLOOKUP($A2515,Games!$A$2:$A$18,Games!$P$2:$P$18,"Missing game",0)</x:f>
      </x:c>
      <x:c r="AV2515" t="str">
        <x:f>_xlfn.XLOOKUP($A2515,Games!$A$2:$A$18,Games!$Q$2:$Q$18,"Missing game",0)</x:f>
      </x:c>
      <x:c r="AW2515" t="str">
        <x:f>_xlfn.XLOOKUP($A2515,Games!$A$2:$A$18,Games!$R$2:$R$18,"Missing game",0)</x:f>
        <x:v>U.S. Bank Stadium</x:v>
      </x:c>
    </x:row>
    <x:row r="2516">
      <x:c r="A2516" t="str">
        <x:v>2025_17_DET_MIN</x:v>
      </x:c>
      <x:c r="B2516" t="n">
        <x:v>1011</x:v>
      </x:c>
      <x:c r="C2516" t="n">
        <x:v>2</x:v>
      </x:c>
      <x:c r="D2516" t="str">
        <x:v>14:15</x:v>
      </x:c>
      <x:c r="E2516" t="n">
        <x:v>1</x:v>
      </x:c>
      <x:c r="F2516" t="n">
        <x:v>10</x:v>
      </x:c>
      <x:c r="G2516" t="str">
        <x:v>MIN</x:v>
      </x:c>
      <x:c r="H2516" t="str">
        <x:v>DET</x:v>
      </x:c>
      <x:c r="I2516" t="str">
        <x:v>DET</x:v>
      </x:c>
      <x:c r="J2516" t="n">
        <x:v>47</x:v>
      </x:c>
      <x:c r="K2516" t="str">
        <x:v>(14:15) 33-A.Jones left end to DET 45 for 2 yards (55-D.Barnes; 2-D.Thomas).</x:v>
      </x:c>
      <x:c r="L2516" t="str">
        <x:v>run</x:v>
      </x:c>
      <x:c r="M2516" t="n">
        <x:v>2</x:v>
      </x:c>
      <x:c r="N2516" t="n">
        <x:v>0</x:v>
      </x:c>
      <x:c r="O2516" t="n">
        <x:v>0</x:v>
      </x:c>
      <x:c r="P2516"/>
      <x:c r="Q2516"/>
      <x:c r="R2516"/>
      <x:c r="S2516"/>
      <x:c r="T2516" t="str">
        <x:v>left</x:v>
      </x:c>
      <x:c r="U2516" t="str">
        <x:v>end</x:v>
      </x:c>
      <x:c r="V2516" t="n">
        <x:v>0</x:v>
      </x:c>
      <x:c r="W2516" t="n">
        <x:v>0</x:v>
      </x:c>
      <x:c r="X2516" t="n">
        <x:v>0</x:v>
      </x:c>
      <x:c r="Y2516" t="n">
        <x:v>0</x:v>
      </x:c>
      <x:c r="Z2516" t="n">
        <x:v>0</x:v>
      </x:c>
      <x:c r="AA2516" t="n">
        <x:v>0</x:v>
      </x:c>
      <x:c r="AB2516"/>
      <x:c r="AC2516" t="n">
        <x:v>0</x:v>
      </x:c>
      <x:c r="AD2516" t="n">
        <x:v>-0.5076955243712291</x:v>
      </x:c>
      <x:c r="AE2516" t="n">
        <x:v>0</x:v>
      </x:c>
      <x:c r="AF2516" t="n">
        <x:v>0.0024116039276123047</x:v>
      </x:c>
      <x:c r="AG2516" t="n">
        <x:f>_xlfn.XLOOKUP($A2516,Games!$A$2:$A$18,Games!$B$2:$B$18,"Missing game",0)</x:f>
        <x:v>2025</x:v>
      </x:c>
      <x:c r="AH2516" t="str">
        <x:f>_xlfn.XLOOKUP($A2516,Games!$A$2:$A$18,Games!$C$2:$C$18,"Missing game",0)</x:f>
        <x:v>REG</x:v>
      </x:c>
      <x:c r="AI2516" t="n">
        <x:f>_xlfn.XLOOKUP($A2516,Games!$A$2:$A$18,Games!$D$2:$D$18,"Missing game",0)</x:f>
        <x:v>17</x:v>
      </x:c>
      <x:c r="AJ2516" s="1" t="n">
        <x:f>_xlfn.XLOOKUP($A2516,Games!$A$2:$A$18,Games!$E$2:$E$18,"Missing game",0)</x:f>
        <x:v>46016</x:v>
      </x:c>
      <x:c r="AK2516" t="str">
        <x:f>_xlfn.XLOOKUP($A2516,Games!$A$2:$A$18,Games!$F$2:$F$18,"Missing game",0)</x:f>
        <x:v>Thursday</x:v>
      </x:c>
      <x:c r="AL2516" t="str">
        <x:f>_xlfn.XLOOKUP($A2516,Games!$A$2:$A$18,Games!$G$2:$G$18,"Missing game",0)</x:f>
        <x:v>DET</x:v>
      </x:c>
      <x:c r="AM2516" t="n">
        <x:f>_xlfn.XLOOKUP($A2516,Games!$A$2:$A$18,Games!$H$2:$H$18,"Missing game",0)</x:f>
        <x:v>10</x:v>
      </x:c>
      <x:c r="AN2516" t="str">
        <x:f>_xlfn.XLOOKUP($A2516,Games!$A$2:$A$18,Games!$I$2:$I$18,"Missing game",0)</x:f>
        <x:v>MIN</x:v>
      </x:c>
      <x:c r="AO2516" t="n">
        <x:f>_xlfn.XLOOKUP($A2516,Games!$A$2:$A$18,Games!$J$2:$J$18,"Missing game",0)</x:f>
        <x:v>23</x:v>
      </x:c>
      <x:c r="AP2516" t="n">
        <x:f>_xlfn.XLOOKUP($A2516,Games!$A$2:$A$18,Games!$K$2:$K$18,"Missing game",0)</x:f>
        <x:v>13</x:v>
      </x:c>
      <x:c r="AQ2516" t="n">
        <x:f>_xlfn.XLOOKUP($A2516,Games!$A$2:$A$18,Games!$L$2:$L$18,"Missing game",0)</x:f>
        <x:v>33</x:v>
      </x:c>
      <x:c r="AR2516" t="n">
        <x:f>_xlfn.XLOOKUP($A2516,Games!$A$2:$A$18,Games!$M$2:$M$18,"Missing game",0)</x:f>
        <x:v>0</x:v>
      </x:c>
      <x:c r="AS2516" t="str">
        <x:f>_xlfn.XLOOKUP($A2516,Games!$A$2:$A$18,Games!$N$2:$N$18,"Missing game",0)</x:f>
        <x:v>dome</x:v>
      </x:c>
      <x:c r="AT2516" t="str">
        <x:f>_xlfn.XLOOKUP($A2516,Games!$A$2:$A$18,Games!$O$2:$O$18,"Missing game",0)</x:f>
        <x:v>sportturf</x:v>
      </x:c>
      <x:c r="AU2516" t="str">
        <x:f>_xlfn.XLOOKUP($A2516,Games!$A$2:$A$18,Games!$P$2:$P$18,"Missing game",0)</x:f>
      </x:c>
      <x:c r="AV2516" t="str">
        <x:f>_xlfn.XLOOKUP($A2516,Games!$A$2:$A$18,Games!$Q$2:$Q$18,"Missing game",0)</x:f>
      </x:c>
      <x:c r="AW2516" t="str">
        <x:f>_xlfn.XLOOKUP($A2516,Games!$A$2:$A$18,Games!$R$2:$R$18,"Missing game",0)</x:f>
        <x:v>U.S. Bank Stadium</x:v>
      </x:c>
    </x:row>
    <x:row r="2517">
      <x:c r="A2517" t="str">
        <x:v>2025_17_DET_MIN</x:v>
      </x:c>
      <x:c r="B2517" t="n">
        <x:v>1033</x:v>
      </x:c>
      <x:c r="C2517" t="n">
        <x:v>2</x:v>
      </x:c>
      <x:c r="D2517" t="str">
        <x:v>13:30</x:v>
      </x:c>
      <x:c r="E2517" t="n">
        <x:v>2</x:v>
      </x:c>
      <x:c r="F2517" t="n">
        <x:v>8</x:v>
      </x:c>
      <x:c r="G2517" t="str">
        <x:v>MIN</x:v>
      </x:c>
      <x:c r="H2517" t="str">
        <x:v>DET</x:v>
      </x:c>
      <x:c r="I2517" t="str">
        <x:v>DET</x:v>
      </x:c>
      <x:c r="J2517" t="n">
        <x:v>45</x:v>
      </x:c>
      <x:c r="K2517" t="str">
        <x:v>(13:30) (Shotgun) 12-M.Brosmer pass short middle to 89-B.Sims to DET 42 for 3 yards (34-A.Anzalone) [97-A.Hutchinson].</x:v>
      </x:c>
      <x:c r="L2517" t="str">
        <x:v>pass</x:v>
      </x:c>
      <x:c r="M2517" t="n">
        <x:v>3</x:v>
      </x:c>
      <x:c r="N2517" t="n">
        <x:v>1</x:v>
      </x:c>
      <x:c r="O2517" t="n">
        <x:v>0</x:v>
      </x:c>
      <x:c r="P2517" t="str">
        <x:v>short</x:v>
      </x:c>
      <x:c r="Q2517" t="str">
        <x:v>middle</x:v>
      </x:c>
      <x:c r="R2517" t="n">
        <x:v>3</x:v>
      </x:c>
      <x:c r="S2517" t="n">
        <x:v>0</x:v>
      </x:c>
      <x:c r="T2517"/>
      <x:c r="U2517"/>
      <x:c r="V2517" t="n">
        <x:v>1</x:v>
      </x:c>
      <x:c r="W2517" t="n">
        <x:v>0</x:v>
      </x:c>
      <x:c r="X2517" t="n">
        <x:v>0</x:v>
      </x:c>
      <x:c r="Y2517" t="n">
        <x:v>0</x:v>
      </x:c>
      <x:c r="Z2517" t="n">
        <x:v>0</x:v>
      </x:c>
      <x:c r="AA2517" t="n">
        <x:v>0</x:v>
      </x:c>
      <x:c r="AB2517"/>
      <x:c r="AC2517" t="n">
        <x:v>0</x:v>
      </x:c>
      <x:c r="AD2517" t="n">
        <x:v>-0.47263815556652844</x:v>
      </x:c>
      <x:c r="AE2517" t="n">
        <x:v>0</x:v>
      </x:c>
      <x:c r="AF2517" t="n">
        <x:v>-0.010200858116149902</x:v>
      </x:c>
      <x:c r="AG2517" t="n">
        <x:f>_xlfn.XLOOKUP($A2517,Games!$A$2:$A$18,Games!$B$2:$B$18,"Missing game",0)</x:f>
        <x:v>2025</x:v>
      </x:c>
      <x:c r="AH2517" t="str">
        <x:f>_xlfn.XLOOKUP($A2517,Games!$A$2:$A$18,Games!$C$2:$C$18,"Missing game",0)</x:f>
        <x:v>REG</x:v>
      </x:c>
      <x:c r="AI2517" t="n">
        <x:f>_xlfn.XLOOKUP($A2517,Games!$A$2:$A$18,Games!$D$2:$D$18,"Missing game",0)</x:f>
        <x:v>17</x:v>
      </x:c>
      <x:c r="AJ2517" s="1" t="n">
        <x:f>_xlfn.XLOOKUP($A2517,Games!$A$2:$A$18,Games!$E$2:$E$18,"Missing game",0)</x:f>
        <x:v>46016</x:v>
      </x:c>
      <x:c r="AK2517" t="str">
        <x:f>_xlfn.XLOOKUP($A2517,Games!$A$2:$A$18,Games!$F$2:$F$18,"Missing game",0)</x:f>
        <x:v>Thursday</x:v>
      </x:c>
      <x:c r="AL2517" t="str">
        <x:f>_xlfn.XLOOKUP($A2517,Games!$A$2:$A$18,Games!$G$2:$G$18,"Missing game",0)</x:f>
        <x:v>DET</x:v>
      </x:c>
      <x:c r="AM2517" t="n">
        <x:f>_xlfn.XLOOKUP($A2517,Games!$A$2:$A$18,Games!$H$2:$H$18,"Missing game",0)</x:f>
        <x:v>10</x:v>
      </x:c>
      <x:c r="AN2517" t="str">
        <x:f>_xlfn.XLOOKUP($A2517,Games!$A$2:$A$18,Games!$I$2:$I$18,"Missing game",0)</x:f>
        <x:v>MIN</x:v>
      </x:c>
      <x:c r="AO2517" t="n">
        <x:f>_xlfn.XLOOKUP($A2517,Games!$A$2:$A$18,Games!$J$2:$J$18,"Missing game",0)</x:f>
        <x:v>23</x:v>
      </x:c>
      <x:c r="AP2517" t="n">
        <x:f>_xlfn.XLOOKUP($A2517,Games!$A$2:$A$18,Games!$K$2:$K$18,"Missing game",0)</x:f>
        <x:v>13</x:v>
      </x:c>
      <x:c r="AQ2517" t="n">
        <x:f>_xlfn.XLOOKUP($A2517,Games!$A$2:$A$18,Games!$L$2:$L$18,"Missing game",0)</x:f>
        <x:v>33</x:v>
      </x:c>
      <x:c r="AR2517" t="n">
        <x:f>_xlfn.XLOOKUP($A2517,Games!$A$2:$A$18,Games!$M$2:$M$18,"Missing game",0)</x:f>
        <x:v>0</x:v>
      </x:c>
      <x:c r="AS2517" t="str">
        <x:f>_xlfn.XLOOKUP($A2517,Games!$A$2:$A$18,Games!$N$2:$N$18,"Missing game",0)</x:f>
        <x:v>dome</x:v>
      </x:c>
      <x:c r="AT2517" t="str">
        <x:f>_xlfn.XLOOKUP($A2517,Games!$A$2:$A$18,Games!$O$2:$O$18,"Missing game",0)</x:f>
        <x:v>sportturf</x:v>
      </x:c>
      <x:c r="AU2517" t="str">
        <x:f>_xlfn.XLOOKUP($A2517,Games!$A$2:$A$18,Games!$P$2:$P$18,"Missing game",0)</x:f>
      </x:c>
      <x:c r="AV2517" t="str">
        <x:f>_xlfn.XLOOKUP($A2517,Games!$A$2:$A$18,Games!$Q$2:$Q$18,"Missing game",0)</x:f>
      </x:c>
      <x:c r="AW2517" t="str">
        <x:f>_xlfn.XLOOKUP($A2517,Games!$A$2:$A$18,Games!$R$2:$R$18,"Missing game",0)</x:f>
        <x:v>U.S. Bank Stadium</x:v>
      </x:c>
    </x:row>
    <x:row r="2518">
      <x:c r="A2518" t="str">
        <x:v>2025_17_DET_MIN</x:v>
      </x:c>
      <x:c r="B2518" t="n">
        <x:v>1058</x:v>
      </x:c>
      <x:c r="C2518" t="n">
        <x:v>2</x:v>
      </x:c>
      <x:c r="D2518" t="str">
        <x:v>12:47</x:v>
      </x:c>
      <x:c r="E2518" t="n">
        <x:v>3</x:v>
      </x:c>
      <x:c r="F2518" t="n">
        <x:v>5</x:v>
      </x:c>
      <x:c r="G2518" t="str">
        <x:v>MIN</x:v>
      </x:c>
      <x:c r="H2518" t="str">
        <x:v>DET</x:v>
      </x:c>
      <x:c r="I2518" t="str">
        <x:v>DET</x:v>
      </x:c>
      <x:c r="J2518" t="n">
        <x:v>42</x:v>
      </x:c>
      <x:c r="K2518" t="str">
        <x:v>(12:47) (Shotgun) PENALTY on MIN-64-B.Brandel, False Start, 5 yards, enforced at DET 42 - No Play.</x:v>
      </x:c>
      <x:c r="L2518" t="str">
        <x:v>no_play</x:v>
      </x:c>
      <x:c r="M2518" t="n">
        <x:v>0</x:v>
      </x:c>
      <x:c r="N2518" t="n">
        <x:v>1</x:v>
      </x:c>
      <x:c r="O2518" t="n">
        <x:v>0</x:v>
      </x:c>
      <x:c r="P2518"/>
      <x:c r="Q2518"/>
      <x:c r="R2518"/>
      <x:c r="S2518"/>
      <x:c r="T2518"/>
      <x:c r="U2518"/>
      <x:c r="V2518" t="n">
        <x:v>0</x:v>
      </x:c>
      <x:c r="W2518" t="n">
        <x:v>0</x:v>
      </x:c>
      <x:c r="X2518" t="n">
        <x:v>0</x:v>
      </x:c>
      <x:c r="Y2518" t="n">
        <x:v>0</x:v>
      </x:c>
      <x:c r="Z2518" t="n">
        <x:v>0</x:v>
      </x:c>
      <x:c r="AA2518" t="n">
        <x:v>1</x:v>
      </x:c>
      <x:c r="AB2518" t="n">
        <x:v>5</x:v>
      </x:c>
      <x:c r="AC2518" t="n">
        <x:v>0</x:v>
      </x:c>
      <x:c r="AD2518" t="n">
        <x:v>-0.5011080515105277</x:v>
      </x:c>
      <x:c r="AE2518" t="n">
        <x:v>0</x:v>
      </x:c>
      <x:c r="AF2518" t="n">
        <x:v>-0.020078659057617188</x:v>
      </x:c>
      <x:c r="AG2518" t="n">
        <x:f>_xlfn.XLOOKUP($A2518,Games!$A$2:$A$18,Games!$B$2:$B$18,"Missing game",0)</x:f>
        <x:v>2025</x:v>
      </x:c>
      <x:c r="AH2518" t="str">
        <x:f>_xlfn.XLOOKUP($A2518,Games!$A$2:$A$18,Games!$C$2:$C$18,"Missing game",0)</x:f>
        <x:v>REG</x:v>
      </x:c>
      <x:c r="AI2518" t="n">
        <x:f>_xlfn.XLOOKUP($A2518,Games!$A$2:$A$18,Games!$D$2:$D$18,"Missing game",0)</x:f>
        <x:v>17</x:v>
      </x:c>
      <x:c r="AJ2518" s="1" t="n">
        <x:f>_xlfn.XLOOKUP($A2518,Games!$A$2:$A$18,Games!$E$2:$E$18,"Missing game",0)</x:f>
        <x:v>46016</x:v>
      </x:c>
      <x:c r="AK2518" t="str">
        <x:f>_xlfn.XLOOKUP($A2518,Games!$A$2:$A$18,Games!$F$2:$F$18,"Missing game",0)</x:f>
        <x:v>Thursday</x:v>
      </x:c>
      <x:c r="AL2518" t="str">
        <x:f>_xlfn.XLOOKUP($A2518,Games!$A$2:$A$18,Games!$G$2:$G$18,"Missing game",0)</x:f>
        <x:v>DET</x:v>
      </x:c>
      <x:c r="AM2518" t="n">
        <x:f>_xlfn.XLOOKUP($A2518,Games!$A$2:$A$18,Games!$H$2:$H$18,"Missing game",0)</x:f>
        <x:v>10</x:v>
      </x:c>
      <x:c r="AN2518" t="str">
        <x:f>_xlfn.XLOOKUP($A2518,Games!$A$2:$A$18,Games!$I$2:$I$18,"Missing game",0)</x:f>
        <x:v>MIN</x:v>
      </x:c>
      <x:c r="AO2518" t="n">
        <x:f>_xlfn.XLOOKUP($A2518,Games!$A$2:$A$18,Games!$J$2:$J$18,"Missing game",0)</x:f>
        <x:v>23</x:v>
      </x:c>
      <x:c r="AP2518" t="n">
        <x:f>_xlfn.XLOOKUP($A2518,Games!$A$2:$A$18,Games!$K$2:$K$18,"Missing game",0)</x:f>
        <x:v>13</x:v>
      </x:c>
      <x:c r="AQ2518" t="n">
        <x:f>_xlfn.XLOOKUP($A2518,Games!$A$2:$A$18,Games!$L$2:$L$18,"Missing game",0)</x:f>
        <x:v>33</x:v>
      </x:c>
      <x:c r="AR2518" t="n">
        <x:f>_xlfn.XLOOKUP($A2518,Games!$A$2:$A$18,Games!$M$2:$M$18,"Missing game",0)</x:f>
        <x:v>0</x:v>
      </x:c>
      <x:c r="AS2518" t="str">
        <x:f>_xlfn.XLOOKUP($A2518,Games!$A$2:$A$18,Games!$N$2:$N$18,"Missing game",0)</x:f>
        <x:v>dome</x:v>
      </x:c>
      <x:c r="AT2518" t="str">
        <x:f>_xlfn.XLOOKUP($A2518,Games!$A$2:$A$18,Games!$O$2:$O$18,"Missing game",0)</x:f>
        <x:v>sportturf</x:v>
      </x:c>
      <x:c r="AU2518" t="str">
        <x:f>_xlfn.XLOOKUP($A2518,Games!$A$2:$A$18,Games!$P$2:$P$18,"Missing game",0)</x:f>
      </x:c>
      <x:c r="AV2518" t="str">
        <x:f>_xlfn.XLOOKUP($A2518,Games!$A$2:$A$18,Games!$Q$2:$Q$18,"Missing game",0)</x:f>
      </x:c>
      <x:c r="AW2518" t="str">
        <x:f>_xlfn.XLOOKUP($A2518,Games!$A$2:$A$18,Games!$R$2:$R$18,"Missing game",0)</x:f>
        <x:v>U.S. Bank Stadium</x:v>
      </x:c>
    </x:row>
    <x:row r="2519">
      <x:c r="A2519" t="str">
        <x:v>2025_17_DET_MIN</x:v>
      </x:c>
      <x:c r="B2519" t="n">
        <x:v>1082</x:v>
      </x:c>
      <x:c r="C2519" t="n">
        <x:v>2</x:v>
      </x:c>
      <x:c r="D2519" t="str">
        <x:v>12:21</x:v>
      </x:c>
      <x:c r="E2519" t="n">
        <x:v>3</x:v>
      </x:c>
      <x:c r="F2519" t="n">
        <x:v>10</x:v>
      </x:c>
      <x:c r="G2519" t="str">
        <x:v>MIN</x:v>
      </x:c>
      <x:c r="H2519" t="str">
        <x:v>DET</x:v>
      </x:c>
      <x:c r="I2519" t="str">
        <x:v>DET</x:v>
      </x:c>
      <x:c r="J2519" t="n">
        <x:v>47</x:v>
      </x:c>
      <x:c r="K2519" t="str">
        <x:v>(12:21) (Shotgun) PENALTY on MIN-1-J.Nailor, False Start, 5 yards, enforced at DET 47 - No Play.</x:v>
      </x:c>
      <x:c r="L2519" t="str">
        <x:v>no_play</x:v>
      </x:c>
      <x:c r="M2519" t="n">
        <x:v>0</x:v>
      </x:c>
      <x:c r="N2519" t="n">
        <x:v>1</x:v>
      </x:c>
      <x:c r="O2519" t="n">
        <x:v>0</x:v>
      </x:c>
      <x:c r="P2519"/>
      <x:c r="Q2519"/>
      <x:c r="R2519"/>
      <x:c r="S2519"/>
      <x:c r="T2519"/>
      <x:c r="U2519"/>
      <x:c r="V2519" t="n">
        <x:v>0</x:v>
      </x:c>
      <x:c r="W2519" t="n">
        <x:v>0</x:v>
      </x:c>
      <x:c r="X2519" t="n">
        <x:v>0</x:v>
      </x:c>
      <x:c r="Y2519" t="n">
        <x:v>0</x:v>
      </x:c>
      <x:c r="Z2519" t="n">
        <x:v>0</x:v>
      </x:c>
      <x:c r="AA2519" t="n">
        <x:v>1</x:v>
      </x:c>
      <x:c r="AB2519" t="n">
        <x:v>5</x:v>
      </x:c>
      <x:c r="AC2519" t="n">
        <x:v>0</x:v>
      </x:c>
      <x:c r="AD2519" t="n">
        <x:v>-0.7511977406684309</x:v>
      </x:c>
      <x:c r="AE2519" t="n">
        <x:v>0</x:v>
      </x:c>
      <x:c r="AF2519" t="n">
        <x:v>-0.009153604507446289</x:v>
      </x:c>
      <x:c r="AG2519" t="n">
        <x:f>_xlfn.XLOOKUP($A2519,Games!$A$2:$A$18,Games!$B$2:$B$18,"Missing game",0)</x:f>
        <x:v>2025</x:v>
      </x:c>
      <x:c r="AH2519" t="str">
        <x:f>_xlfn.XLOOKUP($A2519,Games!$A$2:$A$18,Games!$C$2:$C$18,"Missing game",0)</x:f>
        <x:v>REG</x:v>
      </x:c>
      <x:c r="AI2519" t="n">
        <x:f>_xlfn.XLOOKUP($A2519,Games!$A$2:$A$18,Games!$D$2:$D$18,"Missing game",0)</x:f>
        <x:v>17</x:v>
      </x:c>
      <x:c r="AJ2519" s="1" t="n">
        <x:f>_xlfn.XLOOKUP($A2519,Games!$A$2:$A$18,Games!$E$2:$E$18,"Missing game",0)</x:f>
        <x:v>46016</x:v>
      </x:c>
      <x:c r="AK2519" t="str">
        <x:f>_xlfn.XLOOKUP($A2519,Games!$A$2:$A$18,Games!$F$2:$F$18,"Missing game",0)</x:f>
        <x:v>Thursday</x:v>
      </x:c>
      <x:c r="AL2519" t="str">
        <x:f>_xlfn.XLOOKUP($A2519,Games!$A$2:$A$18,Games!$G$2:$G$18,"Missing game",0)</x:f>
        <x:v>DET</x:v>
      </x:c>
      <x:c r="AM2519" t="n">
        <x:f>_xlfn.XLOOKUP($A2519,Games!$A$2:$A$18,Games!$H$2:$H$18,"Missing game",0)</x:f>
        <x:v>10</x:v>
      </x:c>
      <x:c r="AN2519" t="str">
        <x:f>_xlfn.XLOOKUP($A2519,Games!$A$2:$A$18,Games!$I$2:$I$18,"Missing game",0)</x:f>
        <x:v>MIN</x:v>
      </x:c>
      <x:c r="AO2519" t="n">
        <x:f>_xlfn.XLOOKUP($A2519,Games!$A$2:$A$18,Games!$J$2:$J$18,"Missing game",0)</x:f>
        <x:v>23</x:v>
      </x:c>
      <x:c r="AP2519" t="n">
        <x:f>_xlfn.XLOOKUP($A2519,Games!$A$2:$A$18,Games!$K$2:$K$18,"Missing game",0)</x:f>
        <x:v>13</x:v>
      </x:c>
      <x:c r="AQ2519" t="n">
        <x:f>_xlfn.XLOOKUP($A2519,Games!$A$2:$A$18,Games!$L$2:$L$18,"Missing game",0)</x:f>
        <x:v>33</x:v>
      </x:c>
      <x:c r="AR2519" t="n">
        <x:f>_xlfn.XLOOKUP($A2519,Games!$A$2:$A$18,Games!$M$2:$M$18,"Missing game",0)</x:f>
        <x:v>0</x:v>
      </x:c>
      <x:c r="AS2519" t="str">
        <x:f>_xlfn.XLOOKUP($A2519,Games!$A$2:$A$18,Games!$N$2:$N$18,"Missing game",0)</x:f>
        <x:v>dome</x:v>
      </x:c>
      <x:c r="AT2519" t="str">
        <x:f>_xlfn.XLOOKUP($A2519,Games!$A$2:$A$18,Games!$O$2:$O$18,"Missing game",0)</x:f>
        <x:v>sportturf</x:v>
      </x:c>
      <x:c r="AU2519" t="str">
        <x:f>_xlfn.XLOOKUP($A2519,Games!$A$2:$A$18,Games!$P$2:$P$18,"Missing game",0)</x:f>
      </x:c>
      <x:c r="AV2519" t="str">
        <x:f>_xlfn.XLOOKUP($A2519,Games!$A$2:$A$18,Games!$Q$2:$Q$18,"Missing game",0)</x:f>
      </x:c>
      <x:c r="AW2519" t="str">
        <x:f>_xlfn.XLOOKUP($A2519,Games!$A$2:$A$18,Games!$R$2:$R$18,"Missing game",0)</x:f>
        <x:v>U.S. Bank Stadium</x:v>
      </x:c>
    </x:row>
    <x:row r="2520">
      <x:c r="A2520" t="str">
        <x:v>2025_17_DET_MIN</x:v>
      </x:c>
      <x:c r="B2520" t="n">
        <x:v>1106</x:v>
      </x:c>
      <x:c r="C2520" t="n">
        <x:v>2</x:v>
      </x:c>
      <x:c r="D2520" t="str">
        <x:v>11:55</x:v>
      </x:c>
      <x:c r="E2520" t="n">
        <x:v>3</x:v>
      </x:c>
      <x:c r="F2520" t="n">
        <x:v>15</x:v>
      </x:c>
      <x:c r="G2520" t="str">
        <x:v>MIN</x:v>
      </x:c>
      <x:c r="H2520" t="str">
        <x:v>DET</x:v>
      </x:c>
      <x:c r="I2520" t="str">
        <x:v>MIN</x:v>
      </x:c>
      <x:c r="J2520" t="n">
        <x:v>52</x:v>
      </x:c>
      <x:c r="K2520" t="str">
        <x:v>(11:55) (Shotgun) 12-M.Brosmer sacked at MIN 41 for -7 yards (97-A.Hutchinson).</x:v>
      </x:c>
      <x:c r="L2520" t="str">
        <x:v>pass</x:v>
      </x:c>
      <x:c r="M2520" t="n">
        <x:v>-7</x:v>
      </x:c>
      <x:c r="N2520" t="n">
        <x:v>1</x:v>
      </x:c>
      <x:c r="O2520" t="n">
        <x:v>0</x:v>
      </x:c>
      <x:c r="P2520"/>
      <x:c r="Q2520"/>
      <x:c r="R2520"/>
      <x:c r="S2520"/>
      <x:c r="T2520"/>
      <x:c r="U2520"/>
      <x:c r="V2520" t="n">
        <x:v>0</x:v>
      </x:c>
      <x:c r="W2520" t="n">
        <x:v>0</x:v>
      </x:c>
      <x:c r="X2520" t="n">
        <x:v>1</x:v>
      </x:c>
      <x:c r="Y2520" t="n">
        <x:v>0</x:v>
      </x:c>
      <x:c r="Z2520" t="n">
        <x:v>0</x:v>
      </x:c>
      <x:c r="AA2520" t="n">
        <x:v>0</x:v>
      </x:c>
      <x:c r="AB2520"/>
      <x:c r="AC2520" t="n">
        <x:v>0</x:v>
      </x:c>
      <x:c r="AD2520" t="n">
        <x:v>-1.5146147459745407</x:v>
      </x:c>
      <x:c r="AE2520" t="n">
        <x:v>0</x:v>
      </x:c>
      <x:c r="AF2520" t="n">
        <x:v>-0.02527177333831787</x:v>
      </x:c>
      <x:c r="AG2520" t="n">
        <x:f>_xlfn.XLOOKUP($A2520,Games!$A$2:$A$18,Games!$B$2:$B$18,"Missing game",0)</x:f>
        <x:v>2025</x:v>
      </x:c>
      <x:c r="AH2520" t="str">
        <x:f>_xlfn.XLOOKUP($A2520,Games!$A$2:$A$18,Games!$C$2:$C$18,"Missing game",0)</x:f>
        <x:v>REG</x:v>
      </x:c>
      <x:c r="AI2520" t="n">
        <x:f>_xlfn.XLOOKUP($A2520,Games!$A$2:$A$18,Games!$D$2:$D$18,"Missing game",0)</x:f>
        <x:v>17</x:v>
      </x:c>
      <x:c r="AJ2520" s="1" t="n">
        <x:f>_xlfn.XLOOKUP($A2520,Games!$A$2:$A$18,Games!$E$2:$E$18,"Missing game",0)</x:f>
        <x:v>46016</x:v>
      </x:c>
      <x:c r="AK2520" t="str">
        <x:f>_xlfn.XLOOKUP($A2520,Games!$A$2:$A$18,Games!$F$2:$F$18,"Missing game",0)</x:f>
        <x:v>Thursday</x:v>
      </x:c>
      <x:c r="AL2520" t="str">
        <x:f>_xlfn.XLOOKUP($A2520,Games!$A$2:$A$18,Games!$G$2:$G$18,"Missing game",0)</x:f>
        <x:v>DET</x:v>
      </x:c>
      <x:c r="AM2520" t="n">
        <x:f>_xlfn.XLOOKUP($A2520,Games!$A$2:$A$18,Games!$H$2:$H$18,"Missing game",0)</x:f>
        <x:v>10</x:v>
      </x:c>
      <x:c r="AN2520" t="str">
        <x:f>_xlfn.XLOOKUP($A2520,Games!$A$2:$A$18,Games!$I$2:$I$18,"Missing game",0)</x:f>
        <x:v>MIN</x:v>
      </x:c>
      <x:c r="AO2520" t="n">
        <x:f>_xlfn.XLOOKUP($A2520,Games!$A$2:$A$18,Games!$J$2:$J$18,"Missing game",0)</x:f>
        <x:v>23</x:v>
      </x:c>
      <x:c r="AP2520" t="n">
        <x:f>_xlfn.XLOOKUP($A2520,Games!$A$2:$A$18,Games!$K$2:$K$18,"Missing game",0)</x:f>
        <x:v>13</x:v>
      </x:c>
      <x:c r="AQ2520" t="n">
        <x:f>_xlfn.XLOOKUP($A2520,Games!$A$2:$A$18,Games!$L$2:$L$18,"Missing game",0)</x:f>
        <x:v>33</x:v>
      </x:c>
      <x:c r="AR2520" t="n">
        <x:f>_xlfn.XLOOKUP($A2520,Games!$A$2:$A$18,Games!$M$2:$M$18,"Missing game",0)</x:f>
        <x:v>0</x:v>
      </x:c>
      <x:c r="AS2520" t="str">
        <x:f>_xlfn.XLOOKUP($A2520,Games!$A$2:$A$18,Games!$N$2:$N$18,"Missing game",0)</x:f>
        <x:v>dome</x:v>
      </x:c>
      <x:c r="AT2520" t="str">
        <x:f>_xlfn.XLOOKUP($A2520,Games!$A$2:$A$18,Games!$O$2:$O$18,"Missing game",0)</x:f>
        <x:v>sportturf</x:v>
      </x:c>
      <x:c r="AU2520" t="str">
        <x:f>_xlfn.XLOOKUP($A2520,Games!$A$2:$A$18,Games!$P$2:$P$18,"Missing game",0)</x:f>
      </x:c>
      <x:c r="AV2520" t="str">
        <x:f>_xlfn.XLOOKUP($A2520,Games!$A$2:$A$18,Games!$Q$2:$Q$18,"Missing game",0)</x:f>
      </x:c>
      <x:c r="AW2520" t="str">
        <x:f>_xlfn.XLOOKUP($A2520,Games!$A$2:$A$18,Games!$R$2:$R$18,"Missing game",0)</x:f>
        <x:v>U.S. Bank Stadium</x:v>
      </x:c>
    </x:row>
    <x:row r="2521">
      <x:c r="A2521" t="str">
        <x:v>2025_17_DET_MIN</x:v>
      </x:c>
      <x:c r="B2521" t="n">
        <x:v>1126</x:v>
      </x:c>
      <x:c r="C2521" t="n">
        <x:v>2</x:v>
      </x:c>
      <x:c r="D2521" t="str">
        <x:v>11:20</x:v>
      </x:c>
      <x:c r="E2521" t="n">
        <x:v>4</x:v>
      </x:c>
      <x:c r="F2521" t="n">
        <x:v>22</x:v>
      </x:c>
      <x:c r="G2521" t="str">
        <x:v>MIN</x:v>
      </x:c>
      <x:c r="H2521" t="str">
        <x:v>DET</x:v>
      </x:c>
      <x:c r="I2521" t="str">
        <x:v>MIN</x:v>
      </x:c>
      <x:c r="J2521" t="n">
        <x:v>59</x:v>
      </x:c>
      <x:c r="K2521" t="str">
        <x:v>(11:20) 17-R.Wright punts 59 yards to end zone, Center-42-A.DePaola, Touchback.</x:v>
      </x:c>
      <x:c r="L2521" t="str">
        <x:v>punt</x:v>
      </x:c>
      <x:c r="M2521" t="n">
        <x:v>0</x:v>
      </x:c>
      <x:c r="N2521" t="n">
        <x:v>0</x:v>
      </x:c>
      <x:c r="O2521" t="n">
        <x:v>0</x:v>
      </x:c>
      <x:c r="P2521"/>
      <x:c r="Q2521"/>
      <x:c r="R2521"/>
      <x:c r="S2521"/>
      <x:c r="T2521"/>
      <x:c r="U2521"/>
      <x:c r="V2521" t="n">
        <x:v>0</x:v>
      </x:c>
      <x:c r="W2521" t="n">
        <x:v>0</x:v>
      </x:c>
      <x:c r="X2521" t="n">
        <x:v>0</x:v>
      </x:c>
      <x:c r="Y2521" t="n">
        <x:v>0</x:v>
      </x:c>
      <x:c r="Z2521" t="n">
        <x:v>0</x:v>
      </x:c>
      <x:c r="AA2521" t="n">
        <x:v>0</x:v>
      </x:c>
      <x:c r="AB2521"/>
      <x:c r="AC2521" t="n">
        <x:v>0</x:v>
      </x:c>
      <x:c r="AD2521" t="n">
        <x:v>-0.5135935482103378</x:v>
      </x:c>
      <x:c r="AE2521" t="n">
        <x:v>0</x:v>
      </x:c>
      <x:c r="AF2521" t="n">
        <x:v>0.013194799423217773</x:v>
      </x:c>
      <x:c r="AG2521" t="n">
        <x:f>_xlfn.XLOOKUP($A2521,Games!$A$2:$A$18,Games!$B$2:$B$18,"Missing game",0)</x:f>
        <x:v>2025</x:v>
      </x:c>
      <x:c r="AH2521" t="str">
        <x:f>_xlfn.XLOOKUP($A2521,Games!$A$2:$A$18,Games!$C$2:$C$18,"Missing game",0)</x:f>
        <x:v>REG</x:v>
      </x:c>
      <x:c r="AI2521" t="n">
        <x:f>_xlfn.XLOOKUP($A2521,Games!$A$2:$A$18,Games!$D$2:$D$18,"Missing game",0)</x:f>
        <x:v>17</x:v>
      </x:c>
      <x:c r="AJ2521" s="1" t="n">
        <x:f>_xlfn.XLOOKUP($A2521,Games!$A$2:$A$18,Games!$E$2:$E$18,"Missing game",0)</x:f>
        <x:v>46016</x:v>
      </x:c>
      <x:c r="AK2521" t="str">
        <x:f>_xlfn.XLOOKUP($A2521,Games!$A$2:$A$18,Games!$F$2:$F$18,"Missing game",0)</x:f>
        <x:v>Thursday</x:v>
      </x:c>
      <x:c r="AL2521" t="str">
        <x:f>_xlfn.XLOOKUP($A2521,Games!$A$2:$A$18,Games!$G$2:$G$18,"Missing game",0)</x:f>
        <x:v>DET</x:v>
      </x:c>
      <x:c r="AM2521" t="n">
        <x:f>_xlfn.XLOOKUP($A2521,Games!$A$2:$A$18,Games!$H$2:$H$18,"Missing game",0)</x:f>
        <x:v>10</x:v>
      </x:c>
      <x:c r="AN2521" t="str">
        <x:f>_xlfn.XLOOKUP($A2521,Games!$A$2:$A$18,Games!$I$2:$I$18,"Missing game",0)</x:f>
        <x:v>MIN</x:v>
      </x:c>
      <x:c r="AO2521" t="n">
        <x:f>_xlfn.XLOOKUP($A2521,Games!$A$2:$A$18,Games!$J$2:$J$18,"Missing game",0)</x:f>
        <x:v>23</x:v>
      </x:c>
      <x:c r="AP2521" t="n">
        <x:f>_xlfn.XLOOKUP($A2521,Games!$A$2:$A$18,Games!$K$2:$K$18,"Missing game",0)</x:f>
        <x:v>13</x:v>
      </x:c>
      <x:c r="AQ2521" t="n">
        <x:f>_xlfn.XLOOKUP($A2521,Games!$A$2:$A$18,Games!$L$2:$L$18,"Missing game",0)</x:f>
        <x:v>33</x:v>
      </x:c>
      <x:c r="AR2521" t="n">
        <x:f>_xlfn.XLOOKUP($A2521,Games!$A$2:$A$18,Games!$M$2:$M$18,"Missing game",0)</x:f>
        <x:v>0</x:v>
      </x:c>
      <x:c r="AS2521" t="str">
        <x:f>_xlfn.XLOOKUP($A2521,Games!$A$2:$A$18,Games!$N$2:$N$18,"Missing game",0)</x:f>
        <x:v>dome</x:v>
      </x:c>
      <x:c r="AT2521" t="str">
        <x:f>_xlfn.XLOOKUP($A2521,Games!$A$2:$A$18,Games!$O$2:$O$18,"Missing game",0)</x:f>
        <x:v>sportturf</x:v>
      </x:c>
      <x:c r="AU2521" t="str">
        <x:f>_xlfn.XLOOKUP($A2521,Games!$A$2:$A$18,Games!$P$2:$P$18,"Missing game",0)</x:f>
      </x:c>
      <x:c r="AV2521" t="str">
        <x:f>_xlfn.XLOOKUP($A2521,Games!$A$2:$A$18,Games!$Q$2:$Q$18,"Missing game",0)</x:f>
      </x:c>
      <x:c r="AW2521" t="str">
        <x:f>_xlfn.XLOOKUP($A2521,Games!$A$2:$A$18,Games!$R$2:$R$18,"Missing game",0)</x:f>
        <x:v>U.S. Bank Stadium</x:v>
      </x:c>
    </x:row>
    <x:row r="2522">
      <x:c r="A2522" t="str">
        <x:v>2025_17_DET_MIN</x:v>
      </x:c>
      <x:c r="B2522" t="n">
        <x:v>1149</x:v>
      </x:c>
      <x:c r="C2522" t="n">
        <x:v>2</x:v>
      </x:c>
      <x:c r="D2522" t="str">
        <x:v>11:13</x:v>
      </x:c>
      <x:c r="E2522" t="n">
        <x:v>1</x:v>
      </x:c>
      <x:c r="F2522" t="n">
        <x:v>10</x:v>
      </x:c>
      <x:c r="G2522" t="str">
        <x:v>DET</x:v>
      </x:c>
      <x:c r="H2522" t="str">
        <x:v>MIN</x:v>
      </x:c>
      <x:c r="I2522" t="str">
        <x:v>DET</x:v>
      </x:c>
      <x:c r="J2522" t="n">
        <x:v>80</x:v>
      </x:c>
      <x:c r="K2522" t="str">
        <x:v>(11:13) 16-J.Goff sacked at DET 14 for -6 yards (43-A.Van Ginkel).</x:v>
      </x:c>
      <x:c r="L2522" t="str">
        <x:v>pass</x:v>
      </x:c>
      <x:c r="M2522" t="n">
        <x:v>-6</x:v>
      </x:c>
      <x:c r="N2522" t="n">
        <x:v>0</x:v>
      </x:c>
      <x:c r="O2522" t="n">
        <x:v>0</x:v>
      </x:c>
      <x:c r="P2522"/>
      <x:c r="Q2522"/>
      <x:c r="R2522"/>
      <x:c r="S2522"/>
      <x:c r="T2522"/>
      <x:c r="U2522"/>
      <x:c r="V2522" t="n">
        <x:v>0</x:v>
      </x:c>
      <x:c r="W2522" t="n">
        <x:v>0</x:v>
      </x:c>
      <x:c r="X2522" t="n">
        <x:v>1</x:v>
      </x:c>
      <x:c r="Y2522" t="n">
        <x:v>0</x:v>
      </x:c>
      <x:c r="Z2522" t="n">
        <x:v>0</x:v>
      </x:c>
      <x:c r="AA2522" t="n">
        <x:v>0</x:v>
      </x:c>
      <x:c r="AB2522"/>
      <x:c r="AC2522" t="n">
        <x:v>0</x:v>
      </x:c>
      <x:c r="AD2522" t="n">
        <x:v>-1.6135759975295514</x:v>
      </x:c>
      <x:c r="AE2522" t="n">
        <x:v>0</x:v>
      </x:c>
      <x:c r="AF2522" t="n">
        <x:v>-0.027461975812911987</x:v>
      </x:c>
      <x:c r="AG2522" t="n">
        <x:f>_xlfn.XLOOKUP($A2522,Games!$A$2:$A$18,Games!$B$2:$B$18,"Missing game",0)</x:f>
        <x:v>2025</x:v>
      </x:c>
      <x:c r="AH2522" t="str">
        <x:f>_xlfn.XLOOKUP($A2522,Games!$A$2:$A$18,Games!$C$2:$C$18,"Missing game",0)</x:f>
        <x:v>REG</x:v>
      </x:c>
      <x:c r="AI2522" t="n">
        <x:f>_xlfn.XLOOKUP($A2522,Games!$A$2:$A$18,Games!$D$2:$D$18,"Missing game",0)</x:f>
        <x:v>17</x:v>
      </x:c>
      <x:c r="AJ2522" s="1" t="n">
        <x:f>_xlfn.XLOOKUP($A2522,Games!$A$2:$A$18,Games!$E$2:$E$18,"Missing game",0)</x:f>
        <x:v>46016</x:v>
      </x:c>
      <x:c r="AK2522" t="str">
        <x:f>_xlfn.XLOOKUP($A2522,Games!$A$2:$A$18,Games!$F$2:$F$18,"Missing game",0)</x:f>
        <x:v>Thursday</x:v>
      </x:c>
      <x:c r="AL2522" t="str">
        <x:f>_xlfn.XLOOKUP($A2522,Games!$A$2:$A$18,Games!$G$2:$G$18,"Missing game",0)</x:f>
        <x:v>DET</x:v>
      </x:c>
      <x:c r="AM2522" t="n">
        <x:f>_xlfn.XLOOKUP($A2522,Games!$A$2:$A$18,Games!$H$2:$H$18,"Missing game",0)</x:f>
        <x:v>10</x:v>
      </x:c>
      <x:c r="AN2522" t="str">
        <x:f>_xlfn.XLOOKUP($A2522,Games!$A$2:$A$18,Games!$I$2:$I$18,"Missing game",0)</x:f>
        <x:v>MIN</x:v>
      </x:c>
      <x:c r="AO2522" t="n">
        <x:f>_xlfn.XLOOKUP($A2522,Games!$A$2:$A$18,Games!$J$2:$J$18,"Missing game",0)</x:f>
        <x:v>23</x:v>
      </x:c>
      <x:c r="AP2522" t="n">
        <x:f>_xlfn.XLOOKUP($A2522,Games!$A$2:$A$18,Games!$K$2:$K$18,"Missing game",0)</x:f>
        <x:v>13</x:v>
      </x:c>
      <x:c r="AQ2522" t="n">
        <x:f>_xlfn.XLOOKUP($A2522,Games!$A$2:$A$18,Games!$L$2:$L$18,"Missing game",0)</x:f>
        <x:v>33</x:v>
      </x:c>
      <x:c r="AR2522" t="n">
        <x:f>_xlfn.XLOOKUP($A2522,Games!$A$2:$A$18,Games!$M$2:$M$18,"Missing game",0)</x:f>
        <x:v>0</x:v>
      </x:c>
      <x:c r="AS2522" t="str">
        <x:f>_xlfn.XLOOKUP($A2522,Games!$A$2:$A$18,Games!$N$2:$N$18,"Missing game",0)</x:f>
        <x:v>dome</x:v>
      </x:c>
      <x:c r="AT2522" t="str">
        <x:f>_xlfn.XLOOKUP($A2522,Games!$A$2:$A$18,Games!$O$2:$O$18,"Missing game",0)</x:f>
        <x:v>sportturf</x:v>
      </x:c>
      <x:c r="AU2522" t="str">
        <x:f>_xlfn.XLOOKUP($A2522,Games!$A$2:$A$18,Games!$P$2:$P$18,"Missing game",0)</x:f>
      </x:c>
      <x:c r="AV2522" t="str">
        <x:f>_xlfn.XLOOKUP($A2522,Games!$A$2:$A$18,Games!$Q$2:$Q$18,"Missing game",0)</x:f>
      </x:c>
      <x:c r="AW2522" t="str">
        <x:f>_xlfn.XLOOKUP($A2522,Games!$A$2:$A$18,Games!$R$2:$R$18,"Missing game",0)</x:f>
        <x:v>U.S. Bank Stadium</x:v>
      </x:c>
    </x:row>
    <x:row r="2523">
      <x:c r="A2523" t="str">
        <x:v>2025_17_DET_MIN</x:v>
      </x:c>
      <x:c r="B2523" t="n">
        <x:v>1176</x:v>
      </x:c>
      <x:c r="C2523" t="n">
        <x:v>2</x:v>
      </x:c>
      <x:c r="D2523" t="str">
        <x:v>10:25</x:v>
      </x:c>
      <x:c r="E2523" t="n">
        <x:v>2</x:v>
      </x:c>
      <x:c r="F2523" t="n">
        <x:v>16</x:v>
      </x:c>
      <x:c r="G2523" t="str">
        <x:v>DET</x:v>
      </x:c>
      <x:c r="H2523" t="str">
        <x:v>MIN</x:v>
      </x:c>
      <x:c r="I2523" t="str">
        <x:v>DET</x:v>
      </x:c>
      <x:c r="J2523" t="n">
        <x:v>86</x:v>
      </x:c>
      <x:c r="K2523" t="str">
        <x:v>(10:25) (Shotgun) 16-J.Goff pass incomplete short middle to 0-J.Gibbs.</x:v>
      </x:c>
      <x:c r="L2523" t="str">
        <x:v>pass</x:v>
      </x:c>
      <x:c r="M2523" t="n">
        <x:v>0</x:v>
      </x:c>
      <x:c r="N2523" t="n">
        <x:v>1</x:v>
      </x:c>
      <x:c r="O2523" t="n">
        <x:v>0</x:v>
      </x:c>
      <x:c r="P2523" t="str">
        <x:v>short</x:v>
      </x:c>
      <x:c r="Q2523" t="str">
        <x:v>middle</x:v>
      </x:c>
      <x:c r="R2523" t="n">
        <x:v>9</x:v>
      </x:c>
      <x:c r="S2523"/>
      <x:c r="T2523"/>
      <x:c r="U2523"/>
      <x:c r="V2523" t="n">
        <x:v>0</x:v>
      </x:c>
      <x:c r="W2523" t="n">
        <x:v>0</x:v>
      </x:c>
      <x:c r="X2523" t="n">
        <x:v>0</x:v>
      </x:c>
      <x:c r="Y2523" t="n">
        <x:v>0</x:v>
      </x:c>
      <x:c r="Z2523" t="n">
        <x:v>0</x:v>
      </x:c>
      <x:c r="AA2523" t="n">
        <x:v>0</x:v>
      </x:c>
      <x:c r="AB2523"/>
      <x:c r="AC2523" t="n">
        <x:v>0</x:v>
      </x:c>
      <x:c r="AD2523" t="n">
        <x:v>-0.7610135651193559</x:v>
      </x:c>
      <x:c r="AE2523" t="n">
        <x:v>0</x:v>
      </x:c>
      <x:c r="AF2523" t="n">
        <x:v>-0.018557533621788025</x:v>
      </x:c>
      <x:c r="AG2523" t="n">
        <x:f>_xlfn.XLOOKUP($A2523,Games!$A$2:$A$18,Games!$B$2:$B$18,"Missing game",0)</x:f>
        <x:v>2025</x:v>
      </x:c>
      <x:c r="AH2523" t="str">
        <x:f>_xlfn.XLOOKUP($A2523,Games!$A$2:$A$18,Games!$C$2:$C$18,"Missing game",0)</x:f>
        <x:v>REG</x:v>
      </x:c>
      <x:c r="AI2523" t="n">
        <x:f>_xlfn.XLOOKUP($A2523,Games!$A$2:$A$18,Games!$D$2:$D$18,"Missing game",0)</x:f>
        <x:v>17</x:v>
      </x:c>
      <x:c r="AJ2523" s="1" t="n">
        <x:f>_xlfn.XLOOKUP($A2523,Games!$A$2:$A$18,Games!$E$2:$E$18,"Missing game",0)</x:f>
        <x:v>46016</x:v>
      </x:c>
      <x:c r="AK2523" t="str">
        <x:f>_xlfn.XLOOKUP($A2523,Games!$A$2:$A$18,Games!$F$2:$F$18,"Missing game",0)</x:f>
        <x:v>Thursday</x:v>
      </x:c>
      <x:c r="AL2523" t="str">
        <x:f>_xlfn.XLOOKUP($A2523,Games!$A$2:$A$18,Games!$G$2:$G$18,"Missing game",0)</x:f>
        <x:v>DET</x:v>
      </x:c>
      <x:c r="AM2523" t="n">
        <x:f>_xlfn.XLOOKUP($A2523,Games!$A$2:$A$18,Games!$H$2:$H$18,"Missing game",0)</x:f>
        <x:v>10</x:v>
      </x:c>
      <x:c r="AN2523" t="str">
        <x:f>_xlfn.XLOOKUP($A2523,Games!$A$2:$A$18,Games!$I$2:$I$18,"Missing game",0)</x:f>
        <x:v>MIN</x:v>
      </x:c>
      <x:c r="AO2523" t="n">
        <x:f>_xlfn.XLOOKUP($A2523,Games!$A$2:$A$18,Games!$J$2:$J$18,"Missing game",0)</x:f>
        <x:v>23</x:v>
      </x:c>
      <x:c r="AP2523" t="n">
        <x:f>_xlfn.XLOOKUP($A2523,Games!$A$2:$A$18,Games!$K$2:$K$18,"Missing game",0)</x:f>
        <x:v>13</x:v>
      </x:c>
      <x:c r="AQ2523" t="n">
        <x:f>_xlfn.XLOOKUP($A2523,Games!$A$2:$A$18,Games!$L$2:$L$18,"Missing game",0)</x:f>
        <x:v>33</x:v>
      </x:c>
      <x:c r="AR2523" t="n">
        <x:f>_xlfn.XLOOKUP($A2523,Games!$A$2:$A$18,Games!$M$2:$M$18,"Missing game",0)</x:f>
        <x:v>0</x:v>
      </x:c>
      <x:c r="AS2523" t="str">
        <x:f>_xlfn.XLOOKUP($A2523,Games!$A$2:$A$18,Games!$N$2:$N$18,"Missing game",0)</x:f>
        <x:v>dome</x:v>
      </x:c>
      <x:c r="AT2523" t="str">
        <x:f>_xlfn.XLOOKUP($A2523,Games!$A$2:$A$18,Games!$O$2:$O$18,"Missing game",0)</x:f>
        <x:v>sportturf</x:v>
      </x:c>
      <x:c r="AU2523" t="str">
        <x:f>_xlfn.XLOOKUP($A2523,Games!$A$2:$A$18,Games!$P$2:$P$18,"Missing game",0)</x:f>
      </x:c>
      <x:c r="AV2523" t="str">
        <x:f>_xlfn.XLOOKUP($A2523,Games!$A$2:$A$18,Games!$Q$2:$Q$18,"Missing game",0)</x:f>
      </x:c>
      <x:c r="AW2523" t="str">
        <x:f>_xlfn.XLOOKUP($A2523,Games!$A$2:$A$18,Games!$R$2:$R$18,"Missing game",0)</x:f>
        <x:v>U.S. Bank Stadium</x:v>
      </x:c>
    </x:row>
    <x:row r="2524">
      <x:c r="A2524" t="str">
        <x:v>2025_17_DET_MIN</x:v>
      </x:c>
      <x:c r="B2524" t="n">
        <x:v>1199</x:v>
      </x:c>
      <x:c r="C2524" t="n">
        <x:v>2</x:v>
      </x:c>
      <x:c r="D2524" t="str">
        <x:v>10:22</x:v>
      </x:c>
      <x:c r="E2524" t="n">
        <x:v>3</x:v>
      </x:c>
      <x:c r="F2524" t="n">
        <x:v>16</x:v>
      </x:c>
      <x:c r="G2524" t="str">
        <x:v>DET</x:v>
      </x:c>
      <x:c r="H2524" t="str">
        <x:v>MIN</x:v>
      </x:c>
      <x:c r="I2524" t="str">
        <x:v>DET</x:v>
      </x:c>
      <x:c r="J2524" t="n">
        <x:v>86</x:v>
      </x:c>
      <x:c r="K2524" t="str">
        <x:v>(10:22) (Shotgun) 16-J.Goff pass deep middle to 18-I.TeSlaa to DET 42 for 28 yards (23-F.Moreau).</x:v>
      </x:c>
      <x:c r="L2524" t="str">
        <x:v>pass</x:v>
      </x:c>
      <x:c r="M2524" t="n">
        <x:v>28</x:v>
      </x:c>
      <x:c r="N2524" t="n">
        <x:v>1</x:v>
      </x:c>
      <x:c r="O2524" t="n">
        <x:v>0</x:v>
      </x:c>
      <x:c r="P2524" t="str">
        <x:v>deep</x:v>
      </x:c>
      <x:c r="Q2524" t="str">
        <x:v>middle</x:v>
      </x:c>
      <x:c r="R2524" t="n">
        <x:v>17</x:v>
      </x:c>
      <x:c r="S2524" t="n">
        <x:v>11</x:v>
      </x:c>
      <x:c r="T2524"/>
      <x:c r="U2524"/>
      <x:c r="V2524" t="n">
        <x:v>1</x:v>
      </x:c>
      <x:c r="W2524" t="n">
        <x:v>1</x:v>
      </x:c>
      <x:c r="X2524" t="n">
        <x:v>0</x:v>
      </x:c>
      <x:c r="Y2524" t="n">
        <x:v>0</x:v>
      </x:c>
      <x:c r="Z2524" t="n">
        <x:v>0</x:v>
      </x:c>
      <x:c r="AA2524" t="n">
        <x:v>0</x:v>
      </x:c>
      <x:c r="AB2524"/>
      <x:c r="AC2524" t="n">
        <x:v>0</x:v>
      </x:c>
      <x:c r="AD2524" t="n">
        <x:v>3.5888693653978407</x:v>
      </x:c>
      <x:c r="AE2524" t="n">
        <x:v>1</x:v>
      </x:c>
      <x:c r="AF2524" t="n">
        <x:v>0.08715112507343292</x:v>
      </x:c>
      <x:c r="AG2524" t="n">
        <x:f>_xlfn.XLOOKUP($A2524,Games!$A$2:$A$18,Games!$B$2:$B$18,"Missing game",0)</x:f>
        <x:v>2025</x:v>
      </x:c>
      <x:c r="AH2524" t="str">
        <x:f>_xlfn.XLOOKUP($A2524,Games!$A$2:$A$18,Games!$C$2:$C$18,"Missing game",0)</x:f>
        <x:v>REG</x:v>
      </x:c>
      <x:c r="AI2524" t="n">
        <x:f>_xlfn.XLOOKUP($A2524,Games!$A$2:$A$18,Games!$D$2:$D$18,"Missing game",0)</x:f>
        <x:v>17</x:v>
      </x:c>
      <x:c r="AJ2524" s="1" t="n">
        <x:f>_xlfn.XLOOKUP($A2524,Games!$A$2:$A$18,Games!$E$2:$E$18,"Missing game",0)</x:f>
        <x:v>46016</x:v>
      </x:c>
      <x:c r="AK2524" t="str">
        <x:f>_xlfn.XLOOKUP($A2524,Games!$A$2:$A$18,Games!$F$2:$F$18,"Missing game",0)</x:f>
        <x:v>Thursday</x:v>
      </x:c>
      <x:c r="AL2524" t="str">
        <x:f>_xlfn.XLOOKUP($A2524,Games!$A$2:$A$18,Games!$G$2:$G$18,"Missing game",0)</x:f>
        <x:v>DET</x:v>
      </x:c>
      <x:c r="AM2524" t="n">
        <x:f>_xlfn.XLOOKUP($A2524,Games!$A$2:$A$18,Games!$H$2:$H$18,"Missing game",0)</x:f>
        <x:v>10</x:v>
      </x:c>
      <x:c r="AN2524" t="str">
        <x:f>_xlfn.XLOOKUP($A2524,Games!$A$2:$A$18,Games!$I$2:$I$18,"Missing game",0)</x:f>
        <x:v>MIN</x:v>
      </x:c>
      <x:c r="AO2524" t="n">
        <x:f>_xlfn.XLOOKUP($A2524,Games!$A$2:$A$18,Games!$J$2:$J$18,"Missing game",0)</x:f>
        <x:v>23</x:v>
      </x:c>
      <x:c r="AP2524" t="n">
        <x:f>_xlfn.XLOOKUP($A2524,Games!$A$2:$A$18,Games!$K$2:$K$18,"Missing game",0)</x:f>
        <x:v>13</x:v>
      </x:c>
      <x:c r="AQ2524" t="n">
        <x:f>_xlfn.XLOOKUP($A2524,Games!$A$2:$A$18,Games!$L$2:$L$18,"Missing game",0)</x:f>
        <x:v>33</x:v>
      </x:c>
      <x:c r="AR2524" t="n">
        <x:f>_xlfn.XLOOKUP($A2524,Games!$A$2:$A$18,Games!$M$2:$M$18,"Missing game",0)</x:f>
        <x:v>0</x:v>
      </x:c>
      <x:c r="AS2524" t="str">
        <x:f>_xlfn.XLOOKUP($A2524,Games!$A$2:$A$18,Games!$N$2:$N$18,"Missing game",0)</x:f>
        <x:v>dome</x:v>
      </x:c>
      <x:c r="AT2524" t="str">
        <x:f>_xlfn.XLOOKUP($A2524,Games!$A$2:$A$18,Games!$O$2:$O$18,"Missing game",0)</x:f>
        <x:v>sportturf</x:v>
      </x:c>
      <x:c r="AU2524" t="str">
        <x:f>_xlfn.XLOOKUP($A2524,Games!$A$2:$A$18,Games!$P$2:$P$18,"Missing game",0)</x:f>
      </x:c>
      <x:c r="AV2524" t="str">
        <x:f>_xlfn.XLOOKUP($A2524,Games!$A$2:$A$18,Games!$Q$2:$Q$18,"Missing game",0)</x:f>
      </x:c>
      <x:c r="AW2524" t="str">
        <x:f>_xlfn.XLOOKUP($A2524,Games!$A$2:$A$18,Games!$R$2:$R$18,"Missing game",0)</x:f>
        <x:v>U.S. Bank Stadium</x:v>
      </x:c>
    </x:row>
    <x:row r="2525">
      <x:c r="A2525" t="str">
        <x:v>2025_17_DET_MIN</x:v>
      </x:c>
      <x:c r="B2525" t="n">
        <x:v>1224</x:v>
      </x:c>
      <x:c r="C2525" t="n">
        <x:v>2</x:v>
      </x:c>
      <x:c r="D2525" t="str">
        <x:v>09:42</x:v>
      </x:c>
      <x:c r="E2525" t="n">
        <x:v>1</x:v>
      </x:c>
      <x:c r="F2525" t="n">
        <x:v>10</x:v>
      </x:c>
      <x:c r="G2525" t="str">
        <x:v>DET</x:v>
      </x:c>
      <x:c r="H2525" t="str">
        <x:v>MIN</x:v>
      </x:c>
      <x:c r="I2525" t="str">
        <x:v>DET</x:v>
      </x:c>
      <x:c r="J2525" t="n">
        <x:v>58</x:v>
      </x:c>
      <x:c r="K2525" t="str">
        <x:v>(9:42) 0-J.Gibbs left tackle to DET 43 for 1 yard (2-I.Rodgers; 51-B.Cashman).</x:v>
      </x:c>
      <x:c r="L2525" t="str">
        <x:v>run</x:v>
      </x:c>
      <x:c r="M2525" t="n">
        <x:v>1</x:v>
      </x:c>
      <x:c r="N2525" t="n">
        <x:v>0</x:v>
      </x:c>
      <x:c r="O2525" t="n">
        <x:v>0</x:v>
      </x:c>
      <x:c r="P2525"/>
      <x:c r="Q2525"/>
      <x:c r="R2525"/>
      <x:c r="S2525"/>
      <x:c r="T2525" t="str">
        <x:v>left</x:v>
      </x:c>
      <x:c r="U2525" t="str">
        <x:v>tackle</x:v>
      </x:c>
      <x:c r="V2525" t="n">
        <x:v>0</x:v>
      </x:c>
      <x:c r="W2525" t="n">
        <x:v>0</x:v>
      </x:c>
      <x:c r="X2525" t="n">
        <x:v>0</x:v>
      </x:c>
      <x:c r="Y2525" t="n">
        <x:v>0</x:v>
      </x:c>
      <x:c r="Z2525" t="n">
        <x:v>0</x:v>
      </x:c>
      <x:c r="AA2525" t="n">
        <x:v>0</x:v>
      </x:c>
      <x:c r="AB2525"/>
      <x:c r="AC2525" t="n">
        <x:v>0</x:v>
      </x:c>
      <x:c r="AD2525" t="n">
        <x:v>-0.45224366639740765</x:v>
      </x:c>
      <x:c r="AE2525" t="n">
        <x:v>0</x:v>
      </x:c>
      <x:c r="AF2525" t="n">
        <x:v>-0.008111357688903809</x:v>
      </x:c>
      <x:c r="AG2525" t="n">
        <x:f>_xlfn.XLOOKUP($A2525,Games!$A$2:$A$18,Games!$B$2:$B$18,"Missing game",0)</x:f>
        <x:v>2025</x:v>
      </x:c>
      <x:c r="AH2525" t="str">
        <x:f>_xlfn.XLOOKUP($A2525,Games!$A$2:$A$18,Games!$C$2:$C$18,"Missing game",0)</x:f>
        <x:v>REG</x:v>
      </x:c>
      <x:c r="AI2525" t="n">
        <x:f>_xlfn.XLOOKUP($A2525,Games!$A$2:$A$18,Games!$D$2:$D$18,"Missing game",0)</x:f>
        <x:v>17</x:v>
      </x:c>
      <x:c r="AJ2525" s="1" t="n">
        <x:f>_xlfn.XLOOKUP($A2525,Games!$A$2:$A$18,Games!$E$2:$E$18,"Missing game",0)</x:f>
        <x:v>46016</x:v>
      </x:c>
      <x:c r="AK2525" t="str">
        <x:f>_xlfn.XLOOKUP($A2525,Games!$A$2:$A$18,Games!$F$2:$F$18,"Missing game",0)</x:f>
        <x:v>Thursday</x:v>
      </x:c>
      <x:c r="AL2525" t="str">
        <x:f>_xlfn.XLOOKUP($A2525,Games!$A$2:$A$18,Games!$G$2:$G$18,"Missing game",0)</x:f>
        <x:v>DET</x:v>
      </x:c>
      <x:c r="AM2525" t="n">
        <x:f>_xlfn.XLOOKUP($A2525,Games!$A$2:$A$18,Games!$H$2:$H$18,"Missing game",0)</x:f>
        <x:v>10</x:v>
      </x:c>
      <x:c r="AN2525" t="str">
        <x:f>_xlfn.XLOOKUP($A2525,Games!$A$2:$A$18,Games!$I$2:$I$18,"Missing game",0)</x:f>
        <x:v>MIN</x:v>
      </x:c>
      <x:c r="AO2525" t="n">
        <x:f>_xlfn.XLOOKUP($A2525,Games!$A$2:$A$18,Games!$J$2:$J$18,"Missing game",0)</x:f>
        <x:v>23</x:v>
      </x:c>
      <x:c r="AP2525" t="n">
        <x:f>_xlfn.XLOOKUP($A2525,Games!$A$2:$A$18,Games!$K$2:$K$18,"Missing game",0)</x:f>
        <x:v>13</x:v>
      </x:c>
      <x:c r="AQ2525" t="n">
        <x:f>_xlfn.XLOOKUP($A2525,Games!$A$2:$A$18,Games!$L$2:$L$18,"Missing game",0)</x:f>
        <x:v>33</x:v>
      </x:c>
      <x:c r="AR2525" t="n">
        <x:f>_xlfn.XLOOKUP($A2525,Games!$A$2:$A$18,Games!$M$2:$M$18,"Missing game",0)</x:f>
        <x:v>0</x:v>
      </x:c>
      <x:c r="AS2525" t="str">
        <x:f>_xlfn.XLOOKUP($A2525,Games!$A$2:$A$18,Games!$N$2:$N$18,"Missing game",0)</x:f>
        <x:v>dome</x:v>
      </x:c>
      <x:c r="AT2525" t="str">
        <x:f>_xlfn.XLOOKUP($A2525,Games!$A$2:$A$18,Games!$O$2:$O$18,"Missing game",0)</x:f>
        <x:v>sportturf</x:v>
      </x:c>
      <x:c r="AU2525" t="str">
        <x:f>_xlfn.XLOOKUP($A2525,Games!$A$2:$A$18,Games!$P$2:$P$18,"Missing game",0)</x:f>
      </x:c>
      <x:c r="AV2525" t="str">
        <x:f>_xlfn.XLOOKUP($A2525,Games!$A$2:$A$18,Games!$Q$2:$Q$18,"Missing game",0)</x:f>
      </x:c>
      <x:c r="AW2525" t="str">
        <x:f>_xlfn.XLOOKUP($A2525,Games!$A$2:$A$18,Games!$R$2:$R$18,"Missing game",0)</x:f>
        <x:v>U.S. Bank Stadium</x:v>
      </x:c>
    </x:row>
    <x:row r="2526">
      <x:c r="A2526" t="str">
        <x:v>2025_17_DET_MIN</x:v>
      </x:c>
      <x:c r="B2526" t="n">
        <x:v>1246</x:v>
      </x:c>
      <x:c r="C2526" t="n">
        <x:v>2</x:v>
      </x:c>
      <x:c r="D2526" t="str">
        <x:v>08:57</x:v>
      </x:c>
      <x:c r="E2526" t="n">
        <x:v>2</x:v>
      </x:c>
      <x:c r="F2526" t="n">
        <x:v>9</x:v>
      </x:c>
      <x:c r="G2526" t="str">
        <x:v>DET</x:v>
      </x:c>
      <x:c r="H2526" t="str">
        <x:v>MIN</x:v>
      </x:c>
      <x:c r="I2526" t="str">
        <x:v>DET</x:v>
      </x:c>
      <x:c r="J2526" t="n">
        <x:v>57</x:v>
      </x:c>
      <x:c r="K2526" t="str">
        <x:v>(8:57) (Shotgun) 16-J.Goff pass incomplete short left to 1-J.Williams (22-H.Smith).</x:v>
      </x:c>
      <x:c r="L2526" t="str">
        <x:v>pass</x:v>
      </x:c>
      <x:c r="M2526" t="n">
        <x:v>0</x:v>
      </x:c>
      <x:c r="N2526" t="n">
        <x:v>1</x:v>
      </x:c>
      <x:c r="O2526" t="n">
        <x:v>0</x:v>
      </x:c>
      <x:c r="P2526" t="str">
        <x:v>short</x:v>
      </x:c>
      <x:c r="Q2526" t="str">
        <x:v>left</x:v>
      </x:c>
      <x:c r="R2526" t="n">
        <x:v>-1</x:v>
      </x:c>
      <x:c r="S2526"/>
      <x:c r="T2526"/>
      <x:c r="U2526"/>
      <x:c r="V2526" t="n">
        <x:v>0</x:v>
      </x:c>
      <x:c r="W2526" t="n">
        <x:v>0</x:v>
      </x:c>
      <x:c r="X2526" t="n">
        <x:v>0</x:v>
      </x:c>
      <x:c r="Y2526" t="n">
        <x:v>0</x:v>
      </x:c>
      <x:c r="Z2526" t="n">
        <x:v>0</x:v>
      </x:c>
      <x:c r="AA2526" t="n">
        <x:v>0</x:v>
      </x:c>
      <x:c r="AB2526"/>
      <x:c r="AC2526" t="n">
        <x:v>0</x:v>
      </x:c>
      <x:c r="AD2526" t="n">
        <x:v>-0.782342633465305</x:v>
      </x:c>
      <x:c r="AE2526" t="n">
        <x:v>0</x:v>
      </x:c>
      <x:c r="AF2526" t="n">
        <x:v>-0.02641245722770691</x:v>
      </x:c>
      <x:c r="AG2526" t="n">
        <x:f>_xlfn.XLOOKUP($A2526,Games!$A$2:$A$18,Games!$B$2:$B$18,"Missing game",0)</x:f>
        <x:v>2025</x:v>
      </x:c>
      <x:c r="AH2526" t="str">
        <x:f>_xlfn.XLOOKUP($A2526,Games!$A$2:$A$18,Games!$C$2:$C$18,"Missing game",0)</x:f>
        <x:v>REG</x:v>
      </x:c>
      <x:c r="AI2526" t="n">
        <x:f>_xlfn.XLOOKUP($A2526,Games!$A$2:$A$18,Games!$D$2:$D$18,"Missing game",0)</x:f>
        <x:v>17</x:v>
      </x:c>
      <x:c r="AJ2526" s="1" t="n">
        <x:f>_xlfn.XLOOKUP($A2526,Games!$A$2:$A$18,Games!$E$2:$E$18,"Missing game",0)</x:f>
        <x:v>46016</x:v>
      </x:c>
      <x:c r="AK2526" t="str">
        <x:f>_xlfn.XLOOKUP($A2526,Games!$A$2:$A$18,Games!$F$2:$F$18,"Missing game",0)</x:f>
        <x:v>Thursday</x:v>
      </x:c>
      <x:c r="AL2526" t="str">
        <x:f>_xlfn.XLOOKUP($A2526,Games!$A$2:$A$18,Games!$G$2:$G$18,"Missing game",0)</x:f>
        <x:v>DET</x:v>
      </x:c>
      <x:c r="AM2526" t="n">
        <x:f>_xlfn.XLOOKUP($A2526,Games!$A$2:$A$18,Games!$H$2:$H$18,"Missing game",0)</x:f>
        <x:v>10</x:v>
      </x:c>
      <x:c r="AN2526" t="str">
        <x:f>_xlfn.XLOOKUP($A2526,Games!$A$2:$A$18,Games!$I$2:$I$18,"Missing game",0)</x:f>
        <x:v>MIN</x:v>
      </x:c>
      <x:c r="AO2526" t="n">
        <x:f>_xlfn.XLOOKUP($A2526,Games!$A$2:$A$18,Games!$J$2:$J$18,"Missing game",0)</x:f>
        <x:v>23</x:v>
      </x:c>
      <x:c r="AP2526" t="n">
        <x:f>_xlfn.XLOOKUP($A2526,Games!$A$2:$A$18,Games!$K$2:$K$18,"Missing game",0)</x:f>
        <x:v>13</x:v>
      </x:c>
      <x:c r="AQ2526" t="n">
        <x:f>_xlfn.XLOOKUP($A2526,Games!$A$2:$A$18,Games!$L$2:$L$18,"Missing game",0)</x:f>
        <x:v>33</x:v>
      </x:c>
      <x:c r="AR2526" t="n">
        <x:f>_xlfn.XLOOKUP($A2526,Games!$A$2:$A$18,Games!$M$2:$M$18,"Missing game",0)</x:f>
        <x:v>0</x:v>
      </x:c>
      <x:c r="AS2526" t="str">
        <x:f>_xlfn.XLOOKUP($A2526,Games!$A$2:$A$18,Games!$N$2:$N$18,"Missing game",0)</x:f>
        <x:v>dome</x:v>
      </x:c>
      <x:c r="AT2526" t="str">
        <x:f>_xlfn.XLOOKUP($A2526,Games!$A$2:$A$18,Games!$O$2:$O$18,"Missing game",0)</x:f>
        <x:v>sportturf</x:v>
      </x:c>
      <x:c r="AU2526" t="str">
        <x:f>_xlfn.XLOOKUP($A2526,Games!$A$2:$A$18,Games!$P$2:$P$18,"Missing game",0)</x:f>
      </x:c>
      <x:c r="AV2526" t="str">
        <x:f>_xlfn.XLOOKUP($A2526,Games!$A$2:$A$18,Games!$Q$2:$Q$18,"Missing game",0)</x:f>
      </x:c>
      <x:c r="AW2526" t="str">
        <x:f>_xlfn.XLOOKUP($A2526,Games!$A$2:$A$18,Games!$R$2:$R$18,"Missing game",0)</x:f>
        <x:v>U.S. Bank Stadium</x:v>
      </x:c>
    </x:row>
    <x:row r="2527">
      <x:c r="A2527" t="str">
        <x:v>2025_17_DET_MIN</x:v>
      </x:c>
      <x:c r="B2527" t="n">
        <x:v>1269</x:v>
      </x:c>
      <x:c r="C2527" t="n">
        <x:v>2</x:v>
      </x:c>
      <x:c r="D2527" t="str">
        <x:v>08:55</x:v>
      </x:c>
      <x:c r="E2527" t="n">
        <x:v>3</x:v>
      </x:c>
      <x:c r="F2527" t="n">
        <x:v>9</x:v>
      </x:c>
      <x:c r="G2527" t="str">
        <x:v>DET</x:v>
      </x:c>
      <x:c r="H2527" t="str">
        <x:v>MIN</x:v>
      </x:c>
      <x:c r="I2527" t="str">
        <x:v>DET</x:v>
      </x:c>
      <x:c r="J2527" t="n">
        <x:v>57</x:v>
      </x:c>
      <x:c r="K2527" t="str">
        <x:v>(8:55) (Shotgun) 16-J.Goff pass short left to 14-A.St. Brown to MIN 44 for 13 yards (51-B.Cashman).</x:v>
      </x:c>
      <x:c r="L2527" t="str">
        <x:v>pass</x:v>
      </x:c>
      <x:c r="M2527" t="n">
        <x:v>13</x:v>
      </x:c>
      <x:c r="N2527" t="n">
        <x:v>1</x:v>
      </x:c>
      <x:c r="O2527" t="n">
        <x:v>0</x:v>
      </x:c>
      <x:c r="P2527" t="str">
        <x:v>short</x:v>
      </x:c>
      <x:c r="Q2527" t="str">
        <x:v>left</x:v>
      </x:c>
      <x:c r="R2527" t="n">
        <x:v>13</x:v>
      </x:c>
      <x:c r="S2527" t="n">
        <x:v>0</x:v>
      </x:c>
      <x:c r="T2527"/>
      <x:c r="U2527"/>
      <x:c r="V2527" t="n">
        <x:v>1</x:v>
      </x:c>
      <x:c r="W2527" t="n">
        <x:v>1</x:v>
      </x:c>
      <x:c r="X2527" t="n">
        <x:v>0</x:v>
      </x:c>
      <x:c r="Y2527" t="n">
        <x:v>0</x:v>
      </x:c>
      <x:c r="Z2527" t="n">
        <x:v>0</x:v>
      </x:c>
      <x:c r="AA2527" t="n">
        <x:v>0</x:v>
      </x:c>
      <x:c r="AB2527"/>
      <x:c r="AC2527" t="n">
        <x:v>0</x:v>
      </x:c>
      <x:c r="AD2527" t="n">
        <x:v>2.0219109570607543</x:v>
      </x:c>
      <x:c r="AE2527" t="n">
        <x:v>1</x:v>
      </x:c>
      <x:c r="AF2527" t="n">
        <x:v>0.053476572036743164</x:v>
      </x:c>
      <x:c r="AG2527" t="n">
        <x:f>_xlfn.XLOOKUP($A2527,Games!$A$2:$A$18,Games!$B$2:$B$18,"Missing game",0)</x:f>
        <x:v>2025</x:v>
      </x:c>
      <x:c r="AH2527" t="str">
        <x:f>_xlfn.XLOOKUP($A2527,Games!$A$2:$A$18,Games!$C$2:$C$18,"Missing game",0)</x:f>
        <x:v>REG</x:v>
      </x:c>
      <x:c r="AI2527" t="n">
        <x:f>_xlfn.XLOOKUP($A2527,Games!$A$2:$A$18,Games!$D$2:$D$18,"Missing game",0)</x:f>
        <x:v>17</x:v>
      </x:c>
      <x:c r="AJ2527" s="1" t="n">
        <x:f>_xlfn.XLOOKUP($A2527,Games!$A$2:$A$18,Games!$E$2:$E$18,"Missing game",0)</x:f>
        <x:v>46016</x:v>
      </x:c>
      <x:c r="AK2527" t="str">
        <x:f>_xlfn.XLOOKUP($A2527,Games!$A$2:$A$18,Games!$F$2:$F$18,"Missing game",0)</x:f>
        <x:v>Thursday</x:v>
      </x:c>
      <x:c r="AL2527" t="str">
        <x:f>_xlfn.XLOOKUP($A2527,Games!$A$2:$A$18,Games!$G$2:$G$18,"Missing game",0)</x:f>
        <x:v>DET</x:v>
      </x:c>
      <x:c r="AM2527" t="n">
        <x:f>_xlfn.XLOOKUP($A2527,Games!$A$2:$A$18,Games!$H$2:$H$18,"Missing game",0)</x:f>
        <x:v>10</x:v>
      </x:c>
      <x:c r="AN2527" t="str">
        <x:f>_xlfn.XLOOKUP($A2527,Games!$A$2:$A$18,Games!$I$2:$I$18,"Missing game",0)</x:f>
        <x:v>MIN</x:v>
      </x:c>
      <x:c r="AO2527" t="n">
        <x:f>_xlfn.XLOOKUP($A2527,Games!$A$2:$A$18,Games!$J$2:$J$18,"Missing game",0)</x:f>
        <x:v>23</x:v>
      </x:c>
      <x:c r="AP2527" t="n">
        <x:f>_xlfn.XLOOKUP($A2527,Games!$A$2:$A$18,Games!$K$2:$K$18,"Missing game",0)</x:f>
        <x:v>13</x:v>
      </x:c>
      <x:c r="AQ2527" t="n">
        <x:f>_xlfn.XLOOKUP($A2527,Games!$A$2:$A$18,Games!$L$2:$L$18,"Missing game",0)</x:f>
        <x:v>33</x:v>
      </x:c>
      <x:c r="AR2527" t="n">
        <x:f>_xlfn.XLOOKUP($A2527,Games!$A$2:$A$18,Games!$M$2:$M$18,"Missing game",0)</x:f>
        <x:v>0</x:v>
      </x:c>
      <x:c r="AS2527" t="str">
        <x:f>_xlfn.XLOOKUP($A2527,Games!$A$2:$A$18,Games!$N$2:$N$18,"Missing game",0)</x:f>
        <x:v>dome</x:v>
      </x:c>
      <x:c r="AT2527" t="str">
        <x:f>_xlfn.XLOOKUP($A2527,Games!$A$2:$A$18,Games!$O$2:$O$18,"Missing game",0)</x:f>
        <x:v>sportturf</x:v>
      </x:c>
      <x:c r="AU2527" t="str">
        <x:f>_xlfn.XLOOKUP($A2527,Games!$A$2:$A$18,Games!$P$2:$P$18,"Missing game",0)</x:f>
      </x:c>
      <x:c r="AV2527" t="str">
        <x:f>_xlfn.XLOOKUP($A2527,Games!$A$2:$A$18,Games!$Q$2:$Q$18,"Missing game",0)</x:f>
      </x:c>
      <x:c r="AW2527" t="str">
        <x:f>_xlfn.XLOOKUP($A2527,Games!$A$2:$A$18,Games!$R$2:$R$18,"Missing game",0)</x:f>
        <x:v>U.S. Bank Stadium</x:v>
      </x:c>
    </x:row>
    <x:row r="2528">
      <x:c r="A2528" t="str">
        <x:v>2025_17_DET_MIN</x:v>
      </x:c>
      <x:c r="B2528" t="n">
        <x:v>1294</x:v>
      </x:c>
      <x:c r="C2528" t="n">
        <x:v>2</x:v>
      </x:c>
      <x:c r="D2528" t="str">
        <x:v>08:24</x:v>
      </x:c>
      <x:c r="E2528" t="n">
        <x:v>1</x:v>
      </x:c>
      <x:c r="F2528" t="n">
        <x:v>10</x:v>
      </x:c>
      <x:c r="G2528" t="str">
        <x:v>DET</x:v>
      </x:c>
      <x:c r="H2528" t="str">
        <x:v>MIN</x:v>
      </x:c>
      <x:c r="I2528" t="str">
        <x:v>MIN</x:v>
      </x:c>
      <x:c r="J2528" t="n">
        <x:v>44</x:v>
      </x:c>
      <x:c r="K2528" t="str">
        <x:v>(8:24) 0-J.Gibbs right end to MIN 36 for 8 yards (24-J.Ward).</x:v>
      </x:c>
      <x:c r="L2528" t="str">
        <x:v>run</x:v>
      </x:c>
      <x:c r="M2528" t="n">
        <x:v>8</x:v>
      </x:c>
      <x:c r="N2528" t="n">
        <x:v>0</x:v>
      </x:c>
      <x:c r="O2528" t="n">
        <x:v>0</x:v>
      </x:c>
      <x:c r="P2528"/>
      <x:c r="Q2528"/>
      <x:c r="R2528"/>
      <x:c r="S2528"/>
      <x:c r="T2528" t="str">
        <x:v>right</x:v>
      </x:c>
      <x:c r="U2528" t="str">
        <x:v>end</x:v>
      </x:c>
      <x:c r="V2528" t="n">
        <x:v>0</x:v>
      </x:c>
      <x:c r="W2528" t="n">
        <x:v>0</x:v>
      </x:c>
      <x:c r="X2528" t="n">
        <x:v>0</x:v>
      </x:c>
      <x:c r="Y2528" t="n">
        <x:v>0</x:v>
      </x:c>
      <x:c r="Z2528" t="n">
        <x:v>0</x:v>
      </x:c>
      <x:c r="AA2528" t="n">
        <x:v>0</x:v>
      </x:c>
      <x:c r="AB2528"/>
      <x:c r="AC2528" t="n">
        <x:v>0</x:v>
      </x:c>
      <x:c r="AD2528" t="n">
        <x:v>0.5762759571662173</x:v>
      </x:c>
      <x:c r="AE2528" t="n">
        <x:v>1</x:v>
      </x:c>
      <x:c r="AF2528" t="n">
        <x:v>0.02077263593673706</x:v>
      </x:c>
      <x:c r="AG2528" t="n">
        <x:f>_xlfn.XLOOKUP($A2528,Games!$A$2:$A$18,Games!$B$2:$B$18,"Missing game",0)</x:f>
        <x:v>2025</x:v>
      </x:c>
      <x:c r="AH2528" t="str">
        <x:f>_xlfn.XLOOKUP($A2528,Games!$A$2:$A$18,Games!$C$2:$C$18,"Missing game",0)</x:f>
        <x:v>REG</x:v>
      </x:c>
      <x:c r="AI2528" t="n">
        <x:f>_xlfn.XLOOKUP($A2528,Games!$A$2:$A$18,Games!$D$2:$D$18,"Missing game",0)</x:f>
        <x:v>17</x:v>
      </x:c>
      <x:c r="AJ2528" s="1" t="n">
        <x:f>_xlfn.XLOOKUP($A2528,Games!$A$2:$A$18,Games!$E$2:$E$18,"Missing game",0)</x:f>
        <x:v>46016</x:v>
      </x:c>
      <x:c r="AK2528" t="str">
        <x:f>_xlfn.XLOOKUP($A2528,Games!$A$2:$A$18,Games!$F$2:$F$18,"Missing game",0)</x:f>
        <x:v>Thursday</x:v>
      </x:c>
      <x:c r="AL2528" t="str">
        <x:f>_xlfn.XLOOKUP($A2528,Games!$A$2:$A$18,Games!$G$2:$G$18,"Missing game",0)</x:f>
        <x:v>DET</x:v>
      </x:c>
      <x:c r="AM2528" t="n">
        <x:f>_xlfn.XLOOKUP($A2528,Games!$A$2:$A$18,Games!$H$2:$H$18,"Missing game",0)</x:f>
        <x:v>10</x:v>
      </x:c>
      <x:c r="AN2528" t="str">
        <x:f>_xlfn.XLOOKUP($A2528,Games!$A$2:$A$18,Games!$I$2:$I$18,"Missing game",0)</x:f>
        <x:v>MIN</x:v>
      </x:c>
      <x:c r="AO2528" t="n">
        <x:f>_xlfn.XLOOKUP($A2528,Games!$A$2:$A$18,Games!$J$2:$J$18,"Missing game",0)</x:f>
        <x:v>23</x:v>
      </x:c>
      <x:c r="AP2528" t="n">
        <x:f>_xlfn.XLOOKUP($A2528,Games!$A$2:$A$18,Games!$K$2:$K$18,"Missing game",0)</x:f>
        <x:v>13</x:v>
      </x:c>
      <x:c r="AQ2528" t="n">
        <x:f>_xlfn.XLOOKUP($A2528,Games!$A$2:$A$18,Games!$L$2:$L$18,"Missing game",0)</x:f>
        <x:v>33</x:v>
      </x:c>
      <x:c r="AR2528" t="n">
        <x:f>_xlfn.XLOOKUP($A2528,Games!$A$2:$A$18,Games!$M$2:$M$18,"Missing game",0)</x:f>
        <x:v>0</x:v>
      </x:c>
      <x:c r="AS2528" t="str">
        <x:f>_xlfn.XLOOKUP($A2528,Games!$A$2:$A$18,Games!$N$2:$N$18,"Missing game",0)</x:f>
        <x:v>dome</x:v>
      </x:c>
      <x:c r="AT2528" t="str">
        <x:f>_xlfn.XLOOKUP($A2528,Games!$A$2:$A$18,Games!$O$2:$O$18,"Missing game",0)</x:f>
        <x:v>sportturf</x:v>
      </x:c>
      <x:c r="AU2528" t="str">
        <x:f>_xlfn.XLOOKUP($A2528,Games!$A$2:$A$18,Games!$P$2:$P$18,"Missing game",0)</x:f>
      </x:c>
      <x:c r="AV2528" t="str">
        <x:f>_xlfn.XLOOKUP($A2528,Games!$A$2:$A$18,Games!$Q$2:$Q$18,"Missing game",0)</x:f>
      </x:c>
      <x:c r="AW2528" t="str">
        <x:f>_xlfn.XLOOKUP($A2528,Games!$A$2:$A$18,Games!$R$2:$R$18,"Missing game",0)</x:f>
        <x:v>U.S. Bank Stadium</x:v>
      </x:c>
    </x:row>
    <x:row r="2529">
      <x:c r="A2529" t="str">
        <x:v>2025_17_DET_MIN</x:v>
      </x:c>
      <x:c r="B2529" t="n">
        <x:v>1316</x:v>
      </x:c>
      <x:c r="C2529" t="n">
        <x:v>2</x:v>
      </x:c>
      <x:c r="D2529" t="str">
        <x:v>07:44</x:v>
      </x:c>
      <x:c r="E2529" t="n">
        <x:v>2</x:v>
      </x:c>
      <x:c r="F2529" t="n">
        <x:v>2</x:v>
      </x:c>
      <x:c r="G2529" t="str">
        <x:v>DET</x:v>
      </x:c>
      <x:c r="H2529" t="str">
        <x:v>MIN</x:v>
      </x:c>
      <x:c r="I2529" t="str">
        <x:v>MIN</x:v>
      </x:c>
      <x:c r="J2529" t="n">
        <x:v>36</x:v>
      </x:c>
      <x:c r="K2529" t="str">
        <x:v>(7:44) 0-J.Gibbs left guard to MIN 30 for 6 yards (22-H.Smith).</x:v>
      </x:c>
      <x:c r="L2529" t="str">
        <x:v>run</x:v>
      </x:c>
      <x:c r="M2529" t="n">
        <x:v>6</x:v>
      </x:c>
      <x:c r="N2529" t="n">
        <x:v>0</x:v>
      </x:c>
      <x:c r="O2529" t="n">
        <x:v>0</x:v>
      </x:c>
      <x:c r="P2529"/>
      <x:c r="Q2529"/>
      <x:c r="R2529"/>
      <x:c r="S2529"/>
      <x:c r="T2529" t="str">
        <x:v>left</x:v>
      </x:c>
      <x:c r="U2529" t="str">
        <x:v>guard</x:v>
      </x:c>
      <x:c r="V2529" t="n">
        <x:v>0</x:v>
      </x:c>
      <x:c r="W2529" t="n">
        <x:v>1</x:v>
      </x:c>
      <x:c r="X2529" t="n">
        <x:v>0</x:v>
      </x:c>
      <x:c r="Y2529" t="n">
        <x:v>0</x:v>
      </x:c>
      <x:c r="Z2529" t="n">
        <x:v>0</x:v>
      </x:c>
      <x:c r="AA2529" t="n">
        <x:v>0</x:v>
      </x:c>
      <x:c r="AB2529"/>
      <x:c r="AC2529" t="n">
        <x:v>0</x:v>
      </x:c>
      <x:c r="AD2529" t="n">
        <x:v>0.2628970933146775</x:v>
      </x:c>
      <x:c r="AE2529" t="n">
        <x:v>1</x:v>
      </x:c>
      <x:c r="AF2529" t="n">
        <x:v>0.010830461978912354</x:v>
      </x:c>
      <x:c r="AG2529" t="n">
        <x:f>_xlfn.XLOOKUP($A2529,Games!$A$2:$A$18,Games!$B$2:$B$18,"Missing game",0)</x:f>
        <x:v>2025</x:v>
      </x:c>
      <x:c r="AH2529" t="str">
        <x:f>_xlfn.XLOOKUP($A2529,Games!$A$2:$A$18,Games!$C$2:$C$18,"Missing game",0)</x:f>
        <x:v>REG</x:v>
      </x:c>
      <x:c r="AI2529" t="n">
        <x:f>_xlfn.XLOOKUP($A2529,Games!$A$2:$A$18,Games!$D$2:$D$18,"Missing game",0)</x:f>
        <x:v>17</x:v>
      </x:c>
      <x:c r="AJ2529" s="1" t="n">
        <x:f>_xlfn.XLOOKUP($A2529,Games!$A$2:$A$18,Games!$E$2:$E$18,"Missing game",0)</x:f>
        <x:v>46016</x:v>
      </x:c>
      <x:c r="AK2529" t="str">
        <x:f>_xlfn.XLOOKUP($A2529,Games!$A$2:$A$18,Games!$F$2:$F$18,"Missing game",0)</x:f>
        <x:v>Thursday</x:v>
      </x:c>
      <x:c r="AL2529" t="str">
        <x:f>_xlfn.XLOOKUP($A2529,Games!$A$2:$A$18,Games!$G$2:$G$18,"Missing game",0)</x:f>
        <x:v>DET</x:v>
      </x:c>
      <x:c r="AM2529" t="n">
        <x:f>_xlfn.XLOOKUP($A2529,Games!$A$2:$A$18,Games!$H$2:$H$18,"Missing game",0)</x:f>
        <x:v>10</x:v>
      </x:c>
      <x:c r="AN2529" t="str">
        <x:f>_xlfn.XLOOKUP($A2529,Games!$A$2:$A$18,Games!$I$2:$I$18,"Missing game",0)</x:f>
        <x:v>MIN</x:v>
      </x:c>
      <x:c r="AO2529" t="n">
        <x:f>_xlfn.XLOOKUP($A2529,Games!$A$2:$A$18,Games!$J$2:$J$18,"Missing game",0)</x:f>
        <x:v>23</x:v>
      </x:c>
      <x:c r="AP2529" t="n">
        <x:f>_xlfn.XLOOKUP($A2529,Games!$A$2:$A$18,Games!$K$2:$K$18,"Missing game",0)</x:f>
        <x:v>13</x:v>
      </x:c>
      <x:c r="AQ2529" t="n">
        <x:f>_xlfn.XLOOKUP($A2529,Games!$A$2:$A$18,Games!$L$2:$L$18,"Missing game",0)</x:f>
        <x:v>33</x:v>
      </x:c>
      <x:c r="AR2529" t="n">
        <x:f>_xlfn.XLOOKUP($A2529,Games!$A$2:$A$18,Games!$M$2:$M$18,"Missing game",0)</x:f>
        <x:v>0</x:v>
      </x:c>
      <x:c r="AS2529" t="str">
        <x:f>_xlfn.XLOOKUP($A2529,Games!$A$2:$A$18,Games!$N$2:$N$18,"Missing game",0)</x:f>
        <x:v>dome</x:v>
      </x:c>
      <x:c r="AT2529" t="str">
        <x:f>_xlfn.XLOOKUP($A2529,Games!$A$2:$A$18,Games!$O$2:$O$18,"Missing game",0)</x:f>
        <x:v>sportturf</x:v>
      </x:c>
      <x:c r="AU2529" t="str">
        <x:f>_xlfn.XLOOKUP($A2529,Games!$A$2:$A$18,Games!$P$2:$P$18,"Missing game",0)</x:f>
      </x:c>
      <x:c r="AV2529" t="str">
        <x:f>_xlfn.XLOOKUP($A2529,Games!$A$2:$A$18,Games!$Q$2:$Q$18,"Missing game",0)</x:f>
      </x:c>
      <x:c r="AW2529" t="str">
        <x:f>_xlfn.XLOOKUP($A2529,Games!$A$2:$A$18,Games!$R$2:$R$18,"Missing game",0)</x:f>
        <x:v>U.S. Bank Stadium</x:v>
      </x:c>
    </x:row>
    <x:row r="2530">
      <x:c r="A2530" t="str">
        <x:v>2025_17_DET_MIN</x:v>
      </x:c>
      <x:c r="B2530" t="n">
        <x:v>1338</x:v>
      </x:c>
      <x:c r="C2530" t="n">
        <x:v>2</x:v>
      </x:c>
      <x:c r="D2530" t="str">
        <x:v>07:02</x:v>
      </x:c>
      <x:c r="E2530" t="n">
        <x:v>1</x:v>
      </x:c>
      <x:c r="F2530" t="n">
        <x:v>10</x:v>
      </x:c>
      <x:c r="G2530" t="str">
        <x:v>DET</x:v>
      </x:c>
      <x:c r="H2530" t="str">
        <x:v>MIN</x:v>
      </x:c>
      <x:c r="I2530" t="str">
        <x:v>MIN</x:v>
      </x:c>
      <x:c r="J2530" t="n">
        <x:v>30</x:v>
      </x:c>
      <x:c r="K2530" t="str">
        <x:v>(7:02) (Shotgun) 16-J.Goff pass incomplete short right to 14-A.St. Brown.</x:v>
      </x:c>
      <x:c r="L2530" t="str">
        <x:v>pass</x:v>
      </x:c>
      <x:c r="M2530" t="n">
        <x:v>0</x:v>
      </x:c>
      <x:c r="N2530" t="n">
        <x:v>1</x:v>
      </x:c>
      <x:c r="O2530" t="n">
        <x:v>0</x:v>
      </x:c>
      <x:c r="P2530" t="str">
        <x:v>short</x:v>
      </x:c>
      <x:c r="Q2530" t="str">
        <x:v>right</x:v>
      </x:c>
      <x:c r="R2530" t="n">
        <x:v>3</x:v>
      </x:c>
      <x:c r="S2530"/>
      <x:c r="T2530"/>
      <x:c r="U2530"/>
      <x:c r="V2530" t="n">
        <x:v>0</x:v>
      </x:c>
      <x:c r="W2530" t="n">
        <x:v>0</x:v>
      </x:c>
      <x:c r="X2530" t="n">
        <x:v>0</x:v>
      </x:c>
      <x:c r="Y2530" t="n">
        <x:v>0</x:v>
      </x:c>
      <x:c r="Z2530" t="n">
        <x:v>0</x:v>
      </x:c>
      <x:c r="AA2530" t="n">
        <x:v>0</x:v>
      </x:c>
      <x:c r="AB2530"/>
      <x:c r="AC2530" t="n">
        <x:v>0</x:v>
      </x:c>
      <x:c r="AD2530" t="n">
        <x:v>-0.41737899486906826</x:v>
      </x:c>
      <x:c r="AE2530" t="n">
        <x:v>0</x:v>
      </x:c>
      <x:c r="AF2530" t="n">
        <x:v>-0.013138681650161743</x:v>
      </x:c>
      <x:c r="AG2530" t="n">
        <x:f>_xlfn.XLOOKUP($A2530,Games!$A$2:$A$18,Games!$B$2:$B$18,"Missing game",0)</x:f>
        <x:v>2025</x:v>
      </x:c>
      <x:c r="AH2530" t="str">
        <x:f>_xlfn.XLOOKUP($A2530,Games!$A$2:$A$18,Games!$C$2:$C$18,"Missing game",0)</x:f>
        <x:v>REG</x:v>
      </x:c>
      <x:c r="AI2530" t="n">
        <x:f>_xlfn.XLOOKUP($A2530,Games!$A$2:$A$18,Games!$D$2:$D$18,"Missing game",0)</x:f>
        <x:v>17</x:v>
      </x:c>
      <x:c r="AJ2530" s="1" t="n">
        <x:f>_xlfn.XLOOKUP($A2530,Games!$A$2:$A$18,Games!$E$2:$E$18,"Missing game",0)</x:f>
        <x:v>46016</x:v>
      </x:c>
      <x:c r="AK2530" t="str">
        <x:f>_xlfn.XLOOKUP($A2530,Games!$A$2:$A$18,Games!$F$2:$F$18,"Missing game",0)</x:f>
        <x:v>Thursday</x:v>
      </x:c>
      <x:c r="AL2530" t="str">
        <x:f>_xlfn.XLOOKUP($A2530,Games!$A$2:$A$18,Games!$G$2:$G$18,"Missing game",0)</x:f>
        <x:v>DET</x:v>
      </x:c>
      <x:c r="AM2530" t="n">
        <x:f>_xlfn.XLOOKUP($A2530,Games!$A$2:$A$18,Games!$H$2:$H$18,"Missing game",0)</x:f>
        <x:v>10</x:v>
      </x:c>
      <x:c r="AN2530" t="str">
        <x:f>_xlfn.XLOOKUP($A2530,Games!$A$2:$A$18,Games!$I$2:$I$18,"Missing game",0)</x:f>
        <x:v>MIN</x:v>
      </x:c>
      <x:c r="AO2530" t="n">
        <x:f>_xlfn.XLOOKUP($A2530,Games!$A$2:$A$18,Games!$J$2:$J$18,"Missing game",0)</x:f>
        <x:v>23</x:v>
      </x:c>
      <x:c r="AP2530" t="n">
        <x:f>_xlfn.XLOOKUP($A2530,Games!$A$2:$A$18,Games!$K$2:$K$18,"Missing game",0)</x:f>
        <x:v>13</x:v>
      </x:c>
      <x:c r="AQ2530" t="n">
        <x:f>_xlfn.XLOOKUP($A2530,Games!$A$2:$A$18,Games!$L$2:$L$18,"Missing game",0)</x:f>
        <x:v>33</x:v>
      </x:c>
      <x:c r="AR2530" t="n">
        <x:f>_xlfn.XLOOKUP($A2530,Games!$A$2:$A$18,Games!$M$2:$M$18,"Missing game",0)</x:f>
        <x:v>0</x:v>
      </x:c>
      <x:c r="AS2530" t="str">
        <x:f>_xlfn.XLOOKUP($A2530,Games!$A$2:$A$18,Games!$N$2:$N$18,"Missing game",0)</x:f>
        <x:v>dome</x:v>
      </x:c>
      <x:c r="AT2530" t="str">
        <x:f>_xlfn.XLOOKUP($A2530,Games!$A$2:$A$18,Games!$O$2:$O$18,"Missing game",0)</x:f>
        <x:v>sportturf</x:v>
      </x:c>
      <x:c r="AU2530" t="str">
        <x:f>_xlfn.XLOOKUP($A2530,Games!$A$2:$A$18,Games!$P$2:$P$18,"Missing game",0)</x:f>
      </x:c>
      <x:c r="AV2530" t="str">
        <x:f>_xlfn.XLOOKUP($A2530,Games!$A$2:$A$18,Games!$Q$2:$Q$18,"Missing game",0)</x:f>
      </x:c>
      <x:c r="AW2530" t="str">
        <x:f>_xlfn.XLOOKUP($A2530,Games!$A$2:$A$18,Games!$R$2:$R$18,"Missing game",0)</x:f>
        <x:v>U.S. Bank Stadium</x:v>
      </x:c>
    </x:row>
    <x:row r="2531">
      <x:c r="A2531" t="str">
        <x:v>2025_17_DET_MIN</x:v>
      </x:c>
      <x:c r="B2531" t="n">
        <x:v>1361</x:v>
      </x:c>
      <x:c r="C2531" t="n">
        <x:v>2</x:v>
      </x:c>
      <x:c r="D2531" t="str">
        <x:v>06:59</x:v>
      </x:c>
      <x:c r="E2531" t="n">
        <x:v>2</x:v>
      </x:c>
      <x:c r="F2531" t="n">
        <x:v>10</x:v>
      </x:c>
      <x:c r="G2531" t="str">
        <x:v>DET</x:v>
      </x:c>
      <x:c r="H2531" t="str">
        <x:v>MIN</x:v>
      </x:c>
      <x:c r="I2531" t="str">
        <x:v>MIN</x:v>
      </x:c>
      <x:c r="J2531" t="n">
        <x:v>30</x:v>
      </x:c>
      <x:c r="K2531" t="str">
        <x:v>(6:59) 16-J.Goff pass short left to 14-A.St. Brown to MIN 35 for -5 yards (22-H.Smith).</x:v>
      </x:c>
      <x:c r="L2531" t="str">
        <x:v>pass</x:v>
      </x:c>
      <x:c r="M2531" t="n">
        <x:v>-5</x:v>
      </x:c>
      <x:c r="N2531" t="n">
        <x:v>0</x:v>
      </x:c>
      <x:c r="O2531" t="n">
        <x:v>0</x:v>
      </x:c>
      <x:c r="P2531" t="str">
        <x:v>short</x:v>
      </x:c>
      <x:c r="Q2531" t="str">
        <x:v>left</x:v>
      </x:c>
      <x:c r="R2531" t="n">
        <x:v>-5</x:v>
      </x:c>
      <x:c r="S2531" t="n">
        <x:v>0</x:v>
      </x:c>
      <x:c r="T2531"/>
      <x:c r="U2531"/>
      <x:c r="V2531" t="n">
        <x:v>1</x:v>
      </x:c>
      <x:c r="W2531" t="n">
        <x:v>0</x:v>
      </x:c>
      <x:c r="X2531" t="n">
        <x:v>0</x:v>
      </x:c>
      <x:c r="Y2531" t="n">
        <x:v>0</x:v>
      </x:c>
      <x:c r="Z2531" t="n">
        <x:v>0</x:v>
      </x:c>
      <x:c r="AA2531" t="n">
        <x:v>0</x:v>
      </x:c>
      <x:c r="AB2531"/>
      <x:c r="AC2531" t="n">
        <x:v>0</x:v>
      </x:c>
      <x:c r="AD2531" t="n">
        <x:v>-1.5837940534111112</x:v>
      </x:c>
      <x:c r="AE2531" t="n">
        <x:v>0</x:v>
      </x:c>
      <x:c r="AF2531" t="n">
        <x:v>-0.05971905589103699</x:v>
      </x:c>
      <x:c r="AG2531" t="n">
        <x:f>_xlfn.XLOOKUP($A2531,Games!$A$2:$A$18,Games!$B$2:$B$18,"Missing game",0)</x:f>
        <x:v>2025</x:v>
      </x:c>
      <x:c r="AH2531" t="str">
        <x:f>_xlfn.XLOOKUP($A2531,Games!$A$2:$A$18,Games!$C$2:$C$18,"Missing game",0)</x:f>
        <x:v>REG</x:v>
      </x:c>
      <x:c r="AI2531" t="n">
        <x:f>_xlfn.XLOOKUP($A2531,Games!$A$2:$A$18,Games!$D$2:$D$18,"Missing game",0)</x:f>
        <x:v>17</x:v>
      </x:c>
      <x:c r="AJ2531" s="1" t="n">
        <x:f>_xlfn.XLOOKUP($A2531,Games!$A$2:$A$18,Games!$E$2:$E$18,"Missing game",0)</x:f>
        <x:v>46016</x:v>
      </x:c>
      <x:c r="AK2531" t="str">
        <x:f>_xlfn.XLOOKUP($A2531,Games!$A$2:$A$18,Games!$F$2:$F$18,"Missing game",0)</x:f>
        <x:v>Thursday</x:v>
      </x:c>
      <x:c r="AL2531" t="str">
        <x:f>_xlfn.XLOOKUP($A2531,Games!$A$2:$A$18,Games!$G$2:$G$18,"Missing game",0)</x:f>
        <x:v>DET</x:v>
      </x:c>
      <x:c r="AM2531" t="n">
        <x:f>_xlfn.XLOOKUP($A2531,Games!$A$2:$A$18,Games!$H$2:$H$18,"Missing game",0)</x:f>
        <x:v>10</x:v>
      </x:c>
      <x:c r="AN2531" t="str">
        <x:f>_xlfn.XLOOKUP($A2531,Games!$A$2:$A$18,Games!$I$2:$I$18,"Missing game",0)</x:f>
        <x:v>MIN</x:v>
      </x:c>
      <x:c r="AO2531" t="n">
        <x:f>_xlfn.XLOOKUP($A2531,Games!$A$2:$A$18,Games!$J$2:$J$18,"Missing game",0)</x:f>
        <x:v>23</x:v>
      </x:c>
      <x:c r="AP2531" t="n">
        <x:f>_xlfn.XLOOKUP($A2531,Games!$A$2:$A$18,Games!$K$2:$K$18,"Missing game",0)</x:f>
        <x:v>13</x:v>
      </x:c>
      <x:c r="AQ2531" t="n">
        <x:f>_xlfn.XLOOKUP($A2531,Games!$A$2:$A$18,Games!$L$2:$L$18,"Missing game",0)</x:f>
        <x:v>33</x:v>
      </x:c>
      <x:c r="AR2531" t="n">
        <x:f>_xlfn.XLOOKUP($A2531,Games!$A$2:$A$18,Games!$M$2:$M$18,"Missing game",0)</x:f>
        <x:v>0</x:v>
      </x:c>
      <x:c r="AS2531" t="str">
        <x:f>_xlfn.XLOOKUP($A2531,Games!$A$2:$A$18,Games!$N$2:$N$18,"Missing game",0)</x:f>
        <x:v>dome</x:v>
      </x:c>
      <x:c r="AT2531" t="str">
        <x:f>_xlfn.XLOOKUP($A2531,Games!$A$2:$A$18,Games!$O$2:$O$18,"Missing game",0)</x:f>
        <x:v>sportturf</x:v>
      </x:c>
      <x:c r="AU2531" t="str">
        <x:f>_xlfn.XLOOKUP($A2531,Games!$A$2:$A$18,Games!$P$2:$P$18,"Missing game",0)</x:f>
      </x:c>
      <x:c r="AV2531" t="str">
        <x:f>_xlfn.XLOOKUP($A2531,Games!$A$2:$A$18,Games!$Q$2:$Q$18,"Missing game",0)</x:f>
      </x:c>
      <x:c r="AW2531" t="str">
        <x:f>_xlfn.XLOOKUP($A2531,Games!$A$2:$A$18,Games!$R$2:$R$18,"Missing game",0)</x:f>
        <x:v>U.S. Bank Stadium</x:v>
      </x:c>
    </x:row>
    <x:row r="2532">
      <x:c r="A2532" t="str">
        <x:v>2025_17_DET_MIN</x:v>
      </x:c>
      <x:c r="B2532" t="n">
        <x:v>1386</x:v>
      </x:c>
      <x:c r="C2532" t="n">
        <x:v>2</x:v>
      </x:c>
      <x:c r="D2532" t="str">
        <x:v>06:12</x:v>
      </x:c>
      <x:c r="E2532" t="n">
        <x:v>3</x:v>
      </x:c>
      <x:c r="F2532" t="n">
        <x:v>15</x:v>
      </x:c>
      <x:c r="G2532" t="str">
        <x:v>DET</x:v>
      </x:c>
      <x:c r="H2532" t="str">
        <x:v>MIN</x:v>
      </x:c>
      <x:c r="I2532" t="str">
        <x:v>MIN</x:v>
      </x:c>
      <x:c r="J2532" t="n">
        <x:v>35</x:v>
      </x:c>
      <x:c r="K2532" t="str">
        <x:v>(6:12) (Shotgun) 16-J.Goff pass deep right to 14-A.St. Brown to MIN 12 for 23 yards (43-A.Van Ginkel).</x:v>
      </x:c>
      <x:c r="L2532" t="str">
        <x:v>pass</x:v>
      </x:c>
      <x:c r="M2532" t="n">
        <x:v>23</x:v>
      </x:c>
      <x:c r="N2532" t="n">
        <x:v>1</x:v>
      </x:c>
      <x:c r="O2532" t="n">
        <x:v>0</x:v>
      </x:c>
      <x:c r="P2532" t="str">
        <x:v>deep</x:v>
      </x:c>
      <x:c r="Q2532" t="str">
        <x:v>right</x:v>
      </x:c>
      <x:c r="R2532" t="n">
        <x:v>20</x:v>
      </x:c>
      <x:c r="S2532" t="n">
        <x:v>3</x:v>
      </x:c>
      <x:c r="T2532"/>
      <x:c r="U2532"/>
      <x:c r="V2532" t="n">
        <x:v>1</x:v>
      </x:c>
      <x:c r="W2532" t="n">
        <x:v>1</x:v>
      </x:c>
      <x:c r="X2532" t="n">
        <x:v>0</x:v>
      </x:c>
      <x:c r="Y2532" t="n">
        <x:v>0</x:v>
      </x:c>
      <x:c r="Z2532" t="n">
        <x:v>0</x:v>
      </x:c>
      <x:c r="AA2532" t="n">
        <x:v>0</x:v>
      </x:c>
      <x:c r="AB2532"/>
      <x:c r="AC2532" t="n">
        <x:v>0</x:v>
      </x:c>
      <x:c r="AD2532" t="n">
        <x:v>3.0505171366385184</x:v>
      </x:c>
      <x:c r="AE2532" t="n">
        <x:v>1</x:v>
      </x:c>
      <x:c r="AF2532" t="n">
        <x:v>0.09314122796058655</x:v>
      </x:c>
      <x:c r="AG2532" t="n">
        <x:f>_xlfn.XLOOKUP($A2532,Games!$A$2:$A$18,Games!$B$2:$B$18,"Missing game",0)</x:f>
        <x:v>2025</x:v>
      </x:c>
      <x:c r="AH2532" t="str">
        <x:f>_xlfn.XLOOKUP($A2532,Games!$A$2:$A$18,Games!$C$2:$C$18,"Missing game",0)</x:f>
        <x:v>REG</x:v>
      </x:c>
      <x:c r="AI2532" t="n">
        <x:f>_xlfn.XLOOKUP($A2532,Games!$A$2:$A$18,Games!$D$2:$D$18,"Missing game",0)</x:f>
        <x:v>17</x:v>
      </x:c>
      <x:c r="AJ2532" s="1" t="n">
        <x:f>_xlfn.XLOOKUP($A2532,Games!$A$2:$A$18,Games!$E$2:$E$18,"Missing game",0)</x:f>
        <x:v>46016</x:v>
      </x:c>
      <x:c r="AK2532" t="str">
        <x:f>_xlfn.XLOOKUP($A2532,Games!$A$2:$A$18,Games!$F$2:$F$18,"Missing game",0)</x:f>
        <x:v>Thursday</x:v>
      </x:c>
      <x:c r="AL2532" t="str">
        <x:f>_xlfn.XLOOKUP($A2532,Games!$A$2:$A$18,Games!$G$2:$G$18,"Missing game",0)</x:f>
        <x:v>DET</x:v>
      </x:c>
      <x:c r="AM2532" t="n">
        <x:f>_xlfn.XLOOKUP($A2532,Games!$A$2:$A$18,Games!$H$2:$H$18,"Missing game",0)</x:f>
        <x:v>10</x:v>
      </x:c>
      <x:c r="AN2532" t="str">
        <x:f>_xlfn.XLOOKUP($A2532,Games!$A$2:$A$18,Games!$I$2:$I$18,"Missing game",0)</x:f>
        <x:v>MIN</x:v>
      </x:c>
      <x:c r="AO2532" t="n">
        <x:f>_xlfn.XLOOKUP($A2532,Games!$A$2:$A$18,Games!$J$2:$J$18,"Missing game",0)</x:f>
        <x:v>23</x:v>
      </x:c>
      <x:c r="AP2532" t="n">
        <x:f>_xlfn.XLOOKUP($A2532,Games!$A$2:$A$18,Games!$K$2:$K$18,"Missing game",0)</x:f>
        <x:v>13</x:v>
      </x:c>
      <x:c r="AQ2532" t="n">
        <x:f>_xlfn.XLOOKUP($A2532,Games!$A$2:$A$18,Games!$L$2:$L$18,"Missing game",0)</x:f>
        <x:v>33</x:v>
      </x:c>
      <x:c r="AR2532" t="n">
        <x:f>_xlfn.XLOOKUP($A2532,Games!$A$2:$A$18,Games!$M$2:$M$18,"Missing game",0)</x:f>
        <x:v>0</x:v>
      </x:c>
      <x:c r="AS2532" t="str">
        <x:f>_xlfn.XLOOKUP($A2532,Games!$A$2:$A$18,Games!$N$2:$N$18,"Missing game",0)</x:f>
        <x:v>dome</x:v>
      </x:c>
      <x:c r="AT2532" t="str">
        <x:f>_xlfn.XLOOKUP($A2532,Games!$A$2:$A$18,Games!$O$2:$O$18,"Missing game",0)</x:f>
        <x:v>sportturf</x:v>
      </x:c>
      <x:c r="AU2532" t="str">
        <x:f>_xlfn.XLOOKUP($A2532,Games!$A$2:$A$18,Games!$P$2:$P$18,"Missing game",0)</x:f>
      </x:c>
      <x:c r="AV2532" t="str">
        <x:f>_xlfn.XLOOKUP($A2532,Games!$A$2:$A$18,Games!$Q$2:$Q$18,"Missing game",0)</x:f>
      </x:c>
      <x:c r="AW2532" t="str">
        <x:f>_xlfn.XLOOKUP($A2532,Games!$A$2:$A$18,Games!$R$2:$R$18,"Missing game",0)</x:f>
        <x:v>U.S. Bank Stadium</x:v>
      </x:c>
    </x:row>
    <x:row r="2533">
      <x:c r="A2533" t="str">
        <x:v>2025_17_DET_MIN</x:v>
      </x:c>
      <x:c r="B2533" t="n">
        <x:v>1411</x:v>
      </x:c>
      <x:c r="C2533" t="n">
        <x:v>2</x:v>
      </x:c>
      <x:c r="D2533" t="str">
        <x:v>05:27</x:v>
      </x:c>
      <x:c r="E2533" t="n">
        <x:v>1</x:v>
      </x:c>
      <x:c r="F2533" t="n">
        <x:v>10</x:v>
      </x:c>
      <x:c r="G2533" t="str">
        <x:v>DET</x:v>
      </x:c>
      <x:c r="H2533" t="str">
        <x:v>MIN</x:v>
      </x:c>
      <x:c r="I2533" t="str">
        <x:v>MIN</x:v>
      </x:c>
      <x:c r="J2533" t="n">
        <x:v>12</x:v>
      </x:c>
      <x:c r="K2533" t="str">
        <x:v>(5:27) 0-J.Gibbs right tackle to MIN 9 for 3 yards (24-J.Ward). DET-58-P.Sewell was injured during the play.</x:v>
      </x:c>
      <x:c r="L2533" t="str">
        <x:v>run</x:v>
      </x:c>
      <x:c r="M2533" t="n">
        <x:v>3</x:v>
      </x:c>
      <x:c r="N2533" t="n">
        <x:v>0</x:v>
      </x:c>
      <x:c r="O2533" t="n">
        <x:v>0</x:v>
      </x:c>
      <x:c r="P2533"/>
      <x:c r="Q2533"/>
      <x:c r="R2533"/>
      <x:c r="S2533"/>
      <x:c r="T2533" t="str">
        <x:v>right</x:v>
      </x:c>
      <x:c r="U2533" t="str">
        <x:v>tackle</x:v>
      </x:c>
      <x:c r="V2533" t="n">
        <x:v>0</x:v>
      </x:c>
      <x:c r="W2533" t="n">
        <x:v>0</x:v>
      </x:c>
      <x:c r="X2533" t="n">
        <x:v>0</x:v>
      </x:c>
      <x:c r="Y2533" t="n">
        <x:v>0</x:v>
      </x:c>
      <x:c r="Z2533" t="n">
        <x:v>0</x:v>
      </x:c>
      <x:c r="AA2533" t="n">
        <x:v>0</x:v>
      </x:c>
      <x:c r="AB2533"/>
      <x:c r="AC2533" t="n">
        <x:v>0</x:v>
      </x:c>
      <x:c r="AD2533" t="n">
        <x:v>-0.3136851188610308</x:v>
      </x:c>
      <x:c r="AE2533" t="n">
        <x:v>0</x:v>
      </x:c>
      <x:c r="AF2533" t="n">
        <x:v>-0.00998714566230774</x:v>
      </x:c>
      <x:c r="AG2533" t="n">
        <x:f>_xlfn.XLOOKUP($A2533,Games!$A$2:$A$18,Games!$B$2:$B$18,"Missing game",0)</x:f>
        <x:v>2025</x:v>
      </x:c>
      <x:c r="AH2533" t="str">
        <x:f>_xlfn.XLOOKUP($A2533,Games!$A$2:$A$18,Games!$C$2:$C$18,"Missing game",0)</x:f>
        <x:v>REG</x:v>
      </x:c>
      <x:c r="AI2533" t="n">
        <x:f>_xlfn.XLOOKUP($A2533,Games!$A$2:$A$18,Games!$D$2:$D$18,"Missing game",0)</x:f>
        <x:v>17</x:v>
      </x:c>
      <x:c r="AJ2533" s="1" t="n">
        <x:f>_xlfn.XLOOKUP($A2533,Games!$A$2:$A$18,Games!$E$2:$E$18,"Missing game",0)</x:f>
        <x:v>46016</x:v>
      </x:c>
      <x:c r="AK2533" t="str">
        <x:f>_xlfn.XLOOKUP($A2533,Games!$A$2:$A$18,Games!$F$2:$F$18,"Missing game",0)</x:f>
        <x:v>Thursday</x:v>
      </x:c>
      <x:c r="AL2533" t="str">
        <x:f>_xlfn.XLOOKUP($A2533,Games!$A$2:$A$18,Games!$G$2:$G$18,"Missing game",0)</x:f>
        <x:v>DET</x:v>
      </x:c>
      <x:c r="AM2533" t="n">
        <x:f>_xlfn.XLOOKUP($A2533,Games!$A$2:$A$18,Games!$H$2:$H$18,"Missing game",0)</x:f>
        <x:v>10</x:v>
      </x:c>
      <x:c r="AN2533" t="str">
        <x:f>_xlfn.XLOOKUP($A2533,Games!$A$2:$A$18,Games!$I$2:$I$18,"Missing game",0)</x:f>
        <x:v>MIN</x:v>
      </x:c>
      <x:c r="AO2533" t="n">
        <x:f>_xlfn.XLOOKUP($A2533,Games!$A$2:$A$18,Games!$J$2:$J$18,"Missing game",0)</x:f>
        <x:v>23</x:v>
      </x:c>
      <x:c r="AP2533" t="n">
        <x:f>_xlfn.XLOOKUP($A2533,Games!$A$2:$A$18,Games!$K$2:$K$18,"Missing game",0)</x:f>
        <x:v>13</x:v>
      </x:c>
      <x:c r="AQ2533" t="n">
        <x:f>_xlfn.XLOOKUP($A2533,Games!$A$2:$A$18,Games!$L$2:$L$18,"Missing game",0)</x:f>
        <x:v>33</x:v>
      </x:c>
      <x:c r="AR2533" t="n">
        <x:f>_xlfn.XLOOKUP($A2533,Games!$A$2:$A$18,Games!$M$2:$M$18,"Missing game",0)</x:f>
        <x:v>0</x:v>
      </x:c>
      <x:c r="AS2533" t="str">
        <x:f>_xlfn.XLOOKUP($A2533,Games!$A$2:$A$18,Games!$N$2:$N$18,"Missing game",0)</x:f>
        <x:v>dome</x:v>
      </x:c>
      <x:c r="AT2533" t="str">
        <x:f>_xlfn.XLOOKUP($A2533,Games!$A$2:$A$18,Games!$O$2:$O$18,"Missing game",0)</x:f>
        <x:v>sportturf</x:v>
      </x:c>
      <x:c r="AU2533" t="str">
        <x:f>_xlfn.XLOOKUP($A2533,Games!$A$2:$A$18,Games!$P$2:$P$18,"Missing game",0)</x:f>
      </x:c>
      <x:c r="AV2533" t="str">
        <x:f>_xlfn.XLOOKUP($A2533,Games!$A$2:$A$18,Games!$Q$2:$Q$18,"Missing game",0)</x:f>
      </x:c>
      <x:c r="AW2533" t="str">
        <x:f>_xlfn.XLOOKUP($A2533,Games!$A$2:$A$18,Games!$R$2:$R$18,"Missing game",0)</x:f>
        <x:v>U.S. Bank Stadium</x:v>
      </x:c>
    </x:row>
    <x:row r="2534">
      <x:c r="A2534" t="str">
        <x:v>2025_17_DET_MIN</x:v>
      </x:c>
      <x:c r="B2534" t="n">
        <x:v>1433</x:v>
      </x:c>
      <x:c r="C2534" t="n">
        <x:v>2</x:v>
      </x:c>
      <x:c r="D2534" t="str">
        <x:v>05:09</x:v>
      </x:c>
      <x:c r="E2534" t="n">
        <x:v>2</x:v>
      </x:c>
      <x:c r="F2534" t="n">
        <x:v>7</x:v>
      </x:c>
      <x:c r="G2534" t="str">
        <x:v>DET</x:v>
      </x:c>
      <x:c r="H2534" t="str">
        <x:v>MIN</x:v>
      </x:c>
      <x:c r="I2534" t="str">
        <x:v>MIN</x:v>
      </x:c>
      <x:c r="J2534" t="n">
        <x:v>9</x:v>
      </x:c>
      <x:c r="K2534" t="str">
        <x:v>(5:09) 0-J.Gibbs right guard to MIN 7 for 2 yards (97-J.Hargrave).</x:v>
      </x:c>
      <x:c r="L2534" t="str">
        <x:v>run</x:v>
      </x:c>
      <x:c r="M2534" t="n">
        <x:v>2</x:v>
      </x:c>
      <x:c r="N2534" t="n">
        <x:v>0</x:v>
      </x:c>
      <x:c r="O2534" t="n">
        <x:v>0</x:v>
      </x:c>
      <x:c r="P2534"/>
      <x:c r="Q2534"/>
      <x:c r="R2534"/>
      <x:c r="S2534"/>
      <x:c r="T2534" t="str">
        <x:v>right</x:v>
      </x:c>
      <x:c r="U2534" t="str">
        <x:v>guard</x:v>
      </x:c>
      <x:c r="V2534" t="n">
        <x:v>0</x:v>
      </x:c>
      <x:c r="W2534" t="n">
        <x:v>0</x:v>
      </x:c>
      <x:c r="X2534" t="n">
        <x:v>0</x:v>
      </x:c>
      <x:c r="Y2534" t="n">
        <x:v>0</x:v>
      </x:c>
      <x:c r="Z2534" t="n">
        <x:v>0</x:v>
      </x:c>
      <x:c r="AA2534" t="n">
        <x:v>0</x:v>
      </x:c>
      <x:c r="AB2534"/>
      <x:c r="AC2534" t="n">
        <x:v>0</x:v>
      </x:c>
      <x:c r="AD2534" t="n">
        <x:v>-0.42928181315073743</x:v>
      </x:c>
      <x:c r="AE2534" t="n">
        <x:v>0</x:v>
      </x:c>
      <x:c r="AF2534" t="n">
        <x:v>-0.02057895064353943</x:v>
      </x:c>
      <x:c r="AG2534" t="n">
        <x:f>_xlfn.XLOOKUP($A2534,Games!$A$2:$A$18,Games!$B$2:$B$18,"Missing game",0)</x:f>
        <x:v>2025</x:v>
      </x:c>
      <x:c r="AH2534" t="str">
        <x:f>_xlfn.XLOOKUP($A2534,Games!$A$2:$A$18,Games!$C$2:$C$18,"Missing game",0)</x:f>
        <x:v>REG</x:v>
      </x:c>
      <x:c r="AI2534" t="n">
        <x:f>_xlfn.XLOOKUP($A2534,Games!$A$2:$A$18,Games!$D$2:$D$18,"Missing game",0)</x:f>
        <x:v>17</x:v>
      </x:c>
      <x:c r="AJ2534" s="1" t="n">
        <x:f>_xlfn.XLOOKUP($A2534,Games!$A$2:$A$18,Games!$E$2:$E$18,"Missing game",0)</x:f>
        <x:v>46016</x:v>
      </x:c>
      <x:c r="AK2534" t="str">
        <x:f>_xlfn.XLOOKUP($A2534,Games!$A$2:$A$18,Games!$F$2:$F$18,"Missing game",0)</x:f>
        <x:v>Thursday</x:v>
      </x:c>
      <x:c r="AL2534" t="str">
        <x:f>_xlfn.XLOOKUP($A2534,Games!$A$2:$A$18,Games!$G$2:$G$18,"Missing game",0)</x:f>
        <x:v>DET</x:v>
      </x:c>
      <x:c r="AM2534" t="n">
        <x:f>_xlfn.XLOOKUP($A2534,Games!$A$2:$A$18,Games!$H$2:$H$18,"Missing game",0)</x:f>
        <x:v>10</x:v>
      </x:c>
      <x:c r="AN2534" t="str">
        <x:f>_xlfn.XLOOKUP($A2534,Games!$A$2:$A$18,Games!$I$2:$I$18,"Missing game",0)</x:f>
        <x:v>MIN</x:v>
      </x:c>
      <x:c r="AO2534" t="n">
        <x:f>_xlfn.XLOOKUP($A2534,Games!$A$2:$A$18,Games!$J$2:$J$18,"Missing game",0)</x:f>
        <x:v>23</x:v>
      </x:c>
      <x:c r="AP2534" t="n">
        <x:f>_xlfn.XLOOKUP($A2534,Games!$A$2:$A$18,Games!$K$2:$K$18,"Missing game",0)</x:f>
        <x:v>13</x:v>
      </x:c>
      <x:c r="AQ2534" t="n">
        <x:f>_xlfn.XLOOKUP($A2534,Games!$A$2:$A$18,Games!$L$2:$L$18,"Missing game",0)</x:f>
        <x:v>33</x:v>
      </x:c>
      <x:c r="AR2534" t="n">
        <x:f>_xlfn.XLOOKUP($A2534,Games!$A$2:$A$18,Games!$M$2:$M$18,"Missing game",0)</x:f>
        <x:v>0</x:v>
      </x:c>
      <x:c r="AS2534" t="str">
        <x:f>_xlfn.XLOOKUP($A2534,Games!$A$2:$A$18,Games!$N$2:$N$18,"Missing game",0)</x:f>
        <x:v>dome</x:v>
      </x:c>
      <x:c r="AT2534" t="str">
        <x:f>_xlfn.XLOOKUP($A2534,Games!$A$2:$A$18,Games!$O$2:$O$18,"Missing game",0)</x:f>
        <x:v>sportturf</x:v>
      </x:c>
      <x:c r="AU2534" t="str">
        <x:f>_xlfn.XLOOKUP($A2534,Games!$A$2:$A$18,Games!$P$2:$P$18,"Missing game",0)</x:f>
      </x:c>
      <x:c r="AV2534" t="str">
        <x:f>_xlfn.XLOOKUP($A2534,Games!$A$2:$A$18,Games!$Q$2:$Q$18,"Missing game",0)</x:f>
      </x:c>
      <x:c r="AW2534" t="str">
        <x:f>_xlfn.XLOOKUP($A2534,Games!$A$2:$A$18,Games!$R$2:$R$18,"Missing game",0)</x:f>
        <x:v>U.S. Bank Stadium</x:v>
      </x:c>
    </x:row>
    <x:row r="2535">
      <x:c r="A2535" t="str">
        <x:v>2025_17_DET_MIN</x:v>
      </x:c>
      <x:c r="B2535" t="n">
        <x:v>1465</x:v>
      </x:c>
      <x:c r="C2535" t="n">
        <x:v>2</x:v>
      </x:c>
      <x:c r="D2535" t="str">
        <x:v>04:24</x:v>
      </x:c>
      <x:c r="E2535" t="n">
        <x:v>3</x:v>
      </x:c>
      <x:c r="F2535" t="n">
        <x:v>5</x:v>
      </x:c>
      <x:c r="G2535" t="str">
        <x:v>DET</x:v>
      </x:c>
      <x:c r="H2535" t="str">
        <x:v>MIN</x:v>
      </x:c>
      <x:c r="I2535" t="str">
        <x:v>MIN</x:v>
      </x:c>
      <x:c r="J2535" t="n">
        <x:v>7</x:v>
      </x:c>
      <x:c r="K2535" t="str">
        <x:v>(4:24) (Shotgun) 16-J.Goff pass short middle to 14-A.St. Brown to MIN 3 for 4 yards (43-A.Van Ginkel; 55-E.Wilson) [61-J.Redmond].</x:v>
      </x:c>
      <x:c r="L2535" t="str">
        <x:v>pass</x:v>
      </x:c>
      <x:c r="M2535" t="n">
        <x:v>4</x:v>
      </x:c>
      <x:c r="N2535" t="n">
        <x:v>1</x:v>
      </x:c>
      <x:c r="O2535" t="n">
        <x:v>0</x:v>
      </x:c>
      <x:c r="P2535" t="str">
        <x:v>short</x:v>
      </x:c>
      <x:c r="Q2535" t="str">
        <x:v>middle</x:v>
      </x:c>
      <x:c r="R2535" t="n">
        <x:v>4</x:v>
      </x:c>
      <x:c r="S2535" t="n">
        <x:v>0</x:v>
      </x:c>
      <x:c r="T2535"/>
      <x:c r="U2535"/>
      <x:c r="V2535" t="n">
        <x:v>1</x:v>
      </x:c>
      <x:c r="W2535" t="n">
        <x:v>0</x:v>
      </x:c>
      <x:c r="X2535" t="n">
        <x:v>0</x:v>
      </x:c>
      <x:c r="Y2535" t="n">
        <x:v>0</x:v>
      </x:c>
      <x:c r="Z2535" t="n">
        <x:v>0</x:v>
      </x:c>
      <x:c r="AA2535" t="n">
        <x:v>0</x:v>
      </x:c>
      <x:c r="AB2535"/>
      <x:c r="AC2535" t="n">
        <x:v>0</x:v>
      </x:c>
      <x:c r="AD2535" t="n">
        <x:v>-0.29149795410921797</x:v>
      </x:c>
      <x:c r="AE2535" t="n">
        <x:v>0</x:v>
      </x:c>
      <x:c r="AF2535" t="n">
        <x:v>-0.017868608236312866</x:v>
      </x:c>
      <x:c r="AG2535" t="n">
        <x:f>_xlfn.XLOOKUP($A2535,Games!$A$2:$A$18,Games!$B$2:$B$18,"Missing game",0)</x:f>
        <x:v>2025</x:v>
      </x:c>
      <x:c r="AH2535" t="str">
        <x:f>_xlfn.XLOOKUP($A2535,Games!$A$2:$A$18,Games!$C$2:$C$18,"Missing game",0)</x:f>
        <x:v>REG</x:v>
      </x:c>
      <x:c r="AI2535" t="n">
        <x:f>_xlfn.XLOOKUP($A2535,Games!$A$2:$A$18,Games!$D$2:$D$18,"Missing game",0)</x:f>
        <x:v>17</x:v>
      </x:c>
      <x:c r="AJ2535" s="1" t="n">
        <x:f>_xlfn.XLOOKUP($A2535,Games!$A$2:$A$18,Games!$E$2:$E$18,"Missing game",0)</x:f>
        <x:v>46016</x:v>
      </x:c>
      <x:c r="AK2535" t="str">
        <x:f>_xlfn.XLOOKUP($A2535,Games!$A$2:$A$18,Games!$F$2:$F$18,"Missing game",0)</x:f>
        <x:v>Thursday</x:v>
      </x:c>
      <x:c r="AL2535" t="str">
        <x:f>_xlfn.XLOOKUP($A2535,Games!$A$2:$A$18,Games!$G$2:$G$18,"Missing game",0)</x:f>
        <x:v>DET</x:v>
      </x:c>
      <x:c r="AM2535" t="n">
        <x:f>_xlfn.XLOOKUP($A2535,Games!$A$2:$A$18,Games!$H$2:$H$18,"Missing game",0)</x:f>
        <x:v>10</x:v>
      </x:c>
      <x:c r="AN2535" t="str">
        <x:f>_xlfn.XLOOKUP($A2535,Games!$A$2:$A$18,Games!$I$2:$I$18,"Missing game",0)</x:f>
        <x:v>MIN</x:v>
      </x:c>
      <x:c r="AO2535" t="n">
        <x:f>_xlfn.XLOOKUP($A2535,Games!$A$2:$A$18,Games!$J$2:$J$18,"Missing game",0)</x:f>
        <x:v>23</x:v>
      </x:c>
      <x:c r="AP2535" t="n">
        <x:f>_xlfn.XLOOKUP($A2535,Games!$A$2:$A$18,Games!$K$2:$K$18,"Missing game",0)</x:f>
        <x:v>13</x:v>
      </x:c>
      <x:c r="AQ2535" t="n">
        <x:f>_xlfn.XLOOKUP($A2535,Games!$A$2:$A$18,Games!$L$2:$L$18,"Missing game",0)</x:f>
        <x:v>33</x:v>
      </x:c>
      <x:c r="AR2535" t="n">
        <x:f>_xlfn.XLOOKUP($A2535,Games!$A$2:$A$18,Games!$M$2:$M$18,"Missing game",0)</x:f>
        <x:v>0</x:v>
      </x:c>
      <x:c r="AS2535" t="str">
        <x:f>_xlfn.XLOOKUP($A2535,Games!$A$2:$A$18,Games!$N$2:$N$18,"Missing game",0)</x:f>
        <x:v>dome</x:v>
      </x:c>
      <x:c r="AT2535" t="str">
        <x:f>_xlfn.XLOOKUP($A2535,Games!$A$2:$A$18,Games!$O$2:$O$18,"Missing game",0)</x:f>
        <x:v>sportturf</x:v>
      </x:c>
      <x:c r="AU2535" t="str">
        <x:f>_xlfn.XLOOKUP($A2535,Games!$A$2:$A$18,Games!$P$2:$P$18,"Missing game",0)</x:f>
      </x:c>
      <x:c r="AV2535" t="str">
        <x:f>_xlfn.XLOOKUP($A2535,Games!$A$2:$A$18,Games!$Q$2:$Q$18,"Missing game",0)</x:f>
      </x:c>
      <x:c r="AW2535" t="str">
        <x:f>_xlfn.XLOOKUP($A2535,Games!$A$2:$A$18,Games!$R$2:$R$18,"Missing game",0)</x:f>
        <x:v>U.S. Bank Stadium</x:v>
      </x:c>
    </x:row>
    <x:row r="2536">
      <x:c r="A2536" t="str">
        <x:v>2025_17_DET_MIN</x:v>
      </x:c>
      <x:c r="B2536" t="n">
        <x:v>1490</x:v>
      </x:c>
      <x:c r="C2536" t="n">
        <x:v>2</x:v>
      </x:c>
      <x:c r="D2536" t="str">
        <x:v>03:16</x:v>
      </x:c>
      <x:c r="E2536" t="n">
        <x:v>4</x:v>
      </x:c>
      <x:c r="F2536" t="n">
        <x:v>1</x:v>
      </x:c>
      <x:c r="G2536" t="str">
        <x:v>DET</x:v>
      </x:c>
      <x:c r="H2536" t="str">
        <x:v>MIN</x:v>
      </x:c>
      <x:c r="I2536" t="str">
        <x:v>MIN</x:v>
      </x:c>
      <x:c r="J2536" t="n">
        <x:v>3</x:v>
      </x:c>
      <x:c r="K2536" t="str">
        <x:v>(3:16) 5-D.Montgomery right tackle to MIN 2 for 1 yard (55-E.Wilson). Minnesota challenged the first down ruling, and the play was Upheld. The ruling on the field stands. (Timeout #2.)</x:v>
      </x:c>
      <x:c r="L2536" t="str">
        <x:v>run</x:v>
      </x:c>
      <x:c r="M2536" t="n">
        <x:v>1</x:v>
      </x:c>
      <x:c r="N2536" t="n">
        <x:v>0</x:v>
      </x:c>
      <x:c r="O2536" t="n">
        <x:v>0</x:v>
      </x:c>
      <x:c r="P2536"/>
      <x:c r="Q2536"/>
      <x:c r="R2536"/>
      <x:c r="S2536"/>
      <x:c r="T2536" t="str">
        <x:v>right</x:v>
      </x:c>
      <x:c r="U2536" t="str">
        <x:v>tackle</x:v>
      </x:c>
      <x:c r="V2536" t="n">
        <x:v>0</x:v>
      </x:c>
      <x:c r="W2536" t="n">
        <x:v>1</x:v>
      </x:c>
      <x:c r="X2536" t="n">
        <x:v>0</x:v>
      </x:c>
      <x:c r="Y2536" t="n">
        <x:v>0</x:v>
      </x:c>
      <x:c r="Z2536" t="n">
        <x:v>0</x:v>
      </x:c>
      <x:c r="AA2536" t="n">
        <x:v>0</x:v>
      </x:c>
      <x:c r="AB2536"/>
      <x:c r="AC2536" t="n">
        <x:v>0</x:v>
      </x:c>
      <x:c r="AD2536" t="n">
        <x:v>2.047757041727891</x:v>
      </x:c>
      <x:c r="AE2536" t="n">
        <x:v>1</x:v>
      </x:c>
      <x:c r="AF2536" t="n">
        <x:v>0.07810932397842407</x:v>
      </x:c>
      <x:c r="AG2536" t="n">
        <x:f>_xlfn.XLOOKUP($A2536,Games!$A$2:$A$18,Games!$B$2:$B$18,"Missing game",0)</x:f>
        <x:v>2025</x:v>
      </x:c>
      <x:c r="AH2536" t="str">
        <x:f>_xlfn.XLOOKUP($A2536,Games!$A$2:$A$18,Games!$C$2:$C$18,"Missing game",0)</x:f>
        <x:v>REG</x:v>
      </x:c>
      <x:c r="AI2536" t="n">
        <x:f>_xlfn.XLOOKUP($A2536,Games!$A$2:$A$18,Games!$D$2:$D$18,"Missing game",0)</x:f>
        <x:v>17</x:v>
      </x:c>
      <x:c r="AJ2536" s="1" t="n">
        <x:f>_xlfn.XLOOKUP($A2536,Games!$A$2:$A$18,Games!$E$2:$E$18,"Missing game",0)</x:f>
        <x:v>46016</x:v>
      </x:c>
      <x:c r="AK2536" t="str">
        <x:f>_xlfn.XLOOKUP($A2536,Games!$A$2:$A$18,Games!$F$2:$F$18,"Missing game",0)</x:f>
        <x:v>Thursday</x:v>
      </x:c>
      <x:c r="AL2536" t="str">
        <x:f>_xlfn.XLOOKUP($A2536,Games!$A$2:$A$18,Games!$G$2:$G$18,"Missing game",0)</x:f>
        <x:v>DET</x:v>
      </x:c>
      <x:c r="AM2536" t="n">
        <x:f>_xlfn.XLOOKUP($A2536,Games!$A$2:$A$18,Games!$H$2:$H$18,"Missing game",0)</x:f>
        <x:v>10</x:v>
      </x:c>
      <x:c r="AN2536" t="str">
        <x:f>_xlfn.XLOOKUP($A2536,Games!$A$2:$A$18,Games!$I$2:$I$18,"Missing game",0)</x:f>
        <x:v>MIN</x:v>
      </x:c>
      <x:c r="AO2536" t="n">
        <x:f>_xlfn.XLOOKUP($A2536,Games!$A$2:$A$18,Games!$J$2:$J$18,"Missing game",0)</x:f>
        <x:v>23</x:v>
      </x:c>
      <x:c r="AP2536" t="n">
        <x:f>_xlfn.XLOOKUP($A2536,Games!$A$2:$A$18,Games!$K$2:$K$18,"Missing game",0)</x:f>
        <x:v>13</x:v>
      </x:c>
      <x:c r="AQ2536" t="n">
        <x:f>_xlfn.XLOOKUP($A2536,Games!$A$2:$A$18,Games!$L$2:$L$18,"Missing game",0)</x:f>
        <x:v>33</x:v>
      </x:c>
      <x:c r="AR2536" t="n">
        <x:f>_xlfn.XLOOKUP($A2536,Games!$A$2:$A$18,Games!$M$2:$M$18,"Missing game",0)</x:f>
        <x:v>0</x:v>
      </x:c>
      <x:c r="AS2536" t="str">
        <x:f>_xlfn.XLOOKUP($A2536,Games!$A$2:$A$18,Games!$N$2:$N$18,"Missing game",0)</x:f>
        <x:v>dome</x:v>
      </x:c>
      <x:c r="AT2536" t="str">
        <x:f>_xlfn.XLOOKUP($A2536,Games!$A$2:$A$18,Games!$O$2:$O$18,"Missing game",0)</x:f>
        <x:v>sportturf</x:v>
      </x:c>
      <x:c r="AU2536" t="str">
        <x:f>_xlfn.XLOOKUP($A2536,Games!$A$2:$A$18,Games!$P$2:$P$18,"Missing game",0)</x:f>
      </x:c>
      <x:c r="AV2536" t="str">
        <x:f>_xlfn.XLOOKUP($A2536,Games!$A$2:$A$18,Games!$Q$2:$Q$18,"Missing game",0)</x:f>
      </x:c>
      <x:c r="AW2536" t="str">
        <x:f>_xlfn.XLOOKUP($A2536,Games!$A$2:$A$18,Games!$R$2:$R$18,"Missing game",0)</x:f>
        <x:v>U.S. Bank Stadium</x:v>
      </x:c>
    </x:row>
    <x:row r="2537">
      <x:c r="A2537" t="str">
        <x:v>2025_17_DET_MIN</x:v>
      </x:c>
      <x:c r="B2537" t="n">
        <x:v>1512</x:v>
      </x:c>
      <x:c r="C2537" t="n">
        <x:v>2</x:v>
      </x:c>
      <x:c r="D2537" t="str">
        <x:v>02:38</x:v>
      </x:c>
      <x:c r="E2537" t="n">
        <x:v>1</x:v>
      </x:c>
      <x:c r="F2537" t="n">
        <x:v>2</x:v>
      </x:c>
      <x:c r="G2537" t="str">
        <x:v>DET</x:v>
      </x:c>
      <x:c r="H2537" t="str">
        <x:v>MIN</x:v>
      </x:c>
      <x:c r="I2537" t="str">
        <x:v>MIN</x:v>
      </x:c>
      <x:c r="J2537" t="n">
        <x:v>2</x:v>
      </x:c>
      <x:c r="K2537" t="str">
        <x:v>(2:38) 5-D.Montgomery up the middle to MIN 3 for -1 yards (50-L.Rodriguez, 51-B.Cashman).</x:v>
      </x:c>
      <x:c r="L2537" t="str">
        <x:v>run</x:v>
      </x:c>
      <x:c r="M2537" t="n">
        <x:v>-1</x:v>
      </x:c>
      <x:c r="N2537" t="n">
        <x:v>0</x:v>
      </x:c>
      <x:c r="O2537" t="n">
        <x:v>0</x:v>
      </x:c>
      <x:c r="P2537"/>
      <x:c r="Q2537"/>
      <x:c r="R2537"/>
      <x:c r="S2537"/>
      <x:c r="T2537" t="str">
        <x:v>middle</x:v>
      </x:c>
      <x:c r="U2537"/>
      <x:c r="V2537" t="n">
        <x:v>0</x:v>
      </x:c>
      <x:c r="W2537" t="n">
        <x:v>0</x:v>
      </x:c>
      <x:c r="X2537" t="n">
        <x:v>0</x:v>
      </x:c>
      <x:c r="Y2537" t="n">
        <x:v>0</x:v>
      </x:c>
      <x:c r="Z2537" t="n">
        <x:v>0</x:v>
      </x:c>
      <x:c r="AA2537" t="n">
        <x:v>0</x:v>
      </x:c>
      <x:c r="AB2537"/>
      <x:c r="AC2537" t="n">
        <x:v>0</x:v>
      </x:c>
      <x:c r="AD2537" t="n">
        <x:v>-0.4997206583211664</x:v>
      </x:c>
      <x:c r="AE2537" t="n">
        <x:v>0</x:v>
      </x:c>
      <x:c r="AF2537" t="n">
        <x:v>-0.021801352500915527</x:v>
      </x:c>
      <x:c r="AG2537" t="n">
        <x:f>_xlfn.XLOOKUP($A2537,Games!$A$2:$A$18,Games!$B$2:$B$18,"Missing game",0)</x:f>
        <x:v>2025</x:v>
      </x:c>
      <x:c r="AH2537" t="str">
        <x:f>_xlfn.XLOOKUP($A2537,Games!$A$2:$A$18,Games!$C$2:$C$18,"Missing game",0)</x:f>
        <x:v>REG</x:v>
      </x:c>
      <x:c r="AI2537" t="n">
        <x:f>_xlfn.XLOOKUP($A2537,Games!$A$2:$A$18,Games!$D$2:$D$18,"Missing game",0)</x:f>
        <x:v>17</x:v>
      </x:c>
      <x:c r="AJ2537" s="1" t="n">
        <x:f>_xlfn.XLOOKUP($A2537,Games!$A$2:$A$18,Games!$E$2:$E$18,"Missing game",0)</x:f>
        <x:v>46016</x:v>
      </x:c>
      <x:c r="AK2537" t="str">
        <x:f>_xlfn.XLOOKUP($A2537,Games!$A$2:$A$18,Games!$F$2:$F$18,"Missing game",0)</x:f>
        <x:v>Thursday</x:v>
      </x:c>
      <x:c r="AL2537" t="str">
        <x:f>_xlfn.XLOOKUP($A2537,Games!$A$2:$A$18,Games!$G$2:$G$18,"Missing game",0)</x:f>
        <x:v>DET</x:v>
      </x:c>
      <x:c r="AM2537" t="n">
        <x:f>_xlfn.XLOOKUP($A2537,Games!$A$2:$A$18,Games!$H$2:$H$18,"Missing game",0)</x:f>
        <x:v>10</x:v>
      </x:c>
      <x:c r="AN2537" t="str">
        <x:f>_xlfn.XLOOKUP($A2537,Games!$A$2:$A$18,Games!$I$2:$I$18,"Missing game",0)</x:f>
        <x:v>MIN</x:v>
      </x:c>
      <x:c r="AO2537" t="n">
        <x:f>_xlfn.XLOOKUP($A2537,Games!$A$2:$A$18,Games!$J$2:$J$18,"Missing game",0)</x:f>
        <x:v>23</x:v>
      </x:c>
      <x:c r="AP2537" t="n">
        <x:f>_xlfn.XLOOKUP($A2537,Games!$A$2:$A$18,Games!$K$2:$K$18,"Missing game",0)</x:f>
        <x:v>13</x:v>
      </x:c>
      <x:c r="AQ2537" t="n">
        <x:f>_xlfn.XLOOKUP($A2537,Games!$A$2:$A$18,Games!$L$2:$L$18,"Missing game",0)</x:f>
        <x:v>33</x:v>
      </x:c>
      <x:c r="AR2537" t="n">
        <x:f>_xlfn.XLOOKUP($A2537,Games!$A$2:$A$18,Games!$M$2:$M$18,"Missing game",0)</x:f>
        <x:v>0</x:v>
      </x:c>
      <x:c r="AS2537" t="str">
        <x:f>_xlfn.XLOOKUP($A2537,Games!$A$2:$A$18,Games!$N$2:$N$18,"Missing game",0)</x:f>
        <x:v>dome</x:v>
      </x:c>
      <x:c r="AT2537" t="str">
        <x:f>_xlfn.XLOOKUP($A2537,Games!$A$2:$A$18,Games!$O$2:$O$18,"Missing game",0)</x:f>
        <x:v>sportturf</x:v>
      </x:c>
      <x:c r="AU2537" t="str">
        <x:f>_xlfn.XLOOKUP($A2537,Games!$A$2:$A$18,Games!$P$2:$P$18,"Missing game",0)</x:f>
      </x:c>
      <x:c r="AV2537" t="str">
        <x:f>_xlfn.XLOOKUP($A2537,Games!$A$2:$A$18,Games!$Q$2:$Q$18,"Missing game",0)</x:f>
      </x:c>
      <x:c r="AW2537" t="str">
        <x:f>_xlfn.XLOOKUP($A2537,Games!$A$2:$A$18,Games!$R$2:$R$18,"Missing game",0)</x:f>
        <x:v>U.S. Bank Stadium</x:v>
      </x:c>
    </x:row>
    <x:row r="2538">
      <x:c r="A2538" t="str">
        <x:v>2025_17_DET_MIN</x:v>
      </x:c>
      <x:c r="B2538" t="n">
        <x:v>1566</x:v>
      </x:c>
      <x:c r="C2538" t="n">
        <x:v>2</x:v>
      </x:c>
      <x:c r="D2538" t="str">
        <x:v>02:00</x:v>
      </x:c>
      <x:c r="E2538" t="n">
        <x:v>2</x:v>
      </x:c>
      <x:c r="F2538" t="n">
        <x:v>3</x:v>
      </x:c>
      <x:c r="G2538" t="str">
        <x:v>DET</x:v>
      </x:c>
      <x:c r="H2538" t="str">
        <x:v>MIN</x:v>
      </x:c>
      <x:c r="I2538" t="str">
        <x:v>MIN</x:v>
      </x:c>
      <x:c r="J2538" t="n">
        <x:v>3</x:v>
      </x:c>
      <x:c r="K2538" t="str">
        <x:v>(2:00) 16-J.Goff pass incomplete short left to 88-G.Ricci.</x:v>
      </x:c>
      <x:c r="L2538" t="str">
        <x:v>pass</x:v>
      </x:c>
      <x:c r="M2538" t="n">
        <x:v>0</x:v>
      </x:c>
      <x:c r="N2538" t="n">
        <x:v>0</x:v>
      </x:c>
      <x:c r="O2538" t="n">
        <x:v>0</x:v>
      </x:c>
      <x:c r="P2538" t="str">
        <x:v>short</x:v>
      </x:c>
      <x:c r="Q2538" t="str">
        <x:v>left</x:v>
      </x:c>
      <x:c r="R2538" t="n">
        <x:v>3</x:v>
      </x:c>
      <x:c r="S2538"/>
      <x:c r="T2538"/>
      <x:c r="U2538"/>
      <x:c r="V2538" t="n">
        <x:v>0</x:v>
      </x:c>
      <x:c r="W2538" t="n">
        <x:v>0</x:v>
      </x:c>
      <x:c r="X2538" t="n">
        <x:v>0</x:v>
      </x:c>
      <x:c r="Y2538" t="n">
        <x:v>0</x:v>
      </x:c>
      <x:c r="Z2538" t="n">
        <x:v>0</x:v>
      </x:c>
      <x:c r="AA2538" t="n">
        <x:v>0</x:v>
      </x:c>
      <x:c r="AB2538"/>
      <x:c r="AC2538" t="n">
        <x:v>0</x:v>
      </x:c>
      <x:c r="AD2538" t="n">
        <x:v>-0.9018570889020339</x:v>
      </x:c>
      <x:c r="AE2538" t="n">
        <x:v>0</x:v>
      </x:c>
      <x:c r="AF2538" t="n">
        <x:v>-0.02482086420059204</x:v>
      </x:c>
      <x:c r="AG2538" t="n">
        <x:f>_xlfn.XLOOKUP($A2538,Games!$A$2:$A$18,Games!$B$2:$B$18,"Missing game",0)</x:f>
        <x:v>2025</x:v>
      </x:c>
      <x:c r="AH2538" t="str">
        <x:f>_xlfn.XLOOKUP($A2538,Games!$A$2:$A$18,Games!$C$2:$C$18,"Missing game",0)</x:f>
        <x:v>REG</x:v>
      </x:c>
      <x:c r="AI2538" t="n">
        <x:f>_xlfn.XLOOKUP($A2538,Games!$A$2:$A$18,Games!$D$2:$D$18,"Missing game",0)</x:f>
        <x:v>17</x:v>
      </x:c>
      <x:c r="AJ2538" s="1" t="n">
        <x:f>_xlfn.XLOOKUP($A2538,Games!$A$2:$A$18,Games!$E$2:$E$18,"Missing game",0)</x:f>
        <x:v>46016</x:v>
      </x:c>
      <x:c r="AK2538" t="str">
        <x:f>_xlfn.XLOOKUP($A2538,Games!$A$2:$A$18,Games!$F$2:$F$18,"Missing game",0)</x:f>
        <x:v>Thursday</x:v>
      </x:c>
      <x:c r="AL2538" t="str">
        <x:f>_xlfn.XLOOKUP($A2538,Games!$A$2:$A$18,Games!$G$2:$G$18,"Missing game",0)</x:f>
        <x:v>DET</x:v>
      </x:c>
      <x:c r="AM2538" t="n">
        <x:f>_xlfn.XLOOKUP($A2538,Games!$A$2:$A$18,Games!$H$2:$H$18,"Missing game",0)</x:f>
        <x:v>10</x:v>
      </x:c>
      <x:c r="AN2538" t="str">
        <x:f>_xlfn.XLOOKUP($A2538,Games!$A$2:$A$18,Games!$I$2:$I$18,"Missing game",0)</x:f>
        <x:v>MIN</x:v>
      </x:c>
      <x:c r="AO2538" t="n">
        <x:f>_xlfn.XLOOKUP($A2538,Games!$A$2:$A$18,Games!$J$2:$J$18,"Missing game",0)</x:f>
        <x:v>23</x:v>
      </x:c>
      <x:c r="AP2538" t="n">
        <x:f>_xlfn.XLOOKUP($A2538,Games!$A$2:$A$18,Games!$K$2:$K$18,"Missing game",0)</x:f>
        <x:v>13</x:v>
      </x:c>
      <x:c r="AQ2538" t="n">
        <x:f>_xlfn.XLOOKUP($A2538,Games!$A$2:$A$18,Games!$L$2:$L$18,"Missing game",0)</x:f>
        <x:v>33</x:v>
      </x:c>
      <x:c r="AR2538" t="n">
        <x:f>_xlfn.XLOOKUP($A2538,Games!$A$2:$A$18,Games!$M$2:$M$18,"Missing game",0)</x:f>
        <x:v>0</x:v>
      </x:c>
      <x:c r="AS2538" t="str">
        <x:f>_xlfn.XLOOKUP($A2538,Games!$A$2:$A$18,Games!$N$2:$N$18,"Missing game",0)</x:f>
        <x:v>dome</x:v>
      </x:c>
      <x:c r="AT2538" t="str">
        <x:f>_xlfn.XLOOKUP($A2538,Games!$A$2:$A$18,Games!$O$2:$O$18,"Missing game",0)</x:f>
        <x:v>sportturf</x:v>
      </x:c>
      <x:c r="AU2538" t="str">
        <x:f>_xlfn.XLOOKUP($A2538,Games!$A$2:$A$18,Games!$P$2:$P$18,"Missing game",0)</x:f>
      </x:c>
      <x:c r="AV2538" t="str">
        <x:f>_xlfn.XLOOKUP($A2538,Games!$A$2:$A$18,Games!$Q$2:$Q$18,"Missing game",0)</x:f>
      </x:c>
      <x:c r="AW2538" t="str">
        <x:f>_xlfn.XLOOKUP($A2538,Games!$A$2:$A$18,Games!$R$2:$R$18,"Missing game",0)</x:f>
        <x:v>U.S. Bank Stadium</x:v>
      </x:c>
    </x:row>
    <x:row r="2539">
      <x:c r="A2539" t="str">
        <x:v>2025_17_DET_MIN</x:v>
      </x:c>
      <x:c r="B2539" t="n">
        <x:v>1596</x:v>
      </x:c>
      <x:c r="C2539" t="n">
        <x:v>2</x:v>
      </x:c>
      <x:c r="D2539" t="str">
        <x:v>01:56</x:v>
      </x:c>
      <x:c r="E2539" t="n">
        <x:v>3</x:v>
      </x:c>
      <x:c r="F2539" t="n">
        <x:v>3</x:v>
      </x:c>
      <x:c r="G2539" t="str">
        <x:v>DET</x:v>
      </x:c>
      <x:c r="H2539" t="str">
        <x:v>MIN</x:v>
      </x:c>
      <x:c r="I2539" t="str">
        <x:v>MIN</x:v>
      </x:c>
      <x:c r="J2539" t="n">
        <x:v>3</x:v>
      </x:c>
      <x:c r="K2539" t="str">
        <x:v>(1:56) 5-D.Montgomery right guard to MIN 4 for -1 yards (61-J.Redmond).</x:v>
      </x:c>
      <x:c r="L2539" t="str">
        <x:v>run</x:v>
      </x:c>
      <x:c r="M2539" t="n">
        <x:v>-1</x:v>
      </x:c>
      <x:c r="N2539" t="n">
        <x:v>0</x:v>
      </x:c>
      <x:c r="O2539" t="n">
        <x:v>0</x:v>
      </x:c>
      <x:c r="P2539"/>
      <x:c r="Q2539"/>
      <x:c r="R2539"/>
      <x:c r="S2539"/>
      <x:c r="T2539" t="str">
        <x:v>right</x:v>
      </x:c>
      <x:c r="U2539" t="str">
        <x:v>guard</x:v>
      </x:c>
      <x:c r="V2539" t="n">
        <x:v>0</x:v>
      </x:c>
      <x:c r="W2539" t="n">
        <x:v>0</x:v>
      </x:c>
      <x:c r="X2539" t="n">
        <x:v>0</x:v>
      </x:c>
      <x:c r="Y2539" t="n">
        <x:v>0</x:v>
      </x:c>
      <x:c r="Z2539" t="n">
        <x:v>0</x:v>
      </x:c>
      <x:c r="AA2539" t="n">
        <x:v>0</x:v>
      </x:c>
      <x:c r="AB2539"/>
      <x:c r="AC2539" t="n">
        <x:v>0</x:v>
      </x:c>
      <x:c r="AD2539" t="n">
        <x:v>-1.897522980638314</x:v>
      </x:c>
      <x:c r="AE2539" t="n">
        <x:v>0</x:v>
      </x:c>
      <x:c r="AF2539" t="n">
        <x:v>-0.052661746740341187</x:v>
      </x:c>
      <x:c r="AG2539" t="n">
        <x:f>_xlfn.XLOOKUP($A2539,Games!$A$2:$A$18,Games!$B$2:$B$18,"Missing game",0)</x:f>
        <x:v>2025</x:v>
      </x:c>
      <x:c r="AH2539" t="str">
        <x:f>_xlfn.XLOOKUP($A2539,Games!$A$2:$A$18,Games!$C$2:$C$18,"Missing game",0)</x:f>
        <x:v>REG</x:v>
      </x:c>
      <x:c r="AI2539" t="n">
        <x:f>_xlfn.XLOOKUP($A2539,Games!$A$2:$A$18,Games!$D$2:$D$18,"Missing game",0)</x:f>
        <x:v>17</x:v>
      </x:c>
      <x:c r="AJ2539" s="1" t="n">
        <x:f>_xlfn.XLOOKUP($A2539,Games!$A$2:$A$18,Games!$E$2:$E$18,"Missing game",0)</x:f>
        <x:v>46016</x:v>
      </x:c>
      <x:c r="AK2539" t="str">
        <x:f>_xlfn.XLOOKUP($A2539,Games!$A$2:$A$18,Games!$F$2:$F$18,"Missing game",0)</x:f>
        <x:v>Thursday</x:v>
      </x:c>
      <x:c r="AL2539" t="str">
        <x:f>_xlfn.XLOOKUP($A2539,Games!$A$2:$A$18,Games!$G$2:$G$18,"Missing game",0)</x:f>
        <x:v>DET</x:v>
      </x:c>
      <x:c r="AM2539" t="n">
        <x:f>_xlfn.XLOOKUP($A2539,Games!$A$2:$A$18,Games!$H$2:$H$18,"Missing game",0)</x:f>
        <x:v>10</x:v>
      </x:c>
      <x:c r="AN2539" t="str">
        <x:f>_xlfn.XLOOKUP($A2539,Games!$A$2:$A$18,Games!$I$2:$I$18,"Missing game",0)</x:f>
        <x:v>MIN</x:v>
      </x:c>
      <x:c r="AO2539" t="n">
        <x:f>_xlfn.XLOOKUP($A2539,Games!$A$2:$A$18,Games!$J$2:$J$18,"Missing game",0)</x:f>
        <x:v>23</x:v>
      </x:c>
      <x:c r="AP2539" t="n">
        <x:f>_xlfn.XLOOKUP($A2539,Games!$A$2:$A$18,Games!$K$2:$K$18,"Missing game",0)</x:f>
        <x:v>13</x:v>
      </x:c>
      <x:c r="AQ2539" t="n">
        <x:f>_xlfn.XLOOKUP($A2539,Games!$A$2:$A$18,Games!$L$2:$L$18,"Missing game",0)</x:f>
        <x:v>33</x:v>
      </x:c>
      <x:c r="AR2539" t="n">
        <x:f>_xlfn.XLOOKUP($A2539,Games!$A$2:$A$18,Games!$M$2:$M$18,"Missing game",0)</x:f>
        <x:v>0</x:v>
      </x:c>
      <x:c r="AS2539" t="str">
        <x:f>_xlfn.XLOOKUP($A2539,Games!$A$2:$A$18,Games!$N$2:$N$18,"Missing game",0)</x:f>
        <x:v>dome</x:v>
      </x:c>
      <x:c r="AT2539" t="str">
        <x:f>_xlfn.XLOOKUP($A2539,Games!$A$2:$A$18,Games!$O$2:$O$18,"Missing game",0)</x:f>
        <x:v>sportturf</x:v>
      </x:c>
      <x:c r="AU2539" t="str">
        <x:f>_xlfn.XLOOKUP($A2539,Games!$A$2:$A$18,Games!$P$2:$P$18,"Missing game",0)</x:f>
      </x:c>
      <x:c r="AV2539" t="str">
        <x:f>_xlfn.XLOOKUP($A2539,Games!$A$2:$A$18,Games!$Q$2:$Q$18,"Missing game",0)</x:f>
      </x:c>
      <x:c r="AW2539" t="str">
        <x:f>_xlfn.XLOOKUP($A2539,Games!$A$2:$A$18,Games!$R$2:$R$18,"Missing game",0)</x:f>
        <x:v>U.S. Bank Stadium</x:v>
      </x:c>
    </x:row>
    <x:row r="2540">
      <x:c r="A2540" t="str">
        <x:v>2025_17_DET_MIN</x:v>
      </x:c>
      <x:c r="B2540" t="n">
        <x:v>1618</x:v>
      </x:c>
      <x:c r="C2540" t="n">
        <x:v>2</x:v>
      </x:c>
      <x:c r="D2540" t="str">
        <x:v>01:10</x:v>
      </x:c>
      <x:c r="E2540" t="n">
        <x:v>4</x:v>
      </x:c>
      <x:c r="F2540" t="n">
        <x:v>4</x:v>
      </x:c>
      <x:c r="G2540" t="str">
        <x:v>DET</x:v>
      </x:c>
      <x:c r="H2540" t="str">
        <x:v>MIN</x:v>
      </x:c>
      <x:c r="I2540" t="str">
        <x:v>MIN</x:v>
      </x:c>
      <x:c r="J2540" t="n">
        <x:v>4</x:v>
      </x:c>
      <x:c r="K2540" t="str">
        <x:v>(1:10) (Shotgun) 16-J.Goff pass short middle to 18-I.TeSlaa for 4 yards, TOUCHDOWN. ** Injury Update: DET-58-P.Sewell has returned to the game.</x:v>
      </x:c>
      <x:c r="L2540" t="str">
        <x:v>pass</x:v>
      </x:c>
      <x:c r="M2540" t="n">
        <x:v>4</x:v>
      </x:c>
      <x:c r="N2540" t="n">
        <x:v>1</x:v>
      </x:c>
      <x:c r="O2540" t="n">
        <x:v>0</x:v>
      </x:c>
      <x:c r="P2540" t="str">
        <x:v>short</x:v>
      </x:c>
      <x:c r="Q2540" t="str">
        <x:v>middle</x:v>
      </x:c>
      <x:c r="R2540" t="n">
        <x:v>4</x:v>
      </x:c>
      <x:c r="S2540" t="n">
        <x:v>0</x:v>
      </x:c>
      <x:c r="T2540"/>
      <x:c r="U2540"/>
      <x:c r="V2540" t="n">
        <x:v>1</x:v>
      </x:c>
      <x:c r="W2540" t="n">
        <x:v>1</x:v>
      </x:c>
      <x:c r="X2540" t="n">
        <x:v>0</x:v>
      </x:c>
      <x:c r="Y2540" t="n">
        <x:v>0</x:v>
      </x:c>
      <x:c r="Z2540" t="n">
        <x:v>0</x:v>
      </x:c>
      <x:c r="AA2540" t="n">
        <x:v>0</x:v>
      </x:c>
      <x:c r="AB2540"/>
      <x:c r="AC2540" t="n">
        <x:v>1</x:v>
      </x:c>
      <x:c r="AD2540" t="n">
        <x:v>4.154585028882138</x:v>
      </x:c>
      <x:c r="AE2540" t="n">
        <x:v>1</x:v>
      </x:c>
      <x:c r="AF2540" t="n">
        <x:v>0.1391193142716316</x:v>
      </x:c>
      <x:c r="AG2540" t="n">
        <x:f>_xlfn.XLOOKUP($A2540,Games!$A$2:$A$18,Games!$B$2:$B$18,"Missing game",0)</x:f>
        <x:v>2025</x:v>
      </x:c>
      <x:c r="AH2540" t="str">
        <x:f>_xlfn.XLOOKUP($A2540,Games!$A$2:$A$18,Games!$C$2:$C$18,"Missing game",0)</x:f>
        <x:v>REG</x:v>
      </x:c>
      <x:c r="AI2540" t="n">
        <x:f>_xlfn.XLOOKUP($A2540,Games!$A$2:$A$18,Games!$D$2:$D$18,"Missing game",0)</x:f>
        <x:v>17</x:v>
      </x:c>
      <x:c r="AJ2540" s="1" t="n">
        <x:f>_xlfn.XLOOKUP($A2540,Games!$A$2:$A$18,Games!$E$2:$E$18,"Missing game",0)</x:f>
        <x:v>46016</x:v>
      </x:c>
      <x:c r="AK2540" t="str">
        <x:f>_xlfn.XLOOKUP($A2540,Games!$A$2:$A$18,Games!$F$2:$F$18,"Missing game",0)</x:f>
        <x:v>Thursday</x:v>
      </x:c>
      <x:c r="AL2540" t="str">
        <x:f>_xlfn.XLOOKUP($A2540,Games!$A$2:$A$18,Games!$G$2:$G$18,"Missing game",0)</x:f>
        <x:v>DET</x:v>
      </x:c>
      <x:c r="AM2540" t="n">
        <x:f>_xlfn.XLOOKUP($A2540,Games!$A$2:$A$18,Games!$H$2:$H$18,"Missing game",0)</x:f>
        <x:v>10</x:v>
      </x:c>
      <x:c r="AN2540" t="str">
        <x:f>_xlfn.XLOOKUP($A2540,Games!$A$2:$A$18,Games!$I$2:$I$18,"Missing game",0)</x:f>
        <x:v>MIN</x:v>
      </x:c>
      <x:c r="AO2540" t="n">
        <x:f>_xlfn.XLOOKUP($A2540,Games!$A$2:$A$18,Games!$J$2:$J$18,"Missing game",0)</x:f>
        <x:v>23</x:v>
      </x:c>
      <x:c r="AP2540" t="n">
        <x:f>_xlfn.XLOOKUP($A2540,Games!$A$2:$A$18,Games!$K$2:$K$18,"Missing game",0)</x:f>
        <x:v>13</x:v>
      </x:c>
      <x:c r="AQ2540" t="n">
        <x:f>_xlfn.XLOOKUP($A2540,Games!$A$2:$A$18,Games!$L$2:$L$18,"Missing game",0)</x:f>
        <x:v>33</x:v>
      </x:c>
      <x:c r="AR2540" t="n">
        <x:f>_xlfn.XLOOKUP($A2540,Games!$A$2:$A$18,Games!$M$2:$M$18,"Missing game",0)</x:f>
        <x:v>0</x:v>
      </x:c>
      <x:c r="AS2540" t="str">
        <x:f>_xlfn.XLOOKUP($A2540,Games!$A$2:$A$18,Games!$N$2:$N$18,"Missing game",0)</x:f>
        <x:v>dome</x:v>
      </x:c>
      <x:c r="AT2540" t="str">
        <x:f>_xlfn.XLOOKUP($A2540,Games!$A$2:$A$18,Games!$O$2:$O$18,"Missing game",0)</x:f>
        <x:v>sportturf</x:v>
      </x:c>
      <x:c r="AU2540" t="str">
        <x:f>_xlfn.XLOOKUP($A2540,Games!$A$2:$A$18,Games!$P$2:$P$18,"Missing game",0)</x:f>
      </x:c>
      <x:c r="AV2540" t="str">
        <x:f>_xlfn.XLOOKUP($A2540,Games!$A$2:$A$18,Games!$Q$2:$Q$18,"Missing game",0)</x:f>
      </x:c>
      <x:c r="AW2540" t="str">
        <x:f>_xlfn.XLOOKUP($A2540,Games!$A$2:$A$18,Games!$R$2:$R$18,"Missing game",0)</x:f>
        <x:v>U.S. Bank Stadium</x:v>
      </x:c>
    </x:row>
    <x:row r="2541">
      <x:c r="A2541" t="str">
        <x:v>2025_17_DET_MIN</x:v>
      </x:c>
      <x:c r="B2541" t="n">
        <x:v>1630</x:v>
      </x:c>
      <x:c r="C2541" t="n">
        <x:v>2</x:v>
      </x:c>
      <x:c r="D2541" t="str">
        <x:v>01:10</x:v>
      </x:c>
      <x:c r="E2541"/>
      <x:c r="F2541" t="n">
        <x:v>0</x:v>
      </x:c>
      <x:c r="G2541"/>
      <x:c r="H2541"/>
      <x:c r="I2541"/>
      <x:c r="J2541"/>
      <x:c r="K2541" t="str">
        <x:v>Timeout #1 by DET at 01:10.</x:v>
      </x:c>
      <x:c r="L2541" t="str">
        <x:v>no_play</x:v>
      </x:c>
      <x:c r="M2541" t="n">
        <x:v>0</x:v>
      </x:c>
      <x:c r="N2541" t="n">
        <x:v>0</x:v>
      </x:c>
      <x:c r="O2541" t="n">
        <x:v>0</x:v>
      </x:c>
      <x:c r="P2541"/>
      <x:c r="Q2541"/>
      <x:c r="R2541"/>
      <x:c r="S2541"/>
      <x:c r="T2541"/>
      <x:c r="U2541"/>
      <x:c r="V2541" t="n">
        <x:v>0</x:v>
      </x:c>
      <x:c r="W2541" t="n">
        <x:v>0</x:v>
      </x:c>
      <x:c r="X2541" t="n">
        <x:v>0</x:v>
      </x:c>
      <x:c r="Y2541" t="n">
        <x:v>0</x:v>
      </x:c>
      <x:c r="Z2541" t="n">
        <x:v>0</x:v>
      </x:c>
      <x:c r="AA2541" t="n">
        <x:v>0</x:v>
      </x:c>
      <x:c r="AB2541"/>
      <x:c r="AC2541" t="n">
        <x:v>0</x:v>
      </x:c>
      <x:c r="AD2541" t="n">
        <x:v>0</x:v>
      </x:c>
      <x:c r="AE2541" t="n">
        <x:v>0</x:v>
      </x:c>
      <x:c r="AF2541" t="n">
        <x:v>0</x:v>
      </x:c>
      <x:c r="AG2541" t="n">
        <x:f>_xlfn.XLOOKUP($A2541,Games!$A$2:$A$18,Games!$B$2:$B$18,"Missing game",0)</x:f>
        <x:v>2025</x:v>
      </x:c>
      <x:c r="AH2541" t="str">
        <x:f>_xlfn.XLOOKUP($A2541,Games!$A$2:$A$18,Games!$C$2:$C$18,"Missing game",0)</x:f>
        <x:v>REG</x:v>
      </x:c>
      <x:c r="AI2541" t="n">
        <x:f>_xlfn.XLOOKUP($A2541,Games!$A$2:$A$18,Games!$D$2:$D$18,"Missing game",0)</x:f>
        <x:v>17</x:v>
      </x:c>
      <x:c r="AJ2541" s="1" t="n">
        <x:f>_xlfn.XLOOKUP($A2541,Games!$A$2:$A$18,Games!$E$2:$E$18,"Missing game",0)</x:f>
        <x:v>46016</x:v>
      </x:c>
      <x:c r="AK2541" t="str">
        <x:f>_xlfn.XLOOKUP($A2541,Games!$A$2:$A$18,Games!$F$2:$F$18,"Missing game",0)</x:f>
        <x:v>Thursday</x:v>
      </x:c>
      <x:c r="AL2541" t="str">
        <x:f>_xlfn.XLOOKUP($A2541,Games!$A$2:$A$18,Games!$G$2:$G$18,"Missing game",0)</x:f>
        <x:v>DET</x:v>
      </x:c>
      <x:c r="AM2541" t="n">
        <x:f>_xlfn.XLOOKUP($A2541,Games!$A$2:$A$18,Games!$H$2:$H$18,"Missing game",0)</x:f>
        <x:v>10</x:v>
      </x:c>
      <x:c r="AN2541" t="str">
        <x:f>_xlfn.XLOOKUP($A2541,Games!$A$2:$A$18,Games!$I$2:$I$18,"Missing game",0)</x:f>
        <x:v>MIN</x:v>
      </x:c>
      <x:c r="AO2541" t="n">
        <x:f>_xlfn.XLOOKUP($A2541,Games!$A$2:$A$18,Games!$J$2:$J$18,"Missing game",0)</x:f>
        <x:v>23</x:v>
      </x:c>
      <x:c r="AP2541" t="n">
        <x:f>_xlfn.XLOOKUP($A2541,Games!$A$2:$A$18,Games!$K$2:$K$18,"Missing game",0)</x:f>
        <x:v>13</x:v>
      </x:c>
      <x:c r="AQ2541" t="n">
        <x:f>_xlfn.XLOOKUP($A2541,Games!$A$2:$A$18,Games!$L$2:$L$18,"Missing game",0)</x:f>
        <x:v>33</x:v>
      </x:c>
      <x:c r="AR2541" t="n">
        <x:f>_xlfn.XLOOKUP($A2541,Games!$A$2:$A$18,Games!$M$2:$M$18,"Missing game",0)</x:f>
        <x:v>0</x:v>
      </x:c>
      <x:c r="AS2541" t="str">
        <x:f>_xlfn.XLOOKUP($A2541,Games!$A$2:$A$18,Games!$N$2:$N$18,"Missing game",0)</x:f>
        <x:v>dome</x:v>
      </x:c>
      <x:c r="AT2541" t="str">
        <x:f>_xlfn.XLOOKUP($A2541,Games!$A$2:$A$18,Games!$O$2:$O$18,"Missing game",0)</x:f>
        <x:v>sportturf</x:v>
      </x:c>
      <x:c r="AU2541" t="str">
        <x:f>_xlfn.XLOOKUP($A2541,Games!$A$2:$A$18,Games!$P$2:$P$18,"Missing game",0)</x:f>
      </x:c>
      <x:c r="AV2541" t="str">
        <x:f>_xlfn.XLOOKUP($A2541,Games!$A$2:$A$18,Games!$Q$2:$Q$18,"Missing game",0)</x:f>
      </x:c>
      <x:c r="AW2541" t="str">
        <x:f>_xlfn.XLOOKUP($A2541,Games!$A$2:$A$18,Games!$R$2:$R$18,"Missing game",0)</x:f>
        <x:v>U.S. Bank Stadium</x:v>
      </x:c>
    </x:row>
    <x:row r="2542">
      <x:c r="A2542" t="str">
        <x:v>2025_17_DET_MIN</x:v>
      </x:c>
      <x:c r="B2542" t="n">
        <x:v>1651</x:v>
      </x:c>
      <x:c r="C2542" t="n">
        <x:v>2</x:v>
      </x:c>
      <x:c r="D2542" t="str">
        <x:v>01:05</x:v>
      </x:c>
      <x:c r="E2542"/>
      <x:c r="F2542" t="n">
        <x:v>0</x:v>
      </x:c>
      <x:c r="G2542" t="str">
        <x:v>DET</x:v>
      </x:c>
      <x:c r="H2542" t="str">
        <x:v>MIN</x:v>
      </x:c>
      <x:c r="I2542" t="str">
        <x:v>MIN</x:v>
      </x:c>
      <x:c r="J2542" t="n">
        <x:v>15</x:v>
      </x:c>
      <x:c r="K2542" t="str">
        <x:v>39-J.Bates extra point is GOOD, Center-49-H.Hatten, Holder-3-J.Fox.</x:v>
      </x:c>
      <x:c r="L2542" t="str">
        <x:v>extra_point</x:v>
      </x:c>
      <x:c r="M2542" t="n">
        <x:v>0</x:v>
      </x:c>
      <x:c r="N2542" t="n">
        <x:v>0</x:v>
      </x:c>
      <x:c r="O2542" t="n">
        <x:v>0</x:v>
      </x:c>
      <x:c r="P2542"/>
      <x:c r="Q2542"/>
      <x:c r="R2542"/>
      <x:c r="S2542"/>
      <x:c r="T2542"/>
      <x:c r="U2542"/>
      <x:c r="V2542" t="n">
        <x:v>0</x:v>
      </x:c>
      <x:c r="W2542" t="n">
        <x:v>0</x:v>
      </x:c>
      <x:c r="X2542" t="n">
        <x:v>0</x:v>
      </x:c>
      <x:c r="Y2542" t="n">
        <x:v>0</x:v>
      </x:c>
      <x:c r="Z2542" t="n">
        <x:v>0</x:v>
      </x:c>
      <x:c r="AA2542" t="n">
        <x:v>0</x:v>
      </x:c>
      <x:c r="AB2542"/>
      <x:c r="AC2542" t="n">
        <x:v>0</x:v>
      </x:c>
      <x:c r="AD2542" t="n">
        <x:v>0.05117156607063911</x:v>
      </x:c>
      <x:c r="AE2542" t="n">
        <x:v>1</x:v>
      </x:c>
      <x:c r="AF2542" t="n">
        <x:v>0.003214074056920646</x:v>
      </x:c>
      <x:c r="AG2542" t="n">
        <x:f>_xlfn.XLOOKUP($A2542,Games!$A$2:$A$18,Games!$B$2:$B$18,"Missing game",0)</x:f>
        <x:v>2025</x:v>
      </x:c>
      <x:c r="AH2542" t="str">
        <x:f>_xlfn.XLOOKUP($A2542,Games!$A$2:$A$18,Games!$C$2:$C$18,"Missing game",0)</x:f>
        <x:v>REG</x:v>
      </x:c>
      <x:c r="AI2542" t="n">
        <x:f>_xlfn.XLOOKUP($A2542,Games!$A$2:$A$18,Games!$D$2:$D$18,"Missing game",0)</x:f>
        <x:v>17</x:v>
      </x:c>
      <x:c r="AJ2542" s="1" t="n">
        <x:f>_xlfn.XLOOKUP($A2542,Games!$A$2:$A$18,Games!$E$2:$E$18,"Missing game",0)</x:f>
        <x:v>46016</x:v>
      </x:c>
      <x:c r="AK2542" t="str">
        <x:f>_xlfn.XLOOKUP($A2542,Games!$A$2:$A$18,Games!$F$2:$F$18,"Missing game",0)</x:f>
        <x:v>Thursday</x:v>
      </x:c>
      <x:c r="AL2542" t="str">
        <x:f>_xlfn.XLOOKUP($A2542,Games!$A$2:$A$18,Games!$G$2:$G$18,"Missing game",0)</x:f>
        <x:v>DET</x:v>
      </x:c>
      <x:c r="AM2542" t="n">
        <x:f>_xlfn.XLOOKUP($A2542,Games!$A$2:$A$18,Games!$H$2:$H$18,"Missing game",0)</x:f>
        <x:v>10</x:v>
      </x:c>
      <x:c r="AN2542" t="str">
        <x:f>_xlfn.XLOOKUP($A2542,Games!$A$2:$A$18,Games!$I$2:$I$18,"Missing game",0)</x:f>
        <x:v>MIN</x:v>
      </x:c>
      <x:c r="AO2542" t="n">
        <x:f>_xlfn.XLOOKUP($A2542,Games!$A$2:$A$18,Games!$J$2:$J$18,"Missing game",0)</x:f>
        <x:v>23</x:v>
      </x:c>
      <x:c r="AP2542" t="n">
        <x:f>_xlfn.XLOOKUP($A2542,Games!$A$2:$A$18,Games!$K$2:$K$18,"Missing game",0)</x:f>
        <x:v>13</x:v>
      </x:c>
      <x:c r="AQ2542" t="n">
        <x:f>_xlfn.XLOOKUP($A2542,Games!$A$2:$A$18,Games!$L$2:$L$18,"Missing game",0)</x:f>
        <x:v>33</x:v>
      </x:c>
      <x:c r="AR2542" t="n">
        <x:f>_xlfn.XLOOKUP($A2542,Games!$A$2:$A$18,Games!$M$2:$M$18,"Missing game",0)</x:f>
        <x:v>0</x:v>
      </x:c>
      <x:c r="AS2542" t="str">
        <x:f>_xlfn.XLOOKUP($A2542,Games!$A$2:$A$18,Games!$N$2:$N$18,"Missing game",0)</x:f>
        <x:v>dome</x:v>
      </x:c>
      <x:c r="AT2542" t="str">
        <x:f>_xlfn.XLOOKUP($A2542,Games!$A$2:$A$18,Games!$O$2:$O$18,"Missing game",0)</x:f>
        <x:v>sportturf</x:v>
      </x:c>
      <x:c r="AU2542" t="str">
        <x:f>_xlfn.XLOOKUP($A2542,Games!$A$2:$A$18,Games!$P$2:$P$18,"Missing game",0)</x:f>
      </x:c>
      <x:c r="AV2542" t="str">
        <x:f>_xlfn.XLOOKUP($A2542,Games!$A$2:$A$18,Games!$Q$2:$Q$18,"Missing game",0)</x:f>
      </x:c>
      <x:c r="AW2542" t="str">
        <x:f>_xlfn.XLOOKUP($A2542,Games!$A$2:$A$18,Games!$R$2:$R$18,"Missing game",0)</x:f>
        <x:v>U.S. Bank Stadium</x:v>
      </x:c>
    </x:row>
    <x:row r="2543">
      <x:c r="A2543" t="str">
        <x:v>2025_17_DET_MIN</x:v>
      </x:c>
      <x:c r="B2543" t="n">
        <x:v>1669</x:v>
      </x:c>
      <x:c r="C2543" t="n">
        <x:v>2</x:v>
      </x:c>
      <x:c r="D2543" t="str">
        <x:v>01:05</x:v>
      </x:c>
      <x:c r="E2543"/>
      <x:c r="F2543" t="n">
        <x:v>0</x:v>
      </x:c>
      <x:c r="G2543" t="str">
        <x:v>MIN</x:v>
      </x:c>
      <x:c r="H2543" t="str">
        <x:v>DET</x:v>
      </x:c>
      <x:c r="I2543" t="str">
        <x:v>DET</x:v>
      </x:c>
      <x:c r="J2543" t="n">
        <x:v>35</x:v>
      </x:c>
      <x:c r="K2543" t="str">
        <x:v>39-J.Bates kicks 65 yards from DET 35 to end zone, Touchback to the MIN 35.</x:v>
      </x:c>
      <x:c r="L2543" t="str">
        <x:v>kickoff</x:v>
      </x:c>
      <x:c r="M2543" t="n">
        <x:v>0</x:v>
      </x:c>
      <x:c r="N2543" t="n">
        <x:v>0</x:v>
      </x:c>
      <x:c r="O2543" t="n">
        <x:v>0</x:v>
      </x:c>
      <x:c r="P2543"/>
      <x:c r="Q2543"/>
      <x:c r="R2543"/>
      <x:c r="S2543"/>
      <x:c r="T2543"/>
      <x:c r="U2543"/>
      <x:c r="V2543" t="n">
        <x:v>0</x:v>
      </x:c>
      <x:c r="W2543" t="n">
        <x:v>0</x:v>
      </x:c>
      <x:c r="X2543" t="n">
        <x:v>0</x:v>
      </x:c>
      <x:c r="Y2543" t="n">
        <x:v>0</x:v>
      </x:c>
      <x:c r="Z2543" t="n">
        <x:v>0</x:v>
      </x:c>
      <x:c r="AA2543" t="n">
        <x:v>0</x:v>
      </x:c>
      <x:c r="AB2543"/>
      <x:c r="AC2543" t="n">
        <x:v>0</x:v>
      </x:c>
      <x:c r="AD2543" t="n">
        <x:v>0.2689996075350791</x:v>
      </x:c>
      <x:c r="AE2543" t="n">
        <x:v>1</x:v>
      </x:c>
      <x:c r="AF2543" t="n">
        <x:v>0.02025216817855835</x:v>
      </x:c>
      <x:c r="AG2543" t="n">
        <x:f>_xlfn.XLOOKUP($A2543,Games!$A$2:$A$18,Games!$B$2:$B$18,"Missing game",0)</x:f>
        <x:v>2025</x:v>
      </x:c>
      <x:c r="AH2543" t="str">
        <x:f>_xlfn.XLOOKUP($A2543,Games!$A$2:$A$18,Games!$C$2:$C$18,"Missing game",0)</x:f>
        <x:v>REG</x:v>
      </x:c>
      <x:c r="AI2543" t="n">
        <x:f>_xlfn.XLOOKUP($A2543,Games!$A$2:$A$18,Games!$D$2:$D$18,"Missing game",0)</x:f>
        <x:v>17</x:v>
      </x:c>
      <x:c r="AJ2543" s="1" t="n">
        <x:f>_xlfn.XLOOKUP($A2543,Games!$A$2:$A$18,Games!$E$2:$E$18,"Missing game",0)</x:f>
        <x:v>46016</x:v>
      </x:c>
      <x:c r="AK2543" t="str">
        <x:f>_xlfn.XLOOKUP($A2543,Games!$A$2:$A$18,Games!$F$2:$F$18,"Missing game",0)</x:f>
        <x:v>Thursday</x:v>
      </x:c>
      <x:c r="AL2543" t="str">
        <x:f>_xlfn.XLOOKUP($A2543,Games!$A$2:$A$18,Games!$G$2:$G$18,"Missing game",0)</x:f>
        <x:v>DET</x:v>
      </x:c>
      <x:c r="AM2543" t="n">
        <x:f>_xlfn.XLOOKUP($A2543,Games!$A$2:$A$18,Games!$H$2:$H$18,"Missing game",0)</x:f>
        <x:v>10</x:v>
      </x:c>
      <x:c r="AN2543" t="str">
        <x:f>_xlfn.XLOOKUP($A2543,Games!$A$2:$A$18,Games!$I$2:$I$18,"Missing game",0)</x:f>
        <x:v>MIN</x:v>
      </x:c>
      <x:c r="AO2543" t="n">
        <x:f>_xlfn.XLOOKUP($A2543,Games!$A$2:$A$18,Games!$J$2:$J$18,"Missing game",0)</x:f>
        <x:v>23</x:v>
      </x:c>
      <x:c r="AP2543" t="n">
        <x:f>_xlfn.XLOOKUP($A2543,Games!$A$2:$A$18,Games!$K$2:$K$18,"Missing game",0)</x:f>
        <x:v>13</x:v>
      </x:c>
      <x:c r="AQ2543" t="n">
        <x:f>_xlfn.XLOOKUP($A2543,Games!$A$2:$A$18,Games!$L$2:$L$18,"Missing game",0)</x:f>
        <x:v>33</x:v>
      </x:c>
      <x:c r="AR2543" t="n">
        <x:f>_xlfn.XLOOKUP($A2543,Games!$A$2:$A$18,Games!$M$2:$M$18,"Missing game",0)</x:f>
        <x:v>0</x:v>
      </x:c>
      <x:c r="AS2543" t="str">
        <x:f>_xlfn.XLOOKUP($A2543,Games!$A$2:$A$18,Games!$N$2:$N$18,"Missing game",0)</x:f>
        <x:v>dome</x:v>
      </x:c>
      <x:c r="AT2543" t="str">
        <x:f>_xlfn.XLOOKUP($A2543,Games!$A$2:$A$18,Games!$O$2:$O$18,"Missing game",0)</x:f>
        <x:v>sportturf</x:v>
      </x:c>
      <x:c r="AU2543" t="str">
        <x:f>_xlfn.XLOOKUP($A2543,Games!$A$2:$A$18,Games!$P$2:$P$18,"Missing game",0)</x:f>
      </x:c>
      <x:c r="AV2543" t="str">
        <x:f>_xlfn.XLOOKUP($A2543,Games!$A$2:$A$18,Games!$Q$2:$Q$18,"Missing game",0)</x:f>
      </x:c>
      <x:c r="AW2543" t="str">
        <x:f>_xlfn.XLOOKUP($A2543,Games!$A$2:$A$18,Games!$R$2:$R$18,"Missing game",0)</x:f>
        <x:v>U.S. Bank Stadium</x:v>
      </x:c>
    </x:row>
    <x:row r="2544">
      <x:c r="A2544" t="str">
        <x:v>2025_17_DET_MIN</x:v>
      </x:c>
      <x:c r="B2544" t="n">
        <x:v>1686</x:v>
      </x:c>
      <x:c r="C2544" t="n">
        <x:v>2</x:v>
      </x:c>
      <x:c r="D2544" t="str">
        <x:v>01:05</x:v>
      </x:c>
      <x:c r="E2544" t="n">
        <x:v>1</x:v>
      </x:c>
      <x:c r="F2544" t="n">
        <x:v>10</x:v>
      </x:c>
      <x:c r="G2544" t="str">
        <x:v>MIN</x:v>
      </x:c>
      <x:c r="H2544" t="str">
        <x:v>DET</x:v>
      </x:c>
      <x:c r="I2544" t="str">
        <x:v>MIN</x:v>
      </x:c>
      <x:c r="J2544" t="n">
        <x:v>65</x:v>
      </x:c>
      <x:c r="K2544" t="str">
        <x:v>(1:05) (Shotgun) 12-M.Brosmer pass incomplete short right [55-D.Barnes]. PENALTY on DET-4-D.Reed, Illegal Contact, 5 yards, enforced at MIN 35 - No Play.</x:v>
      </x:c>
      <x:c r="L2544" t="str">
        <x:v>no_play</x:v>
      </x:c>
      <x:c r="M2544" t="n">
        <x:v>0</x:v>
      </x:c>
      <x:c r="N2544" t="n">
        <x:v>1</x:v>
      </x:c>
      <x:c r="O2544" t="n">
        <x:v>0</x:v>
      </x:c>
      <x:c r="P2544"/>
      <x:c r="Q2544"/>
      <x:c r="R2544"/>
      <x:c r="S2544"/>
      <x:c r="T2544"/>
      <x:c r="U2544"/>
      <x:c r="V2544" t="n">
        <x:v>0</x:v>
      </x:c>
      <x:c r="W2544" t="n">
        <x:v>1</x:v>
      </x:c>
      <x:c r="X2544" t="n">
        <x:v>0</x:v>
      </x:c>
      <x:c r="Y2544" t="n">
        <x:v>0</x:v>
      </x:c>
      <x:c r="Z2544" t="n">
        <x:v>0</x:v>
      </x:c>
      <x:c r="AA2544" t="n">
        <x:v>1</x:v>
      </x:c>
      <x:c r="AB2544" t="n">
        <x:v>5</x:v>
      </x:c>
      <x:c r="AC2544" t="n">
        <x:v>0</x:v>
      </x:c>
      <x:c r="AD2544" t="n">
        <x:v>0.4648563748341985</x:v>
      </x:c>
      <x:c r="AE2544" t="n">
        <x:v>1</x:v>
      </x:c>
      <x:c r="AF2544" t="n">
        <x:v>0.006231546401977539</x:v>
      </x:c>
      <x:c r="AG2544" t="n">
        <x:f>_xlfn.XLOOKUP($A2544,Games!$A$2:$A$18,Games!$B$2:$B$18,"Missing game",0)</x:f>
        <x:v>2025</x:v>
      </x:c>
      <x:c r="AH2544" t="str">
        <x:f>_xlfn.XLOOKUP($A2544,Games!$A$2:$A$18,Games!$C$2:$C$18,"Missing game",0)</x:f>
        <x:v>REG</x:v>
      </x:c>
      <x:c r="AI2544" t="n">
        <x:f>_xlfn.XLOOKUP($A2544,Games!$A$2:$A$18,Games!$D$2:$D$18,"Missing game",0)</x:f>
        <x:v>17</x:v>
      </x:c>
      <x:c r="AJ2544" s="1" t="n">
        <x:f>_xlfn.XLOOKUP($A2544,Games!$A$2:$A$18,Games!$E$2:$E$18,"Missing game",0)</x:f>
        <x:v>46016</x:v>
      </x:c>
      <x:c r="AK2544" t="str">
        <x:f>_xlfn.XLOOKUP($A2544,Games!$A$2:$A$18,Games!$F$2:$F$18,"Missing game",0)</x:f>
        <x:v>Thursday</x:v>
      </x:c>
      <x:c r="AL2544" t="str">
        <x:f>_xlfn.XLOOKUP($A2544,Games!$A$2:$A$18,Games!$G$2:$G$18,"Missing game",0)</x:f>
        <x:v>DET</x:v>
      </x:c>
      <x:c r="AM2544" t="n">
        <x:f>_xlfn.XLOOKUP($A2544,Games!$A$2:$A$18,Games!$H$2:$H$18,"Missing game",0)</x:f>
        <x:v>10</x:v>
      </x:c>
      <x:c r="AN2544" t="str">
        <x:f>_xlfn.XLOOKUP($A2544,Games!$A$2:$A$18,Games!$I$2:$I$18,"Missing game",0)</x:f>
        <x:v>MIN</x:v>
      </x:c>
      <x:c r="AO2544" t="n">
        <x:f>_xlfn.XLOOKUP($A2544,Games!$A$2:$A$18,Games!$J$2:$J$18,"Missing game",0)</x:f>
        <x:v>23</x:v>
      </x:c>
      <x:c r="AP2544" t="n">
        <x:f>_xlfn.XLOOKUP($A2544,Games!$A$2:$A$18,Games!$K$2:$K$18,"Missing game",0)</x:f>
        <x:v>13</x:v>
      </x:c>
      <x:c r="AQ2544" t="n">
        <x:f>_xlfn.XLOOKUP($A2544,Games!$A$2:$A$18,Games!$L$2:$L$18,"Missing game",0)</x:f>
        <x:v>33</x:v>
      </x:c>
      <x:c r="AR2544" t="n">
        <x:f>_xlfn.XLOOKUP($A2544,Games!$A$2:$A$18,Games!$M$2:$M$18,"Missing game",0)</x:f>
        <x:v>0</x:v>
      </x:c>
      <x:c r="AS2544" t="str">
        <x:f>_xlfn.XLOOKUP($A2544,Games!$A$2:$A$18,Games!$N$2:$N$18,"Missing game",0)</x:f>
        <x:v>dome</x:v>
      </x:c>
      <x:c r="AT2544" t="str">
        <x:f>_xlfn.XLOOKUP($A2544,Games!$A$2:$A$18,Games!$O$2:$O$18,"Missing game",0)</x:f>
        <x:v>sportturf</x:v>
      </x:c>
      <x:c r="AU2544" t="str">
        <x:f>_xlfn.XLOOKUP($A2544,Games!$A$2:$A$18,Games!$P$2:$P$18,"Missing game",0)</x:f>
      </x:c>
      <x:c r="AV2544" t="str">
        <x:f>_xlfn.XLOOKUP($A2544,Games!$A$2:$A$18,Games!$Q$2:$Q$18,"Missing game",0)</x:f>
      </x:c>
      <x:c r="AW2544" t="str">
        <x:f>_xlfn.XLOOKUP($A2544,Games!$A$2:$A$18,Games!$R$2:$R$18,"Missing game",0)</x:f>
        <x:v>U.S. Bank Stadium</x:v>
      </x:c>
    </x:row>
    <x:row r="2545">
      <x:c r="A2545" t="str">
        <x:v>2025_17_DET_MIN</x:v>
      </x:c>
      <x:c r="B2545" t="n">
        <x:v>1720</x:v>
      </x:c>
      <x:c r="C2545" t="n">
        <x:v>2</x:v>
      </x:c>
      <x:c r="D2545" t="str">
        <x:v>00:59</x:v>
      </x:c>
      <x:c r="E2545" t="n">
        <x:v>1</x:v>
      </x:c>
      <x:c r="F2545" t="n">
        <x:v>10</x:v>
      </x:c>
      <x:c r="G2545" t="str">
        <x:v>MIN</x:v>
      </x:c>
      <x:c r="H2545" t="str">
        <x:v>DET</x:v>
      </x:c>
      <x:c r="I2545" t="str">
        <x:v>MIN</x:v>
      </x:c>
      <x:c r="J2545" t="n">
        <x:v>60</x:v>
      </x:c>
      <x:c r="K2545" t="str">
        <x:v>(:59) (Shotgun) 12-M.Brosmer pass short right to 33-A.Jones to MIN 44 for 4 yards (21-A.Robertson).</x:v>
      </x:c>
      <x:c r="L2545" t="str">
        <x:v>pass</x:v>
      </x:c>
      <x:c r="M2545" t="n">
        <x:v>4</x:v>
      </x:c>
      <x:c r="N2545" t="n">
        <x:v>1</x:v>
      </x:c>
      <x:c r="O2545" t="n">
        <x:v>0</x:v>
      </x:c>
      <x:c r="P2545" t="str">
        <x:v>short</x:v>
      </x:c>
      <x:c r="Q2545" t="str">
        <x:v>right</x:v>
      </x:c>
      <x:c r="R2545" t="n">
        <x:v>2</x:v>
      </x:c>
      <x:c r="S2545" t="n">
        <x:v>2</x:v>
      </x:c>
      <x:c r="T2545"/>
      <x:c r="U2545"/>
      <x:c r="V2545" t="n">
        <x:v>1</x:v>
      </x:c>
      <x:c r="W2545" t="n">
        <x:v>0</x:v>
      </x:c>
      <x:c r="X2545" t="n">
        <x:v>0</x:v>
      </x:c>
      <x:c r="Y2545" t="n">
        <x:v>0</x:v>
      </x:c>
      <x:c r="Z2545" t="n">
        <x:v>0</x:v>
      </x:c>
      <x:c r="AA2545" t="n">
        <x:v>0</x:v>
      </x:c>
      <x:c r="AB2545"/>
      <x:c r="AC2545" t="n">
        <x:v>0</x:v>
      </x:c>
      <x:c r="AD2545" t="n">
        <x:v>-0.3325484389788471</x:v>
      </x:c>
      <x:c r="AE2545" t="n">
        <x:v>0</x:v>
      </x:c>
      <x:c r="AF2545" t="n">
        <x:v>-0.0025606155395507812</x:v>
      </x:c>
      <x:c r="AG2545" t="n">
        <x:f>_xlfn.XLOOKUP($A2545,Games!$A$2:$A$18,Games!$B$2:$B$18,"Missing game",0)</x:f>
        <x:v>2025</x:v>
      </x:c>
      <x:c r="AH2545" t="str">
        <x:f>_xlfn.XLOOKUP($A2545,Games!$A$2:$A$18,Games!$C$2:$C$18,"Missing game",0)</x:f>
        <x:v>REG</x:v>
      </x:c>
      <x:c r="AI2545" t="n">
        <x:f>_xlfn.XLOOKUP($A2545,Games!$A$2:$A$18,Games!$D$2:$D$18,"Missing game",0)</x:f>
        <x:v>17</x:v>
      </x:c>
      <x:c r="AJ2545" s="1" t="n">
        <x:f>_xlfn.XLOOKUP($A2545,Games!$A$2:$A$18,Games!$E$2:$E$18,"Missing game",0)</x:f>
        <x:v>46016</x:v>
      </x:c>
      <x:c r="AK2545" t="str">
        <x:f>_xlfn.XLOOKUP($A2545,Games!$A$2:$A$18,Games!$F$2:$F$18,"Missing game",0)</x:f>
        <x:v>Thursday</x:v>
      </x:c>
      <x:c r="AL2545" t="str">
        <x:f>_xlfn.XLOOKUP($A2545,Games!$A$2:$A$18,Games!$G$2:$G$18,"Missing game",0)</x:f>
        <x:v>DET</x:v>
      </x:c>
      <x:c r="AM2545" t="n">
        <x:f>_xlfn.XLOOKUP($A2545,Games!$A$2:$A$18,Games!$H$2:$H$18,"Missing game",0)</x:f>
        <x:v>10</x:v>
      </x:c>
      <x:c r="AN2545" t="str">
        <x:f>_xlfn.XLOOKUP($A2545,Games!$A$2:$A$18,Games!$I$2:$I$18,"Missing game",0)</x:f>
        <x:v>MIN</x:v>
      </x:c>
      <x:c r="AO2545" t="n">
        <x:f>_xlfn.XLOOKUP($A2545,Games!$A$2:$A$18,Games!$J$2:$J$18,"Missing game",0)</x:f>
        <x:v>23</x:v>
      </x:c>
      <x:c r="AP2545" t="n">
        <x:f>_xlfn.XLOOKUP($A2545,Games!$A$2:$A$18,Games!$K$2:$K$18,"Missing game",0)</x:f>
        <x:v>13</x:v>
      </x:c>
      <x:c r="AQ2545" t="n">
        <x:f>_xlfn.XLOOKUP($A2545,Games!$A$2:$A$18,Games!$L$2:$L$18,"Missing game",0)</x:f>
        <x:v>33</x:v>
      </x:c>
      <x:c r="AR2545" t="n">
        <x:f>_xlfn.XLOOKUP($A2545,Games!$A$2:$A$18,Games!$M$2:$M$18,"Missing game",0)</x:f>
        <x:v>0</x:v>
      </x:c>
      <x:c r="AS2545" t="str">
        <x:f>_xlfn.XLOOKUP($A2545,Games!$A$2:$A$18,Games!$N$2:$N$18,"Missing game",0)</x:f>
        <x:v>dome</x:v>
      </x:c>
      <x:c r="AT2545" t="str">
        <x:f>_xlfn.XLOOKUP($A2545,Games!$A$2:$A$18,Games!$O$2:$O$18,"Missing game",0)</x:f>
        <x:v>sportturf</x:v>
      </x:c>
      <x:c r="AU2545" t="str">
        <x:f>_xlfn.XLOOKUP($A2545,Games!$A$2:$A$18,Games!$P$2:$P$18,"Missing game",0)</x:f>
      </x:c>
      <x:c r="AV2545" t="str">
        <x:f>_xlfn.XLOOKUP($A2545,Games!$A$2:$A$18,Games!$Q$2:$Q$18,"Missing game",0)</x:f>
      </x:c>
      <x:c r="AW2545" t="str">
        <x:f>_xlfn.XLOOKUP($A2545,Games!$A$2:$A$18,Games!$R$2:$R$18,"Missing game",0)</x:f>
        <x:v>U.S. Bank Stadium</x:v>
      </x:c>
    </x:row>
    <x:row r="2546">
      <x:c r="A2546" t="str">
        <x:v>2025_17_DET_MIN</x:v>
      </x:c>
      <x:c r="B2546" t="n">
        <x:v>1745</x:v>
      </x:c>
      <x:c r="C2546" t="n">
        <x:v>2</x:v>
      </x:c>
      <x:c r="D2546" t="str">
        <x:v>00:39</x:v>
      </x:c>
      <x:c r="E2546" t="n">
        <x:v>2</x:v>
      </x:c>
      <x:c r="F2546" t="n">
        <x:v>6</x:v>
      </x:c>
      <x:c r="G2546" t="str">
        <x:v>MIN</x:v>
      </x:c>
      <x:c r="H2546" t="str">
        <x:v>DET</x:v>
      </x:c>
      <x:c r="I2546" t="str">
        <x:v>MIN</x:v>
      </x:c>
      <x:c r="J2546" t="n">
        <x:v>56</x:v>
      </x:c>
      <x:c r="K2546" t="str">
        <x:v>(:39) (No Huddle, Shotgun) 12-M.Brosmer sacked at MIN 34 for -10 yards (96-A.Muhammad).</x:v>
      </x:c>
      <x:c r="L2546" t="str">
        <x:v>pass</x:v>
      </x:c>
      <x:c r="M2546" t="n">
        <x:v>-10</x:v>
      </x:c>
      <x:c r="N2546" t="n">
        <x:v>1</x:v>
      </x:c>
      <x:c r="O2546" t="n">
        <x:v>1</x:v>
      </x:c>
      <x:c r="P2546"/>
      <x:c r="Q2546"/>
      <x:c r="R2546"/>
      <x:c r="S2546"/>
      <x:c r="T2546"/>
      <x:c r="U2546"/>
      <x:c r="V2546" t="n">
        <x:v>0</x:v>
      </x:c>
      <x:c r="W2546" t="n">
        <x:v>0</x:v>
      </x:c>
      <x:c r="X2546" t="n">
        <x:v>1</x:v>
      </x:c>
      <x:c r="Y2546" t="n">
        <x:v>0</x:v>
      </x:c>
      <x:c r="Z2546" t="n">
        <x:v>0</x:v>
      </x:c>
      <x:c r="AA2546" t="n">
        <x:v>0</x:v>
      </x:c>
      <x:c r="AB2546"/>
      <x:c r="AC2546" t="n">
        <x:v>0</x:v>
      </x:c>
      <x:c r="AD2546" t="n">
        <x:v>-1.0576239164802246</x:v>
      </x:c>
      <x:c r="AE2546" t="n">
        <x:v>0</x:v>
      </x:c>
      <x:c r="AF2546" t="n">
        <x:v>-0.0901620090007782</x:v>
      </x:c>
      <x:c r="AG2546" t="n">
        <x:f>_xlfn.XLOOKUP($A2546,Games!$A$2:$A$18,Games!$B$2:$B$18,"Missing game",0)</x:f>
        <x:v>2025</x:v>
      </x:c>
      <x:c r="AH2546" t="str">
        <x:f>_xlfn.XLOOKUP($A2546,Games!$A$2:$A$18,Games!$C$2:$C$18,"Missing game",0)</x:f>
        <x:v>REG</x:v>
      </x:c>
      <x:c r="AI2546" t="n">
        <x:f>_xlfn.XLOOKUP($A2546,Games!$A$2:$A$18,Games!$D$2:$D$18,"Missing game",0)</x:f>
        <x:v>17</x:v>
      </x:c>
      <x:c r="AJ2546" s="1" t="n">
        <x:f>_xlfn.XLOOKUP($A2546,Games!$A$2:$A$18,Games!$E$2:$E$18,"Missing game",0)</x:f>
        <x:v>46016</x:v>
      </x:c>
      <x:c r="AK2546" t="str">
        <x:f>_xlfn.XLOOKUP($A2546,Games!$A$2:$A$18,Games!$F$2:$F$18,"Missing game",0)</x:f>
        <x:v>Thursday</x:v>
      </x:c>
      <x:c r="AL2546" t="str">
        <x:f>_xlfn.XLOOKUP($A2546,Games!$A$2:$A$18,Games!$G$2:$G$18,"Missing game",0)</x:f>
        <x:v>DET</x:v>
      </x:c>
      <x:c r="AM2546" t="n">
        <x:f>_xlfn.XLOOKUP($A2546,Games!$A$2:$A$18,Games!$H$2:$H$18,"Missing game",0)</x:f>
        <x:v>10</x:v>
      </x:c>
      <x:c r="AN2546" t="str">
        <x:f>_xlfn.XLOOKUP($A2546,Games!$A$2:$A$18,Games!$I$2:$I$18,"Missing game",0)</x:f>
        <x:v>MIN</x:v>
      </x:c>
      <x:c r="AO2546" t="n">
        <x:f>_xlfn.XLOOKUP($A2546,Games!$A$2:$A$18,Games!$J$2:$J$18,"Missing game",0)</x:f>
        <x:v>23</x:v>
      </x:c>
      <x:c r="AP2546" t="n">
        <x:f>_xlfn.XLOOKUP($A2546,Games!$A$2:$A$18,Games!$K$2:$K$18,"Missing game",0)</x:f>
        <x:v>13</x:v>
      </x:c>
      <x:c r="AQ2546" t="n">
        <x:f>_xlfn.XLOOKUP($A2546,Games!$A$2:$A$18,Games!$L$2:$L$18,"Missing game",0)</x:f>
        <x:v>33</x:v>
      </x:c>
      <x:c r="AR2546" t="n">
        <x:f>_xlfn.XLOOKUP($A2546,Games!$A$2:$A$18,Games!$M$2:$M$18,"Missing game",0)</x:f>
        <x:v>0</x:v>
      </x:c>
      <x:c r="AS2546" t="str">
        <x:f>_xlfn.XLOOKUP($A2546,Games!$A$2:$A$18,Games!$N$2:$N$18,"Missing game",0)</x:f>
        <x:v>dome</x:v>
      </x:c>
      <x:c r="AT2546" t="str">
        <x:f>_xlfn.XLOOKUP($A2546,Games!$A$2:$A$18,Games!$O$2:$O$18,"Missing game",0)</x:f>
        <x:v>sportturf</x:v>
      </x:c>
      <x:c r="AU2546" t="str">
        <x:f>_xlfn.XLOOKUP($A2546,Games!$A$2:$A$18,Games!$P$2:$P$18,"Missing game",0)</x:f>
      </x:c>
      <x:c r="AV2546" t="str">
        <x:f>_xlfn.XLOOKUP($A2546,Games!$A$2:$A$18,Games!$Q$2:$Q$18,"Missing game",0)</x:f>
      </x:c>
      <x:c r="AW2546" t="str">
        <x:f>_xlfn.XLOOKUP($A2546,Games!$A$2:$A$18,Games!$R$2:$R$18,"Missing game",0)</x:f>
        <x:v>U.S. Bank Stadium</x:v>
      </x:c>
    </x:row>
    <x:row r="2547">
      <x:c r="A2547" t="str">
        <x:v>2025_17_DET_MIN</x:v>
      </x:c>
      <x:c r="B2547" t="n">
        <x:v>1765</x:v>
      </x:c>
      <x:c r="C2547" t="n">
        <x:v>2</x:v>
      </x:c>
      <x:c r="D2547" t="str">
        <x:v>00:35</x:v>
      </x:c>
      <x:c r="E2547" t="n">
        <x:v>3</x:v>
      </x:c>
      <x:c r="F2547" t="n">
        <x:v>16</x:v>
      </x:c>
      <x:c r="G2547" t="str">
        <x:v>MIN</x:v>
      </x:c>
      <x:c r="H2547" t="str">
        <x:v>DET</x:v>
      </x:c>
      <x:c r="I2547" t="str">
        <x:v>MIN</x:v>
      </x:c>
      <x:c r="J2547" t="n">
        <x:v>66</x:v>
      </x:c>
      <x:c r="K2547" t="str">
        <x:v>(:35) (Shotgun) 12-M.Brosmer pass short middle to 33-A.Jones to MIN 44 for 10 yards (46-J.Campbell). MIN-33-A.Jones was injured during the play.</x:v>
      </x:c>
      <x:c r="L2547" t="str">
        <x:v>pass</x:v>
      </x:c>
      <x:c r="M2547" t="n">
        <x:v>10</x:v>
      </x:c>
      <x:c r="N2547" t="n">
        <x:v>1</x:v>
      </x:c>
      <x:c r="O2547" t="n">
        <x:v>0</x:v>
      </x:c>
      <x:c r="P2547" t="str">
        <x:v>short</x:v>
      </x:c>
      <x:c r="Q2547" t="str">
        <x:v>middle</x:v>
      </x:c>
      <x:c r="R2547" t="n">
        <x:v>3</x:v>
      </x:c>
      <x:c r="S2547" t="n">
        <x:v>7</x:v>
      </x:c>
      <x:c r="T2547"/>
      <x:c r="U2547"/>
      <x:c r="V2547" t="n">
        <x:v>1</x:v>
      </x:c>
      <x:c r="W2547" t="n">
        <x:v>0</x:v>
      </x:c>
      <x:c r="X2547" t="n">
        <x:v>0</x:v>
      </x:c>
      <x:c r="Y2547" t="n">
        <x:v>0</x:v>
      </x:c>
      <x:c r="Z2547" t="n">
        <x:v>0</x:v>
      </x:c>
      <x:c r="AA2547" t="n">
        <x:v>0</x:v>
      </x:c>
      <x:c r="AB2547"/>
      <x:c r="AC2547" t="n">
        <x:v>0</x:v>
      </x:c>
      <x:c r="AD2547" t="n">
        <x:v>-0.1423731746035628</x:v>
      </x:c>
      <x:c r="AE2547" t="n">
        <x:v>0</x:v>
      </x:c>
      <x:c r="AF2547" t="n">
        <x:v>0.0005951523780822754</x:v>
      </x:c>
      <x:c r="AG2547" t="n">
        <x:f>_xlfn.XLOOKUP($A2547,Games!$A$2:$A$18,Games!$B$2:$B$18,"Missing game",0)</x:f>
        <x:v>2025</x:v>
      </x:c>
      <x:c r="AH2547" t="str">
        <x:f>_xlfn.XLOOKUP($A2547,Games!$A$2:$A$18,Games!$C$2:$C$18,"Missing game",0)</x:f>
        <x:v>REG</x:v>
      </x:c>
      <x:c r="AI2547" t="n">
        <x:f>_xlfn.XLOOKUP($A2547,Games!$A$2:$A$18,Games!$D$2:$D$18,"Missing game",0)</x:f>
        <x:v>17</x:v>
      </x:c>
      <x:c r="AJ2547" s="1" t="n">
        <x:f>_xlfn.XLOOKUP($A2547,Games!$A$2:$A$18,Games!$E$2:$E$18,"Missing game",0)</x:f>
        <x:v>46016</x:v>
      </x:c>
      <x:c r="AK2547" t="str">
        <x:f>_xlfn.XLOOKUP($A2547,Games!$A$2:$A$18,Games!$F$2:$F$18,"Missing game",0)</x:f>
        <x:v>Thursday</x:v>
      </x:c>
      <x:c r="AL2547" t="str">
        <x:f>_xlfn.XLOOKUP($A2547,Games!$A$2:$A$18,Games!$G$2:$G$18,"Missing game",0)</x:f>
        <x:v>DET</x:v>
      </x:c>
      <x:c r="AM2547" t="n">
        <x:f>_xlfn.XLOOKUP($A2547,Games!$A$2:$A$18,Games!$H$2:$H$18,"Missing game",0)</x:f>
        <x:v>10</x:v>
      </x:c>
      <x:c r="AN2547" t="str">
        <x:f>_xlfn.XLOOKUP($A2547,Games!$A$2:$A$18,Games!$I$2:$I$18,"Missing game",0)</x:f>
        <x:v>MIN</x:v>
      </x:c>
      <x:c r="AO2547" t="n">
        <x:f>_xlfn.XLOOKUP($A2547,Games!$A$2:$A$18,Games!$J$2:$J$18,"Missing game",0)</x:f>
        <x:v>23</x:v>
      </x:c>
      <x:c r="AP2547" t="n">
        <x:f>_xlfn.XLOOKUP($A2547,Games!$A$2:$A$18,Games!$K$2:$K$18,"Missing game",0)</x:f>
        <x:v>13</x:v>
      </x:c>
      <x:c r="AQ2547" t="n">
        <x:f>_xlfn.XLOOKUP($A2547,Games!$A$2:$A$18,Games!$L$2:$L$18,"Missing game",0)</x:f>
        <x:v>33</x:v>
      </x:c>
      <x:c r="AR2547" t="n">
        <x:f>_xlfn.XLOOKUP($A2547,Games!$A$2:$A$18,Games!$M$2:$M$18,"Missing game",0)</x:f>
        <x:v>0</x:v>
      </x:c>
      <x:c r="AS2547" t="str">
        <x:f>_xlfn.XLOOKUP($A2547,Games!$A$2:$A$18,Games!$N$2:$N$18,"Missing game",0)</x:f>
        <x:v>dome</x:v>
      </x:c>
      <x:c r="AT2547" t="str">
        <x:f>_xlfn.XLOOKUP($A2547,Games!$A$2:$A$18,Games!$O$2:$O$18,"Missing game",0)</x:f>
        <x:v>sportturf</x:v>
      </x:c>
      <x:c r="AU2547" t="str">
        <x:f>_xlfn.XLOOKUP($A2547,Games!$A$2:$A$18,Games!$P$2:$P$18,"Missing game",0)</x:f>
      </x:c>
      <x:c r="AV2547" t="str">
        <x:f>_xlfn.XLOOKUP($A2547,Games!$A$2:$A$18,Games!$Q$2:$Q$18,"Missing game",0)</x:f>
      </x:c>
      <x:c r="AW2547" t="str">
        <x:f>_xlfn.XLOOKUP($A2547,Games!$A$2:$A$18,Games!$R$2:$R$18,"Missing game",0)</x:f>
        <x:v>U.S. Bank Stadium</x:v>
      </x:c>
    </x:row>
    <x:row r="2548">
      <x:c r="A2548" t="str">
        <x:v>2025_17_DET_MIN</x:v>
      </x:c>
      <x:c r="B2548" t="n">
        <x:v>1777</x:v>
      </x:c>
      <x:c r="C2548" t="n">
        <x:v>2</x:v>
      </x:c>
      <x:c r="D2548" t="str">
        <x:v>00:35</x:v>
      </x:c>
      <x:c r="E2548"/>
      <x:c r="F2548" t="n">
        <x:v>0</x:v>
      </x:c>
      <x:c r="G2548"/>
      <x:c r="H2548"/>
      <x:c r="I2548"/>
      <x:c r="J2548"/>
      <x:c r="K2548" t="str">
        <x:v>Timeout #3 by MIN at 00:35.</x:v>
      </x:c>
      <x:c r="L2548" t="str">
        <x:v>no_play</x:v>
      </x:c>
      <x:c r="M2548" t="n">
        <x:v>0</x:v>
      </x:c>
      <x:c r="N2548" t="n">
        <x:v>0</x:v>
      </x:c>
      <x:c r="O2548" t="n">
        <x:v>0</x:v>
      </x:c>
      <x:c r="P2548"/>
      <x:c r="Q2548"/>
      <x:c r="R2548"/>
      <x:c r="S2548"/>
      <x:c r="T2548"/>
      <x:c r="U2548"/>
      <x:c r="V2548" t="n">
        <x:v>0</x:v>
      </x:c>
      <x:c r="W2548" t="n">
        <x:v>0</x:v>
      </x:c>
      <x:c r="X2548" t="n">
        <x:v>0</x:v>
      </x:c>
      <x:c r="Y2548" t="n">
        <x:v>0</x:v>
      </x:c>
      <x:c r="Z2548" t="n">
        <x:v>0</x:v>
      </x:c>
      <x:c r="AA2548" t="n">
        <x:v>0</x:v>
      </x:c>
      <x:c r="AB2548"/>
      <x:c r="AC2548" t="n">
        <x:v>0</x:v>
      </x:c>
      <x:c r="AD2548" t="n">
        <x:v>0</x:v>
      </x:c>
      <x:c r="AE2548" t="n">
        <x:v>0</x:v>
      </x:c>
      <x:c r="AF2548" t="n">
        <x:v>0</x:v>
      </x:c>
      <x:c r="AG2548" t="n">
        <x:f>_xlfn.XLOOKUP($A2548,Games!$A$2:$A$18,Games!$B$2:$B$18,"Missing game",0)</x:f>
        <x:v>2025</x:v>
      </x:c>
      <x:c r="AH2548" t="str">
        <x:f>_xlfn.XLOOKUP($A2548,Games!$A$2:$A$18,Games!$C$2:$C$18,"Missing game",0)</x:f>
        <x:v>REG</x:v>
      </x:c>
      <x:c r="AI2548" t="n">
        <x:f>_xlfn.XLOOKUP($A2548,Games!$A$2:$A$18,Games!$D$2:$D$18,"Missing game",0)</x:f>
        <x:v>17</x:v>
      </x:c>
      <x:c r="AJ2548" s="1" t="n">
        <x:f>_xlfn.XLOOKUP($A2548,Games!$A$2:$A$18,Games!$E$2:$E$18,"Missing game",0)</x:f>
        <x:v>46016</x:v>
      </x:c>
      <x:c r="AK2548" t="str">
        <x:f>_xlfn.XLOOKUP($A2548,Games!$A$2:$A$18,Games!$F$2:$F$18,"Missing game",0)</x:f>
        <x:v>Thursday</x:v>
      </x:c>
      <x:c r="AL2548" t="str">
        <x:f>_xlfn.XLOOKUP($A2548,Games!$A$2:$A$18,Games!$G$2:$G$18,"Missing game",0)</x:f>
        <x:v>DET</x:v>
      </x:c>
      <x:c r="AM2548" t="n">
        <x:f>_xlfn.XLOOKUP($A2548,Games!$A$2:$A$18,Games!$H$2:$H$18,"Missing game",0)</x:f>
        <x:v>10</x:v>
      </x:c>
      <x:c r="AN2548" t="str">
        <x:f>_xlfn.XLOOKUP($A2548,Games!$A$2:$A$18,Games!$I$2:$I$18,"Missing game",0)</x:f>
        <x:v>MIN</x:v>
      </x:c>
      <x:c r="AO2548" t="n">
        <x:f>_xlfn.XLOOKUP($A2548,Games!$A$2:$A$18,Games!$J$2:$J$18,"Missing game",0)</x:f>
        <x:v>23</x:v>
      </x:c>
      <x:c r="AP2548" t="n">
        <x:f>_xlfn.XLOOKUP($A2548,Games!$A$2:$A$18,Games!$K$2:$K$18,"Missing game",0)</x:f>
        <x:v>13</x:v>
      </x:c>
      <x:c r="AQ2548" t="n">
        <x:f>_xlfn.XLOOKUP($A2548,Games!$A$2:$A$18,Games!$L$2:$L$18,"Missing game",0)</x:f>
        <x:v>33</x:v>
      </x:c>
      <x:c r="AR2548" t="n">
        <x:f>_xlfn.XLOOKUP($A2548,Games!$A$2:$A$18,Games!$M$2:$M$18,"Missing game",0)</x:f>
        <x:v>0</x:v>
      </x:c>
      <x:c r="AS2548" t="str">
        <x:f>_xlfn.XLOOKUP($A2548,Games!$A$2:$A$18,Games!$N$2:$N$18,"Missing game",0)</x:f>
        <x:v>dome</x:v>
      </x:c>
      <x:c r="AT2548" t="str">
        <x:f>_xlfn.XLOOKUP($A2548,Games!$A$2:$A$18,Games!$O$2:$O$18,"Missing game",0)</x:f>
        <x:v>sportturf</x:v>
      </x:c>
      <x:c r="AU2548" t="str">
        <x:f>_xlfn.XLOOKUP($A2548,Games!$A$2:$A$18,Games!$P$2:$P$18,"Missing game",0)</x:f>
      </x:c>
      <x:c r="AV2548" t="str">
        <x:f>_xlfn.XLOOKUP($A2548,Games!$A$2:$A$18,Games!$Q$2:$Q$18,"Missing game",0)</x:f>
      </x:c>
      <x:c r="AW2548" t="str">
        <x:f>_xlfn.XLOOKUP($A2548,Games!$A$2:$A$18,Games!$R$2:$R$18,"Missing game",0)</x:f>
        <x:v>U.S. Bank Stadium</x:v>
      </x:c>
    </x:row>
    <x:row r="2549">
      <x:c r="A2549" t="str">
        <x:v>2025_17_DET_MIN</x:v>
      </x:c>
      <x:c r="B2549" t="n">
        <x:v>1797</x:v>
      </x:c>
      <x:c r="C2549" t="n">
        <x:v>2</x:v>
      </x:c>
      <x:c r="D2549" t="str">
        <x:v>00:26</x:v>
      </x:c>
      <x:c r="E2549" t="n">
        <x:v>4</x:v>
      </x:c>
      <x:c r="F2549" t="n">
        <x:v>6</x:v>
      </x:c>
      <x:c r="G2549" t="str">
        <x:v>MIN</x:v>
      </x:c>
      <x:c r="H2549" t="str">
        <x:v>DET</x:v>
      </x:c>
      <x:c r="I2549" t="str">
        <x:v>MIN</x:v>
      </x:c>
      <x:c r="J2549" t="n">
        <x:v>56</x:v>
      </x:c>
      <x:c r="K2549" t="str">
        <x:v>(:26) 17-R.Wright punts 56 yards to end zone, Center-42-A.DePaola, Touchback.</x:v>
      </x:c>
      <x:c r="L2549" t="str">
        <x:v>punt</x:v>
      </x:c>
      <x:c r="M2549" t="n">
        <x:v>0</x:v>
      </x:c>
      <x:c r="N2549" t="n">
        <x:v>0</x:v>
      </x:c>
      <x:c r="O2549" t="n">
        <x:v>0</x:v>
      </x:c>
      <x:c r="P2549"/>
      <x:c r="Q2549"/>
      <x:c r="R2549"/>
      <x:c r="S2549"/>
      <x:c r="T2549"/>
      <x:c r="U2549"/>
      <x:c r="V2549" t="n">
        <x:v>0</x:v>
      </x:c>
      <x:c r="W2549" t="n">
        <x:v>0</x:v>
      </x:c>
      <x:c r="X2549" t="n">
        <x:v>0</x:v>
      </x:c>
      <x:c r="Y2549" t="n">
        <x:v>0</x:v>
      </x:c>
      <x:c r="Z2549" t="n">
        <x:v>0</x:v>
      </x:c>
      <x:c r="AA2549" t="n">
        <x:v>0</x:v>
      </x:c>
      <x:c r="AB2549"/>
      <x:c r="AC2549" t="n">
        <x:v>0</x:v>
      </x:c>
      <x:c r="AD2549" t="n">
        <x:v>-0.40443780523492023</x:v>
      </x:c>
      <x:c r="AE2549" t="n">
        <x:v>0</x:v>
      </x:c>
      <x:c r="AF2549" t="n">
        <x:v>0.047325968742370605</x:v>
      </x:c>
      <x:c r="AG2549" t="n">
        <x:f>_xlfn.XLOOKUP($A2549,Games!$A$2:$A$18,Games!$B$2:$B$18,"Missing game",0)</x:f>
        <x:v>2025</x:v>
      </x:c>
      <x:c r="AH2549" t="str">
        <x:f>_xlfn.XLOOKUP($A2549,Games!$A$2:$A$18,Games!$C$2:$C$18,"Missing game",0)</x:f>
        <x:v>REG</x:v>
      </x:c>
      <x:c r="AI2549" t="n">
        <x:f>_xlfn.XLOOKUP($A2549,Games!$A$2:$A$18,Games!$D$2:$D$18,"Missing game",0)</x:f>
        <x:v>17</x:v>
      </x:c>
      <x:c r="AJ2549" s="1" t="n">
        <x:f>_xlfn.XLOOKUP($A2549,Games!$A$2:$A$18,Games!$E$2:$E$18,"Missing game",0)</x:f>
        <x:v>46016</x:v>
      </x:c>
      <x:c r="AK2549" t="str">
        <x:f>_xlfn.XLOOKUP($A2549,Games!$A$2:$A$18,Games!$F$2:$F$18,"Missing game",0)</x:f>
        <x:v>Thursday</x:v>
      </x:c>
      <x:c r="AL2549" t="str">
        <x:f>_xlfn.XLOOKUP($A2549,Games!$A$2:$A$18,Games!$G$2:$G$18,"Missing game",0)</x:f>
        <x:v>DET</x:v>
      </x:c>
      <x:c r="AM2549" t="n">
        <x:f>_xlfn.XLOOKUP($A2549,Games!$A$2:$A$18,Games!$H$2:$H$18,"Missing game",0)</x:f>
        <x:v>10</x:v>
      </x:c>
      <x:c r="AN2549" t="str">
        <x:f>_xlfn.XLOOKUP($A2549,Games!$A$2:$A$18,Games!$I$2:$I$18,"Missing game",0)</x:f>
        <x:v>MIN</x:v>
      </x:c>
      <x:c r="AO2549" t="n">
        <x:f>_xlfn.XLOOKUP($A2549,Games!$A$2:$A$18,Games!$J$2:$J$18,"Missing game",0)</x:f>
        <x:v>23</x:v>
      </x:c>
      <x:c r="AP2549" t="n">
        <x:f>_xlfn.XLOOKUP($A2549,Games!$A$2:$A$18,Games!$K$2:$K$18,"Missing game",0)</x:f>
        <x:v>13</x:v>
      </x:c>
      <x:c r="AQ2549" t="n">
        <x:f>_xlfn.XLOOKUP($A2549,Games!$A$2:$A$18,Games!$L$2:$L$18,"Missing game",0)</x:f>
        <x:v>33</x:v>
      </x:c>
      <x:c r="AR2549" t="n">
        <x:f>_xlfn.XLOOKUP($A2549,Games!$A$2:$A$18,Games!$M$2:$M$18,"Missing game",0)</x:f>
        <x:v>0</x:v>
      </x:c>
      <x:c r="AS2549" t="str">
        <x:f>_xlfn.XLOOKUP($A2549,Games!$A$2:$A$18,Games!$N$2:$N$18,"Missing game",0)</x:f>
        <x:v>dome</x:v>
      </x:c>
      <x:c r="AT2549" t="str">
        <x:f>_xlfn.XLOOKUP($A2549,Games!$A$2:$A$18,Games!$O$2:$O$18,"Missing game",0)</x:f>
        <x:v>sportturf</x:v>
      </x:c>
      <x:c r="AU2549" t="str">
        <x:f>_xlfn.XLOOKUP($A2549,Games!$A$2:$A$18,Games!$P$2:$P$18,"Missing game",0)</x:f>
      </x:c>
      <x:c r="AV2549" t="str">
        <x:f>_xlfn.XLOOKUP($A2549,Games!$A$2:$A$18,Games!$Q$2:$Q$18,"Missing game",0)</x:f>
      </x:c>
      <x:c r="AW2549" t="str">
        <x:f>_xlfn.XLOOKUP($A2549,Games!$A$2:$A$18,Games!$R$2:$R$18,"Missing game",0)</x:f>
        <x:v>U.S. Bank Stadium</x:v>
      </x:c>
    </x:row>
    <x:row r="2550">
      <x:c r="A2550" t="str">
        <x:v>2025_17_DET_MIN</x:v>
      </x:c>
      <x:c r="B2550" t="n">
        <x:v>1812</x:v>
      </x:c>
      <x:c r="C2550" t="n">
        <x:v>2</x:v>
      </x:c>
      <x:c r="D2550" t="str">
        <x:v>00:26</x:v>
      </x:c>
      <x:c r="E2550"/>
      <x:c r="F2550" t="n">
        <x:v>0</x:v>
      </x:c>
      <x:c r="G2550"/>
      <x:c r="H2550"/>
      <x:c r="I2550"/>
      <x:c r="J2550"/>
      <x:c r="K2550" t="str">
        <x:v>Timeout #4 by MIN at 00:26.</x:v>
      </x:c>
      <x:c r="L2550" t="str">
        <x:v>no_play</x:v>
      </x:c>
      <x:c r="M2550" t="n">
        <x:v>0</x:v>
      </x:c>
      <x:c r="N2550" t="n">
        <x:v>0</x:v>
      </x:c>
      <x:c r="O2550" t="n">
        <x:v>0</x:v>
      </x:c>
      <x:c r="P2550"/>
      <x:c r="Q2550"/>
      <x:c r="R2550"/>
      <x:c r="S2550"/>
      <x:c r="T2550"/>
      <x:c r="U2550"/>
      <x:c r="V2550" t="n">
        <x:v>0</x:v>
      </x:c>
      <x:c r="W2550" t="n">
        <x:v>0</x:v>
      </x:c>
      <x:c r="X2550" t="n">
        <x:v>0</x:v>
      </x:c>
      <x:c r="Y2550" t="n">
        <x:v>0</x:v>
      </x:c>
      <x:c r="Z2550" t="n">
        <x:v>0</x:v>
      </x:c>
      <x:c r="AA2550" t="n">
        <x:v>0</x:v>
      </x:c>
      <x:c r="AB2550"/>
      <x:c r="AC2550" t="n">
        <x:v>0</x:v>
      </x:c>
      <x:c r="AD2550" t="n">
        <x:v>0</x:v>
      </x:c>
      <x:c r="AE2550" t="n">
        <x:v>0</x:v>
      </x:c>
      <x:c r="AF2550" t="n">
        <x:v>0</x:v>
      </x:c>
      <x:c r="AG2550" t="n">
        <x:f>_xlfn.XLOOKUP($A2550,Games!$A$2:$A$18,Games!$B$2:$B$18,"Missing game",0)</x:f>
        <x:v>2025</x:v>
      </x:c>
      <x:c r="AH2550" t="str">
        <x:f>_xlfn.XLOOKUP($A2550,Games!$A$2:$A$18,Games!$C$2:$C$18,"Missing game",0)</x:f>
        <x:v>REG</x:v>
      </x:c>
      <x:c r="AI2550" t="n">
        <x:f>_xlfn.XLOOKUP($A2550,Games!$A$2:$A$18,Games!$D$2:$D$18,"Missing game",0)</x:f>
        <x:v>17</x:v>
      </x:c>
      <x:c r="AJ2550" s="1" t="n">
        <x:f>_xlfn.XLOOKUP($A2550,Games!$A$2:$A$18,Games!$E$2:$E$18,"Missing game",0)</x:f>
        <x:v>46016</x:v>
      </x:c>
      <x:c r="AK2550" t="str">
        <x:f>_xlfn.XLOOKUP($A2550,Games!$A$2:$A$18,Games!$F$2:$F$18,"Missing game",0)</x:f>
        <x:v>Thursday</x:v>
      </x:c>
      <x:c r="AL2550" t="str">
        <x:f>_xlfn.XLOOKUP($A2550,Games!$A$2:$A$18,Games!$G$2:$G$18,"Missing game",0)</x:f>
        <x:v>DET</x:v>
      </x:c>
      <x:c r="AM2550" t="n">
        <x:f>_xlfn.XLOOKUP($A2550,Games!$A$2:$A$18,Games!$H$2:$H$18,"Missing game",0)</x:f>
        <x:v>10</x:v>
      </x:c>
      <x:c r="AN2550" t="str">
        <x:f>_xlfn.XLOOKUP($A2550,Games!$A$2:$A$18,Games!$I$2:$I$18,"Missing game",0)</x:f>
        <x:v>MIN</x:v>
      </x:c>
      <x:c r="AO2550" t="n">
        <x:f>_xlfn.XLOOKUP($A2550,Games!$A$2:$A$18,Games!$J$2:$J$18,"Missing game",0)</x:f>
        <x:v>23</x:v>
      </x:c>
      <x:c r="AP2550" t="n">
        <x:f>_xlfn.XLOOKUP($A2550,Games!$A$2:$A$18,Games!$K$2:$K$18,"Missing game",0)</x:f>
        <x:v>13</x:v>
      </x:c>
      <x:c r="AQ2550" t="n">
        <x:f>_xlfn.XLOOKUP($A2550,Games!$A$2:$A$18,Games!$L$2:$L$18,"Missing game",0)</x:f>
        <x:v>33</x:v>
      </x:c>
      <x:c r="AR2550" t="n">
        <x:f>_xlfn.XLOOKUP($A2550,Games!$A$2:$A$18,Games!$M$2:$M$18,"Missing game",0)</x:f>
        <x:v>0</x:v>
      </x:c>
      <x:c r="AS2550" t="str">
        <x:f>_xlfn.XLOOKUP($A2550,Games!$A$2:$A$18,Games!$N$2:$N$18,"Missing game",0)</x:f>
        <x:v>dome</x:v>
      </x:c>
      <x:c r="AT2550" t="str">
        <x:f>_xlfn.XLOOKUP($A2550,Games!$A$2:$A$18,Games!$O$2:$O$18,"Missing game",0)</x:f>
        <x:v>sportturf</x:v>
      </x:c>
      <x:c r="AU2550" t="str">
        <x:f>_xlfn.XLOOKUP($A2550,Games!$A$2:$A$18,Games!$P$2:$P$18,"Missing game",0)</x:f>
      </x:c>
      <x:c r="AV2550" t="str">
        <x:f>_xlfn.XLOOKUP($A2550,Games!$A$2:$A$18,Games!$Q$2:$Q$18,"Missing game",0)</x:f>
      </x:c>
      <x:c r="AW2550" t="str">
        <x:f>_xlfn.XLOOKUP($A2550,Games!$A$2:$A$18,Games!$R$2:$R$18,"Missing game",0)</x:f>
        <x:v>U.S. Bank Stadium</x:v>
      </x:c>
    </x:row>
    <x:row r="2551">
      <x:c r="A2551" t="str">
        <x:v>2025_17_DET_MIN</x:v>
      </x:c>
      <x:c r="B2551" t="n">
        <x:v>1825</x:v>
      </x:c>
      <x:c r="C2551" t="n">
        <x:v>2</x:v>
      </x:c>
      <x:c r="D2551" t="str">
        <x:v>00:18</x:v>
      </x:c>
      <x:c r="E2551" t="n">
        <x:v>1</x:v>
      </x:c>
      <x:c r="F2551" t="n">
        <x:v>10</x:v>
      </x:c>
      <x:c r="G2551" t="str">
        <x:v>DET</x:v>
      </x:c>
      <x:c r="H2551" t="str">
        <x:v>MIN</x:v>
      </x:c>
      <x:c r="I2551" t="str">
        <x:v>DET</x:v>
      </x:c>
      <x:c r="J2551" t="n">
        <x:v>80</x:v>
      </x:c>
      <x:c r="K2551" t="str">
        <x:v>(:18) (Shotgun) 16-J.Goff sacked at DET 15 for -5 yards (51-B.Cashman).</x:v>
      </x:c>
      <x:c r="L2551" t="str">
        <x:v>pass</x:v>
      </x:c>
      <x:c r="M2551" t="n">
        <x:v>-5</x:v>
      </x:c>
      <x:c r="N2551" t="n">
        <x:v>1</x:v>
      </x:c>
      <x:c r="O2551" t="n">
        <x:v>0</x:v>
      </x:c>
      <x:c r="P2551"/>
      <x:c r="Q2551"/>
      <x:c r="R2551"/>
      <x:c r="S2551"/>
      <x:c r="T2551"/>
      <x:c r="U2551"/>
      <x:c r="V2551" t="n">
        <x:v>0</x:v>
      </x:c>
      <x:c r="W2551" t="n">
        <x:v>0</x:v>
      </x:c>
      <x:c r="X2551" t="n">
        <x:v>1</x:v>
      </x:c>
      <x:c r="Y2551" t="n">
        <x:v>0</x:v>
      </x:c>
      <x:c r="Z2551" t="n">
        <x:v>0</x:v>
      </x:c>
      <x:c r="AA2551" t="n">
        <x:v>0</x:v>
      </x:c>
      <x:c r="AB2551"/>
      <x:c r="AC2551" t="n">
        <x:v>0</x:v>
      </x:c>
      <x:c r="AD2551" t="n">
        <x:v>-0.18903349718311802</x:v>
      </x:c>
      <x:c r="AE2551" t="n">
        <x:v>0</x:v>
      </x:c>
      <x:c r="AF2551" t="n">
        <x:v>-0.021774739027023315</x:v>
      </x:c>
      <x:c r="AG2551" t="n">
        <x:f>_xlfn.XLOOKUP($A2551,Games!$A$2:$A$18,Games!$B$2:$B$18,"Missing game",0)</x:f>
        <x:v>2025</x:v>
      </x:c>
      <x:c r="AH2551" t="str">
        <x:f>_xlfn.XLOOKUP($A2551,Games!$A$2:$A$18,Games!$C$2:$C$18,"Missing game",0)</x:f>
        <x:v>REG</x:v>
      </x:c>
      <x:c r="AI2551" t="n">
        <x:f>_xlfn.XLOOKUP($A2551,Games!$A$2:$A$18,Games!$D$2:$D$18,"Missing game",0)</x:f>
        <x:v>17</x:v>
      </x:c>
      <x:c r="AJ2551" s="1" t="n">
        <x:f>_xlfn.XLOOKUP($A2551,Games!$A$2:$A$18,Games!$E$2:$E$18,"Missing game",0)</x:f>
        <x:v>46016</x:v>
      </x:c>
      <x:c r="AK2551" t="str">
        <x:f>_xlfn.XLOOKUP($A2551,Games!$A$2:$A$18,Games!$F$2:$F$18,"Missing game",0)</x:f>
        <x:v>Thursday</x:v>
      </x:c>
      <x:c r="AL2551" t="str">
        <x:f>_xlfn.XLOOKUP($A2551,Games!$A$2:$A$18,Games!$G$2:$G$18,"Missing game",0)</x:f>
        <x:v>DET</x:v>
      </x:c>
      <x:c r="AM2551" t="n">
        <x:f>_xlfn.XLOOKUP($A2551,Games!$A$2:$A$18,Games!$H$2:$H$18,"Missing game",0)</x:f>
        <x:v>10</x:v>
      </x:c>
      <x:c r="AN2551" t="str">
        <x:f>_xlfn.XLOOKUP($A2551,Games!$A$2:$A$18,Games!$I$2:$I$18,"Missing game",0)</x:f>
        <x:v>MIN</x:v>
      </x:c>
      <x:c r="AO2551" t="n">
        <x:f>_xlfn.XLOOKUP($A2551,Games!$A$2:$A$18,Games!$J$2:$J$18,"Missing game",0)</x:f>
        <x:v>23</x:v>
      </x:c>
      <x:c r="AP2551" t="n">
        <x:f>_xlfn.XLOOKUP($A2551,Games!$A$2:$A$18,Games!$K$2:$K$18,"Missing game",0)</x:f>
        <x:v>13</x:v>
      </x:c>
      <x:c r="AQ2551" t="n">
        <x:f>_xlfn.XLOOKUP($A2551,Games!$A$2:$A$18,Games!$L$2:$L$18,"Missing game",0)</x:f>
        <x:v>33</x:v>
      </x:c>
      <x:c r="AR2551" t="n">
        <x:f>_xlfn.XLOOKUP($A2551,Games!$A$2:$A$18,Games!$M$2:$M$18,"Missing game",0)</x:f>
        <x:v>0</x:v>
      </x:c>
      <x:c r="AS2551" t="str">
        <x:f>_xlfn.XLOOKUP($A2551,Games!$A$2:$A$18,Games!$N$2:$N$18,"Missing game",0)</x:f>
        <x:v>dome</x:v>
      </x:c>
      <x:c r="AT2551" t="str">
        <x:f>_xlfn.XLOOKUP($A2551,Games!$A$2:$A$18,Games!$O$2:$O$18,"Missing game",0)</x:f>
        <x:v>sportturf</x:v>
      </x:c>
      <x:c r="AU2551" t="str">
        <x:f>_xlfn.XLOOKUP($A2551,Games!$A$2:$A$18,Games!$P$2:$P$18,"Missing game",0)</x:f>
      </x:c>
      <x:c r="AV2551" t="str">
        <x:f>_xlfn.XLOOKUP($A2551,Games!$A$2:$A$18,Games!$Q$2:$Q$18,"Missing game",0)</x:f>
      </x:c>
      <x:c r="AW2551" t="str">
        <x:f>_xlfn.XLOOKUP($A2551,Games!$A$2:$A$18,Games!$R$2:$R$18,"Missing game",0)</x:f>
        <x:v>U.S. Bank Stadium</x:v>
      </x:c>
    </x:row>
    <x:row r="2552">
      <x:c r="A2552" t="str">
        <x:v>2025_17_DET_MIN</x:v>
      </x:c>
      <x:c r="B2552" t="n">
        <x:v>1845</x:v>
      </x:c>
      <x:c r="C2552" t="n">
        <x:v>2</x:v>
      </x:c>
      <x:c r="D2552" t="str">
        <x:v>00:00</x:v>
      </x:c>
      <x:c r="E2552"/>
      <x:c r="F2552" t="n">
        <x:v>0</x:v>
      </x:c>
      <x:c r="G2552"/>
      <x:c r="H2552"/>
      <x:c r="I2552"/>
      <x:c r="J2552"/>
      <x:c r="K2552" t="str">
        <x:v>END QUARTER 2</x:v>
      </x:c>
      <x:c r="L2552"/>
      <x:c r="M2552"/>
      <x:c r="N2552" t="n">
        <x:v>0</x:v>
      </x:c>
      <x:c r="O2552" t="n">
        <x:v>0</x:v>
      </x:c>
      <x:c r="P2552"/>
      <x:c r="Q2552"/>
      <x:c r="R2552"/>
      <x:c r="S2552"/>
      <x:c r="T2552"/>
      <x:c r="U2552"/>
      <x:c r="V2552"/>
      <x:c r="W2552"/>
      <x:c r="X2552"/>
      <x:c r="Y2552"/>
      <x:c r="Z2552"/>
      <x:c r="AA2552"/>
      <x:c r="AB2552"/>
      <x:c r="AC2552"/>
      <x:c r="AD2552"/>
      <x:c r="AE2552"/>
      <x:c r="AF2552" t="n">
        <x:v>0</x:v>
      </x:c>
      <x:c r="AG2552" t="n">
        <x:f>_xlfn.XLOOKUP($A2552,Games!$A$2:$A$18,Games!$B$2:$B$18,"Missing game",0)</x:f>
        <x:v>2025</x:v>
      </x:c>
      <x:c r="AH2552" t="str">
        <x:f>_xlfn.XLOOKUP($A2552,Games!$A$2:$A$18,Games!$C$2:$C$18,"Missing game",0)</x:f>
        <x:v>REG</x:v>
      </x:c>
      <x:c r="AI2552" t="n">
        <x:f>_xlfn.XLOOKUP($A2552,Games!$A$2:$A$18,Games!$D$2:$D$18,"Missing game",0)</x:f>
        <x:v>17</x:v>
      </x:c>
      <x:c r="AJ2552" s="1" t="n">
        <x:f>_xlfn.XLOOKUP($A2552,Games!$A$2:$A$18,Games!$E$2:$E$18,"Missing game",0)</x:f>
        <x:v>46016</x:v>
      </x:c>
      <x:c r="AK2552" t="str">
        <x:f>_xlfn.XLOOKUP($A2552,Games!$A$2:$A$18,Games!$F$2:$F$18,"Missing game",0)</x:f>
        <x:v>Thursday</x:v>
      </x:c>
      <x:c r="AL2552" t="str">
        <x:f>_xlfn.XLOOKUP($A2552,Games!$A$2:$A$18,Games!$G$2:$G$18,"Missing game",0)</x:f>
        <x:v>DET</x:v>
      </x:c>
      <x:c r="AM2552" t="n">
        <x:f>_xlfn.XLOOKUP($A2552,Games!$A$2:$A$18,Games!$H$2:$H$18,"Missing game",0)</x:f>
        <x:v>10</x:v>
      </x:c>
      <x:c r="AN2552" t="str">
        <x:f>_xlfn.XLOOKUP($A2552,Games!$A$2:$A$18,Games!$I$2:$I$18,"Missing game",0)</x:f>
        <x:v>MIN</x:v>
      </x:c>
      <x:c r="AO2552" t="n">
        <x:f>_xlfn.XLOOKUP($A2552,Games!$A$2:$A$18,Games!$J$2:$J$18,"Missing game",0)</x:f>
        <x:v>23</x:v>
      </x:c>
      <x:c r="AP2552" t="n">
        <x:f>_xlfn.XLOOKUP($A2552,Games!$A$2:$A$18,Games!$K$2:$K$18,"Missing game",0)</x:f>
        <x:v>13</x:v>
      </x:c>
      <x:c r="AQ2552" t="n">
        <x:f>_xlfn.XLOOKUP($A2552,Games!$A$2:$A$18,Games!$L$2:$L$18,"Missing game",0)</x:f>
        <x:v>33</x:v>
      </x:c>
      <x:c r="AR2552" t="n">
        <x:f>_xlfn.XLOOKUP($A2552,Games!$A$2:$A$18,Games!$M$2:$M$18,"Missing game",0)</x:f>
        <x:v>0</x:v>
      </x:c>
      <x:c r="AS2552" t="str">
        <x:f>_xlfn.XLOOKUP($A2552,Games!$A$2:$A$18,Games!$N$2:$N$18,"Missing game",0)</x:f>
        <x:v>dome</x:v>
      </x:c>
      <x:c r="AT2552" t="str">
        <x:f>_xlfn.XLOOKUP($A2552,Games!$A$2:$A$18,Games!$O$2:$O$18,"Missing game",0)</x:f>
        <x:v>sportturf</x:v>
      </x:c>
      <x:c r="AU2552" t="str">
        <x:f>_xlfn.XLOOKUP($A2552,Games!$A$2:$A$18,Games!$P$2:$P$18,"Missing game",0)</x:f>
      </x:c>
      <x:c r="AV2552" t="str">
        <x:f>_xlfn.XLOOKUP($A2552,Games!$A$2:$A$18,Games!$Q$2:$Q$18,"Missing game",0)</x:f>
      </x:c>
      <x:c r="AW2552" t="str">
        <x:f>_xlfn.XLOOKUP($A2552,Games!$A$2:$A$18,Games!$R$2:$R$18,"Missing game",0)</x:f>
        <x:v>U.S. Bank Stadium</x:v>
      </x:c>
    </x:row>
    <x:row r="2553">
      <x:c r="A2553" t="str">
        <x:v>2025_17_DET_MIN</x:v>
      </x:c>
      <x:c r="B2553" t="n">
        <x:v>1865</x:v>
      </x:c>
      <x:c r="C2553" t="n">
        <x:v>3</x:v>
      </x:c>
      <x:c r="D2553" t="str">
        <x:v>15:00</x:v>
      </x:c>
      <x:c r="E2553"/>
      <x:c r="F2553" t="n">
        <x:v>0</x:v>
      </x:c>
      <x:c r="G2553" t="str">
        <x:v>DET</x:v>
      </x:c>
      <x:c r="H2553" t="str">
        <x:v>MIN</x:v>
      </x:c>
      <x:c r="I2553" t="str">
        <x:v>MIN</x:v>
      </x:c>
      <x:c r="J2553" t="n">
        <x:v>35</x:v>
      </x:c>
      <x:c r="K2553" t="str">
        <x:v>16-W.Reichard kicks 63 yards from MIN 35 to DET 2. 85-T.Kennedy to DET 33 for 31 yards (96-T.Batty).</x:v>
      </x:c>
      <x:c r="L2553" t="str">
        <x:v>kickoff</x:v>
      </x:c>
      <x:c r="M2553" t="n">
        <x:v>0</x:v>
      </x:c>
      <x:c r="N2553" t="n">
        <x:v>0</x:v>
      </x:c>
      <x:c r="O2553" t="n">
        <x:v>0</x:v>
      </x:c>
      <x:c r="P2553"/>
      <x:c r="Q2553"/>
      <x:c r="R2553"/>
      <x:c r="S2553"/>
      <x:c r="T2553"/>
      <x:c r="U2553"/>
      <x:c r="V2553" t="n">
        <x:v>0</x:v>
      </x:c>
      <x:c r="W2553" t="n">
        <x:v>0</x:v>
      </x:c>
      <x:c r="X2553" t="n">
        <x:v>0</x:v>
      </x:c>
      <x:c r="Y2553" t="n">
        <x:v>0</x:v>
      </x:c>
      <x:c r="Z2553" t="n">
        <x:v>0</x:v>
      </x:c>
      <x:c r="AA2553" t="n">
        <x:v>0</x:v>
      </x:c>
      <x:c r="AB2553"/>
      <x:c r="AC2553" t="n">
        <x:v>0</x:v>
      </x:c>
      <x:c r="AD2553" t="n">
        <x:v>0.48801671527326107</x:v>
      </x:c>
      <x:c r="AE2553" t="n">
        <x:v>1</x:v>
      </x:c>
      <x:c r="AF2553" t="n">
        <x:v>0.006501495838165283</x:v>
      </x:c>
      <x:c r="AG2553" t="n">
        <x:f>_xlfn.XLOOKUP($A2553,Games!$A$2:$A$18,Games!$B$2:$B$18,"Missing game",0)</x:f>
        <x:v>2025</x:v>
      </x:c>
      <x:c r="AH2553" t="str">
        <x:f>_xlfn.XLOOKUP($A2553,Games!$A$2:$A$18,Games!$C$2:$C$18,"Missing game",0)</x:f>
        <x:v>REG</x:v>
      </x:c>
      <x:c r="AI2553" t="n">
        <x:f>_xlfn.XLOOKUP($A2553,Games!$A$2:$A$18,Games!$D$2:$D$18,"Missing game",0)</x:f>
        <x:v>17</x:v>
      </x:c>
      <x:c r="AJ2553" s="1" t="n">
        <x:f>_xlfn.XLOOKUP($A2553,Games!$A$2:$A$18,Games!$E$2:$E$18,"Missing game",0)</x:f>
        <x:v>46016</x:v>
      </x:c>
      <x:c r="AK2553" t="str">
        <x:f>_xlfn.XLOOKUP($A2553,Games!$A$2:$A$18,Games!$F$2:$F$18,"Missing game",0)</x:f>
        <x:v>Thursday</x:v>
      </x:c>
      <x:c r="AL2553" t="str">
        <x:f>_xlfn.XLOOKUP($A2553,Games!$A$2:$A$18,Games!$G$2:$G$18,"Missing game",0)</x:f>
        <x:v>DET</x:v>
      </x:c>
      <x:c r="AM2553" t="n">
        <x:f>_xlfn.XLOOKUP($A2553,Games!$A$2:$A$18,Games!$H$2:$H$18,"Missing game",0)</x:f>
        <x:v>10</x:v>
      </x:c>
      <x:c r="AN2553" t="str">
        <x:f>_xlfn.XLOOKUP($A2553,Games!$A$2:$A$18,Games!$I$2:$I$18,"Missing game",0)</x:f>
        <x:v>MIN</x:v>
      </x:c>
      <x:c r="AO2553" t="n">
        <x:f>_xlfn.XLOOKUP($A2553,Games!$A$2:$A$18,Games!$J$2:$J$18,"Missing game",0)</x:f>
        <x:v>23</x:v>
      </x:c>
      <x:c r="AP2553" t="n">
        <x:f>_xlfn.XLOOKUP($A2553,Games!$A$2:$A$18,Games!$K$2:$K$18,"Missing game",0)</x:f>
        <x:v>13</x:v>
      </x:c>
      <x:c r="AQ2553" t="n">
        <x:f>_xlfn.XLOOKUP($A2553,Games!$A$2:$A$18,Games!$L$2:$L$18,"Missing game",0)</x:f>
        <x:v>33</x:v>
      </x:c>
      <x:c r="AR2553" t="n">
        <x:f>_xlfn.XLOOKUP($A2553,Games!$A$2:$A$18,Games!$M$2:$M$18,"Missing game",0)</x:f>
        <x:v>0</x:v>
      </x:c>
      <x:c r="AS2553" t="str">
        <x:f>_xlfn.XLOOKUP($A2553,Games!$A$2:$A$18,Games!$N$2:$N$18,"Missing game",0)</x:f>
        <x:v>dome</x:v>
      </x:c>
      <x:c r="AT2553" t="str">
        <x:f>_xlfn.XLOOKUP($A2553,Games!$A$2:$A$18,Games!$O$2:$O$18,"Missing game",0)</x:f>
        <x:v>sportturf</x:v>
      </x:c>
      <x:c r="AU2553" t="str">
        <x:f>_xlfn.XLOOKUP($A2553,Games!$A$2:$A$18,Games!$P$2:$P$18,"Missing game",0)</x:f>
      </x:c>
      <x:c r="AV2553" t="str">
        <x:f>_xlfn.XLOOKUP($A2553,Games!$A$2:$A$18,Games!$Q$2:$Q$18,"Missing game",0)</x:f>
      </x:c>
      <x:c r="AW2553" t="str">
        <x:f>_xlfn.XLOOKUP($A2553,Games!$A$2:$A$18,Games!$R$2:$R$18,"Missing game",0)</x:f>
        <x:v>U.S. Bank Stadium</x:v>
      </x:c>
    </x:row>
    <x:row r="2554">
      <x:c r="A2554" t="str">
        <x:v>2025_17_DET_MIN</x:v>
      </x:c>
      <x:c r="B2554" t="n">
        <x:v>1898</x:v>
      </x:c>
      <x:c r="C2554" t="n">
        <x:v>3</x:v>
      </x:c>
      <x:c r="D2554" t="str">
        <x:v>14:55</x:v>
      </x:c>
      <x:c r="E2554" t="n">
        <x:v>1</x:v>
      </x:c>
      <x:c r="F2554" t="n">
        <x:v>10</x:v>
      </x:c>
      <x:c r="G2554" t="str">
        <x:v>DET</x:v>
      </x:c>
      <x:c r="H2554" t="str">
        <x:v>MIN</x:v>
      </x:c>
      <x:c r="I2554" t="str">
        <x:v>DET</x:v>
      </x:c>
      <x:c r="J2554" t="n">
        <x:v>67</x:v>
      </x:c>
      <x:c r="K2554" t="str">
        <x:v>(14:55) 0-J.Gibbs left guard to DET 33 for no gain (93-J.Allen).</x:v>
      </x:c>
      <x:c r="L2554" t="str">
        <x:v>run</x:v>
      </x:c>
      <x:c r="M2554" t="n">
        <x:v>0</x:v>
      </x:c>
      <x:c r="N2554" t="n">
        <x:v>0</x:v>
      </x:c>
      <x:c r="O2554" t="n">
        <x:v>0</x:v>
      </x:c>
      <x:c r="P2554"/>
      <x:c r="Q2554"/>
      <x:c r="R2554"/>
      <x:c r="S2554"/>
      <x:c r="T2554" t="str">
        <x:v>left</x:v>
      </x:c>
      <x:c r="U2554" t="str">
        <x:v>guard</x:v>
      </x:c>
      <x:c r="V2554" t="n">
        <x:v>0</x:v>
      </x:c>
      <x:c r="W2554" t="n">
        <x:v>0</x:v>
      </x:c>
      <x:c r="X2554" t="n">
        <x:v>0</x:v>
      </x:c>
      <x:c r="Y2554" t="n">
        <x:v>0</x:v>
      </x:c>
      <x:c r="Z2554" t="n">
        <x:v>0</x:v>
      </x:c>
      <x:c r="AA2554" t="n">
        <x:v>0</x:v>
      </x:c>
      <x:c r="AB2554"/>
      <x:c r="AC2554" t="n">
        <x:v>0</x:v>
      </x:c>
      <x:c r="AD2554" t="n">
        <x:v>-0.5619407915510237</x:v>
      </x:c>
      <x:c r="AE2554" t="n">
        <x:v>0</x:v>
      </x:c>
      <x:c r="AF2554" t="n">
        <x:v>-0.018234610557556152</x:v>
      </x:c>
      <x:c r="AG2554" t="n">
        <x:f>_xlfn.XLOOKUP($A2554,Games!$A$2:$A$18,Games!$B$2:$B$18,"Missing game",0)</x:f>
        <x:v>2025</x:v>
      </x:c>
      <x:c r="AH2554" t="str">
        <x:f>_xlfn.XLOOKUP($A2554,Games!$A$2:$A$18,Games!$C$2:$C$18,"Missing game",0)</x:f>
        <x:v>REG</x:v>
      </x:c>
      <x:c r="AI2554" t="n">
        <x:f>_xlfn.XLOOKUP($A2554,Games!$A$2:$A$18,Games!$D$2:$D$18,"Missing game",0)</x:f>
        <x:v>17</x:v>
      </x:c>
      <x:c r="AJ2554" s="1" t="n">
        <x:f>_xlfn.XLOOKUP($A2554,Games!$A$2:$A$18,Games!$E$2:$E$18,"Missing game",0)</x:f>
        <x:v>46016</x:v>
      </x:c>
      <x:c r="AK2554" t="str">
        <x:f>_xlfn.XLOOKUP($A2554,Games!$A$2:$A$18,Games!$F$2:$F$18,"Missing game",0)</x:f>
        <x:v>Thursday</x:v>
      </x:c>
      <x:c r="AL2554" t="str">
        <x:f>_xlfn.XLOOKUP($A2554,Games!$A$2:$A$18,Games!$G$2:$G$18,"Missing game",0)</x:f>
        <x:v>DET</x:v>
      </x:c>
      <x:c r="AM2554" t="n">
        <x:f>_xlfn.XLOOKUP($A2554,Games!$A$2:$A$18,Games!$H$2:$H$18,"Missing game",0)</x:f>
        <x:v>10</x:v>
      </x:c>
      <x:c r="AN2554" t="str">
        <x:f>_xlfn.XLOOKUP($A2554,Games!$A$2:$A$18,Games!$I$2:$I$18,"Missing game",0)</x:f>
        <x:v>MIN</x:v>
      </x:c>
      <x:c r="AO2554" t="n">
        <x:f>_xlfn.XLOOKUP($A2554,Games!$A$2:$A$18,Games!$J$2:$J$18,"Missing game",0)</x:f>
        <x:v>23</x:v>
      </x:c>
      <x:c r="AP2554" t="n">
        <x:f>_xlfn.XLOOKUP($A2554,Games!$A$2:$A$18,Games!$K$2:$K$18,"Missing game",0)</x:f>
        <x:v>13</x:v>
      </x:c>
      <x:c r="AQ2554" t="n">
        <x:f>_xlfn.XLOOKUP($A2554,Games!$A$2:$A$18,Games!$L$2:$L$18,"Missing game",0)</x:f>
        <x:v>33</x:v>
      </x:c>
      <x:c r="AR2554" t="n">
        <x:f>_xlfn.XLOOKUP($A2554,Games!$A$2:$A$18,Games!$M$2:$M$18,"Missing game",0)</x:f>
        <x:v>0</x:v>
      </x:c>
      <x:c r="AS2554" t="str">
        <x:f>_xlfn.XLOOKUP($A2554,Games!$A$2:$A$18,Games!$N$2:$N$18,"Missing game",0)</x:f>
        <x:v>dome</x:v>
      </x:c>
      <x:c r="AT2554" t="str">
        <x:f>_xlfn.XLOOKUP($A2554,Games!$A$2:$A$18,Games!$O$2:$O$18,"Missing game",0)</x:f>
        <x:v>sportturf</x:v>
      </x:c>
      <x:c r="AU2554" t="str">
        <x:f>_xlfn.XLOOKUP($A2554,Games!$A$2:$A$18,Games!$P$2:$P$18,"Missing game",0)</x:f>
      </x:c>
      <x:c r="AV2554" t="str">
        <x:f>_xlfn.XLOOKUP($A2554,Games!$A$2:$A$18,Games!$Q$2:$Q$18,"Missing game",0)</x:f>
      </x:c>
      <x:c r="AW2554" t="str">
        <x:f>_xlfn.XLOOKUP($A2554,Games!$A$2:$A$18,Games!$R$2:$R$18,"Missing game",0)</x:f>
        <x:v>U.S. Bank Stadium</x:v>
      </x:c>
    </x:row>
    <x:row r="2555">
      <x:c r="A2555" t="str">
        <x:v>2025_17_DET_MIN</x:v>
      </x:c>
      <x:c r="B2555" t="n">
        <x:v>1920</x:v>
      </x:c>
      <x:c r="C2555" t="n">
        <x:v>3</x:v>
      </x:c>
      <x:c r="D2555" t="str">
        <x:v>14:14</x:v>
      </x:c>
      <x:c r="E2555" t="n">
        <x:v>2</x:v>
      </x:c>
      <x:c r="F2555" t="n">
        <x:v>10</x:v>
      </x:c>
      <x:c r="G2555" t="str">
        <x:v>DET</x:v>
      </x:c>
      <x:c r="H2555" t="str">
        <x:v>MIN</x:v>
      </x:c>
      <x:c r="I2555" t="str">
        <x:v>DET</x:v>
      </x:c>
      <x:c r="J2555" t="n">
        <x:v>67</x:v>
      </x:c>
      <x:c r="K2555" t="str">
        <x:v>(14:14) (Shotgun) 16-J.Goff pass short right to 14-A.St. Brown to DET 43 for 10 yards (7-B.Murphy).</x:v>
      </x:c>
      <x:c r="L2555" t="str">
        <x:v>pass</x:v>
      </x:c>
      <x:c r="M2555" t="n">
        <x:v>10</x:v>
      </x:c>
      <x:c r="N2555" t="n">
        <x:v>1</x:v>
      </x:c>
      <x:c r="O2555" t="n">
        <x:v>0</x:v>
      </x:c>
      <x:c r="P2555" t="str">
        <x:v>short</x:v>
      </x:c>
      <x:c r="Q2555" t="str">
        <x:v>right</x:v>
      </x:c>
      <x:c r="R2555" t="n">
        <x:v>6</x:v>
      </x:c>
      <x:c r="S2555" t="n">
        <x:v>4</x:v>
      </x:c>
      <x:c r="T2555"/>
      <x:c r="U2555"/>
      <x:c r="V2555" t="n">
        <x:v>1</x:v>
      </x:c>
      <x:c r="W2555" t="n">
        <x:v>1</x:v>
      </x:c>
      <x:c r="X2555" t="n">
        <x:v>0</x:v>
      </x:c>
      <x:c r="Y2555" t="n">
        <x:v>0</x:v>
      </x:c>
      <x:c r="Z2555" t="n">
        <x:v>0</x:v>
      </x:c>
      <x:c r="AA2555" t="n">
        <x:v>0</x:v>
      </x:c>
      <x:c r="AB2555"/>
      <x:c r="AC2555" t="n">
        <x:v>0</x:v>
      </x:c>
      <x:c r="AD2555" t="n">
        <x:v>1.2924642777070403</x:v>
      </x:c>
      <x:c r="AE2555" t="n">
        <x:v>1</x:v>
      </x:c>
      <x:c r="AF2555" t="n">
        <x:v>0.04687833786010742</x:v>
      </x:c>
      <x:c r="AG2555" t="n">
        <x:f>_xlfn.XLOOKUP($A2555,Games!$A$2:$A$18,Games!$B$2:$B$18,"Missing game",0)</x:f>
        <x:v>2025</x:v>
      </x:c>
      <x:c r="AH2555" t="str">
        <x:f>_xlfn.XLOOKUP($A2555,Games!$A$2:$A$18,Games!$C$2:$C$18,"Missing game",0)</x:f>
        <x:v>REG</x:v>
      </x:c>
      <x:c r="AI2555" t="n">
        <x:f>_xlfn.XLOOKUP($A2555,Games!$A$2:$A$18,Games!$D$2:$D$18,"Missing game",0)</x:f>
        <x:v>17</x:v>
      </x:c>
      <x:c r="AJ2555" s="1" t="n">
        <x:f>_xlfn.XLOOKUP($A2555,Games!$A$2:$A$18,Games!$E$2:$E$18,"Missing game",0)</x:f>
        <x:v>46016</x:v>
      </x:c>
      <x:c r="AK2555" t="str">
        <x:f>_xlfn.XLOOKUP($A2555,Games!$A$2:$A$18,Games!$F$2:$F$18,"Missing game",0)</x:f>
        <x:v>Thursday</x:v>
      </x:c>
      <x:c r="AL2555" t="str">
        <x:f>_xlfn.XLOOKUP($A2555,Games!$A$2:$A$18,Games!$G$2:$G$18,"Missing game",0)</x:f>
        <x:v>DET</x:v>
      </x:c>
      <x:c r="AM2555" t="n">
        <x:f>_xlfn.XLOOKUP($A2555,Games!$A$2:$A$18,Games!$H$2:$H$18,"Missing game",0)</x:f>
        <x:v>10</x:v>
      </x:c>
      <x:c r="AN2555" t="str">
        <x:f>_xlfn.XLOOKUP($A2555,Games!$A$2:$A$18,Games!$I$2:$I$18,"Missing game",0)</x:f>
        <x:v>MIN</x:v>
      </x:c>
      <x:c r="AO2555" t="n">
        <x:f>_xlfn.XLOOKUP($A2555,Games!$A$2:$A$18,Games!$J$2:$J$18,"Missing game",0)</x:f>
        <x:v>23</x:v>
      </x:c>
      <x:c r="AP2555" t="n">
        <x:f>_xlfn.XLOOKUP($A2555,Games!$A$2:$A$18,Games!$K$2:$K$18,"Missing game",0)</x:f>
        <x:v>13</x:v>
      </x:c>
      <x:c r="AQ2555" t="n">
        <x:f>_xlfn.XLOOKUP($A2555,Games!$A$2:$A$18,Games!$L$2:$L$18,"Missing game",0)</x:f>
        <x:v>33</x:v>
      </x:c>
      <x:c r="AR2555" t="n">
        <x:f>_xlfn.XLOOKUP($A2555,Games!$A$2:$A$18,Games!$M$2:$M$18,"Missing game",0)</x:f>
        <x:v>0</x:v>
      </x:c>
      <x:c r="AS2555" t="str">
        <x:f>_xlfn.XLOOKUP($A2555,Games!$A$2:$A$18,Games!$N$2:$N$18,"Missing game",0)</x:f>
        <x:v>dome</x:v>
      </x:c>
      <x:c r="AT2555" t="str">
        <x:f>_xlfn.XLOOKUP($A2555,Games!$A$2:$A$18,Games!$O$2:$O$18,"Missing game",0)</x:f>
        <x:v>sportturf</x:v>
      </x:c>
      <x:c r="AU2555" t="str">
        <x:f>_xlfn.XLOOKUP($A2555,Games!$A$2:$A$18,Games!$P$2:$P$18,"Missing game",0)</x:f>
      </x:c>
      <x:c r="AV2555" t="str">
        <x:f>_xlfn.XLOOKUP($A2555,Games!$A$2:$A$18,Games!$Q$2:$Q$18,"Missing game",0)</x:f>
      </x:c>
      <x:c r="AW2555" t="str">
        <x:f>_xlfn.XLOOKUP($A2555,Games!$A$2:$A$18,Games!$R$2:$R$18,"Missing game",0)</x:f>
        <x:v>U.S. Bank Stadium</x:v>
      </x:c>
    </x:row>
    <x:row r="2556">
      <x:c r="A2556" t="str">
        <x:v>2025_17_DET_MIN</x:v>
      </x:c>
      <x:c r="B2556" t="n">
        <x:v>1945</x:v>
      </x:c>
      <x:c r="C2556" t="n">
        <x:v>3</x:v>
      </x:c>
      <x:c r="D2556" t="str">
        <x:v>13:18</x:v>
      </x:c>
      <x:c r="E2556" t="n">
        <x:v>1</x:v>
      </x:c>
      <x:c r="F2556" t="n">
        <x:v>10</x:v>
      </x:c>
      <x:c r="G2556" t="str">
        <x:v>DET</x:v>
      </x:c>
      <x:c r="H2556" t="str">
        <x:v>MIN</x:v>
      </x:c>
      <x:c r="I2556" t="str">
        <x:v>DET</x:v>
      </x:c>
      <x:c r="J2556" t="n">
        <x:v>57</x:v>
      </x:c>
      <x:c r="K2556" t="str">
        <x:v>(13:18) 5-D.Montgomery right guard to DET 45 for 2 yards (93-J.Allen).</x:v>
      </x:c>
      <x:c r="L2556" t="str">
        <x:v>run</x:v>
      </x:c>
      <x:c r="M2556" t="n">
        <x:v>2</x:v>
      </x:c>
      <x:c r="N2556" t="n">
        <x:v>0</x:v>
      </x:c>
      <x:c r="O2556" t="n">
        <x:v>0</x:v>
      </x:c>
      <x:c r="P2556"/>
      <x:c r="Q2556"/>
      <x:c r="R2556"/>
      <x:c r="S2556"/>
      <x:c r="T2556" t="str">
        <x:v>right</x:v>
      </x:c>
      <x:c r="U2556" t="str">
        <x:v>guard</x:v>
      </x:c>
      <x:c r="V2556" t="n">
        <x:v>0</x:v>
      </x:c>
      <x:c r="W2556" t="n">
        <x:v>0</x:v>
      </x:c>
      <x:c r="X2556" t="n">
        <x:v>0</x:v>
      </x:c>
      <x:c r="Y2556" t="n">
        <x:v>0</x:v>
      </x:c>
      <x:c r="Z2556" t="n">
        <x:v>0</x:v>
      </x:c>
      <x:c r="AA2556" t="n">
        <x:v>0</x:v>
      </x:c>
      <x:c r="AB2556"/>
      <x:c r="AC2556" t="n">
        <x:v>0</x:v>
      </x:c>
      <x:c r="AD2556" t="n">
        <x:v>-0.4766379415523261</x:v>
      </x:c>
      <x:c r="AE2556" t="n">
        <x:v>0</x:v>
      </x:c>
      <x:c r="AF2556" t="n">
        <x:v>-0.018328338861465454</x:v>
      </x:c>
      <x:c r="AG2556" t="n">
        <x:f>_xlfn.XLOOKUP($A2556,Games!$A$2:$A$18,Games!$B$2:$B$18,"Missing game",0)</x:f>
        <x:v>2025</x:v>
      </x:c>
      <x:c r="AH2556" t="str">
        <x:f>_xlfn.XLOOKUP($A2556,Games!$A$2:$A$18,Games!$C$2:$C$18,"Missing game",0)</x:f>
        <x:v>REG</x:v>
      </x:c>
      <x:c r="AI2556" t="n">
        <x:f>_xlfn.XLOOKUP($A2556,Games!$A$2:$A$18,Games!$D$2:$D$18,"Missing game",0)</x:f>
        <x:v>17</x:v>
      </x:c>
      <x:c r="AJ2556" s="1" t="n">
        <x:f>_xlfn.XLOOKUP($A2556,Games!$A$2:$A$18,Games!$E$2:$E$18,"Missing game",0)</x:f>
        <x:v>46016</x:v>
      </x:c>
      <x:c r="AK2556" t="str">
        <x:f>_xlfn.XLOOKUP($A2556,Games!$A$2:$A$18,Games!$F$2:$F$18,"Missing game",0)</x:f>
        <x:v>Thursday</x:v>
      </x:c>
      <x:c r="AL2556" t="str">
        <x:f>_xlfn.XLOOKUP($A2556,Games!$A$2:$A$18,Games!$G$2:$G$18,"Missing game",0)</x:f>
        <x:v>DET</x:v>
      </x:c>
      <x:c r="AM2556" t="n">
        <x:f>_xlfn.XLOOKUP($A2556,Games!$A$2:$A$18,Games!$H$2:$H$18,"Missing game",0)</x:f>
        <x:v>10</x:v>
      </x:c>
      <x:c r="AN2556" t="str">
        <x:f>_xlfn.XLOOKUP($A2556,Games!$A$2:$A$18,Games!$I$2:$I$18,"Missing game",0)</x:f>
        <x:v>MIN</x:v>
      </x:c>
      <x:c r="AO2556" t="n">
        <x:f>_xlfn.XLOOKUP($A2556,Games!$A$2:$A$18,Games!$J$2:$J$18,"Missing game",0)</x:f>
        <x:v>23</x:v>
      </x:c>
      <x:c r="AP2556" t="n">
        <x:f>_xlfn.XLOOKUP($A2556,Games!$A$2:$A$18,Games!$K$2:$K$18,"Missing game",0)</x:f>
        <x:v>13</x:v>
      </x:c>
      <x:c r="AQ2556" t="n">
        <x:f>_xlfn.XLOOKUP($A2556,Games!$A$2:$A$18,Games!$L$2:$L$18,"Missing game",0)</x:f>
        <x:v>33</x:v>
      </x:c>
      <x:c r="AR2556" t="n">
        <x:f>_xlfn.XLOOKUP($A2556,Games!$A$2:$A$18,Games!$M$2:$M$18,"Missing game",0)</x:f>
        <x:v>0</x:v>
      </x:c>
      <x:c r="AS2556" t="str">
        <x:f>_xlfn.XLOOKUP($A2556,Games!$A$2:$A$18,Games!$N$2:$N$18,"Missing game",0)</x:f>
        <x:v>dome</x:v>
      </x:c>
      <x:c r="AT2556" t="str">
        <x:f>_xlfn.XLOOKUP($A2556,Games!$A$2:$A$18,Games!$O$2:$O$18,"Missing game",0)</x:f>
        <x:v>sportturf</x:v>
      </x:c>
      <x:c r="AU2556" t="str">
        <x:f>_xlfn.XLOOKUP($A2556,Games!$A$2:$A$18,Games!$P$2:$P$18,"Missing game",0)</x:f>
      </x:c>
      <x:c r="AV2556" t="str">
        <x:f>_xlfn.XLOOKUP($A2556,Games!$A$2:$A$18,Games!$Q$2:$Q$18,"Missing game",0)</x:f>
      </x:c>
      <x:c r="AW2556" t="str">
        <x:f>_xlfn.XLOOKUP($A2556,Games!$A$2:$A$18,Games!$R$2:$R$18,"Missing game",0)</x:f>
        <x:v>U.S. Bank Stadium</x:v>
      </x:c>
    </x:row>
    <x:row r="2557">
      <x:c r="A2557" t="str">
        <x:v>2025_17_DET_MIN</x:v>
      </x:c>
      <x:c r="B2557" t="n">
        <x:v>1972</x:v>
      </x:c>
      <x:c r="C2557" t="n">
        <x:v>3</x:v>
      </x:c>
      <x:c r="D2557" t="str">
        <x:v>12:43</x:v>
      </x:c>
      <x:c r="E2557" t="n">
        <x:v>2</x:v>
      </x:c>
      <x:c r="F2557" t="n">
        <x:v>8</x:v>
      </x:c>
      <x:c r="G2557" t="str">
        <x:v>DET</x:v>
      </x:c>
      <x:c r="H2557" t="str">
        <x:v>MIN</x:v>
      </x:c>
      <x:c r="I2557" t="str">
        <x:v>DET</x:v>
      </x:c>
      <x:c r="J2557" t="n">
        <x:v>55</x:v>
      </x:c>
      <x:c r="K2557" t="str">
        <x:v>(12:43) 5-D.Montgomery up the middle to 50 for 5 yards (26-T.Jackson; 97-J.Hargrave).</x:v>
      </x:c>
      <x:c r="L2557" t="str">
        <x:v>run</x:v>
      </x:c>
      <x:c r="M2557" t="n">
        <x:v>5</x:v>
      </x:c>
      <x:c r="N2557" t="n">
        <x:v>0</x:v>
      </x:c>
      <x:c r="O2557" t="n">
        <x:v>0</x:v>
      </x:c>
      <x:c r="P2557"/>
      <x:c r="Q2557"/>
      <x:c r="R2557"/>
      <x:c r="S2557"/>
      <x:c r="T2557" t="str">
        <x:v>middle</x:v>
      </x:c>
      <x:c r="U2557"/>
      <x:c r="V2557" t="n">
        <x:v>0</x:v>
      </x:c>
      <x:c r="W2557" t="n">
        <x:v>0</x:v>
      </x:c>
      <x:c r="X2557" t="n">
        <x:v>0</x:v>
      </x:c>
      <x:c r="Y2557" t="n">
        <x:v>0</x:v>
      </x:c>
      <x:c r="Z2557" t="n">
        <x:v>0</x:v>
      </x:c>
      <x:c r="AA2557" t="n">
        <x:v>0</x:v>
      </x:c>
      <x:c r="AB2557"/>
      <x:c r="AC2557" t="n">
        <x:v>0</x:v>
      </x:c>
      <x:c r="AD2557" t="n">
        <x:v>0.0011049190070480108</x:v>
      </x:c>
      <x:c r="AE2557" t="n">
        <x:v>1</x:v>
      </x:c>
      <x:c r="AF2557" t="n">
        <x:v>-0.0036357343196868896</x:v>
      </x:c>
      <x:c r="AG2557" t="n">
        <x:f>_xlfn.XLOOKUP($A2557,Games!$A$2:$A$18,Games!$B$2:$B$18,"Missing game",0)</x:f>
        <x:v>2025</x:v>
      </x:c>
      <x:c r="AH2557" t="str">
        <x:f>_xlfn.XLOOKUP($A2557,Games!$A$2:$A$18,Games!$C$2:$C$18,"Missing game",0)</x:f>
        <x:v>REG</x:v>
      </x:c>
      <x:c r="AI2557" t="n">
        <x:f>_xlfn.XLOOKUP($A2557,Games!$A$2:$A$18,Games!$D$2:$D$18,"Missing game",0)</x:f>
        <x:v>17</x:v>
      </x:c>
      <x:c r="AJ2557" s="1" t="n">
        <x:f>_xlfn.XLOOKUP($A2557,Games!$A$2:$A$18,Games!$E$2:$E$18,"Missing game",0)</x:f>
        <x:v>46016</x:v>
      </x:c>
      <x:c r="AK2557" t="str">
        <x:f>_xlfn.XLOOKUP($A2557,Games!$A$2:$A$18,Games!$F$2:$F$18,"Missing game",0)</x:f>
        <x:v>Thursday</x:v>
      </x:c>
      <x:c r="AL2557" t="str">
        <x:f>_xlfn.XLOOKUP($A2557,Games!$A$2:$A$18,Games!$G$2:$G$18,"Missing game",0)</x:f>
        <x:v>DET</x:v>
      </x:c>
      <x:c r="AM2557" t="n">
        <x:f>_xlfn.XLOOKUP($A2557,Games!$A$2:$A$18,Games!$H$2:$H$18,"Missing game",0)</x:f>
        <x:v>10</x:v>
      </x:c>
      <x:c r="AN2557" t="str">
        <x:f>_xlfn.XLOOKUP($A2557,Games!$A$2:$A$18,Games!$I$2:$I$18,"Missing game",0)</x:f>
        <x:v>MIN</x:v>
      </x:c>
      <x:c r="AO2557" t="n">
        <x:f>_xlfn.XLOOKUP($A2557,Games!$A$2:$A$18,Games!$J$2:$J$18,"Missing game",0)</x:f>
        <x:v>23</x:v>
      </x:c>
      <x:c r="AP2557" t="n">
        <x:f>_xlfn.XLOOKUP($A2557,Games!$A$2:$A$18,Games!$K$2:$K$18,"Missing game",0)</x:f>
        <x:v>13</x:v>
      </x:c>
      <x:c r="AQ2557" t="n">
        <x:f>_xlfn.XLOOKUP($A2557,Games!$A$2:$A$18,Games!$L$2:$L$18,"Missing game",0)</x:f>
        <x:v>33</x:v>
      </x:c>
      <x:c r="AR2557" t="n">
        <x:f>_xlfn.XLOOKUP($A2557,Games!$A$2:$A$18,Games!$M$2:$M$18,"Missing game",0)</x:f>
        <x:v>0</x:v>
      </x:c>
      <x:c r="AS2557" t="str">
        <x:f>_xlfn.XLOOKUP($A2557,Games!$A$2:$A$18,Games!$N$2:$N$18,"Missing game",0)</x:f>
        <x:v>dome</x:v>
      </x:c>
      <x:c r="AT2557" t="str">
        <x:f>_xlfn.XLOOKUP($A2557,Games!$A$2:$A$18,Games!$O$2:$O$18,"Missing game",0)</x:f>
        <x:v>sportturf</x:v>
      </x:c>
      <x:c r="AU2557" t="str">
        <x:f>_xlfn.XLOOKUP($A2557,Games!$A$2:$A$18,Games!$P$2:$P$18,"Missing game",0)</x:f>
      </x:c>
      <x:c r="AV2557" t="str">
        <x:f>_xlfn.XLOOKUP($A2557,Games!$A$2:$A$18,Games!$Q$2:$Q$18,"Missing game",0)</x:f>
      </x:c>
      <x:c r="AW2557" t="str">
        <x:f>_xlfn.XLOOKUP($A2557,Games!$A$2:$A$18,Games!$R$2:$R$18,"Missing game",0)</x:f>
        <x:v>U.S. Bank Stadium</x:v>
      </x:c>
    </x:row>
    <x:row r="2558">
      <x:c r="A2558" t="str">
        <x:v>2025_17_DET_MIN</x:v>
      </x:c>
      <x:c r="B2558" t="n">
        <x:v>1994</x:v>
      </x:c>
      <x:c r="C2558" t="n">
        <x:v>3</x:v>
      </x:c>
      <x:c r="D2558" t="str">
        <x:v>11:58</x:v>
      </x:c>
      <x:c r="E2558" t="n">
        <x:v>3</x:v>
      </x:c>
      <x:c r="F2558" t="n">
        <x:v>3</x:v>
      </x:c>
      <x:c r="G2558" t="str">
        <x:v>DET</x:v>
      </x:c>
      <x:c r="H2558" t="str">
        <x:v>MIN</x:v>
      </x:c>
      <x:c r="I2558" t="str">
        <x:v>50</x:v>
      </x:c>
      <x:c r="J2558" t="n">
        <x:v>50</x:v>
      </x:c>
      <x:c r="K2558" t="str">
        <x:v>(11:58) (Shotgun) 5-D.Montgomery up the middle to MIN 48 for 2 yards (97-J.Hargrave).</x:v>
      </x:c>
      <x:c r="L2558" t="str">
        <x:v>run</x:v>
      </x:c>
      <x:c r="M2558" t="n">
        <x:v>2</x:v>
      </x:c>
      <x:c r="N2558" t="n">
        <x:v>1</x:v>
      </x:c>
      <x:c r="O2558" t="n">
        <x:v>0</x:v>
      </x:c>
      <x:c r="P2558"/>
      <x:c r="Q2558"/>
      <x:c r="R2558"/>
      <x:c r="S2558"/>
      <x:c r="T2558" t="str">
        <x:v>middle</x:v>
      </x:c>
      <x:c r="U2558"/>
      <x:c r="V2558" t="n">
        <x:v>0</x:v>
      </x:c>
      <x:c r="W2558" t="n">
        <x:v>0</x:v>
      </x:c>
      <x:c r="X2558" t="n">
        <x:v>0</x:v>
      </x:c>
      <x:c r="Y2558" t="n">
        <x:v>0</x:v>
      </x:c>
      <x:c r="Z2558" t="n">
        <x:v>0</x:v>
      </x:c>
      <x:c r="AA2558" t="n">
        <x:v>0</x:v>
      </x:c>
      <x:c r="AB2558"/>
      <x:c r="AC2558" t="n">
        <x:v>0</x:v>
      </x:c>
      <x:c r="AD2558" t="n">
        <x:v>-1.221451222198084</x:v>
      </x:c>
      <x:c r="AE2558" t="n">
        <x:v>0</x:v>
      </x:c>
      <x:c r="AF2558" t="n">
        <x:v>-0.04022607207298279</x:v>
      </x:c>
      <x:c r="AG2558" t="n">
        <x:f>_xlfn.XLOOKUP($A2558,Games!$A$2:$A$18,Games!$B$2:$B$18,"Missing game",0)</x:f>
        <x:v>2025</x:v>
      </x:c>
      <x:c r="AH2558" t="str">
        <x:f>_xlfn.XLOOKUP($A2558,Games!$A$2:$A$18,Games!$C$2:$C$18,"Missing game",0)</x:f>
        <x:v>REG</x:v>
      </x:c>
      <x:c r="AI2558" t="n">
        <x:f>_xlfn.XLOOKUP($A2558,Games!$A$2:$A$18,Games!$D$2:$D$18,"Missing game",0)</x:f>
        <x:v>17</x:v>
      </x:c>
      <x:c r="AJ2558" s="1" t="n">
        <x:f>_xlfn.XLOOKUP($A2558,Games!$A$2:$A$18,Games!$E$2:$E$18,"Missing game",0)</x:f>
        <x:v>46016</x:v>
      </x:c>
      <x:c r="AK2558" t="str">
        <x:f>_xlfn.XLOOKUP($A2558,Games!$A$2:$A$18,Games!$F$2:$F$18,"Missing game",0)</x:f>
        <x:v>Thursday</x:v>
      </x:c>
      <x:c r="AL2558" t="str">
        <x:f>_xlfn.XLOOKUP($A2558,Games!$A$2:$A$18,Games!$G$2:$G$18,"Missing game",0)</x:f>
        <x:v>DET</x:v>
      </x:c>
      <x:c r="AM2558" t="n">
        <x:f>_xlfn.XLOOKUP($A2558,Games!$A$2:$A$18,Games!$H$2:$H$18,"Missing game",0)</x:f>
        <x:v>10</x:v>
      </x:c>
      <x:c r="AN2558" t="str">
        <x:f>_xlfn.XLOOKUP($A2558,Games!$A$2:$A$18,Games!$I$2:$I$18,"Missing game",0)</x:f>
        <x:v>MIN</x:v>
      </x:c>
      <x:c r="AO2558" t="n">
        <x:f>_xlfn.XLOOKUP($A2558,Games!$A$2:$A$18,Games!$J$2:$J$18,"Missing game",0)</x:f>
        <x:v>23</x:v>
      </x:c>
      <x:c r="AP2558" t="n">
        <x:f>_xlfn.XLOOKUP($A2558,Games!$A$2:$A$18,Games!$K$2:$K$18,"Missing game",0)</x:f>
        <x:v>13</x:v>
      </x:c>
      <x:c r="AQ2558" t="n">
        <x:f>_xlfn.XLOOKUP($A2558,Games!$A$2:$A$18,Games!$L$2:$L$18,"Missing game",0)</x:f>
        <x:v>33</x:v>
      </x:c>
      <x:c r="AR2558" t="n">
        <x:f>_xlfn.XLOOKUP($A2558,Games!$A$2:$A$18,Games!$M$2:$M$18,"Missing game",0)</x:f>
        <x:v>0</x:v>
      </x:c>
      <x:c r="AS2558" t="str">
        <x:f>_xlfn.XLOOKUP($A2558,Games!$A$2:$A$18,Games!$N$2:$N$18,"Missing game",0)</x:f>
        <x:v>dome</x:v>
      </x:c>
      <x:c r="AT2558" t="str">
        <x:f>_xlfn.XLOOKUP($A2558,Games!$A$2:$A$18,Games!$O$2:$O$18,"Missing game",0)</x:f>
        <x:v>sportturf</x:v>
      </x:c>
      <x:c r="AU2558" t="str">
        <x:f>_xlfn.XLOOKUP($A2558,Games!$A$2:$A$18,Games!$P$2:$P$18,"Missing game",0)</x:f>
      </x:c>
      <x:c r="AV2558" t="str">
        <x:f>_xlfn.XLOOKUP($A2558,Games!$A$2:$A$18,Games!$Q$2:$Q$18,"Missing game",0)</x:f>
      </x:c>
      <x:c r="AW2558" t="str">
        <x:f>_xlfn.XLOOKUP($A2558,Games!$A$2:$A$18,Games!$R$2:$R$18,"Missing game",0)</x:f>
        <x:v>U.S. Bank Stadium</x:v>
      </x:c>
    </x:row>
    <x:row r="2559">
      <x:c r="A2559" t="str">
        <x:v>2025_17_DET_MIN</x:v>
      </x:c>
      <x:c r="B2559" t="n">
        <x:v>2016</x:v>
      </x:c>
      <x:c r="C2559" t="n">
        <x:v>3</x:v>
      </x:c>
      <x:c r="D2559" t="str">
        <x:v>11:18</x:v>
      </x:c>
      <x:c r="E2559" t="n">
        <x:v>4</x:v>
      </x:c>
      <x:c r="F2559" t="n">
        <x:v>1</x:v>
      </x:c>
      <x:c r="G2559" t="str">
        <x:v>DET</x:v>
      </x:c>
      <x:c r="H2559" t="str">
        <x:v>MIN</x:v>
      </x:c>
      <x:c r="I2559" t="str">
        <x:v>MIN</x:v>
      </x:c>
      <x:c r="J2559" t="n">
        <x:v>48</x:v>
      </x:c>
      <x:c r="K2559" t="str">
        <x:v>(11:18) (Run formation) PENALTY on DET-88-G.Ricci, False Start, 5 yards, enforced at MIN 48 - No Play.</x:v>
      </x:c>
      <x:c r="L2559" t="str">
        <x:v>no_play</x:v>
      </x:c>
      <x:c r="M2559" t="n">
        <x:v>0</x:v>
      </x:c>
      <x:c r="N2559" t="n">
        <x:v>0</x:v>
      </x:c>
      <x:c r="O2559" t="n">
        <x:v>0</x:v>
      </x:c>
      <x:c r="P2559"/>
      <x:c r="Q2559"/>
      <x:c r="R2559"/>
      <x:c r="S2559"/>
      <x:c r="T2559"/>
      <x:c r="U2559"/>
      <x:c r="V2559" t="n">
        <x:v>0</x:v>
      </x:c>
      <x:c r="W2559" t="n">
        <x:v>0</x:v>
      </x:c>
      <x:c r="X2559" t="n">
        <x:v>0</x:v>
      </x:c>
      <x:c r="Y2559" t="n">
        <x:v>0</x:v>
      </x:c>
      <x:c r="Z2559" t="n">
        <x:v>0</x:v>
      </x:c>
      <x:c r="AA2559" t="n">
        <x:v>1</x:v>
      </x:c>
      <x:c r="AB2559" t="n">
        <x:v>5</x:v>
      </x:c>
      <x:c r="AC2559" t="n">
        <x:v>0</x:v>
      </x:c>
      <x:c r="AD2559" t="n">
        <x:v>-0.9791758412029594</x:v>
      </x:c>
      <x:c r="AE2559" t="n">
        <x:v>0</x:v>
      </x:c>
      <x:c r="AF2559" t="n">
        <x:v>-0.03645005822181702</x:v>
      </x:c>
      <x:c r="AG2559" t="n">
        <x:f>_xlfn.XLOOKUP($A2559,Games!$A$2:$A$18,Games!$B$2:$B$18,"Missing game",0)</x:f>
        <x:v>2025</x:v>
      </x:c>
      <x:c r="AH2559" t="str">
        <x:f>_xlfn.XLOOKUP($A2559,Games!$A$2:$A$18,Games!$C$2:$C$18,"Missing game",0)</x:f>
        <x:v>REG</x:v>
      </x:c>
      <x:c r="AI2559" t="n">
        <x:f>_xlfn.XLOOKUP($A2559,Games!$A$2:$A$18,Games!$D$2:$D$18,"Missing game",0)</x:f>
        <x:v>17</x:v>
      </x:c>
      <x:c r="AJ2559" s="1" t="n">
        <x:f>_xlfn.XLOOKUP($A2559,Games!$A$2:$A$18,Games!$E$2:$E$18,"Missing game",0)</x:f>
        <x:v>46016</x:v>
      </x:c>
      <x:c r="AK2559" t="str">
        <x:f>_xlfn.XLOOKUP($A2559,Games!$A$2:$A$18,Games!$F$2:$F$18,"Missing game",0)</x:f>
        <x:v>Thursday</x:v>
      </x:c>
      <x:c r="AL2559" t="str">
        <x:f>_xlfn.XLOOKUP($A2559,Games!$A$2:$A$18,Games!$G$2:$G$18,"Missing game",0)</x:f>
        <x:v>DET</x:v>
      </x:c>
      <x:c r="AM2559" t="n">
        <x:f>_xlfn.XLOOKUP($A2559,Games!$A$2:$A$18,Games!$H$2:$H$18,"Missing game",0)</x:f>
        <x:v>10</x:v>
      </x:c>
      <x:c r="AN2559" t="str">
        <x:f>_xlfn.XLOOKUP($A2559,Games!$A$2:$A$18,Games!$I$2:$I$18,"Missing game",0)</x:f>
        <x:v>MIN</x:v>
      </x:c>
      <x:c r="AO2559" t="n">
        <x:f>_xlfn.XLOOKUP($A2559,Games!$A$2:$A$18,Games!$J$2:$J$18,"Missing game",0)</x:f>
        <x:v>23</x:v>
      </x:c>
      <x:c r="AP2559" t="n">
        <x:f>_xlfn.XLOOKUP($A2559,Games!$A$2:$A$18,Games!$K$2:$K$18,"Missing game",0)</x:f>
        <x:v>13</x:v>
      </x:c>
      <x:c r="AQ2559" t="n">
        <x:f>_xlfn.XLOOKUP($A2559,Games!$A$2:$A$18,Games!$L$2:$L$18,"Missing game",0)</x:f>
        <x:v>33</x:v>
      </x:c>
      <x:c r="AR2559" t="n">
        <x:f>_xlfn.XLOOKUP($A2559,Games!$A$2:$A$18,Games!$M$2:$M$18,"Missing game",0)</x:f>
        <x:v>0</x:v>
      </x:c>
      <x:c r="AS2559" t="str">
        <x:f>_xlfn.XLOOKUP($A2559,Games!$A$2:$A$18,Games!$N$2:$N$18,"Missing game",0)</x:f>
        <x:v>dome</x:v>
      </x:c>
      <x:c r="AT2559" t="str">
        <x:f>_xlfn.XLOOKUP($A2559,Games!$A$2:$A$18,Games!$O$2:$O$18,"Missing game",0)</x:f>
        <x:v>sportturf</x:v>
      </x:c>
      <x:c r="AU2559" t="str">
        <x:f>_xlfn.XLOOKUP($A2559,Games!$A$2:$A$18,Games!$P$2:$P$18,"Missing game",0)</x:f>
      </x:c>
      <x:c r="AV2559" t="str">
        <x:f>_xlfn.XLOOKUP($A2559,Games!$A$2:$A$18,Games!$Q$2:$Q$18,"Missing game",0)</x:f>
      </x:c>
      <x:c r="AW2559" t="str">
        <x:f>_xlfn.XLOOKUP($A2559,Games!$A$2:$A$18,Games!$R$2:$R$18,"Missing game",0)</x:f>
        <x:v>U.S. Bank Stadium</x:v>
      </x:c>
    </x:row>
    <x:row r="2560">
      <x:c r="A2560" t="str">
        <x:v>2025_17_DET_MIN</x:v>
      </x:c>
      <x:c r="B2560" t="n">
        <x:v>2040</x:v>
      </x:c>
      <x:c r="C2560" t="n">
        <x:v>3</x:v>
      </x:c>
      <x:c r="D2560" t="str">
        <x:v>11:11</x:v>
      </x:c>
      <x:c r="E2560" t="n">
        <x:v>4</x:v>
      </x:c>
      <x:c r="F2560" t="n">
        <x:v>6</x:v>
      </x:c>
      <x:c r="G2560" t="str">
        <x:v>DET</x:v>
      </x:c>
      <x:c r="H2560" t="str">
        <x:v>MIN</x:v>
      </x:c>
      <x:c r="I2560" t="str">
        <x:v>DET</x:v>
      </x:c>
      <x:c r="J2560" t="n">
        <x:v>53</x:v>
      </x:c>
      <x:c r="K2560" t="str">
        <x:v>(11:11) 3-J.Fox punts 39 yards to MIN 14, Center-49-H.Hatten, fair catch by 1-J.Nailor.</x:v>
      </x:c>
      <x:c r="L2560" t="str">
        <x:v>punt</x:v>
      </x:c>
      <x:c r="M2560" t="n">
        <x:v>0</x:v>
      </x:c>
      <x:c r="N2560" t="n">
        <x:v>0</x:v>
      </x:c>
      <x:c r="O2560" t="n">
        <x:v>0</x:v>
      </x:c>
      <x:c r="P2560"/>
      <x:c r="Q2560"/>
      <x:c r="R2560"/>
      <x:c r="S2560"/>
      <x:c r="T2560"/>
      <x:c r="U2560"/>
      <x:c r="V2560" t="n">
        <x:v>0</x:v>
      </x:c>
      <x:c r="W2560" t="n">
        <x:v>0</x:v>
      </x:c>
      <x:c r="X2560" t="n">
        <x:v>0</x:v>
      </x:c>
      <x:c r="Y2560" t="n">
        <x:v>0</x:v>
      </x:c>
      <x:c r="Z2560" t="n">
        <x:v>0</x:v>
      </x:c>
      <x:c r="AA2560" t="n">
        <x:v>0</x:v>
      </x:c>
      <x:c r="AB2560"/>
      <x:c r="AC2560" t="n">
        <x:v>0</x:v>
      </x:c>
      <x:c r="AD2560" t="n">
        <x:v>-0.40323624247685075</x:v>
      </x:c>
      <x:c r="AE2560" t="n">
        <x:v>0</x:v>
      </x:c>
      <x:c r="AF2560" t="n">
        <x:v>0.04803234338760376</x:v>
      </x:c>
      <x:c r="AG2560" t="n">
        <x:f>_xlfn.XLOOKUP($A2560,Games!$A$2:$A$18,Games!$B$2:$B$18,"Missing game",0)</x:f>
        <x:v>2025</x:v>
      </x:c>
      <x:c r="AH2560" t="str">
        <x:f>_xlfn.XLOOKUP($A2560,Games!$A$2:$A$18,Games!$C$2:$C$18,"Missing game",0)</x:f>
        <x:v>REG</x:v>
      </x:c>
      <x:c r="AI2560" t="n">
        <x:f>_xlfn.XLOOKUP($A2560,Games!$A$2:$A$18,Games!$D$2:$D$18,"Missing game",0)</x:f>
        <x:v>17</x:v>
      </x:c>
      <x:c r="AJ2560" s="1" t="n">
        <x:f>_xlfn.XLOOKUP($A2560,Games!$A$2:$A$18,Games!$E$2:$E$18,"Missing game",0)</x:f>
        <x:v>46016</x:v>
      </x:c>
      <x:c r="AK2560" t="str">
        <x:f>_xlfn.XLOOKUP($A2560,Games!$A$2:$A$18,Games!$F$2:$F$18,"Missing game",0)</x:f>
        <x:v>Thursday</x:v>
      </x:c>
      <x:c r="AL2560" t="str">
        <x:f>_xlfn.XLOOKUP($A2560,Games!$A$2:$A$18,Games!$G$2:$G$18,"Missing game",0)</x:f>
        <x:v>DET</x:v>
      </x:c>
      <x:c r="AM2560" t="n">
        <x:f>_xlfn.XLOOKUP($A2560,Games!$A$2:$A$18,Games!$H$2:$H$18,"Missing game",0)</x:f>
        <x:v>10</x:v>
      </x:c>
      <x:c r="AN2560" t="str">
        <x:f>_xlfn.XLOOKUP($A2560,Games!$A$2:$A$18,Games!$I$2:$I$18,"Missing game",0)</x:f>
        <x:v>MIN</x:v>
      </x:c>
      <x:c r="AO2560" t="n">
        <x:f>_xlfn.XLOOKUP($A2560,Games!$A$2:$A$18,Games!$J$2:$J$18,"Missing game",0)</x:f>
        <x:v>23</x:v>
      </x:c>
      <x:c r="AP2560" t="n">
        <x:f>_xlfn.XLOOKUP($A2560,Games!$A$2:$A$18,Games!$K$2:$K$18,"Missing game",0)</x:f>
        <x:v>13</x:v>
      </x:c>
      <x:c r="AQ2560" t="n">
        <x:f>_xlfn.XLOOKUP($A2560,Games!$A$2:$A$18,Games!$L$2:$L$18,"Missing game",0)</x:f>
        <x:v>33</x:v>
      </x:c>
      <x:c r="AR2560" t="n">
        <x:f>_xlfn.XLOOKUP($A2560,Games!$A$2:$A$18,Games!$M$2:$M$18,"Missing game",0)</x:f>
        <x:v>0</x:v>
      </x:c>
      <x:c r="AS2560" t="str">
        <x:f>_xlfn.XLOOKUP($A2560,Games!$A$2:$A$18,Games!$N$2:$N$18,"Missing game",0)</x:f>
        <x:v>dome</x:v>
      </x:c>
      <x:c r="AT2560" t="str">
        <x:f>_xlfn.XLOOKUP($A2560,Games!$A$2:$A$18,Games!$O$2:$O$18,"Missing game",0)</x:f>
        <x:v>sportturf</x:v>
      </x:c>
      <x:c r="AU2560" t="str">
        <x:f>_xlfn.XLOOKUP($A2560,Games!$A$2:$A$18,Games!$P$2:$P$18,"Missing game",0)</x:f>
      </x:c>
      <x:c r="AV2560" t="str">
        <x:f>_xlfn.XLOOKUP($A2560,Games!$A$2:$A$18,Games!$Q$2:$Q$18,"Missing game",0)</x:f>
      </x:c>
      <x:c r="AW2560" t="str">
        <x:f>_xlfn.XLOOKUP($A2560,Games!$A$2:$A$18,Games!$R$2:$R$18,"Missing game",0)</x:f>
        <x:v>U.S. Bank Stadium</x:v>
      </x:c>
    </x:row>
    <x:row r="2561">
      <x:c r="A2561" t="str">
        <x:v>2025_17_DET_MIN</x:v>
      </x:c>
      <x:c r="B2561" t="n">
        <x:v>2060</x:v>
      </x:c>
      <x:c r="C2561" t="n">
        <x:v>3</x:v>
      </x:c>
      <x:c r="D2561" t="str">
        <x:v>11:05</x:v>
      </x:c>
      <x:c r="E2561" t="n">
        <x:v>1</x:v>
      </x:c>
      <x:c r="F2561" t="n">
        <x:v>10</x:v>
      </x:c>
      <x:c r="G2561" t="str">
        <x:v>MIN</x:v>
      </x:c>
      <x:c r="H2561" t="str">
        <x:v>DET</x:v>
      </x:c>
      <x:c r="I2561" t="str">
        <x:v>MIN</x:v>
      </x:c>
      <x:c r="J2561" t="n">
        <x:v>86</x:v>
      </x:c>
      <x:c r="K2561" t="str">
        <x:v>(11:05) 33-A.Jones right end to MIN 15 for 1 yard (46-J.Campbell; 92-M.Davenport). ** Injury Update: MIN-33-A.Jones has returned to the game.</x:v>
      </x:c>
      <x:c r="L2561" t="str">
        <x:v>run</x:v>
      </x:c>
      <x:c r="M2561" t="n">
        <x:v>1</x:v>
      </x:c>
      <x:c r="N2561" t="n">
        <x:v>0</x:v>
      </x:c>
      <x:c r="O2561" t="n">
        <x:v>0</x:v>
      </x:c>
      <x:c r="P2561"/>
      <x:c r="Q2561"/>
      <x:c r="R2561"/>
      <x:c r="S2561"/>
      <x:c r="T2561" t="str">
        <x:v>right</x:v>
      </x:c>
      <x:c r="U2561" t="str">
        <x:v>end</x:v>
      </x:c>
      <x:c r="V2561" t="n">
        <x:v>0</x:v>
      </x:c>
      <x:c r="W2561" t="n">
        <x:v>0</x:v>
      </x:c>
      <x:c r="X2561" t="n">
        <x:v>0</x:v>
      </x:c>
      <x:c r="Y2561" t="n">
        <x:v>0</x:v>
      </x:c>
      <x:c r="Z2561" t="n">
        <x:v>0</x:v>
      </x:c>
      <x:c r="AA2561" t="n">
        <x:v>0</x:v>
      </x:c>
      <x:c r="AB2561"/>
      <x:c r="AC2561" t="n">
        <x:v>0</x:v>
      </x:c>
      <x:c r="AD2561" t="n">
        <x:v>-0.5431593614630401</x:v>
      </x:c>
      <x:c r="AE2561" t="n">
        <x:v>0</x:v>
      </x:c>
      <x:c r="AF2561" t="n">
        <x:v>-0.013080775737762451</x:v>
      </x:c>
      <x:c r="AG2561" t="n">
        <x:f>_xlfn.XLOOKUP($A2561,Games!$A$2:$A$18,Games!$B$2:$B$18,"Missing game",0)</x:f>
        <x:v>2025</x:v>
      </x:c>
      <x:c r="AH2561" t="str">
        <x:f>_xlfn.XLOOKUP($A2561,Games!$A$2:$A$18,Games!$C$2:$C$18,"Missing game",0)</x:f>
        <x:v>REG</x:v>
      </x:c>
      <x:c r="AI2561" t="n">
        <x:f>_xlfn.XLOOKUP($A2561,Games!$A$2:$A$18,Games!$D$2:$D$18,"Missing game",0)</x:f>
        <x:v>17</x:v>
      </x:c>
      <x:c r="AJ2561" s="1" t="n">
        <x:f>_xlfn.XLOOKUP($A2561,Games!$A$2:$A$18,Games!$E$2:$E$18,"Missing game",0)</x:f>
        <x:v>46016</x:v>
      </x:c>
      <x:c r="AK2561" t="str">
        <x:f>_xlfn.XLOOKUP($A2561,Games!$A$2:$A$18,Games!$F$2:$F$18,"Missing game",0)</x:f>
        <x:v>Thursday</x:v>
      </x:c>
      <x:c r="AL2561" t="str">
        <x:f>_xlfn.XLOOKUP($A2561,Games!$A$2:$A$18,Games!$G$2:$G$18,"Missing game",0)</x:f>
        <x:v>DET</x:v>
      </x:c>
      <x:c r="AM2561" t="n">
        <x:f>_xlfn.XLOOKUP($A2561,Games!$A$2:$A$18,Games!$H$2:$H$18,"Missing game",0)</x:f>
        <x:v>10</x:v>
      </x:c>
      <x:c r="AN2561" t="str">
        <x:f>_xlfn.XLOOKUP($A2561,Games!$A$2:$A$18,Games!$I$2:$I$18,"Missing game",0)</x:f>
        <x:v>MIN</x:v>
      </x:c>
      <x:c r="AO2561" t="n">
        <x:f>_xlfn.XLOOKUP($A2561,Games!$A$2:$A$18,Games!$J$2:$J$18,"Missing game",0)</x:f>
        <x:v>23</x:v>
      </x:c>
      <x:c r="AP2561" t="n">
        <x:f>_xlfn.XLOOKUP($A2561,Games!$A$2:$A$18,Games!$K$2:$K$18,"Missing game",0)</x:f>
        <x:v>13</x:v>
      </x:c>
      <x:c r="AQ2561" t="n">
        <x:f>_xlfn.XLOOKUP($A2561,Games!$A$2:$A$18,Games!$L$2:$L$18,"Missing game",0)</x:f>
        <x:v>33</x:v>
      </x:c>
      <x:c r="AR2561" t="n">
        <x:f>_xlfn.XLOOKUP($A2561,Games!$A$2:$A$18,Games!$M$2:$M$18,"Missing game",0)</x:f>
        <x:v>0</x:v>
      </x:c>
      <x:c r="AS2561" t="str">
        <x:f>_xlfn.XLOOKUP($A2561,Games!$A$2:$A$18,Games!$N$2:$N$18,"Missing game",0)</x:f>
        <x:v>dome</x:v>
      </x:c>
      <x:c r="AT2561" t="str">
        <x:f>_xlfn.XLOOKUP($A2561,Games!$A$2:$A$18,Games!$O$2:$O$18,"Missing game",0)</x:f>
        <x:v>sportturf</x:v>
      </x:c>
      <x:c r="AU2561" t="str">
        <x:f>_xlfn.XLOOKUP($A2561,Games!$A$2:$A$18,Games!$P$2:$P$18,"Missing game",0)</x:f>
      </x:c>
      <x:c r="AV2561" t="str">
        <x:f>_xlfn.XLOOKUP($A2561,Games!$A$2:$A$18,Games!$Q$2:$Q$18,"Missing game",0)</x:f>
      </x:c>
      <x:c r="AW2561" t="str">
        <x:f>_xlfn.XLOOKUP($A2561,Games!$A$2:$A$18,Games!$R$2:$R$18,"Missing game",0)</x:f>
        <x:v>U.S. Bank Stadium</x:v>
      </x:c>
    </x:row>
    <x:row r="2562">
      <x:c r="A2562" t="str">
        <x:v>2025_17_DET_MIN</x:v>
      </x:c>
      <x:c r="B2562" t="n">
        <x:v>2089</x:v>
      </x:c>
      <x:c r="C2562" t="n">
        <x:v>3</x:v>
      </x:c>
      <x:c r="D2562" t="str">
        <x:v>10:26</x:v>
      </x:c>
      <x:c r="E2562" t="n">
        <x:v>2</x:v>
      </x:c>
      <x:c r="F2562" t="n">
        <x:v>9</x:v>
      </x:c>
      <x:c r="G2562" t="str">
        <x:v>MIN</x:v>
      </x:c>
      <x:c r="H2562" t="str">
        <x:v>DET</x:v>
      </x:c>
      <x:c r="I2562" t="str">
        <x:v>MIN</x:v>
      </x:c>
      <x:c r="J2562" t="n">
        <x:v>85</x:v>
      </x:c>
      <x:c r="K2562" t="str">
        <x:v>(10:26) (Shotgun) 12-M.Brosmer pass incomplete short left to 84-J.Oliver (13-J.Mills).</x:v>
      </x:c>
      <x:c r="L2562" t="str">
        <x:v>pass</x:v>
      </x:c>
      <x:c r="M2562" t="n">
        <x:v>0</x:v>
      </x:c>
      <x:c r="N2562" t="n">
        <x:v>1</x:v>
      </x:c>
      <x:c r="O2562" t="n">
        <x:v>0</x:v>
      </x:c>
      <x:c r="P2562" t="str">
        <x:v>short</x:v>
      </x:c>
      <x:c r="Q2562" t="str">
        <x:v>left</x:v>
      </x:c>
      <x:c r="R2562" t="n">
        <x:v>5</x:v>
      </x:c>
      <x:c r="S2562"/>
      <x:c r="T2562"/>
      <x:c r="U2562"/>
      <x:c r="V2562" t="n">
        <x:v>0</x:v>
      </x:c>
      <x:c r="W2562" t="n">
        <x:v>0</x:v>
      </x:c>
      <x:c r="X2562" t="n">
        <x:v>0</x:v>
      </x:c>
      <x:c r="Y2562" t="n">
        <x:v>0</x:v>
      </x:c>
      <x:c r="Z2562" t="n">
        <x:v>0</x:v>
      </x:c>
      <x:c r="AA2562" t="n">
        <x:v>0</x:v>
      </x:c>
      <x:c r="AB2562"/>
      <x:c r="AC2562" t="n">
        <x:v>0</x:v>
      </x:c>
      <x:c r="AD2562" t="n">
        <x:v>-0.7947898842394352</x:v>
      </x:c>
      <x:c r="AE2562" t="n">
        <x:v>0</x:v>
      </x:c>
      <x:c r="AF2562" t="n">
        <x:v>-0.0346066951751709</x:v>
      </x:c>
      <x:c r="AG2562" t="n">
        <x:f>_xlfn.XLOOKUP($A2562,Games!$A$2:$A$18,Games!$B$2:$B$18,"Missing game",0)</x:f>
        <x:v>2025</x:v>
      </x:c>
      <x:c r="AH2562" t="str">
        <x:f>_xlfn.XLOOKUP($A2562,Games!$A$2:$A$18,Games!$C$2:$C$18,"Missing game",0)</x:f>
        <x:v>REG</x:v>
      </x:c>
      <x:c r="AI2562" t="n">
        <x:f>_xlfn.XLOOKUP($A2562,Games!$A$2:$A$18,Games!$D$2:$D$18,"Missing game",0)</x:f>
        <x:v>17</x:v>
      </x:c>
      <x:c r="AJ2562" s="1" t="n">
        <x:f>_xlfn.XLOOKUP($A2562,Games!$A$2:$A$18,Games!$E$2:$E$18,"Missing game",0)</x:f>
        <x:v>46016</x:v>
      </x:c>
      <x:c r="AK2562" t="str">
        <x:f>_xlfn.XLOOKUP($A2562,Games!$A$2:$A$18,Games!$F$2:$F$18,"Missing game",0)</x:f>
        <x:v>Thursday</x:v>
      </x:c>
      <x:c r="AL2562" t="str">
        <x:f>_xlfn.XLOOKUP($A2562,Games!$A$2:$A$18,Games!$G$2:$G$18,"Missing game",0)</x:f>
        <x:v>DET</x:v>
      </x:c>
      <x:c r="AM2562" t="n">
        <x:f>_xlfn.XLOOKUP($A2562,Games!$A$2:$A$18,Games!$H$2:$H$18,"Missing game",0)</x:f>
        <x:v>10</x:v>
      </x:c>
      <x:c r="AN2562" t="str">
        <x:f>_xlfn.XLOOKUP($A2562,Games!$A$2:$A$18,Games!$I$2:$I$18,"Missing game",0)</x:f>
        <x:v>MIN</x:v>
      </x:c>
      <x:c r="AO2562" t="n">
        <x:f>_xlfn.XLOOKUP($A2562,Games!$A$2:$A$18,Games!$J$2:$J$18,"Missing game",0)</x:f>
        <x:v>23</x:v>
      </x:c>
      <x:c r="AP2562" t="n">
        <x:f>_xlfn.XLOOKUP($A2562,Games!$A$2:$A$18,Games!$K$2:$K$18,"Missing game",0)</x:f>
        <x:v>13</x:v>
      </x:c>
      <x:c r="AQ2562" t="n">
        <x:f>_xlfn.XLOOKUP($A2562,Games!$A$2:$A$18,Games!$L$2:$L$18,"Missing game",0)</x:f>
        <x:v>33</x:v>
      </x:c>
      <x:c r="AR2562" t="n">
        <x:f>_xlfn.XLOOKUP($A2562,Games!$A$2:$A$18,Games!$M$2:$M$18,"Missing game",0)</x:f>
        <x:v>0</x:v>
      </x:c>
      <x:c r="AS2562" t="str">
        <x:f>_xlfn.XLOOKUP($A2562,Games!$A$2:$A$18,Games!$N$2:$N$18,"Missing game",0)</x:f>
        <x:v>dome</x:v>
      </x:c>
      <x:c r="AT2562" t="str">
        <x:f>_xlfn.XLOOKUP($A2562,Games!$A$2:$A$18,Games!$O$2:$O$18,"Missing game",0)</x:f>
        <x:v>sportturf</x:v>
      </x:c>
      <x:c r="AU2562" t="str">
        <x:f>_xlfn.XLOOKUP($A2562,Games!$A$2:$A$18,Games!$P$2:$P$18,"Missing game",0)</x:f>
      </x:c>
      <x:c r="AV2562" t="str">
        <x:f>_xlfn.XLOOKUP($A2562,Games!$A$2:$A$18,Games!$Q$2:$Q$18,"Missing game",0)</x:f>
      </x:c>
      <x:c r="AW2562" t="str">
        <x:f>_xlfn.XLOOKUP($A2562,Games!$A$2:$A$18,Games!$R$2:$R$18,"Missing game",0)</x:f>
        <x:v>U.S. Bank Stadium</x:v>
      </x:c>
    </x:row>
    <x:row r="2563">
      <x:c r="A2563" t="str">
        <x:v>2025_17_DET_MIN</x:v>
      </x:c>
      <x:c r="B2563" t="n">
        <x:v>2115</x:v>
      </x:c>
      <x:c r="C2563" t="n">
        <x:v>3</x:v>
      </x:c>
      <x:c r="D2563" t="str">
        <x:v>10:22</x:v>
      </x:c>
      <x:c r="E2563" t="n">
        <x:v>3</x:v>
      </x:c>
      <x:c r="F2563" t="n">
        <x:v>9</x:v>
      </x:c>
      <x:c r="G2563" t="str">
        <x:v>MIN</x:v>
      </x:c>
      <x:c r="H2563" t="str">
        <x:v>DET</x:v>
      </x:c>
      <x:c r="I2563" t="str">
        <x:v>MIN</x:v>
      </x:c>
      <x:c r="J2563" t="n">
        <x:v>85</x:v>
      </x:c>
      <x:c r="K2563" t="str">
        <x:v>(10:22) (Shotgun) 12-M.Brosmer pass short left to 18-J.Jefferson to MIN 21 for 6 yards (23-R.Ya-Sin; 21-A.Robertson).</x:v>
      </x:c>
      <x:c r="L2563" t="str">
        <x:v>pass</x:v>
      </x:c>
      <x:c r="M2563" t="n">
        <x:v>6</x:v>
      </x:c>
      <x:c r="N2563" t="n">
        <x:v>1</x:v>
      </x:c>
      <x:c r="O2563" t="n">
        <x:v>0</x:v>
      </x:c>
      <x:c r="P2563" t="str">
        <x:v>short</x:v>
      </x:c>
      <x:c r="Q2563" t="str">
        <x:v>left</x:v>
      </x:c>
      <x:c r="R2563" t="n">
        <x:v>6</x:v>
      </x:c>
      <x:c r="S2563" t="n">
        <x:v>0</x:v>
      </x:c>
      <x:c r="T2563"/>
      <x:c r="U2563"/>
      <x:c r="V2563" t="n">
        <x:v>1</x:v>
      </x:c>
      <x:c r="W2563" t="n">
        <x:v>0</x:v>
      </x:c>
      <x:c r="X2563" t="n">
        <x:v>0</x:v>
      </x:c>
      <x:c r="Y2563" t="n">
        <x:v>0</x:v>
      </x:c>
      <x:c r="Z2563" t="n">
        <x:v>0</x:v>
      </x:c>
      <x:c r="AA2563" t="n">
        <x:v>0</x:v>
      </x:c>
      <x:c r="AB2563"/>
      <x:c r="AC2563" t="n">
        <x:v>0</x:v>
      </x:c>
      <x:c r="AD2563" t="n">
        <x:v>-0.9721997827291489</x:v>
      </x:c>
      <x:c r="AE2563" t="n">
        <x:v>0</x:v>
      </x:c>
      <x:c r="AF2563" t="n">
        <x:v>-0.028156578540802002</x:v>
      </x:c>
      <x:c r="AG2563" t="n">
        <x:f>_xlfn.XLOOKUP($A2563,Games!$A$2:$A$18,Games!$B$2:$B$18,"Missing game",0)</x:f>
        <x:v>2025</x:v>
      </x:c>
      <x:c r="AH2563" t="str">
        <x:f>_xlfn.XLOOKUP($A2563,Games!$A$2:$A$18,Games!$C$2:$C$18,"Missing game",0)</x:f>
        <x:v>REG</x:v>
      </x:c>
      <x:c r="AI2563" t="n">
        <x:f>_xlfn.XLOOKUP($A2563,Games!$A$2:$A$18,Games!$D$2:$D$18,"Missing game",0)</x:f>
        <x:v>17</x:v>
      </x:c>
      <x:c r="AJ2563" s="1" t="n">
        <x:f>_xlfn.XLOOKUP($A2563,Games!$A$2:$A$18,Games!$E$2:$E$18,"Missing game",0)</x:f>
        <x:v>46016</x:v>
      </x:c>
      <x:c r="AK2563" t="str">
        <x:f>_xlfn.XLOOKUP($A2563,Games!$A$2:$A$18,Games!$F$2:$F$18,"Missing game",0)</x:f>
        <x:v>Thursday</x:v>
      </x:c>
      <x:c r="AL2563" t="str">
        <x:f>_xlfn.XLOOKUP($A2563,Games!$A$2:$A$18,Games!$G$2:$G$18,"Missing game",0)</x:f>
        <x:v>DET</x:v>
      </x:c>
      <x:c r="AM2563" t="n">
        <x:f>_xlfn.XLOOKUP($A2563,Games!$A$2:$A$18,Games!$H$2:$H$18,"Missing game",0)</x:f>
        <x:v>10</x:v>
      </x:c>
      <x:c r="AN2563" t="str">
        <x:f>_xlfn.XLOOKUP($A2563,Games!$A$2:$A$18,Games!$I$2:$I$18,"Missing game",0)</x:f>
        <x:v>MIN</x:v>
      </x:c>
      <x:c r="AO2563" t="n">
        <x:f>_xlfn.XLOOKUP($A2563,Games!$A$2:$A$18,Games!$J$2:$J$18,"Missing game",0)</x:f>
        <x:v>23</x:v>
      </x:c>
      <x:c r="AP2563" t="n">
        <x:f>_xlfn.XLOOKUP($A2563,Games!$A$2:$A$18,Games!$K$2:$K$18,"Missing game",0)</x:f>
        <x:v>13</x:v>
      </x:c>
      <x:c r="AQ2563" t="n">
        <x:f>_xlfn.XLOOKUP($A2563,Games!$A$2:$A$18,Games!$L$2:$L$18,"Missing game",0)</x:f>
        <x:v>33</x:v>
      </x:c>
      <x:c r="AR2563" t="n">
        <x:f>_xlfn.XLOOKUP($A2563,Games!$A$2:$A$18,Games!$M$2:$M$18,"Missing game",0)</x:f>
        <x:v>0</x:v>
      </x:c>
      <x:c r="AS2563" t="str">
        <x:f>_xlfn.XLOOKUP($A2563,Games!$A$2:$A$18,Games!$N$2:$N$18,"Missing game",0)</x:f>
        <x:v>dome</x:v>
      </x:c>
      <x:c r="AT2563" t="str">
        <x:f>_xlfn.XLOOKUP($A2563,Games!$A$2:$A$18,Games!$O$2:$O$18,"Missing game",0)</x:f>
        <x:v>sportturf</x:v>
      </x:c>
      <x:c r="AU2563" t="str">
        <x:f>_xlfn.XLOOKUP($A2563,Games!$A$2:$A$18,Games!$P$2:$P$18,"Missing game",0)</x:f>
      </x:c>
      <x:c r="AV2563" t="str">
        <x:f>_xlfn.XLOOKUP($A2563,Games!$A$2:$A$18,Games!$Q$2:$Q$18,"Missing game",0)</x:f>
      </x:c>
      <x:c r="AW2563" t="str">
        <x:f>_xlfn.XLOOKUP($A2563,Games!$A$2:$A$18,Games!$R$2:$R$18,"Missing game",0)</x:f>
        <x:v>U.S. Bank Stadium</x:v>
      </x:c>
    </x:row>
    <x:row r="2564">
      <x:c r="A2564" t="str">
        <x:v>2025_17_DET_MIN</x:v>
      </x:c>
      <x:c r="B2564" t="n">
        <x:v>2140</x:v>
      </x:c>
      <x:c r="C2564" t="n">
        <x:v>3</x:v>
      </x:c>
      <x:c r="D2564" t="str">
        <x:v>09:44</x:v>
      </x:c>
      <x:c r="E2564" t="n">
        <x:v>4</x:v>
      </x:c>
      <x:c r="F2564" t="n">
        <x:v>3</x:v>
      </x:c>
      <x:c r="G2564" t="str">
        <x:v>MIN</x:v>
      </x:c>
      <x:c r="H2564" t="str">
        <x:v>DET</x:v>
      </x:c>
      <x:c r="I2564" t="str">
        <x:v>MIN</x:v>
      </x:c>
      <x:c r="J2564" t="n">
        <x:v>79</x:v>
      </x:c>
      <x:c r="K2564" t="str">
        <x:v>(9:44) 17-R.Wright punts 46 yards to DET 33, Center-42-A.DePaola. 11-K.Raymond pushed ob at DET 36 for 3 yards (36-Z.Scott).</x:v>
      </x:c>
      <x:c r="L2564" t="str">
        <x:v>punt</x:v>
      </x:c>
      <x:c r="M2564" t="n">
        <x:v>0</x:v>
      </x:c>
      <x:c r="N2564" t="n">
        <x:v>0</x:v>
      </x:c>
      <x:c r="O2564" t="n">
        <x:v>0</x:v>
      </x:c>
      <x:c r="P2564"/>
      <x:c r="Q2564"/>
      <x:c r="R2564"/>
      <x:c r="S2564"/>
      <x:c r="T2564"/>
      <x:c r="U2564"/>
      <x:c r="V2564" t="n">
        <x:v>0</x:v>
      </x:c>
      <x:c r="W2564" t="n">
        <x:v>0</x:v>
      </x:c>
      <x:c r="X2564" t="n">
        <x:v>0</x:v>
      </x:c>
      <x:c r="Y2564" t="n">
        <x:v>0</x:v>
      </x:c>
      <x:c r="Z2564" t="n">
        <x:v>0</x:v>
      </x:c>
      <x:c r="AA2564" t="n">
        <x:v>0</x:v>
      </x:c>
      <x:c r="AB2564"/>
      <x:c r="AC2564" t="n">
        <x:v>0</x:v>
      </x:c>
      <x:c r="AD2564" t="n">
        <x:v>-0.3036416918039322</x:v>
      </x:c>
      <x:c r="AE2564" t="n">
        <x:v>0</x:v>
      </x:c>
      <x:c r="AF2564" t="n">
        <x:v>0.03281545639038086</x:v>
      </x:c>
      <x:c r="AG2564" t="n">
        <x:f>_xlfn.XLOOKUP($A2564,Games!$A$2:$A$18,Games!$B$2:$B$18,"Missing game",0)</x:f>
        <x:v>2025</x:v>
      </x:c>
      <x:c r="AH2564" t="str">
        <x:f>_xlfn.XLOOKUP($A2564,Games!$A$2:$A$18,Games!$C$2:$C$18,"Missing game",0)</x:f>
        <x:v>REG</x:v>
      </x:c>
      <x:c r="AI2564" t="n">
        <x:f>_xlfn.XLOOKUP($A2564,Games!$A$2:$A$18,Games!$D$2:$D$18,"Missing game",0)</x:f>
        <x:v>17</x:v>
      </x:c>
      <x:c r="AJ2564" s="1" t="n">
        <x:f>_xlfn.XLOOKUP($A2564,Games!$A$2:$A$18,Games!$E$2:$E$18,"Missing game",0)</x:f>
        <x:v>46016</x:v>
      </x:c>
      <x:c r="AK2564" t="str">
        <x:f>_xlfn.XLOOKUP($A2564,Games!$A$2:$A$18,Games!$F$2:$F$18,"Missing game",0)</x:f>
        <x:v>Thursday</x:v>
      </x:c>
      <x:c r="AL2564" t="str">
        <x:f>_xlfn.XLOOKUP($A2564,Games!$A$2:$A$18,Games!$G$2:$G$18,"Missing game",0)</x:f>
        <x:v>DET</x:v>
      </x:c>
      <x:c r="AM2564" t="n">
        <x:f>_xlfn.XLOOKUP($A2564,Games!$A$2:$A$18,Games!$H$2:$H$18,"Missing game",0)</x:f>
        <x:v>10</x:v>
      </x:c>
      <x:c r="AN2564" t="str">
        <x:f>_xlfn.XLOOKUP($A2564,Games!$A$2:$A$18,Games!$I$2:$I$18,"Missing game",0)</x:f>
        <x:v>MIN</x:v>
      </x:c>
      <x:c r="AO2564" t="n">
        <x:f>_xlfn.XLOOKUP($A2564,Games!$A$2:$A$18,Games!$J$2:$J$18,"Missing game",0)</x:f>
        <x:v>23</x:v>
      </x:c>
      <x:c r="AP2564" t="n">
        <x:f>_xlfn.XLOOKUP($A2564,Games!$A$2:$A$18,Games!$K$2:$K$18,"Missing game",0)</x:f>
        <x:v>13</x:v>
      </x:c>
      <x:c r="AQ2564" t="n">
        <x:f>_xlfn.XLOOKUP($A2564,Games!$A$2:$A$18,Games!$L$2:$L$18,"Missing game",0)</x:f>
        <x:v>33</x:v>
      </x:c>
      <x:c r="AR2564" t="n">
        <x:f>_xlfn.XLOOKUP($A2564,Games!$A$2:$A$18,Games!$M$2:$M$18,"Missing game",0)</x:f>
        <x:v>0</x:v>
      </x:c>
      <x:c r="AS2564" t="str">
        <x:f>_xlfn.XLOOKUP($A2564,Games!$A$2:$A$18,Games!$N$2:$N$18,"Missing game",0)</x:f>
        <x:v>dome</x:v>
      </x:c>
      <x:c r="AT2564" t="str">
        <x:f>_xlfn.XLOOKUP($A2564,Games!$A$2:$A$18,Games!$O$2:$O$18,"Missing game",0)</x:f>
        <x:v>sportturf</x:v>
      </x:c>
      <x:c r="AU2564" t="str">
        <x:f>_xlfn.XLOOKUP($A2564,Games!$A$2:$A$18,Games!$P$2:$P$18,"Missing game",0)</x:f>
      </x:c>
      <x:c r="AV2564" t="str">
        <x:f>_xlfn.XLOOKUP($A2564,Games!$A$2:$A$18,Games!$Q$2:$Q$18,"Missing game",0)</x:f>
      </x:c>
      <x:c r="AW2564" t="str">
        <x:f>_xlfn.XLOOKUP($A2564,Games!$A$2:$A$18,Games!$R$2:$R$18,"Missing game",0)</x:f>
        <x:v>U.S. Bank Stadium</x:v>
      </x:c>
    </x:row>
    <x:row r="2565">
      <x:c r="A2565" t="str">
        <x:v>2025_17_DET_MIN</x:v>
      </x:c>
      <x:c r="B2565" t="n">
        <x:v>2171</x:v>
      </x:c>
      <x:c r="C2565" t="n">
        <x:v>3</x:v>
      </x:c>
      <x:c r="D2565" t="str">
        <x:v>09:33</x:v>
      </x:c>
      <x:c r="E2565" t="n">
        <x:v>1</x:v>
      </x:c>
      <x:c r="F2565" t="n">
        <x:v>10</x:v>
      </x:c>
      <x:c r="G2565" t="str">
        <x:v>DET</x:v>
      </x:c>
      <x:c r="H2565" t="str">
        <x:v>MIN</x:v>
      </x:c>
      <x:c r="I2565" t="str">
        <x:v>DET</x:v>
      </x:c>
      <x:c r="J2565" t="n">
        <x:v>64</x:v>
      </x:c>
      <x:c r="K2565" t="str">
        <x:v>(9:33) 0-J.Gibbs right end to DET 37 for 1 yard (24-J.Ward; 93-J.Allen).</x:v>
      </x:c>
      <x:c r="L2565" t="str">
        <x:v>run</x:v>
      </x:c>
      <x:c r="M2565" t="n">
        <x:v>1</x:v>
      </x:c>
      <x:c r="N2565" t="n">
        <x:v>0</x:v>
      </x:c>
      <x:c r="O2565" t="n">
        <x:v>0</x:v>
      </x:c>
      <x:c r="P2565"/>
      <x:c r="Q2565"/>
      <x:c r="R2565"/>
      <x:c r="S2565"/>
      <x:c r="T2565" t="str">
        <x:v>right</x:v>
      </x:c>
      <x:c r="U2565" t="str">
        <x:v>end</x:v>
      </x:c>
      <x:c r="V2565" t="n">
        <x:v>0</x:v>
      </x:c>
      <x:c r="W2565" t="n">
        <x:v>0</x:v>
      </x:c>
      <x:c r="X2565" t="n">
        <x:v>0</x:v>
      </x:c>
      <x:c r="Y2565" t="n">
        <x:v>0</x:v>
      </x:c>
      <x:c r="Z2565" t="n">
        <x:v>0</x:v>
      </x:c>
      <x:c r="AA2565" t="n">
        <x:v>0</x:v>
      </x:c>
      <x:c r="AB2565"/>
      <x:c r="AC2565" t="n">
        <x:v>0</x:v>
      </x:c>
      <x:c r="AD2565" t="n">
        <x:v>-0.5607074163854122</x:v>
      </x:c>
      <x:c r="AE2565" t="n">
        <x:v>0</x:v>
      </x:c>
      <x:c r="AF2565" t="n">
        <x:v>-0.01831519603729248</x:v>
      </x:c>
      <x:c r="AG2565" t="n">
        <x:f>_xlfn.XLOOKUP($A2565,Games!$A$2:$A$18,Games!$B$2:$B$18,"Missing game",0)</x:f>
        <x:v>2025</x:v>
      </x:c>
      <x:c r="AH2565" t="str">
        <x:f>_xlfn.XLOOKUP($A2565,Games!$A$2:$A$18,Games!$C$2:$C$18,"Missing game",0)</x:f>
        <x:v>REG</x:v>
      </x:c>
      <x:c r="AI2565" t="n">
        <x:f>_xlfn.XLOOKUP($A2565,Games!$A$2:$A$18,Games!$D$2:$D$18,"Missing game",0)</x:f>
        <x:v>17</x:v>
      </x:c>
      <x:c r="AJ2565" s="1" t="n">
        <x:f>_xlfn.XLOOKUP($A2565,Games!$A$2:$A$18,Games!$E$2:$E$18,"Missing game",0)</x:f>
        <x:v>46016</x:v>
      </x:c>
      <x:c r="AK2565" t="str">
        <x:f>_xlfn.XLOOKUP($A2565,Games!$A$2:$A$18,Games!$F$2:$F$18,"Missing game",0)</x:f>
        <x:v>Thursday</x:v>
      </x:c>
      <x:c r="AL2565" t="str">
        <x:f>_xlfn.XLOOKUP($A2565,Games!$A$2:$A$18,Games!$G$2:$G$18,"Missing game",0)</x:f>
        <x:v>DET</x:v>
      </x:c>
      <x:c r="AM2565" t="n">
        <x:f>_xlfn.XLOOKUP($A2565,Games!$A$2:$A$18,Games!$H$2:$H$18,"Missing game",0)</x:f>
        <x:v>10</x:v>
      </x:c>
      <x:c r="AN2565" t="str">
        <x:f>_xlfn.XLOOKUP($A2565,Games!$A$2:$A$18,Games!$I$2:$I$18,"Missing game",0)</x:f>
        <x:v>MIN</x:v>
      </x:c>
      <x:c r="AO2565" t="n">
        <x:f>_xlfn.XLOOKUP($A2565,Games!$A$2:$A$18,Games!$J$2:$J$18,"Missing game",0)</x:f>
        <x:v>23</x:v>
      </x:c>
      <x:c r="AP2565" t="n">
        <x:f>_xlfn.XLOOKUP($A2565,Games!$A$2:$A$18,Games!$K$2:$K$18,"Missing game",0)</x:f>
        <x:v>13</x:v>
      </x:c>
      <x:c r="AQ2565" t="n">
        <x:f>_xlfn.XLOOKUP($A2565,Games!$A$2:$A$18,Games!$L$2:$L$18,"Missing game",0)</x:f>
        <x:v>33</x:v>
      </x:c>
      <x:c r="AR2565" t="n">
        <x:f>_xlfn.XLOOKUP($A2565,Games!$A$2:$A$18,Games!$M$2:$M$18,"Missing game",0)</x:f>
        <x:v>0</x:v>
      </x:c>
      <x:c r="AS2565" t="str">
        <x:f>_xlfn.XLOOKUP($A2565,Games!$A$2:$A$18,Games!$N$2:$N$18,"Missing game",0)</x:f>
        <x:v>dome</x:v>
      </x:c>
      <x:c r="AT2565" t="str">
        <x:f>_xlfn.XLOOKUP($A2565,Games!$A$2:$A$18,Games!$O$2:$O$18,"Missing game",0)</x:f>
        <x:v>sportturf</x:v>
      </x:c>
      <x:c r="AU2565" t="str">
        <x:f>_xlfn.XLOOKUP($A2565,Games!$A$2:$A$18,Games!$P$2:$P$18,"Missing game",0)</x:f>
      </x:c>
      <x:c r="AV2565" t="str">
        <x:f>_xlfn.XLOOKUP($A2565,Games!$A$2:$A$18,Games!$Q$2:$Q$18,"Missing game",0)</x:f>
      </x:c>
      <x:c r="AW2565" t="str">
        <x:f>_xlfn.XLOOKUP($A2565,Games!$A$2:$A$18,Games!$R$2:$R$18,"Missing game",0)</x:f>
        <x:v>U.S. Bank Stadium</x:v>
      </x:c>
    </x:row>
    <x:row r="2566">
      <x:c r="A2566" t="str">
        <x:v>2025_17_DET_MIN</x:v>
      </x:c>
      <x:c r="B2566" t="n">
        <x:v>2193</x:v>
      </x:c>
      <x:c r="C2566" t="n">
        <x:v>3</x:v>
      </x:c>
      <x:c r="D2566" t="str">
        <x:v>08:47</x:v>
      </x:c>
      <x:c r="E2566" t="n">
        <x:v>2</x:v>
      </x:c>
      <x:c r="F2566" t="n">
        <x:v>9</x:v>
      </x:c>
      <x:c r="G2566" t="str">
        <x:v>DET</x:v>
      </x:c>
      <x:c r="H2566" t="str">
        <x:v>MIN</x:v>
      </x:c>
      <x:c r="I2566" t="str">
        <x:v>DET</x:v>
      </x:c>
      <x:c r="J2566" t="n">
        <x:v>63</x:v>
      </x:c>
      <x:c r="K2566" t="str">
        <x:v>(8:47) (Shotgun) 16-J.Goff sacked at DET 28 for -9 yards (26-T.Jackson).</x:v>
      </x:c>
      <x:c r="L2566" t="str">
        <x:v>pass</x:v>
      </x:c>
      <x:c r="M2566" t="n">
        <x:v>-9</x:v>
      </x:c>
      <x:c r="N2566" t="n">
        <x:v>1</x:v>
      </x:c>
      <x:c r="O2566" t="n">
        <x:v>0</x:v>
      </x:c>
      <x:c r="P2566"/>
      <x:c r="Q2566"/>
      <x:c r="R2566"/>
      <x:c r="S2566"/>
      <x:c r="T2566"/>
      <x:c r="U2566"/>
      <x:c r="V2566" t="n">
        <x:v>0</x:v>
      </x:c>
      <x:c r="W2566" t="n">
        <x:v>0</x:v>
      </x:c>
      <x:c r="X2566" t="n">
        <x:v>1</x:v>
      </x:c>
      <x:c r="Y2566" t="n">
        <x:v>0</x:v>
      </x:c>
      <x:c r="Z2566" t="n">
        <x:v>0</x:v>
      </x:c>
      <x:c r="AA2566" t="n">
        <x:v>0</x:v>
      </x:c>
      <x:c r="AB2566"/>
      <x:c r="AC2566" t="n">
        <x:v>0</x:v>
      </x:c>
      <x:c r="AD2566" t="n">
        <x:v>-1.8424906227737665</x:v>
      </x:c>
      <x:c r="AE2566" t="n">
        <x:v>0</x:v>
      </x:c>
      <x:c r="AF2566" t="n">
        <x:v>-0.07628914713859558</x:v>
      </x:c>
      <x:c r="AG2566" t="n">
        <x:f>_xlfn.XLOOKUP($A2566,Games!$A$2:$A$18,Games!$B$2:$B$18,"Missing game",0)</x:f>
        <x:v>2025</x:v>
      </x:c>
      <x:c r="AH2566" t="str">
        <x:f>_xlfn.XLOOKUP($A2566,Games!$A$2:$A$18,Games!$C$2:$C$18,"Missing game",0)</x:f>
        <x:v>REG</x:v>
      </x:c>
      <x:c r="AI2566" t="n">
        <x:f>_xlfn.XLOOKUP($A2566,Games!$A$2:$A$18,Games!$D$2:$D$18,"Missing game",0)</x:f>
        <x:v>17</x:v>
      </x:c>
      <x:c r="AJ2566" s="1" t="n">
        <x:f>_xlfn.XLOOKUP($A2566,Games!$A$2:$A$18,Games!$E$2:$E$18,"Missing game",0)</x:f>
        <x:v>46016</x:v>
      </x:c>
      <x:c r="AK2566" t="str">
        <x:f>_xlfn.XLOOKUP($A2566,Games!$A$2:$A$18,Games!$F$2:$F$18,"Missing game",0)</x:f>
        <x:v>Thursday</x:v>
      </x:c>
      <x:c r="AL2566" t="str">
        <x:f>_xlfn.XLOOKUP($A2566,Games!$A$2:$A$18,Games!$G$2:$G$18,"Missing game",0)</x:f>
        <x:v>DET</x:v>
      </x:c>
      <x:c r="AM2566" t="n">
        <x:f>_xlfn.XLOOKUP($A2566,Games!$A$2:$A$18,Games!$H$2:$H$18,"Missing game",0)</x:f>
        <x:v>10</x:v>
      </x:c>
      <x:c r="AN2566" t="str">
        <x:f>_xlfn.XLOOKUP($A2566,Games!$A$2:$A$18,Games!$I$2:$I$18,"Missing game",0)</x:f>
        <x:v>MIN</x:v>
      </x:c>
      <x:c r="AO2566" t="n">
        <x:f>_xlfn.XLOOKUP($A2566,Games!$A$2:$A$18,Games!$J$2:$J$18,"Missing game",0)</x:f>
        <x:v>23</x:v>
      </x:c>
      <x:c r="AP2566" t="n">
        <x:f>_xlfn.XLOOKUP($A2566,Games!$A$2:$A$18,Games!$K$2:$K$18,"Missing game",0)</x:f>
        <x:v>13</x:v>
      </x:c>
      <x:c r="AQ2566" t="n">
        <x:f>_xlfn.XLOOKUP($A2566,Games!$A$2:$A$18,Games!$L$2:$L$18,"Missing game",0)</x:f>
        <x:v>33</x:v>
      </x:c>
      <x:c r="AR2566" t="n">
        <x:f>_xlfn.XLOOKUP($A2566,Games!$A$2:$A$18,Games!$M$2:$M$18,"Missing game",0)</x:f>
        <x:v>0</x:v>
      </x:c>
      <x:c r="AS2566" t="str">
        <x:f>_xlfn.XLOOKUP($A2566,Games!$A$2:$A$18,Games!$N$2:$N$18,"Missing game",0)</x:f>
        <x:v>dome</x:v>
      </x:c>
      <x:c r="AT2566" t="str">
        <x:f>_xlfn.XLOOKUP($A2566,Games!$A$2:$A$18,Games!$O$2:$O$18,"Missing game",0)</x:f>
        <x:v>sportturf</x:v>
      </x:c>
      <x:c r="AU2566" t="str">
        <x:f>_xlfn.XLOOKUP($A2566,Games!$A$2:$A$18,Games!$P$2:$P$18,"Missing game",0)</x:f>
      </x:c>
      <x:c r="AV2566" t="str">
        <x:f>_xlfn.XLOOKUP($A2566,Games!$A$2:$A$18,Games!$Q$2:$Q$18,"Missing game",0)</x:f>
      </x:c>
      <x:c r="AW2566" t="str">
        <x:f>_xlfn.XLOOKUP($A2566,Games!$A$2:$A$18,Games!$R$2:$R$18,"Missing game",0)</x:f>
        <x:v>U.S. Bank Stadium</x:v>
      </x:c>
    </x:row>
    <x:row r="2567">
      <x:c r="A2567" t="str">
        <x:v>2025_17_DET_MIN</x:v>
      </x:c>
      <x:c r="B2567" t="n">
        <x:v>2213</x:v>
      </x:c>
      <x:c r="C2567" t="n">
        <x:v>3</x:v>
      </x:c>
      <x:c r="D2567" t="str">
        <x:v>08:02</x:v>
      </x:c>
      <x:c r="E2567" t="n">
        <x:v>3</x:v>
      </x:c>
      <x:c r="F2567" t="n">
        <x:v>18</x:v>
      </x:c>
      <x:c r="G2567" t="str">
        <x:v>DET</x:v>
      </x:c>
      <x:c r="H2567" t="str">
        <x:v>MIN</x:v>
      </x:c>
      <x:c r="I2567" t="str">
        <x:v>DET</x:v>
      </x:c>
      <x:c r="J2567" t="n">
        <x:v>72</x:v>
      </x:c>
      <x:c r="K2567" t="str">
        <x:v>(8:02) (Shotgun) 16-J.Goff pass deep left intended for 18-I.TeSlaa INTERCEPTED by 7-B.Murphy [43-A.Van Ginkel] at MIN 38. 7-B.Murphy to MIN 38 for no gain (18-I.TeSlaa).</x:v>
      </x:c>
      <x:c r="L2567" t="str">
        <x:v>pass</x:v>
      </x:c>
      <x:c r="M2567" t="n">
        <x:v>0</x:v>
      </x:c>
      <x:c r="N2567" t="n">
        <x:v>1</x:v>
      </x:c>
      <x:c r="O2567" t="n">
        <x:v>0</x:v>
      </x:c>
      <x:c r="P2567" t="str">
        <x:v>deep</x:v>
      </x:c>
      <x:c r="Q2567" t="str">
        <x:v>left</x:v>
      </x:c>
      <x:c r="R2567" t="n">
        <x:v>34</x:v>
      </x:c>
      <x:c r="S2567"/>
      <x:c r="T2567"/>
      <x:c r="U2567"/>
      <x:c r="V2567" t="n">
        <x:v>0</x:v>
      </x:c>
      <x:c r="W2567" t="n">
        <x:v>0</x:v>
      </x:c>
      <x:c r="X2567" t="n">
        <x:v>0</x:v>
      </x:c>
      <x:c r="Y2567" t="n">
        <x:v>1</x:v>
      </x:c>
      <x:c r="Z2567" t="n">
        <x:v>0</x:v>
      </x:c>
      <x:c r="AA2567" t="n">
        <x:v>0</x:v>
      </x:c>
      <x:c r="AB2567"/>
      <x:c r="AC2567" t="n">
        <x:v>0</x:v>
      </x:c>
      <x:c r="AD2567" t="n">
        <x:v>-1.760000126902014</x:v>
      </x:c>
      <x:c r="AE2567" t="n">
        <x:v>0</x:v>
      </x:c>
      <x:c r="AF2567" t="n">
        <x:v>0.01382872462272644</x:v>
      </x:c>
      <x:c r="AG2567" t="n">
        <x:f>_xlfn.XLOOKUP($A2567,Games!$A$2:$A$18,Games!$B$2:$B$18,"Missing game",0)</x:f>
        <x:v>2025</x:v>
      </x:c>
      <x:c r="AH2567" t="str">
        <x:f>_xlfn.XLOOKUP($A2567,Games!$A$2:$A$18,Games!$C$2:$C$18,"Missing game",0)</x:f>
        <x:v>REG</x:v>
      </x:c>
      <x:c r="AI2567" t="n">
        <x:f>_xlfn.XLOOKUP($A2567,Games!$A$2:$A$18,Games!$D$2:$D$18,"Missing game",0)</x:f>
        <x:v>17</x:v>
      </x:c>
      <x:c r="AJ2567" s="1" t="n">
        <x:f>_xlfn.XLOOKUP($A2567,Games!$A$2:$A$18,Games!$E$2:$E$18,"Missing game",0)</x:f>
        <x:v>46016</x:v>
      </x:c>
      <x:c r="AK2567" t="str">
        <x:f>_xlfn.XLOOKUP($A2567,Games!$A$2:$A$18,Games!$F$2:$F$18,"Missing game",0)</x:f>
        <x:v>Thursday</x:v>
      </x:c>
      <x:c r="AL2567" t="str">
        <x:f>_xlfn.XLOOKUP($A2567,Games!$A$2:$A$18,Games!$G$2:$G$18,"Missing game",0)</x:f>
        <x:v>DET</x:v>
      </x:c>
      <x:c r="AM2567" t="n">
        <x:f>_xlfn.XLOOKUP($A2567,Games!$A$2:$A$18,Games!$H$2:$H$18,"Missing game",0)</x:f>
        <x:v>10</x:v>
      </x:c>
      <x:c r="AN2567" t="str">
        <x:f>_xlfn.XLOOKUP($A2567,Games!$A$2:$A$18,Games!$I$2:$I$18,"Missing game",0)</x:f>
        <x:v>MIN</x:v>
      </x:c>
      <x:c r="AO2567" t="n">
        <x:f>_xlfn.XLOOKUP($A2567,Games!$A$2:$A$18,Games!$J$2:$J$18,"Missing game",0)</x:f>
        <x:v>23</x:v>
      </x:c>
      <x:c r="AP2567" t="n">
        <x:f>_xlfn.XLOOKUP($A2567,Games!$A$2:$A$18,Games!$K$2:$K$18,"Missing game",0)</x:f>
        <x:v>13</x:v>
      </x:c>
      <x:c r="AQ2567" t="n">
        <x:f>_xlfn.XLOOKUP($A2567,Games!$A$2:$A$18,Games!$L$2:$L$18,"Missing game",0)</x:f>
        <x:v>33</x:v>
      </x:c>
      <x:c r="AR2567" t="n">
        <x:f>_xlfn.XLOOKUP($A2567,Games!$A$2:$A$18,Games!$M$2:$M$18,"Missing game",0)</x:f>
        <x:v>0</x:v>
      </x:c>
      <x:c r="AS2567" t="str">
        <x:f>_xlfn.XLOOKUP($A2567,Games!$A$2:$A$18,Games!$N$2:$N$18,"Missing game",0)</x:f>
        <x:v>dome</x:v>
      </x:c>
      <x:c r="AT2567" t="str">
        <x:f>_xlfn.XLOOKUP($A2567,Games!$A$2:$A$18,Games!$O$2:$O$18,"Missing game",0)</x:f>
        <x:v>sportturf</x:v>
      </x:c>
      <x:c r="AU2567" t="str">
        <x:f>_xlfn.XLOOKUP($A2567,Games!$A$2:$A$18,Games!$P$2:$P$18,"Missing game",0)</x:f>
      </x:c>
      <x:c r="AV2567" t="str">
        <x:f>_xlfn.XLOOKUP($A2567,Games!$A$2:$A$18,Games!$Q$2:$Q$18,"Missing game",0)</x:f>
      </x:c>
      <x:c r="AW2567" t="str">
        <x:f>_xlfn.XLOOKUP($A2567,Games!$A$2:$A$18,Games!$R$2:$R$18,"Missing game",0)</x:f>
        <x:v>U.S. Bank Stadium</x:v>
      </x:c>
    </x:row>
    <x:row r="2568">
      <x:c r="A2568" t="str">
        <x:v>2025_17_DET_MIN</x:v>
      </x:c>
      <x:c r="B2568" t="n">
        <x:v>2245</x:v>
      </x:c>
      <x:c r="C2568" t="n">
        <x:v>3</x:v>
      </x:c>
      <x:c r="D2568" t="str">
        <x:v>07:57</x:v>
      </x:c>
      <x:c r="E2568" t="n">
        <x:v>1</x:v>
      </x:c>
      <x:c r="F2568" t="n">
        <x:v>10</x:v>
      </x:c>
      <x:c r="G2568" t="str">
        <x:v>MIN</x:v>
      </x:c>
      <x:c r="H2568" t="str">
        <x:v>DET</x:v>
      </x:c>
      <x:c r="I2568" t="str">
        <x:v>MIN</x:v>
      </x:c>
      <x:c r="J2568" t="n">
        <x:v>62</x:v>
      </x:c>
      <x:c r="K2568" t="str">
        <x:v>(7:57) 12-M.Brosmer scrambles left guard to MIN 43 for 5 yards (13-J.Mills; 46-J.Campbell). PENALTY on DET-23-R.Ya-Sin, Defensive Holding, 5 yards, enforced at MIN 43.</x:v>
      </x:c>
      <x:c r="L2568" t="str">
        <x:v>run</x:v>
      </x:c>
      <x:c r="M2568" t="n">
        <x:v>5</x:v>
      </x:c>
      <x:c r="N2568" t="n">
        <x:v>0</x:v>
      </x:c>
      <x:c r="O2568" t="n">
        <x:v>0</x:v>
      </x:c>
      <x:c r="P2568"/>
      <x:c r="Q2568"/>
      <x:c r="R2568"/>
      <x:c r="S2568"/>
      <x:c r="T2568" t="str">
        <x:v>left</x:v>
      </x:c>
      <x:c r="U2568" t="str">
        <x:v>guard</x:v>
      </x:c>
      <x:c r="V2568" t="n">
        <x:v>0</x:v>
      </x:c>
      <x:c r="W2568" t="n">
        <x:v>1</x:v>
      </x:c>
      <x:c r="X2568" t="n">
        <x:v>0</x:v>
      </x:c>
      <x:c r="Y2568" t="n">
        <x:v>0</x:v>
      </x:c>
      <x:c r="Z2568" t="n">
        <x:v>0</x:v>
      </x:c>
      <x:c r="AA2568" t="n">
        <x:v>1</x:v>
      </x:c>
      <x:c r="AB2568" t="n">
        <x:v>5</x:v>
      </x:c>
      <x:c r="AC2568" t="n">
        <x:v>0</x:v>
      </x:c>
      <x:c r="AD2568" t="n">
        <x:v>0.6524803685024381</x:v>
      </x:c>
      <x:c r="AE2568" t="n">
        <x:v>1</x:v>
      </x:c>
      <x:c r="AF2568" t="n">
        <x:v>0.011751234531402588</x:v>
      </x:c>
      <x:c r="AG2568" t="n">
        <x:f>_xlfn.XLOOKUP($A2568,Games!$A$2:$A$18,Games!$B$2:$B$18,"Missing game",0)</x:f>
        <x:v>2025</x:v>
      </x:c>
      <x:c r="AH2568" t="str">
        <x:f>_xlfn.XLOOKUP($A2568,Games!$A$2:$A$18,Games!$C$2:$C$18,"Missing game",0)</x:f>
        <x:v>REG</x:v>
      </x:c>
      <x:c r="AI2568" t="n">
        <x:f>_xlfn.XLOOKUP($A2568,Games!$A$2:$A$18,Games!$D$2:$D$18,"Missing game",0)</x:f>
        <x:v>17</x:v>
      </x:c>
      <x:c r="AJ2568" s="1" t="n">
        <x:f>_xlfn.XLOOKUP($A2568,Games!$A$2:$A$18,Games!$E$2:$E$18,"Missing game",0)</x:f>
        <x:v>46016</x:v>
      </x:c>
      <x:c r="AK2568" t="str">
        <x:f>_xlfn.XLOOKUP($A2568,Games!$A$2:$A$18,Games!$F$2:$F$18,"Missing game",0)</x:f>
        <x:v>Thursday</x:v>
      </x:c>
      <x:c r="AL2568" t="str">
        <x:f>_xlfn.XLOOKUP($A2568,Games!$A$2:$A$18,Games!$G$2:$G$18,"Missing game",0)</x:f>
        <x:v>DET</x:v>
      </x:c>
      <x:c r="AM2568" t="n">
        <x:f>_xlfn.XLOOKUP($A2568,Games!$A$2:$A$18,Games!$H$2:$H$18,"Missing game",0)</x:f>
        <x:v>10</x:v>
      </x:c>
      <x:c r="AN2568" t="str">
        <x:f>_xlfn.XLOOKUP($A2568,Games!$A$2:$A$18,Games!$I$2:$I$18,"Missing game",0)</x:f>
        <x:v>MIN</x:v>
      </x:c>
      <x:c r="AO2568" t="n">
        <x:f>_xlfn.XLOOKUP($A2568,Games!$A$2:$A$18,Games!$J$2:$J$18,"Missing game",0)</x:f>
        <x:v>23</x:v>
      </x:c>
      <x:c r="AP2568" t="n">
        <x:f>_xlfn.XLOOKUP($A2568,Games!$A$2:$A$18,Games!$K$2:$K$18,"Missing game",0)</x:f>
        <x:v>13</x:v>
      </x:c>
      <x:c r="AQ2568" t="n">
        <x:f>_xlfn.XLOOKUP($A2568,Games!$A$2:$A$18,Games!$L$2:$L$18,"Missing game",0)</x:f>
        <x:v>33</x:v>
      </x:c>
      <x:c r="AR2568" t="n">
        <x:f>_xlfn.XLOOKUP($A2568,Games!$A$2:$A$18,Games!$M$2:$M$18,"Missing game",0)</x:f>
        <x:v>0</x:v>
      </x:c>
      <x:c r="AS2568" t="str">
        <x:f>_xlfn.XLOOKUP($A2568,Games!$A$2:$A$18,Games!$N$2:$N$18,"Missing game",0)</x:f>
        <x:v>dome</x:v>
      </x:c>
      <x:c r="AT2568" t="str">
        <x:f>_xlfn.XLOOKUP($A2568,Games!$A$2:$A$18,Games!$O$2:$O$18,"Missing game",0)</x:f>
        <x:v>sportturf</x:v>
      </x:c>
      <x:c r="AU2568" t="str">
        <x:f>_xlfn.XLOOKUP($A2568,Games!$A$2:$A$18,Games!$P$2:$P$18,"Missing game",0)</x:f>
      </x:c>
      <x:c r="AV2568" t="str">
        <x:f>_xlfn.XLOOKUP($A2568,Games!$A$2:$A$18,Games!$Q$2:$Q$18,"Missing game",0)</x:f>
      </x:c>
      <x:c r="AW2568" t="str">
        <x:f>_xlfn.XLOOKUP($A2568,Games!$A$2:$A$18,Games!$R$2:$R$18,"Missing game",0)</x:f>
        <x:v>U.S. Bank Stadium</x:v>
      </x:c>
    </x:row>
    <x:row r="2569">
      <x:c r="A2569" t="str">
        <x:v>2025_17_DET_MIN</x:v>
      </x:c>
      <x:c r="B2569" t="n">
        <x:v>2290</x:v>
      </x:c>
      <x:c r="C2569" t="n">
        <x:v>3</x:v>
      </x:c>
      <x:c r="D2569" t="str">
        <x:v>07:34</x:v>
      </x:c>
      <x:c r="E2569" t="n">
        <x:v>1</x:v>
      </x:c>
      <x:c r="F2569" t="n">
        <x:v>10</x:v>
      </x:c>
      <x:c r="G2569" t="str">
        <x:v>MIN</x:v>
      </x:c>
      <x:c r="H2569" t="str">
        <x:v>DET</x:v>
      </x:c>
      <x:c r="I2569" t="str">
        <x:v>MIN</x:v>
      </x:c>
      <x:c r="J2569" t="n">
        <x:v>52</x:v>
      </x:c>
      <x:c r="K2569" t="str">
        <x:v>(7:34) 32-T.Chandler up the middle to DET 49 for 3 yards (13-J.Mills; 46-J.Campbell).</x:v>
      </x:c>
      <x:c r="L2569" t="str">
        <x:v>run</x:v>
      </x:c>
      <x:c r="M2569" t="n">
        <x:v>3</x:v>
      </x:c>
      <x:c r="N2569" t="n">
        <x:v>0</x:v>
      </x:c>
      <x:c r="O2569" t="n">
        <x:v>0</x:v>
      </x:c>
      <x:c r="P2569"/>
      <x:c r="Q2569"/>
      <x:c r="R2569"/>
      <x:c r="S2569"/>
      <x:c r="T2569" t="str">
        <x:v>middle</x:v>
      </x:c>
      <x:c r="U2569"/>
      <x:c r="V2569" t="n">
        <x:v>0</x:v>
      </x:c>
      <x:c r="W2569" t="n">
        <x:v>0</x:v>
      </x:c>
      <x:c r="X2569" t="n">
        <x:v>0</x:v>
      </x:c>
      <x:c r="Y2569" t="n">
        <x:v>0</x:v>
      </x:c>
      <x:c r="Z2569" t="n">
        <x:v>0</x:v>
      </x:c>
      <x:c r="AA2569" t="n">
        <x:v>0</x:v>
      </x:c>
      <x:c r="AB2569"/>
      <x:c r="AC2569" t="n">
        <x:v>0</x:v>
      </x:c>
      <x:c r="AD2569" t="n">
        <x:v>-0.33691828278824687</x:v>
      </x:c>
      <x:c r="AE2569" t="n">
        <x:v>0</x:v>
      </x:c>
      <x:c r="AF2569" t="n">
        <x:v>-0.011912822723388672</x:v>
      </x:c>
      <x:c r="AG2569" t="n">
        <x:f>_xlfn.XLOOKUP($A2569,Games!$A$2:$A$18,Games!$B$2:$B$18,"Missing game",0)</x:f>
        <x:v>2025</x:v>
      </x:c>
      <x:c r="AH2569" t="str">
        <x:f>_xlfn.XLOOKUP($A2569,Games!$A$2:$A$18,Games!$C$2:$C$18,"Missing game",0)</x:f>
        <x:v>REG</x:v>
      </x:c>
      <x:c r="AI2569" t="n">
        <x:f>_xlfn.XLOOKUP($A2569,Games!$A$2:$A$18,Games!$D$2:$D$18,"Missing game",0)</x:f>
        <x:v>17</x:v>
      </x:c>
      <x:c r="AJ2569" s="1" t="n">
        <x:f>_xlfn.XLOOKUP($A2569,Games!$A$2:$A$18,Games!$E$2:$E$18,"Missing game",0)</x:f>
        <x:v>46016</x:v>
      </x:c>
      <x:c r="AK2569" t="str">
        <x:f>_xlfn.XLOOKUP($A2569,Games!$A$2:$A$18,Games!$F$2:$F$18,"Missing game",0)</x:f>
        <x:v>Thursday</x:v>
      </x:c>
      <x:c r="AL2569" t="str">
        <x:f>_xlfn.XLOOKUP($A2569,Games!$A$2:$A$18,Games!$G$2:$G$18,"Missing game",0)</x:f>
        <x:v>DET</x:v>
      </x:c>
      <x:c r="AM2569" t="n">
        <x:f>_xlfn.XLOOKUP($A2569,Games!$A$2:$A$18,Games!$H$2:$H$18,"Missing game",0)</x:f>
        <x:v>10</x:v>
      </x:c>
      <x:c r="AN2569" t="str">
        <x:f>_xlfn.XLOOKUP($A2569,Games!$A$2:$A$18,Games!$I$2:$I$18,"Missing game",0)</x:f>
        <x:v>MIN</x:v>
      </x:c>
      <x:c r="AO2569" t="n">
        <x:f>_xlfn.XLOOKUP($A2569,Games!$A$2:$A$18,Games!$J$2:$J$18,"Missing game",0)</x:f>
        <x:v>23</x:v>
      </x:c>
      <x:c r="AP2569" t="n">
        <x:f>_xlfn.XLOOKUP($A2569,Games!$A$2:$A$18,Games!$K$2:$K$18,"Missing game",0)</x:f>
        <x:v>13</x:v>
      </x:c>
      <x:c r="AQ2569" t="n">
        <x:f>_xlfn.XLOOKUP($A2569,Games!$A$2:$A$18,Games!$L$2:$L$18,"Missing game",0)</x:f>
        <x:v>33</x:v>
      </x:c>
      <x:c r="AR2569" t="n">
        <x:f>_xlfn.XLOOKUP($A2569,Games!$A$2:$A$18,Games!$M$2:$M$18,"Missing game",0)</x:f>
        <x:v>0</x:v>
      </x:c>
      <x:c r="AS2569" t="str">
        <x:f>_xlfn.XLOOKUP($A2569,Games!$A$2:$A$18,Games!$N$2:$N$18,"Missing game",0)</x:f>
        <x:v>dome</x:v>
      </x:c>
      <x:c r="AT2569" t="str">
        <x:f>_xlfn.XLOOKUP($A2569,Games!$A$2:$A$18,Games!$O$2:$O$18,"Missing game",0)</x:f>
        <x:v>sportturf</x:v>
      </x:c>
      <x:c r="AU2569" t="str">
        <x:f>_xlfn.XLOOKUP($A2569,Games!$A$2:$A$18,Games!$P$2:$P$18,"Missing game",0)</x:f>
      </x:c>
      <x:c r="AV2569" t="str">
        <x:f>_xlfn.XLOOKUP($A2569,Games!$A$2:$A$18,Games!$Q$2:$Q$18,"Missing game",0)</x:f>
      </x:c>
      <x:c r="AW2569" t="str">
        <x:f>_xlfn.XLOOKUP($A2569,Games!$A$2:$A$18,Games!$R$2:$R$18,"Missing game",0)</x:f>
        <x:v>U.S. Bank Stadium</x:v>
      </x:c>
    </x:row>
    <x:row r="2570">
      <x:c r="A2570" t="str">
        <x:v>2025_17_DET_MIN</x:v>
      </x:c>
      <x:c r="B2570" t="n">
        <x:v>2312</x:v>
      </x:c>
      <x:c r="C2570" t="n">
        <x:v>3</x:v>
      </x:c>
      <x:c r="D2570" t="str">
        <x:v>07:01</x:v>
      </x:c>
      <x:c r="E2570" t="n">
        <x:v>2</x:v>
      </x:c>
      <x:c r="F2570" t="n">
        <x:v>7</x:v>
      </x:c>
      <x:c r="G2570" t="str">
        <x:v>MIN</x:v>
      </x:c>
      <x:c r="H2570" t="str">
        <x:v>DET</x:v>
      </x:c>
      <x:c r="I2570" t="str">
        <x:v>DET</x:v>
      </x:c>
      <x:c r="J2570" t="n">
        <x:v>49</x:v>
      </x:c>
      <x:c r="K2570" t="str">
        <x:v>(7:01) 12-M.Brosmer pass short left to 84-J.Oliver to DET 41 for 8 yards (23-R.Ya-Sin).</x:v>
      </x:c>
      <x:c r="L2570" t="str">
        <x:v>pass</x:v>
      </x:c>
      <x:c r="M2570" t="n">
        <x:v>8</x:v>
      </x:c>
      <x:c r="N2570" t="n">
        <x:v>0</x:v>
      </x:c>
      <x:c r="O2570" t="n">
        <x:v>0</x:v>
      </x:c>
      <x:c r="P2570" t="str">
        <x:v>short</x:v>
      </x:c>
      <x:c r="Q2570" t="str">
        <x:v>left</x:v>
      </x:c>
      <x:c r="R2570" t="n">
        <x:v>5</x:v>
      </x:c>
      <x:c r="S2570" t="n">
        <x:v>3</x:v>
      </x:c>
      <x:c r="T2570"/>
      <x:c r="U2570"/>
      <x:c r="V2570" t="n">
        <x:v>1</x:v>
      </x:c>
      <x:c r="W2570" t="n">
        <x:v>1</x:v>
      </x:c>
      <x:c r="X2570" t="n">
        <x:v>0</x:v>
      </x:c>
      <x:c r="Y2570" t="n">
        <x:v>0</x:v>
      </x:c>
      <x:c r="Z2570" t="n">
        <x:v>0</x:v>
      </x:c>
      <x:c r="AA2570" t="n">
        <x:v>0</x:v>
      </x:c>
      <x:c r="AB2570"/>
      <x:c r="AC2570" t="n">
        <x:v>0</x:v>
      </x:c>
      <x:c r="AD2570" t="n">
        <x:v>0.9762855153530836</x:v>
      </x:c>
      <x:c r="AE2570" t="n">
        <x:v>1</x:v>
      </x:c>
      <x:c r="AF2570" t="n">
        <x:v>0.03435027599334717</x:v>
      </x:c>
      <x:c r="AG2570" t="n">
        <x:f>_xlfn.XLOOKUP($A2570,Games!$A$2:$A$18,Games!$B$2:$B$18,"Missing game",0)</x:f>
        <x:v>2025</x:v>
      </x:c>
      <x:c r="AH2570" t="str">
        <x:f>_xlfn.XLOOKUP($A2570,Games!$A$2:$A$18,Games!$C$2:$C$18,"Missing game",0)</x:f>
        <x:v>REG</x:v>
      </x:c>
      <x:c r="AI2570" t="n">
        <x:f>_xlfn.XLOOKUP($A2570,Games!$A$2:$A$18,Games!$D$2:$D$18,"Missing game",0)</x:f>
        <x:v>17</x:v>
      </x:c>
      <x:c r="AJ2570" s="1" t="n">
        <x:f>_xlfn.XLOOKUP($A2570,Games!$A$2:$A$18,Games!$E$2:$E$18,"Missing game",0)</x:f>
        <x:v>46016</x:v>
      </x:c>
      <x:c r="AK2570" t="str">
        <x:f>_xlfn.XLOOKUP($A2570,Games!$A$2:$A$18,Games!$F$2:$F$18,"Missing game",0)</x:f>
        <x:v>Thursday</x:v>
      </x:c>
      <x:c r="AL2570" t="str">
        <x:f>_xlfn.XLOOKUP($A2570,Games!$A$2:$A$18,Games!$G$2:$G$18,"Missing game",0)</x:f>
        <x:v>DET</x:v>
      </x:c>
      <x:c r="AM2570" t="n">
        <x:f>_xlfn.XLOOKUP($A2570,Games!$A$2:$A$18,Games!$H$2:$H$18,"Missing game",0)</x:f>
        <x:v>10</x:v>
      </x:c>
      <x:c r="AN2570" t="str">
        <x:f>_xlfn.XLOOKUP($A2570,Games!$A$2:$A$18,Games!$I$2:$I$18,"Missing game",0)</x:f>
        <x:v>MIN</x:v>
      </x:c>
      <x:c r="AO2570" t="n">
        <x:f>_xlfn.XLOOKUP($A2570,Games!$A$2:$A$18,Games!$J$2:$J$18,"Missing game",0)</x:f>
        <x:v>23</x:v>
      </x:c>
      <x:c r="AP2570" t="n">
        <x:f>_xlfn.XLOOKUP($A2570,Games!$A$2:$A$18,Games!$K$2:$K$18,"Missing game",0)</x:f>
        <x:v>13</x:v>
      </x:c>
      <x:c r="AQ2570" t="n">
        <x:f>_xlfn.XLOOKUP($A2570,Games!$A$2:$A$18,Games!$L$2:$L$18,"Missing game",0)</x:f>
        <x:v>33</x:v>
      </x:c>
      <x:c r="AR2570" t="n">
        <x:f>_xlfn.XLOOKUP($A2570,Games!$A$2:$A$18,Games!$M$2:$M$18,"Missing game",0)</x:f>
        <x:v>0</x:v>
      </x:c>
      <x:c r="AS2570" t="str">
        <x:f>_xlfn.XLOOKUP($A2570,Games!$A$2:$A$18,Games!$N$2:$N$18,"Missing game",0)</x:f>
        <x:v>dome</x:v>
      </x:c>
      <x:c r="AT2570" t="str">
        <x:f>_xlfn.XLOOKUP($A2570,Games!$A$2:$A$18,Games!$O$2:$O$18,"Missing game",0)</x:f>
        <x:v>sportturf</x:v>
      </x:c>
      <x:c r="AU2570" t="str">
        <x:f>_xlfn.XLOOKUP($A2570,Games!$A$2:$A$18,Games!$P$2:$P$18,"Missing game",0)</x:f>
      </x:c>
      <x:c r="AV2570" t="str">
        <x:f>_xlfn.XLOOKUP($A2570,Games!$A$2:$A$18,Games!$Q$2:$Q$18,"Missing game",0)</x:f>
      </x:c>
      <x:c r="AW2570" t="str">
        <x:f>_xlfn.XLOOKUP($A2570,Games!$A$2:$A$18,Games!$R$2:$R$18,"Missing game",0)</x:f>
        <x:v>U.S. Bank Stadium</x:v>
      </x:c>
    </x:row>
    <x:row r="2571">
      <x:c r="A2571" t="str">
        <x:v>2025_17_DET_MIN</x:v>
      </x:c>
      <x:c r="B2571" t="n">
        <x:v>2337</x:v>
      </x:c>
      <x:c r="C2571" t="n">
        <x:v>3</x:v>
      </x:c>
      <x:c r="D2571" t="str">
        <x:v>06:20</x:v>
      </x:c>
      <x:c r="E2571" t="n">
        <x:v>1</x:v>
      </x:c>
      <x:c r="F2571" t="n">
        <x:v>10</x:v>
      </x:c>
      <x:c r="G2571" t="str">
        <x:v>MIN</x:v>
      </x:c>
      <x:c r="H2571" t="str">
        <x:v>DET</x:v>
      </x:c>
      <x:c r="I2571" t="str">
        <x:v>DET</x:v>
      </x:c>
      <x:c r="J2571" t="n">
        <x:v>41</x:v>
      </x:c>
      <x:c r="K2571" t="str">
        <x:v>(6:20) 32-T.Chandler right guard to DET 36 for 5 yards (13-J.Mills; 2-D.Thomas).</x:v>
      </x:c>
      <x:c r="L2571" t="str">
        <x:v>run</x:v>
      </x:c>
      <x:c r="M2571" t="n">
        <x:v>5</x:v>
      </x:c>
      <x:c r="N2571" t="n">
        <x:v>0</x:v>
      </x:c>
      <x:c r="O2571" t="n">
        <x:v>0</x:v>
      </x:c>
      <x:c r="P2571"/>
      <x:c r="Q2571"/>
      <x:c r="R2571"/>
      <x:c r="S2571"/>
      <x:c r="T2571" t="str">
        <x:v>right</x:v>
      </x:c>
      <x:c r="U2571" t="str">
        <x:v>guard</x:v>
      </x:c>
      <x:c r="V2571" t="n">
        <x:v>0</x:v>
      </x:c>
      <x:c r="W2571" t="n">
        <x:v>0</x:v>
      </x:c>
      <x:c r="X2571" t="n">
        <x:v>0</x:v>
      </x:c>
      <x:c r="Y2571" t="n">
        <x:v>0</x:v>
      </x:c>
      <x:c r="Z2571" t="n">
        <x:v>0</x:v>
      </x:c>
      <x:c r="AA2571" t="n">
        <x:v>0</x:v>
      </x:c>
      <x:c r="AB2571"/>
      <x:c r="AC2571" t="n">
        <x:v>0</x:v>
      </x:c>
      <x:c r="AD2571" t="n">
        <x:v>-0.046479419339448214</x:v>
      </x:c>
      <x:c r="AE2571" t="n">
        <x:v>0</x:v>
      </x:c>
      <x:c r="AF2571" t="n">
        <x:v>0.02079939842224121</x:v>
      </x:c>
      <x:c r="AG2571" t="n">
        <x:f>_xlfn.XLOOKUP($A2571,Games!$A$2:$A$18,Games!$B$2:$B$18,"Missing game",0)</x:f>
        <x:v>2025</x:v>
      </x:c>
      <x:c r="AH2571" t="str">
        <x:f>_xlfn.XLOOKUP($A2571,Games!$A$2:$A$18,Games!$C$2:$C$18,"Missing game",0)</x:f>
        <x:v>REG</x:v>
      </x:c>
      <x:c r="AI2571" t="n">
        <x:f>_xlfn.XLOOKUP($A2571,Games!$A$2:$A$18,Games!$D$2:$D$18,"Missing game",0)</x:f>
        <x:v>17</x:v>
      </x:c>
      <x:c r="AJ2571" s="1" t="n">
        <x:f>_xlfn.XLOOKUP($A2571,Games!$A$2:$A$18,Games!$E$2:$E$18,"Missing game",0)</x:f>
        <x:v>46016</x:v>
      </x:c>
      <x:c r="AK2571" t="str">
        <x:f>_xlfn.XLOOKUP($A2571,Games!$A$2:$A$18,Games!$F$2:$F$18,"Missing game",0)</x:f>
        <x:v>Thursday</x:v>
      </x:c>
      <x:c r="AL2571" t="str">
        <x:f>_xlfn.XLOOKUP($A2571,Games!$A$2:$A$18,Games!$G$2:$G$18,"Missing game",0)</x:f>
        <x:v>DET</x:v>
      </x:c>
      <x:c r="AM2571" t="n">
        <x:f>_xlfn.XLOOKUP($A2571,Games!$A$2:$A$18,Games!$H$2:$H$18,"Missing game",0)</x:f>
        <x:v>10</x:v>
      </x:c>
      <x:c r="AN2571" t="str">
        <x:f>_xlfn.XLOOKUP($A2571,Games!$A$2:$A$18,Games!$I$2:$I$18,"Missing game",0)</x:f>
        <x:v>MIN</x:v>
      </x:c>
      <x:c r="AO2571" t="n">
        <x:f>_xlfn.XLOOKUP($A2571,Games!$A$2:$A$18,Games!$J$2:$J$18,"Missing game",0)</x:f>
        <x:v>23</x:v>
      </x:c>
      <x:c r="AP2571" t="n">
        <x:f>_xlfn.XLOOKUP($A2571,Games!$A$2:$A$18,Games!$K$2:$K$18,"Missing game",0)</x:f>
        <x:v>13</x:v>
      </x:c>
      <x:c r="AQ2571" t="n">
        <x:f>_xlfn.XLOOKUP($A2571,Games!$A$2:$A$18,Games!$L$2:$L$18,"Missing game",0)</x:f>
        <x:v>33</x:v>
      </x:c>
      <x:c r="AR2571" t="n">
        <x:f>_xlfn.XLOOKUP($A2571,Games!$A$2:$A$18,Games!$M$2:$M$18,"Missing game",0)</x:f>
        <x:v>0</x:v>
      </x:c>
      <x:c r="AS2571" t="str">
        <x:f>_xlfn.XLOOKUP($A2571,Games!$A$2:$A$18,Games!$N$2:$N$18,"Missing game",0)</x:f>
        <x:v>dome</x:v>
      </x:c>
      <x:c r="AT2571" t="str">
        <x:f>_xlfn.XLOOKUP($A2571,Games!$A$2:$A$18,Games!$O$2:$O$18,"Missing game",0)</x:f>
        <x:v>sportturf</x:v>
      </x:c>
      <x:c r="AU2571" t="str">
        <x:f>_xlfn.XLOOKUP($A2571,Games!$A$2:$A$18,Games!$P$2:$P$18,"Missing game",0)</x:f>
      </x:c>
      <x:c r="AV2571" t="str">
        <x:f>_xlfn.XLOOKUP($A2571,Games!$A$2:$A$18,Games!$Q$2:$Q$18,"Missing game",0)</x:f>
      </x:c>
      <x:c r="AW2571" t="str">
        <x:f>_xlfn.XLOOKUP($A2571,Games!$A$2:$A$18,Games!$R$2:$R$18,"Missing game",0)</x:f>
        <x:v>U.S. Bank Stadium</x:v>
      </x:c>
    </x:row>
    <x:row r="2572">
      <x:c r="A2572" t="str">
        <x:v>2025_17_DET_MIN</x:v>
      </x:c>
      <x:c r="B2572" t="n">
        <x:v>2359</x:v>
      </x:c>
      <x:c r="C2572" t="n">
        <x:v>3</x:v>
      </x:c>
      <x:c r="D2572" t="str">
        <x:v>05:42</x:v>
      </x:c>
      <x:c r="E2572" t="n">
        <x:v>2</x:v>
      </x:c>
      <x:c r="F2572" t="n">
        <x:v>5</x:v>
      </x:c>
      <x:c r="G2572" t="str">
        <x:v>MIN</x:v>
      </x:c>
      <x:c r="H2572" t="str">
        <x:v>DET</x:v>
      </x:c>
      <x:c r="I2572" t="str">
        <x:v>DET</x:v>
      </x:c>
      <x:c r="J2572" t="n">
        <x:v>36</x:v>
      </x:c>
      <x:c r="K2572" t="str">
        <x:v>(5:42) 32-T.Chandler right guard to DET 31 for 5 yards (46-J.Campbell; 34-A.Anzalone). DET-34-A.Anzalone was injured during the play.</x:v>
      </x:c>
      <x:c r="L2572" t="str">
        <x:v>run</x:v>
      </x:c>
      <x:c r="M2572" t="n">
        <x:v>5</x:v>
      </x:c>
      <x:c r="N2572" t="n">
        <x:v>0</x:v>
      </x:c>
      <x:c r="O2572" t="n">
        <x:v>0</x:v>
      </x:c>
      <x:c r="P2572"/>
      <x:c r="Q2572"/>
      <x:c r="R2572"/>
      <x:c r="S2572"/>
      <x:c r="T2572" t="str">
        <x:v>right</x:v>
      </x:c>
      <x:c r="U2572" t="str">
        <x:v>guard</x:v>
      </x:c>
      <x:c r="V2572" t="n">
        <x:v>0</x:v>
      </x:c>
      <x:c r="W2572" t="n">
        <x:v>1</x:v>
      </x:c>
      <x:c r="X2572" t="n">
        <x:v>0</x:v>
      </x:c>
      <x:c r="Y2572" t="n">
        <x:v>0</x:v>
      </x:c>
      <x:c r="Z2572" t="n">
        <x:v>0</x:v>
      </x:c>
      <x:c r="AA2572" t="n">
        <x:v>0</x:v>
      </x:c>
      <x:c r="AB2572"/>
      <x:c r="AC2572" t="n">
        <x:v>0</x:v>
      </x:c>
      <x:c r="AD2572" t="n">
        <x:v>0.6169963442953303</x:v>
      </x:c>
      <x:c r="AE2572" t="n">
        <x:v>1</x:v>
      </x:c>
      <x:c r="AF2572" t="n">
        <x:v>0.010815262794494629</x:v>
      </x:c>
      <x:c r="AG2572" t="n">
        <x:f>_xlfn.XLOOKUP($A2572,Games!$A$2:$A$18,Games!$B$2:$B$18,"Missing game",0)</x:f>
        <x:v>2025</x:v>
      </x:c>
      <x:c r="AH2572" t="str">
        <x:f>_xlfn.XLOOKUP($A2572,Games!$A$2:$A$18,Games!$C$2:$C$18,"Missing game",0)</x:f>
        <x:v>REG</x:v>
      </x:c>
      <x:c r="AI2572" t="n">
        <x:f>_xlfn.XLOOKUP($A2572,Games!$A$2:$A$18,Games!$D$2:$D$18,"Missing game",0)</x:f>
        <x:v>17</x:v>
      </x:c>
      <x:c r="AJ2572" s="1" t="n">
        <x:f>_xlfn.XLOOKUP($A2572,Games!$A$2:$A$18,Games!$E$2:$E$18,"Missing game",0)</x:f>
        <x:v>46016</x:v>
      </x:c>
      <x:c r="AK2572" t="str">
        <x:f>_xlfn.XLOOKUP($A2572,Games!$A$2:$A$18,Games!$F$2:$F$18,"Missing game",0)</x:f>
        <x:v>Thursday</x:v>
      </x:c>
      <x:c r="AL2572" t="str">
        <x:f>_xlfn.XLOOKUP($A2572,Games!$A$2:$A$18,Games!$G$2:$G$18,"Missing game",0)</x:f>
        <x:v>DET</x:v>
      </x:c>
      <x:c r="AM2572" t="n">
        <x:f>_xlfn.XLOOKUP($A2572,Games!$A$2:$A$18,Games!$H$2:$H$18,"Missing game",0)</x:f>
        <x:v>10</x:v>
      </x:c>
      <x:c r="AN2572" t="str">
        <x:f>_xlfn.XLOOKUP($A2572,Games!$A$2:$A$18,Games!$I$2:$I$18,"Missing game",0)</x:f>
        <x:v>MIN</x:v>
      </x:c>
      <x:c r="AO2572" t="n">
        <x:f>_xlfn.XLOOKUP($A2572,Games!$A$2:$A$18,Games!$J$2:$J$18,"Missing game",0)</x:f>
        <x:v>23</x:v>
      </x:c>
      <x:c r="AP2572" t="n">
        <x:f>_xlfn.XLOOKUP($A2572,Games!$A$2:$A$18,Games!$K$2:$K$18,"Missing game",0)</x:f>
        <x:v>13</x:v>
      </x:c>
      <x:c r="AQ2572" t="n">
        <x:f>_xlfn.XLOOKUP($A2572,Games!$A$2:$A$18,Games!$L$2:$L$18,"Missing game",0)</x:f>
        <x:v>33</x:v>
      </x:c>
      <x:c r="AR2572" t="n">
        <x:f>_xlfn.XLOOKUP($A2572,Games!$A$2:$A$18,Games!$M$2:$M$18,"Missing game",0)</x:f>
        <x:v>0</x:v>
      </x:c>
      <x:c r="AS2572" t="str">
        <x:f>_xlfn.XLOOKUP($A2572,Games!$A$2:$A$18,Games!$N$2:$N$18,"Missing game",0)</x:f>
        <x:v>dome</x:v>
      </x:c>
      <x:c r="AT2572" t="str">
        <x:f>_xlfn.XLOOKUP($A2572,Games!$A$2:$A$18,Games!$O$2:$O$18,"Missing game",0)</x:f>
        <x:v>sportturf</x:v>
      </x:c>
      <x:c r="AU2572" t="str">
        <x:f>_xlfn.XLOOKUP($A2572,Games!$A$2:$A$18,Games!$P$2:$P$18,"Missing game",0)</x:f>
      </x:c>
      <x:c r="AV2572" t="str">
        <x:f>_xlfn.XLOOKUP($A2572,Games!$A$2:$A$18,Games!$Q$2:$Q$18,"Missing game",0)</x:f>
      </x:c>
      <x:c r="AW2572" t="str">
        <x:f>_xlfn.XLOOKUP($A2572,Games!$A$2:$A$18,Games!$R$2:$R$18,"Missing game",0)</x:f>
        <x:v>U.S. Bank Stadium</x:v>
      </x:c>
    </x:row>
    <x:row r="2573">
      <x:c r="A2573" t="str">
        <x:v>2025_17_DET_MIN</x:v>
      </x:c>
      <x:c r="B2573" t="n">
        <x:v>2384</x:v>
      </x:c>
      <x:c r="C2573" t="n">
        <x:v>3</x:v>
      </x:c>
      <x:c r="D2573" t="str">
        <x:v>05:05</x:v>
      </x:c>
      <x:c r="E2573" t="n">
        <x:v>1</x:v>
      </x:c>
      <x:c r="F2573" t="n">
        <x:v>10</x:v>
      </x:c>
      <x:c r="G2573" t="str">
        <x:v>MIN</x:v>
      </x:c>
      <x:c r="H2573" t="str">
        <x:v>DET</x:v>
      </x:c>
      <x:c r="I2573" t="str">
        <x:v>DET</x:v>
      </x:c>
      <x:c r="J2573" t="n">
        <x:v>31</x:v>
      </x:c>
      <x:c r="K2573" t="str">
        <x:v>(5:05) 32-T.Chandler up the middle to DET 29 for 2 yards (55-D.Barnes; 92-M.Davenport).</x:v>
      </x:c>
      <x:c r="L2573" t="str">
        <x:v>run</x:v>
      </x:c>
      <x:c r="M2573" t="n">
        <x:v>2</x:v>
      </x:c>
      <x:c r="N2573" t="n">
        <x:v>0</x:v>
      </x:c>
      <x:c r="O2573" t="n">
        <x:v>0</x:v>
      </x:c>
      <x:c r="P2573"/>
      <x:c r="Q2573"/>
      <x:c r="R2573"/>
      <x:c r="S2573"/>
      <x:c r="T2573" t="str">
        <x:v>middle</x:v>
      </x:c>
      <x:c r="U2573"/>
      <x:c r="V2573" t="n">
        <x:v>0</x:v>
      </x:c>
      <x:c r="W2573" t="n">
        <x:v>0</x:v>
      </x:c>
      <x:c r="X2573" t="n">
        <x:v>0</x:v>
      </x:c>
      <x:c r="Y2573" t="n">
        <x:v>0</x:v>
      </x:c>
      <x:c r="Z2573" t="n">
        <x:v>0</x:v>
      </x:c>
      <x:c r="AA2573" t="n">
        <x:v>0</x:v>
      </x:c>
      <x:c r="AB2573"/>
      <x:c r="AC2573" t="n">
        <x:v>0</x:v>
      </x:c>
      <x:c r="AD2573" t="n">
        <x:v>-0.37309981195721775</x:v>
      </x:c>
      <x:c r="AE2573" t="n">
        <x:v>0</x:v>
      </x:c>
      <x:c r="AF2573" t="n">
        <x:v>-0.002556025981903076</x:v>
      </x:c>
      <x:c r="AG2573" t="n">
        <x:f>_xlfn.XLOOKUP($A2573,Games!$A$2:$A$18,Games!$B$2:$B$18,"Missing game",0)</x:f>
        <x:v>2025</x:v>
      </x:c>
      <x:c r="AH2573" t="str">
        <x:f>_xlfn.XLOOKUP($A2573,Games!$A$2:$A$18,Games!$C$2:$C$18,"Missing game",0)</x:f>
        <x:v>REG</x:v>
      </x:c>
      <x:c r="AI2573" t="n">
        <x:f>_xlfn.XLOOKUP($A2573,Games!$A$2:$A$18,Games!$D$2:$D$18,"Missing game",0)</x:f>
        <x:v>17</x:v>
      </x:c>
      <x:c r="AJ2573" s="1" t="n">
        <x:f>_xlfn.XLOOKUP($A2573,Games!$A$2:$A$18,Games!$E$2:$E$18,"Missing game",0)</x:f>
        <x:v>46016</x:v>
      </x:c>
      <x:c r="AK2573" t="str">
        <x:f>_xlfn.XLOOKUP($A2573,Games!$A$2:$A$18,Games!$F$2:$F$18,"Missing game",0)</x:f>
        <x:v>Thursday</x:v>
      </x:c>
      <x:c r="AL2573" t="str">
        <x:f>_xlfn.XLOOKUP($A2573,Games!$A$2:$A$18,Games!$G$2:$G$18,"Missing game",0)</x:f>
        <x:v>DET</x:v>
      </x:c>
      <x:c r="AM2573" t="n">
        <x:f>_xlfn.XLOOKUP($A2573,Games!$A$2:$A$18,Games!$H$2:$H$18,"Missing game",0)</x:f>
        <x:v>10</x:v>
      </x:c>
      <x:c r="AN2573" t="str">
        <x:f>_xlfn.XLOOKUP($A2573,Games!$A$2:$A$18,Games!$I$2:$I$18,"Missing game",0)</x:f>
        <x:v>MIN</x:v>
      </x:c>
      <x:c r="AO2573" t="n">
        <x:f>_xlfn.XLOOKUP($A2573,Games!$A$2:$A$18,Games!$J$2:$J$18,"Missing game",0)</x:f>
        <x:v>23</x:v>
      </x:c>
      <x:c r="AP2573" t="n">
        <x:f>_xlfn.XLOOKUP($A2573,Games!$A$2:$A$18,Games!$K$2:$K$18,"Missing game",0)</x:f>
        <x:v>13</x:v>
      </x:c>
      <x:c r="AQ2573" t="n">
        <x:f>_xlfn.XLOOKUP($A2573,Games!$A$2:$A$18,Games!$L$2:$L$18,"Missing game",0)</x:f>
        <x:v>33</x:v>
      </x:c>
      <x:c r="AR2573" t="n">
        <x:f>_xlfn.XLOOKUP($A2573,Games!$A$2:$A$18,Games!$M$2:$M$18,"Missing game",0)</x:f>
        <x:v>0</x:v>
      </x:c>
      <x:c r="AS2573" t="str">
        <x:f>_xlfn.XLOOKUP($A2573,Games!$A$2:$A$18,Games!$N$2:$N$18,"Missing game",0)</x:f>
        <x:v>dome</x:v>
      </x:c>
      <x:c r="AT2573" t="str">
        <x:f>_xlfn.XLOOKUP($A2573,Games!$A$2:$A$18,Games!$O$2:$O$18,"Missing game",0)</x:f>
        <x:v>sportturf</x:v>
      </x:c>
      <x:c r="AU2573" t="str">
        <x:f>_xlfn.XLOOKUP($A2573,Games!$A$2:$A$18,Games!$P$2:$P$18,"Missing game",0)</x:f>
      </x:c>
      <x:c r="AV2573" t="str">
        <x:f>_xlfn.XLOOKUP($A2573,Games!$A$2:$A$18,Games!$Q$2:$Q$18,"Missing game",0)</x:f>
      </x:c>
      <x:c r="AW2573" t="str">
        <x:f>_xlfn.XLOOKUP($A2573,Games!$A$2:$A$18,Games!$R$2:$R$18,"Missing game",0)</x:f>
        <x:v>U.S. Bank Stadium</x:v>
      </x:c>
    </x:row>
    <x:row r="2574">
      <x:c r="A2574" t="str">
        <x:v>2025_17_DET_MIN</x:v>
      </x:c>
      <x:c r="B2574" t="n">
        <x:v>2406</x:v>
      </x:c>
      <x:c r="C2574" t="n">
        <x:v>3</x:v>
      </x:c>
      <x:c r="D2574" t="str">
        <x:v>04:29</x:v>
      </x:c>
      <x:c r="E2574" t="n">
        <x:v>2</x:v>
      </x:c>
      <x:c r="F2574" t="n">
        <x:v>8</x:v>
      </x:c>
      <x:c r="G2574" t="str">
        <x:v>MIN</x:v>
      </x:c>
      <x:c r="H2574" t="str">
        <x:v>DET</x:v>
      </x:c>
      <x:c r="I2574" t="str">
        <x:v>DET</x:v>
      </x:c>
      <x:c r="J2574" t="n">
        <x:v>29</x:v>
      </x:c>
      <x:c r="K2574" t="str">
        <x:v>(4:29) (Shotgun) 12-M.Brosmer sacked at DET 29 for 0 yards (91-T.Williams).</x:v>
      </x:c>
      <x:c r="L2574" t="str">
        <x:v>pass</x:v>
      </x:c>
      <x:c r="M2574" t="n">
        <x:v>0</x:v>
      </x:c>
      <x:c r="N2574" t="n">
        <x:v>1</x:v>
      </x:c>
      <x:c r="O2574" t="n">
        <x:v>0</x:v>
      </x:c>
      <x:c r="P2574"/>
      <x:c r="Q2574"/>
      <x:c r="R2574"/>
      <x:c r="S2574"/>
      <x:c r="T2574"/>
      <x:c r="U2574"/>
      <x:c r="V2574" t="n">
        <x:v>0</x:v>
      </x:c>
      <x:c r="W2574" t="n">
        <x:v>0</x:v>
      </x:c>
      <x:c r="X2574" t="n">
        <x:v>1</x:v>
      </x:c>
      <x:c r="Y2574" t="n">
        <x:v>0</x:v>
      </x:c>
      <x:c r="Z2574" t="n">
        <x:v>0</x:v>
      </x:c>
      <x:c r="AA2574" t="n">
        <x:v>0</x:v>
      </x:c>
      <x:c r="AB2574"/>
      <x:c r="AC2574" t="n">
        <x:v>0</x:v>
      </x:c>
      <x:c r="AD2574" t="n">
        <x:v>-0.7046205815859139</x:v>
      </x:c>
      <x:c r="AE2574" t="n">
        <x:v>0</x:v>
      </x:c>
      <x:c r="AF2574" t="n">
        <x:v>-0.038119494915008545</x:v>
      </x:c>
      <x:c r="AG2574" t="n">
        <x:f>_xlfn.XLOOKUP($A2574,Games!$A$2:$A$18,Games!$B$2:$B$18,"Missing game",0)</x:f>
        <x:v>2025</x:v>
      </x:c>
      <x:c r="AH2574" t="str">
        <x:f>_xlfn.XLOOKUP($A2574,Games!$A$2:$A$18,Games!$C$2:$C$18,"Missing game",0)</x:f>
        <x:v>REG</x:v>
      </x:c>
      <x:c r="AI2574" t="n">
        <x:f>_xlfn.XLOOKUP($A2574,Games!$A$2:$A$18,Games!$D$2:$D$18,"Missing game",0)</x:f>
        <x:v>17</x:v>
      </x:c>
      <x:c r="AJ2574" s="1" t="n">
        <x:f>_xlfn.XLOOKUP($A2574,Games!$A$2:$A$18,Games!$E$2:$E$18,"Missing game",0)</x:f>
        <x:v>46016</x:v>
      </x:c>
      <x:c r="AK2574" t="str">
        <x:f>_xlfn.XLOOKUP($A2574,Games!$A$2:$A$18,Games!$F$2:$F$18,"Missing game",0)</x:f>
        <x:v>Thursday</x:v>
      </x:c>
      <x:c r="AL2574" t="str">
        <x:f>_xlfn.XLOOKUP($A2574,Games!$A$2:$A$18,Games!$G$2:$G$18,"Missing game",0)</x:f>
        <x:v>DET</x:v>
      </x:c>
      <x:c r="AM2574" t="n">
        <x:f>_xlfn.XLOOKUP($A2574,Games!$A$2:$A$18,Games!$H$2:$H$18,"Missing game",0)</x:f>
        <x:v>10</x:v>
      </x:c>
      <x:c r="AN2574" t="str">
        <x:f>_xlfn.XLOOKUP($A2574,Games!$A$2:$A$18,Games!$I$2:$I$18,"Missing game",0)</x:f>
        <x:v>MIN</x:v>
      </x:c>
      <x:c r="AO2574" t="n">
        <x:f>_xlfn.XLOOKUP($A2574,Games!$A$2:$A$18,Games!$J$2:$J$18,"Missing game",0)</x:f>
        <x:v>23</x:v>
      </x:c>
      <x:c r="AP2574" t="n">
        <x:f>_xlfn.XLOOKUP($A2574,Games!$A$2:$A$18,Games!$K$2:$K$18,"Missing game",0)</x:f>
        <x:v>13</x:v>
      </x:c>
      <x:c r="AQ2574" t="n">
        <x:f>_xlfn.XLOOKUP($A2574,Games!$A$2:$A$18,Games!$L$2:$L$18,"Missing game",0)</x:f>
        <x:v>33</x:v>
      </x:c>
      <x:c r="AR2574" t="n">
        <x:f>_xlfn.XLOOKUP($A2574,Games!$A$2:$A$18,Games!$M$2:$M$18,"Missing game",0)</x:f>
        <x:v>0</x:v>
      </x:c>
      <x:c r="AS2574" t="str">
        <x:f>_xlfn.XLOOKUP($A2574,Games!$A$2:$A$18,Games!$N$2:$N$18,"Missing game",0)</x:f>
        <x:v>dome</x:v>
      </x:c>
      <x:c r="AT2574" t="str">
        <x:f>_xlfn.XLOOKUP($A2574,Games!$A$2:$A$18,Games!$O$2:$O$18,"Missing game",0)</x:f>
        <x:v>sportturf</x:v>
      </x:c>
      <x:c r="AU2574" t="str">
        <x:f>_xlfn.XLOOKUP($A2574,Games!$A$2:$A$18,Games!$P$2:$P$18,"Missing game",0)</x:f>
      </x:c>
      <x:c r="AV2574" t="str">
        <x:f>_xlfn.XLOOKUP($A2574,Games!$A$2:$A$18,Games!$Q$2:$Q$18,"Missing game",0)</x:f>
      </x:c>
      <x:c r="AW2574" t="str">
        <x:f>_xlfn.XLOOKUP($A2574,Games!$A$2:$A$18,Games!$R$2:$R$18,"Missing game",0)</x:f>
        <x:v>U.S. Bank Stadium</x:v>
      </x:c>
    </x:row>
    <x:row r="2575">
      <x:c r="A2575" t="str">
        <x:v>2025_17_DET_MIN</x:v>
      </x:c>
      <x:c r="B2575" t="n">
        <x:v>2435</x:v>
      </x:c>
      <x:c r="C2575" t="n">
        <x:v>3</x:v>
      </x:c>
      <x:c r="D2575" t="str">
        <x:v>03:46</x:v>
      </x:c>
      <x:c r="E2575" t="n">
        <x:v>3</x:v>
      </x:c>
      <x:c r="F2575" t="n">
        <x:v>8</x:v>
      </x:c>
      <x:c r="G2575" t="str">
        <x:v>MIN</x:v>
      </x:c>
      <x:c r="H2575" t="str">
        <x:v>DET</x:v>
      </x:c>
      <x:c r="I2575" t="str">
        <x:v>DET</x:v>
      </x:c>
      <x:c r="J2575" t="n">
        <x:v>29</x:v>
      </x:c>
      <x:c r="K2575" t="str">
        <x:v>(3:46) (Shotgun) 12-M.Brosmer sacked at DET 34 for -5 yards (96-A.Muhammad).</x:v>
      </x:c>
      <x:c r="L2575" t="str">
        <x:v>pass</x:v>
      </x:c>
      <x:c r="M2575" t="n">
        <x:v>-5</x:v>
      </x:c>
      <x:c r="N2575" t="n">
        <x:v>1</x:v>
      </x:c>
      <x:c r="O2575" t="n">
        <x:v>0</x:v>
      </x:c>
      <x:c r="P2575"/>
      <x:c r="Q2575"/>
      <x:c r="R2575"/>
      <x:c r="S2575"/>
      <x:c r="T2575"/>
      <x:c r="U2575"/>
      <x:c r="V2575" t="n">
        <x:v>0</x:v>
      </x:c>
      <x:c r="W2575" t="n">
        <x:v>0</x:v>
      </x:c>
      <x:c r="X2575" t="n">
        <x:v>1</x:v>
      </x:c>
      <x:c r="Y2575" t="n">
        <x:v>0</x:v>
      </x:c>
      <x:c r="Z2575" t="n">
        <x:v>0</x:v>
      </x:c>
      <x:c r="AA2575" t="n">
        <x:v>0</x:v>
      </x:c>
      <x:c r="AB2575"/>
      <x:c r="AC2575" t="n">
        <x:v>0</x:v>
      </x:c>
      <x:c r="AD2575" t="n">
        <x:v>-1.8413143407960373</x:v>
      </x:c>
      <x:c r="AE2575" t="n">
        <x:v>0</x:v>
      </x:c>
      <x:c r="AF2575" t="n">
        <x:v>-0.06834995746612549</x:v>
      </x:c>
      <x:c r="AG2575" t="n">
        <x:f>_xlfn.XLOOKUP($A2575,Games!$A$2:$A$18,Games!$B$2:$B$18,"Missing game",0)</x:f>
        <x:v>2025</x:v>
      </x:c>
      <x:c r="AH2575" t="str">
        <x:f>_xlfn.XLOOKUP($A2575,Games!$A$2:$A$18,Games!$C$2:$C$18,"Missing game",0)</x:f>
        <x:v>REG</x:v>
      </x:c>
      <x:c r="AI2575" t="n">
        <x:f>_xlfn.XLOOKUP($A2575,Games!$A$2:$A$18,Games!$D$2:$D$18,"Missing game",0)</x:f>
        <x:v>17</x:v>
      </x:c>
      <x:c r="AJ2575" s="1" t="n">
        <x:f>_xlfn.XLOOKUP($A2575,Games!$A$2:$A$18,Games!$E$2:$E$18,"Missing game",0)</x:f>
        <x:v>46016</x:v>
      </x:c>
      <x:c r="AK2575" t="str">
        <x:f>_xlfn.XLOOKUP($A2575,Games!$A$2:$A$18,Games!$F$2:$F$18,"Missing game",0)</x:f>
        <x:v>Thursday</x:v>
      </x:c>
      <x:c r="AL2575" t="str">
        <x:f>_xlfn.XLOOKUP($A2575,Games!$A$2:$A$18,Games!$G$2:$G$18,"Missing game",0)</x:f>
        <x:v>DET</x:v>
      </x:c>
      <x:c r="AM2575" t="n">
        <x:f>_xlfn.XLOOKUP($A2575,Games!$A$2:$A$18,Games!$H$2:$H$18,"Missing game",0)</x:f>
        <x:v>10</x:v>
      </x:c>
      <x:c r="AN2575" t="str">
        <x:f>_xlfn.XLOOKUP($A2575,Games!$A$2:$A$18,Games!$I$2:$I$18,"Missing game",0)</x:f>
        <x:v>MIN</x:v>
      </x:c>
      <x:c r="AO2575" t="n">
        <x:f>_xlfn.XLOOKUP($A2575,Games!$A$2:$A$18,Games!$J$2:$J$18,"Missing game",0)</x:f>
        <x:v>23</x:v>
      </x:c>
      <x:c r="AP2575" t="n">
        <x:f>_xlfn.XLOOKUP($A2575,Games!$A$2:$A$18,Games!$K$2:$K$18,"Missing game",0)</x:f>
        <x:v>13</x:v>
      </x:c>
      <x:c r="AQ2575" t="n">
        <x:f>_xlfn.XLOOKUP($A2575,Games!$A$2:$A$18,Games!$L$2:$L$18,"Missing game",0)</x:f>
        <x:v>33</x:v>
      </x:c>
      <x:c r="AR2575" t="n">
        <x:f>_xlfn.XLOOKUP($A2575,Games!$A$2:$A$18,Games!$M$2:$M$18,"Missing game",0)</x:f>
        <x:v>0</x:v>
      </x:c>
      <x:c r="AS2575" t="str">
        <x:f>_xlfn.XLOOKUP($A2575,Games!$A$2:$A$18,Games!$N$2:$N$18,"Missing game",0)</x:f>
        <x:v>dome</x:v>
      </x:c>
      <x:c r="AT2575" t="str">
        <x:f>_xlfn.XLOOKUP($A2575,Games!$A$2:$A$18,Games!$O$2:$O$18,"Missing game",0)</x:f>
        <x:v>sportturf</x:v>
      </x:c>
      <x:c r="AU2575" t="str">
        <x:f>_xlfn.XLOOKUP($A2575,Games!$A$2:$A$18,Games!$P$2:$P$18,"Missing game",0)</x:f>
      </x:c>
      <x:c r="AV2575" t="str">
        <x:f>_xlfn.XLOOKUP($A2575,Games!$A$2:$A$18,Games!$Q$2:$Q$18,"Missing game",0)</x:f>
      </x:c>
      <x:c r="AW2575" t="str">
        <x:f>_xlfn.XLOOKUP($A2575,Games!$A$2:$A$18,Games!$R$2:$R$18,"Missing game",0)</x:f>
        <x:v>U.S. Bank Stadium</x:v>
      </x:c>
    </x:row>
    <x:row r="2576">
      <x:c r="A2576" t="str">
        <x:v>2025_17_DET_MIN</x:v>
      </x:c>
      <x:c r="B2576" t="n">
        <x:v>2455</x:v>
      </x:c>
      <x:c r="C2576" t="n">
        <x:v>3</x:v>
      </x:c>
      <x:c r="D2576" t="str">
        <x:v>03:07</x:v>
      </x:c>
      <x:c r="E2576" t="n">
        <x:v>4</x:v>
      </x:c>
      <x:c r="F2576" t="n">
        <x:v>13</x:v>
      </x:c>
      <x:c r="G2576" t="str">
        <x:v>MIN</x:v>
      </x:c>
      <x:c r="H2576" t="str">
        <x:v>DET</x:v>
      </x:c>
      <x:c r="I2576" t="str">
        <x:v>DET</x:v>
      </x:c>
      <x:c r="J2576" t="n">
        <x:v>34</x:v>
      </x:c>
      <x:c r="K2576" t="str">
        <x:v>(3:07) 16-W.Reichard 52 yard field goal is GOOD, Center-42-A.DePaola, Holder-17-R.Wright.</x:v>
      </x:c>
      <x:c r="L2576" t="str">
        <x:v>field_goal</x:v>
      </x:c>
      <x:c r="M2576" t="n">
        <x:v>0</x:v>
      </x:c>
      <x:c r="N2576" t="n">
        <x:v>0</x:v>
      </x:c>
      <x:c r="O2576" t="n">
        <x:v>0</x:v>
      </x:c>
      <x:c r="P2576"/>
      <x:c r="Q2576"/>
      <x:c r="R2576"/>
      <x:c r="S2576"/>
      <x:c r="T2576"/>
      <x:c r="U2576"/>
      <x:c r="V2576" t="n">
        <x:v>0</x:v>
      </x:c>
      <x:c r="W2576" t="n">
        <x:v>0</x:v>
      </x:c>
      <x:c r="X2576" t="n">
        <x:v>0</x:v>
      </x:c>
      <x:c r="Y2576" t="n">
        <x:v>0</x:v>
      </x:c>
      <x:c r="Z2576" t="n">
        <x:v>0</x:v>
      </x:c>
      <x:c r="AA2576" t="n">
        <x:v>0</x:v>
      </x:c>
      <x:c r="AB2576"/>
      <x:c r="AC2576" t="n">
        <x:v>0</x:v>
      </x:c>
      <x:c r="AD2576" t="n">
        <x:v>1.6546579937857526</x:v>
      </x:c>
      <x:c r="AE2576" t="n">
        <x:v>1</x:v>
      </x:c>
      <x:c r="AF2576" t="n">
        <x:v>0.09008249640464783</x:v>
      </x:c>
      <x:c r="AG2576" t="n">
        <x:f>_xlfn.XLOOKUP($A2576,Games!$A$2:$A$18,Games!$B$2:$B$18,"Missing game",0)</x:f>
        <x:v>2025</x:v>
      </x:c>
      <x:c r="AH2576" t="str">
        <x:f>_xlfn.XLOOKUP($A2576,Games!$A$2:$A$18,Games!$C$2:$C$18,"Missing game",0)</x:f>
        <x:v>REG</x:v>
      </x:c>
      <x:c r="AI2576" t="n">
        <x:f>_xlfn.XLOOKUP($A2576,Games!$A$2:$A$18,Games!$D$2:$D$18,"Missing game",0)</x:f>
        <x:v>17</x:v>
      </x:c>
      <x:c r="AJ2576" s="1" t="n">
        <x:f>_xlfn.XLOOKUP($A2576,Games!$A$2:$A$18,Games!$E$2:$E$18,"Missing game",0)</x:f>
        <x:v>46016</x:v>
      </x:c>
      <x:c r="AK2576" t="str">
        <x:f>_xlfn.XLOOKUP($A2576,Games!$A$2:$A$18,Games!$F$2:$F$18,"Missing game",0)</x:f>
        <x:v>Thursday</x:v>
      </x:c>
      <x:c r="AL2576" t="str">
        <x:f>_xlfn.XLOOKUP($A2576,Games!$A$2:$A$18,Games!$G$2:$G$18,"Missing game",0)</x:f>
        <x:v>DET</x:v>
      </x:c>
      <x:c r="AM2576" t="n">
        <x:f>_xlfn.XLOOKUP($A2576,Games!$A$2:$A$18,Games!$H$2:$H$18,"Missing game",0)</x:f>
        <x:v>10</x:v>
      </x:c>
      <x:c r="AN2576" t="str">
        <x:f>_xlfn.XLOOKUP($A2576,Games!$A$2:$A$18,Games!$I$2:$I$18,"Missing game",0)</x:f>
        <x:v>MIN</x:v>
      </x:c>
      <x:c r="AO2576" t="n">
        <x:f>_xlfn.XLOOKUP($A2576,Games!$A$2:$A$18,Games!$J$2:$J$18,"Missing game",0)</x:f>
        <x:v>23</x:v>
      </x:c>
      <x:c r="AP2576" t="n">
        <x:f>_xlfn.XLOOKUP($A2576,Games!$A$2:$A$18,Games!$K$2:$K$18,"Missing game",0)</x:f>
        <x:v>13</x:v>
      </x:c>
      <x:c r="AQ2576" t="n">
        <x:f>_xlfn.XLOOKUP($A2576,Games!$A$2:$A$18,Games!$L$2:$L$18,"Missing game",0)</x:f>
        <x:v>33</x:v>
      </x:c>
      <x:c r="AR2576" t="n">
        <x:f>_xlfn.XLOOKUP($A2576,Games!$A$2:$A$18,Games!$M$2:$M$18,"Missing game",0)</x:f>
        <x:v>0</x:v>
      </x:c>
      <x:c r="AS2576" t="str">
        <x:f>_xlfn.XLOOKUP($A2576,Games!$A$2:$A$18,Games!$N$2:$N$18,"Missing game",0)</x:f>
        <x:v>dome</x:v>
      </x:c>
      <x:c r="AT2576" t="str">
        <x:f>_xlfn.XLOOKUP($A2576,Games!$A$2:$A$18,Games!$O$2:$O$18,"Missing game",0)</x:f>
        <x:v>sportturf</x:v>
      </x:c>
      <x:c r="AU2576" t="str">
        <x:f>_xlfn.XLOOKUP($A2576,Games!$A$2:$A$18,Games!$P$2:$P$18,"Missing game",0)</x:f>
      </x:c>
      <x:c r="AV2576" t="str">
        <x:f>_xlfn.XLOOKUP($A2576,Games!$A$2:$A$18,Games!$Q$2:$Q$18,"Missing game",0)</x:f>
      </x:c>
      <x:c r="AW2576" t="str">
        <x:f>_xlfn.XLOOKUP($A2576,Games!$A$2:$A$18,Games!$R$2:$R$18,"Missing game",0)</x:f>
        <x:v>U.S. Bank Stadium</x:v>
      </x:c>
    </x:row>
    <x:row r="2577">
      <x:c r="A2577" t="str">
        <x:v>2025_17_DET_MIN</x:v>
      </x:c>
      <x:c r="B2577" t="n">
        <x:v>2475</x:v>
      </x:c>
      <x:c r="C2577" t="n">
        <x:v>3</x:v>
      </x:c>
      <x:c r="D2577" t="str">
        <x:v>03:03</x:v>
      </x:c>
      <x:c r="E2577"/>
      <x:c r="F2577" t="n">
        <x:v>0</x:v>
      </x:c>
      <x:c r="G2577" t="str">
        <x:v>DET</x:v>
      </x:c>
      <x:c r="H2577" t="str">
        <x:v>MIN</x:v>
      </x:c>
      <x:c r="I2577" t="str">
        <x:v>MIN</x:v>
      </x:c>
      <x:c r="J2577" t="n">
        <x:v>35</x:v>
      </x:c>
      <x:c r="K2577" t="str">
        <x:v>16-W.Reichard kicks 65 yards from MIN 35 to DET 0. 85-T.Kennedy to DET 30 for 30 yards (37-T.Thomas; 30-C.Ham).</x:v>
      </x:c>
      <x:c r="L2577" t="str">
        <x:v>kickoff</x:v>
      </x:c>
      <x:c r="M2577" t="n">
        <x:v>0</x:v>
      </x:c>
      <x:c r="N2577" t="n">
        <x:v>0</x:v>
      </x:c>
      <x:c r="O2577" t="n">
        <x:v>0</x:v>
      </x:c>
      <x:c r="P2577"/>
      <x:c r="Q2577"/>
      <x:c r="R2577"/>
      <x:c r="S2577"/>
      <x:c r="T2577"/>
      <x:c r="U2577"/>
      <x:c r="V2577" t="n">
        <x:v>0</x:v>
      </x:c>
      <x:c r="W2577" t="n">
        <x:v>0</x:v>
      </x:c>
      <x:c r="X2577" t="n">
        <x:v>0</x:v>
      </x:c>
      <x:c r="Y2577" t="n">
        <x:v>0</x:v>
      </x:c>
      <x:c r="Z2577" t="n">
        <x:v>0</x:v>
      </x:c>
      <x:c r="AA2577" t="n">
        <x:v>0</x:v>
      </x:c>
      <x:c r="AB2577"/>
      <x:c r="AC2577" t="n">
        <x:v>0</x:v>
      </x:c>
      <x:c r="AD2577" t="n">
        <x:v>0.2735157283023</x:v>
      </x:c>
      <x:c r="AE2577" t="n">
        <x:v>1</x:v>
      </x:c>
      <x:c r="AF2577" t="n">
        <x:v>0.005645751953125</x:v>
      </x:c>
      <x:c r="AG2577" t="n">
        <x:f>_xlfn.XLOOKUP($A2577,Games!$A$2:$A$18,Games!$B$2:$B$18,"Missing game",0)</x:f>
        <x:v>2025</x:v>
      </x:c>
      <x:c r="AH2577" t="str">
        <x:f>_xlfn.XLOOKUP($A2577,Games!$A$2:$A$18,Games!$C$2:$C$18,"Missing game",0)</x:f>
        <x:v>REG</x:v>
      </x:c>
      <x:c r="AI2577" t="n">
        <x:f>_xlfn.XLOOKUP($A2577,Games!$A$2:$A$18,Games!$D$2:$D$18,"Missing game",0)</x:f>
        <x:v>17</x:v>
      </x:c>
      <x:c r="AJ2577" s="1" t="n">
        <x:f>_xlfn.XLOOKUP($A2577,Games!$A$2:$A$18,Games!$E$2:$E$18,"Missing game",0)</x:f>
        <x:v>46016</x:v>
      </x:c>
      <x:c r="AK2577" t="str">
        <x:f>_xlfn.XLOOKUP($A2577,Games!$A$2:$A$18,Games!$F$2:$F$18,"Missing game",0)</x:f>
        <x:v>Thursday</x:v>
      </x:c>
      <x:c r="AL2577" t="str">
        <x:f>_xlfn.XLOOKUP($A2577,Games!$A$2:$A$18,Games!$G$2:$G$18,"Missing game",0)</x:f>
        <x:v>DET</x:v>
      </x:c>
      <x:c r="AM2577" t="n">
        <x:f>_xlfn.XLOOKUP($A2577,Games!$A$2:$A$18,Games!$H$2:$H$18,"Missing game",0)</x:f>
        <x:v>10</x:v>
      </x:c>
      <x:c r="AN2577" t="str">
        <x:f>_xlfn.XLOOKUP($A2577,Games!$A$2:$A$18,Games!$I$2:$I$18,"Missing game",0)</x:f>
        <x:v>MIN</x:v>
      </x:c>
      <x:c r="AO2577" t="n">
        <x:f>_xlfn.XLOOKUP($A2577,Games!$A$2:$A$18,Games!$J$2:$J$18,"Missing game",0)</x:f>
        <x:v>23</x:v>
      </x:c>
      <x:c r="AP2577" t="n">
        <x:f>_xlfn.XLOOKUP($A2577,Games!$A$2:$A$18,Games!$K$2:$K$18,"Missing game",0)</x:f>
        <x:v>13</x:v>
      </x:c>
      <x:c r="AQ2577" t="n">
        <x:f>_xlfn.XLOOKUP($A2577,Games!$A$2:$A$18,Games!$L$2:$L$18,"Missing game",0)</x:f>
        <x:v>33</x:v>
      </x:c>
      <x:c r="AR2577" t="n">
        <x:f>_xlfn.XLOOKUP($A2577,Games!$A$2:$A$18,Games!$M$2:$M$18,"Missing game",0)</x:f>
        <x:v>0</x:v>
      </x:c>
      <x:c r="AS2577" t="str">
        <x:f>_xlfn.XLOOKUP($A2577,Games!$A$2:$A$18,Games!$N$2:$N$18,"Missing game",0)</x:f>
        <x:v>dome</x:v>
      </x:c>
      <x:c r="AT2577" t="str">
        <x:f>_xlfn.XLOOKUP($A2577,Games!$A$2:$A$18,Games!$O$2:$O$18,"Missing game",0)</x:f>
        <x:v>sportturf</x:v>
      </x:c>
      <x:c r="AU2577" t="str">
        <x:f>_xlfn.XLOOKUP($A2577,Games!$A$2:$A$18,Games!$P$2:$P$18,"Missing game",0)</x:f>
      </x:c>
      <x:c r="AV2577" t="str">
        <x:f>_xlfn.XLOOKUP($A2577,Games!$A$2:$A$18,Games!$Q$2:$Q$18,"Missing game",0)</x:f>
      </x:c>
      <x:c r="AW2577" t="str">
        <x:f>_xlfn.XLOOKUP($A2577,Games!$A$2:$A$18,Games!$R$2:$R$18,"Missing game",0)</x:f>
        <x:v>U.S. Bank Stadium</x:v>
      </x:c>
    </x:row>
    <x:row r="2578">
      <x:c r="A2578" t="str">
        <x:v>2025_17_DET_MIN</x:v>
      </x:c>
      <x:c r="B2578" t="n">
        <x:v>2505</x:v>
      </x:c>
      <x:c r="C2578" t="n">
        <x:v>3</x:v>
      </x:c>
      <x:c r="D2578" t="str">
        <x:v>02:57</x:v>
      </x:c>
      <x:c r="E2578" t="n">
        <x:v>1</x:v>
      </x:c>
      <x:c r="F2578" t="n">
        <x:v>10</x:v>
      </x:c>
      <x:c r="G2578" t="str">
        <x:v>DET</x:v>
      </x:c>
      <x:c r="H2578" t="str">
        <x:v>MIN</x:v>
      </x:c>
      <x:c r="I2578" t="str">
        <x:v>DET</x:v>
      </x:c>
      <x:c r="J2578" t="n">
        <x:v>70</x:v>
      </x:c>
      <x:c r="K2578" t="str">
        <x:v>(2:57) 16-J.Goff pass short middle intended for 14-A.St. Brown INTERCEPTED by 22-H.Smith at DET 43. 22-H.Smith to DET 42 for 1 yard (14-A.St. Brown).</x:v>
      </x:c>
      <x:c r="L2578" t="str">
        <x:v>pass</x:v>
      </x:c>
      <x:c r="M2578" t="n">
        <x:v>0</x:v>
      </x:c>
      <x:c r="N2578" t="n">
        <x:v>0</x:v>
      </x:c>
      <x:c r="O2578" t="n">
        <x:v>0</x:v>
      </x:c>
      <x:c r="P2578" t="str">
        <x:v>short</x:v>
      </x:c>
      <x:c r="Q2578" t="str">
        <x:v>middle</x:v>
      </x:c>
      <x:c r="R2578" t="n">
        <x:v>13</x:v>
      </x:c>
      <x:c r="S2578"/>
      <x:c r="T2578"/>
      <x:c r="U2578"/>
      <x:c r="V2578" t="n">
        <x:v>0</x:v>
      </x:c>
      <x:c r="W2578" t="n">
        <x:v>0</x:v>
      </x:c>
      <x:c r="X2578" t="n">
        <x:v>0</x:v>
      </x:c>
      <x:c r="Y2578" t="n">
        <x:v>1</x:v>
      </x:c>
      <x:c r="Z2578" t="n">
        <x:v>0</x:v>
      </x:c>
      <x:c r="AA2578" t="n">
        <x:v>0</x:v>
      </x:c>
      <x:c r="AB2578"/>
      <x:c r="AC2578" t="n">
        <x:v>0</x:v>
      </x:c>
      <x:c r="AD2578" t="n">
        <x:v>-4.903574962401763</x:v>
      </x:c>
      <x:c r="AE2578" t="n">
        <x:v>0</x:v>
      </x:c>
      <x:c r="AF2578" t="n">
        <x:v>-0.14468052983283997</x:v>
      </x:c>
      <x:c r="AG2578" t="n">
        <x:f>_xlfn.XLOOKUP($A2578,Games!$A$2:$A$18,Games!$B$2:$B$18,"Missing game",0)</x:f>
        <x:v>2025</x:v>
      </x:c>
      <x:c r="AH2578" t="str">
        <x:f>_xlfn.XLOOKUP($A2578,Games!$A$2:$A$18,Games!$C$2:$C$18,"Missing game",0)</x:f>
        <x:v>REG</x:v>
      </x:c>
      <x:c r="AI2578" t="n">
        <x:f>_xlfn.XLOOKUP($A2578,Games!$A$2:$A$18,Games!$D$2:$D$18,"Missing game",0)</x:f>
        <x:v>17</x:v>
      </x:c>
      <x:c r="AJ2578" s="1" t="n">
        <x:f>_xlfn.XLOOKUP($A2578,Games!$A$2:$A$18,Games!$E$2:$E$18,"Missing game",0)</x:f>
        <x:v>46016</x:v>
      </x:c>
      <x:c r="AK2578" t="str">
        <x:f>_xlfn.XLOOKUP($A2578,Games!$A$2:$A$18,Games!$F$2:$F$18,"Missing game",0)</x:f>
        <x:v>Thursday</x:v>
      </x:c>
      <x:c r="AL2578" t="str">
        <x:f>_xlfn.XLOOKUP($A2578,Games!$A$2:$A$18,Games!$G$2:$G$18,"Missing game",0)</x:f>
        <x:v>DET</x:v>
      </x:c>
      <x:c r="AM2578" t="n">
        <x:f>_xlfn.XLOOKUP($A2578,Games!$A$2:$A$18,Games!$H$2:$H$18,"Missing game",0)</x:f>
        <x:v>10</x:v>
      </x:c>
      <x:c r="AN2578" t="str">
        <x:f>_xlfn.XLOOKUP($A2578,Games!$A$2:$A$18,Games!$I$2:$I$18,"Missing game",0)</x:f>
        <x:v>MIN</x:v>
      </x:c>
      <x:c r="AO2578" t="n">
        <x:f>_xlfn.XLOOKUP($A2578,Games!$A$2:$A$18,Games!$J$2:$J$18,"Missing game",0)</x:f>
        <x:v>23</x:v>
      </x:c>
      <x:c r="AP2578" t="n">
        <x:f>_xlfn.XLOOKUP($A2578,Games!$A$2:$A$18,Games!$K$2:$K$18,"Missing game",0)</x:f>
        <x:v>13</x:v>
      </x:c>
      <x:c r="AQ2578" t="n">
        <x:f>_xlfn.XLOOKUP($A2578,Games!$A$2:$A$18,Games!$L$2:$L$18,"Missing game",0)</x:f>
        <x:v>33</x:v>
      </x:c>
      <x:c r="AR2578" t="n">
        <x:f>_xlfn.XLOOKUP($A2578,Games!$A$2:$A$18,Games!$M$2:$M$18,"Missing game",0)</x:f>
        <x:v>0</x:v>
      </x:c>
      <x:c r="AS2578" t="str">
        <x:f>_xlfn.XLOOKUP($A2578,Games!$A$2:$A$18,Games!$N$2:$N$18,"Missing game",0)</x:f>
        <x:v>dome</x:v>
      </x:c>
      <x:c r="AT2578" t="str">
        <x:f>_xlfn.XLOOKUP($A2578,Games!$A$2:$A$18,Games!$O$2:$O$18,"Missing game",0)</x:f>
        <x:v>sportturf</x:v>
      </x:c>
      <x:c r="AU2578" t="str">
        <x:f>_xlfn.XLOOKUP($A2578,Games!$A$2:$A$18,Games!$P$2:$P$18,"Missing game",0)</x:f>
      </x:c>
      <x:c r="AV2578" t="str">
        <x:f>_xlfn.XLOOKUP($A2578,Games!$A$2:$A$18,Games!$Q$2:$Q$18,"Missing game",0)</x:f>
      </x:c>
      <x:c r="AW2578" t="str">
        <x:f>_xlfn.XLOOKUP($A2578,Games!$A$2:$A$18,Games!$R$2:$R$18,"Missing game",0)</x:f>
        <x:v>U.S. Bank Stadium</x:v>
      </x:c>
    </x:row>
    <x:row r="2579">
      <x:c r="A2579" t="str">
        <x:v>2025_17_DET_MIN</x:v>
      </x:c>
      <x:c r="B2579" t="n">
        <x:v>2532</x:v>
      </x:c>
      <x:c r="C2579" t="n">
        <x:v>3</x:v>
      </x:c>
      <x:c r="D2579" t="str">
        <x:v>02:52</x:v>
      </x:c>
      <x:c r="E2579" t="n">
        <x:v>1</x:v>
      </x:c>
      <x:c r="F2579" t="n">
        <x:v>10</x:v>
      </x:c>
      <x:c r="G2579" t="str">
        <x:v>MIN</x:v>
      </x:c>
      <x:c r="H2579" t="str">
        <x:v>DET</x:v>
      </x:c>
      <x:c r="I2579" t="str">
        <x:v>DET</x:v>
      </x:c>
      <x:c r="J2579" t="n">
        <x:v>42</x:v>
      </x:c>
      <x:c r="K2579" t="str">
        <x:v>(2:52) 12-M.Brosmer pass incomplete deep left to 3-J.Addison (4-D.Reed).</x:v>
      </x:c>
      <x:c r="L2579" t="str">
        <x:v>pass</x:v>
      </x:c>
      <x:c r="M2579" t="n">
        <x:v>0</x:v>
      </x:c>
      <x:c r="N2579" t="n">
        <x:v>0</x:v>
      </x:c>
      <x:c r="O2579" t="n">
        <x:v>0</x:v>
      </x:c>
      <x:c r="P2579" t="str">
        <x:v>deep</x:v>
      </x:c>
      <x:c r="Q2579" t="str">
        <x:v>left</x:v>
      </x:c>
      <x:c r="R2579" t="n">
        <x:v>19</x:v>
      </x:c>
      <x:c r="S2579"/>
      <x:c r="T2579"/>
      <x:c r="U2579"/>
      <x:c r="V2579" t="n">
        <x:v>0</x:v>
      </x:c>
      <x:c r="W2579" t="n">
        <x:v>0</x:v>
      </x:c>
      <x:c r="X2579" t="n">
        <x:v>0</x:v>
      </x:c>
      <x:c r="Y2579" t="n">
        <x:v>0</x:v>
      </x:c>
      <x:c r="Z2579" t="n">
        <x:v>0</x:v>
      </x:c>
      <x:c r="AA2579" t="n">
        <x:v>0</x:v>
      </x:c>
      <x:c r="AB2579"/>
      <x:c r="AC2579" t="n">
        <x:v>0</x:v>
      </x:c>
      <x:c r="AD2579" t="n">
        <x:v>-0.5585640552453697</x:v>
      </x:c>
      <x:c r="AE2579" t="n">
        <x:v>0</x:v>
      </x:c>
      <x:c r="AF2579" t="n">
        <x:v>-0.02010035514831543</x:v>
      </x:c>
      <x:c r="AG2579" t="n">
        <x:f>_xlfn.XLOOKUP($A2579,Games!$A$2:$A$18,Games!$B$2:$B$18,"Missing game",0)</x:f>
        <x:v>2025</x:v>
      </x:c>
      <x:c r="AH2579" t="str">
        <x:f>_xlfn.XLOOKUP($A2579,Games!$A$2:$A$18,Games!$C$2:$C$18,"Missing game",0)</x:f>
        <x:v>REG</x:v>
      </x:c>
      <x:c r="AI2579" t="n">
        <x:f>_xlfn.XLOOKUP($A2579,Games!$A$2:$A$18,Games!$D$2:$D$18,"Missing game",0)</x:f>
        <x:v>17</x:v>
      </x:c>
      <x:c r="AJ2579" s="1" t="n">
        <x:f>_xlfn.XLOOKUP($A2579,Games!$A$2:$A$18,Games!$E$2:$E$18,"Missing game",0)</x:f>
        <x:v>46016</x:v>
      </x:c>
      <x:c r="AK2579" t="str">
        <x:f>_xlfn.XLOOKUP($A2579,Games!$A$2:$A$18,Games!$F$2:$F$18,"Missing game",0)</x:f>
        <x:v>Thursday</x:v>
      </x:c>
      <x:c r="AL2579" t="str">
        <x:f>_xlfn.XLOOKUP($A2579,Games!$A$2:$A$18,Games!$G$2:$G$18,"Missing game",0)</x:f>
        <x:v>DET</x:v>
      </x:c>
      <x:c r="AM2579" t="n">
        <x:f>_xlfn.XLOOKUP($A2579,Games!$A$2:$A$18,Games!$H$2:$H$18,"Missing game",0)</x:f>
        <x:v>10</x:v>
      </x:c>
      <x:c r="AN2579" t="str">
        <x:f>_xlfn.XLOOKUP($A2579,Games!$A$2:$A$18,Games!$I$2:$I$18,"Missing game",0)</x:f>
        <x:v>MIN</x:v>
      </x:c>
      <x:c r="AO2579" t="n">
        <x:f>_xlfn.XLOOKUP($A2579,Games!$A$2:$A$18,Games!$J$2:$J$18,"Missing game",0)</x:f>
        <x:v>23</x:v>
      </x:c>
      <x:c r="AP2579" t="n">
        <x:f>_xlfn.XLOOKUP($A2579,Games!$A$2:$A$18,Games!$K$2:$K$18,"Missing game",0)</x:f>
        <x:v>13</x:v>
      </x:c>
      <x:c r="AQ2579" t="n">
        <x:f>_xlfn.XLOOKUP($A2579,Games!$A$2:$A$18,Games!$L$2:$L$18,"Missing game",0)</x:f>
        <x:v>33</x:v>
      </x:c>
      <x:c r="AR2579" t="n">
        <x:f>_xlfn.XLOOKUP($A2579,Games!$A$2:$A$18,Games!$M$2:$M$18,"Missing game",0)</x:f>
        <x:v>0</x:v>
      </x:c>
      <x:c r="AS2579" t="str">
        <x:f>_xlfn.XLOOKUP($A2579,Games!$A$2:$A$18,Games!$N$2:$N$18,"Missing game",0)</x:f>
        <x:v>dome</x:v>
      </x:c>
      <x:c r="AT2579" t="str">
        <x:f>_xlfn.XLOOKUP($A2579,Games!$A$2:$A$18,Games!$O$2:$O$18,"Missing game",0)</x:f>
        <x:v>sportturf</x:v>
      </x:c>
      <x:c r="AU2579" t="str">
        <x:f>_xlfn.XLOOKUP($A2579,Games!$A$2:$A$18,Games!$P$2:$P$18,"Missing game",0)</x:f>
      </x:c>
      <x:c r="AV2579" t="str">
        <x:f>_xlfn.XLOOKUP($A2579,Games!$A$2:$A$18,Games!$Q$2:$Q$18,"Missing game",0)</x:f>
      </x:c>
      <x:c r="AW2579" t="str">
        <x:f>_xlfn.XLOOKUP($A2579,Games!$A$2:$A$18,Games!$R$2:$R$18,"Missing game",0)</x:f>
        <x:v>U.S. Bank Stadium</x:v>
      </x:c>
    </x:row>
    <x:row r="2580">
      <x:c r="A2580" t="str">
        <x:v>2025_17_DET_MIN</x:v>
      </x:c>
      <x:c r="B2580" t="n">
        <x:v>2555</x:v>
      </x:c>
      <x:c r="C2580" t="n">
        <x:v>3</x:v>
      </x:c>
      <x:c r="D2580" t="str">
        <x:v>02:46</x:v>
      </x:c>
      <x:c r="E2580" t="n">
        <x:v>2</x:v>
      </x:c>
      <x:c r="F2580" t="n">
        <x:v>10</x:v>
      </x:c>
      <x:c r="G2580" t="str">
        <x:v>MIN</x:v>
      </x:c>
      <x:c r="H2580" t="str">
        <x:v>DET</x:v>
      </x:c>
      <x:c r="I2580" t="str">
        <x:v>DET</x:v>
      </x:c>
      <x:c r="J2580" t="n">
        <x:v>42</x:v>
      </x:c>
      <x:c r="K2580" t="str">
        <x:v>(2:46) (Shotgun) Direct snap to 32-T.Chandler. 32-T.Chandler right end to DET 38 for 4 yards (46-J.Campbell).</x:v>
      </x:c>
      <x:c r="L2580" t="str">
        <x:v>run</x:v>
      </x:c>
      <x:c r="M2580" t="n">
        <x:v>4</x:v>
      </x:c>
      <x:c r="N2580" t="n">
        <x:v>1</x:v>
      </x:c>
      <x:c r="O2580" t="n">
        <x:v>0</x:v>
      </x:c>
      <x:c r="P2580"/>
      <x:c r="Q2580"/>
      <x:c r="R2580"/>
      <x:c r="S2580"/>
      <x:c r="T2580" t="str">
        <x:v>right</x:v>
      </x:c>
      <x:c r="U2580" t="str">
        <x:v>end</x:v>
      </x:c>
      <x:c r="V2580" t="n">
        <x:v>0</x:v>
      </x:c>
      <x:c r="W2580" t="n">
        <x:v>0</x:v>
      </x:c>
      <x:c r="X2580" t="n">
        <x:v>0</x:v>
      </x:c>
      <x:c r="Y2580" t="n">
        <x:v>0</x:v>
      </x:c>
      <x:c r="Z2580" t="n">
        <x:v>0</x:v>
      </x:c>
      <x:c r="AA2580" t="n">
        <x:v>0</x:v>
      </x:c>
      <x:c r="AB2580"/>
      <x:c r="AC2580" t="n">
        <x:v>0</x:v>
      </x:c>
      <x:c r="AD2580" t="n">
        <x:v>-0.5187373494263738</x:v>
      </x:c>
      <x:c r="AE2580" t="n">
        <x:v>0</x:v>
      </x:c>
      <x:c r="AF2580" t="n">
        <x:v>-0.0011138916015625</x:v>
      </x:c>
      <x:c r="AG2580" t="n">
        <x:f>_xlfn.XLOOKUP($A2580,Games!$A$2:$A$18,Games!$B$2:$B$18,"Missing game",0)</x:f>
        <x:v>2025</x:v>
      </x:c>
      <x:c r="AH2580" t="str">
        <x:f>_xlfn.XLOOKUP($A2580,Games!$A$2:$A$18,Games!$C$2:$C$18,"Missing game",0)</x:f>
        <x:v>REG</x:v>
      </x:c>
      <x:c r="AI2580" t="n">
        <x:f>_xlfn.XLOOKUP($A2580,Games!$A$2:$A$18,Games!$D$2:$D$18,"Missing game",0)</x:f>
        <x:v>17</x:v>
      </x:c>
      <x:c r="AJ2580" s="1" t="n">
        <x:f>_xlfn.XLOOKUP($A2580,Games!$A$2:$A$18,Games!$E$2:$E$18,"Missing game",0)</x:f>
        <x:v>46016</x:v>
      </x:c>
      <x:c r="AK2580" t="str">
        <x:f>_xlfn.XLOOKUP($A2580,Games!$A$2:$A$18,Games!$F$2:$F$18,"Missing game",0)</x:f>
        <x:v>Thursday</x:v>
      </x:c>
      <x:c r="AL2580" t="str">
        <x:f>_xlfn.XLOOKUP($A2580,Games!$A$2:$A$18,Games!$G$2:$G$18,"Missing game",0)</x:f>
        <x:v>DET</x:v>
      </x:c>
      <x:c r="AM2580" t="n">
        <x:f>_xlfn.XLOOKUP($A2580,Games!$A$2:$A$18,Games!$H$2:$H$18,"Missing game",0)</x:f>
        <x:v>10</x:v>
      </x:c>
      <x:c r="AN2580" t="str">
        <x:f>_xlfn.XLOOKUP($A2580,Games!$A$2:$A$18,Games!$I$2:$I$18,"Missing game",0)</x:f>
        <x:v>MIN</x:v>
      </x:c>
      <x:c r="AO2580" t="n">
        <x:f>_xlfn.XLOOKUP($A2580,Games!$A$2:$A$18,Games!$J$2:$J$18,"Missing game",0)</x:f>
        <x:v>23</x:v>
      </x:c>
      <x:c r="AP2580" t="n">
        <x:f>_xlfn.XLOOKUP($A2580,Games!$A$2:$A$18,Games!$K$2:$K$18,"Missing game",0)</x:f>
        <x:v>13</x:v>
      </x:c>
      <x:c r="AQ2580" t="n">
        <x:f>_xlfn.XLOOKUP($A2580,Games!$A$2:$A$18,Games!$L$2:$L$18,"Missing game",0)</x:f>
        <x:v>33</x:v>
      </x:c>
      <x:c r="AR2580" t="n">
        <x:f>_xlfn.XLOOKUP($A2580,Games!$A$2:$A$18,Games!$M$2:$M$18,"Missing game",0)</x:f>
        <x:v>0</x:v>
      </x:c>
      <x:c r="AS2580" t="str">
        <x:f>_xlfn.XLOOKUP($A2580,Games!$A$2:$A$18,Games!$N$2:$N$18,"Missing game",0)</x:f>
        <x:v>dome</x:v>
      </x:c>
      <x:c r="AT2580" t="str">
        <x:f>_xlfn.XLOOKUP($A2580,Games!$A$2:$A$18,Games!$O$2:$O$18,"Missing game",0)</x:f>
        <x:v>sportturf</x:v>
      </x:c>
      <x:c r="AU2580" t="str">
        <x:f>_xlfn.XLOOKUP($A2580,Games!$A$2:$A$18,Games!$P$2:$P$18,"Missing game",0)</x:f>
      </x:c>
      <x:c r="AV2580" t="str">
        <x:f>_xlfn.XLOOKUP($A2580,Games!$A$2:$A$18,Games!$Q$2:$Q$18,"Missing game",0)</x:f>
      </x:c>
      <x:c r="AW2580" t="str">
        <x:f>_xlfn.XLOOKUP($A2580,Games!$A$2:$A$18,Games!$R$2:$R$18,"Missing game",0)</x:f>
        <x:v>U.S. Bank Stadium</x:v>
      </x:c>
    </x:row>
    <x:row r="2581">
      <x:c r="A2581" t="str">
        <x:v>2025_17_DET_MIN</x:v>
      </x:c>
      <x:c r="B2581" t="n">
        <x:v>2584</x:v>
      </x:c>
      <x:c r="C2581" t="n">
        <x:v>3</x:v>
      </x:c>
      <x:c r="D2581" t="str">
        <x:v>02:07</x:v>
      </x:c>
      <x:c r="E2581" t="n">
        <x:v>3</x:v>
      </x:c>
      <x:c r="F2581" t="n">
        <x:v>6</x:v>
      </x:c>
      <x:c r="G2581" t="str">
        <x:v>MIN</x:v>
      </x:c>
      <x:c r="H2581" t="str">
        <x:v>DET</x:v>
      </x:c>
      <x:c r="I2581" t="str">
        <x:v>DET</x:v>
      </x:c>
      <x:c r="J2581" t="n">
        <x:v>38</x:v>
      </x:c>
      <x:c r="K2581" t="str">
        <x:v>(2:07) (Shotgun) 12-M.Brosmer pass incomplete short right.</x:v>
      </x:c>
      <x:c r="L2581" t="str">
        <x:v>pass</x:v>
      </x:c>
      <x:c r="M2581" t="n">
        <x:v>0</x:v>
      </x:c>
      <x:c r="N2581" t="n">
        <x:v>1</x:v>
      </x:c>
      <x:c r="O2581" t="n">
        <x:v>0</x:v>
      </x:c>
      <x:c r="P2581" t="str">
        <x:v>short</x:v>
      </x:c>
      <x:c r="Q2581" t="str">
        <x:v>right</x:v>
      </x:c>
      <x:c r="R2581" t="n">
        <x:v>6</x:v>
      </x:c>
      <x:c r="S2581"/>
      <x:c r="T2581"/>
      <x:c r="U2581"/>
      <x:c r="V2581" t="n">
        <x:v>0</x:v>
      </x:c>
      <x:c r="W2581" t="n">
        <x:v>0</x:v>
      </x:c>
      <x:c r="X2581" t="n">
        <x:v>0</x:v>
      </x:c>
      <x:c r="Y2581" t="n">
        <x:v>0</x:v>
      </x:c>
      <x:c r="Z2581" t="n">
        <x:v>0</x:v>
      </x:c>
      <x:c r="AA2581" t="n">
        <x:v>0</x:v>
      </x:c>
      <x:c r="AB2581"/>
      <x:c r="AC2581" t="n">
        <x:v>0</x:v>
      </x:c>
      <x:c r="AD2581" t="n">
        <x:v>-1.7066873698200173</x:v>
      </x:c>
      <x:c r="AE2581" t="n">
        <x:v>0</x:v>
      </x:c>
      <x:c r="AF2581" t="n">
        <x:v>-0.03893405199050903</x:v>
      </x:c>
      <x:c r="AG2581" t="n">
        <x:f>_xlfn.XLOOKUP($A2581,Games!$A$2:$A$18,Games!$B$2:$B$18,"Missing game",0)</x:f>
        <x:v>2025</x:v>
      </x:c>
      <x:c r="AH2581" t="str">
        <x:f>_xlfn.XLOOKUP($A2581,Games!$A$2:$A$18,Games!$C$2:$C$18,"Missing game",0)</x:f>
        <x:v>REG</x:v>
      </x:c>
      <x:c r="AI2581" t="n">
        <x:f>_xlfn.XLOOKUP($A2581,Games!$A$2:$A$18,Games!$D$2:$D$18,"Missing game",0)</x:f>
        <x:v>17</x:v>
      </x:c>
      <x:c r="AJ2581" s="1" t="n">
        <x:f>_xlfn.XLOOKUP($A2581,Games!$A$2:$A$18,Games!$E$2:$E$18,"Missing game",0)</x:f>
        <x:v>46016</x:v>
      </x:c>
      <x:c r="AK2581" t="str">
        <x:f>_xlfn.XLOOKUP($A2581,Games!$A$2:$A$18,Games!$F$2:$F$18,"Missing game",0)</x:f>
        <x:v>Thursday</x:v>
      </x:c>
      <x:c r="AL2581" t="str">
        <x:f>_xlfn.XLOOKUP($A2581,Games!$A$2:$A$18,Games!$G$2:$G$18,"Missing game",0)</x:f>
        <x:v>DET</x:v>
      </x:c>
      <x:c r="AM2581" t="n">
        <x:f>_xlfn.XLOOKUP($A2581,Games!$A$2:$A$18,Games!$H$2:$H$18,"Missing game",0)</x:f>
        <x:v>10</x:v>
      </x:c>
      <x:c r="AN2581" t="str">
        <x:f>_xlfn.XLOOKUP($A2581,Games!$A$2:$A$18,Games!$I$2:$I$18,"Missing game",0)</x:f>
        <x:v>MIN</x:v>
      </x:c>
      <x:c r="AO2581" t="n">
        <x:f>_xlfn.XLOOKUP($A2581,Games!$A$2:$A$18,Games!$J$2:$J$18,"Missing game",0)</x:f>
        <x:v>23</x:v>
      </x:c>
      <x:c r="AP2581" t="n">
        <x:f>_xlfn.XLOOKUP($A2581,Games!$A$2:$A$18,Games!$K$2:$K$18,"Missing game",0)</x:f>
        <x:v>13</x:v>
      </x:c>
      <x:c r="AQ2581" t="n">
        <x:f>_xlfn.XLOOKUP($A2581,Games!$A$2:$A$18,Games!$L$2:$L$18,"Missing game",0)</x:f>
        <x:v>33</x:v>
      </x:c>
      <x:c r="AR2581" t="n">
        <x:f>_xlfn.XLOOKUP($A2581,Games!$A$2:$A$18,Games!$M$2:$M$18,"Missing game",0)</x:f>
        <x:v>0</x:v>
      </x:c>
      <x:c r="AS2581" t="str">
        <x:f>_xlfn.XLOOKUP($A2581,Games!$A$2:$A$18,Games!$N$2:$N$18,"Missing game",0)</x:f>
        <x:v>dome</x:v>
      </x:c>
      <x:c r="AT2581" t="str">
        <x:f>_xlfn.XLOOKUP($A2581,Games!$A$2:$A$18,Games!$O$2:$O$18,"Missing game",0)</x:f>
        <x:v>sportturf</x:v>
      </x:c>
      <x:c r="AU2581" t="str">
        <x:f>_xlfn.XLOOKUP($A2581,Games!$A$2:$A$18,Games!$P$2:$P$18,"Missing game",0)</x:f>
      </x:c>
      <x:c r="AV2581" t="str">
        <x:f>_xlfn.XLOOKUP($A2581,Games!$A$2:$A$18,Games!$Q$2:$Q$18,"Missing game",0)</x:f>
      </x:c>
      <x:c r="AW2581" t="str">
        <x:f>_xlfn.XLOOKUP($A2581,Games!$A$2:$A$18,Games!$R$2:$R$18,"Missing game",0)</x:f>
        <x:v>U.S. Bank Stadium</x:v>
      </x:c>
    </x:row>
    <x:row r="2582">
      <x:c r="A2582" t="str">
        <x:v>2025_17_DET_MIN</x:v>
      </x:c>
      <x:c r="B2582" t="n">
        <x:v>2607</x:v>
      </x:c>
      <x:c r="C2582" t="n">
        <x:v>3</x:v>
      </x:c>
      <x:c r="D2582" t="str">
        <x:v>02:02</x:v>
      </x:c>
      <x:c r="E2582" t="n">
        <x:v>4</x:v>
      </x:c>
      <x:c r="F2582" t="n">
        <x:v>6</x:v>
      </x:c>
      <x:c r="G2582" t="str">
        <x:v>MIN</x:v>
      </x:c>
      <x:c r="H2582" t="str">
        <x:v>DET</x:v>
      </x:c>
      <x:c r="I2582" t="str">
        <x:v>DET</x:v>
      </x:c>
      <x:c r="J2582" t="n">
        <x:v>38</x:v>
      </x:c>
      <x:c r="K2582" t="str">
        <x:v>(2:02) 16-W.Reichard 56 yard field goal is GOOD, Center-42-A.DePaola, Holder-17-R.Wright.</x:v>
      </x:c>
      <x:c r="L2582" t="str">
        <x:v>field_goal</x:v>
      </x:c>
      <x:c r="M2582" t="n">
        <x:v>0</x:v>
      </x:c>
      <x:c r="N2582" t="n">
        <x:v>0</x:v>
      </x:c>
      <x:c r="O2582" t="n">
        <x:v>0</x:v>
      </x:c>
      <x:c r="P2582"/>
      <x:c r="Q2582"/>
      <x:c r="R2582"/>
      <x:c r="S2582"/>
      <x:c r="T2582"/>
      <x:c r="U2582"/>
      <x:c r="V2582" t="n">
        <x:v>0</x:v>
      </x:c>
      <x:c r="W2582" t="n">
        <x:v>0</x:v>
      </x:c>
      <x:c r="X2582" t="n">
        <x:v>0</x:v>
      </x:c>
      <x:c r="Y2582" t="n">
        <x:v>0</x:v>
      </x:c>
      <x:c r="Z2582" t="n">
        <x:v>0</x:v>
      </x:c>
      <x:c r="AA2582" t="n">
        <x:v>0</x:v>
      </x:c>
      <x:c r="AB2582"/>
      <x:c r="AC2582" t="n">
        <x:v>0</x:v>
      </x:c>
      <x:c r="AD2582" t="n">
        <x:v>2.244878707424093</x:v>
      </x:c>
      <x:c r="AE2582" t="n">
        <x:v>1</x:v>
      </x:c>
      <x:c r="AF2582" t="n">
        <x:v>0.04323896765708923</x:v>
      </x:c>
      <x:c r="AG2582" t="n">
        <x:f>_xlfn.XLOOKUP($A2582,Games!$A$2:$A$18,Games!$B$2:$B$18,"Missing game",0)</x:f>
        <x:v>2025</x:v>
      </x:c>
      <x:c r="AH2582" t="str">
        <x:f>_xlfn.XLOOKUP($A2582,Games!$A$2:$A$18,Games!$C$2:$C$18,"Missing game",0)</x:f>
        <x:v>REG</x:v>
      </x:c>
      <x:c r="AI2582" t="n">
        <x:f>_xlfn.XLOOKUP($A2582,Games!$A$2:$A$18,Games!$D$2:$D$18,"Missing game",0)</x:f>
        <x:v>17</x:v>
      </x:c>
      <x:c r="AJ2582" s="1" t="n">
        <x:f>_xlfn.XLOOKUP($A2582,Games!$A$2:$A$18,Games!$E$2:$E$18,"Missing game",0)</x:f>
        <x:v>46016</x:v>
      </x:c>
      <x:c r="AK2582" t="str">
        <x:f>_xlfn.XLOOKUP($A2582,Games!$A$2:$A$18,Games!$F$2:$F$18,"Missing game",0)</x:f>
        <x:v>Thursday</x:v>
      </x:c>
      <x:c r="AL2582" t="str">
        <x:f>_xlfn.XLOOKUP($A2582,Games!$A$2:$A$18,Games!$G$2:$G$18,"Missing game",0)</x:f>
        <x:v>DET</x:v>
      </x:c>
      <x:c r="AM2582" t="n">
        <x:f>_xlfn.XLOOKUP($A2582,Games!$A$2:$A$18,Games!$H$2:$H$18,"Missing game",0)</x:f>
        <x:v>10</x:v>
      </x:c>
      <x:c r="AN2582" t="str">
        <x:f>_xlfn.XLOOKUP($A2582,Games!$A$2:$A$18,Games!$I$2:$I$18,"Missing game",0)</x:f>
        <x:v>MIN</x:v>
      </x:c>
      <x:c r="AO2582" t="n">
        <x:f>_xlfn.XLOOKUP($A2582,Games!$A$2:$A$18,Games!$J$2:$J$18,"Missing game",0)</x:f>
        <x:v>23</x:v>
      </x:c>
      <x:c r="AP2582" t="n">
        <x:f>_xlfn.XLOOKUP($A2582,Games!$A$2:$A$18,Games!$K$2:$K$18,"Missing game",0)</x:f>
        <x:v>13</x:v>
      </x:c>
      <x:c r="AQ2582" t="n">
        <x:f>_xlfn.XLOOKUP($A2582,Games!$A$2:$A$18,Games!$L$2:$L$18,"Missing game",0)</x:f>
        <x:v>33</x:v>
      </x:c>
      <x:c r="AR2582" t="n">
        <x:f>_xlfn.XLOOKUP($A2582,Games!$A$2:$A$18,Games!$M$2:$M$18,"Missing game",0)</x:f>
        <x:v>0</x:v>
      </x:c>
      <x:c r="AS2582" t="str">
        <x:f>_xlfn.XLOOKUP($A2582,Games!$A$2:$A$18,Games!$N$2:$N$18,"Missing game",0)</x:f>
        <x:v>dome</x:v>
      </x:c>
      <x:c r="AT2582" t="str">
        <x:f>_xlfn.XLOOKUP($A2582,Games!$A$2:$A$18,Games!$O$2:$O$18,"Missing game",0)</x:f>
        <x:v>sportturf</x:v>
      </x:c>
      <x:c r="AU2582" t="str">
        <x:f>_xlfn.XLOOKUP($A2582,Games!$A$2:$A$18,Games!$P$2:$P$18,"Missing game",0)</x:f>
      </x:c>
      <x:c r="AV2582" t="str">
        <x:f>_xlfn.XLOOKUP($A2582,Games!$A$2:$A$18,Games!$Q$2:$Q$18,"Missing game",0)</x:f>
      </x:c>
      <x:c r="AW2582" t="str">
        <x:f>_xlfn.XLOOKUP($A2582,Games!$A$2:$A$18,Games!$R$2:$R$18,"Missing game",0)</x:f>
        <x:v>U.S. Bank Stadium</x:v>
      </x:c>
    </x:row>
    <x:row r="2583">
      <x:c r="A2583" t="str">
        <x:v>2025_17_DET_MIN</x:v>
      </x:c>
      <x:c r="B2583" t="n">
        <x:v>2627</x:v>
      </x:c>
      <x:c r="C2583" t="n">
        <x:v>3</x:v>
      </x:c>
      <x:c r="D2583" t="str">
        <x:v>01:57</x:v>
      </x:c>
      <x:c r="E2583"/>
      <x:c r="F2583" t="n">
        <x:v>0</x:v>
      </x:c>
      <x:c r="G2583" t="str">
        <x:v>DET</x:v>
      </x:c>
      <x:c r="H2583" t="str">
        <x:v>MIN</x:v>
      </x:c>
      <x:c r="I2583" t="str">
        <x:v>MIN</x:v>
      </x:c>
      <x:c r="J2583" t="n">
        <x:v>35</x:v>
      </x:c>
      <x:c r="K2583" t="str">
        <x:v>16-W.Reichard kicks 61 yards from MIN 35 to DET 4. 85-T.Kennedy to DET 34 for 30 yards (96-T.Batty).</x:v>
      </x:c>
      <x:c r="L2583" t="str">
        <x:v>kickoff</x:v>
      </x:c>
      <x:c r="M2583" t="n">
        <x:v>0</x:v>
      </x:c>
      <x:c r="N2583" t="n">
        <x:v>0</x:v>
      </x:c>
      <x:c r="O2583" t="n">
        <x:v>0</x:v>
      </x:c>
      <x:c r="P2583"/>
      <x:c r="Q2583"/>
      <x:c r="R2583"/>
      <x:c r="S2583"/>
      <x:c r="T2583"/>
      <x:c r="U2583"/>
      <x:c r="V2583" t="n">
        <x:v>0</x:v>
      </x:c>
      <x:c r="W2583" t="n">
        <x:v>0</x:v>
      </x:c>
      <x:c r="X2583" t="n">
        <x:v>0</x:v>
      </x:c>
      <x:c r="Y2583" t="n">
        <x:v>0</x:v>
      </x:c>
      <x:c r="Z2583" t="n">
        <x:v>0</x:v>
      </x:c>
      <x:c r="AA2583" t="n">
        <x:v>0</x:v>
      </x:c>
      <x:c r="AB2583"/>
      <x:c r="AC2583" t="n">
        <x:v>0</x:v>
      </x:c>
      <x:c r="AD2583" t="n">
        <x:v>0.47852079337462783</x:v>
      </x:c>
      <x:c r="AE2583" t="n">
        <x:v>1</x:v>
      </x:c>
      <x:c r="AF2583" t="n">
        <x:v>-0.0056113749742507935</x:v>
      </x:c>
      <x:c r="AG2583" t="n">
        <x:f>_xlfn.XLOOKUP($A2583,Games!$A$2:$A$18,Games!$B$2:$B$18,"Missing game",0)</x:f>
        <x:v>2025</x:v>
      </x:c>
      <x:c r="AH2583" t="str">
        <x:f>_xlfn.XLOOKUP($A2583,Games!$A$2:$A$18,Games!$C$2:$C$18,"Missing game",0)</x:f>
        <x:v>REG</x:v>
      </x:c>
      <x:c r="AI2583" t="n">
        <x:f>_xlfn.XLOOKUP($A2583,Games!$A$2:$A$18,Games!$D$2:$D$18,"Missing game",0)</x:f>
        <x:v>17</x:v>
      </x:c>
      <x:c r="AJ2583" s="1" t="n">
        <x:f>_xlfn.XLOOKUP($A2583,Games!$A$2:$A$18,Games!$E$2:$E$18,"Missing game",0)</x:f>
        <x:v>46016</x:v>
      </x:c>
      <x:c r="AK2583" t="str">
        <x:f>_xlfn.XLOOKUP($A2583,Games!$A$2:$A$18,Games!$F$2:$F$18,"Missing game",0)</x:f>
        <x:v>Thursday</x:v>
      </x:c>
      <x:c r="AL2583" t="str">
        <x:f>_xlfn.XLOOKUP($A2583,Games!$A$2:$A$18,Games!$G$2:$G$18,"Missing game",0)</x:f>
        <x:v>DET</x:v>
      </x:c>
      <x:c r="AM2583" t="n">
        <x:f>_xlfn.XLOOKUP($A2583,Games!$A$2:$A$18,Games!$H$2:$H$18,"Missing game",0)</x:f>
        <x:v>10</x:v>
      </x:c>
      <x:c r="AN2583" t="str">
        <x:f>_xlfn.XLOOKUP($A2583,Games!$A$2:$A$18,Games!$I$2:$I$18,"Missing game",0)</x:f>
        <x:v>MIN</x:v>
      </x:c>
      <x:c r="AO2583" t="n">
        <x:f>_xlfn.XLOOKUP($A2583,Games!$A$2:$A$18,Games!$J$2:$J$18,"Missing game",0)</x:f>
        <x:v>23</x:v>
      </x:c>
      <x:c r="AP2583" t="n">
        <x:f>_xlfn.XLOOKUP($A2583,Games!$A$2:$A$18,Games!$K$2:$K$18,"Missing game",0)</x:f>
        <x:v>13</x:v>
      </x:c>
      <x:c r="AQ2583" t="n">
        <x:f>_xlfn.XLOOKUP($A2583,Games!$A$2:$A$18,Games!$L$2:$L$18,"Missing game",0)</x:f>
        <x:v>33</x:v>
      </x:c>
      <x:c r="AR2583" t="n">
        <x:f>_xlfn.XLOOKUP($A2583,Games!$A$2:$A$18,Games!$M$2:$M$18,"Missing game",0)</x:f>
        <x:v>0</x:v>
      </x:c>
      <x:c r="AS2583" t="str">
        <x:f>_xlfn.XLOOKUP($A2583,Games!$A$2:$A$18,Games!$N$2:$N$18,"Missing game",0)</x:f>
        <x:v>dome</x:v>
      </x:c>
      <x:c r="AT2583" t="str">
        <x:f>_xlfn.XLOOKUP($A2583,Games!$A$2:$A$18,Games!$O$2:$O$18,"Missing game",0)</x:f>
        <x:v>sportturf</x:v>
      </x:c>
      <x:c r="AU2583" t="str">
        <x:f>_xlfn.XLOOKUP($A2583,Games!$A$2:$A$18,Games!$P$2:$P$18,"Missing game",0)</x:f>
      </x:c>
      <x:c r="AV2583" t="str">
        <x:f>_xlfn.XLOOKUP($A2583,Games!$A$2:$A$18,Games!$Q$2:$Q$18,"Missing game",0)</x:f>
      </x:c>
      <x:c r="AW2583" t="str">
        <x:f>_xlfn.XLOOKUP($A2583,Games!$A$2:$A$18,Games!$R$2:$R$18,"Missing game",0)</x:f>
        <x:v>U.S. Bank Stadium</x:v>
      </x:c>
    </x:row>
    <x:row r="2584">
      <x:c r="A2584" t="str">
        <x:v>2025_17_DET_MIN</x:v>
      </x:c>
      <x:c r="B2584" t="n">
        <x:v>2657</x:v>
      </x:c>
      <x:c r="C2584" t="n">
        <x:v>3</x:v>
      </x:c>
      <x:c r="D2584" t="str">
        <x:v>01:52</x:v>
      </x:c>
      <x:c r="E2584" t="n">
        <x:v>1</x:v>
      </x:c>
      <x:c r="F2584" t="n">
        <x:v>10</x:v>
      </x:c>
      <x:c r="G2584" t="str">
        <x:v>DET</x:v>
      </x:c>
      <x:c r="H2584" t="str">
        <x:v>MIN</x:v>
      </x:c>
      <x:c r="I2584" t="str">
        <x:v>DET</x:v>
      </x:c>
      <x:c r="J2584" t="n">
        <x:v>66</x:v>
      </x:c>
      <x:c r="K2584" t="str">
        <x:v>(1:52) 0-J.Gibbs left tackle to DET 38 for 4 yards (51-B.Cashman; 97-J.Hargrave).</x:v>
      </x:c>
      <x:c r="L2584" t="str">
        <x:v>run</x:v>
      </x:c>
      <x:c r="M2584" t="n">
        <x:v>4</x:v>
      </x:c>
      <x:c r="N2584" t="n">
        <x:v>0</x:v>
      </x:c>
      <x:c r="O2584" t="n">
        <x:v>0</x:v>
      </x:c>
      <x:c r="P2584"/>
      <x:c r="Q2584"/>
      <x:c r="R2584"/>
      <x:c r="S2584"/>
      <x:c r="T2584" t="str">
        <x:v>left</x:v>
      </x:c>
      <x:c r="U2584" t="str">
        <x:v>tackle</x:v>
      </x:c>
      <x:c r="V2584" t="n">
        <x:v>0</x:v>
      </x:c>
      <x:c r="W2584" t="n">
        <x:v>0</x:v>
      </x:c>
      <x:c r="X2584" t="n">
        <x:v>0</x:v>
      </x:c>
      <x:c r="Y2584" t="n">
        <x:v>0</x:v>
      </x:c>
      <x:c r="Z2584" t="n">
        <x:v>0</x:v>
      </x:c>
      <x:c r="AA2584" t="n">
        <x:v>0</x:v>
      </x:c>
      <x:c r="AB2584"/>
      <x:c r="AC2584" t="n">
        <x:v>0</x:v>
      </x:c>
      <x:c r="AD2584" t="n">
        <x:v>-0.10126331099309027</x:v>
      </x:c>
      <x:c r="AE2584" t="n">
        <x:v>0</x:v>
      </x:c>
      <x:c r="AF2584" t="n">
        <x:v>-0.011994689702987671</x:v>
      </x:c>
      <x:c r="AG2584" t="n">
        <x:f>_xlfn.XLOOKUP($A2584,Games!$A$2:$A$18,Games!$B$2:$B$18,"Missing game",0)</x:f>
        <x:v>2025</x:v>
      </x:c>
      <x:c r="AH2584" t="str">
        <x:f>_xlfn.XLOOKUP($A2584,Games!$A$2:$A$18,Games!$C$2:$C$18,"Missing game",0)</x:f>
        <x:v>REG</x:v>
      </x:c>
      <x:c r="AI2584" t="n">
        <x:f>_xlfn.XLOOKUP($A2584,Games!$A$2:$A$18,Games!$D$2:$D$18,"Missing game",0)</x:f>
        <x:v>17</x:v>
      </x:c>
      <x:c r="AJ2584" s="1" t="n">
        <x:f>_xlfn.XLOOKUP($A2584,Games!$A$2:$A$18,Games!$E$2:$E$18,"Missing game",0)</x:f>
        <x:v>46016</x:v>
      </x:c>
      <x:c r="AK2584" t="str">
        <x:f>_xlfn.XLOOKUP($A2584,Games!$A$2:$A$18,Games!$F$2:$F$18,"Missing game",0)</x:f>
        <x:v>Thursday</x:v>
      </x:c>
      <x:c r="AL2584" t="str">
        <x:f>_xlfn.XLOOKUP($A2584,Games!$A$2:$A$18,Games!$G$2:$G$18,"Missing game",0)</x:f>
        <x:v>DET</x:v>
      </x:c>
      <x:c r="AM2584" t="n">
        <x:f>_xlfn.XLOOKUP($A2584,Games!$A$2:$A$18,Games!$H$2:$H$18,"Missing game",0)</x:f>
        <x:v>10</x:v>
      </x:c>
      <x:c r="AN2584" t="str">
        <x:f>_xlfn.XLOOKUP($A2584,Games!$A$2:$A$18,Games!$I$2:$I$18,"Missing game",0)</x:f>
        <x:v>MIN</x:v>
      </x:c>
      <x:c r="AO2584" t="n">
        <x:f>_xlfn.XLOOKUP($A2584,Games!$A$2:$A$18,Games!$J$2:$J$18,"Missing game",0)</x:f>
        <x:v>23</x:v>
      </x:c>
      <x:c r="AP2584" t="n">
        <x:f>_xlfn.XLOOKUP($A2584,Games!$A$2:$A$18,Games!$K$2:$K$18,"Missing game",0)</x:f>
        <x:v>13</x:v>
      </x:c>
      <x:c r="AQ2584" t="n">
        <x:f>_xlfn.XLOOKUP($A2584,Games!$A$2:$A$18,Games!$L$2:$L$18,"Missing game",0)</x:f>
        <x:v>33</x:v>
      </x:c>
      <x:c r="AR2584" t="n">
        <x:f>_xlfn.XLOOKUP($A2584,Games!$A$2:$A$18,Games!$M$2:$M$18,"Missing game",0)</x:f>
        <x:v>0</x:v>
      </x:c>
      <x:c r="AS2584" t="str">
        <x:f>_xlfn.XLOOKUP($A2584,Games!$A$2:$A$18,Games!$N$2:$N$18,"Missing game",0)</x:f>
        <x:v>dome</x:v>
      </x:c>
      <x:c r="AT2584" t="str">
        <x:f>_xlfn.XLOOKUP($A2584,Games!$A$2:$A$18,Games!$O$2:$O$18,"Missing game",0)</x:f>
        <x:v>sportturf</x:v>
      </x:c>
      <x:c r="AU2584" t="str">
        <x:f>_xlfn.XLOOKUP($A2584,Games!$A$2:$A$18,Games!$P$2:$P$18,"Missing game",0)</x:f>
      </x:c>
      <x:c r="AV2584" t="str">
        <x:f>_xlfn.XLOOKUP($A2584,Games!$A$2:$A$18,Games!$Q$2:$Q$18,"Missing game",0)</x:f>
      </x:c>
      <x:c r="AW2584" t="str">
        <x:f>_xlfn.XLOOKUP($A2584,Games!$A$2:$A$18,Games!$R$2:$R$18,"Missing game",0)</x:f>
        <x:v>U.S. Bank Stadium</x:v>
      </x:c>
    </x:row>
    <x:row r="2585">
      <x:c r="A2585" t="str">
        <x:v>2025_17_DET_MIN</x:v>
      </x:c>
      <x:c r="B2585" t="n">
        <x:v>2679</x:v>
      </x:c>
      <x:c r="C2585" t="n">
        <x:v>3</x:v>
      </x:c>
      <x:c r="D2585" t="str">
        <x:v>01:16</x:v>
      </x:c>
      <x:c r="E2585" t="n">
        <x:v>2</x:v>
      </x:c>
      <x:c r="F2585" t="n">
        <x:v>6</x:v>
      </x:c>
      <x:c r="G2585" t="str">
        <x:v>DET</x:v>
      </x:c>
      <x:c r="H2585" t="str">
        <x:v>MIN</x:v>
      </x:c>
      <x:c r="I2585" t="str">
        <x:v>DET</x:v>
      </x:c>
      <x:c r="J2585" t="n">
        <x:v>62</x:v>
      </x:c>
      <x:c r="K2585" t="str">
        <x:v>(1:16) 0-J.Gibbs right guard to DET 40 for 2 yards (51-B.Cashman; 93-J.Allen).</x:v>
      </x:c>
      <x:c r="L2585" t="str">
        <x:v>run</x:v>
      </x:c>
      <x:c r="M2585" t="n">
        <x:v>2</x:v>
      </x:c>
      <x:c r="N2585" t="n">
        <x:v>0</x:v>
      </x:c>
      <x:c r="O2585" t="n">
        <x:v>0</x:v>
      </x:c>
      <x:c r="P2585"/>
      <x:c r="Q2585"/>
      <x:c r="R2585"/>
      <x:c r="S2585"/>
      <x:c r="T2585" t="str">
        <x:v>right</x:v>
      </x:c>
      <x:c r="U2585" t="str">
        <x:v>guard</x:v>
      </x:c>
      <x:c r="V2585" t="n">
        <x:v>0</x:v>
      </x:c>
      <x:c r="W2585" t="n">
        <x:v>0</x:v>
      </x:c>
      <x:c r="X2585" t="n">
        <x:v>0</x:v>
      </x:c>
      <x:c r="Y2585" t="n">
        <x:v>0</x:v>
      </x:c>
      <x:c r="Z2585" t="n">
        <x:v>0</x:v>
      </x:c>
      <x:c r="AA2585" t="n">
        <x:v>0</x:v>
      </x:c>
      <x:c r="AB2585"/>
      <x:c r="AC2585" t="n">
        <x:v>0</x:v>
      </x:c>
      <x:c r="AD2585" t="n">
        <x:v>-0.5682227415964007</x:v>
      </x:c>
      <x:c r="AE2585" t="n">
        <x:v>0</x:v>
      </x:c>
      <x:c r="AF2585" t="n">
        <x:v>-0.00944507122039795</x:v>
      </x:c>
      <x:c r="AG2585" t="n">
        <x:f>_xlfn.XLOOKUP($A2585,Games!$A$2:$A$18,Games!$B$2:$B$18,"Missing game",0)</x:f>
        <x:v>2025</x:v>
      </x:c>
      <x:c r="AH2585" t="str">
        <x:f>_xlfn.XLOOKUP($A2585,Games!$A$2:$A$18,Games!$C$2:$C$18,"Missing game",0)</x:f>
        <x:v>REG</x:v>
      </x:c>
      <x:c r="AI2585" t="n">
        <x:f>_xlfn.XLOOKUP($A2585,Games!$A$2:$A$18,Games!$D$2:$D$18,"Missing game",0)</x:f>
        <x:v>17</x:v>
      </x:c>
      <x:c r="AJ2585" s="1" t="n">
        <x:f>_xlfn.XLOOKUP($A2585,Games!$A$2:$A$18,Games!$E$2:$E$18,"Missing game",0)</x:f>
        <x:v>46016</x:v>
      </x:c>
      <x:c r="AK2585" t="str">
        <x:f>_xlfn.XLOOKUP($A2585,Games!$A$2:$A$18,Games!$F$2:$F$18,"Missing game",0)</x:f>
        <x:v>Thursday</x:v>
      </x:c>
      <x:c r="AL2585" t="str">
        <x:f>_xlfn.XLOOKUP($A2585,Games!$A$2:$A$18,Games!$G$2:$G$18,"Missing game",0)</x:f>
        <x:v>DET</x:v>
      </x:c>
      <x:c r="AM2585" t="n">
        <x:f>_xlfn.XLOOKUP($A2585,Games!$A$2:$A$18,Games!$H$2:$H$18,"Missing game",0)</x:f>
        <x:v>10</x:v>
      </x:c>
      <x:c r="AN2585" t="str">
        <x:f>_xlfn.XLOOKUP($A2585,Games!$A$2:$A$18,Games!$I$2:$I$18,"Missing game",0)</x:f>
        <x:v>MIN</x:v>
      </x:c>
      <x:c r="AO2585" t="n">
        <x:f>_xlfn.XLOOKUP($A2585,Games!$A$2:$A$18,Games!$J$2:$J$18,"Missing game",0)</x:f>
        <x:v>23</x:v>
      </x:c>
      <x:c r="AP2585" t="n">
        <x:f>_xlfn.XLOOKUP($A2585,Games!$A$2:$A$18,Games!$K$2:$K$18,"Missing game",0)</x:f>
        <x:v>13</x:v>
      </x:c>
      <x:c r="AQ2585" t="n">
        <x:f>_xlfn.XLOOKUP($A2585,Games!$A$2:$A$18,Games!$L$2:$L$18,"Missing game",0)</x:f>
        <x:v>33</x:v>
      </x:c>
      <x:c r="AR2585" t="n">
        <x:f>_xlfn.XLOOKUP($A2585,Games!$A$2:$A$18,Games!$M$2:$M$18,"Missing game",0)</x:f>
        <x:v>0</x:v>
      </x:c>
      <x:c r="AS2585" t="str">
        <x:f>_xlfn.XLOOKUP($A2585,Games!$A$2:$A$18,Games!$N$2:$N$18,"Missing game",0)</x:f>
        <x:v>dome</x:v>
      </x:c>
      <x:c r="AT2585" t="str">
        <x:f>_xlfn.XLOOKUP($A2585,Games!$A$2:$A$18,Games!$O$2:$O$18,"Missing game",0)</x:f>
        <x:v>sportturf</x:v>
      </x:c>
      <x:c r="AU2585" t="str">
        <x:f>_xlfn.XLOOKUP($A2585,Games!$A$2:$A$18,Games!$P$2:$P$18,"Missing game",0)</x:f>
      </x:c>
      <x:c r="AV2585" t="str">
        <x:f>_xlfn.XLOOKUP($A2585,Games!$A$2:$A$18,Games!$Q$2:$Q$18,"Missing game",0)</x:f>
      </x:c>
      <x:c r="AW2585" t="str">
        <x:f>_xlfn.XLOOKUP($A2585,Games!$A$2:$A$18,Games!$R$2:$R$18,"Missing game",0)</x:f>
        <x:v>U.S. Bank Stadium</x:v>
      </x:c>
    </x:row>
    <x:row r="2586">
      <x:c r="A2586" t="str">
        <x:v>2025_17_DET_MIN</x:v>
      </x:c>
      <x:c r="B2586" t="n">
        <x:v>2701</x:v>
      </x:c>
      <x:c r="C2586" t="n">
        <x:v>3</x:v>
      </x:c>
      <x:c r="D2586" t="str">
        <x:v>00:31</x:v>
      </x:c>
      <x:c r="E2586" t="n">
        <x:v>3</x:v>
      </x:c>
      <x:c r="F2586" t="n">
        <x:v>4</x:v>
      </x:c>
      <x:c r="G2586" t="str">
        <x:v>DET</x:v>
      </x:c>
      <x:c r="H2586" t="str">
        <x:v>MIN</x:v>
      </x:c>
      <x:c r="I2586" t="str">
        <x:v>DET</x:v>
      </x:c>
      <x:c r="J2586" t="n">
        <x:v>60</x:v>
      </x:c>
      <x:c r="K2586" t="str">
        <x:v>(:31) (Shotgun) 16-J.Goff pass short left to 14-A.St. Brown pushed ob at DET 47 for 7 yards (7-B.Murphy).</x:v>
      </x:c>
      <x:c r="L2586" t="str">
        <x:v>pass</x:v>
      </x:c>
      <x:c r="M2586" t="n">
        <x:v>7</x:v>
      </x:c>
      <x:c r="N2586" t="n">
        <x:v>1</x:v>
      </x:c>
      <x:c r="O2586" t="n">
        <x:v>0</x:v>
      </x:c>
      <x:c r="P2586" t="str">
        <x:v>short</x:v>
      </x:c>
      <x:c r="Q2586" t="str">
        <x:v>left</x:v>
      </x:c>
      <x:c r="R2586" t="n">
        <x:v>6</x:v>
      </x:c>
      <x:c r="S2586" t="n">
        <x:v>1</x:v>
      </x:c>
      <x:c r="T2586"/>
      <x:c r="U2586"/>
      <x:c r="V2586" t="n">
        <x:v>1</x:v>
      </x:c>
      <x:c r="W2586" t="n">
        <x:v>1</x:v>
      </x:c>
      <x:c r="X2586" t="n">
        <x:v>0</x:v>
      </x:c>
      <x:c r="Y2586" t="n">
        <x:v>0</x:v>
      </x:c>
      <x:c r="Z2586" t="n">
        <x:v>0</x:v>
      </x:c>
      <x:c r="AA2586" t="n">
        <x:v>0</x:v>
      </x:c>
      <x:c r="AB2586"/>
      <x:c r="AC2586" t="n">
        <x:v>0</x:v>
      </x:c>
      <x:c r="AD2586" t="n">
        <x:v>1.5634203725494444</x:v>
      </x:c>
      <x:c r="AE2586" t="n">
        <x:v>1</x:v>
      </x:c>
      <x:c r="AF2586" t="n">
        <x:v>0.048250749707221985</x:v>
      </x:c>
      <x:c r="AG2586" t="n">
        <x:f>_xlfn.XLOOKUP($A2586,Games!$A$2:$A$18,Games!$B$2:$B$18,"Missing game",0)</x:f>
        <x:v>2025</x:v>
      </x:c>
      <x:c r="AH2586" t="str">
        <x:f>_xlfn.XLOOKUP($A2586,Games!$A$2:$A$18,Games!$C$2:$C$18,"Missing game",0)</x:f>
        <x:v>REG</x:v>
      </x:c>
      <x:c r="AI2586" t="n">
        <x:f>_xlfn.XLOOKUP($A2586,Games!$A$2:$A$18,Games!$D$2:$D$18,"Missing game",0)</x:f>
        <x:v>17</x:v>
      </x:c>
      <x:c r="AJ2586" s="1" t="n">
        <x:f>_xlfn.XLOOKUP($A2586,Games!$A$2:$A$18,Games!$E$2:$E$18,"Missing game",0)</x:f>
        <x:v>46016</x:v>
      </x:c>
      <x:c r="AK2586" t="str">
        <x:f>_xlfn.XLOOKUP($A2586,Games!$A$2:$A$18,Games!$F$2:$F$18,"Missing game",0)</x:f>
        <x:v>Thursday</x:v>
      </x:c>
      <x:c r="AL2586" t="str">
        <x:f>_xlfn.XLOOKUP($A2586,Games!$A$2:$A$18,Games!$G$2:$G$18,"Missing game",0)</x:f>
        <x:v>DET</x:v>
      </x:c>
      <x:c r="AM2586" t="n">
        <x:f>_xlfn.XLOOKUP($A2586,Games!$A$2:$A$18,Games!$H$2:$H$18,"Missing game",0)</x:f>
        <x:v>10</x:v>
      </x:c>
      <x:c r="AN2586" t="str">
        <x:f>_xlfn.XLOOKUP($A2586,Games!$A$2:$A$18,Games!$I$2:$I$18,"Missing game",0)</x:f>
        <x:v>MIN</x:v>
      </x:c>
      <x:c r="AO2586" t="n">
        <x:f>_xlfn.XLOOKUP($A2586,Games!$A$2:$A$18,Games!$J$2:$J$18,"Missing game",0)</x:f>
        <x:v>23</x:v>
      </x:c>
      <x:c r="AP2586" t="n">
        <x:f>_xlfn.XLOOKUP($A2586,Games!$A$2:$A$18,Games!$K$2:$K$18,"Missing game",0)</x:f>
        <x:v>13</x:v>
      </x:c>
      <x:c r="AQ2586" t="n">
        <x:f>_xlfn.XLOOKUP($A2586,Games!$A$2:$A$18,Games!$L$2:$L$18,"Missing game",0)</x:f>
        <x:v>33</x:v>
      </x:c>
      <x:c r="AR2586" t="n">
        <x:f>_xlfn.XLOOKUP($A2586,Games!$A$2:$A$18,Games!$M$2:$M$18,"Missing game",0)</x:f>
        <x:v>0</x:v>
      </x:c>
      <x:c r="AS2586" t="str">
        <x:f>_xlfn.XLOOKUP($A2586,Games!$A$2:$A$18,Games!$N$2:$N$18,"Missing game",0)</x:f>
        <x:v>dome</x:v>
      </x:c>
      <x:c r="AT2586" t="str">
        <x:f>_xlfn.XLOOKUP($A2586,Games!$A$2:$A$18,Games!$O$2:$O$18,"Missing game",0)</x:f>
        <x:v>sportturf</x:v>
      </x:c>
      <x:c r="AU2586" t="str">
        <x:f>_xlfn.XLOOKUP($A2586,Games!$A$2:$A$18,Games!$P$2:$P$18,"Missing game",0)</x:f>
      </x:c>
      <x:c r="AV2586" t="str">
        <x:f>_xlfn.XLOOKUP($A2586,Games!$A$2:$A$18,Games!$Q$2:$Q$18,"Missing game",0)</x:f>
      </x:c>
      <x:c r="AW2586" t="str">
        <x:f>_xlfn.XLOOKUP($A2586,Games!$A$2:$A$18,Games!$R$2:$R$18,"Missing game",0)</x:f>
        <x:v>U.S. Bank Stadium</x:v>
      </x:c>
    </x:row>
    <x:row r="2587">
      <x:c r="A2587" t="str">
        <x:v>2025_17_DET_MIN</x:v>
      </x:c>
      <x:c r="B2587" t="n">
        <x:v>2731</x:v>
      </x:c>
      <x:c r="C2587" t="n">
        <x:v>3</x:v>
      </x:c>
      <x:c r="D2587" t="str">
        <x:v>00:00</x:v>
      </x:c>
      <x:c r="E2587"/>
      <x:c r="F2587" t="n">
        <x:v>0</x:v>
      </x:c>
      <x:c r="G2587" t="str">
        <x:v>DET</x:v>
      </x:c>
      <x:c r="H2587" t="str">
        <x:v>MIN</x:v>
      </x:c>
      <x:c r="I2587"/>
      <x:c r="J2587"/>
      <x:c r="K2587" t="str">
        <x:v>END QUARTER 3</x:v>
      </x:c>
      <x:c r="L2587"/>
      <x:c r="M2587"/>
      <x:c r="N2587" t="n">
        <x:v>0</x:v>
      </x:c>
      <x:c r="O2587" t="n">
        <x:v>0</x:v>
      </x:c>
      <x:c r="P2587"/>
      <x:c r="Q2587"/>
      <x:c r="R2587"/>
      <x:c r="S2587"/>
      <x:c r="T2587"/>
      <x:c r="U2587"/>
      <x:c r="V2587"/>
      <x:c r="W2587"/>
      <x:c r="X2587"/>
      <x:c r="Y2587"/>
      <x:c r="Z2587"/>
      <x:c r="AA2587"/>
      <x:c r="AB2587"/>
      <x:c r="AC2587"/>
      <x:c r="AD2587" t="n">
        <x:v>0</x:v>
      </x:c>
      <x:c r="AE2587" t="n">
        <x:v>0</x:v>
      </x:c>
      <x:c r="AF2587" t="n">
        <x:v>0</x:v>
      </x:c>
      <x:c r="AG2587" t="n">
        <x:f>_xlfn.XLOOKUP($A2587,Games!$A$2:$A$18,Games!$B$2:$B$18,"Missing game",0)</x:f>
        <x:v>2025</x:v>
      </x:c>
      <x:c r="AH2587" t="str">
        <x:f>_xlfn.XLOOKUP($A2587,Games!$A$2:$A$18,Games!$C$2:$C$18,"Missing game",0)</x:f>
        <x:v>REG</x:v>
      </x:c>
      <x:c r="AI2587" t="n">
        <x:f>_xlfn.XLOOKUP($A2587,Games!$A$2:$A$18,Games!$D$2:$D$18,"Missing game",0)</x:f>
        <x:v>17</x:v>
      </x:c>
      <x:c r="AJ2587" s="1" t="n">
        <x:f>_xlfn.XLOOKUP($A2587,Games!$A$2:$A$18,Games!$E$2:$E$18,"Missing game",0)</x:f>
        <x:v>46016</x:v>
      </x:c>
      <x:c r="AK2587" t="str">
        <x:f>_xlfn.XLOOKUP($A2587,Games!$A$2:$A$18,Games!$F$2:$F$18,"Missing game",0)</x:f>
        <x:v>Thursday</x:v>
      </x:c>
      <x:c r="AL2587" t="str">
        <x:f>_xlfn.XLOOKUP($A2587,Games!$A$2:$A$18,Games!$G$2:$G$18,"Missing game",0)</x:f>
        <x:v>DET</x:v>
      </x:c>
      <x:c r="AM2587" t="n">
        <x:f>_xlfn.XLOOKUP($A2587,Games!$A$2:$A$18,Games!$H$2:$H$18,"Missing game",0)</x:f>
        <x:v>10</x:v>
      </x:c>
      <x:c r="AN2587" t="str">
        <x:f>_xlfn.XLOOKUP($A2587,Games!$A$2:$A$18,Games!$I$2:$I$18,"Missing game",0)</x:f>
        <x:v>MIN</x:v>
      </x:c>
      <x:c r="AO2587" t="n">
        <x:f>_xlfn.XLOOKUP($A2587,Games!$A$2:$A$18,Games!$J$2:$J$18,"Missing game",0)</x:f>
        <x:v>23</x:v>
      </x:c>
      <x:c r="AP2587" t="n">
        <x:f>_xlfn.XLOOKUP($A2587,Games!$A$2:$A$18,Games!$K$2:$K$18,"Missing game",0)</x:f>
        <x:v>13</x:v>
      </x:c>
      <x:c r="AQ2587" t="n">
        <x:f>_xlfn.XLOOKUP($A2587,Games!$A$2:$A$18,Games!$L$2:$L$18,"Missing game",0)</x:f>
        <x:v>33</x:v>
      </x:c>
      <x:c r="AR2587" t="n">
        <x:f>_xlfn.XLOOKUP($A2587,Games!$A$2:$A$18,Games!$M$2:$M$18,"Missing game",0)</x:f>
        <x:v>0</x:v>
      </x:c>
      <x:c r="AS2587" t="str">
        <x:f>_xlfn.XLOOKUP($A2587,Games!$A$2:$A$18,Games!$N$2:$N$18,"Missing game",0)</x:f>
        <x:v>dome</x:v>
      </x:c>
      <x:c r="AT2587" t="str">
        <x:f>_xlfn.XLOOKUP($A2587,Games!$A$2:$A$18,Games!$O$2:$O$18,"Missing game",0)</x:f>
        <x:v>sportturf</x:v>
      </x:c>
      <x:c r="AU2587" t="str">
        <x:f>_xlfn.XLOOKUP($A2587,Games!$A$2:$A$18,Games!$P$2:$P$18,"Missing game",0)</x:f>
      </x:c>
      <x:c r="AV2587" t="str">
        <x:f>_xlfn.XLOOKUP($A2587,Games!$A$2:$A$18,Games!$Q$2:$Q$18,"Missing game",0)</x:f>
      </x:c>
      <x:c r="AW2587" t="str">
        <x:f>_xlfn.XLOOKUP($A2587,Games!$A$2:$A$18,Games!$R$2:$R$18,"Missing game",0)</x:f>
        <x:v>U.S. Bank Stadium</x:v>
      </x:c>
    </x:row>
    <x:row r="2588">
      <x:c r="A2588" t="str">
        <x:v>2025_17_DET_MIN</x:v>
      </x:c>
      <x:c r="B2588" t="n">
        <x:v>2751</x:v>
      </x:c>
      <x:c r="C2588" t="n">
        <x:v>4</x:v>
      </x:c>
      <x:c r="D2588" t="str">
        <x:v>15:00</x:v>
      </x:c>
      <x:c r="E2588" t="n">
        <x:v>1</x:v>
      </x:c>
      <x:c r="F2588" t="n">
        <x:v>10</x:v>
      </x:c>
      <x:c r="G2588" t="str">
        <x:v>DET</x:v>
      </x:c>
      <x:c r="H2588" t="str">
        <x:v>MIN</x:v>
      </x:c>
      <x:c r="I2588" t="str">
        <x:v>DET</x:v>
      </x:c>
      <x:c r="J2588" t="n">
        <x:v>53</x:v>
      </x:c>
      <x:c r="K2588" t="str">
        <x:v>(15:00) (Shotgun) 16-J.Goff sacked at DET 39 for -8 yards (sack split by 15-D.Turner and 43-A.Van Ginkel). FUMBLES (15-D.Turner) [15-D.Turner], RECOVERED by MIN-61-J.Redmond at DET 40.</x:v>
      </x:c>
      <x:c r="L2588" t="str">
        <x:v>pass</x:v>
      </x:c>
      <x:c r="M2588" t="n">
        <x:v>-7</x:v>
      </x:c>
      <x:c r="N2588" t="n">
        <x:v>1</x:v>
      </x:c>
      <x:c r="O2588" t="n">
        <x:v>0</x:v>
      </x:c>
      <x:c r="P2588"/>
      <x:c r="Q2588"/>
      <x:c r="R2588"/>
      <x:c r="S2588"/>
      <x:c r="T2588"/>
      <x:c r="U2588"/>
      <x:c r="V2588" t="n">
        <x:v>0</x:v>
      </x:c>
      <x:c r="W2588" t="n">
        <x:v>0</x:v>
      </x:c>
      <x:c r="X2588" t="n">
        <x:v>1</x:v>
      </x:c>
      <x:c r="Y2588" t="n">
        <x:v>0</x:v>
      </x:c>
      <x:c r="Z2588" t="n">
        <x:v>1</x:v>
      </x:c>
      <x:c r="AA2588" t="n">
        <x:v>0</x:v>
      </x:c>
      <x:c r="AB2588"/>
      <x:c r="AC2588" t="n">
        <x:v>0</x:v>
      </x:c>
      <x:c r="AD2588" t="n">
        <x:v>-6.083534366916865</x:v>
      </x:c>
      <x:c r="AE2588" t="n">
        <x:v>0</x:v>
      </x:c>
      <x:c r="AF2588" t="n">
        <x:v>-0.11836200952529907</x:v>
      </x:c>
      <x:c r="AG2588" t="n">
        <x:f>_xlfn.XLOOKUP($A2588,Games!$A$2:$A$18,Games!$B$2:$B$18,"Missing game",0)</x:f>
        <x:v>2025</x:v>
      </x:c>
      <x:c r="AH2588" t="str">
        <x:f>_xlfn.XLOOKUP($A2588,Games!$A$2:$A$18,Games!$C$2:$C$18,"Missing game",0)</x:f>
        <x:v>REG</x:v>
      </x:c>
      <x:c r="AI2588" t="n">
        <x:f>_xlfn.XLOOKUP($A2588,Games!$A$2:$A$18,Games!$D$2:$D$18,"Missing game",0)</x:f>
        <x:v>17</x:v>
      </x:c>
      <x:c r="AJ2588" s="1" t="n">
        <x:f>_xlfn.XLOOKUP($A2588,Games!$A$2:$A$18,Games!$E$2:$E$18,"Missing game",0)</x:f>
        <x:v>46016</x:v>
      </x:c>
      <x:c r="AK2588" t="str">
        <x:f>_xlfn.XLOOKUP($A2588,Games!$A$2:$A$18,Games!$F$2:$F$18,"Missing game",0)</x:f>
        <x:v>Thursday</x:v>
      </x:c>
      <x:c r="AL2588" t="str">
        <x:f>_xlfn.XLOOKUP($A2588,Games!$A$2:$A$18,Games!$G$2:$G$18,"Missing game",0)</x:f>
        <x:v>DET</x:v>
      </x:c>
      <x:c r="AM2588" t="n">
        <x:f>_xlfn.XLOOKUP($A2588,Games!$A$2:$A$18,Games!$H$2:$H$18,"Missing game",0)</x:f>
        <x:v>10</x:v>
      </x:c>
      <x:c r="AN2588" t="str">
        <x:f>_xlfn.XLOOKUP($A2588,Games!$A$2:$A$18,Games!$I$2:$I$18,"Missing game",0)</x:f>
        <x:v>MIN</x:v>
      </x:c>
      <x:c r="AO2588" t="n">
        <x:f>_xlfn.XLOOKUP($A2588,Games!$A$2:$A$18,Games!$J$2:$J$18,"Missing game",0)</x:f>
        <x:v>23</x:v>
      </x:c>
      <x:c r="AP2588" t="n">
        <x:f>_xlfn.XLOOKUP($A2588,Games!$A$2:$A$18,Games!$K$2:$K$18,"Missing game",0)</x:f>
        <x:v>13</x:v>
      </x:c>
      <x:c r="AQ2588" t="n">
        <x:f>_xlfn.XLOOKUP($A2588,Games!$A$2:$A$18,Games!$L$2:$L$18,"Missing game",0)</x:f>
        <x:v>33</x:v>
      </x:c>
      <x:c r="AR2588" t="n">
        <x:f>_xlfn.XLOOKUP($A2588,Games!$A$2:$A$18,Games!$M$2:$M$18,"Missing game",0)</x:f>
        <x:v>0</x:v>
      </x:c>
      <x:c r="AS2588" t="str">
        <x:f>_xlfn.XLOOKUP($A2588,Games!$A$2:$A$18,Games!$N$2:$N$18,"Missing game",0)</x:f>
        <x:v>dome</x:v>
      </x:c>
      <x:c r="AT2588" t="str">
        <x:f>_xlfn.XLOOKUP($A2588,Games!$A$2:$A$18,Games!$O$2:$O$18,"Missing game",0)</x:f>
        <x:v>sportturf</x:v>
      </x:c>
      <x:c r="AU2588" t="str">
        <x:f>_xlfn.XLOOKUP($A2588,Games!$A$2:$A$18,Games!$P$2:$P$18,"Missing game",0)</x:f>
      </x:c>
      <x:c r="AV2588" t="str">
        <x:f>_xlfn.XLOOKUP($A2588,Games!$A$2:$A$18,Games!$Q$2:$Q$18,"Missing game",0)</x:f>
      </x:c>
      <x:c r="AW2588" t="str">
        <x:f>_xlfn.XLOOKUP($A2588,Games!$A$2:$A$18,Games!$R$2:$R$18,"Missing game",0)</x:f>
        <x:v>U.S. Bank Stadium</x:v>
      </x:c>
    </x:row>
    <x:row r="2589">
      <x:c r="A2589" t="str">
        <x:v>2025_17_DET_MIN</x:v>
      </x:c>
      <x:c r="B2589" t="n">
        <x:v>2781</x:v>
      </x:c>
      <x:c r="C2589" t="n">
        <x:v>4</x:v>
      </x:c>
      <x:c r="D2589" t="str">
        <x:v>14:54</x:v>
      </x:c>
      <x:c r="E2589" t="n">
        <x:v>1</x:v>
      </x:c>
      <x:c r="F2589" t="n">
        <x:v>10</x:v>
      </x:c>
      <x:c r="G2589" t="str">
        <x:v>MIN</x:v>
      </x:c>
      <x:c r="H2589" t="str">
        <x:v>DET</x:v>
      </x:c>
      <x:c r="I2589" t="str">
        <x:v>DET</x:v>
      </x:c>
      <x:c r="J2589" t="n">
        <x:v>40</x:v>
      </x:c>
      <x:c r="K2589" t="str">
        <x:v>(14:54) 12-M.Brosmer pass short middle to 33-A.Jones to DET 34 for 6 yards (44-M.Rodriguez). PENALTY on MIN-67-J.Skule, Offensive Holding, 10 yards, enforced at DET 40 - No Play.</x:v>
      </x:c>
      <x:c r="L2589" t="str">
        <x:v>no_play</x:v>
      </x:c>
      <x:c r="M2589" t="n">
        <x:v>0</x:v>
      </x:c>
      <x:c r="N2589" t="n">
        <x:v>0</x:v>
      </x:c>
      <x:c r="O2589" t="n">
        <x:v>0</x:v>
      </x:c>
      <x:c r="P2589"/>
      <x:c r="Q2589"/>
      <x:c r="R2589"/>
      <x:c r="S2589"/>
      <x:c r="T2589"/>
      <x:c r="U2589"/>
      <x:c r="V2589" t="n">
        <x:v>0</x:v>
      </x:c>
      <x:c r="W2589" t="n">
        <x:v>0</x:v>
      </x:c>
      <x:c r="X2589" t="n">
        <x:v>0</x:v>
      </x:c>
      <x:c r="Y2589" t="n">
        <x:v>0</x:v>
      </x:c>
      <x:c r="Z2589" t="n">
        <x:v>0</x:v>
      </x:c>
      <x:c r="AA2589" t="n">
        <x:v>1</x:v>
      </x:c>
      <x:c r="AB2589" t="n">
        <x:v>10</x:v>
      </x:c>
      <x:c r="AC2589" t="n">
        <x:v>0</x:v>
      </x:c>
      <x:c r="AD2589" t="n">
        <x:v>-0.9404820571653545</x:v>
      </x:c>
      <x:c r="AE2589" t="n">
        <x:v>0</x:v>
      </x:c>
      <x:c r="AF2589" t="n">
        <x:v>-0.023205935955047607</x:v>
      </x:c>
      <x:c r="AG2589" t="n">
        <x:f>_xlfn.XLOOKUP($A2589,Games!$A$2:$A$18,Games!$B$2:$B$18,"Missing game",0)</x:f>
        <x:v>2025</x:v>
      </x:c>
      <x:c r="AH2589" t="str">
        <x:f>_xlfn.XLOOKUP($A2589,Games!$A$2:$A$18,Games!$C$2:$C$18,"Missing game",0)</x:f>
        <x:v>REG</x:v>
      </x:c>
      <x:c r="AI2589" t="n">
        <x:f>_xlfn.XLOOKUP($A2589,Games!$A$2:$A$18,Games!$D$2:$D$18,"Missing game",0)</x:f>
        <x:v>17</x:v>
      </x:c>
      <x:c r="AJ2589" s="1" t="n">
        <x:f>_xlfn.XLOOKUP($A2589,Games!$A$2:$A$18,Games!$E$2:$E$18,"Missing game",0)</x:f>
        <x:v>46016</x:v>
      </x:c>
      <x:c r="AK2589" t="str">
        <x:f>_xlfn.XLOOKUP($A2589,Games!$A$2:$A$18,Games!$F$2:$F$18,"Missing game",0)</x:f>
        <x:v>Thursday</x:v>
      </x:c>
      <x:c r="AL2589" t="str">
        <x:f>_xlfn.XLOOKUP($A2589,Games!$A$2:$A$18,Games!$G$2:$G$18,"Missing game",0)</x:f>
        <x:v>DET</x:v>
      </x:c>
      <x:c r="AM2589" t="n">
        <x:f>_xlfn.XLOOKUP($A2589,Games!$A$2:$A$18,Games!$H$2:$H$18,"Missing game",0)</x:f>
        <x:v>10</x:v>
      </x:c>
      <x:c r="AN2589" t="str">
        <x:f>_xlfn.XLOOKUP($A2589,Games!$A$2:$A$18,Games!$I$2:$I$18,"Missing game",0)</x:f>
        <x:v>MIN</x:v>
      </x:c>
      <x:c r="AO2589" t="n">
        <x:f>_xlfn.XLOOKUP($A2589,Games!$A$2:$A$18,Games!$J$2:$J$18,"Missing game",0)</x:f>
        <x:v>23</x:v>
      </x:c>
      <x:c r="AP2589" t="n">
        <x:f>_xlfn.XLOOKUP($A2589,Games!$A$2:$A$18,Games!$K$2:$K$18,"Missing game",0)</x:f>
        <x:v>13</x:v>
      </x:c>
      <x:c r="AQ2589" t="n">
        <x:f>_xlfn.XLOOKUP($A2589,Games!$A$2:$A$18,Games!$L$2:$L$18,"Missing game",0)</x:f>
        <x:v>33</x:v>
      </x:c>
      <x:c r="AR2589" t="n">
        <x:f>_xlfn.XLOOKUP($A2589,Games!$A$2:$A$18,Games!$M$2:$M$18,"Missing game",0)</x:f>
        <x:v>0</x:v>
      </x:c>
      <x:c r="AS2589" t="str">
        <x:f>_xlfn.XLOOKUP($A2589,Games!$A$2:$A$18,Games!$N$2:$N$18,"Missing game",0)</x:f>
        <x:v>dome</x:v>
      </x:c>
      <x:c r="AT2589" t="str">
        <x:f>_xlfn.XLOOKUP($A2589,Games!$A$2:$A$18,Games!$O$2:$O$18,"Missing game",0)</x:f>
        <x:v>sportturf</x:v>
      </x:c>
      <x:c r="AU2589" t="str">
        <x:f>_xlfn.XLOOKUP($A2589,Games!$A$2:$A$18,Games!$P$2:$P$18,"Missing game",0)</x:f>
      </x:c>
      <x:c r="AV2589" t="str">
        <x:f>_xlfn.XLOOKUP($A2589,Games!$A$2:$A$18,Games!$Q$2:$Q$18,"Missing game",0)</x:f>
      </x:c>
      <x:c r="AW2589" t="str">
        <x:f>_xlfn.XLOOKUP($A2589,Games!$A$2:$A$18,Games!$R$2:$R$18,"Missing game",0)</x:f>
        <x:v>U.S. Bank Stadium</x:v>
      </x:c>
    </x:row>
    <x:row r="2590">
      <x:c r="A2590" t="str">
        <x:v>2025_17_DET_MIN</x:v>
      </x:c>
      <x:c r="B2590" t="n">
        <x:v>2817</x:v>
      </x:c>
      <x:c r="C2590" t="n">
        <x:v>4</x:v>
      </x:c>
      <x:c r="D2590" t="str">
        <x:v>14:29</x:v>
      </x:c>
      <x:c r="E2590" t="n">
        <x:v>1</x:v>
      </x:c>
      <x:c r="F2590" t="n">
        <x:v>20</x:v>
      </x:c>
      <x:c r="G2590" t="str">
        <x:v>MIN</x:v>
      </x:c>
      <x:c r="H2590" t="str">
        <x:v>DET</x:v>
      </x:c>
      <x:c r="I2590" t="str">
        <x:v>50</x:v>
      </x:c>
      <x:c r="J2590" t="n">
        <x:v>50</x:v>
      </x:c>
      <x:c r="K2590" t="str">
        <x:v>(14:29) (Shotgun) 12-M.Brosmer sacked at MIN 45 for -5 yards. FUMBLES, and recovers at MIN 46.</x:v>
      </x:c>
      <x:c r="L2590" t="str">
        <x:v>pass</x:v>
      </x:c>
      <x:c r="M2590" t="n">
        <x:v>-4</x:v>
      </x:c>
      <x:c r="N2590" t="n">
        <x:v>1</x:v>
      </x:c>
      <x:c r="O2590" t="n">
        <x:v>0</x:v>
      </x:c>
      <x:c r="P2590"/>
      <x:c r="Q2590"/>
      <x:c r="R2590"/>
      <x:c r="S2590"/>
      <x:c r="T2590"/>
      <x:c r="U2590"/>
      <x:c r="V2590" t="n">
        <x:v>0</x:v>
      </x:c>
      <x:c r="W2590" t="n">
        <x:v>0</x:v>
      </x:c>
      <x:c r="X2590" t="n">
        <x:v>1</x:v>
      </x:c>
      <x:c r="Y2590" t="n">
        <x:v>0</x:v>
      </x:c>
      <x:c r="Z2590" t="n">
        <x:v>0</x:v>
      </x:c>
      <x:c r="AA2590" t="n">
        <x:v>0</x:v>
      </x:c>
      <x:c r="AB2590"/>
      <x:c r="AC2590" t="n">
        <x:v>0</x:v>
      </x:c>
      <x:c r="AD2590" t="n">
        <x:v>-0.8681240438017994</x:v>
      </x:c>
      <x:c r="AE2590" t="n">
        <x:v>0</x:v>
      </x:c>
      <x:c r="AF2590" t="n">
        <x:v>-0.016262471675872803</x:v>
      </x:c>
      <x:c r="AG2590" t="n">
        <x:f>_xlfn.XLOOKUP($A2590,Games!$A$2:$A$18,Games!$B$2:$B$18,"Missing game",0)</x:f>
        <x:v>2025</x:v>
      </x:c>
      <x:c r="AH2590" t="str">
        <x:f>_xlfn.XLOOKUP($A2590,Games!$A$2:$A$18,Games!$C$2:$C$18,"Missing game",0)</x:f>
        <x:v>REG</x:v>
      </x:c>
      <x:c r="AI2590" t="n">
        <x:f>_xlfn.XLOOKUP($A2590,Games!$A$2:$A$18,Games!$D$2:$D$18,"Missing game",0)</x:f>
        <x:v>17</x:v>
      </x:c>
      <x:c r="AJ2590" s="1" t="n">
        <x:f>_xlfn.XLOOKUP($A2590,Games!$A$2:$A$18,Games!$E$2:$E$18,"Missing game",0)</x:f>
        <x:v>46016</x:v>
      </x:c>
      <x:c r="AK2590" t="str">
        <x:f>_xlfn.XLOOKUP($A2590,Games!$A$2:$A$18,Games!$F$2:$F$18,"Missing game",0)</x:f>
        <x:v>Thursday</x:v>
      </x:c>
      <x:c r="AL2590" t="str">
        <x:f>_xlfn.XLOOKUP($A2590,Games!$A$2:$A$18,Games!$G$2:$G$18,"Missing game",0)</x:f>
        <x:v>DET</x:v>
      </x:c>
      <x:c r="AM2590" t="n">
        <x:f>_xlfn.XLOOKUP($A2590,Games!$A$2:$A$18,Games!$H$2:$H$18,"Missing game",0)</x:f>
        <x:v>10</x:v>
      </x:c>
      <x:c r="AN2590" t="str">
        <x:f>_xlfn.XLOOKUP($A2590,Games!$A$2:$A$18,Games!$I$2:$I$18,"Missing game",0)</x:f>
        <x:v>MIN</x:v>
      </x:c>
      <x:c r="AO2590" t="n">
        <x:f>_xlfn.XLOOKUP($A2590,Games!$A$2:$A$18,Games!$J$2:$J$18,"Missing game",0)</x:f>
        <x:v>23</x:v>
      </x:c>
      <x:c r="AP2590" t="n">
        <x:f>_xlfn.XLOOKUP($A2590,Games!$A$2:$A$18,Games!$K$2:$K$18,"Missing game",0)</x:f>
        <x:v>13</x:v>
      </x:c>
      <x:c r="AQ2590" t="n">
        <x:f>_xlfn.XLOOKUP($A2590,Games!$A$2:$A$18,Games!$L$2:$L$18,"Missing game",0)</x:f>
        <x:v>33</x:v>
      </x:c>
      <x:c r="AR2590" t="n">
        <x:f>_xlfn.XLOOKUP($A2590,Games!$A$2:$A$18,Games!$M$2:$M$18,"Missing game",0)</x:f>
        <x:v>0</x:v>
      </x:c>
      <x:c r="AS2590" t="str">
        <x:f>_xlfn.XLOOKUP($A2590,Games!$A$2:$A$18,Games!$N$2:$N$18,"Missing game",0)</x:f>
        <x:v>dome</x:v>
      </x:c>
      <x:c r="AT2590" t="str">
        <x:f>_xlfn.XLOOKUP($A2590,Games!$A$2:$A$18,Games!$O$2:$O$18,"Missing game",0)</x:f>
        <x:v>sportturf</x:v>
      </x:c>
      <x:c r="AU2590" t="str">
        <x:f>_xlfn.XLOOKUP($A2590,Games!$A$2:$A$18,Games!$P$2:$P$18,"Missing game",0)</x:f>
      </x:c>
      <x:c r="AV2590" t="str">
        <x:f>_xlfn.XLOOKUP($A2590,Games!$A$2:$A$18,Games!$Q$2:$Q$18,"Missing game",0)</x:f>
      </x:c>
      <x:c r="AW2590" t="str">
        <x:f>_xlfn.XLOOKUP($A2590,Games!$A$2:$A$18,Games!$R$2:$R$18,"Missing game",0)</x:f>
        <x:v>U.S. Bank Stadium</x:v>
      </x:c>
    </x:row>
    <x:row r="2591">
      <x:c r="A2591" t="str">
        <x:v>2025_17_DET_MIN</x:v>
      </x:c>
      <x:c r="B2591" t="n">
        <x:v>2847</x:v>
      </x:c>
      <x:c r="C2591" t="n">
        <x:v>4</x:v>
      </x:c>
      <x:c r="D2591" t="str">
        <x:v>13:48</x:v>
      </x:c>
      <x:c r="E2591" t="n">
        <x:v>2</x:v>
      </x:c>
      <x:c r="F2591" t="n">
        <x:v>24</x:v>
      </x:c>
      <x:c r="G2591" t="str">
        <x:v>MIN</x:v>
      </x:c>
      <x:c r="H2591" t="str">
        <x:v>DET</x:v>
      </x:c>
      <x:c r="I2591" t="str">
        <x:v>MIN</x:v>
      </x:c>
      <x:c r="J2591" t="n">
        <x:v>54</x:v>
      </x:c>
      <x:c r="K2591" t="str">
        <x:v>(13:48) (Shotgun) 12-M.Brosmer pass incomplete short right to 33-A.Jones.</x:v>
      </x:c>
      <x:c r="L2591" t="str">
        <x:v>pass</x:v>
      </x:c>
      <x:c r="M2591" t="n">
        <x:v>0</x:v>
      </x:c>
      <x:c r="N2591" t="n">
        <x:v>1</x:v>
      </x:c>
      <x:c r="O2591" t="n">
        <x:v>0</x:v>
      </x:c>
      <x:c r="P2591" t="str">
        <x:v>short</x:v>
      </x:c>
      <x:c r="Q2591" t="str">
        <x:v>right</x:v>
      </x:c>
      <x:c r="R2591" t="n">
        <x:v>3</x:v>
      </x:c>
      <x:c r="S2591"/>
      <x:c r="T2591"/>
      <x:c r="U2591"/>
      <x:c r="V2591" t="n">
        <x:v>0</x:v>
      </x:c>
      <x:c r="W2591" t="n">
        <x:v>0</x:v>
      </x:c>
      <x:c r="X2591" t="n">
        <x:v>0</x:v>
      </x:c>
      <x:c r="Y2591" t="n">
        <x:v>0</x:v>
      </x:c>
      <x:c r="Z2591" t="n">
        <x:v>0</x:v>
      </x:c>
      <x:c r="AA2591" t="n">
        <x:v>0</x:v>
      </x:c>
      <x:c r="AB2591"/>
      <x:c r="AC2591" t="n">
        <x:v>0</x:v>
      </x:c>
      <x:c r="AD2591" t="n">
        <x:v>-1.0275985915213823</x:v>
      </x:c>
      <x:c r="AE2591" t="n">
        <x:v>0</x:v>
      </x:c>
      <x:c r="AF2591" t="n">
        <x:v>-0.02331453561782837</x:v>
      </x:c>
      <x:c r="AG2591" t="n">
        <x:f>_xlfn.XLOOKUP($A2591,Games!$A$2:$A$18,Games!$B$2:$B$18,"Missing game",0)</x:f>
        <x:v>2025</x:v>
      </x:c>
      <x:c r="AH2591" t="str">
        <x:f>_xlfn.XLOOKUP($A2591,Games!$A$2:$A$18,Games!$C$2:$C$18,"Missing game",0)</x:f>
        <x:v>REG</x:v>
      </x:c>
      <x:c r="AI2591" t="n">
        <x:f>_xlfn.XLOOKUP($A2591,Games!$A$2:$A$18,Games!$D$2:$D$18,"Missing game",0)</x:f>
        <x:v>17</x:v>
      </x:c>
      <x:c r="AJ2591" s="1" t="n">
        <x:f>_xlfn.XLOOKUP($A2591,Games!$A$2:$A$18,Games!$E$2:$E$18,"Missing game",0)</x:f>
        <x:v>46016</x:v>
      </x:c>
      <x:c r="AK2591" t="str">
        <x:f>_xlfn.XLOOKUP($A2591,Games!$A$2:$A$18,Games!$F$2:$F$18,"Missing game",0)</x:f>
        <x:v>Thursday</x:v>
      </x:c>
      <x:c r="AL2591" t="str">
        <x:f>_xlfn.XLOOKUP($A2591,Games!$A$2:$A$18,Games!$G$2:$G$18,"Missing game",0)</x:f>
        <x:v>DET</x:v>
      </x:c>
      <x:c r="AM2591" t="n">
        <x:f>_xlfn.XLOOKUP($A2591,Games!$A$2:$A$18,Games!$H$2:$H$18,"Missing game",0)</x:f>
        <x:v>10</x:v>
      </x:c>
      <x:c r="AN2591" t="str">
        <x:f>_xlfn.XLOOKUP($A2591,Games!$A$2:$A$18,Games!$I$2:$I$18,"Missing game",0)</x:f>
        <x:v>MIN</x:v>
      </x:c>
      <x:c r="AO2591" t="n">
        <x:f>_xlfn.XLOOKUP($A2591,Games!$A$2:$A$18,Games!$J$2:$J$18,"Missing game",0)</x:f>
        <x:v>23</x:v>
      </x:c>
      <x:c r="AP2591" t="n">
        <x:f>_xlfn.XLOOKUP($A2591,Games!$A$2:$A$18,Games!$K$2:$K$18,"Missing game",0)</x:f>
        <x:v>13</x:v>
      </x:c>
      <x:c r="AQ2591" t="n">
        <x:f>_xlfn.XLOOKUP($A2591,Games!$A$2:$A$18,Games!$L$2:$L$18,"Missing game",0)</x:f>
        <x:v>33</x:v>
      </x:c>
      <x:c r="AR2591" t="n">
        <x:f>_xlfn.XLOOKUP($A2591,Games!$A$2:$A$18,Games!$M$2:$M$18,"Missing game",0)</x:f>
        <x:v>0</x:v>
      </x:c>
      <x:c r="AS2591" t="str">
        <x:f>_xlfn.XLOOKUP($A2591,Games!$A$2:$A$18,Games!$N$2:$N$18,"Missing game",0)</x:f>
        <x:v>dome</x:v>
      </x:c>
      <x:c r="AT2591" t="str">
        <x:f>_xlfn.XLOOKUP($A2591,Games!$A$2:$A$18,Games!$O$2:$O$18,"Missing game",0)</x:f>
        <x:v>sportturf</x:v>
      </x:c>
      <x:c r="AU2591" t="str">
        <x:f>_xlfn.XLOOKUP($A2591,Games!$A$2:$A$18,Games!$P$2:$P$18,"Missing game",0)</x:f>
      </x:c>
      <x:c r="AV2591" t="str">
        <x:f>_xlfn.XLOOKUP($A2591,Games!$A$2:$A$18,Games!$Q$2:$Q$18,"Missing game",0)</x:f>
      </x:c>
      <x:c r="AW2591" t="str">
        <x:f>_xlfn.XLOOKUP($A2591,Games!$A$2:$A$18,Games!$R$2:$R$18,"Missing game",0)</x:f>
        <x:v>U.S. Bank Stadium</x:v>
      </x:c>
    </x:row>
    <x:row r="2592">
      <x:c r="A2592" t="str">
        <x:v>2025_17_DET_MIN</x:v>
      </x:c>
      <x:c r="B2592" t="n">
        <x:v>2870</x:v>
      </x:c>
      <x:c r="C2592" t="n">
        <x:v>4</x:v>
      </x:c>
      <x:c r="D2592" t="str">
        <x:v>13:44</x:v>
      </x:c>
      <x:c r="E2592" t="n">
        <x:v>3</x:v>
      </x:c>
      <x:c r="F2592" t="n">
        <x:v>24</x:v>
      </x:c>
      <x:c r="G2592" t="str">
        <x:v>MIN</x:v>
      </x:c>
      <x:c r="H2592" t="str">
        <x:v>DET</x:v>
      </x:c>
      <x:c r="I2592" t="str">
        <x:v>MIN</x:v>
      </x:c>
      <x:c r="J2592" t="n">
        <x:v>54</x:v>
      </x:c>
      <x:c r="K2592" t="str">
        <x:v>(13:44) (Shotgun) 33-A.Jones up the middle to 50 for 4 yards (51-R.Lopez).</x:v>
      </x:c>
      <x:c r="L2592" t="str">
        <x:v>run</x:v>
      </x:c>
      <x:c r="M2592" t="n">
        <x:v>4</x:v>
      </x:c>
      <x:c r="N2592" t="n">
        <x:v>1</x:v>
      </x:c>
      <x:c r="O2592" t="n">
        <x:v>0</x:v>
      </x:c>
      <x:c r="P2592"/>
      <x:c r="Q2592"/>
      <x:c r="R2592"/>
      <x:c r="S2592"/>
      <x:c r="T2592" t="str">
        <x:v>middle</x:v>
      </x:c>
      <x:c r="U2592"/>
      <x:c r="V2592" t="n">
        <x:v>0</x:v>
      </x:c>
      <x:c r="W2592" t="n">
        <x:v>0</x:v>
      </x:c>
      <x:c r="X2592" t="n">
        <x:v>0</x:v>
      </x:c>
      <x:c r="Y2592" t="n">
        <x:v>0</x:v>
      </x:c>
      <x:c r="Z2592" t="n">
        <x:v>0</x:v>
      </x:c>
      <x:c r="AA2592" t="n">
        <x:v>0</x:v>
      </x:c>
      <x:c r="AB2592"/>
      <x:c r="AC2592" t="n">
        <x:v>0</x:v>
      </x:c>
      <x:c r="AD2592" t="n">
        <x:v>-1.0074544716626406</x:v>
      </x:c>
      <x:c r="AE2592" t="n">
        <x:v>0</x:v>
      </x:c>
      <x:c r="AF2592" t="n">
        <x:v>-0.01752227544784546</x:v>
      </x:c>
      <x:c r="AG2592" t="n">
        <x:f>_xlfn.XLOOKUP($A2592,Games!$A$2:$A$18,Games!$B$2:$B$18,"Missing game",0)</x:f>
        <x:v>2025</x:v>
      </x:c>
      <x:c r="AH2592" t="str">
        <x:f>_xlfn.XLOOKUP($A2592,Games!$A$2:$A$18,Games!$C$2:$C$18,"Missing game",0)</x:f>
        <x:v>REG</x:v>
      </x:c>
      <x:c r="AI2592" t="n">
        <x:f>_xlfn.XLOOKUP($A2592,Games!$A$2:$A$18,Games!$D$2:$D$18,"Missing game",0)</x:f>
        <x:v>17</x:v>
      </x:c>
      <x:c r="AJ2592" s="1" t="n">
        <x:f>_xlfn.XLOOKUP($A2592,Games!$A$2:$A$18,Games!$E$2:$E$18,"Missing game",0)</x:f>
        <x:v>46016</x:v>
      </x:c>
      <x:c r="AK2592" t="str">
        <x:f>_xlfn.XLOOKUP($A2592,Games!$A$2:$A$18,Games!$F$2:$F$18,"Missing game",0)</x:f>
        <x:v>Thursday</x:v>
      </x:c>
      <x:c r="AL2592" t="str">
        <x:f>_xlfn.XLOOKUP($A2592,Games!$A$2:$A$18,Games!$G$2:$G$18,"Missing game",0)</x:f>
        <x:v>DET</x:v>
      </x:c>
      <x:c r="AM2592" t="n">
        <x:f>_xlfn.XLOOKUP($A2592,Games!$A$2:$A$18,Games!$H$2:$H$18,"Missing game",0)</x:f>
        <x:v>10</x:v>
      </x:c>
      <x:c r="AN2592" t="str">
        <x:f>_xlfn.XLOOKUP($A2592,Games!$A$2:$A$18,Games!$I$2:$I$18,"Missing game",0)</x:f>
        <x:v>MIN</x:v>
      </x:c>
      <x:c r="AO2592" t="n">
        <x:f>_xlfn.XLOOKUP($A2592,Games!$A$2:$A$18,Games!$J$2:$J$18,"Missing game",0)</x:f>
        <x:v>23</x:v>
      </x:c>
      <x:c r="AP2592" t="n">
        <x:f>_xlfn.XLOOKUP($A2592,Games!$A$2:$A$18,Games!$K$2:$K$18,"Missing game",0)</x:f>
        <x:v>13</x:v>
      </x:c>
      <x:c r="AQ2592" t="n">
        <x:f>_xlfn.XLOOKUP($A2592,Games!$A$2:$A$18,Games!$L$2:$L$18,"Missing game",0)</x:f>
        <x:v>33</x:v>
      </x:c>
      <x:c r="AR2592" t="n">
        <x:f>_xlfn.XLOOKUP($A2592,Games!$A$2:$A$18,Games!$M$2:$M$18,"Missing game",0)</x:f>
        <x:v>0</x:v>
      </x:c>
      <x:c r="AS2592" t="str">
        <x:f>_xlfn.XLOOKUP($A2592,Games!$A$2:$A$18,Games!$N$2:$N$18,"Missing game",0)</x:f>
        <x:v>dome</x:v>
      </x:c>
      <x:c r="AT2592" t="str">
        <x:f>_xlfn.XLOOKUP($A2592,Games!$A$2:$A$18,Games!$O$2:$O$18,"Missing game",0)</x:f>
        <x:v>sportturf</x:v>
      </x:c>
      <x:c r="AU2592" t="str">
        <x:f>_xlfn.XLOOKUP($A2592,Games!$A$2:$A$18,Games!$P$2:$P$18,"Missing game",0)</x:f>
      </x:c>
      <x:c r="AV2592" t="str">
        <x:f>_xlfn.XLOOKUP($A2592,Games!$A$2:$A$18,Games!$Q$2:$Q$18,"Missing game",0)</x:f>
      </x:c>
      <x:c r="AW2592" t="str">
        <x:f>_xlfn.XLOOKUP($A2592,Games!$A$2:$A$18,Games!$R$2:$R$18,"Missing game",0)</x:f>
        <x:v>U.S. Bank Stadium</x:v>
      </x:c>
    </x:row>
    <x:row r="2593">
      <x:c r="A2593" t="str">
        <x:v>2025_17_DET_MIN</x:v>
      </x:c>
      <x:c r="B2593" t="n">
        <x:v>2892</x:v>
      </x:c>
      <x:c r="C2593" t="n">
        <x:v>4</x:v>
      </x:c>
      <x:c r="D2593" t="str">
        <x:v>13:03</x:v>
      </x:c>
      <x:c r="E2593" t="n">
        <x:v>4</x:v>
      </x:c>
      <x:c r="F2593" t="n">
        <x:v>20</x:v>
      </x:c>
      <x:c r="G2593" t="str">
        <x:v>MIN</x:v>
      </x:c>
      <x:c r="H2593" t="str">
        <x:v>DET</x:v>
      </x:c>
      <x:c r="I2593" t="str">
        <x:v>50</x:v>
      </x:c>
      <x:c r="J2593" t="n">
        <x:v>50</x:v>
      </x:c>
      <x:c r="K2593" t="str">
        <x:v>(13:03) 17-R.Wright punts 41 yards to DET 9, Center-42-A.DePaola. 11-K.Raymond pushed ob at DET 16 for 7 yards (0-I.Pace).</x:v>
      </x:c>
      <x:c r="L2593" t="str">
        <x:v>punt</x:v>
      </x:c>
      <x:c r="M2593" t="n">
        <x:v>0</x:v>
      </x:c>
      <x:c r="N2593" t="n">
        <x:v>0</x:v>
      </x:c>
      <x:c r="O2593" t="n">
        <x:v>0</x:v>
      </x:c>
      <x:c r="P2593"/>
      <x:c r="Q2593"/>
      <x:c r="R2593"/>
      <x:c r="S2593"/>
      <x:c r="T2593"/>
      <x:c r="U2593"/>
      <x:c r="V2593" t="n">
        <x:v>0</x:v>
      </x:c>
      <x:c r="W2593" t="n">
        <x:v>0</x:v>
      </x:c>
      <x:c r="X2593" t="n">
        <x:v>0</x:v>
      </x:c>
      <x:c r="Y2593" t="n">
        <x:v>0</x:v>
      </x:c>
      <x:c r="Z2593" t="n">
        <x:v>0</x:v>
      </x:c>
      <x:c r="AA2593" t="n">
        <x:v>0</x:v>
      </x:c>
      <x:c r="AB2593"/>
      <x:c r="AC2593" t="n">
        <x:v>0</x:v>
      </x:c>
      <x:c r="AD2593" t="n">
        <x:v>-0.36617197608575225</x:v>
      </x:c>
      <x:c r="AE2593" t="n">
        <x:v>0</x:v>
      </x:c>
      <x:c r="AF2593" t="n">
        <x:v>0.02208249270915985</x:v>
      </x:c>
      <x:c r="AG2593" t="n">
        <x:f>_xlfn.XLOOKUP($A2593,Games!$A$2:$A$18,Games!$B$2:$B$18,"Missing game",0)</x:f>
        <x:v>2025</x:v>
      </x:c>
      <x:c r="AH2593" t="str">
        <x:f>_xlfn.XLOOKUP($A2593,Games!$A$2:$A$18,Games!$C$2:$C$18,"Missing game",0)</x:f>
        <x:v>REG</x:v>
      </x:c>
      <x:c r="AI2593" t="n">
        <x:f>_xlfn.XLOOKUP($A2593,Games!$A$2:$A$18,Games!$D$2:$D$18,"Missing game",0)</x:f>
        <x:v>17</x:v>
      </x:c>
      <x:c r="AJ2593" s="1" t="n">
        <x:f>_xlfn.XLOOKUP($A2593,Games!$A$2:$A$18,Games!$E$2:$E$18,"Missing game",0)</x:f>
        <x:v>46016</x:v>
      </x:c>
      <x:c r="AK2593" t="str">
        <x:f>_xlfn.XLOOKUP($A2593,Games!$A$2:$A$18,Games!$F$2:$F$18,"Missing game",0)</x:f>
        <x:v>Thursday</x:v>
      </x:c>
      <x:c r="AL2593" t="str">
        <x:f>_xlfn.XLOOKUP($A2593,Games!$A$2:$A$18,Games!$G$2:$G$18,"Missing game",0)</x:f>
        <x:v>DET</x:v>
      </x:c>
      <x:c r="AM2593" t="n">
        <x:f>_xlfn.XLOOKUP($A2593,Games!$A$2:$A$18,Games!$H$2:$H$18,"Missing game",0)</x:f>
        <x:v>10</x:v>
      </x:c>
      <x:c r="AN2593" t="str">
        <x:f>_xlfn.XLOOKUP($A2593,Games!$A$2:$A$18,Games!$I$2:$I$18,"Missing game",0)</x:f>
        <x:v>MIN</x:v>
      </x:c>
      <x:c r="AO2593" t="n">
        <x:f>_xlfn.XLOOKUP($A2593,Games!$A$2:$A$18,Games!$J$2:$J$18,"Missing game",0)</x:f>
        <x:v>23</x:v>
      </x:c>
      <x:c r="AP2593" t="n">
        <x:f>_xlfn.XLOOKUP($A2593,Games!$A$2:$A$18,Games!$K$2:$K$18,"Missing game",0)</x:f>
        <x:v>13</x:v>
      </x:c>
      <x:c r="AQ2593" t="n">
        <x:f>_xlfn.XLOOKUP($A2593,Games!$A$2:$A$18,Games!$L$2:$L$18,"Missing game",0)</x:f>
        <x:v>33</x:v>
      </x:c>
      <x:c r="AR2593" t="n">
        <x:f>_xlfn.XLOOKUP($A2593,Games!$A$2:$A$18,Games!$M$2:$M$18,"Missing game",0)</x:f>
        <x:v>0</x:v>
      </x:c>
      <x:c r="AS2593" t="str">
        <x:f>_xlfn.XLOOKUP($A2593,Games!$A$2:$A$18,Games!$N$2:$N$18,"Missing game",0)</x:f>
        <x:v>dome</x:v>
      </x:c>
      <x:c r="AT2593" t="str">
        <x:f>_xlfn.XLOOKUP($A2593,Games!$A$2:$A$18,Games!$O$2:$O$18,"Missing game",0)</x:f>
        <x:v>sportturf</x:v>
      </x:c>
      <x:c r="AU2593" t="str">
        <x:f>_xlfn.XLOOKUP($A2593,Games!$A$2:$A$18,Games!$P$2:$P$18,"Missing game",0)</x:f>
      </x:c>
      <x:c r="AV2593" t="str">
        <x:f>_xlfn.XLOOKUP($A2593,Games!$A$2:$A$18,Games!$Q$2:$Q$18,"Missing game",0)</x:f>
      </x:c>
      <x:c r="AW2593" t="str">
        <x:f>_xlfn.XLOOKUP($A2593,Games!$A$2:$A$18,Games!$R$2:$R$18,"Missing game",0)</x:f>
        <x:v>U.S. Bank Stadium</x:v>
      </x:c>
    </x:row>
    <x:row r="2594">
      <x:c r="A2594" t="str">
        <x:v>2025_17_DET_MIN</x:v>
      </x:c>
      <x:c r="B2594" t="n">
        <x:v>2923</x:v>
      </x:c>
      <x:c r="C2594" t="n">
        <x:v>4</x:v>
      </x:c>
      <x:c r="D2594" t="str">
        <x:v>12:55</x:v>
      </x:c>
      <x:c r="E2594" t="n">
        <x:v>1</x:v>
      </x:c>
      <x:c r="F2594" t="n">
        <x:v>10</x:v>
      </x:c>
      <x:c r="G2594" t="str">
        <x:v>DET</x:v>
      </x:c>
      <x:c r="H2594" t="str">
        <x:v>MIN</x:v>
      </x:c>
      <x:c r="I2594" t="str">
        <x:v>DET</x:v>
      </x:c>
      <x:c r="J2594" t="n">
        <x:v>84</x:v>
      </x:c>
      <x:c r="K2594" t="str">
        <x:v>(12:55) 0-J.Gibbs right end to DET 20 for 4 yards (51-B.Cashman; 97-J.Hargrave).</x:v>
      </x:c>
      <x:c r="L2594" t="str">
        <x:v>run</x:v>
      </x:c>
      <x:c r="M2594" t="n">
        <x:v>4</x:v>
      </x:c>
      <x:c r="N2594" t="n">
        <x:v>0</x:v>
      </x:c>
      <x:c r="O2594" t="n">
        <x:v>0</x:v>
      </x:c>
      <x:c r="P2594"/>
      <x:c r="Q2594"/>
      <x:c r="R2594"/>
      <x:c r="S2594"/>
      <x:c r="T2594" t="str">
        <x:v>right</x:v>
      </x:c>
      <x:c r="U2594" t="str">
        <x:v>end</x:v>
      </x:c>
      <x:c r="V2594" t="n">
        <x:v>0</x:v>
      </x:c>
      <x:c r="W2594" t="n">
        <x:v>0</x:v>
      </x:c>
      <x:c r="X2594" t="n">
        <x:v>0</x:v>
      </x:c>
      <x:c r="Y2594" t="n">
        <x:v>0</x:v>
      </x:c>
      <x:c r="Z2594" t="n">
        <x:v>0</x:v>
      </x:c>
      <x:c r="AA2594" t="n">
        <x:v>0</x:v>
      </x:c>
      <x:c r="AB2594"/>
      <x:c r="AC2594" t="n">
        <x:v>0</x:v>
      </x:c>
      <x:c r="AD2594" t="n">
        <x:v>-0.16122320853173733</x:v>
      </x:c>
      <x:c r="AE2594" t="n">
        <x:v>0</x:v>
      </x:c>
      <x:c r="AF2594" t="n">
        <x:v>-0.008428528904914856</x:v>
      </x:c>
      <x:c r="AG2594" t="n">
        <x:f>_xlfn.XLOOKUP($A2594,Games!$A$2:$A$18,Games!$B$2:$B$18,"Missing game",0)</x:f>
        <x:v>2025</x:v>
      </x:c>
      <x:c r="AH2594" t="str">
        <x:f>_xlfn.XLOOKUP($A2594,Games!$A$2:$A$18,Games!$C$2:$C$18,"Missing game",0)</x:f>
        <x:v>REG</x:v>
      </x:c>
      <x:c r="AI2594" t="n">
        <x:f>_xlfn.XLOOKUP($A2594,Games!$A$2:$A$18,Games!$D$2:$D$18,"Missing game",0)</x:f>
        <x:v>17</x:v>
      </x:c>
      <x:c r="AJ2594" s="1" t="n">
        <x:f>_xlfn.XLOOKUP($A2594,Games!$A$2:$A$18,Games!$E$2:$E$18,"Missing game",0)</x:f>
        <x:v>46016</x:v>
      </x:c>
      <x:c r="AK2594" t="str">
        <x:f>_xlfn.XLOOKUP($A2594,Games!$A$2:$A$18,Games!$F$2:$F$18,"Missing game",0)</x:f>
        <x:v>Thursday</x:v>
      </x:c>
      <x:c r="AL2594" t="str">
        <x:f>_xlfn.XLOOKUP($A2594,Games!$A$2:$A$18,Games!$G$2:$G$18,"Missing game",0)</x:f>
        <x:v>DET</x:v>
      </x:c>
      <x:c r="AM2594" t="n">
        <x:f>_xlfn.XLOOKUP($A2594,Games!$A$2:$A$18,Games!$H$2:$H$18,"Missing game",0)</x:f>
        <x:v>10</x:v>
      </x:c>
      <x:c r="AN2594" t="str">
        <x:f>_xlfn.XLOOKUP($A2594,Games!$A$2:$A$18,Games!$I$2:$I$18,"Missing game",0)</x:f>
        <x:v>MIN</x:v>
      </x:c>
      <x:c r="AO2594" t="n">
        <x:f>_xlfn.XLOOKUP($A2594,Games!$A$2:$A$18,Games!$J$2:$J$18,"Missing game",0)</x:f>
        <x:v>23</x:v>
      </x:c>
      <x:c r="AP2594" t="n">
        <x:f>_xlfn.XLOOKUP($A2594,Games!$A$2:$A$18,Games!$K$2:$K$18,"Missing game",0)</x:f>
        <x:v>13</x:v>
      </x:c>
      <x:c r="AQ2594" t="n">
        <x:f>_xlfn.XLOOKUP($A2594,Games!$A$2:$A$18,Games!$L$2:$L$18,"Missing game",0)</x:f>
        <x:v>33</x:v>
      </x:c>
      <x:c r="AR2594" t="n">
        <x:f>_xlfn.XLOOKUP($A2594,Games!$A$2:$A$18,Games!$M$2:$M$18,"Missing game",0)</x:f>
        <x:v>0</x:v>
      </x:c>
      <x:c r="AS2594" t="str">
        <x:f>_xlfn.XLOOKUP($A2594,Games!$A$2:$A$18,Games!$N$2:$N$18,"Missing game",0)</x:f>
        <x:v>dome</x:v>
      </x:c>
      <x:c r="AT2594" t="str">
        <x:f>_xlfn.XLOOKUP($A2594,Games!$A$2:$A$18,Games!$O$2:$O$18,"Missing game",0)</x:f>
        <x:v>sportturf</x:v>
      </x:c>
      <x:c r="AU2594" t="str">
        <x:f>_xlfn.XLOOKUP($A2594,Games!$A$2:$A$18,Games!$P$2:$P$18,"Missing game",0)</x:f>
      </x:c>
      <x:c r="AV2594" t="str">
        <x:f>_xlfn.XLOOKUP($A2594,Games!$A$2:$A$18,Games!$Q$2:$Q$18,"Missing game",0)</x:f>
      </x:c>
      <x:c r="AW2594" t="str">
        <x:f>_xlfn.XLOOKUP($A2594,Games!$A$2:$A$18,Games!$R$2:$R$18,"Missing game",0)</x:f>
        <x:v>U.S. Bank Stadium</x:v>
      </x:c>
    </x:row>
    <x:row r="2595">
      <x:c r="A2595" t="str">
        <x:v>2025_17_DET_MIN</x:v>
      </x:c>
      <x:c r="B2595" t="n">
        <x:v>2952</x:v>
      </x:c>
      <x:c r="C2595" t="n">
        <x:v>4</x:v>
      </x:c>
      <x:c r="D2595" t="str">
        <x:v>12:19</x:v>
      </x:c>
      <x:c r="E2595" t="n">
        <x:v>2</x:v>
      </x:c>
      <x:c r="F2595" t="n">
        <x:v>6</x:v>
      </x:c>
      <x:c r="G2595" t="str">
        <x:v>DET</x:v>
      </x:c>
      <x:c r="H2595" t="str">
        <x:v>MIN</x:v>
      </x:c>
      <x:c r="I2595" t="str">
        <x:v>DET</x:v>
      </x:c>
      <x:c r="J2595" t="n">
        <x:v>80</x:v>
      </x:c>
      <x:c r="K2595" t="str">
        <x:v>(12:19) 0-J.Gibbs left guard to DET 25 for 5 yards (15-D.Turner).</x:v>
      </x:c>
      <x:c r="L2595" t="str">
        <x:v>run</x:v>
      </x:c>
      <x:c r="M2595" t="n">
        <x:v>5</x:v>
      </x:c>
      <x:c r="N2595" t="n">
        <x:v>0</x:v>
      </x:c>
      <x:c r="O2595" t="n">
        <x:v>0</x:v>
      </x:c>
      <x:c r="P2595"/>
      <x:c r="Q2595"/>
      <x:c r="R2595"/>
      <x:c r="S2595"/>
      <x:c r="T2595" t="str">
        <x:v>left</x:v>
      </x:c>
      <x:c r="U2595" t="str">
        <x:v>guard</x:v>
      </x:c>
      <x:c r="V2595" t="n">
        <x:v>0</x:v>
      </x:c>
      <x:c r="W2595" t="n">
        <x:v>0</x:v>
      </x:c>
      <x:c r="X2595" t="n">
        <x:v>0</x:v>
      </x:c>
      <x:c r="Y2595" t="n">
        <x:v>0</x:v>
      </x:c>
      <x:c r="Z2595" t="n">
        <x:v>0</x:v>
      </x:c>
      <x:c r="AA2595" t="n">
        <x:v>0</x:v>
      </x:c>
      <x:c r="AB2595"/>
      <x:c r="AC2595" t="n">
        <x:v>0</x:v>
      </x:c>
      <x:c r="AD2595" t="n">
        <x:v>0.3768498422577977</x:v>
      </x:c>
      <x:c r="AE2595" t="n">
        <x:v>1</x:v>
      </x:c>
      <x:c r="AF2595" t="n">
        <x:v>-0.006263718008995056</x:v>
      </x:c>
      <x:c r="AG2595" t="n">
        <x:f>_xlfn.XLOOKUP($A2595,Games!$A$2:$A$18,Games!$B$2:$B$18,"Missing game",0)</x:f>
        <x:v>2025</x:v>
      </x:c>
      <x:c r="AH2595" t="str">
        <x:f>_xlfn.XLOOKUP($A2595,Games!$A$2:$A$18,Games!$C$2:$C$18,"Missing game",0)</x:f>
        <x:v>REG</x:v>
      </x:c>
      <x:c r="AI2595" t="n">
        <x:f>_xlfn.XLOOKUP($A2595,Games!$A$2:$A$18,Games!$D$2:$D$18,"Missing game",0)</x:f>
        <x:v>17</x:v>
      </x:c>
      <x:c r="AJ2595" s="1" t="n">
        <x:f>_xlfn.XLOOKUP($A2595,Games!$A$2:$A$18,Games!$E$2:$E$18,"Missing game",0)</x:f>
        <x:v>46016</x:v>
      </x:c>
      <x:c r="AK2595" t="str">
        <x:f>_xlfn.XLOOKUP($A2595,Games!$A$2:$A$18,Games!$F$2:$F$18,"Missing game",0)</x:f>
        <x:v>Thursday</x:v>
      </x:c>
      <x:c r="AL2595" t="str">
        <x:f>_xlfn.XLOOKUP($A2595,Games!$A$2:$A$18,Games!$G$2:$G$18,"Missing game",0)</x:f>
        <x:v>DET</x:v>
      </x:c>
      <x:c r="AM2595" t="n">
        <x:f>_xlfn.XLOOKUP($A2595,Games!$A$2:$A$18,Games!$H$2:$H$18,"Missing game",0)</x:f>
        <x:v>10</x:v>
      </x:c>
      <x:c r="AN2595" t="str">
        <x:f>_xlfn.XLOOKUP($A2595,Games!$A$2:$A$18,Games!$I$2:$I$18,"Missing game",0)</x:f>
        <x:v>MIN</x:v>
      </x:c>
      <x:c r="AO2595" t="n">
        <x:f>_xlfn.XLOOKUP($A2595,Games!$A$2:$A$18,Games!$J$2:$J$18,"Missing game",0)</x:f>
        <x:v>23</x:v>
      </x:c>
      <x:c r="AP2595" t="n">
        <x:f>_xlfn.XLOOKUP($A2595,Games!$A$2:$A$18,Games!$K$2:$K$18,"Missing game",0)</x:f>
        <x:v>13</x:v>
      </x:c>
      <x:c r="AQ2595" t="n">
        <x:f>_xlfn.XLOOKUP($A2595,Games!$A$2:$A$18,Games!$L$2:$L$18,"Missing game",0)</x:f>
        <x:v>33</x:v>
      </x:c>
      <x:c r="AR2595" t="n">
        <x:f>_xlfn.XLOOKUP($A2595,Games!$A$2:$A$18,Games!$M$2:$M$18,"Missing game",0)</x:f>
        <x:v>0</x:v>
      </x:c>
      <x:c r="AS2595" t="str">
        <x:f>_xlfn.XLOOKUP($A2595,Games!$A$2:$A$18,Games!$N$2:$N$18,"Missing game",0)</x:f>
        <x:v>dome</x:v>
      </x:c>
      <x:c r="AT2595" t="str">
        <x:f>_xlfn.XLOOKUP($A2595,Games!$A$2:$A$18,Games!$O$2:$O$18,"Missing game",0)</x:f>
        <x:v>sportturf</x:v>
      </x:c>
      <x:c r="AU2595" t="str">
        <x:f>_xlfn.XLOOKUP($A2595,Games!$A$2:$A$18,Games!$P$2:$P$18,"Missing game",0)</x:f>
      </x:c>
      <x:c r="AV2595" t="str">
        <x:f>_xlfn.XLOOKUP($A2595,Games!$A$2:$A$18,Games!$Q$2:$Q$18,"Missing game",0)</x:f>
      </x:c>
      <x:c r="AW2595" t="str">
        <x:f>_xlfn.XLOOKUP($A2595,Games!$A$2:$A$18,Games!$R$2:$R$18,"Missing game",0)</x:f>
        <x:v>U.S. Bank Stadium</x:v>
      </x:c>
    </x:row>
    <x:row r="2596">
      <x:c r="A2596" t="str">
        <x:v>2025_17_DET_MIN</x:v>
      </x:c>
      <x:c r="B2596" t="n">
        <x:v>2974</x:v>
      </x:c>
      <x:c r="C2596" t="n">
        <x:v>4</x:v>
      </x:c>
      <x:c r="D2596" t="str">
        <x:v>11:44</x:v>
      </x:c>
      <x:c r="E2596" t="n">
        <x:v>3</x:v>
      </x:c>
      <x:c r="F2596" t="n">
        <x:v>1</x:v>
      </x:c>
      <x:c r="G2596" t="str">
        <x:v>DET</x:v>
      </x:c>
      <x:c r="H2596" t="str">
        <x:v>MIN</x:v>
      </x:c>
      <x:c r="I2596" t="str">
        <x:v>DET</x:v>
      </x:c>
      <x:c r="J2596" t="n">
        <x:v>75</x:v>
      </x:c>
      <x:c r="K2596" t="str">
        <x:v>(11:44) 16-J.Goff up the middle to DET 27 for 2 yards (93-J.Allen).</x:v>
      </x:c>
      <x:c r="L2596" t="str">
        <x:v>run</x:v>
      </x:c>
      <x:c r="M2596" t="n">
        <x:v>2</x:v>
      </x:c>
      <x:c r="N2596" t="n">
        <x:v>0</x:v>
      </x:c>
      <x:c r="O2596" t="n">
        <x:v>0</x:v>
      </x:c>
      <x:c r="P2596"/>
      <x:c r="Q2596"/>
      <x:c r="R2596"/>
      <x:c r="S2596"/>
      <x:c r="T2596" t="str">
        <x:v>middle</x:v>
      </x:c>
      <x:c r="U2596"/>
      <x:c r="V2596" t="n">
        <x:v>0</x:v>
      </x:c>
      <x:c r="W2596" t="n">
        <x:v>1</x:v>
      </x:c>
      <x:c r="X2596" t="n">
        <x:v>0</x:v>
      </x:c>
      <x:c r="Y2596" t="n">
        <x:v>0</x:v>
      </x:c>
      <x:c r="Z2596" t="n">
        <x:v>0</x:v>
      </x:c>
      <x:c r="AA2596" t="n">
        <x:v>0</x:v>
      </x:c>
      <x:c r="AB2596"/>
      <x:c r="AC2596" t="n">
        <x:v>0</x:v>
      </x:c>
      <x:c r="AD2596" t="n">
        <x:v>0.5029503796249628</x:v>
      </x:c>
      <x:c r="AE2596" t="n">
        <x:v>1</x:v>
      </x:c>
      <x:c r="AF2596" t="n">
        <x:v>0.001600891351699829</x:v>
      </x:c>
      <x:c r="AG2596" t="n">
        <x:f>_xlfn.XLOOKUP($A2596,Games!$A$2:$A$18,Games!$B$2:$B$18,"Missing game",0)</x:f>
        <x:v>2025</x:v>
      </x:c>
      <x:c r="AH2596" t="str">
        <x:f>_xlfn.XLOOKUP($A2596,Games!$A$2:$A$18,Games!$C$2:$C$18,"Missing game",0)</x:f>
        <x:v>REG</x:v>
      </x:c>
      <x:c r="AI2596" t="n">
        <x:f>_xlfn.XLOOKUP($A2596,Games!$A$2:$A$18,Games!$D$2:$D$18,"Missing game",0)</x:f>
        <x:v>17</x:v>
      </x:c>
      <x:c r="AJ2596" s="1" t="n">
        <x:f>_xlfn.XLOOKUP($A2596,Games!$A$2:$A$18,Games!$E$2:$E$18,"Missing game",0)</x:f>
        <x:v>46016</x:v>
      </x:c>
      <x:c r="AK2596" t="str">
        <x:f>_xlfn.XLOOKUP($A2596,Games!$A$2:$A$18,Games!$F$2:$F$18,"Missing game",0)</x:f>
        <x:v>Thursday</x:v>
      </x:c>
      <x:c r="AL2596" t="str">
        <x:f>_xlfn.XLOOKUP($A2596,Games!$A$2:$A$18,Games!$G$2:$G$18,"Missing game",0)</x:f>
        <x:v>DET</x:v>
      </x:c>
      <x:c r="AM2596" t="n">
        <x:f>_xlfn.XLOOKUP($A2596,Games!$A$2:$A$18,Games!$H$2:$H$18,"Missing game",0)</x:f>
        <x:v>10</x:v>
      </x:c>
      <x:c r="AN2596" t="str">
        <x:f>_xlfn.XLOOKUP($A2596,Games!$A$2:$A$18,Games!$I$2:$I$18,"Missing game",0)</x:f>
        <x:v>MIN</x:v>
      </x:c>
      <x:c r="AO2596" t="n">
        <x:f>_xlfn.XLOOKUP($A2596,Games!$A$2:$A$18,Games!$J$2:$J$18,"Missing game",0)</x:f>
        <x:v>23</x:v>
      </x:c>
      <x:c r="AP2596" t="n">
        <x:f>_xlfn.XLOOKUP($A2596,Games!$A$2:$A$18,Games!$K$2:$K$18,"Missing game",0)</x:f>
        <x:v>13</x:v>
      </x:c>
      <x:c r="AQ2596" t="n">
        <x:f>_xlfn.XLOOKUP($A2596,Games!$A$2:$A$18,Games!$L$2:$L$18,"Missing game",0)</x:f>
        <x:v>33</x:v>
      </x:c>
      <x:c r="AR2596" t="n">
        <x:f>_xlfn.XLOOKUP($A2596,Games!$A$2:$A$18,Games!$M$2:$M$18,"Missing game",0)</x:f>
        <x:v>0</x:v>
      </x:c>
      <x:c r="AS2596" t="str">
        <x:f>_xlfn.XLOOKUP($A2596,Games!$A$2:$A$18,Games!$N$2:$N$18,"Missing game",0)</x:f>
        <x:v>dome</x:v>
      </x:c>
      <x:c r="AT2596" t="str">
        <x:f>_xlfn.XLOOKUP($A2596,Games!$A$2:$A$18,Games!$O$2:$O$18,"Missing game",0)</x:f>
        <x:v>sportturf</x:v>
      </x:c>
      <x:c r="AU2596" t="str">
        <x:f>_xlfn.XLOOKUP($A2596,Games!$A$2:$A$18,Games!$P$2:$P$18,"Missing game",0)</x:f>
      </x:c>
      <x:c r="AV2596" t="str">
        <x:f>_xlfn.XLOOKUP($A2596,Games!$A$2:$A$18,Games!$Q$2:$Q$18,"Missing game",0)</x:f>
      </x:c>
      <x:c r="AW2596" t="str">
        <x:f>_xlfn.XLOOKUP($A2596,Games!$A$2:$A$18,Games!$R$2:$R$18,"Missing game",0)</x:f>
        <x:v>U.S. Bank Stadium</x:v>
      </x:c>
    </x:row>
    <x:row r="2597">
      <x:c r="A2597" t="str">
        <x:v>2025_17_DET_MIN</x:v>
      </x:c>
      <x:c r="B2597" t="n">
        <x:v>2996</x:v>
      </x:c>
      <x:c r="C2597" t="n">
        <x:v>4</x:v>
      </x:c>
      <x:c r="D2597" t="str">
        <x:v>11:11</x:v>
      </x:c>
      <x:c r="E2597" t="n">
        <x:v>1</x:v>
      </x:c>
      <x:c r="F2597" t="n">
        <x:v>10</x:v>
      </x:c>
      <x:c r="G2597" t="str">
        <x:v>DET</x:v>
      </x:c>
      <x:c r="H2597" t="str">
        <x:v>MIN</x:v>
      </x:c>
      <x:c r="I2597" t="str">
        <x:v>DET</x:v>
      </x:c>
      <x:c r="J2597" t="n">
        <x:v>73</x:v>
      </x:c>
      <x:c r="K2597" t="str">
        <x:v>(11:11) 0-J.Gibbs right tackle to DET 27 for no gain (2-I.Rodgers; 51-B.Cashman).</x:v>
      </x:c>
      <x:c r="L2597" t="str">
        <x:v>run</x:v>
      </x:c>
      <x:c r="M2597" t="n">
        <x:v>0</x:v>
      </x:c>
      <x:c r="N2597" t="n">
        <x:v>0</x:v>
      </x:c>
      <x:c r="O2597" t="n">
        <x:v>0</x:v>
      </x:c>
      <x:c r="P2597"/>
      <x:c r="Q2597"/>
      <x:c r="R2597"/>
      <x:c r="S2597"/>
      <x:c r="T2597" t="str">
        <x:v>right</x:v>
      </x:c>
      <x:c r="U2597" t="str">
        <x:v>tackle</x:v>
      </x:c>
      <x:c r="V2597" t="n">
        <x:v>0</x:v>
      </x:c>
      <x:c r="W2597" t="n">
        <x:v>0</x:v>
      </x:c>
      <x:c r="X2597" t="n">
        <x:v>0</x:v>
      </x:c>
      <x:c r="Y2597" t="n">
        <x:v>0</x:v>
      </x:c>
      <x:c r="Z2597" t="n">
        <x:v>0</x:v>
      </x:c>
      <x:c r="AA2597" t="n">
        <x:v>0</x:v>
      </x:c>
      <x:c r="AB2597"/>
      <x:c r="AC2597" t="n">
        <x:v>0</x:v>
      </x:c>
      <x:c r="AD2597" t="n">
        <x:v>-0.5835854928009212</x:v>
      </x:c>
      <x:c r="AE2597" t="n">
        <x:v>0</x:v>
      </x:c>
      <x:c r="AF2597" t="n">
        <x:v>-0.021602123975753784</x:v>
      </x:c>
      <x:c r="AG2597" t="n">
        <x:f>_xlfn.XLOOKUP($A2597,Games!$A$2:$A$18,Games!$B$2:$B$18,"Missing game",0)</x:f>
        <x:v>2025</x:v>
      </x:c>
      <x:c r="AH2597" t="str">
        <x:f>_xlfn.XLOOKUP($A2597,Games!$A$2:$A$18,Games!$C$2:$C$18,"Missing game",0)</x:f>
        <x:v>REG</x:v>
      </x:c>
      <x:c r="AI2597" t="n">
        <x:f>_xlfn.XLOOKUP($A2597,Games!$A$2:$A$18,Games!$D$2:$D$18,"Missing game",0)</x:f>
        <x:v>17</x:v>
      </x:c>
      <x:c r="AJ2597" s="1" t="n">
        <x:f>_xlfn.XLOOKUP($A2597,Games!$A$2:$A$18,Games!$E$2:$E$18,"Missing game",0)</x:f>
        <x:v>46016</x:v>
      </x:c>
      <x:c r="AK2597" t="str">
        <x:f>_xlfn.XLOOKUP($A2597,Games!$A$2:$A$18,Games!$F$2:$F$18,"Missing game",0)</x:f>
        <x:v>Thursday</x:v>
      </x:c>
      <x:c r="AL2597" t="str">
        <x:f>_xlfn.XLOOKUP($A2597,Games!$A$2:$A$18,Games!$G$2:$G$18,"Missing game",0)</x:f>
        <x:v>DET</x:v>
      </x:c>
      <x:c r="AM2597" t="n">
        <x:f>_xlfn.XLOOKUP($A2597,Games!$A$2:$A$18,Games!$H$2:$H$18,"Missing game",0)</x:f>
        <x:v>10</x:v>
      </x:c>
      <x:c r="AN2597" t="str">
        <x:f>_xlfn.XLOOKUP($A2597,Games!$A$2:$A$18,Games!$I$2:$I$18,"Missing game",0)</x:f>
        <x:v>MIN</x:v>
      </x:c>
      <x:c r="AO2597" t="n">
        <x:f>_xlfn.XLOOKUP($A2597,Games!$A$2:$A$18,Games!$J$2:$J$18,"Missing game",0)</x:f>
        <x:v>23</x:v>
      </x:c>
      <x:c r="AP2597" t="n">
        <x:f>_xlfn.XLOOKUP($A2597,Games!$A$2:$A$18,Games!$K$2:$K$18,"Missing game",0)</x:f>
        <x:v>13</x:v>
      </x:c>
      <x:c r="AQ2597" t="n">
        <x:f>_xlfn.XLOOKUP($A2597,Games!$A$2:$A$18,Games!$L$2:$L$18,"Missing game",0)</x:f>
        <x:v>33</x:v>
      </x:c>
      <x:c r="AR2597" t="n">
        <x:f>_xlfn.XLOOKUP($A2597,Games!$A$2:$A$18,Games!$M$2:$M$18,"Missing game",0)</x:f>
        <x:v>0</x:v>
      </x:c>
      <x:c r="AS2597" t="str">
        <x:f>_xlfn.XLOOKUP($A2597,Games!$A$2:$A$18,Games!$N$2:$N$18,"Missing game",0)</x:f>
        <x:v>dome</x:v>
      </x:c>
      <x:c r="AT2597" t="str">
        <x:f>_xlfn.XLOOKUP($A2597,Games!$A$2:$A$18,Games!$O$2:$O$18,"Missing game",0)</x:f>
        <x:v>sportturf</x:v>
      </x:c>
      <x:c r="AU2597" t="str">
        <x:f>_xlfn.XLOOKUP($A2597,Games!$A$2:$A$18,Games!$P$2:$P$18,"Missing game",0)</x:f>
      </x:c>
      <x:c r="AV2597" t="str">
        <x:f>_xlfn.XLOOKUP($A2597,Games!$A$2:$A$18,Games!$Q$2:$Q$18,"Missing game",0)</x:f>
      </x:c>
      <x:c r="AW2597" t="str">
        <x:f>_xlfn.XLOOKUP($A2597,Games!$A$2:$A$18,Games!$R$2:$R$18,"Missing game",0)</x:f>
        <x:v>U.S. Bank Stadium</x:v>
      </x:c>
    </x:row>
    <x:row r="2598">
      <x:c r="A2598" t="str">
        <x:v>2025_17_DET_MIN</x:v>
      </x:c>
      <x:c r="B2598" t="n">
        <x:v>3018</x:v>
      </x:c>
      <x:c r="C2598" t="n">
        <x:v>4</x:v>
      </x:c>
      <x:c r="D2598" t="str">
        <x:v>10:21</x:v>
      </x:c>
      <x:c r="E2598" t="n">
        <x:v>2</x:v>
      </x:c>
      <x:c r="F2598" t="n">
        <x:v>10</x:v>
      </x:c>
      <x:c r="G2598" t="str">
        <x:v>DET</x:v>
      </x:c>
      <x:c r="H2598" t="str">
        <x:v>MIN</x:v>
      </x:c>
      <x:c r="I2598" t="str">
        <x:v>DET</x:v>
      </x:c>
      <x:c r="J2598" t="n">
        <x:v>73</x:v>
      </x:c>
      <x:c r="K2598" t="str">
        <x:v>(10:21) (Shotgun) 0-J.Gibbs right end to DET 24 for -3 yards (15-D.Turner).</x:v>
      </x:c>
      <x:c r="L2598" t="str">
        <x:v>run</x:v>
      </x:c>
      <x:c r="M2598" t="n">
        <x:v>-3</x:v>
      </x:c>
      <x:c r="N2598" t="n">
        <x:v>1</x:v>
      </x:c>
      <x:c r="O2598" t="n">
        <x:v>0</x:v>
      </x:c>
      <x:c r="P2598"/>
      <x:c r="Q2598"/>
      <x:c r="R2598"/>
      <x:c r="S2598"/>
      <x:c r="T2598" t="str">
        <x:v>right</x:v>
      </x:c>
      <x:c r="U2598" t="str">
        <x:v>end</x:v>
      </x:c>
      <x:c r="V2598" t="n">
        <x:v>0</x:v>
      </x:c>
      <x:c r="W2598" t="n">
        <x:v>0</x:v>
      </x:c>
      <x:c r="X2598" t="n">
        <x:v>0</x:v>
      </x:c>
      <x:c r="Y2598" t="n">
        <x:v>0</x:v>
      </x:c>
      <x:c r="Z2598" t="n">
        <x:v>0</x:v>
      </x:c>
      <x:c r="AA2598" t="n">
        <x:v>0</x:v>
      </x:c>
      <x:c r="AB2598"/>
      <x:c r="AC2598" t="n">
        <x:v>0</x:v>
      </x:c>
      <x:c r="AD2598" t="n">
        <x:v>-1.477775284089148</x:v>
      </x:c>
      <x:c r="AE2598" t="n">
        <x:v>0</x:v>
      </x:c>
      <x:c r="AF2598" t="n">
        <x:v>-0.027366474270820618</x:v>
      </x:c>
      <x:c r="AG2598" t="n">
        <x:f>_xlfn.XLOOKUP($A2598,Games!$A$2:$A$18,Games!$B$2:$B$18,"Missing game",0)</x:f>
        <x:v>2025</x:v>
      </x:c>
      <x:c r="AH2598" t="str">
        <x:f>_xlfn.XLOOKUP($A2598,Games!$A$2:$A$18,Games!$C$2:$C$18,"Missing game",0)</x:f>
        <x:v>REG</x:v>
      </x:c>
      <x:c r="AI2598" t="n">
        <x:f>_xlfn.XLOOKUP($A2598,Games!$A$2:$A$18,Games!$D$2:$D$18,"Missing game",0)</x:f>
        <x:v>17</x:v>
      </x:c>
      <x:c r="AJ2598" s="1" t="n">
        <x:f>_xlfn.XLOOKUP($A2598,Games!$A$2:$A$18,Games!$E$2:$E$18,"Missing game",0)</x:f>
        <x:v>46016</x:v>
      </x:c>
      <x:c r="AK2598" t="str">
        <x:f>_xlfn.XLOOKUP($A2598,Games!$A$2:$A$18,Games!$F$2:$F$18,"Missing game",0)</x:f>
        <x:v>Thursday</x:v>
      </x:c>
      <x:c r="AL2598" t="str">
        <x:f>_xlfn.XLOOKUP($A2598,Games!$A$2:$A$18,Games!$G$2:$G$18,"Missing game",0)</x:f>
        <x:v>DET</x:v>
      </x:c>
      <x:c r="AM2598" t="n">
        <x:f>_xlfn.XLOOKUP($A2598,Games!$A$2:$A$18,Games!$H$2:$H$18,"Missing game",0)</x:f>
        <x:v>10</x:v>
      </x:c>
      <x:c r="AN2598" t="str">
        <x:f>_xlfn.XLOOKUP($A2598,Games!$A$2:$A$18,Games!$I$2:$I$18,"Missing game",0)</x:f>
        <x:v>MIN</x:v>
      </x:c>
      <x:c r="AO2598" t="n">
        <x:f>_xlfn.XLOOKUP($A2598,Games!$A$2:$A$18,Games!$J$2:$J$18,"Missing game",0)</x:f>
        <x:v>23</x:v>
      </x:c>
      <x:c r="AP2598" t="n">
        <x:f>_xlfn.XLOOKUP($A2598,Games!$A$2:$A$18,Games!$K$2:$K$18,"Missing game",0)</x:f>
        <x:v>13</x:v>
      </x:c>
      <x:c r="AQ2598" t="n">
        <x:f>_xlfn.XLOOKUP($A2598,Games!$A$2:$A$18,Games!$L$2:$L$18,"Missing game",0)</x:f>
        <x:v>33</x:v>
      </x:c>
      <x:c r="AR2598" t="n">
        <x:f>_xlfn.XLOOKUP($A2598,Games!$A$2:$A$18,Games!$M$2:$M$18,"Missing game",0)</x:f>
        <x:v>0</x:v>
      </x:c>
      <x:c r="AS2598" t="str">
        <x:f>_xlfn.XLOOKUP($A2598,Games!$A$2:$A$18,Games!$N$2:$N$18,"Missing game",0)</x:f>
        <x:v>dome</x:v>
      </x:c>
      <x:c r="AT2598" t="str">
        <x:f>_xlfn.XLOOKUP($A2598,Games!$A$2:$A$18,Games!$O$2:$O$18,"Missing game",0)</x:f>
        <x:v>sportturf</x:v>
      </x:c>
      <x:c r="AU2598" t="str">
        <x:f>_xlfn.XLOOKUP($A2598,Games!$A$2:$A$18,Games!$P$2:$P$18,"Missing game",0)</x:f>
      </x:c>
      <x:c r="AV2598" t="str">
        <x:f>_xlfn.XLOOKUP($A2598,Games!$A$2:$A$18,Games!$Q$2:$Q$18,"Missing game",0)</x:f>
      </x:c>
      <x:c r="AW2598" t="str">
        <x:f>_xlfn.XLOOKUP($A2598,Games!$A$2:$A$18,Games!$R$2:$R$18,"Missing game",0)</x:f>
        <x:v>U.S. Bank Stadium</x:v>
      </x:c>
    </x:row>
    <x:row r="2599">
      <x:c r="A2599" t="str">
        <x:v>2025_17_DET_MIN</x:v>
      </x:c>
      <x:c r="B2599" t="n">
        <x:v>3040</x:v>
      </x:c>
      <x:c r="C2599" t="n">
        <x:v>4</x:v>
      </x:c>
      <x:c r="D2599" t="str">
        <x:v>09:39</x:v>
      </x:c>
      <x:c r="E2599" t="n">
        <x:v>3</x:v>
      </x:c>
      <x:c r="F2599" t="n">
        <x:v>13</x:v>
      </x:c>
      <x:c r="G2599" t="str">
        <x:v>DET</x:v>
      </x:c>
      <x:c r="H2599" t="str">
        <x:v>MIN</x:v>
      </x:c>
      <x:c r="I2599" t="str">
        <x:v>DET</x:v>
      </x:c>
      <x:c r="J2599" t="n">
        <x:v>76</x:v>
      </x:c>
      <x:c r="K2599" t="str">
        <x:v>(9:39) (Shotgun) 16-J.Goff pass short right to 14-A.St. Brown to DET 29 for 5 yards (2-I.Rodgers).</x:v>
      </x:c>
      <x:c r="L2599" t="str">
        <x:v>pass</x:v>
      </x:c>
      <x:c r="M2599" t="n">
        <x:v>5</x:v>
      </x:c>
      <x:c r="N2599" t="n">
        <x:v>1</x:v>
      </x:c>
      <x:c r="O2599" t="n">
        <x:v>0</x:v>
      </x:c>
      <x:c r="P2599" t="str">
        <x:v>short</x:v>
      </x:c>
      <x:c r="Q2599" t="str">
        <x:v>right</x:v>
      </x:c>
      <x:c r="R2599" t="n">
        <x:v>5</x:v>
      </x:c>
      <x:c r="S2599" t="n">
        <x:v>0</x:v>
      </x:c>
      <x:c r="T2599"/>
      <x:c r="U2599"/>
      <x:c r="V2599" t="n">
        <x:v>1</x:v>
      </x:c>
      <x:c r="W2599" t="n">
        <x:v>0</x:v>
      </x:c>
      <x:c r="X2599" t="n">
        <x:v>0</x:v>
      </x:c>
      <x:c r="Y2599" t="n">
        <x:v>0</x:v>
      </x:c>
      <x:c r="Z2599" t="n">
        <x:v>0</x:v>
      </x:c>
      <x:c r="AA2599" t="n">
        <x:v>0</x:v>
      </x:c>
      <x:c r="AB2599"/>
      <x:c r="AC2599" t="n">
        <x:v>0</x:v>
      </x:c>
      <x:c r="AD2599" t="n">
        <x:v>-0.4027354125864804</x:v>
      </x:c>
      <x:c r="AE2599" t="n">
        <x:v>0</x:v>
      </x:c>
      <x:c r="AF2599" t="n">
        <x:v>-0.01969803124666214</x:v>
      </x:c>
      <x:c r="AG2599" t="n">
        <x:f>_xlfn.XLOOKUP($A2599,Games!$A$2:$A$18,Games!$B$2:$B$18,"Missing game",0)</x:f>
        <x:v>2025</x:v>
      </x:c>
      <x:c r="AH2599" t="str">
        <x:f>_xlfn.XLOOKUP($A2599,Games!$A$2:$A$18,Games!$C$2:$C$18,"Missing game",0)</x:f>
        <x:v>REG</x:v>
      </x:c>
      <x:c r="AI2599" t="n">
        <x:f>_xlfn.XLOOKUP($A2599,Games!$A$2:$A$18,Games!$D$2:$D$18,"Missing game",0)</x:f>
        <x:v>17</x:v>
      </x:c>
      <x:c r="AJ2599" s="1" t="n">
        <x:f>_xlfn.XLOOKUP($A2599,Games!$A$2:$A$18,Games!$E$2:$E$18,"Missing game",0)</x:f>
        <x:v>46016</x:v>
      </x:c>
      <x:c r="AK2599" t="str">
        <x:f>_xlfn.XLOOKUP($A2599,Games!$A$2:$A$18,Games!$F$2:$F$18,"Missing game",0)</x:f>
        <x:v>Thursday</x:v>
      </x:c>
      <x:c r="AL2599" t="str">
        <x:f>_xlfn.XLOOKUP($A2599,Games!$A$2:$A$18,Games!$G$2:$G$18,"Missing game",0)</x:f>
        <x:v>DET</x:v>
      </x:c>
      <x:c r="AM2599" t="n">
        <x:f>_xlfn.XLOOKUP($A2599,Games!$A$2:$A$18,Games!$H$2:$H$18,"Missing game",0)</x:f>
        <x:v>10</x:v>
      </x:c>
      <x:c r="AN2599" t="str">
        <x:f>_xlfn.XLOOKUP($A2599,Games!$A$2:$A$18,Games!$I$2:$I$18,"Missing game",0)</x:f>
        <x:v>MIN</x:v>
      </x:c>
      <x:c r="AO2599" t="n">
        <x:f>_xlfn.XLOOKUP($A2599,Games!$A$2:$A$18,Games!$J$2:$J$18,"Missing game",0)</x:f>
        <x:v>23</x:v>
      </x:c>
      <x:c r="AP2599" t="n">
        <x:f>_xlfn.XLOOKUP($A2599,Games!$A$2:$A$18,Games!$K$2:$K$18,"Missing game",0)</x:f>
        <x:v>13</x:v>
      </x:c>
      <x:c r="AQ2599" t="n">
        <x:f>_xlfn.XLOOKUP($A2599,Games!$A$2:$A$18,Games!$L$2:$L$18,"Missing game",0)</x:f>
        <x:v>33</x:v>
      </x:c>
      <x:c r="AR2599" t="n">
        <x:f>_xlfn.XLOOKUP($A2599,Games!$A$2:$A$18,Games!$M$2:$M$18,"Missing game",0)</x:f>
        <x:v>0</x:v>
      </x:c>
      <x:c r="AS2599" t="str">
        <x:f>_xlfn.XLOOKUP($A2599,Games!$A$2:$A$18,Games!$N$2:$N$18,"Missing game",0)</x:f>
        <x:v>dome</x:v>
      </x:c>
      <x:c r="AT2599" t="str">
        <x:f>_xlfn.XLOOKUP($A2599,Games!$A$2:$A$18,Games!$O$2:$O$18,"Missing game",0)</x:f>
        <x:v>sportturf</x:v>
      </x:c>
      <x:c r="AU2599" t="str">
        <x:f>_xlfn.XLOOKUP($A2599,Games!$A$2:$A$18,Games!$P$2:$P$18,"Missing game",0)</x:f>
      </x:c>
      <x:c r="AV2599" t="str">
        <x:f>_xlfn.XLOOKUP($A2599,Games!$A$2:$A$18,Games!$Q$2:$Q$18,"Missing game",0)</x:f>
      </x:c>
      <x:c r="AW2599" t="str">
        <x:f>_xlfn.XLOOKUP($A2599,Games!$A$2:$A$18,Games!$R$2:$R$18,"Missing game",0)</x:f>
        <x:v>U.S. Bank Stadium</x:v>
      </x:c>
    </x:row>
    <x:row r="2600">
      <x:c r="A2600" t="str">
        <x:v>2025_17_DET_MIN</x:v>
      </x:c>
      <x:c r="B2600" t="n">
        <x:v>3065</x:v>
      </x:c>
      <x:c r="C2600" t="n">
        <x:v>4</x:v>
      </x:c>
      <x:c r="D2600" t="str">
        <x:v>09:01</x:v>
      </x:c>
      <x:c r="E2600" t="n">
        <x:v>4</x:v>
      </x:c>
      <x:c r="F2600" t="n">
        <x:v>8</x:v>
      </x:c>
      <x:c r="G2600" t="str">
        <x:v>DET</x:v>
      </x:c>
      <x:c r="H2600" t="str">
        <x:v>MIN</x:v>
      </x:c>
      <x:c r="I2600" t="str">
        <x:v>DET</x:v>
      </x:c>
      <x:c r="J2600" t="n">
        <x:v>71</x:v>
      </x:c>
      <x:c r="K2600" t="str">
        <x:v>(9:01) 3-J.Fox punts 70 yards to MIN 1, Center-49-H.Hatten, out of bounds.</x:v>
      </x:c>
      <x:c r="L2600" t="str">
        <x:v>punt</x:v>
      </x:c>
      <x:c r="M2600" t="n">
        <x:v>0</x:v>
      </x:c>
      <x:c r="N2600" t="n">
        <x:v>0</x:v>
      </x:c>
      <x:c r="O2600" t="n">
        <x:v>0</x:v>
      </x:c>
      <x:c r="P2600"/>
      <x:c r="Q2600"/>
      <x:c r="R2600"/>
      <x:c r="S2600"/>
      <x:c r="T2600"/>
      <x:c r="U2600"/>
      <x:c r="V2600" t="n">
        <x:v>0</x:v>
      </x:c>
      <x:c r="W2600" t="n">
        <x:v>0</x:v>
      </x:c>
      <x:c r="X2600" t="n">
        <x:v>0</x:v>
      </x:c>
      <x:c r="Y2600" t="n">
        <x:v>0</x:v>
      </x:c>
      <x:c r="Z2600" t="n">
        <x:v>0</x:v>
      </x:c>
      <x:c r="AA2600" t="n">
        <x:v>0</x:v>
      </x:c>
      <x:c r="AB2600"/>
      <x:c r="AC2600" t="n">
        <x:v>0</x:v>
      </x:c>
      <x:c r="AD2600" t="n">
        <x:v>1.4859572724672034</x:v>
      </x:c>
      <x:c r="AE2600" t="n">
        <x:v>1</x:v>
      </x:c>
      <x:c r="AF2600" t="n">
        <x:v>0.03657723218202591</x:v>
      </x:c>
      <x:c r="AG2600" t="n">
        <x:f>_xlfn.XLOOKUP($A2600,Games!$A$2:$A$18,Games!$B$2:$B$18,"Missing game",0)</x:f>
        <x:v>2025</x:v>
      </x:c>
      <x:c r="AH2600" t="str">
        <x:f>_xlfn.XLOOKUP($A2600,Games!$A$2:$A$18,Games!$C$2:$C$18,"Missing game",0)</x:f>
        <x:v>REG</x:v>
      </x:c>
      <x:c r="AI2600" t="n">
        <x:f>_xlfn.XLOOKUP($A2600,Games!$A$2:$A$18,Games!$D$2:$D$18,"Missing game",0)</x:f>
        <x:v>17</x:v>
      </x:c>
      <x:c r="AJ2600" s="1" t="n">
        <x:f>_xlfn.XLOOKUP($A2600,Games!$A$2:$A$18,Games!$E$2:$E$18,"Missing game",0)</x:f>
        <x:v>46016</x:v>
      </x:c>
      <x:c r="AK2600" t="str">
        <x:f>_xlfn.XLOOKUP($A2600,Games!$A$2:$A$18,Games!$F$2:$F$18,"Missing game",0)</x:f>
        <x:v>Thursday</x:v>
      </x:c>
      <x:c r="AL2600" t="str">
        <x:f>_xlfn.XLOOKUP($A2600,Games!$A$2:$A$18,Games!$G$2:$G$18,"Missing game",0)</x:f>
        <x:v>DET</x:v>
      </x:c>
      <x:c r="AM2600" t="n">
        <x:f>_xlfn.XLOOKUP($A2600,Games!$A$2:$A$18,Games!$H$2:$H$18,"Missing game",0)</x:f>
        <x:v>10</x:v>
      </x:c>
      <x:c r="AN2600" t="str">
        <x:f>_xlfn.XLOOKUP($A2600,Games!$A$2:$A$18,Games!$I$2:$I$18,"Missing game",0)</x:f>
        <x:v>MIN</x:v>
      </x:c>
      <x:c r="AO2600" t="n">
        <x:f>_xlfn.XLOOKUP($A2600,Games!$A$2:$A$18,Games!$J$2:$J$18,"Missing game",0)</x:f>
        <x:v>23</x:v>
      </x:c>
      <x:c r="AP2600" t="n">
        <x:f>_xlfn.XLOOKUP($A2600,Games!$A$2:$A$18,Games!$K$2:$K$18,"Missing game",0)</x:f>
        <x:v>13</x:v>
      </x:c>
      <x:c r="AQ2600" t="n">
        <x:f>_xlfn.XLOOKUP($A2600,Games!$A$2:$A$18,Games!$L$2:$L$18,"Missing game",0)</x:f>
        <x:v>33</x:v>
      </x:c>
      <x:c r="AR2600" t="n">
        <x:f>_xlfn.XLOOKUP($A2600,Games!$A$2:$A$18,Games!$M$2:$M$18,"Missing game",0)</x:f>
        <x:v>0</x:v>
      </x:c>
      <x:c r="AS2600" t="str">
        <x:f>_xlfn.XLOOKUP($A2600,Games!$A$2:$A$18,Games!$N$2:$N$18,"Missing game",0)</x:f>
        <x:v>dome</x:v>
      </x:c>
      <x:c r="AT2600" t="str">
        <x:f>_xlfn.XLOOKUP($A2600,Games!$A$2:$A$18,Games!$O$2:$O$18,"Missing game",0)</x:f>
        <x:v>sportturf</x:v>
      </x:c>
      <x:c r="AU2600" t="str">
        <x:f>_xlfn.XLOOKUP($A2600,Games!$A$2:$A$18,Games!$P$2:$P$18,"Missing game",0)</x:f>
      </x:c>
      <x:c r="AV2600" t="str">
        <x:f>_xlfn.XLOOKUP($A2600,Games!$A$2:$A$18,Games!$Q$2:$Q$18,"Missing game",0)</x:f>
      </x:c>
      <x:c r="AW2600" t="str">
        <x:f>_xlfn.XLOOKUP($A2600,Games!$A$2:$A$18,Games!$R$2:$R$18,"Missing game",0)</x:f>
        <x:v>U.S. Bank Stadium</x:v>
      </x:c>
    </x:row>
    <x:row r="2601">
      <x:c r="A2601" t="str">
        <x:v>2025_17_DET_MIN</x:v>
      </x:c>
      <x:c r="B2601" t="n">
        <x:v>3084</x:v>
      </x:c>
      <x:c r="C2601" t="n">
        <x:v>4</x:v>
      </x:c>
      <x:c r="D2601" t="str">
        <x:v>08:53</x:v>
      </x:c>
      <x:c r="E2601" t="n">
        <x:v>1</x:v>
      </x:c>
      <x:c r="F2601" t="n">
        <x:v>10</x:v>
      </x:c>
      <x:c r="G2601" t="str">
        <x:v>MIN</x:v>
      </x:c>
      <x:c r="H2601" t="str">
        <x:v>DET</x:v>
      </x:c>
      <x:c r="I2601" t="str">
        <x:v>MIN</x:v>
      </x:c>
      <x:c r="J2601" t="n">
        <x:v>99</x:v>
      </x:c>
      <x:c r="K2601" t="str">
        <x:v>(8:53) 32-T.Chandler up the middle to MIN 4 for 3 yards (92-M.Davenport).</x:v>
      </x:c>
      <x:c r="L2601" t="str">
        <x:v>run</x:v>
      </x:c>
      <x:c r="M2601" t="n">
        <x:v>3</x:v>
      </x:c>
      <x:c r="N2601" t="n">
        <x:v>0</x:v>
      </x:c>
      <x:c r="O2601" t="n">
        <x:v>0</x:v>
      </x:c>
      <x:c r="P2601"/>
      <x:c r="Q2601"/>
      <x:c r="R2601"/>
      <x:c r="S2601"/>
      <x:c r="T2601" t="str">
        <x:v>middle</x:v>
      </x:c>
      <x:c r="U2601"/>
      <x:c r="V2601" t="n">
        <x:v>0</x:v>
      </x:c>
      <x:c r="W2601" t="n">
        <x:v>0</x:v>
      </x:c>
      <x:c r="X2601" t="n">
        <x:v>0</x:v>
      </x:c>
      <x:c r="Y2601" t="n">
        <x:v>0</x:v>
      </x:c>
      <x:c r="Z2601" t="n">
        <x:v>0</x:v>
      </x:c>
      <x:c r="AA2601" t="n">
        <x:v>0</x:v>
      </x:c>
      <x:c r="AB2601"/>
      <x:c r="AC2601" t="n">
        <x:v>0</x:v>
      </x:c>
      <x:c r="AD2601" t="n">
        <x:v>-0.03211011877283454</x:v>
      </x:c>
      <x:c r="AE2601" t="n">
        <x:v>0</x:v>
      </x:c>
      <x:c r="AF2601" t="n">
        <x:v>-0.04752558469772339</x:v>
      </x:c>
      <x:c r="AG2601" t="n">
        <x:f>_xlfn.XLOOKUP($A2601,Games!$A$2:$A$18,Games!$B$2:$B$18,"Missing game",0)</x:f>
        <x:v>2025</x:v>
      </x:c>
      <x:c r="AH2601" t="str">
        <x:f>_xlfn.XLOOKUP($A2601,Games!$A$2:$A$18,Games!$C$2:$C$18,"Missing game",0)</x:f>
        <x:v>REG</x:v>
      </x:c>
      <x:c r="AI2601" t="n">
        <x:f>_xlfn.XLOOKUP($A2601,Games!$A$2:$A$18,Games!$D$2:$D$18,"Missing game",0)</x:f>
        <x:v>17</x:v>
      </x:c>
      <x:c r="AJ2601" s="1" t="n">
        <x:f>_xlfn.XLOOKUP($A2601,Games!$A$2:$A$18,Games!$E$2:$E$18,"Missing game",0)</x:f>
        <x:v>46016</x:v>
      </x:c>
      <x:c r="AK2601" t="str">
        <x:f>_xlfn.XLOOKUP($A2601,Games!$A$2:$A$18,Games!$F$2:$F$18,"Missing game",0)</x:f>
        <x:v>Thursday</x:v>
      </x:c>
      <x:c r="AL2601" t="str">
        <x:f>_xlfn.XLOOKUP($A2601,Games!$A$2:$A$18,Games!$G$2:$G$18,"Missing game",0)</x:f>
        <x:v>DET</x:v>
      </x:c>
      <x:c r="AM2601" t="n">
        <x:f>_xlfn.XLOOKUP($A2601,Games!$A$2:$A$18,Games!$H$2:$H$18,"Missing game",0)</x:f>
        <x:v>10</x:v>
      </x:c>
      <x:c r="AN2601" t="str">
        <x:f>_xlfn.XLOOKUP($A2601,Games!$A$2:$A$18,Games!$I$2:$I$18,"Missing game",0)</x:f>
        <x:v>MIN</x:v>
      </x:c>
      <x:c r="AO2601" t="n">
        <x:f>_xlfn.XLOOKUP($A2601,Games!$A$2:$A$18,Games!$J$2:$J$18,"Missing game",0)</x:f>
        <x:v>23</x:v>
      </x:c>
      <x:c r="AP2601" t="n">
        <x:f>_xlfn.XLOOKUP($A2601,Games!$A$2:$A$18,Games!$K$2:$K$18,"Missing game",0)</x:f>
        <x:v>13</x:v>
      </x:c>
      <x:c r="AQ2601" t="n">
        <x:f>_xlfn.XLOOKUP($A2601,Games!$A$2:$A$18,Games!$L$2:$L$18,"Missing game",0)</x:f>
        <x:v>33</x:v>
      </x:c>
      <x:c r="AR2601" t="n">
        <x:f>_xlfn.XLOOKUP($A2601,Games!$A$2:$A$18,Games!$M$2:$M$18,"Missing game",0)</x:f>
        <x:v>0</x:v>
      </x:c>
      <x:c r="AS2601" t="str">
        <x:f>_xlfn.XLOOKUP($A2601,Games!$A$2:$A$18,Games!$N$2:$N$18,"Missing game",0)</x:f>
        <x:v>dome</x:v>
      </x:c>
      <x:c r="AT2601" t="str">
        <x:f>_xlfn.XLOOKUP($A2601,Games!$A$2:$A$18,Games!$O$2:$O$18,"Missing game",0)</x:f>
        <x:v>sportturf</x:v>
      </x:c>
      <x:c r="AU2601" t="str">
        <x:f>_xlfn.XLOOKUP($A2601,Games!$A$2:$A$18,Games!$P$2:$P$18,"Missing game",0)</x:f>
      </x:c>
      <x:c r="AV2601" t="str">
        <x:f>_xlfn.XLOOKUP($A2601,Games!$A$2:$A$18,Games!$Q$2:$Q$18,"Missing game",0)</x:f>
      </x:c>
      <x:c r="AW2601" t="str">
        <x:f>_xlfn.XLOOKUP($A2601,Games!$A$2:$A$18,Games!$R$2:$R$18,"Missing game",0)</x:f>
        <x:v>U.S. Bank Stadium</x:v>
      </x:c>
    </x:row>
    <x:row r="2602">
      <x:c r="A2602" t="str">
        <x:v>2025_17_DET_MIN</x:v>
      </x:c>
      <x:c r="B2602" t="n">
        <x:v>3123</x:v>
      </x:c>
      <x:c r="C2602" t="n">
        <x:v>4</x:v>
      </x:c>
      <x:c r="D2602" t="str">
        <x:v>08:17</x:v>
      </x:c>
      <x:c r="E2602" t="n">
        <x:v>2</x:v>
      </x:c>
      <x:c r="F2602" t="n">
        <x:v>7</x:v>
      </x:c>
      <x:c r="G2602" t="str">
        <x:v>MIN</x:v>
      </x:c>
      <x:c r="H2602" t="str">
        <x:v>DET</x:v>
      </x:c>
      <x:c r="I2602" t="str">
        <x:v>MIN</x:v>
      </x:c>
      <x:c r="J2602" t="n">
        <x:v>96</x:v>
      </x:c>
      <x:c r="K2602" t="str">
        <x:v>(8:17) 32-T.Chandler up the middle to MIN 6 for 2 yards (44-M.Rodriguez; 13-J.Mills).</x:v>
      </x:c>
      <x:c r="L2602" t="str">
        <x:v>run</x:v>
      </x:c>
      <x:c r="M2602" t="n">
        <x:v>2</x:v>
      </x:c>
      <x:c r="N2602" t="n">
        <x:v>0</x:v>
      </x:c>
      <x:c r="O2602" t="n">
        <x:v>0</x:v>
      </x:c>
      <x:c r="P2602"/>
      <x:c r="Q2602"/>
      <x:c r="R2602"/>
      <x:c r="S2602"/>
      <x:c r="T2602" t="str">
        <x:v>middle</x:v>
      </x:c>
      <x:c r="U2602"/>
      <x:c r="V2602" t="n">
        <x:v>0</x:v>
      </x:c>
      <x:c r="W2602" t="n">
        <x:v>0</x:v>
      </x:c>
      <x:c r="X2602" t="n">
        <x:v>0</x:v>
      </x:c>
      <x:c r="Y2602" t="n">
        <x:v>0</x:v>
      </x:c>
      <x:c r="Z2602" t="n">
        <x:v>0</x:v>
      </x:c>
      <x:c r="AA2602" t="n">
        <x:v>0</x:v>
      </x:c>
      <x:c r="AB2602"/>
      <x:c r="AC2602" t="n">
        <x:v>0</x:v>
      </x:c>
      <x:c r="AD2602" t="n">
        <x:v>-0.3208694264758378</x:v>
      </x:c>
      <x:c r="AE2602" t="n">
        <x:v>0</x:v>
      </x:c>
      <x:c r="AF2602" t="n">
        <x:v>0.009058833122253418</x:v>
      </x:c>
      <x:c r="AG2602" t="n">
        <x:f>_xlfn.XLOOKUP($A2602,Games!$A$2:$A$18,Games!$B$2:$B$18,"Missing game",0)</x:f>
        <x:v>2025</x:v>
      </x:c>
      <x:c r="AH2602" t="str">
        <x:f>_xlfn.XLOOKUP($A2602,Games!$A$2:$A$18,Games!$C$2:$C$18,"Missing game",0)</x:f>
        <x:v>REG</x:v>
      </x:c>
      <x:c r="AI2602" t="n">
        <x:f>_xlfn.XLOOKUP($A2602,Games!$A$2:$A$18,Games!$D$2:$D$18,"Missing game",0)</x:f>
        <x:v>17</x:v>
      </x:c>
      <x:c r="AJ2602" s="1" t="n">
        <x:f>_xlfn.XLOOKUP($A2602,Games!$A$2:$A$18,Games!$E$2:$E$18,"Missing game",0)</x:f>
        <x:v>46016</x:v>
      </x:c>
      <x:c r="AK2602" t="str">
        <x:f>_xlfn.XLOOKUP($A2602,Games!$A$2:$A$18,Games!$F$2:$F$18,"Missing game",0)</x:f>
        <x:v>Thursday</x:v>
      </x:c>
      <x:c r="AL2602" t="str">
        <x:f>_xlfn.XLOOKUP($A2602,Games!$A$2:$A$18,Games!$G$2:$G$18,"Missing game",0)</x:f>
        <x:v>DET</x:v>
      </x:c>
      <x:c r="AM2602" t="n">
        <x:f>_xlfn.XLOOKUP($A2602,Games!$A$2:$A$18,Games!$H$2:$H$18,"Missing game",0)</x:f>
        <x:v>10</x:v>
      </x:c>
      <x:c r="AN2602" t="str">
        <x:f>_xlfn.XLOOKUP($A2602,Games!$A$2:$A$18,Games!$I$2:$I$18,"Missing game",0)</x:f>
        <x:v>MIN</x:v>
      </x:c>
      <x:c r="AO2602" t="n">
        <x:f>_xlfn.XLOOKUP($A2602,Games!$A$2:$A$18,Games!$J$2:$J$18,"Missing game",0)</x:f>
        <x:v>23</x:v>
      </x:c>
      <x:c r="AP2602" t="n">
        <x:f>_xlfn.XLOOKUP($A2602,Games!$A$2:$A$18,Games!$K$2:$K$18,"Missing game",0)</x:f>
        <x:v>13</x:v>
      </x:c>
      <x:c r="AQ2602" t="n">
        <x:f>_xlfn.XLOOKUP($A2602,Games!$A$2:$A$18,Games!$L$2:$L$18,"Missing game",0)</x:f>
        <x:v>33</x:v>
      </x:c>
      <x:c r="AR2602" t="n">
        <x:f>_xlfn.XLOOKUP($A2602,Games!$A$2:$A$18,Games!$M$2:$M$18,"Missing game",0)</x:f>
        <x:v>0</x:v>
      </x:c>
      <x:c r="AS2602" t="str">
        <x:f>_xlfn.XLOOKUP($A2602,Games!$A$2:$A$18,Games!$N$2:$N$18,"Missing game",0)</x:f>
        <x:v>dome</x:v>
      </x:c>
      <x:c r="AT2602" t="str">
        <x:f>_xlfn.XLOOKUP($A2602,Games!$A$2:$A$18,Games!$O$2:$O$18,"Missing game",0)</x:f>
        <x:v>sportturf</x:v>
      </x:c>
      <x:c r="AU2602" t="str">
        <x:f>_xlfn.XLOOKUP($A2602,Games!$A$2:$A$18,Games!$P$2:$P$18,"Missing game",0)</x:f>
      </x:c>
      <x:c r="AV2602" t="str">
        <x:f>_xlfn.XLOOKUP($A2602,Games!$A$2:$A$18,Games!$Q$2:$Q$18,"Missing game",0)</x:f>
      </x:c>
      <x:c r="AW2602" t="str">
        <x:f>_xlfn.XLOOKUP($A2602,Games!$A$2:$A$18,Games!$R$2:$R$18,"Missing game",0)</x:f>
        <x:v>U.S. Bank Stadium</x:v>
      </x:c>
    </x:row>
    <x:row r="2603">
      <x:c r="A2603" t="str">
        <x:v>2025_17_DET_MIN</x:v>
      </x:c>
      <x:c r="B2603" t="n">
        <x:v>3145</x:v>
      </x:c>
      <x:c r="C2603" t="n">
        <x:v>4</x:v>
      </x:c>
      <x:c r="D2603" t="str">
        <x:v>07:32</x:v>
      </x:c>
      <x:c r="E2603" t="n">
        <x:v>3</x:v>
      </x:c>
      <x:c r="F2603" t="n">
        <x:v>5</x:v>
      </x:c>
      <x:c r="G2603" t="str">
        <x:v>MIN</x:v>
      </x:c>
      <x:c r="H2603" t="str">
        <x:v>DET</x:v>
      </x:c>
      <x:c r="I2603" t="str">
        <x:v>MIN</x:v>
      </x:c>
      <x:c r="J2603" t="n">
        <x:v>94</x:v>
      </x:c>
      <x:c r="K2603" t="str">
        <x:v>(7:32) 12-M.Brosmer pass incomplete short left to 1-J.Nailor [51-R.Lopez].</x:v>
      </x:c>
      <x:c r="L2603" t="str">
        <x:v>pass</x:v>
      </x:c>
      <x:c r="M2603" t="n">
        <x:v>0</x:v>
      </x:c>
      <x:c r="N2603" t="n">
        <x:v>0</x:v>
      </x:c>
      <x:c r="O2603" t="n">
        <x:v>0</x:v>
      </x:c>
      <x:c r="P2603" t="str">
        <x:v>short</x:v>
      </x:c>
      <x:c r="Q2603" t="str">
        <x:v>left</x:v>
      </x:c>
      <x:c r="R2603" t="n">
        <x:v>2</x:v>
      </x:c>
      <x:c r="S2603"/>
      <x:c r="T2603"/>
      <x:c r="U2603"/>
      <x:c r="V2603" t="n">
        <x:v>0</x:v>
      </x:c>
      <x:c r="W2603" t="n">
        <x:v>0</x:v>
      </x:c>
      <x:c r="X2603" t="n">
        <x:v>0</x:v>
      </x:c>
      <x:c r="Y2603" t="n">
        <x:v>0</x:v>
      </x:c>
      <x:c r="Z2603" t="n">
        <x:v>0</x:v>
      </x:c>
      <x:c r="AA2603" t="n">
        <x:v>0</x:v>
      </x:c>
      <x:c r="AB2603"/>
      <x:c r="AC2603" t="n">
        <x:v>0</x:v>
      </x:c>
      <x:c r="AD2603" t="n">
        <x:v>-1.3053619744023308</x:v>
      </x:c>
      <x:c r="AE2603" t="n">
        <x:v>0</x:v>
      </x:c>
      <x:c r="AF2603" t="n">
        <x:v>-0.09080523252487183</x:v>
      </x:c>
      <x:c r="AG2603" t="n">
        <x:f>_xlfn.XLOOKUP($A2603,Games!$A$2:$A$18,Games!$B$2:$B$18,"Missing game",0)</x:f>
        <x:v>2025</x:v>
      </x:c>
      <x:c r="AH2603" t="str">
        <x:f>_xlfn.XLOOKUP($A2603,Games!$A$2:$A$18,Games!$C$2:$C$18,"Missing game",0)</x:f>
        <x:v>REG</x:v>
      </x:c>
      <x:c r="AI2603" t="n">
        <x:f>_xlfn.XLOOKUP($A2603,Games!$A$2:$A$18,Games!$D$2:$D$18,"Missing game",0)</x:f>
        <x:v>17</x:v>
      </x:c>
      <x:c r="AJ2603" s="1" t="n">
        <x:f>_xlfn.XLOOKUP($A2603,Games!$A$2:$A$18,Games!$E$2:$E$18,"Missing game",0)</x:f>
        <x:v>46016</x:v>
      </x:c>
      <x:c r="AK2603" t="str">
        <x:f>_xlfn.XLOOKUP($A2603,Games!$A$2:$A$18,Games!$F$2:$F$18,"Missing game",0)</x:f>
        <x:v>Thursday</x:v>
      </x:c>
      <x:c r="AL2603" t="str">
        <x:f>_xlfn.XLOOKUP($A2603,Games!$A$2:$A$18,Games!$G$2:$G$18,"Missing game",0)</x:f>
        <x:v>DET</x:v>
      </x:c>
      <x:c r="AM2603" t="n">
        <x:f>_xlfn.XLOOKUP($A2603,Games!$A$2:$A$18,Games!$H$2:$H$18,"Missing game",0)</x:f>
        <x:v>10</x:v>
      </x:c>
      <x:c r="AN2603" t="str">
        <x:f>_xlfn.XLOOKUP($A2603,Games!$A$2:$A$18,Games!$I$2:$I$18,"Missing game",0)</x:f>
        <x:v>MIN</x:v>
      </x:c>
      <x:c r="AO2603" t="n">
        <x:f>_xlfn.XLOOKUP($A2603,Games!$A$2:$A$18,Games!$J$2:$J$18,"Missing game",0)</x:f>
        <x:v>23</x:v>
      </x:c>
      <x:c r="AP2603" t="n">
        <x:f>_xlfn.XLOOKUP($A2603,Games!$A$2:$A$18,Games!$K$2:$K$18,"Missing game",0)</x:f>
        <x:v>13</x:v>
      </x:c>
      <x:c r="AQ2603" t="n">
        <x:f>_xlfn.XLOOKUP($A2603,Games!$A$2:$A$18,Games!$L$2:$L$18,"Missing game",0)</x:f>
        <x:v>33</x:v>
      </x:c>
      <x:c r="AR2603" t="n">
        <x:f>_xlfn.XLOOKUP($A2603,Games!$A$2:$A$18,Games!$M$2:$M$18,"Missing game",0)</x:f>
        <x:v>0</x:v>
      </x:c>
      <x:c r="AS2603" t="str">
        <x:f>_xlfn.XLOOKUP($A2603,Games!$A$2:$A$18,Games!$N$2:$N$18,"Missing game",0)</x:f>
        <x:v>dome</x:v>
      </x:c>
      <x:c r="AT2603" t="str">
        <x:f>_xlfn.XLOOKUP($A2603,Games!$A$2:$A$18,Games!$O$2:$O$18,"Missing game",0)</x:f>
        <x:v>sportturf</x:v>
      </x:c>
      <x:c r="AU2603" t="str">
        <x:f>_xlfn.XLOOKUP($A2603,Games!$A$2:$A$18,Games!$P$2:$P$18,"Missing game",0)</x:f>
      </x:c>
      <x:c r="AV2603" t="str">
        <x:f>_xlfn.XLOOKUP($A2603,Games!$A$2:$A$18,Games!$Q$2:$Q$18,"Missing game",0)</x:f>
      </x:c>
      <x:c r="AW2603" t="str">
        <x:f>_xlfn.XLOOKUP($A2603,Games!$A$2:$A$18,Games!$R$2:$R$18,"Missing game",0)</x:f>
        <x:v>U.S. Bank Stadium</x:v>
      </x:c>
    </x:row>
    <x:row r="2604">
      <x:c r="A2604" t="str">
        <x:v>2025_17_DET_MIN</x:v>
      </x:c>
      <x:c r="B2604" t="n">
        <x:v>3168</x:v>
      </x:c>
      <x:c r="C2604" t="n">
        <x:v>4</x:v>
      </x:c>
      <x:c r="D2604" t="str">
        <x:v>07:24</x:v>
      </x:c>
      <x:c r="E2604" t="n">
        <x:v>4</x:v>
      </x:c>
      <x:c r="F2604" t="n">
        <x:v>5</x:v>
      </x:c>
      <x:c r="G2604" t="str">
        <x:v>MIN</x:v>
      </x:c>
      <x:c r="H2604" t="str">
        <x:v>DET</x:v>
      </x:c>
      <x:c r="I2604" t="str">
        <x:v>MIN</x:v>
      </x:c>
      <x:c r="J2604" t="n">
        <x:v>94</x:v>
      </x:c>
      <x:c r="K2604" t="str">
        <x:v>(7:24) 17-R.Wright punts 63 yards to DET 31, Center-42-A.DePaola. 11-K.Raymond to DET 45 for 14 yards (30-C.Ham; 36-Z.Scott).</x:v>
      </x:c>
      <x:c r="L2604" t="str">
        <x:v>punt</x:v>
      </x:c>
      <x:c r="M2604" t="n">
        <x:v>0</x:v>
      </x:c>
      <x:c r="N2604" t="n">
        <x:v>0</x:v>
      </x:c>
      <x:c r="O2604" t="n">
        <x:v>0</x:v>
      </x:c>
      <x:c r="P2604"/>
      <x:c r="Q2604"/>
      <x:c r="R2604"/>
      <x:c r="S2604"/>
      <x:c r="T2604"/>
      <x:c r="U2604"/>
      <x:c r="V2604" t="n">
        <x:v>0</x:v>
      </x:c>
      <x:c r="W2604" t="n">
        <x:v>0</x:v>
      </x:c>
      <x:c r="X2604" t="n">
        <x:v>0</x:v>
      </x:c>
      <x:c r="Y2604" t="n">
        <x:v>0</x:v>
      </x:c>
      <x:c r="Z2604" t="n">
        <x:v>0</x:v>
      </x:c>
      <x:c r="AA2604" t="n">
        <x:v>0</x:v>
      </x:c>
      <x:c r="AB2604"/>
      <x:c r="AC2604" t="n">
        <x:v>0</x:v>
      </x:c>
      <x:c r="AD2604" t="n">
        <x:v>-0.41392590128816664</x:v>
      </x:c>
      <x:c r="AE2604" t="n">
        <x:v>0</x:v>
      </x:c>
      <x:c r="AF2604" t="n">
        <x:v>0.06218501925468445</x:v>
      </x:c>
      <x:c r="AG2604" t="n">
        <x:f>_xlfn.XLOOKUP($A2604,Games!$A$2:$A$18,Games!$B$2:$B$18,"Missing game",0)</x:f>
        <x:v>2025</x:v>
      </x:c>
      <x:c r="AH2604" t="str">
        <x:f>_xlfn.XLOOKUP($A2604,Games!$A$2:$A$18,Games!$C$2:$C$18,"Missing game",0)</x:f>
        <x:v>REG</x:v>
      </x:c>
      <x:c r="AI2604" t="n">
        <x:f>_xlfn.XLOOKUP($A2604,Games!$A$2:$A$18,Games!$D$2:$D$18,"Missing game",0)</x:f>
        <x:v>17</x:v>
      </x:c>
      <x:c r="AJ2604" s="1" t="n">
        <x:f>_xlfn.XLOOKUP($A2604,Games!$A$2:$A$18,Games!$E$2:$E$18,"Missing game",0)</x:f>
        <x:v>46016</x:v>
      </x:c>
      <x:c r="AK2604" t="str">
        <x:f>_xlfn.XLOOKUP($A2604,Games!$A$2:$A$18,Games!$F$2:$F$18,"Missing game",0)</x:f>
        <x:v>Thursday</x:v>
      </x:c>
      <x:c r="AL2604" t="str">
        <x:f>_xlfn.XLOOKUP($A2604,Games!$A$2:$A$18,Games!$G$2:$G$18,"Missing game",0)</x:f>
        <x:v>DET</x:v>
      </x:c>
      <x:c r="AM2604" t="n">
        <x:f>_xlfn.XLOOKUP($A2604,Games!$A$2:$A$18,Games!$H$2:$H$18,"Missing game",0)</x:f>
        <x:v>10</x:v>
      </x:c>
      <x:c r="AN2604" t="str">
        <x:f>_xlfn.XLOOKUP($A2604,Games!$A$2:$A$18,Games!$I$2:$I$18,"Missing game",0)</x:f>
        <x:v>MIN</x:v>
      </x:c>
      <x:c r="AO2604" t="n">
        <x:f>_xlfn.XLOOKUP($A2604,Games!$A$2:$A$18,Games!$J$2:$J$18,"Missing game",0)</x:f>
        <x:v>23</x:v>
      </x:c>
      <x:c r="AP2604" t="n">
        <x:f>_xlfn.XLOOKUP($A2604,Games!$A$2:$A$18,Games!$K$2:$K$18,"Missing game",0)</x:f>
        <x:v>13</x:v>
      </x:c>
      <x:c r="AQ2604" t="n">
        <x:f>_xlfn.XLOOKUP($A2604,Games!$A$2:$A$18,Games!$L$2:$L$18,"Missing game",0)</x:f>
        <x:v>33</x:v>
      </x:c>
      <x:c r="AR2604" t="n">
        <x:f>_xlfn.XLOOKUP($A2604,Games!$A$2:$A$18,Games!$M$2:$M$18,"Missing game",0)</x:f>
        <x:v>0</x:v>
      </x:c>
      <x:c r="AS2604" t="str">
        <x:f>_xlfn.XLOOKUP($A2604,Games!$A$2:$A$18,Games!$N$2:$N$18,"Missing game",0)</x:f>
        <x:v>dome</x:v>
      </x:c>
      <x:c r="AT2604" t="str">
        <x:f>_xlfn.XLOOKUP($A2604,Games!$A$2:$A$18,Games!$O$2:$O$18,"Missing game",0)</x:f>
        <x:v>sportturf</x:v>
      </x:c>
      <x:c r="AU2604" t="str">
        <x:f>_xlfn.XLOOKUP($A2604,Games!$A$2:$A$18,Games!$P$2:$P$18,"Missing game",0)</x:f>
      </x:c>
      <x:c r="AV2604" t="str">
        <x:f>_xlfn.XLOOKUP($A2604,Games!$A$2:$A$18,Games!$Q$2:$Q$18,"Missing game",0)</x:f>
      </x:c>
      <x:c r="AW2604" t="str">
        <x:f>_xlfn.XLOOKUP($A2604,Games!$A$2:$A$18,Games!$R$2:$R$18,"Missing game",0)</x:f>
        <x:v>U.S. Bank Stadium</x:v>
      </x:c>
    </x:row>
    <x:row r="2605">
      <x:c r="A2605" t="str">
        <x:v>2025_17_DET_MIN</x:v>
      </x:c>
      <x:c r="B2605" t="n">
        <x:v>3194</x:v>
      </x:c>
      <x:c r="C2605" t="n">
        <x:v>4</x:v>
      </x:c>
      <x:c r="D2605" t="str">
        <x:v>07:12</x:v>
      </x:c>
      <x:c r="E2605" t="n">
        <x:v>1</x:v>
      </x:c>
      <x:c r="F2605" t="n">
        <x:v>10</x:v>
      </x:c>
      <x:c r="G2605" t="str">
        <x:v>DET</x:v>
      </x:c>
      <x:c r="H2605" t="str">
        <x:v>MIN</x:v>
      </x:c>
      <x:c r="I2605" t="str">
        <x:v>DET</x:v>
      </x:c>
      <x:c r="J2605" t="n">
        <x:v>55</x:v>
      </x:c>
      <x:c r="K2605" t="str">
        <x:v>(7:12) 16-J.Goff pass short left to 5-D.Montgomery to MIN 42 for 13 yards (51-B.Cashman).</x:v>
      </x:c>
      <x:c r="L2605" t="str">
        <x:v>pass</x:v>
      </x:c>
      <x:c r="M2605" t="n">
        <x:v>13</x:v>
      </x:c>
      <x:c r="N2605" t="n">
        <x:v>0</x:v>
      </x:c>
      <x:c r="O2605" t="n">
        <x:v>0</x:v>
      </x:c>
      <x:c r="P2605" t="str">
        <x:v>short</x:v>
      </x:c>
      <x:c r="Q2605" t="str">
        <x:v>left</x:v>
      </x:c>
      <x:c r="R2605" t="n">
        <x:v>-1</x:v>
      </x:c>
      <x:c r="S2605" t="n">
        <x:v>14</x:v>
      </x:c>
      <x:c r="T2605"/>
      <x:c r="U2605"/>
      <x:c r="V2605" t="n">
        <x:v>1</x:v>
      </x:c>
      <x:c r="W2605" t="n">
        <x:v>1</x:v>
      </x:c>
      <x:c r="X2605" t="n">
        <x:v>0</x:v>
      </x:c>
      <x:c r="Y2605" t="n">
        <x:v>0</x:v>
      </x:c>
      <x:c r="Z2605" t="n">
        <x:v>0</x:v>
      </x:c>
      <x:c r="AA2605" t="n">
        <x:v>0</x:v>
      </x:c>
      <x:c r="AB2605"/>
      <x:c r="AC2605" t="n">
        <x:v>0</x:v>
      </x:c>
      <x:c r="AD2605" t="n">
        <x:v>0.7995269356761128</x:v>
      </x:c>
      <x:c r="AE2605" t="n">
        <x:v>1</x:v>
      </x:c>
      <x:c r="AF2605" t="n">
        <x:v>0.021596312522888184</x:v>
      </x:c>
      <x:c r="AG2605" t="n">
        <x:f>_xlfn.XLOOKUP($A2605,Games!$A$2:$A$18,Games!$B$2:$B$18,"Missing game",0)</x:f>
        <x:v>2025</x:v>
      </x:c>
      <x:c r="AH2605" t="str">
        <x:f>_xlfn.XLOOKUP($A2605,Games!$A$2:$A$18,Games!$C$2:$C$18,"Missing game",0)</x:f>
        <x:v>REG</x:v>
      </x:c>
      <x:c r="AI2605" t="n">
        <x:f>_xlfn.XLOOKUP($A2605,Games!$A$2:$A$18,Games!$D$2:$D$18,"Missing game",0)</x:f>
        <x:v>17</x:v>
      </x:c>
      <x:c r="AJ2605" s="1" t="n">
        <x:f>_xlfn.XLOOKUP($A2605,Games!$A$2:$A$18,Games!$E$2:$E$18,"Missing game",0)</x:f>
        <x:v>46016</x:v>
      </x:c>
      <x:c r="AK2605" t="str">
        <x:f>_xlfn.XLOOKUP($A2605,Games!$A$2:$A$18,Games!$F$2:$F$18,"Missing game",0)</x:f>
        <x:v>Thursday</x:v>
      </x:c>
      <x:c r="AL2605" t="str">
        <x:f>_xlfn.XLOOKUP($A2605,Games!$A$2:$A$18,Games!$G$2:$G$18,"Missing game",0)</x:f>
        <x:v>DET</x:v>
      </x:c>
      <x:c r="AM2605" t="n">
        <x:f>_xlfn.XLOOKUP($A2605,Games!$A$2:$A$18,Games!$H$2:$H$18,"Missing game",0)</x:f>
        <x:v>10</x:v>
      </x:c>
      <x:c r="AN2605" t="str">
        <x:f>_xlfn.XLOOKUP($A2605,Games!$A$2:$A$18,Games!$I$2:$I$18,"Missing game",0)</x:f>
        <x:v>MIN</x:v>
      </x:c>
      <x:c r="AO2605" t="n">
        <x:f>_xlfn.XLOOKUP($A2605,Games!$A$2:$A$18,Games!$J$2:$J$18,"Missing game",0)</x:f>
        <x:v>23</x:v>
      </x:c>
      <x:c r="AP2605" t="n">
        <x:f>_xlfn.XLOOKUP($A2605,Games!$A$2:$A$18,Games!$K$2:$K$18,"Missing game",0)</x:f>
        <x:v>13</x:v>
      </x:c>
      <x:c r="AQ2605" t="n">
        <x:f>_xlfn.XLOOKUP($A2605,Games!$A$2:$A$18,Games!$L$2:$L$18,"Missing game",0)</x:f>
        <x:v>33</x:v>
      </x:c>
      <x:c r="AR2605" t="n">
        <x:f>_xlfn.XLOOKUP($A2605,Games!$A$2:$A$18,Games!$M$2:$M$18,"Missing game",0)</x:f>
        <x:v>0</x:v>
      </x:c>
      <x:c r="AS2605" t="str">
        <x:f>_xlfn.XLOOKUP($A2605,Games!$A$2:$A$18,Games!$N$2:$N$18,"Missing game",0)</x:f>
        <x:v>dome</x:v>
      </x:c>
      <x:c r="AT2605" t="str">
        <x:f>_xlfn.XLOOKUP($A2605,Games!$A$2:$A$18,Games!$O$2:$O$18,"Missing game",0)</x:f>
        <x:v>sportturf</x:v>
      </x:c>
      <x:c r="AU2605" t="str">
        <x:f>_xlfn.XLOOKUP($A2605,Games!$A$2:$A$18,Games!$P$2:$P$18,"Missing game",0)</x:f>
      </x:c>
      <x:c r="AV2605" t="str">
        <x:f>_xlfn.XLOOKUP($A2605,Games!$A$2:$A$18,Games!$Q$2:$Q$18,"Missing game",0)</x:f>
      </x:c>
      <x:c r="AW2605" t="str">
        <x:f>_xlfn.XLOOKUP($A2605,Games!$A$2:$A$18,Games!$R$2:$R$18,"Missing game",0)</x:f>
        <x:v>U.S. Bank Stadium</x:v>
      </x:c>
    </x:row>
    <x:row r="2606">
      <x:c r="A2606" t="str">
        <x:v>2025_17_DET_MIN</x:v>
      </x:c>
      <x:c r="B2606" t="n">
        <x:v>3219</x:v>
      </x:c>
      <x:c r="C2606" t="n">
        <x:v>4</x:v>
      </x:c>
      <x:c r="D2606" t="str">
        <x:v>06:33</x:v>
      </x:c>
      <x:c r="E2606" t="n">
        <x:v>1</x:v>
      </x:c>
      <x:c r="F2606" t="n">
        <x:v>10</x:v>
      </x:c>
      <x:c r="G2606" t="str">
        <x:v>DET</x:v>
      </x:c>
      <x:c r="H2606" t="str">
        <x:v>MIN</x:v>
      </x:c>
      <x:c r="I2606" t="str">
        <x:v>MIN</x:v>
      </x:c>
      <x:c r="J2606" t="n">
        <x:v>42</x:v>
      </x:c>
      <x:c r="K2606" t="str">
        <x:v>(6:33) 16-J.Goff pass short right to 5-D.Montgomery to MIN 40 for 2 yards (7-B.Murphy).</x:v>
      </x:c>
      <x:c r="L2606" t="str">
        <x:v>pass</x:v>
      </x:c>
      <x:c r="M2606" t="n">
        <x:v>2</x:v>
      </x:c>
      <x:c r="N2606" t="n">
        <x:v>0</x:v>
      </x:c>
      <x:c r="O2606" t="n">
        <x:v>0</x:v>
      </x:c>
      <x:c r="P2606" t="str">
        <x:v>short</x:v>
      </x:c>
      <x:c r="Q2606" t="str">
        <x:v>right</x:v>
      </x:c>
      <x:c r="R2606" t="n">
        <x:v>-6</x:v>
      </x:c>
      <x:c r="S2606" t="n">
        <x:v>8</x:v>
      </x:c>
      <x:c r="T2606"/>
      <x:c r="U2606"/>
      <x:c r="V2606" t="n">
        <x:v>1</x:v>
      </x:c>
      <x:c r="W2606" t="n">
        <x:v>0</x:v>
      </x:c>
      <x:c r="X2606" t="n">
        <x:v>0</x:v>
      </x:c>
      <x:c r="Y2606" t="n">
        <x:v>0</x:v>
      </x:c>
      <x:c r="Z2606" t="n">
        <x:v>0</x:v>
      </x:c>
      <x:c r="AA2606" t="n">
        <x:v>0</x:v>
      </x:c>
      <x:c r="AB2606"/>
      <x:c r="AC2606" t="n">
        <x:v>0</x:v>
      </x:c>
      <x:c r="AD2606" t="n">
        <x:v>-0.363243596162647</x:v>
      </x:c>
      <x:c r="AE2606" t="n">
        <x:v>0</x:v>
      </x:c>
      <x:c r="AF2606" t="n">
        <x:v>-0.013838052749633789</x:v>
      </x:c>
      <x:c r="AG2606" t="n">
        <x:f>_xlfn.XLOOKUP($A2606,Games!$A$2:$A$18,Games!$B$2:$B$18,"Missing game",0)</x:f>
        <x:v>2025</x:v>
      </x:c>
      <x:c r="AH2606" t="str">
        <x:f>_xlfn.XLOOKUP($A2606,Games!$A$2:$A$18,Games!$C$2:$C$18,"Missing game",0)</x:f>
        <x:v>REG</x:v>
      </x:c>
      <x:c r="AI2606" t="n">
        <x:f>_xlfn.XLOOKUP($A2606,Games!$A$2:$A$18,Games!$D$2:$D$18,"Missing game",0)</x:f>
        <x:v>17</x:v>
      </x:c>
      <x:c r="AJ2606" s="1" t="n">
        <x:f>_xlfn.XLOOKUP($A2606,Games!$A$2:$A$18,Games!$E$2:$E$18,"Missing game",0)</x:f>
        <x:v>46016</x:v>
      </x:c>
      <x:c r="AK2606" t="str">
        <x:f>_xlfn.XLOOKUP($A2606,Games!$A$2:$A$18,Games!$F$2:$F$18,"Missing game",0)</x:f>
        <x:v>Thursday</x:v>
      </x:c>
      <x:c r="AL2606" t="str">
        <x:f>_xlfn.XLOOKUP($A2606,Games!$A$2:$A$18,Games!$G$2:$G$18,"Missing game",0)</x:f>
        <x:v>DET</x:v>
      </x:c>
      <x:c r="AM2606" t="n">
        <x:f>_xlfn.XLOOKUP($A2606,Games!$A$2:$A$18,Games!$H$2:$H$18,"Missing game",0)</x:f>
        <x:v>10</x:v>
      </x:c>
      <x:c r="AN2606" t="str">
        <x:f>_xlfn.XLOOKUP($A2606,Games!$A$2:$A$18,Games!$I$2:$I$18,"Missing game",0)</x:f>
        <x:v>MIN</x:v>
      </x:c>
      <x:c r="AO2606" t="n">
        <x:f>_xlfn.XLOOKUP($A2606,Games!$A$2:$A$18,Games!$J$2:$J$18,"Missing game",0)</x:f>
        <x:v>23</x:v>
      </x:c>
      <x:c r="AP2606" t="n">
        <x:f>_xlfn.XLOOKUP($A2606,Games!$A$2:$A$18,Games!$K$2:$K$18,"Missing game",0)</x:f>
        <x:v>13</x:v>
      </x:c>
      <x:c r="AQ2606" t="n">
        <x:f>_xlfn.XLOOKUP($A2606,Games!$A$2:$A$18,Games!$L$2:$L$18,"Missing game",0)</x:f>
        <x:v>33</x:v>
      </x:c>
      <x:c r="AR2606" t="n">
        <x:f>_xlfn.XLOOKUP($A2606,Games!$A$2:$A$18,Games!$M$2:$M$18,"Missing game",0)</x:f>
        <x:v>0</x:v>
      </x:c>
      <x:c r="AS2606" t="str">
        <x:f>_xlfn.XLOOKUP($A2606,Games!$A$2:$A$18,Games!$N$2:$N$18,"Missing game",0)</x:f>
        <x:v>dome</x:v>
      </x:c>
      <x:c r="AT2606" t="str">
        <x:f>_xlfn.XLOOKUP($A2606,Games!$A$2:$A$18,Games!$O$2:$O$18,"Missing game",0)</x:f>
        <x:v>sportturf</x:v>
      </x:c>
      <x:c r="AU2606" t="str">
        <x:f>_xlfn.XLOOKUP($A2606,Games!$A$2:$A$18,Games!$P$2:$P$18,"Missing game",0)</x:f>
      </x:c>
      <x:c r="AV2606" t="str">
        <x:f>_xlfn.XLOOKUP($A2606,Games!$A$2:$A$18,Games!$Q$2:$Q$18,"Missing game",0)</x:f>
      </x:c>
      <x:c r="AW2606" t="str">
        <x:f>_xlfn.XLOOKUP($A2606,Games!$A$2:$A$18,Games!$R$2:$R$18,"Missing game",0)</x:f>
        <x:v>U.S. Bank Stadium</x:v>
      </x:c>
    </x:row>
    <x:row r="2607">
      <x:c r="A2607" t="str">
        <x:v>2025_17_DET_MIN</x:v>
      </x:c>
      <x:c r="B2607" t="n">
        <x:v>3244</x:v>
      </x:c>
      <x:c r="C2607" t="n">
        <x:v>4</x:v>
      </x:c>
      <x:c r="D2607" t="str">
        <x:v>05:56</x:v>
      </x:c>
      <x:c r="E2607" t="n">
        <x:v>2</x:v>
      </x:c>
      <x:c r="F2607" t="n">
        <x:v>8</x:v>
      </x:c>
      <x:c r="G2607" t="str">
        <x:v>DET</x:v>
      </x:c>
      <x:c r="H2607" t="str">
        <x:v>MIN</x:v>
      </x:c>
      <x:c r="I2607" t="str">
        <x:v>MIN</x:v>
      </x:c>
      <x:c r="J2607" t="n">
        <x:v>40</x:v>
      </x:c>
      <x:c r="K2607" t="str">
        <x:v>(5:56) 5-D.Montgomery right tackle to MIN 32 for 8 yards (51-B.Cashman; 26-T.Jackson). MIN-26-T.Jackson was injured during the play.</x:v>
      </x:c>
      <x:c r="L2607" t="str">
        <x:v>run</x:v>
      </x:c>
      <x:c r="M2607" t="n">
        <x:v>8</x:v>
      </x:c>
      <x:c r="N2607" t="n">
        <x:v>0</x:v>
      </x:c>
      <x:c r="O2607" t="n">
        <x:v>0</x:v>
      </x:c>
      <x:c r="P2607"/>
      <x:c r="Q2607"/>
      <x:c r="R2607"/>
      <x:c r="S2607"/>
      <x:c r="T2607" t="str">
        <x:v>right</x:v>
      </x:c>
      <x:c r="U2607" t="str">
        <x:v>tackle</x:v>
      </x:c>
      <x:c r="V2607" t="n">
        <x:v>0</x:v>
      </x:c>
      <x:c r="W2607" t="n">
        <x:v>1</x:v>
      </x:c>
      <x:c r="X2607" t="n">
        <x:v>0</x:v>
      </x:c>
      <x:c r="Y2607" t="n">
        <x:v>0</x:v>
      </x:c>
      <x:c r="Z2607" t="n">
        <x:v>0</x:v>
      </x:c>
      <x:c r="AA2607" t="n">
        <x:v>0</x:v>
      </x:c>
      <x:c r="AB2607"/>
      <x:c r="AC2607" t="n">
        <x:v>0</x:v>
      </x:c>
      <x:c r="AD2607" t="n">
        <x:v>0.9789472694974393</x:v>
      </x:c>
      <x:c r="AE2607" t="n">
        <x:v>1</x:v>
      </x:c>
      <x:c r="AF2607" t="n">
        <x:v>0.0306226909160614</x:v>
      </x:c>
      <x:c r="AG2607" t="n">
        <x:f>_xlfn.XLOOKUP($A2607,Games!$A$2:$A$18,Games!$B$2:$B$18,"Missing game",0)</x:f>
        <x:v>2025</x:v>
      </x:c>
      <x:c r="AH2607" t="str">
        <x:f>_xlfn.XLOOKUP($A2607,Games!$A$2:$A$18,Games!$C$2:$C$18,"Missing game",0)</x:f>
        <x:v>REG</x:v>
      </x:c>
      <x:c r="AI2607" t="n">
        <x:f>_xlfn.XLOOKUP($A2607,Games!$A$2:$A$18,Games!$D$2:$D$18,"Missing game",0)</x:f>
        <x:v>17</x:v>
      </x:c>
      <x:c r="AJ2607" s="1" t="n">
        <x:f>_xlfn.XLOOKUP($A2607,Games!$A$2:$A$18,Games!$E$2:$E$18,"Missing game",0)</x:f>
        <x:v>46016</x:v>
      </x:c>
      <x:c r="AK2607" t="str">
        <x:f>_xlfn.XLOOKUP($A2607,Games!$A$2:$A$18,Games!$F$2:$F$18,"Missing game",0)</x:f>
        <x:v>Thursday</x:v>
      </x:c>
      <x:c r="AL2607" t="str">
        <x:f>_xlfn.XLOOKUP($A2607,Games!$A$2:$A$18,Games!$G$2:$G$18,"Missing game",0)</x:f>
        <x:v>DET</x:v>
      </x:c>
      <x:c r="AM2607" t="n">
        <x:f>_xlfn.XLOOKUP($A2607,Games!$A$2:$A$18,Games!$H$2:$H$18,"Missing game",0)</x:f>
        <x:v>10</x:v>
      </x:c>
      <x:c r="AN2607" t="str">
        <x:f>_xlfn.XLOOKUP($A2607,Games!$A$2:$A$18,Games!$I$2:$I$18,"Missing game",0)</x:f>
        <x:v>MIN</x:v>
      </x:c>
      <x:c r="AO2607" t="n">
        <x:f>_xlfn.XLOOKUP($A2607,Games!$A$2:$A$18,Games!$J$2:$J$18,"Missing game",0)</x:f>
        <x:v>23</x:v>
      </x:c>
      <x:c r="AP2607" t="n">
        <x:f>_xlfn.XLOOKUP($A2607,Games!$A$2:$A$18,Games!$K$2:$K$18,"Missing game",0)</x:f>
        <x:v>13</x:v>
      </x:c>
      <x:c r="AQ2607" t="n">
        <x:f>_xlfn.XLOOKUP($A2607,Games!$A$2:$A$18,Games!$L$2:$L$18,"Missing game",0)</x:f>
        <x:v>33</x:v>
      </x:c>
      <x:c r="AR2607" t="n">
        <x:f>_xlfn.XLOOKUP($A2607,Games!$A$2:$A$18,Games!$M$2:$M$18,"Missing game",0)</x:f>
        <x:v>0</x:v>
      </x:c>
      <x:c r="AS2607" t="str">
        <x:f>_xlfn.XLOOKUP($A2607,Games!$A$2:$A$18,Games!$N$2:$N$18,"Missing game",0)</x:f>
        <x:v>dome</x:v>
      </x:c>
      <x:c r="AT2607" t="str">
        <x:f>_xlfn.XLOOKUP($A2607,Games!$A$2:$A$18,Games!$O$2:$O$18,"Missing game",0)</x:f>
        <x:v>sportturf</x:v>
      </x:c>
      <x:c r="AU2607" t="str">
        <x:f>_xlfn.XLOOKUP($A2607,Games!$A$2:$A$18,Games!$P$2:$P$18,"Missing game",0)</x:f>
      </x:c>
      <x:c r="AV2607" t="str">
        <x:f>_xlfn.XLOOKUP($A2607,Games!$A$2:$A$18,Games!$Q$2:$Q$18,"Missing game",0)</x:f>
      </x:c>
      <x:c r="AW2607" t="str">
        <x:f>_xlfn.XLOOKUP($A2607,Games!$A$2:$A$18,Games!$R$2:$R$18,"Missing game",0)</x:f>
        <x:v>U.S. Bank Stadium</x:v>
      </x:c>
    </x:row>
    <x:row r="2608">
      <x:c r="A2608" t="str">
        <x:v>2025_17_DET_MIN</x:v>
      </x:c>
      <x:c r="B2608" t="n">
        <x:v>3266</x:v>
      </x:c>
      <x:c r="C2608" t="n">
        <x:v>4</x:v>
      </x:c>
      <x:c r="D2608" t="str">
        <x:v>05:27</x:v>
      </x:c>
      <x:c r="E2608" t="n">
        <x:v>1</x:v>
      </x:c>
      <x:c r="F2608" t="n">
        <x:v>10</x:v>
      </x:c>
      <x:c r="G2608" t="str">
        <x:v>DET</x:v>
      </x:c>
      <x:c r="H2608" t="str">
        <x:v>MIN</x:v>
      </x:c>
      <x:c r="I2608" t="str">
        <x:v>MIN</x:v>
      </x:c>
      <x:c r="J2608" t="n">
        <x:v>32</x:v>
      </x:c>
      <x:c r="K2608" t="str">
        <x:v>(5:27) 5-D.Montgomery up the middle to MIN 30 for 2 yards (93-J.Allen; 51-B.Cashman).</x:v>
      </x:c>
      <x:c r="L2608" t="str">
        <x:v>run</x:v>
      </x:c>
      <x:c r="M2608" t="n">
        <x:v>2</x:v>
      </x:c>
      <x:c r="N2608" t="n">
        <x:v>0</x:v>
      </x:c>
      <x:c r="O2608" t="n">
        <x:v>0</x:v>
      </x:c>
      <x:c r="P2608"/>
      <x:c r="Q2608"/>
      <x:c r="R2608"/>
      <x:c r="S2608"/>
      <x:c r="T2608" t="str">
        <x:v>middle</x:v>
      </x:c>
      <x:c r="U2608"/>
      <x:c r="V2608" t="n">
        <x:v>0</x:v>
      </x:c>
      <x:c r="W2608" t="n">
        <x:v>0</x:v>
      </x:c>
      <x:c r="X2608" t="n">
        <x:v>0</x:v>
      </x:c>
      <x:c r="Y2608" t="n">
        <x:v>0</x:v>
      </x:c>
      <x:c r="Z2608" t="n">
        <x:v>0</x:v>
      </x:c>
      <x:c r="AA2608" t="n">
        <x:v>0</x:v>
      </x:c>
      <x:c r="AB2608"/>
      <x:c r="AC2608" t="n">
        <x:v>0</x:v>
      </x:c>
      <x:c r="AD2608" t="n">
        <x:v>-0.46635109320050105</x:v>
      </x:c>
      <x:c r="AE2608" t="n">
        <x:v>0</x:v>
      </x:c>
      <x:c r="AF2608" t="n">
        <x:v>-0.005117833614349365</x:v>
      </x:c>
      <x:c r="AG2608" t="n">
        <x:f>_xlfn.XLOOKUP($A2608,Games!$A$2:$A$18,Games!$B$2:$B$18,"Missing game",0)</x:f>
        <x:v>2025</x:v>
      </x:c>
      <x:c r="AH2608" t="str">
        <x:f>_xlfn.XLOOKUP($A2608,Games!$A$2:$A$18,Games!$C$2:$C$18,"Missing game",0)</x:f>
        <x:v>REG</x:v>
      </x:c>
      <x:c r="AI2608" t="n">
        <x:f>_xlfn.XLOOKUP($A2608,Games!$A$2:$A$18,Games!$D$2:$D$18,"Missing game",0)</x:f>
        <x:v>17</x:v>
      </x:c>
      <x:c r="AJ2608" s="1" t="n">
        <x:f>_xlfn.XLOOKUP($A2608,Games!$A$2:$A$18,Games!$E$2:$E$18,"Missing game",0)</x:f>
        <x:v>46016</x:v>
      </x:c>
      <x:c r="AK2608" t="str">
        <x:f>_xlfn.XLOOKUP($A2608,Games!$A$2:$A$18,Games!$F$2:$F$18,"Missing game",0)</x:f>
        <x:v>Thursday</x:v>
      </x:c>
      <x:c r="AL2608" t="str">
        <x:f>_xlfn.XLOOKUP($A2608,Games!$A$2:$A$18,Games!$G$2:$G$18,"Missing game",0)</x:f>
        <x:v>DET</x:v>
      </x:c>
      <x:c r="AM2608" t="n">
        <x:f>_xlfn.XLOOKUP($A2608,Games!$A$2:$A$18,Games!$H$2:$H$18,"Missing game",0)</x:f>
        <x:v>10</x:v>
      </x:c>
      <x:c r="AN2608" t="str">
        <x:f>_xlfn.XLOOKUP($A2608,Games!$A$2:$A$18,Games!$I$2:$I$18,"Missing game",0)</x:f>
        <x:v>MIN</x:v>
      </x:c>
      <x:c r="AO2608" t="n">
        <x:f>_xlfn.XLOOKUP($A2608,Games!$A$2:$A$18,Games!$J$2:$J$18,"Missing game",0)</x:f>
        <x:v>23</x:v>
      </x:c>
      <x:c r="AP2608" t="n">
        <x:f>_xlfn.XLOOKUP($A2608,Games!$A$2:$A$18,Games!$K$2:$K$18,"Missing game",0)</x:f>
        <x:v>13</x:v>
      </x:c>
      <x:c r="AQ2608" t="n">
        <x:f>_xlfn.XLOOKUP($A2608,Games!$A$2:$A$18,Games!$L$2:$L$18,"Missing game",0)</x:f>
        <x:v>33</x:v>
      </x:c>
      <x:c r="AR2608" t="n">
        <x:f>_xlfn.XLOOKUP($A2608,Games!$A$2:$A$18,Games!$M$2:$M$18,"Missing game",0)</x:f>
        <x:v>0</x:v>
      </x:c>
      <x:c r="AS2608" t="str">
        <x:f>_xlfn.XLOOKUP($A2608,Games!$A$2:$A$18,Games!$N$2:$N$18,"Missing game",0)</x:f>
        <x:v>dome</x:v>
      </x:c>
      <x:c r="AT2608" t="str">
        <x:f>_xlfn.XLOOKUP($A2608,Games!$A$2:$A$18,Games!$O$2:$O$18,"Missing game",0)</x:f>
        <x:v>sportturf</x:v>
      </x:c>
      <x:c r="AU2608" t="str">
        <x:f>_xlfn.XLOOKUP($A2608,Games!$A$2:$A$18,Games!$P$2:$P$18,"Missing game",0)</x:f>
      </x:c>
      <x:c r="AV2608" t="str">
        <x:f>_xlfn.XLOOKUP($A2608,Games!$A$2:$A$18,Games!$Q$2:$Q$18,"Missing game",0)</x:f>
      </x:c>
      <x:c r="AW2608" t="str">
        <x:f>_xlfn.XLOOKUP($A2608,Games!$A$2:$A$18,Games!$R$2:$R$18,"Missing game",0)</x:f>
        <x:v>U.S. Bank Stadium</x:v>
      </x:c>
    </x:row>
    <x:row r="2609">
      <x:c r="A2609" t="str">
        <x:v>2025_17_DET_MIN</x:v>
      </x:c>
      <x:c r="B2609" t="n">
        <x:v>3291</x:v>
      </x:c>
      <x:c r="C2609" t="n">
        <x:v>4</x:v>
      </x:c>
      <x:c r="D2609" t="str">
        <x:v>04:50</x:v>
      </x:c>
      <x:c r="E2609" t="n">
        <x:v>2</x:v>
      </x:c>
      <x:c r="F2609" t="n">
        <x:v>8</x:v>
      </x:c>
      <x:c r="G2609" t="str">
        <x:v>DET</x:v>
      </x:c>
      <x:c r="H2609" t="str">
        <x:v>MIN</x:v>
      </x:c>
      <x:c r="I2609" t="str">
        <x:v>MIN</x:v>
      </x:c>
      <x:c r="J2609" t="n">
        <x:v>30</x:v>
      </x:c>
      <x:c r="K2609" t="str">
        <x:v>(4:50) (Shotgun) 16-J.Goff pass incomplete short right to 14-A.St. Brown (61-J.Redmond).</x:v>
      </x:c>
      <x:c r="L2609" t="str">
        <x:v>pass</x:v>
      </x:c>
      <x:c r="M2609" t="n">
        <x:v>0</x:v>
      </x:c>
      <x:c r="N2609" t="n">
        <x:v>1</x:v>
      </x:c>
      <x:c r="O2609" t="n">
        <x:v>0</x:v>
      </x:c>
      <x:c r="P2609" t="str">
        <x:v>short</x:v>
      </x:c>
      <x:c r="Q2609" t="str">
        <x:v>right</x:v>
      </x:c>
      <x:c r="R2609" t="n">
        <x:v>3</x:v>
      </x:c>
      <x:c r="S2609"/>
      <x:c r="T2609"/>
      <x:c r="U2609"/>
      <x:c r="V2609" t="n">
        <x:v>0</x:v>
      </x:c>
      <x:c r="W2609" t="n">
        <x:v>0</x:v>
      </x:c>
      <x:c r="X2609" t="n">
        <x:v>0</x:v>
      </x:c>
      <x:c r="Y2609" t="n">
        <x:v>0</x:v>
      </x:c>
      <x:c r="Z2609" t="n">
        <x:v>0</x:v>
      </x:c>
      <x:c r="AA2609" t="n">
        <x:v>0</x:v>
      </x:c>
      <x:c r="AB2609"/>
      <x:c r="AC2609" t="n">
        <x:v>0</x:v>
      </x:c>
      <x:c r="AD2609" t="n">
        <x:v>-0.606705368089024</x:v>
      </x:c>
      <x:c r="AE2609" t="n">
        <x:v>0</x:v>
      </x:c>
      <x:c r="AF2609" t="n">
        <x:v>-0.027672305703163147</x:v>
      </x:c>
      <x:c r="AG2609" t="n">
        <x:f>_xlfn.XLOOKUP($A2609,Games!$A$2:$A$18,Games!$B$2:$B$18,"Missing game",0)</x:f>
        <x:v>2025</x:v>
      </x:c>
      <x:c r="AH2609" t="str">
        <x:f>_xlfn.XLOOKUP($A2609,Games!$A$2:$A$18,Games!$C$2:$C$18,"Missing game",0)</x:f>
        <x:v>REG</x:v>
      </x:c>
      <x:c r="AI2609" t="n">
        <x:f>_xlfn.XLOOKUP($A2609,Games!$A$2:$A$18,Games!$D$2:$D$18,"Missing game",0)</x:f>
        <x:v>17</x:v>
      </x:c>
      <x:c r="AJ2609" s="1" t="n">
        <x:f>_xlfn.XLOOKUP($A2609,Games!$A$2:$A$18,Games!$E$2:$E$18,"Missing game",0)</x:f>
        <x:v>46016</x:v>
      </x:c>
      <x:c r="AK2609" t="str">
        <x:f>_xlfn.XLOOKUP($A2609,Games!$A$2:$A$18,Games!$F$2:$F$18,"Missing game",0)</x:f>
        <x:v>Thursday</x:v>
      </x:c>
      <x:c r="AL2609" t="str">
        <x:f>_xlfn.XLOOKUP($A2609,Games!$A$2:$A$18,Games!$G$2:$G$18,"Missing game",0)</x:f>
        <x:v>DET</x:v>
      </x:c>
      <x:c r="AM2609" t="n">
        <x:f>_xlfn.XLOOKUP($A2609,Games!$A$2:$A$18,Games!$H$2:$H$18,"Missing game",0)</x:f>
        <x:v>10</x:v>
      </x:c>
      <x:c r="AN2609" t="str">
        <x:f>_xlfn.XLOOKUP($A2609,Games!$A$2:$A$18,Games!$I$2:$I$18,"Missing game",0)</x:f>
        <x:v>MIN</x:v>
      </x:c>
      <x:c r="AO2609" t="n">
        <x:f>_xlfn.XLOOKUP($A2609,Games!$A$2:$A$18,Games!$J$2:$J$18,"Missing game",0)</x:f>
        <x:v>23</x:v>
      </x:c>
      <x:c r="AP2609" t="n">
        <x:f>_xlfn.XLOOKUP($A2609,Games!$A$2:$A$18,Games!$K$2:$K$18,"Missing game",0)</x:f>
        <x:v>13</x:v>
      </x:c>
      <x:c r="AQ2609" t="n">
        <x:f>_xlfn.XLOOKUP($A2609,Games!$A$2:$A$18,Games!$L$2:$L$18,"Missing game",0)</x:f>
        <x:v>33</x:v>
      </x:c>
      <x:c r="AR2609" t="n">
        <x:f>_xlfn.XLOOKUP($A2609,Games!$A$2:$A$18,Games!$M$2:$M$18,"Missing game",0)</x:f>
        <x:v>0</x:v>
      </x:c>
      <x:c r="AS2609" t="str">
        <x:f>_xlfn.XLOOKUP($A2609,Games!$A$2:$A$18,Games!$N$2:$N$18,"Missing game",0)</x:f>
        <x:v>dome</x:v>
      </x:c>
      <x:c r="AT2609" t="str">
        <x:f>_xlfn.XLOOKUP($A2609,Games!$A$2:$A$18,Games!$O$2:$O$18,"Missing game",0)</x:f>
        <x:v>sportturf</x:v>
      </x:c>
      <x:c r="AU2609" t="str">
        <x:f>_xlfn.XLOOKUP($A2609,Games!$A$2:$A$18,Games!$P$2:$P$18,"Missing game",0)</x:f>
      </x:c>
      <x:c r="AV2609" t="str">
        <x:f>_xlfn.XLOOKUP($A2609,Games!$A$2:$A$18,Games!$Q$2:$Q$18,"Missing game",0)</x:f>
      </x:c>
      <x:c r="AW2609" t="str">
        <x:f>_xlfn.XLOOKUP($A2609,Games!$A$2:$A$18,Games!$R$2:$R$18,"Missing game",0)</x:f>
        <x:v>U.S. Bank Stadium</x:v>
      </x:c>
    </x:row>
    <x:row r="2610">
      <x:c r="A2610" t="str">
        <x:v>2025_17_DET_MIN</x:v>
      </x:c>
      <x:c r="B2610" t="n">
        <x:v>3314</x:v>
      </x:c>
      <x:c r="C2610" t="n">
        <x:v>4</x:v>
      </x:c>
      <x:c r="D2610" t="str">
        <x:v>04:47</x:v>
      </x:c>
      <x:c r="E2610" t="n">
        <x:v>3</x:v>
      </x:c>
      <x:c r="F2610" t="n">
        <x:v>8</x:v>
      </x:c>
      <x:c r="G2610" t="str">
        <x:v>DET</x:v>
      </x:c>
      <x:c r="H2610" t="str">
        <x:v>MIN</x:v>
      </x:c>
      <x:c r="I2610" t="str">
        <x:v>MIN</x:v>
      </x:c>
      <x:c r="J2610" t="n">
        <x:v>30</x:v>
      </x:c>
      <x:c r="K2610" t="str">
        <x:v>(4:47) (Shotgun) 16-J.Goff pass incomplete short left to 11-K.Raymond (22-H.Smith).</x:v>
      </x:c>
      <x:c r="L2610" t="str">
        <x:v>pass</x:v>
      </x:c>
      <x:c r="M2610" t="n">
        <x:v>0</x:v>
      </x:c>
      <x:c r="N2610" t="n">
        <x:v>1</x:v>
      </x:c>
      <x:c r="O2610" t="n">
        <x:v>0</x:v>
      </x:c>
      <x:c r="P2610" t="str">
        <x:v>short</x:v>
      </x:c>
      <x:c r="Q2610" t="str">
        <x:v>left</x:v>
      </x:c>
      <x:c r="R2610" t="n">
        <x:v>1</x:v>
      </x:c>
      <x:c r="S2610"/>
      <x:c r="T2610"/>
      <x:c r="U2610"/>
      <x:c r="V2610" t="n">
        <x:v>0</x:v>
      </x:c>
      <x:c r="W2610" t="n">
        <x:v>0</x:v>
      </x:c>
      <x:c r="X2610" t="n">
        <x:v>0</x:v>
      </x:c>
      <x:c r="Y2610" t="n">
        <x:v>0</x:v>
      </x:c>
      <x:c r="Z2610" t="n">
        <x:v>0</x:v>
      </x:c>
      <x:c r="AA2610" t="n">
        <x:v>0</x:v>
      </x:c>
      <x:c r="AB2610"/>
      <x:c r="AC2610" t="n">
        <x:v>0</x:v>
      </x:c>
      <x:c r="AD2610" t="n">
        <x:v>-1.0581553148985474</x:v>
      </x:c>
      <x:c r="AE2610" t="n">
        <x:v>0</x:v>
      </x:c>
      <x:c r="AF2610" t="n">
        <x:v>-0.05158005654811859</x:v>
      </x:c>
      <x:c r="AG2610" t="n">
        <x:f>_xlfn.XLOOKUP($A2610,Games!$A$2:$A$18,Games!$B$2:$B$18,"Missing game",0)</x:f>
        <x:v>2025</x:v>
      </x:c>
      <x:c r="AH2610" t="str">
        <x:f>_xlfn.XLOOKUP($A2610,Games!$A$2:$A$18,Games!$C$2:$C$18,"Missing game",0)</x:f>
        <x:v>REG</x:v>
      </x:c>
      <x:c r="AI2610" t="n">
        <x:f>_xlfn.XLOOKUP($A2610,Games!$A$2:$A$18,Games!$D$2:$D$18,"Missing game",0)</x:f>
        <x:v>17</x:v>
      </x:c>
      <x:c r="AJ2610" s="1" t="n">
        <x:f>_xlfn.XLOOKUP($A2610,Games!$A$2:$A$18,Games!$E$2:$E$18,"Missing game",0)</x:f>
        <x:v>46016</x:v>
      </x:c>
      <x:c r="AK2610" t="str">
        <x:f>_xlfn.XLOOKUP($A2610,Games!$A$2:$A$18,Games!$F$2:$F$18,"Missing game",0)</x:f>
        <x:v>Thursday</x:v>
      </x:c>
      <x:c r="AL2610" t="str">
        <x:f>_xlfn.XLOOKUP($A2610,Games!$A$2:$A$18,Games!$G$2:$G$18,"Missing game",0)</x:f>
        <x:v>DET</x:v>
      </x:c>
      <x:c r="AM2610" t="n">
        <x:f>_xlfn.XLOOKUP($A2610,Games!$A$2:$A$18,Games!$H$2:$H$18,"Missing game",0)</x:f>
        <x:v>10</x:v>
      </x:c>
      <x:c r="AN2610" t="str">
        <x:f>_xlfn.XLOOKUP($A2610,Games!$A$2:$A$18,Games!$I$2:$I$18,"Missing game",0)</x:f>
        <x:v>MIN</x:v>
      </x:c>
      <x:c r="AO2610" t="n">
        <x:f>_xlfn.XLOOKUP($A2610,Games!$A$2:$A$18,Games!$J$2:$J$18,"Missing game",0)</x:f>
        <x:v>23</x:v>
      </x:c>
      <x:c r="AP2610" t="n">
        <x:f>_xlfn.XLOOKUP($A2610,Games!$A$2:$A$18,Games!$K$2:$K$18,"Missing game",0)</x:f>
        <x:v>13</x:v>
      </x:c>
      <x:c r="AQ2610" t="n">
        <x:f>_xlfn.XLOOKUP($A2610,Games!$A$2:$A$18,Games!$L$2:$L$18,"Missing game",0)</x:f>
        <x:v>33</x:v>
      </x:c>
      <x:c r="AR2610" t="n">
        <x:f>_xlfn.XLOOKUP($A2610,Games!$A$2:$A$18,Games!$M$2:$M$18,"Missing game",0)</x:f>
        <x:v>0</x:v>
      </x:c>
      <x:c r="AS2610" t="str">
        <x:f>_xlfn.XLOOKUP($A2610,Games!$A$2:$A$18,Games!$N$2:$N$18,"Missing game",0)</x:f>
        <x:v>dome</x:v>
      </x:c>
      <x:c r="AT2610" t="str">
        <x:f>_xlfn.XLOOKUP($A2610,Games!$A$2:$A$18,Games!$O$2:$O$18,"Missing game",0)</x:f>
        <x:v>sportturf</x:v>
      </x:c>
      <x:c r="AU2610" t="str">
        <x:f>_xlfn.XLOOKUP($A2610,Games!$A$2:$A$18,Games!$P$2:$P$18,"Missing game",0)</x:f>
      </x:c>
      <x:c r="AV2610" t="str">
        <x:f>_xlfn.XLOOKUP($A2610,Games!$A$2:$A$18,Games!$Q$2:$Q$18,"Missing game",0)</x:f>
      </x:c>
      <x:c r="AW2610" t="str">
        <x:f>_xlfn.XLOOKUP($A2610,Games!$A$2:$A$18,Games!$R$2:$R$18,"Missing game",0)</x:f>
        <x:v>U.S. Bank Stadium</x:v>
      </x:c>
    </x:row>
    <x:row r="2611">
      <x:c r="A2611" t="str">
        <x:v>2025_17_DET_MIN</x:v>
      </x:c>
      <x:c r="B2611" t="n">
        <x:v>3337</x:v>
      </x:c>
      <x:c r="C2611" t="n">
        <x:v>4</x:v>
      </x:c>
      <x:c r="D2611" t="str">
        <x:v>04:44</x:v>
      </x:c>
      <x:c r="E2611" t="n">
        <x:v>4</x:v>
      </x:c>
      <x:c r="F2611" t="n">
        <x:v>8</x:v>
      </x:c>
      <x:c r="G2611" t="str">
        <x:v>DET</x:v>
      </x:c>
      <x:c r="H2611" t="str">
        <x:v>MIN</x:v>
      </x:c>
      <x:c r="I2611" t="str">
        <x:v>MIN</x:v>
      </x:c>
      <x:c r="J2611" t="n">
        <x:v>30</x:v>
      </x:c>
      <x:c r="K2611" t="str">
        <x:v>(4:44) 39-J.Bates 48 yard field goal is GOOD, Center-49-H.Hatten, Holder-3-J.Fox.</x:v>
      </x:c>
      <x:c r="L2611" t="str">
        <x:v>field_goal</x:v>
      </x:c>
      <x:c r="M2611" t="n">
        <x:v>0</x:v>
      </x:c>
      <x:c r="N2611" t="n">
        <x:v>0</x:v>
      </x:c>
      <x:c r="O2611" t="n">
        <x:v>0</x:v>
      </x:c>
      <x:c r="P2611"/>
      <x:c r="Q2611"/>
      <x:c r="R2611"/>
      <x:c r="S2611"/>
      <x:c r="T2611"/>
      <x:c r="U2611"/>
      <x:c r="V2611" t="n">
        <x:v>0</x:v>
      </x:c>
      <x:c r="W2611" t="n">
        <x:v>0</x:v>
      </x:c>
      <x:c r="X2611" t="n">
        <x:v>0</x:v>
      </x:c>
      <x:c r="Y2611" t="n">
        <x:v>0</x:v>
      </x:c>
      <x:c r="Z2611" t="n">
        <x:v>0</x:v>
      </x:c>
      <x:c r="AA2611" t="n">
        <x:v>0</x:v>
      </x:c>
      <x:c r="AB2611"/>
      <x:c r="AC2611" t="n">
        <x:v>0</x:v>
      </x:c>
      <x:c r="AD2611" t="n">
        <x:v>1.2501522399433522</x:v>
      </x:c>
      <x:c r="AE2611" t="n">
        <x:v>1</x:v>
      </x:c>
      <x:c r="AF2611" t="n">
        <x:v>0.03346031904220581</x:v>
      </x:c>
      <x:c r="AG2611" t="n">
        <x:f>_xlfn.XLOOKUP($A2611,Games!$A$2:$A$18,Games!$B$2:$B$18,"Missing game",0)</x:f>
        <x:v>2025</x:v>
      </x:c>
      <x:c r="AH2611" t="str">
        <x:f>_xlfn.XLOOKUP($A2611,Games!$A$2:$A$18,Games!$C$2:$C$18,"Missing game",0)</x:f>
        <x:v>REG</x:v>
      </x:c>
      <x:c r="AI2611" t="n">
        <x:f>_xlfn.XLOOKUP($A2611,Games!$A$2:$A$18,Games!$D$2:$D$18,"Missing game",0)</x:f>
        <x:v>17</x:v>
      </x:c>
      <x:c r="AJ2611" s="1" t="n">
        <x:f>_xlfn.XLOOKUP($A2611,Games!$A$2:$A$18,Games!$E$2:$E$18,"Missing game",0)</x:f>
        <x:v>46016</x:v>
      </x:c>
      <x:c r="AK2611" t="str">
        <x:f>_xlfn.XLOOKUP($A2611,Games!$A$2:$A$18,Games!$F$2:$F$18,"Missing game",0)</x:f>
        <x:v>Thursday</x:v>
      </x:c>
      <x:c r="AL2611" t="str">
        <x:f>_xlfn.XLOOKUP($A2611,Games!$A$2:$A$18,Games!$G$2:$G$18,"Missing game",0)</x:f>
        <x:v>DET</x:v>
      </x:c>
      <x:c r="AM2611" t="n">
        <x:f>_xlfn.XLOOKUP($A2611,Games!$A$2:$A$18,Games!$H$2:$H$18,"Missing game",0)</x:f>
        <x:v>10</x:v>
      </x:c>
      <x:c r="AN2611" t="str">
        <x:f>_xlfn.XLOOKUP($A2611,Games!$A$2:$A$18,Games!$I$2:$I$18,"Missing game",0)</x:f>
        <x:v>MIN</x:v>
      </x:c>
      <x:c r="AO2611" t="n">
        <x:f>_xlfn.XLOOKUP($A2611,Games!$A$2:$A$18,Games!$J$2:$J$18,"Missing game",0)</x:f>
        <x:v>23</x:v>
      </x:c>
      <x:c r="AP2611" t="n">
        <x:f>_xlfn.XLOOKUP($A2611,Games!$A$2:$A$18,Games!$K$2:$K$18,"Missing game",0)</x:f>
        <x:v>13</x:v>
      </x:c>
      <x:c r="AQ2611" t="n">
        <x:f>_xlfn.XLOOKUP($A2611,Games!$A$2:$A$18,Games!$L$2:$L$18,"Missing game",0)</x:f>
        <x:v>33</x:v>
      </x:c>
      <x:c r="AR2611" t="n">
        <x:f>_xlfn.XLOOKUP($A2611,Games!$A$2:$A$18,Games!$M$2:$M$18,"Missing game",0)</x:f>
        <x:v>0</x:v>
      </x:c>
      <x:c r="AS2611" t="str">
        <x:f>_xlfn.XLOOKUP($A2611,Games!$A$2:$A$18,Games!$N$2:$N$18,"Missing game",0)</x:f>
        <x:v>dome</x:v>
      </x:c>
      <x:c r="AT2611" t="str">
        <x:f>_xlfn.XLOOKUP($A2611,Games!$A$2:$A$18,Games!$O$2:$O$18,"Missing game",0)</x:f>
        <x:v>sportturf</x:v>
      </x:c>
      <x:c r="AU2611" t="str">
        <x:f>_xlfn.XLOOKUP($A2611,Games!$A$2:$A$18,Games!$P$2:$P$18,"Missing game",0)</x:f>
      </x:c>
      <x:c r="AV2611" t="str">
        <x:f>_xlfn.XLOOKUP($A2611,Games!$A$2:$A$18,Games!$Q$2:$Q$18,"Missing game",0)</x:f>
      </x:c>
      <x:c r="AW2611" t="str">
        <x:f>_xlfn.XLOOKUP($A2611,Games!$A$2:$A$18,Games!$R$2:$R$18,"Missing game",0)</x:f>
        <x:v>U.S. Bank Stadium</x:v>
      </x:c>
    </x:row>
    <x:row r="2612">
      <x:c r="A2612" t="str">
        <x:v>2025_17_DET_MIN</x:v>
      </x:c>
      <x:c r="B2612" t="n">
        <x:v>3357</x:v>
      </x:c>
      <x:c r="C2612" t="n">
        <x:v>4</x:v>
      </x:c>
      <x:c r="D2612" t="str">
        <x:v>04:39</x:v>
      </x:c>
      <x:c r="E2612"/>
      <x:c r="F2612" t="n">
        <x:v>0</x:v>
      </x:c>
      <x:c r="G2612" t="str">
        <x:v>MIN</x:v>
      </x:c>
      <x:c r="H2612" t="str">
        <x:v>DET</x:v>
      </x:c>
      <x:c r="I2612" t="str">
        <x:v>DET</x:v>
      </x:c>
      <x:c r="J2612" t="n">
        <x:v>35</x:v>
      </x:c>
      <x:c r="K2612" t="str">
        <x:v>39-J.Bates kicks 65 yards from DET 35 to end zone, Touchback to the MIN 35.</x:v>
      </x:c>
      <x:c r="L2612" t="str">
        <x:v>kickoff</x:v>
      </x:c>
      <x:c r="M2612" t="n">
        <x:v>0</x:v>
      </x:c>
      <x:c r="N2612" t="n">
        <x:v>0</x:v>
      </x:c>
      <x:c r="O2612" t="n">
        <x:v>0</x:v>
      </x:c>
      <x:c r="P2612"/>
      <x:c r="Q2612"/>
      <x:c r="R2612"/>
      <x:c r="S2612"/>
      <x:c r="T2612"/>
      <x:c r="U2612"/>
      <x:c r="V2612" t="n">
        <x:v>0</x:v>
      </x:c>
      <x:c r="W2612" t="n">
        <x:v>0</x:v>
      </x:c>
      <x:c r="X2612" t="n">
        <x:v>0</x:v>
      </x:c>
      <x:c r="Y2612" t="n">
        <x:v>0</x:v>
      </x:c>
      <x:c r="Z2612" t="n">
        <x:v>0</x:v>
      </x:c>
      <x:c r="AA2612" t="n">
        <x:v>0</x:v>
      </x:c>
      <x:c r="AB2612"/>
      <x:c r="AC2612" t="n">
        <x:v>0</x:v>
      </x:c>
      <x:c r="AD2612" t="n">
        <x:v>0.6052921443479136</x:v>
      </x:c>
      <x:c r="AE2612" t="n">
        <x:v>1</x:v>
      </x:c>
      <x:c r="AF2612" t="n">
        <x:v>0.009476423263549805</x:v>
      </x:c>
      <x:c r="AG2612" t="n">
        <x:f>_xlfn.XLOOKUP($A2612,Games!$A$2:$A$18,Games!$B$2:$B$18,"Missing game",0)</x:f>
        <x:v>2025</x:v>
      </x:c>
      <x:c r="AH2612" t="str">
        <x:f>_xlfn.XLOOKUP($A2612,Games!$A$2:$A$18,Games!$C$2:$C$18,"Missing game",0)</x:f>
        <x:v>REG</x:v>
      </x:c>
      <x:c r="AI2612" t="n">
        <x:f>_xlfn.XLOOKUP($A2612,Games!$A$2:$A$18,Games!$D$2:$D$18,"Missing game",0)</x:f>
        <x:v>17</x:v>
      </x:c>
      <x:c r="AJ2612" s="1" t="n">
        <x:f>_xlfn.XLOOKUP($A2612,Games!$A$2:$A$18,Games!$E$2:$E$18,"Missing game",0)</x:f>
        <x:v>46016</x:v>
      </x:c>
      <x:c r="AK2612" t="str">
        <x:f>_xlfn.XLOOKUP($A2612,Games!$A$2:$A$18,Games!$F$2:$F$18,"Missing game",0)</x:f>
        <x:v>Thursday</x:v>
      </x:c>
      <x:c r="AL2612" t="str">
        <x:f>_xlfn.XLOOKUP($A2612,Games!$A$2:$A$18,Games!$G$2:$G$18,"Missing game",0)</x:f>
        <x:v>DET</x:v>
      </x:c>
      <x:c r="AM2612" t="n">
        <x:f>_xlfn.XLOOKUP($A2612,Games!$A$2:$A$18,Games!$H$2:$H$18,"Missing game",0)</x:f>
        <x:v>10</x:v>
      </x:c>
      <x:c r="AN2612" t="str">
        <x:f>_xlfn.XLOOKUP($A2612,Games!$A$2:$A$18,Games!$I$2:$I$18,"Missing game",0)</x:f>
        <x:v>MIN</x:v>
      </x:c>
      <x:c r="AO2612" t="n">
        <x:f>_xlfn.XLOOKUP($A2612,Games!$A$2:$A$18,Games!$J$2:$J$18,"Missing game",0)</x:f>
        <x:v>23</x:v>
      </x:c>
      <x:c r="AP2612" t="n">
        <x:f>_xlfn.XLOOKUP($A2612,Games!$A$2:$A$18,Games!$K$2:$K$18,"Missing game",0)</x:f>
        <x:v>13</x:v>
      </x:c>
      <x:c r="AQ2612" t="n">
        <x:f>_xlfn.XLOOKUP($A2612,Games!$A$2:$A$18,Games!$L$2:$L$18,"Missing game",0)</x:f>
        <x:v>33</x:v>
      </x:c>
      <x:c r="AR2612" t="n">
        <x:f>_xlfn.XLOOKUP($A2612,Games!$A$2:$A$18,Games!$M$2:$M$18,"Missing game",0)</x:f>
        <x:v>0</x:v>
      </x:c>
      <x:c r="AS2612" t="str">
        <x:f>_xlfn.XLOOKUP($A2612,Games!$A$2:$A$18,Games!$N$2:$N$18,"Missing game",0)</x:f>
        <x:v>dome</x:v>
      </x:c>
      <x:c r="AT2612" t="str">
        <x:f>_xlfn.XLOOKUP($A2612,Games!$A$2:$A$18,Games!$O$2:$O$18,"Missing game",0)</x:f>
        <x:v>sportturf</x:v>
      </x:c>
      <x:c r="AU2612" t="str">
        <x:f>_xlfn.XLOOKUP($A2612,Games!$A$2:$A$18,Games!$P$2:$P$18,"Missing game",0)</x:f>
      </x:c>
      <x:c r="AV2612" t="str">
        <x:f>_xlfn.XLOOKUP($A2612,Games!$A$2:$A$18,Games!$Q$2:$Q$18,"Missing game",0)</x:f>
      </x:c>
      <x:c r="AW2612" t="str">
        <x:f>_xlfn.XLOOKUP($A2612,Games!$A$2:$A$18,Games!$R$2:$R$18,"Missing game",0)</x:f>
        <x:v>U.S. Bank Stadium</x:v>
      </x:c>
    </x:row>
    <x:row r="2613">
      <x:c r="A2613" t="str">
        <x:v>2025_17_DET_MIN</x:v>
      </x:c>
      <x:c r="B2613" t="n">
        <x:v>3374</x:v>
      </x:c>
      <x:c r="C2613" t="n">
        <x:v>4</x:v>
      </x:c>
      <x:c r="D2613" t="str">
        <x:v>04:39</x:v>
      </x:c>
      <x:c r="E2613" t="n">
        <x:v>1</x:v>
      </x:c>
      <x:c r="F2613" t="n">
        <x:v>10</x:v>
      </x:c>
      <x:c r="G2613" t="str">
        <x:v>MIN</x:v>
      </x:c>
      <x:c r="H2613" t="str">
        <x:v>DET</x:v>
      </x:c>
      <x:c r="I2613" t="str">
        <x:v>MIN</x:v>
      </x:c>
      <x:c r="J2613" t="n">
        <x:v>65</x:v>
      </x:c>
      <x:c r="K2613" t="str">
        <x:v>(4:39) 33-A.Jones right tackle to MIN 35 for no gain (92-M.Davenport).</x:v>
      </x:c>
      <x:c r="L2613" t="str">
        <x:v>run</x:v>
      </x:c>
      <x:c r="M2613" t="n">
        <x:v>0</x:v>
      </x:c>
      <x:c r="N2613" t="n">
        <x:v>0</x:v>
      </x:c>
      <x:c r="O2613" t="n">
        <x:v>0</x:v>
      </x:c>
      <x:c r="P2613"/>
      <x:c r="Q2613"/>
      <x:c r="R2613"/>
      <x:c r="S2613"/>
      <x:c r="T2613" t="str">
        <x:v>right</x:v>
      </x:c>
      <x:c r="U2613" t="str">
        <x:v>tackle</x:v>
      </x:c>
      <x:c r="V2613" t="n">
        <x:v>0</x:v>
      </x:c>
      <x:c r="W2613" t="n">
        <x:v>0</x:v>
      </x:c>
      <x:c r="X2613" t="n">
        <x:v>0</x:v>
      </x:c>
      <x:c r="Y2613" t="n">
        <x:v>0</x:v>
      </x:c>
      <x:c r="Z2613" t="n">
        <x:v>0</x:v>
      </x:c>
      <x:c r="AA2613" t="n">
        <x:v>0</x:v>
      </x:c>
      <x:c r="AB2613"/>
      <x:c r="AC2613" t="n">
        <x:v>0</x:v>
      </x:c>
      <x:c r="AD2613" t="n">
        <x:v>-0.5780912935733795</x:v>
      </x:c>
      <x:c r="AE2613" t="n">
        <x:v>0</x:v>
      </x:c>
      <x:c r="AF2613" t="n">
        <x:v>-0.022456765174865723</x:v>
      </x:c>
      <x:c r="AG2613" t="n">
        <x:f>_xlfn.XLOOKUP($A2613,Games!$A$2:$A$18,Games!$B$2:$B$18,"Missing game",0)</x:f>
        <x:v>2025</x:v>
      </x:c>
      <x:c r="AH2613" t="str">
        <x:f>_xlfn.XLOOKUP($A2613,Games!$A$2:$A$18,Games!$C$2:$C$18,"Missing game",0)</x:f>
        <x:v>REG</x:v>
      </x:c>
      <x:c r="AI2613" t="n">
        <x:f>_xlfn.XLOOKUP($A2613,Games!$A$2:$A$18,Games!$D$2:$D$18,"Missing game",0)</x:f>
        <x:v>17</x:v>
      </x:c>
      <x:c r="AJ2613" s="1" t="n">
        <x:f>_xlfn.XLOOKUP($A2613,Games!$A$2:$A$18,Games!$E$2:$E$18,"Missing game",0)</x:f>
        <x:v>46016</x:v>
      </x:c>
      <x:c r="AK2613" t="str">
        <x:f>_xlfn.XLOOKUP($A2613,Games!$A$2:$A$18,Games!$F$2:$F$18,"Missing game",0)</x:f>
        <x:v>Thursday</x:v>
      </x:c>
      <x:c r="AL2613" t="str">
        <x:f>_xlfn.XLOOKUP($A2613,Games!$A$2:$A$18,Games!$G$2:$G$18,"Missing game",0)</x:f>
        <x:v>DET</x:v>
      </x:c>
      <x:c r="AM2613" t="n">
        <x:f>_xlfn.XLOOKUP($A2613,Games!$A$2:$A$18,Games!$H$2:$H$18,"Missing game",0)</x:f>
        <x:v>10</x:v>
      </x:c>
      <x:c r="AN2613" t="str">
        <x:f>_xlfn.XLOOKUP($A2613,Games!$A$2:$A$18,Games!$I$2:$I$18,"Missing game",0)</x:f>
        <x:v>MIN</x:v>
      </x:c>
      <x:c r="AO2613" t="n">
        <x:f>_xlfn.XLOOKUP($A2613,Games!$A$2:$A$18,Games!$J$2:$J$18,"Missing game",0)</x:f>
        <x:v>23</x:v>
      </x:c>
      <x:c r="AP2613" t="n">
        <x:f>_xlfn.XLOOKUP($A2613,Games!$A$2:$A$18,Games!$K$2:$K$18,"Missing game",0)</x:f>
        <x:v>13</x:v>
      </x:c>
      <x:c r="AQ2613" t="n">
        <x:f>_xlfn.XLOOKUP($A2613,Games!$A$2:$A$18,Games!$L$2:$L$18,"Missing game",0)</x:f>
        <x:v>33</x:v>
      </x:c>
      <x:c r="AR2613" t="n">
        <x:f>_xlfn.XLOOKUP($A2613,Games!$A$2:$A$18,Games!$M$2:$M$18,"Missing game",0)</x:f>
        <x:v>0</x:v>
      </x:c>
      <x:c r="AS2613" t="str">
        <x:f>_xlfn.XLOOKUP($A2613,Games!$A$2:$A$18,Games!$N$2:$N$18,"Missing game",0)</x:f>
        <x:v>dome</x:v>
      </x:c>
      <x:c r="AT2613" t="str">
        <x:f>_xlfn.XLOOKUP($A2613,Games!$A$2:$A$18,Games!$O$2:$O$18,"Missing game",0)</x:f>
        <x:v>sportturf</x:v>
      </x:c>
      <x:c r="AU2613" t="str">
        <x:f>_xlfn.XLOOKUP($A2613,Games!$A$2:$A$18,Games!$P$2:$P$18,"Missing game",0)</x:f>
      </x:c>
      <x:c r="AV2613" t="str">
        <x:f>_xlfn.XLOOKUP($A2613,Games!$A$2:$A$18,Games!$Q$2:$Q$18,"Missing game",0)</x:f>
      </x:c>
      <x:c r="AW2613" t="str">
        <x:f>_xlfn.XLOOKUP($A2613,Games!$A$2:$A$18,Games!$R$2:$R$18,"Missing game",0)</x:f>
        <x:v>U.S. Bank Stadium</x:v>
      </x:c>
    </x:row>
    <x:row r="2614">
      <x:c r="A2614" t="str">
        <x:v>2025_17_DET_MIN</x:v>
      </x:c>
      <x:c r="B2614" t="n">
        <x:v>3396</x:v>
      </x:c>
      <x:c r="C2614" t="n">
        <x:v>4</x:v>
      </x:c>
      <x:c r="D2614" t="str">
        <x:v>03:52</x:v>
      </x:c>
      <x:c r="E2614" t="n">
        <x:v>2</x:v>
      </x:c>
      <x:c r="F2614" t="n">
        <x:v>10</x:v>
      </x:c>
      <x:c r="G2614" t="str">
        <x:v>MIN</x:v>
      </x:c>
      <x:c r="H2614" t="str">
        <x:v>DET</x:v>
      </x:c>
      <x:c r="I2614" t="str">
        <x:v>MIN</x:v>
      </x:c>
      <x:c r="J2614" t="n">
        <x:v>65</x:v>
      </x:c>
      <x:c r="K2614" t="str">
        <x:v>(3:52) 3-J.Addison right end for 65 yards, TOUCHDOWN.</x:v>
      </x:c>
      <x:c r="L2614" t="str">
        <x:v>run</x:v>
      </x:c>
      <x:c r="M2614" t="n">
        <x:v>65</x:v>
      </x:c>
      <x:c r="N2614" t="n">
        <x:v>0</x:v>
      </x:c>
      <x:c r="O2614" t="n">
        <x:v>0</x:v>
      </x:c>
      <x:c r="P2614"/>
      <x:c r="Q2614"/>
      <x:c r="R2614"/>
      <x:c r="S2614"/>
      <x:c r="T2614" t="str">
        <x:v>right</x:v>
      </x:c>
      <x:c r="U2614" t="str">
        <x:v>end</x:v>
      </x:c>
      <x:c r="V2614" t="n">
        <x:v>0</x:v>
      </x:c>
      <x:c r="W2614" t="n">
        <x:v>1</x:v>
      </x:c>
      <x:c r="X2614" t="n">
        <x:v>0</x:v>
      </x:c>
      <x:c r="Y2614" t="n">
        <x:v>0</x:v>
      </x:c>
      <x:c r="Z2614" t="n">
        <x:v>0</x:v>
      </x:c>
      <x:c r="AA2614" t="n">
        <x:v>0</x:v>
      </x:c>
      <x:c r="AB2614"/>
      <x:c r="AC2614" t="n">
        <x:v>1</x:v>
      </x:c>
      <x:c r="AD2614" t="n">
        <x:v>5.943161663948558</x:v>
      </x:c>
      <x:c r="AE2614" t="n">
        <x:v>1</x:v>
      </x:c>
      <x:c r="AF2614" t="n">
        <x:v>0.16911326910832392</x:v>
      </x:c>
      <x:c r="AG2614" t="n">
        <x:f>_xlfn.XLOOKUP($A2614,Games!$A$2:$A$18,Games!$B$2:$B$18,"Missing game",0)</x:f>
        <x:v>2025</x:v>
      </x:c>
      <x:c r="AH2614" t="str">
        <x:f>_xlfn.XLOOKUP($A2614,Games!$A$2:$A$18,Games!$C$2:$C$18,"Missing game",0)</x:f>
        <x:v>REG</x:v>
      </x:c>
      <x:c r="AI2614" t="n">
        <x:f>_xlfn.XLOOKUP($A2614,Games!$A$2:$A$18,Games!$D$2:$D$18,"Missing game",0)</x:f>
        <x:v>17</x:v>
      </x:c>
      <x:c r="AJ2614" s="1" t="n">
        <x:f>_xlfn.XLOOKUP($A2614,Games!$A$2:$A$18,Games!$E$2:$E$18,"Missing game",0)</x:f>
        <x:v>46016</x:v>
      </x:c>
      <x:c r="AK2614" t="str">
        <x:f>_xlfn.XLOOKUP($A2614,Games!$A$2:$A$18,Games!$F$2:$F$18,"Missing game",0)</x:f>
        <x:v>Thursday</x:v>
      </x:c>
      <x:c r="AL2614" t="str">
        <x:f>_xlfn.XLOOKUP($A2614,Games!$A$2:$A$18,Games!$G$2:$G$18,"Missing game",0)</x:f>
        <x:v>DET</x:v>
      </x:c>
      <x:c r="AM2614" t="n">
        <x:f>_xlfn.XLOOKUP($A2614,Games!$A$2:$A$18,Games!$H$2:$H$18,"Missing game",0)</x:f>
        <x:v>10</x:v>
      </x:c>
      <x:c r="AN2614" t="str">
        <x:f>_xlfn.XLOOKUP($A2614,Games!$A$2:$A$18,Games!$I$2:$I$18,"Missing game",0)</x:f>
        <x:v>MIN</x:v>
      </x:c>
      <x:c r="AO2614" t="n">
        <x:f>_xlfn.XLOOKUP($A2614,Games!$A$2:$A$18,Games!$J$2:$J$18,"Missing game",0)</x:f>
        <x:v>23</x:v>
      </x:c>
      <x:c r="AP2614" t="n">
        <x:f>_xlfn.XLOOKUP($A2614,Games!$A$2:$A$18,Games!$K$2:$K$18,"Missing game",0)</x:f>
        <x:v>13</x:v>
      </x:c>
      <x:c r="AQ2614" t="n">
        <x:f>_xlfn.XLOOKUP($A2614,Games!$A$2:$A$18,Games!$L$2:$L$18,"Missing game",0)</x:f>
        <x:v>33</x:v>
      </x:c>
      <x:c r="AR2614" t="n">
        <x:f>_xlfn.XLOOKUP($A2614,Games!$A$2:$A$18,Games!$M$2:$M$18,"Missing game",0)</x:f>
        <x:v>0</x:v>
      </x:c>
      <x:c r="AS2614" t="str">
        <x:f>_xlfn.XLOOKUP($A2614,Games!$A$2:$A$18,Games!$N$2:$N$18,"Missing game",0)</x:f>
        <x:v>dome</x:v>
      </x:c>
      <x:c r="AT2614" t="str">
        <x:f>_xlfn.XLOOKUP($A2614,Games!$A$2:$A$18,Games!$O$2:$O$18,"Missing game",0)</x:f>
        <x:v>sportturf</x:v>
      </x:c>
      <x:c r="AU2614" t="str">
        <x:f>_xlfn.XLOOKUP($A2614,Games!$A$2:$A$18,Games!$P$2:$P$18,"Missing game",0)</x:f>
      </x:c>
      <x:c r="AV2614" t="str">
        <x:f>_xlfn.XLOOKUP($A2614,Games!$A$2:$A$18,Games!$Q$2:$Q$18,"Missing game",0)</x:f>
      </x:c>
      <x:c r="AW2614" t="str">
        <x:f>_xlfn.XLOOKUP($A2614,Games!$A$2:$A$18,Games!$R$2:$R$18,"Missing game",0)</x:f>
        <x:v>U.S. Bank Stadium</x:v>
      </x:c>
    </x:row>
    <x:row r="2615">
      <x:c r="A2615" t="str">
        <x:v>2025_17_DET_MIN</x:v>
      </x:c>
      <x:c r="B2615" t="n">
        <x:v>3408</x:v>
      </x:c>
      <x:c r="C2615" t="n">
        <x:v>4</x:v>
      </x:c>
      <x:c r="D2615" t="str">
        <x:v>03:52</x:v>
      </x:c>
      <x:c r="E2615"/>
      <x:c r="F2615" t="n">
        <x:v>0</x:v>
      </x:c>
      <x:c r="G2615"/>
      <x:c r="H2615"/>
      <x:c r="I2615"/>
      <x:c r="J2615"/>
      <x:c r="K2615" t="str">
        <x:v>Timeout #1 by MIN at 03:52.</x:v>
      </x:c>
      <x:c r="L2615" t="str">
        <x:v>no_play</x:v>
      </x:c>
      <x:c r="M2615" t="n">
        <x:v>0</x:v>
      </x:c>
      <x:c r="N2615" t="n">
        <x:v>0</x:v>
      </x:c>
      <x:c r="O2615" t="n">
        <x:v>0</x:v>
      </x:c>
      <x:c r="P2615"/>
      <x:c r="Q2615"/>
      <x:c r="R2615"/>
      <x:c r="S2615"/>
      <x:c r="T2615"/>
      <x:c r="U2615"/>
      <x:c r="V2615" t="n">
        <x:v>0</x:v>
      </x:c>
      <x:c r="W2615" t="n">
        <x:v>0</x:v>
      </x:c>
      <x:c r="X2615" t="n">
        <x:v>0</x:v>
      </x:c>
      <x:c r="Y2615" t="n">
        <x:v>0</x:v>
      </x:c>
      <x:c r="Z2615" t="n">
        <x:v>0</x:v>
      </x:c>
      <x:c r="AA2615" t="n">
        <x:v>0</x:v>
      </x:c>
      <x:c r="AB2615"/>
      <x:c r="AC2615" t="n">
        <x:v>0</x:v>
      </x:c>
      <x:c r="AD2615" t="n">
        <x:v>0</x:v>
      </x:c>
      <x:c r="AE2615" t="n">
        <x:v>0</x:v>
      </x:c>
      <x:c r="AF2615" t="n">
        <x:v>0</x:v>
      </x:c>
      <x:c r="AG2615" t="n">
        <x:f>_xlfn.XLOOKUP($A2615,Games!$A$2:$A$18,Games!$B$2:$B$18,"Missing game",0)</x:f>
        <x:v>2025</x:v>
      </x:c>
      <x:c r="AH2615" t="str">
        <x:f>_xlfn.XLOOKUP($A2615,Games!$A$2:$A$18,Games!$C$2:$C$18,"Missing game",0)</x:f>
        <x:v>REG</x:v>
      </x:c>
      <x:c r="AI2615" t="n">
        <x:f>_xlfn.XLOOKUP($A2615,Games!$A$2:$A$18,Games!$D$2:$D$18,"Missing game",0)</x:f>
        <x:v>17</x:v>
      </x:c>
      <x:c r="AJ2615" s="1" t="n">
        <x:f>_xlfn.XLOOKUP($A2615,Games!$A$2:$A$18,Games!$E$2:$E$18,"Missing game",0)</x:f>
        <x:v>46016</x:v>
      </x:c>
      <x:c r="AK2615" t="str">
        <x:f>_xlfn.XLOOKUP($A2615,Games!$A$2:$A$18,Games!$F$2:$F$18,"Missing game",0)</x:f>
        <x:v>Thursday</x:v>
      </x:c>
      <x:c r="AL2615" t="str">
        <x:f>_xlfn.XLOOKUP($A2615,Games!$A$2:$A$18,Games!$G$2:$G$18,"Missing game",0)</x:f>
        <x:v>DET</x:v>
      </x:c>
      <x:c r="AM2615" t="n">
        <x:f>_xlfn.XLOOKUP($A2615,Games!$A$2:$A$18,Games!$H$2:$H$18,"Missing game",0)</x:f>
        <x:v>10</x:v>
      </x:c>
      <x:c r="AN2615" t="str">
        <x:f>_xlfn.XLOOKUP($A2615,Games!$A$2:$A$18,Games!$I$2:$I$18,"Missing game",0)</x:f>
        <x:v>MIN</x:v>
      </x:c>
      <x:c r="AO2615" t="n">
        <x:f>_xlfn.XLOOKUP($A2615,Games!$A$2:$A$18,Games!$J$2:$J$18,"Missing game",0)</x:f>
        <x:v>23</x:v>
      </x:c>
      <x:c r="AP2615" t="n">
        <x:f>_xlfn.XLOOKUP($A2615,Games!$A$2:$A$18,Games!$K$2:$K$18,"Missing game",0)</x:f>
        <x:v>13</x:v>
      </x:c>
      <x:c r="AQ2615" t="n">
        <x:f>_xlfn.XLOOKUP($A2615,Games!$A$2:$A$18,Games!$L$2:$L$18,"Missing game",0)</x:f>
        <x:v>33</x:v>
      </x:c>
      <x:c r="AR2615" t="n">
        <x:f>_xlfn.XLOOKUP($A2615,Games!$A$2:$A$18,Games!$M$2:$M$18,"Missing game",0)</x:f>
        <x:v>0</x:v>
      </x:c>
      <x:c r="AS2615" t="str">
        <x:f>_xlfn.XLOOKUP($A2615,Games!$A$2:$A$18,Games!$N$2:$N$18,"Missing game",0)</x:f>
        <x:v>dome</x:v>
      </x:c>
      <x:c r="AT2615" t="str">
        <x:f>_xlfn.XLOOKUP($A2615,Games!$A$2:$A$18,Games!$O$2:$O$18,"Missing game",0)</x:f>
        <x:v>sportturf</x:v>
      </x:c>
      <x:c r="AU2615" t="str">
        <x:f>_xlfn.XLOOKUP($A2615,Games!$A$2:$A$18,Games!$P$2:$P$18,"Missing game",0)</x:f>
      </x:c>
      <x:c r="AV2615" t="str">
        <x:f>_xlfn.XLOOKUP($A2615,Games!$A$2:$A$18,Games!$Q$2:$Q$18,"Missing game",0)</x:f>
      </x:c>
      <x:c r="AW2615" t="str">
        <x:f>_xlfn.XLOOKUP($A2615,Games!$A$2:$A$18,Games!$R$2:$R$18,"Missing game",0)</x:f>
        <x:v>U.S. Bank Stadium</x:v>
      </x:c>
    </x:row>
    <x:row r="2616">
      <x:c r="A2616" t="str">
        <x:v>2025_17_DET_MIN</x:v>
      </x:c>
      <x:c r="B2616" t="n">
        <x:v>3426</x:v>
      </x:c>
      <x:c r="C2616" t="n">
        <x:v>4</x:v>
      </x:c>
      <x:c r="D2616" t="str">
        <x:v>03:43</x:v>
      </x:c>
      <x:c r="E2616"/>
      <x:c r="F2616" t="n">
        <x:v>0</x:v>
      </x:c>
      <x:c r="G2616" t="str">
        <x:v>MIN</x:v>
      </x:c>
      <x:c r="H2616" t="str">
        <x:v>DET</x:v>
      </x:c>
      <x:c r="I2616" t="str">
        <x:v>DET</x:v>
      </x:c>
      <x:c r="J2616" t="n">
        <x:v>15</x:v>
      </x:c>
      <x:c r="K2616" t="str">
        <x:v>16-W.Reichard extra point is GOOD, Center-42-A.DePaola, Holder-17-R.Wright.</x:v>
      </x:c>
      <x:c r="L2616" t="str">
        <x:v>extra_point</x:v>
      </x:c>
      <x:c r="M2616" t="n">
        <x:v>0</x:v>
      </x:c>
      <x:c r="N2616" t="n">
        <x:v>0</x:v>
      </x:c>
      <x:c r="O2616" t="n">
        <x:v>0</x:v>
      </x:c>
      <x:c r="P2616"/>
      <x:c r="Q2616"/>
      <x:c r="R2616"/>
      <x:c r="S2616"/>
      <x:c r="T2616"/>
      <x:c r="U2616"/>
      <x:c r="V2616" t="n">
        <x:v>0</x:v>
      </x:c>
      <x:c r="W2616" t="n">
        <x:v>0</x:v>
      </x:c>
      <x:c r="X2616" t="n">
        <x:v>0</x:v>
      </x:c>
      <x:c r="Y2616" t="n">
        <x:v>0</x:v>
      </x:c>
      <x:c r="Z2616" t="n">
        <x:v>0</x:v>
      </x:c>
      <x:c r="AA2616" t="n">
        <x:v>0</x:v>
      </x:c>
      <x:c r="AB2616"/>
      <x:c r="AC2616" t="n">
        <x:v>0</x:v>
      </x:c>
      <x:c r="AD2616" t="n">
        <x:v>0.05117156607063911</x:v>
      </x:c>
      <x:c r="AE2616" t="n">
        <x:v>1</x:v>
      </x:c>
      <x:c r="AF2616" t="n">
        <x:v>-0.00001509304621682972</x:v>
      </x:c>
      <x:c r="AG2616" t="n">
        <x:f>_xlfn.XLOOKUP($A2616,Games!$A$2:$A$18,Games!$B$2:$B$18,"Missing game",0)</x:f>
        <x:v>2025</x:v>
      </x:c>
      <x:c r="AH2616" t="str">
        <x:f>_xlfn.XLOOKUP($A2616,Games!$A$2:$A$18,Games!$C$2:$C$18,"Missing game",0)</x:f>
        <x:v>REG</x:v>
      </x:c>
      <x:c r="AI2616" t="n">
        <x:f>_xlfn.XLOOKUP($A2616,Games!$A$2:$A$18,Games!$D$2:$D$18,"Missing game",0)</x:f>
        <x:v>17</x:v>
      </x:c>
      <x:c r="AJ2616" s="1" t="n">
        <x:f>_xlfn.XLOOKUP($A2616,Games!$A$2:$A$18,Games!$E$2:$E$18,"Missing game",0)</x:f>
        <x:v>46016</x:v>
      </x:c>
      <x:c r="AK2616" t="str">
        <x:f>_xlfn.XLOOKUP($A2616,Games!$A$2:$A$18,Games!$F$2:$F$18,"Missing game",0)</x:f>
        <x:v>Thursday</x:v>
      </x:c>
      <x:c r="AL2616" t="str">
        <x:f>_xlfn.XLOOKUP($A2616,Games!$A$2:$A$18,Games!$G$2:$G$18,"Missing game",0)</x:f>
        <x:v>DET</x:v>
      </x:c>
      <x:c r="AM2616" t="n">
        <x:f>_xlfn.XLOOKUP($A2616,Games!$A$2:$A$18,Games!$H$2:$H$18,"Missing game",0)</x:f>
        <x:v>10</x:v>
      </x:c>
      <x:c r="AN2616" t="str">
        <x:f>_xlfn.XLOOKUP($A2616,Games!$A$2:$A$18,Games!$I$2:$I$18,"Missing game",0)</x:f>
        <x:v>MIN</x:v>
      </x:c>
      <x:c r="AO2616" t="n">
        <x:f>_xlfn.XLOOKUP($A2616,Games!$A$2:$A$18,Games!$J$2:$J$18,"Missing game",0)</x:f>
        <x:v>23</x:v>
      </x:c>
      <x:c r="AP2616" t="n">
        <x:f>_xlfn.XLOOKUP($A2616,Games!$A$2:$A$18,Games!$K$2:$K$18,"Missing game",0)</x:f>
        <x:v>13</x:v>
      </x:c>
      <x:c r="AQ2616" t="n">
        <x:f>_xlfn.XLOOKUP($A2616,Games!$A$2:$A$18,Games!$L$2:$L$18,"Missing game",0)</x:f>
        <x:v>33</x:v>
      </x:c>
      <x:c r="AR2616" t="n">
        <x:f>_xlfn.XLOOKUP($A2616,Games!$A$2:$A$18,Games!$M$2:$M$18,"Missing game",0)</x:f>
        <x:v>0</x:v>
      </x:c>
      <x:c r="AS2616" t="str">
        <x:f>_xlfn.XLOOKUP($A2616,Games!$A$2:$A$18,Games!$N$2:$N$18,"Missing game",0)</x:f>
        <x:v>dome</x:v>
      </x:c>
      <x:c r="AT2616" t="str">
        <x:f>_xlfn.XLOOKUP($A2616,Games!$A$2:$A$18,Games!$O$2:$O$18,"Missing game",0)</x:f>
        <x:v>sportturf</x:v>
      </x:c>
      <x:c r="AU2616" t="str">
        <x:f>_xlfn.XLOOKUP($A2616,Games!$A$2:$A$18,Games!$P$2:$P$18,"Missing game",0)</x:f>
      </x:c>
      <x:c r="AV2616" t="str">
        <x:f>_xlfn.XLOOKUP($A2616,Games!$A$2:$A$18,Games!$Q$2:$Q$18,"Missing game",0)</x:f>
      </x:c>
      <x:c r="AW2616" t="str">
        <x:f>_xlfn.XLOOKUP($A2616,Games!$A$2:$A$18,Games!$R$2:$R$18,"Missing game",0)</x:f>
        <x:v>U.S. Bank Stadium</x:v>
      </x:c>
    </x:row>
    <x:row r="2617">
      <x:c r="A2617" t="str">
        <x:v>2025_17_DET_MIN</x:v>
      </x:c>
      <x:c r="B2617" t="n">
        <x:v>3441</x:v>
      </x:c>
      <x:c r="C2617" t="n">
        <x:v>4</x:v>
      </x:c>
      <x:c r="D2617" t="str">
        <x:v>03:43</x:v>
      </x:c>
      <x:c r="E2617"/>
      <x:c r="F2617" t="n">
        <x:v>0</x:v>
      </x:c>
      <x:c r="G2617" t="str">
        <x:v>DET</x:v>
      </x:c>
      <x:c r="H2617" t="str">
        <x:v>MIN</x:v>
      </x:c>
      <x:c r="I2617" t="str">
        <x:v>MIN</x:v>
      </x:c>
      <x:c r="J2617" t="n">
        <x:v>35</x:v>
      </x:c>
      <x:c r="K2617" t="str">
        <x:v>16-W.Reichard kicks 65 yards from MIN 35 to end zone, Touchback to the DET 35.</x:v>
      </x:c>
      <x:c r="L2617" t="str">
        <x:v>kickoff</x:v>
      </x:c>
      <x:c r="M2617" t="n">
        <x:v>0</x:v>
      </x:c>
      <x:c r="N2617" t="n">
        <x:v>0</x:v>
      </x:c>
      <x:c r="O2617" t="n">
        <x:v>0</x:v>
      </x:c>
      <x:c r="P2617"/>
      <x:c r="Q2617"/>
      <x:c r="R2617"/>
      <x:c r="S2617"/>
      <x:c r="T2617"/>
      <x:c r="U2617"/>
      <x:c r="V2617" t="n">
        <x:v>0</x:v>
      </x:c>
      <x:c r="W2617" t="n">
        <x:v>0</x:v>
      </x:c>
      <x:c r="X2617" t="n">
        <x:v>0</x:v>
      </x:c>
      <x:c r="Y2617" t="n">
        <x:v>0</x:v>
      </x:c>
      <x:c r="Z2617" t="n">
        <x:v>0</x:v>
      </x:c>
      <x:c r="AA2617" t="n">
        <x:v>0</x:v>
      </x:c>
      <x:c r="AB2617"/>
      <x:c r="AC2617" t="n">
        <x:v>0</x:v>
      </x:c>
      <x:c r="AD2617" t="n">
        <x:v>0.5883296789834276</x:v>
      </x:c>
      <x:c r="AE2617" t="n">
        <x:v>1</x:v>
      </x:c>
      <x:c r="AF2617" t="n">
        <x:v>0.005658134818077087</x:v>
      </x:c>
      <x:c r="AG2617" t="n">
        <x:f>_xlfn.XLOOKUP($A2617,Games!$A$2:$A$18,Games!$B$2:$B$18,"Missing game",0)</x:f>
        <x:v>2025</x:v>
      </x:c>
      <x:c r="AH2617" t="str">
        <x:f>_xlfn.XLOOKUP($A2617,Games!$A$2:$A$18,Games!$C$2:$C$18,"Missing game",0)</x:f>
        <x:v>REG</x:v>
      </x:c>
      <x:c r="AI2617" t="n">
        <x:f>_xlfn.XLOOKUP($A2617,Games!$A$2:$A$18,Games!$D$2:$D$18,"Missing game",0)</x:f>
        <x:v>17</x:v>
      </x:c>
      <x:c r="AJ2617" s="1" t="n">
        <x:f>_xlfn.XLOOKUP($A2617,Games!$A$2:$A$18,Games!$E$2:$E$18,"Missing game",0)</x:f>
        <x:v>46016</x:v>
      </x:c>
      <x:c r="AK2617" t="str">
        <x:f>_xlfn.XLOOKUP($A2617,Games!$A$2:$A$18,Games!$F$2:$F$18,"Missing game",0)</x:f>
        <x:v>Thursday</x:v>
      </x:c>
      <x:c r="AL2617" t="str">
        <x:f>_xlfn.XLOOKUP($A2617,Games!$A$2:$A$18,Games!$G$2:$G$18,"Missing game",0)</x:f>
        <x:v>DET</x:v>
      </x:c>
      <x:c r="AM2617" t="n">
        <x:f>_xlfn.XLOOKUP($A2617,Games!$A$2:$A$18,Games!$H$2:$H$18,"Missing game",0)</x:f>
        <x:v>10</x:v>
      </x:c>
      <x:c r="AN2617" t="str">
        <x:f>_xlfn.XLOOKUP($A2617,Games!$A$2:$A$18,Games!$I$2:$I$18,"Missing game",0)</x:f>
        <x:v>MIN</x:v>
      </x:c>
      <x:c r="AO2617" t="n">
        <x:f>_xlfn.XLOOKUP($A2617,Games!$A$2:$A$18,Games!$J$2:$J$18,"Missing game",0)</x:f>
        <x:v>23</x:v>
      </x:c>
      <x:c r="AP2617" t="n">
        <x:f>_xlfn.XLOOKUP($A2617,Games!$A$2:$A$18,Games!$K$2:$K$18,"Missing game",0)</x:f>
        <x:v>13</x:v>
      </x:c>
      <x:c r="AQ2617" t="n">
        <x:f>_xlfn.XLOOKUP($A2617,Games!$A$2:$A$18,Games!$L$2:$L$18,"Missing game",0)</x:f>
        <x:v>33</x:v>
      </x:c>
      <x:c r="AR2617" t="n">
        <x:f>_xlfn.XLOOKUP($A2617,Games!$A$2:$A$18,Games!$M$2:$M$18,"Missing game",0)</x:f>
        <x:v>0</x:v>
      </x:c>
      <x:c r="AS2617" t="str">
        <x:f>_xlfn.XLOOKUP($A2617,Games!$A$2:$A$18,Games!$N$2:$N$18,"Missing game",0)</x:f>
        <x:v>dome</x:v>
      </x:c>
      <x:c r="AT2617" t="str">
        <x:f>_xlfn.XLOOKUP($A2617,Games!$A$2:$A$18,Games!$O$2:$O$18,"Missing game",0)</x:f>
        <x:v>sportturf</x:v>
      </x:c>
      <x:c r="AU2617" t="str">
        <x:f>_xlfn.XLOOKUP($A2617,Games!$A$2:$A$18,Games!$P$2:$P$18,"Missing game",0)</x:f>
      </x:c>
      <x:c r="AV2617" t="str">
        <x:f>_xlfn.XLOOKUP($A2617,Games!$A$2:$A$18,Games!$Q$2:$Q$18,"Missing game",0)</x:f>
      </x:c>
      <x:c r="AW2617" t="str">
        <x:f>_xlfn.XLOOKUP($A2617,Games!$A$2:$A$18,Games!$R$2:$R$18,"Missing game",0)</x:f>
        <x:v>U.S. Bank Stadium</x:v>
      </x:c>
    </x:row>
    <x:row r="2618">
      <x:c r="A2618" t="str">
        <x:v>2025_17_DET_MIN</x:v>
      </x:c>
      <x:c r="B2618" t="n">
        <x:v>3458</x:v>
      </x:c>
      <x:c r="C2618" t="n">
        <x:v>4</x:v>
      </x:c>
      <x:c r="D2618" t="str">
        <x:v>03:43</x:v>
      </x:c>
      <x:c r="E2618" t="n">
        <x:v>1</x:v>
      </x:c>
      <x:c r="F2618" t="n">
        <x:v>10</x:v>
      </x:c>
      <x:c r="G2618" t="str">
        <x:v>DET</x:v>
      </x:c>
      <x:c r="H2618" t="str">
        <x:v>MIN</x:v>
      </x:c>
      <x:c r="I2618" t="str">
        <x:v>DET</x:v>
      </x:c>
      <x:c r="J2618" t="n">
        <x:v>65</x:v>
      </x:c>
      <x:c r="K2618" t="str">
        <x:v>(3:43) (Shotgun) 16-J.Goff pass deep right to 1-J.Williams to MIN 43 for 22 yards (26-T.Jackson). ** Injury Update: MIN-26-T.Jackson has returned to the game.</x:v>
      </x:c>
      <x:c r="L2618" t="str">
        <x:v>pass</x:v>
      </x:c>
      <x:c r="M2618" t="n">
        <x:v>22</x:v>
      </x:c>
      <x:c r="N2618" t="n">
        <x:v>1</x:v>
      </x:c>
      <x:c r="O2618" t="n">
        <x:v>0</x:v>
      </x:c>
      <x:c r="P2618" t="str">
        <x:v>deep</x:v>
      </x:c>
      <x:c r="Q2618" t="str">
        <x:v>right</x:v>
      </x:c>
      <x:c r="R2618" t="n">
        <x:v>19</x:v>
      </x:c>
      <x:c r="S2618" t="n">
        <x:v>3</x:v>
      </x:c>
      <x:c r="T2618"/>
      <x:c r="U2618"/>
      <x:c r="V2618" t="n">
        <x:v>1</x:v>
      </x:c>
      <x:c r="W2618" t="n">
        <x:v>1</x:v>
      </x:c>
      <x:c r="X2618" t="n">
        <x:v>0</x:v>
      </x:c>
      <x:c r="Y2618" t="n">
        <x:v>0</x:v>
      </x:c>
      <x:c r="Z2618" t="n">
        <x:v>0</x:v>
      </x:c>
      <x:c r="AA2618" t="n">
        <x:v>0</x:v>
      </x:c>
      <x:c r="AB2618"/>
      <x:c r="AC2618" t="n">
        <x:v>0</x:v>
      </x:c>
      <x:c r="AD2618" t="n">
        <x:v>1.3050655873958021</x:v>
      </x:c>
      <x:c r="AE2618" t="n">
        <x:v>1</x:v>
      </x:c>
      <x:c r="AF2618" t="n">
        <x:v>0.034645892679691315</x:v>
      </x:c>
      <x:c r="AG2618" t="n">
        <x:f>_xlfn.XLOOKUP($A2618,Games!$A$2:$A$18,Games!$B$2:$B$18,"Missing game",0)</x:f>
        <x:v>2025</x:v>
      </x:c>
      <x:c r="AH2618" t="str">
        <x:f>_xlfn.XLOOKUP($A2618,Games!$A$2:$A$18,Games!$C$2:$C$18,"Missing game",0)</x:f>
        <x:v>REG</x:v>
      </x:c>
      <x:c r="AI2618" t="n">
        <x:f>_xlfn.XLOOKUP($A2618,Games!$A$2:$A$18,Games!$D$2:$D$18,"Missing game",0)</x:f>
        <x:v>17</x:v>
      </x:c>
      <x:c r="AJ2618" s="1" t="n">
        <x:f>_xlfn.XLOOKUP($A2618,Games!$A$2:$A$18,Games!$E$2:$E$18,"Missing game",0)</x:f>
        <x:v>46016</x:v>
      </x:c>
      <x:c r="AK2618" t="str">
        <x:f>_xlfn.XLOOKUP($A2618,Games!$A$2:$A$18,Games!$F$2:$F$18,"Missing game",0)</x:f>
        <x:v>Thursday</x:v>
      </x:c>
      <x:c r="AL2618" t="str">
        <x:f>_xlfn.XLOOKUP($A2618,Games!$A$2:$A$18,Games!$G$2:$G$18,"Missing game",0)</x:f>
        <x:v>DET</x:v>
      </x:c>
      <x:c r="AM2618" t="n">
        <x:f>_xlfn.XLOOKUP($A2618,Games!$A$2:$A$18,Games!$H$2:$H$18,"Missing game",0)</x:f>
        <x:v>10</x:v>
      </x:c>
      <x:c r="AN2618" t="str">
        <x:f>_xlfn.XLOOKUP($A2618,Games!$A$2:$A$18,Games!$I$2:$I$18,"Missing game",0)</x:f>
        <x:v>MIN</x:v>
      </x:c>
      <x:c r="AO2618" t="n">
        <x:f>_xlfn.XLOOKUP($A2618,Games!$A$2:$A$18,Games!$J$2:$J$18,"Missing game",0)</x:f>
        <x:v>23</x:v>
      </x:c>
      <x:c r="AP2618" t="n">
        <x:f>_xlfn.XLOOKUP($A2618,Games!$A$2:$A$18,Games!$K$2:$K$18,"Missing game",0)</x:f>
        <x:v>13</x:v>
      </x:c>
      <x:c r="AQ2618" t="n">
        <x:f>_xlfn.XLOOKUP($A2618,Games!$A$2:$A$18,Games!$L$2:$L$18,"Missing game",0)</x:f>
        <x:v>33</x:v>
      </x:c>
      <x:c r="AR2618" t="n">
        <x:f>_xlfn.XLOOKUP($A2618,Games!$A$2:$A$18,Games!$M$2:$M$18,"Missing game",0)</x:f>
        <x:v>0</x:v>
      </x:c>
      <x:c r="AS2618" t="str">
        <x:f>_xlfn.XLOOKUP($A2618,Games!$A$2:$A$18,Games!$N$2:$N$18,"Missing game",0)</x:f>
        <x:v>dome</x:v>
      </x:c>
      <x:c r="AT2618" t="str">
        <x:f>_xlfn.XLOOKUP($A2618,Games!$A$2:$A$18,Games!$O$2:$O$18,"Missing game",0)</x:f>
        <x:v>sportturf</x:v>
      </x:c>
      <x:c r="AU2618" t="str">
        <x:f>_xlfn.XLOOKUP($A2618,Games!$A$2:$A$18,Games!$P$2:$P$18,"Missing game",0)</x:f>
      </x:c>
      <x:c r="AV2618" t="str">
        <x:f>_xlfn.XLOOKUP($A2618,Games!$A$2:$A$18,Games!$Q$2:$Q$18,"Missing game",0)</x:f>
      </x:c>
      <x:c r="AW2618" t="str">
        <x:f>_xlfn.XLOOKUP($A2618,Games!$A$2:$A$18,Games!$R$2:$R$18,"Missing game",0)</x:f>
        <x:v>U.S. Bank Stadium</x:v>
      </x:c>
    </x:row>
    <x:row r="2619">
      <x:c r="A2619" t="str">
        <x:v>2025_17_DET_MIN</x:v>
      </x:c>
      <x:c r="B2619" t="n">
        <x:v>3483</x:v>
      </x:c>
      <x:c r="C2619" t="n">
        <x:v>4</x:v>
      </x:c>
      <x:c r="D2619" t="str">
        <x:v>03:14</x:v>
      </x:c>
      <x:c r="E2619" t="n">
        <x:v>1</x:v>
      </x:c>
      <x:c r="F2619" t="n">
        <x:v>10</x:v>
      </x:c>
      <x:c r="G2619" t="str">
        <x:v>DET</x:v>
      </x:c>
      <x:c r="H2619" t="str">
        <x:v>MIN</x:v>
      </x:c>
      <x:c r="I2619" t="str">
        <x:v>MIN</x:v>
      </x:c>
      <x:c r="J2619" t="n">
        <x:v>43</x:v>
      </x:c>
      <x:c r="K2619" t="str">
        <x:v>(3:14) (No Huddle, Shotgun) 16-J.Goff pass incomplete short right to 86-A.Firkser.</x:v>
      </x:c>
      <x:c r="L2619" t="str">
        <x:v>pass</x:v>
      </x:c>
      <x:c r="M2619" t="n">
        <x:v>0</x:v>
      </x:c>
      <x:c r="N2619" t="n">
        <x:v>1</x:v>
      </x:c>
      <x:c r="O2619" t="n">
        <x:v>1</x:v>
      </x:c>
      <x:c r="P2619" t="str">
        <x:v>short</x:v>
      </x:c>
      <x:c r="Q2619" t="str">
        <x:v>right</x:v>
      </x:c>
      <x:c r="R2619" t="n">
        <x:v>2</x:v>
      </x:c>
      <x:c r="S2619"/>
      <x:c r="T2619"/>
      <x:c r="U2619"/>
      <x:c r="V2619" t="n">
        <x:v>0</x:v>
      </x:c>
      <x:c r="W2619" t="n">
        <x:v>0</x:v>
      </x:c>
      <x:c r="X2619" t="n">
        <x:v>0</x:v>
      </x:c>
      <x:c r="Y2619" t="n">
        <x:v>0</x:v>
      </x:c>
      <x:c r="Z2619" t="n">
        <x:v>0</x:v>
      </x:c>
      <x:c r="AA2619" t="n">
        <x:v>0</x:v>
      </x:c>
      <x:c r="AB2619"/>
      <x:c r="AC2619" t="n">
        <x:v>0</x:v>
      </x:c>
      <x:c r="AD2619" t="n">
        <x:v>-0.4840603802003898</x:v>
      </x:c>
      <x:c r="AE2619" t="n">
        <x:v>0</x:v>
      </x:c>
      <x:c r="AF2619" t="n">
        <x:v>-0.014618031680583954</x:v>
      </x:c>
      <x:c r="AG2619" t="n">
        <x:f>_xlfn.XLOOKUP($A2619,Games!$A$2:$A$18,Games!$B$2:$B$18,"Missing game",0)</x:f>
        <x:v>2025</x:v>
      </x:c>
      <x:c r="AH2619" t="str">
        <x:f>_xlfn.XLOOKUP($A2619,Games!$A$2:$A$18,Games!$C$2:$C$18,"Missing game",0)</x:f>
        <x:v>REG</x:v>
      </x:c>
      <x:c r="AI2619" t="n">
        <x:f>_xlfn.XLOOKUP($A2619,Games!$A$2:$A$18,Games!$D$2:$D$18,"Missing game",0)</x:f>
        <x:v>17</x:v>
      </x:c>
      <x:c r="AJ2619" s="1" t="n">
        <x:f>_xlfn.XLOOKUP($A2619,Games!$A$2:$A$18,Games!$E$2:$E$18,"Missing game",0)</x:f>
        <x:v>46016</x:v>
      </x:c>
      <x:c r="AK2619" t="str">
        <x:f>_xlfn.XLOOKUP($A2619,Games!$A$2:$A$18,Games!$F$2:$F$18,"Missing game",0)</x:f>
        <x:v>Thursday</x:v>
      </x:c>
      <x:c r="AL2619" t="str">
        <x:f>_xlfn.XLOOKUP($A2619,Games!$A$2:$A$18,Games!$G$2:$G$18,"Missing game",0)</x:f>
        <x:v>DET</x:v>
      </x:c>
      <x:c r="AM2619" t="n">
        <x:f>_xlfn.XLOOKUP($A2619,Games!$A$2:$A$18,Games!$H$2:$H$18,"Missing game",0)</x:f>
        <x:v>10</x:v>
      </x:c>
      <x:c r="AN2619" t="str">
        <x:f>_xlfn.XLOOKUP($A2619,Games!$A$2:$A$18,Games!$I$2:$I$18,"Missing game",0)</x:f>
        <x:v>MIN</x:v>
      </x:c>
      <x:c r="AO2619" t="n">
        <x:f>_xlfn.XLOOKUP($A2619,Games!$A$2:$A$18,Games!$J$2:$J$18,"Missing game",0)</x:f>
        <x:v>23</x:v>
      </x:c>
      <x:c r="AP2619" t="n">
        <x:f>_xlfn.XLOOKUP($A2619,Games!$A$2:$A$18,Games!$K$2:$K$18,"Missing game",0)</x:f>
        <x:v>13</x:v>
      </x:c>
      <x:c r="AQ2619" t="n">
        <x:f>_xlfn.XLOOKUP($A2619,Games!$A$2:$A$18,Games!$L$2:$L$18,"Missing game",0)</x:f>
        <x:v>33</x:v>
      </x:c>
      <x:c r="AR2619" t="n">
        <x:f>_xlfn.XLOOKUP($A2619,Games!$A$2:$A$18,Games!$M$2:$M$18,"Missing game",0)</x:f>
        <x:v>0</x:v>
      </x:c>
      <x:c r="AS2619" t="str">
        <x:f>_xlfn.XLOOKUP($A2619,Games!$A$2:$A$18,Games!$N$2:$N$18,"Missing game",0)</x:f>
        <x:v>dome</x:v>
      </x:c>
      <x:c r="AT2619" t="str">
        <x:f>_xlfn.XLOOKUP($A2619,Games!$A$2:$A$18,Games!$O$2:$O$18,"Missing game",0)</x:f>
        <x:v>sportturf</x:v>
      </x:c>
      <x:c r="AU2619" t="str">
        <x:f>_xlfn.XLOOKUP($A2619,Games!$A$2:$A$18,Games!$P$2:$P$18,"Missing game",0)</x:f>
      </x:c>
      <x:c r="AV2619" t="str">
        <x:f>_xlfn.XLOOKUP($A2619,Games!$A$2:$A$18,Games!$Q$2:$Q$18,"Missing game",0)</x:f>
      </x:c>
      <x:c r="AW2619" t="str">
        <x:f>_xlfn.XLOOKUP($A2619,Games!$A$2:$A$18,Games!$R$2:$R$18,"Missing game",0)</x:f>
        <x:v>U.S. Bank Stadium</x:v>
      </x:c>
    </x:row>
    <x:row r="2620">
      <x:c r="A2620" t="str">
        <x:v>2025_17_DET_MIN</x:v>
      </x:c>
      <x:c r="B2620" t="n">
        <x:v>3509</x:v>
      </x:c>
      <x:c r="C2620" t="n">
        <x:v>4</x:v>
      </x:c>
      <x:c r="D2620" t="str">
        <x:v>03:11</x:v>
      </x:c>
      <x:c r="E2620" t="n">
        <x:v>2</x:v>
      </x:c>
      <x:c r="F2620" t="n">
        <x:v>10</x:v>
      </x:c>
      <x:c r="G2620" t="str">
        <x:v>DET</x:v>
      </x:c>
      <x:c r="H2620" t="str">
        <x:v>MIN</x:v>
      </x:c>
      <x:c r="I2620" t="str">
        <x:v>MIN</x:v>
      </x:c>
      <x:c r="J2620" t="n">
        <x:v>43</x:v>
      </x:c>
      <x:c r="K2620" t="str">
        <x:v>(3:11) (Shotgun) 16-J.Goff pass incomplete deep middle to 14-A.St. Brown [97-J.Hargrave].</x:v>
      </x:c>
      <x:c r="L2620" t="str">
        <x:v>pass</x:v>
      </x:c>
      <x:c r="M2620" t="n">
        <x:v>0</x:v>
      </x:c>
      <x:c r="N2620" t="n">
        <x:v>1</x:v>
      </x:c>
      <x:c r="O2620" t="n">
        <x:v>0</x:v>
      </x:c>
      <x:c r="P2620" t="str">
        <x:v>deep</x:v>
      </x:c>
      <x:c r="Q2620" t="str">
        <x:v>middle</x:v>
      </x:c>
      <x:c r="R2620" t="n">
        <x:v>16</x:v>
      </x:c>
      <x:c r="S2620"/>
      <x:c r="T2620"/>
      <x:c r="U2620"/>
      <x:c r="V2620" t="n">
        <x:v>0</x:v>
      </x:c>
      <x:c r="W2620" t="n">
        <x:v>0</x:v>
      </x:c>
      <x:c r="X2620" t="n">
        <x:v>0</x:v>
      </x:c>
      <x:c r="Y2620" t="n">
        <x:v>0</x:v>
      </x:c>
      <x:c r="Z2620" t="n">
        <x:v>0</x:v>
      </x:c>
      <x:c r="AA2620" t="n">
        <x:v>0</x:v>
      </x:c>
      <x:c r="AB2620"/>
      <x:c r="AC2620" t="n">
        <x:v>0</x:v>
      </x:c>
      <x:c r="AD2620" t="n">
        <x:v>-0.6734837254043669</x:v>
      </x:c>
      <x:c r="AE2620" t="n">
        <x:v>0</x:v>
      </x:c>
      <x:c r="AF2620" t="n">
        <x:v>-0.020055100321769714</x:v>
      </x:c>
      <x:c r="AG2620" t="n">
        <x:f>_xlfn.XLOOKUP($A2620,Games!$A$2:$A$18,Games!$B$2:$B$18,"Missing game",0)</x:f>
        <x:v>2025</x:v>
      </x:c>
      <x:c r="AH2620" t="str">
        <x:f>_xlfn.XLOOKUP($A2620,Games!$A$2:$A$18,Games!$C$2:$C$18,"Missing game",0)</x:f>
        <x:v>REG</x:v>
      </x:c>
      <x:c r="AI2620" t="n">
        <x:f>_xlfn.XLOOKUP($A2620,Games!$A$2:$A$18,Games!$D$2:$D$18,"Missing game",0)</x:f>
        <x:v>17</x:v>
      </x:c>
      <x:c r="AJ2620" s="1" t="n">
        <x:f>_xlfn.XLOOKUP($A2620,Games!$A$2:$A$18,Games!$E$2:$E$18,"Missing game",0)</x:f>
        <x:v>46016</x:v>
      </x:c>
      <x:c r="AK2620" t="str">
        <x:f>_xlfn.XLOOKUP($A2620,Games!$A$2:$A$18,Games!$F$2:$F$18,"Missing game",0)</x:f>
        <x:v>Thursday</x:v>
      </x:c>
      <x:c r="AL2620" t="str">
        <x:f>_xlfn.XLOOKUP($A2620,Games!$A$2:$A$18,Games!$G$2:$G$18,"Missing game",0)</x:f>
        <x:v>DET</x:v>
      </x:c>
      <x:c r="AM2620" t="n">
        <x:f>_xlfn.XLOOKUP($A2620,Games!$A$2:$A$18,Games!$H$2:$H$18,"Missing game",0)</x:f>
        <x:v>10</x:v>
      </x:c>
      <x:c r="AN2620" t="str">
        <x:f>_xlfn.XLOOKUP($A2620,Games!$A$2:$A$18,Games!$I$2:$I$18,"Missing game",0)</x:f>
        <x:v>MIN</x:v>
      </x:c>
      <x:c r="AO2620" t="n">
        <x:f>_xlfn.XLOOKUP($A2620,Games!$A$2:$A$18,Games!$J$2:$J$18,"Missing game",0)</x:f>
        <x:v>23</x:v>
      </x:c>
      <x:c r="AP2620" t="n">
        <x:f>_xlfn.XLOOKUP($A2620,Games!$A$2:$A$18,Games!$K$2:$K$18,"Missing game",0)</x:f>
        <x:v>13</x:v>
      </x:c>
      <x:c r="AQ2620" t="n">
        <x:f>_xlfn.XLOOKUP($A2620,Games!$A$2:$A$18,Games!$L$2:$L$18,"Missing game",0)</x:f>
        <x:v>33</x:v>
      </x:c>
      <x:c r="AR2620" t="n">
        <x:f>_xlfn.XLOOKUP($A2620,Games!$A$2:$A$18,Games!$M$2:$M$18,"Missing game",0)</x:f>
        <x:v>0</x:v>
      </x:c>
      <x:c r="AS2620" t="str">
        <x:f>_xlfn.XLOOKUP($A2620,Games!$A$2:$A$18,Games!$N$2:$N$18,"Missing game",0)</x:f>
        <x:v>dome</x:v>
      </x:c>
      <x:c r="AT2620" t="str">
        <x:f>_xlfn.XLOOKUP($A2620,Games!$A$2:$A$18,Games!$O$2:$O$18,"Missing game",0)</x:f>
        <x:v>sportturf</x:v>
      </x:c>
      <x:c r="AU2620" t="str">
        <x:f>_xlfn.XLOOKUP($A2620,Games!$A$2:$A$18,Games!$P$2:$P$18,"Missing game",0)</x:f>
      </x:c>
      <x:c r="AV2620" t="str">
        <x:f>_xlfn.XLOOKUP($A2620,Games!$A$2:$A$18,Games!$Q$2:$Q$18,"Missing game",0)</x:f>
      </x:c>
      <x:c r="AW2620" t="str">
        <x:f>_xlfn.XLOOKUP($A2620,Games!$A$2:$A$18,Games!$R$2:$R$18,"Missing game",0)</x:f>
        <x:v>U.S. Bank Stadium</x:v>
      </x:c>
    </x:row>
    <x:row r="2621">
      <x:c r="A2621" t="str">
        <x:v>2025_17_DET_MIN</x:v>
      </x:c>
      <x:c r="B2621" t="n">
        <x:v>3532</x:v>
      </x:c>
      <x:c r="C2621" t="n">
        <x:v>4</x:v>
      </x:c>
      <x:c r="D2621" t="str">
        <x:v>03:08</x:v>
      </x:c>
      <x:c r="E2621" t="n">
        <x:v>3</x:v>
      </x:c>
      <x:c r="F2621" t="n">
        <x:v>10</x:v>
      </x:c>
      <x:c r="G2621" t="str">
        <x:v>DET</x:v>
      </x:c>
      <x:c r="H2621" t="str">
        <x:v>MIN</x:v>
      </x:c>
      <x:c r="I2621" t="str">
        <x:v>MIN</x:v>
      </x:c>
      <x:c r="J2621" t="n">
        <x:v>43</x:v>
      </x:c>
      <x:c r="K2621" t="str">
        <x:v>(3:08) (Shotgun) 16-J.Goff FUMBLES (Aborted) at MIN 48, RECOVERED by MIN-43-A.Van Ginkel at DET 45.</x:v>
      </x:c>
      <x:c r="L2621" t="str">
        <x:v>run</x:v>
      </x:c>
      <x:c r="M2621" t="n">
        <x:v>0</x:v>
      </x:c>
      <x:c r="N2621" t="n">
        <x:v>1</x:v>
      </x:c>
      <x:c r="O2621" t="n">
        <x:v>0</x:v>
      </x:c>
      <x:c r="P2621"/>
      <x:c r="Q2621"/>
      <x:c r="R2621"/>
      <x:c r="S2621"/>
      <x:c r="T2621"/>
      <x:c r="U2621"/>
      <x:c r="V2621" t="n">
        <x:v>0</x:v>
      </x:c>
      <x:c r="W2621" t="n">
        <x:v>0</x:v>
      </x:c>
      <x:c r="X2621" t="n">
        <x:v>0</x:v>
      </x:c>
      <x:c r="Y2621" t="n">
        <x:v>0</x:v>
      </x:c>
      <x:c r="Z2621" t="n">
        <x:v>1</x:v>
      </x:c>
      <x:c r="AA2621" t="n">
        <x:v>0</x:v>
      </x:c>
      <x:c r="AB2621"/>
      <x:c r="AC2621" t="n">
        <x:v>0</x:v>
      </x:c>
      <x:c r="AD2621" t="n">
        <x:v>-4.676419907889795</x:v>
      </x:c>
      <x:c r="AE2621" t="n">
        <x:v>0</x:v>
      </x:c>
      <x:c r="AF2621" t="n">
        <x:v>-0.05089361220598221</x:v>
      </x:c>
      <x:c r="AG2621" t="n">
        <x:f>_xlfn.XLOOKUP($A2621,Games!$A$2:$A$18,Games!$B$2:$B$18,"Missing game",0)</x:f>
        <x:v>2025</x:v>
      </x:c>
      <x:c r="AH2621" t="str">
        <x:f>_xlfn.XLOOKUP($A2621,Games!$A$2:$A$18,Games!$C$2:$C$18,"Missing game",0)</x:f>
        <x:v>REG</x:v>
      </x:c>
      <x:c r="AI2621" t="n">
        <x:f>_xlfn.XLOOKUP($A2621,Games!$A$2:$A$18,Games!$D$2:$D$18,"Missing game",0)</x:f>
        <x:v>17</x:v>
      </x:c>
      <x:c r="AJ2621" s="1" t="n">
        <x:f>_xlfn.XLOOKUP($A2621,Games!$A$2:$A$18,Games!$E$2:$E$18,"Missing game",0)</x:f>
        <x:v>46016</x:v>
      </x:c>
      <x:c r="AK2621" t="str">
        <x:f>_xlfn.XLOOKUP($A2621,Games!$A$2:$A$18,Games!$F$2:$F$18,"Missing game",0)</x:f>
        <x:v>Thursday</x:v>
      </x:c>
      <x:c r="AL2621" t="str">
        <x:f>_xlfn.XLOOKUP($A2621,Games!$A$2:$A$18,Games!$G$2:$G$18,"Missing game",0)</x:f>
        <x:v>DET</x:v>
      </x:c>
      <x:c r="AM2621" t="n">
        <x:f>_xlfn.XLOOKUP($A2621,Games!$A$2:$A$18,Games!$H$2:$H$18,"Missing game",0)</x:f>
        <x:v>10</x:v>
      </x:c>
      <x:c r="AN2621" t="str">
        <x:f>_xlfn.XLOOKUP($A2621,Games!$A$2:$A$18,Games!$I$2:$I$18,"Missing game",0)</x:f>
        <x:v>MIN</x:v>
      </x:c>
      <x:c r="AO2621" t="n">
        <x:f>_xlfn.XLOOKUP($A2621,Games!$A$2:$A$18,Games!$J$2:$J$18,"Missing game",0)</x:f>
        <x:v>23</x:v>
      </x:c>
      <x:c r="AP2621" t="n">
        <x:f>_xlfn.XLOOKUP($A2621,Games!$A$2:$A$18,Games!$K$2:$K$18,"Missing game",0)</x:f>
        <x:v>13</x:v>
      </x:c>
      <x:c r="AQ2621" t="n">
        <x:f>_xlfn.XLOOKUP($A2621,Games!$A$2:$A$18,Games!$L$2:$L$18,"Missing game",0)</x:f>
        <x:v>33</x:v>
      </x:c>
      <x:c r="AR2621" t="n">
        <x:f>_xlfn.XLOOKUP($A2621,Games!$A$2:$A$18,Games!$M$2:$M$18,"Missing game",0)</x:f>
        <x:v>0</x:v>
      </x:c>
      <x:c r="AS2621" t="str">
        <x:f>_xlfn.XLOOKUP($A2621,Games!$A$2:$A$18,Games!$N$2:$N$18,"Missing game",0)</x:f>
        <x:v>dome</x:v>
      </x:c>
      <x:c r="AT2621" t="str">
        <x:f>_xlfn.XLOOKUP($A2621,Games!$A$2:$A$18,Games!$O$2:$O$18,"Missing game",0)</x:f>
        <x:v>sportturf</x:v>
      </x:c>
      <x:c r="AU2621" t="str">
        <x:f>_xlfn.XLOOKUP($A2621,Games!$A$2:$A$18,Games!$P$2:$P$18,"Missing game",0)</x:f>
      </x:c>
      <x:c r="AV2621" t="str">
        <x:f>_xlfn.XLOOKUP($A2621,Games!$A$2:$A$18,Games!$Q$2:$Q$18,"Missing game",0)</x:f>
      </x:c>
      <x:c r="AW2621" t="str">
        <x:f>_xlfn.XLOOKUP($A2621,Games!$A$2:$A$18,Games!$R$2:$R$18,"Missing game",0)</x:f>
        <x:v>U.S. Bank Stadium</x:v>
      </x:c>
    </x:row>
    <x:row r="2622">
      <x:c r="A2622" t="str">
        <x:v>2025_17_DET_MIN</x:v>
      </x:c>
      <x:c r="B2622" t="n">
        <x:v>3559</x:v>
      </x:c>
      <x:c r="C2622" t="n">
        <x:v>4</x:v>
      </x:c>
      <x:c r="D2622" t="str">
        <x:v>03:05</x:v>
      </x:c>
      <x:c r="E2622" t="n">
        <x:v>1</x:v>
      </x:c>
      <x:c r="F2622" t="n">
        <x:v>10</x:v>
      </x:c>
      <x:c r="G2622" t="str">
        <x:v>MIN</x:v>
      </x:c>
      <x:c r="H2622" t="str">
        <x:v>DET</x:v>
      </x:c>
      <x:c r="I2622" t="str">
        <x:v>DET</x:v>
      </x:c>
      <x:c r="J2622" t="n">
        <x:v>45</x:v>
      </x:c>
      <x:c r="K2622" t="str">
        <x:v>(3:05) 33-A.Jones left tackle to DET 42 for 3 yards (55-D.Barnes; 98-D.Reader).</x:v>
      </x:c>
      <x:c r="L2622" t="str">
        <x:v>run</x:v>
      </x:c>
      <x:c r="M2622" t="n">
        <x:v>3</x:v>
      </x:c>
      <x:c r="N2622" t="n">
        <x:v>0</x:v>
      </x:c>
      <x:c r="O2622" t="n">
        <x:v>0</x:v>
      </x:c>
      <x:c r="P2622"/>
      <x:c r="Q2622"/>
      <x:c r="R2622"/>
      <x:c r="S2622"/>
      <x:c r="T2622" t="str">
        <x:v>left</x:v>
      </x:c>
      <x:c r="U2622" t="str">
        <x:v>tackle</x:v>
      </x:c>
      <x:c r="V2622" t="n">
        <x:v>0</x:v>
      </x:c>
      <x:c r="W2622" t="n">
        <x:v>0</x:v>
      </x:c>
      <x:c r="X2622" t="n">
        <x:v>0</x:v>
      </x:c>
      <x:c r="Y2622" t="n">
        <x:v>0</x:v>
      </x:c>
      <x:c r="Z2622" t="n">
        <x:v>0</x:v>
      </x:c>
      <x:c r="AA2622" t="n">
        <x:v>0</x:v>
      </x:c>
      <x:c r="AB2622"/>
      <x:c r="AC2622" t="n">
        <x:v>0</x:v>
      </x:c>
      <x:c r="AD2622" t="n">
        <x:v>-0.3172486831317656</x:v>
      </x:c>
      <x:c r="AE2622" t="n">
        <x:v>0</x:v>
      </x:c>
      <x:c r="AF2622" t="n">
        <x:v>-0.0005379319190979004</x:v>
      </x:c>
      <x:c r="AG2622" t="n">
        <x:f>_xlfn.XLOOKUP($A2622,Games!$A$2:$A$18,Games!$B$2:$B$18,"Missing game",0)</x:f>
        <x:v>2025</x:v>
      </x:c>
      <x:c r="AH2622" t="str">
        <x:f>_xlfn.XLOOKUP($A2622,Games!$A$2:$A$18,Games!$C$2:$C$18,"Missing game",0)</x:f>
        <x:v>REG</x:v>
      </x:c>
      <x:c r="AI2622" t="n">
        <x:f>_xlfn.XLOOKUP($A2622,Games!$A$2:$A$18,Games!$D$2:$D$18,"Missing game",0)</x:f>
        <x:v>17</x:v>
      </x:c>
      <x:c r="AJ2622" s="1" t="n">
        <x:f>_xlfn.XLOOKUP($A2622,Games!$A$2:$A$18,Games!$E$2:$E$18,"Missing game",0)</x:f>
        <x:v>46016</x:v>
      </x:c>
      <x:c r="AK2622" t="str">
        <x:f>_xlfn.XLOOKUP($A2622,Games!$A$2:$A$18,Games!$F$2:$F$18,"Missing game",0)</x:f>
        <x:v>Thursday</x:v>
      </x:c>
      <x:c r="AL2622" t="str">
        <x:f>_xlfn.XLOOKUP($A2622,Games!$A$2:$A$18,Games!$G$2:$G$18,"Missing game",0)</x:f>
        <x:v>DET</x:v>
      </x:c>
      <x:c r="AM2622" t="n">
        <x:f>_xlfn.XLOOKUP($A2622,Games!$A$2:$A$18,Games!$H$2:$H$18,"Missing game",0)</x:f>
        <x:v>10</x:v>
      </x:c>
      <x:c r="AN2622" t="str">
        <x:f>_xlfn.XLOOKUP($A2622,Games!$A$2:$A$18,Games!$I$2:$I$18,"Missing game",0)</x:f>
        <x:v>MIN</x:v>
      </x:c>
      <x:c r="AO2622" t="n">
        <x:f>_xlfn.XLOOKUP($A2622,Games!$A$2:$A$18,Games!$J$2:$J$18,"Missing game",0)</x:f>
        <x:v>23</x:v>
      </x:c>
      <x:c r="AP2622" t="n">
        <x:f>_xlfn.XLOOKUP($A2622,Games!$A$2:$A$18,Games!$K$2:$K$18,"Missing game",0)</x:f>
        <x:v>13</x:v>
      </x:c>
      <x:c r="AQ2622" t="n">
        <x:f>_xlfn.XLOOKUP($A2622,Games!$A$2:$A$18,Games!$L$2:$L$18,"Missing game",0)</x:f>
        <x:v>33</x:v>
      </x:c>
      <x:c r="AR2622" t="n">
        <x:f>_xlfn.XLOOKUP($A2622,Games!$A$2:$A$18,Games!$M$2:$M$18,"Missing game",0)</x:f>
        <x:v>0</x:v>
      </x:c>
      <x:c r="AS2622" t="str">
        <x:f>_xlfn.XLOOKUP($A2622,Games!$A$2:$A$18,Games!$N$2:$N$18,"Missing game",0)</x:f>
        <x:v>dome</x:v>
      </x:c>
      <x:c r="AT2622" t="str">
        <x:f>_xlfn.XLOOKUP($A2622,Games!$A$2:$A$18,Games!$O$2:$O$18,"Missing game",0)</x:f>
        <x:v>sportturf</x:v>
      </x:c>
      <x:c r="AU2622" t="str">
        <x:f>_xlfn.XLOOKUP($A2622,Games!$A$2:$A$18,Games!$P$2:$P$18,"Missing game",0)</x:f>
      </x:c>
      <x:c r="AV2622" t="str">
        <x:f>_xlfn.XLOOKUP($A2622,Games!$A$2:$A$18,Games!$Q$2:$Q$18,"Missing game",0)</x:f>
      </x:c>
      <x:c r="AW2622" t="str">
        <x:f>_xlfn.XLOOKUP($A2622,Games!$A$2:$A$18,Games!$R$2:$R$18,"Missing game",0)</x:f>
        <x:v>U.S. Bank Stadium</x:v>
      </x:c>
    </x:row>
    <x:row r="2623">
      <x:c r="A2623" t="str">
        <x:v>2025_17_DET_MIN</x:v>
      </x:c>
      <x:c r="B2623" t="n">
        <x:v>3581</x:v>
      </x:c>
      <x:c r="C2623" t="n">
        <x:v>4</x:v>
      </x:c>
      <x:c r="D2623" t="str">
        <x:v>03:01</x:v>
      </x:c>
      <x:c r="E2623" t="n">
        <x:v>2</x:v>
      </x:c>
      <x:c r="F2623" t="n">
        <x:v>7</x:v>
      </x:c>
      <x:c r="G2623" t="str">
        <x:v>MIN</x:v>
      </x:c>
      <x:c r="H2623" t="str">
        <x:v>DET</x:v>
      </x:c>
      <x:c r="I2623" t="str">
        <x:v>DET</x:v>
      </x:c>
      <x:c r="J2623" t="n">
        <x:v>42</x:v>
      </x:c>
      <x:c r="K2623" t="str">
        <x:v>(3:01) 33-A.Jones right guard to DET 40 for 2 yards (44-M.Rodriguez).</x:v>
      </x:c>
      <x:c r="L2623" t="str">
        <x:v>run</x:v>
      </x:c>
      <x:c r="M2623" t="n">
        <x:v>2</x:v>
      </x:c>
      <x:c r="N2623" t="n">
        <x:v>0</x:v>
      </x:c>
      <x:c r="O2623" t="n">
        <x:v>0</x:v>
      </x:c>
      <x:c r="P2623"/>
      <x:c r="Q2623"/>
      <x:c r="R2623"/>
      <x:c r="S2623"/>
      <x:c r="T2623" t="str">
        <x:v>right</x:v>
      </x:c>
      <x:c r="U2623" t="str">
        <x:v>guard</x:v>
      </x:c>
      <x:c r="V2623" t="n">
        <x:v>0</x:v>
      </x:c>
      <x:c r="W2623" t="n">
        <x:v>0</x:v>
      </x:c>
      <x:c r="X2623" t="n">
        <x:v>0</x:v>
      </x:c>
      <x:c r="Y2623" t="n">
        <x:v>0</x:v>
      </x:c>
      <x:c r="Z2623" t="n">
        <x:v>0</x:v>
      </x:c>
      <x:c r="AA2623" t="n">
        <x:v>0</x:v>
      </x:c>
      <x:c r="AB2623"/>
      <x:c r="AC2623" t="n">
        <x:v>0</x:v>
      </x:c>
      <x:c r="AD2623" t="n">
        <x:v>-0.6781381635810249</x:v>
      </x:c>
      <x:c r="AE2623" t="n">
        <x:v>0</x:v>
      </x:c>
      <x:c r="AF2623" t="n">
        <x:v>0.0014033317565917969</x:v>
      </x:c>
      <x:c r="AG2623" t="n">
        <x:f>_xlfn.XLOOKUP($A2623,Games!$A$2:$A$18,Games!$B$2:$B$18,"Missing game",0)</x:f>
        <x:v>2025</x:v>
      </x:c>
      <x:c r="AH2623" t="str">
        <x:f>_xlfn.XLOOKUP($A2623,Games!$A$2:$A$18,Games!$C$2:$C$18,"Missing game",0)</x:f>
        <x:v>REG</x:v>
      </x:c>
      <x:c r="AI2623" t="n">
        <x:f>_xlfn.XLOOKUP($A2623,Games!$A$2:$A$18,Games!$D$2:$D$18,"Missing game",0)</x:f>
        <x:v>17</x:v>
      </x:c>
      <x:c r="AJ2623" s="1" t="n">
        <x:f>_xlfn.XLOOKUP($A2623,Games!$A$2:$A$18,Games!$E$2:$E$18,"Missing game",0)</x:f>
        <x:v>46016</x:v>
      </x:c>
      <x:c r="AK2623" t="str">
        <x:f>_xlfn.XLOOKUP($A2623,Games!$A$2:$A$18,Games!$F$2:$F$18,"Missing game",0)</x:f>
        <x:v>Thursday</x:v>
      </x:c>
      <x:c r="AL2623" t="str">
        <x:f>_xlfn.XLOOKUP($A2623,Games!$A$2:$A$18,Games!$G$2:$G$18,"Missing game",0)</x:f>
        <x:v>DET</x:v>
      </x:c>
      <x:c r="AM2623" t="n">
        <x:f>_xlfn.XLOOKUP($A2623,Games!$A$2:$A$18,Games!$H$2:$H$18,"Missing game",0)</x:f>
        <x:v>10</x:v>
      </x:c>
      <x:c r="AN2623" t="str">
        <x:f>_xlfn.XLOOKUP($A2623,Games!$A$2:$A$18,Games!$I$2:$I$18,"Missing game",0)</x:f>
        <x:v>MIN</x:v>
      </x:c>
      <x:c r="AO2623" t="n">
        <x:f>_xlfn.XLOOKUP($A2623,Games!$A$2:$A$18,Games!$J$2:$J$18,"Missing game",0)</x:f>
        <x:v>23</x:v>
      </x:c>
      <x:c r="AP2623" t="n">
        <x:f>_xlfn.XLOOKUP($A2623,Games!$A$2:$A$18,Games!$K$2:$K$18,"Missing game",0)</x:f>
        <x:v>13</x:v>
      </x:c>
      <x:c r="AQ2623" t="n">
        <x:f>_xlfn.XLOOKUP($A2623,Games!$A$2:$A$18,Games!$L$2:$L$18,"Missing game",0)</x:f>
        <x:v>33</x:v>
      </x:c>
      <x:c r="AR2623" t="n">
        <x:f>_xlfn.XLOOKUP($A2623,Games!$A$2:$A$18,Games!$M$2:$M$18,"Missing game",0)</x:f>
        <x:v>0</x:v>
      </x:c>
      <x:c r="AS2623" t="str">
        <x:f>_xlfn.XLOOKUP($A2623,Games!$A$2:$A$18,Games!$N$2:$N$18,"Missing game",0)</x:f>
        <x:v>dome</x:v>
      </x:c>
      <x:c r="AT2623" t="str">
        <x:f>_xlfn.XLOOKUP($A2623,Games!$A$2:$A$18,Games!$O$2:$O$18,"Missing game",0)</x:f>
        <x:v>sportturf</x:v>
      </x:c>
      <x:c r="AU2623" t="str">
        <x:f>_xlfn.XLOOKUP($A2623,Games!$A$2:$A$18,Games!$P$2:$P$18,"Missing game",0)</x:f>
      </x:c>
      <x:c r="AV2623" t="str">
        <x:f>_xlfn.XLOOKUP($A2623,Games!$A$2:$A$18,Games!$Q$2:$Q$18,"Missing game",0)</x:f>
      </x:c>
      <x:c r="AW2623" t="str">
        <x:f>_xlfn.XLOOKUP($A2623,Games!$A$2:$A$18,Games!$R$2:$R$18,"Missing game",0)</x:f>
        <x:v>U.S. Bank Stadium</x:v>
      </x:c>
    </x:row>
    <x:row r="2624">
      <x:c r="A2624" t="str">
        <x:v>2025_17_DET_MIN</x:v>
      </x:c>
      <x:c r="B2624" t="n">
        <x:v>3593</x:v>
      </x:c>
      <x:c r="C2624" t="n">
        <x:v>4</x:v>
      </x:c>
      <x:c r="D2624" t="str">
        <x:v>03:01</x:v>
      </x:c>
      <x:c r="E2624"/>
      <x:c r="F2624" t="n">
        <x:v>0</x:v>
      </x:c>
      <x:c r="G2624"/>
      <x:c r="H2624"/>
      <x:c r="I2624"/>
      <x:c r="J2624"/>
      <x:c r="K2624" t="str">
        <x:v>Timeout #1 by DET at 03:01.</x:v>
      </x:c>
      <x:c r="L2624" t="str">
        <x:v>no_play</x:v>
      </x:c>
      <x:c r="M2624" t="n">
        <x:v>0</x:v>
      </x:c>
      <x:c r="N2624" t="n">
        <x:v>0</x:v>
      </x:c>
      <x:c r="O2624" t="n">
        <x:v>0</x:v>
      </x:c>
      <x:c r="P2624"/>
      <x:c r="Q2624"/>
      <x:c r="R2624"/>
      <x:c r="S2624"/>
      <x:c r="T2624"/>
      <x:c r="U2624"/>
      <x:c r="V2624" t="n">
        <x:v>0</x:v>
      </x:c>
      <x:c r="W2624" t="n">
        <x:v>0</x:v>
      </x:c>
      <x:c r="X2624" t="n">
        <x:v>0</x:v>
      </x:c>
      <x:c r="Y2624" t="n">
        <x:v>0</x:v>
      </x:c>
      <x:c r="Z2624" t="n">
        <x:v>0</x:v>
      </x:c>
      <x:c r="AA2624" t="n">
        <x:v>0</x:v>
      </x:c>
      <x:c r="AB2624"/>
      <x:c r="AC2624" t="n">
        <x:v>0</x:v>
      </x:c>
      <x:c r="AD2624" t="n">
        <x:v>0</x:v>
      </x:c>
      <x:c r="AE2624" t="n">
        <x:v>0</x:v>
      </x:c>
      <x:c r="AF2624" t="n">
        <x:v>0</x:v>
      </x:c>
      <x:c r="AG2624" t="n">
        <x:f>_xlfn.XLOOKUP($A2624,Games!$A$2:$A$18,Games!$B$2:$B$18,"Missing game",0)</x:f>
        <x:v>2025</x:v>
      </x:c>
      <x:c r="AH2624" t="str">
        <x:f>_xlfn.XLOOKUP($A2624,Games!$A$2:$A$18,Games!$C$2:$C$18,"Missing game",0)</x:f>
        <x:v>REG</x:v>
      </x:c>
      <x:c r="AI2624" t="n">
        <x:f>_xlfn.XLOOKUP($A2624,Games!$A$2:$A$18,Games!$D$2:$D$18,"Missing game",0)</x:f>
        <x:v>17</x:v>
      </x:c>
      <x:c r="AJ2624" s="1" t="n">
        <x:f>_xlfn.XLOOKUP($A2624,Games!$A$2:$A$18,Games!$E$2:$E$18,"Missing game",0)</x:f>
        <x:v>46016</x:v>
      </x:c>
      <x:c r="AK2624" t="str">
        <x:f>_xlfn.XLOOKUP($A2624,Games!$A$2:$A$18,Games!$F$2:$F$18,"Missing game",0)</x:f>
        <x:v>Thursday</x:v>
      </x:c>
      <x:c r="AL2624" t="str">
        <x:f>_xlfn.XLOOKUP($A2624,Games!$A$2:$A$18,Games!$G$2:$G$18,"Missing game",0)</x:f>
        <x:v>DET</x:v>
      </x:c>
      <x:c r="AM2624" t="n">
        <x:f>_xlfn.XLOOKUP($A2624,Games!$A$2:$A$18,Games!$H$2:$H$18,"Missing game",0)</x:f>
        <x:v>10</x:v>
      </x:c>
      <x:c r="AN2624" t="str">
        <x:f>_xlfn.XLOOKUP($A2624,Games!$A$2:$A$18,Games!$I$2:$I$18,"Missing game",0)</x:f>
        <x:v>MIN</x:v>
      </x:c>
      <x:c r="AO2624" t="n">
        <x:f>_xlfn.XLOOKUP($A2624,Games!$A$2:$A$18,Games!$J$2:$J$18,"Missing game",0)</x:f>
        <x:v>23</x:v>
      </x:c>
      <x:c r="AP2624" t="n">
        <x:f>_xlfn.XLOOKUP($A2624,Games!$A$2:$A$18,Games!$K$2:$K$18,"Missing game",0)</x:f>
        <x:v>13</x:v>
      </x:c>
      <x:c r="AQ2624" t="n">
        <x:f>_xlfn.XLOOKUP($A2624,Games!$A$2:$A$18,Games!$L$2:$L$18,"Missing game",0)</x:f>
        <x:v>33</x:v>
      </x:c>
      <x:c r="AR2624" t="n">
        <x:f>_xlfn.XLOOKUP($A2624,Games!$A$2:$A$18,Games!$M$2:$M$18,"Missing game",0)</x:f>
        <x:v>0</x:v>
      </x:c>
      <x:c r="AS2624" t="str">
        <x:f>_xlfn.XLOOKUP($A2624,Games!$A$2:$A$18,Games!$N$2:$N$18,"Missing game",0)</x:f>
        <x:v>dome</x:v>
      </x:c>
      <x:c r="AT2624" t="str">
        <x:f>_xlfn.XLOOKUP($A2624,Games!$A$2:$A$18,Games!$O$2:$O$18,"Missing game",0)</x:f>
        <x:v>sportturf</x:v>
      </x:c>
      <x:c r="AU2624" t="str">
        <x:f>_xlfn.XLOOKUP($A2624,Games!$A$2:$A$18,Games!$P$2:$P$18,"Missing game",0)</x:f>
      </x:c>
      <x:c r="AV2624" t="str">
        <x:f>_xlfn.XLOOKUP($A2624,Games!$A$2:$A$18,Games!$Q$2:$Q$18,"Missing game",0)</x:f>
      </x:c>
      <x:c r="AW2624" t="str">
        <x:f>_xlfn.XLOOKUP($A2624,Games!$A$2:$A$18,Games!$R$2:$R$18,"Missing game",0)</x:f>
        <x:v>U.S. Bank Stadium</x:v>
      </x:c>
    </x:row>
    <x:row r="2625">
      <x:c r="A2625" t="str">
        <x:v>2025_17_DET_MIN</x:v>
      </x:c>
      <x:c r="B2625" t="n">
        <x:v>3610</x:v>
      </x:c>
      <x:c r="C2625" t="n">
        <x:v>4</x:v>
      </x:c>
      <x:c r="D2625" t="str">
        <x:v>02:57</x:v>
      </x:c>
      <x:c r="E2625" t="n">
        <x:v>3</x:v>
      </x:c>
      <x:c r="F2625" t="n">
        <x:v>5</x:v>
      </x:c>
      <x:c r="G2625" t="str">
        <x:v>MIN</x:v>
      </x:c>
      <x:c r="H2625" t="str">
        <x:v>DET</x:v>
      </x:c>
      <x:c r="I2625" t="str">
        <x:v>DET</x:v>
      </x:c>
      <x:c r="J2625" t="n">
        <x:v>40</x:v>
      </x:c>
      <x:c r="K2625" t="str">
        <x:v>(2:57) 12-M.Brosmer pass short left to 18-J.Jefferson to DET 30 for 10 yards (23-R.Ya-Sin).</x:v>
      </x:c>
      <x:c r="L2625" t="str">
        <x:v>pass</x:v>
      </x:c>
      <x:c r="M2625" t="n">
        <x:v>10</x:v>
      </x:c>
      <x:c r="N2625" t="n">
        <x:v>0</x:v>
      </x:c>
      <x:c r="O2625" t="n">
        <x:v>0</x:v>
      </x:c>
      <x:c r="P2625" t="str">
        <x:v>short</x:v>
      </x:c>
      <x:c r="Q2625" t="str">
        <x:v>left</x:v>
      </x:c>
      <x:c r="R2625" t="n">
        <x:v>10</x:v>
      </x:c>
      <x:c r="S2625" t="n">
        <x:v>0</x:v>
      </x:c>
      <x:c r="T2625"/>
      <x:c r="U2625"/>
      <x:c r="V2625" t="n">
        <x:v>1</x:v>
      </x:c>
      <x:c r="W2625" t="n">
        <x:v>1</x:v>
      </x:c>
      <x:c r="X2625" t="n">
        <x:v>0</x:v>
      </x:c>
      <x:c r="Y2625" t="n">
        <x:v>0</x:v>
      </x:c>
      <x:c r="Z2625" t="n">
        <x:v>0</x:v>
      </x:c>
      <x:c r="AA2625" t="n">
        <x:v>0</x:v>
      </x:c>
      <x:c r="AB2625"/>
      <x:c r="AC2625" t="n">
        <x:v>0</x:v>
      </x:c>
      <x:c r="AD2625" t="n">
        <x:v>1.5385391778545454</x:v>
      </x:c>
      <x:c r="AE2625" t="n">
        <x:v>1</x:v>
      </x:c>
      <x:c r="AF2625" t="n">
        <x:v>0.00899648666381836</x:v>
      </x:c>
      <x:c r="AG2625" t="n">
        <x:f>_xlfn.XLOOKUP($A2625,Games!$A$2:$A$18,Games!$B$2:$B$18,"Missing game",0)</x:f>
        <x:v>2025</x:v>
      </x:c>
      <x:c r="AH2625" t="str">
        <x:f>_xlfn.XLOOKUP($A2625,Games!$A$2:$A$18,Games!$C$2:$C$18,"Missing game",0)</x:f>
        <x:v>REG</x:v>
      </x:c>
      <x:c r="AI2625" t="n">
        <x:f>_xlfn.XLOOKUP($A2625,Games!$A$2:$A$18,Games!$D$2:$D$18,"Missing game",0)</x:f>
        <x:v>17</x:v>
      </x:c>
      <x:c r="AJ2625" s="1" t="n">
        <x:f>_xlfn.XLOOKUP($A2625,Games!$A$2:$A$18,Games!$E$2:$E$18,"Missing game",0)</x:f>
        <x:v>46016</x:v>
      </x:c>
      <x:c r="AK2625" t="str">
        <x:f>_xlfn.XLOOKUP($A2625,Games!$A$2:$A$18,Games!$F$2:$F$18,"Missing game",0)</x:f>
        <x:v>Thursday</x:v>
      </x:c>
      <x:c r="AL2625" t="str">
        <x:f>_xlfn.XLOOKUP($A2625,Games!$A$2:$A$18,Games!$G$2:$G$18,"Missing game",0)</x:f>
        <x:v>DET</x:v>
      </x:c>
      <x:c r="AM2625" t="n">
        <x:f>_xlfn.XLOOKUP($A2625,Games!$A$2:$A$18,Games!$H$2:$H$18,"Missing game",0)</x:f>
        <x:v>10</x:v>
      </x:c>
      <x:c r="AN2625" t="str">
        <x:f>_xlfn.XLOOKUP($A2625,Games!$A$2:$A$18,Games!$I$2:$I$18,"Missing game",0)</x:f>
        <x:v>MIN</x:v>
      </x:c>
      <x:c r="AO2625" t="n">
        <x:f>_xlfn.XLOOKUP($A2625,Games!$A$2:$A$18,Games!$J$2:$J$18,"Missing game",0)</x:f>
        <x:v>23</x:v>
      </x:c>
      <x:c r="AP2625" t="n">
        <x:f>_xlfn.XLOOKUP($A2625,Games!$A$2:$A$18,Games!$K$2:$K$18,"Missing game",0)</x:f>
        <x:v>13</x:v>
      </x:c>
      <x:c r="AQ2625" t="n">
        <x:f>_xlfn.XLOOKUP($A2625,Games!$A$2:$A$18,Games!$L$2:$L$18,"Missing game",0)</x:f>
        <x:v>33</x:v>
      </x:c>
      <x:c r="AR2625" t="n">
        <x:f>_xlfn.XLOOKUP($A2625,Games!$A$2:$A$18,Games!$M$2:$M$18,"Missing game",0)</x:f>
        <x:v>0</x:v>
      </x:c>
      <x:c r="AS2625" t="str">
        <x:f>_xlfn.XLOOKUP($A2625,Games!$A$2:$A$18,Games!$N$2:$N$18,"Missing game",0)</x:f>
        <x:v>dome</x:v>
      </x:c>
      <x:c r="AT2625" t="str">
        <x:f>_xlfn.XLOOKUP($A2625,Games!$A$2:$A$18,Games!$O$2:$O$18,"Missing game",0)</x:f>
        <x:v>sportturf</x:v>
      </x:c>
      <x:c r="AU2625" t="str">
        <x:f>_xlfn.XLOOKUP($A2625,Games!$A$2:$A$18,Games!$P$2:$P$18,"Missing game",0)</x:f>
      </x:c>
      <x:c r="AV2625" t="str">
        <x:f>_xlfn.XLOOKUP($A2625,Games!$A$2:$A$18,Games!$Q$2:$Q$18,"Missing game",0)</x:f>
      </x:c>
      <x:c r="AW2625" t="str">
        <x:f>_xlfn.XLOOKUP($A2625,Games!$A$2:$A$18,Games!$R$2:$R$18,"Missing game",0)</x:f>
        <x:v>U.S. Bank Stadium</x:v>
      </x:c>
    </x:row>
    <x:row r="2626">
      <x:c r="A2626" t="str">
        <x:v>2025_17_DET_MIN</x:v>
      </x:c>
      <x:c r="B2626" t="n">
        <x:v>3622</x:v>
      </x:c>
      <x:c r="C2626" t="n">
        <x:v>4</x:v>
      </x:c>
      <x:c r="D2626" t="str">
        <x:v>02:57</x:v>
      </x:c>
      <x:c r="E2626"/>
      <x:c r="F2626" t="n">
        <x:v>0</x:v>
      </x:c>
      <x:c r="G2626"/>
      <x:c r="H2626"/>
      <x:c r="I2626"/>
      <x:c r="J2626"/>
      <x:c r="K2626" t="str">
        <x:v>Timeout #2 by DET at 02:57.</x:v>
      </x:c>
      <x:c r="L2626" t="str">
        <x:v>no_play</x:v>
      </x:c>
      <x:c r="M2626" t="n">
        <x:v>0</x:v>
      </x:c>
      <x:c r="N2626" t="n">
        <x:v>0</x:v>
      </x:c>
      <x:c r="O2626" t="n">
        <x:v>0</x:v>
      </x:c>
      <x:c r="P2626"/>
      <x:c r="Q2626"/>
      <x:c r="R2626"/>
      <x:c r="S2626"/>
      <x:c r="T2626"/>
      <x:c r="U2626"/>
      <x:c r="V2626" t="n">
        <x:v>0</x:v>
      </x:c>
      <x:c r="W2626" t="n">
        <x:v>0</x:v>
      </x:c>
      <x:c r="X2626" t="n">
        <x:v>0</x:v>
      </x:c>
      <x:c r="Y2626" t="n">
        <x:v>0</x:v>
      </x:c>
      <x:c r="Z2626" t="n">
        <x:v>0</x:v>
      </x:c>
      <x:c r="AA2626" t="n">
        <x:v>0</x:v>
      </x:c>
      <x:c r="AB2626"/>
      <x:c r="AC2626" t="n">
        <x:v>0</x:v>
      </x:c>
      <x:c r="AD2626" t="n">
        <x:v>0</x:v>
      </x:c>
      <x:c r="AE2626" t="n">
        <x:v>0</x:v>
      </x:c>
      <x:c r="AF2626" t="n">
        <x:v>0</x:v>
      </x:c>
      <x:c r="AG2626" t="n">
        <x:f>_xlfn.XLOOKUP($A2626,Games!$A$2:$A$18,Games!$B$2:$B$18,"Missing game",0)</x:f>
        <x:v>2025</x:v>
      </x:c>
      <x:c r="AH2626" t="str">
        <x:f>_xlfn.XLOOKUP($A2626,Games!$A$2:$A$18,Games!$C$2:$C$18,"Missing game",0)</x:f>
        <x:v>REG</x:v>
      </x:c>
      <x:c r="AI2626" t="n">
        <x:f>_xlfn.XLOOKUP($A2626,Games!$A$2:$A$18,Games!$D$2:$D$18,"Missing game",0)</x:f>
        <x:v>17</x:v>
      </x:c>
      <x:c r="AJ2626" s="1" t="n">
        <x:f>_xlfn.XLOOKUP($A2626,Games!$A$2:$A$18,Games!$E$2:$E$18,"Missing game",0)</x:f>
        <x:v>46016</x:v>
      </x:c>
      <x:c r="AK2626" t="str">
        <x:f>_xlfn.XLOOKUP($A2626,Games!$A$2:$A$18,Games!$F$2:$F$18,"Missing game",0)</x:f>
        <x:v>Thursday</x:v>
      </x:c>
      <x:c r="AL2626" t="str">
        <x:f>_xlfn.XLOOKUP($A2626,Games!$A$2:$A$18,Games!$G$2:$G$18,"Missing game",0)</x:f>
        <x:v>DET</x:v>
      </x:c>
      <x:c r="AM2626" t="n">
        <x:f>_xlfn.XLOOKUP($A2626,Games!$A$2:$A$18,Games!$H$2:$H$18,"Missing game",0)</x:f>
        <x:v>10</x:v>
      </x:c>
      <x:c r="AN2626" t="str">
        <x:f>_xlfn.XLOOKUP($A2626,Games!$A$2:$A$18,Games!$I$2:$I$18,"Missing game",0)</x:f>
        <x:v>MIN</x:v>
      </x:c>
      <x:c r="AO2626" t="n">
        <x:f>_xlfn.XLOOKUP($A2626,Games!$A$2:$A$18,Games!$J$2:$J$18,"Missing game",0)</x:f>
        <x:v>23</x:v>
      </x:c>
      <x:c r="AP2626" t="n">
        <x:f>_xlfn.XLOOKUP($A2626,Games!$A$2:$A$18,Games!$K$2:$K$18,"Missing game",0)</x:f>
        <x:v>13</x:v>
      </x:c>
      <x:c r="AQ2626" t="n">
        <x:f>_xlfn.XLOOKUP($A2626,Games!$A$2:$A$18,Games!$L$2:$L$18,"Missing game",0)</x:f>
        <x:v>33</x:v>
      </x:c>
      <x:c r="AR2626" t="n">
        <x:f>_xlfn.XLOOKUP($A2626,Games!$A$2:$A$18,Games!$M$2:$M$18,"Missing game",0)</x:f>
        <x:v>0</x:v>
      </x:c>
      <x:c r="AS2626" t="str">
        <x:f>_xlfn.XLOOKUP($A2626,Games!$A$2:$A$18,Games!$N$2:$N$18,"Missing game",0)</x:f>
        <x:v>dome</x:v>
      </x:c>
      <x:c r="AT2626" t="str">
        <x:f>_xlfn.XLOOKUP($A2626,Games!$A$2:$A$18,Games!$O$2:$O$18,"Missing game",0)</x:f>
        <x:v>sportturf</x:v>
      </x:c>
      <x:c r="AU2626" t="str">
        <x:f>_xlfn.XLOOKUP($A2626,Games!$A$2:$A$18,Games!$P$2:$P$18,"Missing game",0)</x:f>
      </x:c>
      <x:c r="AV2626" t="str">
        <x:f>_xlfn.XLOOKUP($A2626,Games!$A$2:$A$18,Games!$Q$2:$Q$18,"Missing game",0)</x:f>
      </x:c>
      <x:c r="AW2626" t="str">
        <x:f>_xlfn.XLOOKUP($A2626,Games!$A$2:$A$18,Games!$R$2:$R$18,"Missing game",0)</x:f>
        <x:v>U.S. Bank Stadium</x:v>
      </x:c>
    </x:row>
    <x:row r="2627">
      <x:c r="A2627" t="str">
        <x:v>2025_17_DET_MIN</x:v>
      </x:c>
      <x:c r="B2627" t="n">
        <x:v>3642</x:v>
      </x:c>
      <x:c r="C2627" t="n">
        <x:v>4</x:v>
      </x:c>
      <x:c r="D2627" t="str">
        <x:v>02:10</x:v>
      </x:c>
      <x:c r="E2627" t="n">
        <x:v>1</x:v>
      </x:c>
      <x:c r="F2627" t="n">
        <x:v>10</x:v>
      </x:c>
      <x:c r="G2627" t="str">
        <x:v>MIN</x:v>
      </x:c>
      <x:c r="H2627" t="str">
        <x:v>DET</x:v>
      </x:c>
      <x:c r="I2627" t="str">
        <x:v>DET</x:v>
      </x:c>
      <x:c r="J2627" t="n">
        <x:v>30</x:v>
      </x:c>
      <x:c r="K2627" t="str">
        <x:v>(2:10) 33-A.Jones up the middle to DET 30 for no gain (44-M.Rodriguez).</x:v>
      </x:c>
      <x:c r="L2627" t="str">
        <x:v>run</x:v>
      </x:c>
      <x:c r="M2627" t="n">
        <x:v>0</x:v>
      </x:c>
      <x:c r="N2627" t="n">
        <x:v>0</x:v>
      </x:c>
      <x:c r="O2627" t="n">
        <x:v>0</x:v>
      </x:c>
      <x:c r="P2627"/>
      <x:c r="Q2627"/>
      <x:c r="R2627"/>
      <x:c r="S2627"/>
      <x:c r="T2627" t="str">
        <x:v>middle</x:v>
      </x:c>
      <x:c r="U2627"/>
      <x:c r="V2627" t="n">
        <x:v>0</x:v>
      </x:c>
      <x:c r="W2627" t="n">
        <x:v>0</x:v>
      </x:c>
      <x:c r="X2627" t="n">
        <x:v>0</x:v>
      </x:c>
      <x:c r="Y2627" t="n">
        <x:v>0</x:v>
      </x:c>
      <x:c r="Z2627" t="n">
        <x:v>0</x:v>
      </x:c>
      <x:c r="AA2627" t="n">
        <x:v>0</x:v>
      </x:c>
      <x:c r="AB2627"/>
      <x:c r="AC2627" t="n">
        <x:v>0</x:v>
      </x:c>
      <x:c r="AD2627" t="n">
        <x:v>-0.33678682980826125</x:v>
      </x:c>
      <x:c r="AE2627" t="n">
        <x:v>0</x:v>
      </x:c>
      <x:c r="AF2627" t="n">
        <x:v>-0.000526726245880127</x:v>
      </x:c>
      <x:c r="AG2627" t="n">
        <x:f>_xlfn.XLOOKUP($A2627,Games!$A$2:$A$18,Games!$B$2:$B$18,"Missing game",0)</x:f>
        <x:v>2025</x:v>
      </x:c>
      <x:c r="AH2627" t="str">
        <x:f>_xlfn.XLOOKUP($A2627,Games!$A$2:$A$18,Games!$C$2:$C$18,"Missing game",0)</x:f>
        <x:v>REG</x:v>
      </x:c>
      <x:c r="AI2627" t="n">
        <x:f>_xlfn.XLOOKUP($A2627,Games!$A$2:$A$18,Games!$D$2:$D$18,"Missing game",0)</x:f>
        <x:v>17</x:v>
      </x:c>
      <x:c r="AJ2627" s="1" t="n">
        <x:f>_xlfn.XLOOKUP($A2627,Games!$A$2:$A$18,Games!$E$2:$E$18,"Missing game",0)</x:f>
        <x:v>46016</x:v>
      </x:c>
      <x:c r="AK2627" t="str">
        <x:f>_xlfn.XLOOKUP($A2627,Games!$A$2:$A$18,Games!$F$2:$F$18,"Missing game",0)</x:f>
        <x:v>Thursday</x:v>
      </x:c>
      <x:c r="AL2627" t="str">
        <x:f>_xlfn.XLOOKUP($A2627,Games!$A$2:$A$18,Games!$G$2:$G$18,"Missing game",0)</x:f>
        <x:v>DET</x:v>
      </x:c>
      <x:c r="AM2627" t="n">
        <x:f>_xlfn.XLOOKUP($A2627,Games!$A$2:$A$18,Games!$H$2:$H$18,"Missing game",0)</x:f>
        <x:v>10</x:v>
      </x:c>
      <x:c r="AN2627" t="str">
        <x:f>_xlfn.XLOOKUP($A2627,Games!$A$2:$A$18,Games!$I$2:$I$18,"Missing game",0)</x:f>
        <x:v>MIN</x:v>
      </x:c>
      <x:c r="AO2627" t="n">
        <x:f>_xlfn.XLOOKUP($A2627,Games!$A$2:$A$18,Games!$J$2:$J$18,"Missing game",0)</x:f>
        <x:v>23</x:v>
      </x:c>
      <x:c r="AP2627" t="n">
        <x:f>_xlfn.XLOOKUP($A2627,Games!$A$2:$A$18,Games!$K$2:$K$18,"Missing game",0)</x:f>
        <x:v>13</x:v>
      </x:c>
      <x:c r="AQ2627" t="n">
        <x:f>_xlfn.XLOOKUP($A2627,Games!$A$2:$A$18,Games!$L$2:$L$18,"Missing game",0)</x:f>
        <x:v>33</x:v>
      </x:c>
      <x:c r="AR2627" t="n">
        <x:f>_xlfn.XLOOKUP($A2627,Games!$A$2:$A$18,Games!$M$2:$M$18,"Missing game",0)</x:f>
        <x:v>0</x:v>
      </x:c>
      <x:c r="AS2627" t="str">
        <x:f>_xlfn.XLOOKUP($A2627,Games!$A$2:$A$18,Games!$N$2:$N$18,"Missing game",0)</x:f>
        <x:v>dome</x:v>
      </x:c>
      <x:c r="AT2627" t="str">
        <x:f>_xlfn.XLOOKUP($A2627,Games!$A$2:$A$18,Games!$O$2:$O$18,"Missing game",0)</x:f>
        <x:v>sportturf</x:v>
      </x:c>
      <x:c r="AU2627" t="str">
        <x:f>_xlfn.XLOOKUP($A2627,Games!$A$2:$A$18,Games!$P$2:$P$18,"Missing game",0)</x:f>
      </x:c>
      <x:c r="AV2627" t="str">
        <x:f>_xlfn.XLOOKUP($A2627,Games!$A$2:$A$18,Games!$Q$2:$Q$18,"Missing game",0)</x:f>
      </x:c>
      <x:c r="AW2627" t="str">
        <x:f>_xlfn.XLOOKUP($A2627,Games!$A$2:$A$18,Games!$R$2:$R$18,"Missing game",0)</x:f>
        <x:v>U.S. Bank Stadium</x:v>
      </x:c>
    </x:row>
    <x:row r="2628">
      <x:c r="A2628" t="str">
        <x:v>2025_17_DET_MIN</x:v>
      </x:c>
      <x:c r="B2628" t="n">
        <x:v>3664</x:v>
      </x:c>
      <x:c r="C2628" t="n">
        <x:v>4</x:v>
      </x:c>
      <x:c r="D2628" t="str">
        <x:v>02:00</x:v>
      </x:c>
      <x:c r="E2628" t="n">
        <x:v>2</x:v>
      </x:c>
      <x:c r="F2628" t="n">
        <x:v>10</x:v>
      </x:c>
      <x:c r="G2628" t="str">
        <x:v>MIN</x:v>
      </x:c>
      <x:c r="H2628" t="str">
        <x:v>DET</x:v>
      </x:c>
      <x:c r="I2628" t="str">
        <x:v>DET</x:v>
      </x:c>
      <x:c r="J2628" t="n">
        <x:v>30</x:v>
      </x:c>
      <x:c r="K2628" t="str">
        <x:v>(2:00) 33-A.Jones right end to DET 29 for 1 yard (2-D.Thomas; 4-D.Reed).</x:v>
      </x:c>
      <x:c r="L2628" t="str">
        <x:v>run</x:v>
      </x:c>
      <x:c r="M2628" t="n">
        <x:v>1</x:v>
      </x:c>
      <x:c r="N2628" t="n">
        <x:v>0</x:v>
      </x:c>
      <x:c r="O2628" t="n">
        <x:v>0</x:v>
      </x:c>
      <x:c r="P2628"/>
      <x:c r="Q2628"/>
      <x:c r="R2628"/>
      <x:c r="S2628"/>
      <x:c r="T2628" t="str">
        <x:v>right</x:v>
      </x:c>
      <x:c r="U2628" t="str">
        <x:v>end</x:v>
      </x:c>
      <x:c r="V2628" t="n">
        <x:v>0</x:v>
      </x:c>
      <x:c r="W2628" t="n">
        <x:v>0</x:v>
      </x:c>
      <x:c r="X2628" t="n">
        <x:v>0</x:v>
      </x:c>
      <x:c r="Y2628" t="n">
        <x:v>0</x:v>
      </x:c>
      <x:c r="Z2628" t="n">
        <x:v>0</x:v>
      </x:c>
      <x:c r="AA2628" t="n">
        <x:v>0</x:v>
      </x:c>
      <x:c r="AB2628"/>
      <x:c r="AC2628" t="n">
        <x:v>0</x:v>
      </x:c>
      <x:c r="AD2628" t="n">
        <x:v>-1.4021340056788176</x:v>
      </x:c>
      <x:c r="AE2628" t="n">
        <x:v>0</x:v>
      </x:c>
      <x:c r="AF2628" t="n">
        <x:v>0.00020897388458251953</x:v>
      </x:c>
      <x:c r="AG2628" t="n">
        <x:f>_xlfn.XLOOKUP($A2628,Games!$A$2:$A$18,Games!$B$2:$B$18,"Missing game",0)</x:f>
        <x:v>2025</x:v>
      </x:c>
      <x:c r="AH2628" t="str">
        <x:f>_xlfn.XLOOKUP($A2628,Games!$A$2:$A$18,Games!$C$2:$C$18,"Missing game",0)</x:f>
        <x:v>REG</x:v>
      </x:c>
      <x:c r="AI2628" t="n">
        <x:f>_xlfn.XLOOKUP($A2628,Games!$A$2:$A$18,Games!$D$2:$D$18,"Missing game",0)</x:f>
        <x:v>17</x:v>
      </x:c>
      <x:c r="AJ2628" s="1" t="n">
        <x:f>_xlfn.XLOOKUP($A2628,Games!$A$2:$A$18,Games!$E$2:$E$18,"Missing game",0)</x:f>
        <x:v>46016</x:v>
      </x:c>
      <x:c r="AK2628" t="str">
        <x:f>_xlfn.XLOOKUP($A2628,Games!$A$2:$A$18,Games!$F$2:$F$18,"Missing game",0)</x:f>
        <x:v>Thursday</x:v>
      </x:c>
      <x:c r="AL2628" t="str">
        <x:f>_xlfn.XLOOKUP($A2628,Games!$A$2:$A$18,Games!$G$2:$G$18,"Missing game",0)</x:f>
        <x:v>DET</x:v>
      </x:c>
      <x:c r="AM2628" t="n">
        <x:f>_xlfn.XLOOKUP($A2628,Games!$A$2:$A$18,Games!$H$2:$H$18,"Missing game",0)</x:f>
        <x:v>10</x:v>
      </x:c>
      <x:c r="AN2628" t="str">
        <x:f>_xlfn.XLOOKUP($A2628,Games!$A$2:$A$18,Games!$I$2:$I$18,"Missing game",0)</x:f>
        <x:v>MIN</x:v>
      </x:c>
      <x:c r="AO2628" t="n">
        <x:f>_xlfn.XLOOKUP($A2628,Games!$A$2:$A$18,Games!$J$2:$J$18,"Missing game",0)</x:f>
        <x:v>23</x:v>
      </x:c>
      <x:c r="AP2628" t="n">
        <x:f>_xlfn.XLOOKUP($A2628,Games!$A$2:$A$18,Games!$K$2:$K$18,"Missing game",0)</x:f>
        <x:v>13</x:v>
      </x:c>
      <x:c r="AQ2628" t="n">
        <x:f>_xlfn.XLOOKUP($A2628,Games!$A$2:$A$18,Games!$L$2:$L$18,"Missing game",0)</x:f>
        <x:v>33</x:v>
      </x:c>
      <x:c r="AR2628" t="n">
        <x:f>_xlfn.XLOOKUP($A2628,Games!$A$2:$A$18,Games!$M$2:$M$18,"Missing game",0)</x:f>
        <x:v>0</x:v>
      </x:c>
      <x:c r="AS2628" t="str">
        <x:f>_xlfn.XLOOKUP($A2628,Games!$A$2:$A$18,Games!$N$2:$N$18,"Missing game",0)</x:f>
        <x:v>dome</x:v>
      </x:c>
      <x:c r="AT2628" t="str">
        <x:f>_xlfn.XLOOKUP($A2628,Games!$A$2:$A$18,Games!$O$2:$O$18,"Missing game",0)</x:f>
        <x:v>sportturf</x:v>
      </x:c>
      <x:c r="AU2628" t="str">
        <x:f>_xlfn.XLOOKUP($A2628,Games!$A$2:$A$18,Games!$P$2:$P$18,"Missing game",0)</x:f>
      </x:c>
      <x:c r="AV2628" t="str">
        <x:f>_xlfn.XLOOKUP($A2628,Games!$A$2:$A$18,Games!$Q$2:$Q$18,"Missing game",0)</x:f>
      </x:c>
      <x:c r="AW2628" t="str">
        <x:f>_xlfn.XLOOKUP($A2628,Games!$A$2:$A$18,Games!$R$2:$R$18,"Missing game",0)</x:f>
        <x:v>U.S. Bank Stadium</x:v>
      </x:c>
    </x:row>
    <x:row r="2629">
      <x:c r="A2629" t="str">
        <x:v>2025_17_DET_MIN</x:v>
      </x:c>
      <x:c r="B2629" t="n">
        <x:v>3693</x:v>
      </x:c>
      <x:c r="C2629" t="n">
        <x:v>4</x:v>
      </x:c>
      <x:c r="D2629" t="str">
        <x:v>01:55</x:v>
      </x:c>
      <x:c r="E2629" t="n">
        <x:v>3</x:v>
      </x:c>
      <x:c r="F2629" t="n">
        <x:v>9</x:v>
      </x:c>
      <x:c r="G2629" t="str">
        <x:v>MIN</x:v>
      </x:c>
      <x:c r="H2629" t="str">
        <x:v>DET</x:v>
      </x:c>
      <x:c r="I2629" t="str">
        <x:v>DET</x:v>
      </x:c>
      <x:c r="J2629" t="n">
        <x:v>29</x:v>
      </x:c>
      <x:c r="K2629" t="str">
        <x:v>(1:55) 33-A.Jones up the middle to DET 24 for 5 yards (97-A.Hutchinson).</x:v>
      </x:c>
      <x:c r="L2629" t="str">
        <x:v>run</x:v>
      </x:c>
      <x:c r="M2629" t="n">
        <x:v>5</x:v>
      </x:c>
      <x:c r="N2629" t="n">
        <x:v>0</x:v>
      </x:c>
      <x:c r="O2629" t="n">
        <x:v>0</x:v>
      </x:c>
      <x:c r="P2629"/>
      <x:c r="Q2629"/>
      <x:c r="R2629"/>
      <x:c r="S2629"/>
      <x:c r="T2629" t="str">
        <x:v>middle</x:v>
      </x:c>
      <x:c r="U2629"/>
      <x:c r="V2629" t="n">
        <x:v>0</x:v>
      </x:c>
      <x:c r="W2629" t="n">
        <x:v>0</x:v>
      </x:c>
      <x:c r="X2629" t="n">
        <x:v>0</x:v>
      </x:c>
      <x:c r="Y2629" t="n">
        <x:v>0</x:v>
      </x:c>
      <x:c r="Z2629" t="n">
        <x:v>0</x:v>
      </x:c>
      <x:c r="AA2629" t="n">
        <x:v>0</x:v>
      </x:c>
      <x:c r="AB2629"/>
      <x:c r="AC2629" t="n">
        <x:v>0</x:v>
      </x:c>
      <x:c r="AD2629" t="n">
        <x:v>0.6770691936092224</x:v>
      </x:c>
      <x:c r="AE2629" t="n">
        <x:v>1</x:v>
      </x:c>
      <x:c r="AF2629" t="n">
        <x:v>0.0010838508605957031</x:v>
      </x:c>
      <x:c r="AG2629" t="n">
        <x:f>_xlfn.XLOOKUP($A2629,Games!$A$2:$A$18,Games!$B$2:$B$18,"Missing game",0)</x:f>
        <x:v>2025</x:v>
      </x:c>
      <x:c r="AH2629" t="str">
        <x:f>_xlfn.XLOOKUP($A2629,Games!$A$2:$A$18,Games!$C$2:$C$18,"Missing game",0)</x:f>
        <x:v>REG</x:v>
      </x:c>
      <x:c r="AI2629" t="n">
        <x:f>_xlfn.XLOOKUP($A2629,Games!$A$2:$A$18,Games!$D$2:$D$18,"Missing game",0)</x:f>
        <x:v>17</x:v>
      </x:c>
      <x:c r="AJ2629" s="1" t="n">
        <x:f>_xlfn.XLOOKUP($A2629,Games!$A$2:$A$18,Games!$E$2:$E$18,"Missing game",0)</x:f>
        <x:v>46016</x:v>
      </x:c>
      <x:c r="AK2629" t="str">
        <x:f>_xlfn.XLOOKUP($A2629,Games!$A$2:$A$18,Games!$F$2:$F$18,"Missing game",0)</x:f>
        <x:v>Thursday</x:v>
      </x:c>
      <x:c r="AL2629" t="str">
        <x:f>_xlfn.XLOOKUP($A2629,Games!$A$2:$A$18,Games!$G$2:$G$18,"Missing game",0)</x:f>
        <x:v>DET</x:v>
      </x:c>
      <x:c r="AM2629" t="n">
        <x:f>_xlfn.XLOOKUP($A2629,Games!$A$2:$A$18,Games!$H$2:$H$18,"Missing game",0)</x:f>
        <x:v>10</x:v>
      </x:c>
      <x:c r="AN2629" t="str">
        <x:f>_xlfn.XLOOKUP($A2629,Games!$A$2:$A$18,Games!$I$2:$I$18,"Missing game",0)</x:f>
        <x:v>MIN</x:v>
      </x:c>
      <x:c r="AO2629" t="n">
        <x:f>_xlfn.XLOOKUP($A2629,Games!$A$2:$A$18,Games!$J$2:$J$18,"Missing game",0)</x:f>
        <x:v>23</x:v>
      </x:c>
      <x:c r="AP2629" t="n">
        <x:f>_xlfn.XLOOKUP($A2629,Games!$A$2:$A$18,Games!$K$2:$K$18,"Missing game",0)</x:f>
        <x:v>13</x:v>
      </x:c>
      <x:c r="AQ2629" t="n">
        <x:f>_xlfn.XLOOKUP($A2629,Games!$A$2:$A$18,Games!$L$2:$L$18,"Missing game",0)</x:f>
        <x:v>33</x:v>
      </x:c>
      <x:c r="AR2629" t="n">
        <x:f>_xlfn.XLOOKUP($A2629,Games!$A$2:$A$18,Games!$M$2:$M$18,"Missing game",0)</x:f>
        <x:v>0</x:v>
      </x:c>
      <x:c r="AS2629" t="str">
        <x:f>_xlfn.XLOOKUP($A2629,Games!$A$2:$A$18,Games!$N$2:$N$18,"Missing game",0)</x:f>
        <x:v>dome</x:v>
      </x:c>
      <x:c r="AT2629" t="str">
        <x:f>_xlfn.XLOOKUP($A2629,Games!$A$2:$A$18,Games!$O$2:$O$18,"Missing game",0)</x:f>
        <x:v>sportturf</x:v>
      </x:c>
      <x:c r="AU2629" t="str">
        <x:f>_xlfn.XLOOKUP($A2629,Games!$A$2:$A$18,Games!$P$2:$P$18,"Missing game",0)</x:f>
      </x:c>
      <x:c r="AV2629" t="str">
        <x:f>_xlfn.XLOOKUP($A2629,Games!$A$2:$A$18,Games!$Q$2:$Q$18,"Missing game",0)</x:f>
      </x:c>
      <x:c r="AW2629" t="str">
        <x:f>_xlfn.XLOOKUP($A2629,Games!$A$2:$A$18,Games!$R$2:$R$18,"Missing game",0)</x:f>
        <x:v>U.S. Bank Stadium</x:v>
      </x:c>
    </x:row>
    <x:row r="2630">
      <x:c r="A2630" t="str">
        <x:v>2025_17_DET_MIN</x:v>
      </x:c>
      <x:c r="B2630" t="n">
        <x:v>3705</x:v>
      </x:c>
      <x:c r="C2630" t="n">
        <x:v>4</x:v>
      </x:c>
      <x:c r="D2630" t="str">
        <x:v>01:55</x:v>
      </x:c>
      <x:c r="E2630"/>
      <x:c r="F2630" t="n">
        <x:v>0</x:v>
      </x:c>
      <x:c r="G2630"/>
      <x:c r="H2630"/>
      <x:c r="I2630"/>
      <x:c r="J2630"/>
      <x:c r="K2630" t="str">
        <x:v>Timeout #3 by DET at 01:55.</x:v>
      </x:c>
      <x:c r="L2630" t="str">
        <x:v>no_play</x:v>
      </x:c>
      <x:c r="M2630" t="n">
        <x:v>0</x:v>
      </x:c>
      <x:c r="N2630" t="n">
        <x:v>0</x:v>
      </x:c>
      <x:c r="O2630" t="n">
        <x:v>0</x:v>
      </x:c>
      <x:c r="P2630"/>
      <x:c r="Q2630"/>
      <x:c r="R2630"/>
      <x:c r="S2630"/>
      <x:c r="T2630"/>
      <x:c r="U2630"/>
      <x:c r="V2630" t="n">
        <x:v>0</x:v>
      </x:c>
      <x:c r="W2630" t="n">
        <x:v>0</x:v>
      </x:c>
      <x:c r="X2630" t="n">
        <x:v>0</x:v>
      </x:c>
      <x:c r="Y2630" t="n">
        <x:v>0</x:v>
      </x:c>
      <x:c r="Z2630" t="n">
        <x:v>0</x:v>
      </x:c>
      <x:c r="AA2630" t="n">
        <x:v>0</x:v>
      </x:c>
      <x:c r="AB2630"/>
      <x:c r="AC2630" t="n">
        <x:v>0</x:v>
      </x:c>
      <x:c r="AD2630" t="n">
        <x:v>0</x:v>
      </x:c>
      <x:c r="AE2630" t="n">
        <x:v>0</x:v>
      </x:c>
      <x:c r="AF2630" t="n">
        <x:v>0</x:v>
      </x:c>
      <x:c r="AG2630" t="n">
        <x:f>_xlfn.XLOOKUP($A2630,Games!$A$2:$A$18,Games!$B$2:$B$18,"Missing game",0)</x:f>
        <x:v>2025</x:v>
      </x:c>
      <x:c r="AH2630" t="str">
        <x:f>_xlfn.XLOOKUP($A2630,Games!$A$2:$A$18,Games!$C$2:$C$18,"Missing game",0)</x:f>
        <x:v>REG</x:v>
      </x:c>
      <x:c r="AI2630" t="n">
        <x:f>_xlfn.XLOOKUP($A2630,Games!$A$2:$A$18,Games!$D$2:$D$18,"Missing game",0)</x:f>
        <x:v>17</x:v>
      </x:c>
      <x:c r="AJ2630" s="1" t="n">
        <x:f>_xlfn.XLOOKUP($A2630,Games!$A$2:$A$18,Games!$E$2:$E$18,"Missing game",0)</x:f>
        <x:v>46016</x:v>
      </x:c>
      <x:c r="AK2630" t="str">
        <x:f>_xlfn.XLOOKUP($A2630,Games!$A$2:$A$18,Games!$F$2:$F$18,"Missing game",0)</x:f>
        <x:v>Thursday</x:v>
      </x:c>
      <x:c r="AL2630" t="str">
        <x:f>_xlfn.XLOOKUP($A2630,Games!$A$2:$A$18,Games!$G$2:$G$18,"Missing game",0)</x:f>
        <x:v>DET</x:v>
      </x:c>
      <x:c r="AM2630" t="n">
        <x:f>_xlfn.XLOOKUP($A2630,Games!$A$2:$A$18,Games!$H$2:$H$18,"Missing game",0)</x:f>
        <x:v>10</x:v>
      </x:c>
      <x:c r="AN2630" t="str">
        <x:f>_xlfn.XLOOKUP($A2630,Games!$A$2:$A$18,Games!$I$2:$I$18,"Missing game",0)</x:f>
        <x:v>MIN</x:v>
      </x:c>
      <x:c r="AO2630" t="n">
        <x:f>_xlfn.XLOOKUP($A2630,Games!$A$2:$A$18,Games!$J$2:$J$18,"Missing game",0)</x:f>
        <x:v>23</x:v>
      </x:c>
      <x:c r="AP2630" t="n">
        <x:f>_xlfn.XLOOKUP($A2630,Games!$A$2:$A$18,Games!$K$2:$K$18,"Missing game",0)</x:f>
        <x:v>13</x:v>
      </x:c>
      <x:c r="AQ2630" t="n">
        <x:f>_xlfn.XLOOKUP($A2630,Games!$A$2:$A$18,Games!$L$2:$L$18,"Missing game",0)</x:f>
        <x:v>33</x:v>
      </x:c>
      <x:c r="AR2630" t="n">
        <x:f>_xlfn.XLOOKUP($A2630,Games!$A$2:$A$18,Games!$M$2:$M$18,"Missing game",0)</x:f>
        <x:v>0</x:v>
      </x:c>
      <x:c r="AS2630" t="str">
        <x:f>_xlfn.XLOOKUP($A2630,Games!$A$2:$A$18,Games!$N$2:$N$18,"Missing game",0)</x:f>
        <x:v>dome</x:v>
      </x:c>
      <x:c r="AT2630" t="str">
        <x:f>_xlfn.XLOOKUP($A2630,Games!$A$2:$A$18,Games!$O$2:$O$18,"Missing game",0)</x:f>
        <x:v>sportturf</x:v>
      </x:c>
      <x:c r="AU2630" t="str">
        <x:f>_xlfn.XLOOKUP($A2630,Games!$A$2:$A$18,Games!$P$2:$P$18,"Missing game",0)</x:f>
      </x:c>
      <x:c r="AV2630" t="str">
        <x:f>_xlfn.XLOOKUP($A2630,Games!$A$2:$A$18,Games!$Q$2:$Q$18,"Missing game",0)</x:f>
      </x:c>
      <x:c r="AW2630" t="str">
        <x:f>_xlfn.XLOOKUP($A2630,Games!$A$2:$A$18,Games!$R$2:$R$18,"Missing game",0)</x:f>
        <x:v>U.S. Bank Stadium</x:v>
      </x:c>
    </x:row>
    <x:row r="2631">
      <x:c r="A2631" t="str">
        <x:v>2025_17_DET_MIN</x:v>
      </x:c>
      <x:c r="B2631" t="n">
        <x:v>3722</x:v>
      </x:c>
      <x:c r="C2631" t="n">
        <x:v>4</x:v>
      </x:c>
      <x:c r="D2631" t="str">
        <x:v>01:08</x:v>
      </x:c>
      <x:c r="E2631" t="n">
        <x:v>4</x:v>
      </x:c>
      <x:c r="F2631" t="n">
        <x:v>4</x:v>
      </x:c>
      <x:c r="G2631" t="str">
        <x:v>MIN</x:v>
      </x:c>
      <x:c r="H2631" t="str">
        <x:v>DET</x:v>
      </x:c>
      <x:c r="I2631" t="str">
        <x:v>DET</x:v>
      </x:c>
      <x:c r="J2631" t="n">
        <x:v>24</x:v>
      </x:c>
      <x:c r="K2631" t="str">
        <x:v>(1:08) 16-W.Reichard 42 yard field goal is GOOD, Center-42-A.DePaola, Holder-17-R.Wright.</x:v>
      </x:c>
      <x:c r="L2631" t="str">
        <x:v>field_goal</x:v>
      </x:c>
      <x:c r="M2631" t="n">
        <x:v>0</x:v>
      </x:c>
      <x:c r="N2631" t="n">
        <x:v>0</x:v>
      </x:c>
      <x:c r="O2631" t="n">
        <x:v>0</x:v>
      </x:c>
      <x:c r="P2631"/>
      <x:c r="Q2631"/>
      <x:c r="R2631"/>
      <x:c r="S2631"/>
      <x:c r="T2631"/>
      <x:c r="U2631"/>
      <x:c r="V2631" t="n">
        <x:v>0</x:v>
      </x:c>
      <x:c r="W2631" t="n">
        <x:v>0</x:v>
      </x:c>
      <x:c r="X2631" t="n">
        <x:v>0</x:v>
      </x:c>
      <x:c r="Y2631" t="n">
        <x:v>0</x:v>
      </x:c>
      <x:c r="Z2631" t="n">
        <x:v>0</x:v>
      </x:c>
      <x:c r="AA2631" t="n">
        <x:v>0</x:v>
      </x:c>
      <x:c r="AB2631"/>
      <x:c r="AC2631" t="n">
        <x:v>0</x:v>
      </x:c>
      <x:c r="AD2631" t="n">
        <x:v>0.7196649284030538</x:v>
      </x:c>
      <x:c r="AE2631" t="n">
        <x:v>1</x:v>
      </x:c>
      <x:c r="AF2631" t="n">
        <x:v>-0.0012813741341233253</x:v>
      </x:c>
      <x:c r="AG2631" t="n">
        <x:f>_xlfn.XLOOKUP($A2631,Games!$A$2:$A$18,Games!$B$2:$B$18,"Missing game",0)</x:f>
        <x:v>2025</x:v>
      </x:c>
      <x:c r="AH2631" t="str">
        <x:f>_xlfn.XLOOKUP($A2631,Games!$A$2:$A$18,Games!$C$2:$C$18,"Missing game",0)</x:f>
        <x:v>REG</x:v>
      </x:c>
      <x:c r="AI2631" t="n">
        <x:f>_xlfn.XLOOKUP($A2631,Games!$A$2:$A$18,Games!$D$2:$D$18,"Missing game",0)</x:f>
        <x:v>17</x:v>
      </x:c>
      <x:c r="AJ2631" s="1" t="n">
        <x:f>_xlfn.XLOOKUP($A2631,Games!$A$2:$A$18,Games!$E$2:$E$18,"Missing game",0)</x:f>
        <x:v>46016</x:v>
      </x:c>
      <x:c r="AK2631" t="str">
        <x:f>_xlfn.XLOOKUP($A2631,Games!$A$2:$A$18,Games!$F$2:$F$18,"Missing game",0)</x:f>
        <x:v>Thursday</x:v>
      </x:c>
      <x:c r="AL2631" t="str">
        <x:f>_xlfn.XLOOKUP($A2631,Games!$A$2:$A$18,Games!$G$2:$G$18,"Missing game",0)</x:f>
        <x:v>DET</x:v>
      </x:c>
      <x:c r="AM2631" t="n">
        <x:f>_xlfn.XLOOKUP($A2631,Games!$A$2:$A$18,Games!$H$2:$H$18,"Missing game",0)</x:f>
        <x:v>10</x:v>
      </x:c>
      <x:c r="AN2631" t="str">
        <x:f>_xlfn.XLOOKUP($A2631,Games!$A$2:$A$18,Games!$I$2:$I$18,"Missing game",0)</x:f>
        <x:v>MIN</x:v>
      </x:c>
      <x:c r="AO2631" t="n">
        <x:f>_xlfn.XLOOKUP($A2631,Games!$A$2:$A$18,Games!$J$2:$J$18,"Missing game",0)</x:f>
        <x:v>23</x:v>
      </x:c>
      <x:c r="AP2631" t="n">
        <x:f>_xlfn.XLOOKUP($A2631,Games!$A$2:$A$18,Games!$K$2:$K$18,"Missing game",0)</x:f>
        <x:v>13</x:v>
      </x:c>
      <x:c r="AQ2631" t="n">
        <x:f>_xlfn.XLOOKUP($A2631,Games!$A$2:$A$18,Games!$L$2:$L$18,"Missing game",0)</x:f>
        <x:v>33</x:v>
      </x:c>
      <x:c r="AR2631" t="n">
        <x:f>_xlfn.XLOOKUP($A2631,Games!$A$2:$A$18,Games!$M$2:$M$18,"Missing game",0)</x:f>
        <x:v>0</x:v>
      </x:c>
      <x:c r="AS2631" t="str">
        <x:f>_xlfn.XLOOKUP($A2631,Games!$A$2:$A$18,Games!$N$2:$N$18,"Missing game",0)</x:f>
        <x:v>dome</x:v>
      </x:c>
      <x:c r="AT2631" t="str">
        <x:f>_xlfn.XLOOKUP($A2631,Games!$A$2:$A$18,Games!$O$2:$O$18,"Missing game",0)</x:f>
        <x:v>sportturf</x:v>
      </x:c>
      <x:c r="AU2631" t="str">
        <x:f>_xlfn.XLOOKUP($A2631,Games!$A$2:$A$18,Games!$P$2:$P$18,"Missing game",0)</x:f>
      </x:c>
      <x:c r="AV2631" t="str">
        <x:f>_xlfn.XLOOKUP($A2631,Games!$A$2:$A$18,Games!$Q$2:$Q$18,"Missing game",0)</x:f>
      </x:c>
      <x:c r="AW2631" t="str">
        <x:f>_xlfn.XLOOKUP($A2631,Games!$A$2:$A$18,Games!$R$2:$R$18,"Missing game",0)</x:f>
        <x:v>U.S. Bank Stadium</x:v>
      </x:c>
    </x:row>
    <x:row r="2632">
      <x:c r="A2632" t="str">
        <x:v>2025_17_DET_MIN</x:v>
      </x:c>
      <x:c r="B2632" t="n">
        <x:v>3734</x:v>
      </x:c>
      <x:c r="C2632" t="n">
        <x:v>4</x:v>
      </x:c>
      <x:c r="D2632" t="str">
        <x:v>01:08</x:v>
      </x:c>
      <x:c r="E2632"/>
      <x:c r="F2632" t="n">
        <x:v>0</x:v>
      </x:c>
      <x:c r="G2632"/>
      <x:c r="H2632"/>
      <x:c r="I2632"/>
      <x:c r="J2632"/>
      <x:c r="K2632" t="str">
        <x:v>Timeout #2 by MIN at 01:08.</x:v>
      </x:c>
      <x:c r="L2632" t="str">
        <x:v>no_play</x:v>
      </x:c>
      <x:c r="M2632" t="n">
        <x:v>0</x:v>
      </x:c>
      <x:c r="N2632" t="n">
        <x:v>0</x:v>
      </x:c>
      <x:c r="O2632" t="n">
        <x:v>0</x:v>
      </x:c>
      <x:c r="P2632"/>
      <x:c r="Q2632"/>
      <x:c r="R2632"/>
      <x:c r="S2632"/>
      <x:c r="T2632"/>
      <x:c r="U2632"/>
      <x:c r="V2632" t="n">
        <x:v>0</x:v>
      </x:c>
      <x:c r="W2632" t="n">
        <x:v>0</x:v>
      </x:c>
      <x:c r="X2632" t="n">
        <x:v>0</x:v>
      </x:c>
      <x:c r="Y2632" t="n">
        <x:v>0</x:v>
      </x:c>
      <x:c r="Z2632" t="n">
        <x:v>0</x:v>
      </x:c>
      <x:c r="AA2632" t="n">
        <x:v>0</x:v>
      </x:c>
      <x:c r="AB2632"/>
      <x:c r="AC2632" t="n">
        <x:v>0</x:v>
      </x:c>
      <x:c r="AD2632" t="n">
        <x:v>0</x:v>
      </x:c>
      <x:c r="AE2632" t="n">
        <x:v>0</x:v>
      </x:c>
      <x:c r="AF2632" t="n">
        <x:v>0</x:v>
      </x:c>
      <x:c r="AG2632" t="n">
        <x:f>_xlfn.XLOOKUP($A2632,Games!$A$2:$A$18,Games!$B$2:$B$18,"Missing game",0)</x:f>
        <x:v>2025</x:v>
      </x:c>
      <x:c r="AH2632" t="str">
        <x:f>_xlfn.XLOOKUP($A2632,Games!$A$2:$A$18,Games!$C$2:$C$18,"Missing game",0)</x:f>
        <x:v>REG</x:v>
      </x:c>
      <x:c r="AI2632" t="n">
        <x:f>_xlfn.XLOOKUP($A2632,Games!$A$2:$A$18,Games!$D$2:$D$18,"Missing game",0)</x:f>
        <x:v>17</x:v>
      </x:c>
      <x:c r="AJ2632" s="1" t="n">
        <x:f>_xlfn.XLOOKUP($A2632,Games!$A$2:$A$18,Games!$E$2:$E$18,"Missing game",0)</x:f>
        <x:v>46016</x:v>
      </x:c>
      <x:c r="AK2632" t="str">
        <x:f>_xlfn.XLOOKUP($A2632,Games!$A$2:$A$18,Games!$F$2:$F$18,"Missing game",0)</x:f>
        <x:v>Thursday</x:v>
      </x:c>
      <x:c r="AL2632" t="str">
        <x:f>_xlfn.XLOOKUP($A2632,Games!$A$2:$A$18,Games!$G$2:$G$18,"Missing game",0)</x:f>
        <x:v>DET</x:v>
      </x:c>
      <x:c r="AM2632" t="n">
        <x:f>_xlfn.XLOOKUP($A2632,Games!$A$2:$A$18,Games!$H$2:$H$18,"Missing game",0)</x:f>
        <x:v>10</x:v>
      </x:c>
      <x:c r="AN2632" t="str">
        <x:f>_xlfn.XLOOKUP($A2632,Games!$A$2:$A$18,Games!$I$2:$I$18,"Missing game",0)</x:f>
        <x:v>MIN</x:v>
      </x:c>
      <x:c r="AO2632" t="n">
        <x:f>_xlfn.XLOOKUP($A2632,Games!$A$2:$A$18,Games!$J$2:$J$18,"Missing game",0)</x:f>
        <x:v>23</x:v>
      </x:c>
      <x:c r="AP2632" t="n">
        <x:f>_xlfn.XLOOKUP($A2632,Games!$A$2:$A$18,Games!$K$2:$K$18,"Missing game",0)</x:f>
        <x:v>13</x:v>
      </x:c>
      <x:c r="AQ2632" t="n">
        <x:f>_xlfn.XLOOKUP($A2632,Games!$A$2:$A$18,Games!$L$2:$L$18,"Missing game",0)</x:f>
        <x:v>33</x:v>
      </x:c>
      <x:c r="AR2632" t="n">
        <x:f>_xlfn.XLOOKUP($A2632,Games!$A$2:$A$18,Games!$M$2:$M$18,"Missing game",0)</x:f>
        <x:v>0</x:v>
      </x:c>
      <x:c r="AS2632" t="str">
        <x:f>_xlfn.XLOOKUP($A2632,Games!$A$2:$A$18,Games!$N$2:$N$18,"Missing game",0)</x:f>
        <x:v>dome</x:v>
      </x:c>
      <x:c r="AT2632" t="str">
        <x:f>_xlfn.XLOOKUP($A2632,Games!$A$2:$A$18,Games!$O$2:$O$18,"Missing game",0)</x:f>
        <x:v>sportturf</x:v>
      </x:c>
      <x:c r="AU2632" t="str">
        <x:f>_xlfn.XLOOKUP($A2632,Games!$A$2:$A$18,Games!$P$2:$P$18,"Missing game",0)</x:f>
      </x:c>
      <x:c r="AV2632" t="str">
        <x:f>_xlfn.XLOOKUP($A2632,Games!$A$2:$A$18,Games!$Q$2:$Q$18,"Missing game",0)</x:f>
      </x:c>
      <x:c r="AW2632" t="str">
        <x:f>_xlfn.XLOOKUP($A2632,Games!$A$2:$A$18,Games!$R$2:$R$18,"Missing game",0)</x:f>
        <x:v>U.S. Bank Stadium</x:v>
      </x:c>
    </x:row>
    <x:row r="2633">
      <x:c r="A2633" t="str">
        <x:v>2025_17_DET_MIN</x:v>
      </x:c>
      <x:c r="B2633" t="n">
        <x:v>3749</x:v>
      </x:c>
      <x:c r="C2633" t="n">
        <x:v>4</x:v>
      </x:c>
      <x:c r="D2633" t="str">
        <x:v>01:04</x:v>
      </x:c>
      <x:c r="E2633"/>
      <x:c r="F2633" t="n">
        <x:v>0</x:v>
      </x:c>
      <x:c r="G2633" t="str">
        <x:v>DET</x:v>
      </x:c>
      <x:c r="H2633" t="str">
        <x:v>MIN</x:v>
      </x:c>
      <x:c r="I2633" t="str">
        <x:v>MIN</x:v>
      </x:c>
      <x:c r="J2633" t="n">
        <x:v>35</x:v>
      </x:c>
      <x:c r="K2633" t="str">
        <x:v>16-W.Reichard kicks 65 yards from MIN 35 to end zone, Touchback to the DET 35.</x:v>
      </x:c>
      <x:c r="L2633" t="str">
        <x:v>kickoff</x:v>
      </x:c>
      <x:c r="M2633" t="n">
        <x:v>0</x:v>
      </x:c>
      <x:c r="N2633" t="n">
        <x:v>0</x:v>
      </x:c>
      <x:c r="O2633" t="n">
        <x:v>0</x:v>
      </x:c>
      <x:c r="P2633"/>
      <x:c r="Q2633"/>
      <x:c r="R2633"/>
      <x:c r="S2633"/>
      <x:c r="T2633"/>
      <x:c r="U2633"/>
      <x:c r="V2633" t="n">
        <x:v>0</x:v>
      </x:c>
      <x:c r="W2633" t="n">
        <x:v>0</x:v>
      </x:c>
      <x:c r="X2633" t="n">
        <x:v>0</x:v>
      </x:c>
      <x:c r="Y2633" t="n">
        <x:v>0</x:v>
      </x:c>
      <x:c r="Z2633" t="n">
        <x:v>0</x:v>
      </x:c>
      <x:c r="AA2633" t="n">
        <x:v>0</x:v>
      </x:c>
      <x:c r="AB2633"/>
      <x:c r="AC2633" t="n">
        <x:v>0</x:v>
      </x:c>
      <x:c r="AD2633" t="n">
        <x:v>0.2270146103692241</x:v>
      </x:c>
      <x:c r="AE2633" t="n">
        <x:v>1</x:v>
      </x:c>
      <x:c r="AF2633" t="n">
        <x:v>-0.00007479498162865639</x:v>
      </x:c>
      <x:c r="AG2633" t="n">
        <x:f>_xlfn.XLOOKUP($A2633,Games!$A$2:$A$18,Games!$B$2:$B$18,"Missing game",0)</x:f>
        <x:v>2025</x:v>
      </x:c>
      <x:c r="AH2633" t="str">
        <x:f>_xlfn.XLOOKUP($A2633,Games!$A$2:$A$18,Games!$C$2:$C$18,"Missing game",0)</x:f>
        <x:v>REG</x:v>
      </x:c>
      <x:c r="AI2633" t="n">
        <x:f>_xlfn.XLOOKUP($A2633,Games!$A$2:$A$18,Games!$D$2:$D$18,"Missing game",0)</x:f>
        <x:v>17</x:v>
      </x:c>
      <x:c r="AJ2633" s="1" t="n">
        <x:f>_xlfn.XLOOKUP($A2633,Games!$A$2:$A$18,Games!$E$2:$E$18,"Missing game",0)</x:f>
        <x:v>46016</x:v>
      </x:c>
      <x:c r="AK2633" t="str">
        <x:f>_xlfn.XLOOKUP($A2633,Games!$A$2:$A$18,Games!$F$2:$F$18,"Missing game",0)</x:f>
        <x:v>Thursday</x:v>
      </x:c>
      <x:c r="AL2633" t="str">
        <x:f>_xlfn.XLOOKUP($A2633,Games!$A$2:$A$18,Games!$G$2:$G$18,"Missing game",0)</x:f>
        <x:v>DET</x:v>
      </x:c>
      <x:c r="AM2633" t="n">
        <x:f>_xlfn.XLOOKUP($A2633,Games!$A$2:$A$18,Games!$H$2:$H$18,"Missing game",0)</x:f>
        <x:v>10</x:v>
      </x:c>
      <x:c r="AN2633" t="str">
        <x:f>_xlfn.XLOOKUP($A2633,Games!$A$2:$A$18,Games!$I$2:$I$18,"Missing game",0)</x:f>
        <x:v>MIN</x:v>
      </x:c>
      <x:c r="AO2633" t="n">
        <x:f>_xlfn.XLOOKUP($A2633,Games!$A$2:$A$18,Games!$J$2:$J$18,"Missing game",0)</x:f>
        <x:v>23</x:v>
      </x:c>
      <x:c r="AP2633" t="n">
        <x:f>_xlfn.XLOOKUP($A2633,Games!$A$2:$A$18,Games!$K$2:$K$18,"Missing game",0)</x:f>
        <x:v>13</x:v>
      </x:c>
      <x:c r="AQ2633" t="n">
        <x:f>_xlfn.XLOOKUP($A2633,Games!$A$2:$A$18,Games!$L$2:$L$18,"Missing game",0)</x:f>
        <x:v>33</x:v>
      </x:c>
      <x:c r="AR2633" t="n">
        <x:f>_xlfn.XLOOKUP($A2633,Games!$A$2:$A$18,Games!$M$2:$M$18,"Missing game",0)</x:f>
        <x:v>0</x:v>
      </x:c>
      <x:c r="AS2633" t="str">
        <x:f>_xlfn.XLOOKUP($A2633,Games!$A$2:$A$18,Games!$N$2:$N$18,"Missing game",0)</x:f>
        <x:v>dome</x:v>
      </x:c>
      <x:c r="AT2633" t="str">
        <x:f>_xlfn.XLOOKUP($A2633,Games!$A$2:$A$18,Games!$O$2:$O$18,"Missing game",0)</x:f>
        <x:v>sportturf</x:v>
      </x:c>
      <x:c r="AU2633" t="str">
        <x:f>_xlfn.XLOOKUP($A2633,Games!$A$2:$A$18,Games!$P$2:$P$18,"Missing game",0)</x:f>
      </x:c>
      <x:c r="AV2633" t="str">
        <x:f>_xlfn.XLOOKUP($A2633,Games!$A$2:$A$18,Games!$Q$2:$Q$18,"Missing game",0)</x:f>
      </x:c>
      <x:c r="AW2633" t="str">
        <x:f>_xlfn.XLOOKUP($A2633,Games!$A$2:$A$18,Games!$R$2:$R$18,"Missing game",0)</x:f>
        <x:v>U.S. Bank Stadium</x:v>
      </x:c>
    </x:row>
    <x:row r="2634">
      <x:c r="A2634" t="str">
        <x:v>2025_17_DET_MIN</x:v>
      </x:c>
      <x:c r="B2634" t="n">
        <x:v>3766</x:v>
      </x:c>
      <x:c r="C2634" t="n">
        <x:v>4</x:v>
      </x:c>
      <x:c r="D2634" t="str">
        <x:v>01:04</x:v>
      </x:c>
      <x:c r="E2634" t="n">
        <x:v>1</x:v>
      </x:c>
      <x:c r="F2634" t="n">
        <x:v>10</x:v>
      </x:c>
      <x:c r="G2634" t="str">
        <x:v>DET</x:v>
      </x:c>
      <x:c r="H2634" t="str">
        <x:v>MIN</x:v>
      </x:c>
      <x:c r="I2634" t="str">
        <x:v>DET</x:v>
      </x:c>
      <x:c r="J2634" t="n">
        <x:v>65</x:v>
      </x:c>
      <x:c r="K2634" t="str">
        <x:v>(1:04) (Shotgun) 16-J.Goff pass short right to 18-I.TeSlaa to MIN 48 for 17 yards (51-B.Cashman).</x:v>
      </x:c>
      <x:c r="L2634" t="str">
        <x:v>pass</x:v>
      </x:c>
      <x:c r="M2634" t="n">
        <x:v>17</x:v>
      </x:c>
      <x:c r="N2634" t="n">
        <x:v>1</x:v>
      </x:c>
      <x:c r="O2634" t="n">
        <x:v>0</x:v>
      </x:c>
      <x:c r="P2634" t="str">
        <x:v>short</x:v>
      </x:c>
      <x:c r="Q2634" t="str">
        <x:v>right</x:v>
      </x:c>
      <x:c r="R2634" t="n">
        <x:v>5</x:v>
      </x:c>
      <x:c r="S2634" t="n">
        <x:v>12</x:v>
      </x:c>
      <x:c r="T2634"/>
      <x:c r="U2634"/>
      <x:c r="V2634" t="n">
        <x:v>1</x:v>
      </x:c>
      <x:c r="W2634" t="n">
        <x:v>1</x:v>
      </x:c>
      <x:c r="X2634" t="n">
        <x:v>0</x:v>
      </x:c>
      <x:c r="Y2634" t="n">
        <x:v>0</x:v>
      </x:c>
      <x:c r="Z2634" t="n">
        <x:v>0</x:v>
      </x:c>
      <x:c r="AA2634" t="n">
        <x:v>0</x:v>
      </x:c>
      <x:c r="AB2634"/>
      <x:c r="AC2634" t="n">
        <x:v>0</x:v>
      </x:c>
      <x:c r="AD2634" t="n">
        <x:v>0.8225168850040063</x:v>
      </x:c>
      <x:c r="AE2634" t="n">
        <x:v>1</x:v>
      </x:c>
      <x:c r="AF2634" t="n">
        <x:v>0.0004932540468871593</x:v>
      </x:c>
      <x:c r="AG2634" t="n">
        <x:f>_xlfn.XLOOKUP($A2634,Games!$A$2:$A$18,Games!$B$2:$B$18,"Missing game",0)</x:f>
        <x:v>2025</x:v>
      </x:c>
      <x:c r="AH2634" t="str">
        <x:f>_xlfn.XLOOKUP($A2634,Games!$A$2:$A$18,Games!$C$2:$C$18,"Missing game",0)</x:f>
        <x:v>REG</x:v>
      </x:c>
      <x:c r="AI2634" t="n">
        <x:f>_xlfn.XLOOKUP($A2634,Games!$A$2:$A$18,Games!$D$2:$D$18,"Missing game",0)</x:f>
        <x:v>17</x:v>
      </x:c>
      <x:c r="AJ2634" s="1" t="n">
        <x:f>_xlfn.XLOOKUP($A2634,Games!$A$2:$A$18,Games!$E$2:$E$18,"Missing game",0)</x:f>
        <x:v>46016</x:v>
      </x:c>
      <x:c r="AK2634" t="str">
        <x:f>_xlfn.XLOOKUP($A2634,Games!$A$2:$A$18,Games!$F$2:$F$18,"Missing game",0)</x:f>
        <x:v>Thursday</x:v>
      </x:c>
      <x:c r="AL2634" t="str">
        <x:f>_xlfn.XLOOKUP($A2634,Games!$A$2:$A$18,Games!$G$2:$G$18,"Missing game",0)</x:f>
        <x:v>DET</x:v>
      </x:c>
      <x:c r="AM2634" t="n">
        <x:f>_xlfn.XLOOKUP($A2634,Games!$A$2:$A$18,Games!$H$2:$H$18,"Missing game",0)</x:f>
        <x:v>10</x:v>
      </x:c>
      <x:c r="AN2634" t="str">
        <x:f>_xlfn.XLOOKUP($A2634,Games!$A$2:$A$18,Games!$I$2:$I$18,"Missing game",0)</x:f>
        <x:v>MIN</x:v>
      </x:c>
      <x:c r="AO2634" t="n">
        <x:f>_xlfn.XLOOKUP($A2634,Games!$A$2:$A$18,Games!$J$2:$J$18,"Missing game",0)</x:f>
        <x:v>23</x:v>
      </x:c>
      <x:c r="AP2634" t="n">
        <x:f>_xlfn.XLOOKUP($A2634,Games!$A$2:$A$18,Games!$K$2:$K$18,"Missing game",0)</x:f>
        <x:v>13</x:v>
      </x:c>
      <x:c r="AQ2634" t="n">
        <x:f>_xlfn.XLOOKUP($A2634,Games!$A$2:$A$18,Games!$L$2:$L$18,"Missing game",0)</x:f>
        <x:v>33</x:v>
      </x:c>
      <x:c r="AR2634" t="n">
        <x:f>_xlfn.XLOOKUP($A2634,Games!$A$2:$A$18,Games!$M$2:$M$18,"Missing game",0)</x:f>
        <x:v>0</x:v>
      </x:c>
      <x:c r="AS2634" t="str">
        <x:f>_xlfn.XLOOKUP($A2634,Games!$A$2:$A$18,Games!$N$2:$N$18,"Missing game",0)</x:f>
        <x:v>dome</x:v>
      </x:c>
      <x:c r="AT2634" t="str">
        <x:f>_xlfn.XLOOKUP($A2634,Games!$A$2:$A$18,Games!$O$2:$O$18,"Missing game",0)</x:f>
        <x:v>sportturf</x:v>
      </x:c>
      <x:c r="AU2634" t="str">
        <x:f>_xlfn.XLOOKUP($A2634,Games!$A$2:$A$18,Games!$P$2:$P$18,"Missing game",0)</x:f>
      </x:c>
      <x:c r="AV2634" t="str">
        <x:f>_xlfn.XLOOKUP($A2634,Games!$A$2:$A$18,Games!$Q$2:$Q$18,"Missing game",0)</x:f>
      </x:c>
      <x:c r="AW2634" t="str">
        <x:f>_xlfn.XLOOKUP($A2634,Games!$A$2:$A$18,Games!$R$2:$R$18,"Missing game",0)</x:f>
        <x:v>U.S. Bank Stadium</x:v>
      </x:c>
    </x:row>
    <x:row r="2635">
      <x:c r="A2635" t="str">
        <x:v>2025_17_DET_MIN</x:v>
      </x:c>
      <x:c r="B2635" t="n">
        <x:v>3791</x:v>
      </x:c>
      <x:c r="C2635" t="n">
        <x:v>4</x:v>
      </x:c>
      <x:c r="D2635" t="str">
        <x:v>00:41</x:v>
      </x:c>
      <x:c r="E2635" t="n">
        <x:v>1</x:v>
      </x:c>
      <x:c r="F2635" t="n">
        <x:v>10</x:v>
      </x:c>
      <x:c r="G2635" t="str">
        <x:v>DET</x:v>
      </x:c>
      <x:c r="H2635" t="str">
        <x:v>MIN</x:v>
      </x:c>
      <x:c r="I2635" t="str">
        <x:v>MIN</x:v>
      </x:c>
      <x:c r="J2635" t="n">
        <x:v>48</x:v>
      </x:c>
      <x:c r="K2635" t="str">
        <x:v>(:41) (No Huddle, Shotgun) 16-J.Goff pass incomplete short left to 14-A.St. Brown. DET-14-A.St. Brown was injured during the play.</x:v>
      </x:c>
      <x:c r="L2635" t="str">
        <x:v>pass</x:v>
      </x:c>
      <x:c r="M2635" t="n">
        <x:v>0</x:v>
      </x:c>
      <x:c r="N2635" t="n">
        <x:v>1</x:v>
      </x:c>
      <x:c r="O2635" t="n">
        <x:v>1</x:v>
      </x:c>
      <x:c r="P2635" t="str">
        <x:v>short</x:v>
      </x:c>
      <x:c r="Q2635" t="str">
        <x:v>left</x:v>
      </x:c>
      <x:c r="R2635" t="n">
        <x:v>5</x:v>
      </x:c>
      <x:c r="S2635"/>
      <x:c r="T2635"/>
      <x:c r="U2635"/>
      <x:c r="V2635" t="n">
        <x:v>0</x:v>
      </x:c>
      <x:c r="W2635" t="n">
        <x:v>0</x:v>
      </x:c>
      <x:c r="X2635" t="n">
        <x:v>0</x:v>
      </x:c>
      <x:c r="Y2635" t="n">
        <x:v>0</x:v>
      </x:c>
      <x:c r="Z2635" t="n">
        <x:v>0</x:v>
      </x:c>
      <x:c r="AA2635" t="n">
        <x:v>0</x:v>
      </x:c>
      <x:c r="AB2635"/>
      <x:c r="AC2635" t="n">
        <x:v>0</x:v>
      </x:c>
      <x:c r="AD2635" t="n">
        <x:v>-0.23954701249022037</x:v>
      </x:c>
      <x:c r="AE2635" t="n">
        <x:v>0</x:v>
      </x:c>
      <x:c r="AF2635" t="n">
        <x:v>-0.001305619953200221</x:v>
      </x:c>
      <x:c r="AG2635" t="n">
        <x:f>_xlfn.XLOOKUP($A2635,Games!$A$2:$A$18,Games!$B$2:$B$18,"Missing game",0)</x:f>
        <x:v>2025</x:v>
      </x:c>
      <x:c r="AH2635" t="str">
        <x:f>_xlfn.XLOOKUP($A2635,Games!$A$2:$A$18,Games!$C$2:$C$18,"Missing game",0)</x:f>
        <x:v>REG</x:v>
      </x:c>
      <x:c r="AI2635" t="n">
        <x:f>_xlfn.XLOOKUP($A2635,Games!$A$2:$A$18,Games!$D$2:$D$18,"Missing game",0)</x:f>
        <x:v>17</x:v>
      </x:c>
      <x:c r="AJ2635" s="1" t="n">
        <x:f>_xlfn.XLOOKUP($A2635,Games!$A$2:$A$18,Games!$E$2:$E$18,"Missing game",0)</x:f>
        <x:v>46016</x:v>
      </x:c>
      <x:c r="AK2635" t="str">
        <x:f>_xlfn.XLOOKUP($A2635,Games!$A$2:$A$18,Games!$F$2:$F$18,"Missing game",0)</x:f>
        <x:v>Thursday</x:v>
      </x:c>
      <x:c r="AL2635" t="str">
        <x:f>_xlfn.XLOOKUP($A2635,Games!$A$2:$A$18,Games!$G$2:$G$18,"Missing game",0)</x:f>
        <x:v>DET</x:v>
      </x:c>
      <x:c r="AM2635" t="n">
        <x:f>_xlfn.XLOOKUP($A2635,Games!$A$2:$A$18,Games!$H$2:$H$18,"Missing game",0)</x:f>
        <x:v>10</x:v>
      </x:c>
      <x:c r="AN2635" t="str">
        <x:f>_xlfn.XLOOKUP($A2635,Games!$A$2:$A$18,Games!$I$2:$I$18,"Missing game",0)</x:f>
        <x:v>MIN</x:v>
      </x:c>
      <x:c r="AO2635" t="n">
        <x:f>_xlfn.XLOOKUP($A2635,Games!$A$2:$A$18,Games!$J$2:$J$18,"Missing game",0)</x:f>
        <x:v>23</x:v>
      </x:c>
      <x:c r="AP2635" t="n">
        <x:f>_xlfn.XLOOKUP($A2635,Games!$A$2:$A$18,Games!$K$2:$K$18,"Missing game",0)</x:f>
        <x:v>13</x:v>
      </x:c>
      <x:c r="AQ2635" t="n">
        <x:f>_xlfn.XLOOKUP($A2635,Games!$A$2:$A$18,Games!$L$2:$L$18,"Missing game",0)</x:f>
        <x:v>33</x:v>
      </x:c>
      <x:c r="AR2635" t="n">
        <x:f>_xlfn.XLOOKUP($A2635,Games!$A$2:$A$18,Games!$M$2:$M$18,"Missing game",0)</x:f>
        <x:v>0</x:v>
      </x:c>
      <x:c r="AS2635" t="str">
        <x:f>_xlfn.XLOOKUP($A2635,Games!$A$2:$A$18,Games!$N$2:$N$18,"Missing game",0)</x:f>
        <x:v>dome</x:v>
      </x:c>
      <x:c r="AT2635" t="str">
        <x:f>_xlfn.XLOOKUP($A2635,Games!$A$2:$A$18,Games!$O$2:$O$18,"Missing game",0)</x:f>
        <x:v>sportturf</x:v>
      </x:c>
      <x:c r="AU2635" t="str">
        <x:f>_xlfn.XLOOKUP($A2635,Games!$A$2:$A$18,Games!$P$2:$P$18,"Missing game",0)</x:f>
      </x:c>
      <x:c r="AV2635" t="str">
        <x:f>_xlfn.XLOOKUP($A2635,Games!$A$2:$A$18,Games!$Q$2:$Q$18,"Missing game",0)</x:f>
      </x:c>
      <x:c r="AW2635" t="str">
        <x:f>_xlfn.XLOOKUP($A2635,Games!$A$2:$A$18,Games!$R$2:$R$18,"Missing game",0)</x:f>
        <x:v>U.S. Bank Stadium</x:v>
      </x:c>
    </x:row>
    <x:row r="2636">
      <x:c r="A2636" t="str">
        <x:v>2025_17_DET_MIN</x:v>
      </x:c>
      <x:c r="B2636" t="n">
        <x:v>3814</x:v>
      </x:c>
      <x:c r="C2636" t="n">
        <x:v>4</x:v>
      </x:c>
      <x:c r="D2636" t="str">
        <x:v>00:38</x:v>
      </x:c>
      <x:c r="E2636" t="n">
        <x:v>2</x:v>
      </x:c>
      <x:c r="F2636" t="n">
        <x:v>10</x:v>
      </x:c>
      <x:c r="G2636" t="str">
        <x:v>DET</x:v>
      </x:c>
      <x:c r="H2636" t="str">
        <x:v>MIN</x:v>
      </x:c>
      <x:c r="I2636" t="str">
        <x:v>MIN</x:v>
      </x:c>
      <x:c r="J2636" t="n">
        <x:v>48</x:v>
      </x:c>
      <x:c r="K2636" t="str">
        <x:v>(:38) (Shotgun) 16-J.Goff pass short middle to 0-J.Gibbs to MIN 35 for 13 yards (51-B.Cashman; 55-E.Wilson).</x:v>
      </x:c>
      <x:c r="L2636" t="str">
        <x:v>pass</x:v>
      </x:c>
      <x:c r="M2636" t="n">
        <x:v>13</x:v>
      </x:c>
      <x:c r="N2636" t="n">
        <x:v>1</x:v>
      </x:c>
      <x:c r="O2636" t="n">
        <x:v>0</x:v>
      </x:c>
      <x:c r="P2636" t="str">
        <x:v>short</x:v>
      </x:c>
      <x:c r="Q2636" t="str">
        <x:v>middle</x:v>
      </x:c>
      <x:c r="R2636" t="n">
        <x:v>3</x:v>
      </x:c>
      <x:c r="S2636" t="n">
        <x:v>10</x:v>
      </x:c>
      <x:c r="T2636"/>
      <x:c r="U2636"/>
      <x:c r="V2636" t="n">
        <x:v>1</x:v>
      </x:c>
      <x:c r="W2636" t="n">
        <x:v>1</x:v>
      </x:c>
      <x:c r="X2636" t="n">
        <x:v>0</x:v>
      </x:c>
      <x:c r="Y2636" t="n">
        <x:v>0</x:v>
      </x:c>
      <x:c r="Z2636" t="n">
        <x:v>0</x:v>
      </x:c>
      <x:c r="AA2636" t="n">
        <x:v>0</x:v>
      </x:c>
      <x:c r="AB2636"/>
      <x:c r="AC2636" t="n">
        <x:v>0</x:v>
      </x:c>
      <x:c r="AD2636" t="n">
        <x:v>0.2138877432444133</x:v>
      </x:c>
      <x:c r="AE2636" t="n">
        <x:v>1</x:v>
      </x:c>
      <x:c r="AF2636" t="n">
        <x:v>-0.0010995743796229362</x:v>
      </x:c>
      <x:c r="AG2636" t="n">
        <x:f>_xlfn.XLOOKUP($A2636,Games!$A$2:$A$18,Games!$B$2:$B$18,"Missing game",0)</x:f>
        <x:v>2025</x:v>
      </x:c>
      <x:c r="AH2636" t="str">
        <x:f>_xlfn.XLOOKUP($A2636,Games!$A$2:$A$18,Games!$C$2:$C$18,"Missing game",0)</x:f>
        <x:v>REG</x:v>
      </x:c>
      <x:c r="AI2636" t="n">
        <x:f>_xlfn.XLOOKUP($A2636,Games!$A$2:$A$18,Games!$D$2:$D$18,"Missing game",0)</x:f>
        <x:v>17</x:v>
      </x:c>
      <x:c r="AJ2636" s="1" t="n">
        <x:f>_xlfn.XLOOKUP($A2636,Games!$A$2:$A$18,Games!$E$2:$E$18,"Missing game",0)</x:f>
        <x:v>46016</x:v>
      </x:c>
      <x:c r="AK2636" t="str">
        <x:f>_xlfn.XLOOKUP($A2636,Games!$A$2:$A$18,Games!$F$2:$F$18,"Missing game",0)</x:f>
        <x:v>Thursday</x:v>
      </x:c>
      <x:c r="AL2636" t="str">
        <x:f>_xlfn.XLOOKUP($A2636,Games!$A$2:$A$18,Games!$G$2:$G$18,"Missing game",0)</x:f>
        <x:v>DET</x:v>
      </x:c>
      <x:c r="AM2636" t="n">
        <x:f>_xlfn.XLOOKUP($A2636,Games!$A$2:$A$18,Games!$H$2:$H$18,"Missing game",0)</x:f>
        <x:v>10</x:v>
      </x:c>
      <x:c r="AN2636" t="str">
        <x:f>_xlfn.XLOOKUP($A2636,Games!$A$2:$A$18,Games!$I$2:$I$18,"Missing game",0)</x:f>
        <x:v>MIN</x:v>
      </x:c>
      <x:c r="AO2636" t="n">
        <x:f>_xlfn.XLOOKUP($A2636,Games!$A$2:$A$18,Games!$J$2:$J$18,"Missing game",0)</x:f>
        <x:v>23</x:v>
      </x:c>
      <x:c r="AP2636" t="n">
        <x:f>_xlfn.XLOOKUP($A2636,Games!$A$2:$A$18,Games!$K$2:$K$18,"Missing game",0)</x:f>
        <x:v>13</x:v>
      </x:c>
      <x:c r="AQ2636" t="n">
        <x:f>_xlfn.XLOOKUP($A2636,Games!$A$2:$A$18,Games!$L$2:$L$18,"Missing game",0)</x:f>
        <x:v>33</x:v>
      </x:c>
      <x:c r="AR2636" t="n">
        <x:f>_xlfn.XLOOKUP($A2636,Games!$A$2:$A$18,Games!$M$2:$M$18,"Missing game",0)</x:f>
        <x:v>0</x:v>
      </x:c>
      <x:c r="AS2636" t="str">
        <x:f>_xlfn.XLOOKUP($A2636,Games!$A$2:$A$18,Games!$N$2:$N$18,"Missing game",0)</x:f>
        <x:v>dome</x:v>
      </x:c>
      <x:c r="AT2636" t="str">
        <x:f>_xlfn.XLOOKUP($A2636,Games!$A$2:$A$18,Games!$O$2:$O$18,"Missing game",0)</x:f>
        <x:v>sportturf</x:v>
      </x:c>
      <x:c r="AU2636" t="str">
        <x:f>_xlfn.XLOOKUP($A2636,Games!$A$2:$A$18,Games!$P$2:$P$18,"Missing game",0)</x:f>
      </x:c>
      <x:c r="AV2636" t="str">
        <x:f>_xlfn.XLOOKUP($A2636,Games!$A$2:$A$18,Games!$Q$2:$Q$18,"Missing game",0)</x:f>
      </x:c>
      <x:c r="AW2636" t="str">
        <x:f>_xlfn.XLOOKUP($A2636,Games!$A$2:$A$18,Games!$R$2:$R$18,"Missing game",0)</x:f>
        <x:v>U.S. Bank Stadium</x:v>
      </x:c>
    </x:row>
    <x:row r="2637">
      <x:c r="A2637" t="str">
        <x:v>2025_17_DET_MIN</x:v>
      </x:c>
      <x:c r="B2637" t="n">
        <x:v>3826</x:v>
      </x:c>
      <x:c r="C2637" t="n">
        <x:v>4</x:v>
      </x:c>
      <x:c r="D2637" t="str">
        <x:v>00:38</x:v>
      </x:c>
      <x:c r="E2637"/>
      <x:c r="F2637" t="n">
        <x:v>0</x:v>
      </x:c>
      <x:c r="G2637"/>
      <x:c r="H2637"/>
      <x:c r="I2637"/>
      <x:c r="J2637"/>
      <x:c r="K2637" t="str">
        <x:v>Timeout #4 by DET at 00:38.</x:v>
      </x:c>
      <x:c r="L2637" t="str">
        <x:v>no_play</x:v>
      </x:c>
      <x:c r="M2637" t="n">
        <x:v>0</x:v>
      </x:c>
      <x:c r="N2637" t="n">
        <x:v>0</x:v>
      </x:c>
      <x:c r="O2637" t="n">
        <x:v>0</x:v>
      </x:c>
      <x:c r="P2637"/>
      <x:c r="Q2637"/>
      <x:c r="R2637"/>
      <x:c r="S2637"/>
      <x:c r="T2637"/>
      <x:c r="U2637"/>
      <x:c r="V2637" t="n">
        <x:v>0</x:v>
      </x:c>
      <x:c r="W2637" t="n">
        <x:v>0</x:v>
      </x:c>
      <x:c r="X2637" t="n">
        <x:v>0</x:v>
      </x:c>
      <x:c r="Y2637" t="n">
        <x:v>0</x:v>
      </x:c>
      <x:c r="Z2637" t="n">
        <x:v>0</x:v>
      </x:c>
      <x:c r="AA2637" t="n">
        <x:v>0</x:v>
      </x:c>
      <x:c r="AB2637"/>
      <x:c r="AC2637" t="n">
        <x:v>0</x:v>
      </x:c>
      <x:c r="AD2637" t="n">
        <x:v>0</x:v>
      </x:c>
      <x:c r="AE2637" t="n">
        <x:v>0</x:v>
      </x:c>
      <x:c r="AF2637" t="n">
        <x:v>0</x:v>
      </x:c>
      <x:c r="AG2637" t="n">
        <x:f>_xlfn.XLOOKUP($A2637,Games!$A$2:$A$18,Games!$B$2:$B$18,"Missing game",0)</x:f>
        <x:v>2025</x:v>
      </x:c>
      <x:c r="AH2637" t="str">
        <x:f>_xlfn.XLOOKUP($A2637,Games!$A$2:$A$18,Games!$C$2:$C$18,"Missing game",0)</x:f>
        <x:v>REG</x:v>
      </x:c>
      <x:c r="AI2637" t="n">
        <x:f>_xlfn.XLOOKUP($A2637,Games!$A$2:$A$18,Games!$D$2:$D$18,"Missing game",0)</x:f>
        <x:v>17</x:v>
      </x:c>
      <x:c r="AJ2637" s="1" t="n">
        <x:f>_xlfn.XLOOKUP($A2637,Games!$A$2:$A$18,Games!$E$2:$E$18,"Missing game",0)</x:f>
        <x:v>46016</x:v>
      </x:c>
      <x:c r="AK2637" t="str">
        <x:f>_xlfn.XLOOKUP($A2637,Games!$A$2:$A$18,Games!$F$2:$F$18,"Missing game",0)</x:f>
        <x:v>Thursday</x:v>
      </x:c>
      <x:c r="AL2637" t="str">
        <x:f>_xlfn.XLOOKUP($A2637,Games!$A$2:$A$18,Games!$G$2:$G$18,"Missing game",0)</x:f>
        <x:v>DET</x:v>
      </x:c>
      <x:c r="AM2637" t="n">
        <x:f>_xlfn.XLOOKUP($A2637,Games!$A$2:$A$18,Games!$H$2:$H$18,"Missing game",0)</x:f>
        <x:v>10</x:v>
      </x:c>
      <x:c r="AN2637" t="str">
        <x:f>_xlfn.XLOOKUP($A2637,Games!$A$2:$A$18,Games!$I$2:$I$18,"Missing game",0)</x:f>
        <x:v>MIN</x:v>
      </x:c>
      <x:c r="AO2637" t="n">
        <x:f>_xlfn.XLOOKUP($A2637,Games!$A$2:$A$18,Games!$J$2:$J$18,"Missing game",0)</x:f>
        <x:v>23</x:v>
      </x:c>
      <x:c r="AP2637" t="n">
        <x:f>_xlfn.XLOOKUP($A2637,Games!$A$2:$A$18,Games!$K$2:$K$18,"Missing game",0)</x:f>
        <x:v>13</x:v>
      </x:c>
      <x:c r="AQ2637" t="n">
        <x:f>_xlfn.XLOOKUP($A2637,Games!$A$2:$A$18,Games!$L$2:$L$18,"Missing game",0)</x:f>
        <x:v>33</x:v>
      </x:c>
      <x:c r="AR2637" t="n">
        <x:f>_xlfn.XLOOKUP($A2637,Games!$A$2:$A$18,Games!$M$2:$M$18,"Missing game",0)</x:f>
        <x:v>0</x:v>
      </x:c>
      <x:c r="AS2637" t="str">
        <x:f>_xlfn.XLOOKUP($A2637,Games!$A$2:$A$18,Games!$N$2:$N$18,"Missing game",0)</x:f>
        <x:v>dome</x:v>
      </x:c>
      <x:c r="AT2637" t="str">
        <x:f>_xlfn.XLOOKUP($A2637,Games!$A$2:$A$18,Games!$O$2:$O$18,"Missing game",0)</x:f>
        <x:v>sportturf</x:v>
      </x:c>
      <x:c r="AU2637" t="str">
        <x:f>_xlfn.XLOOKUP($A2637,Games!$A$2:$A$18,Games!$P$2:$P$18,"Missing game",0)</x:f>
      </x:c>
      <x:c r="AV2637" t="str">
        <x:f>_xlfn.XLOOKUP($A2637,Games!$A$2:$A$18,Games!$Q$2:$Q$18,"Missing game",0)</x:f>
      </x:c>
      <x:c r="AW2637" t="str">
        <x:f>_xlfn.XLOOKUP($A2637,Games!$A$2:$A$18,Games!$R$2:$R$18,"Missing game",0)</x:f>
        <x:v>U.S. Bank Stadium</x:v>
      </x:c>
    </x:row>
    <x:row r="2638">
      <x:c r="A2638" t="str">
        <x:v>2025_17_DET_MIN</x:v>
      </x:c>
      <x:c r="B2638" t="n">
        <x:v>3849</x:v>
      </x:c>
      <x:c r="C2638" t="n">
        <x:v>4</x:v>
      </x:c>
      <x:c r="D2638" t="str">
        <x:v>00:12</x:v>
      </x:c>
      <x:c r="E2638" t="n">
        <x:v>1</x:v>
      </x:c>
      <x:c r="F2638" t="n">
        <x:v>10</x:v>
      </x:c>
      <x:c r="G2638" t="str">
        <x:v>DET</x:v>
      </x:c>
      <x:c r="H2638" t="str">
        <x:v>MIN</x:v>
      </x:c>
      <x:c r="I2638" t="str">
        <x:v>MIN</x:v>
      </x:c>
      <x:c r="J2638" t="n">
        <x:v>35</x:v>
      </x:c>
      <x:c r="K2638" t="str">
        <x:v>(:12) (No Huddle, Shotgun) 16-J.Goff pass short left to 11-K.Raymond to MIN 30 for 5 yards (23-F.Moreau).</x:v>
      </x:c>
      <x:c r="L2638" t="str">
        <x:v>pass</x:v>
      </x:c>
      <x:c r="M2638" t="n">
        <x:v>5</x:v>
      </x:c>
      <x:c r="N2638" t="n">
        <x:v>1</x:v>
      </x:c>
      <x:c r="O2638" t="n">
        <x:v>1</x:v>
      </x:c>
      <x:c r="P2638" t="str">
        <x:v>short</x:v>
      </x:c>
      <x:c r="Q2638" t="str">
        <x:v>left</x:v>
      </x:c>
      <x:c r="R2638" t="n">
        <x:v>3</x:v>
      </x:c>
      <x:c r="S2638" t="n">
        <x:v>2</x:v>
      </x:c>
      <x:c r="T2638"/>
      <x:c r="U2638"/>
      <x:c r="V2638" t="n">
        <x:v>1</x:v>
      </x:c>
      <x:c r="W2638" t="n">
        <x:v>0</x:v>
      </x:c>
      <x:c r="X2638" t="n">
        <x:v>0</x:v>
      </x:c>
      <x:c r="Y2638" t="n">
        <x:v>0</x:v>
      </x:c>
      <x:c r="Z2638" t="n">
        <x:v>0</x:v>
      </x:c>
      <x:c r="AA2638" t="n">
        <x:v>0</x:v>
      </x:c>
      <x:c r="AB2638"/>
      <x:c r="AC2638" t="n">
        <x:v>0</x:v>
      </x:c>
      <x:c r="AD2638" t="n">
        <x:v>-1.7906537044327706</x:v>
      </x:c>
      <x:c r="AE2638" t="n">
        <x:v>0</x:v>
      </x:c>
      <x:c r="AF2638" t="n">
        <x:v>-0.0015015604440122843</x:v>
      </x:c>
      <x:c r="AG2638" t="n">
        <x:f>_xlfn.XLOOKUP($A2638,Games!$A$2:$A$18,Games!$B$2:$B$18,"Missing game",0)</x:f>
        <x:v>2025</x:v>
      </x:c>
      <x:c r="AH2638" t="str">
        <x:f>_xlfn.XLOOKUP($A2638,Games!$A$2:$A$18,Games!$C$2:$C$18,"Missing game",0)</x:f>
        <x:v>REG</x:v>
      </x:c>
      <x:c r="AI2638" t="n">
        <x:f>_xlfn.XLOOKUP($A2638,Games!$A$2:$A$18,Games!$D$2:$D$18,"Missing game",0)</x:f>
        <x:v>17</x:v>
      </x:c>
      <x:c r="AJ2638" s="1" t="n">
        <x:f>_xlfn.XLOOKUP($A2638,Games!$A$2:$A$18,Games!$E$2:$E$18,"Missing game",0)</x:f>
        <x:v>46016</x:v>
      </x:c>
      <x:c r="AK2638" t="str">
        <x:f>_xlfn.XLOOKUP($A2638,Games!$A$2:$A$18,Games!$F$2:$F$18,"Missing game",0)</x:f>
        <x:v>Thursday</x:v>
      </x:c>
      <x:c r="AL2638" t="str">
        <x:f>_xlfn.XLOOKUP($A2638,Games!$A$2:$A$18,Games!$G$2:$G$18,"Missing game",0)</x:f>
        <x:v>DET</x:v>
      </x:c>
      <x:c r="AM2638" t="n">
        <x:f>_xlfn.XLOOKUP($A2638,Games!$A$2:$A$18,Games!$H$2:$H$18,"Missing game",0)</x:f>
        <x:v>10</x:v>
      </x:c>
      <x:c r="AN2638" t="str">
        <x:f>_xlfn.XLOOKUP($A2638,Games!$A$2:$A$18,Games!$I$2:$I$18,"Missing game",0)</x:f>
        <x:v>MIN</x:v>
      </x:c>
      <x:c r="AO2638" t="n">
        <x:f>_xlfn.XLOOKUP($A2638,Games!$A$2:$A$18,Games!$J$2:$J$18,"Missing game",0)</x:f>
        <x:v>23</x:v>
      </x:c>
      <x:c r="AP2638" t="n">
        <x:f>_xlfn.XLOOKUP($A2638,Games!$A$2:$A$18,Games!$K$2:$K$18,"Missing game",0)</x:f>
        <x:v>13</x:v>
      </x:c>
      <x:c r="AQ2638" t="n">
        <x:f>_xlfn.XLOOKUP($A2638,Games!$A$2:$A$18,Games!$L$2:$L$18,"Missing game",0)</x:f>
        <x:v>33</x:v>
      </x:c>
      <x:c r="AR2638" t="n">
        <x:f>_xlfn.XLOOKUP($A2638,Games!$A$2:$A$18,Games!$M$2:$M$18,"Missing game",0)</x:f>
        <x:v>0</x:v>
      </x:c>
      <x:c r="AS2638" t="str">
        <x:f>_xlfn.XLOOKUP($A2638,Games!$A$2:$A$18,Games!$N$2:$N$18,"Missing game",0)</x:f>
        <x:v>dome</x:v>
      </x:c>
      <x:c r="AT2638" t="str">
        <x:f>_xlfn.XLOOKUP($A2638,Games!$A$2:$A$18,Games!$O$2:$O$18,"Missing game",0)</x:f>
        <x:v>sportturf</x:v>
      </x:c>
      <x:c r="AU2638" t="str">
        <x:f>_xlfn.XLOOKUP($A2638,Games!$A$2:$A$18,Games!$P$2:$P$18,"Missing game",0)</x:f>
      </x:c>
      <x:c r="AV2638" t="str">
        <x:f>_xlfn.XLOOKUP($A2638,Games!$A$2:$A$18,Games!$Q$2:$Q$18,"Missing game",0)</x:f>
      </x:c>
      <x:c r="AW2638" t="str">
        <x:f>_xlfn.XLOOKUP($A2638,Games!$A$2:$A$18,Games!$R$2:$R$18,"Missing game",0)</x:f>
        <x:v>U.S. Bank Stadium</x:v>
      </x:c>
    </x:row>
    <x:row r="2639">
      <x:c r="A2639" t="str">
        <x:v>2025_17_DET_MIN</x:v>
      </x:c>
      <x:c r="B2639" t="n">
        <x:v>3874</x:v>
      </x:c>
      <x:c r="C2639" t="n">
        <x:v>4</x:v>
      </x:c>
      <x:c r="D2639" t="str">
        <x:v>00:00</x:v>
      </x:c>
      <x:c r="E2639"/>
      <x:c r="F2639" t="n">
        <x:v>0</x:v>
      </x:c>
      <x:c r="G2639" t="str">
        <x:v>DET</x:v>
      </x:c>
      <x:c r="H2639" t="str">
        <x:v>MIN</x:v>
      </x:c>
      <x:c r="I2639"/>
      <x:c r="J2639"/>
      <x:c r="K2639" t="str">
        <x:v>END GAME</x:v>
      </x:c>
      <x:c r="L2639"/>
      <x:c r="M2639"/>
      <x:c r="N2639" t="n">
        <x:v>0</x:v>
      </x:c>
      <x:c r="O2639" t="n">
        <x:v>0</x:v>
      </x:c>
      <x:c r="P2639"/>
      <x:c r="Q2639"/>
      <x:c r="R2639"/>
      <x:c r="S2639"/>
      <x:c r="T2639"/>
      <x:c r="U2639"/>
      <x:c r="V2639"/>
      <x:c r="W2639"/>
      <x:c r="X2639"/>
      <x:c r="Y2639"/>
      <x:c r="Z2639"/>
      <x:c r="AA2639"/>
      <x:c r="AB2639"/>
      <x:c r="AC2639"/>
      <x:c r="AD2639"/>
      <x:c r="AE2639"/>
      <x:c r="AF2639"/>
      <x:c r="AG2639" t="n">
        <x:f>_xlfn.XLOOKUP($A2639,Games!$A$2:$A$18,Games!$B$2:$B$18,"Missing game",0)</x:f>
        <x:v>2025</x:v>
      </x:c>
      <x:c r="AH2639" t="str">
        <x:f>_xlfn.XLOOKUP($A2639,Games!$A$2:$A$18,Games!$C$2:$C$18,"Missing game",0)</x:f>
        <x:v>REG</x:v>
      </x:c>
      <x:c r="AI2639" t="n">
        <x:f>_xlfn.XLOOKUP($A2639,Games!$A$2:$A$18,Games!$D$2:$D$18,"Missing game",0)</x:f>
        <x:v>17</x:v>
      </x:c>
      <x:c r="AJ2639" s="1" t="n">
        <x:f>_xlfn.XLOOKUP($A2639,Games!$A$2:$A$18,Games!$E$2:$E$18,"Missing game",0)</x:f>
        <x:v>46016</x:v>
      </x:c>
      <x:c r="AK2639" t="str">
        <x:f>_xlfn.XLOOKUP($A2639,Games!$A$2:$A$18,Games!$F$2:$F$18,"Missing game",0)</x:f>
        <x:v>Thursday</x:v>
      </x:c>
      <x:c r="AL2639" t="str">
        <x:f>_xlfn.XLOOKUP($A2639,Games!$A$2:$A$18,Games!$G$2:$G$18,"Missing game",0)</x:f>
        <x:v>DET</x:v>
      </x:c>
      <x:c r="AM2639" t="n">
        <x:f>_xlfn.XLOOKUP($A2639,Games!$A$2:$A$18,Games!$H$2:$H$18,"Missing game",0)</x:f>
        <x:v>10</x:v>
      </x:c>
      <x:c r="AN2639" t="str">
        <x:f>_xlfn.XLOOKUP($A2639,Games!$A$2:$A$18,Games!$I$2:$I$18,"Missing game",0)</x:f>
        <x:v>MIN</x:v>
      </x:c>
      <x:c r="AO2639" t="n">
        <x:f>_xlfn.XLOOKUP($A2639,Games!$A$2:$A$18,Games!$J$2:$J$18,"Missing game",0)</x:f>
        <x:v>23</x:v>
      </x:c>
      <x:c r="AP2639" t="n">
        <x:f>_xlfn.XLOOKUP($A2639,Games!$A$2:$A$18,Games!$K$2:$K$18,"Missing game",0)</x:f>
        <x:v>13</x:v>
      </x:c>
      <x:c r="AQ2639" t="n">
        <x:f>_xlfn.XLOOKUP($A2639,Games!$A$2:$A$18,Games!$L$2:$L$18,"Missing game",0)</x:f>
        <x:v>33</x:v>
      </x:c>
      <x:c r="AR2639" t="n">
        <x:f>_xlfn.XLOOKUP($A2639,Games!$A$2:$A$18,Games!$M$2:$M$18,"Missing game",0)</x:f>
        <x:v>0</x:v>
      </x:c>
      <x:c r="AS2639" t="str">
        <x:f>_xlfn.XLOOKUP($A2639,Games!$A$2:$A$18,Games!$N$2:$N$18,"Missing game",0)</x:f>
        <x:v>dome</x:v>
      </x:c>
      <x:c r="AT2639" t="str">
        <x:f>_xlfn.XLOOKUP($A2639,Games!$A$2:$A$18,Games!$O$2:$O$18,"Missing game",0)</x:f>
        <x:v>sportturf</x:v>
      </x:c>
      <x:c r="AU2639" t="str">
        <x:f>_xlfn.XLOOKUP($A2639,Games!$A$2:$A$18,Games!$P$2:$P$18,"Missing game",0)</x:f>
      </x:c>
      <x:c r="AV2639" t="str">
        <x:f>_xlfn.XLOOKUP($A2639,Games!$A$2:$A$18,Games!$Q$2:$Q$18,"Missing game",0)</x:f>
      </x:c>
      <x:c r="AW2639" t="str">
        <x:f>_xlfn.XLOOKUP($A2639,Games!$A$2:$A$18,Games!$R$2:$R$18,"Missing game",0)</x:f>
        <x:v>U.S. Bank Stadium</x:v>
      </x:c>
    </x:row>
    <x:row r="2640">
      <x:c r="A2640" t="str">
        <x:v>2025_18_GB_MIN</x:v>
      </x:c>
      <x:c r="B2640" t="n">
        <x:v>1</x:v>
      </x:c>
      <x:c r="C2640" t="n">
        <x:v>1</x:v>
      </x:c>
      <x:c r="D2640" t="str">
        <x:v>15:00</x:v>
      </x:c>
      <x:c r="E2640"/>
      <x:c r="F2640" t="n">
        <x:v>0</x:v>
      </x:c>
      <x:c r="G2640"/>
      <x:c r="H2640"/>
      <x:c r="I2640"/>
      <x:c r="J2640"/>
      <x:c r="K2640" t="str">
        <x:v>GAME</x:v>
      </x:c>
      <x:c r="L2640"/>
      <x:c r="M2640"/>
      <x:c r="N2640" t="n">
        <x:v>0</x:v>
      </x:c>
      <x:c r="O2640" t="n">
        <x:v>0</x:v>
      </x:c>
      <x:c r="P2640"/>
      <x:c r="Q2640"/>
      <x:c r="R2640"/>
      <x:c r="S2640"/>
      <x:c r="T2640"/>
      <x:c r="U2640"/>
      <x:c r="V2640"/>
      <x:c r="W2640"/>
      <x:c r="X2640"/>
      <x:c r="Y2640"/>
      <x:c r="Z2640"/>
      <x:c r="AA2640"/>
      <x:c r="AB2640"/>
      <x:c r="AC2640"/>
      <x:c r="AD2640" t="n">
        <x:v>0</x:v>
      </x:c>
      <x:c r="AE2640" t="n">
        <x:v>0</x:v>
      </x:c>
      <x:c r="AF2640" t="n">
        <x:v>0</x:v>
      </x:c>
      <x:c r="AG2640" t="n">
        <x:f>_xlfn.XLOOKUP($A2640,Games!$A$2:$A$18,Games!$B$2:$B$18,"Missing game",0)</x:f>
        <x:v>2025</x:v>
      </x:c>
      <x:c r="AH2640" t="str">
        <x:f>_xlfn.XLOOKUP($A2640,Games!$A$2:$A$18,Games!$C$2:$C$18,"Missing game",0)</x:f>
        <x:v>REG</x:v>
      </x:c>
      <x:c r="AI2640" t="n">
        <x:f>_xlfn.XLOOKUP($A2640,Games!$A$2:$A$18,Games!$D$2:$D$18,"Missing game",0)</x:f>
        <x:v>18</x:v>
      </x:c>
      <x:c r="AJ2640" s="1" t="n">
        <x:f>_xlfn.XLOOKUP($A2640,Games!$A$2:$A$18,Games!$E$2:$E$18,"Missing game",0)</x:f>
        <x:v>46026</x:v>
      </x:c>
      <x:c r="AK2640" t="str">
        <x:f>_xlfn.XLOOKUP($A2640,Games!$A$2:$A$18,Games!$F$2:$F$18,"Missing game",0)</x:f>
        <x:v>Sunday</x:v>
      </x:c>
      <x:c r="AL2640" t="str">
        <x:f>_xlfn.XLOOKUP($A2640,Games!$A$2:$A$18,Games!$G$2:$G$18,"Missing game",0)</x:f>
        <x:v>GB</x:v>
      </x:c>
      <x:c r="AM2640" t="n">
        <x:f>_xlfn.XLOOKUP($A2640,Games!$A$2:$A$18,Games!$H$2:$H$18,"Missing game",0)</x:f>
        <x:v>3</x:v>
      </x:c>
      <x:c r="AN2640" t="str">
        <x:f>_xlfn.XLOOKUP($A2640,Games!$A$2:$A$18,Games!$I$2:$I$18,"Missing game",0)</x:f>
        <x:v>MIN</x:v>
      </x:c>
      <x:c r="AO2640" t="n">
        <x:f>_xlfn.XLOOKUP($A2640,Games!$A$2:$A$18,Games!$J$2:$J$18,"Missing game",0)</x:f>
        <x:v>16</x:v>
      </x:c>
      <x:c r="AP2640" t="n">
        <x:f>_xlfn.XLOOKUP($A2640,Games!$A$2:$A$18,Games!$K$2:$K$18,"Missing game",0)</x:f>
        <x:v>13</x:v>
      </x:c>
      <x:c r="AQ2640" t="n">
        <x:f>_xlfn.XLOOKUP($A2640,Games!$A$2:$A$18,Games!$L$2:$L$18,"Missing game",0)</x:f>
        <x:v>19</x:v>
      </x:c>
      <x:c r="AR2640" t="n">
        <x:f>_xlfn.XLOOKUP($A2640,Games!$A$2:$A$18,Games!$M$2:$M$18,"Missing game",0)</x:f>
        <x:v>0</x:v>
      </x:c>
      <x:c r="AS2640" t="str">
        <x:f>_xlfn.XLOOKUP($A2640,Games!$A$2:$A$18,Games!$N$2:$N$18,"Missing game",0)</x:f>
        <x:v>dome</x:v>
      </x:c>
      <x:c r="AT2640" t="str">
        <x:f>_xlfn.XLOOKUP($A2640,Games!$A$2:$A$18,Games!$O$2:$O$18,"Missing game",0)</x:f>
        <x:v>sportturf</x:v>
      </x:c>
      <x:c r="AU2640" t="str">
        <x:f>_xlfn.XLOOKUP($A2640,Games!$A$2:$A$18,Games!$P$2:$P$18,"Missing game",0)</x:f>
      </x:c>
      <x:c r="AV2640" t="str">
        <x:f>_xlfn.XLOOKUP($A2640,Games!$A$2:$A$18,Games!$Q$2:$Q$18,"Missing game",0)</x:f>
      </x:c>
      <x:c r="AW2640" t="str">
        <x:f>_xlfn.XLOOKUP($A2640,Games!$A$2:$A$18,Games!$R$2:$R$18,"Missing game",0)</x:f>
        <x:v>U.S. Bank Stadium</x:v>
      </x:c>
    </x:row>
    <x:row r="2641">
      <x:c r="A2641" t="str">
        <x:v>2025_18_GB_MIN</x:v>
      </x:c>
      <x:c r="B2641" t="n">
        <x:v>39</x:v>
      </x:c>
      <x:c r="C2641" t="n">
        <x:v>1</x:v>
      </x:c>
      <x:c r="D2641" t="str">
        <x:v>15:00</x:v>
      </x:c>
      <x:c r="E2641"/>
      <x:c r="F2641" t="n">
        <x:v>0</x:v>
      </x:c>
      <x:c r="G2641" t="str">
        <x:v>MIN</x:v>
      </x:c>
      <x:c r="H2641" t="str">
        <x:v>GB</x:v>
      </x:c>
      <x:c r="I2641" t="str">
        <x:v>GB</x:v>
      </x:c>
      <x:c r="J2641" t="n">
        <x:v>35</x:v>
      </x:c>
      <x:c r="K2641" t="str">
        <x:v>17-B.McManus kicks 65 yards from GB 35 to MIN 0. 13-T.Felton to MIN 29 for 29 yards (34-S.Bartholomew).</x:v>
      </x:c>
      <x:c r="L2641" t="str">
        <x:v>kickoff</x:v>
      </x:c>
      <x:c r="M2641" t="n">
        <x:v>0</x:v>
      </x:c>
      <x:c r="N2641" t="n">
        <x:v>0</x:v>
      </x:c>
      <x:c r="O2641" t="n">
        <x:v>0</x:v>
      </x:c>
      <x:c r="P2641"/>
      <x:c r="Q2641"/>
      <x:c r="R2641"/>
      <x:c r="S2641"/>
      <x:c r="T2641"/>
      <x:c r="U2641"/>
      <x:c r="V2641" t="n">
        <x:v>0</x:v>
      </x:c>
      <x:c r="W2641" t="n">
        <x:v>0</x:v>
      </x:c>
      <x:c r="X2641" t="n">
        <x:v>0</x:v>
      </x:c>
      <x:c r="Y2641" t="n">
        <x:v>0</x:v>
      </x:c>
      <x:c r="Z2641" t="n">
        <x:v>0</x:v>
      </x:c>
      <x:c r="AA2641" t="n">
        <x:v>0</x:v>
      </x:c>
      <x:c r="AB2641"/>
      <x:c r="AC2641" t="n">
        <x:v>0</x:v>
      </x:c>
      <x:c r="AD2641" t="n">
        <x:v>0.29324438772164285</x:v>
      </x:c>
      <x:c r="AE2641" t="n">
        <x:v>1</x:v>
      </x:c>
      <x:c r="AF2641" t="n">
        <x:v>0.0068395137786865234</x:v>
      </x:c>
      <x:c r="AG2641" t="n">
        <x:f>_xlfn.XLOOKUP($A2641,Games!$A$2:$A$18,Games!$B$2:$B$18,"Missing game",0)</x:f>
        <x:v>2025</x:v>
      </x:c>
      <x:c r="AH2641" t="str">
        <x:f>_xlfn.XLOOKUP($A2641,Games!$A$2:$A$18,Games!$C$2:$C$18,"Missing game",0)</x:f>
        <x:v>REG</x:v>
      </x:c>
      <x:c r="AI2641" t="n">
        <x:f>_xlfn.XLOOKUP($A2641,Games!$A$2:$A$18,Games!$D$2:$D$18,"Missing game",0)</x:f>
        <x:v>18</x:v>
      </x:c>
      <x:c r="AJ2641" s="1" t="n">
        <x:f>_xlfn.XLOOKUP($A2641,Games!$A$2:$A$18,Games!$E$2:$E$18,"Missing game",0)</x:f>
        <x:v>46026</x:v>
      </x:c>
      <x:c r="AK2641" t="str">
        <x:f>_xlfn.XLOOKUP($A2641,Games!$A$2:$A$18,Games!$F$2:$F$18,"Missing game",0)</x:f>
        <x:v>Sunday</x:v>
      </x:c>
      <x:c r="AL2641" t="str">
        <x:f>_xlfn.XLOOKUP($A2641,Games!$A$2:$A$18,Games!$G$2:$G$18,"Missing game",0)</x:f>
        <x:v>GB</x:v>
      </x:c>
      <x:c r="AM2641" t="n">
        <x:f>_xlfn.XLOOKUP($A2641,Games!$A$2:$A$18,Games!$H$2:$H$18,"Missing game",0)</x:f>
        <x:v>3</x:v>
      </x:c>
      <x:c r="AN2641" t="str">
        <x:f>_xlfn.XLOOKUP($A2641,Games!$A$2:$A$18,Games!$I$2:$I$18,"Missing game",0)</x:f>
        <x:v>MIN</x:v>
      </x:c>
      <x:c r="AO2641" t="n">
        <x:f>_xlfn.XLOOKUP($A2641,Games!$A$2:$A$18,Games!$J$2:$J$18,"Missing game",0)</x:f>
        <x:v>16</x:v>
      </x:c>
      <x:c r="AP2641" t="n">
        <x:f>_xlfn.XLOOKUP($A2641,Games!$A$2:$A$18,Games!$K$2:$K$18,"Missing game",0)</x:f>
        <x:v>13</x:v>
      </x:c>
      <x:c r="AQ2641" t="n">
        <x:f>_xlfn.XLOOKUP($A2641,Games!$A$2:$A$18,Games!$L$2:$L$18,"Missing game",0)</x:f>
        <x:v>19</x:v>
      </x:c>
      <x:c r="AR2641" t="n">
        <x:f>_xlfn.XLOOKUP($A2641,Games!$A$2:$A$18,Games!$M$2:$M$18,"Missing game",0)</x:f>
        <x:v>0</x:v>
      </x:c>
      <x:c r="AS2641" t="str">
        <x:f>_xlfn.XLOOKUP($A2641,Games!$A$2:$A$18,Games!$N$2:$N$18,"Missing game",0)</x:f>
        <x:v>dome</x:v>
      </x:c>
      <x:c r="AT2641" t="str">
        <x:f>_xlfn.XLOOKUP($A2641,Games!$A$2:$A$18,Games!$O$2:$O$18,"Missing game",0)</x:f>
        <x:v>sportturf</x:v>
      </x:c>
      <x:c r="AU2641" t="str">
        <x:f>_xlfn.XLOOKUP($A2641,Games!$A$2:$A$18,Games!$P$2:$P$18,"Missing game",0)</x:f>
      </x:c>
      <x:c r="AV2641" t="str">
        <x:f>_xlfn.XLOOKUP($A2641,Games!$A$2:$A$18,Games!$Q$2:$Q$18,"Missing game",0)</x:f>
      </x:c>
      <x:c r="AW2641" t="str">
        <x:f>_xlfn.XLOOKUP($A2641,Games!$A$2:$A$18,Games!$R$2:$R$18,"Missing game",0)</x:f>
        <x:v>U.S. Bank Stadium</x:v>
      </x:c>
    </x:row>
    <x:row r="2642">
      <x:c r="A2642" t="str">
        <x:v>2025_18_GB_MIN</x:v>
      </x:c>
      <x:c r="B2642" t="n">
        <x:v>62</x:v>
      </x:c>
      <x:c r="C2642" t="n">
        <x:v>1</x:v>
      </x:c>
      <x:c r="D2642" t="str">
        <x:v>14:55</x:v>
      </x:c>
      <x:c r="E2642" t="n">
        <x:v>1</x:v>
      </x:c>
      <x:c r="F2642" t="n">
        <x:v>10</x:v>
      </x:c>
      <x:c r="G2642" t="str">
        <x:v>MIN</x:v>
      </x:c>
      <x:c r="H2642" t="str">
        <x:v>GB</x:v>
      </x:c>
      <x:c r="I2642" t="str">
        <x:v>MIN</x:v>
      </x:c>
      <x:c r="J2642" t="n">
        <x:v>71</x:v>
      </x:c>
      <x:c r="K2642" t="str">
        <x:v>(14:55) 27-J.Mason right end to MIN 42 for 13 yards (59-T.Hopper).</x:v>
      </x:c>
      <x:c r="L2642" t="str">
        <x:v>run</x:v>
      </x:c>
      <x:c r="M2642" t="n">
        <x:v>13</x:v>
      </x:c>
      <x:c r="N2642" t="n">
        <x:v>0</x:v>
      </x:c>
      <x:c r="O2642" t="n">
        <x:v>0</x:v>
      </x:c>
      <x:c r="P2642"/>
      <x:c r="Q2642"/>
      <x:c r="R2642"/>
      <x:c r="S2642"/>
      <x:c r="T2642" t="str">
        <x:v>right</x:v>
      </x:c>
      <x:c r="U2642" t="str">
        <x:v>end</x:v>
      </x:c>
      <x:c r="V2642" t="n">
        <x:v>0</x:v>
      </x:c>
      <x:c r="W2642" t="n">
        <x:v>1</x:v>
      </x:c>
      <x:c r="X2642" t="n">
        <x:v>0</x:v>
      </x:c>
      <x:c r="Y2642" t="n">
        <x:v>0</x:v>
      </x:c>
      <x:c r="Z2642" t="n">
        <x:v>0</x:v>
      </x:c>
      <x:c r="AA2642" t="n">
        <x:v>0</x:v>
      </x:c>
      <x:c r="AB2642"/>
      <x:c r="AC2642" t="n">
        <x:v>0</x:v>
      </x:c>
      <x:c r="AD2642" t="n">
        <x:v>0.6614367100410163</x:v>
      </x:c>
      <x:c r="AE2642" t="n">
        <x:v>1</x:v>
      </x:c>
      <x:c r="AF2642" t="n">
        <x:v>0.019472062587738037</x:v>
      </x:c>
      <x:c r="AG2642" t="n">
        <x:f>_xlfn.XLOOKUP($A2642,Games!$A$2:$A$18,Games!$B$2:$B$18,"Missing game",0)</x:f>
        <x:v>2025</x:v>
      </x:c>
      <x:c r="AH2642" t="str">
        <x:f>_xlfn.XLOOKUP($A2642,Games!$A$2:$A$18,Games!$C$2:$C$18,"Missing game",0)</x:f>
        <x:v>REG</x:v>
      </x:c>
      <x:c r="AI2642" t="n">
        <x:f>_xlfn.XLOOKUP($A2642,Games!$A$2:$A$18,Games!$D$2:$D$18,"Missing game",0)</x:f>
        <x:v>18</x:v>
      </x:c>
      <x:c r="AJ2642" s="1" t="n">
        <x:f>_xlfn.XLOOKUP($A2642,Games!$A$2:$A$18,Games!$E$2:$E$18,"Missing game",0)</x:f>
        <x:v>46026</x:v>
      </x:c>
      <x:c r="AK2642" t="str">
        <x:f>_xlfn.XLOOKUP($A2642,Games!$A$2:$A$18,Games!$F$2:$F$18,"Missing game",0)</x:f>
        <x:v>Sunday</x:v>
      </x:c>
      <x:c r="AL2642" t="str">
        <x:f>_xlfn.XLOOKUP($A2642,Games!$A$2:$A$18,Games!$G$2:$G$18,"Missing game",0)</x:f>
        <x:v>GB</x:v>
      </x:c>
      <x:c r="AM2642" t="n">
        <x:f>_xlfn.XLOOKUP($A2642,Games!$A$2:$A$18,Games!$H$2:$H$18,"Missing game",0)</x:f>
        <x:v>3</x:v>
      </x:c>
      <x:c r="AN2642" t="str">
        <x:f>_xlfn.XLOOKUP($A2642,Games!$A$2:$A$18,Games!$I$2:$I$18,"Missing game",0)</x:f>
        <x:v>MIN</x:v>
      </x:c>
      <x:c r="AO2642" t="n">
        <x:f>_xlfn.XLOOKUP($A2642,Games!$A$2:$A$18,Games!$J$2:$J$18,"Missing game",0)</x:f>
        <x:v>16</x:v>
      </x:c>
      <x:c r="AP2642" t="n">
        <x:f>_xlfn.XLOOKUP($A2642,Games!$A$2:$A$18,Games!$K$2:$K$18,"Missing game",0)</x:f>
        <x:v>13</x:v>
      </x:c>
      <x:c r="AQ2642" t="n">
        <x:f>_xlfn.XLOOKUP($A2642,Games!$A$2:$A$18,Games!$L$2:$L$18,"Missing game",0)</x:f>
        <x:v>19</x:v>
      </x:c>
      <x:c r="AR2642" t="n">
        <x:f>_xlfn.XLOOKUP($A2642,Games!$A$2:$A$18,Games!$M$2:$M$18,"Missing game",0)</x:f>
        <x:v>0</x:v>
      </x:c>
      <x:c r="AS2642" t="str">
        <x:f>_xlfn.XLOOKUP($A2642,Games!$A$2:$A$18,Games!$N$2:$N$18,"Missing game",0)</x:f>
        <x:v>dome</x:v>
      </x:c>
      <x:c r="AT2642" t="str">
        <x:f>_xlfn.XLOOKUP($A2642,Games!$A$2:$A$18,Games!$O$2:$O$18,"Missing game",0)</x:f>
        <x:v>sportturf</x:v>
      </x:c>
      <x:c r="AU2642" t="str">
        <x:f>_xlfn.XLOOKUP($A2642,Games!$A$2:$A$18,Games!$P$2:$P$18,"Missing game",0)</x:f>
      </x:c>
      <x:c r="AV2642" t="str">
        <x:f>_xlfn.XLOOKUP($A2642,Games!$A$2:$A$18,Games!$Q$2:$Q$18,"Missing game",0)</x:f>
      </x:c>
      <x:c r="AW2642" t="str">
        <x:f>_xlfn.XLOOKUP($A2642,Games!$A$2:$A$18,Games!$R$2:$R$18,"Missing game",0)</x:f>
        <x:v>U.S. Bank Stadium</x:v>
      </x:c>
    </x:row>
    <x:row r="2643">
      <x:c r="A2643" t="str">
        <x:v>2025_18_GB_MIN</x:v>
      </x:c>
      <x:c r="B2643" t="n">
        <x:v>84</x:v>
      </x:c>
      <x:c r="C2643" t="n">
        <x:v>1</x:v>
      </x:c>
      <x:c r="D2643" t="str">
        <x:v>14:16</x:v>
      </x:c>
      <x:c r="E2643" t="n">
        <x:v>1</x:v>
      </x:c>
      <x:c r="F2643" t="n">
        <x:v>10</x:v>
      </x:c>
      <x:c r="G2643" t="str">
        <x:v>MIN</x:v>
      </x:c>
      <x:c r="H2643" t="str">
        <x:v>GB</x:v>
      </x:c>
      <x:c r="I2643" t="str">
        <x:v>MIN</x:v>
      </x:c>
      <x:c r="J2643" t="n">
        <x:v>58</x:v>
      </x:c>
      <x:c r="K2643" t="str">
        <x:v>(14:16) 9-J.McCarthy pass deep left to 18-J.Jefferson to GB 40 for 18 yards (37-J.Baldwin) [91-W.Brinson].</x:v>
      </x:c>
      <x:c r="L2643" t="str">
        <x:v>pass</x:v>
      </x:c>
      <x:c r="M2643" t="n">
        <x:v>18</x:v>
      </x:c>
      <x:c r="N2643" t="n">
        <x:v>0</x:v>
      </x:c>
      <x:c r="O2643" t="n">
        <x:v>0</x:v>
      </x:c>
      <x:c r="P2643" t="str">
        <x:v>deep</x:v>
      </x:c>
      <x:c r="Q2643" t="str">
        <x:v>left</x:v>
      </x:c>
      <x:c r="R2643" t="n">
        <x:v>18</x:v>
      </x:c>
      <x:c r="S2643" t="n">
        <x:v>0</x:v>
      </x:c>
      <x:c r="T2643"/>
      <x:c r="U2643"/>
      <x:c r="V2643" t="n">
        <x:v>1</x:v>
      </x:c>
      <x:c r="W2643" t="n">
        <x:v>1</x:v>
      </x:c>
      <x:c r="X2643" t="n">
        <x:v>0</x:v>
      </x:c>
      <x:c r="Y2643" t="n">
        <x:v>0</x:v>
      </x:c>
      <x:c r="Z2643" t="n">
        <x:v>0</x:v>
      </x:c>
      <x:c r="AA2643" t="n">
        <x:v>0</x:v>
      </x:c>
      <x:c r="AB2643"/>
      <x:c r="AC2643" t="n">
        <x:v>0</x:v>
      </x:c>
      <x:c r="AD2643" t="n">
        <x:v>1.0718551215250045</x:v>
      </x:c>
      <x:c r="AE2643" t="n">
        <x:v>1</x:v>
      </x:c>
      <x:c r="AF2643" t="n">
        <x:v>0.04267090559005737</x:v>
      </x:c>
      <x:c r="AG2643" t="n">
        <x:f>_xlfn.XLOOKUP($A2643,Games!$A$2:$A$18,Games!$B$2:$B$18,"Missing game",0)</x:f>
        <x:v>2025</x:v>
      </x:c>
      <x:c r="AH2643" t="str">
        <x:f>_xlfn.XLOOKUP($A2643,Games!$A$2:$A$18,Games!$C$2:$C$18,"Missing game",0)</x:f>
        <x:v>REG</x:v>
      </x:c>
      <x:c r="AI2643" t="n">
        <x:f>_xlfn.XLOOKUP($A2643,Games!$A$2:$A$18,Games!$D$2:$D$18,"Missing game",0)</x:f>
        <x:v>18</x:v>
      </x:c>
      <x:c r="AJ2643" s="1" t="n">
        <x:f>_xlfn.XLOOKUP($A2643,Games!$A$2:$A$18,Games!$E$2:$E$18,"Missing game",0)</x:f>
        <x:v>46026</x:v>
      </x:c>
      <x:c r="AK2643" t="str">
        <x:f>_xlfn.XLOOKUP($A2643,Games!$A$2:$A$18,Games!$F$2:$F$18,"Missing game",0)</x:f>
        <x:v>Sunday</x:v>
      </x:c>
      <x:c r="AL2643" t="str">
        <x:f>_xlfn.XLOOKUP($A2643,Games!$A$2:$A$18,Games!$G$2:$G$18,"Missing game",0)</x:f>
        <x:v>GB</x:v>
      </x:c>
      <x:c r="AM2643" t="n">
        <x:f>_xlfn.XLOOKUP($A2643,Games!$A$2:$A$18,Games!$H$2:$H$18,"Missing game",0)</x:f>
        <x:v>3</x:v>
      </x:c>
      <x:c r="AN2643" t="str">
        <x:f>_xlfn.XLOOKUP($A2643,Games!$A$2:$A$18,Games!$I$2:$I$18,"Missing game",0)</x:f>
        <x:v>MIN</x:v>
      </x:c>
      <x:c r="AO2643" t="n">
        <x:f>_xlfn.XLOOKUP($A2643,Games!$A$2:$A$18,Games!$J$2:$J$18,"Missing game",0)</x:f>
        <x:v>16</x:v>
      </x:c>
      <x:c r="AP2643" t="n">
        <x:f>_xlfn.XLOOKUP($A2643,Games!$A$2:$A$18,Games!$K$2:$K$18,"Missing game",0)</x:f>
        <x:v>13</x:v>
      </x:c>
      <x:c r="AQ2643" t="n">
        <x:f>_xlfn.XLOOKUP($A2643,Games!$A$2:$A$18,Games!$L$2:$L$18,"Missing game",0)</x:f>
        <x:v>19</x:v>
      </x:c>
      <x:c r="AR2643" t="n">
        <x:f>_xlfn.XLOOKUP($A2643,Games!$A$2:$A$18,Games!$M$2:$M$18,"Missing game",0)</x:f>
        <x:v>0</x:v>
      </x:c>
      <x:c r="AS2643" t="str">
        <x:f>_xlfn.XLOOKUP($A2643,Games!$A$2:$A$18,Games!$N$2:$N$18,"Missing game",0)</x:f>
        <x:v>dome</x:v>
      </x:c>
      <x:c r="AT2643" t="str">
        <x:f>_xlfn.XLOOKUP($A2643,Games!$A$2:$A$18,Games!$O$2:$O$18,"Missing game",0)</x:f>
        <x:v>sportturf</x:v>
      </x:c>
      <x:c r="AU2643" t="str">
        <x:f>_xlfn.XLOOKUP($A2643,Games!$A$2:$A$18,Games!$P$2:$P$18,"Missing game",0)</x:f>
      </x:c>
      <x:c r="AV2643" t="str">
        <x:f>_xlfn.XLOOKUP($A2643,Games!$A$2:$A$18,Games!$Q$2:$Q$18,"Missing game",0)</x:f>
      </x:c>
      <x:c r="AW2643" t="str">
        <x:f>_xlfn.XLOOKUP($A2643,Games!$A$2:$A$18,Games!$R$2:$R$18,"Missing game",0)</x:f>
        <x:v>U.S. Bank Stadium</x:v>
      </x:c>
    </x:row>
    <x:row r="2644">
      <x:c r="A2644" t="str">
        <x:v>2025_18_GB_MIN</x:v>
      </x:c>
      <x:c r="B2644" t="n">
        <x:v>109</x:v>
      </x:c>
      <x:c r="C2644" t="n">
        <x:v>1</x:v>
      </x:c>
      <x:c r="D2644" t="str">
        <x:v>13:39</x:v>
      </x:c>
      <x:c r="E2644" t="n">
        <x:v>1</x:v>
      </x:c>
      <x:c r="F2644" t="n">
        <x:v>10</x:v>
      </x:c>
      <x:c r="G2644" t="str">
        <x:v>MIN</x:v>
      </x:c>
      <x:c r="H2644" t="str">
        <x:v>GB</x:v>
      </x:c>
      <x:c r="I2644" t="str">
        <x:v>GB</x:v>
      </x:c>
      <x:c r="J2644" t="n">
        <x:v>40</x:v>
      </x:c>
      <x:c r="K2644" t="str">
        <x:v>(13:39) 27-J.Mason left guard to GB 39 for 1 yard (27-K.Oladapo).</x:v>
      </x:c>
      <x:c r="L2644" t="str">
        <x:v>run</x:v>
      </x:c>
      <x:c r="M2644" t="n">
        <x:v>1</x:v>
      </x:c>
      <x:c r="N2644" t="n">
        <x:v>0</x:v>
      </x:c>
      <x:c r="O2644" t="n">
        <x:v>0</x:v>
      </x:c>
      <x:c r="P2644"/>
      <x:c r="Q2644"/>
      <x:c r="R2644"/>
      <x:c r="S2644"/>
      <x:c r="T2644" t="str">
        <x:v>left</x:v>
      </x:c>
      <x:c r="U2644" t="str">
        <x:v>guard</x:v>
      </x:c>
      <x:c r="V2644" t="n">
        <x:v>0</x:v>
      </x:c>
      <x:c r="W2644" t="n">
        <x:v>0</x:v>
      </x:c>
      <x:c r="X2644" t="n">
        <x:v>0</x:v>
      </x:c>
      <x:c r="Y2644" t="n">
        <x:v>0</x:v>
      </x:c>
      <x:c r="Z2644" t="n">
        <x:v>0</x:v>
      </x:c>
      <x:c r="AA2644" t="n">
        <x:v>0</x:v>
      </x:c>
      <x:c r="AB2644"/>
      <x:c r="AC2644" t="n">
        <x:v>0</x:v>
      </x:c>
      <x:c r="AD2644" t="n">
        <x:v>-0.5490665608085692</x:v>
      </x:c>
      <x:c r="AE2644" t="n">
        <x:v>0</x:v>
      </x:c>
      <x:c r="AF2644" t="n">
        <x:v>-0.014833509922027588</x:v>
      </x:c>
      <x:c r="AG2644" t="n">
        <x:f>_xlfn.XLOOKUP($A2644,Games!$A$2:$A$18,Games!$B$2:$B$18,"Missing game",0)</x:f>
        <x:v>2025</x:v>
      </x:c>
      <x:c r="AH2644" t="str">
        <x:f>_xlfn.XLOOKUP($A2644,Games!$A$2:$A$18,Games!$C$2:$C$18,"Missing game",0)</x:f>
        <x:v>REG</x:v>
      </x:c>
      <x:c r="AI2644" t="n">
        <x:f>_xlfn.XLOOKUP($A2644,Games!$A$2:$A$18,Games!$D$2:$D$18,"Missing game",0)</x:f>
        <x:v>18</x:v>
      </x:c>
      <x:c r="AJ2644" s="1" t="n">
        <x:f>_xlfn.XLOOKUP($A2644,Games!$A$2:$A$18,Games!$E$2:$E$18,"Missing game",0)</x:f>
        <x:v>46026</x:v>
      </x:c>
      <x:c r="AK2644" t="str">
        <x:f>_xlfn.XLOOKUP($A2644,Games!$A$2:$A$18,Games!$F$2:$F$18,"Missing game",0)</x:f>
        <x:v>Sunday</x:v>
      </x:c>
      <x:c r="AL2644" t="str">
        <x:f>_xlfn.XLOOKUP($A2644,Games!$A$2:$A$18,Games!$G$2:$G$18,"Missing game",0)</x:f>
        <x:v>GB</x:v>
      </x:c>
      <x:c r="AM2644" t="n">
        <x:f>_xlfn.XLOOKUP($A2644,Games!$A$2:$A$18,Games!$H$2:$H$18,"Missing game",0)</x:f>
        <x:v>3</x:v>
      </x:c>
      <x:c r="AN2644" t="str">
        <x:f>_xlfn.XLOOKUP($A2644,Games!$A$2:$A$18,Games!$I$2:$I$18,"Missing game",0)</x:f>
        <x:v>MIN</x:v>
      </x:c>
      <x:c r="AO2644" t="n">
        <x:f>_xlfn.XLOOKUP($A2644,Games!$A$2:$A$18,Games!$J$2:$J$18,"Missing game",0)</x:f>
        <x:v>16</x:v>
      </x:c>
      <x:c r="AP2644" t="n">
        <x:f>_xlfn.XLOOKUP($A2644,Games!$A$2:$A$18,Games!$K$2:$K$18,"Missing game",0)</x:f>
        <x:v>13</x:v>
      </x:c>
      <x:c r="AQ2644" t="n">
        <x:f>_xlfn.XLOOKUP($A2644,Games!$A$2:$A$18,Games!$L$2:$L$18,"Missing game",0)</x:f>
        <x:v>19</x:v>
      </x:c>
      <x:c r="AR2644" t="n">
        <x:f>_xlfn.XLOOKUP($A2644,Games!$A$2:$A$18,Games!$M$2:$M$18,"Missing game",0)</x:f>
        <x:v>0</x:v>
      </x:c>
      <x:c r="AS2644" t="str">
        <x:f>_xlfn.XLOOKUP($A2644,Games!$A$2:$A$18,Games!$N$2:$N$18,"Missing game",0)</x:f>
        <x:v>dome</x:v>
      </x:c>
      <x:c r="AT2644" t="str">
        <x:f>_xlfn.XLOOKUP($A2644,Games!$A$2:$A$18,Games!$O$2:$O$18,"Missing game",0)</x:f>
        <x:v>sportturf</x:v>
      </x:c>
      <x:c r="AU2644" t="str">
        <x:f>_xlfn.XLOOKUP($A2644,Games!$A$2:$A$18,Games!$P$2:$P$18,"Missing game",0)</x:f>
      </x:c>
      <x:c r="AV2644" t="str">
        <x:f>_xlfn.XLOOKUP($A2644,Games!$A$2:$A$18,Games!$Q$2:$Q$18,"Missing game",0)</x:f>
      </x:c>
      <x:c r="AW2644" t="str">
        <x:f>_xlfn.XLOOKUP($A2644,Games!$A$2:$A$18,Games!$R$2:$R$18,"Missing game",0)</x:f>
        <x:v>U.S. Bank Stadium</x:v>
      </x:c>
    </x:row>
    <x:row r="2645">
      <x:c r="A2645" t="str">
        <x:v>2025_18_GB_MIN</x:v>
      </x:c>
      <x:c r="B2645" t="n">
        <x:v>131</x:v>
      </x:c>
      <x:c r="C2645" t="n">
        <x:v>1</x:v>
      </x:c>
      <x:c r="D2645" t="str">
        <x:v>13:02</x:v>
      </x:c>
      <x:c r="E2645" t="n">
        <x:v>2</x:v>
      </x:c>
      <x:c r="F2645" t="n">
        <x:v>9</x:v>
      </x:c>
      <x:c r="G2645" t="str">
        <x:v>MIN</x:v>
      </x:c>
      <x:c r="H2645" t="str">
        <x:v>GB</x:v>
      </x:c>
      <x:c r="I2645" t="str">
        <x:v>GB</x:v>
      </x:c>
      <x:c r="J2645" t="n">
        <x:v>39</x:v>
      </x:c>
      <x:c r="K2645" t="str">
        <x:v>(13:02) (Shotgun) 9-J.McCarthy pass short middle to 18-J.Jefferson to GB 29 for 10 yards (33-E.Williams; 48-J.Johnson).</x:v>
      </x:c>
      <x:c r="L2645" t="str">
        <x:v>pass</x:v>
      </x:c>
      <x:c r="M2645" t="n">
        <x:v>10</x:v>
      </x:c>
      <x:c r="N2645" t="n">
        <x:v>1</x:v>
      </x:c>
      <x:c r="O2645" t="n">
        <x:v>0</x:v>
      </x:c>
      <x:c r="P2645" t="str">
        <x:v>short</x:v>
      </x:c>
      <x:c r="Q2645" t="str">
        <x:v>middle</x:v>
      </x:c>
      <x:c r="R2645" t="n">
        <x:v>-4</x:v>
      </x:c>
      <x:c r="S2645" t="n">
        <x:v>14</x:v>
      </x:c>
      <x:c r="T2645"/>
      <x:c r="U2645"/>
      <x:c r="V2645" t="n">
        <x:v>1</x:v>
      </x:c>
      <x:c r="W2645" t="n">
        <x:v>1</x:v>
      </x:c>
      <x:c r="X2645" t="n">
        <x:v>0</x:v>
      </x:c>
      <x:c r="Y2645" t="n">
        <x:v>0</x:v>
      </x:c>
      <x:c r="Z2645" t="n">
        <x:v>0</x:v>
      </x:c>
      <x:c r="AA2645" t="n">
        <x:v>0</x:v>
      </x:c>
      <x:c r="AB2645"/>
      <x:c r="AC2645" t="n">
        <x:v>0</x:v>
      </x:c>
      <x:c r="AD2645" t="n">
        <x:v>1.2105150358984247</x:v>
      </x:c>
      <x:c r="AE2645" t="n">
        <x:v>1</x:v>
      </x:c>
      <x:c r="AF2645" t="n">
        <x:v>0.04630953073501587</x:v>
      </x:c>
      <x:c r="AG2645" t="n">
        <x:f>_xlfn.XLOOKUP($A2645,Games!$A$2:$A$18,Games!$B$2:$B$18,"Missing game",0)</x:f>
        <x:v>2025</x:v>
      </x:c>
      <x:c r="AH2645" t="str">
        <x:f>_xlfn.XLOOKUP($A2645,Games!$A$2:$A$18,Games!$C$2:$C$18,"Missing game",0)</x:f>
        <x:v>REG</x:v>
      </x:c>
      <x:c r="AI2645" t="n">
        <x:f>_xlfn.XLOOKUP($A2645,Games!$A$2:$A$18,Games!$D$2:$D$18,"Missing game",0)</x:f>
        <x:v>18</x:v>
      </x:c>
      <x:c r="AJ2645" s="1" t="n">
        <x:f>_xlfn.XLOOKUP($A2645,Games!$A$2:$A$18,Games!$E$2:$E$18,"Missing game",0)</x:f>
        <x:v>46026</x:v>
      </x:c>
      <x:c r="AK2645" t="str">
        <x:f>_xlfn.XLOOKUP($A2645,Games!$A$2:$A$18,Games!$F$2:$F$18,"Missing game",0)</x:f>
        <x:v>Sunday</x:v>
      </x:c>
      <x:c r="AL2645" t="str">
        <x:f>_xlfn.XLOOKUP($A2645,Games!$A$2:$A$18,Games!$G$2:$G$18,"Missing game",0)</x:f>
        <x:v>GB</x:v>
      </x:c>
      <x:c r="AM2645" t="n">
        <x:f>_xlfn.XLOOKUP($A2645,Games!$A$2:$A$18,Games!$H$2:$H$18,"Missing game",0)</x:f>
        <x:v>3</x:v>
      </x:c>
      <x:c r="AN2645" t="str">
        <x:f>_xlfn.XLOOKUP($A2645,Games!$A$2:$A$18,Games!$I$2:$I$18,"Missing game",0)</x:f>
        <x:v>MIN</x:v>
      </x:c>
      <x:c r="AO2645" t="n">
        <x:f>_xlfn.XLOOKUP($A2645,Games!$A$2:$A$18,Games!$J$2:$J$18,"Missing game",0)</x:f>
        <x:v>16</x:v>
      </x:c>
      <x:c r="AP2645" t="n">
        <x:f>_xlfn.XLOOKUP($A2645,Games!$A$2:$A$18,Games!$K$2:$K$18,"Missing game",0)</x:f>
        <x:v>13</x:v>
      </x:c>
      <x:c r="AQ2645" t="n">
        <x:f>_xlfn.XLOOKUP($A2645,Games!$A$2:$A$18,Games!$L$2:$L$18,"Missing game",0)</x:f>
        <x:v>19</x:v>
      </x:c>
      <x:c r="AR2645" t="n">
        <x:f>_xlfn.XLOOKUP($A2645,Games!$A$2:$A$18,Games!$M$2:$M$18,"Missing game",0)</x:f>
        <x:v>0</x:v>
      </x:c>
      <x:c r="AS2645" t="str">
        <x:f>_xlfn.XLOOKUP($A2645,Games!$A$2:$A$18,Games!$N$2:$N$18,"Missing game",0)</x:f>
        <x:v>dome</x:v>
      </x:c>
      <x:c r="AT2645" t="str">
        <x:f>_xlfn.XLOOKUP($A2645,Games!$A$2:$A$18,Games!$O$2:$O$18,"Missing game",0)</x:f>
        <x:v>sportturf</x:v>
      </x:c>
      <x:c r="AU2645" t="str">
        <x:f>_xlfn.XLOOKUP($A2645,Games!$A$2:$A$18,Games!$P$2:$P$18,"Missing game",0)</x:f>
      </x:c>
      <x:c r="AV2645" t="str">
        <x:f>_xlfn.XLOOKUP($A2645,Games!$A$2:$A$18,Games!$Q$2:$Q$18,"Missing game",0)</x:f>
      </x:c>
      <x:c r="AW2645" t="str">
        <x:f>_xlfn.XLOOKUP($A2645,Games!$A$2:$A$18,Games!$R$2:$R$18,"Missing game",0)</x:f>
        <x:v>U.S. Bank Stadium</x:v>
      </x:c>
    </x:row>
    <x:row r="2646">
      <x:c r="A2646" t="str">
        <x:v>2025_18_GB_MIN</x:v>
      </x:c>
      <x:c r="B2646" t="n">
        <x:v>156</x:v>
      </x:c>
      <x:c r="C2646" t="n">
        <x:v>1</x:v>
      </x:c>
      <x:c r="D2646" t="str">
        <x:v>12:19</x:v>
      </x:c>
      <x:c r="E2646" t="n">
        <x:v>1</x:v>
      </x:c>
      <x:c r="F2646" t="n">
        <x:v>10</x:v>
      </x:c>
      <x:c r="G2646" t="str">
        <x:v>MIN</x:v>
      </x:c>
      <x:c r="H2646" t="str">
        <x:v>GB</x:v>
      </x:c>
      <x:c r="I2646" t="str">
        <x:v>GB</x:v>
      </x:c>
      <x:c r="J2646" t="n">
        <x:v>29</x:v>
      </x:c>
      <x:c r="K2646" t="str">
        <x:v>(12:19) 9-J.McCarthy scrambles right tackle pushed ob at GB 23 for 6 yards (25-K.Nixon). PENALTY on MIN-9-J.McCarthy, Taunting, 15 yards, enforced at GB 23.</x:v>
      </x:c>
      <x:c r="L2646" t="str">
        <x:v>run</x:v>
      </x:c>
      <x:c r="M2646" t="n">
        <x:v>6</x:v>
      </x:c>
      <x:c r="N2646" t="n">
        <x:v>0</x:v>
      </x:c>
      <x:c r="O2646" t="n">
        <x:v>0</x:v>
      </x:c>
      <x:c r="P2646"/>
      <x:c r="Q2646"/>
      <x:c r="R2646"/>
      <x:c r="S2646"/>
      <x:c r="T2646" t="str">
        <x:v>right</x:v>
      </x:c>
      <x:c r="U2646" t="str">
        <x:v>tackle</x:v>
      </x:c>
      <x:c r="V2646" t="n">
        <x:v>0</x:v>
      </x:c>
      <x:c r="W2646" t="n">
        <x:v>0</x:v>
      </x:c>
      <x:c r="X2646" t="n">
        <x:v>0</x:v>
      </x:c>
      <x:c r="Y2646" t="n">
        <x:v>0</x:v>
      </x:c>
      <x:c r="Z2646" t="n">
        <x:v>0</x:v>
      </x:c>
      <x:c r="AA2646" t="n">
        <x:v>1</x:v>
      </x:c>
      <x:c r="AB2646" t="n">
        <x:v>15</x:v>
      </x:c>
      <x:c r="AC2646" t="n">
        <x:v>0</x:v>
      </x:c>
      <x:c r="AD2646" t="n">
        <x:v>-1.7751410651253536</x:v>
      </x:c>
      <x:c r="AE2646" t="n">
        <x:v>0</x:v>
      </x:c>
      <x:c r="AF2646" t="n">
        <x:v>-0.03666579723358154</x:v>
      </x:c>
      <x:c r="AG2646" t="n">
        <x:f>_xlfn.XLOOKUP($A2646,Games!$A$2:$A$18,Games!$B$2:$B$18,"Missing game",0)</x:f>
        <x:v>2025</x:v>
      </x:c>
      <x:c r="AH2646" t="str">
        <x:f>_xlfn.XLOOKUP($A2646,Games!$A$2:$A$18,Games!$C$2:$C$18,"Missing game",0)</x:f>
        <x:v>REG</x:v>
      </x:c>
      <x:c r="AI2646" t="n">
        <x:f>_xlfn.XLOOKUP($A2646,Games!$A$2:$A$18,Games!$D$2:$D$18,"Missing game",0)</x:f>
        <x:v>18</x:v>
      </x:c>
      <x:c r="AJ2646" s="1" t="n">
        <x:f>_xlfn.XLOOKUP($A2646,Games!$A$2:$A$18,Games!$E$2:$E$18,"Missing game",0)</x:f>
        <x:v>46026</x:v>
      </x:c>
      <x:c r="AK2646" t="str">
        <x:f>_xlfn.XLOOKUP($A2646,Games!$A$2:$A$18,Games!$F$2:$F$18,"Missing game",0)</x:f>
        <x:v>Sunday</x:v>
      </x:c>
      <x:c r="AL2646" t="str">
        <x:f>_xlfn.XLOOKUP($A2646,Games!$A$2:$A$18,Games!$G$2:$G$18,"Missing game",0)</x:f>
        <x:v>GB</x:v>
      </x:c>
      <x:c r="AM2646" t="n">
        <x:f>_xlfn.XLOOKUP($A2646,Games!$A$2:$A$18,Games!$H$2:$H$18,"Missing game",0)</x:f>
        <x:v>3</x:v>
      </x:c>
      <x:c r="AN2646" t="str">
        <x:f>_xlfn.XLOOKUP($A2646,Games!$A$2:$A$18,Games!$I$2:$I$18,"Missing game",0)</x:f>
        <x:v>MIN</x:v>
      </x:c>
      <x:c r="AO2646" t="n">
        <x:f>_xlfn.XLOOKUP($A2646,Games!$A$2:$A$18,Games!$J$2:$J$18,"Missing game",0)</x:f>
        <x:v>16</x:v>
      </x:c>
      <x:c r="AP2646" t="n">
        <x:f>_xlfn.XLOOKUP($A2646,Games!$A$2:$A$18,Games!$K$2:$K$18,"Missing game",0)</x:f>
        <x:v>13</x:v>
      </x:c>
      <x:c r="AQ2646" t="n">
        <x:f>_xlfn.XLOOKUP($A2646,Games!$A$2:$A$18,Games!$L$2:$L$18,"Missing game",0)</x:f>
        <x:v>19</x:v>
      </x:c>
      <x:c r="AR2646" t="n">
        <x:f>_xlfn.XLOOKUP($A2646,Games!$A$2:$A$18,Games!$M$2:$M$18,"Missing game",0)</x:f>
        <x:v>0</x:v>
      </x:c>
      <x:c r="AS2646" t="str">
        <x:f>_xlfn.XLOOKUP($A2646,Games!$A$2:$A$18,Games!$N$2:$N$18,"Missing game",0)</x:f>
        <x:v>dome</x:v>
      </x:c>
      <x:c r="AT2646" t="str">
        <x:f>_xlfn.XLOOKUP($A2646,Games!$A$2:$A$18,Games!$O$2:$O$18,"Missing game",0)</x:f>
        <x:v>sportturf</x:v>
      </x:c>
      <x:c r="AU2646" t="str">
        <x:f>_xlfn.XLOOKUP($A2646,Games!$A$2:$A$18,Games!$P$2:$P$18,"Missing game",0)</x:f>
      </x:c>
      <x:c r="AV2646" t="str">
        <x:f>_xlfn.XLOOKUP($A2646,Games!$A$2:$A$18,Games!$Q$2:$Q$18,"Missing game",0)</x:f>
      </x:c>
      <x:c r="AW2646" t="str">
        <x:f>_xlfn.XLOOKUP($A2646,Games!$A$2:$A$18,Games!$R$2:$R$18,"Missing game",0)</x:f>
        <x:v>U.S. Bank Stadium</x:v>
      </x:c>
    </x:row>
    <x:row r="2647">
      <x:c r="A2647" t="str">
        <x:v>2025_18_GB_MIN</x:v>
      </x:c>
      <x:c r="B2647" t="n">
        <x:v>194</x:v>
      </x:c>
      <x:c r="C2647" t="n">
        <x:v>1</x:v>
      </x:c>
      <x:c r="D2647" t="str">
        <x:v>11:55</x:v>
      </x:c>
      <x:c r="E2647" t="n">
        <x:v>2</x:v>
      </x:c>
      <x:c r="F2647" t="n">
        <x:v>19</x:v>
      </x:c>
      <x:c r="G2647" t="str">
        <x:v>MIN</x:v>
      </x:c>
      <x:c r="H2647" t="str">
        <x:v>GB</x:v>
      </x:c>
      <x:c r="I2647" t="str">
        <x:v>GB</x:v>
      </x:c>
      <x:c r="J2647" t="n">
        <x:v>38</x:v>
      </x:c>
      <x:c r="K2647" t="str">
        <x:v>(11:55) (Shotgun) 36-Z.Scott left end to GB 36 for 2 yards (28-T.Diggs).</x:v>
      </x:c>
      <x:c r="L2647" t="str">
        <x:v>run</x:v>
      </x:c>
      <x:c r="M2647" t="n">
        <x:v>2</x:v>
      </x:c>
      <x:c r="N2647" t="n">
        <x:v>1</x:v>
      </x:c>
      <x:c r="O2647" t="n">
        <x:v>0</x:v>
      </x:c>
      <x:c r="P2647"/>
      <x:c r="Q2647"/>
      <x:c r="R2647"/>
      <x:c r="S2647"/>
      <x:c r="T2647" t="str">
        <x:v>left</x:v>
      </x:c>
      <x:c r="U2647" t="str">
        <x:v>end</x:v>
      </x:c>
      <x:c r="V2647" t="n">
        <x:v>0</x:v>
      </x:c>
      <x:c r="W2647" t="n">
        <x:v>0</x:v>
      </x:c>
      <x:c r="X2647" t="n">
        <x:v>0</x:v>
      </x:c>
      <x:c r="Y2647" t="n">
        <x:v>0</x:v>
      </x:c>
      <x:c r="Z2647" t="n">
        <x:v>0</x:v>
      </x:c>
      <x:c r="AA2647" t="n">
        <x:v>0</x:v>
      </x:c>
      <x:c r="AB2647"/>
      <x:c r="AC2647" t="n">
        <x:v>0</x:v>
      </x:c>
      <x:c r="AD2647" t="n">
        <x:v>-0.7161456285975873</x:v>
      </x:c>
      <x:c r="AE2647" t="n">
        <x:v>0</x:v>
      </x:c>
      <x:c r="AF2647" t="n">
        <x:v>-0.03479081392288208</x:v>
      </x:c>
      <x:c r="AG2647" t="n">
        <x:f>_xlfn.XLOOKUP($A2647,Games!$A$2:$A$18,Games!$B$2:$B$18,"Missing game",0)</x:f>
        <x:v>2025</x:v>
      </x:c>
      <x:c r="AH2647" t="str">
        <x:f>_xlfn.XLOOKUP($A2647,Games!$A$2:$A$18,Games!$C$2:$C$18,"Missing game",0)</x:f>
        <x:v>REG</x:v>
      </x:c>
      <x:c r="AI2647" t="n">
        <x:f>_xlfn.XLOOKUP($A2647,Games!$A$2:$A$18,Games!$D$2:$D$18,"Missing game",0)</x:f>
        <x:v>18</x:v>
      </x:c>
      <x:c r="AJ2647" s="1" t="n">
        <x:f>_xlfn.XLOOKUP($A2647,Games!$A$2:$A$18,Games!$E$2:$E$18,"Missing game",0)</x:f>
        <x:v>46026</x:v>
      </x:c>
      <x:c r="AK2647" t="str">
        <x:f>_xlfn.XLOOKUP($A2647,Games!$A$2:$A$18,Games!$F$2:$F$18,"Missing game",0)</x:f>
        <x:v>Sunday</x:v>
      </x:c>
      <x:c r="AL2647" t="str">
        <x:f>_xlfn.XLOOKUP($A2647,Games!$A$2:$A$18,Games!$G$2:$G$18,"Missing game",0)</x:f>
        <x:v>GB</x:v>
      </x:c>
      <x:c r="AM2647" t="n">
        <x:f>_xlfn.XLOOKUP($A2647,Games!$A$2:$A$18,Games!$H$2:$H$18,"Missing game",0)</x:f>
        <x:v>3</x:v>
      </x:c>
      <x:c r="AN2647" t="str">
        <x:f>_xlfn.XLOOKUP($A2647,Games!$A$2:$A$18,Games!$I$2:$I$18,"Missing game",0)</x:f>
        <x:v>MIN</x:v>
      </x:c>
      <x:c r="AO2647" t="n">
        <x:f>_xlfn.XLOOKUP($A2647,Games!$A$2:$A$18,Games!$J$2:$J$18,"Missing game",0)</x:f>
        <x:v>16</x:v>
      </x:c>
      <x:c r="AP2647" t="n">
        <x:f>_xlfn.XLOOKUP($A2647,Games!$A$2:$A$18,Games!$K$2:$K$18,"Missing game",0)</x:f>
        <x:v>13</x:v>
      </x:c>
      <x:c r="AQ2647" t="n">
        <x:f>_xlfn.XLOOKUP($A2647,Games!$A$2:$A$18,Games!$L$2:$L$18,"Missing game",0)</x:f>
        <x:v>19</x:v>
      </x:c>
      <x:c r="AR2647" t="n">
        <x:f>_xlfn.XLOOKUP($A2647,Games!$A$2:$A$18,Games!$M$2:$M$18,"Missing game",0)</x:f>
        <x:v>0</x:v>
      </x:c>
      <x:c r="AS2647" t="str">
        <x:f>_xlfn.XLOOKUP($A2647,Games!$A$2:$A$18,Games!$N$2:$N$18,"Missing game",0)</x:f>
        <x:v>dome</x:v>
      </x:c>
      <x:c r="AT2647" t="str">
        <x:f>_xlfn.XLOOKUP($A2647,Games!$A$2:$A$18,Games!$O$2:$O$18,"Missing game",0)</x:f>
        <x:v>sportturf</x:v>
      </x:c>
      <x:c r="AU2647" t="str">
        <x:f>_xlfn.XLOOKUP($A2647,Games!$A$2:$A$18,Games!$P$2:$P$18,"Missing game",0)</x:f>
      </x:c>
      <x:c r="AV2647" t="str">
        <x:f>_xlfn.XLOOKUP($A2647,Games!$A$2:$A$18,Games!$Q$2:$Q$18,"Missing game",0)</x:f>
      </x:c>
      <x:c r="AW2647" t="str">
        <x:f>_xlfn.XLOOKUP($A2647,Games!$A$2:$A$18,Games!$R$2:$R$18,"Missing game",0)</x:f>
        <x:v>U.S. Bank Stadium</x:v>
      </x:c>
    </x:row>
    <x:row r="2648">
      <x:c r="A2648" t="str">
        <x:v>2025_18_GB_MIN</x:v>
      </x:c>
      <x:c r="B2648" t="n">
        <x:v>219</x:v>
      </x:c>
      <x:c r="C2648" t="n">
        <x:v>1</x:v>
      </x:c>
      <x:c r="D2648" t="str">
        <x:v>11:10</x:v>
      </x:c>
      <x:c r="E2648" t="n">
        <x:v>3</x:v>
      </x:c>
      <x:c r="F2648" t="n">
        <x:v>17</x:v>
      </x:c>
      <x:c r="G2648" t="str">
        <x:v>MIN</x:v>
      </x:c>
      <x:c r="H2648" t="str">
        <x:v>GB</x:v>
      </x:c>
      <x:c r="I2648" t="str">
        <x:v>GB</x:v>
      </x:c>
      <x:c r="J2648" t="n">
        <x:v>36</x:v>
      </x:c>
      <x:c r="K2648" t="str">
        <x:v>(11:10) (Shotgun) 9-J.McCarthy pass short middle to 18-J.Jefferson to GB 25 for 11 yards (27-K.Oladapo).</x:v>
      </x:c>
      <x:c r="L2648" t="str">
        <x:v>pass</x:v>
      </x:c>
      <x:c r="M2648" t="n">
        <x:v>11</x:v>
      </x:c>
      <x:c r="N2648" t="n">
        <x:v>1</x:v>
      </x:c>
      <x:c r="O2648" t="n">
        <x:v>0</x:v>
      </x:c>
      <x:c r="P2648" t="str">
        <x:v>short</x:v>
      </x:c>
      <x:c r="Q2648" t="str">
        <x:v>middle</x:v>
      </x:c>
      <x:c r="R2648" t="n">
        <x:v>0</x:v>
      </x:c>
      <x:c r="S2648" t="n">
        <x:v>11</x:v>
      </x:c>
      <x:c r="T2648"/>
      <x:c r="U2648"/>
      <x:c r="V2648" t="n">
        <x:v>1</x:v>
      </x:c>
      <x:c r="W2648" t="n">
        <x:v>0</x:v>
      </x:c>
      <x:c r="X2648" t="n">
        <x:v>0</x:v>
      </x:c>
      <x:c r="Y2648" t="n">
        <x:v>0</x:v>
      </x:c>
      <x:c r="Z2648" t="n">
        <x:v>0</x:v>
      </x:c>
      <x:c r="AA2648" t="n">
        <x:v>0</x:v>
      </x:c>
      <x:c r="AB2648"/>
      <x:c r="AC2648" t="n">
        <x:v>0</x:v>
      </x:c>
      <x:c r="AD2648" t="n">
        <x:v>-0.09818696349318357</x:v>
      </x:c>
      <x:c r="AE2648" t="n">
        <x:v>0</x:v>
      </x:c>
      <x:c r="AF2648" t="n">
        <x:v>-0.004606366157531738</x:v>
      </x:c>
      <x:c r="AG2648" t="n">
        <x:f>_xlfn.XLOOKUP($A2648,Games!$A$2:$A$18,Games!$B$2:$B$18,"Missing game",0)</x:f>
        <x:v>2025</x:v>
      </x:c>
      <x:c r="AH2648" t="str">
        <x:f>_xlfn.XLOOKUP($A2648,Games!$A$2:$A$18,Games!$C$2:$C$18,"Missing game",0)</x:f>
        <x:v>REG</x:v>
      </x:c>
      <x:c r="AI2648" t="n">
        <x:f>_xlfn.XLOOKUP($A2648,Games!$A$2:$A$18,Games!$D$2:$D$18,"Missing game",0)</x:f>
        <x:v>18</x:v>
      </x:c>
      <x:c r="AJ2648" s="1" t="n">
        <x:f>_xlfn.XLOOKUP($A2648,Games!$A$2:$A$18,Games!$E$2:$E$18,"Missing game",0)</x:f>
        <x:v>46026</x:v>
      </x:c>
      <x:c r="AK2648" t="str">
        <x:f>_xlfn.XLOOKUP($A2648,Games!$A$2:$A$18,Games!$F$2:$F$18,"Missing game",0)</x:f>
        <x:v>Sunday</x:v>
      </x:c>
      <x:c r="AL2648" t="str">
        <x:f>_xlfn.XLOOKUP($A2648,Games!$A$2:$A$18,Games!$G$2:$G$18,"Missing game",0)</x:f>
        <x:v>GB</x:v>
      </x:c>
      <x:c r="AM2648" t="n">
        <x:f>_xlfn.XLOOKUP($A2648,Games!$A$2:$A$18,Games!$H$2:$H$18,"Missing game",0)</x:f>
        <x:v>3</x:v>
      </x:c>
      <x:c r="AN2648" t="str">
        <x:f>_xlfn.XLOOKUP($A2648,Games!$A$2:$A$18,Games!$I$2:$I$18,"Missing game",0)</x:f>
        <x:v>MIN</x:v>
      </x:c>
      <x:c r="AO2648" t="n">
        <x:f>_xlfn.XLOOKUP($A2648,Games!$A$2:$A$18,Games!$J$2:$J$18,"Missing game",0)</x:f>
        <x:v>16</x:v>
      </x:c>
      <x:c r="AP2648" t="n">
        <x:f>_xlfn.XLOOKUP($A2648,Games!$A$2:$A$18,Games!$K$2:$K$18,"Missing game",0)</x:f>
        <x:v>13</x:v>
      </x:c>
      <x:c r="AQ2648" t="n">
        <x:f>_xlfn.XLOOKUP($A2648,Games!$A$2:$A$18,Games!$L$2:$L$18,"Missing game",0)</x:f>
        <x:v>19</x:v>
      </x:c>
      <x:c r="AR2648" t="n">
        <x:f>_xlfn.XLOOKUP($A2648,Games!$A$2:$A$18,Games!$M$2:$M$18,"Missing game",0)</x:f>
        <x:v>0</x:v>
      </x:c>
      <x:c r="AS2648" t="str">
        <x:f>_xlfn.XLOOKUP($A2648,Games!$A$2:$A$18,Games!$N$2:$N$18,"Missing game",0)</x:f>
        <x:v>dome</x:v>
      </x:c>
      <x:c r="AT2648" t="str">
        <x:f>_xlfn.XLOOKUP($A2648,Games!$A$2:$A$18,Games!$O$2:$O$18,"Missing game",0)</x:f>
        <x:v>sportturf</x:v>
      </x:c>
      <x:c r="AU2648" t="str">
        <x:f>_xlfn.XLOOKUP($A2648,Games!$A$2:$A$18,Games!$P$2:$P$18,"Missing game",0)</x:f>
      </x:c>
      <x:c r="AV2648" t="str">
        <x:f>_xlfn.XLOOKUP($A2648,Games!$A$2:$A$18,Games!$Q$2:$Q$18,"Missing game",0)</x:f>
      </x:c>
      <x:c r="AW2648" t="str">
        <x:f>_xlfn.XLOOKUP($A2648,Games!$A$2:$A$18,Games!$R$2:$R$18,"Missing game",0)</x:f>
        <x:v>U.S. Bank Stadium</x:v>
      </x:c>
    </x:row>
    <x:row r="2649">
      <x:c r="A2649" t="str">
        <x:v>2025_18_GB_MIN</x:v>
      </x:c>
      <x:c r="B2649" t="n">
        <x:v>244</x:v>
      </x:c>
      <x:c r="C2649" t="n">
        <x:v>1</x:v>
      </x:c>
      <x:c r="D2649" t="str">
        <x:v>10:32</x:v>
      </x:c>
      <x:c r="E2649" t="n">
        <x:v>4</x:v>
      </x:c>
      <x:c r="F2649" t="n">
        <x:v>6</x:v>
      </x:c>
      <x:c r="G2649" t="str">
        <x:v>MIN</x:v>
      </x:c>
      <x:c r="H2649" t="str">
        <x:v>GB</x:v>
      </x:c>
      <x:c r="I2649" t="str">
        <x:v>GB</x:v>
      </x:c>
      <x:c r="J2649" t="n">
        <x:v>25</x:v>
      </x:c>
      <x:c r="K2649" t="str">
        <x:v>(10:32) 16-W.Reichard 43 yard field goal is GOOD, Center-42-A.DePaola, Holder-17-R.Wright.</x:v>
      </x:c>
      <x:c r="L2649" t="str">
        <x:v>field_goal</x:v>
      </x:c>
      <x:c r="M2649" t="n">
        <x:v>0</x:v>
      </x:c>
      <x:c r="N2649" t="n">
        <x:v>0</x:v>
      </x:c>
      <x:c r="O2649" t="n">
        <x:v>0</x:v>
      </x:c>
      <x:c r="P2649"/>
      <x:c r="Q2649"/>
      <x:c r="R2649"/>
      <x:c r="S2649"/>
      <x:c r="T2649"/>
      <x:c r="U2649"/>
      <x:c r="V2649" t="n">
        <x:v>0</x:v>
      </x:c>
      <x:c r="W2649" t="n">
        <x:v>0</x:v>
      </x:c>
      <x:c r="X2649" t="n">
        <x:v>0</x:v>
      </x:c>
      <x:c r="Y2649" t="n">
        <x:v>0</x:v>
      </x:c>
      <x:c r="Z2649" t="n">
        <x:v>0</x:v>
      </x:c>
      <x:c r="AA2649" t="n">
        <x:v>0</x:v>
      </x:c>
      <x:c r="AB2649"/>
      <x:c r="AC2649" t="n">
        <x:v>0</x:v>
      </x:c>
      <x:c r="AD2649" t="n">
        <x:v>1.0602049788219783</x:v>
      </x:c>
      <x:c r="AE2649" t="n">
        <x:v>1</x:v>
      </x:c>
      <x:c r="AF2649" t="n">
        <x:v>0.022974610328674316</x:v>
      </x:c>
      <x:c r="AG2649" t="n">
        <x:f>_xlfn.XLOOKUP($A2649,Games!$A$2:$A$18,Games!$B$2:$B$18,"Missing game",0)</x:f>
        <x:v>2025</x:v>
      </x:c>
      <x:c r="AH2649" t="str">
        <x:f>_xlfn.XLOOKUP($A2649,Games!$A$2:$A$18,Games!$C$2:$C$18,"Missing game",0)</x:f>
        <x:v>REG</x:v>
      </x:c>
      <x:c r="AI2649" t="n">
        <x:f>_xlfn.XLOOKUP($A2649,Games!$A$2:$A$18,Games!$D$2:$D$18,"Missing game",0)</x:f>
        <x:v>18</x:v>
      </x:c>
      <x:c r="AJ2649" s="1" t="n">
        <x:f>_xlfn.XLOOKUP($A2649,Games!$A$2:$A$18,Games!$E$2:$E$18,"Missing game",0)</x:f>
        <x:v>46026</x:v>
      </x:c>
      <x:c r="AK2649" t="str">
        <x:f>_xlfn.XLOOKUP($A2649,Games!$A$2:$A$18,Games!$F$2:$F$18,"Missing game",0)</x:f>
        <x:v>Sunday</x:v>
      </x:c>
      <x:c r="AL2649" t="str">
        <x:f>_xlfn.XLOOKUP($A2649,Games!$A$2:$A$18,Games!$G$2:$G$18,"Missing game",0)</x:f>
        <x:v>GB</x:v>
      </x:c>
      <x:c r="AM2649" t="n">
        <x:f>_xlfn.XLOOKUP($A2649,Games!$A$2:$A$18,Games!$H$2:$H$18,"Missing game",0)</x:f>
        <x:v>3</x:v>
      </x:c>
      <x:c r="AN2649" t="str">
        <x:f>_xlfn.XLOOKUP($A2649,Games!$A$2:$A$18,Games!$I$2:$I$18,"Missing game",0)</x:f>
        <x:v>MIN</x:v>
      </x:c>
      <x:c r="AO2649" t="n">
        <x:f>_xlfn.XLOOKUP($A2649,Games!$A$2:$A$18,Games!$J$2:$J$18,"Missing game",0)</x:f>
        <x:v>16</x:v>
      </x:c>
      <x:c r="AP2649" t="n">
        <x:f>_xlfn.XLOOKUP($A2649,Games!$A$2:$A$18,Games!$K$2:$K$18,"Missing game",0)</x:f>
        <x:v>13</x:v>
      </x:c>
      <x:c r="AQ2649" t="n">
        <x:f>_xlfn.XLOOKUP($A2649,Games!$A$2:$A$18,Games!$L$2:$L$18,"Missing game",0)</x:f>
        <x:v>19</x:v>
      </x:c>
      <x:c r="AR2649" t="n">
        <x:f>_xlfn.XLOOKUP($A2649,Games!$A$2:$A$18,Games!$M$2:$M$18,"Missing game",0)</x:f>
        <x:v>0</x:v>
      </x:c>
      <x:c r="AS2649" t="str">
        <x:f>_xlfn.XLOOKUP($A2649,Games!$A$2:$A$18,Games!$N$2:$N$18,"Missing game",0)</x:f>
        <x:v>dome</x:v>
      </x:c>
      <x:c r="AT2649" t="str">
        <x:f>_xlfn.XLOOKUP($A2649,Games!$A$2:$A$18,Games!$O$2:$O$18,"Missing game",0)</x:f>
        <x:v>sportturf</x:v>
      </x:c>
      <x:c r="AU2649" t="str">
        <x:f>_xlfn.XLOOKUP($A2649,Games!$A$2:$A$18,Games!$P$2:$P$18,"Missing game",0)</x:f>
      </x:c>
      <x:c r="AV2649" t="str">
        <x:f>_xlfn.XLOOKUP($A2649,Games!$A$2:$A$18,Games!$Q$2:$Q$18,"Missing game",0)</x:f>
      </x:c>
      <x:c r="AW2649" t="str">
        <x:f>_xlfn.XLOOKUP($A2649,Games!$A$2:$A$18,Games!$R$2:$R$18,"Missing game",0)</x:f>
        <x:v>U.S. Bank Stadium</x:v>
      </x:c>
    </x:row>
    <x:row r="2650">
      <x:c r="A2650" t="str">
        <x:v>2025_18_GB_MIN</x:v>
      </x:c>
      <x:c r="B2650" t="n">
        <x:v>264</x:v>
      </x:c>
      <x:c r="C2650" t="n">
        <x:v>1</x:v>
      </x:c>
      <x:c r="D2650" t="str">
        <x:v>10:27</x:v>
      </x:c>
      <x:c r="E2650"/>
      <x:c r="F2650" t="n">
        <x:v>0</x:v>
      </x:c>
      <x:c r="G2650" t="str">
        <x:v>GB</x:v>
      </x:c>
      <x:c r="H2650" t="str">
        <x:v>MIN</x:v>
      </x:c>
      <x:c r="I2650" t="str">
        <x:v>MIN</x:v>
      </x:c>
      <x:c r="J2650" t="n">
        <x:v>35</x:v>
      </x:c>
      <x:c r="K2650" t="str">
        <x:v>16-W.Reichard kicks 65 yards from MIN 35 to end zone, Touchback to the GB 35.</x:v>
      </x:c>
      <x:c r="L2650" t="str">
        <x:v>kickoff</x:v>
      </x:c>
      <x:c r="M2650" t="n">
        <x:v>0</x:v>
      </x:c>
      <x:c r="N2650" t="n">
        <x:v>0</x:v>
      </x:c>
      <x:c r="O2650" t="n">
        <x:v>0</x:v>
      </x:c>
      <x:c r="P2650"/>
      <x:c r="Q2650"/>
      <x:c r="R2650"/>
      <x:c r="S2650"/>
      <x:c r="T2650"/>
      <x:c r="U2650"/>
      <x:c r="V2650" t="n">
        <x:v>0</x:v>
      </x:c>
      <x:c r="W2650" t="n">
        <x:v>0</x:v>
      </x:c>
      <x:c r="X2650" t="n">
        <x:v>0</x:v>
      </x:c>
      <x:c r="Y2650" t="n">
        <x:v>0</x:v>
      </x:c>
      <x:c r="Z2650" t="n">
        <x:v>0</x:v>
      </x:c>
      <x:c r="AA2650" t="n">
        <x:v>0</x:v>
      </x:c>
      <x:c r="AB2650"/>
      <x:c r="AC2650" t="n">
        <x:v>0</x:v>
      </x:c>
      <x:c r="AD2650" t="n">
        <x:v>0.5224958001635969</x:v>
      </x:c>
      <x:c r="AE2650" t="n">
        <x:v>1</x:v>
      </x:c>
      <x:c r="AF2650" t="n">
        <x:v>0.021819710731506348</x:v>
      </x:c>
      <x:c r="AG2650" t="n">
        <x:f>_xlfn.XLOOKUP($A2650,Games!$A$2:$A$18,Games!$B$2:$B$18,"Missing game",0)</x:f>
        <x:v>2025</x:v>
      </x:c>
      <x:c r="AH2650" t="str">
        <x:f>_xlfn.XLOOKUP($A2650,Games!$A$2:$A$18,Games!$C$2:$C$18,"Missing game",0)</x:f>
        <x:v>REG</x:v>
      </x:c>
      <x:c r="AI2650" t="n">
        <x:f>_xlfn.XLOOKUP($A2650,Games!$A$2:$A$18,Games!$D$2:$D$18,"Missing game",0)</x:f>
        <x:v>18</x:v>
      </x:c>
      <x:c r="AJ2650" s="1" t="n">
        <x:f>_xlfn.XLOOKUP($A2650,Games!$A$2:$A$18,Games!$E$2:$E$18,"Missing game",0)</x:f>
        <x:v>46026</x:v>
      </x:c>
      <x:c r="AK2650" t="str">
        <x:f>_xlfn.XLOOKUP($A2650,Games!$A$2:$A$18,Games!$F$2:$F$18,"Missing game",0)</x:f>
        <x:v>Sunday</x:v>
      </x:c>
      <x:c r="AL2650" t="str">
        <x:f>_xlfn.XLOOKUP($A2650,Games!$A$2:$A$18,Games!$G$2:$G$18,"Missing game",0)</x:f>
        <x:v>GB</x:v>
      </x:c>
      <x:c r="AM2650" t="n">
        <x:f>_xlfn.XLOOKUP($A2650,Games!$A$2:$A$18,Games!$H$2:$H$18,"Missing game",0)</x:f>
        <x:v>3</x:v>
      </x:c>
      <x:c r="AN2650" t="str">
        <x:f>_xlfn.XLOOKUP($A2650,Games!$A$2:$A$18,Games!$I$2:$I$18,"Missing game",0)</x:f>
        <x:v>MIN</x:v>
      </x:c>
      <x:c r="AO2650" t="n">
        <x:f>_xlfn.XLOOKUP($A2650,Games!$A$2:$A$18,Games!$J$2:$J$18,"Missing game",0)</x:f>
        <x:v>16</x:v>
      </x:c>
      <x:c r="AP2650" t="n">
        <x:f>_xlfn.XLOOKUP($A2650,Games!$A$2:$A$18,Games!$K$2:$K$18,"Missing game",0)</x:f>
        <x:v>13</x:v>
      </x:c>
      <x:c r="AQ2650" t="n">
        <x:f>_xlfn.XLOOKUP($A2650,Games!$A$2:$A$18,Games!$L$2:$L$18,"Missing game",0)</x:f>
        <x:v>19</x:v>
      </x:c>
      <x:c r="AR2650" t="n">
        <x:f>_xlfn.XLOOKUP($A2650,Games!$A$2:$A$18,Games!$M$2:$M$18,"Missing game",0)</x:f>
        <x:v>0</x:v>
      </x:c>
      <x:c r="AS2650" t="str">
        <x:f>_xlfn.XLOOKUP($A2650,Games!$A$2:$A$18,Games!$N$2:$N$18,"Missing game",0)</x:f>
        <x:v>dome</x:v>
      </x:c>
      <x:c r="AT2650" t="str">
        <x:f>_xlfn.XLOOKUP($A2650,Games!$A$2:$A$18,Games!$O$2:$O$18,"Missing game",0)</x:f>
        <x:v>sportturf</x:v>
      </x:c>
      <x:c r="AU2650" t="str">
        <x:f>_xlfn.XLOOKUP($A2650,Games!$A$2:$A$18,Games!$P$2:$P$18,"Missing game",0)</x:f>
      </x:c>
      <x:c r="AV2650" t="str">
        <x:f>_xlfn.XLOOKUP($A2650,Games!$A$2:$A$18,Games!$Q$2:$Q$18,"Missing game",0)</x:f>
      </x:c>
      <x:c r="AW2650" t="str">
        <x:f>_xlfn.XLOOKUP($A2650,Games!$A$2:$A$18,Games!$R$2:$R$18,"Missing game",0)</x:f>
        <x:v>U.S. Bank Stadium</x:v>
      </x:c>
    </x:row>
    <x:row r="2651">
      <x:c r="A2651" t="str">
        <x:v>2025_18_GB_MIN</x:v>
      </x:c>
      <x:c r="B2651" t="n">
        <x:v>293</x:v>
      </x:c>
      <x:c r="C2651" t="n">
        <x:v>1</x:v>
      </x:c>
      <x:c r="D2651" t="str">
        <x:v>10:27</x:v>
      </x:c>
      <x:c r="E2651" t="n">
        <x:v>1</x:v>
      </x:c>
      <x:c r="F2651" t="n">
        <x:v>10</x:v>
      </x:c>
      <x:c r="G2651" t="str">
        <x:v>GB</x:v>
      </x:c>
      <x:c r="H2651" t="str">
        <x:v>MIN</x:v>
      </x:c>
      <x:c r="I2651" t="str">
        <x:v>GB</x:v>
      </x:c>
      <x:c r="J2651" t="n">
        <x:v>65</x:v>
      </x:c>
      <x:c r="K2651" t="str">
        <x:v>(10:27) 23-E.Wilson up the middle to GB 36 for 1 yard (55-E.Wilson).</x:v>
      </x:c>
      <x:c r="L2651" t="str">
        <x:v>run</x:v>
      </x:c>
      <x:c r="M2651" t="n">
        <x:v>1</x:v>
      </x:c>
      <x:c r="N2651" t="n">
        <x:v>0</x:v>
      </x:c>
      <x:c r="O2651" t="n">
        <x:v>0</x:v>
      </x:c>
      <x:c r="P2651"/>
      <x:c r="Q2651"/>
      <x:c r="R2651"/>
      <x:c r="S2651"/>
      <x:c r="T2651" t="str">
        <x:v>middle</x:v>
      </x:c>
      <x:c r="U2651"/>
      <x:c r="V2651" t="n">
        <x:v>0</x:v>
      </x:c>
      <x:c r="W2651" t="n">
        <x:v>0</x:v>
      </x:c>
      <x:c r="X2651" t="n">
        <x:v>0</x:v>
      </x:c>
      <x:c r="Y2651" t="n">
        <x:v>0</x:v>
      </x:c>
      <x:c r="Z2651" t="n">
        <x:v>0</x:v>
      </x:c>
      <x:c r="AA2651" t="n">
        <x:v>0</x:v>
      </x:c>
      <x:c r="AB2651"/>
      <x:c r="AC2651" t="n">
        <x:v>0</x:v>
      </x:c>
      <x:c r="AD2651" t="n">
        <x:v>-0.4494643877260387</x:v>
      </x:c>
      <x:c r="AE2651" t="n">
        <x:v>0</x:v>
      </x:c>
      <x:c r="AF2651" t="n">
        <x:v>-0.008093386888504028</x:v>
      </x:c>
      <x:c r="AG2651" t="n">
        <x:f>_xlfn.XLOOKUP($A2651,Games!$A$2:$A$18,Games!$B$2:$B$18,"Missing game",0)</x:f>
        <x:v>2025</x:v>
      </x:c>
      <x:c r="AH2651" t="str">
        <x:f>_xlfn.XLOOKUP($A2651,Games!$A$2:$A$18,Games!$C$2:$C$18,"Missing game",0)</x:f>
        <x:v>REG</x:v>
      </x:c>
      <x:c r="AI2651" t="n">
        <x:f>_xlfn.XLOOKUP($A2651,Games!$A$2:$A$18,Games!$D$2:$D$18,"Missing game",0)</x:f>
        <x:v>18</x:v>
      </x:c>
      <x:c r="AJ2651" s="1" t="n">
        <x:f>_xlfn.XLOOKUP($A2651,Games!$A$2:$A$18,Games!$E$2:$E$18,"Missing game",0)</x:f>
        <x:v>46026</x:v>
      </x:c>
      <x:c r="AK2651" t="str">
        <x:f>_xlfn.XLOOKUP($A2651,Games!$A$2:$A$18,Games!$F$2:$F$18,"Missing game",0)</x:f>
        <x:v>Sunday</x:v>
      </x:c>
      <x:c r="AL2651" t="str">
        <x:f>_xlfn.XLOOKUP($A2651,Games!$A$2:$A$18,Games!$G$2:$G$18,"Missing game",0)</x:f>
        <x:v>GB</x:v>
      </x:c>
      <x:c r="AM2651" t="n">
        <x:f>_xlfn.XLOOKUP($A2651,Games!$A$2:$A$18,Games!$H$2:$H$18,"Missing game",0)</x:f>
        <x:v>3</x:v>
      </x:c>
      <x:c r="AN2651" t="str">
        <x:f>_xlfn.XLOOKUP($A2651,Games!$A$2:$A$18,Games!$I$2:$I$18,"Missing game",0)</x:f>
        <x:v>MIN</x:v>
      </x:c>
      <x:c r="AO2651" t="n">
        <x:f>_xlfn.XLOOKUP($A2651,Games!$A$2:$A$18,Games!$J$2:$J$18,"Missing game",0)</x:f>
        <x:v>16</x:v>
      </x:c>
      <x:c r="AP2651" t="n">
        <x:f>_xlfn.XLOOKUP($A2651,Games!$A$2:$A$18,Games!$K$2:$K$18,"Missing game",0)</x:f>
        <x:v>13</x:v>
      </x:c>
      <x:c r="AQ2651" t="n">
        <x:f>_xlfn.XLOOKUP($A2651,Games!$A$2:$A$18,Games!$L$2:$L$18,"Missing game",0)</x:f>
        <x:v>19</x:v>
      </x:c>
      <x:c r="AR2651" t="n">
        <x:f>_xlfn.XLOOKUP($A2651,Games!$A$2:$A$18,Games!$M$2:$M$18,"Missing game",0)</x:f>
        <x:v>0</x:v>
      </x:c>
      <x:c r="AS2651" t="str">
        <x:f>_xlfn.XLOOKUP($A2651,Games!$A$2:$A$18,Games!$N$2:$N$18,"Missing game",0)</x:f>
        <x:v>dome</x:v>
      </x:c>
      <x:c r="AT2651" t="str">
        <x:f>_xlfn.XLOOKUP($A2651,Games!$A$2:$A$18,Games!$O$2:$O$18,"Missing game",0)</x:f>
        <x:v>sportturf</x:v>
      </x:c>
      <x:c r="AU2651" t="str">
        <x:f>_xlfn.XLOOKUP($A2651,Games!$A$2:$A$18,Games!$P$2:$P$18,"Missing game",0)</x:f>
      </x:c>
      <x:c r="AV2651" t="str">
        <x:f>_xlfn.XLOOKUP($A2651,Games!$A$2:$A$18,Games!$Q$2:$Q$18,"Missing game",0)</x:f>
      </x:c>
      <x:c r="AW2651" t="str">
        <x:f>_xlfn.XLOOKUP($A2651,Games!$A$2:$A$18,Games!$R$2:$R$18,"Missing game",0)</x:f>
        <x:v>U.S. Bank Stadium</x:v>
      </x:c>
    </x:row>
    <x:row r="2652">
      <x:c r="A2652" t="str">
        <x:v>2025_18_GB_MIN</x:v>
      </x:c>
      <x:c r="B2652" t="n">
        <x:v>315</x:v>
      </x:c>
      <x:c r="C2652" t="n">
        <x:v>1</x:v>
      </x:c>
      <x:c r="D2652" t="str">
        <x:v>09:54</x:v>
      </x:c>
      <x:c r="E2652" t="n">
        <x:v>2</x:v>
      </x:c>
      <x:c r="F2652" t="n">
        <x:v>9</x:v>
      </x:c>
      <x:c r="G2652" t="str">
        <x:v>GB</x:v>
      </x:c>
      <x:c r="H2652" t="str">
        <x:v>MIN</x:v>
      </x:c>
      <x:c r="I2652" t="str">
        <x:v>GB</x:v>
      </x:c>
      <x:c r="J2652" t="n">
        <x:v>64</x:v>
      </x:c>
      <x:c r="K2652" t="str">
        <x:v>(9:54) (Shotgun) 23-E.Wilson up the middle to GB 36 for no gain (15-D.Turner; 43-A.Van Ginkel).</x:v>
      </x:c>
      <x:c r="L2652" t="str">
        <x:v>run</x:v>
      </x:c>
      <x:c r="M2652" t="n">
        <x:v>0</x:v>
      </x:c>
      <x:c r="N2652" t="n">
        <x:v>1</x:v>
      </x:c>
      <x:c r="O2652" t="n">
        <x:v>0</x:v>
      </x:c>
      <x:c r="P2652"/>
      <x:c r="Q2652"/>
      <x:c r="R2652"/>
      <x:c r="S2652"/>
      <x:c r="T2652" t="str">
        <x:v>middle</x:v>
      </x:c>
      <x:c r="U2652"/>
      <x:c r="V2652" t="n">
        <x:v>0</x:v>
      </x:c>
      <x:c r="W2652" t="n">
        <x:v>0</x:v>
      </x:c>
      <x:c r="X2652" t="n">
        <x:v>0</x:v>
      </x:c>
      <x:c r="Y2652" t="n">
        <x:v>0</x:v>
      </x:c>
      <x:c r="Z2652" t="n">
        <x:v>0</x:v>
      </x:c>
      <x:c r="AA2652" t="n">
        <x:v>0</x:v>
      </x:c>
      <x:c r="AB2652"/>
      <x:c r="AC2652" t="n">
        <x:v>0</x:v>
      </x:c>
      <x:c r="AD2652" t="n">
        <x:v>-0.8165743499994278</x:v>
      </x:c>
      <x:c r="AE2652" t="n">
        <x:v>0</x:v>
      </x:c>
      <x:c r="AF2652" t="n">
        <x:v>-0.032491326332092285</x:v>
      </x:c>
      <x:c r="AG2652" t="n">
        <x:f>_xlfn.XLOOKUP($A2652,Games!$A$2:$A$18,Games!$B$2:$B$18,"Missing game",0)</x:f>
        <x:v>2025</x:v>
      </x:c>
      <x:c r="AH2652" t="str">
        <x:f>_xlfn.XLOOKUP($A2652,Games!$A$2:$A$18,Games!$C$2:$C$18,"Missing game",0)</x:f>
        <x:v>REG</x:v>
      </x:c>
      <x:c r="AI2652" t="n">
        <x:f>_xlfn.XLOOKUP($A2652,Games!$A$2:$A$18,Games!$D$2:$D$18,"Missing game",0)</x:f>
        <x:v>18</x:v>
      </x:c>
      <x:c r="AJ2652" s="1" t="n">
        <x:f>_xlfn.XLOOKUP($A2652,Games!$A$2:$A$18,Games!$E$2:$E$18,"Missing game",0)</x:f>
        <x:v>46026</x:v>
      </x:c>
      <x:c r="AK2652" t="str">
        <x:f>_xlfn.XLOOKUP($A2652,Games!$A$2:$A$18,Games!$F$2:$F$18,"Missing game",0)</x:f>
        <x:v>Sunday</x:v>
      </x:c>
      <x:c r="AL2652" t="str">
        <x:f>_xlfn.XLOOKUP($A2652,Games!$A$2:$A$18,Games!$G$2:$G$18,"Missing game",0)</x:f>
        <x:v>GB</x:v>
      </x:c>
      <x:c r="AM2652" t="n">
        <x:f>_xlfn.XLOOKUP($A2652,Games!$A$2:$A$18,Games!$H$2:$H$18,"Missing game",0)</x:f>
        <x:v>3</x:v>
      </x:c>
      <x:c r="AN2652" t="str">
        <x:f>_xlfn.XLOOKUP($A2652,Games!$A$2:$A$18,Games!$I$2:$I$18,"Missing game",0)</x:f>
        <x:v>MIN</x:v>
      </x:c>
      <x:c r="AO2652" t="n">
        <x:f>_xlfn.XLOOKUP($A2652,Games!$A$2:$A$18,Games!$J$2:$J$18,"Missing game",0)</x:f>
        <x:v>16</x:v>
      </x:c>
      <x:c r="AP2652" t="n">
        <x:f>_xlfn.XLOOKUP($A2652,Games!$A$2:$A$18,Games!$K$2:$K$18,"Missing game",0)</x:f>
        <x:v>13</x:v>
      </x:c>
      <x:c r="AQ2652" t="n">
        <x:f>_xlfn.XLOOKUP($A2652,Games!$A$2:$A$18,Games!$L$2:$L$18,"Missing game",0)</x:f>
        <x:v>19</x:v>
      </x:c>
      <x:c r="AR2652" t="n">
        <x:f>_xlfn.XLOOKUP($A2652,Games!$A$2:$A$18,Games!$M$2:$M$18,"Missing game",0)</x:f>
        <x:v>0</x:v>
      </x:c>
      <x:c r="AS2652" t="str">
        <x:f>_xlfn.XLOOKUP($A2652,Games!$A$2:$A$18,Games!$N$2:$N$18,"Missing game",0)</x:f>
        <x:v>dome</x:v>
      </x:c>
      <x:c r="AT2652" t="str">
        <x:f>_xlfn.XLOOKUP($A2652,Games!$A$2:$A$18,Games!$O$2:$O$18,"Missing game",0)</x:f>
        <x:v>sportturf</x:v>
      </x:c>
      <x:c r="AU2652" t="str">
        <x:f>_xlfn.XLOOKUP($A2652,Games!$A$2:$A$18,Games!$P$2:$P$18,"Missing game",0)</x:f>
      </x:c>
      <x:c r="AV2652" t="str">
        <x:f>_xlfn.XLOOKUP($A2652,Games!$A$2:$A$18,Games!$Q$2:$Q$18,"Missing game",0)</x:f>
      </x:c>
      <x:c r="AW2652" t="str">
        <x:f>_xlfn.XLOOKUP($A2652,Games!$A$2:$A$18,Games!$R$2:$R$18,"Missing game",0)</x:f>
        <x:v>U.S. Bank Stadium</x:v>
      </x:c>
    </x:row>
    <x:row r="2653">
      <x:c r="A2653" t="str">
        <x:v>2025_18_GB_MIN</x:v>
      </x:c>
      <x:c r="B2653" t="n">
        <x:v>337</x:v>
      </x:c>
      <x:c r="C2653" t="n">
        <x:v>1</x:v>
      </x:c>
      <x:c r="D2653" t="str">
        <x:v>09:18</x:v>
      </x:c>
      <x:c r="E2653" t="n">
        <x:v>3</x:v>
      </x:c>
      <x:c r="F2653" t="n">
        <x:v>9</x:v>
      </x:c>
      <x:c r="G2653" t="str">
        <x:v>GB</x:v>
      </x:c>
      <x:c r="H2653" t="str">
        <x:v>MIN</x:v>
      </x:c>
      <x:c r="I2653" t="str">
        <x:v>GB</x:v>
      </x:c>
      <x:c r="J2653" t="n">
        <x:v>64</x:v>
      </x:c>
      <x:c r="K2653" t="str">
        <x:v>(9:18) (Shotgun) 6-C.Tune pass incomplete short right to 16-B.Melton (43-A.Van Ginkel).</x:v>
      </x:c>
      <x:c r="L2653" t="str">
        <x:v>pass</x:v>
      </x:c>
      <x:c r="M2653" t="n">
        <x:v>0</x:v>
      </x:c>
      <x:c r="N2653" t="n">
        <x:v>1</x:v>
      </x:c>
      <x:c r="O2653" t="n">
        <x:v>0</x:v>
      </x:c>
      <x:c r="P2653" t="str">
        <x:v>short</x:v>
      </x:c>
      <x:c r="Q2653" t="str">
        <x:v>right</x:v>
      </x:c>
      <x:c r="R2653" t="n">
        <x:v>-2</x:v>
      </x:c>
      <x:c r="S2653"/>
      <x:c r="T2653"/>
      <x:c r="U2653"/>
      <x:c r="V2653" t="n">
        <x:v>0</x:v>
      </x:c>
      <x:c r="W2653" t="n">
        <x:v>0</x:v>
      </x:c>
      <x:c r="X2653" t="n">
        <x:v>0</x:v>
      </x:c>
      <x:c r="Y2653" t="n">
        <x:v>0</x:v>
      </x:c>
      <x:c r="Z2653" t="n">
        <x:v>0</x:v>
      </x:c>
      <x:c r="AA2653" t="n">
        <x:v>0</x:v>
      </x:c>
      <x:c r="AB2653"/>
      <x:c r="AC2653" t="n">
        <x:v>0</x:v>
      </x:c>
      <x:c r="AD2653" t="n">
        <x:v>-1.4101541214622557</x:v>
      </x:c>
      <x:c r="AE2653" t="n">
        <x:v>0</x:v>
      </x:c>
      <x:c r="AF2653" t="n">
        <x:v>-0.012332558631896973</x:v>
      </x:c>
      <x:c r="AG2653" t="n">
        <x:f>_xlfn.XLOOKUP($A2653,Games!$A$2:$A$18,Games!$B$2:$B$18,"Missing game",0)</x:f>
        <x:v>2025</x:v>
      </x:c>
      <x:c r="AH2653" t="str">
        <x:f>_xlfn.XLOOKUP($A2653,Games!$A$2:$A$18,Games!$C$2:$C$18,"Missing game",0)</x:f>
        <x:v>REG</x:v>
      </x:c>
      <x:c r="AI2653" t="n">
        <x:f>_xlfn.XLOOKUP($A2653,Games!$A$2:$A$18,Games!$D$2:$D$18,"Missing game",0)</x:f>
        <x:v>18</x:v>
      </x:c>
      <x:c r="AJ2653" s="1" t="n">
        <x:f>_xlfn.XLOOKUP($A2653,Games!$A$2:$A$18,Games!$E$2:$E$18,"Missing game",0)</x:f>
        <x:v>46026</x:v>
      </x:c>
      <x:c r="AK2653" t="str">
        <x:f>_xlfn.XLOOKUP($A2653,Games!$A$2:$A$18,Games!$F$2:$F$18,"Missing game",0)</x:f>
        <x:v>Sunday</x:v>
      </x:c>
      <x:c r="AL2653" t="str">
        <x:f>_xlfn.XLOOKUP($A2653,Games!$A$2:$A$18,Games!$G$2:$G$18,"Missing game",0)</x:f>
        <x:v>GB</x:v>
      </x:c>
      <x:c r="AM2653" t="n">
        <x:f>_xlfn.XLOOKUP($A2653,Games!$A$2:$A$18,Games!$H$2:$H$18,"Missing game",0)</x:f>
        <x:v>3</x:v>
      </x:c>
      <x:c r="AN2653" t="str">
        <x:f>_xlfn.XLOOKUP($A2653,Games!$A$2:$A$18,Games!$I$2:$I$18,"Missing game",0)</x:f>
        <x:v>MIN</x:v>
      </x:c>
      <x:c r="AO2653" t="n">
        <x:f>_xlfn.XLOOKUP($A2653,Games!$A$2:$A$18,Games!$J$2:$J$18,"Missing game",0)</x:f>
        <x:v>16</x:v>
      </x:c>
      <x:c r="AP2653" t="n">
        <x:f>_xlfn.XLOOKUP($A2653,Games!$A$2:$A$18,Games!$K$2:$K$18,"Missing game",0)</x:f>
        <x:v>13</x:v>
      </x:c>
      <x:c r="AQ2653" t="n">
        <x:f>_xlfn.XLOOKUP($A2653,Games!$A$2:$A$18,Games!$L$2:$L$18,"Missing game",0)</x:f>
        <x:v>19</x:v>
      </x:c>
      <x:c r="AR2653" t="n">
        <x:f>_xlfn.XLOOKUP($A2653,Games!$A$2:$A$18,Games!$M$2:$M$18,"Missing game",0)</x:f>
        <x:v>0</x:v>
      </x:c>
      <x:c r="AS2653" t="str">
        <x:f>_xlfn.XLOOKUP($A2653,Games!$A$2:$A$18,Games!$N$2:$N$18,"Missing game",0)</x:f>
        <x:v>dome</x:v>
      </x:c>
      <x:c r="AT2653" t="str">
        <x:f>_xlfn.XLOOKUP($A2653,Games!$A$2:$A$18,Games!$O$2:$O$18,"Missing game",0)</x:f>
        <x:v>sportturf</x:v>
      </x:c>
      <x:c r="AU2653" t="str">
        <x:f>_xlfn.XLOOKUP($A2653,Games!$A$2:$A$18,Games!$P$2:$P$18,"Missing game",0)</x:f>
      </x:c>
      <x:c r="AV2653" t="str">
        <x:f>_xlfn.XLOOKUP($A2653,Games!$A$2:$A$18,Games!$Q$2:$Q$18,"Missing game",0)</x:f>
      </x:c>
      <x:c r="AW2653" t="str">
        <x:f>_xlfn.XLOOKUP($A2653,Games!$A$2:$A$18,Games!$R$2:$R$18,"Missing game",0)</x:f>
        <x:v>U.S. Bank Stadium</x:v>
      </x:c>
    </x:row>
    <x:row r="2654">
      <x:c r="A2654" t="str">
        <x:v>2025_18_GB_MIN</x:v>
      </x:c>
      <x:c r="B2654" t="n">
        <x:v>360</x:v>
      </x:c>
      <x:c r="C2654" t="n">
        <x:v>1</x:v>
      </x:c>
      <x:c r="D2654" t="str">
        <x:v>09:14</x:v>
      </x:c>
      <x:c r="E2654" t="n">
        <x:v>4</x:v>
      </x:c>
      <x:c r="F2654" t="n">
        <x:v>9</x:v>
      </x:c>
      <x:c r="G2654" t="str">
        <x:v>GB</x:v>
      </x:c>
      <x:c r="H2654" t="str">
        <x:v>MIN</x:v>
      </x:c>
      <x:c r="I2654" t="str">
        <x:v>GB</x:v>
      </x:c>
      <x:c r="J2654" t="n">
        <x:v>64</x:v>
      </x:c>
      <x:c r="K2654" t="str">
        <x:v>(9:14) 19-D.Whelan punts 62 yards to MIN 2, Center-42-M.Orzech, downed by GB-16-B.Melton.</x:v>
      </x:c>
      <x:c r="L2654" t="str">
        <x:v>punt</x:v>
      </x:c>
      <x:c r="M2654" t="n">
        <x:v>0</x:v>
      </x:c>
      <x:c r="N2654" t="n">
        <x:v>0</x:v>
      </x:c>
      <x:c r="O2654" t="n">
        <x:v>0</x:v>
      </x:c>
      <x:c r="P2654"/>
      <x:c r="Q2654"/>
      <x:c r="R2654"/>
      <x:c r="S2654"/>
      <x:c r="T2654"/>
      <x:c r="U2654"/>
      <x:c r="V2654" t="n">
        <x:v>0</x:v>
      </x:c>
      <x:c r="W2654" t="n">
        <x:v>0</x:v>
      </x:c>
      <x:c r="X2654" t="n">
        <x:v>0</x:v>
      </x:c>
      <x:c r="Y2654" t="n">
        <x:v>0</x:v>
      </x:c>
      <x:c r="Z2654" t="n">
        <x:v>0</x:v>
      </x:c>
      <x:c r="AA2654" t="n">
        <x:v>0</x:v>
      </x:c>
      <x:c r="AB2654"/>
      <x:c r="AC2654" t="n">
        <x:v>0</x:v>
      </x:c>
      <x:c r="AD2654" t="n">
        <x:v>0.8442393962759525</x:v>
      </x:c>
      <x:c r="AE2654" t="n">
        <x:v>1</x:v>
      </x:c>
      <x:c r="AF2654" t="n">
        <x:v>0.004737585783004761</x:v>
      </x:c>
      <x:c r="AG2654" t="n">
        <x:f>_xlfn.XLOOKUP($A2654,Games!$A$2:$A$18,Games!$B$2:$B$18,"Missing game",0)</x:f>
        <x:v>2025</x:v>
      </x:c>
      <x:c r="AH2654" t="str">
        <x:f>_xlfn.XLOOKUP($A2654,Games!$A$2:$A$18,Games!$C$2:$C$18,"Missing game",0)</x:f>
        <x:v>REG</x:v>
      </x:c>
      <x:c r="AI2654" t="n">
        <x:f>_xlfn.XLOOKUP($A2654,Games!$A$2:$A$18,Games!$D$2:$D$18,"Missing game",0)</x:f>
        <x:v>18</x:v>
      </x:c>
      <x:c r="AJ2654" s="1" t="n">
        <x:f>_xlfn.XLOOKUP($A2654,Games!$A$2:$A$18,Games!$E$2:$E$18,"Missing game",0)</x:f>
        <x:v>46026</x:v>
      </x:c>
      <x:c r="AK2654" t="str">
        <x:f>_xlfn.XLOOKUP($A2654,Games!$A$2:$A$18,Games!$F$2:$F$18,"Missing game",0)</x:f>
        <x:v>Sunday</x:v>
      </x:c>
      <x:c r="AL2654" t="str">
        <x:f>_xlfn.XLOOKUP($A2654,Games!$A$2:$A$18,Games!$G$2:$G$18,"Missing game",0)</x:f>
        <x:v>GB</x:v>
      </x:c>
      <x:c r="AM2654" t="n">
        <x:f>_xlfn.XLOOKUP($A2654,Games!$A$2:$A$18,Games!$H$2:$H$18,"Missing game",0)</x:f>
        <x:v>3</x:v>
      </x:c>
      <x:c r="AN2654" t="str">
        <x:f>_xlfn.XLOOKUP($A2654,Games!$A$2:$A$18,Games!$I$2:$I$18,"Missing game",0)</x:f>
        <x:v>MIN</x:v>
      </x:c>
      <x:c r="AO2654" t="n">
        <x:f>_xlfn.XLOOKUP($A2654,Games!$A$2:$A$18,Games!$J$2:$J$18,"Missing game",0)</x:f>
        <x:v>16</x:v>
      </x:c>
      <x:c r="AP2654" t="n">
        <x:f>_xlfn.XLOOKUP($A2654,Games!$A$2:$A$18,Games!$K$2:$K$18,"Missing game",0)</x:f>
        <x:v>13</x:v>
      </x:c>
      <x:c r="AQ2654" t="n">
        <x:f>_xlfn.XLOOKUP($A2654,Games!$A$2:$A$18,Games!$L$2:$L$18,"Missing game",0)</x:f>
        <x:v>19</x:v>
      </x:c>
      <x:c r="AR2654" t="n">
        <x:f>_xlfn.XLOOKUP($A2654,Games!$A$2:$A$18,Games!$M$2:$M$18,"Missing game",0)</x:f>
        <x:v>0</x:v>
      </x:c>
      <x:c r="AS2654" t="str">
        <x:f>_xlfn.XLOOKUP($A2654,Games!$A$2:$A$18,Games!$N$2:$N$18,"Missing game",0)</x:f>
        <x:v>dome</x:v>
      </x:c>
      <x:c r="AT2654" t="str">
        <x:f>_xlfn.XLOOKUP($A2654,Games!$A$2:$A$18,Games!$O$2:$O$18,"Missing game",0)</x:f>
        <x:v>sportturf</x:v>
      </x:c>
      <x:c r="AU2654" t="str">
        <x:f>_xlfn.XLOOKUP($A2654,Games!$A$2:$A$18,Games!$P$2:$P$18,"Missing game",0)</x:f>
      </x:c>
      <x:c r="AV2654" t="str">
        <x:f>_xlfn.XLOOKUP($A2654,Games!$A$2:$A$18,Games!$Q$2:$Q$18,"Missing game",0)</x:f>
      </x:c>
      <x:c r="AW2654" t="str">
        <x:f>_xlfn.XLOOKUP($A2654,Games!$A$2:$A$18,Games!$R$2:$R$18,"Missing game",0)</x:f>
        <x:v>U.S. Bank Stadium</x:v>
      </x:c>
    </x:row>
    <x:row r="2655">
      <x:c r="A2655" t="str">
        <x:v>2025_18_GB_MIN</x:v>
      </x:c>
      <x:c r="B2655" t="n">
        <x:v>380</x:v>
      </x:c>
      <x:c r="C2655" t="n">
        <x:v>1</x:v>
      </x:c>
      <x:c r="D2655" t="str">
        <x:v>09:02</x:v>
      </x:c>
      <x:c r="E2655" t="n">
        <x:v>1</x:v>
      </x:c>
      <x:c r="F2655" t="n">
        <x:v>10</x:v>
      </x:c>
      <x:c r="G2655" t="str">
        <x:v>MIN</x:v>
      </x:c>
      <x:c r="H2655" t="str">
        <x:v>GB</x:v>
      </x:c>
      <x:c r="I2655" t="str">
        <x:v>MIN</x:v>
      </x:c>
      <x:c r="J2655" t="n">
        <x:v>98</x:v>
      </x:c>
      <x:c r="K2655" t="str">
        <x:v>(9:02) 27-J.Mason up the middle to MIN 13 for 11 yards (27-K.Oladapo; 37-J.Baldwin). Penalty on GB-57-B.Cox, Defensive Offside, declined.</x:v>
      </x:c>
      <x:c r="L2655" t="str">
        <x:v>run</x:v>
      </x:c>
      <x:c r="M2655" t="n">
        <x:v>11</x:v>
      </x:c>
      <x:c r="N2655" t="n">
        <x:v>0</x:v>
      </x:c>
      <x:c r="O2655" t="n">
        <x:v>0</x:v>
      </x:c>
      <x:c r="P2655"/>
      <x:c r="Q2655"/>
      <x:c r="R2655"/>
      <x:c r="S2655"/>
      <x:c r="T2655" t="str">
        <x:v>middle</x:v>
      </x:c>
      <x:c r="U2655"/>
      <x:c r="V2655" t="n">
        <x:v>0</x:v>
      </x:c>
      <x:c r="W2655" t="n">
        <x:v>1</x:v>
      </x:c>
      <x:c r="X2655" t="n">
        <x:v>0</x:v>
      </x:c>
      <x:c r="Y2655" t="n">
        <x:v>0</x:v>
      </x:c>
      <x:c r="Z2655" t="n">
        <x:v>0</x:v>
      </x:c>
      <x:c r="AA2655" t="n">
        <x:v>0</x:v>
      </x:c>
      <x:c r="AB2655"/>
      <x:c r="AC2655" t="n">
        <x:v>0</x:v>
      </x:c>
      <x:c r="AD2655" t="n">
        <x:v>0.5843756592366844</x:v>
      </x:c>
      <x:c r="AE2655" t="n">
        <x:v>1</x:v>
      </x:c>
      <x:c r="AF2655" t="n">
        <x:v>0.013872146606445312</x:v>
      </x:c>
      <x:c r="AG2655" t="n">
        <x:f>_xlfn.XLOOKUP($A2655,Games!$A$2:$A$18,Games!$B$2:$B$18,"Missing game",0)</x:f>
        <x:v>2025</x:v>
      </x:c>
      <x:c r="AH2655" t="str">
        <x:f>_xlfn.XLOOKUP($A2655,Games!$A$2:$A$18,Games!$C$2:$C$18,"Missing game",0)</x:f>
        <x:v>REG</x:v>
      </x:c>
      <x:c r="AI2655" t="n">
        <x:f>_xlfn.XLOOKUP($A2655,Games!$A$2:$A$18,Games!$D$2:$D$18,"Missing game",0)</x:f>
        <x:v>18</x:v>
      </x:c>
      <x:c r="AJ2655" s="1" t="n">
        <x:f>_xlfn.XLOOKUP($A2655,Games!$A$2:$A$18,Games!$E$2:$E$18,"Missing game",0)</x:f>
        <x:v>46026</x:v>
      </x:c>
      <x:c r="AK2655" t="str">
        <x:f>_xlfn.XLOOKUP($A2655,Games!$A$2:$A$18,Games!$F$2:$F$18,"Missing game",0)</x:f>
        <x:v>Sunday</x:v>
      </x:c>
      <x:c r="AL2655" t="str">
        <x:f>_xlfn.XLOOKUP($A2655,Games!$A$2:$A$18,Games!$G$2:$G$18,"Missing game",0)</x:f>
        <x:v>GB</x:v>
      </x:c>
      <x:c r="AM2655" t="n">
        <x:f>_xlfn.XLOOKUP($A2655,Games!$A$2:$A$18,Games!$H$2:$H$18,"Missing game",0)</x:f>
        <x:v>3</x:v>
      </x:c>
      <x:c r="AN2655" t="str">
        <x:f>_xlfn.XLOOKUP($A2655,Games!$A$2:$A$18,Games!$I$2:$I$18,"Missing game",0)</x:f>
        <x:v>MIN</x:v>
      </x:c>
      <x:c r="AO2655" t="n">
        <x:f>_xlfn.XLOOKUP($A2655,Games!$A$2:$A$18,Games!$J$2:$J$18,"Missing game",0)</x:f>
        <x:v>16</x:v>
      </x:c>
      <x:c r="AP2655" t="n">
        <x:f>_xlfn.XLOOKUP($A2655,Games!$A$2:$A$18,Games!$K$2:$K$18,"Missing game",0)</x:f>
        <x:v>13</x:v>
      </x:c>
      <x:c r="AQ2655" t="n">
        <x:f>_xlfn.XLOOKUP($A2655,Games!$A$2:$A$18,Games!$L$2:$L$18,"Missing game",0)</x:f>
        <x:v>19</x:v>
      </x:c>
      <x:c r="AR2655" t="n">
        <x:f>_xlfn.XLOOKUP($A2655,Games!$A$2:$A$18,Games!$M$2:$M$18,"Missing game",0)</x:f>
        <x:v>0</x:v>
      </x:c>
      <x:c r="AS2655" t="str">
        <x:f>_xlfn.XLOOKUP($A2655,Games!$A$2:$A$18,Games!$N$2:$N$18,"Missing game",0)</x:f>
        <x:v>dome</x:v>
      </x:c>
      <x:c r="AT2655" t="str">
        <x:f>_xlfn.XLOOKUP($A2655,Games!$A$2:$A$18,Games!$O$2:$O$18,"Missing game",0)</x:f>
        <x:v>sportturf</x:v>
      </x:c>
      <x:c r="AU2655" t="str">
        <x:f>_xlfn.XLOOKUP($A2655,Games!$A$2:$A$18,Games!$P$2:$P$18,"Missing game",0)</x:f>
      </x:c>
      <x:c r="AV2655" t="str">
        <x:f>_xlfn.XLOOKUP($A2655,Games!$A$2:$A$18,Games!$Q$2:$Q$18,"Missing game",0)</x:f>
      </x:c>
      <x:c r="AW2655" t="str">
        <x:f>_xlfn.XLOOKUP($A2655,Games!$A$2:$A$18,Games!$R$2:$R$18,"Missing game",0)</x:f>
        <x:v>U.S. Bank Stadium</x:v>
      </x:c>
    </x:row>
    <x:row r="2656">
      <x:c r="A2656" t="str">
        <x:v>2025_18_GB_MIN</x:v>
      </x:c>
      <x:c r="B2656" t="n">
        <x:v>420</x:v>
      </x:c>
      <x:c r="C2656" t="n">
        <x:v>1</x:v>
      </x:c>
      <x:c r="D2656" t="str">
        <x:v>08:34</x:v>
      </x:c>
      <x:c r="E2656" t="n">
        <x:v>1</x:v>
      </x:c>
      <x:c r="F2656" t="n">
        <x:v>10</x:v>
      </x:c>
      <x:c r="G2656" t="str">
        <x:v>MIN</x:v>
      </x:c>
      <x:c r="H2656" t="str">
        <x:v>GB</x:v>
      </x:c>
      <x:c r="I2656" t="str">
        <x:v>MIN</x:v>
      </x:c>
      <x:c r="J2656" t="n">
        <x:v>87</x:v>
      </x:c>
      <x:c r="K2656" t="str">
        <x:v>(8:34) 27-J.Mason up the middle to MIN 14 for 1 yard (58-I.McDuffie; 37-J.Baldwin).</x:v>
      </x:c>
      <x:c r="L2656" t="str">
        <x:v>run</x:v>
      </x:c>
      <x:c r="M2656" t="n">
        <x:v>1</x:v>
      </x:c>
      <x:c r="N2656" t="n">
        <x:v>0</x:v>
      </x:c>
      <x:c r="O2656" t="n">
        <x:v>0</x:v>
      </x:c>
      <x:c r="P2656"/>
      <x:c r="Q2656"/>
      <x:c r="R2656"/>
      <x:c r="S2656"/>
      <x:c r="T2656" t="str">
        <x:v>middle</x:v>
      </x:c>
      <x:c r="U2656"/>
      <x:c r="V2656" t="n">
        <x:v>0</x:v>
      </x:c>
      <x:c r="W2656" t="n">
        <x:v>0</x:v>
      </x:c>
      <x:c r="X2656" t="n">
        <x:v>0</x:v>
      </x:c>
      <x:c r="Y2656" t="n">
        <x:v>0</x:v>
      </x:c>
      <x:c r="Z2656" t="n">
        <x:v>0</x:v>
      </x:c>
      <x:c r="AA2656" t="n">
        <x:v>0</x:v>
      </x:c>
      <x:c r="AB2656"/>
      <x:c r="AC2656" t="n">
        <x:v>0</x:v>
      </x:c>
      <x:c r="AD2656" t="n">
        <x:v>-0.5971816452220082</x:v>
      </x:c>
      <x:c r="AE2656" t="n">
        <x:v>0</x:v>
      </x:c>
      <x:c r="AF2656" t="n">
        <x:v>-0.012318253517150879</x:v>
      </x:c>
      <x:c r="AG2656" t="n">
        <x:f>_xlfn.XLOOKUP($A2656,Games!$A$2:$A$18,Games!$B$2:$B$18,"Missing game",0)</x:f>
        <x:v>2025</x:v>
      </x:c>
      <x:c r="AH2656" t="str">
        <x:f>_xlfn.XLOOKUP($A2656,Games!$A$2:$A$18,Games!$C$2:$C$18,"Missing game",0)</x:f>
        <x:v>REG</x:v>
      </x:c>
      <x:c r="AI2656" t="n">
        <x:f>_xlfn.XLOOKUP($A2656,Games!$A$2:$A$18,Games!$D$2:$D$18,"Missing game",0)</x:f>
        <x:v>18</x:v>
      </x:c>
      <x:c r="AJ2656" s="1" t="n">
        <x:f>_xlfn.XLOOKUP($A2656,Games!$A$2:$A$18,Games!$E$2:$E$18,"Missing game",0)</x:f>
        <x:v>46026</x:v>
      </x:c>
      <x:c r="AK2656" t="str">
        <x:f>_xlfn.XLOOKUP($A2656,Games!$A$2:$A$18,Games!$F$2:$F$18,"Missing game",0)</x:f>
        <x:v>Sunday</x:v>
      </x:c>
      <x:c r="AL2656" t="str">
        <x:f>_xlfn.XLOOKUP($A2656,Games!$A$2:$A$18,Games!$G$2:$G$18,"Missing game",0)</x:f>
        <x:v>GB</x:v>
      </x:c>
      <x:c r="AM2656" t="n">
        <x:f>_xlfn.XLOOKUP($A2656,Games!$A$2:$A$18,Games!$H$2:$H$18,"Missing game",0)</x:f>
        <x:v>3</x:v>
      </x:c>
      <x:c r="AN2656" t="str">
        <x:f>_xlfn.XLOOKUP($A2656,Games!$A$2:$A$18,Games!$I$2:$I$18,"Missing game",0)</x:f>
        <x:v>MIN</x:v>
      </x:c>
      <x:c r="AO2656" t="n">
        <x:f>_xlfn.XLOOKUP($A2656,Games!$A$2:$A$18,Games!$J$2:$J$18,"Missing game",0)</x:f>
        <x:v>16</x:v>
      </x:c>
      <x:c r="AP2656" t="n">
        <x:f>_xlfn.XLOOKUP($A2656,Games!$A$2:$A$18,Games!$K$2:$K$18,"Missing game",0)</x:f>
        <x:v>13</x:v>
      </x:c>
      <x:c r="AQ2656" t="n">
        <x:f>_xlfn.XLOOKUP($A2656,Games!$A$2:$A$18,Games!$L$2:$L$18,"Missing game",0)</x:f>
        <x:v>19</x:v>
      </x:c>
      <x:c r="AR2656" t="n">
        <x:f>_xlfn.XLOOKUP($A2656,Games!$A$2:$A$18,Games!$M$2:$M$18,"Missing game",0)</x:f>
        <x:v>0</x:v>
      </x:c>
      <x:c r="AS2656" t="str">
        <x:f>_xlfn.XLOOKUP($A2656,Games!$A$2:$A$18,Games!$N$2:$N$18,"Missing game",0)</x:f>
        <x:v>dome</x:v>
      </x:c>
      <x:c r="AT2656" t="str">
        <x:f>_xlfn.XLOOKUP($A2656,Games!$A$2:$A$18,Games!$O$2:$O$18,"Missing game",0)</x:f>
        <x:v>sportturf</x:v>
      </x:c>
      <x:c r="AU2656" t="str">
        <x:f>_xlfn.XLOOKUP($A2656,Games!$A$2:$A$18,Games!$P$2:$P$18,"Missing game",0)</x:f>
      </x:c>
      <x:c r="AV2656" t="str">
        <x:f>_xlfn.XLOOKUP($A2656,Games!$A$2:$A$18,Games!$Q$2:$Q$18,"Missing game",0)</x:f>
      </x:c>
      <x:c r="AW2656" t="str">
        <x:f>_xlfn.XLOOKUP($A2656,Games!$A$2:$A$18,Games!$R$2:$R$18,"Missing game",0)</x:f>
        <x:v>U.S. Bank Stadium</x:v>
      </x:c>
    </x:row>
    <x:row r="2657">
      <x:c r="A2657" t="str">
        <x:v>2025_18_GB_MIN</x:v>
      </x:c>
      <x:c r="B2657" t="n">
        <x:v>442</x:v>
      </x:c>
      <x:c r="C2657" t="n">
        <x:v>1</x:v>
      </x:c>
      <x:c r="D2657" t="str">
        <x:v>08:01</x:v>
      </x:c>
      <x:c r="E2657" t="n">
        <x:v>2</x:v>
      </x:c>
      <x:c r="F2657" t="n">
        <x:v>9</x:v>
      </x:c>
      <x:c r="G2657" t="str">
        <x:v>MIN</x:v>
      </x:c>
      <x:c r="H2657" t="str">
        <x:v>GB</x:v>
      </x:c>
      <x:c r="I2657" t="str">
        <x:v>MIN</x:v>
      </x:c>
      <x:c r="J2657" t="n">
        <x:v>86</x:v>
      </x:c>
      <x:c r="K2657" t="str">
        <x:v>(8:01) (Shotgun) 9-J.McCarthy pass short right to 3-J.Addison ran ob at MIN 22 for 8 yards [57-B.Cox].</x:v>
      </x:c>
      <x:c r="L2657" t="str">
        <x:v>pass</x:v>
      </x:c>
      <x:c r="M2657" t="n">
        <x:v>8</x:v>
      </x:c>
      <x:c r="N2657" t="n">
        <x:v>1</x:v>
      </x:c>
      <x:c r="O2657" t="n">
        <x:v>0</x:v>
      </x:c>
      <x:c r="P2657" t="str">
        <x:v>short</x:v>
      </x:c>
      <x:c r="Q2657" t="str">
        <x:v>right</x:v>
      </x:c>
      <x:c r="R2657" t="n">
        <x:v>8</x:v>
      </x:c>
      <x:c r="S2657" t="n">
        <x:v>0</x:v>
      </x:c>
      <x:c r="T2657"/>
      <x:c r="U2657"/>
      <x:c r="V2657" t="n">
        <x:v>1</x:v>
      </x:c>
      <x:c r="W2657" t="n">
        <x:v>0</x:v>
      </x:c>
      <x:c r="X2657" t="n">
        <x:v>0</x:v>
      </x:c>
      <x:c r="Y2657" t="n">
        <x:v>0</x:v>
      </x:c>
      <x:c r="Z2657" t="n">
        <x:v>0</x:v>
      </x:c>
      <x:c r="AA2657" t="n">
        <x:v>0</x:v>
      </x:c>
      <x:c r="AB2657"/>
      <x:c r="AC2657" t="n">
        <x:v>0</x:v>
      </x:c>
      <x:c r="AD2657" t="n">
        <x:v>0.6487978231161833</x:v>
      </x:c>
      <x:c r="AE2657" t="n">
        <x:v>1</x:v>
      </x:c>
      <x:c r="AF2657" t="n">
        <x:v>0.008431851863861084</x:v>
      </x:c>
      <x:c r="AG2657" t="n">
        <x:f>_xlfn.XLOOKUP($A2657,Games!$A$2:$A$18,Games!$B$2:$B$18,"Missing game",0)</x:f>
        <x:v>2025</x:v>
      </x:c>
      <x:c r="AH2657" t="str">
        <x:f>_xlfn.XLOOKUP($A2657,Games!$A$2:$A$18,Games!$C$2:$C$18,"Missing game",0)</x:f>
        <x:v>REG</x:v>
      </x:c>
      <x:c r="AI2657" t="n">
        <x:f>_xlfn.XLOOKUP($A2657,Games!$A$2:$A$18,Games!$D$2:$D$18,"Missing game",0)</x:f>
        <x:v>18</x:v>
      </x:c>
      <x:c r="AJ2657" s="1" t="n">
        <x:f>_xlfn.XLOOKUP($A2657,Games!$A$2:$A$18,Games!$E$2:$E$18,"Missing game",0)</x:f>
        <x:v>46026</x:v>
      </x:c>
      <x:c r="AK2657" t="str">
        <x:f>_xlfn.XLOOKUP($A2657,Games!$A$2:$A$18,Games!$F$2:$F$18,"Missing game",0)</x:f>
        <x:v>Sunday</x:v>
      </x:c>
      <x:c r="AL2657" t="str">
        <x:f>_xlfn.XLOOKUP($A2657,Games!$A$2:$A$18,Games!$G$2:$G$18,"Missing game",0)</x:f>
        <x:v>GB</x:v>
      </x:c>
      <x:c r="AM2657" t="n">
        <x:f>_xlfn.XLOOKUP($A2657,Games!$A$2:$A$18,Games!$H$2:$H$18,"Missing game",0)</x:f>
        <x:v>3</x:v>
      </x:c>
      <x:c r="AN2657" t="str">
        <x:f>_xlfn.XLOOKUP($A2657,Games!$A$2:$A$18,Games!$I$2:$I$18,"Missing game",0)</x:f>
        <x:v>MIN</x:v>
      </x:c>
      <x:c r="AO2657" t="n">
        <x:f>_xlfn.XLOOKUP($A2657,Games!$A$2:$A$18,Games!$J$2:$J$18,"Missing game",0)</x:f>
        <x:v>16</x:v>
      </x:c>
      <x:c r="AP2657" t="n">
        <x:f>_xlfn.XLOOKUP($A2657,Games!$A$2:$A$18,Games!$K$2:$K$18,"Missing game",0)</x:f>
        <x:v>13</x:v>
      </x:c>
      <x:c r="AQ2657" t="n">
        <x:f>_xlfn.XLOOKUP($A2657,Games!$A$2:$A$18,Games!$L$2:$L$18,"Missing game",0)</x:f>
        <x:v>19</x:v>
      </x:c>
      <x:c r="AR2657" t="n">
        <x:f>_xlfn.XLOOKUP($A2657,Games!$A$2:$A$18,Games!$M$2:$M$18,"Missing game",0)</x:f>
        <x:v>0</x:v>
      </x:c>
      <x:c r="AS2657" t="str">
        <x:f>_xlfn.XLOOKUP($A2657,Games!$A$2:$A$18,Games!$N$2:$N$18,"Missing game",0)</x:f>
        <x:v>dome</x:v>
      </x:c>
      <x:c r="AT2657" t="str">
        <x:f>_xlfn.XLOOKUP($A2657,Games!$A$2:$A$18,Games!$O$2:$O$18,"Missing game",0)</x:f>
        <x:v>sportturf</x:v>
      </x:c>
      <x:c r="AU2657" t="str">
        <x:f>_xlfn.XLOOKUP($A2657,Games!$A$2:$A$18,Games!$P$2:$P$18,"Missing game",0)</x:f>
      </x:c>
      <x:c r="AV2657" t="str">
        <x:f>_xlfn.XLOOKUP($A2657,Games!$A$2:$A$18,Games!$Q$2:$Q$18,"Missing game",0)</x:f>
      </x:c>
      <x:c r="AW2657" t="str">
        <x:f>_xlfn.XLOOKUP($A2657,Games!$A$2:$A$18,Games!$R$2:$R$18,"Missing game",0)</x:f>
        <x:v>U.S. Bank Stadium</x:v>
      </x:c>
    </x:row>
    <x:row r="2658">
      <x:c r="A2658" t="str">
        <x:v>2025_18_GB_MIN</x:v>
      </x:c>
      <x:c r="B2658" t="n">
        <x:v>472</x:v>
      </x:c>
      <x:c r="C2658" t="n">
        <x:v>1</x:v>
      </x:c>
      <x:c r="D2658" t="str">
        <x:v>07:25</x:v>
      </x:c>
      <x:c r="E2658" t="n">
        <x:v>3</x:v>
      </x:c>
      <x:c r="F2658" t="n">
        <x:v>1</x:v>
      </x:c>
      <x:c r="G2658" t="str">
        <x:v>MIN</x:v>
      </x:c>
      <x:c r="H2658" t="str">
        <x:v>GB</x:v>
      </x:c>
      <x:c r="I2658" t="str">
        <x:v>MIN</x:v>
      </x:c>
      <x:c r="J2658" t="n">
        <x:v>78</x:v>
      </x:c>
      <x:c r="K2658" t="str">
        <x:v>(7:25) (Shotgun) 27-J.Mason right guard to MIN 22 for no gain (48-J.Johnson).</x:v>
      </x:c>
      <x:c r="L2658" t="str">
        <x:v>run</x:v>
      </x:c>
      <x:c r="M2658" t="n">
        <x:v>0</x:v>
      </x:c>
      <x:c r="N2658" t="n">
        <x:v>1</x:v>
      </x:c>
      <x:c r="O2658" t="n">
        <x:v>0</x:v>
      </x:c>
      <x:c r="P2658"/>
      <x:c r="Q2658"/>
      <x:c r="R2658"/>
      <x:c r="S2658"/>
      <x:c r="T2658" t="str">
        <x:v>right</x:v>
      </x:c>
      <x:c r="U2658" t="str">
        <x:v>guard</x:v>
      </x:c>
      <x:c r="V2658" t="n">
        <x:v>0</x:v>
      </x:c>
      <x:c r="W2658" t="n">
        <x:v>0</x:v>
      </x:c>
      <x:c r="X2658" t="n">
        <x:v>0</x:v>
      </x:c>
      <x:c r="Y2658" t="n">
        <x:v>0</x:v>
      </x:c>
      <x:c r="Z2658" t="n">
        <x:v>0</x:v>
      </x:c>
      <x:c r="AA2658" t="n">
        <x:v>0</x:v>
      </x:c>
      <x:c r="AB2658"/>
      <x:c r="AC2658" t="n">
        <x:v>0</x:v>
      </x:c>
      <x:c r="AD2658" t="n">
        <x:v>-1.866639353800565</x:v>
      </x:c>
      <x:c r="AE2658" t="n">
        <x:v>0</x:v>
      </x:c>
      <x:c r="AF2658" t="n">
        <x:v>-0.05062448978424072</x:v>
      </x:c>
      <x:c r="AG2658" t="n">
        <x:f>_xlfn.XLOOKUP($A2658,Games!$A$2:$A$18,Games!$B$2:$B$18,"Missing game",0)</x:f>
        <x:v>2025</x:v>
      </x:c>
      <x:c r="AH2658" t="str">
        <x:f>_xlfn.XLOOKUP($A2658,Games!$A$2:$A$18,Games!$C$2:$C$18,"Missing game",0)</x:f>
        <x:v>REG</x:v>
      </x:c>
      <x:c r="AI2658" t="n">
        <x:f>_xlfn.XLOOKUP($A2658,Games!$A$2:$A$18,Games!$D$2:$D$18,"Missing game",0)</x:f>
        <x:v>18</x:v>
      </x:c>
      <x:c r="AJ2658" s="1" t="n">
        <x:f>_xlfn.XLOOKUP($A2658,Games!$A$2:$A$18,Games!$E$2:$E$18,"Missing game",0)</x:f>
        <x:v>46026</x:v>
      </x:c>
      <x:c r="AK2658" t="str">
        <x:f>_xlfn.XLOOKUP($A2658,Games!$A$2:$A$18,Games!$F$2:$F$18,"Missing game",0)</x:f>
        <x:v>Sunday</x:v>
      </x:c>
      <x:c r="AL2658" t="str">
        <x:f>_xlfn.XLOOKUP($A2658,Games!$A$2:$A$18,Games!$G$2:$G$18,"Missing game",0)</x:f>
        <x:v>GB</x:v>
      </x:c>
      <x:c r="AM2658" t="n">
        <x:f>_xlfn.XLOOKUP($A2658,Games!$A$2:$A$18,Games!$H$2:$H$18,"Missing game",0)</x:f>
        <x:v>3</x:v>
      </x:c>
      <x:c r="AN2658" t="str">
        <x:f>_xlfn.XLOOKUP($A2658,Games!$A$2:$A$18,Games!$I$2:$I$18,"Missing game",0)</x:f>
        <x:v>MIN</x:v>
      </x:c>
      <x:c r="AO2658" t="n">
        <x:f>_xlfn.XLOOKUP($A2658,Games!$A$2:$A$18,Games!$J$2:$J$18,"Missing game",0)</x:f>
        <x:v>16</x:v>
      </x:c>
      <x:c r="AP2658" t="n">
        <x:f>_xlfn.XLOOKUP($A2658,Games!$A$2:$A$18,Games!$K$2:$K$18,"Missing game",0)</x:f>
        <x:v>13</x:v>
      </x:c>
      <x:c r="AQ2658" t="n">
        <x:f>_xlfn.XLOOKUP($A2658,Games!$A$2:$A$18,Games!$L$2:$L$18,"Missing game",0)</x:f>
        <x:v>19</x:v>
      </x:c>
      <x:c r="AR2658" t="n">
        <x:f>_xlfn.XLOOKUP($A2658,Games!$A$2:$A$18,Games!$M$2:$M$18,"Missing game",0)</x:f>
        <x:v>0</x:v>
      </x:c>
      <x:c r="AS2658" t="str">
        <x:f>_xlfn.XLOOKUP($A2658,Games!$A$2:$A$18,Games!$N$2:$N$18,"Missing game",0)</x:f>
        <x:v>dome</x:v>
      </x:c>
      <x:c r="AT2658" t="str">
        <x:f>_xlfn.XLOOKUP($A2658,Games!$A$2:$A$18,Games!$O$2:$O$18,"Missing game",0)</x:f>
        <x:v>sportturf</x:v>
      </x:c>
      <x:c r="AU2658" t="str">
        <x:f>_xlfn.XLOOKUP($A2658,Games!$A$2:$A$18,Games!$P$2:$P$18,"Missing game",0)</x:f>
      </x:c>
      <x:c r="AV2658" t="str">
        <x:f>_xlfn.XLOOKUP($A2658,Games!$A$2:$A$18,Games!$Q$2:$Q$18,"Missing game",0)</x:f>
      </x:c>
      <x:c r="AW2658" t="str">
        <x:f>_xlfn.XLOOKUP($A2658,Games!$A$2:$A$18,Games!$R$2:$R$18,"Missing game",0)</x:f>
        <x:v>U.S. Bank Stadium</x:v>
      </x:c>
    </x:row>
    <x:row r="2659">
      <x:c r="A2659" t="str">
        <x:v>2025_18_GB_MIN</x:v>
      </x:c>
      <x:c r="B2659" t="n">
        <x:v>494</x:v>
      </x:c>
      <x:c r="C2659" t="n">
        <x:v>1</x:v>
      </x:c>
      <x:c r="D2659" t="str">
        <x:v>06:36</x:v>
      </x:c>
      <x:c r="E2659" t="n">
        <x:v>4</x:v>
      </x:c>
      <x:c r="F2659" t="n">
        <x:v>1</x:v>
      </x:c>
      <x:c r="G2659" t="str">
        <x:v>MIN</x:v>
      </x:c>
      <x:c r="H2659" t="str">
        <x:v>GB</x:v>
      </x:c>
      <x:c r="I2659" t="str">
        <x:v>MIN</x:v>
      </x:c>
      <x:c r="J2659" t="n">
        <x:v>78</x:v>
      </x:c>
      <x:c r="K2659" t="str">
        <x:v>(6:36) 17-R.Wright punts 48 yards to GB 30, Center-42-A.DePaola, downed by MIN-26-T.Jackson.</x:v>
      </x:c>
      <x:c r="L2659" t="str">
        <x:v>punt</x:v>
      </x:c>
      <x:c r="M2659" t="n">
        <x:v>0</x:v>
      </x:c>
      <x:c r="N2659" t="n">
        <x:v>0</x:v>
      </x:c>
      <x:c r="O2659" t="n">
        <x:v>0</x:v>
      </x:c>
      <x:c r="P2659"/>
      <x:c r="Q2659"/>
      <x:c r="R2659"/>
      <x:c r="S2659"/>
      <x:c r="T2659"/>
      <x:c r="U2659"/>
      <x:c r="V2659" t="n">
        <x:v>0</x:v>
      </x:c>
      <x:c r="W2659" t="n">
        <x:v>0</x:v>
      </x:c>
      <x:c r="X2659" t="n">
        <x:v>0</x:v>
      </x:c>
      <x:c r="Y2659" t="n">
        <x:v>0</x:v>
      </x:c>
      <x:c r="Z2659" t="n">
        <x:v>0</x:v>
      </x:c>
      <x:c r="AA2659" t="n">
        <x:v>0</x:v>
      </x:c>
      <x:c r="AB2659"/>
      <x:c r="AC2659" t="n">
        <x:v>0</x:v>
      </x:c>
      <x:c r="AD2659" t="n">
        <x:v>-0.36963205225765705</x:v>
      </x:c>
      <x:c r="AE2659" t="n">
        <x:v>0</x:v>
      </x:c>
      <x:c r="AF2659" t="n">
        <x:v>0.0040909647941589355</x:v>
      </x:c>
      <x:c r="AG2659" t="n">
        <x:f>_xlfn.XLOOKUP($A2659,Games!$A$2:$A$18,Games!$B$2:$B$18,"Missing game",0)</x:f>
        <x:v>2025</x:v>
      </x:c>
      <x:c r="AH2659" t="str">
        <x:f>_xlfn.XLOOKUP($A2659,Games!$A$2:$A$18,Games!$C$2:$C$18,"Missing game",0)</x:f>
        <x:v>REG</x:v>
      </x:c>
      <x:c r="AI2659" t="n">
        <x:f>_xlfn.XLOOKUP($A2659,Games!$A$2:$A$18,Games!$D$2:$D$18,"Missing game",0)</x:f>
        <x:v>18</x:v>
      </x:c>
      <x:c r="AJ2659" s="1" t="n">
        <x:f>_xlfn.XLOOKUP($A2659,Games!$A$2:$A$18,Games!$E$2:$E$18,"Missing game",0)</x:f>
        <x:v>46026</x:v>
      </x:c>
      <x:c r="AK2659" t="str">
        <x:f>_xlfn.XLOOKUP($A2659,Games!$A$2:$A$18,Games!$F$2:$F$18,"Missing game",0)</x:f>
        <x:v>Sunday</x:v>
      </x:c>
      <x:c r="AL2659" t="str">
        <x:f>_xlfn.XLOOKUP($A2659,Games!$A$2:$A$18,Games!$G$2:$G$18,"Missing game",0)</x:f>
        <x:v>GB</x:v>
      </x:c>
      <x:c r="AM2659" t="n">
        <x:f>_xlfn.XLOOKUP($A2659,Games!$A$2:$A$18,Games!$H$2:$H$18,"Missing game",0)</x:f>
        <x:v>3</x:v>
      </x:c>
      <x:c r="AN2659" t="str">
        <x:f>_xlfn.XLOOKUP($A2659,Games!$A$2:$A$18,Games!$I$2:$I$18,"Missing game",0)</x:f>
        <x:v>MIN</x:v>
      </x:c>
      <x:c r="AO2659" t="n">
        <x:f>_xlfn.XLOOKUP($A2659,Games!$A$2:$A$18,Games!$J$2:$J$18,"Missing game",0)</x:f>
        <x:v>16</x:v>
      </x:c>
      <x:c r="AP2659" t="n">
        <x:f>_xlfn.XLOOKUP($A2659,Games!$A$2:$A$18,Games!$K$2:$K$18,"Missing game",0)</x:f>
        <x:v>13</x:v>
      </x:c>
      <x:c r="AQ2659" t="n">
        <x:f>_xlfn.XLOOKUP($A2659,Games!$A$2:$A$18,Games!$L$2:$L$18,"Missing game",0)</x:f>
        <x:v>19</x:v>
      </x:c>
      <x:c r="AR2659" t="n">
        <x:f>_xlfn.XLOOKUP($A2659,Games!$A$2:$A$18,Games!$M$2:$M$18,"Missing game",0)</x:f>
        <x:v>0</x:v>
      </x:c>
      <x:c r="AS2659" t="str">
        <x:f>_xlfn.XLOOKUP($A2659,Games!$A$2:$A$18,Games!$N$2:$N$18,"Missing game",0)</x:f>
        <x:v>dome</x:v>
      </x:c>
      <x:c r="AT2659" t="str">
        <x:f>_xlfn.XLOOKUP($A2659,Games!$A$2:$A$18,Games!$O$2:$O$18,"Missing game",0)</x:f>
        <x:v>sportturf</x:v>
      </x:c>
      <x:c r="AU2659" t="str">
        <x:f>_xlfn.XLOOKUP($A2659,Games!$A$2:$A$18,Games!$P$2:$P$18,"Missing game",0)</x:f>
      </x:c>
      <x:c r="AV2659" t="str">
        <x:f>_xlfn.XLOOKUP($A2659,Games!$A$2:$A$18,Games!$Q$2:$Q$18,"Missing game",0)</x:f>
      </x:c>
      <x:c r="AW2659" t="str">
        <x:f>_xlfn.XLOOKUP($A2659,Games!$A$2:$A$18,Games!$R$2:$R$18,"Missing game",0)</x:f>
        <x:v>U.S. Bank Stadium</x:v>
      </x:c>
    </x:row>
    <x:row r="2660">
      <x:c r="A2660" t="str">
        <x:v>2025_18_GB_MIN</x:v>
      </x:c>
      <x:c r="B2660" t="n">
        <x:v>514</x:v>
      </x:c>
      <x:c r="C2660" t="n">
        <x:v>1</x:v>
      </x:c>
      <x:c r="D2660" t="str">
        <x:v>06:25</x:v>
      </x:c>
      <x:c r="E2660" t="n">
        <x:v>1</x:v>
      </x:c>
      <x:c r="F2660" t="n">
        <x:v>10</x:v>
      </x:c>
      <x:c r="G2660" t="str">
        <x:v>GB</x:v>
      </x:c>
      <x:c r="H2660" t="str">
        <x:v>MIN</x:v>
      </x:c>
      <x:c r="I2660" t="str">
        <x:v>GB</x:v>
      </x:c>
      <x:c r="J2660" t="n">
        <x:v>70</x:v>
      </x:c>
      <x:c r="K2660" t="str">
        <x:v>(6:25) 30-C.Brooks left tackle to GB 40 for 10 yards (24-J.Ward).</x:v>
      </x:c>
      <x:c r="L2660" t="str">
        <x:v>run</x:v>
      </x:c>
      <x:c r="M2660" t="n">
        <x:v>10</x:v>
      </x:c>
      <x:c r="N2660" t="n">
        <x:v>0</x:v>
      </x:c>
      <x:c r="O2660" t="n">
        <x:v>0</x:v>
      </x:c>
      <x:c r="P2660"/>
      <x:c r="Q2660"/>
      <x:c r="R2660"/>
      <x:c r="S2660"/>
      <x:c r="T2660" t="str">
        <x:v>left</x:v>
      </x:c>
      <x:c r="U2660" t="str">
        <x:v>tackle</x:v>
      </x:c>
      <x:c r="V2660" t="n">
        <x:v>0</x:v>
      </x:c>
      <x:c r="W2660" t="n">
        <x:v>1</x:v>
      </x:c>
      <x:c r="X2660" t="n">
        <x:v>0</x:v>
      </x:c>
      <x:c r="Y2660" t="n">
        <x:v>0</x:v>
      </x:c>
      <x:c r="Z2660" t="n">
        <x:v>0</x:v>
      </x:c>
      <x:c r="AA2660" t="n">
        <x:v>0</x:v>
      </x:c>
      <x:c r="AB2660"/>
      <x:c r="AC2660" t="n">
        <x:v>0</x:v>
      </x:c>
      <x:c r="AD2660" t="n">
        <x:v>0.5697991424240172</x:v>
      </x:c>
      <x:c r="AE2660" t="n">
        <x:v>1</x:v>
      </x:c>
      <x:c r="AF2660" t="n">
        <x:v>0.02116301655769348</x:v>
      </x:c>
      <x:c r="AG2660" t="n">
        <x:f>_xlfn.XLOOKUP($A2660,Games!$A$2:$A$18,Games!$B$2:$B$18,"Missing game",0)</x:f>
        <x:v>2025</x:v>
      </x:c>
      <x:c r="AH2660" t="str">
        <x:f>_xlfn.XLOOKUP($A2660,Games!$A$2:$A$18,Games!$C$2:$C$18,"Missing game",0)</x:f>
        <x:v>REG</x:v>
      </x:c>
      <x:c r="AI2660" t="n">
        <x:f>_xlfn.XLOOKUP($A2660,Games!$A$2:$A$18,Games!$D$2:$D$18,"Missing game",0)</x:f>
        <x:v>18</x:v>
      </x:c>
      <x:c r="AJ2660" s="1" t="n">
        <x:f>_xlfn.XLOOKUP($A2660,Games!$A$2:$A$18,Games!$E$2:$E$18,"Missing game",0)</x:f>
        <x:v>46026</x:v>
      </x:c>
      <x:c r="AK2660" t="str">
        <x:f>_xlfn.XLOOKUP($A2660,Games!$A$2:$A$18,Games!$F$2:$F$18,"Missing game",0)</x:f>
        <x:v>Sunday</x:v>
      </x:c>
      <x:c r="AL2660" t="str">
        <x:f>_xlfn.XLOOKUP($A2660,Games!$A$2:$A$18,Games!$G$2:$G$18,"Missing game",0)</x:f>
        <x:v>GB</x:v>
      </x:c>
      <x:c r="AM2660" t="n">
        <x:f>_xlfn.XLOOKUP($A2660,Games!$A$2:$A$18,Games!$H$2:$H$18,"Missing game",0)</x:f>
        <x:v>3</x:v>
      </x:c>
      <x:c r="AN2660" t="str">
        <x:f>_xlfn.XLOOKUP($A2660,Games!$A$2:$A$18,Games!$I$2:$I$18,"Missing game",0)</x:f>
        <x:v>MIN</x:v>
      </x:c>
      <x:c r="AO2660" t="n">
        <x:f>_xlfn.XLOOKUP($A2660,Games!$A$2:$A$18,Games!$J$2:$J$18,"Missing game",0)</x:f>
        <x:v>16</x:v>
      </x:c>
      <x:c r="AP2660" t="n">
        <x:f>_xlfn.XLOOKUP($A2660,Games!$A$2:$A$18,Games!$K$2:$K$18,"Missing game",0)</x:f>
        <x:v>13</x:v>
      </x:c>
      <x:c r="AQ2660" t="n">
        <x:f>_xlfn.XLOOKUP($A2660,Games!$A$2:$A$18,Games!$L$2:$L$18,"Missing game",0)</x:f>
        <x:v>19</x:v>
      </x:c>
      <x:c r="AR2660" t="n">
        <x:f>_xlfn.XLOOKUP($A2660,Games!$A$2:$A$18,Games!$M$2:$M$18,"Missing game",0)</x:f>
        <x:v>0</x:v>
      </x:c>
      <x:c r="AS2660" t="str">
        <x:f>_xlfn.XLOOKUP($A2660,Games!$A$2:$A$18,Games!$N$2:$N$18,"Missing game",0)</x:f>
        <x:v>dome</x:v>
      </x:c>
      <x:c r="AT2660" t="str">
        <x:f>_xlfn.XLOOKUP($A2660,Games!$A$2:$A$18,Games!$O$2:$O$18,"Missing game",0)</x:f>
        <x:v>sportturf</x:v>
      </x:c>
      <x:c r="AU2660" t="str">
        <x:f>_xlfn.XLOOKUP($A2660,Games!$A$2:$A$18,Games!$P$2:$P$18,"Missing game",0)</x:f>
      </x:c>
      <x:c r="AV2660" t="str">
        <x:f>_xlfn.XLOOKUP($A2660,Games!$A$2:$A$18,Games!$Q$2:$Q$18,"Missing game",0)</x:f>
      </x:c>
      <x:c r="AW2660" t="str">
        <x:f>_xlfn.XLOOKUP($A2660,Games!$A$2:$A$18,Games!$R$2:$R$18,"Missing game",0)</x:f>
        <x:v>U.S. Bank Stadium</x:v>
      </x:c>
    </x:row>
    <x:row r="2661">
      <x:c r="A2661" t="str">
        <x:v>2025_18_GB_MIN</x:v>
      </x:c>
      <x:c r="B2661" t="n">
        <x:v>543</x:v>
      </x:c>
      <x:c r="C2661" t="n">
        <x:v>1</x:v>
      </x:c>
      <x:c r="D2661" t="str">
        <x:v>06:08</x:v>
      </x:c>
      <x:c r="E2661" t="n">
        <x:v>1</x:v>
      </x:c>
      <x:c r="F2661" t="n">
        <x:v>10</x:v>
      </x:c>
      <x:c r="G2661" t="str">
        <x:v>GB</x:v>
      </x:c>
      <x:c r="H2661" t="str">
        <x:v>MIN</x:v>
      </x:c>
      <x:c r="I2661" t="str">
        <x:v>GB</x:v>
      </x:c>
      <x:c r="J2661" t="n">
        <x:v>60</x:v>
      </x:c>
      <x:c r="K2661" t="str">
        <x:v>(6:08) (No Huddle, Shotgun) 6-C.Tune pass short right to 49-D.Dabney to GB 43 for 3 yards (43-A.Van Ginkel).</x:v>
      </x:c>
      <x:c r="L2661" t="str">
        <x:v>pass</x:v>
      </x:c>
      <x:c r="M2661" t="n">
        <x:v>3</x:v>
      </x:c>
      <x:c r="N2661" t="n">
        <x:v>1</x:v>
      </x:c>
      <x:c r="O2661" t="n">
        <x:v>1</x:v>
      </x:c>
      <x:c r="P2661" t="str">
        <x:v>short</x:v>
      </x:c>
      <x:c r="Q2661" t="str">
        <x:v>right</x:v>
      </x:c>
      <x:c r="R2661" t="n">
        <x:v>3</x:v>
      </x:c>
      <x:c r="S2661" t="n">
        <x:v>0</x:v>
      </x:c>
      <x:c r="T2661"/>
      <x:c r="U2661"/>
      <x:c r="V2661" t="n">
        <x:v>1</x:v>
      </x:c>
      <x:c r="W2661" t="n">
        <x:v>0</x:v>
      </x:c>
      <x:c r="X2661" t="n">
        <x:v>0</x:v>
      </x:c>
      <x:c r="Y2661" t="n">
        <x:v>0</x:v>
      </x:c>
      <x:c r="Z2661" t="n">
        <x:v>0</x:v>
      </x:c>
      <x:c r="AA2661" t="n">
        <x:v>0</x:v>
      </x:c>
      <x:c r="AB2661"/>
      <x:c r="AC2661" t="n">
        <x:v>0</x:v>
      </x:c>
      <x:c r="AD2661" t="n">
        <x:v>-0.20979942264966667</x:v>
      </x:c>
      <x:c r="AE2661" t="n">
        <x:v>0</x:v>
      </x:c>
      <x:c r="AF2661" t="n">
        <x:v>-0.0032913684844970703</x:v>
      </x:c>
      <x:c r="AG2661" t="n">
        <x:f>_xlfn.XLOOKUP($A2661,Games!$A$2:$A$18,Games!$B$2:$B$18,"Missing game",0)</x:f>
        <x:v>2025</x:v>
      </x:c>
      <x:c r="AH2661" t="str">
        <x:f>_xlfn.XLOOKUP($A2661,Games!$A$2:$A$18,Games!$C$2:$C$18,"Missing game",0)</x:f>
        <x:v>REG</x:v>
      </x:c>
      <x:c r="AI2661" t="n">
        <x:f>_xlfn.XLOOKUP($A2661,Games!$A$2:$A$18,Games!$D$2:$D$18,"Missing game",0)</x:f>
        <x:v>18</x:v>
      </x:c>
      <x:c r="AJ2661" s="1" t="n">
        <x:f>_xlfn.XLOOKUP($A2661,Games!$A$2:$A$18,Games!$E$2:$E$18,"Missing game",0)</x:f>
        <x:v>46026</x:v>
      </x:c>
      <x:c r="AK2661" t="str">
        <x:f>_xlfn.XLOOKUP($A2661,Games!$A$2:$A$18,Games!$F$2:$F$18,"Missing game",0)</x:f>
        <x:v>Sunday</x:v>
      </x:c>
      <x:c r="AL2661" t="str">
        <x:f>_xlfn.XLOOKUP($A2661,Games!$A$2:$A$18,Games!$G$2:$G$18,"Missing game",0)</x:f>
        <x:v>GB</x:v>
      </x:c>
      <x:c r="AM2661" t="n">
        <x:f>_xlfn.XLOOKUP($A2661,Games!$A$2:$A$18,Games!$H$2:$H$18,"Missing game",0)</x:f>
        <x:v>3</x:v>
      </x:c>
      <x:c r="AN2661" t="str">
        <x:f>_xlfn.XLOOKUP($A2661,Games!$A$2:$A$18,Games!$I$2:$I$18,"Missing game",0)</x:f>
        <x:v>MIN</x:v>
      </x:c>
      <x:c r="AO2661" t="n">
        <x:f>_xlfn.XLOOKUP($A2661,Games!$A$2:$A$18,Games!$J$2:$J$18,"Missing game",0)</x:f>
        <x:v>16</x:v>
      </x:c>
      <x:c r="AP2661" t="n">
        <x:f>_xlfn.XLOOKUP($A2661,Games!$A$2:$A$18,Games!$K$2:$K$18,"Missing game",0)</x:f>
        <x:v>13</x:v>
      </x:c>
      <x:c r="AQ2661" t="n">
        <x:f>_xlfn.XLOOKUP($A2661,Games!$A$2:$A$18,Games!$L$2:$L$18,"Missing game",0)</x:f>
        <x:v>19</x:v>
      </x:c>
      <x:c r="AR2661" t="n">
        <x:f>_xlfn.XLOOKUP($A2661,Games!$A$2:$A$18,Games!$M$2:$M$18,"Missing game",0)</x:f>
        <x:v>0</x:v>
      </x:c>
      <x:c r="AS2661" t="str">
        <x:f>_xlfn.XLOOKUP($A2661,Games!$A$2:$A$18,Games!$N$2:$N$18,"Missing game",0)</x:f>
        <x:v>dome</x:v>
      </x:c>
      <x:c r="AT2661" t="str">
        <x:f>_xlfn.XLOOKUP($A2661,Games!$A$2:$A$18,Games!$O$2:$O$18,"Missing game",0)</x:f>
        <x:v>sportturf</x:v>
      </x:c>
      <x:c r="AU2661" t="str">
        <x:f>_xlfn.XLOOKUP($A2661,Games!$A$2:$A$18,Games!$P$2:$P$18,"Missing game",0)</x:f>
      </x:c>
      <x:c r="AV2661" t="str">
        <x:f>_xlfn.XLOOKUP($A2661,Games!$A$2:$A$18,Games!$Q$2:$Q$18,"Missing game",0)</x:f>
      </x:c>
      <x:c r="AW2661" t="str">
        <x:f>_xlfn.XLOOKUP($A2661,Games!$A$2:$A$18,Games!$R$2:$R$18,"Missing game",0)</x:f>
        <x:v>U.S. Bank Stadium</x:v>
      </x:c>
    </x:row>
    <x:row r="2662">
      <x:c r="A2662" t="str">
        <x:v>2025_18_GB_MIN</x:v>
      </x:c>
      <x:c r="B2662" t="n">
        <x:v>568</x:v>
      </x:c>
      <x:c r="C2662" t="n">
        <x:v>1</x:v>
      </x:c>
      <x:c r="D2662" t="str">
        <x:v>05:34</x:v>
      </x:c>
      <x:c r="E2662" t="n">
        <x:v>2</x:v>
      </x:c>
      <x:c r="F2662" t="n">
        <x:v>7</x:v>
      </x:c>
      <x:c r="G2662" t="str">
        <x:v>GB</x:v>
      </x:c>
      <x:c r="H2662" t="str">
        <x:v>MIN</x:v>
      </x:c>
      <x:c r="I2662" t="str">
        <x:v>GB</x:v>
      </x:c>
      <x:c r="J2662" t="n">
        <x:v>57</x:v>
      </x:c>
      <x:c r="K2662" t="str">
        <x:v>(5:34) 30-C.Brooks left guard to GB 45 for 2 yards (93-J.Allen; 61-J.Redmond).</x:v>
      </x:c>
      <x:c r="L2662" t="str">
        <x:v>run</x:v>
      </x:c>
      <x:c r="M2662" t="n">
        <x:v>2</x:v>
      </x:c>
      <x:c r="N2662" t="n">
        <x:v>0</x:v>
      </x:c>
      <x:c r="O2662" t="n">
        <x:v>0</x:v>
      </x:c>
      <x:c r="P2662"/>
      <x:c r="Q2662"/>
      <x:c r="R2662"/>
      <x:c r="S2662"/>
      <x:c r="T2662" t="str">
        <x:v>left</x:v>
      </x:c>
      <x:c r="U2662" t="str">
        <x:v>guard</x:v>
      </x:c>
      <x:c r="V2662" t="n">
        <x:v>0</x:v>
      </x:c>
      <x:c r="W2662" t="n">
        <x:v>0</x:v>
      </x:c>
      <x:c r="X2662" t="n">
        <x:v>0</x:v>
      </x:c>
      <x:c r="Y2662" t="n">
        <x:v>0</x:v>
      </x:c>
      <x:c r="Z2662" t="n">
        <x:v>0</x:v>
      </x:c>
      <x:c r="AA2662" t="n">
        <x:v>0</x:v>
      </x:c>
      <x:c r="AB2662"/>
      <x:c r="AC2662" t="n">
        <x:v>0</x:v>
      </x:c>
      <x:c r="AD2662" t="n">
        <x:v>-0.623250529402867</x:v>
      </x:c>
      <x:c r="AE2662" t="n">
        <x:v>0</x:v>
      </x:c>
      <x:c r="AF2662" t="n">
        <x:v>-0.02669045329093933</x:v>
      </x:c>
      <x:c r="AG2662" t="n">
        <x:f>_xlfn.XLOOKUP($A2662,Games!$A$2:$A$18,Games!$B$2:$B$18,"Missing game",0)</x:f>
        <x:v>2025</x:v>
      </x:c>
      <x:c r="AH2662" t="str">
        <x:f>_xlfn.XLOOKUP($A2662,Games!$A$2:$A$18,Games!$C$2:$C$18,"Missing game",0)</x:f>
        <x:v>REG</x:v>
      </x:c>
      <x:c r="AI2662" t="n">
        <x:f>_xlfn.XLOOKUP($A2662,Games!$A$2:$A$18,Games!$D$2:$D$18,"Missing game",0)</x:f>
        <x:v>18</x:v>
      </x:c>
      <x:c r="AJ2662" s="1" t="n">
        <x:f>_xlfn.XLOOKUP($A2662,Games!$A$2:$A$18,Games!$E$2:$E$18,"Missing game",0)</x:f>
        <x:v>46026</x:v>
      </x:c>
      <x:c r="AK2662" t="str">
        <x:f>_xlfn.XLOOKUP($A2662,Games!$A$2:$A$18,Games!$F$2:$F$18,"Missing game",0)</x:f>
        <x:v>Sunday</x:v>
      </x:c>
      <x:c r="AL2662" t="str">
        <x:f>_xlfn.XLOOKUP($A2662,Games!$A$2:$A$18,Games!$G$2:$G$18,"Missing game",0)</x:f>
        <x:v>GB</x:v>
      </x:c>
      <x:c r="AM2662" t="n">
        <x:f>_xlfn.XLOOKUP($A2662,Games!$A$2:$A$18,Games!$H$2:$H$18,"Missing game",0)</x:f>
        <x:v>3</x:v>
      </x:c>
      <x:c r="AN2662" t="str">
        <x:f>_xlfn.XLOOKUP($A2662,Games!$A$2:$A$18,Games!$I$2:$I$18,"Missing game",0)</x:f>
        <x:v>MIN</x:v>
      </x:c>
      <x:c r="AO2662" t="n">
        <x:f>_xlfn.XLOOKUP($A2662,Games!$A$2:$A$18,Games!$J$2:$J$18,"Missing game",0)</x:f>
        <x:v>16</x:v>
      </x:c>
      <x:c r="AP2662" t="n">
        <x:f>_xlfn.XLOOKUP($A2662,Games!$A$2:$A$18,Games!$K$2:$K$18,"Missing game",0)</x:f>
        <x:v>13</x:v>
      </x:c>
      <x:c r="AQ2662" t="n">
        <x:f>_xlfn.XLOOKUP($A2662,Games!$A$2:$A$18,Games!$L$2:$L$18,"Missing game",0)</x:f>
        <x:v>19</x:v>
      </x:c>
      <x:c r="AR2662" t="n">
        <x:f>_xlfn.XLOOKUP($A2662,Games!$A$2:$A$18,Games!$M$2:$M$18,"Missing game",0)</x:f>
        <x:v>0</x:v>
      </x:c>
      <x:c r="AS2662" t="str">
        <x:f>_xlfn.XLOOKUP($A2662,Games!$A$2:$A$18,Games!$N$2:$N$18,"Missing game",0)</x:f>
        <x:v>dome</x:v>
      </x:c>
      <x:c r="AT2662" t="str">
        <x:f>_xlfn.XLOOKUP($A2662,Games!$A$2:$A$18,Games!$O$2:$O$18,"Missing game",0)</x:f>
        <x:v>sportturf</x:v>
      </x:c>
      <x:c r="AU2662" t="str">
        <x:f>_xlfn.XLOOKUP($A2662,Games!$A$2:$A$18,Games!$P$2:$P$18,"Missing game",0)</x:f>
      </x:c>
      <x:c r="AV2662" t="str">
        <x:f>_xlfn.XLOOKUP($A2662,Games!$A$2:$A$18,Games!$Q$2:$Q$18,"Missing game",0)</x:f>
      </x:c>
      <x:c r="AW2662" t="str">
        <x:f>_xlfn.XLOOKUP($A2662,Games!$A$2:$A$18,Games!$R$2:$R$18,"Missing game",0)</x:f>
        <x:v>U.S. Bank Stadium</x:v>
      </x:c>
    </x:row>
    <x:row r="2663">
      <x:c r="A2663" t="str">
        <x:v>2025_18_GB_MIN</x:v>
      </x:c>
      <x:c r="B2663" t="n">
        <x:v>590</x:v>
      </x:c>
      <x:c r="C2663" t="n">
        <x:v>1</x:v>
      </x:c>
      <x:c r="D2663" t="str">
        <x:v>04:52</x:v>
      </x:c>
      <x:c r="E2663" t="n">
        <x:v>3</x:v>
      </x:c>
      <x:c r="F2663" t="n">
        <x:v>5</x:v>
      </x:c>
      <x:c r="G2663" t="str">
        <x:v>GB</x:v>
      </x:c>
      <x:c r="H2663" t="str">
        <x:v>MIN</x:v>
      </x:c>
      <x:c r="I2663" t="str">
        <x:v>GB</x:v>
      </x:c>
      <x:c r="J2663" t="n">
        <x:v>55</x:v>
      </x:c>
      <x:c r="K2663" t="str">
        <x:v>(4:52) (Shotgun) 6-C.Tune sacked at GB 38 for -7 yards (15-D.Turner). FUMBLES (15-D.Turner) [15-D.Turner], recovered by GB-49-D.Dabney at GB 32.</x:v>
      </x:c>
      <x:c r="L2663" t="str">
        <x:v>pass</x:v>
      </x:c>
      <x:c r="M2663" t="n">
        <x:v>-13</x:v>
      </x:c>
      <x:c r="N2663" t="n">
        <x:v>1</x:v>
      </x:c>
      <x:c r="O2663" t="n">
        <x:v>0</x:v>
      </x:c>
      <x:c r="P2663"/>
      <x:c r="Q2663"/>
      <x:c r="R2663"/>
      <x:c r="S2663"/>
      <x:c r="T2663"/>
      <x:c r="U2663"/>
      <x:c r="V2663" t="n">
        <x:v>0</x:v>
      </x:c>
      <x:c r="W2663" t="n">
        <x:v>0</x:v>
      </x:c>
      <x:c r="X2663" t="n">
        <x:v>1</x:v>
      </x:c>
      <x:c r="Y2663" t="n">
        <x:v>0</x:v>
      </x:c>
      <x:c r="Z2663" t="n">
        <x:v>0</x:v>
      </x:c>
      <x:c r="AA2663" t="n">
        <x:v>0</x:v>
      </x:c>
      <x:c r="AB2663"/>
      <x:c r="AC2663" t="n">
        <x:v>0</x:v>
      </x:c>
      <x:c r="AD2663" t="n">
        <x:v>-2.4527726634405553</x:v>
      </x:c>
      <x:c r="AE2663" t="n">
        <x:v>0</x:v>
      </x:c>
      <x:c r="AF2663" t="n">
        <x:v>-0.050597548484802246</x:v>
      </x:c>
      <x:c r="AG2663" t="n">
        <x:f>_xlfn.XLOOKUP($A2663,Games!$A$2:$A$18,Games!$B$2:$B$18,"Missing game",0)</x:f>
        <x:v>2025</x:v>
      </x:c>
      <x:c r="AH2663" t="str">
        <x:f>_xlfn.XLOOKUP($A2663,Games!$A$2:$A$18,Games!$C$2:$C$18,"Missing game",0)</x:f>
        <x:v>REG</x:v>
      </x:c>
      <x:c r="AI2663" t="n">
        <x:f>_xlfn.XLOOKUP($A2663,Games!$A$2:$A$18,Games!$D$2:$D$18,"Missing game",0)</x:f>
        <x:v>18</x:v>
      </x:c>
      <x:c r="AJ2663" s="1" t="n">
        <x:f>_xlfn.XLOOKUP($A2663,Games!$A$2:$A$18,Games!$E$2:$E$18,"Missing game",0)</x:f>
        <x:v>46026</x:v>
      </x:c>
      <x:c r="AK2663" t="str">
        <x:f>_xlfn.XLOOKUP($A2663,Games!$A$2:$A$18,Games!$F$2:$F$18,"Missing game",0)</x:f>
        <x:v>Sunday</x:v>
      </x:c>
      <x:c r="AL2663" t="str">
        <x:f>_xlfn.XLOOKUP($A2663,Games!$A$2:$A$18,Games!$G$2:$G$18,"Missing game",0)</x:f>
        <x:v>GB</x:v>
      </x:c>
      <x:c r="AM2663" t="n">
        <x:f>_xlfn.XLOOKUP($A2663,Games!$A$2:$A$18,Games!$H$2:$H$18,"Missing game",0)</x:f>
        <x:v>3</x:v>
      </x:c>
      <x:c r="AN2663" t="str">
        <x:f>_xlfn.XLOOKUP($A2663,Games!$A$2:$A$18,Games!$I$2:$I$18,"Missing game",0)</x:f>
        <x:v>MIN</x:v>
      </x:c>
      <x:c r="AO2663" t="n">
        <x:f>_xlfn.XLOOKUP($A2663,Games!$A$2:$A$18,Games!$J$2:$J$18,"Missing game",0)</x:f>
        <x:v>16</x:v>
      </x:c>
      <x:c r="AP2663" t="n">
        <x:f>_xlfn.XLOOKUP($A2663,Games!$A$2:$A$18,Games!$K$2:$K$18,"Missing game",0)</x:f>
        <x:v>13</x:v>
      </x:c>
      <x:c r="AQ2663" t="n">
        <x:f>_xlfn.XLOOKUP($A2663,Games!$A$2:$A$18,Games!$L$2:$L$18,"Missing game",0)</x:f>
        <x:v>19</x:v>
      </x:c>
      <x:c r="AR2663" t="n">
        <x:f>_xlfn.XLOOKUP($A2663,Games!$A$2:$A$18,Games!$M$2:$M$18,"Missing game",0)</x:f>
        <x:v>0</x:v>
      </x:c>
      <x:c r="AS2663" t="str">
        <x:f>_xlfn.XLOOKUP($A2663,Games!$A$2:$A$18,Games!$N$2:$N$18,"Missing game",0)</x:f>
        <x:v>dome</x:v>
      </x:c>
      <x:c r="AT2663" t="str">
        <x:f>_xlfn.XLOOKUP($A2663,Games!$A$2:$A$18,Games!$O$2:$O$18,"Missing game",0)</x:f>
        <x:v>sportturf</x:v>
      </x:c>
      <x:c r="AU2663" t="str">
        <x:f>_xlfn.XLOOKUP($A2663,Games!$A$2:$A$18,Games!$P$2:$P$18,"Missing game",0)</x:f>
      </x:c>
      <x:c r="AV2663" t="str">
        <x:f>_xlfn.XLOOKUP($A2663,Games!$A$2:$A$18,Games!$Q$2:$Q$18,"Missing game",0)</x:f>
      </x:c>
      <x:c r="AW2663" t="str">
        <x:f>_xlfn.XLOOKUP($A2663,Games!$A$2:$A$18,Games!$R$2:$R$18,"Missing game",0)</x:f>
        <x:v>U.S. Bank Stadium</x:v>
      </x:c>
    </x:row>
    <x:row r="2664">
      <x:c r="A2664" t="str">
        <x:v>2025_18_GB_MIN</x:v>
      </x:c>
      <x:c r="B2664" t="n">
        <x:v>620</x:v>
      </x:c>
      <x:c r="C2664" t="n">
        <x:v>1</x:v>
      </x:c>
      <x:c r="D2664" t="str">
        <x:v>04:10</x:v>
      </x:c>
      <x:c r="E2664" t="n">
        <x:v>4</x:v>
      </x:c>
      <x:c r="F2664" t="n">
        <x:v>18</x:v>
      </x:c>
      <x:c r="G2664" t="str">
        <x:v>GB</x:v>
      </x:c>
      <x:c r="H2664" t="str">
        <x:v>MIN</x:v>
      </x:c>
      <x:c r="I2664" t="str">
        <x:v>GB</x:v>
      </x:c>
      <x:c r="J2664" t="n">
        <x:v>68</x:v>
      </x:c>
      <x:c r="K2664" t="str">
        <x:v>(4:10) 19-D.Whelan punts 68 yards to end zone, Center-42-M.Orzech, Touchback.</x:v>
      </x:c>
      <x:c r="L2664" t="str">
        <x:v>punt</x:v>
      </x:c>
      <x:c r="M2664" t="n">
        <x:v>0</x:v>
      </x:c>
      <x:c r="N2664" t="n">
        <x:v>0</x:v>
      </x:c>
      <x:c r="O2664" t="n">
        <x:v>0</x:v>
      </x:c>
      <x:c r="P2664"/>
      <x:c r="Q2664"/>
      <x:c r="R2664"/>
      <x:c r="S2664"/>
      <x:c r="T2664"/>
      <x:c r="U2664"/>
      <x:c r="V2664" t="n">
        <x:v>0</x:v>
      </x:c>
      <x:c r="W2664" t="n">
        <x:v>0</x:v>
      </x:c>
      <x:c r="X2664" t="n">
        <x:v>0</x:v>
      </x:c>
      <x:c r="Y2664" t="n">
        <x:v>0</x:v>
      </x:c>
      <x:c r="Z2664" t="n">
        <x:v>0</x:v>
      </x:c>
      <x:c r="AA2664" t="n">
        <x:v>0</x:v>
      </x:c>
      <x:c r="AB2664"/>
      <x:c r="AC2664" t="n">
        <x:v>0</x:v>
      </x:c>
      <x:c r="AD2664" t="n">
        <x:v>0.12076956452801824</x:v>
      </x:c>
      <x:c r="AE2664" t="n">
        <x:v>1</x:v>
      </x:c>
      <x:c r="AF2664" t="n">
        <x:v>0.0012642741203308105</x:v>
      </x:c>
      <x:c r="AG2664" t="n">
        <x:f>_xlfn.XLOOKUP($A2664,Games!$A$2:$A$18,Games!$B$2:$B$18,"Missing game",0)</x:f>
        <x:v>2025</x:v>
      </x:c>
      <x:c r="AH2664" t="str">
        <x:f>_xlfn.XLOOKUP($A2664,Games!$A$2:$A$18,Games!$C$2:$C$18,"Missing game",0)</x:f>
        <x:v>REG</x:v>
      </x:c>
      <x:c r="AI2664" t="n">
        <x:f>_xlfn.XLOOKUP($A2664,Games!$A$2:$A$18,Games!$D$2:$D$18,"Missing game",0)</x:f>
        <x:v>18</x:v>
      </x:c>
      <x:c r="AJ2664" s="1" t="n">
        <x:f>_xlfn.XLOOKUP($A2664,Games!$A$2:$A$18,Games!$E$2:$E$18,"Missing game",0)</x:f>
        <x:v>46026</x:v>
      </x:c>
      <x:c r="AK2664" t="str">
        <x:f>_xlfn.XLOOKUP($A2664,Games!$A$2:$A$18,Games!$F$2:$F$18,"Missing game",0)</x:f>
        <x:v>Sunday</x:v>
      </x:c>
      <x:c r="AL2664" t="str">
        <x:f>_xlfn.XLOOKUP($A2664,Games!$A$2:$A$18,Games!$G$2:$G$18,"Missing game",0)</x:f>
        <x:v>GB</x:v>
      </x:c>
      <x:c r="AM2664" t="n">
        <x:f>_xlfn.XLOOKUP($A2664,Games!$A$2:$A$18,Games!$H$2:$H$18,"Missing game",0)</x:f>
        <x:v>3</x:v>
      </x:c>
      <x:c r="AN2664" t="str">
        <x:f>_xlfn.XLOOKUP($A2664,Games!$A$2:$A$18,Games!$I$2:$I$18,"Missing game",0)</x:f>
        <x:v>MIN</x:v>
      </x:c>
      <x:c r="AO2664" t="n">
        <x:f>_xlfn.XLOOKUP($A2664,Games!$A$2:$A$18,Games!$J$2:$J$18,"Missing game",0)</x:f>
        <x:v>16</x:v>
      </x:c>
      <x:c r="AP2664" t="n">
        <x:f>_xlfn.XLOOKUP($A2664,Games!$A$2:$A$18,Games!$K$2:$K$18,"Missing game",0)</x:f>
        <x:v>13</x:v>
      </x:c>
      <x:c r="AQ2664" t="n">
        <x:f>_xlfn.XLOOKUP($A2664,Games!$A$2:$A$18,Games!$L$2:$L$18,"Missing game",0)</x:f>
        <x:v>19</x:v>
      </x:c>
      <x:c r="AR2664" t="n">
        <x:f>_xlfn.XLOOKUP($A2664,Games!$A$2:$A$18,Games!$M$2:$M$18,"Missing game",0)</x:f>
        <x:v>0</x:v>
      </x:c>
      <x:c r="AS2664" t="str">
        <x:f>_xlfn.XLOOKUP($A2664,Games!$A$2:$A$18,Games!$N$2:$N$18,"Missing game",0)</x:f>
        <x:v>dome</x:v>
      </x:c>
      <x:c r="AT2664" t="str">
        <x:f>_xlfn.XLOOKUP($A2664,Games!$A$2:$A$18,Games!$O$2:$O$18,"Missing game",0)</x:f>
        <x:v>sportturf</x:v>
      </x:c>
      <x:c r="AU2664" t="str">
        <x:f>_xlfn.XLOOKUP($A2664,Games!$A$2:$A$18,Games!$P$2:$P$18,"Missing game",0)</x:f>
      </x:c>
      <x:c r="AV2664" t="str">
        <x:f>_xlfn.XLOOKUP($A2664,Games!$A$2:$A$18,Games!$Q$2:$Q$18,"Missing game",0)</x:f>
      </x:c>
      <x:c r="AW2664" t="str">
        <x:f>_xlfn.XLOOKUP($A2664,Games!$A$2:$A$18,Games!$R$2:$R$18,"Missing game",0)</x:f>
        <x:v>U.S. Bank Stadium</x:v>
      </x:c>
    </x:row>
    <x:row r="2665">
      <x:c r="A2665" t="str">
        <x:v>2025_18_GB_MIN</x:v>
      </x:c>
      <x:c r="B2665" t="n">
        <x:v>638</x:v>
      </x:c>
      <x:c r="C2665" t="n">
        <x:v>1</x:v>
      </x:c>
      <x:c r="D2665" t="str">
        <x:v>04:00</x:v>
      </x:c>
      <x:c r="E2665" t="n">
        <x:v>1</x:v>
      </x:c>
      <x:c r="F2665" t="n">
        <x:v>10</x:v>
      </x:c>
      <x:c r="G2665" t="str">
        <x:v>MIN</x:v>
      </x:c>
      <x:c r="H2665" t="str">
        <x:v>GB</x:v>
      </x:c>
      <x:c r="I2665" t="str">
        <x:v>MIN</x:v>
      </x:c>
      <x:c r="J2665" t="n">
        <x:v>80</x:v>
      </x:c>
      <x:c r="K2665" t="str">
        <x:v>(4:00) 32-T.Chandler right guard to MIN 21 for 1 yard (99-B.Sorrell).</x:v>
      </x:c>
      <x:c r="L2665" t="str">
        <x:v>run</x:v>
      </x:c>
      <x:c r="M2665" t="n">
        <x:v>1</x:v>
      </x:c>
      <x:c r="N2665" t="n">
        <x:v>0</x:v>
      </x:c>
      <x:c r="O2665" t="n">
        <x:v>0</x:v>
      </x:c>
      <x:c r="P2665"/>
      <x:c r="Q2665"/>
      <x:c r="R2665"/>
      <x:c r="S2665"/>
      <x:c r="T2665" t="str">
        <x:v>right</x:v>
      </x:c>
      <x:c r="U2665" t="str">
        <x:v>guard</x:v>
      </x:c>
      <x:c r="V2665" t="n">
        <x:v>0</x:v>
      </x:c>
      <x:c r="W2665" t="n">
        <x:v>0</x:v>
      </x:c>
      <x:c r="X2665" t="n">
        <x:v>0</x:v>
      </x:c>
      <x:c r="Y2665" t="n">
        <x:v>0</x:v>
      </x:c>
      <x:c r="Z2665" t="n">
        <x:v>0</x:v>
      </x:c>
      <x:c r="AA2665" t="n">
        <x:v>0</x:v>
      </x:c>
      <x:c r="AB2665"/>
      <x:c r="AC2665" t="n">
        <x:v>0</x:v>
      </x:c>
      <x:c r="AD2665" t="n">
        <x:v>-0.622209389694035</x:v>
      </x:c>
      <x:c r="AE2665" t="n">
        <x:v>0</x:v>
      </x:c>
      <x:c r="AF2665" t="n">
        <x:v>-0.012210190296173096</x:v>
      </x:c>
      <x:c r="AG2665" t="n">
        <x:f>_xlfn.XLOOKUP($A2665,Games!$A$2:$A$18,Games!$B$2:$B$18,"Missing game",0)</x:f>
        <x:v>2025</x:v>
      </x:c>
      <x:c r="AH2665" t="str">
        <x:f>_xlfn.XLOOKUP($A2665,Games!$A$2:$A$18,Games!$C$2:$C$18,"Missing game",0)</x:f>
        <x:v>REG</x:v>
      </x:c>
      <x:c r="AI2665" t="n">
        <x:f>_xlfn.XLOOKUP($A2665,Games!$A$2:$A$18,Games!$D$2:$D$18,"Missing game",0)</x:f>
        <x:v>18</x:v>
      </x:c>
      <x:c r="AJ2665" s="1" t="n">
        <x:f>_xlfn.XLOOKUP($A2665,Games!$A$2:$A$18,Games!$E$2:$E$18,"Missing game",0)</x:f>
        <x:v>46026</x:v>
      </x:c>
      <x:c r="AK2665" t="str">
        <x:f>_xlfn.XLOOKUP($A2665,Games!$A$2:$A$18,Games!$F$2:$F$18,"Missing game",0)</x:f>
        <x:v>Sunday</x:v>
      </x:c>
      <x:c r="AL2665" t="str">
        <x:f>_xlfn.XLOOKUP($A2665,Games!$A$2:$A$18,Games!$G$2:$G$18,"Missing game",0)</x:f>
        <x:v>GB</x:v>
      </x:c>
      <x:c r="AM2665" t="n">
        <x:f>_xlfn.XLOOKUP($A2665,Games!$A$2:$A$18,Games!$H$2:$H$18,"Missing game",0)</x:f>
        <x:v>3</x:v>
      </x:c>
      <x:c r="AN2665" t="str">
        <x:f>_xlfn.XLOOKUP($A2665,Games!$A$2:$A$18,Games!$I$2:$I$18,"Missing game",0)</x:f>
        <x:v>MIN</x:v>
      </x:c>
      <x:c r="AO2665" t="n">
        <x:f>_xlfn.XLOOKUP($A2665,Games!$A$2:$A$18,Games!$J$2:$J$18,"Missing game",0)</x:f>
        <x:v>16</x:v>
      </x:c>
      <x:c r="AP2665" t="n">
        <x:f>_xlfn.XLOOKUP($A2665,Games!$A$2:$A$18,Games!$K$2:$K$18,"Missing game",0)</x:f>
        <x:v>13</x:v>
      </x:c>
      <x:c r="AQ2665" t="n">
        <x:f>_xlfn.XLOOKUP($A2665,Games!$A$2:$A$18,Games!$L$2:$L$18,"Missing game",0)</x:f>
        <x:v>19</x:v>
      </x:c>
      <x:c r="AR2665" t="n">
        <x:f>_xlfn.XLOOKUP($A2665,Games!$A$2:$A$18,Games!$M$2:$M$18,"Missing game",0)</x:f>
        <x:v>0</x:v>
      </x:c>
      <x:c r="AS2665" t="str">
        <x:f>_xlfn.XLOOKUP($A2665,Games!$A$2:$A$18,Games!$N$2:$N$18,"Missing game",0)</x:f>
        <x:v>dome</x:v>
      </x:c>
      <x:c r="AT2665" t="str">
        <x:f>_xlfn.XLOOKUP($A2665,Games!$A$2:$A$18,Games!$O$2:$O$18,"Missing game",0)</x:f>
        <x:v>sportturf</x:v>
      </x:c>
      <x:c r="AU2665" t="str">
        <x:f>_xlfn.XLOOKUP($A2665,Games!$A$2:$A$18,Games!$P$2:$P$18,"Missing game",0)</x:f>
      </x:c>
      <x:c r="AV2665" t="str">
        <x:f>_xlfn.XLOOKUP($A2665,Games!$A$2:$A$18,Games!$Q$2:$Q$18,"Missing game",0)</x:f>
      </x:c>
      <x:c r="AW2665" t="str">
        <x:f>_xlfn.XLOOKUP($A2665,Games!$A$2:$A$18,Games!$R$2:$R$18,"Missing game",0)</x:f>
        <x:v>U.S. Bank Stadium</x:v>
      </x:c>
    </x:row>
    <x:row r="2666">
      <x:c r="A2666" t="str">
        <x:v>2025_18_GB_MIN</x:v>
      </x:c>
      <x:c r="B2666" t="n">
        <x:v>667</x:v>
      </x:c>
      <x:c r="C2666" t="n">
        <x:v>1</x:v>
      </x:c>
      <x:c r="D2666" t="str">
        <x:v>03:34</x:v>
      </x:c>
      <x:c r="E2666" t="n">
        <x:v>2</x:v>
      </x:c>
      <x:c r="F2666" t="n">
        <x:v>9</x:v>
      </x:c>
      <x:c r="G2666" t="str">
        <x:v>MIN</x:v>
      </x:c>
      <x:c r="H2666" t="str">
        <x:v>GB</x:v>
      </x:c>
      <x:c r="I2666" t="str">
        <x:v>MIN</x:v>
      </x:c>
      <x:c r="J2666" t="n">
        <x:v>79</x:v>
      </x:c>
      <x:c r="K2666" t="str">
        <x:v>(3:34) (No Huddle, Shotgun) 9-J.McCarthy pass short right to 18-J.Jefferson ran ob at MIN 33 for 12 yards (38-J.Simpson) [45-C.Oliver].</x:v>
      </x:c>
      <x:c r="L2666" t="str">
        <x:v>pass</x:v>
      </x:c>
      <x:c r="M2666" t="n">
        <x:v>12</x:v>
      </x:c>
      <x:c r="N2666" t="n">
        <x:v>1</x:v>
      </x:c>
      <x:c r="O2666" t="n">
        <x:v>1</x:v>
      </x:c>
      <x:c r="P2666" t="str">
        <x:v>short</x:v>
      </x:c>
      <x:c r="Q2666" t="str">
        <x:v>right</x:v>
      </x:c>
      <x:c r="R2666" t="n">
        <x:v>12</x:v>
      </x:c>
      <x:c r="S2666" t="n">
        <x:v>0</x:v>
      </x:c>
      <x:c r="T2666"/>
      <x:c r="U2666"/>
      <x:c r="V2666" t="n">
        <x:v>1</x:v>
      </x:c>
      <x:c r="W2666" t="n">
        <x:v>1</x:v>
      </x:c>
      <x:c r="X2666" t="n">
        <x:v>0</x:v>
      </x:c>
      <x:c r="Y2666" t="n">
        <x:v>0</x:v>
      </x:c>
      <x:c r="Z2666" t="n">
        <x:v>0</x:v>
      </x:c>
      <x:c r="AA2666" t="n">
        <x:v>0</x:v>
      </x:c>
      <x:c r="AB2666"/>
      <x:c r="AC2666" t="n">
        <x:v>0</x:v>
      </x:c>
      <x:c r="AD2666" t="n">
        <x:v>1.501733661396429</x:v>
      </x:c>
      <x:c r="AE2666" t="n">
        <x:v>1</x:v>
      </x:c>
      <x:c r="AF2666" t="n">
        <x:v>0.03701382875442505</x:v>
      </x:c>
      <x:c r="AG2666" t="n">
        <x:f>_xlfn.XLOOKUP($A2666,Games!$A$2:$A$18,Games!$B$2:$B$18,"Missing game",0)</x:f>
        <x:v>2025</x:v>
      </x:c>
      <x:c r="AH2666" t="str">
        <x:f>_xlfn.XLOOKUP($A2666,Games!$A$2:$A$18,Games!$C$2:$C$18,"Missing game",0)</x:f>
        <x:v>REG</x:v>
      </x:c>
      <x:c r="AI2666" t="n">
        <x:f>_xlfn.XLOOKUP($A2666,Games!$A$2:$A$18,Games!$D$2:$D$18,"Missing game",0)</x:f>
        <x:v>18</x:v>
      </x:c>
      <x:c r="AJ2666" s="1" t="n">
        <x:f>_xlfn.XLOOKUP($A2666,Games!$A$2:$A$18,Games!$E$2:$E$18,"Missing game",0)</x:f>
        <x:v>46026</x:v>
      </x:c>
      <x:c r="AK2666" t="str">
        <x:f>_xlfn.XLOOKUP($A2666,Games!$A$2:$A$18,Games!$F$2:$F$18,"Missing game",0)</x:f>
        <x:v>Sunday</x:v>
      </x:c>
      <x:c r="AL2666" t="str">
        <x:f>_xlfn.XLOOKUP($A2666,Games!$A$2:$A$18,Games!$G$2:$G$18,"Missing game",0)</x:f>
        <x:v>GB</x:v>
      </x:c>
      <x:c r="AM2666" t="n">
        <x:f>_xlfn.XLOOKUP($A2666,Games!$A$2:$A$18,Games!$H$2:$H$18,"Missing game",0)</x:f>
        <x:v>3</x:v>
      </x:c>
      <x:c r="AN2666" t="str">
        <x:f>_xlfn.XLOOKUP($A2666,Games!$A$2:$A$18,Games!$I$2:$I$18,"Missing game",0)</x:f>
        <x:v>MIN</x:v>
      </x:c>
      <x:c r="AO2666" t="n">
        <x:f>_xlfn.XLOOKUP($A2666,Games!$A$2:$A$18,Games!$J$2:$J$18,"Missing game",0)</x:f>
        <x:v>16</x:v>
      </x:c>
      <x:c r="AP2666" t="n">
        <x:f>_xlfn.XLOOKUP($A2666,Games!$A$2:$A$18,Games!$K$2:$K$18,"Missing game",0)</x:f>
        <x:v>13</x:v>
      </x:c>
      <x:c r="AQ2666" t="n">
        <x:f>_xlfn.XLOOKUP($A2666,Games!$A$2:$A$18,Games!$L$2:$L$18,"Missing game",0)</x:f>
        <x:v>19</x:v>
      </x:c>
      <x:c r="AR2666" t="n">
        <x:f>_xlfn.XLOOKUP($A2666,Games!$A$2:$A$18,Games!$M$2:$M$18,"Missing game",0)</x:f>
        <x:v>0</x:v>
      </x:c>
      <x:c r="AS2666" t="str">
        <x:f>_xlfn.XLOOKUP($A2666,Games!$A$2:$A$18,Games!$N$2:$N$18,"Missing game",0)</x:f>
        <x:v>dome</x:v>
      </x:c>
      <x:c r="AT2666" t="str">
        <x:f>_xlfn.XLOOKUP($A2666,Games!$A$2:$A$18,Games!$O$2:$O$18,"Missing game",0)</x:f>
        <x:v>sportturf</x:v>
      </x:c>
      <x:c r="AU2666" t="str">
        <x:f>_xlfn.XLOOKUP($A2666,Games!$A$2:$A$18,Games!$P$2:$P$18,"Missing game",0)</x:f>
      </x:c>
      <x:c r="AV2666" t="str">
        <x:f>_xlfn.XLOOKUP($A2666,Games!$A$2:$A$18,Games!$Q$2:$Q$18,"Missing game",0)</x:f>
      </x:c>
      <x:c r="AW2666" t="str">
        <x:f>_xlfn.XLOOKUP($A2666,Games!$A$2:$A$18,Games!$R$2:$R$18,"Missing game",0)</x:f>
        <x:v>U.S. Bank Stadium</x:v>
      </x:c>
    </x:row>
    <x:row r="2667">
      <x:c r="A2667" t="str">
        <x:v>2025_18_GB_MIN</x:v>
      </x:c>
      <x:c r="B2667" t="n">
        <x:v>697</x:v>
      </x:c>
      <x:c r="C2667" t="n">
        <x:v>1</x:v>
      </x:c>
      <x:c r="D2667" t="str">
        <x:v>02:51</x:v>
      </x:c>
      <x:c r="E2667" t="n">
        <x:v>1</x:v>
      </x:c>
      <x:c r="F2667" t="n">
        <x:v>10</x:v>
      </x:c>
      <x:c r="G2667" t="str">
        <x:v>MIN</x:v>
      </x:c>
      <x:c r="H2667" t="str">
        <x:v>GB</x:v>
      </x:c>
      <x:c r="I2667" t="str">
        <x:v>MIN</x:v>
      </x:c>
      <x:c r="J2667" t="n">
        <x:v>67</x:v>
      </x:c>
      <x:c r="K2667" t="str">
        <x:v>(2:51) 32-T.Chandler left end to MIN 37 for 4 yards (99-B.Sorrell; 45-C.Oliver). PENALTY on GB-91-W.Brinson, Defensive Offside, 5 yards, enforced at MIN 33 - No Play.</x:v>
      </x:c>
      <x:c r="L2667" t="str">
        <x:v>no_play</x:v>
      </x:c>
      <x:c r="M2667" t="n">
        <x:v>0</x:v>
      </x:c>
      <x:c r="N2667" t="n">
        <x:v>0</x:v>
      </x:c>
      <x:c r="O2667" t="n">
        <x:v>0</x:v>
      </x:c>
      <x:c r="P2667"/>
      <x:c r="Q2667"/>
      <x:c r="R2667"/>
      <x:c r="S2667"/>
      <x:c r="T2667"/>
      <x:c r="U2667"/>
      <x:c r="V2667" t="n">
        <x:v>0</x:v>
      </x:c>
      <x:c r="W2667" t="n">
        <x:v>0</x:v>
      </x:c>
      <x:c r="X2667" t="n">
        <x:v>0</x:v>
      </x:c>
      <x:c r="Y2667" t="n">
        <x:v>0</x:v>
      </x:c>
      <x:c r="Z2667" t="n">
        <x:v>0</x:v>
      </x:c>
      <x:c r="AA2667" t="n">
        <x:v>1</x:v>
      </x:c>
      <x:c r="AB2667" t="n">
        <x:v>5</x:v>
      </x:c>
      <x:c r="AC2667" t="n">
        <x:v>0</x:v>
      </x:c>
      <x:c r="AD2667" t="n">
        <x:v>0.5354679266456515</x:v>
      </x:c>
      <x:c r="AE2667" t="n">
        <x:v>1</x:v>
      </x:c>
      <x:c r="AF2667" t="n">
        <x:v>0.0034047961235046387</x:v>
      </x:c>
      <x:c r="AG2667" t="n">
        <x:f>_xlfn.XLOOKUP($A2667,Games!$A$2:$A$18,Games!$B$2:$B$18,"Missing game",0)</x:f>
        <x:v>2025</x:v>
      </x:c>
      <x:c r="AH2667" t="str">
        <x:f>_xlfn.XLOOKUP($A2667,Games!$A$2:$A$18,Games!$C$2:$C$18,"Missing game",0)</x:f>
        <x:v>REG</x:v>
      </x:c>
      <x:c r="AI2667" t="n">
        <x:f>_xlfn.XLOOKUP($A2667,Games!$A$2:$A$18,Games!$D$2:$D$18,"Missing game",0)</x:f>
        <x:v>18</x:v>
      </x:c>
      <x:c r="AJ2667" s="1" t="n">
        <x:f>_xlfn.XLOOKUP($A2667,Games!$A$2:$A$18,Games!$E$2:$E$18,"Missing game",0)</x:f>
        <x:v>46026</x:v>
      </x:c>
      <x:c r="AK2667" t="str">
        <x:f>_xlfn.XLOOKUP($A2667,Games!$A$2:$A$18,Games!$F$2:$F$18,"Missing game",0)</x:f>
        <x:v>Sunday</x:v>
      </x:c>
      <x:c r="AL2667" t="str">
        <x:f>_xlfn.XLOOKUP($A2667,Games!$A$2:$A$18,Games!$G$2:$G$18,"Missing game",0)</x:f>
        <x:v>GB</x:v>
      </x:c>
      <x:c r="AM2667" t="n">
        <x:f>_xlfn.XLOOKUP($A2667,Games!$A$2:$A$18,Games!$H$2:$H$18,"Missing game",0)</x:f>
        <x:v>3</x:v>
      </x:c>
      <x:c r="AN2667" t="str">
        <x:f>_xlfn.XLOOKUP($A2667,Games!$A$2:$A$18,Games!$I$2:$I$18,"Missing game",0)</x:f>
        <x:v>MIN</x:v>
      </x:c>
      <x:c r="AO2667" t="n">
        <x:f>_xlfn.XLOOKUP($A2667,Games!$A$2:$A$18,Games!$J$2:$J$18,"Missing game",0)</x:f>
        <x:v>16</x:v>
      </x:c>
      <x:c r="AP2667" t="n">
        <x:f>_xlfn.XLOOKUP($A2667,Games!$A$2:$A$18,Games!$K$2:$K$18,"Missing game",0)</x:f>
        <x:v>13</x:v>
      </x:c>
      <x:c r="AQ2667" t="n">
        <x:f>_xlfn.XLOOKUP($A2667,Games!$A$2:$A$18,Games!$L$2:$L$18,"Missing game",0)</x:f>
        <x:v>19</x:v>
      </x:c>
      <x:c r="AR2667" t="n">
        <x:f>_xlfn.XLOOKUP($A2667,Games!$A$2:$A$18,Games!$M$2:$M$18,"Missing game",0)</x:f>
        <x:v>0</x:v>
      </x:c>
      <x:c r="AS2667" t="str">
        <x:f>_xlfn.XLOOKUP($A2667,Games!$A$2:$A$18,Games!$N$2:$N$18,"Missing game",0)</x:f>
        <x:v>dome</x:v>
      </x:c>
      <x:c r="AT2667" t="str">
        <x:f>_xlfn.XLOOKUP($A2667,Games!$A$2:$A$18,Games!$O$2:$O$18,"Missing game",0)</x:f>
        <x:v>sportturf</x:v>
      </x:c>
      <x:c r="AU2667" t="str">
        <x:f>_xlfn.XLOOKUP($A2667,Games!$A$2:$A$18,Games!$P$2:$P$18,"Missing game",0)</x:f>
      </x:c>
      <x:c r="AV2667" t="str">
        <x:f>_xlfn.XLOOKUP($A2667,Games!$A$2:$A$18,Games!$Q$2:$Q$18,"Missing game",0)</x:f>
      </x:c>
      <x:c r="AW2667" t="str">
        <x:f>_xlfn.XLOOKUP($A2667,Games!$A$2:$A$18,Games!$R$2:$R$18,"Missing game",0)</x:f>
        <x:v>U.S. Bank Stadium</x:v>
      </x:c>
    </x:row>
    <x:row r="2668">
      <x:c r="A2668" t="str">
        <x:v>2025_18_GB_MIN</x:v>
      </x:c>
      <x:c r="B2668" t="n">
        <x:v>730</x:v>
      </x:c>
      <x:c r="C2668" t="n">
        <x:v>1</x:v>
      </x:c>
      <x:c r="D2668" t="str">
        <x:v>02:25</x:v>
      </x:c>
      <x:c r="E2668" t="n">
        <x:v>1</x:v>
      </x:c>
      <x:c r="F2668" t="n">
        <x:v>5</x:v>
      </x:c>
      <x:c r="G2668" t="str">
        <x:v>MIN</x:v>
      </x:c>
      <x:c r="H2668" t="str">
        <x:v>GB</x:v>
      </x:c>
      <x:c r="I2668" t="str">
        <x:v>MIN</x:v>
      </x:c>
      <x:c r="J2668" t="n">
        <x:v>62</x:v>
      </x:c>
      <x:c r="K2668" t="str">
        <x:v>(2:25) 9-J.McCarthy pass incomplete deep right to 89-B.Sims [45-C.Oliver].</x:v>
      </x:c>
      <x:c r="L2668" t="str">
        <x:v>pass</x:v>
      </x:c>
      <x:c r="M2668" t="n">
        <x:v>0</x:v>
      </x:c>
      <x:c r="N2668" t="n">
        <x:v>0</x:v>
      </x:c>
      <x:c r="O2668" t="n">
        <x:v>0</x:v>
      </x:c>
      <x:c r="P2668" t="str">
        <x:v>deep</x:v>
      </x:c>
      <x:c r="Q2668" t="str">
        <x:v>right</x:v>
      </x:c>
      <x:c r="R2668" t="n">
        <x:v>27</x:v>
      </x:c>
      <x:c r="S2668"/>
      <x:c r="T2668"/>
      <x:c r="U2668"/>
      <x:c r="V2668" t="n">
        <x:v>0</x:v>
      </x:c>
      <x:c r="W2668" t="n">
        <x:v>0</x:v>
      </x:c>
      <x:c r="X2668" t="n">
        <x:v>0</x:v>
      </x:c>
      <x:c r="Y2668" t="n">
        <x:v>0</x:v>
      </x:c>
      <x:c r="Z2668" t="n">
        <x:v>0</x:v>
      </x:c>
      <x:c r="AA2668" t="n">
        <x:v>0</x:v>
      </x:c>
      <x:c r="AB2668"/>
      <x:c r="AC2668" t="n">
        <x:v>0</x:v>
      </x:c>
      <x:c r="AD2668" t="n">
        <x:v>-0.5810479046776891</x:v>
      </x:c>
      <x:c r="AE2668" t="n">
        <x:v>0</x:v>
      </x:c>
      <x:c r="AF2668" t="n">
        <x:v>-0.012628257274627686</x:v>
      </x:c>
      <x:c r="AG2668" t="n">
        <x:f>_xlfn.XLOOKUP($A2668,Games!$A$2:$A$18,Games!$B$2:$B$18,"Missing game",0)</x:f>
        <x:v>2025</x:v>
      </x:c>
      <x:c r="AH2668" t="str">
        <x:f>_xlfn.XLOOKUP($A2668,Games!$A$2:$A$18,Games!$C$2:$C$18,"Missing game",0)</x:f>
        <x:v>REG</x:v>
      </x:c>
      <x:c r="AI2668" t="n">
        <x:f>_xlfn.XLOOKUP($A2668,Games!$A$2:$A$18,Games!$D$2:$D$18,"Missing game",0)</x:f>
        <x:v>18</x:v>
      </x:c>
      <x:c r="AJ2668" s="1" t="n">
        <x:f>_xlfn.XLOOKUP($A2668,Games!$A$2:$A$18,Games!$E$2:$E$18,"Missing game",0)</x:f>
        <x:v>46026</x:v>
      </x:c>
      <x:c r="AK2668" t="str">
        <x:f>_xlfn.XLOOKUP($A2668,Games!$A$2:$A$18,Games!$F$2:$F$18,"Missing game",0)</x:f>
        <x:v>Sunday</x:v>
      </x:c>
      <x:c r="AL2668" t="str">
        <x:f>_xlfn.XLOOKUP($A2668,Games!$A$2:$A$18,Games!$G$2:$G$18,"Missing game",0)</x:f>
        <x:v>GB</x:v>
      </x:c>
      <x:c r="AM2668" t="n">
        <x:f>_xlfn.XLOOKUP($A2668,Games!$A$2:$A$18,Games!$H$2:$H$18,"Missing game",0)</x:f>
        <x:v>3</x:v>
      </x:c>
      <x:c r="AN2668" t="str">
        <x:f>_xlfn.XLOOKUP($A2668,Games!$A$2:$A$18,Games!$I$2:$I$18,"Missing game",0)</x:f>
        <x:v>MIN</x:v>
      </x:c>
      <x:c r="AO2668" t="n">
        <x:f>_xlfn.XLOOKUP($A2668,Games!$A$2:$A$18,Games!$J$2:$J$18,"Missing game",0)</x:f>
        <x:v>16</x:v>
      </x:c>
      <x:c r="AP2668" t="n">
        <x:f>_xlfn.XLOOKUP($A2668,Games!$A$2:$A$18,Games!$K$2:$K$18,"Missing game",0)</x:f>
        <x:v>13</x:v>
      </x:c>
      <x:c r="AQ2668" t="n">
        <x:f>_xlfn.XLOOKUP($A2668,Games!$A$2:$A$18,Games!$L$2:$L$18,"Missing game",0)</x:f>
        <x:v>19</x:v>
      </x:c>
      <x:c r="AR2668" t="n">
        <x:f>_xlfn.XLOOKUP($A2668,Games!$A$2:$A$18,Games!$M$2:$M$18,"Missing game",0)</x:f>
        <x:v>0</x:v>
      </x:c>
      <x:c r="AS2668" t="str">
        <x:f>_xlfn.XLOOKUP($A2668,Games!$A$2:$A$18,Games!$N$2:$N$18,"Missing game",0)</x:f>
        <x:v>dome</x:v>
      </x:c>
      <x:c r="AT2668" t="str">
        <x:f>_xlfn.XLOOKUP($A2668,Games!$A$2:$A$18,Games!$O$2:$O$18,"Missing game",0)</x:f>
        <x:v>sportturf</x:v>
      </x:c>
      <x:c r="AU2668" t="str">
        <x:f>_xlfn.XLOOKUP($A2668,Games!$A$2:$A$18,Games!$P$2:$P$18,"Missing game",0)</x:f>
      </x:c>
      <x:c r="AV2668" t="str">
        <x:f>_xlfn.XLOOKUP($A2668,Games!$A$2:$A$18,Games!$Q$2:$Q$18,"Missing game",0)</x:f>
      </x:c>
      <x:c r="AW2668" t="str">
        <x:f>_xlfn.XLOOKUP($A2668,Games!$A$2:$A$18,Games!$R$2:$R$18,"Missing game",0)</x:f>
        <x:v>U.S. Bank Stadium</x:v>
      </x:c>
    </x:row>
    <x:row r="2669">
      <x:c r="A2669" t="str">
        <x:v>2025_18_GB_MIN</x:v>
      </x:c>
      <x:c r="B2669" t="n">
        <x:v>753</x:v>
      </x:c>
      <x:c r="C2669" t="n">
        <x:v>1</x:v>
      </x:c>
      <x:c r="D2669" t="str">
        <x:v>02:19</x:v>
      </x:c>
      <x:c r="E2669" t="n">
        <x:v>2</x:v>
      </x:c>
      <x:c r="F2669" t="n">
        <x:v>5</x:v>
      </x:c>
      <x:c r="G2669" t="str">
        <x:v>MIN</x:v>
      </x:c>
      <x:c r="H2669" t="str">
        <x:v>GB</x:v>
      </x:c>
      <x:c r="I2669" t="str">
        <x:v>MIN</x:v>
      </x:c>
      <x:c r="J2669" t="n">
        <x:v>62</x:v>
      </x:c>
      <x:c r="K2669" t="str">
        <x:v>(2:19) 32-T.Chandler left end pushed ob at MIN 42 for 4 yards (27-K.Oladapo).</x:v>
      </x:c>
      <x:c r="L2669" t="str">
        <x:v>run</x:v>
      </x:c>
      <x:c r="M2669" t="n">
        <x:v>4</x:v>
      </x:c>
      <x:c r="N2669" t="n">
        <x:v>0</x:v>
      </x:c>
      <x:c r="O2669" t="n">
        <x:v>0</x:v>
      </x:c>
      <x:c r="P2669"/>
      <x:c r="Q2669"/>
      <x:c r="R2669"/>
      <x:c r="S2669"/>
      <x:c r="T2669" t="str">
        <x:v>left</x:v>
      </x:c>
      <x:c r="U2669" t="str">
        <x:v>end</x:v>
      </x:c>
      <x:c r="V2669" t="n">
        <x:v>0</x:v>
      </x:c>
      <x:c r="W2669" t="n">
        <x:v>0</x:v>
      </x:c>
      <x:c r="X2669" t="n">
        <x:v>0</x:v>
      </x:c>
      <x:c r="Y2669" t="n">
        <x:v>0</x:v>
      </x:c>
      <x:c r="Z2669" t="n">
        <x:v>0</x:v>
      </x:c>
      <x:c r="AA2669" t="n">
        <x:v>0</x:v>
      </x:c>
      <x:c r="AB2669"/>
      <x:c r="AC2669" t="n">
        <x:v>0</x:v>
      </x:c>
      <x:c r="AD2669" t="n">
        <x:v>0.11333045084029436</x:v>
      </x:c>
      <x:c r="AE2669" t="n">
        <x:v>1</x:v>
      </x:c>
      <x:c r="AF2669" t="n">
        <x:v>-0.011093378067016602</x:v>
      </x:c>
      <x:c r="AG2669" t="n">
        <x:f>_xlfn.XLOOKUP($A2669,Games!$A$2:$A$18,Games!$B$2:$B$18,"Missing game",0)</x:f>
        <x:v>2025</x:v>
      </x:c>
      <x:c r="AH2669" t="str">
        <x:f>_xlfn.XLOOKUP($A2669,Games!$A$2:$A$18,Games!$C$2:$C$18,"Missing game",0)</x:f>
        <x:v>REG</x:v>
      </x:c>
      <x:c r="AI2669" t="n">
        <x:f>_xlfn.XLOOKUP($A2669,Games!$A$2:$A$18,Games!$D$2:$D$18,"Missing game",0)</x:f>
        <x:v>18</x:v>
      </x:c>
      <x:c r="AJ2669" s="1" t="n">
        <x:f>_xlfn.XLOOKUP($A2669,Games!$A$2:$A$18,Games!$E$2:$E$18,"Missing game",0)</x:f>
        <x:v>46026</x:v>
      </x:c>
      <x:c r="AK2669" t="str">
        <x:f>_xlfn.XLOOKUP($A2669,Games!$A$2:$A$18,Games!$F$2:$F$18,"Missing game",0)</x:f>
        <x:v>Sunday</x:v>
      </x:c>
      <x:c r="AL2669" t="str">
        <x:f>_xlfn.XLOOKUP($A2669,Games!$A$2:$A$18,Games!$G$2:$G$18,"Missing game",0)</x:f>
        <x:v>GB</x:v>
      </x:c>
      <x:c r="AM2669" t="n">
        <x:f>_xlfn.XLOOKUP($A2669,Games!$A$2:$A$18,Games!$H$2:$H$18,"Missing game",0)</x:f>
        <x:v>3</x:v>
      </x:c>
      <x:c r="AN2669" t="str">
        <x:f>_xlfn.XLOOKUP($A2669,Games!$A$2:$A$18,Games!$I$2:$I$18,"Missing game",0)</x:f>
        <x:v>MIN</x:v>
      </x:c>
      <x:c r="AO2669" t="n">
        <x:f>_xlfn.XLOOKUP($A2669,Games!$A$2:$A$18,Games!$J$2:$J$18,"Missing game",0)</x:f>
        <x:v>16</x:v>
      </x:c>
      <x:c r="AP2669" t="n">
        <x:f>_xlfn.XLOOKUP($A2669,Games!$A$2:$A$18,Games!$K$2:$K$18,"Missing game",0)</x:f>
        <x:v>13</x:v>
      </x:c>
      <x:c r="AQ2669" t="n">
        <x:f>_xlfn.XLOOKUP($A2669,Games!$A$2:$A$18,Games!$L$2:$L$18,"Missing game",0)</x:f>
        <x:v>19</x:v>
      </x:c>
      <x:c r="AR2669" t="n">
        <x:f>_xlfn.XLOOKUP($A2669,Games!$A$2:$A$18,Games!$M$2:$M$18,"Missing game",0)</x:f>
        <x:v>0</x:v>
      </x:c>
      <x:c r="AS2669" t="str">
        <x:f>_xlfn.XLOOKUP($A2669,Games!$A$2:$A$18,Games!$N$2:$N$18,"Missing game",0)</x:f>
        <x:v>dome</x:v>
      </x:c>
      <x:c r="AT2669" t="str">
        <x:f>_xlfn.XLOOKUP($A2669,Games!$A$2:$A$18,Games!$O$2:$O$18,"Missing game",0)</x:f>
        <x:v>sportturf</x:v>
      </x:c>
      <x:c r="AU2669" t="str">
        <x:f>_xlfn.XLOOKUP($A2669,Games!$A$2:$A$18,Games!$P$2:$P$18,"Missing game",0)</x:f>
      </x:c>
      <x:c r="AV2669" t="str">
        <x:f>_xlfn.XLOOKUP($A2669,Games!$A$2:$A$18,Games!$Q$2:$Q$18,"Missing game",0)</x:f>
      </x:c>
      <x:c r="AW2669" t="str">
        <x:f>_xlfn.XLOOKUP($A2669,Games!$A$2:$A$18,Games!$R$2:$R$18,"Missing game",0)</x:f>
        <x:v>U.S. Bank Stadium</x:v>
      </x:c>
    </x:row>
    <x:row r="2670">
      <x:c r="A2670" t="str">
        <x:v>2025_18_GB_MIN</x:v>
      </x:c>
      <x:c r="B2670" t="n">
        <x:v>780</x:v>
      </x:c>
      <x:c r="C2670" t="n">
        <x:v>1</x:v>
      </x:c>
      <x:c r="D2670" t="str">
        <x:v>01:36</x:v>
      </x:c>
      <x:c r="E2670" t="n">
        <x:v>3</x:v>
      </x:c>
      <x:c r="F2670" t="n">
        <x:v>1</x:v>
      </x:c>
      <x:c r="G2670" t="str">
        <x:v>MIN</x:v>
      </x:c>
      <x:c r="H2670" t="str">
        <x:v>GB</x:v>
      </x:c>
      <x:c r="I2670" t="str">
        <x:v>MIN</x:v>
      </x:c>
      <x:c r="J2670" t="n">
        <x:v>58</x:v>
      </x:c>
      <x:c r="K2670" t="str">
        <x:v>(1:36) 32-T.Chandler up the middle to MIN 41 for -1 yards (99-B.Sorrell).</x:v>
      </x:c>
      <x:c r="L2670" t="str">
        <x:v>run</x:v>
      </x:c>
      <x:c r="M2670" t="n">
        <x:v>-1</x:v>
      </x:c>
      <x:c r="N2670" t="n">
        <x:v>0</x:v>
      </x:c>
      <x:c r="O2670" t="n">
        <x:v>0</x:v>
      </x:c>
      <x:c r="P2670"/>
      <x:c r="Q2670"/>
      <x:c r="R2670"/>
      <x:c r="S2670"/>
      <x:c r="T2670" t="str">
        <x:v>middle</x:v>
      </x:c>
      <x:c r="U2670"/>
      <x:c r="V2670" t="n">
        <x:v>0</x:v>
      </x:c>
      <x:c r="W2670" t="n">
        <x:v>0</x:v>
      </x:c>
      <x:c r="X2670" t="n">
        <x:v>0</x:v>
      </x:c>
      <x:c r="Y2670" t="n">
        <x:v>0</x:v>
      </x:c>
      <x:c r="Z2670" t="n">
        <x:v>0</x:v>
      </x:c>
      <x:c r="AA2670" t="n">
        <x:v>0</x:v>
      </x:c>
      <x:c r="AB2670"/>
      <x:c r="AC2670" t="n">
        <x:v>0</x:v>
      </x:c>
      <x:c r="AD2670" t="n">
        <x:v>-2.262755702249706</x:v>
      </x:c>
      <x:c r="AE2670" t="n">
        <x:v>0</x:v>
      </x:c>
      <x:c r="AF2670" t="n">
        <x:v>-0.04132544994354248</x:v>
      </x:c>
      <x:c r="AG2670" t="n">
        <x:f>_xlfn.XLOOKUP($A2670,Games!$A$2:$A$18,Games!$B$2:$B$18,"Missing game",0)</x:f>
        <x:v>2025</x:v>
      </x:c>
      <x:c r="AH2670" t="str">
        <x:f>_xlfn.XLOOKUP($A2670,Games!$A$2:$A$18,Games!$C$2:$C$18,"Missing game",0)</x:f>
        <x:v>REG</x:v>
      </x:c>
      <x:c r="AI2670" t="n">
        <x:f>_xlfn.XLOOKUP($A2670,Games!$A$2:$A$18,Games!$D$2:$D$18,"Missing game",0)</x:f>
        <x:v>18</x:v>
      </x:c>
      <x:c r="AJ2670" s="1" t="n">
        <x:f>_xlfn.XLOOKUP($A2670,Games!$A$2:$A$18,Games!$E$2:$E$18,"Missing game",0)</x:f>
        <x:v>46026</x:v>
      </x:c>
      <x:c r="AK2670" t="str">
        <x:f>_xlfn.XLOOKUP($A2670,Games!$A$2:$A$18,Games!$F$2:$F$18,"Missing game",0)</x:f>
        <x:v>Sunday</x:v>
      </x:c>
      <x:c r="AL2670" t="str">
        <x:f>_xlfn.XLOOKUP($A2670,Games!$A$2:$A$18,Games!$G$2:$G$18,"Missing game",0)</x:f>
        <x:v>GB</x:v>
      </x:c>
      <x:c r="AM2670" t="n">
        <x:f>_xlfn.XLOOKUP($A2670,Games!$A$2:$A$18,Games!$H$2:$H$18,"Missing game",0)</x:f>
        <x:v>3</x:v>
      </x:c>
      <x:c r="AN2670" t="str">
        <x:f>_xlfn.XLOOKUP($A2670,Games!$A$2:$A$18,Games!$I$2:$I$18,"Missing game",0)</x:f>
        <x:v>MIN</x:v>
      </x:c>
      <x:c r="AO2670" t="n">
        <x:f>_xlfn.XLOOKUP($A2670,Games!$A$2:$A$18,Games!$J$2:$J$18,"Missing game",0)</x:f>
        <x:v>16</x:v>
      </x:c>
      <x:c r="AP2670" t="n">
        <x:f>_xlfn.XLOOKUP($A2670,Games!$A$2:$A$18,Games!$K$2:$K$18,"Missing game",0)</x:f>
        <x:v>13</x:v>
      </x:c>
      <x:c r="AQ2670" t="n">
        <x:f>_xlfn.XLOOKUP($A2670,Games!$A$2:$A$18,Games!$L$2:$L$18,"Missing game",0)</x:f>
        <x:v>19</x:v>
      </x:c>
      <x:c r="AR2670" t="n">
        <x:f>_xlfn.XLOOKUP($A2670,Games!$A$2:$A$18,Games!$M$2:$M$18,"Missing game",0)</x:f>
        <x:v>0</x:v>
      </x:c>
      <x:c r="AS2670" t="str">
        <x:f>_xlfn.XLOOKUP($A2670,Games!$A$2:$A$18,Games!$N$2:$N$18,"Missing game",0)</x:f>
        <x:v>dome</x:v>
      </x:c>
      <x:c r="AT2670" t="str">
        <x:f>_xlfn.XLOOKUP($A2670,Games!$A$2:$A$18,Games!$O$2:$O$18,"Missing game",0)</x:f>
        <x:v>sportturf</x:v>
      </x:c>
      <x:c r="AU2670" t="str">
        <x:f>_xlfn.XLOOKUP($A2670,Games!$A$2:$A$18,Games!$P$2:$P$18,"Missing game",0)</x:f>
      </x:c>
      <x:c r="AV2670" t="str">
        <x:f>_xlfn.XLOOKUP($A2670,Games!$A$2:$A$18,Games!$Q$2:$Q$18,"Missing game",0)</x:f>
      </x:c>
      <x:c r="AW2670" t="str">
        <x:f>_xlfn.XLOOKUP($A2670,Games!$A$2:$A$18,Games!$R$2:$R$18,"Missing game",0)</x:f>
        <x:v>U.S. Bank Stadium</x:v>
      </x:c>
    </x:row>
    <x:row r="2671">
      <x:c r="A2671" t="str">
        <x:v>2025_18_GB_MIN</x:v>
      </x:c>
      <x:c r="B2671" t="n">
        <x:v>802</x:v>
      </x:c>
      <x:c r="C2671" t="n">
        <x:v>1</x:v>
      </x:c>
      <x:c r="D2671" t="str">
        <x:v>00:51</x:v>
      </x:c>
      <x:c r="E2671" t="n">
        <x:v>4</x:v>
      </x:c>
      <x:c r="F2671" t="n">
        <x:v>2</x:v>
      </x:c>
      <x:c r="G2671" t="str">
        <x:v>MIN</x:v>
      </x:c>
      <x:c r="H2671" t="str">
        <x:v>GB</x:v>
      </x:c>
      <x:c r="I2671" t="str">
        <x:v>MIN</x:v>
      </x:c>
      <x:c r="J2671" t="n">
        <x:v>59</x:v>
      </x:c>
      <x:c r="K2671" t="str">
        <x:v>(:51) 17-R.Wright punts 49 yards to GB 10, Center-42-A.DePaola, downed by MIN-13-T.Felton.</x:v>
      </x:c>
      <x:c r="L2671" t="str">
        <x:v>punt</x:v>
      </x:c>
      <x:c r="M2671" t="n">
        <x:v>0</x:v>
      </x:c>
      <x:c r="N2671" t="n">
        <x:v>0</x:v>
      </x:c>
      <x:c r="O2671" t="n">
        <x:v>0</x:v>
      </x:c>
      <x:c r="P2671"/>
      <x:c r="Q2671"/>
      <x:c r="R2671"/>
      <x:c r="S2671"/>
      <x:c r="T2671"/>
      <x:c r="U2671"/>
      <x:c r="V2671" t="n">
        <x:v>0</x:v>
      </x:c>
      <x:c r="W2671" t="n">
        <x:v>0</x:v>
      </x:c>
      <x:c r="X2671" t="n">
        <x:v>0</x:v>
      </x:c>
      <x:c r="Y2671" t="n">
        <x:v>0</x:v>
      </x:c>
      <x:c r="Z2671" t="n">
        <x:v>0</x:v>
      </x:c>
      <x:c r="AA2671" t="n">
        <x:v>0</x:v>
      </x:c>
      <x:c r="AB2671"/>
      <x:c r="AC2671" t="n">
        <x:v>0</x:v>
      </x:c>
      <x:c r="AD2671" t="n">
        <x:v>-0.0695898572448641</x:v>
      </x:c>
      <x:c r="AE2671" t="n">
        <x:v>0</x:v>
      </x:c>
      <x:c r="AF2671" t="n">
        <x:v>0.010625004768371582</x:v>
      </x:c>
      <x:c r="AG2671" t="n">
        <x:f>_xlfn.XLOOKUP($A2671,Games!$A$2:$A$18,Games!$B$2:$B$18,"Missing game",0)</x:f>
        <x:v>2025</x:v>
      </x:c>
      <x:c r="AH2671" t="str">
        <x:f>_xlfn.XLOOKUP($A2671,Games!$A$2:$A$18,Games!$C$2:$C$18,"Missing game",0)</x:f>
        <x:v>REG</x:v>
      </x:c>
      <x:c r="AI2671" t="n">
        <x:f>_xlfn.XLOOKUP($A2671,Games!$A$2:$A$18,Games!$D$2:$D$18,"Missing game",0)</x:f>
        <x:v>18</x:v>
      </x:c>
      <x:c r="AJ2671" s="1" t="n">
        <x:f>_xlfn.XLOOKUP($A2671,Games!$A$2:$A$18,Games!$E$2:$E$18,"Missing game",0)</x:f>
        <x:v>46026</x:v>
      </x:c>
      <x:c r="AK2671" t="str">
        <x:f>_xlfn.XLOOKUP($A2671,Games!$A$2:$A$18,Games!$F$2:$F$18,"Missing game",0)</x:f>
        <x:v>Sunday</x:v>
      </x:c>
      <x:c r="AL2671" t="str">
        <x:f>_xlfn.XLOOKUP($A2671,Games!$A$2:$A$18,Games!$G$2:$G$18,"Missing game",0)</x:f>
        <x:v>GB</x:v>
      </x:c>
      <x:c r="AM2671" t="n">
        <x:f>_xlfn.XLOOKUP($A2671,Games!$A$2:$A$18,Games!$H$2:$H$18,"Missing game",0)</x:f>
        <x:v>3</x:v>
      </x:c>
      <x:c r="AN2671" t="str">
        <x:f>_xlfn.XLOOKUP($A2671,Games!$A$2:$A$18,Games!$I$2:$I$18,"Missing game",0)</x:f>
        <x:v>MIN</x:v>
      </x:c>
      <x:c r="AO2671" t="n">
        <x:f>_xlfn.XLOOKUP($A2671,Games!$A$2:$A$18,Games!$J$2:$J$18,"Missing game",0)</x:f>
        <x:v>16</x:v>
      </x:c>
      <x:c r="AP2671" t="n">
        <x:f>_xlfn.XLOOKUP($A2671,Games!$A$2:$A$18,Games!$K$2:$K$18,"Missing game",0)</x:f>
        <x:v>13</x:v>
      </x:c>
      <x:c r="AQ2671" t="n">
        <x:f>_xlfn.XLOOKUP($A2671,Games!$A$2:$A$18,Games!$L$2:$L$18,"Missing game",0)</x:f>
        <x:v>19</x:v>
      </x:c>
      <x:c r="AR2671" t="n">
        <x:f>_xlfn.XLOOKUP($A2671,Games!$A$2:$A$18,Games!$M$2:$M$18,"Missing game",0)</x:f>
        <x:v>0</x:v>
      </x:c>
      <x:c r="AS2671" t="str">
        <x:f>_xlfn.XLOOKUP($A2671,Games!$A$2:$A$18,Games!$N$2:$N$18,"Missing game",0)</x:f>
        <x:v>dome</x:v>
      </x:c>
      <x:c r="AT2671" t="str">
        <x:f>_xlfn.XLOOKUP($A2671,Games!$A$2:$A$18,Games!$O$2:$O$18,"Missing game",0)</x:f>
        <x:v>sportturf</x:v>
      </x:c>
      <x:c r="AU2671" t="str">
        <x:f>_xlfn.XLOOKUP($A2671,Games!$A$2:$A$18,Games!$P$2:$P$18,"Missing game",0)</x:f>
      </x:c>
      <x:c r="AV2671" t="str">
        <x:f>_xlfn.XLOOKUP($A2671,Games!$A$2:$A$18,Games!$Q$2:$Q$18,"Missing game",0)</x:f>
      </x:c>
      <x:c r="AW2671" t="str">
        <x:f>_xlfn.XLOOKUP($A2671,Games!$A$2:$A$18,Games!$R$2:$R$18,"Missing game",0)</x:f>
        <x:v>U.S. Bank Stadium</x:v>
      </x:c>
    </x:row>
    <x:row r="2672">
      <x:c r="A2672" t="str">
        <x:v>2025_18_GB_MIN</x:v>
      </x:c>
      <x:c r="B2672" t="n">
        <x:v>822</x:v>
      </x:c>
      <x:c r="C2672" t="n">
        <x:v>1</x:v>
      </x:c>
      <x:c r="D2672" t="str">
        <x:v>00:37</x:v>
      </x:c>
      <x:c r="E2672" t="n">
        <x:v>1</x:v>
      </x:c>
      <x:c r="F2672" t="n">
        <x:v>10</x:v>
      </x:c>
      <x:c r="G2672" t="str">
        <x:v>GB</x:v>
      </x:c>
      <x:c r="H2672" t="str">
        <x:v>MIN</x:v>
      </x:c>
      <x:c r="I2672" t="str">
        <x:v>GB</x:v>
      </x:c>
      <x:c r="J2672" t="n">
        <x:v>90</x:v>
      </x:c>
      <x:c r="K2672" t="str">
        <x:v>(:37) 6-C.Tune pass incomplete short left to 23-E.Wilson. PENALTY on MIN-94-T.Taimani, Illegal Use of Hands, 5 yards, enforced at GB 10 - No Play.</x:v>
      </x:c>
      <x:c r="L2672" t="str">
        <x:v>no_play</x:v>
      </x:c>
      <x:c r="M2672" t="n">
        <x:v>0</x:v>
      </x:c>
      <x:c r="N2672" t="n">
        <x:v>0</x:v>
      </x:c>
      <x:c r="O2672" t="n">
        <x:v>0</x:v>
      </x:c>
      <x:c r="P2672"/>
      <x:c r="Q2672"/>
      <x:c r="R2672"/>
      <x:c r="S2672"/>
      <x:c r="T2672"/>
      <x:c r="U2672"/>
      <x:c r="V2672" t="n">
        <x:v>0</x:v>
      </x:c>
      <x:c r="W2672" t="n">
        <x:v>1</x:v>
      </x:c>
      <x:c r="X2672" t="n">
        <x:v>0</x:v>
      </x:c>
      <x:c r="Y2672" t="n">
        <x:v>0</x:v>
      </x:c>
      <x:c r="Z2672" t="n">
        <x:v>0</x:v>
      </x:c>
      <x:c r="AA2672" t="n">
        <x:v>1</x:v>
      </x:c>
      <x:c r="AB2672" t="n">
        <x:v>5</x:v>
      </x:c>
      <x:c r="AC2672" t="n">
        <x:v>0</x:v>
      </x:c>
      <x:c r="AD2672" t="n">
        <x:v>0.3201261709909886</x:v>
      </x:c>
      <x:c r="AE2672" t="n">
        <x:v>1</x:v>
      </x:c>
      <x:c r="AF2672" t="n">
        <x:v>0.005058795213699341</x:v>
      </x:c>
      <x:c r="AG2672" t="n">
        <x:f>_xlfn.XLOOKUP($A2672,Games!$A$2:$A$18,Games!$B$2:$B$18,"Missing game",0)</x:f>
        <x:v>2025</x:v>
      </x:c>
      <x:c r="AH2672" t="str">
        <x:f>_xlfn.XLOOKUP($A2672,Games!$A$2:$A$18,Games!$C$2:$C$18,"Missing game",0)</x:f>
        <x:v>REG</x:v>
      </x:c>
      <x:c r="AI2672" t="n">
        <x:f>_xlfn.XLOOKUP($A2672,Games!$A$2:$A$18,Games!$D$2:$D$18,"Missing game",0)</x:f>
        <x:v>18</x:v>
      </x:c>
      <x:c r="AJ2672" s="1" t="n">
        <x:f>_xlfn.XLOOKUP($A2672,Games!$A$2:$A$18,Games!$E$2:$E$18,"Missing game",0)</x:f>
        <x:v>46026</x:v>
      </x:c>
      <x:c r="AK2672" t="str">
        <x:f>_xlfn.XLOOKUP($A2672,Games!$A$2:$A$18,Games!$F$2:$F$18,"Missing game",0)</x:f>
        <x:v>Sunday</x:v>
      </x:c>
      <x:c r="AL2672" t="str">
        <x:f>_xlfn.XLOOKUP($A2672,Games!$A$2:$A$18,Games!$G$2:$G$18,"Missing game",0)</x:f>
        <x:v>GB</x:v>
      </x:c>
      <x:c r="AM2672" t="n">
        <x:f>_xlfn.XLOOKUP($A2672,Games!$A$2:$A$18,Games!$H$2:$H$18,"Missing game",0)</x:f>
        <x:v>3</x:v>
      </x:c>
      <x:c r="AN2672" t="str">
        <x:f>_xlfn.XLOOKUP($A2672,Games!$A$2:$A$18,Games!$I$2:$I$18,"Missing game",0)</x:f>
        <x:v>MIN</x:v>
      </x:c>
      <x:c r="AO2672" t="n">
        <x:f>_xlfn.XLOOKUP($A2672,Games!$A$2:$A$18,Games!$J$2:$J$18,"Missing game",0)</x:f>
        <x:v>16</x:v>
      </x:c>
      <x:c r="AP2672" t="n">
        <x:f>_xlfn.XLOOKUP($A2672,Games!$A$2:$A$18,Games!$K$2:$K$18,"Missing game",0)</x:f>
        <x:v>13</x:v>
      </x:c>
      <x:c r="AQ2672" t="n">
        <x:f>_xlfn.XLOOKUP($A2672,Games!$A$2:$A$18,Games!$L$2:$L$18,"Missing game",0)</x:f>
        <x:v>19</x:v>
      </x:c>
      <x:c r="AR2672" t="n">
        <x:f>_xlfn.XLOOKUP($A2672,Games!$A$2:$A$18,Games!$M$2:$M$18,"Missing game",0)</x:f>
        <x:v>0</x:v>
      </x:c>
      <x:c r="AS2672" t="str">
        <x:f>_xlfn.XLOOKUP($A2672,Games!$A$2:$A$18,Games!$N$2:$N$18,"Missing game",0)</x:f>
        <x:v>dome</x:v>
      </x:c>
      <x:c r="AT2672" t="str">
        <x:f>_xlfn.XLOOKUP($A2672,Games!$A$2:$A$18,Games!$O$2:$O$18,"Missing game",0)</x:f>
        <x:v>sportturf</x:v>
      </x:c>
      <x:c r="AU2672" t="str">
        <x:f>_xlfn.XLOOKUP($A2672,Games!$A$2:$A$18,Games!$P$2:$P$18,"Missing game",0)</x:f>
      </x:c>
      <x:c r="AV2672" t="str">
        <x:f>_xlfn.XLOOKUP($A2672,Games!$A$2:$A$18,Games!$Q$2:$Q$18,"Missing game",0)</x:f>
      </x:c>
      <x:c r="AW2672" t="str">
        <x:f>_xlfn.XLOOKUP($A2672,Games!$A$2:$A$18,Games!$R$2:$R$18,"Missing game",0)</x:f>
        <x:v>U.S. Bank Stadium</x:v>
      </x:c>
    </x:row>
    <x:row r="2673">
      <x:c r="A2673" t="str">
        <x:v>2025_18_GB_MIN</x:v>
      </x:c>
      <x:c r="B2673" t="n">
        <x:v>863</x:v>
      </x:c>
      <x:c r="C2673" t="n">
        <x:v>1</x:v>
      </x:c>
      <x:c r="D2673" t="str">
        <x:v>00:33</x:v>
      </x:c>
      <x:c r="E2673" t="n">
        <x:v>1</x:v>
      </x:c>
      <x:c r="F2673" t="n">
        <x:v>10</x:v>
      </x:c>
      <x:c r="G2673" t="str">
        <x:v>GB</x:v>
      </x:c>
      <x:c r="H2673" t="str">
        <x:v>MIN</x:v>
      </x:c>
      <x:c r="I2673" t="str">
        <x:v>GB</x:v>
      </x:c>
      <x:c r="J2673" t="n">
        <x:v>85</x:v>
      </x:c>
      <x:c r="K2673" t="str">
        <x:v>(:33) 23-E.Wilson right end to GB 13 for -2 yards (43-A.Van Ginkel, 55-E.Wilson).</x:v>
      </x:c>
      <x:c r="L2673" t="str">
        <x:v>run</x:v>
      </x:c>
      <x:c r="M2673" t="n">
        <x:v>-2</x:v>
      </x:c>
      <x:c r="N2673" t="n">
        <x:v>0</x:v>
      </x:c>
      <x:c r="O2673" t="n">
        <x:v>0</x:v>
      </x:c>
      <x:c r="P2673"/>
      <x:c r="Q2673"/>
      <x:c r="R2673"/>
      <x:c r="S2673"/>
      <x:c r="T2673" t="str">
        <x:v>right</x:v>
      </x:c>
      <x:c r="U2673" t="str">
        <x:v>end</x:v>
      </x:c>
      <x:c r="V2673" t="n">
        <x:v>0</x:v>
      </x:c>
      <x:c r="W2673" t="n">
        <x:v>0</x:v>
      </x:c>
      <x:c r="X2673" t="n">
        <x:v>0</x:v>
      </x:c>
      <x:c r="Y2673" t="n">
        <x:v>0</x:v>
      </x:c>
      <x:c r="Z2673" t="n">
        <x:v>0</x:v>
      </x:c>
      <x:c r="AA2673" t="n">
        <x:v>0</x:v>
      </x:c>
      <x:c r="AB2673"/>
      <x:c r="AC2673" t="n">
        <x:v>0</x:v>
      </x:c>
      <x:c r="AD2673" t="n">
        <x:v>-1.1981852245517075</x:v>
      </x:c>
      <x:c r="AE2673" t="n">
        <x:v>0</x:v>
      </x:c>
      <x:c r="AF2673" t="n">
        <x:v>-0.022051572799682617</x:v>
      </x:c>
      <x:c r="AG2673" t="n">
        <x:f>_xlfn.XLOOKUP($A2673,Games!$A$2:$A$18,Games!$B$2:$B$18,"Missing game",0)</x:f>
        <x:v>2025</x:v>
      </x:c>
      <x:c r="AH2673" t="str">
        <x:f>_xlfn.XLOOKUP($A2673,Games!$A$2:$A$18,Games!$C$2:$C$18,"Missing game",0)</x:f>
        <x:v>REG</x:v>
      </x:c>
      <x:c r="AI2673" t="n">
        <x:f>_xlfn.XLOOKUP($A2673,Games!$A$2:$A$18,Games!$D$2:$D$18,"Missing game",0)</x:f>
        <x:v>18</x:v>
      </x:c>
      <x:c r="AJ2673" s="1" t="n">
        <x:f>_xlfn.XLOOKUP($A2673,Games!$A$2:$A$18,Games!$E$2:$E$18,"Missing game",0)</x:f>
        <x:v>46026</x:v>
      </x:c>
      <x:c r="AK2673" t="str">
        <x:f>_xlfn.XLOOKUP($A2673,Games!$A$2:$A$18,Games!$F$2:$F$18,"Missing game",0)</x:f>
        <x:v>Sunday</x:v>
      </x:c>
      <x:c r="AL2673" t="str">
        <x:f>_xlfn.XLOOKUP($A2673,Games!$A$2:$A$18,Games!$G$2:$G$18,"Missing game",0)</x:f>
        <x:v>GB</x:v>
      </x:c>
      <x:c r="AM2673" t="n">
        <x:f>_xlfn.XLOOKUP($A2673,Games!$A$2:$A$18,Games!$H$2:$H$18,"Missing game",0)</x:f>
        <x:v>3</x:v>
      </x:c>
      <x:c r="AN2673" t="str">
        <x:f>_xlfn.XLOOKUP($A2673,Games!$A$2:$A$18,Games!$I$2:$I$18,"Missing game",0)</x:f>
        <x:v>MIN</x:v>
      </x:c>
      <x:c r="AO2673" t="n">
        <x:f>_xlfn.XLOOKUP($A2673,Games!$A$2:$A$18,Games!$J$2:$J$18,"Missing game",0)</x:f>
        <x:v>16</x:v>
      </x:c>
      <x:c r="AP2673" t="n">
        <x:f>_xlfn.XLOOKUP($A2673,Games!$A$2:$A$18,Games!$K$2:$K$18,"Missing game",0)</x:f>
        <x:v>13</x:v>
      </x:c>
      <x:c r="AQ2673" t="n">
        <x:f>_xlfn.XLOOKUP($A2673,Games!$A$2:$A$18,Games!$L$2:$L$18,"Missing game",0)</x:f>
        <x:v>19</x:v>
      </x:c>
      <x:c r="AR2673" t="n">
        <x:f>_xlfn.XLOOKUP($A2673,Games!$A$2:$A$18,Games!$M$2:$M$18,"Missing game",0)</x:f>
        <x:v>0</x:v>
      </x:c>
      <x:c r="AS2673" t="str">
        <x:f>_xlfn.XLOOKUP($A2673,Games!$A$2:$A$18,Games!$N$2:$N$18,"Missing game",0)</x:f>
        <x:v>dome</x:v>
      </x:c>
      <x:c r="AT2673" t="str">
        <x:f>_xlfn.XLOOKUP($A2673,Games!$A$2:$A$18,Games!$O$2:$O$18,"Missing game",0)</x:f>
        <x:v>sportturf</x:v>
      </x:c>
      <x:c r="AU2673" t="str">
        <x:f>_xlfn.XLOOKUP($A2673,Games!$A$2:$A$18,Games!$P$2:$P$18,"Missing game",0)</x:f>
      </x:c>
      <x:c r="AV2673" t="str">
        <x:f>_xlfn.XLOOKUP($A2673,Games!$A$2:$A$18,Games!$Q$2:$Q$18,"Missing game",0)</x:f>
      </x:c>
      <x:c r="AW2673" t="str">
        <x:f>_xlfn.XLOOKUP($A2673,Games!$A$2:$A$18,Games!$R$2:$R$18,"Missing game",0)</x:f>
        <x:v>U.S. Bank Stadium</x:v>
      </x:c>
    </x:row>
    <x:row r="2674">
      <x:c r="A2674" t="str">
        <x:v>2025_18_GB_MIN</x:v>
      </x:c>
      <x:c r="B2674" t="n">
        <x:v>885</x:v>
      </x:c>
      <x:c r="C2674" t="n">
        <x:v>1</x:v>
      </x:c>
      <x:c r="D2674" t="str">
        <x:v>00:00</x:v>
      </x:c>
      <x:c r="E2674"/>
      <x:c r="F2674" t="n">
        <x:v>0</x:v>
      </x:c>
      <x:c r="G2674" t="str">
        <x:v>GB</x:v>
      </x:c>
      <x:c r="H2674" t="str">
        <x:v>MIN</x:v>
      </x:c>
      <x:c r="I2674"/>
      <x:c r="J2674"/>
      <x:c r="K2674" t="str">
        <x:v>END QUARTER 1</x:v>
      </x:c>
      <x:c r="L2674"/>
      <x:c r="M2674"/>
      <x:c r="N2674" t="n">
        <x:v>0</x:v>
      </x:c>
      <x:c r="O2674" t="n">
        <x:v>0</x:v>
      </x:c>
      <x:c r="P2674"/>
      <x:c r="Q2674"/>
      <x:c r="R2674"/>
      <x:c r="S2674"/>
      <x:c r="T2674"/>
      <x:c r="U2674"/>
      <x:c r="V2674"/>
      <x:c r="W2674"/>
      <x:c r="X2674"/>
      <x:c r="Y2674"/>
      <x:c r="Z2674"/>
      <x:c r="AA2674"/>
      <x:c r="AB2674"/>
      <x:c r="AC2674"/>
      <x:c r="AD2674" t="n">
        <x:v>0</x:v>
      </x:c>
      <x:c r="AE2674" t="n">
        <x:v>0</x:v>
      </x:c>
      <x:c r="AF2674" t="n">
        <x:v>0</x:v>
      </x:c>
      <x:c r="AG2674" t="n">
        <x:f>_xlfn.XLOOKUP($A2674,Games!$A$2:$A$18,Games!$B$2:$B$18,"Missing game",0)</x:f>
        <x:v>2025</x:v>
      </x:c>
      <x:c r="AH2674" t="str">
        <x:f>_xlfn.XLOOKUP($A2674,Games!$A$2:$A$18,Games!$C$2:$C$18,"Missing game",0)</x:f>
        <x:v>REG</x:v>
      </x:c>
      <x:c r="AI2674" t="n">
        <x:f>_xlfn.XLOOKUP($A2674,Games!$A$2:$A$18,Games!$D$2:$D$18,"Missing game",0)</x:f>
        <x:v>18</x:v>
      </x:c>
      <x:c r="AJ2674" s="1" t="n">
        <x:f>_xlfn.XLOOKUP($A2674,Games!$A$2:$A$18,Games!$E$2:$E$18,"Missing game",0)</x:f>
        <x:v>46026</x:v>
      </x:c>
      <x:c r="AK2674" t="str">
        <x:f>_xlfn.XLOOKUP($A2674,Games!$A$2:$A$18,Games!$F$2:$F$18,"Missing game",0)</x:f>
        <x:v>Sunday</x:v>
      </x:c>
      <x:c r="AL2674" t="str">
        <x:f>_xlfn.XLOOKUP($A2674,Games!$A$2:$A$18,Games!$G$2:$G$18,"Missing game",0)</x:f>
        <x:v>GB</x:v>
      </x:c>
      <x:c r="AM2674" t="n">
        <x:f>_xlfn.XLOOKUP($A2674,Games!$A$2:$A$18,Games!$H$2:$H$18,"Missing game",0)</x:f>
        <x:v>3</x:v>
      </x:c>
      <x:c r="AN2674" t="str">
        <x:f>_xlfn.XLOOKUP($A2674,Games!$A$2:$A$18,Games!$I$2:$I$18,"Missing game",0)</x:f>
        <x:v>MIN</x:v>
      </x:c>
      <x:c r="AO2674" t="n">
        <x:f>_xlfn.XLOOKUP($A2674,Games!$A$2:$A$18,Games!$J$2:$J$18,"Missing game",0)</x:f>
        <x:v>16</x:v>
      </x:c>
      <x:c r="AP2674" t="n">
        <x:f>_xlfn.XLOOKUP($A2674,Games!$A$2:$A$18,Games!$K$2:$K$18,"Missing game",0)</x:f>
        <x:v>13</x:v>
      </x:c>
      <x:c r="AQ2674" t="n">
        <x:f>_xlfn.XLOOKUP($A2674,Games!$A$2:$A$18,Games!$L$2:$L$18,"Missing game",0)</x:f>
        <x:v>19</x:v>
      </x:c>
      <x:c r="AR2674" t="n">
        <x:f>_xlfn.XLOOKUP($A2674,Games!$A$2:$A$18,Games!$M$2:$M$18,"Missing game",0)</x:f>
        <x:v>0</x:v>
      </x:c>
      <x:c r="AS2674" t="str">
        <x:f>_xlfn.XLOOKUP($A2674,Games!$A$2:$A$18,Games!$N$2:$N$18,"Missing game",0)</x:f>
        <x:v>dome</x:v>
      </x:c>
      <x:c r="AT2674" t="str">
        <x:f>_xlfn.XLOOKUP($A2674,Games!$A$2:$A$18,Games!$O$2:$O$18,"Missing game",0)</x:f>
        <x:v>sportturf</x:v>
      </x:c>
      <x:c r="AU2674" t="str">
        <x:f>_xlfn.XLOOKUP($A2674,Games!$A$2:$A$18,Games!$P$2:$P$18,"Missing game",0)</x:f>
      </x:c>
      <x:c r="AV2674" t="str">
        <x:f>_xlfn.XLOOKUP($A2674,Games!$A$2:$A$18,Games!$Q$2:$Q$18,"Missing game",0)</x:f>
      </x:c>
      <x:c r="AW2674" t="str">
        <x:f>_xlfn.XLOOKUP($A2674,Games!$A$2:$A$18,Games!$R$2:$R$18,"Missing game",0)</x:f>
        <x:v>U.S. Bank Stadium</x:v>
      </x:c>
    </x:row>
    <x:row r="2675">
      <x:c r="A2675" t="str">
        <x:v>2025_18_GB_MIN</x:v>
      </x:c>
      <x:c r="B2675" t="n">
        <x:v>905</x:v>
      </x:c>
      <x:c r="C2675" t="n">
        <x:v>2</x:v>
      </x:c>
      <x:c r="D2675" t="str">
        <x:v>15:00</x:v>
      </x:c>
      <x:c r="E2675" t="n">
        <x:v>2</x:v>
      </x:c>
      <x:c r="F2675" t="n">
        <x:v>12</x:v>
      </x:c>
      <x:c r="G2675" t="str">
        <x:v>GB</x:v>
      </x:c>
      <x:c r="H2675" t="str">
        <x:v>MIN</x:v>
      </x:c>
      <x:c r="I2675" t="str">
        <x:v>GB</x:v>
      </x:c>
      <x:c r="J2675" t="n">
        <x:v>87</x:v>
      </x:c>
      <x:c r="K2675" t="str">
        <x:v>(15:00) (Shotgun) 23-E.Wilson right guard to GB 15 for 2 yards (61-J.Redmond).</x:v>
      </x:c>
      <x:c r="L2675" t="str">
        <x:v>run</x:v>
      </x:c>
      <x:c r="M2675" t="n">
        <x:v>2</x:v>
      </x:c>
      <x:c r="N2675" t="n">
        <x:v>1</x:v>
      </x:c>
      <x:c r="O2675" t="n">
        <x:v>0</x:v>
      </x:c>
      <x:c r="P2675"/>
      <x:c r="Q2675"/>
      <x:c r="R2675"/>
      <x:c r="S2675"/>
      <x:c r="T2675" t="str">
        <x:v>right</x:v>
      </x:c>
      <x:c r="U2675" t="str">
        <x:v>guard</x:v>
      </x:c>
      <x:c r="V2675" t="n">
        <x:v>0</x:v>
      </x:c>
      <x:c r="W2675" t="n">
        <x:v>0</x:v>
      </x:c>
      <x:c r="X2675" t="n">
        <x:v>0</x:v>
      </x:c>
      <x:c r="Y2675" t="n">
        <x:v>0</x:v>
      </x:c>
      <x:c r="Z2675" t="n">
        <x:v>0</x:v>
      </x:c>
      <x:c r="AA2675" t="n">
        <x:v>0</x:v>
      </x:c>
      <x:c r="AB2675"/>
      <x:c r="AC2675" t="n">
        <x:v>0</x:v>
      </x:c>
      <x:c r="AD2675" t="n">
        <x:v>-0.21730630146339536</x:v>
      </x:c>
      <x:c r="AE2675" t="n">
        <x:v>0</x:v>
      </x:c>
      <x:c r="AF2675" t="n">
        <x:v>-0.01449856162071228</x:v>
      </x:c>
      <x:c r="AG2675" t="n">
        <x:f>_xlfn.XLOOKUP($A2675,Games!$A$2:$A$18,Games!$B$2:$B$18,"Missing game",0)</x:f>
        <x:v>2025</x:v>
      </x:c>
      <x:c r="AH2675" t="str">
        <x:f>_xlfn.XLOOKUP($A2675,Games!$A$2:$A$18,Games!$C$2:$C$18,"Missing game",0)</x:f>
        <x:v>REG</x:v>
      </x:c>
      <x:c r="AI2675" t="n">
        <x:f>_xlfn.XLOOKUP($A2675,Games!$A$2:$A$18,Games!$D$2:$D$18,"Missing game",0)</x:f>
        <x:v>18</x:v>
      </x:c>
      <x:c r="AJ2675" s="1" t="n">
        <x:f>_xlfn.XLOOKUP($A2675,Games!$A$2:$A$18,Games!$E$2:$E$18,"Missing game",0)</x:f>
        <x:v>46026</x:v>
      </x:c>
      <x:c r="AK2675" t="str">
        <x:f>_xlfn.XLOOKUP($A2675,Games!$A$2:$A$18,Games!$F$2:$F$18,"Missing game",0)</x:f>
        <x:v>Sunday</x:v>
      </x:c>
      <x:c r="AL2675" t="str">
        <x:f>_xlfn.XLOOKUP($A2675,Games!$A$2:$A$18,Games!$G$2:$G$18,"Missing game",0)</x:f>
        <x:v>GB</x:v>
      </x:c>
      <x:c r="AM2675" t="n">
        <x:f>_xlfn.XLOOKUP($A2675,Games!$A$2:$A$18,Games!$H$2:$H$18,"Missing game",0)</x:f>
        <x:v>3</x:v>
      </x:c>
      <x:c r="AN2675" t="str">
        <x:f>_xlfn.XLOOKUP($A2675,Games!$A$2:$A$18,Games!$I$2:$I$18,"Missing game",0)</x:f>
        <x:v>MIN</x:v>
      </x:c>
      <x:c r="AO2675" t="n">
        <x:f>_xlfn.XLOOKUP($A2675,Games!$A$2:$A$18,Games!$J$2:$J$18,"Missing game",0)</x:f>
        <x:v>16</x:v>
      </x:c>
      <x:c r="AP2675" t="n">
        <x:f>_xlfn.XLOOKUP($A2675,Games!$A$2:$A$18,Games!$K$2:$K$18,"Missing game",0)</x:f>
        <x:v>13</x:v>
      </x:c>
      <x:c r="AQ2675" t="n">
        <x:f>_xlfn.XLOOKUP($A2675,Games!$A$2:$A$18,Games!$L$2:$L$18,"Missing game",0)</x:f>
        <x:v>19</x:v>
      </x:c>
      <x:c r="AR2675" t="n">
        <x:f>_xlfn.XLOOKUP($A2675,Games!$A$2:$A$18,Games!$M$2:$M$18,"Missing game",0)</x:f>
        <x:v>0</x:v>
      </x:c>
      <x:c r="AS2675" t="str">
        <x:f>_xlfn.XLOOKUP($A2675,Games!$A$2:$A$18,Games!$N$2:$N$18,"Missing game",0)</x:f>
        <x:v>dome</x:v>
      </x:c>
      <x:c r="AT2675" t="str">
        <x:f>_xlfn.XLOOKUP($A2675,Games!$A$2:$A$18,Games!$O$2:$O$18,"Missing game",0)</x:f>
        <x:v>sportturf</x:v>
      </x:c>
      <x:c r="AU2675" t="str">
        <x:f>_xlfn.XLOOKUP($A2675,Games!$A$2:$A$18,Games!$P$2:$P$18,"Missing game",0)</x:f>
      </x:c>
      <x:c r="AV2675" t="str">
        <x:f>_xlfn.XLOOKUP($A2675,Games!$A$2:$A$18,Games!$Q$2:$Q$18,"Missing game",0)</x:f>
      </x:c>
      <x:c r="AW2675" t="str">
        <x:f>_xlfn.XLOOKUP($A2675,Games!$A$2:$A$18,Games!$R$2:$R$18,"Missing game",0)</x:f>
        <x:v>U.S. Bank Stadium</x:v>
      </x:c>
    </x:row>
    <x:row r="2676">
      <x:c r="A2676" t="str">
        <x:v>2025_18_GB_MIN</x:v>
      </x:c>
      <x:c r="B2676" t="n">
        <x:v>927</x:v>
      </x:c>
      <x:c r="C2676" t="n">
        <x:v>2</x:v>
      </x:c>
      <x:c r="D2676" t="str">
        <x:v>14:28</x:v>
      </x:c>
      <x:c r="E2676" t="n">
        <x:v>3</x:v>
      </x:c>
      <x:c r="F2676" t="n">
        <x:v>10</x:v>
      </x:c>
      <x:c r="G2676" t="str">
        <x:v>GB</x:v>
      </x:c>
      <x:c r="H2676" t="str">
        <x:v>MIN</x:v>
      </x:c>
      <x:c r="I2676" t="str">
        <x:v>GB</x:v>
      </x:c>
      <x:c r="J2676" t="n">
        <x:v>85</x:v>
      </x:c>
      <x:c r="K2676" t="str">
        <x:v>(14:28) (Shotgun) 6-C.Tune pass short right to 84-J.Keeney-James to GB 22 for 7 yards (7-B.Murphy).</x:v>
      </x:c>
      <x:c r="L2676" t="str">
        <x:v>pass</x:v>
      </x:c>
      <x:c r="M2676" t="n">
        <x:v>7</x:v>
      </x:c>
      <x:c r="N2676" t="n">
        <x:v>1</x:v>
      </x:c>
      <x:c r="O2676" t="n">
        <x:v>0</x:v>
      </x:c>
      <x:c r="P2676" t="str">
        <x:v>short</x:v>
      </x:c>
      <x:c r="Q2676" t="str">
        <x:v>right</x:v>
      </x:c>
      <x:c r="R2676" t="n">
        <x:v>7</x:v>
      </x:c>
      <x:c r="S2676" t="n">
        <x:v>0</x:v>
      </x:c>
      <x:c r="T2676"/>
      <x:c r="U2676"/>
      <x:c r="V2676" t="n">
        <x:v>1</x:v>
      </x:c>
      <x:c r="W2676" t="n">
        <x:v>0</x:v>
      </x:c>
      <x:c r="X2676" t="n">
        <x:v>0</x:v>
      </x:c>
      <x:c r="Y2676" t="n">
        <x:v>0</x:v>
      </x:c>
      <x:c r="Z2676" t="n">
        <x:v>0</x:v>
      </x:c>
      <x:c r="AA2676" t="n">
        <x:v>0</x:v>
      </x:c>
      <x:c r="AB2676"/>
      <x:c r="AC2676" t="n">
        <x:v>0</x:v>
      </x:c>
      <x:c r="AD2676" t="n">
        <x:v>-0.7244173814542592</x:v>
      </x:c>
      <x:c r="AE2676" t="n">
        <x:v>0</x:v>
      </x:c>
      <x:c r="AF2676" t="n">
        <x:v>-0.003627568483352661</x:v>
      </x:c>
      <x:c r="AG2676" t="n">
        <x:f>_xlfn.XLOOKUP($A2676,Games!$A$2:$A$18,Games!$B$2:$B$18,"Missing game",0)</x:f>
        <x:v>2025</x:v>
      </x:c>
      <x:c r="AH2676" t="str">
        <x:f>_xlfn.XLOOKUP($A2676,Games!$A$2:$A$18,Games!$C$2:$C$18,"Missing game",0)</x:f>
        <x:v>REG</x:v>
      </x:c>
      <x:c r="AI2676" t="n">
        <x:f>_xlfn.XLOOKUP($A2676,Games!$A$2:$A$18,Games!$D$2:$D$18,"Missing game",0)</x:f>
        <x:v>18</x:v>
      </x:c>
      <x:c r="AJ2676" s="1" t="n">
        <x:f>_xlfn.XLOOKUP($A2676,Games!$A$2:$A$18,Games!$E$2:$E$18,"Missing game",0)</x:f>
        <x:v>46026</x:v>
      </x:c>
      <x:c r="AK2676" t="str">
        <x:f>_xlfn.XLOOKUP($A2676,Games!$A$2:$A$18,Games!$F$2:$F$18,"Missing game",0)</x:f>
        <x:v>Sunday</x:v>
      </x:c>
      <x:c r="AL2676" t="str">
        <x:f>_xlfn.XLOOKUP($A2676,Games!$A$2:$A$18,Games!$G$2:$G$18,"Missing game",0)</x:f>
        <x:v>GB</x:v>
      </x:c>
      <x:c r="AM2676" t="n">
        <x:f>_xlfn.XLOOKUP($A2676,Games!$A$2:$A$18,Games!$H$2:$H$18,"Missing game",0)</x:f>
        <x:v>3</x:v>
      </x:c>
      <x:c r="AN2676" t="str">
        <x:f>_xlfn.XLOOKUP($A2676,Games!$A$2:$A$18,Games!$I$2:$I$18,"Missing game",0)</x:f>
        <x:v>MIN</x:v>
      </x:c>
      <x:c r="AO2676" t="n">
        <x:f>_xlfn.XLOOKUP($A2676,Games!$A$2:$A$18,Games!$J$2:$J$18,"Missing game",0)</x:f>
        <x:v>16</x:v>
      </x:c>
      <x:c r="AP2676" t="n">
        <x:f>_xlfn.XLOOKUP($A2676,Games!$A$2:$A$18,Games!$K$2:$K$18,"Missing game",0)</x:f>
        <x:v>13</x:v>
      </x:c>
      <x:c r="AQ2676" t="n">
        <x:f>_xlfn.XLOOKUP($A2676,Games!$A$2:$A$18,Games!$L$2:$L$18,"Missing game",0)</x:f>
        <x:v>19</x:v>
      </x:c>
      <x:c r="AR2676" t="n">
        <x:f>_xlfn.XLOOKUP($A2676,Games!$A$2:$A$18,Games!$M$2:$M$18,"Missing game",0)</x:f>
        <x:v>0</x:v>
      </x:c>
      <x:c r="AS2676" t="str">
        <x:f>_xlfn.XLOOKUP($A2676,Games!$A$2:$A$18,Games!$N$2:$N$18,"Missing game",0)</x:f>
        <x:v>dome</x:v>
      </x:c>
      <x:c r="AT2676" t="str">
        <x:f>_xlfn.XLOOKUP($A2676,Games!$A$2:$A$18,Games!$O$2:$O$18,"Missing game",0)</x:f>
        <x:v>sportturf</x:v>
      </x:c>
      <x:c r="AU2676" t="str">
        <x:f>_xlfn.XLOOKUP($A2676,Games!$A$2:$A$18,Games!$P$2:$P$18,"Missing game",0)</x:f>
      </x:c>
      <x:c r="AV2676" t="str">
        <x:f>_xlfn.XLOOKUP($A2676,Games!$A$2:$A$18,Games!$Q$2:$Q$18,"Missing game",0)</x:f>
      </x:c>
      <x:c r="AW2676" t="str">
        <x:f>_xlfn.XLOOKUP($A2676,Games!$A$2:$A$18,Games!$R$2:$R$18,"Missing game",0)</x:f>
        <x:v>U.S. Bank Stadium</x:v>
      </x:c>
    </x:row>
    <x:row r="2677">
      <x:c r="A2677" t="str">
        <x:v>2025_18_GB_MIN</x:v>
      </x:c>
      <x:c r="B2677" t="n">
        <x:v>952</x:v>
      </x:c>
      <x:c r="C2677" t="n">
        <x:v>2</x:v>
      </x:c>
      <x:c r="D2677" t="str">
        <x:v>13:42</x:v>
      </x:c>
      <x:c r="E2677" t="n">
        <x:v>4</x:v>
      </x:c>
      <x:c r="F2677" t="n">
        <x:v>3</x:v>
      </x:c>
      <x:c r="G2677" t="str">
        <x:v>GB</x:v>
      </x:c>
      <x:c r="H2677" t="str">
        <x:v>MIN</x:v>
      </x:c>
      <x:c r="I2677" t="str">
        <x:v>GB</x:v>
      </x:c>
      <x:c r="J2677" t="n">
        <x:v>78</x:v>
      </x:c>
      <x:c r="K2677" t="str">
        <x:v>(13:42) 19-D.Whelan punts 56 yards to MIN 22, Center-42-M.Orzech, fair catch by 82-J.Jones.</x:v>
      </x:c>
      <x:c r="L2677" t="str">
        <x:v>punt</x:v>
      </x:c>
      <x:c r="M2677" t="n">
        <x:v>0</x:v>
      </x:c>
      <x:c r="N2677" t="n">
        <x:v>0</x:v>
      </x:c>
      <x:c r="O2677" t="n">
        <x:v>0</x:v>
      </x:c>
      <x:c r="P2677"/>
      <x:c r="Q2677"/>
      <x:c r="R2677"/>
      <x:c r="S2677"/>
      <x:c r="T2677"/>
      <x:c r="U2677"/>
      <x:c r="V2677" t="n">
        <x:v>0</x:v>
      </x:c>
      <x:c r="W2677" t="n">
        <x:v>0</x:v>
      </x:c>
      <x:c r="X2677" t="n">
        <x:v>0</x:v>
      </x:c>
      <x:c r="Y2677" t="n">
        <x:v>0</x:v>
      </x:c>
      <x:c r="Z2677" t="n">
        <x:v>0</x:v>
      </x:c>
      <x:c r="AA2677" t="n">
        <x:v>0</x:v>
      </x:c>
      <x:c r="AB2677"/>
      <x:c r="AC2677" t="n">
        <x:v>0</x:v>
      </x:c>
      <x:c r="AD2677" t="n">
        <x:v>0.5604001372121274</x:v>
      </x:c>
      <x:c r="AE2677" t="n">
        <x:v>1</x:v>
      </x:c>
      <x:c r="AF2677" t="n">
        <x:v>0.013854295015335083</x:v>
      </x:c>
      <x:c r="AG2677" t="n">
        <x:f>_xlfn.XLOOKUP($A2677,Games!$A$2:$A$18,Games!$B$2:$B$18,"Missing game",0)</x:f>
        <x:v>2025</x:v>
      </x:c>
      <x:c r="AH2677" t="str">
        <x:f>_xlfn.XLOOKUP($A2677,Games!$A$2:$A$18,Games!$C$2:$C$18,"Missing game",0)</x:f>
        <x:v>REG</x:v>
      </x:c>
      <x:c r="AI2677" t="n">
        <x:f>_xlfn.XLOOKUP($A2677,Games!$A$2:$A$18,Games!$D$2:$D$18,"Missing game",0)</x:f>
        <x:v>18</x:v>
      </x:c>
      <x:c r="AJ2677" s="1" t="n">
        <x:f>_xlfn.XLOOKUP($A2677,Games!$A$2:$A$18,Games!$E$2:$E$18,"Missing game",0)</x:f>
        <x:v>46026</x:v>
      </x:c>
      <x:c r="AK2677" t="str">
        <x:f>_xlfn.XLOOKUP($A2677,Games!$A$2:$A$18,Games!$F$2:$F$18,"Missing game",0)</x:f>
        <x:v>Sunday</x:v>
      </x:c>
      <x:c r="AL2677" t="str">
        <x:f>_xlfn.XLOOKUP($A2677,Games!$A$2:$A$18,Games!$G$2:$G$18,"Missing game",0)</x:f>
        <x:v>GB</x:v>
      </x:c>
      <x:c r="AM2677" t="n">
        <x:f>_xlfn.XLOOKUP($A2677,Games!$A$2:$A$18,Games!$H$2:$H$18,"Missing game",0)</x:f>
        <x:v>3</x:v>
      </x:c>
      <x:c r="AN2677" t="str">
        <x:f>_xlfn.XLOOKUP($A2677,Games!$A$2:$A$18,Games!$I$2:$I$18,"Missing game",0)</x:f>
        <x:v>MIN</x:v>
      </x:c>
      <x:c r="AO2677" t="n">
        <x:f>_xlfn.XLOOKUP($A2677,Games!$A$2:$A$18,Games!$J$2:$J$18,"Missing game",0)</x:f>
        <x:v>16</x:v>
      </x:c>
      <x:c r="AP2677" t="n">
        <x:f>_xlfn.XLOOKUP($A2677,Games!$A$2:$A$18,Games!$K$2:$K$18,"Missing game",0)</x:f>
        <x:v>13</x:v>
      </x:c>
      <x:c r="AQ2677" t="n">
        <x:f>_xlfn.XLOOKUP($A2677,Games!$A$2:$A$18,Games!$L$2:$L$18,"Missing game",0)</x:f>
        <x:v>19</x:v>
      </x:c>
      <x:c r="AR2677" t="n">
        <x:f>_xlfn.XLOOKUP($A2677,Games!$A$2:$A$18,Games!$M$2:$M$18,"Missing game",0)</x:f>
        <x:v>0</x:v>
      </x:c>
      <x:c r="AS2677" t="str">
        <x:f>_xlfn.XLOOKUP($A2677,Games!$A$2:$A$18,Games!$N$2:$N$18,"Missing game",0)</x:f>
        <x:v>dome</x:v>
      </x:c>
      <x:c r="AT2677" t="str">
        <x:f>_xlfn.XLOOKUP($A2677,Games!$A$2:$A$18,Games!$O$2:$O$18,"Missing game",0)</x:f>
        <x:v>sportturf</x:v>
      </x:c>
      <x:c r="AU2677" t="str">
        <x:f>_xlfn.XLOOKUP($A2677,Games!$A$2:$A$18,Games!$P$2:$P$18,"Missing game",0)</x:f>
      </x:c>
      <x:c r="AV2677" t="str">
        <x:f>_xlfn.XLOOKUP($A2677,Games!$A$2:$A$18,Games!$Q$2:$Q$18,"Missing game",0)</x:f>
      </x:c>
      <x:c r="AW2677" t="str">
        <x:f>_xlfn.XLOOKUP($A2677,Games!$A$2:$A$18,Games!$R$2:$R$18,"Missing game",0)</x:f>
        <x:v>U.S. Bank Stadium</x:v>
      </x:c>
    </x:row>
    <x:row r="2678">
      <x:c r="A2678" t="str">
        <x:v>2025_18_GB_MIN</x:v>
      </x:c>
      <x:c r="B2678" t="n">
        <x:v>972</x:v>
      </x:c>
      <x:c r="C2678" t="n">
        <x:v>2</x:v>
      </x:c>
      <x:c r="D2678" t="str">
        <x:v>13:34</x:v>
      </x:c>
      <x:c r="E2678" t="n">
        <x:v>1</x:v>
      </x:c>
      <x:c r="F2678" t="n">
        <x:v>10</x:v>
      </x:c>
      <x:c r="G2678" t="str">
        <x:v>MIN</x:v>
      </x:c>
      <x:c r="H2678" t="str">
        <x:v>GB</x:v>
      </x:c>
      <x:c r="I2678" t="str">
        <x:v>MIN</x:v>
      </x:c>
      <x:c r="J2678" t="n">
        <x:v>78</x:v>
      </x:c>
      <x:c r="K2678" t="str">
        <x:v>(13:34) 9-J.McCarthy pass incomplete short middle to 89-B.Sims (48-J.Johnson).</x:v>
      </x:c>
      <x:c r="L2678" t="str">
        <x:v>pass</x:v>
      </x:c>
      <x:c r="M2678" t="n">
        <x:v>0</x:v>
      </x:c>
      <x:c r="N2678" t="n">
        <x:v>0</x:v>
      </x:c>
      <x:c r="O2678" t="n">
        <x:v>0</x:v>
      </x:c>
      <x:c r="P2678" t="str">
        <x:v>short</x:v>
      </x:c>
      <x:c r="Q2678" t="str">
        <x:v>middle</x:v>
      </x:c>
      <x:c r="R2678" t="n">
        <x:v>12</x:v>
      </x:c>
      <x:c r="S2678"/>
      <x:c r="T2678"/>
      <x:c r="U2678"/>
      <x:c r="V2678" t="n">
        <x:v>0</x:v>
      </x:c>
      <x:c r="W2678" t="n">
        <x:v>0</x:v>
      </x:c>
      <x:c r="X2678" t="n">
        <x:v>0</x:v>
      </x:c>
      <x:c r="Y2678" t="n">
        <x:v>0</x:v>
      </x:c>
      <x:c r="Z2678" t="n">
        <x:v>0</x:v>
      </x:c>
      <x:c r="AA2678" t="n">
        <x:v>0</x:v>
      </x:c>
      <x:c r="AB2678"/>
      <x:c r="AC2678" t="n">
        <x:v>0</x:v>
      </x:c>
      <x:c r="AD2678" t="n">
        <x:v>-0.5979970479384065</x:v>
      </x:c>
      <x:c r="AE2678" t="n">
        <x:v>0</x:v>
      </x:c>
      <x:c r="AF2678" t="n">
        <x:v>-0.009977519512176514</x:v>
      </x:c>
      <x:c r="AG2678" t="n">
        <x:f>_xlfn.XLOOKUP($A2678,Games!$A$2:$A$18,Games!$B$2:$B$18,"Missing game",0)</x:f>
        <x:v>2025</x:v>
      </x:c>
      <x:c r="AH2678" t="str">
        <x:f>_xlfn.XLOOKUP($A2678,Games!$A$2:$A$18,Games!$C$2:$C$18,"Missing game",0)</x:f>
        <x:v>REG</x:v>
      </x:c>
      <x:c r="AI2678" t="n">
        <x:f>_xlfn.XLOOKUP($A2678,Games!$A$2:$A$18,Games!$D$2:$D$18,"Missing game",0)</x:f>
        <x:v>18</x:v>
      </x:c>
      <x:c r="AJ2678" s="1" t="n">
        <x:f>_xlfn.XLOOKUP($A2678,Games!$A$2:$A$18,Games!$E$2:$E$18,"Missing game",0)</x:f>
        <x:v>46026</x:v>
      </x:c>
      <x:c r="AK2678" t="str">
        <x:f>_xlfn.XLOOKUP($A2678,Games!$A$2:$A$18,Games!$F$2:$F$18,"Missing game",0)</x:f>
        <x:v>Sunday</x:v>
      </x:c>
      <x:c r="AL2678" t="str">
        <x:f>_xlfn.XLOOKUP($A2678,Games!$A$2:$A$18,Games!$G$2:$G$18,"Missing game",0)</x:f>
        <x:v>GB</x:v>
      </x:c>
      <x:c r="AM2678" t="n">
        <x:f>_xlfn.XLOOKUP($A2678,Games!$A$2:$A$18,Games!$H$2:$H$18,"Missing game",0)</x:f>
        <x:v>3</x:v>
      </x:c>
      <x:c r="AN2678" t="str">
        <x:f>_xlfn.XLOOKUP($A2678,Games!$A$2:$A$18,Games!$I$2:$I$18,"Missing game",0)</x:f>
        <x:v>MIN</x:v>
      </x:c>
      <x:c r="AO2678" t="n">
        <x:f>_xlfn.XLOOKUP($A2678,Games!$A$2:$A$18,Games!$J$2:$J$18,"Missing game",0)</x:f>
        <x:v>16</x:v>
      </x:c>
      <x:c r="AP2678" t="n">
        <x:f>_xlfn.XLOOKUP($A2678,Games!$A$2:$A$18,Games!$K$2:$K$18,"Missing game",0)</x:f>
        <x:v>13</x:v>
      </x:c>
      <x:c r="AQ2678" t="n">
        <x:f>_xlfn.XLOOKUP($A2678,Games!$A$2:$A$18,Games!$L$2:$L$18,"Missing game",0)</x:f>
        <x:v>19</x:v>
      </x:c>
      <x:c r="AR2678" t="n">
        <x:f>_xlfn.XLOOKUP($A2678,Games!$A$2:$A$18,Games!$M$2:$M$18,"Missing game",0)</x:f>
        <x:v>0</x:v>
      </x:c>
      <x:c r="AS2678" t="str">
        <x:f>_xlfn.XLOOKUP($A2678,Games!$A$2:$A$18,Games!$N$2:$N$18,"Missing game",0)</x:f>
        <x:v>dome</x:v>
      </x:c>
      <x:c r="AT2678" t="str">
        <x:f>_xlfn.XLOOKUP($A2678,Games!$A$2:$A$18,Games!$O$2:$O$18,"Missing game",0)</x:f>
        <x:v>sportturf</x:v>
      </x:c>
      <x:c r="AU2678" t="str">
        <x:f>_xlfn.XLOOKUP($A2678,Games!$A$2:$A$18,Games!$P$2:$P$18,"Missing game",0)</x:f>
      </x:c>
      <x:c r="AV2678" t="str">
        <x:f>_xlfn.XLOOKUP($A2678,Games!$A$2:$A$18,Games!$Q$2:$Q$18,"Missing game",0)</x:f>
      </x:c>
      <x:c r="AW2678" t="str">
        <x:f>_xlfn.XLOOKUP($A2678,Games!$A$2:$A$18,Games!$R$2:$R$18,"Missing game",0)</x:f>
        <x:v>U.S. Bank Stadium</x:v>
      </x:c>
    </x:row>
    <x:row r="2679">
      <x:c r="A2679" t="str">
        <x:v>2025_18_GB_MIN</x:v>
      </x:c>
      <x:c r="B2679" t="n">
        <x:v>1002</x:v>
      </x:c>
      <x:c r="C2679" t="n">
        <x:v>2</x:v>
      </x:c>
      <x:c r="D2679" t="str">
        <x:v>13:27</x:v>
      </x:c>
      <x:c r="E2679" t="n">
        <x:v>2</x:v>
      </x:c>
      <x:c r="F2679" t="n">
        <x:v>10</x:v>
      </x:c>
      <x:c r="G2679" t="str">
        <x:v>MIN</x:v>
      </x:c>
      <x:c r="H2679" t="str">
        <x:v>GB</x:v>
      </x:c>
      <x:c r="I2679" t="str">
        <x:v>MIN</x:v>
      </x:c>
      <x:c r="J2679" t="n">
        <x:v>78</x:v>
      </x:c>
      <x:c r="K2679" t="str">
        <x:v>(13:27) (Shotgun) 32-T.Chandler left guard to MIN 26 for 4 yards (64-J.Ford).</x:v>
      </x:c>
      <x:c r="L2679" t="str">
        <x:v>run</x:v>
      </x:c>
      <x:c r="M2679" t="n">
        <x:v>4</x:v>
      </x:c>
      <x:c r="N2679" t="n">
        <x:v>1</x:v>
      </x:c>
      <x:c r="O2679" t="n">
        <x:v>0</x:v>
      </x:c>
      <x:c r="P2679"/>
      <x:c r="Q2679"/>
      <x:c r="R2679"/>
      <x:c r="S2679"/>
      <x:c r="T2679" t="str">
        <x:v>left</x:v>
      </x:c>
      <x:c r="U2679" t="str">
        <x:v>guard</x:v>
      </x:c>
      <x:c r="V2679" t="n">
        <x:v>0</x:v>
      </x:c>
      <x:c r="W2679" t="n">
        <x:v>0</x:v>
      </x:c>
      <x:c r="X2679" t="n">
        <x:v>0</x:v>
      </x:c>
      <x:c r="Y2679" t="n">
        <x:v>0</x:v>
      </x:c>
      <x:c r="Z2679" t="n">
        <x:v>0</x:v>
      </x:c>
      <x:c r="AA2679" t="n">
        <x:v>0</x:v>
      </x:c>
      <x:c r="AB2679"/>
      <x:c r="AC2679" t="n">
        <x:v>0</x:v>
      </x:c>
      <x:c r="AD2679" t="n">
        <x:v>-0.2074029352515936</x:v>
      </x:c>
      <x:c r="AE2679" t="n">
        <x:v>0</x:v>
      </x:c>
      <x:c r="AF2679" t="n">
        <x:v>-0.010412395000457764</x:v>
      </x:c>
      <x:c r="AG2679" t="n">
        <x:f>_xlfn.XLOOKUP($A2679,Games!$A$2:$A$18,Games!$B$2:$B$18,"Missing game",0)</x:f>
        <x:v>2025</x:v>
      </x:c>
      <x:c r="AH2679" t="str">
        <x:f>_xlfn.XLOOKUP($A2679,Games!$A$2:$A$18,Games!$C$2:$C$18,"Missing game",0)</x:f>
        <x:v>REG</x:v>
      </x:c>
      <x:c r="AI2679" t="n">
        <x:f>_xlfn.XLOOKUP($A2679,Games!$A$2:$A$18,Games!$D$2:$D$18,"Missing game",0)</x:f>
        <x:v>18</x:v>
      </x:c>
      <x:c r="AJ2679" s="1" t="n">
        <x:f>_xlfn.XLOOKUP($A2679,Games!$A$2:$A$18,Games!$E$2:$E$18,"Missing game",0)</x:f>
        <x:v>46026</x:v>
      </x:c>
      <x:c r="AK2679" t="str">
        <x:f>_xlfn.XLOOKUP($A2679,Games!$A$2:$A$18,Games!$F$2:$F$18,"Missing game",0)</x:f>
        <x:v>Sunday</x:v>
      </x:c>
      <x:c r="AL2679" t="str">
        <x:f>_xlfn.XLOOKUP($A2679,Games!$A$2:$A$18,Games!$G$2:$G$18,"Missing game",0)</x:f>
        <x:v>GB</x:v>
      </x:c>
      <x:c r="AM2679" t="n">
        <x:f>_xlfn.XLOOKUP($A2679,Games!$A$2:$A$18,Games!$H$2:$H$18,"Missing game",0)</x:f>
        <x:v>3</x:v>
      </x:c>
      <x:c r="AN2679" t="str">
        <x:f>_xlfn.XLOOKUP($A2679,Games!$A$2:$A$18,Games!$I$2:$I$18,"Missing game",0)</x:f>
        <x:v>MIN</x:v>
      </x:c>
      <x:c r="AO2679" t="n">
        <x:f>_xlfn.XLOOKUP($A2679,Games!$A$2:$A$18,Games!$J$2:$J$18,"Missing game",0)</x:f>
        <x:v>16</x:v>
      </x:c>
      <x:c r="AP2679" t="n">
        <x:f>_xlfn.XLOOKUP($A2679,Games!$A$2:$A$18,Games!$K$2:$K$18,"Missing game",0)</x:f>
        <x:v>13</x:v>
      </x:c>
      <x:c r="AQ2679" t="n">
        <x:f>_xlfn.XLOOKUP($A2679,Games!$A$2:$A$18,Games!$L$2:$L$18,"Missing game",0)</x:f>
        <x:v>19</x:v>
      </x:c>
      <x:c r="AR2679" t="n">
        <x:f>_xlfn.XLOOKUP($A2679,Games!$A$2:$A$18,Games!$M$2:$M$18,"Missing game",0)</x:f>
        <x:v>0</x:v>
      </x:c>
      <x:c r="AS2679" t="str">
        <x:f>_xlfn.XLOOKUP($A2679,Games!$A$2:$A$18,Games!$N$2:$N$18,"Missing game",0)</x:f>
        <x:v>dome</x:v>
      </x:c>
      <x:c r="AT2679" t="str">
        <x:f>_xlfn.XLOOKUP($A2679,Games!$A$2:$A$18,Games!$O$2:$O$18,"Missing game",0)</x:f>
        <x:v>sportturf</x:v>
      </x:c>
      <x:c r="AU2679" t="str">
        <x:f>_xlfn.XLOOKUP($A2679,Games!$A$2:$A$18,Games!$P$2:$P$18,"Missing game",0)</x:f>
      </x:c>
      <x:c r="AV2679" t="str">
        <x:f>_xlfn.XLOOKUP($A2679,Games!$A$2:$A$18,Games!$Q$2:$Q$18,"Missing game",0)</x:f>
      </x:c>
      <x:c r="AW2679" t="str">
        <x:f>_xlfn.XLOOKUP($A2679,Games!$A$2:$A$18,Games!$R$2:$R$18,"Missing game",0)</x:f>
        <x:v>U.S. Bank Stadium</x:v>
      </x:c>
    </x:row>
    <x:row r="2680">
      <x:c r="A2680" t="str">
        <x:v>2025_18_GB_MIN</x:v>
      </x:c>
      <x:c r="B2680" t="n">
        <x:v>1024</x:v>
      </x:c>
      <x:c r="C2680" t="n">
        <x:v>2</x:v>
      </x:c>
      <x:c r="D2680" t="str">
        <x:v>12:44</x:v>
      </x:c>
      <x:c r="E2680" t="n">
        <x:v>3</x:v>
      </x:c>
      <x:c r="F2680" t="n">
        <x:v>6</x:v>
      </x:c>
      <x:c r="G2680" t="str">
        <x:v>MIN</x:v>
      </x:c>
      <x:c r="H2680" t="str">
        <x:v>GB</x:v>
      </x:c>
      <x:c r="I2680" t="str">
        <x:v>MIN</x:v>
      </x:c>
      <x:c r="J2680" t="n">
        <x:v>74</x:v>
      </x:c>
      <x:c r="K2680" t="str">
        <x:v>(12:44) (Shotgun) 9-J.McCarthy pass incomplete deep left to 18-J.Jefferson.</x:v>
      </x:c>
      <x:c r="L2680" t="str">
        <x:v>pass</x:v>
      </x:c>
      <x:c r="M2680" t="n">
        <x:v>0</x:v>
      </x:c>
      <x:c r="N2680" t="n">
        <x:v>1</x:v>
      </x:c>
      <x:c r="O2680" t="n">
        <x:v>0</x:v>
      </x:c>
      <x:c r="P2680" t="str">
        <x:v>deep</x:v>
      </x:c>
      <x:c r="Q2680" t="str">
        <x:v>left</x:v>
      </x:c>
      <x:c r="R2680" t="n">
        <x:v>17</x:v>
      </x:c>
      <x:c r="S2680"/>
      <x:c r="T2680"/>
      <x:c r="U2680"/>
      <x:c r="V2680" t="n">
        <x:v>0</x:v>
      </x:c>
      <x:c r="W2680" t="n">
        <x:v>0</x:v>
      </x:c>
      <x:c r="X2680" t="n">
        <x:v>0</x:v>
      </x:c>
      <x:c r="Y2680" t="n">
        <x:v>0</x:v>
      </x:c>
      <x:c r="Z2680" t="n">
        <x:v>0</x:v>
      </x:c>
      <x:c r="AA2680" t="n">
        <x:v>0</x:v>
      </x:c>
      <x:c r="AB2680"/>
      <x:c r="AC2680" t="n">
        <x:v>0</x:v>
      </x:c>
      <x:c r="AD2680" t="n">
        <x:v>-1.535645829513669</x:v>
      </x:c>
      <x:c r="AE2680" t="n">
        <x:v>0</x:v>
      </x:c>
      <x:c r="AF2680" t="n">
        <x:v>-0.05124539136886597</x:v>
      </x:c>
      <x:c r="AG2680" t="n">
        <x:f>_xlfn.XLOOKUP($A2680,Games!$A$2:$A$18,Games!$B$2:$B$18,"Missing game",0)</x:f>
        <x:v>2025</x:v>
      </x:c>
      <x:c r="AH2680" t="str">
        <x:f>_xlfn.XLOOKUP($A2680,Games!$A$2:$A$18,Games!$C$2:$C$18,"Missing game",0)</x:f>
        <x:v>REG</x:v>
      </x:c>
      <x:c r="AI2680" t="n">
        <x:f>_xlfn.XLOOKUP($A2680,Games!$A$2:$A$18,Games!$D$2:$D$18,"Missing game",0)</x:f>
        <x:v>18</x:v>
      </x:c>
      <x:c r="AJ2680" s="1" t="n">
        <x:f>_xlfn.XLOOKUP($A2680,Games!$A$2:$A$18,Games!$E$2:$E$18,"Missing game",0)</x:f>
        <x:v>46026</x:v>
      </x:c>
      <x:c r="AK2680" t="str">
        <x:f>_xlfn.XLOOKUP($A2680,Games!$A$2:$A$18,Games!$F$2:$F$18,"Missing game",0)</x:f>
        <x:v>Sunday</x:v>
      </x:c>
      <x:c r="AL2680" t="str">
        <x:f>_xlfn.XLOOKUP($A2680,Games!$A$2:$A$18,Games!$G$2:$G$18,"Missing game",0)</x:f>
        <x:v>GB</x:v>
      </x:c>
      <x:c r="AM2680" t="n">
        <x:f>_xlfn.XLOOKUP($A2680,Games!$A$2:$A$18,Games!$H$2:$H$18,"Missing game",0)</x:f>
        <x:v>3</x:v>
      </x:c>
      <x:c r="AN2680" t="str">
        <x:f>_xlfn.XLOOKUP($A2680,Games!$A$2:$A$18,Games!$I$2:$I$18,"Missing game",0)</x:f>
        <x:v>MIN</x:v>
      </x:c>
      <x:c r="AO2680" t="n">
        <x:f>_xlfn.XLOOKUP($A2680,Games!$A$2:$A$18,Games!$J$2:$J$18,"Missing game",0)</x:f>
        <x:v>16</x:v>
      </x:c>
      <x:c r="AP2680" t="n">
        <x:f>_xlfn.XLOOKUP($A2680,Games!$A$2:$A$18,Games!$K$2:$K$18,"Missing game",0)</x:f>
        <x:v>13</x:v>
      </x:c>
      <x:c r="AQ2680" t="n">
        <x:f>_xlfn.XLOOKUP($A2680,Games!$A$2:$A$18,Games!$L$2:$L$18,"Missing game",0)</x:f>
        <x:v>19</x:v>
      </x:c>
      <x:c r="AR2680" t="n">
        <x:f>_xlfn.XLOOKUP($A2680,Games!$A$2:$A$18,Games!$M$2:$M$18,"Missing game",0)</x:f>
        <x:v>0</x:v>
      </x:c>
      <x:c r="AS2680" t="str">
        <x:f>_xlfn.XLOOKUP($A2680,Games!$A$2:$A$18,Games!$N$2:$N$18,"Missing game",0)</x:f>
        <x:v>dome</x:v>
      </x:c>
      <x:c r="AT2680" t="str">
        <x:f>_xlfn.XLOOKUP($A2680,Games!$A$2:$A$18,Games!$O$2:$O$18,"Missing game",0)</x:f>
        <x:v>sportturf</x:v>
      </x:c>
      <x:c r="AU2680" t="str">
        <x:f>_xlfn.XLOOKUP($A2680,Games!$A$2:$A$18,Games!$P$2:$P$18,"Missing game",0)</x:f>
      </x:c>
      <x:c r="AV2680" t="str">
        <x:f>_xlfn.XLOOKUP($A2680,Games!$A$2:$A$18,Games!$Q$2:$Q$18,"Missing game",0)</x:f>
      </x:c>
      <x:c r="AW2680" t="str">
        <x:f>_xlfn.XLOOKUP($A2680,Games!$A$2:$A$18,Games!$R$2:$R$18,"Missing game",0)</x:f>
        <x:v>U.S. Bank Stadium</x:v>
      </x:c>
    </x:row>
    <x:row r="2681">
      <x:c r="A2681" t="str">
        <x:v>2025_18_GB_MIN</x:v>
      </x:c>
      <x:c r="B2681" t="n">
        <x:v>1047</x:v>
      </x:c>
      <x:c r="C2681" t="n">
        <x:v>2</x:v>
      </x:c>
      <x:c r="D2681" t="str">
        <x:v>12:41</x:v>
      </x:c>
      <x:c r="E2681" t="n">
        <x:v>4</x:v>
      </x:c>
      <x:c r="F2681" t="n">
        <x:v>6</x:v>
      </x:c>
      <x:c r="G2681" t="str">
        <x:v>MIN</x:v>
      </x:c>
      <x:c r="H2681" t="str">
        <x:v>GB</x:v>
      </x:c>
      <x:c r="I2681" t="str">
        <x:v>MIN</x:v>
      </x:c>
      <x:c r="J2681" t="n">
        <x:v>74</x:v>
      </x:c>
      <x:c r="K2681" t="str">
        <x:v>(12:41) 17-R.Wright punts 44 yards to GB 30, Center-42-A.DePaola, out of bounds.</x:v>
      </x:c>
      <x:c r="L2681" t="str">
        <x:v>punt</x:v>
      </x:c>
      <x:c r="M2681" t="n">
        <x:v>0</x:v>
      </x:c>
      <x:c r="N2681" t="n">
        <x:v>0</x:v>
      </x:c>
      <x:c r="O2681" t="n">
        <x:v>0</x:v>
      </x:c>
      <x:c r="P2681"/>
      <x:c r="Q2681"/>
      <x:c r="R2681"/>
      <x:c r="S2681"/>
      <x:c r="T2681"/>
      <x:c r="U2681"/>
      <x:c r="V2681" t="n">
        <x:v>0</x:v>
      </x:c>
      <x:c r="W2681" t="n">
        <x:v>0</x:v>
      </x:c>
      <x:c r="X2681" t="n">
        <x:v>0</x:v>
      </x:c>
      <x:c r="Y2681" t="n">
        <x:v>0</x:v>
      </x:c>
      <x:c r="Z2681" t="n">
        <x:v>0</x:v>
      </x:c>
      <x:c r="AA2681" t="n">
        <x:v>0</x:v>
      </x:c>
      <x:c r="AB2681"/>
      <x:c r="AC2681" t="n">
        <x:v>0</x:v>
      </x:c>
      <x:c r="AD2681" t="n">
        <x:v>-0.2527049663476646</x:v>
      </x:c>
      <x:c r="AE2681" t="n">
        <x:v>0</x:v>
      </x:c>
      <x:c r="AF2681" t="n">
        <x:v>0.019702494144439697</x:v>
      </x:c>
      <x:c r="AG2681" t="n">
        <x:f>_xlfn.XLOOKUP($A2681,Games!$A$2:$A$18,Games!$B$2:$B$18,"Missing game",0)</x:f>
        <x:v>2025</x:v>
      </x:c>
      <x:c r="AH2681" t="str">
        <x:f>_xlfn.XLOOKUP($A2681,Games!$A$2:$A$18,Games!$C$2:$C$18,"Missing game",0)</x:f>
        <x:v>REG</x:v>
      </x:c>
      <x:c r="AI2681" t="n">
        <x:f>_xlfn.XLOOKUP($A2681,Games!$A$2:$A$18,Games!$D$2:$D$18,"Missing game",0)</x:f>
        <x:v>18</x:v>
      </x:c>
      <x:c r="AJ2681" s="1" t="n">
        <x:f>_xlfn.XLOOKUP($A2681,Games!$A$2:$A$18,Games!$E$2:$E$18,"Missing game",0)</x:f>
        <x:v>46026</x:v>
      </x:c>
      <x:c r="AK2681" t="str">
        <x:f>_xlfn.XLOOKUP($A2681,Games!$A$2:$A$18,Games!$F$2:$F$18,"Missing game",0)</x:f>
        <x:v>Sunday</x:v>
      </x:c>
      <x:c r="AL2681" t="str">
        <x:f>_xlfn.XLOOKUP($A2681,Games!$A$2:$A$18,Games!$G$2:$G$18,"Missing game",0)</x:f>
        <x:v>GB</x:v>
      </x:c>
      <x:c r="AM2681" t="n">
        <x:f>_xlfn.XLOOKUP($A2681,Games!$A$2:$A$18,Games!$H$2:$H$18,"Missing game",0)</x:f>
        <x:v>3</x:v>
      </x:c>
      <x:c r="AN2681" t="str">
        <x:f>_xlfn.XLOOKUP($A2681,Games!$A$2:$A$18,Games!$I$2:$I$18,"Missing game",0)</x:f>
        <x:v>MIN</x:v>
      </x:c>
      <x:c r="AO2681" t="n">
        <x:f>_xlfn.XLOOKUP($A2681,Games!$A$2:$A$18,Games!$J$2:$J$18,"Missing game",0)</x:f>
        <x:v>16</x:v>
      </x:c>
      <x:c r="AP2681" t="n">
        <x:f>_xlfn.XLOOKUP($A2681,Games!$A$2:$A$18,Games!$K$2:$K$18,"Missing game",0)</x:f>
        <x:v>13</x:v>
      </x:c>
      <x:c r="AQ2681" t="n">
        <x:f>_xlfn.XLOOKUP($A2681,Games!$A$2:$A$18,Games!$L$2:$L$18,"Missing game",0)</x:f>
        <x:v>19</x:v>
      </x:c>
      <x:c r="AR2681" t="n">
        <x:f>_xlfn.XLOOKUP($A2681,Games!$A$2:$A$18,Games!$M$2:$M$18,"Missing game",0)</x:f>
        <x:v>0</x:v>
      </x:c>
      <x:c r="AS2681" t="str">
        <x:f>_xlfn.XLOOKUP($A2681,Games!$A$2:$A$18,Games!$N$2:$N$18,"Missing game",0)</x:f>
        <x:v>dome</x:v>
      </x:c>
      <x:c r="AT2681" t="str">
        <x:f>_xlfn.XLOOKUP($A2681,Games!$A$2:$A$18,Games!$O$2:$O$18,"Missing game",0)</x:f>
        <x:v>sportturf</x:v>
      </x:c>
      <x:c r="AU2681" t="str">
        <x:f>_xlfn.XLOOKUP($A2681,Games!$A$2:$A$18,Games!$P$2:$P$18,"Missing game",0)</x:f>
      </x:c>
      <x:c r="AV2681" t="str">
        <x:f>_xlfn.XLOOKUP($A2681,Games!$A$2:$A$18,Games!$Q$2:$Q$18,"Missing game",0)</x:f>
      </x:c>
      <x:c r="AW2681" t="str">
        <x:f>_xlfn.XLOOKUP($A2681,Games!$A$2:$A$18,Games!$R$2:$R$18,"Missing game",0)</x:f>
        <x:v>U.S. Bank Stadium</x:v>
      </x:c>
    </x:row>
    <x:row r="2682">
      <x:c r="A2682" t="str">
        <x:v>2025_18_GB_MIN</x:v>
      </x:c>
      <x:c r="B2682" t="n">
        <x:v>1066</x:v>
      </x:c>
      <x:c r="C2682" t="n">
        <x:v>2</x:v>
      </x:c>
      <x:c r="D2682" t="str">
        <x:v>12:34</x:v>
      </x:c>
      <x:c r="E2682" t="n">
        <x:v>1</x:v>
      </x:c>
      <x:c r="F2682" t="n">
        <x:v>10</x:v>
      </x:c>
      <x:c r="G2682" t="str">
        <x:v>GB</x:v>
      </x:c>
      <x:c r="H2682" t="str">
        <x:v>MIN</x:v>
      </x:c>
      <x:c r="I2682" t="str">
        <x:v>GB</x:v>
      </x:c>
      <x:c r="J2682" t="n">
        <x:v>70</x:v>
      </x:c>
      <x:c r="K2682" t="str">
        <x:v>(12:34) (Shotgun) 6-C.Tune pass incomplete short left to 0-M.Golden [55-E.Wilson].</x:v>
      </x:c>
      <x:c r="L2682" t="str">
        <x:v>pass</x:v>
      </x:c>
      <x:c r="M2682" t="n">
        <x:v>0</x:v>
      </x:c>
      <x:c r="N2682" t="n">
        <x:v>1</x:v>
      </x:c>
      <x:c r="O2682" t="n">
        <x:v>0</x:v>
      </x:c>
      <x:c r="P2682" t="str">
        <x:v>short</x:v>
      </x:c>
      <x:c r="Q2682" t="str">
        <x:v>left</x:v>
      </x:c>
      <x:c r="R2682" t="n">
        <x:v>5</x:v>
      </x:c>
      <x:c r="S2682"/>
      <x:c r="T2682"/>
      <x:c r="U2682"/>
      <x:c r="V2682" t="n">
        <x:v>0</x:v>
      </x:c>
      <x:c r="W2682" t="n">
        <x:v>0</x:v>
      </x:c>
      <x:c r="X2682" t="n">
        <x:v>0</x:v>
      </x:c>
      <x:c r="Y2682" t="n">
        <x:v>0</x:v>
      </x:c>
      <x:c r="Z2682" t="n">
        <x:v>0</x:v>
      </x:c>
      <x:c r="AA2682" t="n">
        <x:v>0</x:v>
      </x:c>
      <x:c r="AB2682"/>
      <x:c r="AC2682" t="n">
        <x:v>0</x:v>
      </x:c>
      <x:c r="AD2682" t="n">
        <x:v>-0.584500087890774</x:v>
      </x:c>
      <x:c r="AE2682" t="n">
        <x:v>0</x:v>
      </x:c>
      <x:c r="AF2682" t="n">
        <x:v>-0.016287803649902344</x:v>
      </x:c>
      <x:c r="AG2682" t="n">
        <x:f>_xlfn.XLOOKUP($A2682,Games!$A$2:$A$18,Games!$B$2:$B$18,"Missing game",0)</x:f>
        <x:v>2025</x:v>
      </x:c>
      <x:c r="AH2682" t="str">
        <x:f>_xlfn.XLOOKUP($A2682,Games!$A$2:$A$18,Games!$C$2:$C$18,"Missing game",0)</x:f>
        <x:v>REG</x:v>
      </x:c>
      <x:c r="AI2682" t="n">
        <x:f>_xlfn.XLOOKUP($A2682,Games!$A$2:$A$18,Games!$D$2:$D$18,"Missing game",0)</x:f>
        <x:v>18</x:v>
      </x:c>
      <x:c r="AJ2682" s="1" t="n">
        <x:f>_xlfn.XLOOKUP($A2682,Games!$A$2:$A$18,Games!$E$2:$E$18,"Missing game",0)</x:f>
        <x:v>46026</x:v>
      </x:c>
      <x:c r="AK2682" t="str">
        <x:f>_xlfn.XLOOKUP($A2682,Games!$A$2:$A$18,Games!$F$2:$F$18,"Missing game",0)</x:f>
        <x:v>Sunday</x:v>
      </x:c>
      <x:c r="AL2682" t="str">
        <x:f>_xlfn.XLOOKUP($A2682,Games!$A$2:$A$18,Games!$G$2:$G$18,"Missing game",0)</x:f>
        <x:v>GB</x:v>
      </x:c>
      <x:c r="AM2682" t="n">
        <x:f>_xlfn.XLOOKUP($A2682,Games!$A$2:$A$18,Games!$H$2:$H$18,"Missing game",0)</x:f>
        <x:v>3</x:v>
      </x:c>
      <x:c r="AN2682" t="str">
        <x:f>_xlfn.XLOOKUP($A2682,Games!$A$2:$A$18,Games!$I$2:$I$18,"Missing game",0)</x:f>
        <x:v>MIN</x:v>
      </x:c>
      <x:c r="AO2682" t="n">
        <x:f>_xlfn.XLOOKUP($A2682,Games!$A$2:$A$18,Games!$J$2:$J$18,"Missing game",0)</x:f>
        <x:v>16</x:v>
      </x:c>
      <x:c r="AP2682" t="n">
        <x:f>_xlfn.XLOOKUP($A2682,Games!$A$2:$A$18,Games!$K$2:$K$18,"Missing game",0)</x:f>
        <x:v>13</x:v>
      </x:c>
      <x:c r="AQ2682" t="n">
        <x:f>_xlfn.XLOOKUP($A2682,Games!$A$2:$A$18,Games!$L$2:$L$18,"Missing game",0)</x:f>
        <x:v>19</x:v>
      </x:c>
      <x:c r="AR2682" t="n">
        <x:f>_xlfn.XLOOKUP($A2682,Games!$A$2:$A$18,Games!$M$2:$M$18,"Missing game",0)</x:f>
        <x:v>0</x:v>
      </x:c>
      <x:c r="AS2682" t="str">
        <x:f>_xlfn.XLOOKUP($A2682,Games!$A$2:$A$18,Games!$N$2:$N$18,"Missing game",0)</x:f>
        <x:v>dome</x:v>
      </x:c>
      <x:c r="AT2682" t="str">
        <x:f>_xlfn.XLOOKUP($A2682,Games!$A$2:$A$18,Games!$O$2:$O$18,"Missing game",0)</x:f>
        <x:v>sportturf</x:v>
      </x:c>
      <x:c r="AU2682" t="str">
        <x:f>_xlfn.XLOOKUP($A2682,Games!$A$2:$A$18,Games!$P$2:$P$18,"Missing game",0)</x:f>
      </x:c>
      <x:c r="AV2682" t="str">
        <x:f>_xlfn.XLOOKUP($A2682,Games!$A$2:$A$18,Games!$Q$2:$Q$18,"Missing game",0)</x:f>
      </x:c>
      <x:c r="AW2682" t="str">
        <x:f>_xlfn.XLOOKUP($A2682,Games!$A$2:$A$18,Games!$R$2:$R$18,"Missing game",0)</x:f>
        <x:v>U.S. Bank Stadium</x:v>
      </x:c>
    </x:row>
    <x:row r="2683">
      <x:c r="A2683" t="str">
        <x:v>2025_18_GB_MIN</x:v>
      </x:c>
      <x:c r="B2683" t="n">
        <x:v>1096</x:v>
      </x:c>
      <x:c r="C2683" t="n">
        <x:v>2</x:v>
      </x:c>
      <x:c r="D2683" t="str">
        <x:v>12:31</x:v>
      </x:c>
      <x:c r="E2683" t="n">
        <x:v>2</x:v>
      </x:c>
      <x:c r="F2683" t="n">
        <x:v>10</x:v>
      </x:c>
      <x:c r="G2683" t="str">
        <x:v>GB</x:v>
      </x:c>
      <x:c r="H2683" t="str">
        <x:v>MIN</x:v>
      </x:c>
      <x:c r="I2683" t="str">
        <x:v>GB</x:v>
      </x:c>
      <x:c r="J2683" t="n">
        <x:v>70</x:v>
      </x:c>
      <x:c r="K2683" t="str">
        <x:v>(12:31) 30-C.Brooks up the middle to GB 34 for 4 yards (51-B.Cashman; 55-E.Wilson).</x:v>
      </x:c>
      <x:c r="L2683" t="str">
        <x:v>run</x:v>
      </x:c>
      <x:c r="M2683" t="n">
        <x:v>4</x:v>
      </x:c>
      <x:c r="N2683" t="n">
        <x:v>0</x:v>
      </x:c>
      <x:c r="O2683" t="n">
        <x:v>0</x:v>
      </x:c>
      <x:c r="P2683"/>
      <x:c r="Q2683"/>
      <x:c r="R2683"/>
      <x:c r="S2683"/>
      <x:c r="T2683" t="str">
        <x:v>middle</x:v>
      </x:c>
      <x:c r="U2683"/>
      <x:c r="V2683" t="n">
        <x:v>0</x:v>
      </x:c>
      <x:c r="W2683" t="n">
        <x:v>0</x:v>
      </x:c>
      <x:c r="X2683" t="n">
        <x:v>0</x:v>
      </x:c>
      <x:c r="Y2683" t="n">
        <x:v>0</x:v>
      </x:c>
      <x:c r="Z2683" t="n">
        <x:v>0</x:v>
      </x:c>
      <x:c r="AA2683" t="n">
        <x:v>0</x:v>
      </x:c>
      <x:c r="AB2683"/>
      <x:c r="AC2683" t="n">
        <x:v>0</x:v>
      </x:c>
      <x:c r="AD2683" t="n">
        <x:v>-0.33526173885911703</x:v>
      </x:c>
      <x:c r="AE2683" t="n">
        <x:v>0</x:v>
      </x:c>
      <x:c r="AF2683" t="n">
        <x:v>0.00018396973609924316</x:v>
      </x:c>
      <x:c r="AG2683" t="n">
        <x:f>_xlfn.XLOOKUP($A2683,Games!$A$2:$A$18,Games!$B$2:$B$18,"Missing game",0)</x:f>
        <x:v>2025</x:v>
      </x:c>
      <x:c r="AH2683" t="str">
        <x:f>_xlfn.XLOOKUP($A2683,Games!$A$2:$A$18,Games!$C$2:$C$18,"Missing game",0)</x:f>
        <x:v>REG</x:v>
      </x:c>
      <x:c r="AI2683" t="n">
        <x:f>_xlfn.XLOOKUP($A2683,Games!$A$2:$A$18,Games!$D$2:$D$18,"Missing game",0)</x:f>
        <x:v>18</x:v>
      </x:c>
      <x:c r="AJ2683" s="1" t="n">
        <x:f>_xlfn.XLOOKUP($A2683,Games!$A$2:$A$18,Games!$E$2:$E$18,"Missing game",0)</x:f>
        <x:v>46026</x:v>
      </x:c>
      <x:c r="AK2683" t="str">
        <x:f>_xlfn.XLOOKUP($A2683,Games!$A$2:$A$18,Games!$F$2:$F$18,"Missing game",0)</x:f>
        <x:v>Sunday</x:v>
      </x:c>
      <x:c r="AL2683" t="str">
        <x:f>_xlfn.XLOOKUP($A2683,Games!$A$2:$A$18,Games!$G$2:$G$18,"Missing game",0)</x:f>
        <x:v>GB</x:v>
      </x:c>
      <x:c r="AM2683" t="n">
        <x:f>_xlfn.XLOOKUP($A2683,Games!$A$2:$A$18,Games!$H$2:$H$18,"Missing game",0)</x:f>
        <x:v>3</x:v>
      </x:c>
      <x:c r="AN2683" t="str">
        <x:f>_xlfn.XLOOKUP($A2683,Games!$A$2:$A$18,Games!$I$2:$I$18,"Missing game",0)</x:f>
        <x:v>MIN</x:v>
      </x:c>
      <x:c r="AO2683" t="n">
        <x:f>_xlfn.XLOOKUP($A2683,Games!$A$2:$A$18,Games!$J$2:$J$18,"Missing game",0)</x:f>
        <x:v>16</x:v>
      </x:c>
      <x:c r="AP2683" t="n">
        <x:f>_xlfn.XLOOKUP($A2683,Games!$A$2:$A$18,Games!$K$2:$K$18,"Missing game",0)</x:f>
        <x:v>13</x:v>
      </x:c>
      <x:c r="AQ2683" t="n">
        <x:f>_xlfn.XLOOKUP($A2683,Games!$A$2:$A$18,Games!$L$2:$L$18,"Missing game",0)</x:f>
        <x:v>19</x:v>
      </x:c>
      <x:c r="AR2683" t="n">
        <x:f>_xlfn.XLOOKUP($A2683,Games!$A$2:$A$18,Games!$M$2:$M$18,"Missing game",0)</x:f>
        <x:v>0</x:v>
      </x:c>
      <x:c r="AS2683" t="str">
        <x:f>_xlfn.XLOOKUP($A2683,Games!$A$2:$A$18,Games!$N$2:$N$18,"Missing game",0)</x:f>
        <x:v>dome</x:v>
      </x:c>
      <x:c r="AT2683" t="str">
        <x:f>_xlfn.XLOOKUP($A2683,Games!$A$2:$A$18,Games!$O$2:$O$18,"Missing game",0)</x:f>
        <x:v>sportturf</x:v>
      </x:c>
      <x:c r="AU2683" t="str">
        <x:f>_xlfn.XLOOKUP($A2683,Games!$A$2:$A$18,Games!$P$2:$P$18,"Missing game",0)</x:f>
      </x:c>
      <x:c r="AV2683" t="str">
        <x:f>_xlfn.XLOOKUP($A2683,Games!$A$2:$A$18,Games!$Q$2:$Q$18,"Missing game",0)</x:f>
      </x:c>
      <x:c r="AW2683" t="str">
        <x:f>_xlfn.XLOOKUP($A2683,Games!$A$2:$A$18,Games!$R$2:$R$18,"Missing game",0)</x:f>
        <x:v>U.S. Bank Stadium</x:v>
      </x:c>
    </x:row>
    <x:row r="2684">
      <x:c r="A2684" t="str">
        <x:v>2025_18_GB_MIN</x:v>
      </x:c>
      <x:c r="B2684" t="n">
        <x:v>1118</x:v>
      </x:c>
      <x:c r="C2684" t="n">
        <x:v>2</x:v>
      </x:c>
      <x:c r="D2684" t="str">
        <x:v>11:49</x:v>
      </x:c>
      <x:c r="E2684" t="n">
        <x:v>3</x:v>
      </x:c>
      <x:c r="F2684" t="n">
        <x:v>6</x:v>
      </x:c>
      <x:c r="G2684" t="str">
        <x:v>GB</x:v>
      </x:c>
      <x:c r="H2684" t="str">
        <x:v>MIN</x:v>
      </x:c>
      <x:c r="I2684" t="str">
        <x:v>GB</x:v>
      </x:c>
      <x:c r="J2684" t="n">
        <x:v>66</x:v>
      </x:c>
      <x:c r="K2684" t="str">
        <x:v>(11:49) (Shotgun) 6-C.Tune right end ran ob at GB 41 for 7 yards (23-F.Moreau).</x:v>
      </x:c>
      <x:c r="L2684" t="str">
        <x:v>run</x:v>
      </x:c>
      <x:c r="M2684" t="n">
        <x:v>7</x:v>
      </x:c>
      <x:c r="N2684" t="n">
        <x:v>1</x:v>
      </x:c>
      <x:c r="O2684" t="n">
        <x:v>0</x:v>
      </x:c>
      <x:c r="P2684"/>
      <x:c r="Q2684"/>
      <x:c r="R2684"/>
      <x:c r="S2684"/>
      <x:c r="T2684" t="str">
        <x:v>right</x:v>
      </x:c>
      <x:c r="U2684" t="str">
        <x:v>end</x:v>
      </x:c>
      <x:c r="V2684" t="n">
        <x:v>0</x:v>
      </x:c>
      <x:c r="W2684" t="n">
        <x:v>1</x:v>
      </x:c>
      <x:c r="X2684" t="n">
        <x:v>0</x:v>
      </x:c>
      <x:c r="Y2684" t="n">
        <x:v>0</x:v>
      </x:c>
      <x:c r="Z2684" t="n">
        <x:v>0</x:v>
      </x:c>
      <x:c r="AA2684" t="n">
        <x:v>0</x:v>
      </x:c>
      <x:c r="AB2684"/>
      <x:c r="AC2684" t="n">
        <x:v>0</x:v>
      </x:c>
      <x:c r="AD2684" t="n">
        <x:v>1.5907796807587147</x:v>
      </x:c>
      <x:c r="AE2684" t="n">
        <x:v>1</x:v>
      </x:c>
      <x:c r="AF2684" t="n">
        <x:v>0.029369324445724487</x:v>
      </x:c>
      <x:c r="AG2684" t="n">
        <x:f>_xlfn.XLOOKUP($A2684,Games!$A$2:$A$18,Games!$B$2:$B$18,"Missing game",0)</x:f>
        <x:v>2025</x:v>
      </x:c>
      <x:c r="AH2684" t="str">
        <x:f>_xlfn.XLOOKUP($A2684,Games!$A$2:$A$18,Games!$C$2:$C$18,"Missing game",0)</x:f>
        <x:v>REG</x:v>
      </x:c>
      <x:c r="AI2684" t="n">
        <x:f>_xlfn.XLOOKUP($A2684,Games!$A$2:$A$18,Games!$D$2:$D$18,"Missing game",0)</x:f>
        <x:v>18</x:v>
      </x:c>
      <x:c r="AJ2684" s="1" t="n">
        <x:f>_xlfn.XLOOKUP($A2684,Games!$A$2:$A$18,Games!$E$2:$E$18,"Missing game",0)</x:f>
        <x:v>46026</x:v>
      </x:c>
      <x:c r="AK2684" t="str">
        <x:f>_xlfn.XLOOKUP($A2684,Games!$A$2:$A$18,Games!$F$2:$F$18,"Missing game",0)</x:f>
        <x:v>Sunday</x:v>
      </x:c>
      <x:c r="AL2684" t="str">
        <x:f>_xlfn.XLOOKUP($A2684,Games!$A$2:$A$18,Games!$G$2:$G$18,"Missing game",0)</x:f>
        <x:v>GB</x:v>
      </x:c>
      <x:c r="AM2684" t="n">
        <x:f>_xlfn.XLOOKUP($A2684,Games!$A$2:$A$18,Games!$H$2:$H$18,"Missing game",0)</x:f>
        <x:v>3</x:v>
      </x:c>
      <x:c r="AN2684" t="str">
        <x:f>_xlfn.XLOOKUP($A2684,Games!$A$2:$A$18,Games!$I$2:$I$18,"Missing game",0)</x:f>
        <x:v>MIN</x:v>
      </x:c>
      <x:c r="AO2684" t="n">
        <x:f>_xlfn.XLOOKUP($A2684,Games!$A$2:$A$18,Games!$J$2:$J$18,"Missing game",0)</x:f>
        <x:v>16</x:v>
      </x:c>
      <x:c r="AP2684" t="n">
        <x:f>_xlfn.XLOOKUP($A2684,Games!$A$2:$A$18,Games!$K$2:$K$18,"Missing game",0)</x:f>
        <x:v>13</x:v>
      </x:c>
      <x:c r="AQ2684" t="n">
        <x:f>_xlfn.XLOOKUP($A2684,Games!$A$2:$A$18,Games!$L$2:$L$18,"Missing game",0)</x:f>
        <x:v>19</x:v>
      </x:c>
      <x:c r="AR2684" t="n">
        <x:f>_xlfn.XLOOKUP($A2684,Games!$A$2:$A$18,Games!$M$2:$M$18,"Missing game",0)</x:f>
        <x:v>0</x:v>
      </x:c>
      <x:c r="AS2684" t="str">
        <x:f>_xlfn.XLOOKUP($A2684,Games!$A$2:$A$18,Games!$N$2:$N$18,"Missing game",0)</x:f>
        <x:v>dome</x:v>
      </x:c>
      <x:c r="AT2684" t="str">
        <x:f>_xlfn.XLOOKUP($A2684,Games!$A$2:$A$18,Games!$O$2:$O$18,"Missing game",0)</x:f>
        <x:v>sportturf</x:v>
      </x:c>
      <x:c r="AU2684" t="str">
        <x:f>_xlfn.XLOOKUP($A2684,Games!$A$2:$A$18,Games!$P$2:$P$18,"Missing game",0)</x:f>
      </x:c>
      <x:c r="AV2684" t="str">
        <x:f>_xlfn.XLOOKUP($A2684,Games!$A$2:$A$18,Games!$Q$2:$Q$18,"Missing game",0)</x:f>
      </x:c>
      <x:c r="AW2684" t="str">
        <x:f>_xlfn.XLOOKUP($A2684,Games!$A$2:$A$18,Games!$R$2:$R$18,"Missing game",0)</x:f>
        <x:v>U.S. Bank Stadium</x:v>
      </x:c>
    </x:row>
    <x:row r="2685">
      <x:c r="A2685" t="str">
        <x:v>2025_18_GB_MIN</x:v>
      </x:c>
      <x:c r="B2685" t="n">
        <x:v>1145</x:v>
      </x:c>
      <x:c r="C2685" t="n">
        <x:v>2</x:v>
      </x:c>
      <x:c r="D2685" t="str">
        <x:v>11:12</x:v>
      </x:c>
      <x:c r="E2685" t="n">
        <x:v>1</x:v>
      </x:c>
      <x:c r="F2685" t="n">
        <x:v>10</x:v>
      </x:c>
      <x:c r="G2685" t="str">
        <x:v>GB</x:v>
      </x:c>
      <x:c r="H2685" t="str">
        <x:v>MIN</x:v>
      </x:c>
      <x:c r="I2685" t="str">
        <x:v>GB</x:v>
      </x:c>
      <x:c r="J2685" t="n">
        <x:v>59</x:v>
      </x:c>
      <x:c r="K2685" t="str">
        <x:v>(11:12) 30-C.Brooks right end pushed ob at GB 46 for 5 yards (24-J.Ward; 7-B.Murphy).</x:v>
      </x:c>
      <x:c r="L2685" t="str">
        <x:v>run</x:v>
      </x:c>
      <x:c r="M2685" t="n">
        <x:v>5</x:v>
      </x:c>
      <x:c r="N2685" t="n">
        <x:v>0</x:v>
      </x:c>
      <x:c r="O2685" t="n">
        <x:v>0</x:v>
      </x:c>
      <x:c r="P2685"/>
      <x:c r="Q2685"/>
      <x:c r="R2685"/>
      <x:c r="S2685"/>
      <x:c r="T2685" t="str">
        <x:v>right</x:v>
      </x:c>
      <x:c r="U2685" t="str">
        <x:v>end</x:v>
      </x:c>
      <x:c r="V2685" t="n">
        <x:v>0</x:v>
      </x:c>
      <x:c r="W2685" t="n">
        <x:v>0</x:v>
      </x:c>
      <x:c r="X2685" t="n">
        <x:v>0</x:v>
      </x:c>
      <x:c r="Y2685" t="n">
        <x:v>0</x:v>
      </x:c>
      <x:c r="Z2685" t="n">
        <x:v>0</x:v>
      </x:c>
      <x:c r="AA2685" t="n">
        <x:v>0</x:v>
      </x:c>
      <x:c r="AB2685"/>
      <x:c r="AC2685" t="n">
        <x:v>0</x:v>
      </x:c>
      <x:c r="AD2685" t="n">
        <x:v>0.14855063916184008</x:v>
      </x:c>
      <x:c r="AE2685" t="n">
        <x:v>1</x:v>
      </x:c>
      <x:c r="AF2685" t="n">
        <x:v>-0.0027565062046051025</x:v>
      </x:c>
      <x:c r="AG2685" t="n">
        <x:f>_xlfn.XLOOKUP($A2685,Games!$A$2:$A$18,Games!$B$2:$B$18,"Missing game",0)</x:f>
        <x:v>2025</x:v>
      </x:c>
      <x:c r="AH2685" t="str">
        <x:f>_xlfn.XLOOKUP($A2685,Games!$A$2:$A$18,Games!$C$2:$C$18,"Missing game",0)</x:f>
        <x:v>REG</x:v>
      </x:c>
      <x:c r="AI2685" t="n">
        <x:f>_xlfn.XLOOKUP($A2685,Games!$A$2:$A$18,Games!$D$2:$D$18,"Missing game",0)</x:f>
        <x:v>18</x:v>
      </x:c>
      <x:c r="AJ2685" s="1" t="n">
        <x:f>_xlfn.XLOOKUP($A2685,Games!$A$2:$A$18,Games!$E$2:$E$18,"Missing game",0)</x:f>
        <x:v>46026</x:v>
      </x:c>
      <x:c r="AK2685" t="str">
        <x:f>_xlfn.XLOOKUP($A2685,Games!$A$2:$A$18,Games!$F$2:$F$18,"Missing game",0)</x:f>
        <x:v>Sunday</x:v>
      </x:c>
      <x:c r="AL2685" t="str">
        <x:f>_xlfn.XLOOKUP($A2685,Games!$A$2:$A$18,Games!$G$2:$G$18,"Missing game",0)</x:f>
        <x:v>GB</x:v>
      </x:c>
      <x:c r="AM2685" t="n">
        <x:f>_xlfn.XLOOKUP($A2685,Games!$A$2:$A$18,Games!$H$2:$H$18,"Missing game",0)</x:f>
        <x:v>3</x:v>
      </x:c>
      <x:c r="AN2685" t="str">
        <x:f>_xlfn.XLOOKUP($A2685,Games!$A$2:$A$18,Games!$I$2:$I$18,"Missing game",0)</x:f>
        <x:v>MIN</x:v>
      </x:c>
      <x:c r="AO2685" t="n">
        <x:f>_xlfn.XLOOKUP($A2685,Games!$A$2:$A$18,Games!$J$2:$J$18,"Missing game",0)</x:f>
        <x:v>16</x:v>
      </x:c>
      <x:c r="AP2685" t="n">
        <x:f>_xlfn.XLOOKUP($A2685,Games!$A$2:$A$18,Games!$K$2:$K$18,"Missing game",0)</x:f>
        <x:v>13</x:v>
      </x:c>
      <x:c r="AQ2685" t="n">
        <x:f>_xlfn.XLOOKUP($A2685,Games!$A$2:$A$18,Games!$L$2:$L$18,"Missing game",0)</x:f>
        <x:v>19</x:v>
      </x:c>
      <x:c r="AR2685" t="n">
        <x:f>_xlfn.XLOOKUP($A2685,Games!$A$2:$A$18,Games!$M$2:$M$18,"Missing game",0)</x:f>
        <x:v>0</x:v>
      </x:c>
      <x:c r="AS2685" t="str">
        <x:f>_xlfn.XLOOKUP($A2685,Games!$A$2:$A$18,Games!$N$2:$N$18,"Missing game",0)</x:f>
        <x:v>dome</x:v>
      </x:c>
      <x:c r="AT2685" t="str">
        <x:f>_xlfn.XLOOKUP($A2685,Games!$A$2:$A$18,Games!$O$2:$O$18,"Missing game",0)</x:f>
        <x:v>sportturf</x:v>
      </x:c>
      <x:c r="AU2685" t="str">
        <x:f>_xlfn.XLOOKUP($A2685,Games!$A$2:$A$18,Games!$P$2:$P$18,"Missing game",0)</x:f>
      </x:c>
      <x:c r="AV2685" t="str">
        <x:f>_xlfn.XLOOKUP($A2685,Games!$A$2:$A$18,Games!$Q$2:$Q$18,"Missing game",0)</x:f>
      </x:c>
      <x:c r="AW2685" t="str">
        <x:f>_xlfn.XLOOKUP($A2685,Games!$A$2:$A$18,Games!$R$2:$R$18,"Missing game",0)</x:f>
        <x:v>U.S. Bank Stadium</x:v>
      </x:c>
    </x:row>
    <x:row r="2686">
      <x:c r="A2686" t="str">
        <x:v>2025_18_GB_MIN</x:v>
      </x:c>
      <x:c r="B2686" t="n">
        <x:v>1172</x:v>
      </x:c>
      <x:c r="C2686" t="n">
        <x:v>2</x:v>
      </x:c>
      <x:c r="D2686" t="str">
        <x:v>10:36</x:v>
      </x:c>
      <x:c r="E2686" t="n">
        <x:v>2</x:v>
      </x:c>
      <x:c r="F2686" t="n">
        <x:v>5</x:v>
      </x:c>
      <x:c r="G2686" t="str">
        <x:v>GB</x:v>
      </x:c>
      <x:c r="H2686" t="str">
        <x:v>MIN</x:v>
      </x:c>
      <x:c r="I2686" t="str">
        <x:v>GB</x:v>
      </x:c>
      <x:c r="J2686" t="n">
        <x:v>54</x:v>
      </x:c>
      <x:c r="K2686" t="str">
        <x:v>(10:36) 30-C.Brooks right tackle to GB 48 for 2 yards (24-J.Ward; 61-J.Redmond).</x:v>
      </x:c>
      <x:c r="L2686" t="str">
        <x:v>run</x:v>
      </x:c>
      <x:c r="M2686" t="n">
        <x:v>2</x:v>
      </x:c>
      <x:c r="N2686" t="n">
        <x:v>0</x:v>
      </x:c>
      <x:c r="O2686" t="n">
        <x:v>0</x:v>
      </x:c>
      <x:c r="P2686"/>
      <x:c r="Q2686"/>
      <x:c r="R2686"/>
      <x:c r="S2686"/>
      <x:c r="T2686" t="str">
        <x:v>right</x:v>
      </x:c>
      <x:c r="U2686" t="str">
        <x:v>tackle</x:v>
      </x:c>
      <x:c r="V2686" t="n">
        <x:v>0</x:v>
      </x:c>
      <x:c r="W2686" t="n">
        <x:v>0</x:v>
      </x:c>
      <x:c r="X2686" t="n">
        <x:v>0</x:v>
      </x:c>
      <x:c r="Y2686" t="n">
        <x:v>0</x:v>
      </x:c>
      <x:c r="Z2686" t="n">
        <x:v>0</x:v>
      </x:c>
      <x:c r="AA2686" t="n">
        <x:v>0</x:v>
      </x:c>
      <x:c r="AB2686"/>
      <x:c r="AC2686" t="n">
        <x:v>0</x:v>
      </x:c>
      <x:c r="AD2686" t="n">
        <x:v>-0.5381295448169112</x:v>
      </x:c>
      <x:c r="AE2686" t="n">
        <x:v>0</x:v>
      </x:c>
      <x:c r="AF2686" t="n">
        <x:v>-0.0007939636707305908</x:v>
      </x:c>
      <x:c r="AG2686" t="n">
        <x:f>_xlfn.XLOOKUP($A2686,Games!$A$2:$A$18,Games!$B$2:$B$18,"Missing game",0)</x:f>
        <x:v>2025</x:v>
      </x:c>
      <x:c r="AH2686" t="str">
        <x:f>_xlfn.XLOOKUP($A2686,Games!$A$2:$A$18,Games!$C$2:$C$18,"Missing game",0)</x:f>
        <x:v>REG</x:v>
      </x:c>
      <x:c r="AI2686" t="n">
        <x:f>_xlfn.XLOOKUP($A2686,Games!$A$2:$A$18,Games!$D$2:$D$18,"Missing game",0)</x:f>
        <x:v>18</x:v>
      </x:c>
      <x:c r="AJ2686" s="1" t="n">
        <x:f>_xlfn.XLOOKUP($A2686,Games!$A$2:$A$18,Games!$E$2:$E$18,"Missing game",0)</x:f>
        <x:v>46026</x:v>
      </x:c>
      <x:c r="AK2686" t="str">
        <x:f>_xlfn.XLOOKUP($A2686,Games!$A$2:$A$18,Games!$F$2:$F$18,"Missing game",0)</x:f>
        <x:v>Sunday</x:v>
      </x:c>
      <x:c r="AL2686" t="str">
        <x:f>_xlfn.XLOOKUP($A2686,Games!$A$2:$A$18,Games!$G$2:$G$18,"Missing game",0)</x:f>
        <x:v>GB</x:v>
      </x:c>
      <x:c r="AM2686" t="n">
        <x:f>_xlfn.XLOOKUP($A2686,Games!$A$2:$A$18,Games!$H$2:$H$18,"Missing game",0)</x:f>
        <x:v>3</x:v>
      </x:c>
      <x:c r="AN2686" t="str">
        <x:f>_xlfn.XLOOKUP($A2686,Games!$A$2:$A$18,Games!$I$2:$I$18,"Missing game",0)</x:f>
        <x:v>MIN</x:v>
      </x:c>
      <x:c r="AO2686" t="n">
        <x:f>_xlfn.XLOOKUP($A2686,Games!$A$2:$A$18,Games!$J$2:$J$18,"Missing game",0)</x:f>
        <x:v>16</x:v>
      </x:c>
      <x:c r="AP2686" t="n">
        <x:f>_xlfn.XLOOKUP($A2686,Games!$A$2:$A$18,Games!$K$2:$K$18,"Missing game",0)</x:f>
        <x:v>13</x:v>
      </x:c>
      <x:c r="AQ2686" t="n">
        <x:f>_xlfn.XLOOKUP($A2686,Games!$A$2:$A$18,Games!$L$2:$L$18,"Missing game",0)</x:f>
        <x:v>19</x:v>
      </x:c>
      <x:c r="AR2686" t="n">
        <x:f>_xlfn.XLOOKUP($A2686,Games!$A$2:$A$18,Games!$M$2:$M$18,"Missing game",0)</x:f>
        <x:v>0</x:v>
      </x:c>
      <x:c r="AS2686" t="str">
        <x:f>_xlfn.XLOOKUP($A2686,Games!$A$2:$A$18,Games!$N$2:$N$18,"Missing game",0)</x:f>
        <x:v>dome</x:v>
      </x:c>
      <x:c r="AT2686" t="str">
        <x:f>_xlfn.XLOOKUP($A2686,Games!$A$2:$A$18,Games!$O$2:$O$18,"Missing game",0)</x:f>
        <x:v>sportturf</x:v>
      </x:c>
      <x:c r="AU2686" t="str">
        <x:f>_xlfn.XLOOKUP($A2686,Games!$A$2:$A$18,Games!$P$2:$P$18,"Missing game",0)</x:f>
      </x:c>
      <x:c r="AV2686" t="str">
        <x:f>_xlfn.XLOOKUP($A2686,Games!$A$2:$A$18,Games!$Q$2:$Q$18,"Missing game",0)</x:f>
      </x:c>
      <x:c r="AW2686" t="str">
        <x:f>_xlfn.XLOOKUP($A2686,Games!$A$2:$A$18,Games!$R$2:$R$18,"Missing game",0)</x:f>
        <x:v>U.S. Bank Stadium</x:v>
      </x:c>
    </x:row>
    <x:row r="2687">
      <x:c r="A2687" t="str">
        <x:v>2025_18_GB_MIN</x:v>
      </x:c>
      <x:c r="B2687" t="n">
        <x:v>1194</x:v>
      </x:c>
      <x:c r="C2687" t="n">
        <x:v>2</x:v>
      </x:c>
      <x:c r="D2687" t="str">
        <x:v>09:58</x:v>
      </x:c>
      <x:c r="E2687" t="n">
        <x:v>3</x:v>
      </x:c>
      <x:c r="F2687" t="n">
        <x:v>3</x:v>
      </x:c>
      <x:c r="G2687" t="str">
        <x:v>GB</x:v>
      </x:c>
      <x:c r="H2687" t="str">
        <x:v>MIN</x:v>
      </x:c>
      <x:c r="I2687" t="str">
        <x:v>GB</x:v>
      </x:c>
      <x:c r="J2687" t="n">
        <x:v>52</x:v>
      </x:c>
      <x:c r="K2687" t="str">
        <x:v>(9:58) (Shotgun) 23-E.Wilson up the middle to GB 47 for -1 yards (43-A.Van Ginkel, 51-B.Cashman).</x:v>
      </x:c>
      <x:c r="L2687" t="str">
        <x:v>run</x:v>
      </x:c>
      <x:c r="M2687" t="n">
        <x:v>-1</x:v>
      </x:c>
      <x:c r="N2687" t="n">
        <x:v>1</x:v>
      </x:c>
      <x:c r="O2687" t="n">
        <x:v>0</x:v>
      </x:c>
      <x:c r="P2687"/>
      <x:c r="Q2687"/>
      <x:c r="R2687"/>
      <x:c r="S2687"/>
      <x:c r="T2687" t="str">
        <x:v>middle</x:v>
      </x:c>
      <x:c r="U2687"/>
      <x:c r="V2687" t="n">
        <x:v>0</x:v>
      </x:c>
      <x:c r="W2687" t="n">
        <x:v>0</x:v>
      </x:c>
      <x:c r="X2687" t="n">
        <x:v>0</x:v>
      </x:c>
      <x:c r="Y2687" t="n">
        <x:v>0</x:v>
      </x:c>
      <x:c r="Z2687" t="n">
        <x:v>0</x:v>
      </x:c>
      <x:c r="AA2687" t="n">
        <x:v>0</x:v>
      </x:c>
      <x:c r="AB2687"/>
      <x:c r="AC2687" t="n">
        <x:v>0</x:v>
      </x:c>
      <x:c r="AD2687" t="n">
        <x:v>-1.8048796115908772</x:v>
      </x:c>
      <x:c r="AE2687" t="n">
        <x:v>0</x:v>
      </x:c>
      <x:c r="AF2687" t="n">
        <x:v>-0.060688555240631104</x:v>
      </x:c>
      <x:c r="AG2687" t="n">
        <x:f>_xlfn.XLOOKUP($A2687,Games!$A$2:$A$18,Games!$B$2:$B$18,"Missing game",0)</x:f>
        <x:v>2025</x:v>
      </x:c>
      <x:c r="AH2687" t="str">
        <x:f>_xlfn.XLOOKUP($A2687,Games!$A$2:$A$18,Games!$C$2:$C$18,"Missing game",0)</x:f>
        <x:v>REG</x:v>
      </x:c>
      <x:c r="AI2687" t="n">
        <x:f>_xlfn.XLOOKUP($A2687,Games!$A$2:$A$18,Games!$D$2:$D$18,"Missing game",0)</x:f>
        <x:v>18</x:v>
      </x:c>
      <x:c r="AJ2687" s="1" t="n">
        <x:f>_xlfn.XLOOKUP($A2687,Games!$A$2:$A$18,Games!$E$2:$E$18,"Missing game",0)</x:f>
        <x:v>46026</x:v>
      </x:c>
      <x:c r="AK2687" t="str">
        <x:f>_xlfn.XLOOKUP($A2687,Games!$A$2:$A$18,Games!$F$2:$F$18,"Missing game",0)</x:f>
        <x:v>Sunday</x:v>
      </x:c>
      <x:c r="AL2687" t="str">
        <x:f>_xlfn.XLOOKUP($A2687,Games!$A$2:$A$18,Games!$G$2:$G$18,"Missing game",0)</x:f>
        <x:v>GB</x:v>
      </x:c>
      <x:c r="AM2687" t="n">
        <x:f>_xlfn.XLOOKUP($A2687,Games!$A$2:$A$18,Games!$H$2:$H$18,"Missing game",0)</x:f>
        <x:v>3</x:v>
      </x:c>
      <x:c r="AN2687" t="str">
        <x:f>_xlfn.XLOOKUP($A2687,Games!$A$2:$A$18,Games!$I$2:$I$18,"Missing game",0)</x:f>
        <x:v>MIN</x:v>
      </x:c>
      <x:c r="AO2687" t="n">
        <x:f>_xlfn.XLOOKUP($A2687,Games!$A$2:$A$18,Games!$J$2:$J$18,"Missing game",0)</x:f>
        <x:v>16</x:v>
      </x:c>
      <x:c r="AP2687" t="n">
        <x:f>_xlfn.XLOOKUP($A2687,Games!$A$2:$A$18,Games!$K$2:$K$18,"Missing game",0)</x:f>
        <x:v>13</x:v>
      </x:c>
      <x:c r="AQ2687" t="n">
        <x:f>_xlfn.XLOOKUP($A2687,Games!$A$2:$A$18,Games!$L$2:$L$18,"Missing game",0)</x:f>
        <x:v>19</x:v>
      </x:c>
      <x:c r="AR2687" t="n">
        <x:f>_xlfn.XLOOKUP($A2687,Games!$A$2:$A$18,Games!$M$2:$M$18,"Missing game",0)</x:f>
        <x:v>0</x:v>
      </x:c>
      <x:c r="AS2687" t="str">
        <x:f>_xlfn.XLOOKUP($A2687,Games!$A$2:$A$18,Games!$N$2:$N$18,"Missing game",0)</x:f>
        <x:v>dome</x:v>
      </x:c>
      <x:c r="AT2687" t="str">
        <x:f>_xlfn.XLOOKUP($A2687,Games!$A$2:$A$18,Games!$O$2:$O$18,"Missing game",0)</x:f>
        <x:v>sportturf</x:v>
      </x:c>
      <x:c r="AU2687" t="str">
        <x:f>_xlfn.XLOOKUP($A2687,Games!$A$2:$A$18,Games!$P$2:$P$18,"Missing game",0)</x:f>
      </x:c>
      <x:c r="AV2687" t="str">
        <x:f>_xlfn.XLOOKUP($A2687,Games!$A$2:$A$18,Games!$Q$2:$Q$18,"Missing game",0)</x:f>
      </x:c>
      <x:c r="AW2687" t="str">
        <x:f>_xlfn.XLOOKUP($A2687,Games!$A$2:$A$18,Games!$R$2:$R$18,"Missing game",0)</x:f>
        <x:v>U.S. Bank Stadium</x:v>
      </x:c>
    </x:row>
    <x:row r="2688">
      <x:c r="A2688" t="str">
        <x:v>2025_18_GB_MIN</x:v>
      </x:c>
      <x:c r="B2688" t="n">
        <x:v>1216</x:v>
      </x:c>
      <x:c r="C2688" t="n">
        <x:v>2</x:v>
      </x:c>
      <x:c r="D2688" t="str">
        <x:v>09:13</x:v>
      </x:c>
      <x:c r="E2688" t="n">
        <x:v>4</x:v>
      </x:c>
      <x:c r="F2688" t="n">
        <x:v>4</x:v>
      </x:c>
      <x:c r="G2688" t="str">
        <x:v>GB</x:v>
      </x:c>
      <x:c r="H2688" t="str">
        <x:v>MIN</x:v>
      </x:c>
      <x:c r="I2688" t="str">
        <x:v>GB</x:v>
      </x:c>
      <x:c r="J2688" t="n">
        <x:v>53</x:v>
      </x:c>
      <x:c r="K2688" t="str">
        <x:v>(9:13) 19-D.Whelan punts 44 yards to MIN 9, Center-42-M.Orzech. 82-J.Jones to MIN 9 for no gain (16-B.Melton). GB-16-B.Melton was injured during the play.</x:v>
      </x:c>
      <x:c r="L2688" t="str">
        <x:v>punt</x:v>
      </x:c>
      <x:c r="M2688" t="n">
        <x:v>0</x:v>
      </x:c>
      <x:c r="N2688" t="n">
        <x:v>0</x:v>
      </x:c>
      <x:c r="O2688" t="n">
        <x:v>0</x:v>
      </x:c>
      <x:c r="P2688"/>
      <x:c r="Q2688"/>
      <x:c r="R2688"/>
      <x:c r="S2688"/>
      <x:c r="T2688"/>
      <x:c r="U2688"/>
      <x:c r="V2688" t="n">
        <x:v>0</x:v>
      </x:c>
      <x:c r="W2688" t="n">
        <x:v>0</x:v>
      </x:c>
      <x:c r="X2688" t="n">
        <x:v>0</x:v>
      </x:c>
      <x:c r="Y2688" t="n">
        <x:v>0</x:v>
      </x:c>
      <x:c r="Z2688" t="n">
        <x:v>0</x:v>
      </x:c>
      <x:c r="AA2688" t="n">
        <x:v>0</x:v>
      </x:c>
      <x:c r="AB2688"/>
      <x:c r="AC2688" t="n">
        <x:v>0</x:v>
      </x:c>
      <x:c r="AD2688" t="n">
        <x:v>-0.36706861527636647</x:v>
      </x:c>
      <x:c r="AE2688" t="n">
        <x:v>0</x:v>
      </x:c>
      <x:c r="AF2688" t="n">
        <x:v>0.006832003593444824</x:v>
      </x:c>
      <x:c r="AG2688" t="n">
        <x:f>_xlfn.XLOOKUP($A2688,Games!$A$2:$A$18,Games!$B$2:$B$18,"Missing game",0)</x:f>
        <x:v>2025</x:v>
      </x:c>
      <x:c r="AH2688" t="str">
        <x:f>_xlfn.XLOOKUP($A2688,Games!$A$2:$A$18,Games!$C$2:$C$18,"Missing game",0)</x:f>
        <x:v>REG</x:v>
      </x:c>
      <x:c r="AI2688" t="n">
        <x:f>_xlfn.XLOOKUP($A2688,Games!$A$2:$A$18,Games!$D$2:$D$18,"Missing game",0)</x:f>
        <x:v>18</x:v>
      </x:c>
      <x:c r="AJ2688" s="1" t="n">
        <x:f>_xlfn.XLOOKUP($A2688,Games!$A$2:$A$18,Games!$E$2:$E$18,"Missing game",0)</x:f>
        <x:v>46026</x:v>
      </x:c>
      <x:c r="AK2688" t="str">
        <x:f>_xlfn.XLOOKUP($A2688,Games!$A$2:$A$18,Games!$F$2:$F$18,"Missing game",0)</x:f>
        <x:v>Sunday</x:v>
      </x:c>
      <x:c r="AL2688" t="str">
        <x:f>_xlfn.XLOOKUP($A2688,Games!$A$2:$A$18,Games!$G$2:$G$18,"Missing game",0)</x:f>
        <x:v>GB</x:v>
      </x:c>
      <x:c r="AM2688" t="n">
        <x:f>_xlfn.XLOOKUP($A2688,Games!$A$2:$A$18,Games!$H$2:$H$18,"Missing game",0)</x:f>
        <x:v>3</x:v>
      </x:c>
      <x:c r="AN2688" t="str">
        <x:f>_xlfn.XLOOKUP($A2688,Games!$A$2:$A$18,Games!$I$2:$I$18,"Missing game",0)</x:f>
        <x:v>MIN</x:v>
      </x:c>
      <x:c r="AO2688" t="n">
        <x:f>_xlfn.XLOOKUP($A2688,Games!$A$2:$A$18,Games!$J$2:$J$18,"Missing game",0)</x:f>
        <x:v>16</x:v>
      </x:c>
      <x:c r="AP2688" t="n">
        <x:f>_xlfn.XLOOKUP($A2688,Games!$A$2:$A$18,Games!$K$2:$K$18,"Missing game",0)</x:f>
        <x:v>13</x:v>
      </x:c>
      <x:c r="AQ2688" t="n">
        <x:f>_xlfn.XLOOKUP($A2688,Games!$A$2:$A$18,Games!$L$2:$L$18,"Missing game",0)</x:f>
        <x:v>19</x:v>
      </x:c>
      <x:c r="AR2688" t="n">
        <x:f>_xlfn.XLOOKUP($A2688,Games!$A$2:$A$18,Games!$M$2:$M$18,"Missing game",0)</x:f>
        <x:v>0</x:v>
      </x:c>
      <x:c r="AS2688" t="str">
        <x:f>_xlfn.XLOOKUP($A2688,Games!$A$2:$A$18,Games!$N$2:$N$18,"Missing game",0)</x:f>
        <x:v>dome</x:v>
      </x:c>
      <x:c r="AT2688" t="str">
        <x:f>_xlfn.XLOOKUP($A2688,Games!$A$2:$A$18,Games!$O$2:$O$18,"Missing game",0)</x:f>
        <x:v>sportturf</x:v>
      </x:c>
      <x:c r="AU2688" t="str">
        <x:f>_xlfn.XLOOKUP($A2688,Games!$A$2:$A$18,Games!$P$2:$P$18,"Missing game",0)</x:f>
      </x:c>
      <x:c r="AV2688" t="str">
        <x:f>_xlfn.XLOOKUP($A2688,Games!$A$2:$A$18,Games!$Q$2:$Q$18,"Missing game",0)</x:f>
      </x:c>
      <x:c r="AW2688" t="str">
        <x:f>_xlfn.XLOOKUP($A2688,Games!$A$2:$A$18,Games!$R$2:$R$18,"Missing game",0)</x:f>
        <x:v>U.S. Bank Stadium</x:v>
      </x:c>
    </x:row>
    <x:row r="2689">
      <x:c r="A2689" t="str">
        <x:v>2025_18_GB_MIN</x:v>
      </x:c>
      <x:c r="B2689" t="n">
        <x:v>1245</x:v>
      </x:c>
      <x:c r="C2689" t="n">
        <x:v>2</x:v>
      </x:c>
      <x:c r="D2689" t="str">
        <x:v>09:04</x:v>
      </x:c>
      <x:c r="E2689" t="n">
        <x:v>1</x:v>
      </x:c>
      <x:c r="F2689" t="n">
        <x:v>10</x:v>
      </x:c>
      <x:c r="G2689" t="str">
        <x:v>MIN</x:v>
      </x:c>
      <x:c r="H2689" t="str">
        <x:v>GB</x:v>
      </x:c>
      <x:c r="I2689" t="str">
        <x:v>MIN</x:v>
      </x:c>
      <x:c r="J2689" t="n">
        <x:v>91</x:v>
      </x:c>
      <x:c r="K2689" t="str">
        <x:v>(9:04) 27-J.Mason right tackle to MIN 13 for 4 yards (99-B.Sorrell).</x:v>
      </x:c>
      <x:c r="L2689" t="str">
        <x:v>run</x:v>
      </x:c>
      <x:c r="M2689" t="n">
        <x:v>4</x:v>
      </x:c>
      <x:c r="N2689" t="n">
        <x:v>0</x:v>
      </x:c>
      <x:c r="O2689" t="n">
        <x:v>0</x:v>
      </x:c>
      <x:c r="P2689"/>
      <x:c r="Q2689"/>
      <x:c r="R2689"/>
      <x:c r="S2689"/>
      <x:c r="T2689" t="str">
        <x:v>right</x:v>
      </x:c>
      <x:c r="U2689" t="str">
        <x:v>tackle</x:v>
      </x:c>
      <x:c r="V2689" t="n">
        <x:v>0</x:v>
      </x:c>
      <x:c r="W2689" t="n">
        <x:v>0</x:v>
      </x:c>
      <x:c r="X2689" t="n">
        <x:v>0</x:v>
      </x:c>
      <x:c r="Y2689" t="n">
        <x:v>0</x:v>
      </x:c>
      <x:c r="Z2689" t="n">
        <x:v>0</x:v>
      </x:c>
      <x:c r="AA2689" t="n">
        <x:v>0</x:v>
      </x:c>
      <x:c r="AB2689"/>
      <x:c r="AC2689" t="n">
        <x:v>0</x:v>
      </x:c>
      <x:c r="AD2689" t="n">
        <x:v>-0.29619691567495465</x:v>
      </x:c>
      <x:c r="AE2689" t="n">
        <x:v>0</x:v>
      </x:c>
      <x:c r="AF2689" t="n">
        <x:v>-0.002413332462310791</x:v>
      </x:c>
      <x:c r="AG2689" t="n">
        <x:f>_xlfn.XLOOKUP($A2689,Games!$A$2:$A$18,Games!$B$2:$B$18,"Missing game",0)</x:f>
        <x:v>2025</x:v>
      </x:c>
      <x:c r="AH2689" t="str">
        <x:f>_xlfn.XLOOKUP($A2689,Games!$A$2:$A$18,Games!$C$2:$C$18,"Missing game",0)</x:f>
        <x:v>REG</x:v>
      </x:c>
      <x:c r="AI2689" t="n">
        <x:f>_xlfn.XLOOKUP($A2689,Games!$A$2:$A$18,Games!$D$2:$D$18,"Missing game",0)</x:f>
        <x:v>18</x:v>
      </x:c>
      <x:c r="AJ2689" s="1" t="n">
        <x:f>_xlfn.XLOOKUP($A2689,Games!$A$2:$A$18,Games!$E$2:$E$18,"Missing game",0)</x:f>
        <x:v>46026</x:v>
      </x:c>
      <x:c r="AK2689" t="str">
        <x:f>_xlfn.XLOOKUP($A2689,Games!$A$2:$A$18,Games!$F$2:$F$18,"Missing game",0)</x:f>
        <x:v>Sunday</x:v>
      </x:c>
      <x:c r="AL2689" t="str">
        <x:f>_xlfn.XLOOKUP($A2689,Games!$A$2:$A$18,Games!$G$2:$G$18,"Missing game",0)</x:f>
        <x:v>GB</x:v>
      </x:c>
      <x:c r="AM2689" t="n">
        <x:f>_xlfn.XLOOKUP($A2689,Games!$A$2:$A$18,Games!$H$2:$H$18,"Missing game",0)</x:f>
        <x:v>3</x:v>
      </x:c>
      <x:c r="AN2689" t="str">
        <x:f>_xlfn.XLOOKUP($A2689,Games!$A$2:$A$18,Games!$I$2:$I$18,"Missing game",0)</x:f>
        <x:v>MIN</x:v>
      </x:c>
      <x:c r="AO2689" t="n">
        <x:f>_xlfn.XLOOKUP($A2689,Games!$A$2:$A$18,Games!$J$2:$J$18,"Missing game",0)</x:f>
        <x:v>16</x:v>
      </x:c>
      <x:c r="AP2689" t="n">
        <x:f>_xlfn.XLOOKUP($A2689,Games!$A$2:$A$18,Games!$K$2:$K$18,"Missing game",0)</x:f>
        <x:v>13</x:v>
      </x:c>
      <x:c r="AQ2689" t="n">
        <x:f>_xlfn.XLOOKUP($A2689,Games!$A$2:$A$18,Games!$L$2:$L$18,"Missing game",0)</x:f>
        <x:v>19</x:v>
      </x:c>
      <x:c r="AR2689" t="n">
        <x:f>_xlfn.XLOOKUP($A2689,Games!$A$2:$A$18,Games!$M$2:$M$18,"Missing game",0)</x:f>
        <x:v>0</x:v>
      </x:c>
      <x:c r="AS2689" t="str">
        <x:f>_xlfn.XLOOKUP($A2689,Games!$A$2:$A$18,Games!$N$2:$N$18,"Missing game",0)</x:f>
        <x:v>dome</x:v>
      </x:c>
      <x:c r="AT2689" t="str">
        <x:f>_xlfn.XLOOKUP($A2689,Games!$A$2:$A$18,Games!$O$2:$O$18,"Missing game",0)</x:f>
        <x:v>sportturf</x:v>
      </x:c>
      <x:c r="AU2689" t="str">
        <x:f>_xlfn.XLOOKUP($A2689,Games!$A$2:$A$18,Games!$P$2:$P$18,"Missing game",0)</x:f>
      </x:c>
      <x:c r="AV2689" t="str">
        <x:f>_xlfn.XLOOKUP($A2689,Games!$A$2:$A$18,Games!$Q$2:$Q$18,"Missing game",0)</x:f>
      </x:c>
      <x:c r="AW2689" t="str">
        <x:f>_xlfn.XLOOKUP($A2689,Games!$A$2:$A$18,Games!$R$2:$R$18,"Missing game",0)</x:f>
        <x:v>U.S. Bank Stadium</x:v>
      </x:c>
    </x:row>
    <x:row r="2690">
      <x:c r="A2690" t="str">
        <x:v>2025_18_GB_MIN</x:v>
      </x:c>
      <x:c r="B2690" t="n">
        <x:v>1274</x:v>
      </x:c>
      <x:c r="C2690" t="n">
        <x:v>2</x:v>
      </x:c>
      <x:c r="D2690" t="str">
        <x:v>08:31</x:v>
      </x:c>
      <x:c r="E2690" t="n">
        <x:v>2</x:v>
      </x:c>
      <x:c r="F2690" t="n">
        <x:v>6</x:v>
      </x:c>
      <x:c r="G2690" t="str">
        <x:v>MIN</x:v>
      </x:c>
      <x:c r="H2690" t="str">
        <x:v>GB</x:v>
      </x:c>
      <x:c r="I2690" t="str">
        <x:v>MIN</x:v>
      </x:c>
      <x:c r="J2690" t="n">
        <x:v>87</x:v>
      </x:c>
      <x:c r="K2690" t="str">
        <x:v>(8:31) 9-J.McCarthy pass short right to 84-J.Oliver pushed ob at MIN 35 for 22 yards (48-J.Johnson).</x:v>
      </x:c>
      <x:c r="L2690" t="str">
        <x:v>pass</x:v>
      </x:c>
      <x:c r="M2690" t="n">
        <x:v>22</x:v>
      </x:c>
      <x:c r="N2690" t="n">
        <x:v>0</x:v>
      </x:c>
      <x:c r="O2690" t="n">
        <x:v>0</x:v>
      </x:c>
      <x:c r="P2690" t="str">
        <x:v>short</x:v>
      </x:c>
      <x:c r="Q2690" t="str">
        <x:v>right</x:v>
      </x:c>
      <x:c r="R2690" t="n">
        <x:v>3</x:v>
      </x:c>
      <x:c r="S2690" t="n">
        <x:v>19</x:v>
      </x:c>
      <x:c r="T2690"/>
      <x:c r="U2690"/>
      <x:c r="V2690" t="n">
        <x:v>1</x:v>
      </x:c>
      <x:c r="W2690" t="n">
        <x:v>1</x:v>
      </x:c>
      <x:c r="X2690" t="n">
        <x:v>0</x:v>
      </x:c>
      <x:c r="Y2690" t="n">
        <x:v>0</x:v>
      </x:c>
      <x:c r="Z2690" t="n">
        <x:v>0</x:v>
      </x:c>
      <x:c r="AA2690" t="n">
        <x:v>0</x:v>
      </x:c>
      <x:c r="AB2690"/>
      <x:c r="AC2690" t="n">
        <x:v>0</x:v>
      </x:c>
      <x:c r="AD2690" t="n">
        <x:v>1.79574015410617</x:v>
      </x:c>
      <x:c r="AE2690" t="n">
        <x:v>1</x:v>
      </x:c>
      <x:c r="AF2690" t="n">
        <x:v>0.03736734390258789</x:v>
      </x:c>
      <x:c r="AG2690" t="n">
        <x:f>_xlfn.XLOOKUP($A2690,Games!$A$2:$A$18,Games!$B$2:$B$18,"Missing game",0)</x:f>
        <x:v>2025</x:v>
      </x:c>
      <x:c r="AH2690" t="str">
        <x:f>_xlfn.XLOOKUP($A2690,Games!$A$2:$A$18,Games!$C$2:$C$18,"Missing game",0)</x:f>
        <x:v>REG</x:v>
      </x:c>
      <x:c r="AI2690" t="n">
        <x:f>_xlfn.XLOOKUP($A2690,Games!$A$2:$A$18,Games!$D$2:$D$18,"Missing game",0)</x:f>
        <x:v>18</x:v>
      </x:c>
      <x:c r="AJ2690" s="1" t="n">
        <x:f>_xlfn.XLOOKUP($A2690,Games!$A$2:$A$18,Games!$E$2:$E$18,"Missing game",0)</x:f>
        <x:v>46026</x:v>
      </x:c>
      <x:c r="AK2690" t="str">
        <x:f>_xlfn.XLOOKUP($A2690,Games!$A$2:$A$18,Games!$F$2:$F$18,"Missing game",0)</x:f>
        <x:v>Sunday</x:v>
      </x:c>
      <x:c r="AL2690" t="str">
        <x:f>_xlfn.XLOOKUP($A2690,Games!$A$2:$A$18,Games!$G$2:$G$18,"Missing game",0)</x:f>
        <x:v>GB</x:v>
      </x:c>
      <x:c r="AM2690" t="n">
        <x:f>_xlfn.XLOOKUP($A2690,Games!$A$2:$A$18,Games!$H$2:$H$18,"Missing game",0)</x:f>
        <x:v>3</x:v>
      </x:c>
      <x:c r="AN2690" t="str">
        <x:f>_xlfn.XLOOKUP($A2690,Games!$A$2:$A$18,Games!$I$2:$I$18,"Missing game",0)</x:f>
        <x:v>MIN</x:v>
      </x:c>
      <x:c r="AO2690" t="n">
        <x:f>_xlfn.XLOOKUP($A2690,Games!$A$2:$A$18,Games!$J$2:$J$18,"Missing game",0)</x:f>
        <x:v>16</x:v>
      </x:c>
      <x:c r="AP2690" t="n">
        <x:f>_xlfn.XLOOKUP($A2690,Games!$A$2:$A$18,Games!$K$2:$K$18,"Missing game",0)</x:f>
        <x:v>13</x:v>
      </x:c>
      <x:c r="AQ2690" t="n">
        <x:f>_xlfn.XLOOKUP($A2690,Games!$A$2:$A$18,Games!$L$2:$L$18,"Missing game",0)</x:f>
        <x:v>19</x:v>
      </x:c>
      <x:c r="AR2690" t="n">
        <x:f>_xlfn.XLOOKUP($A2690,Games!$A$2:$A$18,Games!$M$2:$M$18,"Missing game",0)</x:f>
        <x:v>0</x:v>
      </x:c>
      <x:c r="AS2690" t="str">
        <x:f>_xlfn.XLOOKUP($A2690,Games!$A$2:$A$18,Games!$N$2:$N$18,"Missing game",0)</x:f>
        <x:v>dome</x:v>
      </x:c>
      <x:c r="AT2690" t="str">
        <x:f>_xlfn.XLOOKUP($A2690,Games!$A$2:$A$18,Games!$O$2:$O$18,"Missing game",0)</x:f>
        <x:v>sportturf</x:v>
      </x:c>
      <x:c r="AU2690" t="str">
        <x:f>_xlfn.XLOOKUP($A2690,Games!$A$2:$A$18,Games!$P$2:$P$18,"Missing game",0)</x:f>
      </x:c>
      <x:c r="AV2690" t="str">
        <x:f>_xlfn.XLOOKUP($A2690,Games!$A$2:$A$18,Games!$Q$2:$Q$18,"Missing game",0)</x:f>
      </x:c>
      <x:c r="AW2690" t="str">
        <x:f>_xlfn.XLOOKUP($A2690,Games!$A$2:$A$18,Games!$R$2:$R$18,"Missing game",0)</x:f>
        <x:v>U.S. Bank Stadium</x:v>
      </x:c>
    </x:row>
    <x:row r="2691">
      <x:c r="A2691" t="str">
        <x:v>2025_18_GB_MIN</x:v>
      </x:c>
      <x:c r="B2691" t="n">
        <x:v>1304</x:v>
      </x:c>
      <x:c r="C2691" t="n">
        <x:v>2</x:v>
      </x:c>
      <x:c r="D2691" t="str">
        <x:v>07:48</x:v>
      </x:c>
      <x:c r="E2691" t="n">
        <x:v>1</x:v>
      </x:c>
      <x:c r="F2691" t="n">
        <x:v>10</x:v>
      </x:c>
      <x:c r="G2691" t="str">
        <x:v>MIN</x:v>
      </x:c>
      <x:c r="H2691" t="str">
        <x:v>GB</x:v>
      </x:c>
      <x:c r="I2691" t="str">
        <x:v>MIN</x:v>
      </x:c>
      <x:c r="J2691" t="n">
        <x:v>65</x:v>
      </x:c>
      <x:c r="K2691" t="str">
        <x:v>(7:48) 27-J.Mason right tackle to MIN 36 for 1 yard (93-N.Stackhouse; 48-J.Johnson).</x:v>
      </x:c>
      <x:c r="L2691" t="str">
        <x:v>run</x:v>
      </x:c>
      <x:c r="M2691" t="n">
        <x:v>1</x:v>
      </x:c>
      <x:c r="N2691" t="n">
        <x:v>0</x:v>
      </x:c>
      <x:c r="O2691" t="n">
        <x:v>0</x:v>
      </x:c>
      <x:c r="P2691"/>
      <x:c r="Q2691"/>
      <x:c r="R2691"/>
      <x:c r="S2691"/>
      <x:c r="T2691" t="str">
        <x:v>right</x:v>
      </x:c>
      <x:c r="U2691" t="str">
        <x:v>tackle</x:v>
      </x:c>
      <x:c r="V2691" t="n">
        <x:v>0</x:v>
      </x:c>
      <x:c r="W2691" t="n">
        <x:v>0</x:v>
      </x:c>
      <x:c r="X2691" t="n">
        <x:v>0</x:v>
      </x:c>
      <x:c r="Y2691" t="n">
        <x:v>0</x:v>
      </x:c>
      <x:c r="Z2691" t="n">
        <x:v>0</x:v>
      </x:c>
      <x:c r="AA2691" t="n">
        <x:v>0</x:v>
      </x:c>
      <x:c r="AB2691"/>
      <x:c r="AC2691" t="n">
        <x:v>0</x:v>
      </x:c>
      <x:c r="AD2691" t="n">
        <x:v>-0.44108180748298764</x:v>
      </x:c>
      <x:c r="AE2691" t="n">
        <x:v>0</x:v>
      </x:c>
      <x:c r="AF2691" t="n">
        <x:v>-0.010822176933288574</x:v>
      </x:c>
      <x:c r="AG2691" t="n">
        <x:f>_xlfn.XLOOKUP($A2691,Games!$A$2:$A$18,Games!$B$2:$B$18,"Missing game",0)</x:f>
        <x:v>2025</x:v>
      </x:c>
      <x:c r="AH2691" t="str">
        <x:f>_xlfn.XLOOKUP($A2691,Games!$A$2:$A$18,Games!$C$2:$C$18,"Missing game",0)</x:f>
        <x:v>REG</x:v>
      </x:c>
      <x:c r="AI2691" t="n">
        <x:f>_xlfn.XLOOKUP($A2691,Games!$A$2:$A$18,Games!$D$2:$D$18,"Missing game",0)</x:f>
        <x:v>18</x:v>
      </x:c>
      <x:c r="AJ2691" s="1" t="n">
        <x:f>_xlfn.XLOOKUP($A2691,Games!$A$2:$A$18,Games!$E$2:$E$18,"Missing game",0)</x:f>
        <x:v>46026</x:v>
      </x:c>
      <x:c r="AK2691" t="str">
        <x:f>_xlfn.XLOOKUP($A2691,Games!$A$2:$A$18,Games!$F$2:$F$18,"Missing game",0)</x:f>
        <x:v>Sunday</x:v>
      </x:c>
      <x:c r="AL2691" t="str">
        <x:f>_xlfn.XLOOKUP($A2691,Games!$A$2:$A$18,Games!$G$2:$G$18,"Missing game",0)</x:f>
        <x:v>GB</x:v>
      </x:c>
      <x:c r="AM2691" t="n">
        <x:f>_xlfn.XLOOKUP($A2691,Games!$A$2:$A$18,Games!$H$2:$H$18,"Missing game",0)</x:f>
        <x:v>3</x:v>
      </x:c>
      <x:c r="AN2691" t="str">
        <x:f>_xlfn.XLOOKUP($A2691,Games!$A$2:$A$18,Games!$I$2:$I$18,"Missing game",0)</x:f>
        <x:v>MIN</x:v>
      </x:c>
      <x:c r="AO2691" t="n">
        <x:f>_xlfn.XLOOKUP($A2691,Games!$A$2:$A$18,Games!$J$2:$J$18,"Missing game",0)</x:f>
        <x:v>16</x:v>
      </x:c>
      <x:c r="AP2691" t="n">
        <x:f>_xlfn.XLOOKUP($A2691,Games!$A$2:$A$18,Games!$K$2:$K$18,"Missing game",0)</x:f>
        <x:v>13</x:v>
      </x:c>
      <x:c r="AQ2691" t="n">
        <x:f>_xlfn.XLOOKUP($A2691,Games!$A$2:$A$18,Games!$L$2:$L$18,"Missing game",0)</x:f>
        <x:v>19</x:v>
      </x:c>
      <x:c r="AR2691" t="n">
        <x:f>_xlfn.XLOOKUP($A2691,Games!$A$2:$A$18,Games!$M$2:$M$18,"Missing game",0)</x:f>
        <x:v>0</x:v>
      </x:c>
      <x:c r="AS2691" t="str">
        <x:f>_xlfn.XLOOKUP($A2691,Games!$A$2:$A$18,Games!$N$2:$N$18,"Missing game",0)</x:f>
        <x:v>dome</x:v>
      </x:c>
      <x:c r="AT2691" t="str">
        <x:f>_xlfn.XLOOKUP($A2691,Games!$A$2:$A$18,Games!$O$2:$O$18,"Missing game",0)</x:f>
        <x:v>sportturf</x:v>
      </x:c>
      <x:c r="AU2691" t="str">
        <x:f>_xlfn.XLOOKUP($A2691,Games!$A$2:$A$18,Games!$P$2:$P$18,"Missing game",0)</x:f>
      </x:c>
      <x:c r="AV2691" t="str">
        <x:f>_xlfn.XLOOKUP($A2691,Games!$A$2:$A$18,Games!$Q$2:$Q$18,"Missing game",0)</x:f>
      </x:c>
      <x:c r="AW2691" t="str">
        <x:f>_xlfn.XLOOKUP($A2691,Games!$A$2:$A$18,Games!$R$2:$R$18,"Missing game",0)</x:f>
        <x:v>U.S. Bank Stadium</x:v>
      </x:c>
    </x:row>
    <x:row r="2692">
      <x:c r="A2692" t="str">
        <x:v>2025_18_GB_MIN</x:v>
      </x:c>
      <x:c r="B2692" t="n">
        <x:v>1326</x:v>
      </x:c>
      <x:c r="C2692" t="n">
        <x:v>2</x:v>
      </x:c>
      <x:c r="D2692" t="str">
        <x:v>07:10</x:v>
      </x:c>
      <x:c r="E2692" t="n">
        <x:v>2</x:v>
      </x:c>
      <x:c r="F2692" t="n">
        <x:v>9</x:v>
      </x:c>
      <x:c r="G2692" t="str">
        <x:v>MIN</x:v>
      </x:c>
      <x:c r="H2692" t="str">
        <x:v>GB</x:v>
      </x:c>
      <x:c r="I2692" t="str">
        <x:v>MIN</x:v>
      </x:c>
      <x:c r="J2692" t="n">
        <x:v>64</x:v>
      </x:c>
      <x:c r="K2692" t="str">
        <x:v>(7:10) (Shotgun) 9-J.McCarthy pass short right to 18-J.Jefferson to GB 47 for 17 yards (33-E.Williams; 59-T.Hopper).</x:v>
      </x:c>
      <x:c r="L2692" t="str">
        <x:v>pass</x:v>
      </x:c>
      <x:c r="M2692" t="n">
        <x:v>17</x:v>
      </x:c>
      <x:c r="N2692" t="n">
        <x:v>1</x:v>
      </x:c>
      <x:c r="O2692" t="n">
        <x:v>0</x:v>
      </x:c>
      <x:c r="P2692" t="str">
        <x:v>short</x:v>
      </x:c>
      <x:c r="Q2692" t="str">
        <x:v>right</x:v>
      </x:c>
      <x:c r="R2692" t="n">
        <x:v>4</x:v>
      </x:c>
      <x:c r="S2692" t="n">
        <x:v>13</x:v>
      </x:c>
      <x:c r="T2692"/>
      <x:c r="U2692"/>
      <x:c r="V2692" t="n">
        <x:v>1</x:v>
      </x:c>
      <x:c r="W2692" t="n">
        <x:v>1</x:v>
      </x:c>
      <x:c r="X2692" t="n">
        <x:v>0</x:v>
      </x:c>
      <x:c r="Y2692" t="n">
        <x:v>0</x:v>
      </x:c>
      <x:c r="Z2692" t="n">
        <x:v>0</x:v>
      </x:c>
      <x:c r="AA2692" t="n">
        <x:v>0</x:v>
      </x:c>
      <x:c r="AB2692"/>
      <x:c r="AC2692" t="n">
        <x:v>0</x:v>
      </x:c>
      <x:c r="AD2692" t="n">
        <x:v>1.4968071624170989</x:v>
      </x:c>
      <x:c r="AE2692" t="n">
        <x:v>1</x:v>
      </x:c>
      <x:c r="AF2692" t="n">
        <x:v>0.05449897050857544</x:v>
      </x:c>
      <x:c r="AG2692" t="n">
        <x:f>_xlfn.XLOOKUP($A2692,Games!$A$2:$A$18,Games!$B$2:$B$18,"Missing game",0)</x:f>
        <x:v>2025</x:v>
      </x:c>
      <x:c r="AH2692" t="str">
        <x:f>_xlfn.XLOOKUP($A2692,Games!$A$2:$A$18,Games!$C$2:$C$18,"Missing game",0)</x:f>
        <x:v>REG</x:v>
      </x:c>
      <x:c r="AI2692" t="n">
        <x:f>_xlfn.XLOOKUP($A2692,Games!$A$2:$A$18,Games!$D$2:$D$18,"Missing game",0)</x:f>
        <x:v>18</x:v>
      </x:c>
      <x:c r="AJ2692" s="1" t="n">
        <x:f>_xlfn.XLOOKUP($A2692,Games!$A$2:$A$18,Games!$E$2:$E$18,"Missing game",0)</x:f>
        <x:v>46026</x:v>
      </x:c>
      <x:c r="AK2692" t="str">
        <x:f>_xlfn.XLOOKUP($A2692,Games!$A$2:$A$18,Games!$F$2:$F$18,"Missing game",0)</x:f>
        <x:v>Sunday</x:v>
      </x:c>
      <x:c r="AL2692" t="str">
        <x:f>_xlfn.XLOOKUP($A2692,Games!$A$2:$A$18,Games!$G$2:$G$18,"Missing game",0)</x:f>
        <x:v>GB</x:v>
      </x:c>
      <x:c r="AM2692" t="n">
        <x:f>_xlfn.XLOOKUP($A2692,Games!$A$2:$A$18,Games!$H$2:$H$18,"Missing game",0)</x:f>
        <x:v>3</x:v>
      </x:c>
      <x:c r="AN2692" t="str">
        <x:f>_xlfn.XLOOKUP($A2692,Games!$A$2:$A$18,Games!$I$2:$I$18,"Missing game",0)</x:f>
        <x:v>MIN</x:v>
      </x:c>
      <x:c r="AO2692" t="n">
        <x:f>_xlfn.XLOOKUP($A2692,Games!$A$2:$A$18,Games!$J$2:$J$18,"Missing game",0)</x:f>
        <x:v>16</x:v>
      </x:c>
      <x:c r="AP2692" t="n">
        <x:f>_xlfn.XLOOKUP($A2692,Games!$A$2:$A$18,Games!$K$2:$K$18,"Missing game",0)</x:f>
        <x:v>13</x:v>
      </x:c>
      <x:c r="AQ2692" t="n">
        <x:f>_xlfn.XLOOKUP($A2692,Games!$A$2:$A$18,Games!$L$2:$L$18,"Missing game",0)</x:f>
        <x:v>19</x:v>
      </x:c>
      <x:c r="AR2692" t="n">
        <x:f>_xlfn.XLOOKUP($A2692,Games!$A$2:$A$18,Games!$M$2:$M$18,"Missing game",0)</x:f>
        <x:v>0</x:v>
      </x:c>
      <x:c r="AS2692" t="str">
        <x:f>_xlfn.XLOOKUP($A2692,Games!$A$2:$A$18,Games!$N$2:$N$18,"Missing game",0)</x:f>
        <x:v>dome</x:v>
      </x:c>
      <x:c r="AT2692" t="str">
        <x:f>_xlfn.XLOOKUP($A2692,Games!$A$2:$A$18,Games!$O$2:$O$18,"Missing game",0)</x:f>
        <x:v>sportturf</x:v>
      </x:c>
      <x:c r="AU2692" t="str">
        <x:f>_xlfn.XLOOKUP($A2692,Games!$A$2:$A$18,Games!$P$2:$P$18,"Missing game",0)</x:f>
      </x:c>
      <x:c r="AV2692" t="str">
        <x:f>_xlfn.XLOOKUP($A2692,Games!$A$2:$A$18,Games!$Q$2:$Q$18,"Missing game",0)</x:f>
      </x:c>
      <x:c r="AW2692" t="str">
        <x:f>_xlfn.XLOOKUP($A2692,Games!$A$2:$A$18,Games!$R$2:$R$18,"Missing game",0)</x:f>
        <x:v>U.S. Bank Stadium</x:v>
      </x:c>
    </x:row>
    <x:row r="2693">
      <x:c r="A2693" t="str">
        <x:v>2025_18_GB_MIN</x:v>
      </x:c>
      <x:c r="B2693" t="n">
        <x:v>1351</x:v>
      </x:c>
      <x:c r="C2693" t="n">
        <x:v>2</x:v>
      </x:c>
      <x:c r="D2693" t="str">
        <x:v>06:30</x:v>
      </x:c>
      <x:c r="E2693" t="n">
        <x:v>1</x:v>
      </x:c>
      <x:c r="F2693" t="n">
        <x:v>10</x:v>
      </x:c>
      <x:c r="G2693" t="str">
        <x:v>MIN</x:v>
      </x:c>
      <x:c r="H2693" t="str">
        <x:v>GB</x:v>
      </x:c>
      <x:c r="I2693" t="str">
        <x:v>GB</x:v>
      </x:c>
      <x:c r="J2693" t="n">
        <x:v>47</x:v>
      </x:c>
      <x:c r="K2693" t="str">
        <x:v>(6:30) (Shotgun) 9-J.McCarthy pass short middle to 1-J.Nailor to GB 30 for 17 yards (38-J.Simpson).</x:v>
      </x:c>
      <x:c r="L2693" t="str">
        <x:v>pass</x:v>
      </x:c>
      <x:c r="M2693" t="n">
        <x:v>17</x:v>
      </x:c>
      <x:c r="N2693" t="n">
        <x:v>1</x:v>
      </x:c>
      <x:c r="O2693" t="n">
        <x:v>0</x:v>
      </x:c>
      <x:c r="P2693" t="str">
        <x:v>short</x:v>
      </x:c>
      <x:c r="Q2693" t="str">
        <x:v>middle</x:v>
      </x:c>
      <x:c r="R2693" t="n">
        <x:v>13</x:v>
      </x:c>
      <x:c r="S2693" t="n">
        <x:v>4</x:v>
      </x:c>
      <x:c r="T2693"/>
      <x:c r="U2693"/>
      <x:c r="V2693" t="n">
        <x:v>1</x:v>
      </x:c>
      <x:c r="W2693" t="n">
        <x:v>1</x:v>
      </x:c>
      <x:c r="X2693" t="n">
        <x:v>0</x:v>
      </x:c>
      <x:c r="Y2693" t="n">
        <x:v>0</x:v>
      </x:c>
      <x:c r="Z2693" t="n">
        <x:v>0</x:v>
      </x:c>
      <x:c r="AA2693" t="n">
        <x:v>0</x:v>
      </x:c>
      <x:c r="AB2693"/>
      <x:c r="AC2693" t="n">
        <x:v>0</x:v>
      </x:c>
      <x:c r="AD2693" t="n">
        <x:v>1.0280079130316153</x:v>
      </x:c>
      <x:c r="AE2693" t="n">
        <x:v>1</x:v>
      </x:c>
      <x:c r="AF2693" t="n">
        <x:v>0.010243475437164307</x:v>
      </x:c>
      <x:c r="AG2693" t="n">
        <x:f>_xlfn.XLOOKUP($A2693,Games!$A$2:$A$18,Games!$B$2:$B$18,"Missing game",0)</x:f>
        <x:v>2025</x:v>
      </x:c>
      <x:c r="AH2693" t="str">
        <x:f>_xlfn.XLOOKUP($A2693,Games!$A$2:$A$18,Games!$C$2:$C$18,"Missing game",0)</x:f>
        <x:v>REG</x:v>
      </x:c>
      <x:c r="AI2693" t="n">
        <x:f>_xlfn.XLOOKUP($A2693,Games!$A$2:$A$18,Games!$D$2:$D$18,"Missing game",0)</x:f>
        <x:v>18</x:v>
      </x:c>
      <x:c r="AJ2693" s="1" t="n">
        <x:f>_xlfn.XLOOKUP($A2693,Games!$A$2:$A$18,Games!$E$2:$E$18,"Missing game",0)</x:f>
        <x:v>46026</x:v>
      </x:c>
      <x:c r="AK2693" t="str">
        <x:f>_xlfn.XLOOKUP($A2693,Games!$A$2:$A$18,Games!$F$2:$F$18,"Missing game",0)</x:f>
        <x:v>Sunday</x:v>
      </x:c>
      <x:c r="AL2693" t="str">
        <x:f>_xlfn.XLOOKUP($A2693,Games!$A$2:$A$18,Games!$G$2:$G$18,"Missing game",0)</x:f>
        <x:v>GB</x:v>
      </x:c>
      <x:c r="AM2693" t="n">
        <x:f>_xlfn.XLOOKUP($A2693,Games!$A$2:$A$18,Games!$H$2:$H$18,"Missing game",0)</x:f>
        <x:v>3</x:v>
      </x:c>
      <x:c r="AN2693" t="str">
        <x:f>_xlfn.XLOOKUP($A2693,Games!$A$2:$A$18,Games!$I$2:$I$18,"Missing game",0)</x:f>
        <x:v>MIN</x:v>
      </x:c>
      <x:c r="AO2693" t="n">
        <x:f>_xlfn.XLOOKUP($A2693,Games!$A$2:$A$18,Games!$J$2:$J$18,"Missing game",0)</x:f>
        <x:v>16</x:v>
      </x:c>
      <x:c r="AP2693" t="n">
        <x:f>_xlfn.XLOOKUP($A2693,Games!$A$2:$A$18,Games!$K$2:$K$18,"Missing game",0)</x:f>
        <x:v>13</x:v>
      </x:c>
      <x:c r="AQ2693" t="n">
        <x:f>_xlfn.XLOOKUP($A2693,Games!$A$2:$A$18,Games!$L$2:$L$18,"Missing game",0)</x:f>
        <x:v>19</x:v>
      </x:c>
      <x:c r="AR2693" t="n">
        <x:f>_xlfn.XLOOKUP($A2693,Games!$A$2:$A$18,Games!$M$2:$M$18,"Missing game",0)</x:f>
        <x:v>0</x:v>
      </x:c>
      <x:c r="AS2693" t="str">
        <x:f>_xlfn.XLOOKUP($A2693,Games!$A$2:$A$18,Games!$N$2:$N$18,"Missing game",0)</x:f>
        <x:v>dome</x:v>
      </x:c>
      <x:c r="AT2693" t="str">
        <x:f>_xlfn.XLOOKUP($A2693,Games!$A$2:$A$18,Games!$O$2:$O$18,"Missing game",0)</x:f>
        <x:v>sportturf</x:v>
      </x:c>
      <x:c r="AU2693" t="str">
        <x:f>_xlfn.XLOOKUP($A2693,Games!$A$2:$A$18,Games!$P$2:$P$18,"Missing game",0)</x:f>
      </x:c>
      <x:c r="AV2693" t="str">
        <x:f>_xlfn.XLOOKUP($A2693,Games!$A$2:$A$18,Games!$Q$2:$Q$18,"Missing game",0)</x:f>
      </x:c>
      <x:c r="AW2693" t="str">
        <x:f>_xlfn.XLOOKUP($A2693,Games!$A$2:$A$18,Games!$R$2:$R$18,"Missing game",0)</x:f>
        <x:v>U.S. Bank Stadium</x:v>
      </x:c>
    </x:row>
    <x:row r="2694">
      <x:c r="A2694" t="str">
        <x:v>2025_18_GB_MIN</x:v>
      </x:c>
      <x:c r="B2694" t="n">
        <x:v>1376</x:v>
      </x:c>
      <x:c r="C2694" t="n">
        <x:v>2</x:v>
      </x:c>
      <x:c r="D2694" t="str">
        <x:v>05:43</x:v>
      </x:c>
      <x:c r="E2694" t="n">
        <x:v>1</x:v>
      </x:c>
      <x:c r="F2694" t="n">
        <x:v>10</x:v>
      </x:c>
      <x:c r="G2694" t="str">
        <x:v>MIN</x:v>
      </x:c>
      <x:c r="H2694" t="str">
        <x:v>GB</x:v>
      </x:c>
      <x:c r="I2694" t="str">
        <x:v>GB</x:v>
      </x:c>
      <x:c r="J2694" t="n">
        <x:v>30</x:v>
      </x:c>
      <x:c r="K2694" t="str">
        <x:v>(5:43) 32-T.Chandler right end to GB 27 for 3 yards (59-T.Hopper; 48-J.Johnson).</x:v>
      </x:c>
      <x:c r="L2694" t="str">
        <x:v>run</x:v>
      </x:c>
      <x:c r="M2694" t="n">
        <x:v>3</x:v>
      </x:c>
      <x:c r="N2694" t="n">
        <x:v>0</x:v>
      </x:c>
      <x:c r="O2694" t="n">
        <x:v>0</x:v>
      </x:c>
      <x:c r="P2694"/>
      <x:c r="Q2694"/>
      <x:c r="R2694"/>
      <x:c r="S2694"/>
      <x:c r="T2694" t="str">
        <x:v>right</x:v>
      </x:c>
      <x:c r="U2694" t="str">
        <x:v>end</x:v>
      </x:c>
      <x:c r="V2694" t="n">
        <x:v>0</x:v>
      </x:c>
      <x:c r="W2694" t="n">
        <x:v>0</x:v>
      </x:c>
      <x:c r="X2694" t="n">
        <x:v>0</x:v>
      </x:c>
      <x:c r="Y2694" t="n">
        <x:v>0</x:v>
      </x:c>
      <x:c r="Z2694" t="n">
        <x:v>0</x:v>
      </x:c>
      <x:c r="AA2694" t="n">
        <x:v>0</x:v>
      </x:c>
      <x:c r="AB2694"/>
      <x:c r="AC2694" t="n">
        <x:v>0</x:v>
      </x:c>
      <x:c r="AD2694" t="n">
        <x:v>-0.23668398725567386</x:v>
      </x:c>
      <x:c r="AE2694" t="n">
        <x:v>0</x:v>
      </x:c>
      <x:c r="AF2694" t="n">
        <x:v>-0.010778665542602539</x:v>
      </x:c>
      <x:c r="AG2694" t="n">
        <x:f>_xlfn.XLOOKUP($A2694,Games!$A$2:$A$18,Games!$B$2:$B$18,"Missing game",0)</x:f>
        <x:v>2025</x:v>
      </x:c>
      <x:c r="AH2694" t="str">
        <x:f>_xlfn.XLOOKUP($A2694,Games!$A$2:$A$18,Games!$C$2:$C$18,"Missing game",0)</x:f>
        <x:v>REG</x:v>
      </x:c>
      <x:c r="AI2694" t="n">
        <x:f>_xlfn.XLOOKUP($A2694,Games!$A$2:$A$18,Games!$D$2:$D$18,"Missing game",0)</x:f>
        <x:v>18</x:v>
      </x:c>
      <x:c r="AJ2694" s="1" t="n">
        <x:f>_xlfn.XLOOKUP($A2694,Games!$A$2:$A$18,Games!$E$2:$E$18,"Missing game",0)</x:f>
        <x:v>46026</x:v>
      </x:c>
      <x:c r="AK2694" t="str">
        <x:f>_xlfn.XLOOKUP($A2694,Games!$A$2:$A$18,Games!$F$2:$F$18,"Missing game",0)</x:f>
        <x:v>Sunday</x:v>
      </x:c>
      <x:c r="AL2694" t="str">
        <x:f>_xlfn.XLOOKUP($A2694,Games!$A$2:$A$18,Games!$G$2:$G$18,"Missing game",0)</x:f>
        <x:v>GB</x:v>
      </x:c>
      <x:c r="AM2694" t="n">
        <x:f>_xlfn.XLOOKUP($A2694,Games!$A$2:$A$18,Games!$H$2:$H$18,"Missing game",0)</x:f>
        <x:v>3</x:v>
      </x:c>
      <x:c r="AN2694" t="str">
        <x:f>_xlfn.XLOOKUP($A2694,Games!$A$2:$A$18,Games!$I$2:$I$18,"Missing game",0)</x:f>
        <x:v>MIN</x:v>
      </x:c>
      <x:c r="AO2694" t="n">
        <x:f>_xlfn.XLOOKUP($A2694,Games!$A$2:$A$18,Games!$J$2:$J$18,"Missing game",0)</x:f>
        <x:v>16</x:v>
      </x:c>
      <x:c r="AP2694" t="n">
        <x:f>_xlfn.XLOOKUP($A2694,Games!$A$2:$A$18,Games!$K$2:$K$18,"Missing game",0)</x:f>
        <x:v>13</x:v>
      </x:c>
      <x:c r="AQ2694" t="n">
        <x:f>_xlfn.XLOOKUP($A2694,Games!$A$2:$A$18,Games!$L$2:$L$18,"Missing game",0)</x:f>
        <x:v>19</x:v>
      </x:c>
      <x:c r="AR2694" t="n">
        <x:f>_xlfn.XLOOKUP($A2694,Games!$A$2:$A$18,Games!$M$2:$M$18,"Missing game",0)</x:f>
        <x:v>0</x:v>
      </x:c>
      <x:c r="AS2694" t="str">
        <x:f>_xlfn.XLOOKUP($A2694,Games!$A$2:$A$18,Games!$N$2:$N$18,"Missing game",0)</x:f>
        <x:v>dome</x:v>
      </x:c>
      <x:c r="AT2694" t="str">
        <x:f>_xlfn.XLOOKUP($A2694,Games!$A$2:$A$18,Games!$O$2:$O$18,"Missing game",0)</x:f>
        <x:v>sportturf</x:v>
      </x:c>
      <x:c r="AU2694" t="str">
        <x:f>_xlfn.XLOOKUP($A2694,Games!$A$2:$A$18,Games!$P$2:$P$18,"Missing game",0)</x:f>
      </x:c>
      <x:c r="AV2694" t="str">
        <x:f>_xlfn.XLOOKUP($A2694,Games!$A$2:$A$18,Games!$Q$2:$Q$18,"Missing game",0)</x:f>
      </x:c>
      <x:c r="AW2694" t="str">
        <x:f>_xlfn.XLOOKUP($A2694,Games!$A$2:$A$18,Games!$R$2:$R$18,"Missing game",0)</x:f>
        <x:v>U.S. Bank Stadium</x:v>
      </x:c>
    </x:row>
    <x:row r="2695">
      <x:c r="A2695" t="str">
        <x:v>2025_18_GB_MIN</x:v>
      </x:c>
      <x:c r="B2695" t="n">
        <x:v>1398</x:v>
      </x:c>
      <x:c r="C2695" t="n">
        <x:v>2</x:v>
      </x:c>
      <x:c r="D2695" t="str">
        <x:v>05:05</x:v>
      </x:c>
      <x:c r="E2695" t="n">
        <x:v>2</x:v>
      </x:c>
      <x:c r="F2695" t="n">
        <x:v>7</x:v>
      </x:c>
      <x:c r="G2695" t="str">
        <x:v>MIN</x:v>
      </x:c>
      <x:c r="H2695" t="str">
        <x:v>GB</x:v>
      </x:c>
      <x:c r="I2695" t="str">
        <x:v>GB</x:v>
      </x:c>
      <x:c r="J2695" t="n">
        <x:v>27</x:v>
      </x:c>
      <x:c r="K2695" t="str">
        <x:v>(5:05) 9-J.McCarthy pass incomplete short left.</x:v>
      </x:c>
      <x:c r="L2695" t="str">
        <x:v>pass</x:v>
      </x:c>
      <x:c r="M2695" t="n">
        <x:v>0</x:v>
      </x:c>
      <x:c r="N2695" t="n">
        <x:v>0</x:v>
      </x:c>
      <x:c r="O2695" t="n">
        <x:v>0</x:v>
      </x:c>
      <x:c r="P2695" t="str">
        <x:v>short</x:v>
      </x:c>
      <x:c r="Q2695" t="str">
        <x:v>left</x:v>
      </x:c>
      <x:c r="R2695" t="n">
        <x:v>3</x:v>
      </x:c>
      <x:c r="S2695"/>
      <x:c r="T2695"/>
      <x:c r="U2695"/>
      <x:c r="V2695" t="n">
        <x:v>0</x:v>
      </x:c>
      <x:c r="W2695" t="n">
        <x:v>0</x:v>
      </x:c>
      <x:c r="X2695" t="n">
        <x:v>0</x:v>
      </x:c>
      <x:c r="Y2695" t="n">
        <x:v>0</x:v>
      </x:c>
      <x:c r="Z2695" t="n">
        <x:v>0</x:v>
      </x:c>
      <x:c r="AA2695" t="n">
        <x:v>0</x:v>
      </x:c>
      <x:c r="AB2695"/>
      <x:c r="AC2695" t="n">
        <x:v>0</x:v>
      </x:c>
      <x:c r="AD2695" t="n">
        <x:v>-0.6664902495103888</x:v>
      </x:c>
      <x:c r="AE2695" t="n">
        <x:v>0</x:v>
      </x:c>
      <x:c r="AF2695" t="n">
        <x:v>-0.02824866771697998</x:v>
      </x:c>
      <x:c r="AG2695" t="n">
        <x:f>_xlfn.XLOOKUP($A2695,Games!$A$2:$A$18,Games!$B$2:$B$18,"Missing game",0)</x:f>
        <x:v>2025</x:v>
      </x:c>
      <x:c r="AH2695" t="str">
        <x:f>_xlfn.XLOOKUP($A2695,Games!$A$2:$A$18,Games!$C$2:$C$18,"Missing game",0)</x:f>
        <x:v>REG</x:v>
      </x:c>
      <x:c r="AI2695" t="n">
        <x:f>_xlfn.XLOOKUP($A2695,Games!$A$2:$A$18,Games!$D$2:$D$18,"Missing game",0)</x:f>
        <x:v>18</x:v>
      </x:c>
      <x:c r="AJ2695" s="1" t="n">
        <x:f>_xlfn.XLOOKUP($A2695,Games!$A$2:$A$18,Games!$E$2:$E$18,"Missing game",0)</x:f>
        <x:v>46026</x:v>
      </x:c>
      <x:c r="AK2695" t="str">
        <x:f>_xlfn.XLOOKUP($A2695,Games!$A$2:$A$18,Games!$F$2:$F$18,"Missing game",0)</x:f>
        <x:v>Sunday</x:v>
      </x:c>
      <x:c r="AL2695" t="str">
        <x:f>_xlfn.XLOOKUP($A2695,Games!$A$2:$A$18,Games!$G$2:$G$18,"Missing game",0)</x:f>
        <x:v>GB</x:v>
      </x:c>
      <x:c r="AM2695" t="n">
        <x:f>_xlfn.XLOOKUP($A2695,Games!$A$2:$A$18,Games!$H$2:$H$18,"Missing game",0)</x:f>
        <x:v>3</x:v>
      </x:c>
      <x:c r="AN2695" t="str">
        <x:f>_xlfn.XLOOKUP($A2695,Games!$A$2:$A$18,Games!$I$2:$I$18,"Missing game",0)</x:f>
        <x:v>MIN</x:v>
      </x:c>
      <x:c r="AO2695" t="n">
        <x:f>_xlfn.XLOOKUP($A2695,Games!$A$2:$A$18,Games!$J$2:$J$18,"Missing game",0)</x:f>
        <x:v>16</x:v>
      </x:c>
      <x:c r="AP2695" t="n">
        <x:f>_xlfn.XLOOKUP($A2695,Games!$A$2:$A$18,Games!$K$2:$K$18,"Missing game",0)</x:f>
        <x:v>13</x:v>
      </x:c>
      <x:c r="AQ2695" t="n">
        <x:f>_xlfn.XLOOKUP($A2695,Games!$A$2:$A$18,Games!$L$2:$L$18,"Missing game",0)</x:f>
        <x:v>19</x:v>
      </x:c>
      <x:c r="AR2695" t="n">
        <x:f>_xlfn.XLOOKUP($A2695,Games!$A$2:$A$18,Games!$M$2:$M$18,"Missing game",0)</x:f>
        <x:v>0</x:v>
      </x:c>
      <x:c r="AS2695" t="str">
        <x:f>_xlfn.XLOOKUP($A2695,Games!$A$2:$A$18,Games!$N$2:$N$18,"Missing game",0)</x:f>
        <x:v>dome</x:v>
      </x:c>
      <x:c r="AT2695" t="str">
        <x:f>_xlfn.XLOOKUP($A2695,Games!$A$2:$A$18,Games!$O$2:$O$18,"Missing game",0)</x:f>
        <x:v>sportturf</x:v>
      </x:c>
      <x:c r="AU2695" t="str">
        <x:f>_xlfn.XLOOKUP($A2695,Games!$A$2:$A$18,Games!$P$2:$P$18,"Missing game",0)</x:f>
      </x:c>
      <x:c r="AV2695" t="str">
        <x:f>_xlfn.XLOOKUP($A2695,Games!$A$2:$A$18,Games!$Q$2:$Q$18,"Missing game",0)</x:f>
      </x:c>
      <x:c r="AW2695" t="str">
        <x:f>_xlfn.XLOOKUP($A2695,Games!$A$2:$A$18,Games!$R$2:$R$18,"Missing game",0)</x:f>
        <x:v>U.S. Bank Stadium</x:v>
      </x:c>
    </x:row>
    <x:row r="2696">
      <x:c r="A2696" t="str">
        <x:v>2025_18_GB_MIN</x:v>
      </x:c>
      <x:c r="B2696" t="n">
        <x:v>1421</x:v>
      </x:c>
      <x:c r="C2696" t="n">
        <x:v>2</x:v>
      </x:c>
      <x:c r="D2696" t="str">
        <x:v>04:57</x:v>
      </x:c>
      <x:c r="E2696" t="n">
        <x:v>3</x:v>
      </x:c>
      <x:c r="F2696" t="n">
        <x:v>7</x:v>
      </x:c>
      <x:c r="G2696" t="str">
        <x:v>MIN</x:v>
      </x:c>
      <x:c r="H2696" t="str">
        <x:v>GB</x:v>
      </x:c>
      <x:c r="I2696" t="str">
        <x:v>GB</x:v>
      </x:c>
      <x:c r="J2696" t="n">
        <x:v>27</x:v>
      </x:c>
      <x:c r="K2696" t="str">
        <x:v>(4:57) (Shotgun) 9-J.McCarthy pass short right to 1-J.Nailor to GB 21 for 6 yards (99-B.Sorrell; 38-J.Simpson).</x:v>
      </x:c>
      <x:c r="L2696" t="str">
        <x:v>pass</x:v>
      </x:c>
      <x:c r="M2696" t="n">
        <x:v>6</x:v>
      </x:c>
      <x:c r="N2696" t="n">
        <x:v>1</x:v>
      </x:c>
      <x:c r="O2696" t="n">
        <x:v>0</x:v>
      </x:c>
      <x:c r="P2696" t="str">
        <x:v>short</x:v>
      </x:c>
      <x:c r="Q2696" t="str">
        <x:v>right</x:v>
      </x:c>
      <x:c r="R2696" t="n">
        <x:v>6</x:v>
      </x:c>
      <x:c r="S2696" t="n">
        <x:v>0</x:v>
      </x:c>
      <x:c r="T2696"/>
      <x:c r="U2696"/>
      <x:c r="V2696" t="n">
        <x:v>1</x:v>
      </x:c>
      <x:c r="W2696" t="n">
        <x:v>0</x:v>
      </x:c>
      <x:c r="X2696" t="n">
        <x:v>0</x:v>
      </x:c>
      <x:c r="Y2696" t="n">
        <x:v>0</x:v>
      </x:c>
      <x:c r="Z2696" t="n">
        <x:v>0</x:v>
      </x:c>
      <x:c r="AA2696" t="n">
        <x:v>0</x:v>
      </x:c>
      <x:c r="AB2696"/>
      <x:c r="AC2696" t="n">
        <x:v>0</x:v>
      </x:c>
      <x:c r="AD2696" t="n">
        <x:v>0.1751498599187471</x:v>
      </x:c>
      <x:c r="AE2696" t="n">
        <x:v>1</x:v>
      </x:c>
      <x:c r="AF2696" t="n">
        <x:v>0.017000317573547363</x:v>
      </x:c>
      <x:c r="AG2696" t="n">
        <x:f>_xlfn.XLOOKUP($A2696,Games!$A$2:$A$18,Games!$B$2:$B$18,"Missing game",0)</x:f>
        <x:v>2025</x:v>
      </x:c>
      <x:c r="AH2696" t="str">
        <x:f>_xlfn.XLOOKUP($A2696,Games!$A$2:$A$18,Games!$C$2:$C$18,"Missing game",0)</x:f>
        <x:v>REG</x:v>
      </x:c>
      <x:c r="AI2696" t="n">
        <x:f>_xlfn.XLOOKUP($A2696,Games!$A$2:$A$18,Games!$D$2:$D$18,"Missing game",0)</x:f>
        <x:v>18</x:v>
      </x:c>
      <x:c r="AJ2696" s="1" t="n">
        <x:f>_xlfn.XLOOKUP($A2696,Games!$A$2:$A$18,Games!$E$2:$E$18,"Missing game",0)</x:f>
        <x:v>46026</x:v>
      </x:c>
      <x:c r="AK2696" t="str">
        <x:f>_xlfn.XLOOKUP($A2696,Games!$A$2:$A$18,Games!$F$2:$F$18,"Missing game",0)</x:f>
        <x:v>Sunday</x:v>
      </x:c>
      <x:c r="AL2696" t="str">
        <x:f>_xlfn.XLOOKUP($A2696,Games!$A$2:$A$18,Games!$G$2:$G$18,"Missing game",0)</x:f>
        <x:v>GB</x:v>
      </x:c>
      <x:c r="AM2696" t="n">
        <x:f>_xlfn.XLOOKUP($A2696,Games!$A$2:$A$18,Games!$H$2:$H$18,"Missing game",0)</x:f>
        <x:v>3</x:v>
      </x:c>
      <x:c r="AN2696" t="str">
        <x:f>_xlfn.XLOOKUP($A2696,Games!$A$2:$A$18,Games!$I$2:$I$18,"Missing game",0)</x:f>
        <x:v>MIN</x:v>
      </x:c>
      <x:c r="AO2696" t="n">
        <x:f>_xlfn.XLOOKUP($A2696,Games!$A$2:$A$18,Games!$J$2:$J$18,"Missing game",0)</x:f>
        <x:v>16</x:v>
      </x:c>
      <x:c r="AP2696" t="n">
        <x:f>_xlfn.XLOOKUP($A2696,Games!$A$2:$A$18,Games!$K$2:$K$18,"Missing game",0)</x:f>
        <x:v>13</x:v>
      </x:c>
      <x:c r="AQ2696" t="n">
        <x:f>_xlfn.XLOOKUP($A2696,Games!$A$2:$A$18,Games!$L$2:$L$18,"Missing game",0)</x:f>
        <x:v>19</x:v>
      </x:c>
      <x:c r="AR2696" t="n">
        <x:f>_xlfn.XLOOKUP($A2696,Games!$A$2:$A$18,Games!$M$2:$M$18,"Missing game",0)</x:f>
        <x:v>0</x:v>
      </x:c>
      <x:c r="AS2696" t="str">
        <x:f>_xlfn.XLOOKUP($A2696,Games!$A$2:$A$18,Games!$N$2:$N$18,"Missing game",0)</x:f>
        <x:v>dome</x:v>
      </x:c>
      <x:c r="AT2696" t="str">
        <x:f>_xlfn.XLOOKUP($A2696,Games!$A$2:$A$18,Games!$O$2:$O$18,"Missing game",0)</x:f>
        <x:v>sportturf</x:v>
      </x:c>
      <x:c r="AU2696" t="str">
        <x:f>_xlfn.XLOOKUP($A2696,Games!$A$2:$A$18,Games!$P$2:$P$18,"Missing game",0)</x:f>
      </x:c>
      <x:c r="AV2696" t="str">
        <x:f>_xlfn.XLOOKUP($A2696,Games!$A$2:$A$18,Games!$Q$2:$Q$18,"Missing game",0)</x:f>
      </x:c>
      <x:c r="AW2696" t="str">
        <x:f>_xlfn.XLOOKUP($A2696,Games!$A$2:$A$18,Games!$R$2:$R$18,"Missing game",0)</x:f>
        <x:v>U.S. Bank Stadium</x:v>
      </x:c>
    </x:row>
    <x:row r="2697">
      <x:c r="A2697" t="str">
        <x:v>2025_18_GB_MIN</x:v>
      </x:c>
      <x:c r="B2697" t="n">
        <x:v>1451</x:v>
      </x:c>
      <x:c r="C2697" t="n">
        <x:v>2</x:v>
      </x:c>
      <x:c r="D2697" t="str">
        <x:v>04:34</x:v>
      </x:c>
      <x:c r="E2697" t="n">
        <x:v>4</x:v>
      </x:c>
      <x:c r="F2697" t="n">
        <x:v>1</x:v>
      </x:c>
      <x:c r="G2697" t="str">
        <x:v>MIN</x:v>
      </x:c>
      <x:c r="H2697" t="str">
        <x:v>GB</x:v>
      </x:c>
      <x:c r="I2697" t="str">
        <x:v>GB</x:v>
      </x:c>
      <x:c r="J2697" t="n">
        <x:v>21</x:v>
      </x:c>
      <x:c r="K2697" t="str">
        <x:v>(4:34) (No Huddle) 9-J.McCarthy up the middle to GB 20 for 1 yard (57-B.Cox; 33-E.Williams). Green Bay challenged the first down ruling, and the play was Upheld. The ruling on the field stands. (Timeout #1.)</x:v>
      </x:c>
      <x:c r="L2697" t="str">
        <x:v>run</x:v>
      </x:c>
      <x:c r="M2697" t="n">
        <x:v>1</x:v>
      </x:c>
      <x:c r="N2697" t="n">
        <x:v>0</x:v>
      </x:c>
      <x:c r="O2697" t="n">
        <x:v>1</x:v>
      </x:c>
      <x:c r="P2697"/>
      <x:c r="Q2697"/>
      <x:c r="R2697"/>
      <x:c r="S2697"/>
      <x:c r="T2697" t="str">
        <x:v>middle</x:v>
      </x:c>
      <x:c r="U2697"/>
      <x:c r="V2697" t="n">
        <x:v>0</x:v>
      </x:c>
      <x:c r="W2697" t="n">
        <x:v>1</x:v>
      </x:c>
      <x:c r="X2697" t="n">
        <x:v>0</x:v>
      </x:c>
      <x:c r="Y2697" t="n">
        <x:v>0</x:v>
      </x:c>
      <x:c r="Z2697" t="n">
        <x:v>0</x:v>
      </x:c>
      <x:c r="AA2697" t="n">
        <x:v>0</x:v>
      </x:c>
      <x:c r="AB2697"/>
      <x:c r="AC2697" t="n">
        <x:v>0</x:v>
      </x:c>
      <x:c r="AD2697" t="n">
        <x:v>1.2398254435393028</x:v>
      </x:c>
      <x:c r="AE2697" t="n">
        <x:v>1</x:v>
      </x:c>
      <x:c r="AF2697" t="n">
        <x:v>0.044198691844940186</x:v>
      </x:c>
      <x:c r="AG2697" t="n">
        <x:f>_xlfn.XLOOKUP($A2697,Games!$A$2:$A$18,Games!$B$2:$B$18,"Missing game",0)</x:f>
        <x:v>2025</x:v>
      </x:c>
      <x:c r="AH2697" t="str">
        <x:f>_xlfn.XLOOKUP($A2697,Games!$A$2:$A$18,Games!$C$2:$C$18,"Missing game",0)</x:f>
        <x:v>REG</x:v>
      </x:c>
      <x:c r="AI2697" t="n">
        <x:f>_xlfn.XLOOKUP($A2697,Games!$A$2:$A$18,Games!$D$2:$D$18,"Missing game",0)</x:f>
        <x:v>18</x:v>
      </x:c>
      <x:c r="AJ2697" s="1" t="n">
        <x:f>_xlfn.XLOOKUP($A2697,Games!$A$2:$A$18,Games!$E$2:$E$18,"Missing game",0)</x:f>
        <x:v>46026</x:v>
      </x:c>
      <x:c r="AK2697" t="str">
        <x:f>_xlfn.XLOOKUP($A2697,Games!$A$2:$A$18,Games!$F$2:$F$18,"Missing game",0)</x:f>
        <x:v>Sunday</x:v>
      </x:c>
      <x:c r="AL2697" t="str">
        <x:f>_xlfn.XLOOKUP($A2697,Games!$A$2:$A$18,Games!$G$2:$G$18,"Missing game",0)</x:f>
        <x:v>GB</x:v>
      </x:c>
      <x:c r="AM2697" t="n">
        <x:f>_xlfn.XLOOKUP($A2697,Games!$A$2:$A$18,Games!$H$2:$H$18,"Missing game",0)</x:f>
        <x:v>3</x:v>
      </x:c>
      <x:c r="AN2697" t="str">
        <x:f>_xlfn.XLOOKUP($A2697,Games!$A$2:$A$18,Games!$I$2:$I$18,"Missing game",0)</x:f>
        <x:v>MIN</x:v>
      </x:c>
      <x:c r="AO2697" t="n">
        <x:f>_xlfn.XLOOKUP($A2697,Games!$A$2:$A$18,Games!$J$2:$J$18,"Missing game",0)</x:f>
        <x:v>16</x:v>
      </x:c>
      <x:c r="AP2697" t="n">
        <x:f>_xlfn.XLOOKUP($A2697,Games!$A$2:$A$18,Games!$K$2:$K$18,"Missing game",0)</x:f>
        <x:v>13</x:v>
      </x:c>
      <x:c r="AQ2697" t="n">
        <x:f>_xlfn.XLOOKUP($A2697,Games!$A$2:$A$18,Games!$L$2:$L$18,"Missing game",0)</x:f>
        <x:v>19</x:v>
      </x:c>
      <x:c r="AR2697" t="n">
        <x:f>_xlfn.XLOOKUP($A2697,Games!$A$2:$A$18,Games!$M$2:$M$18,"Missing game",0)</x:f>
        <x:v>0</x:v>
      </x:c>
      <x:c r="AS2697" t="str">
        <x:f>_xlfn.XLOOKUP($A2697,Games!$A$2:$A$18,Games!$N$2:$N$18,"Missing game",0)</x:f>
        <x:v>dome</x:v>
      </x:c>
      <x:c r="AT2697" t="str">
        <x:f>_xlfn.XLOOKUP($A2697,Games!$A$2:$A$18,Games!$O$2:$O$18,"Missing game",0)</x:f>
        <x:v>sportturf</x:v>
      </x:c>
      <x:c r="AU2697" t="str">
        <x:f>_xlfn.XLOOKUP($A2697,Games!$A$2:$A$18,Games!$P$2:$P$18,"Missing game",0)</x:f>
      </x:c>
      <x:c r="AV2697" t="str">
        <x:f>_xlfn.XLOOKUP($A2697,Games!$A$2:$A$18,Games!$Q$2:$Q$18,"Missing game",0)</x:f>
      </x:c>
      <x:c r="AW2697" t="str">
        <x:f>_xlfn.XLOOKUP($A2697,Games!$A$2:$A$18,Games!$R$2:$R$18,"Missing game",0)</x:f>
        <x:v>U.S. Bank Stadium</x:v>
      </x:c>
    </x:row>
    <x:row r="2698">
      <x:c r="A2698" t="str">
        <x:v>2025_18_GB_MIN</x:v>
      </x:c>
      <x:c r="B2698" t="n">
        <x:v>1473</x:v>
      </x:c>
      <x:c r="C2698" t="n">
        <x:v>2</x:v>
      </x:c>
      <x:c r="D2698" t="str">
        <x:v>04:00</x:v>
      </x:c>
      <x:c r="E2698" t="n">
        <x:v>1</x:v>
      </x:c>
      <x:c r="F2698" t="n">
        <x:v>10</x:v>
      </x:c>
      <x:c r="G2698" t="str">
        <x:v>MIN</x:v>
      </x:c>
      <x:c r="H2698" t="str">
        <x:v>GB</x:v>
      </x:c>
      <x:c r="I2698" t="str">
        <x:v>GB</x:v>
      </x:c>
      <x:c r="J2698" t="n">
        <x:v>20</x:v>
      </x:c>
      <x:c r="K2698" t="str">
        <x:v>(4:00) 27-J.Mason up the middle to GB 7 for 13 yards (28-T.Diggs).</x:v>
      </x:c>
      <x:c r="L2698" t="str">
        <x:v>run</x:v>
      </x:c>
      <x:c r="M2698" t="n">
        <x:v>13</x:v>
      </x:c>
      <x:c r="N2698" t="n">
        <x:v>0</x:v>
      </x:c>
      <x:c r="O2698" t="n">
        <x:v>0</x:v>
      </x:c>
      <x:c r="P2698"/>
      <x:c r="Q2698"/>
      <x:c r="R2698"/>
      <x:c r="S2698"/>
      <x:c r="T2698" t="str">
        <x:v>middle</x:v>
      </x:c>
      <x:c r="U2698"/>
      <x:c r="V2698" t="n">
        <x:v>0</x:v>
      </x:c>
      <x:c r="W2698" t="n">
        <x:v>1</x:v>
      </x:c>
      <x:c r="X2698" t="n">
        <x:v>0</x:v>
      </x:c>
      <x:c r="Y2698" t="n">
        <x:v>0</x:v>
      </x:c>
      <x:c r="Z2698" t="n">
        <x:v>0</x:v>
      </x:c>
      <x:c r="AA2698" t="n">
        <x:v>0</x:v>
      </x:c>
      <x:c r="AB2698"/>
      <x:c r="AC2698" t="n">
        <x:v>0</x:v>
      </x:c>
      <x:c r="AD2698" t="n">
        <x:v>0.9413243957678787</x:v>
      </x:c>
      <x:c r="AE2698" t="n">
        <x:v>1</x:v>
      </x:c>
      <x:c r="AF2698" t="n">
        <x:v>0.028274476528167725</x:v>
      </x:c>
      <x:c r="AG2698" t="n">
        <x:f>_xlfn.XLOOKUP($A2698,Games!$A$2:$A$18,Games!$B$2:$B$18,"Missing game",0)</x:f>
        <x:v>2025</x:v>
      </x:c>
      <x:c r="AH2698" t="str">
        <x:f>_xlfn.XLOOKUP($A2698,Games!$A$2:$A$18,Games!$C$2:$C$18,"Missing game",0)</x:f>
        <x:v>REG</x:v>
      </x:c>
      <x:c r="AI2698" t="n">
        <x:f>_xlfn.XLOOKUP($A2698,Games!$A$2:$A$18,Games!$D$2:$D$18,"Missing game",0)</x:f>
        <x:v>18</x:v>
      </x:c>
      <x:c r="AJ2698" s="1" t="n">
        <x:f>_xlfn.XLOOKUP($A2698,Games!$A$2:$A$18,Games!$E$2:$E$18,"Missing game",0)</x:f>
        <x:v>46026</x:v>
      </x:c>
      <x:c r="AK2698" t="str">
        <x:f>_xlfn.XLOOKUP($A2698,Games!$A$2:$A$18,Games!$F$2:$F$18,"Missing game",0)</x:f>
        <x:v>Sunday</x:v>
      </x:c>
      <x:c r="AL2698" t="str">
        <x:f>_xlfn.XLOOKUP($A2698,Games!$A$2:$A$18,Games!$G$2:$G$18,"Missing game",0)</x:f>
        <x:v>GB</x:v>
      </x:c>
      <x:c r="AM2698" t="n">
        <x:f>_xlfn.XLOOKUP($A2698,Games!$A$2:$A$18,Games!$H$2:$H$18,"Missing game",0)</x:f>
        <x:v>3</x:v>
      </x:c>
      <x:c r="AN2698" t="str">
        <x:f>_xlfn.XLOOKUP($A2698,Games!$A$2:$A$18,Games!$I$2:$I$18,"Missing game",0)</x:f>
        <x:v>MIN</x:v>
      </x:c>
      <x:c r="AO2698" t="n">
        <x:f>_xlfn.XLOOKUP($A2698,Games!$A$2:$A$18,Games!$J$2:$J$18,"Missing game",0)</x:f>
        <x:v>16</x:v>
      </x:c>
      <x:c r="AP2698" t="n">
        <x:f>_xlfn.XLOOKUP($A2698,Games!$A$2:$A$18,Games!$K$2:$K$18,"Missing game",0)</x:f>
        <x:v>13</x:v>
      </x:c>
      <x:c r="AQ2698" t="n">
        <x:f>_xlfn.XLOOKUP($A2698,Games!$A$2:$A$18,Games!$L$2:$L$18,"Missing game",0)</x:f>
        <x:v>19</x:v>
      </x:c>
      <x:c r="AR2698" t="n">
        <x:f>_xlfn.XLOOKUP($A2698,Games!$A$2:$A$18,Games!$M$2:$M$18,"Missing game",0)</x:f>
        <x:v>0</x:v>
      </x:c>
      <x:c r="AS2698" t="str">
        <x:f>_xlfn.XLOOKUP($A2698,Games!$A$2:$A$18,Games!$N$2:$N$18,"Missing game",0)</x:f>
        <x:v>dome</x:v>
      </x:c>
      <x:c r="AT2698" t="str">
        <x:f>_xlfn.XLOOKUP($A2698,Games!$A$2:$A$18,Games!$O$2:$O$18,"Missing game",0)</x:f>
        <x:v>sportturf</x:v>
      </x:c>
      <x:c r="AU2698" t="str">
        <x:f>_xlfn.XLOOKUP($A2698,Games!$A$2:$A$18,Games!$P$2:$P$18,"Missing game",0)</x:f>
      </x:c>
      <x:c r="AV2698" t="str">
        <x:f>_xlfn.XLOOKUP($A2698,Games!$A$2:$A$18,Games!$Q$2:$Q$18,"Missing game",0)</x:f>
      </x:c>
      <x:c r="AW2698" t="str">
        <x:f>_xlfn.XLOOKUP($A2698,Games!$A$2:$A$18,Games!$R$2:$R$18,"Missing game",0)</x:f>
        <x:v>U.S. Bank Stadium</x:v>
      </x:c>
    </x:row>
    <x:row r="2699">
      <x:c r="A2699" t="str">
        <x:v>2025_18_GB_MIN</x:v>
      </x:c>
      <x:c r="B2699" t="n">
        <x:v>1552</x:v>
      </x:c>
      <x:c r="C2699" t="n">
        <x:v>2</x:v>
      </x:c>
      <x:c r="D2699" t="str">
        <x:v>03:18</x:v>
      </x:c>
      <x:c r="E2699" t="n">
        <x:v>1</x:v>
      </x:c>
      <x:c r="F2699" t="n">
        <x:v>7</x:v>
      </x:c>
      <x:c r="G2699" t="str">
        <x:v>MIN</x:v>
      </x:c>
      <x:c r="H2699" t="str">
        <x:v>GB</x:v>
      </x:c>
      <x:c r="I2699" t="str">
        <x:v>GB</x:v>
      </x:c>
      <x:c r="J2699" t="n">
        <x:v>7</x:v>
      </x:c>
      <x:c r="K2699" t="str">
        <x:v>(3:18) 9-J.McCarthy pass incomplete short right to 3-J.Addison.</x:v>
      </x:c>
      <x:c r="L2699" t="str">
        <x:v>pass</x:v>
      </x:c>
      <x:c r="M2699" t="n">
        <x:v>0</x:v>
      </x:c>
      <x:c r="N2699" t="n">
        <x:v>0</x:v>
      </x:c>
      <x:c r="O2699" t="n">
        <x:v>0</x:v>
      </x:c>
      <x:c r="P2699" t="str">
        <x:v>short</x:v>
      </x:c>
      <x:c r="Q2699" t="str">
        <x:v>right</x:v>
      </x:c>
      <x:c r="R2699" t="n">
        <x:v>7</x:v>
      </x:c>
      <x:c r="S2699"/>
      <x:c r="T2699"/>
      <x:c r="U2699"/>
      <x:c r="V2699" t="n">
        <x:v>0</x:v>
      </x:c>
      <x:c r="W2699" t="n">
        <x:v>0</x:v>
      </x:c>
      <x:c r="X2699" t="n">
        <x:v>0</x:v>
      </x:c>
      <x:c r="Y2699" t="n">
        <x:v>0</x:v>
      </x:c>
      <x:c r="Z2699" t="n">
        <x:v>0</x:v>
      </x:c>
      <x:c r="AA2699" t="n">
        <x:v>0</x:v>
      </x:c>
      <x:c r="AB2699"/>
      <x:c r="AC2699" t="n">
        <x:v>0</x:v>
      </x:c>
      <x:c r="AD2699" t="n">
        <x:v>-0.5170886832056567</x:v>
      </x:c>
      <x:c r="AE2699" t="n">
        <x:v>0</x:v>
      </x:c>
      <x:c r="AF2699" t="n">
        <x:v>-0.010379552841186523</x:v>
      </x:c>
      <x:c r="AG2699" t="n">
        <x:f>_xlfn.XLOOKUP($A2699,Games!$A$2:$A$18,Games!$B$2:$B$18,"Missing game",0)</x:f>
        <x:v>2025</x:v>
      </x:c>
      <x:c r="AH2699" t="str">
        <x:f>_xlfn.XLOOKUP($A2699,Games!$A$2:$A$18,Games!$C$2:$C$18,"Missing game",0)</x:f>
        <x:v>REG</x:v>
      </x:c>
      <x:c r="AI2699" t="n">
        <x:f>_xlfn.XLOOKUP($A2699,Games!$A$2:$A$18,Games!$D$2:$D$18,"Missing game",0)</x:f>
        <x:v>18</x:v>
      </x:c>
      <x:c r="AJ2699" s="1" t="n">
        <x:f>_xlfn.XLOOKUP($A2699,Games!$A$2:$A$18,Games!$E$2:$E$18,"Missing game",0)</x:f>
        <x:v>46026</x:v>
      </x:c>
      <x:c r="AK2699" t="str">
        <x:f>_xlfn.XLOOKUP($A2699,Games!$A$2:$A$18,Games!$F$2:$F$18,"Missing game",0)</x:f>
        <x:v>Sunday</x:v>
      </x:c>
      <x:c r="AL2699" t="str">
        <x:f>_xlfn.XLOOKUP($A2699,Games!$A$2:$A$18,Games!$G$2:$G$18,"Missing game",0)</x:f>
        <x:v>GB</x:v>
      </x:c>
      <x:c r="AM2699" t="n">
        <x:f>_xlfn.XLOOKUP($A2699,Games!$A$2:$A$18,Games!$H$2:$H$18,"Missing game",0)</x:f>
        <x:v>3</x:v>
      </x:c>
      <x:c r="AN2699" t="str">
        <x:f>_xlfn.XLOOKUP($A2699,Games!$A$2:$A$18,Games!$I$2:$I$18,"Missing game",0)</x:f>
        <x:v>MIN</x:v>
      </x:c>
      <x:c r="AO2699" t="n">
        <x:f>_xlfn.XLOOKUP($A2699,Games!$A$2:$A$18,Games!$J$2:$J$18,"Missing game",0)</x:f>
        <x:v>16</x:v>
      </x:c>
      <x:c r="AP2699" t="n">
        <x:f>_xlfn.XLOOKUP($A2699,Games!$A$2:$A$18,Games!$K$2:$K$18,"Missing game",0)</x:f>
        <x:v>13</x:v>
      </x:c>
      <x:c r="AQ2699" t="n">
        <x:f>_xlfn.XLOOKUP($A2699,Games!$A$2:$A$18,Games!$L$2:$L$18,"Missing game",0)</x:f>
        <x:v>19</x:v>
      </x:c>
      <x:c r="AR2699" t="n">
        <x:f>_xlfn.XLOOKUP($A2699,Games!$A$2:$A$18,Games!$M$2:$M$18,"Missing game",0)</x:f>
        <x:v>0</x:v>
      </x:c>
      <x:c r="AS2699" t="str">
        <x:f>_xlfn.XLOOKUP($A2699,Games!$A$2:$A$18,Games!$N$2:$N$18,"Missing game",0)</x:f>
        <x:v>dome</x:v>
      </x:c>
      <x:c r="AT2699" t="str">
        <x:f>_xlfn.XLOOKUP($A2699,Games!$A$2:$A$18,Games!$O$2:$O$18,"Missing game",0)</x:f>
        <x:v>sportturf</x:v>
      </x:c>
      <x:c r="AU2699" t="str">
        <x:f>_xlfn.XLOOKUP($A2699,Games!$A$2:$A$18,Games!$P$2:$P$18,"Missing game",0)</x:f>
      </x:c>
      <x:c r="AV2699" t="str">
        <x:f>_xlfn.XLOOKUP($A2699,Games!$A$2:$A$18,Games!$Q$2:$Q$18,"Missing game",0)</x:f>
      </x:c>
      <x:c r="AW2699" t="str">
        <x:f>_xlfn.XLOOKUP($A2699,Games!$A$2:$A$18,Games!$R$2:$R$18,"Missing game",0)</x:f>
        <x:v>U.S. Bank Stadium</x:v>
      </x:c>
    </x:row>
    <x:row r="2700">
      <x:c r="A2700" t="str">
        <x:v>2025_18_GB_MIN</x:v>
      </x:c>
      <x:c r="B2700" t="n">
        <x:v>1575</x:v>
      </x:c>
      <x:c r="C2700" t="n">
        <x:v>2</x:v>
      </x:c>
      <x:c r="D2700" t="str">
        <x:v>03:13</x:v>
      </x:c>
      <x:c r="E2700" t="n">
        <x:v>2</x:v>
      </x:c>
      <x:c r="F2700" t="n">
        <x:v>7</x:v>
      </x:c>
      <x:c r="G2700" t="str">
        <x:v>MIN</x:v>
      </x:c>
      <x:c r="H2700" t="str">
        <x:v>GB</x:v>
      </x:c>
      <x:c r="I2700" t="str">
        <x:v>GB</x:v>
      </x:c>
      <x:c r="J2700" t="n">
        <x:v>7</x:v>
      </x:c>
      <x:c r="K2700" t="str">
        <x:v>(3:13) 9-J.McCarthy pass incomplete short left to 32-T.Chandler.</x:v>
      </x:c>
      <x:c r="L2700" t="str">
        <x:v>pass</x:v>
      </x:c>
      <x:c r="M2700" t="n">
        <x:v>0</x:v>
      </x:c>
      <x:c r="N2700" t="n">
        <x:v>0</x:v>
      </x:c>
      <x:c r="O2700" t="n">
        <x:v>0</x:v>
      </x:c>
      <x:c r="P2700" t="str">
        <x:v>short</x:v>
      </x:c>
      <x:c r="Q2700" t="str">
        <x:v>left</x:v>
      </x:c>
      <x:c r="R2700" t="n">
        <x:v>-4</x:v>
      </x:c>
      <x:c r="S2700"/>
      <x:c r="T2700"/>
      <x:c r="U2700"/>
      <x:c r="V2700" t="n">
        <x:v>0</x:v>
      </x:c>
      <x:c r="W2700" t="n">
        <x:v>0</x:v>
      </x:c>
      <x:c r="X2700" t="n">
        <x:v>0</x:v>
      </x:c>
      <x:c r="Y2700" t="n">
        <x:v>0</x:v>
      </x:c>
      <x:c r="Z2700" t="n">
        <x:v>0</x:v>
      </x:c>
      <x:c r="AA2700" t="n">
        <x:v>0</x:v>
      </x:c>
      <x:c r="AB2700"/>
      <x:c r="AC2700" t="n">
        <x:v>0</x:v>
      </x:c>
      <x:c r="AD2700" t="n">
        <x:v>-0.8256145653431304</x:v>
      </x:c>
      <x:c r="AE2700" t="n">
        <x:v>0</x:v>
      </x:c>
      <x:c r="AF2700" t="n">
        <x:v>-0.018382787704467773</x:v>
      </x:c>
      <x:c r="AG2700" t="n">
        <x:f>_xlfn.XLOOKUP($A2700,Games!$A$2:$A$18,Games!$B$2:$B$18,"Missing game",0)</x:f>
        <x:v>2025</x:v>
      </x:c>
      <x:c r="AH2700" t="str">
        <x:f>_xlfn.XLOOKUP($A2700,Games!$A$2:$A$18,Games!$C$2:$C$18,"Missing game",0)</x:f>
        <x:v>REG</x:v>
      </x:c>
      <x:c r="AI2700" t="n">
        <x:f>_xlfn.XLOOKUP($A2700,Games!$A$2:$A$18,Games!$D$2:$D$18,"Missing game",0)</x:f>
        <x:v>18</x:v>
      </x:c>
      <x:c r="AJ2700" s="1" t="n">
        <x:f>_xlfn.XLOOKUP($A2700,Games!$A$2:$A$18,Games!$E$2:$E$18,"Missing game",0)</x:f>
        <x:v>46026</x:v>
      </x:c>
      <x:c r="AK2700" t="str">
        <x:f>_xlfn.XLOOKUP($A2700,Games!$A$2:$A$18,Games!$F$2:$F$18,"Missing game",0)</x:f>
        <x:v>Sunday</x:v>
      </x:c>
      <x:c r="AL2700" t="str">
        <x:f>_xlfn.XLOOKUP($A2700,Games!$A$2:$A$18,Games!$G$2:$G$18,"Missing game",0)</x:f>
        <x:v>GB</x:v>
      </x:c>
      <x:c r="AM2700" t="n">
        <x:f>_xlfn.XLOOKUP($A2700,Games!$A$2:$A$18,Games!$H$2:$H$18,"Missing game",0)</x:f>
        <x:v>3</x:v>
      </x:c>
      <x:c r="AN2700" t="str">
        <x:f>_xlfn.XLOOKUP($A2700,Games!$A$2:$A$18,Games!$I$2:$I$18,"Missing game",0)</x:f>
        <x:v>MIN</x:v>
      </x:c>
      <x:c r="AO2700" t="n">
        <x:f>_xlfn.XLOOKUP($A2700,Games!$A$2:$A$18,Games!$J$2:$J$18,"Missing game",0)</x:f>
        <x:v>16</x:v>
      </x:c>
      <x:c r="AP2700" t="n">
        <x:f>_xlfn.XLOOKUP($A2700,Games!$A$2:$A$18,Games!$K$2:$K$18,"Missing game",0)</x:f>
        <x:v>13</x:v>
      </x:c>
      <x:c r="AQ2700" t="n">
        <x:f>_xlfn.XLOOKUP($A2700,Games!$A$2:$A$18,Games!$L$2:$L$18,"Missing game",0)</x:f>
        <x:v>19</x:v>
      </x:c>
      <x:c r="AR2700" t="n">
        <x:f>_xlfn.XLOOKUP($A2700,Games!$A$2:$A$18,Games!$M$2:$M$18,"Missing game",0)</x:f>
        <x:v>0</x:v>
      </x:c>
      <x:c r="AS2700" t="str">
        <x:f>_xlfn.XLOOKUP($A2700,Games!$A$2:$A$18,Games!$N$2:$N$18,"Missing game",0)</x:f>
        <x:v>dome</x:v>
      </x:c>
      <x:c r="AT2700" t="str">
        <x:f>_xlfn.XLOOKUP($A2700,Games!$A$2:$A$18,Games!$O$2:$O$18,"Missing game",0)</x:f>
        <x:v>sportturf</x:v>
      </x:c>
      <x:c r="AU2700" t="str">
        <x:f>_xlfn.XLOOKUP($A2700,Games!$A$2:$A$18,Games!$P$2:$P$18,"Missing game",0)</x:f>
      </x:c>
      <x:c r="AV2700" t="str">
        <x:f>_xlfn.XLOOKUP($A2700,Games!$A$2:$A$18,Games!$Q$2:$Q$18,"Missing game",0)</x:f>
      </x:c>
      <x:c r="AW2700" t="str">
        <x:f>_xlfn.XLOOKUP($A2700,Games!$A$2:$A$18,Games!$R$2:$R$18,"Missing game",0)</x:f>
        <x:v>U.S. Bank Stadium</x:v>
      </x:c>
    </x:row>
    <x:row r="2701">
      <x:c r="A2701" t="str">
        <x:v>2025_18_GB_MIN</x:v>
      </x:c>
      <x:c r="B2701" t="n">
        <x:v>1598</x:v>
      </x:c>
      <x:c r="C2701" t="n">
        <x:v>2</x:v>
      </x:c>
      <x:c r="D2701" t="str">
        <x:v>03:10</x:v>
      </x:c>
      <x:c r="E2701" t="n">
        <x:v>3</x:v>
      </x:c>
      <x:c r="F2701" t="n">
        <x:v>7</x:v>
      </x:c>
      <x:c r="G2701" t="str">
        <x:v>MIN</x:v>
      </x:c>
      <x:c r="H2701" t="str">
        <x:v>GB</x:v>
      </x:c>
      <x:c r="I2701" t="str">
        <x:v>GB</x:v>
      </x:c>
      <x:c r="J2701" t="n">
        <x:v>7</x:v>
      </x:c>
      <x:c r="K2701" t="str">
        <x:v>(3:10) (Shotgun) 9-J.McCarthy pass incomplete short right to 18-J.Jefferson.</x:v>
      </x:c>
      <x:c r="L2701" t="str">
        <x:v>pass</x:v>
      </x:c>
      <x:c r="M2701" t="n">
        <x:v>0</x:v>
      </x:c>
      <x:c r="N2701" t="n">
        <x:v>1</x:v>
      </x:c>
      <x:c r="O2701" t="n">
        <x:v>0</x:v>
      </x:c>
      <x:c r="P2701" t="str">
        <x:v>short</x:v>
      </x:c>
      <x:c r="Q2701" t="str">
        <x:v>right</x:v>
      </x:c>
      <x:c r="R2701" t="n">
        <x:v>7</x:v>
      </x:c>
      <x:c r="S2701"/>
      <x:c r="T2701"/>
      <x:c r="U2701"/>
      <x:c r="V2701" t="n">
        <x:v>0</x:v>
      </x:c>
      <x:c r="W2701" t="n">
        <x:v>0</x:v>
      </x:c>
      <x:c r="X2701" t="n">
        <x:v>0</x:v>
      </x:c>
      <x:c r="Y2701" t="n">
        <x:v>0</x:v>
      </x:c>
      <x:c r="Z2701" t="n">
        <x:v>0</x:v>
      </x:c>
      <x:c r="AA2701" t="n">
        <x:v>0</x:v>
      </x:c>
      <x:c r="AB2701"/>
      <x:c r="AC2701" t="n">
        <x:v>0</x:v>
      </x:c>
      <x:c r="AD2701" t="n">
        <x:v>-1.149000720388626</x:v>
      </x:c>
      <x:c r="AE2701" t="n">
        <x:v>0</x:v>
      </x:c>
      <x:c r="AF2701" t="n">
        <x:v>-0.040029942989349365</x:v>
      </x:c>
      <x:c r="AG2701" t="n">
        <x:f>_xlfn.XLOOKUP($A2701,Games!$A$2:$A$18,Games!$B$2:$B$18,"Missing game",0)</x:f>
        <x:v>2025</x:v>
      </x:c>
      <x:c r="AH2701" t="str">
        <x:f>_xlfn.XLOOKUP($A2701,Games!$A$2:$A$18,Games!$C$2:$C$18,"Missing game",0)</x:f>
        <x:v>REG</x:v>
      </x:c>
      <x:c r="AI2701" t="n">
        <x:f>_xlfn.XLOOKUP($A2701,Games!$A$2:$A$18,Games!$D$2:$D$18,"Missing game",0)</x:f>
        <x:v>18</x:v>
      </x:c>
      <x:c r="AJ2701" s="1" t="n">
        <x:f>_xlfn.XLOOKUP($A2701,Games!$A$2:$A$18,Games!$E$2:$E$18,"Missing game",0)</x:f>
        <x:v>46026</x:v>
      </x:c>
      <x:c r="AK2701" t="str">
        <x:f>_xlfn.XLOOKUP($A2701,Games!$A$2:$A$18,Games!$F$2:$F$18,"Missing game",0)</x:f>
        <x:v>Sunday</x:v>
      </x:c>
      <x:c r="AL2701" t="str">
        <x:f>_xlfn.XLOOKUP($A2701,Games!$A$2:$A$18,Games!$G$2:$G$18,"Missing game",0)</x:f>
        <x:v>GB</x:v>
      </x:c>
      <x:c r="AM2701" t="n">
        <x:f>_xlfn.XLOOKUP($A2701,Games!$A$2:$A$18,Games!$H$2:$H$18,"Missing game",0)</x:f>
        <x:v>3</x:v>
      </x:c>
      <x:c r="AN2701" t="str">
        <x:f>_xlfn.XLOOKUP($A2701,Games!$A$2:$A$18,Games!$I$2:$I$18,"Missing game",0)</x:f>
        <x:v>MIN</x:v>
      </x:c>
      <x:c r="AO2701" t="n">
        <x:f>_xlfn.XLOOKUP($A2701,Games!$A$2:$A$18,Games!$J$2:$J$18,"Missing game",0)</x:f>
        <x:v>16</x:v>
      </x:c>
      <x:c r="AP2701" t="n">
        <x:f>_xlfn.XLOOKUP($A2701,Games!$A$2:$A$18,Games!$K$2:$K$18,"Missing game",0)</x:f>
        <x:v>13</x:v>
      </x:c>
      <x:c r="AQ2701" t="n">
        <x:f>_xlfn.XLOOKUP($A2701,Games!$A$2:$A$18,Games!$L$2:$L$18,"Missing game",0)</x:f>
        <x:v>19</x:v>
      </x:c>
      <x:c r="AR2701" t="n">
        <x:f>_xlfn.XLOOKUP($A2701,Games!$A$2:$A$18,Games!$M$2:$M$18,"Missing game",0)</x:f>
        <x:v>0</x:v>
      </x:c>
      <x:c r="AS2701" t="str">
        <x:f>_xlfn.XLOOKUP($A2701,Games!$A$2:$A$18,Games!$N$2:$N$18,"Missing game",0)</x:f>
        <x:v>dome</x:v>
      </x:c>
      <x:c r="AT2701" t="str">
        <x:f>_xlfn.XLOOKUP($A2701,Games!$A$2:$A$18,Games!$O$2:$O$18,"Missing game",0)</x:f>
        <x:v>sportturf</x:v>
      </x:c>
      <x:c r="AU2701" t="str">
        <x:f>_xlfn.XLOOKUP($A2701,Games!$A$2:$A$18,Games!$P$2:$P$18,"Missing game",0)</x:f>
      </x:c>
      <x:c r="AV2701" t="str">
        <x:f>_xlfn.XLOOKUP($A2701,Games!$A$2:$A$18,Games!$Q$2:$Q$18,"Missing game",0)</x:f>
      </x:c>
      <x:c r="AW2701" t="str">
        <x:f>_xlfn.XLOOKUP($A2701,Games!$A$2:$A$18,Games!$R$2:$R$18,"Missing game",0)</x:f>
        <x:v>U.S. Bank Stadium</x:v>
      </x:c>
    </x:row>
    <x:row r="2702">
      <x:c r="A2702" t="str">
        <x:v>2025_18_GB_MIN</x:v>
      </x:c>
      <x:c r="B2702" t="n">
        <x:v>1621</x:v>
      </x:c>
      <x:c r="C2702" t="n">
        <x:v>2</x:v>
      </x:c>
      <x:c r="D2702" t="str">
        <x:v>03:05</x:v>
      </x:c>
      <x:c r="E2702" t="n">
        <x:v>4</x:v>
      </x:c>
      <x:c r="F2702" t="n">
        <x:v>7</x:v>
      </x:c>
      <x:c r="G2702" t="str">
        <x:v>MIN</x:v>
      </x:c>
      <x:c r="H2702" t="str">
        <x:v>GB</x:v>
      </x:c>
      <x:c r="I2702" t="str">
        <x:v>GB</x:v>
      </x:c>
      <x:c r="J2702" t="n">
        <x:v>7</x:v>
      </x:c>
      <x:c r="K2702" t="str">
        <x:v>(3:05) 16-W.Reichard 25 yard field goal is GOOD, Center-42-A.DePaola, Holder-17-R.Wright.</x:v>
      </x:c>
      <x:c r="L2702" t="str">
        <x:v>field_goal</x:v>
      </x:c>
      <x:c r="M2702" t="n">
        <x:v>0</x:v>
      </x:c>
      <x:c r="N2702" t="n">
        <x:v>0</x:v>
      </x:c>
      <x:c r="O2702" t="n">
        <x:v>0</x:v>
      </x:c>
      <x:c r="P2702"/>
      <x:c r="Q2702"/>
      <x:c r="R2702"/>
      <x:c r="S2702"/>
      <x:c r="T2702"/>
      <x:c r="U2702"/>
      <x:c r="V2702" t="n">
        <x:v>0</x:v>
      </x:c>
      <x:c r="W2702" t="n">
        <x:v>0</x:v>
      </x:c>
      <x:c r="X2702" t="n">
        <x:v>0</x:v>
      </x:c>
      <x:c r="Y2702" t="n">
        <x:v>0</x:v>
      </x:c>
      <x:c r="Z2702" t="n">
        <x:v>0</x:v>
      </x:c>
      <x:c r="AA2702" t="n">
        <x:v>0</x:v>
      </x:c>
      <x:c r="AB2702"/>
      <x:c r="AC2702" t="n">
        <x:v>0</x:v>
      </x:c>
      <x:c r="AD2702" t="n">
        <x:v>0.04124106097724045</x:v>
      </x:c>
      <x:c r="AE2702" t="n">
        <x:v>1</x:v>
      </x:c>
      <x:c r="AF2702" t="n">
        <x:v>-0.011039763689041138</x:v>
      </x:c>
      <x:c r="AG2702" t="n">
        <x:f>_xlfn.XLOOKUP($A2702,Games!$A$2:$A$18,Games!$B$2:$B$18,"Missing game",0)</x:f>
        <x:v>2025</x:v>
      </x:c>
      <x:c r="AH2702" t="str">
        <x:f>_xlfn.XLOOKUP($A2702,Games!$A$2:$A$18,Games!$C$2:$C$18,"Missing game",0)</x:f>
        <x:v>REG</x:v>
      </x:c>
      <x:c r="AI2702" t="n">
        <x:f>_xlfn.XLOOKUP($A2702,Games!$A$2:$A$18,Games!$D$2:$D$18,"Missing game",0)</x:f>
        <x:v>18</x:v>
      </x:c>
      <x:c r="AJ2702" s="1" t="n">
        <x:f>_xlfn.XLOOKUP($A2702,Games!$A$2:$A$18,Games!$E$2:$E$18,"Missing game",0)</x:f>
        <x:v>46026</x:v>
      </x:c>
      <x:c r="AK2702" t="str">
        <x:f>_xlfn.XLOOKUP($A2702,Games!$A$2:$A$18,Games!$F$2:$F$18,"Missing game",0)</x:f>
        <x:v>Sunday</x:v>
      </x:c>
      <x:c r="AL2702" t="str">
        <x:f>_xlfn.XLOOKUP($A2702,Games!$A$2:$A$18,Games!$G$2:$G$18,"Missing game",0)</x:f>
        <x:v>GB</x:v>
      </x:c>
      <x:c r="AM2702" t="n">
        <x:f>_xlfn.XLOOKUP($A2702,Games!$A$2:$A$18,Games!$H$2:$H$18,"Missing game",0)</x:f>
        <x:v>3</x:v>
      </x:c>
      <x:c r="AN2702" t="str">
        <x:f>_xlfn.XLOOKUP($A2702,Games!$A$2:$A$18,Games!$I$2:$I$18,"Missing game",0)</x:f>
        <x:v>MIN</x:v>
      </x:c>
      <x:c r="AO2702" t="n">
        <x:f>_xlfn.XLOOKUP($A2702,Games!$A$2:$A$18,Games!$J$2:$J$18,"Missing game",0)</x:f>
        <x:v>16</x:v>
      </x:c>
      <x:c r="AP2702" t="n">
        <x:f>_xlfn.XLOOKUP($A2702,Games!$A$2:$A$18,Games!$K$2:$K$18,"Missing game",0)</x:f>
        <x:v>13</x:v>
      </x:c>
      <x:c r="AQ2702" t="n">
        <x:f>_xlfn.XLOOKUP($A2702,Games!$A$2:$A$18,Games!$L$2:$L$18,"Missing game",0)</x:f>
        <x:v>19</x:v>
      </x:c>
      <x:c r="AR2702" t="n">
        <x:f>_xlfn.XLOOKUP($A2702,Games!$A$2:$A$18,Games!$M$2:$M$18,"Missing game",0)</x:f>
        <x:v>0</x:v>
      </x:c>
      <x:c r="AS2702" t="str">
        <x:f>_xlfn.XLOOKUP($A2702,Games!$A$2:$A$18,Games!$N$2:$N$18,"Missing game",0)</x:f>
        <x:v>dome</x:v>
      </x:c>
      <x:c r="AT2702" t="str">
        <x:f>_xlfn.XLOOKUP($A2702,Games!$A$2:$A$18,Games!$O$2:$O$18,"Missing game",0)</x:f>
        <x:v>sportturf</x:v>
      </x:c>
      <x:c r="AU2702" t="str">
        <x:f>_xlfn.XLOOKUP($A2702,Games!$A$2:$A$18,Games!$P$2:$P$18,"Missing game",0)</x:f>
      </x:c>
      <x:c r="AV2702" t="str">
        <x:f>_xlfn.XLOOKUP($A2702,Games!$A$2:$A$18,Games!$Q$2:$Q$18,"Missing game",0)</x:f>
      </x:c>
      <x:c r="AW2702" t="str">
        <x:f>_xlfn.XLOOKUP($A2702,Games!$A$2:$A$18,Games!$R$2:$R$18,"Missing game",0)</x:f>
        <x:v>U.S. Bank Stadium</x:v>
      </x:c>
    </x:row>
    <x:row r="2703">
      <x:c r="A2703" t="str">
        <x:v>2025_18_GB_MIN</x:v>
      </x:c>
      <x:c r="B2703" t="n">
        <x:v>1641</x:v>
      </x:c>
      <x:c r="C2703" t="n">
        <x:v>2</x:v>
      </x:c>
      <x:c r="D2703" t="str">
        <x:v>03:02</x:v>
      </x:c>
      <x:c r="E2703"/>
      <x:c r="F2703" t="n">
        <x:v>0</x:v>
      </x:c>
      <x:c r="G2703" t="str">
        <x:v>GB</x:v>
      </x:c>
      <x:c r="H2703" t="str">
        <x:v>MIN</x:v>
      </x:c>
      <x:c r="I2703" t="str">
        <x:v>MIN</x:v>
      </x:c>
      <x:c r="J2703" t="n">
        <x:v>35</x:v>
      </x:c>
      <x:c r="K2703" t="str">
        <x:v>16-W.Reichard kicks 64 yards from MIN 35 to GB 1. 84-J.Keeney-James to GB 22 for 21 yards (0-I.Pace).</x:v>
      </x:c>
      <x:c r="L2703" t="str">
        <x:v>kickoff</x:v>
      </x:c>
      <x:c r="M2703" t="n">
        <x:v>0</x:v>
      </x:c>
      <x:c r="N2703" t="n">
        <x:v>0</x:v>
      </x:c>
      <x:c r="O2703" t="n">
        <x:v>0</x:v>
      </x:c>
      <x:c r="P2703"/>
      <x:c r="Q2703"/>
      <x:c r="R2703"/>
      <x:c r="S2703"/>
      <x:c r="T2703"/>
      <x:c r="U2703"/>
      <x:c r="V2703" t="n">
        <x:v>0</x:v>
      </x:c>
      <x:c r="W2703" t="n">
        <x:v>0</x:v>
      </x:c>
      <x:c r="X2703" t="n">
        <x:v>0</x:v>
      </x:c>
      <x:c r="Y2703" t="n">
        <x:v>0</x:v>
      </x:c>
      <x:c r="Z2703" t="n">
        <x:v>0</x:v>
      </x:c>
      <x:c r="AA2703" t="n">
        <x:v>0</x:v>
      </x:c>
      <x:c r="AB2703"/>
      <x:c r="AC2703" t="n">
        <x:v>0</x:v>
      </x:c>
      <x:c r="AD2703" t="n">
        <x:v>-0.1930725306738168</x:v>
      </x:c>
      <x:c r="AE2703" t="n">
        <x:v>0</x:v>
      </x:c>
      <x:c r="AF2703" t="n">
        <x:v>0.00028076767921447754</x:v>
      </x:c>
      <x:c r="AG2703" t="n">
        <x:f>_xlfn.XLOOKUP($A2703,Games!$A$2:$A$18,Games!$B$2:$B$18,"Missing game",0)</x:f>
        <x:v>2025</x:v>
      </x:c>
      <x:c r="AH2703" t="str">
        <x:f>_xlfn.XLOOKUP($A2703,Games!$A$2:$A$18,Games!$C$2:$C$18,"Missing game",0)</x:f>
        <x:v>REG</x:v>
      </x:c>
      <x:c r="AI2703" t="n">
        <x:f>_xlfn.XLOOKUP($A2703,Games!$A$2:$A$18,Games!$D$2:$D$18,"Missing game",0)</x:f>
        <x:v>18</x:v>
      </x:c>
      <x:c r="AJ2703" s="1" t="n">
        <x:f>_xlfn.XLOOKUP($A2703,Games!$A$2:$A$18,Games!$E$2:$E$18,"Missing game",0)</x:f>
        <x:v>46026</x:v>
      </x:c>
      <x:c r="AK2703" t="str">
        <x:f>_xlfn.XLOOKUP($A2703,Games!$A$2:$A$18,Games!$F$2:$F$18,"Missing game",0)</x:f>
        <x:v>Sunday</x:v>
      </x:c>
      <x:c r="AL2703" t="str">
        <x:f>_xlfn.XLOOKUP($A2703,Games!$A$2:$A$18,Games!$G$2:$G$18,"Missing game",0)</x:f>
        <x:v>GB</x:v>
      </x:c>
      <x:c r="AM2703" t="n">
        <x:f>_xlfn.XLOOKUP($A2703,Games!$A$2:$A$18,Games!$H$2:$H$18,"Missing game",0)</x:f>
        <x:v>3</x:v>
      </x:c>
      <x:c r="AN2703" t="str">
        <x:f>_xlfn.XLOOKUP($A2703,Games!$A$2:$A$18,Games!$I$2:$I$18,"Missing game",0)</x:f>
        <x:v>MIN</x:v>
      </x:c>
      <x:c r="AO2703" t="n">
        <x:f>_xlfn.XLOOKUP($A2703,Games!$A$2:$A$18,Games!$J$2:$J$18,"Missing game",0)</x:f>
        <x:v>16</x:v>
      </x:c>
      <x:c r="AP2703" t="n">
        <x:f>_xlfn.XLOOKUP($A2703,Games!$A$2:$A$18,Games!$K$2:$K$18,"Missing game",0)</x:f>
        <x:v>13</x:v>
      </x:c>
      <x:c r="AQ2703" t="n">
        <x:f>_xlfn.XLOOKUP($A2703,Games!$A$2:$A$18,Games!$L$2:$L$18,"Missing game",0)</x:f>
        <x:v>19</x:v>
      </x:c>
      <x:c r="AR2703" t="n">
        <x:f>_xlfn.XLOOKUP($A2703,Games!$A$2:$A$18,Games!$M$2:$M$18,"Missing game",0)</x:f>
        <x:v>0</x:v>
      </x:c>
      <x:c r="AS2703" t="str">
        <x:f>_xlfn.XLOOKUP($A2703,Games!$A$2:$A$18,Games!$N$2:$N$18,"Missing game",0)</x:f>
        <x:v>dome</x:v>
      </x:c>
      <x:c r="AT2703" t="str">
        <x:f>_xlfn.XLOOKUP($A2703,Games!$A$2:$A$18,Games!$O$2:$O$18,"Missing game",0)</x:f>
        <x:v>sportturf</x:v>
      </x:c>
      <x:c r="AU2703" t="str">
        <x:f>_xlfn.XLOOKUP($A2703,Games!$A$2:$A$18,Games!$P$2:$P$18,"Missing game",0)</x:f>
      </x:c>
      <x:c r="AV2703" t="str">
        <x:f>_xlfn.XLOOKUP($A2703,Games!$A$2:$A$18,Games!$Q$2:$Q$18,"Missing game",0)</x:f>
      </x:c>
      <x:c r="AW2703" t="str">
        <x:f>_xlfn.XLOOKUP($A2703,Games!$A$2:$A$18,Games!$R$2:$R$18,"Missing game",0)</x:f>
        <x:v>U.S. Bank Stadium</x:v>
      </x:c>
    </x:row>
    <x:row r="2704">
      <x:c r="A2704" t="str">
        <x:v>2025_18_GB_MIN</x:v>
      </x:c>
      <x:c r="B2704" t="n">
        <x:v>1664</x:v>
      </x:c>
      <x:c r="C2704" t="n">
        <x:v>2</x:v>
      </x:c>
      <x:c r="D2704" t="str">
        <x:v>02:56</x:v>
      </x:c>
      <x:c r="E2704" t="n">
        <x:v>1</x:v>
      </x:c>
      <x:c r="F2704" t="n">
        <x:v>10</x:v>
      </x:c>
      <x:c r="G2704" t="str">
        <x:v>GB</x:v>
      </x:c>
      <x:c r="H2704" t="str">
        <x:v>MIN</x:v>
      </x:c>
      <x:c r="I2704" t="str">
        <x:v>GB</x:v>
      </x:c>
      <x:c r="J2704" t="n">
        <x:v>78</x:v>
      </x:c>
      <x:c r="K2704" t="str">
        <x:v>(2:56) 23-E.Wilson up the middle to GB 4 for -18 yards (55-E.Wilson).</x:v>
      </x:c>
      <x:c r="L2704" t="str">
        <x:v>run</x:v>
      </x:c>
      <x:c r="M2704" t="n">
        <x:v>-18</x:v>
      </x:c>
      <x:c r="N2704" t="n">
        <x:v>0</x:v>
      </x:c>
      <x:c r="O2704" t="n">
        <x:v>0</x:v>
      </x:c>
      <x:c r="P2704"/>
      <x:c r="Q2704"/>
      <x:c r="R2704"/>
      <x:c r="S2704"/>
      <x:c r="T2704" t="str">
        <x:v>middle</x:v>
      </x:c>
      <x:c r="U2704"/>
      <x:c r="V2704" t="n">
        <x:v>0</x:v>
      </x:c>
      <x:c r="W2704" t="n">
        <x:v>0</x:v>
      </x:c>
      <x:c r="X2704" t="n">
        <x:v>0</x:v>
      </x:c>
      <x:c r="Y2704" t="n">
        <x:v>0</x:v>
      </x:c>
      <x:c r="Z2704" t="n">
        <x:v>0</x:v>
      </x:c>
      <x:c r="AA2704" t="n">
        <x:v>0</x:v>
      </x:c>
      <x:c r="AB2704"/>
      <x:c r="AC2704" t="n">
        <x:v>0</x:v>
      </x:c>
      <x:c r="AD2704" t="n">
        <x:v>-1.74250070983544</x:v>
      </x:c>
      <x:c r="AE2704" t="n">
        <x:v>0</x:v>
      </x:c>
      <x:c r="AF2704" t="n">
        <x:v>-0.07978697121143341</x:v>
      </x:c>
      <x:c r="AG2704" t="n">
        <x:f>_xlfn.XLOOKUP($A2704,Games!$A$2:$A$18,Games!$B$2:$B$18,"Missing game",0)</x:f>
        <x:v>2025</x:v>
      </x:c>
      <x:c r="AH2704" t="str">
        <x:f>_xlfn.XLOOKUP($A2704,Games!$A$2:$A$18,Games!$C$2:$C$18,"Missing game",0)</x:f>
        <x:v>REG</x:v>
      </x:c>
      <x:c r="AI2704" t="n">
        <x:f>_xlfn.XLOOKUP($A2704,Games!$A$2:$A$18,Games!$D$2:$D$18,"Missing game",0)</x:f>
        <x:v>18</x:v>
      </x:c>
      <x:c r="AJ2704" s="1" t="n">
        <x:f>_xlfn.XLOOKUP($A2704,Games!$A$2:$A$18,Games!$E$2:$E$18,"Missing game",0)</x:f>
        <x:v>46026</x:v>
      </x:c>
      <x:c r="AK2704" t="str">
        <x:f>_xlfn.XLOOKUP($A2704,Games!$A$2:$A$18,Games!$F$2:$F$18,"Missing game",0)</x:f>
        <x:v>Sunday</x:v>
      </x:c>
      <x:c r="AL2704" t="str">
        <x:f>_xlfn.XLOOKUP($A2704,Games!$A$2:$A$18,Games!$G$2:$G$18,"Missing game",0)</x:f>
        <x:v>GB</x:v>
      </x:c>
      <x:c r="AM2704" t="n">
        <x:f>_xlfn.XLOOKUP($A2704,Games!$A$2:$A$18,Games!$H$2:$H$18,"Missing game",0)</x:f>
        <x:v>3</x:v>
      </x:c>
      <x:c r="AN2704" t="str">
        <x:f>_xlfn.XLOOKUP($A2704,Games!$A$2:$A$18,Games!$I$2:$I$18,"Missing game",0)</x:f>
        <x:v>MIN</x:v>
      </x:c>
      <x:c r="AO2704" t="n">
        <x:f>_xlfn.XLOOKUP($A2704,Games!$A$2:$A$18,Games!$J$2:$J$18,"Missing game",0)</x:f>
        <x:v>16</x:v>
      </x:c>
      <x:c r="AP2704" t="n">
        <x:f>_xlfn.XLOOKUP($A2704,Games!$A$2:$A$18,Games!$K$2:$K$18,"Missing game",0)</x:f>
        <x:v>13</x:v>
      </x:c>
      <x:c r="AQ2704" t="n">
        <x:f>_xlfn.XLOOKUP($A2704,Games!$A$2:$A$18,Games!$L$2:$L$18,"Missing game",0)</x:f>
        <x:v>19</x:v>
      </x:c>
      <x:c r="AR2704" t="n">
        <x:f>_xlfn.XLOOKUP($A2704,Games!$A$2:$A$18,Games!$M$2:$M$18,"Missing game",0)</x:f>
        <x:v>0</x:v>
      </x:c>
      <x:c r="AS2704" t="str">
        <x:f>_xlfn.XLOOKUP($A2704,Games!$A$2:$A$18,Games!$N$2:$N$18,"Missing game",0)</x:f>
        <x:v>dome</x:v>
      </x:c>
      <x:c r="AT2704" t="str">
        <x:f>_xlfn.XLOOKUP($A2704,Games!$A$2:$A$18,Games!$O$2:$O$18,"Missing game",0)</x:f>
        <x:v>sportturf</x:v>
      </x:c>
      <x:c r="AU2704" t="str">
        <x:f>_xlfn.XLOOKUP($A2704,Games!$A$2:$A$18,Games!$P$2:$P$18,"Missing game",0)</x:f>
      </x:c>
      <x:c r="AV2704" t="str">
        <x:f>_xlfn.XLOOKUP($A2704,Games!$A$2:$A$18,Games!$Q$2:$Q$18,"Missing game",0)</x:f>
      </x:c>
      <x:c r="AW2704" t="str">
        <x:f>_xlfn.XLOOKUP($A2704,Games!$A$2:$A$18,Games!$R$2:$R$18,"Missing game",0)</x:f>
        <x:v>U.S. Bank Stadium</x:v>
      </x:c>
    </x:row>
    <x:row r="2705">
      <x:c r="A2705" t="str">
        <x:v>2025_18_GB_MIN</x:v>
      </x:c>
      <x:c r="B2705" t="n">
        <x:v>1686</x:v>
      </x:c>
      <x:c r="C2705" t="n">
        <x:v>2</x:v>
      </x:c>
      <x:c r="D2705" t="str">
        <x:v>02:16</x:v>
      </x:c>
      <x:c r="E2705" t="n">
        <x:v>2</x:v>
      </x:c>
      <x:c r="F2705" t="n">
        <x:v>28</x:v>
      </x:c>
      <x:c r="G2705" t="str">
        <x:v>GB</x:v>
      </x:c>
      <x:c r="H2705" t="str">
        <x:v>MIN</x:v>
      </x:c>
      <x:c r="I2705" t="str">
        <x:v>GB</x:v>
      </x:c>
      <x:c r="J2705" t="n">
        <x:v>96</x:v>
      </x:c>
      <x:c r="K2705" t="str">
        <x:v>(2:16) (Shotgun) 23-E.Wilson up the middle to GB 8 for 4 yards (93-J.Allen).</x:v>
      </x:c>
      <x:c r="L2705" t="str">
        <x:v>run</x:v>
      </x:c>
      <x:c r="M2705" t="n">
        <x:v>4</x:v>
      </x:c>
      <x:c r="N2705" t="n">
        <x:v>1</x:v>
      </x:c>
      <x:c r="O2705" t="n">
        <x:v>0</x:v>
      </x:c>
      <x:c r="P2705"/>
      <x:c r="Q2705"/>
      <x:c r="R2705"/>
      <x:c r="S2705"/>
      <x:c r="T2705" t="str">
        <x:v>middle</x:v>
      </x:c>
      <x:c r="U2705"/>
      <x:c r="V2705" t="n">
        <x:v>0</x:v>
      </x:c>
      <x:c r="W2705" t="n">
        <x:v>0</x:v>
      </x:c>
      <x:c r="X2705" t="n">
        <x:v>0</x:v>
      </x:c>
      <x:c r="Y2705" t="n">
        <x:v>0</x:v>
      </x:c>
      <x:c r="Z2705" t="n">
        <x:v>0</x:v>
      </x:c>
      <x:c r="AA2705" t="n">
        <x:v>0</x:v>
      </x:c>
      <x:c r="AB2705"/>
      <x:c r="AC2705" t="n">
        <x:v>0</x:v>
      </x:c>
      <x:c r="AD2705" t="n">
        <x:v>-0.43022108171135187</x:v>
      </x:c>
      <x:c r="AE2705" t="n">
        <x:v>0</x:v>
      </x:c>
      <x:c r="AF2705" t="n">
        <x:v>-0.025297164916992188</x:v>
      </x:c>
      <x:c r="AG2705" t="n">
        <x:f>_xlfn.XLOOKUP($A2705,Games!$A$2:$A$18,Games!$B$2:$B$18,"Missing game",0)</x:f>
        <x:v>2025</x:v>
      </x:c>
      <x:c r="AH2705" t="str">
        <x:f>_xlfn.XLOOKUP($A2705,Games!$A$2:$A$18,Games!$C$2:$C$18,"Missing game",0)</x:f>
        <x:v>REG</x:v>
      </x:c>
      <x:c r="AI2705" t="n">
        <x:f>_xlfn.XLOOKUP($A2705,Games!$A$2:$A$18,Games!$D$2:$D$18,"Missing game",0)</x:f>
        <x:v>18</x:v>
      </x:c>
      <x:c r="AJ2705" s="1" t="n">
        <x:f>_xlfn.XLOOKUP($A2705,Games!$A$2:$A$18,Games!$E$2:$E$18,"Missing game",0)</x:f>
        <x:v>46026</x:v>
      </x:c>
      <x:c r="AK2705" t="str">
        <x:f>_xlfn.XLOOKUP($A2705,Games!$A$2:$A$18,Games!$F$2:$F$18,"Missing game",0)</x:f>
        <x:v>Sunday</x:v>
      </x:c>
      <x:c r="AL2705" t="str">
        <x:f>_xlfn.XLOOKUP($A2705,Games!$A$2:$A$18,Games!$G$2:$G$18,"Missing game",0)</x:f>
        <x:v>GB</x:v>
      </x:c>
      <x:c r="AM2705" t="n">
        <x:f>_xlfn.XLOOKUP($A2705,Games!$A$2:$A$18,Games!$H$2:$H$18,"Missing game",0)</x:f>
        <x:v>3</x:v>
      </x:c>
      <x:c r="AN2705" t="str">
        <x:f>_xlfn.XLOOKUP($A2705,Games!$A$2:$A$18,Games!$I$2:$I$18,"Missing game",0)</x:f>
        <x:v>MIN</x:v>
      </x:c>
      <x:c r="AO2705" t="n">
        <x:f>_xlfn.XLOOKUP($A2705,Games!$A$2:$A$18,Games!$J$2:$J$18,"Missing game",0)</x:f>
        <x:v>16</x:v>
      </x:c>
      <x:c r="AP2705" t="n">
        <x:f>_xlfn.XLOOKUP($A2705,Games!$A$2:$A$18,Games!$K$2:$K$18,"Missing game",0)</x:f>
        <x:v>13</x:v>
      </x:c>
      <x:c r="AQ2705" t="n">
        <x:f>_xlfn.XLOOKUP($A2705,Games!$A$2:$A$18,Games!$L$2:$L$18,"Missing game",0)</x:f>
        <x:v>19</x:v>
      </x:c>
      <x:c r="AR2705" t="n">
        <x:f>_xlfn.XLOOKUP($A2705,Games!$A$2:$A$18,Games!$M$2:$M$18,"Missing game",0)</x:f>
        <x:v>0</x:v>
      </x:c>
      <x:c r="AS2705" t="str">
        <x:f>_xlfn.XLOOKUP($A2705,Games!$A$2:$A$18,Games!$N$2:$N$18,"Missing game",0)</x:f>
        <x:v>dome</x:v>
      </x:c>
      <x:c r="AT2705" t="str">
        <x:f>_xlfn.XLOOKUP($A2705,Games!$A$2:$A$18,Games!$O$2:$O$18,"Missing game",0)</x:f>
        <x:v>sportturf</x:v>
      </x:c>
      <x:c r="AU2705" t="str">
        <x:f>_xlfn.XLOOKUP($A2705,Games!$A$2:$A$18,Games!$P$2:$P$18,"Missing game",0)</x:f>
      </x:c>
      <x:c r="AV2705" t="str">
        <x:f>_xlfn.XLOOKUP($A2705,Games!$A$2:$A$18,Games!$Q$2:$Q$18,"Missing game",0)</x:f>
      </x:c>
      <x:c r="AW2705" t="str">
        <x:f>_xlfn.XLOOKUP($A2705,Games!$A$2:$A$18,Games!$R$2:$R$18,"Missing game",0)</x:f>
        <x:v>U.S. Bank Stadium</x:v>
      </x:c>
    </x:row>
    <x:row r="2706">
      <x:c r="A2706" t="str">
        <x:v>2025_18_GB_MIN</x:v>
      </x:c>
      <x:c r="B2706" t="n">
        <x:v>1708</x:v>
      </x:c>
      <x:c r="C2706" t="n">
        <x:v>2</x:v>
      </x:c>
      <x:c r="D2706" t="str">
        <x:v>02:00</x:v>
      </x:c>
      <x:c r="E2706" t="n">
        <x:v>3</x:v>
      </x:c>
      <x:c r="F2706" t="n">
        <x:v>24</x:v>
      </x:c>
      <x:c r="G2706" t="str">
        <x:v>GB</x:v>
      </x:c>
      <x:c r="H2706" t="str">
        <x:v>MIN</x:v>
      </x:c>
      <x:c r="I2706" t="str">
        <x:v>GB</x:v>
      </x:c>
      <x:c r="J2706" t="n">
        <x:v>92</x:v>
      </x:c>
      <x:c r="K2706" t="str">
        <x:v>(2:00) (Shotgun) 6-C.Tune pass incomplete short right.</x:v>
      </x:c>
      <x:c r="L2706" t="str">
        <x:v>pass</x:v>
      </x:c>
      <x:c r="M2706" t="n">
        <x:v>0</x:v>
      </x:c>
      <x:c r="N2706" t="n">
        <x:v>1</x:v>
      </x:c>
      <x:c r="O2706" t="n">
        <x:v>0</x:v>
      </x:c>
      <x:c r="P2706" t="str">
        <x:v>short</x:v>
      </x:c>
      <x:c r="Q2706" t="str">
        <x:v>right</x:v>
      </x:c>
      <x:c r="R2706" t="n">
        <x:v>2</x:v>
      </x:c>
      <x:c r="S2706"/>
      <x:c r="T2706"/>
      <x:c r="U2706"/>
      <x:c r="V2706" t="n">
        <x:v>0</x:v>
      </x:c>
      <x:c r="W2706" t="n">
        <x:v>0</x:v>
      </x:c>
      <x:c r="X2706" t="n">
        <x:v>0</x:v>
      </x:c>
      <x:c r="Y2706" t="n">
        <x:v>0</x:v>
      </x:c>
      <x:c r="Z2706" t="n">
        <x:v>0</x:v>
      </x:c>
      <x:c r="AA2706" t="n">
        <x:v>0</x:v>
      </x:c>
      <x:c r="AB2706"/>
      <x:c r="AC2706" t="n">
        <x:v>0</x:v>
      </x:c>
      <x:c r="AD2706" t="n">
        <x:v>-0.6860308597097173</x:v>
      </x:c>
      <x:c r="AE2706" t="n">
        <x:v>0</x:v>
      </x:c>
      <x:c r="AF2706" t="n">
        <x:v>-0.01598648726940155</x:v>
      </x:c>
      <x:c r="AG2706" t="n">
        <x:f>_xlfn.XLOOKUP($A2706,Games!$A$2:$A$18,Games!$B$2:$B$18,"Missing game",0)</x:f>
        <x:v>2025</x:v>
      </x:c>
      <x:c r="AH2706" t="str">
        <x:f>_xlfn.XLOOKUP($A2706,Games!$A$2:$A$18,Games!$C$2:$C$18,"Missing game",0)</x:f>
        <x:v>REG</x:v>
      </x:c>
      <x:c r="AI2706" t="n">
        <x:f>_xlfn.XLOOKUP($A2706,Games!$A$2:$A$18,Games!$D$2:$D$18,"Missing game",0)</x:f>
        <x:v>18</x:v>
      </x:c>
      <x:c r="AJ2706" s="1" t="n">
        <x:f>_xlfn.XLOOKUP($A2706,Games!$A$2:$A$18,Games!$E$2:$E$18,"Missing game",0)</x:f>
        <x:v>46026</x:v>
      </x:c>
      <x:c r="AK2706" t="str">
        <x:f>_xlfn.XLOOKUP($A2706,Games!$A$2:$A$18,Games!$F$2:$F$18,"Missing game",0)</x:f>
        <x:v>Sunday</x:v>
      </x:c>
      <x:c r="AL2706" t="str">
        <x:f>_xlfn.XLOOKUP($A2706,Games!$A$2:$A$18,Games!$G$2:$G$18,"Missing game",0)</x:f>
        <x:v>GB</x:v>
      </x:c>
      <x:c r="AM2706" t="n">
        <x:f>_xlfn.XLOOKUP($A2706,Games!$A$2:$A$18,Games!$H$2:$H$18,"Missing game",0)</x:f>
        <x:v>3</x:v>
      </x:c>
      <x:c r="AN2706" t="str">
        <x:f>_xlfn.XLOOKUP($A2706,Games!$A$2:$A$18,Games!$I$2:$I$18,"Missing game",0)</x:f>
        <x:v>MIN</x:v>
      </x:c>
      <x:c r="AO2706" t="n">
        <x:f>_xlfn.XLOOKUP($A2706,Games!$A$2:$A$18,Games!$J$2:$J$18,"Missing game",0)</x:f>
        <x:v>16</x:v>
      </x:c>
      <x:c r="AP2706" t="n">
        <x:f>_xlfn.XLOOKUP($A2706,Games!$A$2:$A$18,Games!$K$2:$K$18,"Missing game",0)</x:f>
        <x:v>13</x:v>
      </x:c>
      <x:c r="AQ2706" t="n">
        <x:f>_xlfn.XLOOKUP($A2706,Games!$A$2:$A$18,Games!$L$2:$L$18,"Missing game",0)</x:f>
        <x:v>19</x:v>
      </x:c>
      <x:c r="AR2706" t="n">
        <x:f>_xlfn.XLOOKUP($A2706,Games!$A$2:$A$18,Games!$M$2:$M$18,"Missing game",0)</x:f>
        <x:v>0</x:v>
      </x:c>
      <x:c r="AS2706" t="str">
        <x:f>_xlfn.XLOOKUP($A2706,Games!$A$2:$A$18,Games!$N$2:$N$18,"Missing game",0)</x:f>
        <x:v>dome</x:v>
      </x:c>
      <x:c r="AT2706" t="str">
        <x:f>_xlfn.XLOOKUP($A2706,Games!$A$2:$A$18,Games!$O$2:$O$18,"Missing game",0)</x:f>
        <x:v>sportturf</x:v>
      </x:c>
      <x:c r="AU2706" t="str">
        <x:f>_xlfn.XLOOKUP($A2706,Games!$A$2:$A$18,Games!$P$2:$P$18,"Missing game",0)</x:f>
      </x:c>
      <x:c r="AV2706" t="str">
        <x:f>_xlfn.XLOOKUP($A2706,Games!$A$2:$A$18,Games!$Q$2:$Q$18,"Missing game",0)</x:f>
      </x:c>
      <x:c r="AW2706" t="str">
        <x:f>_xlfn.XLOOKUP($A2706,Games!$A$2:$A$18,Games!$R$2:$R$18,"Missing game",0)</x:f>
        <x:v>U.S. Bank Stadium</x:v>
      </x:c>
    </x:row>
    <x:row r="2707">
      <x:c r="A2707" t="str">
        <x:v>2025_18_GB_MIN</x:v>
      </x:c>
      <x:c r="B2707" t="n">
        <x:v>1738</x:v>
      </x:c>
      <x:c r="C2707" t="n">
        <x:v>2</x:v>
      </x:c>
      <x:c r="D2707" t="str">
        <x:v>01:54</x:v>
      </x:c>
      <x:c r="E2707" t="n">
        <x:v>4</x:v>
      </x:c>
      <x:c r="F2707" t="n">
        <x:v>24</x:v>
      </x:c>
      <x:c r="G2707" t="str">
        <x:v>GB</x:v>
      </x:c>
      <x:c r="H2707" t="str">
        <x:v>MIN</x:v>
      </x:c>
      <x:c r="I2707" t="str">
        <x:v>GB</x:v>
      </x:c>
      <x:c r="J2707" t="n">
        <x:v>92</x:v>
      </x:c>
      <x:c r="K2707" t="str">
        <x:v>(1:54) 19-D.Whelan punts 51 yards to MIN 41, Center-42-M.Orzech, fair catch by 82-J.Jones.</x:v>
      </x:c>
      <x:c r="L2707" t="str">
        <x:v>punt</x:v>
      </x:c>
      <x:c r="M2707" t="n">
        <x:v>0</x:v>
      </x:c>
      <x:c r="N2707" t="n">
        <x:v>0</x:v>
      </x:c>
      <x:c r="O2707" t="n">
        <x:v>0</x:v>
      </x:c>
      <x:c r="P2707"/>
      <x:c r="Q2707"/>
      <x:c r="R2707"/>
      <x:c r="S2707"/>
      <x:c r="T2707"/>
      <x:c r="U2707"/>
      <x:c r="V2707" t="n">
        <x:v>0</x:v>
      </x:c>
      <x:c r="W2707" t="n">
        <x:v>0</x:v>
      </x:c>
      <x:c r="X2707" t="n">
        <x:v>0</x:v>
      </x:c>
      <x:c r="Y2707" t="n">
        <x:v>0</x:v>
      </x:c>
      <x:c r="Z2707" t="n">
        <x:v>0</x:v>
      </x:c>
      <x:c r="AA2707" t="n">
        <x:v>0</x:v>
      </x:c>
      <x:c r="AB2707"/>
      <x:c r="AC2707" t="n">
        <x:v>0</x:v>
      </x:c>
      <x:c r="AD2707" t="n">
        <x:v>0.16304038418456912</x:v>
      </x:c>
      <x:c r="AE2707" t="n">
        <x:v>1</x:v>
      </x:c>
      <x:c r="AF2707" t="n">
        <x:v>0.047618567943573</x:v>
      </x:c>
      <x:c r="AG2707" t="n">
        <x:f>_xlfn.XLOOKUP($A2707,Games!$A$2:$A$18,Games!$B$2:$B$18,"Missing game",0)</x:f>
        <x:v>2025</x:v>
      </x:c>
      <x:c r="AH2707" t="str">
        <x:f>_xlfn.XLOOKUP($A2707,Games!$A$2:$A$18,Games!$C$2:$C$18,"Missing game",0)</x:f>
        <x:v>REG</x:v>
      </x:c>
      <x:c r="AI2707" t="n">
        <x:f>_xlfn.XLOOKUP($A2707,Games!$A$2:$A$18,Games!$D$2:$D$18,"Missing game",0)</x:f>
        <x:v>18</x:v>
      </x:c>
      <x:c r="AJ2707" s="1" t="n">
        <x:f>_xlfn.XLOOKUP($A2707,Games!$A$2:$A$18,Games!$E$2:$E$18,"Missing game",0)</x:f>
        <x:v>46026</x:v>
      </x:c>
      <x:c r="AK2707" t="str">
        <x:f>_xlfn.XLOOKUP($A2707,Games!$A$2:$A$18,Games!$F$2:$F$18,"Missing game",0)</x:f>
        <x:v>Sunday</x:v>
      </x:c>
      <x:c r="AL2707" t="str">
        <x:f>_xlfn.XLOOKUP($A2707,Games!$A$2:$A$18,Games!$G$2:$G$18,"Missing game",0)</x:f>
        <x:v>GB</x:v>
      </x:c>
      <x:c r="AM2707" t="n">
        <x:f>_xlfn.XLOOKUP($A2707,Games!$A$2:$A$18,Games!$H$2:$H$18,"Missing game",0)</x:f>
        <x:v>3</x:v>
      </x:c>
      <x:c r="AN2707" t="str">
        <x:f>_xlfn.XLOOKUP($A2707,Games!$A$2:$A$18,Games!$I$2:$I$18,"Missing game",0)</x:f>
        <x:v>MIN</x:v>
      </x:c>
      <x:c r="AO2707" t="n">
        <x:f>_xlfn.XLOOKUP($A2707,Games!$A$2:$A$18,Games!$J$2:$J$18,"Missing game",0)</x:f>
        <x:v>16</x:v>
      </x:c>
      <x:c r="AP2707" t="n">
        <x:f>_xlfn.XLOOKUP($A2707,Games!$A$2:$A$18,Games!$K$2:$K$18,"Missing game",0)</x:f>
        <x:v>13</x:v>
      </x:c>
      <x:c r="AQ2707" t="n">
        <x:f>_xlfn.XLOOKUP($A2707,Games!$A$2:$A$18,Games!$L$2:$L$18,"Missing game",0)</x:f>
        <x:v>19</x:v>
      </x:c>
      <x:c r="AR2707" t="n">
        <x:f>_xlfn.XLOOKUP($A2707,Games!$A$2:$A$18,Games!$M$2:$M$18,"Missing game",0)</x:f>
        <x:v>0</x:v>
      </x:c>
      <x:c r="AS2707" t="str">
        <x:f>_xlfn.XLOOKUP($A2707,Games!$A$2:$A$18,Games!$N$2:$N$18,"Missing game",0)</x:f>
        <x:v>dome</x:v>
      </x:c>
      <x:c r="AT2707" t="str">
        <x:f>_xlfn.XLOOKUP($A2707,Games!$A$2:$A$18,Games!$O$2:$O$18,"Missing game",0)</x:f>
        <x:v>sportturf</x:v>
      </x:c>
      <x:c r="AU2707" t="str">
        <x:f>_xlfn.XLOOKUP($A2707,Games!$A$2:$A$18,Games!$P$2:$P$18,"Missing game",0)</x:f>
      </x:c>
      <x:c r="AV2707" t="str">
        <x:f>_xlfn.XLOOKUP($A2707,Games!$A$2:$A$18,Games!$Q$2:$Q$18,"Missing game",0)</x:f>
      </x:c>
      <x:c r="AW2707" t="str">
        <x:f>_xlfn.XLOOKUP($A2707,Games!$A$2:$A$18,Games!$R$2:$R$18,"Missing game",0)</x:f>
        <x:v>U.S. Bank Stadium</x:v>
      </x:c>
    </x:row>
    <x:row r="2708">
      <x:c r="A2708" t="str">
        <x:v>2025_18_GB_MIN</x:v>
      </x:c>
      <x:c r="B2708" t="n">
        <x:v>1758</x:v>
      </x:c>
      <x:c r="C2708" t="n">
        <x:v>2</x:v>
      </x:c>
      <x:c r="D2708" t="str">
        <x:v>01:47</x:v>
      </x:c>
      <x:c r="E2708" t="n">
        <x:v>1</x:v>
      </x:c>
      <x:c r="F2708" t="n">
        <x:v>10</x:v>
      </x:c>
      <x:c r="G2708" t="str">
        <x:v>MIN</x:v>
      </x:c>
      <x:c r="H2708" t="str">
        <x:v>GB</x:v>
      </x:c>
      <x:c r="I2708" t="str">
        <x:v>MIN</x:v>
      </x:c>
      <x:c r="J2708" t="n">
        <x:v>59</x:v>
      </x:c>
      <x:c r="K2708" t="str">
        <x:v>(1:47) (Shotgun) 18-J.Jefferson left end to MIN 44 for 3 yards (37-J.Baldwin).</x:v>
      </x:c>
      <x:c r="L2708" t="str">
        <x:v>run</x:v>
      </x:c>
      <x:c r="M2708" t="n">
        <x:v>3</x:v>
      </x:c>
      <x:c r="N2708" t="n">
        <x:v>1</x:v>
      </x:c>
      <x:c r="O2708" t="n">
        <x:v>0</x:v>
      </x:c>
      <x:c r="P2708"/>
      <x:c r="Q2708"/>
      <x:c r="R2708"/>
      <x:c r="S2708"/>
      <x:c r="T2708" t="str">
        <x:v>left</x:v>
      </x:c>
      <x:c r="U2708" t="str">
        <x:v>end</x:v>
      </x:c>
      <x:c r="V2708" t="n">
        <x:v>0</x:v>
      </x:c>
      <x:c r="W2708" t="n">
        <x:v>0</x:v>
      </x:c>
      <x:c r="X2708" t="n">
        <x:v>0</x:v>
      </x:c>
      <x:c r="Y2708" t="n">
        <x:v>0</x:v>
      </x:c>
      <x:c r="Z2708" t="n">
        <x:v>0</x:v>
      </x:c>
      <x:c r="AA2708" t="n">
        <x:v>0</x:v>
      </x:c>
      <x:c r="AB2708"/>
      <x:c r="AC2708" t="n">
        <x:v>0</x:v>
      </x:c>
      <x:c r="AD2708" t="n">
        <x:v>0.010603239294141531</x:v>
      </x:c>
      <x:c r="AE2708" t="n">
        <x:v>1</x:v>
      </x:c>
      <x:c r="AF2708" t="n">
        <x:v>-0.004399597644805908</x:v>
      </x:c>
      <x:c r="AG2708" t="n">
        <x:f>_xlfn.XLOOKUP($A2708,Games!$A$2:$A$18,Games!$B$2:$B$18,"Missing game",0)</x:f>
        <x:v>2025</x:v>
      </x:c>
      <x:c r="AH2708" t="str">
        <x:f>_xlfn.XLOOKUP($A2708,Games!$A$2:$A$18,Games!$C$2:$C$18,"Missing game",0)</x:f>
        <x:v>REG</x:v>
      </x:c>
      <x:c r="AI2708" t="n">
        <x:f>_xlfn.XLOOKUP($A2708,Games!$A$2:$A$18,Games!$D$2:$D$18,"Missing game",0)</x:f>
        <x:v>18</x:v>
      </x:c>
      <x:c r="AJ2708" s="1" t="n">
        <x:f>_xlfn.XLOOKUP($A2708,Games!$A$2:$A$18,Games!$E$2:$E$18,"Missing game",0)</x:f>
        <x:v>46026</x:v>
      </x:c>
      <x:c r="AK2708" t="str">
        <x:f>_xlfn.XLOOKUP($A2708,Games!$A$2:$A$18,Games!$F$2:$F$18,"Missing game",0)</x:f>
        <x:v>Sunday</x:v>
      </x:c>
      <x:c r="AL2708" t="str">
        <x:f>_xlfn.XLOOKUP($A2708,Games!$A$2:$A$18,Games!$G$2:$G$18,"Missing game",0)</x:f>
        <x:v>GB</x:v>
      </x:c>
      <x:c r="AM2708" t="n">
        <x:f>_xlfn.XLOOKUP($A2708,Games!$A$2:$A$18,Games!$H$2:$H$18,"Missing game",0)</x:f>
        <x:v>3</x:v>
      </x:c>
      <x:c r="AN2708" t="str">
        <x:f>_xlfn.XLOOKUP($A2708,Games!$A$2:$A$18,Games!$I$2:$I$18,"Missing game",0)</x:f>
        <x:v>MIN</x:v>
      </x:c>
      <x:c r="AO2708" t="n">
        <x:f>_xlfn.XLOOKUP($A2708,Games!$A$2:$A$18,Games!$J$2:$J$18,"Missing game",0)</x:f>
        <x:v>16</x:v>
      </x:c>
      <x:c r="AP2708" t="n">
        <x:f>_xlfn.XLOOKUP($A2708,Games!$A$2:$A$18,Games!$K$2:$K$18,"Missing game",0)</x:f>
        <x:v>13</x:v>
      </x:c>
      <x:c r="AQ2708" t="n">
        <x:f>_xlfn.XLOOKUP($A2708,Games!$A$2:$A$18,Games!$L$2:$L$18,"Missing game",0)</x:f>
        <x:v>19</x:v>
      </x:c>
      <x:c r="AR2708" t="n">
        <x:f>_xlfn.XLOOKUP($A2708,Games!$A$2:$A$18,Games!$M$2:$M$18,"Missing game",0)</x:f>
        <x:v>0</x:v>
      </x:c>
      <x:c r="AS2708" t="str">
        <x:f>_xlfn.XLOOKUP($A2708,Games!$A$2:$A$18,Games!$N$2:$N$18,"Missing game",0)</x:f>
        <x:v>dome</x:v>
      </x:c>
      <x:c r="AT2708" t="str">
        <x:f>_xlfn.XLOOKUP($A2708,Games!$A$2:$A$18,Games!$O$2:$O$18,"Missing game",0)</x:f>
        <x:v>sportturf</x:v>
      </x:c>
      <x:c r="AU2708" t="str">
        <x:f>_xlfn.XLOOKUP($A2708,Games!$A$2:$A$18,Games!$P$2:$P$18,"Missing game",0)</x:f>
      </x:c>
      <x:c r="AV2708" t="str">
        <x:f>_xlfn.XLOOKUP($A2708,Games!$A$2:$A$18,Games!$Q$2:$Q$18,"Missing game",0)</x:f>
      </x:c>
      <x:c r="AW2708" t="str">
        <x:f>_xlfn.XLOOKUP($A2708,Games!$A$2:$A$18,Games!$R$2:$R$18,"Missing game",0)</x:f>
        <x:v>U.S. Bank Stadium</x:v>
      </x:c>
    </x:row>
    <x:row r="2709">
      <x:c r="A2709" t="str">
        <x:v>2025_18_GB_MIN</x:v>
      </x:c>
      <x:c r="B2709" t="n">
        <x:v>1780</x:v>
      </x:c>
      <x:c r="C2709" t="n">
        <x:v>2</x:v>
      </x:c>
      <x:c r="D2709" t="str">
        <x:v>01:29</x:v>
      </x:c>
      <x:c r="E2709" t="n">
        <x:v>2</x:v>
      </x:c>
      <x:c r="F2709" t="n">
        <x:v>7</x:v>
      </x:c>
      <x:c r="G2709" t="str">
        <x:v>MIN</x:v>
      </x:c>
      <x:c r="H2709" t="str">
        <x:v>GB</x:v>
      </x:c>
      <x:c r="I2709" t="str">
        <x:v>MIN</x:v>
      </x:c>
      <x:c r="J2709" t="n">
        <x:v>56</x:v>
      </x:c>
      <x:c r="K2709" t="str">
        <x:v>(1:29) (No Huddle, Shotgun) 9-J.McCarthy pass short right to 84-J.Oliver to GB 49 for 7 yards (27-K.Oladapo) [57-B.Cox].</x:v>
      </x:c>
      <x:c r="L2709" t="str">
        <x:v>pass</x:v>
      </x:c>
      <x:c r="M2709" t="n">
        <x:v>7</x:v>
      </x:c>
      <x:c r="N2709" t="n">
        <x:v>1</x:v>
      </x:c>
      <x:c r="O2709" t="n">
        <x:v>1</x:v>
      </x:c>
      <x:c r="P2709" t="str">
        <x:v>short</x:v>
      </x:c>
      <x:c r="Q2709" t="str">
        <x:v>right</x:v>
      </x:c>
      <x:c r="R2709" t="n">
        <x:v>3</x:v>
      </x:c>
      <x:c r="S2709" t="n">
        <x:v>4</x:v>
      </x:c>
      <x:c r="T2709"/>
      <x:c r="U2709"/>
      <x:c r="V2709" t="n">
        <x:v>1</x:v>
      </x:c>
      <x:c r="W2709" t="n">
        <x:v>1</x:v>
      </x:c>
      <x:c r="X2709" t="n">
        <x:v>0</x:v>
      </x:c>
      <x:c r="Y2709" t="n">
        <x:v>0</x:v>
      </x:c>
      <x:c r="Z2709" t="n">
        <x:v>0</x:v>
      </x:c>
      <x:c r="AA2709" t="n">
        <x:v>0</x:v>
      </x:c>
      <x:c r="AB2709"/>
      <x:c r="AC2709" t="n">
        <x:v>0</x:v>
      </x:c>
      <x:c r="AD2709" t="n">
        <x:v>0.5452117381501012</x:v>
      </x:c>
      <x:c r="AE2709" t="n">
        <x:v>1</x:v>
      </x:c>
      <x:c r="AF2709" t="n">
        <x:v>0.013530910015106201</x:v>
      </x:c>
      <x:c r="AG2709" t="n">
        <x:f>_xlfn.XLOOKUP($A2709,Games!$A$2:$A$18,Games!$B$2:$B$18,"Missing game",0)</x:f>
        <x:v>2025</x:v>
      </x:c>
      <x:c r="AH2709" t="str">
        <x:f>_xlfn.XLOOKUP($A2709,Games!$A$2:$A$18,Games!$C$2:$C$18,"Missing game",0)</x:f>
        <x:v>REG</x:v>
      </x:c>
      <x:c r="AI2709" t="n">
        <x:f>_xlfn.XLOOKUP($A2709,Games!$A$2:$A$18,Games!$D$2:$D$18,"Missing game",0)</x:f>
        <x:v>18</x:v>
      </x:c>
      <x:c r="AJ2709" s="1" t="n">
        <x:f>_xlfn.XLOOKUP($A2709,Games!$A$2:$A$18,Games!$E$2:$E$18,"Missing game",0)</x:f>
        <x:v>46026</x:v>
      </x:c>
      <x:c r="AK2709" t="str">
        <x:f>_xlfn.XLOOKUP($A2709,Games!$A$2:$A$18,Games!$F$2:$F$18,"Missing game",0)</x:f>
        <x:v>Sunday</x:v>
      </x:c>
      <x:c r="AL2709" t="str">
        <x:f>_xlfn.XLOOKUP($A2709,Games!$A$2:$A$18,Games!$G$2:$G$18,"Missing game",0)</x:f>
        <x:v>GB</x:v>
      </x:c>
      <x:c r="AM2709" t="n">
        <x:f>_xlfn.XLOOKUP($A2709,Games!$A$2:$A$18,Games!$H$2:$H$18,"Missing game",0)</x:f>
        <x:v>3</x:v>
      </x:c>
      <x:c r="AN2709" t="str">
        <x:f>_xlfn.XLOOKUP($A2709,Games!$A$2:$A$18,Games!$I$2:$I$18,"Missing game",0)</x:f>
        <x:v>MIN</x:v>
      </x:c>
      <x:c r="AO2709" t="n">
        <x:f>_xlfn.XLOOKUP($A2709,Games!$A$2:$A$18,Games!$J$2:$J$18,"Missing game",0)</x:f>
        <x:v>16</x:v>
      </x:c>
      <x:c r="AP2709" t="n">
        <x:f>_xlfn.XLOOKUP($A2709,Games!$A$2:$A$18,Games!$K$2:$K$18,"Missing game",0)</x:f>
        <x:v>13</x:v>
      </x:c>
      <x:c r="AQ2709" t="n">
        <x:f>_xlfn.XLOOKUP($A2709,Games!$A$2:$A$18,Games!$L$2:$L$18,"Missing game",0)</x:f>
        <x:v>19</x:v>
      </x:c>
      <x:c r="AR2709" t="n">
        <x:f>_xlfn.XLOOKUP($A2709,Games!$A$2:$A$18,Games!$M$2:$M$18,"Missing game",0)</x:f>
        <x:v>0</x:v>
      </x:c>
      <x:c r="AS2709" t="str">
        <x:f>_xlfn.XLOOKUP($A2709,Games!$A$2:$A$18,Games!$N$2:$N$18,"Missing game",0)</x:f>
        <x:v>dome</x:v>
      </x:c>
      <x:c r="AT2709" t="str">
        <x:f>_xlfn.XLOOKUP($A2709,Games!$A$2:$A$18,Games!$O$2:$O$18,"Missing game",0)</x:f>
        <x:v>sportturf</x:v>
      </x:c>
      <x:c r="AU2709" t="str">
        <x:f>_xlfn.XLOOKUP($A2709,Games!$A$2:$A$18,Games!$P$2:$P$18,"Missing game",0)</x:f>
      </x:c>
      <x:c r="AV2709" t="str">
        <x:f>_xlfn.XLOOKUP($A2709,Games!$A$2:$A$18,Games!$Q$2:$Q$18,"Missing game",0)</x:f>
      </x:c>
      <x:c r="AW2709" t="str">
        <x:f>_xlfn.XLOOKUP($A2709,Games!$A$2:$A$18,Games!$R$2:$R$18,"Missing game",0)</x:f>
        <x:v>U.S. Bank Stadium</x:v>
      </x:c>
    </x:row>
    <x:row r="2710">
      <x:c r="A2710" t="str">
        <x:v>2025_18_GB_MIN</x:v>
      </x:c>
      <x:c r="B2710" t="n">
        <x:v>1805</x:v>
      </x:c>
      <x:c r="C2710" t="n">
        <x:v>2</x:v>
      </x:c>
      <x:c r="D2710" t="str">
        <x:v>01:04</x:v>
      </x:c>
      <x:c r="E2710" t="n">
        <x:v>1</x:v>
      </x:c>
      <x:c r="F2710" t="n">
        <x:v>10</x:v>
      </x:c>
      <x:c r="G2710" t="str">
        <x:v>MIN</x:v>
      </x:c>
      <x:c r="H2710" t="str">
        <x:v>GB</x:v>
      </x:c>
      <x:c r="I2710" t="str">
        <x:v>GB</x:v>
      </x:c>
      <x:c r="J2710" t="n">
        <x:v>49</x:v>
      </x:c>
      <x:c r="K2710" t="str">
        <x:v>(1:04) (No Huddle, Shotgun) 9-J.McCarthy pass short right to 32-T.Chandler ran ob at GB 47 for 2 yards (48-J.Johnson).</x:v>
      </x:c>
      <x:c r="L2710" t="str">
        <x:v>pass</x:v>
      </x:c>
      <x:c r="M2710" t="n">
        <x:v>2</x:v>
      </x:c>
      <x:c r="N2710" t="n">
        <x:v>1</x:v>
      </x:c>
      <x:c r="O2710" t="n">
        <x:v>1</x:v>
      </x:c>
      <x:c r="P2710" t="str">
        <x:v>short</x:v>
      </x:c>
      <x:c r="Q2710" t="str">
        <x:v>right</x:v>
      </x:c>
      <x:c r="R2710" t="n">
        <x:v>-6</x:v>
      </x:c>
      <x:c r="S2710" t="n">
        <x:v>8</x:v>
      </x:c>
      <x:c r="T2710"/>
      <x:c r="U2710"/>
      <x:c r="V2710" t="n">
        <x:v>1</x:v>
      </x:c>
      <x:c r="W2710" t="n">
        <x:v>0</x:v>
      </x:c>
      <x:c r="X2710" t="n">
        <x:v>0</x:v>
      </x:c>
      <x:c r="Y2710" t="n">
        <x:v>0</x:v>
      </x:c>
      <x:c r="Z2710" t="n">
        <x:v>0</x:v>
      </x:c>
      <x:c r="AA2710" t="n">
        <x:v>0</x:v>
      </x:c>
      <x:c r="AB2710"/>
      <x:c r="AC2710" t="n">
        <x:v>0</x:v>
      </x:c>
      <x:c r="AD2710" t="n">
        <x:v>-0.1310338278999552</x:v>
      </x:c>
      <x:c r="AE2710" t="n">
        <x:v>0</x:v>
      </x:c>
      <x:c r="AF2710" t="n">
        <x:v>-0.015203773975372314</x:v>
      </x:c>
      <x:c r="AG2710" t="n">
        <x:f>_xlfn.XLOOKUP($A2710,Games!$A$2:$A$18,Games!$B$2:$B$18,"Missing game",0)</x:f>
        <x:v>2025</x:v>
      </x:c>
      <x:c r="AH2710" t="str">
        <x:f>_xlfn.XLOOKUP($A2710,Games!$A$2:$A$18,Games!$C$2:$C$18,"Missing game",0)</x:f>
        <x:v>REG</x:v>
      </x:c>
      <x:c r="AI2710" t="n">
        <x:f>_xlfn.XLOOKUP($A2710,Games!$A$2:$A$18,Games!$D$2:$D$18,"Missing game",0)</x:f>
        <x:v>18</x:v>
      </x:c>
      <x:c r="AJ2710" s="1" t="n">
        <x:f>_xlfn.XLOOKUP($A2710,Games!$A$2:$A$18,Games!$E$2:$E$18,"Missing game",0)</x:f>
        <x:v>46026</x:v>
      </x:c>
      <x:c r="AK2710" t="str">
        <x:f>_xlfn.XLOOKUP($A2710,Games!$A$2:$A$18,Games!$F$2:$F$18,"Missing game",0)</x:f>
        <x:v>Sunday</x:v>
      </x:c>
      <x:c r="AL2710" t="str">
        <x:f>_xlfn.XLOOKUP($A2710,Games!$A$2:$A$18,Games!$G$2:$G$18,"Missing game",0)</x:f>
        <x:v>GB</x:v>
      </x:c>
      <x:c r="AM2710" t="n">
        <x:f>_xlfn.XLOOKUP($A2710,Games!$A$2:$A$18,Games!$H$2:$H$18,"Missing game",0)</x:f>
        <x:v>3</x:v>
      </x:c>
      <x:c r="AN2710" t="str">
        <x:f>_xlfn.XLOOKUP($A2710,Games!$A$2:$A$18,Games!$I$2:$I$18,"Missing game",0)</x:f>
        <x:v>MIN</x:v>
      </x:c>
      <x:c r="AO2710" t="n">
        <x:f>_xlfn.XLOOKUP($A2710,Games!$A$2:$A$18,Games!$J$2:$J$18,"Missing game",0)</x:f>
        <x:v>16</x:v>
      </x:c>
      <x:c r="AP2710" t="n">
        <x:f>_xlfn.XLOOKUP($A2710,Games!$A$2:$A$18,Games!$K$2:$K$18,"Missing game",0)</x:f>
        <x:v>13</x:v>
      </x:c>
      <x:c r="AQ2710" t="n">
        <x:f>_xlfn.XLOOKUP($A2710,Games!$A$2:$A$18,Games!$L$2:$L$18,"Missing game",0)</x:f>
        <x:v>19</x:v>
      </x:c>
      <x:c r="AR2710" t="n">
        <x:f>_xlfn.XLOOKUP($A2710,Games!$A$2:$A$18,Games!$M$2:$M$18,"Missing game",0)</x:f>
        <x:v>0</x:v>
      </x:c>
      <x:c r="AS2710" t="str">
        <x:f>_xlfn.XLOOKUP($A2710,Games!$A$2:$A$18,Games!$N$2:$N$18,"Missing game",0)</x:f>
        <x:v>dome</x:v>
      </x:c>
      <x:c r="AT2710" t="str">
        <x:f>_xlfn.XLOOKUP($A2710,Games!$A$2:$A$18,Games!$O$2:$O$18,"Missing game",0)</x:f>
        <x:v>sportturf</x:v>
      </x:c>
      <x:c r="AU2710" t="str">
        <x:f>_xlfn.XLOOKUP($A2710,Games!$A$2:$A$18,Games!$P$2:$P$18,"Missing game",0)</x:f>
      </x:c>
      <x:c r="AV2710" t="str">
        <x:f>_xlfn.XLOOKUP($A2710,Games!$A$2:$A$18,Games!$Q$2:$Q$18,"Missing game",0)</x:f>
      </x:c>
      <x:c r="AW2710" t="str">
        <x:f>_xlfn.XLOOKUP($A2710,Games!$A$2:$A$18,Games!$R$2:$R$18,"Missing game",0)</x:f>
        <x:v>U.S. Bank Stadium</x:v>
      </x:c>
    </x:row>
    <x:row r="2711">
      <x:c r="A2711" t="str">
        <x:v>2025_18_GB_MIN</x:v>
      </x:c>
      <x:c r="B2711" t="n">
        <x:v>1835</x:v>
      </x:c>
      <x:c r="C2711" t="n">
        <x:v>2</x:v>
      </x:c>
      <x:c r="D2711" t="str">
        <x:v>00:58</x:v>
      </x:c>
      <x:c r="E2711" t="n">
        <x:v>2</x:v>
      </x:c>
      <x:c r="F2711" t="n">
        <x:v>8</x:v>
      </x:c>
      <x:c r="G2711" t="str">
        <x:v>MIN</x:v>
      </x:c>
      <x:c r="H2711" t="str">
        <x:v>GB</x:v>
      </x:c>
      <x:c r="I2711" t="str">
        <x:v>GB</x:v>
      </x:c>
      <x:c r="J2711" t="n">
        <x:v>47</x:v>
      </x:c>
      <x:c r="K2711" t="str">
        <x:v>(:58) (Shotgun) 9-J.McCarthy pass incomplete short left to 18-J.Jefferson (27-K.Oladapo).</x:v>
      </x:c>
      <x:c r="L2711" t="str">
        <x:v>pass</x:v>
      </x:c>
      <x:c r="M2711" t="n">
        <x:v>0</x:v>
      </x:c>
      <x:c r="N2711" t="n">
        <x:v>1</x:v>
      </x:c>
      <x:c r="O2711" t="n">
        <x:v>0</x:v>
      </x:c>
      <x:c r="P2711" t="str">
        <x:v>short</x:v>
      </x:c>
      <x:c r="Q2711" t="str">
        <x:v>left</x:v>
      </x:c>
      <x:c r="R2711" t="n">
        <x:v>-5</x:v>
      </x:c>
      <x:c r="S2711"/>
      <x:c r="T2711"/>
      <x:c r="U2711"/>
      <x:c r="V2711" t="n">
        <x:v>0</x:v>
      </x:c>
      <x:c r="W2711" t="n">
        <x:v>0</x:v>
      </x:c>
      <x:c r="X2711" t="n">
        <x:v>0</x:v>
      </x:c>
      <x:c r="Y2711" t="n">
        <x:v>0</x:v>
      </x:c>
      <x:c r="Z2711" t="n">
        <x:v>0</x:v>
      </x:c>
      <x:c r="AA2711" t="n">
        <x:v>0</x:v>
      </x:c>
      <x:c r="AB2711"/>
      <x:c r="AC2711" t="n">
        <x:v>0</x:v>
      </x:c>
      <x:c r="AD2711" t="n">
        <x:v>-0.3863356091314927</x:v>
      </x:c>
      <x:c r="AE2711" t="n">
        <x:v>0</x:v>
      </x:c>
      <x:c r="AF2711" t="n">
        <x:v>-0.019475460052490234</x:v>
      </x:c>
      <x:c r="AG2711" t="n">
        <x:f>_xlfn.XLOOKUP($A2711,Games!$A$2:$A$18,Games!$B$2:$B$18,"Missing game",0)</x:f>
        <x:v>2025</x:v>
      </x:c>
      <x:c r="AH2711" t="str">
        <x:f>_xlfn.XLOOKUP($A2711,Games!$A$2:$A$18,Games!$C$2:$C$18,"Missing game",0)</x:f>
        <x:v>REG</x:v>
      </x:c>
      <x:c r="AI2711" t="n">
        <x:f>_xlfn.XLOOKUP($A2711,Games!$A$2:$A$18,Games!$D$2:$D$18,"Missing game",0)</x:f>
        <x:v>18</x:v>
      </x:c>
      <x:c r="AJ2711" s="1" t="n">
        <x:f>_xlfn.XLOOKUP($A2711,Games!$A$2:$A$18,Games!$E$2:$E$18,"Missing game",0)</x:f>
        <x:v>46026</x:v>
      </x:c>
      <x:c r="AK2711" t="str">
        <x:f>_xlfn.XLOOKUP($A2711,Games!$A$2:$A$18,Games!$F$2:$F$18,"Missing game",0)</x:f>
        <x:v>Sunday</x:v>
      </x:c>
      <x:c r="AL2711" t="str">
        <x:f>_xlfn.XLOOKUP($A2711,Games!$A$2:$A$18,Games!$G$2:$G$18,"Missing game",0)</x:f>
        <x:v>GB</x:v>
      </x:c>
      <x:c r="AM2711" t="n">
        <x:f>_xlfn.XLOOKUP($A2711,Games!$A$2:$A$18,Games!$H$2:$H$18,"Missing game",0)</x:f>
        <x:v>3</x:v>
      </x:c>
      <x:c r="AN2711" t="str">
        <x:f>_xlfn.XLOOKUP($A2711,Games!$A$2:$A$18,Games!$I$2:$I$18,"Missing game",0)</x:f>
        <x:v>MIN</x:v>
      </x:c>
      <x:c r="AO2711" t="n">
        <x:f>_xlfn.XLOOKUP($A2711,Games!$A$2:$A$18,Games!$J$2:$J$18,"Missing game",0)</x:f>
        <x:v>16</x:v>
      </x:c>
      <x:c r="AP2711" t="n">
        <x:f>_xlfn.XLOOKUP($A2711,Games!$A$2:$A$18,Games!$K$2:$K$18,"Missing game",0)</x:f>
        <x:v>13</x:v>
      </x:c>
      <x:c r="AQ2711" t="n">
        <x:f>_xlfn.XLOOKUP($A2711,Games!$A$2:$A$18,Games!$L$2:$L$18,"Missing game",0)</x:f>
        <x:v>19</x:v>
      </x:c>
      <x:c r="AR2711" t="n">
        <x:f>_xlfn.XLOOKUP($A2711,Games!$A$2:$A$18,Games!$M$2:$M$18,"Missing game",0)</x:f>
        <x:v>0</x:v>
      </x:c>
      <x:c r="AS2711" t="str">
        <x:f>_xlfn.XLOOKUP($A2711,Games!$A$2:$A$18,Games!$N$2:$N$18,"Missing game",0)</x:f>
        <x:v>dome</x:v>
      </x:c>
      <x:c r="AT2711" t="str">
        <x:f>_xlfn.XLOOKUP($A2711,Games!$A$2:$A$18,Games!$O$2:$O$18,"Missing game",0)</x:f>
        <x:v>sportturf</x:v>
      </x:c>
      <x:c r="AU2711" t="str">
        <x:f>_xlfn.XLOOKUP($A2711,Games!$A$2:$A$18,Games!$P$2:$P$18,"Missing game",0)</x:f>
      </x:c>
      <x:c r="AV2711" t="str">
        <x:f>_xlfn.XLOOKUP($A2711,Games!$A$2:$A$18,Games!$Q$2:$Q$18,"Missing game",0)</x:f>
      </x:c>
      <x:c r="AW2711" t="str">
        <x:f>_xlfn.XLOOKUP($A2711,Games!$A$2:$A$18,Games!$R$2:$R$18,"Missing game",0)</x:f>
        <x:v>U.S. Bank Stadium</x:v>
      </x:c>
    </x:row>
    <x:row r="2712">
      <x:c r="A2712" t="str">
        <x:v>2025_18_GB_MIN</x:v>
      </x:c>
      <x:c r="B2712" t="n">
        <x:v>1858</x:v>
      </x:c>
      <x:c r="C2712" t="n">
        <x:v>2</x:v>
      </x:c>
      <x:c r="D2712" t="str">
        <x:v>00:54</x:v>
      </x:c>
      <x:c r="E2712" t="n">
        <x:v>3</x:v>
      </x:c>
      <x:c r="F2712" t="n">
        <x:v>8</x:v>
      </x:c>
      <x:c r="G2712" t="str">
        <x:v>MIN</x:v>
      </x:c>
      <x:c r="H2712" t="str">
        <x:v>GB</x:v>
      </x:c>
      <x:c r="I2712" t="str">
        <x:v>GB</x:v>
      </x:c>
      <x:c r="J2712" t="n">
        <x:v>47</x:v>
      </x:c>
      <x:c r="K2712" t="str">
        <x:v>(:54) (Shotgun) 9-J.McCarthy pass deep right to 1-J.Nailor to GB 21 for 26 yards (38-J.Simpson).</x:v>
      </x:c>
      <x:c r="L2712" t="str">
        <x:v>pass</x:v>
      </x:c>
      <x:c r="M2712" t="n">
        <x:v>26</x:v>
      </x:c>
      <x:c r="N2712" t="n">
        <x:v>1</x:v>
      </x:c>
      <x:c r="O2712" t="n">
        <x:v>0</x:v>
      </x:c>
      <x:c r="P2712" t="str">
        <x:v>deep</x:v>
      </x:c>
      <x:c r="Q2712" t="str">
        <x:v>right</x:v>
      </x:c>
      <x:c r="R2712" t="n">
        <x:v>16</x:v>
      </x:c>
      <x:c r="S2712" t="n">
        <x:v>10</x:v>
      </x:c>
      <x:c r="T2712"/>
      <x:c r="U2712"/>
      <x:c r="V2712" t="n">
        <x:v>1</x:v>
      </x:c>
      <x:c r="W2712" t="n">
        <x:v>1</x:v>
      </x:c>
      <x:c r="X2712" t="n">
        <x:v>0</x:v>
      </x:c>
      <x:c r="Y2712" t="n">
        <x:v>0</x:v>
      </x:c>
      <x:c r="Z2712" t="n">
        <x:v>0</x:v>
      </x:c>
      <x:c r="AA2712" t="n">
        <x:v>0</x:v>
      </x:c>
      <x:c r="AB2712"/>
      <x:c r="AC2712" t="n">
        <x:v>0</x:v>
      </x:c>
      <x:c r="AD2712" t="n">
        <x:v>2.296910773264244</x:v>
      </x:c>
      <x:c r="AE2712" t="n">
        <x:v>1</x:v>
      </x:c>
      <x:c r="AF2712" t="n">
        <x:v>0.08203637599945068</x:v>
      </x:c>
      <x:c r="AG2712" t="n">
        <x:f>_xlfn.XLOOKUP($A2712,Games!$A$2:$A$18,Games!$B$2:$B$18,"Missing game",0)</x:f>
        <x:v>2025</x:v>
      </x:c>
      <x:c r="AH2712" t="str">
        <x:f>_xlfn.XLOOKUP($A2712,Games!$A$2:$A$18,Games!$C$2:$C$18,"Missing game",0)</x:f>
        <x:v>REG</x:v>
      </x:c>
      <x:c r="AI2712" t="n">
        <x:f>_xlfn.XLOOKUP($A2712,Games!$A$2:$A$18,Games!$D$2:$D$18,"Missing game",0)</x:f>
        <x:v>18</x:v>
      </x:c>
      <x:c r="AJ2712" s="1" t="n">
        <x:f>_xlfn.XLOOKUP($A2712,Games!$A$2:$A$18,Games!$E$2:$E$18,"Missing game",0)</x:f>
        <x:v>46026</x:v>
      </x:c>
      <x:c r="AK2712" t="str">
        <x:f>_xlfn.XLOOKUP($A2712,Games!$A$2:$A$18,Games!$F$2:$F$18,"Missing game",0)</x:f>
        <x:v>Sunday</x:v>
      </x:c>
      <x:c r="AL2712" t="str">
        <x:f>_xlfn.XLOOKUP($A2712,Games!$A$2:$A$18,Games!$G$2:$G$18,"Missing game",0)</x:f>
        <x:v>GB</x:v>
      </x:c>
      <x:c r="AM2712" t="n">
        <x:f>_xlfn.XLOOKUP($A2712,Games!$A$2:$A$18,Games!$H$2:$H$18,"Missing game",0)</x:f>
        <x:v>3</x:v>
      </x:c>
      <x:c r="AN2712" t="str">
        <x:f>_xlfn.XLOOKUP($A2712,Games!$A$2:$A$18,Games!$I$2:$I$18,"Missing game",0)</x:f>
        <x:v>MIN</x:v>
      </x:c>
      <x:c r="AO2712" t="n">
        <x:f>_xlfn.XLOOKUP($A2712,Games!$A$2:$A$18,Games!$J$2:$J$18,"Missing game",0)</x:f>
        <x:v>16</x:v>
      </x:c>
      <x:c r="AP2712" t="n">
        <x:f>_xlfn.XLOOKUP($A2712,Games!$A$2:$A$18,Games!$K$2:$K$18,"Missing game",0)</x:f>
        <x:v>13</x:v>
      </x:c>
      <x:c r="AQ2712" t="n">
        <x:f>_xlfn.XLOOKUP($A2712,Games!$A$2:$A$18,Games!$L$2:$L$18,"Missing game",0)</x:f>
        <x:v>19</x:v>
      </x:c>
      <x:c r="AR2712" t="n">
        <x:f>_xlfn.XLOOKUP($A2712,Games!$A$2:$A$18,Games!$M$2:$M$18,"Missing game",0)</x:f>
        <x:v>0</x:v>
      </x:c>
      <x:c r="AS2712" t="str">
        <x:f>_xlfn.XLOOKUP($A2712,Games!$A$2:$A$18,Games!$N$2:$N$18,"Missing game",0)</x:f>
        <x:v>dome</x:v>
      </x:c>
      <x:c r="AT2712" t="str">
        <x:f>_xlfn.XLOOKUP($A2712,Games!$A$2:$A$18,Games!$O$2:$O$18,"Missing game",0)</x:f>
        <x:v>sportturf</x:v>
      </x:c>
      <x:c r="AU2712" t="str">
        <x:f>_xlfn.XLOOKUP($A2712,Games!$A$2:$A$18,Games!$P$2:$P$18,"Missing game",0)</x:f>
      </x:c>
      <x:c r="AV2712" t="str">
        <x:f>_xlfn.XLOOKUP($A2712,Games!$A$2:$A$18,Games!$Q$2:$Q$18,"Missing game",0)</x:f>
      </x:c>
      <x:c r="AW2712" t="str">
        <x:f>_xlfn.XLOOKUP($A2712,Games!$A$2:$A$18,Games!$R$2:$R$18,"Missing game",0)</x:f>
        <x:v>U.S. Bank Stadium</x:v>
      </x:c>
    </x:row>
    <x:row r="2713">
      <x:c r="A2713" t="str">
        <x:v>2025_18_GB_MIN</x:v>
      </x:c>
      <x:c r="B2713" t="n">
        <x:v>1883</x:v>
      </x:c>
      <x:c r="C2713" t="n">
        <x:v>2</x:v>
      </x:c>
      <x:c r="D2713" t="str">
        <x:v>00:46</x:v>
      </x:c>
      <x:c r="E2713" t="n">
        <x:v>1</x:v>
      </x:c>
      <x:c r="F2713" t="n">
        <x:v>10</x:v>
      </x:c>
      <x:c r="G2713" t="str">
        <x:v>MIN</x:v>
      </x:c>
      <x:c r="H2713" t="str">
        <x:v>GB</x:v>
      </x:c>
      <x:c r="I2713" t="str">
        <x:v>GB</x:v>
      </x:c>
      <x:c r="J2713" t="n">
        <x:v>21</x:v>
      </x:c>
      <x:c r="K2713" t="str">
        <x:v>(:46) (Shotgun) 9-J.McCarthy pass incomplete deep right to 3-J.Addison.</x:v>
      </x:c>
      <x:c r="L2713" t="str">
        <x:v>pass</x:v>
      </x:c>
      <x:c r="M2713" t="n">
        <x:v>0</x:v>
      </x:c>
      <x:c r="N2713" t="n">
        <x:v>1</x:v>
      </x:c>
      <x:c r="O2713" t="n">
        <x:v>0</x:v>
      </x:c>
      <x:c r="P2713" t="str">
        <x:v>deep</x:v>
      </x:c>
      <x:c r="Q2713" t="str">
        <x:v>right</x:v>
      </x:c>
      <x:c r="R2713" t="n">
        <x:v>21</x:v>
      </x:c>
      <x:c r="S2713"/>
      <x:c r="T2713"/>
      <x:c r="U2713"/>
      <x:c r="V2713" t="n">
        <x:v>0</x:v>
      </x:c>
      <x:c r="W2713" t="n">
        <x:v>0</x:v>
      </x:c>
      <x:c r="X2713" t="n">
        <x:v>0</x:v>
      </x:c>
      <x:c r="Y2713" t="n">
        <x:v>0</x:v>
      </x:c>
      <x:c r="Z2713" t="n">
        <x:v>0</x:v>
      </x:c>
      <x:c r="AA2713" t="n">
        <x:v>0</x:v>
      </x:c>
      <x:c r="AB2713"/>
      <x:c r="AC2713" t="n">
        <x:v>0</x:v>
      </x:c>
      <x:c r="AD2713" t="n">
        <x:v>-0.33344196336111054</x:v>
      </x:c>
      <x:c r="AE2713" t="n">
        <x:v>0</x:v>
      </x:c>
      <x:c r="AF2713" t="n">
        <x:v>-0.011121571063995361</x:v>
      </x:c>
      <x:c r="AG2713" t="n">
        <x:f>_xlfn.XLOOKUP($A2713,Games!$A$2:$A$18,Games!$B$2:$B$18,"Missing game",0)</x:f>
        <x:v>2025</x:v>
      </x:c>
      <x:c r="AH2713" t="str">
        <x:f>_xlfn.XLOOKUP($A2713,Games!$A$2:$A$18,Games!$C$2:$C$18,"Missing game",0)</x:f>
        <x:v>REG</x:v>
      </x:c>
      <x:c r="AI2713" t="n">
        <x:f>_xlfn.XLOOKUP($A2713,Games!$A$2:$A$18,Games!$D$2:$D$18,"Missing game",0)</x:f>
        <x:v>18</x:v>
      </x:c>
      <x:c r="AJ2713" s="1" t="n">
        <x:f>_xlfn.XLOOKUP($A2713,Games!$A$2:$A$18,Games!$E$2:$E$18,"Missing game",0)</x:f>
        <x:v>46026</x:v>
      </x:c>
      <x:c r="AK2713" t="str">
        <x:f>_xlfn.XLOOKUP($A2713,Games!$A$2:$A$18,Games!$F$2:$F$18,"Missing game",0)</x:f>
        <x:v>Sunday</x:v>
      </x:c>
      <x:c r="AL2713" t="str">
        <x:f>_xlfn.XLOOKUP($A2713,Games!$A$2:$A$18,Games!$G$2:$G$18,"Missing game",0)</x:f>
        <x:v>GB</x:v>
      </x:c>
      <x:c r="AM2713" t="n">
        <x:f>_xlfn.XLOOKUP($A2713,Games!$A$2:$A$18,Games!$H$2:$H$18,"Missing game",0)</x:f>
        <x:v>3</x:v>
      </x:c>
      <x:c r="AN2713" t="str">
        <x:f>_xlfn.XLOOKUP($A2713,Games!$A$2:$A$18,Games!$I$2:$I$18,"Missing game",0)</x:f>
        <x:v>MIN</x:v>
      </x:c>
      <x:c r="AO2713" t="n">
        <x:f>_xlfn.XLOOKUP($A2713,Games!$A$2:$A$18,Games!$J$2:$J$18,"Missing game",0)</x:f>
        <x:v>16</x:v>
      </x:c>
      <x:c r="AP2713" t="n">
        <x:f>_xlfn.XLOOKUP($A2713,Games!$A$2:$A$18,Games!$K$2:$K$18,"Missing game",0)</x:f>
        <x:v>13</x:v>
      </x:c>
      <x:c r="AQ2713" t="n">
        <x:f>_xlfn.XLOOKUP($A2713,Games!$A$2:$A$18,Games!$L$2:$L$18,"Missing game",0)</x:f>
        <x:v>19</x:v>
      </x:c>
      <x:c r="AR2713" t="n">
        <x:f>_xlfn.XLOOKUP($A2713,Games!$A$2:$A$18,Games!$M$2:$M$18,"Missing game",0)</x:f>
        <x:v>0</x:v>
      </x:c>
      <x:c r="AS2713" t="str">
        <x:f>_xlfn.XLOOKUP($A2713,Games!$A$2:$A$18,Games!$N$2:$N$18,"Missing game",0)</x:f>
        <x:v>dome</x:v>
      </x:c>
      <x:c r="AT2713" t="str">
        <x:f>_xlfn.XLOOKUP($A2713,Games!$A$2:$A$18,Games!$O$2:$O$18,"Missing game",0)</x:f>
        <x:v>sportturf</x:v>
      </x:c>
      <x:c r="AU2713" t="str">
        <x:f>_xlfn.XLOOKUP($A2713,Games!$A$2:$A$18,Games!$P$2:$P$18,"Missing game",0)</x:f>
      </x:c>
      <x:c r="AV2713" t="str">
        <x:f>_xlfn.XLOOKUP($A2713,Games!$A$2:$A$18,Games!$Q$2:$Q$18,"Missing game",0)</x:f>
      </x:c>
      <x:c r="AW2713" t="str">
        <x:f>_xlfn.XLOOKUP($A2713,Games!$A$2:$A$18,Games!$R$2:$R$18,"Missing game",0)</x:f>
        <x:v>U.S. Bank Stadium</x:v>
      </x:c>
    </x:row>
    <x:row r="2714">
      <x:c r="A2714" t="str">
        <x:v>2025_18_GB_MIN</x:v>
      </x:c>
      <x:c r="B2714" t="n">
        <x:v>1895</x:v>
      </x:c>
      <x:c r="C2714" t="n">
        <x:v>2</x:v>
      </x:c>
      <x:c r="D2714" t="str">
        <x:v>00:46</x:v>
      </x:c>
      <x:c r="E2714"/>
      <x:c r="F2714" t="n">
        <x:v>0</x:v>
      </x:c>
      <x:c r="G2714"/>
      <x:c r="H2714"/>
      <x:c r="I2714"/>
      <x:c r="J2714"/>
      <x:c r="K2714" t="str">
        <x:v>Timeout #1 by MIN at 00:46.</x:v>
      </x:c>
      <x:c r="L2714" t="str">
        <x:v>no_play</x:v>
      </x:c>
      <x:c r="M2714" t="n">
        <x:v>0</x:v>
      </x:c>
      <x:c r="N2714" t="n">
        <x:v>0</x:v>
      </x:c>
      <x:c r="O2714" t="n">
        <x:v>0</x:v>
      </x:c>
      <x:c r="P2714"/>
      <x:c r="Q2714"/>
      <x:c r="R2714"/>
      <x:c r="S2714"/>
      <x:c r="T2714"/>
      <x:c r="U2714"/>
      <x:c r="V2714" t="n">
        <x:v>0</x:v>
      </x:c>
      <x:c r="W2714" t="n">
        <x:v>0</x:v>
      </x:c>
      <x:c r="X2714" t="n">
        <x:v>0</x:v>
      </x:c>
      <x:c r="Y2714" t="n">
        <x:v>0</x:v>
      </x:c>
      <x:c r="Z2714" t="n">
        <x:v>0</x:v>
      </x:c>
      <x:c r="AA2714" t="n">
        <x:v>0</x:v>
      </x:c>
      <x:c r="AB2714"/>
      <x:c r="AC2714" t="n">
        <x:v>0</x:v>
      </x:c>
      <x:c r="AD2714" t="n">
        <x:v>0</x:v>
      </x:c>
      <x:c r="AE2714" t="n">
        <x:v>0</x:v>
      </x:c>
      <x:c r="AF2714" t="n">
        <x:v>0</x:v>
      </x:c>
      <x:c r="AG2714" t="n">
        <x:f>_xlfn.XLOOKUP($A2714,Games!$A$2:$A$18,Games!$B$2:$B$18,"Missing game",0)</x:f>
        <x:v>2025</x:v>
      </x:c>
      <x:c r="AH2714" t="str">
        <x:f>_xlfn.XLOOKUP($A2714,Games!$A$2:$A$18,Games!$C$2:$C$18,"Missing game",0)</x:f>
        <x:v>REG</x:v>
      </x:c>
      <x:c r="AI2714" t="n">
        <x:f>_xlfn.XLOOKUP($A2714,Games!$A$2:$A$18,Games!$D$2:$D$18,"Missing game",0)</x:f>
        <x:v>18</x:v>
      </x:c>
      <x:c r="AJ2714" s="1" t="n">
        <x:f>_xlfn.XLOOKUP($A2714,Games!$A$2:$A$18,Games!$E$2:$E$18,"Missing game",0)</x:f>
        <x:v>46026</x:v>
      </x:c>
      <x:c r="AK2714" t="str">
        <x:f>_xlfn.XLOOKUP($A2714,Games!$A$2:$A$18,Games!$F$2:$F$18,"Missing game",0)</x:f>
        <x:v>Sunday</x:v>
      </x:c>
      <x:c r="AL2714" t="str">
        <x:f>_xlfn.XLOOKUP($A2714,Games!$A$2:$A$18,Games!$G$2:$G$18,"Missing game",0)</x:f>
        <x:v>GB</x:v>
      </x:c>
      <x:c r="AM2714" t="n">
        <x:f>_xlfn.XLOOKUP($A2714,Games!$A$2:$A$18,Games!$H$2:$H$18,"Missing game",0)</x:f>
        <x:v>3</x:v>
      </x:c>
      <x:c r="AN2714" t="str">
        <x:f>_xlfn.XLOOKUP($A2714,Games!$A$2:$A$18,Games!$I$2:$I$18,"Missing game",0)</x:f>
        <x:v>MIN</x:v>
      </x:c>
      <x:c r="AO2714" t="n">
        <x:f>_xlfn.XLOOKUP($A2714,Games!$A$2:$A$18,Games!$J$2:$J$18,"Missing game",0)</x:f>
        <x:v>16</x:v>
      </x:c>
      <x:c r="AP2714" t="n">
        <x:f>_xlfn.XLOOKUP($A2714,Games!$A$2:$A$18,Games!$K$2:$K$18,"Missing game",0)</x:f>
        <x:v>13</x:v>
      </x:c>
      <x:c r="AQ2714" t="n">
        <x:f>_xlfn.XLOOKUP($A2714,Games!$A$2:$A$18,Games!$L$2:$L$18,"Missing game",0)</x:f>
        <x:v>19</x:v>
      </x:c>
      <x:c r="AR2714" t="n">
        <x:f>_xlfn.XLOOKUP($A2714,Games!$A$2:$A$18,Games!$M$2:$M$18,"Missing game",0)</x:f>
        <x:v>0</x:v>
      </x:c>
      <x:c r="AS2714" t="str">
        <x:f>_xlfn.XLOOKUP($A2714,Games!$A$2:$A$18,Games!$N$2:$N$18,"Missing game",0)</x:f>
        <x:v>dome</x:v>
      </x:c>
      <x:c r="AT2714" t="str">
        <x:f>_xlfn.XLOOKUP($A2714,Games!$A$2:$A$18,Games!$O$2:$O$18,"Missing game",0)</x:f>
        <x:v>sportturf</x:v>
      </x:c>
      <x:c r="AU2714" t="str">
        <x:f>_xlfn.XLOOKUP($A2714,Games!$A$2:$A$18,Games!$P$2:$P$18,"Missing game",0)</x:f>
      </x:c>
      <x:c r="AV2714" t="str">
        <x:f>_xlfn.XLOOKUP($A2714,Games!$A$2:$A$18,Games!$Q$2:$Q$18,"Missing game",0)</x:f>
      </x:c>
      <x:c r="AW2714" t="str">
        <x:f>_xlfn.XLOOKUP($A2714,Games!$A$2:$A$18,Games!$R$2:$R$18,"Missing game",0)</x:f>
        <x:v>U.S. Bank Stadium</x:v>
      </x:c>
    </x:row>
    <x:row r="2715">
      <x:c r="A2715" t="str">
        <x:v>2025_18_GB_MIN</x:v>
      </x:c>
      <x:c r="B2715" t="n">
        <x:v>1913</x:v>
      </x:c>
      <x:c r="C2715" t="n">
        <x:v>2</x:v>
      </x:c>
      <x:c r="D2715" t="str">
        <x:v>00:42</x:v>
      </x:c>
      <x:c r="E2715" t="n">
        <x:v>2</x:v>
      </x:c>
      <x:c r="F2715" t="n">
        <x:v>10</x:v>
      </x:c>
      <x:c r="G2715" t="str">
        <x:v>MIN</x:v>
      </x:c>
      <x:c r="H2715" t="str">
        <x:v>GB</x:v>
      </x:c>
      <x:c r="I2715" t="str">
        <x:v>GB</x:v>
      </x:c>
      <x:c r="J2715" t="n">
        <x:v>21</x:v>
      </x:c>
      <x:c r="K2715" t="str">
        <x:v>(:42) (Shotgun) 9-J.McCarthy pass deep right to 89-B.Sims ran ob at GB 3 for 18 yards.</x:v>
      </x:c>
      <x:c r="L2715" t="str">
        <x:v>pass</x:v>
      </x:c>
      <x:c r="M2715" t="n">
        <x:v>18</x:v>
      </x:c>
      <x:c r="N2715" t="n">
        <x:v>1</x:v>
      </x:c>
      <x:c r="O2715" t="n">
        <x:v>0</x:v>
      </x:c>
      <x:c r="P2715" t="str">
        <x:v>deep</x:v>
      </x:c>
      <x:c r="Q2715" t="str">
        <x:v>right</x:v>
      </x:c>
      <x:c r="R2715" t="n">
        <x:v>18</x:v>
      </x:c>
      <x:c r="S2715" t="n">
        <x:v>0</x:v>
      </x:c>
      <x:c r="T2715"/>
      <x:c r="U2715"/>
      <x:c r="V2715" t="n">
        <x:v>1</x:v>
      </x:c>
      <x:c r="W2715" t="n">
        <x:v>1</x:v>
      </x:c>
      <x:c r="X2715" t="n">
        <x:v>0</x:v>
      </x:c>
      <x:c r="Y2715" t="n">
        <x:v>0</x:v>
      </x:c>
      <x:c r="Z2715" t="n">
        <x:v>0</x:v>
      </x:c>
      <x:c r="AA2715" t="n">
        <x:v>0</x:v>
      </x:c>
      <x:c r="AB2715"/>
      <x:c r="AC2715" t="n">
        <x:v>0</x:v>
      </x:c>
      <x:c r="AD2715" t="n">
        <x:v>2.150721458980115</x:v>
      </x:c>
      <x:c r="AE2715" t="n">
        <x:v>1</x:v>
      </x:c>
      <x:c r="AF2715" t="n">
        <x:v>0.044940173625946045</x:v>
      </x:c>
      <x:c r="AG2715" t="n">
        <x:f>_xlfn.XLOOKUP($A2715,Games!$A$2:$A$18,Games!$B$2:$B$18,"Missing game",0)</x:f>
        <x:v>2025</x:v>
      </x:c>
      <x:c r="AH2715" t="str">
        <x:f>_xlfn.XLOOKUP($A2715,Games!$A$2:$A$18,Games!$C$2:$C$18,"Missing game",0)</x:f>
        <x:v>REG</x:v>
      </x:c>
      <x:c r="AI2715" t="n">
        <x:f>_xlfn.XLOOKUP($A2715,Games!$A$2:$A$18,Games!$D$2:$D$18,"Missing game",0)</x:f>
        <x:v>18</x:v>
      </x:c>
      <x:c r="AJ2715" s="1" t="n">
        <x:f>_xlfn.XLOOKUP($A2715,Games!$A$2:$A$18,Games!$E$2:$E$18,"Missing game",0)</x:f>
        <x:v>46026</x:v>
      </x:c>
      <x:c r="AK2715" t="str">
        <x:f>_xlfn.XLOOKUP($A2715,Games!$A$2:$A$18,Games!$F$2:$F$18,"Missing game",0)</x:f>
        <x:v>Sunday</x:v>
      </x:c>
      <x:c r="AL2715" t="str">
        <x:f>_xlfn.XLOOKUP($A2715,Games!$A$2:$A$18,Games!$G$2:$G$18,"Missing game",0)</x:f>
        <x:v>GB</x:v>
      </x:c>
      <x:c r="AM2715" t="n">
        <x:f>_xlfn.XLOOKUP($A2715,Games!$A$2:$A$18,Games!$H$2:$H$18,"Missing game",0)</x:f>
        <x:v>3</x:v>
      </x:c>
      <x:c r="AN2715" t="str">
        <x:f>_xlfn.XLOOKUP($A2715,Games!$A$2:$A$18,Games!$I$2:$I$18,"Missing game",0)</x:f>
        <x:v>MIN</x:v>
      </x:c>
      <x:c r="AO2715" t="n">
        <x:f>_xlfn.XLOOKUP($A2715,Games!$A$2:$A$18,Games!$J$2:$J$18,"Missing game",0)</x:f>
        <x:v>16</x:v>
      </x:c>
      <x:c r="AP2715" t="n">
        <x:f>_xlfn.XLOOKUP($A2715,Games!$A$2:$A$18,Games!$K$2:$K$18,"Missing game",0)</x:f>
        <x:v>13</x:v>
      </x:c>
      <x:c r="AQ2715" t="n">
        <x:f>_xlfn.XLOOKUP($A2715,Games!$A$2:$A$18,Games!$L$2:$L$18,"Missing game",0)</x:f>
        <x:v>19</x:v>
      </x:c>
      <x:c r="AR2715" t="n">
        <x:f>_xlfn.XLOOKUP($A2715,Games!$A$2:$A$18,Games!$M$2:$M$18,"Missing game",0)</x:f>
        <x:v>0</x:v>
      </x:c>
      <x:c r="AS2715" t="str">
        <x:f>_xlfn.XLOOKUP($A2715,Games!$A$2:$A$18,Games!$N$2:$N$18,"Missing game",0)</x:f>
        <x:v>dome</x:v>
      </x:c>
      <x:c r="AT2715" t="str">
        <x:f>_xlfn.XLOOKUP($A2715,Games!$A$2:$A$18,Games!$O$2:$O$18,"Missing game",0)</x:f>
        <x:v>sportturf</x:v>
      </x:c>
      <x:c r="AU2715" t="str">
        <x:f>_xlfn.XLOOKUP($A2715,Games!$A$2:$A$18,Games!$P$2:$P$18,"Missing game",0)</x:f>
      </x:c>
      <x:c r="AV2715" t="str">
        <x:f>_xlfn.XLOOKUP($A2715,Games!$A$2:$A$18,Games!$Q$2:$Q$18,"Missing game",0)</x:f>
      </x:c>
      <x:c r="AW2715" t="str">
        <x:f>_xlfn.XLOOKUP($A2715,Games!$A$2:$A$18,Games!$R$2:$R$18,"Missing game",0)</x:f>
        <x:v>U.S. Bank Stadium</x:v>
      </x:c>
    </x:row>
    <x:row r="2716">
      <x:c r="A2716" t="str">
        <x:v>2025_18_GB_MIN</x:v>
      </x:c>
      <x:c r="B2716" t="n">
        <x:v>1943</x:v>
      </x:c>
      <x:c r="C2716" t="n">
        <x:v>2</x:v>
      </x:c>
      <x:c r="D2716" t="str">
        <x:v>00:35</x:v>
      </x:c>
      <x:c r="E2716" t="n">
        <x:v>1</x:v>
      </x:c>
      <x:c r="F2716" t="n">
        <x:v>3</x:v>
      </x:c>
      <x:c r="G2716" t="str">
        <x:v>MIN</x:v>
      </x:c>
      <x:c r="H2716" t="str">
        <x:v>GB</x:v>
      </x:c>
      <x:c r="I2716" t="str">
        <x:v>GB</x:v>
      </x:c>
      <x:c r="J2716" t="n">
        <x:v>3</x:v>
      </x:c>
      <x:c r="K2716" t="str">
        <x:v>(:35) (Shotgun) 32-T.Chandler up the middle to GB 1 for 2 yards (20-J.Bullard).</x:v>
      </x:c>
      <x:c r="L2716" t="str">
        <x:v>run</x:v>
      </x:c>
      <x:c r="M2716" t="n">
        <x:v>2</x:v>
      </x:c>
      <x:c r="N2716" t="n">
        <x:v>1</x:v>
      </x:c>
      <x:c r="O2716" t="n">
        <x:v>0</x:v>
      </x:c>
      <x:c r="P2716"/>
      <x:c r="Q2716"/>
      <x:c r="R2716"/>
      <x:c r="S2716"/>
      <x:c r="T2716" t="str">
        <x:v>middle</x:v>
      </x:c>
      <x:c r="U2716"/>
      <x:c r="V2716" t="n">
        <x:v>0</x:v>
      </x:c>
      <x:c r="W2716" t="n">
        <x:v>0</x:v>
      </x:c>
      <x:c r="X2716" t="n">
        <x:v>0</x:v>
      </x:c>
      <x:c r="Y2716" t="n">
        <x:v>0</x:v>
      </x:c>
      <x:c r="Z2716" t="n">
        <x:v>0</x:v>
      </x:c>
      <x:c r="AA2716" t="n">
        <x:v>0</x:v>
      </x:c>
      <x:c r="AB2716"/>
      <x:c r="AC2716" t="n">
        <x:v>0</x:v>
      </x:c>
      <x:c r="AD2716" t="n">
        <x:v>-0.19013842823915184</x:v>
      </x:c>
      <x:c r="AE2716" t="n">
        <x:v>0</x:v>
      </x:c>
      <x:c r="AF2716" t="n">
        <x:v>0.01168590784072876</x:v>
      </x:c>
      <x:c r="AG2716" t="n">
        <x:f>_xlfn.XLOOKUP($A2716,Games!$A$2:$A$18,Games!$B$2:$B$18,"Missing game",0)</x:f>
        <x:v>2025</x:v>
      </x:c>
      <x:c r="AH2716" t="str">
        <x:f>_xlfn.XLOOKUP($A2716,Games!$A$2:$A$18,Games!$C$2:$C$18,"Missing game",0)</x:f>
        <x:v>REG</x:v>
      </x:c>
      <x:c r="AI2716" t="n">
        <x:f>_xlfn.XLOOKUP($A2716,Games!$A$2:$A$18,Games!$D$2:$D$18,"Missing game",0)</x:f>
        <x:v>18</x:v>
      </x:c>
      <x:c r="AJ2716" s="1" t="n">
        <x:f>_xlfn.XLOOKUP($A2716,Games!$A$2:$A$18,Games!$E$2:$E$18,"Missing game",0)</x:f>
        <x:v>46026</x:v>
      </x:c>
      <x:c r="AK2716" t="str">
        <x:f>_xlfn.XLOOKUP($A2716,Games!$A$2:$A$18,Games!$F$2:$F$18,"Missing game",0)</x:f>
        <x:v>Sunday</x:v>
      </x:c>
      <x:c r="AL2716" t="str">
        <x:f>_xlfn.XLOOKUP($A2716,Games!$A$2:$A$18,Games!$G$2:$G$18,"Missing game",0)</x:f>
        <x:v>GB</x:v>
      </x:c>
      <x:c r="AM2716" t="n">
        <x:f>_xlfn.XLOOKUP($A2716,Games!$A$2:$A$18,Games!$H$2:$H$18,"Missing game",0)</x:f>
        <x:v>3</x:v>
      </x:c>
      <x:c r="AN2716" t="str">
        <x:f>_xlfn.XLOOKUP($A2716,Games!$A$2:$A$18,Games!$I$2:$I$18,"Missing game",0)</x:f>
        <x:v>MIN</x:v>
      </x:c>
      <x:c r="AO2716" t="n">
        <x:f>_xlfn.XLOOKUP($A2716,Games!$A$2:$A$18,Games!$J$2:$J$18,"Missing game",0)</x:f>
        <x:v>16</x:v>
      </x:c>
      <x:c r="AP2716" t="n">
        <x:f>_xlfn.XLOOKUP($A2716,Games!$A$2:$A$18,Games!$K$2:$K$18,"Missing game",0)</x:f>
        <x:v>13</x:v>
      </x:c>
      <x:c r="AQ2716" t="n">
        <x:f>_xlfn.XLOOKUP($A2716,Games!$A$2:$A$18,Games!$L$2:$L$18,"Missing game",0)</x:f>
        <x:v>19</x:v>
      </x:c>
      <x:c r="AR2716" t="n">
        <x:f>_xlfn.XLOOKUP($A2716,Games!$A$2:$A$18,Games!$M$2:$M$18,"Missing game",0)</x:f>
        <x:v>0</x:v>
      </x:c>
      <x:c r="AS2716" t="str">
        <x:f>_xlfn.XLOOKUP($A2716,Games!$A$2:$A$18,Games!$N$2:$N$18,"Missing game",0)</x:f>
        <x:v>dome</x:v>
      </x:c>
      <x:c r="AT2716" t="str">
        <x:f>_xlfn.XLOOKUP($A2716,Games!$A$2:$A$18,Games!$O$2:$O$18,"Missing game",0)</x:f>
        <x:v>sportturf</x:v>
      </x:c>
      <x:c r="AU2716" t="str">
        <x:f>_xlfn.XLOOKUP($A2716,Games!$A$2:$A$18,Games!$P$2:$P$18,"Missing game",0)</x:f>
      </x:c>
      <x:c r="AV2716" t="str">
        <x:f>_xlfn.XLOOKUP($A2716,Games!$A$2:$A$18,Games!$Q$2:$Q$18,"Missing game",0)</x:f>
      </x:c>
      <x:c r="AW2716" t="str">
        <x:f>_xlfn.XLOOKUP($A2716,Games!$A$2:$A$18,Games!$R$2:$R$18,"Missing game",0)</x:f>
        <x:v>U.S. Bank Stadium</x:v>
      </x:c>
    </x:row>
    <x:row r="2717">
      <x:c r="A2717" t="str">
        <x:v>2025_18_GB_MIN</x:v>
      </x:c>
      <x:c r="B2717" t="n">
        <x:v>1965</x:v>
      </x:c>
      <x:c r="C2717" t="n">
        <x:v>2</x:v>
      </x:c>
      <x:c r="D2717" t="str">
        <x:v>00:25</x:v>
      </x:c>
      <x:c r="E2717" t="n">
        <x:v>2</x:v>
      </x:c>
      <x:c r="F2717" t="n">
        <x:v>1</x:v>
      </x:c>
      <x:c r="G2717" t="str">
        <x:v>MIN</x:v>
      </x:c>
      <x:c r="H2717" t="str">
        <x:v>GB</x:v>
      </x:c>
      <x:c r="I2717" t="str">
        <x:v>GB</x:v>
      </x:c>
      <x:c r="J2717" t="n">
        <x:v>1</x:v>
      </x:c>
      <x:c r="K2717" t="str">
        <x:v>(:25) 30-C.Ham left guard for 1 yard, TOUCHDOWN.</x:v>
      </x:c>
      <x:c r="L2717" t="str">
        <x:v>run</x:v>
      </x:c>
      <x:c r="M2717" t="n">
        <x:v>1</x:v>
      </x:c>
      <x:c r="N2717" t="n">
        <x:v>0</x:v>
      </x:c>
      <x:c r="O2717" t="n">
        <x:v>0</x:v>
      </x:c>
      <x:c r="P2717"/>
      <x:c r="Q2717"/>
      <x:c r="R2717"/>
      <x:c r="S2717"/>
      <x:c r="T2717" t="str">
        <x:v>left</x:v>
      </x:c>
      <x:c r="U2717" t="str">
        <x:v>guard</x:v>
      </x:c>
      <x:c r="V2717" t="n">
        <x:v>0</x:v>
      </x:c>
      <x:c r="W2717" t="n">
        <x:v>1</x:v>
      </x:c>
      <x:c r="X2717" t="n">
        <x:v>0</x:v>
      </x:c>
      <x:c r="Y2717" t="n">
        <x:v>0</x:v>
      </x:c>
      <x:c r="Z2717" t="n">
        <x:v>0</x:v>
      </x:c>
      <x:c r="AA2717" t="n">
        <x:v>0</x:v>
      </x:c>
      <x:c r="AB2717"/>
      <x:c r="AC2717" t="n">
        <x:v>1</x:v>
      </x:c>
      <x:c r="AD2717" t="n">
        <x:v>1.2057234452513512</x:v>
      </x:c>
      <x:c r="AE2717" t="n">
        <x:v>1</x:v>
      </x:c>
      <x:c r="AF2717" t="n">
        <x:v>0.012131184337350276</x:v>
      </x:c>
      <x:c r="AG2717" t="n">
        <x:f>_xlfn.XLOOKUP($A2717,Games!$A$2:$A$18,Games!$B$2:$B$18,"Missing game",0)</x:f>
        <x:v>2025</x:v>
      </x:c>
      <x:c r="AH2717" t="str">
        <x:f>_xlfn.XLOOKUP($A2717,Games!$A$2:$A$18,Games!$C$2:$C$18,"Missing game",0)</x:f>
        <x:v>REG</x:v>
      </x:c>
      <x:c r="AI2717" t="n">
        <x:f>_xlfn.XLOOKUP($A2717,Games!$A$2:$A$18,Games!$D$2:$D$18,"Missing game",0)</x:f>
        <x:v>18</x:v>
      </x:c>
      <x:c r="AJ2717" s="1" t="n">
        <x:f>_xlfn.XLOOKUP($A2717,Games!$A$2:$A$18,Games!$E$2:$E$18,"Missing game",0)</x:f>
        <x:v>46026</x:v>
      </x:c>
      <x:c r="AK2717" t="str">
        <x:f>_xlfn.XLOOKUP($A2717,Games!$A$2:$A$18,Games!$F$2:$F$18,"Missing game",0)</x:f>
        <x:v>Sunday</x:v>
      </x:c>
      <x:c r="AL2717" t="str">
        <x:f>_xlfn.XLOOKUP($A2717,Games!$A$2:$A$18,Games!$G$2:$G$18,"Missing game",0)</x:f>
        <x:v>GB</x:v>
      </x:c>
      <x:c r="AM2717" t="n">
        <x:f>_xlfn.XLOOKUP($A2717,Games!$A$2:$A$18,Games!$H$2:$H$18,"Missing game",0)</x:f>
        <x:v>3</x:v>
      </x:c>
      <x:c r="AN2717" t="str">
        <x:f>_xlfn.XLOOKUP($A2717,Games!$A$2:$A$18,Games!$I$2:$I$18,"Missing game",0)</x:f>
        <x:v>MIN</x:v>
      </x:c>
      <x:c r="AO2717" t="n">
        <x:f>_xlfn.XLOOKUP($A2717,Games!$A$2:$A$18,Games!$J$2:$J$18,"Missing game",0)</x:f>
        <x:v>16</x:v>
      </x:c>
      <x:c r="AP2717" t="n">
        <x:f>_xlfn.XLOOKUP($A2717,Games!$A$2:$A$18,Games!$K$2:$K$18,"Missing game",0)</x:f>
        <x:v>13</x:v>
      </x:c>
      <x:c r="AQ2717" t="n">
        <x:f>_xlfn.XLOOKUP($A2717,Games!$A$2:$A$18,Games!$L$2:$L$18,"Missing game",0)</x:f>
        <x:v>19</x:v>
      </x:c>
      <x:c r="AR2717" t="n">
        <x:f>_xlfn.XLOOKUP($A2717,Games!$A$2:$A$18,Games!$M$2:$M$18,"Missing game",0)</x:f>
        <x:v>0</x:v>
      </x:c>
      <x:c r="AS2717" t="str">
        <x:f>_xlfn.XLOOKUP($A2717,Games!$A$2:$A$18,Games!$N$2:$N$18,"Missing game",0)</x:f>
        <x:v>dome</x:v>
      </x:c>
      <x:c r="AT2717" t="str">
        <x:f>_xlfn.XLOOKUP($A2717,Games!$A$2:$A$18,Games!$O$2:$O$18,"Missing game",0)</x:f>
        <x:v>sportturf</x:v>
      </x:c>
      <x:c r="AU2717" t="str">
        <x:f>_xlfn.XLOOKUP($A2717,Games!$A$2:$A$18,Games!$P$2:$P$18,"Missing game",0)</x:f>
      </x:c>
      <x:c r="AV2717" t="str">
        <x:f>_xlfn.XLOOKUP($A2717,Games!$A$2:$A$18,Games!$Q$2:$Q$18,"Missing game",0)</x:f>
      </x:c>
      <x:c r="AW2717" t="str">
        <x:f>_xlfn.XLOOKUP($A2717,Games!$A$2:$A$18,Games!$R$2:$R$18,"Missing game",0)</x:f>
        <x:v>U.S. Bank Stadium</x:v>
      </x:c>
    </x:row>
    <x:row r="2718">
      <x:c r="A2718" t="str">
        <x:v>2025_18_GB_MIN</x:v>
      </x:c>
      <x:c r="B2718" t="n">
        <x:v>1977</x:v>
      </x:c>
      <x:c r="C2718" t="n">
        <x:v>2</x:v>
      </x:c>
      <x:c r="D2718" t="str">
        <x:v>00:25</x:v>
      </x:c>
      <x:c r="E2718"/>
      <x:c r="F2718" t="n">
        <x:v>0</x:v>
      </x:c>
      <x:c r="G2718"/>
      <x:c r="H2718"/>
      <x:c r="I2718"/>
      <x:c r="J2718"/>
      <x:c r="K2718" t="str">
        <x:v>Timeout #2 by MIN at 00:25.</x:v>
      </x:c>
      <x:c r="L2718" t="str">
        <x:v>no_play</x:v>
      </x:c>
      <x:c r="M2718" t="n">
        <x:v>0</x:v>
      </x:c>
      <x:c r="N2718" t="n">
        <x:v>0</x:v>
      </x:c>
      <x:c r="O2718" t="n">
        <x:v>0</x:v>
      </x:c>
      <x:c r="P2718"/>
      <x:c r="Q2718"/>
      <x:c r="R2718"/>
      <x:c r="S2718"/>
      <x:c r="T2718"/>
      <x:c r="U2718"/>
      <x:c r="V2718" t="n">
        <x:v>0</x:v>
      </x:c>
      <x:c r="W2718" t="n">
        <x:v>0</x:v>
      </x:c>
      <x:c r="X2718" t="n">
        <x:v>0</x:v>
      </x:c>
      <x:c r="Y2718" t="n">
        <x:v>0</x:v>
      </x:c>
      <x:c r="Z2718" t="n">
        <x:v>0</x:v>
      </x:c>
      <x:c r="AA2718" t="n">
        <x:v>0</x:v>
      </x:c>
      <x:c r="AB2718"/>
      <x:c r="AC2718" t="n">
        <x:v>0</x:v>
      </x:c>
      <x:c r="AD2718" t="n">
        <x:v>0</x:v>
      </x:c>
      <x:c r="AE2718" t="n">
        <x:v>0</x:v>
      </x:c>
      <x:c r="AF2718" t="n">
        <x:v>0</x:v>
      </x:c>
      <x:c r="AG2718" t="n">
        <x:f>_xlfn.XLOOKUP($A2718,Games!$A$2:$A$18,Games!$B$2:$B$18,"Missing game",0)</x:f>
        <x:v>2025</x:v>
      </x:c>
      <x:c r="AH2718" t="str">
        <x:f>_xlfn.XLOOKUP($A2718,Games!$A$2:$A$18,Games!$C$2:$C$18,"Missing game",0)</x:f>
        <x:v>REG</x:v>
      </x:c>
      <x:c r="AI2718" t="n">
        <x:f>_xlfn.XLOOKUP($A2718,Games!$A$2:$A$18,Games!$D$2:$D$18,"Missing game",0)</x:f>
        <x:v>18</x:v>
      </x:c>
      <x:c r="AJ2718" s="1" t="n">
        <x:f>_xlfn.XLOOKUP($A2718,Games!$A$2:$A$18,Games!$E$2:$E$18,"Missing game",0)</x:f>
        <x:v>46026</x:v>
      </x:c>
      <x:c r="AK2718" t="str">
        <x:f>_xlfn.XLOOKUP($A2718,Games!$A$2:$A$18,Games!$F$2:$F$18,"Missing game",0)</x:f>
        <x:v>Sunday</x:v>
      </x:c>
      <x:c r="AL2718" t="str">
        <x:f>_xlfn.XLOOKUP($A2718,Games!$A$2:$A$18,Games!$G$2:$G$18,"Missing game",0)</x:f>
        <x:v>GB</x:v>
      </x:c>
      <x:c r="AM2718" t="n">
        <x:f>_xlfn.XLOOKUP($A2718,Games!$A$2:$A$18,Games!$H$2:$H$18,"Missing game",0)</x:f>
        <x:v>3</x:v>
      </x:c>
      <x:c r="AN2718" t="str">
        <x:f>_xlfn.XLOOKUP($A2718,Games!$A$2:$A$18,Games!$I$2:$I$18,"Missing game",0)</x:f>
        <x:v>MIN</x:v>
      </x:c>
      <x:c r="AO2718" t="n">
        <x:f>_xlfn.XLOOKUP($A2718,Games!$A$2:$A$18,Games!$J$2:$J$18,"Missing game",0)</x:f>
        <x:v>16</x:v>
      </x:c>
      <x:c r="AP2718" t="n">
        <x:f>_xlfn.XLOOKUP($A2718,Games!$A$2:$A$18,Games!$K$2:$K$18,"Missing game",0)</x:f>
        <x:v>13</x:v>
      </x:c>
      <x:c r="AQ2718" t="n">
        <x:f>_xlfn.XLOOKUP($A2718,Games!$A$2:$A$18,Games!$L$2:$L$18,"Missing game",0)</x:f>
        <x:v>19</x:v>
      </x:c>
      <x:c r="AR2718" t="n">
        <x:f>_xlfn.XLOOKUP($A2718,Games!$A$2:$A$18,Games!$M$2:$M$18,"Missing game",0)</x:f>
        <x:v>0</x:v>
      </x:c>
      <x:c r="AS2718" t="str">
        <x:f>_xlfn.XLOOKUP($A2718,Games!$A$2:$A$18,Games!$N$2:$N$18,"Missing game",0)</x:f>
        <x:v>dome</x:v>
      </x:c>
      <x:c r="AT2718" t="str">
        <x:f>_xlfn.XLOOKUP($A2718,Games!$A$2:$A$18,Games!$O$2:$O$18,"Missing game",0)</x:f>
        <x:v>sportturf</x:v>
      </x:c>
      <x:c r="AU2718" t="str">
        <x:f>_xlfn.XLOOKUP($A2718,Games!$A$2:$A$18,Games!$P$2:$P$18,"Missing game",0)</x:f>
      </x:c>
      <x:c r="AV2718" t="str">
        <x:f>_xlfn.XLOOKUP($A2718,Games!$A$2:$A$18,Games!$Q$2:$Q$18,"Missing game",0)</x:f>
      </x:c>
      <x:c r="AW2718" t="str">
        <x:f>_xlfn.XLOOKUP($A2718,Games!$A$2:$A$18,Games!$R$2:$R$18,"Missing game",0)</x:f>
        <x:v>U.S. Bank Stadium</x:v>
      </x:c>
    </x:row>
    <x:row r="2719">
      <x:c r="A2719" t="str">
        <x:v>2025_18_GB_MIN</x:v>
      </x:c>
      <x:c r="B2719" t="n">
        <x:v>1995</x:v>
      </x:c>
      <x:c r="C2719" t="n">
        <x:v>2</x:v>
      </x:c>
      <x:c r="D2719" t="str">
        <x:v>00:23</x:v>
      </x:c>
      <x:c r="E2719"/>
      <x:c r="F2719" t="n">
        <x:v>0</x:v>
      </x:c>
      <x:c r="G2719" t="str">
        <x:v>MIN</x:v>
      </x:c>
      <x:c r="H2719" t="str">
        <x:v>GB</x:v>
      </x:c>
      <x:c r="I2719" t="str">
        <x:v>GB</x:v>
      </x:c>
      <x:c r="J2719" t="n">
        <x:v>15</x:v>
      </x:c>
      <x:c r="K2719" t="str">
        <x:v>16-W.Reichard extra point is GOOD, Center-42-A.DePaola, Holder-17-R.Wright.</x:v>
      </x:c>
      <x:c r="L2719" t="str">
        <x:v>extra_point</x:v>
      </x:c>
      <x:c r="M2719" t="n">
        <x:v>0</x:v>
      </x:c>
      <x:c r="N2719" t="n">
        <x:v>0</x:v>
      </x:c>
      <x:c r="O2719" t="n">
        <x:v>0</x:v>
      </x:c>
      <x:c r="P2719"/>
      <x:c r="Q2719"/>
      <x:c r="R2719"/>
      <x:c r="S2719"/>
      <x:c r="T2719"/>
      <x:c r="U2719"/>
      <x:c r="V2719" t="n">
        <x:v>0</x:v>
      </x:c>
      <x:c r="W2719" t="n">
        <x:v>0</x:v>
      </x:c>
      <x:c r="X2719" t="n">
        <x:v>0</x:v>
      </x:c>
      <x:c r="Y2719" t="n">
        <x:v>0</x:v>
      </x:c>
      <x:c r="Z2719" t="n">
        <x:v>0</x:v>
      </x:c>
      <x:c r="AA2719" t="n">
        <x:v>0</x:v>
      </x:c>
      <x:c r="AB2719"/>
      <x:c r="AC2719" t="n">
        <x:v>0</x:v>
      </x:c>
      <x:c r="AD2719" t="n">
        <x:v>0.05117156607063911</x:v>
      </x:c>
      <x:c r="AE2719" t="n">
        <x:v>1</x:v>
      </x:c>
      <x:c r="AF2719" t="n">
        <x:v>0.0018445625922952624</x:v>
      </x:c>
      <x:c r="AG2719" t="n">
        <x:f>_xlfn.XLOOKUP($A2719,Games!$A$2:$A$18,Games!$B$2:$B$18,"Missing game",0)</x:f>
        <x:v>2025</x:v>
      </x:c>
      <x:c r="AH2719" t="str">
        <x:f>_xlfn.XLOOKUP($A2719,Games!$A$2:$A$18,Games!$C$2:$C$18,"Missing game",0)</x:f>
        <x:v>REG</x:v>
      </x:c>
      <x:c r="AI2719" t="n">
        <x:f>_xlfn.XLOOKUP($A2719,Games!$A$2:$A$18,Games!$D$2:$D$18,"Missing game",0)</x:f>
        <x:v>18</x:v>
      </x:c>
      <x:c r="AJ2719" s="1" t="n">
        <x:f>_xlfn.XLOOKUP($A2719,Games!$A$2:$A$18,Games!$E$2:$E$18,"Missing game",0)</x:f>
        <x:v>46026</x:v>
      </x:c>
      <x:c r="AK2719" t="str">
        <x:f>_xlfn.XLOOKUP($A2719,Games!$A$2:$A$18,Games!$F$2:$F$18,"Missing game",0)</x:f>
        <x:v>Sunday</x:v>
      </x:c>
      <x:c r="AL2719" t="str">
        <x:f>_xlfn.XLOOKUP($A2719,Games!$A$2:$A$18,Games!$G$2:$G$18,"Missing game",0)</x:f>
        <x:v>GB</x:v>
      </x:c>
      <x:c r="AM2719" t="n">
        <x:f>_xlfn.XLOOKUP($A2719,Games!$A$2:$A$18,Games!$H$2:$H$18,"Missing game",0)</x:f>
        <x:v>3</x:v>
      </x:c>
      <x:c r="AN2719" t="str">
        <x:f>_xlfn.XLOOKUP($A2719,Games!$A$2:$A$18,Games!$I$2:$I$18,"Missing game",0)</x:f>
        <x:v>MIN</x:v>
      </x:c>
      <x:c r="AO2719" t="n">
        <x:f>_xlfn.XLOOKUP($A2719,Games!$A$2:$A$18,Games!$J$2:$J$18,"Missing game",0)</x:f>
        <x:v>16</x:v>
      </x:c>
      <x:c r="AP2719" t="n">
        <x:f>_xlfn.XLOOKUP($A2719,Games!$A$2:$A$18,Games!$K$2:$K$18,"Missing game",0)</x:f>
        <x:v>13</x:v>
      </x:c>
      <x:c r="AQ2719" t="n">
        <x:f>_xlfn.XLOOKUP($A2719,Games!$A$2:$A$18,Games!$L$2:$L$18,"Missing game",0)</x:f>
        <x:v>19</x:v>
      </x:c>
      <x:c r="AR2719" t="n">
        <x:f>_xlfn.XLOOKUP($A2719,Games!$A$2:$A$18,Games!$M$2:$M$18,"Missing game",0)</x:f>
        <x:v>0</x:v>
      </x:c>
      <x:c r="AS2719" t="str">
        <x:f>_xlfn.XLOOKUP($A2719,Games!$A$2:$A$18,Games!$N$2:$N$18,"Missing game",0)</x:f>
        <x:v>dome</x:v>
      </x:c>
      <x:c r="AT2719" t="str">
        <x:f>_xlfn.XLOOKUP($A2719,Games!$A$2:$A$18,Games!$O$2:$O$18,"Missing game",0)</x:f>
        <x:v>sportturf</x:v>
      </x:c>
      <x:c r="AU2719" t="str">
        <x:f>_xlfn.XLOOKUP($A2719,Games!$A$2:$A$18,Games!$P$2:$P$18,"Missing game",0)</x:f>
      </x:c>
      <x:c r="AV2719" t="str">
        <x:f>_xlfn.XLOOKUP($A2719,Games!$A$2:$A$18,Games!$Q$2:$Q$18,"Missing game",0)</x:f>
      </x:c>
      <x:c r="AW2719" t="str">
        <x:f>_xlfn.XLOOKUP($A2719,Games!$A$2:$A$18,Games!$R$2:$R$18,"Missing game",0)</x:f>
        <x:v>U.S. Bank Stadium</x:v>
      </x:c>
    </x:row>
    <x:row r="2720">
      <x:c r="A2720" t="str">
        <x:v>2025_18_GB_MIN</x:v>
      </x:c>
      <x:c r="B2720" t="n">
        <x:v>2010</x:v>
      </x:c>
      <x:c r="C2720" t="n">
        <x:v>2</x:v>
      </x:c>
      <x:c r="D2720" t="str">
        <x:v>00:23</x:v>
      </x:c>
      <x:c r="E2720"/>
      <x:c r="F2720" t="n">
        <x:v>0</x:v>
      </x:c>
      <x:c r="G2720" t="str">
        <x:v>GB</x:v>
      </x:c>
      <x:c r="H2720" t="str">
        <x:v>MIN</x:v>
      </x:c>
      <x:c r="I2720" t="str">
        <x:v>MIN</x:v>
      </x:c>
      <x:c r="J2720" t="n">
        <x:v>35</x:v>
      </x:c>
      <x:c r="K2720" t="str">
        <x:v>16-W.Reichard kicks 65 yards from MIN 35 to landing zone to end zone, Touchback to the GB 20.</x:v>
      </x:c>
      <x:c r="L2720" t="str">
        <x:v>kickoff</x:v>
      </x:c>
      <x:c r="M2720" t="n">
        <x:v>0</x:v>
      </x:c>
      <x:c r="N2720" t="n">
        <x:v>0</x:v>
      </x:c>
      <x:c r="O2720" t="n">
        <x:v>0</x:v>
      </x:c>
      <x:c r="P2720"/>
      <x:c r="Q2720"/>
      <x:c r="R2720"/>
      <x:c r="S2720"/>
      <x:c r="T2720"/>
      <x:c r="U2720"/>
      <x:c r="V2720" t="n">
        <x:v>0</x:v>
      </x:c>
      <x:c r="W2720" t="n">
        <x:v>0</x:v>
      </x:c>
      <x:c r="X2720" t="n">
        <x:v>0</x:v>
      </x:c>
      <x:c r="Y2720" t="n">
        <x:v>0</x:v>
      </x:c>
      <x:c r="Z2720" t="n">
        <x:v>0</x:v>
      </x:c>
      <x:c r="AA2720" t="n">
        <x:v>0</x:v>
      </x:c>
      <x:c r="AB2720"/>
      <x:c r="AC2720" t="n">
        <x:v>0</x:v>
      </x:c>
      <x:c r="AD2720" t="n">
        <x:v>-0.4811676738318056</x:v>
      </x:c>
      <x:c r="AE2720" t="n">
        <x:v>0</x:v>
      </x:c>
      <x:c r="AF2720" t="n">
        <x:v>-0.005282245576381683</x:v>
      </x:c>
      <x:c r="AG2720" t="n">
        <x:f>_xlfn.XLOOKUP($A2720,Games!$A$2:$A$18,Games!$B$2:$B$18,"Missing game",0)</x:f>
        <x:v>2025</x:v>
      </x:c>
      <x:c r="AH2720" t="str">
        <x:f>_xlfn.XLOOKUP($A2720,Games!$A$2:$A$18,Games!$C$2:$C$18,"Missing game",0)</x:f>
        <x:v>REG</x:v>
      </x:c>
      <x:c r="AI2720" t="n">
        <x:f>_xlfn.XLOOKUP($A2720,Games!$A$2:$A$18,Games!$D$2:$D$18,"Missing game",0)</x:f>
        <x:v>18</x:v>
      </x:c>
      <x:c r="AJ2720" s="1" t="n">
        <x:f>_xlfn.XLOOKUP($A2720,Games!$A$2:$A$18,Games!$E$2:$E$18,"Missing game",0)</x:f>
        <x:v>46026</x:v>
      </x:c>
      <x:c r="AK2720" t="str">
        <x:f>_xlfn.XLOOKUP($A2720,Games!$A$2:$A$18,Games!$F$2:$F$18,"Missing game",0)</x:f>
        <x:v>Sunday</x:v>
      </x:c>
      <x:c r="AL2720" t="str">
        <x:f>_xlfn.XLOOKUP($A2720,Games!$A$2:$A$18,Games!$G$2:$G$18,"Missing game",0)</x:f>
        <x:v>GB</x:v>
      </x:c>
      <x:c r="AM2720" t="n">
        <x:f>_xlfn.XLOOKUP($A2720,Games!$A$2:$A$18,Games!$H$2:$H$18,"Missing game",0)</x:f>
        <x:v>3</x:v>
      </x:c>
      <x:c r="AN2720" t="str">
        <x:f>_xlfn.XLOOKUP($A2720,Games!$A$2:$A$18,Games!$I$2:$I$18,"Missing game",0)</x:f>
        <x:v>MIN</x:v>
      </x:c>
      <x:c r="AO2720" t="n">
        <x:f>_xlfn.XLOOKUP($A2720,Games!$A$2:$A$18,Games!$J$2:$J$18,"Missing game",0)</x:f>
        <x:v>16</x:v>
      </x:c>
      <x:c r="AP2720" t="n">
        <x:f>_xlfn.XLOOKUP($A2720,Games!$A$2:$A$18,Games!$K$2:$K$18,"Missing game",0)</x:f>
        <x:v>13</x:v>
      </x:c>
      <x:c r="AQ2720" t="n">
        <x:f>_xlfn.XLOOKUP($A2720,Games!$A$2:$A$18,Games!$L$2:$L$18,"Missing game",0)</x:f>
        <x:v>19</x:v>
      </x:c>
      <x:c r="AR2720" t="n">
        <x:f>_xlfn.XLOOKUP($A2720,Games!$A$2:$A$18,Games!$M$2:$M$18,"Missing game",0)</x:f>
        <x:v>0</x:v>
      </x:c>
      <x:c r="AS2720" t="str">
        <x:f>_xlfn.XLOOKUP($A2720,Games!$A$2:$A$18,Games!$N$2:$N$18,"Missing game",0)</x:f>
        <x:v>dome</x:v>
      </x:c>
      <x:c r="AT2720" t="str">
        <x:f>_xlfn.XLOOKUP($A2720,Games!$A$2:$A$18,Games!$O$2:$O$18,"Missing game",0)</x:f>
        <x:v>sportturf</x:v>
      </x:c>
      <x:c r="AU2720" t="str">
        <x:f>_xlfn.XLOOKUP($A2720,Games!$A$2:$A$18,Games!$P$2:$P$18,"Missing game",0)</x:f>
      </x:c>
      <x:c r="AV2720" t="str">
        <x:f>_xlfn.XLOOKUP($A2720,Games!$A$2:$A$18,Games!$Q$2:$Q$18,"Missing game",0)</x:f>
      </x:c>
      <x:c r="AW2720" t="str">
        <x:f>_xlfn.XLOOKUP($A2720,Games!$A$2:$A$18,Games!$R$2:$R$18,"Missing game",0)</x:f>
        <x:v>U.S. Bank Stadium</x:v>
      </x:c>
    </x:row>
    <x:row r="2721">
      <x:c r="A2721" t="str">
        <x:v>2025_18_GB_MIN</x:v>
      </x:c>
      <x:c r="B2721" t="n">
        <x:v>2027</x:v>
      </x:c>
      <x:c r="C2721" t="n">
        <x:v>2</x:v>
      </x:c>
      <x:c r="D2721" t="str">
        <x:v>00:23</x:v>
      </x:c>
      <x:c r="E2721" t="n">
        <x:v>1</x:v>
      </x:c>
      <x:c r="F2721" t="n">
        <x:v>10</x:v>
      </x:c>
      <x:c r="G2721" t="str">
        <x:v>GB</x:v>
      </x:c>
      <x:c r="H2721" t="str">
        <x:v>MIN</x:v>
      </x:c>
      <x:c r="I2721" t="str">
        <x:v>GB</x:v>
      </x:c>
      <x:c r="J2721" t="n">
        <x:v>80</x:v>
      </x:c>
      <x:c r="K2721" t="str">
        <x:v>(:23) 6-C.Tune kneels to GB 19 for -1 yards.</x:v>
      </x:c>
      <x:c r="L2721" t="str">
        <x:v>qb_kneel</x:v>
      </x:c>
      <x:c r="M2721" t="n">
        <x:v>-1</x:v>
      </x:c>
      <x:c r="N2721" t="n">
        <x:v>0</x:v>
      </x:c>
      <x:c r="O2721" t="n">
        <x:v>0</x:v>
      </x:c>
      <x:c r="P2721"/>
      <x:c r="Q2721"/>
      <x:c r="R2721"/>
      <x:c r="S2721"/>
      <x:c r="T2721"/>
      <x:c r="U2721"/>
      <x:c r="V2721" t="n">
        <x:v>0</x:v>
      </x:c>
      <x:c r="W2721" t="n">
        <x:v>0</x:v>
      </x:c>
      <x:c r="X2721" t="n">
        <x:v>0</x:v>
      </x:c>
      <x:c r="Y2721" t="n">
        <x:v>0</x:v>
      </x:c>
      <x:c r="Z2721" t="n">
        <x:v>0</x:v>
      </x:c>
      <x:c r="AA2721" t="n">
        <x:v>0</x:v>
      </x:c>
      <x:c r="AB2721"/>
      <x:c r="AC2721" t="n">
        <x:v>0</x:v>
      </x:c>
      <x:c r="AD2721" t="n">
        <x:v>0</x:v>
      </x:c>
      <x:c r="AE2721" t="n">
        <x:v>0</x:v>
      </x:c>
      <x:c r="AF2721"/>
      <x:c r="AG2721" t="n">
        <x:f>_xlfn.XLOOKUP($A2721,Games!$A$2:$A$18,Games!$B$2:$B$18,"Missing game",0)</x:f>
        <x:v>2025</x:v>
      </x:c>
      <x:c r="AH2721" t="str">
        <x:f>_xlfn.XLOOKUP($A2721,Games!$A$2:$A$18,Games!$C$2:$C$18,"Missing game",0)</x:f>
        <x:v>REG</x:v>
      </x:c>
      <x:c r="AI2721" t="n">
        <x:f>_xlfn.XLOOKUP($A2721,Games!$A$2:$A$18,Games!$D$2:$D$18,"Missing game",0)</x:f>
        <x:v>18</x:v>
      </x:c>
      <x:c r="AJ2721" s="1" t="n">
        <x:f>_xlfn.XLOOKUP($A2721,Games!$A$2:$A$18,Games!$E$2:$E$18,"Missing game",0)</x:f>
        <x:v>46026</x:v>
      </x:c>
      <x:c r="AK2721" t="str">
        <x:f>_xlfn.XLOOKUP($A2721,Games!$A$2:$A$18,Games!$F$2:$F$18,"Missing game",0)</x:f>
        <x:v>Sunday</x:v>
      </x:c>
      <x:c r="AL2721" t="str">
        <x:f>_xlfn.XLOOKUP($A2721,Games!$A$2:$A$18,Games!$G$2:$G$18,"Missing game",0)</x:f>
        <x:v>GB</x:v>
      </x:c>
      <x:c r="AM2721" t="n">
        <x:f>_xlfn.XLOOKUP($A2721,Games!$A$2:$A$18,Games!$H$2:$H$18,"Missing game",0)</x:f>
        <x:v>3</x:v>
      </x:c>
      <x:c r="AN2721" t="str">
        <x:f>_xlfn.XLOOKUP($A2721,Games!$A$2:$A$18,Games!$I$2:$I$18,"Missing game",0)</x:f>
        <x:v>MIN</x:v>
      </x:c>
      <x:c r="AO2721" t="n">
        <x:f>_xlfn.XLOOKUP($A2721,Games!$A$2:$A$18,Games!$J$2:$J$18,"Missing game",0)</x:f>
        <x:v>16</x:v>
      </x:c>
      <x:c r="AP2721" t="n">
        <x:f>_xlfn.XLOOKUP($A2721,Games!$A$2:$A$18,Games!$K$2:$K$18,"Missing game",0)</x:f>
        <x:v>13</x:v>
      </x:c>
      <x:c r="AQ2721" t="n">
        <x:f>_xlfn.XLOOKUP($A2721,Games!$A$2:$A$18,Games!$L$2:$L$18,"Missing game",0)</x:f>
        <x:v>19</x:v>
      </x:c>
      <x:c r="AR2721" t="n">
        <x:f>_xlfn.XLOOKUP($A2721,Games!$A$2:$A$18,Games!$M$2:$M$18,"Missing game",0)</x:f>
        <x:v>0</x:v>
      </x:c>
      <x:c r="AS2721" t="str">
        <x:f>_xlfn.XLOOKUP($A2721,Games!$A$2:$A$18,Games!$N$2:$N$18,"Missing game",0)</x:f>
        <x:v>dome</x:v>
      </x:c>
      <x:c r="AT2721" t="str">
        <x:f>_xlfn.XLOOKUP($A2721,Games!$A$2:$A$18,Games!$O$2:$O$18,"Missing game",0)</x:f>
        <x:v>sportturf</x:v>
      </x:c>
      <x:c r="AU2721" t="str">
        <x:f>_xlfn.XLOOKUP($A2721,Games!$A$2:$A$18,Games!$P$2:$P$18,"Missing game",0)</x:f>
      </x:c>
      <x:c r="AV2721" t="str">
        <x:f>_xlfn.XLOOKUP($A2721,Games!$A$2:$A$18,Games!$Q$2:$Q$18,"Missing game",0)</x:f>
      </x:c>
      <x:c r="AW2721" t="str">
        <x:f>_xlfn.XLOOKUP($A2721,Games!$A$2:$A$18,Games!$R$2:$R$18,"Missing game",0)</x:f>
        <x:v>U.S. Bank Stadium</x:v>
      </x:c>
    </x:row>
    <x:row r="2722">
      <x:c r="A2722" t="str">
        <x:v>2025_18_GB_MIN</x:v>
      </x:c>
      <x:c r="B2722" t="n">
        <x:v>2049</x:v>
      </x:c>
      <x:c r="C2722" t="n">
        <x:v>2</x:v>
      </x:c>
      <x:c r="D2722" t="str">
        <x:v>00:00</x:v>
      </x:c>
      <x:c r="E2722"/>
      <x:c r="F2722" t="n">
        <x:v>0</x:v>
      </x:c>
      <x:c r="G2722"/>
      <x:c r="H2722"/>
      <x:c r="I2722"/>
      <x:c r="J2722"/>
      <x:c r="K2722" t="str">
        <x:v>END QUARTER 2</x:v>
      </x:c>
      <x:c r="L2722"/>
      <x:c r="M2722"/>
      <x:c r="N2722" t="n">
        <x:v>0</x:v>
      </x:c>
      <x:c r="O2722" t="n">
        <x:v>0</x:v>
      </x:c>
      <x:c r="P2722"/>
      <x:c r="Q2722"/>
      <x:c r="R2722"/>
      <x:c r="S2722"/>
      <x:c r="T2722"/>
      <x:c r="U2722"/>
      <x:c r="V2722"/>
      <x:c r="W2722"/>
      <x:c r="X2722"/>
      <x:c r="Y2722"/>
      <x:c r="Z2722"/>
      <x:c r="AA2722"/>
      <x:c r="AB2722"/>
      <x:c r="AC2722"/>
      <x:c r="AD2722"/>
      <x:c r="AE2722"/>
      <x:c r="AF2722" t="n">
        <x:v>0</x:v>
      </x:c>
      <x:c r="AG2722" t="n">
        <x:f>_xlfn.XLOOKUP($A2722,Games!$A$2:$A$18,Games!$B$2:$B$18,"Missing game",0)</x:f>
        <x:v>2025</x:v>
      </x:c>
      <x:c r="AH2722" t="str">
        <x:f>_xlfn.XLOOKUP($A2722,Games!$A$2:$A$18,Games!$C$2:$C$18,"Missing game",0)</x:f>
        <x:v>REG</x:v>
      </x:c>
      <x:c r="AI2722" t="n">
        <x:f>_xlfn.XLOOKUP($A2722,Games!$A$2:$A$18,Games!$D$2:$D$18,"Missing game",0)</x:f>
        <x:v>18</x:v>
      </x:c>
      <x:c r="AJ2722" s="1" t="n">
        <x:f>_xlfn.XLOOKUP($A2722,Games!$A$2:$A$18,Games!$E$2:$E$18,"Missing game",0)</x:f>
        <x:v>46026</x:v>
      </x:c>
      <x:c r="AK2722" t="str">
        <x:f>_xlfn.XLOOKUP($A2722,Games!$A$2:$A$18,Games!$F$2:$F$18,"Missing game",0)</x:f>
        <x:v>Sunday</x:v>
      </x:c>
      <x:c r="AL2722" t="str">
        <x:f>_xlfn.XLOOKUP($A2722,Games!$A$2:$A$18,Games!$G$2:$G$18,"Missing game",0)</x:f>
        <x:v>GB</x:v>
      </x:c>
      <x:c r="AM2722" t="n">
        <x:f>_xlfn.XLOOKUP($A2722,Games!$A$2:$A$18,Games!$H$2:$H$18,"Missing game",0)</x:f>
        <x:v>3</x:v>
      </x:c>
      <x:c r="AN2722" t="str">
        <x:f>_xlfn.XLOOKUP($A2722,Games!$A$2:$A$18,Games!$I$2:$I$18,"Missing game",0)</x:f>
        <x:v>MIN</x:v>
      </x:c>
      <x:c r="AO2722" t="n">
        <x:f>_xlfn.XLOOKUP($A2722,Games!$A$2:$A$18,Games!$J$2:$J$18,"Missing game",0)</x:f>
        <x:v>16</x:v>
      </x:c>
      <x:c r="AP2722" t="n">
        <x:f>_xlfn.XLOOKUP($A2722,Games!$A$2:$A$18,Games!$K$2:$K$18,"Missing game",0)</x:f>
        <x:v>13</x:v>
      </x:c>
      <x:c r="AQ2722" t="n">
        <x:f>_xlfn.XLOOKUP($A2722,Games!$A$2:$A$18,Games!$L$2:$L$18,"Missing game",0)</x:f>
        <x:v>19</x:v>
      </x:c>
      <x:c r="AR2722" t="n">
        <x:f>_xlfn.XLOOKUP($A2722,Games!$A$2:$A$18,Games!$M$2:$M$18,"Missing game",0)</x:f>
        <x:v>0</x:v>
      </x:c>
      <x:c r="AS2722" t="str">
        <x:f>_xlfn.XLOOKUP($A2722,Games!$A$2:$A$18,Games!$N$2:$N$18,"Missing game",0)</x:f>
        <x:v>dome</x:v>
      </x:c>
      <x:c r="AT2722" t="str">
        <x:f>_xlfn.XLOOKUP($A2722,Games!$A$2:$A$18,Games!$O$2:$O$18,"Missing game",0)</x:f>
        <x:v>sportturf</x:v>
      </x:c>
      <x:c r="AU2722" t="str">
        <x:f>_xlfn.XLOOKUP($A2722,Games!$A$2:$A$18,Games!$P$2:$P$18,"Missing game",0)</x:f>
      </x:c>
      <x:c r="AV2722" t="str">
        <x:f>_xlfn.XLOOKUP($A2722,Games!$A$2:$A$18,Games!$Q$2:$Q$18,"Missing game",0)</x:f>
      </x:c>
      <x:c r="AW2722" t="str">
        <x:f>_xlfn.XLOOKUP($A2722,Games!$A$2:$A$18,Games!$R$2:$R$18,"Missing game",0)</x:f>
        <x:v>U.S. Bank Stadium</x:v>
      </x:c>
    </x:row>
    <x:row r="2723">
      <x:c r="A2723" t="str">
        <x:v>2025_18_GB_MIN</x:v>
      </x:c>
      <x:c r="B2723" t="n">
        <x:v>2069</x:v>
      </x:c>
      <x:c r="C2723" t="n">
        <x:v>3</x:v>
      </x:c>
      <x:c r="D2723" t="str">
        <x:v>15:00</x:v>
      </x:c>
      <x:c r="E2723"/>
      <x:c r="F2723" t="n">
        <x:v>0</x:v>
      </x:c>
      <x:c r="G2723" t="str">
        <x:v>GB</x:v>
      </x:c>
      <x:c r="H2723" t="str">
        <x:v>MIN</x:v>
      </x:c>
      <x:c r="I2723" t="str">
        <x:v>MIN</x:v>
      </x:c>
      <x:c r="J2723" t="n">
        <x:v>35</x:v>
      </x:c>
      <x:c r="K2723" t="str">
        <x:v>16-W.Reichard kicks 61 yards from MIN 35 to GB 4. 84-J.Keeney-James pushed ob at GB 30 for 26 yards (37-T.Thomas).</x:v>
      </x:c>
      <x:c r="L2723" t="str">
        <x:v>kickoff</x:v>
      </x:c>
      <x:c r="M2723" t="n">
        <x:v>0</x:v>
      </x:c>
      <x:c r="N2723" t="n">
        <x:v>0</x:v>
      </x:c>
      <x:c r="O2723" t="n">
        <x:v>0</x:v>
      </x:c>
      <x:c r="P2723"/>
      <x:c r="Q2723"/>
      <x:c r="R2723"/>
      <x:c r="S2723"/>
      <x:c r="T2723"/>
      <x:c r="U2723"/>
      <x:c r="V2723" t="n">
        <x:v>0</x:v>
      </x:c>
      <x:c r="W2723" t="n">
        <x:v>0</x:v>
      </x:c>
      <x:c r="X2723" t="n">
        <x:v>0</x:v>
      </x:c>
      <x:c r="Y2723" t="n">
        <x:v>0</x:v>
      </x:c>
      <x:c r="Z2723" t="n">
        <x:v>0</x:v>
      </x:c>
      <x:c r="AA2723" t="n">
        <x:v>0</x:v>
      </x:c>
      <x:c r="AB2723"/>
      <x:c r="AC2723" t="n">
        <x:v>0</x:v>
      </x:c>
      <x:c r="AD2723" t="n">
        <x:v>0.2895503584295511</x:v>
      </x:c>
      <x:c r="AE2723" t="n">
        <x:v>1</x:v>
      </x:c>
      <x:c r="AF2723" t="n">
        <x:v>0.00014315545558929443</x:v>
      </x:c>
      <x:c r="AG2723" t="n">
        <x:f>_xlfn.XLOOKUP($A2723,Games!$A$2:$A$18,Games!$B$2:$B$18,"Missing game",0)</x:f>
        <x:v>2025</x:v>
      </x:c>
      <x:c r="AH2723" t="str">
        <x:f>_xlfn.XLOOKUP($A2723,Games!$A$2:$A$18,Games!$C$2:$C$18,"Missing game",0)</x:f>
        <x:v>REG</x:v>
      </x:c>
      <x:c r="AI2723" t="n">
        <x:f>_xlfn.XLOOKUP($A2723,Games!$A$2:$A$18,Games!$D$2:$D$18,"Missing game",0)</x:f>
        <x:v>18</x:v>
      </x:c>
      <x:c r="AJ2723" s="1" t="n">
        <x:f>_xlfn.XLOOKUP($A2723,Games!$A$2:$A$18,Games!$E$2:$E$18,"Missing game",0)</x:f>
        <x:v>46026</x:v>
      </x:c>
      <x:c r="AK2723" t="str">
        <x:f>_xlfn.XLOOKUP($A2723,Games!$A$2:$A$18,Games!$F$2:$F$18,"Missing game",0)</x:f>
        <x:v>Sunday</x:v>
      </x:c>
      <x:c r="AL2723" t="str">
        <x:f>_xlfn.XLOOKUP($A2723,Games!$A$2:$A$18,Games!$G$2:$G$18,"Missing game",0)</x:f>
        <x:v>GB</x:v>
      </x:c>
      <x:c r="AM2723" t="n">
        <x:f>_xlfn.XLOOKUP($A2723,Games!$A$2:$A$18,Games!$H$2:$H$18,"Missing game",0)</x:f>
        <x:v>3</x:v>
      </x:c>
      <x:c r="AN2723" t="str">
        <x:f>_xlfn.XLOOKUP($A2723,Games!$A$2:$A$18,Games!$I$2:$I$18,"Missing game",0)</x:f>
        <x:v>MIN</x:v>
      </x:c>
      <x:c r="AO2723" t="n">
        <x:f>_xlfn.XLOOKUP($A2723,Games!$A$2:$A$18,Games!$J$2:$J$18,"Missing game",0)</x:f>
        <x:v>16</x:v>
      </x:c>
      <x:c r="AP2723" t="n">
        <x:f>_xlfn.XLOOKUP($A2723,Games!$A$2:$A$18,Games!$K$2:$K$18,"Missing game",0)</x:f>
        <x:v>13</x:v>
      </x:c>
      <x:c r="AQ2723" t="n">
        <x:f>_xlfn.XLOOKUP($A2723,Games!$A$2:$A$18,Games!$L$2:$L$18,"Missing game",0)</x:f>
        <x:v>19</x:v>
      </x:c>
      <x:c r="AR2723" t="n">
        <x:f>_xlfn.XLOOKUP($A2723,Games!$A$2:$A$18,Games!$M$2:$M$18,"Missing game",0)</x:f>
        <x:v>0</x:v>
      </x:c>
      <x:c r="AS2723" t="str">
        <x:f>_xlfn.XLOOKUP($A2723,Games!$A$2:$A$18,Games!$N$2:$N$18,"Missing game",0)</x:f>
        <x:v>dome</x:v>
      </x:c>
      <x:c r="AT2723" t="str">
        <x:f>_xlfn.XLOOKUP($A2723,Games!$A$2:$A$18,Games!$O$2:$O$18,"Missing game",0)</x:f>
        <x:v>sportturf</x:v>
      </x:c>
      <x:c r="AU2723" t="str">
        <x:f>_xlfn.XLOOKUP($A2723,Games!$A$2:$A$18,Games!$P$2:$P$18,"Missing game",0)</x:f>
      </x:c>
      <x:c r="AV2723" t="str">
        <x:f>_xlfn.XLOOKUP($A2723,Games!$A$2:$A$18,Games!$Q$2:$Q$18,"Missing game",0)</x:f>
      </x:c>
      <x:c r="AW2723" t="str">
        <x:f>_xlfn.XLOOKUP($A2723,Games!$A$2:$A$18,Games!$R$2:$R$18,"Missing game",0)</x:f>
        <x:v>U.S. Bank Stadium</x:v>
      </x:c>
    </x:row>
    <x:row r="2724">
      <x:c r="A2724" t="str">
        <x:v>2025_18_GB_MIN</x:v>
      </x:c>
      <x:c r="B2724" t="n">
        <x:v>2102</x:v>
      </x:c>
      <x:c r="C2724" t="n">
        <x:v>3</x:v>
      </x:c>
      <x:c r="D2724" t="str">
        <x:v>14:55</x:v>
      </x:c>
      <x:c r="E2724" t="n">
        <x:v>1</x:v>
      </x:c>
      <x:c r="F2724" t="n">
        <x:v>10</x:v>
      </x:c>
      <x:c r="G2724" t="str">
        <x:v>GB</x:v>
      </x:c>
      <x:c r="H2724" t="str">
        <x:v>MIN</x:v>
      </x:c>
      <x:c r="I2724" t="str">
        <x:v>GB</x:v>
      </x:c>
      <x:c r="J2724" t="n">
        <x:v>70</x:v>
      </x:c>
      <x:c r="K2724" t="str">
        <x:v>(14:55) 23-E.Wilson left guard to GB 32 for 2 yards (55-E.Wilson; 51-B.Cashman).</x:v>
      </x:c>
      <x:c r="L2724" t="str">
        <x:v>run</x:v>
      </x:c>
      <x:c r="M2724" t="n">
        <x:v>2</x:v>
      </x:c>
      <x:c r="N2724" t="n">
        <x:v>0</x:v>
      </x:c>
      <x:c r="O2724" t="n">
        <x:v>0</x:v>
      </x:c>
      <x:c r="P2724"/>
      <x:c r="Q2724"/>
      <x:c r="R2724"/>
      <x:c r="S2724"/>
      <x:c r="T2724" t="str">
        <x:v>left</x:v>
      </x:c>
      <x:c r="U2724" t="str">
        <x:v>guard</x:v>
      </x:c>
      <x:c r="V2724" t="n">
        <x:v>0</x:v>
      </x:c>
      <x:c r="W2724" t="n">
        <x:v>0</x:v>
      </x:c>
      <x:c r="X2724" t="n">
        <x:v>0</x:v>
      </x:c>
      <x:c r="Y2724" t="n">
        <x:v>0</x:v>
      </x:c>
      <x:c r="Z2724" t="n">
        <x:v>0</x:v>
      </x:c>
      <x:c r="AA2724" t="n">
        <x:v>0</x:v>
      </x:c>
      <x:c r="AB2724"/>
      <x:c r="AC2724" t="n">
        <x:v>0</x:v>
      </x:c>
      <x:c r="AD2724" t="n">
        <x:v>-0.3874387191608548</x:v>
      </x:c>
      <x:c r="AE2724" t="n">
        <x:v>0</x:v>
      </x:c>
      <x:c r="AF2724" t="n">
        <x:v>-0.01707586646080017</x:v>
      </x:c>
      <x:c r="AG2724" t="n">
        <x:f>_xlfn.XLOOKUP($A2724,Games!$A$2:$A$18,Games!$B$2:$B$18,"Missing game",0)</x:f>
        <x:v>2025</x:v>
      </x:c>
      <x:c r="AH2724" t="str">
        <x:f>_xlfn.XLOOKUP($A2724,Games!$A$2:$A$18,Games!$C$2:$C$18,"Missing game",0)</x:f>
        <x:v>REG</x:v>
      </x:c>
      <x:c r="AI2724" t="n">
        <x:f>_xlfn.XLOOKUP($A2724,Games!$A$2:$A$18,Games!$D$2:$D$18,"Missing game",0)</x:f>
        <x:v>18</x:v>
      </x:c>
      <x:c r="AJ2724" s="1" t="n">
        <x:f>_xlfn.XLOOKUP($A2724,Games!$A$2:$A$18,Games!$E$2:$E$18,"Missing game",0)</x:f>
        <x:v>46026</x:v>
      </x:c>
      <x:c r="AK2724" t="str">
        <x:f>_xlfn.XLOOKUP($A2724,Games!$A$2:$A$18,Games!$F$2:$F$18,"Missing game",0)</x:f>
        <x:v>Sunday</x:v>
      </x:c>
      <x:c r="AL2724" t="str">
        <x:f>_xlfn.XLOOKUP($A2724,Games!$A$2:$A$18,Games!$G$2:$G$18,"Missing game",0)</x:f>
        <x:v>GB</x:v>
      </x:c>
      <x:c r="AM2724" t="n">
        <x:f>_xlfn.XLOOKUP($A2724,Games!$A$2:$A$18,Games!$H$2:$H$18,"Missing game",0)</x:f>
        <x:v>3</x:v>
      </x:c>
      <x:c r="AN2724" t="str">
        <x:f>_xlfn.XLOOKUP($A2724,Games!$A$2:$A$18,Games!$I$2:$I$18,"Missing game",0)</x:f>
        <x:v>MIN</x:v>
      </x:c>
      <x:c r="AO2724" t="n">
        <x:f>_xlfn.XLOOKUP($A2724,Games!$A$2:$A$18,Games!$J$2:$J$18,"Missing game",0)</x:f>
        <x:v>16</x:v>
      </x:c>
      <x:c r="AP2724" t="n">
        <x:f>_xlfn.XLOOKUP($A2724,Games!$A$2:$A$18,Games!$K$2:$K$18,"Missing game",0)</x:f>
        <x:v>13</x:v>
      </x:c>
      <x:c r="AQ2724" t="n">
        <x:f>_xlfn.XLOOKUP($A2724,Games!$A$2:$A$18,Games!$L$2:$L$18,"Missing game",0)</x:f>
        <x:v>19</x:v>
      </x:c>
      <x:c r="AR2724" t="n">
        <x:f>_xlfn.XLOOKUP($A2724,Games!$A$2:$A$18,Games!$M$2:$M$18,"Missing game",0)</x:f>
        <x:v>0</x:v>
      </x:c>
      <x:c r="AS2724" t="str">
        <x:f>_xlfn.XLOOKUP($A2724,Games!$A$2:$A$18,Games!$N$2:$N$18,"Missing game",0)</x:f>
        <x:v>dome</x:v>
      </x:c>
      <x:c r="AT2724" t="str">
        <x:f>_xlfn.XLOOKUP($A2724,Games!$A$2:$A$18,Games!$O$2:$O$18,"Missing game",0)</x:f>
        <x:v>sportturf</x:v>
      </x:c>
      <x:c r="AU2724" t="str">
        <x:f>_xlfn.XLOOKUP($A2724,Games!$A$2:$A$18,Games!$P$2:$P$18,"Missing game",0)</x:f>
      </x:c>
      <x:c r="AV2724" t="str">
        <x:f>_xlfn.XLOOKUP($A2724,Games!$A$2:$A$18,Games!$Q$2:$Q$18,"Missing game",0)</x:f>
      </x:c>
      <x:c r="AW2724" t="str">
        <x:f>_xlfn.XLOOKUP($A2724,Games!$A$2:$A$18,Games!$R$2:$R$18,"Missing game",0)</x:f>
        <x:v>U.S. Bank Stadium</x:v>
      </x:c>
    </x:row>
    <x:row r="2725">
      <x:c r="A2725" t="str">
        <x:v>2025_18_GB_MIN</x:v>
      </x:c>
      <x:c r="B2725" t="n">
        <x:v>2124</x:v>
      </x:c>
      <x:c r="C2725" t="n">
        <x:v>3</x:v>
      </x:c>
      <x:c r="D2725" t="str">
        <x:v>14:21</x:v>
      </x:c>
      <x:c r="E2725" t="n">
        <x:v>2</x:v>
      </x:c>
      <x:c r="F2725" t="n">
        <x:v>8</x:v>
      </x:c>
      <x:c r="G2725" t="str">
        <x:v>GB</x:v>
      </x:c>
      <x:c r="H2725" t="str">
        <x:v>MIN</x:v>
      </x:c>
      <x:c r="I2725" t="str">
        <x:v>GB</x:v>
      </x:c>
      <x:c r="J2725" t="n">
        <x:v>68</x:v>
      </x:c>
      <x:c r="K2725" t="str">
        <x:v>(14:21) 23-E.Wilson right tackle to GB 41 for 9 yards (24-J.Ward).</x:v>
      </x:c>
      <x:c r="L2725" t="str">
        <x:v>run</x:v>
      </x:c>
      <x:c r="M2725" t="n">
        <x:v>9</x:v>
      </x:c>
      <x:c r="N2725" t="n">
        <x:v>0</x:v>
      </x:c>
      <x:c r="O2725" t="n">
        <x:v>0</x:v>
      </x:c>
      <x:c r="P2725"/>
      <x:c r="Q2725"/>
      <x:c r="R2725"/>
      <x:c r="S2725"/>
      <x:c r="T2725" t="str">
        <x:v>right</x:v>
      </x:c>
      <x:c r="U2725" t="str">
        <x:v>tackle</x:v>
      </x:c>
      <x:c r="V2725" t="n">
        <x:v>0</x:v>
      </x:c>
      <x:c r="W2725" t="n">
        <x:v>1</x:v>
      </x:c>
      <x:c r="X2725" t="n">
        <x:v>0</x:v>
      </x:c>
      <x:c r="Y2725" t="n">
        <x:v>0</x:v>
      </x:c>
      <x:c r="Z2725" t="n">
        <x:v>0</x:v>
      </x:c>
      <x:c r="AA2725" t="n">
        <x:v>0</x:v>
      </x:c>
      <x:c r="AB2725"/>
      <x:c r="AC2725" t="n">
        <x:v>0</x:v>
      </x:c>
      <x:c r="AD2725" t="n">
        <x:v>1.1061272204387933</x:v>
      </x:c>
      <x:c r="AE2725" t="n">
        <x:v>1</x:v>
      </x:c>
      <x:c r="AF2725" t="n">
        <x:v>0.010776340961456299</x:v>
      </x:c>
      <x:c r="AG2725" t="n">
        <x:f>_xlfn.XLOOKUP($A2725,Games!$A$2:$A$18,Games!$B$2:$B$18,"Missing game",0)</x:f>
        <x:v>2025</x:v>
      </x:c>
      <x:c r="AH2725" t="str">
        <x:f>_xlfn.XLOOKUP($A2725,Games!$A$2:$A$18,Games!$C$2:$C$18,"Missing game",0)</x:f>
        <x:v>REG</x:v>
      </x:c>
      <x:c r="AI2725" t="n">
        <x:f>_xlfn.XLOOKUP($A2725,Games!$A$2:$A$18,Games!$D$2:$D$18,"Missing game",0)</x:f>
        <x:v>18</x:v>
      </x:c>
      <x:c r="AJ2725" s="1" t="n">
        <x:f>_xlfn.XLOOKUP($A2725,Games!$A$2:$A$18,Games!$E$2:$E$18,"Missing game",0)</x:f>
        <x:v>46026</x:v>
      </x:c>
      <x:c r="AK2725" t="str">
        <x:f>_xlfn.XLOOKUP($A2725,Games!$A$2:$A$18,Games!$F$2:$F$18,"Missing game",0)</x:f>
        <x:v>Sunday</x:v>
      </x:c>
      <x:c r="AL2725" t="str">
        <x:f>_xlfn.XLOOKUP($A2725,Games!$A$2:$A$18,Games!$G$2:$G$18,"Missing game",0)</x:f>
        <x:v>GB</x:v>
      </x:c>
      <x:c r="AM2725" t="n">
        <x:f>_xlfn.XLOOKUP($A2725,Games!$A$2:$A$18,Games!$H$2:$H$18,"Missing game",0)</x:f>
        <x:v>3</x:v>
      </x:c>
      <x:c r="AN2725" t="str">
        <x:f>_xlfn.XLOOKUP($A2725,Games!$A$2:$A$18,Games!$I$2:$I$18,"Missing game",0)</x:f>
        <x:v>MIN</x:v>
      </x:c>
      <x:c r="AO2725" t="n">
        <x:f>_xlfn.XLOOKUP($A2725,Games!$A$2:$A$18,Games!$J$2:$J$18,"Missing game",0)</x:f>
        <x:v>16</x:v>
      </x:c>
      <x:c r="AP2725" t="n">
        <x:f>_xlfn.XLOOKUP($A2725,Games!$A$2:$A$18,Games!$K$2:$K$18,"Missing game",0)</x:f>
        <x:v>13</x:v>
      </x:c>
      <x:c r="AQ2725" t="n">
        <x:f>_xlfn.XLOOKUP($A2725,Games!$A$2:$A$18,Games!$L$2:$L$18,"Missing game",0)</x:f>
        <x:v>19</x:v>
      </x:c>
      <x:c r="AR2725" t="n">
        <x:f>_xlfn.XLOOKUP($A2725,Games!$A$2:$A$18,Games!$M$2:$M$18,"Missing game",0)</x:f>
        <x:v>0</x:v>
      </x:c>
      <x:c r="AS2725" t="str">
        <x:f>_xlfn.XLOOKUP($A2725,Games!$A$2:$A$18,Games!$N$2:$N$18,"Missing game",0)</x:f>
        <x:v>dome</x:v>
      </x:c>
      <x:c r="AT2725" t="str">
        <x:f>_xlfn.XLOOKUP($A2725,Games!$A$2:$A$18,Games!$O$2:$O$18,"Missing game",0)</x:f>
        <x:v>sportturf</x:v>
      </x:c>
      <x:c r="AU2725" t="str">
        <x:f>_xlfn.XLOOKUP($A2725,Games!$A$2:$A$18,Games!$P$2:$P$18,"Missing game",0)</x:f>
      </x:c>
      <x:c r="AV2725" t="str">
        <x:f>_xlfn.XLOOKUP($A2725,Games!$A$2:$A$18,Games!$Q$2:$Q$18,"Missing game",0)</x:f>
      </x:c>
      <x:c r="AW2725" t="str">
        <x:f>_xlfn.XLOOKUP($A2725,Games!$A$2:$A$18,Games!$R$2:$R$18,"Missing game",0)</x:f>
        <x:v>U.S. Bank Stadium</x:v>
      </x:c>
    </x:row>
    <x:row r="2726">
      <x:c r="A2726" t="str">
        <x:v>2025_18_GB_MIN</x:v>
      </x:c>
      <x:c r="B2726" t="n">
        <x:v>2146</x:v>
      </x:c>
      <x:c r="C2726" t="n">
        <x:v>3</x:v>
      </x:c>
      <x:c r="D2726" t="str">
        <x:v>13:49</x:v>
      </x:c>
      <x:c r="E2726" t="n">
        <x:v>1</x:v>
      </x:c>
      <x:c r="F2726" t="n">
        <x:v>10</x:v>
      </x:c>
      <x:c r="G2726" t="str">
        <x:v>GB</x:v>
      </x:c>
      <x:c r="H2726" t="str">
        <x:v>MIN</x:v>
      </x:c>
      <x:c r="I2726" t="str">
        <x:v>GB</x:v>
      </x:c>
      <x:c r="J2726" t="n">
        <x:v>59</x:v>
      </x:c>
      <x:c r="K2726" t="str">
        <x:v>(13:49) 6-C.Tune pass short right to 84-J.Keeney-James to GB 49 for 8 yards (7-B.Murphy).</x:v>
      </x:c>
      <x:c r="L2726" t="str">
        <x:v>pass</x:v>
      </x:c>
      <x:c r="M2726" t="n">
        <x:v>8</x:v>
      </x:c>
      <x:c r="N2726" t="n">
        <x:v>0</x:v>
      </x:c>
      <x:c r="O2726" t="n">
        <x:v>0</x:v>
      </x:c>
      <x:c r="P2726" t="str">
        <x:v>short</x:v>
      </x:c>
      <x:c r="Q2726" t="str">
        <x:v>right</x:v>
      </x:c>
      <x:c r="R2726" t="n">
        <x:v>8</x:v>
      </x:c>
      <x:c r="S2726" t="n">
        <x:v>0</x:v>
      </x:c>
      <x:c r="T2726"/>
      <x:c r="U2726"/>
      <x:c r="V2726" t="n">
        <x:v>1</x:v>
      </x:c>
      <x:c r="W2726" t="n">
        <x:v>0</x:v>
      </x:c>
      <x:c r="X2726" t="n">
        <x:v>0</x:v>
      </x:c>
      <x:c r="Y2726" t="n">
        <x:v>0</x:v>
      </x:c>
      <x:c r="Z2726" t="n">
        <x:v>0</x:v>
      </x:c>
      <x:c r="AA2726" t="n">
        <x:v>0</x:v>
      </x:c>
      <x:c r="AB2726"/>
      <x:c r="AC2726" t="n">
        <x:v>0</x:v>
      </x:c>
      <x:c r="AD2726" t="n">
        <x:v>0.6739632610697299</x:v>
      </x:c>
      <x:c r="AE2726" t="n">
        <x:v>1</x:v>
      </x:c>
      <x:c r="AF2726" t="n">
        <x:v>0.007498584687709808</x:v>
      </x:c>
      <x:c r="AG2726" t="n">
        <x:f>_xlfn.XLOOKUP($A2726,Games!$A$2:$A$18,Games!$B$2:$B$18,"Missing game",0)</x:f>
        <x:v>2025</x:v>
      </x:c>
      <x:c r="AH2726" t="str">
        <x:f>_xlfn.XLOOKUP($A2726,Games!$A$2:$A$18,Games!$C$2:$C$18,"Missing game",0)</x:f>
        <x:v>REG</x:v>
      </x:c>
      <x:c r="AI2726" t="n">
        <x:f>_xlfn.XLOOKUP($A2726,Games!$A$2:$A$18,Games!$D$2:$D$18,"Missing game",0)</x:f>
        <x:v>18</x:v>
      </x:c>
      <x:c r="AJ2726" s="1" t="n">
        <x:f>_xlfn.XLOOKUP($A2726,Games!$A$2:$A$18,Games!$E$2:$E$18,"Missing game",0)</x:f>
        <x:v>46026</x:v>
      </x:c>
      <x:c r="AK2726" t="str">
        <x:f>_xlfn.XLOOKUP($A2726,Games!$A$2:$A$18,Games!$F$2:$F$18,"Missing game",0)</x:f>
        <x:v>Sunday</x:v>
      </x:c>
      <x:c r="AL2726" t="str">
        <x:f>_xlfn.XLOOKUP($A2726,Games!$A$2:$A$18,Games!$G$2:$G$18,"Missing game",0)</x:f>
        <x:v>GB</x:v>
      </x:c>
      <x:c r="AM2726" t="n">
        <x:f>_xlfn.XLOOKUP($A2726,Games!$A$2:$A$18,Games!$H$2:$H$18,"Missing game",0)</x:f>
        <x:v>3</x:v>
      </x:c>
      <x:c r="AN2726" t="str">
        <x:f>_xlfn.XLOOKUP($A2726,Games!$A$2:$A$18,Games!$I$2:$I$18,"Missing game",0)</x:f>
        <x:v>MIN</x:v>
      </x:c>
      <x:c r="AO2726" t="n">
        <x:f>_xlfn.XLOOKUP($A2726,Games!$A$2:$A$18,Games!$J$2:$J$18,"Missing game",0)</x:f>
        <x:v>16</x:v>
      </x:c>
      <x:c r="AP2726" t="n">
        <x:f>_xlfn.XLOOKUP($A2726,Games!$A$2:$A$18,Games!$K$2:$K$18,"Missing game",0)</x:f>
        <x:v>13</x:v>
      </x:c>
      <x:c r="AQ2726" t="n">
        <x:f>_xlfn.XLOOKUP($A2726,Games!$A$2:$A$18,Games!$L$2:$L$18,"Missing game",0)</x:f>
        <x:v>19</x:v>
      </x:c>
      <x:c r="AR2726" t="n">
        <x:f>_xlfn.XLOOKUP($A2726,Games!$A$2:$A$18,Games!$M$2:$M$18,"Missing game",0)</x:f>
        <x:v>0</x:v>
      </x:c>
      <x:c r="AS2726" t="str">
        <x:f>_xlfn.XLOOKUP($A2726,Games!$A$2:$A$18,Games!$N$2:$N$18,"Missing game",0)</x:f>
        <x:v>dome</x:v>
      </x:c>
      <x:c r="AT2726" t="str">
        <x:f>_xlfn.XLOOKUP($A2726,Games!$A$2:$A$18,Games!$O$2:$O$18,"Missing game",0)</x:f>
        <x:v>sportturf</x:v>
      </x:c>
      <x:c r="AU2726" t="str">
        <x:f>_xlfn.XLOOKUP($A2726,Games!$A$2:$A$18,Games!$P$2:$P$18,"Missing game",0)</x:f>
      </x:c>
      <x:c r="AV2726" t="str">
        <x:f>_xlfn.XLOOKUP($A2726,Games!$A$2:$A$18,Games!$Q$2:$Q$18,"Missing game",0)</x:f>
      </x:c>
      <x:c r="AW2726" t="str">
        <x:f>_xlfn.XLOOKUP($A2726,Games!$A$2:$A$18,Games!$R$2:$R$18,"Missing game",0)</x:f>
        <x:v>U.S. Bank Stadium</x:v>
      </x:c>
    </x:row>
    <x:row r="2727">
      <x:c r="A2727" t="str">
        <x:v>2025_18_GB_MIN</x:v>
      </x:c>
      <x:c r="B2727" t="n">
        <x:v>2171</x:v>
      </x:c>
      <x:c r="C2727" t="n">
        <x:v>3</x:v>
      </x:c>
      <x:c r="D2727" t="str">
        <x:v>13:15</x:v>
      </x:c>
      <x:c r="E2727" t="n">
        <x:v>2</x:v>
      </x:c>
      <x:c r="F2727" t="n">
        <x:v>2</x:v>
      </x:c>
      <x:c r="G2727" t="str">
        <x:v>GB</x:v>
      </x:c>
      <x:c r="H2727" t="str">
        <x:v>MIN</x:v>
      </x:c>
      <x:c r="I2727" t="str">
        <x:v>GB</x:v>
      </x:c>
      <x:c r="J2727" t="n">
        <x:v>51</x:v>
      </x:c>
      <x:c r="K2727" t="str">
        <x:v>(13:15) 23-E.Wilson right guard to MIN 39 for 12 yards (15-D.Turner; 55-E.Wilson).</x:v>
      </x:c>
      <x:c r="L2727" t="str">
        <x:v>run</x:v>
      </x:c>
      <x:c r="M2727" t="n">
        <x:v>12</x:v>
      </x:c>
      <x:c r="N2727" t="n">
        <x:v>0</x:v>
      </x:c>
      <x:c r="O2727" t="n">
        <x:v>0</x:v>
      </x:c>
      <x:c r="P2727"/>
      <x:c r="Q2727"/>
      <x:c r="R2727"/>
      <x:c r="S2727"/>
      <x:c r="T2727" t="str">
        <x:v>right</x:v>
      </x:c>
      <x:c r="U2727" t="str">
        <x:v>guard</x:v>
      </x:c>
      <x:c r="V2727" t="n">
        <x:v>0</x:v>
      </x:c>
      <x:c r="W2727" t="n">
        <x:v>1</x:v>
      </x:c>
      <x:c r="X2727" t="n">
        <x:v>0</x:v>
      </x:c>
      <x:c r="Y2727" t="n">
        <x:v>0</x:v>
      </x:c>
      <x:c r="Z2727" t="n">
        <x:v>0</x:v>
      </x:c>
      <x:c r="AA2727" t="n">
        <x:v>0</x:v>
      </x:c>
      <x:c r="AB2727"/>
      <x:c r="AC2727" t="n">
        <x:v>0</x:v>
      </x:c>
      <x:c r="AD2727" t="n">
        <x:v>0.7979117010254413</x:v>
      </x:c>
      <x:c r="AE2727" t="n">
        <x:v>1</x:v>
      </x:c>
      <x:c r="AF2727" t="n">
        <x:v>0.00270824134349823</x:v>
      </x:c>
      <x:c r="AG2727" t="n">
        <x:f>_xlfn.XLOOKUP($A2727,Games!$A$2:$A$18,Games!$B$2:$B$18,"Missing game",0)</x:f>
        <x:v>2025</x:v>
      </x:c>
      <x:c r="AH2727" t="str">
        <x:f>_xlfn.XLOOKUP($A2727,Games!$A$2:$A$18,Games!$C$2:$C$18,"Missing game",0)</x:f>
        <x:v>REG</x:v>
      </x:c>
      <x:c r="AI2727" t="n">
        <x:f>_xlfn.XLOOKUP($A2727,Games!$A$2:$A$18,Games!$D$2:$D$18,"Missing game",0)</x:f>
        <x:v>18</x:v>
      </x:c>
      <x:c r="AJ2727" s="1" t="n">
        <x:f>_xlfn.XLOOKUP($A2727,Games!$A$2:$A$18,Games!$E$2:$E$18,"Missing game",0)</x:f>
        <x:v>46026</x:v>
      </x:c>
      <x:c r="AK2727" t="str">
        <x:f>_xlfn.XLOOKUP($A2727,Games!$A$2:$A$18,Games!$F$2:$F$18,"Missing game",0)</x:f>
        <x:v>Sunday</x:v>
      </x:c>
      <x:c r="AL2727" t="str">
        <x:f>_xlfn.XLOOKUP($A2727,Games!$A$2:$A$18,Games!$G$2:$G$18,"Missing game",0)</x:f>
        <x:v>GB</x:v>
      </x:c>
      <x:c r="AM2727" t="n">
        <x:f>_xlfn.XLOOKUP($A2727,Games!$A$2:$A$18,Games!$H$2:$H$18,"Missing game",0)</x:f>
        <x:v>3</x:v>
      </x:c>
      <x:c r="AN2727" t="str">
        <x:f>_xlfn.XLOOKUP($A2727,Games!$A$2:$A$18,Games!$I$2:$I$18,"Missing game",0)</x:f>
        <x:v>MIN</x:v>
      </x:c>
      <x:c r="AO2727" t="n">
        <x:f>_xlfn.XLOOKUP($A2727,Games!$A$2:$A$18,Games!$J$2:$J$18,"Missing game",0)</x:f>
        <x:v>16</x:v>
      </x:c>
      <x:c r="AP2727" t="n">
        <x:f>_xlfn.XLOOKUP($A2727,Games!$A$2:$A$18,Games!$K$2:$K$18,"Missing game",0)</x:f>
        <x:v>13</x:v>
      </x:c>
      <x:c r="AQ2727" t="n">
        <x:f>_xlfn.XLOOKUP($A2727,Games!$A$2:$A$18,Games!$L$2:$L$18,"Missing game",0)</x:f>
        <x:v>19</x:v>
      </x:c>
      <x:c r="AR2727" t="n">
        <x:f>_xlfn.XLOOKUP($A2727,Games!$A$2:$A$18,Games!$M$2:$M$18,"Missing game",0)</x:f>
        <x:v>0</x:v>
      </x:c>
      <x:c r="AS2727" t="str">
        <x:f>_xlfn.XLOOKUP($A2727,Games!$A$2:$A$18,Games!$N$2:$N$18,"Missing game",0)</x:f>
        <x:v>dome</x:v>
      </x:c>
      <x:c r="AT2727" t="str">
        <x:f>_xlfn.XLOOKUP($A2727,Games!$A$2:$A$18,Games!$O$2:$O$18,"Missing game",0)</x:f>
        <x:v>sportturf</x:v>
      </x:c>
      <x:c r="AU2727" t="str">
        <x:f>_xlfn.XLOOKUP($A2727,Games!$A$2:$A$18,Games!$P$2:$P$18,"Missing game",0)</x:f>
      </x:c>
      <x:c r="AV2727" t="str">
        <x:f>_xlfn.XLOOKUP($A2727,Games!$A$2:$A$18,Games!$Q$2:$Q$18,"Missing game",0)</x:f>
      </x:c>
      <x:c r="AW2727" t="str">
        <x:f>_xlfn.XLOOKUP($A2727,Games!$A$2:$A$18,Games!$R$2:$R$18,"Missing game",0)</x:f>
        <x:v>U.S. Bank Stadium</x:v>
      </x:c>
    </x:row>
    <x:row r="2728">
      <x:c r="A2728" t="str">
        <x:v>2025_18_GB_MIN</x:v>
      </x:c>
      <x:c r="B2728" t="n">
        <x:v>2193</x:v>
      </x:c>
      <x:c r="C2728" t="n">
        <x:v>3</x:v>
      </x:c>
      <x:c r="D2728" t="str">
        <x:v>12:44</x:v>
      </x:c>
      <x:c r="E2728" t="n">
        <x:v>1</x:v>
      </x:c>
      <x:c r="F2728" t="n">
        <x:v>10</x:v>
      </x:c>
      <x:c r="G2728" t="str">
        <x:v>GB</x:v>
      </x:c>
      <x:c r="H2728" t="str">
        <x:v>MIN</x:v>
      </x:c>
      <x:c r="I2728" t="str">
        <x:v>MIN</x:v>
      </x:c>
      <x:c r="J2728" t="n">
        <x:v>39</x:v>
      </x:c>
      <x:c r="K2728" t="str">
        <x:v>(12:44) 23-E.Wilson right tackle to MIN 34 for 5 yards (93-J.Allen; 97-J.Hargrave).</x:v>
      </x:c>
      <x:c r="L2728" t="str">
        <x:v>run</x:v>
      </x:c>
      <x:c r="M2728" t="n">
        <x:v>5</x:v>
      </x:c>
      <x:c r="N2728" t="n">
        <x:v>0</x:v>
      </x:c>
      <x:c r="O2728" t="n">
        <x:v>0</x:v>
      </x:c>
      <x:c r="P2728"/>
      <x:c r="Q2728"/>
      <x:c r="R2728"/>
      <x:c r="S2728"/>
      <x:c r="T2728" t="str">
        <x:v>right</x:v>
      </x:c>
      <x:c r="U2728" t="str">
        <x:v>tackle</x:v>
      </x:c>
      <x:c r="V2728" t="n">
        <x:v>0</x:v>
      </x:c>
      <x:c r="W2728" t="n">
        <x:v>0</x:v>
      </x:c>
      <x:c r="X2728" t="n">
        <x:v>0</x:v>
      </x:c>
      <x:c r="Y2728" t="n">
        <x:v>0</x:v>
      </x:c>
      <x:c r="Z2728" t="n">
        <x:v>0</x:v>
      </x:c>
      <x:c r="AA2728" t="n">
        <x:v>0</x:v>
      </x:c>
      <x:c r="AB2728"/>
      <x:c r="AC2728" t="n">
        <x:v>0</x:v>
      </x:c>
      <x:c r="AD2728" t="n">
        <x:v>-0.029991733375936747</x:v>
      </x:c>
      <x:c r="AE2728" t="n">
        <x:v>0</x:v>
      </x:c>
      <x:c r="AF2728" t="n">
        <x:v>0.001225881278514862</x:v>
      </x:c>
      <x:c r="AG2728" t="n">
        <x:f>_xlfn.XLOOKUP($A2728,Games!$A$2:$A$18,Games!$B$2:$B$18,"Missing game",0)</x:f>
        <x:v>2025</x:v>
      </x:c>
      <x:c r="AH2728" t="str">
        <x:f>_xlfn.XLOOKUP($A2728,Games!$A$2:$A$18,Games!$C$2:$C$18,"Missing game",0)</x:f>
        <x:v>REG</x:v>
      </x:c>
      <x:c r="AI2728" t="n">
        <x:f>_xlfn.XLOOKUP($A2728,Games!$A$2:$A$18,Games!$D$2:$D$18,"Missing game",0)</x:f>
        <x:v>18</x:v>
      </x:c>
      <x:c r="AJ2728" s="1" t="n">
        <x:f>_xlfn.XLOOKUP($A2728,Games!$A$2:$A$18,Games!$E$2:$E$18,"Missing game",0)</x:f>
        <x:v>46026</x:v>
      </x:c>
      <x:c r="AK2728" t="str">
        <x:f>_xlfn.XLOOKUP($A2728,Games!$A$2:$A$18,Games!$F$2:$F$18,"Missing game",0)</x:f>
        <x:v>Sunday</x:v>
      </x:c>
      <x:c r="AL2728" t="str">
        <x:f>_xlfn.XLOOKUP($A2728,Games!$A$2:$A$18,Games!$G$2:$G$18,"Missing game",0)</x:f>
        <x:v>GB</x:v>
      </x:c>
      <x:c r="AM2728" t="n">
        <x:f>_xlfn.XLOOKUP($A2728,Games!$A$2:$A$18,Games!$H$2:$H$18,"Missing game",0)</x:f>
        <x:v>3</x:v>
      </x:c>
      <x:c r="AN2728" t="str">
        <x:f>_xlfn.XLOOKUP($A2728,Games!$A$2:$A$18,Games!$I$2:$I$18,"Missing game",0)</x:f>
        <x:v>MIN</x:v>
      </x:c>
      <x:c r="AO2728" t="n">
        <x:f>_xlfn.XLOOKUP($A2728,Games!$A$2:$A$18,Games!$J$2:$J$18,"Missing game",0)</x:f>
        <x:v>16</x:v>
      </x:c>
      <x:c r="AP2728" t="n">
        <x:f>_xlfn.XLOOKUP($A2728,Games!$A$2:$A$18,Games!$K$2:$K$18,"Missing game",0)</x:f>
        <x:v>13</x:v>
      </x:c>
      <x:c r="AQ2728" t="n">
        <x:f>_xlfn.XLOOKUP($A2728,Games!$A$2:$A$18,Games!$L$2:$L$18,"Missing game",0)</x:f>
        <x:v>19</x:v>
      </x:c>
      <x:c r="AR2728" t="n">
        <x:f>_xlfn.XLOOKUP($A2728,Games!$A$2:$A$18,Games!$M$2:$M$18,"Missing game",0)</x:f>
        <x:v>0</x:v>
      </x:c>
      <x:c r="AS2728" t="str">
        <x:f>_xlfn.XLOOKUP($A2728,Games!$A$2:$A$18,Games!$N$2:$N$18,"Missing game",0)</x:f>
        <x:v>dome</x:v>
      </x:c>
      <x:c r="AT2728" t="str">
        <x:f>_xlfn.XLOOKUP($A2728,Games!$A$2:$A$18,Games!$O$2:$O$18,"Missing game",0)</x:f>
        <x:v>sportturf</x:v>
      </x:c>
      <x:c r="AU2728" t="str">
        <x:f>_xlfn.XLOOKUP($A2728,Games!$A$2:$A$18,Games!$P$2:$P$18,"Missing game",0)</x:f>
      </x:c>
      <x:c r="AV2728" t="str">
        <x:f>_xlfn.XLOOKUP($A2728,Games!$A$2:$A$18,Games!$Q$2:$Q$18,"Missing game",0)</x:f>
      </x:c>
      <x:c r="AW2728" t="str">
        <x:f>_xlfn.XLOOKUP($A2728,Games!$A$2:$A$18,Games!$R$2:$R$18,"Missing game",0)</x:f>
        <x:v>U.S. Bank Stadium</x:v>
      </x:c>
    </x:row>
    <x:row r="2729">
      <x:c r="A2729" t="str">
        <x:v>2025_18_GB_MIN</x:v>
      </x:c>
      <x:c r="B2729" t="n">
        <x:v>2215</x:v>
      </x:c>
      <x:c r="C2729" t="n">
        <x:v>3</x:v>
      </x:c>
      <x:c r="D2729" t="str">
        <x:v>12:05</x:v>
      </x:c>
      <x:c r="E2729" t="n">
        <x:v>2</x:v>
      </x:c>
      <x:c r="F2729" t="n">
        <x:v>5</x:v>
      </x:c>
      <x:c r="G2729" t="str">
        <x:v>GB</x:v>
      </x:c>
      <x:c r="H2729" t="str">
        <x:v>MIN</x:v>
      </x:c>
      <x:c r="I2729" t="str">
        <x:v>MIN</x:v>
      </x:c>
      <x:c r="J2729" t="n">
        <x:v>34</x:v>
      </x:c>
      <x:c r="K2729" t="str">
        <x:v>(12:05) 30-C.Brooks right end to MIN 37 for -3 yards (7-B.Murphy).</x:v>
      </x:c>
      <x:c r="L2729" t="str">
        <x:v>run</x:v>
      </x:c>
      <x:c r="M2729" t="n">
        <x:v>-3</x:v>
      </x:c>
      <x:c r="N2729" t="n">
        <x:v>0</x:v>
      </x:c>
      <x:c r="O2729" t="n">
        <x:v>0</x:v>
      </x:c>
      <x:c r="P2729"/>
      <x:c r="Q2729"/>
      <x:c r="R2729"/>
      <x:c r="S2729"/>
      <x:c r="T2729" t="str">
        <x:v>right</x:v>
      </x:c>
      <x:c r="U2729" t="str">
        <x:v>end</x:v>
      </x:c>
      <x:c r="V2729" t="n">
        <x:v>0</x:v>
      </x:c>
      <x:c r="W2729" t="n">
        <x:v>0</x:v>
      </x:c>
      <x:c r="X2729" t="n">
        <x:v>0</x:v>
      </x:c>
      <x:c r="Y2729" t="n">
        <x:v>0</x:v>
      </x:c>
      <x:c r="Z2729" t="n">
        <x:v>0</x:v>
      </x:c>
      <x:c r="AA2729" t="n">
        <x:v>0</x:v>
      </x:c>
      <x:c r="AB2729"/>
      <x:c r="AC2729" t="n">
        <x:v>0</x:v>
      </x:c>
      <x:c r="AD2729" t="n">
        <x:v>-1.3587497773114592</x:v>
      </x:c>
      <x:c r="AE2729" t="n">
        <x:v>0</x:v>
      </x:c>
      <x:c r="AF2729" t="n">
        <x:v>-0.019438669085502625</x:v>
      </x:c>
      <x:c r="AG2729" t="n">
        <x:f>_xlfn.XLOOKUP($A2729,Games!$A$2:$A$18,Games!$B$2:$B$18,"Missing game",0)</x:f>
        <x:v>2025</x:v>
      </x:c>
      <x:c r="AH2729" t="str">
        <x:f>_xlfn.XLOOKUP($A2729,Games!$A$2:$A$18,Games!$C$2:$C$18,"Missing game",0)</x:f>
        <x:v>REG</x:v>
      </x:c>
      <x:c r="AI2729" t="n">
        <x:f>_xlfn.XLOOKUP($A2729,Games!$A$2:$A$18,Games!$D$2:$D$18,"Missing game",0)</x:f>
        <x:v>18</x:v>
      </x:c>
      <x:c r="AJ2729" s="1" t="n">
        <x:f>_xlfn.XLOOKUP($A2729,Games!$A$2:$A$18,Games!$E$2:$E$18,"Missing game",0)</x:f>
        <x:v>46026</x:v>
      </x:c>
      <x:c r="AK2729" t="str">
        <x:f>_xlfn.XLOOKUP($A2729,Games!$A$2:$A$18,Games!$F$2:$F$18,"Missing game",0)</x:f>
        <x:v>Sunday</x:v>
      </x:c>
      <x:c r="AL2729" t="str">
        <x:f>_xlfn.XLOOKUP($A2729,Games!$A$2:$A$18,Games!$G$2:$G$18,"Missing game",0)</x:f>
        <x:v>GB</x:v>
      </x:c>
      <x:c r="AM2729" t="n">
        <x:f>_xlfn.XLOOKUP($A2729,Games!$A$2:$A$18,Games!$H$2:$H$18,"Missing game",0)</x:f>
        <x:v>3</x:v>
      </x:c>
      <x:c r="AN2729" t="str">
        <x:f>_xlfn.XLOOKUP($A2729,Games!$A$2:$A$18,Games!$I$2:$I$18,"Missing game",0)</x:f>
        <x:v>MIN</x:v>
      </x:c>
      <x:c r="AO2729" t="n">
        <x:f>_xlfn.XLOOKUP($A2729,Games!$A$2:$A$18,Games!$J$2:$J$18,"Missing game",0)</x:f>
        <x:v>16</x:v>
      </x:c>
      <x:c r="AP2729" t="n">
        <x:f>_xlfn.XLOOKUP($A2729,Games!$A$2:$A$18,Games!$K$2:$K$18,"Missing game",0)</x:f>
        <x:v>13</x:v>
      </x:c>
      <x:c r="AQ2729" t="n">
        <x:f>_xlfn.XLOOKUP($A2729,Games!$A$2:$A$18,Games!$L$2:$L$18,"Missing game",0)</x:f>
        <x:v>19</x:v>
      </x:c>
      <x:c r="AR2729" t="n">
        <x:f>_xlfn.XLOOKUP($A2729,Games!$A$2:$A$18,Games!$M$2:$M$18,"Missing game",0)</x:f>
        <x:v>0</x:v>
      </x:c>
      <x:c r="AS2729" t="str">
        <x:f>_xlfn.XLOOKUP($A2729,Games!$A$2:$A$18,Games!$N$2:$N$18,"Missing game",0)</x:f>
        <x:v>dome</x:v>
      </x:c>
      <x:c r="AT2729" t="str">
        <x:f>_xlfn.XLOOKUP($A2729,Games!$A$2:$A$18,Games!$O$2:$O$18,"Missing game",0)</x:f>
        <x:v>sportturf</x:v>
      </x:c>
      <x:c r="AU2729" t="str">
        <x:f>_xlfn.XLOOKUP($A2729,Games!$A$2:$A$18,Games!$P$2:$P$18,"Missing game",0)</x:f>
      </x:c>
      <x:c r="AV2729" t="str">
        <x:f>_xlfn.XLOOKUP($A2729,Games!$A$2:$A$18,Games!$Q$2:$Q$18,"Missing game",0)</x:f>
      </x:c>
      <x:c r="AW2729" t="str">
        <x:f>_xlfn.XLOOKUP($A2729,Games!$A$2:$A$18,Games!$R$2:$R$18,"Missing game",0)</x:f>
        <x:v>U.S. Bank Stadium</x:v>
      </x:c>
    </x:row>
    <x:row r="2730">
      <x:c r="A2730" t="str">
        <x:v>2025_18_GB_MIN</x:v>
      </x:c>
      <x:c r="B2730" t="n">
        <x:v>2237</x:v>
      </x:c>
      <x:c r="C2730" t="n">
        <x:v>3</x:v>
      </x:c>
      <x:c r="D2730" t="str">
        <x:v>11:24</x:v>
      </x:c>
      <x:c r="E2730" t="n">
        <x:v>3</x:v>
      </x:c>
      <x:c r="F2730" t="n">
        <x:v>8</x:v>
      </x:c>
      <x:c r="G2730" t="str">
        <x:v>GB</x:v>
      </x:c>
      <x:c r="H2730" t="str">
        <x:v>MIN</x:v>
      </x:c>
      <x:c r="I2730" t="str">
        <x:v>MIN</x:v>
      </x:c>
      <x:c r="J2730" t="n">
        <x:v>37</x:v>
      </x:c>
      <x:c r="K2730" t="str">
        <x:v>(11:24) (Shotgun) 6-C.Tune sacked at MIN 44 for -7 yards (15-D.Turner).</x:v>
      </x:c>
      <x:c r="L2730" t="str">
        <x:v>pass</x:v>
      </x:c>
      <x:c r="M2730" t="n">
        <x:v>-7</x:v>
      </x:c>
      <x:c r="N2730" t="n">
        <x:v>1</x:v>
      </x:c>
      <x:c r="O2730" t="n">
        <x:v>0</x:v>
      </x:c>
      <x:c r="P2730"/>
      <x:c r="Q2730"/>
      <x:c r="R2730"/>
      <x:c r="S2730"/>
      <x:c r="T2730"/>
      <x:c r="U2730"/>
      <x:c r="V2730" t="n">
        <x:v>0</x:v>
      </x:c>
      <x:c r="W2730" t="n">
        <x:v>0</x:v>
      </x:c>
      <x:c r="X2730" t="n">
        <x:v>1</x:v>
      </x:c>
      <x:c r="Y2730" t="n">
        <x:v>0</x:v>
      </x:c>
      <x:c r="Z2730" t="n">
        <x:v>0</x:v>
      </x:c>
      <x:c r="AA2730" t="n">
        <x:v>0</x:v>
      </x:c>
      <x:c r="AB2730"/>
      <x:c r="AC2730" t="n">
        <x:v>0</x:v>
      </x:c>
      <x:c r="AD2730" t="n">
        <x:v>-2.581970501691103</x:v>
      </x:c>
      <x:c r="AE2730" t="n">
        <x:v>0</x:v>
      </x:c>
      <x:c r="AF2730" t="n">
        <x:v>-0.02275749295949936</x:v>
      </x:c>
      <x:c r="AG2730" t="n">
        <x:f>_xlfn.XLOOKUP($A2730,Games!$A$2:$A$18,Games!$B$2:$B$18,"Missing game",0)</x:f>
        <x:v>2025</x:v>
      </x:c>
      <x:c r="AH2730" t="str">
        <x:f>_xlfn.XLOOKUP($A2730,Games!$A$2:$A$18,Games!$C$2:$C$18,"Missing game",0)</x:f>
        <x:v>REG</x:v>
      </x:c>
      <x:c r="AI2730" t="n">
        <x:f>_xlfn.XLOOKUP($A2730,Games!$A$2:$A$18,Games!$D$2:$D$18,"Missing game",0)</x:f>
        <x:v>18</x:v>
      </x:c>
      <x:c r="AJ2730" s="1" t="n">
        <x:f>_xlfn.XLOOKUP($A2730,Games!$A$2:$A$18,Games!$E$2:$E$18,"Missing game",0)</x:f>
        <x:v>46026</x:v>
      </x:c>
      <x:c r="AK2730" t="str">
        <x:f>_xlfn.XLOOKUP($A2730,Games!$A$2:$A$18,Games!$F$2:$F$18,"Missing game",0)</x:f>
        <x:v>Sunday</x:v>
      </x:c>
      <x:c r="AL2730" t="str">
        <x:f>_xlfn.XLOOKUP($A2730,Games!$A$2:$A$18,Games!$G$2:$G$18,"Missing game",0)</x:f>
        <x:v>GB</x:v>
      </x:c>
      <x:c r="AM2730" t="n">
        <x:f>_xlfn.XLOOKUP($A2730,Games!$A$2:$A$18,Games!$H$2:$H$18,"Missing game",0)</x:f>
        <x:v>3</x:v>
      </x:c>
      <x:c r="AN2730" t="str">
        <x:f>_xlfn.XLOOKUP($A2730,Games!$A$2:$A$18,Games!$I$2:$I$18,"Missing game",0)</x:f>
        <x:v>MIN</x:v>
      </x:c>
      <x:c r="AO2730" t="n">
        <x:f>_xlfn.XLOOKUP($A2730,Games!$A$2:$A$18,Games!$J$2:$J$18,"Missing game",0)</x:f>
        <x:v>16</x:v>
      </x:c>
      <x:c r="AP2730" t="n">
        <x:f>_xlfn.XLOOKUP($A2730,Games!$A$2:$A$18,Games!$K$2:$K$18,"Missing game",0)</x:f>
        <x:v>13</x:v>
      </x:c>
      <x:c r="AQ2730" t="n">
        <x:f>_xlfn.XLOOKUP($A2730,Games!$A$2:$A$18,Games!$L$2:$L$18,"Missing game",0)</x:f>
        <x:v>19</x:v>
      </x:c>
      <x:c r="AR2730" t="n">
        <x:f>_xlfn.XLOOKUP($A2730,Games!$A$2:$A$18,Games!$M$2:$M$18,"Missing game",0)</x:f>
        <x:v>0</x:v>
      </x:c>
      <x:c r="AS2730" t="str">
        <x:f>_xlfn.XLOOKUP($A2730,Games!$A$2:$A$18,Games!$N$2:$N$18,"Missing game",0)</x:f>
        <x:v>dome</x:v>
      </x:c>
      <x:c r="AT2730" t="str">
        <x:f>_xlfn.XLOOKUP($A2730,Games!$A$2:$A$18,Games!$O$2:$O$18,"Missing game",0)</x:f>
        <x:v>sportturf</x:v>
      </x:c>
      <x:c r="AU2730" t="str">
        <x:f>_xlfn.XLOOKUP($A2730,Games!$A$2:$A$18,Games!$P$2:$P$18,"Missing game",0)</x:f>
      </x:c>
      <x:c r="AV2730" t="str">
        <x:f>_xlfn.XLOOKUP($A2730,Games!$A$2:$A$18,Games!$Q$2:$Q$18,"Missing game",0)</x:f>
      </x:c>
      <x:c r="AW2730" t="str">
        <x:f>_xlfn.XLOOKUP($A2730,Games!$A$2:$A$18,Games!$R$2:$R$18,"Missing game",0)</x:f>
        <x:v>U.S. Bank Stadium</x:v>
      </x:c>
    </x:row>
    <x:row r="2731">
      <x:c r="A2731" t="str">
        <x:v>2025_18_GB_MIN</x:v>
      </x:c>
      <x:c r="B2731" t="n">
        <x:v>2257</x:v>
      </x:c>
      <x:c r="C2731" t="n">
        <x:v>3</x:v>
      </x:c>
      <x:c r="D2731" t="str">
        <x:v>10:42</x:v>
      </x:c>
      <x:c r="E2731" t="n">
        <x:v>4</x:v>
      </x:c>
      <x:c r="F2731" t="n">
        <x:v>15</x:v>
      </x:c>
      <x:c r="G2731" t="str">
        <x:v>GB</x:v>
      </x:c>
      <x:c r="H2731" t="str">
        <x:v>MIN</x:v>
      </x:c>
      <x:c r="I2731" t="str">
        <x:v>MIN</x:v>
      </x:c>
      <x:c r="J2731" t="n">
        <x:v>44</x:v>
      </x:c>
      <x:c r="K2731" t="str">
        <x:v>(10:42) 19-D.Whelan punts 30 yards to MIN 14, Center-42-M.Orzech, fair catch by 82-J.Jones.</x:v>
      </x:c>
      <x:c r="L2731" t="str">
        <x:v>punt</x:v>
      </x:c>
      <x:c r="M2731" t="n">
        <x:v>0</x:v>
      </x:c>
      <x:c r="N2731" t="n">
        <x:v>0</x:v>
      </x:c>
      <x:c r="O2731" t="n">
        <x:v>0</x:v>
      </x:c>
      <x:c r="P2731"/>
      <x:c r="Q2731"/>
      <x:c r="R2731"/>
      <x:c r="S2731"/>
      <x:c r="T2731"/>
      <x:c r="U2731"/>
      <x:c r="V2731" t="n">
        <x:v>0</x:v>
      </x:c>
      <x:c r="W2731" t="n">
        <x:v>0</x:v>
      </x:c>
      <x:c r="X2731" t="n">
        <x:v>0</x:v>
      </x:c>
      <x:c r="Y2731" t="n">
        <x:v>0</x:v>
      </x:c>
      <x:c r="Z2731" t="n">
        <x:v>0</x:v>
      </x:c>
      <x:c r="AA2731" t="n">
        <x:v>0</x:v>
      </x:c>
      <x:c r="AB2731"/>
      <x:c r="AC2731" t="n">
        <x:v>0</x:v>
      </x:c>
      <x:c r="AD2731" t="n">
        <x:v>-0.363767241127789</x:v>
      </x:c>
      <x:c r="AE2731" t="n">
        <x:v>0</x:v>
      </x:c>
      <x:c r="AF2731" t="n">
        <x:v>-0.01084878295660019</x:v>
      </x:c>
      <x:c r="AG2731" t="n">
        <x:f>_xlfn.XLOOKUP($A2731,Games!$A$2:$A$18,Games!$B$2:$B$18,"Missing game",0)</x:f>
        <x:v>2025</x:v>
      </x:c>
      <x:c r="AH2731" t="str">
        <x:f>_xlfn.XLOOKUP($A2731,Games!$A$2:$A$18,Games!$C$2:$C$18,"Missing game",0)</x:f>
        <x:v>REG</x:v>
      </x:c>
      <x:c r="AI2731" t="n">
        <x:f>_xlfn.XLOOKUP($A2731,Games!$A$2:$A$18,Games!$D$2:$D$18,"Missing game",0)</x:f>
        <x:v>18</x:v>
      </x:c>
      <x:c r="AJ2731" s="1" t="n">
        <x:f>_xlfn.XLOOKUP($A2731,Games!$A$2:$A$18,Games!$E$2:$E$18,"Missing game",0)</x:f>
        <x:v>46026</x:v>
      </x:c>
      <x:c r="AK2731" t="str">
        <x:f>_xlfn.XLOOKUP($A2731,Games!$A$2:$A$18,Games!$F$2:$F$18,"Missing game",0)</x:f>
        <x:v>Sunday</x:v>
      </x:c>
      <x:c r="AL2731" t="str">
        <x:f>_xlfn.XLOOKUP($A2731,Games!$A$2:$A$18,Games!$G$2:$G$18,"Missing game",0)</x:f>
        <x:v>GB</x:v>
      </x:c>
      <x:c r="AM2731" t="n">
        <x:f>_xlfn.XLOOKUP($A2731,Games!$A$2:$A$18,Games!$H$2:$H$18,"Missing game",0)</x:f>
        <x:v>3</x:v>
      </x:c>
      <x:c r="AN2731" t="str">
        <x:f>_xlfn.XLOOKUP($A2731,Games!$A$2:$A$18,Games!$I$2:$I$18,"Missing game",0)</x:f>
        <x:v>MIN</x:v>
      </x:c>
      <x:c r="AO2731" t="n">
        <x:f>_xlfn.XLOOKUP($A2731,Games!$A$2:$A$18,Games!$J$2:$J$18,"Missing game",0)</x:f>
        <x:v>16</x:v>
      </x:c>
      <x:c r="AP2731" t="n">
        <x:f>_xlfn.XLOOKUP($A2731,Games!$A$2:$A$18,Games!$K$2:$K$18,"Missing game",0)</x:f>
        <x:v>13</x:v>
      </x:c>
      <x:c r="AQ2731" t="n">
        <x:f>_xlfn.XLOOKUP($A2731,Games!$A$2:$A$18,Games!$L$2:$L$18,"Missing game",0)</x:f>
        <x:v>19</x:v>
      </x:c>
      <x:c r="AR2731" t="n">
        <x:f>_xlfn.XLOOKUP($A2731,Games!$A$2:$A$18,Games!$M$2:$M$18,"Missing game",0)</x:f>
        <x:v>0</x:v>
      </x:c>
      <x:c r="AS2731" t="str">
        <x:f>_xlfn.XLOOKUP($A2731,Games!$A$2:$A$18,Games!$N$2:$N$18,"Missing game",0)</x:f>
        <x:v>dome</x:v>
      </x:c>
      <x:c r="AT2731" t="str">
        <x:f>_xlfn.XLOOKUP($A2731,Games!$A$2:$A$18,Games!$O$2:$O$18,"Missing game",0)</x:f>
        <x:v>sportturf</x:v>
      </x:c>
      <x:c r="AU2731" t="str">
        <x:f>_xlfn.XLOOKUP($A2731,Games!$A$2:$A$18,Games!$P$2:$P$18,"Missing game",0)</x:f>
      </x:c>
      <x:c r="AV2731" t="str">
        <x:f>_xlfn.XLOOKUP($A2731,Games!$A$2:$A$18,Games!$Q$2:$Q$18,"Missing game",0)</x:f>
      </x:c>
      <x:c r="AW2731" t="str">
        <x:f>_xlfn.XLOOKUP($A2731,Games!$A$2:$A$18,Games!$R$2:$R$18,"Missing game",0)</x:f>
        <x:v>U.S. Bank Stadium</x:v>
      </x:c>
    </x:row>
    <x:row r="2732">
      <x:c r="A2732" t="str">
        <x:v>2025_18_GB_MIN</x:v>
      </x:c>
      <x:c r="B2732" t="n">
        <x:v>2277</x:v>
      </x:c>
      <x:c r="C2732" t="n">
        <x:v>3</x:v>
      </x:c>
      <x:c r="D2732" t="str">
        <x:v>10:35</x:v>
      </x:c>
      <x:c r="E2732" t="n">
        <x:v>1</x:v>
      </x:c>
      <x:c r="F2732" t="n">
        <x:v>10</x:v>
      </x:c>
      <x:c r="G2732" t="str">
        <x:v>MIN</x:v>
      </x:c>
      <x:c r="H2732" t="str">
        <x:v>GB</x:v>
      </x:c>
      <x:c r="I2732" t="str">
        <x:v>MIN</x:v>
      </x:c>
      <x:c r="J2732" t="n">
        <x:v>86</x:v>
      </x:c>
      <x:c r="K2732" t="str">
        <x:v>(10:35) 9-J.McCarthy pass short left to 18-J.Jefferson to MIN 22 for 8 yards (20-J.Bullard; 99-B.Sorrell). MIN-9-J.McCarthy was injured during the play.</x:v>
      </x:c>
      <x:c r="L2732" t="str">
        <x:v>pass</x:v>
      </x:c>
      <x:c r="M2732" t="n">
        <x:v>8</x:v>
      </x:c>
      <x:c r="N2732" t="n">
        <x:v>0</x:v>
      </x:c>
      <x:c r="O2732" t="n">
        <x:v>0</x:v>
      </x:c>
      <x:c r="P2732" t="str">
        <x:v>short</x:v>
      </x:c>
      <x:c r="Q2732" t="str">
        <x:v>left</x:v>
      </x:c>
      <x:c r="R2732" t="n">
        <x:v>-1</x:v>
      </x:c>
      <x:c r="S2732" t="n">
        <x:v>9</x:v>
      </x:c>
      <x:c r="T2732"/>
      <x:c r="U2732"/>
      <x:c r="V2732" t="n">
        <x:v>1</x:v>
      </x:c>
      <x:c r="W2732" t="n">
        <x:v>0</x:v>
      </x:c>
      <x:c r="X2732" t="n">
        <x:v>0</x:v>
      </x:c>
      <x:c r="Y2732" t="n">
        <x:v>0</x:v>
      </x:c>
      <x:c r="Z2732" t="n">
        <x:v>0</x:v>
      </x:c>
      <x:c r="AA2732" t="n">
        <x:v>0</x:v>
      </x:c>
      <x:c r="AB2732"/>
      <x:c r="AC2732" t="n">
        <x:v>0</x:v>
      </x:c>
      <x:c r="AD2732" t="n">
        <x:v>0.47578600607812405</x:v>
      </x:c>
      <x:c r="AE2732" t="n">
        <x:v>1</x:v>
      </x:c>
      <x:c r="AF2732" t="n">
        <x:v>0.004927337169647217</x:v>
      </x:c>
      <x:c r="AG2732" t="n">
        <x:f>_xlfn.XLOOKUP($A2732,Games!$A$2:$A$18,Games!$B$2:$B$18,"Missing game",0)</x:f>
        <x:v>2025</x:v>
      </x:c>
      <x:c r="AH2732" t="str">
        <x:f>_xlfn.XLOOKUP($A2732,Games!$A$2:$A$18,Games!$C$2:$C$18,"Missing game",0)</x:f>
        <x:v>REG</x:v>
      </x:c>
      <x:c r="AI2732" t="n">
        <x:f>_xlfn.XLOOKUP($A2732,Games!$A$2:$A$18,Games!$D$2:$D$18,"Missing game",0)</x:f>
        <x:v>18</x:v>
      </x:c>
      <x:c r="AJ2732" s="1" t="n">
        <x:f>_xlfn.XLOOKUP($A2732,Games!$A$2:$A$18,Games!$E$2:$E$18,"Missing game",0)</x:f>
        <x:v>46026</x:v>
      </x:c>
      <x:c r="AK2732" t="str">
        <x:f>_xlfn.XLOOKUP($A2732,Games!$A$2:$A$18,Games!$F$2:$F$18,"Missing game",0)</x:f>
        <x:v>Sunday</x:v>
      </x:c>
      <x:c r="AL2732" t="str">
        <x:f>_xlfn.XLOOKUP($A2732,Games!$A$2:$A$18,Games!$G$2:$G$18,"Missing game",0)</x:f>
        <x:v>GB</x:v>
      </x:c>
      <x:c r="AM2732" t="n">
        <x:f>_xlfn.XLOOKUP($A2732,Games!$A$2:$A$18,Games!$H$2:$H$18,"Missing game",0)</x:f>
        <x:v>3</x:v>
      </x:c>
      <x:c r="AN2732" t="str">
        <x:f>_xlfn.XLOOKUP($A2732,Games!$A$2:$A$18,Games!$I$2:$I$18,"Missing game",0)</x:f>
        <x:v>MIN</x:v>
      </x:c>
      <x:c r="AO2732" t="n">
        <x:f>_xlfn.XLOOKUP($A2732,Games!$A$2:$A$18,Games!$J$2:$J$18,"Missing game",0)</x:f>
        <x:v>16</x:v>
      </x:c>
      <x:c r="AP2732" t="n">
        <x:f>_xlfn.XLOOKUP($A2732,Games!$A$2:$A$18,Games!$K$2:$K$18,"Missing game",0)</x:f>
        <x:v>13</x:v>
      </x:c>
      <x:c r="AQ2732" t="n">
        <x:f>_xlfn.XLOOKUP($A2732,Games!$A$2:$A$18,Games!$L$2:$L$18,"Missing game",0)</x:f>
        <x:v>19</x:v>
      </x:c>
      <x:c r="AR2732" t="n">
        <x:f>_xlfn.XLOOKUP($A2732,Games!$A$2:$A$18,Games!$M$2:$M$18,"Missing game",0)</x:f>
        <x:v>0</x:v>
      </x:c>
      <x:c r="AS2732" t="str">
        <x:f>_xlfn.XLOOKUP($A2732,Games!$A$2:$A$18,Games!$N$2:$N$18,"Missing game",0)</x:f>
        <x:v>dome</x:v>
      </x:c>
      <x:c r="AT2732" t="str">
        <x:f>_xlfn.XLOOKUP($A2732,Games!$A$2:$A$18,Games!$O$2:$O$18,"Missing game",0)</x:f>
        <x:v>sportturf</x:v>
      </x:c>
      <x:c r="AU2732" t="str">
        <x:f>_xlfn.XLOOKUP($A2732,Games!$A$2:$A$18,Games!$P$2:$P$18,"Missing game",0)</x:f>
      </x:c>
      <x:c r="AV2732" t="str">
        <x:f>_xlfn.XLOOKUP($A2732,Games!$A$2:$A$18,Games!$Q$2:$Q$18,"Missing game",0)</x:f>
      </x:c>
      <x:c r="AW2732" t="str">
        <x:f>_xlfn.XLOOKUP($A2732,Games!$A$2:$A$18,Games!$R$2:$R$18,"Missing game",0)</x:f>
        <x:v>U.S. Bank Stadium</x:v>
      </x:c>
    </x:row>
    <x:row r="2733">
      <x:c r="A2733" t="str">
        <x:v>2025_18_GB_MIN</x:v>
      </x:c>
      <x:c r="B2733" t="n">
        <x:v>2309</x:v>
      </x:c>
      <x:c r="C2733" t="n">
        <x:v>3</x:v>
      </x:c>
      <x:c r="D2733" t="str">
        <x:v>09:52</x:v>
      </x:c>
      <x:c r="E2733" t="n">
        <x:v>2</x:v>
      </x:c>
      <x:c r="F2733" t="n">
        <x:v>2</x:v>
      </x:c>
      <x:c r="G2733" t="str">
        <x:v>MIN</x:v>
      </x:c>
      <x:c r="H2733" t="str">
        <x:v>GB</x:v>
      </x:c>
      <x:c r="I2733" t="str">
        <x:v>MIN</x:v>
      </x:c>
      <x:c r="J2733" t="n">
        <x:v>78</x:v>
      </x:c>
      <x:c r="K2733" t="str">
        <x:v>(9:52) 27-J.Mason left tackle to MIN 25 for 3 yards (99-B.Sorrell; 48-J.Johnson).</x:v>
      </x:c>
      <x:c r="L2733" t="str">
        <x:v>run</x:v>
      </x:c>
      <x:c r="M2733" t="n">
        <x:v>3</x:v>
      </x:c>
      <x:c r="N2733" t="n">
        <x:v>0</x:v>
      </x:c>
      <x:c r="O2733" t="n">
        <x:v>0</x:v>
      </x:c>
      <x:c r="P2733"/>
      <x:c r="Q2733"/>
      <x:c r="R2733"/>
      <x:c r="S2733"/>
      <x:c r="T2733" t="str">
        <x:v>left</x:v>
      </x:c>
      <x:c r="U2733" t="str">
        <x:v>tackle</x:v>
      </x:c>
      <x:c r="V2733" t="n">
        <x:v>0</x:v>
      </x:c>
      <x:c r="W2733" t="n">
        <x:v>1</x:v>
      </x:c>
      <x:c r="X2733" t="n">
        <x:v>0</x:v>
      </x:c>
      <x:c r="Y2733" t="n">
        <x:v>0</x:v>
      </x:c>
      <x:c r="Z2733" t="n">
        <x:v>0</x:v>
      </x:c>
      <x:c r="AA2733" t="n">
        <x:v>0</x:v>
      </x:c>
      <x:c r="AB2733"/>
      <x:c r="AC2733" t="n">
        <x:v>0</x:v>
      </x:c>
      <x:c r="AD2733" t="n">
        <x:v>0.365105452015996</x:v>
      </x:c>
      <x:c r="AE2733" t="n">
        <x:v>1</x:v>
      </x:c>
      <x:c r="AF2733" t="n">
        <x:v>-0.00007742643356323242</x:v>
      </x:c>
      <x:c r="AG2733" t="n">
        <x:f>_xlfn.XLOOKUP($A2733,Games!$A$2:$A$18,Games!$B$2:$B$18,"Missing game",0)</x:f>
        <x:v>2025</x:v>
      </x:c>
      <x:c r="AH2733" t="str">
        <x:f>_xlfn.XLOOKUP($A2733,Games!$A$2:$A$18,Games!$C$2:$C$18,"Missing game",0)</x:f>
        <x:v>REG</x:v>
      </x:c>
      <x:c r="AI2733" t="n">
        <x:f>_xlfn.XLOOKUP($A2733,Games!$A$2:$A$18,Games!$D$2:$D$18,"Missing game",0)</x:f>
        <x:v>18</x:v>
      </x:c>
      <x:c r="AJ2733" s="1" t="n">
        <x:f>_xlfn.XLOOKUP($A2733,Games!$A$2:$A$18,Games!$E$2:$E$18,"Missing game",0)</x:f>
        <x:v>46026</x:v>
      </x:c>
      <x:c r="AK2733" t="str">
        <x:f>_xlfn.XLOOKUP($A2733,Games!$A$2:$A$18,Games!$F$2:$F$18,"Missing game",0)</x:f>
        <x:v>Sunday</x:v>
      </x:c>
      <x:c r="AL2733" t="str">
        <x:f>_xlfn.XLOOKUP($A2733,Games!$A$2:$A$18,Games!$G$2:$G$18,"Missing game",0)</x:f>
        <x:v>GB</x:v>
      </x:c>
      <x:c r="AM2733" t="n">
        <x:f>_xlfn.XLOOKUP($A2733,Games!$A$2:$A$18,Games!$H$2:$H$18,"Missing game",0)</x:f>
        <x:v>3</x:v>
      </x:c>
      <x:c r="AN2733" t="str">
        <x:f>_xlfn.XLOOKUP($A2733,Games!$A$2:$A$18,Games!$I$2:$I$18,"Missing game",0)</x:f>
        <x:v>MIN</x:v>
      </x:c>
      <x:c r="AO2733" t="n">
        <x:f>_xlfn.XLOOKUP($A2733,Games!$A$2:$A$18,Games!$J$2:$J$18,"Missing game",0)</x:f>
        <x:v>16</x:v>
      </x:c>
      <x:c r="AP2733" t="n">
        <x:f>_xlfn.XLOOKUP($A2733,Games!$A$2:$A$18,Games!$K$2:$K$18,"Missing game",0)</x:f>
        <x:v>13</x:v>
      </x:c>
      <x:c r="AQ2733" t="n">
        <x:f>_xlfn.XLOOKUP($A2733,Games!$A$2:$A$18,Games!$L$2:$L$18,"Missing game",0)</x:f>
        <x:v>19</x:v>
      </x:c>
      <x:c r="AR2733" t="n">
        <x:f>_xlfn.XLOOKUP($A2733,Games!$A$2:$A$18,Games!$M$2:$M$18,"Missing game",0)</x:f>
        <x:v>0</x:v>
      </x:c>
      <x:c r="AS2733" t="str">
        <x:f>_xlfn.XLOOKUP($A2733,Games!$A$2:$A$18,Games!$N$2:$N$18,"Missing game",0)</x:f>
        <x:v>dome</x:v>
      </x:c>
      <x:c r="AT2733" t="str">
        <x:f>_xlfn.XLOOKUP($A2733,Games!$A$2:$A$18,Games!$O$2:$O$18,"Missing game",0)</x:f>
        <x:v>sportturf</x:v>
      </x:c>
      <x:c r="AU2733" t="str">
        <x:f>_xlfn.XLOOKUP($A2733,Games!$A$2:$A$18,Games!$P$2:$P$18,"Missing game",0)</x:f>
      </x:c>
      <x:c r="AV2733" t="str">
        <x:f>_xlfn.XLOOKUP($A2733,Games!$A$2:$A$18,Games!$Q$2:$Q$18,"Missing game",0)</x:f>
      </x:c>
      <x:c r="AW2733" t="str">
        <x:f>_xlfn.XLOOKUP($A2733,Games!$A$2:$A$18,Games!$R$2:$R$18,"Missing game",0)</x:f>
        <x:v>U.S. Bank Stadium</x:v>
      </x:c>
    </x:row>
    <x:row r="2734">
      <x:c r="A2734" t="str">
        <x:v>2025_18_GB_MIN</x:v>
      </x:c>
      <x:c r="B2734" t="n">
        <x:v>2331</x:v>
      </x:c>
      <x:c r="C2734" t="n">
        <x:v>3</x:v>
      </x:c>
      <x:c r="D2734" t="str">
        <x:v>09:12</x:v>
      </x:c>
      <x:c r="E2734" t="n">
        <x:v>1</x:v>
      </x:c>
      <x:c r="F2734" t="n">
        <x:v>10</x:v>
      </x:c>
      <x:c r="G2734" t="str">
        <x:v>MIN</x:v>
      </x:c>
      <x:c r="H2734" t="str">
        <x:v>GB</x:v>
      </x:c>
      <x:c r="I2734" t="str">
        <x:v>MIN</x:v>
      </x:c>
      <x:c r="J2734" t="n">
        <x:v>75</x:v>
      </x:c>
      <x:c r="K2734" t="str">
        <x:v>(9:12) (Shotgun) 12-M.Brosmer pass short right to 18-J.Jefferson pushed ob at MIN 34 for 9 yards (38-J.Simpson).</x:v>
      </x:c>
      <x:c r="L2734" t="str">
        <x:v>pass</x:v>
      </x:c>
      <x:c r="M2734" t="n">
        <x:v>9</x:v>
      </x:c>
      <x:c r="N2734" t="n">
        <x:v>1</x:v>
      </x:c>
      <x:c r="O2734" t="n">
        <x:v>0</x:v>
      </x:c>
      <x:c r="P2734" t="str">
        <x:v>short</x:v>
      </x:c>
      <x:c r="Q2734" t="str">
        <x:v>right</x:v>
      </x:c>
      <x:c r="R2734" t="n">
        <x:v>8</x:v>
      </x:c>
      <x:c r="S2734" t="n">
        <x:v>1</x:v>
      </x:c>
      <x:c r="T2734"/>
      <x:c r="U2734"/>
      <x:c r="V2734" t="n">
        <x:v>1</x:v>
      </x:c>
      <x:c r="W2734" t="n">
        <x:v>0</x:v>
      </x:c>
      <x:c r="X2734" t="n">
        <x:v>0</x:v>
      </x:c>
      <x:c r="Y2734" t="n">
        <x:v>0</x:v>
      </x:c>
      <x:c r="Z2734" t="n">
        <x:v>0</x:v>
      </x:c>
      <x:c r="AA2734" t="n">
        <x:v>0</x:v>
      </x:c>
      <x:c r="AB2734"/>
      <x:c r="AC2734" t="n">
        <x:v>0</x:v>
      </x:c>
      <x:c r="AD2734" t="n">
        <x:v>0.7571209301240742</x:v>
      </x:c>
      <x:c r="AE2734" t="n">
        <x:v>1</x:v>
      </x:c>
      <x:c r="AF2734" t="n">
        <x:v>0.0069664716720581055</x:v>
      </x:c>
      <x:c r="AG2734" t="n">
        <x:f>_xlfn.XLOOKUP($A2734,Games!$A$2:$A$18,Games!$B$2:$B$18,"Missing game",0)</x:f>
        <x:v>2025</x:v>
      </x:c>
      <x:c r="AH2734" t="str">
        <x:f>_xlfn.XLOOKUP($A2734,Games!$A$2:$A$18,Games!$C$2:$C$18,"Missing game",0)</x:f>
        <x:v>REG</x:v>
      </x:c>
      <x:c r="AI2734" t="n">
        <x:f>_xlfn.XLOOKUP($A2734,Games!$A$2:$A$18,Games!$D$2:$D$18,"Missing game",0)</x:f>
        <x:v>18</x:v>
      </x:c>
      <x:c r="AJ2734" s="1" t="n">
        <x:f>_xlfn.XLOOKUP($A2734,Games!$A$2:$A$18,Games!$E$2:$E$18,"Missing game",0)</x:f>
        <x:v>46026</x:v>
      </x:c>
      <x:c r="AK2734" t="str">
        <x:f>_xlfn.XLOOKUP($A2734,Games!$A$2:$A$18,Games!$F$2:$F$18,"Missing game",0)</x:f>
        <x:v>Sunday</x:v>
      </x:c>
      <x:c r="AL2734" t="str">
        <x:f>_xlfn.XLOOKUP($A2734,Games!$A$2:$A$18,Games!$G$2:$G$18,"Missing game",0)</x:f>
        <x:v>GB</x:v>
      </x:c>
      <x:c r="AM2734" t="n">
        <x:f>_xlfn.XLOOKUP($A2734,Games!$A$2:$A$18,Games!$H$2:$H$18,"Missing game",0)</x:f>
        <x:v>3</x:v>
      </x:c>
      <x:c r="AN2734" t="str">
        <x:f>_xlfn.XLOOKUP($A2734,Games!$A$2:$A$18,Games!$I$2:$I$18,"Missing game",0)</x:f>
        <x:v>MIN</x:v>
      </x:c>
      <x:c r="AO2734" t="n">
        <x:f>_xlfn.XLOOKUP($A2734,Games!$A$2:$A$18,Games!$J$2:$J$18,"Missing game",0)</x:f>
        <x:v>16</x:v>
      </x:c>
      <x:c r="AP2734" t="n">
        <x:f>_xlfn.XLOOKUP($A2734,Games!$A$2:$A$18,Games!$K$2:$K$18,"Missing game",0)</x:f>
        <x:v>13</x:v>
      </x:c>
      <x:c r="AQ2734" t="n">
        <x:f>_xlfn.XLOOKUP($A2734,Games!$A$2:$A$18,Games!$L$2:$L$18,"Missing game",0)</x:f>
        <x:v>19</x:v>
      </x:c>
      <x:c r="AR2734" t="n">
        <x:f>_xlfn.XLOOKUP($A2734,Games!$A$2:$A$18,Games!$M$2:$M$18,"Missing game",0)</x:f>
        <x:v>0</x:v>
      </x:c>
      <x:c r="AS2734" t="str">
        <x:f>_xlfn.XLOOKUP($A2734,Games!$A$2:$A$18,Games!$N$2:$N$18,"Missing game",0)</x:f>
        <x:v>dome</x:v>
      </x:c>
      <x:c r="AT2734" t="str">
        <x:f>_xlfn.XLOOKUP($A2734,Games!$A$2:$A$18,Games!$O$2:$O$18,"Missing game",0)</x:f>
        <x:v>sportturf</x:v>
      </x:c>
      <x:c r="AU2734" t="str">
        <x:f>_xlfn.XLOOKUP($A2734,Games!$A$2:$A$18,Games!$P$2:$P$18,"Missing game",0)</x:f>
      </x:c>
      <x:c r="AV2734" t="str">
        <x:f>_xlfn.XLOOKUP($A2734,Games!$A$2:$A$18,Games!$Q$2:$Q$18,"Missing game",0)</x:f>
      </x:c>
      <x:c r="AW2734" t="str">
        <x:f>_xlfn.XLOOKUP($A2734,Games!$A$2:$A$18,Games!$R$2:$R$18,"Missing game",0)</x:f>
        <x:v>U.S. Bank Stadium</x:v>
      </x:c>
    </x:row>
    <x:row r="2735">
      <x:c r="A2735" t="str">
        <x:v>2025_18_GB_MIN</x:v>
      </x:c>
      <x:c r="B2735" t="n">
        <x:v>2364</x:v>
      </x:c>
      <x:c r="C2735" t="n">
        <x:v>3</x:v>
      </x:c>
      <x:c r="D2735" t="str">
        <x:v>08:32</x:v>
      </x:c>
      <x:c r="E2735" t="n">
        <x:v>2</x:v>
      </x:c>
      <x:c r="F2735" t="n">
        <x:v>1</x:v>
      </x:c>
      <x:c r="G2735" t="str">
        <x:v>MIN</x:v>
      </x:c>
      <x:c r="H2735" t="str">
        <x:v>GB</x:v>
      </x:c>
      <x:c r="I2735" t="str">
        <x:v>MIN</x:v>
      </x:c>
      <x:c r="J2735" t="n">
        <x:v>66</x:v>
      </x:c>
      <x:c r="K2735" t="str">
        <x:v>(8:32) 27-J.Mason left end to MIN 33 for -1 yards (34-S.Bartholomew).</x:v>
      </x:c>
      <x:c r="L2735" t="str">
        <x:v>run</x:v>
      </x:c>
      <x:c r="M2735" t="n">
        <x:v>-1</x:v>
      </x:c>
      <x:c r="N2735" t="n">
        <x:v>0</x:v>
      </x:c>
      <x:c r="O2735" t="n">
        <x:v>0</x:v>
      </x:c>
      <x:c r="P2735"/>
      <x:c r="Q2735"/>
      <x:c r="R2735"/>
      <x:c r="S2735"/>
      <x:c r="T2735" t="str">
        <x:v>left</x:v>
      </x:c>
      <x:c r="U2735" t="str">
        <x:v>end</x:v>
      </x:c>
      <x:c r="V2735" t="n">
        <x:v>0</x:v>
      </x:c>
      <x:c r="W2735" t="n">
        <x:v>0</x:v>
      </x:c>
      <x:c r="X2735" t="n">
        <x:v>0</x:v>
      </x:c>
      <x:c r="Y2735" t="n">
        <x:v>0</x:v>
      </x:c>
      <x:c r="Z2735" t="n">
        <x:v>0</x:v>
      </x:c>
      <x:c r="AA2735" t="n">
        <x:v>0</x:v>
      </x:c>
      <x:c r="AB2735"/>
      <x:c r="AC2735" t="n">
        <x:v>0</x:v>
      </x:c>
      <x:c r="AD2735" t="n">
        <x:v>-1.006049148272723</x:v>
      </x:c>
      <x:c r="AE2735" t="n">
        <x:v>0</x:v>
      </x:c>
      <x:c r="AF2735" t="n">
        <x:v>-0.007085621356964111</x:v>
      </x:c>
      <x:c r="AG2735" t="n">
        <x:f>_xlfn.XLOOKUP($A2735,Games!$A$2:$A$18,Games!$B$2:$B$18,"Missing game",0)</x:f>
        <x:v>2025</x:v>
      </x:c>
      <x:c r="AH2735" t="str">
        <x:f>_xlfn.XLOOKUP($A2735,Games!$A$2:$A$18,Games!$C$2:$C$18,"Missing game",0)</x:f>
        <x:v>REG</x:v>
      </x:c>
      <x:c r="AI2735" t="n">
        <x:f>_xlfn.XLOOKUP($A2735,Games!$A$2:$A$18,Games!$D$2:$D$18,"Missing game",0)</x:f>
        <x:v>18</x:v>
      </x:c>
      <x:c r="AJ2735" s="1" t="n">
        <x:f>_xlfn.XLOOKUP($A2735,Games!$A$2:$A$18,Games!$E$2:$E$18,"Missing game",0)</x:f>
        <x:v>46026</x:v>
      </x:c>
      <x:c r="AK2735" t="str">
        <x:f>_xlfn.XLOOKUP($A2735,Games!$A$2:$A$18,Games!$F$2:$F$18,"Missing game",0)</x:f>
        <x:v>Sunday</x:v>
      </x:c>
      <x:c r="AL2735" t="str">
        <x:f>_xlfn.XLOOKUP($A2735,Games!$A$2:$A$18,Games!$G$2:$G$18,"Missing game",0)</x:f>
        <x:v>GB</x:v>
      </x:c>
      <x:c r="AM2735" t="n">
        <x:f>_xlfn.XLOOKUP($A2735,Games!$A$2:$A$18,Games!$H$2:$H$18,"Missing game",0)</x:f>
        <x:v>3</x:v>
      </x:c>
      <x:c r="AN2735" t="str">
        <x:f>_xlfn.XLOOKUP($A2735,Games!$A$2:$A$18,Games!$I$2:$I$18,"Missing game",0)</x:f>
        <x:v>MIN</x:v>
      </x:c>
      <x:c r="AO2735" t="n">
        <x:f>_xlfn.XLOOKUP($A2735,Games!$A$2:$A$18,Games!$J$2:$J$18,"Missing game",0)</x:f>
        <x:v>16</x:v>
      </x:c>
      <x:c r="AP2735" t="n">
        <x:f>_xlfn.XLOOKUP($A2735,Games!$A$2:$A$18,Games!$K$2:$K$18,"Missing game",0)</x:f>
        <x:v>13</x:v>
      </x:c>
      <x:c r="AQ2735" t="n">
        <x:f>_xlfn.XLOOKUP($A2735,Games!$A$2:$A$18,Games!$L$2:$L$18,"Missing game",0)</x:f>
        <x:v>19</x:v>
      </x:c>
      <x:c r="AR2735" t="n">
        <x:f>_xlfn.XLOOKUP($A2735,Games!$A$2:$A$18,Games!$M$2:$M$18,"Missing game",0)</x:f>
        <x:v>0</x:v>
      </x:c>
      <x:c r="AS2735" t="str">
        <x:f>_xlfn.XLOOKUP($A2735,Games!$A$2:$A$18,Games!$N$2:$N$18,"Missing game",0)</x:f>
        <x:v>dome</x:v>
      </x:c>
      <x:c r="AT2735" t="str">
        <x:f>_xlfn.XLOOKUP($A2735,Games!$A$2:$A$18,Games!$O$2:$O$18,"Missing game",0)</x:f>
        <x:v>sportturf</x:v>
      </x:c>
      <x:c r="AU2735" t="str">
        <x:f>_xlfn.XLOOKUP($A2735,Games!$A$2:$A$18,Games!$P$2:$P$18,"Missing game",0)</x:f>
      </x:c>
      <x:c r="AV2735" t="str">
        <x:f>_xlfn.XLOOKUP($A2735,Games!$A$2:$A$18,Games!$Q$2:$Q$18,"Missing game",0)</x:f>
      </x:c>
      <x:c r="AW2735" t="str">
        <x:f>_xlfn.XLOOKUP($A2735,Games!$A$2:$A$18,Games!$R$2:$R$18,"Missing game",0)</x:f>
        <x:v>U.S. Bank Stadium</x:v>
      </x:c>
    </x:row>
    <x:row r="2736">
      <x:c r="A2736" t="str">
        <x:v>2025_18_GB_MIN</x:v>
      </x:c>
      <x:c r="B2736" t="n">
        <x:v>2386</x:v>
      </x:c>
      <x:c r="C2736" t="n">
        <x:v>3</x:v>
      </x:c>
      <x:c r="D2736" t="str">
        <x:v>07:52</x:v>
      </x:c>
      <x:c r="E2736" t="n">
        <x:v>3</x:v>
      </x:c>
      <x:c r="F2736" t="n">
        <x:v>2</x:v>
      </x:c>
      <x:c r="G2736" t="str">
        <x:v>MIN</x:v>
      </x:c>
      <x:c r="H2736" t="str">
        <x:v>GB</x:v>
      </x:c>
      <x:c r="I2736" t="str">
        <x:v>MIN</x:v>
      </x:c>
      <x:c r="J2736" t="n">
        <x:v>67</x:v>
      </x:c>
      <x:c r="K2736" t="str">
        <x:v>(7:52) (Shotgun) 12-M.Brosmer sacked at MIN 33 for 0 yards (99-B.Sorrell).</x:v>
      </x:c>
      <x:c r="L2736" t="str">
        <x:v>pass</x:v>
      </x:c>
      <x:c r="M2736" t="n">
        <x:v>0</x:v>
      </x:c>
      <x:c r="N2736" t="n">
        <x:v>1</x:v>
      </x:c>
      <x:c r="O2736" t="n">
        <x:v>0</x:v>
      </x:c>
      <x:c r="P2736"/>
      <x:c r="Q2736"/>
      <x:c r="R2736"/>
      <x:c r="S2736"/>
      <x:c r="T2736"/>
      <x:c r="U2736"/>
      <x:c r="V2736" t="n">
        <x:v>0</x:v>
      </x:c>
      <x:c r="W2736" t="n">
        <x:v>0</x:v>
      </x:c>
      <x:c r="X2736" t="n">
        <x:v>1</x:v>
      </x:c>
      <x:c r="Y2736" t="n">
        <x:v>0</x:v>
      </x:c>
      <x:c r="Z2736" t="n">
        <x:v>0</x:v>
      </x:c>
      <x:c r="AA2736" t="n">
        <x:v>0</x:v>
      </x:c>
      <x:c r="AB2736"/>
      <x:c r="AC2736" t="n">
        <x:v>0</x:v>
      </x:c>
      <x:c r="AD2736" t="n">
        <x:v>-1.8515307335183024</x:v>
      </x:c>
      <x:c r="AE2736" t="n">
        <x:v>0</x:v>
      </x:c>
      <x:c r="AF2736" t="n">
        <x:v>-0.014079511165618896</x:v>
      </x:c>
      <x:c r="AG2736" t="n">
        <x:f>_xlfn.XLOOKUP($A2736,Games!$A$2:$A$18,Games!$B$2:$B$18,"Missing game",0)</x:f>
        <x:v>2025</x:v>
      </x:c>
      <x:c r="AH2736" t="str">
        <x:f>_xlfn.XLOOKUP($A2736,Games!$A$2:$A$18,Games!$C$2:$C$18,"Missing game",0)</x:f>
        <x:v>REG</x:v>
      </x:c>
      <x:c r="AI2736" t="n">
        <x:f>_xlfn.XLOOKUP($A2736,Games!$A$2:$A$18,Games!$D$2:$D$18,"Missing game",0)</x:f>
        <x:v>18</x:v>
      </x:c>
      <x:c r="AJ2736" s="1" t="n">
        <x:f>_xlfn.XLOOKUP($A2736,Games!$A$2:$A$18,Games!$E$2:$E$18,"Missing game",0)</x:f>
        <x:v>46026</x:v>
      </x:c>
      <x:c r="AK2736" t="str">
        <x:f>_xlfn.XLOOKUP($A2736,Games!$A$2:$A$18,Games!$F$2:$F$18,"Missing game",0)</x:f>
        <x:v>Sunday</x:v>
      </x:c>
      <x:c r="AL2736" t="str">
        <x:f>_xlfn.XLOOKUP($A2736,Games!$A$2:$A$18,Games!$G$2:$G$18,"Missing game",0)</x:f>
        <x:v>GB</x:v>
      </x:c>
      <x:c r="AM2736" t="n">
        <x:f>_xlfn.XLOOKUP($A2736,Games!$A$2:$A$18,Games!$H$2:$H$18,"Missing game",0)</x:f>
        <x:v>3</x:v>
      </x:c>
      <x:c r="AN2736" t="str">
        <x:f>_xlfn.XLOOKUP($A2736,Games!$A$2:$A$18,Games!$I$2:$I$18,"Missing game",0)</x:f>
        <x:v>MIN</x:v>
      </x:c>
      <x:c r="AO2736" t="n">
        <x:f>_xlfn.XLOOKUP($A2736,Games!$A$2:$A$18,Games!$J$2:$J$18,"Missing game",0)</x:f>
        <x:v>16</x:v>
      </x:c>
      <x:c r="AP2736" t="n">
        <x:f>_xlfn.XLOOKUP($A2736,Games!$A$2:$A$18,Games!$K$2:$K$18,"Missing game",0)</x:f>
        <x:v>13</x:v>
      </x:c>
      <x:c r="AQ2736" t="n">
        <x:f>_xlfn.XLOOKUP($A2736,Games!$A$2:$A$18,Games!$L$2:$L$18,"Missing game",0)</x:f>
        <x:v>19</x:v>
      </x:c>
      <x:c r="AR2736" t="n">
        <x:f>_xlfn.XLOOKUP($A2736,Games!$A$2:$A$18,Games!$M$2:$M$18,"Missing game",0)</x:f>
        <x:v>0</x:v>
      </x:c>
      <x:c r="AS2736" t="str">
        <x:f>_xlfn.XLOOKUP($A2736,Games!$A$2:$A$18,Games!$N$2:$N$18,"Missing game",0)</x:f>
        <x:v>dome</x:v>
      </x:c>
      <x:c r="AT2736" t="str">
        <x:f>_xlfn.XLOOKUP($A2736,Games!$A$2:$A$18,Games!$O$2:$O$18,"Missing game",0)</x:f>
        <x:v>sportturf</x:v>
      </x:c>
      <x:c r="AU2736" t="str">
        <x:f>_xlfn.XLOOKUP($A2736,Games!$A$2:$A$18,Games!$P$2:$P$18,"Missing game",0)</x:f>
      </x:c>
      <x:c r="AV2736" t="str">
        <x:f>_xlfn.XLOOKUP($A2736,Games!$A$2:$A$18,Games!$Q$2:$Q$18,"Missing game",0)</x:f>
      </x:c>
      <x:c r="AW2736" t="str">
        <x:f>_xlfn.XLOOKUP($A2736,Games!$A$2:$A$18,Games!$R$2:$R$18,"Missing game",0)</x:f>
        <x:v>U.S. Bank Stadium</x:v>
      </x:c>
    </x:row>
    <x:row r="2737">
      <x:c r="A2737" t="str">
        <x:v>2025_18_GB_MIN</x:v>
      </x:c>
      <x:c r="B2737" t="n">
        <x:v>2406</x:v>
      </x:c>
      <x:c r="C2737" t="n">
        <x:v>3</x:v>
      </x:c>
      <x:c r="D2737" t="str">
        <x:v>07:16</x:v>
      </x:c>
      <x:c r="E2737" t="n">
        <x:v>4</x:v>
      </x:c>
      <x:c r="F2737" t="n">
        <x:v>2</x:v>
      </x:c>
      <x:c r="G2737" t="str">
        <x:v>MIN</x:v>
      </x:c>
      <x:c r="H2737" t="str">
        <x:v>GB</x:v>
      </x:c>
      <x:c r="I2737" t="str">
        <x:v>MIN</x:v>
      </x:c>
      <x:c r="J2737" t="n">
        <x:v>67</x:v>
      </x:c>
      <x:c r="K2737" t="str">
        <x:v>(7:16) 17-R.Wright punts 55 yards to GB 12, Center-42-A.DePaola, fair catch by 84-J.Keeney-James.</x:v>
      </x:c>
      <x:c r="L2737" t="str">
        <x:v>punt</x:v>
      </x:c>
      <x:c r="M2737" t="n">
        <x:v>0</x:v>
      </x:c>
      <x:c r="N2737" t="n">
        <x:v>0</x:v>
      </x:c>
      <x:c r="O2737" t="n">
        <x:v>0</x:v>
      </x:c>
      <x:c r="P2737"/>
      <x:c r="Q2737"/>
      <x:c r="R2737"/>
      <x:c r="S2737"/>
      <x:c r="T2737"/>
      <x:c r="U2737"/>
      <x:c r="V2737" t="n">
        <x:v>0</x:v>
      </x:c>
      <x:c r="W2737" t="n">
        <x:v>0</x:v>
      </x:c>
      <x:c r="X2737" t="n">
        <x:v>0</x:v>
      </x:c>
      <x:c r="Y2737" t="n">
        <x:v>0</x:v>
      </x:c>
      <x:c r="Z2737" t="n">
        <x:v>0</x:v>
      </x:c>
      <x:c r="AA2737" t="n">
        <x:v>0</x:v>
      </x:c>
      <x:c r="AB2737"/>
      <x:c r="AC2737" t="n">
        <x:v>0</x:v>
      </x:c>
      <x:c r="AD2737" t="n">
        <x:v>0.1897259373217821</x:v>
      </x:c>
      <x:c r="AE2737" t="n">
        <x:v>1</x:v>
      </x:c>
      <x:c r="AF2737" t="n">
        <x:v>0.013123683631420135</x:v>
      </x:c>
      <x:c r="AG2737" t="n">
        <x:f>_xlfn.XLOOKUP($A2737,Games!$A$2:$A$18,Games!$B$2:$B$18,"Missing game",0)</x:f>
        <x:v>2025</x:v>
      </x:c>
      <x:c r="AH2737" t="str">
        <x:f>_xlfn.XLOOKUP($A2737,Games!$A$2:$A$18,Games!$C$2:$C$18,"Missing game",0)</x:f>
        <x:v>REG</x:v>
      </x:c>
      <x:c r="AI2737" t="n">
        <x:f>_xlfn.XLOOKUP($A2737,Games!$A$2:$A$18,Games!$D$2:$D$18,"Missing game",0)</x:f>
        <x:v>18</x:v>
      </x:c>
      <x:c r="AJ2737" s="1" t="n">
        <x:f>_xlfn.XLOOKUP($A2737,Games!$A$2:$A$18,Games!$E$2:$E$18,"Missing game",0)</x:f>
        <x:v>46026</x:v>
      </x:c>
      <x:c r="AK2737" t="str">
        <x:f>_xlfn.XLOOKUP($A2737,Games!$A$2:$A$18,Games!$F$2:$F$18,"Missing game",0)</x:f>
        <x:v>Sunday</x:v>
      </x:c>
      <x:c r="AL2737" t="str">
        <x:f>_xlfn.XLOOKUP($A2737,Games!$A$2:$A$18,Games!$G$2:$G$18,"Missing game",0)</x:f>
        <x:v>GB</x:v>
      </x:c>
      <x:c r="AM2737" t="n">
        <x:f>_xlfn.XLOOKUP($A2737,Games!$A$2:$A$18,Games!$H$2:$H$18,"Missing game",0)</x:f>
        <x:v>3</x:v>
      </x:c>
      <x:c r="AN2737" t="str">
        <x:f>_xlfn.XLOOKUP($A2737,Games!$A$2:$A$18,Games!$I$2:$I$18,"Missing game",0)</x:f>
        <x:v>MIN</x:v>
      </x:c>
      <x:c r="AO2737" t="n">
        <x:f>_xlfn.XLOOKUP($A2737,Games!$A$2:$A$18,Games!$J$2:$J$18,"Missing game",0)</x:f>
        <x:v>16</x:v>
      </x:c>
      <x:c r="AP2737" t="n">
        <x:f>_xlfn.XLOOKUP($A2737,Games!$A$2:$A$18,Games!$K$2:$K$18,"Missing game",0)</x:f>
        <x:v>13</x:v>
      </x:c>
      <x:c r="AQ2737" t="n">
        <x:f>_xlfn.XLOOKUP($A2737,Games!$A$2:$A$18,Games!$L$2:$L$18,"Missing game",0)</x:f>
        <x:v>19</x:v>
      </x:c>
      <x:c r="AR2737" t="n">
        <x:f>_xlfn.XLOOKUP($A2737,Games!$A$2:$A$18,Games!$M$2:$M$18,"Missing game",0)</x:f>
        <x:v>0</x:v>
      </x:c>
      <x:c r="AS2737" t="str">
        <x:f>_xlfn.XLOOKUP($A2737,Games!$A$2:$A$18,Games!$N$2:$N$18,"Missing game",0)</x:f>
        <x:v>dome</x:v>
      </x:c>
      <x:c r="AT2737" t="str">
        <x:f>_xlfn.XLOOKUP($A2737,Games!$A$2:$A$18,Games!$O$2:$O$18,"Missing game",0)</x:f>
        <x:v>sportturf</x:v>
      </x:c>
      <x:c r="AU2737" t="str">
        <x:f>_xlfn.XLOOKUP($A2737,Games!$A$2:$A$18,Games!$P$2:$P$18,"Missing game",0)</x:f>
      </x:c>
      <x:c r="AV2737" t="str">
        <x:f>_xlfn.XLOOKUP($A2737,Games!$A$2:$A$18,Games!$Q$2:$Q$18,"Missing game",0)</x:f>
      </x:c>
      <x:c r="AW2737" t="str">
        <x:f>_xlfn.XLOOKUP($A2737,Games!$A$2:$A$18,Games!$R$2:$R$18,"Missing game",0)</x:f>
        <x:v>U.S. Bank Stadium</x:v>
      </x:c>
    </x:row>
    <x:row r="2738">
      <x:c r="A2738" t="str">
        <x:v>2025_18_GB_MIN</x:v>
      </x:c>
      <x:c r="B2738" t="n">
        <x:v>2431</x:v>
      </x:c>
      <x:c r="C2738" t="n">
        <x:v>3</x:v>
      </x:c>
      <x:c r="D2738" t="str">
        <x:v>07:08</x:v>
      </x:c>
      <x:c r="E2738" t="n">
        <x:v>1</x:v>
      </x:c>
      <x:c r="F2738" t="n">
        <x:v>10</x:v>
      </x:c>
      <x:c r="G2738" t="str">
        <x:v>GB</x:v>
      </x:c>
      <x:c r="H2738" t="str">
        <x:v>MIN</x:v>
      </x:c>
      <x:c r="I2738" t="str">
        <x:v>GB</x:v>
      </x:c>
      <x:c r="J2738" t="n">
        <x:v>88</x:v>
      </x:c>
      <x:c r="K2738" t="str">
        <x:v>(7:08) PENALTY on GB-77-J.Morgan, False Start, 5 yards, enforced at GB 12 - No Play.</x:v>
      </x:c>
      <x:c r="L2738" t="str">
        <x:v>no_play</x:v>
      </x:c>
      <x:c r="M2738" t="n">
        <x:v>0</x:v>
      </x:c>
      <x:c r="N2738" t="n">
        <x:v>0</x:v>
      </x:c>
      <x:c r="O2738" t="n">
        <x:v>0</x:v>
      </x:c>
      <x:c r="P2738"/>
      <x:c r="Q2738"/>
      <x:c r="R2738"/>
      <x:c r="S2738"/>
      <x:c r="T2738"/>
      <x:c r="U2738"/>
      <x:c r="V2738" t="n">
        <x:v>0</x:v>
      </x:c>
      <x:c r="W2738" t="n">
        <x:v>0</x:v>
      </x:c>
      <x:c r="X2738" t="n">
        <x:v>0</x:v>
      </x:c>
      <x:c r="Y2738" t="n">
        <x:v>0</x:v>
      </x:c>
      <x:c r="Z2738" t="n">
        <x:v>0</x:v>
      </x:c>
      <x:c r="AA2738" t="n">
        <x:v>1</x:v>
      </x:c>
      <x:c r="AB2738" t="n">
        <x:v>5</x:v>
      </x:c>
      <x:c r="AC2738" t="n">
        <x:v>0</x:v>
      </x:c>
      <x:c r="AD2738" t="n">
        <x:v>-1.0828544683754444</x:v>
      </x:c>
      <x:c r="AE2738" t="n">
        <x:v>0</x:v>
      </x:c>
      <x:c r="AF2738" t="n">
        <x:v>-0.006647136062383652</x:v>
      </x:c>
      <x:c r="AG2738" t="n">
        <x:f>_xlfn.XLOOKUP($A2738,Games!$A$2:$A$18,Games!$B$2:$B$18,"Missing game",0)</x:f>
        <x:v>2025</x:v>
      </x:c>
      <x:c r="AH2738" t="str">
        <x:f>_xlfn.XLOOKUP($A2738,Games!$A$2:$A$18,Games!$C$2:$C$18,"Missing game",0)</x:f>
        <x:v>REG</x:v>
      </x:c>
      <x:c r="AI2738" t="n">
        <x:f>_xlfn.XLOOKUP($A2738,Games!$A$2:$A$18,Games!$D$2:$D$18,"Missing game",0)</x:f>
        <x:v>18</x:v>
      </x:c>
      <x:c r="AJ2738" s="1" t="n">
        <x:f>_xlfn.XLOOKUP($A2738,Games!$A$2:$A$18,Games!$E$2:$E$18,"Missing game",0)</x:f>
        <x:v>46026</x:v>
      </x:c>
      <x:c r="AK2738" t="str">
        <x:f>_xlfn.XLOOKUP($A2738,Games!$A$2:$A$18,Games!$F$2:$F$18,"Missing game",0)</x:f>
        <x:v>Sunday</x:v>
      </x:c>
      <x:c r="AL2738" t="str">
        <x:f>_xlfn.XLOOKUP($A2738,Games!$A$2:$A$18,Games!$G$2:$G$18,"Missing game",0)</x:f>
        <x:v>GB</x:v>
      </x:c>
      <x:c r="AM2738" t="n">
        <x:f>_xlfn.XLOOKUP($A2738,Games!$A$2:$A$18,Games!$H$2:$H$18,"Missing game",0)</x:f>
        <x:v>3</x:v>
      </x:c>
      <x:c r="AN2738" t="str">
        <x:f>_xlfn.XLOOKUP($A2738,Games!$A$2:$A$18,Games!$I$2:$I$18,"Missing game",0)</x:f>
        <x:v>MIN</x:v>
      </x:c>
      <x:c r="AO2738" t="n">
        <x:f>_xlfn.XLOOKUP($A2738,Games!$A$2:$A$18,Games!$J$2:$J$18,"Missing game",0)</x:f>
        <x:v>16</x:v>
      </x:c>
      <x:c r="AP2738" t="n">
        <x:f>_xlfn.XLOOKUP($A2738,Games!$A$2:$A$18,Games!$K$2:$K$18,"Missing game",0)</x:f>
        <x:v>13</x:v>
      </x:c>
      <x:c r="AQ2738" t="n">
        <x:f>_xlfn.XLOOKUP($A2738,Games!$A$2:$A$18,Games!$L$2:$L$18,"Missing game",0)</x:f>
        <x:v>19</x:v>
      </x:c>
      <x:c r="AR2738" t="n">
        <x:f>_xlfn.XLOOKUP($A2738,Games!$A$2:$A$18,Games!$M$2:$M$18,"Missing game",0)</x:f>
        <x:v>0</x:v>
      </x:c>
      <x:c r="AS2738" t="str">
        <x:f>_xlfn.XLOOKUP($A2738,Games!$A$2:$A$18,Games!$N$2:$N$18,"Missing game",0)</x:f>
        <x:v>dome</x:v>
      </x:c>
      <x:c r="AT2738" t="str">
        <x:f>_xlfn.XLOOKUP($A2738,Games!$A$2:$A$18,Games!$O$2:$O$18,"Missing game",0)</x:f>
        <x:v>sportturf</x:v>
      </x:c>
      <x:c r="AU2738" t="str">
        <x:f>_xlfn.XLOOKUP($A2738,Games!$A$2:$A$18,Games!$P$2:$P$18,"Missing game",0)</x:f>
      </x:c>
      <x:c r="AV2738" t="str">
        <x:f>_xlfn.XLOOKUP($A2738,Games!$A$2:$A$18,Games!$Q$2:$Q$18,"Missing game",0)</x:f>
      </x:c>
      <x:c r="AW2738" t="str">
        <x:f>_xlfn.XLOOKUP($A2738,Games!$A$2:$A$18,Games!$R$2:$R$18,"Missing game",0)</x:f>
        <x:v>U.S. Bank Stadium</x:v>
      </x:c>
    </x:row>
    <x:row r="2739">
      <x:c r="A2739" t="str">
        <x:v>2025_18_GB_MIN</x:v>
      </x:c>
      <x:c r="B2739" t="n">
        <x:v>2462</x:v>
      </x:c>
      <x:c r="C2739" t="n">
        <x:v>3</x:v>
      </x:c>
      <x:c r="D2739" t="str">
        <x:v>07:08</x:v>
      </x:c>
      <x:c r="E2739" t="n">
        <x:v>1</x:v>
      </x:c>
      <x:c r="F2739" t="n">
        <x:v>15</x:v>
      </x:c>
      <x:c r="G2739" t="str">
        <x:v>GB</x:v>
      </x:c>
      <x:c r="H2739" t="str">
        <x:v>MIN</x:v>
      </x:c>
      <x:c r="I2739" t="str">
        <x:v>GB</x:v>
      </x:c>
      <x:c r="J2739" t="n">
        <x:v>93</x:v>
      </x:c>
      <x:c r="K2739" t="str">
        <x:v>(7:08) (Shotgun) 6-C.Tune scrambles right end ran ob at GB 23 for 16 yards (55-E.Wilson).</x:v>
      </x:c>
      <x:c r="L2739" t="str">
        <x:v>run</x:v>
      </x:c>
      <x:c r="M2739" t="n">
        <x:v>16</x:v>
      </x:c>
      <x:c r="N2739" t="n">
        <x:v>1</x:v>
      </x:c>
      <x:c r="O2739" t="n">
        <x:v>0</x:v>
      </x:c>
      <x:c r="P2739"/>
      <x:c r="Q2739"/>
      <x:c r="R2739"/>
      <x:c r="S2739"/>
      <x:c r="T2739" t="str">
        <x:v>right</x:v>
      </x:c>
      <x:c r="U2739" t="str">
        <x:v>end</x:v>
      </x:c>
      <x:c r="V2739" t="n">
        <x:v>0</x:v>
      </x:c>
      <x:c r="W2739" t="n">
        <x:v>1</x:v>
      </x:c>
      <x:c r="X2739" t="n">
        <x:v>0</x:v>
      </x:c>
      <x:c r="Y2739" t="n">
        <x:v>0</x:v>
      </x:c>
      <x:c r="Z2739" t="n">
        <x:v>0</x:v>
      </x:c>
      <x:c r="AA2739" t="n">
        <x:v>0</x:v>
      </x:c>
      <x:c r="AB2739"/>
      <x:c r="AC2739" t="n">
        <x:v>0</x:v>
      </x:c>
      <x:c r="AD2739" t="n">
        <x:v>1.6368183875456452</x:v>
      </x:c>
      <x:c r="AE2739" t="n">
        <x:v>1</x:v>
      </x:c>
      <x:c r="AF2739" t="n">
        <x:v>0.02255648747086525</x:v>
      </x:c>
      <x:c r="AG2739" t="n">
        <x:f>_xlfn.XLOOKUP($A2739,Games!$A$2:$A$18,Games!$B$2:$B$18,"Missing game",0)</x:f>
        <x:v>2025</x:v>
      </x:c>
      <x:c r="AH2739" t="str">
        <x:f>_xlfn.XLOOKUP($A2739,Games!$A$2:$A$18,Games!$C$2:$C$18,"Missing game",0)</x:f>
        <x:v>REG</x:v>
      </x:c>
      <x:c r="AI2739" t="n">
        <x:f>_xlfn.XLOOKUP($A2739,Games!$A$2:$A$18,Games!$D$2:$D$18,"Missing game",0)</x:f>
        <x:v>18</x:v>
      </x:c>
      <x:c r="AJ2739" s="1" t="n">
        <x:f>_xlfn.XLOOKUP($A2739,Games!$A$2:$A$18,Games!$E$2:$E$18,"Missing game",0)</x:f>
        <x:v>46026</x:v>
      </x:c>
      <x:c r="AK2739" t="str">
        <x:f>_xlfn.XLOOKUP($A2739,Games!$A$2:$A$18,Games!$F$2:$F$18,"Missing game",0)</x:f>
        <x:v>Sunday</x:v>
      </x:c>
      <x:c r="AL2739" t="str">
        <x:f>_xlfn.XLOOKUP($A2739,Games!$A$2:$A$18,Games!$G$2:$G$18,"Missing game",0)</x:f>
        <x:v>GB</x:v>
      </x:c>
      <x:c r="AM2739" t="n">
        <x:f>_xlfn.XLOOKUP($A2739,Games!$A$2:$A$18,Games!$H$2:$H$18,"Missing game",0)</x:f>
        <x:v>3</x:v>
      </x:c>
      <x:c r="AN2739" t="str">
        <x:f>_xlfn.XLOOKUP($A2739,Games!$A$2:$A$18,Games!$I$2:$I$18,"Missing game",0)</x:f>
        <x:v>MIN</x:v>
      </x:c>
      <x:c r="AO2739" t="n">
        <x:f>_xlfn.XLOOKUP($A2739,Games!$A$2:$A$18,Games!$J$2:$J$18,"Missing game",0)</x:f>
        <x:v>16</x:v>
      </x:c>
      <x:c r="AP2739" t="n">
        <x:f>_xlfn.XLOOKUP($A2739,Games!$A$2:$A$18,Games!$K$2:$K$18,"Missing game",0)</x:f>
        <x:v>13</x:v>
      </x:c>
      <x:c r="AQ2739" t="n">
        <x:f>_xlfn.XLOOKUP($A2739,Games!$A$2:$A$18,Games!$L$2:$L$18,"Missing game",0)</x:f>
        <x:v>19</x:v>
      </x:c>
      <x:c r="AR2739" t="n">
        <x:f>_xlfn.XLOOKUP($A2739,Games!$A$2:$A$18,Games!$M$2:$M$18,"Missing game",0)</x:f>
        <x:v>0</x:v>
      </x:c>
      <x:c r="AS2739" t="str">
        <x:f>_xlfn.XLOOKUP($A2739,Games!$A$2:$A$18,Games!$N$2:$N$18,"Missing game",0)</x:f>
        <x:v>dome</x:v>
      </x:c>
      <x:c r="AT2739" t="str">
        <x:f>_xlfn.XLOOKUP($A2739,Games!$A$2:$A$18,Games!$O$2:$O$18,"Missing game",0)</x:f>
        <x:v>sportturf</x:v>
      </x:c>
      <x:c r="AU2739" t="str">
        <x:f>_xlfn.XLOOKUP($A2739,Games!$A$2:$A$18,Games!$P$2:$P$18,"Missing game",0)</x:f>
      </x:c>
      <x:c r="AV2739" t="str">
        <x:f>_xlfn.XLOOKUP($A2739,Games!$A$2:$A$18,Games!$Q$2:$Q$18,"Missing game",0)</x:f>
      </x:c>
      <x:c r="AW2739" t="str">
        <x:f>_xlfn.XLOOKUP($A2739,Games!$A$2:$A$18,Games!$R$2:$R$18,"Missing game",0)</x:f>
        <x:v>U.S. Bank Stadium</x:v>
      </x:c>
    </x:row>
    <x:row r="2740">
      <x:c r="A2740" t="str">
        <x:v>2025_18_GB_MIN</x:v>
      </x:c>
      <x:c r="B2740" t="n">
        <x:v>2489</x:v>
      </x:c>
      <x:c r="C2740" t="n">
        <x:v>3</x:v>
      </x:c>
      <x:c r="D2740" t="str">
        <x:v>06:30</x:v>
      </x:c>
      <x:c r="E2740" t="n">
        <x:v>1</x:v>
      </x:c>
      <x:c r="F2740" t="n">
        <x:v>10</x:v>
      </x:c>
      <x:c r="G2740" t="str">
        <x:v>GB</x:v>
      </x:c>
      <x:c r="H2740" t="str">
        <x:v>MIN</x:v>
      </x:c>
      <x:c r="I2740" t="str">
        <x:v>GB</x:v>
      </x:c>
      <x:c r="J2740" t="n">
        <x:v>77</x:v>
      </x:c>
      <x:c r="K2740" t="str">
        <x:v>(6:30) 30-C.Brooks right tackle to GB 30 for 7 yards (94-T.Taimani; 24-J.Ward).</x:v>
      </x:c>
      <x:c r="L2740" t="str">
        <x:v>run</x:v>
      </x:c>
      <x:c r="M2740" t="n">
        <x:v>7</x:v>
      </x:c>
      <x:c r="N2740" t="n">
        <x:v>0</x:v>
      </x:c>
      <x:c r="O2740" t="n">
        <x:v>0</x:v>
      </x:c>
      <x:c r="P2740"/>
      <x:c r="Q2740"/>
      <x:c r="R2740"/>
      <x:c r="S2740"/>
      <x:c r="T2740" t="str">
        <x:v>right</x:v>
      </x:c>
      <x:c r="U2740" t="str">
        <x:v>tackle</x:v>
      </x:c>
      <x:c r="V2740" t="n">
        <x:v>0</x:v>
      </x:c>
      <x:c r="W2740" t="n">
        <x:v>0</x:v>
      </x:c>
      <x:c r="X2740" t="n">
        <x:v>0</x:v>
      </x:c>
      <x:c r="Y2740" t="n">
        <x:v>0</x:v>
      </x:c>
      <x:c r="Z2740" t="n">
        <x:v>0</x:v>
      </x:c>
      <x:c r="AA2740" t="n">
        <x:v>0</x:v>
      </x:c>
      <x:c r="AB2740"/>
      <x:c r="AC2740" t="n">
        <x:v>0</x:v>
      </x:c>
      <x:c r="AD2740" t="n">
        <x:v>0.4821055759675801</x:v>
      </x:c>
      <x:c r="AE2740" t="n">
        <x:v>1</x:v>
      </x:c>
      <x:c r="AF2740" t="n">
        <x:v>0.013740375638008118</x:v>
      </x:c>
      <x:c r="AG2740" t="n">
        <x:f>_xlfn.XLOOKUP($A2740,Games!$A$2:$A$18,Games!$B$2:$B$18,"Missing game",0)</x:f>
        <x:v>2025</x:v>
      </x:c>
      <x:c r="AH2740" t="str">
        <x:f>_xlfn.XLOOKUP($A2740,Games!$A$2:$A$18,Games!$C$2:$C$18,"Missing game",0)</x:f>
        <x:v>REG</x:v>
      </x:c>
      <x:c r="AI2740" t="n">
        <x:f>_xlfn.XLOOKUP($A2740,Games!$A$2:$A$18,Games!$D$2:$D$18,"Missing game",0)</x:f>
        <x:v>18</x:v>
      </x:c>
      <x:c r="AJ2740" s="1" t="n">
        <x:f>_xlfn.XLOOKUP($A2740,Games!$A$2:$A$18,Games!$E$2:$E$18,"Missing game",0)</x:f>
        <x:v>46026</x:v>
      </x:c>
      <x:c r="AK2740" t="str">
        <x:f>_xlfn.XLOOKUP($A2740,Games!$A$2:$A$18,Games!$F$2:$F$18,"Missing game",0)</x:f>
        <x:v>Sunday</x:v>
      </x:c>
      <x:c r="AL2740" t="str">
        <x:f>_xlfn.XLOOKUP($A2740,Games!$A$2:$A$18,Games!$G$2:$G$18,"Missing game",0)</x:f>
        <x:v>GB</x:v>
      </x:c>
      <x:c r="AM2740" t="n">
        <x:f>_xlfn.XLOOKUP($A2740,Games!$A$2:$A$18,Games!$H$2:$H$18,"Missing game",0)</x:f>
        <x:v>3</x:v>
      </x:c>
      <x:c r="AN2740" t="str">
        <x:f>_xlfn.XLOOKUP($A2740,Games!$A$2:$A$18,Games!$I$2:$I$18,"Missing game",0)</x:f>
        <x:v>MIN</x:v>
      </x:c>
      <x:c r="AO2740" t="n">
        <x:f>_xlfn.XLOOKUP($A2740,Games!$A$2:$A$18,Games!$J$2:$J$18,"Missing game",0)</x:f>
        <x:v>16</x:v>
      </x:c>
      <x:c r="AP2740" t="n">
        <x:f>_xlfn.XLOOKUP($A2740,Games!$A$2:$A$18,Games!$K$2:$K$18,"Missing game",0)</x:f>
        <x:v>13</x:v>
      </x:c>
      <x:c r="AQ2740" t="n">
        <x:f>_xlfn.XLOOKUP($A2740,Games!$A$2:$A$18,Games!$L$2:$L$18,"Missing game",0)</x:f>
        <x:v>19</x:v>
      </x:c>
      <x:c r="AR2740" t="n">
        <x:f>_xlfn.XLOOKUP($A2740,Games!$A$2:$A$18,Games!$M$2:$M$18,"Missing game",0)</x:f>
        <x:v>0</x:v>
      </x:c>
      <x:c r="AS2740" t="str">
        <x:f>_xlfn.XLOOKUP($A2740,Games!$A$2:$A$18,Games!$N$2:$N$18,"Missing game",0)</x:f>
        <x:v>dome</x:v>
      </x:c>
      <x:c r="AT2740" t="str">
        <x:f>_xlfn.XLOOKUP($A2740,Games!$A$2:$A$18,Games!$O$2:$O$18,"Missing game",0)</x:f>
        <x:v>sportturf</x:v>
      </x:c>
      <x:c r="AU2740" t="str">
        <x:f>_xlfn.XLOOKUP($A2740,Games!$A$2:$A$18,Games!$P$2:$P$18,"Missing game",0)</x:f>
      </x:c>
      <x:c r="AV2740" t="str">
        <x:f>_xlfn.XLOOKUP($A2740,Games!$A$2:$A$18,Games!$Q$2:$Q$18,"Missing game",0)</x:f>
      </x:c>
      <x:c r="AW2740" t="str">
        <x:f>_xlfn.XLOOKUP($A2740,Games!$A$2:$A$18,Games!$R$2:$R$18,"Missing game",0)</x:f>
        <x:v>U.S. Bank Stadium</x:v>
      </x:c>
    </x:row>
    <x:row r="2741">
      <x:c r="A2741" t="str">
        <x:v>2025_18_GB_MIN</x:v>
      </x:c>
      <x:c r="B2741" t="n">
        <x:v>2511</x:v>
      </x:c>
      <x:c r="C2741" t="n">
        <x:v>3</x:v>
      </x:c>
      <x:c r="D2741" t="str">
        <x:v>05:52</x:v>
      </x:c>
      <x:c r="E2741" t="n">
        <x:v>2</x:v>
      </x:c>
      <x:c r="F2741" t="n">
        <x:v>3</x:v>
      </x:c>
      <x:c r="G2741" t="str">
        <x:v>GB</x:v>
      </x:c>
      <x:c r="H2741" t="str">
        <x:v>MIN</x:v>
      </x:c>
      <x:c r="I2741" t="str">
        <x:v>GB</x:v>
      </x:c>
      <x:c r="J2741" t="n">
        <x:v>70</x:v>
      </x:c>
      <x:c r="K2741" t="str">
        <x:v>(5:52) (Shotgun) 30-C.Brooks left tackle to GB 39 for 9 yards (51-B.Cashman).</x:v>
      </x:c>
      <x:c r="L2741" t="str">
        <x:v>run</x:v>
      </x:c>
      <x:c r="M2741" t="n">
        <x:v>9</x:v>
      </x:c>
      <x:c r="N2741" t="n">
        <x:v>1</x:v>
      </x:c>
      <x:c r="O2741" t="n">
        <x:v>0</x:v>
      </x:c>
      <x:c r="P2741"/>
      <x:c r="Q2741"/>
      <x:c r="R2741"/>
      <x:c r="S2741"/>
      <x:c r="T2741" t="str">
        <x:v>left</x:v>
      </x:c>
      <x:c r="U2741" t="str">
        <x:v>tackle</x:v>
      </x:c>
      <x:c r="V2741" t="n">
        <x:v>0</x:v>
      </x:c>
      <x:c r="W2741" t="n">
        <x:v>1</x:v>
      </x:c>
      <x:c r="X2741" t="n">
        <x:v>0</x:v>
      </x:c>
      <x:c r="Y2741" t="n">
        <x:v>0</x:v>
      </x:c>
      <x:c r="Z2741" t="n">
        <x:v>0</x:v>
      </x:c>
      <x:c r="AA2741" t="n">
        <x:v>0</x:v>
      </x:c>
      <x:c r="AB2741"/>
      <x:c r="AC2741" t="n">
        <x:v>0</x:v>
      </x:c>
      <x:c r="AD2741" t="n">
        <x:v>0.6389123436529189</x:v>
      </x:c>
      <x:c r="AE2741" t="n">
        <x:v>1</x:v>
      </x:c>
      <x:c r="AF2741" t="n">
        <x:v>0.0044693052768707275</x:v>
      </x:c>
      <x:c r="AG2741" t="n">
        <x:f>_xlfn.XLOOKUP($A2741,Games!$A$2:$A$18,Games!$B$2:$B$18,"Missing game",0)</x:f>
        <x:v>2025</x:v>
      </x:c>
      <x:c r="AH2741" t="str">
        <x:f>_xlfn.XLOOKUP($A2741,Games!$A$2:$A$18,Games!$C$2:$C$18,"Missing game",0)</x:f>
        <x:v>REG</x:v>
      </x:c>
      <x:c r="AI2741" t="n">
        <x:f>_xlfn.XLOOKUP($A2741,Games!$A$2:$A$18,Games!$D$2:$D$18,"Missing game",0)</x:f>
        <x:v>18</x:v>
      </x:c>
      <x:c r="AJ2741" s="1" t="n">
        <x:f>_xlfn.XLOOKUP($A2741,Games!$A$2:$A$18,Games!$E$2:$E$18,"Missing game",0)</x:f>
        <x:v>46026</x:v>
      </x:c>
      <x:c r="AK2741" t="str">
        <x:f>_xlfn.XLOOKUP($A2741,Games!$A$2:$A$18,Games!$F$2:$F$18,"Missing game",0)</x:f>
        <x:v>Sunday</x:v>
      </x:c>
      <x:c r="AL2741" t="str">
        <x:f>_xlfn.XLOOKUP($A2741,Games!$A$2:$A$18,Games!$G$2:$G$18,"Missing game",0)</x:f>
        <x:v>GB</x:v>
      </x:c>
      <x:c r="AM2741" t="n">
        <x:f>_xlfn.XLOOKUP($A2741,Games!$A$2:$A$18,Games!$H$2:$H$18,"Missing game",0)</x:f>
        <x:v>3</x:v>
      </x:c>
      <x:c r="AN2741" t="str">
        <x:f>_xlfn.XLOOKUP($A2741,Games!$A$2:$A$18,Games!$I$2:$I$18,"Missing game",0)</x:f>
        <x:v>MIN</x:v>
      </x:c>
      <x:c r="AO2741" t="n">
        <x:f>_xlfn.XLOOKUP($A2741,Games!$A$2:$A$18,Games!$J$2:$J$18,"Missing game",0)</x:f>
        <x:v>16</x:v>
      </x:c>
      <x:c r="AP2741" t="n">
        <x:f>_xlfn.XLOOKUP($A2741,Games!$A$2:$A$18,Games!$K$2:$K$18,"Missing game",0)</x:f>
        <x:v>13</x:v>
      </x:c>
      <x:c r="AQ2741" t="n">
        <x:f>_xlfn.XLOOKUP($A2741,Games!$A$2:$A$18,Games!$L$2:$L$18,"Missing game",0)</x:f>
        <x:v>19</x:v>
      </x:c>
      <x:c r="AR2741" t="n">
        <x:f>_xlfn.XLOOKUP($A2741,Games!$A$2:$A$18,Games!$M$2:$M$18,"Missing game",0)</x:f>
        <x:v>0</x:v>
      </x:c>
      <x:c r="AS2741" t="str">
        <x:f>_xlfn.XLOOKUP($A2741,Games!$A$2:$A$18,Games!$N$2:$N$18,"Missing game",0)</x:f>
        <x:v>dome</x:v>
      </x:c>
      <x:c r="AT2741" t="str">
        <x:f>_xlfn.XLOOKUP($A2741,Games!$A$2:$A$18,Games!$O$2:$O$18,"Missing game",0)</x:f>
        <x:v>sportturf</x:v>
      </x:c>
      <x:c r="AU2741" t="str">
        <x:f>_xlfn.XLOOKUP($A2741,Games!$A$2:$A$18,Games!$P$2:$P$18,"Missing game",0)</x:f>
      </x:c>
      <x:c r="AV2741" t="str">
        <x:f>_xlfn.XLOOKUP($A2741,Games!$A$2:$A$18,Games!$Q$2:$Q$18,"Missing game",0)</x:f>
      </x:c>
      <x:c r="AW2741" t="str">
        <x:f>_xlfn.XLOOKUP($A2741,Games!$A$2:$A$18,Games!$R$2:$R$18,"Missing game",0)</x:f>
        <x:v>U.S. Bank Stadium</x:v>
      </x:c>
    </x:row>
    <x:row r="2742">
      <x:c r="A2742" t="str">
        <x:v>2025_18_GB_MIN</x:v>
      </x:c>
      <x:c r="B2742" t="n">
        <x:v>2533</x:v>
      </x:c>
      <x:c r="C2742" t="n">
        <x:v>3</x:v>
      </x:c>
      <x:c r="D2742" t="str">
        <x:v>05:16</x:v>
      </x:c>
      <x:c r="E2742" t="n">
        <x:v>1</x:v>
      </x:c>
      <x:c r="F2742" t="n">
        <x:v>10</x:v>
      </x:c>
      <x:c r="G2742" t="str">
        <x:v>GB</x:v>
      </x:c>
      <x:c r="H2742" t="str">
        <x:v>MIN</x:v>
      </x:c>
      <x:c r="I2742" t="str">
        <x:v>GB</x:v>
      </x:c>
      <x:c r="J2742" t="n">
        <x:v>61</x:v>
      </x:c>
      <x:c r="K2742" t="str">
        <x:v>(5:16) 23-E.Wilson left tackle to GB 44 for 5 yards (51-B.Cashman).</x:v>
      </x:c>
      <x:c r="L2742" t="str">
        <x:v>run</x:v>
      </x:c>
      <x:c r="M2742" t="n">
        <x:v>5</x:v>
      </x:c>
      <x:c r="N2742" t="n">
        <x:v>0</x:v>
      </x:c>
      <x:c r="O2742" t="n">
        <x:v>0</x:v>
      </x:c>
      <x:c r="P2742"/>
      <x:c r="Q2742"/>
      <x:c r="R2742"/>
      <x:c r="S2742"/>
      <x:c r="T2742" t="str">
        <x:v>left</x:v>
      </x:c>
      <x:c r="U2742" t="str">
        <x:v>tackle</x:v>
      </x:c>
      <x:c r="V2742" t="n">
        <x:v>0</x:v>
      </x:c>
      <x:c r="W2742" t="n">
        <x:v>0</x:v>
      </x:c>
      <x:c r="X2742" t="n">
        <x:v>0</x:v>
      </x:c>
      <x:c r="Y2742" t="n">
        <x:v>0</x:v>
      </x:c>
      <x:c r="Z2742" t="n">
        <x:v>0</x:v>
      </x:c>
      <x:c r="AA2742" t="n">
        <x:v>0</x:v>
      </x:c>
      <x:c r="AB2742"/>
      <x:c r="AC2742" t="n">
        <x:v>0</x:v>
      </x:c>
      <x:c r="AD2742" t="n">
        <x:v>0.08631990919820964</x:v>
      </x:c>
      <x:c r="AE2742" t="n">
        <x:v>1</x:v>
      </x:c>
      <x:c r="AF2742" t="n">
        <x:v>-0.00011464953422546387</x:v>
      </x:c>
      <x:c r="AG2742" t="n">
        <x:f>_xlfn.XLOOKUP($A2742,Games!$A$2:$A$18,Games!$B$2:$B$18,"Missing game",0)</x:f>
        <x:v>2025</x:v>
      </x:c>
      <x:c r="AH2742" t="str">
        <x:f>_xlfn.XLOOKUP($A2742,Games!$A$2:$A$18,Games!$C$2:$C$18,"Missing game",0)</x:f>
        <x:v>REG</x:v>
      </x:c>
      <x:c r="AI2742" t="n">
        <x:f>_xlfn.XLOOKUP($A2742,Games!$A$2:$A$18,Games!$D$2:$D$18,"Missing game",0)</x:f>
        <x:v>18</x:v>
      </x:c>
      <x:c r="AJ2742" s="1" t="n">
        <x:f>_xlfn.XLOOKUP($A2742,Games!$A$2:$A$18,Games!$E$2:$E$18,"Missing game",0)</x:f>
        <x:v>46026</x:v>
      </x:c>
      <x:c r="AK2742" t="str">
        <x:f>_xlfn.XLOOKUP($A2742,Games!$A$2:$A$18,Games!$F$2:$F$18,"Missing game",0)</x:f>
        <x:v>Sunday</x:v>
      </x:c>
      <x:c r="AL2742" t="str">
        <x:f>_xlfn.XLOOKUP($A2742,Games!$A$2:$A$18,Games!$G$2:$G$18,"Missing game",0)</x:f>
        <x:v>GB</x:v>
      </x:c>
      <x:c r="AM2742" t="n">
        <x:f>_xlfn.XLOOKUP($A2742,Games!$A$2:$A$18,Games!$H$2:$H$18,"Missing game",0)</x:f>
        <x:v>3</x:v>
      </x:c>
      <x:c r="AN2742" t="str">
        <x:f>_xlfn.XLOOKUP($A2742,Games!$A$2:$A$18,Games!$I$2:$I$18,"Missing game",0)</x:f>
        <x:v>MIN</x:v>
      </x:c>
      <x:c r="AO2742" t="n">
        <x:f>_xlfn.XLOOKUP($A2742,Games!$A$2:$A$18,Games!$J$2:$J$18,"Missing game",0)</x:f>
        <x:v>16</x:v>
      </x:c>
      <x:c r="AP2742" t="n">
        <x:f>_xlfn.XLOOKUP($A2742,Games!$A$2:$A$18,Games!$K$2:$K$18,"Missing game",0)</x:f>
        <x:v>13</x:v>
      </x:c>
      <x:c r="AQ2742" t="n">
        <x:f>_xlfn.XLOOKUP($A2742,Games!$A$2:$A$18,Games!$L$2:$L$18,"Missing game",0)</x:f>
        <x:v>19</x:v>
      </x:c>
      <x:c r="AR2742" t="n">
        <x:f>_xlfn.XLOOKUP($A2742,Games!$A$2:$A$18,Games!$M$2:$M$18,"Missing game",0)</x:f>
        <x:v>0</x:v>
      </x:c>
      <x:c r="AS2742" t="str">
        <x:f>_xlfn.XLOOKUP($A2742,Games!$A$2:$A$18,Games!$N$2:$N$18,"Missing game",0)</x:f>
        <x:v>dome</x:v>
      </x:c>
      <x:c r="AT2742" t="str">
        <x:f>_xlfn.XLOOKUP($A2742,Games!$A$2:$A$18,Games!$O$2:$O$18,"Missing game",0)</x:f>
        <x:v>sportturf</x:v>
      </x:c>
      <x:c r="AU2742" t="str">
        <x:f>_xlfn.XLOOKUP($A2742,Games!$A$2:$A$18,Games!$P$2:$P$18,"Missing game",0)</x:f>
      </x:c>
      <x:c r="AV2742" t="str">
        <x:f>_xlfn.XLOOKUP($A2742,Games!$A$2:$A$18,Games!$Q$2:$Q$18,"Missing game",0)</x:f>
      </x:c>
      <x:c r="AW2742" t="str">
        <x:f>_xlfn.XLOOKUP($A2742,Games!$A$2:$A$18,Games!$R$2:$R$18,"Missing game",0)</x:f>
        <x:v>U.S. Bank Stadium</x:v>
      </x:c>
    </x:row>
    <x:row r="2743">
      <x:c r="A2743" t="str">
        <x:v>2025_18_GB_MIN</x:v>
      </x:c>
      <x:c r="B2743" t="n">
        <x:v>2555</x:v>
      </x:c>
      <x:c r="C2743" t="n">
        <x:v>3</x:v>
      </x:c>
      <x:c r="D2743" t="str">
        <x:v>04:47</x:v>
      </x:c>
      <x:c r="E2743" t="n">
        <x:v>2</x:v>
      </x:c>
      <x:c r="F2743" t="n">
        <x:v>5</x:v>
      </x:c>
      <x:c r="G2743" t="str">
        <x:v>GB</x:v>
      </x:c>
      <x:c r="H2743" t="str">
        <x:v>MIN</x:v>
      </x:c>
      <x:c r="I2743" t="str">
        <x:v>GB</x:v>
      </x:c>
      <x:c r="J2743" t="n">
        <x:v>56</x:v>
      </x:c>
      <x:c r="K2743" t="str">
        <x:v>(4:47) 23-E.Wilson right guard to 50 for 6 yards (55-E.Wilson; 97-J.Hargrave).</x:v>
      </x:c>
      <x:c r="L2743" t="str">
        <x:v>run</x:v>
      </x:c>
      <x:c r="M2743" t="n">
        <x:v>6</x:v>
      </x:c>
      <x:c r="N2743" t="n">
        <x:v>0</x:v>
      </x:c>
      <x:c r="O2743" t="n">
        <x:v>0</x:v>
      </x:c>
      <x:c r="P2743"/>
      <x:c r="Q2743"/>
      <x:c r="R2743"/>
      <x:c r="S2743"/>
      <x:c r="T2743" t="str">
        <x:v>right</x:v>
      </x:c>
      <x:c r="U2743" t="str">
        <x:v>guard</x:v>
      </x:c>
      <x:c r="V2743" t="n">
        <x:v>0</x:v>
      </x:c>
      <x:c r="W2743" t="n">
        <x:v>1</x:v>
      </x:c>
      <x:c r="X2743" t="n">
        <x:v>0</x:v>
      </x:c>
      <x:c r="Y2743" t="n">
        <x:v>0</x:v>
      </x:c>
      <x:c r="Z2743" t="n">
        <x:v>0</x:v>
      </x:c>
      <x:c r="AA2743" t="n">
        <x:v>0</x:v>
      </x:c>
      <x:c r="AB2743"/>
      <x:c r="AC2743" t="n">
        <x:v>0</x:v>
      </x:c>
      <x:c r="AD2743" t="n">
        <x:v>0.7019720361568034</x:v>
      </x:c>
      <x:c r="AE2743" t="n">
        <x:v>1</x:v>
      </x:c>
      <x:c r="AF2743" t="n">
        <x:v>0.0009608492255210876</x:v>
      </x:c>
      <x:c r="AG2743" t="n">
        <x:f>_xlfn.XLOOKUP($A2743,Games!$A$2:$A$18,Games!$B$2:$B$18,"Missing game",0)</x:f>
        <x:v>2025</x:v>
      </x:c>
      <x:c r="AH2743" t="str">
        <x:f>_xlfn.XLOOKUP($A2743,Games!$A$2:$A$18,Games!$C$2:$C$18,"Missing game",0)</x:f>
        <x:v>REG</x:v>
      </x:c>
      <x:c r="AI2743" t="n">
        <x:f>_xlfn.XLOOKUP($A2743,Games!$A$2:$A$18,Games!$D$2:$D$18,"Missing game",0)</x:f>
        <x:v>18</x:v>
      </x:c>
      <x:c r="AJ2743" s="1" t="n">
        <x:f>_xlfn.XLOOKUP($A2743,Games!$A$2:$A$18,Games!$E$2:$E$18,"Missing game",0)</x:f>
        <x:v>46026</x:v>
      </x:c>
      <x:c r="AK2743" t="str">
        <x:f>_xlfn.XLOOKUP($A2743,Games!$A$2:$A$18,Games!$F$2:$F$18,"Missing game",0)</x:f>
        <x:v>Sunday</x:v>
      </x:c>
      <x:c r="AL2743" t="str">
        <x:f>_xlfn.XLOOKUP($A2743,Games!$A$2:$A$18,Games!$G$2:$G$18,"Missing game",0)</x:f>
        <x:v>GB</x:v>
      </x:c>
      <x:c r="AM2743" t="n">
        <x:f>_xlfn.XLOOKUP($A2743,Games!$A$2:$A$18,Games!$H$2:$H$18,"Missing game",0)</x:f>
        <x:v>3</x:v>
      </x:c>
      <x:c r="AN2743" t="str">
        <x:f>_xlfn.XLOOKUP($A2743,Games!$A$2:$A$18,Games!$I$2:$I$18,"Missing game",0)</x:f>
        <x:v>MIN</x:v>
      </x:c>
      <x:c r="AO2743" t="n">
        <x:f>_xlfn.XLOOKUP($A2743,Games!$A$2:$A$18,Games!$J$2:$J$18,"Missing game",0)</x:f>
        <x:v>16</x:v>
      </x:c>
      <x:c r="AP2743" t="n">
        <x:f>_xlfn.XLOOKUP($A2743,Games!$A$2:$A$18,Games!$K$2:$K$18,"Missing game",0)</x:f>
        <x:v>13</x:v>
      </x:c>
      <x:c r="AQ2743" t="n">
        <x:f>_xlfn.XLOOKUP($A2743,Games!$A$2:$A$18,Games!$L$2:$L$18,"Missing game",0)</x:f>
        <x:v>19</x:v>
      </x:c>
      <x:c r="AR2743" t="n">
        <x:f>_xlfn.XLOOKUP($A2743,Games!$A$2:$A$18,Games!$M$2:$M$18,"Missing game",0)</x:f>
        <x:v>0</x:v>
      </x:c>
      <x:c r="AS2743" t="str">
        <x:f>_xlfn.XLOOKUP($A2743,Games!$A$2:$A$18,Games!$N$2:$N$18,"Missing game",0)</x:f>
        <x:v>dome</x:v>
      </x:c>
      <x:c r="AT2743" t="str">
        <x:f>_xlfn.XLOOKUP($A2743,Games!$A$2:$A$18,Games!$O$2:$O$18,"Missing game",0)</x:f>
        <x:v>sportturf</x:v>
      </x:c>
      <x:c r="AU2743" t="str">
        <x:f>_xlfn.XLOOKUP($A2743,Games!$A$2:$A$18,Games!$P$2:$P$18,"Missing game",0)</x:f>
      </x:c>
      <x:c r="AV2743" t="str">
        <x:f>_xlfn.XLOOKUP($A2743,Games!$A$2:$A$18,Games!$Q$2:$Q$18,"Missing game",0)</x:f>
      </x:c>
      <x:c r="AW2743" t="str">
        <x:f>_xlfn.XLOOKUP($A2743,Games!$A$2:$A$18,Games!$R$2:$R$18,"Missing game",0)</x:f>
        <x:v>U.S. Bank Stadium</x:v>
      </x:c>
    </x:row>
    <x:row r="2744">
      <x:c r="A2744" t="str">
        <x:v>2025_18_GB_MIN</x:v>
      </x:c>
      <x:c r="B2744" t="n">
        <x:v>2577</x:v>
      </x:c>
      <x:c r="C2744" t="n">
        <x:v>3</x:v>
      </x:c>
      <x:c r="D2744" t="str">
        <x:v>04:07</x:v>
      </x:c>
      <x:c r="E2744" t="n">
        <x:v>1</x:v>
      </x:c>
      <x:c r="F2744" t="n">
        <x:v>10</x:v>
      </x:c>
      <x:c r="G2744" t="str">
        <x:v>GB</x:v>
      </x:c>
      <x:c r="H2744" t="str">
        <x:v>MIN</x:v>
      </x:c>
      <x:c r="I2744" t="str">
        <x:v>50</x:v>
      </x:c>
      <x:c r="J2744" t="n">
        <x:v>50</x:v>
      </x:c>
      <x:c r="K2744" t="str">
        <x:v>(4:07) 6-C.Tune scrambles left end ran ob at MIN 49 for 1 yard (55-E.Wilson; 24-J.Ward).</x:v>
      </x:c>
      <x:c r="L2744" t="str">
        <x:v>run</x:v>
      </x:c>
      <x:c r="M2744" t="n">
        <x:v>1</x:v>
      </x:c>
      <x:c r="N2744" t="n">
        <x:v>0</x:v>
      </x:c>
      <x:c r="O2744" t="n">
        <x:v>0</x:v>
      </x:c>
      <x:c r="P2744"/>
      <x:c r="Q2744"/>
      <x:c r="R2744"/>
      <x:c r="S2744"/>
      <x:c r="T2744" t="str">
        <x:v>left</x:v>
      </x:c>
      <x:c r="U2744" t="str">
        <x:v>end</x:v>
      </x:c>
      <x:c r="V2744" t="n">
        <x:v>0</x:v>
      </x:c>
      <x:c r="W2744" t="n">
        <x:v>0</x:v>
      </x:c>
      <x:c r="X2744" t="n">
        <x:v>0</x:v>
      </x:c>
      <x:c r="Y2744" t="n">
        <x:v>0</x:v>
      </x:c>
      <x:c r="Z2744" t="n">
        <x:v>0</x:v>
      </x:c>
      <x:c r="AA2744" t="n">
        <x:v>0</x:v>
      </x:c>
      <x:c r="AB2744"/>
      <x:c r="AC2744" t="n">
        <x:v>0</x:v>
      </x:c>
      <x:c r="AD2744" t="n">
        <x:v>-0.5718776402063668</x:v>
      </x:c>
      <x:c r="AE2744" t="n">
        <x:v>0</x:v>
      </x:c>
      <x:c r="AF2744" t="n">
        <x:v>-0.020103931427001953</x:v>
      </x:c>
      <x:c r="AG2744" t="n">
        <x:f>_xlfn.XLOOKUP($A2744,Games!$A$2:$A$18,Games!$B$2:$B$18,"Missing game",0)</x:f>
        <x:v>2025</x:v>
      </x:c>
      <x:c r="AH2744" t="str">
        <x:f>_xlfn.XLOOKUP($A2744,Games!$A$2:$A$18,Games!$C$2:$C$18,"Missing game",0)</x:f>
        <x:v>REG</x:v>
      </x:c>
      <x:c r="AI2744" t="n">
        <x:f>_xlfn.XLOOKUP($A2744,Games!$A$2:$A$18,Games!$D$2:$D$18,"Missing game",0)</x:f>
        <x:v>18</x:v>
      </x:c>
      <x:c r="AJ2744" s="1" t="n">
        <x:f>_xlfn.XLOOKUP($A2744,Games!$A$2:$A$18,Games!$E$2:$E$18,"Missing game",0)</x:f>
        <x:v>46026</x:v>
      </x:c>
      <x:c r="AK2744" t="str">
        <x:f>_xlfn.XLOOKUP($A2744,Games!$A$2:$A$18,Games!$F$2:$F$18,"Missing game",0)</x:f>
        <x:v>Sunday</x:v>
      </x:c>
      <x:c r="AL2744" t="str">
        <x:f>_xlfn.XLOOKUP($A2744,Games!$A$2:$A$18,Games!$G$2:$G$18,"Missing game",0)</x:f>
        <x:v>GB</x:v>
      </x:c>
      <x:c r="AM2744" t="n">
        <x:f>_xlfn.XLOOKUP($A2744,Games!$A$2:$A$18,Games!$H$2:$H$18,"Missing game",0)</x:f>
        <x:v>3</x:v>
      </x:c>
      <x:c r="AN2744" t="str">
        <x:f>_xlfn.XLOOKUP($A2744,Games!$A$2:$A$18,Games!$I$2:$I$18,"Missing game",0)</x:f>
        <x:v>MIN</x:v>
      </x:c>
      <x:c r="AO2744" t="n">
        <x:f>_xlfn.XLOOKUP($A2744,Games!$A$2:$A$18,Games!$J$2:$J$18,"Missing game",0)</x:f>
        <x:v>16</x:v>
      </x:c>
      <x:c r="AP2744" t="n">
        <x:f>_xlfn.XLOOKUP($A2744,Games!$A$2:$A$18,Games!$K$2:$K$18,"Missing game",0)</x:f>
        <x:v>13</x:v>
      </x:c>
      <x:c r="AQ2744" t="n">
        <x:f>_xlfn.XLOOKUP($A2744,Games!$A$2:$A$18,Games!$L$2:$L$18,"Missing game",0)</x:f>
        <x:v>19</x:v>
      </x:c>
      <x:c r="AR2744" t="n">
        <x:f>_xlfn.XLOOKUP($A2744,Games!$A$2:$A$18,Games!$M$2:$M$18,"Missing game",0)</x:f>
        <x:v>0</x:v>
      </x:c>
      <x:c r="AS2744" t="str">
        <x:f>_xlfn.XLOOKUP($A2744,Games!$A$2:$A$18,Games!$N$2:$N$18,"Missing game",0)</x:f>
        <x:v>dome</x:v>
      </x:c>
      <x:c r="AT2744" t="str">
        <x:f>_xlfn.XLOOKUP($A2744,Games!$A$2:$A$18,Games!$O$2:$O$18,"Missing game",0)</x:f>
        <x:v>sportturf</x:v>
      </x:c>
      <x:c r="AU2744" t="str">
        <x:f>_xlfn.XLOOKUP($A2744,Games!$A$2:$A$18,Games!$P$2:$P$18,"Missing game",0)</x:f>
      </x:c>
      <x:c r="AV2744" t="str">
        <x:f>_xlfn.XLOOKUP($A2744,Games!$A$2:$A$18,Games!$Q$2:$Q$18,"Missing game",0)</x:f>
      </x:c>
      <x:c r="AW2744" t="str">
        <x:f>_xlfn.XLOOKUP($A2744,Games!$A$2:$A$18,Games!$R$2:$R$18,"Missing game",0)</x:f>
        <x:v>U.S. Bank Stadium</x:v>
      </x:c>
    </x:row>
    <x:row r="2745">
      <x:c r="A2745" t="str">
        <x:v>2025_18_GB_MIN</x:v>
      </x:c>
      <x:c r="B2745" t="n">
        <x:v>2599</x:v>
      </x:c>
      <x:c r="C2745" t="n">
        <x:v>3</x:v>
      </x:c>
      <x:c r="D2745" t="str">
        <x:v>03:26</x:v>
      </x:c>
      <x:c r="E2745" t="n">
        <x:v>2</x:v>
      </x:c>
      <x:c r="F2745" t="n">
        <x:v>9</x:v>
      </x:c>
      <x:c r="G2745" t="str">
        <x:v>GB</x:v>
      </x:c>
      <x:c r="H2745" t="str">
        <x:v>MIN</x:v>
      </x:c>
      <x:c r="I2745" t="str">
        <x:v>MIN</x:v>
      </x:c>
      <x:c r="J2745" t="n">
        <x:v>49</x:v>
      </x:c>
      <x:c r="K2745" t="str">
        <x:v>(3:26) 30-C.Brooks right tackle to MIN 49 for no gain (43-A.Van Ginkel).</x:v>
      </x:c>
      <x:c r="L2745" t="str">
        <x:v>run</x:v>
      </x:c>
      <x:c r="M2745" t="n">
        <x:v>0</x:v>
      </x:c>
      <x:c r="N2745" t="n">
        <x:v>0</x:v>
      </x:c>
      <x:c r="O2745" t="n">
        <x:v>0</x:v>
      </x:c>
      <x:c r="P2745"/>
      <x:c r="Q2745"/>
      <x:c r="R2745"/>
      <x:c r="S2745"/>
      <x:c r="T2745" t="str">
        <x:v>right</x:v>
      </x:c>
      <x:c r="U2745" t="str">
        <x:v>tackle</x:v>
      </x:c>
      <x:c r="V2745" t="n">
        <x:v>0</x:v>
      </x:c>
      <x:c r="W2745" t="n">
        <x:v>0</x:v>
      </x:c>
      <x:c r="X2745" t="n">
        <x:v>0</x:v>
      </x:c>
      <x:c r="Y2745" t="n">
        <x:v>0</x:v>
      </x:c>
      <x:c r="Z2745" t="n">
        <x:v>0</x:v>
      </x:c>
      <x:c r="AA2745" t="n">
        <x:v>0</x:v>
      </x:c>
      <x:c r="AB2745"/>
      <x:c r="AC2745" t="n">
        <x:v>0</x:v>
      </x:c>
      <x:c r="AD2745" t="n">
        <x:v>-0.9016976223792881</x:v>
      </x:c>
      <x:c r="AE2745" t="n">
        <x:v>0</x:v>
      </x:c>
      <x:c r="AF2745" t="n">
        <x:v>-0.008197546005249023</x:v>
      </x:c>
      <x:c r="AG2745" t="n">
        <x:f>_xlfn.XLOOKUP($A2745,Games!$A$2:$A$18,Games!$B$2:$B$18,"Missing game",0)</x:f>
        <x:v>2025</x:v>
      </x:c>
      <x:c r="AH2745" t="str">
        <x:f>_xlfn.XLOOKUP($A2745,Games!$A$2:$A$18,Games!$C$2:$C$18,"Missing game",0)</x:f>
        <x:v>REG</x:v>
      </x:c>
      <x:c r="AI2745" t="n">
        <x:f>_xlfn.XLOOKUP($A2745,Games!$A$2:$A$18,Games!$D$2:$D$18,"Missing game",0)</x:f>
        <x:v>18</x:v>
      </x:c>
      <x:c r="AJ2745" s="1" t="n">
        <x:f>_xlfn.XLOOKUP($A2745,Games!$A$2:$A$18,Games!$E$2:$E$18,"Missing game",0)</x:f>
        <x:v>46026</x:v>
      </x:c>
      <x:c r="AK2745" t="str">
        <x:f>_xlfn.XLOOKUP($A2745,Games!$A$2:$A$18,Games!$F$2:$F$18,"Missing game",0)</x:f>
        <x:v>Sunday</x:v>
      </x:c>
      <x:c r="AL2745" t="str">
        <x:f>_xlfn.XLOOKUP($A2745,Games!$A$2:$A$18,Games!$G$2:$G$18,"Missing game",0)</x:f>
        <x:v>GB</x:v>
      </x:c>
      <x:c r="AM2745" t="n">
        <x:f>_xlfn.XLOOKUP($A2745,Games!$A$2:$A$18,Games!$H$2:$H$18,"Missing game",0)</x:f>
        <x:v>3</x:v>
      </x:c>
      <x:c r="AN2745" t="str">
        <x:f>_xlfn.XLOOKUP($A2745,Games!$A$2:$A$18,Games!$I$2:$I$18,"Missing game",0)</x:f>
        <x:v>MIN</x:v>
      </x:c>
      <x:c r="AO2745" t="n">
        <x:f>_xlfn.XLOOKUP($A2745,Games!$A$2:$A$18,Games!$J$2:$J$18,"Missing game",0)</x:f>
        <x:v>16</x:v>
      </x:c>
      <x:c r="AP2745" t="n">
        <x:f>_xlfn.XLOOKUP($A2745,Games!$A$2:$A$18,Games!$K$2:$K$18,"Missing game",0)</x:f>
        <x:v>13</x:v>
      </x:c>
      <x:c r="AQ2745" t="n">
        <x:f>_xlfn.XLOOKUP($A2745,Games!$A$2:$A$18,Games!$L$2:$L$18,"Missing game",0)</x:f>
        <x:v>19</x:v>
      </x:c>
      <x:c r="AR2745" t="n">
        <x:f>_xlfn.XLOOKUP($A2745,Games!$A$2:$A$18,Games!$M$2:$M$18,"Missing game",0)</x:f>
        <x:v>0</x:v>
      </x:c>
      <x:c r="AS2745" t="str">
        <x:f>_xlfn.XLOOKUP($A2745,Games!$A$2:$A$18,Games!$N$2:$N$18,"Missing game",0)</x:f>
        <x:v>dome</x:v>
      </x:c>
      <x:c r="AT2745" t="str">
        <x:f>_xlfn.XLOOKUP($A2745,Games!$A$2:$A$18,Games!$O$2:$O$18,"Missing game",0)</x:f>
        <x:v>sportturf</x:v>
      </x:c>
      <x:c r="AU2745" t="str">
        <x:f>_xlfn.XLOOKUP($A2745,Games!$A$2:$A$18,Games!$P$2:$P$18,"Missing game",0)</x:f>
      </x:c>
      <x:c r="AV2745" t="str">
        <x:f>_xlfn.XLOOKUP($A2745,Games!$A$2:$A$18,Games!$Q$2:$Q$18,"Missing game",0)</x:f>
      </x:c>
      <x:c r="AW2745" t="str">
        <x:f>_xlfn.XLOOKUP($A2745,Games!$A$2:$A$18,Games!$R$2:$R$18,"Missing game",0)</x:f>
        <x:v>U.S. Bank Stadium</x:v>
      </x:c>
    </x:row>
    <x:row r="2746">
      <x:c r="A2746" t="str">
        <x:v>2025_18_GB_MIN</x:v>
      </x:c>
      <x:c r="B2746" t="n">
        <x:v>2626</x:v>
      </x:c>
      <x:c r="C2746" t="n">
        <x:v>3</x:v>
      </x:c>
      <x:c r="D2746" t="str">
        <x:v>02:45</x:v>
      </x:c>
      <x:c r="E2746" t="n">
        <x:v>3</x:v>
      </x:c>
      <x:c r="F2746" t="n">
        <x:v>9</x:v>
      </x:c>
      <x:c r="G2746" t="str">
        <x:v>GB</x:v>
      </x:c>
      <x:c r="H2746" t="str">
        <x:v>MIN</x:v>
      </x:c>
      <x:c r="I2746" t="str">
        <x:v>MIN</x:v>
      </x:c>
      <x:c r="J2746" t="n">
        <x:v>49</x:v>
      </x:c>
      <x:c r="K2746" t="str">
        <x:v>(2:45) (Shotgun) 6-C.Tune sacked at GB 40 for -11 yards (26-T.Jackson).</x:v>
      </x:c>
      <x:c r="L2746" t="str">
        <x:v>pass</x:v>
      </x:c>
      <x:c r="M2746" t="n">
        <x:v>-11</x:v>
      </x:c>
      <x:c r="N2746" t="n">
        <x:v>1</x:v>
      </x:c>
      <x:c r="O2746" t="n">
        <x:v>0</x:v>
      </x:c>
      <x:c r="P2746"/>
      <x:c r="Q2746"/>
      <x:c r="R2746"/>
      <x:c r="S2746"/>
      <x:c r="T2746"/>
      <x:c r="U2746"/>
      <x:c r="V2746" t="n">
        <x:v>0</x:v>
      </x:c>
      <x:c r="W2746" t="n">
        <x:v>0</x:v>
      </x:c>
      <x:c r="X2746" t="n">
        <x:v>1</x:v>
      </x:c>
      <x:c r="Y2746" t="n">
        <x:v>0</x:v>
      </x:c>
      <x:c r="Z2746" t="n">
        <x:v>0</x:v>
      </x:c>
      <x:c r="AA2746" t="n">
        <x:v>0</x:v>
      </x:c>
      <x:c r="AB2746"/>
      <x:c r="AC2746" t="n">
        <x:v>0</x:v>
      </x:c>
      <x:c r="AD2746" t="n">
        <x:v>-2.1878020770382136</x:v>
      </x:c>
      <x:c r="AE2746" t="n">
        <x:v>0</x:v>
      </x:c>
      <x:c r="AF2746" t="n">
        <x:v>-0.015843737870454788</x:v>
      </x:c>
      <x:c r="AG2746" t="n">
        <x:f>_xlfn.XLOOKUP($A2746,Games!$A$2:$A$18,Games!$B$2:$B$18,"Missing game",0)</x:f>
        <x:v>2025</x:v>
      </x:c>
      <x:c r="AH2746" t="str">
        <x:f>_xlfn.XLOOKUP($A2746,Games!$A$2:$A$18,Games!$C$2:$C$18,"Missing game",0)</x:f>
        <x:v>REG</x:v>
      </x:c>
      <x:c r="AI2746" t="n">
        <x:f>_xlfn.XLOOKUP($A2746,Games!$A$2:$A$18,Games!$D$2:$D$18,"Missing game",0)</x:f>
        <x:v>18</x:v>
      </x:c>
      <x:c r="AJ2746" s="1" t="n">
        <x:f>_xlfn.XLOOKUP($A2746,Games!$A$2:$A$18,Games!$E$2:$E$18,"Missing game",0)</x:f>
        <x:v>46026</x:v>
      </x:c>
      <x:c r="AK2746" t="str">
        <x:f>_xlfn.XLOOKUP($A2746,Games!$A$2:$A$18,Games!$F$2:$F$18,"Missing game",0)</x:f>
        <x:v>Sunday</x:v>
      </x:c>
      <x:c r="AL2746" t="str">
        <x:f>_xlfn.XLOOKUP($A2746,Games!$A$2:$A$18,Games!$G$2:$G$18,"Missing game",0)</x:f>
        <x:v>GB</x:v>
      </x:c>
      <x:c r="AM2746" t="n">
        <x:f>_xlfn.XLOOKUP($A2746,Games!$A$2:$A$18,Games!$H$2:$H$18,"Missing game",0)</x:f>
        <x:v>3</x:v>
      </x:c>
      <x:c r="AN2746" t="str">
        <x:f>_xlfn.XLOOKUP($A2746,Games!$A$2:$A$18,Games!$I$2:$I$18,"Missing game",0)</x:f>
        <x:v>MIN</x:v>
      </x:c>
      <x:c r="AO2746" t="n">
        <x:f>_xlfn.XLOOKUP($A2746,Games!$A$2:$A$18,Games!$J$2:$J$18,"Missing game",0)</x:f>
        <x:v>16</x:v>
      </x:c>
      <x:c r="AP2746" t="n">
        <x:f>_xlfn.XLOOKUP($A2746,Games!$A$2:$A$18,Games!$K$2:$K$18,"Missing game",0)</x:f>
        <x:v>13</x:v>
      </x:c>
      <x:c r="AQ2746" t="n">
        <x:f>_xlfn.XLOOKUP($A2746,Games!$A$2:$A$18,Games!$L$2:$L$18,"Missing game",0)</x:f>
        <x:v>19</x:v>
      </x:c>
      <x:c r="AR2746" t="n">
        <x:f>_xlfn.XLOOKUP($A2746,Games!$A$2:$A$18,Games!$M$2:$M$18,"Missing game",0)</x:f>
        <x:v>0</x:v>
      </x:c>
      <x:c r="AS2746" t="str">
        <x:f>_xlfn.XLOOKUP($A2746,Games!$A$2:$A$18,Games!$N$2:$N$18,"Missing game",0)</x:f>
        <x:v>dome</x:v>
      </x:c>
      <x:c r="AT2746" t="str">
        <x:f>_xlfn.XLOOKUP($A2746,Games!$A$2:$A$18,Games!$O$2:$O$18,"Missing game",0)</x:f>
        <x:v>sportturf</x:v>
      </x:c>
      <x:c r="AU2746" t="str">
        <x:f>_xlfn.XLOOKUP($A2746,Games!$A$2:$A$18,Games!$P$2:$P$18,"Missing game",0)</x:f>
      </x:c>
      <x:c r="AV2746" t="str">
        <x:f>_xlfn.XLOOKUP($A2746,Games!$A$2:$A$18,Games!$Q$2:$Q$18,"Missing game",0)</x:f>
      </x:c>
      <x:c r="AW2746" t="str">
        <x:f>_xlfn.XLOOKUP($A2746,Games!$A$2:$A$18,Games!$R$2:$R$18,"Missing game",0)</x:f>
        <x:v>U.S. Bank Stadium</x:v>
      </x:c>
    </x:row>
    <x:row r="2747">
      <x:c r="A2747" t="str">
        <x:v>2025_18_GB_MIN</x:v>
      </x:c>
      <x:c r="B2747" t="n">
        <x:v>2646</x:v>
      </x:c>
      <x:c r="C2747" t="n">
        <x:v>3</x:v>
      </x:c>
      <x:c r="D2747" t="str">
        <x:v>02:03</x:v>
      </x:c>
      <x:c r="E2747" t="n">
        <x:v>4</x:v>
      </x:c>
      <x:c r="F2747" t="n">
        <x:v>20</x:v>
      </x:c>
      <x:c r="G2747" t="str">
        <x:v>GB</x:v>
      </x:c>
      <x:c r="H2747" t="str">
        <x:v>MIN</x:v>
      </x:c>
      <x:c r="I2747" t="str">
        <x:v>GB</x:v>
      </x:c>
      <x:c r="J2747" t="n">
        <x:v>60</x:v>
      </x:c>
      <x:c r="K2747" t="str">
        <x:v>(2:03) 19-D.Whelan punts 57 yards to MIN 3, Center-42-M.Orzech. 82-J.Jones to MIN 8 for 5 yards (34-S.Bartholomew).</x:v>
      </x:c>
      <x:c r="L2747" t="str">
        <x:v>punt</x:v>
      </x:c>
      <x:c r="M2747" t="n">
        <x:v>0</x:v>
      </x:c>
      <x:c r="N2747" t="n">
        <x:v>0</x:v>
      </x:c>
      <x:c r="O2747" t="n">
        <x:v>0</x:v>
      </x:c>
      <x:c r="P2747"/>
      <x:c r="Q2747"/>
      <x:c r="R2747"/>
      <x:c r="S2747"/>
      <x:c r="T2747"/>
      <x:c r="U2747"/>
      <x:c r="V2747" t="n">
        <x:v>0</x:v>
      </x:c>
      <x:c r="W2747" t="n">
        <x:v>0</x:v>
      </x:c>
      <x:c r="X2747" t="n">
        <x:v>0</x:v>
      </x:c>
      <x:c r="Y2747" t="n">
        <x:v>0</x:v>
      </x:c>
      <x:c r="Z2747" t="n">
        <x:v>0</x:v>
      </x:c>
      <x:c r="AA2747" t="n">
        <x:v>0</x:v>
      </x:c>
      <x:c r="AB2747"/>
      <x:c r="AC2747" t="n">
        <x:v>0</x:v>
      </x:c>
      <x:c r="AD2747" t="n">
        <x:v>0.5121176289394498</x:v>
      </x:c>
      <x:c r="AE2747" t="n">
        <x:v>1</x:v>
      </x:c>
      <x:c r="AF2747" t="n">
        <x:v>-0.011975083500146866</x:v>
      </x:c>
      <x:c r="AG2747" t="n">
        <x:f>_xlfn.XLOOKUP($A2747,Games!$A$2:$A$18,Games!$B$2:$B$18,"Missing game",0)</x:f>
        <x:v>2025</x:v>
      </x:c>
      <x:c r="AH2747" t="str">
        <x:f>_xlfn.XLOOKUP($A2747,Games!$A$2:$A$18,Games!$C$2:$C$18,"Missing game",0)</x:f>
        <x:v>REG</x:v>
      </x:c>
      <x:c r="AI2747" t="n">
        <x:f>_xlfn.XLOOKUP($A2747,Games!$A$2:$A$18,Games!$D$2:$D$18,"Missing game",0)</x:f>
        <x:v>18</x:v>
      </x:c>
      <x:c r="AJ2747" s="1" t="n">
        <x:f>_xlfn.XLOOKUP($A2747,Games!$A$2:$A$18,Games!$E$2:$E$18,"Missing game",0)</x:f>
        <x:v>46026</x:v>
      </x:c>
      <x:c r="AK2747" t="str">
        <x:f>_xlfn.XLOOKUP($A2747,Games!$A$2:$A$18,Games!$F$2:$F$18,"Missing game",0)</x:f>
        <x:v>Sunday</x:v>
      </x:c>
      <x:c r="AL2747" t="str">
        <x:f>_xlfn.XLOOKUP($A2747,Games!$A$2:$A$18,Games!$G$2:$G$18,"Missing game",0)</x:f>
        <x:v>GB</x:v>
      </x:c>
      <x:c r="AM2747" t="n">
        <x:f>_xlfn.XLOOKUP($A2747,Games!$A$2:$A$18,Games!$H$2:$H$18,"Missing game",0)</x:f>
        <x:v>3</x:v>
      </x:c>
      <x:c r="AN2747" t="str">
        <x:f>_xlfn.XLOOKUP($A2747,Games!$A$2:$A$18,Games!$I$2:$I$18,"Missing game",0)</x:f>
        <x:v>MIN</x:v>
      </x:c>
      <x:c r="AO2747" t="n">
        <x:f>_xlfn.XLOOKUP($A2747,Games!$A$2:$A$18,Games!$J$2:$J$18,"Missing game",0)</x:f>
        <x:v>16</x:v>
      </x:c>
      <x:c r="AP2747" t="n">
        <x:f>_xlfn.XLOOKUP($A2747,Games!$A$2:$A$18,Games!$K$2:$K$18,"Missing game",0)</x:f>
        <x:v>13</x:v>
      </x:c>
      <x:c r="AQ2747" t="n">
        <x:f>_xlfn.XLOOKUP($A2747,Games!$A$2:$A$18,Games!$L$2:$L$18,"Missing game",0)</x:f>
        <x:v>19</x:v>
      </x:c>
      <x:c r="AR2747" t="n">
        <x:f>_xlfn.XLOOKUP($A2747,Games!$A$2:$A$18,Games!$M$2:$M$18,"Missing game",0)</x:f>
        <x:v>0</x:v>
      </x:c>
      <x:c r="AS2747" t="str">
        <x:f>_xlfn.XLOOKUP($A2747,Games!$A$2:$A$18,Games!$N$2:$N$18,"Missing game",0)</x:f>
        <x:v>dome</x:v>
      </x:c>
      <x:c r="AT2747" t="str">
        <x:f>_xlfn.XLOOKUP($A2747,Games!$A$2:$A$18,Games!$O$2:$O$18,"Missing game",0)</x:f>
        <x:v>sportturf</x:v>
      </x:c>
      <x:c r="AU2747" t="str">
        <x:f>_xlfn.XLOOKUP($A2747,Games!$A$2:$A$18,Games!$P$2:$P$18,"Missing game",0)</x:f>
      </x:c>
      <x:c r="AV2747" t="str">
        <x:f>_xlfn.XLOOKUP($A2747,Games!$A$2:$A$18,Games!$Q$2:$Q$18,"Missing game",0)</x:f>
      </x:c>
      <x:c r="AW2747" t="str">
        <x:f>_xlfn.XLOOKUP($A2747,Games!$A$2:$A$18,Games!$R$2:$R$18,"Missing game",0)</x:f>
        <x:v>U.S. Bank Stadium</x:v>
      </x:c>
    </x:row>
    <x:row r="2748">
      <x:c r="A2748" t="str">
        <x:v>2025_18_GB_MIN</x:v>
      </x:c>
      <x:c r="B2748" t="n">
        <x:v>2672</x:v>
      </x:c>
      <x:c r="C2748" t="n">
        <x:v>3</x:v>
      </x:c>
      <x:c r="D2748" t="str">
        <x:v>01:52</x:v>
      </x:c>
      <x:c r="E2748" t="n">
        <x:v>1</x:v>
      </x:c>
      <x:c r="F2748" t="n">
        <x:v>10</x:v>
      </x:c>
      <x:c r="G2748" t="str">
        <x:v>MIN</x:v>
      </x:c>
      <x:c r="H2748" t="str">
        <x:v>GB</x:v>
      </x:c>
      <x:c r="I2748" t="str">
        <x:v>MIN</x:v>
      </x:c>
      <x:c r="J2748" t="n">
        <x:v>92</x:v>
      </x:c>
      <x:c r="K2748" t="str">
        <x:v>(1:52) 32-T.Chandler right tackle to MIN 10 for 2 yards (99-B.Sorrell).</x:v>
      </x:c>
      <x:c r="L2748" t="str">
        <x:v>run</x:v>
      </x:c>
      <x:c r="M2748" t="n">
        <x:v>2</x:v>
      </x:c>
      <x:c r="N2748" t="n">
        <x:v>0</x:v>
      </x:c>
      <x:c r="O2748" t="n">
        <x:v>0</x:v>
      </x:c>
      <x:c r="P2748"/>
      <x:c r="Q2748"/>
      <x:c r="R2748"/>
      <x:c r="S2748"/>
      <x:c r="T2748" t="str">
        <x:v>right</x:v>
      </x:c>
      <x:c r="U2748" t="str">
        <x:v>tackle</x:v>
      </x:c>
      <x:c r="V2748" t="n">
        <x:v>0</x:v>
      </x:c>
      <x:c r="W2748" t="n">
        <x:v>0</x:v>
      </x:c>
      <x:c r="X2748" t="n">
        <x:v>0</x:v>
      </x:c>
      <x:c r="Y2748" t="n">
        <x:v>0</x:v>
      </x:c>
      <x:c r="Z2748" t="n">
        <x:v>0</x:v>
      </x:c>
      <x:c r="AA2748" t="n">
        <x:v>0</x:v>
      </x:c>
      <x:c r="AB2748"/>
      <x:c r="AC2748" t="n">
        <x:v>0</x:v>
      </x:c>
      <x:c r="AD2748" t="n">
        <x:v>-0.4366985447704792</x:v>
      </x:c>
      <x:c r="AE2748" t="n">
        <x:v>0</x:v>
      </x:c>
      <x:c r="AF2748" t="n">
        <x:v>-0.0057038068771362305</x:v>
      </x:c>
      <x:c r="AG2748" t="n">
        <x:f>_xlfn.XLOOKUP($A2748,Games!$A$2:$A$18,Games!$B$2:$B$18,"Missing game",0)</x:f>
        <x:v>2025</x:v>
      </x:c>
      <x:c r="AH2748" t="str">
        <x:f>_xlfn.XLOOKUP($A2748,Games!$A$2:$A$18,Games!$C$2:$C$18,"Missing game",0)</x:f>
        <x:v>REG</x:v>
      </x:c>
      <x:c r="AI2748" t="n">
        <x:f>_xlfn.XLOOKUP($A2748,Games!$A$2:$A$18,Games!$D$2:$D$18,"Missing game",0)</x:f>
        <x:v>18</x:v>
      </x:c>
      <x:c r="AJ2748" s="1" t="n">
        <x:f>_xlfn.XLOOKUP($A2748,Games!$A$2:$A$18,Games!$E$2:$E$18,"Missing game",0)</x:f>
        <x:v>46026</x:v>
      </x:c>
      <x:c r="AK2748" t="str">
        <x:f>_xlfn.XLOOKUP($A2748,Games!$A$2:$A$18,Games!$F$2:$F$18,"Missing game",0)</x:f>
        <x:v>Sunday</x:v>
      </x:c>
      <x:c r="AL2748" t="str">
        <x:f>_xlfn.XLOOKUP($A2748,Games!$A$2:$A$18,Games!$G$2:$G$18,"Missing game",0)</x:f>
        <x:v>GB</x:v>
      </x:c>
      <x:c r="AM2748" t="n">
        <x:f>_xlfn.XLOOKUP($A2748,Games!$A$2:$A$18,Games!$H$2:$H$18,"Missing game",0)</x:f>
        <x:v>3</x:v>
      </x:c>
      <x:c r="AN2748" t="str">
        <x:f>_xlfn.XLOOKUP($A2748,Games!$A$2:$A$18,Games!$I$2:$I$18,"Missing game",0)</x:f>
        <x:v>MIN</x:v>
      </x:c>
      <x:c r="AO2748" t="n">
        <x:f>_xlfn.XLOOKUP($A2748,Games!$A$2:$A$18,Games!$J$2:$J$18,"Missing game",0)</x:f>
        <x:v>16</x:v>
      </x:c>
      <x:c r="AP2748" t="n">
        <x:f>_xlfn.XLOOKUP($A2748,Games!$A$2:$A$18,Games!$K$2:$K$18,"Missing game",0)</x:f>
        <x:v>13</x:v>
      </x:c>
      <x:c r="AQ2748" t="n">
        <x:f>_xlfn.XLOOKUP($A2748,Games!$A$2:$A$18,Games!$L$2:$L$18,"Missing game",0)</x:f>
        <x:v>19</x:v>
      </x:c>
      <x:c r="AR2748" t="n">
        <x:f>_xlfn.XLOOKUP($A2748,Games!$A$2:$A$18,Games!$M$2:$M$18,"Missing game",0)</x:f>
        <x:v>0</x:v>
      </x:c>
      <x:c r="AS2748" t="str">
        <x:f>_xlfn.XLOOKUP($A2748,Games!$A$2:$A$18,Games!$N$2:$N$18,"Missing game",0)</x:f>
        <x:v>dome</x:v>
      </x:c>
      <x:c r="AT2748" t="str">
        <x:f>_xlfn.XLOOKUP($A2748,Games!$A$2:$A$18,Games!$O$2:$O$18,"Missing game",0)</x:f>
        <x:v>sportturf</x:v>
      </x:c>
      <x:c r="AU2748" t="str">
        <x:f>_xlfn.XLOOKUP($A2748,Games!$A$2:$A$18,Games!$P$2:$P$18,"Missing game",0)</x:f>
      </x:c>
      <x:c r="AV2748" t="str">
        <x:f>_xlfn.XLOOKUP($A2748,Games!$A$2:$A$18,Games!$Q$2:$Q$18,"Missing game",0)</x:f>
      </x:c>
      <x:c r="AW2748" t="str">
        <x:f>_xlfn.XLOOKUP($A2748,Games!$A$2:$A$18,Games!$R$2:$R$18,"Missing game",0)</x:f>
        <x:v>U.S. Bank Stadium</x:v>
      </x:c>
    </x:row>
    <x:row r="2749">
      <x:c r="A2749" t="str">
        <x:v>2025_18_GB_MIN</x:v>
      </x:c>
      <x:c r="B2749" t="n">
        <x:v>2701</x:v>
      </x:c>
      <x:c r="C2749" t="n">
        <x:v>3</x:v>
      </x:c>
      <x:c r="D2749" t="str">
        <x:v>01:23</x:v>
      </x:c>
      <x:c r="E2749" t="n">
        <x:v>2</x:v>
      </x:c>
      <x:c r="F2749" t="n">
        <x:v>8</x:v>
      </x:c>
      <x:c r="G2749" t="str">
        <x:v>MIN</x:v>
      </x:c>
      <x:c r="H2749" t="str">
        <x:v>GB</x:v>
      </x:c>
      <x:c r="I2749" t="str">
        <x:v>MIN</x:v>
      </x:c>
      <x:c r="J2749" t="n">
        <x:v>90</x:v>
      </x:c>
      <x:c r="K2749" t="str">
        <x:v>(1:23) (Shotgun) 12-M.Brosmer pass short right to 85-B.Yurosek to MIN 19 for 9 yards (48-J.Johnson; 38-J.Simpson).</x:v>
      </x:c>
      <x:c r="L2749" t="str">
        <x:v>pass</x:v>
      </x:c>
      <x:c r="M2749" t="n">
        <x:v>9</x:v>
      </x:c>
      <x:c r="N2749" t="n">
        <x:v>1</x:v>
      </x:c>
      <x:c r="O2749" t="n">
        <x:v>0</x:v>
      </x:c>
      <x:c r="P2749" t="str">
        <x:v>short</x:v>
      </x:c>
      <x:c r="Q2749" t="str">
        <x:v>right</x:v>
      </x:c>
      <x:c r="R2749" t="n">
        <x:v>5</x:v>
      </x:c>
      <x:c r="S2749" t="n">
        <x:v>4</x:v>
      </x:c>
      <x:c r="T2749"/>
      <x:c r="U2749"/>
      <x:c r="V2749" t="n">
        <x:v>1</x:v>
      </x:c>
      <x:c r="W2749" t="n">
        <x:v>1</x:v>
      </x:c>
      <x:c r="X2749" t="n">
        <x:v>0</x:v>
      </x:c>
      <x:c r="Y2749" t="n">
        <x:v>0</x:v>
      </x:c>
      <x:c r="Z2749" t="n">
        <x:v>0</x:v>
      </x:c>
      <x:c r="AA2749" t="n">
        <x:v>0</x:v>
      </x:c>
      <x:c r="AB2749"/>
      <x:c r="AC2749" t="n">
        <x:v>0</x:v>
      </x:c>
      <x:c r="AD2749" t="n">
        <x:v>1.0734054176136851</x:v>
      </x:c>
      <x:c r="AE2749" t="n">
        <x:v>1</x:v>
      </x:c>
      <x:c r="AF2749" t="n">
        <x:v>0.009524285793304443</x:v>
      </x:c>
      <x:c r="AG2749" t="n">
        <x:f>_xlfn.XLOOKUP($A2749,Games!$A$2:$A$18,Games!$B$2:$B$18,"Missing game",0)</x:f>
        <x:v>2025</x:v>
      </x:c>
      <x:c r="AH2749" t="str">
        <x:f>_xlfn.XLOOKUP($A2749,Games!$A$2:$A$18,Games!$C$2:$C$18,"Missing game",0)</x:f>
        <x:v>REG</x:v>
      </x:c>
      <x:c r="AI2749" t="n">
        <x:f>_xlfn.XLOOKUP($A2749,Games!$A$2:$A$18,Games!$D$2:$D$18,"Missing game",0)</x:f>
        <x:v>18</x:v>
      </x:c>
      <x:c r="AJ2749" s="1" t="n">
        <x:f>_xlfn.XLOOKUP($A2749,Games!$A$2:$A$18,Games!$E$2:$E$18,"Missing game",0)</x:f>
        <x:v>46026</x:v>
      </x:c>
      <x:c r="AK2749" t="str">
        <x:f>_xlfn.XLOOKUP($A2749,Games!$A$2:$A$18,Games!$F$2:$F$18,"Missing game",0)</x:f>
        <x:v>Sunday</x:v>
      </x:c>
      <x:c r="AL2749" t="str">
        <x:f>_xlfn.XLOOKUP($A2749,Games!$A$2:$A$18,Games!$G$2:$G$18,"Missing game",0)</x:f>
        <x:v>GB</x:v>
      </x:c>
      <x:c r="AM2749" t="n">
        <x:f>_xlfn.XLOOKUP($A2749,Games!$A$2:$A$18,Games!$H$2:$H$18,"Missing game",0)</x:f>
        <x:v>3</x:v>
      </x:c>
      <x:c r="AN2749" t="str">
        <x:f>_xlfn.XLOOKUP($A2749,Games!$A$2:$A$18,Games!$I$2:$I$18,"Missing game",0)</x:f>
        <x:v>MIN</x:v>
      </x:c>
      <x:c r="AO2749" t="n">
        <x:f>_xlfn.XLOOKUP($A2749,Games!$A$2:$A$18,Games!$J$2:$J$18,"Missing game",0)</x:f>
        <x:v>16</x:v>
      </x:c>
      <x:c r="AP2749" t="n">
        <x:f>_xlfn.XLOOKUP($A2749,Games!$A$2:$A$18,Games!$K$2:$K$18,"Missing game",0)</x:f>
        <x:v>13</x:v>
      </x:c>
      <x:c r="AQ2749" t="n">
        <x:f>_xlfn.XLOOKUP($A2749,Games!$A$2:$A$18,Games!$L$2:$L$18,"Missing game",0)</x:f>
        <x:v>19</x:v>
      </x:c>
      <x:c r="AR2749" t="n">
        <x:f>_xlfn.XLOOKUP($A2749,Games!$A$2:$A$18,Games!$M$2:$M$18,"Missing game",0)</x:f>
        <x:v>0</x:v>
      </x:c>
      <x:c r="AS2749" t="str">
        <x:f>_xlfn.XLOOKUP($A2749,Games!$A$2:$A$18,Games!$N$2:$N$18,"Missing game",0)</x:f>
        <x:v>dome</x:v>
      </x:c>
      <x:c r="AT2749" t="str">
        <x:f>_xlfn.XLOOKUP($A2749,Games!$A$2:$A$18,Games!$O$2:$O$18,"Missing game",0)</x:f>
        <x:v>sportturf</x:v>
      </x:c>
      <x:c r="AU2749" t="str">
        <x:f>_xlfn.XLOOKUP($A2749,Games!$A$2:$A$18,Games!$P$2:$P$18,"Missing game",0)</x:f>
      </x:c>
      <x:c r="AV2749" t="str">
        <x:f>_xlfn.XLOOKUP($A2749,Games!$A$2:$A$18,Games!$Q$2:$Q$18,"Missing game",0)</x:f>
      </x:c>
      <x:c r="AW2749" t="str">
        <x:f>_xlfn.XLOOKUP($A2749,Games!$A$2:$A$18,Games!$R$2:$R$18,"Missing game",0)</x:f>
        <x:v>U.S. Bank Stadium</x:v>
      </x:c>
    </x:row>
    <x:row r="2750">
      <x:c r="A2750" t="str">
        <x:v>2025_18_GB_MIN</x:v>
      </x:c>
      <x:c r="B2750" t="n">
        <x:v>2726</x:v>
      </x:c>
      <x:c r="C2750" t="n">
        <x:v>3</x:v>
      </x:c>
      <x:c r="D2750" t="str">
        <x:v>00:45</x:v>
      </x:c>
      <x:c r="E2750" t="n">
        <x:v>1</x:v>
      </x:c>
      <x:c r="F2750" t="n">
        <x:v>10</x:v>
      </x:c>
      <x:c r="G2750" t="str">
        <x:v>MIN</x:v>
      </x:c>
      <x:c r="H2750" t="str">
        <x:v>GB</x:v>
      </x:c>
      <x:c r="I2750" t="str">
        <x:v>MIN</x:v>
      </x:c>
      <x:c r="J2750" t="n">
        <x:v>81</x:v>
      </x:c>
      <x:c r="K2750" t="str">
        <x:v>(:45) 36-Z.Scott left end to MIN 25 for 6 yards (34-S.Bartholomew).</x:v>
      </x:c>
      <x:c r="L2750" t="str">
        <x:v>run</x:v>
      </x:c>
      <x:c r="M2750" t="n">
        <x:v>6</x:v>
      </x:c>
      <x:c r="N2750" t="n">
        <x:v>0</x:v>
      </x:c>
      <x:c r="O2750" t="n">
        <x:v>0</x:v>
      </x:c>
      <x:c r="P2750"/>
      <x:c r="Q2750"/>
      <x:c r="R2750"/>
      <x:c r="S2750"/>
      <x:c r="T2750" t="str">
        <x:v>left</x:v>
      </x:c>
      <x:c r="U2750" t="str">
        <x:v>end</x:v>
      </x:c>
      <x:c r="V2750" t="n">
        <x:v>0</x:v>
      </x:c>
      <x:c r="W2750" t="n">
        <x:v>0</x:v>
      </x:c>
      <x:c r="X2750" t="n">
        <x:v>0</x:v>
      </x:c>
      <x:c r="Y2750" t="n">
        <x:v>0</x:v>
      </x:c>
      <x:c r="Z2750" t="n">
        <x:v>0</x:v>
      </x:c>
      <x:c r="AA2750" t="n">
        <x:v>0</x:v>
      </x:c>
      <x:c r="AB2750"/>
      <x:c r="AC2750" t="n">
        <x:v>0</x:v>
      </x:c>
      <x:c r="AD2750" t="n">
        <x:v>0.22847086284309626</x:v>
      </x:c>
      <x:c r="AE2750" t="n">
        <x:v>1</x:v>
      </x:c>
      <x:c r="AF2750" t="n">
        <x:v>-0.0017714500427246094</x:v>
      </x:c>
      <x:c r="AG2750" t="n">
        <x:f>_xlfn.XLOOKUP($A2750,Games!$A$2:$A$18,Games!$B$2:$B$18,"Missing game",0)</x:f>
        <x:v>2025</x:v>
      </x:c>
      <x:c r="AH2750" t="str">
        <x:f>_xlfn.XLOOKUP($A2750,Games!$A$2:$A$18,Games!$C$2:$C$18,"Missing game",0)</x:f>
        <x:v>REG</x:v>
      </x:c>
      <x:c r="AI2750" t="n">
        <x:f>_xlfn.XLOOKUP($A2750,Games!$A$2:$A$18,Games!$D$2:$D$18,"Missing game",0)</x:f>
        <x:v>18</x:v>
      </x:c>
      <x:c r="AJ2750" s="1" t="n">
        <x:f>_xlfn.XLOOKUP($A2750,Games!$A$2:$A$18,Games!$E$2:$E$18,"Missing game",0)</x:f>
        <x:v>46026</x:v>
      </x:c>
      <x:c r="AK2750" t="str">
        <x:f>_xlfn.XLOOKUP($A2750,Games!$A$2:$A$18,Games!$F$2:$F$18,"Missing game",0)</x:f>
        <x:v>Sunday</x:v>
      </x:c>
      <x:c r="AL2750" t="str">
        <x:f>_xlfn.XLOOKUP($A2750,Games!$A$2:$A$18,Games!$G$2:$G$18,"Missing game",0)</x:f>
        <x:v>GB</x:v>
      </x:c>
      <x:c r="AM2750" t="n">
        <x:f>_xlfn.XLOOKUP($A2750,Games!$A$2:$A$18,Games!$H$2:$H$18,"Missing game",0)</x:f>
        <x:v>3</x:v>
      </x:c>
      <x:c r="AN2750" t="str">
        <x:f>_xlfn.XLOOKUP($A2750,Games!$A$2:$A$18,Games!$I$2:$I$18,"Missing game",0)</x:f>
        <x:v>MIN</x:v>
      </x:c>
      <x:c r="AO2750" t="n">
        <x:f>_xlfn.XLOOKUP($A2750,Games!$A$2:$A$18,Games!$J$2:$J$18,"Missing game",0)</x:f>
        <x:v>16</x:v>
      </x:c>
      <x:c r="AP2750" t="n">
        <x:f>_xlfn.XLOOKUP($A2750,Games!$A$2:$A$18,Games!$K$2:$K$18,"Missing game",0)</x:f>
        <x:v>13</x:v>
      </x:c>
      <x:c r="AQ2750" t="n">
        <x:f>_xlfn.XLOOKUP($A2750,Games!$A$2:$A$18,Games!$L$2:$L$18,"Missing game",0)</x:f>
        <x:v>19</x:v>
      </x:c>
      <x:c r="AR2750" t="n">
        <x:f>_xlfn.XLOOKUP($A2750,Games!$A$2:$A$18,Games!$M$2:$M$18,"Missing game",0)</x:f>
        <x:v>0</x:v>
      </x:c>
      <x:c r="AS2750" t="str">
        <x:f>_xlfn.XLOOKUP($A2750,Games!$A$2:$A$18,Games!$N$2:$N$18,"Missing game",0)</x:f>
        <x:v>dome</x:v>
      </x:c>
      <x:c r="AT2750" t="str">
        <x:f>_xlfn.XLOOKUP($A2750,Games!$A$2:$A$18,Games!$O$2:$O$18,"Missing game",0)</x:f>
        <x:v>sportturf</x:v>
      </x:c>
      <x:c r="AU2750" t="str">
        <x:f>_xlfn.XLOOKUP($A2750,Games!$A$2:$A$18,Games!$P$2:$P$18,"Missing game",0)</x:f>
      </x:c>
      <x:c r="AV2750" t="str">
        <x:f>_xlfn.XLOOKUP($A2750,Games!$A$2:$A$18,Games!$Q$2:$Q$18,"Missing game",0)</x:f>
      </x:c>
      <x:c r="AW2750" t="str">
        <x:f>_xlfn.XLOOKUP($A2750,Games!$A$2:$A$18,Games!$R$2:$R$18,"Missing game",0)</x:f>
        <x:v>U.S. Bank Stadium</x:v>
      </x:c>
    </x:row>
    <x:row r="2751">
      <x:c r="A2751" t="str">
        <x:v>2025_18_GB_MIN</x:v>
      </x:c>
      <x:c r="B2751" t="n">
        <x:v>2753</x:v>
      </x:c>
      <x:c r="C2751" t="n">
        <x:v>3</x:v>
      </x:c>
      <x:c r="D2751" t="str">
        <x:v>00:00</x:v>
      </x:c>
      <x:c r="E2751"/>
      <x:c r="F2751" t="n">
        <x:v>0</x:v>
      </x:c>
      <x:c r="G2751" t="str">
        <x:v>MIN</x:v>
      </x:c>
      <x:c r="H2751" t="str">
        <x:v>GB</x:v>
      </x:c>
      <x:c r="I2751"/>
      <x:c r="J2751"/>
      <x:c r="K2751" t="str">
        <x:v>END QUARTER 3</x:v>
      </x:c>
      <x:c r="L2751"/>
      <x:c r="M2751"/>
      <x:c r="N2751" t="n">
        <x:v>0</x:v>
      </x:c>
      <x:c r="O2751" t="n">
        <x:v>0</x:v>
      </x:c>
      <x:c r="P2751"/>
      <x:c r="Q2751"/>
      <x:c r="R2751"/>
      <x:c r="S2751"/>
      <x:c r="T2751"/>
      <x:c r="U2751"/>
      <x:c r="V2751"/>
      <x:c r="W2751"/>
      <x:c r="X2751"/>
      <x:c r="Y2751"/>
      <x:c r="Z2751"/>
      <x:c r="AA2751"/>
      <x:c r="AB2751"/>
      <x:c r="AC2751"/>
      <x:c r="AD2751" t="n">
        <x:v>0</x:v>
      </x:c>
      <x:c r="AE2751" t="n">
        <x:v>0</x:v>
      </x:c>
      <x:c r="AF2751" t="n">
        <x:v>0</x:v>
      </x:c>
      <x:c r="AG2751" t="n">
        <x:f>_xlfn.XLOOKUP($A2751,Games!$A$2:$A$18,Games!$B$2:$B$18,"Missing game",0)</x:f>
        <x:v>2025</x:v>
      </x:c>
      <x:c r="AH2751" t="str">
        <x:f>_xlfn.XLOOKUP($A2751,Games!$A$2:$A$18,Games!$C$2:$C$18,"Missing game",0)</x:f>
        <x:v>REG</x:v>
      </x:c>
      <x:c r="AI2751" t="n">
        <x:f>_xlfn.XLOOKUP($A2751,Games!$A$2:$A$18,Games!$D$2:$D$18,"Missing game",0)</x:f>
        <x:v>18</x:v>
      </x:c>
      <x:c r="AJ2751" s="1" t="n">
        <x:f>_xlfn.XLOOKUP($A2751,Games!$A$2:$A$18,Games!$E$2:$E$18,"Missing game",0)</x:f>
        <x:v>46026</x:v>
      </x:c>
      <x:c r="AK2751" t="str">
        <x:f>_xlfn.XLOOKUP($A2751,Games!$A$2:$A$18,Games!$F$2:$F$18,"Missing game",0)</x:f>
        <x:v>Sunday</x:v>
      </x:c>
      <x:c r="AL2751" t="str">
        <x:f>_xlfn.XLOOKUP($A2751,Games!$A$2:$A$18,Games!$G$2:$G$18,"Missing game",0)</x:f>
        <x:v>GB</x:v>
      </x:c>
      <x:c r="AM2751" t="n">
        <x:f>_xlfn.XLOOKUP($A2751,Games!$A$2:$A$18,Games!$H$2:$H$18,"Missing game",0)</x:f>
        <x:v>3</x:v>
      </x:c>
      <x:c r="AN2751" t="str">
        <x:f>_xlfn.XLOOKUP($A2751,Games!$A$2:$A$18,Games!$I$2:$I$18,"Missing game",0)</x:f>
        <x:v>MIN</x:v>
      </x:c>
      <x:c r="AO2751" t="n">
        <x:f>_xlfn.XLOOKUP($A2751,Games!$A$2:$A$18,Games!$J$2:$J$18,"Missing game",0)</x:f>
        <x:v>16</x:v>
      </x:c>
      <x:c r="AP2751" t="n">
        <x:f>_xlfn.XLOOKUP($A2751,Games!$A$2:$A$18,Games!$K$2:$K$18,"Missing game",0)</x:f>
        <x:v>13</x:v>
      </x:c>
      <x:c r="AQ2751" t="n">
        <x:f>_xlfn.XLOOKUP($A2751,Games!$A$2:$A$18,Games!$L$2:$L$18,"Missing game",0)</x:f>
        <x:v>19</x:v>
      </x:c>
      <x:c r="AR2751" t="n">
        <x:f>_xlfn.XLOOKUP($A2751,Games!$A$2:$A$18,Games!$M$2:$M$18,"Missing game",0)</x:f>
        <x:v>0</x:v>
      </x:c>
      <x:c r="AS2751" t="str">
        <x:f>_xlfn.XLOOKUP($A2751,Games!$A$2:$A$18,Games!$N$2:$N$18,"Missing game",0)</x:f>
        <x:v>dome</x:v>
      </x:c>
      <x:c r="AT2751" t="str">
        <x:f>_xlfn.XLOOKUP($A2751,Games!$A$2:$A$18,Games!$O$2:$O$18,"Missing game",0)</x:f>
        <x:v>sportturf</x:v>
      </x:c>
      <x:c r="AU2751" t="str">
        <x:f>_xlfn.XLOOKUP($A2751,Games!$A$2:$A$18,Games!$P$2:$P$18,"Missing game",0)</x:f>
      </x:c>
      <x:c r="AV2751" t="str">
        <x:f>_xlfn.XLOOKUP($A2751,Games!$A$2:$A$18,Games!$Q$2:$Q$18,"Missing game",0)</x:f>
      </x:c>
      <x:c r="AW2751" t="str">
        <x:f>_xlfn.XLOOKUP($A2751,Games!$A$2:$A$18,Games!$R$2:$R$18,"Missing game",0)</x:f>
        <x:v>U.S. Bank Stadium</x:v>
      </x:c>
    </x:row>
    <x:row r="2752">
      <x:c r="A2752" t="str">
        <x:v>2025_18_GB_MIN</x:v>
      </x:c>
      <x:c r="B2752" t="n">
        <x:v>2773</x:v>
      </x:c>
      <x:c r="C2752" t="n">
        <x:v>4</x:v>
      </x:c>
      <x:c r="D2752" t="str">
        <x:v>15:00</x:v>
      </x:c>
      <x:c r="E2752" t="n">
        <x:v>2</x:v>
      </x:c>
      <x:c r="F2752" t="n">
        <x:v>4</x:v>
      </x:c>
      <x:c r="G2752" t="str">
        <x:v>MIN</x:v>
      </x:c>
      <x:c r="H2752" t="str">
        <x:v>GB</x:v>
      </x:c>
      <x:c r="I2752" t="str">
        <x:v>MIN</x:v>
      </x:c>
      <x:c r="J2752" t="n">
        <x:v>75</x:v>
      </x:c>
      <x:c r="K2752" t="str">
        <x:v>(15:00) 12-M.Brosmer pass short right to 18-J.Jefferson to MIN 41 for 16 yards (37-J.Baldwin; 48-J.Johnson).</x:v>
      </x:c>
      <x:c r="L2752" t="str">
        <x:v>pass</x:v>
      </x:c>
      <x:c r="M2752" t="n">
        <x:v>16</x:v>
      </x:c>
      <x:c r="N2752" t="n">
        <x:v>0</x:v>
      </x:c>
      <x:c r="O2752" t="n">
        <x:v>0</x:v>
      </x:c>
      <x:c r="P2752" t="str">
        <x:v>short</x:v>
      </x:c>
      <x:c r="Q2752" t="str">
        <x:v>right</x:v>
      </x:c>
      <x:c r="R2752" t="n">
        <x:v>13</x:v>
      </x:c>
      <x:c r="S2752" t="n">
        <x:v>3</x:v>
      </x:c>
      <x:c r="T2752"/>
      <x:c r="U2752"/>
      <x:c r="V2752" t="n">
        <x:v>1</x:v>
      </x:c>
      <x:c r="W2752" t="n">
        <x:v>1</x:v>
      </x:c>
      <x:c r="X2752" t="n">
        <x:v>0</x:v>
      </x:c>
      <x:c r="Y2752" t="n">
        <x:v>0</x:v>
      </x:c>
      <x:c r="Z2752" t="n">
        <x:v>0</x:v>
      </x:c>
      <x:c r="AA2752" t="n">
        <x:v>0</x:v>
      </x:c>
      <x:c r="AB2752"/>
      <x:c r="AC2752" t="n">
        <x:v>0</x:v>
      </x:c>
      <x:c r="AD2752" t="n">
        <x:v>1.0072471895255148</x:v>
      </x:c>
      <x:c r="AE2752" t="n">
        <x:v>1</x:v>
      </x:c>
      <x:c r="AF2752" t="n">
        <x:v>0.011927187442779541</x:v>
      </x:c>
      <x:c r="AG2752" t="n">
        <x:f>_xlfn.XLOOKUP($A2752,Games!$A$2:$A$18,Games!$B$2:$B$18,"Missing game",0)</x:f>
        <x:v>2025</x:v>
      </x:c>
      <x:c r="AH2752" t="str">
        <x:f>_xlfn.XLOOKUP($A2752,Games!$A$2:$A$18,Games!$C$2:$C$18,"Missing game",0)</x:f>
        <x:v>REG</x:v>
      </x:c>
      <x:c r="AI2752" t="n">
        <x:f>_xlfn.XLOOKUP($A2752,Games!$A$2:$A$18,Games!$D$2:$D$18,"Missing game",0)</x:f>
        <x:v>18</x:v>
      </x:c>
      <x:c r="AJ2752" s="1" t="n">
        <x:f>_xlfn.XLOOKUP($A2752,Games!$A$2:$A$18,Games!$E$2:$E$18,"Missing game",0)</x:f>
        <x:v>46026</x:v>
      </x:c>
      <x:c r="AK2752" t="str">
        <x:f>_xlfn.XLOOKUP($A2752,Games!$A$2:$A$18,Games!$F$2:$F$18,"Missing game",0)</x:f>
        <x:v>Sunday</x:v>
      </x:c>
      <x:c r="AL2752" t="str">
        <x:f>_xlfn.XLOOKUP($A2752,Games!$A$2:$A$18,Games!$G$2:$G$18,"Missing game",0)</x:f>
        <x:v>GB</x:v>
      </x:c>
      <x:c r="AM2752" t="n">
        <x:f>_xlfn.XLOOKUP($A2752,Games!$A$2:$A$18,Games!$H$2:$H$18,"Missing game",0)</x:f>
        <x:v>3</x:v>
      </x:c>
      <x:c r="AN2752" t="str">
        <x:f>_xlfn.XLOOKUP($A2752,Games!$A$2:$A$18,Games!$I$2:$I$18,"Missing game",0)</x:f>
        <x:v>MIN</x:v>
      </x:c>
      <x:c r="AO2752" t="n">
        <x:f>_xlfn.XLOOKUP($A2752,Games!$A$2:$A$18,Games!$J$2:$J$18,"Missing game",0)</x:f>
        <x:v>16</x:v>
      </x:c>
      <x:c r="AP2752" t="n">
        <x:f>_xlfn.XLOOKUP($A2752,Games!$A$2:$A$18,Games!$K$2:$K$18,"Missing game",0)</x:f>
        <x:v>13</x:v>
      </x:c>
      <x:c r="AQ2752" t="n">
        <x:f>_xlfn.XLOOKUP($A2752,Games!$A$2:$A$18,Games!$L$2:$L$18,"Missing game",0)</x:f>
        <x:v>19</x:v>
      </x:c>
      <x:c r="AR2752" t="n">
        <x:f>_xlfn.XLOOKUP($A2752,Games!$A$2:$A$18,Games!$M$2:$M$18,"Missing game",0)</x:f>
        <x:v>0</x:v>
      </x:c>
      <x:c r="AS2752" t="str">
        <x:f>_xlfn.XLOOKUP($A2752,Games!$A$2:$A$18,Games!$N$2:$N$18,"Missing game",0)</x:f>
        <x:v>dome</x:v>
      </x:c>
      <x:c r="AT2752" t="str">
        <x:f>_xlfn.XLOOKUP($A2752,Games!$A$2:$A$18,Games!$O$2:$O$18,"Missing game",0)</x:f>
        <x:v>sportturf</x:v>
      </x:c>
      <x:c r="AU2752" t="str">
        <x:f>_xlfn.XLOOKUP($A2752,Games!$A$2:$A$18,Games!$P$2:$P$18,"Missing game",0)</x:f>
      </x:c>
      <x:c r="AV2752" t="str">
        <x:f>_xlfn.XLOOKUP($A2752,Games!$A$2:$A$18,Games!$Q$2:$Q$18,"Missing game",0)</x:f>
      </x:c>
      <x:c r="AW2752" t="str">
        <x:f>_xlfn.XLOOKUP($A2752,Games!$A$2:$A$18,Games!$R$2:$R$18,"Missing game",0)</x:f>
        <x:v>U.S. Bank Stadium</x:v>
      </x:c>
    </x:row>
    <x:row r="2753">
      <x:c r="A2753" t="str">
        <x:v>2025_18_GB_MIN</x:v>
      </x:c>
      <x:c r="B2753" t="n">
        <x:v>2798</x:v>
      </x:c>
      <x:c r="C2753" t="n">
        <x:v>4</x:v>
      </x:c>
      <x:c r="D2753" t="str">
        <x:v>14:16</x:v>
      </x:c>
      <x:c r="E2753" t="n">
        <x:v>1</x:v>
      </x:c>
      <x:c r="F2753" t="n">
        <x:v>10</x:v>
      </x:c>
      <x:c r="G2753" t="str">
        <x:v>MIN</x:v>
      </x:c>
      <x:c r="H2753" t="str">
        <x:v>GB</x:v>
      </x:c>
      <x:c r="I2753" t="str">
        <x:v>MIN</x:v>
      </x:c>
      <x:c r="J2753" t="n">
        <x:v>59</x:v>
      </x:c>
      <x:c r="K2753" t="str">
        <x:v>(14:16) 32-T.Chandler left tackle to MIN 46 for 5 yards (37-J.Baldwin).</x:v>
      </x:c>
      <x:c r="L2753" t="str">
        <x:v>run</x:v>
      </x:c>
      <x:c r="M2753" t="n">
        <x:v>5</x:v>
      </x:c>
      <x:c r="N2753" t="n">
        <x:v>0</x:v>
      </x:c>
      <x:c r="O2753" t="n">
        <x:v>0</x:v>
      </x:c>
      <x:c r="P2753"/>
      <x:c r="Q2753"/>
      <x:c r="R2753"/>
      <x:c r="S2753"/>
      <x:c r="T2753" t="str">
        <x:v>left</x:v>
      </x:c>
      <x:c r="U2753" t="str">
        <x:v>tackle</x:v>
      </x:c>
      <x:c r="V2753" t="n">
        <x:v>0</x:v>
      </x:c>
      <x:c r="W2753" t="n">
        <x:v>0</x:v>
      </x:c>
      <x:c r="X2753" t="n">
        <x:v>0</x:v>
      </x:c>
      <x:c r="Y2753" t="n">
        <x:v>0</x:v>
      </x:c>
      <x:c r="Z2753" t="n">
        <x:v>0</x:v>
      </x:c>
      <x:c r="AA2753" t="n">
        <x:v>0</x:v>
      </x:c>
      <x:c r="AB2753"/>
      <x:c r="AC2753" t="n">
        <x:v>0</x:v>
      </x:c>
      <x:c r="AD2753" t="n">
        <x:v>0.07952929707244039</x:v>
      </x:c>
      <x:c r="AE2753" t="n">
        <x:v>1</x:v>
      </x:c>
      <x:c r="AF2753" t="n">
        <x:v>0.0021512508392333984</x:v>
      </x:c>
      <x:c r="AG2753" t="n">
        <x:f>_xlfn.XLOOKUP($A2753,Games!$A$2:$A$18,Games!$B$2:$B$18,"Missing game",0)</x:f>
        <x:v>2025</x:v>
      </x:c>
      <x:c r="AH2753" t="str">
        <x:f>_xlfn.XLOOKUP($A2753,Games!$A$2:$A$18,Games!$C$2:$C$18,"Missing game",0)</x:f>
        <x:v>REG</x:v>
      </x:c>
      <x:c r="AI2753" t="n">
        <x:f>_xlfn.XLOOKUP($A2753,Games!$A$2:$A$18,Games!$D$2:$D$18,"Missing game",0)</x:f>
        <x:v>18</x:v>
      </x:c>
      <x:c r="AJ2753" s="1" t="n">
        <x:f>_xlfn.XLOOKUP($A2753,Games!$A$2:$A$18,Games!$E$2:$E$18,"Missing game",0)</x:f>
        <x:v>46026</x:v>
      </x:c>
      <x:c r="AK2753" t="str">
        <x:f>_xlfn.XLOOKUP($A2753,Games!$A$2:$A$18,Games!$F$2:$F$18,"Missing game",0)</x:f>
        <x:v>Sunday</x:v>
      </x:c>
      <x:c r="AL2753" t="str">
        <x:f>_xlfn.XLOOKUP($A2753,Games!$A$2:$A$18,Games!$G$2:$G$18,"Missing game",0)</x:f>
        <x:v>GB</x:v>
      </x:c>
      <x:c r="AM2753" t="n">
        <x:f>_xlfn.XLOOKUP($A2753,Games!$A$2:$A$18,Games!$H$2:$H$18,"Missing game",0)</x:f>
        <x:v>3</x:v>
      </x:c>
      <x:c r="AN2753" t="str">
        <x:f>_xlfn.XLOOKUP($A2753,Games!$A$2:$A$18,Games!$I$2:$I$18,"Missing game",0)</x:f>
        <x:v>MIN</x:v>
      </x:c>
      <x:c r="AO2753" t="n">
        <x:f>_xlfn.XLOOKUP($A2753,Games!$A$2:$A$18,Games!$J$2:$J$18,"Missing game",0)</x:f>
        <x:v>16</x:v>
      </x:c>
      <x:c r="AP2753" t="n">
        <x:f>_xlfn.XLOOKUP($A2753,Games!$A$2:$A$18,Games!$K$2:$K$18,"Missing game",0)</x:f>
        <x:v>13</x:v>
      </x:c>
      <x:c r="AQ2753" t="n">
        <x:f>_xlfn.XLOOKUP($A2753,Games!$A$2:$A$18,Games!$L$2:$L$18,"Missing game",0)</x:f>
        <x:v>19</x:v>
      </x:c>
      <x:c r="AR2753" t="n">
        <x:f>_xlfn.XLOOKUP($A2753,Games!$A$2:$A$18,Games!$M$2:$M$18,"Missing game",0)</x:f>
        <x:v>0</x:v>
      </x:c>
      <x:c r="AS2753" t="str">
        <x:f>_xlfn.XLOOKUP($A2753,Games!$A$2:$A$18,Games!$N$2:$N$18,"Missing game",0)</x:f>
        <x:v>dome</x:v>
      </x:c>
      <x:c r="AT2753" t="str">
        <x:f>_xlfn.XLOOKUP($A2753,Games!$A$2:$A$18,Games!$O$2:$O$18,"Missing game",0)</x:f>
        <x:v>sportturf</x:v>
      </x:c>
      <x:c r="AU2753" t="str">
        <x:f>_xlfn.XLOOKUP($A2753,Games!$A$2:$A$18,Games!$P$2:$P$18,"Missing game",0)</x:f>
      </x:c>
      <x:c r="AV2753" t="str">
        <x:f>_xlfn.XLOOKUP($A2753,Games!$A$2:$A$18,Games!$Q$2:$Q$18,"Missing game",0)</x:f>
      </x:c>
      <x:c r="AW2753" t="str">
        <x:f>_xlfn.XLOOKUP($A2753,Games!$A$2:$A$18,Games!$R$2:$R$18,"Missing game",0)</x:f>
        <x:v>U.S. Bank Stadium</x:v>
      </x:c>
    </x:row>
    <x:row r="2754">
      <x:c r="A2754" t="str">
        <x:v>2025_18_GB_MIN</x:v>
      </x:c>
      <x:c r="B2754" t="n">
        <x:v>2820</x:v>
      </x:c>
      <x:c r="C2754" t="n">
        <x:v>4</x:v>
      </x:c>
      <x:c r="D2754" t="str">
        <x:v>13:36</x:v>
      </x:c>
      <x:c r="E2754" t="n">
        <x:v>2</x:v>
      </x:c>
      <x:c r="F2754" t="n">
        <x:v>5</x:v>
      </x:c>
      <x:c r="G2754" t="str">
        <x:v>MIN</x:v>
      </x:c>
      <x:c r="H2754" t="str">
        <x:v>GB</x:v>
      </x:c>
      <x:c r="I2754" t="str">
        <x:v>MIN</x:v>
      </x:c>
      <x:c r="J2754" t="n">
        <x:v>54</x:v>
      </x:c>
      <x:c r="K2754" t="str">
        <x:v>(13:36) (Shotgun) 12-M.Brosmer pass incomplete deep right to 13-T.Felton. PENALTY on GB-38-J.Simpson, Defensive Pass Interference, 32 yards, enforced at MIN 46 - No Play. Penalty on GB-38-J.Simpson, Illegal Contact, declined.</x:v>
      </x:c>
      <x:c r="L2754" t="str">
        <x:v>no_play</x:v>
      </x:c>
      <x:c r="M2754" t="n">
        <x:v>0</x:v>
      </x:c>
      <x:c r="N2754" t="n">
        <x:v>1</x:v>
      </x:c>
      <x:c r="O2754" t="n">
        <x:v>0</x:v>
      </x:c>
      <x:c r="P2754"/>
      <x:c r="Q2754"/>
      <x:c r="R2754"/>
      <x:c r="S2754"/>
      <x:c r="T2754"/>
      <x:c r="U2754"/>
      <x:c r="V2754" t="n">
        <x:v>0</x:v>
      </x:c>
      <x:c r="W2754" t="n">
        <x:v>1</x:v>
      </x:c>
      <x:c r="X2754" t="n">
        <x:v>0</x:v>
      </x:c>
      <x:c r="Y2754" t="n">
        <x:v>0</x:v>
      </x:c>
      <x:c r="Z2754" t="n">
        <x:v>0</x:v>
      </x:c>
      <x:c r="AA2754" t="n">
        <x:v>1</x:v>
      </x:c>
      <x:c r="AB2754" t="n">
        <x:v>32</x:v>
      </x:c>
      <x:c r="AC2754" t="n">
        <x:v>0</x:v>
      </x:c>
      <x:c r="AD2754" t="n">
        <x:v>2.3515458318870515</x:v>
      </x:c>
      <x:c r="AE2754" t="n">
        <x:v>1</x:v>
      </x:c>
      <x:c r="AF2754" t="n">
        <x:v>0.00464397668838501</x:v>
      </x:c>
      <x:c r="AG2754" t="n">
        <x:f>_xlfn.XLOOKUP($A2754,Games!$A$2:$A$18,Games!$B$2:$B$18,"Missing game",0)</x:f>
        <x:v>2025</x:v>
      </x:c>
      <x:c r="AH2754" t="str">
        <x:f>_xlfn.XLOOKUP($A2754,Games!$A$2:$A$18,Games!$C$2:$C$18,"Missing game",0)</x:f>
        <x:v>REG</x:v>
      </x:c>
      <x:c r="AI2754" t="n">
        <x:f>_xlfn.XLOOKUP($A2754,Games!$A$2:$A$18,Games!$D$2:$D$18,"Missing game",0)</x:f>
        <x:v>18</x:v>
      </x:c>
      <x:c r="AJ2754" s="1" t="n">
        <x:f>_xlfn.XLOOKUP($A2754,Games!$A$2:$A$18,Games!$E$2:$E$18,"Missing game",0)</x:f>
        <x:v>46026</x:v>
      </x:c>
      <x:c r="AK2754" t="str">
        <x:f>_xlfn.XLOOKUP($A2754,Games!$A$2:$A$18,Games!$F$2:$F$18,"Missing game",0)</x:f>
        <x:v>Sunday</x:v>
      </x:c>
      <x:c r="AL2754" t="str">
        <x:f>_xlfn.XLOOKUP($A2754,Games!$A$2:$A$18,Games!$G$2:$G$18,"Missing game",0)</x:f>
        <x:v>GB</x:v>
      </x:c>
      <x:c r="AM2754" t="n">
        <x:f>_xlfn.XLOOKUP($A2754,Games!$A$2:$A$18,Games!$H$2:$H$18,"Missing game",0)</x:f>
        <x:v>3</x:v>
      </x:c>
      <x:c r="AN2754" t="str">
        <x:f>_xlfn.XLOOKUP($A2754,Games!$A$2:$A$18,Games!$I$2:$I$18,"Missing game",0)</x:f>
        <x:v>MIN</x:v>
      </x:c>
      <x:c r="AO2754" t="n">
        <x:f>_xlfn.XLOOKUP($A2754,Games!$A$2:$A$18,Games!$J$2:$J$18,"Missing game",0)</x:f>
        <x:v>16</x:v>
      </x:c>
      <x:c r="AP2754" t="n">
        <x:f>_xlfn.XLOOKUP($A2754,Games!$A$2:$A$18,Games!$K$2:$K$18,"Missing game",0)</x:f>
        <x:v>13</x:v>
      </x:c>
      <x:c r="AQ2754" t="n">
        <x:f>_xlfn.XLOOKUP($A2754,Games!$A$2:$A$18,Games!$L$2:$L$18,"Missing game",0)</x:f>
        <x:v>19</x:v>
      </x:c>
      <x:c r="AR2754" t="n">
        <x:f>_xlfn.XLOOKUP($A2754,Games!$A$2:$A$18,Games!$M$2:$M$18,"Missing game",0)</x:f>
        <x:v>0</x:v>
      </x:c>
      <x:c r="AS2754" t="str">
        <x:f>_xlfn.XLOOKUP($A2754,Games!$A$2:$A$18,Games!$N$2:$N$18,"Missing game",0)</x:f>
        <x:v>dome</x:v>
      </x:c>
      <x:c r="AT2754" t="str">
        <x:f>_xlfn.XLOOKUP($A2754,Games!$A$2:$A$18,Games!$O$2:$O$18,"Missing game",0)</x:f>
        <x:v>sportturf</x:v>
      </x:c>
      <x:c r="AU2754" t="str">
        <x:f>_xlfn.XLOOKUP($A2754,Games!$A$2:$A$18,Games!$P$2:$P$18,"Missing game",0)</x:f>
      </x:c>
      <x:c r="AV2754" t="str">
        <x:f>_xlfn.XLOOKUP($A2754,Games!$A$2:$A$18,Games!$Q$2:$Q$18,"Missing game",0)</x:f>
      </x:c>
      <x:c r="AW2754" t="str">
        <x:f>_xlfn.XLOOKUP($A2754,Games!$A$2:$A$18,Games!$R$2:$R$18,"Missing game",0)</x:f>
        <x:v>U.S. Bank Stadium</x:v>
      </x:c>
    </x:row>
    <x:row r="2755">
      <x:c r="A2755" t="str">
        <x:v>2025_18_GB_MIN</x:v>
      </x:c>
      <x:c r="B2755" t="n">
        <x:v>2854</x:v>
      </x:c>
      <x:c r="C2755" t="n">
        <x:v>4</x:v>
      </x:c>
      <x:c r="D2755" t="str">
        <x:v>13:30</x:v>
      </x:c>
      <x:c r="E2755" t="n">
        <x:v>1</x:v>
      </x:c>
      <x:c r="F2755" t="n">
        <x:v>10</x:v>
      </x:c>
      <x:c r="G2755" t="str">
        <x:v>MIN</x:v>
      </x:c>
      <x:c r="H2755" t="str">
        <x:v>GB</x:v>
      </x:c>
      <x:c r="I2755" t="str">
        <x:v>GB</x:v>
      </x:c>
      <x:c r="J2755" t="n">
        <x:v>22</x:v>
      </x:c>
      <x:c r="K2755" t="str">
        <x:v>(13:30) 32-T.Chandler right tackle to GB 19 for 3 yards (59-T.Hopper; 93-N.Stackhouse).</x:v>
      </x:c>
      <x:c r="L2755" t="str">
        <x:v>run</x:v>
      </x:c>
      <x:c r="M2755" t="n">
        <x:v>3</x:v>
      </x:c>
      <x:c r="N2755" t="n">
        <x:v>0</x:v>
      </x:c>
      <x:c r="O2755" t="n">
        <x:v>0</x:v>
      </x:c>
      <x:c r="P2755"/>
      <x:c r="Q2755"/>
      <x:c r="R2755"/>
      <x:c r="S2755"/>
      <x:c r="T2755" t="str">
        <x:v>right</x:v>
      </x:c>
      <x:c r="U2755" t="str">
        <x:v>tackle</x:v>
      </x:c>
      <x:c r="V2755" t="n">
        <x:v>0</x:v>
      </x:c>
      <x:c r="W2755" t="n">
        <x:v>0</x:v>
      </x:c>
      <x:c r="X2755" t="n">
        <x:v>0</x:v>
      </x:c>
      <x:c r="Y2755" t="n">
        <x:v>0</x:v>
      </x:c>
      <x:c r="Z2755" t="n">
        <x:v>0</x:v>
      </x:c>
      <x:c r="AA2755" t="n">
        <x:v>0</x:v>
      </x:c>
      <x:c r="AB2755"/>
      <x:c r="AC2755" t="n">
        <x:v>0</x:v>
      </x:c>
      <x:c r="AD2755" t="n">
        <x:v>-0.3244230661075562</x:v>
      </x:c>
      <x:c r="AE2755" t="n">
        <x:v>0</x:v>
      </x:c>
      <x:c r="AF2755" t="n">
        <x:v>-0.0018524527549743652</x:v>
      </x:c>
      <x:c r="AG2755" t="n">
        <x:f>_xlfn.XLOOKUP($A2755,Games!$A$2:$A$18,Games!$B$2:$B$18,"Missing game",0)</x:f>
        <x:v>2025</x:v>
      </x:c>
      <x:c r="AH2755" t="str">
        <x:f>_xlfn.XLOOKUP($A2755,Games!$A$2:$A$18,Games!$C$2:$C$18,"Missing game",0)</x:f>
        <x:v>REG</x:v>
      </x:c>
      <x:c r="AI2755" t="n">
        <x:f>_xlfn.XLOOKUP($A2755,Games!$A$2:$A$18,Games!$D$2:$D$18,"Missing game",0)</x:f>
        <x:v>18</x:v>
      </x:c>
      <x:c r="AJ2755" s="1" t="n">
        <x:f>_xlfn.XLOOKUP($A2755,Games!$A$2:$A$18,Games!$E$2:$E$18,"Missing game",0)</x:f>
        <x:v>46026</x:v>
      </x:c>
      <x:c r="AK2755" t="str">
        <x:f>_xlfn.XLOOKUP($A2755,Games!$A$2:$A$18,Games!$F$2:$F$18,"Missing game",0)</x:f>
        <x:v>Sunday</x:v>
      </x:c>
      <x:c r="AL2755" t="str">
        <x:f>_xlfn.XLOOKUP($A2755,Games!$A$2:$A$18,Games!$G$2:$G$18,"Missing game",0)</x:f>
        <x:v>GB</x:v>
      </x:c>
      <x:c r="AM2755" t="n">
        <x:f>_xlfn.XLOOKUP($A2755,Games!$A$2:$A$18,Games!$H$2:$H$18,"Missing game",0)</x:f>
        <x:v>3</x:v>
      </x:c>
      <x:c r="AN2755" t="str">
        <x:f>_xlfn.XLOOKUP($A2755,Games!$A$2:$A$18,Games!$I$2:$I$18,"Missing game",0)</x:f>
        <x:v>MIN</x:v>
      </x:c>
      <x:c r="AO2755" t="n">
        <x:f>_xlfn.XLOOKUP($A2755,Games!$A$2:$A$18,Games!$J$2:$J$18,"Missing game",0)</x:f>
        <x:v>16</x:v>
      </x:c>
      <x:c r="AP2755" t="n">
        <x:f>_xlfn.XLOOKUP($A2755,Games!$A$2:$A$18,Games!$K$2:$K$18,"Missing game",0)</x:f>
        <x:v>13</x:v>
      </x:c>
      <x:c r="AQ2755" t="n">
        <x:f>_xlfn.XLOOKUP($A2755,Games!$A$2:$A$18,Games!$L$2:$L$18,"Missing game",0)</x:f>
        <x:v>19</x:v>
      </x:c>
      <x:c r="AR2755" t="n">
        <x:f>_xlfn.XLOOKUP($A2755,Games!$A$2:$A$18,Games!$M$2:$M$18,"Missing game",0)</x:f>
        <x:v>0</x:v>
      </x:c>
      <x:c r="AS2755" t="str">
        <x:f>_xlfn.XLOOKUP($A2755,Games!$A$2:$A$18,Games!$N$2:$N$18,"Missing game",0)</x:f>
        <x:v>dome</x:v>
      </x:c>
      <x:c r="AT2755" t="str">
        <x:f>_xlfn.XLOOKUP($A2755,Games!$A$2:$A$18,Games!$O$2:$O$18,"Missing game",0)</x:f>
        <x:v>sportturf</x:v>
      </x:c>
      <x:c r="AU2755" t="str">
        <x:f>_xlfn.XLOOKUP($A2755,Games!$A$2:$A$18,Games!$P$2:$P$18,"Missing game",0)</x:f>
      </x:c>
      <x:c r="AV2755" t="str">
        <x:f>_xlfn.XLOOKUP($A2755,Games!$A$2:$A$18,Games!$Q$2:$Q$18,"Missing game",0)</x:f>
      </x:c>
      <x:c r="AW2755" t="str">
        <x:f>_xlfn.XLOOKUP($A2755,Games!$A$2:$A$18,Games!$R$2:$R$18,"Missing game",0)</x:f>
        <x:v>U.S. Bank Stadium</x:v>
      </x:c>
    </x:row>
    <x:row r="2756">
      <x:c r="A2756" t="str">
        <x:v>2025_18_GB_MIN</x:v>
      </x:c>
      <x:c r="B2756" t="n">
        <x:v>2876</x:v>
      </x:c>
      <x:c r="C2756" t="n">
        <x:v>4</x:v>
      </x:c>
      <x:c r="D2756" t="str">
        <x:v>12:53</x:v>
      </x:c>
      <x:c r="E2756" t="n">
        <x:v>2</x:v>
      </x:c>
      <x:c r="F2756" t="n">
        <x:v>7</x:v>
      </x:c>
      <x:c r="G2756" t="str">
        <x:v>MIN</x:v>
      </x:c>
      <x:c r="H2756" t="str">
        <x:v>GB</x:v>
      </x:c>
      <x:c r="I2756" t="str">
        <x:v>GB</x:v>
      </x:c>
      <x:c r="J2756" t="n">
        <x:v>19</x:v>
      </x:c>
      <x:c r="K2756" t="str">
        <x:v>(12:53) (Shotgun) 12-M.Brosmer pass incomplete short left to 13-T.Felton. PENALTY on GB-53-A.Mosby, Defensive Offside, 5 yards, enforced at GB 19 - No Play.</x:v>
      </x:c>
      <x:c r="L2756" t="str">
        <x:v>no_play</x:v>
      </x:c>
      <x:c r="M2756" t="n">
        <x:v>0</x:v>
      </x:c>
      <x:c r="N2756" t="n">
        <x:v>1</x:v>
      </x:c>
      <x:c r="O2756" t="n">
        <x:v>0</x:v>
      </x:c>
      <x:c r="P2756"/>
      <x:c r="Q2756"/>
      <x:c r="R2756"/>
      <x:c r="S2756"/>
      <x:c r="T2756"/>
      <x:c r="U2756"/>
      <x:c r="V2756" t="n">
        <x:v>0</x:v>
      </x:c>
      <x:c r="W2756" t="n">
        <x:v>0</x:v>
      </x:c>
      <x:c r="X2756" t="n">
        <x:v>0</x:v>
      </x:c>
      <x:c r="Y2756" t="n">
        <x:v>0</x:v>
      </x:c>
      <x:c r="Z2756" t="n">
        <x:v>0</x:v>
      </x:c>
      <x:c r="AA2756" t="n">
        <x:v>1</x:v>
      </x:c>
      <x:c r="AB2756" t="n">
        <x:v>5</x:v>
      </x:c>
      <x:c r="AC2756" t="n">
        <x:v>0</x:v>
      </x:c>
      <x:c r="AD2756" t="n">
        <x:v>0.8361842160811648</x:v>
      </x:c>
      <x:c r="AE2756" t="n">
        <x:v>1</x:v>
      </x:c>
      <x:c r="AF2756" t="n">
        <x:v>0.005550026893615723</x:v>
      </x:c>
      <x:c r="AG2756" t="n">
        <x:f>_xlfn.XLOOKUP($A2756,Games!$A$2:$A$18,Games!$B$2:$B$18,"Missing game",0)</x:f>
        <x:v>2025</x:v>
      </x:c>
      <x:c r="AH2756" t="str">
        <x:f>_xlfn.XLOOKUP($A2756,Games!$A$2:$A$18,Games!$C$2:$C$18,"Missing game",0)</x:f>
        <x:v>REG</x:v>
      </x:c>
      <x:c r="AI2756" t="n">
        <x:f>_xlfn.XLOOKUP($A2756,Games!$A$2:$A$18,Games!$D$2:$D$18,"Missing game",0)</x:f>
        <x:v>18</x:v>
      </x:c>
      <x:c r="AJ2756" s="1" t="n">
        <x:f>_xlfn.XLOOKUP($A2756,Games!$A$2:$A$18,Games!$E$2:$E$18,"Missing game",0)</x:f>
        <x:v>46026</x:v>
      </x:c>
      <x:c r="AK2756" t="str">
        <x:f>_xlfn.XLOOKUP($A2756,Games!$A$2:$A$18,Games!$F$2:$F$18,"Missing game",0)</x:f>
        <x:v>Sunday</x:v>
      </x:c>
      <x:c r="AL2756" t="str">
        <x:f>_xlfn.XLOOKUP($A2756,Games!$A$2:$A$18,Games!$G$2:$G$18,"Missing game",0)</x:f>
        <x:v>GB</x:v>
      </x:c>
      <x:c r="AM2756" t="n">
        <x:f>_xlfn.XLOOKUP($A2756,Games!$A$2:$A$18,Games!$H$2:$H$18,"Missing game",0)</x:f>
        <x:v>3</x:v>
      </x:c>
      <x:c r="AN2756" t="str">
        <x:f>_xlfn.XLOOKUP($A2756,Games!$A$2:$A$18,Games!$I$2:$I$18,"Missing game",0)</x:f>
        <x:v>MIN</x:v>
      </x:c>
      <x:c r="AO2756" t="n">
        <x:f>_xlfn.XLOOKUP($A2756,Games!$A$2:$A$18,Games!$J$2:$J$18,"Missing game",0)</x:f>
        <x:v>16</x:v>
      </x:c>
      <x:c r="AP2756" t="n">
        <x:f>_xlfn.XLOOKUP($A2756,Games!$A$2:$A$18,Games!$K$2:$K$18,"Missing game",0)</x:f>
        <x:v>13</x:v>
      </x:c>
      <x:c r="AQ2756" t="n">
        <x:f>_xlfn.XLOOKUP($A2756,Games!$A$2:$A$18,Games!$L$2:$L$18,"Missing game",0)</x:f>
        <x:v>19</x:v>
      </x:c>
      <x:c r="AR2756" t="n">
        <x:f>_xlfn.XLOOKUP($A2756,Games!$A$2:$A$18,Games!$M$2:$M$18,"Missing game",0)</x:f>
        <x:v>0</x:v>
      </x:c>
      <x:c r="AS2756" t="str">
        <x:f>_xlfn.XLOOKUP($A2756,Games!$A$2:$A$18,Games!$N$2:$N$18,"Missing game",0)</x:f>
        <x:v>dome</x:v>
      </x:c>
      <x:c r="AT2756" t="str">
        <x:f>_xlfn.XLOOKUP($A2756,Games!$A$2:$A$18,Games!$O$2:$O$18,"Missing game",0)</x:f>
        <x:v>sportturf</x:v>
      </x:c>
      <x:c r="AU2756" t="str">
        <x:f>_xlfn.XLOOKUP($A2756,Games!$A$2:$A$18,Games!$P$2:$P$18,"Missing game",0)</x:f>
      </x:c>
      <x:c r="AV2756" t="str">
        <x:f>_xlfn.XLOOKUP($A2756,Games!$A$2:$A$18,Games!$Q$2:$Q$18,"Missing game",0)</x:f>
      </x:c>
      <x:c r="AW2756" t="str">
        <x:f>_xlfn.XLOOKUP($A2756,Games!$A$2:$A$18,Games!$R$2:$R$18,"Missing game",0)</x:f>
        <x:v>U.S. Bank Stadium</x:v>
      </x:c>
    </x:row>
    <x:row r="2757">
      <x:c r="A2757" t="str">
        <x:v>2025_18_GB_MIN</x:v>
      </x:c>
      <x:c r="B2757" t="n">
        <x:v>2910</x:v>
      </x:c>
      <x:c r="C2757" t="n">
        <x:v>4</x:v>
      </x:c>
      <x:c r="D2757" t="str">
        <x:v>12:50</x:v>
      </x:c>
      <x:c r="E2757" t="n">
        <x:v>2</x:v>
      </x:c>
      <x:c r="F2757" t="n">
        <x:v>2</x:v>
      </x:c>
      <x:c r="G2757" t="str">
        <x:v>MIN</x:v>
      </x:c>
      <x:c r="H2757" t="str">
        <x:v>GB</x:v>
      </x:c>
      <x:c r="I2757" t="str">
        <x:v>GB</x:v>
      </x:c>
      <x:c r="J2757" t="n">
        <x:v>14</x:v>
      </x:c>
      <x:c r="K2757" t="str">
        <x:v>(12:50) (Shotgun) 36-Z.Scott up the middle to GB 13 for 1 yard (58-I.McDuffie).</x:v>
      </x:c>
      <x:c r="L2757" t="str">
        <x:v>run</x:v>
      </x:c>
      <x:c r="M2757" t="n">
        <x:v>1</x:v>
      </x:c>
      <x:c r="N2757" t="n">
        <x:v>1</x:v>
      </x:c>
      <x:c r="O2757" t="n">
        <x:v>0</x:v>
      </x:c>
      <x:c r="P2757"/>
      <x:c r="Q2757"/>
      <x:c r="R2757"/>
      <x:c r="S2757"/>
      <x:c r="T2757" t="str">
        <x:v>middle</x:v>
      </x:c>
      <x:c r="U2757"/>
      <x:c r="V2757" t="n">
        <x:v>0</x:v>
      </x:c>
      <x:c r="W2757" t="n">
        <x:v>0</x:v>
      </x:c>
      <x:c r="X2757" t="n">
        <x:v>0</x:v>
      </x:c>
      <x:c r="Y2757" t="n">
        <x:v>0</x:v>
      </x:c>
      <x:c r="Z2757" t="n">
        <x:v>0</x:v>
      </x:c>
      <x:c r="AA2757" t="n">
        <x:v>0</x:v>
      </x:c>
      <x:c r="AB2757"/>
      <x:c r="AC2757" t="n">
        <x:v>0</x:v>
      </x:c>
      <x:c r="AD2757" t="n">
        <x:v>-0.3506658576661721</x:v>
      </x:c>
      <x:c r="AE2757" t="n">
        <x:v>0</x:v>
      </x:c>
      <x:c r="AF2757" t="n">
        <x:v>-0.0002321004867553711</x:v>
      </x:c>
      <x:c r="AG2757" t="n">
        <x:f>_xlfn.XLOOKUP($A2757,Games!$A$2:$A$18,Games!$B$2:$B$18,"Missing game",0)</x:f>
        <x:v>2025</x:v>
      </x:c>
      <x:c r="AH2757" t="str">
        <x:f>_xlfn.XLOOKUP($A2757,Games!$A$2:$A$18,Games!$C$2:$C$18,"Missing game",0)</x:f>
        <x:v>REG</x:v>
      </x:c>
      <x:c r="AI2757" t="n">
        <x:f>_xlfn.XLOOKUP($A2757,Games!$A$2:$A$18,Games!$D$2:$D$18,"Missing game",0)</x:f>
        <x:v>18</x:v>
      </x:c>
      <x:c r="AJ2757" s="1" t="n">
        <x:f>_xlfn.XLOOKUP($A2757,Games!$A$2:$A$18,Games!$E$2:$E$18,"Missing game",0)</x:f>
        <x:v>46026</x:v>
      </x:c>
      <x:c r="AK2757" t="str">
        <x:f>_xlfn.XLOOKUP($A2757,Games!$A$2:$A$18,Games!$F$2:$F$18,"Missing game",0)</x:f>
        <x:v>Sunday</x:v>
      </x:c>
      <x:c r="AL2757" t="str">
        <x:f>_xlfn.XLOOKUP($A2757,Games!$A$2:$A$18,Games!$G$2:$G$18,"Missing game",0)</x:f>
        <x:v>GB</x:v>
      </x:c>
      <x:c r="AM2757" t="n">
        <x:f>_xlfn.XLOOKUP($A2757,Games!$A$2:$A$18,Games!$H$2:$H$18,"Missing game",0)</x:f>
        <x:v>3</x:v>
      </x:c>
      <x:c r="AN2757" t="str">
        <x:f>_xlfn.XLOOKUP($A2757,Games!$A$2:$A$18,Games!$I$2:$I$18,"Missing game",0)</x:f>
        <x:v>MIN</x:v>
      </x:c>
      <x:c r="AO2757" t="n">
        <x:f>_xlfn.XLOOKUP($A2757,Games!$A$2:$A$18,Games!$J$2:$J$18,"Missing game",0)</x:f>
        <x:v>16</x:v>
      </x:c>
      <x:c r="AP2757" t="n">
        <x:f>_xlfn.XLOOKUP($A2757,Games!$A$2:$A$18,Games!$K$2:$K$18,"Missing game",0)</x:f>
        <x:v>13</x:v>
      </x:c>
      <x:c r="AQ2757" t="n">
        <x:f>_xlfn.XLOOKUP($A2757,Games!$A$2:$A$18,Games!$L$2:$L$18,"Missing game",0)</x:f>
        <x:v>19</x:v>
      </x:c>
      <x:c r="AR2757" t="n">
        <x:f>_xlfn.XLOOKUP($A2757,Games!$A$2:$A$18,Games!$M$2:$M$18,"Missing game",0)</x:f>
        <x:v>0</x:v>
      </x:c>
      <x:c r="AS2757" t="str">
        <x:f>_xlfn.XLOOKUP($A2757,Games!$A$2:$A$18,Games!$N$2:$N$18,"Missing game",0)</x:f>
        <x:v>dome</x:v>
      </x:c>
      <x:c r="AT2757" t="str">
        <x:f>_xlfn.XLOOKUP($A2757,Games!$A$2:$A$18,Games!$O$2:$O$18,"Missing game",0)</x:f>
        <x:v>sportturf</x:v>
      </x:c>
      <x:c r="AU2757" t="str">
        <x:f>_xlfn.XLOOKUP($A2757,Games!$A$2:$A$18,Games!$P$2:$P$18,"Missing game",0)</x:f>
      </x:c>
      <x:c r="AV2757" t="str">
        <x:f>_xlfn.XLOOKUP($A2757,Games!$A$2:$A$18,Games!$Q$2:$Q$18,"Missing game",0)</x:f>
      </x:c>
      <x:c r="AW2757" t="str">
        <x:f>_xlfn.XLOOKUP($A2757,Games!$A$2:$A$18,Games!$R$2:$R$18,"Missing game",0)</x:f>
        <x:v>U.S. Bank Stadium</x:v>
      </x:c>
    </x:row>
    <x:row r="2758">
      <x:c r="A2758" t="str">
        <x:v>2025_18_GB_MIN</x:v>
      </x:c>
      <x:c r="B2758" t="n">
        <x:v>2932</x:v>
      </x:c>
      <x:c r="C2758" t="n">
        <x:v>4</x:v>
      </x:c>
      <x:c r="D2758" t="str">
        <x:v>12:07</x:v>
      </x:c>
      <x:c r="E2758" t="n">
        <x:v>3</x:v>
      </x:c>
      <x:c r="F2758" t="n">
        <x:v>1</x:v>
      </x:c>
      <x:c r="G2758" t="str">
        <x:v>MIN</x:v>
      </x:c>
      <x:c r="H2758" t="str">
        <x:v>GB</x:v>
      </x:c>
      <x:c r="I2758" t="str">
        <x:v>GB</x:v>
      </x:c>
      <x:c r="J2758" t="n">
        <x:v>13</x:v>
      </x:c>
      <x:c r="K2758" t="str">
        <x:v>(12:07) 12-M.Brosmer pass short right to 36-Z.Scott pushed ob at GB 5 for 8 yards (38-J.Simpson).</x:v>
      </x:c>
      <x:c r="L2758" t="str">
        <x:v>pass</x:v>
      </x:c>
      <x:c r="M2758" t="n">
        <x:v>8</x:v>
      </x:c>
      <x:c r="N2758" t="n">
        <x:v>0</x:v>
      </x:c>
      <x:c r="O2758" t="n">
        <x:v>0</x:v>
      </x:c>
      <x:c r="P2758" t="str">
        <x:v>short</x:v>
      </x:c>
      <x:c r="Q2758" t="str">
        <x:v>right</x:v>
      </x:c>
      <x:c r="R2758" t="n">
        <x:v>0</x:v>
      </x:c>
      <x:c r="S2758" t="n">
        <x:v>8</x:v>
      </x:c>
      <x:c r="T2758"/>
      <x:c r="U2758"/>
      <x:c r="V2758" t="n">
        <x:v>1</x:v>
      </x:c>
      <x:c r="W2758" t="n">
        <x:v>1</x:v>
      </x:c>
      <x:c r="X2758" t="n">
        <x:v>0</x:v>
      </x:c>
      <x:c r="Y2758" t="n">
        <x:v>0</x:v>
      </x:c>
      <x:c r="Z2758" t="n">
        <x:v>0</x:v>
      </x:c>
      <x:c r="AA2758" t="n">
        <x:v>0</x:v>
      </x:c>
      <x:c r="AB2758"/>
      <x:c r="AC2758" t="n">
        <x:v>0</x:v>
      </x:c>
      <x:c r="AD2758" t="n">
        <x:v>0.9564033970818855</x:v>
      </x:c>
      <x:c r="AE2758" t="n">
        <x:v>1</x:v>
      </x:c>
      <x:c r="AF2758" t="n">
        <x:v>0.00011134147644042969</x:v>
      </x:c>
      <x:c r="AG2758" t="n">
        <x:f>_xlfn.XLOOKUP($A2758,Games!$A$2:$A$18,Games!$B$2:$B$18,"Missing game",0)</x:f>
        <x:v>2025</x:v>
      </x:c>
      <x:c r="AH2758" t="str">
        <x:f>_xlfn.XLOOKUP($A2758,Games!$A$2:$A$18,Games!$C$2:$C$18,"Missing game",0)</x:f>
        <x:v>REG</x:v>
      </x:c>
      <x:c r="AI2758" t="n">
        <x:f>_xlfn.XLOOKUP($A2758,Games!$A$2:$A$18,Games!$D$2:$D$18,"Missing game",0)</x:f>
        <x:v>18</x:v>
      </x:c>
      <x:c r="AJ2758" s="1" t="n">
        <x:f>_xlfn.XLOOKUP($A2758,Games!$A$2:$A$18,Games!$E$2:$E$18,"Missing game",0)</x:f>
        <x:v>46026</x:v>
      </x:c>
      <x:c r="AK2758" t="str">
        <x:f>_xlfn.XLOOKUP($A2758,Games!$A$2:$A$18,Games!$F$2:$F$18,"Missing game",0)</x:f>
        <x:v>Sunday</x:v>
      </x:c>
      <x:c r="AL2758" t="str">
        <x:f>_xlfn.XLOOKUP($A2758,Games!$A$2:$A$18,Games!$G$2:$G$18,"Missing game",0)</x:f>
        <x:v>GB</x:v>
      </x:c>
      <x:c r="AM2758" t="n">
        <x:f>_xlfn.XLOOKUP($A2758,Games!$A$2:$A$18,Games!$H$2:$H$18,"Missing game",0)</x:f>
        <x:v>3</x:v>
      </x:c>
      <x:c r="AN2758" t="str">
        <x:f>_xlfn.XLOOKUP($A2758,Games!$A$2:$A$18,Games!$I$2:$I$18,"Missing game",0)</x:f>
        <x:v>MIN</x:v>
      </x:c>
      <x:c r="AO2758" t="n">
        <x:f>_xlfn.XLOOKUP($A2758,Games!$A$2:$A$18,Games!$J$2:$J$18,"Missing game",0)</x:f>
        <x:v>16</x:v>
      </x:c>
      <x:c r="AP2758" t="n">
        <x:f>_xlfn.XLOOKUP($A2758,Games!$A$2:$A$18,Games!$K$2:$K$18,"Missing game",0)</x:f>
        <x:v>13</x:v>
      </x:c>
      <x:c r="AQ2758" t="n">
        <x:f>_xlfn.XLOOKUP($A2758,Games!$A$2:$A$18,Games!$L$2:$L$18,"Missing game",0)</x:f>
        <x:v>19</x:v>
      </x:c>
      <x:c r="AR2758" t="n">
        <x:f>_xlfn.XLOOKUP($A2758,Games!$A$2:$A$18,Games!$M$2:$M$18,"Missing game",0)</x:f>
        <x:v>0</x:v>
      </x:c>
      <x:c r="AS2758" t="str">
        <x:f>_xlfn.XLOOKUP($A2758,Games!$A$2:$A$18,Games!$N$2:$N$18,"Missing game",0)</x:f>
        <x:v>dome</x:v>
      </x:c>
      <x:c r="AT2758" t="str">
        <x:f>_xlfn.XLOOKUP($A2758,Games!$A$2:$A$18,Games!$O$2:$O$18,"Missing game",0)</x:f>
        <x:v>sportturf</x:v>
      </x:c>
      <x:c r="AU2758" t="str">
        <x:f>_xlfn.XLOOKUP($A2758,Games!$A$2:$A$18,Games!$P$2:$P$18,"Missing game",0)</x:f>
      </x:c>
      <x:c r="AV2758" t="str">
        <x:f>_xlfn.XLOOKUP($A2758,Games!$A$2:$A$18,Games!$Q$2:$Q$18,"Missing game",0)</x:f>
      </x:c>
      <x:c r="AW2758" t="str">
        <x:f>_xlfn.XLOOKUP($A2758,Games!$A$2:$A$18,Games!$R$2:$R$18,"Missing game",0)</x:f>
        <x:v>U.S. Bank Stadium</x:v>
      </x:c>
    </x:row>
    <x:row r="2759">
      <x:c r="A2759" t="str">
        <x:v>2025_18_GB_MIN</x:v>
      </x:c>
      <x:c r="B2759" t="n">
        <x:v>2962</x:v>
      </x:c>
      <x:c r="C2759" t="n">
        <x:v>4</x:v>
      </x:c>
      <x:c r="D2759" t="str">
        <x:v>11:31</x:v>
      </x:c>
      <x:c r="E2759" t="n">
        <x:v>1</x:v>
      </x:c>
      <x:c r="F2759" t="n">
        <x:v>5</x:v>
      </x:c>
      <x:c r="G2759" t="str">
        <x:v>MIN</x:v>
      </x:c>
      <x:c r="H2759" t="str">
        <x:v>GB</x:v>
      </x:c>
      <x:c r="I2759" t="str">
        <x:v>GB</x:v>
      </x:c>
      <x:c r="J2759" t="n">
        <x:v>5</x:v>
      </x:c>
      <x:c r="K2759" t="str">
        <x:v>(11:31) (Shotgun) 12-M.Brosmer sacked at GB 17 for -12 yards (57-B.Cox). FUMBLES (57-B.Cox) [57-B.Cox], RECOVERED by GB-99-B.Sorrell at GB 18. 99-B.Sorrell to GB 25 for 7 yards (12-M.Brosmer).</x:v>
      </x:c>
      <x:c r="L2759" t="str">
        <x:v>pass</x:v>
      </x:c>
      <x:c r="M2759" t="n">
        <x:v>-13</x:v>
      </x:c>
      <x:c r="N2759" t="n">
        <x:v>1</x:v>
      </x:c>
      <x:c r="O2759" t="n">
        <x:v>0</x:v>
      </x:c>
      <x:c r="P2759"/>
      <x:c r="Q2759"/>
      <x:c r="R2759"/>
      <x:c r="S2759"/>
      <x:c r="T2759"/>
      <x:c r="U2759"/>
      <x:c r="V2759" t="n">
        <x:v>0</x:v>
      </x:c>
      <x:c r="W2759" t="n">
        <x:v>0</x:v>
      </x:c>
      <x:c r="X2759" t="n">
        <x:v>1</x:v>
      </x:c>
      <x:c r="Y2759" t="n">
        <x:v>0</x:v>
      </x:c>
      <x:c r="Z2759" t="n">
        <x:v>1</x:v>
      </x:c>
      <x:c r="AA2759" t="n">
        <x:v>0</x:v>
      </x:c>
      <x:c r="AB2759"/>
      <x:c r="AC2759" t="n">
        <x:v>0</x:v>
      </x:c>
      <x:c r="AD2759" t="n">
        <x:v>-7.410558839386795</x:v>
      </x:c>
      <x:c r="AE2759" t="n">
        <x:v>0</x:v>
      </x:c>
      <x:c r="AF2759" t="n">
        <x:v>-0.03025074303150177</x:v>
      </x:c>
      <x:c r="AG2759" t="n">
        <x:f>_xlfn.XLOOKUP($A2759,Games!$A$2:$A$18,Games!$B$2:$B$18,"Missing game",0)</x:f>
        <x:v>2025</x:v>
      </x:c>
      <x:c r="AH2759" t="str">
        <x:f>_xlfn.XLOOKUP($A2759,Games!$A$2:$A$18,Games!$C$2:$C$18,"Missing game",0)</x:f>
        <x:v>REG</x:v>
      </x:c>
      <x:c r="AI2759" t="n">
        <x:f>_xlfn.XLOOKUP($A2759,Games!$A$2:$A$18,Games!$D$2:$D$18,"Missing game",0)</x:f>
        <x:v>18</x:v>
      </x:c>
      <x:c r="AJ2759" s="1" t="n">
        <x:f>_xlfn.XLOOKUP($A2759,Games!$A$2:$A$18,Games!$E$2:$E$18,"Missing game",0)</x:f>
        <x:v>46026</x:v>
      </x:c>
      <x:c r="AK2759" t="str">
        <x:f>_xlfn.XLOOKUP($A2759,Games!$A$2:$A$18,Games!$F$2:$F$18,"Missing game",0)</x:f>
        <x:v>Sunday</x:v>
      </x:c>
      <x:c r="AL2759" t="str">
        <x:f>_xlfn.XLOOKUP($A2759,Games!$A$2:$A$18,Games!$G$2:$G$18,"Missing game",0)</x:f>
        <x:v>GB</x:v>
      </x:c>
      <x:c r="AM2759" t="n">
        <x:f>_xlfn.XLOOKUP($A2759,Games!$A$2:$A$18,Games!$H$2:$H$18,"Missing game",0)</x:f>
        <x:v>3</x:v>
      </x:c>
      <x:c r="AN2759" t="str">
        <x:f>_xlfn.XLOOKUP($A2759,Games!$A$2:$A$18,Games!$I$2:$I$18,"Missing game",0)</x:f>
        <x:v>MIN</x:v>
      </x:c>
      <x:c r="AO2759" t="n">
        <x:f>_xlfn.XLOOKUP($A2759,Games!$A$2:$A$18,Games!$J$2:$J$18,"Missing game",0)</x:f>
        <x:v>16</x:v>
      </x:c>
      <x:c r="AP2759" t="n">
        <x:f>_xlfn.XLOOKUP($A2759,Games!$A$2:$A$18,Games!$K$2:$K$18,"Missing game",0)</x:f>
        <x:v>13</x:v>
      </x:c>
      <x:c r="AQ2759" t="n">
        <x:f>_xlfn.XLOOKUP($A2759,Games!$A$2:$A$18,Games!$L$2:$L$18,"Missing game",0)</x:f>
        <x:v>19</x:v>
      </x:c>
      <x:c r="AR2759" t="n">
        <x:f>_xlfn.XLOOKUP($A2759,Games!$A$2:$A$18,Games!$M$2:$M$18,"Missing game",0)</x:f>
        <x:v>0</x:v>
      </x:c>
      <x:c r="AS2759" t="str">
        <x:f>_xlfn.XLOOKUP($A2759,Games!$A$2:$A$18,Games!$N$2:$N$18,"Missing game",0)</x:f>
        <x:v>dome</x:v>
      </x:c>
      <x:c r="AT2759" t="str">
        <x:f>_xlfn.XLOOKUP($A2759,Games!$A$2:$A$18,Games!$O$2:$O$18,"Missing game",0)</x:f>
        <x:v>sportturf</x:v>
      </x:c>
      <x:c r="AU2759" t="str">
        <x:f>_xlfn.XLOOKUP($A2759,Games!$A$2:$A$18,Games!$P$2:$P$18,"Missing game",0)</x:f>
      </x:c>
      <x:c r="AV2759" t="str">
        <x:f>_xlfn.XLOOKUP($A2759,Games!$A$2:$A$18,Games!$Q$2:$Q$18,"Missing game",0)</x:f>
      </x:c>
      <x:c r="AW2759" t="str">
        <x:f>_xlfn.XLOOKUP($A2759,Games!$A$2:$A$18,Games!$R$2:$R$18,"Missing game",0)</x:f>
        <x:v>U.S. Bank Stadium</x:v>
      </x:c>
    </x:row>
    <x:row r="2760">
      <x:c r="A2760" t="str">
        <x:v>2025_18_GB_MIN</x:v>
      </x:c>
      <x:c r="B2760" t="n">
        <x:v>2974</x:v>
      </x:c>
      <x:c r="C2760" t="n">
        <x:v>4</x:v>
      </x:c>
      <x:c r="D2760" t="str">
        <x:v>11:31</x:v>
      </x:c>
      <x:c r="E2760"/>
      <x:c r="F2760" t="n">
        <x:v>0</x:v>
      </x:c>
      <x:c r="G2760"/>
      <x:c r="H2760"/>
      <x:c r="I2760"/>
      <x:c r="J2760"/>
      <x:c r="K2760" t="str">
        <x:v>Timeout #1 by MIN at 11:31.</x:v>
      </x:c>
      <x:c r="L2760" t="str">
        <x:v>no_play</x:v>
      </x:c>
      <x:c r="M2760" t="n">
        <x:v>0</x:v>
      </x:c>
      <x:c r="N2760" t="n">
        <x:v>0</x:v>
      </x:c>
      <x:c r="O2760" t="n">
        <x:v>0</x:v>
      </x:c>
      <x:c r="P2760"/>
      <x:c r="Q2760"/>
      <x:c r="R2760"/>
      <x:c r="S2760"/>
      <x:c r="T2760"/>
      <x:c r="U2760"/>
      <x:c r="V2760" t="n">
        <x:v>0</x:v>
      </x:c>
      <x:c r="W2760" t="n">
        <x:v>0</x:v>
      </x:c>
      <x:c r="X2760" t="n">
        <x:v>0</x:v>
      </x:c>
      <x:c r="Y2760" t="n">
        <x:v>0</x:v>
      </x:c>
      <x:c r="Z2760" t="n">
        <x:v>0</x:v>
      </x:c>
      <x:c r="AA2760" t="n">
        <x:v>0</x:v>
      </x:c>
      <x:c r="AB2760"/>
      <x:c r="AC2760" t="n">
        <x:v>0</x:v>
      </x:c>
      <x:c r="AD2760" t="n">
        <x:v>0</x:v>
      </x:c>
      <x:c r="AE2760" t="n">
        <x:v>0</x:v>
      </x:c>
      <x:c r="AF2760" t="n">
        <x:v>0</x:v>
      </x:c>
      <x:c r="AG2760" t="n">
        <x:f>_xlfn.XLOOKUP($A2760,Games!$A$2:$A$18,Games!$B$2:$B$18,"Missing game",0)</x:f>
        <x:v>2025</x:v>
      </x:c>
      <x:c r="AH2760" t="str">
        <x:f>_xlfn.XLOOKUP($A2760,Games!$A$2:$A$18,Games!$C$2:$C$18,"Missing game",0)</x:f>
        <x:v>REG</x:v>
      </x:c>
      <x:c r="AI2760" t="n">
        <x:f>_xlfn.XLOOKUP($A2760,Games!$A$2:$A$18,Games!$D$2:$D$18,"Missing game",0)</x:f>
        <x:v>18</x:v>
      </x:c>
      <x:c r="AJ2760" s="1" t="n">
        <x:f>_xlfn.XLOOKUP($A2760,Games!$A$2:$A$18,Games!$E$2:$E$18,"Missing game",0)</x:f>
        <x:v>46026</x:v>
      </x:c>
      <x:c r="AK2760" t="str">
        <x:f>_xlfn.XLOOKUP($A2760,Games!$A$2:$A$18,Games!$F$2:$F$18,"Missing game",0)</x:f>
        <x:v>Sunday</x:v>
      </x:c>
      <x:c r="AL2760" t="str">
        <x:f>_xlfn.XLOOKUP($A2760,Games!$A$2:$A$18,Games!$G$2:$G$18,"Missing game",0)</x:f>
        <x:v>GB</x:v>
      </x:c>
      <x:c r="AM2760" t="n">
        <x:f>_xlfn.XLOOKUP($A2760,Games!$A$2:$A$18,Games!$H$2:$H$18,"Missing game",0)</x:f>
        <x:v>3</x:v>
      </x:c>
      <x:c r="AN2760" t="str">
        <x:f>_xlfn.XLOOKUP($A2760,Games!$A$2:$A$18,Games!$I$2:$I$18,"Missing game",0)</x:f>
        <x:v>MIN</x:v>
      </x:c>
      <x:c r="AO2760" t="n">
        <x:f>_xlfn.XLOOKUP($A2760,Games!$A$2:$A$18,Games!$J$2:$J$18,"Missing game",0)</x:f>
        <x:v>16</x:v>
      </x:c>
      <x:c r="AP2760" t="n">
        <x:f>_xlfn.XLOOKUP($A2760,Games!$A$2:$A$18,Games!$K$2:$K$18,"Missing game",0)</x:f>
        <x:v>13</x:v>
      </x:c>
      <x:c r="AQ2760" t="n">
        <x:f>_xlfn.XLOOKUP($A2760,Games!$A$2:$A$18,Games!$L$2:$L$18,"Missing game",0)</x:f>
        <x:v>19</x:v>
      </x:c>
      <x:c r="AR2760" t="n">
        <x:f>_xlfn.XLOOKUP($A2760,Games!$A$2:$A$18,Games!$M$2:$M$18,"Missing game",0)</x:f>
        <x:v>0</x:v>
      </x:c>
      <x:c r="AS2760" t="str">
        <x:f>_xlfn.XLOOKUP($A2760,Games!$A$2:$A$18,Games!$N$2:$N$18,"Missing game",0)</x:f>
        <x:v>dome</x:v>
      </x:c>
      <x:c r="AT2760" t="str">
        <x:f>_xlfn.XLOOKUP($A2760,Games!$A$2:$A$18,Games!$O$2:$O$18,"Missing game",0)</x:f>
        <x:v>sportturf</x:v>
      </x:c>
      <x:c r="AU2760" t="str">
        <x:f>_xlfn.XLOOKUP($A2760,Games!$A$2:$A$18,Games!$P$2:$P$18,"Missing game",0)</x:f>
      </x:c>
      <x:c r="AV2760" t="str">
        <x:f>_xlfn.XLOOKUP($A2760,Games!$A$2:$A$18,Games!$Q$2:$Q$18,"Missing game",0)</x:f>
      </x:c>
      <x:c r="AW2760" t="str">
        <x:f>_xlfn.XLOOKUP($A2760,Games!$A$2:$A$18,Games!$R$2:$R$18,"Missing game",0)</x:f>
        <x:v>U.S. Bank Stadium</x:v>
      </x:c>
    </x:row>
    <x:row r="2761">
      <x:c r="A2761" t="str">
        <x:v>2025_18_GB_MIN</x:v>
      </x:c>
      <x:c r="B2761" t="n">
        <x:v>3000</x:v>
      </x:c>
      <x:c r="C2761" t="n">
        <x:v>4</x:v>
      </x:c>
      <x:c r="D2761" t="str">
        <x:v>11:23</x:v>
      </x:c>
      <x:c r="E2761" t="n">
        <x:v>1</x:v>
      </x:c>
      <x:c r="F2761" t="n">
        <x:v>10</x:v>
      </x:c>
      <x:c r="G2761" t="str">
        <x:v>GB</x:v>
      </x:c>
      <x:c r="H2761" t="str">
        <x:v>MIN</x:v>
      </x:c>
      <x:c r="I2761" t="str">
        <x:v>GB</x:v>
      </x:c>
      <x:c r="J2761" t="n">
        <x:v>75</x:v>
      </x:c>
      <x:c r="K2761" t="str">
        <x:v>(11:23) (Shotgun) 6-C.Tune sacked at GB 15 for -10 yards (51-B.Cashman).</x:v>
      </x:c>
      <x:c r="L2761" t="str">
        <x:v>pass</x:v>
      </x:c>
      <x:c r="M2761" t="n">
        <x:v>-10</x:v>
      </x:c>
      <x:c r="N2761" t="n">
        <x:v>1</x:v>
      </x:c>
      <x:c r="O2761" t="n">
        <x:v>0</x:v>
      </x:c>
      <x:c r="P2761"/>
      <x:c r="Q2761"/>
      <x:c r="R2761"/>
      <x:c r="S2761"/>
      <x:c r="T2761"/>
      <x:c r="U2761"/>
      <x:c r="V2761" t="n">
        <x:v>0</x:v>
      </x:c>
      <x:c r="W2761" t="n">
        <x:v>0</x:v>
      </x:c>
      <x:c r="X2761" t="n">
        <x:v>1</x:v>
      </x:c>
      <x:c r="Y2761" t="n">
        <x:v>0</x:v>
      </x:c>
      <x:c r="Z2761" t="n">
        <x:v>0</x:v>
      </x:c>
      <x:c r="AA2761" t="n">
        <x:v>0</x:v>
      </x:c>
      <x:c r="AB2761"/>
      <x:c r="AC2761" t="n">
        <x:v>0</x:v>
      </x:c>
      <x:c r="AD2761" t="n">
        <x:v>-1.8188848686404526</x:v>
      </x:c>
      <x:c r="AE2761" t="n">
        <x:v>0</x:v>
      </x:c>
      <x:c r="AF2761" t="n">
        <x:v>-0.016001373529434204</x:v>
      </x:c>
      <x:c r="AG2761" t="n">
        <x:f>_xlfn.XLOOKUP($A2761,Games!$A$2:$A$18,Games!$B$2:$B$18,"Missing game",0)</x:f>
        <x:v>2025</x:v>
      </x:c>
      <x:c r="AH2761" t="str">
        <x:f>_xlfn.XLOOKUP($A2761,Games!$A$2:$A$18,Games!$C$2:$C$18,"Missing game",0)</x:f>
        <x:v>REG</x:v>
      </x:c>
      <x:c r="AI2761" t="n">
        <x:f>_xlfn.XLOOKUP($A2761,Games!$A$2:$A$18,Games!$D$2:$D$18,"Missing game",0)</x:f>
        <x:v>18</x:v>
      </x:c>
      <x:c r="AJ2761" s="1" t="n">
        <x:f>_xlfn.XLOOKUP($A2761,Games!$A$2:$A$18,Games!$E$2:$E$18,"Missing game",0)</x:f>
        <x:v>46026</x:v>
      </x:c>
      <x:c r="AK2761" t="str">
        <x:f>_xlfn.XLOOKUP($A2761,Games!$A$2:$A$18,Games!$F$2:$F$18,"Missing game",0)</x:f>
        <x:v>Sunday</x:v>
      </x:c>
      <x:c r="AL2761" t="str">
        <x:f>_xlfn.XLOOKUP($A2761,Games!$A$2:$A$18,Games!$G$2:$G$18,"Missing game",0)</x:f>
        <x:v>GB</x:v>
      </x:c>
      <x:c r="AM2761" t="n">
        <x:f>_xlfn.XLOOKUP($A2761,Games!$A$2:$A$18,Games!$H$2:$H$18,"Missing game",0)</x:f>
        <x:v>3</x:v>
      </x:c>
      <x:c r="AN2761" t="str">
        <x:f>_xlfn.XLOOKUP($A2761,Games!$A$2:$A$18,Games!$I$2:$I$18,"Missing game",0)</x:f>
        <x:v>MIN</x:v>
      </x:c>
      <x:c r="AO2761" t="n">
        <x:f>_xlfn.XLOOKUP($A2761,Games!$A$2:$A$18,Games!$J$2:$J$18,"Missing game",0)</x:f>
        <x:v>16</x:v>
      </x:c>
      <x:c r="AP2761" t="n">
        <x:f>_xlfn.XLOOKUP($A2761,Games!$A$2:$A$18,Games!$K$2:$K$18,"Missing game",0)</x:f>
        <x:v>13</x:v>
      </x:c>
      <x:c r="AQ2761" t="n">
        <x:f>_xlfn.XLOOKUP($A2761,Games!$A$2:$A$18,Games!$L$2:$L$18,"Missing game",0)</x:f>
        <x:v>19</x:v>
      </x:c>
      <x:c r="AR2761" t="n">
        <x:f>_xlfn.XLOOKUP($A2761,Games!$A$2:$A$18,Games!$M$2:$M$18,"Missing game",0)</x:f>
        <x:v>0</x:v>
      </x:c>
      <x:c r="AS2761" t="str">
        <x:f>_xlfn.XLOOKUP($A2761,Games!$A$2:$A$18,Games!$N$2:$N$18,"Missing game",0)</x:f>
        <x:v>dome</x:v>
      </x:c>
      <x:c r="AT2761" t="str">
        <x:f>_xlfn.XLOOKUP($A2761,Games!$A$2:$A$18,Games!$O$2:$O$18,"Missing game",0)</x:f>
        <x:v>sportturf</x:v>
      </x:c>
      <x:c r="AU2761" t="str">
        <x:f>_xlfn.XLOOKUP($A2761,Games!$A$2:$A$18,Games!$P$2:$P$18,"Missing game",0)</x:f>
      </x:c>
      <x:c r="AV2761" t="str">
        <x:f>_xlfn.XLOOKUP($A2761,Games!$A$2:$A$18,Games!$Q$2:$Q$18,"Missing game",0)</x:f>
      </x:c>
      <x:c r="AW2761" t="str">
        <x:f>_xlfn.XLOOKUP($A2761,Games!$A$2:$A$18,Games!$R$2:$R$18,"Missing game",0)</x:f>
        <x:v>U.S. Bank Stadium</x:v>
      </x:c>
    </x:row>
    <x:row r="2762">
      <x:c r="A2762" t="str">
        <x:v>2025_18_GB_MIN</x:v>
      </x:c>
      <x:c r="B2762" t="n">
        <x:v>3027</x:v>
      </x:c>
      <x:c r="C2762" t="n">
        <x:v>4</x:v>
      </x:c>
      <x:c r="D2762" t="str">
        <x:v>10:47</x:v>
      </x:c>
      <x:c r="E2762" t="n">
        <x:v>2</x:v>
      </x:c>
      <x:c r="F2762" t="n">
        <x:v>20</x:v>
      </x:c>
      <x:c r="G2762" t="str">
        <x:v>GB</x:v>
      </x:c>
      <x:c r="H2762" t="str">
        <x:v>MIN</x:v>
      </x:c>
      <x:c r="I2762" t="str">
        <x:v>GB</x:v>
      </x:c>
      <x:c r="J2762" t="n">
        <x:v>85</x:v>
      </x:c>
      <x:c r="K2762" t="str">
        <x:v>(10:47) (Shotgun) 6-C.Tune pass incomplete short middle to 0-M.Golden (43-A.Van Ginkel).</x:v>
      </x:c>
      <x:c r="L2762" t="str">
        <x:v>pass</x:v>
      </x:c>
      <x:c r="M2762" t="n">
        <x:v>0</x:v>
      </x:c>
      <x:c r="N2762" t="n">
        <x:v>1</x:v>
      </x:c>
      <x:c r="O2762" t="n">
        <x:v>0</x:v>
      </x:c>
      <x:c r="P2762" t="str">
        <x:v>short</x:v>
      </x:c>
      <x:c r="Q2762" t="str">
        <x:v>middle</x:v>
      </x:c>
      <x:c r="R2762" t="n">
        <x:v>4</x:v>
      </x:c>
      <x:c r="S2762"/>
      <x:c r="T2762"/>
      <x:c r="U2762"/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0</x:v>
      </x:c>
      <x:c r="AA2762" t="n">
        <x:v>0</x:v>
      </x:c>
      <x:c r="AB2762"/>
      <x:c r="AC2762" t="n">
        <x:v>0</x:v>
      </x:c>
      <x:c r="AD2762" t="n">
        <x:v>-0.7366336842533201</x:v>
      </x:c>
      <x:c r="AE2762" t="n">
        <x:v>0</x:v>
      </x:c>
      <x:c r="AF2762" t="n">
        <x:v>-0.007571300491690636</x:v>
      </x:c>
      <x:c r="AG2762" t="n">
        <x:f>_xlfn.XLOOKUP($A2762,Games!$A$2:$A$18,Games!$B$2:$B$18,"Missing game",0)</x:f>
        <x:v>2025</x:v>
      </x:c>
      <x:c r="AH2762" t="str">
        <x:f>_xlfn.XLOOKUP($A2762,Games!$A$2:$A$18,Games!$C$2:$C$18,"Missing game",0)</x:f>
        <x:v>REG</x:v>
      </x:c>
      <x:c r="AI2762" t="n">
        <x:f>_xlfn.XLOOKUP($A2762,Games!$A$2:$A$18,Games!$D$2:$D$18,"Missing game",0)</x:f>
        <x:v>18</x:v>
      </x:c>
      <x:c r="AJ2762" s="1" t="n">
        <x:f>_xlfn.XLOOKUP($A2762,Games!$A$2:$A$18,Games!$E$2:$E$18,"Missing game",0)</x:f>
        <x:v>46026</x:v>
      </x:c>
      <x:c r="AK2762" t="str">
        <x:f>_xlfn.XLOOKUP($A2762,Games!$A$2:$A$18,Games!$F$2:$F$18,"Missing game",0)</x:f>
        <x:v>Sunday</x:v>
      </x:c>
      <x:c r="AL2762" t="str">
        <x:f>_xlfn.XLOOKUP($A2762,Games!$A$2:$A$18,Games!$G$2:$G$18,"Missing game",0)</x:f>
        <x:v>GB</x:v>
      </x:c>
      <x:c r="AM2762" t="n">
        <x:f>_xlfn.XLOOKUP($A2762,Games!$A$2:$A$18,Games!$H$2:$H$18,"Missing game",0)</x:f>
        <x:v>3</x:v>
      </x:c>
      <x:c r="AN2762" t="str">
        <x:f>_xlfn.XLOOKUP($A2762,Games!$A$2:$A$18,Games!$I$2:$I$18,"Missing game",0)</x:f>
        <x:v>MIN</x:v>
      </x:c>
      <x:c r="AO2762" t="n">
        <x:f>_xlfn.XLOOKUP($A2762,Games!$A$2:$A$18,Games!$J$2:$J$18,"Missing game",0)</x:f>
        <x:v>16</x:v>
      </x:c>
      <x:c r="AP2762" t="n">
        <x:f>_xlfn.XLOOKUP($A2762,Games!$A$2:$A$18,Games!$K$2:$K$18,"Missing game",0)</x:f>
        <x:v>13</x:v>
      </x:c>
      <x:c r="AQ2762" t="n">
        <x:f>_xlfn.XLOOKUP($A2762,Games!$A$2:$A$18,Games!$L$2:$L$18,"Missing game",0)</x:f>
        <x:v>19</x:v>
      </x:c>
      <x:c r="AR2762" t="n">
        <x:f>_xlfn.XLOOKUP($A2762,Games!$A$2:$A$18,Games!$M$2:$M$18,"Missing game",0)</x:f>
        <x:v>0</x:v>
      </x:c>
      <x:c r="AS2762" t="str">
        <x:f>_xlfn.XLOOKUP($A2762,Games!$A$2:$A$18,Games!$N$2:$N$18,"Missing game",0)</x:f>
        <x:v>dome</x:v>
      </x:c>
      <x:c r="AT2762" t="str">
        <x:f>_xlfn.XLOOKUP($A2762,Games!$A$2:$A$18,Games!$O$2:$O$18,"Missing game",0)</x:f>
        <x:v>sportturf</x:v>
      </x:c>
      <x:c r="AU2762" t="str">
        <x:f>_xlfn.XLOOKUP($A2762,Games!$A$2:$A$18,Games!$P$2:$P$18,"Missing game",0)</x:f>
      </x:c>
      <x:c r="AV2762" t="str">
        <x:f>_xlfn.XLOOKUP($A2762,Games!$A$2:$A$18,Games!$Q$2:$Q$18,"Missing game",0)</x:f>
      </x:c>
      <x:c r="AW2762" t="str">
        <x:f>_xlfn.XLOOKUP($A2762,Games!$A$2:$A$18,Games!$R$2:$R$18,"Missing game",0)</x:f>
        <x:v>U.S. Bank Stadium</x:v>
      </x:c>
    </x:row>
    <x:row r="2763">
      <x:c r="A2763" t="str">
        <x:v>2025_18_GB_MIN</x:v>
      </x:c>
      <x:c r="B2763" t="n">
        <x:v>3062</x:v>
      </x:c>
      <x:c r="C2763" t="n">
        <x:v>4</x:v>
      </x:c>
      <x:c r="D2763" t="str">
        <x:v>10:38</x:v>
      </x:c>
      <x:c r="E2763" t="n">
        <x:v>3</x:v>
      </x:c>
      <x:c r="F2763" t="n">
        <x:v>20</x:v>
      </x:c>
      <x:c r="G2763" t="str">
        <x:v>GB</x:v>
      </x:c>
      <x:c r="H2763" t="str">
        <x:v>MIN</x:v>
      </x:c>
      <x:c r="I2763" t="str">
        <x:v>GB</x:v>
      </x:c>
      <x:c r="J2763" t="n">
        <x:v>85</x:v>
      </x:c>
      <x:c r="K2763" t="str">
        <x:v>(10:38) (Shotgun) 6-C.Tune pass short right to 23-E.Wilson to GB 19 for 4 yards (2-I.Rodgers).</x:v>
      </x:c>
      <x:c r="L2763" t="str">
        <x:v>pass</x:v>
      </x:c>
      <x:c r="M2763" t="n">
        <x:v>4</x:v>
      </x:c>
      <x:c r="N2763" t="n">
        <x:v>1</x:v>
      </x:c>
      <x:c r="O2763" t="n">
        <x:v>0</x:v>
      </x:c>
      <x:c r="P2763" t="str">
        <x:v>short</x:v>
      </x:c>
      <x:c r="Q2763" t="str">
        <x:v>right</x:v>
      </x:c>
      <x:c r="R2763" t="n">
        <x:v>-6</x:v>
      </x:c>
      <x:c r="S2763" t="n">
        <x:v>10</x:v>
      </x:c>
      <x:c r="T2763"/>
      <x:c r="U2763"/>
      <x:c r="V2763" t="n">
        <x:v>1</x:v>
      </x:c>
      <x:c r="W2763" t="n">
        <x:v>0</x:v>
      </x:c>
      <x:c r="X2763" t="n">
        <x:v>0</x:v>
      </x:c>
      <x:c r="Y2763" t="n">
        <x:v>0</x:v>
      </x:c>
      <x:c r="Z2763" t="n">
        <x:v>0</x:v>
      </x:c>
      <x:c r="AA2763" t="n">
        <x:v>0</x:v>
      </x:c>
      <x:c r="AB2763"/>
      <x:c r="AC2763" t="n">
        <x:v>0</x:v>
      </x:c>
      <x:c r="AD2763" t="n">
        <x:v>-0.7288268215488642</x:v>
      </x:c>
      <x:c r="AE2763" t="n">
        <x:v>0</x:v>
      </x:c>
      <x:c r="AF2763" t="n">
        <x:v>-0.004527445882558823</x:v>
      </x:c>
      <x:c r="AG2763" t="n">
        <x:f>_xlfn.XLOOKUP($A2763,Games!$A$2:$A$18,Games!$B$2:$B$18,"Missing game",0)</x:f>
        <x:v>2025</x:v>
      </x:c>
      <x:c r="AH2763" t="str">
        <x:f>_xlfn.XLOOKUP($A2763,Games!$A$2:$A$18,Games!$C$2:$C$18,"Missing game",0)</x:f>
        <x:v>REG</x:v>
      </x:c>
      <x:c r="AI2763" t="n">
        <x:f>_xlfn.XLOOKUP($A2763,Games!$A$2:$A$18,Games!$D$2:$D$18,"Missing game",0)</x:f>
        <x:v>18</x:v>
      </x:c>
      <x:c r="AJ2763" s="1" t="n">
        <x:f>_xlfn.XLOOKUP($A2763,Games!$A$2:$A$18,Games!$E$2:$E$18,"Missing game",0)</x:f>
        <x:v>46026</x:v>
      </x:c>
      <x:c r="AK2763" t="str">
        <x:f>_xlfn.XLOOKUP($A2763,Games!$A$2:$A$18,Games!$F$2:$F$18,"Missing game",0)</x:f>
        <x:v>Sunday</x:v>
      </x:c>
      <x:c r="AL2763" t="str">
        <x:f>_xlfn.XLOOKUP($A2763,Games!$A$2:$A$18,Games!$G$2:$G$18,"Missing game",0)</x:f>
        <x:v>GB</x:v>
      </x:c>
      <x:c r="AM2763" t="n">
        <x:f>_xlfn.XLOOKUP($A2763,Games!$A$2:$A$18,Games!$H$2:$H$18,"Missing game",0)</x:f>
        <x:v>3</x:v>
      </x:c>
      <x:c r="AN2763" t="str">
        <x:f>_xlfn.XLOOKUP($A2763,Games!$A$2:$A$18,Games!$I$2:$I$18,"Missing game",0)</x:f>
        <x:v>MIN</x:v>
      </x:c>
      <x:c r="AO2763" t="n">
        <x:f>_xlfn.XLOOKUP($A2763,Games!$A$2:$A$18,Games!$J$2:$J$18,"Missing game",0)</x:f>
        <x:v>16</x:v>
      </x:c>
      <x:c r="AP2763" t="n">
        <x:f>_xlfn.XLOOKUP($A2763,Games!$A$2:$A$18,Games!$K$2:$K$18,"Missing game",0)</x:f>
        <x:v>13</x:v>
      </x:c>
      <x:c r="AQ2763" t="n">
        <x:f>_xlfn.XLOOKUP($A2763,Games!$A$2:$A$18,Games!$L$2:$L$18,"Missing game",0)</x:f>
        <x:v>19</x:v>
      </x:c>
      <x:c r="AR2763" t="n">
        <x:f>_xlfn.XLOOKUP($A2763,Games!$A$2:$A$18,Games!$M$2:$M$18,"Missing game",0)</x:f>
        <x:v>0</x:v>
      </x:c>
      <x:c r="AS2763" t="str">
        <x:f>_xlfn.XLOOKUP($A2763,Games!$A$2:$A$18,Games!$N$2:$N$18,"Missing game",0)</x:f>
        <x:v>dome</x:v>
      </x:c>
      <x:c r="AT2763" t="str">
        <x:f>_xlfn.XLOOKUP($A2763,Games!$A$2:$A$18,Games!$O$2:$O$18,"Missing game",0)</x:f>
        <x:v>sportturf</x:v>
      </x:c>
      <x:c r="AU2763" t="str">
        <x:f>_xlfn.XLOOKUP($A2763,Games!$A$2:$A$18,Games!$P$2:$P$18,"Missing game",0)</x:f>
      </x:c>
      <x:c r="AV2763" t="str">
        <x:f>_xlfn.XLOOKUP($A2763,Games!$A$2:$A$18,Games!$Q$2:$Q$18,"Missing game",0)</x:f>
      </x:c>
      <x:c r="AW2763" t="str">
        <x:f>_xlfn.XLOOKUP($A2763,Games!$A$2:$A$18,Games!$R$2:$R$18,"Missing game",0)</x:f>
        <x:v>U.S. Bank Stadium</x:v>
      </x:c>
    </x:row>
    <x:row r="2764">
      <x:c r="A2764" t="str">
        <x:v>2025_18_GB_MIN</x:v>
      </x:c>
      <x:c r="B2764" t="n">
        <x:v>3087</x:v>
      </x:c>
      <x:c r="C2764" t="n">
        <x:v>4</x:v>
      </x:c>
      <x:c r="D2764" t="str">
        <x:v>09:52</x:v>
      </x:c>
      <x:c r="E2764" t="n">
        <x:v>4</x:v>
      </x:c>
      <x:c r="F2764" t="n">
        <x:v>16</x:v>
      </x:c>
      <x:c r="G2764" t="str">
        <x:v>GB</x:v>
      </x:c>
      <x:c r="H2764" t="str">
        <x:v>MIN</x:v>
      </x:c>
      <x:c r="I2764" t="str">
        <x:v>GB</x:v>
      </x:c>
      <x:c r="J2764" t="n">
        <x:v>81</x:v>
      </x:c>
      <x:c r="K2764" t="str">
        <x:v>(9:52) 19-D.Whelan punts 63 yards to MIN 18, Center-42-M.Orzech, fair catch by 82-J.Jones.</x:v>
      </x:c>
      <x:c r="L2764" t="str">
        <x:v>punt</x:v>
      </x:c>
      <x:c r="M2764" t="n">
        <x:v>0</x:v>
      </x:c>
      <x:c r="N2764" t="n">
        <x:v>0</x:v>
      </x:c>
      <x:c r="O2764" t="n">
        <x:v>0</x:v>
      </x:c>
      <x:c r="P2764"/>
      <x:c r="Q2764"/>
      <x:c r="R2764"/>
      <x:c r="S2764"/>
      <x:c r="T2764"/>
      <x:c r="U2764"/>
      <x:c r="V2764" t="n">
        <x:v>0</x:v>
      </x:c>
      <x:c r="W2764" t="n">
        <x:v>0</x:v>
      </x:c>
      <x:c r="X2764" t="n">
        <x:v>0</x:v>
      </x:c>
      <x:c r="Y2764" t="n">
        <x:v>0</x:v>
      </x:c>
      <x:c r="Z2764" t="n">
        <x:v>0</x:v>
      </x:c>
      <x:c r="AA2764" t="n">
        <x:v>0</x:v>
      </x:c>
      <x:c r="AB2764"/>
      <x:c r="AC2764" t="n">
        <x:v>0</x:v>
      </x:c>
      <x:c r="AD2764" t="n">
        <x:v>0.7722360203042626</x:v>
      </x:c>
      <x:c r="AE2764" t="n">
        <x:v>1</x:v>
      </x:c>
      <x:c r="AF2764" t="n">
        <x:v>0.00042453594505786896</x:v>
      </x:c>
      <x:c r="AG2764" t="n">
        <x:f>_xlfn.XLOOKUP($A2764,Games!$A$2:$A$18,Games!$B$2:$B$18,"Missing game",0)</x:f>
        <x:v>2025</x:v>
      </x:c>
      <x:c r="AH2764" t="str">
        <x:f>_xlfn.XLOOKUP($A2764,Games!$A$2:$A$18,Games!$C$2:$C$18,"Missing game",0)</x:f>
        <x:v>REG</x:v>
      </x:c>
      <x:c r="AI2764" t="n">
        <x:f>_xlfn.XLOOKUP($A2764,Games!$A$2:$A$18,Games!$D$2:$D$18,"Missing game",0)</x:f>
        <x:v>18</x:v>
      </x:c>
      <x:c r="AJ2764" s="1" t="n">
        <x:f>_xlfn.XLOOKUP($A2764,Games!$A$2:$A$18,Games!$E$2:$E$18,"Missing game",0)</x:f>
        <x:v>46026</x:v>
      </x:c>
      <x:c r="AK2764" t="str">
        <x:f>_xlfn.XLOOKUP($A2764,Games!$A$2:$A$18,Games!$F$2:$F$18,"Missing game",0)</x:f>
        <x:v>Sunday</x:v>
      </x:c>
      <x:c r="AL2764" t="str">
        <x:f>_xlfn.XLOOKUP($A2764,Games!$A$2:$A$18,Games!$G$2:$G$18,"Missing game",0)</x:f>
        <x:v>GB</x:v>
      </x:c>
      <x:c r="AM2764" t="n">
        <x:f>_xlfn.XLOOKUP($A2764,Games!$A$2:$A$18,Games!$H$2:$H$18,"Missing game",0)</x:f>
        <x:v>3</x:v>
      </x:c>
      <x:c r="AN2764" t="str">
        <x:f>_xlfn.XLOOKUP($A2764,Games!$A$2:$A$18,Games!$I$2:$I$18,"Missing game",0)</x:f>
        <x:v>MIN</x:v>
      </x:c>
      <x:c r="AO2764" t="n">
        <x:f>_xlfn.XLOOKUP($A2764,Games!$A$2:$A$18,Games!$J$2:$J$18,"Missing game",0)</x:f>
        <x:v>16</x:v>
      </x:c>
      <x:c r="AP2764" t="n">
        <x:f>_xlfn.XLOOKUP($A2764,Games!$A$2:$A$18,Games!$K$2:$K$18,"Missing game",0)</x:f>
        <x:v>13</x:v>
      </x:c>
      <x:c r="AQ2764" t="n">
        <x:f>_xlfn.XLOOKUP($A2764,Games!$A$2:$A$18,Games!$L$2:$L$18,"Missing game",0)</x:f>
        <x:v>19</x:v>
      </x:c>
      <x:c r="AR2764" t="n">
        <x:f>_xlfn.XLOOKUP($A2764,Games!$A$2:$A$18,Games!$M$2:$M$18,"Missing game",0)</x:f>
        <x:v>0</x:v>
      </x:c>
      <x:c r="AS2764" t="str">
        <x:f>_xlfn.XLOOKUP($A2764,Games!$A$2:$A$18,Games!$N$2:$N$18,"Missing game",0)</x:f>
        <x:v>dome</x:v>
      </x:c>
      <x:c r="AT2764" t="str">
        <x:f>_xlfn.XLOOKUP($A2764,Games!$A$2:$A$18,Games!$O$2:$O$18,"Missing game",0)</x:f>
        <x:v>sportturf</x:v>
      </x:c>
      <x:c r="AU2764" t="str">
        <x:f>_xlfn.XLOOKUP($A2764,Games!$A$2:$A$18,Games!$P$2:$P$18,"Missing game",0)</x:f>
      </x:c>
      <x:c r="AV2764" t="str">
        <x:f>_xlfn.XLOOKUP($A2764,Games!$A$2:$A$18,Games!$Q$2:$Q$18,"Missing game",0)</x:f>
      </x:c>
      <x:c r="AW2764" t="str">
        <x:f>_xlfn.XLOOKUP($A2764,Games!$A$2:$A$18,Games!$R$2:$R$18,"Missing game",0)</x:f>
        <x:v>U.S. Bank Stadium</x:v>
      </x:c>
    </x:row>
    <x:row r="2765">
      <x:c r="A2765" t="str">
        <x:v>2025_18_GB_MIN</x:v>
      </x:c>
      <x:c r="B2765" t="n">
        <x:v>3107</x:v>
      </x:c>
      <x:c r="C2765" t="n">
        <x:v>4</x:v>
      </x:c>
      <x:c r="D2765" t="str">
        <x:v>09:44</x:v>
      </x:c>
      <x:c r="E2765" t="n">
        <x:v>1</x:v>
      </x:c>
      <x:c r="F2765" t="n">
        <x:v>10</x:v>
      </x:c>
      <x:c r="G2765" t="str">
        <x:v>MIN</x:v>
      </x:c>
      <x:c r="H2765" t="str">
        <x:v>GB</x:v>
      </x:c>
      <x:c r="I2765" t="str">
        <x:v>MIN</x:v>
      </x:c>
      <x:c r="J2765" t="n">
        <x:v>82</x:v>
      </x:c>
      <x:c r="K2765" t="str">
        <x:v>(9:44) 27-J.Mason up the middle to MIN 37 for 19 yards (38-J.Simpson; 20-J.Bullard). GB-20-J.Bullard was injured during the play.</x:v>
      </x:c>
      <x:c r="L2765" t="str">
        <x:v>run</x:v>
      </x:c>
      <x:c r="M2765" t="n">
        <x:v>19</x:v>
      </x:c>
      <x:c r="N2765" t="n">
        <x:v>0</x:v>
      </x:c>
      <x:c r="O2765" t="n">
        <x:v>0</x:v>
      </x:c>
      <x:c r="P2765"/>
      <x:c r="Q2765"/>
      <x:c r="R2765"/>
      <x:c r="S2765"/>
      <x:c r="T2765" t="str">
        <x:v>middle</x:v>
      </x:c>
      <x:c r="U2765"/>
      <x:c r="V2765" t="n">
        <x:v>0</x:v>
      </x:c>
      <x:c r="W2765" t="n">
        <x:v>1</x:v>
      </x:c>
      <x:c r="X2765" t="n">
        <x:v>0</x:v>
      </x:c>
      <x:c r="Y2765" t="n">
        <x:v>0</x:v>
      </x:c>
      <x:c r="Z2765" t="n">
        <x:v>0</x:v>
      </x:c>
      <x:c r="AA2765" t="n">
        <x:v>0</x:v>
      </x:c>
      <x:c r="AB2765"/>
      <x:c r="AC2765" t="n">
        <x:v>0</x:v>
      </x:c>
      <x:c r="AD2765" t="n">
        <x:v>0.9979354946408421</x:v>
      </x:c>
      <x:c r="AE2765" t="n">
        <x:v>1</x:v>
      </x:c>
      <x:c r="AF2765" t="n">
        <x:v>0.003208756446838379</x:v>
      </x:c>
      <x:c r="AG2765" t="n">
        <x:f>_xlfn.XLOOKUP($A2765,Games!$A$2:$A$18,Games!$B$2:$B$18,"Missing game",0)</x:f>
        <x:v>2025</x:v>
      </x:c>
      <x:c r="AH2765" t="str">
        <x:f>_xlfn.XLOOKUP($A2765,Games!$A$2:$A$18,Games!$C$2:$C$18,"Missing game",0)</x:f>
        <x:v>REG</x:v>
      </x:c>
      <x:c r="AI2765" t="n">
        <x:f>_xlfn.XLOOKUP($A2765,Games!$A$2:$A$18,Games!$D$2:$D$18,"Missing game",0)</x:f>
        <x:v>18</x:v>
      </x:c>
      <x:c r="AJ2765" s="1" t="n">
        <x:f>_xlfn.XLOOKUP($A2765,Games!$A$2:$A$18,Games!$E$2:$E$18,"Missing game",0)</x:f>
        <x:v>46026</x:v>
      </x:c>
      <x:c r="AK2765" t="str">
        <x:f>_xlfn.XLOOKUP($A2765,Games!$A$2:$A$18,Games!$F$2:$F$18,"Missing game",0)</x:f>
        <x:v>Sunday</x:v>
      </x:c>
      <x:c r="AL2765" t="str">
        <x:f>_xlfn.XLOOKUP($A2765,Games!$A$2:$A$18,Games!$G$2:$G$18,"Missing game",0)</x:f>
        <x:v>GB</x:v>
      </x:c>
      <x:c r="AM2765" t="n">
        <x:f>_xlfn.XLOOKUP($A2765,Games!$A$2:$A$18,Games!$H$2:$H$18,"Missing game",0)</x:f>
        <x:v>3</x:v>
      </x:c>
      <x:c r="AN2765" t="str">
        <x:f>_xlfn.XLOOKUP($A2765,Games!$A$2:$A$18,Games!$I$2:$I$18,"Missing game",0)</x:f>
        <x:v>MIN</x:v>
      </x:c>
      <x:c r="AO2765" t="n">
        <x:f>_xlfn.XLOOKUP($A2765,Games!$A$2:$A$18,Games!$J$2:$J$18,"Missing game",0)</x:f>
        <x:v>16</x:v>
      </x:c>
      <x:c r="AP2765" t="n">
        <x:f>_xlfn.XLOOKUP($A2765,Games!$A$2:$A$18,Games!$K$2:$K$18,"Missing game",0)</x:f>
        <x:v>13</x:v>
      </x:c>
      <x:c r="AQ2765" t="n">
        <x:f>_xlfn.XLOOKUP($A2765,Games!$A$2:$A$18,Games!$L$2:$L$18,"Missing game",0)</x:f>
        <x:v>19</x:v>
      </x:c>
      <x:c r="AR2765" t="n">
        <x:f>_xlfn.XLOOKUP($A2765,Games!$A$2:$A$18,Games!$M$2:$M$18,"Missing game",0)</x:f>
        <x:v>0</x:v>
      </x:c>
      <x:c r="AS2765" t="str">
        <x:f>_xlfn.XLOOKUP($A2765,Games!$A$2:$A$18,Games!$N$2:$N$18,"Missing game",0)</x:f>
        <x:v>dome</x:v>
      </x:c>
      <x:c r="AT2765" t="str">
        <x:f>_xlfn.XLOOKUP($A2765,Games!$A$2:$A$18,Games!$O$2:$O$18,"Missing game",0)</x:f>
        <x:v>sportturf</x:v>
      </x:c>
      <x:c r="AU2765" t="str">
        <x:f>_xlfn.XLOOKUP($A2765,Games!$A$2:$A$18,Games!$P$2:$P$18,"Missing game",0)</x:f>
      </x:c>
      <x:c r="AV2765" t="str">
        <x:f>_xlfn.XLOOKUP($A2765,Games!$A$2:$A$18,Games!$Q$2:$Q$18,"Missing game",0)</x:f>
      </x:c>
      <x:c r="AW2765" t="str">
        <x:f>_xlfn.XLOOKUP($A2765,Games!$A$2:$A$18,Games!$R$2:$R$18,"Missing game",0)</x:f>
        <x:v>U.S. Bank Stadium</x:v>
      </x:c>
    </x:row>
    <x:row r="2766">
      <x:c r="A2766" t="str">
        <x:v>2025_18_GB_MIN</x:v>
      </x:c>
      <x:c r="B2766" t="n">
        <x:v>3139</x:v>
      </x:c>
      <x:c r="C2766" t="n">
        <x:v>4</x:v>
      </x:c>
      <x:c r="D2766" t="str">
        <x:v>09:19</x:v>
      </x:c>
      <x:c r="E2766" t="n">
        <x:v>1</x:v>
      </x:c>
      <x:c r="F2766" t="n">
        <x:v>10</x:v>
      </x:c>
      <x:c r="G2766" t="str">
        <x:v>MIN</x:v>
      </x:c>
      <x:c r="H2766" t="str">
        <x:v>GB</x:v>
      </x:c>
      <x:c r="I2766" t="str">
        <x:v>MIN</x:v>
      </x:c>
      <x:c r="J2766" t="n">
        <x:v>63</x:v>
      </x:c>
      <x:c r="K2766" t="str">
        <x:v>(9:19) 27-J.Mason up the middle pushed ob at GB 39 for 24 yards (58-I.McDuffie).</x:v>
      </x:c>
      <x:c r="L2766" t="str">
        <x:v>run</x:v>
      </x:c>
      <x:c r="M2766" t="n">
        <x:v>24</x:v>
      </x:c>
      <x:c r="N2766" t="n">
        <x:v>0</x:v>
      </x:c>
      <x:c r="O2766" t="n">
        <x:v>0</x:v>
      </x:c>
      <x:c r="P2766"/>
      <x:c r="Q2766"/>
      <x:c r="R2766"/>
      <x:c r="S2766"/>
      <x:c r="T2766" t="str">
        <x:v>middle</x:v>
      </x:c>
      <x:c r="U2766"/>
      <x:c r="V2766" t="n">
        <x:v>0</x:v>
      </x:c>
      <x:c r="W2766" t="n">
        <x:v>1</x:v>
      </x:c>
      <x:c r="X2766" t="n">
        <x:v>0</x:v>
      </x:c>
      <x:c r="Y2766" t="n">
        <x:v>0</x:v>
      </x:c>
      <x:c r="Z2766" t="n">
        <x:v>0</x:v>
      </x:c>
      <x:c r="AA2766" t="n">
        <x:v>0</x:v>
      </x:c>
      <x:c r="AB2766"/>
      <x:c r="AC2766" t="n">
        <x:v>0</x:v>
      </x:c>
      <x:c r="AD2766" t="n">
        <x:v>1.4369858409045264</x:v>
      </x:c>
      <x:c r="AE2766" t="n">
        <x:v>1</x:v>
      </x:c>
      <x:c r="AF2766" t="n">
        <x:v>0.005690634250640869</x:v>
      </x:c>
      <x:c r="AG2766" t="n">
        <x:f>_xlfn.XLOOKUP($A2766,Games!$A$2:$A$18,Games!$B$2:$B$18,"Missing game",0)</x:f>
        <x:v>2025</x:v>
      </x:c>
      <x:c r="AH2766" t="str">
        <x:f>_xlfn.XLOOKUP($A2766,Games!$A$2:$A$18,Games!$C$2:$C$18,"Missing game",0)</x:f>
        <x:v>REG</x:v>
      </x:c>
      <x:c r="AI2766" t="n">
        <x:f>_xlfn.XLOOKUP($A2766,Games!$A$2:$A$18,Games!$D$2:$D$18,"Missing game",0)</x:f>
        <x:v>18</x:v>
      </x:c>
      <x:c r="AJ2766" s="1" t="n">
        <x:f>_xlfn.XLOOKUP($A2766,Games!$A$2:$A$18,Games!$E$2:$E$18,"Missing game",0)</x:f>
        <x:v>46026</x:v>
      </x:c>
      <x:c r="AK2766" t="str">
        <x:f>_xlfn.XLOOKUP($A2766,Games!$A$2:$A$18,Games!$F$2:$F$18,"Missing game",0)</x:f>
        <x:v>Sunday</x:v>
      </x:c>
      <x:c r="AL2766" t="str">
        <x:f>_xlfn.XLOOKUP($A2766,Games!$A$2:$A$18,Games!$G$2:$G$18,"Missing game",0)</x:f>
        <x:v>GB</x:v>
      </x:c>
      <x:c r="AM2766" t="n">
        <x:f>_xlfn.XLOOKUP($A2766,Games!$A$2:$A$18,Games!$H$2:$H$18,"Missing game",0)</x:f>
        <x:v>3</x:v>
      </x:c>
      <x:c r="AN2766" t="str">
        <x:f>_xlfn.XLOOKUP($A2766,Games!$A$2:$A$18,Games!$I$2:$I$18,"Missing game",0)</x:f>
        <x:v>MIN</x:v>
      </x:c>
      <x:c r="AO2766" t="n">
        <x:f>_xlfn.XLOOKUP($A2766,Games!$A$2:$A$18,Games!$J$2:$J$18,"Missing game",0)</x:f>
        <x:v>16</x:v>
      </x:c>
      <x:c r="AP2766" t="n">
        <x:f>_xlfn.XLOOKUP($A2766,Games!$A$2:$A$18,Games!$K$2:$K$18,"Missing game",0)</x:f>
        <x:v>13</x:v>
      </x:c>
      <x:c r="AQ2766" t="n">
        <x:f>_xlfn.XLOOKUP($A2766,Games!$A$2:$A$18,Games!$L$2:$L$18,"Missing game",0)</x:f>
        <x:v>19</x:v>
      </x:c>
      <x:c r="AR2766" t="n">
        <x:f>_xlfn.XLOOKUP($A2766,Games!$A$2:$A$18,Games!$M$2:$M$18,"Missing game",0)</x:f>
        <x:v>0</x:v>
      </x:c>
      <x:c r="AS2766" t="str">
        <x:f>_xlfn.XLOOKUP($A2766,Games!$A$2:$A$18,Games!$N$2:$N$18,"Missing game",0)</x:f>
        <x:v>dome</x:v>
      </x:c>
      <x:c r="AT2766" t="str">
        <x:f>_xlfn.XLOOKUP($A2766,Games!$A$2:$A$18,Games!$O$2:$O$18,"Missing game",0)</x:f>
        <x:v>sportturf</x:v>
      </x:c>
      <x:c r="AU2766" t="str">
        <x:f>_xlfn.XLOOKUP($A2766,Games!$A$2:$A$18,Games!$P$2:$P$18,"Missing game",0)</x:f>
      </x:c>
      <x:c r="AV2766" t="str">
        <x:f>_xlfn.XLOOKUP($A2766,Games!$A$2:$A$18,Games!$Q$2:$Q$18,"Missing game",0)</x:f>
      </x:c>
      <x:c r="AW2766" t="str">
        <x:f>_xlfn.XLOOKUP($A2766,Games!$A$2:$A$18,Games!$R$2:$R$18,"Missing game",0)</x:f>
        <x:v>U.S. Bank Stadium</x:v>
      </x:c>
    </x:row>
    <x:row r="2767">
      <x:c r="A2767" t="str">
        <x:v>2025_18_GB_MIN</x:v>
      </x:c>
      <x:c r="B2767" t="n">
        <x:v>3173</x:v>
      </x:c>
      <x:c r="C2767" t="n">
        <x:v>4</x:v>
      </x:c>
      <x:c r="D2767" t="str">
        <x:v>08:33</x:v>
      </x:c>
      <x:c r="E2767" t="n">
        <x:v>1</x:v>
      </x:c>
      <x:c r="F2767" t="n">
        <x:v>10</x:v>
      </x:c>
      <x:c r="G2767" t="str">
        <x:v>MIN</x:v>
      </x:c>
      <x:c r="H2767" t="str">
        <x:v>GB</x:v>
      </x:c>
      <x:c r="I2767" t="str">
        <x:v>GB</x:v>
      </x:c>
      <x:c r="J2767" t="n">
        <x:v>39</x:v>
      </x:c>
      <x:c r="K2767" t="str">
        <x:v>(8:33) 27-J.Mason up the middle to GB 34 for 5 yards (64-J.Ford).</x:v>
      </x:c>
      <x:c r="L2767" t="str">
        <x:v>run</x:v>
      </x:c>
      <x:c r="M2767" t="n">
        <x:v>5</x:v>
      </x:c>
      <x:c r="N2767" t="n">
        <x:v>0</x:v>
      </x:c>
      <x:c r="O2767" t="n">
        <x:v>0</x:v>
      </x:c>
      <x:c r="P2767"/>
      <x:c r="Q2767"/>
      <x:c r="R2767"/>
      <x:c r="S2767"/>
      <x:c r="T2767" t="str">
        <x:v>middle</x:v>
      </x:c>
      <x:c r="U2767"/>
      <x:c r="V2767" t="n">
        <x:v>0</x:v>
      </x:c>
      <x:c r="W2767" t="n">
        <x:v>0</x:v>
      </x:c>
      <x:c r="X2767" t="n">
        <x:v>0</x:v>
      </x:c>
      <x:c r="Y2767" t="n">
        <x:v>0</x:v>
      </x:c>
      <x:c r="Z2767" t="n">
        <x:v>0</x:v>
      </x:c>
      <x:c r="AA2767" t="n">
        <x:v>0</x:v>
      </x:c>
      <x:c r="AB2767"/>
      <x:c r="AC2767" t="n">
        <x:v>0</x:v>
      </x:c>
      <x:c r="AD2767" t="n">
        <x:v>-0.030535485362634063</x:v>
      </x:c>
      <x:c r="AE2767" t="n">
        <x:v>0</x:v>
      </x:c>
      <x:c r="AF2767" t="n">
        <x:v>-0.000902712345123291</x:v>
      </x:c>
      <x:c r="AG2767" t="n">
        <x:f>_xlfn.XLOOKUP($A2767,Games!$A$2:$A$18,Games!$B$2:$B$18,"Missing game",0)</x:f>
        <x:v>2025</x:v>
      </x:c>
      <x:c r="AH2767" t="str">
        <x:f>_xlfn.XLOOKUP($A2767,Games!$A$2:$A$18,Games!$C$2:$C$18,"Missing game",0)</x:f>
        <x:v>REG</x:v>
      </x:c>
      <x:c r="AI2767" t="n">
        <x:f>_xlfn.XLOOKUP($A2767,Games!$A$2:$A$18,Games!$D$2:$D$18,"Missing game",0)</x:f>
        <x:v>18</x:v>
      </x:c>
      <x:c r="AJ2767" s="1" t="n">
        <x:f>_xlfn.XLOOKUP($A2767,Games!$A$2:$A$18,Games!$E$2:$E$18,"Missing game",0)</x:f>
        <x:v>46026</x:v>
      </x:c>
      <x:c r="AK2767" t="str">
        <x:f>_xlfn.XLOOKUP($A2767,Games!$A$2:$A$18,Games!$F$2:$F$18,"Missing game",0)</x:f>
        <x:v>Sunday</x:v>
      </x:c>
      <x:c r="AL2767" t="str">
        <x:f>_xlfn.XLOOKUP($A2767,Games!$A$2:$A$18,Games!$G$2:$G$18,"Missing game",0)</x:f>
        <x:v>GB</x:v>
      </x:c>
      <x:c r="AM2767" t="n">
        <x:f>_xlfn.XLOOKUP($A2767,Games!$A$2:$A$18,Games!$H$2:$H$18,"Missing game",0)</x:f>
        <x:v>3</x:v>
      </x:c>
      <x:c r="AN2767" t="str">
        <x:f>_xlfn.XLOOKUP($A2767,Games!$A$2:$A$18,Games!$I$2:$I$18,"Missing game",0)</x:f>
        <x:v>MIN</x:v>
      </x:c>
      <x:c r="AO2767" t="n">
        <x:f>_xlfn.XLOOKUP($A2767,Games!$A$2:$A$18,Games!$J$2:$J$18,"Missing game",0)</x:f>
        <x:v>16</x:v>
      </x:c>
      <x:c r="AP2767" t="n">
        <x:f>_xlfn.XLOOKUP($A2767,Games!$A$2:$A$18,Games!$K$2:$K$18,"Missing game",0)</x:f>
        <x:v>13</x:v>
      </x:c>
      <x:c r="AQ2767" t="n">
        <x:f>_xlfn.XLOOKUP($A2767,Games!$A$2:$A$18,Games!$L$2:$L$18,"Missing game",0)</x:f>
        <x:v>19</x:v>
      </x:c>
      <x:c r="AR2767" t="n">
        <x:f>_xlfn.XLOOKUP($A2767,Games!$A$2:$A$18,Games!$M$2:$M$18,"Missing game",0)</x:f>
        <x:v>0</x:v>
      </x:c>
      <x:c r="AS2767" t="str">
        <x:f>_xlfn.XLOOKUP($A2767,Games!$A$2:$A$18,Games!$N$2:$N$18,"Missing game",0)</x:f>
        <x:v>dome</x:v>
      </x:c>
      <x:c r="AT2767" t="str">
        <x:f>_xlfn.XLOOKUP($A2767,Games!$A$2:$A$18,Games!$O$2:$O$18,"Missing game",0)</x:f>
        <x:v>sportturf</x:v>
      </x:c>
      <x:c r="AU2767" t="str">
        <x:f>_xlfn.XLOOKUP($A2767,Games!$A$2:$A$18,Games!$P$2:$P$18,"Missing game",0)</x:f>
      </x:c>
      <x:c r="AV2767" t="str">
        <x:f>_xlfn.XLOOKUP($A2767,Games!$A$2:$A$18,Games!$Q$2:$Q$18,"Missing game",0)</x:f>
      </x:c>
      <x:c r="AW2767" t="str">
        <x:f>_xlfn.XLOOKUP($A2767,Games!$A$2:$A$18,Games!$R$2:$R$18,"Missing game",0)</x:f>
        <x:v>U.S. Bank Stadium</x:v>
      </x:c>
    </x:row>
    <x:row r="2768">
      <x:c r="A2768" t="str">
        <x:v>2025_18_GB_MIN</x:v>
      </x:c>
      <x:c r="B2768" t="n">
        <x:v>3195</x:v>
      </x:c>
      <x:c r="C2768" t="n">
        <x:v>4</x:v>
      </x:c>
      <x:c r="D2768" t="str">
        <x:v>07:51</x:v>
      </x:c>
      <x:c r="E2768" t="n">
        <x:v>2</x:v>
      </x:c>
      <x:c r="F2768" t="n">
        <x:v>5</x:v>
      </x:c>
      <x:c r="G2768" t="str">
        <x:v>MIN</x:v>
      </x:c>
      <x:c r="H2768" t="str">
        <x:v>GB</x:v>
      </x:c>
      <x:c r="I2768" t="str">
        <x:v>GB</x:v>
      </x:c>
      <x:c r="J2768" t="n">
        <x:v>34</x:v>
      </x:c>
      <x:c r="K2768" t="str">
        <x:v>(7:51) (Shotgun) 12-M.Brosmer pass short left to 30-C.Ham to GB 28 for 6 yards (59-T.Hopper; 48-J.Johnson).</x:v>
      </x:c>
      <x:c r="L2768" t="str">
        <x:v>pass</x:v>
      </x:c>
      <x:c r="M2768" t="n">
        <x:v>6</x:v>
      </x:c>
      <x:c r="N2768" t="n">
        <x:v>1</x:v>
      </x:c>
      <x:c r="O2768" t="n">
        <x:v>0</x:v>
      </x:c>
      <x:c r="P2768" t="str">
        <x:v>short</x:v>
      </x:c>
      <x:c r="Q2768" t="str">
        <x:v>left</x:v>
      </x:c>
      <x:c r="R2768" t="n">
        <x:v>-2</x:v>
      </x:c>
      <x:c r="S2768" t="n">
        <x:v>8</x:v>
      </x:c>
      <x:c r="T2768"/>
      <x:c r="U2768"/>
      <x:c r="V2768" t="n">
        <x:v>1</x:v>
      </x:c>
      <x:c r="W2768" t="n">
        <x:v>1</x:v>
      </x:c>
      <x:c r="X2768" t="n">
        <x:v>0</x:v>
      </x:c>
      <x:c r="Y2768" t="n">
        <x:v>0</x:v>
      </x:c>
      <x:c r="Z2768" t="n">
        <x:v>0</x:v>
      </x:c>
      <x:c r="AA2768" t="n">
        <x:v>0</x:v>
      </x:c>
      <x:c r="AB2768"/>
      <x:c r="AC2768" t="n">
        <x:v>0</x:v>
      </x:c>
      <x:c r="AD2768" t="n">
        <x:v>0.6637251443462446</x:v>
      </x:c>
      <x:c r="AE2768" t="n">
        <x:v>1</x:v>
      </x:c>
      <x:c r="AF2768" t="n">
        <x:v>0.006266474723815918</x:v>
      </x:c>
      <x:c r="AG2768" t="n">
        <x:f>_xlfn.XLOOKUP($A2768,Games!$A$2:$A$18,Games!$B$2:$B$18,"Missing game",0)</x:f>
        <x:v>2025</x:v>
      </x:c>
      <x:c r="AH2768" t="str">
        <x:f>_xlfn.XLOOKUP($A2768,Games!$A$2:$A$18,Games!$C$2:$C$18,"Missing game",0)</x:f>
        <x:v>REG</x:v>
      </x:c>
      <x:c r="AI2768" t="n">
        <x:f>_xlfn.XLOOKUP($A2768,Games!$A$2:$A$18,Games!$D$2:$D$18,"Missing game",0)</x:f>
        <x:v>18</x:v>
      </x:c>
      <x:c r="AJ2768" s="1" t="n">
        <x:f>_xlfn.XLOOKUP($A2768,Games!$A$2:$A$18,Games!$E$2:$E$18,"Missing game",0)</x:f>
        <x:v>46026</x:v>
      </x:c>
      <x:c r="AK2768" t="str">
        <x:f>_xlfn.XLOOKUP($A2768,Games!$A$2:$A$18,Games!$F$2:$F$18,"Missing game",0)</x:f>
        <x:v>Sunday</x:v>
      </x:c>
      <x:c r="AL2768" t="str">
        <x:f>_xlfn.XLOOKUP($A2768,Games!$A$2:$A$18,Games!$G$2:$G$18,"Missing game",0)</x:f>
        <x:v>GB</x:v>
      </x:c>
      <x:c r="AM2768" t="n">
        <x:f>_xlfn.XLOOKUP($A2768,Games!$A$2:$A$18,Games!$H$2:$H$18,"Missing game",0)</x:f>
        <x:v>3</x:v>
      </x:c>
      <x:c r="AN2768" t="str">
        <x:f>_xlfn.XLOOKUP($A2768,Games!$A$2:$A$18,Games!$I$2:$I$18,"Missing game",0)</x:f>
        <x:v>MIN</x:v>
      </x:c>
      <x:c r="AO2768" t="n">
        <x:f>_xlfn.XLOOKUP($A2768,Games!$A$2:$A$18,Games!$J$2:$J$18,"Missing game",0)</x:f>
        <x:v>16</x:v>
      </x:c>
      <x:c r="AP2768" t="n">
        <x:f>_xlfn.XLOOKUP($A2768,Games!$A$2:$A$18,Games!$K$2:$K$18,"Missing game",0)</x:f>
        <x:v>13</x:v>
      </x:c>
      <x:c r="AQ2768" t="n">
        <x:f>_xlfn.XLOOKUP($A2768,Games!$A$2:$A$18,Games!$L$2:$L$18,"Missing game",0)</x:f>
        <x:v>19</x:v>
      </x:c>
      <x:c r="AR2768" t="n">
        <x:f>_xlfn.XLOOKUP($A2768,Games!$A$2:$A$18,Games!$M$2:$M$18,"Missing game",0)</x:f>
        <x:v>0</x:v>
      </x:c>
      <x:c r="AS2768" t="str">
        <x:f>_xlfn.XLOOKUP($A2768,Games!$A$2:$A$18,Games!$N$2:$N$18,"Missing game",0)</x:f>
        <x:v>dome</x:v>
      </x:c>
      <x:c r="AT2768" t="str">
        <x:f>_xlfn.XLOOKUP($A2768,Games!$A$2:$A$18,Games!$O$2:$O$18,"Missing game",0)</x:f>
        <x:v>sportturf</x:v>
      </x:c>
      <x:c r="AU2768" t="str">
        <x:f>_xlfn.XLOOKUP($A2768,Games!$A$2:$A$18,Games!$P$2:$P$18,"Missing game",0)</x:f>
      </x:c>
      <x:c r="AV2768" t="str">
        <x:f>_xlfn.XLOOKUP($A2768,Games!$A$2:$A$18,Games!$Q$2:$Q$18,"Missing game",0)</x:f>
      </x:c>
      <x:c r="AW2768" t="str">
        <x:f>_xlfn.XLOOKUP($A2768,Games!$A$2:$A$18,Games!$R$2:$R$18,"Missing game",0)</x:f>
        <x:v>U.S. Bank Stadium</x:v>
      </x:c>
    </x:row>
    <x:row r="2769">
      <x:c r="A2769" t="str">
        <x:v>2025_18_GB_MIN</x:v>
      </x:c>
      <x:c r="B2769" t="n">
        <x:v>3220</x:v>
      </x:c>
      <x:c r="C2769" t="n">
        <x:v>4</x:v>
      </x:c>
      <x:c r="D2769" t="str">
        <x:v>07:07</x:v>
      </x:c>
      <x:c r="E2769" t="n">
        <x:v>1</x:v>
      </x:c>
      <x:c r="F2769" t="n">
        <x:v>10</x:v>
      </x:c>
      <x:c r="G2769" t="str">
        <x:v>MIN</x:v>
      </x:c>
      <x:c r="H2769" t="str">
        <x:v>GB</x:v>
      </x:c>
      <x:c r="I2769" t="str">
        <x:v>GB</x:v>
      </x:c>
      <x:c r="J2769" t="n">
        <x:v>28</x:v>
      </x:c>
      <x:c r="K2769" t="str">
        <x:v>(7:07) 32-T.Chandler right guard to GB 28 for no gain (37-J.Baldwin).</x:v>
      </x:c>
      <x:c r="L2769" t="str">
        <x:v>run</x:v>
      </x:c>
      <x:c r="M2769" t="n">
        <x:v>0</x:v>
      </x:c>
      <x:c r="N2769" t="n">
        <x:v>0</x:v>
      </x:c>
      <x:c r="O2769" t="n">
        <x:v>0</x:v>
      </x:c>
      <x:c r="P2769"/>
      <x:c r="Q2769"/>
      <x:c r="R2769"/>
      <x:c r="S2769"/>
      <x:c r="T2769" t="str">
        <x:v>right</x:v>
      </x:c>
      <x:c r="U2769" t="str">
        <x:v>guard</x:v>
      </x:c>
      <x:c r="V2769" t="n">
        <x:v>0</x:v>
      </x:c>
      <x:c r="W2769" t="n">
        <x:v>0</x:v>
      </x:c>
      <x:c r="X2769" t="n">
        <x:v>0</x:v>
      </x:c>
      <x:c r="Y2769" t="n">
        <x:v>0</x:v>
      </x:c>
      <x:c r="Z2769" t="n">
        <x:v>0</x:v>
      </x:c>
      <x:c r="AA2769" t="n">
        <x:v>0</x:v>
      </x:c>
      <x:c r="AB2769"/>
      <x:c r="AC2769" t="n">
        <x:v>0</x:v>
      </x:c>
      <x:c r="AD2769" t="n">
        <x:v>-0.40764913061866537</x:v>
      </x:c>
      <x:c r="AE2769" t="n">
        <x:v>0</x:v>
      </x:c>
      <x:c r="AF2769" t="n">
        <x:v>-0.0017881989479064941</x:v>
      </x:c>
      <x:c r="AG2769" t="n">
        <x:f>_xlfn.XLOOKUP($A2769,Games!$A$2:$A$18,Games!$B$2:$B$18,"Missing game",0)</x:f>
        <x:v>2025</x:v>
      </x:c>
      <x:c r="AH2769" t="str">
        <x:f>_xlfn.XLOOKUP($A2769,Games!$A$2:$A$18,Games!$C$2:$C$18,"Missing game",0)</x:f>
        <x:v>REG</x:v>
      </x:c>
      <x:c r="AI2769" t="n">
        <x:f>_xlfn.XLOOKUP($A2769,Games!$A$2:$A$18,Games!$D$2:$D$18,"Missing game",0)</x:f>
        <x:v>18</x:v>
      </x:c>
      <x:c r="AJ2769" s="1" t="n">
        <x:f>_xlfn.XLOOKUP($A2769,Games!$A$2:$A$18,Games!$E$2:$E$18,"Missing game",0)</x:f>
        <x:v>46026</x:v>
      </x:c>
      <x:c r="AK2769" t="str">
        <x:f>_xlfn.XLOOKUP($A2769,Games!$A$2:$A$18,Games!$F$2:$F$18,"Missing game",0)</x:f>
        <x:v>Sunday</x:v>
      </x:c>
      <x:c r="AL2769" t="str">
        <x:f>_xlfn.XLOOKUP($A2769,Games!$A$2:$A$18,Games!$G$2:$G$18,"Missing game",0)</x:f>
        <x:v>GB</x:v>
      </x:c>
      <x:c r="AM2769" t="n">
        <x:f>_xlfn.XLOOKUP($A2769,Games!$A$2:$A$18,Games!$H$2:$H$18,"Missing game",0)</x:f>
        <x:v>3</x:v>
      </x:c>
      <x:c r="AN2769" t="str">
        <x:f>_xlfn.XLOOKUP($A2769,Games!$A$2:$A$18,Games!$I$2:$I$18,"Missing game",0)</x:f>
        <x:v>MIN</x:v>
      </x:c>
      <x:c r="AO2769" t="n">
        <x:f>_xlfn.XLOOKUP($A2769,Games!$A$2:$A$18,Games!$J$2:$J$18,"Missing game",0)</x:f>
        <x:v>16</x:v>
      </x:c>
      <x:c r="AP2769" t="n">
        <x:f>_xlfn.XLOOKUP($A2769,Games!$A$2:$A$18,Games!$K$2:$K$18,"Missing game",0)</x:f>
        <x:v>13</x:v>
      </x:c>
      <x:c r="AQ2769" t="n">
        <x:f>_xlfn.XLOOKUP($A2769,Games!$A$2:$A$18,Games!$L$2:$L$18,"Missing game",0)</x:f>
        <x:v>19</x:v>
      </x:c>
      <x:c r="AR2769" t="n">
        <x:f>_xlfn.XLOOKUP($A2769,Games!$A$2:$A$18,Games!$M$2:$M$18,"Missing game",0)</x:f>
        <x:v>0</x:v>
      </x:c>
      <x:c r="AS2769" t="str">
        <x:f>_xlfn.XLOOKUP($A2769,Games!$A$2:$A$18,Games!$N$2:$N$18,"Missing game",0)</x:f>
        <x:v>dome</x:v>
      </x:c>
      <x:c r="AT2769" t="str">
        <x:f>_xlfn.XLOOKUP($A2769,Games!$A$2:$A$18,Games!$O$2:$O$18,"Missing game",0)</x:f>
        <x:v>sportturf</x:v>
      </x:c>
      <x:c r="AU2769" t="str">
        <x:f>_xlfn.XLOOKUP($A2769,Games!$A$2:$A$18,Games!$P$2:$P$18,"Missing game",0)</x:f>
      </x:c>
      <x:c r="AV2769" t="str">
        <x:f>_xlfn.XLOOKUP($A2769,Games!$A$2:$A$18,Games!$Q$2:$Q$18,"Missing game",0)</x:f>
      </x:c>
      <x:c r="AW2769" t="str">
        <x:f>_xlfn.XLOOKUP($A2769,Games!$A$2:$A$18,Games!$R$2:$R$18,"Missing game",0)</x:f>
        <x:v>U.S. Bank Stadium</x:v>
      </x:c>
    </x:row>
    <x:row r="2770">
      <x:c r="A2770" t="str">
        <x:v>2025_18_GB_MIN</x:v>
      </x:c>
      <x:c r="B2770" t="n">
        <x:v>3242</x:v>
      </x:c>
      <x:c r="C2770" t="n">
        <x:v>4</x:v>
      </x:c>
      <x:c r="D2770" t="str">
        <x:v>06:25</x:v>
      </x:c>
      <x:c r="E2770" t="n">
        <x:v>2</x:v>
      </x:c>
      <x:c r="F2770" t="n">
        <x:v>10</x:v>
      </x:c>
      <x:c r="G2770" t="str">
        <x:v>MIN</x:v>
      </x:c>
      <x:c r="H2770" t="str">
        <x:v>GB</x:v>
      </x:c>
      <x:c r="I2770" t="str">
        <x:v>GB</x:v>
      </x:c>
      <x:c r="J2770" t="n">
        <x:v>28</x:v>
      </x:c>
      <x:c r="K2770" t="str">
        <x:v>(6:25) 12-M.Brosmer pass short left to 32-T.Chandler to GB 17 for 11 yards (58-I.McDuffie).</x:v>
      </x:c>
      <x:c r="L2770" t="str">
        <x:v>pass</x:v>
      </x:c>
      <x:c r="M2770" t="n">
        <x:v>11</x:v>
      </x:c>
      <x:c r="N2770" t="n">
        <x:v>0</x:v>
      </x:c>
      <x:c r="O2770" t="n">
        <x:v>0</x:v>
      </x:c>
      <x:c r="P2770" t="str">
        <x:v>short</x:v>
      </x:c>
      <x:c r="Q2770" t="str">
        <x:v>left</x:v>
      </x:c>
      <x:c r="R2770" t="n">
        <x:v>-3</x:v>
      </x:c>
      <x:c r="S2770" t="n">
        <x:v>14</x:v>
      </x:c>
      <x:c r="T2770"/>
      <x:c r="U2770"/>
      <x:c r="V2770" t="n">
        <x:v>1</x:v>
      </x:c>
      <x:c r="W2770" t="n">
        <x:v>1</x:v>
      </x:c>
      <x:c r="X2770" t="n">
        <x:v>0</x:v>
      </x:c>
      <x:c r="Y2770" t="n">
        <x:v>0</x:v>
      </x:c>
      <x:c r="Z2770" t="n">
        <x:v>0</x:v>
      </x:c>
      <x:c r="AA2770" t="n">
        <x:v>0</x:v>
      </x:c>
      <x:c r="AB2770"/>
      <x:c r="AC2770" t="n">
        <x:v>0</x:v>
      </x:c>
      <x:c r="AD2770" t="n">
        <x:v>1.1438539358205162</x:v>
      </x:c>
      <x:c r="AE2770" t="n">
        <x:v>1</x:v>
      </x:c>
      <x:c r="AF2770" t="n">
        <x:v>0.006576597690582275</x:v>
      </x:c>
      <x:c r="AG2770" t="n">
        <x:f>_xlfn.XLOOKUP($A2770,Games!$A$2:$A$18,Games!$B$2:$B$18,"Missing game",0)</x:f>
        <x:v>2025</x:v>
      </x:c>
      <x:c r="AH2770" t="str">
        <x:f>_xlfn.XLOOKUP($A2770,Games!$A$2:$A$18,Games!$C$2:$C$18,"Missing game",0)</x:f>
        <x:v>REG</x:v>
      </x:c>
      <x:c r="AI2770" t="n">
        <x:f>_xlfn.XLOOKUP($A2770,Games!$A$2:$A$18,Games!$D$2:$D$18,"Missing game",0)</x:f>
        <x:v>18</x:v>
      </x:c>
      <x:c r="AJ2770" s="1" t="n">
        <x:f>_xlfn.XLOOKUP($A2770,Games!$A$2:$A$18,Games!$E$2:$E$18,"Missing game",0)</x:f>
        <x:v>46026</x:v>
      </x:c>
      <x:c r="AK2770" t="str">
        <x:f>_xlfn.XLOOKUP($A2770,Games!$A$2:$A$18,Games!$F$2:$F$18,"Missing game",0)</x:f>
        <x:v>Sunday</x:v>
      </x:c>
      <x:c r="AL2770" t="str">
        <x:f>_xlfn.XLOOKUP($A2770,Games!$A$2:$A$18,Games!$G$2:$G$18,"Missing game",0)</x:f>
        <x:v>GB</x:v>
      </x:c>
      <x:c r="AM2770" t="n">
        <x:f>_xlfn.XLOOKUP($A2770,Games!$A$2:$A$18,Games!$H$2:$H$18,"Missing game",0)</x:f>
        <x:v>3</x:v>
      </x:c>
      <x:c r="AN2770" t="str">
        <x:f>_xlfn.XLOOKUP($A2770,Games!$A$2:$A$18,Games!$I$2:$I$18,"Missing game",0)</x:f>
        <x:v>MIN</x:v>
      </x:c>
      <x:c r="AO2770" t="n">
        <x:f>_xlfn.XLOOKUP($A2770,Games!$A$2:$A$18,Games!$J$2:$J$18,"Missing game",0)</x:f>
        <x:v>16</x:v>
      </x:c>
      <x:c r="AP2770" t="n">
        <x:f>_xlfn.XLOOKUP($A2770,Games!$A$2:$A$18,Games!$K$2:$K$18,"Missing game",0)</x:f>
        <x:v>13</x:v>
      </x:c>
      <x:c r="AQ2770" t="n">
        <x:f>_xlfn.XLOOKUP($A2770,Games!$A$2:$A$18,Games!$L$2:$L$18,"Missing game",0)</x:f>
        <x:v>19</x:v>
      </x:c>
      <x:c r="AR2770" t="n">
        <x:f>_xlfn.XLOOKUP($A2770,Games!$A$2:$A$18,Games!$M$2:$M$18,"Missing game",0)</x:f>
        <x:v>0</x:v>
      </x:c>
      <x:c r="AS2770" t="str">
        <x:f>_xlfn.XLOOKUP($A2770,Games!$A$2:$A$18,Games!$N$2:$N$18,"Missing game",0)</x:f>
        <x:v>dome</x:v>
      </x:c>
      <x:c r="AT2770" t="str">
        <x:f>_xlfn.XLOOKUP($A2770,Games!$A$2:$A$18,Games!$O$2:$O$18,"Missing game",0)</x:f>
        <x:v>sportturf</x:v>
      </x:c>
      <x:c r="AU2770" t="str">
        <x:f>_xlfn.XLOOKUP($A2770,Games!$A$2:$A$18,Games!$P$2:$P$18,"Missing game",0)</x:f>
      </x:c>
      <x:c r="AV2770" t="str">
        <x:f>_xlfn.XLOOKUP($A2770,Games!$A$2:$A$18,Games!$Q$2:$Q$18,"Missing game",0)</x:f>
      </x:c>
      <x:c r="AW2770" t="str">
        <x:f>_xlfn.XLOOKUP($A2770,Games!$A$2:$A$18,Games!$R$2:$R$18,"Missing game",0)</x:f>
        <x:v>U.S. Bank Stadium</x:v>
      </x:c>
    </x:row>
    <x:row r="2771">
      <x:c r="A2771" t="str">
        <x:v>2025_18_GB_MIN</x:v>
      </x:c>
      <x:c r="B2771" t="n">
        <x:v>3267</x:v>
      </x:c>
      <x:c r="C2771" t="n">
        <x:v>4</x:v>
      </x:c>
      <x:c r="D2771" t="str">
        <x:v>05:40</x:v>
      </x:c>
      <x:c r="E2771" t="n">
        <x:v>1</x:v>
      </x:c>
      <x:c r="F2771" t="n">
        <x:v>10</x:v>
      </x:c>
      <x:c r="G2771" t="str">
        <x:v>MIN</x:v>
      </x:c>
      <x:c r="H2771" t="str">
        <x:v>GB</x:v>
      </x:c>
      <x:c r="I2771" t="str">
        <x:v>GB</x:v>
      </x:c>
      <x:c r="J2771" t="n">
        <x:v>17</x:v>
      </x:c>
      <x:c r="K2771" t="str">
        <x:v>(5:40) 27-J.Mason left end to GB 17 for no gain (58-I.McDuffie).</x:v>
      </x:c>
      <x:c r="L2771" t="str">
        <x:v>run</x:v>
      </x:c>
      <x:c r="M2771" t="n">
        <x:v>0</x:v>
      </x:c>
      <x:c r="N2771" t="n">
        <x:v>0</x:v>
      </x:c>
      <x:c r="O2771" t="n">
        <x:v>0</x:v>
      </x:c>
      <x:c r="P2771"/>
      <x:c r="Q2771"/>
      <x:c r="R2771"/>
      <x:c r="S2771"/>
      <x:c r="T2771" t="str">
        <x:v>left</x:v>
      </x:c>
      <x:c r="U2771" t="str">
        <x:v>end</x:v>
      </x:c>
      <x:c r="V2771" t="n">
        <x:v>0</x:v>
      </x:c>
      <x:c r="W2771" t="n">
        <x:v>0</x:v>
      </x:c>
      <x:c r="X2771" t="n">
        <x:v>0</x:v>
      </x:c>
      <x:c r="Y2771" t="n">
        <x:v>0</x:v>
      </x:c>
      <x:c r="Z2771" t="n">
        <x:v>0</x:v>
      </x:c>
      <x:c r="AA2771" t="n">
        <x:v>0</x:v>
      </x:c>
      <x:c r="AB2771"/>
      <x:c r="AC2771" t="n">
        <x:v>0</x:v>
      </x:c>
      <x:c r="AD2771" t="n">
        <x:v>-0.4161184274125844</x:v>
      </x:c>
      <x:c r="AE2771" t="n">
        <x:v>0</x:v>
      </x:c>
      <x:c r="AF2771" t="n">
        <x:v>-0.0008322596549987793</x:v>
      </x:c>
      <x:c r="AG2771" t="n">
        <x:f>_xlfn.XLOOKUP($A2771,Games!$A$2:$A$18,Games!$B$2:$B$18,"Missing game",0)</x:f>
        <x:v>2025</x:v>
      </x:c>
      <x:c r="AH2771" t="str">
        <x:f>_xlfn.XLOOKUP($A2771,Games!$A$2:$A$18,Games!$C$2:$C$18,"Missing game",0)</x:f>
        <x:v>REG</x:v>
      </x:c>
      <x:c r="AI2771" t="n">
        <x:f>_xlfn.XLOOKUP($A2771,Games!$A$2:$A$18,Games!$D$2:$D$18,"Missing game",0)</x:f>
        <x:v>18</x:v>
      </x:c>
      <x:c r="AJ2771" s="1" t="n">
        <x:f>_xlfn.XLOOKUP($A2771,Games!$A$2:$A$18,Games!$E$2:$E$18,"Missing game",0)</x:f>
        <x:v>46026</x:v>
      </x:c>
      <x:c r="AK2771" t="str">
        <x:f>_xlfn.XLOOKUP($A2771,Games!$A$2:$A$18,Games!$F$2:$F$18,"Missing game",0)</x:f>
        <x:v>Sunday</x:v>
      </x:c>
      <x:c r="AL2771" t="str">
        <x:f>_xlfn.XLOOKUP($A2771,Games!$A$2:$A$18,Games!$G$2:$G$18,"Missing game",0)</x:f>
        <x:v>GB</x:v>
      </x:c>
      <x:c r="AM2771" t="n">
        <x:f>_xlfn.XLOOKUP($A2771,Games!$A$2:$A$18,Games!$H$2:$H$18,"Missing game",0)</x:f>
        <x:v>3</x:v>
      </x:c>
      <x:c r="AN2771" t="str">
        <x:f>_xlfn.XLOOKUP($A2771,Games!$A$2:$A$18,Games!$I$2:$I$18,"Missing game",0)</x:f>
        <x:v>MIN</x:v>
      </x:c>
      <x:c r="AO2771" t="n">
        <x:f>_xlfn.XLOOKUP($A2771,Games!$A$2:$A$18,Games!$J$2:$J$18,"Missing game",0)</x:f>
        <x:v>16</x:v>
      </x:c>
      <x:c r="AP2771" t="n">
        <x:f>_xlfn.XLOOKUP($A2771,Games!$A$2:$A$18,Games!$K$2:$K$18,"Missing game",0)</x:f>
        <x:v>13</x:v>
      </x:c>
      <x:c r="AQ2771" t="n">
        <x:f>_xlfn.XLOOKUP($A2771,Games!$A$2:$A$18,Games!$L$2:$L$18,"Missing game",0)</x:f>
        <x:v>19</x:v>
      </x:c>
      <x:c r="AR2771" t="n">
        <x:f>_xlfn.XLOOKUP($A2771,Games!$A$2:$A$18,Games!$M$2:$M$18,"Missing game",0)</x:f>
        <x:v>0</x:v>
      </x:c>
      <x:c r="AS2771" t="str">
        <x:f>_xlfn.XLOOKUP($A2771,Games!$A$2:$A$18,Games!$N$2:$N$18,"Missing game",0)</x:f>
        <x:v>dome</x:v>
      </x:c>
      <x:c r="AT2771" t="str">
        <x:f>_xlfn.XLOOKUP($A2771,Games!$A$2:$A$18,Games!$O$2:$O$18,"Missing game",0)</x:f>
        <x:v>sportturf</x:v>
      </x:c>
      <x:c r="AU2771" t="str">
        <x:f>_xlfn.XLOOKUP($A2771,Games!$A$2:$A$18,Games!$P$2:$P$18,"Missing game",0)</x:f>
      </x:c>
      <x:c r="AV2771" t="str">
        <x:f>_xlfn.XLOOKUP($A2771,Games!$A$2:$A$18,Games!$Q$2:$Q$18,"Missing game",0)</x:f>
      </x:c>
      <x:c r="AW2771" t="str">
        <x:f>_xlfn.XLOOKUP($A2771,Games!$A$2:$A$18,Games!$R$2:$R$18,"Missing game",0)</x:f>
        <x:v>U.S. Bank Stadium</x:v>
      </x:c>
    </x:row>
    <x:row r="2772">
      <x:c r="A2772" t="str">
        <x:v>2025_18_GB_MIN</x:v>
      </x:c>
      <x:c r="B2772" t="n">
        <x:v>3294</x:v>
      </x:c>
      <x:c r="C2772" t="n">
        <x:v>4</x:v>
      </x:c>
      <x:c r="D2772" t="str">
        <x:v>04:55</x:v>
      </x:c>
      <x:c r="E2772" t="n">
        <x:v>2</x:v>
      </x:c>
      <x:c r="F2772" t="n">
        <x:v>10</x:v>
      </x:c>
      <x:c r="G2772" t="str">
        <x:v>MIN</x:v>
      </x:c>
      <x:c r="H2772" t="str">
        <x:v>GB</x:v>
      </x:c>
      <x:c r="I2772" t="str">
        <x:v>GB</x:v>
      </x:c>
      <x:c r="J2772" t="n">
        <x:v>17</x:v>
      </x:c>
      <x:c r="K2772" t="str">
        <x:v>(4:55) (Shotgun) 12-M.Brosmer pass incomplete short middle to 89-B.Sims.</x:v>
      </x:c>
      <x:c r="L2772" t="str">
        <x:v>pass</x:v>
      </x:c>
      <x:c r="M2772" t="n">
        <x:v>0</x:v>
      </x:c>
      <x:c r="N2772" t="n">
        <x:v>1</x:v>
      </x:c>
      <x:c r="O2772" t="n">
        <x:v>0</x:v>
      </x:c>
      <x:c r="P2772" t="str">
        <x:v>short</x:v>
      </x:c>
      <x:c r="Q2772" t="str">
        <x:v>middle</x:v>
      </x:c>
      <x:c r="R2772" t="n">
        <x:v>9</x:v>
      </x:c>
      <x:c r="S2772"/>
      <x:c r="T2772"/>
      <x:c r="U2772"/>
      <x:c r="V2772" t="n">
        <x:v>0</x:v>
      </x:c>
      <x:c r="W2772" t="n">
        <x:v>0</x:v>
      </x:c>
      <x:c r="X2772" t="n">
        <x:v>0</x:v>
      </x:c>
      <x:c r="Y2772" t="n">
        <x:v>0</x:v>
      </x:c>
      <x:c r="Z2772" t="n">
        <x:v>0</x:v>
      </x:c>
      <x:c r="AA2772" t="n">
        <x:v>0</x:v>
      </x:c>
      <x:c r="AB2772"/>
      <x:c r="AC2772" t="n">
        <x:v>0</x:v>
      </x:c>
      <x:c r="AD2772" t="n">
        <x:v>-0.7552410011994652</x:v>
      </x:c>
      <x:c r="AE2772" t="n">
        <x:v>0</x:v>
      </x:c>
      <x:c r="AF2772" t="n">
        <x:v>-0.0005570650100708008</x:v>
      </x:c>
      <x:c r="AG2772" t="n">
        <x:f>_xlfn.XLOOKUP($A2772,Games!$A$2:$A$18,Games!$B$2:$B$18,"Missing game",0)</x:f>
        <x:v>2025</x:v>
      </x:c>
      <x:c r="AH2772" t="str">
        <x:f>_xlfn.XLOOKUP($A2772,Games!$A$2:$A$18,Games!$C$2:$C$18,"Missing game",0)</x:f>
        <x:v>REG</x:v>
      </x:c>
      <x:c r="AI2772" t="n">
        <x:f>_xlfn.XLOOKUP($A2772,Games!$A$2:$A$18,Games!$D$2:$D$18,"Missing game",0)</x:f>
        <x:v>18</x:v>
      </x:c>
      <x:c r="AJ2772" s="1" t="n">
        <x:f>_xlfn.XLOOKUP($A2772,Games!$A$2:$A$18,Games!$E$2:$E$18,"Missing game",0)</x:f>
        <x:v>46026</x:v>
      </x:c>
      <x:c r="AK2772" t="str">
        <x:f>_xlfn.XLOOKUP($A2772,Games!$A$2:$A$18,Games!$F$2:$F$18,"Missing game",0)</x:f>
        <x:v>Sunday</x:v>
      </x:c>
      <x:c r="AL2772" t="str">
        <x:f>_xlfn.XLOOKUP($A2772,Games!$A$2:$A$18,Games!$G$2:$G$18,"Missing game",0)</x:f>
        <x:v>GB</x:v>
      </x:c>
      <x:c r="AM2772" t="n">
        <x:f>_xlfn.XLOOKUP($A2772,Games!$A$2:$A$18,Games!$H$2:$H$18,"Missing game",0)</x:f>
        <x:v>3</x:v>
      </x:c>
      <x:c r="AN2772" t="str">
        <x:f>_xlfn.XLOOKUP($A2772,Games!$A$2:$A$18,Games!$I$2:$I$18,"Missing game",0)</x:f>
        <x:v>MIN</x:v>
      </x:c>
      <x:c r="AO2772" t="n">
        <x:f>_xlfn.XLOOKUP($A2772,Games!$A$2:$A$18,Games!$J$2:$J$18,"Missing game",0)</x:f>
        <x:v>16</x:v>
      </x:c>
      <x:c r="AP2772" t="n">
        <x:f>_xlfn.XLOOKUP($A2772,Games!$A$2:$A$18,Games!$K$2:$K$18,"Missing game",0)</x:f>
        <x:v>13</x:v>
      </x:c>
      <x:c r="AQ2772" t="n">
        <x:f>_xlfn.XLOOKUP($A2772,Games!$A$2:$A$18,Games!$L$2:$L$18,"Missing game",0)</x:f>
        <x:v>19</x:v>
      </x:c>
      <x:c r="AR2772" t="n">
        <x:f>_xlfn.XLOOKUP($A2772,Games!$A$2:$A$18,Games!$M$2:$M$18,"Missing game",0)</x:f>
        <x:v>0</x:v>
      </x:c>
      <x:c r="AS2772" t="str">
        <x:f>_xlfn.XLOOKUP($A2772,Games!$A$2:$A$18,Games!$N$2:$N$18,"Missing game",0)</x:f>
        <x:v>dome</x:v>
      </x:c>
      <x:c r="AT2772" t="str">
        <x:f>_xlfn.XLOOKUP($A2772,Games!$A$2:$A$18,Games!$O$2:$O$18,"Missing game",0)</x:f>
        <x:v>sportturf</x:v>
      </x:c>
      <x:c r="AU2772" t="str">
        <x:f>_xlfn.XLOOKUP($A2772,Games!$A$2:$A$18,Games!$P$2:$P$18,"Missing game",0)</x:f>
      </x:c>
      <x:c r="AV2772" t="str">
        <x:f>_xlfn.XLOOKUP($A2772,Games!$A$2:$A$18,Games!$Q$2:$Q$18,"Missing game",0)</x:f>
      </x:c>
      <x:c r="AW2772" t="str">
        <x:f>_xlfn.XLOOKUP($A2772,Games!$A$2:$A$18,Games!$R$2:$R$18,"Missing game",0)</x:f>
        <x:v>U.S. Bank Stadium</x:v>
      </x:c>
    </x:row>
    <x:row r="2773">
      <x:c r="A2773" t="str">
        <x:v>2025_18_GB_MIN</x:v>
      </x:c>
      <x:c r="B2773" t="n">
        <x:v>3317</x:v>
      </x:c>
      <x:c r="C2773" t="n">
        <x:v>4</x:v>
      </x:c>
      <x:c r="D2773" t="str">
        <x:v>04:51</x:v>
      </x:c>
      <x:c r="E2773" t="n">
        <x:v>3</x:v>
      </x:c>
      <x:c r="F2773" t="n">
        <x:v>10</x:v>
      </x:c>
      <x:c r="G2773" t="str">
        <x:v>MIN</x:v>
      </x:c>
      <x:c r="H2773" t="str">
        <x:v>GB</x:v>
      </x:c>
      <x:c r="I2773" t="str">
        <x:v>GB</x:v>
      </x:c>
      <x:c r="J2773" t="n">
        <x:v>17</x:v>
      </x:c>
      <x:c r="K2773" t="str">
        <x:v>(4:51) (Shotgun) 12-M.Brosmer pass short left to 32-T.Chandler to GB 19 for -2 yards (45-C.Oliver).</x:v>
      </x:c>
      <x:c r="L2773" t="str">
        <x:v>pass</x:v>
      </x:c>
      <x:c r="M2773" t="n">
        <x:v>-2</x:v>
      </x:c>
      <x:c r="N2773" t="n">
        <x:v>1</x:v>
      </x:c>
      <x:c r="O2773" t="n">
        <x:v>0</x:v>
      </x:c>
      <x:c r="P2773" t="str">
        <x:v>short</x:v>
      </x:c>
      <x:c r="Q2773" t="str">
        <x:v>left</x:v>
      </x:c>
      <x:c r="R2773" t="n">
        <x:v>-7</x:v>
      </x:c>
      <x:c r="S2773" t="n">
        <x:v>5</x:v>
      </x:c>
      <x:c r="T2773"/>
      <x:c r="U2773"/>
      <x:c r="V2773" t="n">
        <x:v>1</x:v>
      </x:c>
      <x:c r="W2773" t="n">
        <x:v>0</x:v>
      </x:c>
      <x:c r="X2773" t="n">
        <x:v>0</x:v>
      </x:c>
      <x:c r="Y2773" t="n">
        <x:v>0</x:v>
      </x:c>
      <x:c r="Z2773" t="n">
        <x:v>0</x:v>
      </x:c>
      <x:c r="AA2773" t="n">
        <x:v>0</x:v>
      </x:c>
      <x:c r="AB2773"/>
      <x:c r="AC2773" t="n">
        <x:v>0</x:v>
      </x:c>
      <x:c r="AD2773" t="n">
        <x:v>-1.0262107670212863</x:v>
      </x:c>
      <x:c r="AE2773" t="n">
        <x:v>0</x:v>
      </x:c>
      <x:c r="AF2773" t="n">
        <x:v>-0.0016141533851623535</x:v>
      </x:c>
      <x:c r="AG2773" t="n">
        <x:f>_xlfn.XLOOKUP($A2773,Games!$A$2:$A$18,Games!$B$2:$B$18,"Missing game",0)</x:f>
        <x:v>2025</x:v>
      </x:c>
      <x:c r="AH2773" t="str">
        <x:f>_xlfn.XLOOKUP($A2773,Games!$A$2:$A$18,Games!$C$2:$C$18,"Missing game",0)</x:f>
        <x:v>REG</x:v>
      </x:c>
      <x:c r="AI2773" t="n">
        <x:f>_xlfn.XLOOKUP($A2773,Games!$A$2:$A$18,Games!$D$2:$D$18,"Missing game",0)</x:f>
        <x:v>18</x:v>
      </x:c>
      <x:c r="AJ2773" s="1" t="n">
        <x:f>_xlfn.XLOOKUP($A2773,Games!$A$2:$A$18,Games!$E$2:$E$18,"Missing game",0)</x:f>
        <x:v>46026</x:v>
      </x:c>
      <x:c r="AK2773" t="str">
        <x:f>_xlfn.XLOOKUP($A2773,Games!$A$2:$A$18,Games!$F$2:$F$18,"Missing game",0)</x:f>
        <x:v>Sunday</x:v>
      </x:c>
      <x:c r="AL2773" t="str">
        <x:f>_xlfn.XLOOKUP($A2773,Games!$A$2:$A$18,Games!$G$2:$G$18,"Missing game",0)</x:f>
        <x:v>GB</x:v>
      </x:c>
      <x:c r="AM2773" t="n">
        <x:f>_xlfn.XLOOKUP($A2773,Games!$A$2:$A$18,Games!$H$2:$H$18,"Missing game",0)</x:f>
        <x:v>3</x:v>
      </x:c>
      <x:c r="AN2773" t="str">
        <x:f>_xlfn.XLOOKUP($A2773,Games!$A$2:$A$18,Games!$I$2:$I$18,"Missing game",0)</x:f>
        <x:v>MIN</x:v>
      </x:c>
      <x:c r="AO2773" t="n">
        <x:f>_xlfn.XLOOKUP($A2773,Games!$A$2:$A$18,Games!$J$2:$J$18,"Missing game",0)</x:f>
        <x:v>16</x:v>
      </x:c>
      <x:c r="AP2773" t="n">
        <x:f>_xlfn.XLOOKUP($A2773,Games!$A$2:$A$18,Games!$K$2:$K$18,"Missing game",0)</x:f>
        <x:v>13</x:v>
      </x:c>
      <x:c r="AQ2773" t="n">
        <x:f>_xlfn.XLOOKUP($A2773,Games!$A$2:$A$18,Games!$L$2:$L$18,"Missing game",0)</x:f>
        <x:v>19</x:v>
      </x:c>
      <x:c r="AR2773" t="n">
        <x:f>_xlfn.XLOOKUP($A2773,Games!$A$2:$A$18,Games!$M$2:$M$18,"Missing game",0)</x:f>
        <x:v>0</x:v>
      </x:c>
      <x:c r="AS2773" t="str">
        <x:f>_xlfn.XLOOKUP($A2773,Games!$A$2:$A$18,Games!$N$2:$N$18,"Missing game",0)</x:f>
        <x:v>dome</x:v>
      </x:c>
      <x:c r="AT2773" t="str">
        <x:f>_xlfn.XLOOKUP($A2773,Games!$A$2:$A$18,Games!$O$2:$O$18,"Missing game",0)</x:f>
        <x:v>sportturf</x:v>
      </x:c>
      <x:c r="AU2773" t="str">
        <x:f>_xlfn.XLOOKUP($A2773,Games!$A$2:$A$18,Games!$P$2:$P$18,"Missing game",0)</x:f>
      </x:c>
      <x:c r="AV2773" t="str">
        <x:f>_xlfn.XLOOKUP($A2773,Games!$A$2:$A$18,Games!$Q$2:$Q$18,"Missing game",0)</x:f>
      </x:c>
      <x:c r="AW2773" t="str">
        <x:f>_xlfn.XLOOKUP($A2773,Games!$A$2:$A$18,Games!$R$2:$R$18,"Missing game",0)</x:f>
        <x:v>U.S. Bank Stadium</x:v>
      </x:c>
    </x:row>
    <x:row r="2774">
      <x:c r="A2774" t="str">
        <x:v>2025_18_GB_MIN</x:v>
      </x:c>
      <x:c r="B2774" t="n">
        <x:v>3342</x:v>
      </x:c>
      <x:c r="C2774" t="n">
        <x:v>4</x:v>
      </x:c>
      <x:c r="D2774" t="str">
        <x:v>04:13</x:v>
      </x:c>
      <x:c r="E2774" t="n">
        <x:v>4</x:v>
      </x:c>
      <x:c r="F2774" t="n">
        <x:v>12</x:v>
      </x:c>
      <x:c r="G2774" t="str">
        <x:v>MIN</x:v>
      </x:c>
      <x:c r="H2774" t="str">
        <x:v>GB</x:v>
      </x:c>
      <x:c r="I2774" t="str">
        <x:v>GB</x:v>
      </x:c>
      <x:c r="J2774" t="n">
        <x:v>19</x:v>
      </x:c>
      <x:c r="K2774" t="str">
        <x:v>(4:13) 16-W.Reichard 37 yard field goal is GOOD, Center-42-A.DePaola, Holder-17-R.Wright.</x:v>
      </x:c>
      <x:c r="L2774" t="str">
        <x:v>field_goal</x:v>
      </x:c>
      <x:c r="M2774" t="n">
        <x:v>0</x:v>
      </x:c>
      <x:c r="N2774" t="n">
        <x:v>0</x:v>
      </x:c>
      <x:c r="O2774" t="n">
        <x:v>0</x:v>
      </x:c>
      <x:c r="P2774"/>
      <x:c r="Q2774"/>
      <x:c r="R2774"/>
      <x:c r="S2774"/>
      <x:c r="T2774"/>
      <x:c r="U2774"/>
      <x:c r="V2774" t="n">
        <x:v>0</x:v>
      </x:c>
      <x:c r="W2774" t="n">
        <x:v>0</x:v>
      </x:c>
      <x:c r="X2774" t="n">
        <x:v>0</x:v>
      </x:c>
      <x:c r="Y2774" t="n">
        <x:v>0</x:v>
      </x:c>
      <x:c r="Z2774" t="n">
        <x:v>0</x:v>
      </x:c>
      <x:c r="AA2774" t="n">
        <x:v>0</x:v>
      </x:c>
      <x:c r="AB2774"/>
      <x:c r="AC2774" t="n">
        <x:v>0</x:v>
      </x:c>
      <x:c r="AD2774" t="n">
        <x:v>0.40844669388828336</x:v>
      </x:c>
      <x:c r="AE2774" t="n">
        <x:v>1</x:v>
      </x:c>
      <x:c r="AF2774" t="n">
        <x:v>0.001317403744906187</x:v>
      </x:c>
      <x:c r="AG2774" t="n">
        <x:f>_xlfn.XLOOKUP($A2774,Games!$A$2:$A$18,Games!$B$2:$B$18,"Missing game",0)</x:f>
        <x:v>2025</x:v>
      </x:c>
      <x:c r="AH2774" t="str">
        <x:f>_xlfn.XLOOKUP($A2774,Games!$A$2:$A$18,Games!$C$2:$C$18,"Missing game",0)</x:f>
        <x:v>REG</x:v>
      </x:c>
      <x:c r="AI2774" t="n">
        <x:f>_xlfn.XLOOKUP($A2774,Games!$A$2:$A$18,Games!$D$2:$D$18,"Missing game",0)</x:f>
        <x:v>18</x:v>
      </x:c>
      <x:c r="AJ2774" s="1" t="n">
        <x:f>_xlfn.XLOOKUP($A2774,Games!$A$2:$A$18,Games!$E$2:$E$18,"Missing game",0)</x:f>
        <x:v>46026</x:v>
      </x:c>
      <x:c r="AK2774" t="str">
        <x:f>_xlfn.XLOOKUP($A2774,Games!$A$2:$A$18,Games!$F$2:$F$18,"Missing game",0)</x:f>
        <x:v>Sunday</x:v>
      </x:c>
      <x:c r="AL2774" t="str">
        <x:f>_xlfn.XLOOKUP($A2774,Games!$A$2:$A$18,Games!$G$2:$G$18,"Missing game",0)</x:f>
        <x:v>GB</x:v>
      </x:c>
      <x:c r="AM2774" t="n">
        <x:f>_xlfn.XLOOKUP($A2774,Games!$A$2:$A$18,Games!$H$2:$H$18,"Missing game",0)</x:f>
        <x:v>3</x:v>
      </x:c>
      <x:c r="AN2774" t="str">
        <x:f>_xlfn.XLOOKUP($A2774,Games!$A$2:$A$18,Games!$I$2:$I$18,"Missing game",0)</x:f>
        <x:v>MIN</x:v>
      </x:c>
      <x:c r="AO2774" t="n">
        <x:f>_xlfn.XLOOKUP($A2774,Games!$A$2:$A$18,Games!$J$2:$J$18,"Missing game",0)</x:f>
        <x:v>16</x:v>
      </x:c>
      <x:c r="AP2774" t="n">
        <x:f>_xlfn.XLOOKUP($A2774,Games!$A$2:$A$18,Games!$K$2:$K$18,"Missing game",0)</x:f>
        <x:v>13</x:v>
      </x:c>
      <x:c r="AQ2774" t="n">
        <x:f>_xlfn.XLOOKUP($A2774,Games!$A$2:$A$18,Games!$L$2:$L$18,"Missing game",0)</x:f>
        <x:v>19</x:v>
      </x:c>
      <x:c r="AR2774" t="n">
        <x:f>_xlfn.XLOOKUP($A2774,Games!$A$2:$A$18,Games!$M$2:$M$18,"Missing game",0)</x:f>
        <x:v>0</x:v>
      </x:c>
      <x:c r="AS2774" t="str">
        <x:f>_xlfn.XLOOKUP($A2774,Games!$A$2:$A$18,Games!$N$2:$N$18,"Missing game",0)</x:f>
        <x:v>dome</x:v>
      </x:c>
      <x:c r="AT2774" t="str">
        <x:f>_xlfn.XLOOKUP($A2774,Games!$A$2:$A$18,Games!$O$2:$O$18,"Missing game",0)</x:f>
        <x:v>sportturf</x:v>
      </x:c>
      <x:c r="AU2774" t="str">
        <x:f>_xlfn.XLOOKUP($A2774,Games!$A$2:$A$18,Games!$P$2:$P$18,"Missing game",0)</x:f>
      </x:c>
      <x:c r="AV2774" t="str">
        <x:f>_xlfn.XLOOKUP($A2774,Games!$A$2:$A$18,Games!$Q$2:$Q$18,"Missing game",0)</x:f>
      </x:c>
      <x:c r="AW2774" t="str">
        <x:f>_xlfn.XLOOKUP($A2774,Games!$A$2:$A$18,Games!$R$2:$R$18,"Missing game",0)</x:f>
        <x:v>U.S. Bank Stadium</x:v>
      </x:c>
    </x:row>
    <x:row r="2775">
      <x:c r="A2775" t="str">
        <x:v>2025_18_GB_MIN</x:v>
      </x:c>
      <x:c r="B2775" t="n">
        <x:v>3362</x:v>
      </x:c>
      <x:c r="C2775" t="n">
        <x:v>4</x:v>
      </x:c>
      <x:c r="D2775" t="str">
        <x:v>04:09</x:v>
      </x:c>
      <x:c r="E2775"/>
      <x:c r="F2775" t="n">
        <x:v>0</x:v>
      </x:c>
      <x:c r="G2775" t="str">
        <x:v>GB</x:v>
      </x:c>
      <x:c r="H2775" t="str">
        <x:v>MIN</x:v>
      </x:c>
      <x:c r="I2775" t="str">
        <x:v>MIN</x:v>
      </x:c>
      <x:c r="J2775" t="n">
        <x:v>35</x:v>
      </x:c>
      <x:c r="K2775" t="str">
        <x:v>16-W.Reichard kicks 59 yards from MIN 35 to GB 6. 23-E.Wilson to GB 39 for 33 yards (37-T.Thomas).</x:v>
      </x:c>
      <x:c r="L2775" t="str">
        <x:v>kickoff</x:v>
      </x:c>
      <x:c r="M2775" t="n">
        <x:v>0</x:v>
      </x:c>
      <x:c r="N2775" t="n">
        <x:v>0</x:v>
      </x:c>
      <x:c r="O2775" t="n">
        <x:v>0</x:v>
      </x:c>
      <x:c r="P2775"/>
      <x:c r="Q2775"/>
      <x:c r="R2775"/>
      <x:c r="S2775"/>
      <x:c r="T2775"/>
      <x:c r="U2775"/>
      <x:c r="V2775" t="n">
        <x:v>0</x:v>
      </x:c>
      <x:c r="W2775" t="n">
        <x:v>0</x:v>
      </x:c>
      <x:c r="X2775" t="n">
        <x:v>0</x:v>
      </x:c>
      <x:c r="Y2775" t="n">
        <x:v>0</x:v>
      </x:c>
      <x:c r="Z2775" t="n">
        <x:v>0</x:v>
      </x:c>
      <x:c r="AA2775" t="n">
        <x:v>0</x:v>
      </x:c>
      <x:c r="AB2775"/>
      <x:c r="AC2775" t="n">
        <x:v>0</x:v>
      </x:c>
      <x:c r="AD2775" t="n">
        <x:v>0.8186460693832487</x:v>
      </x:c>
      <x:c r="AE2775" t="n">
        <x:v>1</x:v>
      </x:c>
      <x:c r="AF2775" t="n">
        <x:v>0.000011871568858623505</x:v>
      </x:c>
      <x:c r="AG2775" t="n">
        <x:f>_xlfn.XLOOKUP($A2775,Games!$A$2:$A$18,Games!$B$2:$B$18,"Missing game",0)</x:f>
        <x:v>2025</x:v>
      </x:c>
      <x:c r="AH2775" t="str">
        <x:f>_xlfn.XLOOKUP($A2775,Games!$A$2:$A$18,Games!$C$2:$C$18,"Missing game",0)</x:f>
        <x:v>REG</x:v>
      </x:c>
      <x:c r="AI2775" t="n">
        <x:f>_xlfn.XLOOKUP($A2775,Games!$A$2:$A$18,Games!$D$2:$D$18,"Missing game",0)</x:f>
        <x:v>18</x:v>
      </x:c>
      <x:c r="AJ2775" s="1" t="n">
        <x:f>_xlfn.XLOOKUP($A2775,Games!$A$2:$A$18,Games!$E$2:$E$18,"Missing game",0)</x:f>
        <x:v>46026</x:v>
      </x:c>
      <x:c r="AK2775" t="str">
        <x:f>_xlfn.XLOOKUP($A2775,Games!$A$2:$A$18,Games!$F$2:$F$18,"Missing game",0)</x:f>
        <x:v>Sunday</x:v>
      </x:c>
      <x:c r="AL2775" t="str">
        <x:f>_xlfn.XLOOKUP($A2775,Games!$A$2:$A$18,Games!$G$2:$G$18,"Missing game",0)</x:f>
        <x:v>GB</x:v>
      </x:c>
      <x:c r="AM2775" t="n">
        <x:f>_xlfn.XLOOKUP($A2775,Games!$A$2:$A$18,Games!$H$2:$H$18,"Missing game",0)</x:f>
        <x:v>3</x:v>
      </x:c>
      <x:c r="AN2775" t="str">
        <x:f>_xlfn.XLOOKUP($A2775,Games!$A$2:$A$18,Games!$I$2:$I$18,"Missing game",0)</x:f>
        <x:v>MIN</x:v>
      </x:c>
      <x:c r="AO2775" t="n">
        <x:f>_xlfn.XLOOKUP($A2775,Games!$A$2:$A$18,Games!$J$2:$J$18,"Missing game",0)</x:f>
        <x:v>16</x:v>
      </x:c>
      <x:c r="AP2775" t="n">
        <x:f>_xlfn.XLOOKUP($A2775,Games!$A$2:$A$18,Games!$K$2:$K$18,"Missing game",0)</x:f>
        <x:v>13</x:v>
      </x:c>
      <x:c r="AQ2775" t="n">
        <x:f>_xlfn.XLOOKUP($A2775,Games!$A$2:$A$18,Games!$L$2:$L$18,"Missing game",0)</x:f>
        <x:v>19</x:v>
      </x:c>
      <x:c r="AR2775" t="n">
        <x:f>_xlfn.XLOOKUP($A2775,Games!$A$2:$A$18,Games!$M$2:$M$18,"Missing game",0)</x:f>
        <x:v>0</x:v>
      </x:c>
      <x:c r="AS2775" t="str">
        <x:f>_xlfn.XLOOKUP($A2775,Games!$A$2:$A$18,Games!$N$2:$N$18,"Missing game",0)</x:f>
        <x:v>dome</x:v>
      </x:c>
      <x:c r="AT2775" t="str">
        <x:f>_xlfn.XLOOKUP($A2775,Games!$A$2:$A$18,Games!$O$2:$O$18,"Missing game",0)</x:f>
        <x:v>sportturf</x:v>
      </x:c>
      <x:c r="AU2775" t="str">
        <x:f>_xlfn.XLOOKUP($A2775,Games!$A$2:$A$18,Games!$P$2:$P$18,"Missing game",0)</x:f>
      </x:c>
      <x:c r="AV2775" t="str">
        <x:f>_xlfn.XLOOKUP($A2775,Games!$A$2:$A$18,Games!$Q$2:$Q$18,"Missing game",0)</x:f>
      </x:c>
      <x:c r="AW2775" t="str">
        <x:f>_xlfn.XLOOKUP($A2775,Games!$A$2:$A$18,Games!$R$2:$R$18,"Missing game",0)</x:f>
        <x:v>U.S. Bank Stadium</x:v>
      </x:c>
    </x:row>
    <x:row r="2776">
      <x:c r="A2776" t="str">
        <x:v>2025_18_GB_MIN</x:v>
      </x:c>
      <x:c r="B2776" t="n">
        <x:v>3385</x:v>
      </x:c>
      <x:c r="C2776" t="n">
        <x:v>4</x:v>
      </x:c>
      <x:c r="D2776" t="str">
        <x:v>04:03</x:v>
      </x:c>
      <x:c r="E2776" t="n">
        <x:v>1</x:v>
      </x:c>
      <x:c r="F2776" t="n">
        <x:v>10</x:v>
      </x:c>
      <x:c r="G2776" t="str">
        <x:v>GB</x:v>
      </x:c>
      <x:c r="H2776" t="str">
        <x:v>MIN</x:v>
      </x:c>
      <x:c r="I2776" t="str">
        <x:v>GB</x:v>
      </x:c>
      <x:c r="J2776" t="n">
        <x:v>61</x:v>
      </x:c>
      <x:c r="K2776" t="str">
        <x:v>(4:03) 30-C.Brooks left tackle to GB 43 for 4 yards (15-D.Turner).</x:v>
      </x:c>
      <x:c r="L2776" t="str">
        <x:v>run</x:v>
      </x:c>
      <x:c r="M2776" t="n">
        <x:v>4</x:v>
      </x:c>
      <x:c r="N2776" t="n">
        <x:v>0</x:v>
      </x:c>
      <x:c r="O2776" t="n">
        <x:v>0</x:v>
      </x:c>
      <x:c r="P2776"/>
      <x:c r="Q2776"/>
      <x:c r="R2776"/>
      <x:c r="S2776"/>
      <x:c r="T2776" t="str">
        <x:v>left</x:v>
      </x:c>
      <x:c r="U2776" t="str">
        <x:v>tackle</x:v>
      </x:c>
      <x:c r="V2776" t="n">
        <x:v>0</x:v>
      </x:c>
      <x:c r="W2776" t="n">
        <x:v>0</x:v>
      </x:c>
      <x:c r="X2776" t="n">
        <x:v>0</x:v>
      </x:c>
      <x:c r="Y2776" t="n">
        <x:v>0</x:v>
      </x:c>
      <x:c r="Z2776" t="n">
        <x:v>0</x:v>
      </x:c>
      <x:c r="AA2776" t="n">
        <x:v>0</x:v>
      </x:c>
      <x:c r="AB2776"/>
      <x:c r="AC2776" t="n">
        <x:v>0</x:v>
      </x:c>
      <x:c r="AD2776" t="n">
        <x:v>-0.4325023245764896</x:v>
      </x:c>
      <x:c r="AE2776" t="n">
        <x:v>0</x:v>
      </x:c>
      <x:c r="AF2776" t="n">
        <x:v>-0.003290013177320361</x:v>
      </x:c>
      <x:c r="AG2776" t="n">
        <x:f>_xlfn.XLOOKUP($A2776,Games!$A$2:$A$18,Games!$B$2:$B$18,"Missing game",0)</x:f>
        <x:v>2025</x:v>
      </x:c>
      <x:c r="AH2776" t="str">
        <x:f>_xlfn.XLOOKUP($A2776,Games!$A$2:$A$18,Games!$C$2:$C$18,"Missing game",0)</x:f>
        <x:v>REG</x:v>
      </x:c>
      <x:c r="AI2776" t="n">
        <x:f>_xlfn.XLOOKUP($A2776,Games!$A$2:$A$18,Games!$D$2:$D$18,"Missing game",0)</x:f>
        <x:v>18</x:v>
      </x:c>
      <x:c r="AJ2776" s="1" t="n">
        <x:f>_xlfn.XLOOKUP($A2776,Games!$A$2:$A$18,Games!$E$2:$E$18,"Missing game",0)</x:f>
        <x:v>46026</x:v>
      </x:c>
      <x:c r="AK2776" t="str">
        <x:f>_xlfn.XLOOKUP($A2776,Games!$A$2:$A$18,Games!$F$2:$F$18,"Missing game",0)</x:f>
        <x:v>Sunday</x:v>
      </x:c>
      <x:c r="AL2776" t="str">
        <x:f>_xlfn.XLOOKUP($A2776,Games!$A$2:$A$18,Games!$G$2:$G$18,"Missing game",0)</x:f>
        <x:v>GB</x:v>
      </x:c>
      <x:c r="AM2776" t="n">
        <x:f>_xlfn.XLOOKUP($A2776,Games!$A$2:$A$18,Games!$H$2:$H$18,"Missing game",0)</x:f>
        <x:v>3</x:v>
      </x:c>
      <x:c r="AN2776" t="str">
        <x:f>_xlfn.XLOOKUP($A2776,Games!$A$2:$A$18,Games!$I$2:$I$18,"Missing game",0)</x:f>
        <x:v>MIN</x:v>
      </x:c>
      <x:c r="AO2776" t="n">
        <x:f>_xlfn.XLOOKUP($A2776,Games!$A$2:$A$18,Games!$J$2:$J$18,"Missing game",0)</x:f>
        <x:v>16</x:v>
      </x:c>
      <x:c r="AP2776" t="n">
        <x:f>_xlfn.XLOOKUP($A2776,Games!$A$2:$A$18,Games!$K$2:$K$18,"Missing game",0)</x:f>
        <x:v>13</x:v>
      </x:c>
      <x:c r="AQ2776" t="n">
        <x:f>_xlfn.XLOOKUP($A2776,Games!$A$2:$A$18,Games!$L$2:$L$18,"Missing game",0)</x:f>
        <x:v>19</x:v>
      </x:c>
      <x:c r="AR2776" t="n">
        <x:f>_xlfn.XLOOKUP($A2776,Games!$A$2:$A$18,Games!$M$2:$M$18,"Missing game",0)</x:f>
        <x:v>0</x:v>
      </x:c>
      <x:c r="AS2776" t="str">
        <x:f>_xlfn.XLOOKUP($A2776,Games!$A$2:$A$18,Games!$N$2:$N$18,"Missing game",0)</x:f>
        <x:v>dome</x:v>
      </x:c>
      <x:c r="AT2776" t="str">
        <x:f>_xlfn.XLOOKUP($A2776,Games!$A$2:$A$18,Games!$O$2:$O$18,"Missing game",0)</x:f>
        <x:v>sportturf</x:v>
      </x:c>
      <x:c r="AU2776" t="str">
        <x:f>_xlfn.XLOOKUP($A2776,Games!$A$2:$A$18,Games!$P$2:$P$18,"Missing game",0)</x:f>
      </x:c>
      <x:c r="AV2776" t="str">
        <x:f>_xlfn.XLOOKUP($A2776,Games!$A$2:$A$18,Games!$Q$2:$Q$18,"Missing game",0)</x:f>
      </x:c>
      <x:c r="AW2776" t="str">
        <x:f>_xlfn.XLOOKUP($A2776,Games!$A$2:$A$18,Games!$R$2:$R$18,"Missing game",0)</x:f>
        <x:v>U.S. Bank Stadium</x:v>
      </x:c>
    </x:row>
    <x:row r="2777">
      <x:c r="A2777" t="str">
        <x:v>2025_18_GB_MIN</x:v>
      </x:c>
      <x:c r="B2777" t="n">
        <x:v>3407</x:v>
      </x:c>
      <x:c r="C2777" t="n">
        <x:v>4</x:v>
      </x:c>
      <x:c r="D2777" t="str">
        <x:v>03:32</x:v>
      </x:c>
      <x:c r="E2777" t="n">
        <x:v>2</x:v>
      </x:c>
      <x:c r="F2777" t="n">
        <x:v>6</x:v>
      </x:c>
      <x:c r="G2777" t="str">
        <x:v>GB</x:v>
      </x:c>
      <x:c r="H2777" t="str">
        <x:v>MIN</x:v>
      </x:c>
      <x:c r="I2777" t="str">
        <x:v>GB</x:v>
      </x:c>
      <x:c r="J2777" t="n">
        <x:v>57</x:v>
      </x:c>
      <x:c r="K2777" t="str">
        <x:v>(3:32) 6-C.Tune pass short right to 0-M.Golden ran ob at MIN 49 for 8 yards (2-I.Rodgers).</x:v>
      </x:c>
      <x:c r="L2777" t="str">
        <x:v>pass</x:v>
      </x:c>
      <x:c r="M2777" t="n">
        <x:v>8</x:v>
      </x:c>
      <x:c r="N2777" t="n">
        <x:v>0</x:v>
      </x:c>
      <x:c r="O2777" t="n">
        <x:v>0</x:v>
      </x:c>
      <x:c r="P2777" t="str">
        <x:v>short</x:v>
      </x:c>
      <x:c r="Q2777" t="str">
        <x:v>right</x:v>
      </x:c>
      <x:c r="R2777" t="n">
        <x:v>0</x:v>
      </x:c>
      <x:c r="S2777" t="n">
        <x:v>8</x:v>
      </x:c>
      <x:c r="T2777"/>
      <x:c r="U2777"/>
      <x:c r="V2777" t="n">
        <x:v>1</x:v>
      </x:c>
      <x:c r="W2777" t="n">
        <x:v>1</x:v>
      </x:c>
      <x:c r="X2777" t="n">
        <x:v>0</x:v>
      </x:c>
      <x:c r="Y2777" t="n">
        <x:v>0</x:v>
      </x:c>
      <x:c r="Z2777" t="n">
        <x:v>0</x:v>
      </x:c>
      <x:c r="AA2777" t="n">
        <x:v>0</x:v>
      </x:c>
      <x:c r="AB2777"/>
      <x:c r="AC2777" t="n">
        <x:v>0</x:v>
      </x:c>
      <x:c r="AD2777" t="n">
        <x:v>0.9581549423164688</x:v>
      </x:c>
      <x:c r="AE2777" t="n">
        <x:v>1</x:v>
      </x:c>
      <x:c r="AF2777" t="n">
        <x:v>0.0007417639717459679</x:v>
      </x:c>
      <x:c r="AG2777" t="n">
        <x:f>_xlfn.XLOOKUP($A2777,Games!$A$2:$A$18,Games!$B$2:$B$18,"Missing game",0)</x:f>
        <x:v>2025</x:v>
      </x:c>
      <x:c r="AH2777" t="str">
        <x:f>_xlfn.XLOOKUP($A2777,Games!$A$2:$A$18,Games!$C$2:$C$18,"Missing game",0)</x:f>
        <x:v>REG</x:v>
      </x:c>
      <x:c r="AI2777" t="n">
        <x:f>_xlfn.XLOOKUP($A2777,Games!$A$2:$A$18,Games!$D$2:$D$18,"Missing game",0)</x:f>
        <x:v>18</x:v>
      </x:c>
      <x:c r="AJ2777" s="1" t="n">
        <x:f>_xlfn.XLOOKUP($A2777,Games!$A$2:$A$18,Games!$E$2:$E$18,"Missing game",0)</x:f>
        <x:v>46026</x:v>
      </x:c>
      <x:c r="AK2777" t="str">
        <x:f>_xlfn.XLOOKUP($A2777,Games!$A$2:$A$18,Games!$F$2:$F$18,"Missing game",0)</x:f>
        <x:v>Sunday</x:v>
      </x:c>
      <x:c r="AL2777" t="str">
        <x:f>_xlfn.XLOOKUP($A2777,Games!$A$2:$A$18,Games!$G$2:$G$18,"Missing game",0)</x:f>
        <x:v>GB</x:v>
      </x:c>
      <x:c r="AM2777" t="n">
        <x:f>_xlfn.XLOOKUP($A2777,Games!$A$2:$A$18,Games!$H$2:$H$18,"Missing game",0)</x:f>
        <x:v>3</x:v>
      </x:c>
      <x:c r="AN2777" t="str">
        <x:f>_xlfn.XLOOKUP($A2777,Games!$A$2:$A$18,Games!$I$2:$I$18,"Missing game",0)</x:f>
        <x:v>MIN</x:v>
      </x:c>
      <x:c r="AO2777" t="n">
        <x:f>_xlfn.XLOOKUP($A2777,Games!$A$2:$A$18,Games!$J$2:$J$18,"Missing game",0)</x:f>
        <x:v>16</x:v>
      </x:c>
      <x:c r="AP2777" t="n">
        <x:f>_xlfn.XLOOKUP($A2777,Games!$A$2:$A$18,Games!$K$2:$K$18,"Missing game",0)</x:f>
        <x:v>13</x:v>
      </x:c>
      <x:c r="AQ2777" t="n">
        <x:f>_xlfn.XLOOKUP($A2777,Games!$A$2:$A$18,Games!$L$2:$L$18,"Missing game",0)</x:f>
        <x:v>19</x:v>
      </x:c>
      <x:c r="AR2777" t="n">
        <x:f>_xlfn.XLOOKUP($A2777,Games!$A$2:$A$18,Games!$M$2:$M$18,"Missing game",0)</x:f>
        <x:v>0</x:v>
      </x:c>
      <x:c r="AS2777" t="str">
        <x:f>_xlfn.XLOOKUP($A2777,Games!$A$2:$A$18,Games!$N$2:$N$18,"Missing game",0)</x:f>
        <x:v>dome</x:v>
      </x:c>
      <x:c r="AT2777" t="str">
        <x:f>_xlfn.XLOOKUP($A2777,Games!$A$2:$A$18,Games!$O$2:$O$18,"Missing game",0)</x:f>
        <x:v>sportturf</x:v>
      </x:c>
      <x:c r="AU2777" t="str">
        <x:f>_xlfn.XLOOKUP($A2777,Games!$A$2:$A$18,Games!$P$2:$P$18,"Missing game",0)</x:f>
      </x:c>
      <x:c r="AV2777" t="str">
        <x:f>_xlfn.XLOOKUP($A2777,Games!$A$2:$A$18,Games!$Q$2:$Q$18,"Missing game",0)</x:f>
      </x:c>
      <x:c r="AW2777" t="str">
        <x:f>_xlfn.XLOOKUP($A2777,Games!$A$2:$A$18,Games!$R$2:$R$18,"Missing game",0)</x:f>
        <x:v>U.S. Bank Stadium</x:v>
      </x:c>
    </x:row>
    <x:row r="2778">
      <x:c r="A2778" t="str">
        <x:v>2025_18_GB_MIN</x:v>
      </x:c>
      <x:c r="B2778" t="n">
        <x:v>3419</x:v>
      </x:c>
      <x:c r="C2778" t="n">
        <x:v>4</x:v>
      </x:c>
      <x:c r="D2778" t="str">
        <x:v>03:32</x:v>
      </x:c>
      <x:c r="E2778"/>
      <x:c r="F2778" t="n">
        <x:v>0</x:v>
      </x:c>
      <x:c r="G2778"/>
      <x:c r="H2778"/>
      <x:c r="I2778"/>
      <x:c r="J2778"/>
      <x:c r="K2778" t="str">
        <x:v>Timeout #2 by MIN at 03:32.</x:v>
      </x:c>
      <x:c r="L2778" t="str">
        <x:v>no_play</x:v>
      </x:c>
      <x:c r="M2778" t="n">
        <x:v>0</x:v>
      </x:c>
      <x:c r="N2778" t="n">
        <x:v>0</x:v>
      </x:c>
      <x:c r="O2778" t="n">
        <x:v>0</x:v>
      </x:c>
      <x:c r="P2778"/>
      <x:c r="Q2778"/>
      <x:c r="R2778"/>
      <x:c r="S2778"/>
      <x:c r="T2778"/>
      <x:c r="U2778"/>
      <x:c r="V2778" t="n">
        <x:v>0</x:v>
      </x:c>
      <x:c r="W2778" t="n">
        <x:v>0</x:v>
      </x:c>
      <x:c r="X2778" t="n">
        <x:v>0</x:v>
      </x:c>
      <x:c r="Y2778" t="n">
        <x:v>0</x:v>
      </x:c>
      <x:c r="Z2778" t="n">
        <x:v>0</x:v>
      </x:c>
      <x:c r="AA2778" t="n">
        <x:v>0</x:v>
      </x:c>
      <x:c r="AB2778"/>
      <x:c r="AC2778" t="n">
        <x:v>0</x:v>
      </x:c>
      <x:c r="AD2778" t="n">
        <x:v>0</x:v>
      </x:c>
      <x:c r="AE2778" t="n">
        <x:v>0</x:v>
      </x:c>
      <x:c r="AF2778" t="n">
        <x:v>0</x:v>
      </x:c>
      <x:c r="AG2778" t="n">
        <x:f>_xlfn.XLOOKUP($A2778,Games!$A$2:$A$18,Games!$B$2:$B$18,"Missing game",0)</x:f>
        <x:v>2025</x:v>
      </x:c>
      <x:c r="AH2778" t="str">
        <x:f>_xlfn.XLOOKUP($A2778,Games!$A$2:$A$18,Games!$C$2:$C$18,"Missing game",0)</x:f>
        <x:v>REG</x:v>
      </x:c>
      <x:c r="AI2778" t="n">
        <x:f>_xlfn.XLOOKUP($A2778,Games!$A$2:$A$18,Games!$D$2:$D$18,"Missing game",0)</x:f>
        <x:v>18</x:v>
      </x:c>
      <x:c r="AJ2778" s="1" t="n">
        <x:f>_xlfn.XLOOKUP($A2778,Games!$A$2:$A$18,Games!$E$2:$E$18,"Missing game",0)</x:f>
        <x:v>46026</x:v>
      </x:c>
      <x:c r="AK2778" t="str">
        <x:f>_xlfn.XLOOKUP($A2778,Games!$A$2:$A$18,Games!$F$2:$F$18,"Missing game",0)</x:f>
        <x:v>Sunday</x:v>
      </x:c>
      <x:c r="AL2778" t="str">
        <x:f>_xlfn.XLOOKUP($A2778,Games!$A$2:$A$18,Games!$G$2:$G$18,"Missing game",0)</x:f>
        <x:v>GB</x:v>
      </x:c>
      <x:c r="AM2778" t="n">
        <x:f>_xlfn.XLOOKUP($A2778,Games!$A$2:$A$18,Games!$H$2:$H$18,"Missing game",0)</x:f>
        <x:v>3</x:v>
      </x:c>
      <x:c r="AN2778" t="str">
        <x:f>_xlfn.XLOOKUP($A2778,Games!$A$2:$A$18,Games!$I$2:$I$18,"Missing game",0)</x:f>
        <x:v>MIN</x:v>
      </x:c>
      <x:c r="AO2778" t="n">
        <x:f>_xlfn.XLOOKUP($A2778,Games!$A$2:$A$18,Games!$J$2:$J$18,"Missing game",0)</x:f>
        <x:v>16</x:v>
      </x:c>
      <x:c r="AP2778" t="n">
        <x:f>_xlfn.XLOOKUP($A2778,Games!$A$2:$A$18,Games!$K$2:$K$18,"Missing game",0)</x:f>
        <x:v>13</x:v>
      </x:c>
      <x:c r="AQ2778" t="n">
        <x:f>_xlfn.XLOOKUP($A2778,Games!$A$2:$A$18,Games!$L$2:$L$18,"Missing game",0)</x:f>
        <x:v>19</x:v>
      </x:c>
      <x:c r="AR2778" t="n">
        <x:f>_xlfn.XLOOKUP($A2778,Games!$A$2:$A$18,Games!$M$2:$M$18,"Missing game",0)</x:f>
        <x:v>0</x:v>
      </x:c>
      <x:c r="AS2778" t="str">
        <x:f>_xlfn.XLOOKUP($A2778,Games!$A$2:$A$18,Games!$N$2:$N$18,"Missing game",0)</x:f>
        <x:v>dome</x:v>
      </x:c>
      <x:c r="AT2778" t="str">
        <x:f>_xlfn.XLOOKUP($A2778,Games!$A$2:$A$18,Games!$O$2:$O$18,"Missing game",0)</x:f>
        <x:v>sportturf</x:v>
      </x:c>
      <x:c r="AU2778" t="str">
        <x:f>_xlfn.XLOOKUP($A2778,Games!$A$2:$A$18,Games!$P$2:$P$18,"Missing game",0)</x:f>
      </x:c>
      <x:c r="AV2778" t="str">
        <x:f>_xlfn.XLOOKUP($A2778,Games!$A$2:$A$18,Games!$Q$2:$Q$18,"Missing game",0)</x:f>
      </x:c>
      <x:c r="AW2778" t="str">
        <x:f>_xlfn.XLOOKUP($A2778,Games!$A$2:$A$18,Games!$R$2:$R$18,"Missing game",0)</x:f>
        <x:v>U.S. Bank Stadium</x:v>
      </x:c>
    </x:row>
    <x:row r="2779">
      <x:c r="A2779" t="str">
        <x:v>2025_18_GB_MIN</x:v>
      </x:c>
      <x:c r="B2779" t="n">
        <x:v>3444</x:v>
      </x:c>
      <x:c r="C2779" t="n">
        <x:v>4</x:v>
      </x:c>
      <x:c r="D2779" t="str">
        <x:v>03:27</x:v>
      </x:c>
      <x:c r="E2779" t="n">
        <x:v>1</x:v>
      </x:c>
      <x:c r="F2779" t="n">
        <x:v>10</x:v>
      </x:c>
      <x:c r="G2779" t="str">
        <x:v>GB</x:v>
      </x:c>
      <x:c r="H2779" t="str">
        <x:v>MIN</x:v>
      </x:c>
      <x:c r="I2779" t="str">
        <x:v>MIN</x:v>
      </x:c>
      <x:c r="J2779" t="n">
        <x:v>49</x:v>
      </x:c>
      <x:c r="K2779" t="str">
        <x:v>(3:27) 30-C.Brooks left tackle to MIN 37 for 12 yards (26-T.Jackson).</x:v>
      </x:c>
      <x:c r="L2779" t="str">
        <x:v>run</x:v>
      </x:c>
      <x:c r="M2779" t="n">
        <x:v>12</x:v>
      </x:c>
      <x:c r="N2779" t="n">
        <x:v>0</x:v>
      </x:c>
      <x:c r="O2779" t="n">
        <x:v>0</x:v>
      </x:c>
      <x:c r="P2779"/>
      <x:c r="Q2779"/>
      <x:c r="R2779"/>
      <x:c r="S2779"/>
      <x:c r="T2779" t="str">
        <x:v>left</x:v>
      </x:c>
      <x:c r="U2779" t="str">
        <x:v>tackle</x:v>
      </x:c>
      <x:c r="V2779" t="n">
        <x:v>0</x:v>
      </x:c>
      <x:c r="W2779" t="n">
        <x:v>1</x:v>
      </x:c>
      <x:c r="X2779" t="n">
        <x:v>0</x:v>
      </x:c>
      <x:c r="Y2779" t="n">
        <x:v>0</x:v>
      </x:c>
      <x:c r="Z2779" t="n">
        <x:v>0</x:v>
      </x:c>
      <x:c r="AA2779" t="n">
        <x:v>0</x:v>
      </x:c>
      <x:c r="AB2779"/>
      <x:c r="AC2779" t="n">
        <x:v>0</x:v>
      </x:c>
      <x:c r="AD2779" t="n">
        <x:v>0.39344198227627203</x:v>
      </x:c>
      <x:c r="AE2779" t="n">
        <x:v>1</x:v>
      </x:c>
      <x:c r="AF2779" t="n">
        <x:v>-0.00045274593867361546</x:v>
      </x:c>
      <x:c r="AG2779" t="n">
        <x:f>_xlfn.XLOOKUP($A2779,Games!$A$2:$A$18,Games!$B$2:$B$18,"Missing game",0)</x:f>
        <x:v>2025</x:v>
      </x:c>
      <x:c r="AH2779" t="str">
        <x:f>_xlfn.XLOOKUP($A2779,Games!$A$2:$A$18,Games!$C$2:$C$18,"Missing game",0)</x:f>
        <x:v>REG</x:v>
      </x:c>
      <x:c r="AI2779" t="n">
        <x:f>_xlfn.XLOOKUP($A2779,Games!$A$2:$A$18,Games!$D$2:$D$18,"Missing game",0)</x:f>
        <x:v>18</x:v>
      </x:c>
      <x:c r="AJ2779" s="1" t="n">
        <x:f>_xlfn.XLOOKUP($A2779,Games!$A$2:$A$18,Games!$E$2:$E$18,"Missing game",0)</x:f>
        <x:v>46026</x:v>
      </x:c>
      <x:c r="AK2779" t="str">
        <x:f>_xlfn.XLOOKUP($A2779,Games!$A$2:$A$18,Games!$F$2:$F$18,"Missing game",0)</x:f>
        <x:v>Sunday</x:v>
      </x:c>
      <x:c r="AL2779" t="str">
        <x:f>_xlfn.XLOOKUP($A2779,Games!$A$2:$A$18,Games!$G$2:$G$18,"Missing game",0)</x:f>
        <x:v>GB</x:v>
      </x:c>
      <x:c r="AM2779" t="n">
        <x:f>_xlfn.XLOOKUP($A2779,Games!$A$2:$A$18,Games!$H$2:$H$18,"Missing game",0)</x:f>
        <x:v>3</x:v>
      </x:c>
      <x:c r="AN2779" t="str">
        <x:f>_xlfn.XLOOKUP($A2779,Games!$A$2:$A$18,Games!$I$2:$I$18,"Missing game",0)</x:f>
        <x:v>MIN</x:v>
      </x:c>
      <x:c r="AO2779" t="n">
        <x:f>_xlfn.XLOOKUP($A2779,Games!$A$2:$A$18,Games!$J$2:$J$18,"Missing game",0)</x:f>
        <x:v>16</x:v>
      </x:c>
      <x:c r="AP2779" t="n">
        <x:f>_xlfn.XLOOKUP($A2779,Games!$A$2:$A$18,Games!$K$2:$K$18,"Missing game",0)</x:f>
        <x:v>13</x:v>
      </x:c>
      <x:c r="AQ2779" t="n">
        <x:f>_xlfn.XLOOKUP($A2779,Games!$A$2:$A$18,Games!$L$2:$L$18,"Missing game",0)</x:f>
        <x:v>19</x:v>
      </x:c>
      <x:c r="AR2779" t="n">
        <x:f>_xlfn.XLOOKUP($A2779,Games!$A$2:$A$18,Games!$M$2:$M$18,"Missing game",0)</x:f>
        <x:v>0</x:v>
      </x:c>
      <x:c r="AS2779" t="str">
        <x:f>_xlfn.XLOOKUP($A2779,Games!$A$2:$A$18,Games!$N$2:$N$18,"Missing game",0)</x:f>
        <x:v>dome</x:v>
      </x:c>
      <x:c r="AT2779" t="str">
        <x:f>_xlfn.XLOOKUP($A2779,Games!$A$2:$A$18,Games!$O$2:$O$18,"Missing game",0)</x:f>
        <x:v>sportturf</x:v>
      </x:c>
      <x:c r="AU2779" t="str">
        <x:f>_xlfn.XLOOKUP($A2779,Games!$A$2:$A$18,Games!$P$2:$P$18,"Missing game",0)</x:f>
      </x:c>
      <x:c r="AV2779" t="str">
        <x:f>_xlfn.XLOOKUP($A2779,Games!$A$2:$A$18,Games!$Q$2:$Q$18,"Missing game",0)</x:f>
      </x:c>
      <x:c r="AW2779" t="str">
        <x:f>_xlfn.XLOOKUP($A2779,Games!$A$2:$A$18,Games!$R$2:$R$18,"Missing game",0)</x:f>
        <x:v>U.S. Bank Stadium</x:v>
      </x:c>
    </x:row>
    <x:row r="2780">
      <x:c r="A2780" t="str">
        <x:v>2025_18_GB_MIN</x:v>
      </x:c>
      <x:c r="B2780" t="n">
        <x:v>3466</x:v>
      </x:c>
      <x:c r="C2780" t="n">
        <x:v>4</x:v>
      </x:c>
      <x:c r="D2780" t="str">
        <x:v>02:52</x:v>
      </x:c>
      <x:c r="E2780" t="n">
        <x:v>1</x:v>
      </x:c>
      <x:c r="F2780" t="n">
        <x:v>10</x:v>
      </x:c>
      <x:c r="G2780" t="str">
        <x:v>GB</x:v>
      </x:c>
      <x:c r="H2780" t="str">
        <x:v>MIN</x:v>
      </x:c>
      <x:c r="I2780" t="str">
        <x:v>MIN</x:v>
      </x:c>
      <x:c r="J2780" t="n">
        <x:v>37</x:v>
      </x:c>
      <x:c r="K2780" t="str">
        <x:v>(2:52) 30-C.Brooks left tackle to MIN 32 for 5 yards (0-I.Pace; 51-B.Cashman).</x:v>
      </x:c>
      <x:c r="L2780" t="str">
        <x:v>run</x:v>
      </x:c>
      <x:c r="M2780" t="n">
        <x:v>5</x:v>
      </x:c>
      <x:c r="N2780" t="n">
        <x:v>0</x:v>
      </x:c>
      <x:c r="O2780" t="n">
        <x:v>0</x:v>
      </x:c>
      <x:c r="P2780"/>
      <x:c r="Q2780"/>
      <x:c r="R2780"/>
      <x:c r="S2780"/>
      <x:c r="T2780" t="str">
        <x:v>left</x:v>
      </x:c>
      <x:c r="U2780" t="str">
        <x:v>tackle</x:v>
      </x:c>
      <x:c r="V2780" t="n">
        <x:v>0</x:v>
      </x:c>
      <x:c r="W2780" t="n">
        <x:v>0</x:v>
      </x:c>
      <x:c r="X2780" t="n">
        <x:v>0</x:v>
      </x:c>
      <x:c r="Y2780" t="n">
        <x:v>0</x:v>
      </x:c>
      <x:c r="Z2780" t="n">
        <x:v>0</x:v>
      </x:c>
      <x:c r="AA2780" t="n">
        <x:v>0</x:v>
      </x:c>
      <x:c r="AB2780"/>
      <x:c r="AC2780" t="n">
        <x:v>0</x:v>
      </x:c>
      <x:c r="AD2780" t="n">
        <x:v>0.3786621489562094</x:v>
      </x:c>
      <x:c r="AE2780" t="n">
        <x:v>1</x:v>
      </x:c>
      <x:c r="AF2780" t="n">
        <x:v>-0.000728899147361517</x:v>
      </x:c>
      <x:c r="AG2780" t="n">
        <x:f>_xlfn.XLOOKUP($A2780,Games!$A$2:$A$18,Games!$B$2:$B$18,"Missing game",0)</x:f>
        <x:v>2025</x:v>
      </x:c>
      <x:c r="AH2780" t="str">
        <x:f>_xlfn.XLOOKUP($A2780,Games!$A$2:$A$18,Games!$C$2:$C$18,"Missing game",0)</x:f>
        <x:v>REG</x:v>
      </x:c>
      <x:c r="AI2780" t="n">
        <x:f>_xlfn.XLOOKUP($A2780,Games!$A$2:$A$18,Games!$D$2:$D$18,"Missing game",0)</x:f>
        <x:v>18</x:v>
      </x:c>
      <x:c r="AJ2780" s="1" t="n">
        <x:f>_xlfn.XLOOKUP($A2780,Games!$A$2:$A$18,Games!$E$2:$E$18,"Missing game",0)</x:f>
        <x:v>46026</x:v>
      </x:c>
      <x:c r="AK2780" t="str">
        <x:f>_xlfn.XLOOKUP($A2780,Games!$A$2:$A$18,Games!$F$2:$F$18,"Missing game",0)</x:f>
        <x:v>Sunday</x:v>
      </x:c>
      <x:c r="AL2780" t="str">
        <x:f>_xlfn.XLOOKUP($A2780,Games!$A$2:$A$18,Games!$G$2:$G$18,"Missing game",0)</x:f>
        <x:v>GB</x:v>
      </x:c>
      <x:c r="AM2780" t="n">
        <x:f>_xlfn.XLOOKUP($A2780,Games!$A$2:$A$18,Games!$H$2:$H$18,"Missing game",0)</x:f>
        <x:v>3</x:v>
      </x:c>
      <x:c r="AN2780" t="str">
        <x:f>_xlfn.XLOOKUP($A2780,Games!$A$2:$A$18,Games!$I$2:$I$18,"Missing game",0)</x:f>
        <x:v>MIN</x:v>
      </x:c>
      <x:c r="AO2780" t="n">
        <x:f>_xlfn.XLOOKUP($A2780,Games!$A$2:$A$18,Games!$J$2:$J$18,"Missing game",0)</x:f>
        <x:v>16</x:v>
      </x:c>
      <x:c r="AP2780" t="n">
        <x:f>_xlfn.XLOOKUP($A2780,Games!$A$2:$A$18,Games!$K$2:$K$18,"Missing game",0)</x:f>
        <x:v>13</x:v>
      </x:c>
      <x:c r="AQ2780" t="n">
        <x:f>_xlfn.XLOOKUP($A2780,Games!$A$2:$A$18,Games!$L$2:$L$18,"Missing game",0)</x:f>
        <x:v>19</x:v>
      </x:c>
      <x:c r="AR2780" t="n">
        <x:f>_xlfn.XLOOKUP($A2780,Games!$A$2:$A$18,Games!$M$2:$M$18,"Missing game",0)</x:f>
        <x:v>0</x:v>
      </x:c>
      <x:c r="AS2780" t="str">
        <x:f>_xlfn.XLOOKUP($A2780,Games!$A$2:$A$18,Games!$N$2:$N$18,"Missing game",0)</x:f>
        <x:v>dome</x:v>
      </x:c>
      <x:c r="AT2780" t="str">
        <x:f>_xlfn.XLOOKUP($A2780,Games!$A$2:$A$18,Games!$O$2:$O$18,"Missing game",0)</x:f>
        <x:v>sportturf</x:v>
      </x:c>
      <x:c r="AU2780" t="str">
        <x:f>_xlfn.XLOOKUP($A2780,Games!$A$2:$A$18,Games!$P$2:$P$18,"Missing game",0)</x:f>
      </x:c>
      <x:c r="AV2780" t="str">
        <x:f>_xlfn.XLOOKUP($A2780,Games!$A$2:$A$18,Games!$Q$2:$Q$18,"Missing game",0)</x:f>
      </x:c>
      <x:c r="AW2780" t="str">
        <x:f>_xlfn.XLOOKUP($A2780,Games!$A$2:$A$18,Games!$R$2:$R$18,"Missing game",0)</x:f>
        <x:v>U.S. Bank Stadium</x:v>
      </x:c>
    </x:row>
    <x:row r="2781">
      <x:c r="A2781" t="str">
        <x:v>2025_18_GB_MIN</x:v>
      </x:c>
      <x:c r="B2781" t="n">
        <x:v>3488</x:v>
      </x:c>
      <x:c r="C2781" t="n">
        <x:v>4</x:v>
      </x:c>
      <x:c r="D2781" t="str">
        <x:v>02:20</x:v>
      </x:c>
      <x:c r="E2781" t="n">
        <x:v>2</x:v>
      </x:c>
      <x:c r="F2781" t="n">
        <x:v>5</x:v>
      </x:c>
      <x:c r="G2781" t="str">
        <x:v>GB</x:v>
      </x:c>
      <x:c r="H2781" t="str">
        <x:v>MIN</x:v>
      </x:c>
      <x:c r="I2781" t="str">
        <x:v>MIN</x:v>
      </x:c>
      <x:c r="J2781" t="n">
        <x:v>32</x:v>
      </x:c>
      <x:c r="K2781" t="str">
        <x:v>(2:20) 23-E.Wilson right tackle to MIN 28 for 4 yards (0-I.Pace).</x:v>
      </x:c>
      <x:c r="L2781" t="str">
        <x:v>run</x:v>
      </x:c>
      <x:c r="M2781" t="n">
        <x:v>4</x:v>
      </x:c>
      <x:c r="N2781" t="n">
        <x:v>0</x:v>
      </x:c>
      <x:c r="O2781" t="n">
        <x:v>0</x:v>
      </x:c>
      <x:c r="P2781"/>
      <x:c r="Q2781"/>
      <x:c r="R2781"/>
      <x:c r="S2781"/>
      <x:c r="T2781" t="str">
        <x:v>right</x:v>
      </x:c>
      <x:c r="U2781" t="str">
        <x:v>tackle</x:v>
      </x:c>
      <x:c r="V2781" t="n">
        <x:v>0</x:v>
      </x:c>
      <x:c r="W2781" t="n">
        <x:v>0</x:v>
      </x:c>
      <x:c r="X2781" t="n">
        <x:v>0</x:v>
      </x:c>
      <x:c r="Y2781" t="n">
        <x:v>0</x:v>
      </x:c>
      <x:c r="Z2781" t="n">
        <x:v>0</x:v>
      </x:c>
      <x:c r="AA2781" t="n">
        <x:v>0</x:v>
      </x:c>
      <x:c r="AB2781"/>
      <x:c r="AC2781" t="n">
        <x:v>0</x:v>
      </x:c>
      <x:c r="AD2781" t="n">
        <x:v>0.0041720488807186484</x:v>
      </x:c>
      <x:c r="AE2781" t="n">
        <x:v>1</x:v>
      </x:c>
      <x:c r="AF2781" t="n">
        <x:v>0.00007469253614544868</x:v>
      </x:c>
      <x:c r="AG2781" t="n">
        <x:f>_xlfn.XLOOKUP($A2781,Games!$A$2:$A$18,Games!$B$2:$B$18,"Missing game",0)</x:f>
        <x:v>2025</x:v>
      </x:c>
      <x:c r="AH2781" t="str">
        <x:f>_xlfn.XLOOKUP($A2781,Games!$A$2:$A$18,Games!$C$2:$C$18,"Missing game",0)</x:f>
        <x:v>REG</x:v>
      </x:c>
      <x:c r="AI2781" t="n">
        <x:f>_xlfn.XLOOKUP($A2781,Games!$A$2:$A$18,Games!$D$2:$D$18,"Missing game",0)</x:f>
        <x:v>18</x:v>
      </x:c>
      <x:c r="AJ2781" s="1" t="n">
        <x:f>_xlfn.XLOOKUP($A2781,Games!$A$2:$A$18,Games!$E$2:$E$18,"Missing game",0)</x:f>
        <x:v>46026</x:v>
      </x:c>
      <x:c r="AK2781" t="str">
        <x:f>_xlfn.XLOOKUP($A2781,Games!$A$2:$A$18,Games!$F$2:$F$18,"Missing game",0)</x:f>
        <x:v>Sunday</x:v>
      </x:c>
      <x:c r="AL2781" t="str">
        <x:f>_xlfn.XLOOKUP($A2781,Games!$A$2:$A$18,Games!$G$2:$G$18,"Missing game",0)</x:f>
        <x:v>GB</x:v>
      </x:c>
      <x:c r="AM2781" t="n">
        <x:f>_xlfn.XLOOKUP($A2781,Games!$A$2:$A$18,Games!$H$2:$H$18,"Missing game",0)</x:f>
        <x:v>3</x:v>
      </x:c>
      <x:c r="AN2781" t="str">
        <x:f>_xlfn.XLOOKUP($A2781,Games!$A$2:$A$18,Games!$I$2:$I$18,"Missing game",0)</x:f>
        <x:v>MIN</x:v>
      </x:c>
      <x:c r="AO2781" t="n">
        <x:f>_xlfn.XLOOKUP($A2781,Games!$A$2:$A$18,Games!$J$2:$J$18,"Missing game",0)</x:f>
        <x:v>16</x:v>
      </x:c>
      <x:c r="AP2781" t="n">
        <x:f>_xlfn.XLOOKUP($A2781,Games!$A$2:$A$18,Games!$K$2:$K$18,"Missing game",0)</x:f>
        <x:v>13</x:v>
      </x:c>
      <x:c r="AQ2781" t="n">
        <x:f>_xlfn.XLOOKUP($A2781,Games!$A$2:$A$18,Games!$L$2:$L$18,"Missing game",0)</x:f>
        <x:v>19</x:v>
      </x:c>
      <x:c r="AR2781" t="n">
        <x:f>_xlfn.XLOOKUP($A2781,Games!$A$2:$A$18,Games!$M$2:$M$18,"Missing game",0)</x:f>
        <x:v>0</x:v>
      </x:c>
      <x:c r="AS2781" t="str">
        <x:f>_xlfn.XLOOKUP($A2781,Games!$A$2:$A$18,Games!$N$2:$N$18,"Missing game",0)</x:f>
        <x:v>dome</x:v>
      </x:c>
      <x:c r="AT2781" t="str">
        <x:f>_xlfn.XLOOKUP($A2781,Games!$A$2:$A$18,Games!$O$2:$O$18,"Missing game",0)</x:f>
        <x:v>sportturf</x:v>
      </x:c>
      <x:c r="AU2781" t="str">
        <x:f>_xlfn.XLOOKUP($A2781,Games!$A$2:$A$18,Games!$P$2:$P$18,"Missing game",0)</x:f>
      </x:c>
      <x:c r="AV2781" t="str">
        <x:f>_xlfn.XLOOKUP($A2781,Games!$A$2:$A$18,Games!$Q$2:$Q$18,"Missing game",0)</x:f>
      </x:c>
      <x:c r="AW2781" t="str">
        <x:f>_xlfn.XLOOKUP($A2781,Games!$A$2:$A$18,Games!$R$2:$R$18,"Missing game",0)</x:f>
        <x:v>U.S. Bank Stadium</x:v>
      </x:c>
    </x:row>
    <x:row r="2782">
      <x:c r="A2782" t="str">
        <x:v>2025_18_GB_MIN</x:v>
      </x:c>
      <x:c r="B2782" t="n">
        <x:v>3510</x:v>
      </x:c>
      <x:c r="C2782" t="n">
        <x:v>4</x:v>
      </x:c>
      <x:c r="D2782" t="str">
        <x:v>02:00</x:v>
      </x:c>
      <x:c r="E2782" t="n">
        <x:v>3</x:v>
      </x:c>
      <x:c r="F2782" t="n">
        <x:v>1</x:v>
      </x:c>
      <x:c r="G2782" t="str">
        <x:v>GB</x:v>
      </x:c>
      <x:c r="H2782" t="str">
        <x:v>MIN</x:v>
      </x:c>
      <x:c r="I2782" t="str">
        <x:v>MIN</x:v>
      </x:c>
      <x:c r="J2782" t="n">
        <x:v>28</x:v>
      </x:c>
      <x:c r="K2782" t="str">
        <x:v>(2:00) 23-E.Wilson left end ran ob at MIN 23 for 5 yards (26-T.Jackson).</x:v>
      </x:c>
      <x:c r="L2782" t="str">
        <x:v>run</x:v>
      </x:c>
      <x:c r="M2782" t="n">
        <x:v>5</x:v>
      </x:c>
      <x:c r="N2782" t="n">
        <x:v>0</x:v>
      </x:c>
      <x:c r="O2782" t="n">
        <x:v>0</x:v>
      </x:c>
      <x:c r="P2782"/>
      <x:c r="Q2782"/>
      <x:c r="R2782"/>
      <x:c r="S2782"/>
      <x:c r="T2782" t="str">
        <x:v>left</x:v>
      </x:c>
      <x:c r="U2782" t="str">
        <x:v>end</x:v>
      </x:c>
      <x:c r="V2782" t="n">
        <x:v>0</x:v>
      </x:c>
      <x:c r="W2782" t="n">
        <x:v>1</x:v>
      </x:c>
      <x:c r="X2782" t="n">
        <x:v>0</x:v>
      </x:c>
      <x:c r="Y2782" t="n">
        <x:v>0</x:v>
      </x:c>
      <x:c r="Z2782" t="n">
        <x:v>0</x:v>
      </x:c>
      <x:c r="AA2782" t="n">
        <x:v>0</x:v>
      </x:c>
      <x:c r="AB2782"/>
      <x:c r="AC2782" t="n">
        <x:v>0</x:v>
      </x:c>
      <x:c r="AD2782" t="n">
        <x:v>0.7545904739527032</x:v>
      </x:c>
      <x:c r="AE2782" t="n">
        <x:v>1</x:v>
      </x:c>
      <x:c r="AF2782" t="n">
        <x:v>-0.00023445626720786095</x:v>
      </x:c>
      <x:c r="AG2782" t="n">
        <x:f>_xlfn.XLOOKUP($A2782,Games!$A$2:$A$18,Games!$B$2:$B$18,"Missing game",0)</x:f>
        <x:v>2025</x:v>
      </x:c>
      <x:c r="AH2782" t="str">
        <x:f>_xlfn.XLOOKUP($A2782,Games!$A$2:$A$18,Games!$C$2:$C$18,"Missing game",0)</x:f>
        <x:v>REG</x:v>
      </x:c>
      <x:c r="AI2782" t="n">
        <x:f>_xlfn.XLOOKUP($A2782,Games!$A$2:$A$18,Games!$D$2:$D$18,"Missing game",0)</x:f>
        <x:v>18</x:v>
      </x:c>
      <x:c r="AJ2782" s="1" t="n">
        <x:f>_xlfn.XLOOKUP($A2782,Games!$A$2:$A$18,Games!$E$2:$E$18,"Missing game",0)</x:f>
        <x:v>46026</x:v>
      </x:c>
      <x:c r="AK2782" t="str">
        <x:f>_xlfn.XLOOKUP($A2782,Games!$A$2:$A$18,Games!$F$2:$F$18,"Missing game",0)</x:f>
        <x:v>Sunday</x:v>
      </x:c>
      <x:c r="AL2782" t="str">
        <x:f>_xlfn.XLOOKUP($A2782,Games!$A$2:$A$18,Games!$G$2:$G$18,"Missing game",0)</x:f>
        <x:v>GB</x:v>
      </x:c>
      <x:c r="AM2782" t="n">
        <x:f>_xlfn.XLOOKUP($A2782,Games!$A$2:$A$18,Games!$H$2:$H$18,"Missing game",0)</x:f>
        <x:v>3</x:v>
      </x:c>
      <x:c r="AN2782" t="str">
        <x:f>_xlfn.XLOOKUP($A2782,Games!$A$2:$A$18,Games!$I$2:$I$18,"Missing game",0)</x:f>
        <x:v>MIN</x:v>
      </x:c>
      <x:c r="AO2782" t="n">
        <x:f>_xlfn.XLOOKUP($A2782,Games!$A$2:$A$18,Games!$J$2:$J$18,"Missing game",0)</x:f>
        <x:v>16</x:v>
      </x:c>
      <x:c r="AP2782" t="n">
        <x:f>_xlfn.XLOOKUP($A2782,Games!$A$2:$A$18,Games!$K$2:$K$18,"Missing game",0)</x:f>
        <x:v>13</x:v>
      </x:c>
      <x:c r="AQ2782" t="n">
        <x:f>_xlfn.XLOOKUP($A2782,Games!$A$2:$A$18,Games!$L$2:$L$18,"Missing game",0)</x:f>
        <x:v>19</x:v>
      </x:c>
      <x:c r="AR2782" t="n">
        <x:f>_xlfn.XLOOKUP($A2782,Games!$A$2:$A$18,Games!$M$2:$M$18,"Missing game",0)</x:f>
        <x:v>0</x:v>
      </x:c>
      <x:c r="AS2782" t="str">
        <x:f>_xlfn.XLOOKUP($A2782,Games!$A$2:$A$18,Games!$N$2:$N$18,"Missing game",0)</x:f>
        <x:v>dome</x:v>
      </x:c>
      <x:c r="AT2782" t="str">
        <x:f>_xlfn.XLOOKUP($A2782,Games!$A$2:$A$18,Games!$O$2:$O$18,"Missing game",0)</x:f>
        <x:v>sportturf</x:v>
      </x:c>
      <x:c r="AU2782" t="str">
        <x:f>_xlfn.XLOOKUP($A2782,Games!$A$2:$A$18,Games!$P$2:$P$18,"Missing game",0)</x:f>
      </x:c>
      <x:c r="AV2782" t="str">
        <x:f>_xlfn.XLOOKUP($A2782,Games!$A$2:$A$18,Games!$Q$2:$Q$18,"Missing game",0)</x:f>
      </x:c>
      <x:c r="AW2782" t="str">
        <x:f>_xlfn.XLOOKUP($A2782,Games!$A$2:$A$18,Games!$R$2:$R$18,"Missing game",0)</x:f>
        <x:v>U.S. Bank Stadium</x:v>
      </x:c>
    </x:row>
    <x:row r="2783">
      <x:c r="A2783" t="str">
        <x:v>2025_18_GB_MIN</x:v>
      </x:c>
      <x:c r="B2783" t="n">
        <x:v>3544</x:v>
      </x:c>
      <x:c r="C2783" t="n">
        <x:v>4</x:v>
      </x:c>
      <x:c r="D2783" t="str">
        <x:v>01:55</x:v>
      </x:c>
      <x:c r="E2783" t="n">
        <x:v>1</x:v>
      </x:c>
      <x:c r="F2783" t="n">
        <x:v>10</x:v>
      </x:c>
      <x:c r="G2783" t="str">
        <x:v>GB</x:v>
      </x:c>
      <x:c r="H2783" t="str">
        <x:v>MIN</x:v>
      </x:c>
      <x:c r="I2783" t="str">
        <x:v>MIN</x:v>
      </x:c>
      <x:c r="J2783" t="n">
        <x:v>23</x:v>
      </x:c>
      <x:c r="K2783" t="str">
        <x:v>(1:55) 6-C.Tune pass short right to 81-J.Whyle to MIN 19 for 4 yards (98-B.Richter).</x:v>
      </x:c>
      <x:c r="L2783" t="str">
        <x:v>pass</x:v>
      </x:c>
      <x:c r="M2783" t="n">
        <x:v>4</x:v>
      </x:c>
      <x:c r="N2783" t="n">
        <x:v>0</x:v>
      </x:c>
      <x:c r="O2783" t="n">
        <x:v>0</x:v>
      </x:c>
      <x:c r="P2783" t="str">
        <x:v>short</x:v>
      </x:c>
      <x:c r="Q2783" t="str">
        <x:v>right</x:v>
      </x:c>
      <x:c r="R2783" t="n">
        <x:v>-1</x:v>
      </x:c>
      <x:c r="S2783" t="n">
        <x:v>5</x:v>
      </x:c>
      <x:c r="T2783"/>
      <x:c r="U2783"/>
      <x:c r="V2783" t="n">
        <x:v>1</x:v>
      </x:c>
      <x:c r="W2783" t="n">
        <x:v>0</x:v>
      </x:c>
      <x:c r="X2783" t="n">
        <x:v>0</x:v>
      </x:c>
      <x:c r="Y2783" t="n">
        <x:v>0</x:v>
      </x:c>
      <x:c r="Z2783" t="n">
        <x:v>0</x:v>
      </x:c>
      <x:c r="AA2783" t="n">
        <x:v>0</x:v>
      </x:c>
      <x:c r="AB2783"/>
      <x:c r="AC2783" t="n">
        <x:v>0</x:v>
      </x:c>
      <x:c r="AD2783" t="n">
        <x:v>-0.0503896827576682</x:v>
      </x:c>
      <x:c r="AE2783" t="n">
        <x:v>0</x:v>
      </x:c>
      <x:c r="AF2783" t="n">
        <x:v>0.0003963515628129244</x:v>
      </x:c>
      <x:c r="AG2783" t="n">
        <x:f>_xlfn.XLOOKUP($A2783,Games!$A$2:$A$18,Games!$B$2:$B$18,"Missing game",0)</x:f>
        <x:v>2025</x:v>
      </x:c>
      <x:c r="AH2783" t="str">
        <x:f>_xlfn.XLOOKUP($A2783,Games!$A$2:$A$18,Games!$C$2:$C$18,"Missing game",0)</x:f>
        <x:v>REG</x:v>
      </x:c>
      <x:c r="AI2783" t="n">
        <x:f>_xlfn.XLOOKUP($A2783,Games!$A$2:$A$18,Games!$D$2:$D$18,"Missing game",0)</x:f>
        <x:v>18</x:v>
      </x:c>
      <x:c r="AJ2783" s="1" t="n">
        <x:f>_xlfn.XLOOKUP($A2783,Games!$A$2:$A$18,Games!$E$2:$E$18,"Missing game",0)</x:f>
        <x:v>46026</x:v>
      </x:c>
      <x:c r="AK2783" t="str">
        <x:f>_xlfn.XLOOKUP($A2783,Games!$A$2:$A$18,Games!$F$2:$F$18,"Missing game",0)</x:f>
        <x:v>Sunday</x:v>
      </x:c>
      <x:c r="AL2783" t="str">
        <x:f>_xlfn.XLOOKUP($A2783,Games!$A$2:$A$18,Games!$G$2:$G$18,"Missing game",0)</x:f>
        <x:v>GB</x:v>
      </x:c>
      <x:c r="AM2783" t="n">
        <x:f>_xlfn.XLOOKUP($A2783,Games!$A$2:$A$18,Games!$H$2:$H$18,"Missing game",0)</x:f>
        <x:v>3</x:v>
      </x:c>
      <x:c r="AN2783" t="str">
        <x:f>_xlfn.XLOOKUP($A2783,Games!$A$2:$A$18,Games!$I$2:$I$18,"Missing game",0)</x:f>
        <x:v>MIN</x:v>
      </x:c>
      <x:c r="AO2783" t="n">
        <x:f>_xlfn.XLOOKUP($A2783,Games!$A$2:$A$18,Games!$J$2:$J$18,"Missing game",0)</x:f>
        <x:v>16</x:v>
      </x:c>
      <x:c r="AP2783" t="n">
        <x:f>_xlfn.XLOOKUP($A2783,Games!$A$2:$A$18,Games!$K$2:$K$18,"Missing game",0)</x:f>
        <x:v>13</x:v>
      </x:c>
      <x:c r="AQ2783" t="n">
        <x:f>_xlfn.XLOOKUP($A2783,Games!$A$2:$A$18,Games!$L$2:$L$18,"Missing game",0)</x:f>
        <x:v>19</x:v>
      </x:c>
      <x:c r="AR2783" t="n">
        <x:f>_xlfn.XLOOKUP($A2783,Games!$A$2:$A$18,Games!$M$2:$M$18,"Missing game",0)</x:f>
        <x:v>0</x:v>
      </x:c>
      <x:c r="AS2783" t="str">
        <x:f>_xlfn.XLOOKUP($A2783,Games!$A$2:$A$18,Games!$N$2:$N$18,"Missing game",0)</x:f>
        <x:v>dome</x:v>
      </x:c>
      <x:c r="AT2783" t="str">
        <x:f>_xlfn.XLOOKUP($A2783,Games!$A$2:$A$18,Games!$O$2:$O$18,"Missing game",0)</x:f>
        <x:v>sportturf</x:v>
      </x:c>
      <x:c r="AU2783" t="str">
        <x:f>_xlfn.XLOOKUP($A2783,Games!$A$2:$A$18,Games!$P$2:$P$18,"Missing game",0)</x:f>
      </x:c>
      <x:c r="AV2783" t="str">
        <x:f>_xlfn.XLOOKUP($A2783,Games!$A$2:$A$18,Games!$Q$2:$Q$18,"Missing game",0)</x:f>
      </x:c>
      <x:c r="AW2783" t="str">
        <x:f>_xlfn.XLOOKUP($A2783,Games!$A$2:$A$18,Games!$R$2:$R$18,"Missing game",0)</x:f>
        <x:v>U.S. Bank Stadium</x:v>
      </x:c>
    </x:row>
    <x:row r="2784">
      <x:c r="A2784" t="str">
        <x:v>2025_18_GB_MIN</x:v>
      </x:c>
      <x:c r="B2784" t="n">
        <x:v>3569</x:v>
      </x:c>
      <x:c r="C2784" t="n">
        <x:v>4</x:v>
      </x:c>
      <x:c r="D2784" t="str">
        <x:v>01:26</x:v>
      </x:c>
      <x:c r="E2784" t="n">
        <x:v>2</x:v>
      </x:c>
      <x:c r="F2784" t="n">
        <x:v>6</x:v>
      </x:c>
      <x:c r="G2784" t="str">
        <x:v>GB</x:v>
      </x:c>
      <x:c r="H2784" t="str">
        <x:v>MIN</x:v>
      </x:c>
      <x:c r="I2784" t="str">
        <x:v>MIN</x:v>
      </x:c>
      <x:c r="J2784" t="n">
        <x:v>19</x:v>
      </x:c>
      <x:c r="K2784" t="str">
        <x:v>(1:26) 23-E.Wilson left tackle to MIN 14 for 5 yards (0-I.Pace).</x:v>
      </x:c>
      <x:c r="L2784" t="str">
        <x:v>run</x:v>
      </x:c>
      <x:c r="M2784" t="n">
        <x:v>5</x:v>
      </x:c>
      <x:c r="N2784" t="n">
        <x:v>0</x:v>
      </x:c>
      <x:c r="O2784" t="n">
        <x:v>0</x:v>
      </x:c>
      <x:c r="P2784"/>
      <x:c r="Q2784"/>
      <x:c r="R2784"/>
      <x:c r="S2784"/>
      <x:c r="T2784" t="str">
        <x:v>left</x:v>
      </x:c>
      <x:c r="U2784" t="str">
        <x:v>tackle</x:v>
      </x:c>
      <x:c r="V2784" t="n">
        <x:v>0</x:v>
      </x:c>
      <x:c r="W2784" t="n">
        <x:v>0</x:v>
      </x:c>
      <x:c r="X2784" t="n">
        <x:v>0</x:v>
      </x:c>
      <x:c r="Y2784" t="n">
        <x:v>0</x:v>
      </x:c>
      <x:c r="Z2784" t="n">
        <x:v>0</x:v>
      </x:c>
      <x:c r="AA2784" t="n">
        <x:v>0</x:v>
      </x:c>
      <x:c r="AB2784"/>
      <x:c r="AC2784" t="n">
        <x:v>0</x:v>
      </x:c>
      <x:c r="AD2784" t="n">
        <x:v>0.5696538492920808</x:v>
      </x:c>
      <x:c r="AE2784" t="n">
        <x:v>1</x:v>
      </x:c>
      <x:c r="AF2784" t="n">
        <x:v>0.0013006434310227633</x:v>
      </x:c>
      <x:c r="AG2784" t="n">
        <x:f>_xlfn.XLOOKUP($A2784,Games!$A$2:$A$18,Games!$B$2:$B$18,"Missing game",0)</x:f>
        <x:v>2025</x:v>
      </x:c>
      <x:c r="AH2784" t="str">
        <x:f>_xlfn.XLOOKUP($A2784,Games!$A$2:$A$18,Games!$C$2:$C$18,"Missing game",0)</x:f>
        <x:v>REG</x:v>
      </x:c>
      <x:c r="AI2784" t="n">
        <x:f>_xlfn.XLOOKUP($A2784,Games!$A$2:$A$18,Games!$D$2:$D$18,"Missing game",0)</x:f>
        <x:v>18</x:v>
      </x:c>
      <x:c r="AJ2784" s="1" t="n">
        <x:f>_xlfn.XLOOKUP($A2784,Games!$A$2:$A$18,Games!$E$2:$E$18,"Missing game",0)</x:f>
        <x:v>46026</x:v>
      </x:c>
      <x:c r="AK2784" t="str">
        <x:f>_xlfn.XLOOKUP($A2784,Games!$A$2:$A$18,Games!$F$2:$F$18,"Missing game",0)</x:f>
        <x:v>Sunday</x:v>
      </x:c>
      <x:c r="AL2784" t="str">
        <x:f>_xlfn.XLOOKUP($A2784,Games!$A$2:$A$18,Games!$G$2:$G$18,"Missing game",0)</x:f>
        <x:v>GB</x:v>
      </x:c>
      <x:c r="AM2784" t="n">
        <x:f>_xlfn.XLOOKUP($A2784,Games!$A$2:$A$18,Games!$H$2:$H$18,"Missing game",0)</x:f>
        <x:v>3</x:v>
      </x:c>
      <x:c r="AN2784" t="str">
        <x:f>_xlfn.XLOOKUP($A2784,Games!$A$2:$A$18,Games!$I$2:$I$18,"Missing game",0)</x:f>
        <x:v>MIN</x:v>
      </x:c>
      <x:c r="AO2784" t="n">
        <x:f>_xlfn.XLOOKUP($A2784,Games!$A$2:$A$18,Games!$J$2:$J$18,"Missing game",0)</x:f>
        <x:v>16</x:v>
      </x:c>
      <x:c r="AP2784" t="n">
        <x:f>_xlfn.XLOOKUP($A2784,Games!$A$2:$A$18,Games!$K$2:$K$18,"Missing game",0)</x:f>
        <x:v>13</x:v>
      </x:c>
      <x:c r="AQ2784" t="n">
        <x:f>_xlfn.XLOOKUP($A2784,Games!$A$2:$A$18,Games!$L$2:$L$18,"Missing game",0)</x:f>
        <x:v>19</x:v>
      </x:c>
      <x:c r="AR2784" t="n">
        <x:f>_xlfn.XLOOKUP($A2784,Games!$A$2:$A$18,Games!$M$2:$M$18,"Missing game",0)</x:f>
        <x:v>0</x:v>
      </x:c>
      <x:c r="AS2784" t="str">
        <x:f>_xlfn.XLOOKUP($A2784,Games!$A$2:$A$18,Games!$N$2:$N$18,"Missing game",0)</x:f>
        <x:v>dome</x:v>
      </x:c>
      <x:c r="AT2784" t="str">
        <x:f>_xlfn.XLOOKUP($A2784,Games!$A$2:$A$18,Games!$O$2:$O$18,"Missing game",0)</x:f>
        <x:v>sportturf</x:v>
      </x:c>
      <x:c r="AU2784" t="str">
        <x:f>_xlfn.XLOOKUP($A2784,Games!$A$2:$A$18,Games!$P$2:$P$18,"Missing game",0)</x:f>
      </x:c>
      <x:c r="AV2784" t="str">
        <x:f>_xlfn.XLOOKUP($A2784,Games!$A$2:$A$18,Games!$Q$2:$Q$18,"Missing game",0)</x:f>
      </x:c>
      <x:c r="AW2784" t="str">
        <x:f>_xlfn.XLOOKUP($A2784,Games!$A$2:$A$18,Games!$R$2:$R$18,"Missing game",0)</x:f>
        <x:v>U.S. Bank Stadium</x:v>
      </x:c>
    </x:row>
    <x:row r="2785">
      <x:c r="A2785" t="str">
        <x:v>2025_18_GB_MIN</x:v>
      </x:c>
      <x:c r="B2785" t="n">
        <x:v>3591</x:v>
      </x:c>
      <x:c r="C2785" t="n">
        <x:v>4</x:v>
      </x:c>
      <x:c r="D2785" t="str">
        <x:v>00:59</x:v>
      </x:c>
      <x:c r="E2785" t="n">
        <x:v>3</x:v>
      </x:c>
      <x:c r="F2785" t="n">
        <x:v>1</x:v>
      </x:c>
      <x:c r="G2785" t="str">
        <x:v>GB</x:v>
      </x:c>
      <x:c r="H2785" t="str">
        <x:v>MIN</x:v>
      </x:c>
      <x:c r="I2785" t="str">
        <x:v>MIN</x:v>
      </x:c>
      <x:c r="J2785" t="n">
        <x:v>14</x:v>
      </x:c>
      <x:c r="K2785" t="str">
        <x:v>(:59) 23-E.Wilson right tackle to MIN 11 for 3 yards (0-I.Pace).</x:v>
      </x:c>
      <x:c r="L2785" t="str">
        <x:v>run</x:v>
      </x:c>
      <x:c r="M2785" t="n">
        <x:v>3</x:v>
      </x:c>
      <x:c r="N2785" t="n">
        <x:v>0</x:v>
      </x:c>
      <x:c r="O2785" t="n">
        <x:v>0</x:v>
      </x:c>
      <x:c r="P2785"/>
      <x:c r="Q2785"/>
      <x:c r="R2785"/>
      <x:c r="S2785"/>
      <x:c r="T2785" t="str">
        <x:v>right</x:v>
      </x:c>
      <x:c r="U2785" t="str">
        <x:v>tackle</x:v>
      </x:c>
      <x:c r="V2785" t="n">
        <x:v>0</x:v>
      </x:c>
      <x:c r="W2785" t="n">
        <x:v>1</x:v>
      </x:c>
      <x:c r="X2785" t="n">
        <x:v>0</x:v>
      </x:c>
      <x:c r="Y2785" t="n">
        <x:v>0</x:v>
      </x:c>
      <x:c r="Z2785" t="n">
        <x:v>0</x:v>
      </x:c>
      <x:c r="AA2785" t="n">
        <x:v>0</x:v>
      </x:c>
      <x:c r="AB2785"/>
      <x:c r="AC2785" t="n">
        <x:v>0</x:v>
      </x:c>
      <x:c r="AD2785" t="n">
        <x:v>0.10535020387033</x:v>
      </x:c>
      <x:c r="AE2785" t="n">
        <x:v>1</x:v>
      </x:c>
      <x:c r="AF2785" t="n">
        <x:v>0.0007592653855681419</x:v>
      </x:c>
      <x:c r="AG2785" t="n">
        <x:f>_xlfn.XLOOKUP($A2785,Games!$A$2:$A$18,Games!$B$2:$B$18,"Missing game",0)</x:f>
        <x:v>2025</x:v>
      </x:c>
      <x:c r="AH2785" t="str">
        <x:f>_xlfn.XLOOKUP($A2785,Games!$A$2:$A$18,Games!$C$2:$C$18,"Missing game",0)</x:f>
        <x:v>REG</x:v>
      </x:c>
      <x:c r="AI2785" t="n">
        <x:f>_xlfn.XLOOKUP($A2785,Games!$A$2:$A$18,Games!$D$2:$D$18,"Missing game",0)</x:f>
        <x:v>18</x:v>
      </x:c>
      <x:c r="AJ2785" s="1" t="n">
        <x:f>_xlfn.XLOOKUP($A2785,Games!$A$2:$A$18,Games!$E$2:$E$18,"Missing game",0)</x:f>
        <x:v>46026</x:v>
      </x:c>
      <x:c r="AK2785" t="str">
        <x:f>_xlfn.XLOOKUP($A2785,Games!$A$2:$A$18,Games!$F$2:$F$18,"Missing game",0)</x:f>
        <x:v>Sunday</x:v>
      </x:c>
      <x:c r="AL2785" t="str">
        <x:f>_xlfn.XLOOKUP($A2785,Games!$A$2:$A$18,Games!$G$2:$G$18,"Missing game",0)</x:f>
        <x:v>GB</x:v>
      </x:c>
      <x:c r="AM2785" t="n">
        <x:f>_xlfn.XLOOKUP($A2785,Games!$A$2:$A$18,Games!$H$2:$H$18,"Missing game",0)</x:f>
        <x:v>3</x:v>
      </x:c>
      <x:c r="AN2785" t="str">
        <x:f>_xlfn.XLOOKUP($A2785,Games!$A$2:$A$18,Games!$I$2:$I$18,"Missing game",0)</x:f>
        <x:v>MIN</x:v>
      </x:c>
      <x:c r="AO2785" t="n">
        <x:f>_xlfn.XLOOKUP($A2785,Games!$A$2:$A$18,Games!$J$2:$J$18,"Missing game",0)</x:f>
        <x:v>16</x:v>
      </x:c>
      <x:c r="AP2785" t="n">
        <x:f>_xlfn.XLOOKUP($A2785,Games!$A$2:$A$18,Games!$K$2:$K$18,"Missing game",0)</x:f>
        <x:v>13</x:v>
      </x:c>
      <x:c r="AQ2785" t="n">
        <x:f>_xlfn.XLOOKUP($A2785,Games!$A$2:$A$18,Games!$L$2:$L$18,"Missing game",0)</x:f>
        <x:v>19</x:v>
      </x:c>
      <x:c r="AR2785" t="n">
        <x:f>_xlfn.XLOOKUP($A2785,Games!$A$2:$A$18,Games!$M$2:$M$18,"Missing game",0)</x:f>
        <x:v>0</x:v>
      </x:c>
      <x:c r="AS2785" t="str">
        <x:f>_xlfn.XLOOKUP($A2785,Games!$A$2:$A$18,Games!$N$2:$N$18,"Missing game",0)</x:f>
        <x:v>dome</x:v>
      </x:c>
      <x:c r="AT2785" t="str">
        <x:f>_xlfn.XLOOKUP($A2785,Games!$A$2:$A$18,Games!$O$2:$O$18,"Missing game",0)</x:f>
        <x:v>sportturf</x:v>
      </x:c>
      <x:c r="AU2785" t="str">
        <x:f>_xlfn.XLOOKUP($A2785,Games!$A$2:$A$18,Games!$P$2:$P$18,"Missing game",0)</x:f>
      </x:c>
      <x:c r="AV2785" t="str">
        <x:f>_xlfn.XLOOKUP($A2785,Games!$A$2:$A$18,Games!$Q$2:$Q$18,"Missing game",0)</x:f>
      </x:c>
      <x:c r="AW2785" t="str">
        <x:f>_xlfn.XLOOKUP($A2785,Games!$A$2:$A$18,Games!$R$2:$R$18,"Missing game",0)</x:f>
        <x:v>U.S. Bank Stadium</x:v>
      </x:c>
    </x:row>
    <x:row r="2786">
      <x:c r="A2786" t="str">
        <x:v>2025_18_GB_MIN</x:v>
      </x:c>
      <x:c r="B2786" t="n">
        <x:v>3613</x:v>
      </x:c>
      <x:c r="C2786" t="n">
        <x:v>4</x:v>
      </x:c>
      <x:c r="D2786" t="str">
        <x:v>00:36</x:v>
      </x:c>
      <x:c r="E2786" t="n">
        <x:v>1</x:v>
      </x:c>
      <x:c r="F2786" t="n">
        <x:v>10</x:v>
      </x:c>
      <x:c r="G2786" t="str">
        <x:v>GB</x:v>
      </x:c>
      <x:c r="H2786" t="str">
        <x:v>MIN</x:v>
      </x:c>
      <x:c r="I2786" t="str">
        <x:v>MIN</x:v>
      </x:c>
      <x:c r="J2786" t="n">
        <x:v>11</x:v>
      </x:c>
      <x:c r="K2786" t="str">
        <x:v>(:36) 23-E.Wilson left guard to MIN 9 for 2 yards (15-D.Turner).</x:v>
      </x:c>
      <x:c r="L2786" t="str">
        <x:v>run</x:v>
      </x:c>
      <x:c r="M2786" t="n">
        <x:v>2</x:v>
      </x:c>
      <x:c r="N2786" t="n">
        <x:v>0</x:v>
      </x:c>
      <x:c r="O2786" t="n">
        <x:v>0</x:v>
      </x:c>
      <x:c r="P2786"/>
      <x:c r="Q2786"/>
      <x:c r="R2786"/>
      <x:c r="S2786"/>
      <x:c r="T2786" t="str">
        <x:v>left</x:v>
      </x:c>
      <x:c r="U2786" t="str">
        <x:v>guard</x:v>
      </x:c>
      <x:c r="V2786" t="n">
        <x:v>0</x:v>
      </x:c>
      <x:c r="W2786" t="n">
        <x:v>0</x:v>
      </x:c>
      <x:c r="X2786" t="n">
        <x:v>0</x:v>
      </x:c>
      <x:c r="Y2786" t="n">
        <x:v>0</x:v>
      </x:c>
      <x:c r="Z2786" t="n">
        <x:v>0</x:v>
      </x:c>
      <x:c r="AA2786" t="n">
        <x:v>0</x:v>
      </x:c>
      <x:c r="AB2786"/>
      <x:c r="AC2786" t="n">
        <x:v>0</x:v>
      </x:c>
      <x:c r="AD2786" t="n">
        <x:v>-0.3889198213000782</x:v>
      </x:c>
      <x:c r="AE2786" t="n">
        <x:v>0</x:v>
      </x:c>
      <x:c r="AF2786" t="n">
        <x:v>-0.00027448870241642</x:v>
      </x:c>
      <x:c r="AG2786" t="n">
        <x:f>_xlfn.XLOOKUP($A2786,Games!$A$2:$A$18,Games!$B$2:$B$18,"Missing game",0)</x:f>
        <x:v>2025</x:v>
      </x:c>
      <x:c r="AH2786" t="str">
        <x:f>_xlfn.XLOOKUP($A2786,Games!$A$2:$A$18,Games!$C$2:$C$18,"Missing game",0)</x:f>
        <x:v>REG</x:v>
      </x:c>
      <x:c r="AI2786" t="n">
        <x:f>_xlfn.XLOOKUP($A2786,Games!$A$2:$A$18,Games!$D$2:$D$18,"Missing game",0)</x:f>
        <x:v>18</x:v>
      </x:c>
      <x:c r="AJ2786" s="1" t="n">
        <x:f>_xlfn.XLOOKUP($A2786,Games!$A$2:$A$18,Games!$E$2:$E$18,"Missing game",0)</x:f>
        <x:v>46026</x:v>
      </x:c>
      <x:c r="AK2786" t="str">
        <x:f>_xlfn.XLOOKUP($A2786,Games!$A$2:$A$18,Games!$F$2:$F$18,"Missing game",0)</x:f>
        <x:v>Sunday</x:v>
      </x:c>
      <x:c r="AL2786" t="str">
        <x:f>_xlfn.XLOOKUP($A2786,Games!$A$2:$A$18,Games!$G$2:$G$18,"Missing game",0)</x:f>
        <x:v>GB</x:v>
      </x:c>
      <x:c r="AM2786" t="n">
        <x:f>_xlfn.XLOOKUP($A2786,Games!$A$2:$A$18,Games!$H$2:$H$18,"Missing game",0)</x:f>
        <x:v>3</x:v>
      </x:c>
      <x:c r="AN2786" t="str">
        <x:f>_xlfn.XLOOKUP($A2786,Games!$A$2:$A$18,Games!$I$2:$I$18,"Missing game",0)</x:f>
        <x:v>MIN</x:v>
      </x:c>
      <x:c r="AO2786" t="n">
        <x:f>_xlfn.XLOOKUP($A2786,Games!$A$2:$A$18,Games!$J$2:$J$18,"Missing game",0)</x:f>
        <x:v>16</x:v>
      </x:c>
      <x:c r="AP2786" t="n">
        <x:f>_xlfn.XLOOKUP($A2786,Games!$A$2:$A$18,Games!$K$2:$K$18,"Missing game",0)</x:f>
        <x:v>13</x:v>
      </x:c>
      <x:c r="AQ2786" t="n">
        <x:f>_xlfn.XLOOKUP($A2786,Games!$A$2:$A$18,Games!$L$2:$L$18,"Missing game",0)</x:f>
        <x:v>19</x:v>
      </x:c>
      <x:c r="AR2786" t="n">
        <x:f>_xlfn.XLOOKUP($A2786,Games!$A$2:$A$18,Games!$M$2:$M$18,"Missing game",0)</x:f>
        <x:v>0</x:v>
      </x:c>
      <x:c r="AS2786" t="str">
        <x:f>_xlfn.XLOOKUP($A2786,Games!$A$2:$A$18,Games!$N$2:$N$18,"Missing game",0)</x:f>
        <x:v>dome</x:v>
      </x:c>
      <x:c r="AT2786" t="str">
        <x:f>_xlfn.XLOOKUP($A2786,Games!$A$2:$A$18,Games!$O$2:$O$18,"Missing game",0)</x:f>
        <x:v>sportturf</x:v>
      </x:c>
      <x:c r="AU2786" t="str">
        <x:f>_xlfn.XLOOKUP($A2786,Games!$A$2:$A$18,Games!$P$2:$P$18,"Missing game",0)</x:f>
      </x:c>
      <x:c r="AV2786" t="str">
        <x:f>_xlfn.XLOOKUP($A2786,Games!$A$2:$A$18,Games!$Q$2:$Q$18,"Missing game",0)</x:f>
      </x:c>
      <x:c r="AW2786" t="str">
        <x:f>_xlfn.XLOOKUP($A2786,Games!$A$2:$A$18,Games!$R$2:$R$18,"Missing game",0)</x:f>
        <x:v>U.S. Bank Stadium</x:v>
      </x:c>
    </x:row>
    <x:row r="2787">
      <x:c r="A2787" t="str">
        <x:v>2025_18_GB_MIN</x:v>
      </x:c>
      <x:c r="B2787" t="n">
        <x:v>3635</x:v>
      </x:c>
      <x:c r="C2787" t="n">
        <x:v>4</x:v>
      </x:c>
      <x:c r="D2787" t="str">
        <x:v>00:28</x:v>
      </x:c>
      <x:c r="E2787" t="n">
        <x:v>2</x:v>
      </x:c>
      <x:c r="F2787" t="n">
        <x:v>8</x:v>
      </x:c>
      <x:c r="G2787" t="str">
        <x:v>GB</x:v>
      </x:c>
      <x:c r="H2787" t="str">
        <x:v>MIN</x:v>
      </x:c>
      <x:c r="I2787" t="str">
        <x:v>MIN</x:v>
      </x:c>
      <x:c r="J2787" t="n">
        <x:v>9</x:v>
      </x:c>
      <x:c r="K2787" t="str">
        <x:v>(:28) 6-C.Tune pass incomplete short right to 49-D.Dabney (98-B.Richter).</x:v>
      </x:c>
      <x:c r="L2787" t="str">
        <x:v>pass</x:v>
      </x:c>
      <x:c r="M2787" t="n">
        <x:v>0</x:v>
      </x:c>
      <x:c r="N2787" t="n">
        <x:v>0</x:v>
      </x:c>
      <x:c r="O2787" t="n">
        <x:v>0</x:v>
      </x:c>
      <x:c r="P2787" t="str">
        <x:v>short</x:v>
      </x:c>
      <x:c r="Q2787" t="str">
        <x:v>right</x:v>
      </x:c>
      <x:c r="R2787" t="n">
        <x:v>7</x:v>
      </x:c>
      <x:c r="S2787"/>
      <x:c r="T2787"/>
      <x:c r="U2787"/>
      <x:c r="V2787" t="n">
        <x:v>0</x:v>
      </x:c>
      <x:c r="W2787" t="n">
        <x:v>0</x:v>
      </x:c>
      <x:c r="X2787" t="n">
        <x:v>0</x:v>
      </x:c>
      <x:c r="Y2787" t="n">
        <x:v>0</x:v>
      </x:c>
      <x:c r="Z2787" t="n">
        <x:v>0</x:v>
      </x:c>
      <x:c r="AA2787" t="n">
        <x:v>0</x:v>
      </x:c>
      <x:c r="AB2787"/>
      <x:c r="AC2787" t="n">
        <x:v>0</x:v>
      </x:c>
      <x:c r="AD2787" t="n">
        <x:v>-0.6319512743502855</x:v>
      </x:c>
      <x:c r="AE2787" t="n">
        <x:v>0</x:v>
      </x:c>
      <x:c r="AF2787" t="n">
        <x:v>-0.0005020350217819214</x:v>
      </x:c>
      <x:c r="AG2787" t="n">
        <x:f>_xlfn.XLOOKUP($A2787,Games!$A$2:$A$18,Games!$B$2:$B$18,"Missing game",0)</x:f>
        <x:v>2025</x:v>
      </x:c>
      <x:c r="AH2787" t="str">
        <x:f>_xlfn.XLOOKUP($A2787,Games!$A$2:$A$18,Games!$C$2:$C$18,"Missing game",0)</x:f>
        <x:v>REG</x:v>
      </x:c>
      <x:c r="AI2787" t="n">
        <x:f>_xlfn.XLOOKUP($A2787,Games!$A$2:$A$18,Games!$D$2:$D$18,"Missing game",0)</x:f>
        <x:v>18</x:v>
      </x:c>
      <x:c r="AJ2787" s="1" t="n">
        <x:f>_xlfn.XLOOKUP($A2787,Games!$A$2:$A$18,Games!$E$2:$E$18,"Missing game",0)</x:f>
        <x:v>46026</x:v>
      </x:c>
      <x:c r="AK2787" t="str">
        <x:f>_xlfn.XLOOKUP($A2787,Games!$A$2:$A$18,Games!$F$2:$F$18,"Missing game",0)</x:f>
        <x:v>Sunday</x:v>
      </x:c>
      <x:c r="AL2787" t="str">
        <x:f>_xlfn.XLOOKUP($A2787,Games!$A$2:$A$18,Games!$G$2:$G$18,"Missing game",0)</x:f>
        <x:v>GB</x:v>
      </x:c>
      <x:c r="AM2787" t="n">
        <x:f>_xlfn.XLOOKUP($A2787,Games!$A$2:$A$18,Games!$H$2:$H$18,"Missing game",0)</x:f>
        <x:v>3</x:v>
      </x:c>
      <x:c r="AN2787" t="str">
        <x:f>_xlfn.XLOOKUP($A2787,Games!$A$2:$A$18,Games!$I$2:$I$18,"Missing game",0)</x:f>
        <x:v>MIN</x:v>
      </x:c>
      <x:c r="AO2787" t="n">
        <x:f>_xlfn.XLOOKUP($A2787,Games!$A$2:$A$18,Games!$J$2:$J$18,"Missing game",0)</x:f>
        <x:v>16</x:v>
      </x:c>
      <x:c r="AP2787" t="n">
        <x:f>_xlfn.XLOOKUP($A2787,Games!$A$2:$A$18,Games!$K$2:$K$18,"Missing game",0)</x:f>
        <x:v>13</x:v>
      </x:c>
      <x:c r="AQ2787" t="n">
        <x:f>_xlfn.XLOOKUP($A2787,Games!$A$2:$A$18,Games!$L$2:$L$18,"Missing game",0)</x:f>
        <x:v>19</x:v>
      </x:c>
      <x:c r="AR2787" t="n">
        <x:f>_xlfn.XLOOKUP($A2787,Games!$A$2:$A$18,Games!$M$2:$M$18,"Missing game",0)</x:f>
        <x:v>0</x:v>
      </x:c>
      <x:c r="AS2787" t="str">
        <x:f>_xlfn.XLOOKUP($A2787,Games!$A$2:$A$18,Games!$N$2:$N$18,"Missing game",0)</x:f>
        <x:v>dome</x:v>
      </x:c>
      <x:c r="AT2787" t="str">
        <x:f>_xlfn.XLOOKUP($A2787,Games!$A$2:$A$18,Games!$O$2:$O$18,"Missing game",0)</x:f>
        <x:v>sportturf</x:v>
      </x:c>
      <x:c r="AU2787" t="str">
        <x:f>_xlfn.XLOOKUP($A2787,Games!$A$2:$A$18,Games!$P$2:$P$18,"Missing game",0)</x:f>
      </x:c>
      <x:c r="AV2787" t="str">
        <x:f>_xlfn.XLOOKUP($A2787,Games!$A$2:$A$18,Games!$Q$2:$Q$18,"Missing game",0)</x:f>
      </x:c>
      <x:c r="AW2787" t="str">
        <x:f>_xlfn.XLOOKUP($A2787,Games!$A$2:$A$18,Games!$R$2:$R$18,"Missing game",0)</x:f>
        <x:v>U.S. Bank Stadium</x:v>
      </x:c>
    </x:row>
    <x:row r="2788">
      <x:c r="A2788" t="str">
        <x:v>2025_18_GB_MIN</x:v>
      </x:c>
      <x:c r="B2788" t="n">
        <x:v>3647</x:v>
      </x:c>
      <x:c r="C2788" t="n">
        <x:v>4</x:v>
      </x:c>
      <x:c r="D2788" t="str">
        <x:v>00:28</x:v>
      </x:c>
      <x:c r="E2788"/>
      <x:c r="F2788" t="n">
        <x:v>0</x:v>
      </x:c>
      <x:c r="G2788"/>
      <x:c r="H2788"/>
      <x:c r="I2788"/>
      <x:c r="J2788"/>
      <x:c r="K2788" t="str">
        <x:v>Timeout #1 by GB at 00:28.</x:v>
      </x:c>
      <x:c r="L2788" t="str">
        <x:v>no_play</x:v>
      </x:c>
      <x:c r="M2788" t="n">
        <x:v>0</x:v>
      </x:c>
      <x:c r="N2788" t="n">
        <x:v>0</x:v>
      </x:c>
      <x:c r="O2788" t="n">
        <x:v>0</x:v>
      </x:c>
      <x:c r="P2788"/>
      <x:c r="Q2788"/>
      <x:c r="R2788"/>
      <x:c r="S2788"/>
      <x:c r="T2788"/>
      <x:c r="U2788"/>
      <x:c r="V2788" t="n">
        <x:v>0</x:v>
      </x:c>
      <x:c r="W2788" t="n">
        <x:v>0</x:v>
      </x:c>
      <x:c r="X2788" t="n">
        <x:v>0</x:v>
      </x:c>
      <x:c r="Y2788" t="n">
        <x:v>0</x:v>
      </x:c>
      <x:c r="Z2788" t="n">
        <x:v>0</x:v>
      </x:c>
      <x:c r="AA2788" t="n">
        <x:v>0</x:v>
      </x:c>
      <x:c r="AB2788"/>
      <x:c r="AC2788" t="n">
        <x:v>0</x:v>
      </x:c>
      <x:c r="AD2788" t="n">
        <x:v>0</x:v>
      </x:c>
      <x:c r="AE2788" t="n">
        <x:v>0</x:v>
      </x:c>
      <x:c r="AF2788" t="n">
        <x:v>0</x:v>
      </x:c>
      <x:c r="AG2788" t="n">
        <x:f>_xlfn.XLOOKUP($A2788,Games!$A$2:$A$18,Games!$B$2:$B$18,"Missing game",0)</x:f>
        <x:v>2025</x:v>
      </x:c>
      <x:c r="AH2788" t="str">
        <x:f>_xlfn.XLOOKUP($A2788,Games!$A$2:$A$18,Games!$C$2:$C$18,"Missing game",0)</x:f>
        <x:v>REG</x:v>
      </x:c>
      <x:c r="AI2788" t="n">
        <x:f>_xlfn.XLOOKUP($A2788,Games!$A$2:$A$18,Games!$D$2:$D$18,"Missing game",0)</x:f>
        <x:v>18</x:v>
      </x:c>
      <x:c r="AJ2788" s="1" t="n">
        <x:f>_xlfn.XLOOKUP($A2788,Games!$A$2:$A$18,Games!$E$2:$E$18,"Missing game",0)</x:f>
        <x:v>46026</x:v>
      </x:c>
      <x:c r="AK2788" t="str">
        <x:f>_xlfn.XLOOKUP($A2788,Games!$A$2:$A$18,Games!$F$2:$F$18,"Missing game",0)</x:f>
        <x:v>Sunday</x:v>
      </x:c>
      <x:c r="AL2788" t="str">
        <x:f>_xlfn.XLOOKUP($A2788,Games!$A$2:$A$18,Games!$G$2:$G$18,"Missing game",0)</x:f>
        <x:v>GB</x:v>
      </x:c>
      <x:c r="AM2788" t="n">
        <x:f>_xlfn.XLOOKUP($A2788,Games!$A$2:$A$18,Games!$H$2:$H$18,"Missing game",0)</x:f>
        <x:v>3</x:v>
      </x:c>
      <x:c r="AN2788" t="str">
        <x:f>_xlfn.XLOOKUP($A2788,Games!$A$2:$A$18,Games!$I$2:$I$18,"Missing game",0)</x:f>
        <x:v>MIN</x:v>
      </x:c>
      <x:c r="AO2788" t="n">
        <x:f>_xlfn.XLOOKUP($A2788,Games!$A$2:$A$18,Games!$J$2:$J$18,"Missing game",0)</x:f>
        <x:v>16</x:v>
      </x:c>
      <x:c r="AP2788" t="n">
        <x:f>_xlfn.XLOOKUP($A2788,Games!$A$2:$A$18,Games!$K$2:$K$18,"Missing game",0)</x:f>
        <x:v>13</x:v>
      </x:c>
      <x:c r="AQ2788" t="n">
        <x:f>_xlfn.XLOOKUP($A2788,Games!$A$2:$A$18,Games!$L$2:$L$18,"Missing game",0)</x:f>
        <x:v>19</x:v>
      </x:c>
      <x:c r="AR2788" t="n">
        <x:f>_xlfn.XLOOKUP($A2788,Games!$A$2:$A$18,Games!$M$2:$M$18,"Missing game",0)</x:f>
        <x:v>0</x:v>
      </x:c>
      <x:c r="AS2788" t="str">
        <x:f>_xlfn.XLOOKUP($A2788,Games!$A$2:$A$18,Games!$N$2:$N$18,"Missing game",0)</x:f>
        <x:v>dome</x:v>
      </x:c>
      <x:c r="AT2788" t="str">
        <x:f>_xlfn.XLOOKUP($A2788,Games!$A$2:$A$18,Games!$O$2:$O$18,"Missing game",0)</x:f>
        <x:v>sportturf</x:v>
      </x:c>
      <x:c r="AU2788" t="str">
        <x:f>_xlfn.XLOOKUP($A2788,Games!$A$2:$A$18,Games!$P$2:$P$18,"Missing game",0)</x:f>
      </x:c>
      <x:c r="AV2788" t="str">
        <x:f>_xlfn.XLOOKUP($A2788,Games!$A$2:$A$18,Games!$Q$2:$Q$18,"Missing game",0)</x:f>
      </x:c>
      <x:c r="AW2788" t="str">
        <x:f>_xlfn.XLOOKUP($A2788,Games!$A$2:$A$18,Games!$R$2:$R$18,"Missing game",0)</x:f>
        <x:v>U.S. Bank Stadium</x:v>
      </x:c>
    </x:row>
    <x:row r="2789">
      <x:c r="A2789" t="str">
        <x:v>2025_18_GB_MIN</x:v>
      </x:c>
      <x:c r="B2789" t="n">
        <x:v>3665</x:v>
      </x:c>
      <x:c r="C2789" t="n">
        <x:v>4</x:v>
      </x:c>
      <x:c r="D2789" t="str">
        <x:v>00:22</x:v>
      </x:c>
      <x:c r="E2789" t="n">
        <x:v>3</x:v>
      </x:c>
      <x:c r="F2789" t="n">
        <x:v>8</x:v>
      </x:c>
      <x:c r="G2789" t="str">
        <x:v>GB</x:v>
      </x:c>
      <x:c r="H2789" t="str">
        <x:v>MIN</x:v>
      </x:c>
      <x:c r="I2789" t="str">
        <x:v>MIN</x:v>
      </x:c>
      <x:c r="J2789" t="n">
        <x:v>9</x:v>
      </x:c>
      <x:c r="K2789" t="str">
        <x:v>(:22) 30-C.Brooks left tackle to MIN 5 for 4 yards (26-T.Jackson; 96-T.Batty).</x:v>
      </x:c>
      <x:c r="L2789" t="str">
        <x:v>run</x:v>
      </x:c>
      <x:c r="M2789" t="n">
        <x:v>4</x:v>
      </x:c>
      <x:c r="N2789" t="n">
        <x:v>0</x:v>
      </x:c>
      <x:c r="O2789" t="n">
        <x:v>0</x:v>
      </x:c>
      <x:c r="P2789"/>
      <x:c r="Q2789"/>
      <x:c r="R2789"/>
      <x:c r="S2789"/>
      <x:c r="T2789" t="str">
        <x:v>left</x:v>
      </x:c>
      <x:c r="U2789" t="str">
        <x:v>tackle</x:v>
      </x:c>
      <x:c r="V2789" t="n">
        <x:v>0</x:v>
      </x:c>
      <x:c r="W2789" t="n">
        <x:v>0</x:v>
      </x:c>
      <x:c r="X2789" t="n">
        <x:v>0</x:v>
      </x:c>
      <x:c r="Y2789" t="n">
        <x:v>0</x:v>
      </x:c>
      <x:c r="Z2789" t="n">
        <x:v>0</x:v>
      </x:c>
      <x:c r="AA2789" t="n">
        <x:v>0</x:v>
      </x:c>
      <x:c r="AB2789"/>
      <x:c r="AC2789" t="n">
        <x:v>0</x:v>
      </x:c>
      <x:c r="AD2789" t="n">
        <x:v>-0.6854338417937265</x:v>
      </x:c>
      <x:c r="AE2789" t="n">
        <x:v>0</x:v>
      </x:c>
      <x:c r="AF2789" t="n">
        <x:v>-0.0006128360982984304</x:v>
      </x:c>
      <x:c r="AG2789" t="n">
        <x:f>_xlfn.XLOOKUP($A2789,Games!$A$2:$A$18,Games!$B$2:$B$18,"Missing game",0)</x:f>
        <x:v>2025</x:v>
      </x:c>
      <x:c r="AH2789" t="str">
        <x:f>_xlfn.XLOOKUP($A2789,Games!$A$2:$A$18,Games!$C$2:$C$18,"Missing game",0)</x:f>
        <x:v>REG</x:v>
      </x:c>
      <x:c r="AI2789" t="n">
        <x:f>_xlfn.XLOOKUP($A2789,Games!$A$2:$A$18,Games!$D$2:$D$18,"Missing game",0)</x:f>
        <x:v>18</x:v>
      </x:c>
      <x:c r="AJ2789" s="1" t="n">
        <x:f>_xlfn.XLOOKUP($A2789,Games!$A$2:$A$18,Games!$E$2:$E$18,"Missing game",0)</x:f>
        <x:v>46026</x:v>
      </x:c>
      <x:c r="AK2789" t="str">
        <x:f>_xlfn.XLOOKUP($A2789,Games!$A$2:$A$18,Games!$F$2:$F$18,"Missing game",0)</x:f>
        <x:v>Sunday</x:v>
      </x:c>
      <x:c r="AL2789" t="str">
        <x:f>_xlfn.XLOOKUP($A2789,Games!$A$2:$A$18,Games!$G$2:$G$18,"Missing game",0)</x:f>
        <x:v>GB</x:v>
      </x:c>
      <x:c r="AM2789" t="n">
        <x:f>_xlfn.XLOOKUP($A2789,Games!$A$2:$A$18,Games!$H$2:$H$18,"Missing game",0)</x:f>
        <x:v>3</x:v>
      </x:c>
      <x:c r="AN2789" t="str">
        <x:f>_xlfn.XLOOKUP($A2789,Games!$A$2:$A$18,Games!$I$2:$I$18,"Missing game",0)</x:f>
        <x:v>MIN</x:v>
      </x:c>
      <x:c r="AO2789" t="n">
        <x:f>_xlfn.XLOOKUP($A2789,Games!$A$2:$A$18,Games!$J$2:$J$18,"Missing game",0)</x:f>
        <x:v>16</x:v>
      </x:c>
      <x:c r="AP2789" t="n">
        <x:f>_xlfn.XLOOKUP($A2789,Games!$A$2:$A$18,Games!$K$2:$K$18,"Missing game",0)</x:f>
        <x:v>13</x:v>
      </x:c>
      <x:c r="AQ2789" t="n">
        <x:f>_xlfn.XLOOKUP($A2789,Games!$A$2:$A$18,Games!$L$2:$L$18,"Missing game",0)</x:f>
        <x:v>19</x:v>
      </x:c>
      <x:c r="AR2789" t="n">
        <x:f>_xlfn.XLOOKUP($A2789,Games!$A$2:$A$18,Games!$M$2:$M$18,"Missing game",0)</x:f>
        <x:v>0</x:v>
      </x:c>
      <x:c r="AS2789" t="str">
        <x:f>_xlfn.XLOOKUP($A2789,Games!$A$2:$A$18,Games!$N$2:$N$18,"Missing game",0)</x:f>
        <x:v>dome</x:v>
      </x:c>
      <x:c r="AT2789" t="str">
        <x:f>_xlfn.XLOOKUP($A2789,Games!$A$2:$A$18,Games!$O$2:$O$18,"Missing game",0)</x:f>
        <x:v>sportturf</x:v>
      </x:c>
      <x:c r="AU2789" t="str">
        <x:f>_xlfn.XLOOKUP($A2789,Games!$A$2:$A$18,Games!$P$2:$P$18,"Missing game",0)</x:f>
      </x:c>
      <x:c r="AV2789" t="str">
        <x:f>_xlfn.XLOOKUP($A2789,Games!$A$2:$A$18,Games!$Q$2:$Q$18,"Missing game",0)</x:f>
      </x:c>
      <x:c r="AW2789" t="str">
        <x:f>_xlfn.XLOOKUP($A2789,Games!$A$2:$A$18,Games!$R$2:$R$18,"Missing game",0)</x:f>
        <x:v>U.S. Bank Stadium</x:v>
      </x:c>
    </x:row>
    <x:row r="2790">
      <x:c r="A2790" t="str">
        <x:v>2025_18_GB_MIN</x:v>
      </x:c>
      <x:c r="B2790" t="n">
        <x:v>3687</x:v>
      </x:c>
      <x:c r="C2790" t="n">
        <x:v>4</x:v>
      </x:c>
      <x:c r="D2790" t="str">
        <x:v>00:01</x:v>
      </x:c>
      <x:c r="E2790" t="n">
        <x:v>4</x:v>
      </x:c>
      <x:c r="F2790" t="n">
        <x:v>4</x:v>
      </x:c>
      <x:c r="G2790" t="str">
        <x:v>GB</x:v>
      </x:c>
      <x:c r="H2790" t="str">
        <x:v>MIN</x:v>
      </x:c>
      <x:c r="I2790" t="str">
        <x:v>MIN</x:v>
      </x:c>
      <x:c r="J2790" t="n">
        <x:v>5</x:v>
      </x:c>
      <x:c r="K2790" t="str">
        <x:v>(:01) 17-B.McManus 24 yard field goal is GOOD, Center-42-M.Orzech, Holder-19-D.Whelan.</x:v>
      </x:c>
      <x:c r="L2790" t="str">
        <x:v>field_goal</x:v>
      </x:c>
      <x:c r="M2790" t="n">
        <x:v>0</x:v>
      </x:c>
      <x:c r="N2790" t="n">
        <x:v>0</x:v>
      </x:c>
      <x:c r="O2790" t="n">
        <x:v>0</x:v>
      </x:c>
      <x:c r="P2790"/>
      <x:c r="Q2790"/>
      <x:c r="R2790"/>
      <x:c r="S2790"/>
      <x:c r="T2790"/>
      <x:c r="U2790"/>
      <x:c r="V2790" t="n">
        <x:v>0</x:v>
      </x:c>
      <x:c r="W2790" t="n">
        <x:v>0</x:v>
      </x:c>
      <x:c r="X2790" t="n">
        <x:v>0</x:v>
      </x:c>
      <x:c r="Y2790" t="n">
        <x:v>0</x:v>
      </x:c>
      <x:c r="Z2790" t="n">
        <x:v>0</x:v>
      </x:c>
      <x:c r="AA2790" t="n">
        <x:v>0</x:v>
      </x:c>
      <x:c r="AB2790"/>
      <x:c r="AC2790" t="n">
        <x:v>0</x:v>
      </x:c>
      <x:c r="AD2790" t="n">
        <x:v>0.021883390104792344</x:v>
      </x:c>
      <x:c r="AE2790" t="n">
        <x:v>1</x:v>
      </x:c>
      <x:c r="AF2790" t="n">
        <x:v>-0.003091203747317195</x:v>
      </x:c>
      <x:c r="AG2790" t="n">
        <x:f>_xlfn.XLOOKUP($A2790,Games!$A$2:$A$18,Games!$B$2:$B$18,"Missing game",0)</x:f>
        <x:v>2025</x:v>
      </x:c>
      <x:c r="AH2790" t="str">
        <x:f>_xlfn.XLOOKUP($A2790,Games!$A$2:$A$18,Games!$C$2:$C$18,"Missing game",0)</x:f>
        <x:v>REG</x:v>
      </x:c>
      <x:c r="AI2790" t="n">
        <x:f>_xlfn.XLOOKUP($A2790,Games!$A$2:$A$18,Games!$D$2:$D$18,"Missing game",0)</x:f>
        <x:v>18</x:v>
      </x:c>
      <x:c r="AJ2790" s="1" t="n">
        <x:f>_xlfn.XLOOKUP($A2790,Games!$A$2:$A$18,Games!$E$2:$E$18,"Missing game",0)</x:f>
        <x:v>46026</x:v>
      </x:c>
      <x:c r="AK2790" t="str">
        <x:f>_xlfn.XLOOKUP($A2790,Games!$A$2:$A$18,Games!$F$2:$F$18,"Missing game",0)</x:f>
        <x:v>Sunday</x:v>
      </x:c>
      <x:c r="AL2790" t="str">
        <x:f>_xlfn.XLOOKUP($A2790,Games!$A$2:$A$18,Games!$G$2:$G$18,"Missing game",0)</x:f>
        <x:v>GB</x:v>
      </x:c>
      <x:c r="AM2790" t="n">
        <x:f>_xlfn.XLOOKUP($A2790,Games!$A$2:$A$18,Games!$H$2:$H$18,"Missing game",0)</x:f>
        <x:v>3</x:v>
      </x:c>
      <x:c r="AN2790" t="str">
        <x:f>_xlfn.XLOOKUP($A2790,Games!$A$2:$A$18,Games!$I$2:$I$18,"Missing game",0)</x:f>
        <x:v>MIN</x:v>
      </x:c>
      <x:c r="AO2790" t="n">
        <x:f>_xlfn.XLOOKUP($A2790,Games!$A$2:$A$18,Games!$J$2:$J$18,"Missing game",0)</x:f>
        <x:v>16</x:v>
      </x:c>
      <x:c r="AP2790" t="n">
        <x:f>_xlfn.XLOOKUP($A2790,Games!$A$2:$A$18,Games!$K$2:$K$18,"Missing game",0)</x:f>
        <x:v>13</x:v>
      </x:c>
      <x:c r="AQ2790" t="n">
        <x:f>_xlfn.XLOOKUP($A2790,Games!$A$2:$A$18,Games!$L$2:$L$18,"Missing game",0)</x:f>
        <x:v>19</x:v>
      </x:c>
      <x:c r="AR2790" t="n">
        <x:f>_xlfn.XLOOKUP($A2790,Games!$A$2:$A$18,Games!$M$2:$M$18,"Missing game",0)</x:f>
        <x:v>0</x:v>
      </x:c>
      <x:c r="AS2790" t="str">
        <x:f>_xlfn.XLOOKUP($A2790,Games!$A$2:$A$18,Games!$N$2:$N$18,"Missing game",0)</x:f>
        <x:v>dome</x:v>
      </x:c>
      <x:c r="AT2790" t="str">
        <x:f>_xlfn.XLOOKUP($A2790,Games!$A$2:$A$18,Games!$O$2:$O$18,"Missing game",0)</x:f>
        <x:v>sportturf</x:v>
      </x:c>
      <x:c r="AU2790" t="str">
        <x:f>_xlfn.XLOOKUP($A2790,Games!$A$2:$A$18,Games!$P$2:$P$18,"Missing game",0)</x:f>
      </x:c>
      <x:c r="AV2790" t="str">
        <x:f>_xlfn.XLOOKUP($A2790,Games!$A$2:$A$18,Games!$Q$2:$Q$18,"Missing game",0)</x:f>
      </x:c>
      <x:c r="AW2790" t="str">
        <x:f>_xlfn.XLOOKUP($A2790,Games!$A$2:$A$18,Games!$R$2:$R$18,"Missing game",0)</x:f>
        <x:v>U.S. Bank Stadium</x:v>
      </x:c>
    </x:row>
    <x:row r="2791">
      <x:c r="A2791" t="str">
        <x:v>2025_18_GB_MIN</x:v>
      </x:c>
      <x:c r="B2791" t="n">
        <x:v>3699</x:v>
      </x:c>
      <x:c r="C2791" t="n">
        <x:v>4</x:v>
      </x:c>
      <x:c r="D2791" t="str">
        <x:v>00:01</x:v>
      </x:c>
      <x:c r="E2791"/>
      <x:c r="F2791" t="n">
        <x:v>0</x:v>
      </x:c>
      <x:c r="G2791"/>
      <x:c r="H2791"/>
      <x:c r="I2791"/>
      <x:c r="J2791"/>
      <x:c r="K2791" t="str">
        <x:v>Timeout #2 by GB at 00:01.</x:v>
      </x:c>
      <x:c r="L2791" t="str">
        <x:v>no_play</x:v>
      </x:c>
      <x:c r="M2791" t="n">
        <x:v>0</x:v>
      </x:c>
      <x:c r="N2791" t="n">
        <x:v>0</x:v>
      </x:c>
      <x:c r="O2791" t="n">
        <x:v>0</x:v>
      </x:c>
      <x:c r="P2791"/>
      <x:c r="Q2791"/>
      <x:c r="R2791"/>
      <x:c r="S2791"/>
      <x:c r="T2791"/>
      <x:c r="U2791"/>
      <x:c r="V2791" t="n">
        <x:v>0</x:v>
      </x:c>
      <x:c r="W2791" t="n">
        <x:v>0</x:v>
      </x:c>
      <x:c r="X2791" t="n">
        <x:v>0</x:v>
      </x:c>
      <x:c r="Y2791" t="n">
        <x:v>0</x:v>
      </x:c>
      <x:c r="Z2791" t="n">
        <x:v>0</x:v>
      </x:c>
      <x:c r="AA2791" t="n">
        <x:v>0</x:v>
      </x:c>
      <x:c r="AB2791"/>
      <x:c r="AC2791" t="n">
        <x:v>0</x:v>
      </x:c>
      <x:c r="AD2791" t="n">
        <x:v>0</x:v>
      </x:c>
      <x:c r="AE2791" t="n">
        <x:v>0</x:v>
      </x:c>
      <x:c r="AF2791" t="n">
        <x:v>0</x:v>
      </x:c>
      <x:c r="AG2791" t="n">
        <x:f>_xlfn.XLOOKUP($A2791,Games!$A$2:$A$18,Games!$B$2:$B$18,"Missing game",0)</x:f>
        <x:v>2025</x:v>
      </x:c>
      <x:c r="AH2791" t="str">
        <x:f>_xlfn.XLOOKUP($A2791,Games!$A$2:$A$18,Games!$C$2:$C$18,"Missing game",0)</x:f>
        <x:v>REG</x:v>
      </x:c>
      <x:c r="AI2791" t="n">
        <x:f>_xlfn.XLOOKUP($A2791,Games!$A$2:$A$18,Games!$D$2:$D$18,"Missing game",0)</x:f>
        <x:v>18</x:v>
      </x:c>
      <x:c r="AJ2791" s="1" t="n">
        <x:f>_xlfn.XLOOKUP($A2791,Games!$A$2:$A$18,Games!$E$2:$E$18,"Missing game",0)</x:f>
        <x:v>46026</x:v>
      </x:c>
      <x:c r="AK2791" t="str">
        <x:f>_xlfn.XLOOKUP($A2791,Games!$A$2:$A$18,Games!$F$2:$F$18,"Missing game",0)</x:f>
        <x:v>Sunday</x:v>
      </x:c>
      <x:c r="AL2791" t="str">
        <x:f>_xlfn.XLOOKUP($A2791,Games!$A$2:$A$18,Games!$G$2:$G$18,"Missing game",0)</x:f>
        <x:v>GB</x:v>
      </x:c>
      <x:c r="AM2791" t="n">
        <x:f>_xlfn.XLOOKUP($A2791,Games!$A$2:$A$18,Games!$H$2:$H$18,"Missing game",0)</x:f>
        <x:v>3</x:v>
      </x:c>
      <x:c r="AN2791" t="str">
        <x:f>_xlfn.XLOOKUP($A2791,Games!$A$2:$A$18,Games!$I$2:$I$18,"Missing game",0)</x:f>
        <x:v>MIN</x:v>
      </x:c>
      <x:c r="AO2791" t="n">
        <x:f>_xlfn.XLOOKUP($A2791,Games!$A$2:$A$18,Games!$J$2:$J$18,"Missing game",0)</x:f>
        <x:v>16</x:v>
      </x:c>
      <x:c r="AP2791" t="n">
        <x:f>_xlfn.XLOOKUP($A2791,Games!$A$2:$A$18,Games!$K$2:$K$18,"Missing game",0)</x:f>
        <x:v>13</x:v>
      </x:c>
      <x:c r="AQ2791" t="n">
        <x:f>_xlfn.XLOOKUP($A2791,Games!$A$2:$A$18,Games!$L$2:$L$18,"Missing game",0)</x:f>
        <x:v>19</x:v>
      </x:c>
      <x:c r="AR2791" t="n">
        <x:f>_xlfn.XLOOKUP($A2791,Games!$A$2:$A$18,Games!$M$2:$M$18,"Missing game",0)</x:f>
        <x:v>0</x:v>
      </x:c>
      <x:c r="AS2791" t="str">
        <x:f>_xlfn.XLOOKUP($A2791,Games!$A$2:$A$18,Games!$N$2:$N$18,"Missing game",0)</x:f>
        <x:v>dome</x:v>
      </x:c>
      <x:c r="AT2791" t="str">
        <x:f>_xlfn.XLOOKUP($A2791,Games!$A$2:$A$18,Games!$O$2:$O$18,"Missing game",0)</x:f>
        <x:v>sportturf</x:v>
      </x:c>
      <x:c r="AU2791" t="str">
        <x:f>_xlfn.XLOOKUP($A2791,Games!$A$2:$A$18,Games!$P$2:$P$18,"Missing game",0)</x:f>
      </x:c>
      <x:c r="AV2791" t="str">
        <x:f>_xlfn.XLOOKUP($A2791,Games!$A$2:$A$18,Games!$Q$2:$Q$18,"Missing game",0)</x:f>
      </x:c>
      <x:c r="AW2791" t="str">
        <x:f>_xlfn.XLOOKUP($A2791,Games!$A$2:$A$18,Games!$R$2:$R$18,"Missing game",0)</x:f>
        <x:v>U.S. Bank Stadium</x:v>
      </x:c>
    </x:row>
    <x:row r="2792">
      <x:c r="A2792" t="str">
        <x:v>2025_18_GB_MIN</x:v>
      </x:c>
      <x:c r="B2792" t="n">
        <x:v>3714</x:v>
      </x:c>
      <x:c r="C2792" t="n">
        <x:v>4</x:v>
      </x:c>
      <x:c r="D2792" t="str">
        <x:v>00:00</x:v>
      </x:c>
      <x:c r="E2792"/>
      <x:c r="F2792" t="n">
        <x:v>0</x:v>
      </x:c>
      <x:c r="G2792" t="str">
        <x:v>MIN</x:v>
      </x:c>
      <x:c r="H2792" t="str">
        <x:v>GB</x:v>
      </x:c>
      <x:c r="I2792"/>
      <x:c r="J2792"/>
      <x:c r="K2792" t="str">
        <x:v>END GAME</x:v>
      </x:c>
      <x:c r="L2792"/>
      <x:c r="M2792"/>
      <x:c r="N2792" t="n">
        <x:v>0</x:v>
      </x:c>
      <x:c r="O2792" t="n">
        <x:v>0</x:v>
      </x:c>
      <x:c r="P2792"/>
      <x:c r="Q2792"/>
      <x:c r="R2792"/>
      <x:c r="S2792"/>
      <x:c r="T2792"/>
      <x:c r="U2792"/>
      <x:c r="V2792"/>
      <x:c r="W2792"/>
      <x:c r="X2792"/>
      <x:c r="Y2792"/>
      <x:c r="Z2792"/>
      <x:c r="AA2792"/>
      <x:c r="AB2792"/>
      <x:c r="AC2792"/>
      <x:c r="AD2792"/>
      <x:c r="AE2792"/>
      <x:c r="AF2792"/>
      <x:c r="AG2792" t="n">
        <x:f>_xlfn.XLOOKUP($A2792,Games!$A$2:$A$18,Games!$B$2:$B$18,"Missing game",0)</x:f>
        <x:v>2025</x:v>
      </x:c>
      <x:c r="AH2792" t="str">
        <x:f>_xlfn.XLOOKUP($A2792,Games!$A$2:$A$18,Games!$C$2:$C$18,"Missing game",0)</x:f>
        <x:v>REG</x:v>
      </x:c>
      <x:c r="AI2792" t="n">
        <x:f>_xlfn.XLOOKUP($A2792,Games!$A$2:$A$18,Games!$D$2:$D$18,"Missing game",0)</x:f>
        <x:v>18</x:v>
      </x:c>
      <x:c r="AJ2792" s="1" t="n">
        <x:f>_xlfn.XLOOKUP($A2792,Games!$A$2:$A$18,Games!$E$2:$E$18,"Missing game",0)</x:f>
        <x:v>46026</x:v>
      </x:c>
      <x:c r="AK2792" t="str">
        <x:f>_xlfn.XLOOKUP($A2792,Games!$A$2:$A$18,Games!$F$2:$F$18,"Missing game",0)</x:f>
        <x:v>Sunday</x:v>
      </x:c>
      <x:c r="AL2792" t="str">
        <x:f>_xlfn.XLOOKUP($A2792,Games!$A$2:$A$18,Games!$G$2:$G$18,"Missing game",0)</x:f>
        <x:v>GB</x:v>
      </x:c>
      <x:c r="AM2792" t="n">
        <x:f>_xlfn.XLOOKUP($A2792,Games!$A$2:$A$18,Games!$H$2:$H$18,"Missing game",0)</x:f>
        <x:v>3</x:v>
      </x:c>
      <x:c r="AN2792" t="str">
        <x:f>_xlfn.XLOOKUP($A2792,Games!$A$2:$A$18,Games!$I$2:$I$18,"Missing game",0)</x:f>
        <x:v>MIN</x:v>
      </x:c>
      <x:c r="AO2792" t="n">
        <x:f>_xlfn.XLOOKUP($A2792,Games!$A$2:$A$18,Games!$J$2:$J$18,"Missing game",0)</x:f>
        <x:v>16</x:v>
      </x:c>
      <x:c r="AP2792" t="n">
        <x:f>_xlfn.XLOOKUP($A2792,Games!$A$2:$A$18,Games!$K$2:$K$18,"Missing game",0)</x:f>
        <x:v>13</x:v>
      </x:c>
      <x:c r="AQ2792" t="n">
        <x:f>_xlfn.XLOOKUP($A2792,Games!$A$2:$A$18,Games!$L$2:$L$18,"Missing game",0)</x:f>
        <x:v>19</x:v>
      </x:c>
      <x:c r="AR2792" t="n">
        <x:f>_xlfn.XLOOKUP($A2792,Games!$A$2:$A$18,Games!$M$2:$M$18,"Missing game",0)</x:f>
        <x:v>0</x:v>
      </x:c>
      <x:c r="AS2792" t="str">
        <x:f>_xlfn.XLOOKUP($A2792,Games!$A$2:$A$18,Games!$N$2:$N$18,"Missing game",0)</x:f>
        <x:v>dome</x:v>
      </x:c>
      <x:c r="AT2792" t="str">
        <x:f>_xlfn.XLOOKUP($A2792,Games!$A$2:$A$18,Games!$O$2:$O$18,"Missing game",0)</x:f>
        <x:v>sportturf</x:v>
      </x:c>
      <x:c r="AU2792" t="str">
        <x:f>_xlfn.XLOOKUP($A2792,Games!$A$2:$A$18,Games!$P$2:$P$18,"Missing game",0)</x:f>
      </x:c>
      <x:c r="AV2792" t="str">
        <x:f>_xlfn.XLOOKUP($A2792,Games!$A$2:$A$18,Games!$Q$2:$Q$18,"Missing game",0)</x:f>
      </x:c>
      <x:c r="AW2792" t="str">
        <x:f>_xlfn.XLOOKUP($A2792,Games!$A$2:$A$18,Games!$R$2:$R$18,"Missing game",0)</x:f>
        <x:v>U.S. Bank Stadium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game_id</x:v>
      </x:c>
      <x:c r="B1" t="str">
        <x:v>season</x:v>
      </x:c>
      <x:c r="C1" t="str">
        <x:v>season_type</x:v>
      </x:c>
      <x:c r="D1" t="str">
        <x:v>week</x:v>
      </x:c>
      <x:c r="E1" t="str">
        <x:v>game_date</x:v>
      </x:c>
      <x:c r="F1" t="str">
        <x:v>weekday</x:v>
      </x:c>
      <x:c r="G1" t="str">
        <x:v>away_team</x:v>
      </x:c>
      <x:c r="H1" t="str">
        <x:v>away_score</x:v>
      </x:c>
      <x:c r="I1" t="str">
        <x:v>home_team</x:v>
      </x:c>
      <x:c r="J1" t="str">
        <x:v>home_score</x:v>
      </x:c>
      <x:c r="K1" t="str">
        <x:v>home_score_margin</x:v>
      </x:c>
      <x:c r="L1" t="str">
        <x:v>total_points</x:v>
      </x:c>
      <x:c r="M1" t="str">
        <x:v>overtime</x:v>
      </x:c>
      <x:c r="N1" t="str">
        <x:v>roof</x:v>
      </x:c>
      <x:c r="O1" t="str">
        <x:v>surface</x:v>
      </x:c>
      <x:c r="P1" t="str">
        <x:v>temperature_fahrenheit</x:v>
      </x:c>
      <x:c r="Q1" t="str">
        <x:v>wind_mph</x:v>
      </x:c>
      <x:c r="R1" t="str">
        <x:v>stadium</x:v>
      </x:c>
    </x:row>
    <x:row r="2">
      <x:c r="A2" t="str">
        <x:v>2025_01_MIN_CHI</x:v>
      </x:c>
      <x:c r="B2" t="n">
        <x:v>2025</x:v>
      </x:c>
      <x:c r="C2" t="str">
        <x:v>REG</x:v>
      </x:c>
      <x:c r="D2" t="n">
        <x:v>1</x:v>
      </x:c>
      <x:c r="E2" s="1" t="n">
        <x:v>45908</x:v>
      </x:c>
      <x:c r="F2" t="str">
        <x:v>Monday</x:v>
      </x:c>
      <x:c r="G2" t="str">
        <x:v>MIN</x:v>
      </x:c>
      <x:c r="H2" t="n">
        <x:v>27</x:v>
      </x:c>
      <x:c r="I2" t="str">
        <x:v>CHI</x:v>
      </x:c>
      <x:c r="J2" t="n">
        <x:v>24</x:v>
      </x:c>
      <x:c r="K2" t="n">
        <x:v>-3</x:v>
      </x:c>
      <x:c r="L2" t="n">
        <x:v>51</x:v>
      </x:c>
      <x:c r="M2" t="n">
        <x:v>0</x:v>
      </x:c>
      <x:c r="N2" t="str">
        <x:v>outdoors</x:v>
      </x:c>
      <x:c r="O2" t="str">
        <x:v>grass</x:v>
      </x:c>
      <x:c r="P2" t="n">
        <x:v>68</x:v>
      </x:c>
      <x:c r="Q2" t="n">
        <x:v>6</x:v>
      </x:c>
      <x:c r="R2" t="str">
        <x:v>Soldier Field</x:v>
      </x:c>
    </x:row>
    <x:row r="3">
      <x:c r="A3" t="str">
        <x:v>2025_02_ATL_MIN</x:v>
      </x:c>
      <x:c r="B3" t="n">
        <x:v>2025</x:v>
      </x:c>
      <x:c r="C3" t="str">
        <x:v>REG</x:v>
      </x:c>
      <x:c r="D3" t="n">
        <x:v>2</x:v>
      </x:c>
      <x:c r="E3" s="1" t="n">
        <x:v>45914</x:v>
      </x:c>
      <x:c r="F3" t="str">
        <x:v>Sunday</x:v>
      </x:c>
      <x:c r="G3" t="str">
        <x:v>ATL</x:v>
      </x:c>
      <x:c r="H3" t="n">
        <x:v>22</x:v>
      </x:c>
      <x:c r="I3" t="str">
        <x:v>MIN</x:v>
      </x:c>
      <x:c r="J3" t="n">
        <x:v>6</x:v>
      </x:c>
      <x:c r="K3" t="n">
        <x:v>-16</x:v>
      </x:c>
      <x:c r="L3" t="n">
        <x:v>28</x:v>
      </x:c>
      <x:c r="M3" t="n">
        <x:v>0</x:v>
      </x:c>
      <x:c r="N3" t="str">
        <x:v>dome</x:v>
      </x:c>
      <x:c r="O3" t="str">
        <x:v>sportturf</x:v>
      </x:c>
      <x:c r="P3"/>
      <x:c r="Q3"/>
      <x:c r="R3" t="str">
        <x:v>U.S. Bank Stadium</x:v>
      </x:c>
    </x:row>
    <x:row r="4">
      <x:c r="A4" t="str">
        <x:v>2025_03_CIN_MIN</x:v>
      </x:c>
      <x:c r="B4" t="n">
        <x:v>2025</x:v>
      </x:c>
      <x:c r="C4" t="str">
        <x:v>REG</x:v>
      </x:c>
      <x:c r="D4" t="n">
        <x:v>3</x:v>
      </x:c>
      <x:c r="E4" s="1" t="n">
        <x:v>45921</x:v>
      </x:c>
      <x:c r="F4" t="str">
        <x:v>Sunday</x:v>
      </x:c>
      <x:c r="G4" t="str">
        <x:v>CIN</x:v>
      </x:c>
      <x:c r="H4" t="n">
        <x:v>10</x:v>
      </x:c>
      <x:c r="I4" t="str">
        <x:v>MIN</x:v>
      </x:c>
      <x:c r="J4" t="n">
        <x:v>48</x:v>
      </x:c>
      <x:c r="K4" t="n">
        <x:v>38</x:v>
      </x:c>
      <x:c r="L4" t="n">
        <x:v>58</x:v>
      </x:c>
      <x:c r="M4" t="n">
        <x:v>0</x:v>
      </x:c>
      <x:c r="N4" t="str">
        <x:v>dome</x:v>
      </x:c>
      <x:c r="O4" t="str">
        <x:v>sportturf</x:v>
      </x:c>
      <x:c r="P4"/>
      <x:c r="Q4"/>
      <x:c r="R4" t="str">
        <x:v>U.S. Bank Stadium</x:v>
      </x:c>
    </x:row>
    <x:row r="5">
      <x:c r="A5" t="str">
        <x:v>2025_04_MIN_PIT</x:v>
      </x:c>
      <x:c r="B5" t="n">
        <x:v>2025</x:v>
      </x:c>
      <x:c r="C5" t="str">
        <x:v>REG</x:v>
      </x:c>
      <x:c r="D5" t="n">
        <x:v>4</x:v>
      </x:c>
      <x:c r="E5" s="1" t="n">
        <x:v>45928</x:v>
      </x:c>
      <x:c r="F5" t="str">
        <x:v>Sunday</x:v>
      </x:c>
      <x:c r="G5" t="str">
        <x:v>MIN</x:v>
      </x:c>
      <x:c r="H5" t="n">
        <x:v>21</x:v>
      </x:c>
      <x:c r="I5" t="str">
        <x:v>PIT</x:v>
      </x:c>
      <x:c r="J5" t="n">
        <x:v>24</x:v>
      </x:c>
      <x:c r="K5" t="n">
        <x:v>3</x:v>
      </x:c>
      <x:c r="L5" t="n">
        <x:v>45</x:v>
      </x:c>
      <x:c r="M5" t="n">
        <x:v>0</x:v>
      </x:c>
      <x:c r="N5" t="str">
        <x:v>outdoors</x:v>
      </x:c>
      <x:c r="O5" t="str">
        <x:v>grass</x:v>
      </x:c>
      <x:c r="P5" t="n">
        <x:v>61</x:v>
      </x:c>
      <x:c r="Q5" t="n">
        <x:v>5</x:v>
      </x:c>
      <x:c r="R5" t="str">
        <x:v>Acrisure Stadium</x:v>
      </x:c>
    </x:row>
    <x:row r="6">
      <x:c r="A6" t="str">
        <x:v>2025_05_MIN_CLE</x:v>
      </x:c>
      <x:c r="B6" t="n">
        <x:v>2025</x:v>
      </x:c>
      <x:c r="C6" t="str">
        <x:v>REG</x:v>
      </x:c>
      <x:c r="D6" t="n">
        <x:v>5</x:v>
      </x:c>
      <x:c r="E6" s="1" t="n">
        <x:v>45935</x:v>
      </x:c>
      <x:c r="F6" t="str">
        <x:v>Sunday</x:v>
      </x:c>
      <x:c r="G6" t="str">
        <x:v>MIN</x:v>
      </x:c>
      <x:c r="H6" t="n">
        <x:v>21</x:v>
      </x:c>
      <x:c r="I6" t="str">
        <x:v>CLE</x:v>
      </x:c>
      <x:c r="J6" t="n">
        <x:v>17</x:v>
      </x:c>
      <x:c r="K6" t="n">
        <x:v>-4</x:v>
      </x:c>
      <x:c r="L6" t="n">
        <x:v>38</x:v>
      </x:c>
      <x:c r="M6" t="n">
        <x:v>0</x:v>
      </x:c>
      <x:c r="N6" t="str">
        <x:v>outdoors</x:v>
      </x:c>
      <x:c r="O6" t="str">
        <x:v>grass</x:v>
      </x:c>
      <x:c r="P6" t="n">
        <x:v>61</x:v>
      </x:c>
      <x:c r="Q6" t="n">
        <x:v>14</x:v>
      </x:c>
      <x:c r="R6" t="str">
        <x:v>FirstEnergy Stadium</x:v>
      </x:c>
    </x:row>
    <x:row r="7">
      <x:c r="A7" t="str">
        <x:v>2025_07_PHI_MIN</x:v>
      </x:c>
      <x:c r="B7" t="n">
        <x:v>2025</x:v>
      </x:c>
      <x:c r="C7" t="str">
        <x:v>REG</x:v>
      </x:c>
      <x:c r="D7" t="n">
        <x:v>7</x:v>
      </x:c>
      <x:c r="E7" s="1" t="n">
        <x:v>45949</x:v>
      </x:c>
      <x:c r="F7" t="str">
        <x:v>Sunday</x:v>
      </x:c>
      <x:c r="G7" t="str">
        <x:v>PHI</x:v>
      </x:c>
      <x:c r="H7" t="n">
        <x:v>28</x:v>
      </x:c>
      <x:c r="I7" t="str">
        <x:v>MIN</x:v>
      </x:c>
      <x:c r="J7" t="n">
        <x:v>22</x:v>
      </x:c>
      <x:c r="K7" t="n">
        <x:v>-6</x:v>
      </x:c>
      <x:c r="L7" t="n">
        <x:v>50</x:v>
      </x:c>
      <x:c r="M7" t="n">
        <x:v>0</x:v>
      </x:c>
      <x:c r="N7" t="str">
        <x:v>dome</x:v>
      </x:c>
      <x:c r="O7" t="str">
        <x:v>sportturf</x:v>
      </x:c>
      <x:c r="P7"/>
      <x:c r="Q7"/>
      <x:c r="R7" t="str">
        <x:v>U.S. Bank Stadium</x:v>
      </x:c>
    </x:row>
    <x:row r="8">
      <x:c r="A8" t="str">
        <x:v>2025_08_MIN_LAC</x:v>
      </x:c>
      <x:c r="B8" t="n">
        <x:v>2025</x:v>
      </x:c>
      <x:c r="C8" t="str">
        <x:v>REG</x:v>
      </x:c>
      <x:c r="D8" t="n">
        <x:v>8</x:v>
      </x:c>
      <x:c r="E8" s="1" t="n">
        <x:v>45953</x:v>
      </x:c>
      <x:c r="F8" t="str">
        <x:v>Thursday</x:v>
      </x:c>
      <x:c r="G8" t="str">
        <x:v>MIN</x:v>
      </x:c>
      <x:c r="H8" t="n">
        <x:v>10</x:v>
      </x:c>
      <x:c r="I8" t="str">
        <x:v>LAC</x:v>
      </x:c>
      <x:c r="J8" t="n">
        <x:v>37</x:v>
      </x:c>
      <x:c r="K8" t="n">
        <x:v>27</x:v>
      </x:c>
      <x:c r="L8" t="n">
        <x:v>47</x:v>
      </x:c>
      <x:c r="M8" t="n">
        <x:v>0</x:v>
      </x:c>
      <x:c r="N8" t="str">
        <x:v>dome</x:v>
      </x:c>
      <x:c r="O8" t="str">
        <x:v>matrixturf</x:v>
      </x:c>
      <x:c r="P8"/>
      <x:c r="Q8"/>
      <x:c r="R8" t="str">
        <x:v>SoFi Stadium</x:v>
      </x:c>
    </x:row>
    <x:row r="9">
      <x:c r="A9" t="str">
        <x:v>2025_09_MIN_DET</x:v>
      </x:c>
      <x:c r="B9" t="n">
        <x:v>2025</x:v>
      </x:c>
      <x:c r="C9" t="str">
        <x:v>REG</x:v>
      </x:c>
      <x:c r="D9" t="n">
        <x:v>9</x:v>
      </x:c>
      <x:c r="E9" s="1" t="n">
        <x:v>45963</x:v>
      </x:c>
      <x:c r="F9" t="str">
        <x:v>Sunday</x:v>
      </x:c>
      <x:c r="G9" t="str">
        <x:v>MIN</x:v>
      </x:c>
      <x:c r="H9" t="n">
        <x:v>27</x:v>
      </x:c>
      <x:c r="I9" t="str">
        <x:v>DET</x:v>
      </x:c>
      <x:c r="J9" t="n">
        <x:v>24</x:v>
      </x:c>
      <x:c r="K9" t="n">
        <x:v>-3</x:v>
      </x:c>
      <x:c r="L9" t="n">
        <x:v>51</x:v>
      </x:c>
      <x:c r="M9" t="n">
        <x:v>0</x:v>
      </x:c>
      <x:c r="N9" t="str">
        <x:v>dome</x:v>
      </x:c>
      <x:c r="O9" t="str">
        <x:v>fieldturf</x:v>
      </x:c>
      <x:c r="P9"/>
      <x:c r="Q9"/>
      <x:c r="R9" t="str">
        <x:v>Ford Field</x:v>
      </x:c>
    </x:row>
    <x:row r="10">
      <x:c r="A10" t="str">
        <x:v>2025_10_BAL_MIN</x:v>
      </x:c>
      <x:c r="B10" t="n">
        <x:v>2025</x:v>
      </x:c>
      <x:c r="C10" t="str">
        <x:v>REG</x:v>
      </x:c>
      <x:c r="D10" t="n">
        <x:v>10</x:v>
      </x:c>
      <x:c r="E10" s="1" t="n">
        <x:v>45970</x:v>
      </x:c>
      <x:c r="F10" t="str">
        <x:v>Sunday</x:v>
      </x:c>
      <x:c r="G10" t="str">
        <x:v>BAL</x:v>
      </x:c>
      <x:c r="H10" t="n">
        <x:v>27</x:v>
      </x:c>
      <x:c r="I10" t="str">
        <x:v>MIN</x:v>
      </x:c>
      <x:c r="J10" t="n">
        <x:v>19</x:v>
      </x:c>
      <x:c r="K10" t="n">
        <x:v>-8</x:v>
      </x:c>
      <x:c r="L10" t="n">
        <x:v>46</x:v>
      </x:c>
      <x:c r="M10" t="n">
        <x:v>0</x:v>
      </x:c>
      <x:c r="N10" t="str">
        <x:v>dome</x:v>
      </x:c>
      <x:c r="O10" t="str">
        <x:v>sportturf</x:v>
      </x:c>
      <x:c r="P10"/>
      <x:c r="Q10"/>
      <x:c r="R10" t="str">
        <x:v>U.S. Bank Stadium</x:v>
      </x:c>
    </x:row>
    <x:row r="11">
      <x:c r="A11" t="str">
        <x:v>2025_11_CHI_MIN</x:v>
      </x:c>
      <x:c r="B11" t="n">
        <x:v>2025</x:v>
      </x:c>
      <x:c r="C11" t="str">
        <x:v>REG</x:v>
      </x:c>
      <x:c r="D11" t="n">
        <x:v>11</x:v>
      </x:c>
      <x:c r="E11" s="1" t="n">
        <x:v>45977</x:v>
      </x:c>
      <x:c r="F11" t="str">
        <x:v>Sunday</x:v>
      </x:c>
      <x:c r="G11" t="str">
        <x:v>CHI</x:v>
      </x:c>
      <x:c r="H11" t="n">
        <x:v>19</x:v>
      </x:c>
      <x:c r="I11" t="str">
        <x:v>MIN</x:v>
      </x:c>
      <x:c r="J11" t="n">
        <x:v>17</x:v>
      </x:c>
      <x:c r="K11" t="n">
        <x:v>-2</x:v>
      </x:c>
      <x:c r="L11" t="n">
        <x:v>36</x:v>
      </x:c>
      <x:c r="M11" t="n">
        <x:v>0</x:v>
      </x:c>
      <x:c r="N11" t="str">
        <x:v>dome</x:v>
      </x:c>
      <x:c r="O11" t="str">
        <x:v>sportturf</x:v>
      </x:c>
      <x:c r="P11"/>
      <x:c r="Q11"/>
      <x:c r="R11" t="str">
        <x:v>U.S. Bank Stadium</x:v>
      </x:c>
    </x:row>
    <x:row r="12">
      <x:c r="A12" t="str">
        <x:v>2025_12_MIN_GB</x:v>
      </x:c>
      <x:c r="B12" t="n">
        <x:v>2025</x:v>
      </x:c>
      <x:c r="C12" t="str">
        <x:v>REG</x:v>
      </x:c>
      <x:c r="D12" t="n">
        <x:v>12</x:v>
      </x:c>
      <x:c r="E12" s="1" t="n">
        <x:v>45984</x:v>
      </x:c>
      <x:c r="F12" t="str">
        <x:v>Sunday</x:v>
      </x:c>
      <x:c r="G12" t="str">
        <x:v>MIN</x:v>
      </x:c>
      <x:c r="H12" t="n">
        <x:v>6</x:v>
      </x:c>
      <x:c r="I12" t="str">
        <x:v>GB</x:v>
      </x:c>
      <x:c r="J12" t="n">
        <x:v>23</x:v>
      </x:c>
      <x:c r="K12" t="n">
        <x:v>17</x:v>
      </x:c>
      <x:c r="L12" t="n">
        <x:v>29</x:v>
      </x:c>
      <x:c r="M12" t="n">
        <x:v>0</x:v>
      </x:c>
      <x:c r="N12" t="str">
        <x:v>outdoors</x:v>
      </x:c>
      <x:c r="O12" t="str">
        <x:v>grass</x:v>
      </x:c>
      <x:c r="P12" t="n">
        <x:v>43</x:v>
      </x:c>
      <x:c r="Q12" t="n">
        <x:v>10</x:v>
      </x:c>
      <x:c r="R12" t="str">
        <x:v>Lambeau Field</x:v>
      </x:c>
    </x:row>
    <x:row r="13">
      <x:c r="A13" t="str">
        <x:v>2025_13_MIN_SEA</x:v>
      </x:c>
      <x:c r="B13" t="n">
        <x:v>2025</x:v>
      </x:c>
      <x:c r="C13" t="str">
        <x:v>REG</x:v>
      </x:c>
      <x:c r="D13" t="n">
        <x:v>13</x:v>
      </x:c>
      <x:c r="E13" s="1" t="n">
        <x:v>45991</x:v>
      </x:c>
      <x:c r="F13" t="str">
        <x:v>Sunday</x:v>
      </x:c>
      <x:c r="G13" t="str">
        <x:v>MIN</x:v>
      </x:c>
      <x:c r="H13" t="n">
        <x:v>0</x:v>
      </x:c>
      <x:c r="I13" t="str">
        <x:v>SEA</x:v>
      </x:c>
      <x:c r="J13" t="n">
        <x:v>26</x:v>
      </x:c>
      <x:c r="K13" t="n">
        <x:v>26</x:v>
      </x:c>
      <x:c r="L13" t="n">
        <x:v>26</x:v>
      </x:c>
      <x:c r="M13" t="n">
        <x:v>0</x:v>
      </x:c>
      <x:c r="N13" t="str">
        <x:v>outdoors</x:v>
      </x:c>
      <x:c r="O13" t="str">
        <x:v>fieldturf</x:v>
      </x:c>
      <x:c r="P13" t="n">
        <x:v>45</x:v>
      </x:c>
      <x:c r="Q13" t="n">
        <x:v>2</x:v>
      </x:c>
      <x:c r="R13" t="str">
        <x:v>Lumen Field</x:v>
      </x:c>
    </x:row>
    <x:row r="14">
      <x:c r="A14" t="str">
        <x:v>2025_14_WAS_MIN</x:v>
      </x:c>
      <x:c r="B14" t="n">
        <x:v>2025</x:v>
      </x:c>
      <x:c r="C14" t="str">
        <x:v>REG</x:v>
      </x:c>
      <x:c r="D14" t="n">
        <x:v>14</x:v>
      </x:c>
      <x:c r="E14" s="1" t="n">
        <x:v>45998</x:v>
      </x:c>
      <x:c r="F14" t="str">
        <x:v>Sunday</x:v>
      </x:c>
      <x:c r="G14" t="str">
        <x:v>WAS</x:v>
      </x:c>
      <x:c r="H14" t="n">
        <x:v>0</x:v>
      </x:c>
      <x:c r="I14" t="str">
        <x:v>MIN</x:v>
      </x:c>
      <x:c r="J14" t="n">
        <x:v>31</x:v>
      </x:c>
      <x:c r="K14" t="n">
        <x:v>31</x:v>
      </x:c>
      <x:c r="L14" t="n">
        <x:v>31</x:v>
      </x:c>
      <x:c r="M14" t="n">
        <x:v>0</x:v>
      </x:c>
      <x:c r="N14" t="str">
        <x:v>dome</x:v>
      </x:c>
      <x:c r="O14" t="str">
        <x:v>sportturf</x:v>
      </x:c>
      <x:c r="P14"/>
      <x:c r="Q14"/>
      <x:c r="R14" t="str">
        <x:v>U.S. Bank Stadium</x:v>
      </x:c>
    </x:row>
    <x:row r="15">
      <x:c r="A15" t="str">
        <x:v>2025_15_MIN_DAL</x:v>
      </x:c>
      <x:c r="B15" t="n">
        <x:v>2025</x:v>
      </x:c>
      <x:c r="C15" t="str">
        <x:v>REG</x:v>
      </x:c>
      <x:c r="D15" t="n">
        <x:v>15</x:v>
      </x:c>
      <x:c r="E15" s="1" t="n">
        <x:v>46005</x:v>
      </x:c>
      <x:c r="F15" t="str">
        <x:v>Sunday</x:v>
      </x:c>
      <x:c r="G15" t="str">
        <x:v>MIN</x:v>
      </x:c>
      <x:c r="H15" t="n">
        <x:v>34</x:v>
      </x:c>
      <x:c r="I15" t="str">
        <x:v>DAL</x:v>
      </x:c>
      <x:c r="J15" t="n">
        <x:v>26</x:v>
      </x:c>
      <x:c r="K15" t="n">
        <x:v>-8</x:v>
      </x:c>
      <x:c r="L15" t="n">
        <x:v>60</x:v>
      </x:c>
      <x:c r="M15" t="n">
        <x:v>0</x:v>
      </x:c>
      <x:c r="N15" t="str">
        <x:v>closed</x:v>
      </x:c>
      <x:c r="O15" t="str">
        <x:v>matrixturf</x:v>
      </x:c>
      <x:c r="P15"/>
      <x:c r="Q15"/>
      <x:c r="R15" t="str">
        <x:v>AT&amp;T Stadium</x:v>
      </x:c>
    </x:row>
    <x:row r="16">
      <x:c r="A16" t="str">
        <x:v>2025_16_MIN_NYG</x:v>
      </x:c>
      <x:c r="B16" t="n">
        <x:v>2025</x:v>
      </x:c>
      <x:c r="C16" t="str">
        <x:v>REG</x:v>
      </x:c>
      <x:c r="D16" t="n">
        <x:v>16</x:v>
      </x:c>
      <x:c r="E16" s="1" t="n">
        <x:v>46012</x:v>
      </x:c>
      <x:c r="F16" t="str">
        <x:v>Sunday</x:v>
      </x:c>
      <x:c r="G16" t="str">
        <x:v>MIN</x:v>
      </x:c>
      <x:c r="H16" t="n">
        <x:v>16</x:v>
      </x:c>
      <x:c r="I16" t="str">
        <x:v>NYG</x:v>
      </x:c>
      <x:c r="J16" t="n">
        <x:v>13</x:v>
      </x:c>
      <x:c r="K16" t="n">
        <x:v>-3</x:v>
      </x:c>
      <x:c r="L16" t="n">
        <x:v>29</x:v>
      </x:c>
      <x:c r="M16" t="n">
        <x:v>0</x:v>
      </x:c>
      <x:c r="N16" t="str">
        <x:v>outdoors</x:v>
      </x:c>
      <x:c r="O16" t="str">
        <x:v>fieldturf</x:v>
      </x:c>
      <x:c r="P16" t="n">
        <x:v>46</x:v>
      </x:c>
      <x:c r="Q16" t="n">
        <x:v>20</x:v>
      </x:c>
      <x:c r="R16" t="str">
        <x:v>MetLife Stadium</x:v>
      </x:c>
    </x:row>
    <x:row r="17">
      <x:c r="A17" t="str">
        <x:v>2025_17_DET_MIN</x:v>
      </x:c>
      <x:c r="B17" t="n">
        <x:v>2025</x:v>
      </x:c>
      <x:c r="C17" t="str">
        <x:v>REG</x:v>
      </x:c>
      <x:c r="D17" t="n">
        <x:v>17</x:v>
      </x:c>
      <x:c r="E17" s="1" t="n">
        <x:v>46016</x:v>
      </x:c>
      <x:c r="F17" t="str">
        <x:v>Thursday</x:v>
      </x:c>
      <x:c r="G17" t="str">
        <x:v>DET</x:v>
      </x:c>
      <x:c r="H17" t="n">
        <x:v>10</x:v>
      </x:c>
      <x:c r="I17" t="str">
        <x:v>MIN</x:v>
      </x:c>
      <x:c r="J17" t="n">
        <x:v>23</x:v>
      </x:c>
      <x:c r="K17" t="n">
        <x:v>13</x:v>
      </x:c>
      <x:c r="L17" t="n">
        <x:v>33</x:v>
      </x:c>
      <x:c r="M17" t="n">
        <x:v>0</x:v>
      </x:c>
      <x:c r="N17" t="str">
        <x:v>dome</x:v>
      </x:c>
      <x:c r="O17" t="str">
        <x:v>sportturf</x:v>
      </x:c>
      <x:c r="P17"/>
      <x:c r="Q17"/>
      <x:c r="R17" t="str">
        <x:v>U.S. Bank Stadium</x:v>
      </x:c>
    </x:row>
    <x:row r="18">
      <x:c r="A18" t="str">
        <x:v>2025_18_GB_MIN</x:v>
      </x:c>
      <x:c r="B18" t="n">
        <x:v>2025</x:v>
      </x:c>
      <x:c r="C18" t="str">
        <x:v>REG</x:v>
      </x:c>
      <x:c r="D18" t="n">
        <x:v>18</x:v>
      </x:c>
      <x:c r="E18" s="1" t="n">
        <x:v>46026</x:v>
      </x:c>
      <x:c r="F18" t="str">
        <x:v>Sunday</x:v>
      </x:c>
      <x:c r="G18" t="str">
        <x:v>GB</x:v>
      </x:c>
      <x:c r="H18" t="n">
        <x:v>3</x:v>
      </x:c>
      <x:c r="I18" t="str">
        <x:v>MIN</x:v>
      </x:c>
      <x:c r="J18" t="n">
        <x:v>16</x:v>
      </x:c>
      <x:c r="K18" t="n">
        <x:v>13</x:v>
      </x:c>
      <x:c r="L18" t="n">
        <x:v>19</x:v>
      </x:c>
      <x:c r="M18" t="n">
        <x:v>0</x:v>
      </x:c>
      <x:c r="N18" t="str">
        <x:v>dome</x:v>
      </x:c>
      <x:c r="O18" t="str">
        <x:v>sportturf</x:v>
      </x:c>
      <x:c r="P18"/>
      <x:c r="Q18"/>
      <x:c r="R18" t="str">
        <x:v>U.S. Bank Stadium</x:v>
      </x:c>
    </x:row>
  </x:sheetData>
  <x:pageMargins left="0.7" right="0.7" top="0.75" bottom="0.75" header="0.3" footer="0.3"/>
</x:worksheet>
</file>